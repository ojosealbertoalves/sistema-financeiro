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çamentos de despesas" sheetId="1" r:id="rId5"/>
    <sheet state="visible" name="Lançamentos de receitas" sheetId="2" r:id="rId6"/>
    <sheet state="visible" name="Simulador de caixa" sheetId="3" r:id="rId7"/>
    <sheet state="visible" name="TABELA SALDO DAS CONTAS" sheetId="4" r:id="rId8"/>
    <sheet state="visible" name="COLOQUE AQUI OS SALDOS DAS CONT" sheetId="5" r:id="rId9"/>
    <sheet state="visible" name="SALDO DAS CONTAS" sheetId="6" r:id="rId10"/>
    <sheet state="visible" name="Balanço " sheetId="7" r:id="rId11"/>
    <sheet state="visible" name="CADASTROS DE FORNECEDORES" sheetId="8" r:id="rId12"/>
    <sheet state="hidden" name="Tabela diária" sheetId="9" r:id="rId13"/>
    <sheet state="hidden" name="Tabela mensal" sheetId="10" r:id="rId14"/>
    <sheet state="visible" name="Contas dos banco" sheetId="11" r:id="rId15"/>
    <sheet state="hidden" name="DFC" sheetId="12" r:id="rId16"/>
    <sheet state="visible" name="Classificação" sheetId="13" r:id="rId17"/>
    <sheet state="hidden" name="Nível 1" sheetId="14" r:id="rId18"/>
    <sheet state="hidden" name="Nível 2" sheetId="15" r:id="rId19"/>
  </sheets>
  <definedNames>
    <definedName hidden="1" localSheetId="0" name="_xlnm._FilterDatabase">'Lançamentos de despesas'!$A$1:$X$3371</definedName>
    <definedName hidden="1" localSheetId="1" name="_xlnm._FilterDatabase">'Lançamentos de receitas'!$A$1:$K$1999</definedName>
    <definedName hidden="1" localSheetId="5" name="_xlnm._FilterDatabase">'SALDO DAS CONTAS'!$A$1:$E$3716</definedName>
    <definedName hidden="1" localSheetId="12" name="_xlnm._FilterDatabase">'Classificação'!$A$1:$C$1004</definedName>
    <definedName hidden="1" localSheetId="0" name="Z_1C7B2971_E0BF_476B_A1D1_2F3717512215_.wvu.FilterData">'Lançamentos de despesas'!$A$1:$R$3995</definedName>
    <definedName hidden="1" localSheetId="0" name="Z_1C7B2971_E0BF_476B_A1D1_2F3717512215_.wvu.FilterData">'Lançamentos de despesas'!$A$1:$Z$3995</definedName>
    <definedName hidden="1" localSheetId="5" name="Z_1C7B2971_E0BF_476B_A1D1_2F3717512215_.wvu.FilterData">'SALDO DAS CONTAS'!$A$1:$G$5717</definedName>
    <definedName hidden="1" localSheetId="5" name="Z_1C7B2971_E0BF_476B_A1D1_2F3717512215_.wvu.FilterData">'SALDO DAS CONTAS'!$A$1:$D$3716</definedName>
  </definedNames>
  <calcPr/>
  <customWorkbookViews>
    <customWorkbookView activeSheetId="0" maximized="1" windowHeight="0" windowWidth="0" guid="{1C7B2971-E0BF-476B-A1D1-2F3717512215}" name="Filtro 1"/>
  </customWorkbookViews>
  <pivotCaches>
    <pivotCache cacheId="0" r:id="rId20"/>
    <pivotCache cacheId="1" r:id="rId21"/>
  </pivotCaches>
</workbook>
</file>

<file path=xl/sharedStrings.xml><?xml version="1.0" encoding="utf-8"?>
<sst xmlns="http://schemas.openxmlformats.org/spreadsheetml/2006/main" count="40356" uniqueCount="1845">
  <si>
    <t>Data do vencimento</t>
  </si>
  <si>
    <t>Data da emissão</t>
  </si>
  <si>
    <t>Data do pagamento</t>
  </si>
  <si>
    <t>Fornecedor</t>
  </si>
  <si>
    <t>Status</t>
  </si>
  <si>
    <t>Forma de pagamento</t>
  </si>
  <si>
    <t>Banco/conta</t>
  </si>
  <si>
    <t>Descrição</t>
  </si>
  <si>
    <t>Valor</t>
  </si>
  <si>
    <t>Valor descontos</t>
  </si>
  <si>
    <t>Valor pago</t>
  </si>
  <si>
    <t>Recorrência</t>
  </si>
  <si>
    <t>Parcelas</t>
  </si>
  <si>
    <t>Classificação</t>
  </si>
  <si>
    <t>MÊS/ANO VENCIMENTO</t>
  </si>
  <si>
    <t>MÊS/ANO PAGAMENTO</t>
  </si>
  <si>
    <t>SUBCATEGORIA</t>
  </si>
  <si>
    <t>CATEGORIA</t>
  </si>
  <si>
    <t>DIA DO VENCIMENTO</t>
  </si>
  <si>
    <t>MÊS VENCIMENTO</t>
  </si>
  <si>
    <t>ANO VENCIMENTO</t>
  </si>
  <si>
    <t>DIA DO pagamento</t>
  </si>
  <si>
    <t>mes pagamento</t>
  </si>
  <si>
    <t>ano pagamento</t>
  </si>
  <si>
    <t>ADELINO ALVES - ALUGUEL GALPÃO</t>
  </si>
  <si>
    <t>Pago</t>
  </si>
  <si>
    <t>Pix</t>
  </si>
  <si>
    <t>BANCO DO BRASIL - 65204-0</t>
  </si>
  <si>
    <t>ALUGUEL</t>
  </si>
  <si>
    <t>Mensal</t>
  </si>
  <si>
    <t>ALUGUEIS</t>
  </si>
  <si>
    <t>RIVER FREIGHT LOGISTICS SERVICES</t>
  </si>
  <si>
    <t>Transferência bancária</t>
  </si>
  <si>
    <t>PGTO DE IMPOSTOS AEREO COMPRA CHINA BROCAS</t>
  </si>
  <si>
    <t>Única</t>
  </si>
  <si>
    <t>COMPRA DE MERCADORIA</t>
  </si>
  <si>
    <t>ELAINE CRISTINA DE MELO</t>
  </si>
  <si>
    <t>MERCADO PAGO SINCE - 9511092439-1</t>
  </si>
  <si>
    <t>SALARIOS</t>
  </si>
  <si>
    <t>Prefeitura Municipal De Indaiatuba</t>
  </si>
  <si>
    <t>Boleto</t>
  </si>
  <si>
    <t>ALVARA MATRIZ</t>
  </si>
  <si>
    <t>ALVARÁ DE FUNCIONAMENTO</t>
  </si>
  <si>
    <t>LARISSA FARINCHON BORGES</t>
  </si>
  <si>
    <t>BANCO DO BRASIL</t>
  </si>
  <si>
    <t>Pagamento automático</t>
  </si>
  <si>
    <t>CESTA DE TARIFAS</t>
  </si>
  <si>
    <t>TARIFAS BANCÁRIAS</t>
  </si>
  <si>
    <t>AMIL ASSISTENCIA MEDICA INTERNACIONAL S.A. - CONVENIO MEDICO</t>
  </si>
  <si>
    <t>CONVÊNIO MÉDICO</t>
  </si>
  <si>
    <t>DESKTOP S A - INTERNET WIFI</t>
  </si>
  <si>
    <t>INTERNET</t>
  </si>
  <si>
    <t>CONSORCIO</t>
  </si>
  <si>
    <t>Parcelado</t>
  </si>
  <si>
    <t>9/48</t>
  </si>
  <si>
    <t>PARCELA DO FINANCIAMENTO</t>
  </si>
  <si>
    <t>CELIO LUIZ DE LIMA - VIGIA DA RUA</t>
  </si>
  <si>
    <t>VIGILANTE DA RUA</t>
  </si>
  <si>
    <t>SERVIÇOS TERCEIRIZADOS</t>
  </si>
  <si>
    <t>Sidecont Contabilidade E Consultoria</t>
  </si>
  <si>
    <t>CONTABILIDADE DA SINCE</t>
  </si>
  <si>
    <t>CONTABILIDADE</t>
  </si>
  <si>
    <t>MEDPREVENT EXAME ADMISSIONAL</t>
  </si>
  <si>
    <t>EXAME ADMISSIONAL ADRIANE</t>
  </si>
  <si>
    <t>OUTRAS DESPESAS COM PESSOAL</t>
  </si>
  <si>
    <t>MERCADO LIVRE</t>
  </si>
  <si>
    <t xml:space="preserve">MERCADO PAGO FARMEL - </t>
  </si>
  <si>
    <t>CUSTO DO FULL FARMEL (COLETA E ARMAZENAGEM)</t>
  </si>
  <si>
    <t>FRETE DE VENDAS</t>
  </si>
  <si>
    <t>TAKATA TAKATA COMERCIO DE DOCES E SALGADOS</t>
  </si>
  <si>
    <t>BOLO NIVER ELAINE</t>
  </si>
  <si>
    <t>COMPRA DE MERCADO/PADARIA</t>
  </si>
  <si>
    <t>CAPITAL DE GIRO PEAC FGI JUROS</t>
  </si>
  <si>
    <t>PAGAMENTO DE EMPRESTIMOS (BANCOS)</t>
  </si>
  <si>
    <t>ADRIANE CRISTINA GOMES</t>
  </si>
  <si>
    <t>ADIANTAMENTO DE SALARIO</t>
  </si>
  <si>
    <t>William Bezerra de Melo</t>
  </si>
  <si>
    <t>COMPRA DE BOLO - REEMBOLSO WILLIAM</t>
  </si>
  <si>
    <t>ALIMENTAÇÃO FUNCIONARIOS</t>
  </si>
  <si>
    <t>Debora Morales de Melo</t>
  </si>
  <si>
    <t>Priscila Zaghi Da Silva</t>
  </si>
  <si>
    <t>Sumerbol Supermercados Ltda</t>
  </si>
  <si>
    <t>CAFÉ - REEMBOLSO WILLIAM</t>
  </si>
  <si>
    <t>THIAGO MAURICIO BERTI</t>
  </si>
  <si>
    <t>Empréstimo para importação - QUANTUM a ser pago para William, pix: CPF04767793408</t>
  </si>
  <si>
    <t>EMPRESTIMOS PARA TERCEIROS</t>
  </si>
  <si>
    <t>Regina Celia Moura de Oliveira - Barbara Bolsas</t>
  </si>
  <si>
    <t>Cheque</t>
  </si>
  <si>
    <t>PEDIDO DE COMPRA 318 CHEQUE 850030</t>
  </si>
  <si>
    <t>PEDIDO DE COMPRA 313 CHEQUE 850025</t>
  </si>
  <si>
    <t>CPFL - COMPAHIA DE FORÇA E LUZ</t>
  </si>
  <si>
    <t>PROVISIONAMENTO CPFL</t>
  </si>
  <si>
    <t>ENERGIA ELETRICA</t>
  </si>
  <si>
    <t>PONTO AZUL</t>
  </si>
  <si>
    <t>CABO PARA NOTEBOOK</t>
  </si>
  <si>
    <t>COMPRA DE BENS/EQUIPAMENTOS</t>
  </si>
  <si>
    <t>Tarifa Agrupada</t>
  </si>
  <si>
    <t>TARIFAS DE PIX</t>
  </si>
  <si>
    <t>PRONAMPE 1º CONTRATO</t>
  </si>
  <si>
    <t>2/48</t>
  </si>
  <si>
    <t>DAS - SIMPLES NACIONAL</t>
  </si>
  <si>
    <t>IMPOSTO DE RENDA - DAS</t>
  </si>
  <si>
    <t>Jose Alberto</t>
  </si>
  <si>
    <t>CUSTO DO FULL SINCE(COLETA E ARMAZENAGEM)</t>
  </si>
  <si>
    <t>BLING SISTEMA ERP</t>
  </si>
  <si>
    <t>DESPESA COM SISTEMAS</t>
  </si>
  <si>
    <t>BRASTEMP</t>
  </si>
  <si>
    <t>Cartão de Crédito ELO</t>
  </si>
  <si>
    <t>CARTÃO ELO - FRIGOBAR</t>
  </si>
  <si>
    <t>CANVA - PLATAFORMA ONLINE DE MARKETING</t>
  </si>
  <si>
    <t>Cartão de Crédito VISA</t>
  </si>
  <si>
    <t>Cartão VISA - PLATAFORMA DE MARKETING ONLINE</t>
  </si>
  <si>
    <t>CARREFOUR - SUPERMERCADO</t>
  </si>
  <si>
    <t>Cartão Elo - CAFÉ, CAPSULAS E BOLACHAS</t>
  </si>
  <si>
    <t>Casa das Embalagens e Limpeza Ltda</t>
  </si>
  <si>
    <t>CARTÃO VISA - BOLHA, DETERGENTE, PAPEL, ETC.</t>
  </si>
  <si>
    <t>MATERIAL PAPELARIA/COPA/COZINHA</t>
  </si>
  <si>
    <t>DAS</t>
  </si>
  <si>
    <t>EC OSASCOLAS</t>
  </si>
  <si>
    <t>CARTÃO ELO - LETREIRO FARMEL</t>
  </si>
  <si>
    <t>MARKETING E PUBLICIDADE</t>
  </si>
  <si>
    <t>EDUZZ MELIPRO</t>
  </si>
  <si>
    <t>CARTÃO VISA - AVANTPROML</t>
  </si>
  <si>
    <t>FGTS</t>
  </si>
  <si>
    <t xml:space="preserve">CARTÃO ELO </t>
  </si>
  <si>
    <t>HAVAN</t>
  </si>
  <si>
    <t>INSS</t>
  </si>
  <si>
    <t>JOVINA MOREIRA MENDES DIARISTA</t>
  </si>
  <si>
    <t>Inicio em 23/01/24 Ter/qua/qui e sab por + ou - 2 horas PEDIDO 54026 R$ 119,40 (descontar em 2x mes 7 e mes 8)</t>
  </si>
  <si>
    <t>Larissa Moraes</t>
  </si>
  <si>
    <t>Cartão Elo</t>
  </si>
  <si>
    <t>LIBERTY SEGURO - SEGURADORA</t>
  </si>
  <si>
    <t xml:space="preserve">Cartão Elo - </t>
  </si>
  <si>
    <t>SEGUROS DE VEÍCULOS</t>
  </si>
  <si>
    <t>LIMPA MAIS</t>
  </si>
  <si>
    <t>CARTÃO VISA - CANDIDA, INTERFOLHA, AZULIN, SACO LIXO</t>
  </si>
  <si>
    <t>MATERIAL LIMPEZA/CONSERVAÇÃO</t>
  </si>
  <si>
    <t>MELHOR ENVIO</t>
  </si>
  <si>
    <t>Cartão Elo - FRETE PEDIDOS AMAZON</t>
  </si>
  <si>
    <t>CARTÃO ELO - FONE DE OUVIDO ELAINE</t>
  </si>
  <si>
    <t>CARTÃO ELO - NOTEBOOK</t>
  </si>
  <si>
    <t xml:space="preserve">CARTÃO ELO - 2 ventiladores de parede </t>
  </si>
  <si>
    <t>CARTÃO ELO - ENVELOPES PARA ENVIO</t>
  </si>
  <si>
    <t>EMBALAGENS/FITAS/GERAL</t>
  </si>
  <si>
    <t>CARTÃO ELO - pistão para cadeira</t>
  </si>
  <si>
    <t>MANUTENÇÃO BENS DE EXPEDIENTE</t>
  </si>
  <si>
    <t xml:space="preserve">CARTÃO ELO - CELULAR ATENDIMENTO FARMEL </t>
  </si>
  <si>
    <t>CARTÃO ELO - transformador 220-110 para Adriane</t>
  </si>
  <si>
    <t>CARTÃO ELO - Envelopes, fita mágica, adesivos</t>
  </si>
  <si>
    <t>CARTÃO ELO -Fita embalagem, tonner</t>
  </si>
  <si>
    <t>CARTÃO ELO - Espelho e Suporte Banheiro</t>
  </si>
  <si>
    <t>CARTÃO ELO - Envelopes, fitas</t>
  </si>
  <si>
    <t>CARTÃO ELO - FITAS, ISOPOR E ENVELOPE</t>
  </si>
  <si>
    <t>CARTÃO ELO - ENVELOPE, FITA, SULFITE</t>
  </si>
  <si>
    <t>CARTÃO ELO - LUMINÁRIA SALA ADMINISTRAÇÃO</t>
  </si>
  <si>
    <t>CARTÃO ELO - Leitor código de barras</t>
  </si>
  <si>
    <t>CARTÃO ELO - ETIQUETA ENVIO, ENVELOPE</t>
  </si>
  <si>
    <t>CARTÃO ELO - SULFITE, ROLO, PAPELÃO</t>
  </si>
  <si>
    <t>COMPRA INTERFONE - REEMBOLSO LARISSA</t>
  </si>
  <si>
    <t>CARTÃO ELO - ETIQUETA FULL AMAZON</t>
  </si>
  <si>
    <t>ENVELOPES, CABO E FITAS - REEMBOLSO LARISSA</t>
  </si>
  <si>
    <t>MICROSOFT SÃO PAULO</t>
  </si>
  <si>
    <t>SISTEMA - PACOTE OFFICE</t>
  </si>
  <si>
    <t>MR VARIEDADES</t>
  </si>
  <si>
    <t>CARTÃO ELO - PEÇAS DECORATIVAS SALA MEZANINO</t>
  </si>
  <si>
    <t>P AMP A PANIFICADORA INDAIATUBA</t>
  </si>
  <si>
    <t xml:space="preserve">Cartão Elo - Café da manhã </t>
  </si>
  <si>
    <t>PANELA VELHA RESTAURANTE</t>
  </si>
  <si>
    <t>CARTÃO VISA - ALMOÇO FREELANCER VITOR</t>
  </si>
  <si>
    <t>PANIFICADORA E CONFEIT INDAIATUBA</t>
  </si>
  <si>
    <t>Cartão Elo - Café da manhã</t>
  </si>
  <si>
    <t>SAAE - COMPANHIA DE ÁGUA E ESGOTO</t>
  </si>
  <si>
    <t>ÁGUA E ESGOTO</t>
  </si>
  <si>
    <t>SOL ABDELNOR</t>
  </si>
  <si>
    <t>Cartão Elo - Revisão Veicular</t>
  </si>
  <si>
    <t>MANUTENÇÃO DE VEÍCULOS</t>
  </si>
  <si>
    <t>CARTÃO VISA - COMPRA DE PAPEL HIGIENICO E DETERGENTE</t>
  </si>
  <si>
    <t>TOKIO MARINE SEGURADORA S.A. - SEGURADORA</t>
  </si>
  <si>
    <t>SEGURO PATRIMONIO</t>
  </si>
  <si>
    <t>Top Flex Posto de Gasolina</t>
  </si>
  <si>
    <t>Cartão Elo - COMBUSTIVEL</t>
  </si>
  <si>
    <t>COMBUSTIVEIS</t>
  </si>
  <si>
    <t>UBER</t>
  </si>
  <si>
    <t>Cartão Elo -</t>
  </si>
  <si>
    <t>TRANSPORTE URBANO (TÁXI, UBER)</t>
  </si>
  <si>
    <t>WA ELETRECIST</t>
  </si>
  <si>
    <t>CARTÃO ELO - JARDIM VERTICAL</t>
  </si>
  <si>
    <t>Cartão Elo - FRETE</t>
  </si>
  <si>
    <t>Serviço de desenquadramento Since</t>
  </si>
  <si>
    <t>CARTÃO ELO - COMBUSTIVEL</t>
  </si>
  <si>
    <t>ALIBABA CHINA</t>
  </si>
  <si>
    <t>CARTÃO ELO - SERVIÇOS NA CHINA</t>
  </si>
  <si>
    <t>GOOGLE</t>
  </si>
  <si>
    <t>CARTÃO ELO - TESTE DE EMAIL</t>
  </si>
  <si>
    <t>CARTÃO ELO</t>
  </si>
  <si>
    <t>PATRICIA LEKEF</t>
  </si>
  <si>
    <t xml:space="preserve">CARTÃO ELO - COMPRA DE MOVEIS </t>
  </si>
  <si>
    <t>CARTÃO ELO - COMPRA DE VENTILADOR</t>
  </si>
  <si>
    <t>CARTÃO ELO - SERVIÇO JEFERSON</t>
  </si>
  <si>
    <t>CARTÃO ELO - CREDITO DEVIDO DEVOLUÇÃO</t>
  </si>
  <si>
    <t>UNISEGURANCA ALARMES LTDA</t>
  </si>
  <si>
    <t>ALARME/MONITORAMENTO/VIGILÂNCIA</t>
  </si>
  <si>
    <t>BANCO ITAU</t>
  </si>
  <si>
    <t>REEMBOLSO DE EMPRESTIMO PARA WILLIAM</t>
  </si>
  <si>
    <t>VALE ALIMENTAÇÃO</t>
  </si>
  <si>
    <t>COMPRA DE CADEIRAS - REEMBOLSO LARISSA</t>
  </si>
  <si>
    <t>COMPRA Filtro de Linha REEMBOLSO LARISSA</t>
  </si>
  <si>
    <t>COMPRA TRANSFORMADOR - REEMBOLSO LARISSA</t>
  </si>
  <si>
    <t>VIVO S.A TELEFONIA</t>
  </si>
  <si>
    <t>TELEFONES MÓVEL COMERCIAL</t>
  </si>
  <si>
    <t>TELEFONIA/CELULAR</t>
  </si>
  <si>
    <t>Retirada</t>
  </si>
  <si>
    <t>RETIRADA DE CAPITAL</t>
  </si>
  <si>
    <t>MERCADO PAGO</t>
  </si>
  <si>
    <t>Reembolso p/ cliente prod. com defeito</t>
  </si>
  <si>
    <t>PEDIDO DE COMPRA 317 CHEQUE 850028</t>
  </si>
  <si>
    <t>BANCO C6 TAG PEDAGIO</t>
  </si>
  <si>
    <t>PEDAGIO C6 TAG</t>
  </si>
  <si>
    <t>PEDÁGIOS</t>
  </si>
  <si>
    <t>MARCELO ANTONIO KUHL - MPK TRICOT</t>
  </si>
  <si>
    <t>PEDIDO DE COMPRA Nº 316</t>
  </si>
  <si>
    <t>DRE ASSESSORIA CONTÁBIL EIRELI</t>
  </si>
  <si>
    <t>CONTABILIDADE DA FARMEL</t>
  </si>
  <si>
    <t>SEMEAR PROJETO SOCIAL</t>
  </si>
  <si>
    <t>DOAÇÕES</t>
  </si>
  <si>
    <t>Salário Priscila Zag Farmel, com dedução do INSS e somado 2 bolsa família (R$ 56,00/filho) - Salário Priscila Zag Farmel, com dedução do INSS e somado 2 bolsa família (R$ 56,00/filho)</t>
  </si>
  <si>
    <t>TARIFA BANCARIA</t>
  </si>
  <si>
    <t>1/25</t>
  </si>
  <si>
    <t>FRENTE CORRETORA DE CAMBIO LTDA</t>
  </si>
  <si>
    <t>PGTO DE CAMBIO PARA COMPRA NA CHINA</t>
  </si>
  <si>
    <t>ENVIADO PARA SINCE PARA PG O CAMBIO DE COMPRA NA CHINA</t>
  </si>
  <si>
    <t>SECRETARIA DA FAZENDA</t>
  </si>
  <si>
    <t>LICENCIAMENTO MOTO - PUXAR PELO BANCO DO BRASIL</t>
  </si>
  <si>
    <t>IPVA / DPVAT / LICENCIAMENTO</t>
  </si>
  <si>
    <t>10/48</t>
  </si>
  <si>
    <t>Emprestimo FINIMP - Contrato fechado no dia 20/12/2023 Valor de R$ 70.000 (sem calculo dos juros)
CONTRATO Nº 20231220000000059 - PRODUTOS *LIGAR PARA O BANCO DIA 07/09, PARA FECHAR O CAMBIO
NOMINAL: USD 13.139,95 JUROS : USD 1031,7</t>
  </si>
  <si>
    <t>750 salario 30,00 por ter levado mercadoria no ponto</t>
  </si>
  <si>
    <t>REEMBOLSO COMBUSTIVEL LEVOU PEDIDOS DIA 12/09</t>
  </si>
  <si>
    <t>Tarifa Pix</t>
  </si>
  <si>
    <t>COMPRA BOLSAS PEDIDO 319</t>
  </si>
  <si>
    <t>1/26</t>
  </si>
  <si>
    <t>FRIGOBAR - CARTAO ELO 9838</t>
  </si>
  <si>
    <t>PROVISIONAMENTO DO DAS FARMEL</t>
  </si>
  <si>
    <t>PROVISIONAMENTO DO DAS</t>
  </si>
  <si>
    <t>CARTAO ELO - LETREIRO FARMEL</t>
  </si>
  <si>
    <t xml:space="preserve">CARTAO ELO </t>
  </si>
  <si>
    <t>CARTAO ELO- NOTEBOOK</t>
  </si>
  <si>
    <t xml:space="preserve">CARTAO ELO - 2 ventiladores de parede </t>
  </si>
  <si>
    <t xml:space="preserve">CARTAO ELO - CELULAR ATENDIMENTO FARMEL </t>
  </si>
  <si>
    <t>CARTAO ELO - Envelopes, fita mágica, adesivos</t>
  </si>
  <si>
    <t>CARTAO ELO -Fita embalagem, tonner</t>
  </si>
  <si>
    <t>CARTAO ELO - FITAS, ISOPOR E ENVELOPE</t>
  </si>
  <si>
    <t>CARTAO ELO - SULFITE, ROLO, PAPELÃO</t>
  </si>
  <si>
    <t>PEÇAS DECORATIVAS SALA MESANINO</t>
  </si>
  <si>
    <t>JARDIM VERTICAL</t>
  </si>
  <si>
    <t>ASSAI MERCADO</t>
  </si>
  <si>
    <t>CARTÃO VISA - CAFE AÇUCAR SUCO ETC</t>
  </si>
  <si>
    <t>LEITE BISCOITO ETC</t>
  </si>
  <si>
    <t>Material Expedição pela Since</t>
  </si>
  <si>
    <t>MATERIAL DE EXPEDIENTE</t>
  </si>
  <si>
    <t>CIA do Salgado</t>
  </si>
  <si>
    <t>Salgadinho Niver Elaine</t>
  </si>
  <si>
    <t>Uber para Adriane fazre exame Admissional</t>
  </si>
  <si>
    <t>IMPRESSORA</t>
  </si>
  <si>
    <t>ESTACIONAMENTO FEIRA</t>
  </si>
  <si>
    <t>Estacionamento da Feira Home Show</t>
  </si>
  <si>
    <t>ESTACIONAMENTO</t>
  </si>
  <si>
    <t>SÓ ISOPOR</t>
  </si>
  <si>
    <t>ISOPOR PARA EMBALAR</t>
  </si>
  <si>
    <t>ESTACIONAMENTO RESTAURANTE</t>
  </si>
  <si>
    <t>TEMAKERIA E CIA</t>
  </si>
  <si>
    <t>REFEIÇÃO LARI/ELAINE</t>
  </si>
  <si>
    <t>ALIMENTAÇÃO</t>
  </si>
  <si>
    <t>CASA DO PÃO DE QUEIJO</t>
  </si>
  <si>
    <t>CAFE LARI/ELAINE</t>
  </si>
  <si>
    <t>Saquinhos Plasticos</t>
  </si>
  <si>
    <t>PADARIA</t>
  </si>
  <si>
    <t>FITA E EMBALAGEM</t>
  </si>
  <si>
    <t>ÁGUA</t>
  </si>
  <si>
    <t>TESTE GOOGLE GSUITE</t>
  </si>
  <si>
    <t>ASSIN MICROSOFT 365</t>
  </si>
  <si>
    <t>REEMBOLSO CARTAO DE CREDITO POR POSSIVEL DEVOLUÇÃO</t>
  </si>
  <si>
    <t>Marcelo Zulli -  16 997327801 PIX</t>
  </si>
  <si>
    <t>SERVIÇO FINANCEIRO PRESTADO</t>
  </si>
  <si>
    <t>RETIRADA SOCIO</t>
  </si>
  <si>
    <t>PEDAGIO</t>
  </si>
  <si>
    <t>tarifa pix</t>
  </si>
  <si>
    <t>DESC DE 130 DOS PRODUTOS</t>
  </si>
  <si>
    <t>ROBERTO BI CPF 12702467717</t>
  </si>
  <si>
    <t>ACESSO BI</t>
  </si>
  <si>
    <t>REEMBOLSO DE DESLOCAMENTO REF OS DIAS 24 E 25/10</t>
  </si>
  <si>
    <t>REEMBOLSO DE DESLOCAMENTO REF OS DIAS 24</t>
  </si>
  <si>
    <t>TARIFA AGRUPADA</t>
  </si>
  <si>
    <t>RETIRADA DAS BROCAS</t>
  </si>
  <si>
    <t>AURORA TERMINAIS</t>
  </si>
  <si>
    <t>ARMAZENAMENTO DE BROCAS</t>
  </si>
  <si>
    <t>PEDIDO DE COMPRA 317 CHEQUE 850029</t>
  </si>
  <si>
    <t>2/25</t>
  </si>
  <si>
    <t>Com Prest Gar Internacion - Refer Contrarto Finimp do mes 10</t>
  </si>
  <si>
    <t xml:space="preserve">Cambio Ref compra na china (pgto pelo finimp contrato mes 10) </t>
  </si>
  <si>
    <t>DONGGUAN LOYAL INDUSTRIAL CO., LTD.</t>
  </si>
  <si>
    <t>COMPRA PROD. CHINA</t>
  </si>
  <si>
    <t>11/48</t>
  </si>
  <si>
    <t>EMERSON DAVI DOS SANTOS ISOPOR VALINHOS</t>
  </si>
  <si>
    <t>ISOPOR PARA PROTEÇÃO</t>
  </si>
  <si>
    <t>DESC DE 61,32 DE PRODUTOS</t>
  </si>
  <si>
    <t>2/26</t>
  </si>
  <si>
    <t>EMBALAGEM FITA ETC</t>
  </si>
  <si>
    <t>Combustivel</t>
  </si>
  <si>
    <t>CAFE E BOLACHA</t>
  </si>
  <si>
    <t>PRODUTOS LIMPEZA</t>
  </si>
  <si>
    <t>FRETE CLIENTE</t>
  </si>
  <si>
    <t>COMBUSTIVEL</t>
  </si>
  <si>
    <t>DELL TECHNOLOGIES</t>
  </si>
  <si>
    <t>COMPRA COMPUTADOR ELAINE</t>
  </si>
  <si>
    <t>ESTACIONAMENOT EVENTO ML</t>
  </si>
  <si>
    <t>WORKANA</t>
  </si>
  <si>
    <t xml:space="preserve">SISTEMA ESTOQUE E COMPRAS </t>
  </si>
  <si>
    <t>EMBALAGEM</t>
  </si>
  <si>
    <t>CREDITO NÃO IDENTIFICADO</t>
  </si>
  <si>
    <t>RESTAURANTE SP</t>
  </si>
  <si>
    <t>LARI E ELAINE</t>
  </si>
  <si>
    <t>LOCAWEB</t>
  </si>
  <si>
    <t>CONTA DE EMAIL</t>
  </si>
  <si>
    <t>refeição Thiago</t>
  </si>
  <si>
    <t>COMPRA DE CADEIRAS - REEMBOLSO LARI C6</t>
  </si>
  <si>
    <t>COMPRA INTERFONE - REEMBOLSO LARI C6</t>
  </si>
  <si>
    <t>REEMBOLSO CARTAO C6 LARISSA</t>
  </si>
  <si>
    <t>REEMBOLSO CARTOA C6 LARISSA</t>
  </si>
  <si>
    <t>Booking Hotel</t>
  </si>
  <si>
    <t xml:space="preserve">REEMBOLSO C6 LARISSA ESTADIA EVENTO </t>
  </si>
  <si>
    <t>HOSPEDAGEM</t>
  </si>
  <si>
    <t>CHRISTINA CHAN CHINA</t>
  </si>
  <si>
    <t>PGTO SERVIÇO NA CHINA VIA PAYPAL REEMBOLSO C6 LARI</t>
  </si>
  <si>
    <t>GOOGLE GSUITE REEMBOLSO LARI C6</t>
  </si>
  <si>
    <t>ALIMENTAÇÃO EVENTO SP REEMBOLSO LARI C6</t>
  </si>
  <si>
    <t>Cartão de débito MASTERCAD</t>
  </si>
  <si>
    <t>TARIFA PIX</t>
  </si>
  <si>
    <t>50% MANUTENÇÃO VEICULO REEMBOLSO VISA LARI/ELAINE</t>
  </si>
  <si>
    <t>DESC DE 130 DE PRODUTOS</t>
  </si>
  <si>
    <t>Envio de peça para cliente</t>
  </si>
  <si>
    <t>TAG BRINDES Ana Lucia da Silva Coutinho</t>
  </si>
  <si>
    <t>TAG NAS MOCHILAS PARA BRINDES</t>
  </si>
  <si>
    <t>PRONAMPE 2º CONTRATO</t>
  </si>
  <si>
    <t>1/37</t>
  </si>
  <si>
    <t>Chaveiro Bruno</t>
  </si>
  <si>
    <t>CUSTO COM CHAVEIRO</t>
  </si>
  <si>
    <t>MANUTENÇÃO EQUIPAMENTOS OPERAÇÃO</t>
  </si>
  <si>
    <t>COMISSÃO CHRIS CHINA + IMPOSTO DE RENDA</t>
  </si>
  <si>
    <t>3/25</t>
  </si>
  <si>
    <t>COMPRA DE BOLSAS PEDIDO 321</t>
  </si>
  <si>
    <t>SERVIÇO PRESTADO - ALTERAÇÃO NO CONTRATO SOCIAL FARMEL</t>
  </si>
  <si>
    <t>12/48</t>
  </si>
  <si>
    <t>SEFAZ SP</t>
  </si>
  <si>
    <t>PGTO DARE-SP ALTERAÇÃO DO CONTRATO SOCIAL</t>
  </si>
  <si>
    <t>OUTROS IMPOSTOS E TAXAS</t>
  </si>
  <si>
    <t>JUCESP</t>
  </si>
  <si>
    <t>TAXA DA JUCESP PARA ALTERAR CONTRATO SOCIAL</t>
  </si>
  <si>
    <t>VR ALIMENTAÇÃO</t>
  </si>
  <si>
    <t>ADIANTAMENTO DO VR DA PRISCILA PARA STRATAR O NOVO CARTA VR</t>
  </si>
  <si>
    <t>3/26</t>
  </si>
  <si>
    <t>GLOBALFY EUA</t>
  </si>
  <si>
    <t>SERVIÇO DE CONTABILIDADE EUA REEMBOLSO C6</t>
  </si>
  <si>
    <t>COMPRA DE PATRIMÔNIO</t>
  </si>
  <si>
    <t>COMPRA DE CADEIRAS - REEMBOLSO C6</t>
  </si>
  <si>
    <t>COMPRA INTERFONE - REEMBOLSO C6</t>
  </si>
  <si>
    <t>REEMBOLSO CARTAO C6</t>
  </si>
  <si>
    <t>CPFL</t>
  </si>
  <si>
    <t>PGTO DE FRETE PARA CLIENTE</t>
  </si>
  <si>
    <t>LOGIX FLASH</t>
  </si>
  <si>
    <t>SOFTWARE DE IMPORTAÇÃO</t>
  </si>
  <si>
    <t>SOFTWARE / LICENÇA DE USO</t>
  </si>
  <si>
    <t>FITAS EMBALAGEM ETIQUETA</t>
  </si>
  <si>
    <t>Fernanda Cristina Água Mineral</t>
  </si>
  <si>
    <t>GALÃO DE ÁGUA</t>
  </si>
  <si>
    <t>MATERIAL DE LIMPEZA</t>
  </si>
  <si>
    <t>LEITE CAFE E BOLACHA</t>
  </si>
  <si>
    <t>Jade Casa Decor</t>
  </si>
  <si>
    <t>Sabonete e Essencia Sala Mesanino</t>
  </si>
  <si>
    <t>LALAMOVE FRTES</t>
  </si>
  <si>
    <t>INSERIDO CREDITO PARA FRETES</t>
  </si>
  <si>
    <t>CERTSING</t>
  </si>
  <si>
    <t xml:space="preserve">COMPRA CERTIFICADO DIGITAL A1 FARMEL </t>
  </si>
  <si>
    <t>GRUPO ROJEMAC</t>
  </si>
  <si>
    <t>COMPRA DE MERCADORIA PARA REVENDA</t>
  </si>
  <si>
    <t>SAMS CLUB</t>
  </si>
  <si>
    <t>CONSUMO VARIADOS</t>
  </si>
  <si>
    <t>CASA DE BOLOS</t>
  </si>
  <si>
    <t>BOLO</t>
  </si>
  <si>
    <t>Açucar</t>
  </si>
  <si>
    <t>papel higienico e saco de lixo</t>
  </si>
  <si>
    <t>copia de chaves</t>
  </si>
  <si>
    <t>MANUTENÇÃO PREDIAL</t>
  </si>
  <si>
    <t>BORRACHA PARA VEDAR A PORTA</t>
  </si>
  <si>
    <t>OUTRAS DESPESAS NÃO OPERACIONAIS</t>
  </si>
  <si>
    <t>PGTO P/ MAX DO PET PASSEI CARTAO ERRADO</t>
  </si>
  <si>
    <t>DRI AVAST BRAZIL SAO PAULO</t>
  </si>
  <si>
    <t>CUSTO COM VPN</t>
  </si>
  <si>
    <t>COMPRA DE BOLSAS PARA REVENDA PEDIDO 322</t>
  </si>
  <si>
    <t>CLINK COMERCIO IMPORTAÇÃO E EXPORTAÇÃO</t>
  </si>
  <si>
    <t>COMPRA DE PRODUTOS PARA REVENDA</t>
  </si>
  <si>
    <t>TARIFA POR RETIRAR CHEQUES</t>
  </si>
  <si>
    <t>REEMBOLSO PEDAGIO</t>
  </si>
  <si>
    <t>SALARIO + BOLSA FAMILIA DE R$ 62,04</t>
  </si>
  <si>
    <t>13º Salário 1ª Parc</t>
  </si>
  <si>
    <t>13 SALARIO</t>
  </si>
  <si>
    <t>13º Salário 1ª Parc Por Fora</t>
  </si>
  <si>
    <t>Salário Priscila Zag Farmel, com dedução do INSS e somado 2 bolsa família (R$62,04/filho)</t>
  </si>
  <si>
    <t>GABRIEL RIBEIRO DE MELO</t>
  </si>
  <si>
    <t>SERVIÇO PRESTADO</t>
  </si>
  <si>
    <t>2/37</t>
  </si>
  <si>
    <t>4/25</t>
  </si>
  <si>
    <t>COMPRA DE BOLSAS PEDIDO 321 - cheque 850036</t>
  </si>
  <si>
    <t>ASSINATURA BLING SINCE</t>
  </si>
  <si>
    <t>13/48</t>
  </si>
  <si>
    <t>APORTE PARA EMPRESA MF IMPORT</t>
  </si>
  <si>
    <t>PGTO DE IMPOSTOS REF CHEGADA DE IMPORTAÇÃO</t>
  </si>
  <si>
    <t>MARCONI VIDAL SERVIÇOS LOGISTICA</t>
  </si>
  <si>
    <t>PGTO DE SERVIÇOS LOGISTICOS REF A CHEGADA DA IMPORTAÇÃO</t>
  </si>
  <si>
    <t>DIFERENÇA LOGISTICA REF IMPORTAÇÃO</t>
  </si>
  <si>
    <t>Pedro Melo De Paula</t>
  </si>
  <si>
    <t>SERVIÇOS TERCEIROS</t>
  </si>
  <si>
    <t>SERASA</t>
  </si>
  <si>
    <t>PGTO DE DIVIDA ATIVA REF PLANO DE SAUDE NOTREDAME</t>
  </si>
  <si>
    <t>Tarifa pix</t>
  </si>
  <si>
    <t>SEGURO DE CARGA IMPORTAÇÃO</t>
  </si>
  <si>
    <t>4/26</t>
  </si>
  <si>
    <t>REFERENTE AO PEDIDO 324 BOLETO FOB ESTA NO BLING</t>
  </si>
  <si>
    <t>REFERENTE AO PEDIDO 324 BOLETO DA SINCE ESTA NO BLING</t>
  </si>
  <si>
    <t>VALE NATAL FUNCIONARIOS</t>
  </si>
  <si>
    <t>AJUDANTE DESCARREGOU CAMINHÃO</t>
  </si>
  <si>
    <t>OUTROS SERVIÇOS PRESTADOS</t>
  </si>
  <si>
    <t>JUROS FINIMP CONTRATO 2023122000000059 - juros USD 1271,49</t>
  </si>
  <si>
    <t>JUROS FINIMP CONTRATO 20240328000000696 - juros USD 1679,60</t>
  </si>
  <si>
    <t>RECEITA FEDERAL</t>
  </si>
  <si>
    <t>IMPOSTO DE RENDA SOBRE OS JUROS DO FINIMP</t>
  </si>
  <si>
    <t>TARIFAS SOBRE JUROS EM $ DO FINIMP</t>
  </si>
  <si>
    <t>13º Salário 2ª Parc</t>
  </si>
  <si>
    <t>BOLACHA, CAFE, AÇUCAR ETC</t>
  </si>
  <si>
    <t>COMPRA DE BOLHA E OUTROS</t>
  </si>
  <si>
    <t>FITA ETIQUETA DE ENVIO</t>
  </si>
  <si>
    <t>PLASTICO BOLHA</t>
  </si>
  <si>
    <t>CABO PARA PC</t>
  </si>
  <si>
    <t>MANUTENÇÃO EQUIPAMENTOS ADM</t>
  </si>
  <si>
    <t>FRETE DE ENVIO DE PEDIDOS NO PONTO DE COLETA ML</t>
  </si>
  <si>
    <t>SISTEMA AVANT PRO DO SHOPEE</t>
  </si>
  <si>
    <t>Acessorios para manutenção das portas e janelas</t>
  </si>
  <si>
    <t>credito por compras canceladas</t>
  </si>
  <si>
    <t>OUTRAS DESPESAS ADM</t>
  </si>
  <si>
    <t>INSS 13º</t>
  </si>
  <si>
    <t>YASMIM FREELANCER</t>
  </si>
  <si>
    <t>SERVIÇO DE FREELA 1 DIA E MEIO</t>
  </si>
  <si>
    <t>SERVIÇO DE FREELA 1 DIA + LILI</t>
  </si>
  <si>
    <t>CAMBIO DE COMPRA CHINA + COM PREST GAR INTERNACION</t>
  </si>
  <si>
    <t>13º Salário 2ª Parc Por Fora</t>
  </si>
  <si>
    <t>COMPRA DE PRODUTOS PARA REVENDA BOL EVER SREV</t>
  </si>
  <si>
    <t>FERIAS E RECISÃO</t>
  </si>
  <si>
    <t>COMPRA DE PRODUTOS PARA REVENDA BOL CLINK</t>
  </si>
  <si>
    <t>SEGURO PREDIAL</t>
  </si>
  <si>
    <t>ANOTAÇÃO PROVISÓRIA DEBIT</t>
  </si>
  <si>
    <t>CUSTO COM VPN CARTAO 9356 REEMBOLSO INTER</t>
  </si>
  <si>
    <t>COMPRA DE BOLSAS PARA REVENDA PEDIDO 322 CHEQUE 850039</t>
  </si>
  <si>
    <t>COMPRA DE BOLSAS ENTRADA REF PEDIDO 325</t>
  </si>
  <si>
    <t>DIFAL REF COMPRA DA CLINK BOLETO LANÇADO NO BLING</t>
  </si>
  <si>
    <t>ST REF COMPRA DA CLINK BOLETO LANÇADO NO BLING</t>
  </si>
  <si>
    <t>3/37</t>
  </si>
  <si>
    <t>5/25</t>
  </si>
  <si>
    <t>COMPRA DE BOLSAS PEDIDO 321 - cheque 850037</t>
  </si>
  <si>
    <t>PGTO DE CHEGADA NAVIO FARMEL</t>
  </si>
  <si>
    <t>juros de mora</t>
  </si>
  <si>
    <t>REEMBOLSO PRESENTES P/ CRIANÇAS DOS FUNCIONARIOS</t>
  </si>
  <si>
    <t>14/48</t>
  </si>
  <si>
    <t>PAGUEI BOL VENC MES 12 PORQ MES 12 PAGUEI A DO MES 01 ERRADO</t>
  </si>
  <si>
    <t>DETRAN</t>
  </si>
  <si>
    <t>IPVA VEICULO</t>
  </si>
  <si>
    <t>SERVIÇOS PRESTADOS</t>
  </si>
  <si>
    <t>CAPITAL DE GIRO PEAC FGI PARC FIXA R$ 2708,33 + JUROS</t>
  </si>
  <si>
    <t>1/48</t>
  </si>
  <si>
    <t>ARMAZENAGEM NO PORTO REF IMPORTAÇÃO RECEBIDA</t>
  </si>
  <si>
    <t>RECLAMAÇÃO DO CLIENTE DEVOLVIDO VL VENDA ML FARMEL 2000006995263831</t>
  </si>
  <si>
    <t>PEDIDO Nº 331</t>
  </si>
  <si>
    <t>5/26</t>
  </si>
  <si>
    <t>PGTO DO DAS</t>
  </si>
  <si>
    <t>Boleto no Bling</t>
  </si>
  <si>
    <t>SACO DE EMBALAGEM</t>
  </si>
  <si>
    <t>PANETONE CASTELLI GERENTE DA CONTA FARMEL DO BB</t>
  </si>
  <si>
    <t>SISTEMA DE COTAÇÃO DE LOGISTICA E CUSTOS DE IMPORTAÇÃO</t>
  </si>
  <si>
    <t>02/13</t>
  </si>
  <si>
    <t>CHURRASCARIA JATOBA</t>
  </si>
  <si>
    <t>ALMOÇO CONFRATERNIZAÇÃO</t>
  </si>
  <si>
    <t>MARINA MANTOANELLI MOTORFIX</t>
  </si>
  <si>
    <t>MANUTENÇÃO VEICULO</t>
  </si>
  <si>
    <t>SACO BOLHA</t>
  </si>
  <si>
    <t>PRODUTOS DE MERCADO AÇUCAR CAFE ETC</t>
  </si>
  <si>
    <t>PRODUTOS DE LIMPEZA E HIGIENE</t>
  </si>
  <si>
    <t>PANETONES PARA FUNCIONARIOS E FORNECEDORES</t>
  </si>
  <si>
    <t>FITA, ETIQUETA ETC</t>
  </si>
  <si>
    <t>COMBUSTÍVEL</t>
  </si>
  <si>
    <t>FRETE DE ENVIO DOS BRINDES</t>
  </si>
  <si>
    <t>NIPON PAPELARIA</t>
  </si>
  <si>
    <t>SACO PRESENTE + FITA</t>
  </si>
  <si>
    <t>FRETE ENVIO DE BRINDE PARA FORNECEDORES</t>
  </si>
  <si>
    <t>PC NET INFORMÁTICA</t>
  </si>
  <si>
    <t>MANUTEÇÃO PC LOGISTICA</t>
  </si>
  <si>
    <t>MERCADO</t>
  </si>
  <si>
    <t>FRETE ENVIO DE PRODUTOS FORNECEDOR</t>
  </si>
  <si>
    <t>ENVIO DE BRINDE</t>
  </si>
  <si>
    <t>SAQUINHO PARA PRODUTOS</t>
  </si>
  <si>
    <t>REI DO BASICO MATERIAIS DE CONSTRUÇÃO</t>
  </si>
  <si>
    <t>PEÇAS PARA MANUTENÇÃO</t>
  </si>
  <si>
    <t>REFEIÇÃO FREELANCE</t>
  </si>
  <si>
    <t>GODADDY</t>
  </si>
  <si>
    <t>COMPRA DE DOMINIO FARMEL IMPORT DOS EUA</t>
  </si>
  <si>
    <t>EMAIL COM O DOMINIO FARMEL IMPORT EUA</t>
  </si>
  <si>
    <t>VASSOURA</t>
  </si>
  <si>
    <t>FITA, EMBALAGEM SULFITE ETC</t>
  </si>
  <si>
    <t>MC DONALD</t>
  </si>
  <si>
    <t>REFEIÇÃO FUNCIONARIOS E FREELANCER</t>
  </si>
  <si>
    <t xml:space="preserve">porta sabonete liquido e material usado na vedação </t>
  </si>
  <si>
    <t>REFEIÇÃO FREELANCER VITOR</t>
  </si>
  <si>
    <t>VITOR FREELANCER PIX CPF 481.484.638-08</t>
  </si>
  <si>
    <t>2 DIARIAS DE FREELANCER CHEGADA DO NAVIO</t>
  </si>
  <si>
    <t>COMPRA DE BOLSAS PARA REVENDA PEDIDO 322 CHEQUE 850040</t>
  </si>
  <si>
    <t>SEGURO PREDIAL BOL NO BLING</t>
  </si>
  <si>
    <t>JUROS DE MORA NÃO IDENTIFICADO</t>
  </si>
  <si>
    <t>MOISES ISIDORO MARTINS PIX 19982499417</t>
  </si>
  <si>
    <t>FRETE DAS MANTAS</t>
  </si>
  <si>
    <t>TARIFA DE PIX</t>
  </si>
  <si>
    <t>GOVERNO DO ESTADO</t>
  </si>
  <si>
    <t>DIFAL SOBRE COMPRA DE MERCADORIA BOLETO NO BLING</t>
  </si>
  <si>
    <t>4/37</t>
  </si>
  <si>
    <t>RESTAURANTE MOQUECA</t>
  </si>
  <si>
    <t>ALMOÇO FORNECEDOR GABI CONLINE AGENTE DE CARGO REEMBOLSO CARTAO INTER</t>
  </si>
  <si>
    <t>INDAIA BATERIAS</t>
  </si>
  <si>
    <t>TROCA BATERIA DE CARRO REEMBOLSO CARTAO INTER</t>
  </si>
  <si>
    <t>SERVIÇO DE CONTABILIDADE EUA REEMBOLSO INTER</t>
  </si>
  <si>
    <t>6/25</t>
  </si>
  <si>
    <t>COMPRA DE BOLSAS PEDIDO 325 CHEQ Nº 850042</t>
  </si>
  <si>
    <t>COM PREST GAR INTETRNACION - REFERENTE AO PGTO PARA CHINA</t>
  </si>
  <si>
    <t>CAMBIO</t>
  </si>
  <si>
    <t xml:space="preserve">REEMBOLSO REFEIÇÃO EVENTO IMPORTADORES </t>
  </si>
  <si>
    <t>COMPRA DE BOLSAS PEDIDO Nº 330</t>
  </si>
  <si>
    <t>15/48</t>
  </si>
  <si>
    <t>REEMBOLSO PARA DEVIDO PAGAMENTO DE PEDAGIO</t>
  </si>
  <si>
    <t>LIQUIDAE</t>
  </si>
  <si>
    <t>IMAC REEMBOLSO CARTAO ALEXANDRE IRMÃO LARI</t>
  </si>
  <si>
    <t>IPVA MOTO - TRANSFERI VALOR DA SINCE PARA O C6 AGENDEI PARA DIA 20 CONFERIR DE DEBITOU</t>
  </si>
  <si>
    <t>CPFL PAGO PELO ML SINCE</t>
  </si>
  <si>
    <t>6/26</t>
  </si>
  <si>
    <t>EMBALAGEM DE TESTE</t>
  </si>
  <si>
    <t>PAGUEI NA SINCE PARA TER $$ PARA PAGAR O FINIMP NO BB</t>
  </si>
  <si>
    <t>PGTO DAS</t>
  </si>
  <si>
    <t>EMBALAGEM PARA TESTE</t>
  </si>
  <si>
    <t>COMPRA MATERIAL DE EXPEDIENTE</t>
  </si>
  <si>
    <t>PUXAR BOLETO NO SITE SAAE</t>
  </si>
  <si>
    <t>FITA</t>
  </si>
  <si>
    <t>03/13</t>
  </si>
  <si>
    <t>COMPRA DE BISCOITO E MARGARINA</t>
  </si>
  <si>
    <t>JUNGLE SCOUT</t>
  </si>
  <si>
    <t>SISTEMA DE PESQUISA EUA 49$ APROXIM R$ 300</t>
  </si>
  <si>
    <t>THOR PNEUS</t>
  </si>
  <si>
    <t>REFEIÇÃO DO FREELANCER VITOR</t>
  </si>
  <si>
    <t xml:space="preserve">COMPRA DE BOLHA </t>
  </si>
  <si>
    <t>CAFE DOLCE GUSTO</t>
  </si>
  <si>
    <t xml:space="preserve">FRETE PARA ENVIO DE PRODUTO PARA CLIENTE </t>
  </si>
  <si>
    <t>COMPRA DE ACESSORIOS DE TI ADAPTADOR E CABO HDMI</t>
  </si>
  <si>
    <t>COMPRA DE EQUIPAMENTO PARA EXPEDIÇÃO</t>
  </si>
  <si>
    <t>FRETE ENVIO DE PÇS PARA CLIENTE RMA</t>
  </si>
  <si>
    <t>COMPRA DE BOLHA  FITA E ROLO FILM</t>
  </si>
  <si>
    <t>REFEIÇÃO JANTAR FEIRA AB CASA</t>
  </si>
  <si>
    <t>AMAZON MARKETPLACE</t>
  </si>
  <si>
    <t>CUSTO DE FRETE DE VENDAS NA AMAZON</t>
  </si>
  <si>
    <t>ENVIO NA COLETA DO ML</t>
  </si>
  <si>
    <t>IOF - COMPRA NO EXTERIOR REFERENTE AO JUGLESCOULT</t>
  </si>
  <si>
    <t>TARIFAS FINANCEIRAS DIVERSAS</t>
  </si>
  <si>
    <t>SACO DE EMBALAGEM PARA EXPEDIÇÃO</t>
  </si>
  <si>
    <t>FRETE VENDA CLIENTE</t>
  </si>
  <si>
    <t>Emprestimo FINIMP - CONTRATO Nº 20231220000000059 PARA PAGAMENTO CUSTOS LOCAIS - TOTAL US$ 13.139,05
*LIGAR PARA O BANCO DIA 19/12, PARA FECHAR O CAMBIO NOMINAL: USD 13.139,95 JUROS : USD 1271,49</t>
  </si>
  <si>
    <t>Contrato De Cambio Importação</t>
  </si>
  <si>
    <t>Tar Unica contr IMport</t>
  </si>
  <si>
    <t>Tar Unic Cambio Import</t>
  </si>
  <si>
    <t>retenção Imposto de renda</t>
  </si>
  <si>
    <t>SEGURO PREDIAL BOLETO ANEXO NO BLING</t>
  </si>
  <si>
    <t>MULTA CARRO PEGAR BOLETO NO APP</t>
  </si>
  <si>
    <t>MULTAS DE TRÂNSITO</t>
  </si>
  <si>
    <t>PEDIDO DE COMPRA Nº 331 CHEQUE Nº 850045</t>
  </si>
  <si>
    <t>PEDIDO DE COMPRA Nº 329 BOLETO DA CLINCK NO BLING</t>
  </si>
  <si>
    <t>PEDIDO DE COMPRA Nº 329 BOLETO FOB NO BLING</t>
  </si>
  <si>
    <t>FRETE ENVIO DE PEÇA P/ CLIENTE</t>
  </si>
  <si>
    <t>COMPRA DE MANTAS PEDIDO Nº 332 BOLETO JA AGENDADO NO BB</t>
  </si>
  <si>
    <t>5/37</t>
  </si>
  <si>
    <t>7/25</t>
  </si>
  <si>
    <t>REEMBOLSO CARTAO INTER UBER NA FEIRA</t>
  </si>
  <si>
    <t>PGTO IRENE COMISSAO + FRETE INTERNO CHINA - OPERAÇÃO DE CAMBIO</t>
  </si>
  <si>
    <t>exame demissional adriane</t>
  </si>
  <si>
    <t>EXAMES ADM/DEM/PER</t>
  </si>
  <si>
    <t>SEGURO DE CARGA DE IMPORTAÇÃO $40 BOLETO ESTA NO BLING</t>
  </si>
  <si>
    <t>16/48</t>
  </si>
  <si>
    <t>RECISÃO SAIDA DE FUNCIONÁRIA PAGAMENTO POR FORA</t>
  </si>
  <si>
    <t>SERVIÇO FREELANCER 2 DIAS 1 DIA 8H E 1 DIA 5H - R$ 12,50/H</t>
  </si>
  <si>
    <t>COMPRA DE BOLSAS PARA REVENDA PEDIDO 322 CHEQUE 850041</t>
  </si>
  <si>
    <t>COMPRA DE BOLSAS PEDIDO Nº 330 CHEQ: 850048</t>
  </si>
  <si>
    <t>3/48</t>
  </si>
  <si>
    <t>RECISÃO SAIDA DE FUNCIONÁRIA</t>
  </si>
  <si>
    <t xml:space="preserve">ADIANTAMENTO </t>
  </si>
  <si>
    <t>BOLETO ESTA NO BLING PEDIDO DE COMPRA 343</t>
  </si>
  <si>
    <t>ADIANTAMENTO</t>
  </si>
  <si>
    <t>BOLSAS PEDIDO 340 - (TROCAMOS O CHEQUE 850055 PELO PIX)</t>
  </si>
  <si>
    <t>7/26</t>
  </si>
  <si>
    <t>SERVIÇO FREELANCER</t>
  </si>
  <si>
    <t>BOLSAS PEDIDO 340 - CHEQUE Nº 850056</t>
  </si>
  <si>
    <t>BOLETO NO BLING</t>
  </si>
  <si>
    <t>ASSINATURA MELI + FARMEL</t>
  </si>
  <si>
    <t>ESTACIONAMENTO VILA DON PATO ENCONTRO PROFISSIONAL</t>
  </si>
  <si>
    <t>CONSUMO NO HOTEL</t>
  </si>
  <si>
    <t>REFEIÇÃO ELAINE/LARI</t>
  </si>
  <si>
    <t>ESTACIONAMENTO HOTEL</t>
  </si>
  <si>
    <t>REFEIÇÃO ELAINE/LARI DON PATO SAO ROQUE</t>
  </si>
  <si>
    <t>ESTADIA PARA FEIRA HOTEL PLAZA INN SMALL TOWN</t>
  </si>
  <si>
    <t>COMPRA DE EMBALAGEM E FITA PARA EXPEDIÇÃO</t>
  </si>
  <si>
    <t>PRODUTOS DE LIMPEZA, COZINHA E BANHEIRO</t>
  </si>
  <si>
    <t>ROLO DE STRECH FILM + 4 BOLHAS</t>
  </si>
  <si>
    <t>ENVIO DE PEÇA QUE CHEGOU FALTANDO PARA CLIENTE</t>
  </si>
  <si>
    <t>FITA ADESIVA MATERIAL DE EXPEDIÇÃO</t>
  </si>
  <si>
    <t>GRAFITE PARA CADEADO</t>
  </si>
  <si>
    <t>LAVAGEM DE CARRO</t>
  </si>
  <si>
    <t>RENOVAÇÃO REGISTRO DE MARCA</t>
  </si>
  <si>
    <t>FERRAMENTA DE PESQUISA</t>
  </si>
  <si>
    <t>TRANSLADO FEIRA ABCASA</t>
  </si>
  <si>
    <t>TRANSLADO LARI/ELAINE</t>
  </si>
  <si>
    <t>IOF DE COMPRA INTERNACIONAL DO SISTEMA JUNGLE SCOUT</t>
  </si>
  <si>
    <t>HDI SEGUROS</t>
  </si>
  <si>
    <t>SEGURO PREDIAL/MERCADORIA</t>
  </si>
  <si>
    <t>Diarista Faxina</t>
  </si>
  <si>
    <t>RETIRADA LARISSA R$ 92,26 / ELAINE R$ 92,26</t>
  </si>
  <si>
    <t>FARMEL IMPORT</t>
  </si>
  <si>
    <t>EMPRESTIMO PARA EMPRESA FARMEL</t>
  </si>
  <si>
    <t>GIBIM SEGURANÇA</t>
  </si>
  <si>
    <t xml:space="preserve">SISTEMA DE ALARME </t>
  </si>
  <si>
    <t>Emprestimo FINIMP - CONTRATO FINIMP Nº 202403210000000806 ( 20240328000000696) PARA PAGAMENTO CUSTOS LOCAIS - TOTAL R$ 117.665,44 (NESTE VALOR ESTÁ INCLUSO O VALOR DO JUROS) ARUALZIADO $ 21026,89
*LIGAR PARA O BANCO DIA 10/03, PARA FECHAR O CAMBIO</t>
  </si>
  <si>
    <t>ALVARÁ FARMEL BOLETO ESTA NO BLING</t>
  </si>
  <si>
    <t>ALIMENTAÇÃO FREELA REEMBOLSO C6</t>
  </si>
  <si>
    <t>COMPRA DE BOLSAS PEDIDO 325 CHEQ Nº 850044</t>
  </si>
  <si>
    <t>ADEMILSON BEZERRA</t>
  </si>
  <si>
    <t>PRESTAÇÃO DE SERVIÇO MANUTENÇAO PREDIAL</t>
  </si>
  <si>
    <t>COM PREST GAR INTERNAC. (DIFERENÇA DO DOLAR)</t>
  </si>
  <si>
    <t>Tar de processamentoe de cheque</t>
  </si>
  <si>
    <t>PEDIDO DE COMPRA Nº 331 CHEQUE Nº 850046</t>
  </si>
  <si>
    <t>CONTABILIDADE DA FARMEL BOL NO BLING</t>
  </si>
  <si>
    <t>DIFAL REF A PEDIDO DE OCMPRA Nº 329 BOL NO BLING</t>
  </si>
  <si>
    <t>COMPRA DE BOLSAS PEDIDO 325 CHEQ Nº 850043</t>
  </si>
  <si>
    <t>PRONAMPE 2º CONTRATO - PARC FIXA R$ 2165,89 + JUROS</t>
  </si>
  <si>
    <t>6/37</t>
  </si>
  <si>
    <t>8/25</t>
  </si>
  <si>
    <t>INDAIA EXTINTORES</t>
  </si>
  <si>
    <t>RECARGA DE EXTINTORES BOL NO BLING</t>
  </si>
  <si>
    <t>INPI - REGISTRO DE MARCA</t>
  </si>
  <si>
    <t>Tarifa GRU do registro de marca</t>
  </si>
  <si>
    <t>CONSTANTE CONSULTORIA - BRUNO ARMSTRONG</t>
  </si>
  <si>
    <t>FINALIZANDO REGISTRO DA MARCA BOL NO BLING</t>
  </si>
  <si>
    <t>COMPRA DE BOLSA PEDIDO 344 - CHEQUE 850057</t>
  </si>
  <si>
    <t>BOLSAS PEDIDO 340 - CHEQUE Nº 850052</t>
  </si>
  <si>
    <t xml:space="preserve">PGTO IMPOSTOS PARA LIBERAR NAVIO </t>
  </si>
  <si>
    <t>Tarifa com cheque</t>
  </si>
  <si>
    <t>CONTABILIDADE DA SINCE BOL NO BLING</t>
  </si>
  <si>
    <t>17/48</t>
  </si>
  <si>
    <t>SERVIÇOS DE FREELANCER</t>
  </si>
  <si>
    <t>4/48</t>
  </si>
  <si>
    <t>Letícia Sena Pix 390.664.488-06</t>
  </si>
  <si>
    <t>CUSTOS DA AMAZON PLATAFORMA</t>
  </si>
  <si>
    <t>REFEIÇÃO FREELANCER</t>
  </si>
  <si>
    <t>IOF DEVIDO PGTO DO SISTEMA JUNGLE SCOUT</t>
  </si>
  <si>
    <t>ENVIO DE MERCADORIA</t>
  </si>
  <si>
    <t xml:space="preserve">SISTEMA </t>
  </si>
  <si>
    <t>POSSIVEL FRAUDE ANALISANDO COM O BANCO</t>
  </si>
  <si>
    <t>ALMOÇO VITOR FREELANCER</t>
  </si>
  <si>
    <t>COMPRA DE MATERIAL DE LIMPEZA E COZINHA</t>
  </si>
  <si>
    <t>EMBALAGEM PARA EXPEDIÇÃO</t>
  </si>
  <si>
    <t>FITA FRAGIL, FITA TRANSPARENTE E PARDA E ETIQUETA DE ENVIO</t>
  </si>
  <si>
    <t>BOLHA E STRECH</t>
  </si>
  <si>
    <t>CABO DE ENERGIA NOTEBOOK</t>
  </si>
  <si>
    <t>TENDA PARA GARAGEM</t>
  </si>
  <si>
    <t>CAPOTA MARITIMA PARA CAÇAMBA DO CARRO</t>
  </si>
  <si>
    <t>marmita para freelance</t>
  </si>
  <si>
    <t>PEÇA DE CONSERTO DO CARRO</t>
  </si>
  <si>
    <t>LEROY MERLIN</t>
  </si>
  <si>
    <t>FOLHAGEM ARTIFICIAL</t>
  </si>
  <si>
    <t>PARAFUSADEIRA ELETRICA PARA MANUTENÇÃO</t>
  </si>
  <si>
    <t>DECORAÇÃO PARA AREA DOS COLABORADORES</t>
  </si>
  <si>
    <t>SULTHAM SOLUTIONS</t>
  </si>
  <si>
    <t>GRAMADO PARA AREA COLABORADORES</t>
  </si>
  <si>
    <t>LCP GROUP CONTABILIDADE LAYLA EUA</t>
  </si>
  <si>
    <t>PGTO RESALE CERTIFICATE EUA</t>
  </si>
  <si>
    <t>TAXAS LICENÇA</t>
  </si>
  <si>
    <t>ALMOÇO FREELANCER VITOR</t>
  </si>
  <si>
    <t>NAFTALINA</t>
  </si>
  <si>
    <t>ART SEA</t>
  </si>
  <si>
    <t>ENFEITES</t>
  </si>
  <si>
    <t>UBER FRETE ENVIO DE PEDIDOS NO PONTO DE COLETA</t>
  </si>
  <si>
    <t>CEASA</t>
  </si>
  <si>
    <t>PRODUTOS DE JARDINAGEM</t>
  </si>
  <si>
    <t>boleto no site saae</t>
  </si>
  <si>
    <t>boleto no email</t>
  </si>
  <si>
    <t>PRONAMPE 1º CONTRATO - PARCELA FIXA R$ 2571,88 + JUROS</t>
  </si>
  <si>
    <t>8/26</t>
  </si>
  <si>
    <t>DAS BOLETO NO BLING</t>
  </si>
  <si>
    <t>DESCONTO DE R$ 29,52 DE 1/8</t>
  </si>
  <si>
    <t>ME VENDEU UM COLETOR DE CODIGO DE BARRAS</t>
  </si>
  <si>
    <t>SERVIÇO PRESTADO 1 Dia Inteiro + 4h30min +4h R$ 12,50/H</t>
  </si>
  <si>
    <t>FRETE ENVIO DE PEÇA PARA CLIENTE</t>
  </si>
  <si>
    <t>FRETE MARITIMO BOL NO BLING</t>
  </si>
  <si>
    <t>MARCARIA.COM</t>
  </si>
  <si>
    <t>REEMBOLSO CARTAO C6 SERVIÇO DE MARKETING AMAZON EUA</t>
  </si>
  <si>
    <t>REEMBOLSO CARTÃO C6</t>
  </si>
  <si>
    <t>SALDO REMANECENTE REFEFRENTE A CHEGADA DO NAVIO</t>
  </si>
  <si>
    <t>FRETE DE IMPORTAÇÃO</t>
  </si>
  <si>
    <t>CONTABILIDADE DA FARMEL BOLETO NO BLING</t>
  </si>
  <si>
    <t>SERVIÇO FREELANCER 1 DIA</t>
  </si>
  <si>
    <t>PGTO DE DIFAL BOL NO BLING</t>
  </si>
  <si>
    <t>7/37</t>
  </si>
  <si>
    <t>9/25</t>
  </si>
  <si>
    <t xml:space="preserve">SERVIÇO FRRELANCE 1 DIA E 2 MEIO DIA </t>
  </si>
  <si>
    <t>PAULINIA COMERCIO DE ISOPOR</t>
  </si>
  <si>
    <t>COMPRA DE CUBOS DE ISOPOR 4 PACOTES APROXIM 1000L</t>
  </si>
  <si>
    <t>18/48</t>
  </si>
  <si>
    <t>COMPRA DE BOLSAS PEDIDO Nº 330 CHEQ: 850050 P/ 05/05</t>
  </si>
  <si>
    <t>BOLSAS PEDIDO 340 - CHEQUE Nº 850053 P/ 05/05</t>
  </si>
  <si>
    <t>PEDIDO DE COMPRA Nº 331 CHEQUE Nº 850047 - para 16/04</t>
  </si>
  <si>
    <t>COMPRA DE BOLSA PEDIDO 344 - CHEQUE 850058 PARA 02/05</t>
  </si>
  <si>
    <t>5/48</t>
  </si>
  <si>
    <t>SERVIÇO FRRELANCE 2 DIAS</t>
  </si>
  <si>
    <t>9/26</t>
  </si>
  <si>
    <t>DAS FARMEL BOLETO NO BLING</t>
  </si>
  <si>
    <t>DAS SINCE  BOLETO NO BLING</t>
  </si>
  <si>
    <t>REEMBOLSO DA PARC 1 POR FRAUDE</t>
  </si>
  <si>
    <t>COMPRA DE EQUIPAMENTO PARA EXPEDIÇÃO PARC 3/6 NO MES 04 NÃO FOI COBRADA</t>
  </si>
  <si>
    <t>BOLHA E FITA PARA EXPEDIÇÃO</t>
  </si>
  <si>
    <t>CUSTO COM FRETE</t>
  </si>
  <si>
    <t>REPOSIÇÃO LUMINARIAS</t>
  </si>
  <si>
    <t>PUFF AREA EXTERNA</t>
  </si>
  <si>
    <t>FITA EMBALAGEM ETIQUETAS</t>
  </si>
  <si>
    <t>FERRAMENTA</t>
  </si>
  <si>
    <t>ALMOÇO FUNCIONARIOS DEVIDO CHEGADA IMPORTAÇÃO</t>
  </si>
  <si>
    <t>ENVIO DE PEDIDO NO PONTO DE COLETA</t>
  </si>
  <si>
    <t>COMPRA DE CAFE BOLACHA ETC</t>
  </si>
  <si>
    <t>SIDER PLATAFORMA IA</t>
  </si>
  <si>
    <t>PLATAFORMA DE IA $50</t>
  </si>
  <si>
    <t>ENVIO DE PEDIDO NA COLETA</t>
  </si>
  <si>
    <t>MANGUEIRA DE AGUA PARA LIMPEZA</t>
  </si>
  <si>
    <t>PEÇA DE REPOSIÇÃO DO VEICULO</t>
  </si>
  <si>
    <t>CAFE E LEITE</t>
  </si>
  <si>
    <t>ENVIO DE PEDIDOS NA COLETA ML</t>
  </si>
  <si>
    <t>SERVIÇO PRESTADO SR ABDIAS (PASSADO NO ML DA ELAINE)</t>
  </si>
  <si>
    <t>IOF SOBRE COMPRA INTERNACIONAL (COMPRA DE SISTEMA)</t>
  </si>
  <si>
    <t>CREDITO COMPRA DEVOLVIDA</t>
  </si>
  <si>
    <t>REFEIÇÃO DO FREELANCER</t>
  </si>
  <si>
    <t>REGADOR DE PLANTAS (COMPRADO NA CONTA DA ELAINE)</t>
  </si>
  <si>
    <t xml:space="preserve">ESTACIONAMENTO FEIRA </t>
  </si>
  <si>
    <t>ENVIO DE PEDIDOS NO PONTO DE COLETA</t>
  </si>
  <si>
    <t>REEMBOLSO DA PARC 2 POR FRAUDE</t>
  </si>
  <si>
    <t>REEMBOLSO DE DEVOLUÇÃO</t>
  </si>
  <si>
    <t>PEDAGIO FEIRA SP</t>
  </si>
  <si>
    <t>RECOB 01/03-PAYPAL JCP FAS Sao P BR FRAUDE VERIF C/ BANCO</t>
  </si>
  <si>
    <t>RECOB 02/03-PAYPAL JCP FAS Sao P BR FRAUDE  VERIF C/ BANCO</t>
  </si>
  <si>
    <t>PAYPAL JCP F PARC Sao Paulo Parcela 02/03 BR COMPRA FRAUDADA VERIF C/ BANCO</t>
  </si>
  <si>
    <t>PAGOU PARC 2/8 DE R$ 29,54</t>
  </si>
  <si>
    <t>EMPRESTIMO FUNCIONARIA CONSULTA MEDICA DO FILHO</t>
  </si>
  <si>
    <t>COMPRA DE BOLSAS PEDIDO Nº 356 - CHEQ.850062 PARA 23/05</t>
  </si>
  <si>
    <t>CARTORIO INDAIATUBA</t>
  </si>
  <si>
    <t>Cartão de débito OUTROS</t>
  </si>
  <si>
    <t>CUSTOS COM DOCUMENTOS</t>
  </si>
  <si>
    <t>MARQUINHOS DESPACHANTE</t>
  </si>
  <si>
    <t>PLACA DA MOTO DA EMPRSA</t>
  </si>
  <si>
    <t>IOLANDA PONTE DE MELO PIX 098.573.778-66</t>
  </si>
  <si>
    <t>SERVIÇO PRESTADO (CONCERTO DE PRODUTO)</t>
  </si>
  <si>
    <t>DIFAL</t>
  </si>
  <si>
    <t>Cartão de Crédito OUTROS</t>
  </si>
  <si>
    <t>AVANT PRO</t>
  </si>
  <si>
    <t>CONTA DE EMAIL - BOLETO CHEGA POR EMAIL</t>
  </si>
  <si>
    <t>SERVIÇO PRESTADO CONCERTO DA TENDA</t>
  </si>
  <si>
    <t>8/37</t>
  </si>
  <si>
    <t>10/25</t>
  </si>
  <si>
    <t>Business in box Trading China Ana Garcia</t>
  </si>
  <si>
    <t>SERVIÇO DE TRADING CHINA - CUSTOS DE IMPORTAÇÃO</t>
  </si>
  <si>
    <t>COMPRA DE BOLSA PEDIDO Nº 371 - CHEQUE.850069</t>
  </si>
  <si>
    <t xml:space="preserve">ALAN ANOROSO INSULFILM PIX 383.671.438-84 </t>
  </si>
  <si>
    <t>INSTALAÇÃO DE INSULFILM NA PORTA DA EMPRESA</t>
  </si>
  <si>
    <t>COMPRA DE BOLSA PEDIDO 344 - CHEQUE 850059 - PARA 02/06</t>
  </si>
  <si>
    <t>COMPRA DE BOLSAS PEDIDO Nº 330 CHEQ: 850049 - para 5/04</t>
  </si>
  <si>
    <t>19/48</t>
  </si>
  <si>
    <t>COMPRA DE BOLSAS PEDIDO Nº 356 - CHEQ.850061 - PARA 23/04</t>
  </si>
  <si>
    <t>6/48</t>
  </si>
  <si>
    <t>CAMBIO - REFERENTE AO FINIMP EXTENDIDO</t>
  </si>
  <si>
    <t>COM PREST GAR INTERNACION - REFERENTE AO FINIMP EXTENDIDO</t>
  </si>
  <si>
    <t>10/26</t>
  </si>
  <si>
    <t>BOLSAS PEDIDO 340 - CHEQUE Nº 850054 P/ 05/06</t>
  </si>
  <si>
    <t>PGTO PRODUTOS CHINA FOB NA CONTA LARISSA</t>
  </si>
  <si>
    <t>PGTO PRODUTOS CHINA FOB NA CONTA ELAINE</t>
  </si>
  <si>
    <t>WISE</t>
  </si>
  <si>
    <t>PGTO PRODUTOS CHINA EUA NA CONTA LARISSA</t>
  </si>
  <si>
    <t>PGTO PRODUTOS CHINA EUA NA CONTA ELAINE</t>
  </si>
  <si>
    <t>PRODUTOS DE JARDINAGEM A PARC 2/3 NÃO COBROU NO MES 5</t>
  </si>
  <si>
    <t>PRODUTOS DE JARDINAGEM PARC 2 NAO COBROU NO MES 5</t>
  </si>
  <si>
    <t>COMPRAS DE CAFE BOLACHA PRODUTO LIMPEZA</t>
  </si>
  <si>
    <t>CABO DE ENERGIA E LUMINARIA</t>
  </si>
  <si>
    <t>COMPRA DE TONER PARA IMPRESSORA</t>
  </si>
  <si>
    <t>PAGAMENTO DO CERTIFICAOD DIGITAL SINCE</t>
  </si>
  <si>
    <t>Duas Cerejas - Bolos</t>
  </si>
  <si>
    <t>BOLO ANIVERSARIO FUNCIONARIO THIAGO</t>
  </si>
  <si>
    <t>SALGADINHO ANIVERSARIO FUNCIONARIO THIAGO</t>
  </si>
  <si>
    <t>AMERICAPAN FESTAS</t>
  </si>
  <si>
    <t>PRATINHOS GARFINHOS REFRIGERANTE NIVRE FUNCIONARIO THIAGO</t>
  </si>
  <si>
    <t>BOLHA E PROD DE LIMPEZA</t>
  </si>
  <si>
    <t>BOLO ANIVERSARIO FUNCIONARIO</t>
  </si>
  <si>
    <t>SALGADINHOS ANIVERSÁRIO FUNCIONARIO</t>
  </si>
  <si>
    <t>EMPRESTIMO FUNCIONARIA EXAME DO FILHO</t>
  </si>
  <si>
    <t>COMPRA DE FITA PARA EXPEDIÇÃO</t>
  </si>
  <si>
    <t>REFRIGERANTE ANIVERSÁRIO FUNCIONÁRIO</t>
  </si>
  <si>
    <t>FRETE PARA ENVIO DE PEÇA DE REPOSIÇÃO PARA CLIENTE</t>
  </si>
  <si>
    <t>COMPRA DE PRODUTOS CHINA FOB LARISSA WISE REEMBOLSO</t>
  </si>
  <si>
    <t>COMPRA DE PRODUTOS IMPORTAÇÃO CHINA</t>
  </si>
  <si>
    <t>ENVIO DE PEDIDO NA COLETA ML</t>
  </si>
  <si>
    <t>SEGURO PELA YELLUM DO VEICULO USADO PELA EMPRESA</t>
  </si>
  <si>
    <t>ESTOR 01/03-PAYPAL JCP FAS - DEVOLUÇAO DEVIDO FRAUDE</t>
  </si>
  <si>
    <t>ESTOR 02/03-PAYPAL JCP FAS - DEVOLUÇAO DEVIDO FRAUDE</t>
  </si>
  <si>
    <t>ESTOR 03/03-PAYPAL JCP FAS - DEVOLUÇAO DEVIDO FRAUDE</t>
  </si>
  <si>
    <t>DESC DA PARC DE COMPRA DE R$ 29,54</t>
  </si>
  <si>
    <t>REMBOLSO CARTAO C6 ASSIN. DO SISTEMA DE PESQUISA DE PRODUTOS 49$</t>
  </si>
  <si>
    <t>MANUS IA</t>
  </si>
  <si>
    <t>ASSINT DE PLAT IA 19$ (FEITO NO C6 FAZER REEMBOLSO)</t>
  </si>
  <si>
    <t>TOPVIEW PLATAFORMA DE IA</t>
  </si>
  <si>
    <t>ASSIN. PLATAFORMA DE IA $19 COMPRADO NO CARTAO C6 REEMBOLSAR</t>
  </si>
  <si>
    <t>AMZ DOWNLOADER</t>
  </si>
  <si>
    <t>ASSIN. PLATAFORMA BX VIDEO $4,99 COMPRADO NO CARTAO C6 REEMBOLSAR</t>
  </si>
  <si>
    <t>Erick Renato Rufino hernandes -Marketing</t>
  </si>
  <si>
    <t>ACRESCENTOU UMA ARTE NA CAIXA DO PRODUTO</t>
  </si>
  <si>
    <t>COMPRA DE BOLSAS PEDIDO 369 - CHEQUE.850065 PARA 26/05</t>
  </si>
  <si>
    <t>COMPRA DE BOLSAS PEDIDO 321 - cheque 850038 - PARA 06/02</t>
  </si>
  <si>
    <t>COMPRA DE BOLSAS PEDIDO 375 CHEQUE Nº 850073 PARA 26/06</t>
  </si>
  <si>
    <t>ANA PAULA PINHEIRO MOREIRA CARRINHO</t>
  </si>
  <si>
    <t>COMPRA DE CARRINHO PARA EXPEDIÇÃO</t>
  </si>
  <si>
    <t>taxas bancárias</t>
  </si>
  <si>
    <t>9/37</t>
  </si>
  <si>
    <t>11/25</t>
  </si>
  <si>
    <t>GRU REFERENTE A RECURSO REGISTRO DE MARCA</t>
  </si>
  <si>
    <t>GRU REFERENTE A DESISTENCIA DE LINHA DE PRODUTO DO REGISTRO DE MARCA</t>
  </si>
  <si>
    <t>VPN</t>
  </si>
  <si>
    <t>COMPRA DE BOLSAS PEDIDO 369 - CHEQUE.850066 PARA 26/06</t>
  </si>
  <si>
    <t>COMPRA DE BOLSA PEDIDO Nº 371 - CHEQUE.850070 PARA 07/07</t>
  </si>
  <si>
    <t>SERVIÇO DE EXPEDIÇÃOFRRELANCE</t>
  </si>
  <si>
    <t>COMISSÃO SERVIÇO PRESTADO NA CHINA</t>
  </si>
  <si>
    <t>COMISSÃO TRADE CHINA PRODUTOS EUA</t>
  </si>
  <si>
    <t>CRISTIANO BRAZ DOS SANOS</t>
  </si>
  <si>
    <t>PLACA INFORMATIVA DA CAMPAINHA</t>
  </si>
  <si>
    <t>20/48</t>
  </si>
  <si>
    <t>FERIAS DE 15D</t>
  </si>
  <si>
    <t>FÉRIAS</t>
  </si>
  <si>
    <t>7/48</t>
  </si>
  <si>
    <t>ENTROU DE FERIAS</t>
  </si>
  <si>
    <t>COMPRA DE BOLSA PEDIDO 344 - CHEQUE 850060 PARA 02/07</t>
  </si>
  <si>
    <t>11/26</t>
  </si>
  <si>
    <t>Flores Do Park</t>
  </si>
  <si>
    <t>VASO DE PLANTAS PARA SALA ESCRITORIO</t>
  </si>
  <si>
    <t>Cartão VISA - PLATAFORMA DE MARKETING ONLINE - ATUALIZAR CARTAO NO CANVA</t>
  </si>
  <si>
    <t>PRODUTOS DE LIMPEZA PARA PC E IMPRESSORA</t>
  </si>
  <si>
    <t>AVANTPRO ML</t>
  </si>
  <si>
    <t>BOLHA E STRECH FILM (SOMAR O VALOR COM A LINHA 1950)</t>
  </si>
  <si>
    <t>PRODUTO DE LIMPESA (SOMAR O VALOR COM A LINHA 1949)</t>
  </si>
  <si>
    <t>THINER PARA LIMPAR A IMPRESSORA</t>
  </si>
  <si>
    <t>SUPORTE PARA GRAVAR VIDEOS DE PRODUTOS</t>
  </si>
  <si>
    <t>EMBALAGEM PARA EXPEDIÇÃO - COMPRADO NO ML DA ELAINE</t>
  </si>
  <si>
    <t>BISCOITO MANTEIGA PRODUTOS DE MERCEARIA</t>
  </si>
  <si>
    <t>ENVIO DE PEDIDO NO COLETA ML</t>
  </si>
  <si>
    <t>Apoio para os pés</t>
  </si>
  <si>
    <t>APARELHO CELULAR PARA O CHIP DOS EUA</t>
  </si>
  <si>
    <t>CONSERTO DE MAÇANETA DA PORTA</t>
  </si>
  <si>
    <t>REFEIÇÃO FREELANCE VITOR</t>
  </si>
  <si>
    <t>PAX PNEUS</t>
  </si>
  <si>
    <t>REVISÃO VEICULO USADO PELA EMPRESA</t>
  </si>
  <si>
    <t>COPIAS DE CHAVE</t>
  </si>
  <si>
    <t>REFEIÇÃO VITOR</t>
  </si>
  <si>
    <t>ENVIO DOS PEDIDOS NO COLETA ML</t>
  </si>
  <si>
    <t>PADARIA NOVA HELVETIA</t>
  </si>
  <si>
    <t>PÃO PARA EQUIPE</t>
  </si>
  <si>
    <t>REEMBOLSO DE COMPRA CANCELADA</t>
  </si>
  <si>
    <t>DESC DE R$ 42,44 REFERENTE A PRODUTOS</t>
  </si>
  <si>
    <t>CREDITOS ADICIONAIS COM A PLATAFORMA AMZ DOWLOADER REEMBOLSO C6</t>
  </si>
  <si>
    <t>GS1 USA</t>
  </si>
  <si>
    <t>COMPRA DE GTIN EUA BARCODE DE PRODUTO $60 REEMBOLSO CARTÃO C6</t>
  </si>
  <si>
    <t>PGTO SALES TAX REF MES DE JULH E OUT REEMBOLSO C6</t>
  </si>
  <si>
    <t>SISTEMA PROCURA DE PRODUTOS REEMBOLSO C6</t>
  </si>
  <si>
    <t>CUSTO COM A AMAZON EUA REEMBOLSO C6</t>
  </si>
  <si>
    <t>COMPRA DE BOLSAS PEDIDO Nº 356 - CHEQ.850063 PARA 23/06</t>
  </si>
  <si>
    <t>SERVIÇO FRRELANCE 3 DIAS VITOR</t>
  </si>
  <si>
    <t>SERVIÇO FREELANCE 3 DIAS VITOR</t>
  </si>
  <si>
    <t>10/37</t>
  </si>
  <si>
    <t xml:space="preserve">LICENCIAMENTO CARRO - PUXAR BOLETO NO BANCO COM O RENAVAN </t>
  </si>
  <si>
    <t>12/25</t>
  </si>
  <si>
    <t>PGTO DO RESTANTE DA IMPORTAÇÃO DA CHINA PAGO PELA OZ CORRETORA DE CAMBIO SA</t>
  </si>
  <si>
    <t>COMPRA DE BOLSAS PEDIDO 375 CHEQUE Nº 850074 PARA 28/07</t>
  </si>
  <si>
    <t>21/48</t>
  </si>
  <si>
    <t>COMPRA DE BOLSA PEDIDO Nº 371 - CHEQUE.850071 PARA 05/08</t>
  </si>
  <si>
    <t>DESCONTO DE COMPRAS R$ 42,44</t>
  </si>
  <si>
    <t>8/48</t>
  </si>
  <si>
    <t>PEDAGIO PARA FEIRA ABCASA EM SP</t>
  </si>
  <si>
    <t>12/26</t>
  </si>
  <si>
    <t>ENVIO DE PEDIDOS NO COLETA ML</t>
  </si>
  <si>
    <t>PLASTICO BOLHA STRECH PARA EXPEDIÇÃO</t>
  </si>
  <si>
    <t>COMPRAS DE COZINHA MERCADO</t>
  </si>
  <si>
    <t xml:space="preserve">MATERIAL PARA EXPEDIÇÃO FITA ETIQUETA </t>
  </si>
  <si>
    <t>INSERI CREDITOS PARA EMISSÕES DE ETIQUETAS NO MELHOR ENVIO</t>
  </si>
  <si>
    <t>PLATAFORMA DE MARKETING ONLINE</t>
  </si>
  <si>
    <t>COMPRA DE EMBALAGEM PARA EXPEDIÇÃO</t>
  </si>
  <si>
    <t>EMBALAGEM BOLHA PARA EXPEDIÇÃO</t>
  </si>
  <si>
    <t>BOLHA PARA EMBALAGEM EXPEDIÇÃO</t>
  </si>
  <si>
    <t>COMPRA PC PARA OPERAÇÃO</t>
  </si>
  <si>
    <t>ENVIO DE VENDAS PARA O PONTO DE COLETA ML</t>
  </si>
  <si>
    <t>COMPRA DE BOLSAS PEDIDO Nº 376 - CHEQUE: 850084 PARA 04/08</t>
  </si>
  <si>
    <t>COMPRA DE BOLSAS PEDIDO Nº 356 - CHEQ.850064 PARA 23/07</t>
  </si>
  <si>
    <t>COMPRA DE BOLSAS PEDIDO 369 - CHEQUE.850067 PARA 28/07</t>
  </si>
  <si>
    <t xml:space="preserve">PGTO SALES TAX REF MES DE JULH E OUT REEMBOLSO C6 EUA </t>
  </si>
  <si>
    <t>AMAZON DOWNLOADER SISTEMA REEMBOLSO CARTÃO C6</t>
  </si>
  <si>
    <t>SISTEMA DE IA APROX 20$ REEMBOLSO CARTAO C6</t>
  </si>
  <si>
    <t>COMBUSTIVEL REEMBOLSO CARTAO C6</t>
  </si>
  <si>
    <t>TELEFONES MÓVEL COMERCIAL dia 25/08 pg 174,69 dia 01/09 pg 43,96</t>
  </si>
  <si>
    <t>COBRNÇA DE CHEQUE SEM FUNDO</t>
  </si>
  <si>
    <t>TARIFA CHEQUE COMPENSADO</t>
  </si>
  <si>
    <t>FERIAS PAGO COM CHEQUE Nº 850087</t>
  </si>
  <si>
    <t>CONTA DE EMAIL - BOLETO CHEGA POR EMAIL - LANÇAR PGTO NO PROX MES SE NECESSÁRIO</t>
  </si>
  <si>
    <t>DIFAL SOBRE COMPRA BOLETO NO BLING</t>
  </si>
  <si>
    <t xml:space="preserve">LICENCIAMENTO MOTO - PUXAR BOLETO NO BANCO COM O RENAVAN </t>
  </si>
  <si>
    <t>COMPRA DE BOLSA PEDIDO 377 P 02/09</t>
  </si>
  <si>
    <t>11/37</t>
  </si>
  <si>
    <t>PAGO EM CHEQUE Nº 850085</t>
  </si>
  <si>
    <t>13/25</t>
  </si>
  <si>
    <t>TARIFA DE PROCESSAMENTO DE CHEQUE</t>
  </si>
  <si>
    <t>CUSTO COM VPN REEMBOLSO INTER pago meta Larissa metade elaine</t>
  </si>
  <si>
    <t>COMPRA DE BOLSAS PEDIDO 369 - CHEQUE.850068 P/ 26/08</t>
  </si>
  <si>
    <t>22/48</t>
  </si>
  <si>
    <t xml:space="preserve">IMAC REEMBOLSO CARTAO ALEXANDRE IRMÃO LARI </t>
  </si>
  <si>
    <t>MAGALU PAY</t>
  </si>
  <si>
    <t>PAGAMENTO DE PENDENCIA NA PLATAFORMA</t>
  </si>
  <si>
    <t>Dinheiro</t>
  </si>
  <si>
    <t xml:space="preserve">PGTO 5 DIAS POR FORA - FEITO NA CC DA JESSICA </t>
  </si>
  <si>
    <t>13/26</t>
  </si>
  <si>
    <t>COMPRA DE BOLSA PEDIDO 378</t>
  </si>
  <si>
    <t>ENVIO DE VENDAS PARA COLETA MERCADO LIVRE</t>
  </si>
  <si>
    <t>PEÇA DE REPOSIÇÃO DO VEICULO NO MES 8 NAO COBRARAM A PARC 4/6</t>
  </si>
  <si>
    <t>PRODUTO DE LIMPEZA HIGIENE COZINHA ETC</t>
  </si>
  <si>
    <t>ETIQUETA EMBALAGEM ETC</t>
  </si>
  <si>
    <t>COMBUSTIVEL FEIRA ABCASA</t>
  </si>
  <si>
    <t>STRECH BOLHA PARA EXPEDIÇÃO</t>
  </si>
  <si>
    <t>ESTACIONAMENTO FEIRA ABCASA</t>
  </si>
  <si>
    <t>HOTEL IBIS</t>
  </si>
  <si>
    <t>ESTACIONAMENTO NO HOTEL IBIS DEVIDO FEIRA ABCASA</t>
  </si>
  <si>
    <t>REFEIÇÃO VIAGEM FEIRA ABCASA</t>
  </si>
  <si>
    <t>ESTACIONAMENTO NO RESTAURANTE FEIRA ABCASA</t>
  </si>
  <si>
    <t>HOTEL FEIRA ABCASA</t>
  </si>
  <si>
    <t>ETIQUETA DE ENVIO COMPRADO NA CONTA DA ELAINE</t>
  </si>
  <si>
    <t>BANANAS OUTLET</t>
  </si>
  <si>
    <t>CLIMATIZADOR DE AR</t>
  </si>
  <si>
    <t>ENVIO DE VENDA O PONTO DE COLETA</t>
  </si>
  <si>
    <t>RIBBON DE ETIQUETA PARA EXPEDIÇÃO</t>
  </si>
  <si>
    <t>ETIQUETAS PARA EXPEDIÇÃO</t>
  </si>
  <si>
    <t>REEMBOLSO DE PRODUTOS</t>
  </si>
  <si>
    <t>DAS FARMEL ALIQUOTA 9,74</t>
  </si>
  <si>
    <t>PROVISIONAMENTO DO DAS SINCE</t>
  </si>
  <si>
    <t>COMPRA DE BOLSA PEDIDO Nº 371 - CHEQUE.850072 P/ 05/09</t>
  </si>
  <si>
    <t>JUROS DO FINIMP CONTRATO Nº XXXX</t>
  </si>
  <si>
    <t>TARIF DE TRANSAÇÃO DE CONTRATO DE IMPORTAÇÃO</t>
  </si>
  <si>
    <t>IMPOSTO DE RENDA SOBRE TARIFA DE IMPRTAÇÃO</t>
  </si>
  <si>
    <t>COMPRA DE BOLSAS PEDIDO 375 CHEQUE Nº 850075 P/ 26/08</t>
  </si>
  <si>
    <t>DESCONTADO R$29,54 REF PARCELA DE COMPRA</t>
  </si>
  <si>
    <t>PGTO SALES TAX EUA REF MES DE JULH E OUT REEMBOLSO C6</t>
  </si>
  <si>
    <t>POLAR AR CONDICIONADO</t>
  </si>
  <si>
    <t>CONSERTO DE AR CONDICIONADO REEMBOLSAR LARISSA NO C6</t>
  </si>
  <si>
    <t>SISTEMA DE IA REEMBOLSAR LARISSA C6</t>
  </si>
  <si>
    <t>SISTEMA DE BAIXAR IMAGEM REEMBOLSAR LARISSA C6</t>
  </si>
  <si>
    <t>PEDAGIO EVENTO MERCADO LIVRE EM SP</t>
  </si>
  <si>
    <t>TELEFONES MÓVEL COMERCIAL - boleto baixado no pc</t>
  </si>
  <si>
    <t>AUGUSTO CESAR PINHEIRO</t>
  </si>
  <si>
    <t>COMPRA DE AMOSTRA DE PRODUTO DOS EUA</t>
  </si>
  <si>
    <t>COMPRA DE BOLSAS PEDIDO 375 CHEQUE Nº 850076</t>
  </si>
  <si>
    <t>com prest gar intern. referente finimp pgo pra china</t>
  </si>
  <si>
    <t>Cambio ref. pgto para China</t>
  </si>
  <si>
    <t>CERTIFICADO DIGITAL FARMEL</t>
  </si>
  <si>
    <t>IOF DO EMPRESTIMO DO PRONAMPE</t>
  </si>
  <si>
    <t>FINIMP 1º CONTRATO 20240918000000872 FECHADO EM 27/09/2024 *LIGAR PARA O BANCO DIA 24/09, PARA FECHAR O CAMBIO</t>
  </si>
  <si>
    <t>CONTRAT CAMBIO IMPORT. REFERENTE O FINIMP VENC. NO MES 10</t>
  </si>
  <si>
    <t>TARIF UNICA IMPORT TP4 REFERNTE O FINIMP VENC NO MES 10 (vai reembolsar 50%)</t>
  </si>
  <si>
    <t>TARIF UNICA Icambio import REFERNTE O FINIMP VENC NO MES 10 (vai reembolsar 50%)</t>
  </si>
  <si>
    <t>RETENÇÃO DE IMPOSTO DE RENDA REFERENTE AO PGTO DO FINIMP DO MES 10</t>
  </si>
  <si>
    <t>12/37</t>
  </si>
  <si>
    <t>AJUSTE TERMO DE MOEDAS REF. PGTO FINIMP MES 10</t>
  </si>
  <si>
    <t>REEMBOLSO DE SSACO DE LIXO</t>
  </si>
  <si>
    <t xml:space="preserve">RECEBIMENTO NAVIO </t>
  </si>
  <si>
    <t xml:space="preserve">EMPRESTIMO PARA EMPRESA M F IMPORT (SINCE) </t>
  </si>
  <si>
    <t>COMPRA DE BOLSAS PEDIDO Nº 376 - CHEQUE: 850078 P/ 03/09</t>
  </si>
  <si>
    <t>COMPRA DE BOLSA PEDIDO 377 - CHEQUE Nº 850081 P/ 29/09</t>
  </si>
  <si>
    <t>23/48</t>
  </si>
  <si>
    <t>KAIQUE AJUDANTE</t>
  </si>
  <si>
    <t>AJUDANTE DESCARREGAR CAMINHÃO DE IMPORTAÇÃO</t>
  </si>
  <si>
    <t>DEIVES ROMÃO AJUDANTE</t>
  </si>
  <si>
    <t>ALUIZIO P DE ALMEIDA AJUDANTE</t>
  </si>
  <si>
    <t>JESSICA CAMILE FREELANCER</t>
  </si>
  <si>
    <t>VERONICA KELLY DOS REIS FREELANCER</t>
  </si>
  <si>
    <t>SERVIÇO FREELANCE</t>
  </si>
  <si>
    <t>JULIA NOGUEIRA FREELANCER</t>
  </si>
  <si>
    <t>MAYSA FREELANCER</t>
  </si>
  <si>
    <t>SERVIÇO PRESTADO 2 DIAS</t>
  </si>
  <si>
    <t>JUROS DE MORA</t>
  </si>
  <si>
    <t>SERVIÇO DE FREELANCER</t>
  </si>
  <si>
    <t>SERVIÇO FREELANCER PRESTADO</t>
  </si>
  <si>
    <t>CPFL BOL NO PC</t>
  </si>
  <si>
    <t>14/26</t>
  </si>
  <si>
    <t>DAS FARMEL</t>
  </si>
  <si>
    <t>DAS SINCE</t>
  </si>
  <si>
    <t>REFEIÇÃO EVENTO SP MELI XP LARI/ELAINE</t>
  </si>
  <si>
    <t>COMPRA DE MATERIAS PARA EXPEDIÇÃO E PRODUTOS HIGIENICO</t>
  </si>
  <si>
    <t>PRODUTOS DE COZINHA ALIMENTOS</t>
  </si>
  <si>
    <t>REFEIÇÃO ELAINE E LARI EVENTO ML SP</t>
  </si>
  <si>
    <t>ESTACIONAMENTO EVENTO ML SP</t>
  </si>
  <si>
    <t>COMBUSTIVEL EVENTO ML SP</t>
  </si>
  <si>
    <t>V VIDROS</t>
  </si>
  <si>
    <t>CONSERTO DA JANELA DO BANHEIRO</t>
  </si>
  <si>
    <t>PACOTE OFFICE</t>
  </si>
  <si>
    <t>FITAS PARA EXPEDIÇÃO</t>
  </si>
  <si>
    <t>FITA E PAPEL SULFITE PARA EXPEDIÇÃO</t>
  </si>
  <si>
    <t>COMPRA DE BOLSA PEDIDO</t>
  </si>
  <si>
    <t>SISTEMA DE IA REEMBOLSO C6</t>
  </si>
  <si>
    <t>CUSTOS ARMAZENAGEM EUA REEMBOLSO C6</t>
  </si>
  <si>
    <t>COMPRA DE BOLSAS PEDIDO Nº 376 - CHEQUE: 850079 P/ 03/10</t>
  </si>
  <si>
    <t>SERVIÇO FREELANCER PRESTADO 2 DIAS</t>
  </si>
  <si>
    <t>14/25</t>
  </si>
  <si>
    <t>DESC R$29,54 DE COMPRAS</t>
  </si>
  <si>
    <t>MELIA HOTEL</t>
  </si>
  <si>
    <t>CAFE DA MANHA ELAINE / LARI EVENTO ML SP REEMBOLSO C6 LARI</t>
  </si>
  <si>
    <t>ESTADIA EVENTO ML SP REEMBOLSO C6 LARI</t>
  </si>
  <si>
    <t>UBER EVENTO ML SP REEMBOLSO C6 LARI</t>
  </si>
  <si>
    <t>AMZ DOWNLOADER REEMBOLSO C6</t>
  </si>
  <si>
    <t>TELEFONES MÓVEL COMERCIAL BOL NO PC</t>
  </si>
  <si>
    <t>Delphi Fretes Internacionais e Desembaraço Aduaneiro</t>
  </si>
  <si>
    <t>FRETE DE CONTAINER MARITIMO BOLETO NO PC</t>
  </si>
  <si>
    <t>MELO &amp; FARINCHON COMERCIO IMPORTAÇÃO</t>
  </si>
  <si>
    <t>Emprestimo para Since para pagar Delphi frete navio</t>
  </si>
  <si>
    <t>COMPRA DE BOLSA PEDIDO 377 - CHEQUE Nº 850082</t>
  </si>
  <si>
    <t>GABI E BIA DOAÇÃO</t>
  </si>
  <si>
    <t>13/37</t>
  </si>
  <si>
    <t>COMPRA DE BOLSAS PEDIDO Nº 376 - CHEQUE: 850080</t>
  </si>
  <si>
    <t>FRETE RODOVIARIO BOLETO NO PC (FRETE DO CONTAINER)</t>
  </si>
  <si>
    <t xml:space="preserve">PEDIDO DE BOLSAS Nº 380 CHEQUE - 850095 </t>
  </si>
  <si>
    <t>SINDICATO DOS EMPREGADOS NO COMERCIO DE ITU</t>
  </si>
  <si>
    <t>ASSOCIAÇÃO DA PRISCILA NO SINDICATO SERA DESC EM FOLHA</t>
  </si>
  <si>
    <t>CONTRIBUIÇÃO SINDICAL</t>
  </si>
  <si>
    <t>24/48</t>
  </si>
  <si>
    <t>PGTO DE DIVIDA NA PLATAFORMA MAGALU</t>
  </si>
  <si>
    <t>PEDRO LUCAS SANTIAGO</t>
  </si>
  <si>
    <t>SERVIÇO 2 DIAS FREELANCE</t>
  </si>
  <si>
    <t>15/26</t>
  </si>
  <si>
    <t>COMPRA DE BOLSA PEDIDO 378 CHEQUE Nº: 850093</t>
  </si>
  <si>
    <t>BOL NO BLING</t>
  </si>
  <si>
    <t>DAS SINCE BOL NO BLING</t>
  </si>
  <si>
    <t>DAS FARMEL BOL NO BLING</t>
  </si>
  <si>
    <t>12/13</t>
  </si>
  <si>
    <t>FITA ISOLANTE</t>
  </si>
  <si>
    <t>PADARIA SUIÇA</t>
  </si>
  <si>
    <t>CAFE DA MANHA</t>
  </si>
  <si>
    <t>EMBALADORA DE STRECH EQUIPAMENTO PARA EXPEDIÇÃO</t>
  </si>
  <si>
    <t>CAVALETE PARA MESA DE EXPEDIÇÃO</t>
  </si>
  <si>
    <t>FARMACIA DROGA RAIA</t>
  </si>
  <si>
    <t>REPOSIÇÃO DE REMEDIOS DIPIRONA BANDAIDE</t>
  </si>
  <si>
    <t>BOLHA STRECHSACO DE LIXO</t>
  </si>
  <si>
    <t>LL MOTOS</t>
  </si>
  <si>
    <t>MANUTENÇÃO DA MOTO EMPRESA</t>
  </si>
  <si>
    <t>RODINHA DE BALCÃO</t>
  </si>
  <si>
    <t>STRECH E BOLHA APRA EXPEDIÇÃO</t>
  </si>
  <si>
    <t>RELOGIO DE PONTO</t>
  </si>
  <si>
    <t>DESCONTEI A ULTIMA PARC DE COMPRA R$ 29,54</t>
  </si>
  <si>
    <t>SERVIÇO 3 DIAS FREELANCE</t>
  </si>
  <si>
    <t>PORTA SACO PARA EXPEDIÇÃO</t>
  </si>
  <si>
    <t>PARAFUSOS E SUPORTE PARA MANUTENÇÃO</t>
  </si>
  <si>
    <t>ASSINATURA MELI MAIS</t>
  </si>
  <si>
    <t>15/25</t>
  </si>
  <si>
    <t>PGTO SALES TAX REF EUA MES DE JULH E OUT REEMBOLSO C6</t>
  </si>
  <si>
    <t>COMPRA PARA PRODUTOS DE COZINHA BANHEIRO LIMPEZA ETC REEMBOLSO LARI C6</t>
  </si>
  <si>
    <t>AKI TEM UTILIDADES</t>
  </si>
  <si>
    <t>COMPRA DE ORGANIZADOR E TOALHAS PARA COZINHA REEMBOLSO C6</t>
  </si>
  <si>
    <t>UBER UTILIZADO PELO FREELANCER REEMBOLSO C6</t>
  </si>
  <si>
    <t>CUSTO COM AMAZON EUA REEMBOLSO C6</t>
  </si>
  <si>
    <t>SISTEMA DE PESQUISA REEMBOLSO C6</t>
  </si>
  <si>
    <t>PAGAMENTO COMPRA CHINA BUSINESS IN BOX</t>
  </si>
  <si>
    <t>EXAME ADMISSIONAL DO MAX</t>
  </si>
  <si>
    <t>COMISSÃO TRADING CHINA</t>
  </si>
  <si>
    <t>13º Sálario 1ª Parcela</t>
  </si>
  <si>
    <t>Maxwel do Carmo Prado</t>
  </si>
  <si>
    <t>VALE TRANSPORTE</t>
  </si>
  <si>
    <t>PGTO CESTA DE NATAL PARA FUNCIONÁRIOS - REEMBOLSO LARI</t>
  </si>
  <si>
    <t>DANIELA CRISTINA FREELANCER</t>
  </si>
  <si>
    <t>FREELANCER 1 DIA</t>
  </si>
  <si>
    <t>COMPRA DE BOLSA PEDIDO 377 - CHEQUE Nº 850083 P/ 29/11/25</t>
  </si>
  <si>
    <t>VALE REFEIÇÃO</t>
  </si>
  <si>
    <t>3 Dias de Freelancer</t>
  </si>
  <si>
    <t>14/37</t>
  </si>
  <si>
    <t>25/48</t>
  </si>
  <si>
    <t>ABDIAS BEZERRA DE MELO</t>
  </si>
  <si>
    <t>PGTO DE EMPRESTIMO REALIZADO NA ABERTURA DA EMPRESA</t>
  </si>
  <si>
    <t>1/24</t>
  </si>
  <si>
    <t>FINIMP 2º CONTRATO 20240918000000872 FECHADO EM 16/12/2024 *LIGAR PARA O BANCO DIA 15/12 PARA FECHAR O CAMBIO $ 7891,76 + R$ 1100,00</t>
  </si>
  <si>
    <t>CONTRATO DE CAMBIO IMPORTAÇÃO</t>
  </si>
  <si>
    <t>PEDIDO DE BOLSAS Nº 380 CHEQUE - 850096 Para 10/12</t>
  </si>
  <si>
    <t>TAR UNICA CONTR IMPOR TP4</t>
  </si>
  <si>
    <t>Retenção de imposto de renda sobre o Finimp</t>
  </si>
  <si>
    <t>com prest gar internacion</t>
  </si>
  <si>
    <t>16/26</t>
  </si>
  <si>
    <t>CUSTO DO FULL SINCE (COLETA E ARMAZENAGEM)</t>
  </si>
  <si>
    <t>COMPRA DE BOLSA PEDIDO 378 CHEQUE Nº: 850094</t>
  </si>
  <si>
    <t>Cambio</t>
  </si>
  <si>
    <t>PEDIDO DE BOLSAS Nº 381/382 CHEQ 850088 para 11/12</t>
  </si>
  <si>
    <t>13º Sálario 2ª Parcela</t>
  </si>
  <si>
    <t>INSS NSS (13º salário) FARMEL</t>
  </si>
  <si>
    <t>13º salário</t>
  </si>
  <si>
    <t>INSS (13º salário)</t>
  </si>
  <si>
    <t>PCMSO VANDERLEI</t>
  </si>
  <si>
    <t>PCMSO DA FARMEL PIX 17724934819</t>
  </si>
  <si>
    <t>PCMSO DA SINCE PIX 17724934819</t>
  </si>
  <si>
    <t>13/13</t>
  </si>
  <si>
    <t>MATERIAL DE EXPEDIENTE E EXPEDIÇÃO</t>
  </si>
  <si>
    <t>ALMOÇO COM FREELANCE</t>
  </si>
  <si>
    <t>COMPRA DE MERCADO PARA COZINHA</t>
  </si>
  <si>
    <t>ROLO PLASTICO BOLHA</t>
  </si>
  <si>
    <t>combustivel</t>
  </si>
  <si>
    <t>CARTAO DE NANTAL PARA FUNCIONARIOS</t>
  </si>
  <si>
    <t>16/25</t>
  </si>
  <si>
    <t>ENVIO DE PEDIDOS DE VENDA NO PONTO DE COLETA</t>
  </si>
  <si>
    <t>ALMOÇO FREENLANCE</t>
  </si>
  <si>
    <t>FITA EMBALAGEM PARA EXPEDIÇÃO</t>
  </si>
  <si>
    <t>MAPFRE SEGUROS GERAIS</t>
  </si>
  <si>
    <t>SEGURO CARGA IMPORTAÇÃO USD$40 (BOLETO NO BLING)</t>
  </si>
  <si>
    <t>TARIF ADIC CHEQUE COMPE</t>
  </si>
  <si>
    <t>DESC DE R$ 18,90 REFERENTE A COMPRA</t>
  </si>
  <si>
    <t>MATERIAL PARA EXPEDIÇÃO STRETCH E BOLHA REEMBOLSO C6</t>
  </si>
  <si>
    <t>uber freelancer reembolso C6</t>
  </si>
  <si>
    <t>CUSTO ARMAZENAGEM AMAZON EUA REEMBOLSO C6</t>
  </si>
  <si>
    <t>CUSTO COM AMAZON ADS REEMBOLSO C6</t>
  </si>
  <si>
    <t>SISTEMA DE BUSCA DE PRODUTO REEMBOLSO C6</t>
  </si>
  <si>
    <t>CUSTO COM AMAZON REEMBOLSO C6</t>
  </si>
  <si>
    <t>DESPESA EXTERNA</t>
  </si>
  <si>
    <t>RESSARCIMENTO TRIB DES</t>
  </si>
  <si>
    <t>SEGURO DE ESTOQUE</t>
  </si>
  <si>
    <t>VALOR CONFERIDO OK</t>
  </si>
  <si>
    <t>SALARIO</t>
  </si>
  <si>
    <t>15/37</t>
  </si>
  <si>
    <t>ALMOÇO CONFRATERNIZAÇÃO REEMBOLSO CARTAO INTER LARI</t>
  </si>
  <si>
    <t>PGTO FREELANCE 1 DIA</t>
  </si>
  <si>
    <t>BOLHA STRECH MATERIAL PARA EXPEDIÇÃO (BOL NO BLING)</t>
  </si>
  <si>
    <t>PAGAMENTO DE IMPOSTOS CHEGADA IMPORTAÇÃO</t>
  </si>
  <si>
    <t>SERVIÇO DE JARDINAGEM</t>
  </si>
  <si>
    <t>FRETE ENVIO DE PEÇA CLIENTE</t>
  </si>
  <si>
    <t>SALDO NO MELHOR ENVIO</t>
  </si>
  <si>
    <t>COMPRA FOGÃO PARA EMPRESA REEMBOLSO MP LARI</t>
  </si>
  <si>
    <t>1/18</t>
  </si>
  <si>
    <t>LEANDRO GOMES COSTA FREELANCER</t>
  </si>
  <si>
    <t>SERVIÇO DE 1 DIA FREELANCER (DESCARREGOU CAMINHÃO)</t>
  </si>
  <si>
    <t>WESLEY RICARDO FREELANCER</t>
  </si>
  <si>
    <t>26/48</t>
  </si>
  <si>
    <t>2/24</t>
  </si>
  <si>
    <t>JOSE CLAUDINEI MANUTENÇÃO</t>
  </si>
  <si>
    <t>MANUTENÇÃO PORTÃO</t>
  </si>
  <si>
    <t>FRANCISCO APARECIDO RAMOS FREELANCER</t>
  </si>
  <si>
    <t>1 DIA SERVIÇO FREELANCER</t>
  </si>
  <si>
    <t>PEDIDO DE BOLSAS Nº 380 CHEQUE - 850097 P/12/01</t>
  </si>
  <si>
    <t>PEDIDO DE BOLSAS Nº 381/382 CHEQ 850101 P/12/01</t>
  </si>
  <si>
    <t>IPVA 2026 - PAGAR ENTRANDO NO BANCO</t>
  </si>
  <si>
    <t>IPVA 2026 DA MOTO</t>
  </si>
  <si>
    <t>1 DIA DE FREELA</t>
  </si>
  <si>
    <t>Maurício de Jesus Gonçalves Freelancer</t>
  </si>
  <si>
    <t>1 DIA DE FREELANCER</t>
  </si>
  <si>
    <t>17/26</t>
  </si>
  <si>
    <t>CONTA DE LUZ</t>
  </si>
  <si>
    <t>FALTA PAGAR O RESTANTE DA IMPORTAÇÃO FRETE RODO E DESPACHANTE AG BOLETO</t>
  </si>
  <si>
    <t>FGTS SINCE</t>
  </si>
  <si>
    <t>OPENAI CHAT GPT</t>
  </si>
  <si>
    <t>SISTEMA DE IA</t>
  </si>
  <si>
    <t>BALANÇA DE PRECISÃO</t>
  </si>
  <si>
    <t>FGTS FARMEL</t>
  </si>
  <si>
    <t>INSS FARMEL</t>
  </si>
  <si>
    <t>BLING FARMEL</t>
  </si>
  <si>
    <t>SUMS CLUB</t>
  </si>
  <si>
    <t>CHOCOLATE PANETONE E ESPUMANTE PARA FORNECEDORES</t>
  </si>
  <si>
    <t>GUARDA CHUVA PAPEL DE PRESENTE ETC</t>
  </si>
  <si>
    <t>DEMILSON TOLDOS</t>
  </si>
  <si>
    <t>TOLDO PARA PORTA</t>
  </si>
  <si>
    <t>MATERIAL PARA LAZER FUNCIONÁRIOS</t>
  </si>
  <si>
    <t>RAUL VASQUEZ PRATELEIRAS</t>
  </si>
  <si>
    <t>PRATELEIRAS PARA PRODUTOS</t>
  </si>
  <si>
    <t>ELIO ELETRICISTA</t>
  </si>
  <si>
    <t>MANUTENÇÃO ELETRICA PREDIAL</t>
  </si>
  <si>
    <t>PANELAS PAR COZINHA</t>
  </si>
  <si>
    <t>KIT PARA INSTALAR BOTIJÃO DE GAZ</t>
  </si>
  <si>
    <t>KIT 5 BICOS INJETORES DE GAS PARA CONVERSÃO FOGÃO</t>
  </si>
  <si>
    <t>PEÇA DE MANUTENÇÃO</t>
  </si>
  <si>
    <t>MANUTENÇÃO JARDIM</t>
  </si>
  <si>
    <t>PAPELARIA</t>
  </si>
  <si>
    <t>BALANÇA PARA PESAR PRODUTOS</t>
  </si>
  <si>
    <t xml:space="preserve">UTENSILIOS PARA COZINHA </t>
  </si>
  <si>
    <t>LAVA RAPIDO NOVA ALIANÇA FERNANDO</t>
  </si>
  <si>
    <t>REPARO E HIGIENICAÇÃO DO VEICULO USADO PELA EMPRES</t>
  </si>
  <si>
    <t>MARAVILHAS DO LAR</t>
  </si>
  <si>
    <t>RENOVAÇÃO DE EMAIL E DOMINIO</t>
  </si>
  <si>
    <t>OBRIGAÇÕES DA EMPRESA DOS EUA</t>
  </si>
  <si>
    <t>INSS SINCE</t>
  </si>
  <si>
    <t>ROLO DE BOLHA PARA EXPEDIÇÃO</t>
  </si>
  <si>
    <t>EMBALAGENS</t>
  </si>
  <si>
    <t>EASYTOQUE PALLETS</t>
  </si>
  <si>
    <t>PORTA PALLETS</t>
  </si>
  <si>
    <t>PAULO HENRIQUE MARCENEIRO</t>
  </si>
  <si>
    <t>ARMARIO P/ COZINHA</t>
  </si>
  <si>
    <t>17/25</t>
  </si>
  <si>
    <t>SEGURO DE ESTOQUE BOL NO DRIVE</t>
  </si>
  <si>
    <t>CUSTOS COM ADS E ARAMAZENAGEM AMAZON REEMBOLSO C6</t>
  </si>
  <si>
    <t>CUSTO COM SISTEMA DE IA REEMBOLSO C6</t>
  </si>
  <si>
    <t>SISTEMA DE BUSCA DE PRODUTO EUA REEMBOLSO C6</t>
  </si>
  <si>
    <t>FAXINA</t>
  </si>
  <si>
    <t>EXAME DEMISSIONAL</t>
  </si>
  <si>
    <t>IMPOSTO DE RENDA + JUROS + TARIFAS REFER PGTO FINIMP</t>
  </si>
  <si>
    <t>EMPRESTIMO PARA FARMEL IMPORT</t>
  </si>
  <si>
    <t>FEITO DUPLICADO AGUARDANDO REEMBOLSO</t>
  </si>
  <si>
    <t>FINIMPI CONTRATO Nº 20241223000000606, VALOR TOTAL R$ 125.775.59, AGENDADO PARA 29/01/2026 (VALOR NOMINAL USD 18,118.24 + JUROS USD 1,980.13), TOTAL USD 20.098,37, DOLAR FIXADO PROJETADO R$ 6,2580.</t>
  </si>
  <si>
    <t>TARIFAS BANCARIAS DEVIDO TRANSAÇÃO PGTO FINIMP</t>
  </si>
  <si>
    <t>BENEDITA MARIA BATISTA DOS PASSOS</t>
  </si>
  <si>
    <t>FAXINEIRA</t>
  </si>
  <si>
    <t>DOAÇÃO</t>
  </si>
  <si>
    <t>Ressarcimento Tributo Des</t>
  </si>
  <si>
    <t>16/37</t>
  </si>
  <si>
    <t>HDI SEGURO PREDIAL</t>
  </si>
  <si>
    <t>2/18</t>
  </si>
  <si>
    <t>27/48</t>
  </si>
  <si>
    <t>3/24</t>
  </si>
  <si>
    <t>BICICLETA ELETRICA QUE ESTA COM O MAX - REEMBOLSO RENNER ELAINE</t>
  </si>
  <si>
    <t>18/26</t>
  </si>
  <si>
    <t>CAMBIO CONTRAT DE FINIMP</t>
  </si>
  <si>
    <t>COM PREST GAR INTERNACION CONTRAT FINIMP</t>
  </si>
  <si>
    <t>REPOSIÇÃO DE PRODUTO DE ESCRITORIO</t>
  </si>
  <si>
    <t>DOUGLAS HENRIQUE ASSISTENCIA TECNICA</t>
  </si>
  <si>
    <t>CONSERTO DO CLIMATIZADOR DE AR</t>
  </si>
  <si>
    <t>COPIAS DE CHAVES</t>
  </si>
  <si>
    <t>VASSOURA, RODO, PRODUTO DE LIMPEZA</t>
  </si>
  <si>
    <t>SISTEMA DE COTAÇÃO DE FRETE PAR AIMPORTAÇÃO</t>
  </si>
  <si>
    <t>FITA E EMBALAGEM PARA EXPEDIÇÃO</t>
  </si>
  <si>
    <t>TONER PARA IMPRESSORA</t>
  </si>
  <si>
    <t>COMPRA DE CAFE BOLACHA DETERGENTE ETC</t>
  </si>
  <si>
    <t>BOLHA STRECH ETC</t>
  </si>
  <si>
    <t>DISTRIBUIDORA DE AGUA E GAS INDAIATUBA</t>
  </si>
  <si>
    <t>GAS DE COZINHA</t>
  </si>
  <si>
    <t>acessório de reposição do fogão</t>
  </si>
  <si>
    <t>COMPRA DE STRECH PARA EXPEDIÇÃO</t>
  </si>
  <si>
    <t>ACESSORIOS DE REPOSIÇÃO COZINHA</t>
  </si>
  <si>
    <t>INSERÇÃO DE CREDITO PARA FRETE</t>
  </si>
  <si>
    <t>TOALHA PARA MESA DA COZINHA</t>
  </si>
  <si>
    <t>GARRAFA TERMICA DE CAFÉ</t>
  </si>
  <si>
    <t>ASSINATURA MELI + CONTA ELAINE</t>
  </si>
  <si>
    <t>IOF - COMPRA NO EXTERIOR</t>
  </si>
  <si>
    <t>18/25</t>
  </si>
  <si>
    <t>REMMBOLSO REFERENTE AO PGTO DE TAXAS CHINA C6 LARISSA</t>
  </si>
  <si>
    <t>SISTEMA PARA BUSCA DE PRODUTOS EUA REEMBOLSO C6 LARI</t>
  </si>
  <si>
    <t>SISTEMA DE IA REEMBOLSO C6 LARI</t>
  </si>
  <si>
    <t>CUSTOS COM ADS E ARAMAZENAGEM AMAZON EUA REEMBOLSO C6</t>
  </si>
  <si>
    <t>COMBUSTIVEL REEMBOLSO C6</t>
  </si>
  <si>
    <t>PEDIDO DE BOLSAS Nº 381/382 CHEQ 850102 PARA 11/2</t>
  </si>
  <si>
    <t>PGTO DE DIVIDA</t>
  </si>
  <si>
    <t>17/37</t>
  </si>
  <si>
    <t>PGTO SERVIÇO PRESTADO MEIO PERIODO EXPEDIÇÃO</t>
  </si>
  <si>
    <t>DT SAN DEDETIZAÇÃO</t>
  </si>
  <si>
    <t>DEDETIZAÇÃO DO PRÉDIO</t>
  </si>
  <si>
    <t>ANOTAÇÃO PROVISÓRIA DÉBIT</t>
  </si>
  <si>
    <t>3/18</t>
  </si>
  <si>
    <t>PEDIDO DE BOLSAS Nº 380 CHEQUE - 850098 PARA 10/2</t>
  </si>
  <si>
    <t>COMPRA DE BOLSA PEDIDO 383 CHEQUE Nº 850099 P/ 23/02</t>
  </si>
  <si>
    <t>28/48</t>
  </si>
  <si>
    <t>4/24</t>
  </si>
  <si>
    <t>DENIS LAPA CONSERTA GELADEIRA</t>
  </si>
  <si>
    <t>CONSERTO GELADEIRA - PIX É O CPF 70151016968</t>
  </si>
  <si>
    <t>PEDIDO DE BOLSAS Nº 381/382 CHEQ 850103</t>
  </si>
  <si>
    <t>RESSARCIMENTO TRIBUTOS DES</t>
  </si>
  <si>
    <t>19/26</t>
  </si>
  <si>
    <t>RECARGA PARA ENVIO DE PEDIDOS</t>
  </si>
  <si>
    <t>REPOSIÇÃO DE EXTINTORES</t>
  </si>
  <si>
    <t>MANUTENÇÃO VEÍCULO USADO PELA EMPRESA</t>
  </si>
  <si>
    <t>BOLHA, STRECH</t>
  </si>
  <si>
    <t>EMBALAGENS FITA PARA EXPEDIÇÃO</t>
  </si>
  <si>
    <t>MATHEUS HENRIQUE FERREIRA ENCAPAMENTO</t>
  </si>
  <si>
    <t>MANUTENÇÃO VEICULA CAPA VOLANTE</t>
  </si>
  <si>
    <t>CAFÉ DA MANHA FUNCIONÁRIOS</t>
  </si>
  <si>
    <t>REPOSIÇÃO CADEIRA DE ESCRITÓRIO</t>
  </si>
  <si>
    <t>RHAIZA BERLANZA ADVOGADA PREVIDENCIARIA</t>
  </si>
  <si>
    <t>CONSULTORIA PREVIDENCIARIA</t>
  </si>
  <si>
    <t>CAFÉ DA MANHA FUNCIONARIOS</t>
  </si>
  <si>
    <t>COMPRAS DE MERCADO - CAFÉ, AÇUCAR, DETERGENTE ETC</t>
  </si>
  <si>
    <t xml:space="preserve">ENVIO DE PEDIDOS </t>
  </si>
  <si>
    <t>IOF COMPRA EXTERIOR</t>
  </si>
  <si>
    <t>19/25</t>
  </si>
  <si>
    <t>Agendado</t>
  </si>
  <si>
    <t>COMPRA DE BOLSA PEDIDO 383 CHEQUE Nº 8500100</t>
  </si>
  <si>
    <t>COMPRA DE BOLSAS</t>
  </si>
  <si>
    <t>CUSTO AMAZON - ARMAZENAGEM E ADS EUA - REEMBOLSO C6</t>
  </si>
  <si>
    <t>Aberto</t>
  </si>
  <si>
    <t>SINAL PARA PRODUZIR PRODUTOS CHINA REEMBOLSO LARI</t>
  </si>
  <si>
    <t>PGTO DO RESTANTE DA COMPRA IMPORTAÇÃO +/- USD$1800</t>
  </si>
  <si>
    <t>CESTA DE SERVIÇOS</t>
  </si>
  <si>
    <t>FINIMPI CONTRATO Nº XXXXXXXX, VALOR TOTAL R$ 115.000,00, AGENDADO PARA APROXIMADAMENTE DIA 23/03/2026 (VALOR NOMINAL USD 16.000 + JUROS USD 2,459,20), TOTAL USD 18,459,20 DOLAR FIXADO A R$ 6,17 PROJETADO R$ XXXX. RETORNAR NO COMEÇO DO MÊS PARA VER CERTINHO DATA VENCIMENTO</t>
  </si>
  <si>
    <t>COMISSÃO POR SERVIÇO PRESTADO COMPRA DE IMPORTAÇÃO</t>
  </si>
  <si>
    <t>COMPRA DE PRODUTO DA CHINA X EUA</t>
  </si>
  <si>
    <t>SALARIO + VARIÁVEL +/- R$ 700</t>
  </si>
  <si>
    <t>ACESSO BI - SISTEMA R$ 98,8 + SERVIÇO R$ 150</t>
  </si>
  <si>
    <t>18/37</t>
  </si>
  <si>
    <t>20/25</t>
  </si>
  <si>
    <t>COMPRA DE BOLSAS PEDIDO Nº 384 CHEQUE Nº 850109</t>
  </si>
  <si>
    <t>29/48</t>
  </si>
  <si>
    <t>5/24</t>
  </si>
  <si>
    <t>4/18</t>
  </si>
  <si>
    <t>PAGAMENTO DE IMPOSTOS RECEBIMENTO IMPORTAÇÃO</t>
  </si>
  <si>
    <t>20/26</t>
  </si>
  <si>
    <t>GOODBOM SUPERMERCADO</t>
  </si>
  <si>
    <t>COMPRA MATERIAL COZINHA E LIMPEZA</t>
  </si>
  <si>
    <t>PEDIDO DE COMPRA BOLSA PEDIDO 385 CHEQUE Nº - 850110</t>
  </si>
  <si>
    <t>COMPR DE STRECH E MATERIAL DE LIMPEZA</t>
  </si>
  <si>
    <t>Bazar 10</t>
  </si>
  <si>
    <t>COLA QUENTE</t>
  </si>
  <si>
    <t>COMPRA DE BOLSA PEDIDO 383 CHEQUE Nº 8500104</t>
  </si>
  <si>
    <t>PRONAMPE 3º CONTRATO FARMEL - PARC FIXA R$ 1418,69 + JUROS</t>
  </si>
  <si>
    <t>1/42</t>
  </si>
  <si>
    <t>19/37</t>
  </si>
  <si>
    <t>21/25</t>
  </si>
  <si>
    <t>COMPRA DE BOLSAS PEDIDO Nº 384 - CHEQ 850106</t>
  </si>
  <si>
    <t>30/48</t>
  </si>
  <si>
    <t>6/24</t>
  </si>
  <si>
    <t>5/18</t>
  </si>
  <si>
    <t>21/26</t>
  </si>
  <si>
    <t>PEDIDO DE COMPRA BOLSA PEDIDO 385 CHEQUE Nº - 850111</t>
  </si>
  <si>
    <t>COMPRA DE BOLSA PEDIDO 383 CHEQUE Nº 8500105</t>
  </si>
  <si>
    <t>2/42</t>
  </si>
  <si>
    <t>20/37</t>
  </si>
  <si>
    <t>22/25</t>
  </si>
  <si>
    <t>PREVISÃO DE START PARA IMPORTAÇÃO</t>
  </si>
  <si>
    <t>COMPRA DE BOLSAS PEDIDO Nº 384 - CHEQ 850107</t>
  </si>
  <si>
    <t>31/48</t>
  </si>
  <si>
    <t>7/24</t>
  </si>
  <si>
    <t>6/18</t>
  </si>
  <si>
    <t>22/26</t>
  </si>
  <si>
    <t>PEDIDO DE COMPRA BOLSA PEDIDO 385 CHEQUE Nº - 850112</t>
  </si>
  <si>
    <t>SEGURO DE ESTOQUE BOL NO DRIVE - RENOVAR</t>
  </si>
  <si>
    <t>3/42</t>
  </si>
  <si>
    <t>21/37</t>
  </si>
  <si>
    <t>23/25</t>
  </si>
  <si>
    <t>COMPRA DE BOLSAS PEDIDO Nº 384 - CHEQ 850108</t>
  </si>
  <si>
    <t>32/48</t>
  </si>
  <si>
    <t>8/24</t>
  </si>
  <si>
    <t>7/18</t>
  </si>
  <si>
    <t>23/26</t>
  </si>
  <si>
    <t>PLATAFORMA DE MARKETING ONLINE - LANÇAR FATURAS FUTURAS SE NECESSÁRIO</t>
  </si>
  <si>
    <t>PEDIDO DE COMPRA BOLSA PEDIDO 385 CHEQUE Nº - 850113</t>
  </si>
  <si>
    <t>4/42</t>
  </si>
  <si>
    <t>22/37</t>
  </si>
  <si>
    <t>24/25</t>
  </si>
  <si>
    <t>33/48</t>
  </si>
  <si>
    <t>9/24</t>
  </si>
  <si>
    <t>8/18</t>
  </si>
  <si>
    <t>PREVISÃO DE PGTO DE IMPOSTO RECEBIMENTO DE IMPORTAÇÃO</t>
  </si>
  <si>
    <t>24/26</t>
  </si>
  <si>
    <t>5/42</t>
  </si>
  <si>
    <t>23/37</t>
  </si>
  <si>
    <t>25/25</t>
  </si>
  <si>
    <t>FINIMPI CONTRATO Nº XXXXXXXX, VALOR TOTAL +/- R$ 129.000, AGENDADO PARA APROXIMADAMENTE DIA 20/09/2026 (VALOR NOMINAL USD 20,092,43 +/- JUROS USD 3,013,86), TOTAL USD 23,106,63 DOLAR FIXADO A R$ XX. RETORNAR NO COMEÇO DO MÊS PARA VER CERTINHO DATA VENCIMENTO</t>
  </si>
  <si>
    <t>34/48</t>
  </si>
  <si>
    <t>10/24</t>
  </si>
  <si>
    <t>9/18</t>
  </si>
  <si>
    <t>25/26</t>
  </si>
  <si>
    <t>6/42</t>
  </si>
  <si>
    <t>ALUGUEL - LANÇAR PROXIMAS FATURAS SE NECESSÁRIO</t>
  </si>
  <si>
    <t>ACESSO BI - SISTEMA R$ 98,8 + SERVIÇO R$ 150 - LANÇAR PROXIMAS FATURAS SE NECESSÁRIO</t>
  </si>
  <si>
    <t>CONTA DE EMAIL - BOLETO CHEGA POR EMAIL - LANÇAR PROXIMAS FATURAS SE NECESSÁRIO</t>
  </si>
  <si>
    <t>24/37</t>
  </si>
  <si>
    <t>LANÇAR PROXIMAS FATURAS SE NECESSÁRIO</t>
  </si>
  <si>
    <t>ASSOCIAÇÃO DA PRISCILA NO SINDICATO SERA DESC EM FOLHA - LANÇAR NOVAS FATURAS SE NECESSÁRIO</t>
  </si>
  <si>
    <t>INTERNET - LANÇAR PROXIMAS FATURAS SE NECESSÁRIO</t>
  </si>
  <si>
    <t>CONTABILIDADE DA SINCE - LANÇAR PROXIMAS FATURAS SE NECESSÁRIO</t>
  </si>
  <si>
    <t>ASSINATURA BLING SINCE - LANÇAR PROXIMAS FATURAS SE NECESSÁRIO</t>
  </si>
  <si>
    <t>35/48</t>
  </si>
  <si>
    <t>11/24</t>
  </si>
  <si>
    <t>10/18</t>
  </si>
  <si>
    <t>VIGILANTE DA RUA - LANÇAR PROXIMAS FATURAS SE NECESSÁRIO</t>
  </si>
  <si>
    <t>CUSTO DO FULL FARMEL (COLETA E ARMAZENAGEM) - LANÇAR PROXIMAS FATURAS SE NECESSÁRIO</t>
  </si>
  <si>
    <t>ADIANTAMENTO - LANÇAR PROXIMAS FATURAS SE NECESSÁRIO</t>
  </si>
  <si>
    <t>FAXINEIRA - LANÇAR PRÓXIMA CONTAS SE FOR O CASO</t>
  </si>
  <si>
    <t>CONTA DE LUZ - LANÇAR PROXIMAS FATURAS SE NECESSÁRIO</t>
  </si>
  <si>
    <t>26/26</t>
  </si>
  <si>
    <t>CUSTO DO FULL SINCE (COLETA E ARMAZENAGEM) - LANÇAR PROXIMAS FATURAS SE NECESSÁRIO</t>
  </si>
  <si>
    <t>DAS FARMEL - LANÇAR PROXIMAS FATURAS SE NECESSÁRIO</t>
  </si>
  <si>
    <t>DAS SINCE - LANÇAR PROXIMAS FATURAS SE NECESSÁRIO</t>
  </si>
  <si>
    <t>FGTS FARMEL - LANÇAR PROXIMAS FATURAS SE NECESSÁRIO</t>
  </si>
  <si>
    <t>INSS FARMEL - LANÇAR PROXIMAS FATURAS SE NECESSÁRIO</t>
  </si>
  <si>
    <t>ASSINATURA MELI + FARMEL - LANÇAR PROXIMAS FATURAS SE NECESSÁRIO</t>
  </si>
  <si>
    <t>BLING FARMEL - LANÇAR PROXIMAS FATURAS SE NECESSÁRIO</t>
  </si>
  <si>
    <t>CESTA DE SERVIÇOS - LANÇAR PROXIMAS FATURAS SE NECESSÁRIO</t>
  </si>
  <si>
    <t>INSS SINCE- LANÇAR PROXIMAS FATURAS SE NECESSÁRIO</t>
  </si>
  <si>
    <t>FGTS SINCE - LANÇAR PROXIMAS FATURAS SE NECESSÁRIO</t>
  </si>
  <si>
    <t>SISTEMA DE COTAÇÃO DE FRETE PAR AIMPORTAÇÃO - LANÇAR PRÓXIMOS MESES SE NECESSÁRIO</t>
  </si>
  <si>
    <t>TELEFONES MÓVEL COMERCIAL - LANÇAR PROXIMAS FATURAS SE NECESSÁRIO</t>
  </si>
  <si>
    <t>CUSTO COM SISTEMA DE IA REEMBOLSO C6 - LANÇAR PROXIMAS PARCELAS</t>
  </si>
  <si>
    <t>7/42</t>
  </si>
  <si>
    <t>CONTABILIDADE DA FARMEL - LANÇAR PROXIMAS FATURAS SE NECESSÁRIO</t>
  </si>
  <si>
    <t>SALARIO - LANÇAR PROXIMAS FATURAS SE NECESSÁRIO</t>
  </si>
  <si>
    <t>VALE REFEIÇÃO - LANÇAR PROXIMAS FATURAS SE NECESSÁRIO</t>
  </si>
  <si>
    <t>DOAÇÃO - LANÇAR PROXIMAS FATURAS SE NECESSÁRIO</t>
  </si>
  <si>
    <t>25/37</t>
  </si>
  <si>
    <t>36/48</t>
  </si>
  <si>
    <t>12/24</t>
  </si>
  <si>
    <t>11/18</t>
  </si>
  <si>
    <t>8/42</t>
  </si>
  <si>
    <t xml:space="preserve">CONTA DE EMAIL - BOLETO CHEGA POR EMAIL </t>
  </si>
  <si>
    <t>26/37</t>
  </si>
  <si>
    <t>PGTO FINIMP USD 18.175,49 + Juros USD 2850,00 GDC 20251211000000661 - DOLAR +/- $5,57</t>
  </si>
  <si>
    <t>37/48</t>
  </si>
  <si>
    <t>13/24</t>
  </si>
  <si>
    <t>12/18</t>
  </si>
  <si>
    <t>ADIANTAMENTO - LANÇAR PRÓXIMAS FATURAS SE HOUVER</t>
  </si>
  <si>
    <t>SISTEMA DE IA - LANÇAR PRÓXIMAS FATURAS SE NECESSÁRIO</t>
  </si>
  <si>
    <t>9/42</t>
  </si>
  <si>
    <t>SALARIO + VARIÁVEL +/- R$ 700 - LANÇAR PRÓXIMAS FATURAS SE HOUVER</t>
  </si>
  <si>
    <t>VALE REFEIÇÃO - LANÇAR PRÓXIMAS FATURAS SE HOUVER</t>
  </si>
  <si>
    <t>27/37</t>
  </si>
  <si>
    <t>38/48</t>
  </si>
  <si>
    <t>14/24</t>
  </si>
  <si>
    <t>13/18</t>
  </si>
  <si>
    <t>10/42</t>
  </si>
  <si>
    <t>28/37</t>
  </si>
  <si>
    <t>39/48</t>
  </si>
  <si>
    <t>15/24</t>
  </si>
  <si>
    <t>14/18</t>
  </si>
  <si>
    <t>PGTO FINIMP USD 19.380,00 + Juros USD 3.200 GDC 20260210000000651 - DOLAR +/- $xxxx</t>
  </si>
  <si>
    <t>11/42</t>
  </si>
  <si>
    <t>29/37</t>
  </si>
  <si>
    <t>40/48</t>
  </si>
  <si>
    <t>16/24</t>
  </si>
  <si>
    <t>15/18</t>
  </si>
  <si>
    <t>12/42</t>
  </si>
  <si>
    <t>30/37</t>
  </si>
  <si>
    <t>41/48</t>
  </si>
  <si>
    <t>17/24</t>
  </si>
  <si>
    <t>16/18</t>
  </si>
  <si>
    <t>13/42</t>
  </si>
  <si>
    <t>31/37</t>
  </si>
  <si>
    <t>42/48</t>
  </si>
  <si>
    <t>18/24</t>
  </si>
  <si>
    <t>17/18</t>
  </si>
  <si>
    <t>14/42</t>
  </si>
  <si>
    <t>32/37</t>
  </si>
  <si>
    <t>43/48</t>
  </si>
  <si>
    <t>19/24</t>
  </si>
  <si>
    <t>18/18</t>
  </si>
  <si>
    <t>15/42</t>
  </si>
  <si>
    <t>33/37</t>
  </si>
  <si>
    <t>44/48</t>
  </si>
  <si>
    <t>20/24</t>
  </si>
  <si>
    <t>16/42</t>
  </si>
  <si>
    <t>34/37</t>
  </si>
  <si>
    <t>45/48</t>
  </si>
  <si>
    <t>21/24</t>
  </si>
  <si>
    <t>17/42</t>
  </si>
  <si>
    <t>35/37</t>
  </si>
  <si>
    <t>46/48</t>
  </si>
  <si>
    <t>22/24</t>
  </si>
  <si>
    <t>18/42</t>
  </si>
  <si>
    <t>36/37</t>
  </si>
  <si>
    <t>47/48</t>
  </si>
  <si>
    <t>23/24</t>
  </si>
  <si>
    <t>19/42</t>
  </si>
  <si>
    <t>37/37</t>
  </si>
  <si>
    <t>48/48</t>
  </si>
  <si>
    <t>24/24</t>
  </si>
  <si>
    <t>20/42</t>
  </si>
  <si>
    <t>21/42</t>
  </si>
  <si>
    <t>22/42</t>
  </si>
  <si>
    <t>23/42</t>
  </si>
  <si>
    <t>24/42</t>
  </si>
  <si>
    <t>25/42</t>
  </si>
  <si>
    <t>26/42</t>
  </si>
  <si>
    <t>27/42</t>
  </si>
  <si>
    <t>28/42</t>
  </si>
  <si>
    <t>29/42</t>
  </si>
  <si>
    <t>30/42</t>
  </si>
  <si>
    <t>31/42</t>
  </si>
  <si>
    <t>32/42</t>
  </si>
  <si>
    <t>33/42</t>
  </si>
  <si>
    <t>34/42</t>
  </si>
  <si>
    <t>35/42</t>
  </si>
  <si>
    <t>36/42</t>
  </si>
  <si>
    <t>37/42</t>
  </si>
  <si>
    <t>38/42</t>
  </si>
  <si>
    <t>39/42</t>
  </si>
  <si>
    <t>40/42</t>
  </si>
  <si>
    <t>41/42</t>
  </si>
  <si>
    <t>42/42</t>
  </si>
  <si>
    <t>Vencimento</t>
  </si>
  <si>
    <t>Valor recebido</t>
  </si>
  <si>
    <t>SITUAÇÃO</t>
  </si>
  <si>
    <t>PREVISÃO DO RECEBIMENTO</t>
  </si>
  <si>
    <t>DIA DO RECEBIMENTO</t>
  </si>
  <si>
    <t>MES DO RECEBIMENTO</t>
  </si>
  <si>
    <t>ANO DO RECEBIMENTO</t>
  </si>
  <si>
    <t>MES ANO</t>
  </si>
  <si>
    <t>MERCADO LIVRE LIVRE FARMEL</t>
  </si>
  <si>
    <t>VENDAS MERCADO LIVRE FARMEL</t>
  </si>
  <si>
    <t>TRANSFERÊNCIA</t>
  </si>
  <si>
    <t>MERCADO LIVRE SINCE</t>
  </si>
  <si>
    <t>VENDAS MERCADO LIVRE SINCE</t>
  </si>
  <si>
    <t>PAGO</t>
  </si>
  <si>
    <t>AMERICANAS</t>
  </si>
  <si>
    <t>VENDAS AMERICANAS</t>
  </si>
  <si>
    <t>SHOPEE</t>
  </si>
  <si>
    <t>VENDAS SHOPEE</t>
  </si>
  <si>
    <t>MAGALU</t>
  </si>
  <si>
    <t>VENDAS MAGALU</t>
  </si>
  <si>
    <t>AMAZON</t>
  </si>
  <si>
    <t>VENDAS AMAZON</t>
  </si>
  <si>
    <t xml:space="preserve">RENDIMENTOS </t>
  </si>
  <si>
    <t>AJUSTE TERMO DE MOEDAS</t>
  </si>
  <si>
    <t>REEMBOLSO RIVER FREIGHT</t>
  </si>
  <si>
    <t>CREDITO DA RIVER FREIGHT</t>
  </si>
  <si>
    <t>REEMBOLSO SEGURO REFER CHAVEIRO</t>
  </si>
  <si>
    <t>APORTE FEITO PELA FARMEL IMPORT</t>
  </si>
  <si>
    <t>FINIMP EMPRESTIMO</t>
  </si>
  <si>
    <t>VENDA BALCÃO PEDIDO 74632</t>
  </si>
  <si>
    <t>EMPRESTIMO ADQUIRIDO PELA M F IMPORT</t>
  </si>
  <si>
    <t>EMPRESTIMO FINIMP</t>
  </si>
  <si>
    <t>RENDIMENTOS</t>
  </si>
  <si>
    <t>EMPRESTIMO PRONAMPE</t>
  </si>
  <si>
    <t>RECEBIMENTO DE EMPRESTIMO</t>
  </si>
  <si>
    <t>Est. Contrat Cambio</t>
  </si>
  <si>
    <t>CREDITO RECEBIDO DA FARMEL</t>
  </si>
  <si>
    <t>RENDIMENTOS + AJUSTE DE TERMOS DE MOEDA</t>
  </si>
  <si>
    <t>VENDA MAGALU</t>
  </si>
  <si>
    <t>ENTRADA DO FINIMP</t>
  </si>
  <si>
    <t>EMPRESTIMO</t>
  </si>
  <si>
    <t>REEMBOLSO DE IMPORTAÇÃO AJUSTE DE VALORES</t>
  </si>
  <si>
    <t>REEMBOLSO DE PIX DUPLICADO</t>
  </si>
  <si>
    <t>ABERTO</t>
  </si>
  <si>
    <t xml:space="preserve">MÊS </t>
  </si>
  <si>
    <t>ANO</t>
  </si>
  <si>
    <t>DATA</t>
  </si>
  <si>
    <t xml:space="preserve"> </t>
  </si>
  <si>
    <t>VALOR TRANSFERIDO  PARA A CONTA BB</t>
  </si>
  <si>
    <t>VALOR PAGO DA CONTA SINCE+VALOR PAGO DA CONTA FARMEL</t>
  </si>
  <si>
    <t>VALOR LIBERADO</t>
  </si>
  <si>
    <t>VALOR A RECEBER</t>
  </si>
  <si>
    <t xml:space="preserve">ENTRADAS TOTAIS </t>
  </si>
  <si>
    <t>DESPESAS PAGAS</t>
  </si>
  <si>
    <t>DESPESAS EM ABERTO</t>
  </si>
  <si>
    <t>DESPESAS AGENDADAS</t>
  </si>
  <si>
    <t>DESPESAS TOTAIS</t>
  </si>
  <si>
    <t>ENTRADAS TOTAIS-DESPESAS TOTAIS</t>
  </si>
  <si>
    <t>SALDO FINAL</t>
  </si>
  <si>
    <t>TOTAL DO PERÍODO</t>
  </si>
  <si>
    <t>CONTA</t>
  </si>
  <si>
    <t xml:space="preserve">SALDO </t>
  </si>
  <si>
    <t>DIA</t>
  </si>
  <si>
    <t>MÊS</t>
  </si>
  <si>
    <t>ITEM</t>
  </si>
  <si>
    <t>VALOR</t>
  </si>
  <si>
    <t>a-SALDO INICIAL</t>
  </si>
  <si>
    <t>b-ENTRADAS</t>
  </si>
  <si>
    <t>c-SAÍDAS</t>
  </si>
  <si>
    <t>d-SALDO FINAL</t>
  </si>
  <si>
    <t>ATIVO</t>
  </si>
  <si>
    <t>Passivo</t>
  </si>
  <si>
    <t>Ativo circulante</t>
  </si>
  <si>
    <t>Passivo circulante</t>
  </si>
  <si>
    <t>Caixas e bancos</t>
  </si>
  <si>
    <t>Empréstimo e financiamentos</t>
  </si>
  <si>
    <t>conta 1</t>
  </si>
  <si>
    <t>Fornecedores</t>
  </si>
  <si>
    <t>conta 2</t>
  </si>
  <si>
    <t>Outras obrigações</t>
  </si>
  <si>
    <t>Aplicações financeiras</t>
  </si>
  <si>
    <t>Passivo Não circulante</t>
  </si>
  <si>
    <t>Contas a receber de clientes</t>
  </si>
  <si>
    <t>Estoques</t>
  </si>
  <si>
    <t xml:space="preserve">Outras obrigações </t>
  </si>
  <si>
    <t xml:space="preserve">Impostos a recuperar </t>
  </si>
  <si>
    <t>Patrimônio Liquido</t>
  </si>
  <si>
    <t>Outros créditos</t>
  </si>
  <si>
    <t>Capital social</t>
  </si>
  <si>
    <t>Ativo Não circulante</t>
  </si>
  <si>
    <t>Reserva de capital</t>
  </si>
  <si>
    <t>Realizável a longo prazo</t>
  </si>
  <si>
    <t>Reservas de lucros</t>
  </si>
  <si>
    <t>Reserva de incentivos fiscais</t>
  </si>
  <si>
    <t xml:space="preserve">Outros resultados abrangentes </t>
  </si>
  <si>
    <t>Impostos de renda e contribuição social deferidos</t>
  </si>
  <si>
    <t>Lucros acumulados</t>
  </si>
  <si>
    <t>Dividendos adicionais propostos</t>
  </si>
  <si>
    <t>Propriedade para investimento</t>
  </si>
  <si>
    <t>Imobilizado</t>
  </si>
  <si>
    <t xml:space="preserve">Intangível </t>
  </si>
  <si>
    <t>FORNECEDOR</t>
  </si>
  <si>
    <t>CNPJ/CPF</t>
  </si>
  <si>
    <t>TELEFONE</t>
  </si>
  <si>
    <t>E-MAIL</t>
  </si>
  <si>
    <t>Flaneg Embalagens</t>
  </si>
  <si>
    <t>20.959.125/0001-50</t>
  </si>
  <si>
    <t>20.951.799/0001-09</t>
  </si>
  <si>
    <t>(11) 98854-9921</t>
  </si>
  <si>
    <t>fiscal@drecontabil.com.br</t>
  </si>
  <si>
    <t>0086-13926823</t>
  </si>
  <si>
    <t>DHL EXPRESS BRASIL</t>
  </si>
  <si>
    <t>58.890.252/0028-33</t>
  </si>
  <si>
    <t>(15) 99131-4832</t>
  </si>
  <si>
    <t>BL IMPRESSORAS</t>
  </si>
  <si>
    <t>45.879.238/0001-77</t>
  </si>
  <si>
    <t>(19) 99143-6789</t>
  </si>
  <si>
    <t>financeiro.blcartuchos@gmail.com</t>
  </si>
  <si>
    <t>344.111.158-32</t>
  </si>
  <si>
    <t>(19) 92000-5775</t>
  </si>
  <si>
    <t>FLS Embalagens e Mats de Limpeza</t>
  </si>
  <si>
    <t>31.247.350/0001-80</t>
  </si>
  <si>
    <t>(11) 97632-2898</t>
  </si>
  <si>
    <t>14.553.678/0001-06</t>
  </si>
  <si>
    <t>(19) 93824-1500</t>
  </si>
  <si>
    <t>38.405.665/0001-58</t>
  </si>
  <si>
    <t>(11) 99625-1596</t>
  </si>
  <si>
    <t>barbarabolsasecia@gmail.com</t>
  </si>
  <si>
    <t>Royal Agenciamentos de Cargas Ltda</t>
  </si>
  <si>
    <t>17.050.532/0001-36</t>
  </si>
  <si>
    <t>k.godoy@royalcargo.com.br</t>
  </si>
  <si>
    <t>02.805.507/0002-29</t>
  </si>
  <si>
    <t>DSC SOURCING CO., LTD</t>
  </si>
  <si>
    <t>larissa.farinchon@farmelimport.com.br</t>
  </si>
  <si>
    <t>260.577.858-43</t>
  </si>
  <si>
    <t>elaine.melo@farmelimport.com.br</t>
  </si>
  <si>
    <t>316.421.728-55</t>
  </si>
  <si>
    <t>adm@farmelimport.com.br</t>
  </si>
  <si>
    <t>362.204.548-55</t>
  </si>
  <si>
    <t>322.180.128-98</t>
  </si>
  <si>
    <t>1998285-0064</t>
  </si>
  <si>
    <t>05.850.330/0001-90</t>
  </si>
  <si>
    <t>(21) 2253-5791</t>
  </si>
  <si>
    <t>fabio@riverfreight.com.br</t>
  </si>
  <si>
    <t>33.164.021/0001-00</t>
  </si>
  <si>
    <t>08.170.849/0001-15</t>
  </si>
  <si>
    <t>29.309.127/0138-23</t>
  </si>
  <si>
    <t>776.443.109-59</t>
  </si>
  <si>
    <t>(19) 99705-3566</t>
  </si>
  <si>
    <t>047.677.934-08</t>
  </si>
  <si>
    <t>GSM COMERCIO DE ELETRO</t>
  </si>
  <si>
    <t>SPM COSMETICOS LTDA</t>
  </si>
  <si>
    <t>08.368.167/0001-11</t>
  </si>
  <si>
    <t>62 8264-9508</t>
  </si>
  <si>
    <t>71.677.850/0001-77</t>
  </si>
  <si>
    <t>298.039.398-31</t>
  </si>
  <si>
    <t>MF IMPORT</t>
  </si>
  <si>
    <t>beeatriz.forte@gmail.com</t>
  </si>
  <si>
    <t>349.097.058-64</t>
  </si>
  <si>
    <t>(19) 98332-2858</t>
  </si>
  <si>
    <t>PIX É O CPF</t>
  </si>
  <si>
    <t>SUM de Valor</t>
  </si>
  <si>
    <t>Total geral</t>
  </si>
  <si>
    <t>DESPESAS COM PESSOAL</t>
  </si>
  <si>
    <t>CONVÊNIO MÉDICO Total</t>
  </si>
  <si>
    <t>VALE ALIMENTAÇÃO Total</t>
  </si>
  <si>
    <t>DESPESAS NÃO OPERACIONAIS</t>
  </si>
  <si>
    <t>01/2025</t>
  </si>
  <si>
    <t>01/2026</t>
  </si>
  <si>
    <t>01/2027</t>
  </si>
  <si>
    <t>01/2028</t>
  </si>
  <si>
    <t>01/2029</t>
  </si>
  <si>
    <t>02/2025</t>
  </si>
  <si>
    <t>02/2026</t>
  </si>
  <si>
    <t>02/2027</t>
  </si>
  <si>
    <t>02/2028</t>
  </si>
  <si>
    <t>02/2029</t>
  </si>
  <si>
    <t>03/2025</t>
  </si>
  <si>
    <t>03/2026</t>
  </si>
  <si>
    <t>03/2027</t>
  </si>
  <si>
    <t>03/2028</t>
  </si>
  <si>
    <t>03/2029</t>
  </si>
  <si>
    <t>04/2025</t>
  </si>
  <si>
    <t>04/2026</t>
  </si>
  <si>
    <t>04/2027</t>
  </si>
  <si>
    <t>04/2028</t>
  </si>
  <si>
    <t>04/2029</t>
  </si>
  <si>
    <t>05/2025</t>
  </si>
  <si>
    <t>05/2026</t>
  </si>
  <si>
    <t>05/2027</t>
  </si>
  <si>
    <t>05/2028</t>
  </si>
  <si>
    <t>05/2029</t>
  </si>
  <si>
    <t>06/2025</t>
  </si>
  <si>
    <t>06/2026</t>
  </si>
  <si>
    <t>06/2027</t>
  </si>
  <si>
    <t>06/2028</t>
  </si>
  <si>
    <t>06/2029</t>
  </si>
  <si>
    <t>07/2025</t>
  </si>
  <si>
    <t>07/2026</t>
  </si>
  <si>
    <t>07/2027</t>
  </si>
  <si>
    <t>07/2028</t>
  </si>
  <si>
    <t>07/2029</t>
  </si>
  <si>
    <t>08/2024</t>
  </si>
  <si>
    <t>08/2025</t>
  </si>
  <si>
    <t>08/2026</t>
  </si>
  <si>
    <t>08/2027</t>
  </si>
  <si>
    <t>08/2028</t>
  </si>
  <si>
    <t>08/2029</t>
  </si>
  <si>
    <t>09/2024</t>
  </si>
  <si>
    <t>09/2025</t>
  </si>
  <si>
    <t>09/2026</t>
  </si>
  <si>
    <t>09/2027</t>
  </si>
  <si>
    <t>09/2028</t>
  </si>
  <si>
    <t>09/2029</t>
  </si>
  <si>
    <t>10/2024</t>
  </si>
  <si>
    <t>10/2025</t>
  </si>
  <si>
    <t>10/2026</t>
  </si>
  <si>
    <t>10/2027</t>
  </si>
  <si>
    <t>10/2028</t>
  </si>
  <si>
    <t>11/2024</t>
  </si>
  <si>
    <t>11/2025</t>
  </si>
  <si>
    <t>11/2026</t>
  </si>
  <si>
    <t>11/2027</t>
  </si>
  <si>
    <t>11/2028</t>
  </si>
  <si>
    <t>12/2024</t>
  </si>
  <si>
    <t>12/2025</t>
  </si>
  <si>
    <t>12/2026</t>
  </si>
  <si>
    <t>12/2027</t>
  </si>
  <si>
    <t>12/2028</t>
  </si>
  <si>
    <t>DESPESAS ADMINISTRATIVAS</t>
  </si>
  <si>
    <t>DESPESA COM SISTEMAS Total</t>
  </si>
  <si>
    <t>SERVIÇOS TERCEIRIZADOS Total</t>
  </si>
  <si>
    <t>DESPESAS COM OCUPAÇÃO</t>
  </si>
  <si>
    <t>MATERIAL PAPELARIA/COPA/COZINHA Total</t>
  </si>
  <si>
    <t>ADIANTAMENTO DE SALARIO Total</t>
  </si>
  <si>
    <t>SALARIOS Total</t>
  </si>
  <si>
    <t>DESPESAS COM VEICULOS</t>
  </si>
  <si>
    <t>DESPESAS COM VIAGENS</t>
  </si>
  <si>
    <t>ALIMENTAÇÃO Total</t>
  </si>
  <si>
    <t>DESPESAS DIVERSAS</t>
  </si>
  <si>
    <t>COMPRA DE BENS/EQUIPAMENTOS Total</t>
  </si>
  <si>
    <t>PAGAMENTO DE EMPRESTIMOS (BANCOS) Total</t>
  </si>
  <si>
    <t>PARCELA DO FINANCIAMENTO Total</t>
  </si>
  <si>
    <t>TARIFAS BANCÁRIAS Total</t>
  </si>
  <si>
    <t>IMPOSTOS E TAXAS DIVERSAS</t>
  </si>
  <si>
    <t>Banco</t>
  </si>
  <si>
    <t>Conta</t>
  </si>
  <si>
    <t>Banco-conta</t>
  </si>
  <si>
    <t>65204-0</t>
  </si>
  <si>
    <t>MERCADO PAGO SINCE</t>
  </si>
  <si>
    <t>9511092439-1</t>
  </si>
  <si>
    <t>MERCADO PAGO FARMEL</t>
  </si>
  <si>
    <t xml:space="preserve">NÍVEL </t>
  </si>
  <si>
    <t>AV</t>
  </si>
  <si>
    <t>AH</t>
  </si>
  <si>
    <t>RECEITA OPERACIONAL BRUTA (+)</t>
  </si>
  <si>
    <t>VENDAS DE MERCADORIAS</t>
  </si>
  <si>
    <t>DEDUÇÕES DA RECEITA BRUTA (-)</t>
  </si>
  <si>
    <t>IMPOSTO SOBRE VENDA - DARF</t>
  </si>
  <si>
    <t>SUBSTITUIÇÃO TRIBUTÁRIA</t>
  </si>
  <si>
    <t>ISS</t>
  </si>
  <si>
    <t>PIS</t>
  </si>
  <si>
    <t>COFINS</t>
  </si>
  <si>
    <t>RECEITA OPERACIONAL LÍQUIDA (=)</t>
  </si>
  <si>
    <t>CUSTOS VARIÁVEIS</t>
  </si>
  <si>
    <t>CUSTO DOS SERVIÇOS PRESTADOS</t>
  </si>
  <si>
    <t>CUSTO DA MERCADORIA VENDIDA (CMV)</t>
  </si>
  <si>
    <t>DESPESAS COM VENDAS</t>
  </si>
  <si>
    <t>DIÁRIA DO MOTORISTA</t>
  </si>
  <si>
    <t>OUTROS CUSTOS VARIÁVEIS</t>
  </si>
  <si>
    <t>LUCRO OPERACIONAL BRUTO (MC) (+/-)</t>
  </si>
  <si>
    <t>DESPESAS FIXAS (-)</t>
  </si>
  <si>
    <t>PRO-LABORE</t>
  </si>
  <si>
    <t>BONIFICAÇÃO</t>
  </si>
  <si>
    <t>CONFRATERNIZAÇÕES</t>
  </si>
  <si>
    <t>HORAS EXTRAS</t>
  </si>
  <si>
    <t>IRRF</t>
  </si>
  <si>
    <t>CONVÊNIO FARMÁCIA</t>
  </si>
  <si>
    <t>CONVÊNIO ODONTOLÓGICO</t>
  </si>
  <si>
    <t>CONVENIO SUPERMERCADO</t>
  </si>
  <si>
    <t>SEGURO DE VIDA COLETIVO</t>
  </si>
  <si>
    <t>UNIFORMES</t>
  </si>
  <si>
    <t>RESCISÃO</t>
  </si>
  <si>
    <t>PROVISIONAMENTO FOLHA PGTO</t>
  </si>
  <si>
    <t>EPI</t>
  </si>
  <si>
    <t>CURSOS E TREINAMENTOS</t>
  </si>
  <si>
    <t>CONSULTORIA/ASSESSORIA</t>
  </si>
  <si>
    <t>CREA/ASSOCIAÇÕES</t>
  </si>
  <si>
    <t>CORREIOS</t>
  </si>
  <si>
    <t>CUSTAS JUDICIAIS</t>
  </si>
  <si>
    <t>CUSTAS DE CARTÓRIO</t>
  </si>
  <si>
    <t>ALUGUEL VEICULAR</t>
  </si>
  <si>
    <t>LAVAGEM VEÍCULOS</t>
  </si>
  <si>
    <t>MONITORAMENTO</t>
  </si>
  <si>
    <t>CONDOMINIO</t>
  </si>
  <si>
    <t>SERVIÇOS GRAFICOS</t>
  </si>
  <si>
    <t>IPTU</t>
  </si>
  <si>
    <t>FRETES E TRANSLADOS</t>
  </si>
  <si>
    <t>PASSAGEM AÉREA</t>
  </si>
  <si>
    <t>DESPESAS A CLASSIFICAR</t>
  </si>
  <si>
    <t>AJUSTE DE SALDO POSITIVO</t>
  </si>
  <si>
    <t>AJUSTE DE SALDO NEGATIVO</t>
  </si>
  <si>
    <t>LUCRO OPERACIONAL LÍQUIDO (EBITDA) (=)</t>
  </si>
  <si>
    <t>(+/-) RESULTADO FINANCEIRO LÍQUIDO</t>
  </si>
  <si>
    <t>JUROS LIMITE DE CONTA</t>
  </si>
  <si>
    <t>IOF</t>
  </si>
  <si>
    <t>JUROS CONTA GARANTIDA</t>
  </si>
  <si>
    <t>RESULTADO NÃO OPERACIONAL (+/-)</t>
  </si>
  <si>
    <t>APLICAÇÕES</t>
  </si>
  <si>
    <t>PARCELA CONSÓRCIOS</t>
  </si>
  <si>
    <t>PARCELA EMPRÉSTIMOS</t>
  </si>
  <si>
    <t>RECEITAS NÃO OPERACIONAIS</t>
  </si>
  <si>
    <t>ENTRADA DE EMPRÉSTIMO (BANCOS)</t>
  </si>
  <si>
    <t>ENTRADA DE EMPRESTIMOS (SÓCIOS)</t>
  </si>
  <si>
    <t>RETORNO DE APLICAÇÕES</t>
  </si>
  <si>
    <t>JUROS RECEBIDOS DE APLICAÇÃO</t>
  </si>
  <si>
    <t>VENDA DE EQUIPAMENTOS</t>
  </si>
  <si>
    <t>VENDA DE PATRIMÔNIO</t>
  </si>
  <si>
    <t>OUTRAS RECEITAS NÃO OPERACIONAIS</t>
  </si>
  <si>
    <t>RESULTADO LÍQUIDO DO EXERCÍCIO ANTES DO IR E CS</t>
  </si>
  <si>
    <t>IRPJ</t>
  </si>
  <si>
    <t>CSLL</t>
  </si>
  <si>
    <t>RESULTADO LÍQUIDO DO EXERCÍCIO APÓS IR E CS (=)</t>
  </si>
  <si>
    <t>NÍVEL 2</t>
  </si>
  <si>
    <t>NÍVEL 1</t>
  </si>
  <si>
    <t>COMISSÃO DE VENDEDORES</t>
  </si>
  <si>
    <t>JUROS PAGO BOLETO ATRASADO</t>
  </si>
  <si>
    <t>ORDEM</t>
  </si>
  <si>
    <t>SUBTOTAL</t>
  </si>
  <si>
    <t>A</t>
  </si>
  <si>
    <t>ST</t>
  </si>
  <si>
    <t>RESULTADO OPERACIONAL BRUTO (MC) (+/-)</t>
  </si>
  <si>
    <t>RESULTADO OPERACIONAL LÍQUIDO (EBITDA) (=)</t>
  </si>
  <si>
    <t>RESULTADO LÍQUIDO DO EXERCÍCIO (=)</t>
  </si>
  <si>
    <t>PRESTAÇÃO DE SERVIÇOS</t>
  </si>
  <si>
    <t>VENDA DE PRODUTO</t>
  </si>
  <si>
    <t>OUTRAS RECEITAS OPERACIONAIS</t>
  </si>
  <si>
    <t>JUROS RECEBIDO DE CLIENTE</t>
  </si>
  <si>
    <t>DESCONTOS CONCEDIDOS</t>
  </si>
  <si>
    <t>DEVOLUÇÕES DE VENDAS</t>
  </si>
  <si>
    <t>CUSTO DOS MATERIAIS VENDIDOS</t>
  </si>
  <si>
    <t>DESPESAS FINANCEIRAS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</si>
</sst>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R$ -416]#,##0.00"/>
    <numFmt numFmtId="165" formatCode="dd/mm/yyyy"/>
    <numFmt numFmtId="166" formatCode="d/m"/>
    <numFmt numFmtId="167" formatCode="dd/mm"/>
    <numFmt numFmtId="168" formatCode="d/m/yy"/>
    <numFmt numFmtId="169" formatCode="d/m/yyyy"/>
    <numFmt numFmtId="170" formatCode="mmmm/yyyy"/>
  </numFmts>
  <fonts count="1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8.0"/>
      <color rgb="FF000000"/>
      <name val="Arial"/>
    </font>
    <font>
      <color rgb="FF000000"/>
      <name val="Arial"/>
    </font>
    <font>
      <color rgb="FF454545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u/>
      <color rgb="FF0000FF"/>
    </font>
    <font>
      <sz val="11.0"/>
      <color rgb="FF00B050"/>
      <name val="Calibri"/>
    </font>
    <font>
      <sz val="11.0"/>
      <color rgb="FFFF0000"/>
      <name val="Calibri"/>
    </font>
    <font>
      <b/>
      <sz val="11.0"/>
      <color rgb="FFFFFFFF"/>
      <name val="Calibri"/>
    </font>
    <font>
      <sz val="11.0"/>
      <color rgb="FF0070C0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DEDED"/>
        <bgColor rgb="FFEDEDED"/>
      </patternFill>
    </fill>
    <fill>
      <patternFill patternType="solid">
        <fgColor rgb="FF0070C0"/>
        <bgColor rgb="FF0070C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dotted">
        <color rgb="FF375623"/>
      </right>
      <top style="double">
        <color rgb="FF375623"/>
      </top>
      <bottom style="double">
        <color rgb="FF375623"/>
      </bottom>
    </border>
    <border>
      <right style="dotted">
        <color rgb="FF375623"/>
      </right>
      <top style="dotted">
        <color rgb="FF375623"/>
      </top>
    </border>
    <border>
      <right style="dotted">
        <color rgb="FF375623"/>
      </right>
      <bottom style="dotted">
        <color rgb="FF375623"/>
      </bottom>
    </border>
    <border>
      <right style="dotted">
        <color rgb="FF375623"/>
      </right>
    </border>
    <border>
      <bottom style="dotted">
        <color rgb="FF375623"/>
      </bottom>
    </border>
    <border>
      <top style="dotted">
        <color rgb="FF375623"/>
      </top>
    </border>
    <border>
      <right style="dotted">
        <color rgb="FF375623"/>
      </right>
      <top style="dotted">
        <color rgb="FF375623"/>
      </top>
      <bottom style="dotted">
        <color rgb="FF375623"/>
      </bottom>
    </border>
    <border>
      <right style="dotted">
        <color rgb="FF375623"/>
      </right>
      <bottom style="double">
        <color rgb="FF375623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1"/>
    </xf>
    <xf borderId="0" fillId="2" fontId="1" numFmtId="164" xfId="0" applyAlignment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left" vertical="center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horizontal="left" readingOrder="0"/>
    </xf>
    <xf borderId="0" fillId="0" fontId="2" numFmtId="166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0" fontId="2" numFmtId="167" xfId="0" applyAlignment="1" applyFont="1" applyNumberFormat="1">
      <alignment horizontal="center" readingOrder="0"/>
    </xf>
    <xf borderId="0" fillId="0" fontId="2" numFmtId="167" xfId="0" applyAlignment="1" applyFont="1" applyNumberFormat="1">
      <alignment horizontal="left" readingOrder="0"/>
    </xf>
    <xf borderId="0" fillId="0" fontId="2" numFmtId="166" xfId="0" applyAlignment="1" applyFont="1" applyNumberFormat="1">
      <alignment horizontal="center" readingOrder="0"/>
    </xf>
    <xf borderId="0" fillId="2" fontId="4" numFmtId="0" xfId="0" applyAlignment="1" applyFont="1">
      <alignment horizontal="left" readingOrder="0"/>
    </xf>
    <xf borderId="0" fillId="0" fontId="2" numFmtId="168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 vertical="bottom"/>
    </xf>
    <xf borderId="0" fillId="0" fontId="4" numFmtId="0" xfId="0" applyAlignment="1" applyFont="1">
      <alignment horizontal="left" readingOrder="0"/>
    </xf>
    <xf borderId="0" fillId="0" fontId="1" numFmtId="165" xfId="0" applyAlignment="1" applyFont="1" applyNumberFormat="1">
      <alignment horizontal="center" readingOrder="0" vertical="bottom"/>
    </xf>
    <xf borderId="0" fillId="0" fontId="1" numFmtId="165" xfId="0" applyAlignment="1" applyFont="1" applyNumberForma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0" fillId="2" fontId="2" numFmtId="164" xfId="0" applyAlignment="1" applyFont="1" applyNumberFormat="1">
      <alignment horizontal="center" readingOrder="0"/>
    </xf>
    <xf borderId="0" fillId="0" fontId="2" numFmtId="169" xfId="0" applyAlignment="1" applyFont="1" applyNumberFormat="1">
      <alignment horizontal="center" readingOrder="0"/>
    </xf>
    <xf borderId="0" fillId="2" fontId="1" numFmtId="164" xfId="0" applyAlignment="1" applyFont="1" applyNumberFormat="1">
      <alignment horizontal="center" readingOrder="0" vertical="bottom"/>
    </xf>
    <xf borderId="0" fillId="0" fontId="1" numFmtId="164" xfId="0" applyAlignment="1" applyFont="1" applyNumberFormat="1">
      <alignment vertical="bottom"/>
    </xf>
    <xf borderId="0" fillId="0" fontId="1" numFmtId="166" xfId="0" applyAlignment="1" applyFont="1" applyNumberFormat="1">
      <alignment horizontal="left" readingOrder="0" vertical="bottom"/>
    </xf>
    <xf borderId="0" fillId="0" fontId="1" numFmtId="169" xfId="0" applyAlignment="1" applyFont="1" applyNumberFormat="1">
      <alignment horizontal="center" readingOrder="0" vertical="bottom"/>
    </xf>
    <xf borderId="0" fillId="0" fontId="1" numFmtId="164" xfId="0" applyAlignment="1" applyFont="1" applyNumberFormat="1">
      <alignment horizontal="center" vertical="bottom"/>
    </xf>
    <xf borderId="0" fillId="2" fontId="1" numFmtId="164" xfId="0" applyAlignment="1" applyFont="1" applyNumberFormat="1">
      <alignment horizontal="center" vertical="bottom"/>
    </xf>
    <xf borderId="0" fillId="0" fontId="1" numFmtId="169" xfId="0" applyAlignment="1" applyFont="1" applyNumberFormat="1">
      <alignment horizontal="center" vertical="bottom"/>
    </xf>
    <xf borderId="0" fillId="0" fontId="1" numFmtId="166" xfId="0" applyAlignment="1" applyFont="1" applyNumberFormat="1">
      <alignment horizontal="left" vertical="bottom"/>
    </xf>
    <xf borderId="0" fillId="0" fontId="1" numFmtId="166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2" fontId="2" numFmtId="0" xfId="0" applyAlignment="1" applyFont="1">
      <alignment readingOrder="0"/>
    </xf>
    <xf borderId="0" fillId="2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165" xfId="0" applyAlignment="1" applyFont="1" applyNumberFormat="1">
      <alignment horizontal="center" readingOrder="0"/>
    </xf>
    <xf borderId="0" fillId="2" fontId="1" numFmtId="165" xfId="0" applyAlignment="1" applyFont="1" applyNumberFormat="1">
      <alignment horizontal="center" readingOrder="0" vertical="bottom"/>
    </xf>
    <xf borderId="0" fillId="0" fontId="5" numFmtId="0" xfId="0" applyAlignment="1" applyFont="1">
      <alignment readingOrder="0"/>
    </xf>
    <xf borderId="0" fillId="0" fontId="1" numFmtId="169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4" fontId="1" numFmtId="0" xfId="0" applyAlignment="1" applyFill="1" applyFont="1">
      <alignment readingOrder="0" vertical="bottom"/>
    </xf>
    <xf borderId="0" fillId="5" fontId="1" numFmtId="0" xfId="0" applyAlignment="1" applyFill="1" applyFont="1">
      <alignment readingOrder="0" vertical="bottom"/>
    </xf>
    <xf borderId="0" fillId="5" fontId="2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6" fontId="1" numFmtId="0" xfId="0" applyAlignment="1" applyFont="1">
      <alignment readingOrder="0" vertical="bottom"/>
    </xf>
    <xf borderId="0" fillId="4" fontId="4" numFmtId="165" xfId="0" applyAlignment="1" applyFont="1" applyNumberFormat="1">
      <alignment horizontal="center" readingOrder="0" vertical="bottom"/>
    </xf>
    <xf borderId="0" fillId="4" fontId="4" numFmtId="0" xfId="0" applyAlignment="1" applyFont="1">
      <alignment vertical="bottom"/>
    </xf>
    <xf borderId="0" fillId="4" fontId="4" numFmtId="165" xfId="0" applyAlignment="1" applyFont="1" applyNumberFormat="1">
      <alignment horizontal="center" vertical="bottom"/>
    </xf>
    <xf borderId="0" fillId="4" fontId="4" numFmtId="0" xfId="0" applyAlignment="1" applyFont="1">
      <alignment readingOrder="0" vertical="bottom"/>
    </xf>
    <xf borderId="0" fillId="4" fontId="4" numFmtId="164" xfId="0" applyAlignment="1" applyFont="1" applyNumberFormat="1">
      <alignment horizontal="center" readingOrder="0" vertical="bottom"/>
    </xf>
    <xf borderId="0" fillId="4" fontId="4" numFmtId="164" xfId="0" applyAlignment="1" applyFont="1" applyNumberFormat="1">
      <alignment vertical="bottom"/>
    </xf>
    <xf borderId="0" fillId="4" fontId="4" numFmtId="164" xfId="0" applyAlignment="1" applyFont="1" applyNumberFormat="1">
      <alignment horizontal="center" vertical="bottom"/>
    </xf>
    <xf borderId="0" fillId="2" fontId="2" numFmtId="164" xfId="0" applyAlignment="1" applyFont="1" applyNumberFormat="1">
      <alignment horizontal="center"/>
    </xf>
    <xf borderId="0" fillId="0" fontId="1" numFmtId="0" xfId="0" applyAlignment="1" applyFont="1">
      <alignment horizontal="center" readingOrder="0" vertical="bottom"/>
    </xf>
    <xf borderId="0" fillId="2" fontId="1" numFmtId="164" xfId="0" applyAlignment="1" applyFont="1" applyNumberFormat="1">
      <alignment horizontal="left" readingOrder="0" vertical="bottom"/>
    </xf>
    <xf borderId="0" fillId="3" fontId="1" numFmtId="0" xfId="0" applyAlignment="1" applyFont="1">
      <alignment horizontal="center" readingOrder="0" shrinkToFit="0" vertical="bottom" wrapText="1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shrinkToFit="0" wrapText="1"/>
    </xf>
    <xf borderId="0" fillId="0" fontId="1" numFmtId="164" xfId="0" applyAlignment="1" applyFont="1" applyNumberFormat="1">
      <alignment horizontal="left" readingOrder="0" vertical="bottom"/>
    </xf>
    <xf borderId="0" fillId="2" fontId="2" numFmtId="164" xfId="0" applyAlignment="1" applyFont="1" applyNumberFormat="1">
      <alignment horizontal="left" readingOrder="0"/>
    </xf>
    <xf borderId="0" fillId="0" fontId="2" numFmtId="165" xfId="0" applyAlignment="1" applyFont="1" applyNumberFormat="1">
      <alignment horizontal="center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readingOrder="0" vertical="bottom"/>
    </xf>
    <xf borderId="0" fillId="0" fontId="2" numFmtId="164" xfId="0" applyAlignment="1" applyFont="1" applyNumberFormat="1">
      <alignment horizontal="left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7" fontId="2" numFmtId="0" xfId="0" applyAlignment="1" applyFill="1" applyFont="1">
      <alignment horizontal="center" readingOrder="0"/>
    </xf>
    <xf borderId="0" fillId="8" fontId="2" numFmtId="0" xfId="0" applyAlignment="1" applyFill="1" applyFont="1">
      <alignment horizontal="center" readingOrder="0"/>
    </xf>
    <xf borderId="0" fillId="9" fontId="2" numFmtId="0" xfId="0" applyAlignment="1" applyFill="1" applyFont="1">
      <alignment horizontal="center" readingOrder="0" shrinkToFit="0" wrapText="1"/>
    </xf>
    <xf borderId="0" fillId="10" fontId="2" numFmtId="164" xfId="0" applyAlignment="1" applyFill="1" applyFont="1" applyNumberFormat="1">
      <alignment horizontal="center" readingOrder="0"/>
    </xf>
    <xf borderId="0" fillId="11" fontId="2" numFmtId="164" xfId="0" applyAlignment="1" applyFill="1" applyFont="1" applyNumberFormat="1">
      <alignment horizontal="center"/>
    </xf>
    <xf borderId="0" fillId="12" fontId="6" numFmtId="164" xfId="0" applyAlignment="1" applyFill="1" applyFont="1" applyNumberFormat="1">
      <alignment horizontal="center" readingOrder="0"/>
    </xf>
    <xf borderId="0" fillId="11" fontId="6" numFmtId="164" xfId="0" applyAlignment="1" applyFont="1" applyNumberFormat="1">
      <alignment horizontal="center"/>
    </xf>
    <xf borderId="0" fillId="0" fontId="2" numFmtId="164" xfId="0" applyAlignment="1" applyFont="1" applyNumberFormat="1">
      <alignment readingOrder="0"/>
    </xf>
    <xf borderId="0" fillId="3" fontId="1" numFmtId="0" xfId="0" applyAlignment="1" applyFont="1">
      <alignment horizontal="center" readingOrder="0" vertical="bottom"/>
    </xf>
    <xf borderId="0" fillId="0" fontId="2" numFmtId="165" xfId="0" applyAlignment="1" applyFont="1" applyNumberFormat="1">
      <alignment readingOrder="0"/>
    </xf>
    <xf borderId="0" fillId="0" fontId="2" numFmtId="164" xfId="0" applyFont="1" applyNumberFormat="1"/>
    <xf borderId="0" fillId="13" fontId="2" numFmtId="0" xfId="0" applyAlignment="1" applyFill="1" applyFont="1">
      <alignment horizontal="center"/>
    </xf>
    <xf borderId="0" fillId="13" fontId="2" numFmtId="165" xfId="0" applyAlignment="1" applyFont="1" applyNumberFormat="1">
      <alignment horizontal="center" readingOrder="0"/>
    </xf>
    <xf borderId="0" fillId="13" fontId="2" numFmtId="0" xfId="0" applyAlignment="1" applyFont="1">
      <alignment horizontal="center" readingOrder="0"/>
    </xf>
    <xf borderId="0" fillId="13" fontId="2" numFmtId="164" xfId="0" applyAlignment="1" applyFont="1" applyNumberFormat="1">
      <alignment horizontal="center" readingOrder="0"/>
    </xf>
    <xf borderId="0" fillId="0" fontId="2" numFmtId="165" xfId="0" applyFont="1" applyNumberFormat="1"/>
    <xf borderId="1" fillId="14" fontId="6" numFmtId="0" xfId="0" applyAlignment="1" applyBorder="1" applyFill="1" applyFont="1">
      <alignment horizontal="center" readingOrder="0"/>
    </xf>
    <xf borderId="2" fillId="0" fontId="2" numFmtId="164" xfId="0" applyAlignment="1" applyBorder="1" applyFont="1" applyNumberFormat="1">
      <alignment horizontal="center"/>
    </xf>
    <xf borderId="3" fillId="15" fontId="6" numFmtId="0" xfId="0" applyAlignment="1" applyBorder="1" applyFill="1" applyFont="1">
      <alignment horizontal="center" readingOrder="0"/>
    </xf>
    <xf borderId="4" fillId="0" fontId="2" numFmtId="164" xfId="0" applyAlignment="1" applyBorder="1" applyFont="1" applyNumberFormat="1">
      <alignment horizontal="center"/>
    </xf>
    <xf borderId="3" fillId="14" fontId="6" numFmtId="0" xfId="0" applyAlignment="1" applyBorder="1" applyFont="1">
      <alignment horizontal="center" readingOrder="0"/>
    </xf>
    <xf borderId="5" fillId="15" fontId="6" numFmtId="0" xfId="0" applyAlignment="1" applyBorder="1" applyFont="1">
      <alignment horizontal="center" readingOrder="0"/>
    </xf>
    <xf borderId="6" fillId="0" fontId="2" numFmtId="164" xfId="0" applyAlignment="1" applyBorder="1" applyFont="1" applyNumberFormat="1">
      <alignment horizontal="center"/>
    </xf>
    <xf borderId="5" fillId="0" fontId="2" numFmtId="0" xfId="0" applyAlignment="1" applyBorder="1" applyFont="1">
      <alignment horizontal="center" readingOrder="0"/>
    </xf>
    <xf borderId="7" fillId="0" fontId="2" numFmtId="0" xfId="0" applyAlignment="1" applyBorder="1" applyFont="1">
      <alignment horizontal="center" readingOrder="0"/>
    </xf>
    <xf borderId="8" fillId="0" fontId="2" numFmtId="164" xfId="0" applyAlignment="1" applyBorder="1" applyFont="1" applyNumberFormat="1">
      <alignment horizontal="center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2" fontId="7" numFmtId="0" xfId="0" applyAlignment="1" applyFont="1">
      <alignment readingOrder="0" vertical="bottom"/>
    </xf>
    <xf borderId="0" fillId="0" fontId="2" numFmtId="169" xfId="0" applyFont="1" applyNumberFormat="1"/>
    <xf borderId="0" fillId="0" fontId="8" numFmtId="0" xfId="0" applyFont="1"/>
    <xf borderId="0" fillId="0" fontId="2" numFmtId="170" xfId="0" applyAlignment="1" applyFont="1" applyNumberFormat="1">
      <alignment horizontal="center" readingOrder="0"/>
    </xf>
    <xf borderId="0" fillId="16" fontId="9" numFmtId="0" xfId="0" applyAlignment="1" applyFill="1" applyFont="1">
      <alignment horizontal="center" readingOrder="0" shrinkToFit="0" vertical="bottom" wrapText="0"/>
    </xf>
    <xf borderId="9" fillId="16" fontId="9" numFmtId="0" xfId="0" applyAlignment="1" applyBorder="1" applyFont="1">
      <alignment readingOrder="0" shrinkToFit="0" vertical="bottom" wrapText="0"/>
    </xf>
    <xf borderId="10" fillId="0" fontId="7" numFmtId="0" xfId="0" applyAlignment="1" applyBorder="1" applyFont="1">
      <alignment horizontal="left" readingOrder="0" shrinkToFit="0" vertical="bottom" wrapText="0"/>
    </xf>
    <xf borderId="9" fillId="16" fontId="10" numFmtId="0" xfId="0" applyAlignment="1" applyBorder="1" applyFont="1">
      <alignment readingOrder="0" shrinkToFit="0" vertical="bottom" wrapText="0"/>
    </xf>
    <xf borderId="11" fillId="0" fontId="7" numFmtId="0" xfId="0" applyAlignment="1" applyBorder="1" applyFont="1">
      <alignment horizontal="left" readingOrder="0" shrinkToFit="0" vertical="bottom" wrapText="0"/>
    </xf>
    <xf borderId="0" fillId="17" fontId="11" numFmtId="0" xfId="0" applyAlignment="1" applyFill="1" applyFont="1">
      <alignment readingOrder="0" shrinkToFit="0" vertical="bottom" wrapText="0"/>
    </xf>
    <xf borderId="12" fillId="0" fontId="7" numFmtId="0" xfId="0" applyAlignment="1" applyBorder="1" applyFont="1">
      <alignment horizontal="left" readingOrder="0" shrinkToFit="0" vertical="bottom" wrapText="0"/>
    </xf>
    <xf borderId="13" fillId="0" fontId="7" numFmtId="0" xfId="0" applyAlignment="1" applyBorder="1" applyFont="1">
      <alignment horizontal="left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14" fillId="0" fontId="7" numFmtId="0" xfId="0" applyAlignment="1" applyBorder="1" applyFont="1">
      <alignment horizontal="left" readingOrder="0" shrinkToFit="0" vertical="bottom" wrapText="0"/>
    </xf>
    <xf borderId="9" fillId="16" fontId="12" numFmtId="0" xfId="0" applyAlignment="1" applyBorder="1" applyFont="1">
      <alignment readingOrder="0" shrinkToFit="0" vertical="bottom" wrapText="0"/>
    </xf>
    <xf borderId="15" fillId="0" fontId="7" numFmtId="0" xfId="0" applyAlignment="1" applyBorder="1" applyFont="1">
      <alignment horizontal="left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16" fillId="16" fontId="10" numFmtId="0" xfId="0" applyAlignment="1" applyBorder="1" applyFont="1">
      <alignment readingOrder="0" shrinkToFit="0" vertical="bottom" wrapText="0"/>
    </xf>
    <xf borderId="15" fillId="0" fontId="7" numFmtId="0" xfId="0" applyAlignment="1" applyBorder="1" applyFont="1">
      <alignment readingOrder="0" shrinkToFit="0" vertical="bottom" wrapText="0"/>
    </xf>
    <xf borderId="16" fillId="16" fontId="9" numFmtId="0" xfId="0" applyAlignment="1" applyBorder="1" applyFont="1">
      <alignment readingOrder="0" shrinkToFit="0" vertical="bottom" wrapText="0"/>
    </xf>
    <xf borderId="11" fillId="0" fontId="7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>
        <b/>
        <color rgb="FF00B050"/>
      </font>
      <fill>
        <patternFill patternType="solid">
          <fgColor rgb="FFFFFFFF"/>
          <bgColor rgb="FFFFFFFF"/>
        </patternFill>
      </fill>
      <border/>
    </dxf>
    <dxf>
      <font>
        <b/>
        <color theme="5"/>
      </font>
      <fill>
        <patternFill patternType="solid">
          <fgColor theme="0"/>
          <bgColor theme="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1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pivotCacheDefinition" Target="pivotCache/pivotCacheDefinition2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5717" sheet="SALDO DAS CONTAS"/>
  </cacheSource>
  <cacheFields>
    <cacheField name="CONTA" numFmtId="0">
      <sharedItems containsBlank="1">
        <s v="BANCO DO BRASIL - 65204-0"/>
        <s v="MERCADO PAGO SINCE - 9511092439-1"/>
        <m/>
      </sharedItems>
    </cacheField>
    <cacheField name="DATA" numFmtId="165">
      <sharedItems containsDate="1" containsString="0" containsBlank="1">
        <d v="2024-08-01T00:00:00Z"/>
        <d v="2024-08-02T00:00:00Z"/>
        <d v="2024-08-03T00:00:00Z"/>
        <d v="2024-08-04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2T00:00:00Z"/>
        <d v="2024-08-13T00:00:00Z"/>
        <d v="2024-08-14T00:00:00Z"/>
        <d v="2024-08-15T00:00:00Z"/>
        <d v="2024-08-16T00:00:00Z"/>
        <d v="2024-08-17T00:00:00Z"/>
        <d v="2024-08-18T00:00:00Z"/>
        <d v="2024-08-19T00:00:00Z"/>
        <d v="2024-08-20T00:00:00Z"/>
        <d v="2024-08-21T00:00:00Z"/>
        <d v="2024-08-22T00:00:00Z"/>
        <d v="2024-08-23T00:00:00Z"/>
        <d v="2024-08-24T00:00:00Z"/>
        <d v="2024-08-25T00:00:00Z"/>
        <d v="2024-08-26T00:00:00Z"/>
        <d v="2024-08-27T00:00:00Z"/>
        <d v="2024-08-28T00:00:00Z"/>
        <d v="2024-08-29T00:00:00Z"/>
        <d v="2024-08-30T00:00:00Z"/>
        <d v="2024-08-31T00:00:00Z"/>
        <d v="2024-09-01T00:00:00Z"/>
        <d v="2024-09-02T00:00:00Z"/>
        <d v="2024-09-03T00:00:00Z"/>
        <d v="2024-09-04T00:00:00Z"/>
        <d v="2024-09-05T00:00:00Z"/>
        <d v="2024-09-06T00:00:00Z"/>
        <d v="2024-09-07T00:00:00Z"/>
        <d v="2024-09-08T00:00:00Z"/>
        <d v="2024-09-09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3T00:00:00Z"/>
        <d v="2024-09-24T00:00:00Z"/>
        <d v="2024-09-25T00:00:00Z"/>
        <d v="2024-09-26T00:00:00Z"/>
        <d v="2024-09-27T00:00:00Z"/>
        <d v="2024-09-28T00:00:00Z"/>
        <d v="2024-09-29T00:00:00Z"/>
        <d v="2024-09-30T00:00:00Z"/>
        <d v="2024-10-01T00:00:00Z"/>
        <d v="2024-10-02T00:00:00Z"/>
        <d v="2024-10-03T00:00:00Z"/>
        <d v="2024-10-04T00:00:00Z"/>
        <d v="2024-10-05T00:00:00Z"/>
        <d v="2024-10-06T00:00:00Z"/>
        <d v="2024-10-07T00:00:00Z"/>
        <d v="2024-10-08T00:00:00Z"/>
        <d v="2024-10-09T00:00:00Z"/>
        <d v="2024-10-10T00:00:00Z"/>
        <d v="2024-10-11T00:00:00Z"/>
        <d v="2024-10-12T00:00:00Z"/>
        <d v="2024-10-13T00:00:00Z"/>
        <d v="2024-10-14T00:00:00Z"/>
        <d v="2024-10-15T00:00:00Z"/>
        <d v="2024-10-16T00:00:00Z"/>
        <d v="2024-10-17T00:00:00Z"/>
        <d v="2024-10-18T00:00:00Z"/>
        <d v="2024-10-19T00:00:00Z"/>
        <d v="2024-10-20T00:00:00Z"/>
        <d v="2024-10-21T00:00:00Z"/>
        <d v="2024-10-22T00:00:00Z"/>
        <d v="2024-10-23T00:00:00Z"/>
        <d v="2024-10-24T00:00:00Z"/>
        <d v="2024-10-25T00:00:00Z"/>
        <d v="2024-10-26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  <d v="2024-12-17T00:00:00Z"/>
        <d v="2024-12-18T00:00:00Z"/>
        <d v="2024-12-19T00:00:00Z"/>
        <d v="2024-12-20T00:00:00Z"/>
        <d v="2024-12-21T00:00:00Z"/>
        <d v="2024-12-22T00:00:00Z"/>
        <d v="2024-12-23T00:00:00Z"/>
        <d v="2024-12-24T00:00:00Z"/>
        <d v="2024-12-25T00:00:00Z"/>
        <d v="2024-12-26T00:00:00Z"/>
        <d v="2024-12-27T00:00:00Z"/>
        <d v="2024-12-28T00:00:00Z"/>
        <d v="2024-12-29T00:00:00Z"/>
        <d v="2024-12-30T00:00:00Z"/>
        <d v="2024-12-31T00:00:00Z"/>
        <d v="2025-01-01T00:00:00Z"/>
        <d v="2025-01-02T00:00:00Z"/>
        <d v="2025-01-03T00:00:00Z"/>
        <d v="2025-01-04T00:00:00Z"/>
        <d v="2025-01-05T00:00:00Z"/>
        <d v="2025-01-06T00:00:00Z"/>
        <d v="2025-01-07T00:00:00Z"/>
        <d v="2025-01-08T00:00:00Z"/>
        <d v="2025-01-09T00:00:00Z"/>
        <d v="2025-01-10T00:00:00Z"/>
        <d v="2025-01-11T00:00:00Z"/>
        <d v="2025-01-12T00:00:00Z"/>
        <d v="2025-01-13T00:00:00Z"/>
        <d v="2025-01-14T00:00:00Z"/>
        <d v="2025-01-15T00:00:00Z"/>
        <d v="2025-01-16T00:00:00Z"/>
        <d v="2025-01-17T00:00:00Z"/>
        <d v="2025-01-18T00:00:00Z"/>
        <d v="2025-01-19T00:00:00Z"/>
        <d v="2025-01-20T00:00:00Z"/>
        <d v="2025-01-21T00:00:00Z"/>
        <d v="2025-01-22T00:00:00Z"/>
        <d v="2025-01-23T00:00:00Z"/>
        <d v="2025-01-24T00:00:00Z"/>
        <d v="2025-01-25T00:00:00Z"/>
        <d v="2025-01-26T00:00:00Z"/>
        <d v="2025-01-27T00:00:00Z"/>
        <d v="2025-01-28T00:00:00Z"/>
        <d v="2025-01-29T00:00:00Z"/>
        <d v="2025-01-30T00:00:00Z"/>
        <d v="2025-01-3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0T00:00:00Z"/>
        <d v="2025-02-11T00:00:00Z"/>
        <d v="2025-02-12T00:00:00Z"/>
        <d v="2025-02-13T00:00:00Z"/>
        <d v="2025-02-14T00:00:00Z"/>
        <d v="2025-02-15T00:00:00Z"/>
        <d v="2025-02-16T00:00:00Z"/>
        <d v="2025-02-17T00:00:00Z"/>
        <d v="2025-02-18T00:00:00Z"/>
        <d v="2025-02-19T00:00:00Z"/>
        <d v="2025-02-20T00:00:00Z"/>
        <d v="2025-02-21T00:00:00Z"/>
        <d v="2025-02-22T00:00:00Z"/>
        <d v="2025-02-23T00:00:00Z"/>
        <d v="2025-02-24T00:00:00Z"/>
        <d v="2025-02-25T00:00:00Z"/>
        <d v="2025-02-26T00:00:00Z"/>
        <d v="2025-02-27T00:00:00Z"/>
        <d v="2025-02-28T00:00:00Z"/>
        <d v="2025-03-01T00:00:00Z"/>
        <d v="2025-03-02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6T00:00:00Z"/>
        <d v="2025-03-17T00:00:00Z"/>
        <d v="2025-03-18T00:00:00Z"/>
        <d v="2025-03-19T00:00:00Z"/>
        <d v="2025-03-20T00:00:00Z"/>
        <d v="2025-03-21T00:00:00Z"/>
        <d v="2025-03-22T00:00:00Z"/>
        <d v="2025-03-23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  <d v="2025-04-01T00:00:00Z"/>
        <d v="2025-04-02T00:00:00Z"/>
        <d v="2025-04-03T00:00:00Z"/>
        <d v="2025-04-04T00:00:00Z"/>
        <d v="2025-04-05T00:00:00Z"/>
        <d v="2025-04-06T00:00:00Z"/>
        <d v="2025-04-07T00:00:00Z"/>
        <d v="2025-04-08T00:00:00Z"/>
        <d v="2025-04-09T00:00:00Z"/>
        <d v="2025-04-10T00:00:00Z"/>
        <d v="2025-04-11T00:00:00Z"/>
        <d v="2025-04-12T00:00:00Z"/>
        <d v="2025-04-13T00:00:00Z"/>
        <d v="2025-04-14T00:00:00Z"/>
        <d v="2025-04-15T00:00:00Z"/>
        <d v="2025-04-16T00:00:00Z"/>
        <d v="2025-04-17T00:00:00Z"/>
        <d v="2025-04-18T00:00:00Z"/>
        <d v="2025-04-19T00:00:00Z"/>
        <d v="2025-04-20T00:00:00Z"/>
        <d v="2025-04-21T00:00:00Z"/>
        <d v="2025-04-22T00:00:00Z"/>
        <d v="2025-04-23T00:00:00Z"/>
        <d v="2025-04-24T00:00:00Z"/>
        <d v="2025-04-25T00:00:00Z"/>
        <d v="2025-04-26T00:00:00Z"/>
        <d v="2025-04-27T00:00:00Z"/>
        <d v="2025-04-28T00:00:00Z"/>
        <d v="2025-04-29T00:00:00Z"/>
        <d v="2025-04-30T00:00:00Z"/>
        <d v="2025-05-01T00:00:00Z"/>
        <d v="2025-05-02T00:00:00Z"/>
        <d v="2025-05-03T00:00:00Z"/>
        <d v="2025-05-04T00:00:00Z"/>
        <d v="2025-05-05T00:00:00Z"/>
        <d v="2025-05-06T00:00:00Z"/>
        <d v="2025-05-07T00:00:00Z"/>
        <d v="2025-05-08T00:00:00Z"/>
        <d v="2025-05-09T00:00:00Z"/>
        <d v="2025-05-10T00:00:00Z"/>
        <d v="2025-05-11T00:00:00Z"/>
        <d v="2025-05-12T00:00:00Z"/>
        <d v="2025-05-13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5T00:00:00Z"/>
        <d v="2025-06-06T00:00:00Z"/>
        <d v="2025-06-07T00:00:00Z"/>
        <d v="2025-06-08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0T00:00:00Z"/>
        <d v="2025-06-21T00:00:00Z"/>
        <d v="2025-06-22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5T00:00:00Z"/>
        <d v="2025-07-06T00:00:00Z"/>
        <d v="2025-07-07T00:00:00Z"/>
        <d v="2025-07-08T00:00:00Z"/>
        <d v="2025-07-09T00:00:00Z"/>
        <d v="2025-07-10T00:00:00Z"/>
        <d v="2025-07-11T00:00:00Z"/>
        <d v="2025-07-12T00:00:00Z"/>
        <d v="2025-07-13T00:00:00Z"/>
        <d v="2025-07-14T00:00:00Z"/>
        <d v="2025-07-15T00:00:00Z"/>
        <d v="2025-07-16T00:00:00Z"/>
        <d v="2025-07-17T00:00:00Z"/>
        <d v="2025-07-18T00:00:00Z"/>
        <d v="2025-07-19T00:00:00Z"/>
        <d v="2025-07-20T00:00:00Z"/>
        <d v="2025-07-21T00:00:00Z"/>
        <d v="2025-07-22T00:00:00Z"/>
        <d v="2025-07-23T00:00:00Z"/>
        <d v="2025-07-24T00:00:00Z"/>
        <d v="2025-07-25T00:00:00Z"/>
        <d v="2025-07-26T00:00:00Z"/>
        <d v="2025-07-27T00:00:00Z"/>
        <d v="2025-07-28T00:00:00Z"/>
        <d v="2025-07-29T00:00:00Z"/>
        <d v="2025-07-30T00:00:00Z"/>
        <d v="2025-07-31T00:00:00Z"/>
        <d v="2025-08-01T00:00:00Z"/>
        <d v="2025-08-02T00:00:00Z"/>
        <d v="2025-08-03T00:00:00Z"/>
        <d v="2025-08-04T00:00:00Z"/>
        <d v="2025-08-05T00:00:00Z"/>
        <d v="2025-08-06T00:00:00Z"/>
        <d v="2025-08-07T00:00:00Z"/>
        <d v="2025-08-08T00:00:00Z"/>
        <d v="2025-08-09T00:00:00Z"/>
        <d v="2025-08-10T00:00:00Z"/>
        <d v="2025-08-11T00:00:00Z"/>
        <d v="2025-08-12T00:00:00Z"/>
        <d v="2025-08-13T00:00:00Z"/>
        <d v="2025-08-14T00:00:00Z"/>
        <d v="2025-08-15T00:00:00Z"/>
        <d v="2025-08-16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4T00:00:00Z"/>
        <d v="2025-08-25T00:00:00Z"/>
        <d v="2025-08-26T00:00:00Z"/>
        <d v="2025-08-27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7T00:00:00Z"/>
        <d v="2025-09-08T00:00:00Z"/>
        <d v="2025-09-09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7T00:00:00Z"/>
        <d v="2025-09-18T00:00:00Z"/>
        <d v="2025-09-19T00:00:00Z"/>
        <d v="2025-09-20T00:00:00Z"/>
        <d v="2025-09-21T00:00:00Z"/>
        <d v="2025-09-22T00:00:00Z"/>
        <d v="2025-09-23T00:00:00Z"/>
        <d v="2025-09-24T00:00:00Z"/>
        <d v="2025-09-25T00:00:00Z"/>
        <d v="2025-09-26T00:00:00Z"/>
        <d v="2025-09-27T00:00:00Z"/>
        <d v="2025-09-28T00:00:00Z"/>
        <d v="2025-09-29T00:00:00Z"/>
        <d v="2025-09-30T00:00:00Z"/>
        <d v="2025-10-01T00:00:00Z"/>
        <d v="2025-10-02T00:00:00Z"/>
        <d v="2025-10-03T00:00:00Z"/>
        <d v="2025-10-04T00:00:00Z"/>
        <d v="2025-10-05T00:00:00Z"/>
        <d v="2025-10-06T00:00:00Z"/>
        <d v="2025-10-07T00:00:00Z"/>
        <d v="2025-10-08T00:00:00Z"/>
        <d v="2025-10-09T00:00:00Z"/>
        <d v="2025-10-10T00:00:00Z"/>
        <d v="2025-10-11T00:00:00Z"/>
        <d v="2025-10-12T00:00:00Z"/>
        <d v="2025-10-13T00:00:00Z"/>
        <d v="2025-10-14T00:00:00Z"/>
        <d v="2025-10-15T00:00:00Z"/>
        <d v="2025-10-16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6T00:00:00Z"/>
        <d v="2025-10-27T00:00:00Z"/>
        <d v="2025-10-28T00:00:00Z"/>
        <d v="2025-10-29T00:00:00Z"/>
        <d v="2025-10-30T00:00:00Z"/>
        <d v="2025-10-31T00:00:00Z"/>
        <d v="2025-11-01T00:00:00Z"/>
        <d v="2025-11-02T00:00:00Z"/>
        <d v="2025-11-03T00:00:00Z"/>
        <d v="2025-11-04T00:00:00Z"/>
        <d v="2025-11-05T00:00:00Z"/>
        <d v="2025-11-06T00:00:00Z"/>
        <d v="2025-11-07T00:00:00Z"/>
        <d v="2025-11-08T00:00:00Z"/>
        <d v="2025-11-09T00:00:00Z"/>
        <d v="2025-11-10T00:00:00Z"/>
        <d v="2025-11-11T00:00:00Z"/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19T00:00:00Z"/>
        <d v="2025-11-20T00:00:00Z"/>
        <d v="2025-11-21T00:00:00Z"/>
        <d v="2025-11-22T00:00:00Z"/>
        <d v="2025-11-23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7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1T00:00:00Z"/>
        <d v="2025-12-22T00:00:00Z"/>
        <d v="2025-12-23T00:00:00Z"/>
        <d v="2025-12-24T00:00:00Z"/>
        <d v="2025-12-25T00:00:00Z"/>
        <d v="2025-12-26T00:00:00Z"/>
        <d v="2025-12-27T00:00:00Z"/>
        <d v="2025-12-28T00:00:00Z"/>
        <d v="2025-12-29T00:00:00Z"/>
        <d v="2025-12-30T00:00:00Z"/>
        <d v="2025-12-31T00:00:00Z"/>
        <d v="2026-01-01T00:00:00Z"/>
        <d v="2026-01-02T00:00:00Z"/>
        <d v="2026-01-03T00:00:00Z"/>
        <d v="2026-01-04T00:00:00Z"/>
        <d v="2026-01-05T00:00:00Z"/>
        <d v="2026-01-06T00:00:00Z"/>
        <d v="2026-01-07T00:00:00Z"/>
        <d v="2026-01-08T00:00:00Z"/>
        <d v="2026-01-09T00:00:00Z"/>
        <d v="2026-01-10T00:00:00Z"/>
        <d v="2026-01-11T00:00:00Z"/>
        <d v="2026-01-12T00:00:00Z"/>
        <d v="2026-01-13T00:00:00Z"/>
        <d v="2026-01-14T00:00:00Z"/>
        <d v="2026-01-15T00:00:00Z"/>
        <d v="2026-01-16T00:00:00Z"/>
        <d v="2026-01-17T00:00:00Z"/>
        <d v="2026-01-18T00:00:00Z"/>
        <d v="2026-01-19T00:00:00Z"/>
        <d v="2026-01-20T00:00:00Z"/>
        <d v="2026-01-21T00:00:00Z"/>
        <d v="2026-01-22T00:00:00Z"/>
        <d v="2026-01-23T00:00:00Z"/>
        <d v="2026-01-24T00:00:00Z"/>
        <d v="2026-01-25T00:00:00Z"/>
        <d v="2026-01-26T00:00:00Z"/>
        <d v="2026-01-27T00:00:00Z"/>
        <d v="2026-01-28T00:00:00Z"/>
        <d v="2026-01-29T00:00:00Z"/>
        <d v="2026-01-30T00:00:00Z"/>
        <d v="2026-01-31T00:00:00Z"/>
        <d v="2026-02-01T00:00:00Z"/>
        <d v="2026-02-02T00:00:00Z"/>
        <d v="2026-02-03T00:00:00Z"/>
        <d v="2026-02-04T00:00:00Z"/>
        <d v="2026-02-05T00:00:00Z"/>
        <d v="2026-02-06T00:00:00Z"/>
        <d v="2026-02-07T00:00:00Z"/>
        <d v="2026-02-08T00:00:00Z"/>
        <d v="2026-02-09T00:00:00Z"/>
        <d v="2026-02-10T00:00:00Z"/>
        <d v="2026-02-11T00:00:00Z"/>
        <d v="2026-02-12T00:00:00Z"/>
        <d v="2026-02-13T00:00:00Z"/>
        <d v="2026-02-14T00:00:00Z"/>
        <d v="2026-02-15T00:00:00Z"/>
        <d v="2026-02-16T00:00:00Z"/>
        <d v="2026-02-17T00:00:00Z"/>
        <d v="2026-02-18T00:00:00Z"/>
        <d v="2026-02-19T00:00:00Z"/>
        <d v="2026-02-20T00:00:00Z"/>
        <d v="2026-02-21T00:00:00Z"/>
        <d v="2026-02-22T00:00:00Z"/>
        <d v="2026-02-23T00:00:00Z"/>
        <d v="2026-02-24T00:00:00Z"/>
        <d v="2026-02-25T00:00:00Z"/>
        <d v="2026-02-26T00:00:00Z"/>
        <d v="2026-02-27T00:00:00Z"/>
        <d v="2026-02-28T00:00:00Z"/>
        <d v="2026-03-01T00:00:00Z"/>
        <d v="2026-03-02T00:00:00Z"/>
        <d v="2026-03-03T00:00:00Z"/>
        <d v="2026-03-04T00:00:00Z"/>
        <d v="2026-03-05T00:00:00Z"/>
        <d v="2026-03-06T00:00:00Z"/>
        <d v="2026-03-07T00:00:00Z"/>
        <d v="2026-03-08T00:00:00Z"/>
        <d v="2026-03-09T00:00:00Z"/>
        <d v="2026-03-10T00:00:00Z"/>
        <d v="2026-03-11T00:00:00Z"/>
        <d v="2026-03-12T00:00:00Z"/>
        <d v="2026-03-13T00:00:00Z"/>
        <d v="2026-03-14T00:00:00Z"/>
        <d v="2026-03-15T00:00:00Z"/>
        <d v="2026-03-16T00:00:00Z"/>
        <d v="2026-03-17T00:00:00Z"/>
        <d v="2026-03-18T00:00:00Z"/>
        <d v="2026-03-19T00:00:00Z"/>
        <d v="2026-03-20T00:00:00Z"/>
        <d v="2026-03-21T00:00:00Z"/>
        <d v="2026-03-22T00:00:00Z"/>
        <d v="2026-03-23T00:00:00Z"/>
        <d v="2026-03-24T00:00:00Z"/>
        <d v="2026-03-25T00:00:00Z"/>
        <d v="2026-03-26T00:00:00Z"/>
        <d v="2026-03-27T00:00:00Z"/>
        <d v="2026-03-28T00:00:00Z"/>
        <d v="2026-03-29T00:00:00Z"/>
        <d v="2026-03-30T00:00:00Z"/>
        <d v="2026-03-31T00:00:00Z"/>
        <d v="2026-04-01T00:00:00Z"/>
        <d v="2026-04-02T00:00:00Z"/>
        <d v="2026-04-03T00:00:00Z"/>
        <d v="2026-04-04T00:00:00Z"/>
        <d v="2026-04-05T00:00:00Z"/>
        <d v="2026-04-06T00:00:00Z"/>
        <d v="2026-04-07T00:00:00Z"/>
        <d v="2026-04-08T00:00:00Z"/>
        <d v="2026-04-09T00:00:00Z"/>
        <d v="2026-04-10T00:00:00Z"/>
        <d v="2026-04-11T00:00:00Z"/>
        <d v="2026-04-12T00:00:00Z"/>
        <d v="2026-04-13T00:00:00Z"/>
        <d v="2026-04-14T00:00:00Z"/>
        <d v="2026-04-15T00:00:00Z"/>
        <d v="2026-04-16T00:00:00Z"/>
        <d v="2026-04-17T00:00:00Z"/>
        <d v="2026-04-18T00:00:00Z"/>
        <d v="2026-04-19T00:00:00Z"/>
        <d v="2026-04-20T00:00:00Z"/>
        <d v="2026-04-21T00:00:00Z"/>
        <d v="2026-04-22T00:00:00Z"/>
        <d v="2026-04-23T00:00:00Z"/>
        <d v="2026-04-24T00:00:00Z"/>
        <d v="2026-04-25T00:00:00Z"/>
        <d v="2026-04-26T00:00:00Z"/>
        <d v="2026-04-27T00:00:00Z"/>
        <d v="2026-04-28T00:00:00Z"/>
        <d v="2026-04-29T00:00:00Z"/>
        <d v="2026-04-30T00:00:00Z"/>
        <d v="2026-05-01T00:00:00Z"/>
        <d v="2026-05-02T00:00:00Z"/>
        <d v="2026-05-03T00:00:00Z"/>
        <d v="2026-05-04T00:00:00Z"/>
        <d v="2026-05-05T00:00:00Z"/>
        <d v="2026-05-06T00:00:00Z"/>
        <d v="2026-05-07T00:00:00Z"/>
        <d v="2026-05-08T00:00:00Z"/>
        <d v="2026-05-09T00:00:00Z"/>
        <d v="2026-05-10T00:00:00Z"/>
        <d v="2026-05-11T00:00:00Z"/>
        <d v="2026-05-12T00:00:00Z"/>
        <d v="2026-05-13T00:00:00Z"/>
        <d v="2026-05-14T00:00:00Z"/>
        <d v="2026-05-15T00:00:00Z"/>
        <d v="2026-05-16T00:00:00Z"/>
        <d v="2026-05-17T00:00:00Z"/>
        <d v="2026-05-18T00:00:00Z"/>
        <d v="2026-05-19T00:00:00Z"/>
        <d v="2026-05-20T00:00:00Z"/>
        <d v="2026-05-21T00:00:00Z"/>
        <d v="2026-05-22T00:00:00Z"/>
        <d v="2026-05-23T00:00:00Z"/>
        <d v="2026-05-24T00:00:00Z"/>
        <d v="2026-05-25T00:00:00Z"/>
        <d v="2026-05-26T00:00:00Z"/>
        <d v="2026-05-27T00:00:00Z"/>
        <d v="2026-05-28T00:00:00Z"/>
        <d v="2026-05-29T00:00:00Z"/>
        <d v="2026-05-30T00:00:00Z"/>
        <d v="2026-05-31T00:00:00Z"/>
        <d v="2026-06-01T00:00:00Z"/>
        <d v="2026-06-02T00:00:00Z"/>
        <d v="2026-06-03T00:00:00Z"/>
        <d v="2026-06-04T00:00:00Z"/>
        <d v="2026-06-05T00:00:00Z"/>
        <d v="2026-06-06T00:00:00Z"/>
        <d v="2026-06-07T00:00:00Z"/>
        <d v="2026-06-08T00:00:00Z"/>
        <d v="2026-06-09T00:00:00Z"/>
        <d v="2026-06-10T00:00:00Z"/>
        <m/>
      </sharedItems>
    </cacheField>
    <cacheField name="ITEM" numFmtId="0">
      <sharedItems containsBlank="1">
        <s v="a-SALDO INICIAL"/>
        <s v="b-ENTRADAS"/>
        <s v="c-SAÍDAS"/>
        <s v="d-SALDO FINAL"/>
        <m/>
      </sharedItems>
    </cacheField>
    <cacheField name="VALOR" numFmtId="164">
      <sharedItems containsString="0" containsBlank="1" containsNumber="1">
        <n v="21460.86"/>
        <n v="6718.5199999999995"/>
        <n v="6000.63"/>
        <n v="22178.75"/>
        <n v="2499.56"/>
        <n v="7610.0"/>
        <n v="17068.31"/>
        <n v="3247.92"/>
        <n v="0.0"/>
        <n v="20316.230000000003"/>
        <n v="1407.97"/>
        <n v="21724.200000000004"/>
        <n v="626.33"/>
        <n v="222.66"/>
        <n v="22127.870000000006"/>
        <n v="38637.57"/>
        <n v="2573.8"/>
        <n v="58191.64"/>
        <n v="2090.04"/>
        <n v="60281.68"/>
        <n v="2594.3"/>
        <n v="62875.98"/>
        <n v="1963.96"/>
        <n v="64839.94"/>
        <n v="1731.53"/>
        <n v="66571.47"/>
        <n v="591.01"/>
        <n v="67162.48"/>
        <n v="31125.84"/>
        <n v="5539.13"/>
        <n v="92749.18999999999"/>
        <n v="2080.36"/>
        <n v="94829.54999999999"/>
        <n v="2971.71"/>
        <n v="2786.78"/>
        <n v="95014.48"/>
        <n v="3891.85"/>
        <n v="3988.0"/>
        <n v="94918.33"/>
        <n v="2250.23"/>
        <n v="3042.6600000000003"/>
        <n v="94125.9"/>
        <n v="3321.6"/>
        <n v="97447.5"/>
        <n v="1763.25"/>
        <n v="99210.75"/>
        <n v="538.9"/>
        <n v="3511.72"/>
        <n v="96237.93"/>
        <n v="2125.62"/>
        <n v="28336.451"/>
        <n v="70027.09899999999"/>
        <n v="3550.1899999999996"/>
        <n v="73577.28899999999"/>
        <n v="2101.14"/>
        <n v="1449.25"/>
        <n v="74229.17899999999"/>
        <n v="8109.0199999999995"/>
        <n v="10.0"/>
        <n v="82328.199"/>
        <n v="1962.3"/>
        <n v="84290.499"/>
        <n v="1911.01"/>
        <n v="86201.50899999999"/>
        <n v="19114.48"/>
        <n v="2664.97"/>
        <n v="102651.01899999999"/>
        <n v="2017.7"/>
        <n v="104668.71899999998"/>
        <n v="4332.6"/>
        <n v="3006.57"/>
        <n v="105994.74899999998"/>
        <n v="2292.37"/>
        <n v="6393.84"/>
        <n v="101893.27899999998"/>
        <n v="2510.37"/>
        <n v="5738.99"/>
        <n v="98664.65899999997"/>
        <n v="1992.64"/>
        <n v="100657.29899999997"/>
        <n v="733.02"/>
        <n v="101390.31899999997"/>
        <n v="913.58"/>
        <n v="6039.79"/>
        <n v="96264.10899999998"/>
        <n v="46633.43"/>
        <n v="142897.539"/>
        <n v="1499.87"/>
        <n v="144397.40899999999"/>
        <n v="1242.83"/>
        <n v="879.24"/>
        <n v="144760.99899999998"/>
        <n v="6407.47"/>
        <n v="28073.8"/>
        <n v="123094.66899999998"/>
        <n v="815.31"/>
        <n v="123909.97899999998"/>
        <n v="222.56"/>
        <n v="124132.53899999998"/>
        <n v="15765.41"/>
        <n v="7559.22"/>
        <n v="132338.72899999996"/>
        <n v="1242.36"/>
        <n v="1520.1200000000001"/>
        <n v="132060.96899999995"/>
        <n v="2584.91"/>
        <n v="82428.6"/>
        <n v="52217.27899999995"/>
        <n v="11893.63"/>
        <n v="64110.90899999995"/>
        <n v="1483.86"/>
        <n v="2056.0"/>
        <n v="63538.76899999994"/>
        <n v="1651.47"/>
        <n v="65190.23899999994"/>
        <n v="1557.29"/>
        <n v="66747.52899999994"/>
        <n v="625.01"/>
        <n v="5595.700000000001"/>
        <n v="61776.838999999934"/>
        <n v="1945.24"/>
        <n v="6102.5"/>
        <n v="57619.57899999993"/>
        <n v="1907.08"/>
        <n v="3939.19"/>
        <n v="55587.46899999993"/>
        <n v="2515.32"/>
        <n v="58102.78899999993"/>
        <n v="7868.22"/>
        <n v="29611.39"/>
        <n v="36359.61899999993"/>
        <n v="2372.08"/>
        <n v="38731.698999999935"/>
        <n v="1432.05"/>
        <n v="40163.74899999994"/>
        <n v="16537.17"/>
        <n v="3812.49"/>
        <n v="52888.42899999994"/>
        <n v="1965.4"/>
        <n v="1827.58"/>
        <n v="53026.24899999994"/>
        <n v="2865.7799999999997"/>
        <n v="164.97"/>
        <n v="55727.058999999936"/>
        <n v="1107.22"/>
        <n v="990.0"/>
        <n v="55844.27899999994"/>
        <n v="1810.82"/>
        <n v="57655.09899999994"/>
        <n v="1168.59"/>
        <n v="58823.68899999993"/>
        <n v="1738.23"/>
        <n v="60561.918999999936"/>
        <n v="9361.03"/>
        <n v="51200.88899999994"/>
        <n v="1035.22"/>
        <n v="10804.66"/>
        <n v="41431.448999999935"/>
        <n v="3580.23"/>
        <n v="513.09"/>
        <n v="44498.58899999994"/>
        <n v="9565.12"/>
        <n v="2346.67"/>
        <n v="51717.038999999946"/>
        <n v="6297.59"/>
        <n v="58014.62899999994"/>
        <n v="1328.86"/>
        <n v="59343.48899999994"/>
        <n v="1896.13"/>
        <n v="61239.61899999994"/>
        <n v="63276.03"/>
        <n v="1772.17"/>
        <n v="122743.47899999995"/>
        <n v="2094.18"/>
        <n v="7908.17"/>
        <n v="116929.48899999994"/>
        <n v="3107.02"/>
        <n v="120036.50899999995"/>
        <n v="1981.89"/>
        <n v="2042.65"/>
        <n v="119975.74899999995"/>
        <n v="2095.68"/>
        <n v="122071.42899999995"/>
        <n v="1301.08"/>
        <n v="123372.50899999995"/>
        <n v="242.72000000000003"/>
        <n v="2626.21"/>
        <n v="120989.01899999994"/>
        <n v="2305.95"/>
        <n v="4355.0"/>
        <n v="118939.96899999994"/>
        <n v="2105.18"/>
        <n v="1127.5"/>
        <n v="119917.64899999993"/>
        <n v="1664.44"/>
        <n v="3034.17"/>
        <n v="118547.91899999994"/>
        <n v="4268.88"/>
        <n v="4965.290000000001"/>
        <n v="117851.50899999993"/>
        <n v="1983.51"/>
        <n v="119835.01899999993"/>
        <n v="854.82"/>
        <n v="120689.83899999993"/>
        <n v="14103.52"/>
        <n v="30821.43"/>
        <n v="103971.92899999995"/>
        <n v="1091.71"/>
        <n v="1279.25"/>
        <n v="103784.38899999995"/>
        <n v="2762.0"/>
        <n v="14.4"/>
        <n v="106531.98899999996"/>
        <n v="1831.48"/>
        <n v="108363.46899999995"/>
        <n v="1895.85"/>
        <n v="171.72"/>
        <n v="110087.59899999996"/>
        <n v="1543.59"/>
        <n v="111631.18899999995"/>
        <n v="1497.56"/>
        <n v="113128.74899999995"/>
        <n v="267.49"/>
        <n v="6033.3"/>
        <n v="107362.93899999995"/>
        <n v="1334.19"/>
        <n v="1370.54"/>
        <n v="107326.58899999996"/>
        <n v="4903.58"/>
        <n v="3107.73"/>
        <n v="109122.43899999997"/>
        <n v="1650.93"/>
        <n v="110773.36899999996"/>
        <n v="6181.410000000001"/>
        <n v="6210.13"/>
        <n v="110744.64899999996"/>
        <n v="1052.72"/>
        <n v="111797.36899999996"/>
        <n v="1311.65"/>
        <n v="113109.01899999996"/>
        <n v="15730.15"/>
        <n v="6240.3"/>
        <n v="122598.86899999995"/>
        <n v="21384.489999999998"/>
        <n v="9150.72"/>
        <n v="134832.63899999994"/>
        <n v="1836.35"/>
        <n v="3978.8"/>
        <n v="132690.18899999995"/>
        <n v="1183.34"/>
        <n v="133873.52899999995"/>
        <n v="135281.49899999995"/>
        <n v="1157.36"/>
        <n v="136438.85899999994"/>
        <n v="1234.57"/>
        <n v="137673.42899999995"/>
        <n v="54.71"/>
        <n v="3791.6000000000004"/>
        <n v="133936.53899999993"/>
        <n v="2290.03"/>
        <n v="133192.39899999992"/>
        <n v="2849.92"/>
        <n v="174.68"/>
        <n v="135867.63899999994"/>
        <n v="2168.56"/>
        <n v="5060.2"/>
        <n v="132975.99899999992"/>
        <n v="1565.21"/>
        <n v="134541.20899999992"/>
        <n v="2076.1"/>
        <n v="136617.30899999992"/>
        <n v="1459.05"/>
        <n v="138076.3589999999"/>
        <n v="4775.44"/>
        <n v="6350.72"/>
        <n v="136501.0789999999"/>
        <n v="11588.61"/>
        <n v="1518.92"/>
        <n v="146570.76899999988"/>
        <n v="1746.03"/>
        <n v="148316.79899999988"/>
        <n v="1750.24"/>
        <n v="21874.170000000002"/>
        <n v="128192.86899999988"/>
        <n v="1784.0"/>
        <n v="7227.96"/>
        <n v="122748.90899999987"/>
        <n v="875.79"/>
        <n v="123624.69899999986"/>
        <n v="1394.44"/>
        <n v="125019.13899999986"/>
        <n v="153.97"/>
        <n v="6170.72"/>
        <n v="119002.38899999986"/>
        <n v="2140.61"/>
        <n v="121142.99899999987"/>
        <n v="2828.84"/>
        <n v="123971.83899999986"/>
        <n v="1288.37"/>
        <n v="124270.20899999986"/>
        <n v="6830.12"/>
        <n v="6060.46"/>
        <n v="125039.86899999985"/>
        <n v="1324.24"/>
        <n v="126364.10899999985"/>
        <n v="689.52"/>
        <n v="127053.62899999986"/>
        <n v="15737.8"/>
        <n v="6060.13"/>
        <n v="136731.29899999985"/>
        <n v="1486.39"/>
        <n v="3179.17"/>
        <n v="135038.51899999985"/>
        <n v="2481.77"/>
        <n v="137520.28899999984"/>
        <n v="1974.64"/>
        <n v="1214.27"/>
        <n v="138280.65899999987"/>
        <n v="19819.9"/>
        <n v="1708.8"/>
        <n v="156391.75899999987"/>
        <n v="2151.99"/>
        <n v="158543.74899999987"/>
        <n v="1412.44"/>
        <n v="159956.18899999987"/>
        <n v="1290.58"/>
        <n v="1017.91"/>
        <n v="160228.85899999985"/>
        <n v="411.16"/>
        <n v="8833.470000000001"/>
        <n v="151806.54899999985"/>
        <n v="407.58"/>
        <n v="152214.12899999984"/>
        <n v="1611.6"/>
        <n v="69534.17"/>
        <n v="84291.55899999985"/>
        <n v="8786.56"/>
        <n v="2204.0"/>
        <n v="90874.11899999985"/>
        <n v="1504.16"/>
        <n v="92378.27899999985"/>
        <n v="790.2"/>
        <n v="93168.47899999985"/>
        <n v="15381.79"/>
        <n v="5110.65"/>
        <n v="103439.61899999986"/>
        <n v="1593.69"/>
        <n v="21.81"/>
        <n v="105011.49899999987"/>
        <n v="1206.68"/>
        <n v="4331.89"/>
        <n v="101886.28899999986"/>
        <n v="748.91"/>
        <n v="22692.64"/>
        <n v="79942.55899999986"/>
        <n v="39364.96000000001"/>
        <n v="25830.800000000003"/>
        <n v="93476.71899999987"/>
        <n v="1224.31"/>
        <n v="94701.02899999986"/>
        <n v="1473.76"/>
        <n v="96174.78899999986"/>
        <n v="288.13"/>
        <n v="11657.720000000001"/>
        <n v="84805.19899999986"/>
        <n v="838.36"/>
        <n v="1686.67"/>
        <n v="83956.88899999986"/>
        <n v="1383.38"/>
        <n v="85340.26899999987"/>
        <n v="2325.18"/>
        <n v="87493.72899999986"/>
        <n v="5695.84"/>
        <n v="5255.0"/>
        <n v="87934.56899999986"/>
        <n v="1231.25"/>
        <n v="89165.81899999986"/>
        <n v="1202.66"/>
        <n v="90368.47899999986"/>
        <n v="426.9"/>
        <n v="3657.2200000000003"/>
        <n v="87138.15899999985"/>
        <n v="1578.01"/>
        <n v="88716.16899999985"/>
        <n v="878.44"/>
        <n v="89594.60899999985"/>
        <n v="44.85"/>
        <n v="5600.0"/>
        <n v="84039.45899999986"/>
        <n v="627.24"/>
        <n v="3296.41"/>
        <n v="81370.28899999986"/>
        <n v="1532.78"/>
        <n v="82903.06899999986"/>
        <n v="1259.37"/>
        <n v="84162.43899999985"/>
        <n v="990.18"/>
        <n v="2515.94"/>
        <n v="82636.67899999984"/>
        <n v="82091.84"/>
        <n v="81628.88"/>
        <n v="83099.63899999985"/>
        <n v="849.9399999999999"/>
        <n v="12.56"/>
        <n v="83937.01899999985"/>
        <n v="2623.51"/>
        <n v="2119.1"/>
        <n v="84441.42899999984"/>
        <n v="863.67"/>
        <n v="85305.09899999984"/>
        <n v="1335.2"/>
        <n v="86640.29899999984"/>
        <n v="3035.53"/>
        <n v="525.08"/>
        <n v="89150.74899999984"/>
        <n v="1157.76"/>
        <n v="12268.7"/>
        <n v="78039.80899999983"/>
        <n v="1256.58"/>
        <n v="2181.88"/>
        <n v="77114.50899999983"/>
        <n v="1381.72"/>
        <n v="63.12"/>
        <n v="78433.10899999984"/>
        <n v="1379.67"/>
        <n v="910.89"/>
        <n v="78901.88899999984"/>
        <n v="1038.03"/>
        <n v="79939.91899999983"/>
        <n v="779.03"/>
        <n v="80718.94899999983"/>
        <n v="456.33"/>
        <n v="25063.140000000014"/>
        <n v="56112.13899999982"/>
        <n v="2278.24"/>
        <n v="7999.0"/>
        <n v="50391.37899999982"/>
        <n v="911.4"/>
        <n v="4020.19"/>
        <n v="47282.58899999982"/>
        <n v="1460.91"/>
        <n v="223.69"/>
        <n v="48519.80899999982"/>
        <n v="4741.52"/>
        <n v="38.33"/>
        <n v="53222.99899999982"/>
        <n v="1325.36"/>
        <n v="54548.35899999982"/>
        <n v="1833.66"/>
        <n v="56382.018999999826"/>
        <n v="12234.95"/>
        <n v="68445.24899999982"/>
        <n v="141.58"/>
        <n v="68586.82899999982"/>
        <n v="1625.9900000000002"/>
        <n v="380.54"/>
        <n v="69832.27899999983"/>
        <n v="394.22"/>
        <n v="4052.69"/>
        <n v="66173.80899999983"/>
        <n v="1595.25"/>
        <n v="119.57"/>
        <n v="67649.48899999983"/>
        <n v="1351.52"/>
        <n v="69001.00899999983"/>
        <n v="1783.89"/>
        <n v="70784.89899999983"/>
        <n v="112.0"/>
        <n v="22619.07"/>
        <n v="48277.82899999983"/>
        <n v="37570.07"/>
        <n v="1475.98"/>
        <n v="84371.91899999983"/>
        <n v="1993.8799999999999"/>
        <n v="86365.79899999984"/>
        <n v="1238.9"/>
        <n v="73.8"/>
        <n v="87530.89899999983"/>
        <n v="5967.85"/>
        <n v="93498.74899999984"/>
        <n v="1821.77"/>
        <n v="95320.51899999984"/>
        <n v="2626.38"/>
        <n v="97946.89899999984"/>
        <n v="13576.1"/>
        <n v="1910.87"/>
        <n v="109612.12899999986"/>
        <n v="29.32"/>
        <n v="109116.36899999986"/>
        <n v="1488.2199999999998"/>
        <n v="110604.58899999986"/>
        <n v="1689.89"/>
        <n v="112294.47899999986"/>
        <n v="602.72"/>
        <n v="7971.93"/>
        <n v="104925.26899999985"/>
        <n v="1506.39"/>
        <n v="106431.65899999985"/>
        <n v="575.98"/>
        <n v="107007.63899999985"/>
        <n v="493.18"/>
        <n v="107500.81899999984"/>
        <n v="702.96"/>
        <n v="3362.03"/>
        <n v="104841.74899999985"/>
        <n v="1869.74"/>
        <n v="106711.48899999986"/>
        <n v="1185.78"/>
        <n v="26347.080000000005"/>
        <n v="81550.18899999985"/>
        <n v="5565.92"/>
        <n v="77453.22"/>
        <n v="9662.88899999985"/>
        <n v="900.53"/>
        <n v="10563.41899999985"/>
        <n v="1324.27"/>
        <n v="11887.688999999851"/>
        <n v="10889.28"/>
        <n v="1716.4"/>
        <n v="21060.56899999985"/>
        <n v="2568.83"/>
        <n v="23629.398999999852"/>
        <n v="2334.77"/>
        <n v="25964.168999999853"/>
        <n v="1010.2"/>
        <n v="1531.02"/>
        <n v="25443.348999999853"/>
        <n v="1489.72"/>
        <n v="5864.76"/>
        <n v="21068.308999999856"/>
        <n v="1416.97"/>
        <n v="22485.278999999857"/>
        <n v="788.58"/>
        <n v="23273.85899999986"/>
        <n v="368.68"/>
        <n v="23642.53899999986"/>
        <n v="2145.08"/>
        <n v="25787.61899999986"/>
        <n v="273.41"/>
        <n v="3253.35"/>
        <n v="22807.678999999862"/>
        <n v="1882.19"/>
        <n v="15841.28"/>
        <n v="8848.58899999986"/>
        <n v="50880.17999999999"/>
        <n v="75.4"/>
        <n v="59653.36899999985"/>
        <n v="1489.52"/>
        <n v="61142.88899999985"/>
        <n v="485.88"/>
        <n v="61628.76899999985"/>
        <n v="19184.879999999997"/>
        <n v="2015.33"/>
        <n v="78798.31899999984"/>
        <n v="78273.23899999984"/>
        <n v="1294.16"/>
        <n v="1686.66"/>
        <n v="77880.73899999984"/>
        <n v="1006.46"/>
        <n v="1150.0"/>
        <n v="77737.19899999985"/>
        <n v="486.07"/>
        <n v="8650.21"/>
        <n v="69573.05899999986"/>
        <n v="1442.57"/>
        <n v="71015.62899999987"/>
        <n v="2205.82"/>
        <n v="73221.44899999988"/>
        <n v="224.64"/>
        <n v="537.99"/>
        <n v="72908.09899999987"/>
        <n v="2102.97"/>
        <n v="3226.07"/>
        <n v="71784.99899999987"/>
        <n v="1875.69"/>
        <n v="2250.0"/>
        <n v="71410.68899999987"/>
        <n v="17671.6"/>
        <n v="23290.630000000012"/>
        <n v="65791.65899999987"/>
        <n v="47029.11"/>
        <n v="112820.76899999987"/>
        <n v="2013.54"/>
        <n v="114834.30899999986"/>
        <n v="903.83"/>
        <n v="115738.13899999986"/>
        <n v="15645.009999999998"/>
        <n v="124216.59999999999"/>
        <n v="7166.548999999868"/>
        <n v="2639.24"/>
        <n v="6108.52"/>
        <n v="3697.2689999998674"/>
        <n v="6778.35"/>
        <n v="10475.618999999868"/>
        <n v="1085.75"/>
        <n v="1420.0"/>
        <n v="10141.368999999868"/>
        <n v="366.7"/>
        <n v="6545.780000000002"/>
        <n v="3962.288999999867"/>
        <n v="1213.96"/>
        <n v="5176.248999999867"/>
        <n v="602.65"/>
        <n v="5778.898999999867"/>
        <n v="10385.98"/>
        <n v="3218.1000000000004"/>
        <n v="12946.778999999866"/>
        <n v="4317.21"/>
        <n v="15843.988999999867"/>
        <n v="101080.17"/>
        <n v="116924.15899999987"/>
        <n v="1061.23"/>
        <n v="3297.86"/>
        <n v="114687.52899999986"/>
        <n v="2167.5099999999998"/>
        <n v="116855.03899999986"/>
        <n v="1189.27"/>
        <n v="118044.30899999986"/>
        <n v="1493.37"/>
        <n v="119537.67899999986"/>
        <n v="2983.58"/>
        <n v="7456.29"/>
        <n v="115064.96899999987"/>
        <n v="679.58"/>
        <n v="8280.0"/>
        <n v="107464.54899999987"/>
        <n v="1188.61"/>
        <n v="95555.85"/>
        <n v="13097.308999999863"/>
        <n v="1043.61"/>
        <n v="1902.9199999999998"/>
        <n v="12237.998999999863"/>
        <n v="962.23"/>
        <n v="13200.228999999863"/>
        <n v="250.83"/>
        <n v="13451.058999999863"/>
        <n v="549.17"/>
        <n v="6330.23"/>
        <n v="7669.998999999863"/>
        <n v="18362.47"/>
        <n v="1317.99"/>
        <n v="24714.478999999865"/>
        <n v="1940.71"/>
        <n v="26655.188999999864"/>
        <n v="782.35"/>
        <n v="1069.58"/>
        <n v="26367.958999999864"/>
        <n v="1379.29"/>
        <n v="27747.248999999865"/>
        <n v="1027.55"/>
        <n v="28774.798999999864"/>
        <n v="1360.69"/>
        <n v="551.58"/>
        <n v="29583.90899999986"/>
        <n v="145.33"/>
        <n v="7021.870000000001"/>
        <n v="22707.36899999986"/>
        <n v="11547.02"/>
        <n v="18617.69"/>
        <n v="15636.698999999866"/>
        <n v="15456.99"/>
        <n v="6251.0"/>
        <n v="24842.688999999868"/>
        <n v="1792.72"/>
        <n v="142.68"/>
        <n v="26492.72899999987"/>
        <n v="6296.27"/>
        <n v="21881.12"/>
        <n v="10907.878999999866"/>
        <n v="1329.2"/>
        <n v="12237.078999999867"/>
        <n v="427.12"/>
        <n v="12664.198999999868"/>
        <n v="925.09"/>
        <n v="2457.0"/>
        <n v="11132.288999999868"/>
        <n v="779.89"/>
        <n v="1020.54"/>
        <n v="10891.638999999868"/>
        <n v="8085.650000000001"/>
        <n v="2412.67"/>
        <n v="16564.618999999868"/>
        <n v="622.59"/>
        <n v="17187.208999999868"/>
        <n v="4611.33"/>
        <n v="21798.538999999866"/>
        <n v="1340.57"/>
        <n v="23139.108999999866"/>
        <n v="392.03"/>
        <n v="23531.138999999865"/>
        <n v="10767.279999999999"/>
        <n v="7984.43"/>
        <n v="26313.988999999863"/>
        <n v="1152.22"/>
        <n v="27466.208999999864"/>
        <n v="786.05"/>
        <n v="28252.258999999864"/>
        <n v="960.97"/>
        <n v="29213.228999999865"/>
        <n v="737.08"/>
        <n v="29950.308999999867"/>
        <n v="1083.37"/>
        <n v="31033.678999999865"/>
        <n v="628.4"/>
        <n v="31662.078999999867"/>
        <n v="9550.09"/>
        <n v="22111.988999999867"/>
        <n v="2316.82"/>
        <n v="24428.808999999867"/>
        <n v="1186.56"/>
        <n v="5225.83"/>
        <n v="20389.538999999866"/>
        <n v="929.22"/>
        <n v="1580.0"/>
        <n v="19738.758999999867"/>
        <n v="5239.24"/>
        <n v="24977.998999999865"/>
        <n v="1230.96"/>
        <n v="26208.958999999864"/>
        <n v="594.89"/>
        <n v="26803.848999999864"/>
        <n v="13509.14"/>
        <n v="8592.04"/>
        <n v="31720.948999999862"/>
        <n v="38030.049999999996"/>
        <n v="21379.670000000002"/>
        <n v="48371.32899999987"/>
        <n v="2535.87"/>
        <n v="50907.19899999987"/>
        <n v="1948.09"/>
        <n v="2333.52"/>
        <n v="50521.76899999987"/>
        <n v="1093.37"/>
        <n v="3923.69"/>
        <n v="47691.44899999987"/>
        <n v="1448.47"/>
        <n v="49139.91899999987"/>
        <n v="687.29"/>
        <n v="49827.20899999987"/>
        <n v="323.79"/>
        <n v="1614.4"/>
        <n v="48536.59899999987"/>
        <n v="1583.47"/>
        <n v="272.43"/>
        <n v="49847.63899999987"/>
        <n v="826.33"/>
        <n v="50673.96899999987"/>
        <n v="1137.14"/>
        <n v="50790.56899999987"/>
        <n v="4017.72"/>
        <n v="2340.4500000000003"/>
        <n v="52467.838999999876"/>
        <n v="688.6"/>
        <n v="53156.438999999875"/>
        <n v="529.77"/>
        <n v="53686.20899999987"/>
        <n v="9170.4"/>
        <n v="12802.29"/>
        <n v="50054.31899999987"/>
        <n v="1867.18"/>
        <n v="3275.83"/>
        <n v="48645.66899999987"/>
        <n v="1404.52"/>
        <n v="50050.18899999987"/>
        <n v="1217.01"/>
        <n v="4014.27"/>
        <n v="47252.92899999987"/>
        <n v="1095.95"/>
        <n v="5880.0"/>
        <n v="42468.87899999987"/>
        <n v="1108.45"/>
        <n v="43577.32899999987"/>
        <n v="898.28"/>
        <n v="44475.608999999866"/>
        <n v="216.43"/>
        <n v="3060.0"/>
        <n v="41632.038999999866"/>
        <n v="28790.699999999997"/>
        <n v="3594.57"/>
        <n v="66828.16899999985"/>
        <n v="101.92"/>
        <n v="3900.0"/>
        <n v="63030.08899999985"/>
        <n v="1116.12"/>
        <n v="64146.20899999985"/>
        <n v="5050.78"/>
        <n v="780.0"/>
        <n v="68416.98899999986"/>
        <n v="883.28"/>
        <n v="69300.26899999985"/>
        <n v="1429.43"/>
        <n v="70729.69899999985"/>
        <n v="17109.35"/>
        <n v="9231.779999999999"/>
        <n v="78607.26899999985"/>
        <n v="1405.1"/>
        <n v="863.97"/>
        <n v="79148.39899999986"/>
        <n v="1105.51"/>
        <n v="4803.889999999999"/>
        <n v="75450.01899999985"/>
        <n v="1135.81"/>
        <n v="16402.0"/>
        <n v="60183.82899999985"/>
        <n v="2968.34"/>
        <n v="24025.950000000004"/>
        <n v="39126.218999999845"/>
        <n v="830.84"/>
        <n v="39957.05899999984"/>
        <n v="965.48"/>
        <n v="40922.538999999844"/>
        <n v="516.43"/>
        <n v="5574.52"/>
        <n v="35864.44899999985"/>
        <n v="1460.45"/>
        <n v="5452.68"/>
        <n v="31872.218999999845"/>
        <n v="1533.04"/>
        <n v="1473.39"/>
        <n v="31931.868999999846"/>
        <n v="1072.58"/>
        <n v="4200.0"/>
        <n v="28804.448999999848"/>
        <n v="4966.469999999999"/>
        <n v="33770.91899999985"/>
        <n v="1338.06"/>
        <n v="35108.97899999985"/>
        <n v="597.24"/>
        <n v="35706.218999999845"/>
        <n v="10823.62"/>
        <n v="7484.469999999999"/>
        <n v="39045.368999999846"/>
        <n v="22973.260000000002"/>
        <n v="10681.880000000001"/>
        <n v="51336.74899999985"/>
        <n v="831.16"/>
        <n v="52167.908999999854"/>
        <n v="715.44"/>
        <n v="3248.35"/>
        <n v="49634.99899999986"/>
        <n v="744.18"/>
        <n v="50379.17899999986"/>
        <n v="1151.08"/>
        <n v="51530.25899999986"/>
        <n v="1082.88"/>
        <n v="52613.13899999986"/>
        <n v="240.4"/>
        <n v="5912.92"/>
        <n v="46940.61899999986"/>
        <n v="1445.43"/>
        <n v="48386.04899999986"/>
        <n v="1351.83"/>
        <n v="49737.87899999986"/>
        <n v="1452.79"/>
        <n v="8112.68"/>
        <n v="43077.98899999986"/>
        <n v="3558.16"/>
        <n v="1682.82"/>
        <n v="44953.32899999986"/>
        <n v="1965.08"/>
        <n v="46918.40899999986"/>
        <n v="758.3"/>
        <n v="47676.708999999864"/>
        <n v="11081.9"/>
        <n v="8657.689999999999"/>
        <n v="50100.91899999986"/>
        <n v="830.94"/>
        <n v="3450.0"/>
        <n v="47481.858999999866"/>
        <n v="689.37"/>
        <n v="48171.22899999987"/>
        <n v="973.71"/>
        <n v="49144.93899999987"/>
        <n v="19390.97"/>
        <n v="14387.24"/>
        <n v="54148.66899999987"/>
        <n v="690.29"/>
        <n v="54838.95899999987"/>
        <n v="1280.82"/>
        <n v="56119.77899999987"/>
        <n v="206.16"/>
        <n v="32012.89"/>
        <n v="24313.048999999875"/>
        <n v="539.63"/>
        <n v="23638.408999999876"/>
        <n v="611.9200000000001"/>
        <n v="1300.0"/>
        <n v="22950.328999999874"/>
        <n v="1189.05"/>
        <n v="23996.698999999873"/>
        <n v="4367.95"/>
        <n v="174.69"/>
        <n v="28189.958999999875"/>
        <n v="977.63"/>
        <n v="29167.588999999876"/>
        <n v="802.03"/>
        <n v="29969.618999999875"/>
        <n v="10353.61"/>
        <n v="40323.228999999876"/>
        <n v="1181.96"/>
        <n v="360.54"/>
        <n v="41144.648999999874"/>
        <n v="1005.47"/>
        <n v="1624.9"/>
        <n v="40525.21899999987"/>
        <n v="752.03"/>
        <n v="1100.0"/>
        <n v="40177.24899999987"/>
        <n v="818.5"/>
        <n v="6491.38"/>
        <n v="34504.368999999875"/>
        <n v="1159.16"/>
        <n v="35663.52899999988"/>
        <n v="602.33"/>
        <n v="36265.85899999988"/>
        <n v="724.47"/>
        <n v="14636.359999999999"/>
        <n v="22353.96899999988"/>
        <n v="561.83"/>
        <n v="21701.528999999882"/>
        <n v="985.24"/>
        <n v="22686.768999999884"/>
        <n v="1016.43"/>
        <n v="23703.198999999884"/>
        <n v="2672.2400000000002"/>
        <n v="1400.0"/>
        <n v="24975.438999999886"/>
        <n v="478.84"/>
        <n v="25454.278999999886"/>
        <n v="93.23"/>
        <n v="25547.508999999885"/>
        <n v="12771.74"/>
        <n v="4049.69"/>
        <n v="34269.558999999885"/>
        <n v="1078.72"/>
        <n v="35348.278999999886"/>
        <n v="304.21"/>
        <n v="35652.488999999885"/>
        <n v="381.09"/>
        <n v="5612.85"/>
        <n v="30420.728999999883"/>
        <n v="844.8"/>
        <n v="29685.528999999882"/>
        <n v="392.08"/>
        <n v="30077.608999999884"/>
        <n v="827.24"/>
        <n v="30904.848999999886"/>
        <n v="617.88"/>
        <n v="3192.97"/>
        <n v="28329.758999999885"/>
        <n v="690.83"/>
        <n v="324.41"/>
        <n v="28696.178999999887"/>
        <n v="570.09"/>
        <n v="18772.010000000006"/>
        <n v="10494.258999999882"/>
        <n v="6270.0"/>
        <n v="4794.348999999882"/>
        <n v="2882.39"/>
        <n v="3070.0"/>
        <n v="4606.738999999881"/>
        <n v="1509.27"/>
        <n v="6116.008999999882"/>
        <n v="1340.35"/>
        <n v="7456.358999999882"/>
        <n v="9266.140000000001"/>
        <n v="16579.818999999883"/>
        <n v="977.67"/>
        <n v="101.71000000000001"/>
        <n v="17455.778999999882"/>
        <n v="1063.38"/>
        <n v="18519.158999999883"/>
        <n v="832.4"/>
        <n v="19351.558999999885"/>
        <n v="1328.02"/>
        <n v="5132.58"/>
        <n v="15546.998999999885"/>
        <n v="1520.79"/>
        <n v="17067.788999999884"/>
        <n v="8182.379999999999"/>
        <n v="8885.408999999885"/>
        <n v="36381.55"/>
        <n v="45266.958999999886"/>
        <n v="1040.16"/>
        <n v="3229.46"/>
        <n v="43077.65899999989"/>
        <n v="645.56"/>
        <n v="43723.21899999989"/>
        <n v="2967.23"/>
        <n v="2412.6699999999996"/>
        <n v="44277.77899999989"/>
        <n v="1217.54"/>
        <n v="45495.318999999894"/>
        <n v="822.06"/>
        <n v="46317.37899999989"/>
        <n v="6978.540000000001"/>
        <n v="62.45"/>
        <n v="53233.468999999895"/>
        <n v="470.84"/>
        <n v="53704.30899999989"/>
        <n v="1209.01"/>
        <n v="4168.919999999999"/>
        <n v="50744.398999999896"/>
        <n v="906.43"/>
        <n v="51650.828999999896"/>
        <n v="1088.71"/>
        <n v="12.0"/>
        <n v="52727.538999999895"/>
        <n v="835.45"/>
        <n v="53562.98899999989"/>
        <n v="816.16"/>
        <n v="54379.148999999896"/>
        <n v="496.4"/>
        <n v="6197.28"/>
        <n v="48678.2689999999"/>
        <n v="184.96"/>
        <n v="48863.2289999999"/>
        <n v="951.89"/>
        <n v="49815.1189999999"/>
        <n v="521.84"/>
        <n v="3207.61"/>
        <n v="47129.34899999989"/>
        <n v="3395.1099999999997"/>
        <n v="993.92"/>
        <n v="49530.538999999895"/>
        <n v="684.76"/>
        <n v="50215.2989999999"/>
        <n v="427.19"/>
        <n v="50642.4889999999"/>
        <n v="8076.389999999999"/>
        <n v="21177.21"/>
        <n v="37541.6689999999"/>
        <n v="310.06"/>
        <n v="9271.0"/>
        <n v="28580.728999999897"/>
        <n v="872.46"/>
        <n v="29310.508999999896"/>
        <n v="825.57"/>
        <n v="30136.078999999896"/>
        <n v="981.45"/>
        <n v="3854.23"/>
        <n v="27263.298999999897"/>
        <n v="912.17"/>
        <n v="28175.468999999895"/>
        <n v="593.67"/>
        <n v="28769.138999999894"/>
        <n v="334.88"/>
        <n v="460.54"/>
        <n v="28643.478999999894"/>
        <n v="77617.1"/>
        <n v="4803.25"/>
        <n v="101457.3289999999"/>
        <n v="1788.3000000000002"/>
        <n v="43828.08"/>
        <n v="59417.5489999999"/>
        <n v="5318.69"/>
        <n v="64736.2389999999"/>
        <n v="1538.75"/>
        <n v="9613.33"/>
        <n v="56661.6589999999"/>
        <n v="731.56"/>
        <n v="57393.218999999895"/>
        <n v="447.59"/>
        <n v="57840.80899999989"/>
        <n v="4430.66"/>
        <n v="33700.0"/>
        <n v="28571.468999999895"/>
        <n v="335.65"/>
        <n v="5951.000000000001"/>
        <n v="22956.118999999897"/>
        <n v="631.15"/>
        <n v="680.0"/>
        <n v="22907.2689999999"/>
        <n v="333.73"/>
        <n v="23240.998999999898"/>
        <n v="568.44"/>
        <n v="2588.4900000000002"/>
        <n v="21220.948999999895"/>
        <n v="694.83"/>
        <n v="21915.778999999897"/>
        <n v="688.78"/>
        <n v="3401.0"/>
        <n v="19203.558999999896"/>
        <n v="7116.87"/>
        <n v="5228.08"/>
        <n v="21092.348999999893"/>
        <n v="1959.95"/>
        <n v="1668.51"/>
        <n v="21383.788999999895"/>
        <n v="6431.18"/>
        <n v="27814.968999999895"/>
        <n v="679.4300000000001"/>
        <n v="28494.398999999896"/>
        <n v="376.62"/>
        <n v="28871.018999999895"/>
        <n v="435.68"/>
        <n v="29306.698999999895"/>
        <n v="1574.77"/>
        <n v="21848.85"/>
        <n v="9032.618999999897"/>
        <n v="423.06"/>
        <n v="9455.678999999896"/>
        <n v="1020.23"/>
        <n v="10475.908999999896"/>
        <n v="483.18"/>
        <n v="1901.0"/>
        <n v="9058.088999999896"/>
        <n v="2642.5499999999997"/>
        <n v="11557.958999999895"/>
        <n v="1826.59"/>
        <n v="13384.548999999895"/>
        <n v="1475.32"/>
        <n v="14859.868999999895"/>
        <n v="9321.97"/>
        <n v="20923.96"/>
        <n v="3257.8789999998953"/>
        <n v="3540.8100000000004"/>
        <n v="869.0"/>
        <n v="5929.688999999896"/>
        <n v="610.46"/>
        <n v="5860.148999999896"/>
        <n v="924.07"/>
        <n v="3645.93"/>
        <n v="3138.2889999998956"/>
        <n v="2783.2200000000003"/>
        <n v="5921.508999999896"/>
        <n v="940.91"/>
        <n v="6862.418999999896"/>
        <n v="1684.19"/>
        <n v="8546.608999999897"/>
        <n v="4045.9199999999996"/>
        <n v="7129.37"/>
        <n v="5463.158999999897"/>
        <n v="654.6"/>
        <n v="6117.758999999897"/>
        <n v="15125.980000000001"/>
        <n v="21243.7389999999"/>
        <n v="951.26"/>
        <n v="22194.998999999898"/>
        <n v="855.75"/>
        <n v="7401.0"/>
        <n v="15649.748999999898"/>
        <n v="863.29"/>
        <n v="16513.0389999999"/>
        <n v="839.47"/>
        <n v="17352.5089999999"/>
        <n v="178.56"/>
        <n v="6122.8099999999995"/>
        <n v="11408.258999999902"/>
        <n v="2154.98"/>
        <n v="13563.238999999901"/>
        <n v="945.14"/>
        <n v="14508.3789999999"/>
        <n v="4843.57"/>
        <n v="7075.12"/>
        <n v="12276.8289999999"/>
        <n v="872.07"/>
        <n v="13148.8989999999"/>
        <n v="1699.42"/>
        <n v="14848.3189999999"/>
        <n v="8872.9"/>
        <n v="23578.5389999999"/>
        <n v="29053.64"/>
        <n v="3475.7400000000002"/>
        <n v="49156.438999999904"/>
        <n v="1190.85"/>
        <n v="1913.92"/>
        <n v="48433.368999999904"/>
        <n v="1957.65"/>
        <n v="50391.018999999906"/>
        <n v="1291.02"/>
        <n v="17577.909999999993"/>
        <n v="34104.12899999991"/>
        <n v="858.86"/>
        <n v="34962.988999999914"/>
        <n v="1216.8"/>
        <n v="36179.78899999992"/>
        <n v="59.74"/>
        <n v="36239.528999999915"/>
        <n v="748.62"/>
        <n v="6000.01"/>
        <n v="30988.138999999916"/>
        <n v="1887.99"/>
        <n v="32876.12899999991"/>
        <n v="1648.61"/>
        <n v="34524.738999999914"/>
        <n v="4707.27"/>
        <n v="11523.98"/>
        <n v="27708.02899999992"/>
        <n v="1056.53"/>
        <n v="28764.558999999917"/>
        <n v="976.58"/>
        <n v="29741.13899999992"/>
        <n v="10769.630000000001"/>
        <n v="1040.54"/>
        <n v="39470.22899999992"/>
        <n v="36259.61"/>
        <n v="13401.0"/>
        <n v="62328.83899999992"/>
        <n v="1054.95"/>
        <n v="3072.94"/>
        <n v="60310.848999999915"/>
        <n v="995.19"/>
        <n v="61306.03899999992"/>
        <n v="1058.31"/>
        <n v="62364.348999999915"/>
        <n v="664.48"/>
        <n v="63028.82899999992"/>
        <n v="1758.14"/>
        <n v="64786.96899999992"/>
        <n v="92.57"/>
        <n v="64879.53899999992"/>
        <n v="679.46"/>
        <n v="65558.99899999992"/>
        <n v="1241.34"/>
        <n v="530.8"/>
        <n v="66269.53899999992"/>
        <n v="4861.76"/>
        <n v="71131.29899999991"/>
        <n v="1496.77"/>
        <n v="72628.06899999992"/>
        <n v="681.34"/>
        <n v="73309.40899999991"/>
        <n v="9465.88"/>
        <n v="52518.17"/>
        <n v="30257.11899999992"/>
        <n v="32396.11"/>
        <n v="62653.22899999992"/>
        <n v="837.17"/>
        <n v="63490.39899999992"/>
        <n v="1609.45"/>
        <n v="6246.34"/>
        <n v="58853.50899999992"/>
        <n v="1287.54"/>
        <n v="15224.83"/>
        <n v="44916.21899999992"/>
        <n v="927.64"/>
        <n v="45843.85899999992"/>
        <n v="1247.57"/>
        <n v="47091.42899999992"/>
        <n v="773.7"/>
        <n v="24769.860000000008"/>
        <n v="23095.268999999906"/>
        <n v="139.4"/>
        <n v="23234.668999999907"/>
        <n v="785.15"/>
        <n v="365.25"/>
        <n v="23654.56899999991"/>
        <n v="1074.67"/>
        <n v="24729.238999999907"/>
        <n v="105860.45999999999"/>
        <n v="130589.6989999999"/>
        <n v="1295.73"/>
        <n v="131885.42899999992"/>
        <n v="1193.86"/>
        <n v="133079.2889999999"/>
        <n v="16335.720000000001"/>
        <n v="1205.54"/>
        <n v="148209.4689999999"/>
        <n v="664.95"/>
        <n v="2337.98"/>
        <n v="146536.4389999999"/>
        <n v="1082.41"/>
        <n v="147618.8489999999"/>
        <n v="815.05"/>
        <n v="148433.8989999999"/>
        <n v="730.36"/>
        <n v="149164.25899999987"/>
        <n v="199.5"/>
        <n v="149363.75899999987"/>
        <n v="130.02"/>
        <n v="3036.53"/>
        <n v="146457.24899999987"/>
        <n v="592.87"/>
        <n v="147050.11899999986"/>
        <n v="1252.04"/>
        <n v="77400.0"/>
        <n v="70902.15899999987"/>
        <n v="653.71"/>
        <n v="71555.86899999988"/>
        <n v="2332.15"/>
        <n v="73888.01899999987"/>
        <n v="843.49"/>
        <n v="74731.50899999987"/>
        <n v="643.75"/>
        <n v="75375.25899999987"/>
        <n v="34844.2"/>
        <n v="109688.65899999987"/>
        <n v="630.21"/>
        <n v="5734.7699999999995"/>
        <n v="104584.09899999987"/>
        <n v="1048.88"/>
        <n v="4922.24"/>
        <n v="100710.73899999987"/>
        <n v="1303.44"/>
        <n v="1674.8"/>
        <n v="100339.37899999987"/>
        <n v="896.34"/>
        <n v="101235.71899999987"/>
        <n v="1095.88"/>
        <n v="102331.59899999987"/>
        <n v="360.02"/>
        <n v="102691.61899999988"/>
        <n v="1122.19"/>
        <n v="26195.92"/>
        <n v="77617.88899999988"/>
        <n v="318.23"/>
        <n v="24792.579999999998"/>
        <n v="53143.53899999987"/>
        <n v="1148.21"/>
        <n v="54291.74899999987"/>
        <n v="1291.85"/>
        <n v="55583.59899999987"/>
        <n v="4055.34"/>
        <n v="59638.93899999987"/>
        <n v="60761.12899999987"/>
        <n v="1181.17"/>
        <n v="61942.29899999987"/>
        <n v="22124.44"/>
        <n v="84066.73899999987"/>
        <n v="42110.880000000005"/>
        <n v="12027.05"/>
        <n v="114150.56899999987"/>
        <n v="5644.04"/>
        <n v="119794.60899999987"/>
        <n v="4686.11"/>
        <n v="118330.81"/>
        <n v="6149.908999999869"/>
        <n v="1575.53"/>
        <n v="3827.1"/>
        <n v="3898.3389999998685"/>
        <n v="1721.86"/>
        <n v="5620.198999999869"/>
        <n v="2219.44"/>
        <n v="7839.638999999868"/>
        <n v="8224.96"/>
        <n v="7808.410000000001"/>
        <n v="8256.188999999868"/>
        <n v="752.04"/>
        <n v="3000.09"/>
        <n v="6008.138999999868"/>
        <n v="1806.57"/>
        <n v="7814.708999999868"/>
        <n v="2358.27"/>
        <n v="10172.978999999868"/>
        <n v="6198.28"/>
        <n v="16371.258999999867"/>
        <n v="2389.28"/>
        <n v="18760.538999999866"/>
        <n v="670.27"/>
        <n v="19430.808999999867"/>
        <n v="7373.67"/>
        <n v="26804.47899999987"/>
        <n v="502.8"/>
        <n v="26301.67899999987"/>
        <n v="826.8"/>
        <n v="25474.87899999987"/>
        <n v="10820.34"/>
        <n v="36295.218999999866"/>
        <n v="67.37"/>
        <n v="516.57"/>
        <n v="35846.01899999987"/>
        <n v="1211.78"/>
        <n v="37057.79899999987"/>
        <n v="35305.62"/>
        <n v="8108.27"/>
        <n v="64255.148999999874"/>
        <n v="2218.39"/>
        <n v="2562.66"/>
        <n v="63910.87899999987"/>
        <n v="5765.99"/>
        <n v="24536.09000000002"/>
        <n v="45140.77899999986"/>
        <n v="1803.0"/>
        <n v="46943.77899999986"/>
        <n v="1259.84"/>
        <n v="48203.61899999985"/>
        <n v="18793.38"/>
        <n v="66996.99899999985"/>
        <n v="266.73"/>
        <n v="3830.0"/>
        <n v="63433.72899999985"/>
        <n v="458.08"/>
        <n v="63891.80899999985"/>
        <n v="512.51"/>
        <n v="550.0"/>
        <n v="63854.31899999985"/>
        <n v="1720.67"/>
        <n v="978.38"/>
        <n v="64596.60899999986"/>
        <n v="1582.22"/>
        <n v="66178.82899999985"/>
        <n v="2615.78"/>
        <n v="68794.60899999985"/>
        <n v="109.72"/>
        <n v="7071.75"/>
        <n v="61832.57899999985"/>
        <n v="34441.04"/>
        <n v="2853.63"/>
        <n v="93419.98899999986"/>
        <n v="2026.12"/>
        <n v="95446.10899999985"/>
        <n v="1890.17"/>
        <n v="97336.27899999985"/>
        <n v="7639.4529999999995"/>
        <n v="104975.73199999984"/>
        <n v="2319.39"/>
        <n v="107295.12199999984"/>
        <n v="2433.91"/>
        <n v="109729.03199999985"/>
        <n v="14647.84"/>
        <n v="2539.6"/>
        <n v="121837.27199999984"/>
        <n v="1996.75"/>
        <n v="4444.8"/>
        <n v="119389.22199999983"/>
        <n v="3444.4"/>
        <n v="122833.62199999983"/>
        <n v="2077.12"/>
        <n v="6322.380000000001"/>
        <n v="118588.36199999982"/>
        <n v="2658.43"/>
        <n v="4588.04"/>
        <n v="116658.75199999982"/>
        <n v="2045.52"/>
        <n v="118704.27199999982"/>
        <n v="27638.68"/>
        <n v="100.0"/>
        <n v="146242.95199999982"/>
        <n v="824.78"/>
        <n v="147067.7319999998"/>
        <n v="1391.02"/>
        <n v="2880.15"/>
        <n v="145578.6019999998"/>
        <n v="1126.57"/>
        <n v="146705.17199999982"/>
        <n v="5152.5599999999995"/>
        <n v="29118.059999999998"/>
        <n v="122739.67199999982"/>
        <n v="1723.38"/>
        <n v="124463.05199999982"/>
        <n v="860.09"/>
        <n v="125323.14199999982"/>
        <n v="15084.95"/>
        <n v="140408.09199999983"/>
        <n v="10756.67"/>
        <n v="886.86"/>
        <n v="11643.53"/>
        <n v="179.63"/>
        <n v="4000.0"/>
        <n v="7823.16"/>
        <n v="1205.61"/>
        <n v="9028.77"/>
        <n v="908.67"/>
        <n v="9937.44"/>
        <n v="2385.45"/>
        <n v="12322.89"/>
        <n v="1164.22"/>
        <n v="13487.109999999999"/>
        <n v="1119.56"/>
        <n v="14606.669999999998"/>
        <n v="1177.71"/>
        <n v="15784.379999999997"/>
        <n v="1523.4"/>
        <n v="17307.78"/>
        <n v="1221.05"/>
        <n v="18528.829999999998"/>
        <n v="1540.37"/>
        <n v="20069.199999999997"/>
        <n v="319.54"/>
        <n v="447.0"/>
        <n v="19941.739999999998"/>
        <n v="526.75"/>
        <n v="90.0"/>
        <n v="20378.489999999998"/>
        <n v="1401.53"/>
        <n v="21780.019999999997"/>
        <n v="1222.81"/>
        <n v="1362.99"/>
        <n v="21639.839999999997"/>
        <n v="1202.56"/>
        <n v="20.0"/>
        <n v="22822.399999999998"/>
        <n v="977.04"/>
        <n v="23799.44"/>
        <n v="707.76"/>
        <n v="24507.199999999997"/>
        <n v="192.7"/>
        <n v="6578.93"/>
        <n v="18120.969999999998"/>
        <n v="821.48"/>
        <n v="2828.43"/>
        <n v="16114.019999999997"/>
        <n v="1068.4"/>
        <n v="17182.42"/>
        <n v="1388.75"/>
        <n v="18571.17"/>
        <n v="796.77"/>
        <n v="19367.94"/>
        <n v="1216.01"/>
        <n v="20583.949999999997"/>
        <n v="398.46"/>
        <n v="89.67999999999999"/>
        <n v="20892.729999999996"/>
        <n v="2260.5"/>
        <n v="750.0"/>
        <n v="22403.229999999996"/>
        <n v="105.37"/>
        <n v="32.0"/>
        <n v="22476.599999999995"/>
        <n v="1883.92"/>
        <n v="80.0"/>
        <n v="24280.519999999997"/>
        <n v="1480.28"/>
        <n v="25760.799999999996"/>
        <n v="1338.56"/>
        <n v="27099.359999999997"/>
        <n v="1043.95"/>
        <n v="28143.309999999998"/>
        <n v="851.72"/>
        <n v="28995.03"/>
        <n v="428.99"/>
        <n v="29424.02"/>
        <n v="1347.65"/>
        <n v="30771.670000000002"/>
        <n v="1298.27"/>
        <n v="32069.940000000002"/>
        <n v="1245.63"/>
        <n v="33315.57"/>
        <n v="1719.93"/>
        <n v="33728.48"/>
        <n v="1307.0199999999968"/>
        <n v="1246.28"/>
        <n v="2553.2999999999965"/>
        <n v="1173.59"/>
        <n v="3726.8899999999967"/>
        <n v="425.91"/>
        <n v="4152.7999999999965"/>
        <n v="820.34"/>
        <n v="397.0"/>
        <n v="4576.139999999997"/>
        <n v="1150.57"/>
        <n v="5726.709999999996"/>
        <n v="1498.03"/>
        <n v="50.0"/>
        <n v="7174.739999999996"/>
        <n v="1461.44"/>
        <n v="7856.179999999997"/>
        <n v="1896.02"/>
        <n v="9752.199999999997"/>
        <n v="397.72"/>
        <n v="10149.919999999996"/>
        <n v="393.26"/>
        <n v="3530.0"/>
        <n v="7013.179999999997"/>
        <n v="1146.25"/>
        <n v="3000.0"/>
        <n v="5159.429999999997"/>
        <n v="909.85"/>
        <n v="691.57"/>
        <n v="5377.709999999997"/>
        <n v="1398.05"/>
        <n v="6775.7599999999975"/>
        <n v="1542.4"/>
        <n v="3112.95"/>
        <n v="5205.209999999998"/>
        <n v="900.79"/>
        <n v="6105.999999999998"/>
        <n v="1212.46"/>
        <n v="7318.459999999998"/>
        <n v="510.31"/>
        <n v="3780.0"/>
        <n v="4048.7699999999986"/>
        <n v="422.6"/>
        <n v="4471.369999999999"/>
        <n v="2027.98"/>
        <n v="140.0"/>
        <n v="6359.3499999999985"/>
        <n v="619.25"/>
        <n v="6978.5999999999985"/>
        <n v="454.03"/>
        <n v="7432.629999999998"/>
        <n v="804.54"/>
        <n v="8237.169999999998"/>
        <n v="1424.79"/>
        <n v="9661.96"/>
        <n v="234.71"/>
        <n v="2070.0"/>
        <n v="7826.669999999998"/>
        <n v="863.47"/>
        <n v="8600.139999999998"/>
        <n v="1210.41"/>
        <n v="9810.549999999997"/>
        <n v="866.72"/>
        <n v="10677.269999999997"/>
        <n v="1350.46"/>
        <n v="12027.729999999996"/>
        <n v="1072.88"/>
        <n v="13100.609999999997"/>
        <n v="1688.4"/>
        <n v="14789.009999999997"/>
        <n v="38.17"/>
        <n v="14827.179999999997"/>
        <n v="2512.22"/>
        <n v="17339.399999999998"/>
        <n v="1037.43"/>
        <n v="18376.829999999998"/>
        <n v="1091.22"/>
        <n v="15531.41"/>
        <n v="3936.6399999999994"/>
        <n v="1279.69"/>
        <n v="5166.33"/>
        <n v="1510.22"/>
        <n v="6676.55"/>
        <n v="1632.47"/>
        <n v="8309.02"/>
        <n v="193.19"/>
        <n v="688.68"/>
        <n v="7813.530000000001"/>
        <n v="333.46"/>
        <n v="8146.990000000001"/>
        <n v="1011.96"/>
        <n v="9158.95"/>
        <n v="1155.21"/>
        <n v="10314.16"/>
        <n v="2010.22"/>
        <n v="562.83"/>
        <n v="11761.55"/>
        <n v="1764.16"/>
        <n v="13525.71"/>
        <n v="1057.69"/>
        <n v="14583.4"/>
        <n v="345.65"/>
        <n v="7988.66"/>
        <n v="6940.389999999999"/>
        <n v="1297.15"/>
        <n v="8237.539999999999"/>
        <n v="1142.26"/>
        <n v="600.0"/>
        <n v="8779.8"/>
        <n v="507.66"/>
        <n v="9287.46"/>
        <n v="1008.47"/>
        <n v="500.0"/>
        <n v="9795.929999999998"/>
        <n v="748.25"/>
        <n v="10544.179999999998"/>
        <n v="1062.69"/>
        <n v="11606.869999999999"/>
        <n v="205.39"/>
        <n v="700.0"/>
        <n v="11112.259999999998"/>
        <n v="458.06"/>
        <n v="11570.319999999998"/>
        <n v="1531.49"/>
        <n v="620.0"/>
        <n v="12481.809999999998"/>
        <n v="1166.67"/>
        <n v="10.68"/>
        <n v="13637.799999999997"/>
        <n v="1067.63"/>
        <n v="14705.429999999997"/>
        <n v="1335.5"/>
        <n v="16040.929999999997"/>
        <n v="815.56"/>
        <n v="16856.489999999998"/>
        <n v="552.76"/>
        <n v="5000.0"/>
        <n v="12409.249999999996"/>
        <n v="385.09"/>
        <n v="12794.339999999997"/>
        <n v="527.28"/>
        <n v="333.34"/>
        <n v="12988.279999999997"/>
        <n v="1238.35"/>
        <n v="14226.629999999997"/>
        <n v="633.72"/>
        <n v="14860.349999999997"/>
        <n v="486.31"/>
        <n v="15346.659999999996"/>
        <n v="312.56"/>
        <n v="15262.219999999996"/>
        <n v="373.55"/>
        <n v="15635.769999999995"/>
        <n v="1211.81"/>
        <n v="16797.579999999994"/>
        <n v="818.29"/>
        <n v="17615.869999999995"/>
        <n v="1004.03"/>
        <n v="18619.899999999994"/>
        <n v="1019.82"/>
        <n v="18889.719999999994"/>
        <n v="751.87"/>
        <n v="19641.589999999993"/>
        <n v="932.52"/>
        <n v="20574.109999999993"/>
        <n v="408.65"/>
        <n v="4032.06"/>
        <n v="16950.699999999993"/>
        <n v="1257.13"/>
        <n v="18207.829999999994"/>
        <n v="983.96"/>
        <n v="19191.789999999994"/>
        <n v="1063.71"/>
        <n v="1447.19"/>
        <n v="18808.309999999994"/>
        <n v="1251.32"/>
        <n v="1617.9099999999999"/>
        <n v="18441.719999999994"/>
        <n v="613.93"/>
        <n v="19055.649999999994"/>
        <n v="739.24"/>
        <n v="150.0"/>
        <n v="19644.889999999996"/>
        <n v="638.59"/>
        <n v="20283.479999999996"/>
        <n v="1511.4"/>
        <n v="21794.879999999997"/>
        <n v="1189.23"/>
        <n v="22984.109999999997"/>
        <n v="1452.09"/>
        <n v="24436.199999999997"/>
        <n v="954.37"/>
        <n v="1643.8899999999999"/>
        <n v="23746.679999999997"/>
        <n v="940.46"/>
        <n v="24637.139999999996"/>
        <n v="1159.18"/>
        <n v="25796.319999999996"/>
        <n v="999.12"/>
        <n v="400.0"/>
        <n v="26395.439999999995"/>
        <n v="1265.25"/>
        <n v="27660.689999999995"/>
        <n v="1593.55"/>
        <n v="29254.239999999994"/>
        <n v="715.15"/>
        <n v="29969.389999999996"/>
        <n v="488.64"/>
        <n v="30458.029999999995"/>
        <n v="322.31"/>
        <n v="30780.339999999997"/>
        <n v="898.13"/>
        <n v="28678.469999999998"/>
        <n v="1676.3"/>
        <n v="29336.859999999997"/>
        <n v="183.41"/>
        <n v="424.5"/>
        <n v="29095.769999999997"/>
        <n v="621.87"/>
        <n v="29717.639999999996"/>
        <n v="68562.81"/>
        <n v="86201.55"/>
        <n v="12078.899999999994"/>
        <n v="2171.62"/>
        <n v="14250.519999999993"/>
        <n v="1234.03"/>
        <n v="15484.549999999994"/>
        <n v="756.83"/>
        <n v="16241.379999999994"/>
        <n v="1590.54"/>
        <n v="1013.0"/>
        <n v="16818.919999999995"/>
        <n v="152.68"/>
        <n v="26.71"/>
        <n v="16944.889999999996"/>
        <n v="1661.08"/>
        <n v="1023.1"/>
        <n v="17582.869999999995"/>
        <n v="1497.6"/>
        <n v="320.0"/>
        <n v="18760.469999999994"/>
        <n v="1514.31"/>
        <n v="2503.12"/>
        <n v="17771.659999999996"/>
        <n v="866.34"/>
        <n v="143.89"/>
        <n v="18494.109999999997"/>
        <n v="526.72"/>
        <n v="19020.829999999998"/>
        <n v="108.3"/>
        <n v="10269.34"/>
        <n v="8859.789999999997"/>
        <n v="820.84"/>
        <n v="9680.629999999997"/>
        <n v="726.91"/>
        <n v="10407.539999999997"/>
        <n v="635.58"/>
        <n v="11043.119999999997"/>
        <n v="1048.77"/>
        <n v="12091.889999999998"/>
        <n v="904.56"/>
        <n v="12996.449999999997"/>
        <n v="1344.31"/>
        <n v="14340.759999999997"/>
        <n v="277.28"/>
        <n v="14618.039999999997"/>
        <n v="894.21"/>
        <n v="15512.249999999996"/>
        <n v="16050.239999999996"/>
        <n v="392.84"/>
        <n v="15657.399999999996"/>
        <n v="494.48"/>
        <n v="16151.879999999996"/>
        <n v="1596.28"/>
        <n v="17748.159999999996"/>
        <n v="678.16"/>
        <n v="18426.319999999996"/>
        <n v="1009.34"/>
        <n v="19435.659999999996"/>
        <n v="471.89"/>
        <n v="19907.549999999996"/>
        <n v="626.45"/>
        <n v="20533.999999999996"/>
        <n v="4.38"/>
        <n v="20538.379999999997"/>
        <n v="974.54"/>
        <n v="474.5"/>
        <n v="21038.42"/>
        <n v="1326.77"/>
        <n v="22365.19"/>
        <n v="662.06"/>
        <n v="23027.25"/>
        <n v="1607.17"/>
        <n v="2700.0"/>
        <n v="21934.42"/>
        <n v="436.87"/>
        <n v="22371.289999999997"/>
        <n v="1418.01"/>
        <n v="23789.299999999996"/>
        <n v="853.59"/>
        <n v="4260.0"/>
        <n v="20382.889999999996"/>
        <n v="1136.61"/>
        <n v="477.13"/>
        <n v="21042.369999999995"/>
        <n v="947.32"/>
        <n v="21989.689999999995"/>
        <n v="963.19"/>
        <n v="22952.879999999994"/>
        <n v="567.96"/>
        <n v="1953.4299999999998"/>
        <n v="21567.409999999993"/>
        <n v="2937.39"/>
        <n v="6970.11"/>
        <n v="17534.68999999999"/>
        <n v="509.94"/>
        <n v="250.0"/>
        <n v="17794.62999999999"/>
        <n v="1663.82"/>
        <n v="630.0"/>
        <n v="18828.44999999999"/>
        <n v="1383.48"/>
        <n v="20211.92999999999"/>
        <n v="1662.36"/>
        <n v="21874.28999999999"/>
        <n v="1038.61"/>
        <n v="22912.89999999999"/>
        <n v="2421.84"/>
        <n v="25334.73999999999"/>
        <n v="295.01"/>
        <n v="25629.74999999999"/>
        <n v="1224.73"/>
        <n v="420.0"/>
        <n v="26434.47999999999"/>
        <n v="719.82"/>
        <n v="27154.29999999999"/>
        <n v="2126.35"/>
        <n v="29180.649999999987"/>
        <n v="1614.22"/>
        <n v="59.5"/>
        <n v="30735.369999999988"/>
        <n v="1261.5"/>
        <n v="31996.869999999988"/>
        <n v="310.19"/>
        <n v="1980.0900000000001"/>
        <n v="30326.969999999987"/>
        <n v="1440.97"/>
        <n v="31767.939999999988"/>
        <n v="1501.9"/>
        <n v="229.5"/>
        <n v="33040.33999999999"/>
        <n v="1194.84"/>
        <n v="30785.179999999986"/>
        <n v="1565.45"/>
        <n v="32350.629999999986"/>
        <n v="1351.1"/>
        <n v="33701.72999999999"/>
        <n v="1219.62"/>
        <n v="34921.34999999999"/>
        <n v="1801.08"/>
        <n v="497.0"/>
        <n v="36225.42999999999"/>
        <n v="105.88"/>
        <n v="616.47"/>
        <n v="35714.83999999999"/>
        <n v="1552.23"/>
        <n v="77.5"/>
        <n v="37189.56999999999"/>
        <n v="1526.4"/>
        <n v="38715.969999999994"/>
        <n v="1853.83"/>
        <n v="40069.799999999996"/>
        <n v="1405.89"/>
        <n v="41475.689999999995"/>
        <n v="1337.0"/>
        <n v="42812.689999999995"/>
        <n v="646.94"/>
        <n v="4623.110000000001"/>
        <n v="38836.52"/>
        <n v="1324.58"/>
        <n v="1080.65"/>
        <n v="39080.45"/>
        <n v="1557.88"/>
        <n v="40638.329999999994"/>
        <n v="1827.0"/>
        <n v="2878.62"/>
        <n v="39586.70999999999"/>
        <n v="2093.08"/>
        <n v="41049.78999999999"/>
        <n v="1220.7"/>
        <n v="300.0"/>
        <n v="41970.48999999999"/>
        <n v="1933.92"/>
        <n v="43904.40999999999"/>
        <n v="817.11"/>
        <n v="12187.320000000002"/>
        <n v="32534.19999999999"/>
        <n v="1876.83"/>
        <n v="34239.30999999999"/>
        <n v="1719.45"/>
        <n v="35958.75999999999"/>
        <n v="1608.81"/>
        <n v="551.4000000000001"/>
        <n v="37016.169999999984"/>
        <n v="1850.39"/>
        <n v="38866.55999999998"/>
        <n v="1934.31"/>
        <n v="40741.36999999998"/>
        <n v="2029.31"/>
        <n v="42770.67999999998"/>
        <n v="889.01"/>
        <n v="43659.68999999998"/>
        <n v="2797.46"/>
        <n v="46457.14999999998"/>
        <n v="1271.23"/>
        <n v="16192.84"/>
        <n v="31535.539999999983"/>
        <n v="2547.08"/>
        <n v="34082.61999999998"/>
        <n v="1910.29"/>
        <n v="78.0"/>
        <n v="35914.90999999998"/>
        <n v="3420.41"/>
        <n v="39335.31999999998"/>
        <n v="1581.75"/>
        <n v="40917.06999999998"/>
        <n v="946.13"/>
        <n v="664.49"/>
        <n v="41198.70999999998"/>
        <n v="1517.16"/>
        <n v="332.5"/>
        <n v="42383.36999999998"/>
        <n v="671.2"/>
        <n v="43004.56999999998"/>
        <n v="1135.59"/>
        <n v="44140.159999999974"/>
        <n v="1653.36"/>
        <n v="1657.42"/>
        <n v="44136.09999999998"/>
        <n v="2548.87"/>
        <n v="46284.96999999998"/>
        <n v="497.36"/>
        <n v="46782.32999999998"/>
        <n v="786.09"/>
        <n v="6108.0"/>
        <n v="41460.41999999998"/>
        <n v="1855.03"/>
        <n v="3066.61"/>
        <n v="40248.839999999975"/>
        <n v="2479.65"/>
        <n v="578.0"/>
        <n v="42150.489999999976"/>
        <n v="2256.88"/>
        <n v="3558.51"/>
        <n v="40848.85999999997"/>
        <n v="1711.66"/>
        <n v="42560.52"/>
        <n v="-2.1827872842550278E-11"/>
        <n v="2199.73"/>
        <n v="2199.729999999978"/>
        <n v="1577.09"/>
        <n v="3776.819999999978"/>
        <n v="766.63"/>
        <n v="539.97"/>
        <n v="4003.4799999999777"/>
        <n v="1999.74"/>
        <n v="4404.68"/>
        <n v="1598.5399999999772"/>
        <n v="2661.31"/>
        <n v="162.5"/>
        <n v="4097.349999999977"/>
        <n v="1500.0"/>
        <n v="245.0"/>
        <n v="5352.349999999977"/>
        <n v="1209.72"/>
        <n v="6562.069999999977"/>
        <n v="3806.56"/>
        <n v="10368.629999999977"/>
        <n v="2242.56"/>
        <n v="12611.189999999977"/>
        <n v="491.38"/>
        <n v="2141.01"/>
        <n v="10961.559999999976"/>
        <n v="2075.12"/>
        <n v="6445.18"/>
        <n v="6591.4999999999745"/>
        <n v="1732.21"/>
        <n v="8323.709999999974"/>
        <n v="1669.55"/>
        <n v="200.0"/>
        <n v="9793.259999999973"/>
        <n v="1185.57"/>
        <n v="10978.829999999973"/>
        <n v="1121.28"/>
        <n v="12100.109999999973"/>
        <n v="1725.18"/>
        <n v="13825.289999999974"/>
        <n v="7.03"/>
        <n v="2080.67"/>
        <n v="11751.649999999974"/>
        <n v="1386.96"/>
        <n v="110.87"/>
        <n v="13027.739999999974"/>
        <n v="1147.75"/>
        <n v="14175.489999999974"/>
        <n v="1812.92"/>
        <n v="15563.909999999974"/>
        <n v="1193.04"/>
        <n v="16606.949999999975"/>
        <n v="903.01"/>
        <n v="17509.959999999974"/>
        <n v="1553.57"/>
        <n v="19063.529999999973"/>
        <n v="813.27"/>
        <n v="19876.799999999974"/>
        <n v="779.92"/>
        <n v="4804.46"/>
        <n v="15852.259999999973"/>
        <n v="1460.58"/>
        <n v="462.36"/>
        <n v="16850.479999999974"/>
        <n v="1536.95"/>
        <n v="18287.429999999975"/>
        <n v="1604.46"/>
        <n v="930.92"/>
        <n v="18960.969999999976"/>
        <n v="3168.34"/>
        <n v="22129.309999999976"/>
        <n v="1269.78"/>
        <n v="23399.089999999975"/>
        <n v="266.53"/>
        <n v="727.64"/>
        <n v="22937.979999999974"/>
        <n v="2242.43"/>
        <n v="5718.52"/>
        <n v="19461.889999999974"/>
        <n v="1296.42"/>
        <n v="7174.169999999999"/>
        <n v="13584.139999999978"/>
        <n v="3078.21"/>
        <n v="318.52"/>
        <n v="16343.829999999976"/>
        <n v="1447.2"/>
        <n v="952.86"/>
        <n v="16838.169999999976"/>
        <n v="1480.22"/>
        <n v="18318.389999999978"/>
        <n v="1631.74"/>
        <n v="19950.12999999998"/>
        <n v="537.11"/>
        <n v="268.95"/>
        <n v="20218.28999999998"/>
        <n v="997.3"/>
        <n v="5159.23"/>
        <n v="16056.359999999979"/>
        <n v="1287.38"/>
        <n v="17193.73999999998"/>
        <n v="2344.67"/>
        <n v="19538.40999999998"/>
        <n v="1387.31"/>
        <n v="14480.539999999983"/>
        <n v="1514.89"/>
        <n v="15995.429999999982"/>
        <n v="2029.07"/>
        <n v="18024.49999999998"/>
        <n v="973.45"/>
        <n v="6750.670000000001"/>
        <n v="12247.27999999998"/>
        <n v="849.63"/>
        <n v="13096.90999999998"/>
        <n v="2054.41"/>
        <n v="15151.31999999998"/>
        <n v="2078.21"/>
        <n v="422.5"/>
        <n v="16807.02999999998"/>
        <n v="1913.89"/>
        <n v="18720.91999999998"/>
        <n v="1976.92"/>
        <n v="20697.839999999982"/>
        <n v="1404.34"/>
        <n v="22102.179999999982"/>
        <n v="145.45"/>
        <n v="21773.129999999983"/>
        <n v="2312.9"/>
        <n v="24086.029999999984"/>
        <n v="2067.81"/>
        <n v="26153.839999999986"/>
        <n v="2565.11"/>
        <n v="1467.0"/>
        <n v="27251.949999999986"/>
        <n v="1924.9"/>
        <n v="29176.849999999988"/>
        <n v="2230.39"/>
        <n v="31407.239999999987"/>
        <n v="2923.04"/>
        <n v="34330.279999999984"/>
        <n v="215.59"/>
        <n v="861.64"/>
        <n v="33684.22999999998"/>
        <n v="938.46"/>
        <n v="3456.91"/>
        <n v="31165.77999999998"/>
        <n v="2166.78"/>
        <n v="33232.55999999998"/>
        <n v="3350.08"/>
        <n v="36582.639999999985"/>
        <n v="1532.26"/>
        <n v="600.46"/>
        <n v="37514.43999999999"/>
        <n v="2185.25"/>
        <n v="39699.68999999999"/>
        <n v="1117.85"/>
        <n v="40817.539999999986"/>
        <n v="711.51"/>
        <n v="7255.610000000001"/>
        <n v="34273.43999999999"/>
        <n v="1767.26"/>
        <n v="36040.69999999999"/>
        <n v="1870.95"/>
        <n v="37911.64999999999"/>
        <n v="1960.64"/>
        <n v="450.0"/>
        <n v="39422.289999999986"/>
        <n v="1290.0"/>
        <n v="40712.289999999986"/>
        <n v="1060.83"/>
        <n v="41773.11999999999"/>
        <n v="696.75"/>
        <n v="42469.86999999999"/>
        <n v="300.18"/>
        <n v="6210.0"/>
        <n v="36560.04999999999"/>
        <n v="2370.29"/>
        <n v="38930.33999999999"/>
        <n v="2679.67"/>
        <n v="41610.00999999999"/>
        <n v="1701.14"/>
        <n v="43311.14999999999"/>
        <n v="2402.82"/>
        <n v="265.0"/>
        <n v="45448.96999999999"/>
        <n v="1907.05"/>
        <n v="47156.01999999999"/>
        <n v="2128.48"/>
        <n v="49284.49999999999"/>
        <n v="763.43"/>
        <n v="3182.35"/>
        <n v="46865.579999999994"/>
        <n v="3000.54"/>
        <n v="49441.619999999995"/>
        <n v="1674.15"/>
        <n v="51115.77"/>
        <n v="2367.76"/>
        <n v="53433.53"/>
        <n v="2865.73"/>
        <n v="1406.46"/>
        <n v="54892.8"/>
        <n v="2879.26"/>
        <n v="57772.060000000005"/>
        <n v="3183.0"/>
        <n v="60955.060000000005"/>
        <n v="186.94"/>
        <n v="61142.00000000001"/>
        <n v="1715.45"/>
        <n v="62757.450000000004"/>
        <n v="2349.65"/>
        <n v="794.64"/>
        <n v="64312.46000000001"/>
        <n v="2240.97"/>
        <n v="4400.0"/>
        <n v="62153.43000000001"/>
        <n v="2338.62"/>
        <n v="50992.83"/>
        <n v="13499.220000000008"/>
        <n v="2595.83"/>
        <n v="16095.050000000008"/>
        <n v="1986.17"/>
        <n v="18081.22000000001"/>
        <n v="2674.68"/>
        <n v="8950.98"/>
        <n v="11804.92000000001"/>
        <n v="2418.42"/>
        <n v="14223.34000000001"/>
        <n v="2719.66"/>
        <n v="16943.000000000007"/>
        <n v="2642.04"/>
        <n v="19485.040000000008"/>
        <n v="2723.0"/>
        <n v="22208.040000000008"/>
        <n v="2625.19"/>
        <n v="24833.230000000007"/>
        <n v="2571.97"/>
        <n v="350.0"/>
        <n v="27055.200000000008"/>
        <n v="492.49"/>
        <n v="178.0"/>
        <n v="27369.69000000001"/>
        <n v="2494.05"/>
        <n v="29804.24000000001"/>
        <n v="2429.24"/>
        <n v="32233.48000000001"/>
        <n v="34745.70000000001"/>
        <n v="2848.87"/>
        <n v="37594.570000000014"/>
        <n v="2165.83"/>
        <n v="39760.400000000016"/>
        <n v="2342.85"/>
        <n v="41903.250000000015"/>
        <n v="292.17"/>
        <n v="2300.0"/>
        <n v="39895.42000000001"/>
        <n v="2565.29"/>
        <n v="112.5"/>
        <n v="42348.210000000014"/>
        <n v="2164.6"/>
        <n v="44512.81000000001"/>
        <n v="2662.43"/>
        <n v="475.5"/>
        <n v="46699.74000000001"/>
        <n v="2835.73"/>
        <n v="49485.470000000016"/>
        <n v="3289.89"/>
        <n v="52775.360000000015"/>
        <n v="2255.59"/>
        <n v="55030.95000000001"/>
        <n v="1054.87"/>
        <n v="1394.69"/>
        <n v="54691.13000000001"/>
        <n v="2937.47"/>
        <n v="57628.60000000001"/>
        <n v="2320.28"/>
        <n v="59948.88000000001"/>
        <n v="2408.49"/>
        <n v="28.0"/>
        <n v="62329.37000000001"/>
        <n v="3600.83"/>
        <n v="931.99"/>
        <n v="64998.210000000014"/>
        <n v="2096.81"/>
        <n v="67095.02000000002"/>
        <n v="3122.13"/>
        <n v="70217.15000000002"/>
        <n v="287.79"/>
        <n v="6779.4"/>
        <n v="63725.540000000015"/>
        <n v="3060.82"/>
        <n v="66786.36000000002"/>
        <n v="3589.17"/>
        <n v="70375.53000000001"/>
        <n v="2232.4"/>
        <n v="72607.93000000001"/>
        <n v="3393.73"/>
        <n v="75801.66"/>
        <n v="3128.94"/>
        <n v="78930.6"/>
        <n v="2352.04"/>
        <n v="81282.64"/>
        <n v="1924.19"/>
        <n v="83206.83"/>
        <n v="1491.91"/>
        <n v="84598.74"/>
        <n v="2644.18"/>
        <n v="87092.92"/>
        <n v="2128.13"/>
        <n v="89221.05"/>
        <n v="2745.96"/>
        <n v="12000.0"/>
        <n v="79967.01000000001"/>
        <n v="2338.41"/>
        <n v="82305.42000000001"/>
        <n v="1748.94"/>
        <n v="84054.36000000002"/>
        <n v="568.63"/>
        <n v="84622.99000000002"/>
        <n v="2716.09"/>
        <n v="47149.03"/>
        <n v="40190.05000000002"/>
        <n v="1721.65"/>
        <n v="41911.70000000002"/>
        <n v="1853.39"/>
        <n v="43765.09000000002"/>
        <n v="2219.48"/>
        <n v="41984.57000000002"/>
        <n v="2816.71"/>
        <n v="44801.28000000002"/>
        <n v="2280.11"/>
        <n v="47081.39000000002"/>
        <n v="448.49"/>
        <n v="4750.96"/>
        <n v="42778.92000000002"/>
        <n v="1887.89"/>
        <n v="637.56"/>
        <n v="44029.25000000002"/>
        <n v="1772.03"/>
        <n v="45801.28000000002"/>
        <n v="2263.59"/>
        <n v="48064.870000000024"/>
        <n v="2181.68"/>
        <n v="49546.550000000025"/>
        <n v="1485.59"/>
        <n v="48032.14000000002"/>
        <n v="1639.15"/>
        <n v="49671.29000000002"/>
        <n v="746.41"/>
        <n v="977.37"/>
        <n v="49440.33000000002"/>
        <n v="1513.58"/>
        <n v="50953.910000000025"/>
        <n v="2286.43"/>
        <n v="7084.68"/>
        <n v="46155.660000000025"/>
        <n v="2286.44"/>
        <n v="48442.10000000003"/>
        <n v="1045.87"/>
        <n v="10917.150000000001"/>
        <n v="38570.82000000003"/>
        <n v="2254.51"/>
        <n v="40825.33000000003"/>
        <n v="1479.66"/>
        <n v="42304.990000000034"/>
        <n v="711.79"/>
        <n v="1432.92"/>
        <n v="41583.86000000004"/>
        <n v="2278.44"/>
        <n v="43862.30000000004"/>
        <n v="1590.44"/>
        <n v="45452.74000000004"/>
        <n v="1993.55"/>
        <n v="47446.290000000045"/>
        <n v="1987.02"/>
        <n v="49283.31000000004"/>
        <n v="3566.99"/>
        <n v="52850.30000000004"/>
        <n v="6530.06"/>
        <n v="46320.24000000004"/>
        <n v="1961.92"/>
        <n v="2040.0"/>
        <n v="46242.16000000004"/>
        <n v="1779.44"/>
        <n v="48021.60000000004"/>
        <n v="3001.87"/>
        <n v="51023.470000000045"/>
        <n v="1987.83"/>
        <n v="53011.30000000005"/>
        <n v="2010.23"/>
        <n v="55021.53000000005"/>
        <n v="1919.91"/>
        <n v="56941.44000000005"/>
        <n v="206.74"/>
        <n v="2569.31"/>
        <n v="54578.87000000005"/>
        <n v="1579.52"/>
        <n v="56158.39000000005"/>
        <n v="1054.05"/>
        <n v="56787.94000000005"/>
        <n v="1455.41"/>
        <n v="58243.35000000006"/>
        <n v="255.72"/>
        <n v="896.46"/>
        <n v="57602.61000000006"/>
        <n v="2042.32"/>
        <n v="59644.93000000006"/>
        <n v="920.23"/>
        <n v="60565.16000000006"/>
        <n v="4154.4"/>
        <n v="6646.67"/>
        <n v="58072.890000000065"/>
        <n v="868.47"/>
        <n v="58791.360000000066"/>
        <n v="2530.91"/>
        <n v="61322.27000000006"/>
        <n v="2067.87"/>
        <n v="3278.06"/>
        <n v="60112.08000000007"/>
        <n v="1472.91"/>
        <n v="375.6"/>
        <n v="61209.39000000007"/>
        <n v="2482.77"/>
        <n v="63692.16000000007"/>
        <n v="1714.95"/>
        <n v="65407.110000000066"/>
        <n v="1453.58"/>
        <n v="5304.110000000001"/>
        <n v="61556.58000000006"/>
        <n v="498.78"/>
        <n v="10763.8"/>
        <n v="51291.560000000056"/>
        <n v="2165.92"/>
        <n v="53457.480000000054"/>
        <n v="2214.28"/>
        <n v="375.91999999999996"/>
        <n v="55295.840000000055"/>
        <n v="2383.9"/>
        <n v="57679.740000000056"/>
        <n v="2003.63"/>
        <n v="59683.37000000005"/>
        <n v="1281.08"/>
        <n v="60964.450000000055"/>
        <n v="346.74"/>
        <n v="61311.19000000005"/>
        <n v="1713.57"/>
        <n v="63024.76000000005"/>
        <n v="1388.16"/>
        <n v="13530.060000000001"/>
        <n v="50882.86000000006"/>
        <n v="1540.64"/>
        <n v="52423.50000000006"/>
        <n v="1786.42"/>
        <n v="14.5"/>
        <n v="54195.42000000006"/>
        <n v="2091.29"/>
        <n v="56286.71000000006"/>
        <n v="1290.7"/>
        <n v="57577.410000000054"/>
        <n v="34731.27"/>
        <n v="91520.0"/>
        <n v="788.6800000000512"/>
        <n v="1105.55"/>
        <n v="1894.2300000000512"/>
        <n v="1825.79"/>
        <n v="3720.0200000000514"/>
        <n v="1689.53"/>
        <n v="5409.550000000051"/>
        <n v="2024.28"/>
        <n v="6959.330000000051"/>
        <n v="1692.73"/>
        <n v="8652.06000000005"/>
        <n v="1475.81"/>
        <n v="10127.87000000005"/>
        <n v="634.68"/>
        <n v="1336.46"/>
        <n v="9426.090000000051"/>
        <n v="2018.05"/>
        <n v="260.0"/>
        <n v="11184.14000000005"/>
        <n v="1718.59"/>
        <n v="890.0"/>
        <n v="12012.73000000005"/>
        <n v="1464.89"/>
        <n v="130.0"/>
        <n v="13347.62000000005"/>
        <n v="1866.21"/>
        <n v="15213.830000000049"/>
        <n v="1865.41"/>
        <n v="16949.24000000005"/>
        <n v="552.51"/>
        <n v="17501.750000000047"/>
        <n v="609.82"/>
        <n v="10321.119999999999"/>
        <n v="7790.450000000048"/>
        <n v="2383.45"/>
        <n v="1474.27"/>
        <n v="8699.630000000048"/>
        <n v="1077.23"/>
        <n v="8562.590000000047"/>
        <n v="1487.81"/>
        <n v="9449.940000000046"/>
        <n v="2469.9"/>
        <n v="3322.0"/>
        <n v="8597.840000000046"/>
        <n v="2474.89"/>
        <n v="11072.730000000045"/>
        <n v="1196.82"/>
        <n v="12269.550000000045"/>
        <n v="16343.87"/>
        <n v="28102.9"/>
        <n v="510.5200000000441"/>
        <n v="1031.93"/>
        <n v="1282.4500000000442"/>
        <n v="1954.02"/>
        <n v="3236.470000000044"/>
        <n v="2051.49"/>
        <n v="5287.960000000044"/>
        <n v="2683.89"/>
        <n v="7221.850000000044"/>
        <n v="2411.02"/>
        <n v="9632.870000000044"/>
        <n v="3051.85"/>
        <n v="12684.720000000045"/>
        <n v="217.46"/>
        <n v="6067.17"/>
        <n v="6835.010000000044"/>
        <n v="2233.8"/>
        <n v="5643.44"/>
        <n v="3425.3700000000454"/>
        <n v="1595.08"/>
        <n v="5020.450000000045"/>
        <n v="2795.24"/>
        <n v="7815.690000000045"/>
        <n v="3022.06"/>
        <n v="10837.750000000045"/>
        <n v="2975.11"/>
        <n v="13812.860000000046"/>
        <n v="2495.93"/>
        <n v="16308.790000000046"/>
        <n v="186.06"/>
        <n v="4900.95"/>
        <n v="11593.900000000045"/>
        <n v="1823.86"/>
        <n v="13417.760000000046"/>
        <n v="2717.97"/>
        <n v="16135.730000000045"/>
        <n v="3290.04"/>
        <n v="180.0"/>
        <n v="19245.770000000044"/>
        <n v="3602.18"/>
        <n v="2430.0"/>
        <n v="20417.950000000044"/>
        <n v="2922.55"/>
        <n v="23080.500000000044"/>
        <n v="2420.61"/>
        <n v="25501.110000000044"/>
        <n v="1113.12"/>
        <n v="4305.61"/>
        <n v="22308.620000000043"/>
        <n v="2399.67"/>
        <n v="582.73"/>
        <n v="24125.560000000045"/>
        <n v="3004.19"/>
        <n v="27129.750000000044"/>
        <n v="3322.65"/>
        <n v="30452.400000000045"/>
        <n v="2619.77"/>
        <n v="7239.3"/>
        <n v="25832.870000000043"/>
        <n v="3458.78"/>
        <n v="29291.65000000004"/>
        <n v="5026.12"/>
        <n v="34317.77000000004"/>
        <n v="366.19"/>
        <n v="18054.470000000005"/>
        <n v="16629.490000000038"/>
        <n v="4622.0"/>
        <n v="6272.46"/>
        <n v="14979.030000000039"/>
        <n v="4745.31"/>
        <n v="19724.34000000004"/>
        <n v="3844.06"/>
        <n v="23568.40000000004"/>
        <n v="2502.02"/>
        <n v="747.5"/>
        <n v="25322.920000000042"/>
        <n v="3449.37"/>
        <n v="28772.29000000004"/>
        <n v="3618.94"/>
        <n v="32391.23000000004"/>
        <n v="678.88"/>
        <n v="6532.450000000001"/>
        <n v="26537.660000000036"/>
        <n v="3035.42"/>
        <n v="29573.080000000038"/>
        <n v="5172.64"/>
        <n v="940.0"/>
        <n v="33805.72000000004"/>
        <n v="5395.67"/>
        <n v="39201.390000000036"/>
        <n v="5147.85"/>
        <n v="44349.240000000034"/>
        <n v="4897.33"/>
        <n v="49246.570000000036"/>
        <n v="4617.8"/>
        <n v="53864.37000000004"/>
        <n v="360.86"/>
        <n v="10460.0"/>
        <n v="43765.23000000004"/>
        <n v="3987.72"/>
        <n v="47752.95000000004"/>
        <n v="3543.54"/>
        <n v="3002.89"/>
        <n v="48293.60000000004"/>
        <n v="3850.55"/>
        <n v="52144.150000000045"/>
        <n v="3501.1"/>
        <n v="54748.790000000045"/>
        <n v="3097.71"/>
        <n v="57846.500000000044"/>
        <n v="2675.13"/>
        <n v="60521.63000000004"/>
        <n v="481.02"/>
        <n v="59502.65000000004"/>
        <n v="1938.75"/>
        <n v="6360.0"/>
        <n v="55081.40000000004"/>
        <n v="4689.82"/>
        <n v="59771.22000000004"/>
        <n v="5022.52"/>
        <n v="1140.96"/>
        <n v="63652.780000000035"/>
        <n v="2670.73"/>
        <n v="1181.38"/>
        <n v="65142.13000000004"/>
        <n v="4136.23"/>
        <n v="107.64"/>
        <n v="69170.72000000004"/>
        <n v="3387.94"/>
        <n v="72558.66000000005"/>
        <n v="4202.88"/>
        <n v="15698.54"/>
        <n v="61063.00000000005"/>
        <n v="202.31"/>
        <n v="8657.82"/>
        <n v="52607.49000000005"/>
        <n v="2772.69"/>
        <n v="55380.18000000005"/>
        <n v="2773.87"/>
        <n v="58154.050000000054"/>
        <n v="3621.01"/>
        <n v="162.39"/>
        <n v="61612.67000000006"/>
        <n v="3817.84"/>
        <n v="65430.51000000005"/>
        <n v="3381.84"/>
        <n v="68812.35000000005"/>
        <n v="942.67"/>
        <n v="11094.17"/>
        <n v="58660.85000000005"/>
        <n v="2001.57"/>
        <n v="1297.77"/>
        <n v="59364.65000000005"/>
        <n v="3697.87"/>
        <n v="63062.520000000055"/>
        <n v="1013.29"/>
        <n v="98.18"/>
        <n v="63977.630000000056"/>
        <n v="6014.83"/>
        <n v="57962.800000000054"/>
        <n v="1789.97"/>
        <n v="59752.770000000055"/>
        <n v="1867.52"/>
        <n v="61620.29000000005"/>
        <n v="176.6"/>
        <n v="10739.01"/>
        <n v="51057.88000000005"/>
        <n v="1308.35"/>
        <n v="52236.23000000005"/>
        <n v="2684.49"/>
        <n v="662.86"/>
        <n v="54257.860000000044"/>
        <n v="1406.4"/>
        <n v="64.11"/>
        <n v="55600.150000000045"/>
        <n v="25.74"/>
        <n v="314.99"/>
        <n v="55310.900000000045"/>
        <n v="1555.13"/>
        <n v="56866.03000000004"/>
        <n v="2433.26"/>
        <n v="59299.290000000045"/>
        <n v="112.44"/>
        <n v="3768.98"/>
        <n v="55642.750000000044"/>
        <n v="1454.03"/>
        <n v="4419.39"/>
        <n v="52677.39000000004"/>
        <n v="1721.8"/>
        <n v="220.0"/>
        <n v="54179.190000000046"/>
        <n v="1705.51"/>
        <n v="1770.0"/>
        <n v="54114.70000000005"/>
        <n v="1590.02"/>
        <n v="110.0"/>
        <n v="55594.720000000045"/>
        <n v="2363.21"/>
        <n v="57957.930000000044"/>
        <n v="624.15"/>
        <n v="58582.080000000045"/>
        <n v="570.61"/>
        <n v="12381.3"/>
        <n v="46771.39000000004"/>
        <n v="1144.55"/>
        <n v="8554.130000000001"/>
        <n v="39361.81000000004"/>
        <n v="41172.63000000004"/>
        <n v="2750.4"/>
        <n v="8145.67"/>
        <n v="35777.360000000044"/>
        <n v="2269.2"/>
        <n v="188.0"/>
        <n v="37858.56000000004"/>
        <n v="2515.09"/>
        <n v="40373.65000000004"/>
        <n v="1691.97"/>
        <n v="42065.62000000004"/>
        <n v="873.24"/>
        <n v="4504.96"/>
        <n v="38433.90000000004"/>
        <n v="2891.78"/>
        <n v="37700.0"/>
        <n v="3625.6800000000367"/>
        <n v="3201.0"/>
        <n v="4105.5"/>
        <n v="2721.1800000000367"/>
        <n v="2938.48"/>
        <n v="5109.660000000036"/>
        <n v="3567.17"/>
        <n v="2548.52"/>
        <n v="6128.310000000036"/>
        <n v="3412.02"/>
        <n v="9390.330000000036"/>
        <n v="2038.7"/>
        <n v="6175.8"/>
        <n v="5253.230000000037"/>
        <n v="1083.78"/>
        <n v="6238.830000000036"/>
        <n v="3381.99"/>
        <n v="9620.820000000036"/>
        <n v="4839.98"/>
        <n v="14460.800000000036"/>
        <n v="5114.18"/>
        <n v="19574.980000000036"/>
        <n v="3060.07"/>
        <n v="22635.050000000036"/>
        <n v="3933.14"/>
        <n v="26568.190000000035"/>
        <n v="2927.75"/>
        <n v="29495.940000000035"/>
        <n v="6881.76"/>
        <n v="870.9100000000001"/>
        <n v="35506.79000000003"/>
        <n v="5780.99"/>
        <n v="2852.38"/>
        <n v="38435.40000000003"/>
        <n v="5820.54"/>
        <n v="44255.94000000003"/>
        <n v="60.0"/>
        <n v="44195.94000000003"/>
        <n v="2390.0"/>
        <n v="41805.94000000003"/>
        <n v="5799.28"/>
        <n v="47605.22000000003"/>
        <n v="434.58"/>
        <n v="6183.26"/>
        <n v="41856.54000000003"/>
        <n v="3690.26"/>
        <n v="45546.80000000003"/>
        <n v="4481.44"/>
        <n v="1261.74"/>
        <n v="48766.50000000004"/>
        <n v="4895.75"/>
        <n v="53462.25000000004"/>
        <n v="4139.6"/>
        <n v="8484.460000000001"/>
        <n v="49117.390000000036"/>
        <n v="3063.9"/>
        <n v="52181.29000000004"/>
        <n v="2813.23"/>
        <n v="54994.52000000004"/>
        <n v="2833.77"/>
        <n v="23529.3"/>
        <n v="34298.990000000034"/>
        <n v="1983.56"/>
        <n v="36282.55000000003"/>
        <n v="1285.78"/>
        <n v="204.96"/>
        <n v="37363.37000000003"/>
        <n v="1851.77"/>
        <n v="38665.14000000003"/>
        <n v="4349.59"/>
        <n v="2636.5699999999997"/>
        <n v="40378.160000000025"/>
        <n v="3347.35"/>
        <n v="43725.510000000024"/>
        <n v="4887.4"/>
        <n v="48612.910000000025"/>
        <n v="226.04"/>
        <n v="211.67000000000002"/>
        <n v="48627.28000000003"/>
        <n v="3119.85"/>
        <n v="7555.0"/>
        <n v="44192.13000000003"/>
        <n v="4431.24"/>
        <n v="48623.370000000024"/>
        <n v="4815.19"/>
        <n v="53438.56000000003"/>
        <n v="3131.67"/>
        <n v="56570.230000000025"/>
        <n v="2991.85"/>
        <n v="59562.08000000002"/>
        <n v="2726.63"/>
        <n v="62288.71000000002"/>
        <n v="46.53"/>
        <n v="544.99"/>
        <n v="61790.25000000002"/>
        <n v="2631.87"/>
        <n v="3147.29"/>
        <n v="61274.83000000002"/>
        <n v="650.0"/>
        <n v="63140.15000000002"/>
        <n v="2881.51"/>
        <n v="65961.66000000002"/>
        <n v="2225.92"/>
        <n v="65797.58000000002"/>
        <n v="3024.09"/>
        <n v="68821.67000000001"/>
        <n v="3184.48"/>
        <n v="72006.15000000001"/>
        <n v="483.5"/>
        <n v="683.26"/>
        <n v="71806.39000000001"/>
        <n v="3682.04"/>
        <n v="71488.43000000001"/>
        <n v="4050.51"/>
        <n v="862.51"/>
        <n v="74676.43000000001"/>
        <n v="4652.09"/>
        <n v="160.0"/>
        <n v="79168.52"/>
        <n v="4230.22"/>
        <n v="10902.599999999999"/>
        <n v="72496.14000000001"/>
        <n v="4312.99"/>
        <n v="76809.13000000002"/>
        <n v="2858.97"/>
        <n v="79668.10000000002"/>
        <n v="959.45"/>
        <n v="14588.87"/>
        <n v="66038.68000000002"/>
        <m/>
      </sharedItems>
    </cacheField>
    <cacheField name="ANO" numFmtId="0">
      <sharedItems containsString="0" containsBlank="1" containsNumber="1" containsInteger="1">
        <n v="2024.0"/>
        <n v="2025.0"/>
        <n v="2026.0"/>
        <m/>
      </sharedItems>
    </cacheField>
    <cacheField name="MÊS" numFmtId="0">
      <sharedItems containsString="0" containsBlank="1" containsNumber="1" containsInteger="1">
        <n v="8.0"/>
        <n v="9.0"/>
        <n v="10.0"/>
        <n v="11.0"/>
        <n v="12.0"/>
        <n v="1.0"/>
        <n v="2.0"/>
        <n v="3.0"/>
        <n v="4.0"/>
        <n v="5.0"/>
        <n v="6.0"/>
        <n v="7.0"/>
        <m/>
      </sharedItems>
    </cacheField>
    <cacheField name="DIA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3995" sheet="Lançamentos de despesas"/>
  </cacheSource>
  <cacheFields>
    <cacheField name="Data do vencimento" numFmtId="165">
      <sharedItems containsDate="1" containsString="0" containsBlank="1">
        <d v="2024-08-01T00:00:00Z"/>
        <d v="2024-08-02T00:00:00Z"/>
        <d v="2024-08-05T00:00:00Z"/>
        <d v="2024-08-06T00:00:00Z"/>
        <d v="2024-08-12T00:00:00Z"/>
        <d v="2024-08-13T00:00:00Z"/>
        <d v="2024-08-14T00:00:00Z"/>
        <d v="2024-08-15T00:00:00Z"/>
        <d v="2024-08-16T00:00:00Z"/>
        <d v="2024-08-19T00:00:00Z"/>
        <d v="2024-08-20T00:00:00Z"/>
        <d v="2024-08-22T00:00:00Z"/>
        <d v="2024-08-23T00:00:00Z"/>
        <d v="2024-08-25T00:00:00Z"/>
        <d v="2024-08-26T00:00:00Z"/>
        <d v="2024-08-27T00:00:00Z"/>
        <d v="2024-08-28T00:00:00Z"/>
        <d v="2024-08-29T00:00:00Z"/>
        <d v="2024-08-30T00:00:00Z"/>
        <d v="2024-09-02T00:00:00Z"/>
        <d v="2024-09-05T00:00:00Z"/>
        <d v="2024-09-06T00:00:00Z"/>
        <d v="2024-09-09T00:00:00Z"/>
        <d v="2024-09-10T00:00:00Z"/>
        <d v="2024-09-11T00:00:00Z"/>
        <d v="2024-09-12T00:00:00Z"/>
        <d v="2024-09-13T00:00:00Z"/>
        <d v="2024-09-16T00:00:00Z"/>
        <d v="2024-09-17T00:00:00Z"/>
        <d v="2024-09-18T00:00:00Z"/>
        <d v="2024-09-20T00:00:00Z"/>
        <d v="2024-09-23T00:00:00Z"/>
        <d v="2024-09-24T00:00:00Z"/>
        <d v="2024-09-25T00:00:00Z"/>
        <d v="2024-09-26T00:00:00Z"/>
        <d v="2024-09-30T00:00:00Z"/>
        <d v="2024-10-01T00:00:00Z"/>
        <d v="2024-10-02T00:00:00Z"/>
        <d v="2024-10-03T00:00:00Z"/>
        <d v="2024-10-07T00:00:00Z"/>
        <d v="2024-10-08T00:00:00Z"/>
        <d v="2024-10-10T00:00:00Z"/>
        <d v="2024-10-11T00:00:00Z"/>
        <d v="2024-10-13T00:00:00Z"/>
        <d v="2024-10-14T00:00:00Z"/>
        <d v="2024-10-15T00:00:00Z"/>
        <d v="2024-10-16T00:00:00Z"/>
        <d v="2024-10-17T00:00:00Z"/>
        <d v="2024-10-18T00:00:00Z"/>
        <d v="2024-10-21T00:00:00Z"/>
        <d v="2024-10-22T00:00:00Z"/>
        <d v="2024-10-23T00:00:00Z"/>
        <d v="2024-10-25T00:00:00Z"/>
        <d v="2024-10-28T00:00:00Z"/>
        <d v="2024-10-29T00:00:00Z"/>
        <d v="2024-10-30T00:00:00Z"/>
        <d v="2024-10-31T00:00:00Z"/>
        <d v="2024-11-01T00:00:00Z"/>
        <d v="2024-11-04T00:00:00Z"/>
        <d v="2024-11-05T00:00:00Z"/>
        <d v="2024-11-06T00:00:00Z"/>
        <d v="2024-11-10T00:00:00Z"/>
        <d v="2024-11-11T00:00:00Z"/>
        <d v="2024-11-12T00:00:00Z"/>
        <d v="2024-11-13T00:00:00Z"/>
        <d v="2024-11-14T00:00:00Z"/>
        <d v="2024-11-15T00:00:00Z"/>
        <d v="2024-11-18T00:00:00Z"/>
        <d v="2024-11-19T00:00:00Z"/>
        <d v="2024-11-21T00:00:00Z"/>
        <d v="2024-11-22T00:00:00Z"/>
        <d v="2024-11-24T00:00:00Z"/>
        <d v="2024-11-25T00:00:00Z"/>
        <d v="2024-11-28T00:00:00Z"/>
        <d v="2024-11-29T00:00:00Z"/>
        <d v="2024-11-30T00:00:00Z"/>
        <d v="2024-12-02T00:00:00Z"/>
        <d v="2024-12-03T00:00:00Z"/>
        <d v="2024-12-05T00:00:00Z"/>
        <d v="2024-12-06T00:00:00Z"/>
        <d v="2024-12-08T00:00:00Z"/>
        <d v="2024-12-09T00:00:00Z"/>
        <d v="2024-12-10T00:00:00Z"/>
        <d v="2024-12-11T00:00:00Z"/>
        <d v="2024-12-12T00:00:00Z"/>
        <d v="2024-12-13T00:00:00Z"/>
        <d v="2024-12-16T00:00:00Z"/>
        <d v="2024-12-17T00:00:00Z"/>
        <d v="2024-12-18T00:00:00Z"/>
        <d v="2024-12-19T00:00:00Z"/>
        <d v="2024-12-20T00:00:00Z"/>
        <d v="2024-12-21T00:00:00Z"/>
        <d v="2024-12-23T00:00:00Z"/>
        <d v="2024-12-24T00:00:00Z"/>
        <d v="2024-12-26T00:00:00Z"/>
        <d v="2024-12-27T00:00:00Z"/>
        <d v="2024-12-30T00:00:00Z"/>
        <d v="2025-01-02T00:00:00Z"/>
        <d v="2025-01-03T00:00:00Z"/>
        <d v="2025-01-06T00:00:00Z"/>
        <d v="2025-01-07T00:00:00Z"/>
        <d v="2025-01-08T00:00:00Z"/>
        <d v="2025-01-10T00:00:00Z"/>
        <d v="2025-01-13T00:00:00Z"/>
        <d v="2025-01-14T00:00:00Z"/>
        <d v="2025-01-15T00:00:00Z"/>
        <d v="2025-01-16T00:00:00Z"/>
        <d v="2025-01-17T00:00:00Z"/>
        <d v="2025-01-20T00:00:00Z"/>
        <d v="2025-01-21T00:00:00Z"/>
        <d v="2025-01-22T00:00:00Z"/>
        <d v="2025-01-23T00:00:00Z"/>
        <d v="2025-01-24T00:00:00Z"/>
        <d v="2025-01-27T00:00:00Z"/>
        <d v="2025-01-29T00:00:00Z"/>
        <d v="2025-01-30T00:00:00Z"/>
        <d v="2025-01-31T00:00:00Z"/>
        <d v="2025-02-01T00:00:00Z"/>
        <d v="2025-02-03T00:00:00Z"/>
        <d v="2025-02-04T00:00:00Z"/>
        <d v="2025-02-05T00:00:00Z"/>
        <d v="2025-02-06T00:00:00Z"/>
        <d v="2025-02-10T00:00:00Z"/>
        <d v="2025-02-11T00:00:00Z"/>
        <d v="2025-02-12T00:00:00Z"/>
        <d v="2025-02-14T00:00:00Z"/>
        <d v="2025-02-17T00:00:00Z"/>
        <d v="2025-02-18T00:00:00Z"/>
        <d v="2025-02-20T00:00:00Z"/>
        <d v="2025-02-21T00:00:00Z"/>
        <d v="2025-02-22T00:00:00Z"/>
        <d v="2025-02-24T00:00:00Z"/>
        <d v="2025-02-25T00:00:00Z"/>
        <d v="2025-02-27T00:00:00Z"/>
        <d v="2025-02-28T00:00:00Z"/>
        <d v="2025-03-01T00:00:00Z"/>
        <d v="2025-03-05T00:00:00Z"/>
        <d v="2025-03-06T00:00:00Z"/>
        <d v="2025-03-07T00:00:00Z"/>
        <d v="2025-03-10T00:00:00Z"/>
        <d v="2025-03-11T00:00:00Z"/>
        <d v="2025-03-12T00:00:00Z"/>
        <d v="2025-03-13T00:00:00Z"/>
        <d v="2025-03-14T00:00:00Z"/>
        <d v="2025-03-15T00:00:00Z"/>
        <d v="2025-03-17T00:00:00Z"/>
        <d v="2025-03-18T00:00:00Z"/>
        <d v="2025-03-19T00:00:00Z"/>
        <d v="2025-03-20T00:00:00Z"/>
        <d v="2025-03-21T00:00:00Z"/>
        <d v="2025-03-24T00:00:00Z"/>
        <d v="2025-03-25T00:00:00Z"/>
        <d v="2025-03-26T00:00:00Z"/>
        <d v="2025-03-27T00:00:00Z"/>
        <d v="2025-03-28T00:00:00Z"/>
        <d v="2025-03-31T00:00:00Z"/>
        <d v="2025-04-01T00:00:00Z"/>
        <d v="2025-04-03T00:00:00Z"/>
        <d v="2025-04-07T00:00:00Z"/>
        <d v="2025-04-08T00:00:00Z"/>
        <d v="2025-04-09T00:00:00Z"/>
        <d v="2025-04-10T00:00:00Z"/>
        <d v="2025-04-11T00:00:00Z"/>
        <d v="2025-04-14T00:00:00Z"/>
        <d v="2025-04-15T00:00:00Z"/>
        <d v="2025-04-16T00:00:00Z"/>
        <d v="2025-04-17T00:00:00Z"/>
        <d v="2025-04-18T00:00:00Z"/>
        <d v="2025-04-20T00:00:00Z"/>
        <d v="2025-04-21T00:00:00Z"/>
        <d v="2025-04-22T00:00:00Z"/>
        <d v="2025-04-23T00:00:00Z"/>
        <d v="2025-04-24T00:00:00Z"/>
        <d v="2025-04-25T00:00:00Z"/>
        <d v="2025-04-28T00:00:00Z"/>
        <d v="2025-04-29T00:00:00Z"/>
        <d v="2025-04-30T00:00:00Z"/>
        <d v="2025-05-02T00:00:00Z"/>
        <d v="2025-05-05T00:00:00Z"/>
        <d v="2025-05-08T00:00:00Z"/>
        <d v="2025-05-12T00:00:00Z"/>
        <d v="2025-05-14T00:00:00Z"/>
        <d v="2025-05-15T00:00:00Z"/>
        <d v="2025-05-19T00:00:00Z"/>
        <d v="2025-05-20T00:00:00Z"/>
        <d v="2025-05-21T00:00:00Z"/>
        <d v="2025-05-22T00:00:00Z"/>
        <d v="2025-05-23T00:00:00Z"/>
        <d v="2025-05-26T00:00:00Z"/>
        <d v="2025-05-27T00:00:00Z"/>
        <d v="2025-05-29T00:00:00Z"/>
        <d v="2025-05-30T00:00:00Z"/>
        <d v="2025-06-02T00:00:00Z"/>
        <d v="2025-06-03T00:00:00Z"/>
        <d v="2025-06-05T00:00:00Z"/>
        <d v="2025-06-06T00:00:00Z"/>
        <d v="2025-06-07T00:00:00Z"/>
        <d v="2025-06-09T00:00:00Z"/>
        <d v="2025-06-10T00:00:00Z"/>
        <d v="2025-06-11T00:00:00Z"/>
        <d v="2025-06-12T00:00:00Z"/>
        <d v="2025-06-13T00:00:00Z"/>
        <d v="2025-06-16T00:00:00Z"/>
        <d v="2025-06-17T00:00:00Z"/>
        <d v="2025-06-18T00:00:00Z"/>
        <d v="2025-06-19T00:00:00Z"/>
        <d v="2025-06-20T00:00:00Z"/>
        <d v="2025-06-23T00:00:00Z"/>
        <d v="2025-06-24T00:00:00Z"/>
        <d v="2025-06-25T00:00:00Z"/>
        <d v="2025-06-26T00:00:00Z"/>
        <d v="2025-06-29T00:00:00Z"/>
        <d v="2025-06-30T00:00:00Z"/>
        <d v="2025-07-01T00:00:00Z"/>
        <d v="2025-07-03T00:00:00Z"/>
        <d v="2025-07-06T00:00:00Z"/>
        <d v="2025-07-07T00:00:00Z"/>
        <d v="2025-07-08T00:00:00Z"/>
        <d v="2025-07-10T00:00:00Z"/>
        <d v="2025-07-11T00:00:00Z"/>
        <d v="2025-07-14T00:00:00Z"/>
        <d v="2025-07-15T00:00:00Z"/>
        <d v="2025-07-17T00:00:00Z"/>
        <d v="2025-07-18T00:00:00Z"/>
        <d v="2025-07-21T00:00:00Z"/>
        <d v="2025-07-22T00:00:00Z"/>
        <d v="2025-07-23T00:00:00Z"/>
        <d v="2025-07-24T00:00:00Z"/>
        <d v="2025-07-25T00:00:00Z"/>
        <d v="2025-07-29T00:00:00Z"/>
        <d v="2025-07-30T00:00:00Z"/>
        <d v="2025-07-31T00:00:00Z"/>
        <d v="2025-08-01T00:00:00Z"/>
        <d v="2025-08-04T00:00:00Z"/>
        <d v="2025-08-05T00:00:00Z"/>
        <d v="2025-08-08T00:00:00Z"/>
        <d v="2025-08-11T00:00:00Z"/>
        <d v="2025-08-12T00:00:00Z"/>
        <d v="2025-08-14T00:00:00Z"/>
        <d v="2025-08-15T00:00:00Z"/>
        <d v="2025-08-16T00:00:00Z"/>
        <d v="2025-08-18T00:00:00Z"/>
        <d v="2025-08-19T00:00:00Z"/>
        <d v="2025-08-20T00:00:00Z"/>
        <d v="2025-08-21T00:00:00Z"/>
        <d v="2025-08-22T00:00:00Z"/>
        <d v="2025-08-25T00:00:00Z"/>
        <d v="2025-08-26T00:00:00Z"/>
        <d v="2025-08-29T00:00:00Z"/>
        <d v="2025-09-01T00:00:00Z"/>
        <d v="2025-09-02T00:00:00Z"/>
        <d v="2025-09-03T00:00:00Z"/>
        <d v="2025-09-05T00:00:00Z"/>
        <d v="2025-09-08T00:00:00Z"/>
        <d v="2025-09-10T00:00:00Z"/>
        <d v="2025-09-11T00:00:00Z"/>
        <d v="2025-09-12T00:00:00Z"/>
        <d v="2025-09-15T00:00:00Z"/>
        <d v="2025-09-16T00:00:00Z"/>
        <d v="2025-09-18T00:00:00Z"/>
        <d v="2025-09-19T00:00:00Z"/>
        <d v="2025-09-22T00:00:00Z"/>
        <d v="2025-09-23T00:00:00Z"/>
        <d v="2025-09-24T00:00:00Z"/>
        <d v="2025-09-25T00:00:00Z"/>
        <d v="2025-09-26T00:00:00Z"/>
        <d v="2025-09-29T00:00:00Z"/>
        <d v="2025-09-30T00:00:00Z"/>
        <d v="2025-10-01T00:00:00Z"/>
        <d v="2025-10-03T00:00:00Z"/>
        <d v="2025-10-06T00:00:00Z"/>
        <d v="2025-10-07T00:00:00Z"/>
        <d v="2025-10-08T00:00:00Z"/>
        <d v="2025-10-10T00:00:00Z"/>
        <d v="2025-10-12T00:00:00Z"/>
        <d v="2025-10-13T00:00:00Z"/>
        <d v="2025-10-14T00:00:00Z"/>
        <d v="2025-10-15T00:00:00Z"/>
        <d v="2025-10-16T00:00:00Z"/>
        <d v="2025-10-18T00:00:00Z"/>
        <d v="2025-10-20T00:00:00Z"/>
        <d v="2025-10-21T00:00:00Z"/>
        <d v="2025-10-22T00:00:00Z"/>
        <d v="2025-10-23T00:00:00Z"/>
        <d v="2025-10-24T00:00:00Z"/>
        <d v="2025-10-27T00:00:00Z"/>
        <d v="2025-10-28T00:00:00Z"/>
        <d v="2025-10-29T00:00:00Z"/>
        <d v="2025-10-30T00:00:00Z"/>
        <d v="2025-10-31T00:00:00Z"/>
        <d v="2025-11-03T00:00:00Z"/>
        <d v="2025-11-04T00:00:00Z"/>
        <d v="2025-11-07T00:00:00Z"/>
        <d v="2025-11-10T00:00:00Z"/>
        <d v="2025-11-11T00:00:00Z"/>
        <d v="2025-11-13T00:00:00Z"/>
        <d v="2025-11-14T00:00:00Z"/>
        <d v="2025-11-15T00:00:00Z"/>
        <d v="2025-11-17T00:00:00Z"/>
        <d v="2025-11-18T00:00:00Z"/>
        <d v="2025-11-19T00:00:00Z"/>
        <d v="2025-11-21T00:00:00Z"/>
        <d v="2025-11-24T00:00:00Z"/>
        <d v="2025-11-25T00:00:00Z"/>
        <d v="2025-11-28T00:00:00Z"/>
        <d v="2025-12-01T00:00:00Z"/>
        <d v="2025-12-02T00:00:00Z"/>
        <d v="2025-12-03T00:00:00Z"/>
        <d v="2025-12-08T00:00:00Z"/>
        <d v="2025-12-10T00:00:00Z"/>
        <d v="2025-12-11T00:00:00Z"/>
        <d v="2025-12-12T00:00:00Z"/>
        <d v="2025-12-15T00:00:00Z"/>
        <d v="2025-12-16T00:00:00Z"/>
        <d v="2025-12-18T00:00:00Z"/>
        <d v="2025-12-19T00:00:00Z"/>
        <d v="2025-12-20T00:00:00Z"/>
        <d v="2025-12-22T00:00:00Z"/>
        <d v="2025-12-23T00:00:00Z"/>
        <d v="2025-12-24T00:00:00Z"/>
        <d v="2025-12-26T00:00:00Z"/>
        <d v="2025-12-29T00:00:00Z"/>
        <d v="2025-12-30T00:00:00Z"/>
        <d v="2026-01-01T00:00:00Z"/>
        <d v="2026-01-02T00:00:00Z"/>
        <d v="2026-01-05T00:00:00Z"/>
        <d v="2026-01-06T00:00:00Z"/>
        <d v="2026-01-07T00:00:00Z"/>
        <d v="2026-01-08T00:00:00Z"/>
        <d v="2026-01-09T00:00:00Z"/>
        <d v="2026-01-12T00:00:00Z"/>
        <d v="2026-01-13T00:00:00Z"/>
        <d v="2026-01-14T00:00:00Z"/>
        <d v="2026-01-15T00:00:00Z"/>
        <d v="2026-01-16T00:00:00Z"/>
        <d v="2026-01-19T00:00:00Z"/>
        <d v="2026-01-20T00:00:00Z"/>
        <d v="2026-01-22T00:00:00Z"/>
        <d v="2026-01-23T00:00:00Z"/>
        <d v="2026-01-26T00:00:00Z"/>
        <d v="2026-01-27T00:00:00Z"/>
        <d v="2026-01-28T00:00:00Z"/>
        <d v="2026-01-29T00:00:00Z"/>
        <d v="2026-01-30T00:00:00Z"/>
        <d v="2026-01-31T00:00:00Z"/>
        <d v="2026-02-01T00:00:00Z"/>
        <d v="2026-02-02T00:00:00Z"/>
        <d v="2026-02-03T00:00:00Z"/>
        <d v="2026-02-09T00:00:00Z"/>
        <d v="2026-02-10T00:00:00Z"/>
        <d v="2026-02-11T00:00:00Z"/>
        <d v="2026-02-12T00:00:00Z"/>
        <d v="2026-02-13T00:00:00Z"/>
        <d v="2026-02-16T00:00:00Z"/>
        <d v="2026-02-18T00:00:00Z"/>
        <d v="2026-02-19T00:00:00Z"/>
        <d v="2026-02-20T00:00:00Z"/>
        <d v="2026-02-23T00:00:00Z"/>
        <d v="2026-02-24T00:00:00Z"/>
        <d v="2026-02-25T00:00:00Z"/>
        <d v="2026-02-26T00:00:00Z"/>
        <d v="2026-02-27T00:00:00Z"/>
        <d v="2026-03-02T00:00:00Z"/>
        <d v="2026-03-03T00:00:00Z"/>
        <d v="2026-03-09T00:00:00Z"/>
        <d v="2026-03-10T00:00:00Z"/>
        <d v="2026-03-11T00:00:00Z"/>
        <d v="2026-03-12T00:00:00Z"/>
        <d v="2026-03-13T00:00:00Z"/>
        <d v="2026-03-14T00:00:00Z"/>
        <d v="2026-03-16T00:00:00Z"/>
        <d v="2026-03-17T00:00:00Z"/>
        <d v="2026-03-18T00:00:00Z"/>
        <d v="2026-03-19T00:00:00Z"/>
        <d v="2026-03-20T00:00:00Z"/>
        <d v="2026-03-23T00:00:00Z"/>
        <d v="2026-03-24T00:00:00Z"/>
        <d v="2026-03-25T00:00:00Z"/>
        <d v="2026-03-26T00:00:00Z"/>
        <d v="2026-03-27T00:00:00Z"/>
        <d v="2026-03-30T00:00:00Z"/>
        <d v="2026-03-31T00:00:00Z"/>
        <d v="2026-04-01T00:00:00Z"/>
        <d v="2026-04-03T00:00:00Z"/>
        <d v="2026-04-05T00:00:00Z"/>
        <d v="2026-04-06T00:00:00Z"/>
        <d v="2026-04-09T00:00:00Z"/>
        <d v="2026-04-10T00:00:00Z"/>
        <d v="2026-04-12T00:00:00Z"/>
        <d v="2026-04-13T00:00:00Z"/>
        <d v="2026-04-14T00:00:00Z"/>
        <d v="2026-04-15T00:00:00Z"/>
        <d v="2026-04-16T00:00:00Z"/>
        <d v="2026-04-18T00:00:00Z"/>
        <d v="2026-04-20T00:00:00Z"/>
        <d v="2026-04-21T00:00:00Z"/>
        <d v="2026-04-22T00:00:00Z"/>
        <d v="2026-04-24T00:00:00Z"/>
        <d v="2026-04-25T00:00:00Z"/>
        <d v="2026-04-26T00:00:00Z"/>
        <d v="2026-04-30T00:00:00Z"/>
        <d v="2026-05-01T00:00:00Z"/>
        <d v="2026-05-03T00:00:00Z"/>
        <d v="2026-05-05T00:00:00Z"/>
        <d v="2026-05-06T00:00:00Z"/>
        <d v="2026-05-09T00:00:00Z"/>
        <d v="2026-05-10T00:00:00Z"/>
        <d v="2026-05-12T00:00:00Z"/>
        <d v="2026-05-13T00:00:00Z"/>
        <d v="2026-05-14T00:00:00Z"/>
        <d v="2026-05-15T00:00:00Z"/>
        <d v="2026-05-16T00:00:00Z"/>
        <d v="2026-05-18T00:00:00Z"/>
        <d v="2026-05-20T00:00:00Z"/>
        <d v="2026-05-21T00:00:00Z"/>
        <d v="2026-05-22T00:00:00Z"/>
        <d v="2026-05-24T00:00:00Z"/>
        <d v="2026-05-25T00:00:00Z"/>
        <d v="2026-05-26T00:00:00Z"/>
        <d v="2026-05-29T00:00:00Z"/>
        <d v="2026-05-30T00:00:00Z"/>
        <d v="2026-06-01T00:00:00Z"/>
        <d v="2026-06-03T00:00:00Z"/>
        <d v="2026-06-05T00:00:00Z"/>
        <d v="2026-06-06T00:00:00Z"/>
        <d v="2026-06-09T00:00:00Z"/>
        <d v="2026-06-10T00:00:00Z"/>
        <d v="2026-06-12T00:00:00Z"/>
        <d v="2026-06-13T00:00:00Z"/>
        <d v="2026-06-14T00:00:00Z"/>
        <d v="2026-06-15T00:00:00Z"/>
        <d v="2026-06-16T00:00:00Z"/>
        <d v="2026-06-18T00:00:00Z"/>
        <d v="2026-06-20T00:00:00Z"/>
        <d v="2026-06-21T00:00:00Z"/>
        <d v="2026-06-22T00:00:00Z"/>
        <d v="2026-06-24T00:00:00Z"/>
        <d v="2026-06-25T00:00:00Z"/>
        <d v="2026-06-26T00:00:00Z"/>
        <d v="2026-06-30T00:00:00Z"/>
        <d v="2026-07-01T00:00:00Z"/>
        <d v="2026-07-03T00:00:00Z"/>
        <d v="2026-07-05T00:00:00Z"/>
        <d v="2026-07-06T00:00:00Z"/>
        <d v="2026-07-08T00:00:00Z"/>
        <d v="2026-07-10T00:00:00Z"/>
        <d v="2026-07-12T00:00:00Z"/>
        <d v="2026-07-13T00:00:00Z"/>
        <d v="2026-07-14T00:00:00Z"/>
        <d v="2026-07-15T00:00:00Z"/>
        <d v="2026-07-16T00:00:00Z"/>
        <d v="2026-07-18T00:00:00Z"/>
        <d v="2026-07-20T00:00:00Z"/>
        <d v="2026-07-21T00:00:00Z"/>
        <d v="2026-07-22T00:00:00Z"/>
        <d v="2026-07-24T00:00:00Z"/>
        <d v="2026-07-25T00:00:00Z"/>
        <d v="2026-07-26T00:00:00Z"/>
        <d v="2026-07-30T00:00:00Z"/>
        <d v="2026-08-01T00:00:00Z"/>
        <d v="2026-08-03T00:00:00Z"/>
        <d v="2026-08-05T00:00:00Z"/>
        <d v="2026-08-07T00:00:00Z"/>
        <d v="2026-08-10T00:00:00Z"/>
        <d v="2026-08-12T00:00:00Z"/>
        <d v="2026-08-13T00:00:00Z"/>
        <d v="2026-08-14T00:00:00Z"/>
        <d v="2026-08-15T00:00:00Z"/>
        <d v="2026-08-16T00:00:00Z"/>
        <d v="2026-08-18T00:00:00Z"/>
        <d v="2026-08-20T00:00:00Z"/>
        <d v="2026-08-21T00:00:00Z"/>
        <d v="2026-08-22T00:00:00Z"/>
        <d v="2026-08-24T00:00:00Z"/>
        <d v="2026-08-25T00:00:00Z"/>
        <d v="2026-08-26T00:00:00Z"/>
        <d v="2026-08-28T00:00:00Z"/>
        <d v="2026-08-30T00:00:00Z"/>
        <d v="2026-09-01T00:00:00Z"/>
        <d v="2026-09-03T00:00:00Z"/>
        <d v="2026-09-05T00:00:00Z"/>
        <d v="2026-09-07T00:00:00Z"/>
        <d v="2026-09-10T00:00:00Z"/>
        <d v="2026-09-12T00:00:00Z"/>
        <d v="2026-09-13T00:00:00Z"/>
        <d v="2026-09-14T00:00:00Z"/>
        <d v="2026-09-15T00:00:00Z"/>
        <d v="2026-09-16T00:00:00Z"/>
        <d v="2026-09-18T00:00:00Z"/>
        <d v="2026-09-20T00:00:00Z"/>
        <d v="2026-09-21T00:00:00Z"/>
        <d v="2026-09-22T00:00:00Z"/>
        <d v="2026-09-24T00:00:00Z"/>
        <d v="2026-09-25T00:00:00Z"/>
        <d v="2026-09-26T00:00:00Z"/>
        <d v="2026-09-30T00:00:00Z"/>
        <d v="2026-10-01T00:00:00Z"/>
        <d v="2026-10-03T00:00:00Z"/>
        <d v="2026-10-05T00:00:00Z"/>
        <d v="2026-10-10T00:00:00Z"/>
        <d v="2026-10-12T00:00:00Z"/>
        <d v="2026-10-13T00:00:00Z"/>
        <d v="2026-10-14T00:00:00Z"/>
        <d v="2026-10-15T00:00:00Z"/>
        <d v="2026-10-16T00:00:00Z"/>
        <d v="2026-10-18T00:00:00Z"/>
        <d v="2026-10-20T00:00:00Z"/>
        <d v="2026-10-21T00:00:00Z"/>
        <d v="2026-10-22T00:00:00Z"/>
        <d v="2026-10-24T00:00:00Z"/>
        <d v="2026-10-25T00:00:00Z"/>
        <d v="2026-10-26T00:00:00Z"/>
        <d v="2026-10-30T00:00:00Z"/>
        <d v="2026-11-01T00:00:00Z"/>
        <d v="2026-11-03T00:00:00Z"/>
        <d v="2026-11-05T00:00:00Z"/>
        <d v="2026-11-10T00:00:00Z"/>
        <d v="2026-11-12T00:00:00Z"/>
        <d v="2026-11-13T00:00:00Z"/>
        <d v="2026-11-14T00:00:00Z"/>
        <d v="2026-11-15T00:00:00Z"/>
        <d v="2026-11-16T00:00:00Z"/>
        <d v="2026-11-18T00:00:00Z"/>
        <d v="2026-11-20T00:00:00Z"/>
        <d v="2026-11-22T00:00:00Z"/>
        <d v="2026-11-24T00:00:00Z"/>
        <d v="2026-11-25T00:00:00Z"/>
        <d v="2026-11-26T00:00:00Z"/>
        <d v="2026-11-27T00:00:00Z"/>
        <d v="2026-11-30T00:00:00Z"/>
        <d v="2026-12-01T00:00:00Z"/>
        <d v="2026-12-03T00:00:00Z"/>
        <d v="2026-12-04T00:00:00Z"/>
        <d v="2026-12-05T00:00:00Z"/>
        <d v="2026-12-08T00:00:00Z"/>
        <d v="2026-12-10T00:00:00Z"/>
        <d v="2026-12-12T00:00:00Z"/>
        <d v="2026-12-13T00:00:00Z"/>
        <d v="2026-12-14T00:00:00Z"/>
        <d v="2026-12-15T00:00:00Z"/>
        <d v="2026-12-16T00:00:00Z"/>
        <d v="2026-12-18T00:00:00Z"/>
        <d v="2026-12-20T00:00:00Z"/>
        <d v="2026-12-22T00:00:00Z"/>
        <d v="2026-12-24T00:00:00Z"/>
        <d v="2026-12-25T00:00:00Z"/>
        <d v="2026-12-26T00:00:00Z"/>
        <d v="2026-12-30T00:00:00Z"/>
        <d v="2027-01-03T00:00:00Z"/>
        <d v="2027-01-10T00:00:00Z"/>
        <d v="2027-01-14T00:00:00Z"/>
        <d v="2027-01-20T00:00:00Z"/>
        <d v="2027-01-26T00:00:00Z"/>
        <d v="2027-02-03T00:00:00Z"/>
        <d v="2027-02-10T00:00:00Z"/>
        <d v="2027-02-14T00:00:00Z"/>
        <d v="2027-02-20T00:00:00Z"/>
        <d v="2027-02-26T00:00:00Z"/>
        <d v="2027-03-03T00:00:00Z"/>
        <d v="2027-03-10T00:00:00Z"/>
        <d v="2027-03-14T00:00:00Z"/>
        <d v="2027-03-26T00:00:00Z"/>
        <d v="2027-04-03T00:00:00Z"/>
        <d v="2027-04-10T00:00:00Z"/>
        <d v="2027-04-14T00:00:00Z"/>
        <d v="2027-04-26T00:00:00Z"/>
        <d v="2027-05-03T00:00:00Z"/>
        <d v="2027-05-10T00:00:00Z"/>
        <d v="2027-05-14T00:00:00Z"/>
        <d v="2027-05-26T00:00:00Z"/>
        <d v="2027-06-03T00:00:00Z"/>
        <d v="2027-06-10T00:00:00Z"/>
        <d v="2027-06-14T00:00:00Z"/>
        <d v="2027-06-26T00:00:00Z"/>
        <d v="2027-07-03T00:00:00Z"/>
        <d v="2027-07-10T00:00:00Z"/>
        <d v="2027-07-14T00:00:00Z"/>
        <d v="2027-07-26T00:00:00Z"/>
        <d v="2027-08-03T00:00:00Z"/>
        <d v="2027-08-10T00:00:00Z"/>
        <d v="2027-08-14T00:00:00Z"/>
        <d v="2027-08-26T00:00:00Z"/>
        <d v="2027-09-03T00:00:00Z"/>
        <d v="2027-09-10T00:00:00Z"/>
        <d v="2027-09-14T00:00:00Z"/>
        <d v="2027-09-26T00:00:00Z"/>
        <d v="2027-10-03T00:00:00Z"/>
        <d v="2027-10-10T00:00:00Z"/>
        <d v="2027-10-14T00:00:00Z"/>
        <d v="2027-10-26T00:00:00Z"/>
        <d v="2027-11-03T00:00:00Z"/>
        <d v="2027-11-10T00:00:00Z"/>
        <d v="2027-11-14T00:00:00Z"/>
        <d v="2027-11-26T00:00:00Z"/>
        <d v="2027-12-14T00:00:00Z"/>
        <d v="2027-12-26T00:00:00Z"/>
        <d v="2028-01-14T00:00:00Z"/>
        <d v="2028-01-26T00:00:00Z"/>
        <d v="2028-02-14T00:00:00Z"/>
        <d v="2028-02-26T00:00:00Z"/>
        <d v="2028-03-14T00:00:00Z"/>
        <d v="2028-03-26T00:00:00Z"/>
        <d v="2028-04-14T00:00:00Z"/>
        <d v="2028-04-26T00:00:00Z"/>
        <d v="2028-05-14T00:00:00Z"/>
        <d v="2028-05-26T00:00:00Z"/>
        <d v="2028-06-14T00:00:00Z"/>
        <d v="2028-06-26T00:00:00Z"/>
        <d v="2028-07-14T00:00:00Z"/>
        <d v="2028-07-26T00:00:00Z"/>
        <d v="2028-08-14T00:00:00Z"/>
        <d v="2028-08-26T00:00:00Z"/>
        <d v="2028-09-14T00:00:00Z"/>
        <d v="2028-09-26T00:00:00Z"/>
        <d v="2028-10-14T00:00:00Z"/>
        <d v="2028-10-26T00:00:00Z"/>
        <d v="2028-11-14T00:00:00Z"/>
        <d v="2028-11-26T00:00:00Z"/>
        <d v="2028-12-14T00:00:00Z"/>
        <d v="2028-12-26T00:00:00Z"/>
        <d v="2029-01-26T00:00:00Z"/>
        <d v="2029-02-26T00:00:00Z"/>
        <d v="2029-03-26T00:00:00Z"/>
        <d v="2029-04-26T00:00:00Z"/>
        <d v="2029-05-26T00:00:00Z"/>
        <d v="2029-06-26T00:00:00Z"/>
        <d v="2029-07-26T00:00:00Z"/>
        <d v="2029-08-26T00:00:00Z"/>
        <d v="2029-09-26T00:00:00Z"/>
        <m/>
      </sharedItems>
    </cacheField>
    <cacheField name="Data da emissão" numFmtId="0">
      <sharedItems containsDate="1" containsString="0" containsBlank="1">
        <m/>
        <d v="2024-08-12T00:00:00Z"/>
        <d v="2024-08-16T00:00:00Z"/>
        <d v="2024-06-15T00:00:00Z"/>
        <d v="2024-07-24T00:00:00Z"/>
        <d v="2024-06-10T00:00:00Z"/>
        <d v="2023-09-06T00:00:00Z"/>
        <d v="2024-06-07T00:00:00Z"/>
        <d v="2024-07-12T00:00:00Z"/>
        <d v="2024-05-15T00:00:00Z"/>
        <d v="2024-07-08T00:00:00Z"/>
        <d v="2024-07-10T00:00:00Z"/>
        <d v="2024-05-05T00:00:00Z"/>
        <d v="2023-12-12T00:00:00Z"/>
        <d v="2024-02-27T00:00:00Z"/>
        <d v="2024-04-11T00:00:00Z"/>
        <d v="2024-04-29T00:00:00Z"/>
        <d v="2024-05-27T00:00:00Z"/>
        <d v="2024-07-01T00:00:00Z"/>
        <d v="2024-06-24T00:00:00Z"/>
        <d v="2024-06-19T00:00:00Z"/>
        <d v="2024-06-17T00:00:00Z"/>
        <d v="2025-07-23T00:00:00Z"/>
        <d v="2024-08-04T00:00:00Z"/>
        <d v="2024-07-13T00:00:00Z"/>
        <d v="2024-07-11T00:00:00Z"/>
        <d v="2024-07-15T00:00:00Z"/>
        <d v="2024-05-09T00:00:00Z"/>
        <d v="2024-08-01T00:00:00Z"/>
        <d v="2024-07-16T00:00:00Z"/>
        <d v="2024-06-18T00:00:00Z"/>
        <d v="2024-08-05T00:00:00Z"/>
        <d v="2024-07-26T00:00:00Z"/>
        <d v="2024-07-28T00:00:00Z"/>
        <d v="2024-01-12T00:00:00Z"/>
        <d v="2024-01-16T00:00:00Z"/>
        <d v="2024-01-19T00:00:00Z"/>
        <d v="2024-08-28T00:00:00Z"/>
        <d v="2024-08-08T00:00:00Z"/>
        <d v="2024-08-15T00:00:00Z"/>
        <d v="2024-08-19T00:00:00Z"/>
        <d v="2024-08-20T00:00:00Z"/>
        <d v="2024-08-27T00:00:00Z"/>
        <d v="2024-09-28T00:00:00Z"/>
        <d v="2024-08-30T00:00:00Z"/>
        <d v="2024-08-09T00:00:00Z"/>
        <d v="2024-09-01T00:00:00Z"/>
        <d v="2024-08-07T00:00:00Z"/>
        <d v="2024-08-06T00:00:00Z"/>
        <d v="2024-09-23T00:00:00Z"/>
        <d v="2024-09-10T00:00:00Z"/>
        <d v="2024-09-11T00:00:00Z"/>
        <d v="2024-09-06T00:00:00Z"/>
        <d v="2024-09-16T00:00:00Z"/>
        <d v="2024-09-17T00:00:00Z"/>
        <d v="2024-09-18T00:00:00Z"/>
        <d v="2024-09-24T00:00:00Z"/>
        <d v="2024-09-25T00:00:00Z"/>
        <d v="2024-09-26T00:00:00Z"/>
        <d v="2024-10-04T00:00:00Z"/>
        <d v="2024-10-15T00:00:00Z"/>
        <d v="2024-10-22T00:00:00Z"/>
        <d v="2024-11-15T00:00:00Z"/>
        <d v="2024-07-05T00:00:00Z"/>
        <d v="2024-10-08T00:00:00Z"/>
        <d v="2024-10-10T00:00:00Z"/>
        <d v="2024-10-11T00:00:00Z"/>
        <d v="2024-10-14T00:00:00Z"/>
        <d v="2024-10-16T00:00:00Z"/>
        <d v="2024-10-17T00:00:00Z"/>
        <d v="2024-10-30T00:00:00Z"/>
        <d v="2024-10-29T00:00:00Z"/>
        <d v="2024-11-04T00:00:00Z"/>
        <d v="2024-10-28T00:00:00Z"/>
        <d v="2024-12-16T00:00:00Z"/>
        <d v="2024-11-07T00:00:00Z"/>
        <d v="2024-11-08T00:00:00Z"/>
        <d v="2024-11-11T00:00:00Z"/>
        <d v="2024-11-12T00:00:00Z"/>
        <d v="2024-11-13T00:00:00Z"/>
        <d v="2024-11-22T00:00:00Z"/>
        <d v="2024-11-18T00:00:00Z"/>
        <d v="2024-11-28T00:00:00Z"/>
        <d v="2024-12-04T00:00:00Z"/>
        <d v="2024-12-02T00:00:00Z"/>
        <d v="2024-12-05T00:00:00Z"/>
        <d v="2024-11-29T00:00:00Z"/>
        <d v="2024-11-06T00:00:00Z"/>
        <d v="2024-12-10T00:00:00Z"/>
        <d v="2024-12-13T00:00:00Z"/>
        <d v="2024-12-12T00:00:00Z"/>
        <d v="2024-12-06T00:00:00Z"/>
        <d v="2024-12-09T00:00:00Z"/>
        <d v="2024-12-11T00:00:00Z"/>
        <d v="2024-12-19T00:00:00Z"/>
        <d v="2024-12-17T00:00:00Z"/>
        <d v="2024-12-15T00:00:00Z"/>
        <d v="2024-12-20T00:00:00Z"/>
        <d v="2024-12-27T00:00:00Z"/>
        <d v="2025-01-03T00:00:00Z"/>
        <d v="2025-01-02T00:00:00Z"/>
        <d v="2025-01-07T00:00:00Z"/>
        <d v="2024-12-26T00:00:00Z"/>
        <d v="2025-01-08T00:00:00Z"/>
        <d v="2025-01-10T00:00:00Z"/>
        <d v="2025-02-10T00:00:00Z"/>
        <d v="2025-01-23T00:00:00Z"/>
        <d v="2024-12-21T00:00:00Z"/>
        <d v="2025-01-13T00:00:00Z"/>
        <d v="2025-01-14T00:00:00Z"/>
        <d v="2025-01-12T00:00:00Z"/>
        <d v="2025-01-09T00:00:00Z"/>
        <d v="2025-01-11T00:00:00Z"/>
        <d v="2025-01-21T00:00:00Z"/>
        <d v="2025-01-22T00:00:00Z"/>
        <d v="2025-01-24T00:00:00Z"/>
        <d v="2025-01-27T00:00:00Z"/>
        <d v="2025-01-29T00:00:00Z"/>
        <d v="2025-01-31T00:00:00Z"/>
        <d v="2025-02-03T00:00:00Z"/>
        <d v="2025-02-05T00:00:00Z"/>
        <d v="2025-01-28T00:00:00Z"/>
        <d v="2025-01-17T00:00:00Z"/>
        <d v="2025-01-20T00:00:00Z"/>
        <d v="2025-01-16T00:00:00Z"/>
        <d v="2025-02-20T00:00:00Z"/>
        <d v="2025-02-19T00:00:00Z"/>
        <d v="2025-02-08T00:00:00Z"/>
        <d v="2025-02-09T00:00:00Z"/>
        <d v="2025-02-07T00:00:00Z"/>
        <d v="2025-02-11T00:00:00Z"/>
        <d v="2025-02-18T00:00:00Z"/>
        <d v="2025-02-17T00:00:00Z"/>
        <d v="2025-02-21T00:00:00Z"/>
        <d v="2025-02-22T00:00:00Z"/>
        <d v="2025-02-25T00:00:00Z"/>
        <d v="2025-02-27T00:00:00Z"/>
        <d v="2025-03-17T00:00:00Z"/>
        <d v="2025-03-27T00:00:00Z"/>
        <d v="2025-03-18T00:00:00Z"/>
        <d v="2025-04-03T00:00:00Z"/>
        <d v="2025-04-07T00:00:00Z"/>
        <d v="2025-03-10T00:00:00Z"/>
        <d v="2025-03-11T00:00:00Z"/>
        <d v="2025-03-13T00:00:00Z"/>
        <d v="2025-03-09T00:00:00Z"/>
        <d v="2025-03-08T00:00:00Z"/>
        <d v="2025-03-12T00:00:00Z"/>
        <d v="2025-03-21T00:00:00Z"/>
        <d v="2025-03-24T00:00:00Z"/>
        <d v="2025-03-25T00:00:00Z"/>
        <d v="2025-03-26T00:00:00Z"/>
        <d v="2025-03-31T00:00:00Z"/>
        <d v="2025-04-01T00:00:00Z"/>
        <d v="2025-04-02T00:00:00Z"/>
        <d v="2025-04-04T00:00:00Z"/>
        <d v="2025-04-08T00:00:00Z"/>
        <d v="2025-04-14T00:00:00Z"/>
        <d v="2025-04-24T00:00:00Z"/>
        <d v="2025-04-16T00:00:00Z"/>
        <d v="2025-04-10T00:00:00Z"/>
        <d v="2025-04-11T00:00:00Z"/>
        <d v="2025-04-17T00:00:00Z"/>
        <d v="2025-04-22T00:00:00Z"/>
        <d v="2025-04-23T00:00:00Z"/>
        <d v="2025-04-25T00:00:00Z"/>
        <d v="2025-04-28T00:00:00Z"/>
        <d v="2025-05-06T00:00:00Z"/>
        <d v="2025-04-29T00:00:00Z"/>
        <d v="2025-04-15T00:00:00Z"/>
        <d v="2025-05-02T00:00:00Z"/>
        <d v="2025-05-05T00:00:00Z"/>
        <d v="2025-04-30T00:00:00Z"/>
        <d v="2025-05-21T00:00:00Z"/>
        <d v="2025-05-09T00:00:00Z"/>
        <d v="2025-05-14T00:00:00Z"/>
        <d v="2025-05-20T00:00:00Z"/>
        <d v="2025-05-23T00:00:00Z"/>
        <d v="2025-05-24T00:00:00Z"/>
        <d v="2025-05-26T00:00:00Z"/>
        <d v="2025-05-27T00:00:00Z"/>
        <d v="2025-05-29T00:00:00Z"/>
        <d v="2025-06-02T00:00:00Z"/>
        <d v="2025-05-30T00:00:00Z"/>
        <d v="2025-05-28T00:00:00Z"/>
        <d v="2025-06-03T00:00:00Z"/>
        <d v="2025-05-13T00:00:00Z"/>
        <d v="2025-05-12T00:00:00Z"/>
        <d v="2025-05-19T00:00:00Z"/>
        <d v="2025-06-05T00:00:00Z"/>
        <d v="2025-06-11T00:00:00Z"/>
        <d v="2025-06-10T00:00:00Z"/>
        <d v="2025-06-06T00:00:00Z"/>
        <d v="2025-06-16T00:00:00Z"/>
        <d v="2025-06-23T00:00:00Z"/>
        <d v="2025-06-09T00:00:00Z"/>
        <d v="2025-06-24T00:00:00Z"/>
        <d v="2025-06-29T00:00:00Z"/>
        <d v="2025-07-02T00:00:00Z"/>
        <d v="2025-07-01T00:00:00Z"/>
        <d v="2025-07-04T00:00:00Z"/>
        <d v="2025-07-03T00:00:00Z"/>
        <d v="2025-06-21T00:00:00Z"/>
        <d v="2025-06-12T00:00:00Z"/>
        <d v="2025-06-17T00:00:00Z"/>
        <d v="2025-06-26T00:00:00Z"/>
        <d v="2025-06-27T00:00:00Z"/>
        <d v="2025-07-10T00:00:00Z"/>
        <d v="2025-07-09T00:00:00Z"/>
        <d v="2025-07-15T00:00:00Z"/>
        <d v="2025-07-29T00:00:00Z"/>
        <d v="2025-07-16T00:00:00Z"/>
        <d v="2025-07-14T00:00:00Z"/>
        <d v="2025-07-21T00:00:00Z"/>
        <d v="2025-07-24T00:00:00Z"/>
        <d v="2025-07-25T00:00:00Z"/>
        <d v="2025-07-28T00:00:00Z"/>
        <d v="2025-07-18T00:00:00Z"/>
        <d v="2025-07-30T00:00:00Z"/>
        <d v="2025-07-17T00:00:00Z"/>
        <d v="2025-08-14T00:00:00Z"/>
        <d v="2025-09-03T00:00:00Z"/>
        <d v="2025-08-22T00:00:00Z"/>
        <d v="2025-08-09T00:00:00Z"/>
        <d v="2025-08-11T00:00:00Z"/>
        <d v="2025-08-19T00:00:00Z"/>
        <d v="2025-08-20T00:00:00Z"/>
        <d v="2025-08-21T00:00:00Z"/>
        <d v="2025-08-16T00:00:00Z"/>
        <d v="2025-08-15T00:00:00Z"/>
        <d v="2025-08-26T00:00:00Z"/>
        <d v="2025-08-18T00:00:00Z"/>
        <d v="2025-08-25T00:00:00Z"/>
        <d v="2025-08-12T00:00:00Z"/>
        <d v="2025-09-25T00:00:00Z"/>
        <d v="2025-09-14T00:00:00Z"/>
        <d v="2025-09-16T00:00:00Z"/>
        <d v="2025-09-24T00:00:00Z"/>
        <d v="2025-10-01T00:00:00Z"/>
        <d v="2025-10-07T00:00:00Z"/>
        <d v="2025-09-30T00:00:00Z"/>
        <d v="2025-10-03T00:00:00Z"/>
        <d v="2025-10-05T00:00:00Z"/>
        <d v="2025-09-26T00:00:00Z"/>
        <d v="2025-09-10T00:00:00Z"/>
        <d v="2025-10-10T00:00:00Z"/>
        <d v="2025-10-17T00:00:00Z"/>
        <d v="2025-11-09T00:00:00Z"/>
        <d v="2025-10-08T00:00:00Z"/>
        <d v="2025-10-13T00:00:00Z"/>
        <d v="2025-10-14T00:00:00Z"/>
        <d v="2025-10-20T00:00:00Z"/>
        <d v="2025-10-16T00:00:00Z"/>
        <d v="2025-10-22T00:00:00Z"/>
        <d v="2025-10-28T00:00:00Z"/>
        <d v="2025-10-29T00:00:00Z"/>
        <d v="2025-10-31T00:00:00Z"/>
        <d v="2025-11-04T00:00:00Z"/>
        <d v="2025-10-19T00:00:00Z"/>
        <d v="2025-11-03T00:00:00Z"/>
        <d v="2025-10-18T00:00:00Z"/>
        <d v="2025-11-01T00:00:00Z"/>
        <d v="2025-11-17T00:00:00Z"/>
        <d v="2025-10-30T00:00:00Z"/>
        <d v="2025-11-12T00:00:00Z"/>
        <d v="2025-11-24T00:00:00Z"/>
        <d v="2025-11-22T00:00:00Z"/>
        <d v="2025-12-02T00:00:00Z"/>
        <d v="2025-11-28T00:00:00Z"/>
        <d v="2025-12-05T00:00:00Z"/>
        <d v="2025-11-14T00:00:00Z"/>
        <d v="2025-11-21T00:00:00Z"/>
        <d v="2025-12-04T00:00:00Z"/>
        <d v="2025-11-18T00:00:00Z"/>
        <d v="2025-12-03T00:00:00Z"/>
        <d v="2025-12-17T00:00:00Z"/>
        <d v="2025-12-20T00:00:00Z"/>
        <d v="2025-12-16T00:00:00Z"/>
        <d v="2025-12-13T00:00:00Z"/>
        <d v="2025-12-11T00:00:00Z"/>
        <d v="2025-12-15T00:00:00Z"/>
        <d v="2025-12-19T00:00:00Z"/>
        <d v="2026-01-02T00:00:00Z"/>
        <d v="2025-12-23T00:00:00Z"/>
        <d v="2026-12-26T00:00:00Z"/>
        <d v="2026-12-29T00:00:00Z"/>
        <d v="2026-01-06T00:00:00Z"/>
        <d v="2025-12-18T00:00:00Z"/>
        <d v="2025-12-22T00:00:00Z"/>
        <d v="2025-12-29T00:00:00Z"/>
        <d v="2025-12-30T00:00:00Z"/>
        <d v="2025-12-10T00:00:00Z"/>
        <d v="2026-01-09T00:00:00Z"/>
        <d v="2026-01-17T00:00:00Z"/>
        <d v="2026-01-13T00:00:00Z"/>
        <d v="2026-01-15T00:00:00Z"/>
        <d v="2026-01-16T00:00:00Z"/>
        <d v="2026-01-21T00:00:00Z"/>
        <d v="2026-01-22T00:00:00Z"/>
        <d v="2026-01-08T00:00:00Z"/>
        <d v="2026-02-06T00:00:00Z"/>
        <d v="2026-01-10T00:00:00Z"/>
        <d v="2026-01-20T00:00:00Z"/>
        <d v="2026-02-12T00:00:00Z"/>
        <d v="2026-02-11T00:00:00Z"/>
        <d v="2026-02-17T00:00:00Z"/>
        <d v="2026-02-18T00:00:00Z"/>
        <d v="2026-02-23T00:00:00Z"/>
        <d v="2026-02-19T00:00:00Z"/>
        <d v="2026-02-25T00:00:00Z"/>
        <d v="2026-02-26T00:00:00Z"/>
        <d v="2026-02-28T00:00:00Z"/>
        <d v="2026-02-24T00:00:00Z"/>
        <d v="2025-03-05T00:00:00Z"/>
        <d v="2026-03-04T00:00:00Z"/>
        <d v="2026-02-21T00:00:00Z"/>
        <d v="2026-02-20T00:00:00Z"/>
        <d v="2025-03-28T00:00:00Z"/>
        <d v="2026-03-06T00:00:00Z"/>
        <d v="2026-03-17T00:00:00Z"/>
        <d v="2026-03-19T00:00:00Z"/>
        <d v="2026-03-20T00:00:00Z"/>
        <d v="2026-03-23T00:00:00Z"/>
        <d v="2026-04-17T00:00:00Z"/>
        <d v="2026-05-17T00:00:00Z"/>
        <d v="2026-06-17T00:00:00Z"/>
        <d v="2026-07-17T00:00:00Z"/>
        <d v="2025-09-29T00:00:00Z"/>
        <d v="2026-08-17T00:00:00Z"/>
        <d v="2026-09-17T00:00:00Z"/>
        <d v="2026-10-17T00:00:00Z"/>
        <d v="2025-12-14T00:00:00Z"/>
        <d v="2026-11-17T00:00:00Z"/>
      </sharedItems>
    </cacheField>
    <cacheField name="Data do pagamento">
      <sharedItems containsDate="1" containsBlank="1" containsMixedTypes="1">
        <d v="2024-08-01T00:00:00Z"/>
        <d v="2024-08-02T00:00:00Z"/>
        <d v="2024-08-05T00:00:00Z"/>
        <d v="2024-08-06T00:00:00Z"/>
        <d v="2024-08-12T00:00:00Z"/>
        <d v="2024-08-13T00:00:00Z"/>
        <d v="2024-08-14T00:00:00Z"/>
        <d v="2024-08-15T00:00:00Z"/>
        <d v="2024-08-16T00:00:00Z"/>
        <d v="2024-08-19T00:00:00Z"/>
        <d v="2024-08-20T00:00:00Z"/>
        <d v="2024-08-22T00:00:00Z"/>
        <d v="2024-08-23T00:00:00Z"/>
        <d v="2024-08-25T00:00:00Z"/>
        <d v="2024-08-26T00:00:00Z"/>
        <d v="2024-08-27T00:00:00Z"/>
        <d v="2024-08-28T00:00:00Z"/>
        <d v="2024-08-29T00:00:00Z"/>
        <d v="2024-08-30T00:00:00Z"/>
        <d v="2024-09-02T00:00:00Z"/>
        <d v="2024-09-05T00:00:00Z"/>
        <d v="2024-09-06T00:00:00Z"/>
        <d v="2024-09-09T00:00:00Z"/>
        <d v="2024-09-10T00:00:00Z"/>
        <d v="2024-09-11T00:00:00Z"/>
        <d v="2024-09-12T00:00:00Z"/>
        <d v="2024-09-13T00:00:00Z"/>
        <d v="2024-09-16T00:00:00Z"/>
        <d v="2024-09-17T00:00:00Z"/>
        <d v="2024-09-18T00:00:00Z"/>
        <d v="2024-09-20T00:00:00Z"/>
        <d v="2024-09-23T00:00:00Z"/>
        <d v="2024-09-24T00:00:00Z"/>
        <d v="2024-09-25T00:00:00Z"/>
        <d v="2024-09-26T00:00:00Z"/>
        <d v="2024-09-30T00:00:00Z"/>
        <d v="2024-10-01T00:00:00Z"/>
        <d v="2024-10-02T00:00:00Z"/>
        <d v="2024-10-03T00:00:00Z"/>
        <d v="2024-10-07T00:00:00Z"/>
        <d v="2024-10-08T00:00:00Z"/>
        <d v="2024-10-10T00:00:00Z"/>
        <d v="2024-10-11T00:00:00Z"/>
        <d v="2024-10-13T00:00:00Z"/>
        <d v="2024-10-14T00:00:00Z"/>
        <d v="2024-10-15T00:00:00Z"/>
        <d v="2024-10-16T00:00:00Z"/>
        <d v="2024-10-17T00:00:00Z"/>
        <d v="2024-10-18T00:00:00Z"/>
        <d v="2024-10-21T00:00:00Z"/>
        <d v="2024-10-22T00:00:00Z"/>
        <d v="2024-10-23T00:00:00Z"/>
        <d v="2024-10-25T00:00:00Z"/>
        <d v="2024-10-28T00:00:00Z"/>
        <d v="2024-10-29T00:00:00Z"/>
        <d v="2024-10-30T00:00:00Z"/>
        <d v="2024-10-31T00:00:00Z"/>
        <d v="2024-11-01T00:00:00Z"/>
        <d v="2024-11-04T00:00:00Z"/>
        <d v="2024-11-05T00:00:00Z"/>
        <d v="2024-11-06T00:00:00Z"/>
        <d v="2024-11-10T00:00:00Z"/>
        <d v="2024-11-11T00:00:00Z"/>
        <d v="2024-11-12T00:00:00Z"/>
        <d v="2024-11-13T00:00:00Z"/>
        <d v="2024-11-14T00:00:00Z"/>
        <d v="2024-11-15T00:00:00Z"/>
        <d v="2024-11-18T00:00:00Z"/>
        <d v="2024-11-19T00:00:00Z"/>
        <d v="2024-11-21T00:00:00Z"/>
        <d v="2024-11-22T00:00:00Z"/>
        <d v="2024-11-24T00:00:00Z"/>
        <d v="2024-11-25T00:00:00Z"/>
        <d v="2024-11-28T00:00:00Z"/>
        <d v="2024-11-29T00:00:00Z"/>
        <d v="2024-11-30T00:00:00Z"/>
        <d v="2024-12-02T00:00:00Z"/>
        <d v="2024-12-03T00:00:00Z"/>
        <d v="2024-12-05T00:00:00Z"/>
        <d v="2024-12-06T00:00:00Z"/>
        <d v="2024-12-08T00:00:00Z"/>
        <d v="2024-12-09T00:00:00Z"/>
        <d v="2024-12-10T00:00:00Z"/>
        <d v="2024-12-11T00:00:00Z"/>
        <d v="2024-12-12T00:00:00Z"/>
        <d v="2024-12-13T00:00:00Z"/>
        <d v="2024-12-16T00:00:00Z"/>
        <d v="2024-12-17T00:00:00Z"/>
        <d v="2024-12-18T00:00:00Z"/>
        <d v="2024-12-19T00:00:00Z"/>
        <d v="2024-12-20T00:00:00Z"/>
        <d v="2024-12-21T00:00:00Z"/>
        <d v="2024-12-23T00:00:00Z"/>
        <d v="2024-12-24T00:00:00Z"/>
        <d v="2024-12-26T00:00:00Z"/>
        <d v="2024-12-27T00:00:00Z"/>
        <d v="2024-12-30T00:00:00Z"/>
        <d v="2025-01-02T00:00:00Z"/>
        <d v="2025-01-03T00:00:00Z"/>
        <d v="2025-01-06T00:00:00Z"/>
        <d v="2025-01-07T00:00:00Z"/>
        <d v="2025-01-08T00:00:00Z"/>
        <d v="2025-01-10T00:00:00Z"/>
        <d v="2025-01-13T00:00:00Z"/>
        <d v="2025-01-14T00:00:00Z"/>
        <d v="2025-01-15T00:00:00Z"/>
        <d v="2025-01-16T00:00:00Z"/>
        <d v="2025-01-17T00:00:00Z"/>
        <d v="2025-01-20T00:00:00Z"/>
        <d v="2025-01-21T00:00:00Z"/>
        <d v="2025-01-22T00:00:00Z"/>
        <d v="2025-01-23T00:00:00Z"/>
        <d v="2025-01-24T00:00:00Z"/>
        <d v="2025-01-27T00:00:00Z"/>
        <d v="2025-01-29T00:00:00Z"/>
        <d v="2025-01-30T00:00:00Z"/>
        <d v="2025-01-31T00:00:00Z"/>
        <d v="2025-02-01T00:00:00Z"/>
        <d v="2025-02-03T00:00:00Z"/>
        <d v="2025-02-04T00:00:00Z"/>
        <d v="2025-02-05T00:00:00Z"/>
        <d v="2025-02-06T00:00:00Z"/>
        <d v="2025-02-10T00:00:00Z"/>
        <d v="2025-02-11T00:00:00Z"/>
        <d v="2025-02-12T00:00:00Z"/>
        <d v="2025-02-14T00:00:00Z"/>
        <d v="2025-02-17T00:00:00Z"/>
        <d v="2025-02-18T00:00:00Z"/>
        <d v="2025-02-20T00:00:00Z"/>
        <d v="2025-02-21T00:00:00Z"/>
        <d v="2025-02-22T00:00:00Z"/>
        <d v="2025-02-24T00:00:00Z"/>
        <d v="2025-02-25T00:00:00Z"/>
        <d v="2025-02-27T00:00:00Z"/>
        <d v="2025-02-28T00:00:00Z"/>
        <d v="2025-03-01T00:00:00Z"/>
        <d v="2025-03-05T00:00:00Z"/>
        <d v="2025-03-06T00:00:00Z"/>
        <d v="2025-03-07T00:00:00Z"/>
        <d v="2025-03-10T00:00:00Z"/>
        <d v="2025-03-11T00:00:00Z"/>
        <d v="2025-03-12T00:00:00Z"/>
        <d v="2025-03-13T00:00:00Z"/>
        <d v="2025-03-14T00:00:00Z"/>
        <d v="2025-03-15T00:00:00Z"/>
        <d v="2025-03-17T00:00:00Z"/>
        <d v="2025-03-18T00:00:00Z"/>
        <d v="2025-03-19T00:00:00Z"/>
        <d v="2025-03-20T00:00:00Z"/>
        <d v="2025-03-21T00:00:00Z"/>
        <d v="2025-03-24T00:00:00Z"/>
        <d v="2025-03-25T00:00:00Z"/>
        <d v="2025-03-26T00:00:00Z"/>
        <d v="2025-03-27T00:00:00Z"/>
        <d v="2025-03-28T00:00:00Z"/>
        <d v="2025-03-31T00:00:00Z"/>
        <d v="2025-04-01T00:00:00Z"/>
        <d v="2025-04-03T00:00:00Z"/>
        <d v="2025-04-07T00:00:00Z"/>
        <d v="2025-04-08T00:00:00Z"/>
        <d v="2025-04-09T00:00:00Z"/>
        <d v="2025-04-10T00:00:00Z"/>
        <d v="2025-04-11T00:00:00Z"/>
        <d v="2025-04-14T00:00:00Z"/>
        <d v="2025-04-15T00:00:00Z"/>
        <d v="2025-04-16T00:00:00Z"/>
        <d v="2025-04-17T00:00:00Z"/>
        <d v="2025-04-18T00:00:00Z"/>
        <d v="2025-04-20T00:00:00Z"/>
        <d v="2025-04-21T00:00:00Z"/>
        <d v="2025-04-22T00:00:00Z"/>
        <d v="2025-04-23T00:00:00Z"/>
        <d v="2025-04-24T00:00:00Z"/>
        <d v="2025-04-25T00:00:00Z"/>
        <d v="2025-04-28T00:00:00Z"/>
        <d v="2025-04-29T00:00:00Z"/>
        <d v="2025-04-30T00:00:00Z"/>
        <d v="2025-05-02T00:00:00Z"/>
        <d v="2025-05-05T00:00:00Z"/>
        <d v="2025-05-08T00:00:00Z"/>
        <d v="2025-05-12T00:00:00Z"/>
        <d v="2025-05-14T00:00:00Z"/>
        <d v="2025-05-15T00:00:00Z"/>
        <d v="2025-05-19T00:00:00Z"/>
        <d v="2025-05-20T00:00:00Z"/>
        <d v="2025-05-21T00:00:00Z"/>
        <d v="2025-05-22T00:00:00Z"/>
        <d v="2025-05-23T00:00:00Z"/>
        <d v="2025-05-26T00:00:00Z"/>
        <d v="2025-05-27T00:00:00Z"/>
        <d v="2025-05-29T00:00:00Z"/>
        <d v="2025-05-30T00:00:00Z"/>
        <d v="2025-06-02T00:00:00Z"/>
        <d v="2025-06-03T00:00:00Z"/>
        <d v="2025-06-05T00:00:00Z"/>
        <d v="2025-06-06T00:00:00Z"/>
        <d v="2025-06-07T00:00:00Z"/>
        <d v="2025-06-09T00:00:00Z"/>
        <d v="2025-06-10T00:00:00Z"/>
        <d v="2025-06-11T00:00:00Z"/>
        <d v="2025-06-12T00:00:00Z"/>
        <d v="2025-06-13T00:00:00Z"/>
        <d v="2025-06-16T00:00:00Z"/>
        <d v="2025-06-17T00:00:00Z"/>
        <d v="2025-06-18T00:00:00Z"/>
        <d v="2025-06-19T00:00:00Z"/>
        <d v="2025-06-20T00:00:00Z"/>
        <d v="2025-06-23T00:00:00Z"/>
        <d v="2025-06-24T00:00:00Z"/>
        <d v="2025-06-25T00:00:00Z"/>
        <d v="2025-06-26T00:00:00Z"/>
        <d v="2025-06-29T00:00:00Z"/>
        <d v="2025-06-30T00:00:00Z"/>
        <d v="2025-07-01T00:00:00Z"/>
        <d v="2025-07-03T00:00:00Z"/>
        <d v="2025-07-06T00:00:00Z"/>
        <d v="2025-07-07T00:00:00Z"/>
        <d v="2025-07-08T00:00:00Z"/>
        <d v="2025-07-10T00:00:00Z"/>
        <d v="2025-07-11T00:00:00Z"/>
        <d v="2025-07-14T00:00:00Z"/>
        <d v="2025-07-15T00:00:00Z"/>
        <d v="2025-07-17T00:00:00Z"/>
        <d v="2025-07-18T00:00:00Z"/>
        <d v="2025-07-21T00:00:00Z"/>
        <d v="2025-07-22T00:00:00Z"/>
        <d v="2025-07-23T00:00:00Z"/>
        <d v="2025-07-24T00:00:00Z"/>
        <d v="2025-07-25T00:00:00Z"/>
        <d v="2025-07-29T00:00:00Z"/>
        <d v="2025-07-30T00:00:00Z"/>
        <d v="2025-07-31T00:00:00Z"/>
        <d v="2025-08-01T00:00:00Z"/>
        <d v="2025-08-04T00:00:00Z"/>
        <d v="2025-08-05T00:00:00Z"/>
        <d v="2025-08-08T00:00:00Z"/>
        <d v="2025-08-11T00:00:00Z"/>
        <d v="2025-08-12T00:00:00Z"/>
        <d v="2025-08-14T00:00:00Z"/>
        <d v="2025-08-15T00:00:00Z"/>
        <d v="2025-08-16T00:00:00Z"/>
        <d v="2025-08-18T00:00:00Z"/>
        <d v="2025-08-19T00:00:00Z"/>
        <d v="2025-08-20T00:00:00Z"/>
        <d v="2025-08-21T00:00:00Z"/>
        <d v="2025-08-22T00:00:00Z"/>
        <d v="2025-08-25T00:00:00Z"/>
        <d v="2025-08-26T00:00:00Z"/>
        <d v="2025-08-29T00:00:00Z"/>
        <d v="2025-09-01T00:00:00Z"/>
        <d v="2025-09-02T00:00:00Z"/>
        <d v="2025-09-03T00:00:00Z"/>
        <d v="2025-09-05T00:00:00Z"/>
        <d v="2025-09-08T00:00:00Z"/>
        <d v="2025-09-10T00:00:00Z"/>
        <d v="2025-09-11T00:00:00Z"/>
        <d v="2025-09-12T00:00:00Z"/>
        <d v="2025-09-15T00:00:00Z"/>
        <d v="2025-09-16T00:00:00Z"/>
        <d v="2025-09-18T00:00:00Z"/>
        <d v="2025-09-19T00:00:00Z"/>
        <d v="2025-09-22T00:00:00Z"/>
        <d v="2025-09-23T00:00:00Z"/>
        <d v="2025-09-24T00:00:00Z"/>
        <d v="2025-09-25T00:00:00Z"/>
        <d v="2025-09-26T00:00:00Z"/>
        <d v="2025-09-29T00:00:00Z"/>
        <d v="2025-09-30T00:00:00Z"/>
        <d v="2025-10-01T00:00:00Z"/>
        <d v="2025-10-03T00:00:00Z"/>
        <d v="2025-10-06T00:00:00Z"/>
        <d v="2025-10-07T00:00:00Z"/>
        <d v="2025-10-08T00:00:00Z"/>
        <d v="2025-10-10T00:00:00Z"/>
        <d v="2025-10-12T00:00:00Z"/>
        <d v="2025-10-13T00:00:00Z"/>
        <d v="2025-10-14T00:00:00Z"/>
        <d v="2025-10-15T00:00:00Z"/>
        <d v="2025-10-16T00:00:00Z"/>
        <d v="2025-10-18T00:00:00Z"/>
        <d v="2025-10-20T00:00:00Z"/>
        <d v="2025-10-21T00:00:00Z"/>
        <d v="2025-10-22T00:00:00Z"/>
        <d v="2025-10-23T00:00:00Z"/>
        <d v="2025-10-24T00:00:00Z"/>
        <d v="2025-10-27T00:00:00Z"/>
        <d v="2025-10-28T00:00:00Z"/>
        <d v="2025-10-29T00:00:00Z"/>
        <d v="2025-10-30T00:00:00Z"/>
        <d v="2025-10-31T00:00:00Z"/>
        <d v="2025-11-03T00:00:00Z"/>
        <d v="2025-11-04T00:00:00Z"/>
        <d v="2025-11-07T00:00:00Z"/>
        <d v="2025-11-10T00:00:00Z"/>
        <d v="2025-11-11T00:00:00Z"/>
        <d v="2025-11-13T00:00:00Z"/>
        <d v="2025-11-14T00:00:00Z"/>
        <d v="2025-11-15T00:00:00Z"/>
        <d v="2025-11-17T00:00:00Z"/>
        <d v="2025-11-18T00:00:00Z"/>
        <d v="2025-11-19T00:00:00Z"/>
        <d v="2025-11-21T00:00:00Z"/>
        <d v="2025-11-24T00:00:00Z"/>
        <d v="2025-11-25T00:00:00Z"/>
        <d v="2025-11-28T00:00:00Z"/>
        <d v="2025-12-01T00:00:00Z"/>
        <d v="2025-12-02T00:00:00Z"/>
        <d v="2025-12-03T00:00:00Z"/>
        <d v="2025-12-08T00:00:00Z"/>
        <d v="2025-12-10T00:00:00Z"/>
        <d v="2025-12-11T00:00:00Z"/>
        <d v="2025-12-12T00:00:00Z"/>
        <d v="2025-12-15T00:00:00Z"/>
        <d v="2025-12-16T00:00:00Z"/>
        <d v="2025-12-18T00:00:00Z"/>
        <d v="2025-12-19T00:00:00Z"/>
        <d v="2025-12-20T00:00:00Z"/>
        <d v="2025-12-22T00:00:00Z"/>
        <d v="2025-12-23T00:00:00Z"/>
        <d v="2025-12-24T00:00:00Z"/>
        <d v="2025-12-26T00:00:00Z"/>
        <d v="2025-12-29T00:00:00Z"/>
        <d v="2025-12-30T00:00:00Z"/>
        <d v="2026-01-01T00:00:00Z"/>
        <d v="2026-01-02T00:00:00Z"/>
        <d v="2026-01-05T00:00:00Z"/>
        <d v="2026-01-06T00:00:00Z"/>
        <d v="2026-01-07T00:00:00Z"/>
        <d v="2026-01-08T00:00:00Z"/>
        <d v="2026-01-09T00:00:00Z"/>
        <d v="2026-01-12T00:00:00Z"/>
        <d v="2026-01-13T00:00:00Z"/>
        <d v="2026-01-14T00:00:00Z"/>
        <d v="2026-01-15T00:00:00Z"/>
        <d v="2026-01-16T00:00:00Z"/>
        <d v="2026-01-19T00:00:00Z"/>
        <d v="2026-01-20T00:00:00Z"/>
        <d v="2026-01-22T00:00:00Z"/>
        <d v="2026-01-23T00:00:00Z"/>
        <d v="2026-01-26T00:00:00Z"/>
        <d v="2026-01-27T00:00:00Z"/>
        <d v="2026-01-28T00:00:00Z"/>
        <d v="2026-01-29T00:00:00Z"/>
        <d v="2026-01-30T00:00:00Z"/>
        <d v="2026-01-31T00:00:00Z"/>
        <d v="2026-02-01T00:00:00Z"/>
        <d v="2026-02-02T00:00:00Z"/>
        <d v="2026-02-03T00:00:00Z"/>
        <d v="2026-02-09T00:00:00Z"/>
        <d v="2026-02-10T00:00:00Z"/>
        <d v="2026-02-11T00:00:00Z"/>
        <d v="2026-02-12T00:00:00Z"/>
        <d v="2026-02-13T00:00:00Z"/>
        <d v="2026-02-16T00:00:00Z"/>
        <d v="2026-02-18T00:00:00Z"/>
        <d v="2026-02-19T00:00:00Z"/>
        <d v="2026-02-20T00:00:00Z"/>
        <d v="2026-02-23T00:00:00Z"/>
        <d v="2026-02-24T00:00:00Z"/>
        <d v="2026-02-25T00:00:00Z"/>
        <d v="2026-02-26T00:00:00Z"/>
        <d v="2026-02-27T00:00:00Z"/>
        <d v="2026-03-02T00:00:00Z"/>
        <d v="2026-03-03T00:00:00Z"/>
        <d v="2026-03-09T00:00:00Z"/>
        <d v="2026-03-10T00:00:00Z"/>
        <d v="2026-03-11T00:00:00Z"/>
        <d v="2026-03-12T00:00:00Z"/>
        <d v="2026-03-13T00:00:00Z"/>
        <d v="2026-03-14T00:00:00Z"/>
        <d v="2026-03-16T00:00:00Z"/>
        <d v="2026-03-17T00:00:00Z"/>
        <d v="2026-03-18T00:00:00Z"/>
        <d v="2026-03-19T00:00:00Z"/>
        <d v="2026-03-20T00:00:00Z"/>
        <d v="2026-03-23T00:00:00Z"/>
        <s v=""/>
        <m/>
      </sharedItems>
    </cacheField>
    <cacheField name="Fornecedor" numFmtId="0">
      <sharedItems containsBlank="1">
        <s v="ADELINO ALVES - ALUGUEL GALPÃO"/>
        <s v="RIVER FREIGHT LOGISTICS SERVICES"/>
        <s v="ELAINE CRISTINA DE MELO"/>
        <s v="Prefeitura Municipal De Indaiatuba"/>
        <s v="LARISSA FARINCHON BORGES"/>
        <s v="BANCO DO BRASIL"/>
        <s v="AMIL ASSISTENCIA MEDICA INTERNACIONAL S.A. - CONVENIO MEDICO"/>
        <s v="DESKTOP S A - INTERNET WIFI"/>
        <s v="CELIO LUIZ DE LIMA - VIGIA DA RUA"/>
        <s v="Sidecont Contabilidade E Consultoria"/>
        <s v="MEDPREVENT EXAME ADMISSIONAL"/>
        <s v="MERCADO LIVRE"/>
        <s v="TAKATA TAKATA COMERCIO DE DOCES E SALGADOS"/>
        <s v="ADRIANE CRISTINA GOMES"/>
        <s v="William Bezerra de Melo"/>
        <s v="Debora Morales de Melo"/>
        <s v="Priscila Zaghi Da Silva"/>
        <s v="Sumerbol Supermercados Ltda"/>
        <s v="THIAGO MAURICIO BERTI"/>
        <s v="Regina Celia Moura de Oliveira - Barbara Bolsas"/>
        <s v="CPFL - COMPAHIA DE FORÇA E LUZ"/>
        <s v="PONTO AZUL"/>
        <s v="DAS - SIMPLES NACIONAL"/>
        <s v="Jose Alberto"/>
        <s v="BLING SISTEMA ERP"/>
        <s v="BRASTEMP"/>
        <s v="CANVA - PLATAFORMA ONLINE DE MARKETING"/>
        <s v="CARREFOUR - SUPERMERCADO"/>
        <s v="Casa das Embalagens e Limpeza Ltda"/>
        <s v="EC OSASCOLAS"/>
        <s v="EDUZZ MELIPRO"/>
        <s v="FGTS"/>
        <s v="HAVAN"/>
        <s v="INSS"/>
        <s v="JOVINA MOREIRA MENDES DIARISTA"/>
        <s v="Larissa Moraes"/>
        <s v="LIBERTY SEGURO - SEGURADORA"/>
        <s v="LIMPA MAIS"/>
        <s v="MELHOR ENVIO"/>
        <s v="MICROSOFT SÃO PAULO"/>
        <s v="MR VARIEDADES"/>
        <s v="P AMP A PANIFICADORA INDAIATUBA"/>
        <s v="PANELA VELHA RESTAURANTE"/>
        <s v="PANIFICADORA E CONFEIT INDAIATUBA"/>
        <s v="SAAE - COMPANHIA DE ÁGUA E ESGOTO"/>
        <s v="SOL ABDELNOR"/>
        <s v="TOKIO MARINE SEGURADORA S.A. - SEGURADORA"/>
        <s v="Top Flex Posto de Gasolina"/>
        <s v="UBER"/>
        <s v="WA ELETRECIST"/>
        <s v="ALIBABA CHINA"/>
        <s v="GOOGLE"/>
        <s v="PATRICIA LEKEF"/>
        <s v="UNISEGURANCA ALARMES LTDA"/>
        <s v="BANCO ITAU"/>
        <s v="VIVO S.A TELEFONIA"/>
        <s v="MERCADO PAGO"/>
        <s v="BANCO C6 TAG PEDAGIO"/>
        <s v="MARCELO ANTONIO KUHL - MPK TRICOT"/>
        <s v="DRE ASSESSORIA CONTÁBIL EIRELI"/>
        <s v="SEMEAR PROJETO SOCIAL"/>
        <s v="FRENTE CORRETORA DE CAMBIO LTDA"/>
        <s v="SECRETARIA DA FAZENDA"/>
        <s v="ASSAI MERCADO"/>
        <s v="CIA do Salgado"/>
        <s v="ESTACIONAMENTO FEIRA"/>
        <s v="SÓ ISOPOR"/>
        <s v="TEMAKERIA E CIA"/>
        <s v="CASA DO PÃO DE QUEIJO"/>
        <s v="Marcelo Zulli -  16 997327801 PIX"/>
        <s v="ROBERTO BI CPF 12702467717"/>
        <s v="AURORA TERMINAIS"/>
        <s v="DONGGUAN LOYAL INDUSTRIAL CO., LTD."/>
        <s v="EMERSON DAVI DOS SANTOS ISOPOR VALINHOS"/>
        <s v="DELL TECHNOLOGIES"/>
        <s v="WORKANA"/>
        <s v="RESTAURANTE SP"/>
        <s v="LOCAWEB"/>
        <s v="Booking Hotel"/>
        <s v="CHRISTINA CHAN CHINA"/>
        <s v="TAG BRINDES Ana Lucia da Silva Coutinho"/>
        <s v="Chaveiro Bruno"/>
        <s v="SEFAZ SP"/>
        <s v="JUCESP"/>
        <s v="VR ALIMENTAÇÃO"/>
        <s v="GLOBALFY EUA"/>
        <s v="LOGIX FLASH"/>
        <s v="Fernanda Cristina Água Mineral"/>
        <s v="Jade Casa Decor"/>
        <s v="LALAMOVE FRTES"/>
        <s v="CERTSING"/>
        <s v="GRUPO ROJEMAC"/>
        <s v="SAMS CLUB"/>
        <s v="CASA DE BOLOS"/>
        <s v="DRI AVAST BRAZIL SAO PAULO"/>
        <s v="CLINK COMERCIO IMPORTAÇÃO E EXPORTAÇÃO"/>
        <s v="GABRIEL RIBEIRO DE MELO"/>
        <s v="MARCONI VIDAL SERVIÇOS LOGISTICA"/>
        <s v="Pedro Melo De Paula"/>
        <s v="SERASA"/>
        <s v="RECEITA FEDERAL"/>
        <s v="YASMIM FREELANCER"/>
        <s v="DETRAN"/>
        <s v="CHURRASCARIA JATOBA"/>
        <s v="MARINA MANTOANELLI MOTORFIX"/>
        <s v="NIPON PAPELARIA"/>
        <s v="PC NET INFORMÁTICA"/>
        <s v="REI DO BASICO MATERIAIS DE CONSTRUÇÃO"/>
        <s v="GODADDY"/>
        <s v="MC DONALD"/>
        <s v="VITOR FREELANCER PIX CPF 481.484.638-08"/>
        <s v="MOISES ISIDORO MARTINS PIX 19982499417"/>
        <s v="GOVERNO DO ESTADO"/>
        <s v="RESTAURANTE MOQUECA"/>
        <s v="INDAIA BATERIAS"/>
        <s v="PEDAGIO C6 TAG"/>
        <s v="LIQUIDAE"/>
        <s v="JUNGLE SCOUT"/>
        <s v="THOR PNEUS"/>
        <s v="AMAZON MARKETPLACE"/>
        <s v="HDI SEGUROS"/>
        <s v="FARMEL IMPORT"/>
        <s v="GIBIM SEGURANÇA"/>
        <s v="ADEMILSON BEZERRA"/>
        <s v="INDAIA EXTINTORES"/>
        <s v="INPI - REGISTRO DE MARCA"/>
        <s v="CONSTANTE CONSULTORIA - BRUNO ARMSTRONG"/>
        <s v="Letícia Sena Pix 390.664.488-06"/>
        <s v="LEROY MERLIN"/>
        <s v="SULTHAM SOLUTIONS"/>
        <s v="LCP GROUP CONTABILIDADE LAYLA EUA"/>
        <s v="ART SEA"/>
        <s v="CEASA"/>
        <s v="MARCARIA.COM"/>
        <s v="PAULINIA COMERCIO DE ISOPOR"/>
        <s v="SIDER PLATAFORMA IA"/>
        <s v="CARTORIO INDAIATUBA"/>
        <s v="MARQUINHOS DESPACHANTE"/>
        <s v="IOLANDA PONTE DE MELO PIX 098.573.778-66"/>
        <s v="Business in box Trading China Ana Garcia"/>
        <s v="ALAN ANOROSO INSULFILM PIX 383.671.438-84 "/>
        <s v="WISE"/>
        <s v="Duas Cerejas - Bolos"/>
        <s v="AMERICAPAN FESTAS"/>
        <s v="MANUS IA"/>
        <s v="TOPVIEW PLATAFORMA DE IA"/>
        <s v="AMZ DOWNLOADER"/>
        <s v="Erick Renato Rufino hernandes -Marketing"/>
        <s v="ANA PAULA PINHEIRO MOREIRA CARRINHO"/>
        <s v="VPN"/>
        <s v="CRISTIANO BRAZ DOS SANOS"/>
        <s v="Flores Do Park"/>
        <s v="PAX PNEUS"/>
        <s v="PADARIA NOVA HELVETIA"/>
        <s v="GS1 USA"/>
        <s v="MAGALU PAY"/>
        <s v="HOTEL IBIS"/>
        <s v="BANANAS OUTLET"/>
        <s v="POLAR AR CONDICIONADO"/>
        <s v="AUGUSTO CESAR PINHEIRO"/>
        <s v="KAIQUE AJUDANTE"/>
        <s v="DEIVES ROMÃO AJUDANTE"/>
        <s v="ALUIZIO P DE ALMEIDA AJUDANTE"/>
        <s v="JESSICA CAMILE FREELANCER"/>
        <s v="VERONICA KELLY DOS REIS FREELANCER"/>
        <s v="JULIA NOGUEIRA FREELANCER"/>
        <s v="MAYSA FREELANCER"/>
        <s v="V VIDROS"/>
        <s v="MELIA HOTEL"/>
        <s v="Delphi Fretes Internacionais e Desembaraço Aduaneiro"/>
        <s v="MELO &amp; FARINCHON COMERCIO IMPORTAÇÃO"/>
        <s v="GABI E BIA DOAÇÃO"/>
        <s v="SINDICATO DOS EMPREGADOS NO COMERCIO DE ITU"/>
        <s v="PEDRO LUCAS SANTIAGO"/>
        <s v="PADARIA SUIÇA"/>
        <s v="FARMACIA DROGA RAIA"/>
        <s v="LL MOTOS"/>
        <s v="AKI TEM UTILIDADES"/>
        <s v="Maxwel do Carmo Prado"/>
        <s v="DANIELA CRISTINA FREELANCER"/>
        <s v="ABDIAS BEZERRA DE MELO"/>
        <s v="PCMSO VANDERLEI"/>
        <s v="MAPFRE SEGUROS GERAIS"/>
        <s v="LEANDRO GOMES COSTA FREELANCER"/>
        <s v="WESLEY RICARDO FREELANCER"/>
        <s v="JOSE CLAUDINEI MANUTENÇÃO"/>
        <s v="FRANCISCO APARECIDO RAMOS FREELANCER"/>
        <s v="Maurício de Jesus Gonçalves Freelancer"/>
        <s v="OPENAI CHAT GPT"/>
        <s v="SUMS CLUB"/>
        <s v="DEMILSON TOLDOS"/>
        <s v="RAUL VASQUEZ PRATELEIRAS"/>
        <s v="ELIO ELETRICISTA"/>
        <s v="LAVA RAPIDO NOVA ALIANÇA FERNANDO"/>
        <s v="MARAVILHAS DO LAR"/>
        <s v="EASYTOQUE PALLETS"/>
        <s v="PAULO HENRIQUE MARCENEIRO"/>
        <s v="BENEDITA MARIA BATISTA DOS PASSOS"/>
        <s v="DOUGLAS HENRIQUE ASSISTENCIA TECNICA"/>
        <s v="DISTRIBUIDORA DE AGUA E GAS INDAIATUBA"/>
        <s v="DT SAN DEDETIZAÇÃO"/>
        <s v="DENIS LAPA CONSERTA GELADEIRA"/>
        <s v="MATHEUS HENRIQUE FERREIRA ENCAPAMENTO"/>
        <s v="RHAIZA BERLANZA ADVOGADA PREVIDENCIARIA"/>
        <s v="GOODBOM SUPERMERCADO"/>
        <s v="Bazar 10"/>
        <m/>
      </sharedItems>
    </cacheField>
    <cacheField name="Status" numFmtId="0">
      <sharedItems containsBlank="1">
        <s v="Pago"/>
        <s v="Agendado"/>
        <s v="Aberto"/>
        <m/>
      </sharedItems>
    </cacheField>
    <cacheField name="Forma de pagamento" numFmtId="0">
      <sharedItems containsBlank="1">
        <s v="Pix"/>
        <s v="Transferência bancária"/>
        <s v="Boleto"/>
        <s v="Pagamento automático"/>
        <s v="Cheque"/>
        <s v="Cartão de Crédito ELO"/>
        <s v="Cartão de Crédito VISA"/>
        <s v="Cartão de débito MASTERCAD"/>
        <s v="Cartão de débito OUTROS"/>
        <s v="Cartão de Crédito OUTROS"/>
        <s v="Dinheiro"/>
        <m/>
      </sharedItems>
    </cacheField>
    <cacheField name="Banco/conta" numFmtId="0">
      <sharedItems containsBlank="1">
        <s v="BANCO DO BRASIL - 65204-0"/>
        <s v="MERCADO PAGO SINCE - 9511092439-1"/>
        <s v="MERCADO PAGO FARMEL - "/>
        <m/>
      </sharedItems>
    </cacheField>
    <cacheField name="Descrição" numFmtId="0">
      <sharedItems containsBlank="1">
        <s v="ALUGUEL"/>
        <s v="PGTO DE IMPOSTOS AEREO COMPRA CHINA BROCAS"/>
        <m/>
        <s v="ALVARA MATRIZ"/>
        <s v="CESTA DE TARIFAS"/>
        <s v="CONSORCIO"/>
        <s v="VIGILANTE DA RUA"/>
        <s v="CONTABILIDADE DA SINCE"/>
        <s v="EXAME ADMISSIONAL ADRIANE"/>
        <s v="CUSTO DO FULL FARMEL (COLETA E ARMAZENAGEM)"/>
        <s v="BOLO NIVER ELAINE"/>
        <s v="CAPITAL DE GIRO PEAC FGI JUROS"/>
        <s v="COMPRA DE BOLO - REEMBOLSO WILLIAM"/>
        <s v="CAFÉ - REEMBOLSO WILLIAM"/>
        <s v="Empréstimo para importação - QUANTUM a ser pago para William, pix: CPF04767793408"/>
        <s v="PEDIDO DE COMPRA 318 CHEQUE 850030"/>
        <s v="PEDIDO DE COMPRA 313 CHEQUE 850025"/>
        <s v="PROVISIONAMENTO CPFL"/>
        <s v="CABO PARA NOTEBOOK"/>
        <s v="Tarifa Agrupada"/>
        <s v="PRONAMPE 1º CONTRATO"/>
        <s v="CUSTO DO FULL SINCE(COLETA E ARMAZENAGEM)"/>
        <s v="CARTÃO ELO - FRIGOBAR"/>
        <s v="Cartão VISA - PLATAFORMA DE MARKETING ONLINE"/>
        <s v="Cartão Elo - CAFÉ, CAPSULAS E BOLACHAS"/>
        <s v="CARTÃO VISA - BOLHA, DETERGENTE, PAPEL, ETC."/>
        <s v="DAS"/>
        <s v="CARTÃO ELO - LETREIRO FARMEL"/>
        <s v="CARTÃO VISA - AVANTPROML"/>
        <s v="CARTÃO ELO "/>
        <s v="Inicio em 23/01/24 Ter/qua/qui e sab por + ou - 2 horas PEDIDO 54026 R$ 119,40 (descontar em 2x mes 7 e mes 8)"/>
        <s v="Cartão Elo"/>
        <s v="Cartão Elo - "/>
        <s v="CARTÃO VISA - CANDIDA, INTERFOLHA, AZULIN, SACO LIXO"/>
        <s v="Cartão Elo - FRETE PEDIDOS AMAZON"/>
        <s v="CARTÃO ELO - FONE DE OUVIDO ELAINE"/>
        <s v="CARTÃO ELO - NOTEBOOK"/>
        <s v="CARTÃO ELO - 2 ventiladores de parede "/>
        <s v="CARTÃO ELO - ENVELOPES PARA ENVIO"/>
        <s v="CARTÃO ELO - pistão para cadeira"/>
        <s v="CARTÃO ELO - CELULAR ATENDIMENTO FARMEL "/>
        <s v="CARTÃO ELO - transformador 220-110 para Adriane"/>
        <s v="CARTÃO ELO - Envelopes, fita mágica, adesivos"/>
        <s v="CARTÃO ELO -Fita embalagem, tonner"/>
        <s v="CARTÃO ELO - Espelho e Suporte Banheiro"/>
        <s v="CARTÃO ELO - Envelopes, fitas"/>
        <s v="CARTÃO ELO - FITAS, ISOPOR E ENVELOPE"/>
        <s v="CARTÃO ELO - ENVELOPE, FITA, SULFITE"/>
        <s v="CARTÃO ELO - LUMINÁRIA SALA ADMINISTRAÇÃO"/>
        <s v="CARTÃO ELO - Leitor código de barras"/>
        <s v="CARTÃO ELO - ETIQUETA ENVIO, ENVELOPE"/>
        <s v="CARTÃO ELO - SULFITE, ROLO, PAPELÃO"/>
        <s v="COMPRA INTERFONE - REEMBOLSO LARISSA"/>
        <s v="CARTÃO ELO - ETIQUETA FULL AMAZON"/>
        <s v="ENVELOPES, CABO E FITAS - REEMBOLSO LARISSA"/>
        <s v="SISTEMA - PACOTE OFFICE"/>
        <s v="CARTÃO ELO - PEÇAS DECORATIVAS SALA MEZANINO"/>
        <s v="Cartão Elo - Café da manhã "/>
        <s v="CARTÃO VISA - ALMOÇO FREELANCER VITOR"/>
        <s v="Cartão Elo - Café da manhã"/>
        <s v="Cartão Elo - Revisão Veicular"/>
        <s v="CARTÃO VISA - COMPRA DE PAPEL HIGIENICO E DETERGENTE"/>
        <s v="Cartão Elo - COMBUSTIVEL"/>
        <s v="Cartão Elo -"/>
        <s v="CARTÃO ELO - JARDIM VERTICAL"/>
        <s v="Cartão Elo - FRETE"/>
        <s v="Serviço de desenquadramento Since"/>
        <s v="CARTÃO ELO - SERVIÇOS NA CHINA"/>
        <s v="CARTÃO ELO - TESTE DE EMAIL"/>
        <s v="CARTÃO ELO - COMPRA DE MOVEIS "/>
        <s v="CARTÃO ELO - COMPRA DE VENTILADOR"/>
        <s v="CARTÃO ELO - SERVIÇO JEFERSON"/>
        <s v="CARTÃO ELO - CREDITO DEVIDO DEVOLUÇÃO"/>
        <s v="REEMBOLSO DE EMPRESTIMO PARA WILLIAM"/>
        <s v="COMPRA DE CADEIRAS - REEMBOLSO LARISSA"/>
        <s v="COMPRA Filtro de Linha REEMBOLSO LARISSA"/>
        <s v="COMPRA TRANSFORMADOR - REEMBOLSO LARISSA"/>
        <s v="TELEFONES MÓVEL COMERCIAL"/>
        <s v="Retirada"/>
        <s v="Reembolso p/ cliente prod. com defeito"/>
        <s v="PEDIDO DE COMPRA 317 CHEQUE 850028"/>
        <s v="PEDAGIO C6 TAG"/>
        <s v="PEDIDO DE COMPRA Nº 316"/>
        <s v="CONTABILIDADE DA FARMEL"/>
        <s v="Salário Priscila Zag Farmel, com dedução do INSS e somado 2 bolsa família (R$ 56,00/filho) - Salário Priscila Zag Farmel, com dedução do INSS e somado 2 bolsa família (R$ 56,00/filho)"/>
        <s v="TARIFA BANCARIA"/>
        <s v="PGTO DE CAMBIO PARA COMPRA NA CHINA"/>
        <s v="ENVIADO PARA SINCE PARA PG O CAMBIO DE COMPRA NA CHINA"/>
        <s v="LICENCIAMENTO MOTO - PUXAR PELO BANCO DO BRASIL"/>
        <s v="INTERNET"/>
        <s v="Emprestimo FINIMP - Contrato fechado no dia 20/12/2023 Valor de R$ 70.000 (sem calculo dos juros)&#10;CONTRATO Nº 20231220000000059 - PRODUTOS *LIGAR PARA O BANCO DIA 07/09, PARA FECHAR O CAMBIO&#10;NOMINAL: USD 13.139,95 JUROS : USD 1031,7"/>
        <s v="750 salario 30,00 por ter levado mercadoria no ponto"/>
        <s v="REEMBOLSO COMBUSTIVEL LEVOU PEDIDOS DIA 12/09"/>
        <s v="Tarifa Pix"/>
        <s v="COMPRA BOLSAS PEDIDO 319"/>
        <s v="FRIGOBAR - CARTAO ELO 9838"/>
        <s v="PROVISIONAMENTO DO DAS FARMEL"/>
        <s v="PROVISIONAMENTO DO DAS"/>
        <s v="CARTAO ELO - LETREIRO FARMEL"/>
        <s v="CARTAO ELO "/>
        <s v="CARTAO ELO- NOTEBOOK"/>
        <s v="CARTAO ELO - 2 ventiladores de parede "/>
        <s v="CARTAO ELO - CELULAR ATENDIMENTO FARMEL "/>
        <s v="CARTAO ELO - Envelopes, fita mágica, adesivos"/>
        <s v="CARTAO ELO -Fita embalagem, tonner"/>
        <s v="CARTAO ELO - FITAS, ISOPOR E ENVELOPE"/>
        <s v="CARTAO ELO - SULFITE, ROLO, PAPELÃO"/>
        <s v="PEÇAS DECORATIVAS SALA MESANINO"/>
        <s v="JARDIM VERTICAL"/>
        <s v="CARTÃO VISA - CAFE AÇUCAR SUCO ETC"/>
        <s v="LEITE BISCOITO ETC"/>
        <s v="Material Expedição pela Since"/>
        <s v="Salgadinho Niver Elaine"/>
        <s v="Uber para Adriane fazre exame Admissional"/>
        <s v="IMPRESSORA"/>
        <s v="Estacionamento da Feira Home Show"/>
        <s v="ISOPOR PARA EMBALAR"/>
        <s v="ESTACIONAMENTO RESTAURANTE"/>
        <s v="REFEIÇÃO LARI/ELAINE"/>
        <s v="CAFE LARI/ELAINE"/>
        <s v="Saquinhos Plasticos"/>
        <s v="PADARIA"/>
        <s v="FITA E EMBALAGEM"/>
        <s v="ÁGUA"/>
        <s v="TESTE GOOGLE GSUITE"/>
        <s v="UBER"/>
        <s v="ASSIN MICROSOFT 365"/>
        <s v="REEMBOLSO CARTAO DE CREDITO POR POSSIVEL DEVOLUÇÃO"/>
        <s v="SERVIÇO FINANCEIRO PRESTADO"/>
        <s v="RETIRADA SOCIO"/>
        <s v="PEDAGIO"/>
        <s v="DESC DE 130 DOS PRODUTOS"/>
        <s v="ACESSO BI"/>
        <s v="REEMBOLSO DE DESLOCAMENTO REF OS DIAS 24 E 25/10"/>
        <s v="REEMBOLSO DE DESLOCAMENTO REF OS DIAS 24"/>
        <s v="RETIRADA DAS BROCAS"/>
        <s v="ARMAZENAMENTO DE BROCAS"/>
        <s v="PEDIDO DE COMPRA 317 CHEQUE 850029"/>
        <s v="Com Prest Gar Internacion - Refer Contrarto Finimp do mes 10"/>
        <s v="Cambio Ref compra na china (pgto pelo finimp contrato mes 10) "/>
        <s v="COMPRA PROD. CHINA"/>
        <s v="ISOPOR PARA PROTEÇÃO"/>
        <s v="DESC DE 61,32 DE PRODUTOS"/>
        <s v="EMBALAGEM FITA ETC"/>
        <s v="Combustivel"/>
        <s v="CAFE E BOLACHA"/>
        <s v="PRODUTOS LIMPEZA"/>
        <s v="FRETE CLIENTE"/>
        <s v="COMPRA COMPUTADOR ELAINE"/>
        <s v="ESTACIONAMENOT EVENTO ML"/>
        <s v="SISTEMA ESTOQUE E COMPRAS "/>
        <s v="EMBALAGEM"/>
        <s v="CREDITO NÃO IDENTIFICADO"/>
        <s v="LARI E ELAINE"/>
        <s v="CONTA DE EMAIL"/>
        <s v="refeição Thiago"/>
        <s v="COMPRA DE CADEIRAS - REEMBOLSO LARI C6"/>
        <s v="COMPRA INTERFONE - REEMBOLSO LARI C6"/>
        <s v="REEMBOLSO CARTAO C6 LARISSA"/>
        <s v="REEMBOLSO CARTOA C6 LARISSA"/>
        <s v="REEMBOLSO C6 LARISSA ESTADIA EVENTO "/>
        <s v="PGTO SERVIÇO NA CHINA VIA PAYPAL REEMBOLSO C6 LARI"/>
        <s v="GOOGLE GSUITE REEMBOLSO LARI C6"/>
        <s v="ALIMENTAÇÃO EVENTO SP REEMBOLSO LARI C6"/>
        <s v="50% MANUTENÇÃO VEICULO REEMBOLSO VISA LARI/ELAINE"/>
        <s v="DESC DE 130 DE PRODUTOS"/>
        <s v="Envio de peça para cliente"/>
        <s v="TAG NAS MOCHILAS PARA BRINDES"/>
        <s v="PRONAMPE 2º CONTRATO"/>
        <s v="CUSTO COM CHAVEIRO"/>
        <s v="COMISSÃO CHRIS CHINA + IMPOSTO DE RENDA"/>
        <s v="COMPRA DE BOLSAS PEDIDO 321"/>
        <s v="SERVIÇO PRESTADO - ALTERAÇÃO NO CONTRATO SOCIAL FARMEL"/>
        <s v="PGTO DARE-SP ALTERAÇÃO DO CONTRATO SOCIAL"/>
        <s v="TAXA DA JUCESP PARA ALTERAR CONTRATO SOCIAL"/>
        <s v="ADIANTAMENTO DO VR DA PRISCILA PARA STRATAR O NOVO CARTA VR"/>
        <s v="SERVIÇO DE CONTABILIDADE EUA REEMBOLSO C6"/>
        <s v="COMPRA DE CADEIRAS - REEMBOLSO C6"/>
        <s v="COMPRA INTERFONE - REEMBOLSO C6"/>
        <s v="REEMBOLSO CARTAO C6"/>
        <s v="CPFL"/>
        <s v="PGTO DE FRETE PARA CLIENTE"/>
        <s v="SOFTWARE DE IMPORTAÇÃO"/>
        <s v="FITAS EMBALAGEM ETIQUETA"/>
        <s v="GALÃO DE ÁGUA"/>
        <s v="MATERIAL DE LIMPEZA"/>
        <s v="LEITE CAFE E BOLACHA"/>
        <s v="Sabonete e Essencia Sala Mesanino"/>
        <s v="INSERIDO CREDITO PARA FRETES"/>
        <s v="COMPRA CERTIFICADO DIGITAL A1 FARMEL "/>
        <s v="COMPRA DE MERCADORIA PARA REVENDA"/>
        <s v="CONSUMO VARIADOS"/>
        <s v="BOLO"/>
        <s v="Açucar"/>
        <s v="papel higienico e saco de lixo"/>
        <s v="copia de chaves"/>
        <s v="BORRACHA PARA VEDAR A PORTA"/>
        <s v="PGTO P/ MAX DO PET PASSEI CARTAO ERRADO"/>
        <s v="CUSTO COM VPN"/>
        <s v="COMPRA DE BOLSAS PARA REVENDA PEDIDO 322"/>
        <s v="COMPRA DE PRODUTOS PARA REVENDA"/>
        <s v="TARIFA POR RETIRAR CHEQUES"/>
        <s v="REEMBOLSO PEDAGIO"/>
        <s v="SALARIO + BOLSA FAMILIA DE R$ 62,04"/>
        <s v="13º Salário 1ª Parc"/>
        <s v="13º Salário 1ª Parc Por Fora"/>
        <s v="Salário Priscila Zag Farmel, com dedução do INSS e somado 2 bolsa família (R$62,04/filho)"/>
        <s v="SERVIÇO PRESTADO"/>
        <s v="COMPRA DE BOLSAS PEDIDO 321 - cheque 850036"/>
        <s v="ASSINATURA BLING SINCE"/>
        <s v="APORTE PARA EMPRESA MF IMPORT"/>
        <s v="PGTO DE IMPOSTOS REF CHEGADA DE IMPORTAÇÃO"/>
        <s v="PGTO DE SERVIÇOS LOGISTICOS REF A CHEGADA DA IMPORTAÇÃO"/>
        <s v="DIFERENÇA LOGISTICA REF IMPORTAÇÃO"/>
        <s v="SERVIÇOS TERCEIROS"/>
        <s v="PGTO DE DIVIDA ATIVA REF PLANO DE SAUDE NOTREDAME"/>
        <s v="SEGURO DE CARGA IMPORTAÇÃO"/>
        <s v="REFERENTE AO PEDIDO 324 BOLETO FOB ESTA NO BLING"/>
        <s v="REFERENTE AO PEDIDO 324 BOLETO DA SINCE ESTA NO BLING"/>
        <s v="VALE NATAL FUNCIONARIOS"/>
        <s v="AJUDANTE DESCARREGOU CAMINHÃO"/>
        <s v="OUTROS SERVIÇOS PRESTADOS"/>
        <s v="JUROS FINIMP CONTRATO 2023122000000059 - juros USD 1271,49"/>
        <s v="JUROS FINIMP CONTRATO 20240328000000696 - juros USD 1679,60"/>
        <s v="IMPOSTO DE RENDA SOBRE OS JUROS DO FINIMP"/>
        <s v="TARIFAS SOBRE JUROS EM $ DO FINIMP"/>
        <s v="13º Salário 2ª Parc"/>
        <s v="BOLACHA, CAFE, AÇUCAR ETC"/>
        <s v="COMPRA DE BOLHA E OUTROS"/>
        <s v="FITA ETIQUETA DE ENVIO"/>
        <s v="PLASTICO BOLHA"/>
        <s v="CABO PARA PC"/>
        <s v="FRETE DE ENVIO DE PEDIDOS NO PONTO DE COLETA ML"/>
        <s v="SISTEMA AVANT PRO DO SHOPEE"/>
        <s v="Acessorios para manutenção das portas e janelas"/>
        <s v="credito por compras canceladas"/>
        <s v="INSS 13º"/>
        <s v="SERVIÇO DE FREELA 1 DIA E MEIO"/>
        <s v="SERVIÇO DE FREELA 1 DIA + LILI"/>
        <s v="CAMBIO DE COMPRA CHINA + COM PREST GAR INTERNACION"/>
        <s v="13º Salário 2ª Parc Por Fora"/>
        <s v="COMPRA DE PRODUTOS PARA REVENDA BOL EVER SREV"/>
        <s v="FERIAS E RECISÃO"/>
        <s v="COMPRA DE PRODUTOS PARA REVENDA BOL CLINK"/>
        <s v="SEGURO PREDIAL"/>
        <s v="ANOTAÇÃO PROVISÓRIA DEBIT"/>
        <s v="CUSTO COM VPN CARTAO 9356 REEMBOLSO INTER"/>
        <s v="COMPRA DE BOLSAS PARA REVENDA PEDIDO 322 CHEQUE 850039"/>
        <s v="COMPRA DE BOLSAS ENTRADA REF PEDIDO 325"/>
        <s v="DIFAL REF COMPRA DA CLINK BOLETO LANÇADO NO BLING"/>
        <s v="ST REF COMPRA DA CLINK BOLETO LANÇADO NO BLING"/>
        <s v="COMPRA DE BOLSAS PEDIDO 321 - cheque 850037"/>
        <s v="PGTO DE CHEGADA NAVIO FARMEL"/>
        <s v="juros de mora"/>
        <s v="REEMBOLSO PRESENTES P/ CRIANÇAS DOS FUNCIONARIOS"/>
        <s v="PAGUEI BOL VENC MES 12 PORQ MES 12 PAGUEI A DO MES 01 ERRADO"/>
        <s v="IPVA VEICULO"/>
        <s v="SERVIÇOS PRESTADOS"/>
        <s v="CAPITAL DE GIRO PEAC FGI PARC FIXA R$ 2708,33 + JUROS"/>
        <s v="ARMAZENAGEM NO PORTO REF IMPORTAÇÃO RECEBIDA"/>
        <s v="RECLAMAÇÃO DO CLIENTE DEVOLVIDO VL VENDA ML FARMEL 2000006995263831"/>
        <s v="PEDIDO Nº 331"/>
        <s v="PGTO DO DAS"/>
        <s v="Boleto no Bling"/>
        <s v="SACO DE EMBALAGEM"/>
        <s v="PANETONE CASTELLI GERENTE DA CONTA FARMEL DO BB"/>
        <s v="SISTEMA DE COTAÇÃO DE LOGISTICA E CUSTOS DE IMPORTAÇÃO"/>
        <s v="ALMOÇO CONFRATERNIZAÇÃO"/>
        <s v="MANUTENÇÃO VEICULO"/>
        <s v="SACO BOLHA"/>
        <s v="PRODUTOS DE MERCADO AÇUCAR CAFE ETC"/>
        <s v="PRODUTOS DE LIMPEZA E HIGIENE"/>
        <s v="PANETONES PARA FUNCIONARIOS E FORNECEDORES"/>
        <s v="FITA, ETIQUETA ETC"/>
        <s v="COMBUSTÍVEL"/>
        <s v="FRETE DE ENVIO DOS BRINDES"/>
        <s v="SACO PRESENTE + FITA"/>
        <s v="FRETE ENVIO DE BRINDE PARA FORNECEDORES"/>
        <s v="MANUTEÇÃO PC LOGISTICA"/>
        <s v="MERCADO"/>
        <s v="FRETE ENVIO DE PRODUTOS FORNECEDOR"/>
        <s v="ENVIO DE BRINDE"/>
        <s v="SAQUINHO PARA PRODUTOS"/>
        <s v="PEÇAS PARA MANUTENÇÃO"/>
        <s v="REFEIÇÃO FREELANCE"/>
        <s v="COMPRA DE DOMINIO FARMEL IMPORT DOS EUA"/>
        <s v="EMAIL COM O DOMINIO FARMEL IMPORT EUA"/>
        <s v="VASSOURA"/>
        <s v="FITA, EMBALAGEM SULFITE ETC"/>
        <s v="REFEIÇÃO FUNCIONARIOS E FREELANCER"/>
        <s v="porta sabonete liquido e material usado na vedação "/>
        <s v="REFEIÇÃO FREELANCER VITOR"/>
        <s v="2 DIARIAS DE FREELANCER CHEGADA DO NAVIO"/>
        <s v="COMPRA DE BOLSAS PARA REVENDA PEDIDO 322 CHEQUE 850040"/>
        <s v="SEGURO PREDIAL BOL NO BLING"/>
        <s v="JUROS DE MORA NÃO IDENTIFICADO"/>
        <s v="FRETE DAS MANTAS"/>
        <s v="TARIFA DE PIX"/>
        <s v="DIFAL SOBRE COMPRA DE MERCADORIA BOLETO NO BLING"/>
        <s v="ALMOÇO FORNECEDOR GABI CONLINE AGENTE DE CARGO REEMBOLSO CARTAO INTER"/>
        <s v="TROCA BATERIA DE CARRO REEMBOLSO CARTAO INTER"/>
        <s v="SERVIÇO DE CONTABILIDADE EUA REEMBOLSO INTER"/>
        <s v="COMPRA DE BOLSAS PEDIDO 325 CHEQ Nº 850042"/>
        <s v="COM PREST GAR INTETRNACION - REFERENTE AO PGTO PARA CHINA"/>
        <s v="CAMBIO"/>
        <s v="REEMBOLSO REFEIÇÃO EVENTO IMPORTADORES "/>
        <s v="COMPRA DE BOLSAS PEDIDO Nº 330"/>
        <s v="REEMBOLSO PARA DEVIDO PAGAMENTO DE PEDAGIO"/>
        <s v="IMAC REEMBOLSO CARTAO ALEXANDRE IRMÃO LARI"/>
        <s v="IPVA MOTO - TRANSFERI VALOR DA SINCE PARA O C6 AGENDEI PARA DIA 20 CONFERIR DE DEBITOU"/>
        <s v="CPFL PAGO PELO ML SINCE"/>
        <s v="EMBALAGEM DE TESTE"/>
        <s v="PAGUEI NA SINCE PARA TER $$ PARA PAGAR O FINIMP NO BB"/>
        <s v="PGTO DAS"/>
        <s v="EMBALAGEM PARA TESTE"/>
        <s v="COMPRA MATERIAL DE EXPEDIENTE"/>
        <s v="PUXAR BOLETO NO SITE SAAE"/>
        <s v="FITA"/>
        <s v="COMPRA DE BISCOITO E MARGARINA"/>
        <s v="SISTEMA DE PESQUISA EUA 49$ APROXIM R$ 300"/>
        <s v="REFEIÇÃO DO FREELANCER VITOR"/>
        <s v="COMPRA DE BOLHA "/>
        <s v="CAFE DOLCE GUSTO"/>
        <s v="FRETE PARA ENVIO DE PRODUTO PARA CLIENTE "/>
        <s v="COMPRA DE ACESSORIOS DE TI ADAPTADOR E CABO HDMI"/>
        <s v="COMPRA DE EQUIPAMENTO PARA EXPEDIÇÃO"/>
        <s v="FRETE ENVIO DE PÇS PARA CLIENTE RMA"/>
        <s v="COMPRA DE BOLHA  FITA E ROLO FILM"/>
        <s v="REFEIÇÃO JANTAR FEIRA AB CASA"/>
        <s v="CUSTO DE FRETE DE VENDAS NA AMAZON"/>
        <s v="ENVIO NA COLETA DO ML"/>
        <s v="IOF - COMPRA NO EXTERIOR REFERENTE AO JUGLESCOULT"/>
        <s v="SACO DE EMBALAGEM PARA EXPEDIÇÃO"/>
        <s v="FRETE VENDA CLIENTE"/>
        <s v="Emprestimo FINIMP - CONTRATO Nº 20231220000000059 PARA PAGAMENTO CUSTOS LOCAIS - TOTAL US$ 13.139,05&#10;*LIGAR PARA O BANCO DIA 19/12, PARA FECHAR O CAMBIO NOMINAL: USD 13.139,95 JUROS : USD 1271,49"/>
        <s v="Contrato De Cambio Importação"/>
        <s v="Tar Unica contr IMport"/>
        <s v="Tar Unic Cambio Import"/>
        <s v="retenção Imposto de renda"/>
        <s v="SEGURO PREDIAL BOLETO ANEXO NO BLING"/>
        <s v="MULTA CARRO PEGAR BOLETO NO APP"/>
        <s v="PEDIDO DE COMPRA Nº 331 CHEQUE Nº 850045"/>
        <s v="PEDIDO DE COMPRA Nº 329 BOLETO DA CLINCK NO BLING"/>
        <s v="PEDIDO DE COMPRA Nº 329 BOLETO FOB NO BLING"/>
        <s v="FRETE ENVIO DE PEÇA P/ CLIENTE"/>
        <s v="COMPRA DE MANTAS PEDIDO Nº 332 BOLETO JA AGENDADO NO BB"/>
        <s v="REEMBOLSO CARTAO INTER UBER NA FEIRA"/>
        <s v="PGTO IRENE COMISSAO + FRETE INTERNO CHINA - OPERAÇÃO DE CAMBIO"/>
        <s v="exame demissional adriane"/>
        <s v="SEGURO DE CARGA DE IMPORTAÇÃO $40 BOLETO ESTA NO BLING"/>
        <s v="RECISÃO SAIDA DE FUNCIONÁRIA PAGAMENTO POR FORA"/>
        <s v="SERVIÇO FREELANCER 2 DIAS 1 DIA 8H E 1 DIA 5H - R$ 12,50/H"/>
        <s v="COMPRA DE BOLSAS PARA REVENDA PEDIDO 322 CHEQUE 850041"/>
        <s v="COMPRA DE BOLSAS PEDIDO Nº 330 CHEQ: 850048"/>
        <s v="RECISÃO SAIDA DE FUNCIONÁRIA"/>
        <s v="ADIANTAMENTO "/>
        <s v="BOLETO ESTA NO BLING PEDIDO DE COMPRA 343"/>
        <s v="ADIANTAMENTO"/>
        <s v="BOLSAS PEDIDO 340 - (TROCAMOS O CHEQUE 850055 PELO PIX)"/>
        <s v="SERVIÇO FREELANCER"/>
        <s v="BOLSAS PEDIDO 340 - CHEQUE Nº 850056"/>
        <s v="ASSINATURA MELI + FARMEL"/>
        <s v="ESTACIONAMENTO VILA DON PATO ENCONTRO PROFISSIONAL"/>
        <s v="CONSUMO NO HOTEL"/>
        <s v="REFEIÇÃO ELAINE/LARI"/>
        <s v="ESTACIONAMENTO HOTEL"/>
        <s v="REFEIÇÃO ELAINE/LARI DON PATO SAO ROQUE"/>
        <s v="ESTADIA PARA FEIRA HOTEL PLAZA INN SMALL TOWN"/>
        <s v="COMPRA DE EMBALAGEM E FITA PARA EXPEDIÇÃO"/>
        <s v="PRODUTOS DE LIMPEZA, COZINHA E BANHEIRO"/>
        <s v="ROLO DE STRECH FILM + 4 BOLHAS"/>
        <s v="ENVIO DE PEÇA QUE CHEGOU FALTANDO PARA CLIENTE"/>
        <s v="FITA ADESIVA MATERIAL DE EXPEDIÇÃO"/>
        <s v="GRAFITE PARA CADEADO"/>
        <s v="LAVAGEM DE CARRO"/>
        <s v="RENOVAÇÃO REGISTRO DE MARCA"/>
        <s v="FERRAMENTA DE PESQUISA"/>
        <s v="TRANSLADO FEIRA ABCASA"/>
        <s v="TRANSLADO LARI/ELAINE"/>
        <s v="IOF DE COMPRA INTERNACIONAL DO SISTEMA JUNGLE SCOUT"/>
        <s v="SEGURO PREDIAL/MERCADORIA"/>
        <s v="Diarista Faxina"/>
        <s v="RETIRADA LARISSA R$ 92,26 / ELAINE R$ 92,26"/>
        <s v="EMPRESTIMO PARA EMPRESA FARMEL"/>
        <s v="SISTEMA DE ALARME "/>
        <s v="Emprestimo FINIMP - CONTRATO FINIMP Nº 202403210000000806 ( 20240328000000696) PARA PAGAMENTO CUSTOS LOCAIS - TOTAL R$ 117.665,44 (NESTE VALOR ESTÁ INCLUSO O VALOR DO JUROS) ARUALZIADO $ 21026,89&#10;*LIGAR PARA O BANCO DIA 10/03, PARA FECHAR O CAMBIO"/>
        <s v="ALVARÁ FARMEL BOLETO ESTA NO BLING"/>
        <s v="ALIMENTAÇÃO FREELA REEMBOLSO C6"/>
        <s v="COMPRA DE BOLSAS PEDIDO 325 CHEQ Nº 850044"/>
        <s v="PRESTAÇÃO DE SERVIÇO MANUTENÇAO PREDIAL"/>
        <s v="COM PREST GAR INTERNAC. (DIFERENÇA DO DOLAR)"/>
        <s v="Tar de processamentoe de cheque"/>
        <s v="PEDIDO DE COMPRA Nº 331 CHEQUE Nº 850046"/>
        <s v="CONTABILIDADE DA FARMEL BOL NO BLING"/>
        <s v="DIFAL REF A PEDIDO DE OCMPRA Nº 329 BOL NO BLING"/>
        <s v="COMPRA DE BOLSAS PEDIDO 325 CHEQ Nº 850043"/>
        <s v="PRONAMPE 2º CONTRATO - PARC FIXA R$ 2165,89 + JUROS"/>
        <s v="RECARGA DE EXTINTORES BOL NO BLING"/>
        <s v="Tarifa GRU do registro de marca"/>
        <s v="FINALIZANDO REGISTRO DA MARCA BOL NO BLING"/>
        <s v="COMPRA DE BOLSA PEDIDO 344 - CHEQUE 850057"/>
        <s v="BOLSAS PEDIDO 340 - CHEQUE Nº 850052"/>
        <s v="PGTO IMPOSTOS PARA LIBERAR NAVIO "/>
        <s v="Tarifa com cheque"/>
        <s v="CONTABILIDADE DA SINCE BOL NO BLING"/>
        <s v="SERVIÇOS DE FREELANCER"/>
        <s v="CUSTOS DA AMAZON PLATAFORMA"/>
        <s v="REFEIÇÃO FREELANCER"/>
        <s v="IOF DEVIDO PGTO DO SISTEMA JUNGLE SCOUT"/>
        <s v="ENVIO DE MERCADORIA"/>
        <s v="SISTEMA "/>
        <s v="POSSIVEL FRAUDE ANALISANDO COM O BANCO"/>
        <s v="ALMOÇO VITOR FREELANCER"/>
        <s v="COMPRA DE MATERIAL DE LIMPEZA E COZINHA"/>
        <s v="EMBALAGEM PARA EXPEDIÇÃO"/>
        <s v="FITA FRAGIL, FITA TRANSPARENTE E PARDA E ETIQUETA DE ENVIO"/>
        <s v="BOLHA E STRECH"/>
        <s v="CABO DE ENERGIA NOTEBOOK"/>
        <s v="TENDA PARA GARAGEM"/>
        <s v="CAPOTA MARITIMA PARA CAÇAMBA DO CARRO"/>
        <s v="marmita para freelance"/>
        <s v="PEÇA DE CONSERTO DO CARRO"/>
        <s v="FOLHAGEM ARTIFICIAL"/>
        <s v="PARAFUSADEIRA ELETRICA PARA MANUTENÇÃO"/>
        <s v="DECORAÇÃO PARA AREA DOS COLABORADORES"/>
        <s v="GRAMADO PARA AREA COLABORADORES"/>
        <s v="PGTO RESALE CERTIFICATE EUA"/>
        <s v="ALMOÇO FREELANCER VITOR"/>
        <s v="NAFTALINA"/>
        <s v="ENFEITES"/>
        <s v="UBER FRETE ENVIO DE PEDIDOS NO PONTO DE COLETA"/>
        <s v="PRODUTOS DE JARDINAGEM"/>
        <s v="boleto no site saae"/>
        <s v="boleto no email"/>
        <s v="PRONAMPE 1º CONTRATO - PARCELA FIXA R$ 2571,88 + JUROS"/>
        <s v="DAS BOLETO NO BLING"/>
        <s v="DESCONTO DE R$ 29,52 DE 1/8"/>
        <s v="ME VENDEU UM COLETOR DE CODIGO DE BARRAS"/>
        <s v="SERVIÇO PRESTADO 1 Dia Inteiro + 4h30min +4h R$ 12,50/H"/>
        <s v="FRETE ENVIO DE PEÇA PARA CLIENTE"/>
        <s v="FRETE MARITIMO BOL NO BLING"/>
        <s v="REEMBOLSO CARTAO C6 SERVIÇO DE MARKETING AMAZON EUA"/>
        <s v="REEMBOLSO CARTÃO C6"/>
        <s v="SALDO REMANECENTE REFEFRENTE A CHEGADA DO NAVIO"/>
        <s v="FRETE DE IMPORTAÇÃO"/>
        <s v="CONTABILIDADE DA FARMEL BOLETO NO BLING"/>
        <s v="SERVIÇO FREELANCER 1 DIA"/>
        <s v="PGTO DE DIFAL BOL NO BLING"/>
        <s v="SERVIÇO FRRELANCE 1 DIA E 2 MEIO DIA "/>
        <s v="COMPRA DE CUBOS DE ISOPOR 4 PACOTES APROXIM 1000L"/>
        <s v="COMPRA DE BOLSAS PEDIDO Nº 330 CHEQ: 850050 P/ 05/05"/>
        <s v="BOLSAS PEDIDO 340 - CHEQUE Nº 850053 P/ 05/05"/>
        <s v="PEDIDO DE COMPRA Nº 331 CHEQUE Nº 850047 - para 16/04"/>
        <s v="COMPRA DE BOLSA PEDIDO 344 - CHEQUE 850058 PARA 02/05"/>
        <s v="SERVIÇO FRRELANCE 2 DIAS"/>
        <s v="DAS FARMEL BOLETO NO BLING"/>
        <s v="DAS SINCE  BOLETO NO BLING"/>
        <s v="REEMBOLSO DA PARC 1 POR FRAUDE"/>
        <s v="COMPRA DE EQUIPAMENTO PARA EXPEDIÇÃO PARC 3/6 NO MES 04 NÃO FOI COBRADA"/>
        <s v="BOLHA E FITA PARA EXPEDIÇÃO"/>
        <s v="CUSTO COM FRETE"/>
        <s v="REPOSIÇÃO LUMINARIAS"/>
        <s v="PUFF AREA EXTERNA"/>
        <s v="FITA EMBALAGEM ETIQUETAS"/>
        <s v="FERRAMENTA"/>
        <s v="ALMOÇO FUNCIONARIOS DEVIDO CHEGADA IMPORTAÇÃO"/>
        <s v="ENVIO DE PEDIDO NO PONTO DE COLETA"/>
        <s v="COMPRA DE CAFE BOLACHA ETC"/>
        <s v="PLATAFORMA DE IA $50"/>
        <s v="ENVIO DE PEDIDO NA COLETA"/>
        <s v="MANGUEIRA DE AGUA PARA LIMPEZA"/>
        <s v="PEÇA DE REPOSIÇÃO DO VEICULO"/>
        <s v="CAFE E LEITE"/>
        <s v="ENVIO DE PEDIDOS NA COLETA ML"/>
        <s v="SERVIÇO PRESTADO SR ABDIAS (PASSADO NO ML DA ELAINE)"/>
        <s v="IOF SOBRE COMPRA INTERNACIONAL (COMPRA DE SISTEMA)"/>
        <s v="CREDITO COMPRA DEVOLVIDA"/>
        <s v="REFEIÇÃO DO FREELANCER"/>
        <s v="REGADOR DE PLANTAS (COMPRADO NA CONTA DA ELAINE)"/>
        <s v="ESTACIONAMENTO FEIRA "/>
        <s v="ENVIO DE PEDIDOS NO PONTO DE COLETA"/>
        <s v="REEMBOLSO DA PARC 2 POR FRAUDE"/>
        <s v="REEMBOLSO DE DEVOLUÇÃO"/>
        <s v="PEDAGIO FEIRA SP"/>
        <s v="RECOB 01/03-PAYPAL JCP FAS Sao P BR FRAUDE VERIF C/ BANCO"/>
        <s v="RECOB 02/03-PAYPAL JCP FAS Sao P BR FRAUDE  VERIF C/ BANCO"/>
        <s v="PAYPAL JCP F PARC Sao Paulo Parcela 02/03 BR COMPRA FRAUDADA VERIF C/ BANCO"/>
        <s v="PAGOU PARC 2/8 DE R$ 29,54"/>
        <s v="EMPRESTIMO FUNCIONARIA CONSULTA MEDICA DO FILHO"/>
        <s v="COMPRA DE BOLSAS PEDIDO Nº 356 - CHEQ.850062 PARA 23/05"/>
        <s v="CUSTOS COM DOCUMENTOS"/>
        <s v="PLACA DA MOTO DA EMPRSA"/>
        <s v="SERVIÇO PRESTADO (CONCERTO DE PRODUTO)"/>
        <s v="DIFAL"/>
        <s v="AVANT PRO"/>
        <s v="CONTA DE EMAIL - BOLETO CHEGA POR EMAIL"/>
        <s v="SERVIÇO PRESTADO CONCERTO DA TENDA"/>
        <s v="SERVIÇO DE TRADING CHINA - CUSTOS DE IMPORTAÇÃO"/>
        <s v="COMPRA DE BOLSA PEDIDO Nº 371 - CHEQUE.850069"/>
        <s v="INSTALAÇÃO DE INSULFILM NA PORTA DA EMPRESA"/>
        <s v="COMPRA DE BOLSA PEDIDO 344 - CHEQUE 850059 - PARA 02/06"/>
        <s v="COMPRA DE BOLSAS PEDIDO Nº 330 CHEQ: 850049 - para 5/04"/>
        <s v="COMPRA DE BOLSAS PEDIDO Nº 356 - CHEQ.850061 - PARA 23/04"/>
        <s v="CAMBIO - REFERENTE AO FINIMP EXTENDIDO"/>
        <s v="COM PREST GAR INTERNACION - REFERENTE AO FINIMP EXTENDIDO"/>
        <s v="BOLSAS PEDIDO 340 - CHEQUE Nº 850054 P/ 05/06"/>
        <s v="PGTO PRODUTOS CHINA FOB NA CONTA LARISSA"/>
        <s v="PGTO PRODUTOS CHINA FOB NA CONTA ELAINE"/>
        <s v="PGTO PRODUTOS CHINA EUA NA CONTA LARISSA"/>
        <s v="PGTO PRODUTOS CHINA EUA NA CONTA ELAINE"/>
        <s v="PRODUTOS DE JARDINAGEM A PARC 2/3 NÃO COBROU NO MES 5"/>
        <s v="PRODUTOS DE JARDINAGEM PARC 2 NAO COBROU NO MES 5"/>
        <s v="COMPRAS DE CAFE BOLACHA PRODUTO LIMPEZA"/>
        <s v="CABO DE ENERGIA E LUMINARIA"/>
        <s v="COMPRA DE TONER PARA IMPRESSORA"/>
        <s v="PAGAMENTO DO CERTIFICAOD DIGITAL SINCE"/>
        <s v="BOLO ANIVERSARIO FUNCIONARIO THIAGO"/>
        <s v="SALGADINHO ANIVERSARIO FUNCIONARIO THIAGO"/>
        <s v="PRATINHOS GARFINHOS REFRIGERANTE NIVRE FUNCIONARIO THIAGO"/>
        <s v="BOLHA E PROD DE LIMPEZA"/>
        <s v="BOLO ANIVERSARIO FUNCIONARIO"/>
        <s v="SALGADINHOS ANIVERSÁRIO FUNCIONARIO"/>
        <s v="EMPRESTIMO FUNCIONARIA EXAME DO FILHO"/>
        <s v="COMPRA DE FITA PARA EXPEDIÇÃO"/>
        <s v="REFRIGERANTE ANIVERSÁRIO FUNCIONÁRIO"/>
        <s v="FRETE PARA ENVIO DE PEÇA DE REPOSIÇÃO PARA CLIENTE"/>
        <s v="COMPRA DE PRODUTOS CHINA FOB LARISSA WISE REEMBOLSO"/>
        <s v="COMPRA DE PRODUTOS IMPORTAÇÃO CHINA"/>
        <s v="ENVIO DE PEDIDO NA COLETA ML"/>
        <s v="SEGURO PELA YELLUM DO VEICULO USADO PELA EMPRESA"/>
        <s v="ESTOR 01/03-PAYPAL JCP FAS - DEVOLUÇAO DEVIDO FRAUDE"/>
        <s v="ESTOR 02/03-PAYPAL JCP FAS - DEVOLUÇAO DEVIDO FRAUDE"/>
        <s v="ESTOR 03/03-PAYPAL JCP FAS - DEVOLUÇAO DEVIDO FRAUDE"/>
        <s v="DESC DA PARC DE COMPRA DE R$ 29,54"/>
        <s v="REMBOLSO CARTAO C6 ASSIN. DO SISTEMA DE PESQUISA DE PRODUTOS 49$"/>
        <s v="ASSINT DE PLAT IA 19$ (FEITO NO C6 FAZER REEMBOLSO)"/>
        <s v="ASSIN. PLATAFORMA DE IA $19 COMPRADO NO CARTAO C6 REEMBOLSAR"/>
        <s v="ASSIN. PLATAFORMA BX VIDEO $4,99 COMPRADO NO CARTAO C6 REEMBOLSAR"/>
        <s v="ACRESCENTOU UMA ARTE NA CAIXA DO PRODUTO"/>
        <s v="COMPRA DE BOLSAS PEDIDO 369 - CHEQUE.850065 PARA 26/05"/>
        <s v="COMPRA DE BOLSAS PEDIDO 321 - cheque 850038 - PARA 06/02"/>
        <s v="COMPRA DE BOLSAS PEDIDO 375 CHEQUE Nº 850073 PARA 26/06"/>
        <s v="COMPRA DE CARRINHO PARA EXPEDIÇÃO"/>
        <s v="taxas bancárias"/>
        <s v="GRU REFERENTE A RECURSO REGISTRO DE MARCA"/>
        <s v="GRU REFERENTE A DESISTENCIA DE LINHA DE PRODUTO DO REGISTRO DE MARCA"/>
        <s v="COMPRA DE BOLSAS PEDIDO 369 - CHEQUE.850066 PARA 26/06"/>
        <s v="COMPRA DE BOLSA PEDIDO Nº 371 - CHEQUE.850070 PARA 07/07"/>
        <s v="SERVIÇO DE EXPEDIÇÃOFRRELANCE"/>
        <s v="COMISSÃO SERVIÇO PRESTADO NA CHINA"/>
        <s v="COMISSÃO TRADE CHINA PRODUTOS EUA"/>
        <s v="PLACA INFORMATIVA DA CAMPAINHA"/>
        <s v="FERIAS DE 15D"/>
        <s v="ENTROU DE FERIAS"/>
        <s v="COMPRA DE BOLSA PEDIDO 344 - CHEQUE 850060 PARA 02/07"/>
        <s v="VASO DE PLANTAS PARA SALA ESCRITORIO"/>
        <s v="Cartão VISA - PLATAFORMA DE MARKETING ONLINE - ATUALIZAR CARTAO NO CANVA"/>
        <s v="PRODUTOS DE LIMPEZA PARA PC E IMPRESSORA"/>
        <s v="AVANTPRO ML"/>
        <s v="BOLHA E STRECH FILM (SOMAR O VALOR COM A LINHA 1950)"/>
        <s v="PRODUTO DE LIMPESA (SOMAR O VALOR COM A LINHA 1949)"/>
        <s v="THINER PARA LIMPAR A IMPRESSORA"/>
        <s v="SUPORTE PARA GRAVAR VIDEOS DE PRODUTOS"/>
        <s v="EMBALAGEM PARA EXPEDIÇÃO - COMPRADO NO ML DA ELAINE"/>
        <s v="BISCOITO MANTEIGA PRODUTOS DE MERCEARIA"/>
        <s v="ENVIO DE PEDIDO NO COLETA ML"/>
        <s v="Apoio para os pés"/>
        <s v="APARELHO CELULAR PARA O CHIP DOS EUA"/>
        <s v="CONSERTO DE MAÇANETA DA PORTA"/>
        <s v="REFEIÇÃO FREELANCE VITOR"/>
        <s v="REVISÃO VEICULO USADO PELA EMPRESA"/>
        <s v="COPIAS DE CHAVE"/>
        <s v="REFEIÇÃO VITOR"/>
        <s v="ENVIO DOS PEDIDOS NO COLETA ML"/>
        <s v="PÃO PARA EQUIPE"/>
        <s v="REEMBOLSO DE COMPRA CANCELADA"/>
        <s v="DESC DE R$ 42,44 REFERENTE A PRODUTOS"/>
        <s v="CREDITOS ADICIONAIS COM A PLATAFORMA AMZ DOWLOADER REEMBOLSO C6"/>
        <s v="COMPRA DE GTIN EUA BARCODE DE PRODUTO $60 REEMBOLSO CARTÃO C6"/>
        <s v="PGTO SALES TAX REF MES DE JULH E OUT REEMBOLSO C6"/>
        <s v="SISTEMA PROCURA DE PRODUTOS REEMBOLSO C6"/>
        <s v="CUSTO COM A AMAZON EUA REEMBOLSO C6"/>
        <s v="COMPRA DE BOLSAS PEDIDO Nº 356 - CHEQ.850063 PARA 23/06"/>
        <s v="SERVIÇO FRRELANCE 3 DIAS VITOR"/>
        <s v="SERVIÇO FREELANCE 3 DIAS VITOR"/>
        <s v="LICENCIAMENTO CARRO - PUXAR BOLETO NO BANCO COM O RENAVAN "/>
        <s v="PGTO DO RESTANTE DA IMPORTAÇÃO DA CHINA PAGO PELA OZ CORRETORA DE CAMBIO SA"/>
        <s v="COMPRA DE BOLSAS PEDIDO 375 CHEQUE Nº 850074 PARA 28/07"/>
        <s v="COMPRA DE BOLSA PEDIDO Nº 371 - CHEQUE.850071 PARA 05/08"/>
        <s v="DESCONTO DE COMPRAS R$ 42,44"/>
        <s v="PEDAGIO PARA FEIRA ABCASA EM SP"/>
        <s v="ENVIO DE PEDIDOS NO COLETA ML"/>
        <s v="PLASTICO BOLHA STRECH PARA EXPEDIÇÃO"/>
        <s v="COMPRAS DE COZINHA MERCADO"/>
        <s v="MATERIAL PARA EXPEDIÇÃO FITA ETIQUETA "/>
        <s v="INSERI CREDITOS PARA EMISSÕES DE ETIQUETAS NO MELHOR ENVIO"/>
        <s v="PLATAFORMA DE MARKETING ONLINE"/>
        <s v="COMPRA DE EMBALAGEM PARA EXPEDIÇÃO"/>
        <s v="EMBALAGEM BOLHA PARA EXPEDIÇÃO"/>
        <s v="BOLHA PARA EMBALAGEM EXPEDIÇÃO"/>
        <s v="COMPRA PC PARA OPERAÇÃO"/>
        <s v="ENVIO DE VENDAS PARA O PONTO DE COLETA ML"/>
        <s v="COMPRA DE BOLSAS PEDIDO Nº 376 - CHEQUE: 850084 PARA 04/08"/>
        <s v="COMPRA DE BOLSAS PEDIDO Nº 356 - CHEQ.850064 PARA 23/07"/>
        <s v="COMPRA DE BOLSAS PEDIDO 369 - CHEQUE.850067 PARA 28/07"/>
        <s v="PGTO SALES TAX REF MES DE JULH E OUT REEMBOLSO C6 EUA "/>
        <s v="AMAZON DOWNLOADER SISTEMA REEMBOLSO CARTÃO C6"/>
        <s v="SISTEMA DE IA APROX 20$ REEMBOLSO CARTAO C6"/>
        <s v="COMBUSTIVEL REEMBOLSO CARTAO C6"/>
        <s v="TELEFONES MÓVEL COMERCIAL dia 25/08 pg 174,69 dia 01/09 pg 43,96"/>
        <s v="COBRNÇA DE CHEQUE SEM FUNDO"/>
        <s v="TARIFA CHEQUE COMPENSADO"/>
        <s v="FERIAS PAGO COM CHEQUE Nº 850087"/>
        <s v="CONTA DE EMAIL - BOLETO CHEGA POR EMAIL - LANÇAR PGTO NO PROX MES SE NECESSÁRIO"/>
        <s v="DIFAL SOBRE COMPRA BOLETO NO BLING"/>
        <s v="LICENCIAMENTO MOTO - PUXAR BOLETO NO BANCO COM O RENAVAN "/>
        <s v="COMPRA DE BOLSA PEDIDO 377 P 02/09"/>
        <s v="PAGO EM CHEQUE Nº 850085"/>
        <s v="TARIFA DE PROCESSAMENTO DE CHEQUE"/>
        <s v="CUSTO COM VPN REEMBOLSO INTER pago meta Larissa metade elaine"/>
        <s v="COMPRA DE BOLSAS PEDIDO 369 - CHEQUE.850068 P/ 26/08"/>
        <s v="IMAC REEMBOLSO CARTAO ALEXANDRE IRMÃO LARI "/>
        <s v="PAGAMENTO DE PENDENCIA NA PLATAFORMA"/>
        <s v="PGTO 5 DIAS POR FORA - FEITO NA CC DA JESSICA "/>
        <s v="COMPRA DE BOLSA PEDIDO 378"/>
        <s v="ENVIO DE VENDAS PARA COLETA MERCADO LIVRE"/>
        <s v="PEÇA DE REPOSIÇÃO DO VEICULO NO MES 8 NAO COBRARAM A PARC 4/6"/>
        <s v="PRODUTO DE LIMPEZA HIGIENE COZINHA ETC"/>
        <s v="ETIQUETA EMBALAGEM ETC"/>
        <s v="COMBUSTIVEL FEIRA ABCASA"/>
        <s v="STRECH BOLHA PARA EXPEDIÇÃO"/>
        <s v="ESTACIONAMENTO FEIRA ABCASA"/>
        <s v="ESTACIONAMENTO NO HOTEL IBIS DEVIDO FEIRA ABCASA"/>
        <s v="REFEIÇÃO VIAGEM FEIRA ABCASA"/>
        <s v="ESTACIONAMENTO NO RESTAURANTE FEIRA ABCASA"/>
        <s v="HOTEL FEIRA ABCASA"/>
        <s v="ETIQUETA DE ENVIO COMPRADO NA CONTA DA ELAINE"/>
        <s v="CLIMATIZADOR DE AR"/>
        <s v="ENVIO DE VENDA O PONTO DE COLETA"/>
        <s v="RIBBON DE ETIQUETA PARA EXPEDIÇÃO"/>
        <s v="ETIQUETAS PARA EXPEDIÇÃO"/>
        <s v="REEMBOLSO DE PRODUTOS"/>
        <s v="DAS FARMEL ALIQUOTA 9,74"/>
        <s v="PROVISIONAMENTO DO DAS SINCE"/>
        <s v="COMPRA DE BOLSA PEDIDO Nº 371 - CHEQUE.850072 P/ 05/09"/>
        <s v="JUROS DO FINIMP CONTRATO Nº XXXX"/>
        <s v="TARIF DE TRANSAÇÃO DE CONTRATO DE IMPORTAÇÃO"/>
        <s v="IMPOSTO DE RENDA SOBRE TARIFA DE IMPRTAÇÃO"/>
        <s v="COMPRA DE BOLSAS PEDIDO 375 CHEQUE Nº 850075 P/ 26/08"/>
        <s v="DESCONTADO R$29,54 REF PARCELA DE COMPRA"/>
        <s v="PGTO SALES TAX EUA REF MES DE JULH E OUT REEMBOLSO C6"/>
        <s v="CONSERTO DE AR CONDICIONADO REEMBOLSAR LARISSA NO C6"/>
        <s v="SISTEMA DE IA REEMBOLSAR LARISSA C6"/>
        <s v="SISTEMA DE BAIXAR IMAGEM REEMBOLSAR LARISSA C6"/>
        <s v="PEDAGIO EVENTO MERCADO LIVRE EM SP"/>
        <s v="TELEFONES MÓVEL COMERCIAL - boleto baixado no pc"/>
        <s v="COMPRA DE AMOSTRA DE PRODUTO DOS EUA"/>
        <s v="COMPRA DE BOLSAS PEDIDO 375 CHEQUE Nº 850076"/>
        <s v="com prest gar intern. referente finimp pgo pra china"/>
        <s v="Cambio ref. pgto para China"/>
        <s v="CERTIFICADO DIGITAL FARMEL"/>
        <s v="IOF DO EMPRESTIMO DO PRONAMPE"/>
        <s v="FINIMP 1º CONTRATO 20240918000000872 FECHADO EM 27/09/2024 *LIGAR PARA O BANCO DIA 24/09, PARA FECHAR O CAMBIO"/>
        <s v="CONTRAT CAMBIO IMPORT. REFERENTE O FINIMP VENC. NO MES 10"/>
        <s v="TARIF UNICA IMPORT TP4 REFERNTE O FINIMP VENC NO MES 10 (vai reembolsar 50%)"/>
        <s v="TARIF UNICA Icambio import REFERNTE O FINIMP VENC NO MES 10 (vai reembolsar 50%)"/>
        <s v="RETENÇÃO DE IMPOSTO DE RENDA REFERENTE AO PGTO DO FINIMP DO MES 10"/>
        <s v="AJUSTE TERMO DE MOEDAS REF. PGTO FINIMP MES 10"/>
        <s v="REEMBOLSO DE SSACO DE LIXO"/>
        <s v="RECEBIMENTO NAVIO "/>
        <s v="EMPRESTIMO PARA EMPRESA M F IMPORT (SINCE) "/>
        <s v="COMPRA DE BOLSAS PEDIDO Nº 376 - CHEQUE: 850078 P/ 03/09"/>
        <s v="COMPRA DE BOLSA PEDIDO 377 - CHEQUE Nº 850081 P/ 29/09"/>
        <s v="AJUDANTE DESCARREGAR CAMINHÃO DE IMPORTAÇÃO"/>
        <s v="SERVIÇO FREELANCE"/>
        <s v="SERVIÇO PRESTADO 2 DIAS"/>
        <s v="SERVIÇO DE FREELANCER"/>
        <s v="SERVIÇO FREELANCER PRESTADO"/>
        <s v="CPFL BOL NO PC"/>
        <s v="DAS FARMEL"/>
        <s v="DAS SINCE"/>
        <s v="REFEIÇÃO EVENTO SP MELI XP LARI/ELAINE"/>
        <s v="COMPRA DE MATERIAS PARA EXPEDIÇÃO E PRODUTOS HIGIENICO"/>
        <s v="PRODUTOS DE COZINHA ALIMENTOS"/>
        <s v="REFEIÇÃO ELAINE E LARI EVENTO ML SP"/>
        <s v="ESTACIONAMENTO EVENTO ML SP"/>
        <s v="COMBUSTIVEL EVENTO ML SP"/>
        <s v="CONSERTO DA JANELA DO BANHEIRO"/>
        <s v="PACOTE OFFICE"/>
        <s v="FITAS PARA EXPEDIÇÃO"/>
        <s v="FITA E PAPEL SULFITE PARA EXPEDIÇÃO"/>
        <s v="COMPRA DE BOLSA PEDIDO"/>
        <s v="SISTEMA DE IA REEMBOLSO C6"/>
        <s v="CUSTOS ARMAZENAGEM EUA REEMBOLSO C6"/>
        <s v="COMPRA DE BOLSAS PEDIDO Nº 376 - CHEQUE: 850079 P/ 03/10"/>
        <s v="SERVIÇO FREELANCER PRESTADO 2 DIAS"/>
        <s v="DESC R$29,54 DE COMPRAS"/>
        <s v="CAFE DA MANHA ELAINE / LARI EVENTO ML SP REEMBOLSO C6 LARI"/>
        <s v="ESTADIA EVENTO ML SP REEMBOLSO C6 LARI"/>
        <s v="UBER EVENTO ML SP REEMBOLSO C6 LARI"/>
        <s v="AMZ DOWNLOADER REEMBOLSO C6"/>
        <s v="TELEFONES MÓVEL COMERCIAL BOL NO PC"/>
        <s v="FRETE DE CONTAINER MARITIMO BOLETO NO PC"/>
        <s v="Emprestimo para Since para pagar Delphi frete navio"/>
        <s v="COMPRA DE BOLSA PEDIDO 377 - CHEQUE Nº 850082"/>
        <s v="COMPRA DE BOLSAS PEDIDO Nº 376 - CHEQUE: 850080"/>
        <s v="FRETE RODOVIARIO BOLETO NO PC (FRETE DO CONTAINER)"/>
        <s v="PEDIDO DE BOLSAS Nº 380 CHEQUE - 850095 "/>
        <s v="ASSOCIAÇÃO DA PRISCILA NO SINDICATO SERA DESC EM FOLHA"/>
        <s v="PGTO DE DIVIDA NA PLATAFORMA MAGALU"/>
        <s v="SERVIÇO 2 DIAS FREELANCE"/>
        <s v="COMPRA DE BOLSA PEDIDO 378 CHEQUE Nº: 850093"/>
        <s v="BOL NO BLING"/>
        <s v="DAS SINCE BOL NO BLING"/>
        <s v="DAS FARMEL BOL NO BLING"/>
        <s v="FITA ISOLANTE"/>
        <s v="MATERIAL DE EXPEDIENTE"/>
        <s v="CAFE DA MANHA"/>
        <s v="EMBALADORA DE STRECH EQUIPAMENTO PARA EXPEDIÇÃO"/>
        <s v="CAVALETE PARA MESA DE EXPEDIÇÃO"/>
        <s v="REPOSIÇÃO DE REMEDIOS DIPIRONA BANDAIDE"/>
        <s v="BOLHA STRECHSACO DE LIXO"/>
        <s v="MANUTENÇÃO DA MOTO EMPRESA"/>
        <s v="RODINHA DE BALCÃO"/>
        <s v="STRECH E BOLHA APRA EXPEDIÇÃO"/>
        <s v="RELOGIO DE PONTO"/>
        <s v="DESCONTEI A ULTIMA PARC DE COMPRA R$ 29,54"/>
        <s v="SERVIÇO 3 DIAS FREELANCE"/>
        <s v="PORTA SACO PARA EXPEDIÇÃO"/>
        <s v="PARAFUSOS E SUPORTE PARA MANUTENÇÃO"/>
        <s v="ASSINATURA MELI MAIS"/>
        <s v="PGTO SALES TAX REF EUA MES DE JULH E OUT REEMBOLSO C6"/>
        <s v="COMPRA PARA PRODUTOS DE COZINHA BANHEIRO LIMPEZA ETC REEMBOLSO LARI C6"/>
        <s v="COMPRA DE ORGANIZADOR E TOALHAS PARA COZINHA REEMBOLSO C6"/>
        <s v="UBER UTILIZADO PELO FREELANCER REEMBOLSO C6"/>
        <s v="CUSTO COM AMAZON EUA REEMBOLSO C6"/>
        <s v="SISTEMA DE PESQUISA REEMBOLSO C6"/>
        <s v="PAGAMENTO COMPRA CHINA BUSINESS IN BOX"/>
        <s v="EXAME ADMISSIONAL DO MAX"/>
        <s v="COMISSÃO TRADING CHINA"/>
        <s v="13º Sálario 1ª Parcela"/>
        <s v="VALE TRANSPORTE"/>
        <s v="PGTO CESTA DE NATAL PARA FUNCIONÁRIOS - REEMBOLSO LARI"/>
        <s v="FREELANCER 1 DIA"/>
        <s v="COMPRA DE BOLSA PEDIDO 377 - CHEQUE Nº 850083 P/ 29/11/25"/>
        <s v="VALE REFEIÇÃO"/>
        <s v="3 Dias de Freelancer"/>
        <s v="PGTO DE EMPRESTIMO REALIZADO NA ABERTURA DA EMPRESA"/>
        <s v="FINIMP 2º CONTRATO 20240918000000872 FECHADO EM 16/12/2024 *LIGAR PARA O BANCO DIA 15/12 PARA FECHAR O CAMBIO $ 7891,76 + R$ 1100,00"/>
        <s v="PEDIDO DE BOLSAS Nº 380 CHEQUE - 850096 Para 10/12"/>
        <s v="TAR UNICA CONTR IMPOR TP4"/>
        <s v="Retenção de imposto de renda sobre o Finimp"/>
        <s v="com prest gar internacion"/>
        <s v="CUSTO DO FULL SINCE (COLETA E ARMAZENAGEM)"/>
        <s v="COMPRA DE BOLSA PEDIDO 378 CHEQUE Nº: 850094"/>
        <s v="PEDIDO DE BOLSAS Nº 381/382 CHEQ 850088 para 11/12"/>
        <s v="13º Sálario 2ª Parcela"/>
        <s v="INSS NSS (13º salário) FARMEL"/>
        <s v="13º salário"/>
        <s v="INSS (13º salário)"/>
        <s v="PCMSO DA FARMEL PIX 17724934819"/>
        <s v="PCMSO DA SINCE PIX 17724934819"/>
        <s v="MATERIAL DE EXPEDIENTE E EXPEDIÇÃO"/>
        <s v="ALMOÇO COM FREELANCE"/>
        <s v="ESTACIONAMENTO"/>
        <s v="COMPRA DE MERCADO PARA COZINHA"/>
        <s v="ROLO PLASTICO BOLHA"/>
        <s v="CARTAO DE NANTAL PARA FUNCIONARIOS"/>
        <s v="ENVIO DE PEDIDOS DE VENDA NO PONTO DE COLETA"/>
        <s v="ALMOÇO FREENLANCE"/>
        <s v="FITA EMBALAGEM PARA EXPEDIÇÃO"/>
        <s v="SEGURO CARGA IMPORTAÇÃO USD$40 (BOLETO NO BLING)"/>
        <s v="TARIF ADIC CHEQUE COMPE"/>
        <s v="DESC DE R$ 18,90 REFERENTE A COMPRA"/>
        <s v="MATERIAL PARA EXPEDIÇÃO STRETCH E BOLHA REEMBOLSO C6"/>
        <s v="uber freelancer reembolso C6"/>
        <s v="CUSTO ARMAZENAGEM AMAZON EUA REEMBOLSO C6"/>
        <s v="CUSTO COM AMAZON ADS REEMBOLSO C6"/>
        <s v="SISTEMA DE BUSCA DE PRODUTO REEMBOLSO C6"/>
        <s v="CUSTO COM AMAZON REEMBOLSO C6"/>
        <s v="DESPESA EXTERNA"/>
        <s v="RESSARCIMENTO TRIB DES"/>
        <s v="SEGURO DE ESTOQUE"/>
        <s v="VALOR CONFERIDO OK"/>
        <s v="SALARIO"/>
        <s v="ALMOÇO CONFRATERNIZAÇÃO REEMBOLSO CARTAO INTER LARI"/>
        <s v="PGTO FREELANCE 1 DIA"/>
        <s v="BOLHA STRECH MATERIAL PARA EXPEDIÇÃO (BOL NO BLING)"/>
        <s v="PAGAMENTO DE IMPOSTOS CHEGADA IMPORTAÇÃO"/>
        <s v="SERVIÇO DE JARDINAGEM"/>
        <s v="FRETE ENVIO DE PEÇA CLIENTE"/>
        <s v="SALDO NO MELHOR ENVIO"/>
        <s v="COMPRA FOGÃO PARA EMPRESA REEMBOLSO MP LARI"/>
        <s v="SERVIÇO DE 1 DIA FREELANCER (DESCARREGOU CAMINHÃO)"/>
        <s v="MANUTENÇÃO PORTÃO"/>
        <s v="1 DIA SERVIÇO FREELANCER"/>
        <s v="PEDIDO DE BOLSAS Nº 380 CHEQUE - 850097 P/12/01"/>
        <s v="PEDIDO DE BOLSAS Nº 381/382 CHEQ 850101 P/12/01"/>
        <s v="IPVA 2026 - PAGAR ENTRANDO NO BANCO"/>
        <s v="IPVA 2026 DA MOTO"/>
        <s v="1 DIA DE FREELA"/>
        <s v="1 DIA DE FREELANCER"/>
        <s v="CONTA DE LUZ"/>
        <s v="FALTA PAGAR O RESTANTE DA IMPORTAÇÃO FRETE RODO E DESPACHANTE AG BOLETO"/>
        <s v="FGTS SINCE"/>
        <s v="SISTEMA DE IA"/>
        <s v="BALANÇA DE PRECISÃO"/>
        <s v="FGTS FARMEL"/>
        <s v="INSS FARMEL"/>
        <s v="BLING FARMEL"/>
        <s v="CHOCOLATE PANETONE E ESPUMANTE PARA FORNECEDORES"/>
        <s v="GUARDA CHUVA PAPEL DE PRESENTE ETC"/>
        <s v="TOLDO PARA PORTA"/>
        <s v="MATERIAL PARA LAZER FUNCIONÁRIOS"/>
        <s v="PRATELEIRAS PARA PRODUTOS"/>
        <s v="MANUTENÇÃO ELETRICA PREDIAL"/>
        <s v="PANELAS PAR COZINHA"/>
        <s v="KIT PARA INSTALAR BOTIJÃO DE GAZ"/>
        <s v="KIT 5 BICOS INJETORES DE GAS PARA CONVERSÃO FOGÃO"/>
        <s v="PEÇA DE MANUTENÇÃO"/>
        <s v="MANUTENÇÃO JARDIM"/>
        <s v="PAPELARIA"/>
        <s v="BALANÇA PARA PESAR PRODUTOS"/>
        <s v="UTENSILIOS PARA COZINHA "/>
        <s v="REPARO E HIGIENICAÇÃO DO VEICULO USADO PELA EMPRES"/>
        <s v="RENOVAÇÃO DE EMAIL E DOMINIO"/>
        <s v="OBRIGAÇÕES DA EMPRESA DOS EUA"/>
        <s v="INSS SINCE"/>
        <s v="ROLO DE BOLHA PARA EXPEDIÇÃO"/>
        <s v="EMBALAGENS"/>
        <s v="PORTA PALLETS"/>
        <s v="ARMARIO P/ COZINHA"/>
        <s v="SEGURO DE ESTOQUE BOL NO DRIVE"/>
        <s v="CUSTOS COM ADS E ARAMAZENAGEM AMAZON REEMBOLSO C6"/>
        <s v="CUSTO COM SISTEMA DE IA REEMBOLSO C6"/>
        <s v="SISTEMA DE BUSCA DE PRODUTO EUA REEMBOLSO C6"/>
        <s v="FAXINA"/>
        <s v="EXAME DEMISSIONAL"/>
        <s v="IMPOSTO DE RENDA + JUROS + TARIFAS REFER PGTO FINIMP"/>
        <s v="EMPRESTIMO PARA FARMEL IMPORT"/>
        <s v="FEITO DUPLICADO AGUARDANDO REEMBOLSO"/>
        <s v="FINIMPI CONTRATO Nº 20241223000000606, VALOR TOTAL R$ 125.775.59, AGENDADO PARA 29/01/2026 (VALOR NOMINAL USD 18,118.24 + JUROS USD 1,980.13), TOTAL USD 20.098,37, DOLAR FIXADO PROJETADO R$ 6,2580."/>
        <s v="TARIFAS BANCARIAS DEVIDO TRANSAÇÃO PGTO FINIMP"/>
        <s v="FAXINEIRA"/>
        <s v="DOAÇÃO"/>
        <s v="Ressarcimento Tributo Des"/>
        <s v="HDI SEGURO PREDIAL"/>
        <s v="BICICLETA ELETRICA QUE ESTA COM O MAX - REEMBOLSO RENNER ELAINE"/>
        <s v="CAMBIO CONTRAT DE FINIMP"/>
        <s v="COM PREST GAR INTERNACION CONTRAT FINIMP"/>
        <s v="REPOSIÇÃO DE PRODUTO DE ESCRITORIO"/>
        <s v="CONSERTO DO CLIMATIZADOR DE AR"/>
        <s v="COPIAS DE CHAVES"/>
        <s v="VASSOURA, RODO, PRODUTO DE LIMPEZA"/>
        <s v="SISTEMA DE COTAÇÃO DE FRETE PAR AIMPORTAÇÃO"/>
        <s v="FITA E EMBALAGEM PARA EXPEDIÇÃO"/>
        <s v="TONER PARA IMPRESSORA"/>
        <s v="COMPRA DE CAFE BOLACHA DETERGENTE ETC"/>
        <s v="BOLHA STRECH ETC"/>
        <s v="GAS DE COZINHA"/>
        <s v="acessório de reposição do fogão"/>
        <s v="COMPRA DE STRECH PARA EXPEDIÇÃO"/>
        <s v="ACESSORIOS DE REPOSIÇÃO COZINHA"/>
        <s v="INSERÇÃO DE CREDITO PARA FRETE"/>
        <s v="TOALHA PARA MESA DA COZINHA"/>
        <s v="GARRAFA TERMICA DE CAFÉ"/>
        <s v="ASSINATURA MELI + CONTA ELAINE"/>
        <s v="IOF - COMPRA NO EXTERIOR"/>
        <s v="REMMBOLSO REFERENTE AO PGTO DE TAXAS CHINA C6 LARISSA"/>
        <s v="SISTEMA PARA BUSCA DE PRODUTOS EUA REEMBOLSO C6 LARI"/>
        <s v="SISTEMA DE IA REEMBOLSO C6 LARI"/>
        <s v="CUSTOS COM ADS E ARAMAZENAGEM AMAZON EUA REEMBOLSO C6"/>
        <s v="COMBUSTIVEL REEMBOLSO C6"/>
        <s v="PEDIDO DE BOLSAS Nº 381/382 CHEQ 850102 PARA 11/2"/>
        <s v="PGTO DE DIVIDA"/>
        <s v="PGTO SERVIÇO PRESTADO MEIO PERIODO EXPEDIÇÃO"/>
        <s v="DEDETIZAÇÃO DO PRÉDIO"/>
        <s v="ANOTAÇÃO PROVISÓRIA DÉBIT"/>
        <s v="PEDIDO DE BOLSAS Nº 380 CHEQUE - 850098 PARA 10/2"/>
        <s v="COMPRA DE BOLSA PEDIDO 383 CHEQUE Nº 850099 P/ 23/02"/>
        <s v="CONSERTO GELADEIRA - PIX É O CPF 70151016968"/>
        <s v="PEDIDO DE BOLSAS Nº 381/382 CHEQ 850103"/>
        <s v="RESSARCIMENTO TRIBUTOS DES"/>
        <s v="RECARGA PARA ENVIO DE PEDIDOS"/>
        <s v="REPOSIÇÃO DE EXTINTORES"/>
        <s v="MANUTENÇÃO VEÍCULO USADO PELA EMPRESA"/>
        <s v="BOLHA, STRECH"/>
        <s v="EMBALAGENS FITA PARA EXPEDIÇÃO"/>
        <s v="MANUTENÇÃO VEICULA CAPA VOLANTE"/>
        <s v="CAFÉ DA MANHA FUNCIONÁRIOS"/>
        <s v="REPOSIÇÃO CADEIRA DE ESCRITÓRIO"/>
        <s v="CONSULTORIA PREVIDENCIARIA"/>
        <s v="CAFÉ DA MANHA FUNCIONARIOS"/>
        <s v="COMPRAS DE MERCADO - CAFÉ, AÇUCAR, DETERGENTE ETC"/>
        <s v="ENVIO DE PEDIDOS "/>
        <s v="IOF COMPRA EXTERIOR"/>
        <s v="COMPRA DE BOLSA PEDIDO 383 CHEQUE Nº 8500100"/>
        <s v="COMPRA DE BOLSAS"/>
        <s v="CUSTO AMAZON - ARMAZENAGEM E ADS EUA - REEMBOLSO C6"/>
        <s v="SINAL PARA PRODUZIR PRODUTOS CHINA REEMBOLSO LARI"/>
        <s v="PGTO DO RESTANTE DA COMPRA IMPORTAÇÃO +/- USD$1800"/>
        <s v="CESTA DE SERVIÇOS"/>
        <s v="FINIMPI CONTRATO Nº XXXXXXXX, VALOR TOTAL R$ 115.000,00, AGENDADO PARA APROXIMADAMENTE DIA 23/03/2026 (VALOR NOMINAL USD 16.000 + JUROS USD 2,459,20), TOTAL USD 18,459,20 DOLAR FIXADO A R$ 6,17 PROJETADO R$ XXXX. RETORNAR NO COMEÇO DO MÊS PARA VER CERTINH"/>
        <s v="COMISSÃO POR SERVIÇO PRESTADO COMPRA DE IMPORTAÇÃO"/>
        <s v="COMPRA DE PRODUTO DA CHINA X EUA"/>
        <s v="SALARIO + VARIÁVEL +/- R$ 700"/>
        <s v="ACESSO BI - SISTEMA R$ 98,8 + SERVIÇO R$ 150"/>
        <s v="COMPRA DE BOLSAS PEDIDO Nº 384 CHEQUE Nº 850109"/>
        <s v="PAGAMENTO DE IMPOSTOS RECEBIMENTO IMPORTAÇÃO"/>
        <s v="COMPRA MATERIAL COZINHA E LIMPEZA"/>
        <s v="PEDIDO DE COMPRA BOLSA PEDIDO 385 CHEQUE Nº - 850110"/>
        <s v="COMPR DE STRECH E MATERIAL DE LIMPEZA"/>
        <s v="COLA QUENTE"/>
        <s v="COMPRA DE BOLSA PEDIDO 383 CHEQUE Nº 8500104"/>
        <s v="PRONAMPE 3º CONTRATO FARMEL - PARC FIXA R$ 1418,69 + JUROS"/>
        <s v="COMPRA DE BOLSAS PEDIDO Nº 384 - CHEQ 850106"/>
        <s v="PEDIDO DE COMPRA BOLSA PEDIDO 385 CHEQUE Nº - 850111"/>
        <s v="COMPRA DE BOLSA PEDIDO 383 CHEQUE Nº 8500105"/>
        <s v="PREVISÃO DE START PARA IMPORTAÇÃO"/>
        <s v="COMPRA DE BOLSAS PEDIDO Nº 384 - CHEQ 850107"/>
        <s v="PEDIDO DE COMPRA BOLSA PEDIDO 385 CHEQUE Nº - 850112"/>
        <s v="SEGURO DE ESTOQUE BOL NO DRIVE - RENOVAR"/>
        <s v="COMPRA DE BOLSAS PEDIDO Nº 384 - CHEQ 850108"/>
        <s v="PLATAFORMA DE MARKETING ONLINE - LANÇAR FATURAS FUTURAS SE NECESSÁRIO"/>
        <s v="PEDIDO DE COMPRA BOLSA PEDIDO 385 CHEQUE Nº - 850113"/>
        <s v="PREVISÃO DE PGTO DE IMPOSTO RECEBIMENTO DE IMPORTAÇÃO"/>
        <s v="FINIMPI CONTRATO Nº XXXXXXXX, VALOR TOTAL +/- R$ 129.000, AGENDADO PARA APROXIMADAMENTE DIA 20/09/2026 (VALOR NOMINAL USD 20,092,43 +/- JUROS USD 3,013,86), TOTAL USD 23,106,63 DOLAR FIXADO A R$ XX. RETORNAR NO COMEÇO DO MÊS PARA VER CERTINHO DATA VENCIME"/>
        <s v="ALUGUEL - LANÇAR PROXIMAS FATURAS SE NECESSÁRIO"/>
        <s v="ACESSO BI - SISTEMA R$ 98,8 + SERVIÇO R$ 150 - LANÇAR PROXIMAS FATURAS SE NECESSÁRIO"/>
        <s v="CONTA DE EMAIL - BOLETO CHEGA POR EMAIL - LANÇAR PROXIMAS FATURAS SE NECESSÁRIO"/>
        <s v="LANÇAR PROXIMAS FATURAS SE NECESSÁRIO"/>
        <s v="ASSOCIAÇÃO DA PRISCILA NO SINDICATO SERA DESC EM FOLHA - LANÇAR NOVAS FATURAS SE NECESSÁRIO"/>
        <s v="INTERNET - LANÇAR PROXIMAS FATURAS SE NECESSÁRIO"/>
        <s v="CONTABILIDADE DA SINCE - LANÇAR PROXIMAS FATURAS SE NECESSÁRIO"/>
        <s v="ASSINATURA BLING SINCE - LANÇAR PROXIMAS FATURAS SE NECESSÁRIO"/>
        <s v="VIGILANTE DA RUA - LANÇAR PROXIMAS FATURAS SE NECESSÁRIO"/>
        <s v="CUSTO DO FULL FARMEL (COLETA E ARMAZENAGEM) - LANÇAR PROXIMAS FATURAS SE NECESSÁRIO"/>
        <s v="ADIANTAMENTO - LANÇAR PROXIMAS FATURAS SE NECESSÁRIO"/>
        <s v="FAXINEIRA - LANÇAR PRÓXIMA CONTAS SE FOR O CASO"/>
        <s v="CONTA DE LUZ - LANÇAR PROXIMAS FATURAS SE NECESSÁRIO"/>
        <s v="CUSTO DO FULL SINCE (COLETA E ARMAZENAGEM) - LANÇAR PROXIMAS FATURAS SE NECESSÁRIO"/>
        <s v="DAS FARMEL - LANÇAR PROXIMAS FATURAS SE NECESSÁRIO"/>
        <s v="DAS SINCE - LANÇAR PROXIMAS FATURAS SE NECESSÁRIO"/>
        <s v="FGTS FARMEL - LANÇAR PROXIMAS FATURAS SE NECESSÁRIO"/>
        <s v="INSS FARMEL - LANÇAR PROXIMAS FATURAS SE NECESSÁRIO"/>
        <s v="ASSINATURA MELI + FARMEL - LANÇAR PROXIMAS FATURAS SE NECESSÁRIO"/>
        <s v="BLING FARMEL - LANÇAR PROXIMAS FATURAS SE NECESSÁRIO"/>
        <s v="CESTA DE SERVIÇOS - LANÇAR PROXIMAS FATURAS SE NECESSÁRIO"/>
        <s v="INSS SINCE- LANÇAR PROXIMAS FATURAS SE NECESSÁRIO"/>
        <s v="FGTS SINCE - LANÇAR PROXIMAS FATURAS SE NECESSÁRIO"/>
        <s v="SISTEMA DE COTAÇÃO DE FRETE PAR AIMPORTAÇÃO - LANÇAR PRÓXIMOS MESES SE NECESSÁRIO"/>
        <s v="TELEFONES MÓVEL COMERCIAL - LANÇAR PROXIMAS FATURAS SE NECESSÁRIO"/>
        <s v="CUSTO COM SISTEMA DE IA REEMBOLSO C6 - LANÇAR PROXIMAS PARCELAS"/>
        <s v="CONTABILIDADE DA FARMEL - LANÇAR PROXIMAS FATURAS SE NECESSÁRIO"/>
        <s v="SALARIO - LANÇAR PROXIMAS FATURAS SE NECESSÁRIO"/>
        <s v="VALE REFEIÇÃO - LANÇAR PROXIMAS FATURAS SE NECESSÁRIO"/>
        <s v="DOAÇÃO - LANÇAR PROXIMAS FATURAS SE NECESSÁRIO"/>
        <s v="CONTA DE EMAIL - BOLETO CHEGA POR EMAIL "/>
        <s v="PGTO FINIMP USD 18.175,49 + Juros USD 2850,00 GDC 20251211000000661 - DOLAR +/- $5,57"/>
        <s v="ADIANTAMENTO - LANÇAR PRÓXIMAS FATURAS SE HOUVER"/>
        <s v="SISTEMA DE IA - LANÇAR PRÓXIMAS FATURAS SE NECESSÁRIO"/>
        <s v="SALARIO + VARIÁVEL +/- R$ 700 - LANÇAR PRÓXIMAS FATURAS SE HOUVER"/>
        <s v="VALE REFEIÇÃO - LANÇAR PRÓXIMAS FATURAS SE HOUVER"/>
        <s v="PGTO FINIMP USD 19.380,00 + Juros USD 3.200 GDC 20260210000000651 - DOLAR +/- $xxxx"/>
      </sharedItems>
    </cacheField>
    <cacheField name="Valor" numFmtId="164">
      <sharedItems containsString="0" containsBlank="1" containsNumber="1">
        <n v="6000.63"/>
        <n v="7610.0"/>
        <n v="4000.0"/>
        <n v="111.33"/>
        <n v="2500.0"/>
        <n v="73.8"/>
        <n v="1375.64"/>
        <n v="139.99"/>
        <n v="458.5"/>
        <n v="50.0"/>
        <n v="397.0"/>
        <n v="65.0"/>
        <n v="1000.0"/>
        <n v="1010.16"/>
        <n v="90.0"/>
        <n v="2786.78"/>
        <n v="592.0"/>
        <n v="24.0"/>
        <n v="750.0"/>
        <n v="720.0"/>
        <n v="20.99"/>
        <n v="744.0"/>
        <n v="1127.5"/>
        <n v="1533.0"/>
        <n v="374.8"/>
        <n v="20.0"/>
        <n v="7.36"/>
        <n v="3511.72"/>
        <n v="78.93"/>
        <n v="3250.0"/>
        <n v="500.0"/>
        <n v="826.14"/>
        <n v="400.0"/>
        <n v="278.01"/>
        <n v="24.25"/>
        <n v="102.83"/>
        <n v="162.17"/>
        <n v="19501.98"/>
        <n v="288.33"/>
        <n v="29.9"/>
        <n v="335.27"/>
        <n v="300.5"/>
        <n v="64.75"/>
        <n v="521.38"/>
        <n v="540.3"/>
        <n v="330.0"/>
        <n v="249.33"/>
        <n v="89.35"/>
        <n v="33.56"/>
        <n v="240.62"/>
        <n v="22.39"/>
        <n v="189.111"/>
        <n v="85.82"/>
        <n v="126.9"/>
        <n v="79.92"/>
        <n v="36.7"/>
        <n v="32.47"/>
        <n v="32.48"/>
        <n v="64.9"/>
        <n v="93.37"/>
        <n v="36.6"/>
        <n v="30.94"/>
        <n v="202.87"/>
        <n v="328.58"/>
        <n v="175.45"/>
        <n v="56.51"/>
        <n v="406.16"/>
        <n v="48.89"/>
        <n v="65.44"/>
        <n v="353.9"/>
        <n v="35.98"/>
        <n v="67.49"/>
        <n v="20.85"/>
        <n v="363.83"/>
        <n v="45.0"/>
        <n v="96.45"/>
        <n v="144.15"/>
        <n v="35.99"/>
        <n v="31.0"/>
        <n v="25.0"/>
        <n v="6.66"/>
        <n v="107.64"/>
        <n v="298.9"/>
        <n v="22.07"/>
        <n v="149.25"/>
        <n v="150.0"/>
        <n v="100.0"/>
        <n v="17.94"/>
        <n v="8.92"/>
        <n v="9.95"/>
        <n v="300.0"/>
        <n v="10.55"/>
        <n v="465.67"/>
        <n v="120.72"/>
        <n v="19.87"/>
        <n v="12.93"/>
        <n v="18.93"/>
        <n v="10.9"/>
        <n v="875.0"/>
        <n v="40.46"/>
        <n v="31.23"/>
        <n v="-238.52"/>
        <n v="170.0"/>
        <n v="469.34"/>
        <n v="649.91"/>
        <n v="10.0"/>
        <n v="57.4"/>
        <n v="17.14"/>
        <n v="15.14"/>
        <n v="164.97"/>
        <n v="32.0"/>
        <n v="2346.57"/>
        <n v="80.0"/>
        <n v="6033.3"/>
        <n v="360.54"/>
        <n v="1297.3"/>
        <n v="721.86"/>
        <n v="1119.83"/>
        <n v="39.16"/>
        <n v="879.24"/>
        <n v="33728.48"/>
        <n v="28000.0"/>
        <n v="3700.0"/>
        <n v="3699.0"/>
        <n v="160.22"/>
        <n v="1380.13"/>
        <n v="441.95"/>
        <n v="81970.1"/>
        <n v="780.0"/>
        <n v="2914.86"/>
        <n v="1750.0"/>
        <n v="30.0"/>
        <n v="20.34"/>
        <n v="6102.5"/>
        <n v="3000.0"/>
        <n v="462.81"/>
        <n v="3476.38"/>
        <n v="691.57"/>
        <n v="24.15"/>
        <n v="21534.25"/>
        <n v="1737.28"/>
        <n v="421.48"/>
        <n v="556.64"/>
        <n v="249.34"/>
        <n v="56.49"/>
        <n v="96.41"/>
        <n v="109.22"/>
        <n v="178.01"/>
        <n v="112.66"/>
        <n v="63.17"/>
        <n v="256.89"/>
        <n v="118.8"/>
        <n v="7.34"/>
        <n v="8.97"/>
        <n v="102.67"/>
        <n v="167.51"/>
        <n v="195.05"/>
        <n v="70.0"/>
        <n v="131.6"/>
        <n v="139.15"/>
        <n v="115.0"/>
        <n v="21.9"/>
        <n v="10.87"/>
        <n v="597.68"/>
        <n v="28.01"/>
        <n v="11.9"/>
        <n v="11.94"/>
        <n v="8.43"/>
        <n v="14.9"/>
        <n v="8.93"/>
        <n v="299.0"/>
        <n v="-312.69"/>
        <n v="600.0"/>
        <n v="310.0"/>
        <n v="1814.0"/>
        <n v="1815.0"/>
        <n v="12.58"/>
        <n v="48.37"/>
        <n v="24.14"/>
        <n v="620.0"/>
        <n v="838.36"/>
        <n v="380.54"/>
        <n v="889.0"/>
        <n v="725.0"/>
        <n v="59.5"/>
        <n v="60.0"/>
        <n v="34.53"/>
        <n v="4710.0"/>
        <n v="41.17"/>
        <n v="471.92"/>
        <n v="2346.67"/>
        <n v="1214.27"/>
        <n v="484.1"/>
        <n v="199.99"/>
        <n v="309.18"/>
        <n v="15134.41"/>
        <n v="1444.16"/>
        <n v="855.52"/>
        <n v="2551.21"/>
        <n v="75.0"/>
        <n v="688.68"/>
        <n v="1149.0"/>
        <n v="1150.0"/>
        <n v="3034.17"/>
        <n v="544.78"/>
        <n v="3453.26"/>
        <n v="562.83"/>
        <n v="426.48"/>
        <n v="540.77"/>
        <n v="63.16"/>
        <n v="412.89"/>
        <n v="190.05"/>
        <n v="410.79"/>
        <n v="212.43"/>
        <n v="109.94"/>
        <n v="16.23"/>
        <n v="287.21"/>
        <n v="184.24"/>
        <n v="593.82"/>
        <n v="96.0"/>
        <n v="-91.29"/>
        <n v="171.68"/>
        <n v="108.0"/>
        <n v="44.25"/>
        <n v="190.0"/>
        <n v="27.0"/>
        <n v="1779.51"/>
        <n v="425.0"/>
        <n v="17743.59"/>
        <n v="2625.0"/>
        <n v="2624.0"/>
        <n v="250.0"/>
        <n v="327.75"/>
        <n v="130.92"/>
        <n v="88.58"/>
        <n v="14.4"/>
        <n v="171.72"/>
        <n v="594.5"/>
        <n v="105.5"/>
        <n v="1063.95"/>
        <n v="1105.42"/>
        <n v="10.68"/>
        <n v="3339.3"/>
        <n v="1301.0"/>
        <n v="1300.0"/>
        <n v="7936.45"/>
        <n v="3905.0"/>
        <n v="333.34"/>
        <n v="1240.56"/>
        <n v="705.77"/>
        <n v="876.0"/>
        <n v="201.55"/>
        <n v="174.68"/>
        <n v="2954.2"/>
        <n v="3345.94"/>
        <n v="371.56"/>
        <n v="1500.0"/>
        <n v="1499.0"/>
        <n v="180.11"/>
        <n v="5.78"/>
        <n v="526.57"/>
        <n v="25.1"/>
        <n v="79.9"/>
        <n v="287.13"/>
        <n v="583.37"/>
        <n v="35.0"/>
        <n v="65.87"/>
        <n v="140.54"/>
        <n v="109.0"/>
        <n v="382.76"/>
        <n v="152.98"/>
        <n v="14.0"/>
        <n v="5.49"/>
        <n v="18.69"/>
        <n v="32.43"/>
        <n v="142.0"/>
        <n v="69.3"/>
        <n v="1447.19"/>
        <n v="14293.94"/>
        <n v="5060.0"/>
        <n v="1017.91"/>
        <n v="20.8"/>
        <n v="2999.0"/>
        <n v="993.71"/>
        <n v="308.33"/>
        <n v="143.89"/>
        <n v="1236.62"/>
        <n v="900.38"/>
        <n v="1497.62"/>
        <n v="594.59"/>
        <n v="48.67"/>
        <n v="3179.17"/>
        <n v="1301.66"/>
        <n v="1214.16"/>
        <n v="27.5"/>
        <n v="480.32"/>
        <n v="3500.0"/>
        <n v="3499.0"/>
        <n v="718.91"/>
        <n v="66500.0"/>
        <n v="69400.0"/>
        <n v="16751.55"/>
        <n v="624.0"/>
        <n v="800.0"/>
        <n v="2611.65"/>
        <n v="963.0"/>
        <n v="1249.0"/>
        <n v="1250.0"/>
        <n v="26.71"/>
        <n v="21.81"/>
        <n v="246.74"/>
        <n v="3375.28"/>
        <n v="559.98"/>
        <n v="463.13"/>
        <n v="463.12"/>
        <n v="578.15"/>
        <n v="450.0"/>
        <n v="200.0"/>
        <n v="120.0"/>
        <n v="7875.61"/>
        <n v="10403.94"/>
        <n v="2284.94"/>
        <n v="1100.0"/>
        <n v="278.05"/>
        <n v="15415.22"/>
        <n v="1373.12"/>
        <n v="659.27"/>
        <n v="826.49"/>
        <n v="895.3"/>
        <n v="587.1"/>
        <n v="292.92"/>
        <n v="46.2"/>
        <n v="382.73"/>
        <n v="194.18"/>
        <n v="110.24"/>
        <n v="145.12"/>
        <n v="241.25"/>
        <n v="334.49"/>
        <n v="32.39"/>
        <n v="49.98"/>
        <n v="40.0"/>
        <n v="10.94"/>
        <n v="49.5"/>
        <n v="95.0"/>
        <n v="94.05"/>
        <n v="37.86"/>
        <n v="105.99"/>
        <n v="33.06"/>
        <n v="-128.42"/>
        <n v="630.0"/>
        <n v="298.88"/>
        <n v="1118.1"/>
        <n v="650.0"/>
        <n v="1017.92"/>
        <n v="1833.33"/>
        <n v="223.73"/>
        <n v="1559.19"/>
        <n v="974.36"/>
        <n v="313.18"/>
        <n v="2675.0"/>
        <n v="2674.0"/>
        <n v="1686.67"/>
        <n v="4265.0"/>
        <n v="910.82"/>
        <n v="888.45"/>
        <n v="1044.98"/>
        <n v="383.68"/>
        <n v="48.75"/>
        <n v="5600.0"/>
        <n v="3296.41"/>
        <n v="1301.67"/>
        <n v="4891.51"/>
        <n v="71772.06"/>
        <n v="12.56"/>
        <n v="1275.18"/>
        <n v="46.67"/>
        <n v="583.22"/>
        <n v="525.08"/>
        <n v="5268.7"/>
        <n v="7000.0"/>
        <n v="9.88"/>
        <n v="63.12"/>
        <n v="4260.0"/>
        <n v="447.77"/>
        <n v="3374.2"/>
        <n v="506.57"/>
        <n v="12070.44"/>
        <n v="1419.86"/>
        <n v="624.05"/>
        <n v="761.0"/>
        <n v="346.27"/>
        <n v="45.99"/>
        <n v="492.92"/>
        <n v="265.55"/>
        <n v="151.83"/>
        <n v="382.72"/>
        <n v="328.02"/>
        <n v="59.45"/>
        <n v="233.5"/>
        <n v="569.08"/>
        <n v="35.81"/>
        <n v="204.28"/>
        <n v="171.36"/>
        <n v="22.1"/>
        <n v="27.92"/>
        <n v="83.6"/>
        <n v="87.99"/>
        <n v="16.9"/>
        <n v="11.72"/>
        <n v="41.75"/>
        <n v="118.0"/>
        <n v="61.05"/>
        <n v="77.88"/>
        <n v="149.97"/>
        <n v="29.99"/>
        <n v="483.52"/>
        <n v="117.09"/>
        <n v="133.8"/>
        <n v="78.55"/>
        <n v="3270.0"/>
        <n v="3999.0"/>
        <n v="223.69"/>
        <n v="38.33"/>
        <n v="420.0"/>
        <n v="947.61"/>
        <n v="936.37"/>
        <n v="1158.04"/>
        <n v="20.67"/>
        <n v="119.57"/>
        <n v="5831.95"/>
        <n v="3289.26"/>
        <n v="277.75"/>
        <n v="89.75"/>
        <n v="282.35"/>
        <n v="5050.0"/>
        <n v="5051.0"/>
        <n v="1420.0"/>
        <n v="1976.86"/>
        <n v="200.01"/>
        <n v="1275.97"/>
        <n v="229.5"/>
        <n v="3450.0"/>
        <n v="1290.56"/>
        <n v="703.26"/>
        <n v="616.47"/>
        <n v="5799.93"/>
        <n v="123.11"/>
        <n v="2250.0"/>
        <n v="560.85"/>
        <n v="3362.03"/>
        <n v="519.8"/>
        <n v="36.0"/>
        <n v="180.0"/>
        <n v="17245.86"/>
        <n v="2175.98"/>
        <n v="456.8"/>
        <n v="590.47"/>
        <n v="157.74"/>
        <n v="960.63"/>
        <n v="15.98"/>
        <n v="53.6"/>
        <n v="117.08"/>
        <n v="312.49"/>
        <n v="184.54"/>
        <n v="78.54"/>
        <n v="17.71"/>
        <n v="129.75"/>
        <n v="53.5"/>
        <n v="132.94"/>
        <n v="62.67"/>
        <n v="14.7"/>
        <n v="63.92"/>
        <n v="47.05"/>
        <n v="30.51"/>
        <n v="105.11"/>
        <n v="198.8"/>
        <n v="245.51"/>
        <n v="874.67"/>
        <n v="10.37"/>
        <n v="10.56"/>
        <n v="137.47"/>
        <n v="64.99"/>
        <n v="75058.02"/>
        <n v="1151.29"/>
        <n v="550.0"/>
        <n v="143.91"/>
        <n v="4550.0"/>
        <n v="296.4"/>
        <n v="541.02"/>
        <n v="540.96"/>
        <n v="10.44"/>
        <n v="2457.0"/>
        <n v="885.57"/>
        <n v="992.47"/>
        <n v="1120.6"/>
        <n v="28.58"/>
        <n v="3253.35"/>
        <n v="6385.68"/>
        <n v="104.82"/>
        <n v="15841.28"/>
        <n v="75.4"/>
        <n v="78.0"/>
        <n v="230.75"/>
        <n v="1304.26"/>
        <n v="415.8"/>
        <n v="162.5"/>
        <n v="1686.66"/>
        <n v="541.01"/>
        <n v="5112.17"/>
        <n v="616.46"/>
        <n v="1417.03"/>
        <n v="537.99"/>
        <n v="538.0"/>
        <n v="2710.0"/>
        <n v="3226.07"/>
        <n v="654.11"/>
        <n v="578.0"/>
        <n v="15207.57"/>
        <n v="3022.71"/>
        <n v="714.55"/>
        <n v="110.8"/>
        <n v="9.9"/>
        <n v="63.91"/>
        <n v="47.02"/>
        <n v="105.1"/>
        <n v="12.0"/>
        <n v="147.08"/>
        <n v="165.0"/>
        <n v="177.6"/>
        <n v="357.38"/>
        <n v="246.4"/>
        <n v="130.32"/>
        <n v="936.55"/>
        <n v="214.27"/>
        <n v="260.84"/>
        <n v="103.73"/>
        <n v="16.06"/>
        <n v="29.32"/>
        <n v="74.54"/>
        <n v="293.31"/>
        <n v="10.95"/>
        <n v="12.92"/>
        <n v="8.99"/>
        <n v="18.97"/>
        <n v="12.95"/>
        <n v="7.91"/>
        <n v="9.91"/>
        <n v="110.87"/>
        <n v="184.52"/>
        <n v="41746.0"/>
        <n v="173.6"/>
        <n v="121030.78"/>
        <n v="142.68"/>
        <n v="2831.84"/>
        <n v="353.98"/>
        <n v="3775.0"/>
        <n v="27.85"/>
        <n v="245.0"/>
        <n v="973.42"/>
        <n v="1191.47"/>
        <n v="91.96"/>
        <n v="1609.27"/>
        <n v="19.63"/>
        <n v="3.02"/>
        <n v="216.55"/>
        <n v="3297.86"/>
        <n v="99.29"/>
        <n v="130.0"/>
        <n v="56.0"/>
        <n v="3651.0"/>
        <n v="3650.0"/>
        <n v="295.0"/>
        <n v="6780.0"/>
        <n v="95550.0"/>
        <n v="5.85"/>
        <n v="1282.61"/>
        <n v="782.87"/>
        <n v="5530.23"/>
        <n v="766.46"/>
        <n v="462.36"/>
        <n v="377.76"/>
        <n v="691.82"/>
        <n v="930.92"/>
        <n v="81.83"/>
        <n v="9.92"/>
        <n v="14.95"/>
        <n v="13.94"/>
        <n v="293.98"/>
        <n v="109.96"/>
        <n v="936.54"/>
        <n v="356.42"/>
        <n v="233.58"/>
        <n v="260.88"/>
        <n v="324.97"/>
        <n v="71.13"/>
        <n v="47.2"/>
        <n v="82.33"/>
        <n v="62.8"/>
        <n v="65.99"/>
        <n v="121.07"/>
        <n v="124.47"/>
        <n v="106.36"/>
        <n v="98.93"/>
        <n v="4.58"/>
        <n v="10.93"/>
        <n v="9.06"/>
        <n v="10.97"/>
        <n v="233.34"/>
        <n v="54.28"/>
        <n v="57.0"/>
        <n v="38.09"/>
        <n v="85.29"/>
        <n v="10.41"/>
        <n v="3406.79"/>
        <n v="15210.9"/>
        <n v="3385.0"/>
        <n v="3125.0"/>
        <n v="600.48"/>
        <n v="3126.0"/>
        <n v="206.25"/>
        <n v="12.27"/>
        <n v="21881.12"/>
        <n v="237.15"/>
        <n v="113.88"/>
        <n v="268.95"/>
        <n v="5059.23"/>
        <n v="938.47"/>
        <n v="116.29"/>
        <n v="166.44"/>
        <n v="3185.43"/>
        <n v="2400.0"/>
        <n v="2399.0"/>
        <n v="212.5"/>
        <n v="210.0"/>
        <n v="1433.18"/>
        <n v="666.38"/>
        <n v="1166.6"/>
        <n v="2260.0"/>
        <n v="5225.83"/>
        <n v="767.0"/>
        <n v="3194.2"/>
        <n v="861.64"/>
        <n v="397.83"/>
        <n v="2500.01"/>
        <n v="14205.3"/>
        <n v="3456.91"/>
        <n v="332.0"/>
        <n v="661.92"/>
        <n v="265.48"/>
        <n v="-109.96"/>
        <n v="82.27"/>
        <n v="121.04"/>
        <n v="106.34"/>
        <n v="47.8"/>
        <n v="64.98"/>
        <n v="12.69"/>
        <n v="84.59"/>
        <n v="48.2"/>
        <n v="422.98"/>
        <n v="295.87"/>
        <n v="384.15"/>
        <n v="83.0"/>
        <n v="10.91"/>
        <n v="10.99"/>
        <n v="165.77"/>
        <n v="548.36"/>
        <n v="295.04"/>
        <n v="8.96"/>
        <n v="92.2"/>
        <n v="50.66"/>
        <n v="41.03"/>
        <n v="228.0"/>
        <n v="10.96"/>
        <n v="98.4"/>
        <n v="9.97"/>
        <n v="-566.4"/>
        <n v="-179.86"/>
        <n v="55.75"/>
        <n v="11.92"/>
        <n v="-109.95"/>
        <n v="-48.89"/>
        <n v="106.49"/>
        <n v="109.95"/>
        <n v="600.46"/>
        <n v="700.0"/>
        <n v="325.5"/>
        <n v="22.43"/>
        <n v="962.36"/>
        <n v="1224.77"/>
        <n v="3.32"/>
        <n v="249.91"/>
        <n v="3031.0"/>
        <n v="3030.0"/>
        <n v="3275.83"/>
        <n v="2800.0"/>
        <n v="5880.0"/>
        <n v="265.0"/>
        <n v="1450.0"/>
        <n v="1824.26"/>
        <n v="3900.0"/>
        <n v="727.72"/>
        <n v="706.46"/>
        <n v="5730.78"/>
        <n v="1751.0"/>
        <n v="335.98"/>
        <n v="40.02"/>
        <n v="487.97"/>
        <n v="3303.89"/>
        <n v="794.64"/>
        <n v="6000.0"/>
        <n v="6001.0"/>
        <n v="2201.0"/>
        <n v="2200.0"/>
        <n v="50.64"/>
        <n v="16386.58"/>
        <n v="4545.11"/>
        <n v="233.33"/>
        <n v="47.74"/>
        <n v="48.17"/>
        <n v="422.97"/>
        <n v="12.18"/>
        <n v="398.34"/>
        <n v="109.91"/>
        <n v="86.4"/>
        <n v="126.92"/>
        <n v="150.3"/>
        <n v="60.27"/>
        <n v="191.17"/>
        <n v="169.5"/>
        <n v="28.0"/>
        <n v="107.55"/>
        <n v="134.1"/>
        <n v="29.98"/>
        <n v="30.93"/>
        <n v="53.25"/>
        <n v="46447.72"/>
        <n v="5.25"/>
        <n v="8.94"/>
        <n v="85.28"/>
        <n v="221.66"/>
        <n v="180.07"/>
        <n v="302.19"/>
        <n v="115.83"/>
        <n v="114.98"/>
        <n v="30.3"/>
        <n v="1621.0"/>
        <n v="1620.0"/>
        <n v="5310.0"/>
        <n v="4200.0"/>
        <n v="350.0"/>
        <n v="962.35"/>
        <n v="1179.31"/>
        <n v="70.54"/>
        <n v="4250.0"/>
        <n v="1.73"/>
        <n v="3248.35"/>
        <n v="475.0"/>
        <n v="1770.0"/>
        <n v="1960.0"/>
        <n v="112.5"/>
        <n v="1779.69"/>
        <n v="5791.0"/>
        <n v="402.0"/>
        <n v="51.0"/>
        <n v="1202.5"/>
        <n v="446.25"/>
        <n v="5157.69"/>
        <n v="894.69"/>
        <n v="390.0"/>
        <n v="357.33"/>
        <n v="3234.99"/>
        <n v="631.99"/>
        <n v="4900.0"/>
        <n v="4901.0"/>
        <n v="58.7"/>
        <n v="48.28"/>
        <n v="8.9"/>
        <n v="338.66"/>
        <n v="199.39"/>
        <n v="22.68"/>
        <n v="31.25"/>
        <n v="66.4"/>
        <n v="278.41"/>
        <n v="250.8"/>
        <n v="164.98"/>
        <n v="110.82"/>
        <n v="263.34"/>
        <n v="221.74"/>
        <n v="86.93"/>
        <n v="13.39"/>
        <n v="10.98"/>
        <n v="46.81"/>
        <n v="51.13"/>
        <n v="338.3"/>
        <n v="21.0"/>
        <n v="7.0"/>
        <n v="11.06"/>
        <n v="-127.36"/>
        <n v="6191.84"/>
        <n v="13308.43"/>
        <n v="587.56"/>
        <n v="5551.0"/>
        <n v="5550.0"/>
        <n v="29.66"/>
        <n v="359.04"/>
        <n v="196.53"/>
        <n v="235.84"/>
        <n v="112.05"/>
        <n v="174.69"/>
        <n v="445.6"/>
        <n v="1179.3"/>
        <n v="3267.62"/>
        <n v="5424.18"/>
        <n v="5425.18"/>
        <n v="167.74"/>
        <n v="282.34"/>
        <n v="47149.03"/>
        <n v="1400.0"/>
        <n v="2000.0"/>
        <n v="1469.38"/>
        <n v="616.04"/>
        <n v="1780.0"/>
        <n v="5612.85"/>
        <n v="3192.97"/>
        <n v="977.37"/>
        <n v="324.41"/>
        <n v="58.66"/>
        <n v="11364.9"/>
        <n v="358.0"/>
        <n v="691.17"/>
        <n v="7084.68"/>
        <n v="110.81"/>
        <n v="47.73"/>
        <n v="51.06"/>
        <n v="217.26"/>
        <n v="379.43"/>
        <n v="515.17"/>
        <n v="52.25"/>
        <n v="291.08"/>
        <n v="59.89"/>
        <n v="26.0"/>
        <n v="220.0"/>
        <n v="227.22"/>
        <n v="47.9"/>
        <n v="185.24"/>
        <n v="249.16"/>
        <n v="160.93"/>
        <n v="147.25"/>
        <n v="6270.0"/>
        <n v="4950.0"/>
        <n v="29.69"/>
        <n v="114.07"/>
        <n v="246.79"/>
        <n v="218.65"/>
        <n v="74.64"/>
        <n v="27.07"/>
        <n v="2654.77"/>
        <n v="1017.27"/>
        <n v="98.18"/>
        <n v="13.64"/>
        <n v="4001.0"/>
        <n v="2040.0"/>
        <n v="3229.46"/>
        <n v="19.1"/>
        <n v="1108.83"/>
        <n v="62.45"/>
        <n v="1778.61"/>
        <n v="280.48"/>
        <n v="846.46"/>
        <n v="5417.28"/>
        <n v="2890.0"/>
        <n v="366.67"/>
        <n v="3207.61"/>
        <n v="518.06"/>
        <n v="2760.0"/>
        <n v="375.6"/>
        <n v="11.07"/>
        <n v="185.16"/>
        <n v="221.71"/>
        <n v="459.09"/>
        <n v="350.67"/>
        <n v="132.99"/>
        <n v="11.0"/>
        <n v="284.52"/>
        <n v="150.78"/>
        <n v="278.74"/>
        <n v="133.66"/>
        <n v="146.68"/>
        <n v="259.76"/>
        <n v="136.0"/>
        <n v="19.8"/>
        <n v="59.26"/>
        <n v="128.5"/>
        <n v="114.49"/>
        <n v="-279.0"/>
        <n v="9836.65"/>
        <n v="5196.47"/>
        <n v="1956.82"/>
        <n v="244.6"/>
        <n v="3850.0"/>
        <n v="3851.0"/>
        <n v="112.97"/>
        <n v="29.5"/>
        <n v="205.92"/>
        <n v="2146.88"/>
        <n v="200.02"/>
        <n v="107.33"/>
        <n v="988.64"/>
        <n v="760.77"/>
        <n v="1953.84"/>
        <n v="38667.76"/>
        <n v="3609.17"/>
        <n v="451.15"/>
        <n v="3191.27"/>
        <n v="6422.06"/>
        <n v="14.5"/>
        <n v="91520.0"/>
        <n v="33700.0"/>
        <n v="3470.0"/>
        <n v="1065.0"/>
        <n v="1064.18"/>
        <n v="69.47"/>
        <n v="680.0"/>
        <n v="1968.18"/>
        <n v="1701.0"/>
        <n v="1700.0"/>
        <n v="906.46"/>
        <n v="5228.08"/>
        <n v="260.0"/>
        <n v="88.51"/>
        <n v="480.39"/>
        <n v="520.56"/>
        <n v="3134.69"/>
        <n v="7640.35"/>
        <n v="5102.05"/>
        <n v="374.66"/>
        <n v="709.92"/>
        <n v="53.0"/>
        <n v="350.66"/>
        <n v="133.64"/>
        <n v="146.67"/>
        <n v="222.55"/>
        <n v="497.6"/>
        <n v="259.65"/>
        <n v="139.63"/>
        <n v="162.0"/>
        <n v="79.43"/>
        <n v="64.0"/>
        <n v="210.46"/>
        <n v="231.45"/>
        <n v="33.0"/>
        <n v="29.09"/>
        <n v="36.99"/>
        <n v="920.0"/>
        <n v="110.71"/>
        <n v="667.8"/>
        <n v="950.0"/>
        <n v="951.0"/>
        <n v="1661.0"/>
        <n v="39.26"/>
        <n v="294.98"/>
        <n v="53.75"/>
        <n v="16.36"/>
        <n v="847.42"/>
        <n v="204.96"/>
        <n v="26245.4"/>
        <n v="2410.0"/>
        <n v="2409.0"/>
        <n v="15900.0"/>
        <n v="435.0"/>
        <n v="434.0"/>
        <n v="960.62"/>
        <n v="5922.79"/>
        <n v="3109.37"/>
        <n v="275.0"/>
        <n v="5643.44"/>
        <n v="3701.0"/>
        <n v="3810.0"/>
        <n v="1804.49"/>
        <n v="284.0"/>
        <n v="1318.0"/>
        <n v="866.46"/>
        <n v="319.81"/>
        <n v="5400.32"/>
        <n v="826.8"/>
        <n v="848.0"/>
        <n v="1215.0"/>
        <n v="2135.0"/>
        <n v="35.61"/>
        <n v="409.86"/>
        <n v="3065.88"/>
        <n v="582.73"/>
        <n v="6078.84"/>
        <n v="10955.05"/>
        <n v="133.65"/>
        <n v="425.02"/>
        <n v="419.41"/>
        <n v="49.3"/>
        <n v="115.71"/>
        <n v="114.21"/>
        <n v="236.99"/>
        <n v="442.12"/>
        <n v="119.68"/>
        <n v="267.8"/>
        <n v="56.7"/>
        <n v="222.83"/>
        <n v="211.85"/>
        <n v="117.71"/>
        <n v="70.76"/>
        <n v="2428.54"/>
        <n v="5700.0"/>
        <n v="389.61"/>
        <n v="47.48"/>
        <n v="2983.95"/>
        <n v="285.09"/>
        <n v="3000.01"/>
        <n v="67.5"/>
        <n v="5409.0"/>
        <n v="1033.5"/>
        <n v="1166.0"/>
        <n v="1233.23"/>
        <n v="1582.25"/>
        <n v="167.5"/>
        <n v="48.59"/>
        <n v="6701.0"/>
        <n v="6700.0"/>
        <n v="3072.94"/>
        <n v="5230.0"/>
        <n v="1564.58"/>
        <n v="502.8"/>
        <n v="873.82"/>
        <n v="247.19"/>
        <n v="1274.65"/>
        <n v="4983.74"/>
        <n v="826.0"/>
        <n v="39320.81"/>
        <n v="3061.9"/>
        <n v="1270.0"/>
        <n v="383.07"/>
        <n v="3180.0"/>
        <n v="2002.68"/>
        <n v="3023.51"/>
        <n v="1140.96"/>
        <n v="100.16"/>
        <n v="11490.0"/>
        <n v="523.05"/>
        <n v="870.24"/>
        <n v="978.89"/>
        <n v="570.28"/>
        <n v="565.05"/>
        <n v="350.37"/>
        <n v="192.71"/>
        <n v="15.62"/>
        <n v="17888.0"/>
        <n v="419.4"/>
        <n v="114.19"/>
        <n v="119.66"/>
        <n v="525.09"/>
        <n v="93.27"/>
        <n v="471.76"/>
        <n v="207.54"/>
        <n v="148.7"/>
        <n v="128.0"/>
        <n v="23.93"/>
        <n v="22.94"/>
        <n v="76.0"/>
        <n v="34.0"/>
        <n v="757.72"/>
        <n v="220.64"/>
        <n v="6550.0"/>
        <n v="13.78"/>
        <n v="611.1"/>
        <n v="47.47"/>
        <n v="2196.45"/>
        <n v="109.59"/>
        <n v="68.66"/>
        <n v="285.48"/>
        <n v="296.96"/>
        <n v="4274.78"/>
        <n v="166.93"/>
        <n v="55.64"/>
        <n v="162.39"/>
        <n v="10544.17"/>
        <n v="90.63"/>
        <n v="1242.95"/>
        <n v="1147.77"/>
        <n v="3.4"/>
        <n v="501.0"/>
        <n v="5966.24"/>
        <n v="3036.53"/>
        <n v="5000.0"/>
        <n v="739.01"/>
        <n v="462.86"/>
        <n v="77400.0"/>
        <n v="14.11"/>
        <n v="54.99"/>
        <n v="1760.67"/>
        <n v="189.75"/>
        <n v="110.0"/>
        <n v="3830.0"/>
        <n v="896.46"/>
        <n v="516.57"/>
        <n v="118.2"/>
        <n v="122.93"/>
        <n v="4922.24"/>
        <n v="2960.82"/>
        <n v="403.88"/>
        <n v="410.76"/>
        <n v="22835.1"/>
        <n v="216.66"/>
        <n v="5450.0"/>
        <n v="40.41"/>
        <n v="212.27"/>
        <n v="12581.62"/>
        <n v="553.6"/>
        <n v="713.26"/>
        <n v="8074.26"/>
        <n v="114.18"/>
        <n v="177.17"/>
        <n v="976.78"/>
        <n v="71.95"/>
        <n v="391.78"/>
        <n v="134.75"/>
        <n v="246.7"/>
        <n v="283.71"/>
        <n v="119.38"/>
        <n v="146.82"/>
        <n v="106.94"/>
        <n v="8.5"/>
        <n v="197.0"/>
        <n v="46.1"/>
        <n v="7.5"/>
        <n v="209.93"/>
        <n v="216.58"/>
        <n v="19.15"/>
        <n v="108.87"/>
        <n v="70.15"/>
        <n v="227.63"/>
        <n v="470.94"/>
        <n v="1313.49"/>
        <n v="202.23"/>
        <n v="108.09"/>
        <n v="20.94"/>
        <n v="9.94"/>
        <n v="15.96"/>
        <n v="189.67"/>
        <n v="105.45"/>
        <n v="-210.86"/>
        <n v="158.5"/>
        <n v="4522.51"/>
        <n v="112.53"/>
        <n v="297.49"/>
        <n v="626.1"/>
        <n v="2150.0"/>
        <n v="12027.05"/>
        <n v="37700.0"/>
        <n v="1022.75"/>
        <n v="1030.0"/>
        <n v="117145.27"/>
        <n v="935.73"/>
        <n v="2891.37"/>
        <n v="1288.52"/>
        <n v="1260.0"/>
        <n v="6127.21"/>
        <n v="3695.0"/>
        <n v="313.81"/>
        <n v="104.6"/>
        <n v="3000.09"/>
        <n v="120.93"/>
        <n v="144.99"/>
        <n v="1472.06"/>
        <n v="447.0"/>
        <n v="462.1"/>
        <n v="840.0"/>
        <n v="2850.0"/>
        <n v="483.26"/>
        <n v="5187.8"/>
        <n v="367.78"/>
        <n v="2920.47"/>
        <n v="893.96"/>
        <n v="232.19"/>
        <n v="200.03"/>
        <n v="101.45"/>
        <n v="2028.99"/>
        <n v="102.94"/>
        <n v="15531.62"/>
        <n v="7997.01"/>
        <n v="581.33"/>
        <n v="179.13"/>
        <n v="71.94"/>
        <n v="40.06"/>
        <n v="246.66"/>
        <n v="146.81"/>
        <n v="98.36"/>
        <n v="200.68"/>
        <n v="105.43"/>
        <n v="146.66"/>
        <n v="274.0"/>
        <n v="231.33"/>
        <n v="293.87"/>
        <n v="482.32"/>
        <n v="70.12"/>
        <n v="20.9"/>
        <n v="164.34"/>
        <n v="102.13"/>
        <n v="1.4"/>
        <n v="2429.4"/>
        <n v="1224.35"/>
        <n v="277.3"/>
        <n v="108.35"/>
        <n v="5017.49"/>
        <n v="313.91"/>
        <n v="1226.57"/>
        <n v="978.38"/>
        <n v="408.0"/>
        <n v="6655.71"/>
        <n v="113.49"/>
        <n v="8.04"/>
        <n v="3750.0"/>
        <n v="2853.63"/>
        <n v="55.0"/>
        <n v="490.0"/>
        <n v="317.27"/>
        <n v="105.76"/>
        <n v="2640.0"/>
        <n v="1533.05"/>
        <n v="385.15"/>
        <n v="104.1"/>
        <n v="312.31"/>
        <n v="312.25"/>
        <n v="936.92"/>
        <n v="4588.04"/>
        <n v="437.68"/>
        <n v="324.83"/>
        <n v="2880.15"/>
        <n v="160.0"/>
        <n v="10415.15"/>
        <n v="260.75"/>
        <n v="119.99"/>
        <n v="19583.94"/>
        <n v="165.36"/>
        <n v="518.33"/>
        <n v="51.07"/>
        <n v="39.96"/>
        <n v="273.98"/>
        <n v="231.32"/>
        <n v="218.0"/>
        <n v="430.02"/>
        <n v="175.0"/>
        <n v="354.16"/>
        <n v="73.34"/>
        <n v="226.0"/>
        <n v="38.43"/>
        <n v="127.93"/>
        <n v="105.44"/>
        <n v="185.2"/>
        <n v="23.09"/>
        <n v="239.91"/>
        <n v="175.26"/>
        <n v="1.36"/>
        <n v="325.0"/>
        <n v="5150.0"/>
        <n v="993.83"/>
        <n v="107.81"/>
        <n v="275.19"/>
        <n v="5080.0"/>
        <n v="148.07"/>
        <n v="12900.0"/>
        <n v="125.0"/>
        <n v="120000.0"/>
        <n v="284.94"/>
        <n v="9500.0"/>
        <n v="406.0"/>
        <n v="1040.0"/>
        <n v="2380.0"/>
        <n v="6656.0"/>
        <n v="248.18"/>
        <n v="2945.214"/>
        <n v="6500.0"/>
        <n v="1430.0"/>
        <n v="1600.0"/>
        <n v="503.0"/>
        <n v="917.51"/>
        <n v="900.0"/>
        <n v="4996.0"/>
        <n v="1120.0"/>
        <n v="123000.0"/>
        <n v="2899.1853"/>
        <n v="24.16"/>
        <n v="185.17"/>
        <n v="14000.0"/>
        <n v="572.0"/>
        <n v="730.0"/>
        <n v="39.99"/>
        <n v="217.0"/>
        <n v="273.99"/>
        <n v="73.33"/>
        <n v="127.9"/>
        <n v="433.08"/>
        <n v="2632.5"/>
        <n v="376.69"/>
        <n v="5.0"/>
        <n v="9000.0"/>
        <n v="70.13"/>
        <n v="2555.916475"/>
        <n v="2907.3109249999998"/>
        <n v="2854.1774"/>
        <n v="2531.0894"/>
        <n v="2869.40785"/>
        <n v="115000.0"/>
        <n v="2809.1695"/>
        <n v="2506.262325"/>
        <n v="2831.504775"/>
        <n v="2764.1616000000004"/>
        <n v="2481.4352500000005"/>
        <n v="2793.6017"/>
        <n v="2719.1537000000003"/>
        <n v="2456.6081750000003"/>
        <n v="2755.698625"/>
        <n v="134400.0"/>
        <n v="2674.1458000000002"/>
        <n v="2431.7811"/>
        <n v="2717.79555"/>
        <n v="2629.1379"/>
        <n v="2406.954025"/>
        <n v="2679.8924749999996"/>
        <n v="2382.1269500000003"/>
        <n v="2641.9894"/>
        <n v="126000.0"/>
        <n v="868.0"/>
        <n v="2357.299875"/>
        <n v="2604.0863249999998"/>
        <n v="963.38"/>
        <n v="2332.4728000000005"/>
        <n v="2566.18325"/>
        <n v="133800.0"/>
        <n v="2307.6457250000003"/>
        <n v="2528.280175"/>
        <n v="2282.81865"/>
        <n v="2490.3770999999997"/>
        <n v="2257.991575"/>
        <n v="2452.474025"/>
        <n v="2233.1645000000003"/>
        <n v="2414.57095"/>
        <n v="2208.337425"/>
        <n v="2376.667875"/>
        <n v="2183.5103500000005"/>
        <n v="2338.7648"/>
        <n v="2158.6832750000003"/>
        <n v="2300.8617249999998"/>
        <n v="2133.8562"/>
        <n v="2262.95865"/>
        <n v="2109.029125"/>
        <n v="2225.055575"/>
        <n v="2084.20205"/>
        <n v="2059.374975"/>
        <n v="2034.5479"/>
        <n v="2009.720825"/>
        <n v="1984.8937500000002"/>
        <n v="1960.066675"/>
        <n v="1935.2396"/>
        <n v="1910.4125250000002"/>
        <n v="1885.58545"/>
        <n v="1860.7583750000001"/>
        <n v="1835.9313000000002"/>
        <n v="1811.104225"/>
        <n v="1786.2771500000001"/>
        <n v="1761.4500750000002"/>
        <n v="1736.623"/>
        <n v="1711.7959250000001"/>
        <n v="1686.9688500000002"/>
        <n v="1662.141775"/>
        <n v="1637.3147000000001"/>
        <n v="1612.4876250000002"/>
        <n v="1587.66055"/>
        <n v="1562.833475"/>
        <n v="1538.0064000000002"/>
        <m/>
      </sharedItems>
    </cacheField>
    <cacheField name="Valor descontos" numFmtId="0">
      <sharedItems containsString="0" containsBlank="1">
        <m/>
      </sharedItems>
    </cacheField>
    <cacheField name="Valor pago">
      <sharedItems containsBlank="1" containsMixedTypes="1" containsNumber="1">
        <n v="6000.63"/>
        <n v="7610.0"/>
        <n v="4000.0"/>
        <n v="111.33"/>
        <n v="2500.0"/>
        <n v="73.8"/>
        <n v="1375.64"/>
        <n v="139.99"/>
        <n v="458.5"/>
        <n v="50.0"/>
        <n v="397.0"/>
        <n v="65.0"/>
        <n v="1000.0"/>
        <n v="1010.16"/>
        <n v="90.0"/>
        <n v="2786.78"/>
        <n v="592.0"/>
        <n v="24.0"/>
        <n v="750.0"/>
        <n v="720.0"/>
        <n v="20.99"/>
        <n v="744.0"/>
        <n v="1127.5"/>
        <n v="1533.0"/>
        <n v="374.8"/>
        <n v="20.0"/>
        <n v="7.36"/>
        <n v="3511.72"/>
        <n v="78.93"/>
        <n v="3250.0"/>
        <n v="500.0"/>
        <n v="826.14"/>
        <n v="400.0"/>
        <n v="278.01"/>
        <n v="24.25"/>
        <n v="102.83"/>
        <n v="162.17"/>
        <n v="19501.98"/>
        <n v="288.33"/>
        <n v="29.9"/>
        <n v="335.27"/>
        <n v="300.5"/>
        <n v="64.75"/>
        <n v="521.38"/>
        <n v="540.3"/>
        <n v="330.0"/>
        <n v="249.33"/>
        <n v="89.35"/>
        <n v="33.56"/>
        <n v="240.62"/>
        <n v="22.39"/>
        <n v="189.111"/>
        <n v="85.82"/>
        <n v="126.9"/>
        <n v="79.92"/>
        <n v="36.7"/>
        <n v="32.47"/>
        <n v="32.48"/>
        <n v="64.9"/>
        <n v="93.37"/>
        <n v="36.6"/>
        <n v="30.94"/>
        <n v="202.87"/>
        <n v="328.58"/>
        <n v="175.45"/>
        <n v="56.51"/>
        <n v="406.16"/>
        <n v="48.89"/>
        <n v="65.44"/>
        <n v="353.9"/>
        <n v="35.98"/>
        <n v="67.49"/>
        <n v="20.85"/>
        <n v="363.83"/>
        <n v="45.0"/>
        <n v="96.45"/>
        <n v="144.15"/>
        <n v="35.99"/>
        <n v="31.0"/>
        <n v="25.0"/>
        <n v="6.66"/>
        <n v="107.64"/>
        <n v="298.9"/>
        <n v="22.07"/>
        <n v="149.25"/>
        <n v="150.0"/>
        <n v="100.0"/>
        <n v="17.94"/>
        <n v="8.92"/>
        <n v="9.95"/>
        <n v="300.0"/>
        <n v="10.55"/>
        <n v="465.67"/>
        <n v="120.72"/>
        <n v="19.87"/>
        <n v="12.93"/>
        <n v="18.93"/>
        <n v="10.9"/>
        <n v="875.0"/>
        <n v="40.46"/>
        <n v="31.23"/>
        <n v="-238.52"/>
        <n v="170.0"/>
        <n v="469.34"/>
        <n v="649.91"/>
        <n v="10.0"/>
        <n v="57.4"/>
        <n v="17.14"/>
        <n v="15.14"/>
        <n v="164.97"/>
        <n v="32.0"/>
        <n v="2346.57"/>
        <n v="80.0"/>
        <n v="6033.3"/>
        <n v="360.54"/>
        <n v="1297.3"/>
        <n v="721.86"/>
        <n v="1119.83"/>
        <n v="39.16"/>
        <n v="879.24"/>
        <n v="33728.48"/>
        <n v="28000.0"/>
        <n v="3700.0"/>
        <n v="3699.0"/>
        <n v="160.22"/>
        <n v="1380.13"/>
        <n v="441.95"/>
        <n v="81970.1"/>
        <n v="780.0"/>
        <n v="2914.86"/>
        <n v="1750.0"/>
        <n v="30.0"/>
        <n v="20.34"/>
        <n v="6102.5"/>
        <n v="3000.0"/>
        <n v="462.81"/>
        <n v="3476.38"/>
        <n v="691.57"/>
        <n v="24.15"/>
        <n v="21534.25"/>
        <n v="1737.28"/>
        <n v="421.48"/>
        <n v="556.64"/>
        <n v="249.34"/>
        <n v="56.49"/>
        <n v="96.41"/>
        <n v="109.22"/>
        <n v="178.01"/>
        <n v="112.66"/>
        <n v="63.17"/>
        <n v="256.89"/>
        <n v="118.8"/>
        <n v="7.34"/>
        <n v="8.97"/>
        <n v="102.67"/>
        <n v="167.51"/>
        <n v="195.05"/>
        <n v="70.0"/>
        <n v="131.6"/>
        <n v="139.15"/>
        <n v="115.0"/>
        <n v="21.9"/>
        <n v="10.87"/>
        <n v="597.68"/>
        <n v="28.01"/>
        <n v="11.9"/>
        <n v="11.94"/>
        <n v="8.43"/>
        <n v="14.9"/>
        <n v="8.93"/>
        <n v="299.0"/>
        <n v="-312.69"/>
        <n v="600.0"/>
        <m/>
        <n v="1814.0"/>
        <n v="1815.0"/>
        <n v="12.58"/>
        <n v="48.37"/>
        <n v="24.14"/>
        <n v="620.0"/>
        <n v="838.36"/>
        <n v="380.54"/>
        <n v="889.0"/>
        <n v="725.0"/>
        <n v="59.5"/>
        <n v="60.0"/>
        <n v="34.53"/>
        <n v="4710.0"/>
        <n v="41.17"/>
        <n v="471.92"/>
        <n v="2346.67"/>
        <n v="1214.27"/>
        <n v="484.1"/>
        <n v="199.99"/>
        <n v="309.18"/>
        <n v="15134.41"/>
        <n v="1444.16"/>
        <n v="855.52"/>
        <n v="2551.21"/>
        <n v="75.0"/>
        <n v="688.68"/>
        <n v="1149.0"/>
        <n v="1150.0"/>
        <n v="3034.17"/>
        <n v="544.78"/>
        <n v="3453.26"/>
        <n v="562.83"/>
        <n v="426.48"/>
        <n v="540.77"/>
        <n v="63.16"/>
        <n v="412.89"/>
        <n v="190.05"/>
        <n v="410.79"/>
        <n v="212.43"/>
        <n v="109.94"/>
        <n v="16.23"/>
        <n v="287.21"/>
        <n v="184.24"/>
        <n v="593.82"/>
        <n v="96.0"/>
        <n v="-91.29"/>
        <n v="171.68"/>
        <n v="108.0"/>
        <n v="44.25"/>
        <n v="190.0"/>
        <n v="27.0"/>
        <n v="1779.51"/>
        <n v="425.0"/>
        <n v="17743.59"/>
        <n v="2625.0"/>
        <n v="2624.0"/>
        <n v="250.0"/>
        <n v="327.75"/>
        <n v="130.92"/>
        <n v="88.58"/>
        <n v="14.4"/>
        <n v="171.72"/>
        <n v="594.5"/>
        <n v="105.5"/>
        <n v="1063.95"/>
        <n v="1105.42"/>
        <n v="10.68"/>
        <n v="3339.3"/>
        <n v="1301.0"/>
        <n v="1300.0"/>
        <n v="7936.45"/>
        <n v="3905.0"/>
        <n v="333.34"/>
        <n v="1240.56"/>
        <n v="705.77"/>
        <n v="876.0"/>
        <n v="201.55"/>
        <n v="174.68"/>
        <n v="2954.2"/>
        <n v="3345.94"/>
        <n v="371.56"/>
        <n v="1500.0"/>
        <n v="1499.0"/>
        <n v="180.11"/>
        <n v="5.78"/>
        <n v="526.57"/>
        <n v="25.1"/>
        <n v="79.9"/>
        <n v="287.13"/>
        <n v="583.37"/>
        <n v="35.0"/>
        <n v="65.87"/>
        <n v="140.54"/>
        <n v="109.0"/>
        <n v="382.76"/>
        <n v="152.98"/>
        <n v="14.0"/>
        <n v="5.49"/>
        <n v="18.69"/>
        <n v="32.43"/>
        <n v="142.0"/>
        <n v="69.3"/>
        <n v="1447.19"/>
        <n v="14293.94"/>
        <n v="5060.0"/>
        <n v="1017.91"/>
        <n v="20.8"/>
        <n v="2999.0"/>
        <n v="993.71"/>
        <n v="308.33"/>
        <n v="143.89"/>
        <n v="1236.62"/>
        <n v="900.38"/>
        <n v="1497.62"/>
        <n v="594.59"/>
        <n v="48.67"/>
        <n v="3179.17"/>
        <n v="1301.66"/>
        <n v="1214.16"/>
        <n v="27.5"/>
        <n v="480.32"/>
        <n v="3500.0"/>
        <n v="3499.0"/>
        <n v="718.91"/>
        <n v="66500.0"/>
        <n v="69400.0"/>
        <n v="16751.55"/>
        <n v="624.0"/>
        <n v="800.0"/>
        <n v="2611.65"/>
        <n v="963.0"/>
        <n v="1249.0"/>
        <n v="1250.0"/>
        <n v="26.71"/>
        <n v="21.81"/>
        <n v="246.74"/>
        <n v="3375.28"/>
        <n v="559.98"/>
        <n v="463.13"/>
        <n v="463.12"/>
        <n v="578.15"/>
        <n v="450.0"/>
        <n v="200.0"/>
        <n v="120.0"/>
        <n v="7875.61"/>
        <n v="10403.94"/>
        <n v="2284.94"/>
        <n v="1100.0"/>
        <n v="278.05"/>
        <n v="15415.22"/>
        <n v="1373.12"/>
        <n v="659.27"/>
        <n v="826.49"/>
        <n v="895.3"/>
        <n v="587.1"/>
        <n v="292.92"/>
        <n v="46.2"/>
        <n v="382.73"/>
        <n v="194.18"/>
        <n v="110.24"/>
        <n v="145.12"/>
        <n v="241.25"/>
        <n v="334.49"/>
        <n v="32.39"/>
        <n v="49.98"/>
        <n v="40.0"/>
        <n v="10.94"/>
        <n v="49.5"/>
        <n v="95.0"/>
        <n v="94.05"/>
        <n v="37.86"/>
        <n v="105.99"/>
        <n v="33.06"/>
        <n v="-128.42"/>
        <n v="630.0"/>
        <n v="298.88"/>
        <n v="1118.1"/>
        <n v="650.0"/>
        <n v="1017.92"/>
        <n v="1833.33"/>
        <n v="223.73"/>
        <n v="1559.19"/>
        <n v="974.36"/>
        <n v="313.18"/>
        <n v="2675.0"/>
        <n v="2674.0"/>
        <n v="1686.67"/>
        <n v="4265.0"/>
        <n v="910.82"/>
        <n v="888.45"/>
        <n v="1044.98"/>
        <n v="383.68"/>
        <n v="48.75"/>
        <n v="5600.0"/>
        <n v="3296.41"/>
        <n v="1301.67"/>
        <n v="4891.51"/>
        <n v="71772.06"/>
        <n v="12.56"/>
        <n v="1275.18"/>
        <n v="46.67"/>
        <n v="583.22"/>
        <n v="525.08"/>
        <n v="5268.7"/>
        <n v="7000.0"/>
        <n v="9.88"/>
        <n v="63.12"/>
        <n v="4260.0"/>
        <n v="447.77"/>
        <n v="3374.2"/>
        <n v="506.57"/>
        <n v="12070.44"/>
        <n v="1419.86"/>
        <n v="624.05"/>
        <n v="761.0"/>
        <n v="346.27"/>
        <n v="45.99"/>
        <n v="492.92"/>
        <n v="265.55"/>
        <n v="151.83"/>
        <n v="382.72"/>
        <n v="328.02"/>
        <n v="59.45"/>
        <n v="233.5"/>
        <n v="569.08"/>
        <n v="35.81"/>
        <n v="204.28"/>
        <n v="171.36"/>
        <n v="22.1"/>
        <n v="27.92"/>
        <n v="83.6"/>
        <n v="87.99"/>
        <n v="16.9"/>
        <n v="11.72"/>
        <n v="41.75"/>
        <n v="118.0"/>
        <n v="61.05"/>
        <n v="77.88"/>
        <n v="149.97"/>
        <n v="29.99"/>
        <n v="483.52"/>
        <n v="117.09"/>
        <n v="133.8"/>
        <n v="78.55"/>
        <n v="3270.0"/>
        <n v="3999.0"/>
        <n v="223.69"/>
        <n v="38.33"/>
        <n v="420.0"/>
        <n v="947.61"/>
        <n v="936.37"/>
        <n v="1158.04"/>
        <n v="20.67"/>
        <n v="119.57"/>
        <n v="5831.95"/>
        <n v="3289.26"/>
        <n v="277.75"/>
        <n v="89.75"/>
        <n v="282.35"/>
        <n v="5050.0"/>
        <n v="5051.0"/>
        <n v="1420.0"/>
        <n v="1976.86"/>
        <n v="200.01"/>
        <n v="1275.97"/>
        <n v="229.5"/>
        <n v="3450.0"/>
        <n v="1290.56"/>
        <n v="703.26"/>
        <n v="616.47"/>
        <n v="5799.93"/>
        <n v="123.11"/>
        <n v="2250.0"/>
        <n v="560.85"/>
        <n v="3362.03"/>
        <n v="519.8"/>
        <n v="36.0"/>
        <n v="180.0"/>
        <n v="17245.86"/>
        <n v="2175.98"/>
        <n v="456.8"/>
        <n v="590.47"/>
        <n v="157.74"/>
        <n v="960.63"/>
        <n v="15.98"/>
        <n v="53.6"/>
        <n v="117.08"/>
        <n v="312.49"/>
        <n v="184.54"/>
        <n v="78.54"/>
        <n v="17.71"/>
        <n v="129.75"/>
        <n v="53.5"/>
        <n v="132.94"/>
        <n v="62.67"/>
        <n v="14.7"/>
        <n v="63.92"/>
        <n v="47.05"/>
        <n v="30.51"/>
        <n v="105.11"/>
        <n v="198.8"/>
        <n v="245.51"/>
        <n v="874.67"/>
        <n v="10.37"/>
        <n v="10.56"/>
        <n v="137.47"/>
        <n v="64.99"/>
        <n v="75058.02"/>
        <n v="1151.29"/>
        <n v="550.0"/>
        <n v="143.91"/>
        <n v="4550.0"/>
        <n v="296.4"/>
        <n v="541.02"/>
        <n v="540.96"/>
        <n v="10.44"/>
        <n v="2457.0"/>
        <n v="885.57"/>
        <n v="992.47"/>
        <n v="1120.6"/>
        <n v="28.58"/>
        <n v="3253.35"/>
        <n v="6385.68"/>
        <n v="104.82"/>
        <n v="15841.28"/>
        <n v="75.4"/>
        <n v="78.0"/>
        <n v="230.75"/>
        <n v="1304.26"/>
        <n v="415.8"/>
        <n v="162.5"/>
        <n v="1686.66"/>
        <n v="541.01"/>
        <n v="5112.17"/>
        <n v="616.46"/>
        <n v="1417.03"/>
        <n v="537.99"/>
        <n v="538.0"/>
        <n v="2710.0"/>
        <n v="3226.07"/>
        <n v="654.11"/>
        <n v="578.0"/>
        <n v="15207.57"/>
        <n v="3022.71"/>
        <n v="714.55"/>
        <n v="110.8"/>
        <n v="9.9"/>
        <n v="63.91"/>
        <n v="47.02"/>
        <n v="105.1"/>
        <n v="12.0"/>
        <n v="147.08"/>
        <n v="165.0"/>
        <n v="177.6"/>
        <n v="357.38"/>
        <n v="246.4"/>
        <n v="130.32"/>
        <n v="936.55"/>
        <n v="214.27"/>
        <n v="260.84"/>
        <n v="103.73"/>
        <n v="16.06"/>
        <n v="29.32"/>
        <n v="74.54"/>
        <n v="293.31"/>
        <n v="10.95"/>
        <n v="12.92"/>
        <n v="8.99"/>
        <n v="18.97"/>
        <n v="12.95"/>
        <n v="7.91"/>
        <n v="9.91"/>
        <n v="110.87"/>
        <n v="184.52"/>
        <n v="41746.0"/>
        <n v="173.6"/>
        <n v="121030.78"/>
        <n v="142.68"/>
        <n v="2831.84"/>
        <n v="353.98"/>
        <n v="3775.0"/>
        <n v="27.85"/>
        <n v="245.0"/>
        <n v="973.42"/>
        <n v="1191.47"/>
        <n v="91.96"/>
        <n v="1609.27"/>
        <n v="19.63"/>
        <n v="3.02"/>
        <n v="216.55"/>
        <n v="3297.86"/>
        <n v="99.29"/>
        <n v="130.0"/>
        <n v="56.0"/>
        <n v="3651.0"/>
        <n v="3650.0"/>
        <n v="295.0"/>
        <n v="6780.0"/>
        <n v="95550.0"/>
        <n v="5.85"/>
        <n v="1282.61"/>
        <n v="782.87"/>
        <n v="5530.23"/>
        <n v="766.46"/>
        <n v="462.36"/>
        <n v="377.76"/>
        <n v="691.82"/>
        <n v="930.92"/>
        <n v="81.83"/>
        <n v="9.92"/>
        <n v="14.95"/>
        <n v="13.94"/>
        <n v="293.98"/>
        <n v="109.96"/>
        <n v="936.54"/>
        <n v="356.42"/>
        <n v="233.58"/>
        <n v="260.88"/>
        <n v="324.97"/>
        <n v="71.13"/>
        <n v="47.2"/>
        <n v="82.33"/>
        <n v="62.8"/>
        <n v="65.99"/>
        <n v="121.07"/>
        <n v="124.47"/>
        <n v="106.36"/>
        <n v="98.93"/>
        <n v="4.58"/>
        <n v="10.93"/>
        <n v="9.06"/>
        <n v="10.97"/>
        <n v="233.34"/>
        <n v="54.28"/>
        <n v="57.0"/>
        <n v="38.09"/>
        <n v="85.29"/>
        <n v="10.41"/>
        <n v="3406.79"/>
        <n v="15210.9"/>
        <n v="3385.0"/>
        <n v="3125.0"/>
        <n v="600.48"/>
        <n v="3126.0"/>
        <n v="206.25"/>
        <n v="12.27"/>
        <n v="21881.12"/>
        <n v="237.15"/>
        <n v="113.88"/>
        <n v="268.95"/>
        <n v="5059.23"/>
        <n v="938.47"/>
        <n v="116.29"/>
        <n v="166.44"/>
        <n v="3185.43"/>
        <n v="2400.0"/>
        <n v="2399.0"/>
        <n v="212.5"/>
        <n v="210.0"/>
        <n v="1433.18"/>
        <n v="666.38"/>
        <n v="1166.6"/>
        <n v="2260.0"/>
        <n v="5225.83"/>
        <n v="767.0"/>
        <n v="3194.2"/>
        <n v="861.64"/>
        <n v="397.83"/>
        <n v="2500.01"/>
        <n v="14205.3"/>
        <n v="3456.91"/>
        <n v="332.0"/>
        <n v="661.92"/>
        <n v="265.48"/>
        <n v="-109.96"/>
        <n v="82.27"/>
        <n v="121.04"/>
        <n v="106.34"/>
        <n v="47.8"/>
        <n v="64.98"/>
        <n v="12.69"/>
        <n v="84.59"/>
        <n v="48.2"/>
        <n v="422.98"/>
        <n v="295.87"/>
        <n v="384.15"/>
        <n v="83.0"/>
        <n v="10.91"/>
        <n v="10.99"/>
        <n v="165.77"/>
        <n v="548.36"/>
        <n v="295.04"/>
        <n v="8.96"/>
        <n v="92.2"/>
        <n v="50.66"/>
        <n v="41.03"/>
        <n v="228.0"/>
        <n v="10.96"/>
        <n v="98.4"/>
        <n v="9.97"/>
        <n v="-566.4"/>
        <n v="-179.86"/>
        <n v="55.75"/>
        <n v="11.92"/>
        <n v="-109.95"/>
        <n v="-48.89"/>
        <n v="106.49"/>
        <n v="109.95"/>
        <n v="600.46"/>
        <n v="700.0"/>
        <n v="325.5"/>
        <n v="22.43"/>
        <n v="962.36"/>
        <n v="1224.77"/>
        <n v="3.32"/>
        <n v="249.91"/>
        <n v="3031.0"/>
        <n v="3030.0"/>
        <n v="3275.83"/>
        <n v="2800.0"/>
        <n v="5880.0"/>
        <n v="265.0"/>
        <n v="1450.0"/>
        <n v="1824.26"/>
        <n v="3900.0"/>
        <n v="727.72"/>
        <n v="706.46"/>
        <n v="5730.78"/>
        <n v="1751.0"/>
        <n v="335.98"/>
        <n v="40.02"/>
        <n v="487.97"/>
        <n v="3303.89"/>
        <n v="794.64"/>
        <n v="6000.0"/>
        <n v="6001.0"/>
        <n v="2201.0"/>
        <n v="2200.0"/>
        <n v="50.64"/>
        <n v="16386.58"/>
        <n v="4545.11"/>
        <n v="233.33"/>
        <n v="47.74"/>
        <n v="48.17"/>
        <n v="422.97"/>
        <n v="12.18"/>
        <n v="398.34"/>
        <n v="109.91"/>
        <n v="86.4"/>
        <n v="126.92"/>
        <n v="150.3"/>
        <n v="60.27"/>
        <n v="191.17"/>
        <n v="169.5"/>
        <n v="28.0"/>
        <n v="107.55"/>
        <n v="134.1"/>
        <n v="29.98"/>
        <n v="30.93"/>
        <n v="53.25"/>
        <n v="46447.72"/>
        <n v="5.25"/>
        <n v="8.94"/>
        <n v="85.28"/>
        <n v="221.66"/>
        <n v="180.07"/>
        <n v="302.19"/>
        <n v="115.83"/>
        <n v="114.98"/>
        <n v="30.3"/>
        <n v="1621.0"/>
        <n v="1620.0"/>
        <n v="5310.0"/>
        <n v="4200.0"/>
        <n v="350.0"/>
        <n v="962.35"/>
        <n v="1179.31"/>
        <n v="70.54"/>
        <n v="4250.0"/>
        <n v="1.73"/>
        <n v="3248.35"/>
        <n v="475.0"/>
        <n v="1770.0"/>
        <n v="1960.0"/>
        <n v="112.5"/>
        <n v="1779.69"/>
        <n v="5791.0"/>
        <n v="402.0"/>
        <n v="51.0"/>
        <n v="1202.5"/>
        <n v="446.25"/>
        <n v="5157.69"/>
        <n v="894.69"/>
        <n v="390.0"/>
        <n v="357.33"/>
        <n v="3234.99"/>
        <n v="631.99"/>
        <n v="4900.0"/>
        <n v="4901.0"/>
        <n v="58.7"/>
        <n v="48.28"/>
        <n v="8.9"/>
        <n v="338.66"/>
        <n v="199.39"/>
        <n v="22.68"/>
        <n v="31.25"/>
        <n v="66.4"/>
        <n v="278.41"/>
        <n v="250.8"/>
        <n v="164.98"/>
        <n v="110.82"/>
        <n v="263.34"/>
        <n v="221.74"/>
        <n v="86.93"/>
        <n v="13.39"/>
        <n v="10.98"/>
        <n v="46.81"/>
        <n v="51.13"/>
        <n v="338.3"/>
        <n v="21.0"/>
        <n v="7.0"/>
        <n v="11.06"/>
        <n v="-127.36"/>
        <n v="6191.84"/>
        <n v="13308.43"/>
        <n v="587.56"/>
        <n v="5551.0"/>
        <n v="5550.0"/>
        <n v="29.66"/>
        <n v="359.04"/>
        <n v="196.53"/>
        <n v="235.84"/>
        <n v="112.05"/>
        <n v="174.69"/>
        <n v="445.6"/>
        <n v="1179.3"/>
        <n v="3267.62"/>
        <n v="5424.18"/>
        <n v="5425.18"/>
        <n v="167.74"/>
        <n v="282.34"/>
        <n v="47149.03"/>
        <n v="1400.0"/>
        <n v="2000.0"/>
        <n v="1469.38"/>
        <n v="616.04"/>
        <n v="1780.0"/>
        <n v="5612.85"/>
        <n v="3192.97"/>
        <n v="977.37"/>
        <n v="324.41"/>
        <n v="58.66"/>
        <n v="11364.9"/>
        <n v="358.0"/>
        <n v="691.17"/>
        <n v="7084.68"/>
        <n v="110.81"/>
        <n v="47.73"/>
        <n v="51.06"/>
        <n v="217.26"/>
        <n v="379.43"/>
        <n v="515.17"/>
        <n v="52.25"/>
        <n v="291.08"/>
        <n v="59.89"/>
        <n v="26.0"/>
        <n v="220.0"/>
        <n v="227.22"/>
        <n v="47.9"/>
        <n v="185.24"/>
        <n v="249.16"/>
        <n v="160.93"/>
        <n v="147.25"/>
        <n v="6270.0"/>
        <n v="4950.0"/>
        <n v="29.69"/>
        <n v="114.07"/>
        <n v="246.79"/>
        <n v="218.65"/>
        <n v="74.64"/>
        <n v="27.07"/>
        <n v="2654.77"/>
        <n v="1017.27"/>
        <n v="98.18"/>
        <n v="13.64"/>
        <n v="4001.0"/>
        <n v="2040.0"/>
        <n v="3229.46"/>
        <n v="19.1"/>
        <n v="1108.83"/>
        <n v="62.45"/>
        <n v="1778.61"/>
        <n v="280.48"/>
        <n v="846.46"/>
        <n v="5417.28"/>
        <n v="2890.0"/>
        <n v="366.67"/>
        <n v="3207.61"/>
        <n v="518.06"/>
        <n v="2760.0"/>
        <n v="375.6"/>
        <n v="11.07"/>
        <n v="185.16"/>
        <n v="221.71"/>
        <n v="459.09"/>
        <n v="350.67"/>
        <n v="132.99"/>
        <n v="11.0"/>
        <n v="284.52"/>
        <n v="150.78"/>
        <n v="278.74"/>
        <n v="133.66"/>
        <n v="146.68"/>
        <n v="259.76"/>
        <n v="136.0"/>
        <n v="19.8"/>
        <n v="59.26"/>
        <n v="128.5"/>
        <n v="114.49"/>
        <n v="-279.0"/>
        <n v="9836.65"/>
        <n v="5196.47"/>
        <n v="1956.82"/>
        <n v="244.6"/>
        <n v="3850.0"/>
        <n v="3851.0"/>
        <n v="112.97"/>
        <n v="29.5"/>
        <n v="205.92"/>
        <n v="2146.88"/>
        <n v="200.02"/>
        <n v="107.33"/>
        <n v="988.64"/>
        <n v="760.77"/>
        <n v="1953.84"/>
        <n v="38667.76"/>
        <n v="3609.17"/>
        <n v="451.15"/>
        <n v="3191.27"/>
        <n v="6422.06"/>
        <n v="14.5"/>
        <n v="91520.0"/>
        <n v="33700.0"/>
        <n v="3470.0"/>
        <n v="1065.0"/>
        <n v="1064.18"/>
        <n v="69.47"/>
        <n v="680.0"/>
        <n v="1968.18"/>
        <n v="1701.0"/>
        <n v="1700.0"/>
        <n v="906.46"/>
        <n v="5228.08"/>
        <n v="260.0"/>
        <n v="88.51"/>
        <n v="480.39"/>
        <n v="520.56"/>
        <n v="3134.69"/>
        <n v="7640.35"/>
        <n v="5102.05"/>
        <n v="374.66"/>
        <n v="709.92"/>
        <n v="53.0"/>
        <n v="350.66"/>
        <n v="133.64"/>
        <n v="146.67"/>
        <n v="222.55"/>
        <n v="497.6"/>
        <n v="259.65"/>
        <n v="139.63"/>
        <n v="162.0"/>
        <n v="79.43"/>
        <n v="64.0"/>
        <n v="210.46"/>
        <n v="231.45"/>
        <n v="33.0"/>
        <n v="29.09"/>
        <n v="36.99"/>
        <n v="920.0"/>
        <n v="110.71"/>
        <n v="667.8"/>
        <n v="950.0"/>
        <n v="951.0"/>
        <n v="1661.0"/>
        <n v="39.26"/>
        <n v="294.98"/>
        <n v="53.75"/>
        <n v="16.36"/>
        <n v="847.42"/>
        <n v="204.96"/>
        <n v="26245.4"/>
        <n v="2410.0"/>
        <n v="2409.0"/>
        <n v="15900.0"/>
        <n v="435.0"/>
        <n v="434.0"/>
        <n v="960.62"/>
        <n v="5922.79"/>
        <n v="3109.37"/>
        <n v="275.0"/>
        <n v="5643.44"/>
        <n v="3701.0"/>
        <n v="3810.0"/>
        <n v="1804.49"/>
        <n v="284.0"/>
        <n v="1318.0"/>
        <n v="866.46"/>
        <n v="319.81"/>
        <n v="5400.32"/>
        <n v="826.8"/>
        <n v="848.0"/>
        <n v="1215.0"/>
        <n v="2135.0"/>
        <n v="35.61"/>
        <n v="409.86"/>
        <n v="3065.88"/>
        <n v="582.73"/>
        <n v="6078.84"/>
        <n v="10955.05"/>
        <n v="133.65"/>
        <n v="425.02"/>
        <n v="419.41"/>
        <n v="49.3"/>
        <n v="115.71"/>
        <n v="114.21"/>
        <n v="236.99"/>
        <n v="442.12"/>
        <n v="119.68"/>
        <n v="267.8"/>
        <n v="56.7"/>
        <n v="222.83"/>
        <n v="211.85"/>
        <n v="117.71"/>
        <n v="70.76"/>
        <n v="2428.54"/>
        <n v="5700.0"/>
        <n v="389.61"/>
        <n v="47.48"/>
        <n v="2983.95"/>
        <n v="285.09"/>
        <n v="3000.01"/>
        <n v="67.5"/>
        <n v="5409.0"/>
        <n v="1033.5"/>
        <n v="1166.0"/>
        <n v="1233.23"/>
        <n v="1582.25"/>
        <n v="167.5"/>
        <n v="48.59"/>
        <n v="6701.0"/>
        <n v="6700.0"/>
        <n v="3072.94"/>
        <n v="5230.0"/>
        <n v="1564.58"/>
        <n v="502.8"/>
        <n v="873.82"/>
        <n v="247.19"/>
        <n v="1274.65"/>
        <n v="4983.74"/>
        <n v="826.0"/>
        <n v="39320.81"/>
        <n v="3061.9"/>
        <n v="1270.0"/>
        <n v="383.07"/>
        <n v="3180.0"/>
        <n v="2002.68"/>
        <n v="3023.51"/>
        <n v="1140.96"/>
        <n v="100.16"/>
        <n v="11490.0"/>
        <n v="523.05"/>
        <n v="870.24"/>
        <n v="978.89"/>
        <n v="570.28"/>
        <n v="565.05"/>
        <n v="350.37"/>
        <n v="192.71"/>
        <n v="15.62"/>
        <n v="17888.0"/>
        <n v="419.4"/>
        <n v="114.19"/>
        <n v="119.66"/>
        <n v="525.09"/>
        <n v="93.27"/>
        <n v="471.76"/>
        <n v="207.54"/>
        <n v="148.7"/>
        <n v="128.0"/>
        <n v="23.93"/>
        <n v="22.94"/>
        <n v="76.0"/>
        <n v="34.0"/>
        <n v="757.72"/>
        <n v="220.64"/>
        <n v="6550.0"/>
        <n v="13.78"/>
        <n v="611.1"/>
        <n v="47.47"/>
        <n v="2196.45"/>
        <n v="109.59"/>
        <n v="68.66"/>
        <n v="285.48"/>
        <n v="296.96"/>
        <n v="4274.78"/>
        <n v="166.93"/>
        <n v="55.64"/>
        <n v="162.39"/>
        <n v="10544.17"/>
        <n v="90.63"/>
        <n v="1242.95"/>
        <n v="1147.77"/>
        <n v="3.4"/>
        <n v="501.0"/>
        <n v="5966.24"/>
        <n v="3036.53"/>
        <n v="5000.0"/>
        <n v="739.01"/>
        <n v="462.86"/>
        <n v="77400.0"/>
        <n v="14.11"/>
        <n v="54.99"/>
        <n v="1760.67"/>
        <n v="189.75"/>
        <n v="110.0"/>
        <n v="3830.0"/>
        <n v="896.46"/>
        <n v="516.57"/>
        <n v="118.2"/>
        <n v="122.93"/>
        <n v="4922.24"/>
        <n v="2960.82"/>
        <n v="403.88"/>
        <n v="410.76"/>
        <n v="22835.1"/>
        <n v="216.66"/>
        <n v="5450.0"/>
        <n v="40.41"/>
        <n v="212.27"/>
        <n v="12581.62"/>
        <n v="553.6"/>
        <n v="713.26"/>
        <n v="8074.26"/>
        <n v="114.18"/>
        <n v="177.17"/>
        <n v="976.78"/>
        <n v="71.95"/>
        <n v="391.78"/>
        <n v="134.75"/>
        <n v="246.7"/>
        <n v="283.71"/>
        <n v="119.38"/>
        <n v="146.82"/>
        <n v="106.94"/>
        <n v="8.5"/>
        <n v="197.0"/>
        <n v="46.1"/>
        <n v="7.5"/>
        <n v="209.93"/>
        <n v="216.58"/>
        <n v="19.15"/>
        <n v="108.87"/>
        <n v="70.15"/>
        <n v="227.63"/>
        <n v="470.94"/>
        <n v="1313.49"/>
        <n v="202.23"/>
        <n v="108.09"/>
        <n v="20.94"/>
        <n v="9.94"/>
        <n v="15.96"/>
        <n v="189.67"/>
        <n v="105.45"/>
        <n v="-210.86"/>
        <n v="158.5"/>
        <n v="4522.51"/>
        <n v="112.53"/>
        <n v="297.49"/>
        <n v="626.1"/>
        <n v="2150.0"/>
        <n v="12027.05"/>
        <n v="37700.0"/>
        <n v="1022.75"/>
        <n v="1030.0"/>
        <n v="117145.27"/>
        <n v="935.73"/>
        <n v="2891.37"/>
        <n v="1288.52"/>
        <n v="1260.0"/>
        <n v="6127.21"/>
        <n v="3695.0"/>
        <n v="313.81"/>
        <n v="104.6"/>
        <n v="3000.09"/>
        <n v="120.93"/>
        <n v="144.99"/>
        <n v="1472.06"/>
        <n v="447.0"/>
        <n v="462.1"/>
        <n v="840.0"/>
        <n v="2850.0"/>
        <n v="483.26"/>
        <n v="5187.8"/>
        <n v="367.78"/>
        <n v="2920.47"/>
        <n v="893.96"/>
        <n v="232.19"/>
        <n v="200.03"/>
        <n v="101.45"/>
        <n v="2028.99"/>
        <n v="102.94"/>
        <n v="15531.62"/>
        <n v="7997.01"/>
        <n v="581.33"/>
        <n v="179.13"/>
        <n v="71.94"/>
        <n v="40.06"/>
        <n v="246.66"/>
        <n v="146.81"/>
        <n v="98.36"/>
        <n v="200.68"/>
        <n v="105.43"/>
        <n v="146.66"/>
        <n v="274.0"/>
        <n v="231.33"/>
        <n v="293.87"/>
        <n v="482.32"/>
        <n v="70.12"/>
        <n v="20.9"/>
        <n v="164.34"/>
        <n v="102.13"/>
        <n v="1.4"/>
        <n v="2429.4"/>
        <n v="1224.35"/>
        <n v="277.3"/>
        <n v="108.35"/>
        <n v="5017.49"/>
        <n v="313.91"/>
        <n v="1226.57"/>
        <n v="978.38"/>
        <n v="408.0"/>
        <n v="6655.71"/>
        <n v="113.49"/>
        <n v="8.04"/>
        <n v="3750.0"/>
        <n v="2853.63"/>
        <n v="55.0"/>
        <n v="490.0"/>
        <n v="317.27"/>
        <n v="105.76"/>
        <n v="2640.0"/>
        <n v="1533.05"/>
        <n v="385.15"/>
        <n v="104.1"/>
        <n v="312.31"/>
        <n v="312.25"/>
        <n v="936.92"/>
        <n v="4588.04"/>
        <n v="437.68"/>
        <n v="324.83"/>
        <n v="2880.15"/>
        <n v="160.0"/>
        <n v="10415.15"/>
        <n v="260.75"/>
        <n v="119.99"/>
        <n v="19583.94"/>
        <n v="165.36"/>
        <n v="518.33"/>
        <n v="51.07"/>
        <n v="39.96"/>
        <n v="273.98"/>
        <n v="231.32"/>
        <n v="218.0"/>
        <n v="430.02"/>
        <n v="175.0"/>
        <n v="354.16"/>
        <n v="73.34"/>
        <n v="226.0"/>
        <n v="38.43"/>
        <n v="127.93"/>
        <n v="105.44"/>
        <n v="185.2"/>
        <n v="23.09"/>
        <n v="239.91"/>
        <n v="175.26"/>
        <n v="1.36"/>
        <s v=""/>
        <n v="325.0"/>
        <n v="5150.0"/>
        <n v="993.83"/>
        <n v="107.81"/>
        <n v="275.19"/>
      </sharedItems>
    </cacheField>
    <cacheField name="Recorrência" numFmtId="0">
      <sharedItems containsBlank="1">
        <s v="Mensal"/>
        <s v="Única"/>
        <s v="Parcelado"/>
        <m/>
      </sharedItems>
    </cacheField>
    <cacheField name="Parcelas">
      <sharedItems containsDate="1" containsBlank="1" containsMixedTypes="1">
        <m/>
        <s v="9/48"/>
        <d v="2024-06-02T00:00:00Z"/>
        <d v="2024-08-08T00:00:00Z"/>
        <d v="2024-03-01T00:00:00Z"/>
        <d v="2024-02-01T00:00:00Z"/>
        <s v="2/48"/>
        <d v="2024-07-01T00:00:00Z"/>
        <d v="2024-03-02T00:00:00Z"/>
        <d v="2024-12-11T00:00:00Z"/>
        <d v="2024-05-02T00:00:00Z"/>
        <d v="2024-05-01T00:00:00Z"/>
        <d v="2024-12-03T00:00:00Z"/>
        <d v="2024-10-08T00:00:00Z"/>
        <d v="2024-10-06T00:00:00Z"/>
        <d v="2024-10-03T00:00:00Z"/>
        <d v="2024-04-02T00:00:00Z"/>
        <d v="2024-10-07T00:00:00Z"/>
        <d v="2024-06-01T00:00:00Z"/>
        <d v="2024-12-01T00:00:00Z"/>
        <d v="2024-05-04T00:00:00Z"/>
        <d v="2024-08-07T00:00:00Z"/>
        <d v="2024-11-01T00:00:00Z"/>
        <d v="2024-04-01T00:00:00Z"/>
        <s v="1/25"/>
        <s v="10/48"/>
        <d v="2024-06-03T00:00:00Z"/>
        <d v="2024-02-02T00:00:00Z"/>
        <s v="1/26"/>
        <d v="2024-07-02T00:00:00Z"/>
        <d v="2024-03-03T00:00:00Z"/>
        <d v="2024-12-12T00:00:00Z"/>
        <d v="2024-05-03T00:00:00Z"/>
        <d v="2024-12-04T00:00:00Z"/>
        <d v="2024-10-09T00:00:00Z"/>
        <d v="2024-10-04T00:00:00Z"/>
        <d v="2024-04-03T00:00:00Z"/>
        <d v="2024-12-02T00:00:00Z"/>
        <d v="2024-05-05T00:00:00Z"/>
        <d v="2024-11-02T00:00:00Z"/>
        <s v="2/25"/>
        <s v="11/48"/>
        <d v="2024-06-04T00:00:00Z"/>
        <s v="2/26"/>
        <d v="2024-07-03T00:00:00Z"/>
        <d v="2024-12-05T00:00:00Z"/>
        <d v="2024-10-10T00:00:00Z"/>
        <d v="2024-10-05T00:00:00Z"/>
        <d v="2024-04-04T00:00:00Z"/>
        <d v="2024-11-03T00:00:00Z"/>
        <s v="1/37"/>
        <s v="3/25"/>
        <s v="12/48"/>
        <d v="2024-06-05T00:00:00Z"/>
        <s v="3/26"/>
        <d v="2024-07-04T00:00:00Z"/>
        <d v="2024-12-06T00:00:00Z"/>
        <d v="2024-08-01T00:00:00Z"/>
        <d v="2024-11-04T00:00:00Z"/>
        <s v="2/37"/>
        <s v="4/25"/>
        <s v="13/48"/>
        <d v="2024-06-06T00:00:00Z"/>
        <s v="4/26"/>
        <d v="2024-07-05T00:00:00Z"/>
        <d v="2024-12-07T00:00:00Z"/>
        <d v="2024-08-02T00:00:00Z"/>
        <d v="2024-11-05T00:00:00Z"/>
        <s v="3/37"/>
        <s v="5/25"/>
        <s v="14/48"/>
        <d v="2025-05-01T00:00:00Z"/>
        <s v="1/48"/>
        <s v="5/26"/>
        <d v="2024-08-03T00:00:00Z"/>
        <s v="02/13"/>
        <d v="2024-07-06T00:00:00Z"/>
        <d v="2024-12-08T00:00:00Z"/>
        <d v="2025-02-01T00:00:00Z"/>
        <d v="2024-11-06T00:00:00Z"/>
        <s v="4/37"/>
        <d v="2025-04-01T00:00:00Z"/>
        <d v="2025-12-03T00:00:00Z"/>
        <s v="6/25"/>
        <s v="15/48"/>
        <d v="2025-05-02T00:00:00Z"/>
        <d v="2025-12-01T00:00:00Z"/>
        <s v="6/26"/>
        <d v="2025-04-02T00:00:00Z"/>
        <d v="2024-07-07T00:00:00Z"/>
        <d v="2024-12-09T00:00:00Z"/>
        <d v="2024-08-04T00:00:00Z"/>
        <s v="03/13"/>
        <d v="2025-02-02T00:00:00Z"/>
        <d v="2025-03-01T00:00:00Z"/>
        <d v="2025-06-01T00:00:00Z"/>
        <d v="2024-11-07T00:00:00Z"/>
        <s v="5/37"/>
        <s v="7/25"/>
        <d v="2025-12-04T00:00:00Z"/>
        <s v="16/48"/>
        <d v="2025-05-03T00:00:00Z"/>
        <d v="2025-03-02T00:00:00Z"/>
        <s v="3/48"/>
        <d v="2025-12-02T00:00:00Z"/>
        <s v="7/26"/>
        <d v="2024-12-10T00:00:00Z"/>
        <d v="2024-08-05T00:00:00Z"/>
        <d v="2025-04-03T00:00:00Z"/>
        <d v="2025-06-02T00:00:00Z"/>
        <d v="2025-07-01T00:00:00Z"/>
        <d v="2025-10-01T00:00:00Z"/>
        <d v="2024-11-08T00:00:00Z"/>
        <d v="2025-03-03T00:00:00Z"/>
        <s v="6/37"/>
        <s v="8/25"/>
        <d v="2025-12-05T00:00:00Z"/>
        <d v="2025-07-03T00:00:00Z"/>
        <s v="17/48"/>
        <s v="4/48"/>
        <d v="2024-08-06T00:00:00Z"/>
        <d v="2025-04-04T00:00:00Z"/>
        <d v="2025-07-02T00:00:00Z"/>
        <s v="8/26"/>
        <d v="2024-11-09T00:00:00Z"/>
        <d v="2025-10-02T00:00:00Z"/>
        <s v="7/37"/>
        <s v="9/25"/>
        <d v="2025-12-06T00:00:00Z"/>
        <s v="18/48"/>
        <d v="2025-05-05T00:00:00Z"/>
        <d v="2025-05-04T00:00:00Z"/>
        <s v="5/48"/>
        <s v="9/26"/>
        <d v="2025-06-03T00:00:00Z"/>
        <d v="2025-11-01T00:00:00Z"/>
        <d v="2024-11-10T00:00:00Z"/>
        <d v="2025-10-03T00:00:00Z"/>
        <s v="8/37"/>
        <s v="10/25"/>
        <d v="2025-12-07T00:00:00Z"/>
        <s v="19/48"/>
        <s v="6/48"/>
        <s v="10/26"/>
        <d v="2025-06-04T00:00:00Z"/>
        <d v="2025-07-04T00:00:00Z"/>
        <d v="2025-11-02T00:00:00Z"/>
        <d v="2024-11-11T00:00:00Z"/>
        <d v="2025-10-04T00:00:00Z"/>
        <s v="9/37"/>
        <s v="11/25"/>
        <d v="2025-12-08T00:00:00Z"/>
        <s v="20/48"/>
        <s v="7/48"/>
        <s v="11/26"/>
        <d v="2025-06-05T00:00:00Z"/>
        <d v="2025-07-05T00:00:00Z"/>
        <d v="2025-11-03T00:00:00Z"/>
        <d v="2025-10-05T00:00:00Z"/>
        <s v="10/37"/>
        <d v="2025-12-09T00:00:00Z"/>
        <s v="12/25"/>
        <s v="21/48"/>
        <s v="8/48"/>
        <s v="12/26"/>
        <d v="2025-07-06T00:00:00Z"/>
        <d v="2025-11-04T00:00:00Z"/>
        <d v="2025-06-06T00:00:00Z"/>
        <d v="2025-10-06T00:00:00Z"/>
        <s v="11/37"/>
        <s v="13/25"/>
        <d v="2025-12-10T00:00:00Z"/>
        <s v="22/48"/>
        <s v="13/26"/>
        <d v="2025-07-07T00:00:00Z"/>
        <d v="2025-11-05T00:00:00Z"/>
        <d v="2025-10-07T00:00:00Z"/>
        <s v="12/37"/>
        <d v="2025-12-11T00:00:00Z"/>
        <s v="23/48"/>
        <s v="14/26"/>
        <d v="2025-11-06T00:00:00Z"/>
        <s v="14/25"/>
        <d v="2025-10-08T00:00:00Z"/>
        <s v="13/37"/>
        <d v="2025-12-12T00:00:00Z"/>
        <s v="24/48"/>
        <d v="2025-10-09T00:00:00Z"/>
        <s v="15/26"/>
        <s v="12/13"/>
        <d v="2025-11-07T00:00:00Z"/>
        <s v="15/25"/>
        <s v="14/37"/>
        <s v="25/48"/>
        <s v="1/24"/>
        <s v="16/26"/>
        <s v="13/13"/>
        <d v="2025-11-08T00:00:00Z"/>
        <s v="16/25"/>
        <d v="2025-10-10T00:00:00Z"/>
        <s v="15/37"/>
        <s v="1/18"/>
        <s v="26/48"/>
        <s v="2/24"/>
        <d v="2026-05-01T00:00:00Z"/>
        <s v="17/26"/>
        <d v="2025-11-09T00:00:00Z"/>
        <d v="2026-03-01T00:00:00Z"/>
        <s v="17/25"/>
        <s v="16/37"/>
        <d v="2026-07-01T00:00:00Z"/>
        <s v="2/18"/>
        <s v="27/48"/>
        <s v="3/24"/>
        <d v="2026-05-02T00:00:00Z"/>
        <s v="18/26"/>
        <d v="2025-11-10T00:00:00Z"/>
        <d v="2026-03-02T00:00:00Z"/>
        <d v="2026-02-01T00:00:00Z"/>
        <s v="18/25"/>
        <s v="17/37"/>
        <s v="3/18"/>
        <d v="2026-05-03T00:00:00Z"/>
        <d v="2026-04-01T00:00:00Z"/>
        <s v="28/48"/>
        <s v="4/24"/>
        <d v="2026-07-02T00:00:00Z"/>
        <s v="19/26"/>
        <d v="2025-11-11T00:00:00Z"/>
        <d v="2026-03-03T00:00:00Z"/>
        <d v="2026-12-01T00:00:00Z"/>
        <d v="2026-02-02T00:00:00Z"/>
        <s v="19/25"/>
        <d v="2026-04-02T00:00:00Z"/>
        <s v="18/37"/>
        <s v="20/25"/>
        <d v="2026-07-03T00:00:00Z"/>
        <s v="29/48"/>
        <s v="5/24"/>
        <s v="4/18"/>
        <d v="2026-05-04T00:00:00Z"/>
        <s v="20/26"/>
        <d v="2026-12-02T00:00:00Z"/>
        <d v="2026-04-03T00:00:00Z"/>
        <s v="1/42"/>
        <s v="19/37"/>
        <s v="21/25"/>
        <d v="2026-07-04T00:00:00Z"/>
        <s v="30/48"/>
        <s v="6/24"/>
        <s v="5/18"/>
        <d v="2026-05-05T00:00:00Z"/>
        <s v="21/26"/>
        <d v="2026-12-03T00:00:00Z"/>
        <s v="2/42"/>
        <s v="20/37"/>
        <s v="22/25"/>
        <d v="2026-07-05T00:00:00Z"/>
        <s v="31/48"/>
        <s v="7/24"/>
        <s v="6/18"/>
        <s v="22/26"/>
        <d v="2026-04-04T00:00:00Z"/>
        <d v="2026-12-04T00:00:00Z"/>
        <s v="3/42"/>
        <s v="21/37"/>
        <s v="23/25"/>
        <d v="2026-07-06T00:00:00Z"/>
        <s v="32/48"/>
        <s v="8/24"/>
        <s v="7/18"/>
        <s v="23/26"/>
        <d v="2026-12-05T00:00:00Z"/>
        <s v="4/42"/>
        <s v="22/37"/>
        <s v="24/25"/>
        <d v="2026-07-07T00:00:00Z"/>
        <s v="33/48"/>
        <s v="9/24"/>
        <s v="8/18"/>
        <s v="24/26"/>
        <d v="2026-12-06T00:00:00Z"/>
        <s v="5/42"/>
        <s v="23/37"/>
        <s v="25/25"/>
        <s v="34/48"/>
        <s v="10/24"/>
        <s v="9/18"/>
        <s v="25/26"/>
        <d v="2026-12-07T00:00:00Z"/>
        <s v="6/42"/>
        <s v="24/37"/>
        <s v="35/48"/>
        <s v="11/24"/>
        <s v="10/18"/>
        <s v="26/26"/>
        <d v="2026-12-08T00:00:00Z"/>
        <s v="7/42"/>
        <s v="25/37"/>
        <s v="36/48"/>
        <s v="12/24"/>
        <s v="11/18"/>
        <d v="2026-12-09T00:00:00Z"/>
        <s v="8/42"/>
        <s v="26/37"/>
        <s v="37/48"/>
        <s v="13/24"/>
        <s v="12/18"/>
        <d v="2026-12-10T00:00:00Z"/>
        <s v="9/42"/>
        <s v="27/37"/>
        <s v="38/48"/>
        <s v="14/24"/>
        <s v="13/18"/>
        <d v="2026-12-11T00:00:00Z"/>
        <s v="10/42"/>
        <s v="28/37"/>
        <s v="39/48"/>
        <s v="15/24"/>
        <s v="14/18"/>
        <d v="2026-12-12T00:00:00Z"/>
        <s v="11/42"/>
        <s v="29/37"/>
        <s v="40/48"/>
        <s v="16/24"/>
        <s v="15/18"/>
        <s v="12/42"/>
        <s v="30/37"/>
        <s v="41/48"/>
        <s v="17/24"/>
        <s v="16/18"/>
        <s v="13/42"/>
        <s v="31/37"/>
        <s v="42/48"/>
        <s v="18/24"/>
        <s v="17/18"/>
        <s v="14/42"/>
        <s v="32/37"/>
        <s v="43/48"/>
        <s v="19/24"/>
        <s v="18/18"/>
        <s v="15/42"/>
        <s v="33/37"/>
        <s v="44/48"/>
        <s v="20/24"/>
        <s v="16/42"/>
        <s v="34/37"/>
        <s v="45/48"/>
        <s v="21/24"/>
        <s v="17/42"/>
        <s v="35/37"/>
        <s v="46/48"/>
        <s v="22/24"/>
        <s v="18/42"/>
        <s v="36/37"/>
        <s v="47/48"/>
        <s v="23/24"/>
        <s v="19/42"/>
        <s v="37/37"/>
        <s v="48/48"/>
        <s v="24/24"/>
        <s v="20/42"/>
        <s v="21/42"/>
        <s v="22/42"/>
        <s v="23/42"/>
        <s v="24/42"/>
        <s v="25/42"/>
        <s v="26/42"/>
        <s v="27/42"/>
        <s v="28/42"/>
        <s v="29/42"/>
        <s v="30/42"/>
        <s v="31/42"/>
        <s v="32/42"/>
        <s v="33/42"/>
        <s v="34/42"/>
        <s v="35/42"/>
        <s v="36/42"/>
        <s v="37/42"/>
        <s v="38/42"/>
        <s v="39/42"/>
        <s v="40/42"/>
        <s v="41/42"/>
        <s v="42/42"/>
      </sharedItems>
    </cacheField>
    <cacheField name="Classificação" numFmtId="0">
      <sharedItems containsBlank="1">
        <s v="ALUGUEIS"/>
        <s v="COMPRA DE MERCADORIA"/>
        <s v="SALARIOS"/>
        <s v="ALVARÁ DE FUNCIONAMENTO"/>
        <s v="TARIFAS BANCÁRIAS"/>
        <s v="CONVÊNIO MÉDICO"/>
        <s v="INTERNET"/>
        <s v="PARCELA DO FINANCIAMENTO"/>
        <s v="SERVIÇOS TERCEIRIZADOS"/>
        <s v="CONTABILIDADE"/>
        <s v="OUTRAS DESPESAS COM PESSOAL"/>
        <s v="FRETE DE VENDAS"/>
        <s v="COMPRA DE MERCADO/PADARIA"/>
        <s v="PAGAMENTO DE EMPRESTIMOS (BANCOS)"/>
        <s v="ADIANTAMENTO DE SALARIO"/>
        <s v="ALIMENTAÇÃO FUNCIONARIOS"/>
        <s v="EMPRESTIMOS PARA TERCEIROS"/>
        <s v="ENERGIA ELETRICA"/>
        <s v="COMPRA DE BENS/EQUIPAMENTOS"/>
        <s v="TARIFAS DE PIX"/>
        <s v="IMPOSTO DE RENDA - DAS"/>
        <s v="DESPESA COM SISTEMAS"/>
        <s v="MATERIAL PAPELARIA/COPA/COZINHA"/>
        <s v="MARKETING E PUBLICIDADE"/>
        <s v="FGTS"/>
        <s v="INSS"/>
        <s v="SEGUROS DE VEÍCULOS"/>
        <s v="MATERIAL LIMPEZA/CONSERVAÇÃO"/>
        <s v="EMBALAGENS/FITAS/GERAL"/>
        <s v="MANUTENÇÃO BENS DE EXPEDIENTE"/>
        <s v="ÁGUA E ESGOTO"/>
        <s v="MANUTENÇÃO DE VEÍCULOS"/>
        <s v="SEGURO PATRIMONIO"/>
        <s v="COMBUSTIVEIS"/>
        <s v="TRANSPORTE URBANO (TÁXI, UBER)"/>
        <s v="ALARME/MONITORAMENTO/VIGILÂNCIA"/>
        <s v="VALE ALIMENTAÇÃO"/>
        <s v="TELEFONIA/CELULAR"/>
        <s v="RETIRADA DE CAPITAL"/>
        <s v="PEDÁGIOS"/>
        <s v="DOAÇÕES"/>
        <s v="IPVA / DPVAT / LICENCIAMENTO"/>
        <s v="MATERIAL DE EXPEDIENTE"/>
        <s v="ESTACIONAMENTO"/>
        <s v="ALIMENTAÇÃO"/>
        <s v="HOSPEDAGEM"/>
        <s v="MANUTENÇÃO EQUIPAMENTOS OPERAÇÃO"/>
        <s v="OUTROS IMPOSTOS E TAXAS"/>
        <s v="COMPRA DE PATRIMÔNIO"/>
        <s v="SOFTWARE / LICENÇA DE USO"/>
        <s v="MANUTENÇÃO PREDIAL"/>
        <s v="OUTRAS DESPESAS NÃO OPERACIONAIS"/>
        <s v="13 SALARIO"/>
        <s v="MANUTENÇÃO EQUIPAMENTOS ADM"/>
        <s v="OUTRAS DESPESAS ADM"/>
        <s v="TARIFAS FINANCEIRAS DIVERSAS"/>
        <s v="MULTAS DE TRÂNSITO"/>
        <s v="EXAMES ADM/DEM/PER"/>
        <s v="TAXAS LICENÇA"/>
        <s v="FÉRIAS"/>
        <s v="CONTRIBUIÇÃO SINDICAL"/>
        <s v="VALE TRANSPORTE"/>
        <m/>
      </sharedItems>
    </cacheField>
    <cacheField name="MÊS/ANO VENCIMENTO" numFmtId="0">
      <sharedItems containsBlank="1">
        <s v="08/2024"/>
        <s v="09/2024"/>
        <s v="10/2024"/>
        <s v="11/2024"/>
        <s v="12/2024"/>
        <s v="01/2025"/>
        <s v="02/2025"/>
        <s v="03/2025"/>
        <s v="04/2025"/>
        <s v="05/2025"/>
        <s v="06/2025"/>
        <s v="07/2025"/>
        <s v="08/2025"/>
        <s v="09/2025"/>
        <s v="10/2025"/>
        <s v="11/2025"/>
        <s v="12/2025"/>
        <s v="01/2026"/>
        <s v="02/2026"/>
        <s v="03/2026"/>
        <s v="04/2026"/>
        <s v="05/2026"/>
        <s v="06/2026"/>
        <s v="07/2026"/>
        <s v="08/2026"/>
        <s v="09/2026"/>
        <s v="10/2026"/>
        <s v="11/2026"/>
        <s v="12/2026"/>
        <s v="01/2027"/>
        <s v="02/2027"/>
        <s v="03/2027"/>
        <s v="04/2027"/>
        <s v="05/2027"/>
        <s v="06/2027"/>
        <s v="07/2027"/>
        <s v="08/2027"/>
        <s v="09/2027"/>
        <s v="10/2027"/>
        <s v="11/2027"/>
        <s v="12/2027"/>
        <s v="01/2028"/>
        <s v="02/2028"/>
        <s v="03/2028"/>
        <s v="04/2028"/>
        <s v="05/2028"/>
        <s v="06/2028"/>
        <s v="07/2028"/>
        <s v="08/2028"/>
        <s v="09/2028"/>
        <s v="10/2028"/>
        <s v="11/2028"/>
        <s v="12/2028"/>
        <s v="01/2029"/>
        <s v="02/2029"/>
        <s v="03/2029"/>
        <s v="04/2029"/>
        <s v="05/2029"/>
        <s v="06/2029"/>
        <s v="07/2029"/>
        <s v="08/2029"/>
        <s v="09/2029"/>
        <s v=""/>
        <m/>
      </sharedItems>
    </cacheField>
    <cacheField name="MÊS/ANO PAGAMENTO" numFmtId="0">
      <sharedItems containsBlank="1">
        <s v="08/2024"/>
        <m/>
        <s v="09/2024"/>
        <s v="10/2024"/>
        <s v="11/2024"/>
        <s v="12/2024"/>
        <s v="01/2025"/>
        <s v="02/2025"/>
        <s v="03/2025"/>
        <s v="04/2025"/>
        <s v="05/2025"/>
        <s v="06/2025"/>
        <s v="07/2025"/>
        <s v="08/2025"/>
        <s v="09/2025"/>
        <s v="10/2025"/>
        <s v="11/2025"/>
        <s v="12/2025"/>
        <s v="01/2026"/>
        <s v="02/2026"/>
        <s v="03/2026"/>
        <s v=""/>
      </sharedItems>
    </cacheField>
    <cacheField name="SUBCATEGORIA" numFmtId="0">
      <sharedItems containsBlank="1">
        <s v="DESPESAS COM OCUPAÇÃO"/>
        <s v="COMPRA DE MERCADORIA"/>
        <s v="DESPESAS COM PESSOAL"/>
        <s v="DESPESAS NÃO OPERACIONAIS"/>
        <s v="DESPESAS ADMINISTRATIVAS"/>
        <s v="FRETE DE VENDAS"/>
        <s v="DESPESAS DIVERSAS"/>
        <s v="TARIFAS DE PIX"/>
        <s v="IMPOSTO DE RENDA - DAS"/>
        <s v="DESPESAS COM VEICULOS"/>
        <s v="EMBALAGENS/FITAS/GERAL"/>
        <s v="DESPESAS COM VIAGENS"/>
        <s v="IMPOSTOS E TAXAS DIVERSAS"/>
        <s v="TARIFAS FINANCEIRAS DIVERSAS"/>
        <m/>
        <s v=""/>
      </sharedItems>
    </cacheField>
    <cacheField name="CATEGORIA" numFmtId="0">
      <sharedItems containsBlank="1">
        <s v="DESPESAS FIXAS (-)"/>
        <s v="CUSTOS VARIÁVEIS"/>
        <s v="RESULTADO NÃO OPERACIONAL (+/-)"/>
        <s v="(+/-) RESULTADO FINANCEIRO LÍQUIDO"/>
        <s v="DEDUÇÕES DA RECEITA BRUTA (-)"/>
        <m/>
        <s v="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SALDO DAS CONTAS" cacheId="0" dataCaption="" rowGrandTotals="0" compact="0" compactData="0">
  <location ref="A5:A5" firstHeaderRow="0" firstDataRow="2" firstDataCol="1"/>
  <pivotFields>
    <pivotField name="CONTA" axis="axisRow" compact="0" outline="0" multipleItemSelectionAllowed="1" showAll="0" sortType="ascending" defaultSubtotal="0">
      <items>
        <item h="1" x="2"/>
        <item x="0"/>
        <item h="1" x="1"/>
      </items>
    </pivotField>
    <pivotField name="DATA" axis="axisCol" compact="0" numFmtId="165" outline="0" multipleItemSelectionAllowed="1" showAll="0" sortType="ascending">
      <items>
        <item x="67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t="default"/>
      </items>
    </pivotField>
    <pivotField name="ITEM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VALOR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t="default"/>
      </items>
    </pivotField>
    <pivotField name="ANO" compact="0" outline="0" multipleItemSelectionAllowed="1" showAll="0">
      <items>
        <item x="0"/>
        <item x="1"/>
        <item x="2"/>
        <item x="3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>
    <field x="0"/>
    <field x="2"/>
  </rowFields>
  <colFields>
    <field x="1"/>
  </colFields>
  <dataFields>
    <dataField name="SUM of VALOR" fld="3" baseField="0"/>
  </dataFields>
</pivotTableDefinition>
</file>

<file path=xl/pivotTables/pivotTable2.xml><?xml version="1.0" encoding="utf-8"?>
<pivotTableDefinition xmlns="http://schemas.openxmlformats.org/spreadsheetml/2006/main" name="TABELA SALDO DAS CONTAS 2" cacheId="0" dataCaption="" rowGrandTotals="0" compact="0" compactData="0">
  <location ref="A14:A14" firstHeaderRow="0" firstDataRow="2" firstDataCol="1"/>
  <pivotFields>
    <pivotField name="CONTA" axis="axisRow" compact="0" outline="0" multipleItemSelectionAllowed="1" showAll="0" sortType="ascending" defaultSubtotal="0">
      <items>
        <item h="1" x="2"/>
        <item h="1" x="0"/>
        <item x="1"/>
      </items>
    </pivotField>
    <pivotField name="DATA" axis="axisCol" compact="0" numFmtId="165" outline="0" multipleItemSelectionAllowed="1" showAll="0" sortType="ascending">
      <items>
        <item x="67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t="default"/>
      </items>
    </pivotField>
    <pivotField name="ITEM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VALOR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t="default"/>
      </items>
    </pivotField>
    <pivotField name="ANO" compact="0" outline="0" multipleItemSelectionAllowed="1" showAll="0">
      <items>
        <item x="0"/>
        <item x="1"/>
        <item x="2"/>
        <item x="3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>
    <field x="0"/>
    <field x="2"/>
  </rowFields>
  <colFields>
    <field x="1"/>
  </colFields>
  <dataFields>
    <dataField name="SUM of VALOR" fld="3" baseField="0"/>
  </dataFields>
</pivotTableDefinition>
</file>

<file path=xl/pivotTables/pivotTable3.xml><?xml version="1.0" encoding="utf-8"?>
<pivotTableDefinition xmlns="http://schemas.openxmlformats.org/spreadsheetml/2006/main" name="TABELA SALDO DAS CONTAS 3" cacheId="0" dataCaption="" compact="0" compactData="0">
  <location ref="A21:A21" firstHeaderRow="0" firstDataRow="2" firstDataCol="1"/>
  <pivotFields>
    <pivotField name="CONTA" axis="axisRow" compact="0" outline="0" multipleItemSelectionAllowed="1" showAll="0" sortType="ascending" defaultSubtotal="0">
      <items>
        <item h="1" x="2"/>
        <item x="0"/>
        <item x="1"/>
      </items>
    </pivotField>
    <pivotField name="DATA" axis="axisCol" compact="0" numFmtId="165" outline="0" multipleItemSelectionAllowed="1" showAll="0" sortType="ascending">
      <items>
        <item x="67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t="default"/>
      </items>
    </pivotField>
    <pivotField name="ITEM" axis="axisRow" compact="0" outline="0" multipleItemSelectionAllowed="1" showAll="0" sortType="ascending">
      <items>
        <item h="1" x="4"/>
        <item h="1" x="0"/>
        <item h="1" x="1"/>
        <item h="1" x="2"/>
        <item x="3"/>
        <item t="default"/>
      </items>
    </pivotField>
    <pivotField name="VALOR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t="default"/>
      </items>
    </pivotField>
    <pivotField name="ANO" compact="0" outline="0" multipleItemSelectionAllowed="1" showAll="0">
      <items>
        <item x="0"/>
        <item x="1"/>
        <item x="2"/>
        <item x="3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>
    <field x="0"/>
    <field x="2"/>
  </rowFields>
  <colFields>
    <field x="1"/>
  </colFields>
  <dataFields>
    <dataField name="SUM of VALOR" fld="3" baseField="0"/>
  </dataFields>
</pivotTableDefinition>
</file>

<file path=xl/pivotTables/pivotTable4.xml><?xml version="1.0" encoding="utf-8"?>
<pivotTableDefinition xmlns="http://schemas.openxmlformats.org/spreadsheetml/2006/main" name="Tabela diária" cacheId="1" dataCaption="" compact="0" compactData="0">
  <location ref="A4:Y10" firstHeaderRow="0" firstDataRow="3" firstDataCol="1" rowPageCount="1" colPageCount="1"/>
  <pivotFields>
    <pivotField name="Data do vencimento" axis="axisCol" compact="0" numFmtId="165" outline="0" multipleItemSelectionAllowed="1" showAll="0" sortType="ascending">
      <items>
        <item x="6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t="default"/>
      </items>
    </pivotField>
    <pivotField name="Data da emiss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t="default"/>
      </items>
    </pivotField>
    <pivotField name="Data do pag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t="default"/>
      </items>
    </pivotField>
    <pivotField name="Fornecedor" axis="axisRow" compact="0" outline="0" multipleItemSelectionAllowed="1" showAll="0" sortType="ascending">
      <items>
        <item x="206"/>
        <item x="180"/>
        <item x="0"/>
        <item x="123"/>
        <item x="13"/>
        <item x="177"/>
        <item x="140"/>
        <item x="50"/>
        <item x="162"/>
        <item x="119"/>
        <item x="143"/>
        <item x="6"/>
        <item x="146"/>
        <item x="148"/>
        <item x="131"/>
        <item x="63"/>
        <item x="159"/>
        <item x="71"/>
        <item x="157"/>
        <item x="57"/>
        <item x="5"/>
        <item x="54"/>
        <item x="205"/>
        <item x="197"/>
        <item x="24"/>
        <item x="78"/>
        <item x="25"/>
        <item x="139"/>
        <item x="26"/>
        <item x="27"/>
        <item x="136"/>
        <item x="28"/>
        <item x="93"/>
        <item x="68"/>
        <item x="132"/>
        <item x="8"/>
        <item x="90"/>
        <item x="81"/>
        <item x="79"/>
        <item x="103"/>
        <item x="64"/>
        <item x="95"/>
        <item x="126"/>
        <item x="20"/>
        <item x="150"/>
        <item x="179"/>
        <item x="22"/>
        <item x="15"/>
        <item x="161"/>
        <item x="74"/>
        <item x="169"/>
        <item x="190"/>
        <item x="201"/>
        <item x="7"/>
        <item x="102"/>
        <item x="199"/>
        <item x="72"/>
        <item x="198"/>
        <item x="59"/>
        <item x="94"/>
        <item x="200"/>
        <item x="142"/>
        <item x="195"/>
        <item x="29"/>
        <item x="30"/>
        <item x="2"/>
        <item x="192"/>
        <item x="73"/>
        <item x="147"/>
        <item x="65"/>
        <item x="175"/>
        <item x="121"/>
        <item x="87"/>
        <item x="31"/>
        <item x="151"/>
        <item x="186"/>
        <item x="61"/>
        <item x="171"/>
        <item x="96"/>
        <item x="122"/>
        <item x="85"/>
        <item x="108"/>
        <item x="204"/>
        <item x="51"/>
        <item x="112"/>
        <item x="91"/>
        <item x="154"/>
        <item x="32"/>
        <item x="120"/>
        <item x="156"/>
        <item x="114"/>
        <item x="124"/>
        <item x="125"/>
        <item x="33"/>
        <item x="138"/>
        <item x="88"/>
        <item x="163"/>
        <item x="23"/>
        <item x="185"/>
        <item x="34"/>
        <item x="83"/>
        <item x="165"/>
        <item x="117"/>
        <item x="160"/>
        <item x="89"/>
        <item x="4"/>
        <item x="35"/>
        <item x="193"/>
        <item x="130"/>
        <item x="183"/>
        <item x="128"/>
        <item x="127"/>
        <item x="36"/>
        <item x="37"/>
        <item x="116"/>
        <item x="176"/>
        <item x="77"/>
        <item x="86"/>
        <item x="155"/>
        <item x="144"/>
        <item x="182"/>
        <item x="194"/>
        <item x="133"/>
        <item x="58"/>
        <item x="69"/>
        <item x="97"/>
        <item x="104"/>
        <item x="137"/>
        <item x="202"/>
        <item x="187"/>
        <item x="178"/>
        <item x="166"/>
        <item x="109"/>
        <item x="10"/>
        <item x="38"/>
        <item x="168"/>
        <item x="170"/>
        <item x="11"/>
        <item x="56"/>
        <item x="39"/>
        <item x="111"/>
        <item x="40"/>
        <item x="105"/>
        <item x="188"/>
        <item x="41"/>
        <item x="153"/>
        <item x="174"/>
        <item x="42"/>
        <item x="43"/>
        <item x="52"/>
        <item x="134"/>
        <item x="196"/>
        <item x="152"/>
        <item x="106"/>
        <item x="181"/>
        <item x="115"/>
        <item x="173"/>
        <item x="98"/>
        <item x="158"/>
        <item x="21"/>
        <item x="3"/>
        <item x="16"/>
        <item x="191"/>
        <item x="100"/>
        <item x="19"/>
        <item x="107"/>
        <item x="113"/>
        <item x="76"/>
        <item x="203"/>
        <item x="1"/>
        <item x="70"/>
        <item x="44"/>
        <item x="92"/>
        <item x="62"/>
        <item x="82"/>
        <item x="60"/>
        <item x="99"/>
        <item x="9"/>
        <item x="135"/>
        <item x="172"/>
        <item x="66"/>
        <item x="45"/>
        <item x="129"/>
        <item x="17"/>
        <item x="189"/>
        <item x="80"/>
        <item x="12"/>
        <item x="67"/>
        <item x="18"/>
        <item x="118"/>
        <item x="46"/>
        <item x="47"/>
        <item x="145"/>
        <item x="48"/>
        <item x="53"/>
        <item x="167"/>
        <item x="164"/>
        <item x="110"/>
        <item x="55"/>
        <item x="149"/>
        <item x="84"/>
        <item x="49"/>
        <item x="184"/>
        <item x="14"/>
        <item x="141"/>
        <item x="75"/>
        <item x="10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Banco/conta" compact="0" outline="0" multipleItemSelectionAllowed="1" showAll="0">
      <items>
        <item x="0"/>
        <item x="1"/>
        <item x="2"/>
        <item x="3"/>
        <item t="default"/>
      </items>
    </pivotField>
    <pivotField name="Descri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t="default"/>
      </items>
    </pivotField>
    <pivotField name="Valor" axis="axisPage" dataField="1" compact="0" numFmtId="164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t="default"/>
      </items>
    </pivotField>
    <pivotField name="Valor descontos" compact="0" outline="0" multipleItemSelectionAllowed="1" showAll="0">
      <items>
        <item x="0"/>
        <item t="default"/>
      </items>
    </pivotField>
    <pivotField name="Valor pa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t="default"/>
      </items>
    </pivotField>
    <pivotField name="Recorrência" compact="0" outline="0" multipleItemSelectionAllowed="1" showAll="0">
      <items>
        <item x="0"/>
        <item x="1"/>
        <item x="2"/>
        <item x="3"/>
        <item t="default"/>
      </items>
    </pivotField>
    <pivotField name="Parcel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t="default"/>
      </items>
    </pivotField>
    <pivotField name="Classificação" axis="axisRow" compact="0" outline="0" multipleItemSelectionAllowed="1" showAll="0" sortType="ascending" defaultSubtotal="0">
      <items>
        <item x="62"/>
        <item x="52"/>
        <item x="14"/>
        <item x="30"/>
        <item x="35"/>
        <item x="44"/>
        <item x="15"/>
        <item x="0"/>
        <item x="3"/>
        <item x="33"/>
        <item x="18"/>
        <item x="12"/>
        <item x="1"/>
        <item x="48"/>
        <item x="9"/>
        <item x="60"/>
        <item sd="0" x="5"/>
        <item x="21"/>
        <item x="40"/>
        <item x="28"/>
        <item x="16"/>
        <item x="17"/>
        <item x="43"/>
        <item x="57"/>
        <item x="59"/>
        <item x="24"/>
        <item x="11"/>
        <item x="45"/>
        <item x="20"/>
        <item x="25"/>
        <item x="6"/>
        <item x="41"/>
        <item x="29"/>
        <item x="31"/>
        <item x="53"/>
        <item x="46"/>
        <item x="50"/>
        <item x="23"/>
        <item x="42"/>
        <item x="27"/>
        <item x="22"/>
        <item x="56"/>
        <item x="54"/>
        <item x="10"/>
        <item x="51"/>
        <item x="47"/>
        <item sd="0" x="13"/>
        <item x="7"/>
        <item x="39"/>
        <item x="38"/>
        <item x="2"/>
        <item x="32"/>
        <item x="26"/>
        <item x="8"/>
        <item x="49"/>
        <item sd="0" x="4"/>
        <item x="19"/>
        <item x="55"/>
        <item x="58"/>
        <item x="37"/>
        <item x="34"/>
        <item sd="0" x="36"/>
        <item x="61"/>
      </items>
    </pivotField>
    <pivotField name="MÊS/ANO VENCI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MÊS/ANO PAG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UBCATEGORIA" axis="axisRow" compact="0" outline="0" multipleItemSelectionAllowed="1" showAll="0" sortType="ascending" defaultSubtotal="0">
      <items>
        <item x="14"/>
        <item x="15"/>
        <item x="1"/>
        <item x="4"/>
        <item x="0"/>
        <item x="2"/>
        <item x="9"/>
        <item x="11"/>
        <item x="6"/>
        <item x="3"/>
        <item x="10"/>
        <item x="5"/>
        <item x="8"/>
        <item x="12"/>
        <item x="7"/>
        <item x="13"/>
      </items>
    </pivotField>
    <pivotField name="CATEGORI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6"/>
    <field x="13"/>
    <field x="3"/>
  </rowFields>
  <colFields>
    <field x="0"/>
  </colFields>
  <pageFields>
    <pageField fld="8"/>
  </pageFields>
  <dataFields>
    <dataField name="SUM of Valor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marcaria.com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17.63"/>
    <col customWidth="1" min="3" max="3" width="19.0"/>
    <col customWidth="1" min="4" max="4" width="47.5"/>
    <col customWidth="1" min="6" max="6" width="13.38"/>
    <col customWidth="1" min="7" max="7" width="25.75"/>
    <col customWidth="1" min="8" max="8" width="56.13"/>
    <col customWidth="1" min="9" max="9" width="14.38"/>
    <col customWidth="1" min="10" max="10" width="12.88"/>
    <col customWidth="1" min="14" max="14" width="30.38"/>
    <col customWidth="1" min="15" max="15" width="25.63"/>
    <col customWidth="1" min="16" max="16" width="27.0"/>
    <col customWidth="1" min="17" max="17" width="24.25"/>
    <col customWidth="1" min="18" max="18" width="35.75"/>
    <col customWidth="1" min="19" max="19" width="20.88"/>
    <col customWidth="1" min="20" max="20" width="16.75"/>
    <col customWidth="1" min="21" max="21" width="17.13"/>
    <col customWidth="1" min="22" max="22" width="15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  <c r="H1" s="4" t="s">
        <v>7</v>
      </c>
      <c r="I1" s="6" t="s">
        <v>8</v>
      </c>
      <c r="J1" s="7" t="s">
        <v>9</v>
      </c>
      <c r="K1" s="3" t="s">
        <v>10</v>
      </c>
      <c r="L1" s="4" t="s">
        <v>11</v>
      </c>
      <c r="M1" s="8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/>
      <c r="Z1" s="4"/>
      <c r="AA1" s="4"/>
      <c r="AB1" s="4"/>
      <c r="AC1" s="4"/>
    </row>
    <row r="2">
      <c r="A2" s="9">
        <v>45505.0</v>
      </c>
      <c r="B2" s="10"/>
      <c r="C2" s="9">
        <f t="shared" ref="C2:C8" si="1">IF(E2="pago",A2,"")</f>
        <v>45505</v>
      </c>
      <c r="D2" s="11" t="s">
        <v>24</v>
      </c>
      <c r="E2" s="11" t="s">
        <v>25</v>
      </c>
      <c r="F2" s="11" t="s">
        <v>26</v>
      </c>
      <c r="G2" s="11" t="s">
        <v>27</v>
      </c>
      <c r="H2" s="11" t="s">
        <v>28</v>
      </c>
      <c r="I2" s="12">
        <v>6000.63</v>
      </c>
      <c r="J2" s="13"/>
      <c r="K2" s="13">
        <f t="shared" ref="K2:K227" si="2">if(E2="pago",(I2-J2),"")</f>
        <v>6000.63</v>
      </c>
      <c r="L2" s="11" t="s">
        <v>29</v>
      </c>
      <c r="M2" s="14"/>
      <c r="N2" s="11" t="s">
        <v>30</v>
      </c>
      <c r="O2" s="10" t="str">
        <f t="shared" ref="O2:O702" si="3">if(A2="","", TEXT(A2,"mm/yyyy"))</f>
        <v>08/2024</v>
      </c>
      <c r="P2" s="10" t="str">
        <f t="shared" ref="P2:P17" si="4">if(C2="","", TEXT(C2,"mm/yyyy"))</f>
        <v>08/2024</v>
      </c>
      <c r="Q2" s="15" t="str">
        <f t="array" ref="Q2">IFERROR(XLOOKUP(N2,'Classificação'!A:A,'Classificação'!B:B),"")</f>
        <v>DESPESAS COM OCUPAÇÃO</v>
      </c>
      <c r="R2" s="15" t="str">
        <f t="array" ref="R2">IFERROR(XLOOKUP(Q2,'Classificação'!B:B,'Classificação'!C:C),"")</f>
        <v>DESPESAS FIXAS (-)</v>
      </c>
      <c r="S2" s="15">
        <f t="shared" ref="S2:S1268" si="5">iferror(DAY(A2),"")</f>
        <v>1</v>
      </c>
      <c r="T2" s="15">
        <f t="shared" ref="T2:T2217" si="6">iferror(MONTH(O2),"")</f>
        <v>8</v>
      </c>
      <c r="U2" s="15">
        <f t="shared" ref="U2:U2217" si="7">iferror(YEAR(O2),"")</f>
        <v>2024</v>
      </c>
      <c r="V2" s="15">
        <f t="shared" ref="V2:V3371" si="8">if(C2="","", IFERROR(DAY(C2),""))</f>
        <v>1</v>
      </c>
      <c r="W2" s="15">
        <f t="shared" ref="W2:W3371" si="9">if(C2="","",IFERROR(MONTH(C2),""))</f>
        <v>8</v>
      </c>
      <c r="X2" s="15">
        <f t="shared" ref="X2:X3371" si="10">if(C2="","",iferror(YEAR(C2),""))</f>
        <v>2024</v>
      </c>
    </row>
    <row r="3">
      <c r="A3" s="9">
        <v>45506.0</v>
      </c>
      <c r="B3" s="10"/>
      <c r="C3" s="9">
        <f t="shared" si="1"/>
        <v>45506</v>
      </c>
      <c r="D3" s="11" t="s">
        <v>31</v>
      </c>
      <c r="E3" s="11" t="s">
        <v>25</v>
      </c>
      <c r="F3" s="11" t="s">
        <v>32</v>
      </c>
      <c r="G3" s="11" t="s">
        <v>27</v>
      </c>
      <c r="H3" s="11" t="s">
        <v>33</v>
      </c>
      <c r="I3" s="12">
        <v>7610.0</v>
      </c>
      <c r="J3" s="13"/>
      <c r="K3" s="13">
        <f t="shared" si="2"/>
        <v>7610</v>
      </c>
      <c r="L3" s="11" t="s">
        <v>34</v>
      </c>
      <c r="M3" s="14"/>
      <c r="N3" s="11" t="s">
        <v>35</v>
      </c>
      <c r="O3" s="10" t="str">
        <f t="shared" si="3"/>
        <v>08/2024</v>
      </c>
      <c r="P3" s="10" t="str">
        <f t="shared" si="4"/>
        <v>08/2024</v>
      </c>
      <c r="Q3" s="15" t="str">
        <f t="array" ref="Q3">IFERROR(XLOOKUP(N3,'Classificação'!A:A,'Classificação'!B:B),"")</f>
        <v>COMPRA DE MERCADORIA</v>
      </c>
      <c r="R3" s="15" t="str">
        <f t="array" ref="R3">IFERROR(XLOOKUP(Q3,'Classificação'!B:B,'Classificação'!C:C),"")</f>
        <v>CUSTOS VARIÁVEIS</v>
      </c>
      <c r="S3" s="15">
        <f t="shared" si="5"/>
        <v>2</v>
      </c>
      <c r="T3" s="15">
        <f t="shared" si="6"/>
        <v>8</v>
      </c>
      <c r="U3" s="15">
        <f t="shared" si="7"/>
        <v>2024</v>
      </c>
      <c r="V3" s="15">
        <f t="shared" si="8"/>
        <v>2</v>
      </c>
      <c r="W3" s="15">
        <f t="shared" si="9"/>
        <v>8</v>
      </c>
      <c r="X3" s="15">
        <f t="shared" si="10"/>
        <v>2024</v>
      </c>
    </row>
    <row r="4">
      <c r="A4" s="9">
        <v>45506.0</v>
      </c>
      <c r="B4" s="10"/>
      <c r="C4" s="9">
        <f t="shared" si="1"/>
        <v>45506</v>
      </c>
      <c r="D4" s="11" t="s">
        <v>36</v>
      </c>
      <c r="E4" s="11" t="s">
        <v>25</v>
      </c>
      <c r="F4" s="11" t="s">
        <v>32</v>
      </c>
      <c r="G4" s="11" t="s">
        <v>37</v>
      </c>
      <c r="I4" s="12">
        <v>4000.0</v>
      </c>
      <c r="J4" s="13"/>
      <c r="K4" s="13">
        <f t="shared" si="2"/>
        <v>4000</v>
      </c>
      <c r="L4" s="11" t="s">
        <v>34</v>
      </c>
      <c r="M4" s="14"/>
      <c r="N4" s="11" t="s">
        <v>38</v>
      </c>
      <c r="O4" s="10" t="str">
        <f t="shared" si="3"/>
        <v>08/2024</v>
      </c>
      <c r="P4" s="10" t="str">
        <f t="shared" si="4"/>
        <v>08/2024</v>
      </c>
      <c r="Q4" s="15" t="str">
        <f t="array" ref="Q4">IFERROR(XLOOKUP(N4,'Classificação'!A:A,'Classificação'!B:B),"")</f>
        <v>DESPESAS COM PESSOAL</v>
      </c>
      <c r="R4" s="15" t="str">
        <f t="array" ref="R4">IFERROR(XLOOKUP(Q4,'Classificação'!B:B,'Classificação'!C:C),"")</f>
        <v>DESPESAS FIXAS (-)</v>
      </c>
      <c r="S4" s="15">
        <f t="shared" si="5"/>
        <v>2</v>
      </c>
      <c r="T4" s="15">
        <f t="shared" si="6"/>
        <v>8</v>
      </c>
      <c r="U4" s="15">
        <f t="shared" si="7"/>
        <v>2024</v>
      </c>
      <c r="V4" s="15">
        <f t="shared" si="8"/>
        <v>2</v>
      </c>
      <c r="W4" s="15">
        <f t="shared" si="9"/>
        <v>8</v>
      </c>
      <c r="X4" s="15">
        <f t="shared" si="10"/>
        <v>2024</v>
      </c>
    </row>
    <row r="5">
      <c r="A5" s="9">
        <v>45509.0</v>
      </c>
      <c r="B5" s="10"/>
      <c r="C5" s="9">
        <f t="shared" si="1"/>
        <v>45509</v>
      </c>
      <c r="D5" s="11" t="s">
        <v>39</v>
      </c>
      <c r="E5" s="11" t="s">
        <v>25</v>
      </c>
      <c r="F5" s="11" t="s">
        <v>40</v>
      </c>
      <c r="G5" s="11" t="s">
        <v>27</v>
      </c>
      <c r="H5" s="11" t="s">
        <v>41</v>
      </c>
      <c r="I5" s="12">
        <v>111.33</v>
      </c>
      <c r="J5" s="13"/>
      <c r="K5" s="13">
        <f t="shared" si="2"/>
        <v>111.33</v>
      </c>
      <c r="L5" s="11" t="s">
        <v>34</v>
      </c>
      <c r="M5" s="14"/>
      <c r="N5" s="11" t="s">
        <v>42</v>
      </c>
      <c r="O5" s="10" t="str">
        <f t="shared" si="3"/>
        <v>08/2024</v>
      </c>
      <c r="P5" s="10" t="str">
        <f t="shared" si="4"/>
        <v>08/2024</v>
      </c>
      <c r="Q5" s="15" t="str">
        <f t="array" ref="Q5">IFERROR(XLOOKUP(N5,'Classificação'!A:A,'Classificação'!B:B),"")</f>
        <v>DESPESAS COM OCUPAÇÃO</v>
      </c>
      <c r="R5" s="15" t="str">
        <f t="array" ref="R5">IFERROR(XLOOKUP(Q5,'Classificação'!B:B,'Classificação'!C:C),"")</f>
        <v>DESPESAS FIXAS (-)</v>
      </c>
      <c r="S5" s="15">
        <f t="shared" si="5"/>
        <v>5</v>
      </c>
      <c r="T5" s="15">
        <f t="shared" si="6"/>
        <v>8</v>
      </c>
      <c r="U5" s="15">
        <f t="shared" si="7"/>
        <v>2024</v>
      </c>
      <c r="V5" s="15">
        <f t="shared" si="8"/>
        <v>5</v>
      </c>
      <c r="W5" s="15">
        <f t="shared" si="9"/>
        <v>8</v>
      </c>
      <c r="X5" s="15">
        <f t="shared" si="10"/>
        <v>2024</v>
      </c>
    </row>
    <row r="6">
      <c r="A6" s="9">
        <v>45509.0</v>
      </c>
      <c r="B6" s="10"/>
      <c r="C6" s="9">
        <f t="shared" si="1"/>
        <v>45509</v>
      </c>
      <c r="D6" s="11" t="s">
        <v>39</v>
      </c>
      <c r="E6" s="11" t="s">
        <v>25</v>
      </c>
      <c r="F6" s="11" t="s">
        <v>40</v>
      </c>
      <c r="G6" s="11" t="s">
        <v>27</v>
      </c>
      <c r="H6" s="11" t="s">
        <v>41</v>
      </c>
      <c r="I6" s="12">
        <v>111.33</v>
      </c>
      <c r="J6" s="13"/>
      <c r="K6" s="13">
        <f t="shared" si="2"/>
        <v>111.33</v>
      </c>
      <c r="L6" s="11" t="s">
        <v>34</v>
      </c>
      <c r="M6" s="14"/>
      <c r="N6" s="11" t="s">
        <v>42</v>
      </c>
      <c r="O6" s="10" t="str">
        <f t="shared" si="3"/>
        <v>08/2024</v>
      </c>
      <c r="P6" s="10" t="str">
        <f t="shared" si="4"/>
        <v>08/2024</v>
      </c>
      <c r="Q6" s="15" t="str">
        <f t="array" ref="Q6">IFERROR(XLOOKUP(N6,'Classificação'!A:A,'Classificação'!B:B),"")</f>
        <v>DESPESAS COM OCUPAÇÃO</v>
      </c>
      <c r="R6" s="15" t="str">
        <f t="array" ref="R6">IFERROR(XLOOKUP(Q6,'Classificação'!B:B,'Classificação'!C:C),"")</f>
        <v>DESPESAS FIXAS (-)</v>
      </c>
      <c r="S6" s="15">
        <f t="shared" si="5"/>
        <v>5</v>
      </c>
      <c r="T6" s="15">
        <f t="shared" si="6"/>
        <v>8</v>
      </c>
      <c r="U6" s="15">
        <f t="shared" si="7"/>
        <v>2024</v>
      </c>
      <c r="V6" s="15">
        <f t="shared" si="8"/>
        <v>5</v>
      </c>
      <c r="W6" s="15">
        <f t="shared" si="9"/>
        <v>8</v>
      </c>
      <c r="X6" s="15">
        <f t="shared" si="10"/>
        <v>2024</v>
      </c>
    </row>
    <row r="7">
      <c r="A7" s="9">
        <v>45510.0</v>
      </c>
      <c r="B7" s="10"/>
      <c r="C7" s="9">
        <f t="shared" si="1"/>
        <v>45510</v>
      </c>
      <c r="D7" s="11" t="s">
        <v>43</v>
      </c>
      <c r="E7" s="11" t="s">
        <v>25</v>
      </c>
      <c r="F7" s="11" t="s">
        <v>32</v>
      </c>
      <c r="G7" s="11" t="s">
        <v>27</v>
      </c>
      <c r="I7" s="12">
        <v>2500.0</v>
      </c>
      <c r="J7" s="13"/>
      <c r="K7" s="13">
        <f t="shared" si="2"/>
        <v>2500</v>
      </c>
      <c r="L7" s="11" t="s">
        <v>29</v>
      </c>
      <c r="M7" s="14"/>
      <c r="N7" s="11" t="s">
        <v>38</v>
      </c>
      <c r="O7" s="10" t="str">
        <f t="shared" si="3"/>
        <v>08/2024</v>
      </c>
      <c r="P7" s="10" t="str">
        <f t="shared" si="4"/>
        <v>08/2024</v>
      </c>
      <c r="Q7" s="15" t="str">
        <f t="array" ref="Q7">IFERROR(XLOOKUP(N7,'Classificação'!A:A,'Classificação'!B:B),"")</f>
        <v>DESPESAS COM PESSOAL</v>
      </c>
      <c r="R7" s="15" t="str">
        <f t="array" ref="R7">IFERROR(XLOOKUP(Q7,'Classificação'!B:B,'Classificação'!C:C),"")</f>
        <v>DESPESAS FIXAS (-)</v>
      </c>
      <c r="S7" s="15">
        <f t="shared" si="5"/>
        <v>6</v>
      </c>
      <c r="T7" s="15">
        <f t="shared" si="6"/>
        <v>8</v>
      </c>
      <c r="U7" s="15">
        <f t="shared" si="7"/>
        <v>2024</v>
      </c>
      <c r="V7" s="15">
        <f t="shared" si="8"/>
        <v>6</v>
      </c>
      <c r="W7" s="15">
        <f t="shared" si="9"/>
        <v>8</v>
      </c>
      <c r="X7" s="15">
        <f t="shared" si="10"/>
        <v>2024</v>
      </c>
    </row>
    <row r="8">
      <c r="A8" s="9">
        <v>45510.0</v>
      </c>
      <c r="B8" s="10"/>
      <c r="C8" s="9">
        <f t="shared" si="1"/>
        <v>45510</v>
      </c>
      <c r="D8" s="11" t="s">
        <v>44</v>
      </c>
      <c r="E8" s="11" t="s">
        <v>25</v>
      </c>
      <c r="F8" s="11" t="s">
        <v>45</v>
      </c>
      <c r="G8" s="11" t="s">
        <v>27</v>
      </c>
      <c r="H8" s="11" t="s">
        <v>46</v>
      </c>
      <c r="I8" s="12">
        <v>73.8</v>
      </c>
      <c r="J8" s="13"/>
      <c r="K8" s="13">
        <f t="shared" si="2"/>
        <v>73.8</v>
      </c>
      <c r="L8" s="11" t="s">
        <v>29</v>
      </c>
      <c r="M8" s="14"/>
      <c r="N8" s="11" t="s">
        <v>47</v>
      </c>
      <c r="O8" s="10" t="str">
        <f t="shared" si="3"/>
        <v>08/2024</v>
      </c>
      <c r="P8" s="10" t="str">
        <f t="shared" si="4"/>
        <v>08/2024</v>
      </c>
      <c r="Q8" s="15" t="str">
        <f t="array" ref="Q8">IFERROR(XLOOKUP(N8,'Classificação'!A:A,'Classificação'!B:B),"")</f>
        <v>DESPESAS NÃO OPERACIONAIS</v>
      </c>
      <c r="R8" s="15" t="str">
        <f t="array" ref="R8">IFERROR(XLOOKUP(Q8,'Classificação'!B:B,'Classificação'!C:C),"")</f>
        <v>RESULTADO NÃO OPERACIONAL (+/-)</v>
      </c>
      <c r="S8" s="15">
        <f t="shared" si="5"/>
        <v>6</v>
      </c>
      <c r="T8" s="15">
        <f t="shared" si="6"/>
        <v>8</v>
      </c>
      <c r="U8" s="15">
        <f t="shared" si="7"/>
        <v>2024</v>
      </c>
      <c r="V8" s="15">
        <f t="shared" si="8"/>
        <v>6</v>
      </c>
      <c r="W8" s="15">
        <f t="shared" si="9"/>
        <v>8</v>
      </c>
      <c r="X8" s="15">
        <f t="shared" si="10"/>
        <v>2024</v>
      </c>
    </row>
    <row r="9">
      <c r="A9" s="9">
        <v>45516.0</v>
      </c>
      <c r="B9" s="9"/>
      <c r="C9" s="9">
        <v>45516.0</v>
      </c>
      <c r="D9" s="11" t="s">
        <v>48</v>
      </c>
      <c r="E9" s="11" t="s">
        <v>25</v>
      </c>
      <c r="F9" s="11" t="s">
        <v>40</v>
      </c>
      <c r="G9" s="11" t="s">
        <v>27</v>
      </c>
      <c r="I9" s="12">
        <v>1375.64</v>
      </c>
      <c r="J9" s="13"/>
      <c r="K9" s="13">
        <f t="shared" si="2"/>
        <v>1375.64</v>
      </c>
      <c r="L9" s="11" t="s">
        <v>29</v>
      </c>
      <c r="M9" s="14"/>
      <c r="N9" s="11" t="s">
        <v>49</v>
      </c>
      <c r="O9" s="10" t="str">
        <f t="shared" si="3"/>
        <v>08/2024</v>
      </c>
      <c r="P9" s="10" t="str">
        <f t="shared" si="4"/>
        <v>08/2024</v>
      </c>
      <c r="Q9" s="15" t="str">
        <f t="array" ref="Q9">IFERROR(XLOOKUP(N9,'Classificação'!A:A,'Classificação'!B:B),"")</f>
        <v>DESPESAS COM PESSOAL</v>
      </c>
      <c r="R9" s="15" t="str">
        <f t="array" ref="R9">IFERROR(XLOOKUP(Q9,'Classificação'!B:B,'Classificação'!C:C),"")</f>
        <v>DESPESAS FIXAS (-)</v>
      </c>
      <c r="S9" s="15">
        <f t="shared" si="5"/>
        <v>12</v>
      </c>
      <c r="T9" s="15">
        <f t="shared" si="6"/>
        <v>8</v>
      </c>
      <c r="U9" s="15">
        <f t="shared" si="7"/>
        <v>2024</v>
      </c>
      <c r="V9" s="15">
        <f t="shared" si="8"/>
        <v>12</v>
      </c>
      <c r="W9" s="15">
        <f t="shared" si="9"/>
        <v>8</v>
      </c>
      <c r="X9" s="15">
        <f t="shared" si="10"/>
        <v>2024</v>
      </c>
    </row>
    <row r="10">
      <c r="A10" s="9">
        <v>45516.0</v>
      </c>
      <c r="B10" s="9"/>
      <c r="C10" s="9">
        <v>45516.0</v>
      </c>
      <c r="D10" s="11" t="s">
        <v>50</v>
      </c>
      <c r="E10" s="11" t="s">
        <v>25</v>
      </c>
      <c r="F10" s="11" t="s">
        <v>26</v>
      </c>
      <c r="G10" s="11" t="s">
        <v>27</v>
      </c>
      <c r="I10" s="12">
        <v>139.99</v>
      </c>
      <c r="J10" s="13"/>
      <c r="K10" s="13">
        <f t="shared" si="2"/>
        <v>139.99</v>
      </c>
      <c r="L10" s="11" t="s">
        <v>29</v>
      </c>
      <c r="M10" s="14"/>
      <c r="N10" s="11" t="s">
        <v>51</v>
      </c>
      <c r="O10" s="10" t="str">
        <f t="shared" si="3"/>
        <v>08/2024</v>
      </c>
      <c r="P10" s="10" t="str">
        <f t="shared" si="4"/>
        <v>08/2024</v>
      </c>
      <c r="Q10" s="15" t="str">
        <f t="array" ref="Q10">IFERROR(XLOOKUP(N10,'Classificação'!A:A,'Classificação'!B:B),"")</f>
        <v>DESPESAS COM OCUPAÇÃO</v>
      </c>
      <c r="R10" s="15" t="str">
        <f t="array" ref="R10">IFERROR(XLOOKUP(Q10,'Classificação'!B:B,'Classificação'!C:C),"")</f>
        <v>DESPESAS FIXAS (-)</v>
      </c>
      <c r="S10" s="15">
        <f t="shared" si="5"/>
        <v>12</v>
      </c>
      <c r="T10" s="15">
        <f t="shared" si="6"/>
        <v>8</v>
      </c>
      <c r="U10" s="15">
        <f t="shared" si="7"/>
        <v>2024</v>
      </c>
      <c r="V10" s="15">
        <f t="shared" si="8"/>
        <v>12</v>
      </c>
      <c r="W10" s="15">
        <f t="shared" si="9"/>
        <v>8</v>
      </c>
      <c r="X10" s="15">
        <f t="shared" si="10"/>
        <v>2024</v>
      </c>
    </row>
    <row r="11">
      <c r="A11" s="9">
        <v>45516.0</v>
      </c>
      <c r="B11" s="9"/>
      <c r="C11" s="9">
        <v>45516.0</v>
      </c>
      <c r="D11" s="11" t="s">
        <v>44</v>
      </c>
      <c r="E11" s="11" t="s">
        <v>25</v>
      </c>
      <c r="F11" s="11" t="s">
        <v>45</v>
      </c>
      <c r="G11" s="11" t="s">
        <v>27</v>
      </c>
      <c r="H11" s="11" t="s">
        <v>52</v>
      </c>
      <c r="I11" s="12">
        <v>458.5</v>
      </c>
      <c r="J11" s="13"/>
      <c r="K11" s="13">
        <f t="shared" si="2"/>
        <v>458.5</v>
      </c>
      <c r="L11" s="11" t="s">
        <v>53</v>
      </c>
      <c r="M11" s="16" t="s">
        <v>54</v>
      </c>
      <c r="N11" s="11" t="s">
        <v>55</v>
      </c>
      <c r="O11" s="10" t="str">
        <f t="shared" si="3"/>
        <v>08/2024</v>
      </c>
      <c r="P11" s="10" t="str">
        <f t="shared" si="4"/>
        <v>08/2024</v>
      </c>
      <c r="Q11" s="15" t="str">
        <f t="array" ref="Q11">IFERROR(XLOOKUP(N11,'Classificação'!A:A,'Classificação'!B:B),"")</f>
        <v>DESPESAS NÃO OPERACIONAIS</v>
      </c>
      <c r="R11" s="15" t="str">
        <f t="array" ref="R11">IFERROR(XLOOKUP(Q11,'Classificação'!B:B,'Classificação'!C:C),"")</f>
        <v>RESULTADO NÃO OPERACIONAL (+/-)</v>
      </c>
      <c r="S11" s="15">
        <f t="shared" si="5"/>
        <v>12</v>
      </c>
      <c r="T11" s="15">
        <f t="shared" si="6"/>
        <v>8</v>
      </c>
      <c r="U11" s="15">
        <f t="shared" si="7"/>
        <v>2024</v>
      </c>
      <c r="V11" s="15">
        <f t="shared" si="8"/>
        <v>12</v>
      </c>
      <c r="W11" s="15">
        <f t="shared" si="9"/>
        <v>8</v>
      </c>
      <c r="X11" s="15">
        <f t="shared" si="10"/>
        <v>2024</v>
      </c>
    </row>
    <row r="12">
      <c r="A12" s="9">
        <v>45516.0</v>
      </c>
      <c r="B12" s="10"/>
      <c r="C12" s="9">
        <v>45516.0</v>
      </c>
      <c r="D12" s="11" t="s">
        <v>56</v>
      </c>
      <c r="E12" s="11" t="s">
        <v>25</v>
      </c>
      <c r="F12" s="11" t="s">
        <v>26</v>
      </c>
      <c r="G12" s="11" t="s">
        <v>37</v>
      </c>
      <c r="H12" s="11" t="s">
        <v>57</v>
      </c>
      <c r="I12" s="12">
        <v>50.0</v>
      </c>
      <c r="J12" s="13"/>
      <c r="K12" s="13">
        <f t="shared" si="2"/>
        <v>50</v>
      </c>
      <c r="L12" s="11" t="s">
        <v>29</v>
      </c>
      <c r="M12" s="14"/>
      <c r="N12" s="11" t="s">
        <v>58</v>
      </c>
      <c r="O12" s="10" t="str">
        <f t="shared" si="3"/>
        <v>08/2024</v>
      </c>
      <c r="P12" s="10" t="str">
        <f t="shared" si="4"/>
        <v>08/2024</v>
      </c>
      <c r="Q12" s="15" t="str">
        <f t="array" ref="Q12">IFERROR(XLOOKUP(N12,'Classificação'!A:A,'Classificação'!B:B),"")</f>
        <v>DESPESAS ADMINISTRATIVAS</v>
      </c>
      <c r="R12" s="15" t="str">
        <f t="array" ref="R12">IFERROR(XLOOKUP(Q12,'Classificação'!B:B,'Classificação'!C:C),"")</f>
        <v>DESPESAS FIXAS (-)</v>
      </c>
      <c r="S12" s="15">
        <f t="shared" si="5"/>
        <v>12</v>
      </c>
      <c r="T12" s="15">
        <f t="shared" si="6"/>
        <v>8</v>
      </c>
      <c r="U12" s="15">
        <f t="shared" si="7"/>
        <v>2024</v>
      </c>
      <c r="V12" s="15">
        <f t="shared" si="8"/>
        <v>12</v>
      </c>
      <c r="W12" s="15">
        <f t="shared" si="9"/>
        <v>8</v>
      </c>
      <c r="X12" s="15">
        <f t="shared" si="10"/>
        <v>2024</v>
      </c>
    </row>
    <row r="13">
      <c r="A13" s="9">
        <v>45516.0</v>
      </c>
      <c r="B13" s="10"/>
      <c r="C13" s="9">
        <v>45516.0</v>
      </c>
      <c r="D13" s="11" t="s">
        <v>59</v>
      </c>
      <c r="E13" s="11" t="s">
        <v>25</v>
      </c>
      <c r="F13" s="11" t="s">
        <v>40</v>
      </c>
      <c r="G13" s="11" t="s">
        <v>37</v>
      </c>
      <c r="H13" s="11" t="s">
        <v>60</v>
      </c>
      <c r="I13" s="12">
        <v>397.0</v>
      </c>
      <c r="J13" s="13"/>
      <c r="K13" s="13">
        <f t="shared" si="2"/>
        <v>397</v>
      </c>
      <c r="L13" s="11" t="s">
        <v>29</v>
      </c>
      <c r="M13" s="14"/>
      <c r="N13" s="11" t="s">
        <v>61</v>
      </c>
      <c r="O13" s="10" t="str">
        <f t="shared" si="3"/>
        <v>08/2024</v>
      </c>
      <c r="P13" s="10" t="str">
        <f t="shared" si="4"/>
        <v>08/2024</v>
      </c>
      <c r="Q13" s="15" t="str">
        <f t="array" ref="Q13">IFERROR(XLOOKUP(N13,'Classificação'!A:A,'Classificação'!B:B),"")</f>
        <v>DESPESAS ADMINISTRATIVAS</v>
      </c>
      <c r="R13" s="15" t="str">
        <f t="array" ref="R13">IFERROR(XLOOKUP(Q13,'Classificação'!B:B,'Classificação'!C:C),"")</f>
        <v>DESPESAS FIXAS (-)</v>
      </c>
      <c r="S13" s="15">
        <f t="shared" si="5"/>
        <v>12</v>
      </c>
      <c r="T13" s="15">
        <f t="shared" si="6"/>
        <v>8</v>
      </c>
      <c r="U13" s="15">
        <f t="shared" si="7"/>
        <v>2024</v>
      </c>
      <c r="V13" s="15">
        <f t="shared" si="8"/>
        <v>12</v>
      </c>
      <c r="W13" s="15">
        <f t="shared" si="9"/>
        <v>8</v>
      </c>
      <c r="X13" s="15">
        <f t="shared" si="10"/>
        <v>2024</v>
      </c>
    </row>
    <row r="14">
      <c r="A14" s="9">
        <v>45516.0</v>
      </c>
      <c r="B14" s="9">
        <v>45516.0</v>
      </c>
      <c r="C14" s="9">
        <f t="shared" ref="C14:C130" si="11">IF(E14="pago",A14,"")</f>
        <v>45516</v>
      </c>
      <c r="D14" s="11" t="s">
        <v>62</v>
      </c>
      <c r="E14" s="11" t="s">
        <v>25</v>
      </c>
      <c r="F14" s="11" t="s">
        <v>26</v>
      </c>
      <c r="G14" s="11" t="s">
        <v>27</v>
      </c>
      <c r="H14" s="11" t="s">
        <v>63</v>
      </c>
      <c r="I14" s="12">
        <v>65.0</v>
      </c>
      <c r="J14" s="13"/>
      <c r="K14" s="13">
        <f t="shared" si="2"/>
        <v>65</v>
      </c>
      <c r="L14" s="11" t="s">
        <v>34</v>
      </c>
      <c r="M14" s="14"/>
      <c r="N14" s="11" t="s">
        <v>64</v>
      </c>
      <c r="O14" s="10" t="str">
        <f t="shared" si="3"/>
        <v>08/2024</v>
      </c>
      <c r="P14" s="10" t="str">
        <f t="shared" si="4"/>
        <v>08/2024</v>
      </c>
      <c r="Q14" s="15" t="str">
        <f t="array" ref="Q14">IFERROR(XLOOKUP(N14,'Classificação'!A:A,'Classificação'!B:B),"")</f>
        <v>DESPESAS COM PESSOAL</v>
      </c>
      <c r="R14" s="15" t="str">
        <f t="array" ref="R14">IFERROR(XLOOKUP(Q14,'Classificação'!B:B,'Classificação'!C:C),"")</f>
        <v>DESPESAS FIXAS (-)</v>
      </c>
      <c r="S14" s="15">
        <f t="shared" si="5"/>
        <v>12</v>
      </c>
      <c r="T14" s="15">
        <f t="shared" si="6"/>
        <v>8</v>
      </c>
      <c r="U14" s="15">
        <f t="shared" si="7"/>
        <v>2024</v>
      </c>
      <c r="V14" s="15">
        <f t="shared" si="8"/>
        <v>12</v>
      </c>
      <c r="W14" s="15">
        <f t="shared" si="9"/>
        <v>8</v>
      </c>
      <c r="X14" s="15">
        <f t="shared" si="10"/>
        <v>2024</v>
      </c>
    </row>
    <row r="15">
      <c r="A15" s="9">
        <v>45516.0</v>
      </c>
      <c r="B15" s="10"/>
      <c r="C15" s="9">
        <f t="shared" si="11"/>
        <v>45516</v>
      </c>
      <c r="D15" s="11" t="s">
        <v>36</v>
      </c>
      <c r="E15" s="11" t="s">
        <v>25</v>
      </c>
      <c r="F15" s="11" t="s">
        <v>32</v>
      </c>
      <c r="G15" s="11" t="s">
        <v>27</v>
      </c>
      <c r="I15" s="12">
        <v>1000.0</v>
      </c>
      <c r="J15" s="13"/>
      <c r="K15" s="13">
        <f t="shared" si="2"/>
        <v>1000</v>
      </c>
      <c r="L15" s="11" t="s">
        <v>29</v>
      </c>
      <c r="M15" s="14"/>
      <c r="N15" s="11" t="s">
        <v>38</v>
      </c>
      <c r="O15" s="10" t="str">
        <f t="shared" si="3"/>
        <v>08/2024</v>
      </c>
      <c r="P15" s="10" t="str">
        <f t="shared" si="4"/>
        <v>08/2024</v>
      </c>
      <c r="Q15" s="15" t="str">
        <f t="array" ref="Q15">IFERROR(XLOOKUP(N15,'Classificação'!A:A,'Classificação'!B:B),"")</f>
        <v>DESPESAS COM PESSOAL</v>
      </c>
      <c r="R15" s="15" t="str">
        <f t="array" ref="R15">IFERROR(XLOOKUP(Q15,'Classificação'!B:B,'Classificação'!C:C),"")</f>
        <v>DESPESAS FIXAS (-)</v>
      </c>
      <c r="S15" s="15">
        <f t="shared" si="5"/>
        <v>12</v>
      </c>
      <c r="T15" s="15">
        <f t="shared" si="6"/>
        <v>8</v>
      </c>
      <c r="U15" s="15">
        <f t="shared" si="7"/>
        <v>2024</v>
      </c>
      <c r="V15" s="15">
        <f t="shared" si="8"/>
        <v>12</v>
      </c>
      <c r="W15" s="15">
        <f t="shared" si="9"/>
        <v>8</v>
      </c>
      <c r="X15" s="15">
        <f t="shared" si="10"/>
        <v>2024</v>
      </c>
    </row>
    <row r="16">
      <c r="A16" s="9">
        <v>45516.0</v>
      </c>
      <c r="B16" s="10"/>
      <c r="C16" s="9">
        <f t="shared" si="11"/>
        <v>45516</v>
      </c>
      <c r="D16" s="11" t="s">
        <v>43</v>
      </c>
      <c r="E16" s="11" t="s">
        <v>25</v>
      </c>
      <c r="F16" s="11" t="s">
        <v>32</v>
      </c>
      <c r="G16" s="11" t="s">
        <v>27</v>
      </c>
      <c r="I16" s="12">
        <v>2500.0</v>
      </c>
      <c r="J16" s="13"/>
      <c r="K16" s="13">
        <f t="shared" si="2"/>
        <v>2500</v>
      </c>
      <c r="L16" s="11" t="s">
        <v>34</v>
      </c>
      <c r="M16" s="14"/>
      <c r="N16" s="11" t="s">
        <v>38</v>
      </c>
      <c r="O16" s="10" t="str">
        <f t="shared" si="3"/>
        <v>08/2024</v>
      </c>
      <c r="P16" s="10" t="str">
        <f t="shared" si="4"/>
        <v>08/2024</v>
      </c>
      <c r="Q16" s="15" t="str">
        <f t="array" ref="Q16">IFERROR(XLOOKUP(N16,'Classificação'!A:A,'Classificação'!B:B),"")</f>
        <v>DESPESAS COM PESSOAL</v>
      </c>
      <c r="R16" s="15" t="str">
        <f t="array" ref="R16">IFERROR(XLOOKUP(Q16,'Classificação'!B:B,'Classificação'!C:C),"")</f>
        <v>DESPESAS FIXAS (-)</v>
      </c>
      <c r="S16" s="15">
        <f t="shared" si="5"/>
        <v>12</v>
      </c>
      <c r="T16" s="15">
        <f t="shared" si="6"/>
        <v>8</v>
      </c>
      <c r="U16" s="15">
        <f t="shared" si="7"/>
        <v>2024</v>
      </c>
      <c r="V16" s="15">
        <f t="shared" si="8"/>
        <v>12</v>
      </c>
      <c r="W16" s="15">
        <f t="shared" si="9"/>
        <v>8</v>
      </c>
      <c r="X16" s="15">
        <f t="shared" si="10"/>
        <v>2024</v>
      </c>
    </row>
    <row r="17">
      <c r="A17" s="9">
        <v>45517.0</v>
      </c>
      <c r="B17" s="10"/>
      <c r="C17" s="9">
        <f t="shared" si="11"/>
        <v>45517</v>
      </c>
      <c r="D17" s="11" t="s">
        <v>65</v>
      </c>
      <c r="E17" s="11" t="s">
        <v>25</v>
      </c>
      <c r="F17" s="11" t="s">
        <v>45</v>
      </c>
      <c r="G17" s="11" t="s">
        <v>66</v>
      </c>
      <c r="H17" s="11" t="s">
        <v>67</v>
      </c>
      <c r="I17" s="12">
        <v>1010.16</v>
      </c>
      <c r="J17" s="13"/>
      <c r="K17" s="13">
        <f t="shared" si="2"/>
        <v>1010.16</v>
      </c>
      <c r="L17" s="11" t="s">
        <v>29</v>
      </c>
      <c r="M17" s="14"/>
      <c r="N17" s="11" t="s">
        <v>68</v>
      </c>
      <c r="O17" s="10" t="str">
        <f t="shared" si="3"/>
        <v>08/2024</v>
      </c>
      <c r="P17" s="10" t="str">
        <f t="shared" si="4"/>
        <v>08/2024</v>
      </c>
      <c r="Q17" s="15" t="str">
        <f t="array" ref="Q17">IFERROR(XLOOKUP(N17,'Classificação'!A:A,'Classificação'!B:B),"")</f>
        <v>FRETE DE VENDAS</v>
      </c>
      <c r="R17" s="15" t="str">
        <f t="array" ref="R17">IFERROR(XLOOKUP(Q17,'Classificação'!B:B,'Classificação'!C:C),"")</f>
        <v>CUSTOS VARIÁVEIS</v>
      </c>
      <c r="S17" s="15">
        <f t="shared" si="5"/>
        <v>13</v>
      </c>
      <c r="T17" s="15">
        <f t="shared" si="6"/>
        <v>8</v>
      </c>
      <c r="U17" s="15">
        <f t="shared" si="7"/>
        <v>2024</v>
      </c>
      <c r="V17" s="15">
        <f t="shared" si="8"/>
        <v>13</v>
      </c>
      <c r="W17" s="15">
        <f t="shared" si="9"/>
        <v>8</v>
      </c>
      <c r="X17" s="15">
        <f t="shared" si="10"/>
        <v>2024</v>
      </c>
    </row>
    <row r="18">
      <c r="A18" s="9">
        <v>45517.0</v>
      </c>
      <c r="B18" s="10"/>
      <c r="C18" s="9">
        <f t="shared" si="11"/>
        <v>45517</v>
      </c>
      <c r="D18" s="11" t="s">
        <v>69</v>
      </c>
      <c r="E18" s="11" t="s">
        <v>25</v>
      </c>
      <c r="F18" s="11" t="s">
        <v>26</v>
      </c>
      <c r="G18" s="11" t="s">
        <v>37</v>
      </c>
      <c r="H18" s="11" t="s">
        <v>70</v>
      </c>
      <c r="I18" s="12">
        <v>90.0</v>
      </c>
      <c r="J18" s="13"/>
      <c r="K18" s="13">
        <f t="shared" si="2"/>
        <v>90</v>
      </c>
      <c r="L18" s="11" t="s">
        <v>34</v>
      </c>
      <c r="M18" s="14"/>
      <c r="N18" s="11" t="s">
        <v>71</v>
      </c>
      <c r="O18" s="10" t="str">
        <f t="shared" si="3"/>
        <v>08/2024</v>
      </c>
      <c r="P18" s="10"/>
      <c r="Q18" s="15" t="str">
        <f t="array" ref="Q18">IFERROR(XLOOKUP(N18,'Classificação'!A:A,'Classificação'!B:B),"")</f>
        <v>DESPESAS DIVERSAS</v>
      </c>
      <c r="R18" s="15" t="str">
        <f t="array" ref="R18">IFERROR(XLOOKUP(Q18,'Classificação'!B:B,'Classificação'!C:C),"")</f>
        <v>DESPESAS FIXAS (-)</v>
      </c>
      <c r="S18" s="15">
        <f t="shared" si="5"/>
        <v>13</v>
      </c>
      <c r="T18" s="15">
        <f t="shared" si="6"/>
        <v>8</v>
      </c>
      <c r="U18" s="15">
        <f t="shared" si="7"/>
        <v>2024</v>
      </c>
      <c r="V18" s="15">
        <f t="shared" si="8"/>
        <v>13</v>
      </c>
      <c r="W18" s="15">
        <f t="shared" si="9"/>
        <v>8</v>
      </c>
      <c r="X18" s="15">
        <f t="shared" si="10"/>
        <v>2024</v>
      </c>
    </row>
    <row r="19">
      <c r="A19" s="9">
        <v>45518.0</v>
      </c>
      <c r="B19" s="10"/>
      <c r="C19" s="9">
        <f t="shared" si="11"/>
        <v>45518</v>
      </c>
      <c r="D19" s="11" t="s">
        <v>44</v>
      </c>
      <c r="E19" s="11" t="s">
        <v>25</v>
      </c>
      <c r="F19" s="11" t="s">
        <v>45</v>
      </c>
      <c r="G19" s="11" t="s">
        <v>27</v>
      </c>
      <c r="H19" s="11" t="s">
        <v>72</v>
      </c>
      <c r="I19" s="12">
        <v>2786.78</v>
      </c>
      <c r="J19" s="13"/>
      <c r="K19" s="13">
        <f t="shared" si="2"/>
        <v>2786.78</v>
      </c>
      <c r="L19" s="11" t="s">
        <v>53</v>
      </c>
      <c r="M19" s="17">
        <v>45445.0</v>
      </c>
      <c r="N19" s="11" t="s">
        <v>73</v>
      </c>
      <c r="O19" s="10" t="str">
        <f t="shared" si="3"/>
        <v>08/2024</v>
      </c>
      <c r="P19" s="10" t="str">
        <f t="shared" ref="P19:P29" si="12">if(C19="","", TEXT(C19,"mm/yyyy"))</f>
        <v>08/2024</v>
      </c>
      <c r="Q19" s="15" t="str">
        <f t="array" ref="Q19">IFERROR(XLOOKUP(N19,'Classificação'!A:A,'Classificação'!B:B),"")</f>
        <v>DESPESAS NÃO OPERACIONAIS</v>
      </c>
      <c r="R19" s="15" t="str">
        <f t="array" ref="R19">IFERROR(XLOOKUP(Q19,'Classificação'!B:B,'Classificação'!C:C),"")</f>
        <v>RESULTADO NÃO OPERACIONAL (+/-)</v>
      </c>
      <c r="S19" s="15">
        <f t="shared" si="5"/>
        <v>14</v>
      </c>
      <c r="T19" s="15">
        <f t="shared" si="6"/>
        <v>8</v>
      </c>
      <c r="U19" s="15">
        <f t="shared" si="7"/>
        <v>2024</v>
      </c>
      <c r="V19" s="15">
        <f t="shared" si="8"/>
        <v>14</v>
      </c>
      <c r="W19" s="15">
        <f t="shared" si="9"/>
        <v>8</v>
      </c>
      <c r="X19" s="15">
        <f t="shared" si="10"/>
        <v>2024</v>
      </c>
    </row>
    <row r="20">
      <c r="A20" s="9">
        <v>45519.0</v>
      </c>
      <c r="B20" s="10"/>
      <c r="C20" s="9">
        <f t="shared" si="11"/>
        <v>45519</v>
      </c>
      <c r="D20" s="11" t="s">
        <v>74</v>
      </c>
      <c r="E20" s="11" t="s">
        <v>25</v>
      </c>
      <c r="F20" s="11" t="s">
        <v>26</v>
      </c>
      <c r="G20" s="11" t="s">
        <v>37</v>
      </c>
      <c r="I20" s="12">
        <v>592.0</v>
      </c>
      <c r="J20" s="13"/>
      <c r="K20" s="13">
        <f t="shared" si="2"/>
        <v>592</v>
      </c>
      <c r="L20" s="11" t="s">
        <v>29</v>
      </c>
      <c r="M20" s="14"/>
      <c r="N20" s="11" t="s">
        <v>75</v>
      </c>
      <c r="O20" s="10" t="str">
        <f t="shared" si="3"/>
        <v>08/2024</v>
      </c>
      <c r="P20" s="10" t="str">
        <f t="shared" si="12"/>
        <v>08/2024</v>
      </c>
      <c r="Q20" s="15" t="str">
        <f t="array" ref="Q20">IFERROR(XLOOKUP(N20,'Classificação'!A:A,'Classificação'!B:B),"")</f>
        <v>DESPESAS COM PESSOAL</v>
      </c>
      <c r="R20" s="15" t="str">
        <f t="array" ref="R20">IFERROR(XLOOKUP(Q20,'Classificação'!B:B,'Classificação'!C:C),"")</f>
        <v>DESPESAS FIXAS (-)</v>
      </c>
      <c r="S20" s="15">
        <f t="shared" si="5"/>
        <v>15</v>
      </c>
      <c r="T20" s="15">
        <f t="shared" si="6"/>
        <v>8</v>
      </c>
      <c r="U20" s="15">
        <f t="shared" si="7"/>
        <v>2024</v>
      </c>
      <c r="V20" s="15">
        <f t="shared" si="8"/>
        <v>15</v>
      </c>
      <c r="W20" s="15">
        <f t="shared" si="9"/>
        <v>8</v>
      </c>
      <c r="X20" s="15">
        <f t="shared" si="10"/>
        <v>2024</v>
      </c>
    </row>
    <row r="21">
      <c r="A21" s="9">
        <v>45519.0</v>
      </c>
      <c r="B21" s="10"/>
      <c r="C21" s="9">
        <f t="shared" si="11"/>
        <v>45519</v>
      </c>
      <c r="D21" s="11" t="s">
        <v>76</v>
      </c>
      <c r="E21" s="11" t="s">
        <v>25</v>
      </c>
      <c r="F21" s="11" t="s">
        <v>32</v>
      </c>
      <c r="G21" s="11" t="s">
        <v>27</v>
      </c>
      <c r="H21" s="11" t="s">
        <v>77</v>
      </c>
      <c r="I21" s="12">
        <v>24.0</v>
      </c>
      <c r="J21" s="13"/>
      <c r="K21" s="13">
        <f t="shared" si="2"/>
        <v>24</v>
      </c>
      <c r="L21" s="11" t="s">
        <v>34</v>
      </c>
      <c r="M21" s="14"/>
      <c r="N21" s="11" t="s">
        <v>78</v>
      </c>
      <c r="O21" s="10" t="str">
        <f t="shared" si="3"/>
        <v>08/2024</v>
      </c>
      <c r="P21" s="10" t="str">
        <f t="shared" si="12"/>
        <v>08/2024</v>
      </c>
      <c r="Q21" s="15" t="str">
        <f t="array" ref="Q21">IFERROR(XLOOKUP(N21,'Classificação'!A:A,'Classificação'!B:B),"")</f>
        <v>DESPESAS COM PESSOAL</v>
      </c>
      <c r="R21" s="15" t="str">
        <f t="array" ref="R21">IFERROR(XLOOKUP(Q21,'Classificação'!B:B,'Classificação'!C:C),"")</f>
        <v>DESPESAS FIXAS (-)</v>
      </c>
      <c r="S21" s="15">
        <f t="shared" si="5"/>
        <v>15</v>
      </c>
      <c r="T21" s="15">
        <f t="shared" si="6"/>
        <v>8</v>
      </c>
      <c r="U21" s="15">
        <f t="shared" si="7"/>
        <v>2024</v>
      </c>
      <c r="V21" s="15">
        <f t="shared" si="8"/>
        <v>15</v>
      </c>
      <c r="W21" s="15">
        <f t="shared" si="9"/>
        <v>8</v>
      </c>
      <c r="X21" s="15">
        <f t="shared" si="10"/>
        <v>2024</v>
      </c>
    </row>
    <row r="22">
      <c r="A22" s="9">
        <v>45519.0</v>
      </c>
      <c r="B22" s="10"/>
      <c r="C22" s="9">
        <f t="shared" si="11"/>
        <v>45519</v>
      </c>
      <c r="D22" s="11" t="s">
        <v>79</v>
      </c>
      <c r="E22" s="11" t="s">
        <v>25</v>
      </c>
      <c r="F22" s="11" t="s">
        <v>26</v>
      </c>
      <c r="G22" s="11" t="s">
        <v>37</v>
      </c>
      <c r="I22" s="12">
        <v>750.0</v>
      </c>
      <c r="J22" s="13"/>
      <c r="K22" s="13">
        <f t="shared" si="2"/>
        <v>750</v>
      </c>
      <c r="L22" s="11" t="s">
        <v>29</v>
      </c>
      <c r="M22" s="14"/>
      <c r="N22" s="11" t="s">
        <v>38</v>
      </c>
      <c r="O22" s="10" t="str">
        <f t="shared" si="3"/>
        <v>08/2024</v>
      </c>
      <c r="P22" s="10" t="str">
        <f t="shared" si="12"/>
        <v>08/2024</v>
      </c>
      <c r="Q22" s="15" t="str">
        <f t="array" ref="Q22">IFERROR(XLOOKUP(N22,'Classificação'!A:A,'Classificação'!B:B),"")</f>
        <v>DESPESAS COM PESSOAL</v>
      </c>
      <c r="R22" s="15" t="str">
        <f t="array" ref="R22">IFERROR(XLOOKUP(Q22,'Classificação'!B:B,'Classificação'!C:C),"")</f>
        <v>DESPESAS FIXAS (-)</v>
      </c>
      <c r="S22" s="15">
        <f t="shared" si="5"/>
        <v>15</v>
      </c>
      <c r="T22" s="15">
        <f t="shared" si="6"/>
        <v>8</v>
      </c>
      <c r="U22" s="15">
        <f t="shared" si="7"/>
        <v>2024</v>
      </c>
      <c r="V22" s="15">
        <f t="shared" si="8"/>
        <v>15</v>
      </c>
      <c r="W22" s="15">
        <f t="shared" si="9"/>
        <v>8</v>
      </c>
      <c r="X22" s="15">
        <f t="shared" si="10"/>
        <v>2024</v>
      </c>
    </row>
    <row r="23">
      <c r="A23" s="9">
        <v>45519.0</v>
      </c>
      <c r="B23" s="10"/>
      <c r="C23" s="9">
        <f t="shared" si="11"/>
        <v>45519</v>
      </c>
      <c r="D23" s="11" t="s">
        <v>80</v>
      </c>
      <c r="E23" s="11" t="s">
        <v>25</v>
      </c>
      <c r="F23" s="11" t="s">
        <v>32</v>
      </c>
      <c r="G23" s="11" t="s">
        <v>27</v>
      </c>
      <c r="I23" s="12">
        <v>720.0</v>
      </c>
      <c r="J23" s="13"/>
      <c r="K23" s="13">
        <f t="shared" si="2"/>
        <v>720</v>
      </c>
      <c r="L23" s="11" t="s">
        <v>29</v>
      </c>
      <c r="M23" s="14"/>
      <c r="N23" s="11" t="s">
        <v>75</v>
      </c>
      <c r="O23" s="10" t="str">
        <f t="shared" si="3"/>
        <v>08/2024</v>
      </c>
      <c r="P23" s="10" t="str">
        <f t="shared" si="12"/>
        <v>08/2024</v>
      </c>
      <c r="Q23" s="15" t="str">
        <f t="array" ref="Q23">IFERROR(XLOOKUP(N23,'Classificação'!A:A,'Classificação'!B:B),"")</f>
        <v>DESPESAS COM PESSOAL</v>
      </c>
      <c r="R23" s="15" t="str">
        <f t="array" ref="R23">IFERROR(XLOOKUP(Q23,'Classificação'!B:B,'Classificação'!C:C),"")</f>
        <v>DESPESAS FIXAS (-)</v>
      </c>
      <c r="S23" s="15">
        <f t="shared" si="5"/>
        <v>15</v>
      </c>
      <c r="T23" s="15">
        <f t="shared" si="6"/>
        <v>8</v>
      </c>
      <c r="U23" s="15">
        <f t="shared" si="7"/>
        <v>2024</v>
      </c>
      <c r="V23" s="15">
        <f t="shared" si="8"/>
        <v>15</v>
      </c>
      <c r="W23" s="15">
        <f t="shared" si="9"/>
        <v>8</v>
      </c>
      <c r="X23" s="15">
        <f t="shared" si="10"/>
        <v>2024</v>
      </c>
    </row>
    <row r="24">
      <c r="A24" s="9">
        <v>45519.0</v>
      </c>
      <c r="B24" s="10"/>
      <c r="C24" s="9">
        <f t="shared" si="11"/>
        <v>45519</v>
      </c>
      <c r="D24" s="11" t="s">
        <v>81</v>
      </c>
      <c r="E24" s="11" t="s">
        <v>25</v>
      </c>
      <c r="F24" s="11" t="s">
        <v>26</v>
      </c>
      <c r="G24" s="11" t="s">
        <v>37</v>
      </c>
      <c r="H24" s="11" t="s">
        <v>82</v>
      </c>
      <c r="I24" s="12">
        <v>20.99</v>
      </c>
      <c r="J24" s="13"/>
      <c r="K24" s="13">
        <f t="shared" si="2"/>
        <v>20.99</v>
      </c>
      <c r="L24" s="11" t="s">
        <v>34</v>
      </c>
      <c r="M24" s="14"/>
      <c r="N24" s="11" t="s">
        <v>71</v>
      </c>
      <c r="O24" s="10" t="str">
        <f t="shared" si="3"/>
        <v>08/2024</v>
      </c>
      <c r="P24" s="10" t="str">
        <f t="shared" si="12"/>
        <v>08/2024</v>
      </c>
      <c r="Q24" s="15" t="str">
        <f t="array" ref="Q24">IFERROR(XLOOKUP(N24,'Classificação'!A:A,'Classificação'!B:B),"")</f>
        <v>DESPESAS DIVERSAS</v>
      </c>
      <c r="R24" s="15" t="str">
        <f t="array" ref="R24">IFERROR(XLOOKUP(Q24,'Classificação'!B:B,'Classificação'!C:C),"")</f>
        <v>DESPESAS FIXAS (-)</v>
      </c>
      <c r="S24" s="15">
        <f t="shared" si="5"/>
        <v>15</v>
      </c>
      <c r="T24" s="15">
        <f t="shared" si="6"/>
        <v>8</v>
      </c>
      <c r="U24" s="15">
        <f t="shared" si="7"/>
        <v>2024</v>
      </c>
      <c r="V24" s="15">
        <f t="shared" si="8"/>
        <v>15</v>
      </c>
      <c r="W24" s="15">
        <f t="shared" si="9"/>
        <v>8</v>
      </c>
      <c r="X24" s="15">
        <f t="shared" si="10"/>
        <v>2024</v>
      </c>
    </row>
    <row r="25">
      <c r="A25" s="9">
        <v>45519.0</v>
      </c>
      <c r="B25" s="10"/>
      <c r="C25" s="9">
        <f t="shared" si="11"/>
        <v>45519</v>
      </c>
      <c r="D25" s="11" t="s">
        <v>83</v>
      </c>
      <c r="E25" s="11" t="s">
        <v>25</v>
      </c>
      <c r="F25" s="11" t="s">
        <v>32</v>
      </c>
      <c r="G25" s="11" t="s">
        <v>27</v>
      </c>
      <c r="I25" s="12">
        <v>744.0</v>
      </c>
      <c r="J25" s="13"/>
      <c r="K25" s="13">
        <f t="shared" si="2"/>
        <v>744</v>
      </c>
      <c r="L25" s="11" t="s">
        <v>29</v>
      </c>
      <c r="M25" s="14"/>
      <c r="N25" s="11" t="s">
        <v>75</v>
      </c>
      <c r="O25" s="10" t="str">
        <f t="shared" si="3"/>
        <v>08/2024</v>
      </c>
      <c r="P25" s="10" t="str">
        <f t="shared" si="12"/>
        <v>08/2024</v>
      </c>
      <c r="Q25" s="15" t="str">
        <f t="array" ref="Q25">IFERROR(XLOOKUP(N25,'Classificação'!A:A,'Classificação'!B:B),"")</f>
        <v>DESPESAS COM PESSOAL</v>
      </c>
      <c r="R25" s="15" t="str">
        <f t="array" ref="R25">IFERROR(XLOOKUP(Q25,'Classificação'!B:B,'Classificação'!C:C),"")</f>
        <v>DESPESAS FIXAS (-)</v>
      </c>
      <c r="S25" s="15">
        <f t="shared" si="5"/>
        <v>15</v>
      </c>
      <c r="T25" s="15">
        <f t="shared" si="6"/>
        <v>8</v>
      </c>
      <c r="U25" s="15">
        <f t="shared" si="7"/>
        <v>2024</v>
      </c>
      <c r="V25" s="15">
        <f t="shared" si="8"/>
        <v>15</v>
      </c>
      <c r="W25" s="15">
        <f t="shared" si="9"/>
        <v>8</v>
      </c>
      <c r="X25" s="15">
        <f t="shared" si="10"/>
        <v>2024</v>
      </c>
    </row>
    <row r="26">
      <c r="A26" s="9">
        <v>45519.0</v>
      </c>
      <c r="B26" s="10"/>
      <c r="C26" s="9">
        <f t="shared" si="11"/>
        <v>45519</v>
      </c>
      <c r="D26" s="11" t="s">
        <v>76</v>
      </c>
      <c r="E26" s="11" t="s">
        <v>25</v>
      </c>
      <c r="F26" s="11" t="s">
        <v>26</v>
      </c>
      <c r="G26" s="11" t="s">
        <v>27</v>
      </c>
      <c r="H26" s="11" t="s">
        <v>84</v>
      </c>
      <c r="I26" s="12">
        <v>2500.0</v>
      </c>
      <c r="J26" s="13"/>
      <c r="K26" s="13">
        <f t="shared" si="2"/>
        <v>2500</v>
      </c>
      <c r="L26" s="11" t="s">
        <v>53</v>
      </c>
      <c r="M26" s="17">
        <v>45512.0</v>
      </c>
      <c r="N26" s="11" t="s">
        <v>85</v>
      </c>
      <c r="O26" s="10" t="str">
        <f t="shared" si="3"/>
        <v>08/2024</v>
      </c>
      <c r="P26" s="10" t="str">
        <f t="shared" si="12"/>
        <v>08/2024</v>
      </c>
      <c r="Q26" s="15" t="str">
        <f t="array" ref="Q26">IFERROR(XLOOKUP(N26,'Classificação'!A:A,'Classificação'!B:B),"")</f>
        <v>DESPESAS NÃO OPERACIONAIS</v>
      </c>
      <c r="R26" s="15" t="str">
        <f t="array" ref="R26">IFERROR(XLOOKUP(Q26,'Classificação'!B:B,'Classificação'!C:C),"")</f>
        <v>RESULTADO NÃO OPERACIONAL (+/-)</v>
      </c>
      <c r="S26" s="15">
        <f t="shared" si="5"/>
        <v>15</v>
      </c>
      <c r="T26" s="15">
        <f t="shared" si="6"/>
        <v>8</v>
      </c>
      <c r="U26" s="15">
        <f t="shared" si="7"/>
        <v>2024</v>
      </c>
      <c r="V26" s="15">
        <f t="shared" si="8"/>
        <v>15</v>
      </c>
      <c r="W26" s="15">
        <f t="shared" si="9"/>
        <v>8</v>
      </c>
      <c r="X26" s="15">
        <f t="shared" si="10"/>
        <v>2024</v>
      </c>
    </row>
    <row r="27">
      <c r="A27" s="9">
        <v>45520.0</v>
      </c>
      <c r="B27" s="10"/>
      <c r="C27" s="9">
        <f t="shared" si="11"/>
        <v>45520</v>
      </c>
      <c r="D27" s="11" t="s">
        <v>86</v>
      </c>
      <c r="E27" s="11" t="s">
        <v>25</v>
      </c>
      <c r="F27" s="11" t="s">
        <v>87</v>
      </c>
      <c r="G27" s="11" t="s">
        <v>27</v>
      </c>
      <c r="H27" s="11" t="s">
        <v>88</v>
      </c>
      <c r="I27" s="12">
        <v>1127.5</v>
      </c>
      <c r="J27" s="13"/>
      <c r="K27" s="13">
        <f t="shared" si="2"/>
        <v>1127.5</v>
      </c>
      <c r="L27" s="11" t="s">
        <v>53</v>
      </c>
      <c r="M27" s="17">
        <v>45352.0</v>
      </c>
      <c r="N27" s="11" t="s">
        <v>35</v>
      </c>
      <c r="O27" s="10" t="str">
        <f t="shared" si="3"/>
        <v>08/2024</v>
      </c>
      <c r="P27" s="10" t="str">
        <f t="shared" si="12"/>
        <v>08/2024</v>
      </c>
      <c r="Q27" s="15" t="str">
        <f t="array" ref="Q27">IFERROR(XLOOKUP(N27,'Classificação'!A:A,'Classificação'!B:B),"")</f>
        <v>COMPRA DE MERCADORIA</v>
      </c>
      <c r="R27" s="15" t="str">
        <f t="array" ref="R27">IFERROR(XLOOKUP(Q27,'Classificação'!B:B,'Classificação'!C:C),"")</f>
        <v>CUSTOS VARIÁVEIS</v>
      </c>
      <c r="S27" s="15">
        <f t="shared" si="5"/>
        <v>16</v>
      </c>
      <c r="T27" s="15">
        <f t="shared" si="6"/>
        <v>8</v>
      </c>
      <c r="U27" s="15">
        <f t="shared" si="7"/>
        <v>2024</v>
      </c>
      <c r="V27" s="15">
        <f t="shared" si="8"/>
        <v>16</v>
      </c>
      <c r="W27" s="15">
        <f t="shared" si="9"/>
        <v>8</v>
      </c>
      <c r="X27" s="15">
        <f t="shared" si="10"/>
        <v>2024</v>
      </c>
    </row>
    <row r="28">
      <c r="A28" s="9">
        <v>45520.0</v>
      </c>
      <c r="B28" s="10"/>
      <c r="C28" s="9">
        <f t="shared" si="11"/>
        <v>45520</v>
      </c>
      <c r="D28" s="11" t="s">
        <v>86</v>
      </c>
      <c r="E28" s="11" t="s">
        <v>25</v>
      </c>
      <c r="F28" s="11" t="s">
        <v>87</v>
      </c>
      <c r="G28" s="11" t="s">
        <v>27</v>
      </c>
      <c r="H28" s="18" t="s">
        <v>89</v>
      </c>
      <c r="I28" s="12">
        <v>1533.0</v>
      </c>
      <c r="J28" s="13"/>
      <c r="K28" s="13">
        <f t="shared" si="2"/>
        <v>1533</v>
      </c>
      <c r="L28" s="11" t="s">
        <v>53</v>
      </c>
      <c r="M28" s="17">
        <v>45323.0</v>
      </c>
      <c r="N28" s="11" t="s">
        <v>35</v>
      </c>
      <c r="O28" s="10" t="str">
        <f t="shared" si="3"/>
        <v>08/2024</v>
      </c>
      <c r="P28" s="10" t="str">
        <f t="shared" si="12"/>
        <v>08/2024</v>
      </c>
      <c r="Q28" s="15" t="str">
        <f t="array" ref="Q28">IFERROR(XLOOKUP(N28,'Classificação'!A:A,'Classificação'!B:B),"")</f>
        <v>COMPRA DE MERCADORIA</v>
      </c>
      <c r="R28" s="15" t="str">
        <f t="array" ref="R28">IFERROR(XLOOKUP(Q28,'Classificação'!B:B,'Classificação'!C:C),"")</f>
        <v>CUSTOS VARIÁVEIS</v>
      </c>
      <c r="S28" s="15">
        <f t="shared" si="5"/>
        <v>16</v>
      </c>
      <c r="T28" s="15">
        <f t="shared" si="6"/>
        <v>8</v>
      </c>
      <c r="U28" s="15">
        <f t="shared" si="7"/>
        <v>2024</v>
      </c>
      <c r="V28" s="15">
        <f t="shared" si="8"/>
        <v>16</v>
      </c>
      <c r="W28" s="15">
        <f t="shared" si="9"/>
        <v>8</v>
      </c>
      <c r="X28" s="15">
        <f t="shared" si="10"/>
        <v>2024</v>
      </c>
    </row>
    <row r="29">
      <c r="A29" s="9">
        <v>45520.0</v>
      </c>
      <c r="B29" s="10"/>
      <c r="C29" s="9">
        <f t="shared" si="11"/>
        <v>45520</v>
      </c>
      <c r="D29" s="11" t="s">
        <v>90</v>
      </c>
      <c r="E29" s="11" t="s">
        <v>25</v>
      </c>
      <c r="F29" s="11" t="s">
        <v>40</v>
      </c>
      <c r="G29" s="11" t="s">
        <v>27</v>
      </c>
      <c r="H29" s="11" t="s">
        <v>91</v>
      </c>
      <c r="I29" s="12">
        <v>374.8</v>
      </c>
      <c r="J29" s="13"/>
      <c r="K29" s="13">
        <f t="shared" si="2"/>
        <v>374.8</v>
      </c>
      <c r="L29" s="11" t="s">
        <v>29</v>
      </c>
      <c r="M29" s="14"/>
      <c r="N29" s="11" t="s">
        <v>92</v>
      </c>
      <c r="O29" s="10" t="str">
        <f t="shared" si="3"/>
        <v>08/2024</v>
      </c>
      <c r="P29" s="10" t="str">
        <f t="shared" si="12"/>
        <v>08/2024</v>
      </c>
      <c r="Q29" s="15" t="str">
        <f t="array" ref="Q29">IFERROR(XLOOKUP(N29,'Classificação'!A:A,'Classificação'!B:B),"")</f>
        <v>DESPESAS COM OCUPAÇÃO</v>
      </c>
      <c r="R29" s="15" t="str">
        <f t="array" ref="R29">IFERROR(XLOOKUP(Q29,'Classificação'!B:B,'Classificação'!C:C),"")</f>
        <v>DESPESAS FIXAS (-)</v>
      </c>
      <c r="S29" s="15">
        <f t="shared" si="5"/>
        <v>16</v>
      </c>
      <c r="T29" s="15">
        <f t="shared" si="6"/>
        <v>8</v>
      </c>
      <c r="U29" s="15">
        <f t="shared" si="7"/>
        <v>2024</v>
      </c>
      <c r="V29" s="15">
        <f t="shared" si="8"/>
        <v>16</v>
      </c>
      <c r="W29" s="15">
        <f t="shared" si="9"/>
        <v>8</v>
      </c>
      <c r="X29" s="15">
        <f t="shared" si="10"/>
        <v>2024</v>
      </c>
    </row>
    <row r="30">
      <c r="A30" s="9">
        <v>45520.0</v>
      </c>
      <c r="B30" s="9">
        <v>45520.0</v>
      </c>
      <c r="C30" s="9">
        <f t="shared" si="11"/>
        <v>45520</v>
      </c>
      <c r="D30" s="11" t="s">
        <v>93</v>
      </c>
      <c r="E30" s="11" t="s">
        <v>25</v>
      </c>
      <c r="F30" s="11" t="s">
        <v>26</v>
      </c>
      <c r="G30" s="11" t="s">
        <v>37</v>
      </c>
      <c r="H30" s="11" t="s">
        <v>94</v>
      </c>
      <c r="I30" s="12">
        <v>20.0</v>
      </c>
      <c r="J30" s="13"/>
      <c r="K30" s="13">
        <f t="shared" si="2"/>
        <v>20</v>
      </c>
      <c r="L30" s="11" t="s">
        <v>34</v>
      </c>
      <c r="M30" s="14"/>
      <c r="N30" s="11" t="s">
        <v>95</v>
      </c>
      <c r="O30" s="10" t="str">
        <f t="shared" si="3"/>
        <v>08/2024</v>
      </c>
      <c r="P30" s="10"/>
      <c r="Q30" s="15" t="str">
        <f t="array" ref="Q30">IFERROR(XLOOKUP(N30,'Classificação'!A:A,'Classificação'!B:B),"")</f>
        <v>DESPESAS NÃO OPERACIONAIS</v>
      </c>
      <c r="R30" s="15" t="str">
        <f t="array" ref="R30">IFERROR(XLOOKUP(Q30,'Classificação'!B:B,'Classificação'!C:C),"")</f>
        <v>RESULTADO NÃO OPERACIONAL (+/-)</v>
      </c>
      <c r="S30" s="15">
        <f t="shared" si="5"/>
        <v>16</v>
      </c>
      <c r="T30" s="15">
        <f t="shared" si="6"/>
        <v>8</v>
      </c>
      <c r="U30" s="15">
        <f t="shared" si="7"/>
        <v>2024</v>
      </c>
      <c r="V30" s="15">
        <f t="shared" si="8"/>
        <v>16</v>
      </c>
      <c r="W30" s="15">
        <f t="shared" si="9"/>
        <v>8</v>
      </c>
      <c r="X30" s="15">
        <f t="shared" si="10"/>
        <v>2024</v>
      </c>
    </row>
    <row r="31">
      <c r="A31" s="9">
        <v>45520.0</v>
      </c>
      <c r="B31" s="10"/>
      <c r="C31" s="9">
        <f t="shared" si="11"/>
        <v>45520</v>
      </c>
      <c r="D31" s="11" t="s">
        <v>44</v>
      </c>
      <c r="E31" s="11" t="s">
        <v>25</v>
      </c>
      <c r="F31" s="11" t="s">
        <v>45</v>
      </c>
      <c r="G31" s="11" t="s">
        <v>27</v>
      </c>
      <c r="H31" s="11" t="s">
        <v>96</v>
      </c>
      <c r="I31" s="12">
        <v>7.36</v>
      </c>
      <c r="J31" s="13"/>
      <c r="K31" s="13">
        <f t="shared" si="2"/>
        <v>7.36</v>
      </c>
      <c r="L31" s="11" t="s">
        <v>34</v>
      </c>
      <c r="M31" s="14"/>
      <c r="N31" s="11" t="s">
        <v>97</v>
      </c>
      <c r="O31" s="10" t="str">
        <f t="shared" si="3"/>
        <v>08/2024</v>
      </c>
      <c r="P31" s="10"/>
      <c r="Q31" s="15" t="str">
        <f t="array" ref="Q31">IFERROR(XLOOKUP(N31,'Classificação'!A:A,'Classificação'!B:B),"")</f>
        <v>TARIFAS DE PIX</v>
      </c>
      <c r="R31" s="15" t="str">
        <f t="array" ref="R31">IFERROR(XLOOKUP(Q31,'Classificação'!B:B,'Classificação'!C:C),"")</f>
        <v>(+/-) RESULTADO FINANCEIRO LÍQUIDO</v>
      </c>
      <c r="S31" s="15">
        <f t="shared" si="5"/>
        <v>16</v>
      </c>
      <c r="T31" s="15">
        <f t="shared" si="6"/>
        <v>8</v>
      </c>
      <c r="U31" s="15">
        <f t="shared" si="7"/>
        <v>2024</v>
      </c>
      <c r="V31" s="15">
        <f t="shared" si="8"/>
        <v>16</v>
      </c>
      <c r="W31" s="15">
        <f t="shared" si="9"/>
        <v>8</v>
      </c>
      <c r="X31" s="15">
        <f t="shared" si="10"/>
        <v>2024</v>
      </c>
    </row>
    <row r="32">
      <c r="A32" s="9">
        <v>45523.0</v>
      </c>
      <c r="B32" s="10"/>
      <c r="C32" s="9">
        <f t="shared" si="11"/>
        <v>45523</v>
      </c>
      <c r="D32" s="11" t="s">
        <v>44</v>
      </c>
      <c r="E32" s="11" t="s">
        <v>25</v>
      </c>
      <c r="F32" s="11" t="s">
        <v>45</v>
      </c>
      <c r="G32" s="11" t="s">
        <v>27</v>
      </c>
      <c r="H32" s="11" t="s">
        <v>98</v>
      </c>
      <c r="I32" s="12">
        <v>3511.72</v>
      </c>
      <c r="J32" s="13"/>
      <c r="K32" s="13">
        <f t="shared" si="2"/>
        <v>3511.72</v>
      </c>
      <c r="L32" s="11" t="s">
        <v>53</v>
      </c>
      <c r="M32" s="16" t="s">
        <v>99</v>
      </c>
      <c r="N32" s="11" t="s">
        <v>73</v>
      </c>
      <c r="O32" s="10" t="str">
        <f t="shared" si="3"/>
        <v>08/2024</v>
      </c>
      <c r="P32" s="10" t="str">
        <f t="shared" ref="P32:P116" si="13">if(C32="","", TEXT(C32,"mm/yyyy"))</f>
        <v>08/2024</v>
      </c>
      <c r="Q32" s="15" t="str">
        <f t="array" ref="Q32">IFERROR(XLOOKUP(N32,'Classificação'!A:A,'Classificação'!B:B),"")</f>
        <v>DESPESAS NÃO OPERACIONAIS</v>
      </c>
      <c r="R32" s="15" t="str">
        <f t="array" ref="R32">IFERROR(XLOOKUP(Q32,'Classificação'!B:B,'Classificação'!C:C),"")</f>
        <v>RESULTADO NÃO OPERACIONAL (+/-)</v>
      </c>
      <c r="S32" s="15">
        <f t="shared" si="5"/>
        <v>19</v>
      </c>
      <c r="T32" s="15">
        <f t="shared" si="6"/>
        <v>8</v>
      </c>
      <c r="U32" s="15">
        <f t="shared" si="7"/>
        <v>2024</v>
      </c>
      <c r="V32" s="15">
        <f t="shared" si="8"/>
        <v>19</v>
      </c>
      <c r="W32" s="15">
        <f t="shared" si="9"/>
        <v>8</v>
      </c>
      <c r="X32" s="15">
        <f t="shared" si="10"/>
        <v>2024</v>
      </c>
    </row>
    <row r="33">
      <c r="A33" s="9">
        <v>45523.0</v>
      </c>
      <c r="B33" s="10"/>
      <c r="C33" s="9">
        <f t="shared" si="11"/>
        <v>45523</v>
      </c>
      <c r="D33" s="11" t="s">
        <v>100</v>
      </c>
      <c r="E33" s="11" t="s">
        <v>25</v>
      </c>
      <c r="F33" s="11" t="s">
        <v>40</v>
      </c>
      <c r="G33" s="11" t="s">
        <v>37</v>
      </c>
      <c r="I33" s="12">
        <v>78.93</v>
      </c>
      <c r="J33" s="13"/>
      <c r="K33" s="13">
        <f t="shared" si="2"/>
        <v>78.93</v>
      </c>
      <c r="L33" s="11" t="s">
        <v>29</v>
      </c>
      <c r="M33" s="14"/>
      <c r="N33" s="11" t="s">
        <v>101</v>
      </c>
      <c r="O33" s="10" t="str">
        <f t="shared" si="3"/>
        <v>08/2024</v>
      </c>
      <c r="P33" s="10" t="str">
        <f t="shared" si="13"/>
        <v>08/2024</v>
      </c>
      <c r="Q33" s="15" t="str">
        <f t="array" ref="Q33">IFERROR(XLOOKUP(N33,'Classificação'!A:A,'Classificação'!B:B),"")</f>
        <v>IMPOSTO DE RENDA - DAS</v>
      </c>
      <c r="R33" s="15" t="str">
        <f t="array" ref="R33">IFERROR(XLOOKUP(Q33,'Classificação'!B:B,'Classificação'!C:C),"")</f>
        <v>DEDUÇÕES DA RECEITA BRUTA (-)</v>
      </c>
      <c r="S33" s="15">
        <f t="shared" si="5"/>
        <v>19</v>
      </c>
      <c r="T33" s="15">
        <f t="shared" si="6"/>
        <v>8</v>
      </c>
      <c r="U33" s="15">
        <f t="shared" si="7"/>
        <v>2024</v>
      </c>
      <c r="V33" s="15">
        <f t="shared" si="8"/>
        <v>19</v>
      </c>
      <c r="W33" s="15">
        <f t="shared" si="9"/>
        <v>8</v>
      </c>
      <c r="X33" s="15">
        <f t="shared" si="10"/>
        <v>2024</v>
      </c>
    </row>
    <row r="34">
      <c r="A34" s="9">
        <v>45523.0</v>
      </c>
      <c r="B34" s="10"/>
      <c r="C34" s="9">
        <f t="shared" si="11"/>
        <v>45523</v>
      </c>
      <c r="D34" s="11" t="s">
        <v>36</v>
      </c>
      <c r="E34" s="11" t="s">
        <v>25</v>
      </c>
      <c r="F34" s="11" t="s">
        <v>32</v>
      </c>
      <c r="G34" s="11" t="s">
        <v>37</v>
      </c>
      <c r="I34" s="12">
        <v>3250.0</v>
      </c>
      <c r="J34" s="13"/>
      <c r="K34" s="13">
        <f t="shared" si="2"/>
        <v>3250</v>
      </c>
      <c r="L34" s="11" t="s">
        <v>29</v>
      </c>
      <c r="M34" s="14"/>
      <c r="N34" s="11" t="s">
        <v>38</v>
      </c>
      <c r="O34" s="10" t="str">
        <f t="shared" si="3"/>
        <v>08/2024</v>
      </c>
      <c r="P34" s="10" t="str">
        <f t="shared" si="13"/>
        <v>08/2024</v>
      </c>
      <c r="Q34" s="15" t="str">
        <f t="array" ref="Q34">IFERROR(XLOOKUP(N34,'Classificação'!A:A,'Classificação'!B:B),"")</f>
        <v>DESPESAS COM PESSOAL</v>
      </c>
      <c r="R34" s="15" t="str">
        <f t="array" ref="R34">IFERROR(XLOOKUP(Q34,'Classificação'!B:B,'Classificação'!C:C),"")</f>
        <v>DESPESAS FIXAS (-)</v>
      </c>
      <c r="S34" s="15">
        <f t="shared" si="5"/>
        <v>19</v>
      </c>
      <c r="T34" s="15">
        <f t="shared" si="6"/>
        <v>8</v>
      </c>
      <c r="U34" s="15">
        <f t="shared" si="7"/>
        <v>2024</v>
      </c>
      <c r="V34" s="15">
        <f t="shared" si="8"/>
        <v>19</v>
      </c>
      <c r="W34" s="15">
        <f t="shared" si="9"/>
        <v>8</v>
      </c>
      <c r="X34" s="15">
        <f t="shared" si="10"/>
        <v>2024</v>
      </c>
    </row>
    <row r="35">
      <c r="A35" s="9">
        <v>45523.0</v>
      </c>
      <c r="B35" s="10"/>
      <c r="C35" s="9">
        <f t="shared" si="11"/>
        <v>45523</v>
      </c>
      <c r="D35" s="11" t="s">
        <v>43</v>
      </c>
      <c r="E35" s="11" t="s">
        <v>25</v>
      </c>
      <c r="F35" s="11" t="s">
        <v>32</v>
      </c>
      <c r="G35" s="11" t="s">
        <v>37</v>
      </c>
      <c r="I35" s="12">
        <v>3250.0</v>
      </c>
      <c r="J35" s="13"/>
      <c r="K35" s="13">
        <f t="shared" si="2"/>
        <v>3250</v>
      </c>
      <c r="L35" s="11" t="s">
        <v>29</v>
      </c>
      <c r="M35" s="14"/>
      <c r="N35" s="11" t="s">
        <v>38</v>
      </c>
      <c r="O35" s="10" t="str">
        <f t="shared" si="3"/>
        <v>08/2024</v>
      </c>
      <c r="P35" s="10" t="str">
        <f t="shared" si="13"/>
        <v>08/2024</v>
      </c>
      <c r="Q35" s="15" t="str">
        <f t="array" ref="Q35">IFERROR(XLOOKUP(N35,'Classificação'!A:A,'Classificação'!B:B),"")</f>
        <v>DESPESAS COM PESSOAL</v>
      </c>
      <c r="R35" s="15" t="str">
        <f t="array" ref="R35">IFERROR(XLOOKUP(Q35,'Classificação'!B:B,'Classificação'!C:C),"")</f>
        <v>DESPESAS FIXAS (-)</v>
      </c>
      <c r="S35" s="15">
        <f t="shared" si="5"/>
        <v>19</v>
      </c>
      <c r="T35" s="15">
        <f t="shared" si="6"/>
        <v>8</v>
      </c>
      <c r="U35" s="15">
        <f t="shared" si="7"/>
        <v>2024</v>
      </c>
      <c r="V35" s="15">
        <f t="shared" si="8"/>
        <v>19</v>
      </c>
      <c r="W35" s="15">
        <f t="shared" si="9"/>
        <v>8</v>
      </c>
      <c r="X35" s="15">
        <f t="shared" si="10"/>
        <v>2024</v>
      </c>
    </row>
    <row r="36">
      <c r="A36" s="9">
        <v>45524.0</v>
      </c>
      <c r="B36" s="10"/>
      <c r="C36" s="9">
        <f t="shared" si="11"/>
        <v>45524</v>
      </c>
      <c r="D36" s="11" t="s">
        <v>102</v>
      </c>
      <c r="E36" s="11" t="s">
        <v>25</v>
      </c>
      <c r="F36" s="11" t="s">
        <v>26</v>
      </c>
      <c r="G36" s="11" t="s">
        <v>37</v>
      </c>
      <c r="I36" s="12">
        <v>500.0</v>
      </c>
      <c r="J36" s="13"/>
      <c r="K36" s="13">
        <f t="shared" si="2"/>
        <v>500</v>
      </c>
      <c r="L36" s="11" t="s">
        <v>34</v>
      </c>
      <c r="M36" s="14"/>
      <c r="N36" s="11" t="s">
        <v>58</v>
      </c>
      <c r="O36" s="10" t="str">
        <f t="shared" si="3"/>
        <v>08/2024</v>
      </c>
      <c r="P36" s="10" t="str">
        <f t="shared" si="13"/>
        <v>08/2024</v>
      </c>
      <c r="Q36" s="15" t="str">
        <f t="array" ref="Q36">IFERROR(XLOOKUP(N36,'Classificação'!A:A,'Classificação'!B:B),"")</f>
        <v>DESPESAS ADMINISTRATIVAS</v>
      </c>
      <c r="R36" s="15" t="str">
        <f t="array" ref="R36">IFERROR(XLOOKUP(Q36,'Classificação'!B:B,'Classificação'!C:C),"")</f>
        <v>DESPESAS FIXAS (-)</v>
      </c>
      <c r="S36" s="15">
        <f t="shared" si="5"/>
        <v>20</v>
      </c>
      <c r="T36" s="15">
        <f t="shared" si="6"/>
        <v>8</v>
      </c>
      <c r="U36" s="15">
        <f t="shared" si="7"/>
        <v>2024</v>
      </c>
      <c r="V36" s="15">
        <f t="shared" si="8"/>
        <v>20</v>
      </c>
      <c r="W36" s="15">
        <f t="shared" si="9"/>
        <v>8</v>
      </c>
      <c r="X36" s="15">
        <f t="shared" si="10"/>
        <v>2024</v>
      </c>
    </row>
    <row r="37">
      <c r="A37" s="9">
        <v>45524.0</v>
      </c>
      <c r="B37" s="10"/>
      <c r="C37" s="9">
        <f t="shared" si="11"/>
        <v>45524</v>
      </c>
      <c r="D37" s="11" t="s">
        <v>65</v>
      </c>
      <c r="E37" s="11" t="s">
        <v>25</v>
      </c>
      <c r="F37" s="11" t="s">
        <v>45</v>
      </c>
      <c r="G37" s="11" t="s">
        <v>37</v>
      </c>
      <c r="H37" s="11" t="s">
        <v>103</v>
      </c>
      <c r="I37" s="12">
        <v>826.14</v>
      </c>
      <c r="J37" s="13"/>
      <c r="K37" s="13">
        <f t="shared" si="2"/>
        <v>826.14</v>
      </c>
      <c r="L37" s="11" t="s">
        <v>29</v>
      </c>
      <c r="M37" s="14"/>
      <c r="N37" s="11" t="s">
        <v>68</v>
      </c>
      <c r="O37" s="10" t="str">
        <f t="shared" si="3"/>
        <v>08/2024</v>
      </c>
      <c r="P37" s="10" t="str">
        <f t="shared" si="13"/>
        <v>08/2024</v>
      </c>
      <c r="Q37" s="15" t="str">
        <f t="array" ref="Q37">IFERROR(XLOOKUP(N37,'Classificação'!A:A,'Classificação'!B:B),"")</f>
        <v>FRETE DE VENDAS</v>
      </c>
      <c r="R37" s="15" t="str">
        <f t="array" ref="R37">IFERROR(XLOOKUP(Q37,'Classificação'!B:B,'Classificação'!C:C),"")</f>
        <v>CUSTOS VARIÁVEIS</v>
      </c>
      <c r="S37" s="15">
        <f t="shared" si="5"/>
        <v>20</v>
      </c>
      <c r="T37" s="15">
        <f t="shared" si="6"/>
        <v>8</v>
      </c>
      <c r="U37" s="15">
        <f t="shared" si="7"/>
        <v>2024</v>
      </c>
      <c r="V37" s="15">
        <f t="shared" si="8"/>
        <v>20</v>
      </c>
      <c r="W37" s="15">
        <f t="shared" si="9"/>
        <v>8</v>
      </c>
      <c r="X37" s="15">
        <f t="shared" si="10"/>
        <v>2024</v>
      </c>
    </row>
    <row r="38">
      <c r="A38" s="9">
        <v>45524.0</v>
      </c>
      <c r="B38" s="10"/>
      <c r="C38" s="9">
        <f t="shared" si="11"/>
        <v>45524</v>
      </c>
      <c r="D38" s="11" t="s">
        <v>104</v>
      </c>
      <c r="E38" s="11" t="s">
        <v>25</v>
      </c>
      <c r="F38" s="11" t="s">
        <v>40</v>
      </c>
      <c r="G38" s="11" t="s">
        <v>27</v>
      </c>
      <c r="I38" s="12">
        <v>400.0</v>
      </c>
      <c r="J38" s="13"/>
      <c r="K38" s="13">
        <f t="shared" si="2"/>
        <v>400</v>
      </c>
      <c r="L38" s="11" t="s">
        <v>29</v>
      </c>
      <c r="M38" s="14"/>
      <c r="N38" s="11" t="s">
        <v>105</v>
      </c>
      <c r="O38" s="10" t="str">
        <f t="shared" si="3"/>
        <v>08/2024</v>
      </c>
      <c r="P38" s="10" t="str">
        <f t="shared" si="13"/>
        <v>08/2024</v>
      </c>
      <c r="Q38" s="15" t="str">
        <f t="array" ref="Q38">IFERROR(XLOOKUP(N38,'Classificação'!A:A,'Classificação'!B:B),"")</f>
        <v>DESPESAS ADMINISTRATIVAS</v>
      </c>
      <c r="R38" s="15" t="str">
        <f t="array" ref="R38">IFERROR(XLOOKUP(Q38,'Classificação'!B:B,'Classificação'!C:C),"")</f>
        <v>DESPESAS FIXAS (-)</v>
      </c>
      <c r="S38" s="15">
        <f t="shared" si="5"/>
        <v>20</v>
      </c>
      <c r="T38" s="15">
        <f t="shared" si="6"/>
        <v>8</v>
      </c>
      <c r="U38" s="15">
        <f t="shared" si="7"/>
        <v>2024</v>
      </c>
      <c r="V38" s="15">
        <f t="shared" si="8"/>
        <v>20</v>
      </c>
      <c r="W38" s="15">
        <f t="shared" si="9"/>
        <v>8</v>
      </c>
      <c r="X38" s="15">
        <f t="shared" si="10"/>
        <v>2024</v>
      </c>
    </row>
    <row r="39">
      <c r="A39" s="9">
        <v>45524.0</v>
      </c>
      <c r="B39" s="19">
        <v>45458.0</v>
      </c>
      <c r="C39" s="9">
        <f t="shared" si="11"/>
        <v>45524</v>
      </c>
      <c r="D39" s="11" t="s">
        <v>106</v>
      </c>
      <c r="E39" s="11" t="s">
        <v>25</v>
      </c>
      <c r="F39" s="11" t="s">
        <v>107</v>
      </c>
      <c r="G39" s="11" t="s">
        <v>27</v>
      </c>
      <c r="H39" s="11" t="s">
        <v>108</v>
      </c>
      <c r="I39" s="12">
        <v>278.01</v>
      </c>
      <c r="J39" s="13"/>
      <c r="K39" s="13">
        <f t="shared" si="2"/>
        <v>278.01</v>
      </c>
      <c r="L39" s="11" t="s">
        <v>53</v>
      </c>
      <c r="M39" s="20">
        <v>45474.0</v>
      </c>
      <c r="N39" s="11" t="s">
        <v>95</v>
      </c>
      <c r="O39" s="10" t="str">
        <f t="shared" si="3"/>
        <v>08/2024</v>
      </c>
      <c r="P39" s="10" t="str">
        <f t="shared" si="13"/>
        <v>08/2024</v>
      </c>
      <c r="Q39" s="15" t="str">
        <f t="array" ref="Q39">IFERROR(XLOOKUP(N39,'Classificação'!A:A,'Classificação'!B:B),"")</f>
        <v>DESPESAS NÃO OPERACIONAIS</v>
      </c>
      <c r="R39" s="15" t="str">
        <f t="array" ref="R39">IFERROR(XLOOKUP(Q39,'Classificação'!B:B,'Classificação'!C:C),"")</f>
        <v>RESULTADO NÃO OPERACIONAL (+/-)</v>
      </c>
      <c r="S39" s="15">
        <f t="shared" si="5"/>
        <v>20</v>
      </c>
      <c r="T39" s="15">
        <f t="shared" si="6"/>
        <v>8</v>
      </c>
      <c r="U39" s="15">
        <f t="shared" si="7"/>
        <v>2024</v>
      </c>
      <c r="V39" s="15">
        <f t="shared" si="8"/>
        <v>20</v>
      </c>
      <c r="W39" s="15">
        <f t="shared" si="9"/>
        <v>8</v>
      </c>
      <c r="X39" s="15">
        <f t="shared" si="10"/>
        <v>2024</v>
      </c>
    </row>
    <row r="40">
      <c r="A40" s="9">
        <v>45524.0</v>
      </c>
      <c r="B40" s="10"/>
      <c r="C40" s="9">
        <f t="shared" si="11"/>
        <v>45524</v>
      </c>
      <c r="D40" s="11" t="s">
        <v>109</v>
      </c>
      <c r="E40" s="11" t="s">
        <v>25</v>
      </c>
      <c r="F40" s="11" t="s">
        <v>110</v>
      </c>
      <c r="G40" s="11" t="s">
        <v>27</v>
      </c>
      <c r="H40" s="11" t="s">
        <v>111</v>
      </c>
      <c r="I40" s="12">
        <v>24.25</v>
      </c>
      <c r="J40" s="13"/>
      <c r="K40" s="13">
        <f t="shared" si="2"/>
        <v>24.25</v>
      </c>
      <c r="L40" s="11" t="s">
        <v>29</v>
      </c>
      <c r="M40" s="14"/>
      <c r="N40" s="11" t="s">
        <v>105</v>
      </c>
      <c r="O40" s="10" t="str">
        <f t="shared" si="3"/>
        <v>08/2024</v>
      </c>
      <c r="P40" s="10" t="str">
        <f t="shared" si="13"/>
        <v>08/2024</v>
      </c>
      <c r="Q40" s="15" t="str">
        <f t="array" ref="Q40">IFERROR(XLOOKUP(N40,'Classificação'!A:A,'Classificação'!B:B),"")</f>
        <v>DESPESAS ADMINISTRATIVAS</v>
      </c>
      <c r="R40" s="15" t="str">
        <f t="array" ref="R40">IFERROR(XLOOKUP(Q40,'Classificação'!B:B,'Classificação'!C:C),"")</f>
        <v>DESPESAS FIXAS (-)</v>
      </c>
      <c r="S40" s="15">
        <f t="shared" si="5"/>
        <v>20</v>
      </c>
      <c r="T40" s="15">
        <f t="shared" si="6"/>
        <v>8</v>
      </c>
      <c r="U40" s="15">
        <f t="shared" si="7"/>
        <v>2024</v>
      </c>
      <c r="V40" s="15">
        <f t="shared" si="8"/>
        <v>20</v>
      </c>
      <c r="W40" s="15">
        <f t="shared" si="9"/>
        <v>8</v>
      </c>
      <c r="X40" s="15">
        <f t="shared" si="10"/>
        <v>2024</v>
      </c>
    </row>
    <row r="41">
      <c r="A41" s="9">
        <v>45524.0</v>
      </c>
      <c r="B41" s="19">
        <v>45497.0</v>
      </c>
      <c r="C41" s="9">
        <f t="shared" si="11"/>
        <v>45524</v>
      </c>
      <c r="D41" s="11" t="s">
        <v>112</v>
      </c>
      <c r="E41" s="11" t="s">
        <v>25</v>
      </c>
      <c r="F41" s="11" t="s">
        <v>107</v>
      </c>
      <c r="G41" s="11" t="s">
        <v>27</v>
      </c>
      <c r="H41" s="18" t="s">
        <v>113</v>
      </c>
      <c r="I41" s="12">
        <v>102.83</v>
      </c>
      <c r="J41" s="13"/>
      <c r="K41" s="13">
        <f t="shared" si="2"/>
        <v>102.83</v>
      </c>
      <c r="L41" s="11" t="s">
        <v>34</v>
      </c>
      <c r="M41" s="14"/>
      <c r="N41" s="11" t="s">
        <v>71</v>
      </c>
      <c r="O41" s="10" t="str">
        <f t="shared" si="3"/>
        <v>08/2024</v>
      </c>
      <c r="P41" s="10" t="str">
        <f t="shared" si="13"/>
        <v>08/2024</v>
      </c>
      <c r="Q41" s="15" t="str">
        <f t="array" ref="Q41">IFERROR(XLOOKUP(N41,'Classificação'!A:A,'Classificação'!B:B),"")</f>
        <v>DESPESAS DIVERSAS</v>
      </c>
      <c r="R41" s="15" t="str">
        <f t="array" ref="R41">IFERROR(XLOOKUP(Q41,'Classificação'!B:B,'Classificação'!C:C),"")</f>
        <v>DESPESAS FIXAS (-)</v>
      </c>
      <c r="S41" s="15">
        <f t="shared" si="5"/>
        <v>20</v>
      </c>
      <c r="T41" s="15">
        <f t="shared" si="6"/>
        <v>8</v>
      </c>
      <c r="U41" s="15">
        <f t="shared" si="7"/>
        <v>2024</v>
      </c>
      <c r="V41" s="15">
        <f t="shared" si="8"/>
        <v>20</v>
      </c>
      <c r="W41" s="15">
        <f t="shared" si="9"/>
        <v>8</v>
      </c>
      <c r="X41" s="15">
        <f t="shared" si="10"/>
        <v>2024</v>
      </c>
    </row>
    <row r="42">
      <c r="A42" s="9">
        <v>45524.0</v>
      </c>
      <c r="B42" s="10"/>
      <c r="C42" s="9">
        <f t="shared" si="11"/>
        <v>45524</v>
      </c>
      <c r="D42" s="11" t="s">
        <v>114</v>
      </c>
      <c r="E42" s="11" t="s">
        <v>25</v>
      </c>
      <c r="F42" s="11" t="s">
        <v>110</v>
      </c>
      <c r="G42" s="11" t="s">
        <v>27</v>
      </c>
      <c r="H42" s="11" t="s">
        <v>115</v>
      </c>
      <c r="I42" s="12">
        <v>162.17</v>
      </c>
      <c r="J42" s="13"/>
      <c r="K42" s="13">
        <f t="shared" si="2"/>
        <v>162.17</v>
      </c>
      <c r="L42" s="11" t="s">
        <v>34</v>
      </c>
      <c r="M42" s="14"/>
      <c r="N42" s="11" t="s">
        <v>116</v>
      </c>
      <c r="O42" s="10" t="str">
        <f t="shared" si="3"/>
        <v>08/2024</v>
      </c>
      <c r="P42" s="10" t="str">
        <f t="shared" si="13"/>
        <v>08/2024</v>
      </c>
      <c r="Q42" s="15" t="str">
        <f t="array" ref="Q42">IFERROR(XLOOKUP(N42,'Classificação'!A:A,'Classificação'!B:B),"")</f>
        <v>DESPESAS COM OCUPAÇÃO</v>
      </c>
      <c r="R42" s="15" t="str">
        <f t="array" ref="R42">IFERROR(XLOOKUP(Q42,'Classificação'!B:B,'Classificação'!C:C),"")</f>
        <v>DESPESAS FIXAS (-)</v>
      </c>
      <c r="S42" s="15">
        <f t="shared" si="5"/>
        <v>20</v>
      </c>
      <c r="T42" s="15">
        <f t="shared" si="6"/>
        <v>8</v>
      </c>
      <c r="U42" s="15">
        <f t="shared" si="7"/>
        <v>2024</v>
      </c>
      <c r="V42" s="15">
        <f t="shared" si="8"/>
        <v>20</v>
      </c>
      <c r="W42" s="15">
        <f t="shared" si="9"/>
        <v>8</v>
      </c>
      <c r="X42" s="15">
        <f t="shared" si="10"/>
        <v>2024</v>
      </c>
    </row>
    <row r="43">
      <c r="A43" s="9">
        <v>45524.0</v>
      </c>
      <c r="B43" s="10"/>
      <c r="C43" s="9">
        <f t="shared" si="11"/>
        <v>45524</v>
      </c>
      <c r="D43" s="11" t="s">
        <v>100</v>
      </c>
      <c r="E43" s="11" t="s">
        <v>25</v>
      </c>
      <c r="F43" s="11" t="s">
        <v>40</v>
      </c>
      <c r="G43" s="11" t="s">
        <v>27</v>
      </c>
      <c r="H43" s="11" t="s">
        <v>117</v>
      </c>
      <c r="I43" s="12">
        <v>19501.98</v>
      </c>
      <c r="J43" s="13"/>
      <c r="K43" s="13">
        <f t="shared" si="2"/>
        <v>19501.98</v>
      </c>
      <c r="L43" s="11" t="s">
        <v>29</v>
      </c>
      <c r="M43" s="14"/>
      <c r="N43" s="11" t="s">
        <v>101</v>
      </c>
      <c r="O43" s="10" t="str">
        <f t="shared" si="3"/>
        <v>08/2024</v>
      </c>
      <c r="P43" s="10" t="str">
        <f t="shared" si="13"/>
        <v>08/2024</v>
      </c>
      <c r="Q43" s="15" t="str">
        <f t="array" ref="Q43">IFERROR(XLOOKUP(N43,'Classificação'!A:A,'Classificação'!B:B),"")</f>
        <v>IMPOSTO DE RENDA - DAS</v>
      </c>
      <c r="R43" s="15" t="str">
        <f t="array" ref="R43">IFERROR(XLOOKUP(Q43,'Classificação'!B:B,'Classificação'!C:C),"")</f>
        <v>DEDUÇÕES DA RECEITA BRUTA (-)</v>
      </c>
      <c r="S43" s="15">
        <f t="shared" si="5"/>
        <v>20</v>
      </c>
      <c r="T43" s="15">
        <f t="shared" si="6"/>
        <v>8</v>
      </c>
      <c r="U43" s="15">
        <f t="shared" si="7"/>
        <v>2024</v>
      </c>
      <c r="V43" s="15">
        <f t="shared" si="8"/>
        <v>20</v>
      </c>
      <c r="W43" s="15">
        <f t="shared" si="9"/>
        <v>8</v>
      </c>
      <c r="X43" s="15">
        <f t="shared" si="10"/>
        <v>2024</v>
      </c>
    </row>
    <row r="44">
      <c r="A44" s="9">
        <v>45524.0</v>
      </c>
      <c r="B44" s="19">
        <v>45453.0</v>
      </c>
      <c r="C44" s="9">
        <f t="shared" si="11"/>
        <v>45524</v>
      </c>
      <c r="D44" s="11" t="s">
        <v>118</v>
      </c>
      <c r="E44" s="11" t="s">
        <v>25</v>
      </c>
      <c r="F44" s="11" t="s">
        <v>107</v>
      </c>
      <c r="G44" s="11" t="s">
        <v>27</v>
      </c>
      <c r="H44" s="11" t="s">
        <v>119</v>
      </c>
      <c r="I44" s="12">
        <v>288.33</v>
      </c>
      <c r="J44" s="13"/>
      <c r="K44" s="13">
        <f t="shared" si="2"/>
        <v>288.33</v>
      </c>
      <c r="L44" s="11" t="s">
        <v>53</v>
      </c>
      <c r="M44" s="17">
        <v>45353.0</v>
      </c>
      <c r="N44" s="11" t="s">
        <v>120</v>
      </c>
      <c r="O44" s="10" t="str">
        <f t="shared" si="3"/>
        <v>08/2024</v>
      </c>
      <c r="P44" s="10" t="str">
        <f t="shared" si="13"/>
        <v>08/2024</v>
      </c>
      <c r="Q44" s="15" t="str">
        <f t="array" ref="Q44">IFERROR(XLOOKUP(N44,'Classificação'!A:A,'Classificação'!B:B),"")</f>
        <v>DESPESAS ADMINISTRATIVAS</v>
      </c>
      <c r="R44" s="15" t="str">
        <f t="array" ref="R44">IFERROR(XLOOKUP(Q44,'Classificação'!B:B,'Classificação'!C:C),"")</f>
        <v>DESPESAS FIXAS (-)</v>
      </c>
      <c r="S44" s="15">
        <f t="shared" si="5"/>
        <v>20</v>
      </c>
      <c r="T44" s="15">
        <f t="shared" si="6"/>
        <v>8</v>
      </c>
      <c r="U44" s="15">
        <f t="shared" si="7"/>
        <v>2024</v>
      </c>
      <c r="V44" s="15">
        <f t="shared" si="8"/>
        <v>20</v>
      </c>
      <c r="W44" s="15">
        <f t="shared" si="9"/>
        <v>8</v>
      </c>
      <c r="X44" s="15">
        <f t="shared" si="10"/>
        <v>2024</v>
      </c>
    </row>
    <row r="45">
      <c r="A45" s="9">
        <v>45524.0</v>
      </c>
      <c r="B45" s="10"/>
      <c r="C45" s="9">
        <f t="shared" si="11"/>
        <v>45524</v>
      </c>
      <c r="D45" s="11" t="s">
        <v>121</v>
      </c>
      <c r="E45" s="11" t="s">
        <v>25</v>
      </c>
      <c r="F45" s="11" t="s">
        <v>110</v>
      </c>
      <c r="G45" s="11" t="s">
        <v>27</v>
      </c>
      <c r="H45" s="11" t="s">
        <v>122</v>
      </c>
      <c r="I45" s="12">
        <v>29.9</v>
      </c>
      <c r="J45" s="13"/>
      <c r="K45" s="13">
        <f t="shared" si="2"/>
        <v>29.9</v>
      </c>
      <c r="L45" s="11" t="s">
        <v>29</v>
      </c>
      <c r="M45" s="14"/>
      <c r="N45" s="11" t="s">
        <v>105</v>
      </c>
      <c r="O45" s="10" t="str">
        <f t="shared" si="3"/>
        <v>08/2024</v>
      </c>
      <c r="P45" s="10" t="str">
        <f t="shared" si="13"/>
        <v>08/2024</v>
      </c>
      <c r="Q45" s="15" t="str">
        <f t="array" ref="Q45">IFERROR(XLOOKUP(N45,'Classificação'!A:A,'Classificação'!B:B),"")</f>
        <v>DESPESAS ADMINISTRATIVAS</v>
      </c>
      <c r="R45" s="15" t="str">
        <f t="array" ref="R45">IFERROR(XLOOKUP(Q45,'Classificação'!B:B,'Classificação'!C:C),"")</f>
        <v>DESPESAS FIXAS (-)</v>
      </c>
      <c r="S45" s="15">
        <f t="shared" si="5"/>
        <v>20</v>
      </c>
      <c r="T45" s="15">
        <f t="shared" si="6"/>
        <v>8</v>
      </c>
      <c r="U45" s="15">
        <f t="shared" si="7"/>
        <v>2024</v>
      </c>
      <c r="V45" s="15">
        <f t="shared" si="8"/>
        <v>20</v>
      </c>
      <c r="W45" s="15">
        <f t="shared" si="9"/>
        <v>8</v>
      </c>
      <c r="X45" s="15">
        <f t="shared" si="10"/>
        <v>2024</v>
      </c>
    </row>
    <row r="46">
      <c r="A46" s="9">
        <v>45524.0</v>
      </c>
      <c r="B46" s="10"/>
      <c r="C46" s="9">
        <f t="shared" si="11"/>
        <v>45524</v>
      </c>
      <c r="D46" s="11" t="s">
        <v>123</v>
      </c>
      <c r="E46" s="11" t="s">
        <v>25</v>
      </c>
      <c r="F46" s="11" t="s">
        <v>40</v>
      </c>
      <c r="G46" s="11" t="s">
        <v>27</v>
      </c>
      <c r="I46" s="12">
        <v>335.27</v>
      </c>
      <c r="J46" s="13"/>
      <c r="K46" s="13">
        <f t="shared" si="2"/>
        <v>335.27</v>
      </c>
      <c r="L46" s="11" t="s">
        <v>29</v>
      </c>
      <c r="M46" s="14"/>
      <c r="N46" s="11" t="s">
        <v>123</v>
      </c>
      <c r="O46" s="10" t="str">
        <f t="shared" si="3"/>
        <v>08/2024</v>
      </c>
      <c r="P46" s="10" t="str">
        <f t="shared" si="13"/>
        <v>08/2024</v>
      </c>
      <c r="Q46" s="15" t="str">
        <f t="array" ref="Q46">IFERROR(XLOOKUP(N46,'Classificação'!A:A,'Classificação'!B:B),"")</f>
        <v>DESPESAS COM PESSOAL</v>
      </c>
      <c r="R46" s="15" t="str">
        <f t="array" ref="R46">IFERROR(XLOOKUP(Q46,'Classificação'!B:B,'Classificação'!C:C),"")</f>
        <v>DESPESAS FIXAS (-)</v>
      </c>
      <c r="S46" s="15">
        <f t="shared" si="5"/>
        <v>20</v>
      </c>
      <c r="T46" s="15">
        <f t="shared" si="6"/>
        <v>8</v>
      </c>
      <c r="U46" s="15">
        <f t="shared" si="7"/>
        <v>2024</v>
      </c>
      <c r="V46" s="15">
        <f t="shared" si="8"/>
        <v>20</v>
      </c>
      <c r="W46" s="15">
        <f t="shared" si="9"/>
        <v>8</v>
      </c>
      <c r="X46" s="15">
        <f t="shared" si="10"/>
        <v>2024</v>
      </c>
    </row>
    <row r="47">
      <c r="A47" s="9">
        <v>45524.0</v>
      </c>
      <c r="B47" s="9">
        <v>45175.0</v>
      </c>
      <c r="C47" s="9">
        <f t="shared" si="11"/>
        <v>45524</v>
      </c>
      <c r="D47" s="11" t="s">
        <v>76</v>
      </c>
      <c r="E47" s="11" t="s">
        <v>25</v>
      </c>
      <c r="F47" s="11" t="s">
        <v>107</v>
      </c>
      <c r="G47" s="11" t="s">
        <v>27</v>
      </c>
      <c r="H47" s="11" t="s">
        <v>124</v>
      </c>
      <c r="I47" s="12">
        <v>300.5</v>
      </c>
      <c r="J47" s="13"/>
      <c r="K47" s="13">
        <f t="shared" si="2"/>
        <v>300.5</v>
      </c>
      <c r="L47" s="11" t="s">
        <v>53</v>
      </c>
      <c r="M47" s="17">
        <v>45637.0</v>
      </c>
      <c r="N47" s="11" t="s">
        <v>64</v>
      </c>
      <c r="O47" s="10" t="str">
        <f t="shared" si="3"/>
        <v>08/2024</v>
      </c>
      <c r="P47" s="10" t="str">
        <f t="shared" si="13"/>
        <v>08/2024</v>
      </c>
      <c r="Q47" s="15" t="str">
        <f t="array" ref="Q47">IFERROR(XLOOKUP(N47,'Classificação'!A:A,'Classificação'!B:B),"")</f>
        <v>DESPESAS COM PESSOAL</v>
      </c>
      <c r="R47" s="15" t="str">
        <f t="array" ref="R47">IFERROR(XLOOKUP(Q47,'Classificação'!B:B,'Classificação'!C:C),"")</f>
        <v>DESPESAS FIXAS (-)</v>
      </c>
      <c r="S47" s="15">
        <f t="shared" si="5"/>
        <v>20</v>
      </c>
      <c r="T47" s="15">
        <f t="shared" si="6"/>
        <v>8</v>
      </c>
      <c r="U47" s="15">
        <f t="shared" si="7"/>
        <v>2024</v>
      </c>
      <c r="V47" s="15">
        <f t="shared" si="8"/>
        <v>20</v>
      </c>
      <c r="W47" s="15">
        <f t="shared" si="9"/>
        <v>8</v>
      </c>
      <c r="X47" s="15">
        <f t="shared" si="10"/>
        <v>2024</v>
      </c>
    </row>
    <row r="48">
      <c r="A48" s="9">
        <v>45524.0</v>
      </c>
      <c r="B48" s="19">
        <v>45450.0</v>
      </c>
      <c r="C48" s="9">
        <f t="shared" si="11"/>
        <v>45524</v>
      </c>
      <c r="D48" s="11" t="s">
        <v>125</v>
      </c>
      <c r="E48" s="11" t="s">
        <v>25</v>
      </c>
      <c r="F48" s="11" t="s">
        <v>107</v>
      </c>
      <c r="G48" s="11" t="s">
        <v>27</v>
      </c>
      <c r="H48" s="11" t="s">
        <v>124</v>
      </c>
      <c r="I48" s="12">
        <v>64.75</v>
      </c>
      <c r="J48" s="13"/>
      <c r="K48" s="13">
        <f t="shared" si="2"/>
        <v>64.75</v>
      </c>
      <c r="L48" s="11" t="s">
        <v>53</v>
      </c>
      <c r="M48" s="17">
        <v>45414.0</v>
      </c>
      <c r="N48" s="11" t="s">
        <v>95</v>
      </c>
      <c r="O48" s="10" t="str">
        <f t="shared" si="3"/>
        <v>08/2024</v>
      </c>
      <c r="P48" s="10" t="str">
        <f t="shared" si="13"/>
        <v>08/2024</v>
      </c>
      <c r="Q48" s="15" t="str">
        <f t="array" ref="Q48">IFERROR(XLOOKUP(N48,'Classificação'!A:A,'Classificação'!B:B),"")</f>
        <v>DESPESAS NÃO OPERACIONAIS</v>
      </c>
      <c r="R48" s="15" t="str">
        <f t="array" ref="R48">IFERROR(XLOOKUP(Q48,'Classificação'!B:B,'Classificação'!C:C),"")</f>
        <v>RESULTADO NÃO OPERACIONAL (+/-)</v>
      </c>
      <c r="S48" s="15">
        <f t="shared" si="5"/>
        <v>20</v>
      </c>
      <c r="T48" s="15">
        <f t="shared" si="6"/>
        <v>8</v>
      </c>
      <c r="U48" s="15">
        <f t="shared" si="7"/>
        <v>2024</v>
      </c>
      <c r="V48" s="15">
        <f t="shared" si="8"/>
        <v>20</v>
      </c>
      <c r="W48" s="15">
        <f t="shared" si="9"/>
        <v>8</v>
      </c>
      <c r="X48" s="15">
        <f t="shared" si="10"/>
        <v>2024</v>
      </c>
    </row>
    <row r="49">
      <c r="A49" s="9">
        <v>45524.0</v>
      </c>
      <c r="B49" s="10"/>
      <c r="C49" s="9">
        <f t="shared" si="11"/>
        <v>45524</v>
      </c>
      <c r="D49" s="11" t="s">
        <v>126</v>
      </c>
      <c r="E49" s="11" t="s">
        <v>25</v>
      </c>
      <c r="F49" s="11" t="s">
        <v>40</v>
      </c>
      <c r="G49" s="11" t="s">
        <v>27</v>
      </c>
      <c r="I49" s="12">
        <v>521.38</v>
      </c>
      <c r="J49" s="13"/>
      <c r="K49" s="13">
        <f t="shared" si="2"/>
        <v>521.38</v>
      </c>
      <c r="L49" s="11" t="s">
        <v>29</v>
      </c>
      <c r="M49" s="14"/>
      <c r="N49" s="11" t="s">
        <v>126</v>
      </c>
      <c r="O49" s="10" t="str">
        <f t="shared" si="3"/>
        <v>08/2024</v>
      </c>
      <c r="P49" s="10" t="str">
        <f t="shared" si="13"/>
        <v>08/2024</v>
      </c>
      <c r="Q49" s="15" t="str">
        <f t="array" ref="Q49">IFERROR(XLOOKUP(N49,'Classificação'!A:A,'Classificação'!B:B),"")</f>
        <v>DESPESAS COM PESSOAL</v>
      </c>
      <c r="R49" s="15" t="str">
        <f t="array" ref="R49">IFERROR(XLOOKUP(Q49,'Classificação'!B:B,'Classificação'!C:C),"")</f>
        <v>DESPESAS FIXAS (-)</v>
      </c>
      <c r="S49" s="15">
        <f t="shared" si="5"/>
        <v>20</v>
      </c>
      <c r="T49" s="15">
        <f t="shared" si="6"/>
        <v>8</v>
      </c>
      <c r="U49" s="15">
        <f t="shared" si="7"/>
        <v>2024</v>
      </c>
      <c r="V49" s="15">
        <f t="shared" si="8"/>
        <v>20</v>
      </c>
      <c r="W49" s="15">
        <f t="shared" si="9"/>
        <v>8</v>
      </c>
      <c r="X49" s="15">
        <f t="shared" si="10"/>
        <v>2024</v>
      </c>
    </row>
    <row r="50">
      <c r="A50" s="9">
        <v>45524.0</v>
      </c>
      <c r="B50" s="10"/>
      <c r="C50" s="9">
        <f t="shared" si="11"/>
        <v>45524</v>
      </c>
      <c r="D50" s="11" t="s">
        <v>127</v>
      </c>
      <c r="E50" s="11" t="s">
        <v>25</v>
      </c>
      <c r="F50" s="11" t="s">
        <v>26</v>
      </c>
      <c r="G50" s="11" t="s">
        <v>37</v>
      </c>
      <c r="H50" s="11" t="s">
        <v>128</v>
      </c>
      <c r="I50" s="12">
        <v>540.3</v>
      </c>
      <c r="J50" s="13"/>
      <c r="K50" s="13">
        <f t="shared" si="2"/>
        <v>540.3</v>
      </c>
      <c r="L50" s="11" t="s">
        <v>29</v>
      </c>
      <c r="M50" s="14"/>
      <c r="N50" s="11" t="s">
        <v>58</v>
      </c>
      <c r="O50" s="10" t="str">
        <f t="shared" si="3"/>
        <v>08/2024</v>
      </c>
      <c r="P50" s="10" t="str">
        <f t="shared" si="13"/>
        <v>08/2024</v>
      </c>
      <c r="Q50" s="15" t="str">
        <f t="array" ref="Q50">IFERROR(XLOOKUP(N50,'Classificação'!A:A,'Classificação'!B:B),"")</f>
        <v>DESPESAS ADMINISTRATIVAS</v>
      </c>
      <c r="R50" s="15" t="str">
        <f t="array" ref="R50">IFERROR(XLOOKUP(Q50,'Classificação'!B:B,'Classificação'!C:C),"")</f>
        <v>DESPESAS FIXAS (-)</v>
      </c>
      <c r="S50" s="15">
        <f t="shared" si="5"/>
        <v>20</v>
      </c>
      <c r="T50" s="15">
        <f t="shared" si="6"/>
        <v>8</v>
      </c>
      <c r="U50" s="15">
        <f t="shared" si="7"/>
        <v>2024</v>
      </c>
      <c r="V50" s="15">
        <f t="shared" si="8"/>
        <v>20</v>
      </c>
      <c r="W50" s="15">
        <f t="shared" si="9"/>
        <v>8</v>
      </c>
      <c r="X50" s="15">
        <f t="shared" si="10"/>
        <v>2024</v>
      </c>
    </row>
    <row r="51">
      <c r="A51" s="9">
        <v>45524.0</v>
      </c>
      <c r="B51" s="19">
        <v>45485.0</v>
      </c>
      <c r="C51" s="9">
        <f t="shared" si="11"/>
        <v>45524</v>
      </c>
      <c r="D51" s="11" t="s">
        <v>129</v>
      </c>
      <c r="E51" s="11" t="s">
        <v>25</v>
      </c>
      <c r="F51" s="11" t="s">
        <v>107</v>
      </c>
      <c r="G51" s="11" t="s">
        <v>27</v>
      </c>
      <c r="H51" s="11" t="s">
        <v>130</v>
      </c>
      <c r="I51" s="12">
        <v>330.0</v>
      </c>
      <c r="J51" s="13"/>
      <c r="K51" s="13">
        <f t="shared" si="2"/>
        <v>330</v>
      </c>
      <c r="L51" s="11" t="s">
        <v>53</v>
      </c>
      <c r="M51" s="17">
        <v>45413.0</v>
      </c>
      <c r="N51" s="11" t="s">
        <v>95</v>
      </c>
      <c r="O51" s="10" t="str">
        <f t="shared" si="3"/>
        <v>08/2024</v>
      </c>
      <c r="P51" s="10" t="str">
        <f t="shared" si="13"/>
        <v>08/2024</v>
      </c>
      <c r="Q51" s="15" t="str">
        <f t="array" ref="Q51">IFERROR(XLOOKUP(N51,'Classificação'!A:A,'Classificação'!B:B),"")</f>
        <v>DESPESAS NÃO OPERACIONAIS</v>
      </c>
      <c r="R51" s="15" t="str">
        <f t="array" ref="R51">IFERROR(XLOOKUP(Q51,'Classificação'!B:B,'Classificação'!C:C),"")</f>
        <v>RESULTADO NÃO OPERACIONAL (+/-)</v>
      </c>
      <c r="S51" s="15">
        <f t="shared" si="5"/>
        <v>20</v>
      </c>
      <c r="T51" s="15">
        <f t="shared" si="6"/>
        <v>8</v>
      </c>
      <c r="U51" s="15">
        <f t="shared" si="7"/>
        <v>2024</v>
      </c>
      <c r="V51" s="15">
        <f t="shared" si="8"/>
        <v>20</v>
      </c>
      <c r="W51" s="15">
        <f t="shared" si="9"/>
        <v>8</v>
      </c>
      <c r="X51" s="15">
        <f t="shared" si="10"/>
        <v>2024</v>
      </c>
    </row>
    <row r="52">
      <c r="A52" s="9">
        <v>45524.0</v>
      </c>
      <c r="B52" s="21">
        <v>45427.0</v>
      </c>
      <c r="C52" s="9">
        <f t="shared" si="11"/>
        <v>45524</v>
      </c>
      <c r="D52" s="11" t="s">
        <v>131</v>
      </c>
      <c r="E52" s="11" t="s">
        <v>25</v>
      </c>
      <c r="F52" s="11" t="s">
        <v>107</v>
      </c>
      <c r="G52" s="11" t="s">
        <v>27</v>
      </c>
      <c r="H52" s="11" t="s">
        <v>132</v>
      </c>
      <c r="I52" s="12">
        <v>249.33</v>
      </c>
      <c r="J52" s="13"/>
      <c r="K52" s="13">
        <f t="shared" si="2"/>
        <v>249.33</v>
      </c>
      <c r="L52" s="11" t="s">
        <v>53</v>
      </c>
      <c r="M52" s="17">
        <v>45629.0</v>
      </c>
      <c r="N52" s="11" t="s">
        <v>133</v>
      </c>
      <c r="O52" s="10" t="str">
        <f t="shared" si="3"/>
        <v>08/2024</v>
      </c>
      <c r="P52" s="10" t="str">
        <f t="shared" si="13"/>
        <v>08/2024</v>
      </c>
      <c r="Q52" s="15" t="str">
        <f t="array" ref="Q52">IFERROR(XLOOKUP(N52,'Classificação'!A:A,'Classificação'!B:B),"")</f>
        <v>DESPESAS COM VEICULOS</v>
      </c>
      <c r="R52" s="15" t="str">
        <f t="array" ref="R52">IFERROR(XLOOKUP(Q52,'Classificação'!B:B,'Classificação'!C:C),"")</f>
        <v>DESPESAS FIXAS (-)</v>
      </c>
      <c r="S52" s="15">
        <f t="shared" si="5"/>
        <v>20</v>
      </c>
      <c r="T52" s="15">
        <f t="shared" si="6"/>
        <v>8</v>
      </c>
      <c r="U52" s="15">
        <f t="shared" si="7"/>
        <v>2024</v>
      </c>
      <c r="V52" s="15">
        <f t="shared" si="8"/>
        <v>20</v>
      </c>
      <c r="W52" s="15">
        <f t="shared" si="9"/>
        <v>8</v>
      </c>
      <c r="X52" s="15">
        <f t="shared" si="10"/>
        <v>2024</v>
      </c>
    </row>
    <row r="53">
      <c r="A53" s="9">
        <v>45524.0</v>
      </c>
      <c r="B53" s="10"/>
      <c r="C53" s="9">
        <f t="shared" si="11"/>
        <v>45524</v>
      </c>
      <c r="D53" s="11" t="s">
        <v>134</v>
      </c>
      <c r="E53" s="11" t="s">
        <v>25</v>
      </c>
      <c r="F53" s="11" t="s">
        <v>110</v>
      </c>
      <c r="G53" s="11" t="s">
        <v>27</v>
      </c>
      <c r="H53" s="11" t="s">
        <v>135</v>
      </c>
      <c r="I53" s="12">
        <v>89.35</v>
      </c>
      <c r="J53" s="13"/>
      <c r="K53" s="13">
        <f t="shared" si="2"/>
        <v>89.35</v>
      </c>
      <c r="L53" s="11" t="s">
        <v>34</v>
      </c>
      <c r="M53" s="14"/>
      <c r="N53" s="11" t="s">
        <v>136</v>
      </c>
      <c r="O53" s="10" t="str">
        <f t="shared" si="3"/>
        <v>08/2024</v>
      </c>
      <c r="P53" s="10" t="str">
        <f t="shared" si="13"/>
        <v>08/2024</v>
      </c>
      <c r="Q53" s="15" t="str">
        <f t="array" ref="Q53">IFERROR(XLOOKUP(N53,'Classificação'!A:A,'Classificação'!B:B),"")</f>
        <v>DESPESAS COM OCUPAÇÃO</v>
      </c>
      <c r="R53" s="15" t="str">
        <f t="array" ref="R53">IFERROR(XLOOKUP(Q53,'Classificação'!B:B,'Classificação'!C:C),"")</f>
        <v>DESPESAS FIXAS (-)</v>
      </c>
      <c r="S53" s="15">
        <f t="shared" si="5"/>
        <v>20</v>
      </c>
      <c r="T53" s="15">
        <f t="shared" si="6"/>
        <v>8</v>
      </c>
      <c r="U53" s="15">
        <f t="shared" si="7"/>
        <v>2024</v>
      </c>
      <c r="V53" s="15">
        <f t="shared" si="8"/>
        <v>20</v>
      </c>
      <c r="W53" s="15">
        <f t="shared" si="9"/>
        <v>8</v>
      </c>
      <c r="X53" s="15">
        <f t="shared" si="10"/>
        <v>2024</v>
      </c>
    </row>
    <row r="54">
      <c r="A54" s="9">
        <v>45524.0</v>
      </c>
      <c r="B54" s="19">
        <v>45481.0</v>
      </c>
      <c r="C54" s="9">
        <f t="shared" si="11"/>
        <v>45524</v>
      </c>
      <c r="D54" s="11" t="s">
        <v>137</v>
      </c>
      <c r="E54" s="11" t="s">
        <v>25</v>
      </c>
      <c r="F54" s="11" t="s">
        <v>107</v>
      </c>
      <c r="G54" s="11" t="s">
        <v>27</v>
      </c>
      <c r="H54" s="11" t="s">
        <v>138</v>
      </c>
      <c r="I54" s="12">
        <v>33.56</v>
      </c>
      <c r="J54" s="13"/>
      <c r="K54" s="13">
        <f t="shared" si="2"/>
        <v>33.56</v>
      </c>
      <c r="L54" s="11" t="s">
        <v>34</v>
      </c>
      <c r="M54" s="14"/>
      <c r="N54" s="11" t="s">
        <v>68</v>
      </c>
      <c r="O54" s="10" t="str">
        <f t="shared" si="3"/>
        <v>08/2024</v>
      </c>
      <c r="P54" s="10" t="str">
        <f t="shared" si="13"/>
        <v>08/2024</v>
      </c>
      <c r="Q54" s="15" t="str">
        <f t="array" ref="Q54">IFERROR(XLOOKUP(N54,'Classificação'!A:A,'Classificação'!B:B),"")</f>
        <v>FRETE DE VENDAS</v>
      </c>
      <c r="R54" s="15" t="str">
        <f t="array" ref="R54">IFERROR(XLOOKUP(Q54,'Classificação'!B:B,'Classificação'!C:C),"")</f>
        <v>CUSTOS VARIÁVEIS</v>
      </c>
      <c r="S54" s="15">
        <f t="shared" si="5"/>
        <v>20</v>
      </c>
      <c r="T54" s="15">
        <f t="shared" si="6"/>
        <v>8</v>
      </c>
      <c r="U54" s="15">
        <f t="shared" si="7"/>
        <v>2024</v>
      </c>
      <c r="V54" s="15">
        <f t="shared" si="8"/>
        <v>20</v>
      </c>
      <c r="W54" s="15">
        <f t="shared" si="9"/>
        <v>8</v>
      </c>
      <c r="X54" s="15">
        <f t="shared" si="10"/>
        <v>2024</v>
      </c>
    </row>
    <row r="55">
      <c r="A55" s="9">
        <v>45524.0</v>
      </c>
      <c r="B55" s="19">
        <v>45481.0</v>
      </c>
      <c r="C55" s="9">
        <f t="shared" si="11"/>
        <v>45524</v>
      </c>
      <c r="D55" s="11" t="s">
        <v>137</v>
      </c>
      <c r="E55" s="11" t="s">
        <v>25</v>
      </c>
      <c r="F55" s="11" t="s">
        <v>107</v>
      </c>
      <c r="G55" s="11" t="s">
        <v>27</v>
      </c>
      <c r="H55" s="22" t="s">
        <v>138</v>
      </c>
      <c r="I55" s="12">
        <v>240.62</v>
      </c>
      <c r="J55" s="13"/>
      <c r="K55" s="13">
        <f t="shared" si="2"/>
        <v>240.62</v>
      </c>
      <c r="L55" s="11" t="s">
        <v>34</v>
      </c>
      <c r="M55" s="14"/>
      <c r="N55" s="11" t="s">
        <v>68</v>
      </c>
      <c r="O55" s="10" t="str">
        <f t="shared" si="3"/>
        <v>08/2024</v>
      </c>
      <c r="P55" s="10" t="str">
        <f t="shared" si="13"/>
        <v>08/2024</v>
      </c>
      <c r="Q55" s="15" t="str">
        <f t="array" ref="Q55">IFERROR(XLOOKUP(N55,'Classificação'!A:A,'Classificação'!B:B),"")</f>
        <v>FRETE DE VENDAS</v>
      </c>
      <c r="R55" s="15" t="str">
        <f t="array" ref="R55">IFERROR(XLOOKUP(Q55,'Classificação'!B:B,'Classificação'!C:C),"")</f>
        <v>CUSTOS VARIÁVEIS</v>
      </c>
      <c r="S55" s="15">
        <f t="shared" si="5"/>
        <v>20</v>
      </c>
      <c r="T55" s="15">
        <f t="shared" si="6"/>
        <v>8</v>
      </c>
      <c r="U55" s="15">
        <f t="shared" si="7"/>
        <v>2024</v>
      </c>
      <c r="V55" s="15">
        <f t="shared" si="8"/>
        <v>20</v>
      </c>
      <c r="W55" s="15">
        <f t="shared" si="9"/>
        <v>8</v>
      </c>
      <c r="X55" s="15">
        <f t="shared" si="10"/>
        <v>2024</v>
      </c>
    </row>
    <row r="56">
      <c r="A56" s="9">
        <v>45524.0</v>
      </c>
      <c r="B56" s="19">
        <v>45481.0</v>
      </c>
      <c r="C56" s="9">
        <f t="shared" si="11"/>
        <v>45524</v>
      </c>
      <c r="D56" s="11" t="s">
        <v>137</v>
      </c>
      <c r="E56" s="11" t="s">
        <v>25</v>
      </c>
      <c r="F56" s="11" t="s">
        <v>107</v>
      </c>
      <c r="G56" s="11" t="s">
        <v>27</v>
      </c>
      <c r="H56" s="22" t="s">
        <v>138</v>
      </c>
      <c r="I56" s="12">
        <v>22.39</v>
      </c>
      <c r="J56" s="13"/>
      <c r="K56" s="13">
        <f t="shared" si="2"/>
        <v>22.39</v>
      </c>
      <c r="L56" s="11" t="s">
        <v>34</v>
      </c>
      <c r="M56" s="14"/>
      <c r="N56" s="11" t="s">
        <v>68</v>
      </c>
      <c r="O56" s="10" t="str">
        <f t="shared" si="3"/>
        <v>08/2024</v>
      </c>
      <c r="P56" s="10" t="str">
        <f t="shared" si="13"/>
        <v>08/2024</v>
      </c>
      <c r="Q56" s="15" t="str">
        <f t="array" ref="Q56">IFERROR(XLOOKUP(N56,'Classificação'!A:A,'Classificação'!B:B),"")</f>
        <v>FRETE DE VENDAS</v>
      </c>
      <c r="R56" s="15" t="str">
        <f t="array" ref="R56">IFERROR(XLOOKUP(Q56,'Classificação'!B:B,'Classificação'!C:C),"")</f>
        <v>CUSTOS VARIÁVEIS</v>
      </c>
      <c r="S56" s="15">
        <f t="shared" si="5"/>
        <v>20</v>
      </c>
      <c r="T56" s="15">
        <f t="shared" si="6"/>
        <v>8</v>
      </c>
      <c r="U56" s="15">
        <f t="shared" si="7"/>
        <v>2024</v>
      </c>
      <c r="V56" s="15">
        <f t="shared" si="8"/>
        <v>20</v>
      </c>
      <c r="W56" s="15">
        <f t="shared" si="9"/>
        <v>8</v>
      </c>
      <c r="X56" s="15">
        <f t="shared" si="10"/>
        <v>2024</v>
      </c>
    </row>
    <row r="57">
      <c r="A57" s="9">
        <v>45524.0</v>
      </c>
      <c r="B57" s="19">
        <v>45483.0</v>
      </c>
      <c r="C57" s="9">
        <f t="shared" si="11"/>
        <v>45524</v>
      </c>
      <c r="D57" s="11" t="s">
        <v>137</v>
      </c>
      <c r="E57" s="11" t="s">
        <v>25</v>
      </c>
      <c r="F57" s="11" t="s">
        <v>107</v>
      </c>
      <c r="G57" s="11" t="s">
        <v>27</v>
      </c>
      <c r="H57" s="22" t="s">
        <v>138</v>
      </c>
      <c r="I57" s="12">
        <v>189.111</v>
      </c>
      <c r="J57" s="13"/>
      <c r="K57" s="13">
        <f t="shared" si="2"/>
        <v>189.111</v>
      </c>
      <c r="L57" s="11" t="s">
        <v>34</v>
      </c>
      <c r="M57" s="14"/>
      <c r="N57" s="11" t="s">
        <v>68</v>
      </c>
      <c r="O57" s="10" t="str">
        <f t="shared" si="3"/>
        <v>08/2024</v>
      </c>
      <c r="P57" s="10" t="str">
        <f t="shared" si="13"/>
        <v>08/2024</v>
      </c>
      <c r="Q57" s="15" t="str">
        <f t="array" ref="Q57">IFERROR(XLOOKUP(N57,'Classificação'!A:A,'Classificação'!B:B),"")</f>
        <v>FRETE DE VENDAS</v>
      </c>
      <c r="R57" s="15" t="str">
        <f t="array" ref="R57">IFERROR(XLOOKUP(Q57,'Classificação'!B:B,'Classificação'!C:C),"")</f>
        <v>CUSTOS VARIÁVEIS</v>
      </c>
      <c r="S57" s="15">
        <f t="shared" si="5"/>
        <v>20</v>
      </c>
      <c r="T57" s="15">
        <f t="shared" si="6"/>
        <v>8</v>
      </c>
      <c r="U57" s="15">
        <f t="shared" si="7"/>
        <v>2024</v>
      </c>
      <c r="V57" s="15">
        <f t="shared" si="8"/>
        <v>20</v>
      </c>
      <c r="W57" s="15">
        <f t="shared" si="9"/>
        <v>8</v>
      </c>
      <c r="X57" s="15">
        <f t="shared" si="10"/>
        <v>2024</v>
      </c>
    </row>
    <row r="58">
      <c r="A58" s="9">
        <v>45524.0</v>
      </c>
      <c r="B58" s="19">
        <v>45417.0</v>
      </c>
      <c r="C58" s="9">
        <f t="shared" si="11"/>
        <v>45524</v>
      </c>
      <c r="D58" s="11" t="s">
        <v>65</v>
      </c>
      <c r="E58" s="11" t="s">
        <v>25</v>
      </c>
      <c r="F58" s="11" t="s">
        <v>107</v>
      </c>
      <c r="G58" s="11" t="s">
        <v>27</v>
      </c>
      <c r="H58" s="11" t="s">
        <v>139</v>
      </c>
      <c r="I58" s="12">
        <v>85.82</v>
      </c>
      <c r="J58" s="13"/>
      <c r="K58" s="13">
        <f t="shared" si="2"/>
        <v>85.82</v>
      </c>
      <c r="L58" s="11" t="s">
        <v>34</v>
      </c>
      <c r="M58" s="14"/>
      <c r="N58" s="11" t="s">
        <v>64</v>
      </c>
      <c r="O58" s="10" t="str">
        <f t="shared" si="3"/>
        <v>08/2024</v>
      </c>
      <c r="P58" s="10" t="str">
        <f t="shared" si="13"/>
        <v>08/2024</v>
      </c>
      <c r="Q58" s="15" t="str">
        <f t="array" ref="Q58">IFERROR(XLOOKUP(N58,'Classificação'!A:A,'Classificação'!B:B),"")</f>
        <v>DESPESAS COM PESSOAL</v>
      </c>
      <c r="R58" s="15" t="str">
        <f t="array" ref="R58">IFERROR(XLOOKUP(Q58,'Classificação'!B:B,'Classificação'!C:C),"")</f>
        <v>DESPESAS FIXAS (-)</v>
      </c>
      <c r="S58" s="15">
        <f t="shared" si="5"/>
        <v>20</v>
      </c>
      <c r="T58" s="15">
        <f t="shared" si="6"/>
        <v>8</v>
      </c>
      <c r="U58" s="15">
        <f t="shared" si="7"/>
        <v>2024</v>
      </c>
      <c r="V58" s="15">
        <f t="shared" si="8"/>
        <v>20</v>
      </c>
      <c r="W58" s="15">
        <f t="shared" si="9"/>
        <v>8</v>
      </c>
      <c r="X58" s="15">
        <f t="shared" si="10"/>
        <v>2024</v>
      </c>
    </row>
    <row r="59">
      <c r="A59" s="9">
        <v>45524.0</v>
      </c>
      <c r="B59" s="23">
        <v>45272.0</v>
      </c>
      <c r="C59" s="9">
        <f t="shared" si="11"/>
        <v>45524</v>
      </c>
      <c r="D59" s="11" t="s">
        <v>65</v>
      </c>
      <c r="E59" s="11" t="s">
        <v>25</v>
      </c>
      <c r="F59" s="11" t="s">
        <v>107</v>
      </c>
      <c r="G59" s="11" t="s">
        <v>27</v>
      </c>
      <c r="H59" s="11" t="s">
        <v>140</v>
      </c>
      <c r="I59" s="12">
        <v>126.9</v>
      </c>
      <c r="J59" s="13"/>
      <c r="K59" s="13">
        <f t="shared" si="2"/>
        <v>126.9</v>
      </c>
      <c r="L59" s="11" t="s">
        <v>53</v>
      </c>
      <c r="M59" s="17">
        <v>45573.0</v>
      </c>
      <c r="N59" s="11" t="s">
        <v>95</v>
      </c>
      <c r="O59" s="10" t="str">
        <f t="shared" si="3"/>
        <v>08/2024</v>
      </c>
      <c r="P59" s="10" t="str">
        <f t="shared" si="13"/>
        <v>08/2024</v>
      </c>
      <c r="Q59" s="15" t="str">
        <f t="array" ref="Q59">IFERROR(XLOOKUP(N59,'Classificação'!A:A,'Classificação'!B:B),"")</f>
        <v>DESPESAS NÃO OPERACIONAIS</v>
      </c>
      <c r="R59" s="15" t="str">
        <f t="array" ref="R59">IFERROR(XLOOKUP(Q59,'Classificação'!B:B,'Classificação'!C:C),"")</f>
        <v>RESULTADO NÃO OPERACIONAL (+/-)</v>
      </c>
      <c r="S59" s="15">
        <f t="shared" si="5"/>
        <v>20</v>
      </c>
      <c r="T59" s="15">
        <f t="shared" si="6"/>
        <v>8</v>
      </c>
      <c r="U59" s="15">
        <f t="shared" si="7"/>
        <v>2024</v>
      </c>
      <c r="V59" s="15">
        <f t="shared" si="8"/>
        <v>20</v>
      </c>
      <c r="W59" s="15">
        <f t="shared" si="9"/>
        <v>8</v>
      </c>
      <c r="X59" s="15">
        <f t="shared" si="10"/>
        <v>2024</v>
      </c>
    </row>
    <row r="60">
      <c r="A60" s="9">
        <v>45524.0</v>
      </c>
      <c r="B60" s="19">
        <v>45349.0</v>
      </c>
      <c r="C60" s="9">
        <f t="shared" si="11"/>
        <v>45524</v>
      </c>
      <c r="D60" s="11" t="s">
        <v>65</v>
      </c>
      <c r="E60" s="11" t="s">
        <v>25</v>
      </c>
      <c r="F60" s="11" t="s">
        <v>107</v>
      </c>
      <c r="G60" s="11" t="s">
        <v>27</v>
      </c>
      <c r="H60" s="11" t="s">
        <v>141</v>
      </c>
      <c r="I60" s="12">
        <v>79.92</v>
      </c>
      <c r="J60" s="13"/>
      <c r="K60" s="13">
        <f t="shared" si="2"/>
        <v>79.92</v>
      </c>
      <c r="L60" s="11" t="s">
        <v>53</v>
      </c>
      <c r="M60" s="17">
        <v>45571.0</v>
      </c>
      <c r="N60" s="11" t="s">
        <v>95</v>
      </c>
      <c r="O60" s="10" t="str">
        <f t="shared" si="3"/>
        <v>08/2024</v>
      </c>
      <c r="P60" s="10" t="str">
        <f t="shared" si="13"/>
        <v>08/2024</v>
      </c>
      <c r="Q60" s="15" t="str">
        <f t="array" ref="Q60">IFERROR(XLOOKUP(N60,'Classificação'!A:A,'Classificação'!B:B),"")</f>
        <v>DESPESAS NÃO OPERACIONAIS</v>
      </c>
      <c r="R60" s="15" t="str">
        <f t="array" ref="R60">IFERROR(XLOOKUP(Q60,'Classificação'!B:B,'Classificação'!C:C),"")</f>
        <v>RESULTADO NÃO OPERACIONAL (+/-)</v>
      </c>
      <c r="S60" s="15">
        <f t="shared" si="5"/>
        <v>20</v>
      </c>
      <c r="T60" s="15">
        <f t="shared" si="6"/>
        <v>8</v>
      </c>
      <c r="U60" s="15">
        <f t="shared" si="7"/>
        <v>2024</v>
      </c>
      <c r="V60" s="15">
        <f t="shared" si="8"/>
        <v>20</v>
      </c>
      <c r="W60" s="15">
        <f t="shared" si="9"/>
        <v>8</v>
      </c>
      <c r="X60" s="15">
        <f t="shared" si="10"/>
        <v>2024</v>
      </c>
    </row>
    <row r="61">
      <c r="A61" s="9">
        <v>45524.0</v>
      </c>
      <c r="B61" s="10"/>
      <c r="C61" s="9">
        <f t="shared" si="11"/>
        <v>45524</v>
      </c>
      <c r="D61" s="11" t="s">
        <v>65</v>
      </c>
      <c r="E61" s="11" t="s">
        <v>25</v>
      </c>
      <c r="F61" s="11" t="s">
        <v>107</v>
      </c>
      <c r="G61" s="11" t="s">
        <v>27</v>
      </c>
      <c r="H61" s="22" t="s">
        <v>142</v>
      </c>
      <c r="I61" s="12">
        <v>36.7</v>
      </c>
      <c r="J61" s="13"/>
      <c r="K61" s="13">
        <f t="shared" si="2"/>
        <v>36.7</v>
      </c>
      <c r="L61" s="11" t="s">
        <v>34</v>
      </c>
      <c r="M61" s="14"/>
      <c r="N61" s="11" t="s">
        <v>143</v>
      </c>
      <c r="O61" s="10" t="str">
        <f t="shared" si="3"/>
        <v>08/2024</v>
      </c>
      <c r="P61" s="10" t="str">
        <f t="shared" si="13"/>
        <v>08/2024</v>
      </c>
      <c r="Q61" s="15" t="str">
        <f t="array" ref="Q61">IFERROR(XLOOKUP(N61,'Classificação'!A:A,'Classificação'!B:B),"")</f>
        <v>EMBALAGENS/FITAS/GERAL</v>
      </c>
      <c r="R61" s="15" t="str">
        <f t="array" ref="R61">IFERROR(XLOOKUP(Q61,'Classificação'!B:B,'Classificação'!C:C),"")</f>
        <v>CUSTOS VARIÁVEIS</v>
      </c>
      <c r="S61" s="15">
        <f t="shared" si="5"/>
        <v>20</v>
      </c>
      <c r="T61" s="15">
        <f t="shared" si="6"/>
        <v>8</v>
      </c>
      <c r="U61" s="15">
        <f t="shared" si="7"/>
        <v>2024</v>
      </c>
      <c r="V61" s="15">
        <f t="shared" si="8"/>
        <v>20</v>
      </c>
      <c r="W61" s="15">
        <f t="shared" si="9"/>
        <v>8</v>
      </c>
      <c r="X61" s="15">
        <f t="shared" si="10"/>
        <v>2024</v>
      </c>
    </row>
    <row r="62">
      <c r="A62" s="9">
        <v>45524.0</v>
      </c>
      <c r="B62" s="19">
        <v>45393.0</v>
      </c>
      <c r="C62" s="9">
        <f t="shared" si="11"/>
        <v>45524</v>
      </c>
      <c r="D62" s="11" t="s">
        <v>65</v>
      </c>
      <c r="E62" s="11" t="s">
        <v>25</v>
      </c>
      <c r="F62" s="11" t="s">
        <v>107</v>
      </c>
      <c r="G62" s="11" t="s">
        <v>27</v>
      </c>
      <c r="H62" s="11" t="s">
        <v>144</v>
      </c>
      <c r="I62" s="12">
        <v>32.47</v>
      </c>
      <c r="J62" s="13"/>
      <c r="K62" s="13">
        <f t="shared" si="2"/>
        <v>32.47</v>
      </c>
      <c r="L62" s="11" t="s">
        <v>34</v>
      </c>
      <c r="M62" s="14"/>
      <c r="N62" s="11" t="s">
        <v>145</v>
      </c>
      <c r="O62" s="10" t="str">
        <f t="shared" si="3"/>
        <v>08/2024</v>
      </c>
      <c r="P62" s="10" t="str">
        <f t="shared" si="13"/>
        <v>08/2024</v>
      </c>
      <c r="Q62" s="15" t="str">
        <f t="array" ref="Q62">IFERROR(XLOOKUP(N62,'Classificação'!A:A,'Classificação'!B:B),"")</f>
        <v>DESPESAS ADMINISTRATIVAS</v>
      </c>
      <c r="R62" s="15" t="str">
        <f t="array" ref="R62">IFERROR(XLOOKUP(Q62,'Classificação'!B:B,'Classificação'!C:C),"")</f>
        <v>DESPESAS FIXAS (-)</v>
      </c>
      <c r="S62" s="15">
        <f t="shared" si="5"/>
        <v>20</v>
      </c>
      <c r="T62" s="15">
        <f t="shared" si="6"/>
        <v>8</v>
      </c>
      <c r="U62" s="15">
        <f t="shared" si="7"/>
        <v>2024</v>
      </c>
      <c r="V62" s="15">
        <f t="shared" si="8"/>
        <v>20</v>
      </c>
      <c r="W62" s="15">
        <f t="shared" si="9"/>
        <v>8</v>
      </c>
      <c r="X62" s="15">
        <f t="shared" si="10"/>
        <v>2024</v>
      </c>
    </row>
    <row r="63">
      <c r="A63" s="9">
        <v>45524.0</v>
      </c>
      <c r="B63" s="19">
        <v>45411.0</v>
      </c>
      <c r="C63" s="9">
        <f t="shared" si="11"/>
        <v>45524</v>
      </c>
      <c r="D63" s="11" t="s">
        <v>65</v>
      </c>
      <c r="E63" s="11" t="s">
        <v>25</v>
      </c>
      <c r="F63" s="11" t="s">
        <v>107</v>
      </c>
      <c r="G63" s="11" t="s">
        <v>27</v>
      </c>
      <c r="H63" s="11" t="s">
        <v>144</v>
      </c>
      <c r="I63" s="12">
        <v>32.48</v>
      </c>
      <c r="J63" s="13"/>
      <c r="K63" s="13">
        <f t="shared" si="2"/>
        <v>32.48</v>
      </c>
      <c r="L63" s="11" t="s">
        <v>34</v>
      </c>
      <c r="M63" s="14"/>
      <c r="N63" s="11" t="s">
        <v>145</v>
      </c>
      <c r="O63" s="10" t="str">
        <f t="shared" si="3"/>
        <v>08/2024</v>
      </c>
      <c r="P63" s="10" t="str">
        <f t="shared" si="13"/>
        <v>08/2024</v>
      </c>
      <c r="Q63" s="15" t="str">
        <f t="array" ref="Q63">IFERROR(XLOOKUP(N63,'Classificação'!A:A,'Classificação'!B:B),"")</f>
        <v>DESPESAS ADMINISTRATIVAS</v>
      </c>
      <c r="R63" s="15" t="str">
        <f t="array" ref="R63">IFERROR(XLOOKUP(Q63,'Classificação'!B:B,'Classificação'!C:C),"")</f>
        <v>DESPESAS FIXAS (-)</v>
      </c>
      <c r="S63" s="15">
        <f t="shared" si="5"/>
        <v>20</v>
      </c>
      <c r="T63" s="15">
        <f t="shared" si="6"/>
        <v>8</v>
      </c>
      <c r="U63" s="15">
        <f t="shared" si="7"/>
        <v>2024</v>
      </c>
      <c r="V63" s="15">
        <f t="shared" si="8"/>
        <v>20</v>
      </c>
      <c r="W63" s="15">
        <f t="shared" si="9"/>
        <v>8</v>
      </c>
      <c r="X63" s="15">
        <f t="shared" si="10"/>
        <v>2024</v>
      </c>
    </row>
    <row r="64">
      <c r="A64" s="9">
        <v>45524.0</v>
      </c>
      <c r="B64" s="19">
        <v>45439.0</v>
      </c>
      <c r="C64" s="9">
        <f t="shared" si="11"/>
        <v>45524</v>
      </c>
      <c r="D64" s="11" t="s">
        <v>65</v>
      </c>
      <c r="E64" s="11" t="s">
        <v>25</v>
      </c>
      <c r="F64" s="11" t="s">
        <v>107</v>
      </c>
      <c r="G64" s="11" t="s">
        <v>27</v>
      </c>
      <c r="H64" s="11" t="s">
        <v>146</v>
      </c>
      <c r="I64" s="12">
        <v>64.9</v>
      </c>
      <c r="J64" s="13"/>
      <c r="K64" s="13">
        <f t="shared" si="2"/>
        <v>64.9</v>
      </c>
      <c r="L64" s="11" t="s">
        <v>53</v>
      </c>
      <c r="M64" s="17">
        <v>45568.0</v>
      </c>
      <c r="N64" s="11" t="s">
        <v>95</v>
      </c>
      <c r="O64" s="10" t="str">
        <f t="shared" si="3"/>
        <v>08/2024</v>
      </c>
      <c r="P64" s="10" t="str">
        <f t="shared" si="13"/>
        <v>08/2024</v>
      </c>
      <c r="Q64" s="15" t="str">
        <f t="array" ref="Q64">IFERROR(XLOOKUP(N64,'Classificação'!A:A,'Classificação'!B:B),"")</f>
        <v>DESPESAS NÃO OPERACIONAIS</v>
      </c>
      <c r="R64" s="15" t="str">
        <f t="array" ref="R64">IFERROR(XLOOKUP(Q64,'Classificação'!B:B,'Classificação'!C:C),"")</f>
        <v>RESULTADO NÃO OPERACIONAL (+/-)</v>
      </c>
      <c r="S64" s="15">
        <f t="shared" si="5"/>
        <v>20</v>
      </c>
      <c r="T64" s="15">
        <f t="shared" si="6"/>
        <v>8</v>
      </c>
      <c r="U64" s="15">
        <f t="shared" si="7"/>
        <v>2024</v>
      </c>
      <c r="V64" s="15">
        <f t="shared" si="8"/>
        <v>20</v>
      </c>
      <c r="W64" s="15">
        <f t="shared" si="9"/>
        <v>8</v>
      </c>
      <c r="X64" s="15">
        <f t="shared" si="10"/>
        <v>2024</v>
      </c>
    </row>
    <row r="65">
      <c r="A65" s="9">
        <v>45524.0</v>
      </c>
      <c r="B65" s="19">
        <v>45474.0</v>
      </c>
      <c r="C65" s="9">
        <f t="shared" si="11"/>
        <v>45524</v>
      </c>
      <c r="D65" s="11" t="s">
        <v>65</v>
      </c>
      <c r="E65" s="11" t="s">
        <v>25</v>
      </c>
      <c r="F65" s="11" t="s">
        <v>107</v>
      </c>
      <c r="G65" s="11" t="s">
        <v>27</v>
      </c>
      <c r="H65" s="22" t="s">
        <v>147</v>
      </c>
      <c r="I65" s="12">
        <v>93.37</v>
      </c>
      <c r="J65" s="13"/>
      <c r="K65" s="13">
        <f t="shared" si="2"/>
        <v>93.37</v>
      </c>
      <c r="L65" s="11" t="s">
        <v>34</v>
      </c>
      <c r="M65" s="14"/>
      <c r="N65" s="11" t="s">
        <v>64</v>
      </c>
      <c r="O65" s="10" t="str">
        <f t="shared" si="3"/>
        <v>08/2024</v>
      </c>
      <c r="P65" s="10" t="str">
        <f t="shared" si="13"/>
        <v>08/2024</v>
      </c>
      <c r="Q65" s="15" t="str">
        <f t="array" ref="Q65">IFERROR(XLOOKUP(N65,'Classificação'!A:A,'Classificação'!B:B),"")</f>
        <v>DESPESAS COM PESSOAL</v>
      </c>
      <c r="R65" s="15" t="str">
        <f t="array" ref="R65">IFERROR(XLOOKUP(Q65,'Classificação'!B:B,'Classificação'!C:C),"")</f>
        <v>DESPESAS FIXAS (-)</v>
      </c>
      <c r="S65" s="15">
        <f t="shared" si="5"/>
        <v>20</v>
      </c>
      <c r="T65" s="15">
        <f t="shared" si="6"/>
        <v>8</v>
      </c>
      <c r="U65" s="15">
        <f t="shared" si="7"/>
        <v>2024</v>
      </c>
      <c r="V65" s="15">
        <f t="shared" si="8"/>
        <v>20</v>
      </c>
      <c r="W65" s="15">
        <f t="shared" si="9"/>
        <v>8</v>
      </c>
      <c r="X65" s="15">
        <f t="shared" si="10"/>
        <v>2024</v>
      </c>
    </row>
    <row r="66">
      <c r="A66" s="9">
        <v>45524.0</v>
      </c>
      <c r="B66" s="21">
        <v>45467.0</v>
      </c>
      <c r="C66" s="9">
        <f t="shared" si="11"/>
        <v>45524</v>
      </c>
      <c r="D66" s="11" t="s">
        <v>65</v>
      </c>
      <c r="E66" s="11" t="s">
        <v>25</v>
      </c>
      <c r="F66" s="11" t="s">
        <v>107</v>
      </c>
      <c r="G66" s="11" t="s">
        <v>27</v>
      </c>
      <c r="H66" s="11" t="s">
        <v>148</v>
      </c>
      <c r="I66" s="12">
        <v>36.6</v>
      </c>
      <c r="J66" s="13"/>
      <c r="K66" s="13">
        <f t="shared" si="2"/>
        <v>36.6</v>
      </c>
      <c r="L66" s="11" t="s">
        <v>53</v>
      </c>
      <c r="M66" s="17">
        <v>45384.0</v>
      </c>
      <c r="N66" s="11" t="s">
        <v>143</v>
      </c>
      <c r="O66" s="10" t="str">
        <f t="shared" si="3"/>
        <v>08/2024</v>
      </c>
      <c r="P66" s="10" t="str">
        <f t="shared" si="13"/>
        <v>08/2024</v>
      </c>
      <c r="Q66" s="15" t="str">
        <f t="array" ref="Q66">IFERROR(XLOOKUP(N66,'Classificação'!A:A,'Classificação'!B:B),"")</f>
        <v>EMBALAGENS/FITAS/GERAL</v>
      </c>
      <c r="R66" s="15" t="str">
        <f t="array" ref="R66">IFERROR(XLOOKUP(Q66,'Classificação'!B:B,'Classificação'!C:C),"")</f>
        <v>CUSTOS VARIÁVEIS</v>
      </c>
      <c r="S66" s="15">
        <f t="shared" si="5"/>
        <v>20</v>
      </c>
      <c r="T66" s="15">
        <f t="shared" si="6"/>
        <v>8</v>
      </c>
      <c r="U66" s="15">
        <f t="shared" si="7"/>
        <v>2024</v>
      </c>
      <c r="V66" s="15">
        <f t="shared" si="8"/>
        <v>20</v>
      </c>
      <c r="W66" s="15">
        <f t="shared" si="9"/>
        <v>8</v>
      </c>
      <c r="X66" s="15">
        <f t="shared" si="10"/>
        <v>2024</v>
      </c>
    </row>
    <row r="67">
      <c r="A67" s="9">
        <v>45524.0</v>
      </c>
      <c r="B67" s="19">
        <v>45462.0</v>
      </c>
      <c r="C67" s="9">
        <f t="shared" si="11"/>
        <v>45524</v>
      </c>
      <c r="D67" s="11" t="s">
        <v>65</v>
      </c>
      <c r="E67" s="11" t="s">
        <v>25</v>
      </c>
      <c r="F67" s="11" t="s">
        <v>107</v>
      </c>
      <c r="G67" s="11" t="s">
        <v>27</v>
      </c>
      <c r="H67" s="11" t="s">
        <v>149</v>
      </c>
      <c r="I67" s="12">
        <v>30.94</v>
      </c>
      <c r="J67" s="13"/>
      <c r="K67" s="13">
        <f t="shared" si="2"/>
        <v>30.94</v>
      </c>
      <c r="L67" s="11" t="s">
        <v>53</v>
      </c>
      <c r="M67" s="17">
        <v>45353.0</v>
      </c>
      <c r="N67" s="11" t="s">
        <v>143</v>
      </c>
      <c r="O67" s="10" t="str">
        <f t="shared" si="3"/>
        <v>08/2024</v>
      </c>
      <c r="P67" s="10" t="str">
        <f t="shared" si="13"/>
        <v>08/2024</v>
      </c>
      <c r="Q67" s="15" t="str">
        <f t="array" ref="Q67">IFERROR(XLOOKUP(N67,'Classificação'!A:A,'Classificação'!B:B),"")</f>
        <v>EMBALAGENS/FITAS/GERAL</v>
      </c>
      <c r="R67" s="15" t="str">
        <f t="array" ref="R67">IFERROR(XLOOKUP(Q67,'Classificação'!B:B,'Classificação'!C:C),"")</f>
        <v>CUSTOS VARIÁVEIS</v>
      </c>
      <c r="S67" s="15">
        <f t="shared" si="5"/>
        <v>20</v>
      </c>
      <c r="T67" s="15">
        <f t="shared" si="6"/>
        <v>8</v>
      </c>
      <c r="U67" s="15">
        <f t="shared" si="7"/>
        <v>2024</v>
      </c>
      <c r="V67" s="15">
        <f t="shared" si="8"/>
        <v>20</v>
      </c>
      <c r="W67" s="15">
        <f t="shared" si="9"/>
        <v>8</v>
      </c>
      <c r="X67" s="15">
        <f t="shared" si="10"/>
        <v>2024</v>
      </c>
    </row>
    <row r="68">
      <c r="A68" s="9">
        <v>45524.0</v>
      </c>
      <c r="B68" s="19">
        <v>45450.0</v>
      </c>
      <c r="C68" s="9">
        <f t="shared" si="11"/>
        <v>45524</v>
      </c>
      <c r="D68" s="11" t="s">
        <v>65</v>
      </c>
      <c r="E68" s="11" t="s">
        <v>25</v>
      </c>
      <c r="F68" s="11" t="s">
        <v>107</v>
      </c>
      <c r="G68" s="11" t="s">
        <v>27</v>
      </c>
      <c r="H68" s="22" t="s">
        <v>150</v>
      </c>
      <c r="I68" s="12">
        <v>202.87</v>
      </c>
      <c r="J68" s="13"/>
      <c r="K68" s="13">
        <f t="shared" si="2"/>
        <v>202.87</v>
      </c>
      <c r="L68" s="11" t="s">
        <v>34</v>
      </c>
      <c r="M68" s="14"/>
      <c r="N68" s="11" t="s">
        <v>95</v>
      </c>
      <c r="O68" s="10" t="str">
        <f t="shared" si="3"/>
        <v>08/2024</v>
      </c>
      <c r="P68" s="10" t="str">
        <f t="shared" si="13"/>
        <v>08/2024</v>
      </c>
      <c r="Q68" s="15" t="str">
        <f t="array" ref="Q68">IFERROR(XLOOKUP(N68,'Classificação'!A:A,'Classificação'!B:B),"")</f>
        <v>DESPESAS NÃO OPERACIONAIS</v>
      </c>
      <c r="R68" s="15" t="str">
        <f t="array" ref="R68">IFERROR(XLOOKUP(Q68,'Classificação'!B:B,'Classificação'!C:C),"")</f>
        <v>RESULTADO NÃO OPERACIONAL (+/-)</v>
      </c>
      <c r="S68" s="15">
        <f t="shared" si="5"/>
        <v>20</v>
      </c>
      <c r="T68" s="15">
        <f t="shared" si="6"/>
        <v>8</v>
      </c>
      <c r="U68" s="15">
        <f t="shared" si="7"/>
        <v>2024</v>
      </c>
      <c r="V68" s="15">
        <f t="shared" si="8"/>
        <v>20</v>
      </c>
      <c r="W68" s="15">
        <f t="shared" si="9"/>
        <v>8</v>
      </c>
      <c r="X68" s="15">
        <f t="shared" si="10"/>
        <v>2024</v>
      </c>
    </row>
    <row r="69">
      <c r="A69" s="9">
        <v>45524.0</v>
      </c>
      <c r="B69" s="19">
        <v>45450.0</v>
      </c>
      <c r="C69" s="9">
        <f t="shared" si="11"/>
        <v>45524</v>
      </c>
      <c r="D69" s="11" t="s">
        <v>65</v>
      </c>
      <c r="E69" s="11" t="s">
        <v>25</v>
      </c>
      <c r="F69" s="11" t="s">
        <v>107</v>
      </c>
      <c r="G69" s="11" t="s">
        <v>27</v>
      </c>
      <c r="H69" s="11" t="s">
        <v>151</v>
      </c>
      <c r="I69" s="12">
        <v>328.58</v>
      </c>
      <c r="J69" s="13"/>
      <c r="K69" s="13">
        <f t="shared" si="2"/>
        <v>328.58</v>
      </c>
      <c r="L69" s="11" t="s">
        <v>34</v>
      </c>
      <c r="M69" s="14"/>
      <c r="N69" s="11" t="s">
        <v>95</v>
      </c>
      <c r="O69" s="10" t="str">
        <f t="shared" si="3"/>
        <v>08/2024</v>
      </c>
      <c r="P69" s="10" t="str">
        <f t="shared" si="13"/>
        <v>08/2024</v>
      </c>
      <c r="Q69" s="15" t="str">
        <f t="array" ref="Q69">IFERROR(XLOOKUP(N69,'Classificação'!A:A,'Classificação'!B:B),"")</f>
        <v>DESPESAS NÃO OPERACIONAIS</v>
      </c>
      <c r="R69" s="15" t="str">
        <f t="array" ref="R69">IFERROR(XLOOKUP(Q69,'Classificação'!B:B,'Classificação'!C:C),"")</f>
        <v>RESULTADO NÃO OPERACIONAL (+/-)</v>
      </c>
      <c r="S69" s="15">
        <f t="shared" si="5"/>
        <v>20</v>
      </c>
      <c r="T69" s="15">
        <f t="shared" si="6"/>
        <v>8</v>
      </c>
      <c r="U69" s="15">
        <f t="shared" si="7"/>
        <v>2024</v>
      </c>
      <c r="V69" s="15">
        <f t="shared" si="8"/>
        <v>20</v>
      </c>
      <c r="W69" s="15">
        <f t="shared" si="9"/>
        <v>8</v>
      </c>
      <c r="X69" s="15">
        <f t="shared" si="10"/>
        <v>2024</v>
      </c>
    </row>
    <row r="70">
      <c r="A70" s="9">
        <v>45524.0</v>
      </c>
      <c r="B70" s="19">
        <v>45485.0</v>
      </c>
      <c r="C70" s="9">
        <f t="shared" si="11"/>
        <v>45524</v>
      </c>
      <c r="D70" s="11" t="s">
        <v>65</v>
      </c>
      <c r="E70" s="11" t="s">
        <v>25</v>
      </c>
      <c r="F70" s="11" t="s">
        <v>107</v>
      </c>
      <c r="G70" s="11" t="s">
        <v>27</v>
      </c>
      <c r="H70" s="11" t="s">
        <v>152</v>
      </c>
      <c r="I70" s="12">
        <v>175.45</v>
      </c>
      <c r="J70" s="13"/>
      <c r="K70" s="13">
        <f t="shared" si="2"/>
        <v>175.45</v>
      </c>
      <c r="L70" s="11" t="s">
        <v>34</v>
      </c>
      <c r="M70" s="14"/>
      <c r="N70" s="11" t="s">
        <v>95</v>
      </c>
      <c r="O70" s="10" t="str">
        <f t="shared" si="3"/>
        <v>08/2024</v>
      </c>
      <c r="P70" s="10" t="str">
        <f t="shared" si="13"/>
        <v>08/2024</v>
      </c>
      <c r="Q70" s="15" t="str">
        <f t="array" ref="Q70">IFERROR(XLOOKUP(N70,'Classificação'!A:A,'Classificação'!B:B),"")</f>
        <v>DESPESAS NÃO OPERACIONAIS</v>
      </c>
      <c r="R70" s="15" t="str">
        <f t="array" ref="R70">IFERROR(XLOOKUP(Q70,'Classificação'!B:B,'Classificação'!C:C),"")</f>
        <v>RESULTADO NÃO OPERACIONAL (+/-)</v>
      </c>
      <c r="S70" s="15">
        <f t="shared" si="5"/>
        <v>20</v>
      </c>
      <c r="T70" s="15">
        <f t="shared" si="6"/>
        <v>8</v>
      </c>
      <c r="U70" s="15">
        <f t="shared" si="7"/>
        <v>2024</v>
      </c>
      <c r="V70" s="15">
        <f t="shared" si="8"/>
        <v>20</v>
      </c>
      <c r="W70" s="15">
        <f t="shared" si="9"/>
        <v>8</v>
      </c>
      <c r="X70" s="15">
        <f t="shared" si="10"/>
        <v>2024</v>
      </c>
    </row>
    <row r="71">
      <c r="A71" s="9">
        <v>45524.0</v>
      </c>
      <c r="B71" s="19">
        <v>45485.0</v>
      </c>
      <c r="C71" s="9">
        <f t="shared" si="11"/>
        <v>45524</v>
      </c>
      <c r="D71" s="11" t="s">
        <v>65</v>
      </c>
      <c r="E71" s="11" t="s">
        <v>25</v>
      </c>
      <c r="F71" s="11" t="s">
        <v>107</v>
      </c>
      <c r="G71" s="11" t="s">
        <v>27</v>
      </c>
      <c r="H71" s="11" t="s">
        <v>152</v>
      </c>
      <c r="I71" s="12">
        <v>56.51</v>
      </c>
      <c r="J71" s="13"/>
      <c r="K71" s="13">
        <f t="shared" si="2"/>
        <v>56.51</v>
      </c>
      <c r="L71" s="11" t="s">
        <v>53</v>
      </c>
      <c r="M71" s="17">
        <v>45352.0</v>
      </c>
      <c r="N71" s="11" t="s">
        <v>143</v>
      </c>
      <c r="O71" s="10" t="str">
        <f t="shared" si="3"/>
        <v>08/2024</v>
      </c>
      <c r="P71" s="10" t="str">
        <f t="shared" si="13"/>
        <v>08/2024</v>
      </c>
      <c r="Q71" s="15" t="str">
        <f t="array" ref="Q71">IFERROR(XLOOKUP(N71,'Classificação'!A:A,'Classificação'!B:B),"")</f>
        <v>EMBALAGENS/FITAS/GERAL</v>
      </c>
      <c r="R71" s="15" t="str">
        <f t="array" ref="R71">IFERROR(XLOOKUP(Q71,'Classificação'!B:B,'Classificação'!C:C),"")</f>
        <v>CUSTOS VARIÁVEIS</v>
      </c>
      <c r="S71" s="15">
        <f t="shared" si="5"/>
        <v>20</v>
      </c>
      <c r="T71" s="15">
        <f t="shared" si="6"/>
        <v>8</v>
      </c>
      <c r="U71" s="15">
        <f t="shared" si="7"/>
        <v>2024</v>
      </c>
      <c r="V71" s="15">
        <f t="shared" si="8"/>
        <v>20</v>
      </c>
      <c r="W71" s="15">
        <f t="shared" si="9"/>
        <v>8</v>
      </c>
      <c r="X71" s="15">
        <f t="shared" si="10"/>
        <v>2024</v>
      </c>
    </row>
    <row r="72">
      <c r="A72" s="9">
        <v>45524.0</v>
      </c>
      <c r="B72" s="19">
        <v>45483.0</v>
      </c>
      <c r="C72" s="9">
        <f t="shared" si="11"/>
        <v>45524</v>
      </c>
      <c r="D72" s="11" t="s">
        <v>65</v>
      </c>
      <c r="E72" s="11" t="s">
        <v>25</v>
      </c>
      <c r="F72" s="11" t="s">
        <v>107</v>
      </c>
      <c r="G72" s="11" t="s">
        <v>27</v>
      </c>
      <c r="H72" s="11" t="s">
        <v>153</v>
      </c>
      <c r="I72" s="12">
        <v>406.16</v>
      </c>
      <c r="J72" s="13"/>
      <c r="K72" s="13">
        <f t="shared" si="2"/>
        <v>406.16</v>
      </c>
      <c r="L72" s="11" t="s">
        <v>34</v>
      </c>
      <c r="M72" s="14"/>
      <c r="N72" s="11" t="s">
        <v>143</v>
      </c>
      <c r="O72" s="10" t="str">
        <f t="shared" si="3"/>
        <v>08/2024</v>
      </c>
      <c r="P72" s="10" t="str">
        <f t="shared" si="13"/>
        <v>08/2024</v>
      </c>
      <c r="Q72" s="15" t="str">
        <f t="array" ref="Q72">IFERROR(XLOOKUP(N72,'Classificação'!A:A,'Classificação'!B:B),"")</f>
        <v>EMBALAGENS/FITAS/GERAL</v>
      </c>
      <c r="R72" s="15" t="str">
        <f t="array" ref="R72">IFERROR(XLOOKUP(Q72,'Classificação'!B:B,'Classificação'!C:C),"")</f>
        <v>CUSTOS VARIÁVEIS</v>
      </c>
      <c r="S72" s="15">
        <f t="shared" si="5"/>
        <v>20</v>
      </c>
      <c r="T72" s="15">
        <f t="shared" si="6"/>
        <v>8</v>
      </c>
      <c r="U72" s="15">
        <f t="shared" si="7"/>
        <v>2024</v>
      </c>
      <c r="V72" s="15">
        <f t="shared" si="8"/>
        <v>20</v>
      </c>
      <c r="W72" s="15">
        <f t="shared" si="9"/>
        <v>8</v>
      </c>
      <c r="X72" s="15">
        <f t="shared" si="10"/>
        <v>2024</v>
      </c>
    </row>
    <row r="73">
      <c r="A73" s="9">
        <v>45524.0</v>
      </c>
      <c r="B73" s="19">
        <v>45460.0</v>
      </c>
      <c r="C73" s="9">
        <f t="shared" si="11"/>
        <v>45524</v>
      </c>
      <c r="D73" s="11" t="s">
        <v>65</v>
      </c>
      <c r="E73" s="11" t="s">
        <v>25</v>
      </c>
      <c r="F73" s="11" t="s">
        <v>107</v>
      </c>
      <c r="G73" s="11" t="s">
        <v>27</v>
      </c>
      <c r="H73" s="11" t="s">
        <v>154</v>
      </c>
      <c r="I73" s="12">
        <v>48.89</v>
      </c>
      <c r="J73" s="13"/>
      <c r="K73" s="13">
        <f t="shared" si="2"/>
        <v>48.89</v>
      </c>
      <c r="L73" s="11" t="s">
        <v>34</v>
      </c>
      <c r="M73" s="14"/>
      <c r="N73" s="11" t="s">
        <v>95</v>
      </c>
      <c r="O73" s="10" t="str">
        <f t="shared" si="3"/>
        <v>08/2024</v>
      </c>
      <c r="P73" s="10" t="str">
        <f t="shared" si="13"/>
        <v>08/2024</v>
      </c>
      <c r="Q73" s="15" t="str">
        <f t="array" ref="Q73">IFERROR(XLOOKUP(N73,'Classificação'!A:A,'Classificação'!B:B),"")</f>
        <v>DESPESAS NÃO OPERACIONAIS</v>
      </c>
      <c r="R73" s="15" t="str">
        <f t="array" ref="R73">IFERROR(XLOOKUP(Q73,'Classificação'!B:B,'Classificação'!C:C),"")</f>
        <v>RESULTADO NÃO OPERACIONAL (+/-)</v>
      </c>
      <c r="S73" s="15">
        <f t="shared" si="5"/>
        <v>20</v>
      </c>
      <c r="T73" s="15">
        <f t="shared" si="6"/>
        <v>8</v>
      </c>
      <c r="U73" s="15">
        <f t="shared" si="7"/>
        <v>2024</v>
      </c>
      <c r="V73" s="15">
        <f t="shared" si="8"/>
        <v>20</v>
      </c>
      <c r="W73" s="15">
        <f t="shared" si="9"/>
        <v>8</v>
      </c>
      <c r="X73" s="15">
        <f t="shared" si="10"/>
        <v>2024</v>
      </c>
    </row>
    <row r="74">
      <c r="A74" s="9">
        <v>45524.0</v>
      </c>
      <c r="B74" s="9">
        <v>45861.0</v>
      </c>
      <c r="C74" s="9">
        <f t="shared" si="11"/>
        <v>45524</v>
      </c>
      <c r="D74" s="11" t="s">
        <v>65</v>
      </c>
      <c r="E74" s="11" t="s">
        <v>25</v>
      </c>
      <c r="F74" s="11" t="s">
        <v>107</v>
      </c>
      <c r="G74" s="11" t="s">
        <v>27</v>
      </c>
      <c r="H74" s="11" t="s">
        <v>155</v>
      </c>
      <c r="I74" s="12">
        <v>65.44</v>
      </c>
      <c r="J74" s="13"/>
      <c r="K74" s="13">
        <f t="shared" si="2"/>
        <v>65.44</v>
      </c>
      <c r="L74" s="11" t="s">
        <v>34</v>
      </c>
      <c r="M74" s="14"/>
      <c r="N74" s="11" t="s">
        <v>95</v>
      </c>
      <c r="O74" s="10" t="str">
        <f t="shared" si="3"/>
        <v>08/2024</v>
      </c>
      <c r="P74" s="10" t="str">
        <f t="shared" si="13"/>
        <v>08/2024</v>
      </c>
      <c r="Q74" s="15" t="str">
        <f t="array" ref="Q74">IFERROR(XLOOKUP(N74,'Classificação'!A:A,'Classificação'!B:B),"")</f>
        <v>DESPESAS NÃO OPERACIONAIS</v>
      </c>
      <c r="R74" s="15" t="str">
        <f t="array" ref="R74">IFERROR(XLOOKUP(Q74,'Classificação'!B:B,'Classificação'!C:C),"")</f>
        <v>RESULTADO NÃO OPERACIONAL (+/-)</v>
      </c>
      <c r="S74" s="15">
        <f t="shared" si="5"/>
        <v>20</v>
      </c>
      <c r="T74" s="15">
        <f t="shared" si="6"/>
        <v>8</v>
      </c>
      <c r="U74" s="15">
        <f t="shared" si="7"/>
        <v>2024</v>
      </c>
      <c r="V74" s="15">
        <f t="shared" si="8"/>
        <v>20</v>
      </c>
      <c r="W74" s="15">
        <f t="shared" si="9"/>
        <v>8</v>
      </c>
      <c r="X74" s="15">
        <f t="shared" si="10"/>
        <v>2024</v>
      </c>
    </row>
    <row r="75">
      <c r="A75" s="9">
        <v>45524.0</v>
      </c>
      <c r="B75" s="19">
        <v>45497.0</v>
      </c>
      <c r="C75" s="9">
        <f t="shared" si="11"/>
        <v>45524</v>
      </c>
      <c r="D75" s="11" t="s">
        <v>65</v>
      </c>
      <c r="E75" s="11" t="s">
        <v>25</v>
      </c>
      <c r="F75" s="11" t="s">
        <v>107</v>
      </c>
      <c r="G75" s="11" t="s">
        <v>27</v>
      </c>
      <c r="H75" s="11" t="s">
        <v>156</v>
      </c>
      <c r="I75" s="12">
        <v>353.9</v>
      </c>
      <c r="J75" s="13"/>
      <c r="K75" s="13">
        <f t="shared" si="2"/>
        <v>353.9</v>
      </c>
      <c r="L75" s="11" t="s">
        <v>34</v>
      </c>
      <c r="M75" s="14"/>
      <c r="N75" s="11" t="s">
        <v>143</v>
      </c>
      <c r="O75" s="10" t="str">
        <f t="shared" si="3"/>
        <v>08/2024</v>
      </c>
      <c r="P75" s="10" t="str">
        <f t="shared" si="13"/>
        <v>08/2024</v>
      </c>
      <c r="Q75" s="15" t="str">
        <f t="array" ref="Q75">IFERROR(XLOOKUP(N75,'Classificação'!A:A,'Classificação'!B:B),"")</f>
        <v>EMBALAGENS/FITAS/GERAL</v>
      </c>
      <c r="R75" s="15" t="str">
        <f t="array" ref="R75">IFERROR(XLOOKUP(Q75,'Classificação'!B:B,'Classificação'!C:C),"")</f>
        <v>CUSTOS VARIÁVEIS</v>
      </c>
      <c r="S75" s="15">
        <f t="shared" si="5"/>
        <v>20</v>
      </c>
      <c r="T75" s="15">
        <f t="shared" si="6"/>
        <v>8</v>
      </c>
      <c r="U75" s="15">
        <f t="shared" si="7"/>
        <v>2024</v>
      </c>
      <c r="V75" s="15">
        <f t="shared" si="8"/>
        <v>20</v>
      </c>
      <c r="W75" s="15">
        <f t="shared" si="9"/>
        <v>8</v>
      </c>
      <c r="X75" s="15">
        <f t="shared" si="10"/>
        <v>2024</v>
      </c>
    </row>
    <row r="76">
      <c r="A76" s="9">
        <v>45524.0</v>
      </c>
      <c r="B76" s="19">
        <v>45497.0</v>
      </c>
      <c r="C76" s="9">
        <f t="shared" si="11"/>
        <v>45524</v>
      </c>
      <c r="D76" s="11" t="s">
        <v>65</v>
      </c>
      <c r="E76" s="11" t="s">
        <v>25</v>
      </c>
      <c r="F76" s="11" t="s">
        <v>107</v>
      </c>
      <c r="G76" s="11" t="s">
        <v>27</v>
      </c>
      <c r="H76" s="11" t="s">
        <v>157</v>
      </c>
      <c r="I76" s="12">
        <v>35.98</v>
      </c>
      <c r="J76" s="13"/>
      <c r="K76" s="13">
        <f t="shared" si="2"/>
        <v>35.98</v>
      </c>
      <c r="L76" s="11" t="s">
        <v>53</v>
      </c>
      <c r="M76" s="17">
        <v>45413.0</v>
      </c>
      <c r="N76" s="11" t="s">
        <v>143</v>
      </c>
      <c r="O76" s="10" t="str">
        <f t="shared" si="3"/>
        <v>08/2024</v>
      </c>
      <c r="P76" s="10" t="str">
        <f t="shared" si="13"/>
        <v>08/2024</v>
      </c>
      <c r="Q76" s="15" t="str">
        <f t="array" ref="Q76">IFERROR(XLOOKUP(N76,'Classificação'!A:A,'Classificação'!B:B),"")</f>
        <v>EMBALAGENS/FITAS/GERAL</v>
      </c>
      <c r="R76" s="15" t="str">
        <f t="array" ref="R76">IFERROR(XLOOKUP(Q76,'Classificação'!B:B,'Classificação'!C:C),"")</f>
        <v>CUSTOS VARIÁVEIS</v>
      </c>
      <c r="S76" s="15">
        <f t="shared" si="5"/>
        <v>20</v>
      </c>
      <c r="T76" s="15">
        <f t="shared" si="6"/>
        <v>8</v>
      </c>
      <c r="U76" s="15">
        <f t="shared" si="7"/>
        <v>2024</v>
      </c>
      <c r="V76" s="15">
        <f t="shared" si="8"/>
        <v>20</v>
      </c>
      <c r="W76" s="15">
        <f t="shared" si="9"/>
        <v>8</v>
      </c>
      <c r="X76" s="15">
        <f t="shared" si="10"/>
        <v>2024</v>
      </c>
    </row>
    <row r="77">
      <c r="A77" s="9">
        <v>45524.0</v>
      </c>
      <c r="B77" s="10"/>
      <c r="C77" s="9">
        <f t="shared" si="11"/>
        <v>45524</v>
      </c>
      <c r="D77" s="11" t="s">
        <v>65</v>
      </c>
      <c r="E77" s="11" t="s">
        <v>25</v>
      </c>
      <c r="F77" s="11" t="s">
        <v>26</v>
      </c>
      <c r="G77" s="11" t="s">
        <v>37</v>
      </c>
      <c r="H77" s="11" t="s">
        <v>158</v>
      </c>
      <c r="I77" s="12">
        <v>67.49</v>
      </c>
      <c r="J77" s="13"/>
      <c r="K77" s="13">
        <f t="shared" si="2"/>
        <v>67.49</v>
      </c>
      <c r="L77" s="11" t="s">
        <v>53</v>
      </c>
      <c r="M77" s="17">
        <v>45572.0</v>
      </c>
      <c r="N77" s="11" t="s">
        <v>95</v>
      </c>
      <c r="O77" s="10" t="str">
        <f t="shared" si="3"/>
        <v>08/2024</v>
      </c>
      <c r="P77" s="10" t="str">
        <f t="shared" si="13"/>
        <v>08/2024</v>
      </c>
      <c r="Q77" s="15" t="str">
        <f t="array" ref="Q77">IFERROR(XLOOKUP(N77,'Classificação'!A:A,'Classificação'!B:B),"")</f>
        <v>DESPESAS NÃO OPERACIONAIS</v>
      </c>
      <c r="R77" s="15" t="str">
        <f t="array" ref="R77">IFERROR(XLOOKUP(Q77,'Classificação'!B:B,'Classificação'!C:C),"")</f>
        <v>RESULTADO NÃO OPERACIONAL (+/-)</v>
      </c>
      <c r="S77" s="15">
        <f t="shared" si="5"/>
        <v>20</v>
      </c>
      <c r="T77" s="15">
        <f t="shared" si="6"/>
        <v>8</v>
      </c>
      <c r="U77" s="15">
        <f t="shared" si="7"/>
        <v>2024</v>
      </c>
      <c r="V77" s="15">
        <f t="shared" si="8"/>
        <v>20</v>
      </c>
      <c r="W77" s="15">
        <f t="shared" si="9"/>
        <v>8</v>
      </c>
      <c r="X77" s="15">
        <f t="shared" si="10"/>
        <v>2024</v>
      </c>
    </row>
    <row r="78">
      <c r="A78" s="9">
        <v>45524.0</v>
      </c>
      <c r="B78" s="9">
        <v>45861.0</v>
      </c>
      <c r="C78" s="9">
        <f t="shared" si="11"/>
        <v>45524</v>
      </c>
      <c r="D78" s="11" t="s">
        <v>65</v>
      </c>
      <c r="E78" s="11" t="s">
        <v>25</v>
      </c>
      <c r="F78" s="11" t="s">
        <v>107</v>
      </c>
      <c r="G78" s="11" t="s">
        <v>27</v>
      </c>
      <c r="H78" s="11" t="s">
        <v>159</v>
      </c>
      <c r="I78" s="12">
        <v>20.85</v>
      </c>
      <c r="J78" s="13"/>
      <c r="K78" s="13">
        <f t="shared" si="2"/>
        <v>20.85</v>
      </c>
      <c r="L78" s="11" t="s">
        <v>34</v>
      </c>
      <c r="M78" s="14"/>
      <c r="N78" s="11" t="s">
        <v>143</v>
      </c>
      <c r="O78" s="10" t="str">
        <f t="shared" si="3"/>
        <v>08/2024</v>
      </c>
      <c r="P78" s="10" t="str">
        <f t="shared" si="13"/>
        <v>08/2024</v>
      </c>
      <c r="Q78" s="15" t="str">
        <f t="array" ref="Q78">IFERROR(XLOOKUP(N78,'Classificação'!A:A,'Classificação'!B:B),"")</f>
        <v>EMBALAGENS/FITAS/GERAL</v>
      </c>
      <c r="R78" s="15" t="str">
        <f t="array" ref="R78">IFERROR(XLOOKUP(Q78,'Classificação'!B:B,'Classificação'!C:C),"")</f>
        <v>CUSTOS VARIÁVEIS</v>
      </c>
      <c r="S78" s="15">
        <f t="shared" si="5"/>
        <v>20</v>
      </c>
      <c r="T78" s="15">
        <f t="shared" si="6"/>
        <v>8</v>
      </c>
      <c r="U78" s="15">
        <f t="shared" si="7"/>
        <v>2024</v>
      </c>
      <c r="V78" s="15">
        <f t="shared" si="8"/>
        <v>20</v>
      </c>
      <c r="W78" s="15">
        <f t="shared" si="9"/>
        <v>8</v>
      </c>
      <c r="X78" s="15">
        <f t="shared" si="10"/>
        <v>2024</v>
      </c>
    </row>
    <row r="79">
      <c r="A79" s="9">
        <v>45524.0</v>
      </c>
      <c r="B79" s="10"/>
      <c r="C79" s="9">
        <f t="shared" si="11"/>
        <v>45524</v>
      </c>
      <c r="D79" s="11" t="s">
        <v>65</v>
      </c>
      <c r="E79" s="11" t="s">
        <v>25</v>
      </c>
      <c r="F79" s="11" t="s">
        <v>26</v>
      </c>
      <c r="G79" s="11" t="s">
        <v>37</v>
      </c>
      <c r="H79" s="11" t="s">
        <v>160</v>
      </c>
      <c r="I79" s="12">
        <v>363.83</v>
      </c>
      <c r="J79" s="13"/>
      <c r="K79" s="13">
        <f t="shared" si="2"/>
        <v>363.83</v>
      </c>
      <c r="L79" s="11" t="s">
        <v>34</v>
      </c>
      <c r="M79" s="14"/>
      <c r="N79" s="11" t="s">
        <v>143</v>
      </c>
      <c r="O79" s="10" t="str">
        <f t="shared" si="3"/>
        <v>08/2024</v>
      </c>
      <c r="P79" s="10" t="str">
        <f t="shared" si="13"/>
        <v>08/2024</v>
      </c>
      <c r="Q79" s="15" t="str">
        <f t="array" ref="Q79">IFERROR(XLOOKUP(N79,'Classificação'!A:A,'Classificação'!B:B),"")</f>
        <v>EMBALAGENS/FITAS/GERAL</v>
      </c>
      <c r="R79" s="15" t="str">
        <f t="array" ref="R79">IFERROR(XLOOKUP(Q79,'Classificação'!B:B,'Classificação'!C:C),"")</f>
        <v>CUSTOS VARIÁVEIS</v>
      </c>
      <c r="S79" s="15">
        <f t="shared" si="5"/>
        <v>20</v>
      </c>
      <c r="T79" s="15">
        <f t="shared" si="6"/>
        <v>8</v>
      </c>
      <c r="U79" s="15">
        <f t="shared" si="7"/>
        <v>2024</v>
      </c>
      <c r="V79" s="15">
        <f t="shared" si="8"/>
        <v>20</v>
      </c>
      <c r="W79" s="15">
        <f t="shared" si="9"/>
        <v>8</v>
      </c>
      <c r="X79" s="15">
        <f t="shared" si="10"/>
        <v>2024</v>
      </c>
    </row>
    <row r="80">
      <c r="A80" s="9">
        <v>45524.0</v>
      </c>
      <c r="B80" s="10"/>
      <c r="C80" s="9">
        <f t="shared" si="11"/>
        <v>45524</v>
      </c>
      <c r="D80" s="11" t="s">
        <v>65</v>
      </c>
      <c r="E80" s="11" t="s">
        <v>25</v>
      </c>
      <c r="F80" s="11" t="s">
        <v>26</v>
      </c>
      <c r="G80" s="11" t="s">
        <v>37</v>
      </c>
      <c r="H80" s="11" t="s">
        <v>160</v>
      </c>
      <c r="I80" s="12">
        <v>65.0</v>
      </c>
      <c r="J80" s="13"/>
      <c r="K80" s="13">
        <f t="shared" si="2"/>
        <v>65</v>
      </c>
      <c r="L80" s="11" t="s">
        <v>53</v>
      </c>
      <c r="M80" s="17">
        <v>45323.0</v>
      </c>
      <c r="N80" s="11" t="s">
        <v>143</v>
      </c>
      <c r="O80" s="10" t="str">
        <f t="shared" si="3"/>
        <v>08/2024</v>
      </c>
      <c r="P80" s="10" t="str">
        <f t="shared" si="13"/>
        <v>08/2024</v>
      </c>
      <c r="Q80" s="15" t="str">
        <f t="array" ref="Q80">IFERROR(XLOOKUP(N80,'Classificação'!A:A,'Classificação'!B:B),"")</f>
        <v>EMBALAGENS/FITAS/GERAL</v>
      </c>
      <c r="R80" s="15" t="str">
        <f t="array" ref="R80">IFERROR(XLOOKUP(Q80,'Classificação'!B:B,'Classificação'!C:C),"")</f>
        <v>CUSTOS VARIÁVEIS</v>
      </c>
      <c r="S80" s="15">
        <f t="shared" si="5"/>
        <v>20</v>
      </c>
      <c r="T80" s="15">
        <f t="shared" si="6"/>
        <v>8</v>
      </c>
      <c r="U80" s="15">
        <f t="shared" si="7"/>
        <v>2024</v>
      </c>
      <c r="V80" s="15">
        <f t="shared" si="8"/>
        <v>20</v>
      </c>
      <c r="W80" s="15">
        <f t="shared" si="9"/>
        <v>8</v>
      </c>
      <c r="X80" s="15">
        <f t="shared" si="10"/>
        <v>2024</v>
      </c>
    </row>
    <row r="81">
      <c r="A81" s="9">
        <v>45524.0</v>
      </c>
      <c r="B81" s="19">
        <v>45508.0</v>
      </c>
      <c r="C81" s="9">
        <f t="shared" si="11"/>
        <v>45524</v>
      </c>
      <c r="D81" s="11" t="s">
        <v>161</v>
      </c>
      <c r="E81" s="11" t="s">
        <v>25</v>
      </c>
      <c r="F81" s="11" t="s">
        <v>107</v>
      </c>
      <c r="G81" s="11" t="s">
        <v>27</v>
      </c>
      <c r="H81" s="11" t="s">
        <v>162</v>
      </c>
      <c r="I81" s="12">
        <v>45.0</v>
      </c>
      <c r="J81" s="13"/>
      <c r="K81" s="13">
        <f t="shared" si="2"/>
        <v>45</v>
      </c>
      <c r="L81" s="11" t="s">
        <v>34</v>
      </c>
      <c r="M81" s="17"/>
      <c r="N81" s="11" t="s">
        <v>105</v>
      </c>
      <c r="O81" s="10" t="str">
        <f t="shared" si="3"/>
        <v>08/2024</v>
      </c>
      <c r="P81" s="10" t="str">
        <f t="shared" si="13"/>
        <v>08/2024</v>
      </c>
      <c r="Q81" s="15" t="str">
        <f t="array" ref="Q81">IFERROR(XLOOKUP(N81,'Classificação'!A:A,'Classificação'!B:B),"")</f>
        <v>DESPESAS ADMINISTRATIVAS</v>
      </c>
      <c r="R81" s="15" t="str">
        <f t="array" ref="R81">IFERROR(XLOOKUP(Q81,'Classificação'!B:B,'Classificação'!C:C),"")</f>
        <v>DESPESAS FIXAS (-)</v>
      </c>
      <c r="S81" s="15">
        <f t="shared" si="5"/>
        <v>20</v>
      </c>
      <c r="T81" s="15">
        <f t="shared" si="6"/>
        <v>8</v>
      </c>
      <c r="U81" s="15">
        <f t="shared" si="7"/>
        <v>2024</v>
      </c>
      <c r="V81" s="15">
        <f t="shared" si="8"/>
        <v>20</v>
      </c>
      <c r="W81" s="15">
        <f t="shared" si="9"/>
        <v>8</v>
      </c>
      <c r="X81" s="15">
        <f t="shared" si="10"/>
        <v>2024</v>
      </c>
    </row>
    <row r="82">
      <c r="A82" s="9">
        <v>45524.0</v>
      </c>
      <c r="B82" s="10"/>
      <c r="C82" s="9">
        <f t="shared" si="11"/>
        <v>45524</v>
      </c>
      <c r="D82" s="11" t="s">
        <v>163</v>
      </c>
      <c r="E82" s="11" t="s">
        <v>25</v>
      </c>
      <c r="F82" s="11" t="s">
        <v>107</v>
      </c>
      <c r="G82" s="11" t="s">
        <v>27</v>
      </c>
      <c r="H82" s="11" t="s">
        <v>164</v>
      </c>
      <c r="I82" s="12">
        <v>96.45</v>
      </c>
      <c r="J82" s="13"/>
      <c r="K82" s="13">
        <f t="shared" si="2"/>
        <v>96.45</v>
      </c>
      <c r="L82" s="11" t="s">
        <v>53</v>
      </c>
      <c r="M82" s="17">
        <v>45444.0</v>
      </c>
      <c r="N82" s="11" t="s">
        <v>95</v>
      </c>
      <c r="O82" s="10" t="str">
        <f t="shared" si="3"/>
        <v>08/2024</v>
      </c>
      <c r="P82" s="10" t="str">
        <f t="shared" si="13"/>
        <v>08/2024</v>
      </c>
      <c r="Q82" s="15" t="str">
        <f t="array" ref="Q82">IFERROR(XLOOKUP(N82,'Classificação'!A:A,'Classificação'!B:B),"")</f>
        <v>DESPESAS NÃO OPERACIONAIS</v>
      </c>
      <c r="R82" s="15" t="str">
        <f t="array" ref="R82">IFERROR(XLOOKUP(Q82,'Classificação'!B:B,'Classificação'!C:C),"")</f>
        <v>RESULTADO NÃO OPERACIONAL (+/-)</v>
      </c>
      <c r="S82" s="15">
        <f t="shared" si="5"/>
        <v>20</v>
      </c>
      <c r="T82" s="15">
        <f t="shared" si="6"/>
        <v>8</v>
      </c>
      <c r="U82" s="15">
        <f t="shared" si="7"/>
        <v>2024</v>
      </c>
      <c r="V82" s="15">
        <f t="shared" si="8"/>
        <v>20</v>
      </c>
      <c r="W82" s="15">
        <f t="shared" si="9"/>
        <v>8</v>
      </c>
      <c r="X82" s="15">
        <f t="shared" si="10"/>
        <v>2024</v>
      </c>
    </row>
    <row r="83">
      <c r="A83" s="9">
        <v>45524.0</v>
      </c>
      <c r="B83" s="19">
        <v>45486.0</v>
      </c>
      <c r="C83" s="9">
        <f t="shared" si="11"/>
        <v>45524</v>
      </c>
      <c r="D83" s="11" t="s">
        <v>163</v>
      </c>
      <c r="E83" s="11" t="s">
        <v>25</v>
      </c>
      <c r="F83" s="11" t="s">
        <v>107</v>
      </c>
      <c r="G83" s="11" t="s">
        <v>27</v>
      </c>
      <c r="H83" s="11" t="s">
        <v>164</v>
      </c>
      <c r="I83" s="12">
        <v>144.15</v>
      </c>
      <c r="J83" s="13"/>
      <c r="K83" s="13">
        <f t="shared" si="2"/>
        <v>144.15</v>
      </c>
      <c r="L83" s="11" t="s">
        <v>53</v>
      </c>
      <c r="M83" s="17">
        <v>45627.0</v>
      </c>
      <c r="N83" s="11" t="s">
        <v>95</v>
      </c>
      <c r="O83" s="10" t="str">
        <f t="shared" si="3"/>
        <v>08/2024</v>
      </c>
      <c r="P83" s="10" t="str">
        <f t="shared" si="13"/>
        <v>08/2024</v>
      </c>
      <c r="Q83" s="15" t="str">
        <f t="array" ref="Q83">IFERROR(XLOOKUP(N83,'Classificação'!A:A,'Classificação'!B:B),"")</f>
        <v>DESPESAS NÃO OPERACIONAIS</v>
      </c>
      <c r="R83" s="15" t="str">
        <f t="array" ref="R83">IFERROR(XLOOKUP(Q83,'Classificação'!B:B,'Classificação'!C:C),"")</f>
        <v>RESULTADO NÃO OPERACIONAL (+/-)</v>
      </c>
      <c r="S83" s="15">
        <f t="shared" si="5"/>
        <v>20</v>
      </c>
      <c r="T83" s="15">
        <f t="shared" si="6"/>
        <v>8</v>
      </c>
      <c r="U83" s="15">
        <f t="shared" si="7"/>
        <v>2024</v>
      </c>
      <c r="V83" s="15">
        <f t="shared" si="8"/>
        <v>20</v>
      </c>
      <c r="W83" s="15">
        <f t="shared" si="9"/>
        <v>8</v>
      </c>
      <c r="X83" s="15">
        <f t="shared" si="10"/>
        <v>2024</v>
      </c>
    </row>
    <row r="84">
      <c r="A84" s="9">
        <v>45524.0</v>
      </c>
      <c r="B84" s="19">
        <v>45484.0</v>
      </c>
      <c r="C84" s="9">
        <f t="shared" si="11"/>
        <v>45524</v>
      </c>
      <c r="D84" s="11" t="s">
        <v>165</v>
      </c>
      <c r="E84" s="11" t="s">
        <v>25</v>
      </c>
      <c r="F84" s="11" t="s">
        <v>107</v>
      </c>
      <c r="G84" s="11" t="s">
        <v>27</v>
      </c>
      <c r="H84" s="11" t="s">
        <v>166</v>
      </c>
      <c r="I84" s="12">
        <v>35.99</v>
      </c>
      <c r="J84" s="13"/>
      <c r="K84" s="13">
        <f t="shared" si="2"/>
        <v>35.99</v>
      </c>
      <c r="L84" s="11" t="s">
        <v>34</v>
      </c>
      <c r="M84" s="14"/>
      <c r="N84" s="11" t="s">
        <v>71</v>
      </c>
      <c r="O84" s="10" t="str">
        <f t="shared" si="3"/>
        <v>08/2024</v>
      </c>
      <c r="P84" s="10" t="str">
        <f t="shared" si="13"/>
        <v>08/2024</v>
      </c>
      <c r="Q84" s="15" t="str">
        <f t="array" ref="Q84">IFERROR(XLOOKUP(N84,'Classificação'!A:A,'Classificação'!B:B),"")</f>
        <v>DESPESAS DIVERSAS</v>
      </c>
      <c r="R84" s="15" t="str">
        <f t="array" ref="R84">IFERROR(XLOOKUP(Q84,'Classificação'!B:B,'Classificação'!C:C),"")</f>
        <v>DESPESAS FIXAS (-)</v>
      </c>
      <c r="S84" s="15">
        <f t="shared" si="5"/>
        <v>20</v>
      </c>
      <c r="T84" s="15">
        <f t="shared" si="6"/>
        <v>8</v>
      </c>
      <c r="U84" s="15">
        <f t="shared" si="7"/>
        <v>2024</v>
      </c>
      <c r="V84" s="15">
        <f t="shared" si="8"/>
        <v>20</v>
      </c>
      <c r="W84" s="15">
        <f t="shared" si="9"/>
        <v>8</v>
      </c>
      <c r="X84" s="15">
        <f t="shared" si="10"/>
        <v>2024</v>
      </c>
    </row>
    <row r="85">
      <c r="A85" s="9">
        <v>45524.0</v>
      </c>
      <c r="B85" s="10"/>
      <c r="C85" s="9">
        <f t="shared" si="11"/>
        <v>45524</v>
      </c>
      <c r="D85" s="11" t="s">
        <v>167</v>
      </c>
      <c r="E85" s="11" t="s">
        <v>25</v>
      </c>
      <c r="F85" s="11" t="s">
        <v>110</v>
      </c>
      <c r="G85" s="11" t="s">
        <v>27</v>
      </c>
      <c r="H85" s="11" t="s">
        <v>168</v>
      </c>
      <c r="I85" s="12">
        <v>31.0</v>
      </c>
      <c r="J85" s="13"/>
      <c r="K85" s="13">
        <f t="shared" si="2"/>
        <v>31</v>
      </c>
      <c r="L85" s="11" t="s">
        <v>34</v>
      </c>
      <c r="M85" s="14"/>
      <c r="N85" s="11" t="s">
        <v>78</v>
      </c>
      <c r="O85" s="10" t="str">
        <f t="shared" si="3"/>
        <v>08/2024</v>
      </c>
      <c r="P85" s="10" t="str">
        <f t="shared" si="13"/>
        <v>08/2024</v>
      </c>
      <c r="Q85" s="15" t="str">
        <f t="array" ref="Q85">IFERROR(XLOOKUP(N85,'Classificação'!A:A,'Classificação'!B:B),"")</f>
        <v>DESPESAS COM PESSOAL</v>
      </c>
      <c r="R85" s="15" t="str">
        <f t="array" ref="R85">IFERROR(XLOOKUP(Q85,'Classificação'!B:B,'Classificação'!C:C),"")</f>
        <v>DESPESAS FIXAS (-)</v>
      </c>
      <c r="S85" s="15">
        <f t="shared" si="5"/>
        <v>20</v>
      </c>
      <c r="T85" s="15">
        <f t="shared" si="6"/>
        <v>8</v>
      </c>
      <c r="U85" s="15">
        <f t="shared" si="7"/>
        <v>2024</v>
      </c>
      <c r="V85" s="15">
        <f t="shared" si="8"/>
        <v>20</v>
      </c>
      <c r="W85" s="15">
        <f t="shared" si="9"/>
        <v>8</v>
      </c>
      <c r="X85" s="15">
        <f t="shared" si="10"/>
        <v>2024</v>
      </c>
    </row>
    <row r="86">
      <c r="A86" s="9">
        <v>45524.0</v>
      </c>
      <c r="B86" s="10"/>
      <c r="C86" s="9">
        <f t="shared" si="11"/>
        <v>45524</v>
      </c>
      <c r="D86" s="11" t="s">
        <v>167</v>
      </c>
      <c r="E86" s="11" t="s">
        <v>25</v>
      </c>
      <c r="F86" s="11" t="s">
        <v>110</v>
      </c>
      <c r="G86" s="11" t="s">
        <v>27</v>
      </c>
      <c r="H86" s="11" t="s">
        <v>168</v>
      </c>
      <c r="I86" s="12">
        <v>31.0</v>
      </c>
      <c r="J86" s="13"/>
      <c r="K86" s="13">
        <f t="shared" si="2"/>
        <v>31</v>
      </c>
      <c r="L86" s="11" t="s">
        <v>34</v>
      </c>
      <c r="M86" s="14"/>
      <c r="N86" s="11" t="s">
        <v>78</v>
      </c>
      <c r="O86" s="10" t="str">
        <f t="shared" si="3"/>
        <v>08/2024</v>
      </c>
      <c r="P86" s="10" t="str">
        <f t="shared" si="13"/>
        <v>08/2024</v>
      </c>
      <c r="Q86" s="15" t="str">
        <f t="array" ref="Q86">IFERROR(XLOOKUP(N86,'Classificação'!A:A,'Classificação'!B:B),"")</f>
        <v>DESPESAS COM PESSOAL</v>
      </c>
      <c r="R86" s="15" t="str">
        <f t="array" ref="R86">IFERROR(XLOOKUP(Q86,'Classificação'!B:B,'Classificação'!C:C),"")</f>
        <v>DESPESAS FIXAS (-)</v>
      </c>
      <c r="S86" s="15">
        <f t="shared" si="5"/>
        <v>20</v>
      </c>
      <c r="T86" s="15">
        <f t="shared" si="6"/>
        <v>8</v>
      </c>
      <c r="U86" s="15">
        <f t="shared" si="7"/>
        <v>2024</v>
      </c>
      <c r="V86" s="15">
        <f t="shared" si="8"/>
        <v>20</v>
      </c>
      <c r="W86" s="15">
        <f t="shared" si="9"/>
        <v>8</v>
      </c>
      <c r="X86" s="15">
        <f t="shared" si="10"/>
        <v>2024</v>
      </c>
    </row>
    <row r="87">
      <c r="A87" s="9">
        <v>45524.0</v>
      </c>
      <c r="B87" s="10"/>
      <c r="C87" s="9">
        <f t="shared" si="11"/>
        <v>45524</v>
      </c>
      <c r="D87" s="11" t="s">
        <v>167</v>
      </c>
      <c r="E87" s="11" t="s">
        <v>25</v>
      </c>
      <c r="F87" s="11" t="s">
        <v>110</v>
      </c>
      <c r="G87" s="11" t="s">
        <v>27</v>
      </c>
      <c r="H87" s="11" t="s">
        <v>168</v>
      </c>
      <c r="I87" s="12">
        <v>31.0</v>
      </c>
      <c r="J87" s="13"/>
      <c r="K87" s="13">
        <f t="shared" si="2"/>
        <v>31</v>
      </c>
      <c r="L87" s="11" t="s">
        <v>34</v>
      </c>
      <c r="M87" s="14"/>
      <c r="N87" s="11" t="s">
        <v>78</v>
      </c>
      <c r="O87" s="10" t="str">
        <f t="shared" si="3"/>
        <v>08/2024</v>
      </c>
      <c r="P87" s="10" t="str">
        <f t="shared" si="13"/>
        <v>08/2024</v>
      </c>
      <c r="Q87" s="15" t="str">
        <f t="array" ref="Q87">IFERROR(XLOOKUP(N87,'Classificação'!A:A,'Classificação'!B:B),"")</f>
        <v>DESPESAS COM PESSOAL</v>
      </c>
      <c r="R87" s="15" t="str">
        <f t="array" ref="R87">IFERROR(XLOOKUP(Q87,'Classificação'!B:B,'Classificação'!C:C),"")</f>
        <v>DESPESAS FIXAS (-)</v>
      </c>
      <c r="S87" s="15">
        <f t="shared" si="5"/>
        <v>20</v>
      </c>
      <c r="T87" s="15">
        <f t="shared" si="6"/>
        <v>8</v>
      </c>
      <c r="U87" s="15">
        <f t="shared" si="7"/>
        <v>2024</v>
      </c>
      <c r="V87" s="15">
        <f t="shared" si="8"/>
        <v>20</v>
      </c>
      <c r="W87" s="15">
        <f t="shared" si="9"/>
        <v>8</v>
      </c>
      <c r="X87" s="15">
        <f t="shared" si="10"/>
        <v>2024</v>
      </c>
    </row>
    <row r="88">
      <c r="A88" s="9">
        <v>45524.0</v>
      </c>
      <c r="B88" s="10"/>
      <c r="C88" s="9">
        <f t="shared" si="11"/>
        <v>45524</v>
      </c>
      <c r="D88" s="11" t="s">
        <v>167</v>
      </c>
      <c r="E88" s="11" t="s">
        <v>25</v>
      </c>
      <c r="F88" s="11" t="s">
        <v>110</v>
      </c>
      <c r="G88" s="11" t="s">
        <v>27</v>
      </c>
      <c r="H88" s="11" t="s">
        <v>168</v>
      </c>
      <c r="I88" s="12">
        <v>25.0</v>
      </c>
      <c r="J88" s="13"/>
      <c r="K88" s="13">
        <f t="shared" si="2"/>
        <v>25</v>
      </c>
      <c r="L88" s="11" t="s">
        <v>34</v>
      </c>
      <c r="M88" s="14"/>
      <c r="N88" s="11" t="s">
        <v>78</v>
      </c>
      <c r="O88" s="10" t="str">
        <f t="shared" si="3"/>
        <v>08/2024</v>
      </c>
      <c r="P88" s="10" t="str">
        <f t="shared" si="13"/>
        <v>08/2024</v>
      </c>
      <c r="Q88" s="15" t="str">
        <f t="array" ref="Q88">IFERROR(XLOOKUP(N88,'Classificação'!A:A,'Classificação'!B:B),"")</f>
        <v>DESPESAS COM PESSOAL</v>
      </c>
      <c r="R88" s="15" t="str">
        <f t="array" ref="R88">IFERROR(XLOOKUP(Q88,'Classificação'!B:B,'Classificação'!C:C),"")</f>
        <v>DESPESAS FIXAS (-)</v>
      </c>
      <c r="S88" s="15">
        <f t="shared" si="5"/>
        <v>20</v>
      </c>
      <c r="T88" s="15">
        <f t="shared" si="6"/>
        <v>8</v>
      </c>
      <c r="U88" s="15">
        <f t="shared" si="7"/>
        <v>2024</v>
      </c>
      <c r="V88" s="15">
        <f t="shared" si="8"/>
        <v>20</v>
      </c>
      <c r="W88" s="15">
        <f t="shared" si="9"/>
        <v>8</v>
      </c>
      <c r="X88" s="15">
        <f t="shared" si="10"/>
        <v>2024</v>
      </c>
    </row>
    <row r="89">
      <c r="A89" s="9">
        <v>45524.0</v>
      </c>
      <c r="B89" s="10"/>
      <c r="C89" s="9">
        <f t="shared" si="11"/>
        <v>45524</v>
      </c>
      <c r="D89" s="11" t="s">
        <v>167</v>
      </c>
      <c r="E89" s="11" t="s">
        <v>25</v>
      </c>
      <c r="F89" s="11" t="s">
        <v>110</v>
      </c>
      <c r="G89" s="11" t="s">
        <v>27</v>
      </c>
      <c r="H89" s="11" t="s">
        <v>168</v>
      </c>
      <c r="I89" s="12">
        <v>25.0</v>
      </c>
      <c r="J89" s="13"/>
      <c r="K89" s="13">
        <f t="shared" si="2"/>
        <v>25</v>
      </c>
      <c r="L89" s="11" t="s">
        <v>34</v>
      </c>
      <c r="M89" s="14"/>
      <c r="N89" s="11" t="s">
        <v>78</v>
      </c>
      <c r="O89" s="10" t="str">
        <f t="shared" si="3"/>
        <v>08/2024</v>
      </c>
      <c r="P89" s="10" t="str">
        <f t="shared" si="13"/>
        <v>08/2024</v>
      </c>
      <c r="Q89" s="15" t="str">
        <f t="array" ref="Q89">IFERROR(XLOOKUP(N89,'Classificação'!A:A,'Classificação'!B:B),"")</f>
        <v>DESPESAS COM PESSOAL</v>
      </c>
      <c r="R89" s="15" t="str">
        <f t="array" ref="R89">IFERROR(XLOOKUP(Q89,'Classificação'!B:B,'Classificação'!C:C),"")</f>
        <v>DESPESAS FIXAS (-)</v>
      </c>
      <c r="S89" s="15">
        <f t="shared" si="5"/>
        <v>20</v>
      </c>
      <c r="T89" s="15">
        <f t="shared" si="6"/>
        <v>8</v>
      </c>
      <c r="U89" s="15">
        <f t="shared" si="7"/>
        <v>2024</v>
      </c>
      <c r="V89" s="15">
        <f t="shared" si="8"/>
        <v>20</v>
      </c>
      <c r="W89" s="15">
        <f t="shared" si="9"/>
        <v>8</v>
      </c>
      <c r="X89" s="15">
        <f t="shared" si="10"/>
        <v>2024</v>
      </c>
    </row>
    <row r="90">
      <c r="A90" s="9">
        <v>45524.0</v>
      </c>
      <c r="B90" s="19">
        <v>45488.0</v>
      </c>
      <c r="C90" s="9">
        <f t="shared" si="11"/>
        <v>45524</v>
      </c>
      <c r="D90" s="11" t="s">
        <v>169</v>
      </c>
      <c r="E90" s="11" t="s">
        <v>25</v>
      </c>
      <c r="F90" s="11" t="s">
        <v>107</v>
      </c>
      <c r="G90" s="11" t="s">
        <v>27</v>
      </c>
      <c r="H90" s="18" t="s">
        <v>170</v>
      </c>
      <c r="I90" s="12">
        <v>6.66</v>
      </c>
      <c r="J90" s="13"/>
      <c r="K90" s="13">
        <f t="shared" si="2"/>
        <v>6.66</v>
      </c>
      <c r="L90" s="11" t="s">
        <v>34</v>
      </c>
      <c r="M90" s="14"/>
      <c r="N90" s="11" t="s">
        <v>71</v>
      </c>
      <c r="O90" s="10" t="str">
        <f t="shared" si="3"/>
        <v>08/2024</v>
      </c>
      <c r="P90" s="10" t="str">
        <f t="shared" si="13"/>
        <v>08/2024</v>
      </c>
      <c r="Q90" s="15" t="str">
        <f t="array" ref="Q90">IFERROR(XLOOKUP(N90,'Classificação'!A:A,'Classificação'!B:B),"")</f>
        <v>DESPESAS DIVERSAS</v>
      </c>
      <c r="R90" s="15" t="str">
        <f t="array" ref="R90">IFERROR(XLOOKUP(Q90,'Classificação'!B:B,'Classificação'!C:C),"")</f>
        <v>DESPESAS FIXAS (-)</v>
      </c>
      <c r="S90" s="15">
        <f t="shared" si="5"/>
        <v>20</v>
      </c>
      <c r="T90" s="15">
        <f t="shared" si="6"/>
        <v>8</v>
      </c>
      <c r="U90" s="15">
        <f t="shared" si="7"/>
        <v>2024</v>
      </c>
      <c r="V90" s="15">
        <f t="shared" si="8"/>
        <v>20</v>
      </c>
      <c r="W90" s="15">
        <f t="shared" si="9"/>
        <v>8</v>
      </c>
      <c r="X90" s="15">
        <f t="shared" si="10"/>
        <v>2024</v>
      </c>
    </row>
    <row r="91">
      <c r="A91" s="9">
        <v>45524.0</v>
      </c>
      <c r="B91" s="10"/>
      <c r="C91" s="9">
        <f t="shared" si="11"/>
        <v>45524</v>
      </c>
      <c r="D91" s="11" t="s">
        <v>171</v>
      </c>
      <c r="E91" s="11" t="s">
        <v>25</v>
      </c>
      <c r="F91" s="11" t="s">
        <v>40</v>
      </c>
      <c r="G91" s="11" t="s">
        <v>27</v>
      </c>
      <c r="I91" s="12">
        <v>107.64</v>
      </c>
      <c r="J91" s="13"/>
      <c r="K91" s="13">
        <f t="shared" si="2"/>
        <v>107.64</v>
      </c>
      <c r="L91" s="11" t="s">
        <v>29</v>
      </c>
      <c r="M91" s="14"/>
      <c r="N91" s="11" t="s">
        <v>172</v>
      </c>
      <c r="O91" s="10" t="str">
        <f t="shared" si="3"/>
        <v>08/2024</v>
      </c>
      <c r="P91" s="10" t="str">
        <f t="shared" si="13"/>
        <v>08/2024</v>
      </c>
      <c r="Q91" s="15" t="str">
        <f t="array" ref="Q91">IFERROR(XLOOKUP(N91,'Classificação'!A:A,'Classificação'!B:B),"")</f>
        <v>DESPESAS COM OCUPAÇÃO</v>
      </c>
      <c r="R91" s="15" t="str">
        <f t="array" ref="R91">IFERROR(XLOOKUP(Q91,'Classificação'!B:B,'Classificação'!C:C),"")</f>
        <v>DESPESAS FIXAS (-)</v>
      </c>
      <c r="S91" s="15">
        <f t="shared" si="5"/>
        <v>20</v>
      </c>
      <c r="T91" s="15">
        <f t="shared" si="6"/>
        <v>8</v>
      </c>
      <c r="U91" s="15">
        <f t="shared" si="7"/>
        <v>2024</v>
      </c>
      <c r="V91" s="15">
        <f t="shared" si="8"/>
        <v>20</v>
      </c>
      <c r="W91" s="15">
        <f t="shared" si="9"/>
        <v>8</v>
      </c>
      <c r="X91" s="15">
        <f t="shared" si="10"/>
        <v>2024</v>
      </c>
    </row>
    <row r="92">
      <c r="A92" s="9">
        <v>45524.0</v>
      </c>
      <c r="B92" s="19">
        <v>45421.0</v>
      </c>
      <c r="C92" s="9">
        <f t="shared" si="11"/>
        <v>45524</v>
      </c>
      <c r="D92" s="11" t="s">
        <v>173</v>
      </c>
      <c r="E92" s="11" t="s">
        <v>25</v>
      </c>
      <c r="F92" s="11" t="s">
        <v>107</v>
      </c>
      <c r="G92" s="11" t="s">
        <v>27</v>
      </c>
      <c r="H92" s="11" t="s">
        <v>174</v>
      </c>
      <c r="I92" s="12">
        <v>298.9</v>
      </c>
      <c r="J92" s="13"/>
      <c r="K92" s="13">
        <f t="shared" si="2"/>
        <v>298.9</v>
      </c>
      <c r="L92" s="11" t="s">
        <v>53</v>
      </c>
      <c r="M92" s="17">
        <v>45568.0</v>
      </c>
      <c r="N92" s="11" t="s">
        <v>175</v>
      </c>
      <c r="O92" s="10" t="str">
        <f t="shared" si="3"/>
        <v>08/2024</v>
      </c>
      <c r="P92" s="10" t="str">
        <f t="shared" si="13"/>
        <v>08/2024</v>
      </c>
      <c r="Q92" s="15" t="str">
        <f t="array" ref="Q92">IFERROR(XLOOKUP(N92,'Classificação'!A:A,'Classificação'!B:B),"")</f>
        <v>DESPESAS COM VEICULOS</v>
      </c>
      <c r="R92" s="15" t="str">
        <f t="array" ref="R92">IFERROR(XLOOKUP(Q92,'Classificação'!B:B,'Classificação'!C:C),"")</f>
        <v>DESPESAS FIXAS (-)</v>
      </c>
      <c r="S92" s="15">
        <f t="shared" si="5"/>
        <v>20</v>
      </c>
      <c r="T92" s="15">
        <f t="shared" si="6"/>
        <v>8</v>
      </c>
      <c r="U92" s="15">
        <f t="shared" si="7"/>
        <v>2024</v>
      </c>
      <c r="V92" s="15">
        <f t="shared" si="8"/>
        <v>20</v>
      </c>
      <c r="W92" s="15">
        <f t="shared" si="9"/>
        <v>8</v>
      </c>
      <c r="X92" s="15">
        <f t="shared" si="10"/>
        <v>2024</v>
      </c>
    </row>
    <row r="93">
      <c r="A93" s="9">
        <v>45524.0</v>
      </c>
      <c r="B93" s="10"/>
      <c r="C93" s="9">
        <f t="shared" si="11"/>
        <v>45524</v>
      </c>
      <c r="D93" s="11" t="s">
        <v>81</v>
      </c>
      <c r="E93" s="11" t="s">
        <v>25</v>
      </c>
      <c r="F93" s="11" t="s">
        <v>110</v>
      </c>
      <c r="G93" s="11" t="s">
        <v>27</v>
      </c>
      <c r="H93" s="11" t="s">
        <v>176</v>
      </c>
      <c r="I93" s="12">
        <v>22.07</v>
      </c>
      <c r="J93" s="13"/>
      <c r="K93" s="13">
        <f t="shared" si="2"/>
        <v>22.07</v>
      </c>
      <c r="L93" s="11" t="s">
        <v>34</v>
      </c>
      <c r="M93" s="14"/>
      <c r="N93" s="11" t="s">
        <v>71</v>
      </c>
      <c r="O93" s="10" t="str">
        <f t="shared" si="3"/>
        <v>08/2024</v>
      </c>
      <c r="P93" s="10" t="str">
        <f t="shared" si="13"/>
        <v>08/2024</v>
      </c>
      <c r="Q93" s="15" t="str">
        <f t="array" ref="Q93">IFERROR(XLOOKUP(N93,'Classificação'!A:A,'Classificação'!B:B),"")</f>
        <v>DESPESAS DIVERSAS</v>
      </c>
      <c r="R93" s="15" t="str">
        <f t="array" ref="R93">IFERROR(XLOOKUP(Q93,'Classificação'!B:B,'Classificação'!C:C),"")</f>
        <v>DESPESAS FIXAS (-)</v>
      </c>
      <c r="S93" s="15">
        <f t="shared" si="5"/>
        <v>20</v>
      </c>
      <c r="T93" s="15">
        <f t="shared" si="6"/>
        <v>8</v>
      </c>
      <c r="U93" s="15">
        <f t="shared" si="7"/>
        <v>2024</v>
      </c>
      <c r="V93" s="15">
        <f t="shared" si="8"/>
        <v>20</v>
      </c>
      <c r="W93" s="15">
        <f t="shared" si="9"/>
        <v>8</v>
      </c>
      <c r="X93" s="15">
        <f t="shared" si="10"/>
        <v>2024</v>
      </c>
    </row>
    <row r="94">
      <c r="A94" s="9">
        <v>45524.0</v>
      </c>
      <c r="B94" s="10"/>
      <c r="C94" s="9">
        <f t="shared" si="11"/>
        <v>45524</v>
      </c>
      <c r="D94" s="11" t="s">
        <v>177</v>
      </c>
      <c r="E94" s="11" t="s">
        <v>25</v>
      </c>
      <c r="F94" s="11" t="s">
        <v>107</v>
      </c>
      <c r="G94" s="11" t="s">
        <v>27</v>
      </c>
      <c r="H94" s="22"/>
      <c r="I94" s="12">
        <v>149.25</v>
      </c>
      <c r="J94" s="13"/>
      <c r="K94" s="13">
        <f t="shared" si="2"/>
        <v>149.25</v>
      </c>
      <c r="L94" s="11" t="s">
        <v>53</v>
      </c>
      <c r="M94" s="17">
        <v>45416.0</v>
      </c>
      <c r="N94" s="11" t="s">
        <v>178</v>
      </c>
      <c r="O94" s="10" t="str">
        <f t="shared" si="3"/>
        <v>08/2024</v>
      </c>
      <c r="P94" s="10" t="str">
        <f t="shared" si="13"/>
        <v>08/2024</v>
      </c>
      <c r="Q94" s="15" t="str">
        <f t="array" ref="Q94">IFERROR(XLOOKUP(N94,'Classificação'!A:A,'Classificação'!B:B),"")</f>
        <v>DESPESAS COM OCUPAÇÃO</v>
      </c>
      <c r="R94" s="15" t="str">
        <f t="array" ref="R94">IFERROR(XLOOKUP(Q94,'Classificação'!B:B,'Classificação'!C:C),"")</f>
        <v>DESPESAS FIXAS (-)</v>
      </c>
      <c r="S94" s="15">
        <f t="shared" si="5"/>
        <v>20</v>
      </c>
      <c r="T94" s="15">
        <f t="shared" si="6"/>
        <v>8</v>
      </c>
      <c r="U94" s="15">
        <f t="shared" si="7"/>
        <v>2024</v>
      </c>
      <c r="V94" s="15">
        <f t="shared" si="8"/>
        <v>20</v>
      </c>
      <c r="W94" s="15">
        <f t="shared" si="9"/>
        <v>8</v>
      </c>
      <c r="X94" s="15">
        <f t="shared" si="10"/>
        <v>2024</v>
      </c>
    </row>
    <row r="95">
      <c r="A95" s="9">
        <v>45524.0</v>
      </c>
      <c r="B95" s="19">
        <v>45484.0</v>
      </c>
      <c r="C95" s="9">
        <f t="shared" si="11"/>
        <v>45524</v>
      </c>
      <c r="D95" s="11" t="s">
        <v>179</v>
      </c>
      <c r="E95" s="11" t="s">
        <v>25</v>
      </c>
      <c r="F95" s="11" t="s">
        <v>107</v>
      </c>
      <c r="G95" s="11" t="s">
        <v>27</v>
      </c>
      <c r="H95" s="11" t="s">
        <v>180</v>
      </c>
      <c r="I95" s="12">
        <v>150.0</v>
      </c>
      <c r="J95" s="13"/>
      <c r="K95" s="13">
        <f t="shared" si="2"/>
        <v>150</v>
      </c>
      <c r="L95" s="11" t="s">
        <v>34</v>
      </c>
      <c r="M95" s="14"/>
      <c r="N95" s="11" t="s">
        <v>181</v>
      </c>
      <c r="O95" s="10" t="str">
        <f t="shared" si="3"/>
        <v>08/2024</v>
      </c>
      <c r="P95" s="10" t="str">
        <f t="shared" si="13"/>
        <v>08/2024</v>
      </c>
      <c r="Q95" s="15" t="str">
        <f t="array" ref="Q95">IFERROR(XLOOKUP(N95,'Classificação'!A:A,'Classificação'!B:B),"")</f>
        <v>DESPESAS COM VEICULOS</v>
      </c>
      <c r="R95" s="15" t="str">
        <f t="array" ref="R95">IFERROR(XLOOKUP(Q95,'Classificação'!B:B,'Classificação'!C:C),"")</f>
        <v>DESPESAS FIXAS (-)</v>
      </c>
      <c r="S95" s="15">
        <f t="shared" si="5"/>
        <v>20</v>
      </c>
      <c r="T95" s="15">
        <f t="shared" si="6"/>
        <v>8</v>
      </c>
      <c r="U95" s="15">
        <f t="shared" si="7"/>
        <v>2024</v>
      </c>
      <c r="V95" s="15">
        <f t="shared" si="8"/>
        <v>20</v>
      </c>
      <c r="W95" s="15">
        <f t="shared" si="9"/>
        <v>8</v>
      </c>
      <c r="X95" s="15">
        <f t="shared" si="10"/>
        <v>2024</v>
      </c>
    </row>
    <row r="96">
      <c r="A96" s="9">
        <v>45524.0</v>
      </c>
      <c r="B96" s="19">
        <v>45505.0</v>
      </c>
      <c r="C96" s="9">
        <f t="shared" si="11"/>
        <v>45524</v>
      </c>
      <c r="D96" s="11" t="s">
        <v>179</v>
      </c>
      <c r="E96" s="11" t="s">
        <v>25</v>
      </c>
      <c r="F96" s="11" t="s">
        <v>107</v>
      </c>
      <c r="G96" s="11" t="s">
        <v>27</v>
      </c>
      <c r="H96" s="11" t="s">
        <v>180</v>
      </c>
      <c r="I96" s="12">
        <v>100.0</v>
      </c>
      <c r="J96" s="13"/>
      <c r="K96" s="13">
        <f t="shared" si="2"/>
        <v>100</v>
      </c>
      <c r="L96" s="11" t="s">
        <v>34</v>
      </c>
      <c r="M96" s="14"/>
      <c r="N96" s="11" t="s">
        <v>181</v>
      </c>
      <c r="O96" s="10" t="str">
        <f t="shared" si="3"/>
        <v>08/2024</v>
      </c>
      <c r="P96" s="10" t="str">
        <f t="shared" si="13"/>
        <v>08/2024</v>
      </c>
      <c r="Q96" s="15" t="str">
        <f t="array" ref="Q96">IFERROR(XLOOKUP(N96,'Classificação'!A:A,'Classificação'!B:B),"")</f>
        <v>DESPESAS COM VEICULOS</v>
      </c>
      <c r="R96" s="15" t="str">
        <f t="array" ref="R96">IFERROR(XLOOKUP(Q96,'Classificação'!B:B,'Classificação'!C:C),"")</f>
        <v>DESPESAS FIXAS (-)</v>
      </c>
      <c r="S96" s="15">
        <f t="shared" si="5"/>
        <v>20</v>
      </c>
      <c r="T96" s="15">
        <f t="shared" si="6"/>
        <v>8</v>
      </c>
      <c r="U96" s="15">
        <f t="shared" si="7"/>
        <v>2024</v>
      </c>
      <c r="V96" s="15">
        <f t="shared" si="8"/>
        <v>20</v>
      </c>
      <c r="W96" s="15">
        <f t="shared" si="9"/>
        <v>8</v>
      </c>
      <c r="X96" s="15">
        <f t="shared" si="10"/>
        <v>2024</v>
      </c>
    </row>
    <row r="97">
      <c r="A97" s="9">
        <v>45524.0</v>
      </c>
      <c r="B97" s="19">
        <v>45483.0</v>
      </c>
      <c r="C97" s="9">
        <f t="shared" si="11"/>
        <v>45524</v>
      </c>
      <c r="D97" s="11" t="s">
        <v>182</v>
      </c>
      <c r="E97" s="11" t="s">
        <v>25</v>
      </c>
      <c r="F97" s="11" t="s">
        <v>107</v>
      </c>
      <c r="G97" s="11" t="s">
        <v>27</v>
      </c>
      <c r="H97" s="11" t="s">
        <v>183</v>
      </c>
      <c r="I97" s="12">
        <v>17.94</v>
      </c>
      <c r="J97" s="13"/>
      <c r="K97" s="13">
        <f t="shared" si="2"/>
        <v>17.94</v>
      </c>
      <c r="L97" s="11" t="s">
        <v>34</v>
      </c>
      <c r="M97" s="14"/>
      <c r="N97" s="11" t="s">
        <v>184</v>
      </c>
      <c r="O97" s="10" t="str">
        <f t="shared" si="3"/>
        <v>08/2024</v>
      </c>
      <c r="P97" s="10" t="str">
        <f t="shared" si="13"/>
        <v>08/2024</v>
      </c>
      <c r="Q97" s="15" t="str">
        <f t="array" ref="Q97">IFERROR(XLOOKUP(N97,'Classificação'!A:A,'Classificação'!B:B),"")</f>
        <v>DESPESAS ADMINISTRATIVAS</v>
      </c>
      <c r="R97" s="15" t="str">
        <f t="array" ref="R97">IFERROR(XLOOKUP(Q97,'Classificação'!B:B,'Classificação'!C:C),"")</f>
        <v>DESPESAS FIXAS (-)</v>
      </c>
      <c r="S97" s="15">
        <f t="shared" si="5"/>
        <v>20</v>
      </c>
      <c r="T97" s="15">
        <f t="shared" si="6"/>
        <v>8</v>
      </c>
      <c r="U97" s="15">
        <f t="shared" si="7"/>
        <v>2024</v>
      </c>
      <c r="V97" s="15">
        <f t="shared" si="8"/>
        <v>20</v>
      </c>
      <c r="W97" s="15">
        <f t="shared" si="9"/>
        <v>8</v>
      </c>
      <c r="X97" s="15">
        <f t="shared" si="10"/>
        <v>2024</v>
      </c>
    </row>
    <row r="98">
      <c r="A98" s="9">
        <v>45524.0</v>
      </c>
      <c r="B98" s="19">
        <v>45489.0</v>
      </c>
      <c r="C98" s="9">
        <f t="shared" si="11"/>
        <v>45524</v>
      </c>
      <c r="D98" s="11" t="s">
        <v>182</v>
      </c>
      <c r="E98" s="11" t="s">
        <v>25</v>
      </c>
      <c r="F98" s="11" t="s">
        <v>107</v>
      </c>
      <c r="G98" s="11" t="s">
        <v>27</v>
      </c>
      <c r="H98" s="11" t="s">
        <v>183</v>
      </c>
      <c r="I98" s="12">
        <v>8.92</v>
      </c>
      <c r="J98" s="13"/>
      <c r="K98" s="13">
        <f t="shared" si="2"/>
        <v>8.92</v>
      </c>
      <c r="L98" s="11" t="s">
        <v>34</v>
      </c>
      <c r="M98" s="14"/>
      <c r="N98" s="11" t="s">
        <v>184</v>
      </c>
      <c r="O98" s="10" t="str">
        <f t="shared" si="3"/>
        <v>08/2024</v>
      </c>
      <c r="P98" s="10" t="str">
        <f t="shared" si="13"/>
        <v>08/2024</v>
      </c>
      <c r="Q98" s="15" t="str">
        <f t="array" ref="Q98">IFERROR(XLOOKUP(N98,'Classificação'!A:A,'Classificação'!B:B),"")</f>
        <v>DESPESAS ADMINISTRATIVAS</v>
      </c>
      <c r="R98" s="15" t="str">
        <f t="array" ref="R98">IFERROR(XLOOKUP(Q98,'Classificação'!B:B,'Classificação'!C:C),"")</f>
        <v>DESPESAS FIXAS (-)</v>
      </c>
      <c r="S98" s="15">
        <f t="shared" si="5"/>
        <v>20</v>
      </c>
      <c r="T98" s="15">
        <f t="shared" si="6"/>
        <v>8</v>
      </c>
      <c r="U98" s="15">
        <f t="shared" si="7"/>
        <v>2024</v>
      </c>
      <c r="V98" s="15">
        <f t="shared" si="8"/>
        <v>20</v>
      </c>
      <c r="W98" s="15">
        <f t="shared" si="9"/>
        <v>8</v>
      </c>
      <c r="X98" s="15">
        <f t="shared" si="10"/>
        <v>2024</v>
      </c>
    </row>
    <row r="99">
      <c r="A99" s="9">
        <v>45524.0</v>
      </c>
      <c r="B99" s="19">
        <v>45489.0</v>
      </c>
      <c r="C99" s="9">
        <f t="shared" si="11"/>
        <v>45524</v>
      </c>
      <c r="D99" s="11" t="s">
        <v>182</v>
      </c>
      <c r="E99" s="11" t="s">
        <v>25</v>
      </c>
      <c r="F99" s="11" t="s">
        <v>107</v>
      </c>
      <c r="G99" s="11" t="s">
        <v>27</v>
      </c>
      <c r="H99" s="11" t="s">
        <v>183</v>
      </c>
      <c r="I99" s="12">
        <v>9.95</v>
      </c>
      <c r="J99" s="13"/>
      <c r="K99" s="13">
        <f t="shared" si="2"/>
        <v>9.95</v>
      </c>
      <c r="L99" s="11" t="s">
        <v>34</v>
      </c>
      <c r="M99" s="14"/>
      <c r="N99" s="11" t="s">
        <v>184</v>
      </c>
      <c r="O99" s="10" t="str">
        <f t="shared" si="3"/>
        <v>08/2024</v>
      </c>
      <c r="P99" s="10" t="str">
        <f t="shared" si="13"/>
        <v>08/2024</v>
      </c>
      <c r="Q99" s="15" t="str">
        <f t="array" ref="Q99">IFERROR(XLOOKUP(N99,'Classificação'!A:A,'Classificação'!B:B),"")</f>
        <v>DESPESAS ADMINISTRATIVAS</v>
      </c>
      <c r="R99" s="15" t="str">
        <f t="array" ref="R99">IFERROR(XLOOKUP(Q99,'Classificação'!B:B,'Classificação'!C:C),"")</f>
        <v>DESPESAS FIXAS (-)</v>
      </c>
      <c r="S99" s="15">
        <f t="shared" si="5"/>
        <v>20</v>
      </c>
      <c r="T99" s="15">
        <f t="shared" si="6"/>
        <v>8</v>
      </c>
      <c r="U99" s="15">
        <f t="shared" si="7"/>
        <v>2024</v>
      </c>
      <c r="V99" s="15">
        <f t="shared" si="8"/>
        <v>20</v>
      </c>
      <c r="W99" s="15">
        <f t="shared" si="9"/>
        <v>8</v>
      </c>
      <c r="X99" s="15">
        <f t="shared" si="10"/>
        <v>2024</v>
      </c>
    </row>
    <row r="100">
      <c r="A100" s="9">
        <v>45524.0</v>
      </c>
      <c r="B100" s="19">
        <v>45461.0</v>
      </c>
      <c r="C100" s="9">
        <f t="shared" si="11"/>
        <v>45524</v>
      </c>
      <c r="D100" s="11" t="s">
        <v>185</v>
      </c>
      <c r="E100" s="11" t="s">
        <v>25</v>
      </c>
      <c r="F100" s="11" t="s">
        <v>107</v>
      </c>
      <c r="G100" s="11" t="s">
        <v>27</v>
      </c>
      <c r="H100" s="11" t="s">
        <v>186</v>
      </c>
      <c r="I100" s="12">
        <v>300.0</v>
      </c>
      <c r="J100" s="13"/>
      <c r="K100" s="13">
        <f t="shared" si="2"/>
        <v>300</v>
      </c>
      <c r="L100" s="11" t="s">
        <v>53</v>
      </c>
      <c r="M100" s="17">
        <v>45414.0</v>
      </c>
      <c r="N100" s="11" t="s">
        <v>95</v>
      </c>
      <c r="O100" s="10" t="str">
        <f t="shared" si="3"/>
        <v>08/2024</v>
      </c>
      <c r="P100" s="10" t="str">
        <f t="shared" si="13"/>
        <v>08/2024</v>
      </c>
      <c r="Q100" s="15" t="str">
        <f t="array" ref="Q100">IFERROR(XLOOKUP(N100,'Classificação'!A:A,'Classificação'!B:B),"")</f>
        <v>DESPESAS NÃO OPERACIONAIS</v>
      </c>
      <c r="R100" s="15" t="str">
        <f t="array" ref="R100">IFERROR(XLOOKUP(Q100,'Classificação'!B:B,'Classificação'!C:C),"")</f>
        <v>RESULTADO NÃO OPERACIONAL (+/-)</v>
      </c>
      <c r="S100" s="15">
        <f t="shared" si="5"/>
        <v>20</v>
      </c>
      <c r="T100" s="15">
        <f t="shared" si="6"/>
        <v>8</v>
      </c>
      <c r="U100" s="15">
        <f t="shared" si="7"/>
        <v>2024</v>
      </c>
      <c r="V100" s="15">
        <f t="shared" si="8"/>
        <v>20</v>
      </c>
      <c r="W100" s="15">
        <f t="shared" si="9"/>
        <v>8</v>
      </c>
      <c r="X100" s="15">
        <f t="shared" si="10"/>
        <v>2024</v>
      </c>
    </row>
    <row r="101">
      <c r="A101" s="9">
        <v>45524.0</v>
      </c>
      <c r="B101" s="19">
        <v>45509.0</v>
      </c>
      <c r="C101" s="9">
        <f t="shared" si="11"/>
        <v>45524</v>
      </c>
      <c r="D101" s="11" t="s">
        <v>137</v>
      </c>
      <c r="E101" s="11" t="s">
        <v>25</v>
      </c>
      <c r="F101" s="11" t="s">
        <v>107</v>
      </c>
      <c r="G101" s="11" t="s">
        <v>27</v>
      </c>
      <c r="H101" s="11" t="s">
        <v>187</v>
      </c>
      <c r="I101" s="12">
        <v>10.55</v>
      </c>
      <c r="J101" s="13"/>
      <c r="K101" s="13">
        <f t="shared" si="2"/>
        <v>10.55</v>
      </c>
      <c r="L101" s="11" t="s">
        <v>34</v>
      </c>
      <c r="M101" s="14"/>
      <c r="N101" s="11" t="s">
        <v>68</v>
      </c>
      <c r="O101" s="10" t="str">
        <f t="shared" si="3"/>
        <v>08/2024</v>
      </c>
      <c r="P101" s="10" t="str">
        <f t="shared" si="13"/>
        <v>08/2024</v>
      </c>
      <c r="Q101" s="15" t="str">
        <f t="array" ref="Q101">IFERROR(XLOOKUP(N101,'Classificação'!A:A,'Classificação'!B:B),"")</f>
        <v>FRETE DE VENDAS</v>
      </c>
      <c r="R101" s="15" t="str">
        <f t="array" ref="R101">IFERROR(XLOOKUP(Q101,'Classificação'!B:B,'Classificação'!C:C),"")</f>
        <v>CUSTOS VARIÁVEIS</v>
      </c>
      <c r="S101" s="15">
        <f t="shared" si="5"/>
        <v>20</v>
      </c>
      <c r="T101" s="15">
        <f t="shared" si="6"/>
        <v>8</v>
      </c>
      <c r="U101" s="15">
        <f t="shared" si="7"/>
        <v>2024</v>
      </c>
      <c r="V101" s="15">
        <f t="shared" si="8"/>
        <v>20</v>
      </c>
      <c r="W101" s="15">
        <f t="shared" si="9"/>
        <v>8</v>
      </c>
      <c r="X101" s="15">
        <f t="shared" si="10"/>
        <v>2024</v>
      </c>
    </row>
    <row r="102">
      <c r="A102" s="9">
        <v>45524.0</v>
      </c>
      <c r="B102" s="10"/>
      <c r="C102" s="9">
        <f t="shared" si="11"/>
        <v>45524</v>
      </c>
      <c r="D102" s="11" t="s">
        <v>59</v>
      </c>
      <c r="E102" s="11" t="s">
        <v>25</v>
      </c>
      <c r="F102" s="11" t="s">
        <v>40</v>
      </c>
      <c r="G102" s="11" t="s">
        <v>37</v>
      </c>
      <c r="H102" s="11" t="s">
        <v>188</v>
      </c>
      <c r="I102" s="12">
        <v>465.67</v>
      </c>
      <c r="J102" s="13"/>
      <c r="K102" s="13">
        <f t="shared" si="2"/>
        <v>465.67</v>
      </c>
      <c r="L102" s="11" t="s">
        <v>53</v>
      </c>
      <c r="M102" s="17">
        <v>45353.0</v>
      </c>
      <c r="N102" s="11" t="s">
        <v>58</v>
      </c>
      <c r="O102" s="10" t="str">
        <f t="shared" si="3"/>
        <v>08/2024</v>
      </c>
      <c r="P102" s="10" t="str">
        <f t="shared" si="13"/>
        <v>08/2024</v>
      </c>
      <c r="Q102" s="15" t="str">
        <f t="array" ref="Q102">IFERROR(XLOOKUP(N102,'Classificação'!A:A,'Classificação'!B:B),"")</f>
        <v>DESPESAS ADMINISTRATIVAS</v>
      </c>
      <c r="R102" s="15" t="str">
        <f t="array" ref="R102">IFERROR(XLOOKUP(Q102,'Classificação'!B:B,'Classificação'!C:C),"")</f>
        <v>DESPESAS FIXAS (-)</v>
      </c>
      <c r="S102" s="15">
        <f t="shared" si="5"/>
        <v>20</v>
      </c>
      <c r="T102" s="15">
        <f t="shared" si="6"/>
        <v>8</v>
      </c>
      <c r="U102" s="15">
        <f t="shared" si="7"/>
        <v>2024</v>
      </c>
      <c r="V102" s="15">
        <f t="shared" si="8"/>
        <v>20</v>
      </c>
      <c r="W102" s="15">
        <f t="shared" si="9"/>
        <v>8</v>
      </c>
      <c r="X102" s="15">
        <f t="shared" si="10"/>
        <v>2024</v>
      </c>
    </row>
    <row r="103">
      <c r="A103" s="9">
        <v>45524.0</v>
      </c>
      <c r="B103" s="19">
        <v>45499.0</v>
      </c>
      <c r="C103" s="9">
        <f t="shared" si="11"/>
        <v>45524</v>
      </c>
      <c r="D103" s="11" t="s">
        <v>179</v>
      </c>
      <c r="E103" s="11" t="s">
        <v>25</v>
      </c>
      <c r="F103" s="11" t="s">
        <v>107</v>
      </c>
      <c r="G103" s="11" t="s">
        <v>27</v>
      </c>
      <c r="H103" s="11" t="s">
        <v>189</v>
      </c>
      <c r="I103" s="12">
        <v>150.0</v>
      </c>
      <c r="J103" s="13"/>
      <c r="K103" s="13">
        <f t="shared" si="2"/>
        <v>150</v>
      </c>
      <c r="L103" s="11" t="s">
        <v>34</v>
      </c>
      <c r="M103" s="14"/>
      <c r="N103" s="11" t="s">
        <v>181</v>
      </c>
      <c r="O103" s="10" t="str">
        <f t="shared" si="3"/>
        <v>08/2024</v>
      </c>
      <c r="P103" s="10" t="str">
        <f t="shared" si="13"/>
        <v>08/2024</v>
      </c>
      <c r="Q103" s="15" t="str">
        <f t="array" ref="Q103">IFERROR(XLOOKUP(N103,'Classificação'!A:A,'Classificação'!B:B),"")</f>
        <v>DESPESAS COM VEICULOS</v>
      </c>
      <c r="R103" s="15" t="str">
        <f t="array" ref="R103">IFERROR(XLOOKUP(Q103,'Classificação'!B:B,'Classificação'!C:C),"")</f>
        <v>DESPESAS FIXAS (-)</v>
      </c>
      <c r="S103" s="15">
        <f t="shared" si="5"/>
        <v>20</v>
      </c>
      <c r="T103" s="15">
        <f t="shared" si="6"/>
        <v>8</v>
      </c>
      <c r="U103" s="15">
        <f t="shared" si="7"/>
        <v>2024</v>
      </c>
      <c r="V103" s="15">
        <f t="shared" si="8"/>
        <v>20</v>
      </c>
      <c r="W103" s="15">
        <f t="shared" si="9"/>
        <v>8</v>
      </c>
      <c r="X103" s="15">
        <f t="shared" si="10"/>
        <v>2024</v>
      </c>
    </row>
    <row r="104">
      <c r="A104" s="9">
        <v>45524.0</v>
      </c>
      <c r="B104" s="19">
        <v>45499.0</v>
      </c>
      <c r="C104" s="9">
        <f t="shared" si="11"/>
        <v>45524</v>
      </c>
      <c r="D104" s="11" t="s">
        <v>190</v>
      </c>
      <c r="E104" s="11" t="s">
        <v>25</v>
      </c>
      <c r="F104" s="11" t="s">
        <v>107</v>
      </c>
      <c r="G104" s="11" t="s">
        <v>27</v>
      </c>
      <c r="H104" s="11" t="s">
        <v>191</v>
      </c>
      <c r="I104" s="12">
        <v>120.72</v>
      </c>
      <c r="J104" s="13"/>
      <c r="K104" s="13">
        <f t="shared" si="2"/>
        <v>120.72</v>
      </c>
      <c r="L104" s="11" t="s">
        <v>34</v>
      </c>
      <c r="M104" s="14"/>
      <c r="N104" s="11" t="s">
        <v>58</v>
      </c>
      <c r="O104" s="10" t="str">
        <f t="shared" si="3"/>
        <v>08/2024</v>
      </c>
      <c r="P104" s="10" t="str">
        <f t="shared" si="13"/>
        <v>08/2024</v>
      </c>
      <c r="Q104" s="15" t="str">
        <f t="array" ref="Q104">IFERROR(XLOOKUP(N104,'Classificação'!A:A,'Classificação'!B:B),"")</f>
        <v>DESPESAS ADMINISTRATIVAS</v>
      </c>
      <c r="R104" s="15" t="str">
        <f t="array" ref="R104">IFERROR(XLOOKUP(Q104,'Classificação'!B:B,'Classificação'!C:C),"")</f>
        <v>DESPESAS FIXAS (-)</v>
      </c>
      <c r="S104" s="15">
        <f t="shared" si="5"/>
        <v>20</v>
      </c>
      <c r="T104" s="15">
        <f t="shared" si="6"/>
        <v>8</v>
      </c>
      <c r="U104" s="15">
        <f t="shared" si="7"/>
        <v>2024</v>
      </c>
      <c r="V104" s="15">
        <f t="shared" si="8"/>
        <v>20</v>
      </c>
      <c r="W104" s="15">
        <f t="shared" si="9"/>
        <v>8</v>
      </c>
      <c r="X104" s="15">
        <f t="shared" si="10"/>
        <v>2024</v>
      </c>
    </row>
    <row r="105">
      <c r="A105" s="9">
        <v>45524.0</v>
      </c>
      <c r="B105" s="19">
        <v>45505.0</v>
      </c>
      <c r="C105" s="9">
        <f t="shared" si="11"/>
        <v>45524</v>
      </c>
      <c r="D105" s="11" t="s">
        <v>192</v>
      </c>
      <c r="E105" s="11" t="s">
        <v>25</v>
      </c>
      <c r="F105" s="11" t="s">
        <v>107</v>
      </c>
      <c r="G105" s="11" t="s">
        <v>27</v>
      </c>
      <c r="H105" s="22" t="s">
        <v>193</v>
      </c>
      <c r="I105" s="12">
        <v>19.87</v>
      </c>
      <c r="J105" s="13"/>
      <c r="K105" s="13">
        <f t="shared" si="2"/>
        <v>19.87</v>
      </c>
      <c r="L105" s="11" t="s">
        <v>34</v>
      </c>
      <c r="M105" s="14"/>
      <c r="N105" s="11" t="s">
        <v>105</v>
      </c>
      <c r="O105" s="10" t="str">
        <f t="shared" si="3"/>
        <v>08/2024</v>
      </c>
      <c r="P105" s="10" t="str">
        <f t="shared" si="13"/>
        <v>08/2024</v>
      </c>
      <c r="Q105" s="15" t="str">
        <f t="array" ref="Q105">IFERROR(XLOOKUP(N105,'Classificação'!A:A,'Classificação'!B:B),"")</f>
        <v>DESPESAS ADMINISTRATIVAS</v>
      </c>
      <c r="R105" s="15" t="str">
        <f t="array" ref="R105">IFERROR(XLOOKUP(Q105,'Classificação'!B:B,'Classificação'!C:C),"")</f>
        <v>DESPESAS FIXAS (-)</v>
      </c>
      <c r="S105" s="15">
        <f t="shared" si="5"/>
        <v>20</v>
      </c>
      <c r="T105" s="15">
        <f t="shared" si="6"/>
        <v>8</v>
      </c>
      <c r="U105" s="15">
        <f t="shared" si="7"/>
        <v>2024</v>
      </c>
      <c r="V105" s="15">
        <f t="shared" si="8"/>
        <v>20</v>
      </c>
      <c r="W105" s="15">
        <f t="shared" si="9"/>
        <v>8</v>
      </c>
      <c r="X105" s="15">
        <f t="shared" si="10"/>
        <v>2024</v>
      </c>
    </row>
    <row r="106">
      <c r="A106" s="9">
        <v>45524.0</v>
      </c>
      <c r="B106" s="19">
        <v>45501.0</v>
      </c>
      <c r="C106" s="9">
        <f t="shared" si="11"/>
        <v>45524</v>
      </c>
      <c r="D106" s="11" t="s">
        <v>182</v>
      </c>
      <c r="E106" s="11" t="s">
        <v>25</v>
      </c>
      <c r="F106" s="11" t="s">
        <v>107</v>
      </c>
      <c r="G106" s="11" t="s">
        <v>27</v>
      </c>
      <c r="H106" s="11" t="s">
        <v>194</v>
      </c>
      <c r="I106" s="12">
        <v>12.93</v>
      </c>
      <c r="J106" s="13"/>
      <c r="K106" s="13">
        <f t="shared" si="2"/>
        <v>12.93</v>
      </c>
      <c r="L106" s="11" t="s">
        <v>34</v>
      </c>
      <c r="M106" s="14"/>
      <c r="N106" s="11" t="s">
        <v>184</v>
      </c>
      <c r="O106" s="10" t="str">
        <f t="shared" si="3"/>
        <v>08/2024</v>
      </c>
      <c r="P106" s="10" t="str">
        <f t="shared" si="13"/>
        <v>08/2024</v>
      </c>
      <c r="Q106" s="15" t="str">
        <f t="array" ref="Q106">IFERROR(XLOOKUP(N106,'Classificação'!A:A,'Classificação'!B:B),"")</f>
        <v>DESPESAS ADMINISTRATIVAS</v>
      </c>
      <c r="R106" s="15" t="str">
        <f t="array" ref="R106">IFERROR(XLOOKUP(Q106,'Classificação'!B:B,'Classificação'!C:C),"")</f>
        <v>DESPESAS FIXAS (-)</v>
      </c>
      <c r="S106" s="15">
        <f t="shared" si="5"/>
        <v>20</v>
      </c>
      <c r="T106" s="15">
        <f t="shared" si="6"/>
        <v>8</v>
      </c>
      <c r="U106" s="15">
        <f t="shared" si="7"/>
        <v>2024</v>
      </c>
      <c r="V106" s="15">
        <f t="shared" si="8"/>
        <v>20</v>
      </c>
      <c r="W106" s="15">
        <f t="shared" si="9"/>
        <v>8</v>
      </c>
      <c r="X106" s="15">
        <f t="shared" si="10"/>
        <v>2024</v>
      </c>
    </row>
    <row r="107">
      <c r="A107" s="9">
        <v>45524.0</v>
      </c>
      <c r="B107" s="19">
        <v>45501.0</v>
      </c>
      <c r="C107" s="9">
        <f t="shared" si="11"/>
        <v>45524</v>
      </c>
      <c r="D107" s="11" t="s">
        <v>182</v>
      </c>
      <c r="E107" s="11" t="s">
        <v>25</v>
      </c>
      <c r="F107" s="11" t="s">
        <v>107</v>
      </c>
      <c r="G107" s="11" t="s">
        <v>27</v>
      </c>
      <c r="H107" s="11" t="s">
        <v>194</v>
      </c>
      <c r="I107" s="12">
        <v>18.93</v>
      </c>
      <c r="J107" s="13"/>
      <c r="K107" s="13">
        <f t="shared" si="2"/>
        <v>18.93</v>
      </c>
      <c r="L107" s="11" t="s">
        <v>34</v>
      </c>
      <c r="M107" s="14"/>
      <c r="N107" s="11" t="s">
        <v>184</v>
      </c>
      <c r="O107" s="10" t="str">
        <f t="shared" si="3"/>
        <v>08/2024</v>
      </c>
      <c r="P107" s="10" t="str">
        <f t="shared" si="13"/>
        <v>08/2024</v>
      </c>
      <c r="Q107" s="15" t="str">
        <f t="array" ref="Q107">IFERROR(XLOOKUP(N107,'Classificação'!A:A,'Classificação'!B:B),"")</f>
        <v>DESPESAS ADMINISTRATIVAS</v>
      </c>
      <c r="R107" s="15" t="str">
        <f t="array" ref="R107">IFERROR(XLOOKUP(Q107,'Classificação'!B:B,'Classificação'!C:C),"")</f>
        <v>DESPESAS FIXAS (-)</v>
      </c>
      <c r="S107" s="15">
        <f t="shared" si="5"/>
        <v>20</v>
      </c>
      <c r="T107" s="15">
        <f t="shared" si="6"/>
        <v>8</v>
      </c>
      <c r="U107" s="15">
        <f t="shared" si="7"/>
        <v>2024</v>
      </c>
      <c r="V107" s="15">
        <f t="shared" si="8"/>
        <v>20</v>
      </c>
      <c r="W107" s="15">
        <f t="shared" si="9"/>
        <v>8</v>
      </c>
      <c r="X107" s="15">
        <f t="shared" si="10"/>
        <v>2024</v>
      </c>
    </row>
    <row r="108">
      <c r="A108" s="9">
        <v>45524.0</v>
      </c>
      <c r="B108" s="19">
        <v>45505.0</v>
      </c>
      <c r="C108" s="9">
        <f t="shared" si="11"/>
        <v>45524</v>
      </c>
      <c r="D108" s="11" t="s">
        <v>182</v>
      </c>
      <c r="E108" s="11" t="s">
        <v>25</v>
      </c>
      <c r="F108" s="11" t="s">
        <v>107</v>
      </c>
      <c r="G108" s="11" t="s">
        <v>27</v>
      </c>
      <c r="H108" s="11" t="s">
        <v>194</v>
      </c>
      <c r="I108" s="12">
        <v>10.9</v>
      </c>
      <c r="J108" s="13"/>
      <c r="K108" s="13">
        <f t="shared" si="2"/>
        <v>10.9</v>
      </c>
      <c r="L108" s="11" t="s">
        <v>34</v>
      </c>
      <c r="M108" s="14"/>
      <c r="N108" s="11" t="s">
        <v>184</v>
      </c>
      <c r="O108" s="10" t="str">
        <f t="shared" si="3"/>
        <v>08/2024</v>
      </c>
      <c r="P108" s="10" t="str">
        <f t="shared" si="13"/>
        <v>08/2024</v>
      </c>
      <c r="Q108" s="15" t="str">
        <f t="array" ref="Q108">IFERROR(XLOOKUP(N108,'Classificação'!A:A,'Classificação'!B:B),"")</f>
        <v>DESPESAS ADMINISTRATIVAS</v>
      </c>
      <c r="R108" s="15" t="str">
        <f t="array" ref="R108">IFERROR(XLOOKUP(Q108,'Classificação'!B:B,'Classificação'!C:C),"")</f>
        <v>DESPESAS FIXAS (-)</v>
      </c>
      <c r="S108" s="15">
        <f t="shared" si="5"/>
        <v>20</v>
      </c>
      <c r="T108" s="15">
        <f t="shared" si="6"/>
        <v>8</v>
      </c>
      <c r="U108" s="15">
        <f t="shared" si="7"/>
        <v>2024</v>
      </c>
      <c r="V108" s="15">
        <f t="shared" si="8"/>
        <v>20</v>
      </c>
      <c r="W108" s="15">
        <f t="shared" si="9"/>
        <v>8</v>
      </c>
      <c r="X108" s="15">
        <f t="shared" si="10"/>
        <v>2024</v>
      </c>
    </row>
    <row r="109">
      <c r="A109" s="9">
        <v>45524.0</v>
      </c>
      <c r="B109" s="19">
        <v>45303.0</v>
      </c>
      <c r="C109" s="9">
        <f t="shared" si="11"/>
        <v>45524</v>
      </c>
      <c r="D109" s="11" t="s">
        <v>195</v>
      </c>
      <c r="E109" s="11" t="s">
        <v>25</v>
      </c>
      <c r="F109" s="11" t="s">
        <v>107</v>
      </c>
      <c r="G109" s="11" t="s">
        <v>27</v>
      </c>
      <c r="H109" s="11" t="s">
        <v>196</v>
      </c>
      <c r="I109" s="12">
        <v>875.0</v>
      </c>
      <c r="J109" s="13"/>
      <c r="K109" s="13">
        <f t="shared" si="2"/>
        <v>875</v>
      </c>
      <c r="L109" s="11" t="s">
        <v>53</v>
      </c>
      <c r="M109" s="17">
        <v>45511.0</v>
      </c>
      <c r="N109" s="11" t="s">
        <v>95</v>
      </c>
      <c r="O109" s="10" t="str">
        <f t="shared" si="3"/>
        <v>08/2024</v>
      </c>
      <c r="P109" s="10" t="str">
        <f t="shared" si="13"/>
        <v>08/2024</v>
      </c>
      <c r="Q109" s="15" t="str">
        <f t="array" ref="Q109">IFERROR(XLOOKUP(N109,'Classificação'!A:A,'Classificação'!B:B),"")</f>
        <v>DESPESAS NÃO OPERACIONAIS</v>
      </c>
      <c r="R109" s="15" t="str">
        <f t="array" ref="R109">IFERROR(XLOOKUP(Q109,'Classificação'!B:B,'Classificação'!C:C),"")</f>
        <v>RESULTADO NÃO OPERACIONAL (+/-)</v>
      </c>
      <c r="S109" s="15">
        <f t="shared" si="5"/>
        <v>20</v>
      </c>
      <c r="T109" s="15">
        <f t="shared" si="6"/>
        <v>8</v>
      </c>
      <c r="U109" s="15">
        <f t="shared" si="7"/>
        <v>2024</v>
      </c>
      <c r="V109" s="15">
        <f t="shared" si="8"/>
        <v>20</v>
      </c>
      <c r="W109" s="15">
        <f t="shared" si="9"/>
        <v>8</v>
      </c>
      <c r="X109" s="15">
        <f t="shared" si="10"/>
        <v>2024</v>
      </c>
    </row>
    <row r="110">
      <c r="A110" s="9">
        <v>45524.0</v>
      </c>
      <c r="B110" s="19">
        <v>45307.0</v>
      </c>
      <c r="C110" s="9">
        <f t="shared" si="11"/>
        <v>45524</v>
      </c>
      <c r="D110" s="11" t="s">
        <v>65</v>
      </c>
      <c r="E110" s="11" t="s">
        <v>25</v>
      </c>
      <c r="F110" s="11" t="s">
        <v>107</v>
      </c>
      <c r="G110" s="11" t="s">
        <v>27</v>
      </c>
      <c r="H110" s="11" t="s">
        <v>197</v>
      </c>
      <c r="I110" s="12">
        <v>40.46</v>
      </c>
      <c r="J110" s="13"/>
      <c r="K110" s="13">
        <f t="shared" si="2"/>
        <v>40.46</v>
      </c>
      <c r="L110" s="11" t="s">
        <v>53</v>
      </c>
      <c r="M110" s="17">
        <v>45572.0</v>
      </c>
      <c r="N110" s="11" t="s">
        <v>95</v>
      </c>
      <c r="O110" s="10" t="str">
        <f t="shared" si="3"/>
        <v>08/2024</v>
      </c>
      <c r="P110" s="10" t="str">
        <f t="shared" si="13"/>
        <v>08/2024</v>
      </c>
      <c r="Q110" s="15" t="str">
        <f t="array" ref="Q110">IFERROR(XLOOKUP(N110,'Classificação'!A:A,'Classificação'!B:B),"")</f>
        <v>DESPESAS NÃO OPERACIONAIS</v>
      </c>
      <c r="R110" s="15" t="str">
        <f t="array" ref="R110">IFERROR(XLOOKUP(Q110,'Classificação'!B:B,'Classificação'!C:C),"")</f>
        <v>RESULTADO NÃO OPERACIONAL (+/-)</v>
      </c>
      <c r="S110" s="15">
        <f t="shared" si="5"/>
        <v>20</v>
      </c>
      <c r="T110" s="15">
        <f t="shared" si="6"/>
        <v>8</v>
      </c>
      <c r="U110" s="15">
        <f t="shared" si="7"/>
        <v>2024</v>
      </c>
      <c r="V110" s="15">
        <f t="shared" si="8"/>
        <v>20</v>
      </c>
      <c r="W110" s="15">
        <f t="shared" si="9"/>
        <v>8</v>
      </c>
      <c r="X110" s="15">
        <f t="shared" si="10"/>
        <v>2024</v>
      </c>
    </row>
    <row r="111">
      <c r="A111" s="9">
        <v>45524.0</v>
      </c>
      <c r="B111" s="19">
        <v>45310.0</v>
      </c>
      <c r="C111" s="9">
        <f t="shared" si="11"/>
        <v>45524</v>
      </c>
      <c r="D111" s="11" t="s">
        <v>65</v>
      </c>
      <c r="E111" s="11" t="s">
        <v>25</v>
      </c>
      <c r="F111" s="11" t="s">
        <v>107</v>
      </c>
      <c r="G111" s="11" t="s">
        <v>27</v>
      </c>
      <c r="H111" s="11" t="s">
        <v>198</v>
      </c>
      <c r="I111" s="12">
        <v>31.23</v>
      </c>
      <c r="J111" s="13"/>
      <c r="K111" s="13">
        <f t="shared" si="2"/>
        <v>31.23</v>
      </c>
      <c r="L111" s="11" t="s">
        <v>53</v>
      </c>
      <c r="M111" s="17">
        <v>45511.0</v>
      </c>
      <c r="N111" s="11" t="s">
        <v>58</v>
      </c>
      <c r="O111" s="10" t="str">
        <f t="shared" si="3"/>
        <v>08/2024</v>
      </c>
      <c r="P111" s="10" t="str">
        <f t="shared" si="13"/>
        <v>08/2024</v>
      </c>
      <c r="Q111" s="15" t="str">
        <f t="array" ref="Q111">IFERROR(XLOOKUP(N111,'Classificação'!A:A,'Classificação'!B:B),"")</f>
        <v>DESPESAS ADMINISTRATIVAS</v>
      </c>
      <c r="R111" s="15" t="str">
        <f t="array" ref="R111">IFERROR(XLOOKUP(Q111,'Classificação'!B:B,'Classificação'!C:C),"")</f>
        <v>DESPESAS FIXAS (-)</v>
      </c>
      <c r="S111" s="15">
        <f t="shared" si="5"/>
        <v>20</v>
      </c>
      <c r="T111" s="15">
        <f t="shared" si="6"/>
        <v>8</v>
      </c>
      <c r="U111" s="15">
        <f t="shared" si="7"/>
        <v>2024</v>
      </c>
      <c r="V111" s="15">
        <f t="shared" si="8"/>
        <v>20</v>
      </c>
      <c r="W111" s="15">
        <f t="shared" si="9"/>
        <v>8</v>
      </c>
      <c r="X111" s="15">
        <f t="shared" si="10"/>
        <v>2024</v>
      </c>
    </row>
    <row r="112">
      <c r="A112" s="9">
        <v>45524.0</v>
      </c>
      <c r="B112" s="10"/>
      <c r="C112" s="9">
        <f t="shared" si="11"/>
        <v>45524</v>
      </c>
      <c r="D112" s="11" t="s">
        <v>65</v>
      </c>
      <c r="E112" s="11" t="s">
        <v>25</v>
      </c>
      <c r="F112" s="11" t="s">
        <v>107</v>
      </c>
      <c r="G112" s="11" t="s">
        <v>27</v>
      </c>
      <c r="H112" s="11" t="s">
        <v>199</v>
      </c>
      <c r="I112" s="12">
        <v>-238.52</v>
      </c>
      <c r="J112" s="13"/>
      <c r="K112" s="13">
        <f t="shared" si="2"/>
        <v>-238.52</v>
      </c>
      <c r="L112" s="11" t="s">
        <v>34</v>
      </c>
      <c r="M112" s="14"/>
      <c r="N112" s="11" t="s">
        <v>95</v>
      </c>
      <c r="O112" s="10" t="str">
        <f t="shared" si="3"/>
        <v>08/2024</v>
      </c>
      <c r="P112" s="10" t="str">
        <f t="shared" si="13"/>
        <v>08/2024</v>
      </c>
      <c r="Q112" s="15" t="str">
        <f t="array" ref="Q112">IFERROR(XLOOKUP(N112,'Classificação'!A:A,'Classificação'!B:B),"")</f>
        <v>DESPESAS NÃO OPERACIONAIS</v>
      </c>
      <c r="R112" s="15" t="str">
        <f t="array" ref="R112">IFERROR(XLOOKUP(Q112,'Classificação'!B:B,'Classificação'!C:C),"")</f>
        <v>RESULTADO NÃO OPERACIONAL (+/-)</v>
      </c>
      <c r="S112" s="15">
        <f t="shared" si="5"/>
        <v>20</v>
      </c>
      <c r="T112" s="15">
        <f t="shared" si="6"/>
        <v>8</v>
      </c>
      <c r="U112" s="15">
        <f t="shared" si="7"/>
        <v>2024</v>
      </c>
      <c r="V112" s="15">
        <f t="shared" si="8"/>
        <v>20</v>
      </c>
      <c r="W112" s="15">
        <f t="shared" si="9"/>
        <v>8</v>
      </c>
      <c r="X112" s="15">
        <f t="shared" si="10"/>
        <v>2024</v>
      </c>
    </row>
    <row r="113">
      <c r="A113" s="9">
        <v>45524.0</v>
      </c>
      <c r="B113" s="10"/>
      <c r="C113" s="9">
        <f t="shared" si="11"/>
        <v>45524</v>
      </c>
      <c r="D113" s="11" t="s">
        <v>200</v>
      </c>
      <c r="E113" s="11" t="s">
        <v>25</v>
      </c>
      <c r="F113" s="11" t="s">
        <v>40</v>
      </c>
      <c r="G113" s="11" t="s">
        <v>27</v>
      </c>
      <c r="I113" s="12">
        <v>170.0</v>
      </c>
      <c r="J113" s="13"/>
      <c r="K113" s="13">
        <f t="shared" si="2"/>
        <v>170</v>
      </c>
      <c r="L113" s="11" t="s">
        <v>29</v>
      </c>
      <c r="M113" s="14"/>
      <c r="N113" s="11" t="s">
        <v>201</v>
      </c>
      <c r="O113" s="10" t="str">
        <f t="shared" si="3"/>
        <v>08/2024</v>
      </c>
      <c r="P113" s="10" t="str">
        <f t="shared" si="13"/>
        <v>08/2024</v>
      </c>
      <c r="Q113" s="15" t="str">
        <f t="array" ref="Q113">IFERROR(XLOOKUP(N113,'Classificação'!A:A,'Classificação'!B:B),"")</f>
        <v>DESPESAS COM OCUPAÇÃO</v>
      </c>
      <c r="R113" s="15" t="str">
        <f t="array" ref="R113">IFERROR(XLOOKUP(Q113,'Classificação'!B:B,'Classificação'!C:C),"")</f>
        <v>DESPESAS FIXAS (-)</v>
      </c>
      <c r="S113" s="15">
        <f t="shared" si="5"/>
        <v>20</v>
      </c>
      <c r="T113" s="15">
        <f t="shared" si="6"/>
        <v>8</v>
      </c>
      <c r="U113" s="15">
        <f t="shared" si="7"/>
        <v>2024</v>
      </c>
      <c r="V113" s="15">
        <f t="shared" si="8"/>
        <v>20</v>
      </c>
      <c r="W113" s="15">
        <f t="shared" si="9"/>
        <v>8</v>
      </c>
      <c r="X113" s="15">
        <f t="shared" si="10"/>
        <v>2024</v>
      </c>
    </row>
    <row r="114">
      <c r="A114" s="9">
        <v>45526.0</v>
      </c>
      <c r="B114" s="10"/>
      <c r="C114" s="9">
        <f t="shared" si="11"/>
        <v>45526</v>
      </c>
      <c r="D114" s="11" t="s">
        <v>202</v>
      </c>
      <c r="E114" s="11" t="s">
        <v>25</v>
      </c>
      <c r="F114" s="11" t="s">
        <v>32</v>
      </c>
      <c r="G114" s="11" t="s">
        <v>27</v>
      </c>
      <c r="H114" s="11" t="s">
        <v>203</v>
      </c>
      <c r="I114" s="12">
        <v>469.34</v>
      </c>
      <c r="J114" s="13"/>
      <c r="K114" s="13">
        <f t="shared" si="2"/>
        <v>469.34</v>
      </c>
      <c r="L114" s="11" t="s">
        <v>53</v>
      </c>
      <c r="M114" s="17">
        <v>45597.0</v>
      </c>
      <c r="N114" s="11" t="s">
        <v>73</v>
      </c>
      <c r="O114" s="10" t="str">
        <f t="shared" si="3"/>
        <v>08/2024</v>
      </c>
      <c r="P114" s="10" t="str">
        <f t="shared" si="13"/>
        <v>08/2024</v>
      </c>
      <c r="Q114" s="15" t="str">
        <f t="array" ref="Q114">IFERROR(XLOOKUP(N114,'Classificação'!A:A,'Classificação'!B:B),"")</f>
        <v>DESPESAS NÃO OPERACIONAIS</v>
      </c>
      <c r="R114" s="15" t="str">
        <f t="array" ref="R114">IFERROR(XLOOKUP(Q114,'Classificação'!B:B,'Classificação'!C:C),"")</f>
        <v>RESULTADO NÃO OPERACIONAL (+/-)</v>
      </c>
      <c r="S114" s="15">
        <f t="shared" si="5"/>
        <v>22</v>
      </c>
      <c r="T114" s="15">
        <f t="shared" si="6"/>
        <v>8</v>
      </c>
      <c r="U114" s="15">
        <f t="shared" si="7"/>
        <v>2024</v>
      </c>
      <c r="V114" s="15">
        <f t="shared" si="8"/>
        <v>22</v>
      </c>
      <c r="W114" s="15">
        <f t="shared" si="9"/>
        <v>8</v>
      </c>
      <c r="X114" s="15">
        <f t="shared" si="10"/>
        <v>2024</v>
      </c>
    </row>
    <row r="115">
      <c r="A115" s="9">
        <v>45526.0</v>
      </c>
      <c r="B115" s="10"/>
      <c r="C115" s="9">
        <f t="shared" si="11"/>
        <v>45526</v>
      </c>
      <c r="D115" s="11" t="s">
        <v>202</v>
      </c>
      <c r="E115" s="11" t="s">
        <v>25</v>
      </c>
      <c r="F115" s="11" t="s">
        <v>32</v>
      </c>
      <c r="G115" s="11" t="s">
        <v>27</v>
      </c>
      <c r="H115" s="11" t="s">
        <v>203</v>
      </c>
      <c r="I115" s="12">
        <v>649.91</v>
      </c>
      <c r="J115" s="13"/>
      <c r="K115" s="13">
        <f t="shared" si="2"/>
        <v>649.91</v>
      </c>
      <c r="L115" s="11" t="s">
        <v>53</v>
      </c>
      <c r="M115" s="17">
        <v>45597.0</v>
      </c>
      <c r="N115" s="11" t="s">
        <v>73</v>
      </c>
      <c r="O115" s="10" t="str">
        <f t="shared" si="3"/>
        <v>08/2024</v>
      </c>
      <c r="P115" s="10" t="str">
        <f t="shared" si="13"/>
        <v>08/2024</v>
      </c>
      <c r="Q115" s="15" t="str">
        <f t="array" ref="Q115">IFERROR(XLOOKUP(N115,'Classificação'!A:A,'Classificação'!B:B),"")</f>
        <v>DESPESAS NÃO OPERACIONAIS</v>
      </c>
      <c r="R115" s="15" t="str">
        <f t="array" ref="R115">IFERROR(XLOOKUP(Q115,'Classificação'!B:B,'Classificação'!C:C),"")</f>
        <v>RESULTADO NÃO OPERACIONAL (+/-)</v>
      </c>
      <c r="S115" s="15">
        <f t="shared" si="5"/>
        <v>22</v>
      </c>
      <c r="T115" s="15">
        <f t="shared" si="6"/>
        <v>8</v>
      </c>
      <c r="U115" s="15">
        <f t="shared" si="7"/>
        <v>2024</v>
      </c>
      <c r="V115" s="15">
        <f t="shared" si="8"/>
        <v>22</v>
      </c>
      <c r="W115" s="15">
        <f t="shared" si="9"/>
        <v>8</v>
      </c>
      <c r="X115" s="15">
        <f t="shared" si="10"/>
        <v>2024</v>
      </c>
    </row>
    <row r="116">
      <c r="A116" s="9">
        <v>45526.0</v>
      </c>
      <c r="B116" s="10"/>
      <c r="C116" s="9">
        <f t="shared" si="11"/>
        <v>45526</v>
      </c>
      <c r="D116" s="11" t="s">
        <v>74</v>
      </c>
      <c r="E116" s="11" t="s">
        <v>25</v>
      </c>
      <c r="F116" s="11" t="s">
        <v>32</v>
      </c>
      <c r="G116" s="11" t="s">
        <v>27</v>
      </c>
      <c r="I116" s="12">
        <v>330.0</v>
      </c>
      <c r="J116" s="13"/>
      <c r="K116" s="13">
        <f t="shared" si="2"/>
        <v>330</v>
      </c>
      <c r="L116" s="11" t="s">
        <v>29</v>
      </c>
      <c r="M116" s="14"/>
      <c r="N116" s="11" t="s">
        <v>204</v>
      </c>
      <c r="O116" s="10" t="str">
        <f t="shared" si="3"/>
        <v>08/2024</v>
      </c>
      <c r="P116" s="10" t="str">
        <f t="shared" si="13"/>
        <v>08/2024</v>
      </c>
      <c r="Q116" s="15" t="str">
        <f t="array" ref="Q116">IFERROR(XLOOKUP(N116,'Classificação'!A:A,'Classificação'!B:B),"")</f>
        <v>DESPESAS COM PESSOAL</v>
      </c>
      <c r="R116" s="15" t="str">
        <f t="array" ref="R116">IFERROR(XLOOKUP(Q116,'Classificação'!B:B,'Classificação'!C:C),"")</f>
        <v>DESPESAS FIXAS (-)</v>
      </c>
      <c r="S116" s="15">
        <f t="shared" si="5"/>
        <v>22</v>
      </c>
      <c r="T116" s="15">
        <f t="shared" si="6"/>
        <v>8</v>
      </c>
      <c r="U116" s="15">
        <f t="shared" si="7"/>
        <v>2024</v>
      </c>
      <c r="V116" s="15">
        <f t="shared" si="8"/>
        <v>22</v>
      </c>
      <c r="W116" s="15">
        <f t="shared" si="9"/>
        <v>8</v>
      </c>
      <c r="X116" s="15">
        <f t="shared" si="10"/>
        <v>2024</v>
      </c>
    </row>
    <row r="117">
      <c r="A117" s="9">
        <v>45527.0</v>
      </c>
      <c r="B117" s="10"/>
      <c r="C117" s="9">
        <f t="shared" si="11"/>
        <v>45527</v>
      </c>
      <c r="D117" s="11" t="s">
        <v>44</v>
      </c>
      <c r="E117" s="11" t="s">
        <v>25</v>
      </c>
      <c r="F117" s="11" t="s">
        <v>45</v>
      </c>
      <c r="G117" s="11" t="s">
        <v>27</v>
      </c>
      <c r="H117" s="11" t="s">
        <v>96</v>
      </c>
      <c r="I117" s="12">
        <v>10.0</v>
      </c>
      <c r="J117" s="13"/>
      <c r="K117" s="13">
        <f t="shared" si="2"/>
        <v>10</v>
      </c>
      <c r="L117" s="11" t="s">
        <v>34</v>
      </c>
      <c r="M117" s="14"/>
      <c r="N117" s="11" t="s">
        <v>97</v>
      </c>
      <c r="O117" s="10" t="str">
        <f t="shared" si="3"/>
        <v>08/2024</v>
      </c>
      <c r="P117" s="10"/>
      <c r="Q117" s="15" t="str">
        <f t="array" ref="Q117">IFERROR(XLOOKUP(N117,'Classificação'!A:A,'Classificação'!B:B),"")</f>
        <v>TARIFAS DE PIX</v>
      </c>
      <c r="R117" s="15" t="str">
        <f t="array" ref="R117">IFERROR(XLOOKUP(Q117,'Classificação'!B:B,'Classificação'!C:C),"")</f>
        <v>(+/-) RESULTADO FINANCEIRO LÍQUIDO</v>
      </c>
      <c r="S117" s="15">
        <f t="shared" si="5"/>
        <v>23</v>
      </c>
      <c r="T117" s="15">
        <f t="shared" si="6"/>
        <v>8</v>
      </c>
      <c r="U117" s="15">
        <f t="shared" si="7"/>
        <v>2024</v>
      </c>
      <c r="V117" s="15">
        <f t="shared" si="8"/>
        <v>23</v>
      </c>
      <c r="W117" s="15">
        <f t="shared" si="9"/>
        <v>8</v>
      </c>
      <c r="X117" s="15">
        <f t="shared" si="10"/>
        <v>2024</v>
      </c>
    </row>
    <row r="118">
      <c r="A118" s="9">
        <v>45529.0</v>
      </c>
      <c r="B118" s="10"/>
      <c r="C118" s="9">
        <f t="shared" si="11"/>
        <v>45529</v>
      </c>
      <c r="D118" s="11" t="s">
        <v>65</v>
      </c>
      <c r="E118" s="11" t="s">
        <v>25</v>
      </c>
      <c r="F118" s="11" t="s">
        <v>26</v>
      </c>
      <c r="G118" s="11" t="s">
        <v>37</v>
      </c>
      <c r="H118" s="11" t="s">
        <v>205</v>
      </c>
      <c r="I118" s="12">
        <v>57.4</v>
      </c>
      <c r="J118" s="13"/>
      <c r="K118" s="13">
        <f t="shared" si="2"/>
        <v>57.4</v>
      </c>
      <c r="L118" s="11" t="s">
        <v>53</v>
      </c>
      <c r="M118" s="17">
        <v>45383.0</v>
      </c>
      <c r="N118" s="11" t="s">
        <v>95</v>
      </c>
      <c r="O118" s="10" t="str">
        <f t="shared" si="3"/>
        <v>08/2024</v>
      </c>
      <c r="P118" s="10" t="str">
        <f t="shared" ref="P118:P121" si="14">if(C118="","", TEXT(C118,"mm/yyyy"))</f>
        <v>08/2024</v>
      </c>
      <c r="Q118" s="15" t="str">
        <f t="array" ref="Q118">IFERROR(XLOOKUP(N118,'Classificação'!A:A,'Classificação'!B:B),"")</f>
        <v>DESPESAS NÃO OPERACIONAIS</v>
      </c>
      <c r="R118" s="15" t="str">
        <f t="array" ref="R118">IFERROR(XLOOKUP(Q118,'Classificação'!B:B,'Classificação'!C:C),"")</f>
        <v>RESULTADO NÃO OPERACIONAL (+/-)</v>
      </c>
      <c r="S118" s="15">
        <f t="shared" si="5"/>
        <v>25</v>
      </c>
      <c r="T118" s="15">
        <f t="shared" si="6"/>
        <v>8</v>
      </c>
      <c r="U118" s="15">
        <f t="shared" si="7"/>
        <v>2024</v>
      </c>
      <c r="V118" s="15">
        <f t="shared" si="8"/>
        <v>25</v>
      </c>
      <c r="W118" s="15">
        <f t="shared" si="9"/>
        <v>8</v>
      </c>
      <c r="X118" s="15">
        <f t="shared" si="10"/>
        <v>2024</v>
      </c>
    </row>
    <row r="119">
      <c r="A119" s="9">
        <v>45529.0</v>
      </c>
      <c r="B119" s="10"/>
      <c r="C119" s="9">
        <f t="shared" si="11"/>
        <v>45529</v>
      </c>
      <c r="D119" s="11" t="s">
        <v>65</v>
      </c>
      <c r="E119" s="11" t="s">
        <v>25</v>
      </c>
      <c r="F119" s="11" t="s">
        <v>26</v>
      </c>
      <c r="G119" s="11" t="s">
        <v>37</v>
      </c>
      <c r="H119" s="11" t="s">
        <v>206</v>
      </c>
      <c r="I119" s="12">
        <v>17.14</v>
      </c>
      <c r="J119" s="13"/>
      <c r="K119" s="13">
        <f t="shared" si="2"/>
        <v>17.14</v>
      </c>
      <c r="L119" s="11" t="s">
        <v>34</v>
      </c>
      <c r="M119" s="14"/>
      <c r="N119" s="11" t="s">
        <v>95</v>
      </c>
      <c r="O119" s="10" t="str">
        <f t="shared" si="3"/>
        <v>08/2024</v>
      </c>
      <c r="P119" s="10" t="str">
        <f t="shared" si="14"/>
        <v>08/2024</v>
      </c>
      <c r="Q119" s="15" t="str">
        <f t="array" ref="Q119">IFERROR(XLOOKUP(N119,'Classificação'!A:A,'Classificação'!B:B),"")</f>
        <v>DESPESAS NÃO OPERACIONAIS</v>
      </c>
      <c r="R119" s="15" t="str">
        <f t="array" ref="R119">IFERROR(XLOOKUP(Q119,'Classificação'!B:B,'Classificação'!C:C),"")</f>
        <v>RESULTADO NÃO OPERACIONAL (+/-)</v>
      </c>
      <c r="S119" s="15">
        <f t="shared" si="5"/>
        <v>25</v>
      </c>
      <c r="T119" s="15">
        <f t="shared" si="6"/>
        <v>8</v>
      </c>
      <c r="U119" s="15">
        <f t="shared" si="7"/>
        <v>2024</v>
      </c>
      <c r="V119" s="15">
        <f t="shared" si="8"/>
        <v>25</v>
      </c>
      <c r="W119" s="15">
        <f t="shared" si="9"/>
        <v>8</v>
      </c>
      <c r="X119" s="15">
        <f t="shared" si="10"/>
        <v>2024</v>
      </c>
    </row>
    <row r="120">
      <c r="A120" s="9">
        <v>45529.0</v>
      </c>
      <c r="B120" s="10"/>
      <c r="C120" s="9">
        <f t="shared" si="11"/>
        <v>45529</v>
      </c>
      <c r="D120" s="11" t="s">
        <v>65</v>
      </c>
      <c r="E120" s="11" t="s">
        <v>25</v>
      </c>
      <c r="F120" s="11" t="s">
        <v>26</v>
      </c>
      <c r="G120" s="11" t="s">
        <v>37</v>
      </c>
      <c r="H120" s="11" t="s">
        <v>207</v>
      </c>
      <c r="I120" s="12">
        <v>15.14</v>
      </c>
      <c r="J120" s="13"/>
      <c r="K120" s="13">
        <f t="shared" si="2"/>
        <v>15.14</v>
      </c>
      <c r="L120" s="11" t="s">
        <v>34</v>
      </c>
      <c r="M120" s="14"/>
      <c r="N120" s="11" t="s">
        <v>95</v>
      </c>
      <c r="O120" s="10" t="str">
        <f t="shared" si="3"/>
        <v>08/2024</v>
      </c>
      <c r="P120" s="10" t="str">
        <f t="shared" si="14"/>
        <v>08/2024</v>
      </c>
      <c r="Q120" s="15" t="str">
        <f t="array" ref="Q120">IFERROR(XLOOKUP(N120,'Classificação'!A:A,'Classificação'!B:B),"")</f>
        <v>DESPESAS NÃO OPERACIONAIS</v>
      </c>
      <c r="R120" s="15" t="str">
        <f t="array" ref="R120">IFERROR(XLOOKUP(Q120,'Classificação'!B:B,'Classificação'!C:C),"")</f>
        <v>RESULTADO NÃO OPERACIONAL (+/-)</v>
      </c>
      <c r="S120" s="15">
        <f t="shared" si="5"/>
        <v>25</v>
      </c>
      <c r="T120" s="15">
        <f t="shared" si="6"/>
        <v>8</v>
      </c>
      <c r="U120" s="15">
        <f t="shared" si="7"/>
        <v>2024</v>
      </c>
      <c r="V120" s="15">
        <f t="shared" si="8"/>
        <v>25</v>
      </c>
      <c r="W120" s="15">
        <f t="shared" si="9"/>
        <v>8</v>
      </c>
      <c r="X120" s="15">
        <f t="shared" si="10"/>
        <v>2024</v>
      </c>
    </row>
    <row r="121">
      <c r="A121" s="9">
        <v>45530.0</v>
      </c>
      <c r="B121" s="10"/>
      <c r="C121" s="9">
        <f t="shared" si="11"/>
        <v>45530</v>
      </c>
      <c r="D121" s="11" t="s">
        <v>208</v>
      </c>
      <c r="E121" s="11" t="s">
        <v>25</v>
      </c>
      <c r="F121" s="11" t="s">
        <v>40</v>
      </c>
      <c r="G121" s="11" t="s">
        <v>27</v>
      </c>
      <c r="H121" s="11" t="s">
        <v>209</v>
      </c>
      <c r="I121" s="12">
        <v>164.97</v>
      </c>
      <c r="J121" s="13"/>
      <c r="K121" s="13">
        <f t="shared" si="2"/>
        <v>164.97</v>
      </c>
      <c r="L121" s="11" t="s">
        <v>29</v>
      </c>
      <c r="M121" s="14"/>
      <c r="N121" s="11" t="s">
        <v>210</v>
      </c>
      <c r="O121" s="10" t="str">
        <f t="shared" si="3"/>
        <v>08/2024</v>
      </c>
      <c r="P121" s="10" t="str">
        <f t="shared" si="14"/>
        <v>08/2024</v>
      </c>
      <c r="Q121" s="15" t="str">
        <f t="array" ref="Q121">IFERROR(XLOOKUP(N121,'Classificação'!A:A,'Classificação'!B:B),"")</f>
        <v>DESPESAS COM OCUPAÇÃO</v>
      </c>
      <c r="R121" s="15" t="str">
        <f t="array" ref="R121">IFERROR(XLOOKUP(Q121,'Classificação'!B:B,'Classificação'!C:C),"")</f>
        <v>DESPESAS FIXAS (-)</v>
      </c>
      <c r="S121" s="15">
        <f t="shared" si="5"/>
        <v>26</v>
      </c>
      <c r="T121" s="15">
        <f t="shared" si="6"/>
        <v>8</v>
      </c>
      <c r="U121" s="15">
        <f t="shared" si="7"/>
        <v>2024</v>
      </c>
      <c r="V121" s="15">
        <f t="shared" si="8"/>
        <v>26</v>
      </c>
      <c r="W121" s="15">
        <f t="shared" si="9"/>
        <v>8</v>
      </c>
      <c r="X121" s="15">
        <f t="shared" si="10"/>
        <v>2024</v>
      </c>
    </row>
    <row r="122">
      <c r="A122" s="9">
        <v>45530.0</v>
      </c>
      <c r="B122" s="10"/>
      <c r="C122" s="9">
        <f t="shared" si="11"/>
        <v>45530</v>
      </c>
      <c r="D122" s="11" t="s">
        <v>36</v>
      </c>
      <c r="E122" s="11" t="s">
        <v>25</v>
      </c>
      <c r="F122" s="11" t="s">
        <v>26</v>
      </c>
      <c r="G122" s="11" t="s">
        <v>27</v>
      </c>
      <c r="H122" s="11" t="s">
        <v>211</v>
      </c>
      <c r="I122" s="12">
        <v>2500.0</v>
      </c>
      <c r="J122" s="13"/>
      <c r="K122" s="13">
        <f t="shared" si="2"/>
        <v>2500</v>
      </c>
      <c r="L122" s="11" t="s">
        <v>34</v>
      </c>
      <c r="M122" s="14"/>
      <c r="N122" s="11" t="s">
        <v>212</v>
      </c>
      <c r="O122" s="10" t="str">
        <f t="shared" si="3"/>
        <v>08/2024</v>
      </c>
      <c r="P122" s="10"/>
      <c r="Q122" s="15" t="str">
        <f t="array" ref="Q122">IFERROR(XLOOKUP(N122,'Classificação'!A:A,'Classificação'!B:B),"")</f>
        <v>DESPESAS NÃO OPERACIONAIS</v>
      </c>
      <c r="R122" s="15" t="str">
        <f t="array" ref="R122">IFERROR(XLOOKUP(Q122,'Classificação'!B:B,'Classificação'!C:C),"")</f>
        <v>RESULTADO NÃO OPERACIONAL (+/-)</v>
      </c>
      <c r="S122" s="15">
        <f t="shared" si="5"/>
        <v>26</v>
      </c>
      <c r="T122" s="15">
        <f t="shared" si="6"/>
        <v>8</v>
      </c>
      <c r="U122" s="15">
        <f t="shared" si="7"/>
        <v>2024</v>
      </c>
      <c r="V122" s="15">
        <f t="shared" si="8"/>
        <v>26</v>
      </c>
      <c r="W122" s="15">
        <f t="shared" si="9"/>
        <v>8</v>
      </c>
      <c r="X122" s="15">
        <f t="shared" si="10"/>
        <v>2024</v>
      </c>
    </row>
    <row r="123">
      <c r="A123" s="9">
        <v>45531.0</v>
      </c>
      <c r="B123" s="10"/>
      <c r="C123" s="9">
        <f t="shared" si="11"/>
        <v>45531</v>
      </c>
      <c r="D123" s="11" t="s">
        <v>213</v>
      </c>
      <c r="E123" s="11" t="s">
        <v>25</v>
      </c>
      <c r="F123" s="11" t="s">
        <v>26</v>
      </c>
      <c r="G123" s="11" t="s">
        <v>37</v>
      </c>
      <c r="H123" s="11" t="s">
        <v>214</v>
      </c>
      <c r="I123" s="12">
        <v>32.0</v>
      </c>
      <c r="J123" s="13"/>
      <c r="K123" s="13">
        <f t="shared" si="2"/>
        <v>32</v>
      </c>
      <c r="L123" s="11" t="s">
        <v>34</v>
      </c>
      <c r="M123" s="14"/>
      <c r="N123" s="11" t="s">
        <v>68</v>
      </c>
      <c r="O123" s="10" t="str">
        <f t="shared" si="3"/>
        <v>08/2024</v>
      </c>
      <c r="P123" s="10"/>
      <c r="Q123" s="15" t="str">
        <f t="array" ref="Q123">IFERROR(XLOOKUP(N123,'Classificação'!A:A,'Classificação'!B:B),"")</f>
        <v>FRETE DE VENDAS</v>
      </c>
      <c r="R123" s="15" t="str">
        <f t="array" ref="R123">IFERROR(XLOOKUP(Q123,'Classificação'!B:B,'Classificação'!C:C),"")</f>
        <v>CUSTOS VARIÁVEIS</v>
      </c>
      <c r="S123" s="15">
        <f t="shared" si="5"/>
        <v>27</v>
      </c>
      <c r="T123" s="15">
        <f t="shared" si="6"/>
        <v>8</v>
      </c>
      <c r="U123" s="15">
        <f t="shared" si="7"/>
        <v>2024</v>
      </c>
      <c r="V123" s="15">
        <f t="shared" si="8"/>
        <v>27</v>
      </c>
      <c r="W123" s="15">
        <f t="shared" si="9"/>
        <v>8</v>
      </c>
      <c r="X123" s="15">
        <f t="shared" si="10"/>
        <v>2024</v>
      </c>
    </row>
    <row r="124">
      <c r="A124" s="9">
        <v>45532.0</v>
      </c>
      <c r="B124" s="10"/>
      <c r="C124" s="9">
        <f t="shared" si="11"/>
        <v>45532</v>
      </c>
      <c r="D124" s="11" t="s">
        <v>86</v>
      </c>
      <c r="E124" s="11" t="s">
        <v>25</v>
      </c>
      <c r="F124" s="11" t="s">
        <v>87</v>
      </c>
      <c r="G124" s="11" t="s">
        <v>27</v>
      </c>
      <c r="H124" s="11" t="s">
        <v>215</v>
      </c>
      <c r="I124" s="12">
        <v>2346.57</v>
      </c>
      <c r="J124" s="13"/>
      <c r="K124" s="13">
        <f t="shared" si="2"/>
        <v>2346.57</v>
      </c>
      <c r="L124" s="11" t="s">
        <v>53</v>
      </c>
      <c r="M124" s="17">
        <v>45323.0</v>
      </c>
      <c r="N124" s="11" t="s">
        <v>35</v>
      </c>
      <c r="O124" s="10" t="str">
        <f t="shared" si="3"/>
        <v>08/2024</v>
      </c>
      <c r="P124" s="10" t="str">
        <f t="shared" ref="P124:P126" si="15">if(C124="","", TEXT(C124,"mm/yyyy"))</f>
        <v>08/2024</v>
      </c>
      <c r="Q124" s="15" t="str">
        <f t="array" ref="Q124">IFERROR(XLOOKUP(N124,'Classificação'!A:A,'Classificação'!B:B),"")</f>
        <v>COMPRA DE MERCADORIA</v>
      </c>
      <c r="R124" s="15" t="str">
        <f t="array" ref="R124">IFERROR(XLOOKUP(Q124,'Classificação'!B:B,'Classificação'!C:C),"")</f>
        <v>CUSTOS VARIÁVEIS</v>
      </c>
      <c r="S124" s="15">
        <f t="shared" si="5"/>
        <v>28</v>
      </c>
      <c r="T124" s="15">
        <f t="shared" si="6"/>
        <v>8</v>
      </c>
      <c r="U124" s="15">
        <f t="shared" si="7"/>
        <v>2024</v>
      </c>
      <c r="V124" s="15">
        <f t="shared" si="8"/>
        <v>28</v>
      </c>
      <c r="W124" s="15">
        <f t="shared" si="9"/>
        <v>8</v>
      </c>
      <c r="X124" s="15">
        <f t="shared" si="10"/>
        <v>2024</v>
      </c>
    </row>
    <row r="125">
      <c r="A125" s="9">
        <v>45532.0</v>
      </c>
      <c r="B125" s="10"/>
      <c r="C125" s="9">
        <f t="shared" si="11"/>
        <v>45532</v>
      </c>
      <c r="D125" s="11" t="s">
        <v>83</v>
      </c>
      <c r="E125" s="11" t="s">
        <v>25</v>
      </c>
      <c r="F125" s="11" t="s">
        <v>40</v>
      </c>
      <c r="G125" s="11" t="s">
        <v>27</v>
      </c>
      <c r="I125" s="12">
        <v>330.0</v>
      </c>
      <c r="J125" s="13"/>
      <c r="K125" s="13">
        <f t="shared" si="2"/>
        <v>330</v>
      </c>
      <c r="L125" s="11" t="s">
        <v>29</v>
      </c>
      <c r="M125" s="14"/>
      <c r="N125" s="11" t="s">
        <v>204</v>
      </c>
      <c r="O125" s="10" t="str">
        <f t="shared" si="3"/>
        <v>08/2024</v>
      </c>
      <c r="P125" s="10" t="str">
        <f t="shared" si="15"/>
        <v>08/2024</v>
      </c>
      <c r="Q125" s="15" t="str">
        <f t="array" ref="Q125">IFERROR(XLOOKUP(N125,'Classificação'!A:A,'Classificação'!B:B),"")</f>
        <v>DESPESAS COM PESSOAL</v>
      </c>
      <c r="R125" s="15" t="str">
        <f t="array" ref="R125">IFERROR(XLOOKUP(Q125,'Classificação'!B:B,'Classificação'!C:C),"")</f>
        <v>DESPESAS FIXAS (-)</v>
      </c>
      <c r="S125" s="15">
        <f t="shared" si="5"/>
        <v>28</v>
      </c>
      <c r="T125" s="15">
        <f t="shared" si="6"/>
        <v>8</v>
      </c>
      <c r="U125" s="15">
        <f t="shared" si="7"/>
        <v>2024</v>
      </c>
      <c r="V125" s="15">
        <f t="shared" si="8"/>
        <v>28</v>
      </c>
      <c r="W125" s="15">
        <f t="shared" si="9"/>
        <v>8</v>
      </c>
      <c r="X125" s="15">
        <f t="shared" si="10"/>
        <v>2024</v>
      </c>
    </row>
    <row r="126">
      <c r="A126" s="9">
        <v>45532.0</v>
      </c>
      <c r="B126" s="10"/>
      <c r="C126" s="9">
        <f t="shared" si="11"/>
        <v>45532</v>
      </c>
      <c r="D126" s="11" t="s">
        <v>80</v>
      </c>
      <c r="E126" s="11" t="s">
        <v>25</v>
      </c>
      <c r="F126" s="11" t="s">
        <v>40</v>
      </c>
      <c r="G126" s="11" t="s">
        <v>27</v>
      </c>
      <c r="I126" s="12">
        <v>330.0</v>
      </c>
      <c r="J126" s="13"/>
      <c r="K126" s="13">
        <f t="shared" si="2"/>
        <v>330</v>
      </c>
      <c r="L126" s="11" t="s">
        <v>29</v>
      </c>
      <c r="M126" s="14"/>
      <c r="N126" s="11" t="s">
        <v>204</v>
      </c>
      <c r="O126" s="10" t="str">
        <f t="shared" si="3"/>
        <v>08/2024</v>
      </c>
      <c r="P126" s="10" t="str">
        <f t="shared" si="15"/>
        <v>08/2024</v>
      </c>
      <c r="Q126" s="15" t="str">
        <f t="array" ref="Q126">IFERROR(XLOOKUP(N126,'Classificação'!A:A,'Classificação'!B:B),"")</f>
        <v>DESPESAS COM PESSOAL</v>
      </c>
      <c r="R126" s="15" t="str">
        <f t="array" ref="R126">IFERROR(XLOOKUP(Q126,'Classificação'!B:B,'Classificação'!C:C),"")</f>
        <v>DESPESAS FIXAS (-)</v>
      </c>
      <c r="S126" s="15">
        <f t="shared" si="5"/>
        <v>28</v>
      </c>
      <c r="T126" s="15">
        <f t="shared" si="6"/>
        <v>8</v>
      </c>
      <c r="U126" s="15">
        <f t="shared" si="7"/>
        <v>2024</v>
      </c>
      <c r="V126" s="15">
        <f t="shared" si="8"/>
        <v>28</v>
      </c>
      <c r="W126" s="15">
        <f t="shared" si="9"/>
        <v>8</v>
      </c>
      <c r="X126" s="15">
        <f t="shared" si="10"/>
        <v>2024</v>
      </c>
    </row>
    <row r="127">
      <c r="A127" s="9">
        <v>45532.0</v>
      </c>
      <c r="B127" s="9">
        <v>45532.0</v>
      </c>
      <c r="C127" s="9">
        <f t="shared" si="11"/>
        <v>45532</v>
      </c>
      <c r="D127" s="11" t="s">
        <v>216</v>
      </c>
      <c r="E127" s="11" t="s">
        <v>25</v>
      </c>
      <c r="F127" s="11" t="s">
        <v>26</v>
      </c>
      <c r="G127" s="11" t="s">
        <v>37</v>
      </c>
      <c r="H127" s="11" t="s">
        <v>217</v>
      </c>
      <c r="I127" s="12">
        <v>80.0</v>
      </c>
      <c r="J127" s="13"/>
      <c r="K127" s="13">
        <f t="shared" si="2"/>
        <v>80</v>
      </c>
      <c r="L127" s="11" t="s">
        <v>34</v>
      </c>
      <c r="M127" s="14"/>
      <c r="N127" s="11" t="s">
        <v>218</v>
      </c>
      <c r="O127" s="10" t="str">
        <f t="shared" si="3"/>
        <v>08/2024</v>
      </c>
      <c r="P127" s="10"/>
      <c r="Q127" s="15" t="str">
        <f t="array" ref="Q127">IFERROR(XLOOKUP(N127,'Classificação'!A:A,'Classificação'!B:B),"")</f>
        <v>DESPESAS COM VIAGENS</v>
      </c>
      <c r="R127" s="15" t="str">
        <f t="array" ref="R127">IFERROR(XLOOKUP(Q127,'Classificação'!B:B,'Classificação'!C:C),"")</f>
        <v>DESPESAS FIXAS (-)</v>
      </c>
      <c r="S127" s="15">
        <f t="shared" si="5"/>
        <v>28</v>
      </c>
      <c r="T127" s="15">
        <f t="shared" si="6"/>
        <v>8</v>
      </c>
      <c r="U127" s="15">
        <f t="shared" si="7"/>
        <v>2024</v>
      </c>
      <c r="V127" s="15">
        <f t="shared" si="8"/>
        <v>28</v>
      </c>
      <c r="W127" s="15">
        <f t="shared" si="9"/>
        <v>8</v>
      </c>
      <c r="X127" s="15">
        <f t="shared" si="10"/>
        <v>2024</v>
      </c>
    </row>
    <row r="128" ht="16.5" customHeight="1">
      <c r="A128" s="9">
        <v>45533.0</v>
      </c>
      <c r="B128" s="10"/>
      <c r="C128" s="9">
        <f t="shared" si="11"/>
        <v>45533</v>
      </c>
      <c r="D128" s="11" t="s">
        <v>219</v>
      </c>
      <c r="E128" s="11" t="s">
        <v>25</v>
      </c>
      <c r="F128" s="11" t="s">
        <v>40</v>
      </c>
      <c r="G128" s="11" t="s">
        <v>27</v>
      </c>
      <c r="H128" s="11" t="s">
        <v>220</v>
      </c>
      <c r="I128" s="12">
        <v>6033.3</v>
      </c>
      <c r="J128" s="13"/>
      <c r="K128" s="13">
        <f t="shared" si="2"/>
        <v>6033.3</v>
      </c>
      <c r="L128" s="11" t="s">
        <v>53</v>
      </c>
      <c r="M128" s="17">
        <v>45352.0</v>
      </c>
      <c r="N128" s="11" t="s">
        <v>35</v>
      </c>
      <c r="O128" s="10" t="str">
        <f t="shared" si="3"/>
        <v>08/2024</v>
      </c>
      <c r="P128" s="10" t="str">
        <f t="shared" ref="P128:P138" si="16">if(C128="","", TEXT(C128,"mm/yyyy"))</f>
        <v>08/2024</v>
      </c>
      <c r="Q128" s="15" t="str">
        <f t="array" ref="Q128">IFERROR(XLOOKUP(N128,'Classificação'!A:A,'Classificação'!B:B),"")</f>
        <v>COMPRA DE MERCADORIA</v>
      </c>
      <c r="R128" s="15" t="str">
        <f t="array" ref="R128">IFERROR(XLOOKUP(Q128,'Classificação'!B:B,'Classificação'!C:C),"")</f>
        <v>CUSTOS VARIÁVEIS</v>
      </c>
      <c r="S128" s="15">
        <f t="shared" si="5"/>
        <v>29</v>
      </c>
      <c r="T128" s="15">
        <f t="shared" si="6"/>
        <v>8</v>
      </c>
      <c r="U128" s="15">
        <f t="shared" si="7"/>
        <v>2024</v>
      </c>
      <c r="V128" s="15">
        <f t="shared" si="8"/>
        <v>29</v>
      </c>
      <c r="W128" s="15">
        <f t="shared" si="9"/>
        <v>8</v>
      </c>
      <c r="X128" s="15">
        <f t="shared" si="10"/>
        <v>2024</v>
      </c>
    </row>
    <row r="129">
      <c r="A129" s="9">
        <v>45533.0</v>
      </c>
      <c r="B129" s="10"/>
      <c r="C129" s="9">
        <f t="shared" si="11"/>
        <v>45533</v>
      </c>
      <c r="D129" s="11" t="s">
        <v>221</v>
      </c>
      <c r="E129" s="11" t="s">
        <v>25</v>
      </c>
      <c r="F129" s="11" t="s">
        <v>32</v>
      </c>
      <c r="G129" s="11" t="s">
        <v>27</v>
      </c>
      <c r="H129" s="11" t="s">
        <v>222</v>
      </c>
      <c r="I129" s="12">
        <v>360.54</v>
      </c>
      <c r="J129" s="13"/>
      <c r="K129" s="13">
        <f t="shared" si="2"/>
        <v>360.54</v>
      </c>
      <c r="L129" s="11" t="s">
        <v>29</v>
      </c>
      <c r="M129" s="14"/>
      <c r="N129" s="11" t="s">
        <v>61</v>
      </c>
      <c r="O129" s="10" t="str">
        <f t="shared" si="3"/>
        <v>08/2024</v>
      </c>
      <c r="P129" s="10" t="str">
        <f t="shared" si="16"/>
        <v>08/2024</v>
      </c>
      <c r="Q129" s="15" t="str">
        <f t="array" ref="Q129">IFERROR(XLOOKUP(N129,'Classificação'!A:A,'Classificação'!B:B),"")</f>
        <v>DESPESAS ADMINISTRATIVAS</v>
      </c>
      <c r="R129" s="15" t="str">
        <f t="array" ref="R129">IFERROR(XLOOKUP(Q129,'Classificação'!B:B,'Classificação'!C:C),"")</f>
        <v>DESPESAS FIXAS (-)</v>
      </c>
      <c r="S129" s="15">
        <f t="shared" si="5"/>
        <v>29</v>
      </c>
      <c r="T129" s="15">
        <f t="shared" si="6"/>
        <v>8</v>
      </c>
      <c r="U129" s="15">
        <f t="shared" si="7"/>
        <v>2024</v>
      </c>
      <c r="V129" s="15">
        <f t="shared" si="8"/>
        <v>29</v>
      </c>
      <c r="W129" s="15">
        <f t="shared" si="9"/>
        <v>8</v>
      </c>
      <c r="X129" s="15">
        <f t="shared" si="10"/>
        <v>2024</v>
      </c>
    </row>
    <row r="130">
      <c r="A130" s="9">
        <v>45534.0</v>
      </c>
      <c r="B130" s="10"/>
      <c r="C130" s="9">
        <f t="shared" si="11"/>
        <v>45534</v>
      </c>
      <c r="D130" s="11" t="s">
        <v>74</v>
      </c>
      <c r="E130" s="11" t="s">
        <v>25</v>
      </c>
      <c r="F130" s="11" t="s">
        <v>32</v>
      </c>
      <c r="G130" s="11" t="s">
        <v>27</v>
      </c>
      <c r="I130" s="12">
        <v>1297.3</v>
      </c>
      <c r="J130" s="13"/>
      <c r="K130" s="13">
        <f t="shared" si="2"/>
        <v>1297.3</v>
      </c>
      <c r="L130" s="11" t="s">
        <v>29</v>
      </c>
      <c r="M130" s="14"/>
      <c r="N130" s="11" t="s">
        <v>38</v>
      </c>
      <c r="O130" s="10" t="str">
        <f t="shared" si="3"/>
        <v>08/2024</v>
      </c>
      <c r="P130" s="10" t="str">
        <f t="shared" si="16"/>
        <v>08/2024</v>
      </c>
      <c r="Q130" s="15" t="str">
        <f t="array" ref="Q130">IFERROR(XLOOKUP(N130,'Classificação'!A:A,'Classificação'!B:B),"")</f>
        <v>DESPESAS COM PESSOAL</v>
      </c>
      <c r="R130" s="15" t="str">
        <f t="array" ref="R130">IFERROR(XLOOKUP(Q130,'Classificação'!B:B,'Classificação'!C:C),"")</f>
        <v>DESPESAS FIXAS (-)</v>
      </c>
      <c r="S130" s="15">
        <f t="shared" si="5"/>
        <v>30</v>
      </c>
      <c r="T130" s="15">
        <f t="shared" si="6"/>
        <v>8</v>
      </c>
      <c r="U130" s="15">
        <f t="shared" si="7"/>
        <v>2024</v>
      </c>
      <c r="V130" s="15">
        <f t="shared" si="8"/>
        <v>30</v>
      </c>
      <c r="W130" s="15">
        <f t="shared" si="9"/>
        <v>8</v>
      </c>
      <c r="X130" s="15">
        <f t="shared" si="10"/>
        <v>2024</v>
      </c>
    </row>
    <row r="131">
      <c r="A131" s="9">
        <v>45534.0</v>
      </c>
      <c r="B131" s="10"/>
      <c r="C131" s="9">
        <v>45530.0</v>
      </c>
      <c r="D131" s="11" t="s">
        <v>79</v>
      </c>
      <c r="E131" s="11" t="s">
        <v>25</v>
      </c>
      <c r="F131" s="11" t="s">
        <v>26</v>
      </c>
      <c r="G131" s="11" t="s">
        <v>37</v>
      </c>
      <c r="I131" s="12">
        <v>750.0</v>
      </c>
      <c r="J131" s="13"/>
      <c r="K131" s="13">
        <f t="shared" si="2"/>
        <v>750</v>
      </c>
      <c r="L131" s="11" t="s">
        <v>29</v>
      </c>
      <c r="M131" s="14"/>
      <c r="N131" s="11" t="s">
        <v>38</v>
      </c>
      <c r="O131" s="10" t="str">
        <f t="shared" si="3"/>
        <v>08/2024</v>
      </c>
      <c r="P131" s="10" t="str">
        <f t="shared" si="16"/>
        <v>08/2024</v>
      </c>
      <c r="Q131" s="15" t="str">
        <f t="array" ref="Q131">IFERROR(XLOOKUP(N131,'Classificação'!A:A,'Classificação'!B:B),"")</f>
        <v>DESPESAS COM PESSOAL</v>
      </c>
      <c r="R131" s="15" t="str">
        <f t="array" ref="R131">IFERROR(XLOOKUP(Q131,'Classificação'!B:B,'Classificação'!C:C),"")</f>
        <v>DESPESAS FIXAS (-)</v>
      </c>
      <c r="S131" s="15">
        <f t="shared" si="5"/>
        <v>30</v>
      </c>
      <c r="T131" s="15">
        <f t="shared" si="6"/>
        <v>8</v>
      </c>
      <c r="U131" s="15">
        <f t="shared" si="7"/>
        <v>2024</v>
      </c>
      <c r="V131" s="15">
        <f t="shared" si="8"/>
        <v>26</v>
      </c>
      <c r="W131" s="15">
        <f t="shared" si="9"/>
        <v>8</v>
      </c>
      <c r="X131" s="15">
        <f t="shared" si="10"/>
        <v>2024</v>
      </c>
    </row>
    <row r="132">
      <c r="A132" s="9">
        <v>45534.0</v>
      </c>
      <c r="B132" s="10"/>
      <c r="C132" s="9">
        <f t="shared" ref="C132:C162" si="17">IF(E132="pago",A132,"")</f>
        <v>45534</v>
      </c>
      <c r="D132" s="11" t="s">
        <v>223</v>
      </c>
      <c r="E132" s="11" t="s">
        <v>25</v>
      </c>
      <c r="F132" s="11" t="s">
        <v>32</v>
      </c>
      <c r="G132" s="11" t="s">
        <v>27</v>
      </c>
      <c r="I132" s="12">
        <v>100.0</v>
      </c>
      <c r="J132" s="13"/>
      <c r="K132" s="13">
        <f t="shared" si="2"/>
        <v>100</v>
      </c>
      <c r="L132" s="11" t="s">
        <v>29</v>
      </c>
      <c r="M132" s="14"/>
      <c r="N132" s="11" t="s">
        <v>224</v>
      </c>
      <c r="O132" s="10" t="str">
        <f t="shared" si="3"/>
        <v>08/2024</v>
      </c>
      <c r="P132" s="10" t="str">
        <f t="shared" si="16"/>
        <v>08/2024</v>
      </c>
      <c r="Q132" s="15" t="str">
        <f t="array" ref="Q132">IFERROR(XLOOKUP(N132,'Classificação'!A:A,'Classificação'!B:B),"")</f>
        <v>DESPESAS ADMINISTRATIVAS</v>
      </c>
      <c r="R132" s="15" t="str">
        <f t="array" ref="R132">IFERROR(XLOOKUP(Q132,'Classificação'!B:B,'Classificação'!C:C),"")</f>
        <v>DESPESAS FIXAS (-)</v>
      </c>
      <c r="S132" s="15">
        <f t="shared" si="5"/>
        <v>30</v>
      </c>
      <c r="T132" s="15">
        <f t="shared" si="6"/>
        <v>8</v>
      </c>
      <c r="U132" s="15">
        <f t="shared" si="7"/>
        <v>2024</v>
      </c>
      <c r="V132" s="15">
        <f t="shared" si="8"/>
        <v>30</v>
      </c>
      <c r="W132" s="15">
        <f t="shared" si="9"/>
        <v>8</v>
      </c>
      <c r="X132" s="15">
        <f t="shared" si="10"/>
        <v>2024</v>
      </c>
    </row>
    <row r="133">
      <c r="A133" s="9">
        <v>45534.0</v>
      </c>
      <c r="B133" s="10"/>
      <c r="C133" s="9">
        <f t="shared" si="17"/>
        <v>45534</v>
      </c>
      <c r="D133" s="11" t="s">
        <v>80</v>
      </c>
      <c r="E133" s="11" t="s">
        <v>25</v>
      </c>
      <c r="F133" s="11" t="s">
        <v>32</v>
      </c>
      <c r="G133" s="11" t="s">
        <v>27</v>
      </c>
      <c r="H133" s="11" t="s">
        <v>225</v>
      </c>
      <c r="I133" s="12">
        <v>721.86</v>
      </c>
      <c r="J133" s="13"/>
      <c r="K133" s="13">
        <f t="shared" si="2"/>
        <v>721.86</v>
      </c>
      <c r="L133" s="11" t="s">
        <v>29</v>
      </c>
      <c r="M133" s="14"/>
      <c r="N133" s="11" t="s">
        <v>38</v>
      </c>
      <c r="O133" s="10" t="str">
        <f t="shared" si="3"/>
        <v>08/2024</v>
      </c>
      <c r="P133" s="10" t="str">
        <f t="shared" si="16"/>
        <v>08/2024</v>
      </c>
      <c r="Q133" s="15" t="str">
        <f t="array" ref="Q133">IFERROR(XLOOKUP(N133,'Classificação'!A:A,'Classificação'!B:B),"")</f>
        <v>DESPESAS COM PESSOAL</v>
      </c>
      <c r="R133" s="15" t="str">
        <f t="array" ref="R133">IFERROR(XLOOKUP(Q133,'Classificação'!B:B,'Classificação'!C:C),"")</f>
        <v>DESPESAS FIXAS (-)</v>
      </c>
      <c r="S133" s="15">
        <f t="shared" si="5"/>
        <v>30</v>
      </c>
      <c r="T133" s="15">
        <f t="shared" si="6"/>
        <v>8</v>
      </c>
      <c r="U133" s="15">
        <f t="shared" si="7"/>
        <v>2024</v>
      </c>
      <c r="V133" s="15">
        <f t="shared" si="8"/>
        <v>30</v>
      </c>
      <c r="W133" s="15">
        <f t="shared" si="9"/>
        <v>8</v>
      </c>
      <c r="X133" s="15">
        <f t="shared" si="10"/>
        <v>2024</v>
      </c>
    </row>
    <row r="134">
      <c r="A134" s="9">
        <v>45534.0</v>
      </c>
      <c r="B134" s="10"/>
      <c r="C134" s="9">
        <f t="shared" si="17"/>
        <v>45534</v>
      </c>
      <c r="D134" s="11" t="s">
        <v>83</v>
      </c>
      <c r="E134" s="11" t="s">
        <v>25</v>
      </c>
      <c r="F134" s="11" t="s">
        <v>40</v>
      </c>
      <c r="G134" s="11" t="s">
        <v>27</v>
      </c>
      <c r="I134" s="12">
        <v>1119.83</v>
      </c>
      <c r="J134" s="13"/>
      <c r="K134" s="13">
        <f t="shared" si="2"/>
        <v>1119.83</v>
      </c>
      <c r="L134" s="11" t="s">
        <v>29</v>
      </c>
      <c r="M134" s="14"/>
      <c r="N134" s="11" t="s">
        <v>38</v>
      </c>
      <c r="O134" s="10" t="str">
        <f t="shared" si="3"/>
        <v>08/2024</v>
      </c>
      <c r="P134" s="10" t="str">
        <f t="shared" si="16"/>
        <v>08/2024</v>
      </c>
      <c r="Q134" s="15" t="str">
        <f t="array" ref="Q134">IFERROR(XLOOKUP(N134,'Classificação'!A:A,'Classificação'!B:B),"")</f>
        <v>DESPESAS COM PESSOAL</v>
      </c>
      <c r="R134" s="15" t="str">
        <f t="array" ref="R134">IFERROR(XLOOKUP(Q134,'Classificação'!B:B,'Classificação'!C:C),"")</f>
        <v>DESPESAS FIXAS (-)</v>
      </c>
      <c r="S134" s="15">
        <f t="shared" si="5"/>
        <v>30</v>
      </c>
      <c r="T134" s="15">
        <f t="shared" si="6"/>
        <v>8</v>
      </c>
      <c r="U134" s="15">
        <f t="shared" si="7"/>
        <v>2024</v>
      </c>
      <c r="V134" s="15">
        <f t="shared" si="8"/>
        <v>30</v>
      </c>
      <c r="W134" s="15">
        <f t="shared" si="9"/>
        <v>8</v>
      </c>
      <c r="X134" s="15">
        <f t="shared" si="10"/>
        <v>2024</v>
      </c>
    </row>
    <row r="135">
      <c r="A135" s="9">
        <v>45534.0</v>
      </c>
      <c r="B135" s="10"/>
      <c r="C135" s="9">
        <f t="shared" si="17"/>
        <v>45534</v>
      </c>
      <c r="D135" s="11" t="s">
        <v>76</v>
      </c>
      <c r="E135" s="11" t="s">
        <v>25</v>
      </c>
      <c r="F135" s="11" t="s">
        <v>26</v>
      </c>
      <c r="G135" s="11" t="s">
        <v>27</v>
      </c>
      <c r="H135" s="11" t="s">
        <v>84</v>
      </c>
      <c r="I135" s="12">
        <v>2500.0</v>
      </c>
      <c r="J135" s="13"/>
      <c r="K135" s="13">
        <f t="shared" si="2"/>
        <v>2500</v>
      </c>
      <c r="L135" s="11" t="s">
        <v>53</v>
      </c>
      <c r="M135" s="17">
        <v>45512.0</v>
      </c>
      <c r="N135" s="11" t="s">
        <v>85</v>
      </c>
      <c r="O135" s="10" t="str">
        <f t="shared" si="3"/>
        <v>08/2024</v>
      </c>
      <c r="P135" s="10" t="str">
        <f t="shared" si="16"/>
        <v>08/2024</v>
      </c>
      <c r="Q135" s="15" t="str">
        <f t="array" ref="Q135">IFERROR(XLOOKUP(N135,'Classificação'!A:A,'Classificação'!B:B),"")</f>
        <v>DESPESAS NÃO OPERACIONAIS</v>
      </c>
      <c r="R135" s="15" t="str">
        <f t="array" ref="R135">IFERROR(XLOOKUP(Q135,'Classificação'!B:B,'Classificação'!C:C),"")</f>
        <v>RESULTADO NÃO OPERACIONAL (+/-)</v>
      </c>
      <c r="S135" s="15">
        <f t="shared" si="5"/>
        <v>30</v>
      </c>
      <c r="T135" s="15">
        <f t="shared" si="6"/>
        <v>8</v>
      </c>
      <c r="U135" s="15">
        <f t="shared" si="7"/>
        <v>2024</v>
      </c>
      <c r="V135" s="15">
        <f t="shared" si="8"/>
        <v>30</v>
      </c>
      <c r="W135" s="15">
        <f t="shared" si="9"/>
        <v>8</v>
      </c>
      <c r="X135" s="15">
        <f t="shared" si="10"/>
        <v>2024</v>
      </c>
    </row>
    <row r="136">
      <c r="A136" s="9">
        <v>45537.0</v>
      </c>
      <c r="B136" s="10"/>
      <c r="C136" s="9">
        <f t="shared" si="17"/>
        <v>45537</v>
      </c>
      <c r="D136" s="11" t="s">
        <v>24</v>
      </c>
      <c r="E136" s="11" t="s">
        <v>25</v>
      </c>
      <c r="F136" s="11" t="s">
        <v>26</v>
      </c>
      <c r="G136" s="11" t="s">
        <v>27</v>
      </c>
      <c r="H136" s="11" t="s">
        <v>28</v>
      </c>
      <c r="I136" s="12">
        <v>6000.63</v>
      </c>
      <c r="J136" s="13"/>
      <c r="K136" s="13">
        <f t="shared" si="2"/>
        <v>6000.63</v>
      </c>
      <c r="L136" s="11" t="s">
        <v>29</v>
      </c>
      <c r="M136" s="14"/>
      <c r="N136" s="11" t="s">
        <v>30</v>
      </c>
      <c r="O136" s="10" t="str">
        <f t="shared" si="3"/>
        <v>09/2024</v>
      </c>
      <c r="P136" s="10" t="str">
        <f t="shared" si="16"/>
        <v>09/2024</v>
      </c>
      <c r="Q136" s="15" t="str">
        <f t="array" ref="Q136">IFERROR(XLOOKUP(N136,'Classificação'!A:A,'Classificação'!B:B),"")</f>
        <v>DESPESAS COM OCUPAÇÃO</v>
      </c>
      <c r="R136" s="15" t="str">
        <f t="array" ref="R136">IFERROR(XLOOKUP(Q136,'Classificação'!B:B,'Classificação'!C:C),"")</f>
        <v>DESPESAS FIXAS (-)</v>
      </c>
      <c r="S136" s="15">
        <f t="shared" si="5"/>
        <v>2</v>
      </c>
      <c r="T136" s="15">
        <f t="shared" si="6"/>
        <v>9</v>
      </c>
      <c r="U136" s="15">
        <f t="shared" si="7"/>
        <v>2024</v>
      </c>
      <c r="V136" s="15">
        <f t="shared" si="8"/>
        <v>2</v>
      </c>
      <c r="W136" s="15">
        <f t="shared" si="9"/>
        <v>9</v>
      </c>
      <c r="X136" s="15">
        <f t="shared" si="10"/>
        <v>2024</v>
      </c>
    </row>
    <row r="137">
      <c r="A137" s="9">
        <v>45537.0</v>
      </c>
      <c r="B137" s="10"/>
      <c r="C137" s="9">
        <f t="shared" si="17"/>
        <v>45537</v>
      </c>
      <c r="D137" s="11" t="s">
        <v>44</v>
      </c>
      <c r="E137" s="11" t="s">
        <v>25</v>
      </c>
      <c r="F137" s="11" t="s">
        <v>45</v>
      </c>
      <c r="G137" s="11" t="s">
        <v>27</v>
      </c>
      <c r="H137" s="11" t="s">
        <v>226</v>
      </c>
      <c r="I137" s="12">
        <v>39.16</v>
      </c>
      <c r="J137" s="13"/>
      <c r="K137" s="13">
        <f t="shared" si="2"/>
        <v>39.16</v>
      </c>
      <c r="L137" s="11" t="s">
        <v>34</v>
      </c>
      <c r="M137" s="16"/>
      <c r="N137" s="11" t="s">
        <v>47</v>
      </c>
      <c r="O137" s="10" t="str">
        <f t="shared" si="3"/>
        <v>09/2024</v>
      </c>
      <c r="P137" s="10" t="str">
        <f t="shared" si="16"/>
        <v>09/2024</v>
      </c>
      <c r="Q137" s="15" t="str">
        <f t="array" ref="Q137">IFERROR(XLOOKUP(N137,'Classificação'!A:A,'Classificação'!B:B),"")</f>
        <v>DESPESAS NÃO OPERACIONAIS</v>
      </c>
      <c r="R137" s="15" t="str">
        <f t="array" ref="R137">IFERROR(XLOOKUP(Q137,'Classificação'!B:B,'Classificação'!C:C),"")</f>
        <v>RESULTADO NÃO OPERACIONAL (+/-)</v>
      </c>
      <c r="S137" s="15">
        <f t="shared" si="5"/>
        <v>2</v>
      </c>
      <c r="T137" s="15">
        <f t="shared" si="6"/>
        <v>9</v>
      </c>
      <c r="U137" s="15">
        <f t="shared" si="7"/>
        <v>2024</v>
      </c>
      <c r="V137" s="15">
        <f t="shared" si="8"/>
        <v>2</v>
      </c>
      <c r="W137" s="15">
        <f t="shared" si="9"/>
        <v>9</v>
      </c>
      <c r="X137" s="15">
        <f t="shared" si="10"/>
        <v>2024</v>
      </c>
    </row>
    <row r="138">
      <c r="A138" s="9">
        <v>45540.0</v>
      </c>
      <c r="B138" s="10"/>
      <c r="C138" s="9">
        <f t="shared" si="17"/>
        <v>45540</v>
      </c>
      <c r="D138" s="11" t="s">
        <v>76</v>
      </c>
      <c r="E138" s="11" t="s">
        <v>25</v>
      </c>
      <c r="F138" s="11" t="s">
        <v>26</v>
      </c>
      <c r="G138" s="11" t="s">
        <v>27</v>
      </c>
      <c r="H138" s="11" t="s">
        <v>84</v>
      </c>
      <c r="I138" s="24">
        <v>879.24</v>
      </c>
      <c r="J138" s="13"/>
      <c r="K138" s="13">
        <f t="shared" si="2"/>
        <v>879.24</v>
      </c>
      <c r="L138" s="11" t="s">
        <v>53</v>
      </c>
      <c r="M138" s="16" t="s">
        <v>227</v>
      </c>
      <c r="N138" s="11" t="s">
        <v>85</v>
      </c>
      <c r="O138" s="10" t="str">
        <f t="shared" si="3"/>
        <v>09/2024</v>
      </c>
      <c r="P138" s="10" t="str">
        <f t="shared" si="16"/>
        <v>09/2024</v>
      </c>
      <c r="Q138" s="15" t="str">
        <f t="array" ref="Q138">IFERROR(XLOOKUP(N138,'Classificação'!A:A,'Classificação'!B:B),"")</f>
        <v>DESPESAS NÃO OPERACIONAIS</v>
      </c>
      <c r="R138" s="15" t="str">
        <f t="array" ref="R138">IFERROR(XLOOKUP(Q138,'Classificação'!B:B,'Classificação'!C:C),"")</f>
        <v>RESULTADO NÃO OPERACIONAL (+/-)</v>
      </c>
      <c r="S138" s="15">
        <f t="shared" si="5"/>
        <v>5</v>
      </c>
      <c r="T138" s="15">
        <f t="shared" si="6"/>
        <v>9</v>
      </c>
      <c r="U138" s="15">
        <f t="shared" si="7"/>
        <v>2024</v>
      </c>
      <c r="V138" s="15">
        <f t="shared" si="8"/>
        <v>5</v>
      </c>
      <c r="W138" s="15">
        <f t="shared" si="9"/>
        <v>9</v>
      </c>
      <c r="X138" s="15">
        <f t="shared" si="10"/>
        <v>2024</v>
      </c>
    </row>
    <row r="139">
      <c r="A139" s="9">
        <v>45541.0</v>
      </c>
      <c r="B139" s="10"/>
      <c r="C139" s="9">
        <f t="shared" si="17"/>
        <v>45541</v>
      </c>
      <c r="D139" s="11" t="s">
        <v>228</v>
      </c>
      <c r="E139" s="11" t="s">
        <v>25</v>
      </c>
      <c r="F139" s="11" t="s">
        <v>32</v>
      </c>
      <c r="G139" s="11" t="s">
        <v>37</v>
      </c>
      <c r="H139" s="11" t="s">
        <v>229</v>
      </c>
      <c r="I139" s="12">
        <v>33728.48</v>
      </c>
      <c r="J139" s="13"/>
      <c r="K139" s="13">
        <f t="shared" si="2"/>
        <v>33728.48</v>
      </c>
      <c r="L139" s="11" t="s">
        <v>34</v>
      </c>
      <c r="M139" s="14"/>
      <c r="N139" s="11" t="s">
        <v>35</v>
      </c>
      <c r="O139" s="10" t="str">
        <f t="shared" si="3"/>
        <v>09/2024</v>
      </c>
      <c r="P139" s="10"/>
      <c r="Q139" s="15" t="str">
        <f t="array" ref="Q139">IFERROR(XLOOKUP(N139,'Classificação'!A:A,'Classificação'!B:B),"")</f>
        <v>COMPRA DE MERCADORIA</v>
      </c>
      <c r="R139" s="15" t="str">
        <f t="array" ref="R139">IFERROR(XLOOKUP(Q139,'Classificação'!B:B,'Classificação'!C:C),"")</f>
        <v>CUSTOS VARIÁVEIS</v>
      </c>
      <c r="S139" s="15">
        <f t="shared" si="5"/>
        <v>6</v>
      </c>
      <c r="T139" s="15">
        <f t="shared" si="6"/>
        <v>9</v>
      </c>
      <c r="U139" s="15">
        <f t="shared" si="7"/>
        <v>2024</v>
      </c>
      <c r="V139" s="15">
        <f t="shared" si="8"/>
        <v>6</v>
      </c>
      <c r="W139" s="15">
        <f t="shared" si="9"/>
        <v>9</v>
      </c>
      <c r="X139" s="15">
        <f t="shared" si="10"/>
        <v>2024</v>
      </c>
    </row>
    <row r="140" ht="18.0" customHeight="1">
      <c r="A140" s="9">
        <v>45541.0</v>
      </c>
      <c r="B140" s="10"/>
      <c r="C140" s="9">
        <f t="shared" si="17"/>
        <v>45541</v>
      </c>
      <c r="D140" s="11" t="s">
        <v>44</v>
      </c>
      <c r="E140" s="11" t="s">
        <v>25</v>
      </c>
      <c r="F140" s="11" t="s">
        <v>45</v>
      </c>
      <c r="G140" s="11" t="s">
        <v>27</v>
      </c>
      <c r="I140" s="12">
        <v>73.8</v>
      </c>
      <c r="J140" s="13"/>
      <c r="K140" s="13">
        <f t="shared" si="2"/>
        <v>73.8</v>
      </c>
      <c r="L140" s="11" t="s">
        <v>29</v>
      </c>
      <c r="M140" s="14"/>
      <c r="N140" s="11" t="s">
        <v>47</v>
      </c>
      <c r="O140" s="10" t="str">
        <f t="shared" si="3"/>
        <v>09/2024</v>
      </c>
      <c r="P140" s="10" t="str">
        <f>if(C140="","", TEXT(C140,"mm/yyyy"))</f>
        <v>09/2024</v>
      </c>
      <c r="Q140" s="15" t="str">
        <f t="array" ref="Q140">IFERROR(XLOOKUP(N140,'Classificação'!A:A,'Classificação'!B:B),"")</f>
        <v>DESPESAS NÃO OPERACIONAIS</v>
      </c>
      <c r="R140" s="15" t="str">
        <f t="array" ref="R140">IFERROR(XLOOKUP(Q140,'Classificação'!B:B,'Classificação'!C:C),"")</f>
        <v>RESULTADO NÃO OPERACIONAL (+/-)</v>
      </c>
      <c r="S140" s="15">
        <f t="shared" si="5"/>
        <v>6</v>
      </c>
      <c r="T140" s="15">
        <f t="shared" si="6"/>
        <v>9</v>
      </c>
      <c r="U140" s="15">
        <f t="shared" si="7"/>
        <v>2024</v>
      </c>
      <c r="V140" s="15">
        <f t="shared" si="8"/>
        <v>6</v>
      </c>
      <c r="W140" s="15">
        <f t="shared" si="9"/>
        <v>9</v>
      </c>
      <c r="X140" s="15">
        <f t="shared" si="10"/>
        <v>2024</v>
      </c>
    </row>
    <row r="141">
      <c r="A141" s="9">
        <v>45541.0</v>
      </c>
      <c r="B141" s="10"/>
      <c r="C141" s="9">
        <f t="shared" si="17"/>
        <v>45541</v>
      </c>
      <c r="D141" s="25" t="s">
        <v>228</v>
      </c>
      <c r="E141" s="11" t="s">
        <v>25</v>
      </c>
      <c r="F141" s="11" t="s">
        <v>32</v>
      </c>
      <c r="G141" s="11" t="s">
        <v>27</v>
      </c>
      <c r="H141" s="11" t="s">
        <v>230</v>
      </c>
      <c r="I141" s="12">
        <v>28000.0</v>
      </c>
      <c r="J141" s="13"/>
      <c r="K141" s="13">
        <f t="shared" si="2"/>
        <v>28000</v>
      </c>
      <c r="L141" s="11" t="s">
        <v>34</v>
      </c>
      <c r="M141" s="14"/>
      <c r="N141" s="11" t="s">
        <v>35</v>
      </c>
      <c r="O141" s="10" t="str">
        <f t="shared" si="3"/>
        <v>09/2024</v>
      </c>
      <c r="P141" s="10"/>
      <c r="Q141" s="15" t="str">
        <f t="array" ref="Q141">IFERROR(XLOOKUP(N141,'Classificação'!A:A,'Classificação'!B:B),"")</f>
        <v>COMPRA DE MERCADORIA</v>
      </c>
      <c r="R141" s="15" t="str">
        <f t="array" ref="R141">IFERROR(XLOOKUP(Q141,'Classificação'!B:B,'Classificação'!C:C),"")</f>
        <v>CUSTOS VARIÁVEIS</v>
      </c>
      <c r="S141" s="15">
        <f t="shared" si="5"/>
        <v>6</v>
      </c>
      <c r="T141" s="15">
        <f t="shared" si="6"/>
        <v>9</v>
      </c>
      <c r="U141" s="15">
        <f t="shared" si="7"/>
        <v>2024</v>
      </c>
      <c r="V141" s="15">
        <f t="shared" si="8"/>
        <v>6</v>
      </c>
      <c r="W141" s="15">
        <f t="shared" si="9"/>
        <v>9</v>
      </c>
      <c r="X141" s="15">
        <f t="shared" si="10"/>
        <v>2024</v>
      </c>
    </row>
    <row r="142">
      <c r="A142" s="9">
        <v>45544.0</v>
      </c>
      <c r="B142" s="10"/>
      <c r="C142" s="9">
        <f t="shared" si="17"/>
        <v>45544</v>
      </c>
      <c r="D142" s="11" t="s">
        <v>36</v>
      </c>
      <c r="E142" s="11" t="s">
        <v>25</v>
      </c>
      <c r="F142" s="11" t="s">
        <v>32</v>
      </c>
      <c r="G142" s="11" t="s">
        <v>27</v>
      </c>
      <c r="I142" s="12">
        <v>3700.0</v>
      </c>
      <c r="J142" s="13"/>
      <c r="K142" s="13">
        <f t="shared" si="2"/>
        <v>3700</v>
      </c>
      <c r="L142" s="11" t="s">
        <v>29</v>
      </c>
      <c r="M142" s="14"/>
      <c r="N142" s="11" t="s">
        <v>38</v>
      </c>
      <c r="O142" s="10" t="str">
        <f t="shared" si="3"/>
        <v>09/2024</v>
      </c>
      <c r="P142" s="10" t="str">
        <f t="shared" ref="P142:P143" si="18">if(C142="","", TEXT(C142,"mm/yyyy"))</f>
        <v>09/2024</v>
      </c>
      <c r="Q142" s="15" t="str">
        <f t="array" ref="Q142">IFERROR(XLOOKUP(N142,'Classificação'!A:A,'Classificação'!B:B),"")</f>
        <v>DESPESAS COM PESSOAL</v>
      </c>
      <c r="R142" s="15" t="str">
        <f t="array" ref="R142">IFERROR(XLOOKUP(Q142,'Classificação'!B:B,'Classificação'!C:C),"")</f>
        <v>DESPESAS FIXAS (-)</v>
      </c>
      <c r="S142" s="15">
        <f t="shared" si="5"/>
        <v>9</v>
      </c>
      <c r="T142" s="15">
        <f t="shared" si="6"/>
        <v>9</v>
      </c>
      <c r="U142" s="15">
        <f t="shared" si="7"/>
        <v>2024</v>
      </c>
      <c r="V142" s="15">
        <f t="shared" si="8"/>
        <v>9</v>
      </c>
      <c r="W142" s="15">
        <f t="shared" si="9"/>
        <v>9</v>
      </c>
      <c r="X142" s="15">
        <f t="shared" si="10"/>
        <v>2024</v>
      </c>
    </row>
    <row r="143">
      <c r="A143" s="9">
        <v>45544.0</v>
      </c>
      <c r="B143" s="10"/>
      <c r="C143" s="9">
        <f t="shared" si="17"/>
        <v>45544</v>
      </c>
      <c r="D143" s="11" t="s">
        <v>43</v>
      </c>
      <c r="E143" s="11" t="s">
        <v>25</v>
      </c>
      <c r="F143" s="11" t="s">
        <v>32</v>
      </c>
      <c r="G143" s="11" t="s">
        <v>27</v>
      </c>
      <c r="I143" s="12">
        <v>3699.0</v>
      </c>
      <c r="J143" s="13"/>
      <c r="K143" s="13">
        <f t="shared" si="2"/>
        <v>3699</v>
      </c>
      <c r="L143" s="11" t="s">
        <v>29</v>
      </c>
      <c r="M143" s="14"/>
      <c r="N143" s="11" t="s">
        <v>38</v>
      </c>
      <c r="O143" s="10" t="str">
        <f t="shared" si="3"/>
        <v>09/2024</v>
      </c>
      <c r="P143" s="10" t="str">
        <f t="shared" si="18"/>
        <v>09/2024</v>
      </c>
      <c r="Q143" s="15" t="str">
        <f t="array" ref="Q143">IFERROR(XLOOKUP(N143,'Classificação'!A:A,'Classificação'!B:B),"")</f>
        <v>DESPESAS COM PESSOAL</v>
      </c>
      <c r="R143" s="15" t="str">
        <f t="array" ref="R143">IFERROR(XLOOKUP(Q143,'Classificação'!B:B,'Classificação'!C:C),"")</f>
        <v>DESPESAS FIXAS (-)</v>
      </c>
      <c r="S143" s="15">
        <f t="shared" si="5"/>
        <v>9</v>
      </c>
      <c r="T143" s="15">
        <f t="shared" si="6"/>
        <v>9</v>
      </c>
      <c r="U143" s="15">
        <f t="shared" si="7"/>
        <v>2024</v>
      </c>
      <c r="V143" s="15">
        <f t="shared" si="8"/>
        <v>9</v>
      </c>
      <c r="W143" s="15">
        <f t="shared" si="9"/>
        <v>9</v>
      </c>
      <c r="X143" s="15">
        <f t="shared" si="10"/>
        <v>2024</v>
      </c>
    </row>
    <row r="144">
      <c r="A144" s="9">
        <v>45544.0</v>
      </c>
      <c r="B144" s="10"/>
      <c r="C144" s="9">
        <f t="shared" si="17"/>
        <v>45544</v>
      </c>
      <c r="D144" s="11" t="s">
        <v>231</v>
      </c>
      <c r="E144" s="11" t="s">
        <v>25</v>
      </c>
      <c r="F144" s="11" t="s">
        <v>40</v>
      </c>
      <c r="G144" s="11" t="s">
        <v>27</v>
      </c>
      <c r="H144" s="11" t="s">
        <v>232</v>
      </c>
      <c r="I144" s="12">
        <v>160.22</v>
      </c>
      <c r="J144" s="13"/>
      <c r="K144" s="13">
        <f t="shared" si="2"/>
        <v>160.22</v>
      </c>
      <c r="L144" s="11" t="s">
        <v>34</v>
      </c>
      <c r="M144" s="14"/>
      <c r="N144" s="11" t="s">
        <v>233</v>
      </c>
      <c r="O144" s="10" t="str">
        <f t="shared" si="3"/>
        <v>09/2024</v>
      </c>
      <c r="P144" s="10"/>
      <c r="Q144" s="15" t="str">
        <f t="array" ref="Q144">IFERROR(XLOOKUP(N144,'Classificação'!A:A,'Classificação'!B:B),"")</f>
        <v>DESPESAS COM VEICULOS</v>
      </c>
      <c r="R144" s="15" t="str">
        <f t="array" ref="R144">IFERROR(XLOOKUP(Q144,'Classificação'!B:B,'Classificação'!C:C),"")</f>
        <v>DESPESAS FIXAS (-)</v>
      </c>
      <c r="S144" s="15">
        <f t="shared" si="5"/>
        <v>9</v>
      </c>
      <c r="T144" s="15">
        <f t="shared" si="6"/>
        <v>9</v>
      </c>
      <c r="U144" s="15">
        <f t="shared" si="7"/>
        <v>2024</v>
      </c>
      <c r="V144" s="15">
        <f t="shared" si="8"/>
        <v>9</v>
      </c>
      <c r="W144" s="15">
        <f t="shared" si="9"/>
        <v>9</v>
      </c>
      <c r="X144" s="15">
        <f t="shared" si="10"/>
        <v>2024</v>
      </c>
    </row>
    <row r="145">
      <c r="A145" s="9">
        <v>45545.0</v>
      </c>
      <c r="B145" s="10"/>
      <c r="C145" s="9">
        <f t="shared" si="17"/>
        <v>45545</v>
      </c>
      <c r="D145" s="11" t="s">
        <v>48</v>
      </c>
      <c r="E145" s="11" t="s">
        <v>25</v>
      </c>
      <c r="F145" s="11" t="s">
        <v>40</v>
      </c>
      <c r="G145" s="11" t="s">
        <v>27</v>
      </c>
      <c r="I145" s="12">
        <v>1380.13</v>
      </c>
      <c r="J145" s="13"/>
      <c r="K145" s="13">
        <f t="shared" si="2"/>
        <v>1380.13</v>
      </c>
      <c r="L145" s="11" t="s">
        <v>29</v>
      </c>
      <c r="M145" s="14"/>
      <c r="N145" s="11" t="s">
        <v>49</v>
      </c>
      <c r="O145" s="10" t="str">
        <f t="shared" si="3"/>
        <v>09/2024</v>
      </c>
      <c r="P145" s="10" t="str">
        <f t="shared" ref="P145:P150" si="19">if(C145="","", TEXT(C145,"mm/yyyy"))</f>
        <v>09/2024</v>
      </c>
      <c r="Q145" s="15" t="str">
        <f t="array" ref="Q145">IFERROR(XLOOKUP(N145,'Classificação'!A:A,'Classificação'!B:B),"")</f>
        <v>DESPESAS COM PESSOAL</v>
      </c>
      <c r="R145" s="15" t="str">
        <f t="array" ref="R145">IFERROR(XLOOKUP(Q145,'Classificação'!B:B,'Classificação'!C:C),"")</f>
        <v>DESPESAS FIXAS (-)</v>
      </c>
      <c r="S145" s="15">
        <f t="shared" si="5"/>
        <v>10</v>
      </c>
      <c r="T145" s="15">
        <f t="shared" si="6"/>
        <v>9</v>
      </c>
      <c r="U145" s="15">
        <f t="shared" si="7"/>
        <v>2024</v>
      </c>
      <c r="V145" s="15">
        <f t="shared" si="8"/>
        <v>10</v>
      </c>
      <c r="W145" s="15">
        <f t="shared" si="9"/>
        <v>9</v>
      </c>
      <c r="X145" s="15">
        <f t="shared" si="10"/>
        <v>2024</v>
      </c>
    </row>
    <row r="146">
      <c r="A146" s="9">
        <v>45545.0</v>
      </c>
      <c r="B146" s="10"/>
      <c r="C146" s="9">
        <f t="shared" si="17"/>
        <v>45545</v>
      </c>
      <c r="D146" s="11" t="s">
        <v>50</v>
      </c>
      <c r="E146" s="11" t="s">
        <v>25</v>
      </c>
      <c r="F146" s="11" t="s">
        <v>40</v>
      </c>
      <c r="G146" s="11" t="s">
        <v>27</v>
      </c>
      <c r="H146" s="11" t="s">
        <v>51</v>
      </c>
      <c r="I146" s="12">
        <v>139.99</v>
      </c>
      <c r="J146" s="13"/>
      <c r="K146" s="13">
        <f t="shared" si="2"/>
        <v>139.99</v>
      </c>
      <c r="L146" s="11" t="s">
        <v>29</v>
      </c>
      <c r="M146" s="14"/>
      <c r="N146" s="11" t="s">
        <v>51</v>
      </c>
      <c r="O146" s="10" t="str">
        <f t="shared" si="3"/>
        <v>09/2024</v>
      </c>
      <c r="P146" s="10" t="str">
        <f t="shared" si="19"/>
        <v>09/2024</v>
      </c>
      <c r="Q146" s="15" t="str">
        <f t="array" ref="Q146">IFERROR(XLOOKUP(N146,'Classificação'!A:A,'Classificação'!B:B),"")</f>
        <v>DESPESAS COM OCUPAÇÃO</v>
      </c>
      <c r="R146" s="15" t="str">
        <f t="array" ref="R146">IFERROR(XLOOKUP(Q146,'Classificação'!B:B,'Classificação'!C:C),"")</f>
        <v>DESPESAS FIXAS (-)</v>
      </c>
      <c r="S146" s="15">
        <f t="shared" si="5"/>
        <v>10</v>
      </c>
      <c r="T146" s="15">
        <f t="shared" si="6"/>
        <v>9</v>
      </c>
      <c r="U146" s="15">
        <f t="shared" si="7"/>
        <v>2024</v>
      </c>
      <c r="V146" s="15">
        <f t="shared" si="8"/>
        <v>10</v>
      </c>
      <c r="W146" s="15">
        <f t="shared" si="9"/>
        <v>9</v>
      </c>
      <c r="X146" s="15">
        <f t="shared" si="10"/>
        <v>2024</v>
      </c>
    </row>
    <row r="147">
      <c r="A147" s="9">
        <v>45545.0</v>
      </c>
      <c r="B147" s="10"/>
      <c r="C147" s="9">
        <f t="shared" si="17"/>
        <v>45545</v>
      </c>
      <c r="D147" s="11" t="s">
        <v>59</v>
      </c>
      <c r="E147" s="11" t="s">
        <v>25</v>
      </c>
      <c r="F147" s="11" t="s">
        <v>40</v>
      </c>
      <c r="G147" s="11" t="s">
        <v>37</v>
      </c>
      <c r="H147" s="11" t="s">
        <v>60</v>
      </c>
      <c r="I147" s="12">
        <v>397.0</v>
      </c>
      <c r="J147" s="13"/>
      <c r="K147" s="13">
        <f t="shared" si="2"/>
        <v>397</v>
      </c>
      <c r="L147" s="11" t="s">
        <v>29</v>
      </c>
      <c r="M147" s="14"/>
      <c r="N147" s="11" t="s">
        <v>61</v>
      </c>
      <c r="O147" s="10" t="str">
        <f t="shared" si="3"/>
        <v>09/2024</v>
      </c>
      <c r="P147" s="10" t="str">
        <f t="shared" si="19"/>
        <v>09/2024</v>
      </c>
      <c r="Q147" s="15" t="str">
        <f t="array" ref="Q147">IFERROR(XLOOKUP(N147,'Classificação'!A:A,'Classificação'!B:B),"")</f>
        <v>DESPESAS ADMINISTRATIVAS</v>
      </c>
      <c r="R147" s="15" t="str">
        <f t="array" ref="R147">IFERROR(XLOOKUP(Q147,'Classificação'!B:B,'Classificação'!C:C),"")</f>
        <v>DESPESAS FIXAS (-)</v>
      </c>
      <c r="S147" s="15">
        <f t="shared" si="5"/>
        <v>10</v>
      </c>
      <c r="T147" s="15">
        <f t="shared" si="6"/>
        <v>9</v>
      </c>
      <c r="U147" s="15">
        <f t="shared" si="7"/>
        <v>2024</v>
      </c>
      <c r="V147" s="15">
        <f t="shared" si="8"/>
        <v>10</v>
      </c>
      <c r="W147" s="15">
        <f t="shared" si="9"/>
        <v>9</v>
      </c>
      <c r="X147" s="15">
        <f t="shared" si="10"/>
        <v>2024</v>
      </c>
    </row>
    <row r="148">
      <c r="A148" s="9">
        <v>45546.0</v>
      </c>
      <c r="B148" s="10"/>
      <c r="C148" s="9">
        <f t="shared" si="17"/>
        <v>45546</v>
      </c>
      <c r="D148" s="11" t="s">
        <v>44</v>
      </c>
      <c r="E148" s="11" t="s">
        <v>25</v>
      </c>
      <c r="F148" s="11" t="s">
        <v>45</v>
      </c>
      <c r="G148" s="11" t="s">
        <v>27</v>
      </c>
      <c r="H148" s="11" t="s">
        <v>52</v>
      </c>
      <c r="I148" s="12">
        <v>458.5</v>
      </c>
      <c r="J148" s="13"/>
      <c r="K148" s="13">
        <f t="shared" si="2"/>
        <v>458.5</v>
      </c>
      <c r="L148" s="11" t="s">
        <v>53</v>
      </c>
      <c r="M148" s="16" t="s">
        <v>234</v>
      </c>
      <c r="N148" s="11" t="s">
        <v>55</v>
      </c>
      <c r="O148" s="10" t="str">
        <f t="shared" si="3"/>
        <v>09/2024</v>
      </c>
      <c r="P148" s="10" t="str">
        <f t="shared" si="19"/>
        <v>09/2024</v>
      </c>
      <c r="Q148" s="15" t="str">
        <f t="array" ref="Q148">IFERROR(XLOOKUP(N148,'Classificação'!A:A,'Classificação'!B:B),"")</f>
        <v>DESPESAS NÃO OPERACIONAIS</v>
      </c>
      <c r="R148" s="15" t="str">
        <f t="array" ref="R148">IFERROR(XLOOKUP(Q148,'Classificação'!B:B,'Classificação'!C:C),"")</f>
        <v>RESULTADO NÃO OPERACIONAL (+/-)</v>
      </c>
      <c r="S148" s="15">
        <f t="shared" si="5"/>
        <v>11</v>
      </c>
      <c r="T148" s="15">
        <f t="shared" si="6"/>
        <v>9</v>
      </c>
      <c r="U148" s="15">
        <f t="shared" si="7"/>
        <v>2024</v>
      </c>
      <c r="V148" s="15">
        <f t="shared" si="8"/>
        <v>11</v>
      </c>
      <c r="W148" s="15">
        <f t="shared" si="9"/>
        <v>9</v>
      </c>
      <c r="X148" s="15">
        <f t="shared" si="10"/>
        <v>2024</v>
      </c>
    </row>
    <row r="149">
      <c r="A149" s="9">
        <v>45546.0</v>
      </c>
      <c r="B149" s="10"/>
      <c r="C149" s="9">
        <f t="shared" si="17"/>
        <v>45546</v>
      </c>
      <c r="D149" s="11" t="s">
        <v>65</v>
      </c>
      <c r="E149" s="11" t="s">
        <v>25</v>
      </c>
      <c r="F149" s="11" t="s">
        <v>45</v>
      </c>
      <c r="G149" s="11" t="s">
        <v>66</v>
      </c>
      <c r="H149" s="11" t="s">
        <v>67</v>
      </c>
      <c r="I149" s="12">
        <v>441.95</v>
      </c>
      <c r="J149" s="13"/>
      <c r="K149" s="13">
        <f t="shared" si="2"/>
        <v>441.95</v>
      </c>
      <c r="L149" s="11" t="s">
        <v>29</v>
      </c>
      <c r="M149" s="14"/>
      <c r="N149" s="11" t="s">
        <v>68</v>
      </c>
      <c r="O149" s="10" t="str">
        <f t="shared" si="3"/>
        <v>09/2024</v>
      </c>
      <c r="P149" s="10" t="str">
        <f t="shared" si="19"/>
        <v>09/2024</v>
      </c>
      <c r="Q149" s="15" t="str">
        <f t="array" ref="Q149">IFERROR(XLOOKUP(N149,'Classificação'!A:A,'Classificação'!B:B),"")</f>
        <v>FRETE DE VENDAS</v>
      </c>
      <c r="R149" s="15" t="str">
        <f t="array" ref="R149">IFERROR(XLOOKUP(Q149,'Classificação'!B:B,'Classificação'!C:C),"")</f>
        <v>CUSTOS VARIÁVEIS</v>
      </c>
      <c r="S149" s="15">
        <f t="shared" si="5"/>
        <v>11</v>
      </c>
      <c r="T149" s="15">
        <f t="shared" si="6"/>
        <v>9</v>
      </c>
      <c r="U149" s="15">
        <f t="shared" si="7"/>
        <v>2024</v>
      </c>
      <c r="V149" s="15">
        <f t="shared" si="8"/>
        <v>11</v>
      </c>
      <c r="W149" s="15">
        <f t="shared" si="9"/>
        <v>9</v>
      </c>
      <c r="X149" s="15">
        <f t="shared" si="10"/>
        <v>2024</v>
      </c>
    </row>
    <row r="150">
      <c r="A150" s="9">
        <v>45546.0</v>
      </c>
      <c r="B150" s="10"/>
      <c r="C150" s="9">
        <f t="shared" si="17"/>
        <v>45546</v>
      </c>
      <c r="D150" s="11" t="s">
        <v>44</v>
      </c>
      <c r="E150" s="11" t="s">
        <v>25</v>
      </c>
      <c r="F150" s="11" t="s">
        <v>45</v>
      </c>
      <c r="G150" s="11" t="s">
        <v>27</v>
      </c>
      <c r="H150" s="11" t="s">
        <v>235</v>
      </c>
      <c r="I150" s="12">
        <v>81970.1</v>
      </c>
      <c r="J150" s="13"/>
      <c r="K150" s="13">
        <f t="shared" si="2"/>
        <v>81970.1</v>
      </c>
      <c r="L150" s="11" t="s">
        <v>34</v>
      </c>
      <c r="M150" s="14"/>
      <c r="N150" s="11" t="s">
        <v>73</v>
      </c>
      <c r="O150" s="10" t="str">
        <f t="shared" si="3"/>
        <v>09/2024</v>
      </c>
      <c r="P150" s="10" t="str">
        <f t="shared" si="19"/>
        <v>09/2024</v>
      </c>
      <c r="Q150" s="15" t="str">
        <f t="array" ref="Q150">IFERROR(XLOOKUP(N150,'Classificação'!A:A,'Classificação'!B:B),"")</f>
        <v>DESPESAS NÃO OPERACIONAIS</v>
      </c>
      <c r="R150" s="15" t="str">
        <f t="array" ref="R150">IFERROR(XLOOKUP(Q150,'Classificação'!B:B,'Classificação'!C:C),"")</f>
        <v>RESULTADO NÃO OPERACIONAL (+/-)</v>
      </c>
      <c r="S150" s="15">
        <f t="shared" si="5"/>
        <v>11</v>
      </c>
      <c r="T150" s="15">
        <f t="shared" si="6"/>
        <v>9</v>
      </c>
      <c r="U150" s="15">
        <f t="shared" si="7"/>
        <v>2024</v>
      </c>
      <c r="V150" s="15">
        <f t="shared" si="8"/>
        <v>11</v>
      </c>
      <c r="W150" s="15">
        <f t="shared" si="9"/>
        <v>9</v>
      </c>
      <c r="X150" s="15">
        <f t="shared" si="10"/>
        <v>2024</v>
      </c>
    </row>
    <row r="151">
      <c r="A151" s="9">
        <v>45547.0</v>
      </c>
      <c r="B151" s="10"/>
      <c r="C151" s="9">
        <f t="shared" si="17"/>
        <v>45547</v>
      </c>
      <c r="D151" s="11" t="s">
        <v>56</v>
      </c>
      <c r="E151" s="11" t="s">
        <v>25</v>
      </c>
      <c r="F151" s="11" t="s">
        <v>26</v>
      </c>
      <c r="G151" s="11" t="s">
        <v>37</v>
      </c>
      <c r="H151" s="11" t="s">
        <v>57</v>
      </c>
      <c r="I151" s="12">
        <v>50.0</v>
      </c>
      <c r="J151" s="13"/>
      <c r="K151" s="13">
        <f t="shared" si="2"/>
        <v>50</v>
      </c>
      <c r="L151" s="11" t="s">
        <v>29</v>
      </c>
      <c r="M151" s="14"/>
      <c r="N151" s="11" t="s">
        <v>58</v>
      </c>
      <c r="O151" s="10" t="str">
        <f t="shared" si="3"/>
        <v>09/2024</v>
      </c>
      <c r="P151" s="10"/>
      <c r="Q151" s="15" t="str">
        <f t="array" ref="Q151">IFERROR(XLOOKUP(N151,'Classificação'!A:A,'Classificação'!B:B),"")</f>
        <v>DESPESAS ADMINISTRATIVAS</v>
      </c>
      <c r="R151" s="15" t="str">
        <f t="array" ref="R151">IFERROR(XLOOKUP(Q151,'Classificação'!B:B,'Classificação'!C:C),"")</f>
        <v>DESPESAS FIXAS (-)</v>
      </c>
      <c r="S151" s="15">
        <f t="shared" si="5"/>
        <v>12</v>
      </c>
      <c r="T151" s="15">
        <f t="shared" si="6"/>
        <v>9</v>
      </c>
      <c r="U151" s="15">
        <f t="shared" si="7"/>
        <v>2024</v>
      </c>
      <c r="V151" s="15">
        <f t="shared" si="8"/>
        <v>12</v>
      </c>
      <c r="W151" s="15">
        <f t="shared" si="9"/>
        <v>9</v>
      </c>
      <c r="X151" s="15">
        <f t="shared" si="10"/>
        <v>2024</v>
      </c>
    </row>
    <row r="152">
      <c r="A152" s="9">
        <v>45548.0</v>
      </c>
      <c r="B152" s="10"/>
      <c r="C152" s="9">
        <f t="shared" si="17"/>
        <v>45548</v>
      </c>
      <c r="D152" s="11" t="s">
        <v>79</v>
      </c>
      <c r="E152" s="11" t="s">
        <v>25</v>
      </c>
      <c r="F152" s="11" t="s">
        <v>26</v>
      </c>
      <c r="G152" s="11" t="s">
        <v>37</v>
      </c>
      <c r="H152" s="11" t="s">
        <v>236</v>
      </c>
      <c r="I152" s="12">
        <v>780.0</v>
      </c>
      <c r="J152" s="13"/>
      <c r="K152" s="13">
        <f t="shared" si="2"/>
        <v>780</v>
      </c>
      <c r="L152" s="11" t="s">
        <v>29</v>
      </c>
      <c r="M152" s="14"/>
      <c r="N152" s="11" t="s">
        <v>38</v>
      </c>
      <c r="O152" s="10" t="str">
        <f t="shared" si="3"/>
        <v>09/2024</v>
      </c>
      <c r="P152" s="10" t="str">
        <f t="shared" ref="P152:P158" si="20">if(C152="","", TEXT(C152,"mm/yyyy"))</f>
        <v>09/2024</v>
      </c>
      <c r="Q152" s="15" t="str">
        <f t="array" ref="Q152">IFERROR(XLOOKUP(N152,'Classificação'!A:A,'Classificação'!B:B),"")</f>
        <v>DESPESAS COM PESSOAL</v>
      </c>
      <c r="R152" s="15" t="str">
        <f t="array" ref="R152">IFERROR(XLOOKUP(Q152,'Classificação'!B:B,'Classificação'!C:C),"")</f>
        <v>DESPESAS FIXAS (-)</v>
      </c>
      <c r="S152" s="15">
        <f t="shared" si="5"/>
        <v>13</v>
      </c>
      <c r="T152" s="15">
        <f t="shared" si="6"/>
        <v>9</v>
      </c>
      <c r="U152" s="15">
        <f t="shared" si="7"/>
        <v>2024</v>
      </c>
      <c r="V152" s="15">
        <f t="shared" si="8"/>
        <v>13</v>
      </c>
      <c r="W152" s="15">
        <f t="shared" si="9"/>
        <v>9</v>
      </c>
      <c r="X152" s="15">
        <f t="shared" si="10"/>
        <v>2024</v>
      </c>
    </row>
    <row r="153">
      <c r="A153" s="9">
        <v>45548.0</v>
      </c>
      <c r="B153" s="10"/>
      <c r="C153" s="9">
        <f t="shared" si="17"/>
        <v>45548</v>
      </c>
      <c r="D153" s="11" t="s">
        <v>74</v>
      </c>
      <c r="E153" s="11" t="s">
        <v>25</v>
      </c>
      <c r="F153" s="11" t="s">
        <v>32</v>
      </c>
      <c r="G153" s="11" t="s">
        <v>27</v>
      </c>
      <c r="I153" s="12">
        <v>592.0</v>
      </c>
      <c r="J153" s="13"/>
      <c r="K153" s="13">
        <f t="shared" si="2"/>
        <v>592</v>
      </c>
      <c r="L153" s="11" t="s">
        <v>29</v>
      </c>
      <c r="M153" s="14"/>
      <c r="N153" s="11" t="s">
        <v>75</v>
      </c>
      <c r="O153" s="10" t="str">
        <f t="shared" si="3"/>
        <v>09/2024</v>
      </c>
      <c r="P153" s="10" t="str">
        <f t="shared" si="20"/>
        <v>09/2024</v>
      </c>
      <c r="Q153" s="15" t="str">
        <f t="array" ref="Q153">IFERROR(XLOOKUP(N153,'Classificação'!A:A,'Classificação'!B:B),"")</f>
        <v>DESPESAS COM PESSOAL</v>
      </c>
      <c r="R153" s="15" t="str">
        <f t="array" ref="R153">IFERROR(XLOOKUP(Q153,'Classificação'!B:B,'Classificação'!C:C),"")</f>
        <v>DESPESAS FIXAS (-)</v>
      </c>
      <c r="S153" s="15">
        <f t="shared" si="5"/>
        <v>13</v>
      </c>
      <c r="T153" s="15">
        <f t="shared" si="6"/>
        <v>9</v>
      </c>
      <c r="U153" s="15">
        <f t="shared" si="7"/>
        <v>2024</v>
      </c>
      <c r="V153" s="15">
        <f t="shared" si="8"/>
        <v>13</v>
      </c>
      <c r="W153" s="15">
        <f t="shared" si="9"/>
        <v>9</v>
      </c>
      <c r="X153" s="15">
        <f t="shared" si="10"/>
        <v>2024</v>
      </c>
    </row>
    <row r="154">
      <c r="A154" s="9">
        <v>45548.0</v>
      </c>
      <c r="B154" s="10"/>
      <c r="C154" s="9">
        <f t="shared" si="17"/>
        <v>45548</v>
      </c>
      <c r="D154" s="11" t="s">
        <v>80</v>
      </c>
      <c r="E154" s="11" t="s">
        <v>25</v>
      </c>
      <c r="F154" s="11" t="s">
        <v>32</v>
      </c>
      <c r="G154" s="11" t="s">
        <v>27</v>
      </c>
      <c r="I154" s="12">
        <v>720.0</v>
      </c>
      <c r="J154" s="13"/>
      <c r="K154" s="13">
        <f t="shared" si="2"/>
        <v>720</v>
      </c>
      <c r="L154" s="11" t="s">
        <v>29</v>
      </c>
      <c r="M154" s="14"/>
      <c r="N154" s="11" t="s">
        <v>75</v>
      </c>
      <c r="O154" s="10" t="str">
        <f t="shared" si="3"/>
        <v>09/2024</v>
      </c>
      <c r="P154" s="10" t="str">
        <f t="shared" si="20"/>
        <v>09/2024</v>
      </c>
      <c r="Q154" s="15" t="str">
        <f t="array" ref="Q154">IFERROR(XLOOKUP(N154,'Classificação'!A:A,'Classificação'!B:B),"")</f>
        <v>DESPESAS COM PESSOAL</v>
      </c>
      <c r="R154" s="15" t="str">
        <f t="array" ref="R154">IFERROR(XLOOKUP(Q154,'Classificação'!B:B,'Classificação'!C:C),"")</f>
        <v>DESPESAS FIXAS (-)</v>
      </c>
      <c r="S154" s="15">
        <f t="shared" si="5"/>
        <v>13</v>
      </c>
      <c r="T154" s="15">
        <f t="shared" si="6"/>
        <v>9</v>
      </c>
      <c r="U154" s="15">
        <f t="shared" si="7"/>
        <v>2024</v>
      </c>
      <c r="V154" s="15">
        <f t="shared" si="8"/>
        <v>13</v>
      </c>
      <c r="W154" s="15">
        <f t="shared" si="9"/>
        <v>9</v>
      </c>
      <c r="X154" s="15">
        <f t="shared" si="10"/>
        <v>2024</v>
      </c>
    </row>
    <row r="155">
      <c r="A155" s="9">
        <v>45548.0</v>
      </c>
      <c r="B155" s="10"/>
      <c r="C155" s="9">
        <f t="shared" si="17"/>
        <v>45548</v>
      </c>
      <c r="D155" s="11" t="s">
        <v>83</v>
      </c>
      <c r="E155" s="11" t="s">
        <v>25</v>
      </c>
      <c r="F155" s="11" t="s">
        <v>32</v>
      </c>
      <c r="G155" s="11" t="s">
        <v>27</v>
      </c>
      <c r="I155" s="12">
        <v>744.0</v>
      </c>
      <c r="J155" s="13"/>
      <c r="K155" s="13">
        <f t="shared" si="2"/>
        <v>744</v>
      </c>
      <c r="L155" s="11" t="s">
        <v>29</v>
      </c>
      <c r="M155" s="14"/>
      <c r="N155" s="11" t="s">
        <v>75</v>
      </c>
      <c r="O155" s="10" t="str">
        <f t="shared" si="3"/>
        <v>09/2024</v>
      </c>
      <c r="P155" s="10" t="str">
        <f t="shared" si="20"/>
        <v>09/2024</v>
      </c>
      <c r="Q155" s="15" t="str">
        <f t="array" ref="Q155">IFERROR(XLOOKUP(N155,'Classificação'!A:A,'Classificação'!B:B),"")</f>
        <v>DESPESAS COM PESSOAL</v>
      </c>
      <c r="R155" s="15" t="str">
        <f t="array" ref="R155">IFERROR(XLOOKUP(Q155,'Classificação'!B:B,'Classificação'!C:C),"")</f>
        <v>DESPESAS FIXAS (-)</v>
      </c>
      <c r="S155" s="15">
        <f t="shared" si="5"/>
        <v>13</v>
      </c>
      <c r="T155" s="15">
        <f t="shared" si="6"/>
        <v>9</v>
      </c>
      <c r="U155" s="15">
        <f t="shared" si="7"/>
        <v>2024</v>
      </c>
      <c r="V155" s="15">
        <f t="shared" si="8"/>
        <v>13</v>
      </c>
      <c r="W155" s="15">
        <f t="shared" si="9"/>
        <v>9</v>
      </c>
      <c r="X155" s="15">
        <f t="shared" si="10"/>
        <v>2024</v>
      </c>
    </row>
    <row r="156">
      <c r="A156" s="9">
        <v>45551.0</v>
      </c>
      <c r="B156" s="10"/>
      <c r="C156" s="9">
        <f t="shared" si="17"/>
        <v>45551</v>
      </c>
      <c r="D156" s="11" t="s">
        <v>44</v>
      </c>
      <c r="E156" s="11" t="s">
        <v>25</v>
      </c>
      <c r="F156" s="11" t="s">
        <v>45</v>
      </c>
      <c r="G156" s="11" t="s">
        <v>27</v>
      </c>
      <c r="H156" s="11" t="s">
        <v>72</v>
      </c>
      <c r="I156" s="12">
        <v>2914.86</v>
      </c>
      <c r="J156" s="13"/>
      <c r="K156" s="13">
        <f t="shared" si="2"/>
        <v>2914.86</v>
      </c>
      <c r="L156" s="11" t="s">
        <v>53</v>
      </c>
      <c r="M156" s="17">
        <v>45446.0</v>
      </c>
      <c r="N156" s="11" t="s">
        <v>73</v>
      </c>
      <c r="O156" s="10" t="str">
        <f t="shared" si="3"/>
        <v>09/2024</v>
      </c>
      <c r="P156" s="10" t="str">
        <f t="shared" si="20"/>
        <v>09/2024</v>
      </c>
      <c r="Q156" s="15" t="str">
        <f t="array" ref="Q156">IFERROR(XLOOKUP(N156,'Classificação'!A:A,'Classificação'!B:B),"")</f>
        <v>DESPESAS NÃO OPERACIONAIS</v>
      </c>
      <c r="R156" s="15" t="str">
        <f t="array" ref="R156">IFERROR(XLOOKUP(Q156,'Classificação'!B:B,'Classificação'!C:C),"")</f>
        <v>RESULTADO NÃO OPERACIONAL (+/-)</v>
      </c>
      <c r="S156" s="15">
        <f t="shared" si="5"/>
        <v>16</v>
      </c>
      <c r="T156" s="15">
        <f t="shared" si="6"/>
        <v>9</v>
      </c>
      <c r="U156" s="15">
        <f t="shared" si="7"/>
        <v>2024</v>
      </c>
      <c r="V156" s="15">
        <f t="shared" si="8"/>
        <v>16</v>
      </c>
      <c r="W156" s="15">
        <f t="shared" si="9"/>
        <v>9</v>
      </c>
      <c r="X156" s="15">
        <f t="shared" si="10"/>
        <v>2024</v>
      </c>
    </row>
    <row r="157">
      <c r="A157" s="9">
        <v>45551.0</v>
      </c>
      <c r="B157" s="10"/>
      <c r="C157" s="9">
        <f t="shared" si="17"/>
        <v>45551</v>
      </c>
      <c r="D157" s="11" t="s">
        <v>36</v>
      </c>
      <c r="E157" s="11" t="s">
        <v>25</v>
      </c>
      <c r="F157" s="11" t="s">
        <v>32</v>
      </c>
      <c r="G157" s="11" t="s">
        <v>37</v>
      </c>
      <c r="I157" s="12">
        <v>1750.0</v>
      </c>
      <c r="J157" s="13"/>
      <c r="K157" s="13">
        <f t="shared" si="2"/>
        <v>1750</v>
      </c>
      <c r="L157" s="11" t="s">
        <v>29</v>
      </c>
      <c r="M157" s="14"/>
      <c r="N157" s="11" t="s">
        <v>38</v>
      </c>
      <c r="O157" s="10" t="str">
        <f t="shared" si="3"/>
        <v>09/2024</v>
      </c>
      <c r="P157" s="10" t="str">
        <f t="shared" si="20"/>
        <v>09/2024</v>
      </c>
      <c r="Q157" s="15" t="str">
        <f t="array" ref="Q157">IFERROR(XLOOKUP(N157,'Classificação'!A:A,'Classificação'!B:B),"")</f>
        <v>DESPESAS COM PESSOAL</v>
      </c>
      <c r="R157" s="15" t="str">
        <f t="array" ref="R157">IFERROR(XLOOKUP(Q157,'Classificação'!B:B,'Classificação'!C:C),"")</f>
        <v>DESPESAS FIXAS (-)</v>
      </c>
      <c r="S157" s="15">
        <f t="shared" si="5"/>
        <v>16</v>
      </c>
      <c r="T157" s="15">
        <f t="shared" si="6"/>
        <v>9</v>
      </c>
      <c r="U157" s="15">
        <f t="shared" si="7"/>
        <v>2024</v>
      </c>
      <c r="V157" s="15">
        <f t="shared" si="8"/>
        <v>16</v>
      </c>
      <c r="W157" s="15">
        <f t="shared" si="9"/>
        <v>9</v>
      </c>
      <c r="X157" s="15">
        <f t="shared" si="10"/>
        <v>2024</v>
      </c>
    </row>
    <row r="158">
      <c r="A158" s="9">
        <v>45551.0</v>
      </c>
      <c r="B158" s="10"/>
      <c r="C158" s="9">
        <f t="shared" si="17"/>
        <v>45551</v>
      </c>
      <c r="D158" s="11" t="s">
        <v>43</v>
      </c>
      <c r="E158" s="11" t="s">
        <v>25</v>
      </c>
      <c r="F158" s="11" t="s">
        <v>32</v>
      </c>
      <c r="G158" s="11" t="s">
        <v>37</v>
      </c>
      <c r="I158" s="12">
        <v>1750.0</v>
      </c>
      <c r="J158" s="13"/>
      <c r="K158" s="13">
        <f t="shared" si="2"/>
        <v>1750</v>
      </c>
      <c r="L158" s="11" t="s">
        <v>29</v>
      </c>
      <c r="M158" s="14"/>
      <c r="N158" s="11" t="s">
        <v>38</v>
      </c>
      <c r="O158" s="10" t="str">
        <f t="shared" si="3"/>
        <v>09/2024</v>
      </c>
      <c r="P158" s="10" t="str">
        <f t="shared" si="20"/>
        <v>09/2024</v>
      </c>
      <c r="Q158" s="15" t="str">
        <f t="array" ref="Q158">IFERROR(XLOOKUP(N158,'Classificação'!A:A,'Classificação'!B:B),"")</f>
        <v>DESPESAS COM PESSOAL</v>
      </c>
      <c r="R158" s="15" t="str">
        <f t="array" ref="R158">IFERROR(XLOOKUP(Q158,'Classificação'!B:B,'Classificação'!C:C),"")</f>
        <v>DESPESAS FIXAS (-)</v>
      </c>
      <c r="S158" s="15">
        <f t="shared" si="5"/>
        <v>16</v>
      </c>
      <c r="T158" s="15">
        <f t="shared" si="6"/>
        <v>9</v>
      </c>
      <c r="U158" s="15">
        <f t="shared" si="7"/>
        <v>2024</v>
      </c>
      <c r="V158" s="15">
        <f t="shared" si="8"/>
        <v>16</v>
      </c>
      <c r="W158" s="15">
        <f t="shared" si="9"/>
        <v>9</v>
      </c>
      <c r="X158" s="15">
        <f t="shared" si="10"/>
        <v>2024</v>
      </c>
    </row>
    <row r="159">
      <c r="A159" s="9">
        <v>45551.0</v>
      </c>
      <c r="B159" s="10"/>
      <c r="C159" s="9">
        <f t="shared" si="17"/>
        <v>45551</v>
      </c>
      <c r="D159" s="11" t="s">
        <v>80</v>
      </c>
      <c r="E159" s="11" t="s">
        <v>25</v>
      </c>
      <c r="F159" s="11" t="s">
        <v>26</v>
      </c>
      <c r="G159" s="11" t="s">
        <v>37</v>
      </c>
      <c r="H159" s="11" t="s">
        <v>237</v>
      </c>
      <c r="I159" s="12">
        <v>30.0</v>
      </c>
      <c r="J159" s="13"/>
      <c r="K159" s="13">
        <f t="shared" si="2"/>
        <v>30</v>
      </c>
      <c r="L159" s="11" t="s">
        <v>34</v>
      </c>
      <c r="M159" s="14"/>
      <c r="N159" s="11" t="s">
        <v>68</v>
      </c>
      <c r="O159" s="10" t="str">
        <f t="shared" si="3"/>
        <v>09/2024</v>
      </c>
      <c r="P159" s="10"/>
      <c r="Q159" s="15" t="str">
        <f t="array" ref="Q159">IFERROR(XLOOKUP(N159,'Classificação'!A:A,'Classificação'!B:B),"")</f>
        <v>FRETE DE VENDAS</v>
      </c>
      <c r="R159" s="15" t="str">
        <f t="array" ref="R159">IFERROR(XLOOKUP(Q159,'Classificação'!B:B,'Classificação'!C:C),"")</f>
        <v>CUSTOS VARIÁVEIS</v>
      </c>
      <c r="S159" s="15">
        <f t="shared" si="5"/>
        <v>16</v>
      </c>
      <c r="T159" s="15">
        <f t="shared" si="6"/>
        <v>9</v>
      </c>
      <c r="U159" s="15">
        <f t="shared" si="7"/>
        <v>2024</v>
      </c>
      <c r="V159" s="15">
        <f t="shared" si="8"/>
        <v>16</v>
      </c>
      <c r="W159" s="15">
        <f t="shared" si="9"/>
        <v>9</v>
      </c>
      <c r="X159" s="15">
        <f t="shared" si="10"/>
        <v>2024</v>
      </c>
    </row>
    <row r="160">
      <c r="A160" s="9">
        <v>45551.0</v>
      </c>
      <c r="B160" s="10"/>
      <c r="C160" s="9">
        <f t="shared" si="17"/>
        <v>45551</v>
      </c>
      <c r="D160" s="11" t="s">
        <v>86</v>
      </c>
      <c r="E160" s="11" t="s">
        <v>25</v>
      </c>
      <c r="F160" s="11" t="s">
        <v>87</v>
      </c>
      <c r="G160" s="11" t="s">
        <v>27</v>
      </c>
      <c r="H160" s="18" t="s">
        <v>89</v>
      </c>
      <c r="I160" s="12">
        <v>1533.0</v>
      </c>
      <c r="J160" s="13"/>
      <c r="K160" s="13">
        <f t="shared" si="2"/>
        <v>1533</v>
      </c>
      <c r="L160" s="11" t="s">
        <v>53</v>
      </c>
      <c r="M160" s="17">
        <v>45324.0</v>
      </c>
      <c r="N160" s="11" t="s">
        <v>35</v>
      </c>
      <c r="O160" s="10" t="str">
        <f t="shared" si="3"/>
        <v>09/2024</v>
      </c>
      <c r="P160" s="10" t="str">
        <f t="shared" ref="P160:P161" si="21">if(C160="","", TEXT(C160,"mm/yyyy"))</f>
        <v>09/2024</v>
      </c>
      <c r="Q160" s="15" t="str">
        <f t="array" ref="Q160">IFERROR(XLOOKUP(N160,'Classificação'!A:A,'Classificação'!B:B),"")</f>
        <v>COMPRA DE MERCADORIA</v>
      </c>
      <c r="R160" s="15" t="str">
        <f t="array" ref="R160">IFERROR(XLOOKUP(Q160,'Classificação'!B:B,'Classificação'!C:C),"")</f>
        <v>CUSTOS VARIÁVEIS</v>
      </c>
      <c r="S160" s="15">
        <f t="shared" si="5"/>
        <v>16</v>
      </c>
      <c r="T160" s="15">
        <f t="shared" si="6"/>
        <v>9</v>
      </c>
      <c r="U160" s="15">
        <f t="shared" si="7"/>
        <v>2024</v>
      </c>
      <c r="V160" s="15">
        <f t="shared" si="8"/>
        <v>16</v>
      </c>
      <c r="W160" s="15">
        <f t="shared" si="9"/>
        <v>9</v>
      </c>
      <c r="X160" s="15">
        <f t="shared" si="10"/>
        <v>2024</v>
      </c>
    </row>
    <row r="161">
      <c r="A161" s="9">
        <v>45551.0</v>
      </c>
      <c r="B161" s="10"/>
      <c r="C161" s="9">
        <f t="shared" si="17"/>
        <v>45551</v>
      </c>
      <c r="D161" s="11" t="s">
        <v>86</v>
      </c>
      <c r="E161" s="11" t="s">
        <v>25</v>
      </c>
      <c r="F161" s="11" t="s">
        <v>87</v>
      </c>
      <c r="G161" s="11" t="s">
        <v>27</v>
      </c>
      <c r="H161" s="11" t="s">
        <v>88</v>
      </c>
      <c r="I161" s="12">
        <v>1127.5</v>
      </c>
      <c r="J161" s="13"/>
      <c r="K161" s="13">
        <f t="shared" si="2"/>
        <v>1127.5</v>
      </c>
      <c r="L161" s="11" t="s">
        <v>53</v>
      </c>
      <c r="M161" s="17">
        <v>45353.0</v>
      </c>
      <c r="N161" s="11" t="s">
        <v>35</v>
      </c>
      <c r="O161" s="10" t="str">
        <f t="shared" si="3"/>
        <v>09/2024</v>
      </c>
      <c r="P161" s="10" t="str">
        <f t="shared" si="21"/>
        <v>09/2024</v>
      </c>
      <c r="Q161" s="15" t="str">
        <f t="array" ref="Q161">IFERROR(XLOOKUP(N161,'Classificação'!A:A,'Classificação'!B:B),"")</f>
        <v>COMPRA DE MERCADORIA</v>
      </c>
      <c r="R161" s="15" t="str">
        <f t="array" ref="R161">IFERROR(XLOOKUP(Q161,'Classificação'!B:B,'Classificação'!C:C),"")</f>
        <v>CUSTOS VARIÁVEIS</v>
      </c>
      <c r="S161" s="15">
        <f t="shared" si="5"/>
        <v>16</v>
      </c>
      <c r="T161" s="15">
        <f t="shared" si="6"/>
        <v>9</v>
      </c>
      <c r="U161" s="15">
        <f t="shared" si="7"/>
        <v>2024</v>
      </c>
      <c r="V161" s="15">
        <f t="shared" si="8"/>
        <v>16</v>
      </c>
      <c r="W161" s="15">
        <f t="shared" si="9"/>
        <v>9</v>
      </c>
      <c r="X161" s="15">
        <f t="shared" si="10"/>
        <v>2024</v>
      </c>
    </row>
    <row r="162">
      <c r="A162" s="9">
        <v>45551.0</v>
      </c>
      <c r="B162" s="10"/>
      <c r="C162" s="9">
        <f t="shared" si="17"/>
        <v>45551</v>
      </c>
      <c r="D162" s="11" t="s">
        <v>44</v>
      </c>
      <c r="E162" s="11" t="s">
        <v>25</v>
      </c>
      <c r="F162" s="11" t="s">
        <v>45</v>
      </c>
      <c r="G162" s="11" t="s">
        <v>27</v>
      </c>
      <c r="H162" s="11" t="s">
        <v>238</v>
      </c>
      <c r="I162" s="12">
        <v>20.34</v>
      </c>
      <c r="J162" s="13"/>
      <c r="K162" s="13">
        <f t="shared" si="2"/>
        <v>20.34</v>
      </c>
      <c r="L162" s="11" t="s">
        <v>34</v>
      </c>
      <c r="M162" s="14"/>
      <c r="N162" s="11" t="s">
        <v>97</v>
      </c>
      <c r="O162" s="10" t="str">
        <f t="shared" si="3"/>
        <v>09/2024</v>
      </c>
      <c r="P162" s="10"/>
      <c r="Q162" s="15" t="str">
        <f t="array" ref="Q162">IFERROR(XLOOKUP(N162,'Classificação'!A:A,'Classificação'!B:B),"")</f>
        <v>TARIFAS DE PIX</v>
      </c>
      <c r="R162" s="15" t="str">
        <f t="array" ref="R162">IFERROR(XLOOKUP(Q162,'Classificação'!B:B,'Classificação'!C:C),"")</f>
        <v>(+/-) RESULTADO FINANCEIRO LÍQUIDO</v>
      </c>
      <c r="S162" s="15">
        <f t="shared" si="5"/>
        <v>16</v>
      </c>
      <c r="T162" s="15">
        <f t="shared" si="6"/>
        <v>9</v>
      </c>
      <c r="U162" s="15">
        <f t="shared" si="7"/>
        <v>2024</v>
      </c>
      <c r="V162" s="15">
        <f t="shared" si="8"/>
        <v>16</v>
      </c>
      <c r="W162" s="15">
        <f t="shared" si="9"/>
        <v>9</v>
      </c>
      <c r="X162" s="15">
        <f t="shared" si="10"/>
        <v>2024</v>
      </c>
    </row>
    <row r="163">
      <c r="A163" s="9">
        <v>45552.0</v>
      </c>
      <c r="B163" s="10"/>
      <c r="C163" s="9">
        <v>45552.0</v>
      </c>
      <c r="D163" s="11" t="s">
        <v>86</v>
      </c>
      <c r="E163" s="11" t="s">
        <v>25</v>
      </c>
      <c r="F163" s="11" t="s">
        <v>26</v>
      </c>
      <c r="G163" s="11" t="s">
        <v>27</v>
      </c>
      <c r="H163" s="11" t="s">
        <v>239</v>
      </c>
      <c r="I163" s="12">
        <v>6102.5</v>
      </c>
      <c r="J163" s="13"/>
      <c r="K163" s="13">
        <f t="shared" si="2"/>
        <v>6102.5</v>
      </c>
      <c r="L163" s="11" t="s">
        <v>34</v>
      </c>
      <c r="M163" s="16"/>
      <c r="N163" s="11" t="s">
        <v>35</v>
      </c>
      <c r="O163" s="10" t="str">
        <f t="shared" si="3"/>
        <v>09/2024</v>
      </c>
      <c r="P163" s="10" t="str">
        <f>if(C163="","", TEXT(C163,"mm/yyyy"))</f>
        <v>09/2024</v>
      </c>
      <c r="Q163" s="15" t="str">
        <f t="array" ref="Q163">IFERROR(XLOOKUP(N163,'Classificação'!A:A,'Classificação'!B:B),"")</f>
        <v>COMPRA DE MERCADORIA</v>
      </c>
      <c r="R163" s="15" t="str">
        <f t="array" ref="R163">IFERROR(XLOOKUP(Q163,'Classificação'!B:B,'Classificação'!C:C),"")</f>
        <v>CUSTOS VARIÁVEIS</v>
      </c>
      <c r="S163" s="15">
        <f t="shared" si="5"/>
        <v>17</v>
      </c>
      <c r="T163" s="15">
        <f t="shared" si="6"/>
        <v>9</v>
      </c>
      <c r="U163" s="15">
        <f t="shared" si="7"/>
        <v>2024</v>
      </c>
      <c r="V163" s="15">
        <f t="shared" si="8"/>
        <v>17</v>
      </c>
      <c r="W163" s="15">
        <f t="shared" si="9"/>
        <v>9</v>
      </c>
      <c r="X163" s="15">
        <f t="shared" si="10"/>
        <v>2024</v>
      </c>
    </row>
    <row r="164">
      <c r="A164" s="9">
        <v>45552.0</v>
      </c>
      <c r="B164" s="10"/>
      <c r="C164" s="9">
        <f t="shared" ref="C164:C1268" si="22">IF(E164="pago",A164,"")</f>
        <v>45552</v>
      </c>
      <c r="D164" s="11" t="s">
        <v>86</v>
      </c>
      <c r="E164" s="11" t="s">
        <v>25</v>
      </c>
      <c r="F164" s="11" t="s">
        <v>26</v>
      </c>
      <c r="G164" s="11" t="s">
        <v>37</v>
      </c>
      <c r="H164" s="11" t="s">
        <v>239</v>
      </c>
      <c r="I164" s="12">
        <v>3000.0</v>
      </c>
      <c r="J164" s="13"/>
      <c r="K164" s="13">
        <f t="shared" si="2"/>
        <v>3000</v>
      </c>
      <c r="L164" s="11" t="s">
        <v>34</v>
      </c>
      <c r="M164" s="14"/>
      <c r="N164" s="11" t="s">
        <v>35</v>
      </c>
      <c r="O164" s="10" t="str">
        <f t="shared" si="3"/>
        <v>09/2024</v>
      </c>
      <c r="P164" s="10"/>
      <c r="Q164" s="15" t="str">
        <f t="array" ref="Q164">IFERROR(XLOOKUP(N164,'Classificação'!A:A,'Classificação'!B:B),"")</f>
        <v>COMPRA DE MERCADORIA</v>
      </c>
      <c r="R164" s="15" t="str">
        <f t="array" ref="R164">IFERROR(XLOOKUP(Q164,'Classificação'!B:B,'Classificação'!C:C),"")</f>
        <v>CUSTOS VARIÁVEIS</v>
      </c>
      <c r="S164" s="15">
        <f t="shared" si="5"/>
        <v>17</v>
      </c>
      <c r="T164" s="15">
        <f t="shared" si="6"/>
        <v>9</v>
      </c>
      <c r="U164" s="15">
        <f t="shared" si="7"/>
        <v>2024</v>
      </c>
      <c r="V164" s="15">
        <f t="shared" si="8"/>
        <v>17</v>
      </c>
      <c r="W164" s="15">
        <f t="shared" si="9"/>
        <v>9</v>
      </c>
      <c r="X164" s="15">
        <f t="shared" si="10"/>
        <v>2024</v>
      </c>
    </row>
    <row r="165">
      <c r="A165" s="9">
        <v>45553.0</v>
      </c>
      <c r="B165" s="10"/>
      <c r="C165" s="9">
        <f t="shared" si="22"/>
        <v>45553</v>
      </c>
      <c r="D165" s="11" t="s">
        <v>90</v>
      </c>
      <c r="E165" s="11" t="s">
        <v>25</v>
      </c>
      <c r="F165" s="11" t="s">
        <v>40</v>
      </c>
      <c r="G165" s="11" t="s">
        <v>27</v>
      </c>
      <c r="H165" s="11" t="s">
        <v>91</v>
      </c>
      <c r="I165" s="12">
        <v>462.81</v>
      </c>
      <c r="J165" s="13"/>
      <c r="K165" s="13">
        <f t="shared" si="2"/>
        <v>462.81</v>
      </c>
      <c r="L165" s="11" t="s">
        <v>29</v>
      </c>
      <c r="M165" s="14"/>
      <c r="N165" s="11" t="s">
        <v>92</v>
      </c>
      <c r="O165" s="10" t="str">
        <f t="shared" si="3"/>
        <v>09/2024</v>
      </c>
      <c r="P165" s="10"/>
      <c r="Q165" s="15" t="str">
        <f t="array" ref="Q165">IFERROR(XLOOKUP(N165,'Classificação'!A:A,'Classificação'!B:B),"")</f>
        <v>DESPESAS COM OCUPAÇÃO</v>
      </c>
      <c r="R165" s="15" t="str">
        <f t="array" ref="R165">IFERROR(XLOOKUP(Q165,'Classificação'!B:B,'Classificação'!C:C),"")</f>
        <v>DESPESAS FIXAS (-)</v>
      </c>
      <c r="S165" s="15">
        <f t="shared" si="5"/>
        <v>18</v>
      </c>
      <c r="T165" s="15">
        <f t="shared" si="6"/>
        <v>9</v>
      </c>
      <c r="U165" s="15">
        <f t="shared" si="7"/>
        <v>2024</v>
      </c>
      <c r="V165" s="15">
        <f t="shared" si="8"/>
        <v>18</v>
      </c>
      <c r="W165" s="15">
        <f t="shared" si="9"/>
        <v>9</v>
      </c>
      <c r="X165" s="15">
        <f t="shared" si="10"/>
        <v>2024</v>
      </c>
    </row>
    <row r="166">
      <c r="A166" s="9">
        <v>45553.0</v>
      </c>
      <c r="B166" s="10"/>
      <c r="C166" s="9">
        <f t="shared" si="22"/>
        <v>45553</v>
      </c>
      <c r="D166" s="11" t="s">
        <v>44</v>
      </c>
      <c r="E166" s="11" t="s">
        <v>25</v>
      </c>
      <c r="F166" s="11" t="s">
        <v>45</v>
      </c>
      <c r="G166" s="11" t="s">
        <v>27</v>
      </c>
      <c r="H166" s="11" t="s">
        <v>98</v>
      </c>
      <c r="I166" s="12">
        <v>3476.38</v>
      </c>
      <c r="J166" s="13"/>
      <c r="K166" s="13">
        <f t="shared" si="2"/>
        <v>3476.38</v>
      </c>
      <c r="L166" s="11" t="s">
        <v>53</v>
      </c>
      <c r="M166" s="16" t="s">
        <v>240</v>
      </c>
      <c r="N166" s="11" t="s">
        <v>73</v>
      </c>
      <c r="O166" s="10" t="str">
        <f t="shared" si="3"/>
        <v>09/2024</v>
      </c>
      <c r="P166" s="10" t="str">
        <f t="shared" ref="P166:P200" si="23">if(C166="","", TEXT(C166,"mm/yyyy"))</f>
        <v>09/2024</v>
      </c>
      <c r="Q166" s="15" t="str">
        <f t="array" ref="Q166">IFERROR(XLOOKUP(N166,'Classificação'!A:A,'Classificação'!B:B),"")</f>
        <v>DESPESAS NÃO OPERACIONAIS</v>
      </c>
      <c r="R166" s="15" t="str">
        <f t="array" ref="R166">IFERROR(XLOOKUP(Q166,'Classificação'!B:B,'Classificação'!C:C),"")</f>
        <v>RESULTADO NÃO OPERACIONAL (+/-)</v>
      </c>
      <c r="S166" s="15">
        <f t="shared" si="5"/>
        <v>18</v>
      </c>
      <c r="T166" s="15">
        <f t="shared" si="6"/>
        <v>9</v>
      </c>
      <c r="U166" s="15">
        <f t="shared" si="7"/>
        <v>2024</v>
      </c>
      <c r="V166" s="15">
        <f t="shared" si="8"/>
        <v>18</v>
      </c>
      <c r="W166" s="15">
        <f t="shared" si="9"/>
        <v>9</v>
      </c>
      <c r="X166" s="15">
        <f t="shared" si="10"/>
        <v>2024</v>
      </c>
    </row>
    <row r="167">
      <c r="A167" s="9">
        <v>45553.0</v>
      </c>
      <c r="B167" s="10"/>
      <c r="C167" s="9">
        <f t="shared" si="22"/>
        <v>45553</v>
      </c>
      <c r="D167" s="11" t="s">
        <v>65</v>
      </c>
      <c r="E167" s="11" t="s">
        <v>25</v>
      </c>
      <c r="F167" s="11" t="s">
        <v>45</v>
      </c>
      <c r="G167" s="11" t="s">
        <v>37</v>
      </c>
      <c r="H167" s="11" t="s">
        <v>103</v>
      </c>
      <c r="I167" s="12">
        <v>691.57</v>
      </c>
      <c r="J167" s="13"/>
      <c r="K167" s="13">
        <f t="shared" si="2"/>
        <v>691.57</v>
      </c>
      <c r="L167" s="11" t="s">
        <v>29</v>
      </c>
      <c r="M167" s="14"/>
      <c r="N167" s="11" t="s">
        <v>68</v>
      </c>
      <c r="O167" s="10" t="str">
        <f t="shared" si="3"/>
        <v>09/2024</v>
      </c>
      <c r="P167" s="10" t="str">
        <f t="shared" si="23"/>
        <v>09/2024</v>
      </c>
      <c r="Q167" s="15" t="str">
        <f t="array" ref="Q167">IFERROR(XLOOKUP(N167,'Classificação'!A:A,'Classificação'!B:B),"")</f>
        <v>FRETE DE VENDAS</v>
      </c>
      <c r="R167" s="15" t="str">
        <f t="array" ref="R167">IFERROR(XLOOKUP(Q167,'Classificação'!B:B,'Classificação'!C:C),"")</f>
        <v>CUSTOS VARIÁVEIS</v>
      </c>
      <c r="S167" s="15">
        <f t="shared" si="5"/>
        <v>18</v>
      </c>
      <c r="T167" s="15">
        <f t="shared" si="6"/>
        <v>9</v>
      </c>
      <c r="U167" s="15">
        <f t="shared" si="7"/>
        <v>2024</v>
      </c>
      <c r="V167" s="15">
        <f t="shared" si="8"/>
        <v>18</v>
      </c>
      <c r="W167" s="15">
        <f t="shared" si="9"/>
        <v>9</v>
      </c>
      <c r="X167" s="15">
        <f t="shared" si="10"/>
        <v>2024</v>
      </c>
    </row>
    <row r="168">
      <c r="A168" s="9">
        <v>45555.0</v>
      </c>
      <c r="B168" s="10"/>
      <c r="C168" s="9">
        <f t="shared" si="22"/>
        <v>45555</v>
      </c>
      <c r="D168" s="11" t="s">
        <v>104</v>
      </c>
      <c r="E168" s="11" t="s">
        <v>25</v>
      </c>
      <c r="F168" s="11" t="s">
        <v>40</v>
      </c>
      <c r="G168" s="11" t="s">
        <v>27</v>
      </c>
      <c r="I168" s="12">
        <v>400.0</v>
      </c>
      <c r="J168" s="13"/>
      <c r="K168" s="13">
        <f t="shared" si="2"/>
        <v>400</v>
      </c>
      <c r="L168" s="11" t="s">
        <v>29</v>
      </c>
      <c r="M168" s="14"/>
      <c r="N168" s="11" t="s">
        <v>105</v>
      </c>
      <c r="O168" s="10" t="str">
        <f t="shared" si="3"/>
        <v>09/2024</v>
      </c>
      <c r="P168" s="10" t="str">
        <f t="shared" si="23"/>
        <v>09/2024</v>
      </c>
      <c r="Q168" s="15" t="str">
        <f t="array" ref="Q168">IFERROR(XLOOKUP(N168,'Classificação'!A:A,'Classificação'!B:B),"")</f>
        <v>DESPESAS ADMINISTRATIVAS</v>
      </c>
      <c r="R168" s="15" t="str">
        <f t="array" ref="R168">IFERROR(XLOOKUP(Q168,'Classificação'!B:B,'Classificação'!C:C),"")</f>
        <v>DESPESAS FIXAS (-)</v>
      </c>
      <c r="S168" s="15">
        <f t="shared" si="5"/>
        <v>20</v>
      </c>
      <c r="T168" s="15">
        <f t="shared" si="6"/>
        <v>9</v>
      </c>
      <c r="U168" s="15">
        <f t="shared" si="7"/>
        <v>2024</v>
      </c>
      <c r="V168" s="15">
        <f t="shared" si="8"/>
        <v>20</v>
      </c>
      <c r="W168" s="15">
        <f t="shared" si="9"/>
        <v>9</v>
      </c>
      <c r="X168" s="15">
        <f t="shared" si="10"/>
        <v>2024</v>
      </c>
    </row>
    <row r="169">
      <c r="A169" s="9">
        <v>45555.0</v>
      </c>
      <c r="B169" s="10"/>
      <c r="C169" s="9">
        <f t="shared" si="22"/>
        <v>45555</v>
      </c>
      <c r="D169" s="11" t="s">
        <v>106</v>
      </c>
      <c r="E169" s="11" t="s">
        <v>25</v>
      </c>
      <c r="F169" s="11" t="s">
        <v>107</v>
      </c>
      <c r="G169" s="11" t="s">
        <v>27</v>
      </c>
      <c r="H169" s="11" t="s">
        <v>241</v>
      </c>
      <c r="I169" s="12">
        <v>278.01</v>
      </c>
      <c r="J169" s="13"/>
      <c r="K169" s="13">
        <f t="shared" si="2"/>
        <v>278.01</v>
      </c>
      <c r="L169" s="11" t="s">
        <v>53</v>
      </c>
      <c r="M169" s="20">
        <v>45475.0</v>
      </c>
      <c r="N169" s="11" t="s">
        <v>95</v>
      </c>
      <c r="O169" s="10" t="str">
        <f t="shared" si="3"/>
        <v>09/2024</v>
      </c>
      <c r="P169" s="10" t="str">
        <f t="shared" si="23"/>
        <v>09/2024</v>
      </c>
      <c r="Q169" s="15" t="str">
        <f t="array" ref="Q169">IFERROR(XLOOKUP(N169,'Classificação'!A:A,'Classificação'!B:B),"")</f>
        <v>DESPESAS NÃO OPERACIONAIS</v>
      </c>
      <c r="R169" s="15" t="str">
        <f t="array" ref="R169">IFERROR(XLOOKUP(Q169,'Classificação'!B:B,'Classificação'!C:C),"")</f>
        <v>RESULTADO NÃO OPERACIONAL (+/-)</v>
      </c>
      <c r="S169" s="15">
        <f t="shared" si="5"/>
        <v>20</v>
      </c>
      <c r="T169" s="15">
        <f t="shared" si="6"/>
        <v>9</v>
      </c>
      <c r="U169" s="15">
        <f t="shared" si="7"/>
        <v>2024</v>
      </c>
      <c r="V169" s="15">
        <f t="shared" si="8"/>
        <v>20</v>
      </c>
      <c r="W169" s="15">
        <f t="shared" si="9"/>
        <v>9</v>
      </c>
      <c r="X169" s="15">
        <f t="shared" si="10"/>
        <v>2024</v>
      </c>
    </row>
    <row r="170">
      <c r="A170" s="9">
        <v>45555.0</v>
      </c>
      <c r="B170" s="10"/>
      <c r="C170" s="9">
        <f t="shared" si="22"/>
        <v>45555</v>
      </c>
      <c r="D170" s="11" t="s">
        <v>109</v>
      </c>
      <c r="E170" s="11" t="s">
        <v>25</v>
      </c>
      <c r="F170" s="11" t="s">
        <v>110</v>
      </c>
      <c r="G170" s="11" t="s">
        <v>27</v>
      </c>
      <c r="H170" s="11" t="s">
        <v>111</v>
      </c>
      <c r="I170" s="12">
        <v>24.15</v>
      </c>
      <c r="J170" s="13"/>
      <c r="K170" s="13">
        <f t="shared" si="2"/>
        <v>24.15</v>
      </c>
      <c r="L170" s="11" t="s">
        <v>29</v>
      </c>
      <c r="M170" s="14"/>
      <c r="N170" s="11" t="s">
        <v>105</v>
      </c>
      <c r="O170" s="10" t="str">
        <f t="shared" si="3"/>
        <v>09/2024</v>
      </c>
      <c r="P170" s="10" t="str">
        <f t="shared" si="23"/>
        <v>09/2024</v>
      </c>
      <c r="Q170" s="15" t="str">
        <f t="array" ref="Q170">IFERROR(XLOOKUP(N170,'Classificação'!A:A,'Classificação'!B:B),"")</f>
        <v>DESPESAS ADMINISTRATIVAS</v>
      </c>
      <c r="R170" s="15" t="str">
        <f t="array" ref="R170">IFERROR(XLOOKUP(Q170,'Classificação'!B:B,'Classificação'!C:C),"")</f>
        <v>DESPESAS FIXAS (-)</v>
      </c>
      <c r="S170" s="15">
        <f t="shared" si="5"/>
        <v>20</v>
      </c>
      <c r="T170" s="15">
        <f t="shared" si="6"/>
        <v>9</v>
      </c>
      <c r="U170" s="15">
        <f t="shared" si="7"/>
        <v>2024</v>
      </c>
      <c r="V170" s="15">
        <f t="shared" si="8"/>
        <v>20</v>
      </c>
      <c r="W170" s="15">
        <f t="shared" si="9"/>
        <v>9</v>
      </c>
      <c r="X170" s="15">
        <f t="shared" si="10"/>
        <v>2024</v>
      </c>
    </row>
    <row r="171">
      <c r="A171" s="9">
        <v>45555.0</v>
      </c>
      <c r="B171" s="10"/>
      <c r="C171" s="9">
        <f t="shared" si="22"/>
        <v>45555</v>
      </c>
      <c r="D171" s="11" t="s">
        <v>100</v>
      </c>
      <c r="E171" s="11" t="s">
        <v>25</v>
      </c>
      <c r="F171" s="11" t="s">
        <v>40</v>
      </c>
      <c r="G171" s="11" t="s">
        <v>27</v>
      </c>
      <c r="H171" s="11" t="s">
        <v>242</v>
      </c>
      <c r="I171" s="12">
        <v>21534.25</v>
      </c>
      <c r="J171" s="13"/>
      <c r="K171" s="13">
        <f t="shared" si="2"/>
        <v>21534.25</v>
      </c>
      <c r="L171" s="11" t="s">
        <v>29</v>
      </c>
      <c r="M171" s="14"/>
      <c r="N171" s="11" t="s">
        <v>101</v>
      </c>
      <c r="O171" s="10" t="str">
        <f t="shared" si="3"/>
        <v>09/2024</v>
      </c>
      <c r="P171" s="10" t="str">
        <f t="shared" si="23"/>
        <v>09/2024</v>
      </c>
      <c r="Q171" s="15" t="str">
        <f t="array" ref="Q171">IFERROR(XLOOKUP(N171,'Classificação'!A:A,'Classificação'!B:B),"")</f>
        <v>IMPOSTO DE RENDA - DAS</v>
      </c>
      <c r="R171" s="15" t="str">
        <f t="array" ref="R171">IFERROR(XLOOKUP(Q171,'Classificação'!B:B,'Classificação'!C:C),"")</f>
        <v>DEDUÇÕES DA RECEITA BRUTA (-)</v>
      </c>
      <c r="S171" s="15">
        <f t="shared" si="5"/>
        <v>20</v>
      </c>
      <c r="T171" s="15">
        <f t="shared" si="6"/>
        <v>9</v>
      </c>
      <c r="U171" s="15">
        <f t="shared" si="7"/>
        <v>2024</v>
      </c>
      <c r="V171" s="15">
        <f t="shared" si="8"/>
        <v>20</v>
      </c>
      <c r="W171" s="15">
        <f t="shared" si="9"/>
        <v>9</v>
      </c>
      <c r="X171" s="15">
        <f t="shared" si="10"/>
        <v>2024</v>
      </c>
    </row>
    <row r="172">
      <c r="A172" s="9">
        <v>45555.0</v>
      </c>
      <c r="B172" s="10"/>
      <c r="C172" s="9">
        <f t="shared" si="22"/>
        <v>45555</v>
      </c>
      <c r="D172" s="11" t="s">
        <v>100</v>
      </c>
      <c r="E172" s="11" t="s">
        <v>25</v>
      </c>
      <c r="F172" s="11" t="s">
        <v>40</v>
      </c>
      <c r="G172" s="11" t="s">
        <v>37</v>
      </c>
      <c r="H172" s="11" t="s">
        <v>243</v>
      </c>
      <c r="I172" s="12">
        <v>1737.28</v>
      </c>
      <c r="J172" s="13"/>
      <c r="K172" s="13">
        <f t="shared" si="2"/>
        <v>1737.28</v>
      </c>
      <c r="L172" s="11" t="s">
        <v>29</v>
      </c>
      <c r="M172" s="14"/>
      <c r="N172" s="11" t="s">
        <v>101</v>
      </c>
      <c r="O172" s="10" t="str">
        <f t="shared" si="3"/>
        <v>09/2024</v>
      </c>
      <c r="P172" s="10" t="str">
        <f t="shared" si="23"/>
        <v>09/2024</v>
      </c>
      <c r="Q172" s="15" t="str">
        <f t="array" ref="Q172">IFERROR(XLOOKUP(N172,'Classificação'!A:A,'Classificação'!B:B),"")</f>
        <v>IMPOSTO DE RENDA - DAS</v>
      </c>
      <c r="R172" s="15" t="str">
        <f t="array" ref="R172">IFERROR(XLOOKUP(Q172,'Classificação'!B:B,'Classificação'!C:C),"")</f>
        <v>DEDUÇÕES DA RECEITA BRUTA (-)</v>
      </c>
      <c r="S172" s="15">
        <f t="shared" si="5"/>
        <v>20</v>
      </c>
      <c r="T172" s="15">
        <f t="shared" si="6"/>
        <v>9</v>
      </c>
      <c r="U172" s="15">
        <f t="shared" si="7"/>
        <v>2024</v>
      </c>
      <c r="V172" s="15">
        <f t="shared" si="8"/>
        <v>20</v>
      </c>
      <c r="W172" s="15">
        <f t="shared" si="9"/>
        <v>9</v>
      </c>
      <c r="X172" s="15">
        <f t="shared" si="10"/>
        <v>2024</v>
      </c>
    </row>
    <row r="173">
      <c r="A173" s="9">
        <v>45555.0</v>
      </c>
      <c r="B173" s="10"/>
      <c r="C173" s="9">
        <f t="shared" si="22"/>
        <v>45555</v>
      </c>
      <c r="D173" s="11" t="s">
        <v>118</v>
      </c>
      <c r="E173" s="11" t="s">
        <v>25</v>
      </c>
      <c r="F173" s="11" t="s">
        <v>107</v>
      </c>
      <c r="G173" s="11" t="s">
        <v>27</v>
      </c>
      <c r="H173" s="11" t="s">
        <v>244</v>
      </c>
      <c r="I173" s="12">
        <v>288.33</v>
      </c>
      <c r="J173" s="13"/>
      <c r="K173" s="13">
        <f t="shared" si="2"/>
        <v>288.33</v>
      </c>
      <c r="L173" s="11" t="s">
        <v>53</v>
      </c>
      <c r="M173" s="17">
        <v>45354.0</v>
      </c>
      <c r="N173" s="11" t="s">
        <v>120</v>
      </c>
      <c r="O173" s="10" t="str">
        <f t="shared" si="3"/>
        <v>09/2024</v>
      </c>
      <c r="P173" s="10" t="str">
        <f t="shared" si="23"/>
        <v>09/2024</v>
      </c>
      <c r="Q173" s="15" t="str">
        <f t="array" ref="Q173">IFERROR(XLOOKUP(N173,'Classificação'!A:A,'Classificação'!B:B),"")</f>
        <v>DESPESAS ADMINISTRATIVAS</v>
      </c>
      <c r="R173" s="15" t="str">
        <f t="array" ref="R173">IFERROR(XLOOKUP(Q173,'Classificação'!B:B,'Classificação'!C:C),"")</f>
        <v>DESPESAS FIXAS (-)</v>
      </c>
      <c r="S173" s="15">
        <f t="shared" si="5"/>
        <v>20</v>
      </c>
      <c r="T173" s="15">
        <f t="shared" si="6"/>
        <v>9</v>
      </c>
      <c r="U173" s="15">
        <f t="shared" si="7"/>
        <v>2024</v>
      </c>
      <c r="V173" s="15">
        <f t="shared" si="8"/>
        <v>20</v>
      </c>
      <c r="W173" s="15">
        <f t="shared" si="9"/>
        <v>9</v>
      </c>
      <c r="X173" s="15">
        <f t="shared" si="10"/>
        <v>2024</v>
      </c>
    </row>
    <row r="174">
      <c r="A174" s="9">
        <v>45555.0</v>
      </c>
      <c r="B174" s="10"/>
      <c r="C174" s="9">
        <f t="shared" si="22"/>
        <v>45555</v>
      </c>
      <c r="D174" s="11" t="s">
        <v>121</v>
      </c>
      <c r="E174" s="11" t="s">
        <v>25</v>
      </c>
      <c r="F174" s="11" t="s">
        <v>110</v>
      </c>
      <c r="G174" s="11" t="s">
        <v>27</v>
      </c>
      <c r="H174" s="11" t="s">
        <v>122</v>
      </c>
      <c r="I174" s="12">
        <v>29.9</v>
      </c>
      <c r="J174" s="13"/>
      <c r="K174" s="13">
        <f t="shared" si="2"/>
        <v>29.9</v>
      </c>
      <c r="L174" s="11" t="s">
        <v>29</v>
      </c>
      <c r="M174" s="14"/>
      <c r="N174" s="11" t="s">
        <v>105</v>
      </c>
      <c r="O174" s="10" t="str">
        <f t="shared" si="3"/>
        <v>09/2024</v>
      </c>
      <c r="P174" s="10" t="str">
        <f t="shared" si="23"/>
        <v>09/2024</v>
      </c>
      <c r="Q174" s="15" t="str">
        <f t="array" ref="Q174">IFERROR(XLOOKUP(N174,'Classificação'!A:A,'Classificação'!B:B),"")</f>
        <v>DESPESAS ADMINISTRATIVAS</v>
      </c>
      <c r="R174" s="15" t="str">
        <f t="array" ref="R174">IFERROR(XLOOKUP(Q174,'Classificação'!B:B,'Classificação'!C:C),"")</f>
        <v>DESPESAS FIXAS (-)</v>
      </c>
      <c r="S174" s="15">
        <f t="shared" si="5"/>
        <v>20</v>
      </c>
      <c r="T174" s="15">
        <f t="shared" si="6"/>
        <v>9</v>
      </c>
      <c r="U174" s="15">
        <f t="shared" si="7"/>
        <v>2024</v>
      </c>
      <c r="V174" s="15">
        <f t="shared" si="8"/>
        <v>20</v>
      </c>
      <c r="W174" s="15">
        <f t="shared" si="9"/>
        <v>9</v>
      </c>
      <c r="X174" s="15">
        <f t="shared" si="10"/>
        <v>2024</v>
      </c>
    </row>
    <row r="175">
      <c r="A175" s="9">
        <v>45555.0</v>
      </c>
      <c r="B175" s="10"/>
      <c r="C175" s="9">
        <f t="shared" si="22"/>
        <v>45555</v>
      </c>
      <c r="D175" s="11" t="s">
        <v>123</v>
      </c>
      <c r="E175" s="11" t="s">
        <v>25</v>
      </c>
      <c r="F175" s="11" t="s">
        <v>40</v>
      </c>
      <c r="G175" s="11" t="s">
        <v>27</v>
      </c>
      <c r="I175" s="12">
        <v>421.48</v>
      </c>
      <c r="J175" s="13"/>
      <c r="K175" s="13">
        <f t="shared" si="2"/>
        <v>421.48</v>
      </c>
      <c r="L175" s="11" t="s">
        <v>29</v>
      </c>
      <c r="M175" s="14"/>
      <c r="N175" s="11" t="s">
        <v>123</v>
      </c>
      <c r="O175" s="10" t="str">
        <f t="shared" si="3"/>
        <v>09/2024</v>
      </c>
      <c r="P175" s="10" t="str">
        <f t="shared" si="23"/>
        <v>09/2024</v>
      </c>
      <c r="Q175" s="15" t="str">
        <f t="array" ref="Q175">IFERROR(XLOOKUP(N175,'Classificação'!A:A,'Classificação'!B:B),"")</f>
        <v>DESPESAS COM PESSOAL</v>
      </c>
      <c r="R175" s="15" t="str">
        <f t="array" ref="R175">IFERROR(XLOOKUP(Q175,'Classificação'!B:B,'Classificação'!C:C),"")</f>
        <v>DESPESAS FIXAS (-)</v>
      </c>
      <c r="S175" s="15">
        <f t="shared" si="5"/>
        <v>20</v>
      </c>
      <c r="T175" s="15">
        <f t="shared" si="6"/>
        <v>9</v>
      </c>
      <c r="U175" s="15">
        <f t="shared" si="7"/>
        <v>2024</v>
      </c>
      <c r="V175" s="15">
        <f t="shared" si="8"/>
        <v>20</v>
      </c>
      <c r="W175" s="15">
        <f t="shared" si="9"/>
        <v>9</v>
      </c>
      <c r="X175" s="15">
        <f t="shared" si="10"/>
        <v>2024</v>
      </c>
    </row>
    <row r="176">
      <c r="A176" s="9">
        <v>45555.0</v>
      </c>
      <c r="B176" s="10"/>
      <c r="C176" s="9">
        <f t="shared" si="22"/>
        <v>45555</v>
      </c>
      <c r="D176" s="11" t="s">
        <v>76</v>
      </c>
      <c r="E176" s="11" t="s">
        <v>25</v>
      </c>
      <c r="F176" s="11" t="s">
        <v>107</v>
      </c>
      <c r="G176" s="11" t="s">
        <v>27</v>
      </c>
      <c r="H176" s="11" t="s">
        <v>245</v>
      </c>
      <c r="I176" s="12">
        <v>300.5</v>
      </c>
      <c r="J176" s="13"/>
      <c r="K176" s="13">
        <f t="shared" si="2"/>
        <v>300.5</v>
      </c>
      <c r="L176" s="11" t="s">
        <v>53</v>
      </c>
      <c r="M176" s="17">
        <v>45638.0</v>
      </c>
      <c r="N176" s="11" t="s">
        <v>64</v>
      </c>
      <c r="O176" s="10" t="str">
        <f t="shared" si="3"/>
        <v>09/2024</v>
      </c>
      <c r="P176" s="10" t="str">
        <f t="shared" si="23"/>
        <v>09/2024</v>
      </c>
      <c r="Q176" s="15" t="str">
        <f t="array" ref="Q176">IFERROR(XLOOKUP(N176,'Classificação'!A:A,'Classificação'!B:B),"")</f>
        <v>DESPESAS COM PESSOAL</v>
      </c>
      <c r="R176" s="15" t="str">
        <f t="array" ref="R176">IFERROR(XLOOKUP(Q176,'Classificação'!B:B,'Classificação'!C:C),"")</f>
        <v>DESPESAS FIXAS (-)</v>
      </c>
      <c r="S176" s="15">
        <f t="shared" si="5"/>
        <v>20</v>
      </c>
      <c r="T176" s="15">
        <f t="shared" si="6"/>
        <v>9</v>
      </c>
      <c r="U176" s="15">
        <f t="shared" si="7"/>
        <v>2024</v>
      </c>
      <c r="V176" s="15">
        <f t="shared" si="8"/>
        <v>20</v>
      </c>
      <c r="W176" s="15">
        <f t="shared" si="9"/>
        <v>9</v>
      </c>
      <c r="X176" s="15">
        <f t="shared" si="10"/>
        <v>2024</v>
      </c>
    </row>
    <row r="177">
      <c r="A177" s="9">
        <v>45555.0</v>
      </c>
      <c r="B177" s="10"/>
      <c r="C177" s="9">
        <f t="shared" si="22"/>
        <v>45555</v>
      </c>
      <c r="D177" s="11" t="s">
        <v>125</v>
      </c>
      <c r="E177" s="11" t="s">
        <v>25</v>
      </c>
      <c r="F177" s="11" t="s">
        <v>107</v>
      </c>
      <c r="G177" s="11" t="s">
        <v>27</v>
      </c>
      <c r="H177" s="11" t="s">
        <v>245</v>
      </c>
      <c r="I177" s="12">
        <v>64.75</v>
      </c>
      <c r="J177" s="13"/>
      <c r="K177" s="13">
        <f t="shared" si="2"/>
        <v>64.75</v>
      </c>
      <c r="L177" s="11" t="s">
        <v>53</v>
      </c>
      <c r="M177" s="17">
        <v>45415.0</v>
      </c>
      <c r="N177" s="11" t="s">
        <v>95</v>
      </c>
      <c r="O177" s="10" t="str">
        <f t="shared" si="3"/>
        <v>09/2024</v>
      </c>
      <c r="P177" s="10" t="str">
        <f t="shared" si="23"/>
        <v>09/2024</v>
      </c>
      <c r="Q177" s="15" t="str">
        <f t="array" ref="Q177">IFERROR(XLOOKUP(N177,'Classificação'!A:A,'Classificação'!B:B),"")</f>
        <v>DESPESAS NÃO OPERACIONAIS</v>
      </c>
      <c r="R177" s="15" t="str">
        <f t="array" ref="R177">IFERROR(XLOOKUP(Q177,'Classificação'!B:B,'Classificação'!C:C),"")</f>
        <v>RESULTADO NÃO OPERACIONAL (+/-)</v>
      </c>
      <c r="S177" s="15">
        <f t="shared" si="5"/>
        <v>20</v>
      </c>
      <c r="T177" s="15">
        <f t="shared" si="6"/>
        <v>9</v>
      </c>
      <c r="U177" s="15">
        <f t="shared" si="7"/>
        <v>2024</v>
      </c>
      <c r="V177" s="15">
        <f t="shared" si="8"/>
        <v>20</v>
      </c>
      <c r="W177" s="15">
        <f t="shared" si="9"/>
        <v>9</v>
      </c>
      <c r="X177" s="15">
        <f t="shared" si="10"/>
        <v>2024</v>
      </c>
    </row>
    <row r="178">
      <c r="A178" s="9">
        <v>45555.0</v>
      </c>
      <c r="B178" s="10"/>
      <c r="C178" s="9">
        <f t="shared" si="22"/>
        <v>45555</v>
      </c>
      <c r="D178" s="11" t="s">
        <v>126</v>
      </c>
      <c r="E178" s="11" t="s">
        <v>25</v>
      </c>
      <c r="F178" s="11" t="s">
        <v>40</v>
      </c>
      <c r="G178" s="11" t="s">
        <v>27</v>
      </c>
      <c r="I178" s="12">
        <v>556.64</v>
      </c>
      <c r="J178" s="13"/>
      <c r="K178" s="13">
        <f t="shared" si="2"/>
        <v>556.64</v>
      </c>
      <c r="L178" s="11" t="s">
        <v>29</v>
      </c>
      <c r="M178" s="14"/>
      <c r="N178" s="11" t="s">
        <v>126</v>
      </c>
      <c r="O178" s="10" t="str">
        <f t="shared" si="3"/>
        <v>09/2024</v>
      </c>
      <c r="P178" s="10" t="str">
        <f t="shared" si="23"/>
        <v>09/2024</v>
      </c>
      <c r="Q178" s="15" t="str">
        <f t="array" ref="Q178">IFERROR(XLOOKUP(N178,'Classificação'!A:A,'Classificação'!B:B),"")</f>
        <v>DESPESAS COM PESSOAL</v>
      </c>
      <c r="R178" s="15" t="str">
        <f t="array" ref="R178">IFERROR(XLOOKUP(Q178,'Classificação'!B:B,'Classificação'!C:C),"")</f>
        <v>DESPESAS FIXAS (-)</v>
      </c>
      <c r="S178" s="15">
        <f t="shared" si="5"/>
        <v>20</v>
      </c>
      <c r="T178" s="15">
        <f t="shared" si="6"/>
        <v>9</v>
      </c>
      <c r="U178" s="15">
        <f t="shared" si="7"/>
        <v>2024</v>
      </c>
      <c r="V178" s="15">
        <f t="shared" si="8"/>
        <v>20</v>
      </c>
      <c r="W178" s="15">
        <f t="shared" si="9"/>
        <v>9</v>
      </c>
      <c r="X178" s="15">
        <f t="shared" si="10"/>
        <v>2024</v>
      </c>
    </row>
    <row r="179">
      <c r="A179" s="9">
        <v>45555.0</v>
      </c>
      <c r="B179" s="10"/>
      <c r="C179" s="9">
        <f t="shared" si="22"/>
        <v>45555</v>
      </c>
      <c r="D179" s="11" t="s">
        <v>129</v>
      </c>
      <c r="E179" s="11" t="s">
        <v>25</v>
      </c>
      <c r="F179" s="11" t="s">
        <v>107</v>
      </c>
      <c r="G179" s="11" t="s">
        <v>27</v>
      </c>
      <c r="I179" s="12">
        <v>330.0</v>
      </c>
      <c r="J179" s="13"/>
      <c r="K179" s="13">
        <f t="shared" si="2"/>
        <v>330</v>
      </c>
      <c r="L179" s="11" t="s">
        <v>53</v>
      </c>
      <c r="M179" s="17">
        <v>45414.0</v>
      </c>
      <c r="N179" s="11" t="s">
        <v>95</v>
      </c>
      <c r="O179" s="10" t="str">
        <f t="shared" si="3"/>
        <v>09/2024</v>
      </c>
      <c r="P179" s="10" t="str">
        <f t="shared" si="23"/>
        <v>09/2024</v>
      </c>
      <c r="Q179" s="15" t="str">
        <f t="array" ref="Q179">IFERROR(XLOOKUP(N179,'Classificação'!A:A,'Classificação'!B:B),"")</f>
        <v>DESPESAS NÃO OPERACIONAIS</v>
      </c>
      <c r="R179" s="15" t="str">
        <f t="array" ref="R179">IFERROR(XLOOKUP(Q179,'Classificação'!B:B,'Classificação'!C:C),"")</f>
        <v>RESULTADO NÃO OPERACIONAL (+/-)</v>
      </c>
      <c r="S179" s="15">
        <f t="shared" si="5"/>
        <v>20</v>
      </c>
      <c r="T179" s="15">
        <f t="shared" si="6"/>
        <v>9</v>
      </c>
      <c r="U179" s="15">
        <f t="shared" si="7"/>
        <v>2024</v>
      </c>
      <c r="V179" s="15">
        <f t="shared" si="8"/>
        <v>20</v>
      </c>
      <c r="W179" s="15">
        <f t="shared" si="9"/>
        <v>9</v>
      </c>
      <c r="X179" s="15">
        <f t="shared" si="10"/>
        <v>2024</v>
      </c>
    </row>
    <row r="180">
      <c r="A180" s="9">
        <v>45555.0</v>
      </c>
      <c r="B180" s="10"/>
      <c r="C180" s="9">
        <f t="shared" si="22"/>
        <v>45555</v>
      </c>
      <c r="D180" s="11" t="s">
        <v>131</v>
      </c>
      <c r="E180" s="11" t="s">
        <v>25</v>
      </c>
      <c r="F180" s="11" t="s">
        <v>107</v>
      </c>
      <c r="G180" s="11" t="s">
        <v>27</v>
      </c>
      <c r="I180" s="12">
        <v>249.34</v>
      </c>
      <c r="J180" s="13"/>
      <c r="K180" s="13">
        <f t="shared" si="2"/>
        <v>249.34</v>
      </c>
      <c r="L180" s="11" t="s">
        <v>53</v>
      </c>
      <c r="M180" s="17">
        <v>45630.0</v>
      </c>
      <c r="N180" s="11" t="s">
        <v>133</v>
      </c>
      <c r="O180" s="10" t="str">
        <f t="shared" si="3"/>
        <v>09/2024</v>
      </c>
      <c r="P180" s="10" t="str">
        <f t="shared" si="23"/>
        <v>09/2024</v>
      </c>
      <c r="Q180" s="15" t="str">
        <f t="array" ref="Q180">IFERROR(XLOOKUP(N180,'Classificação'!A:A,'Classificação'!B:B),"")</f>
        <v>DESPESAS COM VEICULOS</v>
      </c>
      <c r="R180" s="15" t="str">
        <f t="array" ref="R180">IFERROR(XLOOKUP(Q180,'Classificação'!B:B,'Classificação'!C:C),"")</f>
        <v>DESPESAS FIXAS (-)</v>
      </c>
      <c r="S180" s="15">
        <f t="shared" si="5"/>
        <v>20</v>
      </c>
      <c r="T180" s="15">
        <f t="shared" si="6"/>
        <v>9</v>
      </c>
      <c r="U180" s="15">
        <f t="shared" si="7"/>
        <v>2024</v>
      </c>
      <c r="V180" s="15">
        <f t="shared" si="8"/>
        <v>20</v>
      </c>
      <c r="W180" s="15">
        <f t="shared" si="9"/>
        <v>9</v>
      </c>
      <c r="X180" s="15">
        <f t="shared" si="10"/>
        <v>2024</v>
      </c>
    </row>
    <row r="181">
      <c r="A181" s="9">
        <v>45555.0</v>
      </c>
      <c r="B181" s="10"/>
      <c r="C181" s="9">
        <f t="shared" si="22"/>
        <v>45555</v>
      </c>
      <c r="D181" s="11" t="s">
        <v>65</v>
      </c>
      <c r="E181" s="11" t="s">
        <v>25</v>
      </c>
      <c r="F181" s="11" t="s">
        <v>107</v>
      </c>
      <c r="G181" s="11" t="s">
        <v>27</v>
      </c>
      <c r="H181" s="11" t="s">
        <v>246</v>
      </c>
      <c r="I181" s="12">
        <v>126.9</v>
      </c>
      <c r="J181" s="13"/>
      <c r="K181" s="13">
        <f t="shared" si="2"/>
        <v>126.9</v>
      </c>
      <c r="L181" s="11" t="s">
        <v>53</v>
      </c>
      <c r="M181" s="17">
        <v>45574.0</v>
      </c>
      <c r="N181" s="11" t="s">
        <v>95</v>
      </c>
      <c r="O181" s="10" t="str">
        <f t="shared" si="3"/>
        <v>09/2024</v>
      </c>
      <c r="P181" s="10" t="str">
        <f t="shared" si="23"/>
        <v>09/2024</v>
      </c>
      <c r="Q181" s="15" t="str">
        <f t="array" ref="Q181">IFERROR(XLOOKUP(N181,'Classificação'!A:A,'Classificação'!B:B),"")</f>
        <v>DESPESAS NÃO OPERACIONAIS</v>
      </c>
      <c r="R181" s="15" t="str">
        <f t="array" ref="R181">IFERROR(XLOOKUP(Q181,'Classificação'!B:B,'Classificação'!C:C),"")</f>
        <v>RESULTADO NÃO OPERACIONAL (+/-)</v>
      </c>
      <c r="S181" s="15">
        <f t="shared" si="5"/>
        <v>20</v>
      </c>
      <c r="T181" s="15">
        <f t="shared" si="6"/>
        <v>9</v>
      </c>
      <c r="U181" s="15">
        <f t="shared" si="7"/>
        <v>2024</v>
      </c>
      <c r="V181" s="15">
        <f t="shared" si="8"/>
        <v>20</v>
      </c>
      <c r="W181" s="15">
        <f t="shared" si="9"/>
        <v>9</v>
      </c>
      <c r="X181" s="15">
        <f t="shared" si="10"/>
        <v>2024</v>
      </c>
    </row>
    <row r="182">
      <c r="A182" s="9">
        <v>45555.0</v>
      </c>
      <c r="B182" s="19">
        <v>45349.0</v>
      </c>
      <c r="C182" s="9">
        <f t="shared" si="22"/>
        <v>45555</v>
      </c>
      <c r="D182" s="11" t="s">
        <v>65</v>
      </c>
      <c r="E182" s="11" t="s">
        <v>25</v>
      </c>
      <c r="F182" s="11" t="s">
        <v>107</v>
      </c>
      <c r="G182" s="11" t="s">
        <v>27</v>
      </c>
      <c r="H182" s="11" t="s">
        <v>247</v>
      </c>
      <c r="I182" s="12">
        <v>79.92</v>
      </c>
      <c r="J182" s="13"/>
      <c r="K182" s="13">
        <f t="shared" si="2"/>
        <v>79.92</v>
      </c>
      <c r="L182" s="11" t="s">
        <v>53</v>
      </c>
      <c r="M182" s="17">
        <v>45572.0</v>
      </c>
      <c r="N182" s="11" t="s">
        <v>95</v>
      </c>
      <c r="O182" s="10" t="str">
        <f t="shared" si="3"/>
        <v>09/2024</v>
      </c>
      <c r="P182" s="10" t="str">
        <f t="shared" si="23"/>
        <v>09/2024</v>
      </c>
      <c r="Q182" s="15" t="str">
        <f t="array" ref="Q182">IFERROR(XLOOKUP(N182,'Classificação'!A:A,'Classificação'!B:B),"")</f>
        <v>DESPESAS NÃO OPERACIONAIS</v>
      </c>
      <c r="R182" s="15" t="str">
        <f t="array" ref="R182">IFERROR(XLOOKUP(Q182,'Classificação'!B:B,'Classificação'!C:C),"")</f>
        <v>RESULTADO NÃO OPERACIONAL (+/-)</v>
      </c>
      <c r="S182" s="15">
        <f t="shared" si="5"/>
        <v>20</v>
      </c>
      <c r="T182" s="15">
        <f t="shared" si="6"/>
        <v>9</v>
      </c>
      <c r="U182" s="15">
        <f t="shared" si="7"/>
        <v>2024</v>
      </c>
      <c r="V182" s="15">
        <f t="shared" si="8"/>
        <v>20</v>
      </c>
      <c r="W182" s="15">
        <f t="shared" si="9"/>
        <v>9</v>
      </c>
      <c r="X182" s="15">
        <f t="shared" si="10"/>
        <v>2024</v>
      </c>
    </row>
    <row r="183">
      <c r="A183" s="9">
        <v>45555.0</v>
      </c>
      <c r="B183" s="10"/>
      <c r="C183" s="9">
        <f t="shared" si="22"/>
        <v>45555</v>
      </c>
      <c r="D183" s="11" t="s">
        <v>65</v>
      </c>
      <c r="E183" s="11" t="s">
        <v>25</v>
      </c>
      <c r="F183" s="11" t="s">
        <v>107</v>
      </c>
      <c r="G183" s="11" t="s">
        <v>27</v>
      </c>
      <c r="H183" s="11" t="s">
        <v>248</v>
      </c>
      <c r="I183" s="12">
        <v>64.9</v>
      </c>
      <c r="J183" s="13"/>
      <c r="K183" s="13">
        <f t="shared" si="2"/>
        <v>64.9</v>
      </c>
      <c r="L183" s="11" t="s">
        <v>53</v>
      </c>
      <c r="M183" s="17">
        <v>45569.0</v>
      </c>
      <c r="N183" s="11" t="s">
        <v>95</v>
      </c>
      <c r="O183" s="10" t="str">
        <f t="shared" si="3"/>
        <v>09/2024</v>
      </c>
      <c r="P183" s="10" t="str">
        <f t="shared" si="23"/>
        <v>09/2024</v>
      </c>
      <c r="Q183" s="15" t="str">
        <f t="array" ref="Q183">IFERROR(XLOOKUP(N183,'Classificação'!A:A,'Classificação'!B:B),"")</f>
        <v>DESPESAS NÃO OPERACIONAIS</v>
      </c>
      <c r="R183" s="15" t="str">
        <f t="array" ref="R183">IFERROR(XLOOKUP(Q183,'Classificação'!B:B,'Classificação'!C:C),"")</f>
        <v>RESULTADO NÃO OPERACIONAL (+/-)</v>
      </c>
      <c r="S183" s="15">
        <f t="shared" si="5"/>
        <v>20</v>
      </c>
      <c r="T183" s="15">
        <f t="shared" si="6"/>
        <v>9</v>
      </c>
      <c r="U183" s="15">
        <f t="shared" si="7"/>
        <v>2024</v>
      </c>
      <c r="V183" s="15">
        <f t="shared" si="8"/>
        <v>20</v>
      </c>
      <c r="W183" s="15">
        <f t="shared" si="9"/>
        <v>9</v>
      </c>
      <c r="X183" s="15">
        <f t="shared" si="10"/>
        <v>2024</v>
      </c>
    </row>
    <row r="184">
      <c r="A184" s="9">
        <v>45555.0</v>
      </c>
      <c r="B184" s="10"/>
      <c r="C184" s="9">
        <f t="shared" si="22"/>
        <v>45555</v>
      </c>
      <c r="D184" s="11" t="s">
        <v>65</v>
      </c>
      <c r="E184" s="11" t="s">
        <v>25</v>
      </c>
      <c r="F184" s="11" t="s">
        <v>107</v>
      </c>
      <c r="G184" s="11" t="s">
        <v>27</v>
      </c>
      <c r="H184" s="11" t="s">
        <v>249</v>
      </c>
      <c r="I184" s="12">
        <v>36.6</v>
      </c>
      <c r="J184" s="13"/>
      <c r="K184" s="13">
        <f t="shared" si="2"/>
        <v>36.6</v>
      </c>
      <c r="L184" s="11" t="s">
        <v>53</v>
      </c>
      <c r="M184" s="17">
        <v>45385.0</v>
      </c>
      <c r="N184" s="11" t="s">
        <v>143</v>
      </c>
      <c r="O184" s="10" t="str">
        <f t="shared" si="3"/>
        <v>09/2024</v>
      </c>
      <c r="P184" s="10" t="str">
        <f t="shared" si="23"/>
        <v>09/2024</v>
      </c>
      <c r="Q184" s="15" t="str">
        <f t="array" ref="Q184">IFERROR(XLOOKUP(N184,'Classificação'!A:A,'Classificação'!B:B),"")</f>
        <v>EMBALAGENS/FITAS/GERAL</v>
      </c>
      <c r="R184" s="15" t="str">
        <f t="array" ref="R184">IFERROR(XLOOKUP(Q184,'Classificação'!B:B,'Classificação'!C:C),"")</f>
        <v>CUSTOS VARIÁVEIS</v>
      </c>
      <c r="S184" s="15">
        <f t="shared" si="5"/>
        <v>20</v>
      </c>
      <c r="T184" s="15">
        <f t="shared" si="6"/>
        <v>9</v>
      </c>
      <c r="U184" s="15">
        <f t="shared" si="7"/>
        <v>2024</v>
      </c>
      <c r="V184" s="15">
        <f t="shared" si="8"/>
        <v>20</v>
      </c>
      <c r="W184" s="15">
        <f t="shared" si="9"/>
        <v>9</v>
      </c>
      <c r="X184" s="15">
        <f t="shared" si="10"/>
        <v>2024</v>
      </c>
    </row>
    <row r="185">
      <c r="A185" s="9">
        <v>45555.0</v>
      </c>
      <c r="B185" s="10"/>
      <c r="C185" s="9">
        <f t="shared" si="22"/>
        <v>45555</v>
      </c>
      <c r="D185" s="11" t="s">
        <v>65</v>
      </c>
      <c r="E185" s="11" t="s">
        <v>25</v>
      </c>
      <c r="F185" s="11" t="s">
        <v>107</v>
      </c>
      <c r="G185" s="11" t="s">
        <v>27</v>
      </c>
      <c r="H185" s="11" t="s">
        <v>250</v>
      </c>
      <c r="I185" s="12">
        <v>30.94</v>
      </c>
      <c r="J185" s="13"/>
      <c r="K185" s="13">
        <f t="shared" si="2"/>
        <v>30.94</v>
      </c>
      <c r="L185" s="11" t="s">
        <v>53</v>
      </c>
      <c r="M185" s="17">
        <v>45354.0</v>
      </c>
      <c r="N185" s="11" t="s">
        <v>143</v>
      </c>
      <c r="O185" s="10" t="str">
        <f t="shared" si="3"/>
        <v>09/2024</v>
      </c>
      <c r="P185" s="10" t="str">
        <f t="shared" si="23"/>
        <v>09/2024</v>
      </c>
      <c r="Q185" s="15" t="str">
        <f t="array" ref="Q185">IFERROR(XLOOKUP(N185,'Classificação'!A:A,'Classificação'!B:B),"")</f>
        <v>EMBALAGENS/FITAS/GERAL</v>
      </c>
      <c r="R185" s="15" t="str">
        <f t="array" ref="R185">IFERROR(XLOOKUP(Q185,'Classificação'!B:B,'Classificação'!C:C),"")</f>
        <v>CUSTOS VARIÁVEIS</v>
      </c>
      <c r="S185" s="15">
        <f t="shared" si="5"/>
        <v>20</v>
      </c>
      <c r="T185" s="15">
        <f t="shared" si="6"/>
        <v>9</v>
      </c>
      <c r="U185" s="15">
        <f t="shared" si="7"/>
        <v>2024</v>
      </c>
      <c r="V185" s="15">
        <f t="shared" si="8"/>
        <v>20</v>
      </c>
      <c r="W185" s="15">
        <f t="shared" si="9"/>
        <v>9</v>
      </c>
      <c r="X185" s="15">
        <f t="shared" si="10"/>
        <v>2024</v>
      </c>
    </row>
    <row r="186">
      <c r="A186" s="9">
        <v>45555.0</v>
      </c>
      <c r="B186" s="10"/>
      <c r="C186" s="9">
        <f t="shared" si="22"/>
        <v>45555</v>
      </c>
      <c r="D186" s="11" t="s">
        <v>65</v>
      </c>
      <c r="E186" s="11" t="s">
        <v>25</v>
      </c>
      <c r="F186" s="11" t="s">
        <v>107</v>
      </c>
      <c r="G186" s="11" t="s">
        <v>27</v>
      </c>
      <c r="H186" s="11" t="s">
        <v>251</v>
      </c>
      <c r="I186" s="12">
        <v>56.49</v>
      </c>
      <c r="J186" s="13"/>
      <c r="K186" s="13">
        <f t="shared" si="2"/>
        <v>56.49</v>
      </c>
      <c r="L186" s="11" t="s">
        <v>53</v>
      </c>
      <c r="M186" s="17">
        <v>45353.0</v>
      </c>
      <c r="N186" s="11" t="s">
        <v>143</v>
      </c>
      <c r="O186" s="10" t="str">
        <f t="shared" si="3"/>
        <v>09/2024</v>
      </c>
      <c r="P186" s="10" t="str">
        <f t="shared" si="23"/>
        <v>09/2024</v>
      </c>
      <c r="Q186" s="15" t="str">
        <f t="array" ref="Q186">IFERROR(XLOOKUP(N186,'Classificação'!A:A,'Classificação'!B:B),"")</f>
        <v>EMBALAGENS/FITAS/GERAL</v>
      </c>
      <c r="R186" s="15" t="str">
        <f t="array" ref="R186">IFERROR(XLOOKUP(Q186,'Classificação'!B:B,'Classificação'!C:C),"")</f>
        <v>CUSTOS VARIÁVEIS</v>
      </c>
      <c r="S186" s="15">
        <f t="shared" si="5"/>
        <v>20</v>
      </c>
      <c r="T186" s="15">
        <f t="shared" si="6"/>
        <v>9</v>
      </c>
      <c r="U186" s="15">
        <f t="shared" si="7"/>
        <v>2024</v>
      </c>
      <c r="V186" s="15">
        <f t="shared" si="8"/>
        <v>20</v>
      </c>
      <c r="W186" s="15">
        <f t="shared" si="9"/>
        <v>9</v>
      </c>
      <c r="X186" s="15">
        <f t="shared" si="10"/>
        <v>2024</v>
      </c>
    </row>
    <row r="187">
      <c r="A187" s="9">
        <v>45555.0</v>
      </c>
      <c r="B187" s="10"/>
      <c r="C187" s="9">
        <f t="shared" si="22"/>
        <v>45555</v>
      </c>
      <c r="D187" s="11" t="s">
        <v>65</v>
      </c>
      <c r="E187" s="11" t="s">
        <v>25</v>
      </c>
      <c r="F187" s="11" t="s">
        <v>107</v>
      </c>
      <c r="G187" s="11" t="s">
        <v>27</v>
      </c>
      <c r="H187" s="11" t="s">
        <v>252</v>
      </c>
      <c r="I187" s="12">
        <v>35.98</v>
      </c>
      <c r="J187" s="13"/>
      <c r="K187" s="13">
        <f t="shared" si="2"/>
        <v>35.98</v>
      </c>
      <c r="L187" s="11" t="s">
        <v>53</v>
      </c>
      <c r="M187" s="17">
        <v>45414.0</v>
      </c>
      <c r="N187" s="11" t="s">
        <v>143</v>
      </c>
      <c r="O187" s="10" t="str">
        <f t="shared" si="3"/>
        <v>09/2024</v>
      </c>
      <c r="P187" s="10" t="str">
        <f t="shared" si="23"/>
        <v>09/2024</v>
      </c>
      <c r="Q187" s="15" t="str">
        <f t="array" ref="Q187">IFERROR(XLOOKUP(N187,'Classificação'!A:A,'Classificação'!B:B),"")</f>
        <v>EMBALAGENS/FITAS/GERAL</v>
      </c>
      <c r="R187" s="15" t="str">
        <f t="array" ref="R187">IFERROR(XLOOKUP(Q187,'Classificação'!B:B,'Classificação'!C:C),"")</f>
        <v>CUSTOS VARIÁVEIS</v>
      </c>
      <c r="S187" s="15">
        <f t="shared" si="5"/>
        <v>20</v>
      </c>
      <c r="T187" s="15">
        <f t="shared" si="6"/>
        <v>9</v>
      </c>
      <c r="U187" s="15">
        <f t="shared" si="7"/>
        <v>2024</v>
      </c>
      <c r="V187" s="15">
        <f t="shared" si="8"/>
        <v>20</v>
      </c>
      <c r="W187" s="15">
        <f t="shared" si="9"/>
        <v>9</v>
      </c>
      <c r="X187" s="15">
        <f t="shared" si="10"/>
        <v>2024</v>
      </c>
    </row>
    <row r="188">
      <c r="A188" s="9">
        <v>45555.0</v>
      </c>
      <c r="B188" s="10"/>
      <c r="C188" s="9">
        <f t="shared" si="22"/>
        <v>45555</v>
      </c>
      <c r="D188" s="11" t="s">
        <v>163</v>
      </c>
      <c r="E188" s="11" t="s">
        <v>25</v>
      </c>
      <c r="F188" s="11" t="s">
        <v>107</v>
      </c>
      <c r="G188" s="11" t="s">
        <v>27</v>
      </c>
      <c r="H188" s="11" t="s">
        <v>253</v>
      </c>
      <c r="I188" s="12">
        <v>96.41</v>
      </c>
      <c r="J188" s="13"/>
      <c r="K188" s="13">
        <f t="shared" si="2"/>
        <v>96.41</v>
      </c>
      <c r="L188" s="11" t="s">
        <v>53</v>
      </c>
      <c r="M188" s="17">
        <v>45445.0</v>
      </c>
      <c r="N188" s="11" t="s">
        <v>95</v>
      </c>
      <c r="O188" s="10" t="str">
        <f t="shared" si="3"/>
        <v>09/2024</v>
      </c>
      <c r="P188" s="10" t="str">
        <f t="shared" si="23"/>
        <v>09/2024</v>
      </c>
      <c r="Q188" s="15" t="str">
        <f t="array" ref="Q188">IFERROR(XLOOKUP(N188,'Classificação'!A:A,'Classificação'!B:B),"")</f>
        <v>DESPESAS NÃO OPERACIONAIS</v>
      </c>
      <c r="R188" s="15" t="str">
        <f t="array" ref="R188">IFERROR(XLOOKUP(Q188,'Classificação'!B:B,'Classificação'!C:C),"")</f>
        <v>RESULTADO NÃO OPERACIONAL (+/-)</v>
      </c>
      <c r="S188" s="15">
        <f t="shared" si="5"/>
        <v>20</v>
      </c>
      <c r="T188" s="15">
        <f t="shared" si="6"/>
        <v>9</v>
      </c>
      <c r="U188" s="15">
        <f t="shared" si="7"/>
        <v>2024</v>
      </c>
      <c r="V188" s="15">
        <f t="shared" si="8"/>
        <v>20</v>
      </c>
      <c r="W188" s="15">
        <f t="shared" si="9"/>
        <v>9</v>
      </c>
      <c r="X188" s="15">
        <f t="shared" si="10"/>
        <v>2024</v>
      </c>
    </row>
    <row r="189">
      <c r="A189" s="9">
        <v>45555.0</v>
      </c>
      <c r="B189" s="10"/>
      <c r="C189" s="9">
        <f t="shared" si="22"/>
        <v>45555</v>
      </c>
      <c r="D189" s="11" t="s">
        <v>163</v>
      </c>
      <c r="E189" s="11" t="s">
        <v>25</v>
      </c>
      <c r="F189" s="11" t="s">
        <v>107</v>
      </c>
      <c r="G189" s="11" t="s">
        <v>27</v>
      </c>
      <c r="H189" s="11" t="s">
        <v>253</v>
      </c>
      <c r="I189" s="12">
        <v>144.15</v>
      </c>
      <c r="J189" s="13"/>
      <c r="K189" s="13">
        <f t="shared" si="2"/>
        <v>144.15</v>
      </c>
      <c r="L189" s="11" t="s">
        <v>53</v>
      </c>
      <c r="M189" s="17">
        <v>45628.0</v>
      </c>
      <c r="N189" s="11" t="s">
        <v>95</v>
      </c>
      <c r="O189" s="10" t="str">
        <f t="shared" si="3"/>
        <v>09/2024</v>
      </c>
      <c r="P189" s="10" t="str">
        <f t="shared" si="23"/>
        <v>09/2024</v>
      </c>
      <c r="Q189" s="15" t="str">
        <f t="array" ref="Q189">IFERROR(XLOOKUP(N189,'Classificação'!A:A,'Classificação'!B:B),"")</f>
        <v>DESPESAS NÃO OPERACIONAIS</v>
      </c>
      <c r="R189" s="15" t="str">
        <f t="array" ref="R189">IFERROR(XLOOKUP(Q189,'Classificação'!B:B,'Classificação'!C:C),"")</f>
        <v>RESULTADO NÃO OPERACIONAL (+/-)</v>
      </c>
      <c r="S189" s="15">
        <f t="shared" si="5"/>
        <v>20</v>
      </c>
      <c r="T189" s="15">
        <f t="shared" si="6"/>
        <v>9</v>
      </c>
      <c r="U189" s="15">
        <f t="shared" si="7"/>
        <v>2024</v>
      </c>
      <c r="V189" s="15">
        <f t="shared" si="8"/>
        <v>20</v>
      </c>
      <c r="W189" s="15">
        <f t="shared" si="9"/>
        <v>9</v>
      </c>
      <c r="X189" s="15">
        <f t="shared" si="10"/>
        <v>2024</v>
      </c>
    </row>
    <row r="190">
      <c r="A190" s="9">
        <v>45555.0</v>
      </c>
      <c r="B190" s="10"/>
      <c r="C190" s="9">
        <f t="shared" si="22"/>
        <v>45555</v>
      </c>
      <c r="D190" s="11" t="s">
        <v>171</v>
      </c>
      <c r="E190" s="11" t="s">
        <v>25</v>
      </c>
      <c r="F190" s="11" t="s">
        <v>40</v>
      </c>
      <c r="G190" s="11" t="s">
        <v>27</v>
      </c>
      <c r="I190" s="12">
        <v>109.22</v>
      </c>
      <c r="J190" s="13"/>
      <c r="K190" s="13">
        <f t="shared" si="2"/>
        <v>109.22</v>
      </c>
      <c r="L190" s="11" t="s">
        <v>29</v>
      </c>
      <c r="M190" s="14"/>
      <c r="N190" s="11" t="s">
        <v>172</v>
      </c>
      <c r="O190" s="10" t="str">
        <f t="shared" si="3"/>
        <v>09/2024</v>
      </c>
      <c r="P190" s="10" t="str">
        <f t="shared" si="23"/>
        <v>09/2024</v>
      </c>
      <c r="Q190" s="15" t="str">
        <f t="array" ref="Q190">IFERROR(XLOOKUP(N190,'Classificação'!A:A,'Classificação'!B:B),"")</f>
        <v>DESPESAS COM OCUPAÇÃO</v>
      </c>
      <c r="R190" s="15" t="str">
        <f t="array" ref="R190">IFERROR(XLOOKUP(Q190,'Classificação'!B:B,'Classificação'!C:C),"")</f>
        <v>DESPESAS FIXAS (-)</v>
      </c>
      <c r="S190" s="15">
        <f t="shared" si="5"/>
        <v>20</v>
      </c>
      <c r="T190" s="15">
        <f t="shared" si="6"/>
        <v>9</v>
      </c>
      <c r="U190" s="15">
        <f t="shared" si="7"/>
        <v>2024</v>
      </c>
      <c r="V190" s="15">
        <f t="shared" si="8"/>
        <v>20</v>
      </c>
      <c r="W190" s="15">
        <f t="shared" si="9"/>
        <v>9</v>
      </c>
      <c r="X190" s="15">
        <f t="shared" si="10"/>
        <v>2024</v>
      </c>
    </row>
    <row r="191">
      <c r="A191" s="9">
        <v>45555.0</v>
      </c>
      <c r="B191" s="19">
        <v>45421.0</v>
      </c>
      <c r="C191" s="9">
        <f t="shared" si="22"/>
        <v>45555</v>
      </c>
      <c r="D191" s="11" t="s">
        <v>173</v>
      </c>
      <c r="E191" s="11" t="s">
        <v>25</v>
      </c>
      <c r="F191" s="11" t="s">
        <v>107</v>
      </c>
      <c r="G191" s="11" t="s">
        <v>27</v>
      </c>
      <c r="I191" s="12">
        <v>298.9</v>
      </c>
      <c r="J191" s="13"/>
      <c r="K191" s="13">
        <f t="shared" si="2"/>
        <v>298.9</v>
      </c>
      <c r="L191" s="11" t="s">
        <v>53</v>
      </c>
      <c r="M191" s="17">
        <v>45569.0</v>
      </c>
      <c r="N191" s="11" t="s">
        <v>175</v>
      </c>
      <c r="O191" s="10" t="str">
        <f t="shared" si="3"/>
        <v>09/2024</v>
      </c>
      <c r="P191" s="10" t="str">
        <f t="shared" si="23"/>
        <v>09/2024</v>
      </c>
      <c r="Q191" s="15" t="str">
        <f t="array" ref="Q191">IFERROR(XLOOKUP(N191,'Classificação'!A:A,'Classificação'!B:B),"")</f>
        <v>DESPESAS COM VEICULOS</v>
      </c>
      <c r="R191" s="15" t="str">
        <f t="array" ref="R191">IFERROR(XLOOKUP(Q191,'Classificação'!B:B,'Classificação'!C:C),"")</f>
        <v>DESPESAS FIXAS (-)</v>
      </c>
      <c r="S191" s="15">
        <f t="shared" si="5"/>
        <v>20</v>
      </c>
      <c r="T191" s="15">
        <f t="shared" si="6"/>
        <v>9</v>
      </c>
      <c r="U191" s="15">
        <f t="shared" si="7"/>
        <v>2024</v>
      </c>
      <c r="V191" s="15">
        <f t="shared" si="8"/>
        <v>20</v>
      </c>
      <c r="W191" s="15">
        <f t="shared" si="9"/>
        <v>9</v>
      </c>
      <c r="X191" s="15">
        <f t="shared" si="10"/>
        <v>2024</v>
      </c>
    </row>
    <row r="192">
      <c r="A192" s="9">
        <v>45555.0</v>
      </c>
      <c r="B192" s="10"/>
      <c r="C192" s="9">
        <f t="shared" si="22"/>
        <v>45555</v>
      </c>
      <c r="D192" s="11" t="s">
        <v>177</v>
      </c>
      <c r="E192" s="11" t="s">
        <v>25</v>
      </c>
      <c r="F192" s="11" t="s">
        <v>107</v>
      </c>
      <c r="G192" s="11" t="s">
        <v>27</v>
      </c>
      <c r="I192" s="12">
        <v>149.25</v>
      </c>
      <c r="J192" s="13"/>
      <c r="K192" s="13">
        <f t="shared" si="2"/>
        <v>149.25</v>
      </c>
      <c r="L192" s="11" t="s">
        <v>53</v>
      </c>
      <c r="M192" s="17">
        <v>45417.0</v>
      </c>
      <c r="N192" s="11" t="s">
        <v>178</v>
      </c>
      <c r="O192" s="10" t="str">
        <f t="shared" si="3"/>
        <v>09/2024</v>
      </c>
      <c r="P192" s="10" t="str">
        <f t="shared" si="23"/>
        <v>09/2024</v>
      </c>
      <c r="Q192" s="15" t="str">
        <f t="array" ref="Q192">IFERROR(XLOOKUP(N192,'Classificação'!A:A,'Classificação'!B:B),"")</f>
        <v>DESPESAS COM OCUPAÇÃO</v>
      </c>
      <c r="R192" s="15" t="str">
        <f t="array" ref="R192">IFERROR(XLOOKUP(Q192,'Classificação'!B:B,'Classificação'!C:C),"")</f>
        <v>DESPESAS FIXAS (-)</v>
      </c>
      <c r="S192" s="15">
        <f t="shared" si="5"/>
        <v>20</v>
      </c>
      <c r="T192" s="15">
        <f t="shared" si="6"/>
        <v>9</v>
      </c>
      <c r="U192" s="15">
        <f t="shared" si="7"/>
        <v>2024</v>
      </c>
      <c r="V192" s="15">
        <f t="shared" si="8"/>
        <v>20</v>
      </c>
      <c r="W192" s="15">
        <f t="shared" si="9"/>
        <v>9</v>
      </c>
      <c r="X192" s="15">
        <f t="shared" si="10"/>
        <v>2024</v>
      </c>
    </row>
    <row r="193">
      <c r="A193" s="9">
        <v>45555.0</v>
      </c>
      <c r="B193" s="19">
        <v>45461.0</v>
      </c>
      <c r="C193" s="9">
        <f t="shared" si="22"/>
        <v>45555</v>
      </c>
      <c r="D193" s="11" t="s">
        <v>185</v>
      </c>
      <c r="E193" s="11" t="s">
        <v>25</v>
      </c>
      <c r="F193" s="11" t="s">
        <v>107</v>
      </c>
      <c r="G193" s="11" t="s">
        <v>27</v>
      </c>
      <c r="H193" s="11" t="s">
        <v>254</v>
      </c>
      <c r="I193" s="12">
        <v>300.0</v>
      </c>
      <c r="J193" s="13"/>
      <c r="K193" s="13">
        <f t="shared" si="2"/>
        <v>300</v>
      </c>
      <c r="L193" s="11" t="s">
        <v>53</v>
      </c>
      <c r="M193" s="17">
        <v>45415.0</v>
      </c>
      <c r="N193" s="11" t="s">
        <v>95</v>
      </c>
      <c r="O193" s="10" t="str">
        <f t="shared" si="3"/>
        <v>09/2024</v>
      </c>
      <c r="P193" s="10" t="str">
        <f t="shared" si="23"/>
        <v>09/2024</v>
      </c>
      <c r="Q193" s="15" t="str">
        <f t="array" ref="Q193">IFERROR(XLOOKUP(N193,'Classificação'!A:A,'Classificação'!B:B),"")</f>
        <v>DESPESAS NÃO OPERACIONAIS</v>
      </c>
      <c r="R193" s="15" t="str">
        <f t="array" ref="R193">IFERROR(XLOOKUP(Q193,'Classificação'!B:B,'Classificação'!C:C),"")</f>
        <v>RESULTADO NÃO OPERACIONAL (+/-)</v>
      </c>
      <c r="S193" s="15">
        <f t="shared" si="5"/>
        <v>20</v>
      </c>
      <c r="T193" s="15">
        <f t="shared" si="6"/>
        <v>9</v>
      </c>
      <c r="U193" s="15">
        <f t="shared" si="7"/>
        <v>2024</v>
      </c>
      <c r="V193" s="15">
        <f t="shared" si="8"/>
        <v>20</v>
      </c>
      <c r="W193" s="15">
        <f t="shared" si="9"/>
        <v>9</v>
      </c>
      <c r="X193" s="15">
        <f t="shared" si="10"/>
        <v>2024</v>
      </c>
    </row>
    <row r="194">
      <c r="A194" s="9">
        <v>45555.0</v>
      </c>
      <c r="B194" s="10"/>
      <c r="C194" s="9">
        <f t="shared" si="22"/>
        <v>45555</v>
      </c>
      <c r="D194" s="11" t="s">
        <v>59</v>
      </c>
      <c r="E194" s="11" t="s">
        <v>25</v>
      </c>
      <c r="F194" s="11" t="s">
        <v>40</v>
      </c>
      <c r="G194" s="11" t="s">
        <v>37</v>
      </c>
      <c r="H194" s="11" t="s">
        <v>188</v>
      </c>
      <c r="I194" s="12">
        <v>465.67</v>
      </c>
      <c r="J194" s="13"/>
      <c r="K194" s="13">
        <f t="shared" si="2"/>
        <v>465.67</v>
      </c>
      <c r="L194" s="11" t="s">
        <v>53</v>
      </c>
      <c r="M194" s="17">
        <v>45354.0</v>
      </c>
      <c r="N194" s="11" t="s">
        <v>58</v>
      </c>
      <c r="O194" s="10" t="str">
        <f t="shared" si="3"/>
        <v>09/2024</v>
      </c>
      <c r="P194" s="10" t="str">
        <f t="shared" si="23"/>
        <v>09/2024</v>
      </c>
      <c r="Q194" s="15" t="str">
        <f t="array" ref="Q194">IFERROR(XLOOKUP(N194,'Classificação'!A:A,'Classificação'!B:B),"")</f>
        <v>DESPESAS ADMINISTRATIVAS</v>
      </c>
      <c r="R194" s="15" t="str">
        <f t="array" ref="R194">IFERROR(XLOOKUP(Q194,'Classificação'!B:B,'Classificação'!C:C),"")</f>
        <v>DESPESAS FIXAS (-)</v>
      </c>
      <c r="S194" s="15">
        <f t="shared" si="5"/>
        <v>20</v>
      </c>
      <c r="T194" s="15">
        <f t="shared" si="6"/>
        <v>9</v>
      </c>
      <c r="U194" s="15">
        <f t="shared" si="7"/>
        <v>2024</v>
      </c>
      <c r="V194" s="15">
        <f t="shared" si="8"/>
        <v>20</v>
      </c>
      <c r="W194" s="15">
        <f t="shared" si="9"/>
        <v>9</v>
      </c>
      <c r="X194" s="15">
        <f t="shared" si="10"/>
        <v>2024</v>
      </c>
    </row>
    <row r="195">
      <c r="A195" s="9">
        <v>45555.0</v>
      </c>
      <c r="B195" s="19">
        <v>45303.0</v>
      </c>
      <c r="C195" s="9">
        <f t="shared" si="22"/>
        <v>45555</v>
      </c>
      <c r="D195" s="11" t="s">
        <v>195</v>
      </c>
      <c r="E195" s="11" t="s">
        <v>25</v>
      </c>
      <c r="F195" s="11" t="s">
        <v>107</v>
      </c>
      <c r="G195" s="11" t="s">
        <v>27</v>
      </c>
      <c r="H195" s="11" t="s">
        <v>196</v>
      </c>
      <c r="I195" s="12">
        <v>875.0</v>
      </c>
      <c r="J195" s="13"/>
      <c r="K195" s="13">
        <f t="shared" si="2"/>
        <v>875</v>
      </c>
      <c r="L195" s="11" t="s">
        <v>53</v>
      </c>
      <c r="M195" s="17">
        <v>45512.0</v>
      </c>
      <c r="N195" s="11" t="s">
        <v>95</v>
      </c>
      <c r="O195" s="10" t="str">
        <f t="shared" si="3"/>
        <v>09/2024</v>
      </c>
      <c r="P195" s="10" t="str">
        <f t="shared" si="23"/>
        <v>09/2024</v>
      </c>
      <c r="Q195" s="15" t="str">
        <f t="array" ref="Q195">IFERROR(XLOOKUP(N195,'Classificação'!A:A,'Classificação'!B:B),"")</f>
        <v>DESPESAS NÃO OPERACIONAIS</v>
      </c>
      <c r="R195" s="15" t="str">
        <f t="array" ref="R195">IFERROR(XLOOKUP(Q195,'Classificação'!B:B,'Classificação'!C:C),"")</f>
        <v>RESULTADO NÃO OPERACIONAL (+/-)</v>
      </c>
      <c r="S195" s="15">
        <f t="shared" si="5"/>
        <v>20</v>
      </c>
      <c r="T195" s="15">
        <f t="shared" si="6"/>
        <v>9</v>
      </c>
      <c r="U195" s="15">
        <f t="shared" si="7"/>
        <v>2024</v>
      </c>
      <c r="V195" s="15">
        <f t="shared" si="8"/>
        <v>20</v>
      </c>
      <c r="W195" s="15">
        <f t="shared" si="9"/>
        <v>9</v>
      </c>
      <c r="X195" s="15">
        <f t="shared" si="10"/>
        <v>2024</v>
      </c>
    </row>
    <row r="196">
      <c r="A196" s="9">
        <v>45555.0</v>
      </c>
      <c r="B196" s="19">
        <v>45307.0</v>
      </c>
      <c r="C196" s="9">
        <f t="shared" si="22"/>
        <v>45555</v>
      </c>
      <c r="D196" s="11" t="s">
        <v>65</v>
      </c>
      <c r="E196" s="11" t="s">
        <v>25</v>
      </c>
      <c r="F196" s="11" t="s">
        <v>107</v>
      </c>
      <c r="G196" s="11" t="s">
        <v>27</v>
      </c>
      <c r="H196" s="11" t="s">
        <v>197</v>
      </c>
      <c r="I196" s="12">
        <v>40.46</v>
      </c>
      <c r="J196" s="13"/>
      <c r="K196" s="13">
        <f t="shared" si="2"/>
        <v>40.46</v>
      </c>
      <c r="L196" s="11" t="s">
        <v>53</v>
      </c>
      <c r="M196" s="17">
        <v>45573.0</v>
      </c>
      <c r="N196" s="11" t="s">
        <v>95</v>
      </c>
      <c r="O196" s="10" t="str">
        <f t="shared" si="3"/>
        <v>09/2024</v>
      </c>
      <c r="P196" s="10" t="str">
        <f t="shared" si="23"/>
        <v>09/2024</v>
      </c>
      <c r="Q196" s="15" t="str">
        <f t="array" ref="Q196">IFERROR(XLOOKUP(N196,'Classificação'!A:A,'Classificação'!B:B),"")</f>
        <v>DESPESAS NÃO OPERACIONAIS</v>
      </c>
      <c r="R196" s="15" t="str">
        <f t="array" ref="R196">IFERROR(XLOOKUP(Q196,'Classificação'!B:B,'Classificação'!C:C),"")</f>
        <v>RESULTADO NÃO OPERACIONAL (+/-)</v>
      </c>
      <c r="S196" s="15">
        <f t="shared" si="5"/>
        <v>20</v>
      </c>
      <c r="T196" s="15">
        <f t="shared" si="6"/>
        <v>9</v>
      </c>
      <c r="U196" s="15">
        <f t="shared" si="7"/>
        <v>2024</v>
      </c>
      <c r="V196" s="15">
        <f t="shared" si="8"/>
        <v>20</v>
      </c>
      <c r="W196" s="15">
        <f t="shared" si="9"/>
        <v>9</v>
      </c>
      <c r="X196" s="15">
        <f t="shared" si="10"/>
        <v>2024</v>
      </c>
    </row>
    <row r="197">
      <c r="A197" s="9">
        <v>45555.0</v>
      </c>
      <c r="B197" s="19">
        <v>45310.0</v>
      </c>
      <c r="C197" s="9">
        <f t="shared" si="22"/>
        <v>45555</v>
      </c>
      <c r="D197" s="11" t="s">
        <v>65</v>
      </c>
      <c r="E197" s="11" t="s">
        <v>25</v>
      </c>
      <c r="F197" s="11" t="s">
        <v>107</v>
      </c>
      <c r="G197" s="11" t="s">
        <v>27</v>
      </c>
      <c r="H197" s="11" t="s">
        <v>198</v>
      </c>
      <c r="I197" s="12">
        <v>31.23</v>
      </c>
      <c r="J197" s="13"/>
      <c r="K197" s="13">
        <f t="shared" si="2"/>
        <v>31.23</v>
      </c>
      <c r="L197" s="11" t="s">
        <v>53</v>
      </c>
      <c r="M197" s="17">
        <v>45512.0</v>
      </c>
      <c r="N197" s="11" t="s">
        <v>58</v>
      </c>
      <c r="O197" s="10" t="str">
        <f t="shared" si="3"/>
        <v>09/2024</v>
      </c>
      <c r="P197" s="10" t="str">
        <f t="shared" si="23"/>
        <v>09/2024</v>
      </c>
      <c r="Q197" s="15" t="str">
        <f t="array" ref="Q197">IFERROR(XLOOKUP(N197,'Classificação'!A:A,'Classificação'!B:B),"")</f>
        <v>DESPESAS ADMINISTRATIVAS</v>
      </c>
      <c r="R197" s="15" t="str">
        <f t="array" ref="R197">IFERROR(XLOOKUP(Q197,'Classificação'!B:B,'Classificação'!C:C),"")</f>
        <v>DESPESAS FIXAS (-)</v>
      </c>
      <c r="S197" s="15">
        <f t="shared" si="5"/>
        <v>20</v>
      </c>
      <c r="T197" s="15">
        <f t="shared" si="6"/>
        <v>9</v>
      </c>
      <c r="U197" s="15">
        <f t="shared" si="7"/>
        <v>2024</v>
      </c>
      <c r="V197" s="15">
        <f t="shared" si="8"/>
        <v>20</v>
      </c>
      <c r="W197" s="15">
        <f t="shared" si="9"/>
        <v>9</v>
      </c>
      <c r="X197" s="15">
        <f t="shared" si="10"/>
        <v>2024</v>
      </c>
    </row>
    <row r="198">
      <c r="A198" s="9">
        <v>45555.0</v>
      </c>
      <c r="B198" s="19">
        <v>45512.0</v>
      </c>
      <c r="C198" s="9">
        <f t="shared" si="22"/>
        <v>45555</v>
      </c>
      <c r="D198" s="11" t="s">
        <v>179</v>
      </c>
      <c r="E198" s="11" t="s">
        <v>25</v>
      </c>
      <c r="F198" s="11" t="s">
        <v>107</v>
      </c>
      <c r="G198" s="11" t="s">
        <v>27</v>
      </c>
      <c r="H198" s="11" t="s">
        <v>189</v>
      </c>
      <c r="I198" s="12">
        <v>100.0</v>
      </c>
      <c r="J198" s="13"/>
      <c r="K198" s="13">
        <f t="shared" si="2"/>
        <v>100</v>
      </c>
      <c r="L198" s="11" t="s">
        <v>34</v>
      </c>
      <c r="M198" s="14"/>
      <c r="N198" s="11" t="s">
        <v>181</v>
      </c>
      <c r="O198" s="10" t="str">
        <f t="shared" si="3"/>
        <v>09/2024</v>
      </c>
      <c r="P198" s="10" t="str">
        <f t="shared" si="23"/>
        <v>09/2024</v>
      </c>
      <c r="Q198" s="15" t="str">
        <f t="array" ref="Q198">IFERROR(XLOOKUP(N198,'Classificação'!A:A,'Classificação'!B:B),"")</f>
        <v>DESPESAS COM VEICULOS</v>
      </c>
      <c r="R198" s="15" t="str">
        <f t="array" ref="R198">IFERROR(XLOOKUP(Q198,'Classificação'!B:B,'Classificação'!C:C),"")</f>
        <v>DESPESAS FIXAS (-)</v>
      </c>
      <c r="S198" s="15">
        <f t="shared" si="5"/>
        <v>20</v>
      </c>
      <c r="T198" s="15">
        <f t="shared" si="6"/>
        <v>9</v>
      </c>
      <c r="U198" s="15">
        <f t="shared" si="7"/>
        <v>2024</v>
      </c>
      <c r="V198" s="15">
        <f t="shared" si="8"/>
        <v>20</v>
      </c>
      <c r="W198" s="15">
        <f t="shared" si="9"/>
        <v>9</v>
      </c>
      <c r="X198" s="15">
        <f t="shared" si="10"/>
        <v>2024</v>
      </c>
    </row>
    <row r="199">
      <c r="A199" s="9">
        <v>45555.0</v>
      </c>
      <c r="B199" s="19">
        <v>45512.0</v>
      </c>
      <c r="C199" s="9">
        <f t="shared" si="22"/>
        <v>45555</v>
      </c>
      <c r="D199" s="11" t="s">
        <v>255</v>
      </c>
      <c r="E199" s="11" t="s">
        <v>25</v>
      </c>
      <c r="F199" s="11" t="s">
        <v>110</v>
      </c>
      <c r="G199" s="11" t="s">
        <v>27</v>
      </c>
      <c r="H199" s="11" t="s">
        <v>256</v>
      </c>
      <c r="I199" s="12">
        <v>178.01</v>
      </c>
      <c r="J199" s="13"/>
      <c r="K199" s="13">
        <f t="shared" si="2"/>
        <v>178.01</v>
      </c>
      <c r="L199" s="11" t="s">
        <v>34</v>
      </c>
      <c r="M199" s="14"/>
      <c r="N199" s="11" t="s">
        <v>71</v>
      </c>
      <c r="O199" s="10" t="str">
        <f t="shared" si="3"/>
        <v>09/2024</v>
      </c>
      <c r="P199" s="10" t="str">
        <f t="shared" si="23"/>
        <v>09/2024</v>
      </c>
      <c r="Q199" s="15" t="str">
        <f t="array" ref="Q199">IFERROR(XLOOKUP(N199,'Classificação'!A:A,'Classificação'!B:B),"")</f>
        <v>DESPESAS DIVERSAS</v>
      </c>
      <c r="R199" s="15" t="str">
        <f t="array" ref="R199">IFERROR(XLOOKUP(Q199,'Classificação'!B:B,'Classificação'!C:C),"")</f>
        <v>DESPESAS FIXAS (-)</v>
      </c>
      <c r="S199" s="15">
        <f t="shared" si="5"/>
        <v>20</v>
      </c>
      <c r="T199" s="15">
        <f t="shared" si="6"/>
        <v>9</v>
      </c>
      <c r="U199" s="15">
        <f t="shared" si="7"/>
        <v>2024</v>
      </c>
      <c r="V199" s="15">
        <f t="shared" si="8"/>
        <v>20</v>
      </c>
      <c r="W199" s="15">
        <f t="shared" si="9"/>
        <v>9</v>
      </c>
      <c r="X199" s="15">
        <f t="shared" si="10"/>
        <v>2024</v>
      </c>
    </row>
    <row r="200">
      <c r="A200" s="9">
        <v>45555.0</v>
      </c>
      <c r="B200" s="19">
        <v>45512.0</v>
      </c>
      <c r="C200" s="9">
        <f t="shared" si="22"/>
        <v>45555</v>
      </c>
      <c r="D200" s="11" t="s">
        <v>112</v>
      </c>
      <c r="E200" s="11" t="s">
        <v>25</v>
      </c>
      <c r="F200" s="11" t="s">
        <v>107</v>
      </c>
      <c r="G200" s="11" t="s">
        <v>27</v>
      </c>
      <c r="H200" s="11" t="s">
        <v>257</v>
      </c>
      <c r="I200" s="12">
        <v>112.66</v>
      </c>
      <c r="J200" s="13"/>
      <c r="K200" s="13">
        <f t="shared" si="2"/>
        <v>112.66</v>
      </c>
      <c r="L200" s="11" t="s">
        <v>34</v>
      </c>
      <c r="M200" s="14"/>
      <c r="N200" s="11" t="s">
        <v>71</v>
      </c>
      <c r="O200" s="10" t="str">
        <f t="shared" si="3"/>
        <v>09/2024</v>
      </c>
      <c r="P200" s="10" t="str">
        <f t="shared" si="23"/>
        <v>09/2024</v>
      </c>
      <c r="Q200" s="15" t="str">
        <f t="array" ref="Q200">IFERROR(XLOOKUP(N200,'Classificação'!A:A,'Classificação'!B:B),"")</f>
        <v>DESPESAS DIVERSAS</v>
      </c>
      <c r="R200" s="15" t="str">
        <f t="array" ref="R200">IFERROR(XLOOKUP(Q200,'Classificação'!B:B,'Classificação'!C:C),"")</f>
        <v>DESPESAS FIXAS (-)</v>
      </c>
      <c r="S200" s="15">
        <f t="shared" si="5"/>
        <v>20</v>
      </c>
      <c r="T200" s="15">
        <f t="shared" si="6"/>
        <v>9</v>
      </c>
      <c r="U200" s="15">
        <f t="shared" si="7"/>
        <v>2024</v>
      </c>
      <c r="V200" s="15">
        <f t="shared" si="8"/>
        <v>20</v>
      </c>
      <c r="W200" s="15">
        <f t="shared" si="9"/>
        <v>9</v>
      </c>
      <c r="X200" s="15">
        <f t="shared" si="10"/>
        <v>2024</v>
      </c>
    </row>
    <row r="201">
      <c r="A201" s="9">
        <v>45555.0</v>
      </c>
      <c r="B201" s="9">
        <v>45519.0</v>
      </c>
      <c r="C201" s="9">
        <f t="shared" si="22"/>
        <v>45555</v>
      </c>
      <c r="D201" s="11" t="s">
        <v>65</v>
      </c>
      <c r="E201" s="11" t="s">
        <v>25</v>
      </c>
      <c r="F201" s="11" t="s">
        <v>107</v>
      </c>
      <c r="G201" s="11" t="s">
        <v>27</v>
      </c>
      <c r="H201" s="11" t="s">
        <v>258</v>
      </c>
      <c r="I201" s="12">
        <v>63.17</v>
      </c>
      <c r="J201" s="13"/>
      <c r="K201" s="13">
        <f t="shared" si="2"/>
        <v>63.17</v>
      </c>
      <c r="L201" s="11" t="s">
        <v>53</v>
      </c>
      <c r="M201" s="17">
        <v>45352.0</v>
      </c>
      <c r="N201" s="11" t="s">
        <v>143</v>
      </c>
      <c r="O201" s="10" t="str">
        <f t="shared" si="3"/>
        <v>09/2024</v>
      </c>
      <c r="P201" s="10"/>
      <c r="Q201" s="15" t="str">
        <f t="array" ref="Q201">IFERROR(XLOOKUP(N201,'Classificação'!A:A,'Classificação'!B:B),"")</f>
        <v>EMBALAGENS/FITAS/GERAL</v>
      </c>
      <c r="R201" s="15" t="str">
        <f t="array" ref="R201">IFERROR(XLOOKUP(Q201,'Classificação'!B:B,'Classificação'!C:C),"")</f>
        <v>CUSTOS VARIÁVEIS</v>
      </c>
      <c r="S201" s="15">
        <f t="shared" si="5"/>
        <v>20</v>
      </c>
      <c r="T201" s="15">
        <f t="shared" si="6"/>
        <v>9</v>
      </c>
      <c r="U201" s="15">
        <f t="shared" si="7"/>
        <v>2024</v>
      </c>
      <c r="V201" s="15">
        <f t="shared" si="8"/>
        <v>20</v>
      </c>
      <c r="W201" s="15">
        <f t="shared" si="9"/>
        <v>9</v>
      </c>
      <c r="X201" s="15">
        <f t="shared" si="10"/>
        <v>2024</v>
      </c>
    </row>
    <row r="202">
      <c r="A202" s="9">
        <v>45555.0</v>
      </c>
      <c r="B202" s="9">
        <v>45519.0</v>
      </c>
      <c r="C202" s="9">
        <f t="shared" si="22"/>
        <v>45555</v>
      </c>
      <c r="D202" s="11" t="s">
        <v>65</v>
      </c>
      <c r="E202" s="11" t="s">
        <v>25</v>
      </c>
      <c r="F202" s="11" t="s">
        <v>107</v>
      </c>
      <c r="G202" s="11" t="s">
        <v>27</v>
      </c>
      <c r="H202" s="11" t="s">
        <v>258</v>
      </c>
      <c r="I202" s="12">
        <v>256.89</v>
      </c>
      <c r="J202" s="13"/>
      <c r="K202" s="13">
        <f t="shared" si="2"/>
        <v>256.89</v>
      </c>
      <c r="L202" s="11" t="s">
        <v>34</v>
      </c>
      <c r="M202" s="14"/>
      <c r="N202" s="11" t="s">
        <v>259</v>
      </c>
      <c r="O202" s="10" t="str">
        <f t="shared" si="3"/>
        <v>09/2024</v>
      </c>
      <c r="P202" s="10"/>
      <c r="Q202" s="15" t="str">
        <f t="array" ref="Q202">IFERROR(XLOOKUP(N202,'Classificação'!A:A,'Classificação'!B:B),"")</f>
        <v>DESPESAS ADMINISTRATIVAS</v>
      </c>
      <c r="R202" s="15" t="str">
        <f t="array" ref="R202">IFERROR(XLOOKUP(Q202,'Classificação'!B:B,'Classificação'!C:C),"")</f>
        <v>DESPESAS FIXAS (-)</v>
      </c>
      <c r="S202" s="15">
        <f t="shared" si="5"/>
        <v>20</v>
      </c>
      <c r="T202" s="15">
        <f t="shared" si="6"/>
        <v>9</v>
      </c>
      <c r="U202" s="15">
        <f t="shared" si="7"/>
        <v>2024</v>
      </c>
      <c r="V202" s="15">
        <f t="shared" si="8"/>
        <v>20</v>
      </c>
      <c r="W202" s="15">
        <f t="shared" si="9"/>
        <v>9</v>
      </c>
      <c r="X202" s="15">
        <f t="shared" si="10"/>
        <v>2024</v>
      </c>
    </row>
    <row r="203">
      <c r="A203" s="9">
        <v>45555.0</v>
      </c>
      <c r="B203" s="10"/>
      <c r="C203" s="9">
        <f t="shared" si="22"/>
        <v>45555</v>
      </c>
      <c r="D203" s="11" t="s">
        <v>260</v>
      </c>
      <c r="E203" s="11" t="s">
        <v>25</v>
      </c>
      <c r="F203" s="11" t="s">
        <v>107</v>
      </c>
      <c r="G203" s="11" t="s">
        <v>27</v>
      </c>
      <c r="H203" s="11" t="s">
        <v>261</v>
      </c>
      <c r="I203" s="12">
        <v>118.8</v>
      </c>
      <c r="J203" s="13"/>
      <c r="K203" s="13">
        <f t="shared" si="2"/>
        <v>118.8</v>
      </c>
      <c r="L203" s="11" t="s">
        <v>34</v>
      </c>
      <c r="M203" s="14"/>
      <c r="N203" s="11" t="s">
        <v>78</v>
      </c>
      <c r="O203" s="10" t="str">
        <f t="shared" si="3"/>
        <v>09/2024</v>
      </c>
      <c r="P203" s="10"/>
      <c r="Q203" s="15" t="str">
        <f t="array" ref="Q203">IFERROR(XLOOKUP(N203,'Classificação'!A:A,'Classificação'!B:B),"")</f>
        <v>DESPESAS COM PESSOAL</v>
      </c>
      <c r="R203" s="15" t="str">
        <f t="array" ref="R203">IFERROR(XLOOKUP(Q203,'Classificação'!B:B,'Classificação'!C:C),"")</f>
        <v>DESPESAS FIXAS (-)</v>
      </c>
      <c r="S203" s="15">
        <f t="shared" si="5"/>
        <v>20</v>
      </c>
      <c r="T203" s="15">
        <f t="shared" si="6"/>
        <v>9</v>
      </c>
      <c r="U203" s="15">
        <f t="shared" si="7"/>
        <v>2024</v>
      </c>
      <c r="V203" s="15">
        <f t="shared" si="8"/>
        <v>20</v>
      </c>
      <c r="W203" s="15">
        <f t="shared" si="9"/>
        <v>9</v>
      </c>
      <c r="X203" s="15">
        <f t="shared" si="10"/>
        <v>2024</v>
      </c>
    </row>
    <row r="204">
      <c r="A204" s="9">
        <v>45555.0</v>
      </c>
      <c r="B204" s="9">
        <v>45520.0</v>
      </c>
      <c r="C204" s="9">
        <f t="shared" si="22"/>
        <v>45555</v>
      </c>
      <c r="D204" s="11" t="s">
        <v>182</v>
      </c>
      <c r="E204" s="11" t="s">
        <v>25</v>
      </c>
      <c r="F204" s="11" t="s">
        <v>107</v>
      </c>
      <c r="G204" s="11" t="s">
        <v>27</v>
      </c>
      <c r="H204" s="11" t="s">
        <v>262</v>
      </c>
      <c r="I204" s="12">
        <v>7.34</v>
      </c>
      <c r="J204" s="13"/>
      <c r="K204" s="13">
        <f t="shared" si="2"/>
        <v>7.34</v>
      </c>
      <c r="L204" s="11" t="s">
        <v>34</v>
      </c>
      <c r="M204" s="14"/>
      <c r="N204" s="11" t="s">
        <v>184</v>
      </c>
      <c r="O204" s="10" t="str">
        <f t="shared" si="3"/>
        <v>09/2024</v>
      </c>
      <c r="P204" s="10"/>
      <c r="Q204" s="15" t="str">
        <f t="array" ref="Q204">IFERROR(XLOOKUP(N204,'Classificação'!A:A,'Classificação'!B:B),"")</f>
        <v>DESPESAS ADMINISTRATIVAS</v>
      </c>
      <c r="R204" s="15" t="str">
        <f t="array" ref="R204">IFERROR(XLOOKUP(Q204,'Classificação'!B:B,'Classificação'!C:C),"")</f>
        <v>DESPESAS FIXAS (-)</v>
      </c>
      <c r="S204" s="15">
        <f t="shared" si="5"/>
        <v>20</v>
      </c>
      <c r="T204" s="15">
        <f t="shared" si="6"/>
        <v>9</v>
      </c>
      <c r="U204" s="15">
        <f t="shared" si="7"/>
        <v>2024</v>
      </c>
      <c r="V204" s="15">
        <f t="shared" si="8"/>
        <v>20</v>
      </c>
      <c r="W204" s="15">
        <f t="shared" si="9"/>
        <v>9</v>
      </c>
      <c r="X204" s="15">
        <f t="shared" si="10"/>
        <v>2024</v>
      </c>
    </row>
    <row r="205">
      <c r="A205" s="9">
        <v>45555.0</v>
      </c>
      <c r="B205" s="9">
        <v>45520.0</v>
      </c>
      <c r="C205" s="9">
        <f t="shared" si="22"/>
        <v>45555</v>
      </c>
      <c r="D205" s="11" t="s">
        <v>182</v>
      </c>
      <c r="E205" s="11" t="s">
        <v>25</v>
      </c>
      <c r="F205" s="11" t="s">
        <v>107</v>
      </c>
      <c r="G205" s="11" t="s">
        <v>27</v>
      </c>
      <c r="H205" s="11" t="s">
        <v>262</v>
      </c>
      <c r="I205" s="12">
        <v>8.97</v>
      </c>
      <c r="J205" s="13"/>
      <c r="K205" s="13">
        <f t="shared" si="2"/>
        <v>8.97</v>
      </c>
      <c r="L205" s="11" t="s">
        <v>34</v>
      </c>
      <c r="M205" s="14"/>
      <c r="N205" s="11" t="s">
        <v>184</v>
      </c>
      <c r="O205" s="10" t="str">
        <f t="shared" si="3"/>
        <v>09/2024</v>
      </c>
      <c r="P205" s="10"/>
      <c r="Q205" s="15" t="str">
        <f t="array" ref="Q205">IFERROR(XLOOKUP(N205,'Classificação'!A:A,'Classificação'!B:B),"")</f>
        <v>DESPESAS ADMINISTRATIVAS</v>
      </c>
      <c r="R205" s="15" t="str">
        <f t="array" ref="R205">IFERROR(XLOOKUP(Q205,'Classificação'!B:B,'Classificação'!C:C),"")</f>
        <v>DESPESAS FIXAS (-)</v>
      </c>
      <c r="S205" s="15">
        <f t="shared" si="5"/>
        <v>20</v>
      </c>
      <c r="T205" s="15">
        <f t="shared" si="6"/>
        <v>9</v>
      </c>
      <c r="U205" s="15">
        <f t="shared" si="7"/>
        <v>2024</v>
      </c>
      <c r="V205" s="15">
        <f t="shared" si="8"/>
        <v>20</v>
      </c>
      <c r="W205" s="15">
        <f t="shared" si="9"/>
        <v>9</v>
      </c>
      <c r="X205" s="15">
        <f t="shared" si="10"/>
        <v>2024</v>
      </c>
    </row>
    <row r="206">
      <c r="A206" s="9">
        <v>45555.0</v>
      </c>
      <c r="B206" s="9">
        <v>45523.0</v>
      </c>
      <c r="C206" s="9">
        <f t="shared" si="22"/>
        <v>45555</v>
      </c>
      <c r="D206" s="11" t="s">
        <v>65</v>
      </c>
      <c r="E206" s="11" t="s">
        <v>25</v>
      </c>
      <c r="F206" s="11" t="s">
        <v>107</v>
      </c>
      <c r="G206" s="11" t="s">
        <v>27</v>
      </c>
      <c r="H206" s="11" t="s">
        <v>263</v>
      </c>
      <c r="I206" s="12">
        <v>102.67</v>
      </c>
      <c r="J206" s="13"/>
      <c r="K206" s="13">
        <f t="shared" si="2"/>
        <v>102.67</v>
      </c>
      <c r="L206" s="11" t="s">
        <v>53</v>
      </c>
      <c r="M206" s="17">
        <v>45627.0</v>
      </c>
      <c r="N206" s="11" t="s">
        <v>95</v>
      </c>
      <c r="O206" s="10" t="str">
        <f t="shared" si="3"/>
        <v>09/2024</v>
      </c>
      <c r="P206" s="10"/>
      <c r="Q206" s="15" t="str">
        <f t="array" ref="Q206">IFERROR(XLOOKUP(N206,'Classificação'!A:A,'Classificação'!B:B),"")</f>
        <v>DESPESAS NÃO OPERACIONAIS</v>
      </c>
      <c r="R206" s="15" t="str">
        <f t="array" ref="R206">IFERROR(XLOOKUP(Q206,'Classificação'!B:B,'Classificação'!C:C),"")</f>
        <v>RESULTADO NÃO OPERACIONAL (+/-)</v>
      </c>
      <c r="S206" s="15">
        <f t="shared" si="5"/>
        <v>20</v>
      </c>
      <c r="T206" s="15">
        <f t="shared" si="6"/>
        <v>9</v>
      </c>
      <c r="U206" s="15">
        <f t="shared" si="7"/>
        <v>2024</v>
      </c>
      <c r="V206" s="15">
        <f t="shared" si="8"/>
        <v>20</v>
      </c>
      <c r="W206" s="15">
        <f t="shared" si="9"/>
        <v>9</v>
      </c>
      <c r="X206" s="15">
        <f t="shared" si="10"/>
        <v>2024</v>
      </c>
    </row>
    <row r="207">
      <c r="A207" s="9">
        <v>45555.0</v>
      </c>
      <c r="B207" s="9">
        <v>45524.0</v>
      </c>
      <c r="C207" s="9">
        <f t="shared" si="22"/>
        <v>45555</v>
      </c>
      <c r="D207" s="11" t="s">
        <v>179</v>
      </c>
      <c r="E207" s="11" t="s">
        <v>25</v>
      </c>
      <c r="F207" s="11" t="s">
        <v>107</v>
      </c>
      <c r="G207" s="11" t="s">
        <v>27</v>
      </c>
      <c r="I207" s="12">
        <v>167.51</v>
      </c>
      <c r="J207" s="13"/>
      <c r="K207" s="13">
        <f t="shared" si="2"/>
        <v>167.51</v>
      </c>
      <c r="L207" s="11" t="s">
        <v>34</v>
      </c>
      <c r="M207" s="14"/>
      <c r="N207" s="11" t="s">
        <v>181</v>
      </c>
      <c r="O207" s="10" t="str">
        <f t="shared" si="3"/>
        <v>09/2024</v>
      </c>
      <c r="P207" s="10"/>
      <c r="Q207" s="15" t="str">
        <f t="array" ref="Q207">IFERROR(XLOOKUP(N207,'Classificação'!A:A,'Classificação'!B:B),"")</f>
        <v>DESPESAS COM VEICULOS</v>
      </c>
      <c r="R207" s="15" t="str">
        <f t="array" ref="R207">IFERROR(XLOOKUP(Q207,'Classificação'!B:B,'Classificação'!C:C),"")</f>
        <v>DESPESAS FIXAS (-)</v>
      </c>
      <c r="S207" s="15">
        <f t="shared" si="5"/>
        <v>20</v>
      </c>
      <c r="T207" s="15">
        <f t="shared" si="6"/>
        <v>9</v>
      </c>
      <c r="U207" s="15">
        <f t="shared" si="7"/>
        <v>2024</v>
      </c>
      <c r="V207" s="15">
        <f t="shared" si="8"/>
        <v>20</v>
      </c>
      <c r="W207" s="15">
        <f t="shared" si="9"/>
        <v>9</v>
      </c>
      <c r="X207" s="15">
        <f t="shared" si="10"/>
        <v>2024</v>
      </c>
    </row>
    <row r="208">
      <c r="A208" s="9">
        <v>45555.0</v>
      </c>
      <c r="B208" s="9">
        <v>45531.0</v>
      </c>
      <c r="C208" s="9">
        <f t="shared" si="22"/>
        <v>45555</v>
      </c>
      <c r="D208" s="11" t="s">
        <v>179</v>
      </c>
      <c r="E208" s="11" t="s">
        <v>25</v>
      </c>
      <c r="F208" s="11" t="s">
        <v>107</v>
      </c>
      <c r="G208" s="11" t="s">
        <v>27</v>
      </c>
      <c r="I208" s="12">
        <v>195.05</v>
      </c>
      <c r="J208" s="13"/>
      <c r="K208" s="13">
        <f t="shared" si="2"/>
        <v>195.05</v>
      </c>
      <c r="L208" s="11" t="s">
        <v>34</v>
      </c>
      <c r="M208" s="14"/>
      <c r="N208" s="11" t="s">
        <v>181</v>
      </c>
      <c r="O208" s="10" t="str">
        <f t="shared" si="3"/>
        <v>09/2024</v>
      </c>
      <c r="P208" s="10"/>
      <c r="Q208" s="15" t="str">
        <f t="array" ref="Q208">IFERROR(XLOOKUP(N208,'Classificação'!A:A,'Classificação'!B:B),"")</f>
        <v>DESPESAS COM VEICULOS</v>
      </c>
      <c r="R208" s="15" t="str">
        <f t="array" ref="R208">IFERROR(XLOOKUP(Q208,'Classificação'!B:B,'Classificação'!C:C),"")</f>
        <v>DESPESAS FIXAS (-)</v>
      </c>
      <c r="S208" s="15">
        <f t="shared" si="5"/>
        <v>20</v>
      </c>
      <c r="T208" s="15">
        <f t="shared" si="6"/>
        <v>9</v>
      </c>
      <c r="U208" s="15">
        <f t="shared" si="7"/>
        <v>2024</v>
      </c>
      <c r="V208" s="15">
        <f t="shared" si="8"/>
        <v>20</v>
      </c>
      <c r="W208" s="15">
        <f t="shared" si="9"/>
        <v>9</v>
      </c>
      <c r="X208" s="15">
        <f t="shared" si="10"/>
        <v>2024</v>
      </c>
    </row>
    <row r="209">
      <c r="A209" s="9">
        <v>45555.0</v>
      </c>
      <c r="B209" s="9">
        <v>45563.0</v>
      </c>
      <c r="C209" s="9">
        <f t="shared" si="22"/>
        <v>45555</v>
      </c>
      <c r="D209" s="11" t="s">
        <v>264</v>
      </c>
      <c r="E209" s="11" t="s">
        <v>25</v>
      </c>
      <c r="F209" s="11" t="s">
        <v>107</v>
      </c>
      <c r="G209" s="11" t="s">
        <v>27</v>
      </c>
      <c r="H209" s="11" t="s">
        <v>265</v>
      </c>
      <c r="I209" s="12">
        <v>70.0</v>
      </c>
      <c r="J209" s="13"/>
      <c r="K209" s="13">
        <f t="shared" si="2"/>
        <v>70</v>
      </c>
      <c r="L209" s="11" t="s">
        <v>34</v>
      </c>
      <c r="M209" s="14"/>
      <c r="N209" s="11" t="s">
        <v>266</v>
      </c>
      <c r="O209" s="10" t="str">
        <f t="shared" si="3"/>
        <v>09/2024</v>
      </c>
      <c r="P209" s="10"/>
      <c r="Q209" s="15" t="str">
        <f t="array" ref="Q209">IFERROR(XLOOKUP(N209,'Classificação'!A:A,'Classificação'!B:B),"")</f>
        <v>DESPESAS COM VIAGENS</v>
      </c>
      <c r="R209" s="15" t="str">
        <f t="array" ref="R209">IFERROR(XLOOKUP(Q209,'Classificação'!B:B,'Classificação'!C:C),"")</f>
        <v>DESPESAS FIXAS (-)</v>
      </c>
      <c r="S209" s="15">
        <f t="shared" si="5"/>
        <v>20</v>
      </c>
      <c r="T209" s="15">
        <f t="shared" si="6"/>
        <v>9</v>
      </c>
      <c r="U209" s="15">
        <f t="shared" si="7"/>
        <v>2024</v>
      </c>
      <c r="V209" s="15">
        <f t="shared" si="8"/>
        <v>20</v>
      </c>
      <c r="W209" s="15">
        <f t="shared" si="9"/>
        <v>9</v>
      </c>
      <c r="X209" s="15">
        <f t="shared" si="10"/>
        <v>2024</v>
      </c>
    </row>
    <row r="210">
      <c r="A210" s="9">
        <v>45555.0</v>
      </c>
      <c r="B210" s="9">
        <v>45563.0</v>
      </c>
      <c r="C210" s="9">
        <f t="shared" si="22"/>
        <v>45555</v>
      </c>
      <c r="D210" s="11" t="s">
        <v>267</v>
      </c>
      <c r="E210" s="11" t="s">
        <v>25</v>
      </c>
      <c r="F210" s="11" t="s">
        <v>107</v>
      </c>
      <c r="G210" s="11" t="s">
        <v>27</v>
      </c>
      <c r="H210" s="11" t="s">
        <v>268</v>
      </c>
      <c r="I210" s="12">
        <v>131.6</v>
      </c>
      <c r="J210" s="13"/>
      <c r="K210" s="13">
        <f t="shared" si="2"/>
        <v>131.6</v>
      </c>
      <c r="L210" s="11" t="s">
        <v>34</v>
      </c>
      <c r="M210" s="14"/>
      <c r="N210" s="11" t="s">
        <v>143</v>
      </c>
      <c r="O210" s="10" t="str">
        <f t="shared" si="3"/>
        <v>09/2024</v>
      </c>
      <c r="P210" s="10"/>
      <c r="Q210" s="15" t="str">
        <f t="array" ref="Q210">IFERROR(XLOOKUP(N210,'Classificação'!A:A,'Classificação'!B:B),"")</f>
        <v>EMBALAGENS/FITAS/GERAL</v>
      </c>
      <c r="R210" s="15" t="str">
        <f t="array" ref="R210">IFERROR(XLOOKUP(Q210,'Classificação'!B:B,'Classificação'!C:C),"")</f>
        <v>CUSTOS VARIÁVEIS</v>
      </c>
      <c r="S210" s="15">
        <f t="shared" si="5"/>
        <v>20</v>
      </c>
      <c r="T210" s="15">
        <f t="shared" si="6"/>
        <v>9</v>
      </c>
      <c r="U210" s="15">
        <f t="shared" si="7"/>
        <v>2024</v>
      </c>
      <c r="V210" s="15">
        <f t="shared" si="8"/>
        <v>20</v>
      </c>
      <c r="W210" s="15">
        <f t="shared" si="9"/>
        <v>9</v>
      </c>
      <c r="X210" s="15">
        <f t="shared" si="10"/>
        <v>2024</v>
      </c>
    </row>
    <row r="211">
      <c r="A211" s="9">
        <v>45555.0</v>
      </c>
      <c r="B211" s="9">
        <v>45563.0</v>
      </c>
      <c r="C211" s="9">
        <f t="shared" si="22"/>
        <v>45555</v>
      </c>
      <c r="D211" s="11" t="s">
        <v>264</v>
      </c>
      <c r="E211" s="11" t="s">
        <v>25</v>
      </c>
      <c r="F211" s="11" t="s">
        <v>107</v>
      </c>
      <c r="G211" s="11" t="s">
        <v>27</v>
      </c>
      <c r="H211" s="11" t="s">
        <v>269</v>
      </c>
      <c r="I211" s="12">
        <v>10.0</v>
      </c>
      <c r="J211" s="13"/>
      <c r="K211" s="13">
        <f t="shared" si="2"/>
        <v>10</v>
      </c>
      <c r="L211" s="11" t="s">
        <v>34</v>
      </c>
      <c r="M211" s="14"/>
      <c r="N211" s="11" t="s">
        <v>266</v>
      </c>
      <c r="O211" s="10" t="str">
        <f t="shared" si="3"/>
        <v>09/2024</v>
      </c>
      <c r="P211" s="10"/>
      <c r="Q211" s="15" t="str">
        <f t="array" ref="Q211">IFERROR(XLOOKUP(N211,'Classificação'!A:A,'Classificação'!B:B),"")</f>
        <v>DESPESAS COM VIAGENS</v>
      </c>
      <c r="R211" s="15" t="str">
        <f t="array" ref="R211">IFERROR(XLOOKUP(Q211,'Classificação'!B:B,'Classificação'!C:C),"")</f>
        <v>DESPESAS FIXAS (-)</v>
      </c>
      <c r="S211" s="15">
        <f t="shared" si="5"/>
        <v>20</v>
      </c>
      <c r="T211" s="15">
        <f t="shared" si="6"/>
        <v>9</v>
      </c>
      <c r="U211" s="15">
        <f t="shared" si="7"/>
        <v>2024</v>
      </c>
      <c r="V211" s="15">
        <f t="shared" si="8"/>
        <v>20</v>
      </c>
      <c r="W211" s="15">
        <f t="shared" si="9"/>
        <v>9</v>
      </c>
      <c r="X211" s="15">
        <f t="shared" si="10"/>
        <v>2024</v>
      </c>
    </row>
    <row r="212">
      <c r="A212" s="9">
        <v>45555.0</v>
      </c>
      <c r="B212" s="9">
        <v>45563.0</v>
      </c>
      <c r="C212" s="9">
        <f t="shared" si="22"/>
        <v>45555</v>
      </c>
      <c r="D212" s="11" t="s">
        <v>270</v>
      </c>
      <c r="E212" s="11" t="s">
        <v>25</v>
      </c>
      <c r="F212" s="11" t="s">
        <v>107</v>
      </c>
      <c r="G212" s="11" t="s">
        <v>27</v>
      </c>
      <c r="H212" s="11" t="s">
        <v>271</v>
      </c>
      <c r="I212" s="12">
        <v>139.15</v>
      </c>
      <c r="J212" s="13"/>
      <c r="K212" s="13">
        <f t="shared" si="2"/>
        <v>139.15</v>
      </c>
      <c r="L212" s="11" t="s">
        <v>34</v>
      </c>
      <c r="M212" s="14"/>
      <c r="N212" s="11" t="s">
        <v>272</v>
      </c>
      <c r="O212" s="10" t="str">
        <f t="shared" si="3"/>
        <v>09/2024</v>
      </c>
      <c r="P212" s="10"/>
      <c r="Q212" s="15" t="str">
        <f t="array" ref="Q212">IFERROR(XLOOKUP(N212,'Classificação'!A:A,'Classificação'!B:B),"")</f>
        <v>DESPESAS COM VIAGENS</v>
      </c>
      <c r="R212" s="15" t="str">
        <f t="array" ref="R212">IFERROR(XLOOKUP(Q212,'Classificação'!B:B,'Classificação'!C:C),"")</f>
        <v>DESPESAS FIXAS (-)</v>
      </c>
      <c r="S212" s="15">
        <f t="shared" si="5"/>
        <v>20</v>
      </c>
      <c r="T212" s="15">
        <f t="shared" si="6"/>
        <v>9</v>
      </c>
      <c r="U212" s="15">
        <f t="shared" si="7"/>
        <v>2024</v>
      </c>
      <c r="V212" s="15">
        <f t="shared" si="8"/>
        <v>20</v>
      </c>
      <c r="W212" s="15">
        <f t="shared" si="9"/>
        <v>9</v>
      </c>
      <c r="X212" s="15">
        <f t="shared" si="10"/>
        <v>2024</v>
      </c>
    </row>
    <row r="213">
      <c r="A213" s="9">
        <v>45555.0</v>
      </c>
      <c r="B213" s="9">
        <v>45563.0</v>
      </c>
      <c r="C213" s="9">
        <f t="shared" si="22"/>
        <v>45555</v>
      </c>
      <c r="D213" s="11" t="s">
        <v>273</v>
      </c>
      <c r="E213" s="11" t="s">
        <v>25</v>
      </c>
      <c r="F213" s="11" t="s">
        <v>107</v>
      </c>
      <c r="G213" s="11" t="s">
        <v>27</v>
      </c>
      <c r="H213" s="11" t="s">
        <v>274</v>
      </c>
      <c r="I213" s="12">
        <v>115.0</v>
      </c>
      <c r="J213" s="13"/>
      <c r="K213" s="13">
        <f t="shared" si="2"/>
        <v>115</v>
      </c>
      <c r="L213" s="11" t="s">
        <v>34</v>
      </c>
      <c r="M213" s="14"/>
      <c r="N213" s="11" t="s">
        <v>272</v>
      </c>
      <c r="O213" s="10" t="str">
        <f t="shared" si="3"/>
        <v>09/2024</v>
      </c>
      <c r="P213" s="10"/>
      <c r="Q213" s="15" t="str">
        <f t="array" ref="Q213">IFERROR(XLOOKUP(N213,'Classificação'!A:A,'Classificação'!B:B),"")</f>
        <v>DESPESAS COM VIAGENS</v>
      </c>
      <c r="R213" s="15" t="str">
        <f t="array" ref="R213">IFERROR(XLOOKUP(Q213,'Classificação'!B:B,'Classificação'!C:C),"")</f>
        <v>DESPESAS FIXAS (-)</v>
      </c>
      <c r="S213" s="15">
        <f t="shared" si="5"/>
        <v>20</v>
      </c>
      <c r="T213" s="15">
        <f t="shared" si="6"/>
        <v>9</v>
      </c>
      <c r="U213" s="15">
        <f t="shared" si="7"/>
        <v>2024</v>
      </c>
      <c r="V213" s="15">
        <f t="shared" si="8"/>
        <v>20</v>
      </c>
      <c r="W213" s="15">
        <f t="shared" si="9"/>
        <v>9</v>
      </c>
      <c r="X213" s="15">
        <f t="shared" si="10"/>
        <v>2024</v>
      </c>
    </row>
    <row r="214">
      <c r="A214" s="9">
        <v>45555.0</v>
      </c>
      <c r="B214" s="9">
        <v>45534.0</v>
      </c>
      <c r="C214" s="9">
        <f t="shared" si="22"/>
        <v>45555</v>
      </c>
      <c r="D214" s="11" t="s">
        <v>114</v>
      </c>
      <c r="E214" s="11" t="s">
        <v>25</v>
      </c>
      <c r="F214" s="11" t="s">
        <v>110</v>
      </c>
      <c r="G214" s="11" t="s">
        <v>27</v>
      </c>
      <c r="H214" s="11" t="s">
        <v>275</v>
      </c>
      <c r="I214" s="12">
        <v>21.9</v>
      </c>
      <c r="J214" s="13"/>
      <c r="K214" s="13">
        <f t="shared" si="2"/>
        <v>21.9</v>
      </c>
      <c r="L214" s="11" t="s">
        <v>34</v>
      </c>
      <c r="M214" s="14"/>
      <c r="N214" s="11" t="s">
        <v>143</v>
      </c>
      <c r="O214" s="10" t="str">
        <f t="shared" si="3"/>
        <v>09/2024</v>
      </c>
      <c r="P214" s="10"/>
      <c r="Q214" s="15" t="str">
        <f t="array" ref="Q214">IFERROR(XLOOKUP(N214,'Classificação'!A:A,'Classificação'!B:B),"")</f>
        <v>EMBALAGENS/FITAS/GERAL</v>
      </c>
      <c r="R214" s="15" t="str">
        <f t="array" ref="R214">IFERROR(XLOOKUP(Q214,'Classificação'!B:B,'Classificação'!C:C),"")</f>
        <v>CUSTOS VARIÁVEIS</v>
      </c>
      <c r="S214" s="15">
        <f t="shared" si="5"/>
        <v>20</v>
      </c>
      <c r="T214" s="15">
        <f t="shared" si="6"/>
        <v>9</v>
      </c>
      <c r="U214" s="15">
        <f t="shared" si="7"/>
        <v>2024</v>
      </c>
      <c r="V214" s="15">
        <f t="shared" si="8"/>
        <v>20</v>
      </c>
      <c r="W214" s="15">
        <f t="shared" si="9"/>
        <v>9</v>
      </c>
      <c r="X214" s="15">
        <f t="shared" si="10"/>
        <v>2024</v>
      </c>
    </row>
    <row r="215">
      <c r="A215" s="9">
        <v>45555.0</v>
      </c>
      <c r="B215" s="9">
        <v>45513.0</v>
      </c>
      <c r="C215" s="9">
        <f t="shared" si="22"/>
        <v>45555</v>
      </c>
      <c r="D215" s="11" t="s">
        <v>169</v>
      </c>
      <c r="E215" s="11" t="s">
        <v>25</v>
      </c>
      <c r="F215" s="11" t="s">
        <v>107</v>
      </c>
      <c r="G215" s="11" t="s">
        <v>27</v>
      </c>
      <c r="H215" s="11" t="s">
        <v>276</v>
      </c>
      <c r="I215" s="12">
        <v>10.87</v>
      </c>
      <c r="J215" s="13"/>
      <c r="K215" s="13">
        <f t="shared" si="2"/>
        <v>10.87</v>
      </c>
      <c r="L215" s="11" t="s">
        <v>34</v>
      </c>
      <c r="M215" s="14"/>
      <c r="N215" s="11" t="s">
        <v>71</v>
      </c>
      <c r="O215" s="10" t="str">
        <f t="shared" si="3"/>
        <v>09/2024</v>
      </c>
      <c r="P215" s="10" t="str">
        <f t="shared" ref="P215:P227" si="24">if(C215="","", TEXT(C215,"mm/yyyy"))</f>
        <v>09/2024</v>
      </c>
      <c r="Q215" s="15" t="str">
        <f t="array" ref="Q215">IFERROR(XLOOKUP(N215,'Classificação'!A:A,'Classificação'!B:B),"")</f>
        <v>DESPESAS DIVERSAS</v>
      </c>
      <c r="R215" s="15" t="str">
        <f t="array" ref="R215">IFERROR(XLOOKUP(Q215,'Classificação'!B:B,'Classificação'!C:C),"")</f>
        <v>DESPESAS FIXAS (-)</v>
      </c>
      <c r="S215" s="15">
        <f t="shared" si="5"/>
        <v>20</v>
      </c>
      <c r="T215" s="15">
        <f t="shared" si="6"/>
        <v>9</v>
      </c>
      <c r="U215" s="15">
        <f t="shared" si="7"/>
        <v>2024</v>
      </c>
      <c r="V215" s="15">
        <f t="shared" si="8"/>
        <v>20</v>
      </c>
      <c r="W215" s="15">
        <f t="shared" si="9"/>
        <v>9</v>
      </c>
      <c r="X215" s="15">
        <f t="shared" si="10"/>
        <v>2024</v>
      </c>
    </row>
    <row r="216">
      <c r="A216" s="9">
        <v>45555.0</v>
      </c>
      <c r="B216" s="9">
        <v>45513.0</v>
      </c>
      <c r="C216" s="9">
        <f t="shared" si="22"/>
        <v>45555</v>
      </c>
      <c r="D216" s="11" t="s">
        <v>65</v>
      </c>
      <c r="E216" s="11" t="s">
        <v>25</v>
      </c>
      <c r="F216" s="11" t="s">
        <v>107</v>
      </c>
      <c r="G216" s="11" t="s">
        <v>27</v>
      </c>
      <c r="H216" s="11" t="s">
        <v>277</v>
      </c>
      <c r="I216" s="12">
        <v>597.68</v>
      </c>
      <c r="J216" s="13"/>
      <c r="K216" s="13">
        <f t="shared" si="2"/>
        <v>597.68</v>
      </c>
      <c r="L216" s="11" t="s">
        <v>34</v>
      </c>
      <c r="M216" s="14"/>
      <c r="N216" s="11" t="s">
        <v>143</v>
      </c>
      <c r="O216" s="10" t="str">
        <f t="shared" si="3"/>
        <v>09/2024</v>
      </c>
      <c r="P216" s="10" t="str">
        <f t="shared" si="24"/>
        <v>09/2024</v>
      </c>
      <c r="Q216" s="15" t="str">
        <f t="array" ref="Q216">IFERROR(XLOOKUP(N216,'Classificação'!A:A,'Classificação'!B:B),"")</f>
        <v>EMBALAGENS/FITAS/GERAL</v>
      </c>
      <c r="R216" s="15" t="str">
        <f t="array" ref="R216">IFERROR(XLOOKUP(Q216,'Classificação'!B:B,'Classificação'!C:C),"")</f>
        <v>CUSTOS VARIÁVEIS</v>
      </c>
      <c r="S216" s="15">
        <f t="shared" si="5"/>
        <v>20</v>
      </c>
      <c r="T216" s="15">
        <f t="shared" si="6"/>
        <v>9</v>
      </c>
      <c r="U216" s="15">
        <f t="shared" si="7"/>
        <v>2024</v>
      </c>
      <c r="V216" s="15">
        <f t="shared" si="8"/>
        <v>20</v>
      </c>
      <c r="W216" s="15">
        <f t="shared" si="9"/>
        <v>9</v>
      </c>
      <c r="X216" s="15">
        <f t="shared" si="10"/>
        <v>2024</v>
      </c>
    </row>
    <row r="217">
      <c r="A217" s="9">
        <v>45555.0</v>
      </c>
      <c r="B217" s="9">
        <v>45532.0</v>
      </c>
      <c r="C217" s="9">
        <f t="shared" si="22"/>
        <v>45555</v>
      </c>
      <c r="D217" s="11" t="s">
        <v>273</v>
      </c>
      <c r="E217" s="11" t="s">
        <v>25</v>
      </c>
      <c r="F217" s="11" t="s">
        <v>107</v>
      </c>
      <c r="G217" s="11" t="s">
        <v>27</v>
      </c>
      <c r="H217" s="11" t="s">
        <v>278</v>
      </c>
      <c r="I217" s="12">
        <v>10.0</v>
      </c>
      <c r="J217" s="13"/>
      <c r="K217" s="13">
        <f t="shared" si="2"/>
        <v>10</v>
      </c>
      <c r="L217" s="11" t="s">
        <v>34</v>
      </c>
      <c r="M217" s="14"/>
      <c r="N217" s="11" t="s">
        <v>272</v>
      </c>
      <c r="O217" s="10" t="str">
        <f t="shared" si="3"/>
        <v>09/2024</v>
      </c>
      <c r="P217" s="10" t="str">
        <f t="shared" si="24"/>
        <v>09/2024</v>
      </c>
      <c r="Q217" s="15" t="str">
        <f t="array" ref="Q217">IFERROR(XLOOKUP(N217,'Classificação'!A:A,'Classificação'!B:B),"")</f>
        <v>DESPESAS COM VIAGENS</v>
      </c>
      <c r="R217" s="15" t="str">
        <f t="array" ref="R217">IFERROR(XLOOKUP(Q217,'Classificação'!B:B,'Classificação'!C:C),"")</f>
        <v>DESPESAS FIXAS (-)</v>
      </c>
      <c r="S217" s="15">
        <f t="shared" si="5"/>
        <v>20</v>
      </c>
      <c r="T217" s="15">
        <f t="shared" si="6"/>
        <v>9</v>
      </c>
      <c r="U217" s="15">
        <f t="shared" si="7"/>
        <v>2024</v>
      </c>
      <c r="V217" s="15">
        <f t="shared" si="8"/>
        <v>20</v>
      </c>
      <c r="W217" s="15">
        <f t="shared" si="9"/>
        <v>9</v>
      </c>
      <c r="X217" s="15">
        <f t="shared" si="10"/>
        <v>2024</v>
      </c>
    </row>
    <row r="218">
      <c r="A218" s="9">
        <v>45555.0</v>
      </c>
      <c r="B218" s="9">
        <v>45536.0</v>
      </c>
      <c r="C218" s="9">
        <f t="shared" si="22"/>
        <v>45555</v>
      </c>
      <c r="D218" s="11" t="s">
        <v>192</v>
      </c>
      <c r="E218" s="11" t="s">
        <v>25</v>
      </c>
      <c r="F218" s="11" t="s">
        <v>107</v>
      </c>
      <c r="G218" s="11" t="s">
        <v>27</v>
      </c>
      <c r="H218" s="11" t="s">
        <v>279</v>
      </c>
      <c r="I218" s="12">
        <v>28.01</v>
      </c>
      <c r="J218" s="13"/>
      <c r="K218" s="13">
        <f t="shared" si="2"/>
        <v>28.01</v>
      </c>
      <c r="L218" s="11" t="s">
        <v>34</v>
      </c>
      <c r="M218" s="14"/>
      <c r="N218" s="11" t="s">
        <v>105</v>
      </c>
      <c r="O218" s="10" t="str">
        <f t="shared" si="3"/>
        <v>09/2024</v>
      </c>
      <c r="P218" s="10" t="str">
        <f t="shared" si="24"/>
        <v>09/2024</v>
      </c>
      <c r="Q218" s="15" t="str">
        <f t="array" ref="Q218">IFERROR(XLOOKUP(N218,'Classificação'!A:A,'Classificação'!B:B),"")</f>
        <v>DESPESAS ADMINISTRATIVAS</v>
      </c>
      <c r="R218" s="15" t="str">
        <f t="array" ref="R218">IFERROR(XLOOKUP(Q218,'Classificação'!B:B,'Classificação'!C:C),"")</f>
        <v>DESPESAS FIXAS (-)</v>
      </c>
      <c r="S218" s="15">
        <f t="shared" si="5"/>
        <v>20</v>
      </c>
      <c r="T218" s="15">
        <f t="shared" si="6"/>
        <v>9</v>
      </c>
      <c r="U218" s="15">
        <f t="shared" si="7"/>
        <v>2024</v>
      </c>
      <c r="V218" s="15">
        <f t="shared" si="8"/>
        <v>20</v>
      </c>
      <c r="W218" s="15">
        <f t="shared" si="9"/>
        <v>9</v>
      </c>
      <c r="X218" s="15">
        <f t="shared" si="10"/>
        <v>2024</v>
      </c>
    </row>
    <row r="219">
      <c r="A219" s="9">
        <v>45555.0</v>
      </c>
      <c r="B219" s="9">
        <v>45511.0</v>
      </c>
      <c r="C219" s="9">
        <f t="shared" si="22"/>
        <v>45555</v>
      </c>
      <c r="D219" s="11" t="s">
        <v>182</v>
      </c>
      <c r="E219" s="11" t="s">
        <v>25</v>
      </c>
      <c r="F219" s="11" t="s">
        <v>107</v>
      </c>
      <c r="G219" s="11" t="s">
        <v>27</v>
      </c>
      <c r="H219" s="11" t="s">
        <v>182</v>
      </c>
      <c r="I219" s="12">
        <v>11.9</v>
      </c>
      <c r="J219" s="13"/>
      <c r="K219" s="13">
        <f t="shared" si="2"/>
        <v>11.9</v>
      </c>
      <c r="L219" s="11" t="s">
        <v>34</v>
      </c>
      <c r="M219" s="14"/>
      <c r="N219" s="11" t="s">
        <v>184</v>
      </c>
      <c r="O219" s="10" t="str">
        <f t="shared" si="3"/>
        <v>09/2024</v>
      </c>
      <c r="P219" s="10" t="str">
        <f t="shared" si="24"/>
        <v>09/2024</v>
      </c>
      <c r="Q219" s="15" t="str">
        <f t="array" ref="Q219">IFERROR(XLOOKUP(N219,'Classificação'!A:A,'Classificação'!B:B),"")</f>
        <v>DESPESAS ADMINISTRATIVAS</v>
      </c>
      <c r="R219" s="15" t="str">
        <f t="array" ref="R219">IFERROR(XLOOKUP(Q219,'Classificação'!B:B,'Classificação'!C:C),"")</f>
        <v>DESPESAS FIXAS (-)</v>
      </c>
      <c r="S219" s="15">
        <f t="shared" si="5"/>
        <v>20</v>
      </c>
      <c r="T219" s="15">
        <f t="shared" si="6"/>
        <v>9</v>
      </c>
      <c r="U219" s="15">
        <f t="shared" si="7"/>
        <v>2024</v>
      </c>
      <c r="V219" s="15">
        <f t="shared" si="8"/>
        <v>20</v>
      </c>
      <c r="W219" s="15">
        <f t="shared" si="9"/>
        <v>9</v>
      </c>
      <c r="X219" s="15">
        <f t="shared" si="10"/>
        <v>2024</v>
      </c>
    </row>
    <row r="220">
      <c r="A220" s="9">
        <v>45555.0</v>
      </c>
      <c r="B220" s="9">
        <v>45520.0</v>
      </c>
      <c r="C220" s="9">
        <f t="shared" si="22"/>
        <v>45555</v>
      </c>
      <c r="D220" s="11" t="s">
        <v>182</v>
      </c>
      <c r="E220" s="11" t="s">
        <v>25</v>
      </c>
      <c r="F220" s="11" t="s">
        <v>107</v>
      </c>
      <c r="G220" s="11" t="s">
        <v>27</v>
      </c>
      <c r="H220" s="11" t="s">
        <v>182</v>
      </c>
      <c r="I220" s="12">
        <v>11.94</v>
      </c>
      <c r="J220" s="13"/>
      <c r="K220" s="13">
        <f t="shared" si="2"/>
        <v>11.94</v>
      </c>
      <c r="L220" s="11" t="s">
        <v>34</v>
      </c>
      <c r="M220" s="14"/>
      <c r="N220" s="11" t="s">
        <v>184</v>
      </c>
      <c r="O220" s="10" t="str">
        <f t="shared" si="3"/>
        <v>09/2024</v>
      </c>
      <c r="P220" s="10" t="str">
        <f t="shared" si="24"/>
        <v>09/2024</v>
      </c>
      <c r="Q220" s="15" t="str">
        <f t="array" ref="Q220">IFERROR(XLOOKUP(N220,'Classificação'!A:A,'Classificação'!B:B),"")</f>
        <v>DESPESAS ADMINISTRATIVAS</v>
      </c>
      <c r="R220" s="15" t="str">
        <f t="array" ref="R220">IFERROR(XLOOKUP(Q220,'Classificação'!B:B,'Classificação'!C:C),"")</f>
        <v>DESPESAS FIXAS (-)</v>
      </c>
      <c r="S220" s="15">
        <f t="shared" si="5"/>
        <v>20</v>
      </c>
      <c r="T220" s="15">
        <f t="shared" si="6"/>
        <v>9</v>
      </c>
      <c r="U220" s="15">
        <f t="shared" si="7"/>
        <v>2024</v>
      </c>
      <c r="V220" s="15">
        <f t="shared" si="8"/>
        <v>20</v>
      </c>
      <c r="W220" s="15">
        <f t="shared" si="9"/>
        <v>9</v>
      </c>
      <c r="X220" s="15">
        <f t="shared" si="10"/>
        <v>2024</v>
      </c>
    </row>
    <row r="221">
      <c r="A221" s="9">
        <v>45555.0</v>
      </c>
      <c r="B221" s="9">
        <v>45520.0</v>
      </c>
      <c r="C221" s="9">
        <f t="shared" si="22"/>
        <v>45555</v>
      </c>
      <c r="D221" s="11" t="s">
        <v>182</v>
      </c>
      <c r="E221" s="11" t="s">
        <v>25</v>
      </c>
      <c r="F221" s="11" t="s">
        <v>107</v>
      </c>
      <c r="G221" s="11" t="s">
        <v>27</v>
      </c>
      <c r="H221" s="11" t="s">
        <v>182</v>
      </c>
      <c r="I221" s="12">
        <v>8.43</v>
      </c>
      <c r="J221" s="13"/>
      <c r="K221" s="13">
        <f t="shared" si="2"/>
        <v>8.43</v>
      </c>
      <c r="L221" s="11" t="s">
        <v>34</v>
      </c>
      <c r="M221" s="14"/>
      <c r="N221" s="11" t="s">
        <v>184</v>
      </c>
      <c r="O221" s="10" t="str">
        <f t="shared" si="3"/>
        <v>09/2024</v>
      </c>
      <c r="P221" s="10" t="str">
        <f t="shared" si="24"/>
        <v>09/2024</v>
      </c>
      <c r="Q221" s="15" t="str">
        <f t="array" ref="Q221">IFERROR(XLOOKUP(N221,'Classificação'!A:A,'Classificação'!B:B),"")</f>
        <v>DESPESAS ADMINISTRATIVAS</v>
      </c>
      <c r="R221" s="15" t="str">
        <f t="array" ref="R221">IFERROR(XLOOKUP(Q221,'Classificação'!B:B,'Classificação'!C:C),"")</f>
        <v>DESPESAS FIXAS (-)</v>
      </c>
      <c r="S221" s="15">
        <f t="shared" si="5"/>
        <v>20</v>
      </c>
      <c r="T221" s="15">
        <f t="shared" si="6"/>
        <v>9</v>
      </c>
      <c r="U221" s="15">
        <f t="shared" si="7"/>
        <v>2024</v>
      </c>
      <c r="V221" s="15">
        <f t="shared" si="8"/>
        <v>20</v>
      </c>
      <c r="W221" s="15">
        <f t="shared" si="9"/>
        <v>9</v>
      </c>
      <c r="X221" s="15">
        <f t="shared" si="10"/>
        <v>2024</v>
      </c>
    </row>
    <row r="222">
      <c r="A222" s="9">
        <v>45555.0</v>
      </c>
      <c r="B222" s="9">
        <v>45520.0</v>
      </c>
      <c r="C222" s="9">
        <f t="shared" si="22"/>
        <v>45555</v>
      </c>
      <c r="D222" s="11" t="s">
        <v>182</v>
      </c>
      <c r="E222" s="11" t="s">
        <v>25</v>
      </c>
      <c r="F222" s="11" t="s">
        <v>107</v>
      </c>
      <c r="G222" s="11" t="s">
        <v>27</v>
      </c>
      <c r="H222" s="11" t="s">
        <v>182</v>
      </c>
      <c r="I222" s="12">
        <v>14.9</v>
      </c>
      <c r="J222" s="13"/>
      <c r="K222" s="13">
        <f t="shared" si="2"/>
        <v>14.9</v>
      </c>
      <c r="L222" s="11" t="s">
        <v>34</v>
      </c>
      <c r="M222" s="14"/>
      <c r="N222" s="11" t="s">
        <v>184</v>
      </c>
      <c r="O222" s="10" t="str">
        <f t="shared" si="3"/>
        <v>09/2024</v>
      </c>
      <c r="P222" s="10" t="str">
        <f t="shared" si="24"/>
        <v>09/2024</v>
      </c>
      <c r="Q222" s="15" t="str">
        <f t="array" ref="Q222">IFERROR(XLOOKUP(N222,'Classificação'!A:A,'Classificação'!B:B),"")</f>
        <v>DESPESAS ADMINISTRATIVAS</v>
      </c>
      <c r="R222" s="15" t="str">
        <f t="array" ref="R222">IFERROR(XLOOKUP(Q222,'Classificação'!B:B,'Classificação'!C:C),"")</f>
        <v>DESPESAS FIXAS (-)</v>
      </c>
      <c r="S222" s="15">
        <f t="shared" si="5"/>
        <v>20</v>
      </c>
      <c r="T222" s="15">
        <f t="shared" si="6"/>
        <v>9</v>
      </c>
      <c r="U222" s="15">
        <f t="shared" si="7"/>
        <v>2024</v>
      </c>
      <c r="V222" s="15">
        <f t="shared" si="8"/>
        <v>20</v>
      </c>
      <c r="W222" s="15">
        <f t="shared" si="9"/>
        <v>9</v>
      </c>
      <c r="X222" s="15">
        <f t="shared" si="10"/>
        <v>2024</v>
      </c>
    </row>
    <row r="223">
      <c r="A223" s="9">
        <v>45555.0</v>
      </c>
      <c r="B223" s="9">
        <v>45520.0</v>
      </c>
      <c r="C223" s="9">
        <f t="shared" si="22"/>
        <v>45555</v>
      </c>
      <c r="D223" s="11" t="s">
        <v>182</v>
      </c>
      <c r="E223" s="11" t="s">
        <v>25</v>
      </c>
      <c r="F223" s="11" t="s">
        <v>107</v>
      </c>
      <c r="G223" s="11" t="s">
        <v>27</v>
      </c>
      <c r="H223" s="11" t="s">
        <v>182</v>
      </c>
      <c r="I223" s="12">
        <v>8.93</v>
      </c>
      <c r="J223" s="13"/>
      <c r="K223" s="13">
        <f t="shared" si="2"/>
        <v>8.93</v>
      </c>
      <c r="L223" s="11" t="s">
        <v>34</v>
      </c>
      <c r="M223" s="14"/>
      <c r="N223" s="11" t="s">
        <v>184</v>
      </c>
      <c r="O223" s="10" t="str">
        <f t="shared" si="3"/>
        <v>09/2024</v>
      </c>
      <c r="P223" s="10" t="str">
        <f t="shared" si="24"/>
        <v>09/2024</v>
      </c>
      <c r="Q223" s="15" t="str">
        <f t="array" ref="Q223">IFERROR(XLOOKUP(N223,'Classificação'!A:A,'Classificação'!B:B),"")</f>
        <v>DESPESAS ADMINISTRATIVAS</v>
      </c>
      <c r="R223" s="15" t="str">
        <f t="array" ref="R223">IFERROR(XLOOKUP(Q223,'Classificação'!B:B,'Classificação'!C:C),"")</f>
        <v>DESPESAS FIXAS (-)</v>
      </c>
      <c r="S223" s="15">
        <f t="shared" si="5"/>
        <v>20</v>
      </c>
      <c r="T223" s="15">
        <f t="shared" si="6"/>
        <v>9</v>
      </c>
      <c r="U223" s="15">
        <f t="shared" si="7"/>
        <v>2024</v>
      </c>
      <c r="V223" s="15">
        <f t="shared" si="8"/>
        <v>20</v>
      </c>
      <c r="W223" s="15">
        <f t="shared" si="9"/>
        <v>9</v>
      </c>
      <c r="X223" s="15">
        <f t="shared" si="10"/>
        <v>2024</v>
      </c>
    </row>
    <row r="224">
      <c r="A224" s="9">
        <v>45555.0</v>
      </c>
      <c r="B224" s="9">
        <v>45510.0</v>
      </c>
      <c r="C224" s="9">
        <f t="shared" si="22"/>
        <v>45555</v>
      </c>
      <c r="D224" s="11" t="s">
        <v>161</v>
      </c>
      <c r="E224" s="11" t="s">
        <v>25</v>
      </c>
      <c r="F224" s="11" t="s">
        <v>107</v>
      </c>
      <c r="G224" s="11" t="s">
        <v>27</v>
      </c>
      <c r="H224" s="11" t="s">
        <v>280</v>
      </c>
      <c r="I224" s="12">
        <v>299.0</v>
      </c>
      <c r="J224" s="13"/>
      <c r="K224" s="13">
        <f t="shared" si="2"/>
        <v>299</v>
      </c>
      <c r="L224" s="11" t="s">
        <v>34</v>
      </c>
      <c r="M224" s="14"/>
      <c r="N224" s="11" t="s">
        <v>105</v>
      </c>
      <c r="O224" s="10" t="str">
        <f t="shared" si="3"/>
        <v>09/2024</v>
      </c>
      <c r="P224" s="10" t="str">
        <f t="shared" si="24"/>
        <v>09/2024</v>
      </c>
      <c r="Q224" s="15" t="str">
        <f t="array" ref="Q224">IFERROR(XLOOKUP(N224,'Classificação'!A:A,'Classificação'!B:B),"")</f>
        <v>DESPESAS ADMINISTRATIVAS</v>
      </c>
      <c r="R224" s="15" t="str">
        <f t="array" ref="R224">IFERROR(XLOOKUP(Q224,'Classificação'!B:B,'Classificação'!C:C),"")</f>
        <v>DESPESAS FIXAS (-)</v>
      </c>
      <c r="S224" s="15">
        <f t="shared" si="5"/>
        <v>20</v>
      </c>
      <c r="T224" s="15">
        <f t="shared" si="6"/>
        <v>9</v>
      </c>
      <c r="U224" s="15">
        <f t="shared" si="7"/>
        <v>2024</v>
      </c>
      <c r="V224" s="15">
        <f t="shared" si="8"/>
        <v>20</v>
      </c>
      <c r="W224" s="15">
        <f t="shared" si="9"/>
        <v>9</v>
      </c>
      <c r="X224" s="15">
        <f t="shared" si="10"/>
        <v>2024</v>
      </c>
    </row>
    <row r="225">
      <c r="A225" s="9">
        <v>45555.0</v>
      </c>
      <c r="B225" s="10"/>
      <c r="C225" s="9">
        <f t="shared" si="22"/>
        <v>45555</v>
      </c>
      <c r="D225" s="11" t="s">
        <v>44</v>
      </c>
      <c r="E225" s="11" t="s">
        <v>25</v>
      </c>
      <c r="F225" s="11" t="s">
        <v>107</v>
      </c>
      <c r="G225" s="11" t="s">
        <v>27</v>
      </c>
      <c r="H225" s="11" t="s">
        <v>281</v>
      </c>
      <c r="I225" s="12">
        <v>-312.69</v>
      </c>
      <c r="J225" s="13"/>
      <c r="K225" s="13">
        <f t="shared" si="2"/>
        <v>-312.69</v>
      </c>
      <c r="L225" s="11" t="s">
        <v>34</v>
      </c>
      <c r="M225" s="14"/>
      <c r="N225" s="11" t="s">
        <v>95</v>
      </c>
      <c r="O225" s="10" t="str">
        <f t="shared" si="3"/>
        <v>09/2024</v>
      </c>
      <c r="P225" s="10" t="str">
        <f t="shared" si="24"/>
        <v>09/2024</v>
      </c>
      <c r="Q225" s="15" t="str">
        <f t="array" ref="Q225">IFERROR(XLOOKUP(N225,'Classificação'!A:A,'Classificação'!B:B),"")</f>
        <v>DESPESAS NÃO OPERACIONAIS</v>
      </c>
      <c r="R225" s="15" t="str">
        <f t="array" ref="R225">IFERROR(XLOOKUP(Q225,'Classificação'!B:B,'Classificação'!C:C),"")</f>
        <v>RESULTADO NÃO OPERACIONAL (+/-)</v>
      </c>
      <c r="S225" s="15">
        <f t="shared" si="5"/>
        <v>20</v>
      </c>
      <c r="T225" s="15">
        <f t="shared" si="6"/>
        <v>9</v>
      </c>
      <c r="U225" s="15">
        <f t="shared" si="7"/>
        <v>2024</v>
      </c>
      <c r="V225" s="15">
        <f t="shared" si="8"/>
        <v>20</v>
      </c>
      <c r="W225" s="15">
        <f t="shared" si="9"/>
        <v>9</v>
      </c>
      <c r="X225" s="15">
        <f t="shared" si="10"/>
        <v>2024</v>
      </c>
    </row>
    <row r="226">
      <c r="A226" s="9">
        <v>45555.0</v>
      </c>
      <c r="B226" s="10"/>
      <c r="C226" s="9">
        <f t="shared" si="22"/>
        <v>45555</v>
      </c>
      <c r="D226" s="11" t="s">
        <v>200</v>
      </c>
      <c r="E226" s="11" t="s">
        <v>25</v>
      </c>
      <c r="F226" s="11" t="s">
        <v>40</v>
      </c>
      <c r="G226" s="11" t="s">
        <v>27</v>
      </c>
      <c r="I226" s="12">
        <v>170.0</v>
      </c>
      <c r="J226" s="13"/>
      <c r="K226" s="13">
        <f t="shared" si="2"/>
        <v>170</v>
      </c>
      <c r="L226" s="11" t="s">
        <v>29</v>
      </c>
      <c r="M226" s="14"/>
      <c r="N226" s="11" t="s">
        <v>201</v>
      </c>
      <c r="O226" s="10" t="str">
        <f t="shared" si="3"/>
        <v>09/2024</v>
      </c>
      <c r="P226" s="10" t="str">
        <f t="shared" si="24"/>
        <v>09/2024</v>
      </c>
      <c r="Q226" s="15" t="str">
        <f t="array" ref="Q226">IFERROR(XLOOKUP(N226,'Classificação'!A:A,'Classificação'!B:B),"")</f>
        <v>DESPESAS COM OCUPAÇÃO</v>
      </c>
      <c r="R226" s="15" t="str">
        <f t="array" ref="R226">IFERROR(XLOOKUP(Q226,'Classificação'!B:B,'Classificação'!C:C),"")</f>
        <v>DESPESAS FIXAS (-)</v>
      </c>
      <c r="S226" s="15">
        <f t="shared" si="5"/>
        <v>20</v>
      </c>
      <c r="T226" s="15">
        <f t="shared" si="6"/>
        <v>9</v>
      </c>
      <c r="U226" s="15">
        <f t="shared" si="7"/>
        <v>2024</v>
      </c>
      <c r="V226" s="15">
        <f t="shared" si="8"/>
        <v>20</v>
      </c>
      <c r="W226" s="15">
        <f t="shared" si="9"/>
        <v>9</v>
      </c>
      <c r="X226" s="15">
        <f t="shared" si="10"/>
        <v>2024</v>
      </c>
    </row>
    <row r="227">
      <c r="A227" s="9">
        <v>45555.0</v>
      </c>
      <c r="B227" s="10"/>
      <c r="C227" s="9">
        <f t="shared" si="22"/>
        <v>45555</v>
      </c>
      <c r="D227" s="11" t="s">
        <v>127</v>
      </c>
      <c r="E227" s="11" t="s">
        <v>25</v>
      </c>
      <c r="F227" s="11" t="s">
        <v>26</v>
      </c>
      <c r="G227" s="11" t="s">
        <v>37</v>
      </c>
      <c r="I227" s="12">
        <v>600.0</v>
      </c>
      <c r="J227" s="13"/>
      <c r="K227" s="13">
        <f t="shared" si="2"/>
        <v>600</v>
      </c>
      <c r="L227" s="11" t="s">
        <v>29</v>
      </c>
      <c r="M227" s="14"/>
      <c r="N227" s="11" t="s">
        <v>58</v>
      </c>
      <c r="O227" s="10" t="str">
        <f t="shared" si="3"/>
        <v>09/2024</v>
      </c>
      <c r="P227" s="10" t="str">
        <f t="shared" si="24"/>
        <v>09/2024</v>
      </c>
      <c r="Q227" s="15" t="str">
        <f t="array" ref="Q227">IFERROR(XLOOKUP(N227,'Classificação'!A:A,'Classificação'!B:B),"")</f>
        <v>DESPESAS ADMINISTRATIVAS</v>
      </c>
      <c r="R227" s="15" t="str">
        <f t="array" ref="R227">IFERROR(XLOOKUP(Q227,'Classificação'!B:B,'Classificação'!C:C),"")</f>
        <v>DESPESAS FIXAS (-)</v>
      </c>
      <c r="S227" s="15">
        <f t="shared" si="5"/>
        <v>20</v>
      </c>
      <c r="T227" s="15">
        <f t="shared" si="6"/>
        <v>9</v>
      </c>
      <c r="U227" s="15">
        <f t="shared" si="7"/>
        <v>2024</v>
      </c>
      <c r="V227" s="15">
        <f t="shared" si="8"/>
        <v>20</v>
      </c>
      <c r="W227" s="15">
        <f t="shared" si="9"/>
        <v>9</v>
      </c>
      <c r="X227" s="15">
        <f t="shared" si="10"/>
        <v>2024</v>
      </c>
    </row>
    <row r="228">
      <c r="A228" s="9">
        <v>45555.0</v>
      </c>
      <c r="B228" s="10"/>
      <c r="C228" s="9">
        <f t="shared" si="22"/>
        <v>45555</v>
      </c>
      <c r="D228" s="11" t="s">
        <v>282</v>
      </c>
      <c r="E228" s="11" t="s">
        <v>25</v>
      </c>
      <c r="F228" s="11" t="s">
        <v>26</v>
      </c>
      <c r="G228" s="11" t="s">
        <v>37</v>
      </c>
      <c r="H228" s="11" t="s">
        <v>283</v>
      </c>
      <c r="I228" s="12">
        <v>310.0</v>
      </c>
      <c r="J228" s="13"/>
      <c r="K228" s="13"/>
      <c r="L228" s="11" t="s">
        <v>34</v>
      </c>
      <c r="M228" s="14"/>
      <c r="N228" s="11" t="s">
        <v>58</v>
      </c>
      <c r="O228" s="10" t="str">
        <f t="shared" si="3"/>
        <v>09/2024</v>
      </c>
      <c r="P228" s="10"/>
      <c r="Q228" s="15" t="str">
        <f t="array" ref="Q228">IFERROR(XLOOKUP(N228,'Classificação'!A:A,'Classificação'!B:B),"")</f>
        <v>DESPESAS ADMINISTRATIVAS</v>
      </c>
      <c r="R228" s="15" t="str">
        <f t="array" ref="R228">IFERROR(XLOOKUP(Q228,'Classificação'!B:B,'Classificação'!C:C),"")</f>
        <v>DESPESAS FIXAS (-)</v>
      </c>
      <c r="S228" s="15">
        <f t="shared" si="5"/>
        <v>20</v>
      </c>
      <c r="T228" s="15">
        <f t="shared" si="6"/>
        <v>9</v>
      </c>
      <c r="U228" s="15">
        <f t="shared" si="7"/>
        <v>2024</v>
      </c>
      <c r="V228" s="15">
        <f t="shared" si="8"/>
        <v>20</v>
      </c>
      <c r="W228" s="15">
        <f t="shared" si="9"/>
        <v>9</v>
      </c>
      <c r="X228" s="15">
        <f t="shared" si="10"/>
        <v>2024</v>
      </c>
    </row>
    <row r="229">
      <c r="A229" s="9">
        <v>45558.0</v>
      </c>
      <c r="B229" s="10"/>
      <c r="C229" s="9">
        <f t="shared" si="22"/>
        <v>45558</v>
      </c>
      <c r="D229" s="11" t="s">
        <v>76</v>
      </c>
      <c r="E229" s="11" t="s">
        <v>25</v>
      </c>
      <c r="F229" s="11" t="s">
        <v>26</v>
      </c>
      <c r="G229" s="11" t="s">
        <v>27</v>
      </c>
      <c r="H229" s="11" t="s">
        <v>84</v>
      </c>
      <c r="I229" s="24">
        <v>879.24</v>
      </c>
      <c r="J229" s="13"/>
      <c r="K229" s="13">
        <f t="shared" ref="K229:K234" si="25">if(E229="pago",(I229-J229),"")</f>
        <v>879.24</v>
      </c>
      <c r="L229" s="11" t="s">
        <v>53</v>
      </c>
      <c r="M229" s="16" t="s">
        <v>227</v>
      </c>
      <c r="N229" s="11" t="s">
        <v>85</v>
      </c>
      <c r="O229" s="10" t="str">
        <f t="shared" si="3"/>
        <v>09/2024</v>
      </c>
      <c r="P229" s="10" t="str">
        <f t="shared" ref="P229:P231" si="26">if(C229="","", TEXT(C229,"mm/yyyy"))</f>
        <v>09/2024</v>
      </c>
      <c r="Q229" s="15" t="str">
        <f t="array" ref="Q229">IFERROR(XLOOKUP(N229,'Classificação'!A:A,'Classificação'!B:B),"")</f>
        <v>DESPESAS NÃO OPERACIONAIS</v>
      </c>
      <c r="R229" s="15" t="str">
        <f t="array" ref="R229">IFERROR(XLOOKUP(Q229,'Classificação'!B:B,'Classificação'!C:C),"")</f>
        <v>RESULTADO NÃO OPERACIONAL (+/-)</v>
      </c>
      <c r="S229" s="15">
        <f t="shared" si="5"/>
        <v>23</v>
      </c>
      <c r="T229" s="15">
        <f t="shared" si="6"/>
        <v>9</v>
      </c>
      <c r="U229" s="15">
        <f t="shared" si="7"/>
        <v>2024</v>
      </c>
      <c r="V229" s="15">
        <f t="shared" si="8"/>
        <v>23</v>
      </c>
      <c r="W229" s="15">
        <f t="shared" si="9"/>
        <v>9</v>
      </c>
      <c r="X229" s="15">
        <f t="shared" si="10"/>
        <v>2024</v>
      </c>
    </row>
    <row r="230">
      <c r="A230" s="9">
        <v>45558.0</v>
      </c>
      <c r="B230" s="10"/>
      <c r="C230" s="9">
        <f t="shared" si="22"/>
        <v>45558</v>
      </c>
      <c r="D230" s="11" t="s">
        <v>202</v>
      </c>
      <c r="E230" s="11" t="s">
        <v>25</v>
      </c>
      <c r="F230" s="11" t="s">
        <v>32</v>
      </c>
      <c r="G230" s="11" t="s">
        <v>27</v>
      </c>
      <c r="H230" s="11" t="s">
        <v>203</v>
      </c>
      <c r="I230" s="12">
        <v>469.34</v>
      </c>
      <c r="J230" s="13"/>
      <c r="K230" s="13">
        <f t="shared" si="25"/>
        <v>469.34</v>
      </c>
      <c r="L230" s="11" t="s">
        <v>53</v>
      </c>
      <c r="M230" s="20">
        <v>45598.0</v>
      </c>
      <c r="N230" s="11" t="s">
        <v>73</v>
      </c>
      <c r="O230" s="10" t="str">
        <f t="shared" si="3"/>
        <v>09/2024</v>
      </c>
      <c r="P230" s="10" t="str">
        <f t="shared" si="26"/>
        <v>09/2024</v>
      </c>
      <c r="Q230" s="15" t="str">
        <f t="array" ref="Q230">IFERROR(XLOOKUP(N230,'Classificação'!A:A,'Classificação'!B:B),"")</f>
        <v>DESPESAS NÃO OPERACIONAIS</v>
      </c>
      <c r="R230" s="15" t="str">
        <f t="array" ref="R230">IFERROR(XLOOKUP(Q230,'Classificação'!B:B,'Classificação'!C:C),"")</f>
        <v>RESULTADO NÃO OPERACIONAL (+/-)</v>
      </c>
      <c r="S230" s="15">
        <f t="shared" si="5"/>
        <v>23</v>
      </c>
      <c r="T230" s="15">
        <f t="shared" si="6"/>
        <v>9</v>
      </c>
      <c r="U230" s="15">
        <f t="shared" si="7"/>
        <v>2024</v>
      </c>
      <c r="V230" s="15">
        <f t="shared" si="8"/>
        <v>23</v>
      </c>
      <c r="W230" s="15">
        <f t="shared" si="9"/>
        <v>9</v>
      </c>
      <c r="X230" s="15">
        <f t="shared" si="10"/>
        <v>2024</v>
      </c>
    </row>
    <row r="231">
      <c r="A231" s="9">
        <v>45558.0</v>
      </c>
      <c r="B231" s="10"/>
      <c r="C231" s="9">
        <f t="shared" si="22"/>
        <v>45558</v>
      </c>
      <c r="D231" s="11" t="s">
        <v>202</v>
      </c>
      <c r="E231" s="11" t="s">
        <v>25</v>
      </c>
      <c r="F231" s="11" t="s">
        <v>32</v>
      </c>
      <c r="G231" s="11" t="s">
        <v>27</v>
      </c>
      <c r="H231" s="11" t="s">
        <v>203</v>
      </c>
      <c r="I231" s="12">
        <v>649.91</v>
      </c>
      <c r="J231" s="13"/>
      <c r="K231" s="13">
        <f t="shared" si="25"/>
        <v>649.91</v>
      </c>
      <c r="L231" s="11" t="s">
        <v>53</v>
      </c>
      <c r="M231" s="20">
        <v>45598.0</v>
      </c>
      <c r="N231" s="11" t="s">
        <v>73</v>
      </c>
      <c r="O231" s="10" t="str">
        <f t="shared" si="3"/>
        <v>09/2024</v>
      </c>
      <c r="P231" s="10" t="str">
        <f t="shared" si="26"/>
        <v>09/2024</v>
      </c>
      <c r="Q231" s="15" t="str">
        <f t="array" ref="Q231">IFERROR(XLOOKUP(N231,'Classificação'!A:A,'Classificação'!B:B),"")</f>
        <v>DESPESAS NÃO OPERACIONAIS</v>
      </c>
      <c r="R231" s="15" t="str">
        <f t="array" ref="R231">IFERROR(XLOOKUP(Q231,'Classificação'!B:B,'Classificação'!C:C),"")</f>
        <v>RESULTADO NÃO OPERACIONAL (+/-)</v>
      </c>
      <c r="S231" s="15">
        <f t="shared" si="5"/>
        <v>23</v>
      </c>
      <c r="T231" s="15">
        <f t="shared" si="6"/>
        <v>9</v>
      </c>
      <c r="U231" s="15">
        <f t="shared" si="7"/>
        <v>2024</v>
      </c>
      <c r="V231" s="15">
        <f t="shared" si="8"/>
        <v>23</v>
      </c>
      <c r="W231" s="15">
        <f t="shared" si="9"/>
        <v>9</v>
      </c>
      <c r="X231" s="15">
        <f t="shared" si="10"/>
        <v>2024</v>
      </c>
    </row>
    <row r="232">
      <c r="A232" s="9">
        <v>45558.0</v>
      </c>
      <c r="B232" s="10"/>
      <c r="C232" s="9">
        <f t="shared" si="22"/>
        <v>45558</v>
      </c>
      <c r="D232" s="11" t="s">
        <v>43</v>
      </c>
      <c r="E232" s="11" t="s">
        <v>25</v>
      </c>
      <c r="F232" s="11" t="s">
        <v>26</v>
      </c>
      <c r="G232" s="11" t="s">
        <v>27</v>
      </c>
      <c r="I232" s="12">
        <v>1814.0</v>
      </c>
      <c r="J232" s="13"/>
      <c r="K232" s="13">
        <f t="shared" si="25"/>
        <v>1814</v>
      </c>
      <c r="L232" s="11" t="s">
        <v>34</v>
      </c>
      <c r="M232" s="14"/>
      <c r="N232" s="11" t="s">
        <v>38</v>
      </c>
      <c r="O232" s="10" t="str">
        <f t="shared" si="3"/>
        <v>09/2024</v>
      </c>
      <c r="P232" s="10"/>
      <c r="Q232" s="15" t="str">
        <f t="array" ref="Q232">IFERROR(XLOOKUP(N232,'Classificação'!A:A,'Classificação'!B:B),"")</f>
        <v>DESPESAS COM PESSOAL</v>
      </c>
      <c r="R232" s="15" t="str">
        <f t="array" ref="R232">IFERROR(XLOOKUP(Q232,'Classificação'!B:B,'Classificação'!C:C),"")</f>
        <v>DESPESAS FIXAS (-)</v>
      </c>
      <c r="S232" s="15">
        <f t="shared" si="5"/>
        <v>23</v>
      </c>
      <c r="T232" s="15">
        <f t="shared" si="6"/>
        <v>9</v>
      </c>
      <c r="U232" s="15">
        <f t="shared" si="7"/>
        <v>2024</v>
      </c>
      <c r="V232" s="15">
        <f t="shared" si="8"/>
        <v>23</v>
      </c>
      <c r="W232" s="15">
        <f t="shared" si="9"/>
        <v>9</v>
      </c>
      <c r="X232" s="15">
        <f t="shared" si="10"/>
        <v>2024</v>
      </c>
    </row>
    <row r="233">
      <c r="A233" s="26">
        <v>45558.0</v>
      </c>
      <c r="B233" s="26">
        <v>45558.0</v>
      </c>
      <c r="C233" s="27">
        <f t="shared" si="22"/>
        <v>45558</v>
      </c>
      <c r="D233" s="28" t="s">
        <v>36</v>
      </c>
      <c r="E233" s="28" t="s">
        <v>25</v>
      </c>
      <c r="F233" s="29" t="s">
        <v>26</v>
      </c>
      <c r="G233" s="28" t="s">
        <v>37</v>
      </c>
      <c r="H233" s="29" t="s">
        <v>284</v>
      </c>
      <c r="I233" s="24">
        <v>1815.0</v>
      </c>
      <c r="J233" s="13"/>
      <c r="K233" s="13">
        <f t="shared" si="25"/>
        <v>1815</v>
      </c>
      <c r="L233" s="11" t="s">
        <v>34</v>
      </c>
      <c r="M233" s="14"/>
      <c r="N233" s="11" t="s">
        <v>38</v>
      </c>
      <c r="O233" s="10" t="str">
        <f t="shared" si="3"/>
        <v>09/2024</v>
      </c>
      <c r="P233" s="10"/>
      <c r="Q233" s="15" t="str">
        <f t="array" ref="Q233">IFERROR(XLOOKUP(N233,'Classificação'!A:A,'Classificação'!B:B),"")</f>
        <v>DESPESAS COM PESSOAL</v>
      </c>
      <c r="R233" s="15" t="str">
        <f t="array" ref="R233">IFERROR(XLOOKUP(Q233,'Classificação'!B:B,'Classificação'!C:C),"")</f>
        <v>DESPESAS FIXAS (-)</v>
      </c>
      <c r="S233" s="15">
        <f t="shared" si="5"/>
        <v>23</v>
      </c>
      <c r="T233" s="15">
        <f t="shared" si="6"/>
        <v>9</v>
      </c>
      <c r="U233" s="15">
        <f t="shared" si="7"/>
        <v>2024</v>
      </c>
      <c r="V233" s="15">
        <f t="shared" si="8"/>
        <v>23</v>
      </c>
      <c r="W233" s="15">
        <f t="shared" si="9"/>
        <v>9</v>
      </c>
      <c r="X233" s="15">
        <f t="shared" si="10"/>
        <v>2024</v>
      </c>
    </row>
    <row r="234">
      <c r="A234" s="26">
        <v>45558.0</v>
      </c>
      <c r="B234" s="26">
        <v>45558.0</v>
      </c>
      <c r="C234" s="27">
        <f t="shared" si="22"/>
        <v>45558</v>
      </c>
      <c r="D234" s="28" t="s">
        <v>43</v>
      </c>
      <c r="E234" s="28" t="s">
        <v>25</v>
      </c>
      <c r="F234" s="29" t="s">
        <v>26</v>
      </c>
      <c r="G234" s="28" t="s">
        <v>37</v>
      </c>
      <c r="H234" s="29" t="s">
        <v>284</v>
      </c>
      <c r="I234" s="24">
        <v>1815.0</v>
      </c>
      <c r="J234" s="13"/>
      <c r="K234" s="13">
        <f t="shared" si="25"/>
        <v>1815</v>
      </c>
      <c r="L234" s="11" t="s">
        <v>34</v>
      </c>
      <c r="M234" s="14"/>
      <c r="N234" s="11" t="s">
        <v>38</v>
      </c>
      <c r="O234" s="10" t="str">
        <f t="shared" si="3"/>
        <v>09/2024</v>
      </c>
      <c r="P234" s="10"/>
      <c r="Q234" s="15" t="str">
        <f t="array" ref="Q234">IFERROR(XLOOKUP(N234,'Classificação'!A:A,'Classificação'!B:B),"")</f>
        <v>DESPESAS COM PESSOAL</v>
      </c>
      <c r="R234" s="15" t="str">
        <f t="array" ref="R234">IFERROR(XLOOKUP(Q234,'Classificação'!B:B,'Classificação'!C:C),"")</f>
        <v>DESPESAS FIXAS (-)</v>
      </c>
      <c r="S234" s="15">
        <f t="shared" si="5"/>
        <v>23</v>
      </c>
      <c r="T234" s="15">
        <f t="shared" si="6"/>
        <v>9</v>
      </c>
      <c r="U234" s="15">
        <f t="shared" si="7"/>
        <v>2024</v>
      </c>
      <c r="V234" s="15">
        <f t="shared" si="8"/>
        <v>23</v>
      </c>
      <c r="W234" s="15">
        <f t="shared" si="9"/>
        <v>9</v>
      </c>
      <c r="X234" s="15">
        <f t="shared" si="10"/>
        <v>2024</v>
      </c>
    </row>
    <row r="235">
      <c r="A235" s="26">
        <v>45558.0</v>
      </c>
      <c r="B235" s="26">
        <v>45558.0</v>
      </c>
      <c r="C235" s="9">
        <f t="shared" si="22"/>
        <v>45558</v>
      </c>
      <c r="D235" s="11" t="s">
        <v>216</v>
      </c>
      <c r="E235" s="11" t="s">
        <v>25</v>
      </c>
      <c r="F235" s="11" t="s">
        <v>26</v>
      </c>
      <c r="G235" s="28" t="s">
        <v>37</v>
      </c>
      <c r="H235" s="11" t="s">
        <v>285</v>
      </c>
      <c r="I235" s="12">
        <v>150.0</v>
      </c>
      <c r="J235" s="13"/>
      <c r="K235" s="13"/>
      <c r="L235" s="11" t="s">
        <v>34</v>
      </c>
      <c r="M235" s="14"/>
      <c r="N235" s="11" t="s">
        <v>218</v>
      </c>
      <c r="O235" s="10" t="str">
        <f t="shared" si="3"/>
        <v>09/2024</v>
      </c>
      <c r="P235" s="10"/>
      <c r="Q235" s="15" t="str">
        <f t="array" ref="Q235">IFERROR(XLOOKUP(N235,'Classificação'!A:A,'Classificação'!B:B),"")</f>
        <v>DESPESAS COM VIAGENS</v>
      </c>
      <c r="R235" s="15" t="str">
        <f t="array" ref="R235">IFERROR(XLOOKUP(Q235,'Classificação'!B:B,'Classificação'!C:C),"")</f>
        <v>DESPESAS FIXAS (-)</v>
      </c>
      <c r="S235" s="15">
        <f t="shared" si="5"/>
        <v>23</v>
      </c>
      <c r="T235" s="15">
        <f t="shared" si="6"/>
        <v>9</v>
      </c>
      <c r="U235" s="15">
        <f t="shared" si="7"/>
        <v>2024</v>
      </c>
      <c r="V235" s="15">
        <f t="shared" si="8"/>
        <v>23</v>
      </c>
      <c r="W235" s="15">
        <f t="shared" si="9"/>
        <v>9</v>
      </c>
      <c r="X235" s="15">
        <f t="shared" si="10"/>
        <v>2024</v>
      </c>
    </row>
    <row r="236">
      <c r="A236" s="9">
        <v>45559.0</v>
      </c>
      <c r="B236" s="10"/>
      <c r="C236" s="9">
        <f t="shared" si="22"/>
        <v>45559</v>
      </c>
      <c r="D236" s="11" t="s">
        <v>36</v>
      </c>
      <c r="E236" s="11" t="s">
        <v>25</v>
      </c>
      <c r="F236" s="11" t="s">
        <v>26</v>
      </c>
      <c r="G236" s="11" t="s">
        <v>27</v>
      </c>
      <c r="I236" s="12">
        <v>1815.0</v>
      </c>
      <c r="J236" s="13"/>
      <c r="K236" s="13">
        <f t="shared" ref="K236:K413" si="27">if(E236="pago",(I236-J236),"")</f>
        <v>1815</v>
      </c>
      <c r="L236" s="11" t="s">
        <v>34</v>
      </c>
      <c r="M236" s="14"/>
      <c r="N236" s="11" t="s">
        <v>38</v>
      </c>
      <c r="O236" s="10" t="str">
        <f t="shared" si="3"/>
        <v>09/2024</v>
      </c>
      <c r="P236" s="10"/>
      <c r="Q236" s="15" t="str">
        <f t="array" ref="Q236">IFERROR(XLOOKUP(N236,'Classificação'!A:A,'Classificação'!B:B),"")</f>
        <v>DESPESAS COM PESSOAL</v>
      </c>
      <c r="R236" s="15" t="str">
        <f t="array" ref="R236">IFERROR(XLOOKUP(Q236,'Classificação'!B:B,'Classificação'!C:C),"")</f>
        <v>DESPESAS FIXAS (-)</v>
      </c>
      <c r="S236" s="15">
        <f t="shared" si="5"/>
        <v>24</v>
      </c>
      <c r="T236" s="15">
        <f t="shared" si="6"/>
        <v>9</v>
      </c>
      <c r="U236" s="15">
        <f t="shared" si="7"/>
        <v>2024</v>
      </c>
      <c r="V236" s="15">
        <f t="shared" si="8"/>
        <v>24</v>
      </c>
      <c r="W236" s="15">
        <f t="shared" si="9"/>
        <v>9</v>
      </c>
      <c r="X236" s="15">
        <f t="shared" si="10"/>
        <v>2024</v>
      </c>
    </row>
    <row r="237">
      <c r="A237" s="9">
        <v>45559.0</v>
      </c>
      <c r="B237" s="10"/>
      <c r="C237" s="9">
        <f t="shared" si="22"/>
        <v>45559</v>
      </c>
      <c r="D237" s="11" t="s">
        <v>44</v>
      </c>
      <c r="E237" s="11" t="s">
        <v>25</v>
      </c>
      <c r="F237" s="11" t="s">
        <v>45</v>
      </c>
      <c r="G237" s="11" t="s">
        <v>27</v>
      </c>
      <c r="H237" s="11" t="s">
        <v>286</v>
      </c>
      <c r="I237" s="12">
        <v>12.58</v>
      </c>
      <c r="J237" s="13"/>
      <c r="K237" s="13">
        <f t="shared" si="27"/>
        <v>12.58</v>
      </c>
      <c r="L237" s="11" t="s">
        <v>34</v>
      </c>
      <c r="M237" s="14"/>
      <c r="N237" s="11" t="s">
        <v>97</v>
      </c>
      <c r="O237" s="10" t="str">
        <f t="shared" si="3"/>
        <v>09/2024</v>
      </c>
      <c r="P237" s="10"/>
      <c r="Q237" s="15" t="str">
        <f t="array" ref="Q237">IFERROR(XLOOKUP(N237,'Classificação'!A:A,'Classificação'!B:B),"")</f>
        <v>TARIFAS DE PIX</v>
      </c>
      <c r="R237" s="15" t="str">
        <f t="array" ref="R237">IFERROR(XLOOKUP(Q237,'Classificação'!B:B,'Classificação'!C:C),"")</f>
        <v>(+/-) RESULTADO FINANCEIRO LÍQUIDO</v>
      </c>
      <c r="S237" s="15">
        <f t="shared" si="5"/>
        <v>24</v>
      </c>
      <c r="T237" s="15">
        <f t="shared" si="6"/>
        <v>9</v>
      </c>
      <c r="U237" s="15">
        <f t="shared" si="7"/>
        <v>2024</v>
      </c>
      <c r="V237" s="15">
        <f t="shared" si="8"/>
        <v>24</v>
      </c>
      <c r="W237" s="15">
        <f t="shared" si="9"/>
        <v>9</v>
      </c>
      <c r="X237" s="15">
        <f t="shared" si="10"/>
        <v>2024</v>
      </c>
    </row>
    <row r="238">
      <c r="A238" s="9">
        <v>45560.0</v>
      </c>
      <c r="B238" s="10"/>
      <c r="C238" s="9">
        <f t="shared" si="22"/>
        <v>45560</v>
      </c>
      <c r="D238" s="11" t="s">
        <v>65</v>
      </c>
      <c r="E238" s="11" t="s">
        <v>25</v>
      </c>
      <c r="F238" s="11" t="s">
        <v>26</v>
      </c>
      <c r="G238" s="11" t="s">
        <v>37</v>
      </c>
      <c r="H238" s="11" t="s">
        <v>160</v>
      </c>
      <c r="I238" s="12">
        <v>48.37</v>
      </c>
      <c r="J238" s="13"/>
      <c r="K238" s="13">
        <f t="shared" si="27"/>
        <v>48.37</v>
      </c>
      <c r="L238" s="11" t="s">
        <v>53</v>
      </c>
      <c r="M238" s="17">
        <v>45324.0</v>
      </c>
      <c r="N238" s="11" t="s">
        <v>143</v>
      </c>
      <c r="O238" s="10" t="str">
        <f t="shared" si="3"/>
        <v>09/2024</v>
      </c>
      <c r="P238" s="10" t="str">
        <f t="shared" ref="P238:P251" si="28">if(C238="","", TEXT(C238,"mm/yyyy"))</f>
        <v>09/2024</v>
      </c>
      <c r="Q238" s="15" t="str">
        <f t="array" ref="Q238">IFERROR(XLOOKUP(N238,'Classificação'!A:A,'Classificação'!B:B),"")</f>
        <v>EMBALAGENS/FITAS/GERAL</v>
      </c>
      <c r="R238" s="15" t="str">
        <f t="array" ref="R238">IFERROR(XLOOKUP(Q238,'Classificação'!B:B,'Classificação'!C:C),"")</f>
        <v>CUSTOS VARIÁVEIS</v>
      </c>
      <c r="S238" s="15">
        <f t="shared" si="5"/>
        <v>25</v>
      </c>
      <c r="T238" s="15">
        <f t="shared" si="6"/>
        <v>9</v>
      </c>
      <c r="U238" s="15">
        <f t="shared" si="7"/>
        <v>2024</v>
      </c>
      <c r="V238" s="15">
        <f t="shared" si="8"/>
        <v>25</v>
      </c>
      <c r="W238" s="15">
        <f t="shared" si="9"/>
        <v>9</v>
      </c>
      <c r="X238" s="15">
        <f t="shared" si="10"/>
        <v>2024</v>
      </c>
    </row>
    <row r="239">
      <c r="A239" s="9">
        <v>45560.0</v>
      </c>
      <c r="B239" s="10"/>
      <c r="C239" s="9">
        <f t="shared" si="22"/>
        <v>45560</v>
      </c>
      <c r="D239" s="11" t="s">
        <v>65</v>
      </c>
      <c r="E239" s="11" t="s">
        <v>25</v>
      </c>
      <c r="F239" s="11" t="s">
        <v>26</v>
      </c>
      <c r="G239" s="11" t="s">
        <v>37</v>
      </c>
      <c r="H239" s="11" t="s">
        <v>205</v>
      </c>
      <c r="I239" s="12">
        <v>24.14</v>
      </c>
      <c r="J239" s="13"/>
      <c r="K239" s="13">
        <f t="shared" si="27"/>
        <v>24.14</v>
      </c>
      <c r="L239" s="11" t="s">
        <v>53</v>
      </c>
      <c r="M239" s="17">
        <v>45384.0</v>
      </c>
      <c r="N239" s="11" t="s">
        <v>95</v>
      </c>
      <c r="O239" s="10" t="str">
        <f t="shared" si="3"/>
        <v>09/2024</v>
      </c>
      <c r="P239" s="10" t="str">
        <f t="shared" si="28"/>
        <v>09/2024</v>
      </c>
      <c r="Q239" s="15" t="str">
        <f t="array" ref="Q239">IFERROR(XLOOKUP(N239,'Classificação'!A:A,'Classificação'!B:B),"")</f>
        <v>DESPESAS NÃO OPERACIONAIS</v>
      </c>
      <c r="R239" s="15" t="str">
        <f t="array" ref="R239">IFERROR(XLOOKUP(Q239,'Classificação'!B:B,'Classificação'!C:C),"")</f>
        <v>RESULTADO NÃO OPERACIONAL (+/-)</v>
      </c>
      <c r="S239" s="15">
        <f t="shared" si="5"/>
        <v>25</v>
      </c>
      <c r="T239" s="15">
        <f t="shared" si="6"/>
        <v>9</v>
      </c>
      <c r="U239" s="15">
        <f t="shared" si="7"/>
        <v>2024</v>
      </c>
      <c r="V239" s="15">
        <f t="shared" si="8"/>
        <v>25</v>
      </c>
      <c r="W239" s="15">
        <f t="shared" si="9"/>
        <v>9</v>
      </c>
      <c r="X239" s="15">
        <f t="shared" si="10"/>
        <v>2024</v>
      </c>
    </row>
    <row r="240">
      <c r="A240" s="9">
        <v>45560.0</v>
      </c>
      <c r="B240" s="10"/>
      <c r="C240" s="9">
        <f t="shared" si="22"/>
        <v>45560</v>
      </c>
      <c r="D240" s="11" t="s">
        <v>65</v>
      </c>
      <c r="E240" s="11" t="s">
        <v>25</v>
      </c>
      <c r="F240" s="11" t="s">
        <v>26</v>
      </c>
      <c r="G240" s="11" t="s">
        <v>37</v>
      </c>
      <c r="H240" s="11" t="s">
        <v>158</v>
      </c>
      <c r="I240" s="12">
        <v>67.49</v>
      </c>
      <c r="J240" s="13"/>
      <c r="K240" s="13">
        <f t="shared" si="27"/>
        <v>67.49</v>
      </c>
      <c r="L240" s="11" t="s">
        <v>53</v>
      </c>
      <c r="M240" s="17">
        <v>45573.0</v>
      </c>
      <c r="N240" s="11" t="s">
        <v>95</v>
      </c>
      <c r="O240" s="10" t="str">
        <f t="shared" si="3"/>
        <v>09/2024</v>
      </c>
      <c r="P240" s="10" t="str">
        <f t="shared" si="28"/>
        <v>09/2024</v>
      </c>
      <c r="Q240" s="15" t="str">
        <f t="array" ref="Q240">IFERROR(XLOOKUP(N240,'Classificação'!A:A,'Classificação'!B:B),"")</f>
        <v>DESPESAS NÃO OPERACIONAIS</v>
      </c>
      <c r="R240" s="15" t="str">
        <f t="array" ref="R240">IFERROR(XLOOKUP(Q240,'Classificação'!B:B,'Classificação'!C:C),"")</f>
        <v>RESULTADO NÃO OPERACIONAL (+/-)</v>
      </c>
      <c r="S240" s="15">
        <f t="shared" si="5"/>
        <v>25</v>
      </c>
      <c r="T240" s="15">
        <f t="shared" si="6"/>
        <v>9</v>
      </c>
      <c r="U240" s="15">
        <f t="shared" si="7"/>
        <v>2024</v>
      </c>
      <c r="V240" s="15">
        <f t="shared" si="8"/>
        <v>25</v>
      </c>
      <c r="W240" s="15">
        <f t="shared" si="9"/>
        <v>9</v>
      </c>
      <c r="X240" s="15">
        <f t="shared" si="10"/>
        <v>2024</v>
      </c>
    </row>
    <row r="241">
      <c r="A241" s="9">
        <v>45560.0</v>
      </c>
      <c r="B241" s="10"/>
      <c r="C241" s="9">
        <f t="shared" si="22"/>
        <v>45560</v>
      </c>
      <c r="D241" s="11" t="s">
        <v>208</v>
      </c>
      <c r="E241" s="11" t="s">
        <v>25</v>
      </c>
      <c r="F241" s="11" t="s">
        <v>40</v>
      </c>
      <c r="G241" s="11" t="s">
        <v>27</v>
      </c>
      <c r="H241" s="11" t="s">
        <v>209</v>
      </c>
      <c r="I241" s="12">
        <v>164.97</v>
      </c>
      <c r="J241" s="13"/>
      <c r="K241" s="13">
        <f t="shared" si="27"/>
        <v>164.97</v>
      </c>
      <c r="L241" s="11" t="s">
        <v>29</v>
      </c>
      <c r="M241" s="14"/>
      <c r="N241" s="11" t="s">
        <v>210</v>
      </c>
      <c r="O241" s="10" t="str">
        <f t="shared" si="3"/>
        <v>09/2024</v>
      </c>
      <c r="P241" s="10" t="str">
        <f t="shared" si="28"/>
        <v>09/2024</v>
      </c>
      <c r="Q241" s="15" t="str">
        <f t="array" ref="Q241">IFERROR(XLOOKUP(N241,'Classificação'!A:A,'Classificação'!B:B),"")</f>
        <v>DESPESAS COM OCUPAÇÃO</v>
      </c>
      <c r="R241" s="15" t="str">
        <f t="array" ref="R241">IFERROR(XLOOKUP(Q241,'Classificação'!B:B,'Classificação'!C:C),"")</f>
        <v>DESPESAS FIXAS (-)</v>
      </c>
      <c r="S241" s="15">
        <f t="shared" si="5"/>
        <v>25</v>
      </c>
      <c r="T241" s="15">
        <f t="shared" si="6"/>
        <v>9</v>
      </c>
      <c r="U241" s="15">
        <f t="shared" si="7"/>
        <v>2024</v>
      </c>
      <c r="V241" s="15">
        <f t="shared" si="8"/>
        <v>25</v>
      </c>
      <c r="W241" s="15">
        <f t="shared" si="9"/>
        <v>9</v>
      </c>
      <c r="X241" s="15">
        <f t="shared" si="10"/>
        <v>2024</v>
      </c>
    </row>
    <row r="242">
      <c r="A242" s="9">
        <v>45561.0</v>
      </c>
      <c r="B242" s="10"/>
      <c r="C242" s="9">
        <f t="shared" si="22"/>
        <v>45561</v>
      </c>
      <c r="D242" s="11" t="s">
        <v>74</v>
      </c>
      <c r="E242" s="11" t="s">
        <v>25</v>
      </c>
      <c r="F242" s="11" t="s">
        <v>32</v>
      </c>
      <c r="G242" s="11" t="s">
        <v>27</v>
      </c>
      <c r="I242" s="12">
        <v>330.0</v>
      </c>
      <c r="J242" s="13"/>
      <c r="K242" s="13">
        <f t="shared" si="27"/>
        <v>330</v>
      </c>
      <c r="L242" s="11" t="s">
        <v>29</v>
      </c>
      <c r="M242" s="14"/>
      <c r="N242" s="11" t="s">
        <v>204</v>
      </c>
      <c r="O242" s="10" t="str">
        <f t="shared" si="3"/>
        <v>09/2024</v>
      </c>
      <c r="P242" s="10" t="str">
        <f t="shared" si="28"/>
        <v>09/2024</v>
      </c>
      <c r="Q242" s="15" t="str">
        <f t="array" ref="Q242">IFERROR(XLOOKUP(N242,'Classificação'!A:A,'Classificação'!B:B),"")</f>
        <v>DESPESAS COM PESSOAL</v>
      </c>
      <c r="R242" s="15" t="str">
        <f t="array" ref="R242">IFERROR(XLOOKUP(Q242,'Classificação'!B:B,'Classificação'!C:C),"")</f>
        <v>DESPESAS FIXAS (-)</v>
      </c>
      <c r="S242" s="15">
        <f t="shared" si="5"/>
        <v>26</v>
      </c>
      <c r="T242" s="15">
        <f t="shared" si="6"/>
        <v>9</v>
      </c>
      <c r="U242" s="15">
        <f t="shared" si="7"/>
        <v>2024</v>
      </c>
      <c r="V242" s="15">
        <f t="shared" si="8"/>
        <v>26</v>
      </c>
      <c r="W242" s="15">
        <f t="shared" si="9"/>
        <v>9</v>
      </c>
      <c r="X242" s="15">
        <f t="shared" si="10"/>
        <v>2024</v>
      </c>
    </row>
    <row r="243">
      <c r="A243" s="9">
        <v>45561.0</v>
      </c>
      <c r="B243" s="10"/>
      <c r="C243" s="9">
        <f t="shared" si="22"/>
        <v>45561</v>
      </c>
      <c r="D243" s="11" t="s">
        <v>83</v>
      </c>
      <c r="E243" s="11" t="s">
        <v>25</v>
      </c>
      <c r="F243" s="11" t="s">
        <v>40</v>
      </c>
      <c r="G243" s="11" t="s">
        <v>27</v>
      </c>
      <c r="I243" s="12">
        <v>330.0</v>
      </c>
      <c r="J243" s="13"/>
      <c r="K243" s="13">
        <f t="shared" si="27"/>
        <v>330</v>
      </c>
      <c r="L243" s="11" t="s">
        <v>29</v>
      </c>
      <c r="M243" s="14"/>
      <c r="N243" s="11" t="s">
        <v>204</v>
      </c>
      <c r="O243" s="10" t="str">
        <f t="shared" si="3"/>
        <v>09/2024</v>
      </c>
      <c r="P243" s="10" t="str">
        <f t="shared" si="28"/>
        <v>09/2024</v>
      </c>
      <c r="Q243" s="15" t="str">
        <f t="array" ref="Q243">IFERROR(XLOOKUP(N243,'Classificação'!A:A,'Classificação'!B:B),"")</f>
        <v>DESPESAS COM PESSOAL</v>
      </c>
      <c r="R243" s="15" t="str">
        <f t="array" ref="R243">IFERROR(XLOOKUP(Q243,'Classificação'!B:B,'Classificação'!C:C),"")</f>
        <v>DESPESAS FIXAS (-)</v>
      </c>
      <c r="S243" s="15">
        <f t="shared" si="5"/>
        <v>26</v>
      </c>
      <c r="T243" s="15">
        <f t="shared" si="6"/>
        <v>9</v>
      </c>
      <c r="U243" s="15">
        <f t="shared" si="7"/>
        <v>2024</v>
      </c>
      <c r="V243" s="15">
        <f t="shared" si="8"/>
        <v>26</v>
      </c>
      <c r="W243" s="15">
        <f t="shared" si="9"/>
        <v>9</v>
      </c>
      <c r="X243" s="15">
        <f t="shared" si="10"/>
        <v>2024</v>
      </c>
    </row>
    <row r="244">
      <c r="A244" s="9">
        <v>45561.0</v>
      </c>
      <c r="B244" s="10"/>
      <c r="C244" s="9">
        <f t="shared" si="22"/>
        <v>45561</v>
      </c>
      <c r="D244" s="11" t="s">
        <v>80</v>
      </c>
      <c r="E244" s="11" t="s">
        <v>25</v>
      </c>
      <c r="F244" s="11" t="s">
        <v>40</v>
      </c>
      <c r="G244" s="11" t="s">
        <v>27</v>
      </c>
      <c r="I244" s="12">
        <v>330.0</v>
      </c>
      <c r="J244" s="13"/>
      <c r="K244" s="13">
        <f t="shared" si="27"/>
        <v>330</v>
      </c>
      <c r="L244" s="11" t="s">
        <v>29</v>
      </c>
      <c r="M244" s="14"/>
      <c r="N244" s="11" t="s">
        <v>204</v>
      </c>
      <c r="O244" s="10" t="str">
        <f t="shared" si="3"/>
        <v>09/2024</v>
      </c>
      <c r="P244" s="10" t="str">
        <f t="shared" si="28"/>
        <v>09/2024</v>
      </c>
      <c r="Q244" s="15" t="str">
        <f t="array" ref="Q244">IFERROR(XLOOKUP(N244,'Classificação'!A:A,'Classificação'!B:B),"")</f>
        <v>DESPESAS COM PESSOAL</v>
      </c>
      <c r="R244" s="15" t="str">
        <f t="array" ref="R244">IFERROR(XLOOKUP(Q244,'Classificação'!B:B,'Classificação'!C:C),"")</f>
        <v>DESPESAS FIXAS (-)</v>
      </c>
      <c r="S244" s="15">
        <f t="shared" si="5"/>
        <v>26</v>
      </c>
      <c r="T244" s="15">
        <f t="shared" si="6"/>
        <v>9</v>
      </c>
      <c r="U244" s="15">
        <f t="shared" si="7"/>
        <v>2024</v>
      </c>
      <c r="V244" s="15">
        <f t="shared" si="8"/>
        <v>26</v>
      </c>
      <c r="W244" s="15">
        <f t="shared" si="9"/>
        <v>9</v>
      </c>
      <c r="X244" s="15">
        <f t="shared" si="10"/>
        <v>2024</v>
      </c>
    </row>
    <row r="245">
      <c r="A245" s="9">
        <v>45565.0</v>
      </c>
      <c r="B245" s="10"/>
      <c r="C245" s="9">
        <f t="shared" si="22"/>
        <v>45565</v>
      </c>
      <c r="D245" s="11" t="s">
        <v>219</v>
      </c>
      <c r="E245" s="11" t="s">
        <v>25</v>
      </c>
      <c r="F245" s="11" t="s">
        <v>40</v>
      </c>
      <c r="G245" s="11" t="s">
        <v>27</v>
      </c>
      <c r="H245" s="11" t="s">
        <v>220</v>
      </c>
      <c r="I245" s="12">
        <v>6033.3</v>
      </c>
      <c r="J245" s="13"/>
      <c r="K245" s="13">
        <f t="shared" si="27"/>
        <v>6033.3</v>
      </c>
      <c r="L245" s="11" t="s">
        <v>53</v>
      </c>
      <c r="M245" s="17">
        <v>45353.0</v>
      </c>
      <c r="N245" s="11" t="s">
        <v>35</v>
      </c>
      <c r="O245" s="10" t="str">
        <f t="shared" si="3"/>
        <v>09/2024</v>
      </c>
      <c r="P245" s="10" t="str">
        <f t="shared" si="28"/>
        <v>09/2024</v>
      </c>
      <c r="Q245" s="15" t="str">
        <f t="array" ref="Q245">IFERROR(XLOOKUP(N245,'Classificação'!A:A,'Classificação'!B:B),"")</f>
        <v>COMPRA DE MERCADORIA</v>
      </c>
      <c r="R245" s="15" t="str">
        <f t="array" ref="R245">IFERROR(XLOOKUP(Q245,'Classificação'!B:B,'Classificação'!C:C),"")</f>
        <v>CUSTOS VARIÁVEIS</v>
      </c>
      <c r="S245" s="15">
        <f t="shared" si="5"/>
        <v>30</v>
      </c>
      <c r="T245" s="15">
        <f t="shared" si="6"/>
        <v>9</v>
      </c>
      <c r="U245" s="15">
        <f t="shared" si="7"/>
        <v>2024</v>
      </c>
      <c r="V245" s="15">
        <f t="shared" si="8"/>
        <v>30</v>
      </c>
      <c r="W245" s="15">
        <f t="shared" si="9"/>
        <v>9</v>
      </c>
      <c r="X245" s="15">
        <f t="shared" si="10"/>
        <v>2024</v>
      </c>
    </row>
    <row r="246">
      <c r="A246" s="9">
        <v>45565.0</v>
      </c>
      <c r="B246" s="10"/>
      <c r="C246" s="9">
        <f t="shared" si="22"/>
        <v>45565</v>
      </c>
      <c r="D246" s="11" t="s">
        <v>79</v>
      </c>
      <c r="E246" s="11" t="s">
        <v>25</v>
      </c>
      <c r="F246" s="11" t="s">
        <v>26</v>
      </c>
      <c r="G246" s="11" t="s">
        <v>37</v>
      </c>
      <c r="H246" s="11" t="s">
        <v>287</v>
      </c>
      <c r="I246" s="12">
        <v>620.0</v>
      </c>
      <c r="J246" s="13"/>
      <c r="K246" s="13">
        <f t="shared" si="27"/>
        <v>620</v>
      </c>
      <c r="L246" s="11" t="s">
        <v>29</v>
      </c>
      <c r="M246" s="14"/>
      <c r="N246" s="11" t="s">
        <v>38</v>
      </c>
      <c r="O246" s="10" t="str">
        <f t="shared" si="3"/>
        <v>09/2024</v>
      </c>
      <c r="P246" s="10" t="str">
        <f t="shared" si="28"/>
        <v>09/2024</v>
      </c>
      <c r="Q246" s="15" t="str">
        <f t="array" ref="Q246">IFERROR(XLOOKUP(N246,'Classificação'!A:A,'Classificação'!B:B),"")</f>
        <v>DESPESAS COM PESSOAL</v>
      </c>
      <c r="R246" s="15" t="str">
        <f t="array" ref="R246">IFERROR(XLOOKUP(Q246,'Classificação'!B:B,'Classificação'!C:C),"")</f>
        <v>DESPESAS FIXAS (-)</v>
      </c>
      <c r="S246" s="15">
        <f t="shared" si="5"/>
        <v>30</v>
      </c>
      <c r="T246" s="15">
        <f t="shared" si="6"/>
        <v>9</v>
      </c>
      <c r="U246" s="15">
        <f t="shared" si="7"/>
        <v>2024</v>
      </c>
      <c r="V246" s="15">
        <f t="shared" si="8"/>
        <v>30</v>
      </c>
      <c r="W246" s="15">
        <f t="shared" si="9"/>
        <v>9</v>
      </c>
      <c r="X246" s="15">
        <f t="shared" si="10"/>
        <v>2024</v>
      </c>
    </row>
    <row r="247">
      <c r="A247" s="9">
        <v>45565.0</v>
      </c>
      <c r="B247" s="10"/>
      <c r="C247" s="9">
        <f t="shared" si="22"/>
        <v>45565</v>
      </c>
      <c r="D247" s="11" t="s">
        <v>74</v>
      </c>
      <c r="E247" s="11" t="s">
        <v>25</v>
      </c>
      <c r="F247" s="11" t="s">
        <v>32</v>
      </c>
      <c r="G247" s="11" t="s">
        <v>27</v>
      </c>
      <c r="I247" s="12">
        <v>838.36</v>
      </c>
      <c r="J247" s="13"/>
      <c r="K247" s="13">
        <f t="shared" si="27"/>
        <v>838.36</v>
      </c>
      <c r="L247" s="11" t="s">
        <v>29</v>
      </c>
      <c r="M247" s="14"/>
      <c r="N247" s="11" t="s">
        <v>38</v>
      </c>
      <c r="O247" s="10" t="str">
        <f t="shared" si="3"/>
        <v>09/2024</v>
      </c>
      <c r="P247" s="10" t="str">
        <f t="shared" si="28"/>
        <v>09/2024</v>
      </c>
      <c r="Q247" s="15" t="str">
        <f t="array" ref="Q247">IFERROR(XLOOKUP(N247,'Classificação'!A:A,'Classificação'!B:B),"")</f>
        <v>DESPESAS COM PESSOAL</v>
      </c>
      <c r="R247" s="15" t="str">
        <f t="array" ref="R247">IFERROR(XLOOKUP(Q247,'Classificação'!B:B,'Classificação'!C:C),"")</f>
        <v>DESPESAS FIXAS (-)</v>
      </c>
      <c r="S247" s="15">
        <f t="shared" si="5"/>
        <v>30</v>
      </c>
      <c r="T247" s="15">
        <f t="shared" si="6"/>
        <v>9</v>
      </c>
      <c r="U247" s="15">
        <f t="shared" si="7"/>
        <v>2024</v>
      </c>
      <c r="V247" s="15">
        <f t="shared" si="8"/>
        <v>30</v>
      </c>
      <c r="W247" s="15">
        <f t="shared" si="9"/>
        <v>9</v>
      </c>
      <c r="X247" s="15">
        <f t="shared" si="10"/>
        <v>2024</v>
      </c>
    </row>
    <row r="248">
      <c r="A248" s="9">
        <v>45565.0</v>
      </c>
      <c r="B248" s="10"/>
      <c r="C248" s="9">
        <f t="shared" si="22"/>
        <v>45565</v>
      </c>
      <c r="D248" s="11" t="s">
        <v>223</v>
      </c>
      <c r="E248" s="11" t="s">
        <v>25</v>
      </c>
      <c r="F248" s="11" t="s">
        <v>32</v>
      </c>
      <c r="G248" s="11" t="s">
        <v>27</v>
      </c>
      <c r="I248" s="12">
        <v>100.0</v>
      </c>
      <c r="J248" s="13"/>
      <c r="K248" s="13">
        <f t="shared" si="27"/>
        <v>100</v>
      </c>
      <c r="L248" s="11" t="s">
        <v>29</v>
      </c>
      <c r="M248" s="14"/>
      <c r="N248" s="11" t="s">
        <v>224</v>
      </c>
      <c r="O248" s="10" t="str">
        <f t="shared" si="3"/>
        <v>09/2024</v>
      </c>
      <c r="P248" s="10" t="str">
        <f t="shared" si="28"/>
        <v>09/2024</v>
      </c>
      <c r="Q248" s="15" t="str">
        <f t="array" ref="Q248">IFERROR(XLOOKUP(N248,'Classificação'!A:A,'Classificação'!B:B),"")</f>
        <v>DESPESAS ADMINISTRATIVAS</v>
      </c>
      <c r="R248" s="15" t="str">
        <f t="array" ref="R248">IFERROR(XLOOKUP(Q248,'Classificação'!B:B,'Classificação'!C:C),"")</f>
        <v>DESPESAS FIXAS (-)</v>
      </c>
      <c r="S248" s="15">
        <f t="shared" si="5"/>
        <v>30</v>
      </c>
      <c r="T248" s="15">
        <f t="shared" si="6"/>
        <v>9</v>
      </c>
      <c r="U248" s="15">
        <f t="shared" si="7"/>
        <v>2024</v>
      </c>
      <c r="V248" s="15">
        <f t="shared" si="8"/>
        <v>30</v>
      </c>
      <c r="W248" s="15">
        <f t="shared" si="9"/>
        <v>9</v>
      </c>
      <c r="X248" s="15">
        <f t="shared" si="10"/>
        <v>2024</v>
      </c>
    </row>
    <row r="249">
      <c r="A249" s="9">
        <v>45565.0</v>
      </c>
      <c r="B249" s="10"/>
      <c r="C249" s="9">
        <f t="shared" si="22"/>
        <v>45565</v>
      </c>
      <c r="D249" s="11" t="s">
        <v>221</v>
      </c>
      <c r="E249" s="11" t="s">
        <v>25</v>
      </c>
      <c r="F249" s="11" t="s">
        <v>32</v>
      </c>
      <c r="G249" s="11" t="s">
        <v>27</v>
      </c>
      <c r="H249" s="11" t="s">
        <v>222</v>
      </c>
      <c r="I249" s="12">
        <v>380.54</v>
      </c>
      <c r="J249" s="13"/>
      <c r="K249" s="13">
        <f t="shared" si="27"/>
        <v>380.54</v>
      </c>
      <c r="L249" s="11" t="s">
        <v>29</v>
      </c>
      <c r="M249" s="14"/>
      <c r="N249" s="11" t="s">
        <v>61</v>
      </c>
      <c r="O249" s="10" t="str">
        <f t="shared" si="3"/>
        <v>09/2024</v>
      </c>
      <c r="P249" s="10" t="str">
        <f t="shared" si="28"/>
        <v>09/2024</v>
      </c>
      <c r="Q249" s="15" t="str">
        <f t="array" ref="Q249">IFERROR(XLOOKUP(N249,'Classificação'!A:A,'Classificação'!B:B),"")</f>
        <v>DESPESAS ADMINISTRATIVAS</v>
      </c>
      <c r="R249" s="15" t="str">
        <f t="array" ref="R249">IFERROR(XLOOKUP(Q249,'Classificação'!B:B,'Classificação'!C:C),"")</f>
        <v>DESPESAS FIXAS (-)</v>
      </c>
      <c r="S249" s="15">
        <f t="shared" si="5"/>
        <v>30</v>
      </c>
      <c r="T249" s="15">
        <f t="shared" si="6"/>
        <v>9</v>
      </c>
      <c r="U249" s="15">
        <f t="shared" si="7"/>
        <v>2024</v>
      </c>
      <c r="V249" s="15">
        <f t="shared" si="8"/>
        <v>30</v>
      </c>
      <c r="W249" s="15">
        <f t="shared" si="9"/>
        <v>9</v>
      </c>
      <c r="X249" s="15">
        <f t="shared" si="10"/>
        <v>2024</v>
      </c>
    </row>
    <row r="250">
      <c r="A250" s="9">
        <v>45565.0</v>
      </c>
      <c r="B250" s="10"/>
      <c r="C250" s="9">
        <f t="shared" si="22"/>
        <v>45565</v>
      </c>
      <c r="D250" s="11" t="s">
        <v>80</v>
      </c>
      <c r="E250" s="11" t="s">
        <v>25</v>
      </c>
      <c r="F250" s="11" t="s">
        <v>32</v>
      </c>
      <c r="G250" s="11" t="s">
        <v>27</v>
      </c>
      <c r="H250" s="11" t="s">
        <v>225</v>
      </c>
      <c r="I250" s="12">
        <v>889.0</v>
      </c>
      <c r="J250" s="13"/>
      <c r="K250" s="13">
        <f t="shared" si="27"/>
        <v>889</v>
      </c>
      <c r="L250" s="11" t="s">
        <v>29</v>
      </c>
      <c r="M250" s="14"/>
      <c r="N250" s="11" t="s">
        <v>38</v>
      </c>
      <c r="O250" s="10" t="str">
        <f t="shared" si="3"/>
        <v>09/2024</v>
      </c>
      <c r="P250" s="10" t="str">
        <f t="shared" si="28"/>
        <v>09/2024</v>
      </c>
      <c r="Q250" s="15" t="str">
        <f t="array" ref="Q250">IFERROR(XLOOKUP(N250,'Classificação'!A:A,'Classificação'!B:B),"")</f>
        <v>DESPESAS COM PESSOAL</v>
      </c>
      <c r="R250" s="15" t="str">
        <f t="array" ref="R250">IFERROR(XLOOKUP(Q250,'Classificação'!B:B,'Classificação'!C:C),"")</f>
        <v>DESPESAS FIXAS (-)</v>
      </c>
      <c r="S250" s="15">
        <f t="shared" si="5"/>
        <v>30</v>
      </c>
      <c r="T250" s="15">
        <f t="shared" si="6"/>
        <v>9</v>
      </c>
      <c r="U250" s="15">
        <f t="shared" si="7"/>
        <v>2024</v>
      </c>
      <c r="V250" s="15">
        <f t="shared" si="8"/>
        <v>30</v>
      </c>
      <c r="W250" s="15">
        <f t="shared" si="9"/>
        <v>9</v>
      </c>
      <c r="X250" s="15">
        <f t="shared" si="10"/>
        <v>2024</v>
      </c>
    </row>
    <row r="251">
      <c r="A251" s="9">
        <v>45565.0</v>
      </c>
      <c r="B251" s="10"/>
      <c r="C251" s="9">
        <f t="shared" si="22"/>
        <v>45565</v>
      </c>
      <c r="D251" s="11" t="s">
        <v>83</v>
      </c>
      <c r="E251" s="11" t="s">
        <v>25</v>
      </c>
      <c r="F251" s="11" t="s">
        <v>40</v>
      </c>
      <c r="G251" s="11" t="s">
        <v>27</v>
      </c>
      <c r="I251" s="12">
        <v>1119.83</v>
      </c>
      <c r="J251" s="13"/>
      <c r="K251" s="13">
        <f t="shared" si="27"/>
        <v>1119.83</v>
      </c>
      <c r="L251" s="11" t="s">
        <v>29</v>
      </c>
      <c r="M251" s="14"/>
      <c r="N251" s="11" t="s">
        <v>38</v>
      </c>
      <c r="O251" s="10" t="str">
        <f t="shared" si="3"/>
        <v>09/2024</v>
      </c>
      <c r="P251" s="10" t="str">
        <f t="shared" si="28"/>
        <v>09/2024</v>
      </c>
      <c r="Q251" s="15" t="str">
        <f t="array" ref="Q251">IFERROR(XLOOKUP(N251,'Classificação'!A:A,'Classificação'!B:B),"")</f>
        <v>DESPESAS COM PESSOAL</v>
      </c>
      <c r="R251" s="15" t="str">
        <f t="array" ref="R251">IFERROR(XLOOKUP(Q251,'Classificação'!B:B,'Classificação'!C:C),"")</f>
        <v>DESPESAS FIXAS (-)</v>
      </c>
      <c r="S251" s="15">
        <f t="shared" si="5"/>
        <v>30</v>
      </c>
      <c r="T251" s="15">
        <f t="shared" si="6"/>
        <v>9</v>
      </c>
      <c r="U251" s="15">
        <f t="shared" si="7"/>
        <v>2024</v>
      </c>
      <c r="V251" s="15">
        <f t="shared" si="8"/>
        <v>30</v>
      </c>
      <c r="W251" s="15">
        <f t="shared" si="9"/>
        <v>9</v>
      </c>
      <c r="X251" s="15">
        <f t="shared" si="10"/>
        <v>2024</v>
      </c>
    </row>
    <row r="252">
      <c r="A252" s="26">
        <v>45565.0</v>
      </c>
      <c r="B252" s="30"/>
      <c r="C252" s="27">
        <f t="shared" si="22"/>
        <v>45565</v>
      </c>
      <c r="D252" s="28" t="s">
        <v>36</v>
      </c>
      <c r="E252" s="29" t="s">
        <v>25</v>
      </c>
      <c r="F252" s="28" t="s">
        <v>32</v>
      </c>
      <c r="G252" s="29" t="s">
        <v>37</v>
      </c>
      <c r="H252" s="28"/>
      <c r="I252" s="24">
        <v>725.0</v>
      </c>
      <c r="J252" s="13"/>
      <c r="K252" s="13">
        <f t="shared" si="27"/>
        <v>725</v>
      </c>
      <c r="L252" s="11" t="s">
        <v>34</v>
      </c>
      <c r="M252" s="14"/>
      <c r="N252" s="11" t="s">
        <v>38</v>
      </c>
      <c r="O252" s="10" t="str">
        <f t="shared" si="3"/>
        <v>09/2024</v>
      </c>
      <c r="P252" s="10"/>
      <c r="Q252" s="15" t="str">
        <f t="array" ref="Q252">IFERROR(XLOOKUP(N252,'Classificação'!A:A,'Classificação'!B:B),"")</f>
        <v>DESPESAS COM PESSOAL</v>
      </c>
      <c r="R252" s="15" t="str">
        <f t="array" ref="R252">IFERROR(XLOOKUP(Q252,'Classificação'!B:B,'Classificação'!C:C),"")</f>
        <v>DESPESAS FIXAS (-)</v>
      </c>
      <c r="S252" s="15">
        <f t="shared" si="5"/>
        <v>30</v>
      </c>
      <c r="T252" s="15">
        <f t="shared" si="6"/>
        <v>9</v>
      </c>
      <c r="U252" s="15">
        <f t="shared" si="7"/>
        <v>2024</v>
      </c>
      <c r="V252" s="15">
        <f t="shared" si="8"/>
        <v>30</v>
      </c>
      <c r="W252" s="15">
        <f t="shared" si="9"/>
        <v>9</v>
      </c>
      <c r="X252" s="15">
        <f t="shared" si="10"/>
        <v>2024</v>
      </c>
    </row>
    <row r="253">
      <c r="A253" s="26">
        <v>45565.0</v>
      </c>
      <c r="B253" s="30"/>
      <c r="C253" s="27">
        <f t="shared" si="22"/>
        <v>45565</v>
      </c>
      <c r="D253" s="28" t="s">
        <v>43</v>
      </c>
      <c r="E253" s="29" t="s">
        <v>25</v>
      </c>
      <c r="F253" s="28" t="s">
        <v>32</v>
      </c>
      <c r="G253" s="29" t="s">
        <v>37</v>
      </c>
      <c r="H253" s="28"/>
      <c r="I253" s="24">
        <v>725.0</v>
      </c>
      <c r="J253" s="13"/>
      <c r="K253" s="13">
        <f t="shared" si="27"/>
        <v>725</v>
      </c>
      <c r="L253" s="11" t="s">
        <v>34</v>
      </c>
      <c r="M253" s="14"/>
      <c r="N253" s="11" t="s">
        <v>38</v>
      </c>
      <c r="O253" s="10" t="str">
        <f t="shared" si="3"/>
        <v>09/2024</v>
      </c>
      <c r="P253" s="10"/>
      <c r="Q253" s="15" t="str">
        <f t="array" ref="Q253">IFERROR(XLOOKUP(N253,'Classificação'!A:A,'Classificação'!B:B),"")</f>
        <v>DESPESAS COM PESSOAL</v>
      </c>
      <c r="R253" s="15" t="str">
        <f t="array" ref="R253">IFERROR(XLOOKUP(Q253,'Classificação'!B:B,'Classificação'!C:C),"")</f>
        <v>DESPESAS FIXAS (-)</v>
      </c>
      <c r="S253" s="15">
        <f t="shared" si="5"/>
        <v>30</v>
      </c>
      <c r="T253" s="15">
        <f t="shared" si="6"/>
        <v>9</v>
      </c>
      <c r="U253" s="15">
        <f t="shared" si="7"/>
        <v>2024</v>
      </c>
      <c r="V253" s="15">
        <f t="shared" si="8"/>
        <v>30</v>
      </c>
      <c r="W253" s="15">
        <f t="shared" si="9"/>
        <v>9</v>
      </c>
      <c r="X253" s="15">
        <f t="shared" si="10"/>
        <v>2024</v>
      </c>
    </row>
    <row r="254">
      <c r="A254" s="9">
        <v>45566.0</v>
      </c>
      <c r="B254" s="10"/>
      <c r="C254" s="9">
        <f t="shared" si="22"/>
        <v>45566</v>
      </c>
      <c r="D254" s="11" t="s">
        <v>24</v>
      </c>
      <c r="E254" s="11" t="s">
        <v>25</v>
      </c>
      <c r="F254" s="11" t="s">
        <v>26</v>
      </c>
      <c r="G254" s="11" t="s">
        <v>27</v>
      </c>
      <c r="H254" s="11" t="s">
        <v>28</v>
      </c>
      <c r="I254" s="31">
        <v>6000.63</v>
      </c>
      <c r="J254" s="13"/>
      <c r="K254" s="13">
        <f t="shared" si="27"/>
        <v>6000.63</v>
      </c>
      <c r="L254" s="11" t="s">
        <v>29</v>
      </c>
      <c r="M254" s="14"/>
      <c r="N254" s="11" t="s">
        <v>30</v>
      </c>
      <c r="O254" s="10" t="str">
        <f t="shared" si="3"/>
        <v>10/2024</v>
      </c>
      <c r="P254" s="10" t="str">
        <f t="shared" ref="P254:P1454" si="29">if(C254="","", TEXT(C254,"mm/yyyy"))</f>
        <v>10/2024</v>
      </c>
      <c r="Q254" s="15" t="str">
        <f t="array" ref="Q254">IFERROR(XLOOKUP(N254,'Classificação'!A:A,'Classificação'!B:B),"")</f>
        <v>DESPESAS COM OCUPAÇÃO</v>
      </c>
      <c r="R254" s="15" t="str">
        <f t="array" ref="R254">IFERROR(XLOOKUP(Q254,'Classificação'!B:B,'Classificação'!C:C),"")</f>
        <v>DESPESAS FIXAS (-)</v>
      </c>
      <c r="S254" s="15">
        <f t="shared" si="5"/>
        <v>1</v>
      </c>
      <c r="T254" s="15">
        <f t="shared" si="6"/>
        <v>10</v>
      </c>
      <c r="U254" s="15">
        <f t="shared" si="7"/>
        <v>2024</v>
      </c>
      <c r="V254" s="15">
        <f t="shared" si="8"/>
        <v>1</v>
      </c>
      <c r="W254" s="15">
        <f t="shared" si="9"/>
        <v>10</v>
      </c>
      <c r="X254" s="15">
        <f t="shared" si="10"/>
        <v>2024</v>
      </c>
    </row>
    <row r="255">
      <c r="A255" s="9">
        <v>45566.0</v>
      </c>
      <c r="B255" s="10"/>
      <c r="C255" s="9">
        <f t="shared" si="22"/>
        <v>45566</v>
      </c>
      <c r="D255" s="11" t="s">
        <v>288</v>
      </c>
      <c r="E255" s="11" t="s">
        <v>25</v>
      </c>
      <c r="F255" s="11" t="s">
        <v>26</v>
      </c>
      <c r="G255" s="11" t="s">
        <v>27</v>
      </c>
      <c r="H255" s="11" t="s">
        <v>289</v>
      </c>
      <c r="I255" s="31">
        <v>59.5</v>
      </c>
      <c r="J255" s="13"/>
      <c r="K255" s="13">
        <f t="shared" si="27"/>
        <v>59.5</v>
      </c>
      <c r="L255" s="11" t="s">
        <v>29</v>
      </c>
      <c r="M255" s="16"/>
      <c r="N255" s="11" t="s">
        <v>105</v>
      </c>
      <c r="O255" s="10" t="str">
        <f t="shared" si="3"/>
        <v>10/2024</v>
      </c>
      <c r="P255" s="10" t="str">
        <f t="shared" si="29"/>
        <v>10/2024</v>
      </c>
      <c r="Q255" s="15" t="str">
        <f t="array" ref="Q255">IFERROR(XLOOKUP(N255,'Classificação'!A:A,'Classificação'!B:B),"")</f>
        <v>DESPESAS ADMINISTRATIVAS</v>
      </c>
      <c r="R255" s="15" t="str">
        <f t="array" ref="R255">IFERROR(XLOOKUP(Q255,'Classificação'!B:B,'Classificação'!C:C),"")</f>
        <v>DESPESAS FIXAS (-)</v>
      </c>
      <c r="S255" s="15">
        <f t="shared" si="5"/>
        <v>1</v>
      </c>
      <c r="T255" s="15">
        <f t="shared" si="6"/>
        <v>10</v>
      </c>
      <c r="U255" s="15">
        <f t="shared" si="7"/>
        <v>2024</v>
      </c>
      <c r="V255" s="15">
        <f t="shared" si="8"/>
        <v>1</v>
      </c>
      <c r="W255" s="15">
        <f t="shared" si="9"/>
        <v>10</v>
      </c>
      <c r="X255" s="15">
        <f t="shared" si="10"/>
        <v>2024</v>
      </c>
    </row>
    <row r="256">
      <c r="A256" s="9">
        <v>45566.0</v>
      </c>
      <c r="B256" s="10"/>
      <c r="C256" s="9">
        <f t="shared" si="22"/>
        <v>45566</v>
      </c>
      <c r="D256" s="11" t="s">
        <v>79</v>
      </c>
      <c r="E256" s="11" t="s">
        <v>25</v>
      </c>
      <c r="F256" s="11" t="s">
        <v>26</v>
      </c>
      <c r="G256" s="11" t="s">
        <v>37</v>
      </c>
      <c r="H256" s="11" t="s">
        <v>290</v>
      </c>
      <c r="I256" s="12">
        <v>60.0</v>
      </c>
      <c r="J256" s="13"/>
      <c r="K256" s="13">
        <f t="shared" si="27"/>
        <v>60</v>
      </c>
      <c r="L256" s="11" t="s">
        <v>34</v>
      </c>
      <c r="M256" s="14"/>
      <c r="N256" s="11" t="s">
        <v>68</v>
      </c>
      <c r="O256" s="10" t="str">
        <f t="shared" si="3"/>
        <v>10/2024</v>
      </c>
      <c r="P256" s="10" t="str">
        <f t="shared" si="29"/>
        <v>10/2024</v>
      </c>
      <c r="Q256" s="15" t="str">
        <f t="array" ref="Q256">IFERROR(XLOOKUP(N256,'Classificação'!A:A,'Classificação'!B:B),"")</f>
        <v>FRETE DE VENDAS</v>
      </c>
      <c r="R256" s="15" t="str">
        <f t="array" ref="R256">IFERROR(XLOOKUP(Q256,'Classificação'!B:B,'Classificação'!C:C),"")</f>
        <v>CUSTOS VARIÁVEIS</v>
      </c>
      <c r="S256" s="15">
        <f t="shared" si="5"/>
        <v>1</v>
      </c>
      <c r="T256" s="15">
        <f t="shared" si="6"/>
        <v>10</v>
      </c>
      <c r="U256" s="15">
        <f t="shared" si="7"/>
        <v>2024</v>
      </c>
      <c r="V256" s="15">
        <f t="shared" si="8"/>
        <v>1</v>
      </c>
      <c r="W256" s="15">
        <f t="shared" si="9"/>
        <v>10</v>
      </c>
      <c r="X256" s="15">
        <f t="shared" si="10"/>
        <v>2024</v>
      </c>
    </row>
    <row r="257">
      <c r="A257" s="9">
        <v>45566.0</v>
      </c>
      <c r="B257" s="10"/>
      <c r="C257" s="9">
        <f t="shared" si="22"/>
        <v>45566</v>
      </c>
      <c r="D257" s="11" t="s">
        <v>83</v>
      </c>
      <c r="E257" s="11" t="s">
        <v>25</v>
      </c>
      <c r="F257" s="11" t="s">
        <v>26</v>
      </c>
      <c r="G257" s="11" t="s">
        <v>37</v>
      </c>
      <c r="H257" s="11" t="s">
        <v>291</v>
      </c>
      <c r="I257" s="12">
        <v>30.0</v>
      </c>
      <c r="J257" s="13"/>
      <c r="K257" s="13">
        <f t="shared" si="27"/>
        <v>30</v>
      </c>
      <c r="L257" s="11" t="s">
        <v>34</v>
      </c>
      <c r="M257" s="14"/>
      <c r="N257" s="11" t="s">
        <v>68</v>
      </c>
      <c r="O257" s="10" t="str">
        <f t="shared" si="3"/>
        <v>10/2024</v>
      </c>
      <c r="P257" s="10" t="str">
        <f t="shared" si="29"/>
        <v>10/2024</v>
      </c>
      <c r="Q257" s="15" t="str">
        <f t="array" ref="Q257">IFERROR(XLOOKUP(N257,'Classificação'!A:A,'Classificação'!B:B),"")</f>
        <v>FRETE DE VENDAS</v>
      </c>
      <c r="R257" s="15" t="str">
        <f t="array" ref="R257">IFERROR(XLOOKUP(Q257,'Classificação'!B:B,'Classificação'!C:C),"")</f>
        <v>CUSTOS VARIÁVEIS</v>
      </c>
      <c r="S257" s="15">
        <f t="shared" si="5"/>
        <v>1</v>
      </c>
      <c r="T257" s="15">
        <f t="shared" si="6"/>
        <v>10</v>
      </c>
      <c r="U257" s="15">
        <f t="shared" si="7"/>
        <v>2024</v>
      </c>
      <c r="V257" s="15">
        <f t="shared" si="8"/>
        <v>1</v>
      </c>
      <c r="W257" s="15">
        <f t="shared" si="9"/>
        <v>10</v>
      </c>
      <c r="X257" s="15">
        <f t="shared" si="10"/>
        <v>2024</v>
      </c>
    </row>
    <row r="258">
      <c r="A258" s="9">
        <v>45566.0</v>
      </c>
      <c r="B258" s="10"/>
      <c r="C258" s="9">
        <f t="shared" si="22"/>
        <v>45566</v>
      </c>
      <c r="D258" s="11" t="s">
        <v>44</v>
      </c>
      <c r="E258" s="11" t="s">
        <v>25</v>
      </c>
      <c r="F258" s="11" t="s">
        <v>45</v>
      </c>
      <c r="G258" s="11" t="s">
        <v>27</v>
      </c>
      <c r="H258" s="11" t="s">
        <v>292</v>
      </c>
      <c r="I258" s="31">
        <v>34.53</v>
      </c>
      <c r="J258" s="13"/>
      <c r="K258" s="13">
        <f t="shared" si="27"/>
        <v>34.53</v>
      </c>
      <c r="L258" s="11" t="s">
        <v>34</v>
      </c>
      <c r="M258" s="14"/>
      <c r="N258" s="11" t="s">
        <v>97</v>
      </c>
      <c r="O258" s="10" t="str">
        <f t="shared" si="3"/>
        <v>10/2024</v>
      </c>
      <c r="P258" s="10" t="str">
        <f t="shared" si="29"/>
        <v>10/2024</v>
      </c>
      <c r="Q258" s="15" t="str">
        <f t="array" ref="Q258">IFERROR(XLOOKUP(N258,'Classificação'!A:A,'Classificação'!B:B),"")</f>
        <v>TARIFAS DE PIX</v>
      </c>
      <c r="R258" s="15" t="str">
        <f t="array" ref="R258">IFERROR(XLOOKUP(Q258,'Classificação'!B:B,'Classificação'!C:C),"")</f>
        <v>(+/-) RESULTADO FINANCEIRO LÍQUIDO</v>
      </c>
      <c r="S258" s="15">
        <f t="shared" si="5"/>
        <v>1</v>
      </c>
      <c r="T258" s="15">
        <f t="shared" si="6"/>
        <v>10</v>
      </c>
      <c r="U258" s="15">
        <f t="shared" si="7"/>
        <v>2024</v>
      </c>
      <c r="V258" s="15">
        <f t="shared" si="8"/>
        <v>1</v>
      </c>
      <c r="W258" s="15">
        <f t="shared" si="9"/>
        <v>10</v>
      </c>
      <c r="X258" s="15">
        <f t="shared" si="10"/>
        <v>2024</v>
      </c>
    </row>
    <row r="259">
      <c r="A259" s="9">
        <v>45566.0</v>
      </c>
      <c r="B259" s="10"/>
      <c r="C259" s="9">
        <f t="shared" si="22"/>
        <v>45566</v>
      </c>
      <c r="D259" s="11" t="s">
        <v>44</v>
      </c>
      <c r="E259" s="11" t="s">
        <v>25</v>
      </c>
      <c r="F259" s="11" t="s">
        <v>32</v>
      </c>
      <c r="G259" s="11" t="s">
        <v>27</v>
      </c>
      <c r="H259" s="11" t="s">
        <v>293</v>
      </c>
      <c r="I259" s="31">
        <v>4710.0</v>
      </c>
      <c r="J259" s="13"/>
      <c r="K259" s="13">
        <f t="shared" si="27"/>
        <v>4710</v>
      </c>
      <c r="L259" s="11" t="s">
        <v>34</v>
      </c>
      <c r="M259" s="14"/>
      <c r="N259" s="11" t="s">
        <v>35</v>
      </c>
      <c r="O259" s="10" t="str">
        <f t="shared" si="3"/>
        <v>10/2024</v>
      </c>
      <c r="P259" s="10" t="str">
        <f t="shared" si="29"/>
        <v>10/2024</v>
      </c>
      <c r="Q259" s="15" t="str">
        <f t="array" ref="Q259">IFERROR(XLOOKUP(N259,'Classificação'!A:A,'Classificação'!B:B),"")</f>
        <v>COMPRA DE MERCADORIA</v>
      </c>
      <c r="R259" s="15" t="str">
        <f t="array" ref="R259">IFERROR(XLOOKUP(Q259,'Classificação'!B:B,'Classificação'!C:C),"")</f>
        <v>CUSTOS VARIÁVEIS</v>
      </c>
      <c r="S259" s="15">
        <f t="shared" si="5"/>
        <v>1</v>
      </c>
      <c r="T259" s="15">
        <f t="shared" si="6"/>
        <v>10</v>
      </c>
      <c r="U259" s="15">
        <f t="shared" si="7"/>
        <v>2024</v>
      </c>
      <c r="V259" s="15">
        <f t="shared" si="8"/>
        <v>1</v>
      </c>
      <c r="W259" s="15">
        <f t="shared" si="9"/>
        <v>10</v>
      </c>
      <c r="X259" s="15">
        <f t="shared" si="10"/>
        <v>2024</v>
      </c>
    </row>
    <row r="260">
      <c r="A260" s="32">
        <v>45567.0</v>
      </c>
      <c r="B260" s="10"/>
      <c r="C260" s="9">
        <f t="shared" si="22"/>
        <v>45567</v>
      </c>
      <c r="D260" s="11" t="s">
        <v>294</v>
      </c>
      <c r="E260" s="11" t="s">
        <v>25</v>
      </c>
      <c r="F260" s="11" t="s">
        <v>40</v>
      </c>
      <c r="G260" s="11" t="s">
        <v>27</v>
      </c>
      <c r="H260" s="11" t="s">
        <v>295</v>
      </c>
      <c r="I260" s="31">
        <v>41.17</v>
      </c>
      <c r="J260" s="13"/>
      <c r="K260" s="13">
        <f t="shared" si="27"/>
        <v>41.17</v>
      </c>
      <c r="L260" s="11" t="s">
        <v>34</v>
      </c>
      <c r="M260" s="14"/>
      <c r="N260" s="11" t="s">
        <v>35</v>
      </c>
      <c r="O260" s="10" t="str">
        <f t="shared" si="3"/>
        <v>10/2024</v>
      </c>
      <c r="P260" s="10" t="str">
        <f t="shared" si="29"/>
        <v>10/2024</v>
      </c>
      <c r="Q260" s="15" t="str">
        <f t="array" ref="Q260">IFERROR(XLOOKUP(N260,'Classificação'!A:A,'Classificação'!B:B),"")</f>
        <v>COMPRA DE MERCADORIA</v>
      </c>
      <c r="R260" s="15" t="str">
        <f t="array" ref="R260">IFERROR(XLOOKUP(Q260,'Classificação'!B:B,'Classificação'!C:C),"")</f>
        <v>CUSTOS VARIÁVEIS</v>
      </c>
      <c r="S260" s="15">
        <f t="shared" si="5"/>
        <v>2</v>
      </c>
      <c r="T260" s="15">
        <f t="shared" si="6"/>
        <v>10</v>
      </c>
      <c r="U260" s="15">
        <f t="shared" si="7"/>
        <v>2024</v>
      </c>
      <c r="V260" s="15">
        <f t="shared" si="8"/>
        <v>2</v>
      </c>
      <c r="W260" s="15">
        <f t="shared" si="9"/>
        <v>10</v>
      </c>
      <c r="X260" s="15">
        <f t="shared" si="10"/>
        <v>2024</v>
      </c>
    </row>
    <row r="261">
      <c r="A261" s="32">
        <v>45567.0</v>
      </c>
      <c r="B261" s="10"/>
      <c r="C261" s="9">
        <f t="shared" si="22"/>
        <v>45567</v>
      </c>
      <c r="D261" s="11" t="s">
        <v>294</v>
      </c>
      <c r="E261" s="11" t="s">
        <v>25</v>
      </c>
      <c r="F261" s="11" t="s">
        <v>40</v>
      </c>
      <c r="G261" s="11" t="s">
        <v>27</v>
      </c>
      <c r="H261" s="11" t="s">
        <v>295</v>
      </c>
      <c r="I261" s="31">
        <v>471.92</v>
      </c>
      <c r="J261" s="13"/>
      <c r="K261" s="13">
        <f t="shared" si="27"/>
        <v>471.92</v>
      </c>
      <c r="L261" s="11" t="s">
        <v>34</v>
      </c>
      <c r="M261" s="14"/>
      <c r="N261" s="11" t="s">
        <v>35</v>
      </c>
      <c r="O261" s="10" t="str">
        <f t="shared" si="3"/>
        <v>10/2024</v>
      </c>
      <c r="P261" s="10" t="str">
        <f t="shared" si="29"/>
        <v>10/2024</v>
      </c>
      <c r="Q261" s="15" t="str">
        <f t="array" ref="Q261">IFERROR(XLOOKUP(N260,'Classificação'!A:A,'Classificação'!B:B),"")</f>
        <v>COMPRA DE MERCADORIA</v>
      </c>
      <c r="R261" s="15" t="str">
        <f t="array" ref="R261">IFERROR(XLOOKUP(Q261,'Classificação'!B:B,'Classificação'!C:C),"")</f>
        <v>CUSTOS VARIÁVEIS</v>
      </c>
      <c r="S261" s="15">
        <f t="shared" si="5"/>
        <v>2</v>
      </c>
      <c r="T261" s="15">
        <f t="shared" si="6"/>
        <v>10</v>
      </c>
      <c r="U261" s="15">
        <f t="shared" si="7"/>
        <v>2024</v>
      </c>
      <c r="V261" s="15">
        <f t="shared" si="8"/>
        <v>2</v>
      </c>
      <c r="W261" s="15">
        <f t="shared" si="9"/>
        <v>10</v>
      </c>
      <c r="X261" s="15">
        <f t="shared" si="10"/>
        <v>2024</v>
      </c>
    </row>
    <row r="262">
      <c r="A262" s="9">
        <v>45568.0</v>
      </c>
      <c r="B262" s="10"/>
      <c r="C262" s="9">
        <f t="shared" si="22"/>
        <v>45568</v>
      </c>
      <c r="D262" s="11" t="s">
        <v>86</v>
      </c>
      <c r="E262" s="11" t="s">
        <v>25</v>
      </c>
      <c r="F262" s="11" t="s">
        <v>87</v>
      </c>
      <c r="G262" s="11" t="s">
        <v>27</v>
      </c>
      <c r="H262" s="11" t="s">
        <v>296</v>
      </c>
      <c r="I262" s="31">
        <v>2346.67</v>
      </c>
      <c r="J262" s="13"/>
      <c r="K262" s="13">
        <f t="shared" si="27"/>
        <v>2346.67</v>
      </c>
      <c r="L262" s="11" t="s">
        <v>53</v>
      </c>
      <c r="M262" s="17">
        <v>45324.0</v>
      </c>
      <c r="N262" s="11" t="s">
        <v>35</v>
      </c>
      <c r="O262" s="10" t="str">
        <f t="shared" si="3"/>
        <v>10/2024</v>
      </c>
      <c r="P262" s="10" t="str">
        <f t="shared" si="29"/>
        <v>10/2024</v>
      </c>
      <c r="Q262" s="15" t="str">
        <f t="array" ref="Q262">IFERROR(XLOOKUP(N262,'Classificação'!A:A,'Classificação'!B:B),"")</f>
        <v>COMPRA DE MERCADORIA</v>
      </c>
      <c r="R262" s="15" t="str">
        <f t="array" ref="R262">IFERROR(XLOOKUP(Q262,'Classificação'!B:B,'Classificação'!C:C),"")</f>
        <v>CUSTOS VARIÁVEIS</v>
      </c>
      <c r="S262" s="15">
        <f t="shared" si="5"/>
        <v>3</v>
      </c>
      <c r="T262" s="15">
        <f t="shared" si="6"/>
        <v>10</v>
      </c>
      <c r="U262" s="15">
        <f t="shared" si="7"/>
        <v>2024</v>
      </c>
      <c r="V262" s="15">
        <f t="shared" si="8"/>
        <v>3</v>
      </c>
      <c r="W262" s="15">
        <f t="shared" si="9"/>
        <v>10</v>
      </c>
      <c r="X262" s="15">
        <f t="shared" si="10"/>
        <v>2024</v>
      </c>
    </row>
    <row r="263">
      <c r="A263" s="9">
        <v>45572.0</v>
      </c>
      <c r="B263" s="10"/>
      <c r="C263" s="9">
        <f t="shared" si="22"/>
        <v>45572</v>
      </c>
      <c r="D263" s="11" t="s">
        <v>76</v>
      </c>
      <c r="E263" s="11" t="s">
        <v>25</v>
      </c>
      <c r="F263" s="11" t="s">
        <v>26</v>
      </c>
      <c r="G263" s="11" t="s">
        <v>27</v>
      </c>
      <c r="H263" s="11" t="s">
        <v>84</v>
      </c>
      <c r="I263" s="33">
        <v>1214.27</v>
      </c>
      <c r="J263" s="13"/>
      <c r="K263" s="13">
        <f t="shared" si="27"/>
        <v>1214.27</v>
      </c>
      <c r="L263" s="11" t="s">
        <v>53</v>
      </c>
      <c r="M263" s="16" t="s">
        <v>297</v>
      </c>
      <c r="N263" s="11" t="s">
        <v>85</v>
      </c>
      <c r="O263" s="10" t="str">
        <f t="shared" si="3"/>
        <v>10/2024</v>
      </c>
      <c r="P263" s="10" t="str">
        <f t="shared" si="29"/>
        <v>10/2024</v>
      </c>
      <c r="Q263" s="15" t="str">
        <f t="array" ref="Q263">IFERROR(XLOOKUP(N263,'Classificação'!A:A,'Classificação'!B:B),"")</f>
        <v>DESPESAS NÃO OPERACIONAIS</v>
      </c>
      <c r="R263" s="15" t="str">
        <f t="array" ref="R263">IFERROR(XLOOKUP(Q263,'Classificação'!B:B,'Classificação'!C:C),"")</f>
        <v>RESULTADO NÃO OPERACIONAL (+/-)</v>
      </c>
      <c r="S263" s="15">
        <f t="shared" si="5"/>
        <v>7</v>
      </c>
      <c r="T263" s="15">
        <f t="shared" si="6"/>
        <v>10</v>
      </c>
      <c r="U263" s="15">
        <f t="shared" si="7"/>
        <v>2024</v>
      </c>
      <c r="V263" s="15">
        <f t="shared" si="8"/>
        <v>7</v>
      </c>
      <c r="W263" s="15">
        <f t="shared" si="9"/>
        <v>10</v>
      </c>
      <c r="X263" s="15">
        <f t="shared" si="10"/>
        <v>2024</v>
      </c>
    </row>
    <row r="264">
      <c r="A264" s="9">
        <v>45572.0</v>
      </c>
      <c r="B264" s="10"/>
      <c r="C264" s="9">
        <f t="shared" si="22"/>
        <v>45572</v>
      </c>
      <c r="D264" s="11" t="s">
        <v>44</v>
      </c>
      <c r="E264" s="11" t="s">
        <v>25</v>
      </c>
      <c r="F264" s="11" t="s">
        <v>45</v>
      </c>
      <c r="G264" s="11" t="s">
        <v>27</v>
      </c>
      <c r="I264" s="31">
        <v>73.8</v>
      </c>
      <c r="J264" s="13"/>
      <c r="K264" s="13">
        <f t="shared" si="27"/>
        <v>73.8</v>
      </c>
      <c r="L264" s="11" t="s">
        <v>29</v>
      </c>
      <c r="M264" s="14"/>
      <c r="N264" s="11" t="s">
        <v>47</v>
      </c>
      <c r="O264" s="10" t="str">
        <f t="shared" si="3"/>
        <v>10/2024</v>
      </c>
      <c r="P264" s="10" t="str">
        <f t="shared" si="29"/>
        <v>10/2024</v>
      </c>
      <c r="Q264" s="15" t="str">
        <f t="array" ref="Q264">IFERROR(XLOOKUP(N264,'Classificação'!A:A,'Classificação'!B:B),"")</f>
        <v>DESPESAS NÃO OPERACIONAIS</v>
      </c>
      <c r="R264" s="15" t="str">
        <f t="array" ref="R264">IFERROR(XLOOKUP(Q264,'Classificação'!B:B,'Classificação'!C:C),"")</f>
        <v>RESULTADO NÃO OPERACIONAL (+/-)</v>
      </c>
      <c r="S264" s="15">
        <f t="shared" si="5"/>
        <v>7</v>
      </c>
      <c r="T264" s="15">
        <f t="shared" si="6"/>
        <v>10</v>
      </c>
      <c r="U264" s="15">
        <f t="shared" si="7"/>
        <v>2024</v>
      </c>
      <c r="V264" s="15">
        <f t="shared" si="8"/>
        <v>7</v>
      </c>
      <c r="W264" s="15">
        <f t="shared" si="9"/>
        <v>10</v>
      </c>
      <c r="X264" s="15">
        <f t="shared" si="10"/>
        <v>2024</v>
      </c>
    </row>
    <row r="265">
      <c r="A265" s="9">
        <v>45572.0</v>
      </c>
      <c r="B265" s="10"/>
      <c r="C265" s="9">
        <f t="shared" si="22"/>
        <v>45572</v>
      </c>
      <c r="D265" s="11" t="s">
        <v>44</v>
      </c>
      <c r="E265" s="11" t="s">
        <v>25</v>
      </c>
      <c r="F265" s="11" t="s">
        <v>45</v>
      </c>
      <c r="G265" s="11" t="s">
        <v>27</v>
      </c>
      <c r="H265" s="11" t="s">
        <v>298</v>
      </c>
      <c r="I265" s="12">
        <v>484.1</v>
      </c>
      <c r="J265" s="13"/>
      <c r="K265" s="13">
        <f t="shared" si="27"/>
        <v>484.1</v>
      </c>
      <c r="L265" s="11" t="s">
        <v>34</v>
      </c>
      <c r="M265" s="14"/>
      <c r="N265" s="11" t="s">
        <v>47</v>
      </c>
      <c r="O265" s="10" t="str">
        <f t="shared" si="3"/>
        <v>10/2024</v>
      </c>
      <c r="P265" s="10" t="str">
        <f t="shared" si="29"/>
        <v>10/2024</v>
      </c>
      <c r="Q265" s="15" t="str">
        <f t="array" ref="Q265">IFERROR(XLOOKUP(N265,'Classificação'!A:A,'Classificação'!B:B),"")</f>
        <v>DESPESAS NÃO OPERACIONAIS</v>
      </c>
      <c r="R265" s="15" t="str">
        <f t="array" ref="R265">IFERROR(XLOOKUP(Q265,'Classificação'!B:B,'Classificação'!C:C),"")</f>
        <v>RESULTADO NÃO OPERACIONAL (+/-)</v>
      </c>
      <c r="S265" s="15">
        <f t="shared" si="5"/>
        <v>7</v>
      </c>
      <c r="T265" s="15">
        <f t="shared" si="6"/>
        <v>10</v>
      </c>
      <c r="U265" s="15">
        <f t="shared" si="7"/>
        <v>2024</v>
      </c>
      <c r="V265" s="15">
        <f t="shared" si="8"/>
        <v>7</v>
      </c>
      <c r="W265" s="15">
        <f t="shared" si="9"/>
        <v>10</v>
      </c>
      <c r="X265" s="15">
        <f t="shared" si="10"/>
        <v>2024</v>
      </c>
    </row>
    <row r="266">
      <c r="A266" s="9">
        <v>45573.0</v>
      </c>
      <c r="B266" s="10"/>
      <c r="C266" s="9">
        <f t="shared" si="22"/>
        <v>45573</v>
      </c>
      <c r="D266" s="11" t="s">
        <v>36</v>
      </c>
      <c r="E266" s="11" t="s">
        <v>25</v>
      </c>
      <c r="F266" s="11" t="s">
        <v>32</v>
      </c>
      <c r="G266" s="11" t="s">
        <v>27</v>
      </c>
      <c r="I266" s="31">
        <v>3700.0</v>
      </c>
      <c r="J266" s="13"/>
      <c r="K266" s="13">
        <f t="shared" si="27"/>
        <v>3700</v>
      </c>
      <c r="L266" s="11" t="s">
        <v>29</v>
      </c>
      <c r="M266" s="14"/>
      <c r="N266" s="11" t="s">
        <v>38</v>
      </c>
      <c r="O266" s="10" t="str">
        <f t="shared" si="3"/>
        <v>10/2024</v>
      </c>
      <c r="P266" s="10" t="str">
        <f t="shared" si="29"/>
        <v>10/2024</v>
      </c>
      <c r="Q266" s="15" t="str">
        <f t="array" ref="Q266">IFERROR(XLOOKUP(N266,'Classificação'!A:A,'Classificação'!B:B),"")</f>
        <v>DESPESAS COM PESSOAL</v>
      </c>
      <c r="R266" s="15" t="str">
        <f t="array" ref="R266">IFERROR(XLOOKUP(Q266,'Classificação'!B:B,'Classificação'!C:C),"")</f>
        <v>DESPESAS FIXAS (-)</v>
      </c>
      <c r="S266" s="15">
        <f t="shared" si="5"/>
        <v>8</v>
      </c>
      <c r="T266" s="15">
        <f t="shared" si="6"/>
        <v>10</v>
      </c>
      <c r="U266" s="15">
        <f t="shared" si="7"/>
        <v>2024</v>
      </c>
      <c r="V266" s="15">
        <f t="shared" si="8"/>
        <v>8</v>
      </c>
      <c r="W266" s="15">
        <f t="shared" si="9"/>
        <v>10</v>
      </c>
      <c r="X266" s="15">
        <f t="shared" si="10"/>
        <v>2024</v>
      </c>
    </row>
    <row r="267">
      <c r="A267" s="9">
        <v>45573.0</v>
      </c>
      <c r="B267" s="10"/>
      <c r="C267" s="9">
        <f t="shared" si="22"/>
        <v>45573</v>
      </c>
      <c r="D267" s="11" t="s">
        <v>43</v>
      </c>
      <c r="E267" s="11" t="s">
        <v>25</v>
      </c>
      <c r="F267" s="11" t="s">
        <v>32</v>
      </c>
      <c r="G267" s="11" t="s">
        <v>27</v>
      </c>
      <c r="I267" s="31">
        <v>3699.0</v>
      </c>
      <c r="J267" s="13"/>
      <c r="K267" s="13">
        <f t="shared" si="27"/>
        <v>3699</v>
      </c>
      <c r="L267" s="11" t="s">
        <v>29</v>
      </c>
      <c r="M267" s="14"/>
      <c r="N267" s="11" t="s">
        <v>38</v>
      </c>
      <c r="O267" s="10" t="str">
        <f t="shared" si="3"/>
        <v>10/2024</v>
      </c>
      <c r="P267" s="10" t="str">
        <f t="shared" si="29"/>
        <v>10/2024</v>
      </c>
      <c r="Q267" s="15" t="str">
        <f t="array" ref="Q267">IFERROR(XLOOKUP(N267,'Classificação'!A:A,'Classificação'!B:B),"")</f>
        <v>DESPESAS COM PESSOAL</v>
      </c>
      <c r="R267" s="15" t="str">
        <f t="array" ref="R267">IFERROR(XLOOKUP(Q267,'Classificação'!B:B,'Classificação'!C:C),"")</f>
        <v>DESPESAS FIXAS (-)</v>
      </c>
      <c r="S267" s="15">
        <f t="shared" si="5"/>
        <v>8</v>
      </c>
      <c r="T267" s="15">
        <f t="shared" si="6"/>
        <v>10</v>
      </c>
      <c r="U267" s="15">
        <f t="shared" si="7"/>
        <v>2024</v>
      </c>
      <c r="V267" s="15">
        <f t="shared" si="8"/>
        <v>8</v>
      </c>
      <c r="W267" s="15">
        <f t="shared" si="9"/>
        <v>10</v>
      </c>
      <c r="X267" s="15">
        <f t="shared" si="10"/>
        <v>2024</v>
      </c>
    </row>
    <row r="268">
      <c r="A268" s="9">
        <v>45573.0</v>
      </c>
      <c r="B268" s="10"/>
      <c r="C268" s="9">
        <f t="shared" si="22"/>
        <v>45573</v>
      </c>
      <c r="D268" s="11" t="s">
        <v>44</v>
      </c>
      <c r="E268" s="11" t="s">
        <v>25</v>
      </c>
      <c r="F268" s="11" t="s">
        <v>45</v>
      </c>
      <c r="G268" s="11" t="s">
        <v>27</v>
      </c>
      <c r="H268" s="11" t="s">
        <v>299</v>
      </c>
      <c r="I268" s="12">
        <v>199.99</v>
      </c>
      <c r="J268" s="13"/>
      <c r="K268" s="13">
        <f t="shared" si="27"/>
        <v>199.99</v>
      </c>
      <c r="L268" s="11" t="s">
        <v>34</v>
      </c>
      <c r="M268" s="14"/>
      <c r="N268" s="11" t="s">
        <v>47</v>
      </c>
      <c r="O268" s="10" t="str">
        <f t="shared" si="3"/>
        <v>10/2024</v>
      </c>
      <c r="P268" s="10" t="str">
        <f t="shared" si="29"/>
        <v>10/2024</v>
      </c>
      <c r="Q268" s="15" t="str">
        <f t="array" ref="Q268">IFERROR(XLOOKUP(N268,'Classificação'!A:A,'Classificação'!B:B),"")</f>
        <v>DESPESAS NÃO OPERACIONAIS</v>
      </c>
      <c r="R268" s="15" t="str">
        <f t="array" ref="R268">IFERROR(XLOOKUP(Q268,'Classificação'!B:B,'Classificação'!C:C),"")</f>
        <v>RESULTADO NÃO OPERACIONAL (+/-)</v>
      </c>
      <c r="S268" s="15">
        <f t="shared" si="5"/>
        <v>8</v>
      </c>
      <c r="T268" s="15">
        <f t="shared" si="6"/>
        <v>10</v>
      </c>
      <c r="U268" s="15">
        <f t="shared" si="7"/>
        <v>2024</v>
      </c>
      <c r="V268" s="15">
        <f t="shared" si="8"/>
        <v>8</v>
      </c>
      <c r="W268" s="15">
        <f t="shared" si="9"/>
        <v>10</v>
      </c>
      <c r="X268" s="15">
        <f t="shared" si="10"/>
        <v>2024</v>
      </c>
    </row>
    <row r="269">
      <c r="A269" s="9">
        <v>45573.0</v>
      </c>
      <c r="B269" s="10"/>
      <c r="C269" s="9">
        <f t="shared" si="22"/>
        <v>45573</v>
      </c>
      <c r="D269" s="11" t="s">
        <v>44</v>
      </c>
      <c r="E269" s="11" t="s">
        <v>25</v>
      </c>
      <c r="F269" s="11" t="s">
        <v>45</v>
      </c>
      <c r="G269" s="11" t="s">
        <v>27</v>
      </c>
      <c r="H269" s="11" t="s">
        <v>299</v>
      </c>
      <c r="I269" s="12">
        <v>309.18</v>
      </c>
      <c r="J269" s="13"/>
      <c r="K269" s="13">
        <f t="shared" si="27"/>
        <v>309.18</v>
      </c>
      <c r="L269" s="11" t="s">
        <v>34</v>
      </c>
      <c r="M269" s="14"/>
      <c r="N269" s="11" t="s">
        <v>47</v>
      </c>
      <c r="O269" s="10" t="str">
        <f t="shared" si="3"/>
        <v>10/2024</v>
      </c>
      <c r="P269" s="10" t="str">
        <f t="shared" si="29"/>
        <v>10/2024</v>
      </c>
      <c r="Q269" s="15" t="str">
        <f t="array" ref="Q269">IFERROR(XLOOKUP(N269,'Classificação'!A:A,'Classificação'!B:B),"")</f>
        <v>DESPESAS NÃO OPERACIONAIS</v>
      </c>
      <c r="R269" s="15" t="str">
        <f t="array" ref="R269">IFERROR(XLOOKUP(Q269,'Classificação'!B:B,'Classificação'!C:C),"")</f>
        <v>RESULTADO NÃO OPERACIONAL (+/-)</v>
      </c>
      <c r="S269" s="15">
        <f t="shared" si="5"/>
        <v>8</v>
      </c>
      <c r="T269" s="15">
        <f t="shared" si="6"/>
        <v>10</v>
      </c>
      <c r="U269" s="15">
        <f t="shared" si="7"/>
        <v>2024</v>
      </c>
      <c r="V269" s="15">
        <f t="shared" si="8"/>
        <v>8</v>
      </c>
      <c r="W269" s="15">
        <f t="shared" si="9"/>
        <v>10</v>
      </c>
      <c r="X269" s="15">
        <f t="shared" si="10"/>
        <v>2024</v>
      </c>
    </row>
    <row r="270">
      <c r="A270" s="26">
        <v>45575.0</v>
      </c>
      <c r="B270" s="30"/>
      <c r="C270" s="27">
        <f t="shared" si="22"/>
        <v>45575</v>
      </c>
      <c r="D270" s="29" t="s">
        <v>300</v>
      </c>
      <c r="E270" s="29" t="s">
        <v>25</v>
      </c>
      <c r="F270" s="29" t="s">
        <v>26</v>
      </c>
      <c r="G270" s="29" t="s">
        <v>37</v>
      </c>
      <c r="H270" s="29" t="s">
        <v>301</v>
      </c>
      <c r="I270" s="24">
        <v>15134.41</v>
      </c>
      <c r="J270" s="13"/>
      <c r="K270" s="13">
        <f t="shared" si="27"/>
        <v>15134.41</v>
      </c>
      <c r="L270" s="11" t="s">
        <v>34</v>
      </c>
      <c r="M270" s="14"/>
      <c r="N270" s="11" t="s">
        <v>35</v>
      </c>
      <c r="O270" s="10" t="str">
        <f t="shared" si="3"/>
        <v>10/2024</v>
      </c>
      <c r="P270" s="10" t="str">
        <f t="shared" si="29"/>
        <v>10/2024</v>
      </c>
      <c r="Q270" s="15" t="str">
        <f t="array" ref="Q270">IFERROR(XLOOKUP(N270,'Classificação'!A:A,'Classificação'!B:B),"")</f>
        <v>COMPRA DE MERCADORIA</v>
      </c>
      <c r="R270" s="15" t="str">
        <f t="array" ref="R270">IFERROR(XLOOKUP(Q270,'Classificação'!B:B,'Classificação'!C:C),"")</f>
        <v>CUSTOS VARIÁVEIS</v>
      </c>
      <c r="S270" s="15">
        <f t="shared" si="5"/>
        <v>10</v>
      </c>
      <c r="T270" s="15">
        <f t="shared" si="6"/>
        <v>10</v>
      </c>
      <c r="U270" s="15">
        <f t="shared" si="7"/>
        <v>2024</v>
      </c>
      <c r="V270" s="15">
        <f t="shared" si="8"/>
        <v>10</v>
      </c>
      <c r="W270" s="15">
        <f t="shared" si="9"/>
        <v>10</v>
      </c>
      <c r="X270" s="15">
        <f t="shared" si="10"/>
        <v>2024</v>
      </c>
    </row>
    <row r="271">
      <c r="A271" s="9">
        <v>45575.0</v>
      </c>
      <c r="B271" s="10"/>
      <c r="C271" s="9">
        <f t="shared" si="22"/>
        <v>45575</v>
      </c>
      <c r="D271" s="11" t="s">
        <v>48</v>
      </c>
      <c r="E271" s="11" t="s">
        <v>25</v>
      </c>
      <c r="F271" s="11" t="s">
        <v>40</v>
      </c>
      <c r="G271" s="11" t="s">
        <v>27</v>
      </c>
      <c r="I271" s="31">
        <v>1444.16</v>
      </c>
      <c r="J271" s="13"/>
      <c r="K271" s="13">
        <f t="shared" si="27"/>
        <v>1444.16</v>
      </c>
      <c r="L271" s="11" t="s">
        <v>29</v>
      </c>
      <c r="M271" s="14"/>
      <c r="N271" s="11" t="s">
        <v>49</v>
      </c>
      <c r="O271" s="10" t="str">
        <f t="shared" si="3"/>
        <v>10/2024</v>
      </c>
      <c r="P271" s="10" t="str">
        <f t="shared" si="29"/>
        <v>10/2024</v>
      </c>
      <c r="Q271" s="15" t="str">
        <f t="array" ref="Q271">IFERROR(XLOOKUP(N271,'Classificação'!A:A,'Classificação'!B:B),"")</f>
        <v>DESPESAS COM PESSOAL</v>
      </c>
      <c r="R271" s="15" t="str">
        <f t="array" ref="R271">IFERROR(XLOOKUP(Q271,'Classificação'!B:B,'Classificação'!C:C),"")</f>
        <v>DESPESAS FIXAS (-)</v>
      </c>
      <c r="S271" s="15">
        <f t="shared" si="5"/>
        <v>10</v>
      </c>
      <c r="T271" s="15">
        <f t="shared" si="6"/>
        <v>10</v>
      </c>
      <c r="U271" s="15">
        <f t="shared" si="7"/>
        <v>2024</v>
      </c>
      <c r="V271" s="15">
        <f t="shared" si="8"/>
        <v>10</v>
      </c>
      <c r="W271" s="15">
        <f t="shared" si="9"/>
        <v>10</v>
      </c>
      <c r="X271" s="15">
        <f t="shared" si="10"/>
        <v>2024</v>
      </c>
    </row>
    <row r="272">
      <c r="A272" s="32">
        <v>45575.0</v>
      </c>
      <c r="B272" s="10"/>
      <c r="C272" s="9">
        <f t="shared" si="22"/>
        <v>45575</v>
      </c>
      <c r="D272" s="11" t="s">
        <v>50</v>
      </c>
      <c r="E272" s="11" t="s">
        <v>25</v>
      </c>
      <c r="F272" s="11" t="s">
        <v>40</v>
      </c>
      <c r="G272" s="11" t="s">
        <v>27</v>
      </c>
      <c r="H272" s="11" t="s">
        <v>51</v>
      </c>
      <c r="I272" s="31">
        <v>139.99</v>
      </c>
      <c r="J272" s="13"/>
      <c r="K272" s="13">
        <f t="shared" si="27"/>
        <v>139.99</v>
      </c>
      <c r="L272" s="11" t="s">
        <v>29</v>
      </c>
      <c r="M272" s="14"/>
      <c r="N272" s="11" t="s">
        <v>51</v>
      </c>
      <c r="O272" s="10" t="str">
        <f t="shared" si="3"/>
        <v>10/2024</v>
      </c>
      <c r="P272" s="10" t="str">
        <f t="shared" si="29"/>
        <v>10/2024</v>
      </c>
      <c r="Q272" s="15" t="str">
        <f t="array" ref="Q272">IFERROR(XLOOKUP(N272,'Classificação'!A:A,'Classificação'!B:B),"")</f>
        <v>DESPESAS COM OCUPAÇÃO</v>
      </c>
      <c r="R272" s="15" t="str">
        <f t="array" ref="R272">IFERROR(XLOOKUP(Q272,'Classificação'!B:B,'Classificação'!C:C),"")</f>
        <v>DESPESAS FIXAS (-)</v>
      </c>
      <c r="S272" s="15">
        <f t="shared" si="5"/>
        <v>10</v>
      </c>
      <c r="T272" s="15">
        <f t="shared" si="6"/>
        <v>10</v>
      </c>
      <c r="U272" s="15">
        <f t="shared" si="7"/>
        <v>2024</v>
      </c>
      <c r="V272" s="15">
        <f t="shared" si="8"/>
        <v>10</v>
      </c>
      <c r="W272" s="15">
        <f t="shared" si="9"/>
        <v>10</v>
      </c>
      <c r="X272" s="15">
        <f t="shared" si="10"/>
        <v>2024</v>
      </c>
    </row>
    <row r="273">
      <c r="A273" s="32">
        <v>45575.0</v>
      </c>
      <c r="B273" s="10"/>
      <c r="C273" s="9">
        <f t="shared" si="22"/>
        <v>45575</v>
      </c>
      <c r="D273" s="11" t="s">
        <v>59</v>
      </c>
      <c r="E273" s="11" t="s">
        <v>25</v>
      </c>
      <c r="F273" s="11" t="s">
        <v>40</v>
      </c>
      <c r="G273" s="11" t="s">
        <v>37</v>
      </c>
      <c r="H273" s="11" t="s">
        <v>60</v>
      </c>
      <c r="I273" s="12">
        <v>397.0</v>
      </c>
      <c r="J273" s="13"/>
      <c r="K273" s="13">
        <f t="shared" si="27"/>
        <v>397</v>
      </c>
      <c r="L273" s="11" t="s">
        <v>29</v>
      </c>
      <c r="M273" s="14"/>
      <c r="N273" s="11" t="s">
        <v>61</v>
      </c>
      <c r="O273" s="10" t="str">
        <f t="shared" si="3"/>
        <v>10/2024</v>
      </c>
      <c r="P273" s="10" t="str">
        <f t="shared" si="29"/>
        <v>10/2024</v>
      </c>
      <c r="Q273" s="15" t="str">
        <f t="array" ref="Q273">IFERROR(XLOOKUP(N273,'Classificação'!A:A,'Classificação'!B:B),"")</f>
        <v>DESPESAS ADMINISTRATIVAS</v>
      </c>
      <c r="R273" s="15" t="str">
        <f t="array" ref="R273">IFERROR(XLOOKUP(Q273,'Classificação'!B:B,'Classificação'!C:C),"")</f>
        <v>DESPESAS FIXAS (-)</v>
      </c>
      <c r="S273" s="15">
        <f t="shared" si="5"/>
        <v>10</v>
      </c>
      <c r="T273" s="15">
        <f t="shared" si="6"/>
        <v>10</v>
      </c>
      <c r="U273" s="15">
        <f t="shared" si="7"/>
        <v>2024</v>
      </c>
      <c r="V273" s="15">
        <f t="shared" si="8"/>
        <v>10</v>
      </c>
      <c r="W273" s="15">
        <f t="shared" si="9"/>
        <v>10</v>
      </c>
      <c r="X273" s="15">
        <f t="shared" si="10"/>
        <v>2024</v>
      </c>
    </row>
    <row r="274">
      <c r="A274" s="9">
        <v>45575.0</v>
      </c>
      <c r="B274" s="10"/>
      <c r="C274" s="9">
        <f t="shared" si="22"/>
        <v>45575</v>
      </c>
      <c r="D274" s="11" t="s">
        <v>44</v>
      </c>
      <c r="E274" s="11" t="s">
        <v>25</v>
      </c>
      <c r="F274" s="11" t="s">
        <v>45</v>
      </c>
      <c r="G274" s="11" t="s">
        <v>27</v>
      </c>
      <c r="H274" s="11" t="s">
        <v>52</v>
      </c>
      <c r="I274" s="31">
        <v>458.5</v>
      </c>
      <c r="J274" s="13"/>
      <c r="K274" s="13">
        <f t="shared" si="27"/>
        <v>458.5</v>
      </c>
      <c r="L274" s="11" t="s">
        <v>53</v>
      </c>
      <c r="M274" s="16" t="s">
        <v>302</v>
      </c>
      <c r="N274" s="11" t="s">
        <v>55</v>
      </c>
      <c r="O274" s="10" t="str">
        <f t="shared" si="3"/>
        <v>10/2024</v>
      </c>
      <c r="P274" s="10" t="str">
        <f t="shared" si="29"/>
        <v>10/2024</v>
      </c>
      <c r="Q274" s="15" t="str">
        <f t="array" ref="Q274">IFERROR(XLOOKUP(N274,'Classificação'!A:A,'Classificação'!B:B),"")</f>
        <v>DESPESAS NÃO OPERACIONAIS</v>
      </c>
      <c r="R274" s="15" t="str">
        <f t="array" ref="R274">IFERROR(XLOOKUP(Q274,'Classificação'!B:B,'Classificação'!C:C),"")</f>
        <v>RESULTADO NÃO OPERACIONAL (+/-)</v>
      </c>
      <c r="S274" s="15">
        <f t="shared" si="5"/>
        <v>10</v>
      </c>
      <c r="T274" s="15">
        <f t="shared" si="6"/>
        <v>10</v>
      </c>
      <c r="U274" s="15">
        <f t="shared" si="7"/>
        <v>2024</v>
      </c>
      <c r="V274" s="15">
        <f t="shared" si="8"/>
        <v>10</v>
      </c>
      <c r="W274" s="15">
        <f t="shared" si="9"/>
        <v>10</v>
      </c>
      <c r="X274" s="15">
        <f t="shared" si="10"/>
        <v>2024</v>
      </c>
    </row>
    <row r="275">
      <c r="A275" s="9">
        <v>45576.0</v>
      </c>
      <c r="B275" s="10"/>
      <c r="C275" s="9">
        <f t="shared" si="22"/>
        <v>45576</v>
      </c>
      <c r="D275" s="11" t="s">
        <v>56</v>
      </c>
      <c r="E275" s="11" t="s">
        <v>25</v>
      </c>
      <c r="F275" s="11" t="s">
        <v>26</v>
      </c>
      <c r="G275" s="11" t="s">
        <v>37</v>
      </c>
      <c r="H275" s="11" t="s">
        <v>57</v>
      </c>
      <c r="I275" s="12">
        <v>50.0</v>
      </c>
      <c r="J275" s="13"/>
      <c r="K275" s="13">
        <f t="shared" si="27"/>
        <v>50</v>
      </c>
      <c r="L275" s="11" t="s">
        <v>29</v>
      </c>
      <c r="M275" s="14"/>
      <c r="N275" s="11" t="s">
        <v>58</v>
      </c>
      <c r="O275" s="10" t="str">
        <f t="shared" si="3"/>
        <v>10/2024</v>
      </c>
      <c r="P275" s="10" t="str">
        <f t="shared" si="29"/>
        <v>10/2024</v>
      </c>
      <c r="Q275" s="15" t="str">
        <f t="array" ref="Q275">IFERROR(XLOOKUP(N275,'Classificação'!A:A,'Classificação'!B:B),"")</f>
        <v>DESPESAS ADMINISTRATIVAS</v>
      </c>
      <c r="R275" s="15" t="str">
        <f t="array" ref="R275">IFERROR(XLOOKUP(Q275,'Classificação'!B:B,'Classificação'!C:C),"")</f>
        <v>DESPESAS FIXAS (-)</v>
      </c>
      <c r="S275" s="15">
        <f t="shared" si="5"/>
        <v>11</v>
      </c>
      <c r="T275" s="15">
        <f t="shared" si="6"/>
        <v>10</v>
      </c>
      <c r="U275" s="15">
        <f t="shared" si="7"/>
        <v>2024</v>
      </c>
      <c r="V275" s="15">
        <f t="shared" si="8"/>
        <v>11</v>
      </c>
      <c r="W275" s="15">
        <f t="shared" si="9"/>
        <v>10</v>
      </c>
      <c r="X275" s="15">
        <f t="shared" si="10"/>
        <v>2024</v>
      </c>
    </row>
    <row r="276">
      <c r="A276" s="9">
        <v>45578.0</v>
      </c>
      <c r="B276" s="10"/>
      <c r="C276" s="9">
        <f t="shared" si="22"/>
        <v>45578</v>
      </c>
      <c r="D276" s="11" t="s">
        <v>65</v>
      </c>
      <c r="E276" s="11" t="s">
        <v>25</v>
      </c>
      <c r="F276" s="11" t="s">
        <v>45</v>
      </c>
      <c r="G276" s="11" t="s">
        <v>66</v>
      </c>
      <c r="H276" s="11" t="s">
        <v>67</v>
      </c>
      <c r="I276" s="12">
        <v>855.52</v>
      </c>
      <c r="J276" s="13"/>
      <c r="K276" s="13">
        <f t="shared" si="27"/>
        <v>855.52</v>
      </c>
      <c r="L276" s="11" t="s">
        <v>29</v>
      </c>
      <c r="M276" s="14"/>
      <c r="N276" s="11" t="s">
        <v>68</v>
      </c>
      <c r="O276" s="10" t="str">
        <f t="shared" si="3"/>
        <v>10/2024</v>
      </c>
      <c r="P276" s="10" t="str">
        <f t="shared" si="29"/>
        <v>10/2024</v>
      </c>
      <c r="Q276" s="15" t="str">
        <f t="array" ref="Q276">IFERROR(XLOOKUP(N276,'Classificação'!A:A,'Classificação'!B:B),"")</f>
        <v>FRETE DE VENDAS</v>
      </c>
      <c r="R276" s="15" t="str">
        <f t="array" ref="R276">IFERROR(XLOOKUP(Q276,'Classificação'!B:B,'Classificação'!C:C),"")</f>
        <v>CUSTOS VARIÁVEIS</v>
      </c>
      <c r="S276" s="15">
        <f t="shared" si="5"/>
        <v>13</v>
      </c>
      <c r="T276" s="15">
        <f t="shared" si="6"/>
        <v>10</v>
      </c>
      <c r="U276" s="15">
        <f t="shared" si="7"/>
        <v>2024</v>
      </c>
      <c r="V276" s="15">
        <f t="shared" si="8"/>
        <v>13</v>
      </c>
      <c r="W276" s="15">
        <f t="shared" si="9"/>
        <v>10</v>
      </c>
      <c r="X276" s="15">
        <f t="shared" si="10"/>
        <v>2024</v>
      </c>
    </row>
    <row r="277">
      <c r="A277" s="9">
        <v>45579.0</v>
      </c>
      <c r="B277" s="10"/>
      <c r="C277" s="9">
        <f t="shared" si="22"/>
        <v>45579</v>
      </c>
      <c r="D277" s="11" t="s">
        <v>44</v>
      </c>
      <c r="E277" s="11" t="s">
        <v>25</v>
      </c>
      <c r="F277" s="11" t="s">
        <v>45</v>
      </c>
      <c r="G277" s="11" t="s">
        <v>27</v>
      </c>
      <c r="H277" s="11" t="s">
        <v>72</v>
      </c>
      <c r="I277" s="31">
        <v>2551.21</v>
      </c>
      <c r="J277" s="13"/>
      <c r="K277" s="13">
        <f t="shared" si="27"/>
        <v>2551.21</v>
      </c>
      <c r="L277" s="11" t="s">
        <v>53</v>
      </c>
      <c r="M277" s="17">
        <v>45447.0</v>
      </c>
      <c r="N277" s="11" t="s">
        <v>73</v>
      </c>
      <c r="O277" s="10" t="str">
        <f t="shared" si="3"/>
        <v>10/2024</v>
      </c>
      <c r="P277" s="10" t="str">
        <f t="shared" si="29"/>
        <v>10/2024</v>
      </c>
      <c r="Q277" s="15" t="str">
        <f t="array" ref="Q277">IFERROR(XLOOKUP(N277,'Classificação'!A:A,'Classificação'!B:B),"")</f>
        <v>DESPESAS NÃO OPERACIONAIS</v>
      </c>
      <c r="R277" s="15" t="str">
        <f t="array" ref="R277">IFERROR(XLOOKUP(Q277,'Classificação'!B:B,'Classificação'!C:C),"")</f>
        <v>RESULTADO NÃO OPERACIONAL (+/-)</v>
      </c>
      <c r="S277" s="15">
        <f t="shared" si="5"/>
        <v>14</v>
      </c>
      <c r="T277" s="15">
        <f t="shared" si="6"/>
        <v>10</v>
      </c>
      <c r="U277" s="15">
        <f t="shared" si="7"/>
        <v>2024</v>
      </c>
      <c r="V277" s="15">
        <f t="shared" si="8"/>
        <v>14</v>
      </c>
      <c r="W277" s="15">
        <f t="shared" si="9"/>
        <v>10</v>
      </c>
      <c r="X277" s="15">
        <f t="shared" si="10"/>
        <v>2024</v>
      </c>
    </row>
    <row r="278">
      <c r="A278" s="32">
        <v>45579.0</v>
      </c>
      <c r="B278" s="10"/>
      <c r="C278" s="9">
        <f t="shared" si="22"/>
        <v>45579</v>
      </c>
      <c r="D278" s="11" t="s">
        <v>303</v>
      </c>
      <c r="E278" s="11" t="s">
        <v>25</v>
      </c>
      <c r="F278" s="11" t="s">
        <v>26</v>
      </c>
      <c r="G278" s="11" t="s">
        <v>27</v>
      </c>
      <c r="H278" s="11" t="s">
        <v>304</v>
      </c>
      <c r="I278" s="31">
        <v>75.0</v>
      </c>
      <c r="J278" s="13"/>
      <c r="K278" s="13">
        <f t="shared" si="27"/>
        <v>75</v>
      </c>
      <c r="L278" s="11" t="s">
        <v>34</v>
      </c>
      <c r="M278" s="14"/>
      <c r="N278" s="11" t="s">
        <v>143</v>
      </c>
      <c r="O278" s="10" t="str">
        <f t="shared" si="3"/>
        <v>10/2024</v>
      </c>
      <c r="P278" s="10" t="str">
        <f t="shared" si="29"/>
        <v>10/2024</v>
      </c>
      <c r="Q278" s="15" t="str">
        <f t="array" ref="Q278">IFERROR(XLOOKUP(N278,'Classificação'!A:A,'Classificação'!B:B),"")</f>
        <v>EMBALAGENS/FITAS/GERAL</v>
      </c>
      <c r="R278" s="15" t="str">
        <f t="array" ref="R278">IFERROR(XLOOKUP(Q278,'Classificação'!B:B,'Classificação'!C:C),"")</f>
        <v>CUSTOS VARIÁVEIS</v>
      </c>
      <c r="S278" s="15">
        <f t="shared" si="5"/>
        <v>14</v>
      </c>
      <c r="T278" s="15">
        <f t="shared" si="6"/>
        <v>10</v>
      </c>
      <c r="U278" s="15">
        <f t="shared" si="7"/>
        <v>2024</v>
      </c>
      <c r="V278" s="15">
        <f t="shared" si="8"/>
        <v>14</v>
      </c>
      <c r="W278" s="15">
        <f t="shared" si="9"/>
        <v>10</v>
      </c>
      <c r="X278" s="15">
        <f t="shared" si="10"/>
        <v>2024</v>
      </c>
    </row>
    <row r="279">
      <c r="A279" s="9">
        <v>45579.0</v>
      </c>
      <c r="B279" s="10"/>
      <c r="C279" s="9">
        <f t="shared" si="22"/>
        <v>45579</v>
      </c>
      <c r="D279" s="11" t="s">
        <v>79</v>
      </c>
      <c r="E279" s="11" t="s">
        <v>25</v>
      </c>
      <c r="F279" s="11" t="s">
        <v>26</v>
      </c>
      <c r="G279" s="11" t="s">
        <v>37</v>
      </c>
      <c r="H279" s="11" t="s">
        <v>305</v>
      </c>
      <c r="I279" s="12">
        <v>688.68</v>
      </c>
      <c r="J279" s="13"/>
      <c r="K279" s="13">
        <f t="shared" si="27"/>
        <v>688.68</v>
      </c>
      <c r="L279" s="11" t="s">
        <v>29</v>
      </c>
      <c r="M279" s="14"/>
      <c r="N279" s="11" t="s">
        <v>38</v>
      </c>
      <c r="O279" s="10" t="str">
        <f t="shared" si="3"/>
        <v>10/2024</v>
      </c>
      <c r="P279" s="10" t="str">
        <f t="shared" si="29"/>
        <v>10/2024</v>
      </c>
      <c r="Q279" s="15" t="str">
        <f t="array" ref="Q279">IFERROR(XLOOKUP(N279,'Classificação'!A:A,'Classificação'!B:B),"")</f>
        <v>DESPESAS COM PESSOAL</v>
      </c>
      <c r="R279" s="15" t="str">
        <f t="array" ref="R279">IFERROR(XLOOKUP(Q279,'Classificação'!B:B,'Classificação'!C:C),"")</f>
        <v>DESPESAS FIXAS (-)</v>
      </c>
      <c r="S279" s="15">
        <f t="shared" si="5"/>
        <v>14</v>
      </c>
      <c r="T279" s="15">
        <f t="shared" si="6"/>
        <v>10</v>
      </c>
      <c r="U279" s="15">
        <f t="shared" si="7"/>
        <v>2024</v>
      </c>
      <c r="V279" s="15">
        <f t="shared" si="8"/>
        <v>14</v>
      </c>
      <c r="W279" s="15">
        <f t="shared" si="9"/>
        <v>10</v>
      </c>
      <c r="X279" s="15">
        <f t="shared" si="10"/>
        <v>2024</v>
      </c>
    </row>
    <row r="280">
      <c r="A280" s="9">
        <v>45580.0</v>
      </c>
      <c r="B280" s="10"/>
      <c r="C280" s="9">
        <f t="shared" si="22"/>
        <v>45580</v>
      </c>
      <c r="D280" s="11" t="s">
        <v>74</v>
      </c>
      <c r="E280" s="11" t="s">
        <v>25</v>
      </c>
      <c r="F280" s="11" t="s">
        <v>32</v>
      </c>
      <c r="G280" s="11" t="s">
        <v>27</v>
      </c>
      <c r="I280" s="12">
        <v>592.0</v>
      </c>
      <c r="J280" s="13"/>
      <c r="K280" s="13">
        <f t="shared" si="27"/>
        <v>592</v>
      </c>
      <c r="L280" s="11" t="s">
        <v>29</v>
      </c>
      <c r="M280" s="14"/>
      <c r="N280" s="11" t="s">
        <v>75</v>
      </c>
      <c r="O280" s="10" t="str">
        <f t="shared" si="3"/>
        <v>10/2024</v>
      </c>
      <c r="P280" s="10" t="str">
        <f t="shared" si="29"/>
        <v>10/2024</v>
      </c>
      <c r="Q280" s="15" t="str">
        <f t="array" ref="Q280">IFERROR(XLOOKUP(N280,'Classificação'!A:A,'Classificação'!B:B),"")</f>
        <v>DESPESAS COM PESSOAL</v>
      </c>
      <c r="R280" s="15" t="str">
        <f t="array" ref="R280">IFERROR(XLOOKUP(Q280,'Classificação'!B:B,'Classificação'!C:C),"")</f>
        <v>DESPESAS FIXAS (-)</v>
      </c>
      <c r="S280" s="15">
        <f t="shared" si="5"/>
        <v>15</v>
      </c>
      <c r="T280" s="15">
        <f t="shared" si="6"/>
        <v>10</v>
      </c>
      <c r="U280" s="15">
        <f t="shared" si="7"/>
        <v>2024</v>
      </c>
      <c r="V280" s="15">
        <f t="shared" si="8"/>
        <v>15</v>
      </c>
      <c r="W280" s="15">
        <f t="shared" si="9"/>
        <v>10</v>
      </c>
      <c r="X280" s="15">
        <f t="shared" si="10"/>
        <v>2024</v>
      </c>
    </row>
    <row r="281">
      <c r="A281" s="9">
        <v>45580.0</v>
      </c>
      <c r="B281" s="10"/>
      <c r="C281" s="9">
        <f t="shared" si="22"/>
        <v>45580</v>
      </c>
      <c r="D281" s="11" t="s">
        <v>80</v>
      </c>
      <c r="E281" s="11" t="s">
        <v>25</v>
      </c>
      <c r="F281" s="11" t="s">
        <v>32</v>
      </c>
      <c r="G281" s="11" t="s">
        <v>27</v>
      </c>
      <c r="I281" s="12">
        <v>720.0</v>
      </c>
      <c r="J281" s="13"/>
      <c r="K281" s="13">
        <f t="shared" si="27"/>
        <v>720</v>
      </c>
      <c r="L281" s="11" t="s">
        <v>29</v>
      </c>
      <c r="M281" s="14"/>
      <c r="N281" s="11" t="s">
        <v>75</v>
      </c>
      <c r="O281" s="10" t="str">
        <f t="shared" si="3"/>
        <v>10/2024</v>
      </c>
      <c r="P281" s="10" t="str">
        <f t="shared" si="29"/>
        <v>10/2024</v>
      </c>
      <c r="Q281" s="15" t="str">
        <f t="array" ref="Q281">IFERROR(XLOOKUP(N281,'Classificação'!A:A,'Classificação'!B:B),"")</f>
        <v>DESPESAS COM PESSOAL</v>
      </c>
      <c r="R281" s="15" t="str">
        <f t="array" ref="R281">IFERROR(XLOOKUP(Q281,'Classificação'!B:B,'Classificação'!C:C),"")</f>
        <v>DESPESAS FIXAS (-)</v>
      </c>
      <c r="S281" s="15">
        <f t="shared" si="5"/>
        <v>15</v>
      </c>
      <c r="T281" s="15">
        <f t="shared" si="6"/>
        <v>10</v>
      </c>
      <c r="U281" s="15">
        <f t="shared" si="7"/>
        <v>2024</v>
      </c>
      <c r="V281" s="15">
        <f t="shared" si="8"/>
        <v>15</v>
      </c>
      <c r="W281" s="15">
        <f t="shared" si="9"/>
        <v>10</v>
      </c>
      <c r="X281" s="15">
        <f t="shared" si="10"/>
        <v>2024</v>
      </c>
    </row>
    <row r="282">
      <c r="A282" s="9">
        <v>45580.0</v>
      </c>
      <c r="B282" s="10"/>
      <c r="C282" s="9">
        <f t="shared" si="22"/>
        <v>45580</v>
      </c>
      <c r="D282" s="11" t="s">
        <v>83</v>
      </c>
      <c r="E282" s="11" t="s">
        <v>25</v>
      </c>
      <c r="F282" s="11" t="s">
        <v>32</v>
      </c>
      <c r="G282" s="11" t="s">
        <v>27</v>
      </c>
      <c r="I282" s="12">
        <v>744.0</v>
      </c>
      <c r="J282" s="13"/>
      <c r="K282" s="13">
        <f t="shared" si="27"/>
        <v>744</v>
      </c>
      <c r="L282" s="11" t="s">
        <v>29</v>
      </c>
      <c r="M282" s="14"/>
      <c r="N282" s="11" t="s">
        <v>75</v>
      </c>
      <c r="O282" s="10" t="str">
        <f t="shared" si="3"/>
        <v>10/2024</v>
      </c>
      <c r="P282" s="10" t="str">
        <f t="shared" si="29"/>
        <v>10/2024</v>
      </c>
      <c r="Q282" s="15" t="str">
        <f t="array" ref="Q282">IFERROR(XLOOKUP(N282,'Classificação'!A:A,'Classificação'!B:B),"")</f>
        <v>DESPESAS COM PESSOAL</v>
      </c>
      <c r="R282" s="15" t="str">
        <f t="array" ref="R282">IFERROR(XLOOKUP(Q282,'Classificação'!B:B,'Classificação'!C:C),"")</f>
        <v>DESPESAS FIXAS (-)</v>
      </c>
      <c r="S282" s="15">
        <f t="shared" si="5"/>
        <v>15</v>
      </c>
      <c r="T282" s="15">
        <f t="shared" si="6"/>
        <v>10</v>
      </c>
      <c r="U282" s="15">
        <f t="shared" si="7"/>
        <v>2024</v>
      </c>
      <c r="V282" s="15">
        <f t="shared" si="8"/>
        <v>15</v>
      </c>
      <c r="W282" s="15">
        <f t="shared" si="9"/>
        <v>10</v>
      </c>
      <c r="X282" s="15">
        <f t="shared" si="10"/>
        <v>2024</v>
      </c>
    </row>
    <row r="283">
      <c r="A283" s="26">
        <v>45580.0</v>
      </c>
      <c r="B283" s="30"/>
      <c r="C283" s="27">
        <f t="shared" si="22"/>
        <v>45580</v>
      </c>
      <c r="D283" s="28" t="s">
        <v>36</v>
      </c>
      <c r="E283" s="28" t="s">
        <v>25</v>
      </c>
      <c r="F283" s="28" t="s">
        <v>32</v>
      </c>
      <c r="G283" s="28" t="s">
        <v>27</v>
      </c>
      <c r="H283" s="28"/>
      <c r="I283" s="33">
        <v>1149.0</v>
      </c>
      <c r="J283" s="13"/>
      <c r="K283" s="13">
        <f t="shared" si="27"/>
        <v>1149</v>
      </c>
      <c r="L283" s="11" t="s">
        <v>34</v>
      </c>
      <c r="M283" s="14"/>
      <c r="N283" s="11" t="s">
        <v>38</v>
      </c>
      <c r="O283" s="10" t="str">
        <f t="shared" si="3"/>
        <v>10/2024</v>
      </c>
      <c r="P283" s="10" t="str">
        <f t="shared" si="29"/>
        <v>10/2024</v>
      </c>
      <c r="Q283" s="15" t="str">
        <f t="array" ref="Q283">IFERROR(XLOOKUP(N283,'Classificação'!A:A,'Classificação'!B:B),"")</f>
        <v>DESPESAS COM PESSOAL</v>
      </c>
      <c r="R283" s="15" t="str">
        <f t="array" ref="R283">IFERROR(XLOOKUP(Q283,'Classificação'!B:B,'Classificação'!C:C),"")</f>
        <v>DESPESAS FIXAS (-)</v>
      </c>
      <c r="S283" s="15">
        <f t="shared" si="5"/>
        <v>15</v>
      </c>
      <c r="T283" s="15">
        <f t="shared" si="6"/>
        <v>10</v>
      </c>
      <c r="U283" s="15">
        <f t="shared" si="7"/>
        <v>2024</v>
      </c>
      <c r="V283" s="15">
        <f t="shared" si="8"/>
        <v>15</v>
      </c>
      <c r="W283" s="15">
        <f t="shared" si="9"/>
        <v>10</v>
      </c>
      <c r="X283" s="15">
        <f t="shared" si="10"/>
        <v>2024</v>
      </c>
    </row>
    <row r="284">
      <c r="A284" s="26">
        <v>45580.0</v>
      </c>
      <c r="B284" s="30"/>
      <c r="C284" s="27">
        <f t="shared" si="22"/>
        <v>45580</v>
      </c>
      <c r="D284" s="28" t="s">
        <v>43</v>
      </c>
      <c r="E284" s="28" t="s">
        <v>25</v>
      </c>
      <c r="F284" s="28" t="s">
        <v>32</v>
      </c>
      <c r="G284" s="28" t="s">
        <v>27</v>
      </c>
      <c r="H284" s="28"/>
      <c r="I284" s="33">
        <v>1150.0</v>
      </c>
      <c r="J284" s="13"/>
      <c r="K284" s="13">
        <f t="shared" si="27"/>
        <v>1150</v>
      </c>
      <c r="L284" s="11" t="s">
        <v>34</v>
      </c>
      <c r="M284" s="14"/>
      <c r="N284" s="11" t="s">
        <v>38</v>
      </c>
      <c r="O284" s="10" t="str">
        <f t="shared" si="3"/>
        <v>10/2024</v>
      </c>
      <c r="P284" s="10" t="str">
        <f t="shared" si="29"/>
        <v>10/2024</v>
      </c>
      <c r="Q284" s="15" t="str">
        <f t="array" ref="Q284">IFERROR(XLOOKUP(N284,'Classificação'!A:A,'Classificação'!B:B),"")</f>
        <v>DESPESAS COM PESSOAL</v>
      </c>
      <c r="R284" s="15" t="str">
        <f t="array" ref="R284">IFERROR(XLOOKUP(Q284,'Classificação'!B:B,'Classificação'!C:C),"")</f>
        <v>DESPESAS FIXAS (-)</v>
      </c>
      <c r="S284" s="15">
        <f t="shared" si="5"/>
        <v>15</v>
      </c>
      <c r="T284" s="15">
        <f t="shared" si="6"/>
        <v>10</v>
      </c>
      <c r="U284" s="15">
        <f t="shared" si="7"/>
        <v>2024</v>
      </c>
      <c r="V284" s="15">
        <f t="shared" si="8"/>
        <v>15</v>
      </c>
      <c r="W284" s="15">
        <f t="shared" si="9"/>
        <v>10</v>
      </c>
      <c r="X284" s="15">
        <f t="shared" si="10"/>
        <v>2024</v>
      </c>
    </row>
    <row r="285">
      <c r="A285" s="9">
        <v>45581.0</v>
      </c>
      <c r="B285" s="10"/>
      <c r="C285" s="9">
        <f t="shared" si="22"/>
        <v>45581</v>
      </c>
      <c r="D285" s="11" t="s">
        <v>86</v>
      </c>
      <c r="E285" s="11" t="s">
        <v>25</v>
      </c>
      <c r="F285" s="11" t="s">
        <v>87</v>
      </c>
      <c r="G285" s="11" t="s">
        <v>27</v>
      </c>
      <c r="H285" s="11" t="s">
        <v>88</v>
      </c>
      <c r="I285" s="12">
        <v>1127.5</v>
      </c>
      <c r="J285" s="13"/>
      <c r="K285" s="13">
        <f t="shared" si="27"/>
        <v>1127.5</v>
      </c>
      <c r="L285" s="11" t="s">
        <v>53</v>
      </c>
      <c r="M285" s="17">
        <v>45354.0</v>
      </c>
      <c r="N285" s="11" t="s">
        <v>35</v>
      </c>
      <c r="O285" s="10" t="str">
        <f t="shared" si="3"/>
        <v>10/2024</v>
      </c>
      <c r="P285" s="10" t="str">
        <f t="shared" si="29"/>
        <v>10/2024</v>
      </c>
      <c r="Q285" s="15" t="str">
        <f t="array" ref="Q285">IFERROR(XLOOKUP(N285,'Classificação'!A:A,'Classificação'!B:B),"")</f>
        <v>COMPRA DE MERCADORIA</v>
      </c>
      <c r="R285" s="15" t="str">
        <f t="array" ref="R285">IFERROR(XLOOKUP(Q285,'Classificação'!B:B,'Classificação'!C:C),"")</f>
        <v>CUSTOS VARIÁVEIS</v>
      </c>
      <c r="S285" s="15">
        <f t="shared" si="5"/>
        <v>16</v>
      </c>
      <c r="T285" s="15">
        <f t="shared" si="6"/>
        <v>10</v>
      </c>
      <c r="U285" s="15">
        <f t="shared" si="7"/>
        <v>2024</v>
      </c>
      <c r="V285" s="15">
        <f t="shared" si="8"/>
        <v>16</v>
      </c>
      <c r="W285" s="15">
        <f t="shared" si="9"/>
        <v>10</v>
      </c>
      <c r="X285" s="15">
        <f t="shared" si="10"/>
        <v>2024</v>
      </c>
    </row>
    <row r="286">
      <c r="A286" s="26">
        <v>45582.0</v>
      </c>
      <c r="B286" s="30"/>
      <c r="C286" s="9">
        <f t="shared" si="22"/>
        <v>45582</v>
      </c>
      <c r="D286" s="28" t="s">
        <v>86</v>
      </c>
      <c r="E286" s="29" t="s">
        <v>25</v>
      </c>
      <c r="F286" s="29" t="s">
        <v>87</v>
      </c>
      <c r="G286" s="28" t="s">
        <v>27</v>
      </c>
      <c r="H286" s="28" t="s">
        <v>239</v>
      </c>
      <c r="I286" s="33">
        <v>3034.17</v>
      </c>
      <c r="J286" s="34"/>
      <c r="K286" s="13">
        <f t="shared" si="27"/>
        <v>3034.17</v>
      </c>
      <c r="L286" s="29" t="s">
        <v>53</v>
      </c>
      <c r="M286" s="35">
        <v>45352.0</v>
      </c>
      <c r="N286" s="28" t="s">
        <v>35</v>
      </c>
      <c r="O286" s="10" t="str">
        <f t="shared" si="3"/>
        <v>10/2024</v>
      </c>
      <c r="P286" s="10" t="str">
        <f t="shared" si="29"/>
        <v>10/2024</v>
      </c>
      <c r="Q286" s="15" t="str">
        <f t="array" ref="Q286">IFERROR(XLOOKUP(N286,'Classificação'!A:A,'Classificação'!B:B),"")</f>
        <v>COMPRA DE MERCADORIA</v>
      </c>
      <c r="R286" s="15" t="str">
        <f t="array" ref="R286">IFERROR(XLOOKUP(Q286,'Classificação'!B:B,'Classificação'!C:C),"")</f>
        <v>CUSTOS VARIÁVEIS</v>
      </c>
      <c r="S286" s="15">
        <f t="shared" si="5"/>
        <v>17</v>
      </c>
      <c r="T286" s="15">
        <f t="shared" si="6"/>
        <v>10</v>
      </c>
      <c r="U286" s="15">
        <f t="shared" si="7"/>
        <v>2024</v>
      </c>
      <c r="V286" s="15">
        <f t="shared" si="8"/>
        <v>17</v>
      </c>
      <c r="W286" s="15">
        <f t="shared" si="9"/>
        <v>10</v>
      </c>
      <c r="X286" s="15">
        <f t="shared" si="10"/>
        <v>2024</v>
      </c>
    </row>
    <row r="287">
      <c r="A287" s="9">
        <v>45583.0</v>
      </c>
      <c r="B287" s="10"/>
      <c r="C287" s="9">
        <f t="shared" si="22"/>
        <v>45583</v>
      </c>
      <c r="D287" s="11" t="s">
        <v>90</v>
      </c>
      <c r="E287" s="11" t="s">
        <v>25</v>
      </c>
      <c r="F287" s="11" t="s">
        <v>40</v>
      </c>
      <c r="G287" s="11" t="s">
        <v>27</v>
      </c>
      <c r="H287" s="11" t="s">
        <v>91</v>
      </c>
      <c r="I287" s="12">
        <v>544.78</v>
      </c>
      <c r="J287" s="13"/>
      <c r="K287" s="13">
        <f t="shared" si="27"/>
        <v>544.78</v>
      </c>
      <c r="L287" s="11" t="s">
        <v>29</v>
      </c>
      <c r="M287" s="14"/>
      <c r="N287" s="11" t="s">
        <v>92</v>
      </c>
      <c r="O287" s="10" t="str">
        <f t="shared" si="3"/>
        <v>10/2024</v>
      </c>
      <c r="P287" s="10" t="str">
        <f t="shared" si="29"/>
        <v>10/2024</v>
      </c>
      <c r="Q287" s="15" t="str">
        <f t="array" ref="Q287">IFERROR(XLOOKUP(N287,'Classificação'!A:A,'Classificação'!B:B),"")</f>
        <v>DESPESAS COM OCUPAÇÃO</v>
      </c>
      <c r="R287" s="15" t="str">
        <f t="array" ref="R287">IFERROR(XLOOKUP(Q287,'Classificação'!B:B,'Classificação'!C:C),"")</f>
        <v>DESPESAS FIXAS (-)</v>
      </c>
      <c r="S287" s="15">
        <f t="shared" si="5"/>
        <v>18</v>
      </c>
      <c r="T287" s="15">
        <f t="shared" si="6"/>
        <v>10</v>
      </c>
      <c r="U287" s="15">
        <f t="shared" si="7"/>
        <v>2024</v>
      </c>
      <c r="V287" s="15">
        <f t="shared" si="8"/>
        <v>18</v>
      </c>
      <c r="W287" s="15">
        <f t="shared" si="9"/>
        <v>10</v>
      </c>
      <c r="X287" s="15">
        <f t="shared" si="10"/>
        <v>2024</v>
      </c>
    </row>
    <row r="288">
      <c r="A288" s="9">
        <v>45583.0</v>
      </c>
      <c r="B288" s="10"/>
      <c r="C288" s="9">
        <f t="shared" si="22"/>
        <v>45583</v>
      </c>
      <c r="D288" s="11" t="s">
        <v>44</v>
      </c>
      <c r="E288" s="11" t="s">
        <v>25</v>
      </c>
      <c r="F288" s="11" t="s">
        <v>45</v>
      </c>
      <c r="G288" s="11" t="s">
        <v>27</v>
      </c>
      <c r="H288" s="11" t="s">
        <v>98</v>
      </c>
      <c r="I288" s="12">
        <v>3453.26</v>
      </c>
      <c r="J288" s="13"/>
      <c r="K288" s="13">
        <f t="shared" si="27"/>
        <v>3453.26</v>
      </c>
      <c r="L288" s="11" t="s">
        <v>53</v>
      </c>
      <c r="M288" s="16" t="s">
        <v>306</v>
      </c>
      <c r="N288" s="11" t="s">
        <v>73</v>
      </c>
      <c r="O288" s="10" t="str">
        <f t="shared" si="3"/>
        <v>10/2024</v>
      </c>
      <c r="P288" s="10" t="str">
        <f t="shared" si="29"/>
        <v>10/2024</v>
      </c>
      <c r="Q288" s="15" t="str">
        <f t="array" ref="Q288">IFERROR(XLOOKUP(N288,'Classificação'!A:A,'Classificação'!B:B),"")</f>
        <v>DESPESAS NÃO OPERACIONAIS</v>
      </c>
      <c r="R288" s="15" t="str">
        <f t="array" ref="R288">IFERROR(XLOOKUP(Q288,'Classificação'!B:B,'Classificação'!C:C),"")</f>
        <v>RESULTADO NÃO OPERACIONAL (+/-)</v>
      </c>
      <c r="S288" s="15">
        <f t="shared" si="5"/>
        <v>18</v>
      </c>
      <c r="T288" s="15">
        <f t="shared" si="6"/>
        <v>10</v>
      </c>
      <c r="U288" s="15">
        <f t="shared" si="7"/>
        <v>2024</v>
      </c>
      <c r="V288" s="15">
        <f t="shared" si="8"/>
        <v>18</v>
      </c>
      <c r="W288" s="15">
        <f t="shared" si="9"/>
        <v>10</v>
      </c>
      <c r="X288" s="15">
        <f t="shared" si="10"/>
        <v>2024</v>
      </c>
    </row>
    <row r="289">
      <c r="A289" s="9">
        <v>45583.0</v>
      </c>
      <c r="B289" s="10"/>
      <c r="C289" s="9">
        <f t="shared" si="22"/>
        <v>45583</v>
      </c>
      <c r="D289" s="11" t="s">
        <v>65</v>
      </c>
      <c r="E289" s="11" t="s">
        <v>25</v>
      </c>
      <c r="F289" s="11" t="s">
        <v>45</v>
      </c>
      <c r="G289" s="11" t="s">
        <v>37</v>
      </c>
      <c r="H289" s="11" t="s">
        <v>103</v>
      </c>
      <c r="I289" s="12">
        <v>562.83</v>
      </c>
      <c r="J289" s="13"/>
      <c r="K289" s="13">
        <f t="shared" si="27"/>
        <v>562.83</v>
      </c>
      <c r="L289" s="11" t="s">
        <v>29</v>
      </c>
      <c r="M289" s="14"/>
      <c r="N289" s="11" t="s">
        <v>68</v>
      </c>
      <c r="O289" s="10" t="str">
        <f t="shared" si="3"/>
        <v>10/2024</v>
      </c>
      <c r="P289" s="10" t="str">
        <f t="shared" si="29"/>
        <v>10/2024</v>
      </c>
      <c r="Q289" s="15" t="str">
        <f t="array" ref="Q289">IFERROR(XLOOKUP(N289,'Classificação'!A:A,'Classificação'!B:B),"")</f>
        <v>FRETE DE VENDAS</v>
      </c>
      <c r="R289" s="15" t="str">
        <f t="array" ref="R289">IFERROR(XLOOKUP(Q289,'Classificação'!B:B,'Classificação'!C:C),"")</f>
        <v>CUSTOS VARIÁVEIS</v>
      </c>
      <c r="S289" s="15">
        <f t="shared" si="5"/>
        <v>18</v>
      </c>
      <c r="T289" s="15">
        <f t="shared" si="6"/>
        <v>10</v>
      </c>
      <c r="U289" s="15">
        <f t="shared" si="7"/>
        <v>2024</v>
      </c>
      <c r="V289" s="15">
        <f t="shared" si="8"/>
        <v>18</v>
      </c>
      <c r="W289" s="15">
        <f t="shared" si="9"/>
        <v>10</v>
      </c>
      <c r="X289" s="15">
        <f t="shared" si="10"/>
        <v>2024</v>
      </c>
    </row>
    <row r="290">
      <c r="A290" s="9">
        <v>45583.0</v>
      </c>
      <c r="B290" s="10"/>
      <c r="C290" s="9">
        <f t="shared" si="22"/>
        <v>45583</v>
      </c>
      <c r="D290" s="11" t="s">
        <v>123</v>
      </c>
      <c r="E290" s="11" t="s">
        <v>25</v>
      </c>
      <c r="F290" s="11" t="s">
        <v>40</v>
      </c>
      <c r="G290" s="11" t="s">
        <v>27</v>
      </c>
      <c r="I290" s="12">
        <v>426.48</v>
      </c>
      <c r="J290" s="13"/>
      <c r="K290" s="13">
        <f t="shared" si="27"/>
        <v>426.48</v>
      </c>
      <c r="L290" s="11" t="s">
        <v>29</v>
      </c>
      <c r="M290" s="14"/>
      <c r="N290" s="11" t="s">
        <v>123</v>
      </c>
      <c r="O290" s="10" t="str">
        <f t="shared" si="3"/>
        <v>10/2024</v>
      </c>
      <c r="P290" s="10" t="str">
        <f t="shared" si="29"/>
        <v>10/2024</v>
      </c>
      <c r="Q290" s="15" t="str">
        <f t="array" ref="Q290">IFERROR(XLOOKUP(N290,'Classificação'!A:A,'Classificação'!B:B),"")</f>
        <v>DESPESAS COM PESSOAL</v>
      </c>
      <c r="R290" s="15" t="str">
        <f t="array" ref="R290">IFERROR(XLOOKUP(Q290,'Classificação'!B:B,'Classificação'!C:C),"")</f>
        <v>DESPESAS FIXAS (-)</v>
      </c>
      <c r="S290" s="15">
        <f t="shared" si="5"/>
        <v>18</v>
      </c>
      <c r="T290" s="15">
        <f t="shared" si="6"/>
        <v>10</v>
      </c>
      <c r="U290" s="15">
        <f t="shared" si="7"/>
        <v>2024</v>
      </c>
      <c r="V290" s="15">
        <f t="shared" si="8"/>
        <v>18</v>
      </c>
      <c r="W290" s="15">
        <f t="shared" si="9"/>
        <v>10</v>
      </c>
      <c r="X290" s="15">
        <f t="shared" si="10"/>
        <v>2024</v>
      </c>
    </row>
    <row r="291">
      <c r="A291" s="9">
        <v>45583.0</v>
      </c>
      <c r="B291" s="10"/>
      <c r="C291" s="9">
        <f t="shared" si="22"/>
        <v>45583</v>
      </c>
      <c r="D291" s="11" t="s">
        <v>126</v>
      </c>
      <c r="E291" s="11" t="s">
        <v>25</v>
      </c>
      <c r="F291" s="11" t="s">
        <v>40</v>
      </c>
      <c r="G291" s="11" t="s">
        <v>27</v>
      </c>
      <c r="I291" s="12">
        <v>540.77</v>
      </c>
      <c r="J291" s="13"/>
      <c r="K291" s="13">
        <f t="shared" si="27"/>
        <v>540.77</v>
      </c>
      <c r="L291" s="11" t="s">
        <v>29</v>
      </c>
      <c r="M291" s="14"/>
      <c r="N291" s="11" t="s">
        <v>126</v>
      </c>
      <c r="O291" s="10" t="str">
        <f t="shared" si="3"/>
        <v>10/2024</v>
      </c>
      <c r="P291" s="10" t="str">
        <f t="shared" si="29"/>
        <v>10/2024</v>
      </c>
      <c r="Q291" s="15" t="str">
        <f t="array" ref="Q291">IFERROR(XLOOKUP(N291,'Classificação'!A:A,'Classificação'!B:B),"")</f>
        <v>DESPESAS COM PESSOAL</v>
      </c>
      <c r="R291" s="15" t="str">
        <f t="array" ref="R291">IFERROR(XLOOKUP(Q291,'Classificação'!B:B,'Classificação'!C:C),"")</f>
        <v>DESPESAS FIXAS (-)</v>
      </c>
      <c r="S291" s="15">
        <f t="shared" si="5"/>
        <v>18</v>
      </c>
      <c r="T291" s="15">
        <f t="shared" si="6"/>
        <v>10</v>
      </c>
      <c r="U291" s="15">
        <f t="shared" si="7"/>
        <v>2024</v>
      </c>
      <c r="V291" s="15">
        <f t="shared" si="8"/>
        <v>18</v>
      </c>
      <c r="W291" s="15">
        <f t="shared" si="9"/>
        <v>10</v>
      </c>
      <c r="X291" s="15">
        <f t="shared" si="10"/>
        <v>2024</v>
      </c>
    </row>
    <row r="292">
      <c r="A292" s="9">
        <v>45586.0</v>
      </c>
      <c r="B292" s="10"/>
      <c r="C292" s="9">
        <f t="shared" si="22"/>
        <v>45586</v>
      </c>
      <c r="D292" s="11" t="s">
        <v>106</v>
      </c>
      <c r="E292" s="11" t="s">
        <v>25</v>
      </c>
      <c r="F292" s="11" t="s">
        <v>107</v>
      </c>
      <c r="G292" s="11" t="s">
        <v>27</v>
      </c>
      <c r="H292" s="11" t="s">
        <v>241</v>
      </c>
      <c r="I292" s="31">
        <v>278.01</v>
      </c>
      <c r="J292" s="13"/>
      <c r="K292" s="13">
        <f t="shared" si="27"/>
        <v>278.01</v>
      </c>
      <c r="L292" s="11" t="s">
        <v>53</v>
      </c>
      <c r="M292" s="20">
        <v>45476.0</v>
      </c>
      <c r="N292" s="11" t="s">
        <v>95</v>
      </c>
      <c r="O292" s="10" t="str">
        <f t="shared" si="3"/>
        <v>10/2024</v>
      </c>
      <c r="P292" s="10" t="str">
        <f t="shared" si="29"/>
        <v>10/2024</v>
      </c>
      <c r="Q292" s="15" t="str">
        <f t="array" ref="Q292">IFERROR(XLOOKUP(N292,'Classificação'!A:A,'Classificação'!B:B),"")</f>
        <v>DESPESAS NÃO OPERACIONAIS</v>
      </c>
      <c r="R292" s="15" t="str">
        <f t="array" ref="R292">IFERROR(XLOOKUP(Q292,'Classificação'!B:B,'Classificação'!C:C),"")</f>
        <v>RESULTADO NÃO OPERACIONAL (+/-)</v>
      </c>
      <c r="S292" s="15">
        <f t="shared" si="5"/>
        <v>21</v>
      </c>
      <c r="T292" s="15">
        <f t="shared" si="6"/>
        <v>10</v>
      </c>
      <c r="U292" s="15">
        <f t="shared" si="7"/>
        <v>2024</v>
      </c>
      <c r="V292" s="15">
        <f t="shared" si="8"/>
        <v>21</v>
      </c>
      <c r="W292" s="15">
        <f t="shared" si="9"/>
        <v>10</v>
      </c>
      <c r="X292" s="15">
        <f t="shared" si="10"/>
        <v>2024</v>
      </c>
    </row>
    <row r="293">
      <c r="A293" s="9">
        <v>45586.0</v>
      </c>
      <c r="B293" s="10"/>
      <c r="C293" s="9">
        <f t="shared" si="22"/>
        <v>45586</v>
      </c>
      <c r="D293" s="11" t="s">
        <v>109</v>
      </c>
      <c r="E293" s="11" t="s">
        <v>25</v>
      </c>
      <c r="F293" s="11" t="s">
        <v>110</v>
      </c>
      <c r="G293" s="11" t="s">
        <v>27</v>
      </c>
      <c r="H293" s="11" t="s">
        <v>111</v>
      </c>
      <c r="I293" s="12">
        <v>24.15</v>
      </c>
      <c r="J293" s="13"/>
      <c r="K293" s="13">
        <f t="shared" si="27"/>
        <v>24.15</v>
      </c>
      <c r="L293" s="11" t="s">
        <v>29</v>
      </c>
      <c r="M293" s="14"/>
      <c r="N293" s="11" t="s">
        <v>105</v>
      </c>
      <c r="O293" s="10" t="str">
        <f t="shared" si="3"/>
        <v>10/2024</v>
      </c>
      <c r="P293" s="10" t="str">
        <f t="shared" si="29"/>
        <v>10/2024</v>
      </c>
      <c r="Q293" s="15" t="str">
        <f t="array" ref="Q293">IFERROR(XLOOKUP(N293,'Classificação'!A:A,'Classificação'!B:B),"")</f>
        <v>DESPESAS ADMINISTRATIVAS</v>
      </c>
      <c r="R293" s="15" t="str">
        <f t="array" ref="R293">IFERROR(XLOOKUP(Q293,'Classificação'!B:B,'Classificação'!C:C),"")</f>
        <v>DESPESAS FIXAS (-)</v>
      </c>
      <c r="S293" s="15">
        <f t="shared" si="5"/>
        <v>21</v>
      </c>
      <c r="T293" s="15">
        <f t="shared" si="6"/>
        <v>10</v>
      </c>
      <c r="U293" s="15">
        <f t="shared" si="7"/>
        <v>2024</v>
      </c>
      <c r="V293" s="15">
        <f t="shared" si="8"/>
        <v>21</v>
      </c>
      <c r="W293" s="15">
        <f t="shared" si="9"/>
        <v>10</v>
      </c>
      <c r="X293" s="15">
        <f t="shared" si="10"/>
        <v>2024</v>
      </c>
    </row>
    <row r="294">
      <c r="A294" s="9">
        <v>45586.0</v>
      </c>
      <c r="B294" s="10"/>
      <c r="C294" s="9">
        <f t="shared" si="22"/>
        <v>45586</v>
      </c>
      <c r="D294" s="11" t="s">
        <v>121</v>
      </c>
      <c r="E294" s="11" t="s">
        <v>25</v>
      </c>
      <c r="F294" s="11" t="s">
        <v>110</v>
      </c>
      <c r="G294" s="11" t="s">
        <v>27</v>
      </c>
      <c r="H294" s="11" t="s">
        <v>122</v>
      </c>
      <c r="I294" s="12">
        <v>29.9</v>
      </c>
      <c r="J294" s="13"/>
      <c r="K294" s="13">
        <f t="shared" si="27"/>
        <v>29.9</v>
      </c>
      <c r="L294" s="11" t="s">
        <v>29</v>
      </c>
      <c r="M294" s="14"/>
      <c r="N294" s="11" t="s">
        <v>105</v>
      </c>
      <c r="O294" s="10" t="str">
        <f t="shared" si="3"/>
        <v>10/2024</v>
      </c>
      <c r="P294" s="10" t="str">
        <f t="shared" si="29"/>
        <v>10/2024</v>
      </c>
      <c r="Q294" s="15" t="str">
        <f t="array" ref="Q294">IFERROR(XLOOKUP(N294,'Classificação'!A:A,'Classificação'!B:B),"")</f>
        <v>DESPESAS ADMINISTRATIVAS</v>
      </c>
      <c r="R294" s="15" t="str">
        <f t="array" ref="R294">IFERROR(XLOOKUP(Q294,'Classificação'!B:B,'Classificação'!C:C),"")</f>
        <v>DESPESAS FIXAS (-)</v>
      </c>
      <c r="S294" s="15">
        <f t="shared" si="5"/>
        <v>21</v>
      </c>
      <c r="T294" s="15">
        <f t="shared" si="6"/>
        <v>10</v>
      </c>
      <c r="U294" s="15">
        <f t="shared" si="7"/>
        <v>2024</v>
      </c>
      <c r="V294" s="15">
        <f t="shared" si="8"/>
        <v>21</v>
      </c>
      <c r="W294" s="15">
        <f t="shared" si="9"/>
        <v>10</v>
      </c>
      <c r="X294" s="15">
        <f t="shared" si="10"/>
        <v>2024</v>
      </c>
    </row>
    <row r="295">
      <c r="A295" s="9">
        <v>45586.0</v>
      </c>
      <c r="B295" s="10"/>
      <c r="C295" s="9">
        <f t="shared" si="22"/>
        <v>45586</v>
      </c>
      <c r="D295" s="11" t="s">
        <v>125</v>
      </c>
      <c r="E295" s="11" t="s">
        <v>25</v>
      </c>
      <c r="F295" s="11" t="s">
        <v>107</v>
      </c>
      <c r="G295" s="11" t="s">
        <v>27</v>
      </c>
      <c r="H295" s="11" t="s">
        <v>245</v>
      </c>
      <c r="I295" s="31">
        <v>64.75</v>
      </c>
      <c r="J295" s="13"/>
      <c r="K295" s="13">
        <f t="shared" si="27"/>
        <v>64.75</v>
      </c>
      <c r="L295" s="11" t="s">
        <v>53</v>
      </c>
      <c r="M295" s="17">
        <v>45416.0</v>
      </c>
      <c r="N295" s="11" t="s">
        <v>95</v>
      </c>
      <c r="O295" s="10" t="str">
        <f t="shared" si="3"/>
        <v>10/2024</v>
      </c>
      <c r="P295" s="10" t="str">
        <f t="shared" si="29"/>
        <v>10/2024</v>
      </c>
      <c r="Q295" s="15" t="str">
        <f t="array" ref="Q295">IFERROR(XLOOKUP(N295,'Classificação'!A:A,'Classificação'!B:B),"")</f>
        <v>DESPESAS NÃO OPERACIONAIS</v>
      </c>
      <c r="R295" s="15" t="str">
        <f t="array" ref="R295">IFERROR(XLOOKUP(Q295,'Classificação'!B:B,'Classificação'!C:C),"")</f>
        <v>RESULTADO NÃO OPERACIONAL (+/-)</v>
      </c>
      <c r="S295" s="15">
        <f t="shared" si="5"/>
        <v>21</v>
      </c>
      <c r="T295" s="15">
        <f t="shared" si="6"/>
        <v>10</v>
      </c>
      <c r="U295" s="15">
        <f t="shared" si="7"/>
        <v>2024</v>
      </c>
      <c r="V295" s="15">
        <f t="shared" si="8"/>
        <v>21</v>
      </c>
      <c r="W295" s="15">
        <f t="shared" si="9"/>
        <v>10</v>
      </c>
      <c r="X295" s="15">
        <f t="shared" si="10"/>
        <v>2024</v>
      </c>
    </row>
    <row r="296">
      <c r="A296" s="9">
        <v>45586.0</v>
      </c>
      <c r="B296" s="10"/>
      <c r="C296" s="9">
        <f t="shared" si="22"/>
        <v>45586</v>
      </c>
      <c r="D296" s="11" t="s">
        <v>129</v>
      </c>
      <c r="E296" s="11" t="s">
        <v>25</v>
      </c>
      <c r="F296" s="11" t="s">
        <v>107</v>
      </c>
      <c r="G296" s="11" t="s">
        <v>27</v>
      </c>
      <c r="I296" s="31">
        <v>330.0</v>
      </c>
      <c r="J296" s="13"/>
      <c r="K296" s="13">
        <f t="shared" si="27"/>
        <v>330</v>
      </c>
      <c r="L296" s="11" t="s">
        <v>53</v>
      </c>
      <c r="M296" s="17">
        <v>45415.0</v>
      </c>
      <c r="N296" s="11" t="s">
        <v>95</v>
      </c>
      <c r="O296" s="10" t="str">
        <f t="shared" si="3"/>
        <v>10/2024</v>
      </c>
      <c r="P296" s="10" t="str">
        <f t="shared" si="29"/>
        <v>10/2024</v>
      </c>
      <c r="Q296" s="15" t="str">
        <f t="array" ref="Q296">IFERROR(XLOOKUP(N296,'Classificação'!A:A,'Classificação'!B:B),"")</f>
        <v>DESPESAS NÃO OPERACIONAIS</v>
      </c>
      <c r="R296" s="15" t="str">
        <f t="array" ref="R296">IFERROR(XLOOKUP(Q296,'Classificação'!B:B,'Classificação'!C:C),"")</f>
        <v>RESULTADO NÃO OPERACIONAL (+/-)</v>
      </c>
      <c r="S296" s="15">
        <f t="shared" si="5"/>
        <v>21</v>
      </c>
      <c r="T296" s="15">
        <f t="shared" si="6"/>
        <v>10</v>
      </c>
      <c r="U296" s="15">
        <f t="shared" si="7"/>
        <v>2024</v>
      </c>
      <c r="V296" s="15">
        <f t="shared" si="8"/>
        <v>21</v>
      </c>
      <c r="W296" s="15">
        <f t="shared" si="9"/>
        <v>10</v>
      </c>
      <c r="X296" s="15">
        <f t="shared" si="10"/>
        <v>2024</v>
      </c>
    </row>
    <row r="297">
      <c r="A297" s="9">
        <v>45586.0</v>
      </c>
      <c r="B297" s="10"/>
      <c r="C297" s="9">
        <f t="shared" si="22"/>
        <v>45586</v>
      </c>
      <c r="D297" s="11" t="s">
        <v>131</v>
      </c>
      <c r="E297" s="11" t="s">
        <v>25</v>
      </c>
      <c r="F297" s="11" t="s">
        <v>107</v>
      </c>
      <c r="G297" s="11" t="s">
        <v>27</v>
      </c>
      <c r="I297" s="31">
        <v>249.34</v>
      </c>
      <c r="J297" s="13"/>
      <c r="K297" s="13">
        <f t="shared" si="27"/>
        <v>249.34</v>
      </c>
      <c r="L297" s="11" t="s">
        <v>53</v>
      </c>
      <c r="M297" s="17">
        <v>45631.0</v>
      </c>
      <c r="N297" s="11" t="s">
        <v>133</v>
      </c>
      <c r="O297" s="10" t="str">
        <f t="shared" si="3"/>
        <v>10/2024</v>
      </c>
      <c r="P297" s="10" t="str">
        <f t="shared" si="29"/>
        <v>10/2024</v>
      </c>
      <c r="Q297" s="15" t="str">
        <f t="array" ref="Q297">IFERROR(XLOOKUP(N297,'Classificação'!A:A,'Classificação'!B:B),"")</f>
        <v>DESPESAS COM VEICULOS</v>
      </c>
      <c r="R297" s="15" t="str">
        <f t="array" ref="R297">IFERROR(XLOOKUP(Q297,'Classificação'!B:B,'Classificação'!C:C),"")</f>
        <v>DESPESAS FIXAS (-)</v>
      </c>
      <c r="S297" s="15">
        <f t="shared" si="5"/>
        <v>21</v>
      </c>
      <c r="T297" s="15">
        <f t="shared" si="6"/>
        <v>10</v>
      </c>
      <c r="U297" s="15">
        <f t="shared" si="7"/>
        <v>2024</v>
      </c>
      <c r="V297" s="15">
        <f t="shared" si="8"/>
        <v>21</v>
      </c>
      <c r="W297" s="15">
        <f t="shared" si="9"/>
        <v>10</v>
      </c>
      <c r="X297" s="15">
        <f t="shared" si="10"/>
        <v>2024</v>
      </c>
    </row>
    <row r="298">
      <c r="A298" s="9">
        <v>45586.0</v>
      </c>
      <c r="B298" s="10"/>
      <c r="C298" s="9">
        <f t="shared" si="22"/>
        <v>45586</v>
      </c>
      <c r="D298" s="11" t="s">
        <v>65</v>
      </c>
      <c r="E298" s="11" t="s">
        <v>25</v>
      </c>
      <c r="F298" s="11" t="s">
        <v>107</v>
      </c>
      <c r="G298" s="11" t="s">
        <v>27</v>
      </c>
      <c r="H298" s="11" t="s">
        <v>246</v>
      </c>
      <c r="I298" s="31">
        <v>126.9</v>
      </c>
      <c r="J298" s="13"/>
      <c r="K298" s="13">
        <f t="shared" si="27"/>
        <v>126.9</v>
      </c>
      <c r="L298" s="11" t="s">
        <v>53</v>
      </c>
      <c r="M298" s="17">
        <v>45575.0</v>
      </c>
      <c r="N298" s="11" t="s">
        <v>95</v>
      </c>
      <c r="O298" s="10" t="str">
        <f t="shared" si="3"/>
        <v>10/2024</v>
      </c>
      <c r="P298" s="10" t="str">
        <f t="shared" si="29"/>
        <v>10/2024</v>
      </c>
      <c r="Q298" s="15" t="str">
        <f t="array" ref="Q298">IFERROR(XLOOKUP(N298,'Classificação'!A:A,'Classificação'!B:B),"")</f>
        <v>DESPESAS NÃO OPERACIONAIS</v>
      </c>
      <c r="R298" s="15" t="str">
        <f t="array" ref="R298">IFERROR(XLOOKUP(Q298,'Classificação'!B:B,'Classificação'!C:C),"")</f>
        <v>RESULTADO NÃO OPERACIONAL (+/-)</v>
      </c>
      <c r="S298" s="15">
        <f t="shared" si="5"/>
        <v>21</v>
      </c>
      <c r="T298" s="15">
        <f t="shared" si="6"/>
        <v>10</v>
      </c>
      <c r="U298" s="15">
        <f t="shared" si="7"/>
        <v>2024</v>
      </c>
      <c r="V298" s="15">
        <f t="shared" si="8"/>
        <v>21</v>
      </c>
      <c r="W298" s="15">
        <f t="shared" si="9"/>
        <v>10</v>
      </c>
      <c r="X298" s="15">
        <f t="shared" si="10"/>
        <v>2024</v>
      </c>
    </row>
    <row r="299">
      <c r="A299" s="9">
        <v>45586.0</v>
      </c>
      <c r="B299" s="19">
        <v>45349.0</v>
      </c>
      <c r="C299" s="9">
        <f t="shared" si="22"/>
        <v>45586</v>
      </c>
      <c r="D299" s="11" t="s">
        <v>65</v>
      </c>
      <c r="E299" s="11" t="s">
        <v>25</v>
      </c>
      <c r="F299" s="11" t="s">
        <v>107</v>
      </c>
      <c r="G299" s="11" t="s">
        <v>27</v>
      </c>
      <c r="H299" s="11" t="s">
        <v>247</v>
      </c>
      <c r="I299" s="31">
        <v>79.92</v>
      </c>
      <c r="J299" s="13"/>
      <c r="K299" s="13">
        <f t="shared" si="27"/>
        <v>79.92</v>
      </c>
      <c r="L299" s="11" t="s">
        <v>53</v>
      </c>
      <c r="M299" s="17">
        <v>45573.0</v>
      </c>
      <c r="N299" s="11" t="s">
        <v>95</v>
      </c>
      <c r="O299" s="10" t="str">
        <f t="shared" si="3"/>
        <v>10/2024</v>
      </c>
      <c r="P299" s="10" t="str">
        <f t="shared" si="29"/>
        <v>10/2024</v>
      </c>
      <c r="Q299" s="15" t="str">
        <f t="array" ref="Q299">IFERROR(XLOOKUP(N299,'Classificação'!A:A,'Classificação'!B:B),"")</f>
        <v>DESPESAS NÃO OPERACIONAIS</v>
      </c>
      <c r="R299" s="15" t="str">
        <f t="array" ref="R299">IFERROR(XLOOKUP(Q299,'Classificação'!B:B,'Classificação'!C:C),"")</f>
        <v>RESULTADO NÃO OPERACIONAL (+/-)</v>
      </c>
      <c r="S299" s="15">
        <f t="shared" si="5"/>
        <v>21</v>
      </c>
      <c r="T299" s="15">
        <f t="shared" si="6"/>
        <v>10</v>
      </c>
      <c r="U299" s="15">
        <f t="shared" si="7"/>
        <v>2024</v>
      </c>
      <c r="V299" s="15">
        <f t="shared" si="8"/>
        <v>21</v>
      </c>
      <c r="W299" s="15">
        <f t="shared" si="9"/>
        <v>10</v>
      </c>
      <c r="X299" s="15">
        <f t="shared" si="10"/>
        <v>2024</v>
      </c>
    </row>
    <row r="300">
      <c r="A300" s="9">
        <v>45586.0</v>
      </c>
      <c r="B300" s="10"/>
      <c r="C300" s="9">
        <f t="shared" si="22"/>
        <v>45586</v>
      </c>
      <c r="D300" s="11" t="s">
        <v>65</v>
      </c>
      <c r="E300" s="11" t="s">
        <v>25</v>
      </c>
      <c r="F300" s="11" t="s">
        <v>107</v>
      </c>
      <c r="G300" s="11" t="s">
        <v>27</v>
      </c>
      <c r="H300" s="11" t="s">
        <v>248</v>
      </c>
      <c r="I300" s="31">
        <v>64.9</v>
      </c>
      <c r="J300" s="13"/>
      <c r="K300" s="13">
        <f t="shared" si="27"/>
        <v>64.9</v>
      </c>
      <c r="L300" s="11" t="s">
        <v>53</v>
      </c>
      <c r="M300" s="17">
        <v>45570.0</v>
      </c>
      <c r="N300" s="11" t="s">
        <v>95</v>
      </c>
      <c r="O300" s="10" t="str">
        <f t="shared" si="3"/>
        <v>10/2024</v>
      </c>
      <c r="P300" s="10" t="str">
        <f t="shared" si="29"/>
        <v>10/2024</v>
      </c>
      <c r="Q300" s="15" t="str">
        <f t="array" ref="Q300">IFERROR(XLOOKUP(N300,'Classificação'!A:A,'Classificação'!B:B),"")</f>
        <v>DESPESAS NÃO OPERACIONAIS</v>
      </c>
      <c r="R300" s="15" t="str">
        <f t="array" ref="R300">IFERROR(XLOOKUP(Q300,'Classificação'!B:B,'Classificação'!C:C),"")</f>
        <v>RESULTADO NÃO OPERACIONAL (+/-)</v>
      </c>
      <c r="S300" s="15">
        <f t="shared" si="5"/>
        <v>21</v>
      </c>
      <c r="T300" s="15">
        <f t="shared" si="6"/>
        <v>10</v>
      </c>
      <c r="U300" s="15">
        <f t="shared" si="7"/>
        <v>2024</v>
      </c>
      <c r="V300" s="15">
        <f t="shared" si="8"/>
        <v>21</v>
      </c>
      <c r="W300" s="15">
        <f t="shared" si="9"/>
        <v>10</v>
      </c>
      <c r="X300" s="15">
        <f t="shared" si="10"/>
        <v>2024</v>
      </c>
    </row>
    <row r="301">
      <c r="A301" s="9">
        <v>45586.0</v>
      </c>
      <c r="B301" s="10"/>
      <c r="C301" s="9">
        <f t="shared" si="22"/>
        <v>45586</v>
      </c>
      <c r="D301" s="11" t="s">
        <v>65</v>
      </c>
      <c r="E301" s="11" t="s">
        <v>25</v>
      </c>
      <c r="F301" s="11" t="s">
        <v>107</v>
      </c>
      <c r="G301" s="11" t="s">
        <v>27</v>
      </c>
      <c r="H301" s="11" t="s">
        <v>249</v>
      </c>
      <c r="I301" s="31">
        <v>36.6</v>
      </c>
      <c r="J301" s="13"/>
      <c r="K301" s="13">
        <f t="shared" si="27"/>
        <v>36.6</v>
      </c>
      <c r="L301" s="11" t="s">
        <v>53</v>
      </c>
      <c r="M301" s="17">
        <v>45386.0</v>
      </c>
      <c r="N301" s="11" t="s">
        <v>143</v>
      </c>
      <c r="O301" s="10" t="str">
        <f t="shared" si="3"/>
        <v>10/2024</v>
      </c>
      <c r="P301" s="10" t="str">
        <f t="shared" si="29"/>
        <v>10/2024</v>
      </c>
      <c r="Q301" s="15" t="str">
        <f t="array" ref="Q301">IFERROR(XLOOKUP(N301,'Classificação'!A:A,'Classificação'!B:B),"")</f>
        <v>EMBALAGENS/FITAS/GERAL</v>
      </c>
      <c r="R301" s="15" t="str">
        <f t="array" ref="R301">IFERROR(XLOOKUP(Q301,'Classificação'!B:B,'Classificação'!C:C),"")</f>
        <v>CUSTOS VARIÁVEIS</v>
      </c>
      <c r="S301" s="15">
        <f t="shared" si="5"/>
        <v>21</v>
      </c>
      <c r="T301" s="15">
        <f t="shared" si="6"/>
        <v>10</v>
      </c>
      <c r="U301" s="15">
        <f t="shared" si="7"/>
        <v>2024</v>
      </c>
      <c r="V301" s="15">
        <f t="shared" si="8"/>
        <v>21</v>
      </c>
      <c r="W301" s="15">
        <f t="shared" si="9"/>
        <v>10</v>
      </c>
      <c r="X301" s="15">
        <f t="shared" si="10"/>
        <v>2024</v>
      </c>
    </row>
    <row r="302">
      <c r="A302" s="9">
        <v>45586.0</v>
      </c>
      <c r="B302" s="10"/>
      <c r="C302" s="9">
        <f t="shared" si="22"/>
        <v>45586</v>
      </c>
      <c r="D302" s="11" t="s">
        <v>65</v>
      </c>
      <c r="E302" s="11" t="s">
        <v>25</v>
      </c>
      <c r="F302" s="11" t="s">
        <v>107</v>
      </c>
      <c r="G302" s="11" t="s">
        <v>27</v>
      </c>
      <c r="H302" s="11" t="s">
        <v>251</v>
      </c>
      <c r="I302" s="31">
        <v>56.49</v>
      </c>
      <c r="J302" s="13"/>
      <c r="K302" s="13">
        <f t="shared" si="27"/>
        <v>56.49</v>
      </c>
      <c r="L302" s="11" t="s">
        <v>53</v>
      </c>
      <c r="M302" s="17">
        <v>45354.0</v>
      </c>
      <c r="N302" s="11" t="s">
        <v>143</v>
      </c>
      <c r="O302" s="10" t="str">
        <f t="shared" si="3"/>
        <v>10/2024</v>
      </c>
      <c r="P302" s="10" t="str">
        <f t="shared" si="29"/>
        <v>10/2024</v>
      </c>
      <c r="Q302" s="15" t="str">
        <f t="array" ref="Q302">IFERROR(XLOOKUP(N302,'Classificação'!A:A,'Classificação'!B:B),"")</f>
        <v>EMBALAGENS/FITAS/GERAL</v>
      </c>
      <c r="R302" s="15" t="str">
        <f t="array" ref="R302">IFERROR(XLOOKUP(Q302,'Classificação'!B:B,'Classificação'!C:C),"")</f>
        <v>CUSTOS VARIÁVEIS</v>
      </c>
      <c r="S302" s="15">
        <f t="shared" si="5"/>
        <v>21</v>
      </c>
      <c r="T302" s="15">
        <f t="shared" si="6"/>
        <v>10</v>
      </c>
      <c r="U302" s="15">
        <f t="shared" si="7"/>
        <v>2024</v>
      </c>
      <c r="V302" s="15">
        <f t="shared" si="8"/>
        <v>21</v>
      </c>
      <c r="W302" s="15">
        <f t="shared" si="9"/>
        <v>10</v>
      </c>
      <c r="X302" s="15">
        <f t="shared" si="10"/>
        <v>2024</v>
      </c>
    </row>
    <row r="303">
      <c r="A303" s="9">
        <v>45586.0</v>
      </c>
      <c r="B303" s="10"/>
      <c r="C303" s="9">
        <f t="shared" si="22"/>
        <v>45586</v>
      </c>
      <c r="D303" s="11" t="s">
        <v>65</v>
      </c>
      <c r="E303" s="11" t="s">
        <v>25</v>
      </c>
      <c r="F303" s="11" t="s">
        <v>107</v>
      </c>
      <c r="G303" s="11" t="s">
        <v>27</v>
      </c>
      <c r="H303" s="11" t="s">
        <v>252</v>
      </c>
      <c r="I303" s="31">
        <v>35.98</v>
      </c>
      <c r="J303" s="13"/>
      <c r="K303" s="13">
        <f t="shared" si="27"/>
        <v>35.98</v>
      </c>
      <c r="L303" s="11" t="s">
        <v>53</v>
      </c>
      <c r="M303" s="17">
        <v>45415.0</v>
      </c>
      <c r="N303" s="11" t="s">
        <v>143</v>
      </c>
      <c r="O303" s="10" t="str">
        <f t="shared" si="3"/>
        <v>10/2024</v>
      </c>
      <c r="P303" s="10" t="str">
        <f t="shared" si="29"/>
        <v>10/2024</v>
      </c>
      <c r="Q303" s="15" t="str">
        <f t="array" ref="Q303">IFERROR(XLOOKUP(N303,'Classificação'!A:A,'Classificação'!B:B),"")</f>
        <v>EMBALAGENS/FITAS/GERAL</v>
      </c>
      <c r="R303" s="15" t="str">
        <f t="array" ref="R303">IFERROR(XLOOKUP(Q303,'Classificação'!B:B,'Classificação'!C:C),"")</f>
        <v>CUSTOS VARIÁVEIS</v>
      </c>
      <c r="S303" s="15">
        <f t="shared" si="5"/>
        <v>21</v>
      </c>
      <c r="T303" s="15">
        <f t="shared" si="6"/>
        <v>10</v>
      </c>
      <c r="U303" s="15">
        <f t="shared" si="7"/>
        <v>2024</v>
      </c>
      <c r="V303" s="15">
        <f t="shared" si="8"/>
        <v>21</v>
      </c>
      <c r="W303" s="15">
        <f t="shared" si="9"/>
        <v>10</v>
      </c>
      <c r="X303" s="15">
        <f t="shared" si="10"/>
        <v>2024</v>
      </c>
    </row>
    <row r="304">
      <c r="A304" s="9">
        <v>45586.0</v>
      </c>
      <c r="B304" s="10"/>
      <c r="C304" s="9">
        <f t="shared" si="22"/>
        <v>45586</v>
      </c>
      <c r="D304" s="11" t="s">
        <v>163</v>
      </c>
      <c r="E304" s="11" t="s">
        <v>25</v>
      </c>
      <c r="F304" s="11" t="s">
        <v>107</v>
      </c>
      <c r="G304" s="11" t="s">
        <v>27</v>
      </c>
      <c r="H304" s="11" t="s">
        <v>253</v>
      </c>
      <c r="I304" s="31">
        <v>96.41</v>
      </c>
      <c r="J304" s="13"/>
      <c r="K304" s="13">
        <f t="shared" si="27"/>
        <v>96.41</v>
      </c>
      <c r="L304" s="11" t="s">
        <v>53</v>
      </c>
      <c r="M304" s="17">
        <v>45446.0</v>
      </c>
      <c r="N304" s="11" t="s">
        <v>95</v>
      </c>
      <c r="O304" s="10" t="str">
        <f t="shared" si="3"/>
        <v>10/2024</v>
      </c>
      <c r="P304" s="10" t="str">
        <f t="shared" si="29"/>
        <v>10/2024</v>
      </c>
      <c r="Q304" s="15" t="str">
        <f t="array" ref="Q304">IFERROR(XLOOKUP(N304,'Classificação'!A:A,'Classificação'!B:B),"")</f>
        <v>DESPESAS NÃO OPERACIONAIS</v>
      </c>
      <c r="R304" s="15" t="str">
        <f t="array" ref="R304">IFERROR(XLOOKUP(Q304,'Classificação'!B:B,'Classificação'!C:C),"")</f>
        <v>RESULTADO NÃO OPERACIONAL (+/-)</v>
      </c>
      <c r="S304" s="15">
        <f t="shared" si="5"/>
        <v>21</v>
      </c>
      <c r="T304" s="15">
        <f t="shared" si="6"/>
        <v>10</v>
      </c>
      <c r="U304" s="15">
        <f t="shared" si="7"/>
        <v>2024</v>
      </c>
      <c r="V304" s="15">
        <f t="shared" si="8"/>
        <v>21</v>
      </c>
      <c r="W304" s="15">
        <f t="shared" si="9"/>
        <v>10</v>
      </c>
      <c r="X304" s="15">
        <f t="shared" si="10"/>
        <v>2024</v>
      </c>
    </row>
    <row r="305">
      <c r="A305" s="9">
        <v>45586.0</v>
      </c>
      <c r="B305" s="10"/>
      <c r="C305" s="9">
        <f t="shared" si="22"/>
        <v>45586</v>
      </c>
      <c r="D305" s="11" t="s">
        <v>163</v>
      </c>
      <c r="E305" s="11" t="s">
        <v>25</v>
      </c>
      <c r="F305" s="11" t="s">
        <v>107</v>
      </c>
      <c r="G305" s="11" t="s">
        <v>27</v>
      </c>
      <c r="H305" s="11" t="s">
        <v>253</v>
      </c>
      <c r="I305" s="31">
        <v>144.15</v>
      </c>
      <c r="J305" s="13"/>
      <c r="K305" s="13">
        <f t="shared" si="27"/>
        <v>144.15</v>
      </c>
      <c r="L305" s="11" t="s">
        <v>53</v>
      </c>
      <c r="M305" s="17">
        <v>45629.0</v>
      </c>
      <c r="N305" s="11" t="s">
        <v>95</v>
      </c>
      <c r="O305" s="10" t="str">
        <f t="shared" si="3"/>
        <v>10/2024</v>
      </c>
      <c r="P305" s="10" t="str">
        <f t="shared" si="29"/>
        <v>10/2024</v>
      </c>
      <c r="Q305" s="15" t="str">
        <f t="array" ref="Q305">IFERROR(XLOOKUP(N305,'Classificação'!A:A,'Classificação'!B:B),"")</f>
        <v>DESPESAS NÃO OPERACIONAIS</v>
      </c>
      <c r="R305" s="15" t="str">
        <f t="array" ref="R305">IFERROR(XLOOKUP(Q305,'Classificação'!B:B,'Classificação'!C:C),"")</f>
        <v>RESULTADO NÃO OPERACIONAL (+/-)</v>
      </c>
      <c r="S305" s="15">
        <f t="shared" si="5"/>
        <v>21</v>
      </c>
      <c r="T305" s="15">
        <f t="shared" si="6"/>
        <v>10</v>
      </c>
      <c r="U305" s="15">
        <f t="shared" si="7"/>
        <v>2024</v>
      </c>
      <c r="V305" s="15">
        <f t="shared" si="8"/>
        <v>21</v>
      </c>
      <c r="W305" s="15">
        <f t="shared" si="9"/>
        <v>10</v>
      </c>
      <c r="X305" s="15">
        <f t="shared" si="10"/>
        <v>2024</v>
      </c>
    </row>
    <row r="306">
      <c r="A306" s="9">
        <v>45586.0</v>
      </c>
      <c r="B306" s="19">
        <v>45421.0</v>
      </c>
      <c r="C306" s="9">
        <f t="shared" si="22"/>
        <v>45586</v>
      </c>
      <c r="D306" s="11" t="s">
        <v>173</v>
      </c>
      <c r="E306" s="11" t="s">
        <v>25</v>
      </c>
      <c r="F306" s="11" t="s">
        <v>107</v>
      </c>
      <c r="G306" s="11" t="s">
        <v>27</v>
      </c>
      <c r="I306" s="31">
        <v>298.9</v>
      </c>
      <c r="J306" s="13"/>
      <c r="K306" s="13">
        <f t="shared" si="27"/>
        <v>298.9</v>
      </c>
      <c r="L306" s="11" t="s">
        <v>53</v>
      </c>
      <c r="M306" s="17">
        <v>45570.0</v>
      </c>
      <c r="N306" s="11" t="s">
        <v>175</v>
      </c>
      <c r="O306" s="10" t="str">
        <f t="shared" si="3"/>
        <v>10/2024</v>
      </c>
      <c r="P306" s="10" t="str">
        <f t="shared" si="29"/>
        <v>10/2024</v>
      </c>
      <c r="Q306" s="15" t="str">
        <f t="array" ref="Q306">IFERROR(XLOOKUP(N306,'Classificação'!A:A,'Classificação'!B:B),"")</f>
        <v>DESPESAS COM VEICULOS</v>
      </c>
      <c r="R306" s="15" t="str">
        <f t="array" ref="R306">IFERROR(XLOOKUP(Q306,'Classificação'!B:B,'Classificação'!C:C),"")</f>
        <v>DESPESAS FIXAS (-)</v>
      </c>
      <c r="S306" s="15">
        <f t="shared" si="5"/>
        <v>21</v>
      </c>
      <c r="T306" s="15">
        <f t="shared" si="6"/>
        <v>10</v>
      </c>
      <c r="U306" s="15">
        <f t="shared" si="7"/>
        <v>2024</v>
      </c>
      <c r="V306" s="15">
        <f t="shared" si="8"/>
        <v>21</v>
      </c>
      <c r="W306" s="15">
        <f t="shared" si="9"/>
        <v>10</v>
      </c>
      <c r="X306" s="15">
        <f t="shared" si="10"/>
        <v>2024</v>
      </c>
    </row>
    <row r="307">
      <c r="A307" s="9">
        <v>45586.0</v>
      </c>
      <c r="B307" s="19">
        <v>45461.0</v>
      </c>
      <c r="C307" s="9">
        <f t="shared" si="22"/>
        <v>45586</v>
      </c>
      <c r="D307" s="11" t="s">
        <v>185</v>
      </c>
      <c r="E307" s="11" t="s">
        <v>25</v>
      </c>
      <c r="F307" s="11" t="s">
        <v>107</v>
      </c>
      <c r="G307" s="11" t="s">
        <v>27</v>
      </c>
      <c r="H307" s="11" t="s">
        <v>254</v>
      </c>
      <c r="I307" s="31">
        <v>300.0</v>
      </c>
      <c r="J307" s="13"/>
      <c r="K307" s="13">
        <f t="shared" si="27"/>
        <v>300</v>
      </c>
      <c r="L307" s="11" t="s">
        <v>53</v>
      </c>
      <c r="M307" s="17">
        <v>45416.0</v>
      </c>
      <c r="N307" s="11" t="s">
        <v>95</v>
      </c>
      <c r="O307" s="10" t="str">
        <f t="shared" si="3"/>
        <v>10/2024</v>
      </c>
      <c r="P307" s="10" t="str">
        <f t="shared" si="29"/>
        <v>10/2024</v>
      </c>
      <c r="Q307" s="15" t="str">
        <f t="array" ref="Q307">IFERROR(XLOOKUP(N307,'Classificação'!A:A,'Classificação'!B:B),"")</f>
        <v>DESPESAS NÃO OPERACIONAIS</v>
      </c>
      <c r="R307" s="15" t="str">
        <f t="array" ref="R307">IFERROR(XLOOKUP(Q307,'Classificação'!B:B,'Classificação'!C:C),"")</f>
        <v>RESULTADO NÃO OPERACIONAL (+/-)</v>
      </c>
      <c r="S307" s="15">
        <f t="shared" si="5"/>
        <v>21</v>
      </c>
      <c r="T307" s="15">
        <f t="shared" si="6"/>
        <v>10</v>
      </c>
      <c r="U307" s="15">
        <f t="shared" si="7"/>
        <v>2024</v>
      </c>
      <c r="V307" s="15">
        <f t="shared" si="8"/>
        <v>21</v>
      </c>
      <c r="W307" s="15">
        <f t="shared" si="9"/>
        <v>10</v>
      </c>
      <c r="X307" s="15">
        <f t="shared" si="10"/>
        <v>2024</v>
      </c>
    </row>
    <row r="308">
      <c r="A308" s="9">
        <v>45586.0</v>
      </c>
      <c r="B308" s="19">
        <v>45307.0</v>
      </c>
      <c r="C308" s="9">
        <f t="shared" si="22"/>
        <v>45586</v>
      </c>
      <c r="D308" s="11" t="s">
        <v>65</v>
      </c>
      <c r="E308" s="11" t="s">
        <v>25</v>
      </c>
      <c r="F308" s="11" t="s">
        <v>107</v>
      </c>
      <c r="G308" s="11" t="s">
        <v>27</v>
      </c>
      <c r="H308" s="11" t="s">
        <v>197</v>
      </c>
      <c r="I308" s="31">
        <v>40.46</v>
      </c>
      <c r="J308" s="13"/>
      <c r="K308" s="13">
        <f t="shared" si="27"/>
        <v>40.46</v>
      </c>
      <c r="L308" s="11" t="s">
        <v>53</v>
      </c>
      <c r="M308" s="17">
        <v>45574.0</v>
      </c>
      <c r="N308" s="11" t="s">
        <v>95</v>
      </c>
      <c r="O308" s="10" t="str">
        <f t="shared" si="3"/>
        <v>10/2024</v>
      </c>
      <c r="P308" s="10" t="str">
        <f t="shared" si="29"/>
        <v>10/2024</v>
      </c>
      <c r="Q308" s="15" t="str">
        <f t="array" ref="Q308">IFERROR(XLOOKUP(N308,'Classificação'!A:A,'Classificação'!B:B),"")</f>
        <v>DESPESAS NÃO OPERACIONAIS</v>
      </c>
      <c r="R308" s="15" t="str">
        <f t="array" ref="R308">IFERROR(XLOOKUP(Q308,'Classificação'!B:B,'Classificação'!C:C),"")</f>
        <v>RESULTADO NÃO OPERACIONAL (+/-)</v>
      </c>
      <c r="S308" s="15">
        <f t="shared" si="5"/>
        <v>21</v>
      </c>
      <c r="T308" s="15">
        <f t="shared" si="6"/>
        <v>10</v>
      </c>
      <c r="U308" s="15">
        <f t="shared" si="7"/>
        <v>2024</v>
      </c>
      <c r="V308" s="15">
        <f t="shared" si="8"/>
        <v>21</v>
      </c>
      <c r="W308" s="15">
        <f t="shared" si="9"/>
        <v>10</v>
      </c>
      <c r="X308" s="15">
        <f t="shared" si="10"/>
        <v>2024</v>
      </c>
    </row>
    <row r="309">
      <c r="A309" s="9">
        <v>45586.0</v>
      </c>
      <c r="B309" s="9">
        <v>45519.0</v>
      </c>
      <c r="C309" s="9">
        <f t="shared" si="22"/>
        <v>45586</v>
      </c>
      <c r="D309" s="11" t="s">
        <v>65</v>
      </c>
      <c r="E309" s="11" t="s">
        <v>25</v>
      </c>
      <c r="F309" s="11" t="s">
        <v>107</v>
      </c>
      <c r="G309" s="11" t="s">
        <v>27</v>
      </c>
      <c r="H309" s="11" t="s">
        <v>258</v>
      </c>
      <c r="I309" s="31">
        <v>63.16</v>
      </c>
      <c r="J309" s="13"/>
      <c r="K309" s="13">
        <f t="shared" si="27"/>
        <v>63.16</v>
      </c>
      <c r="L309" s="11" t="s">
        <v>53</v>
      </c>
      <c r="M309" s="17">
        <v>45353.0</v>
      </c>
      <c r="N309" s="11" t="s">
        <v>143</v>
      </c>
      <c r="O309" s="10" t="str">
        <f t="shared" si="3"/>
        <v>10/2024</v>
      </c>
      <c r="P309" s="10" t="str">
        <f t="shared" si="29"/>
        <v>10/2024</v>
      </c>
      <c r="Q309" s="15" t="str">
        <f t="array" ref="Q309">IFERROR(XLOOKUP(N309,'Classificação'!A:A,'Classificação'!B:B),"")</f>
        <v>EMBALAGENS/FITAS/GERAL</v>
      </c>
      <c r="R309" s="15" t="str">
        <f t="array" ref="R309">IFERROR(XLOOKUP(Q309,'Classificação'!B:B,'Classificação'!C:C),"")</f>
        <v>CUSTOS VARIÁVEIS</v>
      </c>
      <c r="S309" s="15">
        <f t="shared" si="5"/>
        <v>21</v>
      </c>
      <c r="T309" s="15">
        <f t="shared" si="6"/>
        <v>10</v>
      </c>
      <c r="U309" s="15">
        <f t="shared" si="7"/>
        <v>2024</v>
      </c>
      <c r="V309" s="15">
        <f t="shared" si="8"/>
        <v>21</v>
      </c>
      <c r="W309" s="15">
        <f t="shared" si="9"/>
        <v>10</v>
      </c>
      <c r="X309" s="15">
        <f t="shared" si="10"/>
        <v>2024</v>
      </c>
    </row>
    <row r="310">
      <c r="A310" s="9">
        <v>45586.0</v>
      </c>
      <c r="B310" s="9">
        <v>45523.0</v>
      </c>
      <c r="C310" s="9">
        <f t="shared" si="22"/>
        <v>45586</v>
      </c>
      <c r="D310" s="11" t="s">
        <v>65</v>
      </c>
      <c r="E310" s="11" t="s">
        <v>25</v>
      </c>
      <c r="F310" s="11" t="s">
        <v>107</v>
      </c>
      <c r="G310" s="11" t="s">
        <v>27</v>
      </c>
      <c r="H310" s="11" t="s">
        <v>263</v>
      </c>
      <c r="I310" s="31">
        <v>102.67</v>
      </c>
      <c r="J310" s="13"/>
      <c r="K310" s="13">
        <f t="shared" si="27"/>
        <v>102.67</v>
      </c>
      <c r="L310" s="11" t="s">
        <v>53</v>
      </c>
      <c r="M310" s="17">
        <v>45628.0</v>
      </c>
      <c r="N310" s="11" t="s">
        <v>95</v>
      </c>
      <c r="O310" s="10" t="str">
        <f t="shared" si="3"/>
        <v>10/2024</v>
      </c>
      <c r="P310" s="10" t="str">
        <f t="shared" si="29"/>
        <v>10/2024</v>
      </c>
      <c r="Q310" s="15" t="str">
        <f t="array" ref="Q310">IFERROR(XLOOKUP(N310,'Classificação'!A:A,'Classificação'!B:B),"")</f>
        <v>DESPESAS NÃO OPERACIONAIS</v>
      </c>
      <c r="R310" s="15" t="str">
        <f t="array" ref="R310">IFERROR(XLOOKUP(Q310,'Classificação'!B:B,'Classificação'!C:C),"")</f>
        <v>RESULTADO NÃO OPERACIONAL (+/-)</v>
      </c>
      <c r="S310" s="15">
        <f t="shared" si="5"/>
        <v>21</v>
      </c>
      <c r="T310" s="15">
        <f t="shared" si="6"/>
        <v>10</v>
      </c>
      <c r="U310" s="15">
        <f t="shared" si="7"/>
        <v>2024</v>
      </c>
      <c r="V310" s="15">
        <f t="shared" si="8"/>
        <v>21</v>
      </c>
      <c r="W310" s="15">
        <f t="shared" si="9"/>
        <v>10</v>
      </c>
      <c r="X310" s="15">
        <f t="shared" si="10"/>
        <v>2024</v>
      </c>
    </row>
    <row r="311">
      <c r="A311" s="9">
        <v>45586.0</v>
      </c>
      <c r="B311" s="9">
        <v>45545.0</v>
      </c>
      <c r="C311" s="9">
        <f t="shared" si="22"/>
        <v>45586</v>
      </c>
      <c r="D311" s="11" t="s">
        <v>65</v>
      </c>
      <c r="E311" s="11" t="s">
        <v>25</v>
      </c>
      <c r="F311" s="11" t="s">
        <v>107</v>
      </c>
      <c r="G311" s="11" t="s">
        <v>27</v>
      </c>
      <c r="H311" s="11" t="s">
        <v>307</v>
      </c>
      <c r="I311" s="31">
        <v>412.89</v>
      </c>
      <c r="J311" s="13"/>
      <c r="K311" s="13">
        <f t="shared" si="27"/>
        <v>412.89</v>
      </c>
      <c r="L311" s="11" t="s">
        <v>34</v>
      </c>
      <c r="M311" s="14"/>
      <c r="N311" s="11" t="s">
        <v>143</v>
      </c>
      <c r="O311" s="10" t="str">
        <f t="shared" si="3"/>
        <v>10/2024</v>
      </c>
      <c r="P311" s="10" t="str">
        <f t="shared" si="29"/>
        <v>10/2024</v>
      </c>
      <c r="Q311" s="15" t="str">
        <f t="array" ref="Q311">IFERROR(XLOOKUP(N311,'Classificação'!A:A,'Classificação'!B:B),"")</f>
        <v>EMBALAGENS/FITAS/GERAL</v>
      </c>
      <c r="R311" s="15" t="str">
        <f t="array" ref="R311">IFERROR(XLOOKUP(Q311,'Classificação'!B:B,'Classificação'!C:C),"")</f>
        <v>CUSTOS VARIÁVEIS</v>
      </c>
      <c r="S311" s="15">
        <f t="shared" si="5"/>
        <v>21</v>
      </c>
      <c r="T311" s="15">
        <f t="shared" si="6"/>
        <v>10</v>
      </c>
      <c r="U311" s="15">
        <f t="shared" si="7"/>
        <v>2024</v>
      </c>
      <c r="V311" s="15">
        <f t="shared" si="8"/>
        <v>21</v>
      </c>
      <c r="W311" s="15">
        <f t="shared" si="9"/>
        <v>10</v>
      </c>
      <c r="X311" s="15">
        <f t="shared" si="10"/>
        <v>2024</v>
      </c>
    </row>
    <row r="312">
      <c r="A312" s="9">
        <v>45586.0</v>
      </c>
      <c r="B312" s="9">
        <v>45545.0</v>
      </c>
      <c r="C312" s="9">
        <f t="shared" si="22"/>
        <v>45586</v>
      </c>
      <c r="D312" s="11" t="s">
        <v>179</v>
      </c>
      <c r="E312" s="11" t="s">
        <v>25</v>
      </c>
      <c r="F312" s="11" t="s">
        <v>107</v>
      </c>
      <c r="G312" s="11" t="s">
        <v>27</v>
      </c>
      <c r="H312" s="11" t="s">
        <v>308</v>
      </c>
      <c r="I312" s="31">
        <v>190.05</v>
      </c>
      <c r="J312" s="13"/>
      <c r="K312" s="13">
        <f t="shared" si="27"/>
        <v>190.05</v>
      </c>
      <c r="L312" s="11" t="s">
        <v>34</v>
      </c>
      <c r="M312" s="14"/>
      <c r="N312" s="11" t="s">
        <v>181</v>
      </c>
      <c r="O312" s="10" t="str">
        <f t="shared" si="3"/>
        <v>10/2024</v>
      </c>
      <c r="P312" s="10" t="str">
        <f t="shared" si="29"/>
        <v>10/2024</v>
      </c>
      <c r="Q312" s="15" t="str">
        <f t="array" ref="Q312">IFERROR(XLOOKUP(N312,'Classificação'!A:A,'Classificação'!B:B),"")</f>
        <v>DESPESAS COM VEICULOS</v>
      </c>
      <c r="R312" s="15" t="str">
        <f t="array" ref="R312">IFERROR(XLOOKUP(Q312,'Classificação'!B:B,'Classificação'!C:C),"")</f>
        <v>DESPESAS FIXAS (-)</v>
      </c>
      <c r="S312" s="15">
        <f t="shared" si="5"/>
        <v>21</v>
      </c>
      <c r="T312" s="15">
        <f t="shared" si="6"/>
        <v>10</v>
      </c>
      <c r="U312" s="15">
        <f t="shared" si="7"/>
        <v>2024</v>
      </c>
      <c r="V312" s="15">
        <f t="shared" si="8"/>
        <v>21</v>
      </c>
      <c r="W312" s="15">
        <f t="shared" si="9"/>
        <v>10</v>
      </c>
      <c r="X312" s="15">
        <f t="shared" si="10"/>
        <v>2024</v>
      </c>
    </row>
    <row r="313">
      <c r="A313" s="9">
        <v>45586.0</v>
      </c>
      <c r="B313" s="27">
        <v>45545.0</v>
      </c>
      <c r="C313" s="9">
        <f t="shared" si="22"/>
        <v>45586</v>
      </c>
      <c r="D313" s="28" t="s">
        <v>65</v>
      </c>
      <c r="E313" s="11" t="s">
        <v>25</v>
      </c>
      <c r="F313" s="28" t="s">
        <v>107</v>
      </c>
      <c r="G313" s="28" t="s">
        <v>27</v>
      </c>
      <c r="H313" s="28" t="s">
        <v>307</v>
      </c>
      <c r="I313" s="33">
        <v>410.79</v>
      </c>
      <c r="J313" s="34"/>
      <c r="K313" s="13">
        <f t="shared" si="27"/>
        <v>410.79</v>
      </c>
      <c r="L313" s="28" t="s">
        <v>34</v>
      </c>
      <c r="M313" s="28"/>
      <c r="N313" s="28" t="s">
        <v>143</v>
      </c>
      <c r="O313" s="10" t="str">
        <f t="shared" si="3"/>
        <v>10/2024</v>
      </c>
      <c r="P313" s="10" t="str">
        <f t="shared" si="29"/>
        <v>10/2024</v>
      </c>
      <c r="Q313" s="15" t="str">
        <f t="array" ref="Q313">IFERROR(XLOOKUP(N313,'Classificação'!A:A,'Classificação'!B:B),"")</f>
        <v>EMBALAGENS/FITAS/GERAL</v>
      </c>
      <c r="R313" s="15" t="str">
        <f t="array" ref="R313">IFERROR(XLOOKUP(Q313,'Classificação'!B:B,'Classificação'!C:C),"")</f>
        <v>CUSTOS VARIÁVEIS</v>
      </c>
      <c r="S313" s="15">
        <f t="shared" si="5"/>
        <v>21</v>
      </c>
      <c r="T313" s="15">
        <f t="shared" si="6"/>
        <v>10</v>
      </c>
      <c r="U313" s="15">
        <f t="shared" si="7"/>
        <v>2024</v>
      </c>
      <c r="V313" s="15">
        <f t="shared" si="8"/>
        <v>21</v>
      </c>
      <c r="W313" s="15">
        <f t="shared" si="9"/>
        <v>10</v>
      </c>
      <c r="X313" s="15">
        <f t="shared" si="10"/>
        <v>2024</v>
      </c>
    </row>
    <row r="314">
      <c r="A314" s="9">
        <v>45586.0</v>
      </c>
      <c r="B314" s="9">
        <v>45546.0</v>
      </c>
      <c r="C314" s="9">
        <f t="shared" si="22"/>
        <v>45586</v>
      </c>
      <c r="D314" s="11" t="s">
        <v>255</v>
      </c>
      <c r="E314" s="11" t="s">
        <v>25</v>
      </c>
      <c r="F314" s="11" t="s">
        <v>110</v>
      </c>
      <c r="G314" s="11" t="s">
        <v>27</v>
      </c>
      <c r="H314" s="11" t="s">
        <v>309</v>
      </c>
      <c r="I314" s="12">
        <v>212.43</v>
      </c>
      <c r="J314" s="13"/>
      <c r="K314" s="13">
        <f t="shared" si="27"/>
        <v>212.43</v>
      </c>
      <c r="L314" s="11" t="s">
        <v>34</v>
      </c>
      <c r="M314" s="14"/>
      <c r="N314" s="11" t="s">
        <v>71</v>
      </c>
      <c r="O314" s="10" t="str">
        <f t="shared" si="3"/>
        <v>10/2024</v>
      </c>
      <c r="P314" s="10" t="str">
        <f t="shared" si="29"/>
        <v>10/2024</v>
      </c>
      <c r="Q314" s="15" t="str">
        <f t="array" ref="Q314">IFERROR(XLOOKUP(N314,'Classificação'!A:A,'Classificação'!B:B),"")</f>
        <v>DESPESAS DIVERSAS</v>
      </c>
      <c r="R314" s="15" t="str">
        <f t="array" ref="R314">IFERROR(XLOOKUP(Q314,'Classificação'!B:B,'Classificação'!C:C),"")</f>
        <v>DESPESAS FIXAS (-)</v>
      </c>
      <c r="S314" s="15">
        <f t="shared" si="5"/>
        <v>21</v>
      </c>
      <c r="T314" s="15">
        <f t="shared" si="6"/>
        <v>10</v>
      </c>
      <c r="U314" s="15">
        <f t="shared" si="7"/>
        <v>2024</v>
      </c>
      <c r="V314" s="15">
        <f t="shared" si="8"/>
        <v>21</v>
      </c>
      <c r="W314" s="15">
        <f t="shared" si="9"/>
        <v>10</v>
      </c>
      <c r="X314" s="15">
        <f t="shared" si="10"/>
        <v>2024</v>
      </c>
    </row>
    <row r="315">
      <c r="A315" s="9">
        <v>45586.0</v>
      </c>
      <c r="B315" s="9">
        <v>45546.0</v>
      </c>
      <c r="C315" s="9">
        <f t="shared" si="22"/>
        <v>45586</v>
      </c>
      <c r="D315" s="11" t="s">
        <v>255</v>
      </c>
      <c r="E315" s="11" t="s">
        <v>25</v>
      </c>
      <c r="F315" s="11" t="s">
        <v>110</v>
      </c>
      <c r="G315" s="11" t="s">
        <v>27</v>
      </c>
      <c r="H315" s="11" t="s">
        <v>310</v>
      </c>
      <c r="I315" s="12">
        <v>109.94</v>
      </c>
      <c r="J315" s="13"/>
      <c r="K315" s="13">
        <f t="shared" si="27"/>
        <v>109.94</v>
      </c>
      <c r="L315" s="11" t="s">
        <v>34</v>
      </c>
      <c r="M315" s="14"/>
      <c r="N315" s="11" t="s">
        <v>136</v>
      </c>
      <c r="O315" s="10" t="str">
        <f t="shared" si="3"/>
        <v>10/2024</v>
      </c>
      <c r="P315" s="10" t="str">
        <f t="shared" si="29"/>
        <v>10/2024</v>
      </c>
      <c r="Q315" s="15" t="str">
        <f t="array" ref="Q315">IFERROR(XLOOKUP(N315,'Classificação'!A:A,'Classificação'!B:B),"")</f>
        <v>DESPESAS COM OCUPAÇÃO</v>
      </c>
      <c r="R315" s="15" t="str">
        <f t="array" ref="R315">IFERROR(XLOOKUP(Q315,'Classificação'!B:B,'Classificação'!C:C),"")</f>
        <v>DESPESAS FIXAS (-)</v>
      </c>
      <c r="S315" s="15">
        <f t="shared" si="5"/>
        <v>21</v>
      </c>
      <c r="T315" s="15">
        <f t="shared" si="6"/>
        <v>10</v>
      </c>
      <c r="U315" s="15">
        <f t="shared" si="7"/>
        <v>2024</v>
      </c>
      <c r="V315" s="15">
        <f t="shared" si="8"/>
        <v>21</v>
      </c>
      <c r="W315" s="15">
        <f t="shared" si="9"/>
        <v>10</v>
      </c>
      <c r="X315" s="15">
        <f t="shared" si="10"/>
        <v>2024</v>
      </c>
    </row>
    <row r="316">
      <c r="A316" s="9">
        <v>45586.0</v>
      </c>
      <c r="B316" s="9">
        <v>45541.0</v>
      </c>
      <c r="C316" s="9">
        <f t="shared" si="22"/>
        <v>45586</v>
      </c>
      <c r="D316" s="29" t="s">
        <v>137</v>
      </c>
      <c r="E316" s="11" t="s">
        <v>25</v>
      </c>
      <c r="F316" s="11" t="s">
        <v>107</v>
      </c>
      <c r="G316" s="28" t="s">
        <v>27</v>
      </c>
      <c r="H316" s="11" t="s">
        <v>311</v>
      </c>
      <c r="I316" s="31">
        <v>16.23</v>
      </c>
      <c r="J316" s="13"/>
      <c r="K316" s="13">
        <f t="shared" si="27"/>
        <v>16.23</v>
      </c>
      <c r="L316" s="11" t="s">
        <v>34</v>
      </c>
      <c r="M316" s="14"/>
      <c r="N316" s="11" t="s">
        <v>68</v>
      </c>
      <c r="O316" s="10" t="str">
        <f t="shared" si="3"/>
        <v>10/2024</v>
      </c>
      <c r="P316" s="10" t="str">
        <f t="shared" si="29"/>
        <v>10/2024</v>
      </c>
      <c r="Q316" s="15" t="str">
        <f t="array" ref="Q316">IFERROR(XLOOKUP(N316,'Classificação'!A:A,'Classificação'!B:B),"")</f>
        <v>FRETE DE VENDAS</v>
      </c>
      <c r="R316" s="15" t="str">
        <f t="array" ref="R316">IFERROR(XLOOKUP(Q316,'Classificação'!B:B,'Classificação'!C:C),"")</f>
        <v>CUSTOS VARIÁVEIS</v>
      </c>
      <c r="S316" s="15">
        <f t="shared" si="5"/>
        <v>21</v>
      </c>
      <c r="T316" s="15">
        <f t="shared" si="6"/>
        <v>10</v>
      </c>
      <c r="U316" s="15">
        <f t="shared" si="7"/>
        <v>2024</v>
      </c>
      <c r="V316" s="15">
        <f t="shared" si="8"/>
        <v>21</v>
      </c>
      <c r="W316" s="15">
        <f t="shared" si="9"/>
        <v>10</v>
      </c>
      <c r="X316" s="15">
        <f t="shared" si="10"/>
        <v>2024</v>
      </c>
    </row>
    <row r="317">
      <c r="A317" s="9">
        <v>45586.0</v>
      </c>
      <c r="B317" s="9">
        <v>45551.0</v>
      </c>
      <c r="C317" s="9">
        <f t="shared" si="22"/>
        <v>45586</v>
      </c>
      <c r="D317" s="11" t="s">
        <v>179</v>
      </c>
      <c r="E317" s="11" t="s">
        <v>25</v>
      </c>
      <c r="F317" s="11" t="s">
        <v>107</v>
      </c>
      <c r="G317" s="11" t="s">
        <v>27</v>
      </c>
      <c r="H317" s="11" t="s">
        <v>312</v>
      </c>
      <c r="I317" s="31">
        <v>50.0</v>
      </c>
      <c r="J317" s="13"/>
      <c r="K317" s="13">
        <f t="shared" si="27"/>
        <v>50</v>
      </c>
      <c r="L317" s="11" t="s">
        <v>34</v>
      </c>
      <c r="M317" s="14"/>
      <c r="N317" s="11" t="s">
        <v>181</v>
      </c>
      <c r="O317" s="10" t="str">
        <f t="shared" si="3"/>
        <v>10/2024</v>
      </c>
      <c r="P317" s="10" t="str">
        <f t="shared" si="29"/>
        <v>10/2024</v>
      </c>
      <c r="Q317" s="15" t="str">
        <f t="array" ref="Q317">IFERROR(XLOOKUP(N317,'Classificação'!A:A,'Classificação'!B:B),"")</f>
        <v>DESPESAS COM VEICULOS</v>
      </c>
      <c r="R317" s="15" t="str">
        <f t="array" ref="R317">IFERROR(XLOOKUP(Q317,'Classificação'!B:B,'Classificação'!C:C),"")</f>
        <v>DESPESAS FIXAS (-)</v>
      </c>
      <c r="S317" s="15">
        <f t="shared" si="5"/>
        <v>21</v>
      </c>
      <c r="T317" s="15">
        <f t="shared" si="6"/>
        <v>10</v>
      </c>
      <c r="U317" s="15">
        <f t="shared" si="7"/>
        <v>2024</v>
      </c>
      <c r="V317" s="15">
        <f t="shared" si="8"/>
        <v>21</v>
      </c>
      <c r="W317" s="15">
        <f t="shared" si="9"/>
        <v>10</v>
      </c>
      <c r="X317" s="15">
        <f t="shared" si="10"/>
        <v>2024</v>
      </c>
    </row>
    <row r="318">
      <c r="A318" s="9">
        <v>45586.0</v>
      </c>
      <c r="B318" s="9">
        <v>45552.0</v>
      </c>
      <c r="C318" s="9">
        <f t="shared" si="22"/>
        <v>45586</v>
      </c>
      <c r="D318" s="11" t="s">
        <v>179</v>
      </c>
      <c r="E318" s="11" t="s">
        <v>25</v>
      </c>
      <c r="F318" s="11" t="s">
        <v>107</v>
      </c>
      <c r="G318" s="11" t="s">
        <v>27</v>
      </c>
      <c r="H318" s="11" t="s">
        <v>312</v>
      </c>
      <c r="I318" s="31">
        <v>100.0</v>
      </c>
      <c r="J318" s="13"/>
      <c r="K318" s="13">
        <f t="shared" si="27"/>
        <v>100</v>
      </c>
      <c r="L318" s="11" t="s">
        <v>34</v>
      </c>
      <c r="M318" s="14"/>
      <c r="N318" s="11" t="s">
        <v>181</v>
      </c>
      <c r="O318" s="10" t="str">
        <f t="shared" si="3"/>
        <v>10/2024</v>
      </c>
      <c r="P318" s="10" t="str">
        <f t="shared" si="29"/>
        <v>10/2024</v>
      </c>
      <c r="Q318" s="15" t="str">
        <f t="array" ref="Q318">IFERROR(XLOOKUP(N318,'Classificação'!A:A,'Classificação'!B:B),"")</f>
        <v>DESPESAS COM VEICULOS</v>
      </c>
      <c r="R318" s="15" t="str">
        <f t="array" ref="R318">IFERROR(XLOOKUP(Q318,'Classificação'!B:B,'Classificação'!C:C),"")</f>
        <v>DESPESAS FIXAS (-)</v>
      </c>
      <c r="S318" s="15">
        <f t="shared" si="5"/>
        <v>21</v>
      </c>
      <c r="T318" s="15">
        <f t="shared" si="6"/>
        <v>10</v>
      </c>
      <c r="U318" s="15">
        <f t="shared" si="7"/>
        <v>2024</v>
      </c>
      <c r="V318" s="15">
        <f t="shared" si="8"/>
        <v>21</v>
      </c>
      <c r="W318" s="15">
        <f t="shared" si="9"/>
        <v>10</v>
      </c>
      <c r="X318" s="15">
        <f t="shared" si="10"/>
        <v>2024</v>
      </c>
    </row>
    <row r="319">
      <c r="A319" s="9">
        <v>45586.0</v>
      </c>
      <c r="B319" s="9">
        <v>45553.0</v>
      </c>
      <c r="C319" s="9">
        <f t="shared" si="22"/>
        <v>45586</v>
      </c>
      <c r="D319" s="11" t="s">
        <v>313</v>
      </c>
      <c r="E319" s="11" t="s">
        <v>25</v>
      </c>
      <c r="F319" s="11" t="s">
        <v>107</v>
      </c>
      <c r="G319" s="11" t="s">
        <v>27</v>
      </c>
      <c r="H319" s="11" t="s">
        <v>314</v>
      </c>
      <c r="I319" s="31">
        <v>287.21</v>
      </c>
      <c r="J319" s="13"/>
      <c r="K319" s="13">
        <f t="shared" si="27"/>
        <v>287.21</v>
      </c>
      <c r="L319" s="11" t="s">
        <v>53</v>
      </c>
      <c r="M319" s="17">
        <v>45627.0</v>
      </c>
      <c r="N319" s="11" t="s">
        <v>95</v>
      </c>
      <c r="O319" s="10" t="str">
        <f t="shared" si="3"/>
        <v>10/2024</v>
      </c>
      <c r="P319" s="10" t="str">
        <f t="shared" si="29"/>
        <v>10/2024</v>
      </c>
      <c r="Q319" s="15" t="str">
        <f t="array" ref="Q319">IFERROR(XLOOKUP(N319,'Classificação'!A:A,'Classificação'!B:B),"")</f>
        <v>DESPESAS NÃO OPERACIONAIS</v>
      </c>
      <c r="R319" s="15" t="str">
        <f t="array" ref="R319">IFERROR(XLOOKUP(Q319,'Classificação'!B:B,'Classificação'!C:C),"")</f>
        <v>RESULTADO NÃO OPERACIONAL (+/-)</v>
      </c>
      <c r="S319" s="15">
        <f t="shared" si="5"/>
        <v>21</v>
      </c>
      <c r="T319" s="15">
        <f t="shared" si="6"/>
        <v>10</v>
      </c>
      <c r="U319" s="15">
        <f t="shared" si="7"/>
        <v>2024</v>
      </c>
      <c r="V319" s="15">
        <f t="shared" si="8"/>
        <v>21</v>
      </c>
      <c r="W319" s="15">
        <f t="shared" si="9"/>
        <v>10</v>
      </c>
      <c r="X319" s="15">
        <f t="shared" si="10"/>
        <v>2024</v>
      </c>
    </row>
    <row r="320">
      <c r="A320" s="9">
        <v>45586.0</v>
      </c>
      <c r="B320" s="9">
        <v>45559.0</v>
      </c>
      <c r="C320" s="9">
        <f t="shared" si="22"/>
        <v>45586</v>
      </c>
      <c r="D320" s="11" t="s">
        <v>264</v>
      </c>
      <c r="E320" s="11" t="s">
        <v>25</v>
      </c>
      <c r="F320" s="11" t="s">
        <v>107</v>
      </c>
      <c r="G320" s="11" t="s">
        <v>27</v>
      </c>
      <c r="H320" s="11" t="s">
        <v>315</v>
      </c>
      <c r="I320" s="31">
        <v>50.0</v>
      </c>
      <c r="J320" s="13"/>
      <c r="K320" s="13">
        <f t="shared" si="27"/>
        <v>50</v>
      </c>
      <c r="L320" s="11" t="s">
        <v>34</v>
      </c>
      <c r="M320" s="14"/>
      <c r="N320" s="11" t="s">
        <v>266</v>
      </c>
      <c r="O320" s="10" t="str">
        <f t="shared" si="3"/>
        <v>10/2024</v>
      </c>
      <c r="P320" s="10" t="str">
        <f t="shared" si="29"/>
        <v>10/2024</v>
      </c>
      <c r="Q320" s="15" t="str">
        <f t="array" ref="Q320">IFERROR(XLOOKUP(N320,'Classificação'!A:A,'Classificação'!B:B),"")</f>
        <v>DESPESAS COM VIAGENS</v>
      </c>
      <c r="R320" s="15" t="str">
        <f t="array" ref="R320">IFERROR(XLOOKUP(Q320,'Classificação'!B:B,'Classificação'!C:C),"")</f>
        <v>DESPESAS FIXAS (-)</v>
      </c>
      <c r="S320" s="15">
        <f t="shared" si="5"/>
        <v>21</v>
      </c>
      <c r="T320" s="15">
        <f t="shared" si="6"/>
        <v>10</v>
      </c>
      <c r="U320" s="15">
        <f t="shared" si="7"/>
        <v>2024</v>
      </c>
      <c r="V320" s="15">
        <f t="shared" si="8"/>
        <v>21</v>
      </c>
      <c r="W320" s="15">
        <f t="shared" si="9"/>
        <v>10</v>
      </c>
      <c r="X320" s="15">
        <f t="shared" si="10"/>
        <v>2024</v>
      </c>
    </row>
    <row r="321">
      <c r="A321" s="9">
        <v>45586.0</v>
      </c>
      <c r="B321" s="9">
        <v>45559.0</v>
      </c>
      <c r="C321" s="9">
        <f t="shared" si="22"/>
        <v>45586</v>
      </c>
      <c r="D321" s="11" t="s">
        <v>179</v>
      </c>
      <c r="E321" s="11" t="s">
        <v>25</v>
      </c>
      <c r="F321" s="11" t="s">
        <v>107</v>
      </c>
      <c r="G321" s="11" t="s">
        <v>27</v>
      </c>
      <c r="H321" s="11" t="s">
        <v>312</v>
      </c>
      <c r="I321" s="31">
        <v>184.24</v>
      </c>
      <c r="J321" s="13"/>
      <c r="K321" s="13">
        <f t="shared" si="27"/>
        <v>184.24</v>
      </c>
      <c r="L321" s="11" t="s">
        <v>34</v>
      </c>
      <c r="M321" s="14"/>
      <c r="N321" s="11" t="s">
        <v>181</v>
      </c>
      <c r="O321" s="10" t="str">
        <f t="shared" si="3"/>
        <v>10/2024</v>
      </c>
      <c r="P321" s="10" t="str">
        <f t="shared" si="29"/>
        <v>10/2024</v>
      </c>
      <c r="Q321" s="15" t="str">
        <f t="array" ref="Q321">IFERROR(XLOOKUP(N321,'Classificação'!A:A,'Classificação'!B:B),"")</f>
        <v>DESPESAS COM VEICULOS</v>
      </c>
      <c r="R321" s="15" t="str">
        <f t="array" ref="R321">IFERROR(XLOOKUP(Q321,'Classificação'!B:B,'Classificação'!C:C),"")</f>
        <v>DESPESAS FIXAS (-)</v>
      </c>
      <c r="S321" s="15">
        <f t="shared" si="5"/>
        <v>21</v>
      </c>
      <c r="T321" s="15">
        <f t="shared" si="6"/>
        <v>10</v>
      </c>
      <c r="U321" s="15">
        <f t="shared" si="7"/>
        <v>2024</v>
      </c>
      <c r="V321" s="15">
        <f t="shared" si="8"/>
        <v>21</v>
      </c>
      <c r="W321" s="15">
        <f t="shared" si="9"/>
        <v>10</v>
      </c>
      <c r="X321" s="15">
        <f t="shared" si="10"/>
        <v>2024</v>
      </c>
    </row>
    <row r="322">
      <c r="A322" s="9">
        <v>45586.0</v>
      </c>
      <c r="B322" s="9">
        <v>45560.0</v>
      </c>
      <c r="C322" s="9">
        <f t="shared" si="22"/>
        <v>45586</v>
      </c>
      <c r="D322" s="11" t="s">
        <v>264</v>
      </c>
      <c r="E322" s="11" t="s">
        <v>25</v>
      </c>
      <c r="F322" s="11" t="s">
        <v>107</v>
      </c>
      <c r="G322" s="11" t="s">
        <v>27</v>
      </c>
      <c r="H322" s="11" t="s">
        <v>315</v>
      </c>
      <c r="I322" s="31">
        <v>80.0</v>
      </c>
      <c r="J322" s="13"/>
      <c r="K322" s="13">
        <f t="shared" si="27"/>
        <v>80</v>
      </c>
      <c r="L322" s="11" t="s">
        <v>34</v>
      </c>
      <c r="M322" s="14"/>
      <c r="N322" s="11" t="s">
        <v>266</v>
      </c>
      <c r="O322" s="10" t="str">
        <f t="shared" si="3"/>
        <v>10/2024</v>
      </c>
      <c r="P322" s="10" t="str">
        <f t="shared" si="29"/>
        <v>10/2024</v>
      </c>
      <c r="Q322" s="15" t="str">
        <f t="array" ref="Q322">IFERROR(XLOOKUP(N322,'Classificação'!A:A,'Classificação'!B:B),"")</f>
        <v>DESPESAS COM VIAGENS</v>
      </c>
      <c r="R322" s="15" t="str">
        <f t="array" ref="R322">IFERROR(XLOOKUP(Q322,'Classificação'!B:B,'Classificação'!C:C),"")</f>
        <v>DESPESAS FIXAS (-)</v>
      </c>
      <c r="S322" s="15">
        <f t="shared" si="5"/>
        <v>21</v>
      </c>
      <c r="T322" s="15">
        <f t="shared" si="6"/>
        <v>10</v>
      </c>
      <c r="U322" s="15">
        <f t="shared" si="7"/>
        <v>2024</v>
      </c>
      <c r="V322" s="15">
        <f t="shared" si="8"/>
        <v>21</v>
      </c>
      <c r="W322" s="15">
        <f t="shared" si="9"/>
        <v>10</v>
      </c>
      <c r="X322" s="15">
        <f t="shared" si="10"/>
        <v>2024</v>
      </c>
    </row>
    <row r="323">
      <c r="A323" s="9">
        <v>45586.0</v>
      </c>
      <c r="B323" s="9">
        <v>45561.0</v>
      </c>
      <c r="C323" s="9">
        <f t="shared" si="22"/>
        <v>45586</v>
      </c>
      <c r="D323" s="11" t="s">
        <v>316</v>
      </c>
      <c r="E323" s="11" t="s">
        <v>25</v>
      </c>
      <c r="F323" s="11" t="s">
        <v>107</v>
      </c>
      <c r="G323" s="11" t="s">
        <v>27</v>
      </c>
      <c r="H323" s="11" t="s">
        <v>317</v>
      </c>
      <c r="I323" s="31">
        <v>593.82</v>
      </c>
      <c r="J323" s="13"/>
      <c r="K323" s="13">
        <f t="shared" si="27"/>
        <v>593.82</v>
      </c>
      <c r="L323" s="11" t="s">
        <v>53</v>
      </c>
      <c r="M323" s="17">
        <v>45444.0</v>
      </c>
      <c r="N323" s="11" t="s">
        <v>105</v>
      </c>
      <c r="O323" s="10" t="str">
        <f t="shared" si="3"/>
        <v>10/2024</v>
      </c>
      <c r="P323" s="10" t="str">
        <f t="shared" si="29"/>
        <v>10/2024</v>
      </c>
      <c r="Q323" s="15" t="str">
        <f t="array" ref="Q323">IFERROR(XLOOKUP(N323,'Classificação'!A:A,'Classificação'!B:B),"")</f>
        <v>DESPESAS ADMINISTRATIVAS</v>
      </c>
      <c r="R323" s="15" t="str">
        <f t="array" ref="R323">IFERROR(XLOOKUP(Q323,'Classificação'!B:B,'Classificação'!C:C),"")</f>
        <v>DESPESAS FIXAS (-)</v>
      </c>
      <c r="S323" s="15">
        <f t="shared" si="5"/>
        <v>21</v>
      </c>
      <c r="T323" s="15">
        <f t="shared" si="6"/>
        <v>10</v>
      </c>
      <c r="U323" s="15">
        <f t="shared" si="7"/>
        <v>2024</v>
      </c>
      <c r="V323" s="15">
        <f t="shared" si="8"/>
        <v>21</v>
      </c>
      <c r="W323" s="15">
        <f t="shared" si="9"/>
        <v>10</v>
      </c>
      <c r="X323" s="15">
        <f t="shared" si="10"/>
        <v>2024</v>
      </c>
    </row>
    <row r="324">
      <c r="A324" s="9">
        <v>45586.0</v>
      </c>
      <c r="B324" s="9">
        <v>45559.0</v>
      </c>
      <c r="C324" s="9">
        <f t="shared" si="22"/>
        <v>45586</v>
      </c>
      <c r="D324" s="11" t="s">
        <v>65</v>
      </c>
      <c r="E324" s="11" t="s">
        <v>25</v>
      </c>
      <c r="F324" s="11" t="s">
        <v>107</v>
      </c>
      <c r="G324" s="11" t="s">
        <v>27</v>
      </c>
      <c r="H324" s="11" t="s">
        <v>318</v>
      </c>
      <c r="I324" s="31">
        <v>96.0</v>
      </c>
      <c r="J324" s="13"/>
      <c r="K324" s="13">
        <f t="shared" si="27"/>
        <v>96</v>
      </c>
      <c r="L324" s="11" t="s">
        <v>53</v>
      </c>
      <c r="M324" s="17">
        <v>45323.0</v>
      </c>
      <c r="N324" s="11" t="s">
        <v>143</v>
      </c>
      <c r="O324" s="10" t="str">
        <f t="shared" si="3"/>
        <v>10/2024</v>
      </c>
      <c r="P324" s="10" t="str">
        <f t="shared" si="29"/>
        <v>10/2024</v>
      </c>
      <c r="Q324" s="15" t="str">
        <f t="array" ref="Q324">IFERROR(XLOOKUP(N324,'Classificação'!A:A,'Classificação'!B:B),"")</f>
        <v>EMBALAGENS/FITAS/GERAL</v>
      </c>
      <c r="R324" s="15" t="str">
        <f t="array" ref="R324">IFERROR(XLOOKUP(Q324,'Classificação'!B:B,'Classificação'!C:C),"")</f>
        <v>CUSTOS VARIÁVEIS</v>
      </c>
      <c r="S324" s="15">
        <f t="shared" si="5"/>
        <v>21</v>
      </c>
      <c r="T324" s="15">
        <f t="shared" si="6"/>
        <v>10</v>
      </c>
      <c r="U324" s="15">
        <f t="shared" si="7"/>
        <v>2024</v>
      </c>
      <c r="V324" s="15">
        <f t="shared" si="8"/>
        <v>21</v>
      </c>
      <c r="W324" s="15">
        <f t="shared" si="9"/>
        <v>10</v>
      </c>
      <c r="X324" s="15">
        <f t="shared" si="10"/>
        <v>2024</v>
      </c>
    </row>
    <row r="325">
      <c r="A325" s="9">
        <v>45586.0</v>
      </c>
      <c r="B325" s="9">
        <v>45559.0</v>
      </c>
      <c r="C325" s="9">
        <f t="shared" si="22"/>
        <v>45586</v>
      </c>
      <c r="D325" s="11" t="s">
        <v>65</v>
      </c>
      <c r="E325" s="11" t="s">
        <v>25</v>
      </c>
      <c r="F325" s="11" t="s">
        <v>107</v>
      </c>
      <c r="G325" s="11" t="s">
        <v>27</v>
      </c>
      <c r="H325" s="11" t="s">
        <v>318</v>
      </c>
      <c r="I325" s="31">
        <v>96.0</v>
      </c>
      <c r="J325" s="13"/>
      <c r="K325" s="13">
        <f t="shared" si="27"/>
        <v>96</v>
      </c>
      <c r="L325" s="11" t="s">
        <v>53</v>
      </c>
      <c r="M325" s="17">
        <v>45324.0</v>
      </c>
      <c r="N325" s="11" t="s">
        <v>143</v>
      </c>
      <c r="O325" s="10" t="str">
        <f t="shared" si="3"/>
        <v>10/2024</v>
      </c>
      <c r="P325" s="10" t="str">
        <f t="shared" si="29"/>
        <v>10/2024</v>
      </c>
      <c r="Q325" s="15" t="str">
        <f t="array" ref="Q325">IFERROR(XLOOKUP(N325,'Classificação'!A:A,'Classificação'!B:B),"")</f>
        <v>EMBALAGENS/FITAS/GERAL</v>
      </c>
      <c r="R325" s="15" t="str">
        <f t="array" ref="R325">IFERROR(XLOOKUP(Q325,'Classificação'!B:B,'Classificação'!C:C),"")</f>
        <v>CUSTOS VARIÁVEIS</v>
      </c>
      <c r="S325" s="15">
        <f t="shared" si="5"/>
        <v>21</v>
      </c>
      <c r="T325" s="15">
        <f t="shared" si="6"/>
        <v>10</v>
      </c>
      <c r="U325" s="15">
        <f t="shared" si="7"/>
        <v>2024</v>
      </c>
      <c r="V325" s="15">
        <f t="shared" si="8"/>
        <v>21</v>
      </c>
      <c r="W325" s="15">
        <f t="shared" si="9"/>
        <v>10</v>
      </c>
      <c r="X325" s="15">
        <f t="shared" si="10"/>
        <v>2024</v>
      </c>
    </row>
    <row r="326">
      <c r="A326" s="9">
        <v>45586.0</v>
      </c>
      <c r="B326" s="10"/>
      <c r="C326" s="9">
        <f t="shared" si="22"/>
        <v>45586</v>
      </c>
      <c r="D326" s="11" t="s">
        <v>179</v>
      </c>
      <c r="E326" s="11" t="s">
        <v>25</v>
      </c>
      <c r="F326" s="11" t="s">
        <v>107</v>
      </c>
      <c r="G326" s="11" t="s">
        <v>27</v>
      </c>
      <c r="H326" s="11" t="s">
        <v>312</v>
      </c>
      <c r="I326" s="31">
        <v>150.0</v>
      </c>
      <c r="J326" s="13"/>
      <c r="K326" s="13">
        <f t="shared" si="27"/>
        <v>150</v>
      </c>
      <c r="L326" s="11" t="s">
        <v>34</v>
      </c>
      <c r="M326" s="14"/>
      <c r="N326" s="11" t="s">
        <v>181</v>
      </c>
      <c r="O326" s="10" t="str">
        <f t="shared" si="3"/>
        <v>10/2024</v>
      </c>
      <c r="P326" s="10" t="str">
        <f t="shared" si="29"/>
        <v>10/2024</v>
      </c>
      <c r="Q326" s="15" t="str">
        <f t="array" ref="Q326">IFERROR(XLOOKUP(N326,'Classificação'!A:A,'Classificação'!B:B),"")</f>
        <v>DESPESAS COM VEICULOS</v>
      </c>
      <c r="R326" s="15" t="str">
        <f t="array" ref="R326">IFERROR(XLOOKUP(Q326,'Classificação'!B:B,'Classificação'!C:C),"")</f>
        <v>DESPESAS FIXAS (-)</v>
      </c>
      <c r="S326" s="15">
        <f t="shared" si="5"/>
        <v>21</v>
      </c>
      <c r="T326" s="15">
        <f t="shared" si="6"/>
        <v>10</v>
      </c>
      <c r="U326" s="15">
        <f t="shared" si="7"/>
        <v>2024</v>
      </c>
      <c r="V326" s="15">
        <f t="shared" si="8"/>
        <v>21</v>
      </c>
      <c r="W326" s="15">
        <f t="shared" si="9"/>
        <v>10</v>
      </c>
      <c r="X326" s="15">
        <f t="shared" si="10"/>
        <v>2024</v>
      </c>
    </row>
    <row r="327">
      <c r="A327" s="9">
        <v>45586.0</v>
      </c>
      <c r="B327" s="10"/>
      <c r="C327" s="9">
        <f t="shared" si="22"/>
        <v>45586</v>
      </c>
      <c r="D327" s="11" t="s">
        <v>44</v>
      </c>
      <c r="E327" s="11" t="s">
        <v>25</v>
      </c>
      <c r="F327" s="11" t="s">
        <v>107</v>
      </c>
      <c r="G327" s="11" t="s">
        <v>27</v>
      </c>
      <c r="H327" s="11" t="s">
        <v>319</v>
      </c>
      <c r="I327" s="31">
        <v>-91.29</v>
      </c>
      <c r="J327" s="13"/>
      <c r="K327" s="13">
        <f t="shared" si="27"/>
        <v>-91.29</v>
      </c>
      <c r="L327" s="11" t="s">
        <v>34</v>
      </c>
      <c r="M327" s="16"/>
      <c r="N327" s="11" t="s">
        <v>178</v>
      </c>
      <c r="O327" s="10" t="str">
        <f t="shared" si="3"/>
        <v>10/2024</v>
      </c>
      <c r="P327" s="10" t="str">
        <f t="shared" si="29"/>
        <v>10/2024</v>
      </c>
      <c r="Q327" s="15" t="str">
        <f t="array" ref="Q327">IFERROR(XLOOKUP(N327,'Classificação'!A:A,'Classificação'!B:B),"")</f>
        <v>DESPESAS COM OCUPAÇÃO</v>
      </c>
      <c r="R327" s="15" t="str">
        <f t="array" ref="R327">IFERROR(XLOOKUP(Q327,'Classificação'!B:B,'Classificação'!C:C),"")</f>
        <v>DESPESAS FIXAS (-)</v>
      </c>
      <c r="S327" s="15">
        <f t="shared" si="5"/>
        <v>21</v>
      </c>
      <c r="T327" s="15">
        <f t="shared" si="6"/>
        <v>10</v>
      </c>
      <c r="U327" s="15">
        <f t="shared" si="7"/>
        <v>2024</v>
      </c>
      <c r="V327" s="15">
        <f t="shared" si="8"/>
        <v>21</v>
      </c>
      <c r="W327" s="15">
        <f t="shared" si="9"/>
        <v>10</v>
      </c>
      <c r="X327" s="15">
        <f t="shared" si="10"/>
        <v>2024</v>
      </c>
    </row>
    <row r="328">
      <c r="A328" s="9">
        <v>45586.0</v>
      </c>
      <c r="B328" s="9">
        <v>45559.0</v>
      </c>
      <c r="C328" s="9">
        <f t="shared" si="22"/>
        <v>45586</v>
      </c>
      <c r="D328" s="11" t="s">
        <v>320</v>
      </c>
      <c r="E328" s="11" t="s">
        <v>25</v>
      </c>
      <c r="F328" s="11" t="s">
        <v>107</v>
      </c>
      <c r="G328" s="11" t="s">
        <v>27</v>
      </c>
      <c r="H328" s="11" t="s">
        <v>321</v>
      </c>
      <c r="I328" s="31">
        <v>171.68</v>
      </c>
      <c r="J328" s="13"/>
      <c r="K328" s="13">
        <f t="shared" si="27"/>
        <v>171.68</v>
      </c>
      <c r="L328" s="11" t="s">
        <v>34</v>
      </c>
      <c r="M328" s="14"/>
      <c r="N328" s="11" t="s">
        <v>272</v>
      </c>
      <c r="O328" s="10" t="str">
        <f t="shared" si="3"/>
        <v>10/2024</v>
      </c>
      <c r="P328" s="10" t="str">
        <f t="shared" si="29"/>
        <v>10/2024</v>
      </c>
      <c r="Q328" s="15" t="str">
        <f t="array" ref="Q328">IFERROR(XLOOKUP(N328,'Classificação'!A:A,'Classificação'!B:B),"")</f>
        <v>DESPESAS COM VIAGENS</v>
      </c>
      <c r="R328" s="15" t="str">
        <f t="array" ref="R328">IFERROR(XLOOKUP(Q328,'Classificação'!B:B,'Classificação'!C:C),"")</f>
        <v>DESPESAS FIXAS (-)</v>
      </c>
      <c r="S328" s="15">
        <f t="shared" si="5"/>
        <v>21</v>
      </c>
      <c r="T328" s="15">
        <f t="shared" si="6"/>
        <v>10</v>
      </c>
      <c r="U328" s="15">
        <f t="shared" si="7"/>
        <v>2024</v>
      </c>
      <c r="V328" s="15">
        <f t="shared" si="8"/>
        <v>21</v>
      </c>
      <c r="W328" s="15">
        <f t="shared" si="9"/>
        <v>10</v>
      </c>
      <c r="X328" s="15">
        <f t="shared" si="10"/>
        <v>2024</v>
      </c>
    </row>
    <row r="329">
      <c r="A329" s="9">
        <v>45586.0</v>
      </c>
      <c r="B329" s="9">
        <v>45559.0</v>
      </c>
      <c r="C329" s="9">
        <f t="shared" si="22"/>
        <v>45586</v>
      </c>
      <c r="D329" s="11" t="s">
        <v>320</v>
      </c>
      <c r="E329" s="11" t="s">
        <v>25</v>
      </c>
      <c r="F329" s="11" t="s">
        <v>107</v>
      </c>
      <c r="G329" s="11" t="s">
        <v>27</v>
      </c>
      <c r="H329" s="11" t="s">
        <v>321</v>
      </c>
      <c r="I329" s="31">
        <v>108.0</v>
      </c>
      <c r="J329" s="13"/>
      <c r="K329" s="13">
        <f t="shared" si="27"/>
        <v>108</v>
      </c>
      <c r="L329" s="11" t="s">
        <v>34</v>
      </c>
      <c r="M329" s="14"/>
      <c r="N329" s="11" t="s">
        <v>272</v>
      </c>
      <c r="O329" s="10" t="str">
        <f t="shared" si="3"/>
        <v>10/2024</v>
      </c>
      <c r="P329" s="10" t="str">
        <f t="shared" si="29"/>
        <v>10/2024</v>
      </c>
      <c r="Q329" s="15" t="str">
        <f t="array" ref="Q329">IFERROR(XLOOKUP(N329,'Classificação'!A:A,'Classificação'!B:B),"")</f>
        <v>DESPESAS COM VIAGENS</v>
      </c>
      <c r="R329" s="15" t="str">
        <f t="array" ref="R329">IFERROR(XLOOKUP(Q329,'Classificação'!B:B,'Classificação'!C:C),"")</f>
        <v>DESPESAS FIXAS (-)</v>
      </c>
      <c r="S329" s="15">
        <f t="shared" si="5"/>
        <v>21</v>
      </c>
      <c r="T329" s="15">
        <f t="shared" si="6"/>
        <v>10</v>
      </c>
      <c r="U329" s="15">
        <f t="shared" si="7"/>
        <v>2024</v>
      </c>
      <c r="V329" s="15">
        <f t="shared" si="8"/>
        <v>21</v>
      </c>
      <c r="W329" s="15">
        <f t="shared" si="9"/>
        <v>10</v>
      </c>
      <c r="X329" s="15">
        <f t="shared" si="10"/>
        <v>2024</v>
      </c>
    </row>
    <row r="330">
      <c r="A330" s="9">
        <v>45586.0</v>
      </c>
      <c r="B330" s="9"/>
      <c r="C330" s="9">
        <f t="shared" si="22"/>
        <v>45586</v>
      </c>
      <c r="D330" s="11" t="s">
        <v>322</v>
      </c>
      <c r="E330" s="11" t="s">
        <v>25</v>
      </c>
      <c r="F330" s="11" t="s">
        <v>110</v>
      </c>
      <c r="G330" s="11" t="s">
        <v>27</v>
      </c>
      <c r="H330" s="11" t="s">
        <v>323</v>
      </c>
      <c r="I330" s="12">
        <v>44.25</v>
      </c>
      <c r="J330" s="13"/>
      <c r="K330" s="13">
        <f t="shared" si="27"/>
        <v>44.25</v>
      </c>
      <c r="L330" s="11" t="s">
        <v>53</v>
      </c>
      <c r="M330" s="17">
        <v>45627.0</v>
      </c>
      <c r="N330" s="11" t="s">
        <v>105</v>
      </c>
      <c r="O330" s="10" t="str">
        <f t="shared" si="3"/>
        <v>10/2024</v>
      </c>
      <c r="P330" s="10" t="str">
        <f t="shared" si="29"/>
        <v>10/2024</v>
      </c>
      <c r="Q330" s="15" t="str">
        <f t="array" ref="Q330">IFERROR(XLOOKUP(N330,'Classificação'!A:A,'Classificação'!B:B),"")</f>
        <v>DESPESAS ADMINISTRATIVAS</v>
      </c>
      <c r="R330" s="15" t="str">
        <f t="array" ref="R330">IFERROR(XLOOKUP(Q330,'Classificação'!B:B,'Classificação'!C:C),"")</f>
        <v>DESPESAS FIXAS (-)</v>
      </c>
      <c r="S330" s="15">
        <f t="shared" si="5"/>
        <v>21</v>
      </c>
      <c r="T330" s="15">
        <f t="shared" si="6"/>
        <v>10</v>
      </c>
      <c r="U330" s="15">
        <f t="shared" si="7"/>
        <v>2024</v>
      </c>
      <c r="V330" s="15">
        <f t="shared" si="8"/>
        <v>21</v>
      </c>
      <c r="W330" s="15">
        <f t="shared" si="9"/>
        <v>10</v>
      </c>
      <c r="X330" s="15">
        <f t="shared" si="10"/>
        <v>2024</v>
      </c>
    </row>
    <row r="331">
      <c r="A331" s="9">
        <v>45586.0</v>
      </c>
      <c r="B331" s="9">
        <v>45560.0</v>
      </c>
      <c r="C331" s="9">
        <f t="shared" si="22"/>
        <v>45586</v>
      </c>
      <c r="D331" s="11" t="s">
        <v>320</v>
      </c>
      <c r="E331" s="11" t="s">
        <v>25</v>
      </c>
      <c r="F331" s="11" t="s">
        <v>107</v>
      </c>
      <c r="G331" s="11" t="s">
        <v>27</v>
      </c>
      <c r="H331" s="11" t="s">
        <v>321</v>
      </c>
      <c r="I331" s="31">
        <v>190.0</v>
      </c>
      <c r="J331" s="13"/>
      <c r="K331" s="13">
        <f t="shared" si="27"/>
        <v>190</v>
      </c>
      <c r="L331" s="11" t="s">
        <v>34</v>
      </c>
      <c r="M331" s="14"/>
      <c r="N331" s="11" t="s">
        <v>272</v>
      </c>
      <c r="O331" s="10" t="str">
        <f t="shared" si="3"/>
        <v>10/2024</v>
      </c>
      <c r="P331" s="10" t="str">
        <f t="shared" si="29"/>
        <v>10/2024</v>
      </c>
      <c r="Q331" s="15" t="str">
        <f t="array" ref="Q331">IFERROR(XLOOKUP(N331,'Classificação'!A:A,'Classificação'!B:B),"")</f>
        <v>DESPESAS COM VIAGENS</v>
      </c>
      <c r="R331" s="15" t="str">
        <f t="array" ref="R331">IFERROR(XLOOKUP(Q331,'Classificação'!B:B,'Classificação'!C:C),"")</f>
        <v>DESPESAS FIXAS (-)</v>
      </c>
      <c r="S331" s="15">
        <f t="shared" si="5"/>
        <v>21</v>
      </c>
      <c r="T331" s="15">
        <f t="shared" si="6"/>
        <v>10</v>
      </c>
      <c r="U331" s="15">
        <f t="shared" si="7"/>
        <v>2024</v>
      </c>
      <c r="V331" s="15">
        <f t="shared" si="8"/>
        <v>21</v>
      </c>
      <c r="W331" s="15">
        <f t="shared" si="9"/>
        <v>10</v>
      </c>
      <c r="X331" s="15">
        <f t="shared" si="10"/>
        <v>2024</v>
      </c>
    </row>
    <row r="332">
      <c r="A332" s="9">
        <v>45586.0</v>
      </c>
      <c r="B332" s="9">
        <v>45569.0</v>
      </c>
      <c r="C332" s="9">
        <f t="shared" si="22"/>
        <v>45586</v>
      </c>
      <c r="D332" s="11" t="s">
        <v>167</v>
      </c>
      <c r="E332" s="11" t="s">
        <v>25</v>
      </c>
      <c r="F332" s="11" t="s">
        <v>107</v>
      </c>
      <c r="G332" s="11" t="s">
        <v>27</v>
      </c>
      <c r="H332" s="11" t="s">
        <v>324</v>
      </c>
      <c r="I332" s="31">
        <v>27.0</v>
      </c>
      <c r="J332" s="13"/>
      <c r="K332" s="13">
        <f t="shared" si="27"/>
        <v>27</v>
      </c>
      <c r="L332" s="11" t="s">
        <v>34</v>
      </c>
      <c r="M332" s="14"/>
      <c r="N332" s="11" t="s">
        <v>78</v>
      </c>
      <c r="O332" s="10" t="str">
        <f t="shared" si="3"/>
        <v>10/2024</v>
      </c>
      <c r="P332" s="10" t="str">
        <f t="shared" si="29"/>
        <v>10/2024</v>
      </c>
      <c r="Q332" s="15" t="str">
        <f t="array" ref="Q332">IFERROR(XLOOKUP(N332,'Classificação'!A:A,'Classificação'!B:B),"")</f>
        <v>DESPESAS COM PESSOAL</v>
      </c>
      <c r="R332" s="15" t="str">
        <f t="array" ref="R332">IFERROR(XLOOKUP(Q332,'Classificação'!B:B,'Classificação'!C:C),"")</f>
        <v>DESPESAS FIXAS (-)</v>
      </c>
      <c r="S332" s="15">
        <f t="shared" si="5"/>
        <v>21</v>
      </c>
      <c r="T332" s="15">
        <f t="shared" si="6"/>
        <v>10</v>
      </c>
      <c r="U332" s="15">
        <f t="shared" si="7"/>
        <v>2024</v>
      </c>
      <c r="V332" s="15">
        <f t="shared" si="8"/>
        <v>21</v>
      </c>
      <c r="W332" s="15">
        <f t="shared" si="9"/>
        <v>10</v>
      </c>
      <c r="X332" s="15">
        <f t="shared" si="10"/>
        <v>2024</v>
      </c>
    </row>
    <row r="333">
      <c r="A333" s="9">
        <v>45586.0</v>
      </c>
      <c r="B333" s="10"/>
      <c r="C333" s="9">
        <f t="shared" si="22"/>
        <v>45586</v>
      </c>
      <c r="D333" s="11" t="s">
        <v>100</v>
      </c>
      <c r="E333" s="11" t="s">
        <v>25</v>
      </c>
      <c r="F333" s="11" t="s">
        <v>40</v>
      </c>
      <c r="G333" s="11" t="s">
        <v>37</v>
      </c>
      <c r="I333" s="12">
        <v>1779.51</v>
      </c>
      <c r="J333" s="13"/>
      <c r="K333" s="13">
        <f t="shared" si="27"/>
        <v>1779.51</v>
      </c>
      <c r="L333" s="11" t="s">
        <v>29</v>
      </c>
      <c r="M333" s="14"/>
      <c r="N333" s="11" t="s">
        <v>101</v>
      </c>
      <c r="O333" s="10" t="str">
        <f t="shared" si="3"/>
        <v>10/2024</v>
      </c>
      <c r="P333" s="10" t="str">
        <f t="shared" si="29"/>
        <v>10/2024</v>
      </c>
      <c r="Q333" s="15" t="str">
        <f t="array" ref="Q333">IFERROR(XLOOKUP(N333,'Classificação'!A:A,'Classificação'!B:B),"")</f>
        <v>IMPOSTO DE RENDA - DAS</v>
      </c>
      <c r="R333" s="15" t="str">
        <f t="array" ref="R333">IFERROR(XLOOKUP(Q333,'Classificação'!B:B,'Classificação'!C:C),"")</f>
        <v>DEDUÇÕES DA RECEITA BRUTA (-)</v>
      </c>
      <c r="S333" s="15">
        <f t="shared" si="5"/>
        <v>21</v>
      </c>
      <c r="T333" s="15">
        <f t="shared" si="6"/>
        <v>10</v>
      </c>
      <c r="U333" s="15">
        <f t="shared" si="7"/>
        <v>2024</v>
      </c>
      <c r="V333" s="15">
        <f t="shared" si="8"/>
        <v>21</v>
      </c>
      <c r="W333" s="15">
        <f t="shared" si="9"/>
        <v>10</v>
      </c>
      <c r="X333" s="15">
        <f t="shared" si="10"/>
        <v>2024</v>
      </c>
    </row>
    <row r="334">
      <c r="A334" s="9">
        <v>45586.0</v>
      </c>
      <c r="B334" s="10"/>
      <c r="C334" s="9">
        <f t="shared" si="22"/>
        <v>45586</v>
      </c>
      <c r="D334" s="11" t="s">
        <v>104</v>
      </c>
      <c r="E334" s="11" t="s">
        <v>25</v>
      </c>
      <c r="F334" s="11" t="s">
        <v>40</v>
      </c>
      <c r="G334" s="11" t="s">
        <v>27</v>
      </c>
      <c r="I334" s="12">
        <v>425.0</v>
      </c>
      <c r="J334" s="13"/>
      <c r="K334" s="13">
        <f t="shared" si="27"/>
        <v>425</v>
      </c>
      <c r="L334" s="11" t="s">
        <v>29</v>
      </c>
      <c r="M334" s="14"/>
      <c r="N334" s="11" t="s">
        <v>105</v>
      </c>
      <c r="O334" s="10" t="str">
        <f t="shared" si="3"/>
        <v>10/2024</v>
      </c>
      <c r="P334" s="10" t="str">
        <f t="shared" si="29"/>
        <v>10/2024</v>
      </c>
      <c r="Q334" s="15" t="str">
        <f t="array" ref="Q334">IFERROR(XLOOKUP(N334,'Classificação'!A:A,'Classificação'!B:B),"")</f>
        <v>DESPESAS ADMINISTRATIVAS</v>
      </c>
      <c r="R334" s="15" t="str">
        <f t="array" ref="R334">IFERROR(XLOOKUP(Q334,'Classificação'!B:B,'Classificação'!C:C),"")</f>
        <v>DESPESAS FIXAS (-)</v>
      </c>
      <c r="S334" s="15">
        <f t="shared" si="5"/>
        <v>21</v>
      </c>
      <c r="T334" s="15">
        <f t="shared" si="6"/>
        <v>10</v>
      </c>
      <c r="U334" s="15">
        <f t="shared" si="7"/>
        <v>2024</v>
      </c>
      <c r="V334" s="15">
        <f t="shared" si="8"/>
        <v>21</v>
      </c>
      <c r="W334" s="15">
        <f t="shared" si="9"/>
        <v>10</v>
      </c>
      <c r="X334" s="15">
        <f t="shared" si="10"/>
        <v>2024</v>
      </c>
    </row>
    <row r="335">
      <c r="A335" s="9">
        <v>45586.0</v>
      </c>
      <c r="B335" s="10"/>
      <c r="C335" s="9">
        <f t="shared" si="22"/>
        <v>45586</v>
      </c>
      <c r="D335" s="11" t="s">
        <v>100</v>
      </c>
      <c r="E335" s="11" t="s">
        <v>25</v>
      </c>
      <c r="F335" s="11" t="s">
        <v>40</v>
      </c>
      <c r="G335" s="11" t="s">
        <v>27</v>
      </c>
      <c r="I335" s="12">
        <v>17743.59</v>
      </c>
      <c r="J335" s="13"/>
      <c r="K335" s="13">
        <f t="shared" si="27"/>
        <v>17743.59</v>
      </c>
      <c r="L335" s="11" t="s">
        <v>29</v>
      </c>
      <c r="M335" s="14"/>
      <c r="N335" s="11" t="s">
        <v>101</v>
      </c>
      <c r="O335" s="10" t="str">
        <f t="shared" si="3"/>
        <v>10/2024</v>
      </c>
      <c r="P335" s="10" t="str">
        <f t="shared" si="29"/>
        <v>10/2024</v>
      </c>
      <c r="Q335" s="15" t="str">
        <f t="array" ref="Q335">IFERROR(XLOOKUP(N335,'Classificação'!A:A,'Classificação'!B:B),"")</f>
        <v>IMPOSTO DE RENDA - DAS</v>
      </c>
      <c r="R335" s="15" t="str">
        <f t="array" ref="R335">IFERROR(XLOOKUP(Q335,'Classificação'!B:B,'Classificação'!C:C),"")</f>
        <v>DEDUÇÕES DA RECEITA BRUTA (-)</v>
      </c>
      <c r="S335" s="15">
        <f t="shared" si="5"/>
        <v>21</v>
      </c>
      <c r="T335" s="15">
        <f t="shared" si="6"/>
        <v>10</v>
      </c>
      <c r="U335" s="15">
        <f t="shared" si="7"/>
        <v>2024</v>
      </c>
      <c r="V335" s="15">
        <f t="shared" si="8"/>
        <v>21</v>
      </c>
      <c r="W335" s="15">
        <f t="shared" si="9"/>
        <v>10</v>
      </c>
      <c r="X335" s="15">
        <f t="shared" si="10"/>
        <v>2024</v>
      </c>
    </row>
    <row r="336">
      <c r="A336" s="9">
        <v>45586.0</v>
      </c>
      <c r="B336" s="10"/>
      <c r="C336" s="9">
        <f t="shared" si="22"/>
        <v>45586</v>
      </c>
      <c r="D336" s="11" t="s">
        <v>171</v>
      </c>
      <c r="E336" s="11" t="s">
        <v>25</v>
      </c>
      <c r="F336" s="11" t="s">
        <v>40</v>
      </c>
      <c r="G336" s="11" t="s">
        <v>27</v>
      </c>
      <c r="I336" s="12">
        <v>107.64</v>
      </c>
      <c r="J336" s="13"/>
      <c r="K336" s="13">
        <f t="shared" si="27"/>
        <v>107.64</v>
      </c>
      <c r="L336" s="11" t="s">
        <v>29</v>
      </c>
      <c r="M336" s="14"/>
      <c r="N336" s="11" t="s">
        <v>172</v>
      </c>
      <c r="O336" s="10" t="str">
        <f t="shared" si="3"/>
        <v>10/2024</v>
      </c>
      <c r="P336" s="10" t="str">
        <f t="shared" si="29"/>
        <v>10/2024</v>
      </c>
      <c r="Q336" s="15" t="str">
        <f t="array" ref="Q336">IFERROR(XLOOKUP(N336,'Classificação'!A:A,'Classificação'!B:B),"")</f>
        <v>DESPESAS COM OCUPAÇÃO</v>
      </c>
      <c r="R336" s="15" t="str">
        <f t="array" ref="R336">IFERROR(XLOOKUP(Q336,'Classificação'!B:B,'Classificação'!C:C),"")</f>
        <v>DESPESAS FIXAS (-)</v>
      </c>
      <c r="S336" s="15">
        <f t="shared" si="5"/>
        <v>21</v>
      </c>
      <c r="T336" s="15">
        <f t="shared" si="6"/>
        <v>10</v>
      </c>
      <c r="U336" s="15">
        <f t="shared" si="7"/>
        <v>2024</v>
      </c>
      <c r="V336" s="15">
        <f t="shared" si="8"/>
        <v>21</v>
      </c>
      <c r="W336" s="15">
        <f t="shared" si="9"/>
        <v>10</v>
      </c>
      <c r="X336" s="15">
        <f t="shared" si="10"/>
        <v>2024</v>
      </c>
    </row>
    <row r="337">
      <c r="A337" s="32">
        <v>45586.0</v>
      </c>
      <c r="B337" s="10"/>
      <c r="C337" s="9">
        <f t="shared" si="22"/>
        <v>45586</v>
      </c>
      <c r="D337" s="11" t="s">
        <v>76</v>
      </c>
      <c r="E337" s="11" t="s">
        <v>25</v>
      </c>
      <c r="F337" s="11" t="s">
        <v>26</v>
      </c>
      <c r="G337" s="11" t="s">
        <v>27</v>
      </c>
      <c r="H337" s="11" t="s">
        <v>84</v>
      </c>
      <c r="I337" s="24">
        <v>1214.27</v>
      </c>
      <c r="J337" s="13"/>
      <c r="K337" s="13">
        <f t="shared" si="27"/>
        <v>1214.27</v>
      </c>
      <c r="L337" s="11" t="s">
        <v>53</v>
      </c>
      <c r="M337" s="16" t="s">
        <v>297</v>
      </c>
      <c r="N337" s="11" t="s">
        <v>85</v>
      </c>
      <c r="O337" s="10" t="str">
        <f t="shared" si="3"/>
        <v>10/2024</v>
      </c>
      <c r="P337" s="10" t="str">
        <f t="shared" si="29"/>
        <v>10/2024</v>
      </c>
      <c r="Q337" s="15" t="str">
        <f t="array" ref="Q337">IFERROR(XLOOKUP(N337,'Classificação'!A:A,'Classificação'!B:B),"")</f>
        <v>DESPESAS NÃO OPERACIONAIS</v>
      </c>
      <c r="R337" s="15" t="str">
        <f t="array" ref="R337">IFERROR(XLOOKUP(Q337,'Classificação'!B:B,'Classificação'!C:C),"")</f>
        <v>RESULTADO NÃO OPERACIONAL (+/-)</v>
      </c>
      <c r="S337" s="15">
        <f t="shared" si="5"/>
        <v>21</v>
      </c>
      <c r="T337" s="15">
        <f t="shared" si="6"/>
        <v>10</v>
      </c>
      <c r="U337" s="15">
        <f t="shared" si="7"/>
        <v>2024</v>
      </c>
      <c r="V337" s="15">
        <f t="shared" si="8"/>
        <v>21</v>
      </c>
      <c r="W337" s="15">
        <f t="shared" si="9"/>
        <v>10</v>
      </c>
      <c r="X337" s="15">
        <f t="shared" si="10"/>
        <v>2024</v>
      </c>
    </row>
    <row r="338">
      <c r="A338" s="9">
        <v>45586.0</v>
      </c>
      <c r="B338" s="10"/>
      <c r="C338" s="9">
        <f t="shared" si="22"/>
        <v>45586</v>
      </c>
      <c r="D338" s="11" t="s">
        <v>200</v>
      </c>
      <c r="E338" s="11" t="s">
        <v>25</v>
      </c>
      <c r="F338" s="11" t="s">
        <v>40</v>
      </c>
      <c r="G338" s="11" t="s">
        <v>27</v>
      </c>
      <c r="I338" s="12">
        <v>170.0</v>
      </c>
      <c r="J338" s="13"/>
      <c r="K338" s="13">
        <f t="shared" si="27"/>
        <v>170</v>
      </c>
      <c r="L338" s="11" t="s">
        <v>29</v>
      </c>
      <c r="M338" s="14"/>
      <c r="N338" s="11" t="s">
        <v>201</v>
      </c>
      <c r="O338" s="10" t="str">
        <f t="shared" si="3"/>
        <v>10/2024</v>
      </c>
      <c r="P338" s="10" t="str">
        <f t="shared" si="29"/>
        <v>10/2024</v>
      </c>
      <c r="Q338" s="15" t="str">
        <f t="array" ref="Q338">IFERROR(XLOOKUP(N338,'Classificação'!A:A,'Classificação'!B:B),"")</f>
        <v>DESPESAS COM OCUPAÇÃO</v>
      </c>
      <c r="R338" s="15" t="str">
        <f t="array" ref="R338">IFERROR(XLOOKUP(Q338,'Classificação'!B:B,'Classificação'!C:C),"")</f>
        <v>DESPESAS FIXAS (-)</v>
      </c>
      <c r="S338" s="15">
        <f t="shared" si="5"/>
        <v>21</v>
      </c>
      <c r="T338" s="15">
        <f t="shared" si="6"/>
        <v>10</v>
      </c>
      <c r="U338" s="15">
        <f t="shared" si="7"/>
        <v>2024</v>
      </c>
      <c r="V338" s="15">
        <f t="shared" si="8"/>
        <v>21</v>
      </c>
      <c r="W338" s="15">
        <f t="shared" si="9"/>
        <v>10</v>
      </c>
      <c r="X338" s="15">
        <f t="shared" si="10"/>
        <v>2024</v>
      </c>
    </row>
    <row r="339">
      <c r="A339" s="9">
        <v>45586.0</v>
      </c>
      <c r="B339" s="10"/>
      <c r="C339" s="9">
        <f t="shared" si="22"/>
        <v>45586</v>
      </c>
      <c r="D339" s="11" t="s">
        <v>36</v>
      </c>
      <c r="E339" s="11" t="s">
        <v>25</v>
      </c>
      <c r="F339" s="11" t="s">
        <v>32</v>
      </c>
      <c r="G339" s="11" t="s">
        <v>27</v>
      </c>
      <c r="I339" s="12">
        <v>2625.0</v>
      </c>
      <c r="J339" s="13"/>
      <c r="K339" s="13">
        <f t="shared" si="27"/>
        <v>2625</v>
      </c>
      <c r="L339" s="11" t="s">
        <v>29</v>
      </c>
      <c r="M339" s="14"/>
      <c r="N339" s="11" t="s">
        <v>38</v>
      </c>
      <c r="O339" s="10" t="str">
        <f t="shared" si="3"/>
        <v>10/2024</v>
      </c>
      <c r="P339" s="10" t="str">
        <f t="shared" si="29"/>
        <v>10/2024</v>
      </c>
      <c r="Q339" s="15" t="str">
        <f t="array" ref="Q339">IFERROR(XLOOKUP(N339,'Classificação'!A:A,'Classificação'!B:B),"")</f>
        <v>DESPESAS COM PESSOAL</v>
      </c>
      <c r="R339" s="15" t="str">
        <f t="array" ref="R339">IFERROR(XLOOKUP(Q339,'Classificação'!B:B,'Classificação'!C:C),"")</f>
        <v>DESPESAS FIXAS (-)</v>
      </c>
      <c r="S339" s="15">
        <f t="shared" si="5"/>
        <v>21</v>
      </c>
      <c r="T339" s="15">
        <f t="shared" si="6"/>
        <v>10</v>
      </c>
      <c r="U339" s="15">
        <f t="shared" si="7"/>
        <v>2024</v>
      </c>
      <c r="V339" s="15">
        <f t="shared" si="8"/>
        <v>21</v>
      </c>
      <c r="W339" s="15">
        <f t="shared" si="9"/>
        <v>10</v>
      </c>
      <c r="X339" s="15">
        <f t="shared" si="10"/>
        <v>2024</v>
      </c>
    </row>
    <row r="340">
      <c r="A340" s="9">
        <v>45586.0</v>
      </c>
      <c r="B340" s="10"/>
      <c r="C340" s="9">
        <f t="shared" si="22"/>
        <v>45586</v>
      </c>
      <c r="D340" s="11" t="s">
        <v>43</v>
      </c>
      <c r="E340" s="11" t="s">
        <v>25</v>
      </c>
      <c r="F340" s="11" t="s">
        <v>32</v>
      </c>
      <c r="G340" s="11" t="s">
        <v>27</v>
      </c>
      <c r="I340" s="12">
        <v>2624.0</v>
      </c>
      <c r="J340" s="13"/>
      <c r="K340" s="13">
        <f t="shared" si="27"/>
        <v>2624</v>
      </c>
      <c r="L340" s="11" t="s">
        <v>29</v>
      </c>
      <c r="M340" s="14"/>
      <c r="N340" s="11" t="s">
        <v>38</v>
      </c>
      <c r="O340" s="10" t="str">
        <f t="shared" si="3"/>
        <v>10/2024</v>
      </c>
      <c r="P340" s="10" t="str">
        <f t="shared" si="29"/>
        <v>10/2024</v>
      </c>
      <c r="Q340" s="15" t="str">
        <f t="array" ref="Q340">IFERROR(XLOOKUP(N340,'Classificação'!A:A,'Classificação'!B:B),"")</f>
        <v>DESPESAS COM PESSOAL</v>
      </c>
      <c r="R340" s="15" t="str">
        <f t="array" ref="R340">IFERROR(XLOOKUP(Q340,'Classificação'!B:B,'Classificação'!C:C),"")</f>
        <v>DESPESAS FIXAS (-)</v>
      </c>
      <c r="S340" s="15">
        <f t="shared" si="5"/>
        <v>21</v>
      </c>
      <c r="T340" s="15">
        <f t="shared" si="6"/>
        <v>10</v>
      </c>
      <c r="U340" s="15">
        <f t="shared" si="7"/>
        <v>2024</v>
      </c>
      <c r="V340" s="15">
        <f t="shared" si="8"/>
        <v>21</v>
      </c>
      <c r="W340" s="15">
        <f t="shared" si="9"/>
        <v>10</v>
      </c>
      <c r="X340" s="15">
        <f t="shared" si="10"/>
        <v>2024</v>
      </c>
    </row>
    <row r="341">
      <c r="A341" s="27">
        <v>45586.0</v>
      </c>
      <c r="B341" s="30"/>
      <c r="C341" s="27">
        <f t="shared" si="22"/>
        <v>45586</v>
      </c>
      <c r="D341" s="28" t="s">
        <v>36</v>
      </c>
      <c r="E341" s="28" t="s">
        <v>25</v>
      </c>
      <c r="F341" s="28" t="s">
        <v>32</v>
      </c>
      <c r="G341" s="29" t="s">
        <v>37</v>
      </c>
      <c r="H341" s="28"/>
      <c r="I341" s="24">
        <v>2624.0</v>
      </c>
      <c r="J341" s="13"/>
      <c r="K341" s="13">
        <f t="shared" si="27"/>
        <v>2624</v>
      </c>
      <c r="L341" s="11" t="s">
        <v>34</v>
      </c>
      <c r="M341" s="14"/>
      <c r="N341" s="11" t="s">
        <v>38</v>
      </c>
      <c r="O341" s="10" t="str">
        <f t="shared" si="3"/>
        <v>10/2024</v>
      </c>
      <c r="P341" s="10" t="str">
        <f t="shared" si="29"/>
        <v>10/2024</v>
      </c>
      <c r="Q341" s="15" t="str">
        <f t="array" ref="Q341">IFERROR(XLOOKUP(N341,'Classificação'!A:A,'Classificação'!B:B),"")</f>
        <v>DESPESAS COM PESSOAL</v>
      </c>
      <c r="R341" s="15" t="str">
        <f t="array" ref="R341">IFERROR(XLOOKUP(Q341,'Classificação'!B:B,'Classificação'!C:C),"")</f>
        <v>DESPESAS FIXAS (-)</v>
      </c>
      <c r="S341" s="15">
        <f t="shared" si="5"/>
        <v>21</v>
      </c>
      <c r="T341" s="15">
        <f t="shared" si="6"/>
        <v>10</v>
      </c>
      <c r="U341" s="15">
        <f t="shared" si="7"/>
        <v>2024</v>
      </c>
      <c r="V341" s="15">
        <f t="shared" si="8"/>
        <v>21</v>
      </c>
      <c r="W341" s="15">
        <f t="shared" si="9"/>
        <v>10</v>
      </c>
      <c r="X341" s="15">
        <f t="shared" si="10"/>
        <v>2024</v>
      </c>
    </row>
    <row r="342">
      <c r="A342" s="27">
        <v>45586.0</v>
      </c>
      <c r="B342" s="30"/>
      <c r="C342" s="27">
        <f t="shared" si="22"/>
        <v>45586</v>
      </c>
      <c r="D342" s="28" t="s">
        <v>43</v>
      </c>
      <c r="E342" s="28" t="s">
        <v>25</v>
      </c>
      <c r="F342" s="28" t="s">
        <v>32</v>
      </c>
      <c r="G342" s="29" t="s">
        <v>37</v>
      </c>
      <c r="H342" s="28"/>
      <c r="I342" s="24">
        <v>2625.0</v>
      </c>
      <c r="J342" s="13"/>
      <c r="K342" s="13">
        <f t="shared" si="27"/>
        <v>2625</v>
      </c>
      <c r="L342" s="11" t="s">
        <v>34</v>
      </c>
      <c r="M342" s="14"/>
      <c r="N342" s="11" t="s">
        <v>38</v>
      </c>
      <c r="O342" s="10" t="str">
        <f t="shared" si="3"/>
        <v>10/2024</v>
      </c>
      <c r="P342" s="10" t="str">
        <f t="shared" si="29"/>
        <v>10/2024</v>
      </c>
      <c r="Q342" s="15" t="str">
        <f t="array" ref="Q342">IFERROR(XLOOKUP(N342,'Classificação'!A:A,'Classificação'!B:B),"")</f>
        <v>DESPESAS COM PESSOAL</v>
      </c>
      <c r="R342" s="15" t="str">
        <f t="array" ref="R342">IFERROR(XLOOKUP(Q342,'Classificação'!B:B,'Classificação'!C:C),"")</f>
        <v>DESPESAS FIXAS (-)</v>
      </c>
      <c r="S342" s="15">
        <f t="shared" si="5"/>
        <v>21</v>
      </c>
      <c r="T342" s="15">
        <f t="shared" si="6"/>
        <v>10</v>
      </c>
      <c r="U342" s="15">
        <f t="shared" si="7"/>
        <v>2024</v>
      </c>
      <c r="V342" s="15">
        <f t="shared" si="8"/>
        <v>21</v>
      </c>
      <c r="W342" s="15">
        <f t="shared" si="9"/>
        <v>10</v>
      </c>
      <c r="X342" s="15">
        <f t="shared" si="10"/>
        <v>2024</v>
      </c>
    </row>
    <row r="343">
      <c r="A343" s="9">
        <v>45586.0</v>
      </c>
      <c r="B343" s="10"/>
      <c r="C343" s="9">
        <f t="shared" si="22"/>
        <v>45586</v>
      </c>
      <c r="D343" s="11" t="s">
        <v>65</v>
      </c>
      <c r="E343" s="11" t="s">
        <v>25</v>
      </c>
      <c r="F343" s="11" t="s">
        <v>26</v>
      </c>
      <c r="G343" s="11" t="s">
        <v>37</v>
      </c>
      <c r="H343" s="11" t="s">
        <v>325</v>
      </c>
      <c r="I343" s="12">
        <v>57.4</v>
      </c>
      <c r="J343" s="13"/>
      <c r="K343" s="13">
        <f t="shared" si="27"/>
        <v>57.4</v>
      </c>
      <c r="L343" s="11" t="s">
        <v>53</v>
      </c>
      <c r="M343" s="17">
        <v>45385.0</v>
      </c>
      <c r="N343" s="11" t="s">
        <v>95</v>
      </c>
      <c r="O343" s="10" t="str">
        <f t="shared" si="3"/>
        <v>10/2024</v>
      </c>
      <c r="P343" s="10" t="str">
        <f t="shared" si="29"/>
        <v>10/2024</v>
      </c>
      <c r="Q343" s="15" t="str">
        <f t="array" ref="Q343">IFERROR(XLOOKUP(N343,'Classificação'!A:A,'Classificação'!B:B),"")</f>
        <v>DESPESAS NÃO OPERACIONAIS</v>
      </c>
      <c r="R343" s="15" t="str">
        <f t="array" ref="R343">IFERROR(XLOOKUP(Q343,'Classificação'!B:B,'Classificação'!C:C),"")</f>
        <v>RESULTADO NÃO OPERACIONAL (+/-)</v>
      </c>
      <c r="S343" s="15">
        <f t="shared" si="5"/>
        <v>21</v>
      </c>
      <c r="T343" s="15">
        <f t="shared" si="6"/>
        <v>10</v>
      </c>
      <c r="U343" s="15">
        <f t="shared" si="7"/>
        <v>2024</v>
      </c>
      <c r="V343" s="15">
        <f t="shared" si="8"/>
        <v>21</v>
      </c>
      <c r="W343" s="15">
        <f t="shared" si="9"/>
        <v>10</v>
      </c>
      <c r="X343" s="15">
        <f t="shared" si="10"/>
        <v>2024</v>
      </c>
    </row>
    <row r="344">
      <c r="A344" s="9">
        <v>45586.0</v>
      </c>
      <c r="B344" s="10"/>
      <c r="C344" s="9">
        <f t="shared" si="22"/>
        <v>45586</v>
      </c>
      <c r="D344" s="11" t="s">
        <v>65</v>
      </c>
      <c r="E344" s="11" t="s">
        <v>25</v>
      </c>
      <c r="F344" s="11" t="s">
        <v>26</v>
      </c>
      <c r="G344" s="11" t="s">
        <v>37</v>
      </c>
      <c r="H344" s="11" t="s">
        <v>326</v>
      </c>
      <c r="I344" s="12">
        <v>67.49</v>
      </c>
      <c r="J344" s="13"/>
      <c r="K344" s="13">
        <f t="shared" si="27"/>
        <v>67.49</v>
      </c>
      <c r="L344" s="11" t="s">
        <v>53</v>
      </c>
      <c r="M344" s="17">
        <v>45574.0</v>
      </c>
      <c r="N344" s="11" t="s">
        <v>95</v>
      </c>
      <c r="O344" s="10" t="str">
        <f t="shared" si="3"/>
        <v>10/2024</v>
      </c>
      <c r="P344" s="10" t="str">
        <f t="shared" si="29"/>
        <v>10/2024</v>
      </c>
      <c r="Q344" s="15" t="str">
        <f t="array" ref="Q344">IFERROR(XLOOKUP(N344,'Classificação'!A:A,'Classificação'!B:B),"")</f>
        <v>DESPESAS NÃO OPERACIONAIS</v>
      </c>
      <c r="R344" s="15" t="str">
        <f t="array" ref="R344">IFERROR(XLOOKUP(Q344,'Classificação'!B:B,'Classificação'!C:C),"")</f>
        <v>RESULTADO NÃO OPERACIONAL (+/-)</v>
      </c>
      <c r="S344" s="15">
        <f t="shared" si="5"/>
        <v>21</v>
      </c>
      <c r="T344" s="15">
        <f t="shared" si="6"/>
        <v>10</v>
      </c>
      <c r="U344" s="15">
        <f t="shared" si="7"/>
        <v>2024</v>
      </c>
      <c r="V344" s="15">
        <f t="shared" si="8"/>
        <v>21</v>
      </c>
      <c r="W344" s="15">
        <f t="shared" si="9"/>
        <v>10</v>
      </c>
      <c r="X344" s="15">
        <f t="shared" si="10"/>
        <v>2024</v>
      </c>
    </row>
    <row r="345">
      <c r="A345" s="9">
        <v>45586.0</v>
      </c>
      <c r="B345" s="9">
        <v>45553.0</v>
      </c>
      <c r="C345" s="9">
        <f t="shared" si="22"/>
        <v>45586</v>
      </c>
      <c r="D345" s="11" t="s">
        <v>313</v>
      </c>
      <c r="E345" s="11" t="s">
        <v>25</v>
      </c>
      <c r="F345" s="11" t="s">
        <v>26</v>
      </c>
      <c r="G345" s="11" t="s">
        <v>37</v>
      </c>
      <c r="H345" s="11" t="s">
        <v>327</v>
      </c>
      <c r="I345" s="12">
        <v>250.0</v>
      </c>
      <c r="J345" s="13"/>
      <c r="K345" s="13">
        <f t="shared" si="27"/>
        <v>250</v>
      </c>
      <c r="L345" s="11" t="s">
        <v>53</v>
      </c>
      <c r="M345" s="17">
        <v>45627.0</v>
      </c>
      <c r="N345" s="11" t="s">
        <v>95</v>
      </c>
      <c r="O345" s="10" t="str">
        <f t="shared" si="3"/>
        <v>10/2024</v>
      </c>
      <c r="P345" s="10" t="str">
        <f t="shared" si="29"/>
        <v>10/2024</v>
      </c>
      <c r="Q345" s="15" t="str">
        <f t="array" ref="Q345">IFERROR(XLOOKUP(N345,'Classificação'!A:A,'Classificação'!B:B),"")</f>
        <v>DESPESAS NÃO OPERACIONAIS</v>
      </c>
      <c r="R345" s="15" t="str">
        <f t="array" ref="R345">IFERROR(XLOOKUP(Q345,'Classificação'!B:B,'Classificação'!C:C),"")</f>
        <v>RESULTADO NÃO OPERACIONAL (+/-)</v>
      </c>
      <c r="S345" s="15">
        <f t="shared" si="5"/>
        <v>21</v>
      </c>
      <c r="T345" s="15">
        <f t="shared" si="6"/>
        <v>10</v>
      </c>
      <c r="U345" s="15">
        <f t="shared" si="7"/>
        <v>2024</v>
      </c>
      <c r="V345" s="15">
        <f t="shared" si="8"/>
        <v>21</v>
      </c>
      <c r="W345" s="15">
        <f t="shared" si="9"/>
        <v>10</v>
      </c>
      <c r="X345" s="15">
        <f t="shared" si="10"/>
        <v>2024</v>
      </c>
    </row>
    <row r="346">
      <c r="A346" s="32">
        <v>45586.0</v>
      </c>
      <c r="B346" s="9">
        <v>45560.0</v>
      </c>
      <c r="C346" s="9">
        <f t="shared" si="22"/>
        <v>45586</v>
      </c>
      <c r="D346" s="11" t="s">
        <v>264</v>
      </c>
      <c r="E346" s="11" t="s">
        <v>25</v>
      </c>
      <c r="F346" s="11" t="s">
        <v>26</v>
      </c>
      <c r="G346" s="11" t="s">
        <v>37</v>
      </c>
      <c r="H346" s="11" t="s">
        <v>328</v>
      </c>
      <c r="I346" s="12">
        <v>10.0</v>
      </c>
      <c r="J346" s="13"/>
      <c r="K346" s="13">
        <f t="shared" si="27"/>
        <v>10</v>
      </c>
      <c r="L346" s="11" t="s">
        <v>34</v>
      </c>
      <c r="M346" s="14"/>
      <c r="N346" s="11" t="s">
        <v>266</v>
      </c>
      <c r="O346" s="10" t="str">
        <f t="shared" si="3"/>
        <v>10/2024</v>
      </c>
      <c r="P346" s="10" t="str">
        <f t="shared" si="29"/>
        <v>10/2024</v>
      </c>
      <c r="Q346" s="15" t="str">
        <f t="array" ref="Q346">IFERROR(XLOOKUP(N346,'Classificação'!A:A,'Classificação'!B:B),"")</f>
        <v>DESPESAS COM VIAGENS</v>
      </c>
      <c r="R346" s="15" t="str">
        <f t="array" ref="R346">IFERROR(XLOOKUP(Q346,'Classificação'!B:B,'Classificação'!C:C),"")</f>
        <v>DESPESAS FIXAS (-)</v>
      </c>
      <c r="S346" s="15">
        <f t="shared" si="5"/>
        <v>21</v>
      </c>
      <c r="T346" s="15">
        <f t="shared" si="6"/>
        <v>10</v>
      </c>
      <c r="U346" s="15">
        <f t="shared" si="7"/>
        <v>2024</v>
      </c>
      <c r="V346" s="15">
        <f t="shared" si="8"/>
        <v>21</v>
      </c>
      <c r="W346" s="15">
        <f t="shared" si="9"/>
        <v>10</v>
      </c>
      <c r="X346" s="15">
        <f t="shared" si="10"/>
        <v>2024</v>
      </c>
    </row>
    <row r="347">
      <c r="A347" s="32">
        <v>45586.0</v>
      </c>
      <c r="B347" s="9">
        <v>45558.0</v>
      </c>
      <c r="C347" s="9">
        <f t="shared" si="22"/>
        <v>45586</v>
      </c>
      <c r="D347" s="11" t="s">
        <v>329</v>
      </c>
      <c r="E347" s="11" t="s">
        <v>25</v>
      </c>
      <c r="F347" s="11" t="s">
        <v>26</v>
      </c>
      <c r="G347" s="11" t="s">
        <v>37</v>
      </c>
      <c r="H347" s="11" t="s">
        <v>330</v>
      </c>
      <c r="I347" s="12">
        <v>327.75</v>
      </c>
      <c r="J347" s="13"/>
      <c r="K347" s="13">
        <f t="shared" si="27"/>
        <v>327.75</v>
      </c>
      <c r="L347" s="11" t="s">
        <v>34</v>
      </c>
      <c r="M347" s="14"/>
      <c r="N347" s="11" t="s">
        <v>331</v>
      </c>
      <c r="O347" s="10" t="str">
        <f t="shared" si="3"/>
        <v>10/2024</v>
      </c>
      <c r="P347" s="10" t="str">
        <f t="shared" si="29"/>
        <v>10/2024</v>
      </c>
      <c r="Q347" s="15" t="str">
        <f t="array" ref="Q347">IFERROR(XLOOKUP(N347,'Classificação'!A:A,'Classificação'!B:B),"")</f>
        <v>DESPESAS COM VIAGENS</v>
      </c>
      <c r="R347" s="15" t="str">
        <f t="array" ref="R347">IFERROR(XLOOKUP(Q347,'Classificação'!B:B,'Classificação'!C:C),"")</f>
        <v>DESPESAS FIXAS (-)</v>
      </c>
      <c r="S347" s="15">
        <f t="shared" si="5"/>
        <v>21</v>
      </c>
      <c r="T347" s="15">
        <f t="shared" si="6"/>
        <v>10</v>
      </c>
      <c r="U347" s="15">
        <f t="shared" si="7"/>
        <v>2024</v>
      </c>
      <c r="V347" s="15">
        <f t="shared" si="8"/>
        <v>21</v>
      </c>
      <c r="W347" s="15">
        <f t="shared" si="9"/>
        <v>10</v>
      </c>
      <c r="X347" s="15">
        <f t="shared" si="10"/>
        <v>2024</v>
      </c>
    </row>
    <row r="348">
      <c r="A348" s="32">
        <v>45586.0</v>
      </c>
      <c r="B348" s="32">
        <v>45580.0</v>
      </c>
      <c r="C348" s="9">
        <f t="shared" si="22"/>
        <v>45586</v>
      </c>
      <c r="D348" s="11" t="s">
        <v>332</v>
      </c>
      <c r="E348" s="11" t="s">
        <v>25</v>
      </c>
      <c r="F348" s="11" t="s">
        <v>26</v>
      </c>
      <c r="G348" s="11" t="s">
        <v>37</v>
      </c>
      <c r="H348" s="11" t="s">
        <v>333</v>
      </c>
      <c r="I348" s="12">
        <v>130.92</v>
      </c>
      <c r="J348" s="13"/>
      <c r="K348" s="13">
        <f t="shared" si="27"/>
        <v>130.92</v>
      </c>
      <c r="L348" s="11" t="s">
        <v>34</v>
      </c>
      <c r="M348" s="14"/>
      <c r="N348" s="11" t="s">
        <v>58</v>
      </c>
      <c r="O348" s="10" t="str">
        <f t="shared" si="3"/>
        <v>10/2024</v>
      </c>
      <c r="P348" s="10" t="str">
        <f t="shared" si="29"/>
        <v>10/2024</v>
      </c>
      <c r="Q348" s="15" t="str">
        <f t="array" ref="Q348">IFERROR(XLOOKUP(N348,'Classificação'!A:A,'Classificação'!B:B),"")</f>
        <v>DESPESAS ADMINISTRATIVAS</v>
      </c>
      <c r="R348" s="15" t="str">
        <f t="array" ref="R348">IFERROR(XLOOKUP(Q348,'Classificação'!B:B,'Classificação'!C:C),"")</f>
        <v>DESPESAS FIXAS (-)</v>
      </c>
      <c r="S348" s="15">
        <f t="shared" si="5"/>
        <v>21</v>
      </c>
      <c r="T348" s="15">
        <f t="shared" si="6"/>
        <v>10</v>
      </c>
      <c r="U348" s="15">
        <f t="shared" si="7"/>
        <v>2024</v>
      </c>
      <c r="V348" s="15">
        <f t="shared" si="8"/>
        <v>21</v>
      </c>
      <c r="W348" s="15">
        <f t="shared" si="9"/>
        <v>10</v>
      </c>
      <c r="X348" s="15">
        <f t="shared" si="10"/>
        <v>2024</v>
      </c>
    </row>
    <row r="349">
      <c r="A349" s="32">
        <v>45586.0</v>
      </c>
      <c r="B349" s="10"/>
      <c r="C349" s="9">
        <f t="shared" si="22"/>
        <v>45586</v>
      </c>
      <c r="D349" s="11" t="s">
        <v>192</v>
      </c>
      <c r="E349" s="11" t="s">
        <v>25</v>
      </c>
      <c r="F349" s="11" t="s">
        <v>26</v>
      </c>
      <c r="G349" s="11" t="s">
        <v>37</v>
      </c>
      <c r="H349" s="11" t="s">
        <v>334</v>
      </c>
      <c r="I349" s="12">
        <v>28.01</v>
      </c>
      <c r="J349" s="13"/>
      <c r="K349" s="13">
        <f t="shared" si="27"/>
        <v>28.01</v>
      </c>
      <c r="L349" s="11" t="s">
        <v>34</v>
      </c>
      <c r="M349" s="14"/>
      <c r="N349" s="11" t="s">
        <v>105</v>
      </c>
      <c r="O349" s="10" t="str">
        <f t="shared" si="3"/>
        <v>10/2024</v>
      </c>
      <c r="P349" s="10" t="str">
        <f t="shared" si="29"/>
        <v>10/2024</v>
      </c>
      <c r="Q349" s="15" t="str">
        <f t="array" ref="Q349">IFERROR(XLOOKUP(N349,'Classificação'!A:A,'Classificação'!B:B),"")</f>
        <v>DESPESAS ADMINISTRATIVAS</v>
      </c>
      <c r="R349" s="15" t="str">
        <f t="array" ref="R349">IFERROR(XLOOKUP(Q349,'Classificação'!B:B,'Classificação'!C:C),"")</f>
        <v>DESPESAS FIXAS (-)</v>
      </c>
      <c r="S349" s="15">
        <f t="shared" si="5"/>
        <v>21</v>
      </c>
      <c r="T349" s="15">
        <f t="shared" si="6"/>
        <v>10</v>
      </c>
      <c r="U349" s="15">
        <f t="shared" si="7"/>
        <v>2024</v>
      </c>
      <c r="V349" s="15">
        <f t="shared" si="8"/>
        <v>21</v>
      </c>
      <c r="W349" s="15">
        <f t="shared" si="9"/>
        <v>10</v>
      </c>
      <c r="X349" s="15">
        <f t="shared" si="10"/>
        <v>2024</v>
      </c>
    </row>
    <row r="350">
      <c r="A350" s="32">
        <v>45586.0</v>
      </c>
      <c r="B350" s="9">
        <v>45560.0</v>
      </c>
      <c r="C350" s="9">
        <f t="shared" si="22"/>
        <v>45586</v>
      </c>
      <c r="D350" s="11" t="s">
        <v>320</v>
      </c>
      <c r="E350" s="11" t="s">
        <v>25</v>
      </c>
      <c r="F350" s="11" t="s">
        <v>26</v>
      </c>
      <c r="G350" s="11" t="s">
        <v>37</v>
      </c>
      <c r="H350" s="11" t="s">
        <v>335</v>
      </c>
      <c r="I350" s="12">
        <v>88.58</v>
      </c>
      <c r="J350" s="13"/>
      <c r="K350" s="13">
        <f t="shared" si="27"/>
        <v>88.58</v>
      </c>
      <c r="L350" s="11" t="s">
        <v>34</v>
      </c>
      <c r="M350" s="14"/>
      <c r="N350" s="11" t="s">
        <v>272</v>
      </c>
      <c r="O350" s="10" t="str">
        <f t="shared" si="3"/>
        <v>10/2024</v>
      </c>
      <c r="P350" s="10" t="str">
        <f t="shared" si="29"/>
        <v>10/2024</v>
      </c>
      <c r="Q350" s="15" t="str">
        <f t="array" ref="Q350">IFERROR(XLOOKUP(N350,'Classificação'!A:A,'Classificação'!B:B),"")</f>
        <v>DESPESAS COM VIAGENS</v>
      </c>
      <c r="R350" s="15" t="str">
        <f t="array" ref="R350">IFERROR(XLOOKUP(Q350,'Classificação'!B:B,'Classificação'!C:C),"")</f>
        <v>DESPESAS FIXAS (-)</v>
      </c>
      <c r="S350" s="15">
        <f t="shared" si="5"/>
        <v>21</v>
      </c>
      <c r="T350" s="15">
        <f t="shared" si="6"/>
        <v>10</v>
      </c>
      <c r="U350" s="15">
        <f t="shared" si="7"/>
        <v>2024</v>
      </c>
      <c r="V350" s="15">
        <f t="shared" si="8"/>
        <v>21</v>
      </c>
      <c r="W350" s="15">
        <f t="shared" si="9"/>
        <v>10</v>
      </c>
      <c r="X350" s="15">
        <f t="shared" si="10"/>
        <v>2024</v>
      </c>
    </row>
    <row r="351">
      <c r="A351" s="9">
        <v>45587.0</v>
      </c>
      <c r="B351" s="10"/>
      <c r="C351" s="9">
        <f t="shared" si="22"/>
        <v>45587</v>
      </c>
      <c r="D351" s="11" t="s">
        <v>202</v>
      </c>
      <c r="E351" s="11" t="s">
        <v>25</v>
      </c>
      <c r="F351" s="11" t="s">
        <v>32</v>
      </c>
      <c r="G351" s="11" t="s">
        <v>27</v>
      </c>
      <c r="H351" s="11" t="s">
        <v>203</v>
      </c>
      <c r="I351" s="12">
        <v>469.34</v>
      </c>
      <c r="J351" s="13"/>
      <c r="K351" s="13">
        <f t="shared" si="27"/>
        <v>469.34</v>
      </c>
      <c r="L351" s="11" t="s">
        <v>53</v>
      </c>
      <c r="M351" s="20">
        <v>45599.0</v>
      </c>
      <c r="N351" s="11" t="s">
        <v>73</v>
      </c>
      <c r="O351" s="10" t="str">
        <f t="shared" si="3"/>
        <v>10/2024</v>
      </c>
      <c r="P351" s="10" t="str">
        <f t="shared" si="29"/>
        <v>10/2024</v>
      </c>
      <c r="Q351" s="15" t="str">
        <f t="array" ref="Q351">IFERROR(XLOOKUP(N351,'Classificação'!A:A,'Classificação'!B:B),"")</f>
        <v>DESPESAS NÃO OPERACIONAIS</v>
      </c>
      <c r="R351" s="15" t="str">
        <f t="array" ref="R351">IFERROR(XLOOKUP(Q351,'Classificação'!B:B,'Classificação'!C:C),"")</f>
        <v>RESULTADO NÃO OPERACIONAL (+/-)</v>
      </c>
      <c r="S351" s="15">
        <f t="shared" si="5"/>
        <v>22</v>
      </c>
      <c r="T351" s="15">
        <f t="shared" si="6"/>
        <v>10</v>
      </c>
      <c r="U351" s="15">
        <f t="shared" si="7"/>
        <v>2024</v>
      </c>
      <c r="V351" s="15">
        <f t="shared" si="8"/>
        <v>22</v>
      </c>
      <c r="W351" s="15">
        <f t="shared" si="9"/>
        <v>10</v>
      </c>
      <c r="X351" s="15">
        <f t="shared" si="10"/>
        <v>2024</v>
      </c>
    </row>
    <row r="352">
      <c r="A352" s="9">
        <v>45587.0</v>
      </c>
      <c r="B352" s="10"/>
      <c r="C352" s="9">
        <f t="shared" si="22"/>
        <v>45587</v>
      </c>
      <c r="D352" s="11" t="s">
        <v>202</v>
      </c>
      <c r="E352" s="11" t="s">
        <v>25</v>
      </c>
      <c r="F352" s="11" t="s">
        <v>32</v>
      </c>
      <c r="G352" s="11" t="s">
        <v>27</v>
      </c>
      <c r="H352" s="11" t="s">
        <v>203</v>
      </c>
      <c r="I352" s="12">
        <v>649.91</v>
      </c>
      <c r="J352" s="13"/>
      <c r="K352" s="13">
        <f t="shared" si="27"/>
        <v>649.91</v>
      </c>
      <c r="L352" s="11" t="s">
        <v>53</v>
      </c>
      <c r="M352" s="20">
        <v>45599.0</v>
      </c>
      <c r="N352" s="11" t="s">
        <v>73</v>
      </c>
      <c r="O352" s="10" t="str">
        <f t="shared" si="3"/>
        <v>10/2024</v>
      </c>
      <c r="P352" s="10" t="str">
        <f t="shared" si="29"/>
        <v>10/2024</v>
      </c>
      <c r="Q352" s="15" t="str">
        <f t="array" ref="Q352">IFERROR(XLOOKUP(N352,'Classificação'!A:A,'Classificação'!B:B),"")</f>
        <v>DESPESAS NÃO OPERACIONAIS</v>
      </c>
      <c r="R352" s="15" t="str">
        <f t="array" ref="R352">IFERROR(XLOOKUP(Q352,'Classificação'!B:B,'Classificação'!C:C),"")</f>
        <v>RESULTADO NÃO OPERACIONAL (+/-)</v>
      </c>
      <c r="S352" s="15">
        <f t="shared" si="5"/>
        <v>22</v>
      </c>
      <c r="T352" s="15">
        <f t="shared" si="6"/>
        <v>10</v>
      </c>
      <c r="U352" s="15">
        <f t="shared" si="7"/>
        <v>2024</v>
      </c>
      <c r="V352" s="15">
        <f t="shared" si="8"/>
        <v>22</v>
      </c>
      <c r="W352" s="15">
        <f t="shared" si="9"/>
        <v>10</v>
      </c>
      <c r="X352" s="15">
        <f t="shared" si="10"/>
        <v>2024</v>
      </c>
    </row>
    <row r="353">
      <c r="A353" s="32">
        <v>45587.0</v>
      </c>
      <c r="B353" s="32">
        <v>45587.0</v>
      </c>
      <c r="C353" s="9">
        <f t="shared" si="22"/>
        <v>45587</v>
      </c>
      <c r="D353" s="11" t="s">
        <v>179</v>
      </c>
      <c r="E353" s="11" t="s">
        <v>25</v>
      </c>
      <c r="F353" s="11" t="s">
        <v>336</v>
      </c>
      <c r="G353" s="11" t="s">
        <v>27</v>
      </c>
      <c r="H353" s="11" t="s">
        <v>312</v>
      </c>
      <c r="I353" s="12">
        <v>150.0</v>
      </c>
      <c r="J353" s="13"/>
      <c r="K353" s="13">
        <f t="shared" si="27"/>
        <v>150</v>
      </c>
      <c r="L353" s="11" t="s">
        <v>34</v>
      </c>
      <c r="M353" s="14"/>
      <c r="N353" s="11" t="s">
        <v>181</v>
      </c>
      <c r="O353" s="10" t="str">
        <f t="shared" si="3"/>
        <v>10/2024</v>
      </c>
      <c r="P353" s="10" t="str">
        <f t="shared" si="29"/>
        <v>10/2024</v>
      </c>
      <c r="Q353" s="15" t="str">
        <f t="array" ref="Q353">IFERROR(XLOOKUP(N353,'Classificação'!A:A,'Classificação'!B:B),"")</f>
        <v>DESPESAS COM VEICULOS</v>
      </c>
      <c r="R353" s="15" t="str">
        <f t="array" ref="R353">IFERROR(XLOOKUP(Q353,'Classificação'!B:B,'Classificação'!C:C),"")</f>
        <v>DESPESAS FIXAS (-)</v>
      </c>
      <c r="S353" s="15">
        <f t="shared" si="5"/>
        <v>22</v>
      </c>
      <c r="T353" s="15">
        <f t="shared" si="6"/>
        <v>10</v>
      </c>
      <c r="U353" s="15">
        <f t="shared" si="7"/>
        <v>2024</v>
      </c>
      <c r="V353" s="15">
        <f t="shared" si="8"/>
        <v>22</v>
      </c>
      <c r="W353" s="15">
        <f t="shared" si="9"/>
        <v>10</v>
      </c>
      <c r="X353" s="15">
        <f t="shared" si="10"/>
        <v>2024</v>
      </c>
    </row>
    <row r="354">
      <c r="A354" s="9">
        <v>45587.0</v>
      </c>
      <c r="B354" s="10"/>
      <c r="C354" s="9">
        <f t="shared" si="22"/>
        <v>45587</v>
      </c>
      <c r="D354" s="11" t="s">
        <v>44</v>
      </c>
      <c r="E354" s="11" t="s">
        <v>25</v>
      </c>
      <c r="F354" s="11" t="s">
        <v>45</v>
      </c>
      <c r="G354" s="11" t="s">
        <v>27</v>
      </c>
      <c r="H354" s="11" t="s">
        <v>337</v>
      </c>
      <c r="I354" s="12">
        <v>10.0</v>
      </c>
      <c r="J354" s="13"/>
      <c r="K354" s="13">
        <f t="shared" si="27"/>
        <v>10</v>
      </c>
      <c r="L354" s="11" t="s">
        <v>34</v>
      </c>
      <c r="M354" s="14"/>
      <c r="N354" s="11" t="s">
        <v>97</v>
      </c>
      <c r="O354" s="10" t="str">
        <f t="shared" si="3"/>
        <v>10/2024</v>
      </c>
      <c r="P354" s="10" t="str">
        <f t="shared" si="29"/>
        <v>10/2024</v>
      </c>
      <c r="Q354" s="15" t="str">
        <f t="array" ref="Q354">IFERROR(XLOOKUP(N354,'Classificação'!A:A,'Classificação'!B:B),"")</f>
        <v>TARIFAS DE PIX</v>
      </c>
      <c r="R354" s="15" t="str">
        <f t="array" ref="R354">IFERROR(XLOOKUP(Q354,'Classificação'!B:B,'Classificação'!C:C),"")</f>
        <v>(+/-) RESULTADO FINANCEIRO LÍQUIDO</v>
      </c>
      <c r="S354" s="15">
        <f t="shared" si="5"/>
        <v>22</v>
      </c>
      <c r="T354" s="15">
        <f t="shared" si="6"/>
        <v>10</v>
      </c>
      <c r="U354" s="15">
        <f t="shared" si="7"/>
        <v>2024</v>
      </c>
      <c r="V354" s="15">
        <f t="shared" si="8"/>
        <v>22</v>
      </c>
      <c r="W354" s="15">
        <f t="shared" si="9"/>
        <v>10</v>
      </c>
      <c r="X354" s="15">
        <f t="shared" si="10"/>
        <v>2024</v>
      </c>
    </row>
    <row r="355">
      <c r="A355" s="9">
        <v>45588.0</v>
      </c>
      <c r="B355" s="10"/>
      <c r="C355" s="9">
        <f t="shared" si="22"/>
        <v>45588</v>
      </c>
      <c r="D355" s="11" t="s">
        <v>127</v>
      </c>
      <c r="E355" s="11" t="s">
        <v>25</v>
      </c>
      <c r="F355" s="11" t="s">
        <v>26</v>
      </c>
      <c r="G355" s="11" t="s">
        <v>37</v>
      </c>
      <c r="I355" s="12">
        <v>600.0</v>
      </c>
      <c r="J355" s="13"/>
      <c r="K355" s="13">
        <f t="shared" si="27"/>
        <v>600</v>
      </c>
      <c r="L355" s="11" t="s">
        <v>29</v>
      </c>
      <c r="M355" s="14"/>
      <c r="N355" s="11" t="s">
        <v>58</v>
      </c>
      <c r="O355" s="10" t="str">
        <f t="shared" si="3"/>
        <v>10/2024</v>
      </c>
      <c r="P355" s="10" t="str">
        <f t="shared" si="29"/>
        <v>10/2024</v>
      </c>
      <c r="Q355" s="15" t="str">
        <f t="array" ref="Q355">IFERROR(XLOOKUP(N355,'Classificação'!A:A,'Classificação'!B:B),"")</f>
        <v>DESPESAS ADMINISTRATIVAS</v>
      </c>
      <c r="R355" s="15" t="str">
        <f t="array" ref="R355">IFERROR(XLOOKUP(Q355,'Classificação'!B:B,'Classificação'!C:C),"")</f>
        <v>DESPESAS FIXAS (-)</v>
      </c>
      <c r="S355" s="15">
        <f t="shared" si="5"/>
        <v>23</v>
      </c>
      <c r="T355" s="15">
        <f t="shared" si="6"/>
        <v>10</v>
      </c>
      <c r="U355" s="15">
        <f t="shared" si="7"/>
        <v>2024</v>
      </c>
      <c r="V355" s="15">
        <f t="shared" si="8"/>
        <v>23</v>
      </c>
      <c r="W355" s="15">
        <f t="shared" si="9"/>
        <v>10</v>
      </c>
      <c r="X355" s="15">
        <f t="shared" si="10"/>
        <v>2024</v>
      </c>
    </row>
    <row r="356">
      <c r="A356" s="9">
        <v>45588.0</v>
      </c>
      <c r="B356" s="10"/>
      <c r="C356" s="9">
        <f t="shared" si="22"/>
        <v>45588</v>
      </c>
      <c r="D356" s="11" t="s">
        <v>44</v>
      </c>
      <c r="E356" s="11" t="s">
        <v>25</v>
      </c>
      <c r="F356" s="11" t="s">
        <v>45</v>
      </c>
      <c r="G356" s="11" t="s">
        <v>27</v>
      </c>
      <c r="H356" s="11" t="s">
        <v>337</v>
      </c>
      <c r="I356" s="12">
        <v>14.4</v>
      </c>
      <c r="J356" s="13"/>
      <c r="K356" s="13">
        <f t="shared" si="27"/>
        <v>14.4</v>
      </c>
      <c r="L356" s="11" t="s">
        <v>34</v>
      </c>
      <c r="M356" s="14"/>
      <c r="N356" s="11" t="s">
        <v>97</v>
      </c>
      <c r="O356" s="10" t="str">
        <f t="shared" si="3"/>
        <v>10/2024</v>
      </c>
      <c r="P356" s="10" t="str">
        <f t="shared" si="29"/>
        <v>10/2024</v>
      </c>
      <c r="Q356" s="15" t="str">
        <f t="array" ref="Q356">IFERROR(XLOOKUP(N356,'Classificação'!A:A,'Classificação'!B:B),"")</f>
        <v>TARIFAS DE PIX</v>
      </c>
      <c r="R356" s="15" t="str">
        <f t="array" ref="R356">IFERROR(XLOOKUP(Q356,'Classificação'!B:B,'Classificação'!C:C),"")</f>
        <v>(+/-) RESULTADO FINANCEIRO LÍQUIDO</v>
      </c>
      <c r="S356" s="15">
        <f t="shared" si="5"/>
        <v>23</v>
      </c>
      <c r="T356" s="15">
        <f t="shared" si="6"/>
        <v>10</v>
      </c>
      <c r="U356" s="15">
        <f t="shared" si="7"/>
        <v>2024</v>
      </c>
      <c r="V356" s="15">
        <f t="shared" si="8"/>
        <v>23</v>
      </c>
      <c r="W356" s="15">
        <f t="shared" si="9"/>
        <v>10</v>
      </c>
      <c r="X356" s="15">
        <f t="shared" si="10"/>
        <v>2024</v>
      </c>
    </row>
    <row r="357">
      <c r="A357" s="9">
        <v>45590.0</v>
      </c>
      <c r="B357" s="10"/>
      <c r="C357" s="9">
        <f t="shared" si="22"/>
        <v>45590</v>
      </c>
      <c r="D357" s="11" t="s">
        <v>208</v>
      </c>
      <c r="E357" s="11" t="s">
        <v>25</v>
      </c>
      <c r="F357" s="11" t="s">
        <v>40</v>
      </c>
      <c r="G357" s="11" t="s">
        <v>27</v>
      </c>
      <c r="H357" s="11" t="s">
        <v>209</v>
      </c>
      <c r="I357" s="12">
        <v>171.72</v>
      </c>
      <c r="J357" s="13"/>
      <c r="K357" s="13">
        <f t="shared" si="27"/>
        <v>171.72</v>
      </c>
      <c r="L357" s="11" t="s">
        <v>29</v>
      </c>
      <c r="M357" s="14"/>
      <c r="N357" s="11" t="s">
        <v>210</v>
      </c>
      <c r="O357" s="10" t="str">
        <f t="shared" si="3"/>
        <v>10/2024</v>
      </c>
      <c r="P357" s="10" t="str">
        <f t="shared" si="29"/>
        <v>10/2024</v>
      </c>
      <c r="Q357" s="15" t="str">
        <f t="array" ref="Q357">IFERROR(XLOOKUP(N357,'Classificação'!A:A,'Classificação'!B:B),"")</f>
        <v>DESPESAS COM OCUPAÇÃO</v>
      </c>
      <c r="R357" s="15" t="str">
        <f t="array" ref="R357">IFERROR(XLOOKUP(Q357,'Classificação'!B:B,'Classificação'!C:C),"")</f>
        <v>DESPESAS FIXAS (-)</v>
      </c>
      <c r="S357" s="15">
        <f t="shared" si="5"/>
        <v>25</v>
      </c>
      <c r="T357" s="15">
        <f t="shared" si="6"/>
        <v>10</v>
      </c>
      <c r="U357" s="15">
        <f t="shared" si="7"/>
        <v>2024</v>
      </c>
      <c r="V357" s="15">
        <f t="shared" si="8"/>
        <v>25</v>
      </c>
      <c r="W357" s="15">
        <f t="shared" si="9"/>
        <v>10</v>
      </c>
      <c r="X357" s="15">
        <f t="shared" si="10"/>
        <v>2024</v>
      </c>
    </row>
    <row r="358">
      <c r="A358" s="32">
        <v>45590.0</v>
      </c>
      <c r="B358" s="10"/>
      <c r="C358" s="9">
        <f t="shared" si="22"/>
        <v>45590</v>
      </c>
      <c r="D358" s="11" t="s">
        <v>36</v>
      </c>
      <c r="E358" s="11" t="s">
        <v>25</v>
      </c>
      <c r="F358" s="11" t="s">
        <v>26</v>
      </c>
      <c r="G358" s="11" t="s">
        <v>37</v>
      </c>
      <c r="I358" s="12">
        <v>500.0</v>
      </c>
      <c r="J358" s="13"/>
      <c r="K358" s="13">
        <f t="shared" si="27"/>
        <v>500</v>
      </c>
      <c r="L358" s="11" t="s">
        <v>34</v>
      </c>
      <c r="M358" s="14"/>
      <c r="N358" s="11" t="s">
        <v>38</v>
      </c>
      <c r="O358" s="10" t="str">
        <f t="shared" si="3"/>
        <v>10/2024</v>
      </c>
      <c r="P358" s="10" t="str">
        <f t="shared" si="29"/>
        <v>10/2024</v>
      </c>
      <c r="Q358" s="15" t="str">
        <f t="array" ref="Q358">IFERROR(XLOOKUP(N358,'Classificação'!A:A,'Classificação'!B:B),"")</f>
        <v>DESPESAS COM PESSOAL</v>
      </c>
      <c r="R358" s="15" t="str">
        <f t="array" ref="R358">IFERROR(XLOOKUP(Q358,'Classificação'!B:B,'Classificação'!C:C),"")</f>
        <v>DESPESAS FIXAS (-)</v>
      </c>
      <c r="S358" s="15">
        <f t="shared" si="5"/>
        <v>25</v>
      </c>
      <c r="T358" s="15">
        <f t="shared" si="6"/>
        <v>10</v>
      </c>
      <c r="U358" s="15">
        <f t="shared" si="7"/>
        <v>2024</v>
      </c>
      <c r="V358" s="15">
        <f t="shared" si="8"/>
        <v>25</v>
      </c>
      <c r="W358" s="15">
        <f t="shared" si="9"/>
        <v>10</v>
      </c>
      <c r="X358" s="15">
        <f t="shared" si="10"/>
        <v>2024</v>
      </c>
    </row>
    <row r="359">
      <c r="A359" s="9">
        <v>45593.0</v>
      </c>
      <c r="B359" s="10"/>
      <c r="C359" s="9">
        <f t="shared" si="22"/>
        <v>45593</v>
      </c>
      <c r="D359" s="11" t="s">
        <v>219</v>
      </c>
      <c r="E359" s="11" t="s">
        <v>25</v>
      </c>
      <c r="F359" s="11" t="s">
        <v>40</v>
      </c>
      <c r="G359" s="11" t="s">
        <v>27</v>
      </c>
      <c r="H359" s="11" t="s">
        <v>220</v>
      </c>
      <c r="I359" s="12">
        <v>6033.3</v>
      </c>
      <c r="J359" s="13"/>
      <c r="K359" s="13">
        <f t="shared" si="27"/>
        <v>6033.3</v>
      </c>
      <c r="L359" s="11" t="s">
        <v>53</v>
      </c>
      <c r="M359" s="17">
        <v>45354.0</v>
      </c>
      <c r="N359" s="11" t="s">
        <v>35</v>
      </c>
      <c r="O359" s="10" t="str">
        <f t="shared" si="3"/>
        <v>10/2024</v>
      </c>
      <c r="P359" s="10" t="str">
        <f t="shared" si="29"/>
        <v>10/2024</v>
      </c>
      <c r="Q359" s="15" t="str">
        <f t="array" ref="Q359">IFERROR(XLOOKUP(N359,'Classificação'!A:A,'Classificação'!B:B),"")</f>
        <v>COMPRA DE MERCADORIA</v>
      </c>
      <c r="R359" s="15" t="str">
        <f t="array" ref="R359">IFERROR(XLOOKUP(Q359,'Classificação'!B:B,'Classificação'!C:C),"")</f>
        <v>CUSTOS VARIÁVEIS</v>
      </c>
      <c r="S359" s="15">
        <f t="shared" si="5"/>
        <v>28</v>
      </c>
      <c r="T359" s="15">
        <f t="shared" si="6"/>
        <v>10</v>
      </c>
      <c r="U359" s="15">
        <f t="shared" si="7"/>
        <v>2024</v>
      </c>
      <c r="V359" s="15">
        <f t="shared" si="8"/>
        <v>28</v>
      </c>
      <c r="W359" s="15">
        <f t="shared" si="9"/>
        <v>10</v>
      </c>
      <c r="X359" s="15">
        <f t="shared" si="10"/>
        <v>2024</v>
      </c>
    </row>
    <row r="360">
      <c r="A360" s="32">
        <v>45593.0</v>
      </c>
      <c r="B360" s="10"/>
      <c r="C360" s="9">
        <f t="shared" si="22"/>
        <v>45593</v>
      </c>
      <c r="D360" s="11" t="s">
        <v>43</v>
      </c>
      <c r="E360" s="11" t="s">
        <v>25</v>
      </c>
      <c r="F360" s="11" t="s">
        <v>26</v>
      </c>
      <c r="G360" s="11" t="s">
        <v>37</v>
      </c>
      <c r="I360" s="12">
        <v>594.5</v>
      </c>
      <c r="J360" s="13"/>
      <c r="K360" s="13">
        <f t="shared" si="27"/>
        <v>594.5</v>
      </c>
      <c r="L360" s="11" t="s">
        <v>34</v>
      </c>
      <c r="M360" s="14"/>
      <c r="N360" s="11" t="s">
        <v>38</v>
      </c>
      <c r="O360" s="10" t="str">
        <f t="shared" si="3"/>
        <v>10/2024</v>
      </c>
      <c r="P360" s="10" t="str">
        <f t="shared" si="29"/>
        <v>10/2024</v>
      </c>
      <c r="Q360" s="15" t="str">
        <f t="array" ref="Q360">IFERROR(XLOOKUP(N360,'Classificação'!A:A,'Classificação'!B:B),"")</f>
        <v>DESPESAS COM PESSOAL</v>
      </c>
      <c r="R360" s="15" t="str">
        <f t="array" ref="R360">IFERROR(XLOOKUP(Q360,'Classificação'!B:B,'Classificação'!C:C),"")</f>
        <v>DESPESAS FIXAS (-)</v>
      </c>
      <c r="S360" s="15">
        <f t="shared" si="5"/>
        <v>28</v>
      </c>
      <c r="T360" s="15">
        <f t="shared" si="6"/>
        <v>10</v>
      </c>
      <c r="U360" s="15">
        <f t="shared" si="7"/>
        <v>2024</v>
      </c>
      <c r="V360" s="15">
        <f t="shared" si="8"/>
        <v>28</v>
      </c>
      <c r="W360" s="15">
        <f t="shared" si="9"/>
        <v>10</v>
      </c>
      <c r="X360" s="15">
        <f t="shared" si="10"/>
        <v>2024</v>
      </c>
    </row>
    <row r="361">
      <c r="A361" s="32">
        <v>45593.0</v>
      </c>
      <c r="B361" s="9">
        <v>45558.0</v>
      </c>
      <c r="C361" s="9">
        <f t="shared" si="22"/>
        <v>45593</v>
      </c>
      <c r="D361" s="11" t="s">
        <v>173</v>
      </c>
      <c r="E361" s="11" t="s">
        <v>25</v>
      </c>
      <c r="F361" s="11" t="s">
        <v>26</v>
      </c>
      <c r="G361" s="11" t="s">
        <v>37</v>
      </c>
      <c r="H361" s="11" t="s">
        <v>338</v>
      </c>
      <c r="I361" s="12">
        <v>105.5</v>
      </c>
      <c r="J361" s="13"/>
      <c r="K361" s="13">
        <f t="shared" si="27"/>
        <v>105.5</v>
      </c>
      <c r="L361" s="25" t="s">
        <v>53</v>
      </c>
      <c r="M361" s="17">
        <v>45352.0</v>
      </c>
      <c r="N361" s="11" t="s">
        <v>175</v>
      </c>
      <c r="O361" s="10" t="str">
        <f t="shared" si="3"/>
        <v>10/2024</v>
      </c>
      <c r="P361" s="10" t="str">
        <f t="shared" si="29"/>
        <v>10/2024</v>
      </c>
      <c r="Q361" s="15" t="str">
        <f t="array" ref="Q361">IFERROR(XLOOKUP(N361,'Classificação'!A:A,'Classificação'!B:B),"")</f>
        <v>DESPESAS COM VEICULOS</v>
      </c>
      <c r="R361" s="15" t="str">
        <f t="array" ref="R361">IFERROR(XLOOKUP(Q361,'Classificação'!B:B,'Classificação'!C:C),"")</f>
        <v>DESPESAS FIXAS (-)</v>
      </c>
      <c r="S361" s="15">
        <f t="shared" si="5"/>
        <v>28</v>
      </c>
      <c r="T361" s="15">
        <f t="shared" si="6"/>
        <v>10</v>
      </c>
      <c r="U361" s="15">
        <f t="shared" si="7"/>
        <v>2024</v>
      </c>
      <c r="V361" s="15">
        <f t="shared" si="8"/>
        <v>28</v>
      </c>
      <c r="W361" s="15">
        <f t="shared" si="9"/>
        <v>10</v>
      </c>
      <c r="X361" s="15">
        <f t="shared" si="10"/>
        <v>2024</v>
      </c>
    </row>
    <row r="362">
      <c r="A362" s="32">
        <v>45594.0</v>
      </c>
      <c r="B362" s="10"/>
      <c r="C362" s="9">
        <f t="shared" si="22"/>
        <v>45594</v>
      </c>
      <c r="D362" s="11" t="s">
        <v>74</v>
      </c>
      <c r="E362" s="11" t="s">
        <v>25</v>
      </c>
      <c r="F362" s="11" t="s">
        <v>32</v>
      </c>
      <c r="G362" s="11" t="s">
        <v>27</v>
      </c>
      <c r="I362" s="12">
        <v>330.0</v>
      </c>
      <c r="J362" s="13"/>
      <c r="K362" s="13">
        <f t="shared" si="27"/>
        <v>330</v>
      </c>
      <c r="L362" s="11" t="s">
        <v>29</v>
      </c>
      <c r="M362" s="14"/>
      <c r="N362" s="11" t="s">
        <v>204</v>
      </c>
      <c r="O362" s="10" t="str">
        <f t="shared" si="3"/>
        <v>10/2024</v>
      </c>
      <c r="P362" s="10" t="str">
        <f t="shared" si="29"/>
        <v>10/2024</v>
      </c>
      <c r="Q362" s="15" t="str">
        <f t="array" ref="Q362">IFERROR(XLOOKUP(N362,'Classificação'!A:A,'Classificação'!B:B),"")</f>
        <v>DESPESAS COM PESSOAL</v>
      </c>
      <c r="R362" s="15" t="str">
        <f t="array" ref="R362">IFERROR(XLOOKUP(Q362,'Classificação'!B:B,'Classificação'!C:C),"")</f>
        <v>DESPESAS FIXAS (-)</v>
      </c>
      <c r="S362" s="15">
        <f t="shared" si="5"/>
        <v>29</v>
      </c>
      <c r="T362" s="15">
        <f t="shared" si="6"/>
        <v>10</v>
      </c>
      <c r="U362" s="15">
        <f t="shared" si="7"/>
        <v>2024</v>
      </c>
      <c r="V362" s="15">
        <f t="shared" si="8"/>
        <v>29</v>
      </c>
      <c r="W362" s="15">
        <f t="shared" si="9"/>
        <v>10</v>
      </c>
      <c r="X362" s="15">
        <f t="shared" si="10"/>
        <v>2024</v>
      </c>
    </row>
    <row r="363">
      <c r="A363" s="32">
        <v>45594.0</v>
      </c>
      <c r="B363" s="10"/>
      <c r="C363" s="9">
        <f t="shared" si="22"/>
        <v>45594</v>
      </c>
      <c r="D363" s="11" t="s">
        <v>83</v>
      </c>
      <c r="E363" s="11" t="s">
        <v>25</v>
      </c>
      <c r="F363" s="11" t="s">
        <v>40</v>
      </c>
      <c r="G363" s="11" t="s">
        <v>27</v>
      </c>
      <c r="I363" s="12">
        <v>330.0</v>
      </c>
      <c r="J363" s="13"/>
      <c r="K363" s="13">
        <f t="shared" si="27"/>
        <v>330</v>
      </c>
      <c r="L363" s="11" t="s">
        <v>29</v>
      </c>
      <c r="M363" s="14"/>
      <c r="N363" s="11" t="s">
        <v>204</v>
      </c>
      <c r="O363" s="10" t="str">
        <f t="shared" si="3"/>
        <v>10/2024</v>
      </c>
      <c r="P363" s="10" t="str">
        <f t="shared" si="29"/>
        <v>10/2024</v>
      </c>
      <c r="Q363" s="15" t="str">
        <f t="array" ref="Q363">IFERROR(XLOOKUP(N363,'Classificação'!A:A,'Classificação'!B:B),"")</f>
        <v>DESPESAS COM PESSOAL</v>
      </c>
      <c r="R363" s="15" t="str">
        <f t="array" ref="R363">IFERROR(XLOOKUP(Q363,'Classificação'!B:B,'Classificação'!C:C),"")</f>
        <v>DESPESAS FIXAS (-)</v>
      </c>
      <c r="S363" s="15">
        <f t="shared" si="5"/>
        <v>29</v>
      </c>
      <c r="T363" s="15">
        <f t="shared" si="6"/>
        <v>10</v>
      </c>
      <c r="U363" s="15">
        <f t="shared" si="7"/>
        <v>2024</v>
      </c>
      <c r="V363" s="15">
        <f t="shared" si="8"/>
        <v>29</v>
      </c>
      <c r="W363" s="15">
        <f t="shared" si="9"/>
        <v>10</v>
      </c>
      <c r="X363" s="15">
        <f t="shared" si="10"/>
        <v>2024</v>
      </c>
    </row>
    <row r="364">
      <c r="A364" s="32">
        <v>45594.0</v>
      </c>
      <c r="B364" s="10"/>
      <c r="C364" s="9">
        <f t="shared" si="22"/>
        <v>45594</v>
      </c>
      <c r="D364" s="11" t="s">
        <v>80</v>
      </c>
      <c r="E364" s="11" t="s">
        <v>25</v>
      </c>
      <c r="F364" s="11" t="s">
        <v>40</v>
      </c>
      <c r="G364" s="11" t="s">
        <v>27</v>
      </c>
      <c r="I364" s="12">
        <v>330.0</v>
      </c>
      <c r="J364" s="13"/>
      <c r="K364" s="13">
        <f t="shared" si="27"/>
        <v>330</v>
      </c>
      <c r="L364" s="11" t="s">
        <v>29</v>
      </c>
      <c r="M364" s="14"/>
      <c r="N364" s="11" t="s">
        <v>204</v>
      </c>
      <c r="O364" s="10" t="str">
        <f t="shared" si="3"/>
        <v>10/2024</v>
      </c>
      <c r="P364" s="10" t="str">
        <f t="shared" si="29"/>
        <v>10/2024</v>
      </c>
      <c r="Q364" s="15" t="str">
        <f t="array" ref="Q364">IFERROR(XLOOKUP(N364,'Classificação'!A:A,'Classificação'!B:B),"")</f>
        <v>DESPESAS COM PESSOAL</v>
      </c>
      <c r="R364" s="15" t="str">
        <f t="array" ref="R364">IFERROR(XLOOKUP(Q364,'Classificação'!B:B,'Classificação'!C:C),"")</f>
        <v>DESPESAS FIXAS (-)</v>
      </c>
      <c r="S364" s="15">
        <f t="shared" si="5"/>
        <v>29</v>
      </c>
      <c r="T364" s="15">
        <f t="shared" si="6"/>
        <v>10</v>
      </c>
      <c r="U364" s="15">
        <f t="shared" si="7"/>
        <v>2024</v>
      </c>
      <c r="V364" s="15">
        <f t="shared" si="8"/>
        <v>29</v>
      </c>
      <c r="W364" s="15">
        <f t="shared" si="9"/>
        <v>10</v>
      </c>
      <c r="X364" s="15">
        <f t="shared" si="10"/>
        <v>2024</v>
      </c>
    </row>
    <row r="365">
      <c r="A365" s="9">
        <v>45594.0</v>
      </c>
      <c r="B365" s="10"/>
      <c r="C365" s="9">
        <f t="shared" si="22"/>
        <v>45594</v>
      </c>
      <c r="D365" s="11" t="s">
        <v>221</v>
      </c>
      <c r="E365" s="11" t="s">
        <v>25</v>
      </c>
      <c r="F365" s="11" t="s">
        <v>32</v>
      </c>
      <c r="G365" s="11" t="s">
        <v>27</v>
      </c>
      <c r="H365" s="11" t="s">
        <v>222</v>
      </c>
      <c r="I365" s="12">
        <v>380.54</v>
      </c>
      <c r="J365" s="13"/>
      <c r="K365" s="13">
        <f t="shared" si="27"/>
        <v>380.54</v>
      </c>
      <c r="L365" s="11" t="s">
        <v>29</v>
      </c>
      <c r="M365" s="14"/>
      <c r="N365" s="11" t="s">
        <v>61</v>
      </c>
      <c r="O365" s="10" t="str">
        <f t="shared" si="3"/>
        <v>10/2024</v>
      </c>
      <c r="P365" s="10" t="str">
        <f t="shared" si="29"/>
        <v>10/2024</v>
      </c>
      <c r="Q365" s="15" t="str">
        <f t="array" ref="Q365">IFERROR(XLOOKUP(N365,'Classificação'!A:A,'Classificação'!B:B),"")</f>
        <v>DESPESAS ADMINISTRATIVAS</v>
      </c>
      <c r="R365" s="15" t="str">
        <f t="array" ref="R365">IFERROR(XLOOKUP(Q365,'Classificação'!B:B,'Classificação'!C:C),"")</f>
        <v>DESPESAS FIXAS (-)</v>
      </c>
      <c r="S365" s="15">
        <f t="shared" si="5"/>
        <v>29</v>
      </c>
      <c r="T365" s="15">
        <f t="shared" si="6"/>
        <v>10</v>
      </c>
      <c r="U365" s="15">
        <f t="shared" si="7"/>
        <v>2024</v>
      </c>
      <c r="V365" s="15">
        <f t="shared" si="8"/>
        <v>29</v>
      </c>
      <c r="W365" s="15">
        <f t="shared" si="9"/>
        <v>10</v>
      </c>
      <c r="X365" s="15">
        <f t="shared" si="10"/>
        <v>2024</v>
      </c>
    </row>
    <row r="366">
      <c r="A366" s="32">
        <v>45595.0</v>
      </c>
      <c r="B366" s="10"/>
      <c r="C366" s="9">
        <f t="shared" si="22"/>
        <v>45595</v>
      </c>
      <c r="D366" s="11" t="s">
        <v>74</v>
      </c>
      <c r="E366" s="11" t="s">
        <v>25</v>
      </c>
      <c r="F366" s="11" t="s">
        <v>32</v>
      </c>
      <c r="G366" s="11" t="s">
        <v>27</v>
      </c>
      <c r="I366" s="12">
        <v>838.36</v>
      </c>
      <c r="J366" s="13"/>
      <c r="K366" s="13">
        <f t="shared" si="27"/>
        <v>838.36</v>
      </c>
      <c r="L366" s="11" t="s">
        <v>29</v>
      </c>
      <c r="M366" s="14"/>
      <c r="N366" s="11" t="s">
        <v>38</v>
      </c>
      <c r="O366" s="10" t="str">
        <f t="shared" si="3"/>
        <v>10/2024</v>
      </c>
      <c r="P366" s="10" t="str">
        <f t="shared" si="29"/>
        <v>10/2024</v>
      </c>
      <c r="Q366" s="15" t="str">
        <f t="array" ref="Q366">IFERROR(XLOOKUP(N366,'Classificação'!A:A,'Classificação'!B:B),"")</f>
        <v>DESPESAS COM PESSOAL</v>
      </c>
      <c r="R366" s="15" t="str">
        <f t="array" ref="R366">IFERROR(XLOOKUP(Q366,'Classificação'!B:B,'Classificação'!C:C),"")</f>
        <v>DESPESAS FIXAS (-)</v>
      </c>
      <c r="S366" s="15">
        <f t="shared" si="5"/>
        <v>30</v>
      </c>
      <c r="T366" s="15">
        <f t="shared" si="6"/>
        <v>10</v>
      </c>
      <c r="U366" s="15">
        <f t="shared" si="7"/>
        <v>2024</v>
      </c>
      <c r="V366" s="15">
        <f t="shared" si="8"/>
        <v>30</v>
      </c>
      <c r="W366" s="15">
        <f t="shared" si="9"/>
        <v>10</v>
      </c>
      <c r="X366" s="15">
        <f t="shared" si="10"/>
        <v>2024</v>
      </c>
    </row>
    <row r="367">
      <c r="A367" s="9">
        <v>45595.0</v>
      </c>
      <c r="B367" s="10"/>
      <c r="C367" s="9">
        <f t="shared" si="22"/>
        <v>45595</v>
      </c>
      <c r="D367" s="11" t="s">
        <v>79</v>
      </c>
      <c r="E367" s="11" t="s">
        <v>25</v>
      </c>
      <c r="F367" s="11" t="s">
        <v>26</v>
      </c>
      <c r="G367" s="11" t="s">
        <v>37</v>
      </c>
      <c r="H367" s="11" t="s">
        <v>339</v>
      </c>
      <c r="I367" s="12">
        <v>620.0</v>
      </c>
      <c r="J367" s="13"/>
      <c r="K367" s="13">
        <f t="shared" si="27"/>
        <v>620</v>
      </c>
      <c r="L367" s="11" t="s">
        <v>29</v>
      </c>
      <c r="M367" s="14"/>
      <c r="N367" s="11" t="s">
        <v>38</v>
      </c>
      <c r="O367" s="10" t="str">
        <f t="shared" si="3"/>
        <v>10/2024</v>
      </c>
      <c r="P367" s="10" t="str">
        <f t="shared" si="29"/>
        <v>10/2024</v>
      </c>
      <c r="Q367" s="15" t="str">
        <f t="array" ref="Q367">IFERROR(XLOOKUP(N367,'Classificação'!A:A,'Classificação'!B:B),"")</f>
        <v>DESPESAS COM PESSOAL</v>
      </c>
      <c r="R367" s="15" t="str">
        <f t="array" ref="R367">IFERROR(XLOOKUP(Q367,'Classificação'!B:B,'Classificação'!C:C),"")</f>
        <v>DESPESAS FIXAS (-)</v>
      </c>
      <c r="S367" s="15">
        <f t="shared" si="5"/>
        <v>30</v>
      </c>
      <c r="T367" s="15">
        <f t="shared" si="6"/>
        <v>10</v>
      </c>
      <c r="U367" s="15">
        <f t="shared" si="7"/>
        <v>2024</v>
      </c>
      <c r="V367" s="15">
        <f t="shared" si="8"/>
        <v>30</v>
      </c>
      <c r="W367" s="15">
        <f t="shared" si="9"/>
        <v>10</v>
      </c>
      <c r="X367" s="15">
        <f t="shared" si="10"/>
        <v>2024</v>
      </c>
    </row>
    <row r="368">
      <c r="A368" s="9">
        <v>45595.0</v>
      </c>
      <c r="B368" s="10"/>
      <c r="C368" s="9">
        <f t="shared" si="22"/>
        <v>45595</v>
      </c>
      <c r="D368" s="11" t="s">
        <v>223</v>
      </c>
      <c r="E368" s="11" t="s">
        <v>25</v>
      </c>
      <c r="F368" s="11" t="s">
        <v>32</v>
      </c>
      <c r="G368" s="11" t="s">
        <v>27</v>
      </c>
      <c r="I368" s="12">
        <v>100.0</v>
      </c>
      <c r="J368" s="13"/>
      <c r="K368" s="13">
        <f t="shared" si="27"/>
        <v>100</v>
      </c>
      <c r="L368" s="11" t="s">
        <v>29</v>
      </c>
      <c r="M368" s="14"/>
      <c r="N368" s="11" t="s">
        <v>224</v>
      </c>
      <c r="O368" s="10" t="str">
        <f t="shared" si="3"/>
        <v>10/2024</v>
      </c>
      <c r="P368" s="10" t="str">
        <f t="shared" si="29"/>
        <v>10/2024</v>
      </c>
      <c r="Q368" s="15" t="str">
        <f t="array" ref="Q368">IFERROR(XLOOKUP(N368,'Classificação'!A:A,'Classificação'!B:B),"")</f>
        <v>DESPESAS ADMINISTRATIVAS</v>
      </c>
      <c r="R368" s="15" t="str">
        <f t="array" ref="R368">IFERROR(XLOOKUP(Q368,'Classificação'!B:B,'Classificação'!C:C),"")</f>
        <v>DESPESAS FIXAS (-)</v>
      </c>
      <c r="S368" s="15">
        <f t="shared" si="5"/>
        <v>30</v>
      </c>
      <c r="T368" s="15">
        <f t="shared" si="6"/>
        <v>10</v>
      </c>
      <c r="U368" s="15">
        <f t="shared" si="7"/>
        <v>2024</v>
      </c>
      <c r="V368" s="15">
        <f t="shared" si="8"/>
        <v>30</v>
      </c>
      <c r="W368" s="15">
        <f t="shared" si="9"/>
        <v>10</v>
      </c>
      <c r="X368" s="15">
        <f t="shared" si="10"/>
        <v>2024</v>
      </c>
    </row>
    <row r="369">
      <c r="A369" s="32">
        <v>45595.0</v>
      </c>
      <c r="B369" s="10"/>
      <c r="C369" s="9">
        <f t="shared" si="22"/>
        <v>45595</v>
      </c>
      <c r="D369" s="11" t="s">
        <v>80</v>
      </c>
      <c r="E369" s="11" t="s">
        <v>25</v>
      </c>
      <c r="F369" s="11" t="s">
        <v>32</v>
      </c>
      <c r="G369" s="11" t="s">
        <v>27</v>
      </c>
      <c r="H369" s="11" t="s">
        <v>225</v>
      </c>
      <c r="I369" s="12">
        <v>1063.95</v>
      </c>
      <c r="J369" s="13"/>
      <c r="K369" s="13">
        <f t="shared" si="27"/>
        <v>1063.95</v>
      </c>
      <c r="L369" s="11" t="s">
        <v>29</v>
      </c>
      <c r="M369" s="14"/>
      <c r="N369" s="11" t="s">
        <v>38</v>
      </c>
      <c r="O369" s="10" t="str">
        <f t="shared" si="3"/>
        <v>10/2024</v>
      </c>
      <c r="P369" s="10" t="str">
        <f t="shared" si="29"/>
        <v>10/2024</v>
      </c>
      <c r="Q369" s="15" t="str">
        <f t="array" ref="Q369">IFERROR(XLOOKUP(N369,'Classificação'!A:A,'Classificação'!B:B),"")</f>
        <v>DESPESAS COM PESSOAL</v>
      </c>
      <c r="R369" s="15" t="str">
        <f t="array" ref="R369">IFERROR(XLOOKUP(Q369,'Classificação'!B:B,'Classificação'!C:C),"")</f>
        <v>DESPESAS FIXAS (-)</v>
      </c>
      <c r="S369" s="15">
        <f t="shared" si="5"/>
        <v>30</v>
      </c>
      <c r="T369" s="15">
        <f t="shared" si="6"/>
        <v>10</v>
      </c>
      <c r="U369" s="15">
        <f t="shared" si="7"/>
        <v>2024</v>
      </c>
      <c r="V369" s="15">
        <f t="shared" si="8"/>
        <v>30</v>
      </c>
      <c r="W369" s="15">
        <f t="shared" si="9"/>
        <v>10</v>
      </c>
      <c r="X369" s="15">
        <f t="shared" si="10"/>
        <v>2024</v>
      </c>
    </row>
    <row r="370">
      <c r="A370" s="32">
        <v>45595.0</v>
      </c>
      <c r="B370" s="10"/>
      <c r="C370" s="9">
        <f t="shared" si="22"/>
        <v>45595</v>
      </c>
      <c r="D370" s="11" t="s">
        <v>83</v>
      </c>
      <c r="E370" s="11" t="s">
        <v>25</v>
      </c>
      <c r="F370" s="11" t="s">
        <v>40</v>
      </c>
      <c r="G370" s="11" t="s">
        <v>27</v>
      </c>
      <c r="I370" s="12">
        <v>1105.42</v>
      </c>
      <c r="J370" s="13"/>
      <c r="K370" s="13">
        <f t="shared" si="27"/>
        <v>1105.42</v>
      </c>
      <c r="L370" s="11" t="s">
        <v>29</v>
      </c>
      <c r="M370" s="14"/>
      <c r="N370" s="11" t="s">
        <v>38</v>
      </c>
      <c r="O370" s="10" t="str">
        <f t="shared" si="3"/>
        <v>10/2024</v>
      </c>
      <c r="P370" s="10" t="str">
        <f t="shared" si="29"/>
        <v>10/2024</v>
      </c>
      <c r="Q370" s="15" t="str">
        <f t="array" ref="Q370">IFERROR(XLOOKUP(N370,'Classificação'!A:A,'Classificação'!B:B),"")</f>
        <v>DESPESAS COM PESSOAL</v>
      </c>
      <c r="R370" s="15" t="str">
        <f t="array" ref="R370">IFERROR(XLOOKUP(Q370,'Classificação'!B:B,'Classificação'!C:C),"")</f>
        <v>DESPESAS FIXAS (-)</v>
      </c>
      <c r="S370" s="15">
        <f t="shared" si="5"/>
        <v>30</v>
      </c>
      <c r="T370" s="15">
        <f t="shared" si="6"/>
        <v>10</v>
      </c>
      <c r="U370" s="15">
        <f t="shared" si="7"/>
        <v>2024</v>
      </c>
      <c r="V370" s="15">
        <f t="shared" si="8"/>
        <v>30</v>
      </c>
      <c r="W370" s="15">
        <f t="shared" si="9"/>
        <v>10</v>
      </c>
      <c r="X370" s="15">
        <f t="shared" si="10"/>
        <v>2024</v>
      </c>
    </row>
    <row r="371">
      <c r="A371" s="32">
        <v>45596.0</v>
      </c>
      <c r="B371" s="10"/>
      <c r="C371" s="9">
        <f t="shared" si="22"/>
        <v>45596</v>
      </c>
      <c r="D371" s="11" t="s">
        <v>137</v>
      </c>
      <c r="E371" s="11" t="s">
        <v>25</v>
      </c>
      <c r="F371" s="11" t="s">
        <v>26</v>
      </c>
      <c r="G371" s="11" t="s">
        <v>37</v>
      </c>
      <c r="H371" s="11" t="s">
        <v>340</v>
      </c>
      <c r="I371" s="12">
        <v>10.68</v>
      </c>
      <c r="J371" s="13"/>
      <c r="K371" s="13">
        <f t="shared" si="27"/>
        <v>10.68</v>
      </c>
      <c r="L371" s="11" t="s">
        <v>34</v>
      </c>
      <c r="M371" s="14"/>
      <c r="N371" s="11" t="s">
        <v>68</v>
      </c>
      <c r="O371" s="10" t="str">
        <f t="shared" si="3"/>
        <v>10/2024</v>
      </c>
      <c r="P371" s="10" t="str">
        <f t="shared" si="29"/>
        <v>10/2024</v>
      </c>
      <c r="Q371" s="15" t="str">
        <f t="array" ref="Q371">IFERROR(XLOOKUP(N371,'Classificação'!A:A,'Classificação'!B:B),"")</f>
        <v>FRETE DE VENDAS</v>
      </c>
      <c r="R371" s="15" t="str">
        <f t="array" ref="R371">IFERROR(XLOOKUP(Q371,'Classificação'!B:B,'Classificação'!C:C),"")</f>
        <v>CUSTOS VARIÁVEIS</v>
      </c>
      <c r="S371" s="15">
        <f t="shared" si="5"/>
        <v>31</v>
      </c>
      <c r="T371" s="15">
        <f t="shared" si="6"/>
        <v>10</v>
      </c>
      <c r="U371" s="15">
        <f t="shared" si="7"/>
        <v>2024</v>
      </c>
      <c r="V371" s="15">
        <f t="shared" si="8"/>
        <v>31</v>
      </c>
      <c r="W371" s="15">
        <f t="shared" si="9"/>
        <v>10</v>
      </c>
      <c r="X371" s="15">
        <f t="shared" si="10"/>
        <v>2024</v>
      </c>
    </row>
    <row r="372">
      <c r="A372" s="9">
        <v>45597.0</v>
      </c>
      <c r="B372" s="10"/>
      <c r="C372" s="9">
        <f t="shared" si="22"/>
        <v>45597</v>
      </c>
      <c r="D372" s="11" t="s">
        <v>24</v>
      </c>
      <c r="E372" s="11" t="s">
        <v>25</v>
      </c>
      <c r="F372" s="11" t="s">
        <v>26</v>
      </c>
      <c r="G372" s="11" t="s">
        <v>27</v>
      </c>
      <c r="H372" s="11" t="s">
        <v>28</v>
      </c>
      <c r="I372" s="12">
        <v>6000.63</v>
      </c>
      <c r="J372" s="13"/>
      <c r="K372" s="13">
        <f t="shared" si="27"/>
        <v>6000.63</v>
      </c>
      <c r="L372" s="11" t="s">
        <v>29</v>
      </c>
      <c r="M372" s="14"/>
      <c r="N372" s="11" t="s">
        <v>30</v>
      </c>
      <c r="O372" s="10" t="str">
        <f t="shared" si="3"/>
        <v>11/2024</v>
      </c>
      <c r="P372" s="10" t="str">
        <f t="shared" si="29"/>
        <v>11/2024</v>
      </c>
      <c r="Q372" s="15" t="str">
        <f t="array" ref="Q372">IFERROR(XLOOKUP(N372,'Classificação'!A:A,'Classificação'!B:B),"")</f>
        <v>DESPESAS COM OCUPAÇÃO</v>
      </c>
      <c r="R372" s="15" t="str">
        <f t="array" ref="R372">IFERROR(XLOOKUP(Q372,'Classificação'!B:B,'Classificação'!C:C),"")</f>
        <v>DESPESAS FIXAS (-)</v>
      </c>
      <c r="S372" s="15">
        <f t="shared" si="5"/>
        <v>1</v>
      </c>
      <c r="T372" s="15">
        <f t="shared" si="6"/>
        <v>11</v>
      </c>
      <c r="U372" s="15">
        <f t="shared" si="7"/>
        <v>2024</v>
      </c>
      <c r="V372" s="15">
        <f t="shared" si="8"/>
        <v>1</v>
      </c>
      <c r="W372" s="15">
        <f t="shared" si="9"/>
        <v>11</v>
      </c>
      <c r="X372" s="15">
        <f t="shared" si="10"/>
        <v>2024</v>
      </c>
    </row>
    <row r="373">
      <c r="A373" s="9">
        <v>45597.0</v>
      </c>
      <c r="B373" s="10"/>
      <c r="C373" s="9">
        <f t="shared" si="22"/>
        <v>45597</v>
      </c>
      <c r="D373" s="11" t="s">
        <v>288</v>
      </c>
      <c r="E373" s="11" t="s">
        <v>25</v>
      </c>
      <c r="F373" s="11" t="s">
        <v>26</v>
      </c>
      <c r="G373" s="11" t="s">
        <v>27</v>
      </c>
      <c r="H373" s="11" t="s">
        <v>289</v>
      </c>
      <c r="I373" s="12">
        <v>59.5</v>
      </c>
      <c r="J373" s="13"/>
      <c r="K373" s="13">
        <f t="shared" si="27"/>
        <v>59.5</v>
      </c>
      <c r="L373" s="11" t="s">
        <v>29</v>
      </c>
      <c r="M373" s="16"/>
      <c r="N373" s="11" t="s">
        <v>105</v>
      </c>
      <c r="O373" s="10" t="str">
        <f t="shared" si="3"/>
        <v>11/2024</v>
      </c>
      <c r="P373" s="10" t="str">
        <f t="shared" si="29"/>
        <v>11/2024</v>
      </c>
      <c r="Q373" s="15" t="str">
        <f t="array" ref="Q373">IFERROR(XLOOKUP(N373,'Classificação'!A:A,'Classificação'!B:B),"")</f>
        <v>DESPESAS ADMINISTRATIVAS</v>
      </c>
      <c r="R373" s="15" t="str">
        <f t="array" ref="R373">IFERROR(XLOOKUP(Q373,'Classificação'!B:B,'Classificação'!C:C),"")</f>
        <v>DESPESAS FIXAS (-)</v>
      </c>
      <c r="S373" s="15">
        <f t="shared" si="5"/>
        <v>1</v>
      </c>
      <c r="T373" s="15">
        <f t="shared" si="6"/>
        <v>11</v>
      </c>
      <c r="U373" s="15">
        <f t="shared" si="7"/>
        <v>2024</v>
      </c>
      <c r="V373" s="15">
        <f t="shared" si="8"/>
        <v>1</v>
      </c>
      <c r="W373" s="15">
        <f t="shared" si="9"/>
        <v>11</v>
      </c>
      <c r="X373" s="15">
        <f t="shared" si="10"/>
        <v>2024</v>
      </c>
    </row>
    <row r="374">
      <c r="A374" s="9">
        <v>45597.0</v>
      </c>
      <c r="B374" s="10"/>
      <c r="C374" s="9">
        <f t="shared" si="22"/>
        <v>45597</v>
      </c>
      <c r="D374" s="11" t="s">
        <v>341</v>
      </c>
      <c r="E374" s="11" t="s">
        <v>25</v>
      </c>
      <c r="F374" s="11" t="s">
        <v>26</v>
      </c>
      <c r="G374" s="11" t="s">
        <v>27</v>
      </c>
      <c r="H374" s="11" t="s">
        <v>342</v>
      </c>
      <c r="I374" s="12">
        <v>150.0</v>
      </c>
      <c r="J374" s="13"/>
      <c r="K374" s="13">
        <f t="shared" si="27"/>
        <v>150</v>
      </c>
      <c r="L374" s="11" t="s">
        <v>34</v>
      </c>
      <c r="M374" s="14"/>
      <c r="N374" s="11" t="s">
        <v>120</v>
      </c>
      <c r="O374" s="10" t="str">
        <f t="shared" si="3"/>
        <v>11/2024</v>
      </c>
      <c r="P374" s="10" t="str">
        <f t="shared" si="29"/>
        <v>11/2024</v>
      </c>
      <c r="Q374" s="15" t="str">
        <f t="array" ref="Q374">IFERROR(XLOOKUP(N374,'Classificação'!A:A,'Classificação'!B:B),"")</f>
        <v>DESPESAS ADMINISTRATIVAS</v>
      </c>
      <c r="R374" s="15" t="str">
        <f t="array" ref="R374">IFERROR(XLOOKUP(Q374,'Classificação'!B:B,'Classificação'!C:C),"")</f>
        <v>DESPESAS FIXAS (-)</v>
      </c>
      <c r="S374" s="15">
        <f t="shared" si="5"/>
        <v>1</v>
      </c>
      <c r="T374" s="15">
        <f t="shared" si="6"/>
        <v>11</v>
      </c>
      <c r="U374" s="15">
        <f t="shared" si="7"/>
        <v>2024</v>
      </c>
      <c r="V374" s="15">
        <f t="shared" si="8"/>
        <v>1</v>
      </c>
      <c r="W374" s="15">
        <f t="shared" si="9"/>
        <v>11</v>
      </c>
      <c r="X374" s="15">
        <f t="shared" si="10"/>
        <v>2024</v>
      </c>
    </row>
    <row r="375">
      <c r="A375" s="9">
        <v>45600.0</v>
      </c>
      <c r="B375" s="10"/>
      <c r="C375" s="9">
        <f t="shared" si="22"/>
        <v>45600</v>
      </c>
      <c r="D375" s="11" t="s">
        <v>44</v>
      </c>
      <c r="E375" s="11" t="s">
        <v>25</v>
      </c>
      <c r="F375" s="11" t="s">
        <v>45</v>
      </c>
      <c r="G375" s="11" t="s">
        <v>27</v>
      </c>
      <c r="H375" s="11" t="s">
        <v>343</v>
      </c>
      <c r="I375" s="12">
        <v>3339.3</v>
      </c>
      <c r="J375" s="13"/>
      <c r="K375" s="13">
        <f t="shared" si="27"/>
        <v>3339.3</v>
      </c>
      <c r="L375" s="11" t="s">
        <v>53</v>
      </c>
      <c r="M375" s="16" t="s">
        <v>344</v>
      </c>
      <c r="N375" s="11" t="s">
        <v>73</v>
      </c>
      <c r="O375" s="10" t="str">
        <f t="shared" si="3"/>
        <v>11/2024</v>
      </c>
      <c r="P375" s="10" t="str">
        <f t="shared" si="29"/>
        <v>11/2024</v>
      </c>
      <c r="Q375" s="15" t="str">
        <f t="array" ref="Q375">IFERROR(XLOOKUP(N375,'Classificação'!A:A,'Classificação'!B:B),"")</f>
        <v>DESPESAS NÃO OPERACIONAIS</v>
      </c>
      <c r="R375" s="15" t="str">
        <f t="array" ref="R375">IFERROR(XLOOKUP(Q375,'Classificação'!B:B,'Classificação'!C:C),"")</f>
        <v>RESULTADO NÃO OPERACIONAL (+/-)</v>
      </c>
      <c r="S375" s="15">
        <f t="shared" si="5"/>
        <v>4</v>
      </c>
      <c r="T375" s="15">
        <f t="shared" si="6"/>
        <v>11</v>
      </c>
      <c r="U375" s="15">
        <f t="shared" si="7"/>
        <v>2024</v>
      </c>
      <c r="V375" s="15">
        <f t="shared" si="8"/>
        <v>4</v>
      </c>
      <c r="W375" s="15">
        <f t="shared" si="9"/>
        <v>11</v>
      </c>
      <c r="X375" s="15">
        <f t="shared" si="10"/>
        <v>2024</v>
      </c>
    </row>
    <row r="376">
      <c r="A376" s="9">
        <v>45600.0</v>
      </c>
      <c r="B376" s="10"/>
      <c r="C376" s="9">
        <f t="shared" si="22"/>
        <v>45600</v>
      </c>
      <c r="D376" s="11" t="s">
        <v>345</v>
      </c>
      <c r="E376" s="11" t="s">
        <v>25</v>
      </c>
      <c r="F376" s="11" t="s">
        <v>26</v>
      </c>
      <c r="G376" s="11" t="s">
        <v>27</v>
      </c>
      <c r="H376" s="11" t="s">
        <v>346</v>
      </c>
      <c r="I376" s="12">
        <v>300.0</v>
      </c>
      <c r="J376" s="13"/>
      <c r="K376" s="13">
        <f t="shared" si="27"/>
        <v>300</v>
      </c>
      <c r="L376" s="11" t="s">
        <v>34</v>
      </c>
      <c r="M376" s="14"/>
      <c r="N376" s="11" t="s">
        <v>347</v>
      </c>
      <c r="O376" s="10" t="str">
        <f t="shared" si="3"/>
        <v>11/2024</v>
      </c>
      <c r="P376" s="10" t="str">
        <f t="shared" si="29"/>
        <v>11/2024</v>
      </c>
      <c r="Q376" s="15" t="str">
        <f t="array" ref="Q376">IFERROR(XLOOKUP(N376,'Classificação'!A:A,'Classificação'!B:B),"")</f>
        <v>DESPESAS ADMINISTRATIVAS</v>
      </c>
      <c r="R376" s="15" t="str">
        <f t="array" ref="R376">IFERROR(XLOOKUP(Q376,'Classificação'!B:B,'Classificação'!C:C),"")</f>
        <v>DESPESAS FIXAS (-)</v>
      </c>
      <c r="S376" s="15">
        <f t="shared" si="5"/>
        <v>4</v>
      </c>
      <c r="T376" s="15">
        <f t="shared" si="6"/>
        <v>11</v>
      </c>
      <c r="U376" s="15">
        <f t="shared" si="7"/>
        <v>2024</v>
      </c>
      <c r="V376" s="15">
        <f t="shared" si="8"/>
        <v>4</v>
      </c>
      <c r="W376" s="15">
        <f t="shared" si="9"/>
        <v>11</v>
      </c>
      <c r="X376" s="15">
        <f t="shared" si="10"/>
        <v>2024</v>
      </c>
    </row>
    <row r="377">
      <c r="A377" s="9">
        <v>45600.0</v>
      </c>
      <c r="B377" s="10"/>
      <c r="C377" s="9">
        <f t="shared" si="22"/>
        <v>45600</v>
      </c>
      <c r="D377" s="11" t="s">
        <v>36</v>
      </c>
      <c r="E377" s="11" t="s">
        <v>25</v>
      </c>
      <c r="F377" s="11" t="s">
        <v>26</v>
      </c>
      <c r="G377" s="11" t="s">
        <v>37</v>
      </c>
      <c r="I377" s="12">
        <v>2500.0</v>
      </c>
      <c r="J377" s="13"/>
      <c r="K377" s="13">
        <f t="shared" si="27"/>
        <v>2500</v>
      </c>
      <c r="L377" s="11" t="s">
        <v>29</v>
      </c>
      <c r="M377" s="14"/>
      <c r="N377" s="11" t="s">
        <v>38</v>
      </c>
      <c r="O377" s="10" t="str">
        <f t="shared" si="3"/>
        <v>11/2024</v>
      </c>
      <c r="P377" s="10" t="str">
        <f t="shared" si="29"/>
        <v>11/2024</v>
      </c>
      <c r="Q377" s="15" t="str">
        <f t="array" ref="Q377">IFERROR(XLOOKUP(N377,'Classificação'!A:A,'Classificação'!B:B),"")</f>
        <v>DESPESAS COM PESSOAL</v>
      </c>
      <c r="R377" s="15" t="str">
        <f t="array" ref="R377">IFERROR(XLOOKUP(Q377,'Classificação'!B:B,'Classificação'!C:C),"")</f>
        <v>DESPESAS FIXAS (-)</v>
      </c>
      <c r="S377" s="15">
        <f t="shared" si="5"/>
        <v>4</v>
      </c>
      <c r="T377" s="15">
        <f t="shared" si="6"/>
        <v>11</v>
      </c>
      <c r="U377" s="15">
        <f t="shared" si="7"/>
        <v>2024</v>
      </c>
      <c r="V377" s="15">
        <f t="shared" si="8"/>
        <v>4</v>
      </c>
      <c r="W377" s="15">
        <f t="shared" si="9"/>
        <v>11</v>
      </c>
      <c r="X377" s="15">
        <f t="shared" si="10"/>
        <v>2024</v>
      </c>
    </row>
    <row r="378">
      <c r="A378" s="9">
        <v>45600.0</v>
      </c>
      <c r="B378" s="10"/>
      <c r="C378" s="9">
        <f t="shared" si="22"/>
        <v>45600</v>
      </c>
      <c r="D378" s="11" t="s">
        <v>43</v>
      </c>
      <c r="E378" s="11" t="s">
        <v>25</v>
      </c>
      <c r="F378" s="11" t="s">
        <v>26</v>
      </c>
      <c r="G378" s="11" t="s">
        <v>37</v>
      </c>
      <c r="I378" s="12">
        <v>2500.0</v>
      </c>
      <c r="J378" s="13"/>
      <c r="K378" s="13">
        <f t="shared" si="27"/>
        <v>2500</v>
      </c>
      <c r="L378" s="11" t="s">
        <v>29</v>
      </c>
      <c r="M378" s="14"/>
      <c r="N378" s="11" t="s">
        <v>38</v>
      </c>
      <c r="O378" s="10" t="str">
        <f t="shared" si="3"/>
        <v>11/2024</v>
      </c>
      <c r="P378" s="10" t="str">
        <f t="shared" si="29"/>
        <v>11/2024</v>
      </c>
      <c r="Q378" s="15" t="str">
        <f t="array" ref="Q378">IFERROR(XLOOKUP(N378,'Classificação'!A:A,'Classificação'!B:B),"")</f>
        <v>DESPESAS COM PESSOAL</v>
      </c>
      <c r="R378" s="15" t="str">
        <f t="array" ref="R378">IFERROR(XLOOKUP(Q378,'Classificação'!B:B,'Classificação'!C:C),"")</f>
        <v>DESPESAS FIXAS (-)</v>
      </c>
      <c r="S378" s="15">
        <f t="shared" si="5"/>
        <v>4</v>
      </c>
      <c r="T378" s="15">
        <f t="shared" si="6"/>
        <v>11</v>
      </c>
      <c r="U378" s="15">
        <f t="shared" si="7"/>
        <v>2024</v>
      </c>
      <c r="V378" s="15">
        <f t="shared" si="8"/>
        <v>4</v>
      </c>
      <c r="W378" s="15">
        <f t="shared" si="9"/>
        <v>11</v>
      </c>
      <c r="X378" s="15">
        <f t="shared" si="10"/>
        <v>2024</v>
      </c>
    </row>
    <row r="379">
      <c r="A379" s="26">
        <v>45600.0</v>
      </c>
      <c r="B379" s="30"/>
      <c r="C379" s="27">
        <f t="shared" si="22"/>
        <v>45600</v>
      </c>
      <c r="D379" s="28" t="s">
        <v>36</v>
      </c>
      <c r="E379" s="29" t="s">
        <v>25</v>
      </c>
      <c r="F379" s="28" t="s">
        <v>26</v>
      </c>
      <c r="G379" s="29" t="s">
        <v>27</v>
      </c>
      <c r="I379" s="12">
        <v>1301.0</v>
      </c>
      <c r="J379" s="13"/>
      <c r="K379" s="13">
        <f t="shared" si="27"/>
        <v>1301</v>
      </c>
      <c r="L379" s="11" t="s">
        <v>34</v>
      </c>
      <c r="M379" s="14"/>
      <c r="N379" s="11" t="s">
        <v>38</v>
      </c>
      <c r="O379" s="10" t="str">
        <f t="shared" si="3"/>
        <v>11/2024</v>
      </c>
      <c r="P379" s="10" t="str">
        <f t="shared" si="29"/>
        <v>11/2024</v>
      </c>
      <c r="Q379" s="15" t="str">
        <f t="array" ref="Q379">IFERROR(XLOOKUP(N379,'Classificação'!A:A,'Classificação'!B:B),"")</f>
        <v>DESPESAS COM PESSOAL</v>
      </c>
      <c r="R379" s="15" t="str">
        <f t="array" ref="R379">IFERROR(XLOOKUP(Q379,'Classificação'!B:B,'Classificação'!C:C),"")</f>
        <v>DESPESAS FIXAS (-)</v>
      </c>
      <c r="S379" s="15">
        <f t="shared" si="5"/>
        <v>4</v>
      </c>
      <c r="T379" s="15">
        <f t="shared" si="6"/>
        <v>11</v>
      </c>
      <c r="U379" s="15">
        <f t="shared" si="7"/>
        <v>2024</v>
      </c>
      <c r="V379" s="15">
        <f t="shared" si="8"/>
        <v>4</v>
      </c>
      <c r="W379" s="15">
        <f t="shared" si="9"/>
        <v>11</v>
      </c>
      <c r="X379" s="15">
        <f t="shared" si="10"/>
        <v>2024</v>
      </c>
    </row>
    <row r="380">
      <c r="A380" s="26">
        <v>45600.0</v>
      </c>
      <c r="B380" s="30"/>
      <c r="C380" s="27">
        <f t="shared" si="22"/>
        <v>45600</v>
      </c>
      <c r="D380" s="28" t="s">
        <v>43</v>
      </c>
      <c r="E380" s="29" t="s">
        <v>25</v>
      </c>
      <c r="F380" s="28" t="s">
        <v>26</v>
      </c>
      <c r="G380" s="29" t="s">
        <v>27</v>
      </c>
      <c r="I380" s="12">
        <v>1300.0</v>
      </c>
      <c r="J380" s="13"/>
      <c r="K380" s="13">
        <f t="shared" si="27"/>
        <v>1300</v>
      </c>
      <c r="L380" s="11" t="s">
        <v>34</v>
      </c>
      <c r="M380" s="14"/>
      <c r="N380" s="11" t="s">
        <v>38</v>
      </c>
      <c r="O380" s="10" t="str">
        <f t="shared" si="3"/>
        <v>11/2024</v>
      </c>
      <c r="P380" s="10" t="str">
        <f t="shared" si="29"/>
        <v>11/2024</v>
      </c>
      <c r="Q380" s="15" t="str">
        <f t="array" ref="Q380">IFERROR(XLOOKUP(N380,'Classificação'!A:A,'Classificação'!B:B),"")</f>
        <v>DESPESAS COM PESSOAL</v>
      </c>
      <c r="R380" s="15" t="str">
        <f t="array" ref="R380">IFERROR(XLOOKUP(Q380,'Classificação'!B:B,'Classificação'!C:C),"")</f>
        <v>DESPESAS FIXAS (-)</v>
      </c>
      <c r="S380" s="15">
        <f t="shared" si="5"/>
        <v>4</v>
      </c>
      <c r="T380" s="15">
        <f t="shared" si="6"/>
        <v>11</v>
      </c>
      <c r="U380" s="15">
        <f t="shared" si="7"/>
        <v>2024</v>
      </c>
      <c r="V380" s="15">
        <f t="shared" si="8"/>
        <v>4</v>
      </c>
      <c r="W380" s="15">
        <f t="shared" si="9"/>
        <v>11</v>
      </c>
      <c r="X380" s="15">
        <f t="shared" si="10"/>
        <v>2024</v>
      </c>
    </row>
    <row r="381">
      <c r="A381" s="9">
        <v>45601.0</v>
      </c>
      <c r="B381" s="10"/>
      <c r="C381" s="9">
        <f t="shared" si="22"/>
        <v>45601</v>
      </c>
      <c r="D381" s="11" t="s">
        <v>332</v>
      </c>
      <c r="E381" s="11" t="s">
        <v>25</v>
      </c>
      <c r="F381" s="11" t="s">
        <v>32</v>
      </c>
      <c r="G381" s="11" t="s">
        <v>27</v>
      </c>
      <c r="H381" s="11" t="s">
        <v>348</v>
      </c>
      <c r="I381" s="31">
        <v>7936.45</v>
      </c>
      <c r="J381" s="13"/>
      <c r="K381" s="13">
        <f t="shared" si="27"/>
        <v>7936.45</v>
      </c>
      <c r="L381" s="11" t="s">
        <v>34</v>
      </c>
      <c r="M381" s="14"/>
      <c r="N381" s="11" t="s">
        <v>35</v>
      </c>
      <c r="O381" s="10" t="str">
        <f t="shared" si="3"/>
        <v>11/2024</v>
      </c>
      <c r="P381" s="10" t="str">
        <f t="shared" si="29"/>
        <v>11/2024</v>
      </c>
      <c r="Q381" s="15" t="str">
        <f t="array" ref="Q381">IFERROR(XLOOKUP(N381,'Classificação'!A:A,'Classificação'!B:B),"")</f>
        <v>COMPRA DE MERCADORIA</v>
      </c>
      <c r="R381" s="15" t="str">
        <f t="array" ref="R381">IFERROR(XLOOKUP(Q381,'Classificação'!B:B,'Classificação'!C:C),"")</f>
        <v>CUSTOS VARIÁVEIS</v>
      </c>
      <c r="S381" s="15">
        <f t="shared" si="5"/>
        <v>5</v>
      </c>
      <c r="T381" s="15">
        <f t="shared" si="6"/>
        <v>11</v>
      </c>
      <c r="U381" s="15">
        <f t="shared" si="7"/>
        <v>2024</v>
      </c>
      <c r="V381" s="15">
        <f t="shared" si="8"/>
        <v>5</v>
      </c>
      <c r="W381" s="15">
        <f t="shared" si="9"/>
        <v>11</v>
      </c>
      <c r="X381" s="15">
        <f t="shared" si="10"/>
        <v>2024</v>
      </c>
    </row>
    <row r="382">
      <c r="A382" s="9">
        <v>45601.0</v>
      </c>
      <c r="B382" s="10"/>
      <c r="C382" s="9">
        <f t="shared" si="22"/>
        <v>45601</v>
      </c>
      <c r="D382" s="11" t="s">
        <v>76</v>
      </c>
      <c r="E382" s="11" t="s">
        <v>25</v>
      </c>
      <c r="F382" s="11" t="s">
        <v>26</v>
      </c>
      <c r="G382" s="11" t="s">
        <v>27</v>
      </c>
      <c r="H382" s="11" t="s">
        <v>84</v>
      </c>
      <c r="I382" s="24">
        <v>1214.27</v>
      </c>
      <c r="J382" s="13"/>
      <c r="K382" s="13">
        <f t="shared" si="27"/>
        <v>1214.27</v>
      </c>
      <c r="L382" s="11" t="s">
        <v>53</v>
      </c>
      <c r="M382" s="16" t="s">
        <v>349</v>
      </c>
      <c r="N382" s="11" t="s">
        <v>85</v>
      </c>
      <c r="O382" s="10" t="str">
        <f t="shared" si="3"/>
        <v>11/2024</v>
      </c>
      <c r="P382" s="10" t="str">
        <f t="shared" si="29"/>
        <v>11/2024</v>
      </c>
      <c r="Q382" s="15" t="str">
        <f t="array" ref="Q382">IFERROR(XLOOKUP(N382,'Classificação'!A:A,'Classificação'!B:B),"")</f>
        <v>DESPESAS NÃO OPERACIONAIS</v>
      </c>
      <c r="R382" s="15" t="str">
        <f t="array" ref="R382">IFERROR(XLOOKUP(Q382,'Classificação'!B:B,'Classificação'!C:C),"")</f>
        <v>RESULTADO NÃO OPERACIONAL (+/-)</v>
      </c>
      <c r="S382" s="15">
        <f t="shared" si="5"/>
        <v>5</v>
      </c>
      <c r="T382" s="15">
        <f t="shared" si="6"/>
        <v>11</v>
      </c>
      <c r="U382" s="15">
        <f t="shared" si="7"/>
        <v>2024</v>
      </c>
      <c r="V382" s="15">
        <f t="shared" si="8"/>
        <v>5</v>
      </c>
      <c r="W382" s="15">
        <f t="shared" si="9"/>
        <v>11</v>
      </c>
      <c r="X382" s="15">
        <f t="shared" si="10"/>
        <v>2024</v>
      </c>
    </row>
    <row r="383">
      <c r="A383" s="9">
        <v>45602.0</v>
      </c>
      <c r="B383" s="10"/>
      <c r="C383" s="9">
        <f t="shared" si="22"/>
        <v>45602</v>
      </c>
      <c r="D383" s="11" t="s">
        <v>86</v>
      </c>
      <c r="E383" s="11" t="s">
        <v>25</v>
      </c>
      <c r="F383" s="11" t="s">
        <v>26</v>
      </c>
      <c r="G383" s="11" t="s">
        <v>27</v>
      </c>
      <c r="H383" s="11" t="s">
        <v>350</v>
      </c>
      <c r="I383" s="12">
        <v>3905.0</v>
      </c>
      <c r="J383" s="13"/>
      <c r="K383" s="13">
        <f t="shared" si="27"/>
        <v>3905</v>
      </c>
      <c r="L383" s="11" t="s">
        <v>34</v>
      </c>
      <c r="M383" s="14"/>
      <c r="N383" s="11" t="s">
        <v>35</v>
      </c>
      <c r="O383" s="10" t="str">
        <f t="shared" si="3"/>
        <v>11/2024</v>
      </c>
      <c r="P383" s="10" t="str">
        <f t="shared" si="29"/>
        <v>11/2024</v>
      </c>
      <c r="Q383" s="15" t="str">
        <f t="array" ref="Q383">IFERROR(XLOOKUP(N383,'Classificação'!A:A,'Classificação'!B:B),"")</f>
        <v>COMPRA DE MERCADORIA</v>
      </c>
      <c r="R383" s="15" t="str">
        <f t="array" ref="R383">IFERROR(XLOOKUP(Q383,'Classificação'!B:B,'Classificação'!C:C),"")</f>
        <v>CUSTOS VARIÁVEIS</v>
      </c>
      <c r="S383" s="15">
        <f t="shared" si="5"/>
        <v>6</v>
      </c>
      <c r="T383" s="15">
        <f t="shared" si="6"/>
        <v>11</v>
      </c>
      <c r="U383" s="15">
        <f t="shared" si="7"/>
        <v>2024</v>
      </c>
      <c r="V383" s="15">
        <f t="shared" si="8"/>
        <v>6</v>
      </c>
      <c r="W383" s="15">
        <f t="shared" si="9"/>
        <v>11</v>
      </c>
      <c r="X383" s="15">
        <f t="shared" si="10"/>
        <v>2024</v>
      </c>
    </row>
    <row r="384">
      <c r="A384" s="9">
        <v>45602.0</v>
      </c>
      <c r="B384" s="10"/>
      <c r="C384" s="9">
        <f t="shared" si="22"/>
        <v>45602</v>
      </c>
      <c r="D384" s="11" t="s">
        <v>44</v>
      </c>
      <c r="E384" s="11" t="s">
        <v>25</v>
      </c>
      <c r="F384" s="11" t="s">
        <v>45</v>
      </c>
      <c r="G384" s="11" t="s">
        <v>27</v>
      </c>
      <c r="I384" s="12">
        <v>73.8</v>
      </c>
      <c r="J384" s="13"/>
      <c r="K384" s="13">
        <f t="shared" si="27"/>
        <v>73.8</v>
      </c>
      <c r="L384" s="11" t="s">
        <v>29</v>
      </c>
      <c r="M384" s="14"/>
      <c r="N384" s="11" t="s">
        <v>47</v>
      </c>
      <c r="O384" s="10" t="str">
        <f t="shared" si="3"/>
        <v>11/2024</v>
      </c>
      <c r="P384" s="10" t="str">
        <f t="shared" si="29"/>
        <v>11/2024</v>
      </c>
      <c r="Q384" s="15" t="str">
        <f t="array" ref="Q384">IFERROR(XLOOKUP(N384,'Classificação'!A:A,'Classificação'!B:B),"")</f>
        <v>DESPESAS NÃO OPERACIONAIS</v>
      </c>
      <c r="R384" s="15" t="str">
        <f t="array" ref="R384">IFERROR(XLOOKUP(Q384,'Classificação'!B:B,'Classificação'!C:C),"")</f>
        <v>RESULTADO NÃO OPERACIONAL (+/-)</v>
      </c>
      <c r="S384" s="15">
        <f t="shared" si="5"/>
        <v>6</v>
      </c>
      <c r="T384" s="15">
        <f t="shared" si="6"/>
        <v>11</v>
      </c>
      <c r="U384" s="15">
        <f t="shared" si="7"/>
        <v>2024</v>
      </c>
      <c r="V384" s="15">
        <f t="shared" si="8"/>
        <v>6</v>
      </c>
      <c r="W384" s="15">
        <f t="shared" si="9"/>
        <v>11</v>
      </c>
      <c r="X384" s="15">
        <f t="shared" si="10"/>
        <v>2024</v>
      </c>
    </row>
    <row r="385">
      <c r="A385" s="9">
        <v>45602.0</v>
      </c>
      <c r="B385" s="10"/>
      <c r="C385" s="9">
        <f t="shared" si="22"/>
        <v>45602</v>
      </c>
      <c r="D385" s="11" t="s">
        <v>282</v>
      </c>
      <c r="E385" s="11" t="s">
        <v>25</v>
      </c>
      <c r="F385" s="11" t="s">
        <v>26</v>
      </c>
      <c r="G385" s="11" t="s">
        <v>37</v>
      </c>
      <c r="H385" s="11" t="s">
        <v>351</v>
      </c>
      <c r="I385" s="12">
        <v>333.34</v>
      </c>
      <c r="J385" s="13"/>
      <c r="K385" s="13">
        <f t="shared" si="27"/>
        <v>333.34</v>
      </c>
      <c r="L385" s="11" t="s">
        <v>53</v>
      </c>
      <c r="M385" s="17">
        <v>45352.0</v>
      </c>
      <c r="N385" s="11" t="s">
        <v>61</v>
      </c>
      <c r="O385" s="10" t="str">
        <f t="shared" si="3"/>
        <v>11/2024</v>
      </c>
      <c r="P385" s="10" t="str">
        <f t="shared" si="29"/>
        <v>11/2024</v>
      </c>
      <c r="Q385" s="15" t="str">
        <f t="array" ref="Q385">IFERROR(XLOOKUP(N385,'Classificação'!A:A,'Classificação'!B:B),"")</f>
        <v>DESPESAS ADMINISTRATIVAS</v>
      </c>
      <c r="R385" s="15" t="str">
        <f t="array" ref="R385">IFERROR(XLOOKUP(Q385,'Classificação'!B:B,'Classificação'!C:C),"")</f>
        <v>DESPESAS FIXAS (-)</v>
      </c>
      <c r="S385" s="15">
        <f t="shared" si="5"/>
        <v>6</v>
      </c>
      <c r="T385" s="15">
        <f t="shared" si="6"/>
        <v>11</v>
      </c>
      <c r="U385" s="15">
        <f t="shared" si="7"/>
        <v>2024</v>
      </c>
      <c r="V385" s="15">
        <f t="shared" si="8"/>
        <v>6</v>
      </c>
      <c r="W385" s="15">
        <f t="shared" si="9"/>
        <v>11</v>
      </c>
      <c r="X385" s="15">
        <f t="shared" si="10"/>
        <v>2024</v>
      </c>
    </row>
    <row r="386">
      <c r="A386" s="32">
        <v>45606.0</v>
      </c>
      <c r="B386" s="10"/>
      <c r="C386" s="9">
        <f t="shared" si="22"/>
        <v>45606</v>
      </c>
      <c r="D386" s="11" t="s">
        <v>59</v>
      </c>
      <c r="E386" s="11" t="s">
        <v>25</v>
      </c>
      <c r="F386" s="11" t="s">
        <v>40</v>
      </c>
      <c r="G386" s="11" t="s">
        <v>37</v>
      </c>
      <c r="H386" s="11" t="s">
        <v>60</v>
      </c>
      <c r="I386" s="12">
        <v>397.0</v>
      </c>
      <c r="J386" s="13"/>
      <c r="K386" s="13">
        <f t="shared" si="27"/>
        <v>397</v>
      </c>
      <c r="L386" s="11" t="s">
        <v>29</v>
      </c>
      <c r="M386" s="14"/>
      <c r="N386" s="11" t="s">
        <v>61</v>
      </c>
      <c r="O386" s="10" t="str">
        <f t="shared" si="3"/>
        <v>11/2024</v>
      </c>
      <c r="P386" s="10" t="str">
        <f t="shared" si="29"/>
        <v>11/2024</v>
      </c>
      <c r="Q386" s="15" t="str">
        <f t="array" ref="Q386">IFERROR(XLOOKUP(N386,'Classificação'!A:A,'Classificação'!B:B),"")</f>
        <v>DESPESAS ADMINISTRATIVAS</v>
      </c>
      <c r="R386" s="15" t="str">
        <f t="array" ref="R386">IFERROR(XLOOKUP(Q386,'Classificação'!B:B,'Classificação'!C:C),"")</f>
        <v>DESPESAS FIXAS (-)</v>
      </c>
      <c r="S386" s="15">
        <f t="shared" si="5"/>
        <v>10</v>
      </c>
      <c r="T386" s="15">
        <f t="shared" si="6"/>
        <v>11</v>
      </c>
      <c r="U386" s="15">
        <f t="shared" si="7"/>
        <v>2024</v>
      </c>
      <c r="V386" s="15">
        <f t="shared" si="8"/>
        <v>10</v>
      </c>
      <c r="W386" s="15">
        <f t="shared" si="9"/>
        <v>11</v>
      </c>
      <c r="X386" s="15">
        <f t="shared" si="10"/>
        <v>2024</v>
      </c>
    </row>
    <row r="387">
      <c r="A387" s="9">
        <v>45607.0</v>
      </c>
      <c r="B387" s="10"/>
      <c r="C387" s="9">
        <f t="shared" si="22"/>
        <v>45607</v>
      </c>
      <c r="D387" s="11" t="s">
        <v>48</v>
      </c>
      <c r="E387" s="11" t="s">
        <v>25</v>
      </c>
      <c r="F387" s="11" t="s">
        <v>40</v>
      </c>
      <c r="G387" s="11" t="s">
        <v>27</v>
      </c>
      <c r="I387" s="12">
        <v>1240.56</v>
      </c>
      <c r="J387" s="13"/>
      <c r="K387" s="13">
        <f t="shared" si="27"/>
        <v>1240.56</v>
      </c>
      <c r="L387" s="11" t="s">
        <v>29</v>
      </c>
      <c r="M387" s="14"/>
      <c r="N387" s="11" t="s">
        <v>49</v>
      </c>
      <c r="O387" s="10" t="str">
        <f t="shared" si="3"/>
        <v>11/2024</v>
      </c>
      <c r="P387" s="10" t="str">
        <f t="shared" si="29"/>
        <v>11/2024</v>
      </c>
      <c r="Q387" s="15" t="str">
        <f t="array" ref="Q387">IFERROR(XLOOKUP(N387,'Classificação'!A:A,'Classificação'!B:B),"")</f>
        <v>DESPESAS COM PESSOAL</v>
      </c>
      <c r="R387" s="15" t="str">
        <f t="array" ref="R387">IFERROR(XLOOKUP(Q387,'Classificação'!B:B,'Classificação'!C:C),"")</f>
        <v>DESPESAS FIXAS (-)</v>
      </c>
      <c r="S387" s="15">
        <f t="shared" si="5"/>
        <v>11</v>
      </c>
      <c r="T387" s="15">
        <f t="shared" si="6"/>
        <v>11</v>
      </c>
      <c r="U387" s="15">
        <f t="shared" si="7"/>
        <v>2024</v>
      </c>
      <c r="V387" s="15">
        <f t="shared" si="8"/>
        <v>11</v>
      </c>
      <c r="W387" s="15">
        <f t="shared" si="9"/>
        <v>11</v>
      </c>
      <c r="X387" s="15">
        <f t="shared" si="10"/>
        <v>2024</v>
      </c>
    </row>
    <row r="388">
      <c r="A388" s="32">
        <v>45607.0</v>
      </c>
      <c r="B388" s="10"/>
      <c r="C388" s="9">
        <f t="shared" si="22"/>
        <v>45607</v>
      </c>
      <c r="D388" s="11" t="s">
        <v>50</v>
      </c>
      <c r="E388" s="11" t="s">
        <v>25</v>
      </c>
      <c r="F388" s="11" t="s">
        <v>40</v>
      </c>
      <c r="G388" s="11" t="s">
        <v>27</v>
      </c>
      <c r="H388" s="11" t="s">
        <v>51</v>
      </c>
      <c r="I388" s="12">
        <v>139.99</v>
      </c>
      <c r="J388" s="13"/>
      <c r="K388" s="13">
        <f t="shared" si="27"/>
        <v>139.99</v>
      </c>
      <c r="L388" s="11" t="s">
        <v>29</v>
      </c>
      <c r="M388" s="14"/>
      <c r="N388" s="11" t="s">
        <v>51</v>
      </c>
      <c r="O388" s="10" t="str">
        <f t="shared" si="3"/>
        <v>11/2024</v>
      </c>
      <c r="P388" s="10" t="str">
        <f t="shared" si="29"/>
        <v>11/2024</v>
      </c>
      <c r="Q388" s="15" t="str">
        <f t="array" ref="Q388">IFERROR(XLOOKUP(N388,'Classificação'!A:A,'Classificação'!B:B),"")</f>
        <v>DESPESAS COM OCUPAÇÃO</v>
      </c>
      <c r="R388" s="15" t="str">
        <f t="array" ref="R388">IFERROR(XLOOKUP(Q388,'Classificação'!B:B,'Classificação'!C:C),"")</f>
        <v>DESPESAS FIXAS (-)</v>
      </c>
      <c r="S388" s="15">
        <f t="shared" si="5"/>
        <v>11</v>
      </c>
      <c r="T388" s="15">
        <f t="shared" si="6"/>
        <v>11</v>
      </c>
      <c r="U388" s="15">
        <f t="shared" si="7"/>
        <v>2024</v>
      </c>
      <c r="V388" s="15">
        <f t="shared" si="8"/>
        <v>11</v>
      </c>
      <c r="W388" s="15">
        <f t="shared" si="9"/>
        <v>11</v>
      </c>
      <c r="X388" s="15">
        <f t="shared" si="10"/>
        <v>2024</v>
      </c>
    </row>
    <row r="389">
      <c r="A389" s="9">
        <v>45607.0</v>
      </c>
      <c r="B389" s="10"/>
      <c r="C389" s="9">
        <f t="shared" si="22"/>
        <v>45607</v>
      </c>
      <c r="D389" s="11" t="s">
        <v>44</v>
      </c>
      <c r="E389" s="11" t="s">
        <v>25</v>
      </c>
      <c r="F389" s="11" t="s">
        <v>45</v>
      </c>
      <c r="G389" s="11" t="s">
        <v>27</v>
      </c>
      <c r="H389" s="11" t="s">
        <v>52</v>
      </c>
      <c r="I389" s="12">
        <v>458.5</v>
      </c>
      <c r="J389" s="13"/>
      <c r="K389" s="13">
        <f t="shared" si="27"/>
        <v>458.5</v>
      </c>
      <c r="L389" s="11" t="s">
        <v>53</v>
      </c>
      <c r="M389" s="16" t="s">
        <v>352</v>
      </c>
      <c r="N389" s="11" t="s">
        <v>55</v>
      </c>
      <c r="O389" s="10" t="str">
        <f t="shared" si="3"/>
        <v>11/2024</v>
      </c>
      <c r="P389" s="10" t="str">
        <f t="shared" si="29"/>
        <v>11/2024</v>
      </c>
      <c r="Q389" s="15" t="str">
        <f t="array" ref="Q389">IFERROR(XLOOKUP(N389,'Classificação'!A:A,'Classificação'!B:B),"")</f>
        <v>DESPESAS NÃO OPERACIONAIS</v>
      </c>
      <c r="R389" s="15" t="str">
        <f t="array" ref="R389">IFERROR(XLOOKUP(Q389,'Classificação'!B:B,'Classificação'!C:C),"")</f>
        <v>RESULTADO NÃO OPERACIONAL (+/-)</v>
      </c>
      <c r="S389" s="15">
        <f t="shared" si="5"/>
        <v>11</v>
      </c>
      <c r="T389" s="15">
        <f t="shared" si="6"/>
        <v>11</v>
      </c>
      <c r="U389" s="15">
        <f t="shared" si="7"/>
        <v>2024</v>
      </c>
      <c r="V389" s="15">
        <f t="shared" si="8"/>
        <v>11</v>
      </c>
      <c r="W389" s="15">
        <f t="shared" si="9"/>
        <v>11</v>
      </c>
      <c r="X389" s="15">
        <f t="shared" si="10"/>
        <v>2024</v>
      </c>
    </row>
    <row r="390">
      <c r="A390" s="9">
        <v>45607.0</v>
      </c>
      <c r="B390" s="10"/>
      <c r="C390" s="9">
        <f t="shared" si="22"/>
        <v>45607</v>
      </c>
      <c r="D390" s="11" t="s">
        <v>65</v>
      </c>
      <c r="E390" s="11" t="s">
        <v>25</v>
      </c>
      <c r="F390" s="11" t="s">
        <v>45</v>
      </c>
      <c r="G390" s="11" t="s">
        <v>66</v>
      </c>
      <c r="H390" s="11" t="s">
        <v>67</v>
      </c>
      <c r="I390" s="12">
        <v>705.77</v>
      </c>
      <c r="J390" s="13"/>
      <c r="K390" s="13">
        <f t="shared" si="27"/>
        <v>705.77</v>
      </c>
      <c r="L390" s="11" t="s">
        <v>29</v>
      </c>
      <c r="M390" s="14"/>
      <c r="N390" s="11" t="s">
        <v>68</v>
      </c>
      <c r="O390" s="10" t="str">
        <f t="shared" si="3"/>
        <v>11/2024</v>
      </c>
      <c r="P390" s="10" t="str">
        <f t="shared" si="29"/>
        <v>11/2024</v>
      </c>
      <c r="Q390" s="15" t="str">
        <f t="array" ref="Q390">IFERROR(XLOOKUP(N390,'Classificação'!A:A,'Classificação'!B:B),"")</f>
        <v>FRETE DE VENDAS</v>
      </c>
      <c r="R390" s="15" t="str">
        <f t="array" ref="R390">IFERROR(XLOOKUP(Q390,'Classificação'!B:B,'Classificação'!C:C),"")</f>
        <v>CUSTOS VARIÁVEIS</v>
      </c>
      <c r="S390" s="15">
        <f t="shared" si="5"/>
        <v>11</v>
      </c>
      <c r="T390" s="15">
        <f t="shared" si="6"/>
        <v>11</v>
      </c>
      <c r="U390" s="15">
        <f t="shared" si="7"/>
        <v>2024</v>
      </c>
      <c r="V390" s="15">
        <f t="shared" si="8"/>
        <v>11</v>
      </c>
      <c r="W390" s="15">
        <f t="shared" si="9"/>
        <v>11</v>
      </c>
      <c r="X390" s="15">
        <f t="shared" si="10"/>
        <v>2024</v>
      </c>
    </row>
    <row r="391">
      <c r="A391" s="26">
        <v>45607.0</v>
      </c>
      <c r="B391" s="30"/>
      <c r="C391" s="27">
        <f t="shared" si="22"/>
        <v>45607</v>
      </c>
      <c r="D391" s="28" t="s">
        <v>36</v>
      </c>
      <c r="E391" s="28" t="s">
        <v>25</v>
      </c>
      <c r="F391" s="28" t="s">
        <v>26</v>
      </c>
      <c r="G391" s="28" t="s">
        <v>27</v>
      </c>
      <c r="H391" s="28"/>
      <c r="I391" s="24">
        <v>875.0</v>
      </c>
      <c r="J391" s="13"/>
      <c r="K391" s="13">
        <f t="shared" si="27"/>
        <v>875</v>
      </c>
      <c r="L391" s="11" t="s">
        <v>34</v>
      </c>
      <c r="M391" s="14"/>
      <c r="N391" s="11" t="s">
        <v>38</v>
      </c>
      <c r="O391" s="10" t="str">
        <f t="shared" si="3"/>
        <v>11/2024</v>
      </c>
      <c r="P391" s="10" t="str">
        <f t="shared" si="29"/>
        <v>11/2024</v>
      </c>
      <c r="Q391" s="15" t="str">
        <f t="array" ref="Q391">IFERROR(XLOOKUP(N391,'Classificação'!A:A,'Classificação'!B:B),"")</f>
        <v>DESPESAS COM PESSOAL</v>
      </c>
      <c r="R391" s="15" t="str">
        <f t="array" ref="R391">IFERROR(XLOOKUP(Q391,'Classificação'!B:B,'Classificação'!C:C),"")</f>
        <v>DESPESAS FIXAS (-)</v>
      </c>
      <c r="S391" s="15">
        <f t="shared" si="5"/>
        <v>11</v>
      </c>
      <c r="T391" s="15">
        <f t="shared" si="6"/>
        <v>11</v>
      </c>
      <c r="U391" s="15">
        <f t="shared" si="7"/>
        <v>2024</v>
      </c>
      <c r="V391" s="15">
        <f t="shared" si="8"/>
        <v>11</v>
      </c>
      <c r="W391" s="15">
        <f t="shared" si="9"/>
        <v>11</v>
      </c>
      <c r="X391" s="15">
        <f t="shared" si="10"/>
        <v>2024</v>
      </c>
    </row>
    <row r="392">
      <c r="A392" s="26">
        <v>45607.0</v>
      </c>
      <c r="B392" s="30"/>
      <c r="C392" s="27">
        <f t="shared" si="22"/>
        <v>45607</v>
      </c>
      <c r="D392" s="28" t="s">
        <v>43</v>
      </c>
      <c r="E392" s="28" t="s">
        <v>25</v>
      </c>
      <c r="F392" s="28" t="s">
        <v>26</v>
      </c>
      <c r="G392" s="28" t="s">
        <v>27</v>
      </c>
      <c r="H392" s="28"/>
      <c r="I392" s="24">
        <v>876.0</v>
      </c>
      <c r="J392" s="13"/>
      <c r="K392" s="13">
        <f t="shared" si="27"/>
        <v>876</v>
      </c>
      <c r="L392" s="11" t="s">
        <v>34</v>
      </c>
      <c r="M392" s="14"/>
      <c r="N392" s="11" t="s">
        <v>38</v>
      </c>
      <c r="O392" s="10" t="str">
        <f t="shared" si="3"/>
        <v>11/2024</v>
      </c>
      <c r="P392" s="10" t="str">
        <f t="shared" si="29"/>
        <v>11/2024</v>
      </c>
      <c r="Q392" s="15" t="str">
        <f t="array" ref="Q392">IFERROR(XLOOKUP(N392,'Classificação'!A:A,'Classificação'!B:B),"")</f>
        <v>DESPESAS COM PESSOAL</v>
      </c>
      <c r="R392" s="15" t="str">
        <f t="array" ref="R392">IFERROR(XLOOKUP(Q392,'Classificação'!B:B,'Classificação'!C:C),"")</f>
        <v>DESPESAS FIXAS (-)</v>
      </c>
      <c r="S392" s="15">
        <f t="shared" si="5"/>
        <v>11</v>
      </c>
      <c r="T392" s="15">
        <f t="shared" si="6"/>
        <v>11</v>
      </c>
      <c r="U392" s="15">
        <f t="shared" si="7"/>
        <v>2024</v>
      </c>
      <c r="V392" s="15">
        <f t="shared" si="8"/>
        <v>11</v>
      </c>
      <c r="W392" s="15">
        <f t="shared" si="9"/>
        <v>11</v>
      </c>
      <c r="X392" s="15">
        <f t="shared" si="10"/>
        <v>2024</v>
      </c>
    </row>
    <row r="393">
      <c r="A393" s="32">
        <v>45607.0</v>
      </c>
      <c r="B393" s="10"/>
      <c r="C393" s="9">
        <f t="shared" si="22"/>
        <v>45607</v>
      </c>
      <c r="D393" s="11" t="s">
        <v>353</v>
      </c>
      <c r="E393" s="11" t="s">
        <v>25</v>
      </c>
      <c r="F393" s="11" t="s">
        <v>40</v>
      </c>
      <c r="G393" s="11" t="s">
        <v>27</v>
      </c>
      <c r="H393" s="11" t="s">
        <v>354</v>
      </c>
      <c r="I393" s="12">
        <v>201.55</v>
      </c>
      <c r="J393" s="13"/>
      <c r="K393" s="13">
        <f t="shared" si="27"/>
        <v>201.55</v>
      </c>
      <c r="L393" s="11" t="s">
        <v>34</v>
      </c>
      <c r="M393" s="14"/>
      <c r="N393" s="11" t="s">
        <v>355</v>
      </c>
      <c r="O393" s="10" t="str">
        <f t="shared" si="3"/>
        <v>11/2024</v>
      </c>
      <c r="P393" s="10" t="str">
        <f t="shared" si="29"/>
        <v>11/2024</v>
      </c>
      <c r="Q393" s="15" t="str">
        <f t="array" ref="Q393">IFERROR(XLOOKUP(N393,'Classificação'!A:A,'Classificação'!B:B),"")</f>
        <v>IMPOSTOS E TAXAS DIVERSAS</v>
      </c>
      <c r="R393" s="15" t="str">
        <f t="array" ref="R393">IFERROR(XLOOKUP(Q393,'Classificação'!B:B,'Classificação'!C:C),"")</f>
        <v>DESPESAS FIXAS (-)</v>
      </c>
      <c r="S393" s="15">
        <f t="shared" si="5"/>
        <v>11</v>
      </c>
      <c r="T393" s="15">
        <f t="shared" si="6"/>
        <v>11</v>
      </c>
      <c r="U393" s="15">
        <f t="shared" si="7"/>
        <v>2024</v>
      </c>
      <c r="V393" s="15">
        <f t="shared" si="8"/>
        <v>11</v>
      </c>
      <c r="W393" s="15">
        <f t="shared" si="9"/>
        <v>11</v>
      </c>
      <c r="X393" s="15">
        <f t="shared" si="10"/>
        <v>2024</v>
      </c>
    </row>
    <row r="394">
      <c r="A394" s="9">
        <v>45608.0</v>
      </c>
      <c r="B394" s="10"/>
      <c r="C394" s="9">
        <f t="shared" si="22"/>
        <v>45608</v>
      </c>
      <c r="D394" s="11" t="s">
        <v>56</v>
      </c>
      <c r="E394" s="11" t="s">
        <v>25</v>
      </c>
      <c r="F394" s="11" t="s">
        <v>26</v>
      </c>
      <c r="G394" s="11" t="s">
        <v>37</v>
      </c>
      <c r="H394" s="11" t="s">
        <v>57</v>
      </c>
      <c r="I394" s="12">
        <v>50.0</v>
      </c>
      <c r="J394" s="13"/>
      <c r="K394" s="13">
        <f t="shared" si="27"/>
        <v>50</v>
      </c>
      <c r="L394" s="11" t="s">
        <v>29</v>
      </c>
      <c r="M394" s="14"/>
      <c r="N394" s="11" t="s">
        <v>58</v>
      </c>
      <c r="O394" s="10" t="str">
        <f t="shared" si="3"/>
        <v>11/2024</v>
      </c>
      <c r="P394" s="10" t="str">
        <f t="shared" si="29"/>
        <v>11/2024</v>
      </c>
      <c r="Q394" s="15" t="str">
        <f t="array" ref="Q394">IFERROR(XLOOKUP(N394,'Classificação'!A:A,'Classificação'!B:B),"")</f>
        <v>DESPESAS ADMINISTRATIVAS</v>
      </c>
      <c r="R394" s="15" t="str">
        <f t="array" ref="R394">IFERROR(XLOOKUP(Q394,'Classificação'!B:B,'Classificação'!C:C),"")</f>
        <v>DESPESAS FIXAS (-)</v>
      </c>
      <c r="S394" s="15">
        <f t="shared" si="5"/>
        <v>12</v>
      </c>
      <c r="T394" s="15">
        <f t="shared" si="6"/>
        <v>11</v>
      </c>
      <c r="U394" s="15">
        <f t="shared" si="7"/>
        <v>2024</v>
      </c>
      <c r="V394" s="15">
        <f t="shared" si="8"/>
        <v>12</v>
      </c>
      <c r="W394" s="15">
        <f t="shared" si="9"/>
        <v>11</v>
      </c>
      <c r="X394" s="15">
        <f t="shared" si="10"/>
        <v>2024</v>
      </c>
    </row>
    <row r="395">
      <c r="A395" s="26">
        <v>45608.0</v>
      </c>
      <c r="B395" s="30"/>
      <c r="C395" s="9">
        <f t="shared" si="22"/>
        <v>45608</v>
      </c>
      <c r="D395" s="28" t="s">
        <v>86</v>
      </c>
      <c r="E395" s="29" t="s">
        <v>25</v>
      </c>
      <c r="F395" s="11" t="s">
        <v>87</v>
      </c>
      <c r="G395" s="28" t="s">
        <v>27</v>
      </c>
      <c r="H395" s="28" t="s">
        <v>239</v>
      </c>
      <c r="I395" s="24">
        <v>3034.17</v>
      </c>
      <c r="J395" s="34"/>
      <c r="K395" s="13">
        <f t="shared" si="27"/>
        <v>3034.17</v>
      </c>
      <c r="L395" s="29" t="s">
        <v>53</v>
      </c>
      <c r="M395" s="35">
        <v>45353.0</v>
      </c>
      <c r="N395" s="28" t="s">
        <v>35</v>
      </c>
      <c r="O395" s="10" t="str">
        <f t="shared" si="3"/>
        <v>11/2024</v>
      </c>
      <c r="P395" s="10" t="str">
        <f t="shared" si="29"/>
        <v>11/2024</v>
      </c>
      <c r="Q395" s="15" t="str">
        <f t="array" ref="Q395">IFERROR(XLOOKUP(N395,'Classificação'!A:A,'Classificação'!B:B),"")</f>
        <v>COMPRA DE MERCADORIA</v>
      </c>
      <c r="R395" s="15" t="str">
        <f t="array" ref="R395">IFERROR(XLOOKUP(Q395,'Classificação'!B:B,'Classificação'!C:C),"")</f>
        <v>CUSTOS VARIÁVEIS</v>
      </c>
      <c r="S395" s="15">
        <f t="shared" si="5"/>
        <v>12</v>
      </c>
      <c r="T395" s="15">
        <f t="shared" si="6"/>
        <v>11</v>
      </c>
      <c r="U395" s="15">
        <f t="shared" si="7"/>
        <v>2024</v>
      </c>
      <c r="V395" s="15">
        <f t="shared" si="8"/>
        <v>12</v>
      </c>
      <c r="W395" s="15">
        <f t="shared" si="9"/>
        <v>11</v>
      </c>
      <c r="X395" s="15">
        <f t="shared" si="10"/>
        <v>2024</v>
      </c>
    </row>
    <row r="396">
      <c r="A396" s="32">
        <v>45609.0</v>
      </c>
      <c r="B396" s="10"/>
      <c r="C396" s="9">
        <f t="shared" si="22"/>
        <v>45609</v>
      </c>
      <c r="D396" s="11" t="s">
        <v>356</v>
      </c>
      <c r="E396" s="11" t="s">
        <v>25</v>
      </c>
      <c r="F396" s="11" t="s">
        <v>40</v>
      </c>
      <c r="G396" s="11" t="s">
        <v>27</v>
      </c>
      <c r="H396" s="11" t="s">
        <v>357</v>
      </c>
      <c r="I396" s="12">
        <v>174.68</v>
      </c>
      <c r="J396" s="13"/>
      <c r="K396" s="13">
        <f t="shared" si="27"/>
        <v>174.68</v>
      </c>
      <c r="L396" s="11" t="s">
        <v>34</v>
      </c>
      <c r="M396" s="14"/>
      <c r="N396" s="11" t="s">
        <v>355</v>
      </c>
      <c r="O396" s="10" t="str">
        <f t="shared" si="3"/>
        <v>11/2024</v>
      </c>
      <c r="P396" s="10" t="str">
        <f t="shared" si="29"/>
        <v>11/2024</v>
      </c>
      <c r="Q396" s="15" t="str">
        <f t="array" ref="Q396">IFERROR(XLOOKUP(N396,'Classificação'!A:A,'Classificação'!B:B),"")</f>
        <v>IMPOSTOS E TAXAS DIVERSAS</v>
      </c>
      <c r="R396" s="15" t="str">
        <f t="array" ref="R396">IFERROR(XLOOKUP(Q396,'Classificação'!B:B,'Classificação'!C:C),"")</f>
        <v>DESPESAS FIXAS (-)</v>
      </c>
      <c r="S396" s="15">
        <f t="shared" si="5"/>
        <v>13</v>
      </c>
      <c r="T396" s="15">
        <f t="shared" si="6"/>
        <v>11</v>
      </c>
      <c r="U396" s="15">
        <f t="shared" si="7"/>
        <v>2024</v>
      </c>
      <c r="V396" s="15">
        <f t="shared" si="8"/>
        <v>13</v>
      </c>
      <c r="W396" s="15">
        <f t="shared" si="9"/>
        <v>11</v>
      </c>
      <c r="X396" s="15">
        <f t="shared" si="10"/>
        <v>2024</v>
      </c>
    </row>
    <row r="397">
      <c r="A397" s="9">
        <v>45610.0</v>
      </c>
      <c r="B397" s="10"/>
      <c r="C397" s="9">
        <f t="shared" si="22"/>
        <v>45610</v>
      </c>
      <c r="D397" s="11" t="s">
        <v>44</v>
      </c>
      <c r="E397" s="11" t="s">
        <v>25</v>
      </c>
      <c r="F397" s="11" t="s">
        <v>45</v>
      </c>
      <c r="G397" s="11" t="s">
        <v>27</v>
      </c>
      <c r="H397" s="11" t="s">
        <v>72</v>
      </c>
      <c r="I397" s="12">
        <v>2954.2</v>
      </c>
      <c r="J397" s="13"/>
      <c r="K397" s="13">
        <f t="shared" si="27"/>
        <v>2954.2</v>
      </c>
      <c r="L397" s="11" t="s">
        <v>53</v>
      </c>
      <c r="M397" s="17">
        <v>45448.0</v>
      </c>
      <c r="N397" s="11" t="s">
        <v>73</v>
      </c>
      <c r="O397" s="10" t="str">
        <f t="shared" si="3"/>
        <v>11/2024</v>
      </c>
      <c r="P397" s="10" t="str">
        <f t="shared" si="29"/>
        <v>11/2024</v>
      </c>
      <c r="Q397" s="15" t="str">
        <f t="array" ref="Q397">IFERROR(XLOOKUP(N397,'Classificação'!A:A,'Classificação'!B:B),"")</f>
        <v>DESPESAS NÃO OPERACIONAIS</v>
      </c>
      <c r="R397" s="15" t="str">
        <f t="array" ref="R397">IFERROR(XLOOKUP(Q397,'Classificação'!B:B,'Classificação'!C:C),"")</f>
        <v>RESULTADO NÃO OPERACIONAL (+/-)</v>
      </c>
      <c r="S397" s="15">
        <f t="shared" si="5"/>
        <v>14</v>
      </c>
      <c r="T397" s="15">
        <f t="shared" si="6"/>
        <v>11</v>
      </c>
      <c r="U397" s="15">
        <f t="shared" si="7"/>
        <v>2024</v>
      </c>
      <c r="V397" s="15">
        <f t="shared" si="8"/>
        <v>14</v>
      </c>
      <c r="W397" s="15">
        <f t="shared" si="9"/>
        <v>11</v>
      </c>
      <c r="X397" s="15">
        <f t="shared" si="10"/>
        <v>2024</v>
      </c>
    </row>
    <row r="398">
      <c r="A398" s="9">
        <v>45610.0</v>
      </c>
      <c r="B398" s="10"/>
      <c r="C398" s="9">
        <f t="shared" si="22"/>
        <v>45610</v>
      </c>
      <c r="D398" s="11" t="s">
        <v>74</v>
      </c>
      <c r="E398" s="11" t="s">
        <v>25</v>
      </c>
      <c r="F398" s="11" t="s">
        <v>32</v>
      </c>
      <c r="G398" s="11" t="s">
        <v>27</v>
      </c>
      <c r="I398" s="12">
        <v>592.0</v>
      </c>
      <c r="J398" s="13"/>
      <c r="K398" s="13">
        <f t="shared" si="27"/>
        <v>592</v>
      </c>
      <c r="L398" s="11" t="s">
        <v>29</v>
      </c>
      <c r="M398" s="14"/>
      <c r="N398" s="11" t="s">
        <v>75</v>
      </c>
      <c r="O398" s="10" t="str">
        <f t="shared" si="3"/>
        <v>11/2024</v>
      </c>
      <c r="P398" s="10" t="str">
        <f t="shared" si="29"/>
        <v>11/2024</v>
      </c>
      <c r="Q398" s="15" t="str">
        <f t="array" ref="Q398">IFERROR(XLOOKUP(N398,'Classificação'!A:A,'Classificação'!B:B),"")</f>
        <v>DESPESAS COM PESSOAL</v>
      </c>
      <c r="R398" s="15" t="str">
        <f t="array" ref="R398">IFERROR(XLOOKUP(Q398,'Classificação'!B:B,'Classificação'!C:C),"")</f>
        <v>DESPESAS FIXAS (-)</v>
      </c>
      <c r="S398" s="15">
        <f t="shared" si="5"/>
        <v>14</v>
      </c>
      <c r="T398" s="15">
        <f t="shared" si="6"/>
        <v>11</v>
      </c>
      <c r="U398" s="15">
        <f t="shared" si="7"/>
        <v>2024</v>
      </c>
      <c r="V398" s="15">
        <f t="shared" si="8"/>
        <v>14</v>
      </c>
      <c r="W398" s="15">
        <f t="shared" si="9"/>
        <v>11</v>
      </c>
      <c r="X398" s="15">
        <f t="shared" si="10"/>
        <v>2024</v>
      </c>
    </row>
    <row r="399">
      <c r="A399" s="9">
        <v>45610.0</v>
      </c>
      <c r="B399" s="10"/>
      <c r="C399" s="9">
        <f t="shared" si="22"/>
        <v>45610</v>
      </c>
      <c r="D399" s="11" t="s">
        <v>80</v>
      </c>
      <c r="E399" s="11" t="s">
        <v>25</v>
      </c>
      <c r="F399" s="11" t="s">
        <v>32</v>
      </c>
      <c r="G399" s="11" t="s">
        <v>27</v>
      </c>
      <c r="I399" s="12">
        <v>720.0</v>
      </c>
      <c r="J399" s="13"/>
      <c r="K399" s="13">
        <f t="shared" si="27"/>
        <v>720</v>
      </c>
      <c r="L399" s="11" t="s">
        <v>29</v>
      </c>
      <c r="M399" s="14"/>
      <c r="N399" s="11" t="s">
        <v>75</v>
      </c>
      <c r="O399" s="10" t="str">
        <f t="shared" si="3"/>
        <v>11/2024</v>
      </c>
      <c r="P399" s="10" t="str">
        <f t="shared" si="29"/>
        <v>11/2024</v>
      </c>
      <c r="Q399" s="15" t="str">
        <f t="array" ref="Q399">IFERROR(XLOOKUP(N399,'Classificação'!A:A,'Classificação'!B:B),"")</f>
        <v>DESPESAS COM PESSOAL</v>
      </c>
      <c r="R399" s="15" t="str">
        <f t="array" ref="R399">IFERROR(XLOOKUP(Q399,'Classificação'!B:B,'Classificação'!C:C),"")</f>
        <v>DESPESAS FIXAS (-)</v>
      </c>
      <c r="S399" s="15">
        <f t="shared" si="5"/>
        <v>14</v>
      </c>
      <c r="T399" s="15">
        <f t="shared" si="6"/>
        <v>11</v>
      </c>
      <c r="U399" s="15">
        <f t="shared" si="7"/>
        <v>2024</v>
      </c>
      <c r="V399" s="15">
        <f t="shared" si="8"/>
        <v>14</v>
      </c>
      <c r="W399" s="15">
        <f t="shared" si="9"/>
        <v>11</v>
      </c>
      <c r="X399" s="15">
        <f t="shared" si="10"/>
        <v>2024</v>
      </c>
    </row>
    <row r="400">
      <c r="A400" s="9">
        <v>45610.0</v>
      </c>
      <c r="B400" s="10"/>
      <c r="C400" s="9">
        <f t="shared" si="22"/>
        <v>45610</v>
      </c>
      <c r="D400" s="11" t="s">
        <v>83</v>
      </c>
      <c r="E400" s="11" t="s">
        <v>25</v>
      </c>
      <c r="F400" s="11" t="s">
        <v>32</v>
      </c>
      <c r="G400" s="11" t="s">
        <v>27</v>
      </c>
      <c r="I400" s="12">
        <v>744.0</v>
      </c>
      <c r="J400" s="13"/>
      <c r="K400" s="13">
        <f t="shared" si="27"/>
        <v>744</v>
      </c>
      <c r="L400" s="11" t="s">
        <v>29</v>
      </c>
      <c r="M400" s="14"/>
      <c r="N400" s="11" t="s">
        <v>75</v>
      </c>
      <c r="O400" s="10" t="str">
        <f t="shared" si="3"/>
        <v>11/2024</v>
      </c>
      <c r="P400" s="10" t="str">
        <f t="shared" si="29"/>
        <v>11/2024</v>
      </c>
      <c r="Q400" s="15" t="str">
        <f t="array" ref="Q400">IFERROR(XLOOKUP(N400,'Classificação'!A:A,'Classificação'!B:B),"")</f>
        <v>DESPESAS COM PESSOAL</v>
      </c>
      <c r="R400" s="15" t="str">
        <f t="array" ref="R400">IFERROR(XLOOKUP(Q400,'Classificação'!B:B,'Classificação'!C:C),"")</f>
        <v>DESPESAS FIXAS (-)</v>
      </c>
      <c r="S400" s="15">
        <f t="shared" si="5"/>
        <v>14</v>
      </c>
      <c r="T400" s="15">
        <f t="shared" si="6"/>
        <v>11</v>
      </c>
      <c r="U400" s="15">
        <f t="shared" si="7"/>
        <v>2024</v>
      </c>
      <c r="V400" s="15">
        <f t="shared" si="8"/>
        <v>14</v>
      </c>
      <c r="W400" s="15">
        <f t="shared" si="9"/>
        <v>11</v>
      </c>
      <c r="X400" s="15">
        <f t="shared" si="10"/>
        <v>2024</v>
      </c>
    </row>
    <row r="401">
      <c r="A401" s="32">
        <v>45610.0</v>
      </c>
      <c r="B401" s="10"/>
      <c r="C401" s="9">
        <f t="shared" si="22"/>
        <v>45610</v>
      </c>
      <c r="D401" s="11" t="s">
        <v>358</v>
      </c>
      <c r="E401" s="11" t="s">
        <v>25</v>
      </c>
      <c r="F401" s="11" t="s">
        <v>40</v>
      </c>
      <c r="G401" s="11" t="s">
        <v>27</v>
      </c>
      <c r="H401" s="11" t="s">
        <v>359</v>
      </c>
      <c r="I401" s="12">
        <v>50.0</v>
      </c>
      <c r="J401" s="13"/>
      <c r="K401" s="13">
        <f t="shared" si="27"/>
        <v>50</v>
      </c>
      <c r="L401" s="11" t="s">
        <v>34</v>
      </c>
      <c r="M401" s="14"/>
      <c r="N401" s="11" t="s">
        <v>204</v>
      </c>
      <c r="O401" s="10" t="str">
        <f t="shared" si="3"/>
        <v>11/2024</v>
      </c>
      <c r="P401" s="10" t="str">
        <f t="shared" si="29"/>
        <v>11/2024</v>
      </c>
      <c r="Q401" s="15" t="str">
        <f t="array" ref="Q401">IFERROR(XLOOKUP(N401,'Classificação'!A:A,'Classificação'!B:B),"")</f>
        <v>DESPESAS COM PESSOAL</v>
      </c>
      <c r="R401" s="15" t="str">
        <f t="array" ref="R401">IFERROR(XLOOKUP(Q401,'Classificação'!B:B,'Classificação'!C:C),"")</f>
        <v>DESPESAS FIXAS (-)</v>
      </c>
      <c r="S401" s="15">
        <f t="shared" si="5"/>
        <v>14</v>
      </c>
      <c r="T401" s="15">
        <f t="shared" si="6"/>
        <v>11</v>
      </c>
      <c r="U401" s="15">
        <f t="shared" si="7"/>
        <v>2024</v>
      </c>
      <c r="V401" s="15">
        <f t="shared" si="8"/>
        <v>14</v>
      </c>
      <c r="W401" s="15">
        <f t="shared" si="9"/>
        <v>11</v>
      </c>
      <c r="X401" s="15">
        <f t="shared" si="10"/>
        <v>2024</v>
      </c>
    </row>
    <row r="402">
      <c r="A402" s="9">
        <v>45611.0</v>
      </c>
      <c r="B402" s="10"/>
      <c r="C402" s="9">
        <f t="shared" si="22"/>
        <v>45611</v>
      </c>
      <c r="D402" s="11" t="s">
        <v>79</v>
      </c>
      <c r="E402" s="11" t="s">
        <v>25</v>
      </c>
      <c r="F402" s="11" t="s">
        <v>26</v>
      </c>
      <c r="G402" s="11" t="s">
        <v>37</v>
      </c>
      <c r="I402" s="12">
        <v>750.0</v>
      </c>
      <c r="J402" s="13"/>
      <c r="K402" s="13">
        <f t="shared" si="27"/>
        <v>750</v>
      </c>
      <c r="L402" s="11" t="s">
        <v>29</v>
      </c>
      <c r="M402" s="14"/>
      <c r="N402" s="11" t="s">
        <v>38</v>
      </c>
      <c r="O402" s="10" t="str">
        <f t="shared" si="3"/>
        <v>11/2024</v>
      </c>
      <c r="P402" s="10" t="str">
        <f t="shared" si="29"/>
        <v>11/2024</v>
      </c>
      <c r="Q402" s="15" t="str">
        <f t="array" ref="Q402">IFERROR(XLOOKUP(N402,'Classificação'!A:A,'Classificação'!B:B),"")</f>
        <v>DESPESAS COM PESSOAL</v>
      </c>
      <c r="R402" s="15" t="str">
        <f t="array" ref="R402">IFERROR(XLOOKUP(Q402,'Classificação'!B:B,'Classificação'!C:C),"")</f>
        <v>DESPESAS FIXAS (-)</v>
      </c>
      <c r="S402" s="15">
        <f t="shared" si="5"/>
        <v>15</v>
      </c>
      <c r="T402" s="15">
        <f t="shared" si="6"/>
        <v>11</v>
      </c>
      <c r="U402" s="15">
        <f t="shared" si="7"/>
        <v>2024</v>
      </c>
      <c r="V402" s="15">
        <f t="shared" si="8"/>
        <v>15</v>
      </c>
      <c r="W402" s="15">
        <f t="shared" si="9"/>
        <v>11</v>
      </c>
      <c r="X402" s="15">
        <f t="shared" si="10"/>
        <v>2024</v>
      </c>
    </row>
    <row r="403">
      <c r="A403" s="9">
        <v>45614.0</v>
      </c>
      <c r="B403" s="10"/>
      <c r="C403" s="9">
        <f t="shared" si="22"/>
        <v>45614</v>
      </c>
      <c r="D403" s="11" t="s">
        <v>44</v>
      </c>
      <c r="E403" s="11" t="s">
        <v>25</v>
      </c>
      <c r="F403" s="11" t="s">
        <v>45</v>
      </c>
      <c r="G403" s="11" t="s">
        <v>27</v>
      </c>
      <c r="H403" s="11" t="s">
        <v>98</v>
      </c>
      <c r="I403" s="12">
        <v>3345.94</v>
      </c>
      <c r="J403" s="13"/>
      <c r="K403" s="13">
        <f t="shared" si="27"/>
        <v>3345.94</v>
      </c>
      <c r="L403" s="11" t="s">
        <v>53</v>
      </c>
      <c r="M403" s="16" t="s">
        <v>360</v>
      </c>
      <c r="N403" s="11" t="s">
        <v>73</v>
      </c>
      <c r="O403" s="10" t="str">
        <f t="shared" si="3"/>
        <v>11/2024</v>
      </c>
      <c r="P403" s="10" t="str">
        <f t="shared" si="29"/>
        <v>11/2024</v>
      </c>
      <c r="Q403" s="15" t="str">
        <f t="array" ref="Q403">IFERROR(XLOOKUP(N403,'Classificação'!A:A,'Classificação'!B:B),"")</f>
        <v>DESPESAS NÃO OPERACIONAIS</v>
      </c>
      <c r="R403" s="15" t="str">
        <f t="array" ref="R403">IFERROR(XLOOKUP(Q403,'Classificação'!B:B,'Classificação'!C:C),"")</f>
        <v>RESULTADO NÃO OPERACIONAL (+/-)</v>
      </c>
      <c r="S403" s="15">
        <f t="shared" si="5"/>
        <v>18</v>
      </c>
      <c r="T403" s="15">
        <f t="shared" si="6"/>
        <v>11</v>
      </c>
      <c r="U403" s="15">
        <f t="shared" si="7"/>
        <v>2024</v>
      </c>
      <c r="V403" s="15">
        <f t="shared" si="8"/>
        <v>18</v>
      </c>
      <c r="W403" s="15">
        <f t="shared" si="9"/>
        <v>11</v>
      </c>
      <c r="X403" s="15">
        <f t="shared" si="10"/>
        <v>2024</v>
      </c>
    </row>
    <row r="404">
      <c r="A404" s="9">
        <v>45614.0</v>
      </c>
      <c r="B404" s="10"/>
      <c r="C404" s="9">
        <f t="shared" si="22"/>
        <v>45614</v>
      </c>
      <c r="D404" s="11" t="s">
        <v>65</v>
      </c>
      <c r="E404" s="11" t="s">
        <v>25</v>
      </c>
      <c r="F404" s="11" t="s">
        <v>45</v>
      </c>
      <c r="G404" s="11" t="s">
        <v>37</v>
      </c>
      <c r="H404" s="11" t="s">
        <v>103</v>
      </c>
      <c r="I404" s="12">
        <v>371.56</v>
      </c>
      <c r="J404" s="13"/>
      <c r="K404" s="13">
        <f t="shared" si="27"/>
        <v>371.56</v>
      </c>
      <c r="L404" s="11" t="s">
        <v>29</v>
      </c>
      <c r="M404" s="14"/>
      <c r="N404" s="11" t="s">
        <v>68</v>
      </c>
      <c r="O404" s="10" t="str">
        <f t="shared" si="3"/>
        <v>11/2024</v>
      </c>
      <c r="P404" s="10" t="str">
        <f t="shared" si="29"/>
        <v>11/2024</v>
      </c>
      <c r="Q404" s="15" t="str">
        <f t="array" ref="Q404">IFERROR(XLOOKUP(N404,'Classificação'!A:A,'Classificação'!B:B),"")</f>
        <v>FRETE DE VENDAS</v>
      </c>
      <c r="R404" s="15" t="str">
        <f t="array" ref="R404">IFERROR(XLOOKUP(Q404,'Classificação'!B:B,'Classificação'!C:C),"")</f>
        <v>CUSTOS VARIÁVEIS</v>
      </c>
      <c r="S404" s="15">
        <f t="shared" si="5"/>
        <v>18</v>
      </c>
      <c r="T404" s="15">
        <f t="shared" si="6"/>
        <v>11</v>
      </c>
      <c r="U404" s="15">
        <f t="shared" si="7"/>
        <v>2024</v>
      </c>
      <c r="V404" s="15">
        <f t="shared" si="8"/>
        <v>18</v>
      </c>
      <c r="W404" s="15">
        <f t="shared" si="9"/>
        <v>11</v>
      </c>
      <c r="X404" s="15">
        <f t="shared" si="10"/>
        <v>2024</v>
      </c>
    </row>
    <row r="405">
      <c r="A405" s="32">
        <v>45614.0</v>
      </c>
      <c r="B405" s="10"/>
      <c r="C405" s="9">
        <f t="shared" si="22"/>
        <v>45614</v>
      </c>
      <c r="D405" s="11" t="s">
        <v>43</v>
      </c>
      <c r="E405" s="11" t="s">
        <v>25</v>
      </c>
      <c r="F405" s="11" t="s">
        <v>26</v>
      </c>
      <c r="G405" s="11" t="s">
        <v>37</v>
      </c>
      <c r="I405" s="12">
        <v>1500.0</v>
      </c>
      <c r="J405" s="13"/>
      <c r="K405" s="13">
        <f t="shared" si="27"/>
        <v>1500</v>
      </c>
      <c r="L405" s="11" t="s">
        <v>34</v>
      </c>
      <c r="M405" s="14"/>
      <c r="N405" s="11" t="s">
        <v>38</v>
      </c>
      <c r="O405" s="10" t="str">
        <f t="shared" si="3"/>
        <v>11/2024</v>
      </c>
      <c r="P405" s="10" t="str">
        <f t="shared" si="29"/>
        <v>11/2024</v>
      </c>
      <c r="Q405" s="15" t="str">
        <f t="array" ref="Q405">IFERROR(XLOOKUP(N405,'Classificação'!A:A,'Classificação'!B:B),"")</f>
        <v>DESPESAS COM PESSOAL</v>
      </c>
      <c r="R405" s="15" t="str">
        <f t="array" ref="R405">IFERROR(XLOOKUP(Q405,'Classificação'!B:B,'Classificação'!C:C),"")</f>
        <v>DESPESAS FIXAS (-)</v>
      </c>
      <c r="S405" s="15">
        <f t="shared" si="5"/>
        <v>18</v>
      </c>
      <c r="T405" s="15">
        <f t="shared" si="6"/>
        <v>11</v>
      </c>
      <c r="U405" s="15">
        <f t="shared" si="7"/>
        <v>2024</v>
      </c>
      <c r="V405" s="15">
        <f t="shared" si="8"/>
        <v>18</v>
      </c>
      <c r="W405" s="15">
        <f t="shared" si="9"/>
        <v>11</v>
      </c>
      <c r="X405" s="15">
        <f t="shared" si="10"/>
        <v>2024</v>
      </c>
    </row>
    <row r="406">
      <c r="A406" s="32">
        <v>45614.0</v>
      </c>
      <c r="B406" s="10"/>
      <c r="C406" s="9">
        <f t="shared" si="22"/>
        <v>45614</v>
      </c>
      <c r="D406" s="11" t="s">
        <v>36</v>
      </c>
      <c r="E406" s="11" t="s">
        <v>25</v>
      </c>
      <c r="F406" s="11" t="s">
        <v>26</v>
      </c>
      <c r="G406" s="11" t="s">
        <v>37</v>
      </c>
      <c r="I406" s="12">
        <v>1500.0</v>
      </c>
      <c r="J406" s="13"/>
      <c r="K406" s="13">
        <f t="shared" si="27"/>
        <v>1500</v>
      </c>
      <c r="L406" s="11" t="s">
        <v>34</v>
      </c>
      <c r="M406" s="14"/>
      <c r="N406" s="11" t="s">
        <v>38</v>
      </c>
      <c r="O406" s="10" t="str">
        <f t="shared" si="3"/>
        <v>11/2024</v>
      </c>
      <c r="P406" s="10" t="str">
        <f t="shared" si="29"/>
        <v>11/2024</v>
      </c>
      <c r="Q406" s="15" t="str">
        <f t="array" ref="Q406">IFERROR(XLOOKUP(N406,'Classificação'!A:A,'Classificação'!B:B),"")</f>
        <v>DESPESAS COM PESSOAL</v>
      </c>
      <c r="R406" s="15" t="str">
        <f t="array" ref="R406">IFERROR(XLOOKUP(Q406,'Classificação'!B:B,'Classificação'!C:C),"")</f>
        <v>DESPESAS FIXAS (-)</v>
      </c>
      <c r="S406" s="15">
        <f t="shared" si="5"/>
        <v>18</v>
      </c>
      <c r="T406" s="15">
        <f t="shared" si="6"/>
        <v>11</v>
      </c>
      <c r="U406" s="15">
        <f t="shared" si="7"/>
        <v>2024</v>
      </c>
      <c r="V406" s="15">
        <f t="shared" si="8"/>
        <v>18</v>
      </c>
      <c r="W406" s="15">
        <f t="shared" si="9"/>
        <v>11</v>
      </c>
      <c r="X406" s="15">
        <f t="shared" si="10"/>
        <v>2024</v>
      </c>
    </row>
    <row r="407">
      <c r="A407" s="32">
        <v>45614.0</v>
      </c>
      <c r="B407" s="10"/>
      <c r="C407" s="9">
        <f t="shared" si="22"/>
        <v>45614</v>
      </c>
      <c r="D407" s="11" t="s">
        <v>43</v>
      </c>
      <c r="E407" s="11" t="s">
        <v>25</v>
      </c>
      <c r="F407" s="11" t="s">
        <v>26</v>
      </c>
      <c r="G407" s="11" t="s">
        <v>27</v>
      </c>
      <c r="I407" s="12">
        <v>1499.0</v>
      </c>
      <c r="J407" s="13"/>
      <c r="K407" s="13">
        <f t="shared" si="27"/>
        <v>1499</v>
      </c>
      <c r="L407" s="11" t="s">
        <v>34</v>
      </c>
      <c r="M407" s="14"/>
      <c r="N407" s="11" t="s">
        <v>38</v>
      </c>
      <c r="O407" s="10" t="str">
        <f t="shared" si="3"/>
        <v>11/2024</v>
      </c>
      <c r="P407" s="10" t="str">
        <f t="shared" si="29"/>
        <v>11/2024</v>
      </c>
      <c r="Q407" s="15" t="str">
        <f t="array" ref="Q407">IFERROR(XLOOKUP(N407,'Classificação'!A:A,'Classificação'!B:B),"")</f>
        <v>DESPESAS COM PESSOAL</v>
      </c>
      <c r="R407" s="15" t="str">
        <f t="array" ref="R407">IFERROR(XLOOKUP(Q407,'Classificação'!B:B,'Classificação'!C:C),"")</f>
        <v>DESPESAS FIXAS (-)</v>
      </c>
      <c r="S407" s="15">
        <f t="shared" si="5"/>
        <v>18</v>
      </c>
      <c r="T407" s="15">
        <f t="shared" si="6"/>
        <v>11</v>
      </c>
      <c r="U407" s="15">
        <f t="shared" si="7"/>
        <v>2024</v>
      </c>
      <c r="V407" s="15">
        <f t="shared" si="8"/>
        <v>18</v>
      </c>
      <c r="W407" s="15">
        <f t="shared" si="9"/>
        <v>11</v>
      </c>
      <c r="X407" s="15">
        <f t="shared" si="10"/>
        <v>2024</v>
      </c>
    </row>
    <row r="408">
      <c r="A408" s="32">
        <v>45614.0</v>
      </c>
      <c r="B408" s="10"/>
      <c r="C408" s="9">
        <f t="shared" si="22"/>
        <v>45614</v>
      </c>
      <c r="D408" s="11" t="s">
        <v>36</v>
      </c>
      <c r="E408" s="11" t="s">
        <v>25</v>
      </c>
      <c r="F408" s="11" t="s">
        <v>26</v>
      </c>
      <c r="G408" s="11" t="s">
        <v>27</v>
      </c>
      <c r="I408" s="12">
        <v>1500.0</v>
      </c>
      <c r="J408" s="13"/>
      <c r="K408" s="13">
        <f t="shared" si="27"/>
        <v>1500</v>
      </c>
      <c r="L408" s="11" t="s">
        <v>34</v>
      </c>
      <c r="M408" s="14"/>
      <c r="N408" s="11" t="s">
        <v>38</v>
      </c>
      <c r="O408" s="10" t="str">
        <f t="shared" si="3"/>
        <v>11/2024</v>
      </c>
      <c r="P408" s="10" t="str">
        <f t="shared" si="29"/>
        <v>11/2024</v>
      </c>
      <c r="Q408" s="15" t="str">
        <f t="array" ref="Q408">IFERROR(XLOOKUP(N408,'Classificação'!A:A,'Classificação'!B:B),"")</f>
        <v>DESPESAS COM PESSOAL</v>
      </c>
      <c r="R408" s="15" t="str">
        <f t="array" ref="R408">IFERROR(XLOOKUP(Q408,'Classificação'!B:B,'Classificação'!C:C),"")</f>
        <v>DESPESAS FIXAS (-)</v>
      </c>
      <c r="S408" s="15">
        <f t="shared" si="5"/>
        <v>18</v>
      </c>
      <c r="T408" s="15">
        <f t="shared" si="6"/>
        <v>11</v>
      </c>
      <c r="U408" s="15">
        <f t="shared" si="7"/>
        <v>2024</v>
      </c>
      <c r="V408" s="15">
        <f t="shared" si="8"/>
        <v>18</v>
      </c>
      <c r="W408" s="15">
        <f t="shared" si="9"/>
        <v>11</v>
      </c>
      <c r="X408" s="15">
        <f t="shared" si="10"/>
        <v>2024</v>
      </c>
    </row>
    <row r="409">
      <c r="A409" s="32">
        <v>45614.0</v>
      </c>
      <c r="B409" s="9">
        <v>45558.0</v>
      </c>
      <c r="C409" s="9">
        <f t="shared" si="22"/>
        <v>45614</v>
      </c>
      <c r="D409" s="11" t="s">
        <v>173</v>
      </c>
      <c r="E409" s="11" t="s">
        <v>25</v>
      </c>
      <c r="F409" s="11" t="s">
        <v>26</v>
      </c>
      <c r="G409" s="11" t="s">
        <v>37</v>
      </c>
      <c r="H409" s="11" t="s">
        <v>338</v>
      </c>
      <c r="I409" s="12">
        <v>105.5</v>
      </c>
      <c r="J409" s="13"/>
      <c r="K409" s="13">
        <f t="shared" si="27"/>
        <v>105.5</v>
      </c>
      <c r="L409" s="25" t="s">
        <v>53</v>
      </c>
      <c r="M409" s="17">
        <v>45353.0</v>
      </c>
      <c r="N409" s="11" t="s">
        <v>175</v>
      </c>
      <c r="O409" s="10" t="str">
        <f t="shared" si="3"/>
        <v>11/2024</v>
      </c>
      <c r="P409" s="10" t="str">
        <f t="shared" si="29"/>
        <v>11/2024</v>
      </c>
      <c r="Q409" s="15" t="str">
        <f t="array" ref="Q409">IFERROR(XLOOKUP(N409,'Classificação'!A:A,'Classificação'!B:B),"")</f>
        <v>DESPESAS COM VEICULOS</v>
      </c>
      <c r="R409" s="15" t="str">
        <f t="array" ref="R409">IFERROR(XLOOKUP(Q409,'Classificação'!B:B,'Classificação'!C:C),"")</f>
        <v>DESPESAS FIXAS (-)</v>
      </c>
      <c r="S409" s="15">
        <f t="shared" si="5"/>
        <v>18</v>
      </c>
      <c r="T409" s="15">
        <f t="shared" si="6"/>
        <v>11</v>
      </c>
      <c r="U409" s="15">
        <f t="shared" si="7"/>
        <v>2024</v>
      </c>
      <c r="V409" s="15">
        <f t="shared" si="8"/>
        <v>18</v>
      </c>
      <c r="W409" s="15">
        <f t="shared" si="9"/>
        <v>11</v>
      </c>
      <c r="X409" s="15">
        <f t="shared" si="10"/>
        <v>2024</v>
      </c>
    </row>
    <row r="410">
      <c r="A410" s="26">
        <v>45614.0</v>
      </c>
      <c r="B410" s="32">
        <v>45611.0</v>
      </c>
      <c r="C410" s="9">
        <f t="shared" si="22"/>
        <v>45614</v>
      </c>
      <c r="D410" s="11" t="s">
        <v>361</v>
      </c>
      <c r="E410" s="11" t="s">
        <v>25</v>
      </c>
      <c r="F410" s="29" t="s">
        <v>26</v>
      </c>
      <c r="G410" s="11" t="s">
        <v>37</v>
      </c>
      <c r="H410" s="11" t="s">
        <v>362</v>
      </c>
      <c r="I410" s="12">
        <v>180.11</v>
      </c>
      <c r="J410" s="13"/>
      <c r="K410" s="13">
        <f t="shared" si="27"/>
        <v>180.11</v>
      </c>
      <c r="L410" s="11" t="s">
        <v>53</v>
      </c>
      <c r="M410" s="17">
        <v>45627.0</v>
      </c>
      <c r="N410" s="11" t="s">
        <v>363</v>
      </c>
      <c r="O410" s="10" t="str">
        <f t="shared" si="3"/>
        <v>11/2024</v>
      </c>
      <c r="P410" s="10" t="str">
        <f t="shared" si="29"/>
        <v>11/2024</v>
      </c>
      <c r="Q410" s="15" t="str">
        <f t="array" ref="Q410">IFERROR(XLOOKUP(N410,'Classificação'!A:A,'Classificação'!B:B),"")</f>
        <v>DESPESAS NÃO OPERACIONAIS</v>
      </c>
      <c r="R410" s="15" t="str">
        <f t="array" ref="R410">IFERROR(XLOOKUP(Q410,'Classificação'!B:B,'Classificação'!C:C),"")</f>
        <v>RESULTADO NÃO OPERACIONAL (+/-)</v>
      </c>
      <c r="S410" s="15">
        <f t="shared" si="5"/>
        <v>18</v>
      </c>
      <c r="T410" s="15">
        <f t="shared" si="6"/>
        <v>11</v>
      </c>
      <c r="U410" s="15">
        <f t="shared" si="7"/>
        <v>2024</v>
      </c>
      <c r="V410" s="15">
        <f t="shared" si="8"/>
        <v>18</v>
      </c>
      <c r="W410" s="15">
        <f t="shared" si="9"/>
        <v>11</v>
      </c>
      <c r="X410" s="15">
        <f t="shared" si="10"/>
        <v>2024</v>
      </c>
    </row>
    <row r="411">
      <c r="A411" s="9">
        <v>45614.0</v>
      </c>
      <c r="B411" s="10"/>
      <c r="C411" s="9">
        <f t="shared" si="22"/>
        <v>45614</v>
      </c>
      <c r="D411" s="11" t="s">
        <v>65</v>
      </c>
      <c r="E411" s="11" t="s">
        <v>25</v>
      </c>
      <c r="F411" s="11" t="s">
        <v>26</v>
      </c>
      <c r="G411" s="11" t="s">
        <v>37</v>
      </c>
      <c r="H411" s="11" t="s">
        <v>364</v>
      </c>
      <c r="I411" s="12">
        <v>57.4</v>
      </c>
      <c r="J411" s="13"/>
      <c r="K411" s="13">
        <f t="shared" si="27"/>
        <v>57.4</v>
      </c>
      <c r="L411" s="11" t="s">
        <v>53</v>
      </c>
      <c r="M411" s="17">
        <v>45386.0</v>
      </c>
      <c r="N411" s="11" t="s">
        <v>95</v>
      </c>
      <c r="O411" s="10" t="str">
        <f t="shared" si="3"/>
        <v>11/2024</v>
      </c>
      <c r="P411" s="10" t="str">
        <f t="shared" si="29"/>
        <v>11/2024</v>
      </c>
      <c r="Q411" s="15" t="str">
        <f t="array" ref="Q411">IFERROR(XLOOKUP(N411,'Classificação'!A:A,'Classificação'!B:B),"")</f>
        <v>DESPESAS NÃO OPERACIONAIS</v>
      </c>
      <c r="R411" s="15" t="str">
        <f t="array" ref="R411">IFERROR(XLOOKUP(Q411,'Classificação'!B:B,'Classificação'!C:C),"")</f>
        <v>RESULTADO NÃO OPERACIONAL (+/-)</v>
      </c>
      <c r="S411" s="15">
        <f t="shared" si="5"/>
        <v>18</v>
      </c>
      <c r="T411" s="15">
        <f t="shared" si="6"/>
        <v>11</v>
      </c>
      <c r="U411" s="15">
        <f t="shared" si="7"/>
        <v>2024</v>
      </c>
      <c r="V411" s="15">
        <f t="shared" si="8"/>
        <v>18</v>
      </c>
      <c r="W411" s="15">
        <f t="shared" si="9"/>
        <v>11</v>
      </c>
      <c r="X411" s="15">
        <f t="shared" si="10"/>
        <v>2024</v>
      </c>
    </row>
    <row r="412">
      <c r="A412" s="9">
        <v>45614.0</v>
      </c>
      <c r="B412" s="10"/>
      <c r="C412" s="9">
        <f t="shared" si="22"/>
        <v>45614</v>
      </c>
      <c r="D412" s="11" t="s">
        <v>65</v>
      </c>
      <c r="E412" s="11" t="s">
        <v>25</v>
      </c>
      <c r="F412" s="11" t="s">
        <v>26</v>
      </c>
      <c r="G412" s="11" t="s">
        <v>37</v>
      </c>
      <c r="H412" s="11" t="s">
        <v>365</v>
      </c>
      <c r="I412" s="12">
        <v>67.49</v>
      </c>
      <c r="J412" s="13"/>
      <c r="K412" s="13">
        <f t="shared" si="27"/>
        <v>67.49</v>
      </c>
      <c r="L412" s="11" t="s">
        <v>53</v>
      </c>
      <c r="M412" s="17">
        <v>45575.0</v>
      </c>
      <c r="N412" s="11" t="s">
        <v>95</v>
      </c>
      <c r="O412" s="10" t="str">
        <f t="shared" si="3"/>
        <v>11/2024</v>
      </c>
      <c r="P412" s="10" t="str">
        <f t="shared" si="29"/>
        <v>11/2024</v>
      </c>
      <c r="Q412" s="15" t="str">
        <f t="array" ref="Q412">IFERROR(XLOOKUP(N412,'Classificação'!A:A,'Classificação'!B:B),"")</f>
        <v>DESPESAS NÃO OPERACIONAIS</v>
      </c>
      <c r="R412" s="15" t="str">
        <f t="array" ref="R412">IFERROR(XLOOKUP(Q412,'Classificação'!B:B,'Classificação'!C:C),"")</f>
        <v>RESULTADO NÃO OPERACIONAL (+/-)</v>
      </c>
      <c r="S412" s="15">
        <f t="shared" si="5"/>
        <v>18</v>
      </c>
      <c r="T412" s="15">
        <f t="shared" si="6"/>
        <v>11</v>
      </c>
      <c r="U412" s="15">
        <f t="shared" si="7"/>
        <v>2024</v>
      </c>
      <c r="V412" s="15">
        <f t="shared" si="8"/>
        <v>18</v>
      </c>
      <c r="W412" s="15">
        <f t="shared" si="9"/>
        <v>11</v>
      </c>
      <c r="X412" s="15">
        <f t="shared" si="10"/>
        <v>2024</v>
      </c>
    </row>
    <row r="413">
      <c r="A413" s="9">
        <v>45614.0</v>
      </c>
      <c r="B413" s="9">
        <v>45553.0</v>
      </c>
      <c r="C413" s="9">
        <f t="shared" si="22"/>
        <v>45614</v>
      </c>
      <c r="D413" s="11" t="s">
        <v>313</v>
      </c>
      <c r="E413" s="11" t="s">
        <v>25</v>
      </c>
      <c r="F413" s="11" t="s">
        <v>26</v>
      </c>
      <c r="G413" s="11" t="s">
        <v>37</v>
      </c>
      <c r="H413" s="11" t="s">
        <v>366</v>
      </c>
      <c r="I413" s="12">
        <v>250.0</v>
      </c>
      <c r="J413" s="13"/>
      <c r="K413" s="13">
        <f t="shared" si="27"/>
        <v>250</v>
      </c>
      <c r="L413" s="11" t="s">
        <v>53</v>
      </c>
      <c r="M413" s="17">
        <v>45628.0</v>
      </c>
      <c r="N413" s="11" t="s">
        <v>95</v>
      </c>
      <c r="O413" s="10" t="str">
        <f t="shared" si="3"/>
        <v>11/2024</v>
      </c>
      <c r="P413" s="10" t="str">
        <f t="shared" si="29"/>
        <v>11/2024</v>
      </c>
      <c r="Q413" s="15" t="str">
        <f t="array" ref="Q413">IFERROR(XLOOKUP(N413,'Classificação'!A:A,'Classificação'!B:B),"")</f>
        <v>DESPESAS NÃO OPERACIONAIS</v>
      </c>
      <c r="R413" s="15" t="str">
        <f t="array" ref="R413">IFERROR(XLOOKUP(Q413,'Classificação'!B:B,'Classificação'!C:C),"")</f>
        <v>RESULTADO NÃO OPERACIONAL (+/-)</v>
      </c>
      <c r="S413" s="15">
        <f t="shared" si="5"/>
        <v>18</v>
      </c>
      <c r="T413" s="15">
        <f t="shared" si="6"/>
        <v>11</v>
      </c>
      <c r="U413" s="15">
        <f t="shared" si="7"/>
        <v>2024</v>
      </c>
      <c r="V413" s="15">
        <f t="shared" si="8"/>
        <v>18</v>
      </c>
      <c r="W413" s="15">
        <f t="shared" si="9"/>
        <v>11</v>
      </c>
      <c r="X413" s="15">
        <f t="shared" si="10"/>
        <v>2024</v>
      </c>
    </row>
    <row r="414">
      <c r="A414" s="36">
        <v>45614.0</v>
      </c>
      <c r="B414" s="30"/>
      <c r="C414" s="27">
        <f t="shared" si="22"/>
        <v>45614</v>
      </c>
      <c r="D414" s="28" t="s">
        <v>44</v>
      </c>
      <c r="E414" s="28" t="s">
        <v>25</v>
      </c>
      <c r="F414" s="28" t="s">
        <v>45</v>
      </c>
      <c r="G414" s="28" t="s">
        <v>27</v>
      </c>
      <c r="H414" s="28" t="s">
        <v>337</v>
      </c>
      <c r="I414" s="24">
        <v>5.78</v>
      </c>
      <c r="J414" s="34"/>
      <c r="K414" s="37">
        <f>IF(E414="pago",(I414-J414),"")</f>
        <v>5.78</v>
      </c>
      <c r="L414" s="28" t="s">
        <v>34</v>
      </c>
      <c r="M414" s="28"/>
      <c r="N414" s="28" t="s">
        <v>97</v>
      </c>
      <c r="O414" s="10" t="str">
        <f t="shared" si="3"/>
        <v>11/2024</v>
      </c>
      <c r="P414" s="10" t="str">
        <f t="shared" si="29"/>
        <v>11/2024</v>
      </c>
      <c r="Q414" s="15" t="str">
        <f t="array" ref="Q414">IFERROR(XLOOKUP(N414,'Classificação'!A:A,'Classificação'!B:B),"")</f>
        <v>TARIFAS DE PIX</v>
      </c>
      <c r="R414" s="15" t="str">
        <f t="array" ref="R414">IFERROR(XLOOKUP(Q414,'Classificação'!B:B,'Classificação'!C:C),"")</f>
        <v>(+/-) RESULTADO FINANCEIRO LÍQUIDO</v>
      </c>
      <c r="S414" s="15">
        <f t="shared" si="5"/>
        <v>18</v>
      </c>
      <c r="T414" s="15">
        <f t="shared" si="6"/>
        <v>11</v>
      </c>
      <c r="U414" s="15">
        <f t="shared" si="7"/>
        <v>2024</v>
      </c>
      <c r="V414" s="15">
        <f t="shared" si="8"/>
        <v>18</v>
      </c>
      <c r="W414" s="15">
        <f t="shared" si="9"/>
        <v>11</v>
      </c>
      <c r="X414" s="15">
        <f t="shared" si="10"/>
        <v>2024</v>
      </c>
    </row>
    <row r="415">
      <c r="A415" s="9">
        <v>45615.0</v>
      </c>
      <c r="B415" s="10"/>
      <c r="C415" s="9">
        <f t="shared" si="22"/>
        <v>45615</v>
      </c>
      <c r="D415" s="11" t="s">
        <v>90</v>
      </c>
      <c r="E415" s="11" t="s">
        <v>25</v>
      </c>
      <c r="F415" s="11" t="s">
        <v>40</v>
      </c>
      <c r="G415" s="11" t="s">
        <v>27</v>
      </c>
      <c r="H415" s="11" t="s">
        <v>367</v>
      </c>
      <c r="I415" s="12">
        <v>526.57</v>
      </c>
      <c r="J415" s="13"/>
      <c r="K415" s="13">
        <f t="shared" ref="K415:K492" si="30">if(E415="pago",(I415-J415),"")</f>
        <v>526.57</v>
      </c>
      <c r="L415" s="11" t="s">
        <v>29</v>
      </c>
      <c r="M415" s="14"/>
      <c r="N415" s="11" t="s">
        <v>92</v>
      </c>
      <c r="O415" s="10" t="str">
        <f t="shared" si="3"/>
        <v>11/2024</v>
      </c>
      <c r="P415" s="10" t="str">
        <f t="shared" si="29"/>
        <v>11/2024</v>
      </c>
      <c r="Q415" s="15" t="str">
        <f t="array" ref="Q415">IFERROR(XLOOKUP(N415,'Classificação'!A:A,'Classificação'!B:B),"")</f>
        <v>DESPESAS COM OCUPAÇÃO</v>
      </c>
      <c r="R415" s="15" t="str">
        <f t="array" ref="R415">IFERROR(XLOOKUP(Q415,'Classificação'!B:B,'Classificação'!C:C),"")</f>
        <v>DESPESAS FIXAS (-)</v>
      </c>
      <c r="S415" s="15">
        <f t="shared" si="5"/>
        <v>19</v>
      </c>
      <c r="T415" s="15">
        <f t="shared" si="6"/>
        <v>11</v>
      </c>
      <c r="U415" s="15">
        <f t="shared" si="7"/>
        <v>2024</v>
      </c>
      <c r="V415" s="15">
        <f t="shared" si="8"/>
        <v>19</v>
      </c>
      <c r="W415" s="15">
        <f t="shared" si="9"/>
        <v>11</v>
      </c>
      <c r="X415" s="15">
        <f t="shared" si="10"/>
        <v>2024</v>
      </c>
    </row>
    <row r="416">
      <c r="A416" s="9">
        <v>45615.0</v>
      </c>
      <c r="B416" s="10"/>
      <c r="C416" s="9">
        <f t="shared" si="22"/>
        <v>45615</v>
      </c>
      <c r="D416" s="11" t="s">
        <v>123</v>
      </c>
      <c r="E416" s="11" t="s">
        <v>25</v>
      </c>
      <c r="F416" s="11" t="s">
        <v>40</v>
      </c>
      <c r="G416" s="11" t="s">
        <v>27</v>
      </c>
      <c r="I416" s="12">
        <v>426.48</v>
      </c>
      <c r="J416" s="13"/>
      <c r="K416" s="13">
        <f t="shared" si="30"/>
        <v>426.48</v>
      </c>
      <c r="L416" s="11" t="s">
        <v>29</v>
      </c>
      <c r="M416" s="14"/>
      <c r="N416" s="11" t="s">
        <v>123</v>
      </c>
      <c r="O416" s="10" t="str">
        <f t="shared" si="3"/>
        <v>11/2024</v>
      </c>
      <c r="P416" s="10" t="str">
        <f t="shared" si="29"/>
        <v>11/2024</v>
      </c>
      <c r="Q416" s="15" t="str">
        <f t="array" ref="Q416">IFERROR(XLOOKUP(N416,'Classificação'!A:A,'Classificação'!B:B),"")</f>
        <v>DESPESAS COM PESSOAL</v>
      </c>
      <c r="R416" s="15" t="str">
        <f t="array" ref="R416">IFERROR(XLOOKUP(Q416,'Classificação'!B:B,'Classificação'!C:C),"")</f>
        <v>DESPESAS FIXAS (-)</v>
      </c>
      <c r="S416" s="15">
        <f t="shared" si="5"/>
        <v>19</v>
      </c>
      <c r="T416" s="15">
        <f t="shared" si="6"/>
        <v>11</v>
      </c>
      <c r="U416" s="15">
        <f t="shared" si="7"/>
        <v>2024</v>
      </c>
      <c r="V416" s="15">
        <f t="shared" si="8"/>
        <v>19</v>
      </c>
      <c r="W416" s="15">
        <f t="shared" si="9"/>
        <v>11</v>
      </c>
      <c r="X416" s="15">
        <f t="shared" si="10"/>
        <v>2024</v>
      </c>
    </row>
    <row r="417">
      <c r="A417" s="9">
        <v>45615.0</v>
      </c>
      <c r="B417" s="10"/>
      <c r="C417" s="9">
        <f t="shared" si="22"/>
        <v>45615</v>
      </c>
      <c r="D417" s="11" t="s">
        <v>126</v>
      </c>
      <c r="E417" s="11" t="s">
        <v>25</v>
      </c>
      <c r="F417" s="11" t="s">
        <v>40</v>
      </c>
      <c r="G417" s="11" t="s">
        <v>27</v>
      </c>
      <c r="I417" s="12">
        <v>540.77</v>
      </c>
      <c r="J417" s="13"/>
      <c r="K417" s="13">
        <f t="shared" si="30"/>
        <v>540.77</v>
      </c>
      <c r="L417" s="11" t="s">
        <v>29</v>
      </c>
      <c r="M417" s="14"/>
      <c r="N417" s="11" t="s">
        <v>126</v>
      </c>
      <c r="O417" s="10" t="str">
        <f t="shared" si="3"/>
        <v>11/2024</v>
      </c>
      <c r="P417" s="10" t="str">
        <f t="shared" si="29"/>
        <v>11/2024</v>
      </c>
      <c r="Q417" s="15" t="str">
        <f t="array" ref="Q417">IFERROR(XLOOKUP(N417,'Classificação'!A:A,'Classificação'!B:B),"")</f>
        <v>DESPESAS COM PESSOAL</v>
      </c>
      <c r="R417" s="15" t="str">
        <f t="array" ref="R417">IFERROR(XLOOKUP(Q417,'Classificação'!B:B,'Classificação'!C:C),"")</f>
        <v>DESPESAS FIXAS (-)</v>
      </c>
      <c r="S417" s="15">
        <f t="shared" si="5"/>
        <v>19</v>
      </c>
      <c r="T417" s="15">
        <f t="shared" si="6"/>
        <v>11</v>
      </c>
      <c r="U417" s="15">
        <f t="shared" si="7"/>
        <v>2024</v>
      </c>
      <c r="V417" s="15">
        <f t="shared" si="8"/>
        <v>19</v>
      </c>
      <c r="W417" s="15">
        <f t="shared" si="9"/>
        <v>11</v>
      </c>
      <c r="X417" s="15">
        <f t="shared" si="10"/>
        <v>2024</v>
      </c>
    </row>
    <row r="418">
      <c r="A418" s="32">
        <v>45615.0</v>
      </c>
      <c r="B418" s="10"/>
      <c r="C418" s="9">
        <f t="shared" si="22"/>
        <v>45615</v>
      </c>
      <c r="D418" s="11" t="s">
        <v>137</v>
      </c>
      <c r="E418" s="11" t="s">
        <v>25</v>
      </c>
      <c r="F418" s="11" t="s">
        <v>26</v>
      </c>
      <c r="G418" s="11" t="s">
        <v>27</v>
      </c>
      <c r="H418" s="11" t="s">
        <v>368</v>
      </c>
      <c r="I418" s="12">
        <v>25.1</v>
      </c>
      <c r="J418" s="13"/>
      <c r="K418" s="13">
        <f t="shared" si="30"/>
        <v>25.1</v>
      </c>
      <c r="L418" s="11" t="s">
        <v>34</v>
      </c>
      <c r="M418" s="14"/>
      <c r="N418" s="11" t="s">
        <v>68</v>
      </c>
      <c r="O418" s="10" t="str">
        <f t="shared" si="3"/>
        <v>11/2024</v>
      </c>
      <c r="P418" s="10" t="str">
        <f t="shared" si="29"/>
        <v>11/2024</v>
      </c>
      <c r="Q418" s="15" t="str">
        <f t="array" ref="Q418">IFERROR(XLOOKUP(N418,'Classificação'!A:A,'Classificação'!B:B),"")</f>
        <v>FRETE DE VENDAS</v>
      </c>
      <c r="R418" s="15" t="str">
        <f t="array" ref="R418">IFERROR(XLOOKUP(Q418,'Classificação'!B:B,'Classificação'!C:C),"")</f>
        <v>CUSTOS VARIÁVEIS</v>
      </c>
      <c r="S418" s="15">
        <f t="shared" si="5"/>
        <v>19</v>
      </c>
      <c r="T418" s="15">
        <f t="shared" si="6"/>
        <v>11</v>
      </c>
      <c r="U418" s="15">
        <f t="shared" si="7"/>
        <v>2024</v>
      </c>
      <c r="V418" s="15">
        <f t="shared" si="8"/>
        <v>19</v>
      </c>
      <c r="W418" s="15">
        <f t="shared" si="9"/>
        <v>11</v>
      </c>
      <c r="X418" s="15">
        <f t="shared" si="10"/>
        <v>2024</v>
      </c>
    </row>
    <row r="419">
      <c r="A419" s="32">
        <v>45615.0</v>
      </c>
      <c r="B419" s="10"/>
      <c r="C419" s="9">
        <f t="shared" si="22"/>
        <v>45615</v>
      </c>
      <c r="D419" s="11" t="s">
        <v>369</v>
      </c>
      <c r="E419" s="11" t="s">
        <v>25</v>
      </c>
      <c r="F419" s="11" t="s">
        <v>45</v>
      </c>
      <c r="G419" s="11" t="s">
        <v>66</v>
      </c>
      <c r="H419" s="11" t="s">
        <v>370</v>
      </c>
      <c r="I419" s="12">
        <v>79.9</v>
      </c>
      <c r="J419" s="13"/>
      <c r="K419" s="13">
        <f t="shared" si="30"/>
        <v>79.9</v>
      </c>
      <c r="L419" s="11" t="s">
        <v>34</v>
      </c>
      <c r="M419" s="14"/>
      <c r="N419" s="11" t="s">
        <v>371</v>
      </c>
      <c r="O419" s="10" t="str">
        <f t="shared" si="3"/>
        <v>11/2024</v>
      </c>
      <c r="P419" s="10" t="str">
        <f t="shared" si="29"/>
        <v>11/2024</v>
      </c>
      <c r="Q419" s="15" t="str">
        <f t="array" ref="Q419">IFERROR(XLOOKUP(N419,'Classificação'!A:A,'Classificação'!B:B),"")</f>
        <v>DESPESAS NÃO OPERACIONAIS</v>
      </c>
      <c r="R419" s="15" t="str">
        <f t="array" ref="R419">IFERROR(XLOOKUP(Q419,'Classificação'!B:B,'Classificação'!C:C),"")</f>
        <v>RESULTADO NÃO OPERACIONAL (+/-)</v>
      </c>
      <c r="S419" s="15">
        <f t="shared" si="5"/>
        <v>19</v>
      </c>
      <c r="T419" s="15">
        <f t="shared" si="6"/>
        <v>11</v>
      </c>
      <c r="U419" s="15">
        <f t="shared" si="7"/>
        <v>2024</v>
      </c>
      <c r="V419" s="15">
        <f t="shared" si="8"/>
        <v>19</v>
      </c>
      <c r="W419" s="15">
        <f t="shared" si="9"/>
        <v>11</v>
      </c>
      <c r="X419" s="15">
        <f t="shared" si="10"/>
        <v>2024</v>
      </c>
    </row>
    <row r="420">
      <c r="A420" s="9">
        <v>45617.0</v>
      </c>
      <c r="B420" s="10"/>
      <c r="C420" s="9">
        <f t="shared" si="22"/>
        <v>45617</v>
      </c>
      <c r="D420" s="11" t="s">
        <v>104</v>
      </c>
      <c r="E420" s="11" t="s">
        <v>25</v>
      </c>
      <c r="F420" s="11" t="s">
        <v>40</v>
      </c>
      <c r="G420" s="11" t="s">
        <v>27</v>
      </c>
      <c r="I420" s="12">
        <v>425.0</v>
      </c>
      <c r="J420" s="13"/>
      <c r="K420" s="13">
        <f t="shared" si="30"/>
        <v>425</v>
      </c>
      <c r="L420" s="11" t="s">
        <v>29</v>
      </c>
      <c r="M420" s="14"/>
      <c r="N420" s="11" t="s">
        <v>105</v>
      </c>
      <c r="O420" s="10" t="str">
        <f t="shared" si="3"/>
        <v>11/2024</v>
      </c>
      <c r="P420" s="10" t="str">
        <f t="shared" si="29"/>
        <v>11/2024</v>
      </c>
      <c r="Q420" s="15" t="str">
        <f t="array" ref="Q420">IFERROR(XLOOKUP(N420,'Classificação'!A:A,'Classificação'!B:B),"")</f>
        <v>DESPESAS ADMINISTRATIVAS</v>
      </c>
      <c r="R420" s="15" t="str">
        <f t="array" ref="R420">IFERROR(XLOOKUP(Q420,'Classificação'!B:B,'Classificação'!C:C),"")</f>
        <v>DESPESAS FIXAS (-)</v>
      </c>
      <c r="S420" s="15">
        <f t="shared" si="5"/>
        <v>21</v>
      </c>
      <c r="T420" s="15">
        <f t="shared" si="6"/>
        <v>11</v>
      </c>
      <c r="U420" s="15">
        <f t="shared" si="7"/>
        <v>2024</v>
      </c>
      <c r="V420" s="15">
        <f t="shared" si="8"/>
        <v>21</v>
      </c>
      <c r="W420" s="15">
        <f t="shared" si="9"/>
        <v>11</v>
      </c>
      <c r="X420" s="15">
        <f t="shared" si="10"/>
        <v>2024</v>
      </c>
    </row>
    <row r="421">
      <c r="A421" s="9">
        <v>45617.0</v>
      </c>
      <c r="B421" s="9">
        <v>45458.0</v>
      </c>
      <c r="C421" s="9">
        <f t="shared" si="22"/>
        <v>45617</v>
      </c>
      <c r="D421" s="11" t="s">
        <v>106</v>
      </c>
      <c r="E421" s="11" t="s">
        <v>25</v>
      </c>
      <c r="F421" s="11" t="s">
        <v>107</v>
      </c>
      <c r="G421" s="11" t="s">
        <v>27</v>
      </c>
      <c r="H421" s="11" t="s">
        <v>241</v>
      </c>
      <c r="I421" s="31">
        <v>278.01</v>
      </c>
      <c r="J421" s="13"/>
      <c r="K421" s="13">
        <f t="shared" si="30"/>
        <v>278.01</v>
      </c>
      <c r="L421" s="11" t="s">
        <v>53</v>
      </c>
      <c r="M421" s="20">
        <v>45477.0</v>
      </c>
      <c r="N421" s="11" t="s">
        <v>95</v>
      </c>
      <c r="O421" s="10" t="str">
        <f t="shared" si="3"/>
        <v>11/2024</v>
      </c>
      <c r="P421" s="10" t="str">
        <f t="shared" si="29"/>
        <v>11/2024</v>
      </c>
      <c r="Q421" s="15" t="str">
        <f t="array" ref="Q421">IFERROR(XLOOKUP(N421,'Classificação'!A:A,'Classificação'!B:B),"")</f>
        <v>DESPESAS NÃO OPERACIONAIS</v>
      </c>
      <c r="R421" s="15" t="str">
        <f t="array" ref="R421">IFERROR(XLOOKUP(Q421,'Classificação'!B:B,'Classificação'!C:C),"")</f>
        <v>RESULTADO NÃO OPERACIONAL (+/-)</v>
      </c>
      <c r="S421" s="15">
        <f t="shared" si="5"/>
        <v>21</v>
      </c>
      <c r="T421" s="15">
        <f t="shared" si="6"/>
        <v>11</v>
      </c>
      <c r="U421" s="15">
        <f t="shared" si="7"/>
        <v>2024</v>
      </c>
      <c r="V421" s="15">
        <f t="shared" si="8"/>
        <v>21</v>
      </c>
      <c r="W421" s="15">
        <f t="shared" si="9"/>
        <v>11</v>
      </c>
      <c r="X421" s="15">
        <f t="shared" si="10"/>
        <v>2024</v>
      </c>
    </row>
    <row r="422">
      <c r="A422" s="9">
        <v>45617.0</v>
      </c>
      <c r="B422" s="10"/>
      <c r="C422" s="9">
        <f t="shared" si="22"/>
        <v>45617</v>
      </c>
      <c r="D422" s="11" t="s">
        <v>109</v>
      </c>
      <c r="E422" s="11" t="s">
        <v>25</v>
      </c>
      <c r="F422" s="11" t="s">
        <v>110</v>
      </c>
      <c r="G422" s="11" t="s">
        <v>27</v>
      </c>
      <c r="H422" s="11" t="s">
        <v>111</v>
      </c>
      <c r="I422" s="31">
        <v>24.15</v>
      </c>
      <c r="J422" s="13"/>
      <c r="K422" s="13">
        <f t="shared" si="30"/>
        <v>24.15</v>
      </c>
      <c r="L422" s="11" t="s">
        <v>29</v>
      </c>
      <c r="M422" s="14"/>
      <c r="N422" s="11" t="s">
        <v>105</v>
      </c>
      <c r="O422" s="10" t="str">
        <f t="shared" si="3"/>
        <v>11/2024</v>
      </c>
      <c r="P422" s="10" t="str">
        <f t="shared" si="29"/>
        <v>11/2024</v>
      </c>
      <c r="Q422" s="15" t="str">
        <f t="array" ref="Q422">IFERROR(XLOOKUP(N422,'Classificação'!A:A,'Classificação'!B:B),"")</f>
        <v>DESPESAS ADMINISTRATIVAS</v>
      </c>
      <c r="R422" s="15" t="str">
        <f t="array" ref="R422">IFERROR(XLOOKUP(Q422,'Classificação'!B:B,'Classificação'!C:C),"")</f>
        <v>DESPESAS FIXAS (-)</v>
      </c>
      <c r="S422" s="15">
        <f t="shared" si="5"/>
        <v>21</v>
      </c>
      <c r="T422" s="15">
        <f t="shared" si="6"/>
        <v>11</v>
      </c>
      <c r="U422" s="15">
        <f t="shared" si="7"/>
        <v>2024</v>
      </c>
      <c r="V422" s="15">
        <f t="shared" si="8"/>
        <v>21</v>
      </c>
      <c r="W422" s="15">
        <f t="shared" si="9"/>
        <v>11</v>
      </c>
      <c r="X422" s="15">
        <f t="shared" si="10"/>
        <v>2024</v>
      </c>
    </row>
    <row r="423">
      <c r="A423" s="9">
        <v>45617.0</v>
      </c>
      <c r="B423" s="10"/>
      <c r="C423" s="9">
        <f t="shared" si="22"/>
        <v>45617</v>
      </c>
      <c r="D423" s="11" t="s">
        <v>121</v>
      </c>
      <c r="E423" s="11" t="s">
        <v>25</v>
      </c>
      <c r="F423" s="11" t="s">
        <v>110</v>
      </c>
      <c r="G423" s="11" t="s">
        <v>27</v>
      </c>
      <c r="H423" s="11" t="s">
        <v>122</v>
      </c>
      <c r="I423" s="31">
        <v>29.9</v>
      </c>
      <c r="J423" s="13"/>
      <c r="K423" s="13">
        <f t="shared" si="30"/>
        <v>29.9</v>
      </c>
      <c r="L423" s="11" t="s">
        <v>29</v>
      </c>
      <c r="M423" s="14"/>
      <c r="N423" s="11" t="s">
        <v>105</v>
      </c>
      <c r="O423" s="10" t="str">
        <f t="shared" si="3"/>
        <v>11/2024</v>
      </c>
      <c r="P423" s="10" t="str">
        <f t="shared" si="29"/>
        <v>11/2024</v>
      </c>
      <c r="Q423" s="15" t="str">
        <f t="array" ref="Q423">IFERROR(XLOOKUP(N423,'Classificação'!A:A,'Classificação'!B:B),"")</f>
        <v>DESPESAS ADMINISTRATIVAS</v>
      </c>
      <c r="R423" s="15" t="str">
        <f t="array" ref="R423">IFERROR(XLOOKUP(Q423,'Classificação'!B:B,'Classificação'!C:C),"")</f>
        <v>DESPESAS FIXAS (-)</v>
      </c>
      <c r="S423" s="15">
        <f t="shared" si="5"/>
        <v>21</v>
      </c>
      <c r="T423" s="15">
        <f t="shared" si="6"/>
        <v>11</v>
      </c>
      <c r="U423" s="15">
        <f t="shared" si="7"/>
        <v>2024</v>
      </c>
      <c r="V423" s="15">
        <f t="shared" si="8"/>
        <v>21</v>
      </c>
      <c r="W423" s="15">
        <f t="shared" si="9"/>
        <v>11</v>
      </c>
      <c r="X423" s="15">
        <f t="shared" si="10"/>
        <v>2024</v>
      </c>
    </row>
    <row r="424">
      <c r="A424" s="9">
        <v>45617.0</v>
      </c>
      <c r="B424" s="10"/>
      <c r="C424" s="9">
        <f t="shared" si="22"/>
        <v>45617</v>
      </c>
      <c r="D424" s="11" t="s">
        <v>125</v>
      </c>
      <c r="E424" s="11" t="s">
        <v>25</v>
      </c>
      <c r="F424" s="11" t="s">
        <v>107</v>
      </c>
      <c r="G424" s="11" t="s">
        <v>27</v>
      </c>
      <c r="H424" s="11" t="s">
        <v>245</v>
      </c>
      <c r="I424" s="31">
        <v>64.75</v>
      </c>
      <c r="J424" s="13"/>
      <c r="K424" s="13">
        <f t="shared" si="30"/>
        <v>64.75</v>
      </c>
      <c r="L424" s="11" t="s">
        <v>53</v>
      </c>
      <c r="M424" s="17">
        <v>45417.0</v>
      </c>
      <c r="N424" s="11" t="s">
        <v>95</v>
      </c>
      <c r="O424" s="10" t="str">
        <f t="shared" si="3"/>
        <v>11/2024</v>
      </c>
      <c r="P424" s="10" t="str">
        <f t="shared" si="29"/>
        <v>11/2024</v>
      </c>
      <c r="Q424" s="15" t="str">
        <f t="array" ref="Q424">IFERROR(XLOOKUP(N424,'Classificação'!A:A,'Classificação'!B:B),"")</f>
        <v>DESPESAS NÃO OPERACIONAIS</v>
      </c>
      <c r="R424" s="15" t="str">
        <f t="array" ref="R424">IFERROR(XLOOKUP(Q424,'Classificação'!B:B,'Classificação'!C:C),"")</f>
        <v>RESULTADO NÃO OPERACIONAL (+/-)</v>
      </c>
      <c r="S424" s="15">
        <f t="shared" si="5"/>
        <v>21</v>
      </c>
      <c r="T424" s="15">
        <f t="shared" si="6"/>
        <v>11</v>
      </c>
      <c r="U424" s="15">
        <f t="shared" si="7"/>
        <v>2024</v>
      </c>
      <c r="V424" s="15">
        <f t="shared" si="8"/>
        <v>21</v>
      </c>
      <c r="W424" s="15">
        <f t="shared" si="9"/>
        <v>11</v>
      </c>
      <c r="X424" s="15">
        <f t="shared" si="10"/>
        <v>2024</v>
      </c>
    </row>
    <row r="425">
      <c r="A425" s="9">
        <v>45617.0</v>
      </c>
      <c r="B425" s="9">
        <v>45478.0</v>
      </c>
      <c r="C425" s="9">
        <f t="shared" si="22"/>
        <v>45617</v>
      </c>
      <c r="D425" s="11" t="s">
        <v>129</v>
      </c>
      <c r="E425" s="11" t="s">
        <v>25</v>
      </c>
      <c r="F425" s="11" t="s">
        <v>107</v>
      </c>
      <c r="G425" s="11" t="s">
        <v>27</v>
      </c>
      <c r="I425" s="31">
        <v>330.0</v>
      </c>
      <c r="J425" s="13"/>
      <c r="K425" s="13">
        <f t="shared" si="30"/>
        <v>330</v>
      </c>
      <c r="L425" s="11" t="s">
        <v>53</v>
      </c>
      <c r="M425" s="17">
        <v>45416.0</v>
      </c>
      <c r="N425" s="11" t="s">
        <v>95</v>
      </c>
      <c r="O425" s="10" t="str">
        <f t="shared" si="3"/>
        <v>11/2024</v>
      </c>
      <c r="P425" s="10" t="str">
        <f t="shared" si="29"/>
        <v>11/2024</v>
      </c>
      <c r="Q425" s="15" t="str">
        <f t="array" ref="Q425">IFERROR(XLOOKUP(N425,'Classificação'!A:A,'Classificação'!B:B),"")</f>
        <v>DESPESAS NÃO OPERACIONAIS</v>
      </c>
      <c r="R425" s="15" t="str">
        <f t="array" ref="R425">IFERROR(XLOOKUP(Q425,'Classificação'!B:B,'Classificação'!C:C),"")</f>
        <v>RESULTADO NÃO OPERACIONAL (+/-)</v>
      </c>
      <c r="S425" s="15">
        <f t="shared" si="5"/>
        <v>21</v>
      </c>
      <c r="T425" s="15">
        <f t="shared" si="6"/>
        <v>11</v>
      </c>
      <c r="U425" s="15">
        <f t="shared" si="7"/>
        <v>2024</v>
      </c>
      <c r="V425" s="15">
        <f t="shared" si="8"/>
        <v>21</v>
      </c>
      <c r="W425" s="15">
        <f t="shared" si="9"/>
        <v>11</v>
      </c>
      <c r="X425" s="15">
        <f t="shared" si="10"/>
        <v>2024</v>
      </c>
    </row>
    <row r="426">
      <c r="A426" s="9">
        <v>45617.0</v>
      </c>
      <c r="B426" s="10"/>
      <c r="C426" s="9">
        <f t="shared" si="22"/>
        <v>45617</v>
      </c>
      <c r="D426" s="11" t="s">
        <v>131</v>
      </c>
      <c r="E426" s="11" t="s">
        <v>25</v>
      </c>
      <c r="F426" s="11" t="s">
        <v>107</v>
      </c>
      <c r="G426" s="11" t="s">
        <v>27</v>
      </c>
      <c r="I426" s="31">
        <v>249.33</v>
      </c>
      <c r="J426" s="13"/>
      <c r="K426" s="13">
        <f t="shared" si="30"/>
        <v>249.33</v>
      </c>
      <c r="L426" s="11" t="s">
        <v>53</v>
      </c>
      <c r="M426" s="17">
        <v>45632.0</v>
      </c>
      <c r="N426" s="11" t="s">
        <v>133</v>
      </c>
      <c r="O426" s="10" t="str">
        <f t="shared" si="3"/>
        <v>11/2024</v>
      </c>
      <c r="P426" s="10" t="str">
        <f t="shared" si="29"/>
        <v>11/2024</v>
      </c>
      <c r="Q426" s="15" t="str">
        <f t="array" ref="Q426">IFERROR(XLOOKUP(N426,'Classificação'!A:A,'Classificação'!B:B),"")</f>
        <v>DESPESAS COM VEICULOS</v>
      </c>
      <c r="R426" s="15" t="str">
        <f t="array" ref="R426">IFERROR(XLOOKUP(Q426,'Classificação'!B:B,'Classificação'!C:C),"")</f>
        <v>DESPESAS FIXAS (-)</v>
      </c>
      <c r="S426" s="15">
        <f t="shared" si="5"/>
        <v>21</v>
      </c>
      <c r="T426" s="15">
        <f t="shared" si="6"/>
        <v>11</v>
      </c>
      <c r="U426" s="15">
        <f t="shared" si="7"/>
        <v>2024</v>
      </c>
      <c r="V426" s="15">
        <f t="shared" si="8"/>
        <v>21</v>
      </c>
      <c r="W426" s="15">
        <f t="shared" si="9"/>
        <v>11</v>
      </c>
      <c r="X426" s="15">
        <f t="shared" si="10"/>
        <v>2024</v>
      </c>
    </row>
    <row r="427">
      <c r="A427" s="9">
        <v>45617.0</v>
      </c>
      <c r="B427" s="19">
        <v>45349.0</v>
      </c>
      <c r="C427" s="9">
        <f t="shared" si="22"/>
        <v>45617</v>
      </c>
      <c r="D427" s="11" t="s">
        <v>65</v>
      </c>
      <c r="E427" s="11" t="s">
        <v>25</v>
      </c>
      <c r="F427" s="11" t="s">
        <v>107</v>
      </c>
      <c r="G427" s="11" t="s">
        <v>27</v>
      </c>
      <c r="H427" s="11" t="s">
        <v>247</v>
      </c>
      <c r="I427" s="31">
        <v>79.92</v>
      </c>
      <c r="J427" s="13"/>
      <c r="K427" s="13">
        <f t="shared" si="30"/>
        <v>79.92</v>
      </c>
      <c r="L427" s="11" t="s">
        <v>53</v>
      </c>
      <c r="M427" s="17">
        <v>45574.0</v>
      </c>
      <c r="N427" s="11" t="s">
        <v>95</v>
      </c>
      <c r="O427" s="10" t="str">
        <f t="shared" si="3"/>
        <v>11/2024</v>
      </c>
      <c r="P427" s="10" t="str">
        <f t="shared" si="29"/>
        <v>11/2024</v>
      </c>
      <c r="Q427" s="15" t="str">
        <f t="array" ref="Q427">IFERROR(XLOOKUP(N427,'Classificação'!A:A,'Classificação'!B:B),"")</f>
        <v>DESPESAS NÃO OPERACIONAIS</v>
      </c>
      <c r="R427" s="15" t="str">
        <f t="array" ref="R427">IFERROR(XLOOKUP(Q427,'Classificação'!B:B,'Classificação'!C:C),"")</f>
        <v>RESULTADO NÃO OPERACIONAL (+/-)</v>
      </c>
      <c r="S427" s="15">
        <f t="shared" si="5"/>
        <v>21</v>
      </c>
      <c r="T427" s="15">
        <f t="shared" si="6"/>
        <v>11</v>
      </c>
      <c r="U427" s="15">
        <f t="shared" si="7"/>
        <v>2024</v>
      </c>
      <c r="V427" s="15">
        <f t="shared" si="8"/>
        <v>21</v>
      </c>
      <c r="W427" s="15">
        <f t="shared" si="9"/>
        <v>11</v>
      </c>
      <c r="X427" s="15">
        <f t="shared" si="10"/>
        <v>2024</v>
      </c>
    </row>
    <row r="428">
      <c r="A428" s="9">
        <v>45617.0</v>
      </c>
      <c r="B428" s="9">
        <v>45439.0</v>
      </c>
      <c r="C428" s="9">
        <f t="shared" si="22"/>
        <v>45617</v>
      </c>
      <c r="D428" s="11" t="s">
        <v>65</v>
      </c>
      <c r="E428" s="11" t="s">
        <v>25</v>
      </c>
      <c r="F428" s="11" t="s">
        <v>107</v>
      </c>
      <c r="G428" s="11" t="s">
        <v>27</v>
      </c>
      <c r="H428" s="11" t="s">
        <v>248</v>
      </c>
      <c r="I428" s="31">
        <v>64.9</v>
      </c>
      <c r="J428" s="13"/>
      <c r="K428" s="13">
        <f t="shared" si="30"/>
        <v>64.9</v>
      </c>
      <c r="L428" s="11" t="s">
        <v>53</v>
      </c>
      <c r="M428" s="17">
        <v>45571.0</v>
      </c>
      <c r="N428" s="11" t="s">
        <v>95</v>
      </c>
      <c r="O428" s="10" t="str">
        <f t="shared" si="3"/>
        <v>11/2024</v>
      </c>
      <c r="P428" s="10" t="str">
        <f t="shared" si="29"/>
        <v>11/2024</v>
      </c>
      <c r="Q428" s="15" t="str">
        <f t="array" ref="Q428">IFERROR(XLOOKUP(N428,'Classificação'!A:A,'Classificação'!B:B),"")</f>
        <v>DESPESAS NÃO OPERACIONAIS</v>
      </c>
      <c r="R428" s="15" t="str">
        <f t="array" ref="R428">IFERROR(XLOOKUP(Q428,'Classificação'!B:B,'Classificação'!C:C),"")</f>
        <v>RESULTADO NÃO OPERACIONAL (+/-)</v>
      </c>
      <c r="S428" s="15">
        <f t="shared" si="5"/>
        <v>21</v>
      </c>
      <c r="T428" s="15">
        <f t="shared" si="6"/>
        <v>11</v>
      </c>
      <c r="U428" s="15">
        <f t="shared" si="7"/>
        <v>2024</v>
      </c>
      <c r="V428" s="15">
        <f t="shared" si="8"/>
        <v>21</v>
      </c>
      <c r="W428" s="15">
        <f t="shared" si="9"/>
        <v>11</v>
      </c>
      <c r="X428" s="15">
        <f t="shared" si="10"/>
        <v>2024</v>
      </c>
    </row>
    <row r="429">
      <c r="A429" s="9">
        <v>45617.0</v>
      </c>
      <c r="B429" s="9">
        <v>45497.0</v>
      </c>
      <c r="C429" s="9">
        <f t="shared" si="22"/>
        <v>45617</v>
      </c>
      <c r="D429" s="11" t="s">
        <v>65</v>
      </c>
      <c r="E429" s="11" t="s">
        <v>25</v>
      </c>
      <c r="F429" s="11" t="s">
        <v>107</v>
      </c>
      <c r="G429" s="11" t="s">
        <v>27</v>
      </c>
      <c r="H429" s="11" t="s">
        <v>252</v>
      </c>
      <c r="I429" s="31">
        <v>35.98</v>
      </c>
      <c r="J429" s="13"/>
      <c r="K429" s="13">
        <f t="shared" si="30"/>
        <v>35.98</v>
      </c>
      <c r="L429" s="11" t="s">
        <v>53</v>
      </c>
      <c r="M429" s="17">
        <v>45416.0</v>
      </c>
      <c r="N429" s="11" t="s">
        <v>143</v>
      </c>
      <c r="O429" s="10" t="str">
        <f t="shared" si="3"/>
        <v>11/2024</v>
      </c>
      <c r="P429" s="10" t="str">
        <f t="shared" si="29"/>
        <v>11/2024</v>
      </c>
      <c r="Q429" s="15" t="str">
        <f t="array" ref="Q429">IFERROR(XLOOKUP(N429,'Classificação'!A:A,'Classificação'!B:B),"")</f>
        <v>EMBALAGENS/FITAS/GERAL</v>
      </c>
      <c r="R429" s="15" t="str">
        <f t="array" ref="R429">IFERROR(XLOOKUP(Q429,'Classificação'!B:B,'Classificação'!C:C),"")</f>
        <v>CUSTOS VARIÁVEIS</v>
      </c>
      <c r="S429" s="15">
        <f t="shared" si="5"/>
        <v>21</v>
      </c>
      <c r="T429" s="15">
        <f t="shared" si="6"/>
        <v>11</v>
      </c>
      <c r="U429" s="15">
        <f t="shared" si="7"/>
        <v>2024</v>
      </c>
      <c r="V429" s="15">
        <f t="shared" si="8"/>
        <v>21</v>
      </c>
      <c r="W429" s="15">
        <f t="shared" si="9"/>
        <v>11</v>
      </c>
      <c r="X429" s="15">
        <f t="shared" si="10"/>
        <v>2024</v>
      </c>
    </row>
    <row r="430">
      <c r="A430" s="9">
        <v>45617.0</v>
      </c>
      <c r="B430" s="9">
        <v>45478.0</v>
      </c>
      <c r="C430" s="9">
        <f t="shared" si="22"/>
        <v>45617</v>
      </c>
      <c r="D430" s="11" t="s">
        <v>163</v>
      </c>
      <c r="E430" s="11" t="s">
        <v>25</v>
      </c>
      <c r="F430" s="11" t="s">
        <v>107</v>
      </c>
      <c r="G430" s="11" t="s">
        <v>27</v>
      </c>
      <c r="H430" s="11" t="s">
        <v>253</v>
      </c>
      <c r="I430" s="31">
        <v>96.41</v>
      </c>
      <c r="J430" s="13"/>
      <c r="K430" s="13">
        <f t="shared" si="30"/>
        <v>96.41</v>
      </c>
      <c r="L430" s="11" t="s">
        <v>53</v>
      </c>
      <c r="M430" s="17">
        <v>45447.0</v>
      </c>
      <c r="N430" s="11" t="s">
        <v>95</v>
      </c>
      <c r="O430" s="10" t="str">
        <f t="shared" si="3"/>
        <v>11/2024</v>
      </c>
      <c r="P430" s="10" t="str">
        <f t="shared" si="29"/>
        <v>11/2024</v>
      </c>
      <c r="Q430" s="15" t="str">
        <f t="array" ref="Q430">IFERROR(XLOOKUP(N430,'Classificação'!A:A,'Classificação'!B:B),"")</f>
        <v>DESPESAS NÃO OPERACIONAIS</v>
      </c>
      <c r="R430" s="15" t="str">
        <f t="array" ref="R430">IFERROR(XLOOKUP(Q430,'Classificação'!B:B,'Classificação'!C:C),"")</f>
        <v>RESULTADO NÃO OPERACIONAL (+/-)</v>
      </c>
      <c r="S430" s="15">
        <f t="shared" si="5"/>
        <v>21</v>
      </c>
      <c r="T430" s="15">
        <f t="shared" si="6"/>
        <v>11</v>
      </c>
      <c r="U430" s="15">
        <f t="shared" si="7"/>
        <v>2024</v>
      </c>
      <c r="V430" s="15">
        <f t="shared" si="8"/>
        <v>21</v>
      </c>
      <c r="W430" s="15">
        <f t="shared" si="9"/>
        <v>11</v>
      </c>
      <c r="X430" s="15">
        <f t="shared" si="10"/>
        <v>2024</v>
      </c>
    </row>
    <row r="431">
      <c r="A431" s="9">
        <v>45617.0</v>
      </c>
      <c r="B431" s="9">
        <v>45486.0</v>
      </c>
      <c r="C431" s="9">
        <f t="shared" si="22"/>
        <v>45617</v>
      </c>
      <c r="D431" s="11" t="s">
        <v>163</v>
      </c>
      <c r="E431" s="11" t="s">
        <v>25</v>
      </c>
      <c r="F431" s="11" t="s">
        <v>107</v>
      </c>
      <c r="G431" s="11" t="s">
        <v>27</v>
      </c>
      <c r="H431" s="11" t="s">
        <v>253</v>
      </c>
      <c r="I431" s="31">
        <v>144.15</v>
      </c>
      <c r="J431" s="13"/>
      <c r="K431" s="13">
        <f t="shared" si="30"/>
        <v>144.15</v>
      </c>
      <c r="L431" s="11" t="s">
        <v>53</v>
      </c>
      <c r="M431" s="17">
        <v>45630.0</v>
      </c>
      <c r="N431" s="11" t="s">
        <v>95</v>
      </c>
      <c r="O431" s="10" t="str">
        <f t="shared" si="3"/>
        <v>11/2024</v>
      </c>
      <c r="P431" s="10" t="str">
        <f t="shared" si="29"/>
        <v>11/2024</v>
      </c>
      <c r="Q431" s="15" t="str">
        <f t="array" ref="Q431">IFERROR(XLOOKUP(N431,'Classificação'!A:A,'Classificação'!B:B),"")</f>
        <v>DESPESAS NÃO OPERACIONAIS</v>
      </c>
      <c r="R431" s="15" t="str">
        <f t="array" ref="R431">IFERROR(XLOOKUP(Q431,'Classificação'!B:B,'Classificação'!C:C),"")</f>
        <v>RESULTADO NÃO OPERACIONAL (+/-)</v>
      </c>
      <c r="S431" s="15">
        <f t="shared" si="5"/>
        <v>21</v>
      </c>
      <c r="T431" s="15">
        <f t="shared" si="6"/>
        <v>11</v>
      </c>
      <c r="U431" s="15">
        <f t="shared" si="7"/>
        <v>2024</v>
      </c>
      <c r="V431" s="15">
        <f t="shared" si="8"/>
        <v>21</v>
      </c>
      <c r="W431" s="15">
        <f t="shared" si="9"/>
        <v>11</v>
      </c>
      <c r="X431" s="15">
        <f t="shared" si="10"/>
        <v>2024</v>
      </c>
    </row>
    <row r="432">
      <c r="A432" s="9">
        <v>45617.0</v>
      </c>
      <c r="B432" s="9">
        <v>45421.0</v>
      </c>
      <c r="C432" s="9">
        <f t="shared" si="22"/>
        <v>45617</v>
      </c>
      <c r="D432" s="11" t="s">
        <v>173</v>
      </c>
      <c r="E432" s="11" t="s">
        <v>25</v>
      </c>
      <c r="F432" s="11" t="s">
        <v>107</v>
      </c>
      <c r="G432" s="11" t="s">
        <v>27</v>
      </c>
      <c r="I432" s="31">
        <v>298.9</v>
      </c>
      <c r="J432" s="13"/>
      <c r="K432" s="13">
        <f t="shared" si="30"/>
        <v>298.9</v>
      </c>
      <c r="L432" s="11" t="s">
        <v>53</v>
      </c>
      <c r="M432" s="17">
        <v>45571.0</v>
      </c>
      <c r="N432" s="11" t="s">
        <v>175</v>
      </c>
      <c r="O432" s="10" t="str">
        <f t="shared" si="3"/>
        <v>11/2024</v>
      </c>
      <c r="P432" s="10" t="str">
        <f t="shared" si="29"/>
        <v>11/2024</v>
      </c>
      <c r="Q432" s="15" t="str">
        <f t="array" ref="Q432">IFERROR(XLOOKUP(N432,'Classificação'!A:A,'Classificação'!B:B),"")</f>
        <v>DESPESAS COM VEICULOS</v>
      </c>
      <c r="R432" s="15" t="str">
        <f t="array" ref="R432">IFERROR(XLOOKUP(Q432,'Classificação'!B:B,'Classificação'!C:C),"")</f>
        <v>DESPESAS FIXAS (-)</v>
      </c>
      <c r="S432" s="15">
        <f t="shared" si="5"/>
        <v>21</v>
      </c>
      <c r="T432" s="15">
        <f t="shared" si="6"/>
        <v>11</v>
      </c>
      <c r="U432" s="15">
        <f t="shared" si="7"/>
        <v>2024</v>
      </c>
      <c r="V432" s="15">
        <f t="shared" si="8"/>
        <v>21</v>
      </c>
      <c r="W432" s="15">
        <f t="shared" si="9"/>
        <v>11</v>
      </c>
      <c r="X432" s="15">
        <f t="shared" si="10"/>
        <v>2024</v>
      </c>
    </row>
    <row r="433">
      <c r="A433" s="9">
        <v>45617.0</v>
      </c>
      <c r="B433" s="9">
        <v>45553.0</v>
      </c>
      <c r="C433" s="9">
        <f t="shared" si="22"/>
        <v>45617</v>
      </c>
      <c r="D433" s="11" t="s">
        <v>185</v>
      </c>
      <c r="E433" s="11" t="s">
        <v>25</v>
      </c>
      <c r="F433" s="11" t="s">
        <v>107</v>
      </c>
      <c r="G433" s="11" t="s">
        <v>27</v>
      </c>
      <c r="H433" s="11" t="s">
        <v>254</v>
      </c>
      <c r="I433" s="31">
        <v>300.0</v>
      </c>
      <c r="J433" s="13"/>
      <c r="K433" s="13">
        <f t="shared" si="30"/>
        <v>300</v>
      </c>
      <c r="L433" s="11" t="s">
        <v>53</v>
      </c>
      <c r="M433" s="17">
        <v>45417.0</v>
      </c>
      <c r="N433" s="11" t="s">
        <v>95</v>
      </c>
      <c r="O433" s="10" t="str">
        <f t="shared" si="3"/>
        <v>11/2024</v>
      </c>
      <c r="P433" s="10" t="str">
        <f t="shared" si="29"/>
        <v>11/2024</v>
      </c>
      <c r="Q433" s="15" t="str">
        <f t="array" ref="Q433">IFERROR(XLOOKUP(N433,'Classificação'!A:A,'Classificação'!B:B),"")</f>
        <v>DESPESAS NÃO OPERACIONAIS</v>
      </c>
      <c r="R433" s="15" t="str">
        <f t="array" ref="R433">IFERROR(XLOOKUP(Q433,'Classificação'!B:B,'Classificação'!C:C),"")</f>
        <v>RESULTADO NÃO OPERACIONAL (+/-)</v>
      </c>
      <c r="S433" s="15">
        <f t="shared" si="5"/>
        <v>21</v>
      </c>
      <c r="T433" s="15">
        <f t="shared" si="6"/>
        <v>11</v>
      </c>
      <c r="U433" s="15">
        <f t="shared" si="7"/>
        <v>2024</v>
      </c>
      <c r="V433" s="15">
        <f t="shared" si="8"/>
        <v>21</v>
      </c>
      <c r="W433" s="15">
        <f t="shared" si="9"/>
        <v>11</v>
      </c>
      <c r="X433" s="15">
        <f t="shared" si="10"/>
        <v>2024</v>
      </c>
    </row>
    <row r="434">
      <c r="A434" s="9">
        <v>45617.0</v>
      </c>
      <c r="B434" s="9">
        <v>45307.0</v>
      </c>
      <c r="C434" s="9">
        <f t="shared" si="22"/>
        <v>45617</v>
      </c>
      <c r="D434" s="11" t="s">
        <v>65</v>
      </c>
      <c r="E434" s="11" t="s">
        <v>25</v>
      </c>
      <c r="F434" s="11" t="s">
        <v>107</v>
      </c>
      <c r="G434" s="11" t="s">
        <v>27</v>
      </c>
      <c r="H434" s="11" t="s">
        <v>197</v>
      </c>
      <c r="I434" s="31">
        <v>40.46</v>
      </c>
      <c r="J434" s="13"/>
      <c r="K434" s="13">
        <f t="shared" si="30"/>
        <v>40.46</v>
      </c>
      <c r="L434" s="11" t="s">
        <v>53</v>
      </c>
      <c r="M434" s="17">
        <v>45575.0</v>
      </c>
      <c r="N434" s="11" t="s">
        <v>95</v>
      </c>
      <c r="O434" s="10" t="str">
        <f t="shared" si="3"/>
        <v>11/2024</v>
      </c>
      <c r="P434" s="10" t="str">
        <f t="shared" si="29"/>
        <v>11/2024</v>
      </c>
      <c r="Q434" s="15" t="str">
        <f t="array" ref="Q434">IFERROR(XLOOKUP(N434,'Classificação'!A:A,'Classificação'!B:B),"")</f>
        <v>DESPESAS NÃO OPERACIONAIS</v>
      </c>
      <c r="R434" s="15" t="str">
        <f t="array" ref="R434">IFERROR(XLOOKUP(Q434,'Classificação'!B:B,'Classificação'!C:C),"")</f>
        <v>RESULTADO NÃO OPERACIONAL (+/-)</v>
      </c>
      <c r="S434" s="15">
        <f t="shared" si="5"/>
        <v>21</v>
      </c>
      <c r="T434" s="15">
        <f t="shared" si="6"/>
        <v>11</v>
      </c>
      <c r="U434" s="15">
        <f t="shared" si="7"/>
        <v>2024</v>
      </c>
      <c r="V434" s="15">
        <f t="shared" si="8"/>
        <v>21</v>
      </c>
      <c r="W434" s="15">
        <f t="shared" si="9"/>
        <v>11</v>
      </c>
      <c r="X434" s="15">
        <f t="shared" si="10"/>
        <v>2024</v>
      </c>
    </row>
    <row r="435">
      <c r="A435" s="9">
        <v>45617.0</v>
      </c>
      <c r="B435" s="9">
        <v>45519.0</v>
      </c>
      <c r="C435" s="9">
        <f t="shared" si="22"/>
        <v>45617</v>
      </c>
      <c r="D435" s="11" t="s">
        <v>65</v>
      </c>
      <c r="E435" s="11" t="s">
        <v>25</v>
      </c>
      <c r="F435" s="11" t="s">
        <v>107</v>
      </c>
      <c r="G435" s="11" t="s">
        <v>27</v>
      </c>
      <c r="H435" s="11" t="s">
        <v>258</v>
      </c>
      <c r="I435" s="31">
        <v>63.16</v>
      </c>
      <c r="J435" s="13"/>
      <c r="K435" s="13">
        <f t="shared" si="30"/>
        <v>63.16</v>
      </c>
      <c r="L435" s="11" t="s">
        <v>53</v>
      </c>
      <c r="M435" s="17">
        <v>45354.0</v>
      </c>
      <c r="N435" s="11" t="s">
        <v>143</v>
      </c>
      <c r="O435" s="10" t="str">
        <f t="shared" si="3"/>
        <v>11/2024</v>
      </c>
      <c r="P435" s="10" t="str">
        <f t="shared" si="29"/>
        <v>11/2024</v>
      </c>
      <c r="Q435" s="15" t="str">
        <f t="array" ref="Q435">IFERROR(XLOOKUP(N435,'Classificação'!A:A,'Classificação'!B:B),"")</f>
        <v>EMBALAGENS/FITAS/GERAL</v>
      </c>
      <c r="R435" s="15" t="str">
        <f t="array" ref="R435">IFERROR(XLOOKUP(Q435,'Classificação'!B:B,'Classificação'!C:C),"")</f>
        <v>CUSTOS VARIÁVEIS</v>
      </c>
      <c r="S435" s="15">
        <f t="shared" si="5"/>
        <v>21</v>
      </c>
      <c r="T435" s="15">
        <f t="shared" si="6"/>
        <v>11</v>
      </c>
      <c r="U435" s="15">
        <f t="shared" si="7"/>
        <v>2024</v>
      </c>
      <c r="V435" s="15">
        <f t="shared" si="8"/>
        <v>21</v>
      </c>
      <c r="W435" s="15">
        <f t="shared" si="9"/>
        <v>11</v>
      </c>
      <c r="X435" s="15">
        <f t="shared" si="10"/>
        <v>2024</v>
      </c>
    </row>
    <row r="436">
      <c r="A436" s="9">
        <v>45617.0</v>
      </c>
      <c r="B436" s="9">
        <v>45523.0</v>
      </c>
      <c r="C436" s="9">
        <f t="shared" si="22"/>
        <v>45617</v>
      </c>
      <c r="D436" s="11" t="s">
        <v>65</v>
      </c>
      <c r="E436" s="11" t="s">
        <v>25</v>
      </c>
      <c r="F436" s="11" t="s">
        <v>107</v>
      </c>
      <c r="G436" s="11" t="s">
        <v>27</v>
      </c>
      <c r="H436" s="11" t="s">
        <v>263</v>
      </c>
      <c r="I436" s="31">
        <v>102.67</v>
      </c>
      <c r="J436" s="13"/>
      <c r="K436" s="13">
        <f t="shared" si="30"/>
        <v>102.67</v>
      </c>
      <c r="L436" s="11" t="s">
        <v>53</v>
      </c>
      <c r="M436" s="17">
        <v>45629.0</v>
      </c>
      <c r="N436" s="11" t="s">
        <v>95</v>
      </c>
      <c r="O436" s="10" t="str">
        <f t="shared" si="3"/>
        <v>11/2024</v>
      </c>
      <c r="P436" s="10" t="str">
        <f t="shared" si="29"/>
        <v>11/2024</v>
      </c>
      <c r="Q436" s="15" t="str">
        <f t="array" ref="Q436">IFERROR(XLOOKUP(N436,'Classificação'!A:A,'Classificação'!B:B),"")</f>
        <v>DESPESAS NÃO OPERACIONAIS</v>
      </c>
      <c r="R436" s="15" t="str">
        <f t="array" ref="R436">IFERROR(XLOOKUP(Q436,'Classificação'!B:B,'Classificação'!C:C),"")</f>
        <v>RESULTADO NÃO OPERACIONAL (+/-)</v>
      </c>
      <c r="S436" s="15">
        <f t="shared" si="5"/>
        <v>21</v>
      </c>
      <c r="T436" s="15">
        <f t="shared" si="6"/>
        <v>11</v>
      </c>
      <c r="U436" s="15">
        <f t="shared" si="7"/>
        <v>2024</v>
      </c>
      <c r="V436" s="15">
        <f t="shared" si="8"/>
        <v>21</v>
      </c>
      <c r="W436" s="15">
        <f t="shared" si="9"/>
        <v>11</v>
      </c>
      <c r="X436" s="15">
        <f t="shared" si="10"/>
        <v>2024</v>
      </c>
    </row>
    <row r="437">
      <c r="A437" s="9">
        <v>45617.0</v>
      </c>
      <c r="B437" s="9">
        <v>45553.0</v>
      </c>
      <c r="C437" s="9">
        <f t="shared" si="22"/>
        <v>45617</v>
      </c>
      <c r="D437" s="11" t="s">
        <v>313</v>
      </c>
      <c r="E437" s="11" t="s">
        <v>25</v>
      </c>
      <c r="F437" s="11" t="s">
        <v>107</v>
      </c>
      <c r="G437" s="11" t="s">
        <v>27</v>
      </c>
      <c r="H437" s="11" t="s">
        <v>314</v>
      </c>
      <c r="I437" s="31">
        <v>287.13</v>
      </c>
      <c r="J437" s="13"/>
      <c r="K437" s="13">
        <f t="shared" si="30"/>
        <v>287.13</v>
      </c>
      <c r="L437" s="11" t="s">
        <v>53</v>
      </c>
      <c r="M437" s="17">
        <v>45628.0</v>
      </c>
      <c r="N437" s="11" t="s">
        <v>95</v>
      </c>
      <c r="O437" s="10" t="str">
        <f t="shared" si="3"/>
        <v>11/2024</v>
      </c>
      <c r="P437" s="10" t="str">
        <f t="shared" si="29"/>
        <v>11/2024</v>
      </c>
      <c r="Q437" s="15" t="str">
        <f t="array" ref="Q437">IFERROR(XLOOKUP(N437,'Classificação'!A:A,'Classificação'!B:B),"")</f>
        <v>DESPESAS NÃO OPERACIONAIS</v>
      </c>
      <c r="R437" s="15" t="str">
        <f t="array" ref="R437">IFERROR(XLOOKUP(Q437,'Classificação'!B:B,'Classificação'!C:C),"")</f>
        <v>RESULTADO NÃO OPERACIONAL (+/-)</v>
      </c>
      <c r="S437" s="15">
        <f t="shared" si="5"/>
        <v>21</v>
      </c>
      <c r="T437" s="15">
        <f t="shared" si="6"/>
        <v>11</v>
      </c>
      <c r="U437" s="15">
        <f t="shared" si="7"/>
        <v>2024</v>
      </c>
      <c r="V437" s="15">
        <f t="shared" si="8"/>
        <v>21</v>
      </c>
      <c r="W437" s="15">
        <f t="shared" si="9"/>
        <v>11</v>
      </c>
      <c r="X437" s="15">
        <f t="shared" si="10"/>
        <v>2024</v>
      </c>
    </row>
    <row r="438">
      <c r="A438" s="9">
        <v>45617.0</v>
      </c>
      <c r="B438" s="9">
        <v>45561.0</v>
      </c>
      <c r="C438" s="9">
        <f t="shared" si="22"/>
        <v>45617</v>
      </c>
      <c r="D438" s="11" t="s">
        <v>316</v>
      </c>
      <c r="E438" s="11" t="s">
        <v>25</v>
      </c>
      <c r="F438" s="11" t="s">
        <v>107</v>
      </c>
      <c r="G438" s="11" t="s">
        <v>27</v>
      </c>
      <c r="H438" s="11" t="s">
        <v>317</v>
      </c>
      <c r="I438" s="31">
        <v>593.82</v>
      </c>
      <c r="J438" s="13"/>
      <c r="K438" s="13">
        <f t="shared" si="30"/>
        <v>593.82</v>
      </c>
      <c r="L438" s="11" t="s">
        <v>53</v>
      </c>
      <c r="M438" s="17">
        <v>45445.0</v>
      </c>
      <c r="N438" s="11" t="s">
        <v>105</v>
      </c>
      <c r="O438" s="10" t="str">
        <f t="shared" si="3"/>
        <v>11/2024</v>
      </c>
      <c r="P438" s="10" t="str">
        <f t="shared" si="29"/>
        <v>11/2024</v>
      </c>
      <c r="Q438" s="15" t="str">
        <f t="array" ref="Q438">IFERROR(XLOOKUP(N438,'Classificação'!A:A,'Classificação'!B:B),"")</f>
        <v>DESPESAS ADMINISTRATIVAS</v>
      </c>
      <c r="R438" s="15" t="str">
        <f t="array" ref="R438">IFERROR(XLOOKUP(Q438,'Classificação'!B:B,'Classificação'!C:C),"")</f>
        <v>DESPESAS FIXAS (-)</v>
      </c>
      <c r="S438" s="15">
        <f t="shared" si="5"/>
        <v>21</v>
      </c>
      <c r="T438" s="15">
        <f t="shared" si="6"/>
        <v>11</v>
      </c>
      <c r="U438" s="15">
        <f t="shared" si="7"/>
        <v>2024</v>
      </c>
      <c r="V438" s="15">
        <f t="shared" si="8"/>
        <v>21</v>
      </c>
      <c r="W438" s="15">
        <f t="shared" si="9"/>
        <v>11</v>
      </c>
      <c r="X438" s="15">
        <f t="shared" si="10"/>
        <v>2024</v>
      </c>
    </row>
    <row r="439">
      <c r="A439" s="9">
        <v>45617.0</v>
      </c>
      <c r="B439" s="10"/>
      <c r="C439" s="9">
        <f t="shared" si="22"/>
        <v>45617</v>
      </c>
      <c r="D439" s="11" t="s">
        <v>322</v>
      </c>
      <c r="E439" s="11" t="s">
        <v>25</v>
      </c>
      <c r="F439" s="11" t="s">
        <v>110</v>
      </c>
      <c r="G439" s="11" t="s">
        <v>27</v>
      </c>
      <c r="H439" s="11" t="s">
        <v>323</v>
      </c>
      <c r="I439" s="31">
        <v>44.25</v>
      </c>
      <c r="J439" s="13"/>
      <c r="K439" s="13">
        <f t="shared" si="30"/>
        <v>44.25</v>
      </c>
      <c r="L439" s="11" t="s">
        <v>53</v>
      </c>
      <c r="M439" s="17">
        <v>45628.0</v>
      </c>
      <c r="N439" s="11" t="s">
        <v>105</v>
      </c>
      <c r="O439" s="10" t="str">
        <f t="shared" si="3"/>
        <v>11/2024</v>
      </c>
      <c r="P439" s="10" t="str">
        <f t="shared" si="29"/>
        <v>11/2024</v>
      </c>
      <c r="Q439" s="15" t="str">
        <f t="array" ref="Q439">IFERROR(XLOOKUP(N439,'Classificação'!A:A,'Classificação'!B:B),"")</f>
        <v>DESPESAS ADMINISTRATIVAS</v>
      </c>
      <c r="R439" s="15" t="str">
        <f t="array" ref="R439">IFERROR(XLOOKUP(Q439,'Classificação'!B:B,'Classificação'!C:C),"")</f>
        <v>DESPESAS FIXAS (-)</v>
      </c>
      <c r="S439" s="15">
        <f t="shared" si="5"/>
        <v>21</v>
      </c>
      <c r="T439" s="15">
        <f t="shared" si="6"/>
        <v>11</v>
      </c>
      <c r="U439" s="15">
        <f t="shared" si="7"/>
        <v>2024</v>
      </c>
      <c r="V439" s="15">
        <f t="shared" si="8"/>
        <v>21</v>
      </c>
      <c r="W439" s="15">
        <f t="shared" si="9"/>
        <v>11</v>
      </c>
      <c r="X439" s="15">
        <f t="shared" si="10"/>
        <v>2024</v>
      </c>
    </row>
    <row r="440">
      <c r="A440" s="9">
        <v>45617.0</v>
      </c>
      <c r="B440" s="9">
        <v>45573.0</v>
      </c>
      <c r="C440" s="9">
        <f t="shared" si="22"/>
        <v>45617</v>
      </c>
      <c r="D440" s="11" t="s">
        <v>179</v>
      </c>
      <c r="E440" s="11" t="s">
        <v>25</v>
      </c>
      <c r="F440" s="11" t="s">
        <v>107</v>
      </c>
      <c r="G440" s="11" t="s">
        <v>27</v>
      </c>
      <c r="H440" s="11" t="s">
        <v>312</v>
      </c>
      <c r="I440" s="31">
        <v>150.0</v>
      </c>
      <c r="J440" s="13"/>
      <c r="K440" s="13">
        <f t="shared" si="30"/>
        <v>150</v>
      </c>
      <c r="L440" s="11" t="s">
        <v>34</v>
      </c>
      <c r="M440" s="14"/>
      <c r="N440" s="11" t="s">
        <v>181</v>
      </c>
      <c r="O440" s="10" t="str">
        <f t="shared" si="3"/>
        <v>11/2024</v>
      </c>
      <c r="P440" s="10" t="str">
        <f t="shared" si="29"/>
        <v>11/2024</v>
      </c>
      <c r="Q440" s="15" t="str">
        <f t="array" ref="Q440">IFERROR(XLOOKUP(N440,'Classificação'!A:A,'Classificação'!B:B),"")</f>
        <v>DESPESAS COM VEICULOS</v>
      </c>
      <c r="R440" s="15" t="str">
        <f t="array" ref="R440">IFERROR(XLOOKUP(Q440,'Classificação'!B:B,'Classificação'!C:C),"")</f>
        <v>DESPESAS FIXAS (-)</v>
      </c>
      <c r="S440" s="15">
        <f t="shared" si="5"/>
        <v>21</v>
      </c>
      <c r="T440" s="15">
        <f t="shared" si="6"/>
        <v>11</v>
      </c>
      <c r="U440" s="15">
        <f t="shared" si="7"/>
        <v>2024</v>
      </c>
      <c r="V440" s="15">
        <f t="shared" si="8"/>
        <v>21</v>
      </c>
      <c r="W440" s="15">
        <f t="shared" si="9"/>
        <v>11</v>
      </c>
      <c r="X440" s="15">
        <f t="shared" si="10"/>
        <v>2024</v>
      </c>
    </row>
    <row r="441">
      <c r="A441" s="9">
        <v>45617.0</v>
      </c>
      <c r="B441" s="9">
        <v>45573.0</v>
      </c>
      <c r="C441" s="9">
        <f t="shared" si="22"/>
        <v>45617</v>
      </c>
      <c r="D441" s="11" t="s">
        <v>65</v>
      </c>
      <c r="E441" s="11" t="s">
        <v>25</v>
      </c>
      <c r="F441" s="11" t="s">
        <v>107</v>
      </c>
      <c r="G441" s="11" t="s">
        <v>27</v>
      </c>
      <c r="H441" s="11" t="s">
        <v>372</v>
      </c>
      <c r="I441" s="31">
        <v>583.37</v>
      </c>
      <c r="J441" s="13"/>
      <c r="K441" s="13">
        <f t="shared" si="30"/>
        <v>583.37</v>
      </c>
      <c r="L441" s="11" t="s">
        <v>34</v>
      </c>
      <c r="M441" s="17"/>
      <c r="N441" s="11" t="s">
        <v>143</v>
      </c>
      <c r="O441" s="10" t="str">
        <f t="shared" si="3"/>
        <v>11/2024</v>
      </c>
      <c r="P441" s="10" t="str">
        <f t="shared" si="29"/>
        <v>11/2024</v>
      </c>
      <c r="Q441" s="15" t="str">
        <f t="array" ref="Q441">IFERROR(XLOOKUP(N441,'Classificação'!A:A,'Classificação'!B:B),"")</f>
        <v>EMBALAGENS/FITAS/GERAL</v>
      </c>
      <c r="R441" s="15" t="str">
        <f t="array" ref="R441">IFERROR(XLOOKUP(Q441,'Classificação'!B:B,'Classificação'!C:C),"")</f>
        <v>CUSTOS VARIÁVEIS</v>
      </c>
      <c r="S441" s="15">
        <f t="shared" si="5"/>
        <v>21</v>
      </c>
      <c r="T441" s="15">
        <f t="shared" si="6"/>
        <v>11</v>
      </c>
      <c r="U441" s="15">
        <f t="shared" si="7"/>
        <v>2024</v>
      </c>
      <c r="V441" s="15">
        <f t="shared" si="8"/>
        <v>21</v>
      </c>
      <c r="W441" s="15">
        <f t="shared" si="9"/>
        <v>11</v>
      </c>
      <c r="X441" s="15">
        <f t="shared" si="10"/>
        <v>2024</v>
      </c>
    </row>
    <row r="442">
      <c r="A442" s="9">
        <v>45617.0</v>
      </c>
      <c r="B442" s="9">
        <v>45573.0</v>
      </c>
      <c r="C442" s="9">
        <f t="shared" si="22"/>
        <v>45617</v>
      </c>
      <c r="D442" s="11" t="s">
        <v>373</v>
      </c>
      <c r="E442" s="11" t="s">
        <v>25</v>
      </c>
      <c r="F442" s="11" t="s">
        <v>110</v>
      </c>
      <c r="G442" s="11" t="s">
        <v>27</v>
      </c>
      <c r="H442" s="11" t="s">
        <v>374</v>
      </c>
      <c r="I442" s="31">
        <v>35.0</v>
      </c>
      <c r="J442" s="13"/>
      <c r="K442" s="13">
        <f t="shared" si="30"/>
        <v>35</v>
      </c>
      <c r="L442" s="11" t="s">
        <v>34</v>
      </c>
      <c r="M442" s="17"/>
      <c r="N442" s="11" t="s">
        <v>64</v>
      </c>
      <c r="O442" s="10" t="str">
        <f t="shared" si="3"/>
        <v>11/2024</v>
      </c>
      <c r="P442" s="10" t="str">
        <f t="shared" si="29"/>
        <v>11/2024</v>
      </c>
      <c r="Q442" s="15" t="str">
        <f t="array" ref="Q442">IFERROR(XLOOKUP(N442,'Classificação'!A:A,'Classificação'!B:B),"")</f>
        <v>DESPESAS COM PESSOAL</v>
      </c>
      <c r="R442" s="15" t="str">
        <f t="array" ref="R442">IFERROR(XLOOKUP(Q442,'Classificação'!B:B,'Classificação'!C:C),"")</f>
        <v>DESPESAS FIXAS (-)</v>
      </c>
      <c r="S442" s="15">
        <f t="shared" si="5"/>
        <v>21</v>
      </c>
      <c r="T442" s="15">
        <f t="shared" si="6"/>
        <v>11</v>
      </c>
      <c r="U442" s="15">
        <f t="shared" si="7"/>
        <v>2024</v>
      </c>
      <c r="V442" s="15">
        <f t="shared" si="8"/>
        <v>21</v>
      </c>
      <c r="W442" s="15">
        <f t="shared" si="9"/>
        <v>11</v>
      </c>
      <c r="X442" s="15">
        <f t="shared" si="10"/>
        <v>2024</v>
      </c>
    </row>
    <row r="443">
      <c r="A443" s="9">
        <v>45617.0</v>
      </c>
      <c r="B443" s="32">
        <v>45575.0</v>
      </c>
      <c r="C443" s="9">
        <f t="shared" si="22"/>
        <v>45617</v>
      </c>
      <c r="D443" s="11" t="s">
        <v>255</v>
      </c>
      <c r="E443" s="11" t="s">
        <v>25</v>
      </c>
      <c r="F443" s="11" t="s">
        <v>110</v>
      </c>
      <c r="G443" s="11" t="s">
        <v>27</v>
      </c>
      <c r="H443" s="11" t="s">
        <v>375</v>
      </c>
      <c r="I443" s="31">
        <v>65.87</v>
      </c>
      <c r="J443" s="13"/>
      <c r="K443" s="13">
        <f t="shared" si="30"/>
        <v>65.87</v>
      </c>
      <c r="L443" s="11" t="s">
        <v>34</v>
      </c>
      <c r="M443" s="14"/>
      <c r="N443" s="11" t="s">
        <v>136</v>
      </c>
      <c r="O443" s="10" t="str">
        <f t="shared" si="3"/>
        <v>11/2024</v>
      </c>
      <c r="P443" s="10" t="str">
        <f t="shared" si="29"/>
        <v>11/2024</v>
      </c>
      <c r="Q443" s="15" t="str">
        <f t="array" ref="Q443">IFERROR(XLOOKUP(N443,'Classificação'!A:A,'Classificação'!B:B),"")</f>
        <v>DESPESAS COM OCUPAÇÃO</v>
      </c>
      <c r="R443" s="15" t="str">
        <f t="array" ref="R443">IFERROR(XLOOKUP(Q443,'Classificação'!B:B,'Classificação'!C:C),"")</f>
        <v>DESPESAS FIXAS (-)</v>
      </c>
      <c r="S443" s="15">
        <f t="shared" si="5"/>
        <v>21</v>
      </c>
      <c r="T443" s="15">
        <f t="shared" si="6"/>
        <v>11</v>
      </c>
      <c r="U443" s="15">
        <f t="shared" si="7"/>
        <v>2024</v>
      </c>
      <c r="V443" s="15">
        <f t="shared" si="8"/>
        <v>21</v>
      </c>
      <c r="W443" s="15">
        <f t="shared" si="9"/>
        <v>11</v>
      </c>
      <c r="X443" s="15">
        <f t="shared" si="10"/>
        <v>2024</v>
      </c>
    </row>
    <row r="444">
      <c r="A444" s="9">
        <v>45617.0</v>
      </c>
      <c r="B444" s="32">
        <v>45575.0</v>
      </c>
      <c r="C444" s="9">
        <f t="shared" si="22"/>
        <v>45617</v>
      </c>
      <c r="D444" s="11" t="s">
        <v>255</v>
      </c>
      <c r="E444" s="11" t="s">
        <v>25</v>
      </c>
      <c r="F444" s="11" t="s">
        <v>110</v>
      </c>
      <c r="G444" s="11" t="s">
        <v>27</v>
      </c>
      <c r="H444" s="11" t="s">
        <v>376</v>
      </c>
      <c r="I444" s="31">
        <v>140.54</v>
      </c>
      <c r="J444" s="13"/>
      <c r="K444" s="13">
        <f t="shared" si="30"/>
        <v>140.54</v>
      </c>
      <c r="L444" s="11" t="s">
        <v>34</v>
      </c>
      <c r="M444" s="14"/>
      <c r="N444" s="11" t="s">
        <v>71</v>
      </c>
      <c r="O444" s="10" t="str">
        <f t="shared" si="3"/>
        <v>11/2024</v>
      </c>
      <c r="P444" s="10" t="str">
        <f t="shared" si="29"/>
        <v>11/2024</v>
      </c>
      <c r="Q444" s="15" t="str">
        <f t="array" ref="Q444">IFERROR(XLOOKUP(N444,'Classificação'!A:A,'Classificação'!B:B),"")</f>
        <v>DESPESAS DIVERSAS</v>
      </c>
      <c r="R444" s="15" t="str">
        <f t="array" ref="R444">IFERROR(XLOOKUP(Q444,'Classificação'!B:B,'Classificação'!C:C),"")</f>
        <v>DESPESAS FIXAS (-)</v>
      </c>
      <c r="S444" s="15">
        <f t="shared" si="5"/>
        <v>21</v>
      </c>
      <c r="T444" s="15">
        <f t="shared" si="6"/>
        <v>11</v>
      </c>
      <c r="U444" s="15">
        <f t="shared" si="7"/>
        <v>2024</v>
      </c>
      <c r="V444" s="15">
        <f t="shared" si="8"/>
        <v>21</v>
      </c>
      <c r="W444" s="15">
        <f t="shared" si="9"/>
        <v>11</v>
      </c>
      <c r="X444" s="15">
        <f t="shared" si="10"/>
        <v>2024</v>
      </c>
    </row>
    <row r="445">
      <c r="A445" s="9">
        <v>45617.0</v>
      </c>
      <c r="B445" s="32">
        <v>45576.0</v>
      </c>
      <c r="C445" s="9">
        <f t="shared" si="22"/>
        <v>45617</v>
      </c>
      <c r="D445" s="11" t="s">
        <v>377</v>
      </c>
      <c r="E445" s="11" t="s">
        <v>25</v>
      </c>
      <c r="F445" s="11" t="s">
        <v>107</v>
      </c>
      <c r="G445" s="11" t="s">
        <v>27</v>
      </c>
      <c r="H445" s="11" t="s">
        <v>378</v>
      </c>
      <c r="I445" s="31">
        <v>75.0</v>
      </c>
      <c r="J445" s="13"/>
      <c r="K445" s="13">
        <f t="shared" si="30"/>
        <v>75</v>
      </c>
      <c r="L445" s="11" t="s">
        <v>53</v>
      </c>
      <c r="M445" s="17">
        <v>45323.0</v>
      </c>
      <c r="N445" s="11" t="s">
        <v>136</v>
      </c>
      <c r="O445" s="10" t="str">
        <f t="shared" si="3"/>
        <v>11/2024</v>
      </c>
      <c r="P445" s="10" t="str">
        <f t="shared" si="29"/>
        <v>11/2024</v>
      </c>
      <c r="Q445" s="15" t="str">
        <f t="array" ref="Q445">IFERROR(XLOOKUP(N445,'Classificação'!A:A,'Classificação'!B:B),"")</f>
        <v>DESPESAS COM OCUPAÇÃO</v>
      </c>
      <c r="R445" s="15" t="str">
        <f t="array" ref="R445">IFERROR(XLOOKUP(Q445,'Classificação'!B:B,'Classificação'!C:C),"")</f>
        <v>DESPESAS FIXAS (-)</v>
      </c>
      <c r="S445" s="15">
        <f t="shared" si="5"/>
        <v>21</v>
      </c>
      <c r="T445" s="15">
        <f t="shared" si="6"/>
        <v>11</v>
      </c>
      <c r="U445" s="15">
        <f t="shared" si="7"/>
        <v>2024</v>
      </c>
      <c r="V445" s="15">
        <f t="shared" si="8"/>
        <v>21</v>
      </c>
      <c r="W445" s="15">
        <f t="shared" si="9"/>
        <v>11</v>
      </c>
      <c r="X445" s="15">
        <f t="shared" si="10"/>
        <v>2024</v>
      </c>
    </row>
    <row r="446">
      <c r="A446" s="9">
        <v>45617.0</v>
      </c>
      <c r="B446" s="32">
        <v>45579.0</v>
      </c>
      <c r="C446" s="9">
        <f t="shared" si="22"/>
        <v>45617</v>
      </c>
      <c r="D446" s="11" t="s">
        <v>379</v>
      </c>
      <c r="E446" s="11" t="s">
        <v>25</v>
      </c>
      <c r="F446" s="11" t="s">
        <v>110</v>
      </c>
      <c r="G446" s="11" t="s">
        <v>27</v>
      </c>
      <c r="H446" s="11" t="s">
        <v>380</v>
      </c>
      <c r="I446" s="31">
        <v>100.0</v>
      </c>
      <c r="J446" s="13"/>
      <c r="K446" s="13">
        <f t="shared" si="30"/>
        <v>100</v>
      </c>
      <c r="L446" s="11" t="s">
        <v>34</v>
      </c>
      <c r="M446" s="14"/>
      <c r="N446" s="11" t="s">
        <v>68</v>
      </c>
      <c r="O446" s="10" t="str">
        <f t="shared" si="3"/>
        <v>11/2024</v>
      </c>
      <c r="P446" s="10" t="str">
        <f t="shared" si="29"/>
        <v>11/2024</v>
      </c>
      <c r="Q446" s="15" t="str">
        <f t="array" ref="Q446">IFERROR(XLOOKUP(N446,'Classificação'!A:A,'Classificação'!B:B),"")</f>
        <v>FRETE DE VENDAS</v>
      </c>
      <c r="R446" s="15" t="str">
        <f t="array" ref="R446">IFERROR(XLOOKUP(Q446,'Classificação'!B:B,'Classificação'!C:C),"")</f>
        <v>CUSTOS VARIÁVEIS</v>
      </c>
      <c r="S446" s="15">
        <f t="shared" si="5"/>
        <v>21</v>
      </c>
      <c r="T446" s="15">
        <f t="shared" si="6"/>
        <v>11</v>
      </c>
      <c r="U446" s="15">
        <f t="shared" si="7"/>
        <v>2024</v>
      </c>
      <c r="V446" s="15">
        <f t="shared" si="8"/>
        <v>21</v>
      </c>
      <c r="W446" s="15">
        <f t="shared" si="9"/>
        <v>11</v>
      </c>
      <c r="X446" s="15">
        <f t="shared" si="10"/>
        <v>2024</v>
      </c>
    </row>
    <row r="447">
      <c r="A447" s="9">
        <v>45617.0</v>
      </c>
      <c r="B447" s="32">
        <v>45580.0</v>
      </c>
      <c r="C447" s="9">
        <f t="shared" si="22"/>
        <v>45617</v>
      </c>
      <c r="D447" s="11" t="s">
        <v>381</v>
      </c>
      <c r="E447" s="11" t="s">
        <v>25</v>
      </c>
      <c r="F447" s="11" t="s">
        <v>107</v>
      </c>
      <c r="G447" s="11" t="s">
        <v>27</v>
      </c>
      <c r="H447" s="11" t="s">
        <v>382</v>
      </c>
      <c r="I447" s="31">
        <v>109.0</v>
      </c>
      <c r="J447" s="13"/>
      <c r="K447" s="13">
        <f t="shared" si="30"/>
        <v>109</v>
      </c>
      <c r="L447" s="11" t="s">
        <v>34</v>
      </c>
      <c r="M447" s="14"/>
      <c r="N447" s="11" t="s">
        <v>105</v>
      </c>
      <c r="O447" s="10" t="str">
        <f t="shared" si="3"/>
        <v>11/2024</v>
      </c>
      <c r="P447" s="10" t="str">
        <f t="shared" si="29"/>
        <v>11/2024</v>
      </c>
      <c r="Q447" s="15" t="str">
        <f t="array" ref="Q447">IFERROR(XLOOKUP(N447,'Classificação'!A:A,'Classificação'!B:B),"")</f>
        <v>DESPESAS ADMINISTRATIVAS</v>
      </c>
      <c r="R447" s="15" t="str">
        <f t="array" ref="R447">IFERROR(XLOOKUP(Q447,'Classificação'!B:B,'Classificação'!C:C),"")</f>
        <v>DESPESAS FIXAS (-)</v>
      </c>
      <c r="S447" s="15">
        <f t="shared" si="5"/>
        <v>21</v>
      </c>
      <c r="T447" s="15">
        <f t="shared" si="6"/>
        <v>11</v>
      </c>
      <c r="U447" s="15">
        <f t="shared" si="7"/>
        <v>2024</v>
      </c>
      <c r="V447" s="15">
        <f t="shared" si="8"/>
        <v>21</v>
      </c>
      <c r="W447" s="15">
        <f t="shared" si="9"/>
        <v>11</v>
      </c>
      <c r="X447" s="15">
        <f t="shared" si="10"/>
        <v>2024</v>
      </c>
    </row>
    <row r="448">
      <c r="A448" s="9">
        <v>45617.0</v>
      </c>
      <c r="B448" s="32">
        <v>45581.0</v>
      </c>
      <c r="C448" s="9">
        <f t="shared" si="22"/>
        <v>45617</v>
      </c>
      <c r="D448" s="11" t="s">
        <v>179</v>
      </c>
      <c r="E448" s="11" t="s">
        <v>25</v>
      </c>
      <c r="F448" s="11" t="s">
        <v>107</v>
      </c>
      <c r="G448" s="11" t="s">
        <v>27</v>
      </c>
      <c r="H448" s="11" t="s">
        <v>312</v>
      </c>
      <c r="I448" s="31">
        <v>100.0</v>
      </c>
      <c r="J448" s="13"/>
      <c r="K448" s="13">
        <f t="shared" si="30"/>
        <v>100</v>
      </c>
      <c r="L448" s="11" t="s">
        <v>34</v>
      </c>
      <c r="M448" s="14"/>
      <c r="N448" s="11" t="s">
        <v>181</v>
      </c>
      <c r="O448" s="10" t="str">
        <f t="shared" si="3"/>
        <v>11/2024</v>
      </c>
      <c r="P448" s="10" t="str">
        <f t="shared" si="29"/>
        <v>11/2024</v>
      </c>
      <c r="Q448" s="15" t="str">
        <f t="array" ref="Q448">IFERROR(XLOOKUP(N448,'Classificação'!A:A,'Classificação'!B:B),"")</f>
        <v>DESPESAS COM VEICULOS</v>
      </c>
      <c r="R448" s="15" t="str">
        <f t="array" ref="R448">IFERROR(XLOOKUP(Q448,'Classificação'!B:B,'Classificação'!C:C),"")</f>
        <v>DESPESAS FIXAS (-)</v>
      </c>
      <c r="S448" s="15">
        <f t="shared" si="5"/>
        <v>21</v>
      </c>
      <c r="T448" s="15">
        <f t="shared" si="6"/>
        <v>11</v>
      </c>
      <c r="U448" s="15">
        <f t="shared" si="7"/>
        <v>2024</v>
      </c>
      <c r="V448" s="15">
        <f t="shared" si="8"/>
        <v>21</v>
      </c>
      <c r="W448" s="15">
        <f t="shared" si="9"/>
        <v>11</v>
      </c>
      <c r="X448" s="15">
        <f t="shared" si="10"/>
        <v>2024</v>
      </c>
    </row>
    <row r="449">
      <c r="A449" s="9">
        <v>45617.0</v>
      </c>
      <c r="B449" s="32">
        <v>45582.0</v>
      </c>
      <c r="C449" s="9">
        <f t="shared" si="22"/>
        <v>45617</v>
      </c>
      <c r="D449" s="11" t="s">
        <v>383</v>
      </c>
      <c r="E449" s="11" t="s">
        <v>25</v>
      </c>
      <c r="F449" s="11" t="s">
        <v>107</v>
      </c>
      <c r="G449" s="11" t="s">
        <v>27</v>
      </c>
      <c r="H449" s="11" t="s">
        <v>384</v>
      </c>
      <c r="I449" s="31">
        <v>382.76</v>
      </c>
      <c r="J449" s="13"/>
      <c r="K449" s="13">
        <f t="shared" si="30"/>
        <v>382.76</v>
      </c>
      <c r="L449" s="11" t="s">
        <v>53</v>
      </c>
      <c r="M449" s="17">
        <v>45444.0</v>
      </c>
      <c r="N449" s="11" t="s">
        <v>35</v>
      </c>
      <c r="O449" s="10" t="str">
        <f t="shared" si="3"/>
        <v>11/2024</v>
      </c>
      <c r="P449" s="10" t="str">
        <f t="shared" si="29"/>
        <v>11/2024</v>
      </c>
      <c r="Q449" s="15" t="str">
        <f t="array" ref="Q449">IFERROR(XLOOKUP(N449,'Classificação'!A:A,'Classificação'!B:B),"")</f>
        <v>COMPRA DE MERCADORIA</v>
      </c>
      <c r="R449" s="15" t="str">
        <f t="array" ref="R449">IFERROR(XLOOKUP(Q449,'Classificação'!B:B,'Classificação'!C:C),"")</f>
        <v>CUSTOS VARIÁVEIS</v>
      </c>
      <c r="S449" s="15">
        <f t="shared" si="5"/>
        <v>21</v>
      </c>
      <c r="T449" s="15">
        <f t="shared" si="6"/>
        <v>11</v>
      </c>
      <c r="U449" s="15">
        <f t="shared" si="7"/>
        <v>2024</v>
      </c>
      <c r="V449" s="15">
        <f t="shared" si="8"/>
        <v>21</v>
      </c>
      <c r="W449" s="15">
        <f t="shared" si="9"/>
        <v>11</v>
      </c>
      <c r="X449" s="15">
        <f t="shared" si="10"/>
        <v>2024</v>
      </c>
    </row>
    <row r="450">
      <c r="A450" s="9">
        <v>45617.0</v>
      </c>
      <c r="B450" s="32">
        <v>45581.0</v>
      </c>
      <c r="C450" s="9">
        <f t="shared" si="22"/>
        <v>45617</v>
      </c>
      <c r="D450" s="11" t="s">
        <v>385</v>
      </c>
      <c r="E450" s="11" t="s">
        <v>25</v>
      </c>
      <c r="F450" s="11" t="s">
        <v>107</v>
      </c>
      <c r="G450" s="11" t="s">
        <v>27</v>
      </c>
      <c r="H450" s="11" t="s">
        <v>386</v>
      </c>
      <c r="I450" s="31">
        <v>152.98</v>
      </c>
      <c r="J450" s="13"/>
      <c r="K450" s="13">
        <f t="shared" si="30"/>
        <v>152.98</v>
      </c>
      <c r="L450" s="11" t="s">
        <v>34</v>
      </c>
      <c r="M450" s="14"/>
      <c r="N450" s="11" t="s">
        <v>71</v>
      </c>
      <c r="O450" s="10" t="str">
        <f t="shared" si="3"/>
        <v>11/2024</v>
      </c>
      <c r="P450" s="10" t="str">
        <f t="shared" si="29"/>
        <v>11/2024</v>
      </c>
      <c r="Q450" s="15" t="str">
        <f t="array" ref="Q450">IFERROR(XLOOKUP(N450,'Classificação'!A:A,'Classificação'!B:B),"")</f>
        <v>DESPESAS DIVERSAS</v>
      </c>
      <c r="R450" s="15" t="str">
        <f t="array" ref="R450">IFERROR(XLOOKUP(Q450,'Classificação'!B:B,'Classificação'!C:C),"")</f>
        <v>DESPESAS FIXAS (-)</v>
      </c>
      <c r="S450" s="15">
        <f t="shared" si="5"/>
        <v>21</v>
      </c>
      <c r="T450" s="15">
        <f t="shared" si="6"/>
        <v>11</v>
      </c>
      <c r="U450" s="15">
        <f t="shared" si="7"/>
        <v>2024</v>
      </c>
      <c r="V450" s="15">
        <f t="shared" si="8"/>
        <v>21</v>
      </c>
      <c r="W450" s="15">
        <f t="shared" si="9"/>
        <v>11</v>
      </c>
      <c r="X450" s="15">
        <f t="shared" si="10"/>
        <v>2024</v>
      </c>
    </row>
    <row r="451">
      <c r="A451" s="9">
        <v>45617.0</v>
      </c>
      <c r="B451" s="32">
        <v>45582.0</v>
      </c>
      <c r="C451" s="9">
        <f t="shared" si="22"/>
        <v>45617</v>
      </c>
      <c r="D451" s="11" t="s">
        <v>387</v>
      </c>
      <c r="E451" s="11" t="s">
        <v>25</v>
      </c>
      <c r="F451" s="11" t="s">
        <v>110</v>
      </c>
      <c r="G451" s="11" t="s">
        <v>27</v>
      </c>
      <c r="H451" s="11" t="s">
        <v>388</v>
      </c>
      <c r="I451" s="31">
        <v>35.0</v>
      </c>
      <c r="J451" s="13"/>
      <c r="K451" s="13">
        <f t="shared" si="30"/>
        <v>35</v>
      </c>
      <c r="L451" s="11" t="s">
        <v>34</v>
      </c>
      <c r="M451" s="14"/>
      <c r="N451" s="11" t="s">
        <v>71</v>
      </c>
      <c r="O451" s="10" t="str">
        <f t="shared" si="3"/>
        <v>11/2024</v>
      </c>
      <c r="P451" s="10" t="str">
        <f t="shared" si="29"/>
        <v>11/2024</v>
      </c>
      <c r="Q451" s="15" t="str">
        <f t="array" ref="Q451">IFERROR(XLOOKUP(N451,'Classificação'!A:A,'Classificação'!B:B),"")</f>
        <v>DESPESAS DIVERSAS</v>
      </c>
      <c r="R451" s="15" t="str">
        <f t="array" ref="R451">IFERROR(XLOOKUP(Q451,'Classificação'!B:B,'Classificação'!C:C),"")</f>
        <v>DESPESAS FIXAS (-)</v>
      </c>
      <c r="S451" s="15">
        <f t="shared" si="5"/>
        <v>21</v>
      </c>
      <c r="T451" s="15">
        <f t="shared" si="6"/>
        <v>11</v>
      </c>
      <c r="U451" s="15">
        <f t="shared" si="7"/>
        <v>2024</v>
      </c>
      <c r="V451" s="15">
        <f t="shared" si="8"/>
        <v>21</v>
      </c>
      <c r="W451" s="15">
        <f t="shared" si="9"/>
        <v>11</v>
      </c>
      <c r="X451" s="15">
        <f t="shared" si="10"/>
        <v>2024</v>
      </c>
    </row>
    <row r="452">
      <c r="A452" s="9">
        <v>45617.0</v>
      </c>
      <c r="B452" s="32">
        <v>45587.0</v>
      </c>
      <c r="C452" s="9">
        <f t="shared" si="22"/>
        <v>45617</v>
      </c>
      <c r="D452" s="11" t="s">
        <v>373</v>
      </c>
      <c r="E452" s="11" t="s">
        <v>25</v>
      </c>
      <c r="F452" s="11" t="s">
        <v>107</v>
      </c>
      <c r="G452" s="11" t="s">
        <v>27</v>
      </c>
      <c r="H452" s="11" t="s">
        <v>374</v>
      </c>
      <c r="I452" s="31">
        <v>14.0</v>
      </c>
      <c r="J452" s="13"/>
      <c r="K452" s="13">
        <f t="shared" si="30"/>
        <v>14</v>
      </c>
      <c r="L452" s="11" t="s">
        <v>34</v>
      </c>
      <c r="M452" s="14"/>
      <c r="N452" s="11" t="s">
        <v>64</v>
      </c>
      <c r="O452" s="10" t="str">
        <f t="shared" si="3"/>
        <v>11/2024</v>
      </c>
      <c r="P452" s="10" t="str">
        <f t="shared" si="29"/>
        <v>11/2024</v>
      </c>
      <c r="Q452" s="15" t="str">
        <f t="array" ref="Q452">IFERROR(XLOOKUP(N452,'Classificação'!A:A,'Classificação'!B:B),"")</f>
        <v>DESPESAS COM PESSOAL</v>
      </c>
      <c r="R452" s="15" t="str">
        <f t="array" ref="R452">IFERROR(XLOOKUP(Q452,'Classificação'!B:B,'Classificação'!C:C),"")</f>
        <v>DESPESAS FIXAS (-)</v>
      </c>
      <c r="S452" s="15">
        <f t="shared" si="5"/>
        <v>21</v>
      </c>
      <c r="T452" s="15">
        <f t="shared" si="6"/>
        <v>11</v>
      </c>
      <c r="U452" s="15">
        <f t="shared" si="7"/>
        <v>2024</v>
      </c>
      <c r="V452" s="15">
        <f t="shared" si="8"/>
        <v>21</v>
      </c>
      <c r="W452" s="15">
        <f t="shared" si="9"/>
        <v>11</v>
      </c>
      <c r="X452" s="15">
        <f t="shared" si="10"/>
        <v>2024</v>
      </c>
    </row>
    <row r="453">
      <c r="A453" s="9">
        <v>45617.0</v>
      </c>
      <c r="B453" s="32">
        <v>45595.0</v>
      </c>
      <c r="C453" s="9">
        <f t="shared" si="22"/>
        <v>45617</v>
      </c>
      <c r="D453" s="11" t="s">
        <v>373</v>
      </c>
      <c r="E453" s="11" t="s">
        <v>25</v>
      </c>
      <c r="F453" s="11" t="s">
        <v>110</v>
      </c>
      <c r="G453" s="11" t="s">
        <v>27</v>
      </c>
      <c r="H453" s="11" t="s">
        <v>374</v>
      </c>
      <c r="I453" s="31">
        <v>14.0</v>
      </c>
      <c r="J453" s="13"/>
      <c r="K453" s="13">
        <f t="shared" si="30"/>
        <v>14</v>
      </c>
      <c r="L453" s="11" t="s">
        <v>34</v>
      </c>
      <c r="M453" s="14"/>
      <c r="N453" s="11" t="s">
        <v>64</v>
      </c>
      <c r="O453" s="10" t="str">
        <f t="shared" si="3"/>
        <v>11/2024</v>
      </c>
      <c r="P453" s="10" t="str">
        <f t="shared" si="29"/>
        <v>11/2024</v>
      </c>
      <c r="Q453" s="15" t="str">
        <f t="array" ref="Q453">IFERROR(XLOOKUP(N453,'Classificação'!A:A,'Classificação'!B:B),"")</f>
        <v>DESPESAS COM PESSOAL</v>
      </c>
      <c r="R453" s="15" t="str">
        <f t="array" ref="R453">IFERROR(XLOOKUP(Q453,'Classificação'!B:B,'Classificação'!C:C),"")</f>
        <v>DESPESAS FIXAS (-)</v>
      </c>
      <c r="S453" s="15">
        <f t="shared" si="5"/>
        <v>21</v>
      </c>
      <c r="T453" s="15">
        <f t="shared" si="6"/>
        <v>11</v>
      </c>
      <c r="U453" s="15">
        <f t="shared" si="7"/>
        <v>2024</v>
      </c>
      <c r="V453" s="15">
        <f t="shared" si="8"/>
        <v>21</v>
      </c>
      <c r="W453" s="15">
        <f t="shared" si="9"/>
        <v>11</v>
      </c>
      <c r="X453" s="15">
        <f t="shared" si="10"/>
        <v>2024</v>
      </c>
    </row>
    <row r="454">
      <c r="A454" s="9">
        <v>45617.0</v>
      </c>
      <c r="B454" s="32">
        <v>45594.0</v>
      </c>
      <c r="C454" s="9">
        <f t="shared" si="22"/>
        <v>45617</v>
      </c>
      <c r="D454" s="11" t="s">
        <v>44</v>
      </c>
      <c r="E454" s="11" t="s">
        <v>25</v>
      </c>
      <c r="F454" s="11" t="s">
        <v>110</v>
      </c>
      <c r="G454" s="11" t="s">
        <v>27</v>
      </c>
      <c r="H454" s="11" t="s">
        <v>389</v>
      </c>
      <c r="I454" s="31">
        <v>5.49</v>
      </c>
      <c r="J454" s="13"/>
      <c r="K454" s="13">
        <f t="shared" si="30"/>
        <v>5.49</v>
      </c>
      <c r="L454" s="11" t="s">
        <v>34</v>
      </c>
      <c r="M454" s="14"/>
      <c r="N454" s="11" t="s">
        <v>71</v>
      </c>
      <c r="O454" s="10" t="str">
        <f t="shared" si="3"/>
        <v>11/2024</v>
      </c>
      <c r="P454" s="10" t="str">
        <f t="shared" si="29"/>
        <v>11/2024</v>
      </c>
      <c r="Q454" s="15" t="str">
        <f t="array" ref="Q454">IFERROR(XLOOKUP(N454,'Classificação'!A:A,'Classificação'!B:B),"")</f>
        <v>DESPESAS DIVERSAS</v>
      </c>
      <c r="R454" s="15" t="str">
        <f t="array" ref="R454">IFERROR(XLOOKUP(Q454,'Classificação'!B:B,'Classificação'!C:C),"")</f>
        <v>DESPESAS FIXAS (-)</v>
      </c>
      <c r="S454" s="15">
        <f t="shared" si="5"/>
        <v>21</v>
      </c>
      <c r="T454" s="15">
        <f t="shared" si="6"/>
        <v>11</v>
      </c>
      <c r="U454" s="15">
        <f t="shared" si="7"/>
        <v>2024</v>
      </c>
      <c r="V454" s="15">
        <f t="shared" si="8"/>
        <v>21</v>
      </c>
      <c r="W454" s="15">
        <f t="shared" si="9"/>
        <v>11</v>
      </c>
      <c r="X454" s="15">
        <f t="shared" si="10"/>
        <v>2024</v>
      </c>
    </row>
    <row r="455">
      <c r="A455" s="9">
        <v>45617.0</v>
      </c>
      <c r="B455" s="32">
        <v>45595.0</v>
      </c>
      <c r="C455" s="9">
        <f t="shared" si="22"/>
        <v>45617</v>
      </c>
      <c r="D455" s="11" t="s">
        <v>179</v>
      </c>
      <c r="E455" s="11" t="s">
        <v>25</v>
      </c>
      <c r="F455" s="11" t="s">
        <v>107</v>
      </c>
      <c r="G455" s="11" t="s">
        <v>27</v>
      </c>
      <c r="H455" s="11" t="s">
        <v>312</v>
      </c>
      <c r="I455" s="31">
        <v>150.0</v>
      </c>
      <c r="J455" s="13"/>
      <c r="K455" s="13">
        <f t="shared" si="30"/>
        <v>150</v>
      </c>
      <c r="L455" s="11" t="s">
        <v>34</v>
      </c>
      <c r="M455" s="14"/>
      <c r="N455" s="11" t="s">
        <v>181</v>
      </c>
      <c r="O455" s="10" t="str">
        <f t="shared" si="3"/>
        <v>11/2024</v>
      </c>
      <c r="P455" s="10" t="str">
        <f t="shared" si="29"/>
        <v>11/2024</v>
      </c>
      <c r="Q455" s="15" t="str">
        <f t="array" ref="Q455">IFERROR(XLOOKUP(N455,'Classificação'!A:A,'Classificação'!B:B),"")</f>
        <v>DESPESAS COM VEICULOS</v>
      </c>
      <c r="R455" s="15" t="str">
        <f t="array" ref="R455">IFERROR(XLOOKUP(Q455,'Classificação'!B:B,'Classificação'!C:C),"")</f>
        <v>DESPESAS FIXAS (-)</v>
      </c>
      <c r="S455" s="15">
        <f t="shared" si="5"/>
        <v>21</v>
      </c>
      <c r="T455" s="15">
        <f t="shared" si="6"/>
        <v>11</v>
      </c>
      <c r="U455" s="15">
        <f t="shared" si="7"/>
        <v>2024</v>
      </c>
      <c r="V455" s="15">
        <f t="shared" si="8"/>
        <v>21</v>
      </c>
      <c r="W455" s="15">
        <f t="shared" si="9"/>
        <v>11</v>
      </c>
      <c r="X455" s="15">
        <f t="shared" si="10"/>
        <v>2024</v>
      </c>
    </row>
    <row r="456">
      <c r="A456" s="9">
        <v>45617.0</v>
      </c>
      <c r="B456" s="9">
        <v>45600.0</v>
      </c>
      <c r="C456" s="9">
        <f t="shared" si="22"/>
        <v>45617</v>
      </c>
      <c r="D456" s="11" t="s">
        <v>255</v>
      </c>
      <c r="E456" s="11" t="s">
        <v>25</v>
      </c>
      <c r="F456" s="11" t="s">
        <v>110</v>
      </c>
      <c r="G456" s="11" t="s">
        <v>27</v>
      </c>
      <c r="H456" s="11" t="s">
        <v>390</v>
      </c>
      <c r="I456" s="31">
        <v>18.69</v>
      </c>
      <c r="J456" s="13"/>
      <c r="K456" s="13">
        <f t="shared" si="30"/>
        <v>18.69</v>
      </c>
      <c r="L456" s="11" t="s">
        <v>34</v>
      </c>
      <c r="M456" s="14"/>
      <c r="N456" s="11" t="s">
        <v>71</v>
      </c>
      <c r="O456" s="10" t="str">
        <f t="shared" si="3"/>
        <v>11/2024</v>
      </c>
      <c r="P456" s="10" t="str">
        <f t="shared" si="29"/>
        <v>11/2024</v>
      </c>
      <c r="Q456" s="15" t="str">
        <f t="array" ref="Q456">IFERROR(XLOOKUP(N456,'Classificação'!A:A,'Classificação'!B:B),"")</f>
        <v>DESPESAS DIVERSAS</v>
      </c>
      <c r="R456" s="15" t="str">
        <f t="array" ref="R456">IFERROR(XLOOKUP(Q456,'Classificação'!B:B,'Classificação'!C:C),"")</f>
        <v>DESPESAS FIXAS (-)</v>
      </c>
      <c r="S456" s="15">
        <f t="shared" si="5"/>
        <v>21</v>
      </c>
      <c r="T456" s="15">
        <f t="shared" si="6"/>
        <v>11</v>
      </c>
      <c r="U456" s="15">
        <f t="shared" si="7"/>
        <v>2024</v>
      </c>
      <c r="V456" s="15">
        <f t="shared" si="8"/>
        <v>21</v>
      </c>
      <c r="W456" s="15">
        <f t="shared" si="9"/>
        <v>11</v>
      </c>
      <c r="X456" s="15">
        <f t="shared" si="10"/>
        <v>2024</v>
      </c>
    </row>
    <row r="457">
      <c r="A457" s="9">
        <v>45617.0</v>
      </c>
      <c r="B457" s="9">
        <v>45600.0</v>
      </c>
      <c r="C457" s="9">
        <f t="shared" si="22"/>
        <v>45617</v>
      </c>
      <c r="D457" s="11" t="s">
        <v>345</v>
      </c>
      <c r="E457" s="11" t="s">
        <v>25</v>
      </c>
      <c r="F457" s="11" t="s">
        <v>110</v>
      </c>
      <c r="G457" s="11" t="s">
        <v>27</v>
      </c>
      <c r="H457" s="11" t="s">
        <v>391</v>
      </c>
      <c r="I457" s="31">
        <v>50.0</v>
      </c>
      <c r="J457" s="13"/>
      <c r="K457" s="13">
        <f t="shared" si="30"/>
        <v>50</v>
      </c>
      <c r="L457" s="11" t="s">
        <v>34</v>
      </c>
      <c r="M457" s="14"/>
      <c r="N457" s="11" t="s">
        <v>392</v>
      </c>
      <c r="O457" s="10" t="str">
        <f t="shared" si="3"/>
        <v>11/2024</v>
      </c>
      <c r="P457" s="10" t="str">
        <f t="shared" si="29"/>
        <v>11/2024</v>
      </c>
      <c r="Q457" s="15" t="str">
        <f t="array" ref="Q457">IFERROR(XLOOKUP(N457,'Classificação'!A:A,'Classificação'!B:B),"")</f>
        <v>DESPESAS COM OCUPAÇÃO</v>
      </c>
      <c r="R457" s="15" t="str">
        <f t="array" ref="R457">IFERROR(XLOOKUP(Q457,'Classificação'!B:B,'Classificação'!C:C),"")</f>
        <v>DESPESAS FIXAS (-)</v>
      </c>
      <c r="S457" s="15">
        <f t="shared" si="5"/>
        <v>21</v>
      </c>
      <c r="T457" s="15">
        <f t="shared" si="6"/>
        <v>11</v>
      </c>
      <c r="U457" s="15">
        <f t="shared" si="7"/>
        <v>2024</v>
      </c>
      <c r="V457" s="15">
        <f t="shared" si="8"/>
        <v>21</v>
      </c>
      <c r="W457" s="15">
        <f t="shared" si="9"/>
        <v>11</v>
      </c>
      <c r="X457" s="15">
        <f t="shared" si="10"/>
        <v>2024</v>
      </c>
    </row>
    <row r="458">
      <c r="A458" s="9">
        <v>45617.0</v>
      </c>
      <c r="B458" s="36">
        <v>45580.0</v>
      </c>
      <c r="C458" s="27">
        <f t="shared" si="22"/>
        <v>45617</v>
      </c>
      <c r="D458" s="28" t="s">
        <v>373</v>
      </c>
      <c r="E458" s="11" t="s">
        <v>25</v>
      </c>
      <c r="F458" s="28" t="s">
        <v>110</v>
      </c>
      <c r="G458" s="28" t="s">
        <v>27</v>
      </c>
      <c r="H458" s="28" t="s">
        <v>374</v>
      </c>
      <c r="I458" s="38">
        <v>14.0</v>
      </c>
      <c r="J458" s="13"/>
      <c r="K458" s="13">
        <f t="shared" si="30"/>
        <v>14</v>
      </c>
      <c r="L458" s="11" t="s">
        <v>34</v>
      </c>
      <c r="M458" s="14"/>
      <c r="N458" s="11" t="s">
        <v>64</v>
      </c>
      <c r="O458" s="10" t="str">
        <f t="shared" si="3"/>
        <v>11/2024</v>
      </c>
      <c r="P458" s="10" t="str">
        <f t="shared" si="29"/>
        <v>11/2024</v>
      </c>
      <c r="Q458" s="15" t="str">
        <f t="array" ref="Q458">IFERROR(XLOOKUP(N458,'Classificação'!A:A,'Classificação'!B:B),"")</f>
        <v>DESPESAS COM PESSOAL</v>
      </c>
      <c r="R458" s="15" t="str">
        <f t="array" ref="R458">IFERROR(XLOOKUP(Q458,'Classificação'!B:B,'Classificação'!C:C),"")</f>
        <v>DESPESAS FIXAS (-)</v>
      </c>
      <c r="S458" s="15">
        <f t="shared" si="5"/>
        <v>21</v>
      </c>
      <c r="T458" s="15">
        <f t="shared" si="6"/>
        <v>11</v>
      </c>
      <c r="U458" s="15">
        <f t="shared" si="7"/>
        <v>2024</v>
      </c>
      <c r="V458" s="15">
        <f t="shared" si="8"/>
        <v>21</v>
      </c>
      <c r="W458" s="15">
        <f t="shared" si="9"/>
        <v>11</v>
      </c>
      <c r="X458" s="15">
        <f t="shared" si="10"/>
        <v>2024</v>
      </c>
    </row>
    <row r="459">
      <c r="A459" s="9">
        <v>45617.0</v>
      </c>
      <c r="B459" s="9">
        <v>45600.0</v>
      </c>
      <c r="C459" s="9">
        <f t="shared" si="22"/>
        <v>45617</v>
      </c>
      <c r="D459" s="11" t="s">
        <v>65</v>
      </c>
      <c r="E459" s="11" t="s">
        <v>25</v>
      </c>
      <c r="F459" s="11" t="s">
        <v>107</v>
      </c>
      <c r="G459" s="11" t="s">
        <v>27</v>
      </c>
      <c r="H459" s="11" t="s">
        <v>393</v>
      </c>
      <c r="I459" s="31">
        <v>32.43</v>
      </c>
      <c r="J459" s="13"/>
      <c r="K459" s="13">
        <f t="shared" si="30"/>
        <v>32.43</v>
      </c>
      <c r="L459" s="11" t="s">
        <v>53</v>
      </c>
      <c r="M459" s="17">
        <v>45505.0</v>
      </c>
      <c r="N459" s="11" t="s">
        <v>394</v>
      </c>
      <c r="O459" s="10" t="str">
        <f t="shared" si="3"/>
        <v>11/2024</v>
      </c>
      <c r="P459" s="10" t="str">
        <f t="shared" si="29"/>
        <v>11/2024</v>
      </c>
      <c r="Q459" s="15" t="str">
        <f t="array" ref="Q459">IFERROR(XLOOKUP(N459,'Classificação'!A:A,'Classificação'!B:B),"")</f>
        <v>DESPESAS NÃO OPERACIONAIS</v>
      </c>
      <c r="R459" s="15" t="str">
        <f t="array" ref="R459">IFERROR(XLOOKUP(Q459,'Classificação'!B:B,'Classificação'!C:C),"")</f>
        <v>RESULTADO NÃO OPERACIONAL (+/-)</v>
      </c>
      <c r="S459" s="15">
        <f t="shared" si="5"/>
        <v>21</v>
      </c>
      <c r="T459" s="15">
        <f t="shared" si="6"/>
        <v>11</v>
      </c>
      <c r="U459" s="15">
        <f t="shared" si="7"/>
        <v>2024</v>
      </c>
      <c r="V459" s="15">
        <f t="shared" si="8"/>
        <v>21</v>
      </c>
      <c r="W459" s="15">
        <f t="shared" si="9"/>
        <v>11</v>
      </c>
      <c r="X459" s="15">
        <f t="shared" si="10"/>
        <v>2024</v>
      </c>
    </row>
    <row r="460">
      <c r="A460" s="9">
        <v>45617.0</v>
      </c>
      <c r="B460" s="32">
        <v>45593.0</v>
      </c>
      <c r="C460" s="9">
        <f t="shared" si="22"/>
        <v>45617</v>
      </c>
      <c r="D460" s="11" t="s">
        <v>43</v>
      </c>
      <c r="E460" s="11" t="s">
        <v>25</v>
      </c>
      <c r="F460" s="11" t="s">
        <v>107</v>
      </c>
      <c r="G460" s="11" t="s">
        <v>27</v>
      </c>
      <c r="H460" s="11" t="s">
        <v>395</v>
      </c>
      <c r="I460" s="31">
        <v>142.0</v>
      </c>
      <c r="J460" s="13"/>
      <c r="K460" s="13">
        <f t="shared" si="30"/>
        <v>142</v>
      </c>
      <c r="L460" s="11" t="s">
        <v>34</v>
      </c>
      <c r="M460" s="14"/>
      <c r="N460" s="11" t="s">
        <v>64</v>
      </c>
      <c r="O460" s="10" t="str">
        <f t="shared" si="3"/>
        <v>11/2024</v>
      </c>
      <c r="P460" s="10" t="str">
        <f t="shared" si="29"/>
        <v>11/2024</v>
      </c>
      <c r="Q460" s="15" t="str">
        <f t="array" ref="Q460">IFERROR(XLOOKUP(N460,'Classificação'!A:A,'Classificação'!B:B),"")</f>
        <v>DESPESAS COM PESSOAL</v>
      </c>
      <c r="R460" s="15" t="str">
        <f t="array" ref="R460">IFERROR(XLOOKUP(Q460,'Classificação'!B:B,'Classificação'!C:C),"")</f>
        <v>DESPESAS FIXAS (-)</v>
      </c>
      <c r="S460" s="15">
        <f t="shared" si="5"/>
        <v>21</v>
      </c>
      <c r="T460" s="15">
        <f t="shared" si="6"/>
        <v>11</v>
      </c>
      <c r="U460" s="15">
        <f t="shared" si="7"/>
        <v>2024</v>
      </c>
      <c r="V460" s="15">
        <f t="shared" si="8"/>
        <v>21</v>
      </c>
      <c r="W460" s="15">
        <f t="shared" si="9"/>
        <v>11</v>
      </c>
      <c r="X460" s="15">
        <f t="shared" si="10"/>
        <v>2024</v>
      </c>
    </row>
    <row r="461">
      <c r="A461" s="9">
        <v>45617.0</v>
      </c>
      <c r="B461" s="27">
        <v>45559.0</v>
      </c>
      <c r="C461" s="27">
        <f t="shared" si="22"/>
        <v>45617</v>
      </c>
      <c r="D461" s="28" t="s">
        <v>65</v>
      </c>
      <c r="E461" s="11" t="s">
        <v>25</v>
      </c>
      <c r="F461" s="28" t="s">
        <v>107</v>
      </c>
      <c r="G461" s="28" t="s">
        <v>27</v>
      </c>
      <c r="H461" s="28" t="s">
        <v>318</v>
      </c>
      <c r="I461" s="33">
        <v>96.0</v>
      </c>
      <c r="J461" s="34"/>
      <c r="K461" s="13">
        <f t="shared" si="30"/>
        <v>96</v>
      </c>
      <c r="L461" s="28" t="s">
        <v>53</v>
      </c>
      <c r="M461" s="35">
        <v>45324.0</v>
      </c>
      <c r="N461" s="28" t="s">
        <v>143</v>
      </c>
      <c r="O461" s="10" t="str">
        <f t="shared" si="3"/>
        <v>11/2024</v>
      </c>
      <c r="P461" s="10" t="str">
        <f t="shared" si="29"/>
        <v>11/2024</v>
      </c>
      <c r="Q461" s="15" t="str">
        <f t="array" ref="Q461">IFERROR(XLOOKUP(N461,'Classificação'!A:A,'Classificação'!B:B),"")</f>
        <v>EMBALAGENS/FITAS/GERAL</v>
      </c>
      <c r="R461" s="15" t="str">
        <f t="array" ref="R461">IFERROR(XLOOKUP(Q461,'Classificação'!B:B,'Classificação'!C:C),"")</f>
        <v>CUSTOS VARIÁVEIS</v>
      </c>
      <c r="S461" s="15">
        <f t="shared" si="5"/>
        <v>21</v>
      </c>
      <c r="T461" s="15">
        <f t="shared" si="6"/>
        <v>11</v>
      </c>
      <c r="U461" s="15">
        <f t="shared" si="7"/>
        <v>2024</v>
      </c>
      <c r="V461" s="15">
        <f t="shared" si="8"/>
        <v>21</v>
      </c>
      <c r="W461" s="15">
        <f t="shared" si="9"/>
        <v>11</v>
      </c>
      <c r="X461" s="15">
        <f t="shared" si="10"/>
        <v>2024</v>
      </c>
    </row>
    <row r="462">
      <c r="A462" s="9">
        <v>45617.0</v>
      </c>
      <c r="B462" s="10"/>
      <c r="C462" s="9">
        <f t="shared" si="22"/>
        <v>45617</v>
      </c>
      <c r="D462" s="11" t="s">
        <v>396</v>
      </c>
      <c r="E462" s="11" t="s">
        <v>25</v>
      </c>
      <c r="F462" s="28" t="s">
        <v>107</v>
      </c>
      <c r="G462" s="28" t="s">
        <v>27</v>
      </c>
      <c r="H462" s="11" t="s">
        <v>397</v>
      </c>
      <c r="I462" s="31">
        <v>69.3</v>
      </c>
      <c r="J462" s="13"/>
      <c r="K462" s="13">
        <f t="shared" si="30"/>
        <v>69.3</v>
      </c>
      <c r="L462" s="28" t="s">
        <v>53</v>
      </c>
      <c r="M462" s="17">
        <v>45627.0</v>
      </c>
      <c r="N462" s="11" t="s">
        <v>105</v>
      </c>
      <c r="O462" s="10" t="str">
        <f t="shared" si="3"/>
        <v>11/2024</v>
      </c>
      <c r="P462" s="10" t="str">
        <f t="shared" si="29"/>
        <v>11/2024</v>
      </c>
      <c r="Q462" s="15" t="str">
        <f t="array" ref="Q462">IFERROR(XLOOKUP(N462,'Classificação'!A:A,'Classificação'!B:B),"")</f>
        <v>DESPESAS ADMINISTRATIVAS</v>
      </c>
      <c r="R462" s="15" t="str">
        <f t="array" ref="R462">IFERROR(XLOOKUP(Q462,'Classificação'!B:B,'Classificação'!C:C),"")</f>
        <v>DESPESAS FIXAS (-)</v>
      </c>
      <c r="S462" s="15">
        <f t="shared" si="5"/>
        <v>21</v>
      </c>
      <c r="T462" s="15">
        <f t="shared" si="6"/>
        <v>11</v>
      </c>
      <c r="U462" s="15">
        <f t="shared" si="7"/>
        <v>2024</v>
      </c>
      <c r="V462" s="15">
        <f t="shared" si="8"/>
        <v>21</v>
      </c>
      <c r="W462" s="15">
        <f t="shared" si="9"/>
        <v>11</v>
      </c>
      <c r="X462" s="15">
        <f t="shared" si="10"/>
        <v>2024</v>
      </c>
    </row>
    <row r="463">
      <c r="A463" s="9">
        <v>45617.0</v>
      </c>
      <c r="B463" s="10"/>
      <c r="C463" s="9">
        <f t="shared" si="22"/>
        <v>45617</v>
      </c>
      <c r="D463" s="11" t="s">
        <v>100</v>
      </c>
      <c r="E463" s="11" t="s">
        <v>25</v>
      </c>
      <c r="F463" s="11" t="s">
        <v>40</v>
      </c>
      <c r="G463" s="11" t="s">
        <v>37</v>
      </c>
      <c r="H463" s="11" t="s">
        <v>243</v>
      </c>
      <c r="I463" s="12">
        <v>1447.19</v>
      </c>
      <c r="J463" s="13"/>
      <c r="K463" s="13">
        <f t="shared" si="30"/>
        <v>1447.19</v>
      </c>
      <c r="L463" s="11" t="s">
        <v>29</v>
      </c>
      <c r="M463" s="14"/>
      <c r="N463" s="11" t="s">
        <v>101</v>
      </c>
      <c r="O463" s="10" t="str">
        <f t="shared" si="3"/>
        <v>11/2024</v>
      </c>
      <c r="P463" s="10" t="str">
        <f t="shared" si="29"/>
        <v>11/2024</v>
      </c>
      <c r="Q463" s="15" t="str">
        <f t="array" ref="Q463">IFERROR(XLOOKUP(N463,'Classificação'!A:A,'Classificação'!B:B),"")</f>
        <v>IMPOSTO DE RENDA - DAS</v>
      </c>
      <c r="R463" s="15" t="str">
        <f t="array" ref="R463">IFERROR(XLOOKUP(Q463,'Classificação'!B:B,'Classificação'!C:C),"")</f>
        <v>DEDUÇÕES DA RECEITA BRUTA (-)</v>
      </c>
      <c r="S463" s="15">
        <f t="shared" si="5"/>
        <v>21</v>
      </c>
      <c r="T463" s="15">
        <f t="shared" si="6"/>
        <v>11</v>
      </c>
      <c r="U463" s="15">
        <f t="shared" si="7"/>
        <v>2024</v>
      </c>
      <c r="V463" s="15">
        <f t="shared" si="8"/>
        <v>21</v>
      </c>
      <c r="W463" s="15">
        <f t="shared" si="9"/>
        <v>11</v>
      </c>
      <c r="X463" s="15">
        <f t="shared" si="10"/>
        <v>2024</v>
      </c>
    </row>
    <row r="464">
      <c r="A464" s="9">
        <v>45617.0</v>
      </c>
      <c r="B464" s="10"/>
      <c r="C464" s="9">
        <f t="shared" si="22"/>
        <v>45617</v>
      </c>
      <c r="D464" s="11" t="s">
        <v>100</v>
      </c>
      <c r="E464" s="11" t="s">
        <v>25</v>
      </c>
      <c r="F464" s="11" t="s">
        <v>40</v>
      </c>
      <c r="G464" s="11" t="s">
        <v>27</v>
      </c>
      <c r="H464" s="11" t="s">
        <v>117</v>
      </c>
      <c r="I464" s="12">
        <v>14293.94</v>
      </c>
      <c r="J464" s="13"/>
      <c r="K464" s="13">
        <f t="shared" si="30"/>
        <v>14293.94</v>
      </c>
      <c r="L464" s="11" t="s">
        <v>29</v>
      </c>
      <c r="M464" s="14"/>
      <c r="N464" s="11" t="s">
        <v>101</v>
      </c>
      <c r="O464" s="10" t="str">
        <f t="shared" si="3"/>
        <v>11/2024</v>
      </c>
      <c r="P464" s="10" t="str">
        <f t="shared" si="29"/>
        <v>11/2024</v>
      </c>
      <c r="Q464" s="15" t="str">
        <f t="array" ref="Q464">IFERROR(XLOOKUP(N464,'Classificação'!A:A,'Classificação'!B:B),"")</f>
        <v>IMPOSTO DE RENDA - DAS</v>
      </c>
      <c r="R464" s="15" t="str">
        <f t="array" ref="R464">IFERROR(XLOOKUP(Q464,'Classificação'!B:B,'Classificação'!C:C),"")</f>
        <v>DEDUÇÕES DA RECEITA BRUTA (-)</v>
      </c>
      <c r="S464" s="15">
        <f t="shared" si="5"/>
        <v>21</v>
      </c>
      <c r="T464" s="15">
        <f t="shared" si="6"/>
        <v>11</v>
      </c>
      <c r="U464" s="15">
        <f t="shared" si="7"/>
        <v>2024</v>
      </c>
      <c r="V464" s="15">
        <f t="shared" si="8"/>
        <v>21</v>
      </c>
      <c r="W464" s="15">
        <f t="shared" si="9"/>
        <v>11</v>
      </c>
      <c r="X464" s="15">
        <f t="shared" si="10"/>
        <v>2024</v>
      </c>
    </row>
    <row r="465">
      <c r="A465" s="9">
        <v>45617.0</v>
      </c>
      <c r="B465" s="10"/>
      <c r="C465" s="9">
        <f t="shared" si="22"/>
        <v>45617</v>
      </c>
      <c r="D465" s="11" t="s">
        <v>171</v>
      </c>
      <c r="E465" s="11" t="s">
        <v>25</v>
      </c>
      <c r="F465" s="11" t="s">
        <v>40</v>
      </c>
      <c r="G465" s="11" t="s">
        <v>27</v>
      </c>
      <c r="I465" s="12">
        <v>107.64</v>
      </c>
      <c r="J465" s="13"/>
      <c r="K465" s="13">
        <f t="shared" si="30"/>
        <v>107.64</v>
      </c>
      <c r="L465" s="11" t="s">
        <v>29</v>
      </c>
      <c r="M465" s="14"/>
      <c r="N465" s="11" t="s">
        <v>172</v>
      </c>
      <c r="O465" s="10" t="str">
        <f t="shared" si="3"/>
        <v>11/2024</v>
      </c>
      <c r="P465" s="10" t="str">
        <f t="shared" si="29"/>
        <v>11/2024</v>
      </c>
      <c r="Q465" s="15" t="str">
        <f t="array" ref="Q465">IFERROR(XLOOKUP(N465,'Classificação'!A:A,'Classificação'!B:B),"")</f>
        <v>DESPESAS COM OCUPAÇÃO</v>
      </c>
      <c r="R465" s="15" t="str">
        <f t="array" ref="R465">IFERROR(XLOOKUP(Q465,'Classificação'!B:B,'Classificação'!C:C),"")</f>
        <v>DESPESAS FIXAS (-)</v>
      </c>
      <c r="S465" s="15">
        <f t="shared" si="5"/>
        <v>21</v>
      </c>
      <c r="T465" s="15">
        <f t="shared" si="6"/>
        <v>11</v>
      </c>
      <c r="U465" s="15">
        <f t="shared" si="7"/>
        <v>2024</v>
      </c>
      <c r="V465" s="15">
        <f t="shared" si="8"/>
        <v>21</v>
      </c>
      <c r="W465" s="15">
        <f t="shared" si="9"/>
        <v>11</v>
      </c>
      <c r="X465" s="15">
        <f t="shared" si="10"/>
        <v>2024</v>
      </c>
    </row>
    <row r="466">
      <c r="A466" s="9">
        <v>45617.0</v>
      </c>
      <c r="B466" s="10"/>
      <c r="C466" s="9">
        <f t="shared" si="22"/>
        <v>45617</v>
      </c>
      <c r="D466" s="11" t="s">
        <v>76</v>
      </c>
      <c r="E466" s="11" t="s">
        <v>25</v>
      </c>
      <c r="F466" s="11" t="s">
        <v>26</v>
      </c>
      <c r="G466" s="11" t="s">
        <v>27</v>
      </c>
      <c r="H466" s="11" t="s">
        <v>84</v>
      </c>
      <c r="I466" s="24">
        <v>1214.27</v>
      </c>
      <c r="J466" s="13"/>
      <c r="K466" s="13">
        <f t="shared" si="30"/>
        <v>1214.27</v>
      </c>
      <c r="L466" s="11" t="s">
        <v>53</v>
      </c>
      <c r="M466" s="16" t="s">
        <v>349</v>
      </c>
      <c r="N466" s="11" t="s">
        <v>85</v>
      </c>
      <c r="O466" s="10" t="str">
        <f t="shared" si="3"/>
        <v>11/2024</v>
      </c>
      <c r="P466" s="10" t="str">
        <f t="shared" si="29"/>
        <v>11/2024</v>
      </c>
      <c r="Q466" s="15" t="str">
        <f t="array" ref="Q466">IFERROR(XLOOKUP(N466,'Classificação'!A:A,'Classificação'!B:B),"")</f>
        <v>DESPESAS NÃO OPERACIONAIS</v>
      </c>
      <c r="R466" s="15" t="str">
        <f t="array" ref="R466">IFERROR(XLOOKUP(Q466,'Classificação'!B:B,'Classificação'!C:C),"")</f>
        <v>RESULTADO NÃO OPERACIONAL (+/-)</v>
      </c>
      <c r="S466" s="15">
        <f t="shared" si="5"/>
        <v>21</v>
      </c>
      <c r="T466" s="15">
        <f t="shared" si="6"/>
        <v>11</v>
      </c>
      <c r="U466" s="15">
        <f t="shared" si="7"/>
        <v>2024</v>
      </c>
      <c r="V466" s="15">
        <f t="shared" si="8"/>
        <v>21</v>
      </c>
      <c r="W466" s="15">
        <f t="shared" si="9"/>
        <v>11</v>
      </c>
      <c r="X466" s="15">
        <f t="shared" si="10"/>
        <v>2024</v>
      </c>
    </row>
    <row r="467">
      <c r="A467" s="9">
        <v>45617.0</v>
      </c>
      <c r="B467" s="10"/>
      <c r="C467" s="9">
        <f t="shared" si="22"/>
        <v>45617</v>
      </c>
      <c r="D467" s="11" t="s">
        <v>200</v>
      </c>
      <c r="E467" s="11" t="s">
        <v>25</v>
      </c>
      <c r="F467" s="11" t="s">
        <v>40</v>
      </c>
      <c r="G467" s="11" t="s">
        <v>27</v>
      </c>
      <c r="I467" s="12">
        <v>170.0</v>
      </c>
      <c r="J467" s="13"/>
      <c r="K467" s="13">
        <f t="shared" si="30"/>
        <v>170</v>
      </c>
      <c r="L467" s="11" t="s">
        <v>29</v>
      </c>
      <c r="M467" s="14"/>
      <c r="N467" s="11" t="s">
        <v>201</v>
      </c>
      <c r="O467" s="10" t="str">
        <f t="shared" si="3"/>
        <v>11/2024</v>
      </c>
      <c r="P467" s="10" t="str">
        <f t="shared" si="29"/>
        <v>11/2024</v>
      </c>
      <c r="Q467" s="15" t="str">
        <f t="array" ref="Q467">IFERROR(XLOOKUP(N467,'Classificação'!A:A,'Classificação'!B:B),"")</f>
        <v>DESPESAS COM OCUPAÇÃO</v>
      </c>
      <c r="R467" s="15" t="str">
        <f t="array" ref="R467">IFERROR(XLOOKUP(Q467,'Classificação'!B:B,'Classificação'!C:C),"")</f>
        <v>DESPESAS FIXAS (-)</v>
      </c>
      <c r="S467" s="15">
        <f t="shared" si="5"/>
        <v>21</v>
      </c>
      <c r="T467" s="15">
        <f t="shared" si="6"/>
        <v>11</v>
      </c>
      <c r="U467" s="15">
        <f t="shared" si="7"/>
        <v>2024</v>
      </c>
      <c r="V467" s="15">
        <f t="shared" si="8"/>
        <v>21</v>
      </c>
      <c r="W467" s="15">
        <f t="shared" si="9"/>
        <v>11</v>
      </c>
      <c r="X467" s="15">
        <f t="shared" si="10"/>
        <v>2024</v>
      </c>
    </row>
    <row r="468">
      <c r="A468" s="9">
        <v>45618.0</v>
      </c>
      <c r="B468" s="10"/>
      <c r="C468" s="9">
        <f t="shared" si="22"/>
        <v>45618</v>
      </c>
      <c r="D468" s="11" t="s">
        <v>86</v>
      </c>
      <c r="E468" s="11" t="s">
        <v>25</v>
      </c>
      <c r="F468" s="11" t="s">
        <v>26</v>
      </c>
      <c r="G468" s="11" t="s">
        <v>27</v>
      </c>
      <c r="H468" s="11" t="s">
        <v>398</v>
      </c>
      <c r="I468" s="12">
        <v>5060.0</v>
      </c>
      <c r="J468" s="13"/>
      <c r="K468" s="13">
        <f t="shared" si="30"/>
        <v>5060</v>
      </c>
      <c r="L468" s="11" t="s">
        <v>34</v>
      </c>
      <c r="M468" s="14"/>
      <c r="N468" s="11" t="s">
        <v>35</v>
      </c>
      <c r="O468" s="10" t="str">
        <f t="shared" si="3"/>
        <v>11/2024</v>
      </c>
      <c r="P468" s="10" t="str">
        <f t="shared" si="29"/>
        <v>11/2024</v>
      </c>
      <c r="Q468" s="15" t="str">
        <f t="array" ref="Q468">IFERROR(XLOOKUP(N468,'Classificação'!A:A,'Classificação'!B:B),"")</f>
        <v>COMPRA DE MERCADORIA</v>
      </c>
      <c r="R468" s="15" t="str">
        <f t="array" ref="R468">IFERROR(XLOOKUP(Q468,'Classificação'!B:B,'Classificação'!C:C),"")</f>
        <v>CUSTOS VARIÁVEIS</v>
      </c>
      <c r="S468" s="15">
        <f t="shared" si="5"/>
        <v>22</v>
      </c>
      <c r="T468" s="15">
        <f t="shared" si="6"/>
        <v>11</v>
      </c>
      <c r="U468" s="15">
        <f t="shared" si="7"/>
        <v>2024</v>
      </c>
      <c r="V468" s="15">
        <f t="shared" si="8"/>
        <v>22</v>
      </c>
      <c r="W468" s="15">
        <f t="shared" si="9"/>
        <v>11</v>
      </c>
      <c r="X468" s="15">
        <f t="shared" si="10"/>
        <v>2024</v>
      </c>
    </row>
    <row r="469">
      <c r="A469" s="9">
        <v>45618.0</v>
      </c>
      <c r="B469" s="10"/>
      <c r="C469" s="9">
        <f t="shared" si="22"/>
        <v>45618</v>
      </c>
      <c r="D469" s="11" t="s">
        <v>202</v>
      </c>
      <c r="E469" s="11" t="s">
        <v>25</v>
      </c>
      <c r="F469" s="11" t="s">
        <v>32</v>
      </c>
      <c r="G469" s="11" t="s">
        <v>27</v>
      </c>
      <c r="H469" s="11" t="s">
        <v>203</v>
      </c>
      <c r="I469" s="12">
        <v>469.34</v>
      </c>
      <c r="J469" s="13"/>
      <c r="K469" s="13">
        <f t="shared" si="30"/>
        <v>469.34</v>
      </c>
      <c r="L469" s="11" t="s">
        <v>53</v>
      </c>
      <c r="M469" s="20">
        <v>45600.0</v>
      </c>
      <c r="N469" s="11" t="s">
        <v>73</v>
      </c>
      <c r="O469" s="10" t="str">
        <f t="shared" si="3"/>
        <v>11/2024</v>
      </c>
      <c r="P469" s="10" t="str">
        <f t="shared" si="29"/>
        <v>11/2024</v>
      </c>
      <c r="Q469" s="15" t="str">
        <f t="array" ref="Q469">IFERROR(XLOOKUP(N469,'Classificação'!A:A,'Classificação'!B:B),"")</f>
        <v>DESPESAS NÃO OPERACIONAIS</v>
      </c>
      <c r="R469" s="15" t="str">
        <f t="array" ref="R469">IFERROR(XLOOKUP(Q469,'Classificação'!B:B,'Classificação'!C:C),"")</f>
        <v>RESULTADO NÃO OPERACIONAL (+/-)</v>
      </c>
      <c r="S469" s="15">
        <f t="shared" si="5"/>
        <v>22</v>
      </c>
      <c r="T469" s="15">
        <f t="shared" si="6"/>
        <v>11</v>
      </c>
      <c r="U469" s="15">
        <f t="shared" si="7"/>
        <v>2024</v>
      </c>
      <c r="V469" s="15">
        <f t="shared" si="8"/>
        <v>22</v>
      </c>
      <c r="W469" s="15">
        <f t="shared" si="9"/>
        <v>11</v>
      </c>
      <c r="X469" s="15">
        <f t="shared" si="10"/>
        <v>2024</v>
      </c>
    </row>
    <row r="470">
      <c r="A470" s="9">
        <v>45618.0</v>
      </c>
      <c r="B470" s="10"/>
      <c r="C470" s="9">
        <f t="shared" si="22"/>
        <v>45618</v>
      </c>
      <c r="D470" s="11" t="s">
        <v>202</v>
      </c>
      <c r="E470" s="11" t="s">
        <v>25</v>
      </c>
      <c r="F470" s="11" t="s">
        <v>32</v>
      </c>
      <c r="G470" s="11" t="s">
        <v>27</v>
      </c>
      <c r="H470" s="11" t="s">
        <v>203</v>
      </c>
      <c r="I470" s="12">
        <v>649.91</v>
      </c>
      <c r="J470" s="13"/>
      <c r="K470" s="13">
        <f t="shared" si="30"/>
        <v>649.91</v>
      </c>
      <c r="L470" s="11" t="s">
        <v>53</v>
      </c>
      <c r="M470" s="20">
        <v>45600.0</v>
      </c>
      <c r="N470" s="11" t="s">
        <v>73</v>
      </c>
      <c r="O470" s="10" t="str">
        <f t="shared" si="3"/>
        <v>11/2024</v>
      </c>
      <c r="P470" s="10" t="str">
        <f t="shared" si="29"/>
        <v>11/2024</v>
      </c>
      <c r="Q470" s="15" t="str">
        <f t="array" ref="Q470">IFERROR(XLOOKUP(N470,'Classificação'!A:A,'Classificação'!B:B),"")</f>
        <v>DESPESAS NÃO OPERACIONAIS</v>
      </c>
      <c r="R470" s="15" t="str">
        <f t="array" ref="R470">IFERROR(XLOOKUP(Q470,'Classificação'!B:B,'Classificação'!C:C),"")</f>
        <v>RESULTADO NÃO OPERACIONAL (+/-)</v>
      </c>
      <c r="S470" s="15">
        <f t="shared" si="5"/>
        <v>22</v>
      </c>
      <c r="T470" s="15">
        <f t="shared" si="6"/>
        <v>11</v>
      </c>
      <c r="U470" s="15">
        <f t="shared" si="7"/>
        <v>2024</v>
      </c>
      <c r="V470" s="15">
        <f t="shared" si="8"/>
        <v>22</v>
      </c>
      <c r="W470" s="15">
        <f t="shared" si="9"/>
        <v>11</v>
      </c>
      <c r="X470" s="15">
        <f t="shared" si="10"/>
        <v>2024</v>
      </c>
    </row>
    <row r="471">
      <c r="A471" s="32">
        <v>45618.0</v>
      </c>
      <c r="B471" s="10"/>
      <c r="C471" s="9">
        <f t="shared" si="22"/>
        <v>45618</v>
      </c>
      <c r="D471" s="11" t="s">
        <v>399</v>
      </c>
      <c r="E471" s="11" t="s">
        <v>25</v>
      </c>
      <c r="F471" s="11" t="s">
        <v>40</v>
      </c>
      <c r="G471" s="11" t="s">
        <v>37</v>
      </c>
      <c r="H471" s="11" t="s">
        <v>400</v>
      </c>
      <c r="I471" s="12">
        <v>1017.91</v>
      </c>
      <c r="J471" s="13"/>
      <c r="K471" s="13">
        <f t="shared" si="30"/>
        <v>1017.91</v>
      </c>
      <c r="L471" s="11" t="s">
        <v>53</v>
      </c>
      <c r="M471" s="17">
        <v>45352.0</v>
      </c>
      <c r="N471" s="11" t="s">
        <v>35</v>
      </c>
      <c r="O471" s="10" t="str">
        <f t="shared" si="3"/>
        <v>11/2024</v>
      </c>
      <c r="P471" s="10" t="str">
        <f t="shared" si="29"/>
        <v>11/2024</v>
      </c>
      <c r="Q471" s="15" t="str">
        <f t="array" ref="Q471">IFERROR(XLOOKUP(N471,'Classificação'!A:A,'Classificação'!B:B),"")</f>
        <v>COMPRA DE MERCADORIA</v>
      </c>
      <c r="R471" s="15" t="str">
        <f t="array" ref="R471">IFERROR(XLOOKUP(Q471,'Classificação'!B:B,'Classificação'!C:C),"")</f>
        <v>CUSTOS VARIÁVEIS</v>
      </c>
      <c r="S471" s="15">
        <f t="shared" si="5"/>
        <v>22</v>
      </c>
      <c r="T471" s="15">
        <f t="shared" si="6"/>
        <v>11</v>
      </c>
      <c r="U471" s="15">
        <f t="shared" si="7"/>
        <v>2024</v>
      </c>
      <c r="V471" s="15">
        <f t="shared" si="8"/>
        <v>22</v>
      </c>
      <c r="W471" s="15">
        <f t="shared" si="9"/>
        <v>11</v>
      </c>
      <c r="X471" s="15">
        <f t="shared" si="10"/>
        <v>2024</v>
      </c>
    </row>
    <row r="472">
      <c r="A472" s="39">
        <v>45618.0</v>
      </c>
      <c r="B472" s="30"/>
      <c r="C472" s="27">
        <f t="shared" si="22"/>
        <v>45618</v>
      </c>
      <c r="D472" s="28" t="s">
        <v>399</v>
      </c>
      <c r="E472" s="29" t="s">
        <v>25</v>
      </c>
      <c r="F472" s="28" t="s">
        <v>40</v>
      </c>
      <c r="G472" s="29" t="s">
        <v>27</v>
      </c>
      <c r="H472" s="28" t="s">
        <v>400</v>
      </c>
      <c r="I472" s="37">
        <v>1017.91</v>
      </c>
      <c r="J472" s="34"/>
      <c r="K472" s="13">
        <f t="shared" si="30"/>
        <v>1017.91</v>
      </c>
      <c r="L472" s="28" t="s">
        <v>53</v>
      </c>
      <c r="M472" s="40">
        <v>45352.0</v>
      </c>
      <c r="N472" s="28" t="s">
        <v>35</v>
      </c>
      <c r="O472" s="10" t="str">
        <f t="shared" si="3"/>
        <v>11/2024</v>
      </c>
      <c r="P472" s="10" t="str">
        <f t="shared" si="29"/>
        <v>11/2024</v>
      </c>
      <c r="Q472" s="15" t="str">
        <f t="array" ref="Q472">IFERROR(XLOOKUP(N472,'Classificação'!A:A,'Classificação'!B:B),"")</f>
        <v>COMPRA DE MERCADORIA</v>
      </c>
      <c r="R472" s="15" t="str">
        <f t="array" ref="R472">IFERROR(XLOOKUP(Q472,'Classificação'!B:B,'Classificação'!C:C),"")</f>
        <v>CUSTOS VARIÁVEIS</v>
      </c>
      <c r="S472" s="15">
        <f t="shared" si="5"/>
        <v>22</v>
      </c>
      <c r="T472" s="15">
        <f t="shared" si="6"/>
        <v>11</v>
      </c>
      <c r="U472" s="15">
        <f t="shared" si="7"/>
        <v>2024</v>
      </c>
      <c r="V472" s="15">
        <f t="shared" si="8"/>
        <v>22</v>
      </c>
      <c r="W472" s="15">
        <f t="shared" si="9"/>
        <v>11</v>
      </c>
      <c r="X472" s="15">
        <f t="shared" si="10"/>
        <v>2024</v>
      </c>
    </row>
    <row r="473">
      <c r="A473" s="9">
        <v>45618.0</v>
      </c>
      <c r="B473" s="10"/>
      <c r="C473" s="9">
        <f t="shared" si="22"/>
        <v>45618</v>
      </c>
      <c r="D473" s="11" t="s">
        <v>127</v>
      </c>
      <c r="E473" s="11" t="s">
        <v>25</v>
      </c>
      <c r="F473" s="11" t="s">
        <v>26</v>
      </c>
      <c r="G473" s="11" t="s">
        <v>37</v>
      </c>
      <c r="I473" s="12">
        <v>600.0</v>
      </c>
      <c r="J473" s="13"/>
      <c r="K473" s="13">
        <f t="shared" si="30"/>
        <v>600</v>
      </c>
      <c r="L473" s="11" t="s">
        <v>29</v>
      </c>
      <c r="M473" s="14"/>
      <c r="N473" s="11" t="s">
        <v>58</v>
      </c>
      <c r="O473" s="10" t="str">
        <f t="shared" si="3"/>
        <v>11/2024</v>
      </c>
      <c r="P473" s="10" t="str">
        <f t="shared" si="29"/>
        <v>11/2024</v>
      </c>
      <c r="Q473" s="15" t="str">
        <f t="array" ref="Q473">IFERROR(XLOOKUP(N473,'Classificação'!A:A,'Classificação'!B:B),"")</f>
        <v>DESPESAS ADMINISTRATIVAS</v>
      </c>
      <c r="R473" s="15" t="str">
        <f t="array" ref="R473">IFERROR(XLOOKUP(Q473,'Classificação'!B:B,'Classificação'!C:C),"")</f>
        <v>DESPESAS FIXAS (-)</v>
      </c>
      <c r="S473" s="15">
        <f t="shared" si="5"/>
        <v>22</v>
      </c>
      <c r="T473" s="15">
        <f t="shared" si="6"/>
        <v>11</v>
      </c>
      <c r="U473" s="15">
        <f t="shared" si="7"/>
        <v>2024</v>
      </c>
      <c r="V473" s="15">
        <f t="shared" si="8"/>
        <v>22</v>
      </c>
      <c r="W473" s="15">
        <f t="shared" si="9"/>
        <v>11</v>
      </c>
      <c r="X473" s="15">
        <f t="shared" si="10"/>
        <v>2024</v>
      </c>
    </row>
    <row r="474">
      <c r="A474" s="32">
        <v>45618.0</v>
      </c>
      <c r="B474" s="10"/>
      <c r="C474" s="9">
        <f t="shared" si="22"/>
        <v>45618</v>
      </c>
      <c r="D474" s="11" t="s">
        <v>44</v>
      </c>
      <c r="E474" s="11" t="s">
        <v>25</v>
      </c>
      <c r="F474" s="11" t="s">
        <v>45</v>
      </c>
      <c r="G474" s="11" t="s">
        <v>27</v>
      </c>
      <c r="H474" s="11" t="s">
        <v>401</v>
      </c>
      <c r="I474" s="12">
        <v>20.8</v>
      </c>
      <c r="J474" s="13"/>
      <c r="K474" s="13">
        <f t="shared" si="30"/>
        <v>20.8</v>
      </c>
      <c r="L474" s="11" t="s">
        <v>34</v>
      </c>
      <c r="M474" s="14"/>
      <c r="N474" s="11" t="s">
        <v>47</v>
      </c>
      <c r="O474" s="10" t="str">
        <f t="shared" si="3"/>
        <v>11/2024</v>
      </c>
      <c r="P474" s="10" t="str">
        <f t="shared" si="29"/>
        <v>11/2024</v>
      </c>
      <c r="Q474" s="15" t="str">
        <f t="array" ref="Q474">IFERROR(XLOOKUP(N474,'Classificação'!A:A,'Classificação'!B:B),"")</f>
        <v>DESPESAS NÃO OPERACIONAIS</v>
      </c>
      <c r="R474" s="15" t="str">
        <f t="array" ref="R474">IFERROR(XLOOKUP(Q474,'Classificação'!B:B,'Classificação'!C:C),"")</f>
        <v>RESULTADO NÃO OPERACIONAL (+/-)</v>
      </c>
      <c r="S474" s="15">
        <f t="shared" si="5"/>
        <v>22</v>
      </c>
      <c r="T474" s="15">
        <f t="shared" si="6"/>
        <v>11</v>
      </c>
      <c r="U474" s="15">
        <f t="shared" si="7"/>
        <v>2024</v>
      </c>
      <c r="V474" s="15">
        <f t="shared" si="8"/>
        <v>22</v>
      </c>
      <c r="W474" s="15">
        <f t="shared" si="9"/>
        <v>11</v>
      </c>
      <c r="X474" s="15">
        <f t="shared" si="10"/>
        <v>2024</v>
      </c>
    </row>
    <row r="475">
      <c r="A475" s="32">
        <v>45618.0</v>
      </c>
      <c r="B475" s="10"/>
      <c r="C475" s="9">
        <f t="shared" si="22"/>
        <v>45618</v>
      </c>
      <c r="D475" s="11" t="s">
        <v>44</v>
      </c>
      <c r="E475" s="11" t="s">
        <v>25</v>
      </c>
      <c r="F475" s="11" t="s">
        <v>45</v>
      </c>
      <c r="G475" s="11" t="s">
        <v>27</v>
      </c>
      <c r="H475" s="11" t="s">
        <v>337</v>
      </c>
      <c r="I475" s="12">
        <v>10.0</v>
      </c>
      <c r="J475" s="13"/>
      <c r="K475" s="13">
        <f t="shared" si="30"/>
        <v>10</v>
      </c>
      <c r="L475" s="11" t="s">
        <v>34</v>
      </c>
      <c r="M475" s="14"/>
      <c r="N475" s="11" t="s">
        <v>97</v>
      </c>
      <c r="O475" s="10" t="str">
        <f t="shared" si="3"/>
        <v>11/2024</v>
      </c>
      <c r="P475" s="10" t="str">
        <f t="shared" si="29"/>
        <v>11/2024</v>
      </c>
      <c r="Q475" s="15" t="str">
        <f t="array" ref="Q475">IFERROR(XLOOKUP(N475,'Classificação'!A:A,'Classificação'!B:B),"")</f>
        <v>TARIFAS DE PIX</v>
      </c>
      <c r="R475" s="15" t="str">
        <f t="array" ref="R475">IFERROR(XLOOKUP(Q475,'Classificação'!B:B,'Classificação'!C:C),"")</f>
        <v>(+/-) RESULTADO FINANCEIRO LÍQUIDO</v>
      </c>
      <c r="S475" s="15">
        <f t="shared" si="5"/>
        <v>22</v>
      </c>
      <c r="T475" s="15">
        <f t="shared" si="6"/>
        <v>11</v>
      </c>
      <c r="U475" s="15">
        <f t="shared" si="7"/>
        <v>2024</v>
      </c>
      <c r="V475" s="15">
        <f t="shared" si="8"/>
        <v>22</v>
      </c>
      <c r="W475" s="15">
        <f t="shared" si="9"/>
        <v>11</v>
      </c>
      <c r="X475" s="15">
        <f t="shared" si="10"/>
        <v>2024</v>
      </c>
    </row>
    <row r="476">
      <c r="A476" s="32">
        <v>45620.0</v>
      </c>
      <c r="B476" s="10"/>
      <c r="C476" s="9">
        <f t="shared" si="22"/>
        <v>45620</v>
      </c>
      <c r="D476" s="11" t="s">
        <v>43</v>
      </c>
      <c r="E476" s="11" t="s">
        <v>25</v>
      </c>
      <c r="F476" s="11" t="s">
        <v>26</v>
      </c>
      <c r="G476" s="11" t="s">
        <v>37</v>
      </c>
      <c r="H476" s="11" t="s">
        <v>402</v>
      </c>
      <c r="I476" s="12">
        <v>150.0</v>
      </c>
      <c r="J476" s="13"/>
      <c r="K476" s="13">
        <f t="shared" si="30"/>
        <v>150</v>
      </c>
      <c r="L476" s="11" t="s">
        <v>34</v>
      </c>
      <c r="M476" s="14"/>
      <c r="N476" s="11" t="s">
        <v>218</v>
      </c>
      <c r="O476" s="10" t="str">
        <f t="shared" si="3"/>
        <v>11/2024</v>
      </c>
      <c r="P476" s="10" t="str">
        <f t="shared" si="29"/>
        <v>11/2024</v>
      </c>
      <c r="Q476" s="15" t="str">
        <f t="array" ref="Q476">IFERROR(XLOOKUP(N476,'Classificação'!A:A,'Classificação'!B:B),"")</f>
        <v>DESPESAS COM VIAGENS</v>
      </c>
      <c r="R476" s="15" t="str">
        <f t="array" ref="R476">IFERROR(XLOOKUP(Q476,'Classificação'!B:B,'Classificação'!C:C),"")</f>
        <v>DESPESAS FIXAS (-)</v>
      </c>
      <c r="S476" s="15">
        <f t="shared" si="5"/>
        <v>24</v>
      </c>
      <c r="T476" s="15">
        <f t="shared" si="6"/>
        <v>11</v>
      </c>
      <c r="U476" s="15">
        <f t="shared" si="7"/>
        <v>2024</v>
      </c>
      <c r="V476" s="15">
        <f t="shared" si="8"/>
        <v>24</v>
      </c>
      <c r="W476" s="15">
        <f t="shared" si="9"/>
        <v>11</v>
      </c>
      <c r="X476" s="15">
        <f t="shared" si="10"/>
        <v>2024</v>
      </c>
    </row>
    <row r="477">
      <c r="A477" s="9">
        <v>45621.0</v>
      </c>
      <c r="B477" s="10"/>
      <c r="C477" s="9">
        <f t="shared" si="22"/>
        <v>45621</v>
      </c>
      <c r="D477" s="11" t="s">
        <v>36</v>
      </c>
      <c r="E477" s="11" t="s">
        <v>25</v>
      </c>
      <c r="F477" s="11" t="s">
        <v>32</v>
      </c>
      <c r="G477" s="11" t="s">
        <v>27</v>
      </c>
      <c r="I477" s="12">
        <v>2999.0</v>
      </c>
      <c r="J477" s="13"/>
      <c r="K477" s="13">
        <f t="shared" si="30"/>
        <v>2999</v>
      </c>
      <c r="L477" s="11" t="s">
        <v>29</v>
      </c>
      <c r="M477" s="14"/>
      <c r="N477" s="11" t="s">
        <v>38</v>
      </c>
      <c r="O477" s="10" t="str">
        <f t="shared" si="3"/>
        <v>11/2024</v>
      </c>
      <c r="P477" s="10" t="str">
        <f t="shared" si="29"/>
        <v>11/2024</v>
      </c>
      <c r="Q477" s="15" t="str">
        <f t="array" ref="Q477">IFERROR(XLOOKUP(N477,'Classificação'!A:A,'Classificação'!B:B),"")</f>
        <v>DESPESAS COM PESSOAL</v>
      </c>
      <c r="R477" s="15" t="str">
        <f t="array" ref="R477">IFERROR(XLOOKUP(Q477,'Classificação'!B:B,'Classificação'!C:C),"")</f>
        <v>DESPESAS FIXAS (-)</v>
      </c>
      <c r="S477" s="15">
        <f t="shared" si="5"/>
        <v>25</v>
      </c>
      <c r="T477" s="15">
        <f t="shared" si="6"/>
        <v>11</v>
      </c>
      <c r="U477" s="15">
        <f t="shared" si="7"/>
        <v>2024</v>
      </c>
      <c r="V477" s="15">
        <f t="shared" si="8"/>
        <v>25</v>
      </c>
      <c r="W477" s="15">
        <f t="shared" si="9"/>
        <v>11</v>
      </c>
      <c r="X477" s="15">
        <f t="shared" si="10"/>
        <v>2024</v>
      </c>
    </row>
    <row r="478">
      <c r="A478" s="9">
        <v>45621.0</v>
      </c>
      <c r="B478" s="10"/>
      <c r="C478" s="9">
        <f t="shared" si="22"/>
        <v>45621</v>
      </c>
      <c r="D478" s="11" t="s">
        <v>43</v>
      </c>
      <c r="E478" s="11" t="s">
        <v>25</v>
      </c>
      <c r="F478" s="11" t="s">
        <v>32</v>
      </c>
      <c r="G478" s="11" t="s">
        <v>27</v>
      </c>
      <c r="I478" s="12">
        <v>3000.0</v>
      </c>
      <c r="J478" s="13"/>
      <c r="K478" s="13">
        <f t="shared" si="30"/>
        <v>3000</v>
      </c>
      <c r="L478" s="11" t="s">
        <v>29</v>
      </c>
      <c r="M478" s="14"/>
      <c r="N478" s="11" t="s">
        <v>38</v>
      </c>
      <c r="O478" s="10" t="str">
        <f t="shared" si="3"/>
        <v>11/2024</v>
      </c>
      <c r="P478" s="10" t="str">
        <f t="shared" si="29"/>
        <v>11/2024</v>
      </c>
      <c r="Q478" s="15" t="str">
        <f t="array" ref="Q478">IFERROR(XLOOKUP(N478,'Classificação'!A:A,'Classificação'!B:B),"")</f>
        <v>DESPESAS COM PESSOAL</v>
      </c>
      <c r="R478" s="15" t="str">
        <f t="array" ref="R478">IFERROR(XLOOKUP(Q478,'Classificação'!B:B,'Classificação'!C:C),"")</f>
        <v>DESPESAS FIXAS (-)</v>
      </c>
      <c r="S478" s="15">
        <f t="shared" si="5"/>
        <v>25</v>
      </c>
      <c r="T478" s="15">
        <f t="shared" si="6"/>
        <v>11</v>
      </c>
      <c r="U478" s="15">
        <f t="shared" si="7"/>
        <v>2024</v>
      </c>
      <c r="V478" s="15">
        <f t="shared" si="8"/>
        <v>25</v>
      </c>
      <c r="W478" s="15">
        <f t="shared" si="9"/>
        <v>11</v>
      </c>
      <c r="X478" s="15">
        <f t="shared" si="10"/>
        <v>2024</v>
      </c>
    </row>
    <row r="479">
      <c r="A479" s="9">
        <v>45621.0</v>
      </c>
      <c r="B479" s="10"/>
      <c r="C479" s="9">
        <f t="shared" si="22"/>
        <v>45621</v>
      </c>
      <c r="D479" s="11" t="s">
        <v>208</v>
      </c>
      <c r="E479" s="11" t="s">
        <v>25</v>
      </c>
      <c r="F479" s="11" t="s">
        <v>40</v>
      </c>
      <c r="G479" s="11" t="s">
        <v>27</v>
      </c>
      <c r="H479" s="11" t="s">
        <v>209</v>
      </c>
      <c r="I479" s="12">
        <v>171.72</v>
      </c>
      <c r="J479" s="13"/>
      <c r="K479" s="13">
        <f t="shared" si="30"/>
        <v>171.72</v>
      </c>
      <c r="L479" s="11" t="s">
        <v>29</v>
      </c>
      <c r="M479" s="14"/>
      <c r="N479" s="11" t="s">
        <v>210</v>
      </c>
      <c r="O479" s="10" t="str">
        <f t="shared" si="3"/>
        <v>11/2024</v>
      </c>
      <c r="P479" s="10" t="str">
        <f t="shared" si="29"/>
        <v>11/2024</v>
      </c>
      <c r="Q479" s="15" t="str">
        <f t="array" ref="Q479">IFERROR(XLOOKUP(N479,'Classificação'!A:A,'Classificação'!B:B),"")</f>
        <v>DESPESAS COM OCUPAÇÃO</v>
      </c>
      <c r="R479" s="15" t="str">
        <f t="array" ref="R479">IFERROR(XLOOKUP(Q479,'Classificação'!B:B,'Classificação'!C:C),"")</f>
        <v>DESPESAS FIXAS (-)</v>
      </c>
      <c r="S479" s="15">
        <f t="shared" si="5"/>
        <v>25</v>
      </c>
      <c r="T479" s="15">
        <f t="shared" si="6"/>
        <v>11</v>
      </c>
      <c r="U479" s="15">
        <f t="shared" si="7"/>
        <v>2024</v>
      </c>
      <c r="V479" s="15">
        <f t="shared" si="8"/>
        <v>25</v>
      </c>
      <c r="W479" s="15">
        <f t="shared" si="9"/>
        <v>11</v>
      </c>
      <c r="X479" s="15">
        <f t="shared" si="10"/>
        <v>2024</v>
      </c>
    </row>
    <row r="480">
      <c r="A480" s="9">
        <v>45624.0</v>
      </c>
      <c r="B480" s="10"/>
      <c r="C480" s="9">
        <f t="shared" si="22"/>
        <v>45624</v>
      </c>
      <c r="D480" s="11" t="s">
        <v>74</v>
      </c>
      <c r="E480" s="11" t="s">
        <v>25</v>
      </c>
      <c r="F480" s="11" t="s">
        <v>32</v>
      </c>
      <c r="G480" s="11" t="s">
        <v>27</v>
      </c>
      <c r="I480" s="12">
        <v>330.0</v>
      </c>
      <c r="J480" s="13"/>
      <c r="K480" s="13">
        <f t="shared" si="30"/>
        <v>330</v>
      </c>
      <c r="L480" s="11" t="s">
        <v>29</v>
      </c>
      <c r="M480" s="14"/>
      <c r="N480" s="11" t="s">
        <v>204</v>
      </c>
      <c r="O480" s="10" t="str">
        <f t="shared" si="3"/>
        <v>11/2024</v>
      </c>
      <c r="P480" s="10" t="str">
        <f t="shared" si="29"/>
        <v>11/2024</v>
      </c>
      <c r="Q480" s="15" t="str">
        <f t="array" ref="Q480">IFERROR(XLOOKUP(N480,'Classificação'!A:A,'Classificação'!B:B),"")</f>
        <v>DESPESAS COM PESSOAL</v>
      </c>
      <c r="R480" s="15" t="str">
        <f t="array" ref="R480">IFERROR(XLOOKUP(Q480,'Classificação'!B:B,'Classificação'!C:C),"")</f>
        <v>DESPESAS FIXAS (-)</v>
      </c>
      <c r="S480" s="15">
        <f t="shared" si="5"/>
        <v>28</v>
      </c>
      <c r="T480" s="15">
        <f t="shared" si="6"/>
        <v>11</v>
      </c>
      <c r="U480" s="15">
        <f t="shared" si="7"/>
        <v>2024</v>
      </c>
      <c r="V480" s="15">
        <f t="shared" si="8"/>
        <v>28</v>
      </c>
      <c r="W480" s="15">
        <f t="shared" si="9"/>
        <v>11</v>
      </c>
      <c r="X480" s="15">
        <f t="shared" si="10"/>
        <v>2024</v>
      </c>
    </row>
    <row r="481">
      <c r="A481" s="9">
        <v>45624.0</v>
      </c>
      <c r="B481" s="10"/>
      <c r="C481" s="9">
        <f t="shared" si="22"/>
        <v>45624</v>
      </c>
      <c r="D481" s="11" t="s">
        <v>80</v>
      </c>
      <c r="E481" s="11" t="s">
        <v>25</v>
      </c>
      <c r="F481" s="11" t="s">
        <v>40</v>
      </c>
      <c r="G481" s="11" t="s">
        <v>27</v>
      </c>
      <c r="I481" s="12">
        <v>330.0</v>
      </c>
      <c r="J481" s="13"/>
      <c r="K481" s="13">
        <f t="shared" si="30"/>
        <v>330</v>
      </c>
      <c r="L481" s="11" t="s">
        <v>29</v>
      </c>
      <c r="M481" s="14"/>
      <c r="N481" s="11" t="s">
        <v>204</v>
      </c>
      <c r="O481" s="10" t="str">
        <f t="shared" si="3"/>
        <v>11/2024</v>
      </c>
      <c r="P481" s="10" t="str">
        <f t="shared" si="29"/>
        <v>11/2024</v>
      </c>
      <c r="Q481" s="15" t="str">
        <f t="array" ref="Q481">IFERROR(XLOOKUP(N481,'Classificação'!A:A,'Classificação'!B:B),"")</f>
        <v>DESPESAS COM PESSOAL</v>
      </c>
      <c r="R481" s="15" t="str">
        <f t="array" ref="R481">IFERROR(XLOOKUP(Q481,'Classificação'!B:B,'Classificação'!C:C),"")</f>
        <v>DESPESAS FIXAS (-)</v>
      </c>
      <c r="S481" s="15">
        <f t="shared" si="5"/>
        <v>28</v>
      </c>
      <c r="T481" s="15">
        <f t="shared" si="6"/>
        <v>11</v>
      </c>
      <c r="U481" s="15">
        <f t="shared" si="7"/>
        <v>2024</v>
      </c>
      <c r="V481" s="15">
        <f t="shared" si="8"/>
        <v>28</v>
      </c>
      <c r="W481" s="15">
        <f t="shared" si="9"/>
        <v>11</v>
      </c>
      <c r="X481" s="15">
        <f t="shared" si="10"/>
        <v>2024</v>
      </c>
    </row>
    <row r="482">
      <c r="A482" s="9">
        <v>45624.0</v>
      </c>
      <c r="B482" s="10"/>
      <c r="C482" s="9">
        <f t="shared" si="22"/>
        <v>45624</v>
      </c>
      <c r="D482" s="11" t="s">
        <v>83</v>
      </c>
      <c r="E482" s="11" t="s">
        <v>25</v>
      </c>
      <c r="F482" s="11" t="s">
        <v>40</v>
      </c>
      <c r="G482" s="11" t="s">
        <v>27</v>
      </c>
      <c r="I482" s="12">
        <v>330.0</v>
      </c>
      <c r="J482" s="13"/>
      <c r="K482" s="13">
        <f t="shared" si="30"/>
        <v>330</v>
      </c>
      <c r="L482" s="11" t="s">
        <v>29</v>
      </c>
      <c r="M482" s="14"/>
      <c r="N482" s="11" t="s">
        <v>204</v>
      </c>
      <c r="O482" s="10" t="str">
        <f t="shared" si="3"/>
        <v>11/2024</v>
      </c>
      <c r="P482" s="10" t="str">
        <f t="shared" si="29"/>
        <v>11/2024</v>
      </c>
      <c r="Q482" s="15" t="str">
        <f t="array" ref="Q482">IFERROR(XLOOKUP(N482,'Classificação'!A:A,'Classificação'!B:B),"")</f>
        <v>DESPESAS COM PESSOAL</v>
      </c>
      <c r="R482" s="15" t="str">
        <f t="array" ref="R482">IFERROR(XLOOKUP(Q482,'Classificação'!B:B,'Classificação'!C:C),"")</f>
        <v>DESPESAS FIXAS (-)</v>
      </c>
      <c r="S482" s="15">
        <f t="shared" si="5"/>
        <v>28</v>
      </c>
      <c r="T482" s="15">
        <f t="shared" si="6"/>
        <v>11</v>
      </c>
      <c r="U482" s="15">
        <f t="shared" si="7"/>
        <v>2024</v>
      </c>
      <c r="V482" s="15">
        <f t="shared" si="8"/>
        <v>28</v>
      </c>
      <c r="W482" s="15">
        <f t="shared" si="9"/>
        <v>11</v>
      </c>
      <c r="X482" s="15">
        <f t="shared" si="10"/>
        <v>2024</v>
      </c>
    </row>
    <row r="483">
      <c r="A483" s="9">
        <v>45625.0</v>
      </c>
      <c r="B483" s="10"/>
      <c r="C483" s="9">
        <f t="shared" si="22"/>
        <v>45625</v>
      </c>
      <c r="D483" s="11" t="s">
        <v>74</v>
      </c>
      <c r="E483" s="11" t="s">
        <v>25</v>
      </c>
      <c r="F483" s="11" t="s">
        <v>32</v>
      </c>
      <c r="G483" s="11" t="s">
        <v>27</v>
      </c>
      <c r="H483" s="11" t="s">
        <v>403</v>
      </c>
      <c r="I483" s="12">
        <v>993.71</v>
      </c>
      <c r="J483" s="13"/>
      <c r="K483" s="13">
        <f t="shared" si="30"/>
        <v>993.71</v>
      </c>
      <c r="L483" s="11" t="s">
        <v>29</v>
      </c>
      <c r="M483" s="14"/>
      <c r="N483" s="11" t="s">
        <v>38</v>
      </c>
      <c r="O483" s="10" t="str">
        <f t="shared" si="3"/>
        <v>11/2024</v>
      </c>
      <c r="P483" s="10" t="str">
        <f t="shared" si="29"/>
        <v>11/2024</v>
      </c>
      <c r="Q483" s="15" t="str">
        <f t="array" ref="Q483">IFERROR(XLOOKUP(N483,'Classificação'!A:A,'Classificação'!B:B),"")</f>
        <v>DESPESAS COM PESSOAL</v>
      </c>
      <c r="R483" s="15" t="str">
        <f t="array" ref="R483">IFERROR(XLOOKUP(Q483,'Classificação'!B:B,'Classificação'!C:C),"")</f>
        <v>DESPESAS FIXAS (-)</v>
      </c>
      <c r="S483" s="15">
        <f t="shared" si="5"/>
        <v>29</v>
      </c>
      <c r="T483" s="15">
        <f t="shared" si="6"/>
        <v>11</v>
      </c>
      <c r="U483" s="15">
        <f t="shared" si="7"/>
        <v>2024</v>
      </c>
      <c r="V483" s="15">
        <f t="shared" si="8"/>
        <v>29</v>
      </c>
      <c r="W483" s="15">
        <f t="shared" si="9"/>
        <v>11</v>
      </c>
      <c r="X483" s="15">
        <f t="shared" si="10"/>
        <v>2024</v>
      </c>
    </row>
    <row r="484">
      <c r="A484" s="32">
        <v>45625.0</v>
      </c>
      <c r="B484" s="10"/>
      <c r="C484" s="9">
        <f t="shared" si="22"/>
        <v>45625</v>
      </c>
      <c r="D484" s="11" t="s">
        <v>74</v>
      </c>
      <c r="E484" s="11" t="s">
        <v>25</v>
      </c>
      <c r="F484" s="11" t="s">
        <v>32</v>
      </c>
      <c r="G484" s="11" t="s">
        <v>27</v>
      </c>
      <c r="H484" s="11" t="s">
        <v>404</v>
      </c>
      <c r="I484" s="12">
        <v>308.33</v>
      </c>
      <c r="J484" s="13"/>
      <c r="K484" s="13">
        <f t="shared" si="30"/>
        <v>308.33</v>
      </c>
      <c r="L484" s="11" t="s">
        <v>53</v>
      </c>
      <c r="M484" s="17">
        <v>45323.0</v>
      </c>
      <c r="N484" s="11" t="s">
        <v>405</v>
      </c>
      <c r="O484" s="10" t="str">
        <f t="shared" si="3"/>
        <v>11/2024</v>
      </c>
      <c r="P484" s="10" t="str">
        <f t="shared" si="29"/>
        <v>11/2024</v>
      </c>
      <c r="Q484" s="15" t="str">
        <f t="array" ref="Q484">IFERROR(XLOOKUP(N484,'Classificação'!A:A,'Classificação'!B:B),"")</f>
        <v>DESPESAS COM PESSOAL</v>
      </c>
      <c r="R484" s="15" t="str">
        <f t="array" ref="R484">IFERROR(XLOOKUP(Q484,'Classificação'!B:B,'Classificação'!C:C),"")</f>
        <v>DESPESAS FIXAS (-)</v>
      </c>
      <c r="S484" s="15">
        <f t="shared" si="5"/>
        <v>29</v>
      </c>
      <c r="T484" s="15">
        <f t="shared" si="6"/>
        <v>11</v>
      </c>
      <c r="U484" s="15">
        <f t="shared" si="7"/>
        <v>2024</v>
      </c>
      <c r="V484" s="15">
        <f t="shared" si="8"/>
        <v>29</v>
      </c>
      <c r="W484" s="15">
        <f t="shared" si="9"/>
        <v>11</v>
      </c>
      <c r="X484" s="15">
        <f t="shared" si="10"/>
        <v>2024</v>
      </c>
    </row>
    <row r="485">
      <c r="A485" s="39">
        <v>45625.0</v>
      </c>
      <c r="B485" s="30"/>
      <c r="C485" s="27">
        <f t="shared" si="22"/>
        <v>45625</v>
      </c>
      <c r="D485" s="28" t="s">
        <v>74</v>
      </c>
      <c r="E485" s="29" t="s">
        <v>25</v>
      </c>
      <c r="F485" s="28" t="s">
        <v>32</v>
      </c>
      <c r="G485" s="29" t="s">
        <v>37</v>
      </c>
      <c r="H485" s="29" t="s">
        <v>406</v>
      </c>
      <c r="I485" s="24">
        <v>143.89</v>
      </c>
      <c r="J485" s="34"/>
      <c r="K485" s="13">
        <f t="shared" si="30"/>
        <v>143.89</v>
      </c>
      <c r="L485" s="28" t="s">
        <v>53</v>
      </c>
      <c r="M485" s="40">
        <v>45323.0</v>
      </c>
      <c r="N485" s="28" t="s">
        <v>405</v>
      </c>
      <c r="O485" s="10" t="str">
        <f t="shared" si="3"/>
        <v>11/2024</v>
      </c>
      <c r="P485" s="10" t="str">
        <f t="shared" si="29"/>
        <v>11/2024</v>
      </c>
      <c r="Q485" s="15" t="str">
        <f t="array" ref="Q485">IFERROR(XLOOKUP(N485,'Classificação'!A:A,'Classificação'!B:B),"")</f>
        <v>DESPESAS COM PESSOAL</v>
      </c>
      <c r="R485" s="15" t="str">
        <f t="array" ref="R485">IFERROR(XLOOKUP(Q485,'Classificação'!B:B,'Classificação'!C:C),"")</f>
        <v>DESPESAS FIXAS (-)</v>
      </c>
      <c r="S485" s="15">
        <f t="shared" si="5"/>
        <v>29</v>
      </c>
      <c r="T485" s="15">
        <f t="shared" si="6"/>
        <v>11</v>
      </c>
      <c r="U485" s="15">
        <f t="shared" si="7"/>
        <v>2024</v>
      </c>
      <c r="V485" s="15">
        <f t="shared" si="8"/>
        <v>29</v>
      </c>
      <c r="W485" s="15">
        <f t="shared" si="9"/>
        <v>11</v>
      </c>
      <c r="X485" s="15">
        <f t="shared" si="10"/>
        <v>2024</v>
      </c>
    </row>
    <row r="486">
      <c r="A486" s="9">
        <v>45625.0</v>
      </c>
      <c r="B486" s="10"/>
      <c r="C486" s="9">
        <f t="shared" si="22"/>
        <v>45625</v>
      </c>
      <c r="D486" s="11" t="s">
        <v>80</v>
      </c>
      <c r="E486" s="11" t="s">
        <v>25</v>
      </c>
      <c r="F486" s="11" t="s">
        <v>32</v>
      </c>
      <c r="G486" s="11" t="s">
        <v>27</v>
      </c>
      <c r="H486" s="11" t="s">
        <v>407</v>
      </c>
      <c r="I486" s="12">
        <v>1236.62</v>
      </c>
      <c r="J486" s="13"/>
      <c r="K486" s="13">
        <f t="shared" si="30"/>
        <v>1236.62</v>
      </c>
      <c r="L486" s="11" t="s">
        <v>29</v>
      </c>
      <c r="M486" s="14"/>
      <c r="N486" s="11" t="s">
        <v>38</v>
      </c>
      <c r="O486" s="10" t="str">
        <f t="shared" si="3"/>
        <v>11/2024</v>
      </c>
      <c r="P486" s="10" t="str">
        <f t="shared" si="29"/>
        <v>11/2024</v>
      </c>
      <c r="Q486" s="15" t="str">
        <f t="array" ref="Q486">IFERROR(XLOOKUP(N486,'Classificação'!A:A,'Classificação'!B:B),"")</f>
        <v>DESPESAS COM PESSOAL</v>
      </c>
      <c r="R486" s="15" t="str">
        <f t="array" ref="R486">IFERROR(XLOOKUP(Q486,'Classificação'!B:B,'Classificação'!C:C),"")</f>
        <v>DESPESAS FIXAS (-)</v>
      </c>
      <c r="S486" s="15">
        <f t="shared" si="5"/>
        <v>29</v>
      </c>
      <c r="T486" s="15">
        <f t="shared" si="6"/>
        <v>11</v>
      </c>
      <c r="U486" s="15">
        <f t="shared" si="7"/>
        <v>2024</v>
      </c>
      <c r="V486" s="15">
        <f t="shared" si="8"/>
        <v>29</v>
      </c>
      <c r="W486" s="15">
        <f t="shared" si="9"/>
        <v>11</v>
      </c>
      <c r="X486" s="15">
        <f t="shared" si="10"/>
        <v>2024</v>
      </c>
    </row>
    <row r="487">
      <c r="A487" s="32">
        <v>45625.0</v>
      </c>
      <c r="B487" s="10"/>
      <c r="C487" s="9">
        <f t="shared" si="22"/>
        <v>45625</v>
      </c>
      <c r="D487" s="11" t="s">
        <v>80</v>
      </c>
      <c r="E487" s="11" t="s">
        <v>25</v>
      </c>
      <c r="F487" s="11" t="s">
        <v>32</v>
      </c>
      <c r="G487" s="11" t="s">
        <v>27</v>
      </c>
      <c r="H487" s="11" t="s">
        <v>404</v>
      </c>
      <c r="I487" s="12">
        <v>900.38</v>
      </c>
      <c r="J487" s="13"/>
      <c r="K487" s="13">
        <f t="shared" si="30"/>
        <v>900.38</v>
      </c>
      <c r="L487" s="11" t="s">
        <v>53</v>
      </c>
      <c r="M487" s="17">
        <v>45323.0</v>
      </c>
      <c r="N487" s="11" t="s">
        <v>405</v>
      </c>
      <c r="O487" s="10" t="str">
        <f t="shared" si="3"/>
        <v>11/2024</v>
      </c>
      <c r="P487" s="10" t="str">
        <f t="shared" si="29"/>
        <v>11/2024</v>
      </c>
      <c r="Q487" s="15" t="str">
        <f t="array" ref="Q487">IFERROR(XLOOKUP(N487,'Classificação'!A:A,'Classificação'!B:B),"")</f>
        <v>DESPESAS COM PESSOAL</v>
      </c>
      <c r="R487" s="15" t="str">
        <f t="array" ref="R487">IFERROR(XLOOKUP(Q487,'Classificação'!B:B,'Classificação'!C:C),"")</f>
        <v>DESPESAS FIXAS (-)</v>
      </c>
      <c r="S487" s="15">
        <f t="shared" si="5"/>
        <v>29</v>
      </c>
      <c r="T487" s="15">
        <f t="shared" si="6"/>
        <v>11</v>
      </c>
      <c r="U487" s="15">
        <f t="shared" si="7"/>
        <v>2024</v>
      </c>
      <c r="V487" s="15">
        <f t="shared" si="8"/>
        <v>29</v>
      </c>
      <c r="W487" s="15">
        <f t="shared" si="9"/>
        <v>11</v>
      </c>
      <c r="X487" s="15">
        <f t="shared" si="10"/>
        <v>2024</v>
      </c>
    </row>
    <row r="488">
      <c r="A488" s="9">
        <v>45625.0</v>
      </c>
      <c r="B488" s="10"/>
      <c r="C488" s="9">
        <f t="shared" si="22"/>
        <v>45625</v>
      </c>
      <c r="D488" s="11" t="s">
        <v>83</v>
      </c>
      <c r="E488" s="11" t="s">
        <v>25</v>
      </c>
      <c r="F488" s="11" t="s">
        <v>32</v>
      </c>
      <c r="G488" s="11" t="s">
        <v>27</v>
      </c>
      <c r="I488" s="12">
        <v>1497.62</v>
      </c>
      <c r="J488" s="13"/>
      <c r="K488" s="13">
        <f t="shared" si="30"/>
        <v>1497.62</v>
      </c>
      <c r="L488" s="11" t="s">
        <v>29</v>
      </c>
      <c r="M488" s="14"/>
      <c r="N488" s="11" t="s">
        <v>38</v>
      </c>
      <c r="O488" s="10" t="str">
        <f t="shared" si="3"/>
        <v>11/2024</v>
      </c>
      <c r="P488" s="10" t="str">
        <f t="shared" si="29"/>
        <v>11/2024</v>
      </c>
      <c r="Q488" s="15" t="str">
        <f t="array" ref="Q488">IFERROR(XLOOKUP(N488,'Classificação'!A:A,'Classificação'!B:B),"")</f>
        <v>DESPESAS COM PESSOAL</v>
      </c>
      <c r="R488" s="15" t="str">
        <f t="array" ref="R488">IFERROR(XLOOKUP(Q488,'Classificação'!B:B,'Classificação'!C:C),"")</f>
        <v>DESPESAS FIXAS (-)</v>
      </c>
      <c r="S488" s="15">
        <f t="shared" si="5"/>
        <v>29</v>
      </c>
      <c r="T488" s="15">
        <f t="shared" si="6"/>
        <v>11</v>
      </c>
      <c r="U488" s="15">
        <f t="shared" si="7"/>
        <v>2024</v>
      </c>
      <c r="V488" s="15">
        <f t="shared" si="8"/>
        <v>29</v>
      </c>
      <c r="W488" s="15">
        <f t="shared" si="9"/>
        <v>11</v>
      </c>
      <c r="X488" s="15">
        <f t="shared" si="10"/>
        <v>2024</v>
      </c>
    </row>
    <row r="489">
      <c r="A489" s="32">
        <v>45625.0</v>
      </c>
      <c r="B489" s="10"/>
      <c r="C489" s="9">
        <f t="shared" si="22"/>
        <v>45625</v>
      </c>
      <c r="D489" s="11" t="s">
        <v>83</v>
      </c>
      <c r="E489" s="11" t="s">
        <v>25</v>
      </c>
      <c r="F489" s="11" t="s">
        <v>32</v>
      </c>
      <c r="G489" s="11" t="s">
        <v>27</v>
      </c>
      <c r="H489" s="11" t="s">
        <v>404</v>
      </c>
      <c r="I489" s="12">
        <v>594.59</v>
      </c>
      <c r="J489" s="13"/>
      <c r="K489" s="13">
        <f t="shared" si="30"/>
        <v>594.59</v>
      </c>
      <c r="L489" s="11" t="s">
        <v>53</v>
      </c>
      <c r="M489" s="17">
        <v>45323.0</v>
      </c>
      <c r="N489" s="11" t="s">
        <v>405</v>
      </c>
      <c r="O489" s="10" t="str">
        <f t="shared" si="3"/>
        <v>11/2024</v>
      </c>
      <c r="P489" s="10" t="str">
        <f t="shared" si="29"/>
        <v>11/2024</v>
      </c>
      <c r="Q489" s="15" t="str">
        <f t="array" ref="Q489">IFERROR(XLOOKUP(N489,'Classificação'!A:A,'Classificação'!B:B),"")</f>
        <v>DESPESAS COM PESSOAL</v>
      </c>
      <c r="R489" s="15" t="str">
        <f t="array" ref="R489">IFERROR(XLOOKUP(Q489,'Classificação'!B:B,'Classificação'!C:C),"")</f>
        <v>DESPESAS FIXAS (-)</v>
      </c>
      <c r="S489" s="15">
        <f t="shared" si="5"/>
        <v>29</v>
      </c>
      <c r="T489" s="15">
        <f t="shared" si="6"/>
        <v>11</v>
      </c>
      <c r="U489" s="15">
        <f t="shared" si="7"/>
        <v>2024</v>
      </c>
      <c r="V489" s="15">
        <f t="shared" si="8"/>
        <v>29</v>
      </c>
      <c r="W489" s="15">
        <f t="shared" si="9"/>
        <v>11</v>
      </c>
      <c r="X489" s="15">
        <f t="shared" si="10"/>
        <v>2024</v>
      </c>
    </row>
    <row r="490">
      <c r="A490" s="9">
        <v>45625.0</v>
      </c>
      <c r="B490" s="10"/>
      <c r="C490" s="9">
        <f t="shared" si="22"/>
        <v>45625</v>
      </c>
      <c r="D490" s="11" t="s">
        <v>79</v>
      </c>
      <c r="E490" s="11" t="s">
        <v>25</v>
      </c>
      <c r="F490" s="11" t="s">
        <v>26</v>
      </c>
      <c r="G490" s="11" t="s">
        <v>37</v>
      </c>
      <c r="I490" s="12">
        <v>750.0</v>
      </c>
      <c r="J490" s="13"/>
      <c r="K490" s="13">
        <f t="shared" si="30"/>
        <v>750</v>
      </c>
      <c r="L490" s="11" t="s">
        <v>29</v>
      </c>
      <c r="M490" s="14"/>
      <c r="N490" s="11" t="s">
        <v>38</v>
      </c>
      <c r="O490" s="10" t="str">
        <f t="shared" si="3"/>
        <v>11/2024</v>
      </c>
      <c r="P490" s="10" t="str">
        <f t="shared" si="29"/>
        <v>11/2024</v>
      </c>
      <c r="Q490" s="15" t="str">
        <f t="array" ref="Q490">IFERROR(XLOOKUP(N490,'Classificação'!A:A,'Classificação'!B:B),"")</f>
        <v>DESPESAS COM PESSOAL</v>
      </c>
      <c r="R490" s="15" t="str">
        <f t="array" ref="R490">IFERROR(XLOOKUP(Q490,'Classificação'!B:B,'Classificação'!C:C),"")</f>
        <v>DESPESAS FIXAS (-)</v>
      </c>
      <c r="S490" s="15">
        <f t="shared" si="5"/>
        <v>29</v>
      </c>
      <c r="T490" s="15">
        <f t="shared" si="6"/>
        <v>11</v>
      </c>
      <c r="U490" s="15">
        <f t="shared" si="7"/>
        <v>2024</v>
      </c>
      <c r="V490" s="15">
        <f t="shared" si="8"/>
        <v>29</v>
      </c>
      <c r="W490" s="15">
        <f t="shared" si="9"/>
        <v>11</v>
      </c>
      <c r="X490" s="15">
        <f t="shared" si="10"/>
        <v>2024</v>
      </c>
    </row>
    <row r="491">
      <c r="A491" s="9">
        <v>45625.0</v>
      </c>
      <c r="B491" s="10"/>
      <c r="C491" s="9">
        <f t="shared" si="22"/>
        <v>45625</v>
      </c>
      <c r="D491" s="11" t="s">
        <v>223</v>
      </c>
      <c r="E491" s="11" t="s">
        <v>25</v>
      </c>
      <c r="F491" s="11" t="s">
        <v>32</v>
      </c>
      <c r="G491" s="11" t="s">
        <v>27</v>
      </c>
      <c r="I491" s="12">
        <v>100.0</v>
      </c>
      <c r="J491" s="13"/>
      <c r="K491" s="13">
        <f t="shared" si="30"/>
        <v>100</v>
      </c>
      <c r="L491" s="11" t="s">
        <v>29</v>
      </c>
      <c r="M491" s="14"/>
      <c r="N491" s="11" t="s">
        <v>224</v>
      </c>
      <c r="O491" s="10" t="str">
        <f t="shared" si="3"/>
        <v>11/2024</v>
      </c>
      <c r="P491" s="10" t="str">
        <f t="shared" si="29"/>
        <v>11/2024</v>
      </c>
      <c r="Q491" s="15" t="str">
        <f t="array" ref="Q491">IFERROR(XLOOKUP(N491,'Classificação'!A:A,'Classificação'!B:B),"")</f>
        <v>DESPESAS ADMINISTRATIVAS</v>
      </c>
      <c r="R491" s="15" t="str">
        <f t="array" ref="R491">IFERROR(XLOOKUP(Q491,'Classificação'!B:B,'Classificação'!C:C),"")</f>
        <v>DESPESAS FIXAS (-)</v>
      </c>
      <c r="S491" s="15">
        <f t="shared" si="5"/>
        <v>29</v>
      </c>
      <c r="T491" s="15">
        <f t="shared" si="6"/>
        <v>11</v>
      </c>
      <c r="U491" s="15">
        <f t="shared" si="7"/>
        <v>2024</v>
      </c>
      <c r="V491" s="15">
        <f t="shared" si="8"/>
        <v>29</v>
      </c>
      <c r="W491" s="15">
        <f t="shared" si="9"/>
        <v>11</v>
      </c>
      <c r="X491" s="15">
        <f t="shared" si="10"/>
        <v>2024</v>
      </c>
    </row>
    <row r="492">
      <c r="A492" s="32">
        <v>45625.0</v>
      </c>
      <c r="B492" s="10"/>
      <c r="C492" s="9">
        <f t="shared" si="22"/>
        <v>45625</v>
      </c>
      <c r="D492" s="11" t="s">
        <v>79</v>
      </c>
      <c r="E492" s="11" t="s">
        <v>25</v>
      </c>
      <c r="F492" s="11" t="s">
        <v>32</v>
      </c>
      <c r="G492" s="11" t="s">
        <v>37</v>
      </c>
      <c r="H492" s="11" t="s">
        <v>404</v>
      </c>
      <c r="I492" s="12">
        <v>750.0</v>
      </c>
      <c r="J492" s="13"/>
      <c r="K492" s="13">
        <f t="shared" si="30"/>
        <v>750</v>
      </c>
      <c r="L492" s="11" t="s">
        <v>53</v>
      </c>
      <c r="M492" s="17">
        <v>45323.0</v>
      </c>
      <c r="N492" s="11" t="s">
        <v>405</v>
      </c>
      <c r="O492" s="10" t="str">
        <f t="shared" si="3"/>
        <v>11/2024</v>
      </c>
      <c r="P492" s="10" t="str">
        <f t="shared" si="29"/>
        <v>11/2024</v>
      </c>
      <c r="Q492" s="15" t="str">
        <f t="array" ref="Q492">IFERROR(XLOOKUP(N492,'Classificação'!A:A,'Classificação'!B:B),"")</f>
        <v>DESPESAS COM PESSOAL</v>
      </c>
      <c r="R492" s="15" t="str">
        <f t="array" ref="R492">IFERROR(XLOOKUP(Q492,'Classificação'!B:B,'Classificação'!C:C),"")</f>
        <v>DESPESAS FIXAS (-)</v>
      </c>
      <c r="S492" s="15">
        <f t="shared" si="5"/>
        <v>29</v>
      </c>
      <c r="T492" s="15">
        <f t="shared" si="6"/>
        <v>11</v>
      </c>
      <c r="U492" s="15">
        <f t="shared" si="7"/>
        <v>2024</v>
      </c>
      <c r="V492" s="15">
        <f t="shared" si="8"/>
        <v>29</v>
      </c>
      <c r="W492" s="15">
        <f t="shared" si="9"/>
        <v>11</v>
      </c>
      <c r="X492" s="15">
        <f t="shared" si="10"/>
        <v>2024</v>
      </c>
    </row>
    <row r="493">
      <c r="A493" s="27">
        <v>45625.0</v>
      </c>
      <c r="B493" s="30"/>
      <c r="C493" s="27">
        <f t="shared" si="22"/>
        <v>45625</v>
      </c>
      <c r="D493" s="29" t="s">
        <v>44</v>
      </c>
      <c r="E493" s="28" t="s">
        <v>25</v>
      </c>
      <c r="F493" s="29" t="s">
        <v>45</v>
      </c>
      <c r="G493" s="28" t="s">
        <v>27</v>
      </c>
      <c r="H493" s="29" t="s">
        <v>238</v>
      </c>
      <c r="I493" s="24">
        <v>48.67</v>
      </c>
      <c r="J493" s="34"/>
      <c r="K493" s="37">
        <f>IF(E493="pago",(I493-J493),"")</f>
        <v>48.67</v>
      </c>
      <c r="L493" s="29" t="s">
        <v>34</v>
      </c>
      <c r="M493" s="41"/>
      <c r="N493" s="29" t="s">
        <v>97</v>
      </c>
      <c r="O493" s="10" t="str">
        <f t="shared" si="3"/>
        <v>11/2024</v>
      </c>
      <c r="P493" s="10" t="str">
        <f t="shared" si="29"/>
        <v>11/2024</v>
      </c>
      <c r="Q493" s="15" t="str">
        <f t="array" ref="Q493">IFERROR(XLOOKUP(N493,'Classificação'!A:A,'Classificação'!B:B),"")</f>
        <v>TARIFAS DE PIX</v>
      </c>
      <c r="R493" s="15" t="str">
        <f t="array" ref="R493">IFERROR(XLOOKUP(Q493,'Classificação'!B:B,'Classificação'!C:C),"")</f>
        <v>(+/-) RESULTADO FINANCEIRO LÍQUIDO</v>
      </c>
      <c r="S493" s="15">
        <f t="shared" si="5"/>
        <v>29</v>
      </c>
      <c r="T493" s="15">
        <f t="shared" si="6"/>
        <v>11</v>
      </c>
      <c r="U493" s="15">
        <f t="shared" si="7"/>
        <v>2024</v>
      </c>
      <c r="V493" s="15">
        <f t="shared" si="8"/>
        <v>29</v>
      </c>
      <c r="W493" s="15">
        <f t="shared" si="9"/>
        <v>11</v>
      </c>
      <c r="X493" s="15">
        <f t="shared" si="10"/>
        <v>2024</v>
      </c>
    </row>
    <row r="494">
      <c r="A494" s="9">
        <v>45625.0</v>
      </c>
      <c r="B494" s="10"/>
      <c r="C494" s="9">
        <f t="shared" si="22"/>
        <v>45625</v>
      </c>
      <c r="D494" s="11" t="s">
        <v>221</v>
      </c>
      <c r="E494" s="11" t="s">
        <v>25</v>
      </c>
      <c r="F494" s="11" t="s">
        <v>32</v>
      </c>
      <c r="G494" s="11" t="s">
        <v>27</v>
      </c>
      <c r="H494" s="11" t="s">
        <v>222</v>
      </c>
      <c r="I494" s="12">
        <v>380.54</v>
      </c>
      <c r="J494" s="13"/>
      <c r="K494" s="13">
        <f t="shared" ref="K494:K497" si="31">if(E494="pago",(I494-J494),"")</f>
        <v>380.54</v>
      </c>
      <c r="L494" s="11" t="s">
        <v>29</v>
      </c>
      <c r="M494" s="14"/>
      <c r="N494" s="11" t="s">
        <v>61</v>
      </c>
      <c r="O494" s="10" t="str">
        <f t="shared" si="3"/>
        <v>11/2024</v>
      </c>
      <c r="P494" s="10" t="str">
        <f t="shared" si="29"/>
        <v>11/2024</v>
      </c>
      <c r="Q494" s="15" t="str">
        <f t="array" ref="Q494">IFERROR(XLOOKUP(N494,'Classificação'!A:A,'Classificação'!B:B),"")</f>
        <v>DESPESAS ADMINISTRATIVAS</v>
      </c>
      <c r="R494" s="15" t="str">
        <f t="array" ref="R494">IFERROR(XLOOKUP(Q494,'Classificação'!B:B,'Classificação'!C:C),"")</f>
        <v>DESPESAS FIXAS (-)</v>
      </c>
      <c r="S494" s="15">
        <f t="shared" si="5"/>
        <v>29</v>
      </c>
      <c r="T494" s="15">
        <f t="shared" si="6"/>
        <v>11</v>
      </c>
      <c r="U494" s="15">
        <f t="shared" si="7"/>
        <v>2024</v>
      </c>
      <c r="V494" s="15">
        <f t="shared" si="8"/>
        <v>29</v>
      </c>
      <c r="W494" s="15">
        <f t="shared" si="9"/>
        <v>11</v>
      </c>
      <c r="X494" s="15">
        <f t="shared" si="10"/>
        <v>2024</v>
      </c>
    </row>
    <row r="495">
      <c r="A495" s="32">
        <v>45626.0</v>
      </c>
      <c r="B495" s="10"/>
      <c r="C495" s="9">
        <f t="shared" si="22"/>
        <v>45626</v>
      </c>
      <c r="D495" s="11" t="s">
        <v>408</v>
      </c>
      <c r="E495" s="11" t="s">
        <v>25</v>
      </c>
      <c r="F495" s="11" t="s">
        <v>26</v>
      </c>
      <c r="G495" s="11" t="s">
        <v>37</v>
      </c>
      <c r="H495" s="11" t="s">
        <v>409</v>
      </c>
      <c r="I495" s="12">
        <v>50.0</v>
      </c>
      <c r="J495" s="13"/>
      <c r="K495" s="13">
        <f t="shared" si="31"/>
        <v>50</v>
      </c>
      <c r="L495" s="11" t="s">
        <v>34</v>
      </c>
      <c r="M495" s="14"/>
      <c r="N495" s="11" t="s">
        <v>58</v>
      </c>
      <c r="O495" s="10" t="str">
        <f t="shared" si="3"/>
        <v>11/2024</v>
      </c>
      <c r="P495" s="10" t="str">
        <f t="shared" si="29"/>
        <v>11/2024</v>
      </c>
      <c r="Q495" s="15" t="str">
        <f t="array" ref="Q495">IFERROR(XLOOKUP(N495,'Classificação'!A:A,'Classificação'!B:B),"")</f>
        <v>DESPESAS ADMINISTRATIVAS</v>
      </c>
      <c r="R495" s="15" t="str">
        <f t="array" ref="R495">IFERROR(XLOOKUP(Q495,'Classificação'!B:B,'Classificação'!C:C),"")</f>
        <v>DESPESAS FIXAS (-)</v>
      </c>
      <c r="S495" s="15">
        <f t="shared" si="5"/>
        <v>30</v>
      </c>
      <c r="T495" s="15">
        <f t="shared" si="6"/>
        <v>11</v>
      </c>
      <c r="U495" s="15">
        <f t="shared" si="7"/>
        <v>2024</v>
      </c>
      <c r="V495" s="15">
        <f t="shared" si="8"/>
        <v>30</v>
      </c>
      <c r="W495" s="15">
        <f t="shared" si="9"/>
        <v>11</v>
      </c>
      <c r="X495" s="15">
        <f t="shared" si="10"/>
        <v>2024</v>
      </c>
    </row>
    <row r="496">
      <c r="A496" s="9">
        <v>45628.0</v>
      </c>
      <c r="B496" s="10"/>
      <c r="C496" s="9">
        <f t="shared" si="22"/>
        <v>45628</v>
      </c>
      <c r="D496" s="11" t="s">
        <v>24</v>
      </c>
      <c r="E496" s="11" t="s">
        <v>25</v>
      </c>
      <c r="F496" s="11" t="s">
        <v>26</v>
      </c>
      <c r="G496" s="11" t="s">
        <v>27</v>
      </c>
      <c r="H496" s="11" t="s">
        <v>28</v>
      </c>
      <c r="I496" s="12">
        <v>6000.63</v>
      </c>
      <c r="J496" s="13"/>
      <c r="K496" s="13">
        <f t="shared" si="31"/>
        <v>6000.63</v>
      </c>
      <c r="L496" s="11" t="s">
        <v>29</v>
      </c>
      <c r="M496" s="14"/>
      <c r="N496" s="11" t="s">
        <v>30</v>
      </c>
      <c r="O496" s="10" t="str">
        <f t="shared" si="3"/>
        <v>12/2024</v>
      </c>
      <c r="P496" s="10" t="str">
        <f t="shared" si="29"/>
        <v>12/2024</v>
      </c>
      <c r="Q496" s="15" t="str">
        <f t="array" ref="Q496">IFERROR(XLOOKUP(N496,'Classificação'!A:A,'Classificação'!B:B),"")</f>
        <v>DESPESAS COM OCUPAÇÃO</v>
      </c>
      <c r="R496" s="15" t="str">
        <f t="array" ref="R496">IFERROR(XLOOKUP(Q496,'Classificação'!B:B,'Classificação'!C:C),"")</f>
        <v>DESPESAS FIXAS (-)</v>
      </c>
      <c r="S496" s="15">
        <f t="shared" si="5"/>
        <v>2</v>
      </c>
      <c r="T496" s="15">
        <f t="shared" si="6"/>
        <v>12</v>
      </c>
      <c r="U496" s="15">
        <f t="shared" si="7"/>
        <v>2024</v>
      </c>
      <c r="V496" s="15">
        <f t="shared" si="8"/>
        <v>2</v>
      </c>
      <c r="W496" s="15">
        <f t="shared" si="9"/>
        <v>12</v>
      </c>
      <c r="X496" s="15">
        <f t="shared" si="10"/>
        <v>2024</v>
      </c>
    </row>
    <row r="497">
      <c r="A497" s="9">
        <v>45628.0</v>
      </c>
      <c r="B497" s="10"/>
      <c r="C497" s="9">
        <f t="shared" si="22"/>
        <v>45628</v>
      </c>
      <c r="D497" s="11" t="s">
        <v>288</v>
      </c>
      <c r="E497" s="11" t="s">
        <v>25</v>
      </c>
      <c r="F497" s="11" t="s">
        <v>26</v>
      </c>
      <c r="G497" s="11" t="s">
        <v>27</v>
      </c>
      <c r="H497" s="11" t="s">
        <v>289</v>
      </c>
      <c r="I497" s="12">
        <v>59.5</v>
      </c>
      <c r="J497" s="13"/>
      <c r="K497" s="13">
        <f t="shared" si="31"/>
        <v>59.5</v>
      </c>
      <c r="L497" s="11" t="s">
        <v>29</v>
      </c>
      <c r="M497" s="16"/>
      <c r="N497" s="11" t="s">
        <v>105</v>
      </c>
      <c r="O497" s="10" t="str">
        <f t="shared" si="3"/>
        <v>12/2024</v>
      </c>
      <c r="P497" s="10" t="str">
        <f t="shared" si="29"/>
        <v>12/2024</v>
      </c>
      <c r="Q497" s="15" t="str">
        <f t="array" ref="Q497">IFERROR(XLOOKUP(N497,'Classificação'!A:A,'Classificação'!B:B),"")</f>
        <v>DESPESAS ADMINISTRATIVAS</v>
      </c>
      <c r="R497" s="15" t="str">
        <f t="array" ref="R497">IFERROR(XLOOKUP(Q497,'Classificação'!B:B,'Classificação'!C:C),"")</f>
        <v>DESPESAS FIXAS (-)</v>
      </c>
      <c r="S497" s="15">
        <f t="shared" si="5"/>
        <v>2</v>
      </c>
      <c r="T497" s="15">
        <f t="shared" si="6"/>
        <v>12</v>
      </c>
      <c r="U497" s="15">
        <f t="shared" si="7"/>
        <v>2024</v>
      </c>
      <c r="V497" s="15">
        <f t="shared" si="8"/>
        <v>2</v>
      </c>
      <c r="W497" s="15">
        <f t="shared" si="9"/>
        <v>12</v>
      </c>
      <c r="X497" s="15">
        <f t="shared" si="10"/>
        <v>2024</v>
      </c>
    </row>
    <row r="498">
      <c r="A498" s="26">
        <v>45628.0</v>
      </c>
      <c r="B498" s="30"/>
      <c r="C498" s="27">
        <f t="shared" si="22"/>
        <v>45628</v>
      </c>
      <c r="D498" s="28" t="s">
        <v>36</v>
      </c>
      <c r="E498" s="29" t="s">
        <v>25</v>
      </c>
      <c r="F498" s="29" t="s">
        <v>26</v>
      </c>
      <c r="G498" s="29" t="s">
        <v>37</v>
      </c>
      <c r="H498" s="28"/>
      <c r="I498" s="24">
        <v>400.0</v>
      </c>
      <c r="J498" s="34"/>
      <c r="K498" s="37">
        <f t="shared" ref="K498:K503" si="32">IF(E498="pago",(I498-J498),"")</f>
        <v>400</v>
      </c>
      <c r="L498" s="28" t="s">
        <v>29</v>
      </c>
      <c r="M498" s="28"/>
      <c r="N498" s="28" t="s">
        <v>38</v>
      </c>
      <c r="O498" s="10" t="str">
        <f t="shared" si="3"/>
        <v>12/2024</v>
      </c>
      <c r="P498" s="10" t="str">
        <f t="shared" si="29"/>
        <v>12/2024</v>
      </c>
      <c r="Q498" s="15" t="str">
        <f t="array" ref="Q498">IFERROR(XLOOKUP(N498,'Classificação'!A:A,'Classificação'!B:B),"")</f>
        <v>DESPESAS COM PESSOAL</v>
      </c>
      <c r="R498" s="15" t="str">
        <f t="array" ref="R498">IFERROR(XLOOKUP(Q498,'Classificação'!B:B,'Classificação'!C:C),"")</f>
        <v>DESPESAS FIXAS (-)</v>
      </c>
      <c r="S498" s="15">
        <f t="shared" si="5"/>
        <v>2</v>
      </c>
      <c r="T498" s="15">
        <f t="shared" si="6"/>
        <v>12</v>
      </c>
      <c r="U498" s="15">
        <f t="shared" si="7"/>
        <v>2024</v>
      </c>
      <c r="V498" s="15">
        <f t="shared" si="8"/>
        <v>2</v>
      </c>
      <c r="W498" s="15">
        <f t="shared" si="9"/>
        <v>12</v>
      </c>
      <c r="X498" s="15">
        <f t="shared" si="10"/>
        <v>2024</v>
      </c>
    </row>
    <row r="499">
      <c r="A499" s="9">
        <v>45629.0</v>
      </c>
      <c r="B499" s="10"/>
      <c r="C499" s="9">
        <f t="shared" si="22"/>
        <v>45629</v>
      </c>
      <c r="D499" s="11" t="s">
        <v>44</v>
      </c>
      <c r="E499" s="11" t="s">
        <v>25</v>
      </c>
      <c r="F499" s="11" t="s">
        <v>45</v>
      </c>
      <c r="G499" s="11" t="s">
        <v>27</v>
      </c>
      <c r="H499" s="11" t="s">
        <v>343</v>
      </c>
      <c r="I499" s="12">
        <v>3179.17</v>
      </c>
      <c r="J499" s="13"/>
      <c r="K499" s="37">
        <f t="shared" si="32"/>
        <v>3179.17</v>
      </c>
      <c r="L499" s="11" t="s">
        <v>53</v>
      </c>
      <c r="M499" s="16" t="s">
        <v>410</v>
      </c>
      <c r="N499" s="11" t="s">
        <v>73</v>
      </c>
      <c r="O499" s="10" t="str">
        <f t="shared" si="3"/>
        <v>12/2024</v>
      </c>
      <c r="P499" s="10" t="str">
        <f t="shared" si="29"/>
        <v>12/2024</v>
      </c>
      <c r="Q499" s="15" t="str">
        <f t="array" ref="Q499">IFERROR(XLOOKUP(N499,'Classificação'!A:A,'Classificação'!B:B),"")</f>
        <v>DESPESAS NÃO OPERACIONAIS</v>
      </c>
      <c r="R499" s="15" t="str">
        <f t="array" ref="R499">IFERROR(XLOOKUP(Q499,'Classificação'!B:B,'Classificação'!C:C),"")</f>
        <v>RESULTADO NÃO OPERACIONAL (+/-)</v>
      </c>
      <c r="S499" s="15">
        <f t="shared" si="5"/>
        <v>3</v>
      </c>
      <c r="T499" s="15">
        <f t="shared" si="6"/>
        <v>12</v>
      </c>
      <c r="U499" s="15">
        <f t="shared" si="7"/>
        <v>2024</v>
      </c>
      <c r="V499" s="15">
        <f t="shared" si="8"/>
        <v>3</v>
      </c>
      <c r="W499" s="15">
        <f t="shared" si="9"/>
        <v>12</v>
      </c>
      <c r="X499" s="15">
        <f t="shared" si="10"/>
        <v>2024</v>
      </c>
    </row>
    <row r="500">
      <c r="A500" s="32">
        <v>45631.0</v>
      </c>
      <c r="B500" s="10"/>
      <c r="C500" s="9">
        <f t="shared" si="22"/>
        <v>45631</v>
      </c>
      <c r="D500" s="11" t="s">
        <v>76</v>
      </c>
      <c r="E500" s="11" t="s">
        <v>25</v>
      </c>
      <c r="F500" s="11" t="s">
        <v>26</v>
      </c>
      <c r="G500" s="11" t="s">
        <v>27</v>
      </c>
      <c r="H500" s="11" t="s">
        <v>84</v>
      </c>
      <c r="I500" s="24">
        <v>1214.27</v>
      </c>
      <c r="J500" s="13"/>
      <c r="K500" s="37">
        <f t="shared" si="32"/>
        <v>1214.27</v>
      </c>
      <c r="L500" s="11" t="s">
        <v>53</v>
      </c>
      <c r="M500" s="16" t="s">
        <v>411</v>
      </c>
      <c r="N500" s="11" t="s">
        <v>85</v>
      </c>
      <c r="O500" s="10" t="str">
        <f t="shared" si="3"/>
        <v>12/2024</v>
      </c>
      <c r="P500" s="10" t="str">
        <f t="shared" si="29"/>
        <v>12/2024</v>
      </c>
      <c r="Q500" s="15" t="str">
        <f t="array" ref="Q500">IFERROR(XLOOKUP(N500,'Classificação'!A:A,'Classificação'!B:B),"")</f>
        <v>DESPESAS NÃO OPERACIONAIS</v>
      </c>
      <c r="R500" s="15" t="str">
        <f t="array" ref="R500">IFERROR(XLOOKUP(Q500,'Classificação'!B:B,'Classificação'!C:C),"")</f>
        <v>RESULTADO NÃO OPERACIONAL (+/-)</v>
      </c>
      <c r="S500" s="15">
        <f t="shared" si="5"/>
        <v>5</v>
      </c>
      <c r="T500" s="15">
        <f t="shared" si="6"/>
        <v>12</v>
      </c>
      <c r="U500" s="15">
        <f t="shared" si="7"/>
        <v>2024</v>
      </c>
      <c r="V500" s="15">
        <f t="shared" si="8"/>
        <v>5</v>
      </c>
      <c r="W500" s="15">
        <f t="shared" si="9"/>
        <v>12</v>
      </c>
      <c r="X500" s="15">
        <f t="shared" si="10"/>
        <v>2024</v>
      </c>
    </row>
    <row r="501">
      <c r="A501" s="9">
        <v>45632.0</v>
      </c>
      <c r="B501" s="10"/>
      <c r="C501" s="9">
        <f t="shared" si="22"/>
        <v>45632</v>
      </c>
      <c r="D501" s="11" t="s">
        <v>44</v>
      </c>
      <c r="E501" s="11" t="s">
        <v>25</v>
      </c>
      <c r="F501" s="11" t="s">
        <v>45</v>
      </c>
      <c r="G501" s="11" t="s">
        <v>27</v>
      </c>
      <c r="I501" s="12">
        <v>73.8</v>
      </c>
      <c r="J501" s="13"/>
      <c r="K501" s="37">
        <f t="shared" si="32"/>
        <v>73.8</v>
      </c>
      <c r="L501" s="11" t="s">
        <v>29</v>
      </c>
      <c r="M501" s="14"/>
      <c r="N501" s="11" t="s">
        <v>47</v>
      </c>
      <c r="O501" s="10" t="str">
        <f t="shared" si="3"/>
        <v>12/2024</v>
      </c>
      <c r="P501" s="10" t="str">
        <f t="shared" si="29"/>
        <v>12/2024</v>
      </c>
      <c r="Q501" s="15" t="str">
        <f t="array" ref="Q501">IFERROR(XLOOKUP(N501,'Classificação'!A:A,'Classificação'!B:B),"")</f>
        <v>DESPESAS NÃO OPERACIONAIS</v>
      </c>
      <c r="R501" s="15" t="str">
        <f t="array" ref="R501">IFERROR(XLOOKUP(Q501,'Classificação'!B:B,'Classificação'!C:C),"")</f>
        <v>RESULTADO NÃO OPERACIONAL (+/-)</v>
      </c>
      <c r="S501" s="15">
        <f t="shared" si="5"/>
        <v>6</v>
      </c>
      <c r="T501" s="15">
        <f t="shared" si="6"/>
        <v>12</v>
      </c>
      <c r="U501" s="15">
        <f t="shared" si="7"/>
        <v>2024</v>
      </c>
      <c r="V501" s="15">
        <f t="shared" si="8"/>
        <v>6</v>
      </c>
      <c r="W501" s="15">
        <f t="shared" si="9"/>
        <v>12</v>
      </c>
      <c r="X501" s="15">
        <f t="shared" si="10"/>
        <v>2024</v>
      </c>
    </row>
    <row r="502">
      <c r="A502" s="26">
        <v>45632.0</v>
      </c>
      <c r="B502" s="30"/>
      <c r="C502" s="27">
        <f t="shared" si="22"/>
        <v>45632</v>
      </c>
      <c r="D502" s="28" t="s">
        <v>86</v>
      </c>
      <c r="E502" s="29" t="s">
        <v>25</v>
      </c>
      <c r="F502" s="29" t="s">
        <v>87</v>
      </c>
      <c r="G502" s="28" t="s">
        <v>27</v>
      </c>
      <c r="H502" s="29" t="s">
        <v>412</v>
      </c>
      <c r="I502" s="12">
        <v>1301.66</v>
      </c>
      <c r="J502" s="13"/>
      <c r="K502" s="37">
        <f t="shared" si="32"/>
        <v>1301.66</v>
      </c>
      <c r="L502" s="11" t="s">
        <v>53</v>
      </c>
      <c r="M502" s="17">
        <v>45352.0</v>
      </c>
      <c r="N502" s="11" t="s">
        <v>35</v>
      </c>
      <c r="O502" s="10" t="str">
        <f t="shared" si="3"/>
        <v>12/2024</v>
      </c>
      <c r="P502" s="10" t="str">
        <f t="shared" si="29"/>
        <v>12/2024</v>
      </c>
      <c r="Q502" s="15" t="str">
        <f t="array" ref="Q502">IFERROR(XLOOKUP(N502,'Classificação'!A:A,'Classificação'!B:B),"")</f>
        <v>COMPRA DE MERCADORIA</v>
      </c>
      <c r="R502" s="15" t="str">
        <f t="array" ref="R502">IFERROR(XLOOKUP(Q502,'Classificação'!B:B,'Classificação'!C:C),"")</f>
        <v>CUSTOS VARIÁVEIS</v>
      </c>
      <c r="S502" s="15">
        <f t="shared" si="5"/>
        <v>6</v>
      </c>
      <c r="T502" s="15">
        <f t="shared" si="6"/>
        <v>12</v>
      </c>
      <c r="U502" s="15">
        <f t="shared" si="7"/>
        <v>2024</v>
      </c>
      <c r="V502" s="15">
        <f t="shared" si="8"/>
        <v>6</v>
      </c>
      <c r="W502" s="15">
        <f t="shared" si="9"/>
        <v>12</v>
      </c>
      <c r="X502" s="15">
        <f t="shared" si="10"/>
        <v>2024</v>
      </c>
    </row>
    <row r="503">
      <c r="A503" s="9">
        <v>45632.0</v>
      </c>
      <c r="B503" s="10"/>
      <c r="C503" s="9">
        <f t="shared" si="22"/>
        <v>45632</v>
      </c>
      <c r="D503" s="11" t="s">
        <v>282</v>
      </c>
      <c r="E503" s="11" t="s">
        <v>25</v>
      </c>
      <c r="F503" s="11" t="s">
        <v>26</v>
      </c>
      <c r="G503" s="11" t="s">
        <v>27</v>
      </c>
      <c r="H503" s="11" t="s">
        <v>351</v>
      </c>
      <c r="I503" s="12">
        <v>333.34</v>
      </c>
      <c r="J503" s="13"/>
      <c r="K503" s="37">
        <f t="shared" si="32"/>
        <v>333.34</v>
      </c>
      <c r="L503" s="11" t="s">
        <v>53</v>
      </c>
      <c r="M503" s="17">
        <v>45353.0</v>
      </c>
      <c r="N503" s="11" t="s">
        <v>61</v>
      </c>
      <c r="O503" s="10" t="str">
        <f t="shared" si="3"/>
        <v>12/2024</v>
      </c>
      <c r="P503" s="10" t="str">
        <f t="shared" si="29"/>
        <v>12/2024</v>
      </c>
      <c r="Q503" s="15" t="str">
        <f t="array" ref="Q503">IFERROR(XLOOKUP(N503,'Classificação'!A:A,'Classificação'!B:B),"")</f>
        <v>DESPESAS ADMINISTRATIVAS</v>
      </c>
      <c r="R503" s="15" t="str">
        <f t="array" ref="R503">IFERROR(XLOOKUP(Q503,'Classificação'!B:B,'Classificação'!C:C),"")</f>
        <v>DESPESAS FIXAS (-)</v>
      </c>
      <c r="S503" s="15">
        <f t="shared" si="5"/>
        <v>6</v>
      </c>
      <c r="T503" s="15">
        <f t="shared" si="6"/>
        <v>12</v>
      </c>
      <c r="U503" s="15">
        <f t="shared" si="7"/>
        <v>2024</v>
      </c>
      <c r="V503" s="15">
        <f t="shared" si="8"/>
        <v>6</v>
      </c>
      <c r="W503" s="15">
        <f t="shared" si="9"/>
        <v>12</v>
      </c>
      <c r="X503" s="15">
        <f t="shared" si="10"/>
        <v>2024</v>
      </c>
    </row>
    <row r="504">
      <c r="A504" s="9">
        <v>45634.0</v>
      </c>
      <c r="B504" s="10"/>
      <c r="C504" s="9">
        <f t="shared" si="22"/>
        <v>45634</v>
      </c>
      <c r="D504" s="11" t="s">
        <v>36</v>
      </c>
      <c r="E504" s="11" t="s">
        <v>25</v>
      </c>
      <c r="F504" s="11" t="s">
        <v>32</v>
      </c>
      <c r="G504" s="11" t="s">
        <v>37</v>
      </c>
      <c r="I504" s="12">
        <v>1500.0</v>
      </c>
      <c r="J504" s="13"/>
      <c r="K504" s="13">
        <f t="shared" ref="K504:K505" si="33">if(E504="pago",(I504-J504),"")</f>
        <v>1500</v>
      </c>
      <c r="L504" s="11" t="s">
        <v>29</v>
      </c>
      <c r="M504" s="14"/>
      <c r="N504" s="11" t="s">
        <v>38</v>
      </c>
      <c r="O504" s="10" t="str">
        <f t="shared" si="3"/>
        <v>12/2024</v>
      </c>
      <c r="P504" s="10" t="str">
        <f t="shared" si="29"/>
        <v>12/2024</v>
      </c>
      <c r="Q504" s="15" t="str">
        <f t="array" ref="Q504">IFERROR(XLOOKUP(N504,'Classificação'!A:A,'Classificação'!B:B),"")</f>
        <v>DESPESAS COM PESSOAL</v>
      </c>
      <c r="R504" s="15" t="str">
        <f t="array" ref="R504">IFERROR(XLOOKUP(Q504,'Classificação'!B:B,'Classificação'!C:C),"")</f>
        <v>DESPESAS FIXAS (-)</v>
      </c>
      <c r="S504" s="15">
        <f t="shared" si="5"/>
        <v>8</v>
      </c>
      <c r="T504" s="15">
        <f t="shared" si="6"/>
        <v>12</v>
      </c>
      <c r="U504" s="15">
        <f t="shared" si="7"/>
        <v>2024</v>
      </c>
      <c r="V504" s="15">
        <f t="shared" si="8"/>
        <v>8</v>
      </c>
      <c r="W504" s="15">
        <f t="shared" si="9"/>
        <v>12</v>
      </c>
      <c r="X504" s="15">
        <f t="shared" si="10"/>
        <v>2024</v>
      </c>
    </row>
    <row r="505">
      <c r="A505" s="9">
        <v>45634.0</v>
      </c>
      <c r="B505" s="10"/>
      <c r="C505" s="9">
        <f t="shared" si="22"/>
        <v>45634</v>
      </c>
      <c r="D505" s="11" t="s">
        <v>43</v>
      </c>
      <c r="E505" s="11" t="s">
        <v>25</v>
      </c>
      <c r="F505" s="11" t="s">
        <v>32</v>
      </c>
      <c r="G505" s="11" t="s">
        <v>37</v>
      </c>
      <c r="I505" s="12">
        <v>1500.0</v>
      </c>
      <c r="J505" s="13"/>
      <c r="K505" s="13">
        <f t="shared" si="33"/>
        <v>1500</v>
      </c>
      <c r="L505" s="11" t="s">
        <v>29</v>
      </c>
      <c r="M505" s="14"/>
      <c r="N505" s="11" t="s">
        <v>38</v>
      </c>
      <c r="O505" s="10" t="str">
        <f t="shared" si="3"/>
        <v>12/2024</v>
      </c>
      <c r="P505" s="10" t="str">
        <f t="shared" si="29"/>
        <v>12/2024</v>
      </c>
      <c r="Q505" s="15" t="str">
        <f t="array" ref="Q505">IFERROR(XLOOKUP(N505,'Classificação'!A:A,'Classificação'!B:B),"")</f>
        <v>DESPESAS COM PESSOAL</v>
      </c>
      <c r="R505" s="15" t="str">
        <f t="array" ref="R505">IFERROR(XLOOKUP(Q505,'Classificação'!B:B,'Classificação'!C:C),"")</f>
        <v>DESPESAS FIXAS (-)</v>
      </c>
      <c r="S505" s="15">
        <f t="shared" si="5"/>
        <v>8</v>
      </c>
      <c r="T505" s="15">
        <f t="shared" si="6"/>
        <v>12</v>
      </c>
      <c r="U505" s="15">
        <f t="shared" si="7"/>
        <v>2024</v>
      </c>
      <c r="V505" s="15">
        <f t="shared" si="8"/>
        <v>8</v>
      </c>
      <c r="W505" s="15">
        <f t="shared" si="9"/>
        <v>12</v>
      </c>
      <c r="X505" s="15">
        <f t="shared" si="10"/>
        <v>2024</v>
      </c>
    </row>
    <row r="506">
      <c r="A506" s="32">
        <v>45635.0</v>
      </c>
      <c r="B506" s="10"/>
      <c r="C506" s="9">
        <f t="shared" si="22"/>
        <v>45635</v>
      </c>
      <c r="D506" s="11" t="s">
        <v>399</v>
      </c>
      <c r="E506" s="11" t="s">
        <v>25</v>
      </c>
      <c r="F506" s="11" t="s">
        <v>40</v>
      </c>
      <c r="G506" s="11" t="s">
        <v>27</v>
      </c>
      <c r="H506" s="11" t="s">
        <v>400</v>
      </c>
      <c r="I506" s="12">
        <v>1017.91</v>
      </c>
      <c r="J506" s="13"/>
      <c r="K506" s="37">
        <f t="shared" ref="K506:K514" si="34">IF(E506="pago",(I506-J506),"")</f>
        <v>1017.91</v>
      </c>
      <c r="L506" s="11" t="s">
        <v>53</v>
      </c>
      <c r="M506" s="17">
        <v>45353.0</v>
      </c>
      <c r="N506" s="11" t="s">
        <v>35</v>
      </c>
      <c r="O506" s="10" t="str">
        <f t="shared" si="3"/>
        <v>12/2024</v>
      </c>
      <c r="P506" s="10" t="str">
        <f t="shared" si="29"/>
        <v>12/2024</v>
      </c>
      <c r="Q506" s="15" t="str">
        <f t="array" ref="Q506">IFERROR(XLOOKUP(N506,'Classificação'!A:A,'Classificação'!B:B),"")</f>
        <v>COMPRA DE MERCADORIA</v>
      </c>
      <c r="R506" s="15" t="str">
        <f t="array" ref="R506">IFERROR(XLOOKUP(Q506,'Classificação'!B:B,'Classificação'!C:C),"")</f>
        <v>CUSTOS VARIÁVEIS</v>
      </c>
      <c r="S506" s="15">
        <f t="shared" si="5"/>
        <v>9</v>
      </c>
      <c r="T506" s="15">
        <f t="shared" si="6"/>
        <v>12</v>
      </c>
      <c r="U506" s="15">
        <f t="shared" si="7"/>
        <v>2024</v>
      </c>
      <c r="V506" s="15">
        <f t="shared" si="8"/>
        <v>9</v>
      </c>
      <c r="W506" s="15">
        <f t="shared" si="9"/>
        <v>12</v>
      </c>
      <c r="X506" s="15">
        <f t="shared" si="10"/>
        <v>2024</v>
      </c>
    </row>
    <row r="507">
      <c r="A507" s="39">
        <v>45635.0</v>
      </c>
      <c r="B507" s="30"/>
      <c r="C507" s="27">
        <f t="shared" si="22"/>
        <v>45635</v>
      </c>
      <c r="D507" s="28" t="s">
        <v>399</v>
      </c>
      <c r="E507" s="29" t="s">
        <v>25</v>
      </c>
      <c r="F507" s="28" t="s">
        <v>40</v>
      </c>
      <c r="G507" s="29" t="s">
        <v>37</v>
      </c>
      <c r="H507" s="28" t="s">
        <v>400</v>
      </c>
      <c r="I507" s="37">
        <v>1017.91</v>
      </c>
      <c r="J507" s="34"/>
      <c r="K507" s="37">
        <f t="shared" si="34"/>
        <v>1017.91</v>
      </c>
      <c r="L507" s="28" t="s">
        <v>53</v>
      </c>
      <c r="M507" s="40">
        <v>45353.0</v>
      </c>
      <c r="N507" s="28" t="s">
        <v>35</v>
      </c>
      <c r="O507" s="10" t="str">
        <f t="shared" si="3"/>
        <v>12/2024</v>
      </c>
      <c r="P507" s="10" t="str">
        <f t="shared" si="29"/>
        <v>12/2024</v>
      </c>
      <c r="Q507" s="15" t="str">
        <f t="array" ref="Q507">IFERROR(XLOOKUP(N507,'Classificação'!A:A,'Classificação'!B:B),"")</f>
        <v>COMPRA DE MERCADORIA</v>
      </c>
      <c r="R507" s="15" t="str">
        <f t="array" ref="R507">IFERROR(XLOOKUP(Q507,'Classificação'!B:B,'Classificação'!C:C),"")</f>
        <v>CUSTOS VARIÁVEIS</v>
      </c>
      <c r="S507" s="15">
        <f t="shared" si="5"/>
        <v>9</v>
      </c>
      <c r="T507" s="15">
        <f t="shared" si="6"/>
        <v>12</v>
      </c>
      <c r="U507" s="15">
        <f t="shared" si="7"/>
        <v>2024</v>
      </c>
      <c r="V507" s="15">
        <f t="shared" si="8"/>
        <v>9</v>
      </c>
      <c r="W507" s="15">
        <f t="shared" si="9"/>
        <v>12</v>
      </c>
      <c r="X507" s="15">
        <f t="shared" si="10"/>
        <v>2024</v>
      </c>
    </row>
    <row r="508">
      <c r="A508" s="9">
        <v>45636.0</v>
      </c>
      <c r="B508" s="10"/>
      <c r="C508" s="9">
        <f t="shared" si="22"/>
        <v>45636</v>
      </c>
      <c r="D508" s="11" t="s">
        <v>48</v>
      </c>
      <c r="E508" s="11" t="s">
        <v>25</v>
      </c>
      <c r="F508" s="11" t="s">
        <v>40</v>
      </c>
      <c r="G508" s="11" t="s">
        <v>27</v>
      </c>
      <c r="I508" s="31">
        <v>1214.16</v>
      </c>
      <c r="J508" s="13"/>
      <c r="K508" s="37">
        <f t="shared" si="34"/>
        <v>1214.16</v>
      </c>
      <c r="L508" s="11" t="s">
        <v>29</v>
      </c>
      <c r="M508" s="14"/>
      <c r="N508" s="11" t="s">
        <v>49</v>
      </c>
      <c r="O508" s="10" t="str">
        <f t="shared" si="3"/>
        <v>12/2024</v>
      </c>
      <c r="P508" s="10" t="str">
        <f t="shared" si="29"/>
        <v>12/2024</v>
      </c>
      <c r="Q508" s="15" t="str">
        <f t="array" ref="Q508">IFERROR(XLOOKUP(N508,'Classificação'!A:A,'Classificação'!B:B),"")</f>
        <v>DESPESAS COM PESSOAL</v>
      </c>
      <c r="R508" s="15" t="str">
        <f t="array" ref="R508">IFERROR(XLOOKUP(Q508,'Classificação'!B:B,'Classificação'!C:C),"")</f>
        <v>DESPESAS FIXAS (-)</v>
      </c>
      <c r="S508" s="15">
        <f t="shared" si="5"/>
        <v>10</v>
      </c>
      <c r="T508" s="15">
        <f t="shared" si="6"/>
        <v>12</v>
      </c>
      <c r="U508" s="15">
        <f t="shared" si="7"/>
        <v>2024</v>
      </c>
      <c r="V508" s="15">
        <f t="shared" si="8"/>
        <v>10</v>
      </c>
      <c r="W508" s="15">
        <f t="shared" si="9"/>
        <v>12</v>
      </c>
      <c r="X508" s="15">
        <f t="shared" si="10"/>
        <v>2024</v>
      </c>
    </row>
    <row r="509">
      <c r="A509" s="32">
        <v>45636.0</v>
      </c>
      <c r="B509" s="10"/>
      <c r="C509" s="9">
        <f t="shared" si="22"/>
        <v>45636</v>
      </c>
      <c r="D509" s="11" t="s">
        <v>50</v>
      </c>
      <c r="E509" s="11" t="s">
        <v>25</v>
      </c>
      <c r="F509" s="11" t="s">
        <v>40</v>
      </c>
      <c r="G509" s="11" t="s">
        <v>27</v>
      </c>
      <c r="H509" s="11" t="s">
        <v>51</v>
      </c>
      <c r="I509" s="31">
        <v>139.99</v>
      </c>
      <c r="J509" s="13"/>
      <c r="K509" s="37">
        <f t="shared" si="34"/>
        <v>139.99</v>
      </c>
      <c r="L509" s="11" t="s">
        <v>29</v>
      </c>
      <c r="M509" s="14"/>
      <c r="N509" s="11" t="s">
        <v>51</v>
      </c>
      <c r="O509" s="10" t="str">
        <f t="shared" si="3"/>
        <v>12/2024</v>
      </c>
      <c r="P509" s="10" t="str">
        <f t="shared" si="29"/>
        <v>12/2024</v>
      </c>
      <c r="Q509" s="15" t="str">
        <f t="array" ref="Q509">IFERROR(XLOOKUP(N509,'Classificação'!A:A,'Classificação'!B:B),"")</f>
        <v>DESPESAS COM OCUPAÇÃO</v>
      </c>
      <c r="R509" s="15" t="str">
        <f t="array" ref="R509">IFERROR(XLOOKUP(Q509,'Classificação'!B:B,'Classificação'!C:C),"")</f>
        <v>DESPESAS FIXAS (-)</v>
      </c>
      <c r="S509" s="15">
        <f t="shared" si="5"/>
        <v>10</v>
      </c>
      <c r="T509" s="15">
        <f t="shared" si="6"/>
        <v>12</v>
      </c>
      <c r="U509" s="15">
        <f t="shared" si="7"/>
        <v>2024</v>
      </c>
      <c r="V509" s="15">
        <f t="shared" si="8"/>
        <v>10</v>
      </c>
      <c r="W509" s="15">
        <f t="shared" si="9"/>
        <v>12</v>
      </c>
      <c r="X509" s="15">
        <f t="shared" si="10"/>
        <v>2024</v>
      </c>
    </row>
    <row r="510">
      <c r="A510" s="32">
        <v>45636.0</v>
      </c>
      <c r="B510" s="10"/>
      <c r="C510" s="9">
        <f t="shared" si="22"/>
        <v>45636</v>
      </c>
      <c r="D510" s="11" t="s">
        <v>59</v>
      </c>
      <c r="E510" s="11" t="s">
        <v>25</v>
      </c>
      <c r="F510" s="11" t="s">
        <v>40</v>
      </c>
      <c r="G510" s="11" t="s">
        <v>37</v>
      </c>
      <c r="H510" s="11" t="s">
        <v>60</v>
      </c>
      <c r="I510" s="12">
        <v>397.0</v>
      </c>
      <c r="J510" s="13"/>
      <c r="K510" s="37">
        <f t="shared" si="34"/>
        <v>397</v>
      </c>
      <c r="L510" s="11" t="s">
        <v>29</v>
      </c>
      <c r="M510" s="14"/>
      <c r="N510" s="11" t="s">
        <v>61</v>
      </c>
      <c r="O510" s="10" t="str">
        <f t="shared" si="3"/>
        <v>12/2024</v>
      </c>
      <c r="P510" s="10" t="str">
        <f t="shared" si="29"/>
        <v>12/2024</v>
      </c>
      <c r="Q510" s="15" t="str">
        <f t="array" ref="Q510">IFERROR(XLOOKUP(N510,'Classificação'!A:A,'Classificação'!B:B),"")</f>
        <v>DESPESAS ADMINISTRATIVAS</v>
      </c>
      <c r="R510" s="15" t="str">
        <f t="array" ref="R510">IFERROR(XLOOKUP(Q510,'Classificação'!B:B,'Classificação'!C:C),"")</f>
        <v>DESPESAS FIXAS (-)</v>
      </c>
      <c r="S510" s="15">
        <f t="shared" si="5"/>
        <v>10</v>
      </c>
      <c r="T510" s="15">
        <f t="shared" si="6"/>
        <v>12</v>
      </c>
      <c r="U510" s="15">
        <f t="shared" si="7"/>
        <v>2024</v>
      </c>
      <c r="V510" s="15">
        <f t="shared" si="8"/>
        <v>10</v>
      </c>
      <c r="W510" s="15">
        <f t="shared" si="9"/>
        <v>12</v>
      </c>
      <c r="X510" s="15">
        <f t="shared" si="10"/>
        <v>2024</v>
      </c>
    </row>
    <row r="511">
      <c r="A511" s="32">
        <v>45636.0</v>
      </c>
      <c r="B511" s="10"/>
      <c r="C511" s="9">
        <f t="shared" si="22"/>
        <v>45636</v>
      </c>
      <c r="D511" s="11" t="s">
        <v>104</v>
      </c>
      <c r="E511" s="11" t="s">
        <v>25</v>
      </c>
      <c r="F511" s="11" t="s">
        <v>40</v>
      </c>
      <c r="G511" s="11" t="s">
        <v>37</v>
      </c>
      <c r="H511" s="11" t="s">
        <v>413</v>
      </c>
      <c r="I511" s="12">
        <v>27.5</v>
      </c>
      <c r="J511" s="13"/>
      <c r="K511" s="37">
        <f t="shared" si="34"/>
        <v>27.5</v>
      </c>
      <c r="L511" s="11" t="s">
        <v>29</v>
      </c>
      <c r="M511" s="14"/>
      <c r="N511" s="11" t="s">
        <v>105</v>
      </c>
      <c r="O511" s="10" t="str">
        <f t="shared" si="3"/>
        <v>12/2024</v>
      </c>
      <c r="P511" s="10" t="str">
        <f t="shared" si="29"/>
        <v>12/2024</v>
      </c>
      <c r="Q511" s="15" t="str">
        <f t="array" ref="Q511">IFERROR(XLOOKUP(N511,'Classificação'!A:A,'Classificação'!B:B),"")</f>
        <v>DESPESAS ADMINISTRATIVAS</v>
      </c>
      <c r="R511" s="15" t="str">
        <f t="array" ref="R511">IFERROR(XLOOKUP(Q511,'Classificação'!B:B,'Classificação'!C:C),"")</f>
        <v>DESPESAS FIXAS (-)</v>
      </c>
      <c r="S511" s="15">
        <f t="shared" si="5"/>
        <v>10</v>
      </c>
      <c r="T511" s="15">
        <f t="shared" si="6"/>
        <v>12</v>
      </c>
      <c r="U511" s="15">
        <f t="shared" si="7"/>
        <v>2024</v>
      </c>
      <c r="V511" s="15">
        <f t="shared" si="8"/>
        <v>10</v>
      </c>
      <c r="W511" s="15">
        <f t="shared" si="9"/>
        <v>12</v>
      </c>
      <c r="X511" s="15">
        <f t="shared" si="10"/>
        <v>2024</v>
      </c>
    </row>
    <row r="512">
      <c r="A512" s="9">
        <v>45636.0</v>
      </c>
      <c r="B512" s="10"/>
      <c r="C512" s="9">
        <f t="shared" si="22"/>
        <v>45636</v>
      </c>
      <c r="D512" s="11" t="s">
        <v>44</v>
      </c>
      <c r="E512" s="11" t="s">
        <v>25</v>
      </c>
      <c r="F512" s="11" t="s">
        <v>45</v>
      </c>
      <c r="G512" s="11" t="s">
        <v>27</v>
      </c>
      <c r="H512" s="11" t="s">
        <v>52</v>
      </c>
      <c r="I512" s="31">
        <v>480.32</v>
      </c>
      <c r="J512" s="13"/>
      <c r="K512" s="37">
        <f t="shared" si="34"/>
        <v>480.32</v>
      </c>
      <c r="L512" s="11" t="s">
        <v>53</v>
      </c>
      <c r="M512" s="16" t="s">
        <v>414</v>
      </c>
      <c r="N512" s="11" t="s">
        <v>55</v>
      </c>
      <c r="O512" s="10" t="str">
        <f t="shared" si="3"/>
        <v>12/2024</v>
      </c>
      <c r="P512" s="10" t="str">
        <f t="shared" si="29"/>
        <v>12/2024</v>
      </c>
      <c r="Q512" s="15" t="str">
        <f t="array" ref="Q512">IFERROR(XLOOKUP(N512,'Classificação'!A:A,'Classificação'!B:B),"")</f>
        <v>DESPESAS NÃO OPERACIONAIS</v>
      </c>
      <c r="R512" s="15" t="str">
        <f t="array" ref="R512">IFERROR(XLOOKUP(Q512,'Classificação'!B:B,'Classificação'!C:C),"")</f>
        <v>RESULTADO NÃO OPERACIONAL (+/-)</v>
      </c>
      <c r="S512" s="15">
        <f t="shared" si="5"/>
        <v>10</v>
      </c>
      <c r="T512" s="15">
        <f t="shared" si="6"/>
        <v>12</v>
      </c>
      <c r="U512" s="15">
        <f t="shared" si="7"/>
        <v>2024</v>
      </c>
      <c r="V512" s="15">
        <f t="shared" si="8"/>
        <v>10</v>
      </c>
      <c r="W512" s="15">
        <f t="shared" si="9"/>
        <v>12</v>
      </c>
      <c r="X512" s="15">
        <f t="shared" si="10"/>
        <v>2024</v>
      </c>
    </row>
    <row r="513">
      <c r="A513" s="9">
        <v>45636.0</v>
      </c>
      <c r="B513" s="10"/>
      <c r="C513" s="9">
        <f t="shared" si="22"/>
        <v>45636</v>
      </c>
      <c r="D513" s="11" t="s">
        <v>36</v>
      </c>
      <c r="E513" s="11" t="s">
        <v>25</v>
      </c>
      <c r="F513" s="11" t="s">
        <v>32</v>
      </c>
      <c r="G513" s="11" t="s">
        <v>27</v>
      </c>
      <c r="I513" s="31">
        <v>3500.0</v>
      </c>
      <c r="J513" s="13"/>
      <c r="K513" s="37">
        <f t="shared" si="34"/>
        <v>3500</v>
      </c>
      <c r="L513" s="11" t="s">
        <v>29</v>
      </c>
      <c r="M513" s="14"/>
      <c r="N513" s="11" t="s">
        <v>38</v>
      </c>
      <c r="O513" s="10" t="str">
        <f t="shared" si="3"/>
        <v>12/2024</v>
      </c>
      <c r="P513" s="10" t="str">
        <f t="shared" si="29"/>
        <v>12/2024</v>
      </c>
      <c r="Q513" s="15" t="str">
        <f t="array" ref="Q513">IFERROR(XLOOKUP(N513,'Classificação'!A:A,'Classificação'!B:B),"")</f>
        <v>DESPESAS COM PESSOAL</v>
      </c>
      <c r="R513" s="15" t="str">
        <f t="array" ref="R513">IFERROR(XLOOKUP(Q513,'Classificação'!B:B,'Classificação'!C:C),"")</f>
        <v>DESPESAS FIXAS (-)</v>
      </c>
      <c r="S513" s="15">
        <f t="shared" si="5"/>
        <v>10</v>
      </c>
      <c r="T513" s="15">
        <f t="shared" si="6"/>
        <v>12</v>
      </c>
      <c r="U513" s="15">
        <f t="shared" si="7"/>
        <v>2024</v>
      </c>
      <c r="V513" s="15">
        <f t="shared" si="8"/>
        <v>10</v>
      </c>
      <c r="W513" s="15">
        <f t="shared" si="9"/>
        <v>12</v>
      </c>
      <c r="X513" s="15">
        <f t="shared" si="10"/>
        <v>2024</v>
      </c>
    </row>
    <row r="514">
      <c r="A514" s="9">
        <v>45636.0</v>
      </c>
      <c r="B514" s="10"/>
      <c r="C514" s="9">
        <f t="shared" si="22"/>
        <v>45636</v>
      </c>
      <c r="D514" s="11" t="s">
        <v>43</v>
      </c>
      <c r="E514" s="11" t="s">
        <v>25</v>
      </c>
      <c r="F514" s="11" t="s">
        <v>32</v>
      </c>
      <c r="G514" s="11" t="s">
        <v>27</v>
      </c>
      <c r="I514" s="31">
        <v>3499.0</v>
      </c>
      <c r="J514" s="13"/>
      <c r="K514" s="37">
        <f t="shared" si="34"/>
        <v>3499</v>
      </c>
      <c r="L514" s="11" t="s">
        <v>29</v>
      </c>
      <c r="M514" s="14"/>
      <c r="N514" s="11" t="s">
        <v>38</v>
      </c>
      <c r="O514" s="10" t="str">
        <f t="shared" si="3"/>
        <v>12/2024</v>
      </c>
      <c r="P514" s="10" t="str">
        <f t="shared" si="29"/>
        <v>12/2024</v>
      </c>
      <c r="Q514" s="15" t="str">
        <f t="array" ref="Q514">IFERROR(XLOOKUP(N514,'Classificação'!A:A,'Classificação'!B:B),"")</f>
        <v>DESPESAS COM PESSOAL</v>
      </c>
      <c r="R514" s="15" t="str">
        <f t="array" ref="R514">IFERROR(XLOOKUP(Q514,'Classificação'!B:B,'Classificação'!C:C),"")</f>
        <v>DESPESAS FIXAS (-)</v>
      </c>
      <c r="S514" s="15">
        <f t="shared" si="5"/>
        <v>10</v>
      </c>
      <c r="T514" s="15">
        <f t="shared" si="6"/>
        <v>12</v>
      </c>
      <c r="U514" s="15">
        <f t="shared" si="7"/>
        <v>2024</v>
      </c>
      <c r="V514" s="15">
        <f t="shared" si="8"/>
        <v>10</v>
      </c>
      <c r="W514" s="15">
        <f t="shared" si="9"/>
        <v>12</v>
      </c>
      <c r="X514" s="15">
        <f t="shared" si="10"/>
        <v>2024</v>
      </c>
    </row>
    <row r="515">
      <c r="A515" s="9">
        <v>45637.0</v>
      </c>
      <c r="B515" s="10"/>
      <c r="C515" s="9">
        <f t="shared" si="22"/>
        <v>45637</v>
      </c>
      <c r="D515" s="11" t="s">
        <v>65</v>
      </c>
      <c r="E515" s="11" t="s">
        <v>25</v>
      </c>
      <c r="F515" s="11" t="s">
        <v>45</v>
      </c>
      <c r="G515" s="11" t="s">
        <v>66</v>
      </c>
      <c r="H515" s="11" t="s">
        <v>67</v>
      </c>
      <c r="I515" s="12">
        <v>718.91</v>
      </c>
      <c r="J515" s="13"/>
      <c r="K515" s="13">
        <f t="shared" ref="K515:K517" si="35">if(E515="pago",(I515-J515),"")</f>
        <v>718.91</v>
      </c>
      <c r="L515" s="11" t="s">
        <v>29</v>
      </c>
      <c r="M515" s="14"/>
      <c r="N515" s="11" t="s">
        <v>68</v>
      </c>
      <c r="O515" s="10" t="str">
        <f t="shared" si="3"/>
        <v>12/2024</v>
      </c>
      <c r="P515" s="10" t="str">
        <f t="shared" si="29"/>
        <v>12/2024</v>
      </c>
      <c r="Q515" s="15" t="str">
        <f t="array" ref="Q515">IFERROR(XLOOKUP(N515,'Classificação'!A:A,'Classificação'!B:B),"")</f>
        <v>FRETE DE VENDAS</v>
      </c>
      <c r="R515" s="15" t="str">
        <f t="array" ref="R515">IFERROR(XLOOKUP(Q515,'Classificação'!B:B,'Classificação'!C:C),"")</f>
        <v>CUSTOS VARIÁVEIS</v>
      </c>
      <c r="S515" s="15">
        <f t="shared" si="5"/>
        <v>11</v>
      </c>
      <c r="T515" s="15">
        <f t="shared" si="6"/>
        <v>12</v>
      </c>
      <c r="U515" s="15">
        <f t="shared" si="7"/>
        <v>2024</v>
      </c>
      <c r="V515" s="15">
        <f t="shared" si="8"/>
        <v>11</v>
      </c>
      <c r="W515" s="15">
        <f t="shared" si="9"/>
        <v>12</v>
      </c>
      <c r="X515" s="15">
        <f t="shared" si="10"/>
        <v>2024</v>
      </c>
    </row>
    <row r="516">
      <c r="A516" s="9">
        <v>45638.0</v>
      </c>
      <c r="B516" s="10"/>
      <c r="C516" s="9">
        <f t="shared" si="22"/>
        <v>45638</v>
      </c>
      <c r="D516" s="11" t="s">
        <v>56</v>
      </c>
      <c r="E516" s="11" t="s">
        <v>25</v>
      </c>
      <c r="F516" s="11" t="s">
        <v>26</v>
      </c>
      <c r="G516" s="11" t="s">
        <v>37</v>
      </c>
      <c r="H516" s="11" t="s">
        <v>57</v>
      </c>
      <c r="I516" s="12">
        <v>50.0</v>
      </c>
      <c r="J516" s="13"/>
      <c r="K516" s="13">
        <f t="shared" si="35"/>
        <v>50</v>
      </c>
      <c r="L516" s="11" t="s">
        <v>29</v>
      </c>
      <c r="M516" s="14"/>
      <c r="N516" s="11" t="s">
        <v>58</v>
      </c>
      <c r="O516" s="10" t="str">
        <f t="shared" si="3"/>
        <v>12/2024</v>
      </c>
      <c r="P516" s="10" t="str">
        <f t="shared" si="29"/>
        <v>12/2024</v>
      </c>
      <c r="Q516" s="15" t="str">
        <f t="array" ref="Q516">IFERROR(XLOOKUP(N516,'Classificação'!A:A,'Classificação'!B:B),"")</f>
        <v>DESPESAS ADMINISTRATIVAS</v>
      </c>
      <c r="R516" s="15" t="str">
        <f t="array" ref="R516">IFERROR(XLOOKUP(Q516,'Classificação'!B:B,'Classificação'!C:C),"")</f>
        <v>DESPESAS FIXAS (-)</v>
      </c>
      <c r="S516" s="15">
        <f t="shared" si="5"/>
        <v>12</v>
      </c>
      <c r="T516" s="15">
        <f t="shared" si="6"/>
        <v>12</v>
      </c>
      <c r="U516" s="15">
        <f t="shared" si="7"/>
        <v>2024</v>
      </c>
      <c r="V516" s="15">
        <f t="shared" si="8"/>
        <v>12</v>
      </c>
      <c r="W516" s="15">
        <f t="shared" si="9"/>
        <v>12</v>
      </c>
      <c r="X516" s="15">
        <f t="shared" si="10"/>
        <v>2024</v>
      </c>
    </row>
    <row r="517">
      <c r="A517" s="26">
        <v>45638.0</v>
      </c>
      <c r="B517" s="30"/>
      <c r="C517" s="9">
        <f t="shared" si="22"/>
        <v>45638</v>
      </c>
      <c r="D517" s="28" t="s">
        <v>86</v>
      </c>
      <c r="E517" s="29" t="s">
        <v>25</v>
      </c>
      <c r="F517" s="11" t="s">
        <v>87</v>
      </c>
      <c r="G517" s="28" t="s">
        <v>27</v>
      </c>
      <c r="H517" s="28" t="s">
        <v>239</v>
      </c>
      <c r="I517" s="24">
        <v>3034.17</v>
      </c>
      <c r="J517" s="34"/>
      <c r="K517" s="13">
        <f t="shared" si="35"/>
        <v>3034.17</v>
      </c>
      <c r="L517" s="29" t="s">
        <v>53</v>
      </c>
      <c r="M517" s="35">
        <v>45354.0</v>
      </c>
      <c r="N517" s="28" t="s">
        <v>35</v>
      </c>
      <c r="O517" s="10" t="str">
        <f t="shared" si="3"/>
        <v>12/2024</v>
      </c>
      <c r="P517" s="10" t="str">
        <f t="shared" si="29"/>
        <v>12/2024</v>
      </c>
      <c r="Q517" s="15" t="str">
        <f t="array" ref="Q517">IFERROR(XLOOKUP(N517,'Classificação'!A:A,'Classificação'!B:B),"")</f>
        <v>COMPRA DE MERCADORIA</v>
      </c>
      <c r="R517" s="15" t="str">
        <f t="array" ref="R517">IFERROR(XLOOKUP(Q517,'Classificação'!B:B,'Classificação'!C:C),"")</f>
        <v>CUSTOS VARIÁVEIS</v>
      </c>
      <c r="S517" s="15">
        <f t="shared" si="5"/>
        <v>12</v>
      </c>
      <c r="T517" s="15">
        <f t="shared" si="6"/>
        <v>12</v>
      </c>
      <c r="U517" s="15">
        <f t="shared" si="7"/>
        <v>2024</v>
      </c>
      <c r="V517" s="15">
        <f t="shared" si="8"/>
        <v>12</v>
      </c>
      <c r="W517" s="15">
        <f t="shared" si="9"/>
        <v>12</v>
      </c>
      <c r="X517" s="15">
        <f t="shared" si="10"/>
        <v>2024</v>
      </c>
    </row>
    <row r="518">
      <c r="A518" s="32">
        <v>45638.0</v>
      </c>
      <c r="B518" s="10"/>
      <c r="C518" s="9">
        <f t="shared" si="22"/>
        <v>45638</v>
      </c>
      <c r="D518" s="11" t="s">
        <v>213</v>
      </c>
      <c r="E518" s="11" t="s">
        <v>25</v>
      </c>
      <c r="F518" s="11" t="s">
        <v>32</v>
      </c>
      <c r="G518" s="11" t="s">
        <v>27</v>
      </c>
      <c r="H518" s="11" t="s">
        <v>415</v>
      </c>
      <c r="I518" s="12">
        <v>66500.0</v>
      </c>
      <c r="J518" s="13"/>
      <c r="K518" s="37">
        <f>IF(E518="pago",(I518-J518),"")</f>
        <v>66500</v>
      </c>
      <c r="L518" s="11" t="s">
        <v>34</v>
      </c>
      <c r="M518" s="14"/>
      <c r="N518" s="11" t="s">
        <v>35</v>
      </c>
      <c r="O518" s="10" t="str">
        <f t="shared" si="3"/>
        <v>12/2024</v>
      </c>
      <c r="P518" s="10" t="str">
        <f t="shared" si="29"/>
        <v>12/2024</v>
      </c>
      <c r="Q518" s="15" t="str">
        <f t="array" ref="Q518">IFERROR(XLOOKUP(N518,'Classificação'!A:A,'Classificação'!B:B),"")</f>
        <v>COMPRA DE MERCADORIA</v>
      </c>
      <c r="R518" s="15" t="str">
        <f t="array" ref="R518">IFERROR(XLOOKUP(Q518,'Classificação'!B:B,'Classificação'!C:C),"")</f>
        <v>CUSTOS VARIÁVEIS</v>
      </c>
      <c r="S518" s="15">
        <f t="shared" si="5"/>
        <v>12</v>
      </c>
      <c r="T518" s="15">
        <f t="shared" si="6"/>
        <v>12</v>
      </c>
      <c r="U518" s="15">
        <f t="shared" si="7"/>
        <v>2024</v>
      </c>
      <c r="V518" s="15">
        <f t="shared" si="8"/>
        <v>12</v>
      </c>
      <c r="W518" s="15">
        <f t="shared" si="9"/>
        <v>12</v>
      </c>
      <c r="X518" s="15">
        <f t="shared" si="10"/>
        <v>2024</v>
      </c>
    </row>
    <row r="519">
      <c r="A519" s="32">
        <v>45638.0</v>
      </c>
      <c r="B519" s="10"/>
      <c r="C519" s="9">
        <f t="shared" si="22"/>
        <v>45638</v>
      </c>
      <c r="D519" s="11" t="s">
        <v>31</v>
      </c>
      <c r="E519" s="11" t="s">
        <v>25</v>
      </c>
      <c r="F519" s="11" t="s">
        <v>26</v>
      </c>
      <c r="G519" s="11" t="s">
        <v>37</v>
      </c>
      <c r="H519" s="11" t="s">
        <v>416</v>
      </c>
      <c r="I519" s="12">
        <v>69400.0</v>
      </c>
      <c r="J519" s="13"/>
      <c r="K519" s="13">
        <f t="shared" ref="K519:K526" si="36">if(E519="pago",(I519-J519),"")</f>
        <v>69400</v>
      </c>
      <c r="L519" s="11" t="s">
        <v>34</v>
      </c>
      <c r="M519" s="14"/>
      <c r="N519" s="11" t="s">
        <v>35</v>
      </c>
      <c r="O519" s="10" t="str">
        <f t="shared" si="3"/>
        <v>12/2024</v>
      </c>
      <c r="P519" s="10" t="str">
        <f t="shared" si="29"/>
        <v>12/2024</v>
      </c>
      <c r="Q519" s="15" t="str">
        <f t="array" ref="Q519">IFERROR(XLOOKUP(N519,'Classificação'!A:A,'Classificação'!B:B),"")</f>
        <v>COMPRA DE MERCADORIA</v>
      </c>
      <c r="R519" s="15" t="str">
        <f t="array" ref="R519">IFERROR(XLOOKUP(Q519,'Classificação'!B:B,'Classificação'!C:C),"")</f>
        <v>CUSTOS VARIÁVEIS</v>
      </c>
      <c r="S519" s="15">
        <f t="shared" si="5"/>
        <v>12</v>
      </c>
      <c r="T519" s="15">
        <f t="shared" si="6"/>
        <v>12</v>
      </c>
      <c r="U519" s="15">
        <f t="shared" si="7"/>
        <v>2024</v>
      </c>
      <c r="V519" s="15">
        <f t="shared" si="8"/>
        <v>12</v>
      </c>
      <c r="W519" s="15">
        <f t="shared" si="9"/>
        <v>12</v>
      </c>
      <c r="X519" s="15">
        <f t="shared" si="10"/>
        <v>2024</v>
      </c>
    </row>
    <row r="520">
      <c r="A520" s="32">
        <v>45638.0</v>
      </c>
      <c r="B520" s="10"/>
      <c r="C520" s="9">
        <f t="shared" si="22"/>
        <v>45638</v>
      </c>
      <c r="D520" s="11" t="s">
        <v>417</v>
      </c>
      <c r="E520" s="11" t="s">
        <v>25</v>
      </c>
      <c r="F520" s="11" t="s">
        <v>26</v>
      </c>
      <c r="G520" s="11" t="s">
        <v>37</v>
      </c>
      <c r="H520" s="11" t="s">
        <v>418</v>
      </c>
      <c r="I520" s="12">
        <v>16751.55</v>
      </c>
      <c r="J520" s="13"/>
      <c r="K520" s="13">
        <f t="shared" si="36"/>
        <v>16751.55</v>
      </c>
      <c r="L520" s="11" t="s">
        <v>34</v>
      </c>
      <c r="M520" s="14"/>
      <c r="N520" s="11" t="s">
        <v>35</v>
      </c>
      <c r="O520" s="10" t="str">
        <f t="shared" si="3"/>
        <v>12/2024</v>
      </c>
      <c r="P520" s="10" t="str">
        <f t="shared" si="29"/>
        <v>12/2024</v>
      </c>
      <c r="Q520" s="15" t="str">
        <f t="array" ref="Q520">IFERROR(XLOOKUP(N520,'Classificação'!A:A,'Classificação'!B:B),"")</f>
        <v>COMPRA DE MERCADORIA</v>
      </c>
      <c r="R520" s="15" t="str">
        <f t="array" ref="R520">IFERROR(XLOOKUP(Q520,'Classificação'!B:B,'Classificação'!C:C),"")</f>
        <v>CUSTOS VARIÁVEIS</v>
      </c>
      <c r="S520" s="15">
        <f t="shared" si="5"/>
        <v>12</v>
      </c>
      <c r="T520" s="15">
        <f t="shared" si="6"/>
        <v>12</v>
      </c>
      <c r="U520" s="15">
        <f t="shared" si="7"/>
        <v>2024</v>
      </c>
      <c r="V520" s="15">
        <f t="shared" si="8"/>
        <v>12</v>
      </c>
      <c r="W520" s="15">
        <f t="shared" si="9"/>
        <v>12</v>
      </c>
      <c r="X520" s="15">
        <f t="shared" si="10"/>
        <v>2024</v>
      </c>
    </row>
    <row r="521">
      <c r="A521" s="9">
        <v>45639.0</v>
      </c>
      <c r="B521" s="10"/>
      <c r="C521" s="9">
        <f t="shared" si="22"/>
        <v>45639</v>
      </c>
      <c r="D521" s="11" t="s">
        <v>74</v>
      </c>
      <c r="E521" s="11" t="s">
        <v>25</v>
      </c>
      <c r="F521" s="11" t="s">
        <v>32</v>
      </c>
      <c r="G521" s="11" t="s">
        <v>27</v>
      </c>
      <c r="I521" s="12">
        <v>624.0</v>
      </c>
      <c r="J521" s="13"/>
      <c r="K521" s="13">
        <f t="shared" si="36"/>
        <v>624</v>
      </c>
      <c r="L521" s="11" t="s">
        <v>29</v>
      </c>
      <c r="M521" s="14"/>
      <c r="N521" s="11" t="s">
        <v>75</v>
      </c>
      <c r="O521" s="10" t="str">
        <f t="shared" si="3"/>
        <v>12/2024</v>
      </c>
      <c r="P521" s="10" t="str">
        <f t="shared" si="29"/>
        <v>12/2024</v>
      </c>
      <c r="Q521" s="15" t="str">
        <f t="array" ref="Q521">IFERROR(XLOOKUP(N521,'Classificação'!A:A,'Classificação'!B:B),"")</f>
        <v>DESPESAS COM PESSOAL</v>
      </c>
      <c r="R521" s="15" t="str">
        <f t="array" ref="R521">IFERROR(XLOOKUP(Q521,'Classificação'!B:B,'Classificação'!C:C),"")</f>
        <v>DESPESAS FIXAS (-)</v>
      </c>
      <c r="S521" s="15">
        <f t="shared" si="5"/>
        <v>13</v>
      </c>
      <c r="T521" s="15">
        <f t="shared" si="6"/>
        <v>12</v>
      </c>
      <c r="U521" s="15">
        <f t="shared" si="7"/>
        <v>2024</v>
      </c>
      <c r="V521" s="15">
        <f t="shared" si="8"/>
        <v>13</v>
      </c>
      <c r="W521" s="15">
        <f t="shared" si="9"/>
        <v>12</v>
      </c>
      <c r="X521" s="15">
        <f t="shared" si="10"/>
        <v>2024</v>
      </c>
    </row>
    <row r="522">
      <c r="A522" s="9">
        <v>45639.0</v>
      </c>
      <c r="B522" s="10"/>
      <c r="C522" s="9">
        <f t="shared" si="22"/>
        <v>45639</v>
      </c>
      <c r="D522" s="11" t="s">
        <v>80</v>
      </c>
      <c r="E522" s="11" t="s">
        <v>25</v>
      </c>
      <c r="F522" s="11" t="s">
        <v>32</v>
      </c>
      <c r="G522" s="11" t="s">
        <v>27</v>
      </c>
      <c r="I522" s="12">
        <v>780.0</v>
      </c>
      <c r="J522" s="13"/>
      <c r="K522" s="13">
        <f t="shared" si="36"/>
        <v>780</v>
      </c>
      <c r="L522" s="11" t="s">
        <v>29</v>
      </c>
      <c r="M522" s="14"/>
      <c r="N522" s="11" t="s">
        <v>75</v>
      </c>
      <c r="O522" s="10" t="str">
        <f t="shared" si="3"/>
        <v>12/2024</v>
      </c>
      <c r="P522" s="10" t="str">
        <f t="shared" si="29"/>
        <v>12/2024</v>
      </c>
      <c r="Q522" s="15" t="str">
        <f t="array" ref="Q522">IFERROR(XLOOKUP(N522,'Classificação'!A:A,'Classificação'!B:B),"")</f>
        <v>DESPESAS COM PESSOAL</v>
      </c>
      <c r="R522" s="15" t="str">
        <f t="array" ref="R522">IFERROR(XLOOKUP(Q522,'Classificação'!B:B,'Classificação'!C:C),"")</f>
        <v>DESPESAS FIXAS (-)</v>
      </c>
      <c r="S522" s="15">
        <f t="shared" si="5"/>
        <v>13</v>
      </c>
      <c r="T522" s="15">
        <f t="shared" si="6"/>
        <v>12</v>
      </c>
      <c r="U522" s="15">
        <f t="shared" si="7"/>
        <v>2024</v>
      </c>
      <c r="V522" s="15">
        <f t="shared" si="8"/>
        <v>13</v>
      </c>
      <c r="W522" s="15">
        <f t="shared" si="9"/>
        <v>12</v>
      </c>
      <c r="X522" s="15">
        <f t="shared" si="10"/>
        <v>2024</v>
      </c>
    </row>
    <row r="523">
      <c r="A523" s="9">
        <v>45639.0</v>
      </c>
      <c r="B523" s="10"/>
      <c r="C523" s="9">
        <f t="shared" si="22"/>
        <v>45639</v>
      </c>
      <c r="D523" s="11" t="s">
        <v>83</v>
      </c>
      <c r="E523" s="11" t="s">
        <v>25</v>
      </c>
      <c r="F523" s="11" t="s">
        <v>32</v>
      </c>
      <c r="G523" s="11" t="s">
        <v>27</v>
      </c>
      <c r="I523" s="12">
        <v>800.0</v>
      </c>
      <c r="J523" s="13"/>
      <c r="K523" s="13">
        <f t="shared" si="36"/>
        <v>800</v>
      </c>
      <c r="L523" s="11" t="s">
        <v>29</v>
      </c>
      <c r="M523" s="14"/>
      <c r="N523" s="11" t="s">
        <v>75</v>
      </c>
      <c r="O523" s="10" t="str">
        <f t="shared" si="3"/>
        <v>12/2024</v>
      </c>
      <c r="P523" s="10" t="str">
        <f t="shared" si="29"/>
        <v>12/2024</v>
      </c>
      <c r="Q523" s="15" t="str">
        <f t="array" ref="Q523">IFERROR(XLOOKUP(N523,'Classificação'!A:A,'Classificação'!B:B),"")</f>
        <v>DESPESAS COM PESSOAL</v>
      </c>
      <c r="R523" s="15" t="str">
        <f t="array" ref="R523">IFERROR(XLOOKUP(Q523,'Classificação'!B:B,'Classificação'!C:C),"")</f>
        <v>DESPESAS FIXAS (-)</v>
      </c>
      <c r="S523" s="15">
        <f t="shared" si="5"/>
        <v>13</v>
      </c>
      <c r="T523" s="15">
        <f t="shared" si="6"/>
        <v>12</v>
      </c>
      <c r="U523" s="15">
        <f t="shared" si="7"/>
        <v>2024</v>
      </c>
      <c r="V523" s="15">
        <f t="shared" si="8"/>
        <v>13</v>
      </c>
      <c r="W523" s="15">
        <f t="shared" si="9"/>
        <v>12</v>
      </c>
      <c r="X523" s="15">
        <f t="shared" si="10"/>
        <v>2024</v>
      </c>
    </row>
    <row r="524">
      <c r="A524" s="9">
        <v>45642.0</v>
      </c>
      <c r="B524" s="10"/>
      <c r="C524" s="9">
        <f t="shared" si="22"/>
        <v>45642</v>
      </c>
      <c r="D524" s="11" t="s">
        <v>44</v>
      </c>
      <c r="E524" s="11" t="s">
        <v>25</v>
      </c>
      <c r="F524" s="11" t="s">
        <v>45</v>
      </c>
      <c r="G524" s="11" t="s">
        <v>27</v>
      </c>
      <c r="H524" s="11" t="s">
        <v>72</v>
      </c>
      <c r="I524" s="12">
        <v>2611.65</v>
      </c>
      <c r="J524" s="13"/>
      <c r="K524" s="13">
        <f t="shared" si="36"/>
        <v>2611.65</v>
      </c>
      <c r="L524" s="11" t="s">
        <v>53</v>
      </c>
      <c r="M524" s="17">
        <v>45449.0</v>
      </c>
      <c r="N524" s="11" t="s">
        <v>73</v>
      </c>
      <c r="O524" s="10" t="str">
        <f t="shared" si="3"/>
        <v>12/2024</v>
      </c>
      <c r="P524" s="10" t="str">
        <f t="shared" si="29"/>
        <v>12/2024</v>
      </c>
      <c r="Q524" s="15" t="str">
        <f t="array" ref="Q524">IFERROR(XLOOKUP(N524,'Classificação'!A:A,'Classificação'!B:B),"")</f>
        <v>DESPESAS NÃO OPERACIONAIS</v>
      </c>
      <c r="R524" s="15" t="str">
        <f t="array" ref="R524">IFERROR(XLOOKUP(Q524,'Classificação'!B:B,'Classificação'!C:C),"")</f>
        <v>RESULTADO NÃO OPERACIONAL (+/-)</v>
      </c>
      <c r="S524" s="15">
        <f t="shared" si="5"/>
        <v>16</v>
      </c>
      <c r="T524" s="15">
        <f t="shared" si="6"/>
        <v>12</v>
      </c>
      <c r="U524" s="15">
        <f t="shared" si="7"/>
        <v>2024</v>
      </c>
      <c r="V524" s="15">
        <f t="shared" si="8"/>
        <v>16</v>
      </c>
      <c r="W524" s="15">
        <f t="shared" si="9"/>
        <v>12</v>
      </c>
      <c r="X524" s="15">
        <f t="shared" si="10"/>
        <v>2024</v>
      </c>
    </row>
    <row r="525">
      <c r="A525" s="32">
        <v>45642.0</v>
      </c>
      <c r="B525" s="32">
        <v>45642.0</v>
      </c>
      <c r="C525" s="9">
        <f t="shared" si="22"/>
        <v>45642</v>
      </c>
      <c r="D525" s="11" t="s">
        <v>417</v>
      </c>
      <c r="E525" s="11" t="s">
        <v>25</v>
      </c>
      <c r="F525" s="11" t="s">
        <v>26</v>
      </c>
      <c r="G525" s="11" t="s">
        <v>37</v>
      </c>
      <c r="H525" s="11" t="s">
        <v>419</v>
      </c>
      <c r="I525" s="12">
        <v>963.0</v>
      </c>
      <c r="J525" s="13"/>
      <c r="K525" s="13">
        <f t="shared" si="36"/>
        <v>963</v>
      </c>
      <c r="L525" s="11" t="s">
        <v>34</v>
      </c>
      <c r="M525" s="14"/>
      <c r="N525" s="11" t="s">
        <v>35</v>
      </c>
      <c r="O525" s="10" t="str">
        <f t="shared" si="3"/>
        <v>12/2024</v>
      </c>
      <c r="P525" s="10" t="str">
        <f t="shared" si="29"/>
        <v>12/2024</v>
      </c>
      <c r="Q525" s="15" t="str">
        <f t="array" ref="Q525">IFERROR(XLOOKUP(N525,'Classificação'!A:A,'Classificação'!B:B),"")</f>
        <v>COMPRA DE MERCADORIA</v>
      </c>
      <c r="R525" s="15" t="str">
        <f t="array" ref="R525">IFERROR(XLOOKUP(Q525,'Classificação'!B:B,'Classificação'!C:C),"")</f>
        <v>CUSTOS VARIÁVEIS</v>
      </c>
      <c r="S525" s="15">
        <f t="shared" si="5"/>
        <v>16</v>
      </c>
      <c r="T525" s="15">
        <f t="shared" si="6"/>
        <v>12</v>
      </c>
      <c r="U525" s="15">
        <f t="shared" si="7"/>
        <v>2024</v>
      </c>
      <c r="V525" s="15">
        <f t="shared" si="8"/>
        <v>16</v>
      </c>
      <c r="W525" s="15">
        <f t="shared" si="9"/>
        <v>12</v>
      </c>
      <c r="X525" s="15">
        <f t="shared" si="10"/>
        <v>2024</v>
      </c>
    </row>
    <row r="526">
      <c r="A526" s="32">
        <v>45642.0</v>
      </c>
      <c r="B526" s="10"/>
      <c r="C526" s="9">
        <f t="shared" si="22"/>
        <v>45642</v>
      </c>
      <c r="D526" s="11" t="s">
        <v>420</v>
      </c>
      <c r="E526" s="11" t="s">
        <v>25</v>
      </c>
      <c r="F526" s="11" t="s">
        <v>26</v>
      </c>
      <c r="G526" s="11" t="s">
        <v>37</v>
      </c>
      <c r="H526" s="11" t="s">
        <v>421</v>
      </c>
      <c r="I526" s="12">
        <v>50.0</v>
      </c>
      <c r="J526" s="13"/>
      <c r="K526" s="13">
        <f t="shared" si="36"/>
        <v>50</v>
      </c>
      <c r="L526" s="11" t="s">
        <v>34</v>
      </c>
      <c r="M526" s="14"/>
      <c r="N526" s="11" t="s">
        <v>58</v>
      </c>
      <c r="O526" s="10" t="str">
        <f t="shared" si="3"/>
        <v>12/2024</v>
      </c>
      <c r="P526" s="10" t="str">
        <f t="shared" si="29"/>
        <v>12/2024</v>
      </c>
      <c r="Q526" s="15" t="str">
        <f t="array" ref="Q526">IFERROR(XLOOKUP(N526,'Classificação'!A:A,'Classificação'!B:B),"")</f>
        <v>DESPESAS ADMINISTRATIVAS</v>
      </c>
      <c r="R526" s="15" t="str">
        <f t="array" ref="R526">IFERROR(XLOOKUP(Q526,'Classificação'!B:B,'Classificação'!C:C),"")</f>
        <v>DESPESAS FIXAS (-)</v>
      </c>
      <c r="S526" s="15">
        <f t="shared" si="5"/>
        <v>16</v>
      </c>
      <c r="T526" s="15">
        <f t="shared" si="6"/>
        <v>12</v>
      </c>
      <c r="U526" s="15">
        <f t="shared" si="7"/>
        <v>2024</v>
      </c>
      <c r="V526" s="15">
        <f t="shared" si="8"/>
        <v>16</v>
      </c>
      <c r="W526" s="15">
        <f t="shared" si="9"/>
        <v>12</v>
      </c>
      <c r="X526" s="15">
        <f t="shared" si="10"/>
        <v>2024</v>
      </c>
    </row>
    <row r="527">
      <c r="A527" s="26">
        <v>45642.0</v>
      </c>
      <c r="B527" s="30"/>
      <c r="C527" s="27">
        <f t="shared" si="22"/>
        <v>45642</v>
      </c>
      <c r="D527" s="28" t="s">
        <v>36</v>
      </c>
      <c r="E527" s="29" t="s">
        <v>25</v>
      </c>
      <c r="F527" s="28" t="s">
        <v>32</v>
      </c>
      <c r="G527" s="28" t="s">
        <v>27</v>
      </c>
      <c r="H527" s="28"/>
      <c r="I527" s="24">
        <v>1249.0</v>
      </c>
      <c r="J527" s="34"/>
      <c r="K527" s="37">
        <f t="shared" ref="K527:K528" si="37">IF(E527="pago",(I527-J527),"")</f>
        <v>1249</v>
      </c>
      <c r="L527" s="28" t="s">
        <v>29</v>
      </c>
      <c r="M527" s="28"/>
      <c r="N527" s="28" t="s">
        <v>38</v>
      </c>
      <c r="O527" s="10" t="str">
        <f t="shared" si="3"/>
        <v>12/2024</v>
      </c>
      <c r="P527" s="10" t="str">
        <f t="shared" si="29"/>
        <v>12/2024</v>
      </c>
      <c r="Q527" s="15" t="str">
        <f t="array" ref="Q527">IFERROR(XLOOKUP(N527,'Classificação'!A:A,'Classificação'!B:B),"")</f>
        <v>DESPESAS COM PESSOAL</v>
      </c>
      <c r="R527" s="15" t="str">
        <f t="array" ref="R527">IFERROR(XLOOKUP(Q527,'Classificação'!B:B,'Classificação'!C:C),"")</f>
        <v>DESPESAS FIXAS (-)</v>
      </c>
      <c r="S527" s="15">
        <f t="shared" si="5"/>
        <v>16</v>
      </c>
      <c r="T527" s="15">
        <f t="shared" si="6"/>
        <v>12</v>
      </c>
      <c r="U527" s="15">
        <f t="shared" si="7"/>
        <v>2024</v>
      </c>
      <c r="V527" s="15">
        <f t="shared" si="8"/>
        <v>16</v>
      </c>
      <c r="W527" s="15">
        <f t="shared" si="9"/>
        <v>12</v>
      </c>
      <c r="X527" s="15">
        <f t="shared" si="10"/>
        <v>2024</v>
      </c>
    </row>
    <row r="528">
      <c r="A528" s="26">
        <v>45642.0</v>
      </c>
      <c r="B528" s="30"/>
      <c r="C528" s="27">
        <f t="shared" si="22"/>
        <v>45642</v>
      </c>
      <c r="D528" s="28" t="s">
        <v>43</v>
      </c>
      <c r="E528" s="29" t="s">
        <v>25</v>
      </c>
      <c r="F528" s="28" t="s">
        <v>32</v>
      </c>
      <c r="G528" s="28" t="s">
        <v>27</v>
      </c>
      <c r="H528" s="28"/>
      <c r="I528" s="24">
        <v>1250.0</v>
      </c>
      <c r="J528" s="34"/>
      <c r="K528" s="37">
        <f t="shared" si="37"/>
        <v>1250</v>
      </c>
      <c r="L528" s="28" t="s">
        <v>29</v>
      </c>
      <c r="M528" s="28"/>
      <c r="N528" s="28" t="s">
        <v>38</v>
      </c>
      <c r="O528" s="10" t="str">
        <f t="shared" si="3"/>
        <v>12/2024</v>
      </c>
      <c r="P528" s="10" t="str">
        <f t="shared" si="29"/>
        <v>12/2024</v>
      </c>
      <c r="Q528" s="15" t="str">
        <f t="array" ref="Q528">IFERROR(XLOOKUP(N528,'Classificação'!A:A,'Classificação'!B:B),"")</f>
        <v>DESPESAS COM PESSOAL</v>
      </c>
      <c r="R528" s="15" t="str">
        <f t="array" ref="R528">IFERROR(XLOOKUP(Q528,'Classificação'!B:B,'Classificação'!C:C),"")</f>
        <v>DESPESAS FIXAS (-)</v>
      </c>
      <c r="S528" s="15">
        <f t="shared" si="5"/>
        <v>16</v>
      </c>
      <c r="T528" s="15">
        <f t="shared" si="6"/>
        <v>12</v>
      </c>
      <c r="U528" s="15">
        <f t="shared" si="7"/>
        <v>2024</v>
      </c>
      <c r="V528" s="15">
        <f t="shared" si="8"/>
        <v>16</v>
      </c>
      <c r="W528" s="15">
        <f t="shared" si="9"/>
        <v>12</v>
      </c>
      <c r="X528" s="15">
        <f t="shared" si="10"/>
        <v>2024</v>
      </c>
    </row>
    <row r="529">
      <c r="A529" s="32">
        <v>45643.0</v>
      </c>
      <c r="B529" s="10"/>
      <c r="C529" s="9">
        <f t="shared" si="22"/>
        <v>45643</v>
      </c>
      <c r="D529" s="11" t="s">
        <v>422</v>
      </c>
      <c r="E529" s="11" t="s">
        <v>25</v>
      </c>
      <c r="F529" s="11" t="s">
        <v>26</v>
      </c>
      <c r="G529" s="11" t="s">
        <v>37</v>
      </c>
      <c r="H529" s="11" t="s">
        <v>423</v>
      </c>
      <c r="I529" s="12">
        <v>26.71</v>
      </c>
      <c r="J529" s="13"/>
      <c r="K529" s="13">
        <f t="shared" ref="K529:K597" si="38">if(E529="pago",(I529-J529),"")</f>
        <v>26.71</v>
      </c>
      <c r="L529" s="11" t="s">
        <v>34</v>
      </c>
      <c r="M529" s="14"/>
      <c r="N529" s="11" t="s">
        <v>394</v>
      </c>
      <c r="O529" s="10" t="str">
        <f t="shared" si="3"/>
        <v>12/2024</v>
      </c>
      <c r="P529" s="10" t="str">
        <f t="shared" si="29"/>
        <v>12/2024</v>
      </c>
      <c r="Q529" s="15" t="str">
        <f t="array" ref="Q529">IFERROR(XLOOKUP(N529,'Classificação'!A:A,'Classificação'!B:B),"")</f>
        <v>DESPESAS NÃO OPERACIONAIS</v>
      </c>
      <c r="R529" s="15" t="str">
        <f t="array" ref="R529">IFERROR(XLOOKUP(Q529,'Classificação'!B:B,'Classificação'!C:C),"")</f>
        <v>RESULTADO NÃO OPERACIONAL (+/-)</v>
      </c>
      <c r="S529" s="15">
        <f t="shared" si="5"/>
        <v>17</v>
      </c>
      <c r="T529" s="15">
        <f t="shared" si="6"/>
        <v>12</v>
      </c>
      <c r="U529" s="15">
        <f t="shared" si="7"/>
        <v>2024</v>
      </c>
      <c r="V529" s="15">
        <f t="shared" si="8"/>
        <v>17</v>
      </c>
      <c r="W529" s="15">
        <f t="shared" si="9"/>
        <v>12</v>
      </c>
      <c r="X529" s="15">
        <f t="shared" si="10"/>
        <v>2024</v>
      </c>
    </row>
    <row r="530">
      <c r="A530" s="32">
        <v>45643.0</v>
      </c>
      <c r="B530" s="10"/>
      <c r="C530" s="9">
        <f t="shared" si="22"/>
        <v>45643</v>
      </c>
      <c r="D530" s="11" t="s">
        <v>44</v>
      </c>
      <c r="E530" s="11" t="s">
        <v>25</v>
      </c>
      <c r="F530" s="11" t="s">
        <v>45</v>
      </c>
      <c r="G530" s="11" t="s">
        <v>27</v>
      </c>
      <c r="H530" s="11" t="s">
        <v>424</v>
      </c>
      <c r="I530" s="12">
        <v>21.81</v>
      </c>
      <c r="J530" s="13"/>
      <c r="K530" s="13">
        <f t="shared" si="38"/>
        <v>21.81</v>
      </c>
      <c r="L530" s="11" t="s">
        <v>34</v>
      </c>
      <c r="M530" s="14"/>
      <c r="N530" s="11" t="s">
        <v>97</v>
      </c>
      <c r="O530" s="10" t="str">
        <f t="shared" si="3"/>
        <v>12/2024</v>
      </c>
      <c r="P530" s="10" t="str">
        <f t="shared" si="29"/>
        <v>12/2024</v>
      </c>
      <c r="Q530" s="15" t="str">
        <f t="array" ref="Q530">IFERROR(XLOOKUP(N530,'Classificação'!A:A,'Classificação'!B:B),"")</f>
        <v>TARIFAS DE PIX</v>
      </c>
      <c r="R530" s="15" t="str">
        <f t="array" ref="R530">IFERROR(XLOOKUP(Q530,'Classificação'!B:B,'Classificação'!C:C),"")</f>
        <v>(+/-) RESULTADO FINANCEIRO LÍQUIDO</v>
      </c>
      <c r="S530" s="15">
        <f t="shared" si="5"/>
        <v>17</v>
      </c>
      <c r="T530" s="15">
        <f t="shared" si="6"/>
        <v>12</v>
      </c>
      <c r="U530" s="15">
        <f t="shared" si="7"/>
        <v>2024</v>
      </c>
      <c r="V530" s="15">
        <f t="shared" si="8"/>
        <v>17</v>
      </c>
      <c r="W530" s="15">
        <f t="shared" si="9"/>
        <v>12</v>
      </c>
      <c r="X530" s="15">
        <f t="shared" si="10"/>
        <v>2024</v>
      </c>
    </row>
    <row r="531">
      <c r="A531" s="32">
        <v>45644.0</v>
      </c>
      <c r="B531" s="10"/>
      <c r="C531" s="9">
        <f t="shared" si="22"/>
        <v>45644</v>
      </c>
      <c r="D531" s="11" t="s">
        <v>44</v>
      </c>
      <c r="E531" s="11" t="s">
        <v>25</v>
      </c>
      <c r="F531" s="11" t="s">
        <v>40</v>
      </c>
      <c r="G531" s="11" t="s">
        <v>27</v>
      </c>
      <c r="H531" s="11" t="s">
        <v>425</v>
      </c>
      <c r="I531" s="12">
        <v>246.74</v>
      </c>
      <c r="J531" s="13"/>
      <c r="K531" s="13">
        <f t="shared" si="38"/>
        <v>246.74</v>
      </c>
      <c r="L531" s="11" t="s">
        <v>34</v>
      </c>
      <c r="M531" s="14"/>
      <c r="N531" s="11" t="s">
        <v>35</v>
      </c>
      <c r="O531" s="10" t="str">
        <f t="shared" si="3"/>
        <v>12/2024</v>
      </c>
      <c r="P531" s="10" t="str">
        <f t="shared" si="29"/>
        <v>12/2024</v>
      </c>
      <c r="Q531" s="15" t="str">
        <f t="array" ref="Q531">IFERROR(XLOOKUP(N531,'Classificação'!A:A,'Classificação'!B:B),"")</f>
        <v>COMPRA DE MERCADORIA</v>
      </c>
      <c r="R531" s="15" t="str">
        <f t="array" ref="R531">IFERROR(XLOOKUP(Q531,'Classificação'!B:B,'Classificação'!C:C),"")</f>
        <v>CUSTOS VARIÁVEIS</v>
      </c>
      <c r="S531" s="15">
        <f t="shared" si="5"/>
        <v>18</v>
      </c>
      <c r="T531" s="15">
        <f t="shared" si="6"/>
        <v>12</v>
      </c>
      <c r="U531" s="15">
        <f t="shared" si="7"/>
        <v>2024</v>
      </c>
      <c r="V531" s="15">
        <f t="shared" si="8"/>
        <v>18</v>
      </c>
      <c r="W531" s="15">
        <f t="shared" si="9"/>
        <v>12</v>
      </c>
      <c r="X531" s="15">
        <f t="shared" si="10"/>
        <v>2024</v>
      </c>
    </row>
    <row r="532">
      <c r="A532" s="32">
        <v>45644.0</v>
      </c>
      <c r="B532" s="10"/>
      <c r="C532" s="9">
        <f t="shared" si="22"/>
        <v>45644</v>
      </c>
      <c r="D532" s="11" t="s">
        <v>44</v>
      </c>
      <c r="E532" s="11" t="s">
        <v>25</v>
      </c>
      <c r="F532" s="11" t="s">
        <v>40</v>
      </c>
      <c r="G532" s="11" t="s">
        <v>27</v>
      </c>
      <c r="H532" s="11" t="s">
        <v>425</v>
      </c>
      <c r="I532" s="12">
        <v>246.74</v>
      </c>
      <c r="J532" s="13"/>
      <c r="K532" s="13">
        <f t="shared" si="38"/>
        <v>246.74</v>
      </c>
      <c r="L532" s="11" t="s">
        <v>34</v>
      </c>
      <c r="M532" s="14"/>
      <c r="N532" s="11" t="s">
        <v>35</v>
      </c>
      <c r="O532" s="10" t="str">
        <f t="shared" si="3"/>
        <v>12/2024</v>
      </c>
      <c r="P532" s="10" t="str">
        <f t="shared" si="29"/>
        <v>12/2024</v>
      </c>
      <c r="Q532" s="15" t="str">
        <f t="array" ref="Q532">IFERROR(XLOOKUP(N532,'Classificação'!A:A,'Classificação'!B:B),"")</f>
        <v>COMPRA DE MERCADORIA</v>
      </c>
      <c r="R532" s="15" t="str">
        <f t="array" ref="R532">IFERROR(XLOOKUP(Q532,'Classificação'!B:B,'Classificação'!C:C),"")</f>
        <v>CUSTOS VARIÁVEIS</v>
      </c>
      <c r="S532" s="15">
        <f t="shared" si="5"/>
        <v>18</v>
      </c>
      <c r="T532" s="15">
        <f t="shared" si="6"/>
        <v>12</v>
      </c>
      <c r="U532" s="15">
        <f t="shared" si="7"/>
        <v>2024</v>
      </c>
      <c r="V532" s="15">
        <f t="shared" si="8"/>
        <v>18</v>
      </c>
      <c r="W532" s="15">
        <f t="shared" si="9"/>
        <v>12</v>
      </c>
      <c r="X532" s="15">
        <f t="shared" si="10"/>
        <v>2024</v>
      </c>
    </row>
    <row r="533">
      <c r="A533" s="9">
        <v>45644.0</v>
      </c>
      <c r="B533" s="10"/>
      <c r="C533" s="9">
        <f t="shared" si="22"/>
        <v>45644</v>
      </c>
      <c r="D533" s="11" t="s">
        <v>44</v>
      </c>
      <c r="E533" s="11" t="s">
        <v>25</v>
      </c>
      <c r="F533" s="11" t="s">
        <v>45</v>
      </c>
      <c r="G533" s="11" t="s">
        <v>27</v>
      </c>
      <c r="H533" s="11" t="s">
        <v>98</v>
      </c>
      <c r="I533" s="12">
        <v>3375.28</v>
      </c>
      <c r="J533" s="13"/>
      <c r="K533" s="13">
        <f t="shared" si="38"/>
        <v>3375.28</v>
      </c>
      <c r="L533" s="11" t="s">
        <v>53</v>
      </c>
      <c r="M533" s="16" t="s">
        <v>426</v>
      </c>
      <c r="N533" s="11" t="s">
        <v>73</v>
      </c>
      <c r="O533" s="10" t="str">
        <f t="shared" si="3"/>
        <v>12/2024</v>
      </c>
      <c r="P533" s="10" t="str">
        <f t="shared" si="29"/>
        <v>12/2024</v>
      </c>
      <c r="Q533" s="15" t="str">
        <f t="array" ref="Q533">IFERROR(XLOOKUP(N533,'Classificação'!A:A,'Classificação'!B:B),"")</f>
        <v>DESPESAS NÃO OPERACIONAIS</v>
      </c>
      <c r="R533" s="15" t="str">
        <f t="array" ref="R533">IFERROR(XLOOKUP(Q533,'Classificação'!B:B,'Classificação'!C:C),"")</f>
        <v>RESULTADO NÃO OPERACIONAL (+/-)</v>
      </c>
      <c r="S533" s="15">
        <f t="shared" si="5"/>
        <v>18</v>
      </c>
      <c r="T533" s="15">
        <f t="shared" si="6"/>
        <v>12</v>
      </c>
      <c r="U533" s="15">
        <f t="shared" si="7"/>
        <v>2024</v>
      </c>
      <c r="V533" s="15">
        <f t="shared" si="8"/>
        <v>18</v>
      </c>
      <c r="W533" s="15">
        <f t="shared" si="9"/>
        <v>12</v>
      </c>
      <c r="X533" s="15">
        <f t="shared" si="10"/>
        <v>2024</v>
      </c>
    </row>
    <row r="534">
      <c r="A534" s="9">
        <v>45644.0</v>
      </c>
      <c r="B534" s="10"/>
      <c r="C534" s="9">
        <f t="shared" si="22"/>
        <v>45644</v>
      </c>
      <c r="D534" s="11" t="s">
        <v>65</v>
      </c>
      <c r="E534" s="11" t="s">
        <v>25</v>
      </c>
      <c r="F534" s="11" t="s">
        <v>45</v>
      </c>
      <c r="G534" s="11" t="s">
        <v>37</v>
      </c>
      <c r="H534" s="11" t="s">
        <v>103</v>
      </c>
      <c r="I534" s="12">
        <v>559.98</v>
      </c>
      <c r="J534" s="13"/>
      <c r="K534" s="13">
        <f t="shared" si="38"/>
        <v>559.98</v>
      </c>
      <c r="L534" s="11" t="s">
        <v>29</v>
      </c>
      <c r="M534" s="14"/>
      <c r="N534" s="11" t="s">
        <v>68</v>
      </c>
      <c r="O534" s="10" t="str">
        <f t="shared" si="3"/>
        <v>12/2024</v>
      </c>
      <c r="P534" s="10" t="str">
        <f t="shared" si="29"/>
        <v>12/2024</v>
      </c>
      <c r="Q534" s="15" t="str">
        <f t="array" ref="Q534">IFERROR(XLOOKUP(N534,'Classificação'!A:A,'Classificação'!B:B),"")</f>
        <v>FRETE DE VENDAS</v>
      </c>
      <c r="R534" s="15" t="str">
        <f t="array" ref="R534">IFERROR(XLOOKUP(Q534,'Classificação'!B:B,'Classificação'!C:C),"")</f>
        <v>CUSTOS VARIÁVEIS</v>
      </c>
      <c r="S534" s="15">
        <f t="shared" si="5"/>
        <v>18</v>
      </c>
      <c r="T534" s="15">
        <f t="shared" si="6"/>
        <v>12</v>
      </c>
      <c r="U534" s="15">
        <f t="shared" si="7"/>
        <v>2024</v>
      </c>
      <c r="V534" s="15">
        <f t="shared" si="8"/>
        <v>18</v>
      </c>
      <c r="W534" s="15">
        <f t="shared" si="9"/>
        <v>12</v>
      </c>
      <c r="X534" s="15">
        <f t="shared" si="10"/>
        <v>2024</v>
      </c>
    </row>
    <row r="535">
      <c r="A535" s="36">
        <v>45644.0</v>
      </c>
      <c r="B535" s="30"/>
      <c r="C535" s="27">
        <f t="shared" si="22"/>
        <v>45644</v>
      </c>
      <c r="D535" s="28" t="s">
        <v>399</v>
      </c>
      <c r="E535" s="29" t="s">
        <v>25</v>
      </c>
      <c r="F535" s="28" t="s">
        <v>40</v>
      </c>
      <c r="G535" s="28" t="s">
        <v>27</v>
      </c>
      <c r="H535" s="29" t="s">
        <v>427</v>
      </c>
      <c r="I535" s="24">
        <v>463.13</v>
      </c>
      <c r="J535" s="34"/>
      <c r="K535" s="13">
        <f t="shared" si="38"/>
        <v>463.13</v>
      </c>
      <c r="L535" s="42" t="s">
        <v>53</v>
      </c>
      <c r="M535" s="35">
        <v>45323.0</v>
      </c>
      <c r="N535" s="42" t="s">
        <v>35</v>
      </c>
      <c r="O535" s="10" t="str">
        <f t="shared" si="3"/>
        <v>12/2024</v>
      </c>
      <c r="P535" s="10" t="str">
        <f t="shared" si="29"/>
        <v>12/2024</v>
      </c>
      <c r="Q535" s="15" t="str">
        <f t="array" ref="Q535">IFERROR(XLOOKUP(N535,'Classificação'!A:A,'Classificação'!B:B),"")</f>
        <v>COMPRA DE MERCADORIA</v>
      </c>
      <c r="R535" s="15" t="str">
        <f t="array" ref="R535">IFERROR(XLOOKUP(Q535,'Classificação'!B:B,'Classificação'!C:C),"")</f>
        <v>CUSTOS VARIÁVEIS</v>
      </c>
      <c r="S535" s="15">
        <f t="shared" si="5"/>
        <v>18</v>
      </c>
      <c r="T535" s="15">
        <f t="shared" si="6"/>
        <v>12</v>
      </c>
      <c r="U535" s="15">
        <f t="shared" si="7"/>
        <v>2024</v>
      </c>
      <c r="V535" s="15">
        <f t="shared" si="8"/>
        <v>18</v>
      </c>
      <c r="W535" s="15">
        <f t="shared" si="9"/>
        <v>12</v>
      </c>
      <c r="X535" s="15">
        <f t="shared" si="10"/>
        <v>2024</v>
      </c>
    </row>
    <row r="536">
      <c r="A536" s="36">
        <v>45644.0</v>
      </c>
      <c r="B536" s="30"/>
      <c r="C536" s="27">
        <f t="shared" si="22"/>
        <v>45644</v>
      </c>
      <c r="D536" s="28" t="s">
        <v>399</v>
      </c>
      <c r="E536" s="29" t="s">
        <v>25</v>
      </c>
      <c r="F536" s="28" t="s">
        <v>40</v>
      </c>
      <c r="G536" s="29" t="s">
        <v>37</v>
      </c>
      <c r="H536" s="29" t="s">
        <v>428</v>
      </c>
      <c r="I536" s="24">
        <v>463.12</v>
      </c>
      <c r="J536" s="34"/>
      <c r="K536" s="13">
        <f t="shared" si="38"/>
        <v>463.12</v>
      </c>
      <c r="L536" s="42" t="s">
        <v>53</v>
      </c>
      <c r="M536" s="35">
        <v>45323.0</v>
      </c>
      <c r="N536" s="42" t="s">
        <v>35</v>
      </c>
      <c r="O536" s="10" t="str">
        <f t="shared" si="3"/>
        <v>12/2024</v>
      </c>
      <c r="P536" s="10" t="str">
        <f t="shared" si="29"/>
        <v>12/2024</v>
      </c>
      <c r="Q536" s="15" t="str">
        <f t="array" ref="Q536">IFERROR(XLOOKUP(N536,'Classificação'!A:A,'Classificação'!B:B),"")</f>
        <v>COMPRA DE MERCADORIA</v>
      </c>
      <c r="R536" s="15" t="str">
        <f t="array" ref="R536">IFERROR(XLOOKUP(Q536,'Classificação'!B:B,'Classificação'!C:C),"")</f>
        <v>CUSTOS VARIÁVEIS</v>
      </c>
      <c r="S536" s="15">
        <f t="shared" si="5"/>
        <v>18</v>
      </c>
      <c r="T536" s="15">
        <f t="shared" si="6"/>
        <v>12</v>
      </c>
      <c r="U536" s="15">
        <f t="shared" si="7"/>
        <v>2024</v>
      </c>
      <c r="V536" s="15">
        <f t="shared" si="8"/>
        <v>18</v>
      </c>
      <c r="W536" s="15">
        <f t="shared" si="9"/>
        <v>12</v>
      </c>
      <c r="X536" s="15">
        <f t="shared" si="10"/>
        <v>2024</v>
      </c>
    </row>
    <row r="537">
      <c r="A537" s="9">
        <v>45645.0</v>
      </c>
      <c r="B537" s="10"/>
      <c r="C537" s="9">
        <f t="shared" si="22"/>
        <v>45645</v>
      </c>
      <c r="D537" s="11" t="s">
        <v>90</v>
      </c>
      <c r="E537" s="11" t="s">
        <v>25</v>
      </c>
      <c r="F537" s="11" t="s">
        <v>40</v>
      </c>
      <c r="G537" s="11" t="s">
        <v>27</v>
      </c>
      <c r="H537" s="11" t="s">
        <v>367</v>
      </c>
      <c r="I537" s="12">
        <v>578.15</v>
      </c>
      <c r="J537" s="13"/>
      <c r="K537" s="13">
        <f t="shared" si="38"/>
        <v>578.15</v>
      </c>
      <c r="L537" s="11" t="s">
        <v>29</v>
      </c>
      <c r="M537" s="14"/>
      <c r="N537" s="11" t="s">
        <v>92</v>
      </c>
      <c r="O537" s="10" t="str">
        <f t="shared" si="3"/>
        <v>12/2024</v>
      </c>
      <c r="P537" s="10" t="str">
        <f t="shared" si="29"/>
        <v>12/2024</v>
      </c>
      <c r="Q537" s="15" t="str">
        <f t="array" ref="Q537">IFERROR(XLOOKUP(N537,'Classificação'!A:A,'Classificação'!B:B),"")</f>
        <v>DESPESAS COM OCUPAÇÃO</v>
      </c>
      <c r="R537" s="15" t="str">
        <f t="array" ref="R537">IFERROR(XLOOKUP(Q537,'Classificação'!B:B,'Classificação'!C:C),"")</f>
        <v>DESPESAS FIXAS (-)</v>
      </c>
      <c r="S537" s="15">
        <f t="shared" si="5"/>
        <v>19</v>
      </c>
      <c r="T537" s="15">
        <f t="shared" si="6"/>
        <v>12</v>
      </c>
      <c r="U537" s="15">
        <f t="shared" si="7"/>
        <v>2024</v>
      </c>
      <c r="V537" s="15">
        <f t="shared" si="8"/>
        <v>19</v>
      </c>
      <c r="W537" s="15">
        <f t="shared" si="9"/>
        <v>12</v>
      </c>
      <c r="X537" s="15">
        <f t="shared" si="10"/>
        <v>2024</v>
      </c>
    </row>
    <row r="538">
      <c r="A538" s="32">
        <v>45645.0</v>
      </c>
      <c r="B538" s="10"/>
      <c r="C538" s="9">
        <f t="shared" si="22"/>
        <v>45645</v>
      </c>
      <c r="D538" s="11" t="s">
        <v>44</v>
      </c>
      <c r="E538" s="11" t="s">
        <v>25</v>
      </c>
      <c r="F538" s="11" t="s">
        <v>26</v>
      </c>
      <c r="G538" s="11" t="s">
        <v>27</v>
      </c>
      <c r="H538" s="11" t="s">
        <v>429</v>
      </c>
      <c r="I538" s="12">
        <v>450.0</v>
      </c>
      <c r="J538" s="13"/>
      <c r="K538" s="13">
        <f t="shared" si="38"/>
        <v>450</v>
      </c>
      <c r="L538" s="11" t="s">
        <v>34</v>
      </c>
      <c r="M538" s="14"/>
      <c r="N538" s="11" t="s">
        <v>204</v>
      </c>
      <c r="O538" s="10" t="str">
        <f t="shared" si="3"/>
        <v>12/2024</v>
      </c>
      <c r="P538" s="10" t="str">
        <f t="shared" si="29"/>
        <v>12/2024</v>
      </c>
      <c r="Q538" s="15" t="str">
        <f t="array" ref="Q538">IFERROR(XLOOKUP(N538,'Classificação'!A:A,'Classificação'!B:B),"")</f>
        <v>DESPESAS COM PESSOAL</v>
      </c>
      <c r="R538" s="15" t="str">
        <f t="array" ref="R538">IFERROR(XLOOKUP(Q538,'Classificação'!B:B,'Classificação'!C:C),"")</f>
        <v>DESPESAS FIXAS (-)</v>
      </c>
      <c r="S538" s="15">
        <f t="shared" si="5"/>
        <v>19</v>
      </c>
      <c r="T538" s="15">
        <f t="shared" si="6"/>
        <v>12</v>
      </c>
      <c r="U538" s="15">
        <f t="shared" si="7"/>
        <v>2024</v>
      </c>
      <c r="V538" s="15">
        <f t="shared" si="8"/>
        <v>19</v>
      </c>
      <c r="W538" s="15">
        <f t="shared" si="9"/>
        <v>12</v>
      </c>
      <c r="X538" s="15">
        <f t="shared" si="10"/>
        <v>2024</v>
      </c>
    </row>
    <row r="539">
      <c r="A539" s="32">
        <v>45645.0</v>
      </c>
      <c r="B539" s="10"/>
      <c r="C539" s="9">
        <f t="shared" si="22"/>
        <v>45645</v>
      </c>
      <c r="D539" s="11" t="s">
        <v>417</v>
      </c>
      <c r="E539" s="11" t="s">
        <v>25</v>
      </c>
      <c r="F539" s="11" t="s">
        <v>26</v>
      </c>
      <c r="G539" s="11" t="s">
        <v>37</v>
      </c>
      <c r="H539" s="11" t="s">
        <v>430</v>
      </c>
      <c r="I539" s="12">
        <v>200.0</v>
      </c>
      <c r="J539" s="13"/>
      <c r="K539" s="13">
        <f t="shared" si="38"/>
        <v>200</v>
      </c>
      <c r="L539" s="11" t="s">
        <v>34</v>
      </c>
      <c r="M539" s="14"/>
      <c r="N539" s="11" t="s">
        <v>58</v>
      </c>
      <c r="O539" s="10" t="str">
        <f t="shared" si="3"/>
        <v>12/2024</v>
      </c>
      <c r="P539" s="10" t="str">
        <f t="shared" si="29"/>
        <v>12/2024</v>
      </c>
      <c r="Q539" s="15" t="str">
        <f t="array" ref="Q539">IFERROR(XLOOKUP(N539,'Classificação'!A:A,'Classificação'!B:B),"")</f>
        <v>DESPESAS ADMINISTRATIVAS</v>
      </c>
      <c r="R539" s="15" t="str">
        <f t="array" ref="R539">IFERROR(XLOOKUP(Q539,'Classificação'!B:B,'Classificação'!C:C),"")</f>
        <v>DESPESAS FIXAS (-)</v>
      </c>
      <c r="S539" s="15">
        <f t="shared" si="5"/>
        <v>19</v>
      </c>
      <c r="T539" s="15">
        <f t="shared" si="6"/>
        <v>12</v>
      </c>
      <c r="U539" s="15">
        <f t="shared" si="7"/>
        <v>2024</v>
      </c>
      <c r="V539" s="15">
        <f t="shared" si="8"/>
        <v>19</v>
      </c>
      <c r="W539" s="15">
        <f t="shared" si="9"/>
        <v>12</v>
      </c>
      <c r="X539" s="15">
        <f t="shared" si="10"/>
        <v>2024</v>
      </c>
    </row>
    <row r="540">
      <c r="A540" s="32">
        <v>45645.0</v>
      </c>
      <c r="B540" s="10"/>
      <c r="C540" s="9">
        <f t="shared" si="22"/>
        <v>45645</v>
      </c>
      <c r="D540" s="11" t="s">
        <v>83</v>
      </c>
      <c r="E540" s="11" t="s">
        <v>25</v>
      </c>
      <c r="F540" s="11" t="s">
        <v>26</v>
      </c>
      <c r="G540" s="11" t="s">
        <v>37</v>
      </c>
      <c r="H540" s="11" t="s">
        <v>431</v>
      </c>
      <c r="I540" s="12">
        <v>120.0</v>
      </c>
      <c r="J540" s="13"/>
      <c r="K540" s="13">
        <f t="shared" si="38"/>
        <v>120</v>
      </c>
      <c r="L540" s="11" t="s">
        <v>34</v>
      </c>
      <c r="M540" s="14"/>
      <c r="N540" s="11" t="s">
        <v>58</v>
      </c>
      <c r="O540" s="10" t="str">
        <f t="shared" si="3"/>
        <v>12/2024</v>
      </c>
      <c r="P540" s="10" t="str">
        <f t="shared" si="29"/>
        <v>12/2024</v>
      </c>
      <c r="Q540" s="15" t="str">
        <f t="array" ref="Q540">IFERROR(XLOOKUP(N540,'Classificação'!A:A,'Classificação'!B:B),"")</f>
        <v>DESPESAS ADMINISTRATIVAS</v>
      </c>
      <c r="R540" s="15" t="str">
        <f t="array" ref="R540">IFERROR(XLOOKUP(Q540,'Classificação'!B:B,'Classificação'!C:C),"")</f>
        <v>DESPESAS FIXAS (-)</v>
      </c>
      <c r="S540" s="15">
        <f t="shared" si="5"/>
        <v>19</v>
      </c>
      <c r="T540" s="15">
        <f t="shared" si="6"/>
        <v>12</v>
      </c>
      <c r="U540" s="15">
        <f t="shared" si="7"/>
        <v>2024</v>
      </c>
      <c r="V540" s="15">
        <f t="shared" si="8"/>
        <v>19</v>
      </c>
      <c r="W540" s="15">
        <f t="shared" si="9"/>
        <v>12</v>
      </c>
      <c r="X540" s="15">
        <f t="shared" si="10"/>
        <v>2024</v>
      </c>
    </row>
    <row r="541">
      <c r="A541" s="32">
        <v>45645.0</v>
      </c>
      <c r="B541" s="10"/>
      <c r="C541" s="9">
        <f t="shared" si="22"/>
        <v>45645</v>
      </c>
      <c r="D541" s="11" t="s">
        <v>44</v>
      </c>
      <c r="E541" s="11" t="s">
        <v>25</v>
      </c>
      <c r="F541" s="11" t="s">
        <v>45</v>
      </c>
      <c r="G541" s="11" t="s">
        <v>27</v>
      </c>
      <c r="H541" s="11" t="s">
        <v>432</v>
      </c>
      <c r="I541" s="12">
        <v>7875.61</v>
      </c>
      <c r="J541" s="13"/>
      <c r="K541" s="13">
        <f t="shared" si="38"/>
        <v>7875.61</v>
      </c>
      <c r="L541" s="11" t="s">
        <v>34</v>
      </c>
      <c r="M541" s="14"/>
      <c r="N541" s="11" t="s">
        <v>73</v>
      </c>
      <c r="O541" s="10" t="str">
        <f t="shared" si="3"/>
        <v>12/2024</v>
      </c>
      <c r="P541" s="10" t="str">
        <f t="shared" si="29"/>
        <v>12/2024</v>
      </c>
      <c r="Q541" s="15" t="str">
        <f t="array" ref="Q541">IFERROR(XLOOKUP(N541,'Classificação'!A:A,'Classificação'!B:B),"")</f>
        <v>DESPESAS NÃO OPERACIONAIS</v>
      </c>
      <c r="R541" s="15" t="str">
        <f t="array" ref="R541">IFERROR(XLOOKUP(Q541,'Classificação'!B:B,'Classificação'!C:C),"")</f>
        <v>RESULTADO NÃO OPERACIONAL (+/-)</v>
      </c>
      <c r="S541" s="15">
        <f t="shared" si="5"/>
        <v>19</v>
      </c>
      <c r="T541" s="15">
        <f t="shared" si="6"/>
        <v>12</v>
      </c>
      <c r="U541" s="15">
        <f t="shared" si="7"/>
        <v>2024</v>
      </c>
      <c r="V541" s="15">
        <f t="shared" si="8"/>
        <v>19</v>
      </c>
      <c r="W541" s="15">
        <f t="shared" si="9"/>
        <v>12</v>
      </c>
      <c r="X541" s="15">
        <f t="shared" si="10"/>
        <v>2024</v>
      </c>
    </row>
    <row r="542">
      <c r="A542" s="32">
        <v>45645.0</v>
      </c>
      <c r="B542" s="10"/>
      <c r="C542" s="9">
        <f t="shared" si="22"/>
        <v>45645</v>
      </c>
      <c r="D542" s="11" t="s">
        <v>44</v>
      </c>
      <c r="E542" s="11" t="s">
        <v>25</v>
      </c>
      <c r="F542" s="11" t="s">
        <v>45</v>
      </c>
      <c r="G542" s="11" t="s">
        <v>27</v>
      </c>
      <c r="H542" s="11" t="s">
        <v>433</v>
      </c>
      <c r="I542" s="12">
        <v>10403.94</v>
      </c>
      <c r="J542" s="13"/>
      <c r="K542" s="13">
        <f t="shared" si="38"/>
        <v>10403.94</v>
      </c>
      <c r="L542" s="11" t="s">
        <v>34</v>
      </c>
      <c r="M542" s="14"/>
      <c r="N542" s="11" t="s">
        <v>73</v>
      </c>
      <c r="O542" s="10" t="str">
        <f t="shared" si="3"/>
        <v>12/2024</v>
      </c>
      <c r="P542" s="10" t="str">
        <f t="shared" si="29"/>
        <v>12/2024</v>
      </c>
      <c r="Q542" s="15" t="str">
        <f t="array" ref="Q542">IFERROR(XLOOKUP(N542,'Classificação'!A:A,'Classificação'!B:B),"")</f>
        <v>DESPESAS NÃO OPERACIONAIS</v>
      </c>
      <c r="R542" s="15" t="str">
        <f t="array" ref="R542">IFERROR(XLOOKUP(Q542,'Classificação'!B:B,'Classificação'!C:C),"")</f>
        <v>RESULTADO NÃO OPERACIONAL (+/-)</v>
      </c>
      <c r="S542" s="15">
        <f t="shared" si="5"/>
        <v>19</v>
      </c>
      <c r="T542" s="15">
        <f t="shared" si="6"/>
        <v>12</v>
      </c>
      <c r="U542" s="15">
        <f t="shared" si="7"/>
        <v>2024</v>
      </c>
      <c r="V542" s="15">
        <f t="shared" si="8"/>
        <v>19</v>
      </c>
      <c r="W542" s="15">
        <f t="shared" si="9"/>
        <v>12</v>
      </c>
      <c r="X542" s="15">
        <f t="shared" si="10"/>
        <v>2024</v>
      </c>
    </row>
    <row r="543">
      <c r="A543" s="32">
        <v>45645.0</v>
      </c>
      <c r="B543" s="10"/>
      <c r="C543" s="9">
        <f t="shared" si="22"/>
        <v>45645</v>
      </c>
      <c r="D543" s="11" t="s">
        <v>434</v>
      </c>
      <c r="E543" s="11" t="s">
        <v>25</v>
      </c>
      <c r="F543" s="11" t="s">
        <v>45</v>
      </c>
      <c r="G543" s="11" t="s">
        <v>27</v>
      </c>
      <c r="H543" s="11" t="s">
        <v>435</v>
      </c>
      <c r="I543" s="12">
        <v>2284.94</v>
      </c>
      <c r="J543" s="13"/>
      <c r="K543" s="13">
        <f t="shared" si="38"/>
        <v>2284.94</v>
      </c>
      <c r="L543" s="11" t="s">
        <v>34</v>
      </c>
      <c r="M543" s="14"/>
      <c r="N543" s="11" t="s">
        <v>355</v>
      </c>
      <c r="O543" s="10" t="str">
        <f t="shared" si="3"/>
        <v>12/2024</v>
      </c>
      <c r="P543" s="10" t="str">
        <f t="shared" si="29"/>
        <v>12/2024</v>
      </c>
      <c r="Q543" s="15" t="str">
        <f t="array" ref="Q543">IFERROR(XLOOKUP(N543,'Classificação'!A:A,'Classificação'!B:B),"")</f>
        <v>IMPOSTOS E TAXAS DIVERSAS</v>
      </c>
      <c r="R543" s="15" t="str">
        <f t="array" ref="R543">IFERROR(XLOOKUP(Q543,'Classificação'!B:B,'Classificação'!C:C),"")</f>
        <v>DESPESAS FIXAS (-)</v>
      </c>
      <c r="S543" s="15">
        <f t="shared" si="5"/>
        <v>19</v>
      </c>
      <c r="T543" s="15">
        <f t="shared" si="6"/>
        <v>12</v>
      </c>
      <c r="U543" s="15">
        <f t="shared" si="7"/>
        <v>2024</v>
      </c>
      <c r="V543" s="15">
        <f t="shared" si="8"/>
        <v>19</v>
      </c>
      <c r="W543" s="15">
        <f t="shared" si="9"/>
        <v>12</v>
      </c>
      <c r="X543" s="15">
        <f t="shared" si="10"/>
        <v>2024</v>
      </c>
    </row>
    <row r="544">
      <c r="A544" s="32">
        <v>45645.0</v>
      </c>
      <c r="B544" s="10"/>
      <c r="C544" s="9">
        <f t="shared" si="22"/>
        <v>45645</v>
      </c>
      <c r="D544" s="11" t="s">
        <v>44</v>
      </c>
      <c r="E544" s="11" t="s">
        <v>25</v>
      </c>
      <c r="F544" s="11" t="s">
        <v>45</v>
      </c>
      <c r="G544" s="11" t="s">
        <v>27</v>
      </c>
      <c r="H544" s="11" t="s">
        <v>436</v>
      </c>
      <c r="I544" s="12">
        <v>1100.0</v>
      </c>
      <c r="J544" s="13"/>
      <c r="K544" s="13">
        <f t="shared" si="38"/>
        <v>1100</v>
      </c>
      <c r="L544" s="11" t="s">
        <v>34</v>
      </c>
      <c r="M544" s="14"/>
      <c r="N544" s="11" t="s">
        <v>47</v>
      </c>
      <c r="O544" s="10" t="str">
        <f t="shared" si="3"/>
        <v>12/2024</v>
      </c>
      <c r="P544" s="10" t="str">
        <f t="shared" si="29"/>
        <v>12/2024</v>
      </c>
      <c r="Q544" s="15" t="str">
        <f t="array" ref="Q544">IFERROR(XLOOKUP(N544,'Classificação'!A:A,'Classificação'!B:B),"")</f>
        <v>DESPESAS NÃO OPERACIONAIS</v>
      </c>
      <c r="R544" s="15" t="str">
        <f t="array" ref="R544">IFERROR(XLOOKUP(Q544,'Classificação'!B:B,'Classificação'!C:C),"")</f>
        <v>RESULTADO NÃO OPERACIONAL (+/-)</v>
      </c>
      <c r="S544" s="15">
        <f t="shared" si="5"/>
        <v>19</v>
      </c>
      <c r="T544" s="15">
        <f t="shared" si="6"/>
        <v>12</v>
      </c>
      <c r="U544" s="15">
        <f t="shared" si="7"/>
        <v>2024</v>
      </c>
      <c r="V544" s="15">
        <f t="shared" si="8"/>
        <v>19</v>
      </c>
      <c r="W544" s="15">
        <f t="shared" si="9"/>
        <v>12</v>
      </c>
      <c r="X544" s="15">
        <f t="shared" si="10"/>
        <v>2024</v>
      </c>
    </row>
    <row r="545">
      <c r="A545" s="9">
        <v>45646.0</v>
      </c>
      <c r="B545" s="10"/>
      <c r="C545" s="9">
        <f t="shared" si="22"/>
        <v>45646</v>
      </c>
      <c r="D545" s="11" t="s">
        <v>104</v>
      </c>
      <c r="E545" s="11" t="s">
        <v>25</v>
      </c>
      <c r="F545" s="11" t="s">
        <v>40</v>
      </c>
      <c r="G545" s="11" t="s">
        <v>27</v>
      </c>
      <c r="I545" s="12">
        <v>425.0</v>
      </c>
      <c r="J545" s="13"/>
      <c r="K545" s="13">
        <f t="shared" si="38"/>
        <v>425</v>
      </c>
      <c r="L545" s="11" t="s">
        <v>29</v>
      </c>
      <c r="M545" s="14"/>
      <c r="N545" s="11" t="s">
        <v>105</v>
      </c>
      <c r="O545" s="10" t="str">
        <f t="shared" si="3"/>
        <v>12/2024</v>
      </c>
      <c r="P545" s="10" t="str">
        <f t="shared" si="29"/>
        <v>12/2024</v>
      </c>
      <c r="Q545" s="15" t="str">
        <f t="array" ref="Q545">IFERROR(XLOOKUP(N545,'Classificação'!A:A,'Classificação'!B:B),"")</f>
        <v>DESPESAS ADMINISTRATIVAS</v>
      </c>
      <c r="R545" s="15" t="str">
        <f t="array" ref="R545">IFERROR(XLOOKUP(Q545,'Classificação'!B:B,'Classificação'!C:C),"")</f>
        <v>DESPESAS FIXAS (-)</v>
      </c>
      <c r="S545" s="15">
        <f t="shared" si="5"/>
        <v>20</v>
      </c>
      <c r="T545" s="15">
        <f t="shared" si="6"/>
        <v>12</v>
      </c>
      <c r="U545" s="15">
        <f t="shared" si="7"/>
        <v>2024</v>
      </c>
      <c r="V545" s="15">
        <f t="shared" si="8"/>
        <v>20</v>
      </c>
      <c r="W545" s="15">
        <f t="shared" si="9"/>
        <v>12</v>
      </c>
      <c r="X545" s="15">
        <f t="shared" si="10"/>
        <v>2024</v>
      </c>
    </row>
    <row r="546">
      <c r="A546" s="9">
        <v>45646.0</v>
      </c>
      <c r="B546" s="10"/>
      <c r="C546" s="9">
        <f t="shared" si="22"/>
        <v>45646</v>
      </c>
      <c r="D546" s="11" t="s">
        <v>106</v>
      </c>
      <c r="E546" s="11" t="s">
        <v>25</v>
      </c>
      <c r="F546" s="11" t="s">
        <v>107</v>
      </c>
      <c r="G546" s="11" t="s">
        <v>27</v>
      </c>
      <c r="H546" s="11" t="s">
        <v>241</v>
      </c>
      <c r="I546" s="31">
        <v>278.05</v>
      </c>
      <c r="J546" s="13"/>
      <c r="K546" s="13">
        <f t="shared" si="38"/>
        <v>278.05</v>
      </c>
      <c r="L546" s="11" t="s">
        <v>53</v>
      </c>
      <c r="M546" s="20">
        <v>45478.0</v>
      </c>
      <c r="N546" s="11" t="s">
        <v>95</v>
      </c>
      <c r="O546" s="10" t="str">
        <f t="shared" si="3"/>
        <v>12/2024</v>
      </c>
      <c r="P546" s="10" t="str">
        <f t="shared" si="29"/>
        <v>12/2024</v>
      </c>
      <c r="Q546" s="15" t="str">
        <f t="array" ref="Q546">IFERROR(XLOOKUP(N546,'Classificação'!A:A,'Classificação'!B:B),"")</f>
        <v>DESPESAS NÃO OPERACIONAIS</v>
      </c>
      <c r="R546" s="15" t="str">
        <f t="array" ref="R546">IFERROR(XLOOKUP(Q546,'Classificação'!B:B,'Classificação'!C:C),"")</f>
        <v>RESULTADO NÃO OPERACIONAL (+/-)</v>
      </c>
      <c r="S546" s="15">
        <f t="shared" si="5"/>
        <v>20</v>
      </c>
      <c r="T546" s="15">
        <f t="shared" si="6"/>
        <v>12</v>
      </c>
      <c r="U546" s="15">
        <f t="shared" si="7"/>
        <v>2024</v>
      </c>
      <c r="V546" s="15">
        <f t="shared" si="8"/>
        <v>20</v>
      </c>
      <c r="W546" s="15">
        <f t="shared" si="9"/>
        <v>12</v>
      </c>
      <c r="X546" s="15">
        <f t="shared" si="10"/>
        <v>2024</v>
      </c>
    </row>
    <row r="547">
      <c r="A547" s="9">
        <v>45646.0</v>
      </c>
      <c r="B547" s="10"/>
      <c r="C547" s="9">
        <f t="shared" si="22"/>
        <v>45646</v>
      </c>
      <c r="D547" s="11" t="s">
        <v>109</v>
      </c>
      <c r="E547" s="11" t="s">
        <v>25</v>
      </c>
      <c r="F547" s="11" t="s">
        <v>110</v>
      </c>
      <c r="G547" s="11" t="s">
        <v>27</v>
      </c>
      <c r="H547" s="11" t="s">
        <v>111</v>
      </c>
      <c r="I547" s="12">
        <v>24.15</v>
      </c>
      <c r="J547" s="13"/>
      <c r="K547" s="13">
        <f t="shared" si="38"/>
        <v>24.15</v>
      </c>
      <c r="L547" s="11" t="s">
        <v>29</v>
      </c>
      <c r="M547" s="14"/>
      <c r="N547" s="11" t="s">
        <v>105</v>
      </c>
      <c r="O547" s="10" t="str">
        <f t="shared" si="3"/>
        <v>12/2024</v>
      </c>
      <c r="P547" s="10" t="str">
        <f t="shared" si="29"/>
        <v>12/2024</v>
      </c>
      <c r="Q547" s="15" t="str">
        <f t="array" ref="Q547">IFERROR(XLOOKUP(N547,'Classificação'!A:A,'Classificação'!B:B),"")</f>
        <v>DESPESAS ADMINISTRATIVAS</v>
      </c>
      <c r="R547" s="15" t="str">
        <f t="array" ref="R547">IFERROR(XLOOKUP(Q547,'Classificação'!B:B,'Classificação'!C:C),"")</f>
        <v>DESPESAS FIXAS (-)</v>
      </c>
      <c r="S547" s="15">
        <f t="shared" si="5"/>
        <v>20</v>
      </c>
      <c r="T547" s="15">
        <f t="shared" si="6"/>
        <v>12</v>
      </c>
      <c r="U547" s="15">
        <f t="shared" si="7"/>
        <v>2024</v>
      </c>
      <c r="V547" s="15">
        <f t="shared" si="8"/>
        <v>20</v>
      </c>
      <c r="W547" s="15">
        <f t="shared" si="9"/>
        <v>12</v>
      </c>
      <c r="X547" s="15">
        <f t="shared" si="10"/>
        <v>2024</v>
      </c>
    </row>
    <row r="548">
      <c r="A548" s="9">
        <v>45646.0</v>
      </c>
      <c r="B548" s="10"/>
      <c r="C548" s="9">
        <f t="shared" si="22"/>
        <v>45646</v>
      </c>
      <c r="D548" s="11" t="s">
        <v>100</v>
      </c>
      <c r="E548" s="11" t="s">
        <v>25</v>
      </c>
      <c r="F548" s="11" t="s">
        <v>40</v>
      </c>
      <c r="G548" s="11" t="s">
        <v>27</v>
      </c>
      <c r="H548" s="11" t="s">
        <v>243</v>
      </c>
      <c r="I548" s="12">
        <v>15415.22</v>
      </c>
      <c r="J548" s="13"/>
      <c r="K548" s="13">
        <f t="shared" si="38"/>
        <v>15415.22</v>
      </c>
      <c r="L548" s="11" t="s">
        <v>29</v>
      </c>
      <c r="M548" s="14"/>
      <c r="N548" s="11" t="s">
        <v>101</v>
      </c>
      <c r="O548" s="10" t="str">
        <f t="shared" si="3"/>
        <v>12/2024</v>
      </c>
      <c r="P548" s="10" t="str">
        <f t="shared" si="29"/>
        <v>12/2024</v>
      </c>
      <c r="Q548" s="15" t="str">
        <f t="array" ref="Q548">IFERROR(XLOOKUP(N548,'Classificação'!A:A,'Classificação'!B:B),"")</f>
        <v>IMPOSTO DE RENDA - DAS</v>
      </c>
      <c r="R548" s="15" t="str">
        <f t="array" ref="R548">IFERROR(XLOOKUP(Q548,'Classificação'!B:B,'Classificação'!C:C),"")</f>
        <v>DEDUÇÕES DA RECEITA BRUTA (-)</v>
      </c>
      <c r="S548" s="15">
        <f t="shared" si="5"/>
        <v>20</v>
      </c>
      <c r="T548" s="15">
        <f t="shared" si="6"/>
        <v>12</v>
      </c>
      <c r="U548" s="15">
        <f t="shared" si="7"/>
        <v>2024</v>
      </c>
      <c r="V548" s="15">
        <f t="shared" si="8"/>
        <v>20</v>
      </c>
      <c r="W548" s="15">
        <f t="shared" si="9"/>
        <v>12</v>
      </c>
      <c r="X548" s="15">
        <f t="shared" si="10"/>
        <v>2024</v>
      </c>
    </row>
    <row r="549">
      <c r="A549" s="9">
        <v>45646.0</v>
      </c>
      <c r="B549" s="10"/>
      <c r="C549" s="9">
        <f t="shared" si="22"/>
        <v>45646</v>
      </c>
      <c r="D549" s="11" t="s">
        <v>100</v>
      </c>
      <c r="E549" s="11" t="s">
        <v>25</v>
      </c>
      <c r="F549" s="11" t="s">
        <v>40</v>
      </c>
      <c r="G549" s="11" t="s">
        <v>37</v>
      </c>
      <c r="H549" s="11" t="s">
        <v>243</v>
      </c>
      <c r="I549" s="12">
        <v>1373.12</v>
      </c>
      <c r="J549" s="13"/>
      <c r="K549" s="13">
        <f t="shared" si="38"/>
        <v>1373.12</v>
      </c>
      <c r="L549" s="11" t="s">
        <v>29</v>
      </c>
      <c r="M549" s="14"/>
      <c r="N549" s="11" t="s">
        <v>101</v>
      </c>
      <c r="O549" s="10" t="str">
        <f t="shared" si="3"/>
        <v>12/2024</v>
      </c>
      <c r="P549" s="10" t="str">
        <f t="shared" si="29"/>
        <v>12/2024</v>
      </c>
      <c r="Q549" s="15" t="str">
        <f t="array" ref="Q549">IFERROR(XLOOKUP(N549,'Classificação'!A:A,'Classificação'!B:B),"")</f>
        <v>IMPOSTO DE RENDA - DAS</v>
      </c>
      <c r="R549" s="15" t="str">
        <f t="array" ref="R549">IFERROR(XLOOKUP(Q549,'Classificação'!B:B,'Classificação'!C:C),"")</f>
        <v>DEDUÇÕES DA RECEITA BRUTA (-)</v>
      </c>
      <c r="S549" s="15">
        <f t="shared" si="5"/>
        <v>20</v>
      </c>
      <c r="T549" s="15">
        <f t="shared" si="6"/>
        <v>12</v>
      </c>
      <c r="U549" s="15">
        <f t="shared" si="7"/>
        <v>2024</v>
      </c>
      <c r="V549" s="15">
        <f t="shared" si="8"/>
        <v>20</v>
      </c>
      <c r="W549" s="15">
        <f t="shared" si="9"/>
        <v>12</v>
      </c>
      <c r="X549" s="15">
        <f t="shared" si="10"/>
        <v>2024</v>
      </c>
    </row>
    <row r="550">
      <c r="A550" s="9">
        <v>45646.0</v>
      </c>
      <c r="B550" s="10"/>
      <c r="C550" s="9">
        <f t="shared" si="22"/>
        <v>45646</v>
      </c>
      <c r="D550" s="11" t="s">
        <v>121</v>
      </c>
      <c r="E550" s="11" t="s">
        <v>25</v>
      </c>
      <c r="F550" s="11" t="s">
        <v>110</v>
      </c>
      <c r="G550" s="11" t="s">
        <v>27</v>
      </c>
      <c r="H550" s="11" t="s">
        <v>122</v>
      </c>
      <c r="I550" s="12">
        <v>29.9</v>
      </c>
      <c r="J550" s="13"/>
      <c r="K550" s="13">
        <f t="shared" si="38"/>
        <v>29.9</v>
      </c>
      <c r="L550" s="11" t="s">
        <v>29</v>
      </c>
      <c r="M550" s="14"/>
      <c r="N550" s="11" t="s">
        <v>105</v>
      </c>
      <c r="O550" s="10" t="str">
        <f t="shared" si="3"/>
        <v>12/2024</v>
      </c>
      <c r="P550" s="10" t="str">
        <f t="shared" si="29"/>
        <v>12/2024</v>
      </c>
      <c r="Q550" s="15" t="str">
        <f t="array" ref="Q550">IFERROR(XLOOKUP(N550,'Classificação'!A:A,'Classificação'!B:B),"")</f>
        <v>DESPESAS ADMINISTRATIVAS</v>
      </c>
      <c r="R550" s="15" t="str">
        <f t="array" ref="R550">IFERROR(XLOOKUP(Q550,'Classificação'!B:B,'Classificação'!C:C),"")</f>
        <v>DESPESAS FIXAS (-)</v>
      </c>
      <c r="S550" s="15">
        <f t="shared" si="5"/>
        <v>20</v>
      </c>
      <c r="T550" s="15">
        <f t="shared" si="6"/>
        <v>12</v>
      </c>
      <c r="U550" s="15">
        <f t="shared" si="7"/>
        <v>2024</v>
      </c>
      <c r="V550" s="15">
        <f t="shared" si="8"/>
        <v>20</v>
      </c>
      <c r="W550" s="15">
        <f t="shared" si="9"/>
        <v>12</v>
      </c>
      <c r="X550" s="15">
        <f t="shared" si="10"/>
        <v>2024</v>
      </c>
    </row>
    <row r="551">
      <c r="A551" s="9">
        <v>45646.0</v>
      </c>
      <c r="B551" s="10"/>
      <c r="C551" s="9">
        <f t="shared" si="22"/>
        <v>45646</v>
      </c>
      <c r="D551" s="11" t="s">
        <v>123</v>
      </c>
      <c r="E551" s="11" t="s">
        <v>25</v>
      </c>
      <c r="F551" s="11" t="s">
        <v>40</v>
      </c>
      <c r="G551" s="11" t="s">
        <v>27</v>
      </c>
      <c r="I551" s="12">
        <v>659.27</v>
      </c>
      <c r="J551" s="13"/>
      <c r="K551" s="13">
        <f t="shared" si="38"/>
        <v>659.27</v>
      </c>
      <c r="L551" s="11" t="s">
        <v>29</v>
      </c>
      <c r="M551" s="14"/>
      <c r="N551" s="11" t="s">
        <v>123</v>
      </c>
      <c r="O551" s="10" t="str">
        <f t="shared" si="3"/>
        <v>12/2024</v>
      </c>
      <c r="P551" s="10" t="str">
        <f t="shared" si="29"/>
        <v>12/2024</v>
      </c>
      <c r="Q551" s="15" t="str">
        <f t="array" ref="Q551">IFERROR(XLOOKUP(N551,'Classificação'!A:A,'Classificação'!B:B),"")</f>
        <v>DESPESAS COM PESSOAL</v>
      </c>
      <c r="R551" s="15" t="str">
        <f t="array" ref="R551">IFERROR(XLOOKUP(Q551,'Classificação'!B:B,'Classificação'!C:C),"")</f>
        <v>DESPESAS FIXAS (-)</v>
      </c>
      <c r="S551" s="15">
        <f t="shared" si="5"/>
        <v>20</v>
      </c>
      <c r="T551" s="15">
        <f t="shared" si="6"/>
        <v>12</v>
      </c>
      <c r="U551" s="15">
        <f t="shared" si="7"/>
        <v>2024</v>
      </c>
      <c r="V551" s="15">
        <f t="shared" si="8"/>
        <v>20</v>
      </c>
      <c r="W551" s="15">
        <f t="shared" si="9"/>
        <v>12</v>
      </c>
      <c r="X551" s="15">
        <f t="shared" si="10"/>
        <v>2024</v>
      </c>
    </row>
    <row r="552">
      <c r="A552" s="9">
        <v>45646.0</v>
      </c>
      <c r="B552" s="10"/>
      <c r="C552" s="9">
        <f t="shared" si="22"/>
        <v>45646</v>
      </c>
      <c r="D552" s="11" t="s">
        <v>126</v>
      </c>
      <c r="E552" s="11" t="s">
        <v>25</v>
      </c>
      <c r="F552" s="11" t="s">
        <v>40</v>
      </c>
      <c r="G552" s="11" t="s">
        <v>27</v>
      </c>
      <c r="I552" s="12">
        <v>826.49</v>
      </c>
      <c r="J552" s="13"/>
      <c r="K552" s="13">
        <f t="shared" si="38"/>
        <v>826.49</v>
      </c>
      <c r="L552" s="11" t="s">
        <v>29</v>
      </c>
      <c r="M552" s="14"/>
      <c r="N552" s="11" t="s">
        <v>126</v>
      </c>
      <c r="O552" s="10" t="str">
        <f t="shared" si="3"/>
        <v>12/2024</v>
      </c>
      <c r="P552" s="10" t="str">
        <f t="shared" si="29"/>
        <v>12/2024</v>
      </c>
      <c r="Q552" s="15" t="str">
        <f t="array" ref="Q552">IFERROR(XLOOKUP(N552,'Classificação'!A:A,'Classificação'!B:B),"")</f>
        <v>DESPESAS COM PESSOAL</v>
      </c>
      <c r="R552" s="15" t="str">
        <f t="array" ref="R552">IFERROR(XLOOKUP(Q552,'Classificação'!B:B,'Classificação'!C:C),"")</f>
        <v>DESPESAS FIXAS (-)</v>
      </c>
      <c r="S552" s="15">
        <f t="shared" si="5"/>
        <v>20</v>
      </c>
      <c r="T552" s="15">
        <f t="shared" si="6"/>
        <v>12</v>
      </c>
      <c r="U552" s="15">
        <f t="shared" si="7"/>
        <v>2024</v>
      </c>
      <c r="V552" s="15">
        <f t="shared" si="8"/>
        <v>20</v>
      </c>
      <c r="W552" s="15">
        <f t="shared" si="9"/>
        <v>12</v>
      </c>
      <c r="X552" s="15">
        <f t="shared" si="10"/>
        <v>2024</v>
      </c>
    </row>
    <row r="553">
      <c r="A553" s="9">
        <v>45646.0</v>
      </c>
      <c r="B553" s="10"/>
      <c r="C553" s="9">
        <f t="shared" si="22"/>
        <v>45646</v>
      </c>
      <c r="D553" s="11" t="s">
        <v>129</v>
      </c>
      <c r="E553" s="11" t="s">
        <v>25</v>
      </c>
      <c r="F553" s="11" t="s">
        <v>107</v>
      </c>
      <c r="G553" s="11" t="s">
        <v>27</v>
      </c>
      <c r="I553" s="31">
        <v>330.0</v>
      </c>
      <c r="J553" s="13"/>
      <c r="K553" s="13">
        <f t="shared" si="38"/>
        <v>330</v>
      </c>
      <c r="L553" s="11" t="s">
        <v>53</v>
      </c>
      <c r="M553" s="17">
        <v>45417.0</v>
      </c>
      <c r="N553" s="11" t="s">
        <v>95</v>
      </c>
      <c r="O553" s="10" t="str">
        <f t="shared" si="3"/>
        <v>12/2024</v>
      </c>
      <c r="P553" s="10" t="str">
        <f t="shared" si="29"/>
        <v>12/2024</v>
      </c>
      <c r="Q553" s="15" t="str">
        <f t="array" ref="Q553">IFERROR(XLOOKUP(N553,'Classificação'!A:A,'Classificação'!B:B),"")</f>
        <v>DESPESAS NÃO OPERACIONAIS</v>
      </c>
      <c r="R553" s="15" t="str">
        <f t="array" ref="R553">IFERROR(XLOOKUP(Q553,'Classificação'!B:B,'Classificação'!C:C),"")</f>
        <v>RESULTADO NÃO OPERACIONAL (+/-)</v>
      </c>
      <c r="S553" s="15">
        <f t="shared" si="5"/>
        <v>20</v>
      </c>
      <c r="T553" s="15">
        <f t="shared" si="6"/>
        <v>12</v>
      </c>
      <c r="U553" s="15">
        <f t="shared" si="7"/>
        <v>2024</v>
      </c>
      <c r="V553" s="15">
        <f t="shared" si="8"/>
        <v>20</v>
      </c>
      <c r="W553" s="15">
        <f t="shared" si="9"/>
        <v>12</v>
      </c>
      <c r="X553" s="15">
        <f t="shared" si="10"/>
        <v>2024</v>
      </c>
    </row>
    <row r="554">
      <c r="A554" s="9">
        <v>45646.0</v>
      </c>
      <c r="B554" s="10"/>
      <c r="C554" s="9">
        <f t="shared" si="22"/>
        <v>45646</v>
      </c>
      <c r="D554" s="11" t="s">
        <v>131</v>
      </c>
      <c r="E554" s="11" t="s">
        <v>25</v>
      </c>
      <c r="F554" s="11" t="s">
        <v>107</v>
      </c>
      <c r="G554" s="11" t="s">
        <v>27</v>
      </c>
      <c r="I554" s="31">
        <v>249.34</v>
      </c>
      <c r="J554" s="13"/>
      <c r="K554" s="13">
        <f t="shared" si="38"/>
        <v>249.34</v>
      </c>
      <c r="L554" s="11" t="s">
        <v>53</v>
      </c>
      <c r="M554" s="17">
        <v>45633.0</v>
      </c>
      <c r="N554" s="11" t="s">
        <v>133</v>
      </c>
      <c r="O554" s="10" t="str">
        <f t="shared" si="3"/>
        <v>12/2024</v>
      </c>
      <c r="P554" s="10" t="str">
        <f t="shared" si="29"/>
        <v>12/2024</v>
      </c>
      <c r="Q554" s="15" t="str">
        <f t="array" ref="Q554">IFERROR(XLOOKUP(N554,'Classificação'!A:A,'Classificação'!B:B),"")</f>
        <v>DESPESAS COM VEICULOS</v>
      </c>
      <c r="R554" s="15" t="str">
        <f t="array" ref="R554">IFERROR(XLOOKUP(Q554,'Classificação'!B:B,'Classificação'!C:C),"")</f>
        <v>DESPESAS FIXAS (-)</v>
      </c>
      <c r="S554" s="15">
        <f t="shared" si="5"/>
        <v>20</v>
      </c>
      <c r="T554" s="15">
        <f t="shared" si="6"/>
        <v>12</v>
      </c>
      <c r="U554" s="15">
        <f t="shared" si="7"/>
        <v>2024</v>
      </c>
      <c r="V554" s="15">
        <f t="shared" si="8"/>
        <v>20</v>
      </c>
      <c r="W554" s="15">
        <f t="shared" si="9"/>
        <v>12</v>
      </c>
      <c r="X554" s="15">
        <f t="shared" si="10"/>
        <v>2024</v>
      </c>
    </row>
    <row r="555">
      <c r="A555" s="32">
        <v>45646.0</v>
      </c>
      <c r="B555" s="19">
        <v>45349.0</v>
      </c>
      <c r="C555" s="9">
        <f t="shared" si="22"/>
        <v>45646</v>
      </c>
      <c r="D555" s="11" t="s">
        <v>65</v>
      </c>
      <c r="E555" s="11" t="s">
        <v>25</v>
      </c>
      <c r="F555" s="11" t="s">
        <v>107</v>
      </c>
      <c r="G555" s="11" t="s">
        <v>27</v>
      </c>
      <c r="H555" s="11" t="s">
        <v>247</v>
      </c>
      <c r="I555" s="31">
        <v>79.92</v>
      </c>
      <c r="J555" s="13"/>
      <c r="K555" s="13">
        <f t="shared" si="38"/>
        <v>79.92</v>
      </c>
      <c r="L555" s="11" t="s">
        <v>53</v>
      </c>
      <c r="M555" s="17">
        <v>45575.0</v>
      </c>
      <c r="N555" s="11" t="s">
        <v>95</v>
      </c>
      <c r="O555" s="10" t="str">
        <f t="shared" si="3"/>
        <v>12/2024</v>
      </c>
      <c r="P555" s="10" t="str">
        <f t="shared" si="29"/>
        <v>12/2024</v>
      </c>
      <c r="Q555" s="15" t="str">
        <f t="array" ref="Q555">IFERROR(XLOOKUP(N555,'Classificação'!A:A,'Classificação'!B:B),"")</f>
        <v>DESPESAS NÃO OPERACIONAIS</v>
      </c>
      <c r="R555" s="15" t="str">
        <f t="array" ref="R555">IFERROR(XLOOKUP(Q555,'Classificação'!B:B,'Classificação'!C:C),"")</f>
        <v>RESULTADO NÃO OPERACIONAL (+/-)</v>
      </c>
      <c r="S555" s="15">
        <f t="shared" si="5"/>
        <v>20</v>
      </c>
      <c r="T555" s="15">
        <f t="shared" si="6"/>
        <v>12</v>
      </c>
      <c r="U555" s="15">
        <f t="shared" si="7"/>
        <v>2024</v>
      </c>
      <c r="V555" s="15">
        <f t="shared" si="8"/>
        <v>20</v>
      </c>
      <c r="W555" s="15">
        <f t="shared" si="9"/>
        <v>12</v>
      </c>
      <c r="X555" s="15">
        <f t="shared" si="10"/>
        <v>2024</v>
      </c>
    </row>
    <row r="556">
      <c r="A556" s="9">
        <v>45646.0</v>
      </c>
      <c r="B556" s="10"/>
      <c r="C556" s="9">
        <f t="shared" si="22"/>
        <v>45646</v>
      </c>
      <c r="D556" s="11" t="s">
        <v>65</v>
      </c>
      <c r="E556" s="11" t="s">
        <v>25</v>
      </c>
      <c r="F556" s="11" t="s">
        <v>107</v>
      </c>
      <c r="G556" s="11" t="s">
        <v>27</v>
      </c>
      <c r="H556" s="11" t="s">
        <v>248</v>
      </c>
      <c r="I556" s="31">
        <v>64.9</v>
      </c>
      <c r="J556" s="13"/>
      <c r="K556" s="13">
        <f t="shared" si="38"/>
        <v>64.9</v>
      </c>
      <c r="L556" s="11" t="s">
        <v>53</v>
      </c>
      <c r="M556" s="17">
        <v>45572.0</v>
      </c>
      <c r="N556" s="11" t="s">
        <v>95</v>
      </c>
      <c r="O556" s="10" t="str">
        <f t="shared" si="3"/>
        <v>12/2024</v>
      </c>
      <c r="P556" s="10" t="str">
        <f t="shared" si="29"/>
        <v>12/2024</v>
      </c>
      <c r="Q556" s="15" t="str">
        <f t="array" ref="Q556">IFERROR(XLOOKUP(N556,'Classificação'!A:A,'Classificação'!B:B),"")</f>
        <v>DESPESAS NÃO OPERACIONAIS</v>
      </c>
      <c r="R556" s="15" t="str">
        <f t="array" ref="R556">IFERROR(XLOOKUP(Q556,'Classificação'!B:B,'Classificação'!C:C),"")</f>
        <v>RESULTADO NÃO OPERACIONAL (+/-)</v>
      </c>
      <c r="S556" s="15">
        <f t="shared" si="5"/>
        <v>20</v>
      </c>
      <c r="T556" s="15">
        <f t="shared" si="6"/>
        <v>12</v>
      </c>
      <c r="U556" s="15">
        <f t="shared" si="7"/>
        <v>2024</v>
      </c>
      <c r="V556" s="15">
        <f t="shared" si="8"/>
        <v>20</v>
      </c>
      <c r="W556" s="15">
        <f t="shared" si="9"/>
        <v>12</v>
      </c>
      <c r="X556" s="15">
        <f t="shared" si="10"/>
        <v>2024</v>
      </c>
    </row>
    <row r="557">
      <c r="A557" s="9">
        <v>45646.0</v>
      </c>
      <c r="B557" s="10"/>
      <c r="C557" s="9">
        <f t="shared" si="22"/>
        <v>45646</v>
      </c>
      <c r="D557" s="11" t="s">
        <v>65</v>
      </c>
      <c r="E557" s="11" t="s">
        <v>25</v>
      </c>
      <c r="F557" s="11" t="s">
        <v>107</v>
      </c>
      <c r="G557" s="11" t="s">
        <v>27</v>
      </c>
      <c r="H557" s="11" t="s">
        <v>252</v>
      </c>
      <c r="I557" s="31">
        <v>35.98</v>
      </c>
      <c r="J557" s="13"/>
      <c r="K557" s="13">
        <f t="shared" si="38"/>
        <v>35.98</v>
      </c>
      <c r="L557" s="11" t="s">
        <v>53</v>
      </c>
      <c r="M557" s="17">
        <v>45417.0</v>
      </c>
      <c r="N557" s="11" t="s">
        <v>143</v>
      </c>
      <c r="O557" s="10" t="str">
        <f t="shared" si="3"/>
        <v>12/2024</v>
      </c>
      <c r="P557" s="10" t="str">
        <f t="shared" si="29"/>
        <v>12/2024</v>
      </c>
      <c r="Q557" s="15" t="str">
        <f t="array" ref="Q557">IFERROR(XLOOKUP(N557,'Classificação'!A:A,'Classificação'!B:B),"")</f>
        <v>EMBALAGENS/FITAS/GERAL</v>
      </c>
      <c r="R557" s="15" t="str">
        <f t="array" ref="R557">IFERROR(XLOOKUP(Q557,'Classificação'!B:B,'Classificação'!C:C),"")</f>
        <v>CUSTOS VARIÁVEIS</v>
      </c>
      <c r="S557" s="15">
        <f t="shared" si="5"/>
        <v>20</v>
      </c>
      <c r="T557" s="15">
        <f t="shared" si="6"/>
        <v>12</v>
      </c>
      <c r="U557" s="15">
        <f t="shared" si="7"/>
        <v>2024</v>
      </c>
      <c r="V557" s="15">
        <f t="shared" si="8"/>
        <v>20</v>
      </c>
      <c r="W557" s="15">
        <f t="shared" si="9"/>
        <v>12</v>
      </c>
      <c r="X557" s="15">
        <f t="shared" si="10"/>
        <v>2024</v>
      </c>
    </row>
    <row r="558">
      <c r="A558" s="9">
        <v>45646.0</v>
      </c>
      <c r="B558" s="10"/>
      <c r="C558" s="9">
        <f t="shared" si="22"/>
        <v>45646</v>
      </c>
      <c r="D558" s="11" t="s">
        <v>163</v>
      </c>
      <c r="E558" s="11" t="s">
        <v>25</v>
      </c>
      <c r="F558" s="11" t="s">
        <v>107</v>
      </c>
      <c r="G558" s="11" t="s">
        <v>27</v>
      </c>
      <c r="H558" s="11" t="s">
        <v>253</v>
      </c>
      <c r="I558" s="31">
        <v>96.41</v>
      </c>
      <c r="J558" s="13"/>
      <c r="K558" s="13">
        <f t="shared" si="38"/>
        <v>96.41</v>
      </c>
      <c r="L558" s="11" t="s">
        <v>53</v>
      </c>
      <c r="M558" s="17">
        <v>45448.0</v>
      </c>
      <c r="N558" s="11" t="s">
        <v>95</v>
      </c>
      <c r="O558" s="10" t="str">
        <f t="shared" si="3"/>
        <v>12/2024</v>
      </c>
      <c r="P558" s="10" t="str">
        <f t="shared" si="29"/>
        <v>12/2024</v>
      </c>
      <c r="Q558" s="15" t="str">
        <f t="array" ref="Q558">IFERROR(XLOOKUP(N558,'Classificação'!A:A,'Classificação'!B:B),"")</f>
        <v>DESPESAS NÃO OPERACIONAIS</v>
      </c>
      <c r="R558" s="15" t="str">
        <f t="array" ref="R558">IFERROR(XLOOKUP(Q558,'Classificação'!B:B,'Classificação'!C:C),"")</f>
        <v>RESULTADO NÃO OPERACIONAL (+/-)</v>
      </c>
      <c r="S558" s="15">
        <f t="shared" si="5"/>
        <v>20</v>
      </c>
      <c r="T558" s="15">
        <f t="shared" si="6"/>
        <v>12</v>
      </c>
      <c r="U558" s="15">
        <f t="shared" si="7"/>
        <v>2024</v>
      </c>
      <c r="V558" s="15">
        <f t="shared" si="8"/>
        <v>20</v>
      </c>
      <c r="W558" s="15">
        <f t="shared" si="9"/>
        <v>12</v>
      </c>
      <c r="X558" s="15">
        <f t="shared" si="10"/>
        <v>2024</v>
      </c>
    </row>
    <row r="559">
      <c r="A559" s="9">
        <v>45646.0</v>
      </c>
      <c r="B559" s="10"/>
      <c r="C559" s="9">
        <f t="shared" si="22"/>
        <v>45646</v>
      </c>
      <c r="D559" s="11" t="s">
        <v>163</v>
      </c>
      <c r="E559" s="11" t="s">
        <v>25</v>
      </c>
      <c r="F559" s="11" t="s">
        <v>107</v>
      </c>
      <c r="G559" s="11" t="s">
        <v>27</v>
      </c>
      <c r="H559" s="11" t="s">
        <v>253</v>
      </c>
      <c r="I559" s="31">
        <v>144.15</v>
      </c>
      <c r="J559" s="13"/>
      <c r="K559" s="13">
        <f t="shared" si="38"/>
        <v>144.15</v>
      </c>
      <c r="L559" s="11" t="s">
        <v>53</v>
      </c>
      <c r="M559" s="17">
        <v>45631.0</v>
      </c>
      <c r="N559" s="11" t="s">
        <v>95</v>
      </c>
      <c r="O559" s="10" t="str">
        <f t="shared" si="3"/>
        <v>12/2024</v>
      </c>
      <c r="P559" s="10" t="str">
        <f t="shared" si="29"/>
        <v>12/2024</v>
      </c>
      <c r="Q559" s="15" t="str">
        <f t="array" ref="Q559">IFERROR(XLOOKUP(N559,'Classificação'!A:A,'Classificação'!B:B),"")</f>
        <v>DESPESAS NÃO OPERACIONAIS</v>
      </c>
      <c r="R559" s="15" t="str">
        <f t="array" ref="R559">IFERROR(XLOOKUP(Q559,'Classificação'!B:B,'Classificação'!C:C),"")</f>
        <v>RESULTADO NÃO OPERACIONAL (+/-)</v>
      </c>
      <c r="S559" s="15">
        <f t="shared" si="5"/>
        <v>20</v>
      </c>
      <c r="T559" s="15">
        <f t="shared" si="6"/>
        <v>12</v>
      </c>
      <c r="U559" s="15">
        <f t="shared" si="7"/>
        <v>2024</v>
      </c>
      <c r="V559" s="15">
        <f t="shared" si="8"/>
        <v>20</v>
      </c>
      <c r="W559" s="15">
        <f t="shared" si="9"/>
        <v>12</v>
      </c>
      <c r="X559" s="15">
        <f t="shared" si="10"/>
        <v>2024</v>
      </c>
    </row>
    <row r="560">
      <c r="A560" s="9">
        <v>45646.0</v>
      </c>
      <c r="B560" s="10"/>
      <c r="C560" s="9">
        <f t="shared" si="22"/>
        <v>45646</v>
      </c>
      <c r="D560" s="11" t="s">
        <v>171</v>
      </c>
      <c r="E560" s="11" t="s">
        <v>25</v>
      </c>
      <c r="F560" s="11" t="s">
        <v>40</v>
      </c>
      <c r="G560" s="11" t="s">
        <v>27</v>
      </c>
      <c r="I560" s="12">
        <v>107.64</v>
      </c>
      <c r="J560" s="13"/>
      <c r="K560" s="13">
        <f t="shared" si="38"/>
        <v>107.64</v>
      </c>
      <c r="L560" s="11" t="s">
        <v>29</v>
      </c>
      <c r="M560" s="14"/>
      <c r="N560" s="11" t="s">
        <v>172</v>
      </c>
      <c r="O560" s="10" t="str">
        <f t="shared" si="3"/>
        <v>12/2024</v>
      </c>
      <c r="P560" s="10" t="str">
        <f t="shared" si="29"/>
        <v>12/2024</v>
      </c>
      <c r="Q560" s="15" t="str">
        <f t="array" ref="Q560">IFERROR(XLOOKUP(N560,'Classificação'!A:A,'Classificação'!B:B),"")</f>
        <v>DESPESAS COM OCUPAÇÃO</v>
      </c>
      <c r="R560" s="15" t="str">
        <f t="array" ref="R560">IFERROR(XLOOKUP(Q560,'Classificação'!B:B,'Classificação'!C:C),"")</f>
        <v>DESPESAS FIXAS (-)</v>
      </c>
      <c r="S560" s="15">
        <f t="shared" si="5"/>
        <v>20</v>
      </c>
      <c r="T560" s="15">
        <f t="shared" si="6"/>
        <v>12</v>
      </c>
      <c r="U560" s="15">
        <f t="shared" si="7"/>
        <v>2024</v>
      </c>
      <c r="V560" s="15">
        <f t="shared" si="8"/>
        <v>20</v>
      </c>
      <c r="W560" s="15">
        <f t="shared" si="9"/>
        <v>12</v>
      </c>
      <c r="X560" s="15">
        <f t="shared" si="10"/>
        <v>2024</v>
      </c>
    </row>
    <row r="561">
      <c r="A561" s="9">
        <v>45646.0</v>
      </c>
      <c r="B561" s="19">
        <v>45421.0</v>
      </c>
      <c r="C561" s="9">
        <f t="shared" si="22"/>
        <v>45646</v>
      </c>
      <c r="D561" s="11" t="s">
        <v>173</v>
      </c>
      <c r="E561" s="11" t="s">
        <v>25</v>
      </c>
      <c r="F561" s="11" t="s">
        <v>107</v>
      </c>
      <c r="G561" s="11" t="s">
        <v>27</v>
      </c>
      <c r="I561" s="31">
        <v>298.9</v>
      </c>
      <c r="J561" s="13"/>
      <c r="K561" s="13">
        <f t="shared" si="38"/>
        <v>298.9</v>
      </c>
      <c r="L561" s="11" t="s">
        <v>53</v>
      </c>
      <c r="M561" s="17">
        <v>45572.0</v>
      </c>
      <c r="N561" s="11" t="s">
        <v>175</v>
      </c>
      <c r="O561" s="10" t="str">
        <f t="shared" si="3"/>
        <v>12/2024</v>
      </c>
      <c r="P561" s="10" t="str">
        <f t="shared" si="29"/>
        <v>12/2024</v>
      </c>
      <c r="Q561" s="15" t="str">
        <f t="array" ref="Q561">IFERROR(XLOOKUP(N561,'Classificação'!A:A,'Classificação'!B:B),"")</f>
        <v>DESPESAS COM VEICULOS</v>
      </c>
      <c r="R561" s="15" t="str">
        <f t="array" ref="R561">IFERROR(XLOOKUP(Q561,'Classificação'!B:B,'Classificação'!C:C),"")</f>
        <v>DESPESAS FIXAS (-)</v>
      </c>
      <c r="S561" s="15">
        <f t="shared" si="5"/>
        <v>20</v>
      </c>
      <c r="T561" s="15">
        <f t="shared" si="6"/>
        <v>12</v>
      </c>
      <c r="U561" s="15">
        <f t="shared" si="7"/>
        <v>2024</v>
      </c>
      <c r="V561" s="15">
        <f t="shared" si="8"/>
        <v>20</v>
      </c>
      <c r="W561" s="15">
        <f t="shared" si="9"/>
        <v>12</v>
      </c>
      <c r="X561" s="15">
        <f t="shared" si="10"/>
        <v>2024</v>
      </c>
    </row>
    <row r="562">
      <c r="A562" s="32">
        <v>45646.0</v>
      </c>
      <c r="B562" s="10"/>
      <c r="C562" s="9">
        <f t="shared" si="22"/>
        <v>45646</v>
      </c>
      <c r="D562" s="11" t="s">
        <v>80</v>
      </c>
      <c r="E562" s="11" t="s">
        <v>25</v>
      </c>
      <c r="F562" s="11" t="s">
        <v>32</v>
      </c>
      <c r="G562" s="11" t="s">
        <v>27</v>
      </c>
      <c r="H562" s="11" t="s">
        <v>437</v>
      </c>
      <c r="I562" s="12">
        <v>895.3</v>
      </c>
      <c r="J562" s="13"/>
      <c r="K562" s="13">
        <f t="shared" si="38"/>
        <v>895.3</v>
      </c>
      <c r="L562" s="11" t="s">
        <v>53</v>
      </c>
      <c r="M562" s="17">
        <v>45324.0</v>
      </c>
      <c r="N562" s="11" t="s">
        <v>405</v>
      </c>
      <c r="O562" s="10" t="str">
        <f t="shared" si="3"/>
        <v>12/2024</v>
      </c>
      <c r="P562" s="10" t="str">
        <f t="shared" si="29"/>
        <v>12/2024</v>
      </c>
      <c r="Q562" s="15" t="str">
        <f t="array" ref="Q562">IFERROR(XLOOKUP(N562,'Classificação'!A:A,'Classificação'!B:B),"")</f>
        <v>DESPESAS COM PESSOAL</v>
      </c>
      <c r="R562" s="15" t="str">
        <f t="array" ref="R562">IFERROR(XLOOKUP(Q562,'Classificação'!B:B,'Classificação'!C:C),"")</f>
        <v>DESPESAS FIXAS (-)</v>
      </c>
      <c r="S562" s="15">
        <f t="shared" si="5"/>
        <v>20</v>
      </c>
      <c r="T562" s="15">
        <f t="shared" si="6"/>
        <v>12</v>
      </c>
      <c r="U562" s="15">
        <f t="shared" si="7"/>
        <v>2024</v>
      </c>
      <c r="V562" s="15">
        <f t="shared" si="8"/>
        <v>20</v>
      </c>
      <c r="W562" s="15">
        <f t="shared" si="9"/>
        <v>12</v>
      </c>
      <c r="X562" s="15">
        <f t="shared" si="10"/>
        <v>2024</v>
      </c>
    </row>
    <row r="563">
      <c r="A563" s="32">
        <v>45646.0</v>
      </c>
      <c r="B563" s="10"/>
      <c r="C563" s="9">
        <f t="shared" si="22"/>
        <v>45646</v>
      </c>
      <c r="D563" s="11" t="s">
        <v>83</v>
      </c>
      <c r="E563" s="11" t="s">
        <v>25</v>
      </c>
      <c r="F563" s="11" t="s">
        <v>32</v>
      </c>
      <c r="G563" s="11" t="s">
        <v>27</v>
      </c>
      <c r="H563" s="11" t="s">
        <v>437</v>
      </c>
      <c r="I563" s="12">
        <v>587.1</v>
      </c>
      <c r="J563" s="13"/>
      <c r="K563" s="13">
        <f t="shared" si="38"/>
        <v>587.1</v>
      </c>
      <c r="L563" s="11" t="s">
        <v>53</v>
      </c>
      <c r="M563" s="17">
        <v>45324.0</v>
      </c>
      <c r="N563" s="11" t="s">
        <v>405</v>
      </c>
      <c r="O563" s="10" t="str">
        <f t="shared" si="3"/>
        <v>12/2024</v>
      </c>
      <c r="P563" s="10" t="str">
        <f t="shared" si="29"/>
        <v>12/2024</v>
      </c>
      <c r="Q563" s="15" t="str">
        <f t="array" ref="Q563">IFERROR(XLOOKUP(N563,'Classificação'!A:A,'Classificação'!B:B),"")</f>
        <v>DESPESAS COM PESSOAL</v>
      </c>
      <c r="R563" s="15" t="str">
        <f t="array" ref="R563">IFERROR(XLOOKUP(Q563,'Classificação'!B:B,'Classificação'!C:C),"")</f>
        <v>DESPESAS FIXAS (-)</v>
      </c>
      <c r="S563" s="15">
        <f t="shared" si="5"/>
        <v>20</v>
      </c>
      <c r="T563" s="15">
        <f t="shared" si="6"/>
        <v>12</v>
      </c>
      <c r="U563" s="15">
        <f t="shared" si="7"/>
        <v>2024</v>
      </c>
      <c r="V563" s="15">
        <f t="shared" si="8"/>
        <v>20</v>
      </c>
      <c r="W563" s="15">
        <f t="shared" si="9"/>
        <v>12</v>
      </c>
      <c r="X563" s="15">
        <f t="shared" si="10"/>
        <v>2024</v>
      </c>
    </row>
    <row r="564">
      <c r="A564" s="32">
        <v>45646.0</v>
      </c>
      <c r="B564" s="10"/>
      <c r="C564" s="9">
        <f t="shared" si="22"/>
        <v>45646</v>
      </c>
      <c r="D564" s="11" t="s">
        <v>74</v>
      </c>
      <c r="E564" s="11" t="s">
        <v>25</v>
      </c>
      <c r="F564" s="11" t="s">
        <v>32</v>
      </c>
      <c r="G564" s="11" t="s">
        <v>27</v>
      </c>
      <c r="H564" s="11" t="s">
        <v>437</v>
      </c>
      <c r="I564" s="12">
        <v>292.92</v>
      </c>
      <c r="J564" s="13"/>
      <c r="K564" s="13">
        <f t="shared" si="38"/>
        <v>292.92</v>
      </c>
      <c r="L564" s="11" t="s">
        <v>53</v>
      </c>
      <c r="M564" s="17">
        <v>45324.0</v>
      </c>
      <c r="N564" s="11" t="s">
        <v>405</v>
      </c>
      <c r="O564" s="10" t="str">
        <f t="shared" si="3"/>
        <v>12/2024</v>
      </c>
      <c r="P564" s="10" t="str">
        <f t="shared" si="29"/>
        <v>12/2024</v>
      </c>
      <c r="Q564" s="15" t="str">
        <f t="array" ref="Q564">IFERROR(XLOOKUP(N564,'Classificação'!A:A,'Classificação'!B:B),"")</f>
        <v>DESPESAS COM PESSOAL</v>
      </c>
      <c r="R564" s="15" t="str">
        <f t="array" ref="R564">IFERROR(XLOOKUP(Q564,'Classificação'!B:B,'Classificação'!C:C),"")</f>
        <v>DESPESAS FIXAS (-)</v>
      </c>
      <c r="S564" s="15">
        <f t="shared" si="5"/>
        <v>20</v>
      </c>
      <c r="T564" s="15">
        <f t="shared" si="6"/>
        <v>12</v>
      </c>
      <c r="U564" s="15">
        <f t="shared" si="7"/>
        <v>2024</v>
      </c>
      <c r="V564" s="15">
        <f t="shared" si="8"/>
        <v>20</v>
      </c>
      <c r="W564" s="15">
        <f t="shared" si="9"/>
        <v>12</v>
      </c>
      <c r="X564" s="15">
        <f t="shared" si="10"/>
        <v>2024</v>
      </c>
    </row>
    <row r="565">
      <c r="A565" s="32">
        <v>45646.0</v>
      </c>
      <c r="B565" s="9">
        <v>45523.0</v>
      </c>
      <c r="C565" s="9">
        <f t="shared" si="22"/>
        <v>45646</v>
      </c>
      <c r="D565" s="11" t="s">
        <v>65</v>
      </c>
      <c r="E565" s="11" t="s">
        <v>25</v>
      </c>
      <c r="F565" s="11" t="s">
        <v>107</v>
      </c>
      <c r="G565" s="11" t="s">
        <v>27</v>
      </c>
      <c r="H565" s="11" t="s">
        <v>263</v>
      </c>
      <c r="I565" s="31">
        <v>102.67</v>
      </c>
      <c r="J565" s="13"/>
      <c r="K565" s="13">
        <f t="shared" si="38"/>
        <v>102.67</v>
      </c>
      <c r="L565" s="11" t="s">
        <v>53</v>
      </c>
      <c r="M565" s="17">
        <v>45630.0</v>
      </c>
      <c r="N565" s="11" t="s">
        <v>95</v>
      </c>
      <c r="O565" s="10" t="str">
        <f t="shared" si="3"/>
        <v>12/2024</v>
      </c>
      <c r="P565" s="10" t="str">
        <f t="shared" si="29"/>
        <v>12/2024</v>
      </c>
      <c r="Q565" s="15" t="str">
        <f t="array" ref="Q565">IFERROR(XLOOKUP(N565,'Classificação'!A:A,'Classificação'!B:B),"")</f>
        <v>DESPESAS NÃO OPERACIONAIS</v>
      </c>
      <c r="R565" s="15" t="str">
        <f t="array" ref="R565">IFERROR(XLOOKUP(Q565,'Classificação'!B:B,'Classificação'!C:C),"")</f>
        <v>RESULTADO NÃO OPERACIONAL (+/-)</v>
      </c>
      <c r="S565" s="15">
        <f t="shared" si="5"/>
        <v>20</v>
      </c>
      <c r="T565" s="15">
        <f t="shared" si="6"/>
        <v>12</v>
      </c>
      <c r="U565" s="15">
        <f t="shared" si="7"/>
        <v>2024</v>
      </c>
      <c r="V565" s="15">
        <f t="shared" si="8"/>
        <v>20</v>
      </c>
      <c r="W565" s="15">
        <f t="shared" si="9"/>
        <v>12</v>
      </c>
      <c r="X565" s="15">
        <f t="shared" si="10"/>
        <v>2024</v>
      </c>
    </row>
    <row r="566">
      <c r="A566" s="32">
        <v>45646.0</v>
      </c>
      <c r="B566" s="9">
        <v>45553.0</v>
      </c>
      <c r="C566" s="9">
        <f t="shared" si="22"/>
        <v>45646</v>
      </c>
      <c r="D566" s="11" t="s">
        <v>313</v>
      </c>
      <c r="E566" s="11" t="s">
        <v>25</v>
      </c>
      <c r="F566" s="11" t="s">
        <v>107</v>
      </c>
      <c r="G566" s="11" t="s">
        <v>27</v>
      </c>
      <c r="H566" s="11" t="s">
        <v>314</v>
      </c>
      <c r="I566" s="31">
        <v>287.13</v>
      </c>
      <c r="J566" s="13"/>
      <c r="K566" s="13">
        <f t="shared" si="38"/>
        <v>287.13</v>
      </c>
      <c r="L566" s="11" t="s">
        <v>53</v>
      </c>
      <c r="M566" s="17">
        <v>45629.0</v>
      </c>
      <c r="N566" s="11" t="s">
        <v>95</v>
      </c>
      <c r="O566" s="10" t="str">
        <f t="shared" si="3"/>
        <v>12/2024</v>
      </c>
      <c r="P566" s="10" t="str">
        <f t="shared" si="29"/>
        <v>12/2024</v>
      </c>
      <c r="Q566" s="15" t="str">
        <f t="array" ref="Q566">IFERROR(XLOOKUP(N566,'Classificação'!A:A,'Classificação'!B:B),"")</f>
        <v>DESPESAS NÃO OPERACIONAIS</v>
      </c>
      <c r="R566" s="15" t="str">
        <f t="array" ref="R566">IFERROR(XLOOKUP(Q566,'Classificação'!B:B,'Classificação'!C:C),"")</f>
        <v>RESULTADO NÃO OPERACIONAL (+/-)</v>
      </c>
      <c r="S566" s="15">
        <f t="shared" si="5"/>
        <v>20</v>
      </c>
      <c r="T566" s="15">
        <f t="shared" si="6"/>
        <v>12</v>
      </c>
      <c r="U566" s="15">
        <f t="shared" si="7"/>
        <v>2024</v>
      </c>
      <c r="V566" s="15">
        <f t="shared" si="8"/>
        <v>20</v>
      </c>
      <c r="W566" s="15">
        <f t="shared" si="9"/>
        <v>12</v>
      </c>
      <c r="X566" s="15">
        <f t="shared" si="10"/>
        <v>2024</v>
      </c>
    </row>
    <row r="567">
      <c r="A567" s="32">
        <v>45646.0</v>
      </c>
      <c r="B567" s="9">
        <v>45561.0</v>
      </c>
      <c r="C567" s="9">
        <f t="shared" si="22"/>
        <v>45646</v>
      </c>
      <c r="D567" s="11" t="s">
        <v>316</v>
      </c>
      <c r="E567" s="11" t="s">
        <v>25</v>
      </c>
      <c r="F567" s="11" t="s">
        <v>107</v>
      </c>
      <c r="G567" s="11" t="s">
        <v>27</v>
      </c>
      <c r="H567" s="11" t="s">
        <v>317</v>
      </c>
      <c r="I567" s="31">
        <v>593.82</v>
      </c>
      <c r="J567" s="13"/>
      <c r="K567" s="13">
        <f t="shared" si="38"/>
        <v>593.82</v>
      </c>
      <c r="L567" s="11" t="s">
        <v>53</v>
      </c>
      <c r="M567" s="17">
        <v>45446.0</v>
      </c>
      <c r="N567" s="11" t="s">
        <v>105</v>
      </c>
      <c r="O567" s="10" t="str">
        <f t="shared" si="3"/>
        <v>12/2024</v>
      </c>
      <c r="P567" s="10" t="str">
        <f t="shared" si="29"/>
        <v>12/2024</v>
      </c>
      <c r="Q567" s="15" t="str">
        <f t="array" ref="Q567">IFERROR(XLOOKUP(N567,'Classificação'!A:A,'Classificação'!B:B),"")</f>
        <v>DESPESAS ADMINISTRATIVAS</v>
      </c>
      <c r="R567" s="15" t="str">
        <f t="array" ref="R567">IFERROR(XLOOKUP(Q567,'Classificação'!B:B,'Classificação'!C:C),"")</f>
        <v>DESPESAS FIXAS (-)</v>
      </c>
      <c r="S567" s="15">
        <f t="shared" si="5"/>
        <v>20</v>
      </c>
      <c r="T567" s="15">
        <f t="shared" si="6"/>
        <v>12</v>
      </c>
      <c r="U567" s="15">
        <f t="shared" si="7"/>
        <v>2024</v>
      </c>
      <c r="V567" s="15">
        <f t="shared" si="8"/>
        <v>20</v>
      </c>
      <c r="W567" s="15">
        <f t="shared" si="9"/>
        <v>12</v>
      </c>
      <c r="X567" s="15">
        <f t="shared" si="10"/>
        <v>2024</v>
      </c>
    </row>
    <row r="568">
      <c r="A568" s="32">
        <v>45646.0</v>
      </c>
      <c r="B568" s="10"/>
      <c r="C568" s="9">
        <f t="shared" si="22"/>
        <v>45646</v>
      </c>
      <c r="D568" s="11" t="s">
        <v>322</v>
      </c>
      <c r="E568" s="11" t="s">
        <v>25</v>
      </c>
      <c r="F568" s="11" t="s">
        <v>110</v>
      </c>
      <c r="G568" s="11" t="s">
        <v>27</v>
      </c>
      <c r="H568" s="11" t="s">
        <v>323</v>
      </c>
      <c r="I568" s="12">
        <v>46.2</v>
      </c>
      <c r="J568" s="13"/>
      <c r="K568" s="13">
        <f t="shared" si="38"/>
        <v>46.2</v>
      </c>
      <c r="L568" s="11" t="s">
        <v>29</v>
      </c>
      <c r="M568" s="17"/>
      <c r="N568" s="11" t="s">
        <v>105</v>
      </c>
      <c r="O568" s="10" t="str">
        <f t="shared" si="3"/>
        <v>12/2024</v>
      </c>
      <c r="P568" s="10" t="str">
        <f t="shared" si="29"/>
        <v>12/2024</v>
      </c>
      <c r="Q568" s="15" t="str">
        <f t="array" ref="Q568">IFERROR(XLOOKUP(N568,'Classificação'!A:A,'Classificação'!B:B),"")</f>
        <v>DESPESAS ADMINISTRATIVAS</v>
      </c>
      <c r="R568" s="15" t="str">
        <f t="array" ref="R568">IFERROR(XLOOKUP(Q568,'Classificação'!B:B,'Classificação'!C:C),"")</f>
        <v>DESPESAS FIXAS (-)</v>
      </c>
      <c r="S568" s="15">
        <f t="shared" si="5"/>
        <v>20</v>
      </c>
      <c r="T568" s="15">
        <f t="shared" si="6"/>
        <v>12</v>
      </c>
      <c r="U568" s="15">
        <f t="shared" si="7"/>
        <v>2024</v>
      </c>
      <c r="V568" s="15">
        <f t="shared" si="8"/>
        <v>20</v>
      </c>
      <c r="W568" s="15">
        <f t="shared" si="9"/>
        <v>12</v>
      </c>
      <c r="X568" s="15">
        <f t="shared" si="10"/>
        <v>2024</v>
      </c>
    </row>
    <row r="569">
      <c r="A569" s="32">
        <v>45646.0</v>
      </c>
      <c r="B569" s="32">
        <v>45576.0</v>
      </c>
      <c r="C569" s="9">
        <f t="shared" si="22"/>
        <v>45646</v>
      </c>
      <c r="D569" s="11" t="s">
        <v>377</v>
      </c>
      <c r="E569" s="11" t="s">
        <v>25</v>
      </c>
      <c r="F569" s="11" t="s">
        <v>107</v>
      </c>
      <c r="G569" s="11" t="s">
        <v>27</v>
      </c>
      <c r="H569" s="11" t="s">
        <v>378</v>
      </c>
      <c r="I569" s="31">
        <v>75.0</v>
      </c>
      <c r="J569" s="13"/>
      <c r="K569" s="13">
        <f t="shared" si="38"/>
        <v>75</v>
      </c>
      <c r="L569" s="11" t="s">
        <v>53</v>
      </c>
      <c r="M569" s="17">
        <v>45324.0</v>
      </c>
      <c r="N569" s="11" t="s">
        <v>136</v>
      </c>
      <c r="O569" s="10" t="str">
        <f t="shared" si="3"/>
        <v>12/2024</v>
      </c>
      <c r="P569" s="10" t="str">
        <f t="shared" si="29"/>
        <v>12/2024</v>
      </c>
      <c r="Q569" s="15" t="str">
        <f t="array" ref="Q569">IFERROR(XLOOKUP(N569,'Classificação'!A:A,'Classificação'!B:B),"")</f>
        <v>DESPESAS COM OCUPAÇÃO</v>
      </c>
      <c r="R569" s="15" t="str">
        <f t="array" ref="R569">IFERROR(XLOOKUP(Q569,'Classificação'!B:B,'Classificação'!C:C),"")</f>
        <v>DESPESAS FIXAS (-)</v>
      </c>
      <c r="S569" s="15">
        <f t="shared" si="5"/>
        <v>20</v>
      </c>
      <c r="T569" s="15">
        <f t="shared" si="6"/>
        <v>12</v>
      </c>
      <c r="U569" s="15">
        <f t="shared" si="7"/>
        <v>2024</v>
      </c>
      <c r="V569" s="15">
        <f t="shared" si="8"/>
        <v>20</v>
      </c>
      <c r="W569" s="15">
        <f t="shared" si="9"/>
        <v>12</v>
      </c>
      <c r="X569" s="15">
        <f t="shared" si="10"/>
        <v>2024</v>
      </c>
    </row>
    <row r="570">
      <c r="A570" s="32">
        <v>45646.0</v>
      </c>
      <c r="B570" s="32">
        <v>45582.0</v>
      </c>
      <c r="C570" s="9">
        <f t="shared" si="22"/>
        <v>45646</v>
      </c>
      <c r="D570" s="11" t="s">
        <v>383</v>
      </c>
      <c r="E570" s="11" t="s">
        <v>25</v>
      </c>
      <c r="F570" s="11" t="s">
        <v>107</v>
      </c>
      <c r="G570" s="11" t="s">
        <v>27</v>
      </c>
      <c r="H570" s="11" t="s">
        <v>384</v>
      </c>
      <c r="I570" s="31">
        <v>382.73</v>
      </c>
      <c r="J570" s="13"/>
      <c r="K570" s="13">
        <f t="shared" si="38"/>
        <v>382.73</v>
      </c>
      <c r="L570" s="11" t="s">
        <v>53</v>
      </c>
      <c r="M570" s="17">
        <v>45445.0</v>
      </c>
      <c r="N570" s="11" t="s">
        <v>35</v>
      </c>
      <c r="O570" s="10" t="str">
        <f t="shared" si="3"/>
        <v>12/2024</v>
      </c>
      <c r="P570" s="10" t="str">
        <f t="shared" si="29"/>
        <v>12/2024</v>
      </c>
      <c r="Q570" s="15" t="str">
        <f t="array" ref="Q570">IFERROR(XLOOKUP(N570,'Classificação'!A:A,'Classificação'!B:B),"")</f>
        <v>COMPRA DE MERCADORIA</v>
      </c>
      <c r="R570" s="15" t="str">
        <f t="array" ref="R570">IFERROR(XLOOKUP(Q570,'Classificação'!B:B,'Classificação'!C:C),"")</f>
        <v>CUSTOS VARIÁVEIS</v>
      </c>
      <c r="S570" s="15">
        <f t="shared" si="5"/>
        <v>20</v>
      </c>
      <c r="T570" s="15">
        <f t="shared" si="6"/>
        <v>12</v>
      </c>
      <c r="U570" s="15">
        <f t="shared" si="7"/>
        <v>2024</v>
      </c>
      <c r="V570" s="15">
        <f t="shared" si="8"/>
        <v>20</v>
      </c>
      <c r="W570" s="15">
        <f t="shared" si="9"/>
        <v>12</v>
      </c>
      <c r="X570" s="15">
        <f t="shared" si="10"/>
        <v>2024</v>
      </c>
    </row>
    <row r="571">
      <c r="A571" s="32">
        <v>45646.0</v>
      </c>
      <c r="B571" s="9">
        <v>45603.0</v>
      </c>
      <c r="C571" s="9">
        <f t="shared" si="22"/>
        <v>45646</v>
      </c>
      <c r="D571" s="11" t="s">
        <v>373</v>
      </c>
      <c r="E571" s="11" t="s">
        <v>25</v>
      </c>
      <c r="F571" s="11" t="s">
        <v>110</v>
      </c>
      <c r="G571" s="11" t="s">
        <v>27</v>
      </c>
      <c r="H571" s="11" t="s">
        <v>374</v>
      </c>
      <c r="I571" s="12">
        <v>14.0</v>
      </c>
      <c r="J571" s="13"/>
      <c r="K571" s="13">
        <f t="shared" si="38"/>
        <v>14</v>
      </c>
      <c r="L571" s="11" t="s">
        <v>34</v>
      </c>
      <c r="M571" s="14"/>
      <c r="N571" s="11" t="s">
        <v>64</v>
      </c>
      <c r="O571" s="10" t="str">
        <f t="shared" si="3"/>
        <v>12/2024</v>
      </c>
      <c r="P571" s="10" t="str">
        <f t="shared" si="29"/>
        <v>12/2024</v>
      </c>
      <c r="Q571" s="15" t="str">
        <f t="array" ref="Q571">IFERROR(XLOOKUP(N571,'Classificação'!A:A,'Classificação'!B:B),"")</f>
        <v>DESPESAS COM PESSOAL</v>
      </c>
      <c r="R571" s="15" t="str">
        <f t="array" ref="R571">IFERROR(XLOOKUP(Q571,'Classificação'!B:B,'Classificação'!C:C),"")</f>
        <v>DESPESAS FIXAS (-)</v>
      </c>
      <c r="S571" s="15">
        <f t="shared" si="5"/>
        <v>20</v>
      </c>
      <c r="T571" s="15">
        <f t="shared" si="6"/>
        <v>12</v>
      </c>
      <c r="U571" s="15">
        <f t="shared" si="7"/>
        <v>2024</v>
      </c>
      <c r="V571" s="15">
        <f t="shared" si="8"/>
        <v>20</v>
      </c>
      <c r="W571" s="15">
        <f t="shared" si="9"/>
        <v>12</v>
      </c>
      <c r="X571" s="15">
        <f t="shared" si="10"/>
        <v>2024</v>
      </c>
    </row>
    <row r="572">
      <c r="A572" s="32">
        <v>45646.0</v>
      </c>
      <c r="B572" s="9">
        <v>45604.0</v>
      </c>
      <c r="C572" s="9">
        <f t="shared" si="22"/>
        <v>45646</v>
      </c>
      <c r="D572" s="11" t="s">
        <v>255</v>
      </c>
      <c r="E572" s="11" t="s">
        <v>25</v>
      </c>
      <c r="F572" s="11" t="s">
        <v>110</v>
      </c>
      <c r="G572" s="11" t="s">
        <v>27</v>
      </c>
      <c r="H572" s="11" t="s">
        <v>438</v>
      </c>
      <c r="I572" s="12">
        <v>194.18</v>
      </c>
      <c r="J572" s="13"/>
      <c r="K572" s="13">
        <f t="shared" si="38"/>
        <v>194.18</v>
      </c>
      <c r="L572" s="11" t="s">
        <v>34</v>
      </c>
      <c r="M572" s="14"/>
      <c r="N572" s="11" t="s">
        <v>71</v>
      </c>
      <c r="O572" s="10" t="str">
        <f t="shared" si="3"/>
        <v>12/2024</v>
      </c>
      <c r="P572" s="10" t="str">
        <f t="shared" si="29"/>
        <v>12/2024</v>
      </c>
      <c r="Q572" s="15" t="str">
        <f t="array" ref="Q572">IFERROR(XLOOKUP(N572,'Classificação'!A:A,'Classificação'!B:B),"")</f>
        <v>DESPESAS DIVERSAS</v>
      </c>
      <c r="R572" s="15" t="str">
        <f t="array" ref="R572">IFERROR(XLOOKUP(Q572,'Classificação'!B:B,'Classificação'!C:C),"")</f>
        <v>DESPESAS FIXAS (-)</v>
      </c>
      <c r="S572" s="15">
        <f t="shared" si="5"/>
        <v>20</v>
      </c>
      <c r="T572" s="15">
        <f t="shared" si="6"/>
        <v>12</v>
      </c>
      <c r="U572" s="15">
        <f t="shared" si="7"/>
        <v>2024</v>
      </c>
      <c r="V572" s="15">
        <f t="shared" si="8"/>
        <v>20</v>
      </c>
      <c r="W572" s="15">
        <f t="shared" si="9"/>
        <v>12</v>
      </c>
      <c r="X572" s="15">
        <f t="shared" si="10"/>
        <v>2024</v>
      </c>
    </row>
    <row r="573">
      <c r="A573" s="32">
        <v>45646.0</v>
      </c>
      <c r="B573" s="9">
        <v>45604.0</v>
      </c>
      <c r="C573" s="9">
        <f t="shared" si="22"/>
        <v>45646</v>
      </c>
      <c r="D573" s="11" t="s">
        <v>255</v>
      </c>
      <c r="E573" s="11" t="s">
        <v>25</v>
      </c>
      <c r="F573" s="11" t="s">
        <v>110</v>
      </c>
      <c r="G573" s="11" t="s">
        <v>27</v>
      </c>
      <c r="H573" s="11" t="s">
        <v>375</v>
      </c>
      <c r="I573" s="12">
        <v>110.24</v>
      </c>
      <c r="J573" s="13"/>
      <c r="K573" s="13">
        <f t="shared" si="38"/>
        <v>110.24</v>
      </c>
      <c r="L573" s="11" t="s">
        <v>34</v>
      </c>
      <c r="M573" s="14"/>
      <c r="N573" s="11" t="s">
        <v>71</v>
      </c>
      <c r="O573" s="10" t="str">
        <f t="shared" si="3"/>
        <v>12/2024</v>
      </c>
      <c r="P573" s="10" t="str">
        <f t="shared" si="29"/>
        <v>12/2024</v>
      </c>
      <c r="Q573" s="15" t="str">
        <f t="array" ref="Q573">IFERROR(XLOOKUP(N573,'Classificação'!A:A,'Classificação'!B:B),"")</f>
        <v>DESPESAS DIVERSAS</v>
      </c>
      <c r="R573" s="15" t="str">
        <f t="array" ref="R573">IFERROR(XLOOKUP(Q573,'Classificação'!B:B,'Classificação'!C:C),"")</f>
        <v>DESPESAS FIXAS (-)</v>
      </c>
      <c r="S573" s="15">
        <f t="shared" si="5"/>
        <v>20</v>
      </c>
      <c r="T573" s="15">
        <f t="shared" si="6"/>
        <v>12</v>
      </c>
      <c r="U573" s="15">
        <f t="shared" si="7"/>
        <v>2024</v>
      </c>
      <c r="V573" s="15">
        <f t="shared" si="8"/>
        <v>20</v>
      </c>
      <c r="W573" s="15">
        <f t="shared" si="9"/>
        <v>12</v>
      </c>
      <c r="X573" s="15">
        <f t="shared" si="10"/>
        <v>2024</v>
      </c>
    </row>
    <row r="574">
      <c r="A574" s="32">
        <v>45646.0</v>
      </c>
      <c r="B574" s="32">
        <v>45607.0</v>
      </c>
      <c r="C574" s="9">
        <f t="shared" si="22"/>
        <v>45646</v>
      </c>
      <c r="D574" s="11" t="s">
        <v>114</v>
      </c>
      <c r="E574" s="11" t="s">
        <v>25</v>
      </c>
      <c r="F574" s="11" t="s">
        <v>110</v>
      </c>
      <c r="G574" s="11" t="s">
        <v>27</v>
      </c>
      <c r="H574" s="11" t="s">
        <v>439</v>
      </c>
      <c r="I574" s="12">
        <v>145.12</v>
      </c>
      <c r="J574" s="13"/>
      <c r="K574" s="13">
        <f t="shared" si="38"/>
        <v>145.12</v>
      </c>
      <c r="L574" s="11" t="s">
        <v>34</v>
      </c>
      <c r="M574" s="14"/>
      <c r="N574" s="11" t="s">
        <v>143</v>
      </c>
      <c r="O574" s="10" t="str">
        <f t="shared" si="3"/>
        <v>12/2024</v>
      </c>
      <c r="P574" s="10" t="str">
        <f t="shared" si="29"/>
        <v>12/2024</v>
      </c>
      <c r="Q574" s="15" t="str">
        <f t="array" ref="Q574">IFERROR(XLOOKUP(N574,'Classificação'!A:A,'Classificação'!B:B),"")</f>
        <v>EMBALAGENS/FITAS/GERAL</v>
      </c>
      <c r="R574" s="15" t="str">
        <f t="array" ref="R574">IFERROR(XLOOKUP(Q574,'Classificação'!B:B,'Classificação'!C:C),"")</f>
        <v>CUSTOS VARIÁVEIS</v>
      </c>
      <c r="S574" s="15">
        <f t="shared" si="5"/>
        <v>20</v>
      </c>
      <c r="T574" s="15">
        <f t="shared" si="6"/>
        <v>12</v>
      </c>
      <c r="U574" s="15">
        <f t="shared" si="7"/>
        <v>2024</v>
      </c>
      <c r="V574" s="15">
        <f t="shared" si="8"/>
        <v>20</v>
      </c>
      <c r="W574" s="15">
        <f t="shared" si="9"/>
        <v>12</v>
      </c>
      <c r="X574" s="15">
        <f t="shared" si="10"/>
        <v>2024</v>
      </c>
    </row>
    <row r="575">
      <c r="A575" s="32">
        <v>45646.0</v>
      </c>
      <c r="B575" s="32">
        <v>45608.0</v>
      </c>
      <c r="C575" s="9">
        <f t="shared" si="22"/>
        <v>45646</v>
      </c>
      <c r="D575" s="11" t="s">
        <v>65</v>
      </c>
      <c r="E575" s="11" t="s">
        <v>25</v>
      </c>
      <c r="F575" s="11" t="s">
        <v>107</v>
      </c>
      <c r="G575" s="11" t="s">
        <v>27</v>
      </c>
      <c r="H575" s="11" t="s">
        <v>440</v>
      </c>
      <c r="I575" s="31">
        <v>241.25</v>
      </c>
      <c r="J575" s="13"/>
      <c r="K575" s="13">
        <f t="shared" si="38"/>
        <v>241.25</v>
      </c>
      <c r="L575" s="11" t="s">
        <v>34</v>
      </c>
      <c r="M575" s="14"/>
      <c r="N575" s="11" t="s">
        <v>143</v>
      </c>
      <c r="O575" s="10" t="str">
        <f t="shared" si="3"/>
        <v>12/2024</v>
      </c>
      <c r="P575" s="10" t="str">
        <f t="shared" si="29"/>
        <v>12/2024</v>
      </c>
      <c r="Q575" s="15" t="str">
        <f t="array" ref="Q575">IFERROR(XLOOKUP(N575,'Classificação'!A:A,'Classificação'!B:B),"")</f>
        <v>EMBALAGENS/FITAS/GERAL</v>
      </c>
      <c r="R575" s="15" t="str">
        <f t="array" ref="R575">IFERROR(XLOOKUP(Q575,'Classificação'!B:B,'Classificação'!C:C),"")</f>
        <v>CUSTOS VARIÁVEIS</v>
      </c>
      <c r="S575" s="15">
        <f t="shared" si="5"/>
        <v>20</v>
      </c>
      <c r="T575" s="15">
        <f t="shared" si="6"/>
        <v>12</v>
      </c>
      <c r="U575" s="15">
        <f t="shared" si="7"/>
        <v>2024</v>
      </c>
      <c r="V575" s="15">
        <f t="shared" si="8"/>
        <v>20</v>
      </c>
      <c r="W575" s="15">
        <f t="shared" si="9"/>
        <v>12</v>
      </c>
      <c r="X575" s="15">
        <f t="shared" si="10"/>
        <v>2024</v>
      </c>
    </row>
    <row r="576">
      <c r="A576" s="32">
        <v>45646.0</v>
      </c>
      <c r="B576" s="32">
        <v>45608.0</v>
      </c>
      <c r="C576" s="9">
        <f t="shared" si="22"/>
        <v>45646</v>
      </c>
      <c r="D576" s="11" t="s">
        <v>65</v>
      </c>
      <c r="E576" s="11" t="s">
        <v>25</v>
      </c>
      <c r="F576" s="11" t="s">
        <v>107</v>
      </c>
      <c r="G576" s="11" t="s">
        <v>27</v>
      </c>
      <c r="H576" s="11" t="s">
        <v>318</v>
      </c>
      <c r="I576" s="31">
        <v>334.49</v>
      </c>
      <c r="J576" s="13"/>
      <c r="K576" s="13">
        <f t="shared" si="38"/>
        <v>334.49</v>
      </c>
      <c r="L576" s="11" t="s">
        <v>34</v>
      </c>
      <c r="M576" s="14"/>
      <c r="N576" s="11" t="s">
        <v>143</v>
      </c>
      <c r="O576" s="10" t="str">
        <f t="shared" si="3"/>
        <v>12/2024</v>
      </c>
      <c r="P576" s="10" t="str">
        <f t="shared" si="29"/>
        <v>12/2024</v>
      </c>
      <c r="Q576" s="15" t="str">
        <f t="array" ref="Q576">IFERROR(XLOOKUP(N576,'Classificação'!A:A,'Classificação'!B:B),"")</f>
        <v>EMBALAGENS/FITAS/GERAL</v>
      </c>
      <c r="R576" s="15" t="str">
        <f t="array" ref="R576">IFERROR(XLOOKUP(Q576,'Classificação'!B:B,'Classificação'!C:C),"")</f>
        <v>CUSTOS VARIÁVEIS</v>
      </c>
      <c r="S576" s="15">
        <f t="shared" si="5"/>
        <v>20</v>
      </c>
      <c r="T576" s="15">
        <f t="shared" si="6"/>
        <v>12</v>
      </c>
      <c r="U576" s="15">
        <f t="shared" si="7"/>
        <v>2024</v>
      </c>
      <c r="V576" s="15">
        <f t="shared" si="8"/>
        <v>20</v>
      </c>
      <c r="W576" s="15">
        <f t="shared" si="9"/>
        <v>12</v>
      </c>
      <c r="X576" s="15">
        <f t="shared" si="10"/>
        <v>2024</v>
      </c>
    </row>
    <row r="577">
      <c r="A577" s="32">
        <v>45646.0</v>
      </c>
      <c r="B577" s="32">
        <v>45609.0</v>
      </c>
      <c r="C577" s="9">
        <f t="shared" si="22"/>
        <v>45646</v>
      </c>
      <c r="D577" s="11" t="s">
        <v>373</v>
      </c>
      <c r="E577" s="11" t="s">
        <v>25</v>
      </c>
      <c r="F577" s="11" t="s">
        <v>110</v>
      </c>
      <c r="G577" s="11" t="s">
        <v>27</v>
      </c>
      <c r="H577" s="11" t="s">
        <v>374</v>
      </c>
      <c r="I577" s="12">
        <v>14.0</v>
      </c>
      <c r="J577" s="13"/>
      <c r="K577" s="13">
        <f t="shared" si="38"/>
        <v>14</v>
      </c>
      <c r="L577" s="11" t="s">
        <v>34</v>
      </c>
      <c r="M577" s="14"/>
      <c r="N577" s="11" t="s">
        <v>64</v>
      </c>
      <c r="O577" s="10" t="str">
        <f t="shared" si="3"/>
        <v>12/2024</v>
      </c>
      <c r="P577" s="10" t="str">
        <f t="shared" si="29"/>
        <v>12/2024</v>
      </c>
      <c r="Q577" s="15" t="str">
        <f t="array" ref="Q577">IFERROR(XLOOKUP(N577,'Classificação'!A:A,'Classificação'!B:B),"")</f>
        <v>DESPESAS COM PESSOAL</v>
      </c>
      <c r="R577" s="15" t="str">
        <f t="array" ref="R577">IFERROR(XLOOKUP(Q577,'Classificação'!B:B,'Classificação'!C:C),"")</f>
        <v>DESPESAS FIXAS (-)</v>
      </c>
      <c r="S577" s="15">
        <f t="shared" si="5"/>
        <v>20</v>
      </c>
      <c r="T577" s="15">
        <f t="shared" si="6"/>
        <v>12</v>
      </c>
      <c r="U577" s="15">
        <f t="shared" si="7"/>
        <v>2024</v>
      </c>
      <c r="V577" s="15">
        <f t="shared" si="8"/>
        <v>20</v>
      </c>
      <c r="W577" s="15">
        <f t="shared" si="9"/>
        <v>12</v>
      </c>
      <c r="X577" s="15">
        <f t="shared" si="10"/>
        <v>2024</v>
      </c>
    </row>
    <row r="578">
      <c r="A578" s="32">
        <v>45646.0</v>
      </c>
      <c r="B578" s="32">
        <v>45609.0</v>
      </c>
      <c r="C578" s="9">
        <f t="shared" si="22"/>
        <v>45646</v>
      </c>
      <c r="D578" s="11" t="s">
        <v>179</v>
      </c>
      <c r="E578" s="11" t="s">
        <v>25</v>
      </c>
      <c r="F578" s="11" t="s">
        <v>107</v>
      </c>
      <c r="G578" s="11" t="s">
        <v>27</v>
      </c>
      <c r="H578" s="11" t="s">
        <v>312</v>
      </c>
      <c r="I578" s="31">
        <v>150.0</v>
      </c>
      <c r="J578" s="13"/>
      <c r="K578" s="13">
        <f t="shared" si="38"/>
        <v>150</v>
      </c>
      <c r="L578" s="11" t="s">
        <v>34</v>
      </c>
      <c r="M578" s="14"/>
      <c r="N578" s="11" t="s">
        <v>181</v>
      </c>
      <c r="O578" s="10" t="str">
        <f t="shared" si="3"/>
        <v>12/2024</v>
      </c>
      <c r="P578" s="10" t="str">
        <f t="shared" si="29"/>
        <v>12/2024</v>
      </c>
      <c r="Q578" s="15" t="str">
        <f t="array" ref="Q578">IFERROR(XLOOKUP(N578,'Classificação'!A:A,'Classificação'!B:B),"")</f>
        <v>DESPESAS COM VEICULOS</v>
      </c>
      <c r="R578" s="15" t="str">
        <f t="array" ref="R578">IFERROR(XLOOKUP(Q578,'Classificação'!B:B,'Classificação'!C:C),"")</f>
        <v>DESPESAS FIXAS (-)</v>
      </c>
      <c r="S578" s="15">
        <f t="shared" si="5"/>
        <v>20</v>
      </c>
      <c r="T578" s="15">
        <f t="shared" si="6"/>
        <v>12</v>
      </c>
      <c r="U578" s="15">
        <f t="shared" si="7"/>
        <v>2024</v>
      </c>
      <c r="V578" s="15">
        <f t="shared" si="8"/>
        <v>20</v>
      </c>
      <c r="W578" s="15">
        <f t="shared" si="9"/>
        <v>12</v>
      </c>
      <c r="X578" s="15">
        <f t="shared" si="10"/>
        <v>2024</v>
      </c>
    </row>
    <row r="579">
      <c r="A579" s="32">
        <v>45646.0</v>
      </c>
      <c r="B579" s="9">
        <v>45600.0</v>
      </c>
      <c r="C579" s="9">
        <f t="shared" si="22"/>
        <v>45646</v>
      </c>
      <c r="D579" s="11" t="s">
        <v>65</v>
      </c>
      <c r="E579" s="11" t="s">
        <v>25</v>
      </c>
      <c r="F579" s="11" t="s">
        <v>107</v>
      </c>
      <c r="G579" s="11" t="s">
        <v>27</v>
      </c>
      <c r="H579" s="11" t="s">
        <v>393</v>
      </c>
      <c r="I579" s="31">
        <v>32.39</v>
      </c>
      <c r="J579" s="13"/>
      <c r="K579" s="13">
        <f t="shared" si="38"/>
        <v>32.39</v>
      </c>
      <c r="L579" s="11" t="s">
        <v>53</v>
      </c>
      <c r="M579" s="17">
        <v>45506.0</v>
      </c>
      <c r="N579" s="11" t="s">
        <v>394</v>
      </c>
      <c r="O579" s="10" t="str">
        <f t="shared" si="3"/>
        <v>12/2024</v>
      </c>
      <c r="P579" s="10" t="str">
        <f t="shared" si="29"/>
        <v>12/2024</v>
      </c>
      <c r="Q579" s="15" t="str">
        <f t="array" ref="Q579">IFERROR(XLOOKUP(N579,'Classificação'!A:A,'Classificação'!B:B),"")</f>
        <v>DESPESAS NÃO OPERACIONAIS</v>
      </c>
      <c r="R579" s="15" t="str">
        <f t="array" ref="R579">IFERROR(XLOOKUP(Q579,'Classificação'!B:B,'Classificação'!C:C),"")</f>
        <v>RESULTADO NÃO OPERACIONAL (+/-)</v>
      </c>
      <c r="S579" s="15">
        <f t="shared" si="5"/>
        <v>20</v>
      </c>
      <c r="T579" s="15">
        <f t="shared" si="6"/>
        <v>12</v>
      </c>
      <c r="U579" s="15">
        <f t="shared" si="7"/>
        <v>2024</v>
      </c>
      <c r="V579" s="15">
        <f t="shared" si="8"/>
        <v>20</v>
      </c>
      <c r="W579" s="15">
        <f t="shared" si="9"/>
        <v>12</v>
      </c>
      <c r="X579" s="15">
        <f t="shared" si="10"/>
        <v>2024</v>
      </c>
    </row>
    <row r="580">
      <c r="A580" s="32">
        <v>45646.0</v>
      </c>
      <c r="B580" s="32">
        <v>45618.0</v>
      </c>
      <c r="C580" s="9">
        <f t="shared" si="22"/>
        <v>45646</v>
      </c>
      <c r="D580" s="11" t="s">
        <v>373</v>
      </c>
      <c r="E580" s="11" t="s">
        <v>25</v>
      </c>
      <c r="F580" s="11" t="s">
        <v>110</v>
      </c>
      <c r="G580" s="28" t="s">
        <v>27</v>
      </c>
      <c r="H580" s="29" t="s">
        <v>374</v>
      </c>
      <c r="I580" s="12">
        <v>14.0</v>
      </c>
      <c r="J580" s="13"/>
      <c r="K580" s="13">
        <f t="shared" si="38"/>
        <v>14</v>
      </c>
      <c r="L580" s="11" t="s">
        <v>34</v>
      </c>
      <c r="M580" s="14"/>
      <c r="N580" s="11" t="s">
        <v>64</v>
      </c>
      <c r="O580" s="10" t="str">
        <f t="shared" si="3"/>
        <v>12/2024</v>
      </c>
      <c r="P580" s="10" t="str">
        <f t="shared" si="29"/>
        <v>12/2024</v>
      </c>
      <c r="Q580" s="15" t="str">
        <f t="array" ref="Q580">IFERROR(XLOOKUP(N580,'Classificação'!A:A,'Classificação'!B:B),"")</f>
        <v>DESPESAS COM PESSOAL</v>
      </c>
      <c r="R580" s="15" t="str">
        <f t="array" ref="R580">IFERROR(XLOOKUP(Q580,'Classificação'!B:B,'Classificação'!C:C),"")</f>
        <v>DESPESAS FIXAS (-)</v>
      </c>
      <c r="S580" s="15">
        <f t="shared" si="5"/>
        <v>20</v>
      </c>
      <c r="T580" s="15">
        <f t="shared" si="6"/>
        <v>12</v>
      </c>
      <c r="U580" s="15">
        <f t="shared" si="7"/>
        <v>2024</v>
      </c>
      <c r="V580" s="15">
        <f t="shared" si="8"/>
        <v>20</v>
      </c>
      <c r="W580" s="15">
        <f t="shared" si="9"/>
        <v>12</v>
      </c>
      <c r="X580" s="15">
        <f t="shared" si="10"/>
        <v>2024</v>
      </c>
    </row>
    <row r="581">
      <c r="A581" s="32">
        <v>45646.0</v>
      </c>
      <c r="B581" s="32">
        <v>45614.0</v>
      </c>
      <c r="C581" s="9">
        <f t="shared" si="22"/>
        <v>45646</v>
      </c>
      <c r="D581" s="11" t="s">
        <v>179</v>
      </c>
      <c r="E581" s="11" t="s">
        <v>25</v>
      </c>
      <c r="F581" s="11" t="s">
        <v>107</v>
      </c>
      <c r="G581" s="11" t="s">
        <v>27</v>
      </c>
      <c r="H581" s="11" t="s">
        <v>312</v>
      </c>
      <c r="I581" s="31">
        <v>100.0</v>
      </c>
      <c r="J581" s="13"/>
      <c r="K581" s="13">
        <f t="shared" si="38"/>
        <v>100</v>
      </c>
      <c r="L581" s="11" t="s">
        <v>34</v>
      </c>
      <c r="M581" s="14"/>
      <c r="N581" s="11" t="s">
        <v>181</v>
      </c>
      <c r="O581" s="10" t="str">
        <f t="shared" si="3"/>
        <v>12/2024</v>
      </c>
      <c r="P581" s="10" t="str">
        <f t="shared" si="29"/>
        <v>12/2024</v>
      </c>
      <c r="Q581" s="15" t="str">
        <f t="array" ref="Q581">IFERROR(XLOOKUP(N581,'Classificação'!A:A,'Classificação'!B:B),"")</f>
        <v>DESPESAS COM VEICULOS</v>
      </c>
      <c r="R581" s="15" t="str">
        <f t="array" ref="R581">IFERROR(XLOOKUP(Q581,'Classificação'!B:B,'Classificação'!C:C),"")</f>
        <v>DESPESAS FIXAS (-)</v>
      </c>
      <c r="S581" s="15">
        <f t="shared" si="5"/>
        <v>20</v>
      </c>
      <c r="T581" s="15">
        <f t="shared" si="6"/>
        <v>12</v>
      </c>
      <c r="U581" s="15">
        <f t="shared" si="7"/>
        <v>2024</v>
      </c>
      <c r="V581" s="15">
        <f t="shared" si="8"/>
        <v>20</v>
      </c>
      <c r="W581" s="15">
        <f t="shared" si="9"/>
        <v>12</v>
      </c>
      <c r="X581" s="15">
        <f t="shared" si="10"/>
        <v>2024</v>
      </c>
    </row>
    <row r="582">
      <c r="A582" s="32">
        <v>45646.0</v>
      </c>
      <c r="B582" s="32">
        <v>45624.0</v>
      </c>
      <c r="C582" s="9">
        <f t="shared" si="22"/>
        <v>45646</v>
      </c>
      <c r="D582" s="11" t="s">
        <v>373</v>
      </c>
      <c r="E582" s="11" t="s">
        <v>25</v>
      </c>
      <c r="F582" s="11" t="s">
        <v>110</v>
      </c>
      <c r="G582" s="11" t="s">
        <v>27</v>
      </c>
      <c r="H582" s="11" t="s">
        <v>374</v>
      </c>
      <c r="I582" s="12">
        <v>14.0</v>
      </c>
      <c r="J582" s="13"/>
      <c r="K582" s="13">
        <f t="shared" si="38"/>
        <v>14</v>
      </c>
      <c r="L582" s="11" t="s">
        <v>34</v>
      </c>
      <c r="M582" s="14"/>
      <c r="N582" s="11" t="s">
        <v>64</v>
      </c>
      <c r="O582" s="10" t="str">
        <f t="shared" si="3"/>
        <v>12/2024</v>
      </c>
      <c r="P582" s="10" t="str">
        <f t="shared" si="29"/>
        <v>12/2024</v>
      </c>
      <c r="Q582" s="15" t="str">
        <f t="array" ref="Q582">IFERROR(XLOOKUP(N582,'Classificação'!A:A,'Classificação'!B:B),"")</f>
        <v>DESPESAS COM PESSOAL</v>
      </c>
      <c r="R582" s="15" t="str">
        <f t="array" ref="R582">IFERROR(XLOOKUP(Q582,'Classificação'!B:B,'Classificação'!C:C),"")</f>
        <v>DESPESAS FIXAS (-)</v>
      </c>
      <c r="S582" s="15">
        <f t="shared" si="5"/>
        <v>20</v>
      </c>
      <c r="T582" s="15">
        <f t="shared" si="6"/>
        <v>12</v>
      </c>
      <c r="U582" s="15">
        <f t="shared" si="7"/>
        <v>2024</v>
      </c>
      <c r="V582" s="15">
        <f t="shared" si="8"/>
        <v>20</v>
      </c>
      <c r="W582" s="15">
        <f t="shared" si="9"/>
        <v>12</v>
      </c>
      <c r="X582" s="15">
        <f t="shared" si="10"/>
        <v>2024</v>
      </c>
    </row>
    <row r="583">
      <c r="A583" s="32">
        <v>45646.0</v>
      </c>
      <c r="B583" s="32">
        <v>45624.0</v>
      </c>
      <c r="C583" s="9">
        <f t="shared" si="22"/>
        <v>45646</v>
      </c>
      <c r="D583" s="11" t="s">
        <v>179</v>
      </c>
      <c r="E583" s="11" t="s">
        <v>25</v>
      </c>
      <c r="F583" s="11" t="s">
        <v>107</v>
      </c>
      <c r="G583" s="11" t="s">
        <v>27</v>
      </c>
      <c r="H583" s="11" t="s">
        <v>312</v>
      </c>
      <c r="I583" s="31">
        <v>50.0</v>
      </c>
      <c r="J583" s="13"/>
      <c r="K583" s="13">
        <f t="shared" si="38"/>
        <v>50</v>
      </c>
      <c r="L583" s="11" t="s">
        <v>34</v>
      </c>
      <c r="M583" s="14"/>
      <c r="N583" s="11" t="s">
        <v>181</v>
      </c>
      <c r="O583" s="10" t="str">
        <f t="shared" si="3"/>
        <v>12/2024</v>
      </c>
      <c r="P583" s="10" t="str">
        <f t="shared" si="29"/>
        <v>12/2024</v>
      </c>
      <c r="Q583" s="15" t="str">
        <f t="array" ref="Q583">IFERROR(XLOOKUP(N583,'Classificação'!A:A,'Classificação'!B:B),"")</f>
        <v>DESPESAS COM VEICULOS</v>
      </c>
      <c r="R583" s="15" t="str">
        <f t="array" ref="R583">IFERROR(XLOOKUP(Q583,'Classificação'!B:B,'Classificação'!C:C),"")</f>
        <v>DESPESAS FIXAS (-)</v>
      </c>
      <c r="S583" s="15">
        <f t="shared" si="5"/>
        <v>20</v>
      </c>
      <c r="T583" s="15">
        <f t="shared" si="6"/>
        <v>12</v>
      </c>
      <c r="U583" s="15">
        <f t="shared" si="7"/>
        <v>2024</v>
      </c>
      <c r="V583" s="15">
        <f t="shared" si="8"/>
        <v>20</v>
      </c>
      <c r="W583" s="15">
        <f t="shared" si="9"/>
        <v>12</v>
      </c>
      <c r="X583" s="15">
        <f t="shared" si="10"/>
        <v>2024</v>
      </c>
    </row>
    <row r="584">
      <c r="A584" s="32">
        <v>45646.0</v>
      </c>
      <c r="B584" s="9">
        <v>45630.0</v>
      </c>
      <c r="C584" s="9">
        <f t="shared" si="22"/>
        <v>45646</v>
      </c>
      <c r="D584" s="11" t="s">
        <v>373</v>
      </c>
      <c r="E584" s="11" t="s">
        <v>25</v>
      </c>
      <c r="F584" s="11" t="s">
        <v>110</v>
      </c>
      <c r="G584" s="11" t="s">
        <v>27</v>
      </c>
      <c r="H584" s="11" t="s">
        <v>374</v>
      </c>
      <c r="I584" s="12">
        <v>14.0</v>
      </c>
      <c r="J584" s="13"/>
      <c r="K584" s="13">
        <f t="shared" si="38"/>
        <v>14</v>
      </c>
      <c r="L584" s="11" t="s">
        <v>34</v>
      </c>
      <c r="M584" s="14"/>
      <c r="N584" s="11" t="s">
        <v>64</v>
      </c>
      <c r="O584" s="10" t="str">
        <f t="shared" si="3"/>
        <v>12/2024</v>
      </c>
      <c r="P584" s="10" t="str">
        <f t="shared" si="29"/>
        <v>12/2024</v>
      </c>
      <c r="Q584" s="15" t="str">
        <f t="array" ref="Q584">IFERROR(XLOOKUP(N584,'Classificação'!A:A,'Classificação'!B:B),"")</f>
        <v>DESPESAS COM PESSOAL</v>
      </c>
      <c r="R584" s="15" t="str">
        <f t="array" ref="R584">IFERROR(XLOOKUP(Q584,'Classificação'!B:B,'Classificação'!C:C),"")</f>
        <v>DESPESAS FIXAS (-)</v>
      </c>
      <c r="S584" s="15">
        <f t="shared" si="5"/>
        <v>20</v>
      </c>
      <c r="T584" s="15">
        <f t="shared" si="6"/>
        <v>12</v>
      </c>
      <c r="U584" s="15">
        <f t="shared" si="7"/>
        <v>2024</v>
      </c>
      <c r="V584" s="15">
        <f t="shared" si="8"/>
        <v>20</v>
      </c>
      <c r="W584" s="15">
        <f t="shared" si="9"/>
        <v>12</v>
      </c>
      <c r="X584" s="15">
        <f t="shared" si="10"/>
        <v>2024</v>
      </c>
    </row>
    <row r="585">
      <c r="A585" s="32">
        <v>45646.0</v>
      </c>
      <c r="B585" s="9">
        <v>45630.0</v>
      </c>
      <c r="C585" s="9">
        <f t="shared" si="22"/>
        <v>45646</v>
      </c>
      <c r="D585" s="11" t="s">
        <v>114</v>
      </c>
      <c r="E585" s="11" t="s">
        <v>25</v>
      </c>
      <c r="F585" s="11" t="s">
        <v>110</v>
      </c>
      <c r="G585" s="11" t="s">
        <v>27</v>
      </c>
      <c r="H585" s="11" t="s">
        <v>441</v>
      </c>
      <c r="I585" s="12">
        <v>49.98</v>
      </c>
      <c r="J585" s="13"/>
      <c r="K585" s="13">
        <f t="shared" si="38"/>
        <v>49.98</v>
      </c>
      <c r="L585" s="11" t="s">
        <v>34</v>
      </c>
      <c r="M585" s="14"/>
      <c r="N585" s="11" t="s">
        <v>143</v>
      </c>
      <c r="O585" s="10" t="str">
        <f t="shared" si="3"/>
        <v>12/2024</v>
      </c>
      <c r="P585" s="10" t="str">
        <f t="shared" si="29"/>
        <v>12/2024</v>
      </c>
      <c r="Q585" s="15" t="str">
        <f t="array" ref="Q585">IFERROR(XLOOKUP(N585,'Classificação'!A:A,'Classificação'!B:B),"")</f>
        <v>EMBALAGENS/FITAS/GERAL</v>
      </c>
      <c r="R585" s="15" t="str">
        <f t="array" ref="R585">IFERROR(XLOOKUP(Q585,'Classificação'!B:B,'Classificação'!C:C),"")</f>
        <v>CUSTOS VARIÁVEIS</v>
      </c>
      <c r="S585" s="15">
        <f t="shared" si="5"/>
        <v>20</v>
      </c>
      <c r="T585" s="15">
        <f t="shared" si="6"/>
        <v>12</v>
      </c>
      <c r="U585" s="15">
        <f t="shared" si="7"/>
        <v>2024</v>
      </c>
      <c r="V585" s="15">
        <f t="shared" si="8"/>
        <v>20</v>
      </c>
      <c r="W585" s="15">
        <f t="shared" si="9"/>
        <v>12</v>
      </c>
      <c r="X585" s="15">
        <f t="shared" si="10"/>
        <v>2024</v>
      </c>
    </row>
    <row r="586">
      <c r="A586" s="32">
        <v>45646.0</v>
      </c>
      <c r="B586" s="9">
        <v>45630.0</v>
      </c>
      <c r="C586" s="9">
        <f t="shared" si="22"/>
        <v>45646</v>
      </c>
      <c r="D586" s="11" t="s">
        <v>93</v>
      </c>
      <c r="E586" s="11" t="s">
        <v>25</v>
      </c>
      <c r="F586" s="11" t="s">
        <v>107</v>
      </c>
      <c r="G586" s="11" t="s">
        <v>27</v>
      </c>
      <c r="H586" s="11" t="s">
        <v>442</v>
      </c>
      <c r="I586" s="31">
        <v>40.0</v>
      </c>
      <c r="J586" s="13"/>
      <c r="K586" s="13">
        <f t="shared" si="38"/>
        <v>40</v>
      </c>
      <c r="L586" s="11" t="s">
        <v>34</v>
      </c>
      <c r="M586" s="14"/>
      <c r="N586" s="11" t="s">
        <v>443</v>
      </c>
      <c r="O586" s="10" t="str">
        <f t="shared" si="3"/>
        <v>12/2024</v>
      </c>
      <c r="P586" s="10" t="str">
        <f t="shared" si="29"/>
        <v>12/2024</v>
      </c>
      <c r="Q586" s="15" t="str">
        <f t="array" ref="Q586">IFERROR(XLOOKUP(N586,'Classificação'!A:A,'Classificação'!B:B),"")</f>
        <v>DESPESAS ADMINISTRATIVAS</v>
      </c>
      <c r="R586" s="15" t="str">
        <f t="array" ref="R586">IFERROR(XLOOKUP(Q586,'Classificação'!B:B,'Classificação'!C:C),"")</f>
        <v>DESPESAS FIXAS (-)</v>
      </c>
      <c r="S586" s="15">
        <f t="shared" si="5"/>
        <v>20</v>
      </c>
      <c r="T586" s="15">
        <f t="shared" si="6"/>
        <v>12</v>
      </c>
      <c r="U586" s="15">
        <f t="shared" si="7"/>
        <v>2024</v>
      </c>
      <c r="V586" s="15">
        <f t="shared" si="8"/>
        <v>20</v>
      </c>
      <c r="W586" s="15">
        <f t="shared" si="9"/>
        <v>12</v>
      </c>
      <c r="X586" s="15">
        <f t="shared" si="10"/>
        <v>2024</v>
      </c>
    </row>
    <row r="587">
      <c r="A587" s="32">
        <v>45646.0</v>
      </c>
      <c r="B587" s="9">
        <v>45628.0</v>
      </c>
      <c r="C587" s="9">
        <f t="shared" si="22"/>
        <v>45646</v>
      </c>
      <c r="D587" s="11" t="s">
        <v>179</v>
      </c>
      <c r="E587" s="11" t="s">
        <v>25</v>
      </c>
      <c r="F587" s="11" t="s">
        <v>107</v>
      </c>
      <c r="G587" s="11" t="s">
        <v>27</v>
      </c>
      <c r="H587" s="11" t="s">
        <v>312</v>
      </c>
      <c r="I587" s="31">
        <v>100.0</v>
      </c>
      <c r="J587" s="13"/>
      <c r="K587" s="13">
        <f t="shared" si="38"/>
        <v>100</v>
      </c>
      <c r="L587" s="11" t="s">
        <v>34</v>
      </c>
      <c r="M587" s="14"/>
      <c r="N587" s="11" t="s">
        <v>181</v>
      </c>
      <c r="O587" s="10" t="str">
        <f t="shared" si="3"/>
        <v>12/2024</v>
      </c>
      <c r="P587" s="10" t="str">
        <f t="shared" si="29"/>
        <v>12/2024</v>
      </c>
      <c r="Q587" s="15" t="str">
        <f t="array" ref="Q587">IFERROR(XLOOKUP(N587,'Classificação'!A:A,'Classificação'!B:B),"")</f>
        <v>DESPESAS COM VEICULOS</v>
      </c>
      <c r="R587" s="15" t="str">
        <f t="array" ref="R587">IFERROR(XLOOKUP(Q587,'Classificação'!B:B,'Classificação'!C:C),"")</f>
        <v>DESPESAS FIXAS (-)</v>
      </c>
      <c r="S587" s="15">
        <f t="shared" si="5"/>
        <v>20</v>
      </c>
      <c r="T587" s="15">
        <f t="shared" si="6"/>
        <v>12</v>
      </c>
      <c r="U587" s="15">
        <f t="shared" si="7"/>
        <v>2024</v>
      </c>
      <c r="V587" s="15">
        <f t="shared" si="8"/>
        <v>20</v>
      </c>
      <c r="W587" s="15">
        <f t="shared" si="9"/>
        <v>12</v>
      </c>
      <c r="X587" s="15">
        <f t="shared" si="10"/>
        <v>2024</v>
      </c>
    </row>
    <row r="588">
      <c r="A588" s="9">
        <v>45646.0</v>
      </c>
      <c r="B588" s="9">
        <v>45631.0</v>
      </c>
      <c r="C588" s="9">
        <f t="shared" si="22"/>
        <v>45646</v>
      </c>
      <c r="D588" s="11" t="s">
        <v>182</v>
      </c>
      <c r="E588" s="11" t="s">
        <v>25</v>
      </c>
      <c r="F588" s="11" t="s">
        <v>107</v>
      </c>
      <c r="G588" s="11" t="s">
        <v>27</v>
      </c>
      <c r="H588" s="11" t="s">
        <v>444</v>
      </c>
      <c r="I588" s="31">
        <v>10.94</v>
      </c>
      <c r="J588" s="13"/>
      <c r="K588" s="13">
        <f t="shared" si="38"/>
        <v>10.94</v>
      </c>
      <c r="L588" s="11" t="s">
        <v>34</v>
      </c>
      <c r="M588" s="14"/>
      <c r="N588" s="11" t="s">
        <v>68</v>
      </c>
      <c r="O588" s="10" t="str">
        <f t="shared" si="3"/>
        <v>12/2024</v>
      </c>
      <c r="P588" s="10" t="str">
        <f t="shared" si="29"/>
        <v>12/2024</v>
      </c>
      <c r="Q588" s="15" t="str">
        <f t="array" ref="Q588">IFERROR(XLOOKUP(N588,'Classificação'!A:A,'Classificação'!B:B),"")</f>
        <v>FRETE DE VENDAS</v>
      </c>
      <c r="R588" s="15" t="str">
        <f t="array" ref="R588">IFERROR(XLOOKUP(Q588,'Classificação'!B:B,'Classificação'!C:C),"")</f>
        <v>CUSTOS VARIÁVEIS</v>
      </c>
      <c r="S588" s="15">
        <f t="shared" si="5"/>
        <v>20</v>
      </c>
      <c r="T588" s="15">
        <f t="shared" si="6"/>
        <v>12</v>
      </c>
      <c r="U588" s="15">
        <f t="shared" si="7"/>
        <v>2024</v>
      </c>
      <c r="V588" s="15">
        <f t="shared" si="8"/>
        <v>20</v>
      </c>
      <c r="W588" s="15">
        <f t="shared" si="9"/>
        <v>12</v>
      </c>
      <c r="X588" s="15">
        <f t="shared" si="10"/>
        <v>2024</v>
      </c>
    </row>
    <row r="589">
      <c r="A589" s="9">
        <v>45646.0</v>
      </c>
      <c r="B589" s="32">
        <v>45625.0</v>
      </c>
      <c r="C589" s="9">
        <f t="shared" si="22"/>
        <v>45646</v>
      </c>
      <c r="D589" s="11" t="s">
        <v>396</v>
      </c>
      <c r="E589" s="11" t="s">
        <v>25</v>
      </c>
      <c r="F589" s="11" t="s">
        <v>107</v>
      </c>
      <c r="G589" s="11" t="s">
        <v>27</v>
      </c>
      <c r="H589" s="11" t="s">
        <v>445</v>
      </c>
      <c r="I589" s="31">
        <v>49.5</v>
      </c>
      <c r="J589" s="13"/>
      <c r="K589" s="13">
        <f t="shared" si="38"/>
        <v>49.5</v>
      </c>
      <c r="L589" s="11" t="s">
        <v>29</v>
      </c>
      <c r="M589" s="14"/>
      <c r="N589" s="11" t="s">
        <v>105</v>
      </c>
      <c r="O589" s="10" t="str">
        <f t="shared" si="3"/>
        <v>12/2024</v>
      </c>
      <c r="P589" s="10" t="str">
        <f t="shared" si="29"/>
        <v>12/2024</v>
      </c>
      <c r="Q589" s="15" t="str">
        <f t="array" ref="Q589">IFERROR(XLOOKUP(N589,'Classificação'!A:A,'Classificação'!B:B),"")</f>
        <v>DESPESAS ADMINISTRATIVAS</v>
      </c>
      <c r="R589" s="15" t="str">
        <f t="array" ref="R589">IFERROR(XLOOKUP(Q589,'Classificação'!B:B,'Classificação'!C:C),"")</f>
        <v>DESPESAS FIXAS (-)</v>
      </c>
      <c r="S589" s="15">
        <f t="shared" si="5"/>
        <v>20</v>
      </c>
      <c r="T589" s="15">
        <f t="shared" si="6"/>
        <v>12</v>
      </c>
      <c r="U589" s="15">
        <f t="shared" si="7"/>
        <v>2024</v>
      </c>
      <c r="V589" s="15">
        <f t="shared" si="8"/>
        <v>20</v>
      </c>
      <c r="W589" s="15">
        <f t="shared" si="9"/>
        <v>12</v>
      </c>
      <c r="X589" s="15">
        <f t="shared" si="10"/>
        <v>2024</v>
      </c>
    </row>
    <row r="590">
      <c r="A590" s="32">
        <v>45646.0</v>
      </c>
      <c r="B590" s="9">
        <v>45602.0</v>
      </c>
      <c r="C590" s="9">
        <f t="shared" si="22"/>
        <v>45646</v>
      </c>
      <c r="D590" s="11" t="s">
        <v>65</v>
      </c>
      <c r="E590" s="11" t="s">
        <v>25</v>
      </c>
      <c r="F590" s="11" t="s">
        <v>107</v>
      </c>
      <c r="G590" s="11" t="s">
        <v>27</v>
      </c>
      <c r="H590" s="11" t="s">
        <v>446</v>
      </c>
      <c r="I590" s="31">
        <v>95.0</v>
      </c>
      <c r="J590" s="13"/>
      <c r="K590" s="13">
        <f t="shared" si="38"/>
        <v>95</v>
      </c>
      <c r="L590" s="11" t="s">
        <v>34</v>
      </c>
      <c r="M590" s="14"/>
      <c r="N590" s="11" t="s">
        <v>392</v>
      </c>
      <c r="O590" s="10" t="str">
        <f t="shared" si="3"/>
        <v>12/2024</v>
      </c>
      <c r="P590" s="10" t="str">
        <f t="shared" si="29"/>
        <v>12/2024</v>
      </c>
      <c r="Q590" s="15" t="str">
        <f t="array" ref="Q590">IFERROR(XLOOKUP(N590,'Classificação'!A:A,'Classificação'!B:B),"")</f>
        <v>DESPESAS COM OCUPAÇÃO</v>
      </c>
      <c r="R590" s="15" t="str">
        <f t="array" ref="R590">IFERROR(XLOOKUP(Q590,'Classificação'!B:B,'Classificação'!C:C),"")</f>
        <v>DESPESAS FIXAS (-)</v>
      </c>
      <c r="S590" s="15">
        <f t="shared" si="5"/>
        <v>20</v>
      </c>
      <c r="T590" s="15">
        <f t="shared" si="6"/>
        <v>12</v>
      </c>
      <c r="U590" s="15">
        <f t="shared" si="7"/>
        <v>2024</v>
      </c>
      <c r="V590" s="15">
        <f t="shared" si="8"/>
        <v>20</v>
      </c>
      <c r="W590" s="15">
        <f t="shared" si="9"/>
        <v>12</v>
      </c>
      <c r="X590" s="15">
        <f t="shared" si="10"/>
        <v>2024</v>
      </c>
    </row>
    <row r="591">
      <c r="A591" s="32">
        <v>45646.0</v>
      </c>
      <c r="B591" s="9">
        <v>45602.0</v>
      </c>
      <c r="C591" s="9">
        <f t="shared" si="22"/>
        <v>45646</v>
      </c>
      <c r="D591" s="11" t="s">
        <v>65</v>
      </c>
      <c r="E591" s="11" t="s">
        <v>25</v>
      </c>
      <c r="F591" s="11" t="s">
        <v>107</v>
      </c>
      <c r="G591" s="11" t="s">
        <v>27</v>
      </c>
      <c r="H591" s="11" t="s">
        <v>446</v>
      </c>
      <c r="I591" s="31">
        <v>94.05</v>
      </c>
      <c r="J591" s="13"/>
      <c r="K591" s="13">
        <f t="shared" si="38"/>
        <v>94.05</v>
      </c>
      <c r="L591" s="11" t="s">
        <v>53</v>
      </c>
      <c r="M591" s="17">
        <v>45323.0</v>
      </c>
      <c r="N591" s="11" t="s">
        <v>392</v>
      </c>
      <c r="O591" s="10" t="str">
        <f t="shared" si="3"/>
        <v>12/2024</v>
      </c>
      <c r="P591" s="10" t="str">
        <f t="shared" si="29"/>
        <v>12/2024</v>
      </c>
      <c r="Q591" s="15" t="str">
        <f t="array" ref="Q591">IFERROR(XLOOKUP(N591,'Classificação'!A:A,'Classificação'!B:B),"")</f>
        <v>DESPESAS COM OCUPAÇÃO</v>
      </c>
      <c r="R591" s="15" t="str">
        <f t="array" ref="R591">IFERROR(XLOOKUP(Q591,'Classificação'!B:B,'Classificação'!C:C),"")</f>
        <v>DESPESAS FIXAS (-)</v>
      </c>
      <c r="S591" s="15">
        <f t="shared" si="5"/>
        <v>20</v>
      </c>
      <c r="T591" s="15">
        <f t="shared" si="6"/>
        <v>12</v>
      </c>
      <c r="U591" s="15">
        <f t="shared" si="7"/>
        <v>2024</v>
      </c>
      <c r="V591" s="15">
        <f t="shared" si="8"/>
        <v>20</v>
      </c>
      <c r="W591" s="15">
        <f t="shared" si="9"/>
        <v>12</v>
      </c>
      <c r="X591" s="15">
        <f t="shared" si="10"/>
        <v>2024</v>
      </c>
    </row>
    <row r="592">
      <c r="A592" s="32">
        <v>45646.0</v>
      </c>
      <c r="B592" s="9">
        <v>45630.0</v>
      </c>
      <c r="C592" s="9">
        <f t="shared" si="22"/>
        <v>45646</v>
      </c>
      <c r="D592" s="11" t="s">
        <v>65</v>
      </c>
      <c r="E592" s="11" t="s">
        <v>25</v>
      </c>
      <c r="F592" s="11" t="s">
        <v>107</v>
      </c>
      <c r="G592" s="11" t="s">
        <v>27</v>
      </c>
      <c r="H592" s="11" t="s">
        <v>446</v>
      </c>
      <c r="I592" s="12">
        <v>37.86</v>
      </c>
      <c r="J592" s="13"/>
      <c r="K592" s="13">
        <f t="shared" si="38"/>
        <v>37.86</v>
      </c>
      <c r="L592" s="11" t="s">
        <v>53</v>
      </c>
      <c r="M592" s="17">
        <v>45352.0</v>
      </c>
      <c r="N592" s="11" t="s">
        <v>392</v>
      </c>
      <c r="O592" s="10" t="str">
        <f t="shared" si="3"/>
        <v>12/2024</v>
      </c>
      <c r="P592" s="10" t="str">
        <f t="shared" si="29"/>
        <v>12/2024</v>
      </c>
      <c r="Q592" s="15" t="str">
        <f t="array" ref="Q592">IFERROR(XLOOKUP(N592,'Classificação'!A:A,'Classificação'!B:B),"")</f>
        <v>DESPESAS COM OCUPAÇÃO</v>
      </c>
      <c r="R592" s="15" t="str">
        <f t="array" ref="R592">IFERROR(XLOOKUP(Q592,'Classificação'!B:B,'Classificação'!C:C),"")</f>
        <v>DESPESAS FIXAS (-)</v>
      </c>
      <c r="S592" s="15">
        <f t="shared" si="5"/>
        <v>20</v>
      </c>
      <c r="T592" s="15">
        <f t="shared" si="6"/>
        <v>12</v>
      </c>
      <c r="U592" s="15">
        <f t="shared" si="7"/>
        <v>2024</v>
      </c>
      <c r="V592" s="15">
        <f t="shared" si="8"/>
        <v>20</v>
      </c>
      <c r="W592" s="15">
        <f t="shared" si="9"/>
        <v>12</v>
      </c>
      <c r="X592" s="15">
        <f t="shared" si="10"/>
        <v>2024</v>
      </c>
    </row>
    <row r="593">
      <c r="A593" s="32">
        <v>45646.0</v>
      </c>
      <c r="B593" s="9">
        <v>45630.0</v>
      </c>
      <c r="C593" s="9">
        <f t="shared" si="22"/>
        <v>45646</v>
      </c>
      <c r="D593" s="11" t="s">
        <v>65</v>
      </c>
      <c r="E593" s="11" t="s">
        <v>25</v>
      </c>
      <c r="F593" s="11" t="s">
        <v>107</v>
      </c>
      <c r="G593" s="11" t="s">
        <v>27</v>
      </c>
      <c r="H593" s="11" t="s">
        <v>446</v>
      </c>
      <c r="I593" s="12">
        <v>105.99</v>
      </c>
      <c r="J593" s="13"/>
      <c r="K593" s="13">
        <f t="shared" si="38"/>
        <v>105.99</v>
      </c>
      <c r="L593" s="11" t="s">
        <v>34</v>
      </c>
      <c r="M593" s="14"/>
      <c r="N593" s="11" t="s">
        <v>392</v>
      </c>
      <c r="O593" s="10" t="str">
        <f t="shared" si="3"/>
        <v>12/2024</v>
      </c>
      <c r="P593" s="10" t="str">
        <f t="shared" si="29"/>
        <v>12/2024</v>
      </c>
      <c r="Q593" s="15" t="str">
        <f t="array" ref="Q593">IFERROR(XLOOKUP(N593,'Classificação'!A:A,'Classificação'!B:B),"")</f>
        <v>DESPESAS COM OCUPAÇÃO</v>
      </c>
      <c r="R593" s="15" t="str">
        <f t="array" ref="R593">IFERROR(XLOOKUP(Q593,'Classificação'!B:B,'Classificação'!C:C),"")</f>
        <v>DESPESAS FIXAS (-)</v>
      </c>
      <c r="S593" s="15">
        <f t="shared" si="5"/>
        <v>20</v>
      </c>
      <c r="T593" s="15">
        <f t="shared" si="6"/>
        <v>12</v>
      </c>
      <c r="U593" s="15">
        <f t="shared" si="7"/>
        <v>2024</v>
      </c>
      <c r="V593" s="15">
        <f t="shared" si="8"/>
        <v>20</v>
      </c>
      <c r="W593" s="15">
        <f t="shared" si="9"/>
        <v>12</v>
      </c>
      <c r="X593" s="15">
        <f t="shared" si="10"/>
        <v>2024</v>
      </c>
    </row>
    <row r="594">
      <c r="A594" s="32">
        <v>45646.0</v>
      </c>
      <c r="B594" s="9">
        <v>45604.0</v>
      </c>
      <c r="C594" s="9">
        <f t="shared" si="22"/>
        <v>45646</v>
      </c>
      <c r="D594" s="11" t="s">
        <v>65</v>
      </c>
      <c r="E594" s="11" t="s">
        <v>25</v>
      </c>
      <c r="F594" s="11" t="s">
        <v>107</v>
      </c>
      <c r="G594" s="11" t="s">
        <v>27</v>
      </c>
      <c r="H594" s="11" t="s">
        <v>446</v>
      </c>
      <c r="I594" s="12">
        <v>33.06</v>
      </c>
      <c r="J594" s="13"/>
      <c r="K594" s="13">
        <f t="shared" si="38"/>
        <v>33.06</v>
      </c>
      <c r="L594" s="11" t="s">
        <v>53</v>
      </c>
      <c r="M594" s="17">
        <v>45413.0</v>
      </c>
      <c r="N594" s="11" t="s">
        <v>392</v>
      </c>
      <c r="O594" s="10" t="str">
        <f t="shared" si="3"/>
        <v>12/2024</v>
      </c>
      <c r="P594" s="10" t="str">
        <f t="shared" si="29"/>
        <v>12/2024</v>
      </c>
      <c r="Q594" s="15" t="str">
        <f t="array" ref="Q594">IFERROR(XLOOKUP(N594,'Classificação'!A:A,'Classificação'!B:B),"")</f>
        <v>DESPESAS COM OCUPAÇÃO</v>
      </c>
      <c r="R594" s="15" t="str">
        <f t="array" ref="R594">IFERROR(XLOOKUP(Q594,'Classificação'!B:B,'Classificação'!C:C),"")</f>
        <v>DESPESAS FIXAS (-)</v>
      </c>
      <c r="S594" s="15">
        <f t="shared" si="5"/>
        <v>20</v>
      </c>
      <c r="T594" s="15">
        <f t="shared" si="6"/>
        <v>12</v>
      </c>
      <c r="U594" s="15">
        <f t="shared" si="7"/>
        <v>2024</v>
      </c>
      <c r="V594" s="15">
        <f t="shared" si="8"/>
        <v>20</v>
      </c>
      <c r="W594" s="15">
        <f t="shared" si="9"/>
        <v>12</v>
      </c>
      <c r="X594" s="15">
        <f t="shared" si="10"/>
        <v>2024</v>
      </c>
    </row>
    <row r="595">
      <c r="A595" s="32">
        <v>45646.0</v>
      </c>
      <c r="B595" s="10"/>
      <c r="C595" s="9">
        <f t="shared" si="22"/>
        <v>45646</v>
      </c>
      <c r="D595" s="11" t="s">
        <v>65</v>
      </c>
      <c r="E595" s="11" t="s">
        <v>25</v>
      </c>
      <c r="F595" s="11" t="s">
        <v>107</v>
      </c>
      <c r="G595" s="11" t="s">
        <v>27</v>
      </c>
      <c r="H595" s="11" t="s">
        <v>447</v>
      </c>
      <c r="I595" s="12">
        <v>-128.42</v>
      </c>
      <c r="J595" s="13"/>
      <c r="K595" s="13">
        <f t="shared" si="38"/>
        <v>-128.42</v>
      </c>
      <c r="L595" s="11" t="s">
        <v>34</v>
      </c>
      <c r="M595" s="14"/>
      <c r="N595" s="11" t="s">
        <v>448</v>
      </c>
      <c r="O595" s="10" t="str">
        <f t="shared" si="3"/>
        <v>12/2024</v>
      </c>
      <c r="P595" s="10" t="str">
        <f t="shared" si="29"/>
        <v>12/2024</v>
      </c>
      <c r="Q595" s="15" t="str">
        <f t="array" ref="Q595">IFERROR(XLOOKUP(N595,'Classificação'!A:A,'Classificação'!B:B),"")</f>
        <v>DESPESAS ADMINISTRATIVAS</v>
      </c>
      <c r="R595" s="15" t="str">
        <f t="array" ref="R595">IFERROR(XLOOKUP(Q595,'Classificação'!B:B,'Classificação'!C:C),"")</f>
        <v>DESPESAS FIXAS (-)</v>
      </c>
      <c r="S595" s="15">
        <f t="shared" si="5"/>
        <v>20</v>
      </c>
      <c r="T595" s="15">
        <f t="shared" si="6"/>
        <v>12</v>
      </c>
      <c r="U595" s="15">
        <f t="shared" si="7"/>
        <v>2024</v>
      </c>
      <c r="V595" s="15">
        <f t="shared" si="8"/>
        <v>20</v>
      </c>
      <c r="W595" s="15">
        <f t="shared" si="9"/>
        <v>12</v>
      </c>
      <c r="X595" s="15">
        <f t="shared" si="10"/>
        <v>2024</v>
      </c>
    </row>
    <row r="596">
      <c r="A596" s="9">
        <v>45646.0</v>
      </c>
      <c r="B596" s="10"/>
      <c r="C596" s="9">
        <f t="shared" si="22"/>
        <v>45646</v>
      </c>
      <c r="D596" s="11" t="s">
        <v>200</v>
      </c>
      <c r="E596" s="11" t="s">
        <v>25</v>
      </c>
      <c r="F596" s="11" t="s">
        <v>40</v>
      </c>
      <c r="G596" s="11" t="s">
        <v>27</v>
      </c>
      <c r="I596" s="12">
        <v>170.0</v>
      </c>
      <c r="J596" s="13"/>
      <c r="K596" s="13">
        <f t="shared" si="38"/>
        <v>170</v>
      </c>
      <c r="L596" s="11" t="s">
        <v>29</v>
      </c>
      <c r="M596" s="14"/>
      <c r="N596" s="11" t="s">
        <v>201</v>
      </c>
      <c r="O596" s="10" t="str">
        <f t="shared" si="3"/>
        <v>12/2024</v>
      </c>
      <c r="P596" s="10" t="str">
        <f t="shared" si="29"/>
        <v>12/2024</v>
      </c>
      <c r="Q596" s="15" t="str">
        <f t="array" ref="Q596">IFERROR(XLOOKUP(N596,'Classificação'!A:A,'Classificação'!B:B),"")</f>
        <v>DESPESAS COM OCUPAÇÃO</v>
      </c>
      <c r="R596" s="15" t="str">
        <f t="array" ref="R596">IFERROR(XLOOKUP(Q596,'Classificação'!B:B,'Classificação'!C:C),"")</f>
        <v>DESPESAS FIXAS (-)</v>
      </c>
      <c r="S596" s="15">
        <f t="shared" si="5"/>
        <v>20</v>
      </c>
      <c r="T596" s="15">
        <f t="shared" si="6"/>
        <v>12</v>
      </c>
      <c r="U596" s="15">
        <f t="shared" si="7"/>
        <v>2024</v>
      </c>
      <c r="V596" s="15">
        <f t="shared" si="8"/>
        <v>20</v>
      </c>
      <c r="W596" s="15">
        <f t="shared" si="9"/>
        <v>12</v>
      </c>
      <c r="X596" s="15">
        <f t="shared" si="10"/>
        <v>2024</v>
      </c>
    </row>
    <row r="597">
      <c r="A597" s="9">
        <v>45646.0</v>
      </c>
      <c r="B597" s="10"/>
      <c r="C597" s="9">
        <f t="shared" si="22"/>
        <v>45646</v>
      </c>
      <c r="D597" s="11" t="s">
        <v>127</v>
      </c>
      <c r="E597" s="11" t="s">
        <v>25</v>
      </c>
      <c r="F597" s="11" t="s">
        <v>26</v>
      </c>
      <c r="G597" s="11" t="s">
        <v>37</v>
      </c>
      <c r="I597" s="12">
        <v>630.0</v>
      </c>
      <c r="J597" s="13"/>
      <c r="K597" s="13">
        <f t="shared" si="38"/>
        <v>630</v>
      </c>
      <c r="L597" s="11" t="s">
        <v>29</v>
      </c>
      <c r="M597" s="14"/>
      <c r="N597" s="11" t="s">
        <v>58</v>
      </c>
      <c r="O597" s="10" t="str">
        <f t="shared" si="3"/>
        <v>12/2024</v>
      </c>
      <c r="P597" s="10" t="str">
        <f t="shared" si="29"/>
        <v>12/2024</v>
      </c>
      <c r="Q597" s="15" t="str">
        <f t="array" ref="Q597">IFERROR(XLOOKUP(N597,'Classificação'!A:A,'Classificação'!B:B),"")</f>
        <v>DESPESAS ADMINISTRATIVAS</v>
      </c>
      <c r="R597" s="15" t="str">
        <f t="array" ref="R597">IFERROR(XLOOKUP(Q597,'Classificação'!B:B,'Classificação'!C:C),"")</f>
        <v>DESPESAS FIXAS (-)</v>
      </c>
      <c r="S597" s="15">
        <f t="shared" si="5"/>
        <v>20</v>
      </c>
      <c r="T597" s="15">
        <f t="shared" si="6"/>
        <v>12</v>
      </c>
      <c r="U597" s="15">
        <f t="shared" si="7"/>
        <v>2024</v>
      </c>
      <c r="V597" s="15">
        <f t="shared" si="8"/>
        <v>20</v>
      </c>
      <c r="W597" s="15">
        <f t="shared" si="9"/>
        <v>12</v>
      </c>
      <c r="X597" s="15">
        <f t="shared" si="10"/>
        <v>2024</v>
      </c>
    </row>
    <row r="598">
      <c r="A598" s="27">
        <v>45646.0</v>
      </c>
      <c r="B598" s="30"/>
      <c r="C598" s="27">
        <f t="shared" si="22"/>
        <v>45646</v>
      </c>
      <c r="D598" s="29" t="s">
        <v>126</v>
      </c>
      <c r="E598" s="29" t="s">
        <v>25</v>
      </c>
      <c r="F598" s="28" t="s">
        <v>40</v>
      </c>
      <c r="G598" s="28" t="s">
        <v>27</v>
      </c>
      <c r="H598" s="29" t="s">
        <v>449</v>
      </c>
      <c r="I598" s="24">
        <v>298.88</v>
      </c>
      <c r="J598" s="34"/>
      <c r="K598" s="37">
        <f>IF(E598="pago",(I598-J598),"")</f>
        <v>298.88</v>
      </c>
      <c r="L598" s="28" t="s">
        <v>29</v>
      </c>
      <c r="M598" s="28"/>
      <c r="N598" s="29" t="s">
        <v>126</v>
      </c>
      <c r="O598" s="10" t="str">
        <f t="shared" si="3"/>
        <v>12/2024</v>
      </c>
      <c r="P598" s="10" t="str">
        <f t="shared" si="29"/>
        <v>12/2024</v>
      </c>
      <c r="Q598" s="15" t="str">
        <f t="array" ref="Q598">IFERROR(XLOOKUP(N598,'Classificação'!A:A,'Classificação'!B:B),"")</f>
        <v>DESPESAS COM PESSOAL</v>
      </c>
      <c r="R598" s="15" t="str">
        <f t="array" ref="R598">IFERROR(XLOOKUP(Q598,'Classificação'!B:B,'Classificação'!C:C),"")</f>
        <v>DESPESAS FIXAS (-)</v>
      </c>
      <c r="S598" s="15">
        <f t="shared" si="5"/>
        <v>20</v>
      </c>
      <c r="T598" s="15">
        <f t="shared" si="6"/>
        <v>12</v>
      </c>
      <c r="U598" s="15">
        <f t="shared" si="7"/>
        <v>2024</v>
      </c>
      <c r="V598" s="15">
        <f t="shared" si="8"/>
        <v>20</v>
      </c>
      <c r="W598" s="15">
        <f t="shared" si="9"/>
        <v>12</v>
      </c>
      <c r="X598" s="15">
        <f t="shared" si="10"/>
        <v>2024</v>
      </c>
    </row>
    <row r="599">
      <c r="A599" s="32">
        <v>45646.0</v>
      </c>
      <c r="B599" s="10"/>
      <c r="C599" s="9">
        <f t="shared" si="22"/>
        <v>45646</v>
      </c>
      <c r="D599" s="11" t="s">
        <v>450</v>
      </c>
      <c r="E599" s="11" t="s">
        <v>25</v>
      </c>
      <c r="F599" s="11" t="s">
        <v>26</v>
      </c>
      <c r="G599" s="11" t="s">
        <v>37</v>
      </c>
      <c r="H599" s="11" t="s">
        <v>451</v>
      </c>
      <c r="I599" s="12">
        <v>150.0</v>
      </c>
      <c r="J599" s="13"/>
      <c r="K599" s="13">
        <f t="shared" ref="K599:K611" si="39">if(E599="pago",(I599-J599),"")</f>
        <v>150</v>
      </c>
      <c r="L599" s="11" t="s">
        <v>34</v>
      </c>
      <c r="M599" s="14"/>
      <c r="N599" s="11" t="s">
        <v>58</v>
      </c>
      <c r="O599" s="10" t="str">
        <f t="shared" si="3"/>
        <v>12/2024</v>
      </c>
      <c r="P599" s="10" t="str">
        <f t="shared" si="29"/>
        <v>12/2024</v>
      </c>
      <c r="Q599" s="15" t="str">
        <f t="array" ref="Q599">IFERROR(XLOOKUP(N599,'Classificação'!A:A,'Classificação'!B:B),"")</f>
        <v>DESPESAS ADMINISTRATIVAS</v>
      </c>
      <c r="R599" s="15" t="str">
        <f t="array" ref="R599">IFERROR(XLOOKUP(Q599,'Classificação'!B:B,'Classificação'!C:C),"")</f>
        <v>DESPESAS FIXAS (-)</v>
      </c>
      <c r="S599" s="15">
        <f t="shared" si="5"/>
        <v>20</v>
      </c>
      <c r="T599" s="15">
        <f t="shared" si="6"/>
        <v>12</v>
      </c>
      <c r="U599" s="15">
        <f t="shared" si="7"/>
        <v>2024</v>
      </c>
      <c r="V599" s="15">
        <f t="shared" si="8"/>
        <v>20</v>
      </c>
      <c r="W599" s="15">
        <f t="shared" si="9"/>
        <v>12</v>
      </c>
      <c r="X599" s="15">
        <f t="shared" si="10"/>
        <v>2024</v>
      </c>
    </row>
    <row r="600">
      <c r="A600" s="32">
        <v>45646.0</v>
      </c>
      <c r="B600" s="10"/>
      <c r="C600" s="9">
        <f t="shared" si="22"/>
        <v>45646</v>
      </c>
      <c r="D600" s="11" t="s">
        <v>420</v>
      </c>
      <c r="E600" s="11" t="s">
        <v>25</v>
      </c>
      <c r="F600" s="11" t="s">
        <v>26</v>
      </c>
      <c r="G600" s="11" t="s">
        <v>37</v>
      </c>
      <c r="H600" s="11" t="s">
        <v>452</v>
      </c>
      <c r="I600" s="12">
        <v>200.0</v>
      </c>
      <c r="J600" s="13"/>
      <c r="K600" s="13">
        <f t="shared" si="39"/>
        <v>200</v>
      </c>
      <c r="L600" s="11" t="s">
        <v>34</v>
      </c>
      <c r="M600" s="14"/>
      <c r="N600" s="11" t="s">
        <v>58</v>
      </c>
      <c r="O600" s="10" t="str">
        <f t="shared" si="3"/>
        <v>12/2024</v>
      </c>
      <c r="P600" s="10" t="str">
        <f t="shared" si="29"/>
        <v>12/2024</v>
      </c>
      <c r="Q600" s="15" t="str">
        <f t="array" ref="Q600">IFERROR(XLOOKUP(N600,'Classificação'!A:A,'Classificação'!B:B),"")</f>
        <v>DESPESAS ADMINISTRATIVAS</v>
      </c>
      <c r="R600" s="15" t="str">
        <f t="array" ref="R600">IFERROR(XLOOKUP(Q600,'Classificação'!B:B,'Classificação'!C:C),"")</f>
        <v>DESPESAS FIXAS (-)</v>
      </c>
      <c r="S600" s="15">
        <f t="shared" si="5"/>
        <v>20</v>
      </c>
      <c r="T600" s="15">
        <f t="shared" si="6"/>
        <v>12</v>
      </c>
      <c r="U600" s="15">
        <f t="shared" si="7"/>
        <v>2024</v>
      </c>
      <c r="V600" s="15">
        <f t="shared" si="8"/>
        <v>20</v>
      </c>
      <c r="W600" s="15">
        <f t="shared" si="9"/>
        <v>12</v>
      </c>
      <c r="X600" s="15">
        <f t="shared" si="10"/>
        <v>2024</v>
      </c>
    </row>
    <row r="601">
      <c r="A601" s="32">
        <v>45646.0</v>
      </c>
      <c r="B601" s="10"/>
      <c r="C601" s="9">
        <f t="shared" si="22"/>
        <v>45646</v>
      </c>
      <c r="D601" s="11" t="s">
        <v>408</v>
      </c>
      <c r="E601" s="11" t="s">
        <v>25</v>
      </c>
      <c r="F601" s="11" t="s">
        <v>26</v>
      </c>
      <c r="G601" s="11" t="s">
        <v>37</v>
      </c>
      <c r="H601" s="11" t="s">
        <v>451</v>
      </c>
      <c r="I601" s="12">
        <v>150.0</v>
      </c>
      <c r="J601" s="13"/>
      <c r="K601" s="13">
        <f t="shared" si="39"/>
        <v>150</v>
      </c>
      <c r="L601" s="11" t="s">
        <v>34</v>
      </c>
      <c r="M601" s="14"/>
      <c r="N601" s="11" t="s">
        <v>58</v>
      </c>
      <c r="O601" s="10" t="str">
        <f t="shared" si="3"/>
        <v>12/2024</v>
      </c>
      <c r="P601" s="10" t="str">
        <f t="shared" si="29"/>
        <v>12/2024</v>
      </c>
      <c r="Q601" s="15" t="str">
        <f t="array" ref="Q601">IFERROR(XLOOKUP(N601,'Classificação'!A:A,'Classificação'!B:B),"")</f>
        <v>DESPESAS ADMINISTRATIVAS</v>
      </c>
      <c r="R601" s="15" t="str">
        <f t="array" ref="R601">IFERROR(XLOOKUP(Q601,'Classificação'!B:B,'Classificação'!C:C),"")</f>
        <v>DESPESAS FIXAS (-)</v>
      </c>
      <c r="S601" s="15">
        <f t="shared" si="5"/>
        <v>20</v>
      </c>
      <c r="T601" s="15">
        <f t="shared" si="6"/>
        <v>12</v>
      </c>
      <c r="U601" s="15">
        <f t="shared" si="7"/>
        <v>2024</v>
      </c>
      <c r="V601" s="15">
        <f t="shared" si="8"/>
        <v>20</v>
      </c>
      <c r="W601" s="15">
        <f t="shared" si="9"/>
        <v>12</v>
      </c>
      <c r="X601" s="15">
        <f t="shared" si="10"/>
        <v>2024</v>
      </c>
    </row>
    <row r="602">
      <c r="A602" s="32">
        <v>45646.0</v>
      </c>
      <c r="B602" s="10"/>
      <c r="C602" s="9">
        <f t="shared" si="22"/>
        <v>45646</v>
      </c>
      <c r="D602" s="11" t="s">
        <v>44</v>
      </c>
      <c r="E602" s="11" t="s">
        <v>25</v>
      </c>
      <c r="F602" s="11" t="s">
        <v>45</v>
      </c>
      <c r="G602" s="11" t="s">
        <v>27</v>
      </c>
      <c r="H602" s="11" t="s">
        <v>453</v>
      </c>
      <c r="I602" s="12">
        <v>1118.1</v>
      </c>
      <c r="J602" s="13"/>
      <c r="K602" s="13">
        <f t="shared" si="39"/>
        <v>1118.1</v>
      </c>
      <c r="L602" s="11" t="s">
        <v>34</v>
      </c>
      <c r="M602" s="14"/>
      <c r="N602" s="11" t="s">
        <v>448</v>
      </c>
      <c r="O602" s="10" t="str">
        <f t="shared" si="3"/>
        <v>12/2024</v>
      </c>
      <c r="P602" s="10" t="str">
        <f t="shared" si="29"/>
        <v>12/2024</v>
      </c>
      <c r="Q602" s="15" t="str">
        <f t="array" ref="Q602">IFERROR(XLOOKUP(N602,'Classificação'!A:A,'Classificação'!B:B),"")</f>
        <v>DESPESAS ADMINISTRATIVAS</v>
      </c>
      <c r="R602" s="15" t="str">
        <f t="array" ref="R602">IFERROR(XLOOKUP(Q602,'Classificação'!B:B,'Classificação'!C:C),"")</f>
        <v>DESPESAS FIXAS (-)</v>
      </c>
      <c r="S602" s="15">
        <f t="shared" si="5"/>
        <v>20</v>
      </c>
      <c r="T602" s="15">
        <f t="shared" si="6"/>
        <v>12</v>
      </c>
      <c r="U602" s="15">
        <f t="shared" si="7"/>
        <v>2024</v>
      </c>
      <c r="V602" s="15">
        <f t="shared" si="8"/>
        <v>20</v>
      </c>
      <c r="W602" s="15">
        <f t="shared" si="9"/>
        <v>12</v>
      </c>
      <c r="X602" s="15">
        <f t="shared" si="10"/>
        <v>2024</v>
      </c>
    </row>
    <row r="603">
      <c r="A603" s="36">
        <v>45647.0</v>
      </c>
      <c r="B603" s="30"/>
      <c r="C603" s="27">
        <f t="shared" si="22"/>
        <v>45647</v>
      </c>
      <c r="D603" s="28" t="s">
        <v>74</v>
      </c>
      <c r="E603" s="29" t="s">
        <v>25</v>
      </c>
      <c r="F603" s="28" t="s">
        <v>32</v>
      </c>
      <c r="G603" s="29" t="s">
        <v>37</v>
      </c>
      <c r="H603" s="29" t="s">
        <v>454</v>
      </c>
      <c r="I603" s="24">
        <v>143.89</v>
      </c>
      <c r="J603" s="34"/>
      <c r="K603" s="13">
        <f t="shared" si="39"/>
        <v>143.89</v>
      </c>
      <c r="L603" s="28" t="s">
        <v>53</v>
      </c>
      <c r="M603" s="35">
        <v>45324.0</v>
      </c>
      <c r="N603" s="28" t="s">
        <v>405</v>
      </c>
      <c r="O603" s="10" t="str">
        <f t="shared" si="3"/>
        <v>12/2024</v>
      </c>
      <c r="P603" s="10" t="str">
        <f t="shared" si="29"/>
        <v>12/2024</v>
      </c>
      <c r="Q603" s="15" t="str">
        <f t="array" ref="Q603">IFERROR(XLOOKUP(N603,'Classificação'!A:A,'Classificação'!B:B),"")</f>
        <v>DESPESAS COM PESSOAL</v>
      </c>
      <c r="R603" s="15" t="str">
        <f t="array" ref="R603">IFERROR(XLOOKUP(Q603,'Classificação'!B:B,'Classificação'!C:C),"")</f>
        <v>DESPESAS FIXAS (-)</v>
      </c>
      <c r="S603" s="15">
        <f t="shared" si="5"/>
        <v>21</v>
      </c>
      <c r="T603" s="15">
        <f t="shared" si="6"/>
        <v>12</v>
      </c>
      <c r="U603" s="15">
        <f t="shared" si="7"/>
        <v>2024</v>
      </c>
      <c r="V603" s="15">
        <f t="shared" si="8"/>
        <v>21</v>
      </c>
      <c r="W603" s="15">
        <f t="shared" si="9"/>
        <v>12</v>
      </c>
      <c r="X603" s="15">
        <f t="shared" si="10"/>
        <v>2024</v>
      </c>
    </row>
    <row r="604">
      <c r="A604" s="9">
        <v>45649.0</v>
      </c>
      <c r="B604" s="10"/>
      <c r="C604" s="9">
        <f t="shared" si="22"/>
        <v>45649</v>
      </c>
      <c r="D604" s="11" t="s">
        <v>76</v>
      </c>
      <c r="E604" s="11" t="s">
        <v>25</v>
      </c>
      <c r="F604" s="11" t="s">
        <v>26</v>
      </c>
      <c r="G604" s="11" t="s">
        <v>27</v>
      </c>
      <c r="H604" s="11" t="s">
        <v>84</v>
      </c>
      <c r="I604" s="24">
        <v>1214.27</v>
      </c>
      <c r="J604" s="13"/>
      <c r="K604" s="13">
        <f t="shared" si="39"/>
        <v>1214.27</v>
      </c>
      <c r="L604" s="11" t="s">
        <v>53</v>
      </c>
      <c r="M604" s="16" t="s">
        <v>411</v>
      </c>
      <c r="N604" s="11" t="s">
        <v>85</v>
      </c>
      <c r="O604" s="10" t="str">
        <f t="shared" si="3"/>
        <v>12/2024</v>
      </c>
      <c r="P604" s="10" t="str">
        <f t="shared" si="29"/>
        <v>12/2024</v>
      </c>
      <c r="Q604" s="15" t="str">
        <f t="array" ref="Q604">IFERROR(XLOOKUP(N604,'Classificação'!A:A,'Classificação'!B:B),"")</f>
        <v>DESPESAS NÃO OPERACIONAIS</v>
      </c>
      <c r="R604" s="15" t="str">
        <f t="array" ref="R604">IFERROR(XLOOKUP(Q604,'Classificação'!B:B,'Classificação'!C:C),"")</f>
        <v>RESULTADO NÃO OPERACIONAL (+/-)</v>
      </c>
      <c r="S604" s="15">
        <f t="shared" si="5"/>
        <v>23</v>
      </c>
      <c r="T604" s="15">
        <f t="shared" si="6"/>
        <v>12</v>
      </c>
      <c r="U604" s="15">
        <f t="shared" si="7"/>
        <v>2024</v>
      </c>
      <c r="V604" s="15">
        <f t="shared" si="8"/>
        <v>23</v>
      </c>
      <c r="W604" s="15">
        <f t="shared" si="9"/>
        <v>12</v>
      </c>
      <c r="X604" s="15">
        <f t="shared" si="10"/>
        <v>2024</v>
      </c>
    </row>
    <row r="605">
      <c r="A605" s="9">
        <v>45649.0</v>
      </c>
      <c r="B605" s="10"/>
      <c r="C605" s="9">
        <f t="shared" si="22"/>
        <v>45649</v>
      </c>
      <c r="D605" s="11" t="s">
        <v>202</v>
      </c>
      <c r="E605" s="11" t="s">
        <v>25</v>
      </c>
      <c r="F605" s="11" t="s">
        <v>32</v>
      </c>
      <c r="G605" s="11" t="s">
        <v>27</v>
      </c>
      <c r="H605" s="11" t="s">
        <v>203</v>
      </c>
      <c r="I605" s="12">
        <v>469.34</v>
      </c>
      <c r="J605" s="13"/>
      <c r="K605" s="13">
        <f t="shared" si="39"/>
        <v>469.34</v>
      </c>
      <c r="L605" s="11" t="s">
        <v>53</v>
      </c>
      <c r="M605" s="20">
        <v>45601.0</v>
      </c>
      <c r="N605" s="11" t="s">
        <v>73</v>
      </c>
      <c r="O605" s="10" t="str">
        <f t="shared" si="3"/>
        <v>12/2024</v>
      </c>
      <c r="P605" s="10" t="str">
        <f t="shared" si="29"/>
        <v>12/2024</v>
      </c>
      <c r="Q605" s="15" t="str">
        <f t="array" ref="Q605">IFERROR(XLOOKUP(N605,'Classificação'!A:A,'Classificação'!B:B),"")</f>
        <v>DESPESAS NÃO OPERACIONAIS</v>
      </c>
      <c r="R605" s="15" t="str">
        <f t="array" ref="R605">IFERROR(XLOOKUP(Q605,'Classificação'!B:B,'Classificação'!C:C),"")</f>
        <v>RESULTADO NÃO OPERACIONAL (+/-)</v>
      </c>
      <c r="S605" s="15">
        <f t="shared" si="5"/>
        <v>23</v>
      </c>
      <c r="T605" s="15">
        <f t="shared" si="6"/>
        <v>12</v>
      </c>
      <c r="U605" s="15">
        <f t="shared" si="7"/>
        <v>2024</v>
      </c>
      <c r="V605" s="15">
        <f t="shared" si="8"/>
        <v>23</v>
      </c>
      <c r="W605" s="15">
        <f t="shared" si="9"/>
        <v>12</v>
      </c>
      <c r="X605" s="15">
        <f t="shared" si="10"/>
        <v>2024</v>
      </c>
    </row>
    <row r="606">
      <c r="A606" s="9">
        <v>45649.0</v>
      </c>
      <c r="B606" s="10"/>
      <c r="C606" s="9">
        <f t="shared" si="22"/>
        <v>45649</v>
      </c>
      <c r="D606" s="11" t="s">
        <v>202</v>
      </c>
      <c r="E606" s="11" t="s">
        <v>25</v>
      </c>
      <c r="F606" s="11" t="s">
        <v>32</v>
      </c>
      <c r="G606" s="11" t="s">
        <v>27</v>
      </c>
      <c r="H606" s="11" t="s">
        <v>203</v>
      </c>
      <c r="I606" s="12">
        <v>649.91</v>
      </c>
      <c r="J606" s="13"/>
      <c r="K606" s="13">
        <f t="shared" si="39"/>
        <v>649.91</v>
      </c>
      <c r="L606" s="11" t="s">
        <v>53</v>
      </c>
      <c r="M606" s="20">
        <v>45601.0</v>
      </c>
      <c r="N606" s="11" t="s">
        <v>73</v>
      </c>
      <c r="O606" s="10" t="str">
        <f t="shared" si="3"/>
        <v>12/2024</v>
      </c>
      <c r="P606" s="10" t="str">
        <f t="shared" si="29"/>
        <v>12/2024</v>
      </c>
      <c r="Q606" s="15" t="str">
        <f t="array" ref="Q606">IFERROR(XLOOKUP(N606,'Classificação'!A:A,'Classificação'!B:B),"")</f>
        <v>DESPESAS NÃO OPERACIONAIS</v>
      </c>
      <c r="R606" s="15" t="str">
        <f t="array" ref="R606">IFERROR(XLOOKUP(Q606,'Classificação'!B:B,'Classificação'!C:C),"")</f>
        <v>RESULTADO NÃO OPERACIONAL (+/-)</v>
      </c>
      <c r="S606" s="15">
        <f t="shared" si="5"/>
        <v>23</v>
      </c>
      <c r="T606" s="15">
        <f t="shared" si="6"/>
        <v>12</v>
      </c>
      <c r="U606" s="15">
        <f t="shared" si="7"/>
        <v>2024</v>
      </c>
      <c r="V606" s="15">
        <f t="shared" si="8"/>
        <v>23</v>
      </c>
      <c r="W606" s="15">
        <f t="shared" si="9"/>
        <v>12</v>
      </c>
      <c r="X606" s="15">
        <f t="shared" si="10"/>
        <v>2024</v>
      </c>
    </row>
    <row r="607">
      <c r="A607" s="9">
        <v>45649.0</v>
      </c>
      <c r="B607" s="10"/>
      <c r="C607" s="9">
        <f t="shared" si="22"/>
        <v>45649</v>
      </c>
      <c r="D607" s="11" t="s">
        <v>79</v>
      </c>
      <c r="E607" s="11" t="s">
        <v>25</v>
      </c>
      <c r="F607" s="11" t="s">
        <v>26</v>
      </c>
      <c r="G607" s="11" t="s">
        <v>37</v>
      </c>
      <c r="I607" s="12">
        <v>650.0</v>
      </c>
      <c r="J607" s="13"/>
      <c r="K607" s="13">
        <f t="shared" si="39"/>
        <v>650</v>
      </c>
      <c r="L607" s="11" t="s">
        <v>29</v>
      </c>
      <c r="M607" s="14"/>
      <c r="N607" s="11" t="s">
        <v>38</v>
      </c>
      <c r="O607" s="10" t="str">
        <f t="shared" si="3"/>
        <v>12/2024</v>
      </c>
      <c r="P607" s="10" t="str">
        <f t="shared" si="29"/>
        <v>12/2024</v>
      </c>
      <c r="Q607" s="15" t="str">
        <f t="array" ref="Q607">IFERROR(XLOOKUP(N607,'Classificação'!A:A,'Classificação'!B:B),"")</f>
        <v>DESPESAS COM PESSOAL</v>
      </c>
      <c r="R607" s="15" t="str">
        <f t="array" ref="R607">IFERROR(XLOOKUP(Q607,'Classificação'!B:B,'Classificação'!C:C),"")</f>
        <v>DESPESAS FIXAS (-)</v>
      </c>
      <c r="S607" s="15">
        <f t="shared" si="5"/>
        <v>23</v>
      </c>
      <c r="T607" s="15">
        <f t="shared" si="6"/>
        <v>12</v>
      </c>
      <c r="U607" s="15">
        <f t="shared" si="7"/>
        <v>2024</v>
      </c>
      <c r="V607" s="15">
        <f t="shared" si="8"/>
        <v>23</v>
      </c>
      <c r="W607" s="15">
        <f t="shared" si="9"/>
        <v>12</v>
      </c>
      <c r="X607" s="15">
        <f t="shared" si="10"/>
        <v>2024</v>
      </c>
    </row>
    <row r="608">
      <c r="A608" s="32">
        <v>45649.0</v>
      </c>
      <c r="B608" s="10"/>
      <c r="C608" s="9">
        <f t="shared" si="22"/>
        <v>45649</v>
      </c>
      <c r="D608" s="11" t="s">
        <v>79</v>
      </c>
      <c r="E608" s="11" t="s">
        <v>25</v>
      </c>
      <c r="F608" s="11" t="s">
        <v>32</v>
      </c>
      <c r="G608" s="11" t="s">
        <v>37</v>
      </c>
      <c r="H608" s="11" t="s">
        <v>437</v>
      </c>
      <c r="I608" s="12">
        <v>750.0</v>
      </c>
      <c r="J608" s="13"/>
      <c r="K608" s="13">
        <f t="shared" si="39"/>
        <v>750</v>
      </c>
      <c r="L608" s="11" t="s">
        <v>53</v>
      </c>
      <c r="M608" s="17">
        <v>45324.0</v>
      </c>
      <c r="N608" s="11" t="s">
        <v>405</v>
      </c>
      <c r="O608" s="10" t="str">
        <f t="shared" si="3"/>
        <v>12/2024</v>
      </c>
      <c r="P608" s="10" t="str">
        <f t="shared" si="29"/>
        <v>12/2024</v>
      </c>
      <c r="Q608" s="15" t="str">
        <f t="array" ref="Q608">IFERROR(XLOOKUP(N608,'Classificação'!A:A,'Classificação'!B:B),"")</f>
        <v>DESPESAS COM PESSOAL</v>
      </c>
      <c r="R608" s="15" t="str">
        <f t="array" ref="R608">IFERROR(XLOOKUP(Q608,'Classificação'!B:B,'Classificação'!C:C),"")</f>
        <v>DESPESAS FIXAS (-)</v>
      </c>
      <c r="S608" s="15">
        <f t="shared" si="5"/>
        <v>23</v>
      </c>
      <c r="T608" s="15">
        <f t="shared" si="6"/>
        <v>12</v>
      </c>
      <c r="U608" s="15">
        <f t="shared" si="7"/>
        <v>2024</v>
      </c>
      <c r="V608" s="15">
        <f t="shared" si="8"/>
        <v>23</v>
      </c>
      <c r="W608" s="15">
        <f t="shared" si="9"/>
        <v>12</v>
      </c>
      <c r="X608" s="15">
        <f t="shared" si="10"/>
        <v>2024</v>
      </c>
    </row>
    <row r="609">
      <c r="A609" s="32">
        <v>45649.0</v>
      </c>
      <c r="B609" s="10"/>
      <c r="C609" s="9">
        <f t="shared" si="22"/>
        <v>45649</v>
      </c>
      <c r="D609" s="11" t="s">
        <v>399</v>
      </c>
      <c r="E609" s="11" t="s">
        <v>25</v>
      </c>
      <c r="F609" s="11" t="s">
        <v>40</v>
      </c>
      <c r="G609" s="11" t="s">
        <v>27</v>
      </c>
      <c r="H609" s="11" t="s">
        <v>455</v>
      </c>
      <c r="I609" s="12">
        <v>1017.92</v>
      </c>
      <c r="J609" s="13"/>
      <c r="K609" s="13">
        <f t="shared" si="39"/>
        <v>1017.92</v>
      </c>
      <c r="L609" s="11" t="s">
        <v>53</v>
      </c>
      <c r="M609" s="17">
        <v>45354.0</v>
      </c>
      <c r="N609" s="11" t="s">
        <v>35</v>
      </c>
      <c r="O609" s="10" t="str">
        <f t="shared" si="3"/>
        <v>12/2024</v>
      </c>
      <c r="P609" s="10" t="str">
        <f t="shared" si="29"/>
        <v>12/2024</v>
      </c>
      <c r="Q609" s="15" t="str">
        <f t="array" ref="Q609">IFERROR(XLOOKUP(N609,'Classificação'!A:A,'Classificação'!B:B),"")</f>
        <v>COMPRA DE MERCADORIA</v>
      </c>
      <c r="R609" s="15" t="str">
        <f t="array" ref="R609">IFERROR(XLOOKUP(Q609,'Classificação'!B:B,'Classificação'!C:C),"")</f>
        <v>CUSTOS VARIÁVEIS</v>
      </c>
      <c r="S609" s="15">
        <f t="shared" si="5"/>
        <v>23</v>
      </c>
      <c r="T609" s="15">
        <f t="shared" si="6"/>
        <v>12</v>
      </c>
      <c r="U609" s="15">
        <f t="shared" si="7"/>
        <v>2024</v>
      </c>
      <c r="V609" s="15">
        <f t="shared" si="8"/>
        <v>23</v>
      </c>
      <c r="W609" s="15">
        <f t="shared" si="9"/>
        <v>12</v>
      </c>
      <c r="X609" s="15">
        <f t="shared" si="10"/>
        <v>2024</v>
      </c>
    </row>
    <row r="610">
      <c r="A610" s="9">
        <v>45649.0</v>
      </c>
      <c r="B610" s="10"/>
      <c r="C610" s="9">
        <f t="shared" si="22"/>
        <v>45649</v>
      </c>
      <c r="D610" s="11" t="s">
        <v>79</v>
      </c>
      <c r="E610" s="11" t="s">
        <v>25</v>
      </c>
      <c r="F610" s="11" t="s">
        <v>26</v>
      </c>
      <c r="G610" s="11" t="s">
        <v>37</v>
      </c>
      <c r="H610" s="11" t="s">
        <v>456</v>
      </c>
      <c r="I610" s="12">
        <v>1833.33</v>
      </c>
      <c r="J610" s="13"/>
      <c r="K610" s="13">
        <f t="shared" si="39"/>
        <v>1833.33</v>
      </c>
      <c r="L610" s="11" t="s">
        <v>29</v>
      </c>
      <c r="M610" s="14"/>
      <c r="N610" s="11" t="s">
        <v>38</v>
      </c>
      <c r="O610" s="10" t="str">
        <f t="shared" si="3"/>
        <v>12/2024</v>
      </c>
      <c r="P610" s="10" t="str">
        <f t="shared" si="29"/>
        <v>12/2024</v>
      </c>
      <c r="Q610" s="15" t="str">
        <f t="array" ref="Q610">IFERROR(XLOOKUP(N610,'Classificação'!A:A,'Classificação'!B:B),"")</f>
        <v>DESPESAS COM PESSOAL</v>
      </c>
      <c r="R610" s="15" t="str">
        <f t="array" ref="R610">IFERROR(XLOOKUP(Q610,'Classificação'!B:B,'Classificação'!C:C),"")</f>
        <v>DESPESAS FIXAS (-)</v>
      </c>
      <c r="S610" s="15">
        <f t="shared" si="5"/>
        <v>23</v>
      </c>
      <c r="T610" s="15">
        <f t="shared" si="6"/>
        <v>12</v>
      </c>
      <c r="U610" s="15">
        <f t="shared" si="7"/>
        <v>2024</v>
      </c>
      <c r="V610" s="15">
        <f t="shared" si="8"/>
        <v>23</v>
      </c>
      <c r="W610" s="15">
        <f t="shared" si="9"/>
        <v>12</v>
      </c>
      <c r="X610" s="15">
        <f t="shared" si="10"/>
        <v>2024</v>
      </c>
    </row>
    <row r="611">
      <c r="A611" s="39">
        <v>45649.0</v>
      </c>
      <c r="B611" s="30"/>
      <c r="C611" s="27">
        <f t="shared" si="22"/>
        <v>45649</v>
      </c>
      <c r="D611" s="28" t="s">
        <v>399</v>
      </c>
      <c r="E611" s="29" t="s">
        <v>25</v>
      </c>
      <c r="F611" s="28" t="s">
        <v>40</v>
      </c>
      <c r="G611" s="29" t="s">
        <v>37</v>
      </c>
      <c r="H611" s="29" t="s">
        <v>457</v>
      </c>
      <c r="I611" s="37">
        <v>1017.92</v>
      </c>
      <c r="J611" s="34"/>
      <c r="K611" s="13">
        <f t="shared" si="39"/>
        <v>1017.92</v>
      </c>
      <c r="L611" s="28" t="s">
        <v>53</v>
      </c>
      <c r="M611" s="40">
        <v>45354.0</v>
      </c>
      <c r="N611" s="28" t="s">
        <v>35</v>
      </c>
      <c r="O611" s="10" t="str">
        <f t="shared" si="3"/>
        <v>12/2024</v>
      </c>
      <c r="P611" s="10" t="str">
        <f t="shared" si="29"/>
        <v>12/2024</v>
      </c>
      <c r="Q611" s="15" t="str">
        <f t="array" ref="Q611">IFERROR(XLOOKUP(N611,'Classificação'!A:A,'Classificação'!B:B),"")</f>
        <v>COMPRA DE MERCADORIA</v>
      </c>
      <c r="R611" s="15" t="str">
        <f t="array" ref="R611">IFERROR(XLOOKUP(Q611,'Classificação'!B:B,'Classificação'!C:C),"")</f>
        <v>CUSTOS VARIÁVEIS</v>
      </c>
      <c r="S611" s="15">
        <f t="shared" si="5"/>
        <v>23</v>
      </c>
      <c r="T611" s="15">
        <f t="shared" si="6"/>
        <v>12</v>
      </c>
      <c r="U611" s="15">
        <f t="shared" si="7"/>
        <v>2024</v>
      </c>
      <c r="V611" s="15">
        <f t="shared" si="8"/>
        <v>23</v>
      </c>
      <c r="W611" s="15">
        <f t="shared" si="9"/>
        <v>12</v>
      </c>
      <c r="X611" s="15">
        <f t="shared" si="10"/>
        <v>2024</v>
      </c>
    </row>
    <row r="612">
      <c r="A612" s="26">
        <v>45649.0</v>
      </c>
      <c r="B612" s="27"/>
      <c r="C612" s="9">
        <f t="shared" si="22"/>
        <v>45649</v>
      </c>
      <c r="D612" s="28" t="s">
        <v>177</v>
      </c>
      <c r="E612" s="29" t="s">
        <v>25</v>
      </c>
      <c r="F612" s="29" t="s">
        <v>40</v>
      </c>
      <c r="G612" s="28" t="s">
        <v>27</v>
      </c>
      <c r="H612" s="43" t="s">
        <v>458</v>
      </c>
      <c r="I612" s="24">
        <v>223.73</v>
      </c>
      <c r="J612" s="34"/>
      <c r="K612" s="37">
        <f>IF(E612="pago",(I612-J612),"")</f>
        <v>223.73</v>
      </c>
      <c r="L612" s="28" t="s">
        <v>53</v>
      </c>
      <c r="M612" s="35">
        <v>45444.0</v>
      </c>
      <c r="N612" s="28" t="s">
        <v>178</v>
      </c>
      <c r="O612" s="10" t="str">
        <f t="shared" si="3"/>
        <v>12/2024</v>
      </c>
      <c r="P612" s="10" t="str">
        <f t="shared" si="29"/>
        <v>12/2024</v>
      </c>
      <c r="Q612" s="15" t="str">
        <f t="array" ref="Q612">IFERROR(XLOOKUP(N612,'Classificação'!A:A,'Classificação'!B:B),"")</f>
        <v>DESPESAS COM OCUPAÇÃO</v>
      </c>
      <c r="R612" s="15" t="str">
        <f t="array" ref="R612">IFERROR(XLOOKUP(Q612,'Classificação'!B:B,'Classificação'!C:C),"")</f>
        <v>DESPESAS FIXAS (-)</v>
      </c>
      <c r="S612" s="15">
        <f t="shared" si="5"/>
        <v>23</v>
      </c>
      <c r="T612" s="15">
        <f t="shared" si="6"/>
        <v>12</v>
      </c>
      <c r="U612" s="15">
        <f t="shared" si="7"/>
        <v>2024</v>
      </c>
      <c r="V612" s="15">
        <f t="shared" si="8"/>
        <v>23</v>
      </c>
      <c r="W612" s="15">
        <f t="shared" si="9"/>
        <v>12</v>
      </c>
      <c r="X612" s="15">
        <f t="shared" si="10"/>
        <v>2024</v>
      </c>
    </row>
    <row r="613">
      <c r="A613" s="32">
        <v>45649.0</v>
      </c>
      <c r="B613" s="10"/>
      <c r="C613" s="9">
        <f t="shared" si="22"/>
        <v>45649</v>
      </c>
      <c r="D613" s="11" t="s">
        <v>44</v>
      </c>
      <c r="E613" s="11" t="s">
        <v>25</v>
      </c>
      <c r="F613" s="11" t="s">
        <v>45</v>
      </c>
      <c r="G613" s="11" t="s">
        <v>27</v>
      </c>
      <c r="H613" s="11" t="s">
        <v>459</v>
      </c>
      <c r="I613" s="12">
        <v>1559.19</v>
      </c>
      <c r="J613" s="13"/>
      <c r="K613" s="13">
        <f t="shared" ref="K613:K619" si="40">if(E613="pago",(I613-J613),"")</f>
        <v>1559.19</v>
      </c>
      <c r="L613" s="11" t="s">
        <v>34</v>
      </c>
      <c r="M613" s="14"/>
      <c r="N613" s="11" t="s">
        <v>448</v>
      </c>
      <c r="O613" s="10" t="str">
        <f t="shared" si="3"/>
        <v>12/2024</v>
      </c>
      <c r="P613" s="10" t="str">
        <f t="shared" si="29"/>
        <v>12/2024</v>
      </c>
      <c r="Q613" s="15" t="str">
        <f t="array" ref="Q613">IFERROR(XLOOKUP(N613,'Classificação'!A:A,'Classificação'!B:B),"")</f>
        <v>DESPESAS ADMINISTRATIVAS</v>
      </c>
      <c r="R613" s="15" t="str">
        <f t="array" ref="R613">IFERROR(XLOOKUP(Q613,'Classificação'!B:B,'Classificação'!C:C),"")</f>
        <v>DESPESAS FIXAS (-)</v>
      </c>
      <c r="S613" s="15">
        <f t="shared" si="5"/>
        <v>23</v>
      </c>
      <c r="T613" s="15">
        <f t="shared" si="6"/>
        <v>12</v>
      </c>
      <c r="U613" s="15">
        <f t="shared" si="7"/>
        <v>2024</v>
      </c>
      <c r="V613" s="15">
        <f t="shared" si="8"/>
        <v>23</v>
      </c>
      <c r="W613" s="15">
        <f t="shared" si="9"/>
        <v>12</v>
      </c>
      <c r="X613" s="15">
        <f t="shared" si="10"/>
        <v>2024</v>
      </c>
    </row>
    <row r="614">
      <c r="A614" s="32">
        <v>45649.0</v>
      </c>
      <c r="B614" s="10"/>
      <c r="C614" s="9">
        <f t="shared" si="22"/>
        <v>45649</v>
      </c>
      <c r="D614" s="11" t="s">
        <v>44</v>
      </c>
      <c r="E614" s="11" t="s">
        <v>25</v>
      </c>
      <c r="F614" s="11" t="s">
        <v>45</v>
      </c>
      <c r="G614" s="11" t="s">
        <v>27</v>
      </c>
      <c r="H614" s="11" t="s">
        <v>459</v>
      </c>
      <c r="I614" s="12">
        <v>974.36</v>
      </c>
      <c r="J614" s="13"/>
      <c r="K614" s="13">
        <f t="shared" si="40"/>
        <v>974.36</v>
      </c>
      <c r="L614" s="11" t="s">
        <v>34</v>
      </c>
      <c r="M614" s="14"/>
      <c r="N614" s="11" t="s">
        <v>448</v>
      </c>
      <c r="O614" s="10" t="str">
        <f t="shared" si="3"/>
        <v>12/2024</v>
      </c>
      <c r="P614" s="10" t="str">
        <f t="shared" si="29"/>
        <v>12/2024</v>
      </c>
      <c r="Q614" s="15" t="str">
        <f t="array" ref="Q614">IFERROR(XLOOKUP(N614,'Classificação'!A:A,'Classificação'!B:B),"")</f>
        <v>DESPESAS ADMINISTRATIVAS</v>
      </c>
      <c r="R614" s="15" t="str">
        <f t="array" ref="R614">IFERROR(XLOOKUP(Q614,'Classificação'!B:B,'Classificação'!C:C),"")</f>
        <v>DESPESAS FIXAS (-)</v>
      </c>
      <c r="S614" s="15">
        <f t="shared" si="5"/>
        <v>23</v>
      </c>
      <c r="T614" s="15">
        <f t="shared" si="6"/>
        <v>12</v>
      </c>
      <c r="U614" s="15">
        <f t="shared" si="7"/>
        <v>2024</v>
      </c>
      <c r="V614" s="15">
        <f t="shared" si="8"/>
        <v>23</v>
      </c>
      <c r="W614" s="15">
        <f t="shared" si="9"/>
        <v>12</v>
      </c>
      <c r="X614" s="15">
        <f t="shared" si="10"/>
        <v>2024</v>
      </c>
    </row>
    <row r="615">
      <c r="A615" s="9">
        <v>45649.0</v>
      </c>
      <c r="B615" s="10"/>
      <c r="C615" s="9">
        <f t="shared" si="22"/>
        <v>45649</v>
      </c>
      <c r="D615" s="11" t="s">
        <v>223</v>
      </c>
      <c r="E615" s="11" t="s">
        <v>25</v>
      </c>
      <c r="F615" s="11" t="s">
        <v>32</v>
      </c>
      <c r="G615" s="11" t="s">
        <v>27</v>
      </c>
      <c r="I615" s="12">
        <v>100.0</v>
      </c>
      <c r="J615" s="13"/>
      <c r="K615" s="13">
        <f t="shared" si="40"/>
        <v>100</v>
      </c>
      <c r="L615" s="11" t="s">
        <v>29</v>
      </c>
      <c r="M615" s="14"/>
      <c r="N615" s="11" t="s">
        <v>224</v>
      </c>
      <c r="O615" s="10" t="str">
        <f t="shared" si="3"/>
        <v>12/2024</v>
      </c>
      <c r="P615" s="10" t="str">
        <f t="shared" si="29"/>
        <v>12/2024</v>
      </c>
      <c r="Q615" s="15" t="str">
        <f t="array" ref="Q615">IFERROR(XLOOKUP(N615,'Classificação'!A:A,'Classificação'!B:B),"")</f>
        <v>DESPESAS ADMINISTRATIVAS</v>
      </c>
      <c r="R615" s="15" t="str">
        <f t="array" ref="R615">IFERROR(XLOOKUP(Q615,'Classificação'!B:B,'Classificação'!C:C),"")</f>
        <v>DESPESAS FIXAS (-)</v>
      </c>
      <c r="S615" s="15">
        <f t="shared" si="5"/>
        <v>23</v>
      </c>
      <c r="T615" s="15">
        <f t="shared" si="6"/>
        <v>12</v>
      </c>
      <c r="U615" s="15">
        <f t="shared" si="7"/>
        <v>2024</v>
      </c>
      <c r="V615" s="15">
        <f t="shared" si="8"/>
        <v>23</v>
      </c>
      <c r="W615" s="15">
        <f t="shared" si="9"/>
        <v>12</v>
      </c>
      <c r="X615" s="15">
        <f t="shared" si="10"/>
        <v>2024</v>
      </c>
    </row>
    <row r="616">
      <c r="A616" s="26">
        <v>45649.0</v>
      </c>
      <c r="B616" s="10"/>
      <c r="C616" s="9">
        <f t="shared" si="22"/>
        <v>45649</v>
      </c>
      <c r="D616" s="44" t="s">
        <v>43</v>
      </c>
      <c r="E616" s="11" t="s">
        <v>25</v>
      </c>
      <c r="F616" s="29" t="s">
        <v>26</v>
      </c>
      <c r="G616" s="29" t="s">
        <v>37</v>
      </c>
      <c r="H616" s="11" t="s">
        <v>460</v>
      </c>
      <c r="I616" s="12">
        <v>69.3</v>
      </c>
      <c r="J616" s="13"/>
      <c r="K616" s="13">
        <f t="shared" si="40"/>
        <v>69.3</v>
      </c>
      <c r="L616" s="28" t="s">
        <v>53</v>
      </c>
      <c r="M616" s="17">
        <v>45628.0</v>
      </c>
      <c r="N616" s="11" t="s">
        <v>105</v>
      </c>
      <c r="O616" s="10" t="str">
        <f t="shared" si="3"/>
        <v>12/2024</v>
      </c>
      <c r="P616" s="10" t="str">
        <f t="shared" si="29"/>
        <v>12/2024</v>
      </c>
      <c r="Q616" s="15" t="str">
        <f t="array" ref="Q616">IFERROR(XLOOKUP(N616,'Classificação'!A:A,'Classificação'!B:B),"")</f>
        <v>DESPESAS ADMINISTRATIVAS</v>
      </c>
      <c r="R616" s="15" t="str">
        <f t="array" ref="R616">IFERROR(XLOOKUP(Q616,'Classificação'!B:B,'Classificação'!C:C),"")</f>
        <v>DESPESAS FIXAS (-)</v>
      </c>
      <c r="S616" s="15">
        <f t="shared" si="5"/>
        <v>23</v>
      </c>
      <c r="T616" s="15">
        <f t="shared" si="6"/>
        <v>12</v>
      </c>
      <c r="U616" s="15">
        <f t="shared" si="7"/>
        <v>2024</v>
      </c>
      <c r="V616" s="15">
        <f t="shared" si="8"/>
        <v>23</v>
      </c>
      <c r="W616" s="15">
        <f t="shared" si="9"/>
        <v>12</v>
      </c>
      <c r="X616" s="15">
        <f t="shared" si="10"/>
        <v>2024</v>
      </c>
    </row>
    <row r="617">
      <c r="A617" s="32">
        <v>45649.0</v>
      </c>
      <c r="B617" s="9">
        <v>45558.0</v>
      </c>
      <c r="C617" s="9">
        <f t="shared" si="22"/>
        <v>45649</v>
      </c>
      <c r="D617" s="44" t="s">
        <v>173</v>
      </c>
      <c r="E617" s="11" t="s">
        <v>25</v>
      </c>
      <c r="F617" s="11" t="s">
        <v>26</v>
      </c>
      <c r="G617" s="11" t="s">
        <v>37</v>
      </c>
      <c r="H617" s="11" t="s">
        <v>338</v>
      </c>
      <c r="I617" s="12">
        <v>105.5</v>
      </c>
      <c r="J617" s="13"/>
      <c r="K617" s="13">
        <f t="shared" si="40"/>
        <v>105.5</v>
      </c>
      <c r="L617" s="25" t="s">
        <v>53</v>
      </c>
      <c r="M617" s="17">
        <v>45354.0</v>
      </c>
      <c r="N617" s="11" t="s">
        <v>175</v>
      </c>
      <c r="O617" s="10" t="str">
        <f t="shared" si="3"/>
        <v>12/2024</v>
      </c>
      <c r="P617" s="10" t="str">
        <f t="shared" si="29"/>
        <v>12/2024</v>
      </c>
      <c r="Q617" s="15" t="str">
        <f t="array" ref="Q617">IFERROR(XLOOKUP(N617,'Classificação'!A:A,'Classificação'!B:B),"")</f>
        <v>DESPESAS COM VEICULOS</v>
      </c>
      <c r="R617" s="15" t="str">
        <f t="array" ref="R617">IFERROR(XLOOKUP(Q617,'Classificação'!B:B,'Classificação'!C:C),"")</f>
        <v>DESPESAS FIXAS (-)</v>
      </c>
      <c r="S617" s="15">
        <f t="shared" si="5"/>
        <v>23</v>
      </c>
      <c r="T617" s="15">
        <f t="shared" si="6"/>
        <v>12</v>
      </c>
      <c r="U617" s="15">
        <f t="shared" si="7"/>
        <v>2024</v>
      </c>
      <c r="V617" s="15">
        <f t="shared" si="8"/>
        <v>23</v>
      </c>
      <c r="W617" s="15">
        <f t="shared" si="9"/>
        <v>12</v>
      </c>
      <c r="X617" s="15">
        <f t="shared" si="10"/>
        <v>2024</v>
      </c>
    </row>
    <row r="618">
      <c r="A618" s="26">
        <v>45649.0</v>
      </c>
      <c r="B618" s="32">
        <v>45611.0</v>
      </c>
      <c r="C618" s="9">
        <f t="shared" si="22"/>
        <v>45649</v>
      </c>
      <c r="D618" s="44" t="s">
        <v>361</v>
      </c>
      <c r="E618" s="11" t="s">
        <v>25</v>
      </c>
      <c r="F618" s="29" t="s">
        <v>26</v>
      </c>
      <c r="G618" s="11" t="s">
        <v>37</v>
      </c>
      <c r="H618" s="11" t="s">
        <v>362</v>
      </c>
      <c r="I618" s="12">
        <v>180.11</v>
      </c>
      <c r="J618" s="13"/>
      <c r="K618" s="13">
        <f t="shared" si="40"/>
        <v>180.11</v>
      </c>
      <c r="L618" s="11" t="s">
        <v>53</v>
      </c>
      <c r="M618" s="17">
        <v>45628.0</v>
      </c>
      <c r="N618" s="11" t="s">
        <v>363</v>
      </c>
      <c r="O618" s="10" t="str">
        <f t="shared" si="3"/>
        <v>12/2024</v>
      </c>
      <c r="P618" s="10" t="str">
        <f t="shared" si="29"/>
        <v>12/2024</v>
      </c>
      <c r="Q618" s="15" t="str">
        <f t="array" ref="Q618">IFERROR(XLOOKUP(N618,'Classificação'!A:A,'Classificação'!B:B),"")</f>
        <v>DESPESAS NÃO OPERACIONAIS</v>
      </c>
      <c r="R618" s="15" t="str">
        <f t="array" ref="R618">IFERROR(XLOOKUP(Q618,'Classificação'!B:B,'Classificação'!C:C),"")</f>
        <v>RESULTADO NÃO OPERACIONAL (+/-)</v>
      </c>
      <c r="S618" s="15">
        <f t="shared" si="5"/>
        <v>23</v>
      </c>
      <c r="T618" s="15">
        <f t="shared" si="6"/>
        <v>12</v>
      </c>
      <c r="U618" s="15">
        <f t="shared" si="7"/>
        <v>2024</v>
      </c>
      <c r="V618" s="15">
        <f t="shared" si="8"/>
        <v>23</v>
      </c>
      <c r="W618" s="15">
        <f t="shared" si="9"/>
        <v>12</v>
      </c>
      <c r="X618" s="15">
        <f t="shared" si="10"/>
        <v>2024</v>
      </c>
    </row>
    <row r="619">
      <c r="A619" s="32">
        <v>45649.0</v>
      </c>
      <c r="B619" s="9">
        <v>45553.0</v>
      </c>
      <c r="C619" s="9">
        <f t="shared" si="22"/>
        <v>45649</v>
      </c>
      <c r="D619" s="44" t="s">
        <v>313</v>
      </c>
      <c r="E619" s="11" t="s">
        <v>25</v>
      </c>
      <c r="F619" s="11" t="s">
        <v>26</v>
      </c>
      <c r="G619" s="11" t="s">
        <v>37</v>
      </c>
      <c r="H619" s="11" t="s">
        <v>327</v>
      </c>
      <c r="I619" s="12">
        <v>313.18</v>
      </c>
      <c r="J619" s="13"/>
      <c r="K619" s="13">
        <f t="shared" si="40"/>
        <v>313.18</v>
      </c>
      <c r="L619" s="11" t="s">
        <v>53</v>
      </c>
      <c r="M619" s="17">
        <v>45629.0</v>
      </c>
      <c r="N619" s="11" t="s">
        <v>95</v>
      </c>
      <c r="O619" s="10" t="str">
        <f t="shared" si="3"/>
        <v>12/2024</v>
      </c>
      <c r="P619" s="10" t="str">
        <f t="shared" si="29"/>
        <v>12/2024</v>
      </c>
      <c r="Q619" s="15" t="str">
        <f t="array" ref="Q619">IFERROR(XLOOKUP(N619,'Classificação'!A:A,'Classificação'!B:B),"")</f>
        <v>DESPESAS NÃO OPERACIONAIS</v>
      </c>
      <c r="R619" s="15" t="str">
        <f t="array" ref="R619">IFERROR(XLOOKUP(Q619,'Classificação'!B:B,'Classificação'!C:C),"")</f>
        <v>RESULTADO NÃO OPERACIONAL (+/-)</v>
      </c>
      <c r="S619" s="15">
        <f t="shared" si="5"/>
        <v>23</v>
      </c>
      <c r="T619" s="15">
        <f t="shared" si="6"/>
        <v>12</v>
      </c>
      <c r="U619" s="15">
        <f t="shared" si="7"/>
        <v>2024</v>
      </c>
      <c r="V619" s="15">
        <f t="shared" si="8"/>
        <v>23</v>
      </c>
      <c r="W619" s="15">
        <f t="shared" si="9"/>
        <v>12</v>
      </c>
      <c r="X619" s="15">
        <f t="shared" si="10"/>
        <v>2024</v>
      </c>
    </row>
    <row r="620">
      <c r="A620" s="26">
        <v>45649.0</v>
      </c>
      <c r="B620" s="30"/>
      <c r="C620" s="27">
        <f t="shared" si="22"/>
        <v>45649</v>
      </c>
      <c r="D620" s="28" t="s">
        <v>36</v>
      </c>
      <c r="E620" s="28" t="s">
        <v>25</v>
      </c>
      <c r="F620" s="28" t="s">
        <v>32</v>
      </c>
      <c r="G620" s="28" t="s">
        <v>37</v>
      </c>
      <c r="H620" s="28"/>
      <c r="I620" s="24">
        <v>2675.0</v>
      </c>
      <c r="J620" s="34"/>
      <c r="K620" s="37">
        <f t="shared" ref="K620:K621" si="41">IF(E620="pago",(I620-J620),"")</f>
        <v>2675</v>
      </c>
      <c r="L620" s="28" t="s">
        <v>29</v>
      </c>
      <c r="M620" s="28"/>
      <c r="N620" s="28" t="s">
        <v>38</v>
      </c>
      <c r="O620" s="10" t="str">
        <f t="shared" si="3"/>
        <v>12/2024</v>
      </c>
      <c r="P620" s="10" t="str">
        <f t="shared" si="29"/>
        <v>12/2024</v>
      </c>
      <c r="Q620" s="15" t="str">
        <f t="array" ref="Q620">IFERROR(XLOOKUP(N620,'Classificação'!A:A,'Classificação'!B:B),"")</f>
        <v>DESPESAS COM PESSOAL</v>
      </c>
      <c r="R620" s="15" t="str">
        <f t="array" ref="R620">IFERROR(XLOOKUP(Q620,'Classificação'!B:B,'Classificação'!C:C),"")</f>
        <v>DESPESAS FIXAS (-)</v>
      </c>
      <c r="S620" s="15">
        <f t="shared" si="5"/>
        <v>23</v>
      </c>
      <c r="T620" s="15">
        <f t="shared" si="6"/>
        <v>12</v>
      </c>
      <c r="U620" s="15">
        <f t="shared" si="7"/>
        <v>2024</v>
      </c>
      <c r="V620" s="15">
        <f t="shared" si="8"/>
        <v>23</v>
      </c>
      <c r="W620" s="15">
        <f t="shared" si="9"/>
        <v>12</v>
      </c>
      <c r="X620" s="15">
        <f t="shared" si="10"/>
        <v>2024</v>
      </c>
    </row>
    <row r="621">
      <c r="A621" s="26">
        <v>45649.0</v>
      </c>
      <c r="B621" s="30"/>
      <c r="C621" s="27">
        <f t="shared" si="22"/>
        <v>45649</v>
      </c>
      <c r="D621" s="28" t="s">
        <v>43</v>
      </c>
      <c r="E621" s="28" t="s">
        <v>25</v>
      </c>
      <c r="F621" s="28" t="s">
        <v>32</v>
      </c>
      <c r="G621" s="28" t="s">
        <v>37</v>
      </c>
      <c r="H621" s="28"/>
      <c r="I621" s="24">
        <v>2675.0</v>
      </c>
      <c r="J621" s="34"/>
      <c r="K621" s="37">
        <f t="shared" si="41"/>
        <v>2675</v>
      </c>
      <c r="L621" s="28" t="s">
        <v>29</v>
      </c>
      <c r="M621" s="28"/>
      <c r="N621" s="28" t="s">
        <v>38</v>
      </c>
      <c r="O621" s="10" t="str">
        <f t="shared" si="3"/>
        <v>12/2024</v>
      </c>
      <c r="P621" s="10" t="str">
        <f t="shared" si="29"/>
        <v>12/2024</v>
      </c>
      <c r="Q621" s="15" t="str">
        <f t="array" ref="Q621">IFERROR(XLOOKUP(N621,'Classificação'!A:A,'Classificação'!B:B),"")</f>
        <v>DESPESAS COM PESSOAL</v>
      </c>
      <c r="R621" s="15" t="str">
        <f t="array" ref="R621">IFERROR(XLOOKUP(Q621,'Classificação'!B:B,'Classificação'!C:C),"")</f>
        <v>DESPESAS FIXAS (-)</v>
      </c>
      <c r="S621" s="15">
        <f t="shared" si="5"/>
        <v>23</v>
      </c>
      <c r="T621" s="15">
        <f t="shared" si="6"/>
        <v>12</v>
      </c>
      <c r="U621" s="15">
        <f t="shared" si="7"/>
        <v>2024</v>
      </c>
      <c r="V621" s="15">
        <f t="shared" si="8"/>
        <v>23</v>
      </c>
      <c r="W621" s="15">
        <f t="shared" si="9"/>
        <v>12</v>
      </c>
      <c r="X621" s="15">
        <f t="shared" si="10"/>
        <v>2024</v>
      </c>
    </row>
    <row r="622">
      <c r="A622" s="26">
        <v>45649.0</v>
      </c>
      <c r="B622" s="30"/>
      <c r="C622" s="27">
        <f t="shared" si="22"/>
        <v>45649</v>
      </c>
      <c r="D622" s="45" t="s">
        <v>36</v>
      </c>
      <c r="E622" s="29" t="s">
        <v>25</v>
      </c>
      <c r="F622" s="28" t="s">
        <v>32</v>
      </c>
      <c r="G622" s="28" t="s">
        <v>27</v>
      </c>
      <c r="H622" s="28"/>
      <c r="I622" s="24">
        <v>2674.0</v>
      </c>
      <c r="J622" s="34"/>
      <c r="K622" s="13">
        <f t="shared" ref="K622:K624" si="42">if(E622="pago",(I622-J622),"")</f>
        <v>2674</v>
      </c>
      <c r="L622" s="28" t="s">
        <v>29</v>
      </c>
      <c r="M622" s="28"/>
      <c r="N622" s="28" t="s">
        <v>38</v>
      </c>
      <c r="O622" s="10" t="str">
        <f t="shared" si="3"/>
        <v>12/2024</v>
      </c>
      <c r="P622" s="10" t="str">
        <f t="shared" si="29"/>
        <v>12/2024</v>
      </c>
      <c r="Q622" s="15" t="str">
        <f t="array" ref="Q622">IFERROR(XLOOKUP(N622,'Classificação'!A:A,'Classificação'!B:B),"")</f>
        <v>DESPESAS COM PESSOAL</v>
      </c>
      <c r="R622" s="15" t="str">
        <f t="array" ref="R622">IFERROR(XLOOKUP(Q622,'Classificação'!B:B,'Classificação'!C:C),"")</f>
        <v>DESPESAS FIXAS (-)</v>
      </c>
      <c r="S622" s="15">
        <f t="shared" si="5"/>
        <v>23</v>
      </c>
      <c r="T622" s="15">
        <f t="shared" si="6"/>
        <v>12</v>
      </c>
      <c r="U622" s="15">
        <f t="shared" si="7"/>
        <v>2024</v>
      </c>
      <c r="V622" s="15">
        <f t="shared" si="8"/>
        <v>23</v>
      </c>
      <c r="W622" s="15">
        <f t="shared" si="9"/>
        <v>12</v>
      </c>
      <c r="X622" s="15">
        <f t="shared" si="10"/>
        <v>2024</v>
      </c>
    </row>
    <row r="623">
      <c r="A623" s="26">
        <v>45649.0</v>
      </c>
      <c r="B623" s="30"/>
      <c r="C623" s="27">
        <f t="shared" si="22"/>
        <v>45649</v>
      </c>
      <c r="D623" s="45" t="s">
        <v>43</v>
      </c>
      <c r="E623" s="29" t="s">
        <v>25</v>
      </c>
      <c r="F623" s="28" t="s">
        <v>32</v>
      </c>
      <c r="G623" s="28" t="s">
        <v>27</v>
      </c>
      <c r="H623" s="28"/>
      <c r="I623" s="24">
        <v>2675.0</v>
      </c>
      <c r="J623" s="34"/>
      <c r="K623" s="13">
        <f t="shared" si="42"/>
        <v>2675</v>
      </c>
      <c r="L623" s="28" t="s">
        <v>29</v>
      </c>
      <c r="M623" s="28"/>
      <c r="N623" s="28" t="s">
        <v>38</v>
      </c>
      <c r="O623" s="10" t="str">
        <f t="shared" si="3"/>
        <v>12/2024</v>
      </c>
      <c r="P623" s="10" t="str">
        <f t="shared" si="29"/>
        <v>12/2024</v>
      </c>
      <c r="Q623" s="15" t="str">
        <f t="array" ref="Q623">IFERROR(XLOOKUP(N623,'Classificação'!A:A,'Classificação'!B:B),"")</f>
        <v>DESPESAS COM PESSOAL</v>
      </c>
      <c r="R623" s="15" t="str">
        <f t="array" ref="R623">IFERROR(XLOOKUP(Q623,'Classificação'!B:B,'Classificação'!C:C),"")</f>
        <v>DESPESAS FIXAS (-)</v>
      </c>
      <c r="S623" s="15">
        <f t="shared" si="5"/>
        <v>23</v>
      </c>
      <c r="T623" s="15">
        <f t="shared" si="6"/>
        <v>12</v>
      </c>
      <c r="U623" s="15">
        <f t="shared" si="7"/>
        <v>2024</v>
      </c>
      <c r="V623" s="15">
        <f t="shared" si="8"/>
        <v>23</v>
      </c>
      <c r="W623" s="15">
        <f t="shared" si="9"/>
        <v>12</v>
      </c>
      <c r="X623" s="15">
        <f t="shared" si="10"/>
        <v>2024</v>
      </c>
    </row>
    <row r="624">
      <c r="A624" s="32">
        <v>45649.0</v>
      </c>
      <c r="B624" s="10"/>
      <c r="C624" s="9">
        <f t="shared" si="22"/>
        <v>45649</v>
      </c>
      <c r="D624" s="11" t="s">
        <v>408</v>
      </c>
      <c r="E624" s="11" t="s">
        <v>25</v>
      </c>
      <c r="F624" s="11" t="s">
        <v>26</v>
      </c>
      <c r="G624" s="11" t="s">
        <v>27</v>
      </c>
      <c r="H624" s="11" t="s">
        <v>409</v>
      </c>
      <c r="I624" s="12">
        <v>100.0</v>
      </c>
      <c r="J624" s="13"/>
      <c r="K624" s="13">
        <f t="shared" si="42"/>
        <v>100</v>
      </c>
      <c r="L624" s="11" t="s">
        <v>34</v>
      </c>
      <c r="M624" s="14"/>
      <c r="N624" s="11" t="s">
        <v>58</v>
      </c>
      <c r="O624" s="10" t="str">
        <f t="shared" si="3"/>
        <v>12/2024</v>
      </c>
      <c r="P624" s="10" t="str">
        <f t="shared" si="29"/>
        <v>12/2024</v>
      </c>
      <c r="Q624" s="15" t="str">
        <f t="array" ref="Q624">IFERROR(XLOOKUP(N624,'Classificação'!A:A,'Classificação'!B:B),"")</f>
        <v>DESPESAS ADMINISTRATIVAS</v>
      </c>
      <c r="R624" s="15" t="str">
        <f t="array" ref="R624">IFERROR(XLOOKUP(Q624,'Classificação'!B:B,'Classificação'!C:C),"")</f>
        <v>DESPESAS FIXAS (-)</v>
      </c>
      <c r="S624" s="15">
        <f t="shared" si="5"/>
        <v>23</v>
      </c>
      <c r="T624" s="15">
        <f t="shared" si="6"/>
        <v>12</v>
      </c>
      <c r="U624" s="15">
        <f t="shared" si="7"/>
        <v>2024</v>
      </c>
      <c r="V624" s="15">
        <f t="shared" si="8"/>
        <v>23</v>
      </c>
      <c r="W624" s="15">
        <f t="shared" si="9"/>
        <v>12</v>
      </c>
      <c r="X624" s="15">
        <f t="shared" si="10"/>
        <v>2024</v>
      </c>
    </row>
    <row r="625">
      <c r="A625" s="26">
        <v>45650.0</v>
      </c>
      <c r="B625" s="36">
        <v>45618.0</v>
      </c>
      <c r="C625" s="9">
        <f t="shared" si="22"/>
        <v>45650</v>
      </c>
      <c r="D625" s="28" t="s">
        <v>86</v>
      </c>
      <c r="E625" s="29" t="s">
        <v>25</v>
      </c>
      <c r="F625" s="11" t="s">
        <v>87</v>
      </c>
      <c r="G625" s="28" t="s">
        <v>27</v>
      </c>
      <c r="H625" s="29" t="s">
        <v>461</v>
      </c>
      <c r="I625" s="24">
        <v>1686.67</v>
      </c>
      <c r="J625" s="34"/>
      <c r="K625" s="37">
        <f>IF(E625="pago",(I625-J625),"")</f>
        <v>1686.67</v>
      </c>
      <c r="L625" s="29" t="s">
        <v>53</v>
      </c>
      <c r="M625" s="35">
        <v>45352.0</v>
      </c>
      <c r="N625" s="28" t="s">
        <v>35</v>
      </c>
      <c r="O625" s="10" t="str">
        <f t="shared" si="3"/>
        <v>12/2024</v>
      </c>
      <c r="P625" s="10" t="str">
        <f t="shared" si="29"/>
        <v>12/2024</v>
      </c>
      <c r="Q625" s="15" t="str">
        <f t="array" ref="Q625">IFERROR(XLOOKUP(N625,'Classificação'!A:A,'Classificação'!B:B),"")</f>
        <v>COMPRA DE MERCADORIA</v>
      </c>
      <c r="R625" s="15" t="str">
        <f t="array" ref="R625">IFERROR(XLOOKUP(Q625,'Classificação'!B:B,'Classificação'!C:C),"")</f>
        <v>CUSTOS VARIÁVEIS</v>
      </c>
      <c r="S625" s="15">
        <f t="shared" si="5"/>
        <v>24</v>
      </c>
      <c r="T625" s="15">
        <f t="shared" si="6"/>
        <v>12</v>
      </c>
      <c r="U625" s="15">
        <f t="shared" si="7"/>
        <v>2024</v>
      </c>
      <c r="V625" s="15">
        <f t="shared" si="8"/>
        <v>24</v>
      </c>
      <c r="W625" s="15">
        <f t="shared" si="9"/>
        <v>12</v>
      </c>
      <c r="X625" s="15">
        <f t="shared" si="10"/>
        <v>2024</v>
      </c>
    </row>
    <row r="626">
      <c r="A626" s="9">
        <v>45652.0</v>
      </c>
      <c r="B626" s="10"/>
      <c r="C626" s="9">
        <f t="shared" si="22"/>
        <v>45652</v>
      </c>
      <c r="D626" s="11" t="s">
        <v>208</v>
      </c>
      <c r="E626" s="11" t="s">
        <v>25</v>
      </c>
      <c r="F626" s="11" t="s">
        <v>40</v>
      </c>
      <c r="G626" s="11" t="s">
        <v>27</v>
      </c>
      <c r="H626" s="11" t="s">
        <v>209</v>
      </c>
      <c r="I626" s="12">
        <v>171.72</v>
      </c>
      <c r="J626" s="13"/>
      <c r="K626" s="13">
        <f t="shared" ref="K626:K644" si="43">if(E626="pago",(I626-J626),"")</f>
        <v>171.72</v>
      </c>
      <c r="L626" s="11" t="s">
        <v>29</v>
      </c>
      <c r="M626" s="14"/>
      <c r="N626" s="11" t="s">
        <v>210</v>
      </c>
      <c r="O626" s="10" t="str">
        <f t="shared" si="3"/>
        <v>12/2024</v>
      </c>
      <c r="P626" s="10" t="str">
        <f t="shared" si="29"/>
        <v>12/2024</v>
      </c>
      <c r="Q626" s="15" t="str">
        <f t="array" ref="Q626">IFERROR(XLOOKUP(N626,'Classificação'!A:A,'Classificação'!B:B),"")</f>
        <v>DESPESAS COM OCUPAÇÃO</v>
      </c>
      <c r="R626" s="15" t="str">
        <f t="array" ref="R626">IFERROR(XLOOKUP(Q626,'Classificação'!B:B,'Classificação'!C:C),"")</f>
        <v>DESPESAS FIXAS (-)</v>
      </c>
      <c r="S626" s="15">
        <f t="shared" si="5"/>
        <v>26</v>
      </c>
      <c r="T626" s="15">
        <f t="shared" si="6"/>
        <v>12</v>
      </c>
      <c r="U626" s="15">
        <f t="shared" si="7"/>
        <v>2024</v>
      </c>
      <c r="V626" s="15">
        <f t="shared" si="8"/>
        <v>26</v>
      </c>
      <c r="W626" s="15">
        <f t="shared" si="9"/>
        <v>12</v>
      </c>
      <c r="X626" s="15">
        <f t="shared" si="10"/>
        <v>2024</v>
      </c>
    </row>
    <row r="627">
      <c r="A627" s="32">
        <v>45653.0</v>
      </c>
      <c r="B627" s="32"/>
      <c r="C627" s="9">
        <f t="shared" si="22"/>
        <v>45653</v>
      </c>
      <c r="D627" s="11" t="s">
        <v>86</v>
      </c>
      <c r="E627" s="11" t="s">
        <v>25</v>
      </c>
      <c r="F627" s="11" t="s">
        <v>26</v>
      </c>
      <c r="G627" s="11" t="s">
        <v>27</v>
      </c>
      <c r="H627" s="11" t="s">
        <v>462</v>
      </c>
      <c r="I627" s="12">
        <v>4265.0</v>
      </c>
      <c r="J627" s="13"/>
      <c r="K627" s="13">
        <f t="shared" si="43"/>
        <v>4265</v>
      </c>
      <c r="L627" s="11" t="s">
        <v>34</v>
      </c>
      <c r="M627" s="14"/>
      <c r="N627" s="11" t="s">
        <v>35</v>
      </c>
      <c r="O627" s="10" t="str">
        <f t="shared" si="3"/>
        <v>12/2024</v>
      </c>
      <c r="P627" s="10" t="str">
        <f t="shared" si="29"/>
        <v>12/2024</v>
      </c>
      <c r="Q627" s="15" t="str">
        <f t="array" ref="Q627">IFERROR(XLOOKUP(N627,'Classificação'!A:A,'Classificação'!B:B),"")</f>
        <v>COMPRA DE MERCADORIA</v>
      </c>
      <c r="R627" s="15" t="str">
        <f t="array" ref="R627">IFERROR(XLOOKUP(Q627,'Classificação'!B:B,'Classificação'!C:C),"")</f>
        <v>CUSTOS VARIÁVEIS</v>
      </c>
      <c r="S627" s="15">
        <f t="shared" si="5"/>
        <v>27</v>
      </c>
      <c r="T627" s="15">
        <f t="shared" si="6"/>
        <v>12</v>
      </c>
      <c r="U627" s="15">
        <f t="shared" si="7"/>
        <v>2024</v>
      </c>
      <c r="V627" s="15">
        <f t="shared" si="8"/>
        <v>27</v>
      </c>
      <c r="W627" s="15">
        <f t="shared" si="9"/>
        <v>12</v>
      </c>
      <c r="X627" s="15">
        <f t="shared" si="10"/>
        <v>2024</v>
      </c>
    </row>
    <row r="628">
      <c r="A628" s="9">
        <v>45653.0</v>
      </c>
      <c r="B628" s="10"/>
      <c r="C628" s="9">
        <f t="shared" si="22"/>
        <v>45653</v>
      </c>
      <c r="D628" s="11" t="s">
        <v>74</v>
      </c>
      <c r="E628" s="11" t="s">
        <v>25</v>
      </c>
      <c r="F628" s="11" t="s">
        <v>32</v>
      </c>
      <c r="G628" s="11" t="s">
        <v>27</v>
      </c>
      <c r="I628" s="12">
        <v>330.0</v>
      </c>
      <c r="J628" s="13"/>
      <c r="K628" s="13">
        <f t="shared" si="43"/>
        <v>330</v>
      </c>
      <c r="L628" s="11" t="s">
        <v>29</v>
      </c>
      <c r="M628" s="14"/>
      <c r="N628" s="11" t="s">
        <v>204</v>
      </c>
      <c r="O628" s="10" t="str">
        <f t="shared" si="3"/>
        <v>12/2024</v>
      </c>
      <c r="P628" s="10" t="str">
        <f t="shared" si="29"/>
        <v>12/2024</v>
      </c>
      <c r="Q628" s="15" t="str">
        <f t="array" ref="Q628">IFERROR(XLOOKUP(N628,'Classificação'!A:A,'Classificação'!B:B),"")</f>
        <v>DESPESAS COM PESSOAL</v>
      </c>
      <c r="R628" s="15" t="str">
        <f t="array" ref="R628">IFERROR(XLOOKUP(Q628,'Classificação'!B:B,'Classificação'!C:C),"")</f>
        <v>DESPESAS FIXAS (-)</v>
      </c>
      <c r="S628" s="15">
        <f t="shared" si="5"/>
        <v>27</v>
      </c>
      <c r="T628" s="15">
        <f t="shared" si="6"/>
        <v>12</v>
      </c>
      <c r="U628" s="15">
        <f t="shared" si="7"/>
        <v>2024</v>
      </c>
      <c r="V628" s="15">
        <f t="shared" si="8"/>
        <v>27</v>
      </c>
      <c r="W628" s="15">
        <f t="shared" si="9"/>
        <v>12</v>
      </c>
      <c r="X628" s="15">
        <f t="shared" si="10"/>
        <v>2024</v>
      </c>
    </row>
    <row r="629">
      <c r="A629" s="9">
        <v>45653.0</v>
      </c>
      <c r="B629" s="10"/>
      <c r="C629" s="9">
        <f t="shared" si="22"/>
        <v>45653</v>
      </c>
      <c r="D629" s="11" t="s">
        <v>83</v>
      </c>
      <c r="E629" s="11" t="s">
        <v>25</v>
      </c>
      <c r="F629" s="11" t="s">
        <v>40</v>
      </c>
      <c r="G629" s="11" t="s">
        <v>27</v>
      </c>
      <c r="I629" s="12">
        <v>330.0</v>
      </c>
      <c r="J629" s="13"/>
      <c r="K629" s="13">
        <f t="shared" si="43"/>
        <v>330</v>
      </c>
      <c r="L629" s="11" t="s">
        <v>29</v>
      </c>
      <c r="M629" s="14"/>
      <c r="N629" s="11" t="s">
        <v>204</v>
      </c>
      <c r="O629" s="10" t="str">
        <f t="shared" si="3"/>
        <v>12/2024</v>
      </c>
      <c r="P629" s="10" t="str">
        <f t="shared" si="29"/>
        <v>12/2024</v>
      </c>
      <c r="Q629" s="15" t="str">
        <f t="array" ref="Q629">IFERROR(XLOOKUP(N629,'Classificação'!A:A,'Classificação'!B:B),"")</f>
        <v>DESPESAS COM PESSOAL</v>
      </c>
      <c r="R629" s="15" t="str">
        <f t="array" ref="R629">IFERROR(XLOOKUP(Q629,'Classificação'!B:B,'Classificação'!C:C),"")</f>
        <v>DESPESAS FIXAS (-)</v>
      </c>
      <c r="S629" s="15">
        <f t="shared" si="5"/>
        <v>27</v>
      </c>
      <c r="T629" s="15">
        <f t="shared" si="6"/>
        <v>12</v>
      </c>
      <c r="U629" s="15">
        <f t="shared" si="7"/>
        <v>2024</v>
      </c>
      <c r="V629" s="15">
        <f t="shared" si="8"/>
        <v>27</v>
      </c>
      <c r="W629" s="15">
        <f t="shared" si="9"/>
        <v>12</v>
      </c>
      <c r="X629" s="15">
        <f t="shared" si="10"/>
        <v>2024</v>
      </c>
    </row>
    <row r="630">
      <c r="A630" s="9">
        <v>45653.0</v>
      </c>
      <c r="B630" s="10"/>
      <c r="C630" s="9">
        <f t="shared" si="22"/>
        <v>45653</v>
      </c>
      <c r="D630" s="11" t="s">
        <v>80</v>
      </c>
      <c r="E630" s="11" t="s">
        <v>25</v>
      </c>
      <c r="F630" s="11" t="s">
        <v>40</v>
      </c>
      <c r="G630" s="11" t="s">
        <v>27</v>
      </c>
      <c r="I630" s="12">
        <v>330.0</v>
      </c>
      <c r="J630" s="13"/>
      <c r="K630" s="13">
        <f t="shared" si="43"/>
        <v>330</v>
      </c>
      <c r="L630" s="11" t="s">
        <v>29</v>
      </c>
      <c r="M630" s="14"/>
      <c r="N630" s="11" t="s">
        <v>204</v>
      </c>
      <c r="O630" s="10" t="str">
        <f t="shared" si="3"/>
        <v>12/2024</v>
      </c>
      <c r="P630" s="10" t="str">
        <f t="shared" si="29"/>
        <v>12/2024</v>
      </c>
      <c r="Q630" s="15" t="str">
        <f t="array" ref="Q630">IFERROR(XLOOKUP(N630,'Classificação'!A:A,'Classificação'!B:B),"")</f>
        <v>DESPESAS COM PESSOAL</v>
      </c>
      <c r="R630" s="15" t="str">
        <f t="array" ref="R630">IFERROR(XLOOKUP(Q630,'Classificação'!B:B,'Classificação'!C:C),"")</f>
        <v>DESPESAS FIXAS (-)</v>
      </c>
      <c r="S630" s="15">
        <f t="shared" si="5"/>
        <v>27</v>
      </c>
      <c r="T630" s="15">
        <f t="shared" si="6"/>
        <v>12</v>
      </c>
      <c r="U630" s="15">
        <f t="shared" si="7"/>
        <v>2024</v>
      </c>
      <c r="V630" s="15">
        <f t="shared" si="8"/>
        <v>27</v>
      </c>
      <c r="W630" s="15">
        <f t="shared" si="9"/>
        <v>12</v>
      </c>
      <c r="X630" s="15">
        <f t="shared" si="10"/>
        <v>2024</v>
      </c>
    </row>
    <row r="631">
      <c r="A631" s="9">
        <v>45656.0</v>
      </c>
      <c r="B631" s="10"/>
      <c r="C631" s="9">
        <f t="shared" si="22"/>
        <v>45656</v>
      </c>
      <c r="D631" s="11" t="s">
        <v>221</v>
      </c>
      <c r="E631" s="11" t="s">
        <v>25</v>
      </c>
      <c r="F631" s="11" t="s">
        <v>32</v>
      </c>
      <c r="G631" s="11" t="s">
        <v>27</v>
      </c>
      <c r="H631" s="11" t="s">
        <v>222</v>
      </c>
      <c r="I631" s="12">
        <v>380.54</v>
      </c>
      <c r="J631" s="13"/>
      <c r="K631" s="13">
        <f t="shared" si="43"/>
        <v>380.54</v>
      </c>
      <c r="L631" s="11" t="s">
        <v>29</v>
      </c>
      <c r="M631" s="14"/>
      <c r="N631" s="11" t="s">
        <v>61</v>
      </c>
      <c r="O631" s="10" t="str">
        <f t="shared" si="3"/>
        <v>12/2024</v>
      </c>
      <c r="P631" s="10" t="str">
        <f t="shared" si="29"/>
        <v>12/2024</v>
      </c>
      <c r="Q631" s="15" t="str">
        <f t="array" ref="Q631">IFERROR(XLOOKUP(N631,'Classificação'!A:A,'Classificação'!B:B),"")</f>
        <v>DESPESAS ADMINISTRATIVAS</v>
      </c>
      <c r="R631" s="15" t="str">
        <f t="array" ref="R631">IFERROR(XLOOKUP(Q631,'Classificação'!B:B,'Classificação'!C:C),"")</f>
        <v>DESPESAS FIXAS (-)</v>
      </c>
      <c r="S631" s="15">
        <f t="shared" si="5"/>
        <v>30</v>
      </c>
      <c r="T631" s="15">
        <f t="shared" si="6"/>
        <v>12</v>
      </c>
      <c r="U631" s="15">
        <f t="shared" si="7"/>
        <v>2024</v>
      </c>
      <c r="V631" s="15">
        <f t="shared" si="8"/>
        <v>30</v>
      </c>
      <c r="W631" s="15">
        <f t="shared" si="9"/>
        <v>12</v>
      </c>
      <c r="X631" s="15">
        <f t="shared" si="10"/>
        <v>2024</v>
      </c>
    </row>
    <row r="632">
      <c r="A632" s="9">
        <v>45656.0</v>
      </c>
      <c r="B632" s="10"/>
      <c r="C632" s="9">
        <f t="shared" si="22"/>
        <v>45656</v>
      </c>
      <c r="D632" s="11" t="s">
        <v>74</v>
      </c>
      <c r="E632" s="11" t="s">
        <v>25</v>
      </c>
      <c r="F632" s="11" t="s">
        <v>26</v>
      </c>
      <c r="G632" s="11" t="s">
        <v>27</v>
      </c>
      <c r="H632" s="11" t="s">
        <v>403</v>
      </c>
      <c r="I632" s="12">
        <v>910.82</v>
      </c>
      <c r="J632" s="13"/>
      <c r="K632" s="13">
        <f t="shared" si="43"/>
        <v>910.82</v>
      </c>
      <c r="L632" s="11" t="s">
        <v>29</v>
      </c>
      <c r="M632" s="14"/>
      <c r="N632" s="11" t="s">
        <v>38</v>
      </c>
      <c r="O632" s="10" t="str">
        <f t="shared" si="3"/>
        <v>12/2024</v>
      </c>
      <c r="P632" s="10" t="str">
        <f t="shared" si="29"/>
        <v>12/2024</v>
      </c>
      <c r="Q632" s="15" t="str">
        <f t="array" ref="Q632">IFERROR(XLOOKUP(N632,'Classificação'!A:A,'Classificação'!B:B),"")</f>
        <v>DESPESAS COM PESSOAL</v>
      </c>
      <c r="R632" s="15" t="str">
        <f t="array" ref="R632">IFERROR(XLOOKUP(Q632,'Classificação'!B:B,'Classificação'!C:C),"")</f>
        <v>DESPESAS FIXAS (-)</v>
      </c>
      <c r="S632" s="15">
        <f t="shared" si="5"/>
        <v>30</v>
      </c>
      <c r="T632" s="15">
        <f t="shared" si="6"/>
        <v>12</v>
      </c>
      <c r="U632" s="15">
        <f t="shared" si="7"/>
        <v>2024</v>
      </c>
      <c r="V632" s="15">
        <f t="shared" si="8"/>
        <v>30</v>
      </c>
      <c r="W632" s="15">
        <f t="shared" si="9"/>
        <v>12</v>
      </c>
      <c r="X632" s="15">
        <f t="shared" si="10"/>
        <v>2024</v>
      </c>
    </row>
    <row r="633">
      <c r="A633" s="9">
        <v>45656.0</v>
      </c>
      <c r="B633" s="10"/>
      <c r="C633" s="9">
        <f t="shared" si="22"/>
        <v>45656</v>
      </c>
      <c r="D633" s="11" t="s">
        <v>80</v>
      </c>
      <c r="E633" s="11" t="s">
        <v>25</v>
      </c>
      <c r="F633" s="11" t="s">
        <v>26</v>
      </c>
      <c r="G633" s="11" t="s">
        <v>27</v>
      </c>
      <c r="H633" s="11" t="s">
        <v>225</v>
      </c>
      <c r="I633" s="12">
        <v>888.45</v>
      </c>
      <c r="J633" s="13"/>
      <c r="K633" s="13">
        <f t="shared" si="43"/>
        <v>888.45</v>
      </c>
      <c r="L633" s="11" t="s">
        <v>29</v>
      </c>
      <c r="M633" s="14"/>
      <c r="N633" s="11" t="s">
        <v>38</v>
      </c>
      <c r="O633" s="10" t="str">
        <f t="shared" si="3"/>
        <v>12/2024</v>
      </c>
      <c r="P633" s="10" t="str">
        <f t="shared" si="29"/>
        <v>12/2024</v>
      </c>
      <c r="Q633" s="15" t="str">
        <f t="array" ref="Q633">IFERROR(XLOOKUP(N633,'Classificação'!A:A,'Classificação'!B:B),"")</f>
        <v>DESPESAS COM PESSOAL</v>
      </c>
      <c r="R633" s="15" t="str">
        <f t="array" ref="R633">IFERROR(XLOOKUP(Q633,'Classificação'!B:B,'Classificação'!C:C),"")</f>
        <v>DESPESAS FIXAS (-)</v>
      </c>
      <c r="S633" s="15">
        <f t="shared" si="5"/>
        <v>30</v>
      </c>
      <c r="T633" s="15">
        <f t="shared" si="6"/>
        <v>12</v>
      </c>
      <c r="U633" s="15">
        <f t="shared" si="7"/>
        <v>2024</v>
      </c>
      <c r="V633" s="15">
        <f t="shared" si="8"/>
        <v>30</v>
      </c>
      <c r="W633" s="15">
        <f t="shared" si="9"/>
        <v>12</v>
      </c>
      <c r="X633" s="15">
        <f t="shared" si="10"/>
        <v>2024</v>
      </c>
    </row>
    <row r="634">
      <c r="A634" s="9">
        <v>45656.0</v>
      </c>
      <c r="B634" s="10"/>
      <c r="C634" s="9">
        <f t="shared" si="22"/>
        <v>45656</v>
      </c>
      <c r="D634" s="11" t="s">
        <v>83</v>
      </c>
      <c r="E634" s="11" t="s">
        <v>25</v>
      </c>
      <c r="F634" s="11" t="s">
        <v>26</v>
      </c>
      <c r="G634" s="11" t="s">
        <v>27</v>
      </c>
      <c r="I634" s="12">
        <v>1044.98</v>
      </c>
      <c r="J634" s="13"/>
      <c r="K634" s="13">
        <f t="shared" si="43"/>
        <v>1044.98</v>
      </c>
      <c r="L634" s="11" t="s">
        <v>29</v>
      </c>
      <c r="M634" s="14"/>
      <c r="N634" s="11" t="s">
        <v>38</v>
      </c>
      <c r="O634" s="10" t="str">
        <f t="shared" si="3"/>
        <v>12/2024</v>
      </c>
      <c r="P634" s="10" t="str">
        <f t="shared" si="29"/>
        <v>12/2024</v>
      </c>
      <c r="Q634" s="15" t="str">
        <f t="array" ref="Q634">IFERROR(XLOOKUP(N634,'Classificação'!A:A,'Classificação'!B:B),"")</f>
        <v>DESPESAS COM PESSOAL</v>
      </c>
      <c r="R634" s="15" t="str">
        <f t="array" ref="R634">IFERROR(XLOOKUP(Q634,'Classificação'!B:B,'Classificação'!C:C),"")</f>
        <v>DESPESAS FIXAS (-)</v>
      </c>
      <c r="S634" s="15">
        <f t="shared" si="5"/>
        <v>30</v>
      </c>
      <c r="T634" s="15">
        <f t="shared" si="6"/>
        <v>12</v>
      </c>
      <c r="U634" s="15">
        <f t="shared" si="7"/>
        <v>2024</v>
      </c>
      <c r="V634" s="15">
        <f t="shared" si="8"/>
        <v>30</v>
      </c>
      <c r="W634" s="15">
        <f t="shared" si="9"/>
        <v>12</v>
      </c>
      <c r="X634" s="15">
        <f t="shared" si="10"/>
        <v>2024</v>
      </c>
    </row>
    <row r="635">
      <c r="A635" s="32">
        <v>45656.0</v>
      </c>
      <c r="B635" s="10"/>
      <c r="C635" s="9">
        <f t="shared" si="22"/>
        <v>45656</v>
      </c>
      <c r="D635" s="11" t="s">
        <v>231</v>
      </c>
      <c r="E635" s="11" t="s">
        <v>25</v>
      </c>
      <c r="F635" s="11" t="s">
        <v>40</v>
      </c>
      <c r="G635" s="11" t="s">
        <v>27</v>
      </c>
      <c r="H635" s="11" t="s">
        <v>463</v>
      </c>
      <c r="I635" s="12">
        <v>383.68</v>
      </c>
      <c r="J635" s="13"/>
      <c r="K635" s="13">
        <f t="shared" si="43"/>
        <v>383.68</v>
      </c>
      <c r="L635" s="11" t="s">
        <v>34</v>
      </c>
      <c r="M635" s="14"/>
      <c r="N635" s="11" t="s">
        <v>355</v>
      </c>
      <c r="O635" s="10" t="str">
        <f t="shared" si="3"/>
        <v>12/2024</v>
      </c>
      <c r="P635" s="10" t="str">
        <f t="shared" si="29"/>
        <v>12/2024</v>
      </c>
      <c r="Q635" s="15" t="str">
        <f t="array" ref="Q635">IFERROR(XLOOKUP(N635,'Classificação'!A:A,'Classificação'!B:B),"")</f>
        <v>IMPOSTOS E TAXAS DIVERSAS</v>
      </c>
      <c r="R635" s="15" t="str">
        <f t="array" ref="R635">IFERROR(XLOOKUP(Q635,'Classificação'!B:B,'Classificação'!C:C),"")</f>
        <v>DESPESAS FIXAS (-)</v>
      </c>
      <c r="S635" s="15">
        <f t="shared" si="5"/>
        <v>30</v>
      </c>
      <c r="T635" s="15">
        <f t="shared" si="6"/>
        <v>12</v>
      </c>
      <c r="U635" s="15">
        <f t="shared" si="7"/>
        <v>2024</v>
      </c>
      <c r="V635" s="15">
        <f t="shared" si="8"/>
        <v>30</v>
      </c>
      <c r="W635" s="15">
        <f t="shared" si="9"/>
        <v>12</v>
      </c>
      <c r="X635" s="15">
        <f t="shared" si="10"/>
        <v>2024</v>
      </c>
    </row>
    <row r="636">
      <c r="A636" s="32">
        <v>45656.0</v>
      </c>
      <c r="B636" s="10"/>
      <c r="C636" s="9">
        <f t="shared" si="22"/>
        <v>45656</v>
      </c>
      <c r="D636" s="11" t="s">
        <v>231</v>
      </c>
      <c r="E636" s="11" t="s">
        <v>25</v>
      </c>
      <c r="F636" s="11" t="s">
        <v>40</v>
      </c>
      <c r="G636" s="11" t="s">
        <v>27</v>
      </c>
      <c r="H636" s="11" t="s">
        <v>464</v>
      </c>
      <c r="I636" s="12">
        <v>48.75</v>
      </c>
      <c r="J636" s="13"/>
      <c r="K636" s="13">
        <f t="shared" si="43"/>
        <v>48.75</v>
      </c>
      <c r="L636" s="11" t="s">
        <v>34</v>
      </c>
      <c r="M636" s="14"/>
      <c r="N636" s="11" t="s">
        <v>355</v>
      </c>
      <c r="O636" s="10" t="str">
        <f t="shared" si="3"/>
        <v>12/2024</v>
      </c>
      <c r="P636" s="10" t="str">
        <f t="shared" si="29"/>
        <v>12/2024</v>
      </c>
      <c r="Q636" s="15" t="str">
        <f t="array" ref="Q636">IFERROR(XLOOKUP(N636,'Classificação'!A:A,'Classificação'!B:B),"")</f>
        <v>IMPOSTOS E TAXAS DIVERSAS</v>
      </c>
      <c r="R636" s="15" t="str">
        <f t="array" ref="R636">IFERROR(XLOOKUP(Q636,'Classificação'!B:B,'Classificação'!C:C),"")</f>
        <v>DESPESAS FIXAS (-)</v>
      </c>
      <c r="S636" s="15">
        <f t="shared" si="5"/>
        <v>30</v>
      </c>
      <c r="T636" s="15">
        <f t="shared" si="6"/>
        <v>12</v>
      </c>
      <c r="U636" s="15">
        <f t="shared" si="7"/>
        <v>2024</v>
      </c>
      <c r="V636" s="15">
        <f t="shared" si="8"/>
        <v>30</v>
      </c>
      <c r="W636" s="15">
        <f t="shared" si="9"/>
        <v>12</v>
      </c>
      <c r="X636" s="15">
        <f t="shared" si="10"/>
        <v>2024</v>
      </c>
    </row>
    <row r="637">
      <c r="A637" s="9">
        <v>45659.0</v>
      </c>
      <c r="B637" s="10"/>
      <c r="C637" s="9">
        <f t="shared" si="22"/>
        <v>45659</v>
      </c>
      <c r="D637" s="11" t="s">
        <v>24</v>
      </c>
      <c r="E637" s="11" t="s">
        <v>25</v>
      </c>
      <c r="F637" s="11" t="s">
        <v>26</v>
      </c>
      <c r="G637" s="11" t="s">
        <v>27</v>
      </c>
      <c r="H637" s="11" t="s">
        <v>28</v>
      </c>
      <c r="I637" s="31">
        <v>5600.0</v>
      </c>
      <c r="J637" s="13"/>
      <c r="K637" s="13">
        <f t="shared" si="43"/>
        <v>5600</v>
      </c>
      <c r="L637" s="11" t="s">
        <v>29</v>
      </c>
      <c r="M637" s="14"/>
      <c r="N637" s="11" t="s">
        <v>30</v>
      </c>
      <c r="O637" s="10" t="str">
        <f t="shared" si="3"/>
        <v>01/2025</v>
      </c>
      <c r="P637" s="10" t="str">
        <f t="shared" si="29"/>
        <v>01/2025</v>
      </c>
      <c r="Q637" s="15" t="str">
        <f t="array" ref="Q637">IFERROR(XLOOKUP(N637,'Classificação'!A:A,'Classificação'!B:B),"")</f>
        <v>DESPESAS COM OCUPAÇÃO</v>
      </c>
      <c r="R637" s="15" t="str">
        <f t="array" ref="R637">IFERROR(XLOOKUP(Q637,'Classificação'!B:B,'Classificação'!C:C),"")</f>
        <v>DESPESAS FIXAS (-)</v>
      </c>
      <c r="S637" s="15">
        <f t="shared" si="5"/>
        <v>2</v>
      </c>
      <c r="T637" s="15">
        <f t="shared" si="6"/>
        <v>1</v>
      </c>
      <c r="U637" s="15">
        <f t="shared" si="7"/>
        <v>2025</v>
      </c>
      <c r="V637" s="15">
        <f t="shared" si="8"/>
        <v>2</v>
      </c>
      <c r="W637" s="15">
        <f t="shared" si="9"/>
        <v>1</v>
      </c>
      <c r="X637" s="15">
        <f t="shared" si="10"/>
        <v>2025</v>
      </c>
    </row>
    <row r="638">
      <c r="A638" s="9">
        <v>45659.0</v>
      </c>
      <c r="B638" s="10"/>
      <c r="C638" s="9">
        <f t="shared" si="22"/>
        <v>45659</v>
      </c>
      <c r="D638" s="11" t="s">
        <v>288</v>
      </c>
      <c r="E638" s="11" t="s">
        <v>25</v>
      </c>
      <c r="F638" s="11" t="s">
        <v>26</v>
      </c>
      <c r="G638" s="11" t="s">
        <v>37</v>
      </c>
      <c r="H638" s="11" t="s">
        <v>289</v>
      </c>
      <c r="I638" s="31">
        <v>59.5</v>
      </c>
      <c r="J638" s="13"/>
      <c r="K638" s="13">
        <f t="shared" si="43"/>
        <v>59.5</v>
      </c>
      <c r="L638" s="11" t="s">
        <v>29</v>
      </c>
      <c r="M638" s="16"/>
      <c r="N638" s="11" t="s">
        <v>105</v>
      </c>
      <c r="O638" s="10" t="str">
        <f t="shared" si="3"/>
        <v>01/2025</v>
      </c>
      <c r="P638" s="10" t="str">
        <f t="shared" si="29"/>
        <v>01/2025</v>
      </c>
      <c r="Q638" s="15" t="str">
        <f t="array" ref="Q638">IFERROR(XLOOKUP(N638,'Classificação'!A:A,'Classificação'!B:B),"")</f>
        <v>DESPESAS ADMINISTRATIVAS</v>
      </c>
      <c r="R638" s="15" t="str">
        <f t="array" ref="R638">IFERROR(XLOOKUP(Q638,'Classificação'!B:B,'Classificação'!C:C),"")</f>
        <v>DESPESAS FIXAS (-)</v>
      </c>
      <c r="S638" s="15">
        <f t="shared" si="5"/>
        <v>2</v>
      </c>
      <c r="T638" s="15">
        <f t="shared" si="6"/>
        <v>1</v>
      </c>
      <c r="U638" s="15">
        <f t="shared" si="7"/>
        <v>2025</v>
      </c>
      <c r="V638" s="15">
        <f t="shared" si="8"/>
        <v>2</v>
      </c>
      <c r="W638" s="15">
        <f t="shared" si="9"/>
        <v>1</v>
      </c>
      <c r="X638" s="15">
        <f t="shared" si="10"/>
        <v>2025</v>
      </c>
    </row>
    <row r="639">
      <c r="A639" s="9">
        <v>45659.0</v>
      </c>
      <c r="B639" s="10"/>
      <c r="C639" s="9">
        <f t="shared" si="22"/>
        <v>45659</v>
      </c>
      <c r="D639" s="11" t="s">
        <v>282</v>
      </c>
      <c r="E639" s="11" t="s">
        <v>25</v>
      </c>
      <c r="F639" s="11" t="s">
        <v>26</v>
      </c>
      <c r="G639" s="11" t="s">
        <v>37</v>
      </c>
      <c r="H639" s="11" t="s">
        <v>351</v>
      </c>
      <c r="I639" s="31">
        <v>333.34</v>
      </c>
      <c r="J639" s="13"/>
      <c r="K639" s="13">
        <f t="shared" si="43"/>
        <v>333.34</v>
      </c>
      <c r="L639" s="11" t="s">
        <v>53</v>
      </c>
      <c r="M639" s="17">
        <v>45354.0</v>
      </c>
      <c r="N639" s="11" t="s">
        <v>61</v>
      </c>
      <c r="O639" s="10" t="str">
        <f t="shared" si="3"/>
        <v>01/2025</v>
      </c>
      <c r="P639" s="10" t="str">
        <f t="shared" si="29"/>
        <v>01/2025</v>
      </c>
      <c r="Q639" s="15" t="str">
        <f t="array" ref="Q639">IFERROR(XLOOKUP(N639,'Classificação'!A:A,'Classificação'!B:B),"")</f>
        <v>DESPESAS ADMINISTRATIVAS</v>
      </c>
      <c r="R639" s="15" t="str">
        <f t="array" ref="R639">IFERROR(XLOOKUP(Q639,'Classificação'!B:B,'Classificação'!C:C),"")</f>
        <v>DESPESAS FIXAS (-)</v>
      </c>
      <c r="S639" s="15">
        <f t="shared" si="5"/>
        <v>2</v>
      </c>
      <c r="T639" s="15">
        <f t="shared" si="6"/>
        <v>1</v>
      </c>
      <c r="U639" s="15">
        <f t="shared" si="7"/>
        <v>2025</v>
      </c>
      <c r="V639" s="15">
        <f t="shared" si="8"/>
        <v>2</v>
      </c>
      <c r="W639" s="15">
        <f t="shared" si="9"/>
        <v>1</v>
      </c>
      <c r="X639" s="15">
        <f t="shared" si="10"/>
        <v>2025</v>
      </c>
    </row>
    <row r="640">
      <c r="A640" s="9">
        <v>45660.0</v>
      </c>
      <c r="B640" s="10"/>
      <c r="C640" s="9">
        <f t="shared" si="22"/>
        <v>45660</v>
      </c>
      <c r="D640" s="11" t="s">
        <v>44</v>
      </c>
      <c r="E640" s="11" t="s">
        <v>25</v>
      </c>
      <c r="F640" s="11" t="s">
        <v>45</v>
      </c>
      <c r="G640" s="11" t="s">
        <v>27</v>
      </c>
      <c r="H640" s="11" t="s">
        <v>343</v>
      </c>
      <c r="I640" s="31">
        <v>3296.41</v>
      </c>
      <c r="J640" s="13"/>
      <c r="K640" s="13">
        <f t="shared" si="43"/>
        <v>3296.41</v>
      </c>
      <c r="L640" s="11" t="s">
        <v>53</v>
      </c>
      <c r="M640" s="16" t="s">
        <v>465</v>
      </c>
      <c r="N640" s="11" t="s">
        <v>73</v>
      </c>
      <c r="O640" s="10" t="str">
        <f t="shared" si="3"/>
        <v>01/2025</v>
      </c>
      <c r="P640" s="10" t="str">
        <f t="shared" si="29"/>
        <v>01/2025</v>
      </c>
      <c r="Q640" s="15" t="str">
        <f t="array" ref="Q640">IFERROR(XLOOKUP(N640,'Classificação'!A:A,'Classificação'!B:B),"")</f>
        <v>DESPESAS NÃO OPERACIONAIS</v>
      </c>
      <c r="R640" s="15" t="str">
        <f t="array" ref="R640">IFERROR(XLOOKUP(Q640,'Classificação'!B:B,'Classificação'!C:C),"")</f>
        <v>RESULTADO NÃO OPERACIONAL (+/-)</v>
      </c>
      <c r="S640" s="15">
        <f t="shared" si="5"/>
        <v>3</v>
      </c>
      <c r="T640" s="15">
        <f t="shared" si="6"/>
        <v>1</v>
      </c>
      <c r="U640" s="15">
        <f t="shared" si="7"/>
        <v>2025</v>
      </c>
      <c r="V640" s="15">
        <f t="shared" si="8"/>
        <v>3</v>
      </c>
      <c r="W640" s="15">
        <f t="shared" si="9"/>
        <v>1</v>
      </c>
      <c r="X640" s="15">
        <f t="shared" si="10"/>
        <v>2025</v>
      </c>
    </row>
    <row r="641">
      <c r="A641" s="26">
        <v>45663.0</v>
      </c>
      <c r="B641" s="30"/>
      <c r="C641" s="27">
        <f t="shared" si="22"/>
        <v>45663</v>
      </c>
      <c r="D641" s="28" t="s">
        <v>76</v>
      </c>
      <c r="E641" s="29" t="s">
        <v>25</v>
      </c>
      <c r="F641" s="28" t="s">
        <v>26</v>
      </c>
      <c r="G641" s="28" t="s">
        <v>27</v>
      </c>
      <c r="H641" s="28" t="s">
        <v>84</v>
      </c>
      <c r="I641" s="33">
        <v>1214.27</v>
      </c>
      <c r="J641" s="34"/>
      <c r="K641" s="13">
        <f t="shared" si="43"/>
        <v>1214.27</v>
      </c>
      <c r="L641" s="28" t="s">
        <v>53</v>
      </c>
      <c r="M641" s="29" t="s">
        <v>466</v>
      </c>
      <c r="N641" s="28" t="s">
        <v>85</v>
      </c>
      <c r="O641" s="10" t="str">
        <f t="shared" si="3"/>
        <v>01/2025</v>
      </c>
      <c r="P641" s="10" t="str">
        <f t="shared" si="29"/>
        <v>01/2025</v>
      </c>
      <c r="Q641" s="15" t="str">
        <f t="array" ref="Q641">IFERROR(XLOOKUP(N641,'Classificação'!A:A,'Classificação'!B:B),"")</f>
        <v>DESPESAS NÃO OPERACIONAIS</v>
      </c>
      <c r="R641" s="15" t="str">
        <f t="array" ref="R641">IFERROR(XLOOKUP(Q641,'Classificação'!B:B,'Classificação'!C:C),"")</f>
        <v>RESULTADO NÃO OPERACIONAL (+/-)</v>
      </c>
      <c r="S641" s="15">
        <f t="shared" si="5"/>
        <v>6</v>
      </c>
      <c r="T641" s="15">
        <f t="shared" si="6"/>
        <v>1</v>
      </c>
      <c r="U641" s="15">
        <f t="shared" si="7"/>
        <v>2025</v>
      </c>
      <c r="V641" s="15">
        <f t="shared" si="8"/>
        <v>6</v>
      </c>
      <c r="W641" s="15">
        <f t="shared" si="9"/>
        <v>1</v>
      </c>
      <c r="X641" s="15">
        <f t="shared" si="10"/>
        <v>2025</v>
      </c>
    </row>
    <row r="642">
      <c r="A642" s="26">
        <v>45663.0</v>
      </c>
      <c r="B642" s="30"/>
      <c r="C642" s="27">
        <f t="shared" si="22"/>
        <v>45663</v>
      </c>
      <c r="D642" s="28" t="s">
        <v>86</v>
      </c>
      <c r="E642" s="29" t="s">
        <v>25</v>
      </c>
      <c r="F642" s="29" t="s">
        <v>87</v>
      </c>
      <c r="G642" s="28" t="s">
        <v>27</v>
      </c>
      <c r="H642" s="29" t="s">
        <v>467</v>
      </c>
      <c r="I642" s="31">
        <v>1301.67</v>
      </c>
      <c r="J642" s="13"/>
      <c r="K642" s="13">
        <f t="shared" si="43"/>
        <v>1301.67</v>
      </c>
      <c r="L642" s="11" t="s">
        <v>53</v>
      </c>
      <c r="M642" s="17">
        <v>45353.0</v>
      </c>
      <c r="N642" s="11" t="s">
        <v>35</v>
      </c>
      <c r="O642" s="10" t="str">
        <f t="shared" si="3"/>
        <v>01/2025</v>
      </c>
      <c r="P642" s="10" t="str">
        <f t="shared" si="29"/>
        <v>01/2025</v>
      </c>
      <c r="Q642" s="15" t="str">
        <f t="array" ref="Q642">IFERROR(XLOOKUP(N642,'Classificação'!A:A,'Classificação'!B:B),"")</f>
        <v>COMPRA DE MERCADORIA</v>
      </c>
      <c r="R642" s="15" t="str">
        <f t="array" ref="R642">IFERROR(XLOOKUP(Q642,'Classificação'!B:B,'Classificação'!C:C),"")</f>
        <v>CUSTOS VARIÁVEIS</v>
      </c>
      <c r="S642" s="15">
        <f t="shared" si="5"/>
        <v>6</v>
      </c>
      <c r="T642" s="15">
        <f t="shared" si="6"/>
        <v>1</v>
      </c>
      <c r="U642" s="15">
        <f t="shared" si="7"/>
        <v>2025</v>
      </c>
      <c r="V642" s="15">
        <f t="shared" si="8"/>
        <v>6</v>
      </c>
      <c r="W642" s="15">
        <f t="shared" si="9"/>
        <v>1</v>
      </c>
      <c r="X642" s="15">
        <f t="shared" si="10"/>
        <v>2025</v>
      </c>
    </row>
    <row r="643">
      <c r="A643" s="9">
        <v>45664.0</v>
      </c>
      <c r="B643" s="10"/>
      <c r="C643" s="9">
        <f t="shared" si="22"/>
        <v>45664</v>
      </c>
      <c r="D643" s="11" t="s">
        <v>36</v>
      </c>
      <c r="E643" s="11" t="s">
        <v>25</v>
      </c>
      <c r="F643" s="11" t="s">
        <v>32</v>
      </c>
      <c r="G643" s="11" t="s">
        <v>27</v>
      </c>
      <c r="I643" s="31">
        <v>4891.51</v>
      </c>
      <c r="J643" s="13"/>
      <c r="K643" s="13">
        <f t="shared" si="43"/>
        <v>4891.51</v>
      </c>
      <c r="L643" s="11" t="s">
        <v>29</v>
      </c>
      <c r="M643" s="14"/>
      <c r="N643" s="11" t="s">
        <v>38</v>
      </c>
      <c r="O643" s="10" t="str">
        <f t="shared" si="3"/>
        <v>01/2025</v>
      </c>
      <c r="P643" s="10" t="str">
        <f t="shared" si="29"/>
        <v>01/2025</v>
      </c>
      <c r="Q643" s="15" t="str">
        <f t="array" ref="Q643">IFERROR(XLOOKUP(N643,'Classificação'!A:A,'Classificação'!B:B),"")</f>
        <v>DESPESAS COM PESSOAL</v>
      </c>
      <c r="R643" s="15" t="str">
        <f t="array" ref="R643">IFERROR(XLOOKUP(Q643,'Classificação'!B:B,'Classificação'!C:C),"")</f>
        <v>DESPESAS FIXAS (-)</v>
      </c>
      <c r="S643" s="15">
        <f t="shared" si="5"/>
        <v>7</v>
      </c>
      <c r="T643" s="15">
        <f t="shared" si="6"/>
        <v>1</v>
      </c>
      <c r="U643" s="15">
        <f t="shared" si="7"/>
        <v>2025</v>
      </c>
      <c r="V643" s="15">
        <f t="shared" si="8"/>
        <v>7</v>
      </c>
      <c r="W643" s="15">
        <f t="shared" si="9"/>
        <v>1</v>
      </c>
      <c r="X643" s="15">
        <f t="shared" si="10"/>
        <v>2025</v>
      </c>
    </row>
    <row r="644">
      <c r="A644" s="9">
        <v>45664.0</v>
      </c>
      <c r="B644" s="10"/>
      <c r="C644" s="9">
        <f t="shared" si="22"/>
        <v>45664</v>
      </c>
      <c r="D644" s="11" t="s">
        <v>43</v>
      </c>
      <c r="E644" s="11" t="s">
        <v>25</v>
      </c>
      <c r="F644" s="11" t="s">
        <v>32</v>
      </c>
      <c r="G644" s="11" t="s">
        <v>27</v>
      </c>
      <c r="I644" s="31">
        <v>4891.51</v>
      </c>
      <c r="J644" s="13"/>
      <c r="K644" s="13">
        <f t="shared" si="43"/>
        <v>4891.51</v>
      </c>
      <c r="L644" s="11" t="s">
        <v>29</v>
      </c>
      <c r="M644" s="14"/>
      <c r="N644" s="11" t="s">
        <v>38</v>
      </c>
      <c r="O644" s="10" t="str">
        <f t="shared" si="3"/>
        <v>01/2025</v>
      </c>
      <c r="P644" s="10" t="str">
        <f t="shared" si="29"/>
        <v>01/2025</v>
      </c>
      <c r="Q644" s="15" t="str">
        <f t="array" ref="Q644">IFERROR(XLOOKUP(N644,'Classificação'!A:A,'Classificação'!B:B),"")</f>
        <v>DESPESAS COM PESSOAL</v>
      </c>
      <c r="R644" s="15" t="str">
        <f t="array" ref="R644">IFERROR(XLOOKUP(Q644,'Classificação'!B:B,'Classificação'!C:C),"")</f>
        <v>DESPESAS FIXAS (-)</v>
      </c>
      <c r="S644" s="15">
        <f t="shared" si="5"/>
        <v>7</v>
      </c>
      <c r="T644" s="15">
        <f t="shared" si="6"/>
        <v>1</v>
      </c>
      <c r="U644" s="15">
        <f t="shared" si="7"/>
        <v>2025</v>
      </c>
      <c r="V644" s="15">
        <f t="shared" si="8"/>
        <v>7</v>
      </c>
      <c r="W644" s="15">
        <f t="shared" si="9"/>
        <v>1</v>
      </c>
      <c r="X644" s="15">
        <f t="shared" si="10"/>
        <v>2025</v>
      </c>
    </row>
    <row r="645">
      <c r="A645" s="9">
        <v>45664.0</v>
      </c>
      <c r="B645" s="10"/>
      <c r="C645" s="9">
        <f t="shared" si="22"/>
        <v>45664</v>
      </c>
      <c r="D645" s="11" t="s">
        <v>44</v>
      </c>
      <c r="E645" s="11" t="s">
        <v>25</v>
      </c>
      <c r="F645" s="11" t="s">
        <v>45</v>
      </c>
      <c r="G645" s="11" t="s">
        <v>27</v>
      </c>
      <c r="I645" s="31">
        <v>73.8</v>
      </c>
      <c r="J645" s="13"/>
      <c r="K645" s="13">
        <f t="shared" ref="K645:K649" si="44">IF(E645="pago",(I645-J645),"")</f>
        <v>73.8</v>
      </c>
      <c r="L645" s="11" t="s">
        <v>29</v>
      </c>
      <c r="M645" s="14"/>
      <c r="N645" s="11" t="s">
        <v>47</v>
      </c>
      <c r="O645" s="10" t="str">
        <f t="shared" si="3"/>
        <v>01/2025</v>
      </c>
      <c r="P645" s="10" t="str">
        <f t="shared" si="29"/>
        <v>01/2025</v>
      </c>
      <c r="Q645" s="15" t="str">
        <f t="array" ref="Q645">IFERROR(XLOOKUP(N645,'Classificação'!A:A,'Classificação'!B:B),"")</f>
        <v>DESPESAS NÃO OPERACIONAIS</v>
      </c>
      <c r="R645" s="15" t="str">
        <f t="array" ref="R645">IFERROR(XLOOKUP(Q645,'Classificação'!B:B,'Classificação'!C:C),"")</f>
        <v>RESULTADO NÃO OPERACIONAL (+/-)</v>
      </c>
      <c r="S645" s="15">
        <f t="shared" si="5"/>
        <v>7</v>
      </c>
      <c r="T645" s="15">
        <f t="shared" si="6"/>
        <v>1</v>
      </c>
      <c r="U645" s="15">
        <f t="shared" si="7"/>
        <v>2025</v>
      </c>
      <c r="V645" s="15">
        <f t="shared" si="8"/>
        <v>7</v>
      </c>
      <c r="W645" s="15">
        <f t="shared" si="9"/>
        <v>1</v>
      </c>
      <c r="X645" s="15">
        <f t="shared" si="10"/>
        <v>2025</v>
      </c>
    </row>
    <row r="646">
      <c r="A646" s="9">
        <v>45664.0</v>
      </c>
      <c r="B646" s="10"/>
      <c r="C646" s="9">
        <f t="shared" si="22"/>
        <v>45664</v>
      </c>
      <c r="D646" s="11" t="s">
        <v>31</v>
      </c>
      <c r="E646" s="11" t="s">
        <v>25</v>
      </c>
      <c r="F646" s="11" t="s">
        <v>32</v>
      </c>
      <c r="G646" s="11" t="s">
        <v>27</v>
      </c>
      <c r="H646" s="11" t="s">
        <v>468</v>
      </c>
      <c r="I646" s="31">
        <v>71772.06</v>
      </c>
      <c r="J646" s="13"/>
      <c r="K646" s="13">
        <f t="shared" si="44"/>
        <v>71772.06</v>
      </c>
      <c r="L646" s="11" t="s">
        <v>34</v>
      </c>
      <c r="M646" s="14"/>
      <c r="N646" s="11" t="s">
        <v>35</v>
      </c>
      <c r="O646" s="10" t="str">
        <f t="shared" si="3"/>
        <v>01/2025</v>
      </c>
      <c r="P646" s="10" t="str">
        <f t="shared" si="29"/>
        <v>01/2025</v>
      </c>
      <c r="Q646" s="15" t="str">
        <f t="array" ref="Q646">IFERROR(XLOOKUP(N646,'Classificação'!A:A,'Classificação'!B:B),"")</f>
        <v>COMPRA DE MERCADORIA</v>
      </c>
      <c r="R646" s="15" t="str">
        <f t="array" ref="R646">IFERROR(XLOOKUP(Q646,'Classificação'!B:B,'Classificação'!C:C),"")</f>
        <v>CUSTOS VARIÁVEIS</v>
      </c>
      <c r="S646" s="15">
        <f t="shared" si="5"/>
        <v>7</v>
      </c>
      <c r="T646" s="15">
        <f t="shared" si="6"/>
        <v>1</v>
      </c>
      <c r="U646" s="15">
        <f t="shared" si="7"/>
        <v>2025</v>
      </c>
      <c r="V646" s="15">
        <f t="shared" si="8"/>
        <v>7</v>
      </c>
      <c r="W646" s="15">
        <f t="shared" si="9"/>
        <v>1</v>
      </c>
      <c r="X646" s="15">
        <f t="shared" si="10"/>
        <v>2025</v>
      </c>
    </row>
    <row r="647">
      <c r="A647" s="9">
        <v>45665.0</v>
      </c>
      <c r="B647" s="10"/>
      <c r="C647" s="9">
        <f t="shared" si="22"/>
        <v>45665</v>
      </c>
      <c r="D647" s="11" t="s">
        <v>44</v>
      </c>
      <c r="E647" s="11" t="s">
        <v>25</v>
      </c>
      <c r="F647" s="11" t="s">
        <v>45</v>
      </c>
      <c r="G647" s="11" t="s">
        <v>27</v>
      </c>
      <c r="H647" s="11" t="s">
        <v>469</v>
      </c>
      <c r="I647" s="31">
        <v>12.56</v>
      </c>
      <c r="J647" s="13"/>
      <c r="K647" s="13">
        <f t="shared" si="44"/>
        <v>12.56</v>
      </c>
      <c r="L647" s="11" t="s">
        <v>34</v>
      </c>
      <c r="M647" s="14"/>
      <c r="N647" s="11" t="s">
        <v>47</v>
      </c>
      <c r="O647" s="10" t="str">
        <f t="shared" si="3"/>
        <v>01/2025</v>
      </c>
      <c r="P647" s="10" t="str">
        <f t="shared" si="29"/>
        <v>01/2025</v>
      </c>
      <c r="Q647" s="15" t="str">
        <f t="array" ref="Q647">IFERROR(XLOOKUP(N647,'Classificação'!A:A,'Classificação'!B:B),"")</f>
        <v>DESPESAS NÃO OPERACIONAIS</v>
      </c>
      <c r="R647" s="15" t="str">
        <f t="array" ref="R647">IFERROR(XLOOKUP(Q647,'Classificação'!B:B,'Classificação'!C:C),"")</f>
        <v>RESULTADO NÃO OPERACIONAL (+/-)</v>
      </c>
      <c r="S647" s="15">
        <f t="shared" si="5"/>
        <v>8</v>
      </c>
      <c r="T647" s="15">
        <f t="shared" si="6"/>
        <v>1</v>
      </c>
      <c r="U647" s="15">
        <f t="shared" si="7"/>
        <v>2025</v>
      </c>
      <c r="V647" s="15">
        <f t="shared" si="8"/>
        <v>8</v>
      </c>
      <c r="W647" s="15">
        <f t="shared" si="9"/>
        <v>1</v>
      </c>
      <c r="X647" s="15">
        <f t="shared" si="10"/>
        <v>2025</v>
      </c>
    </row>
    <row r="648">
      <c r="A648" s="9">
        <v>45667.0</v>
      </c>
      <c r="B648" s="10"/>
      <c r="C648" s="9">
        <f t="shared" si="22"/>
        <v>45667</v>
      </c>
      <c r="D648" s="11" t="s">
        <v>48</v>
      </c>
      <c r="E648" s="11" t="s">
        <v>25</v>
      </c>
      <c r="F648" s="11" t="s">
        <v>40</v>
      </c>
      <c r="G648" s="11" t="s">
        <v>27</v>
      </c>
      <c r="I648" s="31">
        <v>1275.18</v>
      </c>
      <c r="J648" s="13"/>
      <c r="K648" s="13">
        <f t="shared" si="44"/>
        <v>1275.18</v>
      </c>
      <c r="L648" s="11" t="s">
        <v>29</v>
      </c>
      <c r="M648" s="14"/>
      <c r="N648" s="11" t="s">
        <v>49</v>
      </c>
      <c r="O648" s="10" t="str">
        <f t="shared" si="3"/>
        <v>01/2025</v>
      </c>
      <c r="P648" s="10" t="str">
        <f t="shared" si="29"/>
        <v>01/2025</v>
      </c>
      <c r="Q648" s="15" t="str">
        <f t="array" ref="Q648">IFERROR(XLOOKUP(N648,'Classificação'!A:A,'Classificação'!B:B),"")</f>
        <v>DESPESAS COM PESSOAL</v>
      </c>
      <c r="R648" s="15" t="str">
        <f t="array" ref="R648">IFERROR(XLOOKUP(Q648,'Classificação'!B:B,'Classificação'!C:C),"")</f>
        <v>DESPESAS FIXAS (-)</v>
      </c>
      <c r="S648" s="15">
        <f t="shared" si="5"/>
        <v>10</v>
      </c>
      <c r="T648" s="15">
        <f t="shared" si="6"/>
        <v>1</v>
      </c>
      <c r="U648" s="15">
        <f t="shared" si="7"/>
        <v>2025</v>
      </c>
      <c r="V648" s="15">
        <f t="shared" si="8"/>
        <v>10</v>
      </c>
      <c r="W648" s="15">
        <f t="shared" si="9"/>
        <v>1</v>
      </c>
      <c r="X648" s="15">
        <f t="shared" si="10"/>
        <v>2025</v>
      </c>
    </row>
    <row r="649">
      <c r="A649" s="9">
        <v>45667.0</v>
      </c>
      <c r="B649" s="10"/>
      <c r="C649" s="9">
        <f t="shared" si="22"/>
        <v>45667</v>
      </c>
      <c r="D649" s="11" t="s">
        <v>50</v>
      </c>
      <c r="E649" s="11" t="s">
        <v>25</v>
      </c>
      <c r="F649" s="11" t="s">
        <v>40</v>
      </c>
      <c r="G649" s="11" t="s">
        <v>27</v>
      </c>
      <c r="H649" s="11" t="s">
        <v>51</v>
      </c>
      <c r="I649" s="31">
        <v>139.99</v>
      </c>
      <c r="J649" s="13"/>
      <c r="K649" s="13">
        <f t="shared" si="44"/>
        <v>139.99</v>
      </c>
      <c r="L649" s="11" t="s">
        <v>29</v>
      </c>
      <c r="M649" s="14"/>
      <c r="N649" s="11" t="s">
        <v>51</v>
      </c>
      <c r="O649" s="10" t="str">
        <f t="shared" si="3"/>
        <v>01/2025</v>
      </c>
      <c r="P649" s="10" t="str">
        <f t="shared" si="29"/>
        <v>01/2025</v>
      </c>
      <c r="Q649" s="15" t="str">
        <f t="array" ref="Q649">IFERROR(XLOOKUP(N649,'Classificação'!A:A,'Classificação'!B:B),"")</f>
        <v>DESPESAS COM OCUPAÇÃO</v>
      </c>
      <c r="R649" s="15" t="str">
        <f t="array" ref="R649">IFERROR(XLOOKUP(Q649,'Classificação'!B:B,'Classificação'!C:C),"")</f>
        <v>DESPESAS FIXAS (-)</v>
      </c>
      <c r="S649" s="15">
        <f t="shared" si="5"/>
        <v>10</v>
      </c>
      <c r="T649" s="15">
        <f t="shared" si="6"/>
        <v>1</v>
      </c>
      <c r="U649" s="15">
        <f t="shared" si="7"/>
        <v>2025</v>
      </c>
      <c r="V649" s="15">
        <f t="shared" si="8"/>
        <v>10</v>
      </c>
      <c r="W649" s="15">
        <f t="shared" si="9"/>
        <v>1</v>
      </c>
      <c r="X649" s="15">
        <f t="shared" si="10"/>
        <v>2025</v>
      </c>
    </row>
    <row r="650">
      <c r="A650" s="9">
        <v>45667.0</v>
      </c>
      <c r="B650" s="10"/>
      <c r="C650" s="9">
        <f t="shared" si="22"/>
        <v>45667</v>
      </c>
      <c r="D650" s="11" t="s">
        <v>59</v>
      </c>
      <c r="E650" s="11" t="s">
        <v>25</v>
      </c>
      <c r="F650" s="11" t="s">
        <v>40</v>
      </c>
      <c r="G650" s="11" t="s">
        <v>37</v>
      </c>
      <c r="H650" s="11" t="s">
        <v>60</v>
      </c>
      <c r="I650" s="31">
        <v>397.0</v>
      </c>
      <c r="J650" s="13"/>
      <c r="K650" s="13">
        <f t="shared" ref="K650:K659" si="45">if(E650="pago",(I650-J650),"")</f>
        <v>397</v>
      </c>
      <c r="L650" s="11" t="s">
        <v>29</v>
      </c>
      <c r="M650" s="14"/>
      <c r="N650" s="11" t="s">
        <v>61</v>
      </c>
      <c r="O650" s="10" t="str">
        <f t="shared" si="3"/>
        <v>01/2025</v>
      </c>
      <c r="P650" s="10" t="str">
        <f t="shared" si="29"/>
        <v>01/2025</v>
      </c>
      <c r="Q650" s="15" t="str">
        <f t="array" ref="Q650">IFERROR(XLOOKUP(N650,'Classificação'!A:A,'Classificação'!B:B),"")</f>
        <v>DESPESAS ADMINISTRATIVAS</v>
      </c>
      <c r="R650" s="15" t="str">
        <f t="array" ref="R650">IFERROR(XLOOKUP(Q650,'Classificação'!B:B,'Classificação'!C:C),"")</f>
        <v>DESPESAS FIXAS (-)</v>
      </c>
      <c r="S650" s="15">
        <f t="shared" si="5"/>
        <v>10</v>
      </c>
      <c r="T650" s="15">
        <f t="shared" si="6"/>
        <v>1</v>
      </c>
      <c r="U650" s="15">
        <f t="shared" si="7"/>
        <v>2025</v>
      </c>
      <c r="V650" s="15">
        <f t="shared" si="8"/>
        <v>10</v>
      </c>
      <c r="W650" s="15">
        <f t="shared" si="9"/>
        <v>1</v>
      </c>
      <c r="X650" s="15">
        <f t="shared" si="10"/>
        <v>2025</v>
      </c>
    </row>
    <row r="651">
      <c r="A651" s="9">
        <v>45667.0</v>
      </c>
      <c r="B651" s="10"/>
      <c r="C651" s="9">
        <f t="shared" si="22"/>
        <v>45667</v>
      </c>
      <c r="D651" s="11" t="s">
        <v>104</v>
      </c>
      <c r="E651" s="11" t="s">
        <v>25</v>
      </c>
      <c r="F651" s="11" t="s">
        <v>40</v>
      </c>
      <c r="G651" s="11" t="s">
        <v>37</v>
      </c>
      <c r="H651" s="11" t="s">
        <v>413</v>
      </c>
      <c r="I651" s="31">
        <v>27.5</v>
      </c>
      <c r="J651" s="13"/>
      <c r="K651" s="13">
        <f t="shared" si="45"/>
        <v>27.5</v>
      </c>
      <c r="L651" s="11" t="s">
        <v>29</v>
      </c>
      <c r="M651" s="14"/>
      <c r="N651" s="11" t="s">
        <v>105</v>
      </c>
      <c r="O651" s="10" t="str">
        <f t="shared" si="3"/>
        <v>01/2025</v>
      </c>
      <c r="P651" s="10" t="str">
        <f t="shared" si="29"/>
        <v>01/2025</v>
      </c>
      <c r="Q651" s="15" t="str">
        <f t="array" ref="Q651">IFERROR(XLOOKUP(N651,'Classificação'!A:A,'Classificação'!B:B),"")</f>
        <v>DESPESAS ADMINISTRATIVAS</v>
      </c>
      <c r="R651" s="15" t="str">
        <f t="array" ref="R651">IFERROR(XLOOKUP(Q651,'Classificação'!B:B,'Classificação'!C:C),"")</f>
        <v>DESPESAS FIXAS (-)</v>
      </c>
      <c r="S651" s="15">
        <f t="shared" si="5"/>
        <v>10</v>
      </c>
      <c r="T651" s="15">
        <f t="shared" si="6"/>
        <v>1</v>
      </c>
      <c r="U651" s="15">
        <f t="shared" si="7"/>
        <v>2025</v>
      </c>
      <c r="V651" s="15">
        <f t="shared" si="8"/>
        <v>10</v>
      </c>
      <c r="W651" s="15">
        <f t="shared" si="9"/>
        <v>1</v>
      </c>
      <c r="X651" s="15">
        <f t="shared" si="10"/>
        <v>2025</v>
      </c>
    </row>
    <row r="652">
      <c r="A652" s="9">
        <v>45667.0</v>
      </c>
      <c r="B652" s="9">
        <v>45630.0</v>
      </c>
      <c r="C652" s="9">
        <f t="shared" si="22"/>
        <v>45667</v>
      </c>
      <c r="D652" s="11" t="s">
        <v>43</v>
      </c>
      <c r="E652" s="11" t="s">
        <v>25</v>
      </c>
      <c r="F652" s="11" t="s">
        <v>26</v>
      </c>
      <c r="G652" s="11" t="s">
        <v>27</v>
      </c>
      <c r="H652" s="11" t="s">
        <v>470</v>
      </c>
      <c r="I652" s="31">
        <v>46.67</v>
      </c>
      <c r="J652" s="13"/>
      <c r="K652" s="13">
        <f t="shared" si="45"/>
        <v>46.67</v>
      </c>
      <c r="L652" s="11" t="s">
        <v>53</v>
      </c>
      <c r="M652" s="17">
        <v>45352.0</v>
      </c>
      <c r="N652" s="11" t="s">
        <v>64</v>
      </c>
      <c r="O652" s="10" t="str">
        <f t="shared" si="3"/>
        <v>01/2025</v>
      </c>
      <c r="P652" s="10" t="str">
        <f t="shared" si="29"/>
        <v>01/2025</v>
      </c>
      <c r="Q652" s="15" t="str">
        <f t="array" ref="Q652">IFERROR(XLOOKUP(N652,'Classificação'!A:A,'Classificação'!B:B),"")</f>
        <v>DESPESAS COM PESSOAL</v>
      </c>
      <c r="R652" s="15" t="str">
        <f t="array" ref="R652">IFERROR(XLOOKUP(Q652,'Classificação'!B:B,'Classificação'!C:C),"")</f>
        <v>DESPESAS FIXAS (-)</v>
      </c>
      <c r="S652" s="15">
        <f t="shared" si="5"/>
        <v>10</v>
      </c>
      <c r="T652" s="15">
        <f t="shared" si="6"/>
        <v>1</v>
      </c>
      <c r="U652" s="15">
        <f t="shared" si="7"/>
        <v>2025</v>
      </c>
      <c r="V652" s="15">
        <f t="shared" si="8"/>
        <v>10</v>
      </c>
      <c r="W652" s="15">
        <f t="shared" si="9"/>
        <v>1</v>
      </c>
      <c r="X652" s="15">
        <f t="shared" si="10"/>
        <v>2025</v>
      </c>
    </row>
    <row r="653">
      <c r="A653" s="26">
        <v>45667.0</v>
      </c>
      <c r="B653" s="10"/>
      <c r="C653" s="9">
        <f t="shared" si="22"/>
        <v>45667</v>
      </c>
      <c r="D653" s="11" t="s">
        <v>43</v>
      </c>
      <c r="E653" s="11" t="s">
        <v>25</v>
      </c>
      <c r="F653" s="29" t="s">
        <v>26</v>
      </c>
      <c r="G653" s="28" t="s">
        <v>27</v>
      </c>
      <c r="H653" s="11" t="s">
        <v>460</v>
      </c>
      <c r="I653" s="31">
        <v>69.3</v>
      </c>
      <c r="J653" s="13"/>
      <c r="K653" s="13">
        <f t="shared" si="45"/>
        <v>69.3</v>
      </c>
      <c r="L653" s="28" t="s">
        <v>53</v>
      </c>
      <c r="M653" s="17">
        <v>45629.0</v>
      </c>
      <c r="N653" s="11" t="s">
        <v>105</v>
      </c>
      <c r="O653" s="10" t="str">
        <f t="shared" si="3"/>
        <v>01/2025</v>
      </c>
      <c r="P653" s="10" t="str">
        <f t="shared" si="29"/>
        <v>01/2025</v>
      </c>
      <c r="Q653" s="15" t="str">
        <f t="array" ref="Q653">IFERROR(XLOOKUP(N653,'Classificação'!A:A,'Classificação'!B:B),"")</f>
        <v>DESPESAS ADMINISTRATIVAS</v>
      </c>
      <c r="R653" s="15" t="str">
        <f t="array" ref="R653">IFERROR(XLOOKUP(Q653,'Classificação'!B:B,'Classificação'!C:C),"")</f>
        <v>DESPESAS FIXAS (-)</v>
      </c>
      <c r="S653" s="15">
        <f t="shared" si="5"/>
        <v>10</v>
      </c>
      <c r="T653" s="15">
        <f t="shared" si="6"/>
        <v>1</v>
      </c>
      <c r="U653" s="15">
        <f t="shared" si="7"/>
        <v>2025</v>
      </c>
      <c r="V653" s="15">
        <f t="shared" si="8"/>
        <v>10</v>
      </c>
      <c r="W653" s="15">
        <f t="shared" si="9"/>
        <v>1</v>
      </c>
      <c r="X653" s="15">
        <f t="shared" si="10"/>
        <v>2025</v>
      </c>
    </row>
    <row r="654">
      <c r="A654" s="9">
        <v>45667.0</v>
      </c>
      <c r="B654" s="10"/>
      <c r="C654" s="9">
        <f t="shared" si="22"/>
        <v>45667</v>
      </c>
      <c r="D654" s="11" t="s">
        <v>44</v>
      </c>
      <c r="E654" s="11" t="s">
        <v>25</v>
      </c>
      <c r="F654" s="11" t="s">
        <v>45</v>
      </c>
      <c r="G654" s="11" t="s">
        <v>27</v>
      </c>
      <c r="H654" s="11" t="s">
        <v>52</v>
      </c>
      <c r="I654" s="31">
        <v>480.32</v>
      </c>
      <c r="J654" s="13"/>
      <c r="K654" s="13">
        <f t="shared" si="45"/>
        <v>480.32</v>
      </c>
      <c r="L654" s="11" t="s">
        <v>53</v>
      </c>
      <c r="M654" s="16" t="s">
        <v>471</v>
      </c>
      <c r="N654" s="11" t="s">
        <v>55</v>
      </c>
      <c r="O654" s="10" t="str">
        <f t="shared" si="3"/>
        <v>01/2025</v>
      </c>
      <c r="P654" s="10" t="str">
        <f t="shared" si="29"/>
        <v>01/2025</v>
      </c>
      <c r="Q654" s="15" t="str">
        <f t="array" ref="Q654">IFERROR(XLOOKUP(N654,'Classificação'!A:A,'Classificação'!B:B),"")</f>
        <v>DESPESAS NÃO OPERACIONAIS</v>
      </c>
      <c r="R654" s="15" t="str">
        <f t="array" ref="R654">IFERROR(XLOOKUP(Q654,'Classificação'!B:B,'Classificação'!C:C),"")</f>
        <v>RESULTADO NÃO OPERACIONAL (+/-)</v>
      </c>
      <c r="S654" s="15">
        <f t="shared" si="5"/>
        <v>10</v>
      </c>
      <c r="T654" s="15">
        <f t="shared" si="6"/>
        <v>1</v>
      </c>
      <c r="U654" s="15">
        <f t="shared" si="7"/>
        <v>2025</v>
      </c>
      <c r="V654" s="15">
        <f t="shared" si="8"/>
        <v>10</v>
      </c>
      <c r="W654" s="15">
        <f t="shared" si="9"/>
        <v>1</v>
      </c>
      <c r="X654" s="15">
        <f t="shared" si="10"/>
        <v>2025</v>
      </c>
    </row>
    <row r="655">
      <c r="A655" s="9">
        <v>45667.0</v>
      </c>
      <c r="B655" s="10"/>
      <c r="C655" s="9">
        <f t="shared" si="22"/>
        <v>45667</v>
      </c>
      <c r="D655" s="11" t="s">
        <v>56</v>
      </c>
      <c r="E655" s="11" t="s">
        <v>25</v>
      </c>
      <c r="F655" s="11" t="s">
        <v>26</v>
      </c>
      <c r="G655" s="11" t="s">
        <v>37</v>
      </c>
      <c r="H655" s="11" t="s">
        <v>57</v>
      </c>
      <c r="I655" s="31">
        <v>50.0</v>
      </c>
      <c r="J655" s="13"/>
      <c r="K655" s="13">
        <f t="shared" si="45"/>
        <v>50</v>
      </c>
      <c r="L655" s="11" t="s">
        <v>29</v>
      </c>
      <c r="M655" s="14"/>
      <c r="N655" s="11" t="s">
        <v>58</v>
      </c>
      <c r="O655" s="10" t="str">
        <f t="shared" si="3"/>
        <v>01/2025</v>
      </c>
      <c r="P655" s="10" t="str">
        <f t="shared" si="29"/>
        <v>01/2025</v>
      </c>
      <c r="Q655" s="15" t="str">
        <f t="array" ref="Q655">IFERROR(XLOOKUP(N655,'Classificação'!A:A,'Classificação'!B:B),"")</f>
        <v>DESPESAS ADMINISTRATIVAS</v>
      </c>
      <c r="R655" s="15" t="str">
        <f t="array" ref="R655">IFERROR(XLOOKUP(Q655,'Classificação'!B:B,'Classificação'!C:C),"")</f>
        <v>DESPESAS FIXAS (-)</v>
      </c>
      <c r="S655" s="15">
        <f t="shared" si="5"/>
        <v>10</v>
      </c>
      <c r="T655" s="15">
        <f t="shared" si="6"/>
        <v>1</v>
      </c>
      <c r="U655" s="15">
        <f t="shared" si="7"/>
        <v>2025</v>
      </c>
      <c r="V655" s="15">
        <f t="shared" si="8"/>
        <v>10</v>
      </c>
      <c r="W655" s="15">
        <f t="shared" si="9"/>
        <v>1</v>
      </c>
      <c r="X655" s="15">
        <f t="shared" si="10"/>
        <v>2025</v>
      </c>
    </row>
    <row r="656">
      <c r="A656" s="9">
        <v>45667.0</v>
      </c>
      <c r="B656" s="10"/>
      <c r="C656" s="9">
        <f t="shared" si="22"/>
        <v>45667</v>
      </c>
      <c r="D656" s="11" t="s">
        <v>171</v>
      </c>
      <c r="E656" s="11" t="s">
        <v>25</v>
      </c>
      <c r="F656" s="11" t="s">
        <v>40</v>
      </c>
      <c r="G656" s="11" t="s">
        <v>27</v>
      </c>
      <c r="H656" s="11" t="s">
        <v>472</v>
      </c>
      <c r="I656" s="31">
        <v>107.64</v>
      </c>
      <c r="J656" s="13"/>
      <c r="K656" s="13">
        <f t="shared" si="45"/>
        <v>107.64</v>
      </c>
      <c r="L656" s="11" t="s">
        <v>29</v>
      </c>
      <c r="M656" s="14"/>
      <c r="N656" s="11" t="s">
        <v>172</v>
      </c>
      <c r="O656" s="10" t="str">
        <f t="shared" si="3"/>
        <v>01/2025</v>
      </c>
      <c r="P656" s="10" t="str">
        <f t="shared" si="29"/>
        <v>01/2025</v>
      </c>
      <c r="Q656" s="15" t="str">
        <f t="array" ref="Q656">IFERROR(XLOOKUP(N656,'Classificação'!A:A,'Classificação'!B:B),"")</f>
        <v>DESPESAS COM OCUPAÇÃO</v>
      </c>
      <c r="R656" s="15" t="str">
        <f t="array" ref="R656">IFERROR(XLOOKUP(Q656,'Classificação'!B:B,'Classificação'!C:C),"")</f>
        <v>DESPESAS FIXAS (-)</v>
      </c>
      <c r="S656" s="15">
        <f t="shared" si="5"/>
        <v>10</v>
      </c>
      <c r="T656" s="15">
        <f t="shared" si="6"/>
        <v>1</v>
      </c>
      <c r="U656" s="15">
        <f t="shared" si="7"/>
        <v>2025</v>
      </c>
      <c r="V656" s="15">
        <f t="shared" si="8"/>
        <v>10</v>
      </c>
      <c r="W656" s="15">
        <f t="shared" si="9"/>
        <v>1</v>
      </c>
      <c r="X656" s="15">
        <f t="shared" si="10"/>
        <v>2025</v>
      </c>
    </row>
    <row r="657">
      <c r="A657" s="9">
        <v>45670.0</v>
      </c>
      <c r="B657" s="10"/>
      <c r="C657" s="9">
        <f t="shared" si="22"/>
        <v>45670</v>
      </c>
      <c r="D657" s="11" t="s">
        <v>65</v>
      </c>
      <c r="E657" s="11" t="s">
        <v>25</v>
      </c>
      <c r="F657" s="11" t="s">
        <v>45</v>
      </c>
      <c r="G657" s="11" t="s">
        <v>66</v>
      </c>
      <c r="H657" s="11" t="s">
        <v>67</v>
      </c>
      <c r="I657" s="31">
        <v>583.22</v>
      </c>
      <c r="J657" s="13"/>
      <c r="K657" s="13">
        <f t="shared" si="45"/>
        <v>583.22</v>
      </c>
      <c r="L657" s="11" t="s">
        <v>29</v>
      </c>
      <c r="M657" s="14"/>
      <c r="N657" s="11" t="s">
        <v>68</v>
      </c>
      <c r="O657" s="10" t="str">
        <f t="shared" si="3"/>
        <v>01/2025</v>
      </c>
      <c r="P657" s="10" t="str">
        <f t="shared" si="29"/>
        <v>01/2025</v>
      </c>
      <c r="Q657" s="15" t="str">
        <f t="array" ref="Q657">IFERROR(XLOOKUP(N657,'Classificação'!A:A,'Classificação'!B:B),"")</f>
        <v>FRETE DE VENDAS</v>
      </c>
      <c r="R657" s="15" t="str">
        <f t="array" ref="R657">IFERROR(XLOOKUP(Q657,'Classificação'!B:B,'Classificação'!C:C),"")</f>
        <v>CUSTOS VARIÁVEIS</v>
      </c>
      <c r="S657" s="15">
        <f t="shared" si="5"/>
        <v>13</v>
      </c>
      <c r="T657" s="15">
        <f t="shared" si="6"/>
        <v>1</v>
      </c>
      <c r="U657" s="15">
        <f t="shared" si="7"/>
        <v>2025</v>
      </c>
      <c r="V657" s="15">
        <f t="shared" si="8"/>
        <v>13</v>
      </c>
      <c r="W657" s="15">
        <f t="shared" si="9"/>
        <v>1</v>
      </c>
      <c r="X657" s="15">
        <f t="shared" si="10"/>
        <v>2025</v>
      </c>
    </row>
    <row r="658">
      <c r="A658" s="9">
        <v>45670.0</v>
      </c>
      <c r="B658" s="10"/>
      <c r="C658" s="9">
        <f t="shared" si="22"/>
        <v>45670</v>
      </c>
      <c r="D658" s="11" t="s">
        <v>473</v>
      </c>
      <c r="E658" s="11" t="s">
        <v>25</v>
      </c>
      <c r="F658" s="11" t="s">
        <v>45</v>
      </c>
      <c r="G658" s="11" t="s">
        <v>27</v>
      </c>
      <c r="H658" s="11" t="s">
        <v>474</v>
      </c>
      <c r="I658" s="31">
        <v>525.08</v>
      </c>
      <c r="J658" s="13"/>
      <c r="K658" s="13">
        <f t="shared" si="45"/>
        <v>525.08</v>
      </c>
      <c r="L658" s="11" t="s">
        <v>53</v>
      </c>
      <c r="M658" s="17">
        <v>45778.0</v>
      </c>
      <c r="N658" s="11" t="s">
        <v>233</v>
      </c>
      <c r="O658" s="10" t="str">
        <f t="shared" si="3"/>
        <v>01/2025</v>
      </c>
      <c r="P658" s="10" t="str">
        <f t="shared" si="29"/>
        <v>01/2025</v>
      </c>
      <c r="Q658" s="15" t="str">
        <f t="array" ref="Q658">IFERROR(XLOOKUP(N658,'Classificação'!A:A,'Classificação'!B:B),"")</f>
        <v>DESPESAS COM VEICULOS</v>
      </c>
      <c r="R658" s="15" t="str">
        <f t="array" ref="R658">IFERROR(XLOOKUP(Q658,'Classificação'!B:B,'Classificação'!C:C),"")</f>
        <v>DESPESAS FIXAS (-)</v>
      </c>
      <c r="S658" s="15">
        <f t="shared" si="5"/>
        <v>13</v>
      </c>
      <c r="T658" s="15">
        <f t="shared" si="6"/>
        <v>1</v>
      </c>
      <c r="U658" s="15">
        <f t="shared" si="7"/>
        <v>2025</v>
      </c>
      <c r="V658" s="15">
        <f t="shared" si="8"/>
        <v>13</v>
      </c>
      <c r="W658" s="15">
        <f t="shared" si="9"/>
        <v>1</v>
      </c>
      <c r="X658" s="15">
        <f t="shared" si="10"/>
        <v>2025</v>
      </c>
    </row>
    <row r="659">
      <c r="A659" s="9">
        <v>45670.0</v>
      </c>
      <c r="B659" s="10"/>
      <c r="C659" s="9">
        <f t="shared" si="22"/>
        <v>45670</v>
      </c>
      <c r="D659" s="11" t="s">
        <v>79</v>
      </c>
      <c r="E659" s="11" t="s">
        <v>25</v>
      </c>
      <c r="F659" s="11" t="s">
        <v>26</v>
      </c>
      <c r="G659" s="11" t="s">
        <v>37</v>
      </c>
      <c r="H659" s="11" t="s">
        <v>475</v>
      </c>
      <c r="I659" s="31">
        <v>500.0</v>
      </c>
      <c r="J659" s="13"/>
      <c r="K659" s="13">
        <f t="shared" si="45"/>
        <v>500</v>
      </c>
      <c r="L659" s="11" t="s">
        <v>29</v>
      </c>
      <c r="M659" s="14"/>
      <c r="N659" s="11" t="s">
        <v>38</v>
      </c>
      <c r="O659" s="10" t="str">
        <f t="shared" si="3"/>
        <v>01/2025</v>
      </c>
      <c r="P659" s="10" t="str">
        <f t="shared" si="29"/>
        <v>01/2025</v>
      </c>
      <c r="Q659" s="15" t="str">
        <f t="array" ref="Q659">IFERROR(XLOOKUP(N659,'Classificação'!A:A,'Classificação'!B:B),"")</f>
        <v>DESPESAS COM PESSOAL</v>
      </c>
      <c r="R659" s="15" t="str">
        <f t="array" ref="R659">IFERROR(XLOOKUP(Q659,'Classificação'!B:B,'Classificação'!C:C),"")</f>
        <v>DESPESAS FIXAS (-)</v>
      </c>
      <c r="S659" s="15">
        <f t="shared" si="5"/>
        <v>13</v>
      </c>
      <c r="T659" s="15">
        <f t="shared" si="6"/>
        <v>1</v>
      </c>
      <c r="U659" s="15">
        <f t="shared" si="7"/>
        <v>2025</v>
      </c>
      <c r="V659" s="15">
        <f t="shared" si="8"/>
        <v>13</v>
      </c>
      <c r="W659" s="15">
        <f t="shared" si="9"/>
        <v>1</v>
      </c>
      <c r="X659" s="15">
        <f t="shared" si="10"/>
        <v>2025</v>
      </c>
    </row>
    <row r="660">
      <c r="A660" s="26">
        <v>45670.0</v>
      </c>
      <c r="B660" s="30"/>
      <c r="C660" s="27">
        <f t="shared" si="22"/>
        <v>45670</v>
      </c>
      <c r="D660" s="28" t="s">
        <v>36</v>
      </c>
      <c r="E660" s="29" t="s">
        <v>25</v>
      </c>
      <c r="F660" s="28" t="s">
        <v>32</v>
      </c>
      <c r="G660" s="28" t="s">
        <v>37</v>
      </c>
      <c r="H660" s="28"/>
      <c r="I660" s="33">
        <v>1100.0</v>
      </c>
      <c r="J660" s="34"/>
      <c r="K660" s="37">
        <f t="shared" ref="K660:K661" si="46">IF(E660="pago",(I660-J660),"")</f>
        <v>1100</v>
      </c>
      <c r="L660" s="28" t="s">
        <v>29</v>
      </c>
      <c r="M660" s="28"/>
      <c r="N660" s="28" t="s">
        <v>38</v>
      </c>
      <c r="O660" s="10" t="str">
        <f t="shared" si="3"/>
        <v>01/2025</v>
      </c>
      <c r="P660" s="10" t="str">
        <f t="shared" si="29"/>
        <v>01/2025</v>
      </c>
      <c r="Q660" s="15" t="str">
        <f t="array" ref="Q660">IFERROR(XLOOKUP(N660,'Classificação'!A:A,'Classificação'!B:B),"")</f>
        <v>DESPESAS COM PESSOAL</v>
      </c>
      <c r="R660" s="15" t="str">
        <f t="array" ref="R660">IFERROR(XLOOKUP(Q660,'Classificação'!B:B,'Classificação'!C:C),"")</f>
        <v>DESPESAS FIXAS (-)</v>
      </c>
      <c r="S660" s="15">
        <f t="shared" si="5"/>
        <v>13</v>
      </c>
      <c r="T660" s="15">
        <f t="shared" si="6"/>
        <v>1</v>
      </c>
      <c r="U660" s="15">
        <f t="shared" si="7"/>
        <v>2025</v>
      </c>
      <c r="V660" s="15">
        <f t="shared" si="8"/>
        <v>13</v>
      </c>
      <c r="W660" s="15">
        <f t="shared" si="9"/>
        <v>1</v>
      </c>
      <c r="X660" s="15">
        <f t="shared" si="10"/>
        <v>2025</v>
      </c>
    </row>
    <row r="661">
      <c r="A661" s="26">
        <v>45670.0</v>
      </c>
      <c r="B661" s="30"/>
      <c r="C661" s="27">
        <f t="shared" si="22"/>
        <v>45670</v>
      </c>
      <c r="D661" s="28" t="s">
        <v>43</v>
      </c>
      <c r="E661" s="29" t="s">
        <v>25</v>
      </c>
      <c r="F661" s="28" t="s">
        <v>32</v>
      </c>
      <c r="G661" s="28" t="s">
        <v>37</v>
      </c>
      <c r="H661" s="28"/>
      <c r="I661" s="33">
        <v>1100.0</v>
      </c>
      <c r="J661" s="34"/>
      <c r="K661" s="37">
        <f t="shared" si="46"/>
        <v>1100</v>
      </c>
      <c r="L661" s="28" t="s">
        <v>29</v>
      </c>
      <c r="M661" s="28"/>
      <c r="N661" s="28" t="s">
        <v>38</v>
      </c>
      <c r="O661" s="10" t="str">
        <f t="shared" si="3"/>
        <v>01/2025</v>
      </c>
      <c r="P661" s="10" t="str">
        <f t="shared" si="29"/>
        <v>01/2025</v>
      </c>
      <c r="Q661" s="15" t="str">
        <f t="array" ref="Q661">IFERROR(XLOOKUP(N661,'Classificação'!A:A,'Classificação'!B:B),"")</f>
        <v>DESPESAS COM PESSOAL</v>
      </c>
      <c r="R661" s="15" t="str">
        <f t="array" ref="R661">IFERROR(XLOOKUP(Q661,'Classificação'!B:B,'Classificação'!C:C),"")</f>
        <v>DESPESAS FIXAS (-)</v>
      </c>
      <c r="S661" s="15">
        <f t="shared" si="5"/>
        <v>13</v>
      </c>
      <c r="T661" s="15">
        <f t="shared" si="6"/>
        <v>1</v>
      </c>
      <c r="U661" s="15">
        <f t="shared" si="7"/>
        <v>2025</v>
      </c>
      <c r="V661" s="15">
        <f t="shared" si="8"/>
        <v>13</v>
      </c>
      <c r="W661" s="15">
        <f t="shared" si="9"/>
        <v>1</v>
      </c>
      <c r="X661" s="15">
        <f t="shared" si="10"/>
        <v>2025</v>
      </c>
    </row>
    <row r="662">
      <c r="A662" s="9">
        <v>45671.0</v>
      </c>
      <c r="B662" s="10"/>
      <c r="C662" s="9">
        <f t="shared" si="22"/>
        <v>45671</v>
      </c>
      <c r="D662" s="11" t="s">
        <v>44</v>
      </c>
      <c r="E662" s="11" t="s">
        <v>25</v>
      </c>
      <c r="F662" s="11" t="s">
        <v>45</v>
      </c>
      <c r="G662" s="11" t="s">
        <v>27</v>
      </c>
      <c r="H662" s="11" t="s">
        <v>476</v>
      </c>
      <c r="I662" s="12">
        <v>5268.7</v>
      </c>
      <c r="J662" s="13"/>
      <c r="K662" s="13">
        <f t="shared" ref="K662:K735" si="47">if(E662="pago",(I662-J662),"")</f>
        <v>5268.7</v>
      </c>
      <c r="L662" s="11" t="s">
        <v>53</v>
      </c>
      <c r="M662" s="16" t="s">
        <v>477</v>
      </c>
      <c r="N662" s="11" t="s">
        <v>73</v>
      </c>
      <c r="O662" s="10" t="str">
        <f t="shared" si="3"/>
        <v>01/2025</v>
      </c>
      <c r="P662" s="10" t="str">
        <f t="shared" si="29"/>
        <v>01/2025</v>
      </c>
      <c r="Q662" s="15" t="str">
        <f t="array" ref="Q662">IFERROR(XLOOKUP(N662,'Classificação'!A:A,'Classificação'!B:B),"")</f>
        <v>DESPESAS NÃO OPERACIONAIS</v>
      </c>
      <c r="R662" s="15" t="str">
        <f t="array" ref="R662">IFERROR(XLOOKUP(Q662,'Classificação'!B:B,'Classificação'!C:C),"")</f>
        <v>RESULTADO NÃO OPERACIONAL (+/-)</v>
      </c>
      <c r="S662" s="15">
        <f t="shared" si="5"/>
        <v>14</v>
      </c>
      <c r="T662" s="15">
        <f t="shared" si="6"/>
        <v>1</v>
      </c>
      <c r="U662" s="15">
        <f t="shared" si="7"/>
        <v>2025</v>
      </c>
      <c r="V662" s="15">
        <f t="shared" si="8"/>
        <v>14</v>
      </c>
      <c r="W662" s="15">
        <f t="shared" si="9"/>
        <v>1</v>
      </c>
      <c r="X662" s="15">
        <f t="shared" si="10"/>
        <v>2025</v>
      </c>
    </row>
    <row r="663">
      <c r="A663" s="9">
        <v>45671.0</v>
      </c>
      <c r="B663" s="10"/>
      <c r="C663" s="9">
        <f t="shared" si="22"/>
        <v>45671</v>
      </c>
      <c r="D663" s="11" t="s">
        <v>31</v>
      </c>
      <c r="E663" s="11" t="s">
        <v>25</v>
      </c>
      <c r="F663" s="11" t="s">
        <v>26</v>
      </c>
      <c r="G663" s="11" t="s">
        <v>27</v>
      </c>
      <c r="H663" s="11" t="s">
        <v>478</v>
      </c>
      <c r="I663" s="31">
        <v>7000.0</v>
      </c>
      <c r="J663" s="13"/>
      <c r="K663" s="13">
        <f t="shared" si="47"/>
        <v>7000</v>
      </c>
      <c r="L663" s="11" t="s">
        <v>34</v>
      </c>
      <c r="M663" s="14"/>
      <c r="N663" s="11" t="s">
        <v>35</v>
      </c>
      <c r="O663" s="10" t="str">
        <f t="shared" si="3"/>
        <v>01/2025</v>
      </c>
      <c r="P663" s="10" t="str">
        <f t="shared" si="29"/>
        <v>01/2025</v>
      </c>
      <c r="Q663" s="15" t="str">
        <f t="array" ref="Q663">IFERROR(XLOOKUP(N663,'Classificação'!A:A,'Classificação'!B:B),"")</f>
        <v>COMPRA DE MERCADORIA</v>
      </c>
      <c r="R663" s="15" t="str">
        <f t="array" ref="R663">IFERROR(XLOOKUP(Q663,'Classificação'!B:B,'Classificação'!C:C),"")</f>
        <v>CUSTOS VARIÁVEIS</v>
      </c>
      <c r="S663" s="15">
        <f t="shared" si="5"/>
        <v>14</v>
      </c>
      <c r="T663" s="15">
        <f t="shared" si="6"/>
        <v>1</v>
      </c>
      <c r="U663" s="15">
        <f t="shared" si="7"/>
        <v>2025</v>
      </c>
      <c r="V663" s="15">
        <f t="shared" si="8"/>
        <v>14</v>
      </c>
      <c r="W663" s="15">
        <f t="shared" si="9"/>
        <v>1</v>
      </c>
      <c r="X663" s="15">
        <f t="shared" si="10"/>
        <v>2025</v>
      </c>
    </row>
    <row r="664">
      <c r="A664" s="9">
        <v>45672.0</v>
      </c>
      <c r="B664" s="10"/>
      <c r="C664" s="9">
        <f t="shared" si="22"/>
        <v>45672</v>
      </c>
      <c r="D664" s="11" t="s">
        <v>74</v>
      </c>
      <c r="E664" s="11" t="s">
        <v>25</v>
      </c>
      <c r="F664" s="11" t="s">
        <v>32</v>
      </c>
      <c r="G664" s="11" t="s">
        <v>27</v>
      </c>
      <c r="I664" s="12">
        <v>592.0</v>
      </c>
      <c r="J664" s="13"/>
      <c r="K664" s="13">
        <f t="shared" si="47"/>
        <v>592</v>
      </c>
      <c r="L664" s="11" t="s">
        <v>29</v>
      </c>
      <c r="M664" s="14"/>
      <c r="N664" s="11" t="s">
        <v>75</v>
      </c>
      <c r="O664" s="10" t="str">
        <f t="shared" si="3"/>
        <v>01/2025</v>
      </c>
      <c r="P664" s="10" t="str">
        <f t="shared" si="29"/>
        <v>01/2025</v>
      </c>
      <c r="Q664" s="15" t="str">
        <f t="array" ref="Q664">IFERROR(XLOOKUP(N664,'Classificação'!A:A,'Classificação'!B:B),"")</f>
        <v>DESPESAS COM PESSOAL</v>
      </c>
      <c r="R664" s="15" t="str">
        <f t="array" ref="R664">IFERROR(XLOOKUP(Q664,'Classificação'!B:B,'Classificação'!C:C),"")</f>
        <v>DESPESAS FIXAS (-)</v>
      </c>
      <c r="S664" s="15">
        <f t="shared" si="5"/>
        <v>15</v>
      </c>
      <c r="T664" s="15">
        <f t="shared" si="6"/>
        <v>1</v>
      </c>
      <c r="U664" s="15">
        <f t="shared" si="7"/>
        <v>2025</v>
      </c>
      <c r="V664" s="15">
        <f t="shared" si="8"/>
        <v>15</v>
      </c>
      <c r="W664" s="15">
        <f t="shared" si="9"/>
        <v>1</v>
      </c>
      <c r="X664" s="15">
        <f t="shared" si="10"/>
        <v>2025</v>
      </c>
    </row>
    <row r="665">
      <c r="A665" s="9">
        <v>45672.0</v>
      </c>
      <c r="B665" s="10"/>
      <c r="C665" s="9">
        <f t="shared" si="22"/>
        <v>45672</v>
      </c>
      <c r="D665" s="11" t="s">
        <v>80</v>
      </c>
      <c r="E665" s="11" t="s">
        <v>25</v>
      </c>
      <c r="F665" s="11" t="s">
        <v>32</v>
      </c>
      <c r="G665" s="11" t="s">
        <v>27</v>
      </c>
      <c r="I665" s="12">
        <v>780.0</v>
      </c>
      <c r="J665" s="13"/>
      <c r="K665" s="13">
        <f t="shared" si="47"/>
        <v>780</v>
      </c>
      <c r="L665" s="11" t="s">
        <v>29</v>
      </c>
      <c r="M665" s="14"/>
      <c r="N665" s="11" t="s">
        <v>75</v>
      </c>
      <c r="O665" s="10" t="str">
        <f t="shared" si="3"/>
        <v>01/2025</v>
      </c>
      <c r="P665" s="10" t="str">
        <f t="shared" si="29"/>
        <v>01/2025</v>
      </c>
      <c r="Q665" s="15" t="str">
        <f t="array" ref="Q665">IFERROR(XLOOKUP(N665,'Classificação'!A:A,'Classificação'!B:B),"")</f>
        <v>DESPESAS COM PESSOAL</v>
      </c>
      <c r="R665" s="15" t="str">
        <f t="array" ref="R665">IFERROR(XLOOKUP(Q665,'Classificação'!B:B,'Classificação'!C:C),"")</f>
        <v>DESPESAS FIXAS (-)</v>
      </c>
      <c r="S665" s="15">
        <f t="shared" si="5"/>
        <v>15</v>
      </c>
      <c r="T665" s="15">
        <f t="shared" si="6"/>
        <v>1</v>
      </c>
      <c r="U665" s="15">
        <f t="shared" si="7"/>
        <v>2025</v>
      </c>
      <c r="V665" s="15">
        <f t="shared" si="8"/>
        <v>15</v>
      </c>
      <c r="W665" s="15">
        <f t="shared" si="9"/>
        <v>1</v>
      </c>
      <c r="X665" s="15">
        <f t="shared" si="10"/>
        <v>2025</v>
      </c>
    </row>
    <row r="666">
      <c r="A666" s="9">
        <v>45672.0</v>
      </c>
      <c r="B666" s="10"/>
      <c r="C666" s="9">
        <f t="shared" si="22"/>
        <v>45672</v>
      </c>
      <c r="D666" s="11" t="s">
        <v>83</v>
      </c>
      <c r="E666" s="11" t="s">
        <v>25</v>
      </c>
      <c r="F666" s="11" t="s">
        <v>32</v>
      </c>
      <c r="G666" s="11" t="s">
        <v>27</v>
      </c>
      <c r="I666" s="12">
        <v>800.0</v>
      </c>
      <c r="J666" s="13"/>
      <c r="K666" s="13">
        <f t="shared" si="47"/>
        <v>800</v>
      </c>
      <c r="L666" s="11" t="s">
        <v>29</v>
      </c>
      <c r="M666" s="14"/>
      <c r="N666" s="11" t="s">
        <v>75</v>
      </c>
      <c r="O666" s="10" t="str">
        <f t="shared" si="3"/>
        <v>01/2025</v>
      </c>
      <c r="P666" s="10" t="str">
        <f t="shared" si="29"/>
        <v>01/2025</v>
      </c>
      <c r="Q666" s="15" t="str">
        <f t="array" ref="Q666">IFERROR(XLOOKUP(N666,'Classificação'!A:A,'Classificação'!B:B),"")</f>
        <v>DESPESAS COM PESSOAL</v>
      </c>
      <c r="R666" s="15" t="str">
        <f t="array" ref="R666">IFERROR(XLOOKUP(Q666,'Classificação'!B:B,'Classificação'!C:C),"")</f>
        <v>DESPESAS FIXAS (-)</v>
      </c>
      <c r="S666" s="15">
        <f t="shared" si="5"/>
        <v>15</v>
      </c>
      <c r="T666" s="15">
        <f t="shared" si="6"/>
        <v>1</v>
      </c>
      <c r="U666" s="15">
        <f t="shared" si="7"/>
        <v>2025</v>
      </c>
      <c r="V666" s="15">
        <f t="shared" si="8"/>
        <v>15</v>
      </c>
      <c r="W666" s="15">
        <f t="shared" si="9"/>
        <v>1</v>
      </c>
      <c r="X666" s="15">
        <f t="shared" si="10"/>
        <v>2025</v>
      </c>
    </row>
    <row r="667">
      <c r="A667" s="9">
        <v>45672.0</v>
      </c>
      <c r="B667" s="10"/>
      <c r="C667" s="9">
        <f t="shared" si="22"/>
        <v>45672</v>
      </c>
      <c r="D667" s="11" t="s">
        <v>44</v>
      </c>
      <c r="E667" s="11" t="s">
        <v>25</v>
      </c>
      <c r="F667" s="11" t="s">
        <v>45</v>
      </c>
      <c r="G667" s="11" t="s">
        <v>27</v>
      </c>
      <c r="H667" s="11" t="s">
        <v>337</v>
      </c>
      <c r="I667" s="12">
        <v>9.88</v>
      </c>
      <c r="J667" s="13"/>
      <c r="K667" s="13">
        <f t="shared" si="47"/>
        <v>9.88</v>
      </c>
      <c r="L667" s="11" t="s">
        <v>34</v>
      </c>
      <c r="M667" s="14"/>
      <c r="N667" s="11" t="s">
        <v>97</v>
      </c>
      <c r="O667" s="10" t="str">
        <f t="shared" si="3"/>
        <v>01/2025</v>
      </c>
      <c r="P667" s="10" t="str">
        <f t="shared" si="29"/>
        <v>01/2025</v>
      </c>
      <c r="Q667" s="15" t="str">
        <f t="array" ref="Q667">IFERROR(XLOOKUP(N667,'Classificação'!A:A,'Classificação'!B:B),"")</f>
        <v>TARIFAS DE PIX</v>
      </c>
      <c r="R667" s="15" t="str">
        <f t="array" ref="R667">IFERROR(XLOOKUP(Q667,'Classificação'!B:B,'Classificação'!C:C),"")</f>
        <v>(+/-) RESULTADO FINANCEIRO LÍQUIDO</v>
      </c>
      <c r="S667" s="15">
        <f t="shared" si="5"/>
        <v>15</v>
      </c>
      <c r="T667" s="15">
        <f t="shared" si="6"/>
        <v>1</v>
      </c>
      <c r="U667" s="15">
        <f t="shared" si="7"/>
        <v>2025</v>
      </c>
      <c r="V667" s="15">
        <f t="shared" si="8"/>
        <v>15</v>
      </c>
      <c r="W667" s="15">
        <f t="shared" si="9"/>
        <v>1</v>
      </c>
      <c r="X667" s="15">
        <f t="shared" si="10"/>
        <v>2025</v>
      </c>
    </row>
    <row r="668">
      <c r="A668" s="9">
        <v>45673.0</v>
      </c>
      <c r="B668" s="10"/>
      <c r="C668" s="9">
        <f t="shared" si="22"/>
        <v>45673</v>
      </c>
      <c r="D668" s="11" t="s">
        <v>65</v>
      </c>
      <c r="E668" s="11" t="s">
        <v>25</v>
      </c>
      <c r="F668" s="11" t="s">
        <v>26</v>
      </c>
      <c r="G668" s="11" t="s">
        <v>27</v>
      </c>
      <c r="H668" s="11" t="s">
        <v>479</v>
      </c>
      <c r="I668" s="12">
        <v>63.12</v>
      </c>
      <c r="J668" s="13"/>
      <c r="K668" s="13">
        <f t="shared" si="47"/>
        <v>63.12</v>
      </c>
      <c r="L668" s="11" t="s">
        <v>34</v>
      </c>
      <c r="M668" s="14"/>
      <c r="N668" s="11" t="s">
        <v>394</v>
      </c>
      <c r="O668" s="10" t="str">
        <f t="shared" si="3"/>
        <v>01/2025</v>
      </c>
      <c r="P668" s="10" t="str">
        <f t="shared" si="29"/>
        <v>01/2025</v>
      </c>
      <c r="Q668" s="15" t="str">
        <f t="array" ref="Q668">IFERROR(XLOOKUP(N668,'Classificação'!A:A,'Classificação'!B:B),"")</f>
        <v>DESPESAS NÃO OPERACIONAIS</v>
      </c>
      <c r="R668" s="15" t="str">
        <f t="array" ref="R668">IFERROR(XLOOKUP(Q668,'Classificação'!B:B,'Classificação'!C:C),"")</f>
        <v>RESULTADO NÃO OPERACIONAL (+/-)</v>
      </c>
      <c r="S668" s="15">
        <f t="shared" si="5"/>
        <v>16</v>
      </c>
      <c r="T668" s="15">
        <f t="shared" si="6"/>
        <v>1</v>
      </c>
      <c r="U668" s="15">
        <f t="shared" si="7"/>
        <v>2025</v>
      </c>
      <c r="V668" s="15">
        <f t="shared" si="8"/>
        <v>16</v>
      </c>
      <c r="W668" s="15">
        <f t="shared" si="9"/>
        <v>1</v>
      </c>
      <c r="X668" s="15">
        <f t="shared" si="10"/>
        <v>2025</v>
      </c>
    </row>
    <row r="669">
      <c r="A669" s="26">
        <v>45673.0</v>
      </c>
      <c r="B669" s="10"/>
      <c r="C669" s="9">
        <f t="shared" si="22"/>
        <v>45673</v>
      </c>
      <c r="D669" s="11" t="s">
        <v>86</v>
      </c>
      <c r="E669" s="11" t="s">
        <v>25</v>
      </c>
      <c r="F669" s="11" t="s">
        <v>26</v>
      </c>
      <c r="G669" s="11" t="s">
        <v>37</v>
      </c>
      <c r="H669" s="11" t="s">
        <v>480</v>
      </c>
      <c r="I669" s="12">
        <v>4260.0</v>
      </c>
      <c r="J669" s="13"/>
      <c r="K669" s="13">
        <f t="shared" si="47"/>
        <v>4260</v>
      </c>
      <c r="L669" s="11" t="s">
        <v>34</v>
      </c>
      <c r="M669" s="14"/>
      <c r="N669" s="11" t="s">
        <v>35</v>
      </c>
      <c r="O669" s="10" t="str">
        <f t="shared" si="3"/>
        <v>01/2025</v>
      </c>
      <c r="P669" s="10" t="str">
        <f t="shared" si="29"/>
        <v>01/2025</v>
      </c>
      <c r="Q669" s="15" t="str">
        <f t="array" ref="Q669">IFERROR(XLOOKUP(N669,'Classificação'!A:A,'Classificação'!B:B),"")</f>
        <v>COMPRA DE MERCADORIA</v>
      </c>
      <c r="R669" s="15" t="str">
        <f t="array" ref="R669">IFERROR(XLOOKUP(Q669,'Classificação'!B:B,'Classificação'!C:C),"")</f>
        <v>CUSTOS VARIÁVEIS</v>
      </c>
      <c r="S669" s="15">
        <f t="shared" si="5"/>
        <v>16</v>
      </c>
      <c r="T669" s="15">
        <f t="shared" si="6"/>
        <v>1</v>
      </c>
      <c r="U669" s="15">
        <f t="shared" si="7"/>
        <v>2025</v>
      </c>
      <c r="V669" s="15">
        <f t="shared" si="8"/>
        <v>16</v>
      </c>
      <c r="W669" s="15">
        <f t="shared" si="9"/>
        <v>1</v>
      </c>
      <c r="X669" s="15">
        <f t="shared" si="10"/>
        <v>2025</v>
      </c>
    </row>
    <row r="670">
      <c r="A670" s="9">
        <v>45674.0</v>
      </c>
      <c r="B670" s="10"/>
      <c r="C670" s="9">
        <f t="shared" si="22"/>
        <v>45674</v>
      </c>
      <c r="D670" s="11" t="s">
        <v>90</v>
      </c>
      <c r="E670" s="11" t="s">
        <v>25</v>
      </c>
      <c r="F670" s="11" t="s">
        <v>40</v>
      </c>
      <c r="G670" s="11" t="s">
        <v>27</v>
      </c>
      <c r="H670" s="11" t="s">
        <v>367</v>
      </c>
      <c r="I670" s="12">
        <v>447.77</v>
      </c>
      <c r="J670" s="13"/>
      <c r="K670" s="13">
        <f t="shared" si="47"/>
        <v>447.77</v>
      </c>
      <c r="L670" s="11" t="s">
        <v>29</v>
      </c>
      <c r="M670" s="14"/>
      <c r="N670" s="11" t="s">
        <v>92</v>
      </c>
      <c r="O670" s="10" t="str">
        <f t="shared" si="3"/>
        <v>01/2025</v>
      </c>
      <c r="P670" s="10" t="str">
        <f t="shared" si="29"/>
        <v>01/2025</v>
      </c>
      <c r="Q670" s="15" t="str">
        <f t="array" ref="Q670">IFERROR(XLOOKUP(N670,'Classificação'!A:A,'Classificação'!B:B),"")</f>
        <v>DESPESAS COM OCUPAÇÃO</v>
      </c>
      <c r="R670" s="15" t="str">
        <f t="array" ref="R670">IFERROR(XLOOKUP(Q670,'Classificação'!B:B,'Classificação'!C:C),"")</f>
        <v>DESPESAS FIXAS (-)</v>
      </c>
      <c r="S670" s="15">
        <f t="shared" si="5"/>
        <v>17</v>
      </c>
      <c r="T670" s="15">
        <f t="shared" si="6"/>
        <v>1</v>
      </c>
      <c r="U670" s="15">
        <f t="shared" si="7"/>
        <v>2025</v>
      </c>
      <c r="V670" s="15">
        <f t="shared" si="8"/>
        <v>17</v>
      </c>
      <c r="W670" s="15">
        <f t="shared" si="9"/>
        <v>1</v>
      </c>
      <c r="X670" s="15">
        <f t="shared" si="10"/>
        <v>2025</v>
      </c>
    </row>
    <row r="671">
      <c r="A671" s="9">
        <v>45674.0</v>
      </c>
      <c r="B671" s="30"/>
      <c r="C671" s="27">
        <f t="shared" si="22"/>
        <v>45674</v>
      </c>
      <c r="D671" s="28" t="s">
        <v>399</v>
      </c>
      <c r="E671" s="29" t="s">
        <v>25</v>
      </c>
      <c r="F671" s="28" t="s">
        <v>40</v>
      </c>
      <c r="G671" s="28" t="s">
        <v>27</v>
      </c>
      <c r="H671" s="29" t="s">
        <v>427</v>
      </c>
      <c r="I671" s="24">
        <v>463.12</v>
      </c>
      <c r="J671" s="34"/>
      <c r="K671" s="13">
        <f t="shared" si="47"/>
        <v>463.12</v>
      </c>
      <c r="L671" s="42" t="s">
        <v>53</v>
      </c>
      <c r="M671" s="35">
        <v>45324.0</v>
      </c>
      <c r="N671" s="42" t="s">
        <v>35</v>
      </c>
      <c r="O671" s="10" t="str">
        <f t="shared" si="3"/>
        <v>01/2025</v>
      </c>
      <c r="P671" s="10" t="str">
        <f t="shared" si="29"/>
        <v>01/2025</v>
      </c>
      <c r="Q671" s="15" t="str">
        <f t="array" ref="Q671">IFERROR(XLOOKUP(N671,'Classificação'!A:A,'Classificação'!B:B),"")</f>
        <v>COMPRA DE MERCADORIA</v>
      </c>
      <c r="R671" s="15" t="str">
        <f t="array" ref="R671">IFERROR(XLOOKUP(Q671,'Classificação'!B:B,'Classificação'!C:C),"")</f>
        <v>CUSTOS VARIÁVEIS</v>
      </c>
      <c r="S671" s="15">
        <f t="shared" si="5"/>
        <v>17</v>
      </c>
      <c r="T671" s="15">
        <f t="shared" si="6"/>
        <v>1</v>
      </c>
      <c r="U671" s="15">
        <f t="shared" si="7"/>
        <v>2025</v>
      </c>
      <c r="V671" s="15">
        <f t="shared" si="8"/>
        <v>17</v>
      </c>
      <c r="W671" s="15">
        <f t="shared" si="9"/>
        <v>1</v>
      </c>
      <c r="X671" s="15">
        <f t="shared" si="10"/>
        <v>2025</v>
      </c>
    </row>
    <row r="672">
      <c r="A672" s="9">
        <v>45674.0</v>
      </c>
      <c r="B672" s="30"/>
      <c r="C672" s="27">
        <f t="shared" si="22"/>
        <v>45674</v>
      </c>
      <c r="D672" s="28" t="s">
        <v>399</v>
      </c>
      <c r="E672" s="29" t="s">
        <v>25</v>
      </c>
      <c r="F672" s="28" t="s">
        <v>40</v>
      </c>
      <c r="G672" s="29" t="s">
        <v>37</v>
      </c>
      <c r="H672" s="29" t="s">
        <v>428</v>
      </c>
      <c r="I672" s="24">
        <v>463.13</v>
      </c>
      <c r="J672" s="34"/>
      <c r="K672" s="13">
        <f t="shared" si="47"/>
        <v>463.13</v>
      </c>
      <c r="L672" s="42" t="s">
        <v>53</v>
      </c>
      <c r="M672" s="35">
        <v>45324.0</v>
      </c>
      <c r="N672" s="42" t="s">
        <v>35</v>
      </c>
      <c r="O672" s="10" t="str">
        <f t="shared" si="3"/>
        <v>01/2025</v>
      </c>
      <c r="P672" s="10" t="str">
        <f t="shared" si="29"/>
        <v>01/2025</v>
      </c>
      <c r="Q672" s="15" t="str">
        <f t="array" ref="Q672">IFERROR(XLOOKUP(N672,'Classificação'!A:A,'Classificação'!B:B),"")</f>
        <v>COMPRA DE MERCADORIA</v>
      </c>
      <c r="R672" s="15" t="str">
        <f t="array" ref="R672">IFERROR(XLOOKUP(Q672,'Classificação'!B:B,'Classificação'!C:C),"")</f>
        <v>CUSTOS VARIÁVEIS</v>
      </c>
      <c r="S672" s="15">
        <f t="shared" si="5"/>
        <v>17</v>
      </c>
      <c r="T672" s="15">
        <f t="shared" si="6"/>
        <v>1</v>
      </c>
      <c r="U672" s="15">
        <f t="shared" si="7"/>
        <v>2025</v>
      </c>
      <c r="V672" s="15">
        <f t="shared" si="8"/>
        <v>17</v>
      </c>
      <c r="W672" s="15">
        <f t="shared" si="9"/>
        <v>1</v>
      </c>
      <c r="X672" s="15">
        <f t="shared" si="10"/>
        <v>2025</v>
      </c>
    </row>
    <row r="673">
      <c r="A673" s="9">
        <v>45674.0</v>
      </c>
      <c r="B673" s="9"/>
      <c r="C673" s="9">
        <f t="shared" si="22"/>
        <v>45674</v>
      </c>
      <c r="D673" s="11" t="s">
        <v>373</v>
      </c>
      <c r="E673" s="11" t="s">
        <v>25</v>
      </c>
      <c r="F673" s="11" t="s">
        <v>26</v>
      </c>
      <c r="G673" s="11" t="s">
        <v>37</v>
      </c>
      <c r="H673" s="11" t="s">
        <v>374</v>
      </c>
      <c r="I673" s="12">
        <v>14.0</v>
      </c>
      <c r="J673" s="13"/>
      <c r="K673" s="13">
        <f t="shared" si="47"/>
        <v>14</v>
      </c>
      <c r="L673" s="11" t="s">
        <v>34</v>
      </c>
      <c r="M673" s="14"/>
      <c r="N673" s="11" t="s">
        <v>64</v>
      </c>
      <c r="O673" s="10" t="str">
        <f t="shared" si="3"/>
        <v>01/2025</v>
      </c>
      <c r="P673" s="10" t="str">
        <f t="shared" si="29"/>
        <v>01/2025</v>
      </c>
      <c r="Q673" s="15" t="str">
        <f t="array" ref="Q673">IFERROR(XLOOKUP(N673,'Classificação'!A:A,'Classificação'!B:B),"")</f>
        <v>DESPESAS COM PESSOAL</v>
      </c>
      <c r="R673" s="15" t="str">
        <f t="array" ref="R673">IFERROR(XLOOKUP(Q673,'Classificação'!B:B,'Classificação'!C:C),"")</f>
        <v>DESPESAS FIXAS (-)</v>
      </c>
      <c r="S673" s="15">
        <f t="shared" si="5"/>
        <v>17</v>
      </c>
      <c r="T673" s="15">
        <f t="shared" si="6"/>
        <v>1</v>
      </c>
      <c r="U673" s="15">
        <f t="shared" si="7"/>
        <v>2025</v>
      </c>
      <c r="V673" s="15">
        <f t="shared" si="8"/>
        <v>17</v>
      </c>
      <c r="W673" s="15">
        <f t="shared" si="9"/>
        <v>1</v>
      </c>
      <c r="X673" s="15">
        <f t="shared" si="10"/>
        <v>2025</v>
      </c>
    </row>
    <row r="674">
      <c r="A674" s="9">
        <v>45677.0</v>
      </c>
      <c r="B674" s="10"/>
      <c r="C674" s="9">
        <f t="shared" si="22"/>
        <v>45677</v>
      </c>
      <c r="D674" s="11" t="s">
        <v>44</v>
      </c>
      <c r="E674" s="11" t="s">
        <v>25</v>
      </c>
      <c r="F674" s="11" t="s">
        <v>45</v>
      </c>
      <c r="G674" s="11" t="s">
        <v>27</v>
      </c>
      <c r="H674" s="11" t="s">
        <v>98</v>
      </c>
      <c r="I674" s="12">
        <v>3374.2</v>
      </c>
      <c r="J674" s="13"/>
      <c r="K674" s="13">
        <f t="shared" si="47"/>
        <v>3374.2</v>
      </c>
      <c r="L674" s="11" t="s">
        <v>53</v>
      </c>
      <c r="M674" s="16" t="s">
        <v>481</v>
      </c>
      <c r="N674" s="11" t="s">
        <v>73</v>
      </c>
      <c r="O674" s="10" t="str">
        <f t="shared" si="3"/>
        <v>01/2025</v>
      </c>
      <c r="P674" s="10" t="str">
        <f t="shared" si="29"/>
        <v>01/2025</v>
      </c>
      <c r="Q674" s="15" t="str">
        <f t="array" ref="Q674">IFERROR(XLOOKUP(N674,'Classificação'!A:A,'Classificação'!B:B),"")</f>
        <v>DESPESAS NÃO OPERACIONAIS</v>
      </c>
      <c r="R674" s="15" t="str">
        <f t="array" ref="R674">IFERROR(XLOOKUP(Q674,'Classificação'!B:B,'Classificação'!C:C),"")</f>
        <v>RESULTADO NÃO OPERACIONAL (+/-)</v>
      </c>
      <c r="S674" s="15">
        <f t="shared" si="5"/>
        <v>20</v>
      </c>
      <c r="T674" s="15">
        <f t="shared" si="6"/>
        <v>1</v>
      </c>
      <c r="U674" s="15">
        <f t="shared" si="7"/>
        <v>2025</v>
      </c>
      <c r="V674" s="15">
        <f t="shared" si="8"/>
        <v>20</v>
      </c>
      <c r="W674" s="15">
        <f t="shared" si="9"/>
        <v>1</v>
      </c>
      <c r="X674" s="15">
        <f t="shared" si="10"/>
        <v>2025</v>
      </c>
    </row>
    <row r="675">
      <c r="A675" s="9">
        <v>45677.0</v>
      </c>
      <c r="B675" s="10"/>
      <c r="C675" s="9">
        <f t="shared" si="22"/>
        <v>45677</v>
      </c>
      <c r="D675" s="11" t="s">
        <v>65</v>
      </c>
      <c r="E675" s="11" t="s">
        <v>25</v>
      </c>
      <c r="F675" s="11" t="s">
        <v>45</v>
      </c>
      <c r="G675" s="11" t="s">
        <v>37</v>
      </c>
      <c r="H675" s="11" t="s">
        <v>103</v>
      </c>
      <c r="I675" s="12">
        <v>506.57</v>
      </c>
      <c r="J675" s="13"/>
      <c r="K675" s="13">
        <f t="shared" si="47"/>
        <v>506.57</v>
      </c>
      <c r="L675" s="11" t="s">
        <v>29</v>
      </c>
      <c r="M675" s="14"/>
      <c r="N675" s="11" t="s">
        <v>68</v>
      </c>
      <c r="O675" s="10" t="str">
        <f t="shared" si="3"/>
        <v>01/2025</v>
      </c>
      <c r="P675" s="10" t="str">
        <f t="shared" si="29"/>
        <v>01/2025</v>
      </c>
      <c r="Q675" s="15" t="str">
        <f t="array" ref="Q675">IFERROR(XLOOKUP(N675,'Classificação'!A:A,'Classificação'!B:B),"")</f>
        <v>FRETE DE VENDAS</v>
      </c>
      <c r="R675" s="15" t="str">
        <f t="array" ref="R675">IFERROR(XLOOKUP(Q675,'Classificação'!B:B,'Classificação'!C:C),"")</f>
        <v>CUSTOS VARIÁVEIS</v>
      </c>
      <c r="S675" s="15">
        <f t="shared" si="5"/>
        <v>20</v>
      </c>
      <c r="T675" s="15">
        <f t="shared" si="6"/>
        <v>1</v>
      </c>
      <c r="U675" s="15">
        <f t="shared" si="7"/>
        <v>2025</v>
      </c>
      <c r="V675" s="15">
        <f t="shared" si="8"/>
        <v>20</v>
      </c>
      <c r="W675" s="15">
        <f t="shared" si="9"/>
        <v>1</v>
      </c>
      <c r="X675" s="15">
        <f t="shared" si="10"/>
        <v>2025</v>
      </c>
    </row>
    <row r="676">
      <c r="A676" s="9">
        <v>45677.0</v>
      </c>
      <c r="B676" s="9">
        <v>45600.0</v>
      </c>
      <c r="C676" s="9">
        <f t="shared" si="22"/>
        <v>45677</v>
      </c>
      <c r="D676" s="11" t="s">
        <v>65</v>
      </c>
      <c r="E676" s="11" t="s">
        <v>25</v>
      </c>
      <c r="F676" s="11" t="s">
        <v>107</v>
      </c>
      <c r="G676" s="11" t="s">
        <v>27</v>
      </c>
      <c r="H676" s="11" t="s">
        <v>393</v>
      </c>
      <c r="I676" s="31">
        <v>32.39</v>
      </c>
      <c r="J676" s="13"/>
      <c r="K676" s="13">
        <f t="shared" si="47"/>
        <v>32.39</v>
      </c>
      <c r="L676" s="11" t="s">
        <v>53</v>
      </c>
      <c r="M676" s="17">
        <v>45507.0</v>
      </c>
      <c r="N676" s="11" t="s">
        <v>394</v>
      </c>
      <c r="O676" s="10" t="str">
        <f t="shared" si="3"/>
        <v>01/2025</v>
      </c>
      <c r="P676" s="10" t="str">
        <f t="shared" si="29"/>
        <v>01/2025</v>
      </c>
      <c r="Q676" s="15" t="str">
        <f t="array" ref="Q676">IFERROR(XLOOKUP(N676,'Classificação'!A:A,'Classificação'!B:B),"")</f>
        <v>DESPESAS NÃO OPERACIONAIS</v>
      </c>
      <c r="R676" s="15" t="str">
        <f t="array" ref="R676">IFERROR(XLOOKUP(Q676,'Classificação'!B:B,'Classificação'!C:C),"")</f>
        <v>RESULTADO NÃO OPERACIONAL (+/-)</v>
      </c>
      <c r="S676" s="15">
        <f t="shared" si="5"/>
        <v>20</v>
      </c>
      <c r="T676" s="15">
        <f t="shared" si="6"/>
        <v>1</v>
      </c>
      <c r="U676" s="15">
        <f t="shared" si="7"/>
        <v>2025</v>
      </c>
      <c r="V676" s="15">
        <f t="shared" si="8"/>
        <v>20</v>
      </c>
      <c r="W676" s="15">
        <f t="shared" si="9"/>
        <v>1</v>
      </c>
      <c r="X676" s="15">
        <f t="shared" si="10"/>
        <v>2025</v>
      </c>
    </row>
    <row r="677">
      <c r="A677" s="9">
        <v>45677.0</v>
      </c>
      <c r="B677" s="10"/>
      <c r="C677" s="9">
        <f t="shared" si="22"/>
        <v>45677</v>
      </c>
      <c r="D677" s="11" t="s">
        <v>104</v>
      </c>
      <c r="E677" s="11" t="s">
        <v>25</v>
      </c>
      <c r="F677" s="11" t="s">
        <v>40</v>
      </c>
      <c r="G677" s="11" t="s">
        <v>27</v>
      </c>
      <c r="I677" s="12">
        <v>425.0</v>
      </c>
      <c r="J677" s="13"/>
      <c r="K677" s="13">
        <f t="shared" si="47"/>
        <v>425</v>
      </c>
      <c r="L677" s="11" t="s">
        <v>29</v>
      </c>
      <c r="M677" s="14"/>
      <c r="N677" s="11" t="s">
        <v>105</v>
      </c>
      <c r="O677" s="10" t="str">
        <f t="shared" si="3"/>
        <v>01/2025</v>
      </c>
      <c r="P677" s="10" t="str">
        <f t="shared" si="29"/>
        <v>01/2025</v>
      </c>
      <c r="Q677" s="15" t="str">
        <f t="array" ref="Q677">IFERROR(XLOOKUP(N677,'Classificação'!A:A,'Classificação'!B:B),"")</f>
        <v>DESPESAS ADMINISTRATIVAS</v>
      </c>
      <c r="R677" s="15" t="str">
        <f t="array" ref="R677">IFERROR(XLOOKUP(Q677,'Classificação'!B:B,'Classificação'!C:C),"")</f>
        <v>DESPESAS FIXAS (-)</v>
      </c>
      <c r="S677" s="15">
        <f t="shared" si="5"/>
        <v>20</v>
      </c>
      <c r="T677" s="15">
        <f t="shared" si="6"/>
        <v>1</v>
      </c>
      <c r="U677" s="15">
        <f t="shared" si="7"/>
        <v>2025</v>
      </c>
      <c r="V677" s="15">
        <f t="shared" si="8"/>
        <v>20</v>
      </c>
      <c r="W677" s="15">
        <f t="shared" si="9"/>
        <v>1</v>
      </c>
      <c r="X677" s="15">
        <f t="shared" si="10"/>
        <v>2025</v>
      </c>
    </row>
    <row r="678">
      <c r="A678" s="9">
        <v>45677.0</v>
      </c>
      <c r="B678" s="10"/>
      <c r="C678" s="9">
        <f t="shared" si="22"/>
        <v>45677</v>
      </c>
      <c r="D678" s="11" t="s">
        <v>109</v>
      </c>
      <c r="E678" s="11" t="s">
        <v>25</v>
      </c>
      <c r="F678" s="11" t="s">
        <v>110</v>
      </c>
      <c r="G678" s="11" t="s">
        <v>27</v>
      </c>
      <c r="H678" s="11" t="s">
        <v>111</v>
      </c>
      <c r="I678" s="31">
        <v>24.15</v>
      </c>
      <c r="J678" s="13"/>
      <c r="K678" s="13">
        <f t="shared" si="47"/>
        <v>24.15</v>
      </c>
      <c r="L678" s="11" t="s">
        <v>29</v>
      </c>
      <c r="M678" s="14"/>
      <c r="N678" s="11" t="s">
        <v>105</v>
      </c>
      <c r="O678" s="10" t="str">
        <f t="shared" si="3"/>
        <v>01/2025</v>
      </c>
      <c r="P678" s="10" t="str">
        <f t="shared" si="29"/>
        <v>01/2025</v>
      </c>
      <c r="Q678" s="15" t="str">
        <f t="array" ref="Q678">IFERROR(XLOOKUP(N678,'Classificação'!A:A,'Classificação'!B:B),"")</f>
        <v>DESPESAS ADMINISTRATIVAS</v>
      </c>
      <c r="R678" s="15" t="str">
        <f t="array" ref="R678">IFERROR(XLOOKUP(Q678,'Classificação'!B:B,'Classificação'!C:C),"")</f>
        <v>DESPESAS FIXAS (-)</v>
      </c>
      <c r="S678" s="15">
        <f t="shared" si="5"/>
        <v>20</v>
      </c>
      <c r="T678" s="15">
        <f t="shared" si="6"/>
        <v>1</v>
      </c>
      <c r="U678" s="15">
        <f t="shared" si="7"/>
        <v>2025</v>
      </c>
      <c r="V678" s="15">
        <f t="shared" si="8"/>
        <v>20</v>
      </c>
      <c r="W678" s="15">
        <f t="shared" si="9"/>
        <v>1</v>
      </c>
      <c r="X678" s="15">
        <f t="shared" si="10"/>
        <v>2025</v>
      </c>
    </row>
    <row r="679">
      <c r="A679" s="9">
        <v>45677.0</v>
      </c>
      <c r="B679" s="10"/>
      <c r="C679" s="9">
        <f t="shared" si="22"/>
        <v>45677</v>
      </c>
      <c r="D679" s="11" t="s">
        <v>100</v>
      </c>
      <c r="E679" s="11" t="s">
        <v>25</v>
      </c>
      <c r="F679" s="11" t="s">
        <v>40</v>
      </c>
      <c r="G679" s="11" t="s">
        <v>27</v>
      </c>
      <c r="H679" s="11" t="s">
        <v>482</v>
      </c>
      <c r="I679" s="12">
        <v>12070.44</v>
      </c>
      <c r="J679" s="13"/>
      <c r="K679" s="13">
        <f t="shared" si="47"/>
        <v>12070.44</v>
      </c>
      <c r="L679" s="11" t="s">
        <v>29</v>
      </c>
      <c r="M679" s="14"/>
      <c r="N679" s="11" t="s">
        <v>101</v>
      </c>
      <c r="O679" s="10" t="str">
        <f t="shared" si="3"/>
        <v>01/2025</v>
      </c>
      <c r="P679" s="10" t="str">
        <f t="shared" si="29"/>
        <v>01/2025</v>
      </c>
      <c r="Q679" s="15" t="str">
        <f t="array" ref="Q679">IFERROR(XLOOKUP(N679,'Classificação'!A:A,'Classificação'!B:B),"")</f>
        <v>IMPOSTO DE RENDA - DAS</v>
      </c>
      <c r="R679" s="15" t="str">
        <f t="array" ref="R679">IFERROR(XLOOKUP(Q679,'Classificação'!B:B,'Classificação'!C:C),"")</f>
        <v>DEDUÇÕES DA RECEITA BRUTA (-)</v>
      </c>
      <c r="S679" s="15">
        <f t="shared" si="5"/>
        <v>20</v>
      </c>
      <c r="T679" s="15">
        <f t="shared" si="6"/>
        <v>1</v>
      </c>
      <c r="U679" s="15">
        <f t="shared" si="7"/>
        <v>2025</v>
      </c>
      <c r="V679" s="15">
        <f t="shared" si="8"/>
        <v>20</v>
      </c>
      <c r="W679" s="15">
        <f t="shared" si="9"/>
        <v>1</v>
      </c>
      <c r="X679" s="15">
        <f t="shared" si="10"/>
        <v>2025</v>
      </c>
    </row>
    <row r="680">
      <c r="A680" s="9">
        <v>45677.0</v>
      </c>
      <c r="B680" s="10"/>
      <c r="C680" s="9">
        <f t="shared" si="22"/>
        <v>45677</v>
      </c>
      <c r="D680" s="11" t="s">
        <v>100</v>
      </c>
      <c r="E680" s="11" t="s">
        <v>25</v>
      </c>
      <c r="F680" s="11" t="s">
        <v>40</v>
      </c>
      <c r="G680" s="11" t="s">
        <v>37</v>
      </c>
      <c r="H680" s="11" t="s">
        <v>482</v>
      </c>
      <c r="I680" s="12">
        <v>1419.86</v>
      </c>
      <c r="J680" s="13"/>
      <c r="K680" s="13">
        <f t="shared" si="47"/>
        <v>1419.86</v>
      </c>
      <c r="L680" s="11" t="s">
        <v>29</v>
      </c>
      <c r="M680" s="14"/>
      <c r="N680" s="11" t="s">
        <v>101</v>
      </c>
      <c r="O680" s="10" t="str">
        <f t="shared" si="3"/>
        <v>01/2025</v>
      </c>
      <c r="P680" s="10" t="str">
        <f t="shared" si="29"/>
        <v>01/2025</v>
      </c>
      <c r="Q680" s="15" t="str">
        <f t="array" ref="Q680">IFERROR(XLOOKUP(N680,'Classificação'!A:A,'Classificação'!B:B),"")</f>
        <v>IMPOSTO DE RENDA - DAS</v>
      </c>
      <c r="R680" s="15" t="str">
        <f t="array" ref="R680">IFERROR(XLOOKUP(Q680,'Classificação'!B:B,'Classificação'!C:C),"")</f>
        <v>DEDUÇÕES DA RECEITA BRUTA (-)</v>
      </c>
      <c r="S680" s="15">
        <f t="shared" si="5"/>
        <v>20</v>
      </c>
      <c r="T680" s="15">
        <f t="shared" si="6"/>
        <v>1</v>
      </c>
      <c r="U680" s="15">
        <f t="shared" si="7"/>
        <v>2025</v>
      </c>
      <c r="V680" s="15">
        <f t="shared" si="8"/>
        <v>20</v>
      </c>
      <c r="W680" s="15">
        <f t="shared" si="9"/>
        <v>1</v>
      </c>
      <c r="X680" s="15">
        <f t="shared" si="10"/>
        <v>2025</v>
      </c>
    </row>
    <row r="681">
      <c r="A681" s="9">
        <v>45677.0</v>
      </c>
      <c r="B681" s="10"/>
      <c r="C681" s="9">
        <f t="shared" si="22"/>
        <v>45677</v>
      </c>
      <c r="D681" s="11" t="s">
        <v>121</v>
      </c>
      <c r="E681" s="11" t="s">
        <v>25</v>
      </c>
      <c r="F681" s="11" t="s">
        <v>110</v>
      </c>
      <c r="G681" s="11" t="s">
        <v>27</v>
      </c>
      <c r="H681" s="11" t="s">
        <v>122</v>
      </c>
      <c r="I681" s="31">
        <v>29.9</v>
      </c>
      <c r="J681" s="13"/>
      <c r="K681" s="13">
        <f t="shared" si="47"/>
        <v>29.9</v>
      </c>
      <c r="L681" s="11" t="s">
        <v>29</v>
      </c>
      <c r="M681" s="14"/>
      <c r="N681" s="11" t="s">
        <v>105</v>
      </c>
      <c r="O681" s="10" t="str">
        <f t="shared" si="3"/>
        <v>01/2025</v>
      </c>
      <c r="P681" s="10" t="str">
        <f t="shared" si="29"/>
        <v>01/2025</v>
      </c>
      <c r="Q681" s="15" t="str">
        <f t="array" ref="Q681">IFERROR(XLOOKUP(N681,'Classificação'!A:A,'Classificação'!B:B),"")</f>
        <v>DESPESAS ADMINISTRATIVAS</v>
      </c>
      <c r="R681" s="15" t="str">
        <f t="array" ref="R681">IFERROR(XLOOKUP(Q681,'Classificação'!B:B,'Classificação'!C:C),"")</f>
        <v>DESPESAS FIXAS (-)</v>
      </c>
      <c r="S681" s="15">
        <f t="shared" si="5"/>
        <v>20</v>
      </c>
      <c r="T681" s="15">
        <f t="shared" si="6"/>
        <v>1</v>
      </c>
      <c r="U681" s="15">
        <f t="shared" si="7"/>
        <v>2025</v>
      </c>
      <c r="V681" s="15">
        <f t="shared" si="8"/>
        <v>20</v>
      </c>
      <c r="W681" s="15">
        <f t="shared" si="9"/>
        <v>1</v>
      </c>
      <c r="X681" s="15">
        <f t="shared" si="10"/>
        <v>2025</v>
      </c>
    </row>
    <row r="682">
      <c r="A682" s="9">
        <v>45677.0</v>
      </c>
      <c r="B682" s="10"/>
      <c r="C682" s="9">
        <f t="shared" si="22"/>
        <v>45677</v>
      </c>
      <c r="D682" s="11" t="s">
        <v>123</v>
      </c>
      <c r="E682" s="11" t="s">
        <v>25</v>
      </c>
      <c r="F682" s="11" t="s">
        <v>40</v>
      </c>
      <c r="G682" s="11" t="s">
        <v>27</v>
      </c>
      <c r="H682" s="11" t="s">
        <v>483</v>
      </c>
      <c r="I682" s="12">
        <v>624.05</v>
      </c>
      <c r="J682" s="13"/>
      <c r="K682" s="13">
        <f t="shared" si="47"/>
        <v>624.05</v>
      </c>
      <c r="L682" s="11" t="s">
        <v>29</v>
      </c>
      <c r="M682" s="14"/>
      <c r="N682" s="11" t="s">
        <v>123</v>
      </c>
      <c r="O682" s="10" t="str">
        <f t="shared" si="3"/>
        <v>01/2025</v>
      </c>
      <c r="P682" s="10" t="str">
        <f t="shared" si="29"/>
        <v>01/2025</v>
      </c>
      <c r="Q682" s="15" t="str">
        <f t="array" ref="Q682">IFERROR(XLOOKUP(N682,'Classificação'!A:A,'Classificação'!B:B),"")</f>
        <v>DESPESAS COM PESSOAL</v>
      </c>
      <c r="R682" s="15" t="str">
        <f t="array" ref="R682">IFERROR(XLOOKUP(Q682,'Classificação'!B:B,'Classificação'!C:C),"")</f>
        <v>DESPESAS FIXAS (-)</v>
      </c>
      <c r="S682" s="15">
        <f t="shared" si="5"/>
        <v>20</v>
      </c>
      <c r="T682" s="15">
        <f t="shared" si="6"/>
        <v>1</v>
      </c>
      <c r="U682" s="15">
        <f t="shared" si="7"/>
        <v>2025</v>
      </c>
      <c r="V682" s="15">
        <f t="shared" si="8"/>
        <v>20</v>
      </c>
      <c r="W682" s="15">
        <f t="shared" si="9"/>
        <v>1</v>
      </c>
      <c r="X682" s="15">
        <f t="shared" si="10"/>
        <v>2025</v>
      </c>
    </row>
    <row r="683">
      <c r="A683" s="9">
        <v>45677.0</v>
      </c>
      <c r="B683" s="10"/>
      <c r="C683" s="9">
        <f t="shared" si="22"/>
        <v>45677</v>
      </c>
      <c r="D683" s="11" t="s">
        <v>126</v>
      </c>
      <c r="E683" s="11" t="s">
        <v>25</v>
      </c>
      <c r="F683" s="11" t="s">
        <v>40</v>
      </c>
      <c r="G683" s="11" t="s">
        <v>27</v>
      </c>
      <c r="H683" s="11" t="s">
        <v>483</v>
      </c>
      <c r="I683" s="12">
        <v>761.0</v>
      </c>
      <c r="J683" s="13"/>
      <c r="K683" s="13">
        <f t="shared" si="47"/>
        <v>761</v>
      </c>
      <c r="L683" s="11" t="s">
        <v>29</v>
      </c>
      <c r="M683" s="14"/>
      <c r="N683" s="11" t="s">
        <v>126</v>
      </c>
      <c r="O683" s="10" t="str">
        <f t="shared" si="3"/>
        <v>01/2025</v>
      </c>
      <c r="P683" s="10" t="str">
        <f t="shared" si="29"/>
        <v>01/2025</v>
      </c>
      <c r="Q683" s="15" t="str">
        <f t="array" ref="Q683">IFERROR(XLOOKUP(N683,'Classificação'!A:A,'Classificação'!B:B),"")</f>
        <v>DESPESAS COM PESSOAL</v>
      </c>
      <c r="R683" s="15" t="str">
        <f t="array" ref="R683">IFERROR(XLOOKUP(Q683,'Classificação'!B:B,'Classificação'!C:C),"")</f>
        <v>DESPESAS FIXAS (-)</v>
      </c>
      <c r="S683" s="15">
        <f t="shared" si="5"/>
        <v>20</v>
      </c>
      <c r="T683" s="15">
        <f t="shared" si="6"/>
        <v>1</v>
      </c>
      <c r="U683" s="15">
        <f t="shared" si="7"/>
        <v>2025</v>
      </c>
      <c r="V683" s="15">
        <f t="shared" si="8"/>
        <v>20</v>
      </c>
      <c r="W683" s="15">
        <f t="shared" si="9"/>
        <v>1</v>
      </c>
      <c r="X683" s="15">
        <f t="shared" si="10"/>
        <v>2025</v>
      </c>
    </row>
    <row r="684">
      <c r="A684" s="9">
        <v>45677.0</v>
      </c>
      <c r="B684" s="32">
        <v>45636.0</v>
      </c>
      <c r="C684" s="9">
        <f t="shared" si="22"/>
        <v>45677</v>
      </c>
      <c r="D684" s="11" t="s">
        <v>65</v>
      </c>
      <c r="E684" s="11" t="s">
        <v>25</v>
      </c>
      <c r="F684" s="11" t="s">
        <v>107</v>
      </c>
      <c r="G684" s="11" t="s">
        <v>27</v>
      </c>
      <c r="H684" s="11" t="s">
        <v>484</v>
      </c>
      <c r="I684" s="31">
        <v>346.27</v>
      </c>
      <c r="J684" s="13"/>
      <c r="K684" s="13">
        <f t="shared" si="47"/>
        <v>346.27</v>
      </c>
      <c r="L684" s="11" t="s">
        <v>34</v>
      </c>
      <c r="M684" s="14"/>
      <c r="N684" s="11" t="s">
        <v>143</v>
      </c>
      <c r="O684" s="10" t="str">
        <f t="shared" si="3"/>
        <v>01/2025</v>
      </c>
      <c r="P684" s="10" t="str">
        <f t="shared" si="29"/>
        <v>01/2025</v>
      </c>
      <c r="Q684" s="15" t="str">
        <f t="array" ref="Q684">IFERROR(XLOOKUP(N684,'Classificação'!A:A,'Classificação'!B:B),"")</f>
        <v>EMBALAGENS/FITAS/GERAL</v>
      </c>
      <c r="R684" s="15" t="str">
        <f t="array" ref="R684">IFERROR(XLOOKUP(Q684,'Classificação'!B:B,'Classificação'!C:C),"")</f>
        <v>CUSTOS VARIÁVEIS</v>
      </c>
      <c r="S684" s="15">
        <f t="shared" si="5"/>
        <v>20</v>
      </c>
      <c r="T684" s="15">
        <f t="shared" si="6"/>
        <v>1</v>
      </c>
      <c r="U684" s="15">
        <f t="shared" si="7"/>
        <v>2025</v>
      </c>
      <c r="V684" s="15">
        <f t="shared" si="8"/>
        <v>20</v>
      </c>
      <c r="W684" s="15">
        <f t="shared" si="9"/>
        <v>1</v>
      </c>
      <c r="X684" s="15">
        <f t="shared" si="10"/>
        <v>2025</v>
      </c>
    </row>
    <row r="685">
      <c r="A685" s="9">
        <v>45677.0</v>
      </c>
      <c r="B685" s="32">
        <v>45639.0</v>
      </c>
      <c r="C685" s="9">
        <f t="shared" si="22"/>
        <v>45677</v>
      </c>
      <c r="D685" s="11" t="s">
        <v>112</v>
      </c>
      <c r="E685" s="11" t="s">
        <v>25</v>
      </c>
      <c r="F685" s="11" t="s">
        <v>107</v>
      </c>
      <c r="G685" s="11" t="s">
        <v>27</v>
      </c>
      <c r="H685" s="11" t="s">
        <v>485</v>
      </c>
      <c r="I685" s="31">
        <v>45.99</v>
      </c>
      <c r="J685" s="13"/>
      <c r="K685" s="13">
        <f t="shared" si="47"/>
        <v>45.99</v>
      </c>
      <c r="L685" s="11" t="s">
        <v>34</v>
      </c>
      <c r="M685" s="14"/>
      <c r="N685" s="11" t="s">
        <v>71</v>
      </c>
      <c r="O685" s="10" t="str">
        <f t="shared" si="3"/>
        <v>01/2025</v>
      </c>
      <c r="P685" s="10" t="str">
        <f t="shared" si="29"/>
        <v>01/2025</v>
      </c>
      <c r="Q685" s="15" t="str">
        <f t="array" ref="Q685">IFERROR(XLOOKUP(N685,'Classificação'!A:A,'Classificação'!B:B),"")</f>
        <v>DESPESAS DIVERSAS</v>
      </c>
      <c r="R685" s="15" t="str">
        <f t="array" ref="R685">IFERROR(XLOOKUP(Q685,'Classificação'!B:B,'Classificação'!C:C),"")</f>
        <v>DESPESAS FIXAS (-)</v>
      </c>
      <c r="S685" s="15">
        <f t="shared" si="5"/>
        <v>20</v>
      </c>
      <c r="T685" s="15">
        <f t="shared" si="6"/>
        <v>1</v>
      </c>
      <c r="U685" s="15">
        <f t="shared" si="7"/>
        <v>2025</v>
      </c>
      <c r="V685" s="15">
        <f t="shared" si="8"/>
        <v>20</v>
      </c>
      <c r="W685" s="15">
        <f t="shared" si="9"/>
        <v>1</v>
      </c>
      <c r="X685" s="15">
        <f t="shared" si="10"/>
        <v>2025</v>
      </c>
    </row>
    <row r="686">
      <c r="A686" s="9">
        <v>45677.0</v>
      </c>
      <c r="B686" s="10"/>
      <c r="C686" s="9">
        <f t="shared" si="22"/>
        <v>45677</v>
      </c>
      <c r="D686" s="11" t="s">
        <v>369</v>
      </c>
      <c r="E686" s="11" t="s">
        <v>25</v>
      </c>
      <c r="F686" s="11" t="s">
        <v>107</v>
      </c>
      <c r="G686" s="11" t="s">
        <v>27</v>
      </c>
      <c r="H686" s="11" t="s">
        <v>486</v>
      </c>
      <c r="I686" s="31">
        <v>79.9</v>
      </c>
      <c r="J686" s="13"/>
      <c r="K686" s="13">
        <f t="shared" si="47"/>
        <v>79.9</v>
      </c>
      <c r="L686" s="11" t="s">
        <v>53</v>
      </c>
      <c r="M686" s="16" t="s">
        <v>487</v>
      </c>
      <c r="N686" s="11" t="s">
        <v>105</v>
      </c>
      <c r="O686" s="10" t="str">
        <f t="shared" si="3"/>
        <v>01/2025</v>
      </c>
      <c r="P686" s="10" t="str">
        <f t="shared" si="29"/>
        <v>01/2025</v>
      </c>
      <c r="Q686" s="15" t="str">
        <f t="array" ref="Q686">IFERROR(XLOOKUP(N686,'Classificação'!A:A,'Classificação'!B:B),"")</f>
        <v>DESPESAS ADMINISTRATIVAS</v>
      </c>
      <c r="R686" s="15" t="str">
        <f t="array" ref="R686">IFERROR(XLOOKUP(Q686,'Classificação'!B:B,'Classificação'!C:C),"")</f>
        <v>DESPESAS FIXAS (-)</v>
      </c>
      <c r="S686" s="15">
        <f t="shared" si="5"/>
        <v>20</v>
      </c>
      <c r="T686" s="15">
        <f t="shared" si="6"/>
        <v>1</v>
      </c>
      <c r="U686" s="15">
        <f t="shared" si="7"/>
        <v>2025</v>
      </c>
      <c r="V686" s="15">
        <f t="shared" si="8"/>
        <v>20</v>
      </c>
      <c r="W686" s="15">
        <f t="shared" si="9"/>
        <v>1</v>
      </c>
      <c r="X686" s="15">
        <f t="shared" si="10"/>
        <v>2025</v>
      </c>
    </row>
    <row r="687">
      <c r="A687" s="9">
        <v>45677.0</v>
      </c>
      <c r="B687" s="10"/>
      <c r="C687" s="9">
        <f t="shared" si="22"/>
        <v>45677</v>
      </c>
      <c r="D687" s="11" t="s">
        <v>322</v>
      </c>
      <c r="E687" s="11" t="s">
        <v>25</v>
      </c>
      <c r="F687" s="11" t="s">
        <v>110</v>
      </c>
      <c r="G687" s="11" t="s">
        <v>27</v>
      </c>
      <c r="H687" s="11" t="s">
        <v>323</v>
      </c>
      <c r="I687" s="31">
        <v>46.2</v>
      </c>
      <c r="J687" s="13"/>
      <c r="K687" s="13">
        <f t="shared" si="47"/>
        <v>46.2</v>
      </c>
      <c r="L687" s="11" t="s">
        <v>53</v>
      </c>
      <c r="M687" s="17">
        <v>45630.0</v>
      </c>
      <c r="N687" s="11" t="s">
        <v>105</v>
      </c>
      <c r="O687" s="10" t="str">
        <f t="shared" si="3"/>
        <v>01/2025</v>
      </c>
      <c r="P687" s="10" t="str">
        <f t="shared" si="29"/>
        <v>01/2025</v>
      </c>
      <c r="Q687" s="15" t="str">
        <f t="array" ref="Q687">IFERROR(XLOOKUP(N687,'Classificação'!A:A,'Classificação'!B:B),"")</f>
        <v>DESPESAS ADMINISTRATIVAS</v>
      </c>
      <c r="R687" s="15" t="str">
        <f t="array" ref="R687">IFERROR(XLOOKUP(Q687,'Classificação'!B:B,'Classificação'!C:C),"")</f>
        <v>DESPESAS FIXAS (-)</v>
      </c>
      <c r="S687" s="15">
        <f t="shared" si="5"/>
        <v>20</v>
      </c>
      <c r="T687" s="15">
        <f t="shared" si="6"/>
        <v>1</v>
      </c>
      <c r="U687" s="15">
        <f t="shared" si="7"/>
        <v>2025</v>
      </c>
      <c r="V687" s="15">
        <f t="shared" si="8"/>
        <v>20</v>
      </c>
      <c r="W687" s="15">
        <f t="shared" si="9"/>
        <v>1</v>
      </c>
      <c r="X687" s="15">
        <f t="shared" si="10"/>
        <v>2025</v>
      </c>
    </row>
    <row r="688">
      <c r="A688" s="9">
        <v>45677.0</v>
      </c>
      <c r="B688" s="32">
        <v>45638.0</v>
      </c>
      <c r="C688" s="9">
        <f t="shared" si="22"/>
        <v>45677</v>
      </c>
      <c r="D688" s="11" t="s">
        <v>488</v>
      </c>
      <c r="E688" s="11" t="s">
        <v>25</v>
      </c>
      <c r="F688" s="11" t="s">
        <v>107</v>
      </c>
      <c r="G688" s="11" t="s">
        <v>27</v>
      </c>
      <c r="H688" s="11" t="s">
        <v>489</v>
      </c>
      <c r="I688" s="31">
        <v>492.92</v>
      </c>
      <c r="J688" s="13"/>
      <c r="K688" s="13">
        <f t="shared" si="47"/>
        <v>492.92</v>
      </c>
      <c r="L688" s="11" t="s">
        <v>53</v>
      </c>
      <c r="M688" s="17">
        <v>45323.0</v>
      </c>
      <c r="N688" s="11" t="s">
        <v>64</v>
      </c>
      <c r="O688" s="10" t="str">
        <f t="shared" si="3"/>
        <v>01/2025</v>
      </c>
      <c r="P688" s="10" t="str">
        <f t="shared" si="29"/>
        <v>01/2025</v>
      </c>
      <c r="Q688" s="15" t="str">
        <f t="array" ref="Q688">IFERROR(XLOOKUP(N688,'Classificação'!A:A,'Classificação'!B:B),"")</f>
        <v>DESPESAS COM PESSOAL</v>
      </c>
      <c r="R688" s="15" t="str">
        <f t="array" ref="R688">IFERROR(XLOOKUP(Q688,'Classificação'!B:B,'Classificação'!C:C),"")</f>
        <v>DESPESAS FIXAS (-)</v>
      </c>
      <c r="S688" s="15">
        <f t="shared" si="5"/>
        <v>20</v>
      </c>
      <c r="T688" s="15">
        <f t="shared" si="6"/>
        <v>1</v>
      </c>
      <c r="U688" s="15">
        <f t="shared" si="7"/>
        <v>2025</v>
      </c>
      <c r="V688" s="15">
        <f t="shared" si="8"/>
        <v>20</v>
      </c>
      <c r="W688" s="15">
        <f t="shared" si="9"/>
        <v>1</v>
      </c>
      <c r="X688" s="15">
        <f t="shared" si="10"/>
        <v>2025</v>
      </c>
    </row>
    <row r="689">
      <c r="A689" s="9">
        <v>45677.0</v>
      </c>
      <c r="B689" s="9">
        <v>45632.0</v>
      </c>
      <c r="C689" s="9">
        <f t="shared" si="22"/>
        <v>45677</v>
      </c>
      <c r="D689" s="11" t="s">
        <v>490</v>
      </c>
      <c r="E689" s="11" t="s">
        <v>25</v>
      </c>
      <c r="F689" s="11" t="s">
        <v>107</v>
      </c>
      <c r="G689" s="11" t="s">
        <v>27</v>
      </c>
      <c r="H689" s="11" t="s">
        <v>491</v>
      </c>
      <c r="I689" s="31">
        <v>265.55</v>
      </c>
      <c r="J689" s="13"/>
      <c r="K689" s="13">
        <f t="shared" si="47"/>
        <v>265.55</v>
      </c>
      <c r="L689" s="11" t="s">
        <v>53</v>
      </c>
      <c r="M689" s="17">
        <v>45383.0</v>
      </c>
      <c r="N689" s="11" t="s">
        <v>175</v>
      </c>
      <c r="O689" s="10" t="str">
        <f t="shared" si="3"/>
        <v>01/2025</v>
      </c>
      <c r="P689" s="10" t="str">
        <f t="shared" si="29"/>
        <v>01/2025</v>
      </c>
      <c r="Q689" s="15" t="str">
        <f t="array" ref="Q689">IFERROR(XLOOKUP(N689,'Classificação'!A:A,'Classificação'!B:B),"")</f>
        <v>DESPESAS COM VEICULOS</v>
      </c>
      <c r="R689" s="15" t="str">
        <f t="array" ref="R689">IFERROR(XLOOKUP(Q689,'Classificação'!B:B,'Classificação'!C:C),"")</f>
        <v>DESPESAS FIXAS (-)</v>
      </c>
      <c r="S689" s="15">
        <f t="shared" si="5"/>
        <v>20</v>
      </c>
      <c r="T689" s="15">
        <f t="shared" si="6"/>
        <v>1</v>
      </c>
      <c r="U689" s="15">
        <f t="shared" si="7"/>
        <v>2025</v>
      </c>
      <c r="V689" s="15">
        <f t="shared" si="8"/>
        <v>20</v>
      </c>
      <c r="W689" s="15">
        <f t="shared" si="9"/>
        <v>1</v>
      </c>
      <c r="X689" s="15">
        <f t="shared" si="10"/>
        <v>2025</v>
      </c>
    </row>
    <row r="690">
      <c r="A690" s="9">
        <v>45677.0</v>
      </c>
      <c r="B690" s="10"/>
      <c r="C690" s="9">
        <f t="shared" si="22"/>
        <v>45677</v>
      </c>
      <c r="D690" s="11" t="s">
        <v>106</v>
      </c>
      <c r="E690" s="11" t="s">
        <v>25</v>
      </c>
      <c r="F690" s="11" t="s">
        <v>107</v>
      </c>
      <c r="G690" s="11" t="s">
        <v>27</v>
      </c>
      <c r="H690" s="11" t="s">
        <v>241</v>
      </c>
      <c r="I690" s="31">
        <v>278.01</v>
      </c>
      <c r="J690" s="13"/>
      <c r="K690" s="13">
        <f t="shared" si="47"/>
        <v>278.01</v>
      </c>
      <c r="L690" s="11" t="s">
        <v>53</v>
      </c>
      <c r="M690" s="20">
        <v>45479.0</v>
      </c>
      <c r="N690" s="11" t="s">
        <v>95</v>
      </c>
      <c r="O690" s="10" t="str">
        <f t="shared" si="3"/>
        <v>01/2025</v>
      </c>
      <c r="P690" s="10" t="str">
        <f t="shared" si="29"/>
        <v>01/2025</v>
      </c>
      <c r="Q690" s="15" t="str">
        <f t="array" ref="Q690">IFERROR(XLOOKUP(N690,'Classificação'!A:A,'Classificação'!B:B),"")</f>
        <v>DESPESAS NÃO OPERACIONAIS</v>
      </c>
      <c r="R690" s="15" t="str">
        <f t="array" ref="R690">IFERROR(XLOOKUP(Q690,'Classificação'!B:B,'Classificação'!C:C),"")</f>
        <v>RESULTADO NÃO OPERACIONAL (+/-)</v>
      </c>
      <c r="S690" s="15">
        <f t="shared" si="5"/>
        <v>20</v>
      </c>
      <c r="T690" s="15">
        <f t="shared" si="6"/>
        <v>1</v>
      </c>
      <c r="U690" s="15">
        <f t="shared" si="7"/>
        <v>2025</v>
      </c>
      <c r="V690" s="15">
        <f t="shared" si="8"/>
        <v>20</v>
      </c>
      <c r="W690" s="15">
        <f t="shared" si="9"/>
        <v>1</v>
      </c>
      <c r="X690" s="15">
        <f t="shared" si="10"/>
        <v>2025</v>
      </c>
    </row>
    <row r="691">
      <c r="A691" s="9">
        <v>45677.0</v>
      </c>
      <c r="B691" s="10"/>
      <c r="C691" s="9">
        <f t="shared" si="22"/>
        <v>45677</v>
      </c>
      <c r="D691" s="11" t="s">
        <v>131</v>
      </c>
      <c r="E691" s="11" t="s">
        <v>25</v>
      </c>
      <c r="F691" s="11" t="s">
        <v>107</v>
      </c>
      <c r="G691" s="11" t="s">
        <v>27</v>
      </c>
      <c r="I691" s="31">
        <v>249.34</v>
      </c>
      <c r="J691" s="13"/>
      <c r="K691" s="13">
        <f t="shared" si="47"/>
        <v>249.34</v>
      </c>
      <c r="L691" s="11" t="s">
        <v>53</v>
      </c>
      <c r="M691" s="17">
        <v>45634.0</v>
      </c>
      <c r="N691" s="11" t="s">
        <v>133</v>
      </c>
      <c r="O691" s="10" t="str">
        <f t="shared" si="3"/>
        <v>01/2025</v>
      </c>
      <c r="P691" s="10" t="str">
        <f t="shared" si="29"/>
        <v>01/2025</v>
      </c>
      <c r="Q691" s="15" t="str">
        <f t="array" ref="Q691">IFERROR(XLOOKUP(N691,'Classificação'!A:A,'Classificação'!B:B),"")</f>
        <v>DESPESAS COM VEICULOS</v>
      </c>
      <c r="R691" s="15" t="str">
        <f t="array" ref="R691">IFERROR(XLOOKUP(Q691,'Classificação'!B:B,'Classificação'!C:C),"")</f>
        <v>DESPESAS FIXAS (-)</v>
      </c>
      <c r="S691" s="15">
        <f t="shared" si="5"/>
        <v>20</v>
      </c>
      <c r="T691" s="15">
        <f t="shared" si="6"/>
        <v>1</v>
      </c>
      <c r="U691" s="15">
        <f t="shared" si="7"/>
        <v>2025</v>
      </c>
      <c r="V691" s="15">
        <f t="shared" si="8"/>
        <v>20</v>
      </c>
      <c r="W691" s="15">
        <f t="shared" si="9"/>
        <v>1</v>
      </c>
      <c r="X691" s="15">
        <f t="shared" si="10"/>
        <v>2025</v>
      </c>
    </row>
    <row r="692">
      <c r="A692" s="9">
        <v>45677.0</v>
      </c>
      <c r="B692" s="10"/>
      <c r="C692" s="9">
        <f t="shared" si="22"/>
        <v>45677</v>
      </c>
      <c r="D692" s="11" t="s">
        <v>65</v>
      </c>
      <c r="E692" s="11" t="s">
        <v>25</v>
      </c>
      <c r="F692" s="11" t="s">
        <v>107</v>
      </c>
      <c r="G692" s="11" t="s">
        <v>27</v>
      </c>
      <c r="H692" s="11" t="s">
        <v>248</v>
      </c>
      <c r="I692" s="31">
        <v>64.9</v>
      </c>
      <c r="J692" s="13"/>
      <c r="K692" s="13">
        <f t="shared" si="47"/>
        <v>64.9</v>
      </c>
      <c r="L692" s="11" t="s">
        <v>53</v>
      </c>
      <c r="M692" s="17">
        <v>45573.0</v>
      </c>
      <c r="N692" s="11" t="s">
        <v>95</v>
      </c>
      <c r="O692" s="10" t="str">
        <f t="shared" si="3"/>
        <v>01/2025</v>
      </c>
      <c r="P692" s="10" t="str">
        <f t="shared" si="29"/>
        <v>01/2025</v>
      </c>
      <c r="Q692" s="15" t="str">
        <f t="array" ref="Q692">IFERROR(XLOOKUP(N692,'Classificação'!A:A,'Classificação'!B:B),"")</f>
        <v>DESPESAS NÃO OPERACIONAIS</v>
      </c>
      <c r="R692" s="15" t="str">
        <f t="array" ref="R692">IFERROR(XLOOKUP(Q692,'Classificação'!B:B,'Classificação'!C:C),"")</f>
        <v>RESULTADO NÃO OPERACIONAL (+/-)</v>
      </c>
      <c r="S692" s="15">
        <f t="shared" si="5"/>
        <v>20</v>
      </c>
      <c r="T692" s="15">
        <f t="shared" si="6"/>
        <v>1</v>
      </c>
      <c r="U692" s="15">
        <f t="shared" si="7"/>
        <v>2025</v>
      </c>
      <c r="V692" s="15">
        <f t="shared" si="8"/>
        <v>20</v>
      </c>
      <c r="W692" s="15">
        <f t="shared" si="9"/>
        <v>1</v>
      </c>
      <c r="X692" s="15">
        <f t="shared" si="10"/>
        <v>2025</v>
      </c>
    </row>
    <row r="693">
      <c r="A693" s="9">
        <v>45677.0</v>
      </c>
      <c r="B693" s="9">
        <v>45635.0</v>
      </c>
      <c r="C693" s="9">
        <f t="shared" si="22"/>
        <v>45677</v>
      </c>
      <c r="D693" s="11" t="s">
        <v>114</v>
      </c>
      <c r="E693" s="11" t="s">
        <v>25</v>
      </c>
      <c r="F693" s="11" t="s">
        <v>110</v>
      </c>
      <c r="G693" s="11" t="s">
        <v>27</v>
      </c>
      <c r="H693" s="11" t="s">
        <v>492</v>
      </c>
      <c r="I693" s="31">
        <v>151.83</v>
      </c>
      <c r="J693" s="13"/>
      <c r="K693" s="13">
        <f t="shared" si="47"/>
        <v>151.83</v>
      </c>
      <c r="L693" s="11" t="s">
        <v>34</v>
      </c>
      <c r="M693" s="14"/>
      <c r="N693" s="11" t="s">
        <v>143</v>
      </c>
      <c r="O693" s="10" t="str">
        <f t="shared" si="3"/>
        <v>01/2025</v>
      </c>
      <c r="P693" s="10" t="str">
        <f t="shared" si="29"/>
        <v>01/2025</v>
      </c>
      <c r="Q693" s="15" t="str">
        <f t="array" ref="Q693">IFERROR(XLOOKUP(N693,'Classificação'!A:A,'Classificação'!B:B),"")</f>
        <v>EMBALAGENS/FITAS/GERAL</v>
      </c>
      <c r="R693" s="15" t="str">
        <f t="array" ref="R693">IFERROR(XLOOKUP(Q693,'Classificação'!B:B,'Classificação'!C:C),"")</f>
        <v>CUSTOS VARIÁVEIS</v>
      </c>
      <c r="S693" s="15">
        <f t="shared" si="5"/>
        <v>20</v>
      </c>
      <c r="T693" s="15">
        <f t="shared" si="6"/>
        <v>1</v>
      </c>
      <c r="U693" s="15">
        <f t="shared" si="7"/>
        <v>2025</v>
      </c>
      <c r="V693" s="15">
        <f t="shared" si="8"/>
        <v>20</v>
      </c>
      <c r="W693" s="15">
        <f t="shared" si="9"/>
        <v>1</v>
      </c>
      <c r="X693" s="15">
        <f t="shared" si="10"/>
        <v>2025</v>
      </c>
    </row>
    <row r="694">
      <c r="A694" s="9">
        <v>45677.0</v>
      </c>
      <c r="B694" s="10"/>
      <c r="C694" s="9">
        <f t="shared" si="22"/>
        <v>45677</v>
      </c>
      <c r="D694" s="11" t="s">
        <v>163</v>
      </c>
      <c r="E694" s="11" t="s">
        <v>25</v>
      </c>
      <c r="F694" s="11" t="s">
        <v>107</v>
      </c>
      <c r="G694" s="11" t="s">
        <v>27</v>
      </c>
      <c r="H694" s="11" t="s">
        <v>253</v>
      </c>
      <c r="I694" s="31">
        <v>144.15</v>
      </c>
      <c r="J694" s="13"/>
      <c r="K694" s="13">
        <f t="shared" si="47"/>
        <v>144.15</v>
      </c>
      <c r="L694" s="11" t="s">
        <v>53</v>
      </c>
      <c r="M694" s="17">
        <v>45632.0</v>
      </c>
      <c r="N694" s="11" t="s">
        <v>95</v>
      </c>
      <c r="O694" s="10" t="str">
        <f t="shared" si="3"/>
        <v>01/2025</v>
      </c>
      <c r="P694" s="10" t="str">
        <f t="shared" si="29"/>
        <v>01/2025</v>
      </c>
      <c r="Q694" s="15" t="str">
        <f t="array" ref="Q694">IFERROR(XLOOKUP(N694,'Classificação'!A:A,'Classificação'!B:B),"")</f>
        <v>DESPESAS NÃO OPERACIONAIS</v>
      </c>
      <c r="R694" s="15" t="str">
        <f t="array" ref="R694">IFERROR(XLOOKUP(Q694,'Classificação'!B:B,'Classificação'!C:C),"")</f>
        <v>RESULTADO NÃO OPERACIONAL (+/-)</v>
      </c>
      <c r="S694" s="15">
        <f t="shared" si="5"/>
        <v>20</v>
      </c>
      <c r="T694" s="15">
        <f t="shared" si="6"/>
        <v>1</v>
      </c>
      <c r="U694" s="15">
        <f t="shared" si="7"/>
        <v>2025</v>
      </c>
      <c r="V694" s="15">
        <f t="shared" si="8"/>
        <v>20</v>
      </c>
      <c r="W694" s="15">
        <f t="shared" si="9"/>
        <v>1</v>
      </c>
      <c r="X694" s="15">
        <f t="shared" si="10"/>
        <v>2025</v>
      </c>
    </row>
    <row r="695">
      <c r="A695" s="9">
        <v>45677.0</v>
      </c>
      <c r="B695" s="19">
        <v>45421.0</v>
      </c>
      <c r="C695" s="9">
        <f t="shared" si="22"/>
        <v>45677</v>
      </c>
      <c r="D695" s="11" t="s">
        <v>173</v>
      </c>
      <c r="E695" s="11" t="s">
        <v>25</v>
      </c>
      <c r="F695" s="11" t="s">
        <v>107</v>
      </c>
      <c r="G695" s="11" t="s">
        <v>27</v>
      </c>
      <c r="I695" s="31">
        <v>298.9</v>
      </c>
      <c r="J695" s="13"/>
      <c r="K695" s="13">
        <f t="shared" si="47"/>
        <v>298.9</v>
      </c>
      <c r="L695" s="11" t="s">
        <v>53</v>
      </c>
      <c r="M695" s="17">
        <v>45573.0</v>
      </c>
      <c r="N695" s="11" t="s">
        <v>175</v>
      </c>
      <c r="O695" s="10" t="str">
        <f t="shared" si="3"/>
        <v>01/2025</v>
      </c>
      <c r="P695" s="10" t="str">
        <f t="shared" si="29"/>
        <v>01/2025</v>
      </c>
      <c r="Q695" s="15" t="str">
        <f t="array" ref="Q695">IFERROR(XLOOKUP(N695,'Classificação'!A:A,'Classificação'!B:B),"")</f>
        <v>DESPESAS COM VEICULOS</v>
      </c>
      <c r="R695" s="15" t="str">
        <f t="array" ref="R695">IFERROR(XLOOKUP(Q695,'Classificação'!B:B,'Classificação'!C:C),"")</f>
        <v>DESPESAS FIXAS (-)</v>
      </c>
      <c r="S695" s="15">
        <f t="shared" si="5"/>
        <v>20</v>
      </c>
      <c r="T695" s="15">
        <f t="shared" si="6"/>
        <v>1</v>
      </c>
      <c r="U695" s="15">
        <f t="shared" si="7"/>
        <v>2025</v>
      </c>
      <c r="V695" s="15">
        <f t="shared" si="8"/>
        <v>20</v>
      </c>
      <c r="W695" s="15">
        <f t="shared" si="9"/>
        <v>1</v>
      </c>
      <c r="X695" s="15">
        <f t="shared" si="10"/>
        <v>2025</v>
      </c>
    </row>
    <row r="696">
      <c r="A696" s="9">
        <v>45677.0</v>
      </c>
      <c r="B696" s="9">
        <v>45523.0</v>
      </c>
      <c r="C696" s="9">
        <f t="shared" si="22"/>
        <v>45677</v>
      </c>
      <c r="D696" s="11" t="s">
        <v>65</v>
      </c>
      <c r="E696" s="11" t="s">
        <v>25</v>
      </c>
      <c r="F696" s="11" t="s">
        <v>107</v>
      </c>
      <c r="G696" s="11" t="s">
        <v>27</v>
      </c>
      <c r="H696" s="11" t="s">
        <v>263</v>
      </c>
      <c r="I696" s="31">
        <v>102.67</v>
      </c>
      <c r="J696" s="13"/>
      <c r="K696" s="13">
        <f t="shared" si="47"/>
        <v>102.67</v>
      </c>
      <c r="L696" s="11" t="s">
        <v>53</v>
      </c>
      <c r="M696" s="17">
        <v>45631.0</v>
      </c>
      <c r="N696" s="11" t="s">
        <v>95</v>
      </c>
      <c r="O696" s="10" t="str">
        <f t="shared" si="3"/>
        <v>01/2025</v>
      </c>
      <c r="P696" s="10" t="str">
        <f t="shared" si="29"/>
        <v>01/2025</v>
      </c>
      <c r="Q696" s="15" t="str">
        <f t="array" ref="Q696">IFERROR(XLOOKUP(N696,'Classificação'!A:A,'Classificação'!B:B),"")</f>
        <v>DESPESAS NÃO OPERACIONAIS</v>
      </c>
      <c r="R696" s="15" t="str">
        <f t="array" ref="R696">IFERROR(XLOOKUP(Q696,'Classificação'!B:B,'Classificação'!C:C),"")</f>
        <v>RESULTADO NÃO OPERACIONAL (+/-)</v>
      </c>
      <c r="S696" s="15">
        <f t="shared" si="5"/>
        <v>20</v>
      </c>
      <c r="T696" s="15">
        <f t="shared" si="6"/>
        <v>1</v>
      </c>
      <c r="U696" s="15">
        <f t="shared" si="7"/>
        <v>2025</v>
      </c>
      <c r="V696" s="15">
        <f t="shared" si="8"/>
        <v>20</v>
      </c>
      <c r="W696" s="15">
        <f t="shared" si="9"/>
        <v>1</v>
      </c>
      <c r="X696" s="15">
        <f t="shared" si="10"/>
        <v>2025</v>
      </c>
    </row>
    <row r="697">
      <c r="A697" s="9">
        <v>45677.0</v>
      </c>
      <c r="B697" s="9">
        <v>45553.0</v>
      </c>
      <c r="C697" s="9">
        <f t="shared" si="22"/>
        <v>45677</v>
      </c>
      <c r="D697" s="11" t="s">
        <v>313</v>
      </c>
      <c r="E697" s="11" t="s">
        <v>25</v>
      </c>
      <c r="F697" s="11" t="s">
        <v>107</v>
      </c>
      <c r="G697" s="11" t="s">
        <v>27</v>
      </c>
      <c r="H697" s="11" t="s">
        <v>314</v>
      </c>
      <c r="I697" s="31">
        <v>287.13</v>
      </c>
      <c r="J697" s="13"/>
      <c r="K697" s="13">
        <f t="shared" si="47"/>
        <v>287.13</v>
      </c>
      <c r="L697" s="11" t="s">
        <v>53</v>
      </c>
      <c r="M697" s="17">
        <v>45630.0</v>
      </c>
      <c r="N697" s="11" t="s">
        <v>95</v>
      </c>
      <c r="O697" s="10" t="str">
        <f t="shared" si="3"/>
        <v>01/2025</v>
      </c>
      <c r="P697" s="10" t="str">
        <f t="shared" si="29"/>
        <v>01/2025</v>
      </c>
      <c r="Q697" s="15" t="str">
        <f t="array" ref="Q697">IFERROR(XLOOKUP(N697,'Classificação'!A:A,'Classificação'!B:B),"")</f>
        <v>DESPESAS NÃO OPERACIONAIS</v>
      </c>
      <c r="R697" s="15" t="str">
        <f t="array" ref="R697">IFERROR(XLOOKUP(Q697,'Classificação'!B:B,'Classificação'!C:C),"")</f>
        <v>RESULTADO NÃO OPERACIONAL (+/-)</v>
      </c>
      <c r="S697" s="15">
        <f t="shared" si="5"/>
        <v>20</v>
      </c>
      <c r="T697" s="15">
        <f t="shared" si="6"/>
        <v>1</v>
      </c>
      <c r="U697" s="15">
        <f t="shared" si="7"/>
        <v>2025</v>
      </c>
      <c r="V697" s="15">
        <f t="shared" si="8"/>
        <v>20</v>
      </c>
      <c r="W697" s="15">
        <f t="shared" si="9"/>
        <v>1</v>
      </c>
      <c r="X697" s="15">
        <f t="shared" si="10"/>
        <v>2025</v>
      </c>
    </row>
    <row r="698">
      <c r="A698" s="9">
        <v>45677.0</v>
      </c>
      <c r="B698" s="9">
        <v>45561.0</v>
      </c>
      <c r="C698" s="9">
        <f t="shared" si="22"/>
        <v>45677</v>
      </c>
      <c r="D698" s="11" t="s">
        <v>316</v>
      </c>
      <c r="E698" s="11" t="s">
        <v>25</v>
      </c>
      <c r="F698" s="11" t="s">
        <v>107</v>
      </c>
      <c r="G698" s="11" t="s">
        <v>27</v>
      </c>
      <c r="H698" s="11" t="s">
        <v>317</v>
      </c>
      <c r="I698" s="31">
        <v>593.82</v>
      </c>
      <c r="J698" s="13"/>
      <c r="K698" s="13">
        <f t="shared" si="47"/>
        <v>593.82</v>
      </c>
      <c r="L698" s="11" t="s">
        <v>53</v>
      </c>
      <c r="M698" s="17">
        <v>45447.0</v>
      </c>
      <c r="N698" s="11" t="s">
        <v>105</v>
      </c>
      <c r="O698" s="10" t="str">
        <f t="shared" si="3"/>
        <v>01/2025</v>
      </c>
      <c r="P698" s="10" t="str">
        <f t="shared" si="29"/>
        <v>01/2025</v>
      </c>
      <c r="Q698" s="15" t="str">
        <f t="array" ref="Q698">IFERROR(XLOOKUP(N698,'Classificação'!A:A,'Classificação'!B:B),"")</f>
        <v>DESPESAS ADMINISTRATIVAS</v>
      </c>
      <c r="R698" s="15" t="str">
        <f t="array" ref="R698">IFERROR(XLOOKUP(Q698,'Classificação'!B:B,'Classificação'!C:C),"")</f>
        <v>DESPESAS FIXAS (-)</v>
      </c>
      <c r="S698" s="15">
        <f t="shared" si="5"/>
        <v>20</v>
      </c>
      <c r="T698" s="15">
        <f t="shared" si="6"/>
        <v>1</v>
      </c>
      <c r="U698" s="15">
        <f t="shared" si="7"/>
        <v>2025</v>
      </c>
      <c r="V698" s="15">
        <f t="shared" si="8"/>
        <v>20</v>
      </c>
      <c r="W698" s="15">
        <f t="shared" si="9"/>
        <v>1</v>
      </c>
      <c r="X698" s="15">
        <f t="shared" si="10"/>
        <v>2025</v>
      </c>
    </row>
    <row r="699">
      <c r="A699" s="9">
        <v>45677.0</v>
      </c>
      <c r="B699" s="32">
        <v>45582.0</v>
      </c>
      <c r="C699" s="9">
        <f t="shared" si="22"/>
        <v>45677</v>
      </c>
      <c r="D699" s="11" t="s">
        <v>383</v>
      </c>
      <c r="E699" s="11" t="s">
        <v>25</v>
      </c>
      <c r="F699" s="11" t="s">
        <v>107</v>
      </c>
      <c r="G699" s="11" t="s">
        <v>27</v>
      </c>
      <c r="H699" s="11" t="s">
        <v>384</v>
      </c>
      <c r="I699" s="31">
        <v>382.72</v>
      </c>
      <c r="J699" s="13"/>
      <c r="K699" s="13">
        <f t="shared" si="47"/>
        <v>382.72</v>
      </c>
      <c r="L699" s="11" t="s">
        <v>53</v>
      </c>
      <c r="M699" s="17">
        <v>45446.0</v>
      </c>
      <c r="N699" s="11" t="s">
        <v>35</v>
      </c>
      <c r="O699" s="10" t="str">
        <f t="shared" si="3"/>
        <v>01/2025</v>
      </c>
      <c r="P699" s="10" t="str">
        <f t="shared" si="29"/>
        <v>01/2025</v>
      </c>
      <c r="Q699" s="15" t="str">
        <f t="array" ref="Q699">IFERROR(XLOOKUP(N699,'Classificação'!A:A,'Classificação'!B:B),"")</f>
        <v>COMPRA DE MERCADORIA</v>
      </c>
      <c r="R699" s="15" t="str">
        <f t="array" ref="R699">IFERROR(XLOOKUP(Q699,'Classificação'!B:B,'Classificação'!C:C),"")</f>
        <v>CUSTOS VARIÁVEIS</v>
      </c>
      <c r="S699" s="15">
        <f t="shared" si="5"/>
        <v>20</v>
      </c>
      <c r="T699" s="15">
        <f t="shared" si="6"/>
        <v>1</v>
      </c>
      <c r="U699" s="15">
        <f t="shared" si="7"/>
        <v>2025</v>
      </c>
      <c r="V699" s="15">
        <f t="shared" si="8"/>
        <v>20</v>
      </c>
      <c r="W699" s="15">
        <f t="shared" si="9"/>
        <v>1</v>
      </c>
      <c r="X699" s="15">
        <f t="shared" si="10"/>
        <v>2025</v>
      </c>
    </row>
    <row r="700">
      <c r="A700" s="9">
        <v>45677.0</v>
      </c>
      <c r="B700" s="32">
        <v>45636.0</v>
      </c>
      <c r="C700" s="9">
        <f t="shared" si="22"/>
        <v>45677</v>
      </c>
      <c r="D700" s="11" t="s">
        <v>255</v>
      </c>
      <c r="E700" s="11" t="s">
        <v>25</v>
      </c>
      <c r="F700" s="11" t="s">
        <v>110</v>
      </c>
      <c r="G700" s="11" t="s">
        <v>27</v>
      </c>
      <c r="H700" s="11" t="s">
        <v>493</v>
      </c>
      <c r="I700" s="31">
        <v>328.02</v>
      </c>
      <c r="J700" s="13"/>
      <c r="K700" s="13">
        <f t="shared" si="47"/>
        <v>328.02</v>
      </c>
      <c r="L700" s="11" t="s">
        <v>34</v>
      </c>
      <c r="M700" s="14"/>
      <c r="N700" s="11" t="s">
        <v>71</v>
      </c>
      <c r="O700" s="10" t="str">
        <f t="shared" si="3"/>
        <v>01/2025</v>
      </c>
      <c r="P700" s="10" t="str">
        <f t="shared" si="29"/>
        <v>01/2025</v>
      </c>
      <c r="Q700" s="15" t="str">
        <f t="array" ref="Q700">IFERROR(XLOOKUP(N700,'Classificação'!A:A,'Classificação'!B:B),"")</f>
        <v>DESPESAS DIVERSAS</v>
      </c>
      <c r="R700" s="15" t="str">
        <f t="array" ref="R700">IFERROR(XLOOKUP(Q700,'Classificação'!B:B,'Classificação'!C:C),"")</f>
        <v>DESPESAS FIXAS (-)</v>
      </c>
      <c r="S700" s="15">
        <f t="shared" si="5"/>
        <v>20</v>
      </c>
      <c r="T700" s="15">
        <f t="shared" si="6"/>
        <v>1</v>
      </c>
      <c r="U700" s="15">
        <f t="shared" si="7"/>
        <v>2025</v>
      </c>
      <c r="V700" s="15">
        <f t="shared" si="8"/>
        <v>20</v>
      </c>
      <c r="W700" s="15">
        <f t="shared" si="9"/>
        <v>1</v>
      </c>
      <c r="X700" s="15">
        <f t="shared" si="10"/>
        <v>2025</v>
      </c>
    </row>
    <row r="701">
      <c r="A701" s="9">
        <v>45677.0</v>
      </c>
      <c r="B701" s="32">
        <v>45636.0</v>
      </c>
      <c r="C701" s="9">
        <f t="shared" si="22"/>
        <v>45677</v>
      </c>
      <c r="D701" s="11" t="s">
        <v>255</v>
      </c>
      <c r="E701" s="11" t="s">
        <v>25</v>
      </c>
      <c r="F701" s="11" t="s">
        <v>110</v>
      </c>
      <c r="G701" s="11" t="s">
        <v>27</v>
      </c>
      <c r="H701" s="11" t="s">
        <v>494</v>
      </c>
      <c r="I701" s="31">
        <v>59.45</v>
      </c>
      <c r="J701" s="13"/>
      <c r="K701" s="13">
        <f t="shared" si="47"/>
        <v>59.45</v>
      </c>
      <c r="L701" s="11" t="s">
        <v>34</v>
      </c>
      <c r="M701" s="14"/>
      <c r="N701" s="11" t="s">
        <v>136</v>
      </c>
      <c r="O701" s="10" t="str">
        <f t="shared" si="3"/>
        <v>01/2025</v>
      </c>
      <c r="P701" s="10" t="str">
        <f t="shared" si="29"/>
        <v>01/2025</v>
      </c>
      <c r="Q701" s="15" t="str">
        <f t="array" ref="Q701">IFERROR(XLOOKUP(N701,'Classificação'!A:A,'Classificação'!B:B),"")</f>
        <v>DESPESAS COM OCUPAÇÃO</v>
      </c>
      <c r="R701" s="15" t="str">
        <f t="array" ref="R701">IFERROR(XLOOKUP(Q701,'Classificação'!B:B,'Classificação'!C:C),"")</f>
        <v>DESPESAS FIXAS (-)</v>
      </c>
      <c r="S701" s="15">
        <f t="shared" si="5"/>
        <v>20</v>
      </c>
      <c r="T701" s="15">
        <f t="shared" si="6"/>
        <v>1</v>
      </c>
      <c r="U701" s="15">
        <f t="shared" si="7"/>
        <v>2025</v>
      </c>
      <c r="V701" s="15">
        <f t="shared" si="8"/>
        <v>20</v>
      </c>
      <c r="W701" s="15">
        <f t="shared" si="9"/>
        <v>1</v>
      </c>
      <c r="X701" s="15">
        <f t="shared" si="10"/>
        <v>2025</v>
      </c>
    </row>
    <row r="702">
      <c r="A702" s="9">
        <v>45677.0</v>
      </c>
      <c r="B702" s="32">
        <v>45636.0</v>
      </c>
      <c r="C702" s="9">
        <f t="shared" si="22"/>
        <v>45677</v>
      </c>
      <c r="D702" s="11" t="s">
        <v>81</v>
      </c>
      <c r="E702" s="11" t="s">
        <v>25</v>
      </c>
      <c r="F702" s="11" t="s">
        <v>110</v>
      </c>
      <c r="G702" s="11" t="s">
        <v>27</v>
      </c>
      <c r="H702" s="11" t="s">
        <v>495</v>
      </c>
      <c r="I702" s="31">
        <v>233.5</v>
      </c>
      <c r="J702" s="13"/>
      <c r="K702" s="13">
        <f t="shared" si="47"/>
        <v>233.5</v>
      </c>
      <c r="L702" s="11" t="s">
        <v>34</v>
      </c>
      <c r="M702" s="14"/>
      <c r="N702" s="11" t="s">
        <v>64</v>
      </c>
      <c r="O702" s="10" t="str">
        <f t="shared" si="3"/>
        <v>01/2025</v>
      </c>
      <c r="P702" s="10" t="str">
        <f t="shared" si="29"/>
        <v>01/2025</v>
      </c>
      <c r="Q702" s="15" t="str">
        <f t="array" ref="Q702">IFERROR(XLOOKUP(N702,'Classificação'!A:A,'Classificação'!B:B),"")</f>
        <v>DESPESAS COM PESSOAL</v>
      </c>
      <c r="R702" s="15" t="str">
        <f t="array" ref="R702">IFERROR(XLOOKUP(Q702,'Classificação'!B:B,'Classificação'!C:C),"")</f>
        <v>DESPESAS FIXAS (-)</v>
      </c>
      <c r="S702" s="15">
        <f t="shared" si="5"/>
        <v>20</v>
      </c>
      <c r="T702" s="15">
        <f t="shared" si="6"/>
        <v>1</v>
      </c>
      <c r="U702" s="15">
        <f t="shared" si="7"/>
        <v>2025</v>
      </c>
      <c r="V702" s="15">
        <f t="shared" si="8"/>
        <v>20</v>
      </c>
      <c r="W702" s="15">
        <f t="shared" si="9"/>
        <v>1</v>
      </c>
      <c r="X702" s="15">
        <f t="shared" si="10"/>
        <v>2025</v>
      </c>
    </row>
    <row r="703">
      <c r="A703" s="9">
        <v>45677.0</v>
      </c>
      <c r="B703" s="26">
        <v>45478.0</v>
      </c>
      <c r="C703" s="27">
        <f t="shared" si="22"/>
        <v>45677</v>
      </c>
      <c r="D703" s="28" t="s">
        <v>163</v>
      </c>
      <c r="E703" s="11" t="s">
        <v>25</v>
      </c>
      <c r="F703" s="28" t="s">
        <v>107</v>
      </c>
      <c r="G703" s="28" t="s">
        <v>27</v>
      </c>
      <c r="H703" s="28" t="s">
        <v>253</v>
      </c>
      <c r="I703" s="33">
        <v>96.41</v>
      </c>
      <c r="J703" s="34"/>
      <c r="K703" s="13">
        <f t="shared" si="47"/>
        <v>96.41</v>
      </c>
      <c r="L703" s="28" t="s">
        <v>53</v>
      </c>
      <c r="M703" s="35">
        <v>45449.0</v>
      </c>
      <c r="N703" s="28" t="s">
        <v>95</v>
      </c>
      <c r="O703" s="30" t="str">
        <f>IF(A703="","", TEXT(A703,"mm/yyyy"))</f>
        <v>01/2025</v>
      </c>
      <c r="P703" s="10" t="str">
        <f t="shared" si="29"/>
        <v>01/2025</v>
      </c>
      <c r="Q703" s="15" t="str">
        <f t="array" ref="Q703">IFERROR(XLOOKUP(N703,'Classificação'!A:A,'Classificação'!B:B),"")</f>
        <v>DESPESAS NÃO OPERACIONAIS</v>
      </c>
      <c r="R703" s="15" t="str">
        <f t="array" ref="R703">IFERROR(XLOOKUP(Q703,'Classificação'!B:B,'Classificação'!C:C),"")</f>
        <v>RESULTADO NÃO OPERACIONAL (+/-)</v>
      </c>
      <c r="S703" s="15">
        <f t="shared" si="5"/>
        <v>20</v>
      </c>
      <c r="T703" s="15">
        <f t="shared" si="6"/>
        <v>1</v>
      </c>
      <c r="U703" s="15">
        <f t="shared" si="7"/>
        <v>2025</v>
      </c>
      <c r="V703" s="15">
        <f t="shared" si="8"/>
        <v>20</v>
      </c>
      <c r="W703" s="15">
        <f t="shared" si="9"/>
        <v>1</v>
      </c>
      <c r="X703" s="15">
        <f t="shared" si="10"/>
        <v>2025</v>
      </c>
    </row>
    <row r="704">
      <c r="A704" s="9">
        <v>45677.0</v>
      </c>
      <c r="B704" s="9">
        <v>45635.0</v>
      </c>
      <c r="C704" s="9">
        <f t="shared" si="22"/>
        <v>45677</v>
      </c>
      <c r="D704" s="11" t="s">
        <v>65</v>
      </c>
      <c r="E704" s="11" t="s">
        <v>25</v>
      </c>
      <c r="F704" s="11" t="s">
        <v>107</v>
      </c>
      <c r="G704" s="11" t="s">
        <v>27</v>
      </c>
      <c r="H704" s="11" t="s">
        <v>496</v>
      </c>
      <c r="I704" s="31">
        <v>569.08</v>
      </c>
      <c r="J704" s="13"/>
      <c r="K704" s="13">
        <f t="shared" si="47"/>
        <v>569.08</v>
      </c>
      <c r="L704" s="11" t="s">
        <v>34</v>
      </c>
      <c r="M704" s="14"/>
      <c r="N704" s="11" t="s">
        <v>143</v>
      </c>
      <c r="O704" s="10" t="str">
        <f t="shared" ref="O704:O1268" si="48">if(A704="","", TEXT(A704,"mm/yyyy"))</f>
        <v>01/2025</v>
      </c>
      <c r="P704" s="10" t="str">
        <f t="shared" si="29"/>
        <v>01/2025</v>
      </c>
      <c r="Q704" s="15" t="str">
        <f t="array" ref="Q704">IFERROR(XLOOKUP(N704,'Classificação'!A:A,'Classificação'!B:B),"")</f>
        <v>EMBALAGENS/FITAS/GERAL</v>
      </c>
      <c r="R704" s="15" t="str">
        <f t="array" ref="R704">IFERROR(XLOOKUP(Q704,'Classificação'!B:B,'Classificação'!C:C),"")</f>
        <v>CUSTOS VARIÁVEIS</v>
      </c>
      <c r="S704" s="15">
        <f t="shared" si="5"/>
        <v>20</v>
      </c>
      <c r="T704" s="15">
        <f t="shared" si="6"/>
        <v>1</v>
      </c>
      <c r="U704" s="15">
        <f t="shared" si="7"/>
        <v>2025</v>
      </c>
      <c r="V704" s="15">
        <f t="shared" si="8"/>
        <v>20</v>
      </c>
      <c r="W704" s="15">
        <f t="shared" si="9"/>
        <v>1</v>
      </c>
      <c r="X704" s="15">
        <f t="shared" si="10"/>
        <v>2025</v>
      </c>
    </row>
    <row r="705">
      <c r="A705" s="9">
        <v>45677.0</v>
      </c>
      <c r="B705" s="9">
        <v>45602.0</v>
      </c>
      <c r="C705" s="9">
        <f t="shared" si="22"/>
        <v>45677</v>
      </c>
      <c r="D705" s="11" t="s">
        <v>65</v>
      </c>
      <c r="E705" s="11" t="s">
        <v>25</v>
      </c>
      <c r="F705" s="11" t="s">
        <v>107</v>
      </c>
      <c r="G705" s="11" t="s">
        <v>27</v>
      </c>
      <c r="H705" s="11" t="s">
        <v>446</v>
      </c>
      <c r="I705" s="31">
        <v>94.05</v>
      </c>
      <c r="J705" s="13"/>
      <c r="K705" s="13">
        <f t="shared" si="47"/>
        <v>94.05</v>
      </c>
      <c r="L705" s="11" t="s">
        <v>53</v>
      </c>
      <c r="M705" s="17">
        <v>45324.0</v>
      </c>
      <c r="N705" s="11" t="s">
        <v>392</v>
      </c>
      <c r="O705" s="10" t="str">
        <f t="shared" si="48"/>
        <v>01/2025</v>
      </c>
      <c r="P705" s="10" t="str">
        <f t="shared" si="29"/>
        <v>01/2025</v>
      </c>
      <c r="Q705" s="15" t="str">
        <f t="array" ref="Q705">IFERROR(XLOOKUP(N705,'Classificação'!A:A,'Classificação'!B:B),"")</f>
        <v>DESPESAS COM OCUPAÇÃO</v>
      </c>
      <c r="R705" s="15" t="str">
        <f t="array" ref="R705">IFERROR(XLOOKUP(Q705,'Classificação'!B:B,'Classificação'!C:C),"")</f>
        <v>DESPESAS FIXAS (-)</v>
      </c>
      <c r="S705" s="15">
        <f t="shared" si="5"/>
        <v>20</v>
      </c>
      <c r="T705" s="15">
        <f t="shared" si="6"/>
        <v>1</v>
      </c>
      <c r="U705" s="15">
        <f t="shared" si="7"/>
        <v>2025</v>
      </c>
      <c r="V705" s="15">
        <f t="shared" si="8"/>
        <v>20</v>
      </c>
      <c r="W705" s="15">
        <f t="shared" si="9"/>
        <v>1</v>
      </c>
      <c r="X705" s="15">
        <f t="shared" si="10"/>
        <v>2025</v>
      </c>
    </row>
    <row r="706">
      <c r="A706" s="9">
        <v>45677.0</v>
      </c>
      <c r="B706" s="9">
        <v>45630.0</v>
      </c>
      <c r="C706" s="9">
        <f t="shared" si="22"/>
        <v>45677</v>
      </c>
      <c r="D706" s="11" t="s">
        <v>65</v>
      </c>
      <c r="E706" s="11" t="s">
        <v>25</v>
      </c>
      <c r="F706" s="11" t="s">
        <v>107</v>
      </c>
      <c r="G706" s="11" t="s">
        <v>27</v>
      </c>
      <c r="H706" s="11" t="s">
        <v>446</v>
      </c>
      <c r="I706" s="31">
        <v>37.86</v>
      </c>
      <c r="J706" s="13"/>
      <c r="K706" s="13">
        <f t="shared" si="47"/>
        <v>37.86</v>
      </c>
      <c r="L706" s="11" t="s">
        <v>53</v>
      </c>
      <c r="M706" s="17">
        <v>45353.0</v>
      </c>
      <c r="N706" s="11" t="s">
        <v>392</v>
      </c>
      <c r="O706" s="10" t="str">
        <f t="shared" si="48"/>
        <v>01/2025</v>
      </c>
      <c r="P706" s="10" t="str">
        <f t="shared" si="29"/>
        <v>01/2025</v>
      </c>
      <c r="Q706" s="15" t="str">
        <f t="array" ref="Q706">IFERROR(XLOOKUP(N706,'Classificação'!A:A,'Classificação'!B:B),"")</f>
        <v>DESPESAS COM OCUPAÇÃO</v>
      </c>
      <c r="R706" s="15" t="str">
        <f t="array" ref="R706">IFERROR(XLOOKUP(Q706,'Classificação'!B:B,'Classificação'!C:C),"")</f>
        <v>DESPESAS FIXAS (-)</v>
      </c>
      <c r="S706" s="15">
        <f t="shared" si="5"/>
        <v>20</v>
      </c>
      <c r="T706" s="15">
        <f t="shared" si="6"/>
        <v>1</v>
      </c>
      <c r="U706" s="15">
        <f t="shared" si="7"/>
        <v>2025</v>
      </c>
      <c r="V706" s="15">
        <f t="shared" si="8"/>
        <v>20</v>
      </c>
      <c r="W706" s="15">
        <f t="shared" si="9"/>
        <v>1</v>
      </c>
      <c r="X706" s="15">
        <f t="shared" si="10"/>
        <v>2025</v>
      </c>
    </row>
    <row r="707">
      <c r="A707" s="9">
        <v>45677.0</v>
      </c>
      <c r="B707" s="9">
        <v>45604.0</v>
      </c>
      <c r="C707" s="9">
        <f t="shared" si="22"/>
        <v>45677</v>
      </c>
      <c r="D707" s="11" t="s">
        <v>65</v>
      </c>
      <c r="E707" s="11" t="s">
        <v>25</v>
      </c>
      <c r="F707" s="11" t="s">
        <v>107</v>
      </c>
      <c r="G707" s="11" t="s">
        <v>27</v>
      </c>
      <c r="H707" s="11" t="s">
        <v>446</v>
      </c>
      <c r="I707" s="31">
        <v>33.06</v>
      </c>
      <c r="J707" s="13"/>
      <c r="K707" s="13">
        <f t="shared" si="47"/>
        <v>33.06</v>
      </c>
      <c r="L707" s="11" t="s">
        <v>53</v>
      </c>
      <c r="M707" s="17">
        <v>45414.0</v>
      </c>
      <c r="N707" s="11" t="s">
        <v>392</v>
      </c>
      <c r="O707" s="10" t="str">
        <f t="shared" si="48"/>
        <v>01/2025</v>
      </c>
      <c r="P707" s="10" t="str">
        <f t="shared" si="29"/>
        <v>01/2025</v>
      </c>
      <c r="Q707" s="15" t="str">
        <f t="array" ref="Q707">IFERROR(XLOOKUP(N707,'Classificação'!A:A,'Classificação'!B:B),"")</f>
        <v>DESPESAS COM OCUPAÇÃO</v>
      </c>
      <c r="R707" s="15" t="str">
        <f t="array" ref="R707">IFERROR(XLOOKUP(Q707,'Classificação'!B:B,'Classificação'!C:C),"")</f>
        <v>DESPESAS FIXAS (-)</v>
      </c>
      <c r="S707" s="15">
        <f t="shared" si="5"/>
        <v>20</v>
      </c>
      <c r="T707" s="15">
        <f t="shared" si="6"/>
        <v>1</v>
      </c>
      <c r="U707" s="15">
        <f t="shared" si="7"/>
        <v>2025</v>
      </c>
      <c r="V707" s="15">
        <f t="shared" si="8"/>
        <v>20</v>
      </c>
      <c r="W707" s="15">
        <f t="shared" si="9"/>
        <v>1</v>
      </c>
      <c r="X707" s="15">
        <f t="shared" si="10"/>
        <v>2025</v>
      </c>
    </row>
    <row r="708">
      <c r="A708" s="9">
        <v>45677.0</v>
      </c>
      <c r="B708" s="32">
        <v>45636.0</v>
      </c>
      <c r="C708" s="9">
        <f t="shared" si="22"/>
        <v>45677</v>
      </c>
      <c r="D708" s="11" t="s">
        <v>179</v>
      </c>
      <c r="E708" s="11" t="s">
        <v>25</v>
      </c>
      <c r="F708" s="11" t="s">
        <v>107</v>
      </c>
      <c r="G708" s="11" t="s">
        <v>27</v>
      </c>
      <c r="H708" s="11" t="s">
        <v>497</v>
      </c>
      <c r="I708" s="31">
        <v>50.0</v>
      </c>
      <c r="J708" s="13"/>
      <c r="K708" s="13">
        <f t="shared" si="47"/>
        <v>50</v>
      </c>
      <c r="L708" s="11" t="s">
        <v>34</v>
      </c>
      <c r="M708" s="14"/>
      <c r="N708" s="11" t="s">
        <v>181</v>
      </c>
      <c r="O708" s="10" t="str">
        <f t="shared" si="48"/>
        <v>01/2025</v>
      </c>
      <c r="P708" s="10" t="str">
        <f t="shared" si="29"/>
        <v>01/2025</v>
      </c>
      <c r="Q708" s="15" t="str">
        <f t="array" ref="Q708">IFERROR(XLOOKUP(N708,'Classificação'!A:A,'Classificação'!B:B),"")</f>
        <v>DESPESAS COM VEICULOS</v>
      </c>
      <c r="R708" s="15" t="str">
        <f t="array" ref="R708">IFERROR(XLOOKUP(Q708,'Classificação'!B:B,'Classificação'!C:C),"")</f>
        <v>DESPESAS FIXAS (-)</v>
      </c>
      <c r="S708" s="15">
        <f t="shared" si="5"/>
        <v>20</v>
      </c>
      <c r="T708" s="15">
        <f t="shared" si="6"/>
        <v>1</v>
      </c>
      <c r="U708" s="15">
        <f t="shared" si="7"/>
        <v>2025</v>
      </c>
      <c r="V708" s="15">
        <f t="shared" si="8"/>
        <v>20</v>
      </c>
      <c r="W708" s="15">
        <f t="shared" si="9"/>
        <v>1</v>
      </c>
      <c r="X708" s="15">
        <f t="shared" si="10"/>
        <v>2025</v>
      </c>
    </row>
    <row r="709">
      <c r="A709" s="9">
        <v>45677.0</v>
      </c>
      <c r="B709" s="32">
        <v>45638.0</v>
      </c>
      <c r="C709" s="9">
        <f t="shared" si="22"/>
        <v>45677</v>
      </c>
      <c r="D709" s="11" t="s">
        <v>137</v>
      </c>
      <c r="E709" s="11" t="s">
        <v>25</v>
      </c>
      <c r="F709" s="11" t="s">
        <v>107</v>
      </c>
      <c r="G709" s="11" t="s">
        <v>27</v>
      </c>
      <c r="H709" s="11" t="s">
        <v>498</v>
      </c>
      <c r="I709" s="31">
        <v>35.81</v>
      </c>
      <c r="J709" s="13"/>
      <c r="K709" s="13">
        <f t="shared" si="47"/>
        <v>35.81</v>
      </c>
      <c r="L709" s="11" t="s">
        <v>34</v>
      </c>
      <c r="M709" s="14"/>
      <c r="N709" s="11" t="s">
        <v>448</v>
      </c>
      <c r="O709" s="10" t="str">
        <f t="shared" si="48"/>
        <v>01/2025</v>
      </c>
      <c r="P709" s="10" t="str">
        <f t="shared" si="29"/>
        <v>01/2025</v>
      </c>
      <c r="Q709" s="15" t="str">
        <f t="array" ref="Q709">IFERROR(XLOOKUP(N709,'Classificação'!A:A,'Classificação'!B:B),"")</f>
        <v>DESPESAS ADMINISTRATIVAS</v>
      </c>
      <c r="R709" s="15" t="str">
        <f t="array" ref="R709">IFERROR(XLOOKUP(Q709,'Classificação'!B:B,'Classificação'!C:C),"")</f>
        <v>DESPESAS FIXAS (-)</v>
      </c>
      <c r="S709" s="15">
        <f t="shared" si="5"/>
        <v>20</v>
      </c>
      <c r="T709" s="15">
        <f t="shared" si="6"/>
        <v>1</v>
      </c>
      <c r="U709" s="15">
        <f t="shared" si="7"/>
        <v>2025</v>
      </c>
      <c r="V709" s="15">
        <f t="shared" si="8"/>
        <v>20</v>
      </c>
      <c r="W709" s="15">
        <f t="shared" si="9"/>
        <v>1</v>
      </c>
      <c r="X709" s="15">
        <f t="shared" si="10"/>
        <v>2025</v>
      </c>
    </row>
    <row r="710">
      <c r="A710" s="9">
        <v>45677.0</v>
      </c>
      <c r="B710" s="32">
        <v>45637.0</v>
      </c>
      <c r="C710" s="9">
        <f t="shared" si="22"/>
        <v>45677</v>
      </c>
      <c r="D710" s="11" t="s">
        <v>179</v>
      </c>
      <c r="E710" s="11" t="s">
        <v>25</v>
      </c>
      <c r="F710" s="11" t="s">
        <v>107</v>
      </c>
      <c r="G710" s="11" t="s">
        <v>27</v>
      </c>
      <c r="H710" s="11" t="s">
        <v>312</v>
      </c>
      <c r="I710" s="31">
        <v>204.28</v>
      </c>
      <c r="J710" s="13"/>
      <c r="K710" s="13">
        <f t="shared" si="47"/>
        <v>204.28</v>
      </c>
      <c r="L710" s="11" t="s">
        <v>34</v>
      </c>
      <c r="M710" s="14"/>
      <c r="N710" s="11" t="s">
        <v>181</v>
      </c>
      <c r="O710" s="10" t="str">
        <f t="shared" si="48"/>
        <v>01/2025</v>
      </c>
      <c r="P710" s="10" t="str">
        <f t="shared" si="29"/>
        <v>01/2025</v>
      </c>
      <c r="Q710" s="15" t="str">
        <f t="array" ref="Q710">IFERROR(XLOOKUP(N710,'Classificação'!A:A,'Classificação'!B:B),"")</f>
        <v>DESPESAS COM VEICULOS</v>
      </c>
      <c r="R710" s="15" t="str">
        <f t="array" ref="R710">IFERROR(XLOOKUP(Q710,'Classificação'!B:B,'Classificação'!C:C),"")</f>
        <v>DESPESAS FIXAS (-)</v>
      </c>
      <c r="S710" s="15">
        <f t="shared" si="5"/>
        <v>20</v>
      </c>
      <c r="T710" s="15">
        <f t="shared" si="6"/>
        <v>1</v>
      </c>
      <c r="U710" s="15">
        <f t="shared" si="7"/>
        <v>2025</v>
      </c>
      <c r="V710" s="15">
        <f t="shared" si="8"/>
        <v>20</v>
      </c>
      <c r="W710" s="15">
        <f t="shared" si="9"/>
        <v>1</v>
      </c>
      <c r="X710" s="15">
        <f t="shared" si="10"/>
        <v>2025</v>
      </c>
    </row>
    <row r="711">
      <c r="A711" s="9">
        <v>45677.0</v>
      </c>
      <c r="B711" s="32">
        <v>45637.0</v>
      </c>
      <c r="C711" s="9">
        <f t="shared" si="22"/>
        <v>45677</v>
      </c>
      <c r="D711" s="11" t="s">
        <v>65</v>
      </c>
      <c r="E711" s="11" t="s">
        <v>25</v>
      </c>
      <c r="F711" s="11" t="s">
        <v>107</v>
      </c>
      <c r="G711" s="11" t="s">
        <v>27</v>
      </c>
      <c r="H711" s="11" t="s">
        <v>318</v>
      </c>
      <c r="I711" s="31">
        <v>171.36</v>
      </c>
      <c r="J711" s="13"/>
      <c r="K711" s="13">
        <f t="shared" si="47"/>
        <v>171.36</v>
      </c>
      <c r="L711" s="11" t="s">
        <v>34</v>
      </c>
      <c r="M711" s="14"/>
      <c r="N711" s="11" t="s">
        <v>143</v>
      </c>
      <c r="O711" s="10" t="str">
        <f t="shared" si="48"/>
        <v>01/2025</v>
      </c>
      <c r="P711" s="10" t="str">
        <f t="shared" si="29"/>
        <v>01/2025</v>
      </c>
      <c r="Q711" s="15" t="str">
        <f t="array" ref="Q711">IFERROR(XLOOKUP(N711,'Classificação'!A:A,'Classificação'!B:B),"")</f>
        <v>EMBALAGENS/FITAS/GERAL</v>
      </c>
      <c r="R711" s="15" t="str">
        <f t="array" ref="R711">IFERROR(XLOOKUP(Q711,'Classificação'!B:B,'Classificação'!C:C),"")</f>
        <v>CUSTOS VARIÁVEIS</v>
      </c>
      <c r="S711" s="15">
        <f t="shared" si="5"/>
        <v>20</v>
      </c>
      <c r="T711" s="15">
        <f t="shared" si="6"/>
        <v>1</v>
      </c>
      <c r="U711" s="15">
        <f t="shared" si="7"/>
        <v>2025</v>
      </c>
      <c r="V711" s="15">
        <f t="shared" si="8"/>
        <v>20</v>
      </c>
      <c r="W711" s="15">
        <f t="shared" si="9"/>
        <v>1</v>
      </c>
      <c r="X711" s="15">
        <f t="shared" si="10"/>
        <v>2025</v>
      </c>
    </row>
    <row r="712">
      <c r="A712" s="9">
        <v>45677.0</v>
      </c>
      <c r="B712" s="32">
        <v>45639.0</v>
      </c>
      <c r="C712" s="9">
        <f t="shared" si="22"/>
        <v>45677</v>
      </c>
      <c r="D712" s="11" t="s">
        <v>499</v>
      </c>
      <c r="E712" s="11" t="s">
        <v>25</v>
      </c>
      <c r="F712" s="11" t="s">
        <v>107</v>
      </c>
      <c r="G712" s="11" t="s">
        <v>27</v>
      </c>
      <c r="H712" s="11" t="s">
        <v>500</v>
      </c>
      <c r="I712" s="31">
        <v>22.1</v>
      </c>
      <c r="J712" s="13"/>
      <c r="K712" s="13">
        <f t="shared" si="47"/>
        <v>22.1</v>
      </c>
      <c r="L712" s="11" t="s">
        <v>34</v>
      </c>
      <c r="M712" s="14"/>
      <c r="N712" s="11" t="s">
        <v>116</v>
      </c>
      <c r="O712" s="10" t="str">
        <f t="shared" si="48"/>
        <v>01/2025</v>
      </c>
      <c r="P712" s="10" t="str">
        <f t="shared" si="29"/>
        <v>01/2025</v>
      </c>
      <c r="Q712" s="15" t="str">
        <f t="array" ref="Q712">IFERROR(XLOOKUP(N712,'Classificação'!A:A,'Classificação'!B:B),"")</f>
        <v>DESPESAS COM OCUPAÇÃO</v>
      </c>
      <c r="R712" s="15" t="str">
        <f t="array" ref="R712">IFERROR(XLOOKUP(Q712,'Classificação'!B:B,'Classificação'!C:C),"")</f>
        <v>DESPESAS FIXAS (-)</v>
      </c>
      <c r="S712" s="15">
        <f t="shared" si="5"/>
        <v>20</v>
      </c>
      <c r="T712" s="15">
        <f t="shared" si="6"/>
        <v>1</v>
      </c>
      <c r="U712" s="15">
        <f t="shared" si="7"/>
        <v>2025</v>
      </c>
      <c r="V712" s="15">
        <f t="shared" si="8"/>
        <v>20</v>
      </c>
      <c r="W712" s="15">
        <f t="shared" si="9"/>
        <v>1</v>
      </c>
      <c r="X712" s="15">
        <f t="shared" si="10"/>
        <v>2025</v>
      </c>
    </row>
    <row r="713">
      <c r="A713" s="9">
        <v>45677.0</v>
      </c>
      <c r="B713" s="32">
        <v>45639.0</v>
      </c>
      <c r="C713" s="9">
        <f t="shared" si="22"/>
        <v>45677</v>
      </c>
      <c r="D713" s="11" t="s">
        <v>137</v>
      </c>
      <c r="E713" s="11" t="s">
        <v>25</v>
      </c>
      <c r="F713" s="11" t="s">
        <v>107</v>
      </c>
      <c r="G713" s="11" t="s">
        <v>27</v>
      </c>
      <c r="H713" s="11" t="s">
        <v>501</v>
      </c>
      <c r="I713" s="31">
        <v>27.92</v>
      </c>
      <c r="J713" s="13"/>
      <c r="K713" s="13">
        <f t="shared" si="47"/>
        <v>27.92</v>
      </c>
      <c r="L713" s="11" t="s">
        <v>34</v>
      </c>
      <c r="M713" s="14"/>
      <c r="N713" s="11" t="s">
        <v>448</v>
      </c>
      <c r="O713" s="10" t="str">
        <f t="shared" si="48"/>
        <v>01/2025</v>
      </c>
      <c r="P713" s="10" t="str">
        <f t="shared" si="29"/>
        <v>01/2025</v>
      </c>
      <c r="Q713" s="15" t="str">
        <f t="array" ref="Q713">IFERROR(XLOOKUP(N713,'Classificação'!A:A,'Classificação'!B:B),"")</f>
        <v>DESPESAS ADMINISTRATIVAS</v>
      </c>
      <c r="R713" s="15" t="str">
        <f t="array" ref="R713">IFERROR(XLOOKUP(Q713,'Classificação'!B:B,'Classificação'!C:C),"")</f>
        <v>DESPESAS FIXAS (-)</v>
      </c>
      <c r="S713" s="15">
        <f t="shared" si="5"/>
        <v>20</v>
      </c>
      <c r="T713" s="15">
        <f t="shared" si="6"/>
        <v>1</v>
      </c>
      <c r="U713" s="15">
        <f t="shared" si="7"/>
        <v>2025</v>
      </c>
      <c r="V713" s="15">
        <f t="shared" si="8"/>
        <v>20</v>
      </c>
      <c r="W713" s="15">
        <f t="shared" si="9"/>
        <v>1</v>
      </c>
      <c r="X713" s="15">
        <f t="shared" si="10"/>
        <v>2025</v>
      </c>
    </row>
    <row r="714">
      <c r="A714" s="9">
        <v>45677.0</v>
      </c>
      <c r="B714" s="32">
        <v>45645.0</v>
      </c>
      <c r="C714" s="9">
        <f t="shared" si="22"/>
        <v>45677</v>
      </c>
      <c r="D714" s="11" t="s">
        <v>373</v>
      </c>
      <c r="E714" s="11" t="s">
        <v>25</v>
      </c>
      <c r="F714" s="11" t="s">
        <v>110</v>
      </c>
      <c r="G714" s="11" t="s">
        <v>27</v>
      </c>
      <c r="H714" s="11" t="s">
        <v>374</v>
      </c>
      <c r="I714" s="31">
        <v>14.0</v>
      </c>
      <c r="J714" s="13"/>
      <c r="K714" s="13">
        <f t="shared" si="47"/>
        <v>14</v>
      </c>
      <c r="L714" s="11" t="s">
        <v>34</v>
      </c>
      <c r="M714" s="14"/>
      <c r="N714" s="11" t="s">
        <v>64</v>
      </c>
      <c r="O714" s="10" t="str">
        <f t="shared" si="48"/>
        <v>01/2025</v>
      </c>
      <c r="P714" s="10" t="str">
        <f t="shared" si="29"/>
        <v>01/2025</v>
      </c>
      <c r="Q714" s="15" t="str">
        <f t="array" ref="Q714">IFERROR(XLOOKUP(N714,'Classificação'!A:A,'Classificação'!B:B),"")</f>
        <v>DESPESAS COM PESSOAL</v>
      </c>
      <c r="R714" s="15" t="str">
        <f t="array" ref="R714">IFERROR(XLOOKUP(Q714,'Classificação'!B:B,'Classificação'!C:C),"")</f>
        <v>DESPESAS FIXAS (-)</v>
      </c>
      <c r="S714" s="15">
        <f t="shared" si="5"/>
        <v>20</v>
      </c>
      <c r="T714" s="15">
        <f t="shared" si="6"/>
        <v>1</v>
      </c>
      <c r="U714" s="15">
        <f t="shared" si="7"/>
        <v>2025</v>
      </c>
      <c r="V714" s="15">
        <f t="shared" si="8"/>
        <v>20</v>
      </c>
      <c r="W714" s="15">
        <f t="shared" si="9"/>
        <v>1</v>
      </c>
      <c r="X714" s="15">
        <f t="shared" si="10"/>
        <v>2025</v>
      </c>
    </row>
    <row r="715">
      <c r="A715" s="9">
        <v>45677.0</v>
      </c>
      <c r="B715" s="32">
        <v>45643.0</v>
      </c>
      <c r="C715" s="9">
        <f t="shared" si="22"/>
        <v>45677</v>
      </c>
      <c r="D715" s="11" t="s">
        <v>502</v>
      </c>
      <c r="E715" s="11" t="s">
        <v>25</v>
      </c>
      <c r="F715" s="11" t="s">
        <v>107</v>
      </c>
      <c r="G715" s="11" t="s">
        <v>27</v>
      </c>
      <c r="H715" s="11" t="s">
        <v>503</v>
      </c>
      <c r="I715" s="31">
        <v>83.6</v>
      </c>
      <c r="J715" s="13"/>
      <c r="K715" s="13">
        <f t="shared" si="47"/>
        <v>83.6</v>
      </c>
      <c r="L715" s="11" t="s">
        <v>53</v>
      </c>
      <c r="M715" s="17">
        <v>45413.0</v>
      </c>
      <c r="N715" s="11" t="s">
        <v>347</v>
      </c>
      <c r="O715" s="10" t="str">
        <f t="shared" si="48"/>
        <v>01/2025</v>
      </c>
      <c r="P715" s="10" t="str">
        <f t="shared" si="29"/>
        <v>01/2025</v>
      </c>
      <c r="Q715" s="15" t="str">
        <f t="array" ref="Q715">IFERROR(XLOOKUP(N715,'Classificação'!A:A,'Classificação'!B:B),"")</f>
        <v>DESPESAS ADMINISTRATIVAS</v>
      </c>
      <c r="R715" s="15" t="str">
        <f t="array" ref="R715">IFERROR(XLOOKUP(Q715,'Classificação'!B:B,'Classificação'!C:C),"")</f>
        <v>DESPESAS FIXAS (-)</v>
      </c>
      <c r="S715" s="15">
        <f t="shared" si="5"/>
        <v>20</v>
      </c>
      <c r="T715" s="15">
        <f t="shared" si="6"/>
        <v>1</v>
      </c>
      <c r="U715" s="15">
        <f t="shared" si="7"/>
        <v>2025</v>
      </c>
      <c r="V715" s="15">
        <f t="shared" si="8"/>
        <v>20</v>
      </c>
      <c r="W715" s="15">
        <f t="shared" si="9"/>
        <v>1</v>
      </c>
      <c r="X715" s="15">
        <f t="shared" si="10"/>
        <v>2025</v>
      </c>
    </row>
    <row r="716">
      <c r="A716" s="9">
        <v>45677.0</v>
      </c>
      <c r="B716" s="32">
        <v>45643.0</v>
      </c>
      <c r="C716" s="9">
        <f t="shared" si="22"/>
        <v>45677</v>
      </c>
      <c r="D716" s="11" t="s">
        <v>179</v>
      </c>
      <c r="E716" s="11" t="s">
        <v>25</v>
      </c>
      <c r="F716" s="11" t="s">
        <v>107</v>
      </c>
      <c r="G716" s="11" t="s">
        <v>27</v>
      </c>
      <c r="H716" s="11" t="s">
        <v>312</v>
      </c>
      <c r="I716" s="31">
        <v>100.0</v>
      </c>
      <c r="J716" s="13"/>
      <c r="K716" s="13">
        <f t="shared" si="47"/>
        <v>100</v>
      </c>
      <c r="L716" s="11" t="s">
        <v>34</v>
      </c>
      <c r="M716" s="14"/>
      <c r="N716" s="11" t="s">
        <v>181</v>
      </c>
      <c r="O716" s="10" t="str">
        <f t="shared" si="48"/>
        <v>01/2025</v>
      </c>
      <c r="P716" s="10" t="str">
        <f t="shared" si="29"/>
        <v>01/2025</v>
      </c>
      <c r="Q716" s="15" t="str">
        <f t="array" ref="Q716">IFERROR(XLOOKUP(N716,'Classificação'!A:A,'Classificação'!B:B),"")</f>
        <v>DESPESAS COM VEICULOS</v>
      </c>
      <c r="R716" s="15" t="str">
        <f t="array" ref="R716">IFERROR(XLOOKUP(Q716,'Classificação'!B:B,'Classificação'!C:C),"")</f>
        <v>DESPESAS FIXAS (-)</v>
      </c>
      <c r="S716" s="15">
        <f t="shared" si="5"/>
        <v>20</v>
      </c>
      <c r="T716" s="15">
        <f t="shared" si="6"/>
        <v>1</v>
      </c>
      <c r="U716" s="15">
        <f t="shared" si="7"/>
        <v>2025</v>
      </c>
      <c r="V716" s="15">
        <f t="shared" si="8"/>
        <v>20</v>
      </c>
      <c r="W716" s="15">
        <f t="shared" si="9"/>
        <v>1</v>
      </c>
      <c r="X716" s="15">
        <f t="shared" si="10"/>
        <v>2025</v>
      </c>
    </row>
    <row r="717">
      <c r="A717" s="9">
        <v>45677.0</v>
      </c>
      <c r="B717" s="32">
        <v>45641.0</v>
      </c>
      <c r="C717" s="9">
        <f t="shared" si="22"/>
        <v>45677</v>
      </c>
      <c r="D717" s="11" t="s">
        <v>385</v>
      </c>
      <c r="E717" s="11" t="s">
        <v>25</v>
      </c>
      <c r="F717" s="11" t="s">
        <v>107</v>
      </c>
      <c r="G717" s="11" t="s">
        <v>27</v>
      </c>
      <c r="H717" s="11" t="s">
        <v>504</v>
      </c>
      <c r="I717" s="31">
        <v>87.99</v>
      </c>
      <c r="J717" s="13"/>
      <c r="K717" s="13">
        <f t="shared" si="47"/>
        <v>87.99</v>
      </c>
      <c r="L717" s="11" t="s">
        <v>34</v>
      </c>
      <c r="M717" s="14"/>
      <c r="N717" s="11" t="s">
        <v>71</v>
      </c>
      <c r="O717" s="10" t="str">
        <f t="shared" si="48"/>
        <v>01/2025</v>
      </c>
      <c r="P717" s="10" t="str">
        <f t="shared" si="29"/>
        <v>01/2025</v>
      </c>
      <c r="Q717" s="15" t="str">
        <f t="array" ref="Q717">IFERROR(XLOOKUP(N717,'Classificação'!A:A,'Classificação'!B:B),"")</f>
        <v>DESPESAS DIVERSAS</v>
      </c>
      <c r="R717" s="15" t="str">
        <f t="array" ref="R717">IFERROR(XLOOKUP(Q717,'Classificação'!B:B,'Classificação'!C:C),"")</f>
        <v>DESPESAS FIXAS (-)</v>
      </c>
      <c r="S717" s="15">
        <f t="shared" si="5"/>
        <v>20</v>
      </c>
      <c r="T717" s="15">
        <f t="shared" si="6"/>
        <v>1</v>
      </c>
      <c r="U717" s="15">
        <f t="shared" si="7"/>
        <v>2025</v>
      </c>
      <c r="V717" s="15">
        <f t="shared" si="8"/>
        <v>20</v>
      </c>
      <c r="W717" s="15">
        <f t="shared" si="9"/>
        <v>1</v>
      </c>
      <c r="X717" s="15">
        <f t="shared" si="10"/>
        <v>2025</v>
      </c>
    </row>
    <row r="718">
      <c r="A718" s="9">
        <v>45677.0</v>
      </c>
      <c r="B718" s="32">
        <v>45643.0</v>
      </c>
      <c r="C718" s="9">
        <f t="shared" si="22"/>
        <v>45677</v>
      </c>
      <c r="D718" s="11" t="s">
        <v>137</v>
      </c>
      <c r="E718" s="11" t="s">
        <v>25</v>
      </c>
      <c r="F718" s="11" t="s">
        <v>107</v>
      </c>
      <c r="G718" s="11" t="s">
        <v>27</v>
      </c>
      <c r="H718" s="11" t="s">
        <v>505</v>
      </c>
      <c r="I718" s="31">
        <v>16.9</v>
      </c>
      <c r="J718" s="13"/>
      <c r="K718" s="13">
        <f t="shared" si="47"/>
        <v>16.9</v>
      </c>
      <c r="L718" s="11" t="s">
        <v>34</v>
      </c>
      <c r="M718" s="14"/>
      <c r="N718" s="11" t="s">
        <v>448</v>
      </c>
      <c r="O718" s="10" t="str">
        <f t="shared" si="48"/>
        <v>01/2025</v>
      </c>
      <c r="P718" s="10" t="str">
        <f t="shared" si="29"/>
        <v>01/2025</v>
      </c>
      <c r="Q718" s="15" t="str">
        <f t="array" ref="Q718">IFERROR(XLOOKUP(N718,'Classificação'!A:A,'Classificação'!B:B),"")</f>
        <v>DESPESAS ADMINISTRATIVAS</v>
      </c>
      <c r="R718" s="15" t="str">
        <f t="array" ref="R718">IFERROR(XLOOKUP(Q718,'Classificação'!B:B,'Classificação'!C:C),"")</f>
        <v>DESPESAS FIXAS (-)</v>
      </c>
      <c r="S718" s="15">
        <f t="shared" si="5"/>
        <v>20</v>
      </c>
      <c r="T718" s="15">
        <f t="shared" si="6"/>
        <v>1</v>
      </c>
      <c r="U718" s="15">
        <f t="shared" si="7"/>
        <v>2025</v>
      </c>
      <c r="V718" s="15">
        <f t="shared" si="8"/>
        <v>20</v>
      </c>
      <c r="W718" s="15">
        <f t="shared" si="9"/>
        <v>1</v>
      </c>
      <c r="X718" s="15">
        <f t="shared" si="10"/>
        <v>2025</v>
      </c>
    </row>
    <row r="719">
      <c r="A719" s="9">
        <v>45677.0</v>
      </c>
      <c r="B719" s="32">
        <v>45645.0</v>
      </c>
      <c r="C719" s="9">
        <f t="shared" si="22"/>
        <v>45677</v>
      </c>
      <c r="D719" s="11" t="s">
        <v>137</v>
      </c>
      <c r="E719" s="11" t="s">
        <v>25</v>
      </c>
      <c r="F719" s="11" t="s">
        <v>107</v>
      </c>
      <c r="G719" s="11" t="s">
        <v>27</v>
      </c>
      <c r="H719" s="11" t="s">
        <v>506</v>
      </c>
      <c r="I719" s="31">
        <v>11.72</v>
      </c>
      <c r="J719" s="13"/>
      <c r="K719" s="13">
        <f t="shared" si="47"/>
        <v>11.72</v>
      </c>
      <c r="L719" s="11" t="s">
        <v>34</v>
      </c>
      <c r="M719" s="14"/>
      <c r="N719" s="11" t="s">
        <v>448</v>
      </c>
      <c r="O719" s="10" t="str">
        <f t="shared" si="48"/>
        <v>01/2025</v>
      </c>
      <c r="P719" s="10" t="str">
        <f t="shared" si="29"/>
        <v>01/2025</v>
      </c>
      <c r="Q719" s="15" t="str">
        <f t="array" ref="Q719">IFERROR(XLOOKUP(N719,'Classificação'!A:A,'Classificação'!B:B),"")</f>
        <v>DESPESAS ADMINISTRATIVAS</v>
      </c>
      <c r="R719" s="15" t="str">
        <f t="array" ref="R719">IFERROR(XLOOKUP(Q719,'Classificação'!B:B,'Classificação'!C:C),"")</f>
        <v>DESPESAS FIXAS (-)</v>
      </c>
      <c r="S719" s="15">
        <f t="shared" si="5"/>
        <v>20</v>
      </c>
      <c r="T719" s="15">
        <f t="shared" si="6"/>
        <v>1</v>
      </c>
      <c r="U719" s="15">
        <f t="shared" si="7"/>
        <v>2025</v>
      </c>
      <c r="V719" s="15">
        <f t="shared" si="8"/>
        <v>20</v>
      </c>
      <c r="W719" s="15">
        <f t="shared" si="9"/>
        <v>1</v>
      </c>
      <c r="X719" s="15">
        <f t="shared" si="10"/>
        <v>2025</v>
      </c>
    </row>
    <row r="720">
      <c r="A720" s="9">
        <v>45677.0</v>
      </c>
      <c r="B720" s="32">
        <v>45645.0</v>
      </c>
      <c r="C720" s="9">
        <f t="shared" si="22"/>
        <v>45677</v>
      </c>
      <c r="D720" s="11" t="s">
        <v>114</v>
      </c>
      <c r="E720" s="11" t="s">
        <v>25</v>
      </c>
      <c r="F720" s="11" t="s">
        <v>107</v>
      </c>
      <c r="G720" s="11" t="s">
        <v>27</v>
      </c>
      <c r="H720" s="11" t="s">
        <v>507</v>
      </c>
      <c r="I720" s="31">
        <v>41.75</v>
      </c>
      <c r="J720" s="13"/>
      <c r="K720" s="13">
        <f t="shared" si="47"/>
        <v>41.75</v>
      </c>
      <c r="L720" s="11" t="s">
        <v>34</v>
      </c>
      <c r="M720" s="14"/>
      <c r="N720" s="11" t="s">
        <v>143</v>
      </c>
      <c r="O720" s="10" t="str">
        <f t="shared" si="48"/>
        <v>01/2025</v>
      </c>
      <c r="P720" s="10" t="str">
        <f t="shared" si="29"/>
        <v>01/2025</v>
      </c>
      <c r="Q720" s="15" t="str">
        <f t="array" ref="Q720">IFERROR(XLOOKUP(N720,'Classificação'!A:A,'Classificação'!B:B),"")</f>
        <v>EMBALAGENS/FITAS/GERAL</v>
      </c>
      <c r="R720" s="15" t="str">
        <f t="array" ref="R720">IFERROR(XLOOKUP(Q720,'Classificação'!B:B,'Classificação'!C:C),"")</f>
        <v>CUSTOS VARIÁVEIS</v>
      </c>
      <c r="S720" s="15">
        <f t="shared" si="5"/>
        <v>20</v>
      </c>
      <c r="T720" s="15">
        <f t="shared" si="6"/>
        <v>1</v>
      </c>
      <c r="U720" s="15">
        <f t="shared" si="7"/>
        <v>2025</v>
      </c>
      <c r="V720" s="15">
        <f t="shared" si="8"/>
        <v>20</v>
      </c>
      <c r="W720" s="15">
        <f t="shared" si="9"/>
        <v>1</v>
      </c>
      <c r="X720" s="15">
        <f t="shared" si="10"/>
        <v>2025</v>
      </c>
    </row>
    <row r="721">
      <c r="A721" s="9">
        <v>45677.0</v>
      </c>
      <c r="B721" s="32">
        <v>45645.0</v>
      </c>
      <c r="C721" s="9">
        <f t="shared" si="22"/>
        <v>45677</v>
      </c>
      <c r="D721" s="11" t="s">
        <v>508</v>
      </c>
      <c r="E721" s="11" t="s">
        <v>25</v>
      </c>
      <c r="F721" s="11" t="s">
        <v>107</v>
      </c>
      <c r="G721" s="11" t="s">
        <v>27</v>
      </c>
      <c r="H721" s="11" t="s">
        <v>509</v>
      </c>
      <c r="I721" s="31">
        <v>25.0</v>
      </c>
      <c r="J721" s="13"/>
      <c r="K721" s="13">
        <f t="shared" si="47"/>
        <v>25</v>
      </c>
      <c r="L721" s="11" t="s">
        <v>34</v>
      </c>
      <c r="M721" s="14"/>
      <c r="N721" s="11" t="s">
        <v>392</v>
      </c>
      <c r="O721" s="10" t="str">
        <f t="shared" si="48"/>
        <v>01/2025</v>
      </c>
      <c r="P721" s="10" t="str">
        <f t="shared" si="29"/>
        <v>01/2025</v>
      </c>
      <c r="Q721" s="15" t="str">
        <f t="array" ref="Q721">IFERROR(XLOOKUP(N721,'Classificação'!A:A,'Classificação'!B:B),"")</f>
        <v>DESPESAS COM OCUPAÇÃO</v>
      </c>
      <c r="R721" s="15" t="str">
        <f t="array" ref="R721">IFERROR(XLOOKUP(Q721,'Classificação'!B:B,'Classificação'!C:C),"")</f>
        <v>DESPESAS FIXAS (-)</v>
      </c>
      <c r="S721" s="15">
        <f t="shared" si="5"/>
        <v>20</v>
      </c>
      <c r="T721" s="15">
        <f t="shared" si="6"/>
        <v>1</v>
      </c>
      <c r="U721" s="15">
        <f t="shared" si="7"/>
        <v>2025</v>
      </c>
      <c r="V721" s="15">
        <f t="shared" si="8"/>
        <v>20</v>
      </c>
      <c r="W721" s="15">
        <f t="shared" si="9"/>
        <v>1</v>
      </c>
      <c r="X721" s="15">
        <f t="shared" si="10"/>
        <v>2025</v>
      </c>
    </row>
    <row r="722">
      <c r="A722" s="9">
        <v>45677.0</v>
      </c>
      <c r="B722" s="32">
        <v>45646.0</v>
      </c>
      <c r="C722" s="9">
        <f t="shared" si="22"/>
        <v>45677</v>
      </c>
      <c r="D722" s="11" t="s">
        <v>167</v>
      </c>
      <c r="E722" s="11" t="s">
        <v>25</v>
      </c>
      <c r="F722" s="11" t="s">
        <v>107</v>
      </c>
      <c r="G722" s="11" t="s">
        <v>27</v>
      </c>
      <c r="H722" s="11" t="s">
        <v>510</v>
      </c>
      <c r="I722" s="31">
        <v>118.0</v>
      </c>
      <c r="J722" s="13"/>
      <c r="K722" s="13">
        <f t="shared" si="47"/>
        <v>118</v>
      </c>
      <c r="L722" s="11" t="s">
        <v>34</v>
      </c>
      <c r="M722" s="14"/>
      <c r="N722" s="11" t="s">
        <v>78</v>
      </c>
      <c r="O722" s="10" t="str">
        <f t="shared" si="48"/>
        <v>01/2025</v>
      </c>
      <c r="P722" s="10" t="str">
        <f t="shared" si="29"/>
        <v>01/2025</v>
      </c>
      <c r="Q722" s="15" t="str">
        <f t="array" ref="Q722">IFERROR(XLOOKUP(N722,'Classificação'!A:A,'Classificação'!B:B),"")</f>
        <v>DESPESAS COM PESSOAL</v>
      </c>
      <c r="R722" s="15" t="str">
        <f t="array" ref="R722">IFERROR(XLOOKUP(Q722,'Classificação'!B:B,'Classificação'!C:C),"")</f>
        <v>DESPESAS FIXAS (-)</v>
      </c>
      <c r="S722" s="15">
        <f t="shared" si="5"/>
        <v>20</v>
      </c>
      <c r="T722" s="15">
        <f t="shared" si="6"/>
        <v>1</v>
      </c>
      <c r="U722" s="15">
        <f t="shared" si="7"/>
        <v>2025</v>
      </c>
      <c r="V722" s="15">
        <f t="shared" si="8"/>
        <v>20</v>
      </c>
      <c r="W722" s="15">
        <f t="shared" si="9"/>
        <v>1</v>
      </c>
      <c r="X722" s="15">
        <f t="shared" si="10"/>
        <v>2025</v>
      </c>
    </row>
    <row r="723">
      <c r="A723" s="9">
        <v>45677.0</v>
      </c>
      <c r="B723" s="32">
        <v>45653.0</v>
      </c>
      <c r="C723" s="9">
        <f t="shared" si="22"/>
        <v>45677</v>
      </c>
      <c r="D723" s="11" t="s">
        <v>179</v>
      </c>
      <c r="E723" s="11" t="s">
        <v>25</v>
      </c>
      <c r="F723" s="11" t="s">
        <v>107</v>
      </c>
      <c r="G723" s="11" t="s">
        <v>27</v>
      </c>
      <c r="H723" s="11" t="s">
        <v>312</v>
      </c>
      <c r="I723" s="31">
        <v>100.0</v>
      </c>
      <c r="J723" s="13"/>
      <c r="K723" s="13">
        <f t="shared" si="47"/>
        <v>100</v>
      </c>
      <c r="L723" s="11" t="s">
        <v>34</v>
      </c>
      <c r="M723" s="14"/>
      <c r="N723" s="11" t="s">
        <v>181</v>
      </c>
      <c r="O723" s="10" t="str">
        <f t="shared" si="48"/>
        <v>01/2025</v>
      </c>
      <c r="P723" s="10" t="str">
        <f t="shared" si="29"/>
        <v>01/2025</v>
      </c>
      <c r="Q723" s="15" t="str">
        <f t="array" ref="Q723">IFERROR(XLOOKUP(N723,'Classificação'!A:A,'Classificação'!B:B),"")</f>
        <v>DESPESAS COM VEICULOS</v>
      </c>
      <c r="R723" s="15" t="str">
        <f t="array" ref="R723">IFERROR(XLOOKUP(Q723,'Classificação'!B:B,'Classificação'!C:C),"")</f>
        <v>DESPESAS FIXAS (-)</v>
      </c>
      <c r="S723" s="15">
        <f t="shared" si="5"/>
        <v>20</v>
      </c>
      <c r="T723" s="15">
        <f t="shared" si="6"/>
        <v>1</v>
      </c>
      <c r="U723" s="15">
        <f t="shared" si="7"/>
        <v>2025</v>
      </c>
      <c r="V723" s="15">
        <f t="shared" si="8"/>
        <v>20</v>
      </c>
      <c r="W723" s="15">
        <f t="shared" si="9"/>
        <v>1</v>
      </c>
      <c r="X723" s="15">
        <f t="shared" si="10"/>
        <v>2025</v>
      </c>
    </row>
    <row r="724">
      <c r="A724" s="9">
        <v>45677.0</v>
      </c>
      <c r="B724" s="32">
        <v>45653.0</v>
      </c>
      <c r="C724" s="9">
        <f t="shared" si="22"/>
        <v>45677</v>
      </c>
      <c r="D724" s="11" t="s">
        <v>511</v>
      </c>
      <c r="E724" s="11" t="s">
        <v>25</v>
      </c>
      <c r="F724" s="11" t="s">
        <v>107</v>
      </c>
      <c r="G724" s="11" t="s">
        <v>27</v>
      </c>
      <c r="H724" s="46" t="s">
        <v>512</v>
      </c>
      <c r="I724" s="31">
        <v>61.05</v>
      </c>
      <c r="J724" s="13"/>
      <c r="K724" s="13">
        <f t="shared" si="47"/>
        <v>61.05</v>
      </c>
      <c r="L724" s="11" t="s">
        <v>34</v>
      </c>
      <c r="M724" s="14"/>
      <c r="N724" s="11" t="s">
        <v>120</v>
      </c>
      <c r="O724" s="10" t="str">
        <f t="shared" si="48"/>
        <v>01/2025</v>
      </c>
      <c r="P724" s="10" t="str">
        <f t="shared" si="29"/>
        <v>01/2025</v>
      </c>
      <c r="Q724" s="15" t="str">
        <f t="array" ref="Q724">IFERROR(XLOOKUP(N724,'Classificação'!A:A,'Classificação'!B:B),"")</f>
        <v>DESPESAS ADMINISTRATIVAS</v>
      </c>
      <c r="R724" s="15" t="str">
        <f t="array" ref="R724">IFERROR(XLOOKUP(Q724,'Classificação'!B:B,'Classificação'!C:C),"")</f>
        <v>DESPESAS FIXAS (-)</v>
      </c>
      <c r="S724" s="15">
        <f t="shared" si="5"/>
        <v>20</v>
      </c>
      <c r="T724" s="15">
        <f t="shared" si="6"/>
        <v>1</v>
      </c>
      <c r="U724" s="15">
        <f t="shared" si="7"/>
        <v>2025</v>
      </c>
      <c r="V724" s="15">
        <f t="shared" si="8"/>
        <v>20</v>
      </c>
      <c r="W724" s="15">
        <f t="shared" si="9"/>
        <v>1</v>
      </c>
      <c r="X724" s="15">
        <f t="shared" si="10"/>
        <v>2025</v>
      </c>
    </row>
    <row r="725">
      <c r="A725" s="9">
        <v>45677.0</v>
      </c>
      <c r="B725" s="32">
        <v>45653.0</v>
      </c>
      <c r="C725" s="9">
        <f t="shared" si="22"/>
        <v>45677</v>
      </c>
      <c r="D725" s="11" t="s">
        <v>511</v>
      </c>
      <c r="E725" s="11" t="s">
        <v>25</v>
      </c>
      <c r="F725" s="11" t="s">
        <v>107</v>
      </c>
      <c r="G725" s="11" t="s">
        <v>27</v>
      </c>
      <c r="H725" s="11" t="s">
        <v>513</v>
      </c>
      <c r="I725" s="31">
        <v>77.88</v>
      </c>
      <c r="J725" s="13"/>
      <c r="K725" s="13">
        <f t="shared" si="47"/>
        <v>77.88</v>
      </c>
      <c r="L725" s="11" t="s">
        <v>34</v>
      </c>
      <c r="M725" s="14"/>
      <c r="N725" s="11" t="s">
        <v>120</v>
      </c>
      <c r="O725" s="10" t="str">
        <f t="shared" si="48"/>
        <v>01/2025</v>
      </c>
      <c r="P725" s="10" t="str">
        <f t="shared" si="29"/>
        <v>01/2025</v>
      </c>
      <c r="Q725" s="15" t="str">
        <f t="array" ref="Q725">IFERROR(XLOOKUP(N725,'Classificação'!A:A,'Classificação'!B:B),"")</f>
        <v>DESPESAS ADMINISTRATIVAS</v>
      </c>
      <c r="R725" s="15" t="str">
        <f t="array" ref="R725">IFERROR(XLOOKUP(Q725,'Classificação'!B:B,'Classificação'!C:C),"")</f>
        <v>DESPESAS FIXAS (-)</v>
      </c>
      <c r="S725" s="15">
        <f t="shared" si="5"/>
        <v>20</v>
      </c>
      <c r="T725" s="15">
        <f t="shared" si="6"/>
        <v>1</v>
      </c>
      <c r="U725" s="15">
        <f t="shared" si="7"/>
        <v>2025</v>
      </c>
      <c r="V725" s="15">
        <f t="shared" si="8"/>
        <v>20</v>
      </c>
      <c r="W725" s="15">
        <f t="shared" si="9"/>
        <v>1</v>
      </c>
      <c r="X725" s="15">
        <f t="shared" si="10"/>
        <v>2025</v>
      </c>
    </row>
    <row r="726">
      <c r="A726" s="9">
        <v>45677.0</v>
      </c>
      <c r="B726" s="9">
        <v>45660.0</v>
      </c>
      <c r="C726" s="9">
        <f t="shared" si="22"/>
        <v>45677</v>
      </c>
      <c r="D726" s="11" t="s">
        <v>114</v>
      </c>
      <c r="E726" s="11" t="s">
        <v>25</v>
      </c>
      <c r="F726" s="11" t="s">
        <v>107</v>
      </c>
      <c r="G726" s="11" t="s">
        <v>27</v>
      </c>
      <c r="H726" s="11" t="s">
        <v>441</v>
      </c>
      <c r="I726" s="31">
        <v>149.97</v>
      </c>
      <c r="J726" s="13"/>
      <c r="K726" s="13">
        <f t="shared" si="47"/>
        <v>149.97</v>
      </c>
      <c r="L726" s="11" t="s">
        <v>34</v>
      </c>
      <c r="M726" s="14"/>
      <c r="N726" s="11" t="s">
        <v>143</v>
      </c>
      <c r="O726" s="10" t="str">
        <f t="shared" si="48"/>
        <v>01/2025</v>
      </c>
      <c r="P726" s="10" t="str">
        <f t="shared" si="29"/>
        <v>01/2025</v>
      </c>
      <c r="Q726" s="15" t="str">
        <f t="array" ref="Q726">IFERROR(XLOOKUP(N726,'Classificação'!A:A,'Classificação'!B:B),"")</f>
        <v>EMBALAGENS/FITAS/GERAL</v>
      </c>
      <c r="R726" s="15" t="str">
        <f t="array" ref="R726">IFERROR(XLOOKUP(Q726,'Classificação'!B:B,'Classificação'!C:C),"")</f>
        <v>CUSTOS VARIÁVEIS</v>
      </c>
      <c r="S726" s="15">
        <f t="shared" si="5"/>
        <v>20</v>
      </c>
      <c r="T726" s="15">
        <f t="shared" si="6"/>
        <v>1</v>
      </c>
      <c r="U726" s="15">
        <f t="shared" si="7"/>
        <v>2025</v>
      </c>
      <c r="V726" s="15">
        <f t="shared" si="8"/>
        <v>20</v>
      </c>
      <c r="W726" s="15">
        <f t="shared" si="9"/>
        <v>1</v>
      </c>
      <c r="X726" s="15">
        <f t="shared" si="10"/>
        <v>2025</v>
      </c>
    </row>
    <row r="727">
      <c r="A727" s="9">
        <v>45677.0</v>
      </c>
      <c r="B727" s="9">
        <v>45660.0</v>
      </c>
      <c r="C727" s="9">
        <f t="shared" si="22"/>
        <v>45677</v>
      </c>
      <c r="D727" s="11" t="s">
        <v>114</v>
      </c>
      <c r="E727" s="11" t="s">
        <v>25</v>
      </c>
      <c r="F727" s="11" t="s">
        <v>107</v>
      </c>
      <c r="G727" s="11" t="s">
        <v>27</v>
      </c>
      <c r="H727" s="11" t="s">
        <v>514</v>
      </c>
      <c r="I727" s="31">
        <v>29.99</v>
      </c>
      <c r="J727" s="13"/>
      <c r="K727" s="13">
        <f t="shared" si="47"/>
        <v>29.99</v>
      </c>
      <c r="L727" s="11" t="s">
        <v>34</v>
      </c>
      <c r="M727" s="14"/>
      <c r="N727" s="11" t="s">
        <v>136</v>
      </c>
      <c r="O727" s="10" t="str">
        <f t="shared" si="48"/>
        <v>01/2025</v>
      </c>
      <c r="P727" s="10" t="str">
        <f t="shared" si="29"/>
        <v>01/2025</v>
      </c>
      <c r="Q727" s="15" t="str">
        <f t="array" ref="Q727">IFERROR(XLOOKUP(N727,'Classificação'!A:A,'Classificação'!B:B),"")</f>
        <v>DESPESAS COM OCUPAÇÃO</v>
      </c>
      <c r="R727" s="15" t="str">
        <f t="array" ref="R727">IFERROR(XLOOKUP(Q727,'Classificação'!B:B,'Classificação'!C:C),"")</f>
        <v>DESPESAS FIXAS (-)</v>
      </c>
      <c r="S727" s="15">
        <f t="shared" si="5"/>
        <v>20</v>
      </c>
      <c r="T727" s="15">
        <f t="shared" si="6"/>
        <v>1</v>
      </c>
      <c r="U727" s="15">
        <f t="shared" si="7"/>
        <v>2025</v>
      </c>
      <c r="V727" s="15">
        <f t="shared" si="8"/>
        <v>20</v>
      </c>
      <c r="W727" s="15">
        <f t="shared" si="9"/>
        <v>1</v>
      </c>
      <c r="X727" s="15">
        <f t="shared" si="10"/>
        <v>2025</v>
      </c>
    </row>
    <row r="728">
      <c r="A728" s="9">
        <v>45677.0</v>
      </c>
      <c r="B728" s="9">
        <v>45659.0</v>
      </c>
      <c r="C728" s="9">
        <f t="shared" si="22"/>
        <v>45677</v>
      </c>
      <c r="D728" s="11" t="s">
        <v>65</v>
      </c>
      <c r="E728" s="11" t="s">
        <v>25</v>
      </c>
      <c r="F728" s="11" t="s">
        <v>107</v>
      </c>
      <c r="G728" s="11" t="s">
        <v>27</v>
      </c>
      <c r="H728" s="11" t="s">
        <v>515</v>
      </c>
      <c r="I728" s="31">
        <v>483.52</v>
      </c>
      <c r="J728" s="13"/>
      <c r="K728" s="13">
        <f t="shared" si="47"/>
        <v>483.52</v>
      </c>
      <c r="L728" s="11" t="s">
        <v>34</v>
      </c>
      <c r="M728" s="14"/>
      <c r="N728" s="11" t="s">
        <v>143</v>
      </c>
      <c r="O728" s="10" t="str">
        <f t="shared" si="48"/>
        <v>01/2025</v>
      </c>
      <c r="P728" s="10" t="str">
        <f t="shared" si="29"/>
        <v>01/2025</v>
      </c>
      <c r="Q728" s="15" t="str">
        <f t="array" ref="Q728">IFERROR(XLOOKUP(N728,'Classificação'!A:A,'Classificação'!B:B),"")</f>
        <v>EMBALAGENS/FITAS/GERAL</v>
      </c>
      <c r="R728" s="15" t="str">
        <f t="array" ref="R728">IFERROR(XLOOKUP(Q728,'Classificação'!B:B,'Classificação'!C:C),"")</f>
        <v>CUSTOS VARIÁVEIS</v>
      </c>
      <c r="S728" s="15">
        <f t="shared" si="5"/>
        <v>20</v>
      </c>
      <c r="T728" s="15">
        <f t="shared" si="6"/>
        <v>1</v>
      </c>
      <c r="U728" s="15">
        <f t="shared" si="7"/>
        <v>2025</v>
      </c>
      <c r="V728" s="15">
        <f t="shared" si="8"/>
        <v>20</v>
      </c>
      <c r="W728" s="15">
        <f t="shared" si="9"/>
        <v>1</v>
      </c>
      <c r="X728" s="15">
        <f t="shared" si="10"/>
        <v>2025</v>
      </c>
    </row>
    <row r="729">
      <c r="A729" s="9">
        <v>45677.0</v>
      </c>
      <c r="B729" s="9">
        <v>45664.0</v>
      </c>
      <c r="C729" s="9">
        <f t="shared" si="22"/>
        <v>45677</v>
      </c>
      <c r="D729" s="11" t="s">
        <v>373</v>
      </c>
      <c r="E729" s="11" t="s">
        <v>25</v>
      </c>
      <c r="F729" s="11" t="s">
        <v>107</v>
      </c>
      <c r="G729" s="11" t="s">
        <v>27</v>
      </c>
      <c r="H729" s="11" t="s">
        <v>374</v>
      </c>
      <c r="I729" s="31">
        <v>14.0</v>
      </c>
      <c r="J729" s="13"/>
      <c r="K729" s="13">
        <f t="shared" si="47"/>
        <v>14</v>
      </c>
      <c r="L729" s="11" t="s">
        <v>34</v>
      </c>
      <c r="M729" s="14"/>
      <c r="N729" s="11" t="s">
        <v>64</v>
      </c>
      <c r="O729" s="10" t="str">
        <f t="shared" si="48"/>
        <v>01/2025</v>
      </c>
      <c r="P729" s="10" t="str">
        <f t="shared" si="29"/>
        <v>01/2025</v>
      </c>
      <c r="Q729" s="15" t="str">
        <f t="array" ref="Q729">IFERROR(XLOOKUP(N729,'Classificação'!A:A,'Classificação'!B:B),"")</f>
        <v>DESPESAS COM PESSOAL</v>
      </c>
      <c r="R729" s="15" t="str">
        <f t="array" ref="R729">IFERROR(XLOOKUP(Q729,'Classificação'!B:B,'Classificação'!C:C),"")</f>
        <v>DESPESAS FIXAS (-)</v>
      </c>
      <c r="S729" s="15">
        <f t="shared" si="5"/>
        <v>20</v>
      </c>
      <c r="T729" s="15">
        <f t="shared" si="6"/>
        <v>1</v>
      </c>
      <c r="U729" s="15">
        <f t="shared" si="7"/>
        <v>2025</v>
      </c>
      <c r="V729" s="15">
        <f t="shared" si="8"/>
        <v>20</v>
      </c>
      <c r="W729" s="15">
        <f t="shared" si="9"/>
        <v>1</v>
      </c>
      <c r="X729" s="15">
        <f t="shared" si="10"/>
        <v>2025</v>
      </c>
    </row>
    <row r="730">
      <c r="A730" s="9">
        <v>45677.0</v>
      </c>
      <c r="B730" s="32">
        <v>45653.0</v>
      </c>
      <c r="C730" s="9">
        <f t="shared" si="22"/>
        <v>45677</v>
      </c>
      <c r="D730" s="11" t="s">
        <v>65</v>
      </c>
      <c r="E730" s="11" t="s">
        <v>25</v>
      </c>
      <c r="F730" s="11" t="s">
        <v>107</v>
      </c>
      <c r="G730" s="11" t="s">
        <v>27</v>
      </c>
      <c r="H730" s="11" t="s">
        <v>318</v>
      </c>
      <c r="I730" s="31">
        <v>117.09</v>
      </c>
      <c r="J730" s="13"/>
      <c r="K730" s="13">
        <f t="shared" si="47"/>
        <v>117.09</v>
      </c>
      <c r="L730" s="11" t="s">
        <v>53</v>
      </c>
      <c r="M730" s="17">
        <v>45689.0</v>
      </c>
      <c r="N730" s="11" t="s">
        <v>143</v>
      </c>
      <c r="O730" s="10" t="str">
        <f t="shared" si="48"/>
        <v>01/2025</v>
      </c>
      <c r="P730" s="10" t="str">
        <f t="shared" si="29"/>
        <v>01/2025</v>
      </c>
      <c r="Q730" s="15" t="str">
        <f t="array" ref="Q730">IFERROR(XLOOKUP(N730,'Classificação'!A:A,'Classificação'!B:B),"")</f>
        <v>EMBALAGENS/FITAS/GERAL</v>
      </c>
      <c r="R730" s="15" t="str">
        <f t="array" ref="R730">IFERROR(XLOOKUP(Q730,'Classificação'!B:B,'Classificação'!C:C),"")</f>
        <v>CUSTOS VARIÁVEIS</v>
      </c>
      <c r="S730" s="15">
        <f t="shared" si="5"/>
        <v>20</v>
      </c>
      <c r="T730" s="15">
        <f t="shared" si="6"/>
        <v>1</v>
      </c>
      <c r="U730" s="15">
        <f t="shared" si="7"/>
        <v>2025</v>
      </c>
      <c r="V730" s="15">
        <f t="shared" si="8"/>
        <v>20</v>
      </c>
      <c r="W730" s="15">
        <f t="shared" si="9"/>
        <v>1</v>
      </c>
      <c r="X730" s="15">
        <f t="shared" si="10"/>
        <v>2025</v>
      </c>
    </row>
    <row r="731">
      <c r="A731" s="27">
        <v>45677.0</v>
      </c>
      <c r="B731" s="36">
        <v>45652.0</v>
      </c>
      <c r="C731" s="27">
        <f t="shared" si="22"/>
        <v>45677</v>
      </c>
      <c r="D731" s="28" t="s">
        <v>373</v>
      </c>
      <c r="E731" s="11" t="s">
        <v>25</v>
      </c>
      <c r="F731" s="28" t="s">
        <v>110</v>
      </c>
      <c r="G731" s="28" t="s">
        <v>27</v>
      </c>
      <c r="H731" s="28" t="s">
        <v>374</v>
      </c>
      <c r="I731" s="38">
        <v>14.0</v>
      </c>
      <c r="J731" s="34"/>
      <c r="K731" s="13">
        <f t="shared" si="47"/>
        <v>14</v>
      </c>
      <c r="L731" s="28" t="s">
        <v>34</v>
      </c>
      <c r="M731" s="42"/>
      <c r="N731" s="28" t="s">
        <v>64</v>
      </c>
      <c r="O731" s="10" t="str">
        <f t="shared" si="48"/>
        <v>01/2025</v>
      </c>
      <c r="P731" s="10" t="str">
        <f t="shared" si="29"/>
        <v>01/2025</v>
      </c>
      <c r="Q731" s="15" t="str">
        <f t="array" ref="Q731">IFERROR(XLOOKUP(N731,'Classificação'!A:A,'Classificação'!B:B),"")</f>
        <v>DESPESAS COM PESSOAL</v>
      </c>
      <c r="R731" s="15" t="str">
        <f t="array" ref="R731">IFERROR(XLOOKUP(Q731,'Classificação'!B:B,'Classificação'!C:C),"")</f>
        <v>DESPESAS FIXAS (-)</v>
      </c>
      <c r="S731" s="15">
        <f t="shared" si="5"/>
        <v>20</v>
      </c>
      <c r="T731" s="15">
        <f t="shared" si="6"/>
        <v>1</v>
      </c>
      <c r="U731" s="15">
        <f t="shared" si="7"/>
        <v>2025</v>
      </c>
      <c r="V731" s="15">
        <f t="shared" si="8"/>
        <v>20</v>
      </c>
      <c r="W731" s="15">
        <f t="shared" si="9"/>
        <v>1</v>
      </c>
      <c r="X731" s="15">
        <f t="shared" si="10"/>
        <v>2025</v>
      </c>
    </row>
    <row r="732">
      <c r="A732" s="9">
        <v>45677.0</v>
      </c>
      <c r="B732" s="9">
        <v>45645.0</v>
      </c>
      <c r="C732" s="9">
        <f t="shared" si="22"/>
        <v>45677</v>
      </c>
      <c r="D732" s="11" t="s">
        <v>516</v>
      </c>
      <c r="E732" s="11" t="s">
        <v>25</v>
      </c>
      <c r="F732" s="11" t="s">
        <v>107</v>
      </c>
      <c r="G732" s="11" t="s">
        <v>27</v>
      </c>
      <c r="H732" s="11" t="s">
        <v>517</v>
      </c>
      <c r="I732" s="31">
        <v>133.8</v>
      </c>
      <c r="J732" s="13"/>
      <c r="K732" s="13">
        <f t="shared" si="47"/>
        <v>133.8</v>
      </c>
      <c r="L732" s="11" t="s">
        <v>34</v>
      </c>
      <c r="M732" s="14"/>
      <c r="N732" s="11" t="s">
        <v>78</v>
      </c>
      <c r="O732" s="10" t="str">
        <f t="shared" si="48"/>
        <v>01/2025</v>
      </c>
      <c r="P732" s="10" t="str">
        <f t="shared" si="29"/>
        <v>01/2025</v>
      </c>
      <c r="Q732" s="15" t="str">
        <f t="array" ref="Q732">IFERROR(XLOOKUP(N732,'Classificação'!A:A,'Classificação'!B:B),"")</f>
        <v>DESPESAS COM PESSOAL</v>
      </c>
      <c r="R732" s="15" t="str">
        <f t="array" ref="R732">IFERROR(XLOOKUP(Q732,'Classificação'!B:B,'Classificação'!C:C),"")</f>
        <v>DESPESAS FIXAS (-)</v>
      </c>
      <c r="S732" s="15">
        <f t="shared" si="5"/>
        <v>20</v>
      </c>
      <c r="T732" s="15">
        <f t="shared" si="6"/>
        <v>1</v>
      </c>
      <c r="U732" s="15">
        <f t="shared" si="7"/>
        <v>2025</v>
      </c>
      <c r="V732" s="15">
        <f t="shared" si="8"/>
        <v>20</v>
      </c>
      <c r="W732" s="15">
        <f t="shared" si="9"/>
        <v>1</v>
      </c>
      <c r="X732" s="15">
        <f t="shared" si="10"/>
        <v>2025</v>
      </c>
    </row>
    <row r="733">
      <c r="A733" s="9">
        <v>45677.0</v>
      </c>
      <c r="B733" s="32">
        <v>45632.0</v>
      </c>
      <c r="C733" s="9">
        <f t="shared" si="22"/>
        <v>45677</v>
      </c>
      <c r="D733" s="11" t="s">
        <v>65</v>
      </c>
      <c r="E733" s="11" t="s">
        <v>25</v>
      </c>
      <c r="F733" s="11" t="s">
        <v>107</v>
      </c>
      <c r="G733" s="11" t="s">
        <v>27</v>
      </c>
      <c r="H733" s="11" t="s">
        <v>518</v>
      </c>
      <c r="I733" s="31">
        <v>78.55</v>
      </c>
      <c r="J733" s="13"/>
      <c r="K733" s="13">
        <f t="shared" si="47"/>
        <v>78.55</v>
      </c>
      <c r="L733" s="11" t="s">
        <v>53</v>
      </c>
      <c r="M733" s="17">
        <v>45689.0</v>
      </c>
      <c r="N733" s="11" t="s">
        <v>392</v>
      </c>
      <c r="O733" s="10" t="str">
        <f t="shared" si="48"/>
        <v>01/2025</v>
      </c>
      <c r="P733" s="10" t="str">
        <f t="shared" si="29"/>
        <v>01/2025</v>
      </c>
      <c r="Q733" s="15" t="str">
        <f t="array" ref="Q733">IFERROR(XLOOKUP(N733,'Classificação'!A:A,'Classificação'!B:B),"")</f>
        <v>DESPESAS COM OCUPAÇÃO</v>
      </c>
      <c r="R733" s="15" t="str">
        <f t="array" ref="R733">IFERROR(XLOOKUP(Q733,'Classificação'!B:B,'Classificação'!C:C),"")</f>
        <v>DESPESAS FIXAS (-)</v>
      </c>
      <c r="S733" s="15">
        <f t="shared" si="5"/>
        <v>20</v>
      </c>
      <c r="T733" s="15">
        <f t="shared" si="6"/>
        <v>1</v>
      </c>
      <c r="U733" s="15">
        <f t="shared" si="7"/>
        <v>2025</v>
      </c>
      <c r="V733" s="15">
        <f t="shared" si="8"/>
        <v>20</v>
      </c>
      <c r="W733" s="15">
        <f t="shared" si="9"/>
        <v>1</v>
      </c>
      <c r="X733" s="15">
        <f t="shared" si="10"/>
        <v>2025</v>
      </c>
    </row>
    <row r="734">
      <c r="A734" s="9">
        <v>45677.0</v>
      </c>
      <c r="B734" s="10"/>
      <c r="C734" s="9">
        <f t="shared" si="22"/>
        <v>45677</v>
      </c>
      <c r="D734" s="11" t="s">
        <v>200</v>
      </c>
      <c r="E734" s="11" t="s">
        <v>25</v>
      </c>
      <c r="F734" s="11" t="s">
        <v>40</v>
      </c>
      <c r="G734" s="11" t="s">
        <v>27</v>
      </c>
      <c r="I734" s="12">
        <v>170.0</v>
      </c>
      <c r="J734" s="13"/>
      <c r="K734" s="13">
        <f t="shared" si="47"/>
        <v>170</v>
      </c>
      <c r="L734" s="11" t="s">
        <v>29</v>
      </c>
      <c r="M734" s="14"/>
      <c r="N734" s="11" t="s">
        <v>201</v>
      </c>
      <c r="O734" s="10" t="str">
        <f t="shared" si="48"/>
        <v>01/2025</v>
      </c>
      <c r="P734" s="10" t="str">
        <f t="shared" si="29"/>
        <v>01/2025</v>
      </c>
      <c r="Q734" s="15" t="str">
        <f t="array" ref="Q734">IFERROR(XLOOKUP(N734,'Classificação'!A:A,'Classificação'!B:B),"")</f>
        <v>DESPESAS COM OCUPAÇÃO</v>
      </c>
      <c r="R734" s="15" t="str">
        <f t="array" ref="R734">IFERROR(XLOOKUP(Q734,'Classificação'!B:B,'Classificação'!C:C),"")</f>
        <v>DESPESAS FIXAS (-)</v>
      </c>
      <c r="S734" s="15">
        <f t="shared" si="5"/>
        <v>20</v>
      </c>
      <c r="T734" s="15">
        <f t="shared" si="6"/>
        <v>1</v>
      </c>
      <c r="U734" s="15">
        <f t="shared" si="7"/>
        <v>2025</v>
      </c>
      <c r="V734" s="15">
        <f t="shared" si="8"/>
        <v>20</v>
      </c>
      <c r="W734" s="15">
        <f t="shared" si="9"/>
        <v>1</v>
      </c>
      <c r="X734" s="15">
        <f t="shared" si="10"/>
        <v>2025</v>
      </c>
    </row>
    <row r="735">
      <c r="A735" s="9">
        <v>45677.0</v>
      </c>
      <c r="B735" s="10"/>
      <c r="C735" s="9">
        <f t="shared" si="22"/>
        <v>45677</v>
      </c>
      <c r="D735" s="11" t="s">
        <v>167</v>
      </c>
      <c r="E735" s="11" t="s">
        <v>25</v>
      </c>
      <c r="F735" s="11" t="s">
        <v>26</v>
      </c>
      <c r="G735" s="11" t="s">
        <v>37</v>
      </c>
      <c r="H735" s="11" t="s">
        <v>519</v>
      </c>
      <c r="I735" s="12">
        <v>27.0</v>
      </c>
      <c r="J735" s="13"/>
      <c r="K735" s="13">
        <f t="shared" si="47"/>
        <v>27</v>
      </c>
      <c r="L735" s="11" t="s">
        <v>34</v>
      </c>
      <c r="M735" s="14"/>
      <c r="N735" s="11" t="s">
        <v>78</v>
      </c>
      <c r="O735" s="10" t="str">
        <f t="shared" si="48"/>
        <v>01/2025</v>
      </c>
      <c r="P735" s="10" t="str">
        <f t="shared" si="29"/>
        <v>01/2025</v>
      </c>
      <c r="Q735" s="15" t="str">
        <f t="array" ref="Q735">IFERROR(XLOOKUP(N735,'Classificação'!A:A,'Classificação'!B:B),"")</f>
        <v>DESPESAS COM PESSOAL</v>
      </c>
      <c r="R735" s="15" t="str">
        <f t="array" ref="R735">IFERROR(XLOOKUP(Q735,'Classificação'!B:B,'Classificação'!C:C),"")</f>
        <v>DESPESAS FIXAS (-)</v>
      </c>
      <c r="S735" s="15">
        <f t="shared" si="5"/>
        <v>20</v>
      </c>
      <c r="T735" s="15">
        <f t="shared" si="6"/>
        <v>1</v>
      </c>
      <c r="U735" s="15">
        <f t="shared" si="7"/>
        <v>2025</v>
      </c>
      <c r="V735" s="15">
        <f t="shared" si="8"/>
        <v>20</v>
      </c>
      <c r="W735" s="15">
        <f t="shared" si="9"/>
        <v>1</v>
      </c>
      <c r="X735" s="15">
        <f t="shared" si="10"/>
        <v>2025</v>
      </c>
    </row>
    <row r="736">
      <c r="A736" s="26">
        <v>45678.0</v>
      </c>
      <c r="B736" s="30"/>
      <c r="C736" s="27">
        <f t="shared" si="22"/>
        <v>45678</v>
      </c>
      <c r="D736" s="28" t="s">
        <v>36</v>
      </c>
      <c r="E736" s="29" t="s">
        <v>25</v>
      </c>
      <c r="F736" s="29" t="s">
        <v>26</v>
      </c>
      <c r="G736" s="28" t="s">
        <v>37</v>
      </c>
      <c r="H736" s="28"/>
      <c r="I736" s="24">
        <v>3270.0</v>
      </c>
      <c r="J736" s="34"/>
      <c r="K736" s="37">
        <f t="shared" ref="K736:K737" si="49">IF(E736="pago",(I736-J736),"")</f>
        <v>3270</v>
      </c>
      <c r="L736" s="28" t="s">
        <v>29</v>
      </c>
      <c r="M736" s="28"/>
      <c r="N736" s="28" t="s">
        <v>38</v>
      </c>
      <c r="O736" s="10" t="str">
        <f t="shared" si="48"/>
        <v>01/2025</v>
      </c>
      <c r="P736" s="10" t="str">
        <f t="shared" si="29"/>
        <v>01/2025</v>
      </c>
      <c r="Q736" s="15" t="str">
        <f t="array" ref="Q736">IFERROR(XLOOKUP(N736,'Classificação'!A:A,'Classificação'!B:B),"")</f>
        <v>DESPESAS COM PESSOAL</v>
      </c>
      <c r="R736" s="15" t="str">
        <f t="array" ref="R736">IFERROR(XLOOKUP(Q736,'Classificação'!B:B,'Classificação'!C:C),"")</f>
        <v>DESPESAS FIXAS (-)</v>
      </c>
      <c r="S736" s="15">
        <f t="shared" si="5"/>
        <v>21</v>
      </c>
      <c r="T736" s="15">
        <f t="shared" si="6"/>
        <v>1</v>
      </c>
      <c r="U736" s="15">
        <f t="shared" si="7"/>
        <v>2025</v>
      </c>
      <c r="V736" s="15">
        <f t="shared" si="8"/>
        <v>21</v>
      </c>
      <c r="W736" s="15">
        <f t="shared" si="9"/>
        <v>1</v>
      </c>
      <c r="X736" s="15">
        <f t="shared" si="10"/>
        <v>2025</v>
      </c>
    </row>
    <row r="737">
      <c r="A737" s="26">
        <v>45678.0</v>
      </c>
      <c r="B737" s="30"/>
      <c r="C737" s="27">
        <f t="shared" si="22"/>
        <v>45678</v>
      </c>
      <c r="D737" s="28" t="s">
        <v>43</v>
      </c>
      <c r="E737" s="29" t="s">
        <v>25</v>
      </c>
      <c r="F737" s="29" t="s">
        <v>26</v>
      </c>
      <c r="G737" s="28" t="s">
        <v>37</v>
      </c>
      <c r="H737" s="28"/>
      <c r="I737" s="24">
        <v>3270.0</v>
      </c>
      <c r="J737" s="34"/>
      <c r="K737" s="37">
        <f t="shared" si="49"/>
        <v>3270</v>
      </c>
      <c r="L737" s="28" t="s">
        <v>29</v>
      </c>
      <c r="M737" s="28"/>
      <c r="N737" s="28" t="s">
        <v>38</v>
      </c>
      <c r="O737" s="10" t="str">
        <f t="shared" si="48"/>
        <v>01/2025</v>
      </c>
      <c r="P737" s="10" t="str">
        <f t="shared" si="29"/>
        <v>01/2025</v>
      </c>
      <c r="Q737" s="15" t="str">
        <f t="array" ref="Q737">IFERROR(XLOOKUP(N737,'Classificação'!A:A,'Classificação'!B:B),"")</f>
        <v>DESPESAS COM PESSOAL</v>
      </c>
      <c r="R737" s="15" t="str">
        <f t="array" ref="R737">IFERROR(XLOOKUP(Q737,'Classificação'!B:B,'Classificação'!C:C),"")</f>
        <v>DESPESAS FIXAS (-)</v>
      </c>
      <c r="S737" s="15">
        <f t="shared" si="5"/>
        <v>21</v>
      </c>
      <c r="T737" s="15">
        <f t="shared" si="6"/>
        <v>1</v>
      </c>
      <c r="U737" s="15">
        <f t="shared" si="7"/>
        <v>2025</v>
      </c>
      <c r="V737" s="15">
        <f t="shared" si="8"/>
        <v>21</v>
      </c>
      <c r="W737" s="15">
        <f t="shared" si="9"/>
        <v>1</v>
      </c>
      <c r="X737" s="15">
        <f t="shared" si="10"/>
        <v>2025</v>
      </c>
    </row>
    <row r="738">
      <c r="A738" s="9">
        <v>45678.0</v>
      </c>
      <c r="B738" s="10"/>
      <c r="C738" s="9">
        <f t="shared" si="22"/>
        <v>45678</v>
      </c>
      <c r="D738" s="11" t="s">
        <v>36</v>
      </c>
      <c r="E738" s="11" t="s">
        <v>25</v>
      </c>
      <c r="F738" s="11" t="s">
        <v>32</v>
      </c>
      <c r="G738" s="11" t="s">
        <v>27</v>
      </c>
      <c r="I738" s="12">
        <v>4000.0</v>
      </c>
      <c r="J738" s="13"/>
      <c r="K738" s="13">
        <f t="shared" ref="K738:K912" si="50">if(E738="pago",(I738-J738),"")</f>
        <v>4000</v>
      </c>
      <c r="L738" s="11" t="s">
        <v>29</v>
      </c>
      <c r="M738" s="14"/>
      <c r="N738" s="11" t="s">
        <v>38</v>
      </c>
      <c r="O738" s="10" t="str">
        <f t="shared" si="48"/>
        <v>01/2025</v>
      </c>
      <c r="P738" s="10" t="str">
        <f t="shared" si="29"/>
        <v>01/2025</v>
      </c>
      <c r="Q738" s="15" t="str">
        <f t="array" ref="Q738">IFERROR(XLOOKUP(N738,'Classificação'!A:A,'Classificação'!B:B),"")</f>
        <v>DESPESAS COM PESSOAL</v>
      </c>
      <c r="R738" s="15" t="str">
        <f t="array" ref="R738">IFERROR(XLOOKUP(Q738,'Classificação'!B:B,'Classificação'!C:C),"")</f>
        <v>DESPESAS FIXAS (-)</v>
      </c>
      <c r="S738" s="15">
        <f t="shared" si="5"/>
        <v>21</v>
      </c>
      <c r="T738" s="15">
        <f t="shared" si="6"/>
        <v>1</v>
      </c>
      <c r="U738" s="15">
        <f t="shared" si="7"/>
        <v>2025</v>
      </c>
      <c r="V738" s="15">
        <f t="shared" si="8"/>
        <v>21</v>
      </c>
      <c r="W738" s="15">
        <f t="shared" si="9"/>
        <v>1</v>
      </c>
      <c r="X738" s="15">
        <f t="shared" si="10"/>
        <v>2025</v>
      </c>
    </row>
    <row r="739">
      <c r="A739" s="9">
        <v>45678.0</v>
      </c>
      <c r="B739" s="10"/>
      <c r="C739" s="9">
        <f t="shared" si="22"/>
        <v>45678</v>
      </c>
      <c r="D739" s="11" t="s">
        <v>43</v>
      </c>
      <c r="E739" s="11" t="s">
        <v>25</v>
      </c>
      <c r="F739" s="11" t="s">
        <v>32</v>
      </c>
      <c r="G739" s="11" t="s">
        <v>27</v>
      </c>
      <c r="I739" s="12">
        <v>3999.0</v>
      </c>
      <c r="J739" s="13"/>
      <c r="K739" s="13">
        <f t="shared" si="50"/>
        <v>3999</v>
      </c>
      <c r="L739" s="11" t="s">
        <v>29</v>
      </c>
      <c r="M739" s="14"/>
      <c r="N739" s="11" t="s">
        <v>38</v>
      </c>
      <c r="O739" s="10" t="str">
        <f t="shared" si="48"/>
        <v>01/2025</v>
      </c>
      <c r="P739" s="10" t="str">
        <f t="shared" si="29"/>
        <v>01/2025</v>
      </c>
      <c r="Q739" s="15" t="str">
        <f t="array" ref="Q739">IFERROR(XLOOKUP(N739,'Classificação'!A:A,'Classificação'!B:B),"")</f>
        <v>DESPESAS COM PESSOAL</v>
      </c>
      <c r="R739" s="15" t="str">
        <f t="array" ref="R739">IFERROR(XLOOKUP(Q739,'Classificação'!B:B,'Classificação'!C:C),"")</f>
        <v>DESPESAS FIXAS (-)</v>
      </c>
      <c r="S739" s="15">
        <f t="shared" si="5"/>
        <v>21</v>
      </c>
      <c r="T739" s="15">
        <f t="shared" si="6"/>
        <v>1</v>
      </c>
      <c r="U739" s="15">
        <f t="shared" si="7"/>
        <v>2025</v>
      </c>
      <c r="V739" s="15">
        <f t="shared" si="8"/>
        <v>21</v>
      </c>
      <c r="W739" s="15">
        <f t="shared" si="9"/>
        <v>1</v>
      </c>
      <c r="X739" s="15">
        <f t="shared" si="10"/>
        <v>2025</v>
      </c>
    </row>
    <row r="740">
      <c r="A740" s="26">
        <v>45678.0</v>
      </c>
      <c r="B740" s="32">
        <v>45611.0</v>
      </c>
      <c r="C740" s="9">
        <f t="shared" si="22"/>
        <v>45678</v>
      </c>
      <c r="D740" s="11" t="s">
        <v>361</v>
      </c>
      <c r="E740" s="11" t="s">
        <v>25</v>
      </c>
      <c r="F740" s="29" t="s">
        <v>26</v>
      </c>
      <c r="G740" s="11" t="s">
        <v>37</v>
      </c>
      <c r="H740" s="11" t="s">
        <v>362</v>
      </c>
      <c r="I740" s="12">
        <v>180.11</v>
      </c>
      <c r="J740" s="13"/>
      <c r="K740" s="13">
        <f t="shared" si="50"/>
        <v>180.11</v>
      </c>
      <c r="L740" s="11" t="s">
        <v>53</v>
      </c>
      <c r="M740" s="17">
        <v>45629.0</v>
      </c>
      <c r="N740" s="11" t="s">
        <v>363</v>
      </c>
      <c r="O740" s="10" t="str">
        <f t="shared" si="48"/>
        <v>01/2025</v>
      </c>
      <c r="P740" s="10" t="str">
        <f t="shared" si="29"/>
        <v>01/2025</v>
      </c>
      <c r="Q740" s="15" t="str">
        <f t="array" ref="Q740">IFERROR(XLOOKUP(N740,'Classificação'!A:A,'Classificação'!B:B),"")</f>
        <v>DESPESAS NÃO OPERACIONAIS</v>
      </c>
      <c r="R740" s="15" t="str">
        <f t="array" ref="R740">IFERROR(XLOOKUP(Q740,'Classificação'!B:B,'Classificação'!C:C),"")</f>
        <v>RESULTADO NÃO OPERACIONAL (+/-)</v>
      </c>
      <c r="S740" s="15">
        <f t="shared" si="5"/>
        <v>21</v>
      </c>
      <c r="T740" s="15">
        <f t="shared" si="6"/>
        <v>1</v>
      </c>
      <c r="U740" s="15">
        <f t="shared" si="7"/>
        <v>2025</v>
      </c>
      <c r="V740" s="15">
        <f t="shared" si="8"/>
        <v>21</v>
      </c>
      <c r="W740" s="15">
        <f t="shared" si="9"/>
        <v>1</v>
      </c>
      <c r="X740" s="15">
        <f t="shared" si="10"/>
        <v>2025</v>
      </c>
    </row>
    <row r="741">
      <c r="A741" s="9">
        <v>45678.0</v>
      </c>
      <c r="B741" s="9">
        <v>45553.0</v>
      </c>
      <c r="C741" s="9">
        <f t="shared" si="22"/>
        <v>45678</v>
      </c>
      <c r="D741" s="11" t="s">
        <v>313</v>
      </c>
      <c r="E741" s="11" t="s">
        <v>25</v>
      </c>
      <c r="F741" s="11" t="s">
        <v>26</v>
      </c>
      <c r="G741" s="11" t="s">
        <v>37</v>
      </c>
      <c r="H741" s="11" t="s">
        <v>327</v>
      </c>
      <c r="I741" s="12">
        <v>250.0</v>
      </c>
      <c r="J741" s="13"/>
      <c r="K741" s="13">
        <f t="shared" si="50"/>
        <v>250</v>
      </c>
      <c r="L741" s="11" t="s">
        <v>53</v>
      </c>
      <c r="M741" s="17">
        <v>45630.0</v>
      </c>
      <c r="N741" s="11" t="s">
        <v>95</v>
      </c>
      <c r="O741" s="10" t="str">
        <f t="shared" si="48"/>
        <v>01/2025</v>
      </c>
      <c r="P741" s="10" t="str">
        <f t="shared" si="29"/>
        <v>01/2025</v>
      </c>
      <c r="Q741" s="15" t="str">
        <f t="array" ref="Q741">IFERROR(XLOOKUP(N741,'Classificação'!A:A,'Classificação'!B:B),"")</f>
        <v>DESPESAS NÃO OPERACIONAIS</v>
      </c>
      <c r="R741" s="15" t="str">
        <f t="array" ref="R741">IFERROR(XLOOKUP(Q741,'Classificação'!B:B,'Classificação'!C:C),"")</f>
        <v>RESULTADO NÃO OPERACIONAL (+/-)</v>
      </c>
      <c r="S741" s="15">
        <f t="shared" si="5"/>
        <v>21</v>
      </c>
      <c r="T741" s="15">
        <f t="shared" si="6"/>
        <v>1</v>
      </c>
      <c r="U741" s="15">
        <f t="shared" si="7"/>
        <v>2025</v>
      </c>
      <c r="V741" s="15">
        <f t="shared" si="8"/>
        <v>21</v>
      </c>
      <c r="W741" s="15">
        <f t="shared" si="9"/>
        <v>1</v>
      </c>
      <c r="X741" s="15">
        <f t="shared" si="10"/>
        <v>2025</v>
      </c>
    </row>
    <row r="742">
      <c r="A742" s="26">
        <v>45679.0</v>
      </c>
      <c r="B742" s="10"/>
      <c r="C742" s="9">
        <f t="shared" si="22"/>
        <v>45679</v>
      </c>
      <c r="D742" s="28" t="s">
        <v>76</v>
      </c>
      <c r="E742" s="29" t="s">
        <v>25</v>
      </c>
      <c r="F742" s="28" t="s">
        <v>26</v>
      </c>
      <c r="G742" s="28" t="s">
        <v>27</v>
      </c>
      <c r="H742" s="28" t="s">
        <v>84</v>
      </c>
      <c r="I742" s="24">
        <v>1214.27</v>
      </c>
      <c r="J742" s="13"/>
      <c r="K742" s="13">
        <f t="shared" si="50"/>
        <v>1214.27</v>
      </c>
      <c r="L742" s="28" t="s">
        <v>53</v>
      </c>
      <c r="M742" s="29" t="s">
        <v>466</v>
      </c>
      <c r="N742" s="28" t="s">
        <v>85</v>
      </c>
      <c r="O742" s="10" t="str">
        <f t="shared" si="48"/>
        <v>01/2025</v>
      </c>
      <c r="P742" s="10" t="str">
        <f t="shared" si="29"/>
        <v>01/2025</v>
      </c>
      <c r="Q742" s="15" t="str">
        <f t="array" ref="Q742">IFERROR(XLOOKUP(N742,'Classificação'!A:A,'Classificação'!B:B),"")</f>
        <v>DESPESAS NÃO OPERACIONAIS</v>
      </c>
      <c r="R742" s="15" t="str">
        <f t="array" ref="R742">IFERROR(XLOOKUP(Q742,'Classificação'!B:B,'Classificação'!C:C),"")</f>
        <v>RESULTADO NÃO OPERACIONAL (+/-)</v>
      </c>
      <c r="S742" s="15">
        <f t="shared" si="5"/>
        <v>22</v>
      </c>
      <c r="T742" s="15">
        <f t="shared" si="6"/>
        <v>1</v>
      </c>
      <c r="U742" s="15">
        <f t="shared" si="7"/>
        <v>2025</v>
      </c>
      <c r="V742" s="15">
        <f t="shared" si="8"/>
        <v>22</v>
      </c>
      <c r="W742" s="15">
        <f t="shared" si="9"/>
        <v>1</v>
      </c>
      <c r="X742" s="15">
        <f t="shared" si="10"/>
        <v>2025</v>
      </c>
    </row>
    <row r="743">
      <c r="A743" s="9">
        <v>45679.0</v>
      </c>
      <c r="B743" s="10"/>
      <c r="C743" s="9">
        <f t="shared" si="22"/>
        <v>45679</v>
      </c>
      <c r="D743" s="11" t="s">
        <v>202</v>
      </c>
      <c r="E743" s="11" t="s">
        <v>25</v>
      </c>
      <c r="F743" s="11" t="s">
        <v>32</v>
      </c>
      <c r="G743" s="11" t="s">
        <v>27</v>
      </c>
      <c r="H743" s="11" t="s">
        <v>203</v>
      </c>
      <c r="I743" s="12">
        <v>469.34</v>
      </c>
      <c r="J743" s="13"/>
      <c r="K743" s="13">
        <f t="shared" si="50"/>
        <v>469.34</v>
      </c>
      <c r="L743" s="11" t="s">
        <v>53</v>
      </c>
      <c r="M743" s="20">
        <v>45602.0</v>
      </c>
      <c r="N743" s="11" t="s">
        <v>73</v>
      </c>
      <c r="O743" s="10" t="str">
        <f t="shared" si="48"/>
        <v>01/2025</v>
      </c>
      <c r="P743" s="10" t="str">
        <f t="shared" si="29"/>
        <v>01/2025</v>
      </c>
      <c r="Q743" s="15" t="str">
        <f t="array" ref="Q743">IFERROR(XLOOKUP(N743,'Classificação'!A:A,'Classificação'!B:B),"")</f>
        <v>DESPESAS NÃO OPERACIONAIS</v>
      </c>
      <c r="R743" s="15" t="str">
        <f t="array" ref="R743">IFERROR(XLOOKUP(Q743,'Classificação'!B:B,'Classificação'!C:C),"")</f>
        <v>RESULTADO NÃO OPERACIONAL (+/-)</v>
      </c>
      <c r="S743" s="15">
        <f t="shared" si="5"/>
        <v>22</v>
      </c>
      <c r="T743" s="15">
        <f t="shared" si="6"/>
        <v>1</v>
      </c>
      <c r="U743" s="15">
        <f t="shared" si="7"/>
        <v>2025</v>
      </c>
      <c r="V743" s="15">
        <f t="shared" si="8"/>
        <v>22</v>
      </c>
      <c r="W743" s="15">
        <f t="shared" si="9"/>
        <v>1</v>
      </c>
      <c r="X743" s="15">
        <f t="shared" si="10"/>
        <v>2025</v>
      </c>
    </row>
    <row r="744">
      <c r="A744" s="9">
        <v>45679.0</v>
      </c>
      <c r="B744" s="10"/>
      <c r="C744" s="9">
        <f t="shared" si="22"/>
        <v>45679</v>
      </c>
      <c r="D744" s="11" t="s">
        <v>202</v>
      </c>
      <c r="E744" s="11" t="s">
        <v>25</v>
      </c>
      <c r="F744" s="11" t="s">
        <v>32</v>
      </c>
      <c r="G744" s="11" t="s">
        <v>27</v>
      </c>
      <c r="H744" s="11" t="s">
        <v>203</v>
      </c>
      <c r="I744" s="12">
        <v>649.91</v>
      </c>
      <c r="J744" s="13"/>
      <c r="K744" s="13">
        <f t="shared" si="50"/>
        <v>649.91</v>
      </c>
      <c r="L744" s="11" t="s">
        <v>53</v>
      </c>
      <c r="M744" s="20">
        <v>45602.0</v>
      </c>
      <c r="N744" s="11" t="s">
        <v>73</v>
      </c>
      <c r="O744" s="10" t="str">
        <f t="shared" si="48"/>
        <v>01/2025</v>
      </c>
      <c r="P744" s="10" t="str">
        <f t="shared" si="29"/>
        <v>01/2025</v>
      </c>
      <c r="Q744" s="15" t="str">
        <f t="array" ref="Q744">IFERROR(XLOOKUP(N744,'Classificação'!A:A,'Classificação'!B:B),"")</f>
        <v>DESPESAS NÃO OPERACIONAIS</v>
      </c>
      <c r="R744" s="15" t="str">
        <f t="array" ref="R744">IFERROR(XLOOKUP(Q744,'Classificação'!B:B,'Classificação'!C:C),"")</f>
        <v>RESULTADO NÃO OPERACIONAL (+/-)</v>
      </c>
      <c r="S744" s="15">
        <f t="shared" si="5"/>
        <v>22</v>
      </c>
      <c r="T744" s="15">
        <f t="shared" si="6"/>
        <v>1</v>
      </c>
      <c r="U744" s="15">
        <f t="shared" si="7"/>
        <v>2025</v>
      </c>
      <c r="V744" s="15">
        <f t="shared" si="8"/>
        <v>22</v>
      </c>
      <c r="W744" s="15">
        <f t="shared" si="9"/>
        <v>1</v>
      </c>
      <c r="X744" s="15">
        <f t="shared" si="10"/>
        <v>2025</v>
      </c>
    </row>
    <row r="745">
      <c r="A745" s="9">
        <v>45679.0</v>
      </c>
      <c r="B745" s="10"/>
      <c r="C745" s="9">
        <f t="shared" si="22"/>
        <v>45679</v>
      </c>
      <c r="D745" s="11" t="s">
        <v>520</v>
      </c>
      <c r="E745" s="11" t="s">
        <v>25</v>
      </c>
      <c r="F745" s="11" t="s">
        <v>26</v>
      </c>
      <c r="G745" s="11" t="s">
        <v>37</v>
      </c>
      <c r="H745" s="11" t="s">
        <v>521</v>
      </c>
      <c r="I745" s="12">
        <v>250.0</v>
      </c>
      <c r="J745" s="13"/>
      <c r="K745" s="13">
        <f t="shared" si="50"/>
        <v>250</v>
      </c>
      <c r="L745" s="11" t="s">
        <v>34</v>
      </c>
      <c r="M745" s="14"/>
      <c r="N745" s="11" t="s">
        <v>64</v>
      </c>
      <c r="O745" s="10" t="str">
        <f t="shared" si="48"/>
        <v>01/2025</v>
      </c>
      <c r="P745" s="10" t="str">
        <f t="shared" si="29"/>
        <v>01/2025</v>
      </c>
      <c r="Q745" s="15" t="str">
        <f t="array" ref="Q745">IFERROR(XLOOKUP(N745,'Classificação'!A:A,'Classificação'!B:B),"")</f>
        <v>DESPESAS COM PESSOAL</v>
      </c>
      <c r="R745" s="15" t="str">
        <f t="array" ref="R745">IFERROR(XLOOKUP(Q745,'Classificação'!B:B,'Classificação'!C:C),"")</f>
        <v>DESPESAS FIXAS (-)</v>
      </c>
      <c r="S745" s="15">
        <f t="shared" si="5"/>
        <v>22</v>
      </c>
      <c r="T745" s="15">
        <f t="shared" si="6"/>
        <v>1</v>
      </c>
      <c r="U745" s="15">
        <f t="shared" si="7"/>
        <v>2025</v>
      </c>
      <c r="V745" s="15">
        <f t="shared" si="8"/>
        <v>22</v>
      </c>
      <c r="W745" s="15">
        <f t="shared" si="9"/>
        <v>1</v>
      </c>
      <c r="X745" s="15">
        <f t="shared" si="10"/>
        <v>2025</v>
      </c>
    </row>
    <row r="746">
      <c r="A746" s="26">
        <v>45679.0</v>
      </c>
      <c r="B746" s="36">
        <v>45618.0</v>
      </c>
      <c r="C746" s="9">
        <f t="shared" si="22"/>
        <v>45679</v>
      </c>
      <c r="D746" s="28" t="s">
        <v>86</v>
      </c>
      <c r="E746" s="29" t="s">
        <v>25</v>
      </c>
      <c r="F746" s="11" t="s">
        <v>87</v>
      </c>
      <c r="G746" s="28" t="s">
        <v>27</v>
      </c>
      <c r="H746" s="29" t="s">
        <v>522</v>
      </c>
      <c r="I746" s="24">
        <v>1686.67</v>
      </c>
      <c r="J746" s="13"/>
      <c r="K746" s="13">
        <f t="shared" si="50"/>
        <v>1686.67</v>
      </c>
      <c r="L746" s="29" t="s">
        <v>53</v>
      </c>
      <c r="M746" s="17">
        <v>45353.0</v>
      </c>
      <c r="N746" s="28" t="s">
        <v>35</v>
      </c>
      <c r="O746" s="10" t="str">
        <f t="shared" si="48"/>
        <v>01/2025</v>
      </c>
      <c r="P746" s="10" t="str">
        <f t="shared" si="29"/>
        <v>01/2025</v>
      </c>
      <c r="Q746" s="15" t="str">
        <f t="array" ref="Q746">IFERROR(XLOOKUP(N746,'Classificação'!A:A,'Classificação'!B:B),"")</f>
        <v>COMPRA DE MERCADORIA</v>
      </c>
      <c r="R746" s="15" t="str">
        <f t="array" ref="R746">IFERROR(XLOOKUP(Q746,'Classificação'!B:B,'Classificação'!C:C),"")</f>
        <v>CUSTOS VARIÁVEIS</v>
      </c>
      <c r="S746" s="15">
        <f t="shared" si="5"/>
        <v>22</v>
      </c>
      <c r="T746" s="15">
        <f t="shared" si="6"/>
        <v>1</v>
      </c>
      <c r="U746" s="15">
        <f t="shared" si="7"/>
        <v>2025</v>
      </c>
      <c r="V746" s="15">
        <f t="shared" si="8"/>
        <v>22</v>
      </c>
      <c r="W746" s="15">
        <f t="shared" si="9"/>
        <v>1</v>
      </c>
      <c r="X746" s="15">
        <f t="shared" si="10"/>
        <v>2025</v>
      </c>
    </row>
    <row r="747">
      <c r="A747" s="9">
        <v>45680.0</v>
      </c>
      <c r="B747" s="10"/>
      <c r="C747" s="9">
        <f t="shared" si="22"/>
        <v>45680</v>
      </c>
      <c r="D747" s="11" t="s">
        <v>127</v>
      </c>
      <c r="E747" s="11" t="s">
        <v>25</v>
      </c>
      <c r="F747" s="11" t="s">
        <v>26</v>
      </c>
      <c r="G747" s="11" t="s">
        <v>37</v>
      </c>
      <c r="I747" s="12">
        <v>630.0</v>
      </c>
      <c r="J747" s="13"/>
      <c r="K747" s="13">
        <f t="shared" si="50"/>
        <v>630</v>
      </c>
      <c r="L747" s="11" t="s">
        <v>29</v>
      </c>
      <c r="M747" s="14"/>
      <c r="N747" s="11" t="s">
        <v>58</v>
      </c>
      <c r="O747" s="10" t="str">
        <f t="shared" si="48"/>
        <v>01/2025</v>
      </c>
      <c r="P747" s="10" t="str">
        <f t="shared" si="29"/>
        <v>01/2025</v>
      </c>
      <c r="Q747" s="15" t="str">
        <f t="array" ref="Q747">IFERROR(XLOOKUP(N747,'Classificação'!A:A,'Classificação'!B:B),"")</f>
        <v>DESPESAS ADMINISTRATIVAS</v>
      </c>
      <c r="R747" s="15" t="str">
        <f t="array" ref="R747">IFERROR(XLOOKUP(Q747,'Classificação'!B:B,'Classificação'!C:C),"")</f>
        <v>DESPESAS FIXAS (-)</v>
      </c>
      <c r="S747" s="15">
        <f t="shared" si="5"/>
        <v>23</v>
      </c>
      <c r="T747" s="15">
        <f t="shared" si="6"/>
        <v>1</v>
      </c>
      <c r="U747" s="15">
        <f t="shared" si="7"/>
        <v>2025</v>
      </c>
      <c r="V747" s="15">
        <f t="shared" si="8"/>
        <v>23</v>
      </c>
      <c r="W747" s="15">
        <f t="shared" si="9"/>
        <v>1</v>
      </c>
      <c r="X747" s="15">
        <f t="shared" si="10"/>
        <v>2025</v>
      </c>
    </row>
    <row r="748">
      <c r="A748" s="26">
        <v>45680.0</v>
      </c>
      <c r="B748" s="10"/>
      <c r="C748" s="9">
        <f t="shared" si="22"/>
        <v>45680</v>
      </c>
      <c r="D748" s="28" t="s">
        <v>177</v>
      </c>
      <c r="E748" s="29" t="s">
        <v>25</v>
      </c>
      <c r="F748" s="29" t="s">
        <v>40</v>
      </c>
      <c r="G748" s="28" t="s">
        <v>27</v>
      </c>
      <c r="H748" s="43" t="s">
        <v>523</v>
      </c>
      <c r="I748" s="24">
        <v>223.69</v>
      </c>
      <c r="J748" s="13"/>
      <c r="K748" s="13">
        <f t="shared" si="50"/>
        <v>223.69</v>
      </c>
      <c r="L748" s="28" t="s">
        <v>53</v>
      </c>
      <c r="M748" s="17">
        <v>45445.0</v>
      </c>
      <c r="N748" s="28" t="s">
        <v>178</v>
      </c>
      <c r="O748" s="10" t="str">
        <f t="shared" si="48"/>
        <v>01/2025</v>
      </c>
      <c r="P748" s="10" t="str">
        <f t="shared" si="29"/>
        <v>01/2025</v>
      </c>
      <c r="Q748" s="15" t="str">
        <f t="array" ref="Q748">IFERROR(XLOOKUP(N748,'Classificação'!A:A,'Classificação'!B:B),"")</f>
        <v>DESPESAS COM OCUPAÇÃO</v>
      </c>
      <c r="R748" s="15" t="str">
        <f t="array" ref="R748">IFERROR(XLOOKUP(Q748,'Classificação'!B:B,'Classificação'!C:C),"")</f>
        <v>DESPESAS FIXAS (-)</v>
      </c>
      <c r="S748" s="15">
        <f t="shared" si="5"/>
        <v>23</v>
      </c>
      <c r="T748" s="15">
        <f t="shared" si="6"/>
        <v>1</v>
      </c>
      <c r="U748" s="15">
        <f t="shared" si="7"/>
        <v>2025</v>
      </c>
      <c r="V748" s="15">
        <f t="shared" si="8"/>
        <v>23</v>
      </c>
      <c r="W748" s="15">
        <f t="shared" si="9"/>
        <v>1</v>
      </c>
      <c r="X748" s="15">
        <f t="shared" si="10"/>
        <v>2025</v>
      </c>
    </row>
    <row r="749">
      <c r="A749" s="9">
        <v>45681.0</v>
      </c>
      <c r="B749" s="10"/>
      <c r="C749" s="9">
        <f t="shared" si="22"/>
        <v>45681</v>
      </c>
      <c r="D749" s="11" t="s">
        <v>44</v>
      </c>
      <c r="E749" s="11" t="s">
        <v>25</v>
      </c>
      <c r="F749" s="11" t="s">
        <v>45</v>
      </c>
      <c r="G749" s="11" t="s">
        <v>27</v>
      </c>
      <c r="H749" s="11" t="s">
        <v>524</v>
      </c>
      <c r="I749" s="12">
        <v>38.33</v>
      </c>
      <c r="J749" s="13"/>
      <c r="K749" s="13">
        <f t="shared" si="50"/>
        <v>38.33</v>
      </c>
      <c r="L749" s="11" t="s">
        <v>34</v>
      </c>
      <c r="M749" s="14"/>
      <c r="N749" s="11" t="s">
        <v>47</v>
      </c>
      <c r="O749" s="10" t="str">
        <f t="shared" si="48"/>
        <v>01/2025</v>
      </c>
      <c r="P749" s="10" t="str">
        <f t="shared" si="29"/>
        <v>01/2025</v>
      </c>
      <c r="Q749" s="15" t="str">
        <f t="array" ref="Q749">IFERROR(XLOOKUP(N749,'Classificação'!A:A,'Classificação'!B:B),"")</f>
        <v>DESPESAS NÃO OPERACIONAIS</v>
      </c>
      <c r="R749" s="15" t="str">
        <f t="array" ref="R749">IFERROR(XLOOKUP(Q749,'Classificação'!B:B,'Classificação'!C:C),"")</f>
        <v>RESULTADO NÃO OPERACIONAL (+/-)</v>
      </c>
      <c r="S749" s="15">
        <f t="shared" si="5"/>
        <v>24</v>
      </c>
      <c r="T749" s="15">
        <f t="shared" si="6"/>
        <v>1</v>
      </c>
      <c r="U749" s="15">
        <f t="shared" si="7"/>
        <v>2025</v>
      </c>
      <c r="V749" s="15">
        <f t="shared" si="8"/>
        <v>24</v>
      </c>
      <c r="W749" s="15">
        <f t="shared" si="9"/>
        <v>1</v>
      </c>
      <c r="X749" s="15">
        <f t="shared" si="10"/>
        <v>2025</v>
      </c>
    </row>
    <row r="750">
      <c r="A750" s="9">
        <v>45684.0</v>
      </c>
      <c r="B750" s="10"/>
      <c r="C750" s="9">
        <f t="shared" si="22"/>
        <v>45684</v>
      </c>
      <c r="D750" s="11" t="s">
        <v>208</v>
      </c>
      <c r="E750" s="11" t="s">
        <v>25</v>
      </c>
      <c r="F750" s="11" t="s">
        <v>40</v>
      </c>
      <c r="G750" s="11" t="s">
        <v>27</v>
      </c>
      <c r="H750" s="11" t="s">
        <v>209</v>
      </c>
      <c r="I750" s="12">
        <v>171.72</v>
      </c>
      <c r="J750" s="13"/>
      <c r="K750" s="13">
        <f t="shared" si="50"/>
        <v>171.72</v>
      </c>
      <c r="L750" s="11" t="s">
        <v>29</v>
      </c>
      <c r="M750" s="14"/>
      <c r="N750" s="11" t="s">
        <v>210</v>
      </c>
      <c r="O750" s="10" t="str">
        <f t="shared" si="48"/>
        <v>01/2025</v>
      </c>
      <c r="P750" s="10" t="str">
        <f t="shared" si="29"/>
        <v>01/2025</v>
      </c>
      <c r="Q750" s="15" t="str">
        <f t="array" ref="Q750">IFERROR(XLOOKUP(N750,'Classificação'!A:A,'Classificação'!B:B),"")</f>
        <v>DESPESAS COM OCUPAÇÃO</v>
      </c>
      <c r="R750" s="15" t="str">
        <f t="array" ref="R750">IFERROR(XLOOKUP(Q750,'Classificação'!B:B,'Classificação'!C:C),"")</f>
        <v>DESPESAS FIXAS (-)</v>
      </c>
      <c r="S750" s="15">
        <f t="shared" si="5"/>
        <v>27</v>
      </c>
      <c r="T750" s="15">
        <f t="shared" si="6"/>
        <v>1</v>
      </c>
      <c r="U750" s="15">
        <f t="shared" si="7"/>
        <v>2025</v>
      </c>
      <c r="V750" s="15">
        <f t="shared" si="8"/>
        <v>27</v>
      </c>
      <c r="W750" s="15">
        <f t="shared" si="9"/>
        <v>1</v>
      </c>
      <c r="X750" s="15">
        <f t="shared" si="10"/>
        <v>2025</v>
      </c>
    </row>
    <row r="751">
      <c r="A751" s="9">
        <v>45686.0</v>
      </c>
      <c r="B751" s="10"/>
      <c r="C751" s="9">
        <f t="shared" si="22"/>
        <v>45686</v>
      </c>
      <c r="D751" s="11" t="s">
        <v>221</v>
      </c>
      <c r="E751" s="11" t="s">
        <v>25</v>
      </c>
      <c r="F751" s="11" t="s">
        <v>32</v>
      </c>
      <c r="G751" s="11" t="s">
        <v>27</v>
      </c>
      <c r="H751" s="11" t="s">
        <v>222</v>
      </c>
      <c r="I751" s="12">
        <v>380.54</v>
      </c>
      <c r="J751" s="13"/>
      <c r="K751" s="13">
        <f t="shared" si="50"/>
        <v>380.54</v>
      </c>
      <c r="L751" s="11" t="s">
        <v>29</v>
      </c>
      <c r="M751" s="14"/>
      <c r="N751" s="11" t="s">
        <v>61</v>
      </c>
      <c r="O751" s="10" t="str">
        <f t="shared" si="48"/>
        <v>01/2025</v>
      </c>
      <c r="P751" s="10" t="str">
        <f t="shared" si="29"/>
        <v>01/2025</v>
      </c>
      <c r="Q751" s="15" t="str">
        <f t="array" ref="Q751">IFERROR(XLOOKUP(N751,'Classificação'!A:A,'Classificação'!B:B),"")</f>
        <v>DESPESAS ADMINISTRATIVAS</v>
      </c>
      <c r="R751" s="15" t="str">
        <f t="array" ref="R751">IFERROR(XLOOKUP(Q751,'Classificação'!B:B,'Classificação'!C:C),"")</f>
        <v>DESPESAS FIXAS (-)</v>
      </c>
      <c r="S751" s="15">
        <f t="shared" si="5"/>
        <v>29</v>
      </c>
      <c r="T751" s="15">
        <f t="shared" si="6"/>
        <v>1</v>
      </c>
      <c r="U751" s="15">
        <f t="shared" si="7"/>
        <v>2025</v>
      </c>
      <c r="V751" s="15">
        <f t="shared" si="8"/>
        <v>29</v>
      </c>
      <c r="W751" s="15">
        <f t="shared" si="9"/>
        <v>1</v>
      </c>
      <c r="X751" s="15">
        <f t="shared" si="10"/>
        <v>2025</v>
      </c>
    </row>
    <row r="752">
      <c r="A752" s="9">
        <v>45686.0</v>
      </c>
      <c r="B752" s="10"/>
      <c r="C752" s="9">
        <f t="shared" si="22"/>
        <v>45686</v>
      </c>
      <c r="D752" s="11" t="s">
        <v>525</v>
      </c>
      <c r="E752" s="11" t="s">
        <v>25</v>
      </c>
      <c r="F752" s="11" t="s">
        <v>26</v>
      </c>
      <c r="G752" s="11" t="s">
        <v>37</v>
      </c>
      <c r="H752" s="11" t="s">
        <v>526</v>
      </c>
      <c r="I752" s="12">
        <v>420.0</v>
      </c>
      <c r="J752" s="13"/>
      <c r="K752" s="13">
        <f t="shared" si="50"/>
        <v>420</v>
      </c>
      <c r="L752" s="11" t="s">
        <v>34</v>
      </c>
      <c r="M752" s="14"/>
      <c r="N752" s="11" t="s">
        <v>68</v>
      </c>
      <c r="O752" s="10" t="str">
        <f t="shared" si="48"/>
        <v>01/2025</v>
      </c>
      <c r="P752" s="10" t="str">
        <f t="shared" si="29"/>
        <v>01/2025</v>
      </c>
      <c r="Q752" s="15" t="str">
        <f t="array" ref="Q752">IFERROR(XLOOKUP(N752,'Classificação'!A:A,'Classificação'!B:B),"")</f>
        <v>FRETE DE VENDAS</v>
      </c>
      <c r="R752" s="15" t="str">
        <f t="array" ref="R752">IFERROR(XLOOKUP(Q752,'Classificação'!B:B,'Classificação'!C:C),"")</f>
        <v>CUSTOS VARIÁVEIS</v>
      </c>
      <c r="S752" s="15">
        <f t="shared" si="5"/>
        <v>29</v>
      </c>
      <c r="T752" s="15">
        <f t="shared" si="6"/>
        <v>1</v>
      </c>
      <c r="U752" s="15">
        <f t="shared" si="7"/>
        <v>2025</v>
      </c>
      <c r="V752" s="15">
        <f t="shared" si="8"/>
        <v>29</v>
      </c>
      <c r="W752" s="15">
        <f t="shared" si="9"/>
        <v>1</v>
      </c>
      <c r="X752" s="15">
        <f t="shared" si="10"/>
        <v>2025</v>
      </c>
    </row>
    <row r="753">
      <c r="A753" s="9">
        <v>45687.0</v>
      </c>
      <c r="B753" s="10"/>
      <c r="C753" s="9">
        <f t="shared" si="22"/>
        <v>45687</v>
      </c>
      <c r="D753" s="11" t="s">
        <v>74</v>
      </c>
      <c r="E753" s="11" t="s">
        <v>25</v>
      </c>
      <c r="F753" s="11" t="s">
        <v>32</v>
      </c>
      <c r="G753" s="11" t="s">
        <v>27</v>
      </c>
      <c r="H753" s="11" t="s">
        <v>403</v>
      </c>
      <c r="I753" s="12">
        <v>947.61</v>
      </c>
      <c r="J753" s="13"/>
      <c r="K753" s="13">
        <f t="shared" si="50"/>
        <v>947.61</v>
      </c>
      <c r="L753" s="11" t="s">
        <v>29</v>
      </c>
      <c r="M753" s="14"/>
      <c r="N753" s="11" t="s">
        <v>38</v>
      </c>
      <c r="O753" s="10" t="str">
        <f t="shared" si="48"/>
        <v>01/2025</v>
      </c>
      <c r="P753" s="10" t="str">
        <f t="shared" si="29"/>
        <v>01/2025</v>
      </c>
      <c r="Q753" s="15" t="str">
        <f t="array" ref="Q753">IFERROR(XLOOKUP(N753,'Classificação'!A:A,'Classificação'!B:B),"")</f>
        <v>DESPESAS COM PESSOAL</v>
      </c>
      <c r="R753" s="15" t="str">
        <f t="array" ref="R753">IFERROR(XLOOKUP(Q753,'Classificação'!B:B,'Classificação'!C:C),"")</f>
        <v>DESPESAS FIXAS (-)</v>
      </c>
      <c r="S753" s="15">
        <f t="shared" si="5"/>
        <v>30</v>
      </c>
      <c r="T753" s="15">
        <f t="shared" si="6"/>
        <v>1</v>
      </c>
      <c r="U753" s="15">
        <f t="shared" si="7"/>
        <v>2025</v>
      </c>
      <c r="V753" s="15">
        <f t="shared" si="8"/>
        <v>30</v>
      </c>
      <c r="W753" s="15">
        <f t="shared" si="9"/>
        <v>1</v>
      </c>
      <c r="X753" s="15">
        <f t="shared" si="10"/>
        <v>2025</v>
      </c>
    </row>
    <row r="754">
      <c r="A754" s="9">
        <v>45687.0</v>
      </c>
      <c r="B754" s="10"/>
      <c r="C754" s="9">
        <f t="shared" si="22"/>
        <v>45687</v>
      </c>
      <c r="D754" s="11" t="s">
        <v>74</v>
      </c>
      <c r="E754" s="11" t="s">
        <v>25</v>
      </c>
      <c r="F754" s="11" t="s">
        <v>32</v>
      </c>
      <c r="G754" s="11" t="s">
        <v>27</v>
      </c>
      <c r="I754" s="12">
        <v>330.0</v>
      </c>
      <c r="J754" s="13"/>
      <c r="K754" s="13">
        <f t="shared" si="50"/>
        <v>330</v>
      </c>
      <c r="L754" s="11" t="s">
        <v>29</v>
      </c>
      <c r="M754" s="14"/>
      <c r="N754" s="11" t="s">
        <v>204</v>
      </c>
      <c r="O754" s="10" t="str">
        <f t="shared" si="48"/>
        <v>01/2025</v>
      </c>
      <c r="P754" s="10" t="str">
        <f t="shared" si="29"/>
        <v>01/2025</v>
      </c>
      <c r="Q754" s="15" t="str">
        <f t="array" ref="Q754">IFERROR(XLOOKUP(N754,'Classificação'!A:A,'Classificação'!B:B),"")</f>
        <v>DESPESAS COM PESSOAL</v>
      </c>
      <c r="R754" s="15" t="str">
        <f t="array" ref="R754">IFERROR(XLOOKUP(Q754,'Classificação'!B:B,'Classificação'!C:C),"")</f>
        <v>DESPESAS FIXAS (-)</v>
      </c>
      <c r="S754" s="15">
        <f t="shared" si="5"/>
        <v>30</v>
      </c>
      <c r="T754" s="15">
        <f t="shared" si="6"/>
        <v>1</v>
      </c>
      <c r="U754" s="15">
        <f t="shared" si="7"/>
        <v>2025</v>
      </c>
      <c r="V754" s="15">
        <f t="shared" si="8"/>
        <v>30</v>
      </c>
      <c r="W754" s="15">
        <f t="shared" si="9"/>
        <v>1</v>
      </c>
      <c r="X754" s="15">
        <f t="shared" si="10"/>
        <v>2025</v>
      </c>
    </row>
    <row r="755">
      <c r="A755" s="9">
        <v>45687.0</v>
      </c>
      <c r="B755" s="10"/>
      <c r="C755" s="9">
        <f t="shared" si="22"/>
        <v>45687</v>
      </c>
      <c r="D755" s="11" t="s">
        <v>80</v>
      </c>
      <c r="E755" s="11" t="s">
        <v>25</v>
      </c>
      <c r="F755" s="11" t="s">
        <v>32</v>
      </c>
      <c r="G755" s="11" t="s">
        <v>27</v>
      </c>
      <c r="H755" s="11" t="s">
        <v>225</v>
      </c>
      <c r="I755" s="12">
        <v>936.37</v>
      </c>
      <c r="J755" s="13"/>
      <c r="K755" s="13">
        <f t="shared" si="50"/>
        <v>936.37</v>
      </c>
      <c r="L755" s="11" t="s">
        <v>29</v>
      </c>
      <c r="M755" s="14"/>
      <c r="N755" s="11" t="s">
        <v>38</v>
      </c>
      <c r="O755" s="10" t="str">
        <f t="shared" si="48"/>
        <v>01/2025</v>
      </c>
      <c r="P755" s="10" t="str">
        <f t="shared" si="29"/>
        <v>01/2025</v>
      </c>
      <c r="Q755" s="15" t="str">
        <f t="array" ref="Q755">IFERROR(XLOOKUP(N755,'Classificação'!A:A,'Classificação'!B:B),"")</f>
        <v>DESPESAS COM PESSOAL</v>
      </c>
      <c r="R755" s="15" t="str">
        <f t="array" ref="R755">IFERROR(XLOOKUP(Q755,'Classificação'!B:B,'Classificação'!C:C),"")</f>
        <v>DESPESAS FIXAS (-)</v>
      </c>
      <c r="S755" s="15">
        <f t="shared" si="5"/>
        <v>30</v>
      </c>
      <c r="T755" s="15">
        <f t="shared" si="6"/>
        <v>1</v>
      </c>
      <c r="U755" s="15">
        <f t="shared" si="7"/>
        <v>2025</v>
      </c>
      <c r="V755" s="15">
        <f t="shared" si="8"/>
        <v>30</v>
      </c>
      <c r="W755" s="15">
        <f t="shared" si="9"/>
        <v>1</v>
      </c>
      <c r="X755" s="15">
        <f t="shared" si="10"/>
        <v>2025</v>
      </c>
    </row>
    <row r="756">
      <c r="A756" s="9">
        <v>45687.0</v>
      </c>
      <c r="B756" s="10"/>
      <c r="C756" s="9">
        <f t="shared" si="22"/>
        <v>45687</v>
      </c>
      <c r="D756" s="11" t="s">
        <v>83</v>
      </c>
      <c r="E756" s="11" t="s">
        <v>25</v>
      </c>
      <c r="F756" s="11" t="s">
        <v>40</v>
      </c>
      <c r="G756" s="11" t="s">
        <v>27</v>
      </c>
      <c r="I756" s="12">
        <v>330.0</v>
      </c>
      <c r="J756" s="13"/>
      <c r="K756" s="13">
        <f t="shared" si="50"/>
        <v>330</v>
      </c>
      <c r="L756" s="11" t="s">
        <v>29</v>
      </c>
      <c r="M756" s="14"/>
      <c r="N756" s="11" t="s">
        <v>204</v>
      </c>
      <c r="O756" s="10" t="str">
        <f t="shared" si="48"/>
        <v>01/2025</v>
      </c>
      <c r="P756" s="10" t="str">
        <f t="shared" si="29"/>
        <v>01/2025</v>
      </c>
      <c r="Q756" s="15" t="str">
        <f t="array" ref="Q756">IFERROR(XLOOKUP(N756,'Classificação'!A:A,'Classificação'!B:B),"")</f>
        <v>DESPESAS COM PESSOAL</v>
      </c>
      <c r="R756" s="15" t="str">
        <f t="array" ref="R756">IFERROR(XLOOKUP(Q756,'Classificação'!B:B,'Classificação'!C:C),"")</f>
        <v>DESPESAS FIXAS (-)</v>
      </c>
      <c r="S756" s="15">
        <f t="shared" si="5"/>
        <v>30</v>
      </c>
      <c r="T756" s="15">
        <f t="shared" si="6"/>
        <v>1</v>
      </c>
      <c r="U756" s="15">
        <f t="shared" si="7"/>
        <v>2025</v>
      </c>
      <c r="V756" s="15">
        <f t="shared" si="8"/>
        <v>30</v>
      </c>
      <c r="W756" s="15">
        <f t="shared" si="9"/>
        <v>1</v>
      </c>
      <c r="X756" s="15">
        <f t="shared" si="10"/>
        <v>2025</v>
      </c>
    </row>
    <row r="757">
      <c r="A757" s="9">
        <v>45687.0</v>
      </c>
      <c r="B757" s="10"/>
      <c r="C757" s="9">
        <f t="shared" si="22"/>
        <v>45687</v>
      </c>
      <c r="D757" s="11" t="s">
        <v>83</v>
      </c>
      <c r="E757" s="11" t="s">
        <v>25</v>
      </c>
      <c r="F757" s="11" t="s">
        <v>40</v>
      </c>
      <c r="G757" s="11" t="s">
        <v>27</v>
      </c>
      <c r="I757" s="12">
        <v>1158.04</v>
      </c>
      <c r="J757" s="13"/>
      <c r="K757" s="13">
        <f t="shared" si="50"/>
        <v>1158.04</v>
      </c>
      <c r="L757" s="11" t="s">
        <v>29</v>
      </c>
      <c r="M757" s="14"/>
      <c r="N757" s="11" t="s">
        <v>38</v>
      </c>
      <c r="O757" s="10" t="str">
        <f t="shared" si="48"/>
        <v>01/2025</v>
      </c>
      <c r="P757" s="10" t="str">
        <f t="shared" si="29"/>
        <v>01/2025</v>
      </c>
      <c r="Q757" s="15" t="str">
        <f t="array" ref="Q757">IFERROR(XLOOKUP(N757,'Classificação'!A:A,'Classificação'!B:B),"")</f>
        <v>DESPESAS COM PESSOAL</v>
      </c>
      <c r="R757" s="15" t="str">
        <f t="array" ref="R757">IFERROR(XLOOKUP(Q757,'Classificação'!B:B,'Classificação'!C:C),"")</f>
        <v>DESPESAS FIXAS (-)</v>
      </c>
      <c r="S757" s="15">
        <f t="shared" si="5"/>
        <v>30</v>
      </c>
      <c r="T757" s="15">
        <f t="shared" si="6"/>
        <v>1</v>
      </c>
      <c r="U757" s="15">
        <f t="shared" si="7"/>
        <v>2025</v>
      </c>
      <c r="V757" s="15">
        <f t="shared" si="8"/>
        <v>30</v>
      </c>
      <c r="W757" s="15">
        <f t="shared" si="9"/>
        <v>1</v>
      </c>
      <c r="X757" s="15">
        <f t="shared" si="10"/>
        <v>2025</v>
      </c>
    </row>
    <row r="758">
      <c r="A758" s="9">
        <v>45687.0</v>
      </c>
      <c r="B758" s="10"/>
      <c r="C758" s="9">
        <f t="shared" si="22"/>
        <v>45687</v>
      </c>
      <c r="D758" s="11" t="s">
        <v>80</v>
      </c>
      <c r="E758" s="11" t="s">
        <v>25</v>
      </c>
      <c r="F758" s="11" t="s">
        <v>40</v>
      </c>
      <c r="G758" s="11" t="s">
        <v>27</v>
      </c>
      <c r="I758" s="12">
        <v>330.0</v>
      </c>
      <c r="J758" s="13"/>
      <c r="K758" s="13">
        <f t="shared" si="50"/>
        <v>330</v>
      </c>
      <c r="L758" s="11" t="s">
        <v>29</v>
      </c>
      <c r="M758" s="14"/>
      <c r="N758" s="11" t="s">
        <v>204</v>
      </c>
      <c r="O758" s="10" t="str">
        <f t="shared" si="48"/>
        <v>01/2025</v>
      </c>
      <c r="P758" s="10" t="str">
        <f t="shared" si="29"/>
        <v>01/2025</v>
      </c>
      <c r="Q758" s="15" t="str">
        <f t="array" ref="Q758">IFERROR(XLOOKUP(N758,'Classificação'!A:A,'Classificação'!B:B),"")</f>
        <v>DESPESAS COM PESSOAL</v>
      </c>
      <c r="R758" s="15" t="str">
        <f t="array" ref="R758">IFERROR(XLOOKUP(Q758,'Classificação'!B:B,'Classificação'!C:C),"")</f>
        <v>DESPESAS FIXAS (-)</v>
      </c>
      <c r="S758" s="15">
        <f t="shared" si="5"/>
        <v>30</v>
      </c>
      <c r="T758" s="15">
        <f t="shared" si="6"/>
        <v>1</v>
      </c>
      <c r="U758" s="15">
        <f t="shared" si="7"/>
        <v>2025</v>
      </c>
      <c r="V758" s="15">
        <f t="shared" si="8"/>
        <v>30</v>
      </c>
      <c r="W758" s="15">
        <f t="shared" si="9"/>
        <v>1</v>
      </c>
      <c r="X758" s="15">
        <f t="shared" si="10"/>
        <v>2025</v>
      </c>
    </row>
    <row r="759">
      <c r="A759" s="9">
        <v>45687.0</v>
      </c>
      <c r="B759" s="10"/>
      <c r="C759" s="9">
        <f t="shared" si="22"/>
        <v>45687</v>
      </c>
      <c r="D759" s="11" t="s">
        <v>44</v>
      </c>
      <c r="E759" s="11" t="s">
        <v>25</v>
      </c>
      <c r="F759" s="11" t="s">
        <v>45</v>
      </c>
      <c r="G759" s="11" t="s">
        <v>27</v>
      </c>
      <c r="H759" s="11" t="s">
        <v>527</v>
      </c>
      <c r="I759" s="12">
        <v>20.67</v>
      </c>
      <c r="J759" s="13"/>
      <c r="K759" s="13">
        <f t="shared" si="50"/>
        <v>20.67</v>
      </c>
      <c r="L759" s="11" t="s">
        <v>34</v>
      </c>
      <c r="M759" s="14"/>
      <c r="N759" s="11" t="s">
        <v>97</v>
      </c>
      <c r="O759" s="10" t="str">
        <f t="shared" si="48"/>
        <v>01/2025</v>
      </c>
      <c r="P759" s="10" t="str">
        <f t="shared" si="29"/>
        <v>01/2025</v>
      </c>
      <c r="Q759" s="15" t="str">
        <f t="array" ref="Q759">IFERROR(XLOOKUP(N759,'Classificação'!A:A,'Classificação'!B:B),"")</f>
        <v>TARIFAS DE PIX</v>
      </c>
      <c r="R759" s="15" t="str">
        <f t="array" ref="R759">IFERROR(XLOOKUP(Q759,'Classificação'!B:B,'Classificação'!C:C),"")</f>
        <v>(+/-) RESULTADO FINANCEIRO LÍQUIDO</v>
      </c>
      <c r="S759" s="15">
        <f t="shared" si="5"/>
        <v>30</v>
      </c>
      <c r="T759" s="15">
        <f t="shared" si="6"/>
        <v>1</v>
      </c>
      <c r="U759" s="15">
        <f t="shared" si="7"/>
        <v>2025</v>
      </c>
      <c r="V759" s="15">
        <f t="shared" si="8"/>
        <v>30</v>
      </c>
      <c r="W759" s="15">
        <f t="shared" si="9"/>
        <v>1</v>
      </c>
      <c r="X759" s="15">
        <f t="shared" si="10"/>
        <v>2025</v>
      </c>
    </row>
    <row r="760">
      <c r="A760" s="9">
        <v>45688.0</v>
      </c>
      <c r="B760" s="10"/>
      <c r="C760" s="9">
        <f t="shared" si="22"/>
        <v>45688</v>
      </c>
      <c r="D760" s="11" t="s">
        <v>223</v>
      </c>
      <c r="E760" s="11" t="s">
        <v>25</v>
      </c>
      <c r="F760" s="11" t="s">
        <v>26</v>
      </c>
      <c r="G760" s="11" t="s">
        <v>37</v>
      </c>
      <c r="I760" s="12">
        <v>100.0</v>
      </c>
      <c r="J760" s="13"/>
      <c r="K760" s="13">
        <f t="shared" si="50"/>
        <v>100</v>
      </c>
      <c r="L760" s="11" t="s">
        <v>29</v>
      </c>
      <c r="M760" s="14"/>
      <c r="N760" s="11" t="s">
        <v>224</v>
      </c>
      <c r="O760" s="10" t="str">
        <f t="shared" si="48"/>
        <v>01/2025</v>
      </c>
      <c r="P760" s="10" t="str">
        <f t="shared" si="29"/>
        <v>01/2025</v>
      </c>
      <c r="Q760" s="15" t="str">
        <f t="array" ref="Q760">IFERROR(XLOOKUP(N760,'Classificação'!A:A,'Classificação'!B:B),"")</f>
        <v>DESPESAS ADMINISTRATIVAS</v>
      </c>
      <c r="R760" s="15" t="str">
        <f t="array" ref="R760">IFERROR(XLOOKUP(Q760,'Classificação'!B:B,'Classificação'!C:C),"")</f>
        <v>DESPESAS FIXAS (-)</v>
      </c>
      <c r="S760" s="15">
        <f t="shared" si="5"/>
        <v>31</v>
      </c>
      <c r="T760" s="15">
        <f t="shared" si="6"/>
        <v>1</v>
      </c>
      <c r="U760" s="15">
        <f t="shared" si="7"/>
        <v>2025</v>
      </c>
      <c r="V760" s="15">
        <f t="shared" si="8"/>
        <v>31</v>
      </c>
      <c r="W760" s="15">
        <f t="shared" si="9"/>
        <v>1</v>
      </c>
      <c r="X760" s="15">
        <f t="shared" si="10"/>
        <v>2025</v>
      </c>
    </row>
    <row r="761">
      <c r="A761" s="9">
        <v>45688.0</v>
      </c>
      <c r="B761" s="10"/>
      <c r="C761" s="9">
        <f t="shared" si="22"/>
        <v>45688</v>
      </c>
      <c r="D761" s="11" t="s">
        <v>528</v>
      </c>
      <c r="E761" s="11" t="s">
        <v>25</v>
      </c>
      <c r="F761" s="11" t="s">
        <v>40</v>
      </c>
      <c r="G761" s="11" t="s">
        <v>27</v>
      </c>
      <c r="H761" s="11" t="s">
        <v>529</v>
      </c>
      <c r="I761" s="12">
        <v>119.57</v>
      </c>
      <c r="J761" s="13"/>
      <c r="K761" s="13">
        <f t="shared" si="50"/>
        <v>119.57</v>
      </c>
      <c r="L761" s="11" t="s">
        <v>34</v>
      </c>
      <c r="M761" s="14"/>
      <c r="N761" s="11" t="s">
        <v>35</v>
      </c>
      <c r="O761" s="10" t="str">
        <f t="shared" si="48"/>
        <v>01/2025</v>
      </c>
      <c r="P761" s="10" t="str">
        <f t="shared" si="29"/>
        <v>01/2025</v>
      </c>
      <c r="Q761" s="15" t="str">
        <f t="array" ref="Q761">IFERROR(XLOOKUP(N761,'Classificação'!A:A,'Classificação'!B:B),"")</f>
        <v>COMPRA DE MERCADORIA</v>
      </c>
      <c r="R761" s="15" t="str">
        <f t="array" ref="R761">IFERROR(XLOOKUP(Q761,'Classificação'!B:B,'Classificação'!C:C),"")</f>
        <v>CUSTOS VARIÁVEIS</v>
      </c>
      <c r="S761" s="15">
        <f t="shared" si="5"/>
        <v>31</v>
      </c>
      <c r="T761" s="15">
        <f t="shared" si="6"/>
        <v>1</v>
      </c>
      <c r="U761" s="15">
        <f t="shared" si="7"/>
        <v>2025</v>
      </c>
      <c r="V761" s="15">
        <f t="shared" si="8"/>
        <v>31</v>
      </c>
      <c r="W761" s="15">
        <f t="shared" si="9"/>
        <v>1</v>
      </c>
      <c r="X761" s="15">
        <f t="shared" si="10"/>
        <v>2025</v>
      </c>
    </row>
    <row r="762">
      <c r="A762" s="9">
        <v>45689.0</v>
      </c>
      <c r="B762" s="10"/>
      <c r="C762" s="9">
        <f t="shared" si="22"/>
        <v>45689</v>
      </c>
      <c r="D762" s="11" t="s">
        <v>288</v>
      </c>
      <c r="E762" s="11" t="s">
        <v>25</v>
      </c>
      <c r="F762" s="11" t="s">
        <v>26</v>
      </c>
      <c r="G762" s="11" t="s">
        <v>37</v>
      </c>
      <c r="H762" s="11" t="s">
        <v>289</v>
      </c>
      <c r="I762" s="12">
        <v>59.5</v>
      </c>
      <c r="J762" s="13"/>
      <c r="K762" s="13">
        <f t="shared" si="50"/>
        <v>59.5</v>
      </c>
      <c r="L762" s="11" t="s">
        <v>29</v>
      </c>
      <c r="M762" s="16"/>
      <c r="N762" s="11" t="s">
        <v>105</v>
      </c>
      <c r="O762" s="10" t="str">
        <f t="shared" si="48"/>
        <v>02/2025</v>
      </c>
      <c r="P762" s="10" t="str">
        <f t="shared" si="29"/>
        <v>02/2025</v>
      </c>
      <c r="Q762" s="15" t="str">
        <f t="array" ref="Q762">IFERROR(XLOOKUP(N762,'Classificação'!A:A,'Classificação'!B:B),"")</f>
        <v>DESPESAS ADMINISTRATIVAS</v>
      </c>
      <c r="R762" s="15" t="str">
        <f t="array" ref="R762">IFERROR(XLOOKUP(Q762,'Classificação'!B:B,'Classificação'!C:C),"")</f>
        <v>DESPESAS FIXAS (-)</v>
      </c>
      <c r="S762" s="15">
        <f t="shared" si="5"/>
        <v>1</v>
      </c>
      <c r="T762" s="15">
        <f t="shared" si="6"/>
        <v>2</v>
      </c>
      <c r="U762" s="15">
        <f t="shared" si="7"/>
        <v>2025</v>
      </c>
      <c r="V762" s="15">
        <f t="shared" si="8"/>
        <v>1</v>
      </c>
      <c r="W762" s="15">
        <f t="shared" si="9"/>
        <v>2</v>
      </c>
      <c r="X762" s="15">
        <f t="shared" si="10"/>
        <v>2025</v>
      </c>
    </row>
    <row r="763">
      <c r="A763" s="9">
        <v>45691.0</v>
      </c>
      <c r="B763" s="10"/>
      <c r="C763" s="9">
        <f t="shared" si="22"/>
        <v>45691</v>
      </c>
      <c r="D763" s="11" t="s">
        <v>24</v>
      </c>
      <c r="E763" s="11" t="s">
        <v>25</v>
      </c>
      <c r="F763" s="11" t="s">
        <v>26</v>
      </c>
      <c r="G763" s="11" t="s">
        <v>27</v>
      </c>
      <c r="H763" s="11" t="s">
        <v>28</v>
      </c>
      <c r="I763" s="12">
        <v>5831.95</v>
      </c>
      <c r="J763" s="13"/>
      <c r="K763" s="13">
        <f t="shared" si="50"/>
        <v>5831.95</v>
      </c>
      <c r="L763" s="11" t="s">
        <v>29</v>
      </c>
      <c r="M763" s="14"/>
      <c r="N763" s="11" t="s">
        <v>30</v>
      </c>
      <c r="O763" s="10" t="str">
        <f t="shared" si="48"/>
        <v>02/2025</v>
      </c>
      <c r="P763" s="10" t="str">
        <f t="shared" si="29"/>
        <v>02/2025</v>
      </c>
      <c r="Q763" s="15" t="str">
        <f t="array" ref="Q763">IFERROR(XLOOKUP(N763,'Classificação'!A:A,'Classificação'!B:B),"")</f>
        <v>DESPESAS COM OCUPAÇÃO</v>
      </c>
      <c r="R763" s="15" t="str">
        <f t="array" ref="R763">IFERROR(XLOOKUP(Q763,'Classificação'!B:B,'Classificação'!C:C),"")</f>
        <v>DESPESAS FIXAS (-)</v>
      </c>
      <c r="S763" s="15">
        <f t="shared" si="5"/>
        <v>3</v>
      </c>
      <c r="T763" s="15">
        <f t="shared" si="6"/>
        <v>2</v>
      </c>
      <c r="U763" s="15">
        <f t="shared" si="7"/>
        <v>2025</v>
      </c>
      <c r="V763" s="15">
        <f t="shared" si="8"/>
        <v>3</v>
      </c>
      <c r="W763" s="15">
        <f t="shared" si="9"/>
        <v>2</v>
      </c>
      <c r="X763" s="15">
        <f t="shared" si="10"/>
        <v>2025</v>
      </c>
    </row>
    <row r="764">
      <c r="A764" s="9">
        <v>45691.0</v>
      </c>
      <c r="B764" s="10"/>
      <c r="C764" s="9">
        <f t="shared" si="22"/>
        <v>45691</v>
      </c>
      <c r="D764" s="11" t="s">
        <v>44</v>
      </c>
      <c r="E764" s="11" t="s">
        <v>25</v>
      </c>
      <c r="F764" s="11" t="s">
        <v>45</v>
      </c>
      <c r="G764" s="11" t="s">
        <v>27</v>
      </c>
      <c r="H764" s="11" t="s">
        <v>343</v>
      </c>
      <c r="I764" s="12">
        <v>3289.26</v>
      </c>
      <c r="J764" s="13"/>
      <c r="K764" s="13">
        <f t="shared" si="50"/>
        <v>3289.26</v>
      </c>
      <c r="L764" s="11" t="s">
        <v>53</v>
      </c>
      <c r="M764" s="16" t="s">
        <v>530</v>
      </c>
      <c r="N764" s="11" t="s">
        <v>73</v>
      </c>
      <c r="O764" s="10" t="str">
        <f t="shared" si="48"/>
        <v>02/2025</v>
      </c>
      <c r="P764" s="10" t="str">
        <f t="shared" si="29"/>
        <v>02/2025</v>
      </c>
      <c r="Q764" s="15" t="str">
        <f t="array" ref="Q764">IFERROR(XLOOKUP(N764,'Classificação'!A:A,'Classificação'!B:B),"")</f>
        <v>DESPESAS NÃO OPERACIONAIS</v>
      </c>
      <c r="R764" s="15" t="str">
        <f t="array" ref="R764">IFERROR(XLOOKUP(Q764,'Classificação'!B:B,'Classificação'!C:C),"")</f>
        <v>RESULTADO NÃO OPERACIONAL (+/-)</v>
      </c>
      <c r="S764" s="15">
        <f t="shared" si="5"/>
        <v>3</v>
      </c>
      <c r="T764" s="15">
        <f t="shared" si="6"/>
        <v>2</v>
      </c>
      <c r="U764" s="15">
        <f t="shared" si="7"/>
        <v>2025</v>
      </c>
      <c r="V764" s="15">
        <f t="shared" si="8"/>
        <v>3</v>
      </c>
      <c r="W764" s="15">
        <f t="shared" si="9"/>
        <v>2</v>
      </c>
      <c r="X764" s="15">
        <f t="shared" si="10"/>
        <v>2025</v>
      </c>
    </row>
    <row r="765">
      <c r="A765" s="9">
        <v>45691.0</v>
      </c>
      <c r="B765" s="9">
        <v>45630.0</v>
      </c>
      <c r="C765" s="9">
        <f t="shared" si="22"/>
        <v>45691</v>
      </c>
      <c r="D765" s="11" t="s">
        <v>43</v>
      </c>
      <c r="E765" s="11" t="s">
        <v>25</v>
      </c>
      <c r="F765" s="11" t="s">
        <v>26</v>
      </c>
      <c r="G765" s="11" t="s">
        <v>37</v>
      </c>
      <c r="H765" s="11" t="s">
        <v>470</v>
      </c>
      <c r="I765" s="12">
        <v>46.67</v>
      </c>
      <c r="J765" s="13"/>
      <c r="K765" s="13">
        <f t="shared" si="50"/>
        <v>46.67</v>
      </c>
      <c r="L765" s="11" t="s">
        <v>53</v>
      </c>
      <c r="M765" s="17">
        <v>45352.0</v>
      </c>
      <c r="N765" s="11" t="s">
        <v>64</v>
      </c>
      <c r="O765" s="10" t="str">
        <f t="shared" si="48"/>
        <v>02/2025</v>
      </c>
      <c r="P765" s="10" t="str">
        <f t="shared" si="29"/>
        <v>02/2025</v>
      </c>
      <c r="Q765" s="15" t="str">
        <f t="array" ref="Q765">IFERROR(XLOOKUP(N765,'Classificação'!A:A,'Classificação'!B:B),"")</f>
        <v>DESPESAS COM PESSOAL</v>
      </c>
      <c r="R765" s="15" t="str">
        <f t="array" ref="R765">IFERROR(XLOOKUP(Q765,'Classificação'!B:B,'Classificação'!C:C),"")</f>
        <v>DESPESAS FIXAS (-)</v>
      </c>
      <c r="S765" s="15">
        <f t="shared" si="5"/>
        <v>3</v>
      </c>
      <c r="T765" s="15">
        <f t="shared" si="6"/>
        <v>2</v>
      </c>
      <c r="U765" s="15">
        <f t="shared" si="7"/>
        <v>2025</v>
      </c>
      <c r="V765" s="15">
        <f t="shared" si="8"/>
        <v>3</v>
      </c>
      <c r="W765" s="15">
        <f t="shared" si="9"/>
        <v>2</v>
      </c>
      <c r="X765" s="15">
        <f t="shared" si="10"/>
        <v>2025</v>
      </c>
    </row>
    <row r="766">
      <c r="A766" s="9">
        <v>45691.0</v>
      </c>
      <c r="B766" s="10"/>
      <c r="C766" s="9">
        <f t="shared" si="22"/>
        <v>45691</v>
      </c>
      <c r="D766" s="11" t="s">
        <v>43</v>
      </c>
      <c r="E766" s="11" t="s">
        <v>25</v>
      </c>
      <c r="F766" s="29" t="s">
        <v>26</v>
      </c>
      <c r="G766" s="11" t="s">
        <v>37</v>
      </c>
      <c r="H766" s="11" t="s">
        <v>460</v>
      </c>
      <c r="I766" s="12">
        <v>69.3</v>
      </c>
      <c r="J766" s="13"/>
      <c r="K766" s="13">
        <f t="shared" si="50"/>
        <v>69.3</v>
      </c>
      <c r="L766" s="28" t="s">
        <v>53</v>
      </c>
      <c r="M766" s="17">
        <v>45630.0</v>
      </c>
      <c r="N766" s="11" t="s">
        <v>105</v>
      </c>
      <c r="O766" s="10" t="str">
        <f t="shared" si="48"/>
        <v>02/2025</v>
      </c>
      <c r="P766" s="10" t="str">
        <f t="shared" si="29"/>
        <v>02/2025</v>
      </c>
      <c r="Q766" s="15" t="str">
        <f t="array" ref="Q766">IFERROR(XLOOKUP(N766,'Classificação'!A:A,'Classificação'!B:B),"")</f>
        <v>DESPESAS ADMINISTRATIVAS</v>
      </c>
      <c r="R766" s="15" t="str">
        <f t="array" ref="R766">IFERROR(XLOOKUP(Q766,'Classificação'!B:B,'Classificação'!C:C),"")</f>
        <v>DESPESAS FIXAS (-)</v>
      </c>
      <c r="S766" s="15">
        <f t="shared" si="5"/>
        <v>3</v>
      </c>
      <c r="T766" s="15">
        <f t="shared" si="6"/>
        <v>2</v>
      </c>
      <c r="U766" s="15">
        <f t="shared" si="7"/>
        <v>2025</v>
      </c>
      <c r="V766" s="15">
        <f t="shared" si="8"/>
        <v>3</v>
      </c>
      <c r="W766" s="15">
        <f t="shared" si="9"/>
        <v>2</v>
      </c>
      <c r="X766" s="15">
        <f t="shared" si="10"/>
        <v>2025</v>
      </c>
    </row>
    <row r="767">
      <c r="A767" s="9">
        <v>45691.0</v>
      </c>
      <c r="B767" s="9">
        <v>45665.0</v>
      </c>
      <c r="C767" s="9">
        <f t="shared" si="22"/>
        <v>45691</v>
      </c>
      <c r="D767" s="11" t="s">
        <v>531</v>
      </c>
      <c r="E767" s="11" t="s">
        <v>25</v>
      </c>
      <c r="F767" s="11" t="s">
        <v>26</v>
      </c>
      <c r="G767" s="11" t="s">
        <v>37</v>
      </c>
      <c r="H767" s="11" t="s">
        <v>532</v>
      </c>
      <c r="I767" s="12">
        <v>277.75</v>
      </c>
      <c r="J767" s="13"/>
      <c r="K767" s="13">
        <f t="shared" si="50"/>
        <v>277.75</v>
      </c>
      <c r="L767" s="11" t="s">
        <v>34</v>
      </c>
      <c r="M767" s="14"/>
      <c r="N767" s="11" t="s">
        <v>394</v>
      </c>
      <c r="O767" s="10" t="str">
        <f t="shared" si="48"/>
        <v>02/2025</v>
      </c>
      <c r="P767" s="10" t="str">
        <f t="shared" si="29"/>
        <v>02/2025</v>
      </c>
      <c r="Q767" s="15" t="str">
        <f t="array" ref="Q767">IFERROR(XLOOKUP(N767,'Classificação'!A:A,'Classificação'!B:B),"")</f>
        <v>DESPESAS NÃO OPERACIONAIS</v>
      </c>
      <c r="R767" s="15" t="str">
        <f t="array" ref="R767">IFERROR(XLOOKUP(Q767,'Classificação'!B:B,'Classificação'!C:C),"")</f>
        <v>RESULTADO NÃO OPERACIONAL (+/-)</v>
      </c>
      <c r="S767" s="15">
        <f t="shared" si="5"/>
        <v>3</v>
      </c>
      <c r="T767" s="15">
        <f t="shared" si="6"/>
        <v>2</v>
      </c>
      <c r="U767" s="15">
        <f t="shared" si="7"/>
        <v>2025</v>
      </c>
      <c r="V767" s="15">
        <f t="shared" si="8"/>
        <v>3</v>
      </c>
      <c r="W767" s="15">
        <f t="shared" si="9"/>
        <v>2</v>
      </c>
      <c r="X767" s="15">
        <f t="shared" si="10"/>
        <v>2025</v>
      </c>
    </row>
    <row r="768">
      <c r="A768" s="9">
        <v>45691.0</v>
      </c>
      <c r="B768" s="9">
        <v>45667.0</v>
      </c>
      <c r="C768" s="9">
        <f t="shared" si="22"/>
        <v>45691</v>
      </c>
      <c r="D768" s="11" t="s">
        <v>533</v>
      </c>
      <c r="E768" s="11" t="s">
        <v>25</v>
      </c>
      <c r="F768" s="11" t="s">
        <v>26</v>
      </c>
      <c r="G768" s="11" t="s">
        <v>37</v>
      </c>
      <c r="H768" s="11" t="s">
        <v>534</v>
      </c>
      <c r="I768" s="12">
        <v>89.75</v>
      </c>
      <c r="J768" s="13"/>
      <c r="K768" s="13">
        <f t="shared" si="50"/>
        <v>89.75</v>
      </c>
      <c r="L768" s="11" t="s">
        <v>53</v>
      </c>
      <c r="M768" s="17">
        <v>45748.0</v>
      </c>
      <c r="N768" s="11" t="s">
        <v>175</v>
      </c>
      <c r="O768" s="10" t="str">
        <f t="shared" si="48"/>
        <v>02/2025</v>
      </c>
      <c r="P768" s="10" t="str">
        <f t="shared" si="29"/>
        <v>02/2025</v>
      </c>
      <c r="Q768" s="15" t="str">
        <f t="array" ref="Q768">IFERROR(XLOOKUP(N768,'Classificação'!A:A,'Classificação'!B:B),"")</f>
        <v>DESPESAS COM VEICULOS</v>
      </c>
      <c r="R768" s="15" t="str">
        <f t="array" ref="R768">IFERROR(XLOOKUP(Q768,'Classificação'!B:B,'Classificação'!C:C),"")</f>
        <v>DESPESAS FIXAS (-)</v>
      </c>
      <c r="S768" s="15">
        <f t="shared" si="5"/>
        <v>3</v>
      </c>
      <c r="T768" s="15">
        <f t="shared" si="6"/>
        <v>2</v>
      </c>
      <c r="U768" s="15">
        <f t="shared" si="7"/>
        <v>2025</v>
      </c>
      <c r="V768" s="15">
        <f t="shared" si="8"/>
        <v>3</v>
      </c>
      <c r="W768" s="15">
        <f t="shared" si="9"/>
        <v>2</v>
      </c>
      <c r="X768" s="15">
        <f t="shared" si="10"/>
        <v>2025</v>
      </c>
    </row>
    <row r="769">
      <c r="A769" s="9">
        <v>45691.0</v>
      </c>
      <c r="B769" s="39">
        <v>45611.0</v>
      </c>
      <c r="C769" s="9">
        <f t="shared" si="22"/>
        <v>45691</v>
      </c>
      <c r="D769" s="28" t="s">
        <v>361</v>
      </c>
      <c r="E769" s="29" t="s">
        <v>25</v>
      </c>
      <c r="F769" s="28" t="s">
        <v>26</v>
      </c>
      <c r="G769" s="28" t="s">
        <v>37</v>
      </c>
      <c r="H769" s="29" t="s">
        <v>535</v>
      </c>
      <c r="I769" s="24">
        <v>282.35</v>
      </c>
      <c r="J769" s="34"/>
      <c r="K769" s="13">
        <f t="shared" si="50"/>
        <v>282.35</v>
      </c>
      <c r="L769" s="28" t="s">
        <v>53</v>
      </c>
      <c r="M769" s="35">
        <v>45994.0</v>
      </c>
      <c r="N769" s="28" t="s">
        <v>363</v>
      </c>
      <c r="O769" s="10" t="str">
        <f t="shared" si="48"/>
        <v>02/2025</v>
      </c>
      <c r="P769" s="10" t="str">
        <f t="shared" si="29"/>
        <v>02/2025</v>
      </c>
      <c r="Q769" s="15" t="str">
        <f t="array" ref="Q769">IFERROR(XLOOKUP(N769,'Classificação'!A:A,'Classificação'!B:B),"")</f>
        <v>DESPESAS NÃO OPERACIONAIS</v>
      </c>
      <c r="R769" s="15" t="str">
        <f t="array" ref="R769">IFERROR(XLOOKUP(Q769,'Classificação'!B:B,'Classificação'!C:C),"")</f>
        <v>RESULTADO NÃO OPERACIONAL (+/-)</v>
      </c>
      <c r="S769" s="15">
        <f t="shared" si="5"/>
        <v>3</v>
      </c>
      <c r="T769" s="15">
        <f t="shared" si="6"/>
        <v>2</v>
      </c>
      <c r="U769" s="15">
        <f t="shared" si="7"/>
        <v>2025</v>
      </c>
      <c r="V769" s="15">
        <f t="shared" si="8"/>
        <v>3</v>
      </c>
      <c r="W769" s="15">
        <f t="shared" si="9"/>
        <v>2</v>
      </c>
      <c r="X769" s="15">
        <f t="shared" si="10"/>
        <v>2025</v>
      </c>
    </row>
    <row r="770">
      <c r="A770" s="9">
        <v>45691.0</v>
      </c>
      <c r="B770" s="10"/>
      <c r="C770" s="9">
        <f t="shared" si="22"/>
        <v>45691</v>
      </c>
      <c r="D770" s="28" t="s">
        <v>76</v>
      </c>
      <c r="E770" s="29" t="s">
        <v>25</v>
      </c>
      <c r="F770" s="28" t="s">
        <v>26</v>
      </c>
      <c r="G770" s="29" t="s">
        <v>37</v>
      </c>
      <c r="H770" s="28" t="s">
        <v>84</v>
      </c>
      <c r="I770" s="24">
        <v>1214.27</v>
      </c>
      <c r="J770" s="13"/>
      <c r="K770" s="13">
        <f t="shared" si="50"/>
        <v>1214.27</v>
      </c>
      <c r="L770" s="28" t="s">
        <v>53</v>
      </c>
      <c r="M770" s="16" t="s">
        <v>536</v>
      </c>
      <c r="N770" s="28" t="s">
        <v>85</v>
      </c>
      <c r="O770" s="10" t="str">
        <f t="shared" si="48"/>
        <v>02/2025</v>
      </c>
      <c r="P770" s="10" t="str">
        <f t="shared" si="29"/>
        <v>02/2025</v>
      </c>
      <c r="Q770" s="15" t="str">
        <f t="array" ref="Q770">IFERROR(XLOOKUP(N770,'Classificação'!A:A,'Classificação'!B:B),"")</f>
        <v>DESPESAS NÃO OPERACIONAIS</v>
      </c>
      <c r="R770" s="15" t="str">
        <f t="array" ref="R770">IFERROR(XLOOKUP(Q770,'Classificação'!B:B,'Classificação'!C:C),"")</f>
        <v>RESULTADO NÃO OPERACIONAL (+/-)</v>
      </c>
      <c r="S770" s="15">
        <f t="shared" si="5"/>
        <v>3</v>
      </c>
      <c r="T770" s="15">
        <f t="shared" si="6"/>
        <v>2</v>
      </c>
      <c r="U770" s="15">
        <f t="shared" si="7"/>
        <v>2025</v>
      </c>
      <c r="V770" s="15">
        <f t="shared" si="8"/>
        <v>3</v>
      </c>
      <c r="W770" s="15">
        <f t="shared" si="9"/>
        <v>2</v>
      </c>
      <c r="X770" s="15">
        <f t="shared" si="10"/>
        <v>2025</v>
      </c>
    </row>
    <row r="771">
      <c r="A771" s="9">
        <v>45691.0</v>
      </c>
      <c r="B771" s="10"/>
      <c r="C771" s="9">
        <f t="shared" si="22"/>
        <v>45691</v>
      </c>
      <c r="D771" s="11" t="s">
        <v>36</v>
      </c>
      <c r="E771" s="11" t="s">
        <v>25</v>
      </c>
      <c r="F771" s="11" t="s">
        <v>32</v>
      </c>
      <c r="G771" s="11" t="s">
        <v>27</v>
      </c>
      <c r="I771" s="12">
        <v>5050.0</v>
      </c>
      <c r="J771" s="13"/>
      <c r="K771" s="13">
        <f t="shared" si="50"/>
        <v>5050</v>
      </c>
      <c r="L771" s="11" t="s">
        <v>29</v>
      </c>
      <c r="M771" s="14"/>
      <c r="N771" s="11" t="s">
        <v>38</v>
      </c>
      <c r="O771" s="10" t="str">
        <f t="shared" si="48"/>
        <v>02/2025</v>
      </c>
      <c r="P771" s="10" t="str">
        <f t="shared" si="29"/>
        <v>02/2025</v>
      </c>
      <c r="Q771" s="15" t="str">
        <f t="array" ref="Q771">IFERROR(XLOOKUP(N771,'Classificação'!A:A,'Classificação'!B:B),"")</f>
        <v>DESPESAS COM PESSOAL</v>
      </c>
      <c r="R771" s="15" t="str">
        <f t="array" ref="R771">IFERROR(XLOOKUP(Q771,'Classificação'!B:B,'Classificação'!C:C),"")</f>
        <v>DESPESAS FIXAS (-)</v>
      </c>
      <c r="S771" s="15">
        <f t="shared" si="5"/>
        <v>3</v>
      </c>
      <c r="T771" s="15">
        <f t="shared" si="6"/>
        <v>2</v>
      </c>
      <c r="U771" s="15">
        <f t="shared" si="7"/>
        <v>2025</v>
      </c>
      <c r="V771" s="15">
        <f t="shared" si="8"/>
        <v>3</v>
      </c>
      <c r="W771" s="15">
        <f t="shared" si="9"/>
        <v>2</v>
      </c>
      <c r="X771" s="15">
        <f t="shared" si="10"/>
        <v>2025</v>
      </c>
    </row>
    <row r="772">
      <c r="A772" s="9">
        <v>45691.0</v>
      </c>
      <c r="B772" s="10"/>
      <c r="C772" s="9">
        <f t="shared" si="22"/>
        <v>45691</v>
      </c>
      <c r="D772" s="11" t="s">
        <v>43</v>
      </c>
      <c r="E772" s="11" t="s">
        <v>25</v>
      </c>
      <c r="F772" s="11" t="s">
        <v>32</v>
      </c>
      <c r="G772" s="11" t="s">
        <v>27</v>
      </c>
      <c r="I772" s="12">
        <v>5051.0</v>
      </c>
      <c r="J772" s="13"/>
      <c r="K772" s="13">
        <f t="shared" si="50"/>
        <v>5051</v>
      </c>
      <c r="L772" s="11" t="s">
        <v>29</v>
      </c>
      <c r="M772" s="14"/>
      <c r="N772" s="11" t="s">
        <v>38</v>
      </c>
      <c r="O772" s="10" t="str">
        <f t="shared" si="48"/>
        <v>02/2025</v>
      </c>
      <c r="P772" s="10" t="str">
        <f t="shared" si="29"/>
        <v>02/2025</v>
      </c>
      <c r="Q772" s="15" t="str">
        <f t="array" ref="Q772">IFERROR(XLOOKUP(N772,'Classificação'!A:A,'Classificação'!B:B),"")</f>
        <v>DESPESAS COM PESSOAL</v>
      </c>
      <c r="R772" s="15" t="str">
        <f t="array" ref="R772">IFERROR(XLOOKUP(Q772,'Classificação'!B:B,'Classificação'!C:C),"")</f>
        <v>DESPESAS FIXAS (-)</v>
      </c>
      <c r="S772" s="15">
        <f t="shared" si="5"/>
        <v>3</v>
      </c>
      <c r="T772" s="15">
        <f t="shared" si="6"/>
        <v>2</v>
      </c>
      <c r="U772" s="15">
        <f t="shared" si="7"/>
        <v>2025</v>
      </c>
      <c r="V772" s="15">
        <f t="shared" si="8"/>
        <v>3</v>
      </c>
      <c r="W772" s="15">
        <f t="shared" si="9"/>
        <v>2</v>
      </c>
      <c r="X772" s="15">
        <f t="shared" si="10"/>
        <v>2025</v>
      </c>
    </row>
    <row r="773">
      <c r="A773" s="9">
        <v>45691.0</v>
      </c>
      <c r="B773" s="32">
        <v>45653.0</v>
      </c>
      <c r="C773" s="9">
        <f t="shared" si="22"/>
        <v>45691</v>
      </c>
      <c r="D773" s="11" t="s">
        <v>86</v>
      </c>
      <c r="E773" s="11" t="s">
        <v>25</v>
      </c>
      <c r="F773" s="11" t="s">
        <v>87</v>
      </c>
      <c r="G773" s="11" t="s">
        <v>27</v>
      </c>
      <c r="H773" s="11" t="s">
        <v>537</v>
      </c>
      <c r="I773" s="12">
        <v>1420.0</v>
      </c>
      <c r="J773" s="13"/>
      <c r="K773" s="13">
        <f t="shared" si="50"/>
        <v>1420</v>
      </c>
      <c r="L773" s="11" t="s">
        <v>53</v>
      </c>
      <c r="M773" s="17">
        <v>45352.0</v>
      </c>
      <c r="N773" s="11" t="s">
        <v>35</v>
      </c>
      <c r="O773" s="10" t="str">
        <f t="shared" si="48"/>
        <v>02/2025</v>
      </c>
      <c r="P773" s="10" t="str">
        <f t="shared" si="29"/>
        <v>02/2025</v>
      </c>
      <c r="Q773" s="15" t="str">
        <f t="array" ref="Q773">IFERROR(XLOOKUP(N773,'Classificação'!A:A,'Classificação'!B:B),"")</f>
        <v>COMPRA DE MERCADORIA</v>
      </c>
      <c r="R773" s="15" t="str">
        <f t="array" ref="R773">IFERROR(XLOOKUP(Q773,'Classificação'!B:B,'Classificação'!C:C),"")</f>
        <v>CUSTOS VARIÁVEIS</v>
      </c>
      <c r="S773" s="15">
        <f t="shared" si="5"/>
        <v>3</v>
      </c>
      <c r="T773" s="15">
        <f t="shared" si="6"/>
        <v>2</v>
      </c>
      <c r="U773" s="15">
        <f t="shared" si="7"/>
        <v>2025</v>
      </c>
      <c r="V773" s="15">
        <f t="shared" si="8"/>
        <v>3</v>
      </c>
      <c r="W773" s="15">
        <f t="shared" si="9"/>
        <v>2</v>
      </c>
      <c r="X773" s="15">
        <f t="shared" si="10"/>
        <v>2025</v>
      </c>
    </row>
    <row r="774">
      <c r="A774" s="9">
        <v>45691.0</v>
      </c>
      <c r="B774" s="10"/>
      <c r="C774" s="9">
        <f t="shared" si="22"/>
        <v>45691</v>
      </c>
      <c r="D774" s="11" t="s">
        <v>44</v>
      </c>
      <c r="E774" s="11" t="s">
        <v>25</v>
      </c>
      <c r="F774" s="11" t="s">
        <v>45</v>
      </c>
      <c r="G774" s="11" t="s">
        <v>27</v>
      </c>
      <c r="H774" s="11" t="s">
        <v>538</v>
      </c>
      <c r="I774" s="12">
        <v>1976.86</v>
      </c>
      <c r="J774" s="13"/>
      <c r="K774" s="13">
        <f t="shared" si="50"/>
        <v>1976.86</v>
      </c>
      <c r="L774" s="11" t="s">
        <v>34</v>
      </c>
      <c r="M774" s="14"/>
      <c r="N774" s="11" t="s">
        <v>35</v>
      </c>
      <c r="O774" s="10" t="str">
        <f t="shared" si="48"/>
        <v>02/2025</v>
      </c>
      <c r="P774" s="10" t="str">
        <f t="shared" si="29"/>
        <v>02/2025</v>
      </c>
      <c r="Q774" s="15" t="str">
        <f t="array" ref="Q774">IFERROR(XLOOKUP(N774,'Classificação'!A:A,'Classificação'!B:B),"")</f>
        <v>COMPRA DE MERCADORIA</v>
      </c>
      <c r="R774" s="15" t="str">
        <f t="array" ref="R774">IFERROR(XLOOKUP(Q774,'Classificação'!B:B,'Classificação'!C:C),"")</f>
        <v>CUSTOS VARIÁVEIS</v>
      </c>
      <c r="S774" s="15">
        <f t="shared" si="5"/>
        <v>3</v>
      </c>
      <c r="T774" s="15">
        <f t="shared" si="6"/>
        <v>2</v>
      </c>
      <c r="U774" s="15">
        <f t="shared" si="7"/>
        <v>2025</v>
      </c>
      <c r="V774" s="15">
        <f t="shared" si="8"/>
        <v>3</v>
      </c>
      <c r="W774" s="15">
        <f t="shared" si="9"/>
        <v>2</v>
      </c>
      <c r="X774" s="15">
        <f t="shared" si="10"/>
        <v>2025</v>
      </c>
    </row>
    <row r="775">
      <c r="A775" s="9">
        <v>45692.0</v>
      </c>
      <c r="B775" s="10"/>
      <c r="C775" s="9">
        <f t="shared" si="22"/>
        <v>45692</v>
      </c>
      <c r="D775" s="11" t="s">
        <v>44</v>
      </c>
      <c r="E775" s="11" t="s">
        <v>25</v>
      </c>
      <c r="F775" s="11" t="s">
        <v>45</v>
      </c>
      <c r="G775" s="11" t="s">
        <v>27</v>
      </c>
      <c r="H775" s="11" t="s">
        <v>539</v>
      </c>
      <c r="I775" s="12">
        <v>200.01</v>
      </c>
      <c r="J775" s="13"/>
      <c r="K775" s="13">
        <f t="shared" si="50"/>
        <v>200.01</v>
      </c>
      <c r="L775" s="11" t="s">
        <v>34</v>
      </c>
      <c r="M775" s="14"/>
      <c r="N775" s="11" t="s">
        <v>35</v>
      </c>
      <c r="O775" s="10" t="str">
        <f t="shared" si="48"/>
        <v>02/2025</v>
      </c>
      <c r="P775" s="10" t="str">
        <f t="shared" si="29"/>
        <v>02/2025</v>
      </c>
      <c r="Q775" s="15" t="str">
        <f t="array" ref="Q775">IFERROR(XLOOKUP(N775,'Classificação'!A:A,'Classificação'!B:B),"")</f>
        <v>COMPRA DE MERCADORIA</v>
      </c>
      <c r="R775" s="15" t="str">
        <f t="array" ref="R775">IFERROR(XLOOKUP(Q775,'Classificação'!B:B,'Classificação'!C:C),"")</f>
        <v>CUSTOS VARIÁVEIS</v>
      </c>
      <c r="S775" s="15">
        <f t="shared" si="5"/>
        <v>4</v>
      </c>
      <c r="T775" s="15">
        <f t="shared" si="6"/>
        <v>2</v>
      </c>
      <c r="U775" s="15">
        <f t="shared" si="7"/>
        <v>2025</v>
      </c>
      <c r="V775" s="15">
        <f t="shared" si="8"/>
        <v>4</v>
      </c>
      <c r="W775" s="15">
        <f t="shared" si="9"/>
        <v>2</v>
      </c>
      <c r="X775" s="15">
        <f t="shared" si="10"/>
        <v>2025</v>
      </c>
    </row>
    <row r="776">
      <c r="A776" s="9">
        <v>45692.0</v>
      </c>
      <c r="B776" s="10"/>
      <c r="C776" s="9">
        <f t="shared" si="22"/>
        <v>45692</v>
      </c>
      <c r="D776" s="11" t="s">
        <v>44</v>
      </c>
      <c r="E776" s="11" t="s">
        <v>25</v>
      </c>
      <c r="F776" s="11" t="s">
        <v>45</v>
      </c>
      <c r="G776" s="11" t="s">
        <v>27</v>
      </c>
      <c r="H776" s="11" t="s">
        <v>539</v>
      </c>
      <c r="I776" s="12">
        <v>1275.97</v>
      </c>
      <c r="J776" s="13"/>
      <c r="K776" s="13">
        <f t="shared" si="50"/>
        <v>1275.97</v>
      </c>
      <c r="L776" s="11" t="s">
        <v>34</v>
      </c>
      <c r="M776" s="14"/>
      <c r="N776" s="11" t="s">
        <v>35</v>
      </c>
      <c r="O776" s="10" t="str">
        <f t="shared" si="48"/>
        <v>02/2025</v>
      </c>
      <c r="P776" s="10" t="str">
        <f t="shared" si="29"/>
        <v>02/2025</v>
      </c>
      <c r="Q776" s="15" t="str">
        <f t="array" ref="Q776">IFERROR(XLOOKUP(N776,'Classificação'!A:A,'Classificação'!B:B),"")</f>
        <v>COMPRA DE MERCADORIA</v>
      </c>
      <c r="R776" s="15" t="str">
        <f t="array" ref="R776">IFERROR(XLOOKUP(Q776,'Classificação'!B:B,'Classificação'!C:C),"")</f>
        <v>CUSTOS VARIÁVEIS</v>
      </c>
      <c r="S776" s="15">
        <f t="shared" si="5"/>
        <v>4</v>
      </c>
      <c r="T776" s="15">
        <f t="shared" si="6"/>
        <v>2</v>
      </c>
      <c r="U776" s="15">
        <f t="shared" si="7"/>
        <v>2025</v>
      </c>
      <c r="V776" s="15">
        <f t="shared" si="8"/>
        <v>4</v>
      </c>
      <c r="W776" s="15">
        <f t="shared" si="9"/>
        <v>2</v>
      </c>
      <c r="X776" s="15">
        <f t="shared" si="10"/>
        <v>2025</v>
      </c>
    </row>
    <row r="777">
      <c r="A777" s="9">
        <v>45693.0</v>
      </c>
      <c r="B777" s="10"/>
      <c r="C777" s="9">
        <f t="shared" si="22"/>
        <v>45693</v>
      </c>
      <c r="D777" s="11" t="s">
        <v>36</v>
      </c>
      <c r="E777" s="11" t="s">
        <v>25</v>
      </c>
      <c r="F777" s="11" t="s">
        <v>26</v>
      </c>
      <c r="G777" s="11" t="s">
        <v>37</v>
      </c>
      <c r="H777" s="11" t="s">
        <v>540</v>
      </c>
      <c r="I777" s="12">
        <v>229.5</v>
      </c>
      <c r="J777" s="13"/>
      <c r="K777" s="13">
        <f t="shared" si="50"/>
        <v>229.5</v>
      </c>
      <c r="L777" s="11" t="s">
        <v>34</v>
      </c>
      <c r="M777" s="14"/>
      <c r="N777" s="11" t="s">
        <v>272</v>
      </c>
      <c r="O777" s="10" t="str">
        <f t="shared" si="48"/>
        <v>02/2025</v>
      </c>
      <c r="P777" s="10" t="str">
        <f t="shared" si="29"/>
        <v>02/2025</v>
      </c>
      <c r="Q777" s="15" t="str">
        <f t="array" ref="Q777">IFERROR(XLOOKUP(N777,'Classificação'!A:A,'Classificação'!B:B),"")</f>
        <v>DESPESAS COM VIAGENS</v>
      </c>
      <c r="R777" s="15" t="str">
        <f t="array" ref="R777">IFERROR(XLOOKUP(Q777,'Classificação'!B:B,'Classificação'!C:C),"")</f>
        <v>DESPESAS FIXAS (-)</v>
      </c>
      <c r="S777" s="15">
        <f t="shared" si="5"/>
        <v>5</v>
      </c>
      <c r="T777" s="15">
        <f t="shared" si="6"/>
        <v>2</v>
      </c>
      <c r="U777" s="15">
        <f t="shared" si="7"/>
        <v>2025</v>
      </c>
      <c r="V777" s="15">
        <f t="shared" si="8"/>
        <v>5</v>
      </c>
      <c r="W777" s="15">
        <f t="shared" si="9"/>
        <v>2</v>
      </c>
      <c r="X777" s="15">
        <f t="shared" si="10"/>
        <v>2025</v>
      </c>
    </row>
    <row r="778">
      <c r="A778" s="9">
        <v>45694.0</v>
      </c>
      <c r="B778" s="10"/>
      <c r="C778" s="9">
        <f t="shared" si="22"/>
        <v>45694</v>
      </c>
      <c r="D778" s="11" t="s">
        <v>86</v>
      </c>
      <c r="E778" s="11" t="s">
        <v>25</v>
      </c>
      <c r="F778" s="11" t="s">
        <v>26</v>
      </c>
      <c r="G778" s="11" t="s">
        <v>37</v>
      </c>
      <c r="H778" s="11" t="s">
        <v>541</v>
      </c>
      <c r="I778" s="12">
        <v>3450.0</v>
      </c>
      <c r="J778" s="13"/>
      <c r="K778" s="13">
        <f t="shared" si="50"/>
        <v>3450</v>
      </c>
      <c r="L778" s="11" t="s">
        <v>34</v>
      </c>
      <c r="M778" s="14"/>
      <c r="N778" s="11" t="s">
        <v>35</v>
      </c>
      <c r="O778" s="10" t="str">
        <f t="shared" si="48"/>
        <v>02/2025</v>
      </c>
      <c r="P778" s="10" t="str">
        <f t="shared" si="29"/>
        <v>02/2025</v>
      </c>
      <c r="Q778" s="15" t="str">
        <f t="array" ref="Q778">IFERROR(XLOOKUP(N778,'Classificação'!A:A,'Classificação'!B:B),"")</f>
        <v>COMPRA DE MERCADORIA</v>
      </c>
      <c r="R778" s="15" t="str">
        <f t="array" ref="R778">IFERROR(XLOOKUP(Q778,'Classificação'!B:B,'Classificação'!C:C),"")</f>
        <v>CUSTOS VARIÁVEIS</v>
      </c>
      <c r="S778" s="15">
        <f t="shared" si="5"/>
        <v>6</v>
      </c>
      <c r="T778" s="15">
        <f t="shared" si="6"/>
        <v>2</v>
      </c>
      <c r="U778" s="15">
        <f t="shared" si="7"/>
        <v>2025</v>
      </c>
      <c r="V778" s="15">
        <f t="shared" si="8"/>
        <v>6</v>
      </c>
      <c r="W778" s="15">
        <f t="shared" si="9"/>
        <v>2</v>
      </c>
      <c r="X778" s="15">
        <f t="shared" si="10"/>
        <v>2025</v>
      </c>
    </row>
    <row r="779">
      <c r="A779" s="9">
        <v>45694.0</v>
      </c>
      <c r="B779" s="10"/>
      <c r="C779" s="9">
        <f t="shared" si="22"/>
        <v>45694</v>
      </c>
      <c r="D779" s="11" t="s">
        <v>44</v>
      </c>
      <c r="E779" s="11" t="s">
        <v>25</v>
      </c>
      <c r="F779" s="11" t="s">
        <v>45</v>
      </c>
      <c r="G779" s="11" t="s">
        <v>27</v>
      </c>
      <c r="I779" s="12">
        <v>73.8</v>
      </c>
      <c r="J779" s="13"/>
      <c r="K779" s="13">
        <f t="shared" si="50"/>
        <v>73.8</v>
      </c>
      <c r="L779" s="11" t="s">
        <v>29</v>
      </c>
      <c r="M779" s="14"/>
      <c r="N779" s="11" t="s">
        <v>47</v>
      </c>
      <c r="O779" s="10" t="str">
        <f t="shared" si="48"/>
        <v>02/2025</v>
      </c>
      <c r="P779" s="10" t="str">
        <f t="shared" si="29"/>
        <v>02/2025</v>
      </c>
      <c r="Q779" s="15" t="str">
        <f t="array" ref="Q779">IFERROR(XLOOKUP(N779,'Classificação'!A:A,'Classificação'!B:B),"")</f>
        <v>DESPESAS NÃO OPERACIONAIS</v>
      </c>
      <c r="R779" s="15" t="str">
        <f t="array" ref="R779">IFERROR(XLOOKUP(Q779,'Classificação'!B:B,'Classificação'!C:C),"")</f>
        <v>RESULTADO NÃO OPERACIONAL (+/-)</v>
      </c>
      <c r="S779" s="15">
        <f t="shared" si="5"/>
        <v>6</v>
      </c>
      <c r="T779" s="15">
        <f t="shared" si="6"/>
        <v>2</v>
      </c>
      <c r="U779" s="15">
        <f t="shared" si="7"/>
        <v>2025</v>
      </c>
      <c r="V779" s="15">
        <f t="shared" si="8"/>
        <v>6</v>
      </c>
      <c r="W779" s="15">
        <f t="shared" si="9"/>
        <v>2</v>
      </c>
      <c r="X779" s="15">
        <f t="shared" si="10"/>
        <v>2025</v>
      </c>
    </row>
    <row r="780">
      <c r="A780" s="9">
        <v>45698.0</v>
      </c>
      <c r="B780" s="10"/>
      <c r="C780" s="9">
        <f t="shared" si="22"/>
        <v>45698</v>
      </c>
      <c r="D780" s="11" t="s">
        <v>48</v>
      </c>
      <c r="E780" s="11" t="s">
        <v>25</v>
      </c>
      <c r="F780" s="11" t="s">
        <v>40</v>
      </c>
      <c r="G780" s="11" t="s">
        <v>27</v>
      </c>
      <c r="I780" s="12">
        <v>1290.56</v>
      </c>
      <c r="J780" s="13"/>
      <c r="K780" s="13">
        <f t="shared" si="50"/>
        <v>1290.56</v>
      </c>
      <c r="L780" s="11" t="s">
        <v>29</v>
      </c>
      <c r="M780" s="14"/>
      <c r="N780" s="11" t="s">
        <v>49</v>
      </c>
      <c r="O780" s="10" t="str">
        <f t="shared" si="48"/>
        <v>02/2025</v>
      </c>
      <c r="P780" s="10" t="str">
        <f t="shared" si="29"/>
        <v>02/2025</v>
      </c>
      <c r="Q780" s="15" t="str">
        <f t="array" ref="Q780">IFERROR(XLOOKUP(N780,'Classificação'!A:A,'Classificação'!B:B),"")</f>
        <v>DESPESAS COM PESSOAL</v>
      </c>
      <c r="R780" s="15" t="str">
        <f t="array" ref="R780">IFERROR(XLOOKUP(Q780,'Classificação'!B:B,'Classificação'!C:C),"")</f>
        <v>DESPESAS FIXAS (-)</v>
      </c>
      <c r="S780" s="15">
        <f t="shared" si="5"/>
        <v>10</v>
      </c>
      <c r="T780" s="15">
        <f t="shared" si="6"/>
        <v>2</v>
      </c>
      <c r="U780" s="15">
        <f t="shared" si="7"/>
        <v>2025</v>
      </c>
      <c r="V780" s="15">
        <f t="shared" si="8"/>
        <v>10</v>
      </c>
      <c r="W780" s="15">
        <f t="shared" si="9"/>
        <v>2</v>
      </c>
      <c r="X780" s="15">
        <f t="shared" si="10"/>
        <v>2025</v>
      </c>
    </row>
    <row r="781">
      <c r="A781" s="9">
        <v>45698.0</v>
      </c>
      <c r="B781" s="10"/>
      <c r="C781" s="9">
        <f t="shared" si="22"/>
        <v>45698</v>
      </c>
      <c r="D781" s="11" t="s">
        <v>50</v>
      </c>
      <c r="E781" s="11" t="s">
        <v>25</v>
      </c>
      <c r="F781" s="11" t="s">
        <v>40</v>
      </c>
      <c r="G781" s="11" t="s">
        <v>27</v>
      </c>
      <c r="H781" s="11" t="s">
        <v>51</v>
      </c>
      <c r="I781" s="12">
        <v>139.99</v>
      </c>
      <c r="J781" s="13"/>
      <c r="K781" s="13">
        <f t="shared" si="50"/>
        <v>139.99</v>
      </c>
      <c r="L781" s="11" t="s">
        <v>29</v>
      </c>
      <c r="M781" s="14"/>
      <c r="N781" s="11" t="s">
        <v>51</v>
      </c>
      <c r="O781" s="10" t="str">
        <f t="shared" si="48"/>
        <v>02/2025</v>
      </c>
      <c r="P781" s="10" t="str">
        <f t="shared" si="29"/>
        <v>02/2025</v>
      </c>
      <c r="Q781" s="15" t="str">
        <f t="array" ref="Q781">IFERROR(XLOOKUP(N781,'Classificação'!A:A,'Classificação'!B:B),"")</f>
        <v>DESPESAS COM OCUPAÇÃO</v>
      </c>
      <c r="R781" s="15" t="str">
        <f t="array" ref="R781">IFERROR(XLOOKUP(Q781,'Classificação'!B:B,'Classificação'!C:C),"")</f>
        <v>DESPESAS FIXAS (-)</v>
      </c>
      <c r="S781" s="15">
        <f t="shared" si="5"/>
        <v>10</v>
      </c>
      <c r="T781" s="15">
        <f t="shared" si="6"/>
        <v>2</v>
      </c>
      <c r="U781" s="15">
        <f t="shared" si="7"/>
        <v>2025</v>
      </c>
      <c r="V781" s="15">
        <f t="shared" si="8"/>
        <v>10</v>
      </c>
      <c r="W781" s="15">
        <f t="shared" si="9"/>
        <v>2</v>
      </c>
      <c r="X781" s="15">
        <f t="shared" si="10"/>
        <v>2025</v>
      </c>
    </row>
    <row r="782">
      <c r="A782" s="9">
        <v>45698.0</v>
      </c>
      <c r="B782" s="10"/>
      <c r="C782" s="9">
        <f t="shared" si="22"/>
        <v>45698</v>
      </c>
      <c r="D782" s="11" t="s">
        <v>44</v>
      </c>
      <c r="E782" s="11" t="s">
        <v>25</v>
      </c>
      <c r="F782" s="11" t="s">
        <v>45</v>
      </c>
      <c r="G782" s="11" t="s">
        <v>27</v>
      </c>
      <c r="H782" s="11" t="s">
        <v>52</v>
      </c>
      <c r="I782" s="12">
        <v>480.32</v>
      </c>
      <c r="J782" s="13"/>
      <c r="K782" s="13">
        <f t="shared" si="50"/>
        <v>480.32</v>
      </c>
      <c r="L782" s="11" t="s">
        <v>53</v>
      </c>
      <c r="M782" s="16" t="s">
        <v>542</v>
      </c>
      <c r="N782" s="11" t="s">
        <v>55</v>
      </c>
      <c r="O782" s="10" t="str">
        <f t="shared" si="48"/>
        <v>02/2025</v>
      </c>
      <c r="P782" s="10" t="str">
        <f t="shared" si="29"/>
        <v>02/2025</v>
      </c>
      <c r="Q782" s="15" t="str">
        <f t="array" ref="Q782">IFERROR(XLOOKUP(N782,'Classificação'!A:A,'Classificação'!B:B),"")</f>
        <v>DESPESAS NÃO OPERACIONAIS</v>
      </c>
      <c r="R782" s="15" t="str">
        <f t="array" ref="R782">IFERROR(XLOOKUP(Q782,'Classificação'!B:B,'Classificação'!C:C),"")</f>
        <v>RESULTADO NÃO OPERACIONAL (+/-)</v>
      </c>
      <c r="S782" s="15">
        <f t="shared" si="5"/>
        <v>10</v>
      </c>
      <c r="T782" s="15">
        <f t="shared" si="6"/>
        <v>2</v>
      </c>
      <c r="U782" s="15">
        <f t="shared" si="7"/>
        <v>2025</v>
      </c>
      <c r="V782" s="15">
        <f t="shared" si="8"/>
        <v>10</v>
      </c>
      <c r="W782" s="15">
        <f t="shared" si="9"/>
        <v>2</v>
      </c>
      <c r="X782" s="15">
        <f t="shared" si="10"/>
        <v>2025</v>
      </c>
    </row>
    <row r="783">
      <c r="A783" s="9">
        <v>45698.0</v>
      </c>
      <c r="B783" s="10"/>
      <c r="C783" s="9">
        <f t="shared" si="22"/>
        <v>45698</v>
      </c>
      <c r="D783" s="11" t="s">
        <v>59</v>
      </c>
      <c r="E783" s="11" t="s">
        <v>25</v>
      </c>
      <c r="F783" s="11" t="s">
        <v>40</v>
      </c>
      <c r="G783" s="11" t="s">
        <v>37</v>
      </c>
      <c r="H783" s="11" t="s">
        <v>60</v>
      </c>
      <c r="I783" s="12">
        <v>397.0</v>
      </c>
      <c r="J783" s="13"/>
      <c r="K783" s="13">
        <f t="shared" si="50"/>
        <v>397</v>
      </c>
      <c r="L783" s="11" t="s">
        <v>29</v>
      </c>
      <c r="M783" s="14"/>
      <c r="N783" s="11" t="s">
        <v>61</v>
      </c>
      <c r="O783" s="10" t="str">
        <f t="shared" si="48"/>
        <v>02/2025</v>
      </c>
      <c r="P783" s="10" t="str">
        <f t="shared" si="29"/>
        <v>02/2025</v>
      </c>
      <c r="Q783" s="15" t="str">
        <f t="array" ref="Q783">IFERROR(XLOOKUP(N783,'Classificação'!A:A,'Classificação'!B:B),"")</f>
        <v>DESPESAS ADMINISTRATIVAS</v>
      </c>
      <c r="R783" s="15" t="str">
        <f t="array" ref="R783">IFERROR(XLOOKUP(Q783,'Classificação'!B:B,'Classificação'!C:C),"")</f>
        <v>DESPESAS FIXAS (-)</v>
      </c>
      <c r="S783" s="15">
        <f t="shared" si="5"/>
        <v>10</v>
      </c>
      <c r="T783" s="15">
        <f t="shared" si="6"/>
        <v>2</v>
      </c>
      <c r="U783" s="15">
        <f t="shared" si="7"/>
        <v>2025</v>
      </c>
      <c r="V783" s="15">
        <f t="shared" si="8"/>
        <v>10</v>
      </c>
      <c r="W783" s="15">
        <f t="shared" si="9"/>
        <v>2</v>
      </c>
      <c r="X783" s="15">
        <f t="shared" si="10"/>
        <v>2025</v>
      </c>
    </row>
    <row r="784">
      <c r="A784" s="9">
        <v>45698.0</v>
      </c>
      <c r="B784" s="9">
        <v>45698.0</v>
      </c>
      <c r="C784" s="9">
        <f t="shared" si="22"/>
        <v>45698</v>
      </c>
      <c r="D784" s="11" t="s">
        <v>217</v>
      </c>
      <c r="E784" s="11" t="s">
        <v>25</v>
      </c>
      <c r="F784" s="11" t="s">
        <v>26</v>
      </c>
      <c r="G784" s="11" t="s">
        <v>37</v>
      </c>
      <c r="H784" s="11" t="s">
        <v>543</v>
      </c>
      <c r="I784" s="12">
        <v>100.0</v>
      </c>
      <c r="J784" s="13"/>
      <c r="K784" s="13">
        <f t="shared" si="50"/>
        <v>100</v>
      </c>
      <c r="L784" s="11" t="s">
        <v>34</v>
      </c>
      <c r="M784" s="14"/>
      <c r="N784" s="11" t="s">
        <v>218</v>
      </c>
      <c r="O784" s="10" t="str">
        <f t="shared" si="48"/>
        <v>02/2025</v>
      </c>
      <c r="P784" s="10" t="str">
        <f t="shared" si="29"/>
        <v>02/2025</v>
      </c>
      <c r="Q784" s="15" t="str">
        <f t="array" ref="Q784">IFERROR(XLOOKUP(N784,'Classificação'!A:A,'Classificação'!B:B),"")</f>
        <v>DESPESAS COM VIAGENS</v>
      </c>
      <c r="R784" s="15" t="str">
        <f t="array" ref="R784">IFERROR(XLOOKUP(Q784,'Classificação'!B:B,'Classificação'!C:C),"")</f>
        <v>DESPESAS FIXAS (-)</v>
      </c>
      <c r="S784" s="15">
        <f t="shared" si="5"/>
        <v>10</v>
      </c>
      <c r="T784" s="15">
        <f t="shared" si="6"/>
        <v>2</v>
      </c>
      <c r="U784" s="15">
        <f t="shared" si="7"/>
        <v>2025</v>
      </c>
      <c r="V784" s="15">
        <f t="shared" si="8"/>
        <v>10</v>
      </c>
      <c r="W784" s="15">
        <f t="shared" si="9"/>
        <v>2</v>
      </c>
      <c r="X784" s="15">
        <f t="shared" si="10"/>
        <v>2025</v>
      </c>
    </row>
    <row r="785">
      <c r="A785" s="9">
        <v>45699.0</v>
      </c>
      <c r="B785" s="10"/>
      <c r="C785" s="9">
        <f t="shared" si="22"/>
        <v>45699</v>
      </c>
      <c r="D785" s="11" t="s">
        <v>65</v>
      </c>
      <c r="E785" s="11" t="s">
        <v>25</v>
      </c>
      <c r="F785" s="11" t="s">
        <v>45</v>
      </c>
      <c r="G785" s="11" t="s">
        <v>66</v>
      </c>
      <c r="H785" s="11" t="s">
        <v>67</v>
      </c>
      <c r="I785" s="12">
        <v>703.26</v>
      </c>
      <c r="J785" s="13"/>
      <c r="K785" s="13">
        <f t="shared" si="50"/>
        <v>703.26</v>
      </c>
      <c r="L785" s="11" t="s">
        <v>29</v>
      </c>
      <c r="M785" s="14"/>
      <c r="N785" s="11" t="s">
        <v>68</v>
      </c>
      <c r="O785" s="10" t="str">
        <f t="shared" si="48"/>
        <v>02/2025</v>
      </c>
      <c r="P785" s="10" t="str">
        <f t="shared" si="29"/>
        <v>02/2025</v>
      </c>
      <c r="Q785" s="15" t="str">
        <f t="array" ref="Q785">IFERROR(XLOOKUP(N785,'Classificação'!A:A,'Classificação'!B:B),"")</f>
        <v>FRETE DE VENDAS</v>
      </c>
      <c r="R785" s="15" t="str">
        <f t="array" ref="R785">IFERROR(XLOOKUP(Q785,'Classificação'!B:B,'Classificação'!C:C),"")</f>
        <v>CUSTOS VARIÁVEIS</v>
      </c>
      <c r="S785" s="15">
        <f t="shared" si="5"/>
        <v>11</v>
      </c>
      <c r="T785" s="15">
        <f t="shared" si="6"/>
        <v>2</v>
      </c>
      <c r="U785" s="15">
        <f t="shared" si="7"/>
        <v>2025</v>
      </c>
      <c r="V785" s="15">
        <f t="shared" si="8"/>
        <v>11</v>
      </c>
      <c r="W785" s="15">
        <f t="shared" si="9"/>
        <v>2</v>
      </c>
      <c r="X785" s="15">
        <f t="shared" si="10"/>
        <v>2025</v>
      </c>
    </row>
    <row r="786">
      <c r="A786" s="9">
        <v>45699.0</v>
      </c>
      <c r="B786" s="10"/>
      <c r="C786" s="9">
        <f t="shared" si="22"/>
        <v>45699</v>
      </c>
      <c r="D786" s="11" t="s">
        <v>473</v>
      </c>
      <c r="E786" s="11" t="s">
        <v>25</v>
      </c>
      <c r="F786" s="11" t="s">
        <v>26</v>
      </c>
      <c r="G786" s="11" t="s">
        <v>27</v>
      </c>
      <c r="H786" s="11" t="s">
        <v>474</v>
      </c>
      <c r="I786" s="12">
        <v>525.08</v>
      </c>
      <c r="J786" s="13"/>
      <c r="K786" s="13">
        <f t="shared" si="50"/>
        <v>525.08</v>
      </c>
      <c r="L786" s="11" t="s">
        <v>53</v>
      </c>
      <c r="M786" s="17">
        <v>45779.0</v>
      </c>
      <c r="N786" s="11" t="s">
        <v>233</v>
      </c>
      <c r="O786" s="10" t="str">
        <f t="shared" si="48"/>
        <v>02/2025</v>
      </c>
      <c r="P786" s="10" t="str">
        <f t="shared" si="29"/>
        <v>02/2025</v>
      </c>
      <c r="Q786" s="15" t="str">
        <f t="array" ref="Q786">IFERROR(XLOOKUP(N786,'Classificação'!A:A,'Classificação'!B:B),"")</f>
        <v>DESPESAS COM VEICULOS</v>
      </c>
      <c r="R786" s="15" t="str">
        <f t="array" ref="R786">IFERROR(XLOOKUP(Q786,'Classificação'!B:B,'Classificação'!C:C),"")</f>
        <v>DESPESAS FIXAS (-)</v>
      </c>
      <c r="S786" s="15">
        <f t="shared" si="5"/>
        <v>11</v>
      </c>
      <c r="T786" s="15">
        <f t="shared" si="6"/>
        <v>2</v>
      </c>
      <c r="U786" s="15">
        <f t="shared" si="7"/>
        <v>2025</v>
      </c>
      <c r="V786" s="15">
        <f t="shared" si="8"/>
        <v>11</v>
      </c>
      <c r="W786" s="15">
        <f t="shared" si="9"/>
        <v>2</v>
      </c>
      <c r="X786" s="15">
        <f t="shared" si="10"/>
        <v>2025</v>
      </c>
    </row>
    <row r="787">
      <c r="A787" s="9">
        <v>45699.0</v>
      </c>
      <c r="B787" s="9">
        <v>45680.0</v>
      </c>
      <c r="C787" s="9">
        <f t="shared" si="22"/>
        <v>45699</v>
      </c>
      <c r="D787" s="11" t="s">
        <v>544</v>
      </c>
      <c r="E787" s="11" t="s">
        <v>25</v>
      </c>
      <c r="F787" s="11" t="s">
        <v>26</v>
      </c>
      <c r="G787" s="11" t="s">
        <v>37</v>
      </c>
      <c r="H787" s="11" t="s">
        <v>545</v>
      </c>
      <c r="I787" s="12">
        <v>616.47</v>
      </c>
      <c r="J787" s="13"/>
      <c r="K787" s="13">
        <f t="shared" si="50"/>
        <v>616.47</v>
      </c>
      <c r="L787" s="11" t="s">
        <v>53</v>
      </c>
      <c r="M787" s="17">
        <v>45992.0</v>
      </c>
      <c r="N787" s="11" t="s">
        <v>95</v>
      </c>
      <c r="O787" s="10" t="str">
        <f t="shared" si="48"/>
        <v>02/2025</v>
      </c>
      <c r="P787" s="10" t="str">
        <f t="shared" si="29"/>
        <v>02/2025</v>
      </c>
      <c r="Q787" s="15" t="str">
        <f t="array" ref="Q787">IFERROR(XLOOKUP(N787,'Classificação'!A:A,'Classificação'!B:B),"")</f>
        <v>DESPESAS NÃO OPERACIONAIS</v>
      </c>
      <c r="R787" s="15" t="str">
        <f t="array" ref="R787">IFERROR(XLOOKUP(Q787,'Classificação'!B:B,'Classificação'!C:C),"")</f>
        <v>RESULTADO NÃO OPERACIONAL (+/-)</v>
      </c>
      <c r="S787" s="15">
        <f t="shared" si="5"/>
        <v>11</v>
      </c>
      <c r="T787" s="15">
        <f t="shared" si="6"/>
        <v>2</v>
      </c>
      <c r="U787" s="15">
        <f t="shared" si="7"/>
        <v>2025</v>
      </c>
      <c r="V787" s="15">
        <f t="shared" si="8"/>
        <v>11</v>
      </c>
      <c r="W787" s="15">
        <f t="shared" si="9"/>
        <v>2</v>
      </c>
      <c r="X787" s="15">
        <f t="shared" si="10"/>
        <v>2025</v>
      </c>
    </row>
    <row r="788">
      <c r="A788" s="9">
        <v>45700.0</v>
      </c>
      <c r="B788" s="10"/>
      <c r="C788" s="9">
        <f t="shared" si="22"/>
        <v>45700</v>
      </c>
      <c r="D788" s="11" t="s">
        <v>104</v>
      </c>
      <c r="E788" s="11" t="s">
        <v>25</v>
      </c>
      <c r="F788" s="11" t="s">
        <v>40</v>
      </c>
      <c r="G788" s="11" t="s">
        <v>37</v>
      </c>
      <c r="H788" s="11" t="s">
        <v>413</v>
      </c>
      <c r="I788" s="12">
        <v>27.5</v>
      </c>
      <c r="J788" s="13"/>
      <c r="K788" s="13">
        <f t="shared" si="50"/>
        <v>27.5</v>
      </c>
      <c r="L788" s="11" t="s">
        <v>29</v>
      </c>
      <c r="M788" s="14"/>
      <c r="N788" s="11" t="s">
        <v>105</v>
      </c>
      <c r="O788" s="10" t="str">
        <f t="shared" si="48"/>
        <v>02/2025</v>
      </c>
      <c r="P788" s="10" t="str">
        <f t="shared" si="29"/>
        <v>02/2025</v>
      </c>
      <c r="Q788" s="15" t="str">
        <f t="array" ref="Q788">IFERROR(XLOOKUP(N788,'Classificação'!A:A,'Classificação'!B:B),"")</f>
        <v>DESPESAS ADMINISTRATIVAS</v>
      </c>
      <c r="R788" s="15" t="str">
        <f t="array" ref="R788">IFERROR(XLOOKUP(Q788,'Classificação'!B:B,'Classificação'!C:C),"")</f>
        <v>DESPESAS FIXAS (-)</v>
      </c>
      <c r="S788" s="15">
        <f t="shared" si="5"/>
        <v>12</v>
      </c>
      <c r="T788" s="15">
        <f t="shared" si="6"/>
        <v>2</v>
      </c>
      <c r="U788" s="15">
        <f t="shared" si="7"/>
        <v>2025</v>
      </c>
      <c r="V788" s="15">
        <f t="shared" si="8"/>
        <v>12</v>
      </c>
      <c r="W788" s="15">
        <f t="shared" si="9"/>
        <v>2</v>
      </c>
      <c r="X788" s="15">
        <f t="shared" si="10"/>
        <v>2025</v>
      </c>
    </row>
    <row r="789">
      <c r="A789" s="9">
        <v>45700.0</v>
      </c>
      <c r="B789" s="10"/>
      <c r="C789" s="9">
        <f t="shared" si="22"/>
        <v>45700</v>
      </c>
      <c r="D789" s="11" t="s">
        <v>56</v>
      </c>
      <c r="E789" s="11" t="s">
        <v>25</v>
      </c>
      <c r="F789" s="11" t="s">
        <v>26</v>
      </c>
      <c r="G789" s="11" t="s">
        <v>37</v>
      </c>
      <c r="H789" s="11" t="s">
        <v>57</v>
      </c>
      <c r="I789" s="12">
        <v>50.0</v>
      </c>
      <c r="J789" s="13"/>
      <c r="K789" s="13">
        <f t="shared" si="50"/>
        <v>50</v>
      </c>
      <c r="L789" s="11" t="s">
        <v>29</v>
      </c>
      <c r="M789" s="14"/>
      <c r="N789" s="11" t="s">
        <v>58</v>
      </c>
      <c r="O789" s="10" t="str">
        <f t="shared" si="48"/>
        <v>02/2025</v>
      </c>
      <c r="P789" s="10" t="str">
        <f t="shared" si="29"/>
        <v>02/2025</v>
      </c>
      <c r="Q789" s="15" t="str">
        <f t="array" ref="Q789">IFERROR(XLOOKUP(N789,'Classificação'!A:A,'Classificação'!B:B),"")</f>
        <v>DESPESAS ADMINISTRATIVAS</v>
      </c>
      <c r="R789" s="15" t="str">
        <f t="array" ref="R789">IFERROR(XLOOKUP(Q789,'Classificação'!B:B,'Classificação'!C:C),"")</f>
        <v>DESPESAS FIXAS (-)</v>
      </c>
      <c r="S789" s="15">
        <f t="shared" si="5"/>
        <v>12</v>
      </c>
      <c r="T789" s="15">
        <f t="shared" si="6"/>
        <v>2</v>
      </c>
      <c r="U789" s="15">
        <f t="shared" si="7"/>
        <v>2025</v>
      </c>
      <c r="V789" s="15">
        <f t="shared" si="8"/>
        <v>12</v>
      </c>
      <c r="W789" s="15">
        <f t="shared" si="9"/>
        <v>2</v>
      </c>
      <c r="X789" s="15">
        <f t="shared" si="10"/>
        <v>2025</v>
      </c>
    </row>
    <row r="790">
      <c r="A790" s="9">
        <v>45702.0</v>
      </c>
      <c r="B790" s="10"/>
      <c r="C790" s="9">
        <f t="shared" si="22"/>
        <v>45702</v>
      </c>
      <c r="D790" s="11" t="s">
        <v>44</v>
      </c>
      <c r="E790" s="11" t="s">
        <v>25</v>
      </c>
      <c r="F790" s="11" t="s">
        <v>45</v>
      </c>
      <c r="G790" s="11" t="s">
        <v>27</v>
      </c>
      <c r="H790" s="11" t="s">
        <v>476</v>
      </c>
      <c r="I790" s="12">
        <v>5799.93</v>
      </c>
      <c r="J790" s="13"/>
      <c r="K790" s="13">
        <f t="shared" si="50"/>
        <v>5799.93</v>
      </c>
      <c r="L790" s="11" t="s">
        <v>53</v>
      </c>
      <c r="M790" s="16" t="s">
        <v>99</v>
      </c>
      <c r="N790" s="11" t="s">
        <v>73</v>
      </c>
      <c r="O790" s="10" t="str">
        <f t="shared" si="48"/>
        <v>02/2025</v>
      </c>
      <c r="P790" s="10" t="str">
        <f t="shared" si="29"/>
        <v>02/2025</v>
      </c>
      <c r="Q790" s="15" t="str">
        <f t="array" ref="Q790">IFERROR(XLOOKUP(N790,'Classificação'!A:A,'Classificação'!B:B),"")</f>
        <v>DESPESAS NÃO OPERACIONAIS</v>
      </c>
      <c r="R790" s="15" t="str">
        <f t="array" ref="R790">IFERROR(XLOOKUP(Q790,'Classificação'!B:B,'Classificação'!C:C),"")</f>
        <v>RESULTADO NÃO OPERACIONAL (+/-)</v>
      </c>
      <c r="S790" s="15">
        <f t="shared" si="5"/>
        <v>14</v>
      </c>
      <c r="T790" s="15">
        <f t="shared" si="6"/>
        <v>2</v>
      </c>
      <c r="U790" s="15">
        <f t="shared" si="7"/>
        <v>2025</v>
      </c>
      <c r="V790" s="15">
        <f t="shared" si="8"/>
        <v>14</v>
      </c>
      <c r="W790" s="15">
        <f t="shared" si="9"/>
        <v>2</v>
      </c>
      <c r="X790" s="15">
        <f t="shared" si="10"/>
        <v>2025</v>
      </c>
    </row>
    <row r="791">
      <c r="A791" s="9">
        <v>45702.0</v>
      </c>
      <c r="B791" s="10"/>
      <c r="C791" s="9">
        <f t="shared" si="22"/>
        <v>45702</v>
      </c>
      <c r="D791" s="11" t="s">
        <v>74</v>
      </c>
      <c r="E791" s="11" t="s">
        <v>25</v>
      </c>
      <c r="F791" s="11" t="s">
        <v>32</v>
      </c>
      <c r="G791" s="11" t="s">
        <v>27</v>
      </c>
      <c r="I791" s="12">
        <v>592.0</v>
      </c>
      <c r="J791" s="13"/>
      <c r="K791" s="13">
        <f t="shared" si="50"/>
        <v>592</v>
      </c>
      <c r="L791" s="11" t="s">
        <v>29</v>
      </c>
      <c r="M791" s="14"/>
      <c r="N791" s="11" t="s">
        <v>75</v>
      </c>
      <c r="O791" s="10" t="str">
        <f t="shared" si="48"/>
        <v>02/2025</v>
      </c>
      <c r="P791" s="10" t="str">
        <f t="shared" si="29"/>
        <v>02/2025</v>
      </c>
      <c r="Q791" s="15" t="str">
        <f t="array" ref="Q791">IFERROR(XLOOKUP(N791,'Classificação'!A:A,'Classificação'!B:B),"")</f>
        <v>DESPESAS COM PESSOAL</v>
      </c>
      <c r="R791" s="15" t="str">
        <f t="array" ref="R791">IFERROR(XLOOKUP(Q791,'Classificação'!B:B,'Classificação'!C:C),"")</f>
        <v>DESPESAS FIXAS (-)</v>
      </c>
      <c r="S791" s="15">
        <f t="shared" si="5"/>
        <v>14</v>
      </c>
      <c r="T791" s="15">
        <f t="shared" si="6"/>
        <v>2</v>
      </c>
      <c r="U791" s="15">
        <f t="shared" si="7"/>
        <v>2025</v>
      </c>
      <c r="V791" s="15">
        <f t="shared" si="8"/>
        <v>14</v>
      </c>
      <c r="W791" s="15">
        <f t="shared" si="9"/>
        <v>2</v>
      </c>
      <c r="X791" s="15">
        <f t="shared" si="10"/>
        <v>2025</v>
      </c>
    </row>
    <row r="792">
      <c r="A792" s="9">
        <v>45702.0</v>
      </c>
      <c r="B792" s="10"/>
      <c r="C792" s="9">
        <f t="shared" si="22"/>
        <v>45702</v>
      </c>
      <c r="D792" s="11" t="s">
        <v>79</v>
      </c>
      <c r="E792" s="11" t="s">
        <v>25</v>
      </c>
      <c r="F792" s="11" t="s">
        <v>26</v>
      </c>
      <c r="G792" s="11" t="s">
        <v>37</v>
      </c>
      <c r="I792" s="12">
        <v>500.0</v>
      </c>
      <c r="J792" s="13"/>
      <c r="K792" s="13">
        <f t="shared" si="50"/>
        <v>500</v>
      </c>
      <c r="L792" s="11" t="s">
        <v>29</v>
      </c>
      <c r="M792" s="14"/>
      <c r="N792" s="11" t="s">
        <v>58</v>
      </c>
      <c r="O792" s="10" t="str">
        <f t="shared" si="48"/>
        <v>02/2025</v>
      </c>
      <c r="P792" s="10" t="str">
        <f t="shared" si="29"/>
        <v>02/2025</v>
      </c>
      <c r="Q792" s="15" t="str">
        <f t="array" ref="Q792">IFERROR(XLOOKUP(N792,'Classificação'!A:A,'Classificação'!B:B),"")</f>
        <v>DESPESAS ADMINISTRATIVAS</v>
      </c>
      <c r="R792" s="15" t="str">
        <f t="array" ref="R792">IFERROR(XLOOKUP(Q792,'Classificação'!B:B,'Classificação'!C:C),"")</f>
        <v>DESPESAS FIXAS (-)</v>
      </c>
      <c r="S792" s="15">
        <f t="shared" si="5"/>
        <v>14</v>
      </c>
      <c r="T792" s="15">
        <f t="shared" si="6"/>
        <v>2</v>
      </c>
      <c r="U792" s="15">
        <f t="shared" si="7"/>
        <v>2025</v>
      </c>
      <c r="V792" s="15">
        <f t="shared" si="8"/>
        <v>14</v>
      </c>
      <c r="W792" s="15">
        <f t="shared" si="9"/>
        <v>2</v>
      </c>
      <c r="X792" s="15">
        <f t="shared" si="10"/>
        <v>2025</v>
      </c>
    </row>
    <row r="793">
      <c r="A793" s="9">
        <v>45702.0</v>
      </c>
      <c r="B793" s="10"/>
      <c r="C793" s="9">
        <f t="shared" si="22"/>
        <v>45702</v>
      </c>
      <c r="D793" s="11" t="s">
        <v>80</v>
      </c>
      <c r="E793" s="11" t="s">
        <v>25</v>
      </c>
      <c r="F793" s="11" t="s">
        <v>32</v>
      </c>
      <c r="G793" s="11" t="s">
        <v>27</v>
      </c>
      <c r="I793" s="12">
        <v>780.0</v>
      </c>
      <c r="J793" s="13"/>
      <c r="K793" s="13">
        <f t="shared" si="50"/>
        <v>780</v>
      </c>
      <c r="L793" s="11" t="s">
        <v>29</v>
      </c>
      <c r="M793" s="14"/>
      <c r="N793" s="11" t="s">
        <v>75</v>
      </c>
      <c r="O793" s="10" t="str">
        <f t="shared" si="48"/>
        <v>02/2025</v>
      </c>
      <c r="P793" s="10" t="str">
        <f t="shared" si="29"/>
        <v>02/2025</v>
      </c>
      <c r="Q793" s="15" t="str">
        <f t="array" ref="Q793">IFERROR(XLOOKUP(N793,'Classificação'!A:A,'Classificação'!B:B),"")</f>
        <v>DESPESAS COM PESSOAL</v>
      </c>
      <c r="R793" s="15" t="str">
        <f t="array" ref="R793">IFERROR(XLOOKUP(Q793,'Classificação'!B:B,'Classificação'!C:C),"")</f>
        <v>DESPESAS FIXAS (-)</v>
      </c>
      <c r="S793" s="15">
        <f t="shared" si="5"/>
        <v>14</v>
      </c>
      <c r="T793" s="15">
        <f t="shared" si="6"/>
        <v>2</v>
      </c>
      <c r="U793" s="15">
        <f t="shared" si="7"/>
        <v>2025</v>
      </c>
      <c r="V793" s="15">
        <f t="shared" si="8"/>
        <v>14</v>
      </c>
      <c r="W793" s="15">
        <f t="shared" si="9"/>
        <v>2</v>
      </c>
      <c r="X793" s="15">
        <f t="shared" si="10"/>
        <v>2025</v>
      </c>
    </row>
    <row r="794">
      <c r="A794" s="9">
        <v>45702.0</v>
      </c>
      <c r="B794" s="10"/>
      <c r="C794" s="9">
        <f t="shared" si="22"/>
        <v>45702</v>
      </c>
      <c r="D794" s="11" t="s">
        <v>83</v>
      </c>
      <c r="E794" s="11" t="s">
        <v>25</v>
      </c>
      <c r="F794" s="11" t="s">
        <v>32</v>
      </c>
      <c r="G794" s="11" t="s">
        <v>27</v>
      </c>
      <c r="I794" s="12">
        <v>800.0</v>
      </c>
      <c r="J794" s="13"/>
      <c r="K794" s="13">
        <f t="shared" si="50"/>
        <v>800</v>
      </c>
      <c r="L794" s="11" t="s">
        <v>29</v>
      </c>
      <c r="M794" s="14"/>
      <c r="N794" s="11" t="s">
        <v>75</v>
      </c>
      <c r="O794" s="10" t="str">
        <f t="shared" si="48"/>
        <v>02/2025</v>
      </c>
      <c r="P794" s="10" t="str">
        <f t="shared" si="29"/>
        <v>02/2025</v>
      </c>
      <c r="Q794" s="15" t="str">
        <f t="array" ref="Q794">IFERROR(XLOOKUP(N794,'Classificação'!A:A,'Classificação'!B:B),"")</f>
        <v>DESPESAS COM PESSOAL</v>
      </c>
      <c r="R794" s="15" t="str">
        <f t="array" ref="R794">IFERROR(XLOOKUP(Q794,'Classificação'!B:B,'Classificação'!C:C),"")</f>
        <v>DESPESAS FIXAS (-)</v>
      </c>
      <c r="S794" s="15">
        <f t="shared" si="5"/>
        <v>14</v>
      </c>
      <c r="T794" s="15">
        <f t="shared" si="6"/>
        <v>2</v>
      </c>
      <c r="U794" s="15">
        <f t="shared" si="7"/>
        <v>2025</v>
      </c>
      <c r="V794" s="15">
        <f t="shared" si="8"/>
        <v>14</v>
      </c>
      <c r="W794" s="15">
        <f t="shared" si="9"/>
        <v>2</v>
      </c>
      <c r="X794" s="15">
        <f t="shared" si="10"/>
        <v>2025</v>
      </c>
    </row>
    <row r="795">
      <c r="A795" s="9">
        <v>45705.0</v>
      </c>
      <c r="B795" s="10"/>
      <c r="C795" s="9">
        <f t="shared" si="22"/>
        <v>45705</v>
      </c>
      <c r="D795" s="11" t="s">
        <v>473</v>
      </c>
      <c r="E795" s="11" t="s">
        <v>25</v>
      </c>
      <c r="F795" s="11" t="s">
        <v>26</v>
      </c>
      <c r="G795" s="11" t="s">
        <v>37</v>
      </c>
      <c r="H795" s="11" t="s">
        <v>546</v>
      </c>
      <c r="I795" s="12">
        <v>123.11</v>
      </c>
      <c r="J795" s="13"/>
      <c r="K795" s="13">
        <f t="shared" si="50"/>
        <v>123.11</v>
      </c>
      <c r="L795" s="11" t="s">
        <v>34</v>
      </c>
      <c r="M795" s="14"/>
      <c r="N795" s="11" t="s">
        <v>233</v>
      </c>
      <c r="O795" s="10" t="str">
        <f t="shared" si="48"/>
        <v>02/2025</v>
      </c>
      <c r="P795" s="10" t="str">
        <f t="shared" si="29"/>
        <v>02/2025</v>
      </c>
      <c r="Q795" s="15" t="str">
        <f t="array" ref="Q795">IFERROR(XLOOKUP(N795,'Classificação'!A:A,'Classificação'!B:B),"")</f>
        <v>DESPESAS COM VEICULOS</v>
      </c>
      <c r="R795" s="15" t="str">
        <f t="array" ref="R795">IFERROR(XLOOKUP(Q795,'Classificação'!B:B,'Classificação'!C:C),"")</f>
        <v>DESPESAS FIXAS (-)</v>
      </c>
      <c r="S795" s="15">
        <f t="shared" si="5"/>
        <v>17</v>
      </c>
      <c r="T795" s="15">
        <f t="shared" si="6"/>
        <v>2</v>
      </c>
      <c r="U795" s="15">
        <f t="shared" si="7"/>
        <v>2025</v>
      </c>
      <c r="V795" s="15">
        <f t="shared" si="8"/>
        <v>17</v>
      </c>
      <c r="W795" s="15">
        <f t="shared" si="9"/>
        <v>2</v>
      </c>
      <c r="X795" s="15">
        <f t="shared" si="10"/>
        <v>2025</v>
      </c>
    </row>
    <row r="796">
      <c r="A796" s="26">
        <v>45705.0</v>
      </c>
      <c r="B796" s="30"/>
      <c r="C796" s="9">
        <f t="shared" si="22"/>
        <v>45705</v>
      </c>
      <c r="D796" s="28" t="s">
        <v>36</v>
      </c>
      <c r="E796" s="29" t="s">
        <v>25</v>
      </c>
      <c r="F796" s="28" t="s">
        <v>32</v>
      </c>
      <c r="G796" s="28" t="s">
        <v>37</v>
      </c>
      <c r="H796" s="28"/>
      <c r="I796" s="24">
        <v>2250.0</v>
      </c>
      <c r="J796" s="34"/>
      <c r="K796" s="13">
        <f t="shared" si="50"/>
        <v>2250</v>
      </c>
      <c r="L796" s="28" t="s">
        <v>29</v>
      </c>
      <c r="M796" s="28"/>
      <c r="N796" s="28" t="s">
        <v>38</v>
      </c>
      <c r="O796" s="10" t="str">
        <f t="shared" si="48"/>
        <v>02/2025</v>
      </c>
      <c r="P796" s="10" t="str">
        <f t="shared" si="29"/>
        <v>02/2025</v>
      </c>
      <c r="Q796" s="15" t="str">
        <f t="array" ref="Q796">IFERROR(XLOOKUP(N796,'Classificação'!A:A,'Classificação'!B:B),"")</f>
        <v>DESPESAS COM PESSOAL</v>
      </c>
      <c r="R796" s="15" t="str">
        <f t="array" ref="R796">IFERROR(XLOOKUP(Q796,'Classificação'!B:B,'Classificação'!C:C),"")</f>
        <v>DESPESAS FIXAS (-)</v>
      </c>
      <c r="S796" s="15">
        <f t="shared" si="5"/>
        <v>17</v>
      </c>
      <c r="T796" s="15">
        <f t="shared" si="6"/>
        <v>2</v>
      </c>
      <c r="U796" s="15">
        <f t="shared" si="7"/>
        <v>2025</v>
      </c>
      <c r="V796" s="15">
        <f t="shared" si="8"/>
        <v>17</v>
      </c>
      <c r="W796" s="15">
        <f t="shared" si="9"/>
        <v>2</v>
      </c>
      <c r="X796" s="15">
        <f t="shared" si="10"/>
        <v>2025</v>
      </c>
    </row>
    <row r="797">
      <c r="A797" s="26">
        <v>45705.0</v>
      </c>
      <c r="B797" s="30"/>
      <c r="C797" s="9">
        <f t="shared" si="22"/>
        <v>45705</v>
      </c>
      <c r="D797" s="28" t="s">
        <v>43</v>
      </c>
      <c r="E797" s="29" t="s">
        <v>25</v>
      </c>
      <c r="F797" s="28" t="s">
        <v>32</v>
      </c>
      <c r="G797" s="28" t="s">
        <v>37</v>
      </c>
      <c r="H797" s="28"/>
      <c r="I797" s="24">
        <v>2250.0</v>
      </c>
      <c r="J797" s="34"/>
      <c r="K797" s="13">
        <f t="shared" si="50"/>
        <v>2250</v>
      </c>
      <c r="L797" s="28" t="s">
        <v>29</v>
      </c>
      <c r="M797" s="28"/>
      <c r="N797" s="28" t="s">
        <v>38</v>
      </c>
      <c r="O797" s="10" t="str">
        <f t="shared" si="48"/>
        <v>02/2025</v>
      </c>
      <c r="P797" s="10" t="str">
        <f t="shared" si="29"/>
        <v>02/2025</v>
      </c>
      <c r="Q797" s="15" t="str">
        <f t="array" ref="Q797">IFERROR(XLOOKUP(N797,'Classificação'!A:A,'Classificação'!B:B),"")</f>
        <v>DESPESAS COM PESSOAL</v>
      </c>
      <c r="R797" s="15" t="str">
        <f t="array" ref="R797">IFERROR(XLOOKUP(Q797,'Classificação'!B:B,'Classificação'!C:C),"")</f>
        <v>DESPESAS FIXAS (-)</v>
      </c>
      <c r="S797" s="15">
        <f t="shared" si="5"/>
        <v>17</v>
      </c>
      <c r="T797" s="15">
        <f t="shared" si="6"/>
        <v>2</v>
      </c>
      <c r="U797" s="15">
        <f t="shared" si="7"/>
        <v>2025</v>
      </c>
      <c r="V797" s="15">
        <f t="shared" si="8"/>
        <v>17</v>
      </c>
      <c r="W797" s="15">
        <f t="shared" si="9"/>
        <v>2</v>
      </c>
      <c r="X797" s="15">
        <f t="shared" si="10"/>
        <v>2025</v>
      </c>
    </row>
    <row r="798">
      <c r="A798" s="9">
        <v>45706.0</v>
      </c>
      <c r="B798" s="10"/>
      <c r="C798" s="9">
        <f t="shared" si="22"/>
        <v>45706</v>
      </c>
      <c r="D798" s="11" t="s">
        <v>90</v>
      </c>
      <c r="E798" s="11" t="s">
        <v>25</v>
      </c>
      <c r="F798" s="11" t="s">
        <v>40</v>
      </c>
      <c r="G798" s="11" t="s">
        <v>37</v>
      </c>
      <c r="H798" s="11" t="s">
        <v>547</v>
      </c>
      <c r="I798" s="12">
        <v>560.85</v>
      </c>
      <c r="J798" s="13"/>
      <c r="K798" s="13">
        <f t="shared" si="50"/>
        <v>560.85</v>
      </c>
      <c r="L798" s="11" t="s">
        <v>29</v>
      </c>
      <c r="M798" s="14"/>
      <c r="N798" s="11" t="s">
        <v>92</v>
      </c>
      <c r="O798" s="10" t="str">
        <f t="shared" si="48"/>
        <v>02/2025</v>
      </c>
      <c r="P798" s="10" t="str">
        <f t="shared" si="29"/>
        <v>02/2025</v>
      </c>
      <c r="Q798" s="15" t="str">
        <f t="array" ref="Q798">IFERROR(XLOOKUP(N798,'Classificação'!A:A,'Classificação'!B:B),"")</f>
        <v>DESPESAS COM OCUPAÇÃO</v>
      </c>
      <c r="R798" s="15" t="str">
        <f t="array" ref="R798">IFERROR(XLOOKUP(Q798,'Classificação'!B:B,'Classificação'!C:C),"")</f>
        <v>DESPESAS FIXAS (-)</v>
      </c>
      <c r="S798" s="15">
        <f t="shared" si="5"/>
        <v>18</v>
      </c>
      <c r="T798" s="15">
        <f t="shared" si="6"/>
        <v>2</v>
      </c>
      <c r="U798" s="15">
        <f t="shared" si="7"/>
        <v>2025</v>
      </c>
      <c r="V798" s="15">
        <f t="shared" si="8"/>
        <v>18</v>
      </c>
      <c r="W798" s="15">
        <f t="shared" si="9"/>
        <v>2</v>
      </c>
      <c r="X798" s="15">
        <f t="shared" si="10"/>
        <v>2025</v>
      </c>
    </row>
    <row r="799">
      <c r="A799" s="9">
        <v>45706.0</v>
      </c>
      <c r="B799" s="10"/>
      <c r="C799" s="9">
        <f t="shared" si="22"/>
        <v>45706</v>
      </c>
      <c r="D799" s="11" t="s">
        <v>44</v>
      </c>
      <c r="E799" s="11" t="s">
        <v>25</v>
      </c>
      <c r="F799" s="11" t="s">
        <v>45</v>
      </c>
      <c r="G799" s="11" t="s">
        <v>27</v>
      </c>
      <c r="H799" s="11" t="s">
        <v>98</v>
      </c>
      <c r="I799" s="12">
        <v>3362.03</v>
      </c>
      <c r="J799" s="13"/>
      <c r="K799" s="13">
        <f t="shared" si="50"/>
        <v>3362.03</v>
      </c>
      <c r="L799" s="11" t="s">
        <v>53</v>
      </c>
      <c r="M799" s="16" t="s">
        <v>548</v>
      </c>
      <c r="N799" s="11" t="s">
        <v>73</v>
      </c>
      <c r="O799" s="10" t="str">
        <f t="shared" si="48"/>
        <v>02/2025</v>
      </c>
      <c r="P799" s="10" t="str">
        <f t="shared" si="29"/>
        <v>02/2025</v>
      </c>
      <c r="Q799" s="15" t="str">
        <f t="array" ref="Q799">IFERROR(XLOOKUP(N799,'Classificação'!A:A,'Classificação'!B:B),"")</f>
        <v>DESPESAS NÃO OPERACIONAIS</v>
      </c>
      <c r="R799" s="15" t="str">
        <f t="array" ref="R799">IFERROR(XLOOKUP(Q799,'Classificação'!B:B,'Classificação'!C:C),"")</f>
        <v>RESULTADO NÃO OPERACIONAL (+/-)</v>
      </c>
      <c r="S799" s="15">
        <f t="shared" si="5"/>
        <v>18</v>
      </c>
      <c r="T799" s="15">
        <f t="shared" si="6"/>
        <v>2</v>
      </c>
      <c r="U799" s="15">
        <f t="shared" si="7"/>
        <v>2025</v>
      </c>
      <c r="V799" s="15">
        <f t="shared" si="8"/>
        <v>18</v>
      </c>
      <c r="W799" s="15">
        <f t="shared" si="9"/>
        <v>2</v>
      </c>
      <c r="X799" s="15">
        <f t="shared" si="10"/>
        <v>2025</v>
      </c>
    </row>
    <row r="800">
      <c r="A800" s="9">
        <v>45706.0</v>
      </c>
      <c r="B800" s="10"/>
      <c r="C800" s="9">
        <f t="shared" si="22"/>
        <v>45706</v>
      </c>
      <c r="D800" s="11" t="s">
        <v>65</v>
      </c>
      <c r="E800" s="11" t="s">
        <v>25</v>
      </c>
      <c r="F800" s="11" t="s">
        <v>45</v>
      </c>
      <c r="G800" s="11" t="s">
        <v>37</v>
      </c>
      <c r="H800" s="11" t="s">
        <v>103</v>
      </c>
      <c r="I800" s="12">
        <v>519.8</v>
      </c>
      <c r="J800" s="13"/>
      <c r="K800" s="13">
        <f t="shared" si="50"/>
        <v>519.8</v>
      </c>
      <c r="L800" s="11" t="s">
        <v>29</v>
      </c>
      <c r="M800" s="14"/>
      <c r="N800" s="11" t="s">
        <v>68</v>
      </c>
      <c r="O800" s="10" t="str">
        <f t="shared" si="48"/>
        <v>02/2025</v>
      </c>
      <c r="P800" s="10" t="str">
        <f t="shared" si="29"/>
        <v>02/2025</v>
      </c>
      <c r="Q800" s="15" t="str">
        <f t="array" ref="Q800">IFERROR(XLOOKUP(N800,'Classificação'!A:A,'Classificação'!B:B),"")</f>
        <v>FRETE DE VENDAS</v>
      </c>
      <c r="R800" s="15" t="str">
        <f t="array" ref="R800">IFERROR(XLOOKUP(Q800,'Classificação'!B:B,'Classificação'!C:C),"")</f>
        <v>CUSTOS VARIÁVEIS</v>
      </c>
      <c r="S800" s="15">
        <f t="shared" si="5"/>
        <v>18</v>
      </c>
      <c r="T800" s="15">
        <f t="shared" si="6"/>
        <v>2</v>
      </c>
      <c r="U800" s="15">
        <f t="shared" si="7"/>
        <v>2025</v>
      </c>
      <c r="V800" s="15">
        <f t="shared" si="8"/>
        <v>18</v>
      </c>
      <c r="W800" s="15">
        <f t="shared" si="9"/>
        <v>2</v>
      </c>
      <c r="X800" s="15">
        <f t="shared" si="10"/>
        <v>2025</v>
      </c>
    </row>
    <row r="801">
      <c r="A801" s="9">
        <v>45708.0</v>
      </c>
      <c r="B801" s="36">
        <v>45647.0</v>
      </c>
      <c r="C801" s="9">
        <f t="shared" si="22"/>
        <v>45708</v>
      </c>
      <c r="D801" s="28" t="s">
        <v>65</v>
      </c>
      <c r="E801" s="29" t="s">
        <v>25</v>
      </c>
      <c r="F801" s="28" t="s">
        <v>107</v>
      </c>
      <c r="G801" s="28" t="s">
        <v>27</v>
      </c>
      <c r="H801" s="28" t="s">
        <v>507</v>
      </c>
      <c r="I801" s="33">
        <v>36.0</v>
      </c>
      <c r="J801" s="34"/>
      <c r="K801" s="13">
        <f t="shared" si="50"/>
        <v>36</v>
      </c>
      <c r="L801" s="28" t="s">
        <v>53</v>
      </c>
      <c r="M801" s="35">
        <v>45749.0</v>
      </c>
      <c r="N801" s="28" t="s">
        <v>143</v>
      </c>
      <c r="O801" s="10" t="str">
        <f t="shared" si="48"/>
        <v>02/2025</v>
      </c>
      <c r="P801" s="10" t="str">
        <f t="shared" si="29"/>
        <v>02/2025</v>
      </c>
      <c r="Q801" s="15" t="str">
        <f t="array" ref="Q801">IFERROR(XLOOKUP(N801,'Classificação'!A:A,'Classificação'!B:B),"")</f>
        <v>EMBALAGENS/FITAS/GERAL</v>
      </c>
      <c r="R801" s="15" t="str">
        <f t="array" ref="R801">IFERROR(XLOOKUP(Q801,'Classificação'!B:B,'Classificação'!C:C),"")</f>
        <v>CUSTOS VARIÁVEIS</v>
      </c>
      <c r="S801" s="15">
        <f t="shared" si="5"/>
        <v>20</v>
      </c>
      <c r="T801" s="15">
        <f t="shared" si="6"/>
        <v>2</v>
      </c>
      <c r="U801" s="15">
        <f t="shared" si="7"/>
        <v>2025</v>
      </c>
      <c r="V801" s="15">
        <f t="shared" si="8"/>
        <v>20</v>
      </c>
      <c r="W801" s="15">
        <f t="shared" si="9"/>
        <v>2</v>
      </c>
      <c r="X801" s="15">
        <f t="shared" si="10"/>
        <v>2025</v>
      </c>
    </row>
    <row r="802">
      <c r="A802" s="9">
        <v>45708.0</v>
      </c>
      <c r="B802" s="9">
        <v>45670.0</v>
      </c>
      <c r="C802" s="9">
        <f t="shared" si="22"/>
        <v>45708</v>
      </c>
      <c r="D802" s="11" t="s">
        <v>65</v>
      </c>
      <c r="E802" s="29" t="s">
        <v>25</v>
      </c>
      <c r="F802" s="11" t="s">
        <v>107</v>
      </c>
      <c r="G802" s="11" t="s">
        <v>27</v>
      </c>
      <c r="H802" s="11" t="s">
        <v>549</v>
      </c>
      <c r="I802" s="31">
        <v>180.0</v>
      </c>
      <c r="J802" s="13"/>
      <c r="K802" s="13">
        <f t="shared" si="50"/>
        <v>180</v>
      </c>
      <c r="L802" s="11" t="s">
        <v>34</v>
      </c>
      <c r="M802" s="14"/>
      <c r="N802" s="11" t="s">
        <v>143</v>
      </c>
      <c r="O802" s="10" t="str">
        <f t="shared" si="48"/>
        <v>02/2025</v>
      </c>
      <c r="P802" s="10" t="str">
        <f t="shared" si="29"/>
        <v>02/2025</v>
      </c>
      <c r="Q802" s="15" t="str">
        <f t="array" ref="Q802">IFERROR(XLOOKUP(N802,'Classificação'!A:A,'Classificação'!B:B),"")</f>
        <v>EMBALAGENS/FITAS/GERAL</v>
      </c>
      <c r="R802" s="15" t="str">
        <f t="array" ref="R802">IFERROR(XLOOKUP(Q802,'Classificação'!B:B,'Classificação'!C:C),"")</f>
        <v>CUSTOS VARIÁVEIS</v>
      </c>
      <c r="S802" s="15">
        <f t="shared" si="5"/>
        <v>20</v>
      </c>
      <c r="T802" s="15">
        <f t="shared" si="6"/>
        <v>2</v>
      </c>
      <c r="U802" s="15">
        <f t="shared" si="7"/>
        <v>2025</v>
      </c>
      <c r="V802" s="15">
        <f t="shared" si="8"/>
        <v>20</v>
      </c>
      <c r="W802" s="15">
        <f t="shared" si="9"/>
        <v>2</v>
      </c>
      <c r="X802" s="15">
        <f t="shared" si="10"/>
        <v>2025</v>
      </c>
    </row>
    <row r="803">
      <c r="A803" s="9">
        <v>45708.0</v>
      </c>
      <c r="B803" s="10"/>
      <c r="C803" s="9">
        <f t="shared" si="22"/>
        <v>45708</v>
      </c>
      <c r="D803" s="11" t="s">
        <v>104</v>
      </c>
      <c r="E803" s="11" t="s">
        <v>25</v>
      </c>
      <c r="F803" s="11" t="s">
        <v>40</v>
      </c>
      <c r="G803" s="11" t="s">
        <v>37</v>
      </c>
      <c r="H803" s="11" t="s">
        <v>550</v>
      </c>
      <c r="I803" s="12">
        <v>425.0</v>
      </c>
      <c r="J803" s="13"/>
      <c r="K803" s="13">
        <f t="shared" si="50"/>
        <v>425</v>
      </c>
      <c r="L803" s="11" t="s">
        <v>29</v>
      </c>
      <c r="M803" s="14"/>
      <c r="N803" s="11" t="s">
        <v>105</v>
      </c>
      <c r="O803" s="10" t="str">
        <f t="shared" si="48"/>
        <v>02/2025</v>
      </c>
      <c r="P803" s="10" t="str">
        <f t="shared" si="29"/>
        <v>02/2025</v>
      </c>
      <c r="Q803" s="15" t="str">
        <f t="array" ref="Q803">IFERROR(XLOOKUP(N803,'Classificação'!A:A,'Classificação'!B:B),"")</f>
        <v>DESPESAS ADMINISTRATIVAS</v>
      </c>
      <c r="R803" s="15" t="str">
        <f t="array" ref="R803">IFERROR(XLOOKUP(Q803,'Classificação'!B:B,'Classificação'!C:C),"")</f>
        <v>DESPESAS FIXAS (-)</v>
      </c>
      <c r="S803" s="15">
        <f t="shared" si="5"/>
        <v>20</v>
      </c>
      <c r="T803" s="15">
        <f t="shared" si="6"/>
        <v>2</v>
      </c>
      <c r="U803" s="15">
        <f t="shared" si="7"/>
        <v>2025</v>
      </c>
      <c r="V803" s="15">
        <f t="shared" si="8"/>
        <v>20</v>
      </c>
      <c r="W803" s="15">
        <f t="shared" si="9"/>
        <v>2</v>
      </c>
      <c r="X803" s="15">
        <f t="shared" si="10"/>
        <v>2025</v>
      </c>
    </row>
    <row r="804">
      <c r="A804" s="9">
        <v>45708.0</v>
      </c>
      <c r="B804" s="10"/>
      <c r="C804" s="9">
        <f t="shared" si="22"/>
        <v>45708</v>
      </c>
      <c r="D804" s="11" t="s">
        <v>109</v>
      </c>
      <c r="E804" s="29" t="s">
        <v>25</v>
      </c>
      <c r="F804" s="11" t="s">
        <v>110</v>
      </c>
      <c r="G804" s="11" t="s">
        <v>27</v>
      </c>
      <c r="H804" s="11" t="s">
        <v>111</v>
      </c>
      <c r="I804" s="12">
        <v>24.15</v>
      </c>
      <c r="J804" s="13"/>
      <c r="K804" s="13">
        <f t="shared" si="50"/>
        <v>24.15</v>
      </c>
      <c r="L804" s="11" t="s">
        <v>29</v>
      </c>
      <c r="M804" s="14"/>
      <c r="N804" s="11" t="s">
        <v>105</v>
      </c>
      <c r="O804" s="10" t="str">
        <f t="shared" si="48"/>
        <v>02/2025</v>
      </c>
      <c r="P804" s="10" t="str">
        <f t="shared" si="29"/>
        <v>02/2025</v>
      </c>
      <c r="Q804" s="15" t="str">
        <f t="array" ref="Q804">IFERROR(XLOOKUP(N804,'Classificação'!A:A,'Classificação'!B:B),"")</f>
        <v>DESPESAS ADMINISTRATIVAS</v>
      </c>
      <c r="R804" s="15" t="str">
        <f t="array" ref="R804">IFERROR(XLOOKUP(Q804,'Classificação'!B:B,'Classificação'!C:C),"")</f>
        <v>DESPESAS FIXAS (-)</v>
      </c>
      <c r="S804" s="15">
        <f t="shared" si="5"/>
        <v>20</v>
      </c>
      <c r="T804" s="15">
        <f t="shared" si="6"/>
        <v>2</v>
      </c>
      <c r="U804" s="15">
        <f t="shared" si="7"/>
        <v>2025</v>
      </c>
      <c r="V804" s="15">
        <f t="shared" si="8"/>
        <v>20</v>
      </c>
      <c r="W804" s="15">
        <f t="shared" si="9"/>
        <v>2</v>
      </c>
      <c r="X804" s="15">
        <f t="shared" si="10"/>
        <v>2025</v>
      </c>
    </row>
    <row r="805">
      <c r="A805" s="9">
        <v>45708.0</v>
      </c>
      <c r="B805" s="10"/>
      <c r="C805" s="9">
        <f t="shared" si="22"/>
        <v>45708</v>
      </c>
      <c r="D805" s="11" t="s">
        <v>100</v>
      </c>
      <c r="E805" s="11" t="s">
        <v>25</v>
      </c>
      <c r="F805" s="11" t="s">
        <v>40</v>
      </c>
      <c r="G805" s="11" t="s">
        <v>27</v>
      </c>
      <c r="H805" s="11" t="s">
        <v>551</v>
      </c>
      <c r="I805" s="12">
        <v>17245.86</v>
      </c>
      <c r="J805" s="13"/>
      <c r="K805" s="13">
        <f t="shared" si="50"/>
        <v>17245.86</v>
      </c>
      <c r="L805" s="11" t="s">
        <v>29</v>
      </c>
      <c r="M805" s="14"/>
      <c r="N805" s="11" t="s">
        <v>101</v>
      </c>
      <c r="O805" s="10" t="str">
        <f t="shared" si="48"/>
        <v>02/2025</v>
      </c>
      <c r="P805" s="10" t="str">
        <f t="shared" si="29"/>
        <v>02/2025</v>
      </c>
      <c r="Q805" s="15" t="str">
        <f t="array" ref="Q805">IFERROR(XLOOKUP(N805,'Classificação'!A:A,'Classificação'!B:B),"")</f>
        <v>IMPOSTO DE RENDA - DAS</v>
      </c>
      <c r="R805" s="15" t="str">
        <f t="array" ref="R805">IFERROR(XLOOKUP(Q805,'Classificação'!B:B,'Classificação'!C:C),"")</f>
        <v>DEDUÇÕES DA RECEITA BRUTA (-)</v>
      </c>
      <c r="S805" s="15">
        <f t="shared" si="5"/>
        <v>20</v>
      </c>
      <c r="T805" s="15">
        <f t="shared" si="6"/>
        <v>2</v>
      </c>
      <c r="U805" s="15">
        <f t="shared" si="7"/>
        <v>2025</v>
      </c>
      <c r="V805" s="15">
        <f t="shared" si="8"/>
        <v>20</v>
      </c>
      <c r="W805" s="15">
        <f t="shared" si="9"/>
        <v>2</v>
      </c>
      <c r="X805" s="15">
        <f t="shared" si="10"/>
        <v>2025</v>
      </c>
    </row>
    <row r="806">
      <c r="A806" s="9">
        <v>45708.0</v>
      </c>
      <c r="B806" s="10"/>
      <c r="C806" s="9">
        <f t="shared" si="22"/>
        <v>45708</v>
      </c>
      <c r="D806" s="11" t="s">
        <v>100</v>
      </c>
      <c r="E806" s="11" t="s">
        <v>25</v>
      </c>
      <c r="F806" s="11" t="s">
        <v>40</v>
      </c>
      <c r="G806" s="11" t="s">
        <v>37</v>
      </c>
      <c r="H806" s="11" t="s">
        <v>243</v>
      </c>
      <c r="I806" s="12">
        <v>2175.98</v>
      </c>
      <c r="J806" s="13"/>
      <c r="K806" s="13">
        <f t="shared" si="50"/>
        <v>2175.98</v>
      </c>
      <c r="L806" s="11" t="s">
        <v>29</v>
      </c>
      <c r="M806" s="14"/>
      <c r="N806" s="11" t="s">
        <v>101</v>
      </c>
      <c r="O806" s="10" t="str">
        <f t="shared" si="48"/>
        <v>02/2025</v>
      </c>
      <c r="P806" s="10" t="str">
        <f t="shared" si="29"/>
        <v>02/2025</v>
      </c>
      <c r="Q806" s="15" t="str">
        <f t="array" ref="Q806">IFERROR(XLOOKUP(N806,'Classificação'!A:A,'Classificação'!B:B),"")</f>
        <v>IMPOSTO DE RENDA - DAS</v>
      </c>
      <c r="R806" s="15" t="str">
        <f t="array" ref="R806">IFERROR(XLOOKUP(Q806,'Classificação'!B:B,'Classificação'!C:C),"")</f>
        <v>DEDUÇÕES DA RECEITA BRUTA (-)</v>
      </c>
      <c r="S806" s="15">
        <f t="shared" si="5"/>
        <v>20</v>
      </c>
      <c r="T806" s="15">
        <f t="shared" si="6"/>
        <v>2</v>
      </c>
      <c r="U806" s="15">
        <f t="shared" si="7"/>
        <v>2025</v>
      </c>
      <c r="V806" s="15">
        <f t="shared" si="8"/>
        <v>20</v>
      </c>
      <c r="W806" s="15">
        <f t="shared" si="9"/>
        <v>2</v>
      </c>
      <c r="X806" s="15">
        <f t="shared" si="10"/>
        <v>2025</v>
      </c>
    </row>
    <row r="807">
      <c r="A807" s="9">
        <v>45708.0</v>
      </c>
      <c r="B807" s="10"/>
      <c r="C807" s="9">
        <f t="shared" si="22"/>
        <v>45708</v>
      </c>
      <c r="D807" s="11" t="s">
        <v>121</v>
      </c>
      <c r="E807" s="29" t="s">
        <v>25</v>
      </c>
      <c r="F807" s="11" t="s">
        <v>110</v>
      </c>
      <c r="G807" s="11" t="s">
        <v>27</v>
      </c>
      <c r="H807" s="11" t="s">
        <v>122</v>
      </c>
      <c r="I807" s="12">
        <v>29.9</v>
      </c>
      <c r="J807" s="13"/>
      <c r="K807" s="13">
        <f t="shared" si="50"/>
        <v>29.9</v>
      </c>
      <c r="L807" s="11" t="s">
        <v>29</v>
      </c>
      <c r="M807" s="14"/>
      <c r="N807" s="11" t="s">
        <v>105</v>
      </c>
      <c r="O807" s="10" t="str">
        <f t="shared" si="48"/>
        <v>02/2025</v>
      </c>
      <c r="P807" s="10" t="str">
        <f t="shared" si="29"/>
        <v>02/2025</v>
      </c>
      <c r="Q807" s="15" t="str">
        <f t="array" ref="Q807">IFERROR(XLOOKUP(N807,'Classificação'!A:A,'Classificação'!B:B),"")</f>
        <v>DESPESAS ADMINISTRATIVAS</v>
      </c>
      <c r="R807" s="15" t="str">
        <f t="array" ref="R807">IFERROR(XLOOKUP(Q807,'Classificação'!B:B,'Classificação'!C:C),"")</f>
        <v>DESPESAS FIXAS (-)</v>
      </c>
      <c r="S807" s="15">
        <f t="shared" si="5"/>
        <v>20</v>
      </c>
      <c r="T807" s="15">
        <f t="shared" si="6"/>
        <v>2</v>
      </c>
      <c r="U807" s="15">
        <f t="shared" si="7"/>
        <v>2025</v>
      </c>
      <c r="V807" s="15">
        <f t="shared" si="8"/>
        <v>20</v>
      </c>
      <c r="W807" s="15">
        <f t="shared" si="9"/>
        <v>2</v>
      </c>
      <c r="X807" s="15">
        <f t="shared" si="10"/>
        <v>2025</v>
      </c>
    </row>
    <row r="808">
      <c r="A808" s="9">
        <v>45708.0</v>
      </c>
      <c r="B808" s="10"/>
      <c r="C808" s="9">
        <f t="shared" si="22"/>
        <v>45708</v>
      </c>
      <c r="D808" s="11" t="s">
        <v>123</v>
      </c>
      <c r="E808" s="11" t="s">
        <v>25</v>
      </c>
      <c r="F808" s="11" t="s">
        <v>26</v>
      </c>
      <c r="G808" s="11" t="s">
        <v>27</v>
      </c>
      <c r="I808" s="12">
        <v>456.8</v>
      </c>
      <c r="J808" s="13"/>
      <c r="K808" s="13">
        <f t="shared" si="50"/>
        <v>456.8</v>
      </c>
      <c r="L808" s="11" t="s">
        <v>29</v>
      </c>
      <c r="M808" s="14"/>
      <c r="N808" s="11" t="s">
        <v>123</v>
      </c>
      <c r="O808" s="10" t="str">
        <f t="shared" si="48"/>
        <v>02/2025</v>
      </c>
      <c r="P808" s="10" t="str">
        <f t="shared" si="29"/>
        <v>02/2025</v>
      </c>
      <c r="Q808" s="15" t="str">
        <f t="array" ref="Q808">IFERROR(XLOOKUP(N808,'Classificação'!A:A,'Classificação'!B:B),"")</f>
        <v>DESPESAS COM PESSOAL</v>
      </c>
      <c r="R808" s="15" t="str">
        <f t="array" ref="R808">IFERROR(XLOOKUP(Q808,'Classificação'!B:B,'Classificação'!C:C),"")</f>
        <v>DESPESAS FIXAS (-)</v>
      </c>
      <c r="S808" s="15">
        <f t="shared" si="5"/>
        <v>20</v>
      </c>
      <c r="T808" s="15">
        <f t="shared" si="6"/>
        <v>2</v>
      </c>
      <c r="U808" s="15">
        <f t="shared" si="7"/>
        <v>2025</v>
      </c>
      <c r="V808" s="15">
        <f t="shared" si="8"/>
        <v>20</v>
      </c>
      <c r="W808" s="15">
        <f t="shared" si="9"/>
        <v>2</v>
      </c>
      <c r="X808" s="15">
        <f t="shared" si="10"/>
        <v>2025</v>
      </c>
    </row>
    <row r="809">
      <c r="A809" s="9">
        <v>45708.0</v>
      </c>
      <c r="B809" s="10"/>
      <c r="C809" s="9">
        <f t="shared" si="22"/>
        <v>45708</v>
      </c>
      <c r="D809" s="11" t="s">
        <v>126</v>
      </c>
      <c r="E809" s="11" t="s">
        <v>25</v>
      </c>
      <c r="F809" s="11" t="s">
        <v>40</v>
      </c>
      <c r="G809" s="11" t="s">
        <v>27</v>
      </c>
      <c r="I809" s="12">
        <v>590.47</v>
      </c>
      <c r="J809" s="13"/>
      <c r="K809" s="13">
        <f t="shared" si="50"/>
        <v>590.47</v>
      </c>
      <c r="L809" s="11" t="s">
        <v>29</v>
      </c>
      <c r="M809" s="14"/>
      <c r="N809" s="11" t="s">
        <v>126</v>
      </c>
      <c r="O809" s="10" t="str">
        <f t="shared" si="48"/>
        <v>02/2025</v>
      </c>
      <c r="P809" s="10" t="str">
        <f t="shared" si="29"/>
        <v>02/2025</v>
      </c>
      <c r="Q809" s="15" t="str">
        <f t="array" ref="Q809">IFERROR(XLOOKUP(N809,'Classificação'!A:A,'Classificação'!B:B),"")</f>
        <v>DESPESAS COM PESSOAL</v>
      </c>
      <c r="R809" s="15" t="str">
        <f t="array" ref="R809">IFERROR(XLOOKUP(Q809,'Classificação'!B:B,'Classificação'!C:C),"")</f>
        <v>DESPESAS FIXAS (-)</v>
      </c>
      <c r="S809" s="15">
        <f t="shared" si="5"/>
        <v>20</v>
      </c>
      <c r="T809" s="15">
        <f t="shared" si="6"/>
        <v>2</v>
      </c>
      <c r="U809" s="15">
        <f t="shared" si="7"/>
        <v>2025</v>
      </c>
      <c r="V809" s="15">
        <f t="shared" si="8"/>
        <v>20</v>
      </c>
      <c r="W809" s="15">
        <f t="shared" si="9"/>
        <v>2</v>
      </c>
      <c r="X809" s="15">
        <f t="shared" si="10"/>
        <v>2025</v>
      </c>
    </row>
    <row r="810">
      <c r="A810" s="9">
        <v>45708.0</v>
      </c>
      <c r="B810" s="9">
        <v>45671.0</v>
      </c>
      <c r="C810" s="9">
        <f t="shared" si="22"/>
        <v>45708</v>
      </c>
      <c r="D810" s="11" t="s">
        <v>65</v>
      </c>
      <c r="E810" s="29" t="s">
        <v>25</v>
      </c>
      <c r="F810" s="11" t="s">
        <v>107</v>
      </c>
      <c r="G810" s="11" t="s">
        <v>27</v>
      </c>
      <c r="H810" s="11" t="s">
        <v>552</v>
      </c>
      <c r="I810" s="31">
        <v>157.74</v>
      </c>
      <c r="J810" s="13"/>
      <c r="K810" s="13">
        <f t="shared" si="50"/>
        <v>157.74</v>
      </c>
      <c r="L810" s="11" t="s">
        <v>34</v>
      </c>
      <c r="M810" s="14"/>
      <c r="N810" s="11" t="s">
        <v>143</v>
      </c>
      <c r="O810" s="10" t="str">
        <f t="shared" si="48"/>
        <v>02/2025</v>
      </c>
      <c r="P810" s="10" t="str">
        <f t="shared" si="29"/>
        <v>02/2025</v>
      </c>
      <c r="Q810" s="15" t="str">
        <f t="array" ref="Q810">IFERROR(XLOOKUP(N810,'Classificação'!A:A,'Classificação'!B:B),"")</f>
        <v>EMBALAGENS/FITAS/GERAL</v>
      </c>
      <c r="R810" s="15" t="str">
        <f t="array" ref="R810">IFERROR(XLOOKUP(Q810,'Classificação'!B:B,'Classificação'!C:C),"")</f>
        <v>CUSTOS VARIÁVEIS</v>
      </c>
      <c r="S810" s="15">
        <f t="shared" si="5"/>
        <v>20</v>
      </c>
      <c r="T810" s="15">
        <f t="shared" si="6"/>
        <v>2</v>
      </c>
      <c r="U810" s="15">
        <f t="shared" si="7"/>
        <v>2025</v>
      </c>
      <c r="V810" s="15">
        <f t="shared" si="8"/>
        <v>20</v>
      </c>
      <c r="W810" s="15">
        <f t="shared" si="9"/>
        <v>2</v>
      </c>
      <c r="X810" s="15">
        <f t="shared" si="10"/>
        <v>2025</v>
      </c>
    </row>
    <row r="811">
      <c r="A811" s="9">
        <v>45708.0</v>
      </c>
      <c r="B811" s="32">
        <v>45638.0</v>
      </c>
      <c r="C811" s="9">
        <f t="shared" si="22"/>
        <v>45708</v>
      </c>
      <c r="D811" s="11" t="s">
        <v>488</v>
      </c>
      <c r="E811" s="29" t="s">
        <v>25</v>
      </c>
      <c r="F811" s="11" t="s">
        <v>107</v>
      </c>
      <c r="G811" s="11" t="s">
        <v>27</v>
      </c>
      <c r="H811" s="11" t="s">
        <v>489</v>
      </c>
      <c r="I811" s="31">
        <v>492.92</v>
      </c>
      <c r="J811" s="13"/>
      <c r="K811" s="13">
        <f t="shared" si="50"/>
        <v>492.92</v>
      </c>
      <c r="L811" s="11" t="s">
        <v>53</v>
      </c>
      <c r="M811" s="17">
        <v>45324.0</v>
      </c>
      <c r="N811" s="11" t="s">
        <v>64</v>
      </c>
      <c r="O811" s="10" t="str">
        <f t="shared" si="48"/>
        <v>02/2025</v>
      </c>
      <c r="P811" s="10" t="str">
        <f t="shared" si="29"/>
        <v>02/2025</v>
      </c>
      <c r="Q811" s="15" t="str">
        <f t="array" ref="Q811">IFERROR(XLOOKUP(N811,'Classificação'!A:A,'Classificação'!B:B),"")</f>
        <v>DESPESAS COM PESSOAL</v>
      </c>
      <c r="R811" s="15" t="str">
        <f t="array" ref="R811">IFERROR(XLOOKUP(Q811,'Classificação'!B:B,'Classificação'!C:C),"")</f>
        <v>DESPESAS FIXAS (-)</v>
      </c>
      <c r="S811" s="15">
        <f t="shared" si="5"/>
        <v>20</v>
      </c>
      <c r="T811" s="15">
        <f t="shared" si="6"/>
        <v>2</v>
      </c>
      <c r="U811" s="15">
        <f t="shared" si="7"/>
        <v>2025</v>
      </c>
      <c r="V811" s="15">
        <f t="shared" si="8"/>
        <v>20</v>
      </c>
      <c r="W811" s="15">
        <f t="shared" si="9"/>
        <v>2</v>
      </c>
      <c r="X811" s="15">
        <f t="shared" si="10"/>
        <v>2025</v>
      </c>
    </row>
    <row r="812">
      <c r="A812" s="9">
        <v>45708.0</v>
      </c>
      <c r="B812" s="9">
        <v>45667.0</v>
      </c>
      <c r="C812" s="9">
        <f t="shared" si="22"/>
        <v>45708</v>
      </c>
      <c r="D812" s="11" t="s">
        <v>65</v>
      </c>
      <c r="E812" s="29" t="s">
        <v>25</v>
      </c>
      <c r="F812" s="11" t="s">
        <v>107</v>
      </c>
      <c r="G812" s="11" t="s">
        <v>27</v>
      </c>
      <c r="H812" s="11" t="s">
        <v>553</v>
      </c>
      <c r="I812" s="31">
        <v>960.63</v>
      </c>
      <c r="J812" s="13"/>
      <c r="K812" s="13">
        <f t="shared" si="50"/>
        <v>960.63</v>
      </c>
      <c r="L812" s="11" t="s">
        <v>34</v>
      </c>
      <c r="M812" s="14"/>
      <c r="N812" s="11" t="s">
        <v>143</v>
      </c>
      <c r="O812" s="10" t="str">
        <f t="shared" si="48"/>
        <v>02/2025</v>
      </c>
      <c r="P812" s="10" t="str">
        <f t="shared" si="29"/>
        <v>02/2025</v>
      </c>
      <c r="Q812" s="15" t="str">
        <f t="array" ref="Q812">IFERROR(XLOOKUP(N812,'Classificação'!A:A,'Classificação'!B:B),"")</f>
        <v>EMBALAGENS/FITAS/GERAL</v>
      </c>
      <c r="R812" s="15" t="str">
        <f t="array" ref="R812">IFERROR(XLOOKUP(Q812,'Classificação'!B:B,'Classificação'!C:C),"")</f>
        <v>CUSTOS VARIÁVEIS</v>
      </c>
      <c r="S812" s="15">
        <f t="shared" si="5"/>
        <v>20</v>
      </c>
      <c r="T812" s="15">
        <f t="shared" si="6"/>
        <v>2</v>
      </c>
      <c r="U812" s="15">
        <f t="shared" si="7"/>
        <v>2025</v>
      </c>
      <c r="V812" s="15">
        <f t="shared" si="8"/>
        <v>20</v>
      </c>
      <c r="W812" s="15">
        <f t="shared" si="9"/>
        <v>2</v>
      </c>
      <c r="X812" s="15">
        <f t="shared" si="10"/>
        <v>2025</v>
      </c>
    </row>
    <row r="813">
      <c r="A813" s="9">
        <v>45708.0</v>
      </c>
      <c r="B813" s="10"/>
      <c r="C813" s="9">
        <f t="shared" si="22"/>
        <v>45708</v>
      </c>
      <c r="D813" s="11" t="s">
        <v>171</v>
      </c>
      <c r="E813" s="11" t="s">
        <v>25</v>
      </c>
      <c r="F813" s="11" t="s">
        <v>40</v>
      </c>
      <c r="G813" s="11" t="s">
        <v>37</v>
      </c>
      <c r="H813" s="11" t="s">
        <v>554</v>
      </c>
      <c r="I813" s="12">
        <v>107.64</v>
      </c>
      <c r="J813" s="13"/>
      <c r="K813" s="13">
        <f t="shared" si="50"/>
        <v>107.64</v>
      </c>
      <c r="L813" s="11" t="s">
        <v>29</v>
      </c>
      <c r="M813" s="14"/>
      <c r="N813" s="11" t="s">
        <v>172</v>
      </c>
      <c r="O813" s="10" t="str">
        <f t="shared" si="48"/>
        <v>02/2025</v>
      </c>
      <c r="P813" s="10" t="str">
        <f t="shared" si="29"/>
        <v>02/2025</v>
      </c>
      <c r="Q813" s="15" t="str">
        <f t="array" ref="Q813">IFERROR(XLOOKUP(N813,'Classificação'!A:A,'Classificação'!B:B),"")</f>
        <v>DESPESAS COM OCUPAÇÃO</v>
      </c>
      <c r="R813" s="15" t="str">
        <f t="array" ref="R813">IFERROR(XLOOKUP(Q813,'Classificação'!B:B,'Classificação'!C:C),"")</f>
        <v>DESPESAS FIXAS (-)</v>
      </c>
      <c r="S813" s="15">
        <f t="shared" si="5"/>
        <v>20</v>
      </c>
      <c r="T813" s="15">
        <f t="shared" si="6"/>
        <v>2</v>
      </c>
      <c r="U813" s="15">
        <f t="shared" si="7"/>
        <v>2025</v>
      </c>
      <c r="V813" s="15">
        <f t="shared" si="8"/>
        <v>20</v>
      </c>
      <c r="W813" s="15">
        <f t="shared" si="9"/>
        <v>2</v>
      </c>
      <c r="X813" s="15">
        <f t="shared" si="10"/>
        <v>2025</v>
      </c>
    </row>
    <row r="814">
      <c r="A814" s="9">
        <v>45708.0</v>
      </c>
      <c r="B814" s="9">
        <v>45665.0</v>
      </c>
      <c r="C814" s="9">
        <f t="shared" si="22"/>
        <v>45708</v>
      </c>
      <c r="D814" s="11" t="s">
        <v>114</v>
      </c>
      <c r="E814" s="29" t="s">
        <v>25</v>
      </c>
      <c r="F814" s="11" t="s">
        <v>107</v>
      </c>
      <c r="G814" s="11" t="s">
        <v>27</v>
      </c>
      <c r="H814" s="11" t="s">
        <v>555</v>
      </c>
      <c r="I814" s="31">
        <v>15.98</v>
      </c>
      <c r="J814" s="13"/>
      <c r="K814" s="13">
        <f t="shared" si="50"/>
        <v>15.98</v>
      </c>
      <c r="L814" s="11" t="s">
        <v>34</v>
      </c>
      <c r="M814" s="14"/>
      <c r="N814" s="11" t="s">
        <v>143</v>
      </c>
      <c r="O814" s="10" t="str">
        <f t="shared" si="48"/>
        <v>02/2025</v>
      </c>
      <c r="P814" s="10" t="str">
        <f t="shared" si="29"/>
        <v>02/2025</v>
      </c>
      <c r="Q814" s="15" t="str">
        <f t="array" ref="Q814">IFERROR(XLOOKUP(N814,'Classificação'!A:A,'Classificação'!B:B),"")</f>
        <v>EMBALAGENS/FITAS/GERAL</v>
      </c>
      <c r="R814" s="15" t="str">
        <f t="array" ref="R814">IFERROR(XLOOKUP(Q814,'Classificação'!B:B,'Classificação'!C:C),"")</f>
        <v>CUSTOS VARIÁVEIS</v>
      </c>
      <c r="S814" s="15">
        <f t="shared" si="5"/>
        <v>20</v>
      </c>
      <c r="T814" s="15">
        <f t="shared" si="6"/>
        <v>2</v>
      </c>
      <c r="U814" s="15">
        <f t="shared" si="7"/>
        <v>2025</v>
      </c>
      <c r="V814" s="15">
        <f t="shared" si="8"/>
        <v>20</v>
      </c>
      <c r="W814" s="15">
        <f t="shared" si="9"/>
        <v>2</v>
      </c>
      <c r="X814" s="15">
        <f t="shared" si="10"/>
        <v>2025</v>
      </c>
    </row>
    <row r="815">
      <c r="A815" s="9">
        <v>45708.0</v>
      </c>
      <c r="B815" s="9">
        <v>45632.0</v>
      </c>
      <c r="C815" s="9">
        <f t="shared" si="22"/>
        <v>45708</v>
      </c>
      <c r="D815" s="11" t="s">
        <v>490</v>
      </c>
      <c r="E815" s="29" t="s">
        <v>25</v>
      </c>
      <c r="F815" s="11" t="s">
        <v>107</v>
      </c>
      <c r="G815" s="11" t="s">
        <v>27</v>
      </c>
      <c r="H815" s="11" t="s">
        <v>491</v>
      </c>
      <c r="I815" s="31">
        <v>265.55</v>
      </c>
      <c r="J815" s="13"/>
      <c r="K815" s="13">
        <f t="shared" si="50"/>
        <v>265.55</v>
      </c>
      <c r="L815" s="11" t="s">
        <v>53</v>
      </c>
      <c r="M815" s="17">
        <v>45384.0</v>
      </c>
      <c r="N815" s="11" t="s">
        <v>175</v>
      </c>
      <c r="O815" s="10" t="str">
        <f t="shared" si="48"/>
        <v>02/2025</v>
      </c>
      <c r="P815" s="10" t="str">
        <f t="shared" si="29"/>
        <v>02/2025</v>
      </c>
      <c r="Q815" s="15" t="str">
        <f t="array" ref="Q815">IFERROR(XLOOKUP(N815,'Classificação'!A:A,'Classificação'!B:B),"")</f>
        <v>DESPESAS COM VEICULOS</v>
      </c>
      <c r="R815" s="15" t="str">
        <f t="array" ref="R815">IFERROR(XLOOKUP(Q815,'Classificação'!B:B,'Classificação'!C:C),"")</f>
        <v>DESPESAS FIXAS (-)</v>
      </c>
      <c r="S815" s="15">
        <f t="shared" si="5"/>
        <v>20</v>
      </c>
      <c r="T815" s="15">
        <f t="shared" si="6"/>
        <v>2</v>
      </c>
      <c r="U815" s="15">
        <f t="shared" si="7"/>
        <v>2025</v>
      </c>
      <c r="V815" s="15">
        <f t="shared" si="8"/>
        <v>20</v>
      </c>
      <c r="W815" s="15">
        <f t="shared" si="9"/>
        <v>2</v>
      </c>
      <c r="X815" s="15">
        <f t="shared" si="10"/>
        <v>2025</v>
      </c>
    </row>
    <row r="816">
      <c r="A816" s="9">
        <v>45708.0</v>
      </c>
      <c r="B816" s="10"/>
      <c r="C816" s="9">
        <f t="shared" si="22"/>
        <v>45708</v>
      </c>
      <c r="D816" s="11" t="s">
        <v>106</v>
      </c>
      <c r="E816" s="29" t="s">
        <v>25</v>
      </c>
      <c r="F816" s="11" t="s">
        <v>107</v>
      </c>
      <c r="G816" s="11" t="s">
        <v>27</v>
      </c>
      <c r="H816" s="11" t="s">
        <v>241</v>
      </c>
      <c r="I816" s="31">
        <v>278.05</v>
      </c>
      <c r="J816" s="13"/>
      <c r="K816" s="13">
        <f t="shared" si="50"/>
        <v>278.05</v>
      </c>
      <c r="L816" s="11" t="s">
        <v>53</v>
      </c>
      <c r="M816" s="20">
        <v>45480.0</v>
      </c>
      <c r="N816" s="11" t="s">
        <v>95</v>
      </c>
      <c r="O816" s="10" t="str">
        <f t="shared" si="48"/>
        <v>02/2025</v>
      </c>
      <c r="P816" s="10" t="str">
        <f t="shared" si="29"/>
        <v>02/2025</v>
      </c>
      <c r="Q816" s="15" t="str">
        <f t="array" ref="Q816">IFERROR(XLOOKUP(N816,'Classificação'!A:A,'Classificação'!B:B),"")</f>
        <v>DESPESAS NÃO OPERACIONAIS</v>
      </c>
      <c r="R816" s="15" t="str">
        <f t="array" ref="R816">IFERROR(XLOOKUP(Q816,'Classificação'!B:B,'Classificação'!C:C),"")</f>
        <v>RESULTADO NÃO OPERACIONAL (+/-)</v>
      </c>
      <c r="S816" s="15">
        <f t="shared" si="5"/>
        <v>20</v>
      </c>
      <c r="T816" s="15">
        <f t="shared" si="6"/>
        <v>2</v>
      </c>
      <c r="U816" s="15">
        <f t="shared" si="7"/>
        <v>2025</v>
      </c>
      <c r="V816" s="15">
        <f t="shared" si="8"/>
        <v>20</v>
      </c>
      <c r="W816" s="15">
        <f t="shared" si="9"/>
        <v>2</v>
      </c>
      <c r="X816" s="15">
        <f t="shared" si="10"/>
        <v>2025</v>
      </c>
    </row>
    <row r="817">
      <c r="A817" s="9">
        <v>45708.0</v>
      </c>
      <c r="B817" s="10"/>
      <c r="C817" s="9">
        <f t="shared" si="22"/>
        <v>45708</v>
      </c>
      <c r="D817" s="11" t="s">
        <v>131</v>
      </c>
      <c r="E817" s="29" t="s">
        <v>25</v>
      </c>
      <c r="F817" s="11" t="s">
        <v>107</v>
      </c>
      <c r="G817" s="11" t="s">
        <v>27</v>
      </c>
      <c r="I817" s="31">
        <v>249.34</v>
      </c>
      <c r="J817" s="13"/>
      <c r="K817" s="13">
        <f t="shared" si="50"/>
        <v>249.34</v>
      </c>
      <c r="L817" s="11" t="s">
        <v>53</v>
      </c>
      <c r="M817" s="17">
        <v>45635.0</v>
      </c>
      <c r="N817" s="11" t="s">
        <v>133</v>
      </c>
      <c r="O817" s="10" t="str">
        <f t="shared" si="48"/>
        <v>02/2025</v>
      </c>
      <c r="P817" s="10" t="str">
        <f t="shared" si="29"/>
        <v>02/2025</v>
      </c>
      <c r="Q817" s="15" t="str">
        <f t="array" ref="Q817">IFERROR(XLOOKUP(N817,'Classificação'!A:A,'Classificação'!B:B),"")</f>
        <v>DESPESAS COM VEICULOS</v>
      </c>
      <c r="R817" s="15" t="str">
        <f t="array" ref="R817">IFERROR(XLOOKUP(Q817,'Classificação'!B:B,'Classificação'!C:C),"")</f>
        <v>DESPESAS FIXAS (-)</v>
      </c>
      <c r="S817" s="15">
        <f t="shared" si="5"/>
        <v>20</v>
      </c>
      <c r="T817" s="15">
        <f t="shared" si="6"/>
        <v>2</v>
      </c>
      <c r="U817" s="15">
        <f t="shared" si="7"/>
        <v>2025</v>
      </c>
      <c r="V817" s="15">
        <f t="shared" si="8"/>
        <v>20</v>
      </c>
      <c r="W817" s="15">
        <f t="shared" si="9"/>
        <v>2</v>
      </c>
      <c r="X817" s="15">
        <f t="shared" si="10"/>
        <v>2025</v>
      </c>
    </row>
    <row r="818">
      <c r="A818" s="9">
        <v>45708.0</v>
      </c>
      <c r="B818" s="10"/>
      <c r="C818" s="9">
        <f t="shared" si="22"/>
        <v>45708</v>
      </c>
      <c r="D818" s="11" t="s">
        <v>322</v>
      </c>
      <c r="E818" s="29" t="s">
        <v>25</v>
      </c>
      <c r="F818" s="11" t="s">
        <v>110</v>
      </c>
      <c r="G818" s="11" t="s">
        <v>27</v>
      </c>
      <c r="H818" s="11" t="s">
        <v>323</v>
      </c>
      <c r="I818" s="12">
        <v>46.2</v>
      </c>
      <c r="J818" s="13"/>
      <c r="K818" s="13">
        <f t="shared" si="50"/>
        <v>46.2</v>
      </c>
      <c r="L818" s="11" t="s">
        <v>29</v>
      </c>
      <c r="M818" s="17">
        <v>45631.0</v>
      </c>
      <c r="N818" s="11" t="s">
        <v>105</v>
      </c>
      <c r="O818" s="10" t="str">
        <f t="shared" si="48"/>
        <v>02/2025</v>
      </c>
      <c r="P818" s="10" t="str">
        <f t="shared" si="29"/>
        <v>02/2025</v>
      </c>
      <c r="Q818" s="15" t="str">
        <f t="array" ref="Q818">IFERROR(XLOOKUP(N818,'Classificação'!A:A,'Classificação'!B:B),"")</f>
        <v>DESPESAS ADMINISTRATIVAS</v>
      </c>
      <c r="R818" s="15" t="str">
        <f t="array" ref="R818">IFERROR(XLOOKUP(Q818,'Classificação'!B:B,'Classificação'!C:C),"")</f>
        <v>DESPESAS FIXAS (-)</v>
      </c>
      <c r="S818" s="15">
        <f t="shared" si="5"/>
        <v>20</v>
      </c>
      <c r="T818" s="15">
        <f t="shared" si="6"/>
        <v>2</v>
      </c>
      <c r="U818" s="15">
        <f t="shared" si="7"/>
        <v>2025</v>
      </c>
      <c r="V818" s="15">
        <f t="shared" si="8"/>
        <v>20</v>
      </c>
      <c r="W818" s="15">
        <f t="shared" si="9"/>
        <v>2</v>
      </c>
      <c r="X818" s="15">
        <f t="shared" si="10"/>
        <v>2025</v>
      </c>
    </row>
    <row r="819">
      <c r="A819" s="9">
        <v>45708.0</v>
      </c>
      <c r="B819" s="10"/>
      <c r="C819" s="9">
        <f t="shared" si="22"/>
        <v>45708</v>
      </c>
      <c r="D819" s="11" t="s">
        <v>65</v>
      </c>
      <c r="E819" s="29" t="s">
        <v>25</v>
      </c>
      <c r="F819" s="11" t="s">
        <v>107</v>
      </c>
      <c r="G819" s="11" t="s">
        <v>27</v>
      </c>
      <c r="H819" s="11" t="s">
        <v>248</v>
      </c>
      <c r="I819" s="31">
        <v>64.9</v>
      </c>
      <c r="J819" s="13"/>
      <c r="K819" s="13">
        <f t="shared" si="50"/>
        <v>64.9</v>
      </c>
      <c r="L819" s="11" t="s">
        <v>53</v>
      </c>
      <c r="M819" s="17">
        <v>45574.0</v>
      </c>
      <c r="N819" s="11" t="s">
        <v>95</v>
      </c>
      <c r="O819" s="10" t="str">
        <f t="shared" si="48"/>
        <v>02/2025</v>
      </c>
      <c r="P819" s="10" t="str">
        <f t="shared" si="29"/>
        <v>02/2025</v>
      </c>
      <c r="Q819" s="15" t="str">
        <f t="array" ref="Q819">IFERROR(XLOOKUP(N819,'Classificação'!A:A,'Classificação'!B:B),"")</f>
        <v>DESPESAS NÃO OPERACIONAIS</v>
      </c>
      <c r="R819" s="15" t="str">
        <f t="array" ref="R819">IFERROR(XLOOKUP(Q819,'Classificação'!B:B,'Classificação'!C:C),"")</f>
        <v>RESULTADO NÃO OPERACIONAL (+/-)</v>
      </c>
      <c r="S819" s="15">
        <f t="shared" si="5"/>
        <v>20</v>
      </c>
      <c r="T819" s="15">
        <f t="shared" si="6"/>
        <v>2</v>
      </c>
      <c r="U819" s="15">
        <f t="shared" si="7"/>
        <v>2025</v>
      </c>
      <c r="V819" s="15">
        <f t="shared" si="8"/>
        <v>20</v>
      </c>
      <c r="W819" s="15">
        <f t="shared" si="9"/>
        <v>2</v>
      </c>
      <c r="X819" s="15">
        <f t="shared" si="10"/>
        <v>2025</v>
      </c>
    </row>
    <row r="820">
      <c r="A820" s="9">
        <v>45708.0</v>
      </c>
      <c r="B820" s="10"/>
      <c r="C820" s="9">
        <f t="shared" si="22"/>
        <v>45708</v>
      </c>
      <c r="D820" s="11" t="s">
        <v>163</v>
      </c>
      <c r="E820" s="29" t="s">
        <v>25</v>
      </c>
      <c r="F820" s="11" t="s">
        <v>107</v>
      </c>
      <c r="G820" s="11" t="s">
        <v>27</v>
      </c>
      <c r="H820" s="11" t="s">
        <v>253</v>
      </c>
      <c r="I820" s="31">
        <v>144.15</v>
      </c>
      <c r="J820" s="13"/>
      <c r="K820" s="13">
        <f t="shared" si="50"/>
        <v>144.15</v>
      </c>
      <c r="L820" s="11" t="s">
        <v>53</v>
      </c>
      <c r="M820" s="17">
        <v>45633.0</v>
      </c>
      <c r="N820" s="11" t="s">
        <v>95</v>
      </c>
      <c r="O820" s="10" t="str">
        <f t="shared" si="48"/>
        <v>02/2025</v>
      </c>
      <c r="P820" s="10" t="str">
        <f t="shared" si="29"/>
        <v>02/2025</v>
      </c>
      <c r="Q820" s="15" t="str">
        <f t="array" ref="Q820">IFERROR(XLOOKUP(N820,'Classificação'!A:A,'Classificação'!B:B),"")</f>
        <v>DESPESAS NÃO OPERACIONAIS</v>
      </c>
      <c r="R820" s="15" t="str">
        <f t="array" ref="R820">IFERROR(XLOOKUP(Q820,'Classificação'!B:B,'Classificação'!C:C),"")</f>
        <v>RESULTADO NÃO OPERACIONAL (+/-)</v>
      </c>
      <c r="S820" s="15">
        <f t="shared" si="5"/>
        <v>20</v>
      </c>
      <c r="T820" s="15">
        <f t="shared" si="6"/>
        <v>2</v>
      </c>
      <c r="U820" s="15">
        <f t="shared" si="7"/>
        <v>2025</v>
      </c>
      <c r="V820" s="15">
        <f t="shared" si="8"/>
        <v>20</v>
      </c>
      <c r="W820" s="15">
        <f t="shared" si="9"/>
        <v>2</v>
      </c>
      <c r="X820" s="15">
        <f t="shared" si="10"/>
        <v>2025</v>
      </c>
    </row>
    <row r="821">
      <c r="A821" s="9">
        <v>45708.0</v>
      </c>
      <c r="B821" s="19">
        <v>45421.0</v>
      </c>
      <c r="C821" s="9">
        <f t="shared" si="22"/>
        <v>45708</v>
      </c>
      <c r="D821" s="11" t="s">
        <v>173</v>
      </c>
      <c r="E821" s="29" t="s">
        <v>25</v>
      </c>
      <c r="F821" s="11" t="s">
        <v>107</v>
      </c>
      <c r="G821" s="11" t="s">
        <v>27</v>
      </c>
      <c r="I821" s="31">
        <v>298.9</v>
      </c>
      <c r="J821" s="13"/>
      <c r="K821" s="13">
        <f t="shared" si="50"/>
        <v>298.9</v>
      </c>
      <c r="L821" s="11" t="s">
        <v>53</v>
      </c>
      <c r="M821" s="17">
        <v>45574.0</v>
      </c>
      <c r="N821" s="11" t="s">
        <v>175</v>
      </c>
      <c r="O821" s="10" t="str">
        <f t="shared" si="48"/>
        <v>02/2025</v>
      </c>
      <c r="P821" s="10" t="str">
        <f t="shared" si="29"/>
        <v>02/2025</v>
      </c>
      <c r="Q821" s="15" t="str">
        <f t="array" ref="Q821">IFERROR(XLOOKUP(N821,'Classificação'!A:A,'Classificação'!B:B),"")</f>
        <v>DESPESAS COM VEICULOS</v>
      </c>
      <c r="R821" s="15" t="str">
        <f t="array" ref="R821">IFERROR(XLOOKUP(Q821,'Classificação'!B:B,'Classificação'!C:C),"")</f>
        <v>DESPESAS FIXAS (-)</v>
      </c>
      <c r="S821" s="15">
        <f t="shared" si="5"/>
        <v>20</v>
      </c>
      <c r="T821" s="15">
        <f t="shared" si="6"/>
        <v>2</v>
      </c>
      <c r="U821" s="15">
        <f t="shared" si="7"/>
        <v>2025</v>
      </c>
      <c r="V821" s="15">
        <f t="shared" si="8"/>
        <v>20</v>
      </c>
      <c r="W821" s="15">
        <f t="shared" si="9"/>
        <v>2</v>
      </c>
      <c r="X821" s="15">
        <f t="shared" si="10"/>
        <v>2025</v>
      </c>
    </row>
    <row r="822">
      <c r="A822" s="9">
        <v>45708.0</v>
      </c>
      <c r="B822" s="9">
        <v>45523.0</v>
      </c>
      <c r="C822" s="9">
        <f t="shared" si="22"/>
        <v>45708</v>
      </c>
      <c r="D822" s="11" t="s">
        <v>65</v>
      </c>
      <c r="E822" s="29" t="s">
        <v>25</v>
      </c>
      <c r="F822" s="11" t="s">
        <v>107</v>
      </c>
      <c r="G822" s="11" t="s">
        <v>27</v>
      </c>
      <c r="H822" s="11" t="s">
        <v>263</v>
      </c>
      <c r="I822" s="31">
        <v>102.67</v>
      </c>
      <c r="J822" s="13"/>
      <c r="K822" s="13">
        <f t="shared" si="50"/>
        <v>102.67</v>
      </c>
      <c r="L822" s="11" t="s">
        <v>53</v>
      </c>
      <c r="M822" s="17">
        <v>45632.0</v>
      </c>
      <c r="N822" s="11" t="s">
        <v>95</v>
      </c>
      <c r="O822" s="10" t="str">
        <f t="shared" si="48"/>
        <v>02/2025</v>
      </c>
      <c r="P822" s="10" t="str">
        <f t="shared" si="29"/>
        <v>02/2025</v>
      </c>
      <c r="Q822" s="15" t="str">
        <f t="array" ref="Q822">IFERROR(XLOOKUP(N822,'Classificação'!A:A,'Classificação'!B:B),"")</f>
        <v>DESPESAS NÃO OPERACIONAIS</v>
      </c>
      <c r="R822" s="15" t="str">
        <f t="array" ref="R822">IFERROR(XLOOKUP(Q822,'Classificação'!B:B,'Classificação'!C:C),"")</f>
        <v>RESULTADO NÃO OPERACIONAL (+/-)</v>
      </c>
      <c r="S822" s="15">
        <f t="shared" si="5"/>
        <v>20</v>
      </c>
      <c r="T822" s="15">
        <f t="shared" si="6"/>
        <v>2</v>
      </c>
      <c r="U822" s="15">
        <f t="shared" si="7"/>
        <v>2025</v>
      </c>
      <c r="V822" s="15">
        <f t="shared" si="8"/>
        <v>20</v>
      </c>
      <c r="W822" s="15">
        <f t="shared" si="9"/>
        <v>2</v>
      </c>
      <c r="X822" s="15">
        <f t="shared" si="10"/>
        <v>2025</v>
      </c>
    </row>
    <row r="823">
      <c r="A823" s="9">
        <v>45708.0</v>
      </c>
      <c r="B823" s="9">
        <v>45553.0</v>
      </c>
      <c r="C823" s="9">
        <f t="shared" si="22"/>
        <v>45708</v>
      </c>
      <c r="D823" s="11" t="s">
        <v>313</v>
      </c>
      <c r="E823" s="29" t="s">
        <v>25</v>
      </c>
      <c r="F823" s="11" t="s">
        <v>107</v>
      </c>
      <c r="G823" s="11" t="s">
        <v>27</v>
      </c>
      <c r="H823" s="11" t="s">
        <v>314</v>
      </c>
      <c r="I823" s="31">
        <v>287.13</v>
      </c>
      <c r="J823" s="13"/>
      <c r="K823" s="13">
        <f t="shared" si="50"/>
        <v>287.13</v>
      </c>
      <c r="L823" s="11" t="s">
        <v>53</v>
      </c>
      <c r="M823" s="17">
        <v>45631.0</v>
      </c>
      <c r="N823" s="11" t="s">
        <v>95</v>
      </c>
      <c r="O823" s="10" t="str">
        <f t="shared" si="48"/>
        <v>02/2025</v>
      </c>
      <c r="P823" s="10" t="str">
        <f t="shared" si="29"/>
        <v>02/2025</v>
      </c>
      <c r="Q823" s="15" t="str">
        <f t="array" ref="Q823">IFERROR(XLOOKUP(N823,'Classificação'!A:A,'Classificação'!B:B),"")</f>
        <v>DESPESAS NÃO OPERACIONAIS</v>
      </c>
      <c r="R823" s="15" t="str">
        <f t="array" ref="R823">IFERROR(XLOOKUP(Q823,'Classificação'!B:B,'Classificação'!C:C),"")</f>
        <v>RESULTADO NÃO OPERACIONAL (+/-)</v>
      </c>
      <c r="S823" s="15">
        <f t="shared" si="5"/>
        <v>20</v>
      </c>
      <c r="T823" s="15">
        <f t="shared" si="6"/>
        <v>2</v>
      </c>
      <c r="U823" s="15">
        <f t="shared" si="7"/>
        <v>2025</v>
      </c>
      <c r="V823" s="15">
        <f t="shared" si="8"/>
        <v>20</v>
      </c>
      <c r="W823" s="15">
        <f t="shared" si="9"/>
        <v>2</v>
      </c>
      <c r="X823" s="15">
        <f t="shared" si="10"/>
        <v>2025</v>
      </c>
    </row>
    <row r="824">
      <c r="A824" s="9">
        <v>45708.0</v>
      </c>
      <c r="B824" s="9">
        <v>45561.0</v>
      </c>
      <c r="C824" s="9">
        <f t="shared" si="22"/>
        <v>45708</v>
      </c>
      <c r="D824" s="11" t="s">
        <v>316</v>
      </c>
      <c r="E824" s="29" t="s">
        <v>25</v>
      </c>
      <c r="F824" s="11" t="s">
        <v>107</v>
      </c>
      <c r="G824" s="11" t="s">
        <v>27</v>
      </c>
      <c r="H824" s="11" t="s">
        <v>317</v>
      </c>
      <c r="I824" s="31">
        <v>593.82</v>
      </c>
      <c r="J824" s="13"/>
      <c r="K824" s="13">
        <f t="shared" si="50"/>
        <v>593.82</v>
      </c>
      <c r="L824" s="11" t="s">
        <v>53</v>
      </c>
      <c r="M824" s="17">
        <v>45448.0</v>
      </c>
      <c r="N824" s="11" t="s">
        <v>105</v>
      </c>
      <c r="O824" s="10" t="str">
        <f t="shared" si="48"/>
        <v>02/2025</v>
      </c>
      <c r="P824" s="10" t="str">
        <f t="shared" si="29"/>
        <v>02/2025</v>
      </c>
      <c r="Q824" s="15" t="str">
        <f t="array" ref="Q824">IFERROR(XLOOKUP(N824,'Classificação'!A:A,'Classificação'!B:B),"")</f>
        <v>DESPESAS ADMINISTRATIVAS</v>
      </c>
      <c r="R824" s="15" t="str">
        <f t="array" ref="R824">IFERROR(XLOOKUP(Q824,'Classificação'!B:B,'Classificação'!C:C),"")</f>
        <v>DESPESAS FIXAS (-)</v>
      </c>
      <c r="S824" s="15">
        <f t="shared" si="5"/>
        <v>20</v>
      </c>
      <c r="T824" s="15">
        <f t="shared" si="6"/>
        <v>2</v>
      </c>
      <c r="U824" s="15">
        <f t="shared" si="7"/>
        <v>2025</v>
      </c>
      <c r="V824" s="15">
        <f t="shared" si="8"/>
        <v>20</v>
      </c>
      <c r="W824" s="15">
        <f t="shared" si="9"/>
        <v>2</v>
      </c>
      <c r="X824" s="15">
        <f t="shared" si="10"/>
        <v>2025</v>
      </c>
    </row>
    <row r="825">
      <c r="A825" s="9">
        <v>45708.0</v>
      </c>
      <c r="B825" s="32">
        <v>45582.0</v>
      </c>
      <c r="C825" s="9">
        <f t="shared" si="22"/>
        <v>45708</v>
      </c>
      <c r="D825" s="11" t="s">
        <v>383</v>
      </c>
      <c r="E825" s="29" t="s">
        <v>25</v>
      </c>
      <c r="F825" s="11" t="s">
        <v>107</v>
      </c>
      <c r="G825" s="11" t="s">
        <v>27</v>
      </c>
      <c r="H825" s="11" t="s">
        <v>384</v>
      </c>
      <c r="I825" s="31">
        <v>382.73</v>
      </c>
      <c r="J825" s="13"/>
      <c r="K825" s="13">
        <f t="shared" si="50"/>
        <v>382.73</v>
      </c>
      <c r="L825" s="11" t="s">
        <v>53</v>
      </c>
      <c r="M825" s="17">
        <v>45447.0</v>
      </c>
      <c r="N825" s="11" t="s">
        <v>35</v>
      </c>
      <c r="O825" s="10" t="str">
        <f t="shared" si="48"/>
        <v>02/2025</v>
      </c>
      <c r="P825" s="10" t="str">
        <f t="shared" si="29"/>
        <v>02/2025</v>
      </c>
      <c r="Q825" s="15" t="str">
        <f t="array" ref="Q825">IFERROR(XLOOKUP(N825,'Classificação'!A:A,'Classificação'!B:B),"")</f>
        <v>COMPRA DE MERCADORIA</v>
      </c>
      <c r="R825" s="15" t="str">
        <f t="array" ref="R825">IFERROR(XLOOKUP(Q825,'Classificação'!B:B,'Classificação'!C:C),"")</f>
        <v>CUSTOS VARIÁVEIS</v>
      </c>
      <c r="S825" s="15">
        <f t="shared" si="5"/>
        <v>20</v>
      </c>
      <c r="T825" s="15">
        <f t="shared" si="6"/>
        <v>2</v>
      </c>
      <c r="U825" s="15">
        <f t="shared" si="7"/>
        <v>2025</v>
      </c>
      <c r="V825" s="15">
        <f t="shared" si="8"/>
        <v>20</v>
      </c>
      <c r="W825" s="15">
        <f t="shared" si="9"/>
        <v>2</v>
      </c>
      <c r="X825" s="15">
        <f t="shared" si="10"/>
        <v>2025</v>
      </c>
    </row>
    <row r="826">
      <c r="A826" s="9">
        <v>45708.0</v>
      </c>
      <c r="B826" s="9">
        <v>45600.0</v>
      </c>
      <c r="C826" s="9">
        <f t="shared" si="22"/>
        <v>45708</v>
      </c>
      <c r="D826" s="11" t="s">
        <v>65</v>
      </c>
      <c r="E826" s="29" t="s">
        <v>25</v>
      </c>
      <c r="F826" s="11" t="s">
        <v>107</v>
      </c>
      <c r="G826" s="11" t="s">
        <v>27</v>
      </c>
      <c r="H826" s="11" t="s">
        <v>393</v>
      </c>
      <c r="I826" s="31">
        <v>32.39</v>
      </c>
      <c r="J826" s="13"/>
      <c r="K826" s="13">
        <f t="shared" si="50"/>
        <v>32.39</v>
      </c>
      <c r="L826" s="11" t="s">
        <v>53</v>
      </c>
      <c r="M826" s="17">
        <v>45508.0</v>
      </c>
      <c r="N826" s="11" t="s">
        <v>394</v>
      </c>
      <c r="O826" s="10" t="str">
        <f t="shared" si="48"/>
        <v>02/2025</v>
      </c>
      <c r="P826" s="10" t="str">
        <f t="shared" si="29"/>
        <v>02/2025</v>
      </c>
      <c r="Q826" s="15" t="str">
        <f t="array" ref="Q826">IFERROR(XLOOKUP(N826,'Classificação'!A:A,'Classificação'!B:B),"")</f>
        <v>DESPESAS NÃO OPERACIONAIS</v>
      </c>
      <c r="R826" s="15" t="str">
        <f t="array" ref="R826">IFERROR(XLOOKUP(Q826,'Classificação'!B:B,'Classificação'!C:C),"")</f>
        <v>RESULTADO NÃO OPERACIONAL (+/-)</v>
      </c>
      <c r="S826" s="15">
        <f t="shared" si="5"/>
        <v>20</v>
      </c>
      <c r="T826" s="15">
        <f t="shared" si="6"/>
        <v>2</v>
      </c>
      <c r="U826" s="15">
        <f t="shared" si="7"/>
        <v>2025</v>
      </c>
      <c r="V826" s="15">
        <f t="shared" si="8"/>
        <v>20</v>
      </c>
      <c r="W826" s="15">
        <f t="shared" si="9"/>
        <v>2</v>
      </c>
      <c r="X826" s="15">
        <f t="shared" si="10"/>
        <v>2025</v>
      </c>
    </row>
    <row r="827">
      <c r="A827" s="9">
        <v>45708.0</v>
      </c>
      <c r="B827" s="10"/>
      <c r="C827" s="9">
        <f t="shared" si="22"/>
        <v>45708</v>
      </c>
      <c r="D827" s="11" t="s">
        <v>369</v>
      </c>
      <c r="E827" s="29" t="s">
        <v>25</v>
      </c>
      <c r="F827" s="11" t="s">
        <v>107</v>
      </c>
      <c r="G827" s="11" t="s">
        <v>27</v>
      </c>
      <c r="H827" s="11" t="s">
        <v>486</v>
      </c>
      <c r="I827" s="31">
        <v>79.9</v>
      </c>
      <c r="J827" s="13"/>
      <c r="K827" s="13">
        <f t="shared" si="50"/>
        <v>79.9</v>
      </c>
      <c r="L827" s="11" t="s">
        <v>53</v>
      </c>
      <c r="M827" s="16" t="s">
        <v>556</v>
      </c>
      <c r="N827" s="11" t="s">
        <v>105</v>
      </c>
      <c r="O827" s="10" t="str">
        <f t="shared" si="48"/>
        <v>02/2025</v>
      </c>
      <c r="P827" s="10" t="str">
        <f t="shared" si="29"/>
        <v>02/2025</v>
      </c>
      <c r="Q827" s="15" t="str">
        <f t="array" ref="Q827">IFERROR(XLOOKUP(N827,'Classificação'!A:A,'Classificação'!B:B),"")</f>
        <v>DESPESAS ADMINISTRATIVAS</v>
      </c>
      <c r="R827" s="15" t="str">
        <f t="array" ref="R827">IFERROR(XLOOKUP(Q827,'Classificação'!B:B,'Classificação'!C:C),"")</f>
        <v>DESPESAS FIXAS (-)</v>
      </c>
      <c r="S827" s="15">
        <f t="shared" si="5"/>
        <v>20</v>
      </c>
      <c r="T827" s="15">
        <f t="shared" si="6"/>
        <v>2</v>
      </c>
      <c r="U827" s="15">
        <f t="shared" si="7"/>
        <v>2025</v>
      </c>
      <c r="V827" s="15">
        <f t="shared" si="8"/>
        <v>20</v>
      </c>
      <c r="W827" s="15">
        <f t="shared" si="9"/>
        <v>2</v>
      </c>
      <c r="X827" s="15">
        <f t="shared" si="10"/>
        <v>2025</v>
      </c>
    </row>
    <row r="828">
      <c r="A828" s="9">
        <v>45708.0</v>
      </c>
      <c r="B828" s="9">
        <v>45630.0</v>
      </c>
      <c r="C828" s="9">
        <f t="shared" si="22"/>
        <v>45708</v>
      </c>
      <c r="D828" s="11" t="s">
        <v>65</v>
      </c>
      <c r="E828" s="29" t="s">
        <v>25</v>
      </c>
      <c r="F828" s="11" t="s">
        <v>107</v>
      </c>
      <c r="G828" s="11" t="s">
        <v>27</v>
      </c>
      <c r="H828" s="11" t="s">
        <v>446</v>
      </c>
      <c r="I828" s="31">
        <v>37.86</v>
      </c>
      <c r="J828" s="13"/>
      <c r="K828" s="13">
        <f t="shared" si="50"/>
        <v>37.86</v>
      </c>
      <c r="L828" s="11" t="s">
        <v>53</v>
      </c>
      <c r="M828" s="17">
        <v>45354.0</v>
      </c>
      <c r="N828" s="11" t="s">
        <v>392</v>
      </c>
      <c r="O828" s="10" t="str">
        <f t="shared" si="48"/>
        <v>02/2025</v>
      </c>
      <c r="P828" s="10" t="str">
        <f t="shared" si="29"/>
        <v>02/2025</v>
      </c>
      <c r="Q828" s="15" t="str">
        <f t="array" ref="Q828">IFERROR(XLOOKUP(N828,'Classificação'!A:A,'Classificação'!B:B),"")</f>
        <v>DESPESAS COM OCUPAÇÃO</v>
      </c>
      <c r="R828" s="15" t="str">
        <f t="array" ref="R828">IFERROR(XLOOKUP(Q828,'Classificação'!B:B,'Classificação'!C:C),"")</f>
        <v>DESPESAS FIXAS (-)</v>
      </c>
      <c r="S828" s="15">
        <f t="shared" si="5"/>
        <v>20</v>
      </c>
      <c r="T828" s="15">
        <f t="shared" si="6"/>
        <v>2</v>
      </c>
      <c r="U828" s="15">
        <f t="shared" si="7"/>
        <v>2025</v>
      </c>
      <c r="V828" s="15">
        <f t="shared" si="8"/>
        <v>20</v>
      </c>
      <c r="W828" s="15">
        <f t="shared" si="9"/>
        <v>2</v>
      </c>
      <c r="X828" s="15">
        <f t="shared" si="10"/>
        <v>2025</v>
      </c>
    </row>
    <row r="829">
      <c r="A829" s="9">
        <v>45708.0</v>
      </c>
      <c r="B829" s="9">
        <v>45604.0</v>
      </c>
      <c r="C829" s="9">
        <f t="shared" si="22"/>
        <v>45708</v>
      </c>
      <c r="D829" s="11" t="s">
        <v>65</v>
      </c>
      <c r="E829" s="29" t="s">
        <v>25</v>
      </c>
      <c r="F829" s="11" t="s">
        <v>107</v>
      </c>
      <c r="G829" s="11" t="s">
        <v>27</v>
      </c>
      <c r="H829" s="11" t="s">
        <v>446</v>
      </c>
      <c r="I829" s="31">
        <v>33.06</v>
      </c>
      <c r="J829" s="13"/>
      <c r="K829" s="13">
        <f t="shared" si="50"/>
        <v>33.06</v>
      </c>
      <c r="L829" s="11" t="s">
        <v>53</v>
      </c>
      <c r="M829" s="17">
        <v>45415.0</v>
      </c>
      <c r="N829" s="11" t="s">
        <v>392</v>
      </c>
      <c r="O829" s="10" t="str">
        <f t="shared" si="48"/>
        <v>02/2025</v>
      </c>
      <c r="P829" s="10" t="str">
        <f t="shared" si="29"/>
        <v>02/2025</v>
      </c>
      <c r="Q829" s="15" t="str">
        <f t="array" ref="Q829">IFERROR(XLOOKUP(N829,'Classificação'!A:A,'Classificação'!B:B),"")</f>
        <v>DESPESAS COM OCUPAÇÃO</v>
      </c>
      <c r="R829" s="15" t="str">
        <f t="array" ref="R829">IFERROR(XLOOKUP(Q829,'Classificação'!B:B,'Classificação'!C:C),"")</f>
        <v>DESPESAS FIXAS (-)</v>
      </c>
      <c r="S829" s="15">
        <f t="shared" si="5"/>
        <v>20</v>
      </c>
      <c r="T829" s="15">
        <f t="shared" si="6"/>
        <v>2</v>
      </c>
      <c r="U829" s="15">
        <f t="shared" si="7"/>
        <v>2025</v>
      </c>
      <c r="V829" s="15">
        <f t="shared" si="8"/>
        <v>20</v>
      </c>
      <c r="W829" s="15">
        <f t="shared" si="9"/>
        <v>2</v>
      </c>
      <c r="X829" s="15">
        <f t="shared" si="10"/>
        <v>2025</v>
      </c>
    </row>
    <row r="830">
      <c r="A830" s="9">
        <v>45708.0</v>
      </c>
      <c r="B830" s="32">
        <v>45643.0</v>
      </c>
      <c r="C830" s="9">
        <f t="shared" si="22"/>
        <v>45708</v>
      </c>
      <c r="D830" s="11" t="s">
        <v>502</v>
      </c>
      <c r="E830" s="29" t="s">
        <v>25</v>
      </c>
      <c r="F830" s="11" t="s">
        <v>107</v>
      </c>
      <c r="G830" s="11" t="s">
        <v>27</v>
      </c>
      <c r="H830" s="11" t="s">
        <v>503</v>
      </c>
      <c r="I830" s="31">
        <v>83.6</v>
      </c>
      <c r="J830" s="13"/>
      <c r="K830" s="13">
        <f t="shared" si="50"/>
        <v>83.6</v>
      </c>
      <c r="L830" s="11" t="s">
        <v>53</v>
      </c>
      <c r="M830" s="17">
        <v>45414.0</v>
      </c>
      <c r="N830" s="11" t="s">
        <v>347</v>
      </c>
      <c r="O830" s="10" t="str">
        <f t="shared" si="48"/>
        <v>02/2025</v>
      </c>
      <c r="P830" s="10" t="str">
        <f t="shared" si="29"/>
        <v>02/2025</v>
      </c>
      <c r="Q830" s="15" t="str">
        <f t="array" ref="Q830">IFERROR(XLOOKUP(N830,'Classificação'!A:A,'Classificação'!B:B),"")</f>
        <v>DESPESAS ADMINISTRATIVAS</v>
      </c>
      <c r="R830" s="15" t="str">
        <f t="array" ref="R830">IFERROR(XLOOKUP(Q830,'Classificação'!B:B,'Classificação'!C:C),"")</f>
        <v>DESPESAS FIXAS (-)</v>
      </c>
      <c r="S830" s="15">
        <f t="shared" si="5"/>
        <v>20</v>
      </c>
      <c r="T830" s="15">
        <f t="shared" si="6"/>
        <v>2</v>
      </c>
      <c r="U830" s="15">
        <f t="shared" si="7"/>
        <v>2025</v>
      </c>
      <c r="V830" s="15">
        <f t="shared" si="8"/>
        <v>20</v>
      </c>
      <c r="W830" s="15">
        <f t="shared" si="9"/>
        <v>2</v>
      </c>
      <c r="X830" s="15">
        <f t="shared" si="10"/>
        <v>2025</v>
      </c>
    </row>
    <row r="831">
      <c r="A831" s="9">
        <v>45708.0</v>
      </c>
      <c r="B831" s="9">
        <v>45669.0</v>
      </c>
      <c r="C831" s="9">
        <f t="shared" si="22"/>
        <v>45708</v>
      </c>
      <c r="D831" s="11" t="s">
        <v>112</v>
      </c>
      <c r="E831" s="29" t="s">
        <v>25</v>
      </c>
      <c r="F831" s="11" t="s">
        <v>110</v>
      </c>
      <c r="G831" s="11" t="s">
        <v>27</v>
      </c>
      <c r="H831" s="11" t="s">
        <v>557</v>
      </c>
      <c r="I831" s="12">
        <v>53.6</v>
      </c>
      <c r="J831" s="13"/>
      <c r="K831" s="13">
        <f t="shared" si="50"/>
        <v>53.6</v>
      </c>
      <c r="L831" s="11" t="s">
        <v>34</v>
      </c>
      <c r="M831" s="14"/>
      <c r="N831" s="11" t="s">
        <v>71</v>
      </c>
      <c r="O831" s="10" t="str">
        <f t="shared" si="48"/>
        <v>02/2025</v>
      </c>
      <c r="P831" s="10" t="str">
        <f t="shared" si="29"/>
        <v>02/2025</v>
      </c>
      <c r="Q831" s="15" t="str">
        <f t="array" ref="Q831">IFERROR(XLOOKUP(N831,'Classificação'!A:A,'Classificação'!B:B),"")</f>
        <v>DESPESAS DIVERSAS</v>
      </c>
      <c r="R831" s="15" t="str">
        <f t="array" ref="R831">IFERROR(XLOOKUP(Q831,'Classificação'!B:B,'Classificação'!C:C),"")</f>
        <v>DESPESAS FIXAS (-)</v>
      </c>
      <c r="S831" s="15">
        <f t="shared" si="5"/>
        <v>20</v>
      </c>
      <c r="T831" s="15">
        <f t="shared" si="6"/>
        <v>2</v>
      </c>
      <c r="U831" s="15">
        <f t="shared" si="7"/>
        <v>2025</v>
      </c>
      <c r="V831" s="15">
        <f t="shared" si="8"/>
        <v>20</v>
      </c>
      <c r="W831" s="15">
        <f t="shared" si="9"/>
        <v>2</v>
      </c>
      <c r="X831" s="15">
        <f t="shared" si="10"/>
        <v>2025</v>
      </c>
    </row>
    <row r="832">
      <c r="A832" s="9">
        <v>45708.0</v>
      </c>
      <c r="B832" s="32">
        <v>45653.0</v>
      </c>
      <c r="C832" s="9">
        <f t="shared" si="22"/>
        <v>45708</v>
      </c>
      <c r="D832" s="11" t="s">
        <v>65</v>
      </c>
      <c r="E832" s="29" t="s">
        <v>25</v>
      </c>
      <c r="F832" s="11" t="s">
        <v>107</v>
      </c>
      <c r="G832" s="11" t="s">
        <v>27</v>
      </c>
      <c r="H832" s="11" t="s">
        <v>318</v>
      </c>
      <c r="I832" s="31">
        <v>117.08</v>
      </c>
      <c r="J832" s="13"/>
      <c r="K832" s="13">
        <f t="shared" si="50"/>
        <v>117.08</v>
      </c>
      <c r="L832" s="11" t="s">
        <v>53</v>
      </c>
      <c r="M832" s="17">
        <v>45690.0</v>
      </c>
      <c r="N832" s="11" t="s">
        <v>143</v>
      </c>
      <c r="O832" s="10" t="str">
        <f t="shared" si="48"/>
        <v>02/2025</v>
      </c>
      <c r="P832" s="10" t="str">
        <f t="shared" si="29"/>
        <v>02/2025</v>
      </c>
      <c r="Q832" s="15" t="str">
        <f t="array" ref="Q832">IFERROR(XLOOKUP(N832,'Classificação'!A:A,'Classificação'!B:B),"")</f>
        <v>EMBALAGENS/FITAS/GERAL</v>
      </c>
      <c r="R832" s="15" t="str">
        <f t="array" ref="R832">IFERROR(XLOOKUP(Q832,'Classificação'!B:B,'Classificação'!C:C),"")</f>
        <v>CUSTOS VARIÁVEIS</v>
      </c>
      <c r="S832" s="15">
        <f t="shared" si="5"/>
        <v>20</v>
      </c>
      <c r="T832" s="15">
        <f t="shared" si="6"/>
        <v>2</v>
      </c>
      <c r="U832" s="15">
        <f t="shared" si="7"/>
        <v>2025</v>
      </c>
      <c r="V832" s="15">
        <f t="shared" si="8"/>
        <v>20</v>
      </c>
      <c r="W832" s="15">
        <f t="shared" si="9"/>
        <v>2</v>
      </c>
      <c r="X832" s="15">
        <f t="shared" si="10"/>
        <v>2025</v>
      </c>
    </row>
    <row r="833">
      <c r="A833" s="9">
        <v>45708.0</v>
      </c>
      <c r="B833" s="9">
        <v>45666.0</v>
      </c>
      <c r="C833" s="9">
        <f t="shared" si="22"/>
        <v>45708</v>
      </c>
      <c r="D833" s="11" t="s">
        <v>558</v>
      </c>
      <c r="E833" s="29" t="s">
        <v>25</v>
      </c>
      <c r="F833" s="11" t="s">
        <v>107</v>
      </c>
      <c r="G833" s="11" t="s">
        <v>27</v>
      </c>
      <c r="H833" s="11" t="s">
        <v>559</v>
      </c>
      <c r="I833" s="31">
        <v>312.49</v>
      </c>
      <c r="J833" s="13"/>
      <c r="K833" s="13">
        <f t="shared" si="50"/>
        <v>312.49</v>
      </c>
      <c r="L833" s="11" t="s">
        <v>34</v>
      </c>
      <c r="M833" s="14"/>
      <c r="N833" s="11" t="s">
        <v>105</v>
      </c>
      <c r="O833" s="10" t="str">
        <f t="shared" si="48"/>
        <v>02/2025</v>
      </c>
      <c r="P833" s="10" t="str">
        <f t="shared" si="29"/>
        <v>02/2025</v>
      </c>
      <c r="Q833" s="15" t="str">
        <f t="array" ref="Q833">IFERROR(XLOOKUP(N833,'Classificação'!A:A,'Classificação'!B:B),"")</f>
        <v>DESPESAS ADMINISTRATIVAS</v>
      </c>
      <c r="R833" s="15" t="str">
        <f t="array" ref="R833">IFERROR(XLOOKUP(Q833,'Classificação'!B:B,'Classificação'!C:C),"")</f>
        <v>DESPESAS FIXAS (-)</v>
      </c>
      <c r="S833" s="15">
        <f t="shared" si="5"/>
        <v>20</v>
      </c>
      <c r="T833" s="15">
        <f t="shared" si="6"/>
        <v>2</v>
      </c>
      <c r="U833" s="15">
        <f t="shared" si="7"/>
        <v>2025</v>
      </c>
      <c r="V833" s="15">
        <f t="shared" si="8"/>
        <v>20</v>
      </c>
      <c r="W833" s="15">
        <f t="shared" si="9"/>
        <v>2</v>
      </c>
      <c r="X833" s="15">
        <f t="shared" si="10"/>
        <v>2025</v>
      </c>
    </row>
    <row r="834">
      <c r="A834" s="9">
        <v>45708.0</v>
      </c>
      <c r="B834" s="9">
        <v>45670.0</v>
      </c>
      <c r="C834" s="9">
        <f t="shared" si="22"/>
        <v>45708</v>
      </c>
      <c r="D834" s="11" t="s">
        <v>373</v>
      </c>
      <c r="E834" s="29" t="s">
        <v>25</v>
      </c>
      <c r="F834" s="11" t="s">
        <v>107</v>
      </c>
      <c r="G834" s="11" t="s">
        <v>27</v>
      </c>
      <c r="H834" s="11" t="s">
        <v>374</v>
      </c>
      <c r="I834" s="31">
        <v>14.0</v>
      </c>
      <c r="J834" s="13"/>
      <c r="K834" s="13">
        <f t="shared" si="50"/>
        <v>14</v>
      </c>
      <c r="L834" s="11" t="s">
        <v>34</v>
      </c>
      <c r="M834" s="14"/>
      <c r="N834" s="11" t="s">
        <v>64</v>
      </c>
      <c r="O834" s="10" t="str">
        <f t="shared" si="48"/>
        <v>02/2025</v>
      </c>
      <c r="P834" s="10" t="str">
        <f t="shared" si="29"/>
        <v>02/2025</v>
      </c>
      <c r="Q834" s="15" t="str">
        <f t="array" ref="Q834">IFERROR(XLOOKUP(N834,'Classificação'!A:A,'Classificação'!B:B),"")</f>
        <v>DESPESAS COM PESSOAL</v>
      </c>
      <c r="R834" s="15" t="str">
        <f t="array" ref="R834">IFERROR(XLOOKUP(Q834,'Classificação'!B:B,'Classificação'!C:C),"")</f>
        <v>DESPESAS FIXAS (-)</v>
      </c>
      <c r="S834" s="15">
        <f t="shared" si="5"/>
        <v>20</v>
      </c>
      <c r="T834" s="15">
        <f t="shared" si="6"/>
        <v>2</v>
      </c>
      <c r="U834" s="15">
        <f t="shared" si="7"/>
        <v>2025</v>
      </c>
      <c r="V834" s="15">
        <f t="shared" si="8"/>
        <v>20</v>
      </c>
      <c r="W834" s="15">
        <f t="shared" si="9"/>
        <v>2</v>
      </c>
      <c r="X834" s="15">
        <f t="shared" si="10"/>
        <v>2025</v>
      </c>
    </row>
    <row r="835">
      <c r="A835" s="9">
        <v>45708.0</v>
      </c>
      <c r="B835" s="9">
        <v>45668.0</v>
      </c>
      <c r="C835" s="9">
        <f t="shared" si="22"/>
        <v>45708</v>
      </c>
      <c r="D835" s="11" t="s">
        <v>179</v>
      </c>
      <c r="E835" s="29" t="s">
        <v>25</v>
      </c>
      <c r="F835" s="11" t="s">
        <v>107</v>
      </c>
      <c r="G835" s="11" t="s">
        <v>27</v>
      </c>
      <c r="H835" s="11" t="s">
        <v>312</v>
      </c>
      <c r="I835" s="31">
        <v>184.54</v>
      </c>
      <c r="J835" s="13"/>
      <c r="K835" s="13">
        <f t="shared" si="50"/>
        <v>184.54</v>
      </c>
      <c r="L835" s="11" t="s">
        <v>34</v>
      </c>
      <c r="M835" s="14"/>
      <c r="N835" s="11" t="s">
        <v>181</v>
      </c>
      <c r="O835" s="10" t="str">
        <f t="shared" si="48"/>
        <v>02/2025</v>
      </c>
      <c r="P835" s="10" t="str">
        <f t="shared" si="29"/>
        <v>02/2025</v>
      </c>
      <c r="Q835" s="15" t="str">
        <f t="array" ref="Q835">IFERROR(XLOOKUP(N835,'Classificação'!A:A,'Classificação'!B:B),"")</f>
        <v>DESPESAS COM VEICULOS</v>
      </c>
      <c r="R835" s="15" t="str">
        <f t="array" ref="R835">IFERROR(XLOOKUP(Q835,'Classificação'!B:B,'Classificação'!C:C),"")</f>
        <v>DESPESAS FIXAS (-)</v>
      </c>
      <c r="S835" s="15">
        <f t="shared" si="5"/>
        <v>20</v>
      </c>
      <c r="T835" s="15">
        <f t="shared" si="6"/>
        <v>2</v>
      </c>
      <c r="U835" s="15">
        <f t="shared" si="7"/>
        <v>2025</v>
      </c>
      <c r="V835" s="15">
        <f t="shared" si="8"/>
        <v>20</v>
      </c>
      <c r="W835" s="15">
        <f t="shared" si="9"/>
        <v>2</v>
      </c>
      <c r="X835" s="15">
        <f t="shared" si="10"/>
        <v>2025</v>
      </c>
    </row>
    <row r="836">
      <c r="A836" s="9">
        <v>45708.0</v>
      </c>
      <c r="B836" s="32">
        <v>45632.0</v>
      </c>
      <c r="C836" s="9">
        <f t="shared" si="22"/>
        <v>45708</v>
      </c>
      <c r="D836" s="11" t="s">
        <v>65</v>
      </c>
      <c r="E836" s="29" t="s">
        <v>25</v>
      </c>
      <c r="F836" s="11" t="s">
        <v>107</v>
      </c>
      <c r="G836" s="11" t="s">
        <v>27</v>
      </c>
      <c r="H836" s="11" t="s">
        <v>518</v>
      </c>
      <c r="I836" s="31">
        <v>78.54</v>
      </c>
      <c r="J836" s="13"/>
      <c r="K836" s="13">
        <f t="shared" si="50"/>
        <v>78.54</v>
      </c>
      <c r="L836" s="11" t="s">
        <v>53</v>
      </c>
      <c r="M836" s="17">
        <v>45690.0</v>
      </c>
      <c r="N836" s="11" t="s">
        <v>392</v>
      </c>
      <c r="O836" s="10" t="str">
        <f t="shared" si="48"/>
        <v>02/2025</v>
      </c>
      <c r="P836" s="10" t="str">
        <f t="shared" si="29"/>
        <v>02/2025</v>
      </c>
      <c r="Q836" s="15" t="str">
        <f t="array" ref="Q836">IFERROR(XLOOKUP(N836,'Classificação'!A:A,'Classificação'!B:B),"")</f>
        <v>DESPESAS COM OCUPAÇÃO</v>
      </c>
      <c r="R836" s="15" t="str">
        <f t="array" ref="R836">IFERROR(XLOOKUP(Q836,'Classificação'!B:B,'Classificação'!C:C),"")</f>
        <v>DESPESAS FIXAS (-)</v>
      </c>
      <c r="S836" s="15">
        <f t="shared" si="5"/>
        <v>20</v>
      </c>
      <c r="T836" s="15">
        <f t="shared" si="6"/>
        <v>2</v>
      </c>
      <c r="U836" s="15">
        <f t="shared" si="7"/>
        <v>2025</v>
      </c>
      <c r="V836" s="15">
        <f t="shared" si="8"/>
        <v>20</v>
      </c>
      <c r="W836" s="15">
        <f t="shared" si="9"/>
        <v>2</v>
      </c>
      <c r="X836" s="15">
        <f t="shared" si="10"/>
        <v>2025</v>
      </c>
    </row>
    <row r="837">
      <c r="A837" s="9">
        <v>45708.0</v>
      </c>
      <c r="B837" s="9">
        <v>45670.0</v>
      </c>
      <c r="C837" s="9">
        <f t="shared" si="22"/>
        <v>45708</v>
      </c>
      <c r="D837" s="11" t="s">
        <v>65</v>
      </c>
      <c r="E837" s="29" t="s">
        <v>25</v>
      </c>
      <c r="F837" s="11" t="s">
        <v>107</v>
      </c>
      <c r="G837" s="11" t="s">
        <v>27</v>
      </c>
      <c r="H837" s="11" t="s">
        <v>549</v>
      </c>
      <c r="I837" s="31">
        <v>17.71</v>
      </c>
      <c r="J837" s="13"/>
      <c r="K837" s="13">
        <f t="shared" si="50"/>
        <v>17.71</v>
      </c>
      <c r="L837" s="11" t="s">
        <v>53</v>
      </c>
      <c r="M837" s="17">
        <v>45717.0</v>
      </c>
      <c r="N837" s="11" t="s">
        <v>143</v>
      </c>
      <c r="O837" s="10" t="str">
        <f t="shared" si="48"/>
        <v>02/2025</v>
      </c>
      <c r="P837" s="10" t="str">
        <f t="shared" si="29"/>
        <v>02/2025</v>
      </c>
      <c r="Q837" s="15" t="str">
        <f t="array" ref="Q837">IFERROR(XLOOKUP(N837,'Classificação'!A:A,'Classificação'!B:B),"")</f>
        <v>EMBALAGENS/FITAS/GERAL</v>
      </c>
      <c r="R837" s="15" t="str">
        <f t="array" ref="R837">IFERROR(XLOOKUP(Q837,'Classificação'!B:B,'Classificação'!C:C),"")</f>
        <v>CUSTOS VARIÁVEIS</v>
      </c>
      <c r="S837" s="15">
        <f t="shared" si="5"/>
        <v>20</v>
      </c>
      <c r="T837" s="15">
        <f t="shared" si="6"/>
        <v>2</v>
      </c>
      <c r="U837" s="15">
        <f t="shared" si="7"/>
        <v>2025</v>
      </c>
      <c r="V837" s="15">
        <f t="shared" si="8"/>
        <v>20</v>
      </c>
      <c r="W837" s="15">
        <f t="shared" si="9"/>
        <v>2</v>
      </c>
      <c r="X837" s="15">
        <f t="shared" si="10"/>
        <v>2025</v>
      </c>
    </row>
    <row r="838">
      <c r="A838" s="9">
        <v>45708.0</v>
      </c>
      <c r="B838" s="9">
        <v>45671.0</v>
      </c>
      <c r="C838" s="9">
        <f t="shared" si="22"/>
        <v>45708</v>
      </c>
      <c r="D838" s="11" t="s">
        <v>560</v>
      </c>
      <c r="E838" s="29" t="s">
        <v>25</v>
      </c>
      <c r="F838" s="11" t="s">
        <v>107</v>
      </c>
      <c r="G838" s="11" t="s">
        <v>27</v>
      </c>
      <c r="H838" s="11" t="s">
        <v>491</v>
      </c>
      <c r="I838" s="31">
        <v>129.75</v>
      </c>
      <c r="J838" s="13"/>
      <c r="K838" s="13">
        <f t="shared" si="50"/>
        <v>129.75</v>
      </c>
      <c r="L838" s="11" t="s">
        <v>53</v>
      </c>
      <c r="M838" s="17">
        <v>45748.0</v>
      </c>
      <c r="N838" s="11" t="s">
        <v>175</v>
      </c>
      <c r="O838" s="10" t="str">
        <f t="shared" si="48"/>
        <v>02/2025</v>
      </c>
      <c r="P838" s="10" t="str">
        <f t="shared" si="29"/>
        <v>02/2025</v>
      </c>
      <c r="Q838" s="15" t="str">
        <f t="array" ref="Q838">IFERROR(XLOOKUP(N838,'Classificação'!A:A,'Classificação'!B:B),"")</f>
        <v>DESPESAS COM VEICULOS</v>
      </c>
      <c r="R838" s="15" t="str">
        <f t="array" ref="R838">IFERROR(XLOOKUP(Q838,'Classificação'!B:B,'Classificação'!C:C),"")</f>
        <v>DESPESAS FIXAS (-)</v>
      </c>
      <c r="S838" s="15">
        <f t="shared" si="5"/>
        <v>20</v>
      </c>
      <c r="T838" s="15">
        <f t="shared" si="6"/>
        <v>2</v>
      </c>
      <c r="U838" s="15">
        <f t="shared" si="7"/>
        <v>2025</v>
      </c>
      <c r="V838" s="15">
        <f t="shared" si="8"/>
        <v>20</v>
      </c>
      <c r="W838" s="15">
        <f t="shared" si="9"/>
        <v>2</v>
      </c>
      <c r="X838" s="15">
        <f t="shared" si="10"/>
        <v>2025</v>
      </c>
    </row>
    <row r="839">
      <c r="A839" s="9">
        <v>45708.0</v>
      </c>
      <c r="B839" s="9">
        <v>45678.0</v>
      </c>
      <c r="C839" s="9">
        <f t="shared" si="22"/>
        <v>45708</v>
      </c>
      <c r="D839" s="11" t="s">
        <v>65</v>
      </c>
      <c r="E839" s="29" t="s">
        <v>25</v>
      </c>
      <c r="F839" s="11" t="s">
        <v>107</v>
      </c>
      <c r="G839" s="11" t="s">
        <v>27</v>
      </c>
      <c r="H839" s="11" t="s">
        <v>318</v>
      </c>
      <c r="I839" s="31">
        <v>53.5</v>
      </c>
      <c r="J839" s="13"/>
      <c r="K839" s="13">
        <f t="shared" si="50"/>
        <v>53.5</v>
      </c>
      <c r="L839" s="11" t="s">
        <v>53</v>
      </c>
      <c r="M839" s="17">
        <v>45748.0</v>
      </c>
      <c r="N839" s="11" t="s">
        <v>143</v>
      </c>
      <c r="O839" s="10" t="str">
        <f t="shared" si="48"/>
        <v>02/2025</v>
      </c>
      <c r="P839" s="10" t="str">
        <f t="shared" si="29"/>
        <v>02/2025</v>
      </c>
      <c r="Q839" s="15" t="str">
        <f t="array" ref="Q839">IFERROR(XLOOKUP(N839,'Classificação'!A:A,'Classificação'!B:B),"")</f>
        <v>EMBALAGENS/FITAS/GERAL</v>
      </c>
      <c r="R839" s="15" t="str">
        <f t="array" ref="R839">IFERROR(XLOOKUP(Q839,'Classificação'!B:B,'Classificação'!C:C),"")</f>
        <v>CUSTOS VARIÁVEIS</v>
      </c>
      <c r="S839" s="15">
        <f t="shared" si="5"/>
        <v>20</v>
      </c>
      <c r="T839" s="15">
        <f t="shared" si="6"/>
        <v>2</v>
      </c>
      <c r="U839" s="15">
        <f t="shared" si="7"/>
        <v>2025</v>
      </c>
      <c r="V839" s="15">
        <f t="shared" si="8"/>
        <v>20</v>
      </c>
      <c r="W839" s="15">
        <f t="shared" si="9"/>
        <v>2</v>
      </c>
      <c r="X839" s="15">
        <f t="shared" si="10"/>
        <v>2025</v>
      </c>
    </row>
    <row r="840">
      <c r="A840" s="9">
        <v>45708.0</v>
      </c>
      <c r="B840" s="9">
        <v>45678.0</v>
      </c>
      <c r="C840" s="9">
        <f t="shared" si="22"/>
        <v>45708</v>
      </c>
      <c r="D840" s="11" t="s">
        <v>167</v>
      </c>
      <c r="E840" s="29" t="s">
        <v>25</v>
      </c>
      <c r="F840" s="11" t="s">
        <v>107</v>
      </c>
      <c r="G840" s="11" t="s">
        <v>27</v>
      </c>
      <c r="H840" s="11" t="s">
        <v>561</v>
      </c>
      <c r="I840" s="31">
        <v>27.0</v>
      </c>
      <c r="J840" s="13"/>
      <c r="K840" s="13">
        <f t="shared" si="50"/>
        <v>27</v>
      </c>
      <c r="L840" s="11" t="s">
        <v>34</v>
      </c>
      <c r="M840" s="14"/>
      <c r="N840" s="11" t="s">
        <v>78</v>
      </c>
      <c r="O840" s="10" t="str">
        <f t="shared" si="48"/>
        <v>02/2025</v>
      </c>
      <c r="P840" s="10" t="str">
        <f t="shared" si="29"/>
        <v>02/2025</v>
      </c>
      <c r="Q840" s="15" t="str">
        <f t="array" ref="Q840">IFERROR(XLOOKUP(N840,'Classificação'!A:A,'Classificação'!B:B),"")</f>
        <v>DESPESAS COM PESSOAL</v>
      </c>
      <c r="R840" s="15" t="str">
        <f t="array" ref="R840">IFERROR(XLOOKUP(Q840,'Classificação'!B:B,'Classificação'!C:C),"")</f>
        <v>DESPESAS FIXAS (-)</v>
      </c>
      <c r="S840" s="15">
        <f t="shared" si="5"/>
        <v>20</v>
      </c>
      <c r="T840" s="15">
        <f t="shared" si="6"/>
        <v>2</v>
      </c>
      <c r="U840" s="15">
        <f t="shared" si="7"/>
        <v>2025</v>
      </c>
      <c r="V840" s="15">
        <f t="shared" si="8"/>
        <v>20</v>
      </c>
      <c r="W840" s="15">
        <f t="shared" si="9"/>
        <v>2</v>
      </c>
      <c r="X840" s="15">
        <f t="shared" si="10"/>
        <v>2025</v>
      </c>
    </row>
    <row r="841">
      <c r="A841" s="9">
        <v>45708.0</v>
      </c>
      <c r="B841" s="9">
        <v>45679.0</v>
      </c>
      <c r="C841" s="9">
        <f t="shared" si="22"/>
        <v>45708</v>
      </c>
      <c r="D841" s="11" t="s">
        <v>114</v>
      </c>
      <c r="E841" s="29" t="s">
        <v>25</v>
      </c>
      <c r="F841" s="11" t="s">
        <v>107</v>
      </c>
      <c r="G841" s="11" t="s">
        <v>27</v>
      </c>
      <c r="H841" s="11" t="s">
        <v>562</v>
      </c>
      <c r="I841" s="31">
        <v>132.94</v>
      </c>
      <c r="J841" s="13"/>
      <c r="K841" s="13">
        <f t="shared" si="50"/>
        <v>132.94</v>
      </c>
      <c r="L841" s="11" t="s">
        <v>34</v>
      </c>
      <c r="M841" s="14"/>
      <c r="N841" s="11" t="s">
        <v>143</v>
      </c>
      <c r="O841" s="10" t="str">
        <f t="shared" si="48"/>
        <v>02/2025</v>
      </c>
      <c r="P841" s="10" t="str">
        <f t="shared" si="29"/>
        <v>02/2025</v>
      </c>
      <c r="Q841" s="15" t="str">
        <f t="array" ref="Q841">IFERROR(XLOOKUP(N841,'Classificação'!A:A,'Classificação'!B:B),"")</f>
        <v>EMBALAGENS/FITAS/GERAL</v>
      </c>
      <c r="R841" s="15" t="str">
        <f t="array" ref="R841">IFERROR(XLOOKUP(Q841,'Classificação'!B:B,'Classificação'!C:C),"")</f>
        <v>CUSTOS VARIÁVEIS</v>
      </c>
      <c r="S841" s="15">
        <f t="shared" si="5"/>
        <v>20</v>
      </c>
      <c r="T841" s="15">
        <f t="shared" si="6"/>
        <v>2</v>
      </c>
      <c r="U841" s="15">
        <f t="shared" si="7"/>
        <v>2025</v>
      </c>
      <c r="V841" s="15">
        <f t="shared" si="8"/>
        <v>20</v>
      </c>
      <c r="W841" s="15">
        <f t="shared" si="9"/>
        <v>2</v>
      </c>
      <c r="X841" s="15">
        <f t="shared" si="10"/>
        <v>2025</v>
      </c>
    </row>
    <row r="842">
      <c r="A842" s="9">
        <v>45708.0</v>
      </c>
      <c r="B842" s="9">
        <v>45681.0</v>
      </c>
      <c r="C842" s="9">
        <f t="shared" si="22"/>
        <v>45708</v>
      </c>
      <c r="D842" s="11" t="s">
        <v>373</v>
      </c>
      <c r="E842" s="29" t="s">
        <v>25</v>
      </c>
      <c r="F842" s="11" t="s">
        <v>107</v>
      </c>
      <c r="G842" s="11" t="s">
        <v>27</v>
      </c>
      <c r="H842" s="11" t="s">
        <v>374</v>
      </c>
      <c r="I842" s="31">
        <v>14.0</v>
      </c>
      <c r="J842" s="13"/>
      <c r="K842" s="13">
        <f t="shared" si="50"/>
        <v>14</v>
      </c>
      <c r="L842" s="11" t="s">
        <v>34</v>
      </c>
      <c r="M842" s="14"/>
      <c r="N842" s="11" t="s">
        <v>64</v>
      </c>
      <c r="O842" s="10" t="str">
        <f t="shared" si="48"/>
        <v>02/2025</v>
      </c>
      <c r="P842" s="10" t="str">
        <f t="shared" si="29"/>
        <v>02/2025</v>
      </c>
      <c r="Q842" s="15" t="str">
        <f t="array" ref="Q842">IFERROR(XLOOKUP(N842,'Classificação'!A:A,'Classificação'!B:B),"")</f>
        <v>DESPESAS COM PESSOAL</v>
      </c>
      <c r="R842" s="15" t="str">
        <f t="array" ref="R842">IFERROR(XLOOKUP(Q842,'Classificação'!B:B,'Classificação'!C:C),"")</f>
        <v>DESPESAS FIXAS (-)</v>
      </c>
      <c r="S842" s="15">
        <f t="shared" si="5"/>
        <v>20</v>
      </c>
      <c r="T842" s="15">
        <f t="shared" si="6"/>
        <v>2</v>
      </c>
      <c r="U842" s="15">
        <f t="shared" si="7"/>
        <v>2025</v>
      </c>
      <c r="V842" s="15">
        <f t="shared" si="8"/>
        <v>20</v>
      </c>
      <c r="W842" s="15">
        <f t="shared" si="9"/>
        <v>2</v>
      </c>
      <c r="X842" s="15">
        <f t="shared" si="10"/>
        <v>2025</v>
      </c>
    </row>
    <row r="843">
      <c r="A843" s="9">
        <v>45708.0</v>
      </c>
      <c r="B843" s="9">
        <v>45684.0</v>
      </c>
      <c r="C843" s="9">
        <f t="shared" si="22"/>
        <v>45708</v>
      </c>
      <c r="D843" s="11" t="s">
        <v>81</v>
      </c>
      <c r="E843" s="29" t="s">
        <v>25</v>
      </c>
      <c r="F843" s="11" t="s">
        <v>107</v>
      </c>
      <c r="G843" s="11" t="s">
        <v>27</v>
      </c>
      <c r="H843" s="11" t="s">
        <v>563</v>
      </c>
      <c r="I843" s="31">
        <v>62.67</v>
      </c>
      <c r="J843" s="13"/>
      <c r="K843" s="13">
        <f t="shared" si="50"/>
        <v>62.67</v>
      </c>
      <c r="L843" s="11" t="s">
        <v>34</v>
      </c>
      <c r="M843" s="14"/>
      <c r="N843" s="11" t="s">
        <v>71</v>
      </c>
      <c r="O843" s="10" t="str">
        <f t="shared" si="48"/>
        <v>02/2025</v>
      </c>
      <c r="P843" s="10" t="str">
        <f t="shared" si="29"/>
        <v>02/2025</v>
      </c>
      <c r="Q843" s="15" t="str">
        <f t="array" ref="Q843">IFERROR(XLOOKUP(N843,'Classificação'!A:A,'Classificação'!B:B),"")</f>
        <v>DESPESAS DIVERSAS</v>
      </c>
      <c r="R843" s="15" t="str">
        <f t="array" ref="R843">IFERROR(XLOOKUP(Q843,'Classificação'!B:B,'Classificação'!C:C),"")</f>
        <v>DESPESAS FIXAS (-)</v>
      </c>
      <c r="S843" s="15">
        <f t="shared" si="5"/>
        <v>20</v>
      </c>
      <c r="T843" s="15">
        <f t="shared" si="6"/>
        <v>2</v>
      </c>
      <c r="U843" s="15">
        <f t="shared" si="7"/>
        <v>2025</v>
      </c>
      <c r="V843" s="15">
        <f t="shared" si="8"/>
        <v>20</v>
      </c>
      <c r="W843" s="15">
        <f t="shared" si="9"/>
        <v>2</v>
      </c>
      <c r="X843" s="15">
        <f t="shared" si="10"/>
        <v>2025</v>
      </c>
    </row>
    <row r="844">
      <c r="A844" s="9">
        <v>45708.0</v>
      </c>
      <c r="B844" s="9">
        <v>45684.0</v>
      </c>
      <c r="C844" s="9">
        <f t="shared" si="22"/>
        <v>45708</v>
      </c>
      <c r="D844" s="11" t="s">
        <v>137</v>
      </c>
      <c r="E844" s="29" t="s">
        <v>25</v>
      </c>
      <c r="F844" s="11" t="s">
        <v>107</v>
      </c>
      <c r="G844" s="11" t="s">
        <v>27</v>
      </c>
      <c r="H844" s="11" t="s">
        <v>564</v>
      </c>
      <c r="I844" s="31">
        <v>14.7</v>
      </c>
      <c r="J844" s="13"/>
      <c r="K844" s="13">
        <f t="shared" si="50"/>
        <v>14.7</v>
      </c>
      <c r="L844" s="11" t="s">
        <v>34</v>
      </c>
      <c r="M844" s="14"/>
      <c r="N844" s="11" t="s">
        <v>68</v>
      </c>
      <c r="O844" s="10" t="str">
        <f t="shared" si="48"/>
        <v>02/2025</v>
      </c>
      <c r="P844" s="10" t="str">
        <f t="shared" si="29"/>
        <v>02/2025</v>
      </c>
      <c r="Q844" s="15" t="str">
        <f t="array" ref="Q844">IFERROR(XLOOKUP(N844,'Classificação'!A:A,'Classificação'!B:B),"")</f>
        <v>FRETE DE VENDAS</v>
      </c>
      <c r="R844" s="15" t="str">
        <f t="array" ref="R844">IFERROR(XLOOKUP(Q844,'Classificação'!B:B,'Classificação'!C:C),"")</f>
        <v>CUSTOS VARIÁVEIS</v>
      </c>
      <c r="S844" s="15">
        <f t="shared" si="5"/>
        <v>20</v>
      </c>
      <c r="T844" s="15">
        <f t="shared" si="6"/>
        <v>2</v>
      </c>
      <c r="U844" s="15">
        <f t="shared" si="7"/>
        <v>2025</v>
      </c>
      <c r="V844" s="15">
        <f t="shared" si="8"/>
        <v>20</v>
      </c>
      <c r="W844" s="15">
        <f t="shared" si="9"/>
        <v>2</v>
      </c>
      <c r="X844" s="15">
        <f t="shared" si="10"/>
        <v>2025</v>
      </c>
    </row>
    <row r="845">
      <c r="A845" s="9">
        <v>45708.0</v>
      </c>
      <c r="B845" s="9">
        <v>45686.0</v>
      </c>
      <c r="C845" s="9">
        <f t="shared" si="22"/>
        <v>45708</v>
      </c>
      <c r="D845" s="11" t="s">
        <v>65</v>
      </c>
      <c r="E845" s="29" t="s">
        <v>25</v>
      </c>
      <c r="F845" s="11" t="s">
        <v>107</v>
      </c>
      <c r="G845" s="11" t="s">
        <v>27</v>
      </c>
      <c r="H845" s="11" t="s">
        <v>565</v>
      </c>
      <c r="I845" s="31">
        <v>63.92</v>
      </c>
      <c r="J845" s="13"/>
      <c r="K845" s="13">
        <f t="shared" si="50"/>
        <v>63.92</v>
      </c>
      <c r="L845" s="11" t="s">
        <v>53</v>
      </c>
      <c r="M845" s="17">
        <v>45689.0</v>
      </c>
      <c r="N845" s="11" t="s">
        <v>259</v>
      </c>
      <c r="O845" s="10" t="str">
        <f t="shared" si="48"/>
        <v>02/2025</v>
      </c>
      <c r="P845" s="10" t="str">
        <f t="shared" si="29"/>
        <v>02/2025</v>
      </c>
      <c r="Q845" s="15" t="str">
        <f t="array" ref="Q845">IFERROR(XLOOKUP(N845,'Classificação'!A:A,'Classificação'!B:B),"")</f>
        <v>DESPESAS ADMINISTRATIVAS</v>
      </c>
      <c r="R845" s="15" t="str">
        <f t="array" ref="R845">IFERROR(XLOOKUP(Q845,'Classificação'!B:B,'Classificação'!C:C),"")</f>
        <v>DESPESAS FIXAS (-)</v>
      </c>
      <c r="S845" s="15">
        <f t="shared" si="5"/>
        <v>20</v>
      </c>
      <c r="T845" s="15">
        <f t="shared" si="6"/>
        <v>2</v>
      </c>
      <c r="U845" s="15">
        <f t="shared" si="7"/>
        <v>2025</v>
      </c>
      <c r="V845" s="15">
        <f t="shared" si="8"/>
        <v>20</v>
      </c>
      <c r="W845" s="15">
        <f t="shared" si="9"/>
        <v>2</v>
      </c>
      <c r="X845" s="15">
        <f t="shared" si="10"/>
        <v>2025</v>
      </c>
    </row>
    <row r="846">
      <c r="A846" s="9">
        <v>45708.0</v>
      </c>
      <c r="B846" s="9">
        <v>45686.0</v>
      </c>
      <c r="C846" s="9">
        <f t="shared" si="22"/>
        <v>45708</v>
      </c>
      <c r="D846" s="11" t="s">
        <v>65</v>
      </c>
      <c r="E846" s="29" t="s">
        <v>25</v>
      </c>
      <c r="F846" s="11" t="s">
        <v>107</v>
      </c>
      <c r="G846" s="11" t="s">
        <v>27</v>
      </c>
      <c r="H846" s="11" t="s">
        <v>566</v>
      </c>
      <c r="I846" s="31">
        <v>47.05</v>
      </c>
      <c r="J846" s="13"/>
      <c r="K846" s="13">
        <f t="shared" si="50"/>
        <v>47.05</v>
      </c>
      <c r="L846" s="11" t="s">
        <v>53</v>
      </c>
      <c r="M846" s="17">
        <v>45809.0</v>
      </c>
      <c r="N846" s="11" t="s">
        <v>95</v>
      </c>
      <c r="O846" s="10" t="str">
        <f t="shared" si="48"/>
        <v>02/2025</v>
      </c>
      <c r="P846" s="10" t="str">
        <f t="shared" si="29"/>
        <v>02/2025</v>
      </c>
      <c r="Q846" s="15" t="str">
        <f t="array" ref="Q846">IFERROR(XLOOKUP(N846,'Classificação'!A:A,'Classificação'!B:B),"")</f>
        <v>DESPESAS NÃO OPERACIONAIS</v>
      </c>
      <c r="R846" s="15" t="str">
        <f t="array" ref="R846">IFERROR(XLOOKUP(Q846,'Classificação'!B:B,'Classificação'!C:C),"")</f>
        <v>RESULTADO NÃO OPERACIONAL (+/-)</v>
      </c>
      <c r="S846" s="15">
        <f t="shared" si="5"/>
        <v>20</v>
      </c>
      <c r="T846" s="15">
        <f t="shared" si="6"/>
        <v>2</v>
      </c>
      <c r="U846" s="15">
        <f t="shared" si="7"/>
        <v>2025</v>
      </c>
      <c r="V846" s="15">
        <f t="shared" si="8"/>
        <v>20</v>
      </c>
      <c r="W846" s="15">
        <f t="shared" si="9"/>
        <v>2</v>
      </c>
      <c r="X846" s="15">
        <f t="shared" si="10"/>
        <v>2025</v>
      </c>
    </row>
    <row r="847">
      <c r="A847" s="9">
        <v>45708.0</v>
      </c>
      <c r="B847" s="9">
        <v>45688.0</v>
      </c>
      <c r="C847" s="9">
        <f t="shared" si="22"/>
        <v>45708</v>
      </c>
      <c r="D847" s="11" t="s">
        <v>137</v>
      </c>
      <c r="E847" s="29" t="s">
        <v>25</v>
      </c>
      <c r="F847" s="11" t="s">
        <v>107</v>
      </c>
      <c r="G847" s="11" t="s">
        <v>27</v>
      </c>
      <c r="H847" s="11" t="s">
        <v>567</v>
      </c>
      <c r="I847" s="31">
        <v>30.51</v>
      </c>
      <c r="J847" s="13"/>
      <c r="K847" s="13">
        <f t="shared" si="50"/>
        <v>30.51</v>
      </c>
      <c r="L847" s="11" t="s">
        <v>34</v>
      </c>
      <c r="M847" s="14"/>
      <c r="N847" s="11" t="s">
        <v>68</v>
      </c>
      <c r="O847" s="10" t="str">
        <f t="shared" si="48"/>
        <v>02/2025</v>
      </c>
      <c r="P847" s="10" t="str">
        <f t="shared" si="29"/>
        <v>02/2025</v>
      </c>
      <c r="Q847" s="15" t="str">
        <f t="array" ref="Q847">IFERROR(XLOOKUP(N847,'Classificação'!A:A,'Classificação'!B:B),"")</f>
        <v>FRETE DE VENDAS</v>
      </c>
      <c r="R847" s="15" t="str">
        <f t="array" ref="R847">IFERROR(XLOOKUP(Q847,'Classificação'!B:B,'Classificação'!C:C),"")</f>
        <v>CUSTOS VARIÁVEIS</v>
      </c>
      <c r="S847" s="15">
        <f t="shared" si="5"/>
        <v>20</v>
      </c>
      <c r="T847" s="15">
        <f t="shared" si="6"/>
        <v>2</v>
      </c>
      <c r="U847" s="15">
        <f t="shared" si="7"/>
        <v>2025</v>
      </c>
      <c r="V847" s="15">
        <f t="shared" si="8"/>
        <v>20</v>
      </c>
      <c r="W847" s="15">
        <f t="shared" si="9"/>
        <v>2</v>
      </c>
      <c r="X847" s="15">
        <f t="shared" si="10"/>
        <v>2025</v>
      </c>
    </row>
    <row r="848">
      <c r="A848" s="9">
        <v>45708.0</v>
      </c>
      <c r="B848" s="9">
        <v>45686.0</v>
      </c>
      <c r="C848" s="9">
        <f t="shared" si="22"/>
        <v>45708</v>
      </c>
      <c r="D848" s="11" t="s">
        <v>114</v>
      </c>
      <c r="E848" s="29" t="s">
        <v>25</v>
      </c>
      <c r="F848" s="11" t="s">
        <v>107</v>
      </c>
      <c r="G848" s="11" t="s">
        <v>27</v>
      </c>
      <c r="H848" s="11" t="s">
        <v>568</v>
      </c>
      <c r="I848" s="31">
        <v>105.11</v>
      </c>
      <c r="J848" s="13"/>
      <c r="K848" s="13">
        <f t="shared" si="50"/>
        <v>105.11</v>
      </c>
      <c r="L848" s="11" t="s">
        <v>53</v>
      </c>
      <c r="M848" s="17">
        <v>45689.0</v>
      </c>
      <c r="N848" s="11" t="s">
        <v>143</v>
      </c>
      <c r="O848" s="10" t="str">
        <f t="shared" si="48"/>
        <v>02/2025</v>
      </c>
      <c r="P848" s="10" t="str">
        <f t="shared" si="29"/>
        <v>02/2025</v>
      </c>
      <c r="Q848" s="15" t="str">
        <f t="array" ref="Q848">IFERROR(XLOOKUP(N848,'Classificação'!A:A,'Classificação'!B:B),"")</f>
        <v>EMBALAGENS/FITAS/GERAL</v>
      </c>
      <c r="R848" s="15" t="str">
        <f t="array" ref="R848">IFERROR(XLOOKUP(Q848,'Classificação'!B:B,'Classificação'!C:C),"")</f>
        <v>CUSTOS VARIÁVEIS</v>
      </c>
      <c r="S848" s="15">
        <f t="shared" si="5"/>
        <v>20</v>
      </c>
      <c r="T848" s="15">
        <f t="shared" si="6"/>
        <v>2</v>
      </c>
      <c r="U848" s="15">
        <f t="shared" si="7"/>
        <v>2025</v>
      </c>
      <c r="V848" s="15">
        <f t="shared" si="8"/>
        <v>20</v>
      </c>
      <c r="W848" s="15">
        <f t="shared" si="9"/>
        <v>2</v>
      </c>
      <c r="X848" s="15">
        <f t="shared" si="10"/>
        <v>2025</v>
      </c>
    </row>
    <row r="849">
      <c r="A849" s="9">
        <v>45708.0</v>
      </c>
      <c r="B849" s="9">
        <v>45691.0</v>
      </c>
      <c r="C849" s="9">
        <f t="shared" si="22"/>
        <v>45708</v>
      </c>
      <c r="D849" s="11" t="s">
        <v>373</v>
      </c>
      <c r="E849" s="29" t="s">
        <v>25</v>
      </c>
      <c r="F849" s="11" t="s">
        <v>107</v>
      </c>
      <c r="G849" s="11" t="s">
        <v>27</v>
      </c>
      <c r="H849" s="11" t="s">
        <v>374</v>
      </c>
      <c r="I849" s="31">
        <v>14.0</v>
      </c>
      <c r="J849" s="13"/>
      <c r="K849" s="13">
        <f t="shared" si="50"/>
        <v>14</v>
      </c>
      <c r="L849" s="11" t="s">
        <v>34</v>
      </c>
      <c r="M849" s="14"/>
      <c r="N849" s="11" t="s">
        <v>64</v>
      </c>
      <c r="O849" s="10" t="str">
        <f t="shared" si="48"/>
        <v>02/2025</v>
      </c>
      <c r="P849" s="10" t="str">
        <f t="shared" si="29"/>
        <v>02/2025</v>
      </c>
      <c r="Q849" s="15" t="str">
        <f t="array" ref="Q849">IFERROR(XLOOKUP(N849,'Classificação'!A:A,'Classificação'!B:B),"")</f>
        <v>DESPESAS COM PESSOAL</v>
      </c>
      <c r="R849" s="15" t="str">
        <f t="array" ref="R849">IFERROR(XLOOKUP(Q849,'Classificação'!B:B,'Classificação'!C:C),"")</f>
        <v>DESPESAS FIXAS (-)</v>
      </c>
      <c r="S849" s="15">
        <f t="shared" si="5"/>
        <v>20</v>
      </c>
      <c r="T849" s="15">
        <f t="shared" si="6"/>
        <v>2</v>
      </c>
      <c r="U849" s="15">
        <f t="shared" si="7"/>
        <v>2025</v>
      </c>
      <c r="V849" s="15">
        <f t="shared" si="8"/>
        <v>20</v>
      </c>
      <c r="W849" s="15">
        <f t="shared" si="9"/>
        <v>2</v>
      </c>
      <c r="X849" s="15">
        <f t="shared" si="10"/>
        <v>2025</v>
      </c>
    </row>
    <row r="850">
      <c r="A850" s="9">
        <v>45708.0</v>
      </c>
      <c r="B850" s="9">
        <v>45693.0</v>
      </c>
      <c r="C850" s="9">
        <f t="shared" si="22"/>
        <v>45708</v>
      </c>
      <c r="D850" s="11" t="s">
        <v>179</v>
      </c>
      <c r="E850" s="29" t="s">
        <v>25</v>
      </c>
      <c r="F850" s="11" t="s">
        <v>107</v>
      </c>
      <c r="G850" s="11" t="s">
        <v>27</v>
      </c>
      <c r="I850" s="31">
        <v>150.0</v>
      </c>
      <c r="J850" s="13"/>
      <c r="K850" s="13">
        <f t="shared" si="50"/>
        <v>150</v>
      </c>
      <c r="L850" s="11" t="s">
        <v>34</v>
      </c>
      <c r="M850" s="14"/>
      <c r="N850" s="11" t="s">
        <v>181</v>
      </c>
      <c r="O850" s="10" t="str">
        <f t="shared" si="48"/>
        <v>02/2025</v>
      </c>
      <c r="P850" s="10" t="str">
        <f t="shared" si="29"/>
        <v>02/2025</v>
      </c>
      <c r="Q850" s="15" t="str">
        <f t="array" ref="Q850">IFERROR(XLOOKUP(N850,'Classificação'!A:A,'Classificação'!B:B),"")</f>
        <v>DESPESAS COM VEICULOS</v>
      </c>
      <c r="R850" s="15" t="str">
        <f t="array" ref="R850">IFERROR(XLOOKUP(Q850,'Classificação'!B:B,'Classificação'!C:C),"")</f>
        <v>DESPESAS FIXAS (-)</v>
      </c>
      <c r="S850" s="15">
        <f t="shared" si="5"/>
        <v>20</v>
      </c>
      <c r="T850" s="15">
        <f t="shared" si="6"/>
        <v>2</v>
      </c>
      <c r="U850" s="15">
        <f t="shared" si="7"/>
        <v>2025</v>
      </c>
      <c r="V850" s="15">
        <f t="shared" si="8"/>
        <v>20</v>
      </c>
      <c r="W850" s="15">
        <f t="shared" si="9"/>
        <v>2</v>
      </c>
      <c r="X850" s="15">
        <f t="shared" si="10"/>
        <v>2025</v>
      </c>
    </row>
    <row r="851">
      <c r="A851" s="9">
        <v>45708.0</v>
      </c>
      <c r="B851" s="9">
        <v>45685.0</v>
      </c>
      <c r="C851" s="9">
        <f t="shared" si="22"/>
        <v>45708</v>
      </c>
      <c r="D851" s="11" t="s">
        <v>320</v>
      </c>
      <c r="E851" s="29" t="s">
        <v>25</v>
      </c>
      <c r="F851" s="11" t="s">
        <v>107</v>
      </c>
      <c r="G851" s="11" t="s">
        <v>27</v>
      </c>
      <c r="H851" s="11" t="s">
        <v>569</v>
      </c>
      <c r="I851" s="31">
        <v>198.8</v>
      </c>
      <c r="J851" s="13"/>
      <c r="K851" s="13">
        <f t="shared" si="50"/>
        <v>198.8</v>
      </c>
      <c r="L851" s="11" t="s">
        <v>34</v>
      </c>
      <c r="M851" s="14"/>
      <c r="N851" s="11" t="s">
        <v>272</v>
      </c>
      <c r="O851" s="10" t="str">
        <f t="shared" si="48"/>
        <v>02/2025</v>
      </c>
      <c r="P851" s="10" t="str">
        <f t="shared" si="29"/>
        <v>02/2025</v>
      </c>
      <c r="Q851" s="15" t="str">
        <f t="array" ref="Q851">IFERROR(XLOOKUP(N851,'Classificação'!A:A,'Classificação'!B:B),"")</f>
        <v>DESPESAS COM VIAGENS</v>
      </c>
      <c r="R851" s="15" t="str">
        <f t="array" ref="R851">IFERROR(XLOOKUP(Q851,'Classificação'!B:B,'Classificação'!C:C),"")</f>
        <v>DESPESAS FIXAS (-)</v>
      </c>
      <c r="S851" s="15">
        <f t="shared" si="5"/>
        <v>20</v>
      </c>
      <c r="T851" s="15">
        <f t="shared" si="6"/>
        <v>2</v>
      </c>
      <c r="U851" s="15">
        <f t="shared" si="7"/>
        <v>2025</v>
      </c>
      <c r="V851" s="15">
        <f t="shared" si="8"/>
        <v>20</v>
      </c>
      <c r="W851" s="15">
        <f t="shared" si="9"/>
        <v>2</v>
      </c>
      <c r="X851" s="15">
        <f t="shared" si="10"/>
        <v>2025</v>
      </c>
    </row>
    <row r="852">
      <c r="A852" s="9">
        <v>45708.0</v>
      </c>
      <c r="B852" s="9">
        <v>45666.0</v>
      </c>
      <c r="C852" s="9">
        <f t="shared" si="22"/>
        <v>45708</v>
      </c>
      <c r="D852" s="11" t="s">
        <v>570</v>
      </c>
      <c r="E852" s="29" t="s">
        <v>25</v>
      </c>
      <c r="F852" s="11" t="s">
        <v>107</v>
      </c>
      <c r="G852" s="11" t="s">
        <v>27</v>
      </c>
      <c r="H852" s="11" t="s">
        <v>571</v>
      </c>
      <c r="I852" s="31">
        <v>245.51</v>
      </c>
      <c r="J852" s="13"/>
      <c r="K852" s="13">
        <f t="shared" si="50"/>
        <v>245.51</v>
      </c>
      <c r="L852" s="11" t="s">
        <v>34</v>
      </c>
      <c r="M852" s="14"/>
      <c r="N852" s="11" t="s">
        <v>35</v>
      </c>
      <c r="O852" s="10" t="str">
        <f t="shared" si="48"/>
        <v>02/2025</v>
      </c>
      <c r="P852" s="10" t="str">
        <f t="shared" si="29"/>
        <v>02/2025</v>
      </c>
      <c r="Q852" s="15" t="str">
        <f t="array" ref="Q852">IFERROR(XLOOKUP(N852,'Classificação'!A:A,'Classificação'!B:B),"")</f>
        <v>COMPRA DE MERCADORIA</v>
      </c>
      <c r="R852" s="15" t="str">
        <f t="array" ref="R852">IFERROR(XLOOKUP(Q852,'Classificação'!B:B,'Classificação'!C:C),"")</f>
        <v>CUSTOS VARIÁVEIS</v>
      </c>
      <c r="S852" s="15">
        <f t="shared" si="5"/>
        <v>20</v>
      </c>
      <c r="T852" s="15">
        <f t="shared" si="6"/>
        <v>2</v>
      </c>
      <c r="U852" s="15">
        <f t="shared" si="7"/>
        <v>2025</v>
      </c>
      <c r="V852" s="15">
        <f t="shared" si="8"/>
        <v>20</v>
      </c>
      <c r="W852" s="15">
        <f t="shared" si="9"/>
        <v>2</v>
      </c>
      <c r="X852" s="15">
        <f t="shared" si="10"/>
        <v>2025</v>
      </c>
    </row>
    <row r="853">
      <c r="A853" s="9">
        <v>45708.0</v>
      </c>
      <c r="B853" s="32">
        <v>45667.0</v>
      </c>
      <c r="C853" s="9">
        <f t="shared" si="22"/>
        <v>45708</v>
      </c>
      <c r="D853" s="11" t="s">
        <v>570</v>
      </c>
      <c r="E853" s="29" t="s">
        <v>25</v>
      </c>
      <c r="F853" s="11" t="s">
        <v>107</v>
      </c>
      <c r="G853" s="11" t="s">
        <v>27</v>
      </c>
      <c r="H853" s="11" t="s">
        <v>571</v>
      </c>
      <c r="I853" s="31">
        <v>874.67</v>
      </c>
      <c r="J853" s="13"/>
      <c r="K853" s="13">
        <f t="shared" si="50"/>
        <v>874.67</v>
      </c>
      <c r="L853" s="11" t="s">
        <v>34</v>
      </c>
      <c r="M853" s="14"/>
      <c r="N853" s="11" t="s">
        <v>35</v>
      </c>
      <c r="O853" s="10" t="str">
        <f t="shared" si="48"/>
        <v>02/2025</v>
      </c>
      <c r="P853" s="10" t="str">
        <f t="shared" si="29"/>
        <v>02/2025</v>
      </c>
      <c r="Q853" s="15" t="str">
        <f t="array" ref="Q853">IFERROR(XLOOKUP(N853,'Classificação'!A:A,'Classificação'!B:B),"")</f>
        <v>COMPRA DE MERCADORIA</v>
      </c>
      <c r="R853" s="15" t="str">
        <f t="array" ref="R853">IFERROR(XLOOKUP(Q853,'Classificação'!B:B,'Classificação'!C:C),"")</f>
        <v>CUSTOS VARIÁVEIS</v>
      </c>
      <c r="S853" s="15">
        <f t="shared" si="5"/>
        <v>20</v>
      </c>
      <c r="T853" s="15">
        <f t="shared" si="6"/>
        <v>2</v>
      </c>
      <c r="U853" s="15">
        <f t="shared" si="7"/>
        <v>2025</v>
      </c>
      <c r="V853" s="15">
        <f t="shared" si="8"/>
        <v>20</v>
      </c>
      <c r="W853" s="15">
        <f t="shared" si="9"/>
        <v>2</v>
      </c>
      <c r="X853" s="15">
        <f t="shared" si="10"/>
        <v>2025</v>
      </c>
    </row>
    <row r="854">
      <c r="A854" s="9">
        <v>45708.0</v>
      </c>
      <c r="B854" s="32">
        <v>45674.0</v>
      </c>
      <c r="C854" s="9">
        <f t="shared" si="22"/>
        <v>45708</v>
      </c>
      <c r="D854" s="11" t="s">
        <v>182</v>
      </c>
      <c r="E854" s="29" t="s">
        <v>25</v>
      </c>
      <c r="F854" s="11" t="s">
        <v>107</v>
      </c>
      <c r="G854" s="11" t="s">
        <v>27</v>
      </c>
      <c r="H854" s="11" t="s">
        <v>572</v>
      </c>
      <c r="I854" s="31">
        <v>10.37</v>
      </c>
      <c r="J854" s="13"/>
      <c r="K854" s="13">
        <f t="shared" si="50"/>
        <v>10.37</v>
      </c>
      <c r="L854" s="11" t="s">
        <v>34</v>
      </c>
      <c r="M854" s="14"/>
      <c r="N854" s="11" t="s">
        <v>184</v>
      </c>
      <c r="O854" s="10" t="str">
        <f t="shared" si="48"/>
        <v>02/2025</v>
      </c>
      <c r="P854" s="10" t="str">
        <f t="shared" si="29"/>
        <v>02/2025</v>
      </c>
      <c r="Q854" s="15" t="str">
        <f t="array" ref="Q854">IFERROR(XLOOKUP(N854,'Classificação'!A:A,'Classificação'!B:B),"")</f>
        <v>DESPESAS ADMINISTRATIVAS</v>
      </c>
      <c r="R854" s="15" t="str">
        <f t="array" ref="R854">IFERROR(XLOOKUP(Q854,'Classificação'!B:B,'Classificação'!C:C),"")</f>
        <v>DESPESAS FIXAS (-)</v>
      </c>
      <c r="S854" s="15">
        <f t="shared" si="5"/>
        <v>20</v>
      </c>
      <c r="T854" s="15">
        <f t="shared" si="6"/>
        <v>2</v>
      </c>
      <c r="U854" s="15">
        <f t="shared" si="7"/>
        <v>2025</v>
      </c>
      <c r="V854" s="15">
        <f t="shared" si="8"/>
        <v>20</v>
      </c>
      <c r="W854" s="15">
        <f t="shared" si="9"/>
        <v>2</v>
      </c>
      <c r="X854" s="15">
        <f t="shared" si="10"/>
        <v>2025</v>
      </c>
    </row>
    <row r="855">
      <c r="A855" s="9">
        <v>45708.0</v>
      </c>
      <c r="B855" s="32">
        <v>45677.0</v>
      </c>
      <c r="C855" s="9">
        <f t="shared" si="22"/>
        <v>45708</v>
      </c>
      <c r="D855" s="11" t="s">
        <v>182</v>
      </c>
      <c r="E855" s="29" t="s">
        <v>25</v>
      </c>
      <c r="F855" s="11" t="s">
        <v>107</v>
      </c>
      <c r="G855" s="11" t="s">
        <v>27</v>
      </c>
      <c r="H855" s="11" t="s">
        <v>572</v>
      </c>
      <c r="I855" s="31">
        <v>10.9</v>
      </c>
      <c r="J855" s="13"/>
      <c r="K855" s="13">
        <f t="shared" si="50"/>
        <v>10.9</v>
      </c>
      <c r="L855" s="11" t="s">
        <v>34</v>
      </c>
      <c r="M855" s="14"/>
      <c r="N855" s="11" t="s">
        <v>184</v>
      </c>
      <c r="O855" s="10" t="str">
        <f t="shared" si="48"/>
        <v>02/2025</v>
      </c>
      <c r="P855" s="10" t="str">
        <f t="shared" si="29"/>
        <v>02/2025</v>
      </c>
      <c r="Q855" s="15" t="str">
        <f t="array" ref="Q855">IFERROR(XLOOKUP(N855,'Classificação'!A:A,'Classificação'!B:B),"")</f>
        <v>DESPESAS ADMINISTRATIVAS</v>
      </c>
      <c r="R855" s="15" t="str">
        <f t="array" ref="R855">IFERROR(XLOOKUP(Q855,'Classificação'!B:B,'Classificação'!C:C),"")</f>
        <v>DESPESAS FIXAS (-)</v>
      </c>
      <c r="S855" s="15">
        <f t="shared" si="5"/>
        <v>20</v>
      </c>
      <c r="T855" s="15">
        <f t="shared" si="6"/>
        <v>2</v>
      </c>
      <c r="U855" s="15">
        <f t="shared" si="7"/>
        <v>2025</v>
      </c>
      <c r="V855" s="15">
        <f t="shared" si="8"/>
        <v>20</v>
      </c>
      <c r="W855" s="15">
        <f t="shared" si="9"/>
        <v>2</v>
      </c>
      <c r="X855" s="15">
        <f t="shared" si="10"/>
        <v>2025</v>
      </c>
    </row>
    <row r="856">
      <c r="A856" s="9">
        <v>45708.0</v>
      </c>
      <c r="B856" s="36">
        <v>45667.0</v>
      </c>
      <c r="C856" s="9">
        <f t="shared" si="22"/>
        <v>45708</v>
      </c>
      <c r="D856" s="11" t="s">
        <v>44</v>
      </c>
      <c r="E856" s="29" t="s">
        <v>25</v>
      </c>
      <c r="F856" s="29" t="s">
        <v>107</v>
      </c>
      <c r="G856" s="11" t="s">
        <v>27</v>
      </c>
      <c r="H856" s="29" t="s">
        <v>573</v>
      </c>
      <c r="I856" s="33">
        <v>10.56</v>
      </c>
      <c r="J856" s="34"/>
      <c r="K856" s="13">
        <f t="shared" si="50"/>
        <v>10.56</v>
      </c>
      <c r="L856" s="29" t="s">
        <v>34</v>
      </c>
      <c r="M856" s="35"/>
      <c r="N856" s="29" t="s">
        <v>574</v>
      </c>
      <c r="O856" s="10" t="str">
        <f t="shared" si="48"/>
        <v>02/2025</v>
      </c>
      <c r="P856" s="10" t="str">
        <f t="shared" si="29"/>
        <v>02/2025</v>
      </c>
      <c r="Q856" s="15" t="str">
        <f t="array" ref="Q856">IFERROR(XLOOKUP(N856,'Classificação'!A:A,'Classificação'!B:B),"")</f>
        <v>TARIFAS FINANCEIRAS DIVERSAS</v>
      </c>
      <c r="R856" s="15" t="str">
        <f t="array" ref="R856">IFERROR(XLOOKUP(Q856,'Classificação'!B:B,'Classificação'!C:C),"")</f>
        <v>(+/-) RESULTADO FINANCEIRO LÍQUIDO</v>
      </c>
      <c r="S856" s="15">
        <f t="shared" si="5"/>
        <v>20</v>
      </c>
      <c r="T856" s="15">
        <f t="shared" si="6"/>
        <v>2</v>
      </c>
      <c r="U856" s="15">
        <f t="shared" si="7"/>
        <v>2025</v>
      </c>
      <c r="V856" s="15">
        <f t="shared" si="8"/>
        <v>20</v>
      </c>
      <c r="W856" s="15">
        <f t="shared" si="9"/>
        <v>2</v>
      </c>
      <c r="X856" s="15">
        <f t="shared" si="10"/>
        <v>2025</v>
      </c>
    </row>
    <row r="857">
      <c r="A857" s="9">
        <v>45708.0</v>
      </c>
      <c r="B857" s="36">
        <v>45679.0</v>
      </c>
      <c r="C857" s="9">
        <f t="shared" si="22"/>
        <v>45708</v>
      </c>
      <c r="D857" s="29" t="s">
        <v>65</v>
      </c>
      <c r="E857" s="29" t="s">
        <v>25</v>
      </c>
      <c r="F857" s="29" t="s">
        <v>107</v>
      </c>
      <c r="G857" s="11" t="s">
        <v>27</v>
      </c>
      <c r="H857" s="29" t="s">
        <v>575</v>
      </c>
      <c r="I857" s="33">
        <v>137.47</v>
      </c>
      <c r="J857" s="34"/>
      <c r="K857" s="13">
        <f t="shared" si="50"/>
        <v>137.47</v>
      </c>
      <c r="L857" s="29" t="s">
        <v>34</v>
      </c>
      <c r="M857" s="35"/>
      <c r="N857" s="29" t="s">
        <v>143</v>
      </c>
      <c r="O857" s="10" t="str">
        <f t="shared" si="48"/>
        <v>02/2025</v>
      </c>
      <c r="P857" s="10" t="str">
        <f t="shared" si="29"/>
        <v>02/2025</v>
      </c>
      <c r="Q857" s="15" t="str">
        <f t="array" ref="Q857">IFERROR(XLOOKUP(N857,'Classificação'!A:A,'Classificação'!B:B),"")</f>
        <v>EMBALAGENS/FITAS/GERAL</v>
      </c>
      <c r="R857" s="15" t="str">
        <f t="array" ref="R857">IFERROR(XLOOKUP(Q857,'Classificação'!B:B,'Classificação'!C:C),"")</f>
        <v>CUSTOS VARIÁVEIS</v>
      </c>
      <c r="S857" s="15">
        <f t="shared" si="5"/>
        <v>20</v>
      </c>
      <c r="T857" s="15">
        <f t="shared" si="6"/>
        <v>2</v>
      </c>
      <c r="U857" s="15">
        <f t="shared" si="7"/>
        <v>2025</v>
      </c>
      <c r="V857" s="15">
        <f t="shared" si="8"/>
        <v>20</v>
      </c>
      <c r="W857" s="15">
        <f t="shared" si="9"/>
        <v>2</v>
      </c>
      <c r="X857" s="15">
        <f t="shared" si="10"/>
        <v>2025</v>
      </c>
    </row>
    <row r="858">
      <c r="A858" s="9">
        <v>45708.0</v>
      </c>
      <c r="B858" s="10"/>
      <c r="C858" s="9">
        <f t="shared" si="22"/>
        <v>45708</v>
      </c>
      <c r="D858" s="11" t="s">
        <v>200</v>
      </c>
      <c r="E858" s="11" t="s">
        <v>25</v>
      </c>
      <c r="F858" s="11" t="s">
        <v>40</v>
      </c>
      <c r="G858" s="11" t="s">
        <v>37</v>
      </c>
      <c r="I858" s="12">
        <v>170.0</v>
      </c>
      <c r="J858" s="13"/>
      <c r="K858" s="13">
        <f t="shared" si="50"/>
        <v>170</v>
      </c>
      <c r="L858" s="11" t="s">
        <v>29</v>
      </c>
      <c r="M858" s="14"/>
      <c r="N858" s="11" t="s">
        <v>201</v>
      </c>
      <c r="O858" s="10" t="str">
        <f t="shared" si="48"/>
        <v>02/2025</v>
      </c>
      <c r="P858" s="10" t="str">
        <f t="shared" si="29"/>
        <v>02/2025</v>
      </c>
      <c r="Q858" s="15" t="str">
        <f t="array" ref="Q858">IFERROR(XLOOKUP(N858,'Classificação'!A:A,'Classificação'!B:B),"")</f>
        <v>DESPESAS COM OCUPAÇÃO</v>
      </c>
      <c r="R858" s="15" t="str">
        <f t="array" ref="R858">IFERROR(XLOOKUP(Q858,'Classificação'!B:B,'Classificação'!C:C),"")</f>
        <v>DESPESAS FIXAS (-)</v>
      </c>
      <c r="S858" s="15">
        <f t="shared" si="5"/>
        <v>20</v>
      </c>
      <c r="T858" s="15">
        <f t="shared" si="6"/>
        <v>2</v>
      </c>
      <c r="U858" s="15">
        <f t="shared" si="7"/>
        <v>2025</v>
      </c>
      <c r="V858" s="15">
        <f t="shared" si="8"/>
        <v>20</v>
      </c>
      <c r="W858" s="15">
        <f t="shared" si="9"/>
        <v>2</v>
      </c>
      <c r="X858" s="15">
        <f t="shared" si="10"/>
        <v>2025</v>
      </c>
    </row>
    <row r="859">
      <c r="A859" s="9">
        <v>45708.0</v>
      </c>
      <c r="B859" s="10"/>
      <c r="C859" s="9">
        <f t="shared" si="22"/>
        <v>45708</v>
      </c>
      <c r="D859" s="11" t="s">
        <v>137</v>
      </c>
      <c r="E859" s="11" t="s">
        <v>25</v>
      </c>
      <c r="F859" s="11" t="s">
        <v>26</v>
      </c>
      <c r="G859" s="11" t="s">
        <v>27</v>
      </c>
      <c r="H859" s="11" t="s">
        <v>576</v>
      </c>
      <c r="I859" s="12">
        <v>64.99</v>
      </c>
      <c r="J859" s="13"/>
      <c r="K859" s="13">
        <f t="shared" si="50"/>
        <v>64.99</v>
      </c>
      <c r="L859" s="11" t="s">
        <v>34</v>
      </c>
      <c r="M859" s="14"/>
      <c r="N859" s="11" t="s">
        <v>35</v>
      </c>
      <c r="O859" s="10" t="str">
        <f t="shared" si="48"/>
        <v>02/2025</v>
      </c>
      <c r="P859" s="10" t="str">
        <f t="shared" si="29"/>
        <v>02/2025</v>
      </c>
      <c r="Q859" s="15" t="str">
        <f t="array" ref="Q859">IFERROR(XLOOKUP(N859,'Classificação'!A:A,'Classificação'!B:B),"")</f>
        <v>COMPRA DE MERCADORIA</v>
      </c>
      <c r="R859" s="15" t="str">
        <f t="array" ref="R859">IFERROR(XLOOKUP(Q859,'Classificação'!B:B,'Classificação'!C:C),"")</f>
        <v>CUSTOS VARIÁVEIS</v>
      </c>
      <c r="S859" s="15">
        <f t="shared" si="5"/>
        <v>20</v>
      </c>
      <c r="T859" s="15">
        <f t="shared" si="6"/>
        <v>2</v>
      </c>
      <c r="U859" s="15">
        <f t="shared" si="7"/>
        <v>2025</v>
      </c>
      <c r="V859" s="15">
        <f t="shared" si="8"/>
        <v>20</v>
      </c>
      <c r="W859" s="15">
        <f t="shared" si="9"/>
        <v>2</v>
      </c>
      <c r="X859" s="15">
        <f t="shared" si="10"/>
        <v>2025</v>
      </c>
    </row>
    <row r="860">
      <c r="A860" s="9">
        <v>45709.0</v>
      </c>
      <c r="B860" s="10"/>
      <c r="C860" s="9">
        <f t="shared" si="22"/>
        <v>45709</v>
      </c>
      <c r="D860" s="11" t="s">
        <v>44</v>
      </c>
      <c r="E860" s="11" t="s">
        <v>25</v>
      </c>
      <c r="F860" s="11" t="s">
        <v>45</v>
      </c>
      <c r="G860" s="11" t="s">
        <v>27</v>
      </c>
      <c r="H860" s="22" t="s">
        <v>577</v>
      </c>
      <c r="I860" s="12">
        <v>75058.02</v>
      </c>
      <c r="J860" s="13"/>
      <c r="K860" s="13">
        <f t="shared" si="50"/>
        <v>75058.02</v>
      </c>
      <c r="L860" s="11" t="s">
        <v>34</v>
      </c>
      <c r="M860" s="14"/>
      <c r="N860" s="11" t="s">
        <v>35</v>
      </c>
      <c r="O860" s="10" t="str">
        <f t="shared" si="48"/>
        <v>02/2025</v>
      </c>
      <c r="P860" s="10" t="str">
        <f t="shared" si="29"/>
        <v>02/2025</v>
      </c>
      <c r="Q860" s="15" t="str">
        <f t="array" ref="Q860">IFERROR(XLOOKUP(N860,'Classificação'!A:A,'Classificação'!B:B),"")</f>
        <v>COMPRA DE MERCADORIA</v>
      </c>
      <c r="R860" s="15" t="str">
        <f t="array" ref="R860">IFERROR(XLOOKUP(Q860,'Classificação'!B:B,'Classificação'!C:C),"")</f>
        <v>CUSTOS VARIÁVEIS</v>
      </c>
      <c r="S860" s="15">
        <f t="shared" si="5"/>
        <v>21</v>
      </c>
      <c r="T860" s="15">
        <f t="shared" si="6"/>
        <v>2</v>
      </c>
      <c r="U860" s="15">
        <f t="shared" si="7"/>
        <v>2025</v>
      </c>
      <c r="V860" s="15">
        <f t="shared" si="8"/>
        <v>21</v>
      </c>
      <c r="W860" s="15">
        <f t="shared" si="9"/>
        <v>2</v>
      </c>
      <c r="X860" s="15">
        <f t="shared" si="10"/>
        <v>2025</v>
      </c>
    </row>
    <row r="861">
      <c r="A861" s="9">
        <v>45709.0</v>
      </c>
      <c r="B861" s="10"/>
      <c r="C861" s="9">
        <f t="shared" si="22"/>
        <v>45709</v>
      </c>
      <c r="D861" s="11" t="s">
        <v>127</v>
      </c>
      <c r="E861" s="11" t="s">
        <v>25</v>
      </c>
      <c r="F861" s="11" t="s">
        <v>26</v>
      </c>
      <c r="G861" s="11" t="s">
        <v>37</v>
      </c>
      <c r="I861" s="12">
        <v>630.0</v>
      </c>
      <c r="J861" s="13"/>
      <c r="K861" s="13">
        <f t="shared" si="50"/>
        <v>630</v>
      </c>
      <c r="L861" s="11" t="s">
        <v>29</v>
      </c>
      <c r="M861" s="14"/>
      <c r="N861" s="11" t="s">
        <v>58</v>
      </c>
      <c r="O861" s="10" t="str">
        <f t="shared" si="48"/>
        <v>02/2025</v>
      </c>
      <c r="P861" s="10" t="str">
        <f t="shared" si="29"/>
        <v>02/2025</v>
      </c>
      <c r="Q861" s="15" t="str">
        <f t="array" ref="Q861">IFERROR(XLOOKUP(N861,'Classificação'!A:A,'Classificação'!B:B),"")</f>
        <v>DESPESAS ADMINISTRATIVAS</v>
      </c>
      <c r="R861" s="15" t="str">
        <f t="array" ref="R861">IFERROR(XLOOKUP(Q861,'Classificação'!B:B,'Classificação'!C:C),"")</f>
        <v>DESPESAS FIXAS (-)</v>
      </c>
      <c r="S861" s="15">
        <f t="shared" si="5"/>
        <v>21</v>
      </c>
      <c r="T861" s="15">
        <f t="shared" si="6"/>
        <v>2</v>
      </c>
      <c r="U861" s="15">
        <f t="shared" si="7"/>
        <v>2025</v>
      </c>
      <c r="V861" s="15">
        <f t="shared" si="8"/>
        <v>21</v>
      </c>
      <c r="W861" s="15">
        <f t="shared" si="9"/>
        <v>2</v>
      </c>
      <c r="X861" s="15">
        <f t="shared" si="10"/>
        <v>2025</v>
      </c>
    </row>
    <row r="862">
      <c r="A862" s="27">
        <v>45709.0</v>
      </c>
      <c r="B862" s="30"/>
      <c r="C862" s="9">
        <f t="shared" si="22"/>
        <v>45709</v>
      </c>
      <c r="D862" s="28" t="s">
        <v>44</v>
      </c>
      <c r="E862" s="29" t="s">
        <v>25</v>
      </c>
      <c r="F862" s="28" t="s">
        <v>45</v>
      </c>
      <c r="G862" s="28" t="s">
        <v>27</v>
      </c>
      <c r="H862" s="43" t="s">
        <v>578</v>
      </c>
      <c r="I862" s="24">
        <v>1151.29</v>
      </c>
      <c r="J862" s="34"/>
      <c r="K862" s="13">
        <f t="shared" si="50"/>
        <v>1151.29</v>
      </c>
      <c r="L862" s="28" t="s">
        <v>34</v>
      </c>
      <c r="M862" s="28"/>
      <c r="N862" s="29" t="s">
        <v>574</v>
      </c>
      <c r="O862" s="10" t="str">
        <f t="shared" si="48"/>
        <v>02/2025</v>
      </c>
      <c r="P862" s="10" t="str">
        <f t="shared" si="29"/>
        <v>02/2025</v>
      </c>
      <c r="Q862" s="15" t="str">
        <f t="array" ref="Q862">IFERROR(XLOOKUP(N862,'Classificação'!A:A,'Classificação'!B:B),"")</f>
        <v>TARIFAS FINANCEIRAS DIVERSAS</v>
      </c>
      <c r="R862" s="15" t="str">
        <f t="array" ref="R862">IFERROR(XLOOKUP(Q862,'Classificação'!B:B,'Classificação'!C:C),"")</f>
        <v>(+/-) RESULTADO FINANCEIRO LÍQUIDO</v>
      </c>
      <c r="S862" s="15">
        <f t="shared" si="5"/>
        <v>21</v>
      </c>
      <c r="T862" s="15">
        <f t="shared" si="6"/>
        <v>2</v>
      </c>
      <c r="U862" s="15">
        <f t="shared" si="7"/>
        <v>2025</v>
      </c>
      <c r="V862" s="15">
        <f t="shared" si="8"/>
        <v>21</v>
      </c>
      <c r="W862" s="15">
        <f t="shared" si="9"/>
        <v>2</v>
      </c>
      <c r="X862" s="15">
        <f t="shared" si="10"/>
        <v>2025</v>
      </c>
    </row>
    <row r="863">
      <c r="A863" s="27">
        <v>45709.0</v>
      </c>
      <c r="B863" s="30"/>
      <c r="C863" s="9">
        <f t="shared" si="22"/>
        <v>45709</v>
      </c>
      <c r="D863" s="28" t="s">
        <v>44</v>
      </c>
      <c r="E863" s="29" t="s">
        <v>25</v>
      </c>
      <c r="F863" s="28" t="s">
        <v>45</v>
      </c>
      <c r="G863" s="28" t="s">
        <v>27</v>
      </c>
      <c r="H863" s="43" t="s">
        <v>579</v>
      </c>
      <c r="I863" s="24">
        <v>550.0</v>
      </c>
      <c r="J863" s="34"/>
      <c r="K863" s="13">
        <f t="shared" si="50"/>
        <v>550</v>
      </c>
      <c r="L863" s="28" t="s">
        <v>34</v>
      </c>
      <c r="M863" s="28"/>
      <c r="N863" s="29" t="s">
        <v>574</v>
      </c>
      <c r="O863" s="10" t="str">
        <f t="shared" si="48"/>
        <v>02/2025</v>
      </c>
      <c r="P863" s="10" t="str">
        <f t="shared" si="29"/>
        <v>02/2025</v>
      </c>
      <c r="Q863" s="15" t="str">
        <f t="array" ref="Q863">IFERROR(XLOOKUP(N863,'Classificação'!A:A,'Classificação'!B:B),"")</f>
        <v>TARIFAS FINANCEIRAS DIVERSAS</v>
      </c>
      <c r="R863" s="15" t="str">
        <f t="array" ref="R863">IFERROR(XLOOKUP(Q863,'Classificação'!B:B,'Classificação'!C:C),"")</f>
        <v>(+/-) RESULTADO FINANCEIRO LÍQUIDO</v>
      </c>
      <c r="S863" s="15">
        <f t="shared" si="5"/>
        <v>21</v>
      </c>
      <c r="T863" s="15">
        <f t="shared" si="6"/>
        <v>2</v>
      </c>
      <c r="U863" s="15">
        <f t="shared" si="7"/>
        <v>2025</v>
      </c>
      <c r="V863" s="15">
        <f t="shared" si="8"/>
        <v>21</v>
      </c>
      <c r="W863" s="15">
        <f t="shared" si="9"/>
        <v>2</v>
      </c>
      <c r="X863" s="15">
        <f t="shared" si="10"/>
        <v>2025</v>
      </c>
    </row>
    <row r="864">
      <c r="A864" s="27">
        <v>45709.0</v>
      </c>
      <c r="B864" s="30"/>
      <c r="C864" s="9">
        <f t="shared" si="22"/>
        <v>45709</v>
      </c>
      <c r="D864" s="28" t="s">
        <v>44</v>
      </c>
      <c r="E864" s="29" t="s">
        <v>25</v>
      </c>
      <c r="F864" s="28" t="s">
        <v>45</v>
      </c>
      <c r="G864" s="28" t="s">
        <v>27</v>
      </c>
      <c r="H864" s="43" t="s">
        <v>580</v>
      </c>
      <c r="I864" s="24">
        <v>550.0</v>
      </c>
      <c r="J864" s="34"/>
      <c r="K864" s="13">
        <f t="shared" si="50"/>
        <v>550</v>
      </c>
      <c r="L864" s="28" t="s">
        <v>34</v>
      </c>
      <c r="M864" s="28"/>
      <c r="N864" s="29" t="s">
        <v>574</v>
      </c>
      <c r="O864" s="10" t="str">
        <f t="shared" si="48"/>
        <v>02/2025</v>
      </c>
      <c r="P864" s="10" t="str">
        <f t="shared" si="29"/>
        <v>02/2025</v>
      </c>
      <c r="Q864" s="15" t="str">
        <f t="array" ref="Q864">IFERROR(XLOOKUP(N864,'Classificação'!A:A,'Classificação'!B:B),"")</f>
        <v>TARIFAS FINANCEIRAS DIVERSAS</v>
      </c>
      <c r="R864" s="15" t="str">
        <f t="array" ref="R864">IFERROR(XLOOKUP(Q864,'Classificação'!B:B,'Classificação'!C:C),"")</f>
        <v>(+/-) RESULTADO FINANCEIRO LÍQUIDO</v>
      </c>
      <c r="S864" s="15">
        <f t="shared" si="5"/>
        <v>21</v>
      </c>
      <c r="T864" s="15">
        <f t="shared" si="6"/>
        <v>2</v>
      </c>
      <c r="U864" s="15">
        <f t="shared" si="7"/>
        <v>2025</v>
      </c>
      <c r="V864" s="15">
        <f t="shared" si="8"/>
        <v>21</v>
      </c>
      <c r="W864" s="15">
        <f t="shared" si="9"/>
        <v>2</v>
      </c>
      <c r="X864" s="15">
        <f t="shared" si="10"/>
        <v>2025</v>
      </c>
    </row>
    <row r="865">
      <c r="A865" s="27">
        <v>45709.0</v>
      </c>
      <c r="B865" s="30"/>
      <c r="C865" s="9">
        <f t="shared" si="22"/>
        <v>45709</v>
      </c>
      <c r="D865" s="28" t="s">
        <v>44</v>
      </c>
      <c r="E865" s="29" t="s">
        <v>25</v>
      </c>
      <c r="F865" s="28" t="s">
        <v>45</v>
      </c>
      <c r="G865" s="28" t="s">
        <v>27</v>
      </c>
      <c r="H865" s="43" t="s">
        <v>581</v>
      </c>
      <c r="I865" s="24">
        <v>143.91</v>
      </c>
      <c r="J865" s="34"/>
      <c r="K865" s="13">
        <f t="shared" si="50"/>
        <v>143.91</v>
      </c>
      <c r="L865" s="28" t="s">
        <v>34</v>
      </c>
      <c r="M865" s="28"/>
      <c r="N865" s="29" t="s">
        <v>355</v>
      </c>
      <c r="O865" s="10" t="str">
        <f t="shared" si="48"/>
        <v>02/2025</v>
      </c>
      <c r="P865" s="10" t="str">
        <f t="shared" si="29"/>
        <v>02/2025</v>
      </c>
      <c r="Q865" s="15" t="str">
        <f t="array" ref="Q865">IFERROR(XLOOKUP(N865,'Classificação'!A:A,'Classificação'!B:B),"")</f>
        <v>IMPOSTOS E TAXAS DIVERSAS</v>
      </c>
      <c r="R865" s="15" t="str">
        <f t="array" ref="R865">IFERROR(XLOOKUP(Q865,'Classificação'!B:B,'Classificação'!C:C),"")</f>
        <v>DESPESAS FIXAS (-)</v>
      </c>
      <c r="S865" s="15">
        <f t="shared" si="5"/>
        <v>21</v>
      </c>
      <c r="T865" s="15">
        <f t="shared" si="6"/>
        <v>2</v>
      </c>
      <c r="U865" s="15">
        <f t="shared" si="7"/>
        <v>2025</v>
      </c>
      <c r="V865" s="15">
        <f t="shared" si="8"/>
        <v>21</v>
      </c>
      <c r="W865" s="15">
        <f t="shared" si="9"/>
        <v>2</v>
      </c>
      <c r="X865" s="15">
        <f t="shared" si="10"/>
        <v>2025</v>
      </c>
    </row>
    <row r="866">
      <c r="A866" s="9">
        <v>45710.0</v>
      </c>
      <c r="B866" s="10"/>
      <c r="C866" s="9">
        <f t="shared" si="22"/>
        <v>45710</v>
      </c>
      <c r="D866" s="11" t="s">
        <v>36</v>
      </c>
      <c r="E866" s="11" t="s">
        <v>25</v>
      </c>
      <c r="F866" s="11" t="s">
        <v>26</v>
      </c>
      <c r="G866" s="11" t="s">
        <v>37</v>
      </c>
      <c r="I866" s="12">
        <v>300.0</v>
      </c>
      <c r="J866" s="13"/>
      <c r="K866" s="13">
        <f t="shared" si="50"/>
        <v>300</v>
      </c>
      <c r="L866" s="11" t="s">
        <v>34</v>
      </c>
      <c r="M866" s="14"/>
      <c r="N866" s="11" t="s">
        <v>38</v>
      </c>
      <c r="O866" s="10" t="str">
        <f t="shared" si="48"/>
        <v>02/2025</v>
      </c>
      <c r="P866" s="10" t="str">
        <f t="shared" si="29"/>
        <v>02/2025</v>
      </c>
      <c r="Q866" s="15" t="str">
        <f t="array" ref="Q866">IFERROR(XLOOKUP(N866,'Classificação'!A:A,'Classificação'!B:B),"")</f>
        <v>DESPESAS COM PESSOAL</v>
      </c>
      <c r="R866" s="15" t="str">
        <f t="array" ref="R866">IFERROR(XLOOKUP(Q866,'Classificação'!B:B,'Classificação'!C:C),"")</f>
        <v>DESPESAS FIXAS (-)</v>
      </c>
      <c r="S866" s="15">
        <f t="shared" si="5"/>
        <v>22</v>
      </c>
      <c r="T866" s="15">
        <f t="shared" si="6"/>
        <v>2</v>
      </c>
      <c r="U866" s="15">
        <f t="shared" si="7"/>
        <v>2025</v>
      </c>
      <c r="V866" s="15">
        <f t="shared" si="8"/>
        <v>22</v>
      </c>
      <c r="W866" s="15">
        <f t="shared" si="9"/>
        <v>2</v>
      </c>
      <c r="X866" s="15">
        <f t="shared" si="10"/>
        <v>2025</v>
      </c>
    </row>
    <row r="867">
      <c r="A867" s="9">
        <v>45712.0</v>
      </c>
      <c r="B867" s="10"/>
      <c r="C867" s="9">
        <f t="shared" si="22"/>
        <v>45712</v>
      </c>
      <c r="D867" s="11" t="s">
        <v>36</v>
      </c>
      <c r="E867" s="11" t="s">
        <v>25</v>
      </c>
      <c r="F867" s="11" t="s">
        <v>32</v>
      </c>
      <c r="G867" s="11" t="s">
        <v>37</v>
      </c>
      <c r="I867" s="12">
        <v>4550.0</v>
      </c>
      <c r="J867" s="13"/>
      <c r="K867" s="13">
        <f t="shared" si="50"/>
        <v>4550</v>
      </c>
      <c r="L867" s="11" t="s">
        <v>29</v>
      </c>
      <c r="M867" s="14"/>
      <c r="N867" s="11" t="s">
        <v>38</v>
      </c>
      <c r="O867" s="10" t="str">
        <f t="shared" si="48"/>
        <v>02/2025</v>
      </c>
      <c r="P867" s="10" t="str">
        <f t="shared" si="29"/>
        <v>02/2025</v>
      </c>
      <c r="Q867" s="15" t="str">
        <f t="array" ref="Q867">IFERROR(XLOOKUP(N867,'Classificação'!A:A,'Classificação'!B:B),"")</f>
        <v>DESPESAS COM PESSOAL</v>
      </c>
      <c r="R867" s="15" t="str">
        <f t="array" ref="R867">IFERROR(XLOOKUP(Q867,'Classificação'!B:B,'Classificação'!C:C),"")</f>
        <v>DESPESAS FIXAS (-)</v>
      </c>
      <c r="S867" s="15">
        <f t="shared" si="5"/>
        <v>24</v>
      </c>
      <c r="T867" s="15">
        <f t="shared" si="6"/>
        <v>2</v>
      </c>
      <c r="U867" s="15">
        <f t="shared" si="7"/>
        <v>2025</v>
      </c>
      <c r="V867" s="15">
        <f t="shared" si="8"/>
        <v>24</v>
      </c>
      <c r="W867" s="15">
        <f t="shared" si="9"/>
        <v>2</v>
      </c>
      <c r="X867" s="15">
        <f t="shared" si="10"/>
        <v>2025</v>
      </c>
    </row>
    <row r="868">
      <c r="A868" s="9">
        <v>45712.0</v>
      </c>
      <c r="B868" s="10"/>
      <c r="C868" s="9">
        <f t="shared" si="22"/>
        <v>45712</v>
      </c>
      <c r="D868" s="11" t="s">
        <v>43</v>
      </c>
      <c r="E868" s="11" t="s">
        <v>25</v>
      </c>
      <c r="F868" s="11" t="s">
        <v>32</v>
      </c>
      <c r="G868" s="11" t="s">
        <v>37</v>
      </c>
      <c r="I868" s="12">
        <v>4550.0</v>
      </c>
      <c r="J868" s="13"/>
      <c r="K868" s="13">
        <f t="shared" si="50"/>
        <v>4550</v>
      </c>
      <c r="L868" s="11" t="s">
        <v>29</v>
      </c>
      <c r="M868" s="14"/>
      <c r="N868" s="11" t="s">
        <v>38</v>
      </c>
      <c r="O868" s="10" t="str">
        <f t="shared" si="48"/>
        <v>02/2025</v>
      </c>
      <c r="P868" s="10" t="str">
        <f t="shared" si="29"/>
        <v>02/2025</v>
      </c>
      <c r="Q868" s="15" t="str">
        <f t="array" ref="Q868">IFERROR(XLOOKUP(N868,'Classificação'!A:A,'Classificação'!B:B),"")</f>
        <v>DESPESAS COM PESSOAL</v>
      </c>
      <c r="R868" s="15" t="str">
        <f t="array" ref="R868">IFERROR(XLOOKUP(Q868,'Classificação'!B:B,'Classificação'!C:C),"")</f>
        <v>DESPESAS FIXAS (-)</v>
      </c>
      <c r="S868" s="15">
        <f t="shared" si="5"/>
        <v>24</v>
      </c>
      <c r="T868" s="15">
        <f t="shared" si="6"/>
        <v>2</v>
      </c>
      <c r="U868" s="15">
        <f t="shared" si="7"/>
        <v>2025</v>
      </c>
      <c r="V868" s="15">
        <f t="shared" si="8"/>
        <v>24</v>
      </c>
      <c r="W868" s="15">
        <f t="shared" si="9"/>
        <v>2</v>
      </c>
      <c r="X868" s="15">
        <f t="shared" si="10"/>
        <v>2025</v>
      </c>
    </row>
    <row r="869">
      <c r="A869" s="9">
        <v>45712.0</v>
      </c>
      <c r="B869" s="10"/>
      <c r="C869" s="9">
        <f t="shared" si="22"/>
        <v>45712</v>
      </c>
      <c r="D869" s="28" t="s">
        <v>76</v>
      </c>
      <c r="E869" s="29" t="s">
        <v>25</v>
      </c>
      <c r="F869" s="28" t="s">
        <v>26</v>
      </c>
      <c r="G869" s="29" t="s">
        <v>37</v>
      </c>
      <c r="H869" s="28" t="s">
        <v>84</v>
      </c>
      <c r="I869" s="24">
        <v>1214.27</v>
      </c>
      <c r="J869" s="13"/>
      <c r="K869" s="13">
        <f t="shared" si="50"/>
        <v>1214.27</v>
      </c>
      <c r="L869" s="28" t="s">
        <v>53</v>
      </c>
      <c r="M869" s="16" t="s">
        <v>536</v>
      </c>
      <c r="N869" s="28" t="s">
        <v>85</v>
      </c>
      <c r="O869" s="10" t="str">
        <f t="shared" si="48"/>
        <v>02/2025</v>
      </c>
      <c r="P869" s="10" t="str">
        <f t="shared" si="29"/>
        <v>02/2025</v>
      </c>
      <c r="Q869" s="15" t="str">
        <f t="array" ref="Q869">IFERROR(XLOOKUP(N869,'Classificação'!A:A,'Classificação'!B:B),"")</f>
        <v>DESPESAS NÃO OPERACIONAIS</v>
      </c>
      <c r="R869" s="15" t="str">
        <f t="array" ref="R869">IFERROR(XLOOKUP(Q869,'Classificação'!B:B,'Classificação'!C:C),"")</f>
        <v>RESULTADO NÃO OPERACIONAL (+/-)</v>
      </c>
      <c r="S869" s="15">
        <f t="shared" si="5"/>
        <v>24</v>
      </c>
      <c r="T869" s="15">
        <f t="shared" si="6"/>
        <v>2</v>
      </c>
      <c r="U869" s="15">
        <f t="shared" si="7"/>
        <v>2025</v>
      </c>
      <c r="V869" s="15">
        <f t="shared" si="8"/>
        <v>24</v>
      </c>
      <c r="W869" s="15">
        <f t="shared" si="9"/>
        <v>2</v>
      </c>
      <c r="X869" s="15">
        <f t="shared" si="10"/>
        <v>2025</v>
      </c>
    </row>
    <row r="870">
      <c r="A870" s="9">
        <v>45712.0</v>
      </c>
      <c r="B870" s="10"/>
      <c r="C870" s="9">
        <f t="shared" si="22"/>
        <v>45712</v>
      </c>
      <c r="D870" s="11" t="s">
        <v>202</v>
      </c>
      <c r="E870" s="29" t="s">
        <v>25</v>
      </c>
      <c r="F870" s="11" t="s">
        <v>32</v>
      </c>
      <c r="G870" s="11" t="s">
        <v>37</v>
      </c>
      <c r="H870" s="11" t="s">
        <v>203</v>
      </c>
      <c r="I870" s="12">
        <v>469.34</v>
      </c>
      <c r="J870" s="13"/>
      <c r="K870" s="13">
        <f t="shared" si="50"/>
        <v>469.34</v>
      </c>
      <c r="L870" s="11" t="s">
        <v>53</v>
      </c>
      <c r="M870" s="20">
        <v>45603.0</v>
      </c>
      <c r="N870" s="11" t="s">
        <v>73</v>
      </c>
      <c r="O870" s="10" t="str">
        <f t="shared" si="48"/>
        <v>02/2025</v>
      </c>
      <c r="P870" s="10" t="str">
        <f t="shared" si="29"/>
        <v>02/2025</v>
      </c>
      <c r="Q870" s="15" t="str">
        <f t="array" ref="Q870">IFERROR(XLOOKUP(N870,'Classificação'!A:A,'Classificação'!B:B),"")</f>
        <v>DESPESAS NÃO OPERACIONAIS</v>
      </c>
      <c r="R870" s="15" t="str">
        <f t="array" ref="R870">IFERROR(XLOOKUP(Q870,'Classificação'!B:B,'Classificação'!C:C),"")</f>
        <v>RESULTADO NÃO OPERACIONAL (+/-)</v>
      </c>
      <c r="S870" s="15">
        <f t="shared" si="5"/>
        <v>24</v>
      </c>
      <c r="T870" s="15">
        <f t="shared" si="6"/>
        <v>2</v>
      </c>
      <c r="U870" s="15">
        <f t="shared" si="7"/>
        <v>2025</v>
      </c>
      <c r="V870" s="15">
        <f t="shared" si="8"/>
        <v>24</v>
      </c>
      <c r="W870" s="15">
        <f t="shared" si="9"/>
        <v>2</v>
      </c>
      <c r="X870" s="15">
        <f t="shared" si="10"/>
        <v>2025</v>
      </c>
    </row>
    <row r="871" ht="15.0" customHeight="1">
      <c r="A871" s="9">
        <v>45712.0</v>
      </c>
      <c r="B871" s="10"/>
      <c r="C871" s="9">
        <f t="shared" si="22"/>
        <v>45712</v>
      </c>
      <c r="D871" s="11" t="s">
        <v>202</v>
      </c>
      <c r="E871" s="29" t="s">
        <v>25</v>
      </c>
      <c r="F871" s="11" t="s">
        <v>32</v>
      </c>
      <c r="G871" s="11" t="s">
        <v>37</v>
      </c>
      <c r="H871" s="11" t="s">
        <v>203</v>
      </c>
      <c r="I871" s="12">
        <v>649.91</v>
      </c>
      <c r="J871" s="13"/>
      <c r="K871" s="13">
        <f t="shared" si="50"/>
        <v>649.91</v>
      </c>
      <c r="L871" s="11" t="s">
        <v>53</v>
      </c>
      <c r="M871" s="20">
        <v>45603.0</v>
      </c>
      <c r="N871" s="11" t="s">
        <v>73</v>
      </c>
      <c r="O871" s="10" t="str">
        <f t="shared" si="48"/>
        <v>02/2025</v>
      </c>
      <c r="P871" s="10" t="str">
        <f t="shared" si="29"/>
        <v>02/2025</v>
      </c>
      <c r="Q871" s="15" t="str">
        <f t="array" ref="Q871">IFERROR(XLOOKUP(N871,'Classificação'!A:A,'Classificação'!B:B),"")</f>
        <v>DESPESAS NÃO OPERACIONAIS</v>
      </c>
      <c r="R871" s="15" t="str">
        <f t="array" ref="R871">IFERROR(XLOOKUP(Q871,'Classificação'!B:B,'Classificação'!C:C),"")</f>
        <v>RESULTADO NÃO OPERACIONAL (+/-)</v>
      </c>
      <c r="S871" s="15">
        <f t="shared" si="5"/>
        <v>24</v>
      </c>
      <c r="T871" s="15">
        <f t="shared" si="6"/>
        <v>2</v>
      </c>
      <c r="U871" s="15">
        <f t="shared" si="7"/>
        <v>2025</v>
      </c>
      <c r="V871" s="15">
        <f t="shared" si="8"/>
        <v>24</v>
      </c>
      <c r="W871" s="15">
        <f t="shared" si="9"/>
        <v>2</v>
      </c>
      <c r="X871" s="15">
        <f t="shared" si="10"/>
        <v>2025</v>
      </c>
    </row>
    <row r="872">
      <c r="A872" s="26">
        <v>45712.0</v>
      </c>
      <c r="B872" s="10"/>
      <c r="C872" s="9">
        <f t="shared" si="22"/>
        <v>45712</v>
      </c>
      <c r="D872" s="28" t="s">
        <v>177</v>
      </c>
      <c r="E872" s="29" t="s">
        <v>25</v>
      </c>
      <c r="F872" s="29" t="s">
        <v>40</v>
      </c>
      <c r="G872" s="29" t="s">
        <v>37</v>
      </c>
      <c r="H872" s="43" t="s">
        <v>582</v>
      </c>
      <c r="I872" s="24">
        <v>223.69</v>
      </c>
      <c r="J872" s="13"/>
      <c r="K872" s="13">
        <f t="shared" si="50"/>
        <v>223.69</v>
      </c>
      <c r="L872" s="28" t="s">
        <v>53</v>
      </c>
      <c r="M872" s="17">
        <v>45446.0</v>
      </c>
      <c r="N872" s="28" t="s">
        <v>178</v>
      </c>
      <c r="O872" s="10" t="str">
        <f t="shared" si="48"/>
        <v>02/2025</v>
      </c>
      <c r="P872" s="10" t="str">
        <f t="shared" si="29"/>
        <v>02/2025</v>
      </c>
      <c r="Q872" s="15" t="str">
        <f t="array" ref="Q872">IFERROR(XLOOKUP(N872,'Classificação'!A:A,'Classificação'!B:B),"")</f>
        <v>DESPESAS COM OCUPAÇÃO</v>
      </c>
      <c r="R872" s="15" t="str">
        <f t="array" ref="R872">IFERROR(XLOOKUP(Q872,'Classificação'!B:B,'Classificação'!C:C),"")</f>
        <v>DESPESAS FIXAS (-)</v>
      </c>
      <c r="S872" s="15">
        <f t="shared" si="5"/>
        <v>24</v>
      </c>
      <c r="T872" s="15">
        <f t="shared" si="6"/>
        <v>2</v>
      </c>
      <c r="U872" s="15">
        <f t="shared" si="7"/>
        <v>2025</v>
      </c>
      <c r="V872" s="15">
        <f t="shared" si="8"/>
        <v>24</v>
      </c>
      <c r="W872" s="15">
        <f t="shared" si="9"/>
        <v>2</v>
      </c>
      <c r="X872" s="15">
        <f t="shared" si="10"/>
        <v>2025</v>
      </c>
    </row>
    <row r="873">
      <c r="A873" s="26">
        <v>45712.0</v>
      </c>
      <c r="B873" s="32">
        <v>45611.0</v>
      </c>
      <c r="C873" s="9">
        <f t="shared" si="22"/>
        <v>45712</v>
      </c>
      <c r="D873" s="11" t="s">
        <v>361</v>
      </c>
      <c r="E873" s="11" t="s">
        <v>25</v>
      </c>
      <c r="F873" s="29" t="s">
        <v>26</v>
      </c>
      <c r="G873" s="11" t="s">
        <v>37</v>
      </c>
      <c r="H873" s="11" t="s">
        <v>362</v>
      </c>
      <c r="I873" s="12">
        <v>180.11</v>
      </c>
      <c r="J873" s="13"/>
      <c r="K873" s="13">
        <f t="shared" si="50"/>
        <v>180.11</v>
      </c>
      <c r="L873" s="11" t="s">
        <v>53</v>
      </c>
      <c r="M873" s="17">
        <v>45630.0</v>
      </c>
      <c r="N873" s="11" t="s">
        <v>363</v>
      </c>
      <c r="O873" s="10" t="str">
        <f t="shared" si="48"/>
        <v>02/2025</v>
      </c>
      <c r="P873" s="10" t="str">
        <f t="shared" si="29"/>
        <v>02/2025</v>
      </c>
      <c r="Q873" s="15" t="str">
        <f t="array" ref="Q873">IFERROR(XLOOKUP(N873,'Classificação'!A:A,'Classificação'!B:B),"")</f>
        <v>DESPESAS NÃO OPERACIONAIS</v>
      </c>
      <c r="R873" s="15" t="str">
        <f t="array" ref="R873">IFERROR(XLOOKUP(Q873,'Classificação'!B:B,'Classificação'!C:C),"")</f>
        <v>RESULTADO NÃO OPERACIONAL (+/-)</v>
      </c>
      <c r="S873" s="15">
        <f t="shared" si="5"/>
        <v>24</v>
      </c>
      <c r="T873" s="15">
        <f t="shared" si="6"/>
        <v>2</v>
      </c>
      <c r="U873" s="15">
        <f t="shared" si="7"/>
        <v>2025</v>
      </c>
      <c r="V873" s="15">
        <f t="shared" si="8"/>
        <v>24</v>
      </c>
      <c r="W873" s="15">
        <f t="shared" si="9"/>
        <v>2</v>
      </c>
      <c r="X873" s="15">
        <f t="shared" si="10"/>
        <v>2025</v>
      </c>
    </row>
    <row r="874">
      <c r="A874" s="9">
        <v>45712.0</v>
      </c>
      <c r="B874" s="9">
        <v>45553.0</v>
      </c>
      <c r="C874" s="9">
        <f t="shared" si="22"/>
        <v>45712</v>
      </c>
      <c r="D874" s="11" t="s">
        <v>313</v>
      </c>
      <c r="E874" s="11" t="s">
        <v>25</v>
      </c>
      <c r="F874" s="11" t="s">
        <v>26</v>
      </c>
      <c r="G874" s="11" t="s">
        <v>37</v>
      </c>
      <c r="H874" s="11" t="s">
        <v>327</v>
      </c>
      <c r="I874" s="12">
        <v>250.0</v>
      </c>
      <c r="J874" s="13"/>
      <c r="K874" s="13">
        <f t="shared" si="50"/>
        <v>250</v>
      </c>
      <c r="L874" s="11" t="s">
        <v>53</v>
      </c>
      <c r="M874" s="17">
        <v>45631.0</v>
      </c>
      <c r="N874" s="11" t="s">
        <v>95</v>
      </c>
      <c r="O874" s="10" t="str">
        <f t="shared" si="48"/>
        <v>02/2025</v>
      </c>
      <c r="P874" s="10" t="str">
        <f t="shared" si="29"/>
        <v>02/2025</v>
      </c>
      <c r="Q874" s="15" t="str">
        <f t="array" ref="Q874">IFERROR(XLOOKUP(N874,'Classificação'!A:A,'Classificação'!B:B),"")</f>
        <v>DESPESAS NÃO OPERACIONAIS</v>
      </c>
      <c r="R874" s="15" t="str">
        <f t="array" ref="R874">IFERROR(XLOOKUP(Q874,'Classificação'!B:B,'Classificação'!C:C),"")</f>
        <v>RESULTADO NÃO OPERACIONAL (+/-)</v>
      </c>
      <c r="S874" s="15">
        <f t="shared" si="5"/>
        <v>24</v>
      </c>
      <c r="T874" s="15">
        <f t="shared" si="6"/>
        <v>2</v>
      </c>
      <c r="U874" s="15">
        <f t="shared" si="7"/>
        <v>2025</v>
      </c>
      <c r="V874" s="15">
        <f t="shared" si="8"/>
        <v>24</v>
      </c>
      <c r="W874" s="15">
        <f t="shared" si="9"/>
        <v>2</v>
      </c>
      <c r="X874" s="15">
        <f t="shared" si="10"/>
        <v>2025</v>
      </c>
    </row>
    <row r="875">
      <c r="A875" s="9">
        <v>45712.0</v>
      </c>
      <c r="B875" s="10"/>
      <c r="C875" s="9">
        <f t="shared" si="22"/>
        <v>45712</v>
      </c>
      <c r="D875" s="11" t="s">
        <v>223</v>
      </c>
      <c r="E875" s="11" t="s">
        <v>25</v>
      </c>
      <c r="F875" s="11" t="s">
        <v>32</v>
      </c>
      <c r="G875" s="11" t="s">
        <v>37</v>
      </c>
      <c r="I875" s="12">
        <v>100.0</v>
      </c>
      <c r="J875" s="13"/>
      <c r="K875" s="13">
        <f t="shared" si="50"/>
        <v>100</v>
      </c>
      <c r="L875" s="11" t="s">
        <v>29</v>
      </c>
      <c r="M875" s="14"/>
      <c r="N875" s="11" t="s">
        <v>224</v>
      </c>
      <c r="O875" s="10" t="str">
        <f t="shared" si="48"/>
        <v>02/2025</v>
      </c>
      <c r="P875" s="10" t="str">
        <f t="shared" si="29"/>
        <v>02/2025</v>
      </c>
      <c r="Q875" s="15" t="str">
        <f t="array" ref="Q875">IFERROR(XLOOKUP(N875,'Classificação'!A:A,'Classificação'!B:B),"")</f>
        <v>DESPESAS ADMINISTRATIVAS</v>
      </c>
      <c r="R875" s="15" t="str">
        <f t="array" ref="R875">IFERROR(XLOOKUP(Q875,'Classificação'!B:B,'Classificação'!C:C),"")</f>
        <v>DESPESAS FIXAS (-)</v>
      </c>
      <c r="S875" s="15">
        <f t="shared" si="5"/>
        <v>24</v>
      </c>
      <c r="T875" s="15">
        <f t="shared" si="6"/>
        <v>2</v>
      </c>
      <c r="U875" s="15">
        <f t="shared" si="7"/>
        <v>2025</v>
      </c>
      <c r="V875" s="15">
        <f t="shared" si="8"/>
        <v>24</v>
      </c>
      <c r="W875" s="15">
        <f t="shared" si="9"/>
        <v>2</v>
      </c>
      <c r="X875" s="15">
        <f t="shared" si="10"/>
        <v>2025</v>
      </c>
    </row>
    <row r="876">
      <c r="A876" s="9">
        <v>45712.0</v>
      </c>
      <c r="B876" s="10"/>
      <c r="C876" s="9">
        <f t="shared" si="22"/>
        <v>45712</v>
      </c>
      <c r="D876" s="11" t="s">
        <v>473</v>
      </c>
      <c r="E876" s="11" t="s">
        <v>25</v>
      </c>
      <c r="F876" s="11" t="s">
        <v>40</v>
      </c>
      <c r="G876" s="11" t="s">
        <v>27</v>
      </c>
      <c r="H876" s="11" t="s">
        <v>583</v>
      </c>
      <c r="I876" s="12">
        <v>296.4</v>
      </c>
      <c r="J876" s="13"/>
      <c r="K876" s="13">
        <f t="shared" si="50"/>
        <v>296.4</v>
      </c>
      <c r="L876" s="11" t="s">
        <v>34</v>
      </c>
      <c r="M876" s="14"/>
      <c r="N876" s="11" t="s">
        <v>584</v>
      </c>
      <c r="O876" s="10" t="str">
        <f t="shared" si="48"/>
        <v>02/2025</v>
      </c>
      <c r="P876" s="10" t="str">
        <f t="shared" si="29"/>
        <v>02/2025</v>
      </c>
      <c r="Q876" s="15" t="str">
        <f t="array" ref="Q876">IFERROR(XLOOKUP(N876,'Classificação'!A:A,'Classificação'!B:B),"")</f>
        <v>DESPESAS COM VEICULOS</v>
      </c>
      <c r="R876" s="15" t="str">
        <f t="array" ref="R876">IFERROR(XLOOKUP(Q876,'Classificação'!B:B,'Classificação'!C:C),"")</f>
        <v>DESPESAS FIXAS (-)</v>
      </c>
      <c r="S876" s="15">
        <f t="shared" si="5"/>
        <v>24</v>
      </c>
      <c r="T876" s="15">
        <f t="shared" si="6"/>
        <v>2</v>
      </c>
      <c r="U876" s="15">
        <f t="shared" si="7"/>
        <v>2025</v>
      </c>
      <c r="V876" s="15">
        <f t="shared" si="8"/>
        <v>24</v>
      </c>
      <c r="W876" s="15">
        <f t="shared" si="9"/>
        <v>2</v>
      </c>
      <c r="X876" s="15">
        <f t="shared" si="10"/>
        <v>2025</v>
      </c>
    </row>
    <row r="877">
      <c r="A877" s="9">
        <v>45712.0</v>
      </c>
      <c r="B877" s="9">
        <v>45673.0</v>
      </c>
      <c r="C877" s="9">
        <f t="shared" si="22"/>
        <v>45712</v>
      </c>
      <c r="D877" s="11" t="s">
        <v>86</v>
      </c>
      <c r="E877" s="11" t="s">
        <v>25</v>
      </c>
      <c r="F877" s="11" t="s">
        <v>87</v>
      </c>
      <c r="G877" s="11" t="s">
        <v>27</v>
      </c>
      <c r="H877" s="11" t="s">
        <v>585</v>
      </c>
      <c r="I877" s="12">
        <v>1420.0</v>
      </c>
      <c r="J877" s="13"/>
      <c r="K877" s="13">
        <f t="shared" si="50"/>
        <v>1420</v>
      </c>
      <c r="L877" s="11" t="s">
        <v>53</v>
      </c>
      <c r="M877" s="17">
        <v>45717.0</v>
      </c>
      <c r="N877" s="11" t="s">
        <v>35</v>
      </c>
      <c r="O877" s="10" t="str">
        <f t="shared" si="48"/>
        <v>02/2025</v>
      </c>
      <c r="P877" s="10" t="str">
        <f t="shared" si="29"/>
        <v>02/2025</v>
      </c>
      <c r="Q877" s="15" t="str">
        <f t="array" ref="Q877">IFERROR(XLOOKUP(N877,'Classificação'!A:A,'Classificação'!B:B),"")</f>
        <v>COMPRA DE MERCADORIA</v>
      </c>
      <c r="R877" s="15" t="str">
        <f t="array" ref="R877">IFERROR(XLOOKUP(Q877,'Classificação'!B:B,'Classificação'!C:C),"")</f>
        <v>CUSTOS VARIÁVEIS</v>
      </c>
      <c r="S877" s="15">
        <f t="shared" si="5"/>
        <v>24</v>
      </c>
      <c r="T877" s="15">
        <f t="shared" si="6"/>
        <v>2</v>
      </c>
      <c r="U877" s="15">
        <f t="shared" si="7"/>
        <v>2025</v>
      </c>
      <c r="V877" s="15">
        <f t="shared" si="8"/>
        <v>24</v>
      </c>
      <c r="W877" s="15">
        <f t="shared" si="9"/>
        <v>2</v>
      </c>
      <c r="X877" s="15">
        <f t="shared" si="10"/>
        <v>2025</v>
      </c>
    </row>
    <row r="878">
      <c r="A878" s="9">
        <v>45713.0</v>
      </c>
      <c r="B878" s="10"/>
      <c r="C878" s="9">
        <f t="shared" si="22"/>
        <v>45713</v>
      </c>
      <c r="D878" s="11" t="s">
        <v>208</v>
      </c>
      <c r="E878" s="11" t="s">
        <v>25</v>
      </c>
      <c r="F878" s="11" t="s">
        <v>40</v>
      </c>
      <c r="G878" s="11" t="s">
        <v>37</v>
      </c>
      <c r="H878" s="11" t="s">
        <v>209</v>
      </c>
      <c r="I878" s="12">
        <v>171.72</v>
      </c>
      <c r="J878" s="13"/>
      <c r="K878" s="13">
        <f t="shared" si="50"/>
        <v>171.72</v>
      </c>
      <c r="L878" s="11" t="s">
        <v>29</v>
      </c>
      <c r="M878" s="14"/>
      <c r="N878" s="11" t="s">
        <v>210</v>
      </c>
      <c r="O878" s="10" t="str">
        <f t="shared" si="48"/>
        <v>02/2025</v>
      </c>
      <c r="P878" s="10" t="str">
        <f t="shared" si="29"/>
        <v>02/2025</v>
      </c>
      <c r="Q878" s="15" t="str">
        <f t="array" ref="Q878">IFERROR(XLOOKUP(N878,'Classificação'!A:A,'Classificação'!B:B),"")</f>
        <v>DESPESAS COM OCUPAÇÃO</v>
      </c>
      <c r="R878" s="15" t="str">
        <f t="array" ref="R878">IFERROR(XLOOKUP(Q878,'Classificação'!B:B,'Classificação'!C:C),"")</f>
        <v>DESPESAS FIXAS (-)</v>
      </c>
      <c r="S878" s="15">
        <f t="shared" si="5"/>
        <v>25</v>
      </c>
      <c r="T878" s="15">
        <f t="shared" si="6"/>
        <v>2</v>
      </c>
      <c r="U878" s="15">
        <f t="shared" si="7"/>
        <v>2025</v>
      </c>
      <c r="V878" s="15">
        <f t="shared" si="8"/>
        <v>25</v>
      </c>
      <c r="W878" s="15">
        <f t="shared" si="9"/>
        <v>2</v>
      </c>
      <c r="X878" s="15">
        <f t="shared" si="10"/>
        <v>2025</v>
      </c>
    </row>
    <row r="879">
      <c r="A879" s="9">
        <v>45715.0</v>
      </c>
      <c r="B879" s="9">
        <v>45667.0</v>
      </c>
      <c r="C879" s="9">
        <f t="shared" si="22"/>
        <v>45715</v>
      </c>
      <c r="D879" s="11" t="s">
        <v>399</v>
      </c>
      <c r="E879" s="11" t="s">
        <v>25</v>
      </c>
      <c r="F879" s="11" t="s">
        <v>40</v>
      </c>
      <c r="G879" s="11" t="s">
        <v>27</v>
      </c>
      <c r="H879" s="11" t="s">
        <v>586</v>
      </c>
      <c r="I879" s="12">
        <v>541.02</v>
      </c>
      <c r="J879" s="13"/>
      <c r="K879" s="13">
        <f t="shared" si="50"/>
        <v>541.02</v>
      </c>
      <c r="L879" s="11" t="s">
        <v>53</v>
      </c>
      <c r="M879" s="17">
        <v>45717.0</v>
      </c>
      <c r="N879" s="11" t="s">
        <v>35</v>
      </c>
      <c r="O879" s="10" t="str">
        <f t="shared" si="48"/>
        <v>02/2025</v>
      </c>
      <c r="P879" s="10" t="str">
        <f t="shared" si="29"/>
        <v>02/2025</v>
      </c>
      <c r="Q879" s="15" t="str">
        <f t="array" ref="Q879">IFERROR(XLOOKUP(N879,'Classificação'!A:A,'Classificação'!B:B),"")</f>
        <v>COMPRA DE MERCADORIA</v>
      </c>
      <c r="R879" s="15" t="str">
        <f t="array" ref="R879">IFERROR(XLOOKUP(Q879,'Classificação'!B:B,'Classificação'!C:C),"")</f>
        <v>CUSTOS VARIÁVEIS</v>
      </c>
      <c r="S879" s="15">
        <f t="shared" si="5"/>
        <v>27</v>
      </c>
      <c r="T879" s="15">
        <f t="shared" si="6"/>
        <v>2</v>
      </c>
      <c r="U879" s="15">
        <f t="shared" si="7"/>
        <v>2025</v>
      </c>
      <c r="V879" s="15">
        <f t="shared" si="8"/>
        <v>27</v>
      </c>
      <c r="W879" s="15">
        <f t="shared" si="9"/>
        <v>2</v>
      </c>
      <c r="X879" s="15">
        <f t="shared" si="10"/>
        <v>2025</v>
      </c>
    </row>
    <row r="880">
      <c r="A880" s="9">
        <v>45715.0</v>
      </c>
      <c r="B880" s="9">
        <v>45667.0</v>
      </c>
      <c r="C880" s="9">
        <f t="shared" si="22"/>
        <v>45715</v>
      </c>
      <c r="D880" s="11" t="s">
        <v>399</v>
      </c>
      <c r="E880" s="11" t="s">
        <v>25</v>
      </c>
      <c r="F880" s="11" t="s">
        <v>40</v>
      </c>
      <c r="G880" s="11" t="s">
        <v>37</v>
      </c>
      <c r="H880" s="11" t="s">
        <v>587</v>
      </c>
      <c r="I880" s="12">
        <v>540.96</v>
      </c>
      <c r="J880" s="13"/>
      <c r="K880" s="13">
        <f t="shared" si="50"/>
        <v>540.96</v>
      </c>
      <c r="L880" s="11" t="s">
        <v>53</v>
      </c>
      <c r="M880" s="17">
        <v>45717.0</v>
      </c>
      <c r="N880" s="11" t="s">
        <v>35</v>
      </c>
      <c r="O880" s="10" t="str">
        <f t="shared" si="48"/>
        <v>02/2025</v>
      </c>
      <c r="P880" s="10" t="str">
        <f t="shared" si="29"/>
        <v>02/2025</v>
      </c>
      <c r="Q880" s="15" t="str">
        <f t="array" ref="Q880">IFERROR(XLOOKUP(N880,'Classificação'!A:A,'Classificação'!B:B),"")</f>
        <v>COMPRA DE MERCADORIA</v>
      </c>
      <c r="R880" s="15" t="str">
        <f t="array" ref="R880">IFERROR(XLOOKUP(Q880,'Classificação'!B:B,'Classificação'!C:C),"")</f>
        <v>CUSTOS VARIÁVEIS</v>
      </c>
      <c r="S880" s="15">
        <f t="shared" si="5"/>
        <v>27</v>
      </c>
      <c r="T880" s="15">
        <f t="shared" si="6"/>
        <v>2</v>
      </c>
      <c r="U880" s="15">
        <f t="shared" si="7"/>
        <v>2025</v>
      </c>
      <c r="V880" s="15">
        <f t="shared" si="8"/>
        <v>27</v>
      </c>
      <c r="W880" s="15">
        <f t="shared" si="9"/>
        <v>2</v>
      </c>
      <c r="X880" s="15">
        <f t="shared" si="10"/>
        <v>2025</v>
      </c>
    </row>
    <row r="881">
      <c r="A881" s="9">
        <v>45715.0</v>
      </c>
      <c r="B881" s="10"/>
      <c r="C881" s="9">
        <f t="shared" si="22"/>
        <v>45715</v>
      </c>
      <c r="D881" s="11" t="s">
        <v>74</v>
      </c>
      <c r="E881" s="11" t="s">
        <v>25</v>
      </c>
      <c r="F881" s="11" t="s">
        <v>32</v>
      </c>
      <c r="G881" s="11" t="s">
        <v>27</v>
      </c>
      <c r="I881" s="12">
        <v>330.0</v>
      </c>
      <c r="J881" s="13"/>
      <c r="K881" s="13">
        <f t="shared" si="50"/>
        <v>330</v>
      </c>
      <c r="L881" s="11" t="s">
        <v>29</v>
      </c>
      <c r="M881" s="14"/>
      <c r="N881" s="11" t="s">
        <v>204</v>
      </c>
      <c r="O881" s="10" t="str">
        <f t="shared" si="48"/>
        <v>02/2025</v>
      </c>
      <c r="P881" s="10" t="str">
        <f t="shared" si="29"/>
        <v>02/2025</v>
      </c>
      <c r="Q881" s="15" t="str">
        <f t="array" ref="Q881">IFERROR(XLOOKUP(N881,'Classificação'!A:A,'Classificação'!B:B),"")</f>
        <v>DESPESAS COM PESSOAL</v>
      </c>
      <c r="R881" s="15" t="str">
        <f t="array" ref="R881">IFERROR(XLOOKUP(Q881,'Classificação'!B:B,'Classificação'!C:C),"")</f>
        <v>DESPESAS FIXAS (-)</v>
      </c>
      <c r="S881" s="15">
        <f t="shared" si="5"/>
        <v>27</v>
      </c>
      <c r="T881" s="15">
        <f t="shared" si="6"/>
        <v>2</v>
      </c>
      <c r="U881" s="15">
        <f t="shared" si="7"/>
        <v>2025</v>
      </c>
      <c r="V881" s="15">
        <f t="shared" si="8"/>
        <v>27</v>
      </c>
      <c r="W881" s="15">
        <f t="shared" si="9"/>
        <v>2</v>
      </c>
      <c r="X881" s="15">
        <f t="shared" si="10"/>
        <v>2025</v>
      </c>
    </row>
    <row r="882">
      <c r="A882" s="9">
        <v>45715.0</v>
      </c>
      <c r="B882" s="10"/>
      <c r="C882" s="9">
        <f t="shared" si="22"/>
        <v>45715</v>
      </c>
      <c r="D882" s="11" t="s">
        <v>83</v>
      </c>
      <c r="E882" s="11" t="s">
        <v>25</v>
      </c>
      <c r="F882" s="11" t="s">
        <v>40</v>
      </c>
      <c r="G882" s="11" t="s">
        <v>27</v>
      </c>
      <c r="I882" s="12">
        <v>330.0</v>
      </c>
      <c r="J882" s="13"/>
      <c r="K882" s="13">
        <f t="shared" si="50"/>
        <v>330</v>
      </c>
      <c r="L882" s="11" t="s">
        <v>29</v>
      </c>
      <c r="M882" s="14"/>
      <c r="N882" s="11" t="s">
        <v>204</v>
      </c>
      <c r="O882" s="10" t="str">
        <f t="shared" si="48"/>
        <v>02/2025</v>
      </c>
      <c r="P882" s="10" t="str">
        <f t="shared" si="29"/>
        <v>02/2025</v>
      </c>
      <c r="Q882" s="15" t="str">
        <f t="array" ref="Q882">IFERROR(XLOOKUP(N882,'Classificação'!A:A,'Classificação'!B:B),"")</f>
        <v>DESPESAS COM PESSOAL</v>
      </c>
      <c r="R882" s="15" t="str">
        <f t="array" ref="R882">IFERROR(XLOOKUP(Q882,'Classificação'!B:B,'Classificação'!C:C),"")</f>
        <v>DESPESAS FIXAS (-)</v>
      </c>
      <c r="S882" s="15">
        <f t="shared" si="5"/>
        <v>27</v>
      </c>
      <c r="T882" s="15">
        <f t="shared" si="6"/>
        <v>2</v>
      </c>
      <c r="U882" s="15">
        <f t="shared" si="7"/>
        <v>2025</v>
      </c>
      <c r="V882" s="15">
        <f t="shared" si="8"/>
        <v>27</v>
      </c>
      <c r="W882" s="15">
        <f t="shared" si="9"/>
        <v>2</v>
      </c>
      <c r="X882" s="15">
        <f t="shared" si="10"/>
        <v>2025</v>
      </c>
    </row>
    <row r="883">
      <c r="A883" s="9">
        <v>45715.0</v>
      </c>
      <c r="B883" s="10"/>
      <c r="C883" s="9">
        <f t="shared" si="22"/>
        <v>45715</v>
      </c>
      <c r="D883" s="11" t="s">
        <v>80</v>
      </c>
      <c r="E883" s="11" t="s">
        <v>25</v>
      </c>
      <c r="F883" s="11" t="s">
        <v>40</v>
      </c>
      <c r="G883" s="11" t="s">
        <v>27</v>
      </c>
      <c r="I883" s="12">
        <v>330.0</v>
      </c>
      <c r="J883" s="13"/>
      <c r="K883" s="13">
        <f t="shared" si="50"/>
        <v>330</v>
      </c>
      <c r="L883" s="11" t="s">
        <v>29</v>
      </c>
      <c r="M883" s="14"/>
      <c r="N883" s="11" t="s">
        <v>204</v>
      </c>
      <c r="O883" s="10" t="str">
        <f t="shared" si="48"/>
        <v>02/2025</v>
      </c>
      <c r="P883" s="10" t="str">
        <f t="shared" si="29"/>
        <v>02/2025</v>
      </c>
      <c r="Q883" s="15" t="str">
        <f t="array" ref="Q883">IFERROR(XLOOKUP(N883,'Classificação'!A:A,'Classificação'!B:B),"")</f>
        <v>DESPESAS COM PESSOAL</v>
      </c>
      <c r="R883" s="15" t="str">
        <f t="array" ref="R883">IFERROR(XLOOKUP(Q883,'Classificação'!B:B,'Classificação'!C:C),"")</f>
        <v>DESPESAS FIXAS (-)</v>
      </c>
      <c r="S883" s="15">
        <f t="shared" si="5"/>
        <v>27</v>
      </c>
      <c r="T883" s="15">
        <f t="shared" si="6"/>
        <v>2</v>
      </c>
      <c r="U883" s="15">
        <f t="shared" si="7"/>
        <v>2025</v>
      </c>
      <c r="V883" s="15">
        <f t="shared" si="8"/>
        <v>27</v>
      </c>
      <c r="W883" s="15">
        <f t="shared" si="9"/>
        <v>2</v>
      </c>
      <c r="X883" s="15">
        <f t="shared" si="10"/>
        <v>2025</v>
      </c>
    </row>
    <row r="884">
      <c r="A884" s="9">
        <v>45715.0</v>
      </c>
      <c r="B884" s="10"/>
      <c r="C884" s="9">
        <f t="shared" si="22"/>
        <v>45715</v>
      </c>
      <c r="D884" s="11" t="s">
        <v>137</v>
      </c>
      <c r="E884" s="11" t="s">
        <v>25</v>
      </c>
      <c r="F884" s="11" t="s">
        <v>26</v>
      </c>
      <c r="G884" s="11" t="s">
        <v>37</v>
      </c>
      <c r="H884" s="11" t="s">
        <v>588</v>
      </c>
      <c r="I884" s="12">
        <v>10.44</v>
      </c>
      <c r="J884" s="13"/>
      <c r="K884" s="13">
        <f t="shared" si="50"/>
        <v>10.44</v>
      </c>
      <c r="L884" s="11" t="s">
        <v>34</v>
      </c>
      <c r="M884" s="14"/>
      <c r="N884" s="11" t="s">
        <v>68</v>
      </c>
      <c r="O884" s="10" t="str">
        <f t="shared" si="48"/>
        <v>02/2025</v>
      </c>
      <c r="P884" s="10" t="str">
        <f t="shared" si="29"/>
        <v>02/2025</v>
      </c>
      <c r="Q884" s="15" t="str">
        <f t="array" ref="Q884">IFERROR(XLOOKUP(N884,'Classificação'!A:A,'Classificação'!B:B),"")</f>
        <v>FRETE DE VENDAS</v>
      </c>
      <c r="R884" s="15" t="str">
        <f t="array" ref="R884">IFERROR(XLOOKUP(Q884,'Classificação'!B:B,'Classificação'!C:C),"")</f>
        <v>CUSTOS VARIÁVEIS</v>
      </c>
      <c r="S884" s="15">
        <f t="shared" si="5"/>
        <v>27</v>
      </c>
      <c r="T884" s="15">
        <f t="shared" si="6"/>
        <v>2</v>
      </c>
      <c r="U884" s="15">
        <f t="shared" si="7"/>
        <v>2025</v>
      </c>
      <c r="V884" s="15">
        <f t="shared" si="8"/>
        <v>27</v>
      </c>
      <c r="W884" s="15">
        <f t="shared" si="9"/>
        <v>2</v>
      </c>
      <c r="X884" s="15">
        <f t="shared" si="10"/>
        <v>2025</v>
      </c>
    </row>
    <row r="885">
      <c r="A885" s="9">
        <v>45716.0</v>
      </c>
      <c r="B885" s="10"/>
      <c r="C885" s="9">
        <f t="shared" si="22"/>
        <v>45716</v>
      </c>
      <c r="D885" s="11" t="s">
        <v>219</v>
      </c>
      <c r="E885" s="11" t="s">
        <v>25</v>
      </c>
      <c r="F885" s="11" t="s">
        <v>40</v>
      </c>
      <c r="G885" s="11" t="s">
        <v>27</v>
      </c>
      <c r="H885" s="11" t="s">
        <v>589</v>
      </c>
      <c r="I885" s="12">
        <v>2457.0</v>
      </c>
      <c r="J885" s="13"/>
      <c r="K885" s="13">
        <f t="shared" si="50"/>
        <v>2457</v>
      </c>
      <c r="L885" s="11" t="s">
        <v>53</v>
      </c>
      <c r="M885" s="17">
        <v>45717.0</v>
      </c>
      <c r="N885" s="11" t="s">
        <v>35</v>
      </c>
      <c r="O885" s="10" t="str">
        <f t="shared" si="48"/>
        <v>02/2025</v>
      </c>
      <c r="P885" s="10" t="str">
        <f t="shared" si="29"/>
        <v>02/2025</v>
      </c>
      <c r="Q885" s="15" t="str">
        <f t="array" ref="Q885">IFERROR(XLOOKUP(N885,'Classificação'!A:A,'Classificação'!B:B),"")</f>
        <v>COMPRA DE MERCADORIA</v>
      </c>
      <c r="R885" s="15" t="str">
        <f t="array" ref="R885">IFERROR(XLOOKUP(Q885,'Classificação'!B:B,'Classificação'!C:C),"")</f>
        <v>CUSTOS VARIÁVEIS</v>
      </c>
      <c r="S885" s="15">
        <f t="shared" si="5"/>
        <v>28</v>
      </c>
      <c r="T885" s="15">
        <f t="shared" si="6"/>
        <v>2</v>
      </c>
      <c r="U885" s="15">
        <f t="shared" si="7"/>
        <v>2025</v>
      </c>
      <c r="V885" s="15">
        <f t="shared" si="8"/>
        <v>28</v>
      </c>
      <c r="W885" s="15">
        <f t="shared" si="9"/>
        <v>2</v>
      </c>
      <c r="X885" s="15">
        <f t="shared" si="10"/>
        <v>2025</v>
      </c>
    </row>
    <row r="886">
      <c r="A886" s="9">
        <v>45716.0</v>
      </c>
      <c r="B886" s="10"/>
      <c r="C886" s="9">
        <f t="shared" si="22"/>
        <v>45716</v>
      </c>
      <c r="D886" s="11" t="s">
        <v>74</v>
      </c>
      <c r="E886" s="11" t="s">
        <v>25</v>
      </c>
      <c r="F886" s="11" t="s">
        <v>26</v>
      </c>
      <c r="G886" s="11" t="s">
        <v>27</v>
      </c>
      <c r="H886" s="11" t="s">
        <v>403</v>
      </c>
      <c r="I886" s="12">
        <v>885.57</v>
      </c>
      <c r="J886" s="13"/>
      <c r="K886" s="13">
        <f t="shared" si="50"/>
        <v>885.57</v>
      </c>
      <c r="L886" s="11" t="s">
        <v>29</v>
      </c>
      <c r="M886" s="14"/>
      <c r="N886" s="11" t="s">
        <v>38</v>
      </c>
      <c r="O886" s="10" t="str">
        <f t="shared" si="48"/>
        <v>02/2025</v>
      </c>
      <c r="P886" s="10" t="str">
        <f t="shared" si="29"/>
        <v>02/2025</v>
      </c>
      <c r="Q886" s="15" t="str">
        <f t="array" ref="Q886">IFERROR(XLOOKUP(N886,'Classificação'!A:A,'Classificação'!B:B),"")</f>
        <v>DESPESAS COM PESSOAL</v>
      </c>
      <c r="R886" s="15" t="str">
        <f t="array" ref="R886">IFERROR(XLOOKUP(Q886,'Classificação'!B:B,'Classificação'!C:C),"")</f>
        <v>DESPESAS FIXAS (-)</v>
      </c>
      <c r="S886" s="15">
        <f t="shared" si="5"/>
        <v>28</v>
      </c>
      <c r="T886" s="15">
        <f t="shared" si="6"/>
        <v>2</v>
      </c>
      <c r="U886" s="15">
        <f t="shared" si="7"/>
        <v>2025</v>
      </c>
      <c r="V886" s="15">
        <f t="shared" si="8"/>
        <v>28</v>
      </c>
      <c r="W886" s="15">
        <f t="shared" si="9"/>
        <v>2</v>
      </c>
      <c r="X886" s="15">
        <f t="shared" si="10"/>
        <v>2025</v>
      </c>
    </row>
    <row r="887">
      <c r="A887" s="9">
        <v>45716.0</v>
      </c>
      <c r="B887" s="10"/>
      <c r="C887" s="9">
        <f t="shared" si="22"/>
        <v>45716</v>
      </c>
      <c r="D887" s="11" t="s">
        <v>221</v>
      </c>
      <c r="E887" s="11" t="s">
        <v>25</v>
      </c>
      <c r="F887" s="11" t="s">
        <v>32</v>
      </c>
      <c r="G887" s="11" t="s">
        <v>27</v>
      </c>
      <c r="H887" s="11" t="s">
        <v>222</v>
      </c>
      <c r="I887" s="12">
        <v>380.54</v>
      </c>
      <c r="J887" s="13"/>
      <c r="K887" s="13">
        <f t="shared" si="50"/>
        <v>380.54</v>
      </c>
      <c r="L887" s="11" t="s">
        <v>29</v>
      </c>
      <c r="M887" s="14"/>
      <c r="N887" s="11" t="s">
        <v>61</v>
      </c>
      <c r="O887" s="10" t="str">
        <f t="shared" si="48"/>
        <v>02/2025</v>
      </c>
      <c r="P887" s="10" t="str">
        <f t="shared" si="29"/>
        <v>02/2025</v>
      </c>
      <c r="Q887" s="15" t="str">
        <f t="array" ref="Q887">IFERROR(XLOOKUP(N887,'Classificação'!A:A,'Classificação'!B:B),"")</f>
        <v>DESPESAS ADMINISTRATIVAS</v>
      </c>
      <c r="R887" s="15" t="str">
        <f t="array" ref="R887">IFERROR(XLOOKUP(Q887,'Classificação'!B:B,'Classificação'!C:C),"")</f>
        <v>DESPESAS FIXAS (-)</v>
      </c>
      <c r="S887" s="15">
        <f t="shared" si="5"/>
        <v>28</v>
      </c>
      <c r="T887" s="15">
        <f t="shared" si="6"/>
        <v>2</v>
      </c>
      <c r="U887" s="15">
        <f t="shared" si="7"/>
        <v>2025</v>
      </c>
      <c r="V887" s="15">
        <f t="shared" si="8"/>
        <v>28</v>
      </c>
      <c r="W887" s="15">
        <f t="shared" si="9"/>
        <v>2</v>
      </c>
      <c r="X887" s="15">
        <f t="shared" si="10"/>
        <v>2025</v>
      </c>
    </row>
    <row r="888">
      <c r="A888" s="9">
        <v>45716.0</v>
      </c>
      <c r="B888" s="10"/>
      <c r="C888" s="9">
        <f t="shared" si="22"/>
        <v>45716</v>
      </c>
      <c r="D888" s="11" t="s">
        <v>80</v>
      </c>
      <c r="E888" s="11" t="s">
        <v>25</v>
      </c>
      <c r="F888" s="11" t="s">
        <v>26</v>
      </c>
      <c r="G888" s="11" t="s">
        <v>27</v>
      </c>
      <c r="H888" s="11" t="s">
        <v>225</v>
      </c>
      <c r="I888" s="12">
        <v>992.47</v>
      </c>
      <c r="J888" s="13"/>
      <c r="K888" s="13">
        <f t="shared" si="50"/>
        <v>992.47</v>
      </c>
      <c r="L888" s="11" t="s">
        <v>29</v>
      </c>
      <c r="M888" s="14"/>
      <c r="N888" s="11" t="s">
        <v>38</v>
      </c>
      <c r="O888" s="10" t="str">
        <f t="shared" si="48"/>
        <v>02/2025</v>
      </c>
      <c r="P888" s="10" t="str">
        <f t="shared" si="29"/>
        <v>02/2025</v>
      </c>
      <c r="Q888" s="15" t="str">
        <f t="array" ref="Q888">IFERROR(XLOOKUP(N888,'Classificação'!A:A,'Classificação'!B:B),"")</f>
        <v>DESPESAS COM PESSOAL</v>
      </c>
      <c r="R888" s="15" t="str">
        <f t="array" ref="R888">IFERROR(XLOOKUP(Q888,'Classificação'!B:B,'Classificação'!C:C),"")</f>
        <v>DESPESAS FIXAS (-)</v>
      </c>
      <c r="S888" s="15">
        <f t="shared" si="5"/>
        <v>28</v>
      </c>
      <c r="T888" s="15">
        <f t="shared" si="6"/>
        <v>2</v>
      </c>
      <c r="U888" s="15">
        <f t="shared" si="7"/>
        <v>2025</v>
      </c>
      <c r="V888" s="15">
        <f t="shared" si="8"/>
        <v>28</v>
      </c>
      <c r="W888" s="15">
        <f t="shared" si="9"/>
        <v>2</v>
      </c>
      <c r="X888" s="15">
        <f t="shared" si="10"/>
        <v>2025</v>
      </c>
    </row>
    <row r="889">
      <c r="A889" s="9">
        <v>45716.0</v>
      </c>
      <c r="B889" s="10"/>
      <c r="C889" s="9">
        <f t="shared" si="22"/>
        <v>45716</v>
      </c>
      <c r="D889" s="11" t="s">
        <v>83</v>
      </c>
      <c r="E889" s="11" t="s">
        <v>25</v>
      </c>
      <c r="F889" s="11" t="s">
        <v>26</v>
      </c>
      <c r="G889" s="11" t="s">
        <v>27</v>
      </c>
      <c r="I889" s="12">
        <v>1120.6</v>
      </c>
      <c r="J889" s="13"/>
      <c r="K889" s="13">
        <f t="shared" si="50"/>
        <v>1120.6</v>
      </c>
      <c r="L889" s="11" t="s">
        <v>29</v>
      </c>
      <c r="M889" s="14"/>
      <c r="N889" s="11" t="s">
        <v>38</v>
      </c>
      <c r="O889" s="10" t="str">
        <f t="shared" si="48"/>
        <v>02/2025</v>
      </c>
      <c r="P889" s="10" t="str">
        <f t="shared" si="29"/>
        <v>02/2025</v>
      </c>
      <c r="Q889" s="15" t="str">
        <f t="array" ref="Q889">IFERROR(XLOOKUP(N889,'Classificação'!A:A,'Classificação'!B:B),"")</f>
        <v>DESPESAS COM PESSOAL</v>
      </c>
      <c r="R889" s="15" t="str">
        <f t="array" ref="R889">IFERROR(XLOOKUP(Q889,'Classificação'!B:B,'Classificação'!C:C),"")</f>
        <v>DESPESAS FIXAS (-)</v>
      </c>
      <c r="S889" s="15">
        <f t="shared" si="5"/>
        <v>28</v>
      </c>
      <c r="T889" s="15">
        <f t="shared" si="6"/>
        <v>2</v>
      </c>
      <c r="U889" s="15">
        <f t="shared" si="7"/>
        <v>2025</v>
      </c>
      <c r="V889" s="15">
        <f t="shared" si="8"/>
        <v>28</v>
      </c>
      <c r="W889" s="15">
        <f t="shared" si="9"/>
        <v>2</v>
      </c>
      <c r="X889" s="15">
        <f t="shared" si="10"/>
        <v>2025</v>
      </c>
    </row>
    <row r="890">
      <c r="A890" s="9">
        <v>45716.0</v>
      </c>
      <c r="B890" s="10"/>
      <c r="C890" s="9">
        <f t="shared" si="22"/>
        <v>45716</v>
      </c>
      <c r="D890" s="11" t="s">
        <v>44</v>
      </c>
      <c r="E890" s="11" t="s">
        <v>25</v>
      </c>
      <c r="F890" s="11" t="s">
        <v>45</v>
      </c>
      <c r="G890" s="11" t="s">
        <v>27</v>
      </c>
      <c r="H890" s="11" t="s">
        <v>527</v>
      </c>
      <c r="I890" s="12">
        <v>28.58</v>
      </c>
      <c r="J890" s="13"/>
      <c r="K890" s="13">
        <f t="shared" si="50"/>
        <v>28.58</v>
      </c>
      <c r="L890" s="11" t="s">
        <v>34</v>
      </c>
      <c r="M890" s="17"/>
      <c r="N890" s="11" t="s">
        <v>97</v>
      </c>
      <c r="O890" s="10" t="str">
        <f t="shared" si="48"/>
        <v>02/2025</v>
      </c>
      <c r="P890" s="10" t="str">
        <f t="shared" si="29"/>
        <v>02/2025</v>
      </c>
      <c r="Q890" s="15" t="str">
        <f t="array" ref="Q890">IFERROR(XLOOKUP(N890,'Classificação'!A:A,'Classificação'!B:B),"")</f>
        <v>TARIFAS DE PIX</v>
      </c>
      <c r="R890" s="15" t="str">
        <f t="array" ref="R890">IFERROR(XLOOKUP(Q890,'Classificação'!B:B,'Classificação'!C:C),"")</f>
        <v>(+/-) RESULTADO FINANCEIRO LÍQUIDO</v>
      </c>
      <c r="S890" s="15">
        <f t="shared" si="5"/>
        <v>28</v>
      </c>
      <c r="T890" s="15">
        <f t="shared" si="6"/>
        <v>2</v>
      </c>
      <c r="U890" s="15">
        <f t="shared" si="7"/>
        <v>2025</v>
      </c>
      <c r="V890" s="15">
        <f t="shared" si="8"/>
        <v>28</v>
      </c>
      <c r="W890" s="15">
        <f t="shared" si="9"/>
        <v>2</v>
      </c>
      <c r="X890" s="15">
        <f t="shared" si="10"/>
        <v>2025</v>
      </c>
    </row>
    <row r="891">
      <c r="A891" s="9">
        <v>45717.0</v>
      </c>
      <c r="B891" s="10"/>
      <c r="C891" s="9">
        <f t="shared" si="22"/>
        <v>45717</v>
      </c>
      <c r="D891" s="11" t="s">
        <v>288</v>
      </c>
      <c r="E891" s="11" t="s">
        <v>25</v>
      </c>
      <c r="F891" s="11" t="s">
        <v>26</v>
      </c>
      <c r="G891" s="11" t="s">
        <v>37</v>
      </c>
      <c r="H891" s="11" t="s">
        <v>289</v>
      </c>
      <c r="I891" s="12">
        <v>59.5</v>
      </c>
      <c r="J891" s="13"/>
      <c r="K891" s="13">
        <f t="shared" si="50"/>
        <v>59.5</v>
      </c>
      <c r="L891" s="11" t="s">
        <v>29</v>
      </c>
      <c r="M891" s="16"/>
      <c r="N891" s="11" t="s">
        <v>105</v>
      </c>
      <c r="O891" s="10" t="str">
        <f t="shared" si="48"/>
        <v>03/2025</v>
      </c>
      <c r="P891" s="10" t="str">
        <f t="shared" si="29"/>
        <v>03/2025</v>
      </c>
      <c r="Q891" s="15" t="str">
        <f t="array" ref="Q891">IFERROR(XLOOKUP(N891,'Classificação'!A:A,'Classificação'!B:B),"")</f>
        <v>DESPESAS ADMINISTRATIVAS</v>
      </c>
      <c r="R891" s="15" t="str">
        <f t="array" ref="R891">IFERROR(XLOOKUP(Q891,'Classificação'!B:B,'Classificação'!C:C),"")</f>
        <v>DESPESAS FIXAS (-)</v>
      </c>
      <c r="S891" s="15">
        <f t="shared" si="5"/>
        <v>1</v>
      </c>
      <c r="T891" s="15">
        <f t="shared" si="6"/>
        <v>3</v>
      </c>
      <c r="U891" s="15">
        <f t="shared" si="7"/>
        <v>2025</v>
      </c>
      <c r="V891" s="15">
        <f t="shared" si="8"/>
        <v>1</v>
      </c>
      <c r="W891" s="15">
        <f t="shared" si="9"/>
        <v>3</v>
      </c>
      <c r="X891" s="15">
        <f t="shared" si="10"/>
        <v>2025</v>
      </c>
    </row>
    <row r="892">
      <c r="A892" s="9">
        <v>45721.0</v>
      </c>
      <c r="B892" s="10"/>
      <c r="C892" s="9">
        <f t="shared" si="22"/>
        <v>45721</v>
      </c>
      <c r="D892" s="11" t="s">
        <v>44</v>
      </c>
      <c r="E892" s="11" t="s">
        <v>25</v>
      </c>
      <c r="F892" s="11" t="s">
        <v>45</v>
      </c>
      <c r="G892" s="11" t="s">
        <v>27</v>
      </c>
      <c r="H892" s="11" t="s">
        <v>343</v>
      </c>
      <c r="I892" s="12">
        <v>3253.35</v>
      </c>
      <c r="J892" s="13"/>
      <c r="K892" s="13">
        <f t="shared" si="50"/>
        <v>3253.35</v>
      </c>
      <c r="L892" s="11" t="s">
        <v>53</v>
      </c>
      <c r="M892" s="16" t="s">
        <v>590</v>
      </c>
      <c r="N892" s="11" t="s">
        <v>73</v>
      </c>
      <c r="O892" s="10" t="str">
        <f t="shared" si="48"/>
        <v>03/2025</v>
      </c>
      <c r="P892" s="10" t="str">
        <f t="shared" si="29"/>
        <v>03/2025</v>
      </c>
      <c r="Q892" s="15" t="str">
        <f t="array" ref="Q892">IFERROR(XLOOKUP(N892,'Classificação'!A:A,'Classificação'!B:B),"")</f>
        <v>DESPESAS NÃO OPERACIONAIS</v>
      </c>
      <c r="R892" s="15" t="str">
        <f t="array" ref="R892">IFERROR(XLOOKUP(Q892,'Classificação'!B:B,'Classificação'!C:C),"")</f>
        <v>RESULTADO NÃO OPERACIONAL (+/-)</v>
      </c>
      <c r="S892" s="15">
        <f t="shared" si="5"/>
        <v>5</v>
      </c>
      <c r="T892" s="15">
        <f t="shared" si="6"/>
        <v>3</v>
      </c>
      <c r="U892" s="15">
        <f t="shared" si="7"/>
        <v>2025</v>
      </c>
      <c r="V892" s="15">
        <f t="shared" si="8"/>
        <v>5</v>
      </c>
      <c r="W892" s="15">
        <f t="shared" si="9"/>
        <v>3</v>
      </c>
      <c r="X892" s="15">
        <f t="shared" si="10"/>
        <v>2025</v>
      </c>
    </row>
    <row r="893">
      <c r="A893" s="9">
        <v>45721.0</v>
      </c>
      <c r="B893" s="10"/>
      <c r="C893" s="9">
        <f t="shared" si="22"/>
        <v>45721</v>
      </c>
      <c r="D893" s="11" t="s">
        <v>24</v>
      </c>
      <c r="E893" s="11" t="s">
        <v>25</v>
      </c>
      <c r="F893" s="11" t="s">
        <v>26</v>
      </c>
      <c r="G893" s="11" t="s">
        <v>37</v>
      </c>
      <c r="H893" s="11" t="s">
        <v>28</v>
      </c>
      <c r="I893" s="12">
        <v>6385.68</v>
      </c>
      <c r="J893" s="13"/>
      <c r="K893" s="13">
        <f t="shared" si="50"/>
        <v>6385.68</v>
      </c>
      <c r="L893" s="11" t="s">
        <v>29</v>
      </c>
      <c r="M893" s="14"/>
      <c r="N893" s="11" t="s">
        <v>30</v>
      </c>
      <c r="O893" s="10" t="str">
        <f t="shared" si="48"/>
        <v>03/2025</v>
      </c>
      <c r="P893" s="10" t="str">
        <f t="shared" si="29"/>
        <v>03/2025</v>
      </c>
      <c r="Q893" s="15" t="str">
        <f t="array" ref="Q893">IFERROR(XLOOKUP(N893,'Classificação'!A:A,'Classificação'!B:B),"")</f>
        <v>DESPESAS COM OCUPAÇÃO</v>
      </c>
      <c r="R893" s="15" t="str">
        <f t="array" ref="R893">IFERROR(XLOOKUP(Q893,'Classificação'!B:B,'Classificação'!C:C),"")</f>
        <v>DESPESAS FIXAS (-)</v>
      </c>
      <c r="S893" s="15">
        <f t="shared" si="5"/>
        <v>5</v>
      </c>
      <c r="T893" s="15">
        <f t="shared" si="6"/>
        <v>3</v>
      </c>
      <c r="U893" s="15">
        <f t="shared" si="7"/>
        <v>2025</v>
      </c>
      <c r="V893" s="15">
        <f t="shared" si="8"/>
        <v>5</v>
      </c>
      <c r="W893" s="15">
        <f t="shared" si="9"/>
        <v>3</v>
      </c>
      <c r="X893" s="15">
        <f t="shared" si="10"/>
        <v>2025</v>
      </c>
    </row>
    <row r="894">
      <c r="A894" s="9">
        <v>45721.0</v>
      </c>
      <c r="B894" s="10"/>
      <c r="C894" s="9">
        <f t="shared" si="22"/>
        <v>45721</v>
      </c>
      <c r="D894" s="11" t="s">
        <v>36</v>
      </c>
      <c r="E894" s="11" t="s">
        <v>25</v>
      </c>
      <c r="F894" s="11" t="s">
        <v>32</v>
      </c>
      <c r="G894" s="11" t="s">
        <v>37</v>
      </c>
      <c r="I894" s="12">
        <v>4000.0</v>
      </c>
      <c r="J894" s="13"/>
      <c r="K894" s="13">
        <f t="shared" si="50"/>
        <v>4000</v>
      </c>
      <c r="L894" s="11" t="s">
        <v>29</v>
      </c>
      <c r="M894" s="14"/>
      <c r="N894" s="11" t="s">
        <v>38</v>
      </c>
      <c r="O894" s="10" t="str">
        <f t="shared" si="48"/>
        <v>03/2025</v>
      </c>
      <c r="P894" s="10" t="str">
        <f t="shared" si="29"/>
        <v>03/2025</v>
      </c>
      <c r="Q894" s="15" t="str">
        <f t="array" ref="Q894">IFERROR(XLOOKUP(N894,'Classificação'!A:A,'Classificação'!B:B),"")</f>
        <v>DESPESAS COM PESSOAL</v>
      </c>
      <c r="R894" s="15" t="str">
        <f t="array" ref="R894">IFERROR(XLOOKUP(Q894,'Classificação'!B:B,'Classificação'!C:C),"")</f>
        <v>DESPESAS FIXAS (-)</v>
      </c>
      <c r="S894" s="15">
        <f t="shared" si="5"/>
        <v>5</v>
      </c>
      <c r="T894" s="15">
        <f t="shared" si="6"/>
        <v>3</v>
      </c>
      <c r="U894" s="15">
        <f t="shared" si="7"/>
        <v>2025</v>
      </c>
      <c r="V894" s="15">
        <f t="shared" si="8"/>
        <v>5</v>
      </c>
      <c r="W894" s="15">
        <f t="shared" si="9"/>
        <v>3</v>
      </c>
      <c r="X894" s="15">
        <f t="shared" si="10"/>
        <v>2025</v>
      </c>
    </row>
    <row r="895">
      <c r="A895" s="9">
        <v>45721.0</v>
      </c>
      <c r="B895" s="10"/>
      <c r="C895" s="9">
        <f t="shared" si="22"/>
        <v>45721</v>
      </c>
      <c r="D895" s="11" t="s">
        <v>43</v>
      </c>
      <c r="E895" s="11" t="s">
        <v>25</v>
      </c>
      <c r="F895" s="11" t="s">
        <v>32</v>
      </c>
      <c r="G895" s="11" t="s">
        <v>37</v>
      </c>
      <c r="I895" s="12">
        <v>4000.0</v>
      </c>
      <c r="J895" s="13"/>
      <c r="K895" s="13">
        <f t="shared" si="50"/>
        <v>4000</v>
      </c>
      <c r="L895" s="11" t="s">
        <v>29</v>
      </c>
      <c r="M895" s="14"/>
      <c r="N895" s="11" t="s">
        <v>38</v>
      </c>
      <c r="O895" s="10" t="str">
        <f t="shared" si="48"/>
        <v>03/2025</v>
      </c>
      <c r="P895" s="10" t="str">
        <f t="shared" si="29"/>
        <v>03/2025</v>
      </c>
      <c r="Q895" s="15" t="str">
        <f t="array" ref="Q895">IFERROR(XLOOKUP(N895,'Classificação'!A:A,'Classificação'!B:B),"")</f>
        <v>DESPESAS COM PESSOAL</v>
      </c>
      <c r="R895" s="15" t="str">
        <f t="array" ref="R895">IFERROR(XLOOKUP(Q895,'Classificação'!B:B,'Classificação'!C:C),"")</f>
        <v>DESPESAS FIXAS (-)</v>
      </c>
      <c r="S895" s="15">
        <f t="shared" si="5"/>
        <v>5</v>
      </c>
      <c r="T895" s="15">
        <f t="shared" si="6"/>
        <v>3</v>
      </c>
      <c r="U895" s="15">
        <f t="shared" si="7"/>
        <v>2025</v>
      </c>
      <c r="V895" s="15">
        <f t="shared" si="8"/>
        <v>5</v>
      </c>
      <c r="W895" s="15">
        <f t="shared" si="9"/>
        <v>3</v>
      </c>
      <c r="X895" s="15">
        <f t="shared" si="10"/>
        <v>2025</v>
      </c>
    </row>
    <row r="896">
      <c r="A896" s="9">
        <v>45721.0</v>
      </c>
      <c r="B896" s="10"/>
      <c r="C896" s="9">
        <f t="shared" si="22"/>
        <v>45721</v>
      </c>
      <c r="D896" s="28" t="s">
        <v>76</v>
      </c>
      <c r="E896" s="29" t="s">
        <v>25</v>
      </c>
      <c r="F896" s="28" t="s">
        <v>26</v>
      </c>
      <c r="G896" s="29" t="s">
        <v>37</v>
      </c>
      <c r="H896" s="28" t="s">
        <v>84</v>
      </c>
      <c r="I896" s="24">
        <v>1214.27</v>
      </c>
      <c r="J896" s="13"/>
      <c r="K896" s="13">
        <f t="shared" si="50"/>
        <v>1214.27</v>
      </c>
      <c r="L896" s="28" t="s">
        <v>53</v>
      </c>
      <c r="M896" s="16" t="s">
        <v>591</v>
      </c>
      <c r="N896" s="28" t="s">
        <v>85</v>
      </c>
      <c r="O896" s="10" t="str">
        <f t="shared" si="48"/>
        <v>03/2025</v>
      </c>
      <c r="P896" s="10" t="str">
        <f t="shared" si="29"/>
        <v>03/2025</v>
      </c>
      <c r="Q896" s="15" t="str">
        <f t="array" ref="Q896">IFERROR(XLOOKUP(N896,'Classificação'!A:A,'Classificação'!B:B),"")</f>
        <v>DESPESAS NÃO OPERACIONAIS</v>
      </c>
      <c r="R896" s="15" t="str">
        <f t="array" ref="R896">IFERROR(XLOOKUP(Q896,'Classificação'!B:B,'Classificação'!C:C),"")</f>
        <v>RESULTADO NÃO OPERACIONAL (+/-)</v>
      </c>
      <c r="S896" s="15">
        <f t="shared" si="5"/>
        <v>5</v>
      </c>
      <c r="T896" s="15">
        <f t="shared" si="6"/>
        <v>3</v>
      </c>
      <c r="U896" s="15">
        <f t="shared" si="7"/>
        <v>2025</v>
      </c>
      <c r="V896" s="15">
        <f t="shared" si="8"/>
        <v>5</v>
      </c>
      <c r="W896" s="15">
        <f t="shared" si="9"/>
        <v>3</v>
      </c>
      <c r="X896" s="15">
        <f t="shared" si="10"/>
        <v>2025</v>
      </c>
    </row>
    <row r="897">
      <c r="A897" s="9">
        <v>45721.0</v>
      </c>
      <c r="B897" s="9">
        <v>45630.0</v>
      </c>
      <c r="C897" s="9">
        <f t="shared" si="22"/>
        <v>45721</v>
      </c>
      <c r="D897" s="11" t="s">
        <v>43</v>
      </c>
      <c r="E897" s="11" t="s">
        <v>25</v>
      </c>
      <c r="F897" s="11" t="s">
        <v>26</v>
      </c>
      <c r="G897" s="11" t="s">
        <v>37</v>
      </c>
      <c r="H897" s="11" t="s">
        <v>470</v>
      </c>
      <c r="I897" s="12">
        <v>46.67</v>
      </c>
      <c r="J897" s="13"/>
      <c r="K897" s="13">
        <f t="shared" si="50"/>
        <v>46.67</v>
      </c>
      <c r="L897" s="11" t="s">
        <v>53</v>
      </c>
      <c r="M897" s="17">
        <v>45352.0</v>
      </c>
      <c r="N897" s="11" t="s">
        <v>64</v>
      </c>
      <c r="O897" s="10" t="str">
        <f t="shared" si="48"/>
        <v>03/2025</v>
      </c>
      <c r="P897" s="10" t="str">
        <f t="shared" si="29"/>
        <v>03/2025</v>
      </c>
      <c r="Q897" s="15" t="str">
        <f t="array" ref="Q897">IFERROR(XLOOKUP(N897,'Classificação'!A:A,'Classificação'!B:B),"")</f>
        <v>DESPESAS COM PESSOAL</v>
      </c>
      <c r="R897" s="15" t="str">
        <f t="array" ref="R897">IFERROR(XLOOKUP(Q897,'Classificação'!B:B,'Classificação'!C:C),"")</f>
        <v>DESPESAS FIXAS (-)</v>
      </c>
      <c r="S897" s="15">
        <f t="shared" si="5"/>
        <v>5</v>
      </c>
      <c r="T897" s="15">
        <f t="shared" si="6"/>
        <v>3</v>
      </c>
      <c r="U897" s="15">
        <f t="shared" si="7"/>
        <v>2025</v>
      </c>
      <c r="V897" s="15">
        <f t="shared" si="8"/>
        <v>5</v>
      </c>
      <c r="W897" s="15">
        <f t="shared" si="9"/>
        <v>3</v>
      </c>
      <c r="X897" s="15">
        <f t="shared" si="10"/>
        <v>2025</v>
      </c>
    </row>
    <row r="898">
      <c r="A898" s="9">
        <v>45721.0</v>
      </c>
      <c r="B898" s="10"/>
      <c r="C898" s="9">
        <f t="shared" si="22"/>
        <v>45721</v>
      </c>
      <c r="D898" s="11" t="s">
        <v>43</v>
      </c>
      <c r="E898" s="11" t="s">
        <v>25</v>
      </c>
      <c r="F898" s="29" t="s">
        <v>26</v>
      </c>
      <c r="G898" s="11" t="s">
        <v>37</v>
      </c>
      <c r="H898" s="11" t="s">
        <v>460</v>
      </c>
      <c r="I898" s="12">
        <v>69.3</v>
      </c>
      <c r="J898" s="13"/>
      <c r="K898" s="13">
        <f t="shared" si="50"/>
        <v>69.3</v>
      </c>
      <c r="L898" s="28" t="s">
        <v>53</v>
      </c>
      <c r="M898" s="17">
        <v>45631.0</v>
      </c>
      <c r="N898" s="11" t="s">
        <v>105</v>
      </c>
      <c r="O898" s="10" t="str">
        <f t="shared" si="48"/>
        <v>03/2025</v>
      </c>
      <c r="P898" s="10" t="str">
        <f t="shared" si="29"/>
        <v>03/2025</v>
      </c>
      <c r="Q898" s="15" t="str">
        <f t="array" ref="Q898">IFERROR(XLOOKUP(N898,'Classificação'!A:A,'Classificação'!B:B),"")</f>
        <v>DESPESAS ADMINISTRATIVAS</v>
      </c>
      <c r="R898" s="15" t="str">
        <f t="array" ref="R898">IFERROR(XLOOKUP(Q898,'Classificação'!B:B,'Classificação'!C:C),"")</f>
        <v>DESPESAS FIXAS (-)</v>
      </c>
      <c r="S898" s="15">
        <f t="shared" si="5"/>
        <v>5</v>
      </c>
      <c r="T898" s="15">
        <f t="shared" si="6"/>
        <v>3</v>
      </c>
      <c r="U898" s="15">
        <f t="shared" si="7"/>
        <v>2025</v>
      </c>
      <c r="V898" s="15">
        <f t="shared" si="8"/>
        <v>5</v>
      </c>
      <c r="W898" s="15">
        <f t="shared" si="9"/>
        <v>3</v>
      </c>
      <c r="X898" s="15">
        <f t="shared" si="10"/>
        <v>2025</v>
      </c>
    </row>
    <row r="899">
      <c r="A899" s="9">
        <v>45721.0</v>
      </c>
      <c r="B899" s="9">
        <v>45667.0</v>
      </c>
      <c r="C899" s="9">
        <f t="shared" si="22"/>
        <v>45721</v>
      </c>
      <c r="D899" s="11" t="s">
        <v>533</v>
      </c>
      <c r="E899" s="11" t="s">
        <v>25</v>
      </c>
      <c r="F899" s="11" t="s">
        <v>26</v>
      </c>
      <c r="G899" s="11" t="s">
        <v>37</v>
      </c>
      <c r="H899" s="11" t="s">
        <v>534</v>
      </c>
      <c r="I899" s="12">
        <v>89.75</v>
      </c>
      <c r="J899" s="13"/>
      <c r="K899" s="13">
        <f t="shared" si="50"/>
        <v>89.75</v>
      </c>
      <c r="L899" s="11" t="s">
        <v>53</v>
      </c>
      <c r="M899" s="17">
        <v>45749.0</v>
      </c>
      <c r="N899" s="11" t="s">
        <v>175</v>
      </c>
      <c r="O899" s="10" t="str">
        <f t="shared" si="48"/>
        <v>03/2025</v>
      </c>
      <c r="P899" s="10" t="str">
        <f t="shared" si="29"/>
        <v>03/2025</v>
      </c>
      <c r="Q899" s="15" t="str">
        <f t="array" ref="Q899">IFERROR(XLOOKUP(N899,'Classificação'!A:A,'Classificação'!B:B),"")</f>
        <v>DESPESAS COM VEICULOS</v>
      </c>
      <c r="R899" s="15" t="str">
        <f t="array" ref="R899">IFERROR(XLOOKUP(Q899,'Classificação'!B:B,'Classificação'!C:C),"")</f>
        <v>DESPESAS FIXAS (-)</v>
      </c>
      <c r="S899" s="15">
        <f t="shared" si="5"/>
        <v>5</v>
      </c>
      <c r="T899" s="15">
        <f t="shared" si="6"/>
        <v>3</v>
      </c>
      <c r="U899" s="15">
        <f t="shared" si="7"/>
        <v>2025</v>
      </c>
      <c r="V899" s="15">
        <f t="shared" si="8"/>
        <v>5</v>
      </c>
      <c r="W899" s="15">
        <f t="shared" si="9"/>
        <v>3</v>
      </c>
      <c r="X899" s="15">
        <f t="shared" si="10"/>
        <v>2025</v>
      </c>
    </row>
    <row r="900">
      <c r="A900" s="9">
        <v>45721.0</v>
      </c>
      <c r="B900" s="39">
        <v>45611.0</v>
      </c>
      <c r="C900" s="9">
        <f t="shared" si="22"/>
        <v>45721</v>
      </c>
      <c r="D900" s="28" t="s">
        <v>361</v>
      </c>
      <c r="E900" s="11" t="s">
        <v>25</v>
      </c>
      <c r="F900" s="28" t="s">
        <v>26</v>
      </c>
      <c r="G900" s="28" t="s">
        <v>37</v>
      </c>
      <c r="H900" s="29" t="s">
        <v>535</v>
      </c>
      <c r="I900" s="24">
        <v>282.35</v>
      </c>
      <c r="J900" s="13"/>
      <c r="K900" s="13">
        <f t="shared" si="50"/>
        <v>282.35</v>
      </c>
      <c r="L900" s="28" t="s">
        <v>53</v>
      </c>
      <c r="M900" s="17">
        <v>45995.0</v>
      </c>
      <c r="N900" s="28" t="s">
        <v>363</v>
      </c>
      <c r="O900" s="10" t="str">
        <f t="shared" si="48"/>
        <v>03/2025</v>
      </c>
      <c r="P900" s="10" t="str">
        <f t="shared" si="29"/>
        <v>03/2025</v>
      </c>
      <c r="Q900" s="15" t="str">
        <f t="array" ref="Q900">IFERROR(XLOOKUP(N900,'Classificação'!A:A,'Classificação'!B:B),"")</f>
        <v>DESPESAS NÃO OPERACIONAIS</v>
      </c>
      <c r="R900" s="15" t="str">
        <f t="array" ref="R900">IFERROR(XLOOKUP(Q900,'Classificação'!B:B,'Classificação'!C:C),"")</f>
        <v>RESULTADO NÃO OPERACIONAL (+/-)</v>
      </c>
      <c r="S900" s="15">
        <f t="shared" si="5"/>
        <v>5</v>
      </c>
      <c r="T900" s="15">
        <f t="shared" si="6"/>
        <v>3</v>
      </c>
      <c r="U900" s="15">
        <f t="shared" si="7"/>
        <v>2025</v>
      </c>
      <c r="V900" s="15">
        <f t="shared" si="8"/>
        <v>5</v>
      </c>
      <c r="W900" s="15">
        <f t="shared" si="9"/>
        <v>3</v>
      </c>
      <c r="X900" s="15">
        <f t="shared" si="10"/>
        <v>2025</v>
      </c>
    </row>
    <row r="901">
      <c r="A901" s="9">
        <v>45721.0</v>
      </c>
      <c r="B901" s="10"/>
      <c r="C901" s="9">
        <f t="shared" si="22"/>
        <v>45721</v>
      </c>
      <c r="D901" s="11" t="s">
        <v>182</v>
      </c>
      <c r="E901" s="11" t="s">
        <v>25</v>
      </c>
      <c r="F901" s="11" t="s">
        <v>26</v>
      </c>
      <c r="G901" s="11" t="s">
        <v>37</v>
      </c>
      <c r="H901" s="11" t="s">
        <v>592</v>
      </c>
      <c r="I901" s="12">
        <v>104.82</v>
      </c>
      <c r="J901" s="13"/>
      <c r="K901" s="13">
        <f t="shared" si="50"/>
        <v>104.82</v>
      </c>
      <c r="L901" s="11" t="s">
        <v>34</v>
      </c>
      <c r="M901" s="14"/>
      <c r="N901" s="11" t="s">
        <v>184</v>
      </c>
      <c r="O901" s="10" t="str">
        <f t="shared" si="48"/>
        <v>03/2025</v>
      </c>
      <c r="P901" s="10" t="str">
        <f t="shared" si="29"/>
        <v>03/2025</v>
      </c>
      <c r="Q901" s="15" t="str">
        <f t="array" ref="Q901">IFERROR(XLOOKUP(N901,'Classificação'!A:A,'Classificação'!B:B),"")</f>
        <v>DESPESAS ADMINISTRATIVAS</v>
      </c>
      <c r="R901" s="15" t="str">
        <f t="array" ref="R901">IFERROR(XLOOKUP(Q901,'Classificação'!B:B,'Classificação'!C:C),"")</f>
        <v>DESPESAS FIXAS (-)</v>
      </c>
      <c r="S901" s="15">
        <f t="shared" si="5"/>
        <v>5</v>
      </c>
      <c r="T901" s="15">
        <f t="shared" si="6"/>
        <v>3</v>
      </c>
      <c r="U901" s="15">
        <f t="shared" si="7"/>
        <v>2025</v>
      </c>
      <c r="V901" s="15">
        <f t="shared" si="8"/>
        <v>5</v>
      </c>
      <c r="W901" s="15">
        <f t="shared" si="9"/>
        <v>3</v>
      </c>
      <c r="X901" s="15">
        <f t="shared" si="10"/>
        <v>2025</v>
      </c>
    </row>
    <row r="902">
      <c r="A902" s="9">
        <v>45722.0</v>
      </c>
      <c r="B902" s="10"/>
      <c r="C902" s="9">
        <f t="shared" si="22"/>
        <v>45722</v>
      </c>
      <c r="D902" s="11" t="s">
        <v>332</v>
      </c>
      <c r="E902" s="11" t="s">
        <v>25</v>
      </c>
      <c r="F902" s="11" t="s">
        <v>26</v>
      </c>
      <c r="G902" s="11" t="s">
        <v>27</v>
      </c>
      <c r="H902" s="11" t="s">
        <v>593</v>
      </c>
      <c r="I902" s="12">
        <v>15841.28</v>
      </c>
      <c r="J902" s="13"/>
      <c r="K902" s="13">
        <f t="shared" si="50"/>
        <v>15841.28</v>
      </c>
      <c r="L902" s="11" t="s">
        <v>34</v>
      </c>
      <c r="M902" s="14"/>
      <c r="N902" s="11" t="s">
        <v>35</v>
      </c>
      <c r="O902" s="10" t="str">
        <f t="shared" si="48"/>
        <v>03/2025</v>
      </c>
      <c r="P902" s="10" t="str">
        <f t="shared" si="29"/>
        <v>03/2025</v>
      </c>
      <c r="Q902" s="15" t="str">
        <f t="array" ref="Q902">IFERROR(XLOOKUP(N902,'Classificação'!A:A,'Classificação'!B:B),"")</f>
        <v>COMPRA DE MERCADORIA</v>
      </c>
      <c r="R902" s="15" t="str">
        <f t="array" ref="R902">IFERROR(XLOOKUP(Q902,'Classificação'!B:B,'Classificação'!C:C),"")</f>
        <v>CUSTOS VARIÁVEIS</v>
      </c>
      <c r="S902" s="15">
        <f t="shared" si="5"/>
        <v>6</v>
      </c>
      <c r="T902" s="15">
        <f t="shared" si="6"/>
        <v>3</v>
      </c>
      <c r="U902" s="15">
        <f t="shared" si="7"/>
        <v>2025</v>
      </c>
      <c r="V902" s="15">
        <f t="shared" si="8"/>
        <v>6</v>
      </c>
      <c r="W902" s="15">
        <f t="shared" si="9"/>
        <v>3</v>
      </c>
      <c r="X902" s="15">
        <f t="shared" si="10"/>
        <v>2025</v>
      </c>
    </row>
    <row r="903">
      <c r="A903" s="9">
        <v>45723.0</v>
      </c>
      <c r="B903" s="10"/>
      <c r="C903" s="9">
        <f t="shared" si="22"/>
        <v>45723</v>
      </c>
      <c r="D903" s="11" t="s">
        <v>44</v>
      </c>
      <c r="E903" s="11" t="s">
        <v>25</v>
      </c>
      <c r="F903" s="11" t="s">
        <v>45</v>
      </c>
      <c r="G903" s="11" t="s">
        <v>27</v>
      </c>
      <c r="I903" s="12">
        <v>75.4</v>
      </c>
      <c r="J903" s="13"/>
      <c r="K903" s="13">
        <f t="shared" si="50"/>
        <v>75.4</v>
      </c>
      <c r="L903" s="11" t="s">
        <v>29</v>
      </c>
      <c r="M903" s="14"/>
      <c r="N903" s="11" t="s">
        <v>47</v>
      </c>
      <c r="O903" s="10" t="str">
        <f t="shared" si="48"/>
        <v>03/2025</v>
      </c>
      <c r="P903" s="10" t="str">
        <f t="shared" si="29"/>
        <v>03/2025</v>
      </c>
      <c r="Q903" s="15" t="str">
        <f t="array" ref="Q903">IFERROR(XLOOKUP(N903,'Classificação'!A:A,'Classificação'!B:B),"")</f>
        <v>DESPESAS NÃO OPERACIONAIS</v>
      </c>
      <c r="R903" s="15" t="str">
        <f t="array" ref="R903">IFERROR(XLOOKUP(Q903,'Classificação'!B:B,'Classificação'!C:C),"")</f>
        <v>RESULTADO NÃO OPERACIONAL (+/-)</v>
      </c>
      <c r="S903" s="15">
        <f t="shared" si="5"/>
        <v>7</v>
      </c>
      <c r="T903" s="15">
        <f t="shared" si="6"/>
        <v>3</v>
      </c>
      <c r="U903" s="15">
        <f t="shared" si="7"/>
        <v>2025</v>
      </c>
      <c r="V903" s="15">
        <f t="shared" si="8"/>
        <v>7</v>
      </c>
      <c r="W903" s="15">
        <f t="shared" si="9"/>
        <v>3</v>
      </c>
      <c r="X903" s="15">
        <f t="shared" si="10"/>
        <v>2025</v>
      </c>
    </row>
    <row r="904">
      <c r="A904" s="9">
        <v>45723.0</v>
      </c>
      <c r="B904" s="10"/>
      <c r="C904" s="9">
        <f t="shared" si="22"/>
        <v>45723</v>
      </c>
      <c r="D904" s="11" t="s">
        <v>62</v>
      </c>
      <c r="E904" s="11" t="s">
        <v>25</v>
      </c>
      <c r="F904" s="11" t="s">
        <v>26</v>
      </c>
      <c r="G904" s="11" t="s">
        <v>37</v>
      </c>
      <c r="H904" s="11" t="s">
        <v>594</v>
      </c>
      <c r="I904" s="12">
        <v>78.0</v>
      </c>
      <c r="J904" s="13"/>
      <c r="K904" s="13">
        <f t="shared" si="50"/>
        <v>78</v>
      </c>
      <c r="L904" s="11" t="s">
        <v>34</v>
      </c>
      <c r="M904" s="17"/>
      <c r="N904" s="11" t="s">
        <v>595</v>
      </c>
      <c r="O904" s="10" t="str">
        <f t="shared" si="48"/>
        <v>03/2025</v>
      </c>
      <c r="P904" s="10" t="str">
        <f t="shared" si="29"/>
        <v>03/2025</v>
      </c>
      <c r="Q904" s="15" t="str">
        <f t="array" ref="Q904">IFERROR(XLOOKUP(N904,'Classificação'!A:A,'Classificação'!B:B),"")</f>
        <v>DESPESAS COM PESSOAL</v>
      </c>
      <c r="R904" s="15" t="str">
        <f t="array" ref="R904">IFERROR(XLOOKUP(Q904,'Classificação'!B:B,'Classificação'!C:C),"")</f>
        <v>DESPESAS FIXAS (-)</v>
      </c>
      <c r="S904" s="15">
        <f t="shared" si="5"/>
        <v>7</v>
      </c>
      <c r="T904" s="15">
        <f t="shared" si="6"/>
        <v>3</v>
      </c>
      <c r="U904" s="15">
        <f t="shared" si="7"/>
        <v>2025</v>
      </c>
      <c r="V904" s="15">
        <f t="shared" si="8"/>
        <v>7</v>
      </c>
      <c r="W904" s="15">
        <f t="shared" si="9"/>
        <v>3</v>
      </c>
      <c r="X904" s="15">
        <f t="shared" si="10"/>
        <v>2025</v>
      </c>
    </row>
    <row r="905">
      <c r="A905" s="9">
        <v>45726.0</v>
      </c>
      <c r="B905" s="10"/>
      <c r="C905" s="9">
        <f t="shared" si="22"/>
        <v>45726</v>
      </c>
      <c r="D905" s="11" t="s">
        <v>44</v>
      </c>
      <c r="E905" s="11" t="s">
        <v>25</v>
      </c>
      <c r="F905" s="11" t="s">
        <v>40</v>
      </c>
      <c r="G905" s="11" t="s">
        <v>27</v>
      </c>
      <c r="H905" s="11" t="s">
        <v>596</v>
      </c>
      <c r="I905" s="12">
        <v>230.75</v>
      </c>
      <c r="J905" s="13"/>
      <c r="K905" s="13">
        <f t="shared" si="50"/>
        <v>230.75</v>
      </c>
      <c r="L905" s="11" t="s">
        <v>34</v>
      </c>
      <c r="M905" s="14"/>
      <c r="N905" s="11" t="s">
        <v>35</v>
      </c>
      <c r="O905" s="10" t="str">
        <f t="shared" si="48"/>
        <v>03/2025</v>
      </c>
      <c r="P905" s="10" t="str">
        <f t="shared" si="29"/>
        <v>03/2025</v>
      </c>
      <c r="Q905" s="15" t="str">
        <f t="array" ref="Q905">IFERROR(XLOOKUP(N905,'Classificação'!A:A,'Classificação'!B:B),"")</f>
        <v>COMPRA DE MERCADORIA</v>
      </c>
      <c r="R905" s="15" t="str">
        <f t="array" ref="R905">IFERROR(XLOOKUP(Q905,'Classificação'!B:B,'Classificação'!C:C),"")</f>
        <v>CUSTOS VARIÁVEIS</v>
      </c>
      <c r="S905" s="15">
        <f t="shared" si="5"/>
        <v>10</v>
      </c>
      <c r="T905" s="15">
        <f t="shared" si="6"/>
        <v>3</v>
      </c>
      <c r="U905" s="15">
        <f t="shared" si="7"/>
        <v>2025</v>
      </c>
      <c r="V905" s="15">
        <f t="shared" si="8"/>
        <v>10</v>
      </c>
      <c r="W905" s="15">
        <f t="shared" si="9"/>
        <v>3</v>
      </c>
      <c r="X905" s="15">
        <f t="shared" si="10"/>
        <v>2025</v>
      </c>
    </row>
    <row r="906">
      <c r="A906" s="9">
        <v>45726.0</v>
      </c>
      <c r="B906" s="10"/>
      <c r="C906" s="9">
        <f t="shared" si="22"/>
        <v>45726</v>
      </c>
      <c r="D906" s="11" t="s">
        <v>48</v>
      </c>
      <c r="E906" s="11" t="s">
        <v>25</v>
      </c>
      <c r="F906" s="11" t="s">
        <v>40</v>
      </c>
      <c r="G906" s="11" t="s">
        <v>27</v>
      </c>
      <c r="I906" s="12">
        <v>1304.26</v>
      </c>
      <c r="J906" s="13"/>
      <c r="K906" s="13">
        <f t="shared" si="50"/>
        <v>1304.26</v>
      </c>
      <c r="L906" s="11" t="s">
        <v>29</v>
      </c>
      <c r="M906" s="14"/>
      <c r="N906" s="11" t="s">
        <v>49</v>
      </c>
      <c r="O906" s="10" t="str">
        <f t="shared" si="48"/>
        <v>03/2025</v>
      </c>
      <c r="P906" s="10" t="str">
        <f t="shared" si="29"/>
        <v>03/2025</v>
      </c>
      <c r="Q906" s="15" t="str">
        <f t="array" ref="Q906">IFERROR(XLOOKUP(N906,'Classificação'!A:A,'Classificação'!B:B),"")</f>
        <v>DESPESAS COM PESSOAL</v>
      </c>
      <c r="R906" s="15" t="str">
        <f t="array" ref="R906">IFERROR(XLOOKUP(Q906,'Classificação'!B:B,'Classificação'!C:C),"")</f>
        <v>DESPESAS FIXAS (-)</v>
      </c>
      <c r="S906" s="15">
        <f t="shared" si="5"/>
        <v>10</v>
      </c>
      <c r="T906" s="15">
        <f t="shared" si="6"/>
        <v>3</v>
      </c>
      <c r="U906" s="15">
        <f t="shared" si="7"/>
        <v>2025</v>
      </c>
      <c r="V906" s="15">
        <f t="shared" si="8"/>
        <v>10</v>
      </c>
      <c r="W906" s="15">
        <f t="shared" si="9"/>
        <v>3</v>
      </c>
      <c r="X906" s="15">
        <f t="shared" si="10"/>
        <v>2025</v>
      </c>
    </row>
    <row r="907">
      <c r="A907" s="9">
        <v>45726.0</v>
      </c>
      <c r="B907" s="10"/>
      <c r="C907" s="9">
        <f t="shared" si="22"/>
        <v>45726</v>
      </c>
      <c r="D907" s="11" t="s">
        <v>50</v>
      </c>
      <c r="E907" s="11" t="s">
        <v>25</v>
      </c>
      <c r="F907" s="11" t="s">
        <v>40</v>
      </c>
      <c r="G907" s="11" t="s">
        <v>37</v>
      </c>
      <c r="H907" s="11" t="s">
        <v>51</v>
      </c>
      <c r="I907" s="12">
        <v>139.99</v>
      </c>
      <c r="J907" s="13"/>
      <c r="K907" s="13">
        <f t="shared" si="50"/>
        <v>139.99</v>
      </c>
      <c r="L907" s="11" t="s">
        <v>29</v>
      </c>
      <c r="M907" s="14"/>
      <c r="N907" s="11" t="s">
        <v>51</v>
      </c>
      <c r="O907" s="10" t="str">
        <f t="shared" si="48"/>
        <v>03/2025</v>
      </c>
      <c r="P907" s="10" t="str">
        <f t="shared" si="29"/>
        <v>03/2025</v>
      </c>
      <c r="Q907" s="15" t="str">
        <f t="array" ref="Q907">IFERROR(XLOOKUP(N907,'Classificação'!A:A,'Classificação'!B:B),"")</f>
        <v>DESPESAS COM OCUPAÇÃO</v>
      </c>
      <c r="R907" s="15" t="str">
        <f t="array" ref="R907">IFERROR(XLOOKUP(Q907,'Classificação'!B:B,'Classificação'!C:C),"")</f>
        <v>DESPESAS FIXAS (-)</v>
      </c>
      <c r="S907" s="15">
        <f t="shared" si="5"/>
        <v>10</v>
      </c>
      <c r="T907" s="15">
        <f t="shared" si="6"/>
        <v>3</v>
      </c>
      <c r="U907" s="15">
        <f t="shared" si="7"/>
        <v>2025</v>
      </c>
      <c r="V907" s="15">
        <f t="shared" si="8"/>
        <v>10</v>
      </c>
      <c r="W907" s="15">
        <f t="shared" si="9"/>
        <v>3</v>
      </c>
      <c r="X907" s="15">
        <f t="shared" si="10"/>
        <v>2025</v>
      </c>
    </row>
    <row r="908">
      <c r="A908" s="9">
        <v>45726.0</v>
      </c>
      <c r="B908" s="10"/>
      <c r="C908" s="9">
        <f t="shared" si="22"/>
        <v>45726</v>
      </c>
      <c r="D908" s="11" t="s">
        <v>59</v>
      </c>
      <c r="E908" s="11" t="s">
        <v>25</v>
      </c>
      <c r="F908" s="11" t="s">
        <v>40</v>
      </c>
      <c r="G908" s="11" t="s">
        <v>37</v>
      </c>
      <c r="H908" s="11" t="s">
        <v>60</v>
      </c>
      <c r="I908" s="12">
        <v>397.0</v>
      </c>
      <c r="J908" s="13"/>
      <c r="K908" s="13">
        <f t="shared" si="50"/>
        <v>397</v>
      </c>
      <c r="L908" s="11" t="s">
        <v>29</v>
      </c>
      <c r="M908" s="14"/>
      <c r="N908" s="11" t="s">
        <v>61</v>
      </c>
      <c r="O908" s="10" t="str">
        <f t="shared" si="48"/>
        <v>03/2025</v>
      </c>
      <c r="P908" s="10" t="str">
        <f t="shared" si="29"/>
        <v>03/2025</v>
      </c>
      <c r="Q908" s="15" t="str">
        <f t="array" ref="Q908">IFERROR(XLOOKUP(N908,'Classificação'!A:A,'Classificação'!B:B),"")</f>
        <v>DESPESAS ADMINISTRATIVAS</v>
      </c>
      <c r="R908" s="15" t="str">
        <f t="array" ref="R908">IFERROR(XLOOKUP(Q908,'Classificação'!B:B,'Classificação'!C:C),"")</f>
        <v>DESPESAS FIXAS (-)</v>
      </c>
      <c r="S908" s="15">
        <f t="shared" si="5"/>
        <v>10</v>
      </c>
      <c r="T908" s="15">
        <f t="shared" si="6"/>
        <v>3</v>
      </c>
      <c r="U908" s="15">
        <f t="shared" si="7"/>
        <v>2025</v>
      </c>
      <c r="V908" s="15">
        <f t="shared" si="8"/>
        <v>10</v>
      </c>
      <c r="W908" s="15">
        <f t="shared" si="9"/>
        <v>3</v>
      </c>
      <c r="X908" s="15">
        <f t="shared" si="10"/>
        <v>2025</v>
      </c>
    </row>
    <row r="909">
      <c r="A909" s="9">
        <v>45726.0</v>
      </c>
      <c r="B909" s="10"/>
      <c r="C909" s="9">
        <f t="shared" si="22"/>
        <v>45726</v>
      </c>
      <c r="D909" s="11" t="s">
        <v>104</v>
      </c>
      <c r="E909" s="11" t="s">
        <v>25</v>
      </c>
      <c r="F909" s="11" t="s">
        <v>40</v>
      </c>
      <c r="G909" s="11" t="s">
        <v>37</v>
      </c>
      <c r="H909" s="11" t="s">
        <v>413</v>
      </c>
      <c r="I909" s="12">
        <v>27.5</v>
      </c>
      <c r="J909" s="13"/>
      <c r="K909" s="13">
        <f t="shared" si="50"/>
        <v>27.5</v>
      </c>
      <c r="L909" s="11" t="s">
        <v>29</v>
      </c>
      <c r="M909" s="14"/>
      <c r="N909" s="11" t="s">
        <v>105</v>
      </c>
      <c r="O909" s="10" t="str">
        <f t="shared" si="48"/>
        <v>03/2025</v>
      </c>
      <c r="P909" s="10" t="str">
        <f t="shared" si="29"/>
        <v>03/2025</v>
      </c>
      <c r="Q909" s="15" t="str">
        <f t="array" ref="Q909">IFERROR(XLOOKUP(N909,'Classificação'!A:A,'Classificação'!B:B),"")</f>
        <v>DESPESAS ADMINISTRATIVAS</v>
      </c>
      <c r="R909" s="15" t="str">
        <f t="array" ref="R909">IFERROR(XLOOKUP(Q909,'Classificação'!B:B,'Classificação'!C:C),"")</f>
        <v>DESPESAS FIXAS (-)</v>
      </c>
      <c r="S909" s="15">
        <f t="shared" si="5"/>
        <v>10</v>
      </c>
      <c r="T909" s="15">
        <f t="shared" si="6"/>
        <v>3</v>
      </c>
      <c r="U909" s="15">
        <f t="shared" si="7"/>
        <v>2025</v>
      </c>
      <c r="V909" s="15">
        <f t="shared" si="8"/>
        <v>10</v>
      </c>
      <c r="W909" s="15">
        <f t="shared" si="9"/>
        <v>3</v>
      </c>
      <c r="X909" s="15">
        <f t="shared" si="10"/>
        <v>2025</v>
      </c>
    </row>
    <row r="910">
      <c r="A910" s="9">
        <v>45726.0</v>
      </c>
      <c r="B910" s="10"/>
      <c r="C910" s="9">
        <f t="shared" si="22"/>
        <v>45726</v>
      </c>
      <c r="D910" s="11" t="s">
        <v>44</v>
      </c>
      <c r="E910" s="11" t="s">
        <v>25</v>
      </c>
      <c r="F910" s="11" t="s">
        <v>45</v>
      </c>
      <c r="G910" s="11" t="s">
        <v>27</v>
      </c>
      <c r="H910" s="11" t="s">
        <v>52</v>
      </c>
      <c r="I910" s="12">
        <v>480.32</v>
      </c>
      <c r="J910" s="13"/>
      <c r="K910" s="13">
        <f t="shared" si="50"/>
        <v>480.32</v>
      </c>
      <c r="L910" s="11" t="s">
        <v>53</v>
      </c>
      <c r="M910" s="16" t="s">
        <v>597</v>
      </c>
      <c r="N910" s="11" t="s">
        <v>55</v>
      </c>
      <c r="O910" s="10" t="str">
        <f t="shared" si="48"/>
        <v>03/2025</v>
      </c>
      <c r="P910" s="10" t="str">
        <f t="shared" si="29"/>
        <v>03/2025</v>
      </c>
      <c r="Q910" s="15" t="str">
        <f t="array" ref="Q910">IFERROR(XLOOKUP(N910,'Classificação'!A:A,'Classificação'!B:B),"")</f>
        <v>DESPESAS NÃO OPERACIONAIS</v>
      </c>
      <c r="R910" s="15" t="str">
        <f t="array" ref="R910">IFERROR(XLOOKUP(Q910,'Classificação'!B:B,'Classificação'!C:C),"")</f>
        <v>RESULTADO NÃO OPERACIONAL (+/-)</v>
      </c>
      <c r="S910" s="15">
        <f t="shared" si="5"/>
        <v>10</v>
      </c>
      <c r="T910" s="15">
        <f t="shared" si="6"/>
        <v>3</v>
      </c>
      <c r="U910" s="15">
        <f t="shared" si="7"/>
        <v>2025</v>
      </c>
      <c r="V910" s="15">
        <f t="shared" si="8"/>
        <v>10</v>
      </c>
      <c r="W910" s="15">
        <f t="shared" si="9"/>
        <v>3</v>
      </c>
      <c r="X910" s="15">
        <f t="shared" si="10"/>
        <v>2025</v>
      </c>
    </row>
    <row r="911">
      <c r="A911" s="9">
        <v>45726.0</v>
      </c>
      <c r="B911" s="10"/>
      <c r="C911" s="9">
        <f t="shared" si="22"/>
        <v>45726</v>
      </c>
      <c r="D911" s="11" t="s">
        <v>83</v>
      </c>
      <c r="E911" s="11" t="s">
        <v>25</v>
      </c>
      <c r="F911" s="11" t="s">
        <v>26</v>
      </c>
      <c r="G911" s="11" t="s">
        <v>37</v>
      </c>
      <c r="H911" s="11" t="s">
        <v>409</v>
      </c>
      <c r="I911" s="12">
        <v>100.0</v>
      </c>
      <c r="J911" s="13"/>
      <c r="K911" s="13">
        <f t="shared" si="50"/>
        <v>100</v>
      </c>
      <c r="L911" s="11" t="s">
        <v>34</v>
      </c>
      <c r="M911" s="14"/>
      <c r="N911" s="11" t="s">
        <v>58</v>
      </c>
      <c r="O911" s="10" t="str">
        <f t="shared" si="48"/>
        <v>03/2025</v>
      </c>
      <c r="P911" s="10" t="str">
        <f t="shared" si="29"/>
        <v>03/2025</v>
      </c>
      <c r="Q911" s="15" t="str">
        <f t="array" ref="Q911">IFERROR(XLOOKUP(N911,'Classificação'!A:A,'Classificação'!B:B),"")</f>
        <v>DESPESAS ADMINISTRATIVAS</v>
      </c>
      <c r="R911" s="15" t="str">
        <f t="array" ref="R911">IFERROR(XLOOKUP(Q911,'Classificação'!B:B,'Classificação'!C:C),"")</f>
        <v>DESPESAS FIXAS (-)</v>
      </c>
      <c r="S911" s="15">
        <f t="shared" si="5"/>
        <v>10</v>
      </c>
      <c r="T911" s="15">
        <f t="shared" si="6"/>
        <v>3</v>
      </c>
      <c r="U911" s="15">
        <f t="shared" si="7"/>
        <v>2025</v>
      </c>
      <c r="V911" s="15">
        <f t="shared" si="8"/>
        <v>10</v>
      </c>
      <c r="W911" s="15">
        <f t="shared" si="9"/>
        <v>3</v>
      </c>
      <c r="X911" s="15">
        <f t="shared" si="10"/>
        <v>2025</v>
      </c>
    </row>
    <row r="912">
      <c r="A912" s="9">
        <v>45727.0</v>
      </c>
      <c r="B912" s="10"/>
      <c r="C912" s="9">
        <f t="shared" si="22"/>
        <v>45727</v>
      </c>
      <c r="D912" s="11" t="s">
        <v>65</v>
      </c>
      <c r="E912" s="11" t="s">
        <v>25</v>
      </c>
      <c r="F912" s="11" t="s">
        <v>45</v>
      </c>
      <c r="G912" s="11" t="s">
        <v>66</v>
      </c>
      <c r="H912" s="11" t="s">
        <v>67</v>
      </c>
      <c r="I912" s="12">
        <v>415.8</v>
      </c>
      <c r="J912" s="13"/>
      <c r="K912" s="13">
        <f t="shared" si="50"/>
        <v>415.8</v>
      </c>
      <c r="L912" s="11" t="s">
        <v>29</v>
      </c>
      <c r="M912" s="14"/>
      <c r="N912" s="11" t="s">
        <v>68</v>
      </c>
      <c r="O912" s="10" t="str">
        <f t="shared" si="48"/>
        <v>03/2025</v>
      </c>
      <c r="P912" s="10" t="str">
        <f t="shared" si="29"/>
        <v>03/2025</v>
      </c>
      <c r="Q912" s="15" t="str">
        <f t="array" ref="Q912">IFERROR(XLOOKUP(N912,'Classificação'!A:A,'Classificação'!B:B),"")</f>
        <v>FRETE DE VENDAS</v>
      </c>
      <c r="R912" s="15" t="str">
        <f t="array" ref="R912">IFERROR(XLOOKUP(Q912,'Classificação'!B:B,'Classificação'!C:C),"")</f>
        <v>CUSTOS VARIÁVEIS</v>
      </c>
      <c r="S912" s="15">
        <f t="shared" si="5"/>
        <v>11</v>
      </c>
      <c r="T912" s="15">
        <f t="shared" si="6"/>
        <v>3</v>
      </c>
      <c r="U912" s="15">
        <f t="shared" si="7"/>
        <v>2025</v>
      </c>
      <c r="V912" s="15">
        <f t="shared" si="8"/>
        <v>11</v>
      </c>
      <c r="W912" s="15">
        <f t="shared" si="9"/>
        <v>3</v>
      </c>
      <c r="X912" s="15">
        <f t="shared" si="10"/>
        <v>2025</v>
      </c>
    </row>
    <row r="913">
      <c r="A913" s="26">
        <v>45727.0</v>
      </c>
      <c r="B913" s="30"/>
      <c r="C913" s="27">
        <f t="shared" si="22"/>
        <v>45727</v>
      </c>
      <c r="D913" s="28" t="s">
        <v>74</v>
      </c>
      <c r="E913" s="29" t="s">
        <v>25</v>
      </c>
      <c r="F913" s="28" t="s">
        <v>26</v>
      </c>
      <c r="G913" s="29" t="s">
        <v>37</v>
      </c>
      <c r="H913" s="29" t="s">
        <v>598</v>
      </c>
      <c r="I913" s="24">
        <v>170.0</v>
      </c>
      <c r="J913" s="34"/>
      <c r="K913" s="37">
        <f>IF(E913="pago",(I913-J913),"")</f>
        <v>170</v>
      </c>
      <c r="L913" s="28" t="s">
        <v>34</v>
      </c>
      <c r="M913" s="28"/>
      <c r="N913" s="28" t="s">
        <v>38</v>
      </c>
      <c r="O913" s="10" t="str">
        <f t="shared" si="48"/>
        <v>03/2025</v>
      </c>
      <c r="P913" s="10" t="str">
        <f t="shared" si="29"/>
        <v>03/2025</v>
      </c>
      <c r="Q913" s="15" t="str">
        <f t="array" ref="Q913">IFERROR(XLOOKUP(N913,'Classificação'!A:A,'Classificação'!B:B),"")</f>
        <v>DESPESAS COM PESSOAL</v>
      </c>
      <c r="R913" s="15" t="str">
        <f t="array" ref="R913">IFERROR(XLOOKUP(Q913,'Classificação'!B:B,'Classificação'!C:C),"")</f>
        <v>DESPESAS FIXAS (-)</v>
      </c>
      <c r="S913" s="15">
        <f t="shared" si="5"/>
        <v>11</v>
      </c>
      <c r="T913" s="15">
        <f t="shared" si="6"/>
        <v>3</v>
      </c>
      <c r="U913" s="15">
        <f t="shared" si="7"/>
        <v>2025</v>
      </c>
      <c r="V913" s="15">
        <f t="shared" si="8"/>
        <v>11</v>
      </c>
      <c r="W913" s="15">
        <f t="shared" si="9"/>
        <v>3</v>
      </c>
      <c r="X913" s="15">
        <f t="shared" si="10"/>
        <v>2025</v>
      </c>
    </row>
    <row r="914">
      <c r="A914" s="9">
        <v>45727.0</v>
      </c>
      <c r="B914" s="10"/>
      <c r="C914" s="9">
        <f t="shared" si="22"/>
        <v>45727</v>
      </c>
      <c r="D914" s="11" t="s">
        <v>473</v>
      </c>
      <c r="E914" s="11" t="s">
        <v>25</v>
      </c>
      <c r="F914" s="11" t="s">
        <v>26</v>
      </c>
      <c r="G914" s="11" t="s">
        <v>27</v>
      </c>
      <c r="H914" s="11" t="s">
        <v>474</v>
      </c>
      <c r="I914" s="12">
        <v>525.08</v>
      </c>
      <c r="J914" s="13"/>
      <c r="K914" s="13">
        <f t="shared" ref="K914:K1004" si="51">if(E914="pago",(I914-J914),"")</f>
        <v>525.08</v>
      </c>
      <c r="L914" s="11" t="s">
        <v>53</v>
      </c>
      <c r="M914" s="17">
        <v>45780.0</v>
      </c>
      <c r="N914" s="11" t="s">
        <v>233</v>
      </c>
      <c r="O914" s="10" t="str">
        <f t="shared" si="48"/>
        <v>03/2025</v>
      </c>
      <c r="P914" s="10" t="str">
        <f t="shared" si="29"/>
        <v>03/2025</v>
      </c>
      <c r="Q914" s="15" t="str">
        <f t="array" ref="Q914">IFERROR(XLOOKUP(N914,'Classificação'!A:A,'Classificação'!B:B),"")</f>
        <v>DESPESAS COM VEICULOS</v>
      </c>
      <c r="R914" s="15" t="str">
        <f t="array" ref="R914">IFERROR(XLOOKUP(Q914,'Classificação'!B:B,'Classificação'!C:C),"")</f>
        <v>DESPESAS FIXAS (-)</v>
      </c>
      <c r="S914" s="15">
        <f t="shared" si="5"/>
        <v>11</v>
      </c>
      <c r="T914" s="15">
        <f t="shared" si="6"/>
        <v>3</v>
      </c>
      <c r="U914" s="15">
        <f t="shared" si="7"/>
        <v>2025</v>
      </c>
      <c r="V914" s="15">
        <f t="shared" si="8"/>
        <v>11</v>
      </c>
      <c r="W914" s="15">
        <f t="shared" si="9"/>
        <v>3</v>
      </c>
      <c r="X914" s="15">
        <f t="shared" si="10"/>
        <v>2025</v>
      </c>
    </row>
    <row r="915">
      <c r="A915" s="9">
        <v>45727.0</v>
      </c>
      <c r="B915" s="10"/>
      <c r="C915" s="9">
        <f t="shared" si="22"/>
        <v>45727</v>
      </c>
      <c r="D915" s="11" t="s">
        <v>520</v>
      </c>
      <c r="E915" s="11" t="s">
        <v>25</v>
      </c>
      <c r="F915" s="11" t="s">
        <v>26</v>
      </c>
      <c r="G915" s="11" t="s">
        <v>37</v>
      </c>
      <c r="H915" s="11" t="s">
        <v>599</v>
      </c>
      <c r="I915" s="12">
        <v>162.5</v>
      </c>
      <c r="J915" s="13"/>
      <c r="K915" s="13">
        <f t="shared" si="51"/>
        <v>162.5</v>
      </c>
      <c r="L915" s="11" t="s">
        <v>34</v>
      </c>
      <c r="M915" s="14"/>
      <c r="N915" s="11" t="s">
        <v>58</v>
      </c>
      <c r="O915" s="10" t="str">
        <f t="shared" si="48"/>
        <v>03/2025</v>
      </c>
      <c r="P915" s="10" t="str">
        <f t="shared" si="29"/>
        <v>03/2025</v>
      </c>
      <c r="Q915" s="15" t="str">
        <f t="array" ref="Q915">IFERROR(XLOOKUP(N915,'Classificação'!A:A,'Classificação'!B:B),"")</f>
        <v>DESPESAS ADMINISTRATIVAS</v>
      </c>
      <c r="R915" s="15" t="str">
        <f t="array" ref="R915">IFERROR(XLOOKUP(Q915,'Classificação'!B:B,'Classificação'!C:C),"")</f>
        <v>DESPESAS FIXAS (-)</v>
      </c>
      <c r="S915" s="15">
        <f t="shared" si="5"/>
        <v>11</v>
      </c>
      <c r="T915" s="15">
        <f t="shared" si="6"/>
        <v>3</v>
      </c>
      <c r="U915" s="15">
        <f t="shared" si="7"/>
        <v>2025</v>
      </c>
      <c r="V915" s="15">
        <f t="shared" si="8"/>
        <v>11</v>
      </c>
      <c r="W915" s="15">
        <f t="shared" si="9"/>
        <v>3</v>
      </c>
      <c r="X915" s="15">
        <f t="shared" si="10"/>
        <v>2025</v>
      </c>
    </row>
    <row r="916">
      <c r="A916" s="26">
        <v>45728.0</v>
      </c>
      <c r="B916" s="36">
        <v>45618.0</v>
      </c>
      <c r="C916" s="9">
        <f t="shared" si="22"/>
        <v>45728</v>
      </c>
      <c r="D916" s="28" t="s">
        <v>86</v>
      </c>
      <c r="E916" s="29" t="s">
        <v>25</v>
      </c>
      <c r="F916" s="11" t="s">
        <v>87</v>
      </c>
      <c r="G916" s="28" t="s">
        <v>27</v>
      </c>
      <c r="H916" s="29" t="s">
        <v>600</v>
      </c>
      <c r="I916" s="24">
        <v>1686.66</v>
      </c>
      <c r="J916" s="13"/>
      <c r="K916" s="13">
        <f t="shared" si="51"/>
        <v>1686.66</v>
      </c>
      <c r="L916" s="29" t="s">
        <v>53</v>
      </c>
      <c r="M916" s="17">
        <v>45354.0</v>
      </c>
      <c r="N916" s="28" t="s">
        <v>35</v>
      </c>
      <c r="O916" s="10" t="str">
        <f t="shared" si="48"/>
        <v>03/2025</v>
      </c>
      <c r="P916" s="10" t="str">
        <f t="shared" si="29"/>
        <v>03/2025</v>
      </c>
      <c r="Q916" s="15" t="str">
        <f t="array" ref="Q916">IFERROR(XLOOKUP(N916,'Classificação'!A:A,'Classificação'!B:B),"")</f>
        <v>COMPRA DE MERCADORIA</v>
      </c>
      <c r="R916" s="15" t="str">
        <f t="array" ref="R916">IFERROR(XLOOKUP(Q916,'Classificação'!B:B,'Classificação'!C:C),"")</f>
        <v>CUSTOS VARIÁVEIS</v>
      </c>
      <c r="S916" s="15">
        <f t="shared" si="5"/>
        <v>12</v>
      </c>
      <c r="T916" s="15">
        <f t="shared" si="6"/>
        <v>3</v>
      </c>
      <c r="U916" s="15">
        <f t="shared" si="7"/>
        <v>2025</v>
      </c>
      <c r="V916" s="15">
        <f t="shared" si="8"/>
        <v>12</v>
      </c>
      <c r="W916" s="15">
        <f t="shared" si="9"/>
        <v>3</v>
      </c>
      <c r="X916" s="15">
        <f t="shared" si="10"/>
        <v>2025</v>
      </c>
    </row>
    <row r="917">
      <c r="A917" s="9">
        <v>45728.0</v>
      </c>
      <c r="B917" s="10"/>
      <c r="C917" s="9">
        <f t="shared" si="22"/>
        <v>45728</v>
      </c>
      <c r="D917" s="11" t="s">
        <v>56</v>
      </c>
      <c r="E917" s="11" t="s">
        <v>25</v>
      </c>
      <c r="F917" s="11" t="s">
        <v>26</v>
      </c>
      <c r="G917" s="11" t="s">
        <v>37</v>
      </c>
      <c r="H917" s="11" t="s">
        <v>57</v>
      </c>
      <c r="I917" s="12">
        <v>50.0</v>
      </c>
      <c r="J917" s="13"/>
      <c r="K917" s="13">
        <f t="shared" si="51"/>
        <v>50</v>
      </c>
      <c r="L917" s="11" t="s">
        <v>29</v>
      </c>
      <c r="M917" s="14"/>
      <c r="N917" s="11" t="s">
        <v>58</v>
      </c>
      <c r="O917" s="10" t="str">
        <f t="shared" si="48"/>
        <v>03/2025</v>
      </c>
      <c r="P917" s="10" t="str">
        <f t="shared" si="29"/>
        <v>03/2025</v>
      </c>
      <c r="Q917" s="15" t="str">
        <f t="array" ref="Q917">IFERROR(XLOOKUP(N917,'Classificação'!A:A,'Classificação'!B:B),"")</f>
        <v>DESPESAS ADMINISTRATIVAS</v>
      </c>
      <c r="R917" s="15" t="str">
        <f t="array" ref="R917">IFERROR(XLOOKUP(Q917,'Classificação'!B:B,'Classificação'!C:C),"")</f>
        <v>DESPESAS FIXAS (-)</v>
      </c>
      <c r="S917" s="15">
        <f t="shared" si="5"/>
        <v>12</v>
      </c>
      <c r="T917" s="15">
        <f t="shared" si="6"/>
        <v>3</v>
      </c>
      <c r="U917" s="15">
        <f t="shared" si="7"/>
        <v>2025</v>
      </c>
      <c r="V917" s="15">
        <f t="shared" si="8"/>
        <v>12</v>
      </c>
      <c r="W917" s="15">
        <f t="shared" si="9"/>
        <v>3</v>
      </c>
      <c r="X917" s="15">
        <f t="shared" si="10"/>
        <v>2025</v>
      </c>
    </row>
    <row r="918">
      <c r="A918" s="26">
        <v>45729.0</v>
      </c>
      <c r="B918" s="26">
        <v>45693.0</v>
      </c>
      <c r="C918" s="27">
        <f t="shared" si="22"/>
        <v>45729</v>
      </c>
      <c r="D918" s="28" t="s">
        <v>86</v>
      </c>
      <c r="E918" s="29" t="s">
        <v>25</v>
      </c>
      <c r="F918" s="28" t="s">
        <v>26</v>
      </c>
      <c r="G918" s="29" t="s">
        <v>27</v>
      </c>
      <c r="H918" s="29" t="s">
        <v>601</v>
      </c>
      <c r="I918" s="24">
        <v>1150.0</v>
      </c>
      <c r="J918" s="34"/>
      <c r="K918" s="13">
        <f t="shared" si="51"/>
        <v>1150</v>
      </c>
      <c r="L918" s="29" t="s">
        <v>53</v>
      </c>
      <c r="M918" s="35">
        <v>45717.0</v>
      </c>
      <c r="N918" s="28" t="s">
        <v>35</v>
      </c>
      <c r="O918" s="10" t="str">
        <f t="shared" si="48"/>
        <v>03/2025</v>
      </c>
      <c r="P918" s="10" t="str">
        <f t="shared" si="29"/>
        <v>03/2025</v>
      </c>
      <c r="Q918" s="15" t="str">
        <f t="array" ref="Q918">IFERROR(XLOOKUP(N918,'Classificação'!A:A,'Classificação'!B:B),"")</f>
        <v>COMPRA DE MERCADORIA</v>
      </c>
      <c r="R918" s="15" t="str">
        <f t="array" ref="R918">IFERROR(XLOOKUP(Q918,'Classificação'!B:B,'Classificação'!C:C),"")</f>
        <v>CUSTOS VARIÁVEIS</v>
      </c>
      <c r="S918" s="15">
        <f t="shared" si="5"/>
        <v>13</v>
      </c>
      <c r="T918" s="15">
        <f t="shared" si="6"/>
        <v>3</v>
      </c>
      <c r="U918" s="15">
        <f t="shared" si="7"/>
        <v>2025</v>
      </c>
      <c r="V918" s="15">
        <f t="shared" si="8"/>
        <v>13</v>
      </c>
      <c r="W918" s="15">
        <f t="shared" si="9"/>
        <v>3</v>
      </c>
      <c r="X918" s="15">
        <f t="shared" si="10"/>
        <v>2025</v>
      </c>
    </row>
    <row r="919">
      <c r="A919" s="9">
        <v>45730.0</v>
      </c>
      <c r="B919" s="9">
        <v>45667.0</v>
      </c>
      <c r="C919" s="9">
        <f t="shared" si="22"/>
        <v>45730</v>
      </c>
      <c r="D919" s="11" t="s">
        <v>399</v>
      </c>
      <c r="E919" s="11" t="s">
        <v>25</v>
      </c>
      <c r="F919" s="11" t="s">
        <v>40</v>
      </c>
      <c r="G919" s="11" t="s">
        <v>27</v>
      </c>
      <c r="H919" s="11" t="s">
        <v>586</v>
      </c>
      <c r="I919" s="12">
        <v>541.01</v>
      </c>
      <c r="J919" s="13"/>
      <c r="K919" s="13">
        <f t="shared" si="51"/>
        <v>541.01</v>
      </c>
      <c r="L919" s="11" t="s">
        <v>53</v>
      </c>
      <c r="M919" s="17">
        <v>45718.0</v>
      </c>
      <c r="N919" s="11" t="s">
        <v>35</v>
      </c>
      <c r="O919" s="10" t="str">
        <f t="shared" si="48"/>
        <v>03/2025</v>
      </c>
      <c r="P919" s="10" t="str">
        <f t="shared" si="29"/>
        <v>03/2025</v>
      </c>
      <c r="Q919" s="15" t="str">
        <f t="array" ref="Q919">IFERROR(XLOOKUP(N919,'Classificação'!A:A,'Classificação'!B:B),"")</f>
        <v>COMPRA DE MERCADORIA</v>
      </c>
      <c r="R919" s="15" t="str">
        <f t="array" ref="R919">IFERROR(XLOOKUP(Q919,'Classificação'!B:B,'Classificação'!C:C),"")</f>
        <v>CUSTOS VARIÁVEIS</v>
      </c>
      <c r="S919" s="15">
        <f t="shared" si="5"/>
        <v>14</v>
      </c>
      <c r="T919" s="15">
        <f t="shared" si="6"/>
        <v>3</v>
      </c>
      <c r="U919" s="15">
        <f t="shared" si="7"/>
        <v>2025</v>
      </c>
      <c r="V919" s="15">
        <f t="shared" si="8"/>
        <v>14</v>
      </c>
      <c r="W919" s="15">
        <f t="shared" si="9"/>
        <v>3</v>
      </c>
      <c r="X919" s="15">
        <f t="shared" si="10"/>
        <v>2025</v>
      </c>
    </row>
    <row r="920">
      <c r="A920" s="9">
        <v>45730.0</v>
      </c>
      <c r="B920" s="9">
        <v>45667.0</v>
      </c>
      <c r="C920" s="9">
        <f t="shared" si="22"/>
        <v>45730</v>
      </c>
      <c r="D920" s="11" t="s">
        <v>399</v>
      </c>
      <c r="E920" s="11" t="s">
        <v>25</v>
      </c>
      <c r="F920" s="11" t="s">
        <v>40</v>
      </c>
      <c r="G920" s="11" t="s">
        <v>37</v>
      </c>
      <c r="H920" s="11" t="s">
        <v>587</v>
      </c>
      <c r="I920" s="12">
        <v>540.96</v>
      </c>
      <c r="J920" s="13"/>
      <c r="K920" s="13">
        <f t="shared" si="51"/>
        <v>540.96</v>
      </c>
      <c r="L920" s="11" t="s">
        <v>53</v>
      </c>
      <c r="M920" s="17">
        <v>45718.0</v>
      </c>
      <c r="N920" s="11" t="s">
        <v>35</v>
      </c>
      <c r="O920" s="10" t="str">
        <f t="shared" si="48"/>
        <v>03/2025</v>
      </c>
      <c r="P920" s="10" t="str">
        <f t="shared" si="29"/>
        <v>03/2025</v>
      </c>
      <c r="Q920" s="15" t="str">
        <f t="array" ref="Q920">IFERROR(XLOOKUP(N920,'Classificação'!A:A,'Classificação'!B:B),"")</f>
        <v>COMPRA DE MERCADORIA</v>
      </c>
      <c r="R920" s="15" t="str">
        <f t="array" ref="R920">IFERROR(XLOOKUP(Q920,'Classificação'!B:B,'Classificação'!C:C),"")</f>
        <v>CUSTOS VARIÁVEIS</v>
      </c>
      <c r="S920" s="15">
        <f t="shared" si="5"/>
        <v>14</v>
      </c>
      <c r="T920" s="15">
        <f t="shared" si="6"/>
        <v>3</v>
      </c>
      <c r="U920" s="15">
        <f t="shared" si="7"/>
        <v>2025</v>
      </c>
      <c r="V920" s="15">
        <f t="shared" si="8"/>
        <v>14</v>
      </c>
      <c r="W920" s="15">
        <f t="shared" si="9"/>
        <v>3</v>
      </c>
      <c r="X920" s="15">
        <f t="shared" si="10"/>
        <v>2025</v>
      </c>
    </row>
    <row r="921">
      <c r="A921" s="9">
        <v>45730.0</v>
      </c>
      <c r="B921" s="10"/>
      <c r="C921" s="9">
        <f t="shared" si="22"/>
        <v>45730</v>
      </c>
      <c r="D921" s="11" t="s">
        <v>44</v>
      </c>
      <c r="E921" s="11" t="s">
        <v>25</v>
      </c>
      <c r="F921" s="11" t="s">
        <v>45</v>
      </c>
      <c r="G921" s="11" t="s">
        <v>27</v>
      </c>
      <c r="H921" s="11" t="s">
        <v>476</v>
      </c>
      <c r="I921" s="12">
        <v>5112.17</v>
      </c>
      <c r="J921" s="13"/>
      <c r="K921" s="13">
        <f t="shared" si="51"/>
        <v>5112.17</v>
      </c>
      <c r="L921" s="11" t="s">
        <v>53</v>
      </c>
      <c r="M921" s="16" t="s">
        <v>602</v>
      </c>
      <c r="N921" s="11" t="s">
        <v>73</v>
      </c>
      <c r="O921" s="10" t="str">
        <f t="shared" si="48"/>
        <v>03/2025</v>
      </c>
      <c r="P921" s="10" t="str">
        <f t="shared" si="29"/>
        <v>03/2025</v>
      </c>
      <c r="Q921" s="15" t="str">
        <f t="array" ref="Q921">IFERROR(XLOOKUP(N921,'Classificação'!A:A,'Classificação'!B:B),"")</f>
        <v>DESPESAS NÃO OPERACIONAIS</v>
      </c>
      <c r="R921" s="15" t="str">
        <f t="array" ref="R921">IFERROR(XLOOKUP(Q921,'Classificação'!B:B,'Classificação'!C:C),"")</f>
        <v>RESULTADO NÃO OPERACIONAL (+/-)</v>
      </c>
      <c r="S921" s="15">
        <f t="shared" si="5"/>
        <v>14</v>
      </c>
      <c r="T921" s="15">
        <f t="shared" si="6"/>
        <v>3</v>
      </c>
      <c r="U921" s="15">
        <f t="shared" si="7"/>
        <v>2025</v>
      </c>
      <c r="V921" s="15">
        <f t="shared" si="8"/>
        <v>14</v>
      </c>
      <c r="W921" s="15">
        <f t="shared" si="9"/>
        <v>3</v>
      </c>
      <c r="X921" s="15">
        <f t="shared" si="10"/>
        <v>2025</v>
      </c>
    </row>
    <row r="922">
      <c r="A922" s="9">
        <v>45730.0</v>
      </c>
      <c r="B922" s="10"/>
      <c r="C922" s="9">
        <f t="shared" si="22"/>
        <v>45730</v>
      </c>
      <c r="D922" s="11" t="s">
        <v>79</v>
      </c>
      <c r="E922" s="11" t="s">
        <v>25</v>
      </c>
      <c r="F922" s="11" t="s">
        <v>26</v>
      </c>
      <c r="G922" s="11" t="s">
        <v>37</v>
      </c>
      <c r="I922" s="12">
        <v>500.0</v>
      </c>
      <c r="J922" s="13"/>
      <c r="K922" s="13">
        <f t="shared" si="51"/>
        <v>500</v>
      </c>
      <c r="L922" s="11" t="s">
        <v>29</v>
      </c>
      <c r="M922" s="14"/>
      <c r="N922" s="11" t="s">
        <v>38</v>
      </c>
      <c r="O922" s="10" t="str">
        <f t="shared" si="48"/>
        <v>03/2025</v>
      </c>
      <c r="P922" s="10" t="str">
        <f t="shared" si="29"/>
        <v>03/2025</v>
      </c>
      <c r="Q922" s="15" t="str">
        <f t="array" ref="Q922">IFERROR(XLOOKUP(N922,'Classificação'!A:A,'Classificação'!B:B),"")</f>
        <v>DESPESAS COM PESSOAL</v>
      </c>
      <c r="R922" s="15" t="str">
        <f t="array" ref="R922">IFERROR(XLOOKUP(Q922,'Classificação'!B:B,'Classificação'!C:C),"")</f>
        <v>DESPESAS FIXAS (-)</v>
      </c>
      <c r="S922" s="15">
        <f t="shared" si="5"/>
        <v>14</v>
      </c>
      <c r="T922" s="15">
        <f t="shared" si="6"/>
        <v>3</v>
      </c>
      <c r="U922" s="15">
        <f t="shared" si="7"/>
        <v>2025</v>
      </c>
      <c r="V922" s="15">
        <f t="shared" si="8"/>
        <v>14</v>
      </c>
      <c r="W922" s="15">
        <f t="shared" si="9"/>
        <v>3</v>
      </c>
      <c r="X922" s="15">
        <f t="shared" si="10"/>
        <v>2025</v>
      </c>
    </row>
    <row r="923">
      <c r="A923" s="9">
        <v>45730.0</v>
      </c>
      <c r="B923" s="9">
        <v>45680.0</v>
      </c>
      <c r="C923" s="9">
        <f t="shared" si="22"/>
        <v>45730</v>
      </c>
      <c r="D923" s="11" t="s">
        <v>544</v>
      </c>
      <c r="E923" s="11" t="s">
        <v>25</v>
      </c>
      <c r="F923" s="11" t="s">
        <v>26</v>
      </c>
      <c r="G923" s="11" t="s">
        <v>37</v>
      </c>
      <c r="H923" s="11" t="s">
        <v>545</v>
      </c>
      <c r="I923" s="12">
        <v>616.46</v>
      </c>
      <c r="J923" s="13"/>
      <c r="K923" s="13">
        <f t="shared" si="51"/>
        <v>616.46</v>
      </c>
      <c r="L923" s="11" t="s">
        <v>53</v>
      </c>
      <c r="M923" s="17">
        <v>45993.0</v>
      </c>
      <c r="N923" s="11" t="s">
        <v>95</v>
      </c>
      <c r="O923" s="10" t="str">
        <f t="shared" si="48"/>
        <v>03/2025</v>
      </c>
      <c r="P923" s="10" t="str">
        <f t="shared" si="29"/>
        <v>03/2025</v>
      </c>
      <c r="Q923" s="15" t="str">
        <f t="array" ref="Q923">IFERROR(XLOOKUP(N923,'Classificação'!A:A,'Classificação'!B:B),"")</f>
        <v>DESPESAS NÃO OPERACIONAIS</v>
      </c>
      <c r="R923" s="15" t="str">
        <f t="array" ref="R923">IFERROR(XLOOKUP(Q923,'Classificação'!B:B,'Classificação'!C:C),"")</f>
        <v>RESULTADO NÃO OPERACIONAL (+/-)</v>
      </c>
      <c r="S923" s="15">
        <f t="shared" si="5"/>
        <v>14</v>
      </c>
      <c r="T923" s="15">
        <f t="shared" si="6"/>
        <v>3</v>
      </c>
      <c r="U923" s="15">
        <f t="shared" si="7"/>
        <v>2025</v>
      </c>
      <c r="V923" s="15">
        <f t="shared" si="8"/>
        <v>14</v>
      </c>
      <c r="W923" s="15">
        <f t="shared" si="9"/>
        <v>3</v>
      </c>
      <c r="X923" s="15">
        <f t="shared" si="10"/>
        <v>2025</v>
      </c>
    </row>
    <row r="924">
      <c r="A924" s="9">
        <v>45730.0</v>
      </c>
      <c r="B924" s="10"/>
      <c r="C924" s="9">
        <f t="shared" si="22"/>
        <v>45730</v>
      </c>
      <c r="D924" s="11" t="s">
        <v>74</v>
      </c>
      <c r="E924" s="11" t="s">
        <v>25</v>
      </c>
      <c r="F924" s="11" t="s">
        <v>26</v>
      </c>
      <c r="G924" s="11" t="s">
        <v>27</v>
      </c>
      <c r="H924" s="11" t="s">
        <v>603</v>
      </c>
      <c r="I924" s="12">
        <v>1417.03</v>
      </c>
      <c r="J924" s="13"/>
      <c r="K924" s="13">
        <f t="shared" si="51"/>
        <v>1417.03</v>
      </c>
      <c r="L924" s="11" t="s">
        <v>34</v>
      </c>
      <c r="M924" s="14"/>
      <c r="N924" s="11" t="s">
        <v>38</v>
      </c>
      <c r="O924" s="10" t="str">
        <f t="shared" si="48"/>
        <v>03/2025</v>
      </c>
      <c r="P924" s="10" t="str">
        <f t="shared" si="29"/>
        <v>03/2025</v>
      </c>
      <c r="Q924" s="15" t="str">
        <f t="array" ref="Q924">IFERROR(XLOOKUP(N924,'Classificação'!A:A,'Classificação'!B:B),"")</f>
        <v>DESPESAS COM PESSOAL</v>
      </c>
      <c r="R924" s="15" t="str">
        <f t="array" ref="R924">IFERROR(XLOOKUP(Q924,'Classificação'!B:B,'Classificação'!C:C),"")</f>
        <v>DESPESAS FIXAS (-)</v>
      </c>
      <c r="S924" s="15">
        <f t="shared" si="5"/>
        <v>14</v>
      </c>
      <c r="T924" s="15">
        <f t="shared" si="6"/>
        <v>3</v>
      </c>
      <c r="U924" s="15">
        <f t="shared" si="7"/>
        <v>2025</v>
      </c>
      <c r="V924" s="15">
        <f t="shared" si="8"/>
        <v>14</v>
      </c>
      <c r="W924" s="15">
        <f t="shared" si="9"/>
        <v>3</v>
      </c>
      <c r="X924" s="15">
        <f t="shared" si="10"/>
        <v>2025</v>
      </c>
    </row>
    <row r="925">
      <c r="A925" s="9">
        <v>45730.0</v>
      </c>
      <c r="B925" s="10"/>
      <c r="C925" s="9">
        <f t="shared" si="22"/>
        <v>45730</v>
      </c>
      <c r="D925" s="11" t="s">
        <v>80</v>
      </c>
      <c r="E925" s="11" t="s">
        <v>25</v>
      </c>
      <c r="F925" s="11" t="s">
        <v>32</v>
      </c>
      <c r="G925" s="11" t="s">
        <v>27</v>
      </c>
      <c r="I925" s="12">
        <v>780.0</v>
      </c>
      <c r="J925" s="13"/>
      <c r="K925" s="13">
        <f t="shared" si="51"/>
        <v>780</v>
      </c>
      <c r="L925" s="11" t="s">
        <v>29</v>
      </c>
      <c r="M925" s="14"/>
      <c r="N925" s="11" t="s">
        <v>75</v>
      </c>
      <c r="O925" s="10" t="str">
        <f t="shared" si="48"/>
        <v>03/2025</v>
      </c>
      <c r="P925" s="10" t="str">
        <f t="shared" si="29"/>
        <v>03/2025</v>
      </c>
      <c r="Q925" s="15" t="str">
        <f t="array" ref="Q925">IFERROR(XLOOKUP(N925,'Classificação'!A:A,'Classificação'!B:B),"")</f>
        <v>DESPESAS COM PESSOAL</v>
      </c>
      <c r="R925" s="15" t="str">
        <f t="array" ref="R925">IFERROR(XLOOKUP(Q925,'Classificação'!B:B,'Classificação'!C:C),"")</f>
        <v>DESPESAS FIXAS (-)</v>
      </c>
      <c r="S925" s="15">
        <f t="shared" si="5"/>
        <v>14</v>
      </c>
      <c r="T925" s="15">
        <f t="shared" si="6"/>
        <v>3</v>
      </c>
      <c r="U925" s="15">
        <f t="shared" si="7"/>
        <v>2025</v>
      </c>
      <c r="V925" s="15">
        <f t="shared" si="8"/>
        <v>14</v>
      </c>
      <c r="W925" s="15">
        <f t="shared" si="9"/>
        <v>3</v>
      </c>
      <c r="X925" s="15">
        <f t="shared" si="10"/>
        <v>2025</v>
      </c>
    </row>
    <row r="926">
      <c r="A926" s="9">
        <v>45730.0</v>
      </c>
      <c r="B926" s="10"/>
      <c r="C926" s="9">
        <f t="shared" si="22"/>
        <v>45730</v>
      </c>
      <c r="D926" s="11" t="s">
        <v>83</v>
      </c>
      <c r="E926" s="11" t="s">
        <v>25</v>
      </c>
      <c r="F926" s="11" t="s">
        <v>32</v>
      </c>
      <c r="G926" s="11" t="s">
        <v>27</v>
      </c>
      <c r="I926" s="12">
        <v>800.0</v>
      </c>
      <c r="J926" s="13"/>
      <c r="K926" s="13">
        <f t="shared" si="51"/>
        <v>800</v>
      </c>
      <c r="L926" s="11" t="s">
        <v>29</v>
      </c>
      <c r="M926" s="14"/>
      <c r="N926" s="11" t="s">
        <v>75</v>
      </c>
      <c r="O926" s="10" t="str">
        <f t="shared" si="48"/>
        <v>03/2025</v>
      </c>
      <c r="P926" s="10" t="str">
        <f t="shared" si="29"/>
        <v>03/2025</v>
      </c>
      <c r="Q926" s="15" t="str">
        <f t="array" ref="Q926">IFERROR(XLOOKUP(N926,'Classificação'!A:A,'Classificação'!B:B),"")</f>
        <v>DESPESAS COM PESSOAL</v>
      </c>
      <c r="R926" s="15" t="str">
        <f t="array" ref="R926">IFERROR(XLOOKUP(Q926,'Classificação'!B:B,'Classificação'!C:C),"")</f>
        <v>DESPESAS FIXAS (-)</v>
      </c>
      <c r="S926" s="15">
        <f t="shared" si="5"/>
        <v>14</v>
      </c>
      <c r="T926" s="15">
        <f t="shared" si="6"/>
        <v>3</v>
      </c>
      <c r="U926" s="15">
        <f t="shared" si="7"/>
        <v>2025</v>
      </c>
      <c r="V926" s="15">
        <f t="shared" si="8"/>
        <v>14</v>
      </c>
      <c r="W926" s="15">
        <f t="shared" si="9"/>
        <v>3</v>
      </c>
      <c r="X926" s="15">
        <f t="shared" si="10"/>
        <v>2025</v>
      </c>
    </row>
    <row r="927">
      <c r="A927" s="9">
        <v>45731.0</v>
      </c>
      <c r="B927" s="10"/>
      <c r="C927" s="9">
        <f t="shared" si="22"/>
        <v>45731</v>
      </c>
      <c r="D927" s="11" t="s">
        <v>83</v>
      </c>
      <c r="E927" s="11" t="s">
        <v>25</v>
      </c>
      <c r="F927" s="11" t="s">
        <v>26</v>
      </c>
      <c r="G927" s="11" t="s">
        <v>37</v>
      </c>
      <c r="H927" s="11" t="s">
        <v>604</v>
      </c>
      <c r="I927" s="12">
        <v>400.0</v>
      </c>
      <c r="J927" s="13"/>
      <c r="K927" s="13">
        <f t="shared" si="51"/>
        <v>400</v>
      </c>
      <c r="L927" s="11" t="s">
        <v>34</v>
      </c>
      <c r="M927" s="17"/>
      <c r="N927" s="11" t="s">
        <v>64</v>
      </c>
      <c r="O927" s="10" t="str">
        <f t="shared" si="48"/>
        <v>03/2025</v>
      </c>
      <c r="P927" s="10" t="str">
        <f t="shared" si="29"/>
        <v>03/2025</v>
      </c>
      <c r="Q927" s="15" t="str">
        <f t="array" ref="Q927">IFERROR(XLOOKUP(N927,'Classificação'!A:A,'Classificação'!B:B),"")</f>
        <v>DESPESAS COM PESSOAL</v>
      </c>
      <c r="R927" s="15" t="str">
        <f t="array" ref="R927">IFERROR(XLOOKUP(Q927,'Classificação'!B:B,'Classificação'!C:C),"")</f>
        <v>DESPESAS FIXAS (-)</v>
      </c>
      <c r="S927" s="15">
        <f t="shared" si="5"/>
        <v>15</v>
      </c>
      <c r="T927" s="15">
        <f t="shared" si="6"/>
        <v>3</v>
      </c>
      <c r="U927" s="15">
        <f t="shared" si="7"/>
        <v>2025</v>
      </c>
      <c r="V927" s="15">
        <f t="shared" si="8"/>
        <v>15</v>
      </c>
      <c r="W927" s="15">
        <f t="shared" si="9"/>
        <v>3</v>
      </c>
      <c r="X927" s="15">
        <f t="shared" si="10"/>
        <v>2025</v>
      </c>
    </row>
    <row r="928">
      <c r="A928" s="9">
        <v>45733.0</v>
      </c>
      <c r="B928" s="9">
        <v>45708.0</v>
      </c>
      <c r="C928" s="9">
        <f t="shared" si="22"/>
        <v>45733</v>
      </c>
      <c r="D928" s="11" t="s">
        <v>399</v>
      </c>
      <c r="E928" s="11" t="s">
        <v>25</v>
      </c>
      <c r="F928" s="11" t="s">
        <v>40</v>
      </c>
      <c r="G928" s="11" t="s">
        <v>27</v>
      </c>
      <c r="H928" s="11" t="s">
        <v>605</v>
      </c>
      <c r="I928" s="12">
        <v>537.99</v>
      </c>
      <c r="J928" s="13"/>
      <c r="K928" s="13">
        <f t="shared" si="51"/>
        <v>537.99</v>
      </c>
      <c r="L928" s="11" t="s">
        <v>53</v>
      </c>
      <c r="M928" s="17">
        <v>45689.0</v>
      </c>
      <c r="N928" s="11" t="s">
        <v>35</v>
      </c>
      <c r="O928" s="10" t="str">
        <f t="shared" si="48"/>
        <v>03/2025</v>
      </c>
      <c r="P928" s="10" t="str">
        <f t="shared" si="29"/>
        <v>03/2025</v>
      </c>
      <c r="Q928" s="15" t="str">
        <f t="array" ref="Q928">IFERROR(XLOOKUP(N928,'Classificação'!A:A,'Classificação'!B:B),"")</f>
        <v>COMPRA DE MERCADORIA</v>
      </c>
      <c r="R928" s="15" t="str">
        <f t="array" ref="R928">IFERROR(XLOOKUP(Q928,'Classificação'!B:B,'Classificação'!C:C),"")</f>
        <v>CUSTOS VARIÁVEIS</v>
      </c>
      <c r="S928" s="15">
        <f t="shared" si="5"/>
        <v>17</v>
      </c>
      <c r="T928" s="15">
        <f t="shared" si="6"/>
        <v>3</v>
      </c>
      <c r="U928" s="15">
        <f t="shared" si="7"/>
        <v>2025</v>
      </c>
      <c r="V928" s="15">
        <f t="shared" si="8"/>
        <v>17</v>
      </c>
      <c r="W928" s="15">
        <f t="shared" si="9"/>
        <v>3</v>
      </c>
      <c r="X928" s="15">
        <f t="shared" si="10"/>
        <v>2025</v>
      </c>
    </row>
    <row r="929">
      <c r="A929" s="9">
        <v>45733.0</v>
      </c>
      <c r="B929" s="9">
        <v>45708.0</v>
      </c>
      <c r="C929" s="9">
        <f t="shared" si="22"/>
        <v>45733</v>
      </c>
      <c r="D929" s="11" t="s">
        <v>399</v>
      </c>
      <c r="E929" s="11" t="s">
        <v>25</v>
      </c>
      <c r="F929" s="11" t="s">
        <v>40</v>
      </c>
      <c r="G929" s="11" t="s">
        <v>37</v>
      </c>
      <c r="H929" s="11" t="s">
        <v>605</v>
      </c>
      <c r="I929" s="12">
        <v>538.0</v>
      </c>
      <c r="J929" s="13"/>
      <c r="K929" s="13">
        <f t="shared" si="51"/>
        <v>538</v>
      </c>
      <c r="L929" s="11" t="s">
        <v>53</v>
      </c>
      <c r="M929" s="17">
        <v>45689.0</v>
      </c>
      <c r="N929" s="11" t="s">
        <v>35</v>
      </c>
      <c r="O929" s="10" t="str">
        <f t="shared" si="48"/>
        <v>03/2025</v>
      </c>
      <c r="P929" s="10" t="str">
        <f t="shared" si="29"/>
        <v>03/2025</v>
      </c>
      <c r="Q929" s="15" t="str">
        <f t="array" ref="Q929">IFERROR(XLOOKUP(N929,'Classificação'!A:A,'Classificação'!B:B),"")</f>
        <v>COMPRA DE MERCADORIA</v>
      </c>
      <c r="R929" s="15" t="str">
        <f t="array" ref="R929">IFERROR(XLOOKUP(Q929,'Classificação'!B:B,'Classificação'!C:C),"")</f>
        <v>CUSTOS VARIÁVEIS</v>
      </c>
      <c r="S929" s="15">
        <f t="shared" si="5"/>
        <v>17</v>
      </c>
      <c r="T929" s="15">
        <f t="shared" si="6"/>
        <v>3</v>
      </c>
      <c r="U929" s="15">
        <f t="shared" si="7"/>
        <v>2025</v>
      </c>
      <c r="V929" s="15">
        <f t="shared" si="8"/>
        <v>17</v>
      </c>
      <c r="W929" s="15">
        <f t="shared" si="9"/>
        <v>3</v>
      </c>
      <c r="X929" s="15">
        <f t="shared" si="10"/>
        <v>2025</v>
      </c>
    </row>
    <row r="930">
      <c r="A930" s="9">
        <v>45733.0</v>
      </c>
      <c r="B930" s="10"/>
      <c r="C930" s="9">
        <f t="shared" si="22"/>
        <v>45733</v>
      </c>
      <c r="D930" s="11" t="s">
        <v>36</v>
      </c>
      <c r="E930" s="11" t="s">
        <v>25</v>
      </c>
      <c r="F930" s="11" t="s">
        <v>32</v>
      </c>
      <c r="G930" s="11" t="s">
        <v>37</v>
      </c>
      <c r="I930" s="12">
        <v>2710.0</v>
      </c>
      <c r="J930" s="13"/>
      <c r="K930" s="13">
        <f t="shared" si="51"/>
        <v>2710</v>
      </c>
      <c r="L930" s="11" t="s">
        <v>29</v>
      </c>
      <c r="M930" s="14"/>
      <c r="N930" s="11" t="s">
        <v>38</v>
      </c>
      <c r="O930" s="10" t="str">
        <f t="shared" si="48"/>
        <v>03/2025</v>
      </c>
      <c r="P930" s="10" t="str">
        <f t="shared" si="29"/>
        <v>03/2025</v>
      </c>
      <c r="Q930" s="15" t="str">
        <f t="array" ref="Q930">IFERROR(XLOOKUP(N930,'Classificação'!A:A,'Classificação'!B:B),"")</f>
        <v>DESPESAS COM PESSOAL</v>
      </c>
      <c r="R930" s="15" t="str">
        <f t="array" ref="R930">IFERROR(XLOOKUP(Q930,'Classificação'!B:B,'Classificação'!C:C),"")</f>
        <v>DESPESAS FIXAS (-)</v>
      </c>
      <c r="S930" s="15">
        <f t="shared" si="5"/>
        <v>17</v>
      </c>
      <c r="T930" s="15">
        <f t="shared" si="6"/>
        <v>3</v>
      </c>
      <c r="U930" s="15">
        <f t="shared" si="7"/>
        <v>2025</v>
      </c>
      <c r="V930" s="15">
        <f t="shared" si="8"/>
        <v>17</v>
      </c>
      <c r="W930" s="15">
        <f t="shared" si="9"/>
        <v>3</v>
      </c>
      <c r="X930" s="15">
        <f t="shared" si="10"/>
        <v>2025</v>
      </c>
    </row>
    <row r="931">
      <c r="A931" s="9">
        <v>45733.0</v>
      </c>
      <c r="B931" s="10"/>
      <c r="C931" s="9">
        <f t="shared" si="22"/>
        <v>45733</v>
      </c>
      <c r="D931" s="11" t="s">
        <v>43</v>
      </c>
      <c r="E931" s="11" t="s">
        <v>25</v>
      </c>
      <c r="F931" s="11" t="s">
        <v>32</v>
      </c>
      <c r="G931" s="11" t="s">
        <v>37</v>
      </c>
      <c r="I931" s="12">
        <v>2710.0</v>
      </c>
      <c r="J931" s="13"/>
      <c r="K931" s="13">
        <f t="shared" si="51"/>
        <v>2710</v>
      </c>
      <c r="L931" s="11" t="s">
        <v>29</v>
      </c>
      <c r="M931" s="14"/>
      <c r="N931" s="11" t="s">
        <v>38</v>
      </c>
      <c r="O931" s="10" t="str">
        <f t="shared" si="48"/>
        <v>03/2025</v>
      </c>
      <c r="P931" s="10" t="str">
        <f t="shared" si="29"/>
        <v>03/2025</v>
      </c>
      <c r="Q931" s="15" t="str">
        <f t="array" ref="Q931">IFERROR(XLOOKUP(N931,'Classificação'!A:A,'Classificação'!B:B),"")</f>
        <v>DESPESAS COM PESSOAL</v>
      </c>
      <c r="R931" s="15" t="str">
        <f t="array" ref="R931">IFERROR(XLOOKUP(Q931,'Classificação'!B:B,'Classificação'!C:C),"")</f>
        <v>DESPESAS FIXAS (-)</v>
      </c>
      <c r="S931" s="15">
        <f t="shared" si="5"/>
        <v>17</v>
      </c>
      <c r="T931" s="15">
        <f t="shared" si="6"/>
        <v>3</v>
      </c>
      <c r="U931" s="15">
        <f t="shared" si="7"/>
        <v>2025</v>
      </c>
      <c r="V931" s="15">
        <f t="shared" si="8"/>
        <v>17</v>
      </c>
      <c r="W931" s="15">
        <f t="shared" si="9"/>
        <v>3</v>
      </c>
      <c r="X931" s="15">
        <f t="shared" si="10"/>
        <v>2025</v>
      </c>
    </row>
    <row r="932">
      <c r="A932" s="9">
        <v>45733.0</v>
      </c>
      <c r="B932" s="10"/>
      <c r="C932" s="9">
        <f t="shared" si="22"/>
        <v>45733</v>
      </c>
      <c r="D932" s="11" t="s">
        <v>83</v>
      </c>
      <c r="E932" s="11" t="s">
        <v>25</v>
      </c>
      <c r="F932" s="11" t="s">
        <v>26</v>
      </c>
      <c r="G932" s="11" t="s">
        <v>37</v>
      </c>
      <c r="H932" s="11" t="s">
        <v>606</v>
      </c>
      <c r="I932" s="12">
        <v>150.0</v>
      </c>
      <c r="J932" s="13"/>
      <c r="K932" s="13">
        <f t="shared" si="51"/>
        <v>150</v>
      </c>
      <c r="L932" s="11" t="s">
        <v>34</v>
      </c>
      <c r="M932" s="14"/>
      <c r="N932" s="11" t="s">
        <v>75</v>
      </c>
      <c r="O932" s="10" t="str">
        <f t="shared" si="48"/>
        <v>03/2025</v>
      </c>
      <c r="P932" s="10" t="str">
        <f t="shared" si="29"/>
        <v>03/2025</v>
      </c>
      <c r="Q932" s="15" t="str">
        <f t="array" ref="Q932">IFERROR(XLOOKUP(N932,'Classificação'!A:A,'Classificação'!B:B),"")</f>
        <v>DESPESAS COM PESSOAL</v>
      </c>
      <c r="R932" s="15" t="str">
        <f t="array" ref="R932">IFERROR(XLOOKUP(Q932,'Classificação'!B:B,'Classificação'!C:C),"")</f>
        <v>DESPESAS FIXAS (-)</v>
      </c>
      <c r="S932" s="15">
        <f t="shared" si="5"/>
        <v>17</v>
      </c>
      <c r="T932" s="15">
        <f t="shared" si="6"/>
        <v>3</v>
      </c>
      <c r="U932" s="15">
        <f t="shared" si="7"/>
        <v>2025</v>
      </c>
      <c r="V932" s="15">
        <f t="shared" si="8"/>
        <v>17</v>
      </c>
      <c r="W932" s="15">
        <f t="shared" si="9"/>
        <v>3</v>
      </c>
      <c r="X932" s="15">
        <f t="shared" si="10"/>
        <v>2025</v>
      </c>
    </row>
    <row r="933">
      <c r="A933" s="9">
        <v>45734.0</v>
      </c>
      <c r="B933" s="9">
        <v>45707.0</v>
      </c>
      <c r="C933" s="9">
        <f t="shared" si="22"/>
        <v>45734</v>
      </c>
      <c r="D933" s="11" t="s">
        <v>86</v>
      </c>
      <c r="E933" s="11" t="s">
        <v>25</v>
      </c>
      <c r="F933" s="11" t="s">
        <v>26</v>
      </c>
      <c r="G933" s="11" t="s">
        <v>37</v>
      </c>
      <c r="H933" s="11" t="s">
        <v>607</v>
      </c>
      <c r="I933" s="12">
        <v>2250.0</v>
      </c>
      <c r="J933" s="13"/>
      <c r="K933" s="13">
        <f t="shared" si="51"/>
        <v>2250</v>
      </c>
      <c r="L933" s="11" t="s">
        <v>53</v>
      </c>
      <c r="M933" s="17">
        <v>45778.0</v>
      </c>
      <c r="N933" s="11" t="s">
        <v>35</v>
      </c>
      <c r="O933" s="10" t="str">
        <f t="shared" si="48"/>
        <v>03/2025</v>
      </c>
      <c r="P933" s="10" t="str">
        <f t="shared" si="29"/>
        <v>03/2025</v>
      </c>
      <c r="Q933" s="15" t="str">
        <f t="array" ref="Q933">IFERROR(XLOOKUP(N933,'Classificação'!A:A,'Classificação'!B:B),"")</f>
        <v>COMPRA DE MERCADORIA</v>
      </c>
      <c r="R933" s="15" t="str">
        <f t="array" ref="R933">IFERROR(XLOOKUP(Q933,'Classificação'!B:B,'Classificação'!C:C),"")</f>
        <v>CUSTOS VARIÁVEIS</v>
      </c>
      <c r="S933" s="15">
        <f t="shared" si="5"/>
        <v>18</v>
      </c>
      <c r="T933" s="15">
        <f t="shared" si="6"/>
        <v>3</v>
      </c>
      <c r="U933" s="15">
        <f t="shared" si="7"/>
        <v>2025</v>
      </c>
      <c r="V933" s="15">
        <f t="shared" si="8"/>
        <v>18</v>
      </c>
      <c r="W933" s="15">
        <f t="shared" si="9"/>
        <v>3</v>
      </c>
      <c r="X933" s="15">
        <f t="shared" si="10"/>
        <v>2025</v>
      </c>
    </row>
    <row r="934">
      <c r="A934" s="9">
        <v>45734.0</v>
      </c>
      <c r="B934" s="10"/>
      <c r="C934" s="9">
        <f t="shared" si="22"/>
        <v>45734</v>
      </c>
      <c r="D934" s="11" t="s">
        <v>44</v>
      </c>
      <c r="E934" s="11" t="s">
        <v>25</v>
      </c>
      <c r="F934" s="11" t="s">
        <v>45</v>
      </c>
      <c r="G934" s="11" t="s">
        <v>27</v>
      </c>
      <c r="H934" s="11" t="s">
        <v>98</v>
      </c>
      <c r="I934" s="12">
        <v>3226.07</v>
      </c>
      <c r="J934" s="13"/>
      <c r="K934" s="13">
        <f t="shared" si="51"/>
        <v>3226.07</v>
      </c>
      <c r="L934" s="11" t="s">
        <v>53</v>
      </c>
      <c r="M934" s="16" t="s">
        <v>608</v>
      </c>
      <c r="N934" s="11" t="s">
        <v>73</v>
      </c>
      <c r="O934" s="10" t="str">
        <f t="shared" si="48"/>
        <v>03/2025</v>
      </c>
      <c r="P934" s="10" t="str">
        <f t="shared" si="29"/>
        <v>03/2025</v>
      </c>
      <c r="Q934" s="15" t="str">
        <f t="array" ref="Q934">IFERROR(XLOOKUP(N934,'Classificação'!A:A,'Classificação'!B:B),"")</f>
        <v>DESPESAS NÃO OPERACIONAIS</v>
      </c>
      <c r="R934" s="15" t="str">
        <f t="array" ref="R934">IFERROR(XLOOKUP(Q934,'Classificação'!B:B,'Classificação'!C:C),"")</f>
        <v>RESULTADO NÃO OPERACIONAL (+/-)</v>
      </c>
      <c r="S934" s="15">
        <f t="shared" si="5"/>
        <v>18</v>
      </c>
      <c r="T934" s="15">
        <f t="shared" si="6"/>
        <v>3</v>
      </c>
      <c r="U934" s="15">
        <f t="shared" si="7"/>
        <v>2025</v>
      </c>
      <c r="V934" s="15">
        <f t="shared" si="8"/>
        <v>18</v>
      </c>
      <c r="W934" s="15">
        <f t="shared" si="9"/>
        <v>3</v>
      </c>
      <c r="X934" s="15">
        <f t="shared" si="10"/>
        <v>2025</v>
      </c>
    </row>
    <row r="935">
      <c r="A935" s="9">
        <v>45734.0</v>
      </c>
      <c r="B935" s="10"/>
      <c r="C935" s="9">
        <f t="shared" si="22"/>
        <v>45734</v>
      </c>
      <c r="D935" s="11" t="s">
        <v>65</v>
      </c>
      <c r="E935" s="11" t="s">
        <v>25</v>
      </c>
      <c r="F935" s="11" t="s">
        <v>45</v>
      </c>
      <c r="G935" s="11" t="s">
        <v>37</v>
      </c>
      <c r="H935" s="11" t="s">
        <v>103</v>
      </c>
      <c r="I935" s="12">
        <v>654.11</v>
      </c>
      <c r="J935" s="13"/>
      <c r="K935" s="13">
        <f t="shared" si="51"/>
        <v>654.11</v>
      </c>
      <c r="L935" s="11" t="s">
        <v>29</v>
      </c>
      <c r="M935" s="14"/>
      <c r="N935" s="11" t="s">
        <v>68</v>
      </c>
      <c r="O935" s="10" t="str">
        <f t="shared" si="48"/>
        <v>03/2025</v>
      </c>
      <c r="P935" s="10" t="str">
        <f t="shared" si="29"/>
        <v>03/2025</v>
      </c>
      <c r="Q935" s="15" t="str">
        <f t="array" ref="Q935">IFERROR(XLOOKUP(N935,'Classificação'!A:A,'Classificação'!B:B),"")</f>
        <v>FRETE DE VENDAS</v>
      </c>
      <c r="R935" s="15" t="str">
        <f t="array" ref="R935">IFERROR(XLOOKUP(Q935,'Classificação'!B:B,'Classificação'!C:C),"")</f>
        <v>CUSTOS VARIÁVEIS</v>
      </c>
      <c r="S935" s="15">
        <f t="shared" si="5"/>
        <v>18</v>
      </c>
      <c r="T935" s="15">
        <f t="shared" si="6"/>
        <v>3</v>
      </c>
      <c r="U935" s="15">
        <f t="shared" si="7"/>
        <v>2025</v>
      </c>
      <c r="V935" s="15">
        <f t="shared" si="8"/>
        <v>18</v>
      </c>
      <c r="W935" s="15">
        <f t="shared" si="9"/>
        <v>3</v>
      </c>
      <c r="X935" s="15">
        <f t="shared" si="10"/>
        <v>2025</v>
      </c>
    </row>
    <row r="936">
      <c r="A936" s="9">
        <v>45734.0</v>
      </c>
      <c r="B936" s="10"/>
      <c r="C936" s="9">
        <f t="shared" si="22"/>
        <v>45734</v>
      </c>
      <c r="D936" s="11" t="s">
        <v>520</v>
      </c>
      <c r="E936" s="11" t="s">
        <v>25</v>
      </c>
      <c r="F936" s="11" t="s">
        <v>26</v>
      </c>
      <c r="G936" s="11" t="s">
        <v>37</v>
      </c>
      <c r="H936" s="11" t="s">
        <v>609</v>
      </c>
      <c r="I936" s="12">
        <v>162.5</v>
      </c>
      <c r="J936" s="13"/>
      <c r="K936" s="13">
        <f t="shared" si="51"/>
        <v>162.5</v>
      </c>
      <c r="L936" s="11" t="s">
        <v>34</v>
      </c>
      <c r="M936" s="14"/>
      <c r="N936" s="11" t="s">
        <v>58</v>
      </c>
      <c r="O936" s="10" t="str">
        <f t="shared" si="48"/>
        <v>03/2025</v>
      </c>
      <c r="P936" s="10" t="str">
        <f t="shared" si="29"/>
        <v>03/2025</v>
      </c>
      <c r="Q936" s="15" t="str">
        <f t="array" ref="Q936">IFERROR(XLOOKUP(N936,'Classificação'!A:A,'Classificação'!B:B),"")</f>
        <v>DESPESAS ADMINISTRATIVAS</v>
      </c>
      <c r="R936" s="15" t="str">
        <f t="array" ref="R936">IFERROR(XLOOKUP(Q936,'Classificação'!B:B,'Classificação'!C:C),"")</f>
        <v>DESPESAS FIXAS (-)</v>
      </c>
      <c r="S936" s="15">
        <f t="shared" si="5"/>
        <v>18</v>
      </c>
      <c r="T936" s="15">
        <f t="shared" si="6"/>
        <v>3</v>
      </c>
      <c r="U936" s="15">
        <f t="shared" si="7"/>
        <v>2025</v>
      </c>
      <c r="V936" s="15">
        <f t="shared" si="8"/>
        <v>18</v>
      </c>
      <c r="W936" s="15">
        <f t="shared" si="9"/>
        <v>3</v>
      </c>
      <c r="X936" s="15">
        <f t="shared" si="10"/>
        <v>2025</v>
      </c>
    </row>
    <row r="937">
      <c r="A937" s="9">
        <v>45735.0</v>
      </c>
      <c r="B937" s="9">
        <v>45707.0</v>
      </c>
      <c r="C937" s="9">
        <f t="shared" si="22"/>
        <v>45735</v>
      </c>
      <c r="D937" s="11" t="s">
        <v>86</v>
      </c>
      <c r="E937" s="11" t="s">
        <v>25</v>
      </c>
      <c r="F937" s="11" t="s">
        <v>87</v>
      </c>
      <c r="G937" s="11" t="s">
        <v>27</v>
      </c>
      <c r="H937" s="11" t="s">
        <v>610</v>
      </c>
      <c r="I937" s="12">
        <v>2250.0</v>
      </c>
      <c r="J937" s="13"/>
      <c r="K937" s="13">
        <f t="shared" si="51"/>
        <v>2250</v>
      </c>
      <c r="L937" s="11" t="s">
        <v>53</v>
      </c>
      <c r="M937" s="17">
        <v>45779.0</v>
      </c>
      <c r="N937" s="11" t="s">
        <v>35</v>
      </c>
      <c r="O937" s="10" t="str">
        <f t="shared" si="48"/>
        <v>03/2025</v>
      </c>
      <c r="P937" s="10" t="str">
        <f t="shared" si="29"/>
        <v>03/2025</v>
      </c>
      <c r="Q937" s="15" t="str">
        <f t="array" ref="Q937">IFERROR(XLOOKUP(N937,'Classificação'!A:A,'Classificação'!B:B),"")</f>
        <v>COMPRA DE MERCADORIA</v>
      </c>
      <c r="R937" s="15" t="str">
        <f t="array" ref="R937">IFERROR(XLOOKUP(Q937,'Classificação'!B:B,'Classificação'!C:C),"")</f>
        <v>CUSTOS VARIÁVEIS</v>
      </c>
      <c r="S937" s="15">
        <f t="shared" si="5"/>
        <v>19</v>
      </c>
      <c r="T937" s="15">
        <f t="shared" si="6"/>
        <v>3</v>
      </c>
      <c r="U937" s="15">
        <f t="shared" si="7"/>
        <v>2025</v>
      </c>
      <c r="V937" s="15">
        <f t="shared" si="8"/>
        <v>19</v>
      </c>
      <c r="W937" s="15">
        <f t="shared" si="9"/>
        <v>3</v>
      </c>
      <c r="X937" s="15">
        <f t="shared" si="10"/>
        <v>2025</v>
      </c>
    </row>
    <row r="938">
      <c r="A938" s="9">
        <v>45735.0</v>
      </c>
      <c r="B938" s="10"/>
      <c r="C938" s="9">
        <f t="shared" si="22"/>
        <v>45735</v>
      </c>
      <c r="D938" s="11" t="s">
        <v>90</v>
      </c>
      <c r="E938" s="11" t="s">
        <v>25</v>
      </c>
      <c r="F938" s="11" t="s">
        <v>40</v>
      </c>
      <c r="G938" s="11" t="s">
        <v>37</v>
      </c>
      <c r="H938" s="11" t="s">
        <v>91</v>
      </c>
      <c r="I938" s="12">
        <v>578.0</v>
      </c>
      <c r="J938" s="13"/>
      <c r="K938" s="13">
        <f t="shared" si="51"/>
        <v>578</v>
      </c>
      <c r="L938" s="11" t="s">
        <v>29</v>
      </c>
      <c r="M938" s="14"/>
      <c r="N938" s="11" t="s">
        <v>92</v>
      </c>
      <c r="O938" s="10" t="str">
        <f t="shared" si="48"/>
        <v>03/2025</v>
      </c>
      <c r="P938" s="10" t="str">
        <f t="shared" si="29"/>
        <v>03/2025</v>
      </c>
      <c r="Q938" s="15" t="str">
        <f t="array" ref="Q938">IFERROR(XLOOKUP(N938,'Classificação'!A:A,'Classificação'!B:B),"")</f>
        <v>DESPESAS COM OCUPAÇÃO</v>
      </c>
      <c r="R938" s="15" t="str">
        <f t="array" ref="R938">IFERROR(XLOOKUP(Q938,'Classificação'!B:B,'Classificação'!C:C),"")</f>
        <v>DESPESAS FIXAS (-)</v>
      </c>
      <c r="S938" s="15">
        <f t="shared" si="5"/>
        <v>19</v>
      </c>
      <c r="T938" s="15">
        <f t="shared" si="6"/>
        <v>3</v>
      </c>
      <c r="U938" s="15">
        <f t="shared" si="7"/>
        <v>2025</v>
      </c>
      <c r="V938" s="15">
        <f t="shared" si="8"/>
        <v>19</v>
      </c>
      <c r="W938" s="15">
        <f t="shared" si="9"/>
        <v>3</v>
      </c>
      <c r="X938" s="15">
        <f t="shared" si="10"/>
        <v>2025</v>
      </c>
    </row>
    <row r="939">
      <c r="A939" s="9">
        <v>45736.0</v>
      </c>
      <c r="B939" s="9">
        <v>45632.0</v>
      </c>
      <c r="C939" s="9">
        <f t="shared" si="22"/>
        <v>45736</v>
      </c>
      <c r="D939" s="11" t="s">
        <v>490</v>
      </c>
      <c r="E939" s="11" t="s">
        <v>25</v>
      </c>
      <c r="F939" s="11" t="s">
        <v>107</v>
      </c>
      <c r="G939" s="11" t="s">
        <v>27</v>
      </c>
      <c r="H939" s="11" t="s">
        <v>491</v>
      </c>
      <c r="I939" s="31">
        <v>265.55</v>
      </c>
      <c r="J939" s="13"/>
      <c r="K939" s="13">
        <f t="shared" si="51"/>
        <v>265.55</v>
      </c>
      <c r="L939" s="11" t="s">
        <v>53</v>
      </c>
      <c r="M939" s="17">
        <v>45385.0</v>
      </c>
      <c r="N939" s="11" t="s">
        <v>175</v>
      </c>
      <c r="O939" s="10" t="str">
        <f t="shared" si="48"/>
        <v>03/2025</v>
      </c>
      <c r="P939" s="10" t="str">
        <f t="shared" si="29"/>
        <v>03/2025</v>
      </c>
      <c r="Q939" s="15" t="str">
        <f t="array" ref="Q939">IFERROR(XLOOKUP(N939,'Classificação'!A:A,'Classificação'!B:B),"")</f>
        <v>DESPESAS COM VEICULOS</v>
      </c>
      <c r="R939" s="15" t="str">
        <f t="array" ref="R939">IFERROR(XLOOKUP(Q939,'Classificação'!B:B,'Classificação'!C:C),"")</f>
        <v>DESPESAS FIXAS (-)</v>
      </c>
      <c r="S939" s="15">
        <f t="shared" si="5"/>
        <v>20</v>
      </c>
      <c r="T939" s="15">
        <f t="shared" si="6"/>
        <v>3</v>
      </c>
      <c r="U939" s="15">
        <f t="shared" si="7"/>
        <v>2025</v>
      </c>
      <c r="V939" s="15">
        <f t="shared" si="8"/>
        <v>20</v>
      </c>
      <c r="W939" s="15">
        <f t="shared" si="9"/>
        <v>3</v>
      </c>
      <c r="X939" s="15">
        <f t="shared" si="10"/>
        <v>2025</v>
      </c>
    </row>
    <row r="940">
      <c r="A940" s="9">
        <v>45736.0</v>
      </c>
      <c r="B940" s="10"/>
      <c r="C940" s="9">
        <f t="shared" si="22"/>
        <v>45736</v>
      </c>
      <c r="D940" s="11" t="s">
        <v>104</v>
      </c>
      <c r="E940" s="11" t="s">
        <v>25</v>
      </c>
      <c r="F940" s="11" t="s">
        <v>40</v>
      </c>
      <c r="G940" s="11" t="s">
        <v>37</v>
      </c>
      <c r="I940" s="12">
        <v>425.0</v>
      </c>
      <c r="J940" s="13"/>
      <c r="K940" s="13">
        <f t="shared" si="51"/>
        <v>425</v>
      </c>
      <c r="L940" s="11" t="s">
        <v>29</v>
      </c>
      <c r="M940" s="14"/>
      <c r="N940" s="11" t="s">
        <v>105</v>
      </c>
      <c r="O940" s="10" t="str">
        <f t="shared" si="48"/>
        <v>03/2025</v>
      </c>
      <c r="P940" s="10" t="str">
        <f t="shared" si="29"/>
        <v>03/2025</v>
      </c>
      <c r="Q940" s="15" t="str">
        <f t="array" ref="Q940">IFERROR(XLOOKUP(N940,'Classificação'!A:A,'Classificação'!B:B),"")</f>
        <v>DESPESAS ADMINISTRATIVAS</v>
      </c>
      <c r="R940" s="15" t="str">
        <f t="array" ref="R940">IFERROR(XLOOKUP(Q940,'Classificação'!B:B,'Classificação'!C:C),"")</f>
        <v>DESPESAS FIXAS (-)</v>
      </c>
      <c r="S940" s="15">
        <f t="shared" si="5"/>
        <v>20</v>
      </c>
      <c r="T940" s="15">
        <f t="shared" si="6"/>
        <v>3</v>
      </c>
      <c r="U940" s="15">
        <f t="shared" si="7"/>
        <v>2025</v>
      </c>
      <c r="V940" s="15">
        <f t="shared" si="8"/>
        <v>20</v>
      </c>
      <c r="W940" s="15">
        <f t="shared" si="9"/>
        <v>3</v>
      </c>
      <c r="X940" s="15">
        <f t="shared" si="10"/>
        <v>2025</v>
      </c>
    </row>
    <row r="941">
      <c r="A941" s="9">
        <v>45736.0</v>
      </c>
      <c r="B941" s="10"/>
      <c r="C941" s="9">
        <f t="shared" si="22"/>
        <v>45736</v>
      </c>
      <c r="D941" s="11" t="s">
        <v>109</v>
      </c>
      <c r="E941" s="11" t="s">
        <v>25</v>
      </c>
      <c r="F941" s="11" t="s">
        <v>110</v>
      </c>
      <c r="G941" s="11" t="s">
        <v>27</v>
      </c>
      <c r="H941" s="11" t="s">
        <v>111</v>
      </c>
      <c r="I941" s="12">
        <v>24.15</v>
      </c>
      <c r="J941" s="13"/>
      <c r="K941" s="13">
        <f t="shared" si="51"/>
        <v>24.15</v>
      </c>
      <c r="L941" s="11" t="s">
        <v>29</v>
      </c>
      <c r="M941" s="14"/>
      <c r="N941" s="11" t="s">
        <v>105</v>
      </c>
      <c r="O941" s="10" t="str">
        <f t="shared" si="48"/>
        <v>03/2025</v>
      </c>
      <c r="P941" s="10" t="str">
        <f t="shared" si="29"/>
        <v>03/2025</v>
      </c>
      <c r="Q941" s="15" t="str">
        <f t="array" ref="Q941">IFERROR(XLOOKUP(N941,'Classificação'!A:A,'Classificação'!B:B),"")</f>
        <v>DESPESAS ADMINISTRATIVAS</v>
      </c>
      <c r="R941" s="15" t="str">
        <f t="array" ref="R941">IFERROR(XLOOKUP(Q941,'Classificação'!B:B,'Classificação'!C:C),"")</f>
        <v>DESPESAS FIXAS (-)</v>
      </c>
      <c r="S941" s="15">
        <f t="shared" si="5"/>
        <v>20</v>
      </c>
      <c r="T941" s="15">
        <f t="shared" si="6"/>
        <v>3</v>
      </c>
      <c r="U941" s="15">
        <f t="shared" si="7"/>
        <v>2025</v>
      </c>
      <c r="V941" s="15">
        <f t="shared" si="8"/>
        <v>20</v>
      </c>
      <c r="W941" s="15">
        <f t="shared" si="9"/>
        <v>3</v>
      </c>
      <c r="X941" s="15">
        <f t="shared" si="10"/>
        <v>2025</v>
      </c>
    </row>
    <row r="942">
      <c r="A942" s="9">
        <v>45736.0</v>
      </c>
      <c r="B942" s="10"/>
      <c r="C942" s="9">
        <f t="shared" si="22"/>
        <v>45736</v>
      </c>
      <c r="D942" s="11" t="s">
        <v>100</v>
      </c>
      <c r="E942" s="11" t="s">
        <v>25</v>
      </c>
      <c r="F942" s="11" t="s">
        <v>40</v>
      </c>
      <c r="G942" s="11" t="s">
        <v>27</v>
      </c>
      <c r="H942" s="11" t="s">
        <v>243</v>
      </c>
      <c r="I942" s="12">
        <v>15207.57</v>
      </c>
      <c r="J942" s="13"/>
      <c r="K942" s="13">
        <f t="shared" si="51"/>
        <v>15207.57</v>
      </c>
      <c r="L942" s="11" t="s">
        <v>29</v>
      </c>
      <c r="M942" s="14"/>
      <c r="N942" s="11" t="s">
        <v>101</v>
      </c>
      <c r="O942" s="10" t="str">
        <f t="shared" si="48"/>
        <v>03/2025</v>
      </c>
      <c r="P942" s="10" t="str">
        <f t="shared" si="29"/>
        <v>03/2025</v>
      </c>
      <c r="Q942" s="15" t="str">
        <f t="array" ref="Q942">IFERROR(XLOOKUP(N942,'Classificação'!A:A,'Classificação'!B:B),"")</f>
        <v>IMPOSTO DE RENDA - DAS</v>
      </c>
      <c r="R942" s="15" t="str">
        <f t="array" ref="R942">IFERROR(XLOOKUP(Q942,'Classificação'!B:B,'Classificação'!C:C),"")</f>
        <v>DEDUÇÕES DA RECEITA BRUTA (-)</v>
      </c>
      <c r="S942" s="15">
        <f t="shared" si="5"/>
        <v>20</v>
      </c>
      <c r="T942" s="15">
        <f t="shared" si="6"/>
        <v>3</v>
      </c>
      <c r="U942" s="15">
        <f t="shared" si="7"/>
        <v>2025</v>
      </c>
      <c r="V942" s="15">
        <f t="shared" si="8"/>
        <v>20</v>
      </c>
      <c r="W942" s="15">
        <f t="shared" si="9"/>
        <v>3</v>
      </c>
      <c r="X942" s="15">
        <f t="shared" si="10"/>
        <v>2025</v>
      </c>
    </row>
    <row r="943">
      <c r="A943" s="9">
        <v>45736.0</v>
      </c>
      <c r="B943" s="10"/>
      <c r="C943" s="9">
        <f t="shared" si="22"/>
        <v>45736</v>
      </c>
      <c r="D943" s="11" t="s">
        <v>100</v>
      </c>
      <c r="E943" s="11" t="s">
        <v>25</v>
      </c>
      <c r="F943" s="11" t="s">
        <v>40</v>
      </c>
      <c r="G943" s="11" t="s">
        <v>37</v>
      </c>
      <c r="H943" s="11" t="s">
        <v>243</v>
      </c>
      <c r="I943" s="12">
        <v>3022.71</v>
      </c>
      <c r="J943" s="13"/>
      <c r="K943" s="13">
        <f t="shared" si="51"/>
        <v>3022.71</v>
      </c>
      <c r="L943" s="11" t="s">
        <v>29</v>
      </c>
      <c r="M943" s="14"/>
      <c r="N943" s="11" t="s">
        <v>101</v>
      </c>
      <c r="O943" s="10" t="str">
        <f t="shared" si="48"/>
        <v>03/2025</v>
      </c>
      <c r="P943" s="10" t="str">
        <f t="shared" si="29"/>
        <v>03/2025</v>
      </c>
      <c r="Q943" s="15" t="str">
        <f t="array" ref="Q943">IFERROR(XLOOKUP(N943,'Classificação'!A:A,'Classificação'!B:B),"")</f>
        <v>IMPOSTO DE RENDA - DAS</v>
      </c>
      <c r="R943" s="15" t="str">
        <f t="array" ref="R943">IFERROR(XLOOKUP(Q943,'Classificação'!B:B,'Classificação'!C:C),"")</f>
        <v>DEDUÇÕES DA RECEITA BRUTA (-)</v>
      </c>
      <c r="S943" s="15">
        <f t="shared" si="5"/>
        <v>20</v>
      </c>
      <c r="T943" s="15">
        <f t="shared" si="6"/>
        <v>3</v>
      </c>
      <c r="U943" s="15">
        <f t="shared" si="7"/>
        <v>2025</v>
      </c>
      <c r="V943" s="15">
        <f t="shared" si="8"/>
        <v>20</v>
      </c>
      <c r="W943" s="15">
        <f t="shared" si="9"/>
        <v>3</v>
      </c>
      <c r="X943" s="15">
        <f t="shared" si="10"/>
        <v>2025</v>
      </c>
    </row>
    <row r="944">
      <c r="A944" s="9">
        <v>45736.0</v>
      </c>
      <c r="B944" s="10"/>
      <c r="C944" s="9">
        <f t="shared" si="22"/>
        <v>45736</v>
      </c>
      <c r="D944" s="11" t="s">
        <v>121</v>
      </c>
      <c r="E944" s="11" t="s">
        <v>25</v>
      </c>
      <c r="F944" s="11" t="s">
        <v>110</v>
      </c>
      <c r="G944" s="11" t="s">
        <v>27</v>
      </c>
      <c r="H944" s="11" t="s">
        <v>122</v>
      </c>
      <c r="I944" s="12">
        <v>29.9</v>
      </c>
      <c r="J944" s="13"/>
      <c r="K944" s="13">
        <f t="shared" si="51"/>
        <v>29.9</v>
      </c>
      <c r="L944" s="11" t="s">
        <v>29</v>
      </c>
      <c r="M944" s="14"/>
      <c r="N944" s="11" t="s">
        <v>105</v>
      </c>
      <c r="O944" s="10" t="str">
        <f t="shared" si="48"/>
        <v>03/2025</v>
      </c>
      <c r="P944" s="10" t="str">
        <f t="shared" si="29"/>
        <v>03/2025</v>
      </c>
      <c r="Q944" s="15" t="str">
        <f t="array" ref="Q944">IFERROR(XLOOKUP(N944,'Classificação'!A:A,'Classificação'!B:B),"")</f>
        <v>DESPESAS ADMINISTRATIVAS</v>
      </c>
      <c r="R944" s="15" t="str">
        <f t="array" ref="R944">IFERROR(XLOOKUP(Q944,'Classificação'!B:B,'Classificação'!C:C),"")</f>
        <v>DESPESAS FIXAS (-)</v>
      </c>
      <c r="S944" s="15">
        <f t="shared" si="5"/>
        <v>20</v>
      </c>
      <c r="T944" s="15">
        <f t="shared" si="6"/>
        <v>3</v>
      </c>
      <c r="U944" s="15">
        <f t="shared" si="7"/>
        <v>2025</v>
      </c>
      <c r="V944" s="15">
        <f t="shared" si="8"/>
        <v>20</v>
      </c>
      <c r="W944" s="15">
        <f t="shared" si="9"/>
        <v>3</v>
      </c>
      <c r="X944" s="15">
        <f t="shared" si="10"/>
        <v>2025</v>
      </c>
    </row>
    <row r="945">
      <c r="A945" s="9">
        <v>45736.0</v>
      </c>
      <c r="B945" s="10"/>
      <c r="C945" s="9">
        <f t="shared" si="22"/>
        <v>45736</v>
      </c>
      <c r="D945" s="11" t="s">
        <v>123</v>
      </c>
      <c r="E945" s="11" t="s">
        <v>25</v>
      </c>
      <c r="F945" s="11" t="s">
        <v>40</v>
      </c>
      <c r="G945" s="11" t="s">
        <v>27</v>
      </c>
      <c r="H945" s="11" t="s">
        <v>611</v>
      </c>
      <c r="I945" s="12">
        <v>456.8</v>
      </c>
      <c r="J945" s="13"/>
      <c r="K945" s="13">
        <f t="shared" si="51"/>
        <v>456.8</v>
      </c>
      <c r="L945" s="11" t="s">
        <v>29</v>
      </c>
      <c r="M945" s="14"/>
      <c r="N945" s="11" t="s">
        <v>123</v>
      </c>
      <c r="O945" s="10" t="str">
        <f t="shared" si="48"/>
        <v>03/2025</v>
      </c>
      <c r="P945" s="10" t="str">
        <f t="shared" si="29"/>
        <v>03/2025</v>
      </c>
      <c r="Q945" s="15" t="str">
        <f t="array" ref="Q945">IFERROR(XLOOKUP(N945,'Classificação'!A:A,'Classificação'!B:B),"")</f>
        <v>DESPESAS COM PESSOAL</v>
      </c>
      <c r="R945" s="15" t="str">
        <f t="array" ref="R945">IFERROR(XLOOKUP(Q945,'Classificação'!B:B,'Classificação'!C:C),"")</f>
        <v>DESPESAS FIXAS (-)</v>
      </c>
      <c r="S945" s="15">
        <f t="shared" si="5"/>
        <v>20</v>
      </c>
      <c r="T945" s="15">
        <f t="shared" si="6"/>
        <v>3</v>
      </c>
      <c r="U945" s="15">
        <f t="shared" si="7"/>
        <v>2025</v>
      </c>
      <c r="V945" s="15">
        <f t="shared" si="8"/>
        <v>20</v>
      </c>
      <c r="W945" s="15">
        <f t="shared" si="9"/>
        <v>3</v>
      </c>
      <c r="X945" s="15">
        <f t="shared" si="10"/>
        <v>2025</v>
      </c>
    </row>
    <row r="946">
      <c r="A946" s="9">
        <v>45736.0</v>
      </c>
      <c r="B946" s="10"/>
      <c r="C946" s="9">
        <f t="shared" si="22"/>
        <v>45736</v>
      </c>
      <c r="D946" s="11" t="s">
        <v>126</v>
      </c>
      <c r="E946" s="11" t="s">
        <v>25</v>
      </c>
      <c r="F946" s="11" t="s">
        <v>40</v>
      </c>
      <c r="G946" s="11" t="s">
        <v>27</v>
      </c>
      <c r="H946" s="11" t="s">
        <v>611</v>
      </c>
      <c r="I946" s="12">
        <v>714.55</v>
      </c>
      <c r="J946" s="13"/>
      <c r="K946" s="13">
        <f t="shared" si="51"/>
        <v>714.55</v>
      </c>
      <c r="L946" s="11" t="s">
        <v>29</v>
      </c>
      <c r="M946" s="14"/>
      <c r="N946" s="11" t="s">
        <v>126</v>
      </c>
      <c r="O946" s="10" t="str">
        <f t="shared" si="48"/>
        <v>03/2025</v>
      </c>
      <c r="P946" s="10" t="str">
        <f t="shared" si="29"/>
        <v>03/2025</v>
      </c>
      <c r="Q946" s="15" t="str">
        <f t="array" ref="Q946">IFERROR(XLOOKUP(N946,'Classificação'!A:A,'Classificação'!B:B),"")</f>
        <v>DESPESAS COM PESSOAL</v>
      </c>
      <c r="R946" s="15" t="str">
        <f t="array" ref="R946">IFERROR(XLOOKUP(Q946,'Classificação'!B:B,'Classificação'!C:C),"")</f>
        <v>DESPESAS FIXAS (-)</v>
      </c>
      <c r="S946" s="15">
        <f t="shared" si="5"/>
        <v>20</v>
      </c>
      <c r="T946" s="15">
        <f t="shared" si="6"/>
        <v>3</v>
      </c>
      <c r="U946" s="15">
        <f t="shared" si="7"/>
        <v>2025</v>
      </c>
      <c r="V946" s="15">
        <f t="shared" si="8"/>
        <v>20</v>
      </c>
      <c r="W946" s="15">
        <f t="shared" si="9"/>
        <v>3</v>
      </c>
      <c r="X946" s="15">
        <f t="shared" si="10"/>
        <v>2025</v>
      </c>
    </row>
    <row r="947">
      <c r="A947" s="9">
        <v>45736.0</v>
      </c>
      <c r="B947" s="10"/>
      <c r="C947" s="9">
        <f t="shared" si="22"/>
        <v>45736</v>
      </c>
      <c r="D947" s="11" t="s">
        <v>131</v>
      </c>
      <c r="E947" s="11" t="s">
        <v>25</v>
      </c>
      <c r="F947" s="11" t="s">
        <v>107</v>
      </c>
      <c r="G947" s="11" t="s">
        <v>27</v>
      </c>
      <c r="I947" s="31">
        <v>249.34</v>
      </c>
      <c r="J947" s="13"/>
      <c r="K947" s="13">
        <f t="shared" si="51"/>
        <v>249.34</v>
      </c>
      <c r="L947" s="11" t="s">
        <v>53</v>
      </c>
      <c r="M947" s="17">
        <v>45636.0</v>
      </c>
      <c r="N947" s="11" t="s">
        <v>133</v>
      </c>
      <c r="O947" s="10" t="str">
        <f t="shared" si="48"/>
        <v>03/2025</v>
      </c>
      <c r="P947" s="10" t="str">
        <f t="shared" si="29"/>
        <v>03/2025</v>
      </c>
      <c r="Q947" s="15" t="str">
        <f t="array" ref="Q947">IFERROR(XLOOKUP(N947,'Classificação'!A:A,'Classificação'!B:B),"")</f>
        <v>DESPESAS COM VEICULOS</v>
      </c>
      <c r="R947" s="15" t="str">
        <f t="array" ref="R947">IFERROR(XLOOKUP(Q947,'Classificação'!B:B,'Classificação'!C:C),"")</f>
        <v>DESPESAS FIXAS (-)</v>
      </c>
      <c r="S947" s="15">
        <f t="shared" si="5"/>
        <v>20</v>
      </c>
      <c r="T947" s="15">
        <f t="shared" si="6"/>
        <v>3</v>
      </c>
      <c r="U947" s="15">
        <f t="shared" si="7"/>
        <v>2025</v>
      </c>
      <c r="V947" s="15">
        <f t="shared" si="8"/>
        <v>20</v>
      </c>
      <c r="W947" s="15">
        <f t="shared" si="9"/>
        <v>3</v>
      </c>
      <c r="X947" s="15">
        <f t="shared" si="10"/>
        <v>2025</v>
      </c>
    </row>
    <row r="948">
      <c r="A948" s="9">
        <v>45736.0</v>
      </c>
      <c r="B948" s="10"/>
      <c r="C948" s="9">
        <f t="shared" si="22"/>
        <v>45736</v>
      </c>
      <c r="D948" s="11" t="s">
        <v>65</v>
      </c>
      <c r="E948" s="11" t="s">
        <v>25</v>
      </c>
      <c r="F948" s="11" t="s">
        <v>107</v>
      </c>
      <c r="G948" s="11" t="s">
        <v>27</v>
      </c>
      <c r="H948" s="11" t="s">
        <v>248</v>
      </c>
      <c r="I948" s="31">
        <v>64.9</v>
      </c>
      <c r="J948" s="13"/>
      <c r="K948" s="13">
        <f t="shared" si="51"/>
        <v>64.9</v>
      </c>
      <c r="L948" s="11" t="s">
        <v>53</v>
      </c>
      <c r="M948" s="17">
        <v>45575.0</v>
      </c>
      <c r="N948" s="11" t="s">
        <v>95</v>
      </c>
      <c r="O948" s="10" t="str">
        <f t="shared" si="48"/>
        <v>03/2025</v>
      </c>
      <c r="P948" s="10" t="str">
        <f t="shared" si="29"/>
        <v>03/2025</v>
      </c>
      <c r="Q948" s="15" t="str">
        <f t="array" ref="Q948">IFERROR(XLOOKUP(N948,'Classificação'!A:A,'Classificação'!B:B),"")</f>
        <v>DESPESAS NÃO OPERACIONAIS</v>
      </c>
      <c r="R948" s="15" t="str">
        <f t="array" ref="R948">IFERROR(XLOOKUP(Q948,'Classificação'!B:B,'Classificação'!C:C),"")</f>
        <v>RESULTADO NÃO OPERACIONAL (+/-)</v>
      </c>
      <c r="S948" s="15">
        <f t="shared" si="5"/>
        <v>20</v>
      </c>
      <c r="T948" s="15">
        <f t="shared" si="6"/>
        <v>3</v>
      </c>
      <c r="U948" s="15">
        <f t="shared" si="7"/>
        <v>2025</v>
      </c>
      <c r="V948" s="15">
        <f t="shared" si="8"/>
        <v>20</v>
      </c>
      <c r="W948" s="15">
        <f t="shared" si="9"/>
        <v>3</v>
      </c>
      <c r="X948" s="15">
        <f t="shared" si="10"/>
        <v>2025</v>
      </c>
    </row>
    <row r="949">
      <c r="A949" s="9">
        <v>45736.0</v>
      </c>
      <c r="B949" s="10"/>
      <c r="C949" s="9">
        <f t="shared" si="22"/>
        <v>45736</v>
      </c>
      <c r="D949" s="11" t="s">
        <v>163</v>
      </c>
      <c r="E949" s="11" t="s">
        <v>25</v>
      </c>
      <c r="F949" s="11" t="s">
        <v>107</v>
      </c>
      <c r="G949" s="11" t="s">
        <v>27</v>
      </c>
      <c r="H949" s="11" t="s">
        <v>253</v>
      </c>
      <c r="I949" s="31">
        <v>144.15</v>
      </c>
      <c r="J949" s="13"/>
      <c r="K949" s="13">
        <f t="shared" si="51"/>
        <v>144.15</v>
      </c>
      <c r="L949" s="11" t="s">
        <v>53</v>
      </c>
      <c r="M949" s="17">
        <v>45634.0</v>
      </c>
      <c r="N949" s="11" t="s">
        <v>95</v>
      </c>
      <c r="O949" s="10" t="str">
        <f t="shared" si="48"/>
        <v>03/2025</v>
      </c>
      <c r="P949" s="10" t="str">
        <f t="shared" si="29"/>
        <v>03/2025</v>
      </c>
      <c r="Q949" s="15" t="str">
        <f t="array" ref="Q949">IFERROR(XLOOKUP(N949,'Classificação'!A:A,'Classificação'!B:B),"")</f>
        <v>DESPESAS NÃO OPERACIONAIS</v>
      </c>
      <c r="R949" s="15" t="str">
        <f t="array" ref="R949">IFERROR(XLOOKUP(Q949,'Classificação'!B:B,'Classificação'!C:C),"")</f>
        <v>RESULTADO NÃO OPERACIONAL (+/-)</v>
      </c>
      <c r="S949" s="15">
        <f t="shared" si="5"/>
        <v>20</v>
      </c>
      <c r="T949" s="15">
        <f t="shared" si="6"/>
        <v>3</v>
      </c>
      <c r="U949" s="15">
        <f t="shared" si="7"/>
        <v>2025</v>
      </c>
      <c r="V949" s="15">
        <f t="shared" si="8"/>
        <v>20</v>
      </c>
      <c r="W949" s="15">
        <f t="shared" si="9"/>
        <v>3</v>
      </c>
      <c r="X949" s="15">
        <f t="shared" si="10"/>
        <v>2025</v>
      </c>
    </row>
    <row r="950">
      <c r="A950" s="9">
        <v>45736.0</v>
      </c>
      <c r="B950" s="10"/>
      <c r="C950" s="9">
        <f t="shared" si="22"/>
        <v>45736</v>
      </c>
      <c r="D950" s="11" t="s">
        <v>171</v>
      </c>
      <c r="E950" s="11" t="s">
        <v>25</v>
      </c>
      <c r="F950" s="11" t="s">
        <v>40</v>
      </c>
      <c r="G950" s="11" t="s">
        <v>37</v>
      </c>
      <c r="I950" s="12">
        <v>110.8</v>
      </c>
      <c r="J950" s="13"/>
      <c r="K950" s="13">
        <f t="shared" si="51"/>
        <v>110.8</v>
      </c>
      <c r="L950" s="11" t="s">
        <v>29</v>
      </c>
      <c r="M950" s="14"/>
      <c r="N950" s="11" t="s">
        <v>172</v>
      </c>
      <c r="O950" s="10" t="str">
        <f t="shared" si="48"/>
        <v>03/2025</v>
      </c>
      <c r="P950" s="10" t="str">
        <f t="shared" si="29"/>
        <v>03/2025</v>
      </c>
      <c r="Q950" s="15" t="str">
        <f t="array" ref="Q950">IFERROR(XLOOKUP(N950,'Classificação'!A:A,'Classificação'!B:B),"")</f>
        <v>DESPESAS COM OCUPAÇÃO</v>
      </c>
      <c r="R950" s="15" t="str">
        <f t="array" ref="R950">IFERROR(XLOOKUP(Q950,'Classificação'!B:B,'Classificação'!C:C),"")</f>
        <v>DESPESAS FIXAS (-)</v>
      </c>
      <c r="S950" s="15">
        <f t="shared" si="5"/>
        <v>20</v>
      </c>
      <c r="T950" s="15">
        <f t="shared" si="6"/>
        <v>3</v>
      </c>
      <c r="U950" s="15">
        <f t="shared" si="7"/>
        <v>2025</v>
      </c>
      <c r="V950" s="15">
        <f t="shared" si="8"/>
        <v>20</v>
      </c>
      <c r="W950" s="15">
        <f t="shared" si="9"/>
        <v>3</v>
      </c>
      <c r="X950" s="15">
        <f t="shared" si="10"/>
        <v>2025</v>
      </c>
    </row>
    <row r="951">
      <c r="A951" s="9">
        <v>45736.0</v>
      </c>
      <c r="B951" s="19">
        <v>45421.0</v>
      </c>
      <c r="C951" s="9">
        <f t="shared" si="22"/>
        <v>45736</v>
      </c>
      <c r="D951" s="11" t="s">
        <v>173</v>
      </c>
      <c r="E951" s="11" t="s">
        <v>25</v>
      </c>
      <c r="F951" s="11" t="s">
        <v>107</v>
      </c>
      <c r="G951" s="11" t="s">
        <v>27</v>
      </c>
      <c r="I951" s="31">
        <v>298.9</v>
      </c>
      <c r="J951" s="13"/>
      <c r="K951" s="13">
        <f t="shared" si="51"/>
        <v>298.9</v>
      </c>
      <c r="L951" s="11" t="s">
        <v>53</v>
      </c>
      <c r="M951" s="17">
        <v>45575.0</v>
      </c>
      <c r="N951" s="11" t="s">
        <v>175</v>
      </c>
      <c r="O951" s="10" t="str">
        <f t="shared" si="48"/>
        <v>03/2025</v>
      </c>
      <c r="P951" s="10" t="str">
        <f t="shared" si="29"/>
        <v>03/2025</v>
      </c>
      <c r="Q951" s="15" t="str">
        <f t="array" ref="Q951">IFERROR(XLOOKUP(N951,'Classificação'!A:A,'Classificação'!B:B),"")</f>
        <v>DESPESAS COM VEICULOS</v>
      </c>
      <c r="R951" s="15" t="str">
        <f t="array" ref="R951">IFERROR(XLOOKUP(Q951,'Classificação'!B:B,'Classificação'!C:C),"")</f>
        <v>DESPESAS FIXAS (-)</v>
      </c>
      <c r="S951" s="15">
        <f t="shared" si="5"/>
        <v>20</v>
      </c>
      <c r="T951" s="15">
        <f t="shared" si="6"/>
        <v>3</v>
      </c>
      <c r="U951" s="15">
        <f t="shared" si="7"/>
        <v>2025</v>
      </c>
      <c r="V951" s="15">
        <f t="shared" si="8"/>
        <v>20</v>
      </c>
      <c r="W951" s="15">
        <f t="shared" si="9"/>
        <v>3</v>
      </c>
      <c r="X951" s="15">
        <f t="shared" si="10"/>
        <v>2025</v>
      </c>
    </row>
    <row r="952">
      <c r="A952" s="9">
        <v>45736.0</v>
      </c>
      <c r="B952" s="9">
        <v>45523.0</v>
      </c>
      <c r="C952" s="9">
        <f t="shared" si="22"/>
        <v>45736</v>
      </c>
      <c r="D952" s="11" t="s">
        <v>65</v>
      </c>
      <c r="E952" s="11" t="s">
        <v>25</v>
      </c>
      <c r="F952" s="11" t="s">
        <v>107</v>
      </c>
      <c r="G952" s="11" t="s">
        <v>27</v>
      </c>
      <c r="H952" s="11" t="s">
        <v>263</v>
      </c>
      <c r="I952" s="31">
        <v>102.67</v>
      </c>
      <c r="J952" s="13"/>
      <c r="K952" s="13">
        <f t="shared" si="51"/>
        <v>102.67</v>
      </c>
      <c r="L952" s="11" t="s">
        <v>53</v>
      </c>
      <c r="M952" s="17">
        <v>45633.0</v>
      </c>
      <c r="N952" s="11" t="s">
        <v>95</v>
      </c>
      <c r="O952" s="10" t="str">
        <f t="shared" si="48"/>
        <v>03/2025</v>
      </c>
      <c r="P952" s="10" t="str">
        <f t="shared" si="29"/>
        <v>03/2025</v>
      </c>
      <c r="Q952" s="15" t="str">
        <f t="array" ref="Q952">IFERROR(XLOOKUP(N952,'Classificação'!A:A,'Classificação'!B:B),"")</f>
        <v>DESPESAS NÃO OPERACIONAIS</v>
      </c>
      <c r="R952" s="15" t="str">
        <f t="array" ref="R952">IFERROR(XLOOKUP(Q952,'Classificação'!B:B,'Classificação'!C:C),"")</f>
        <v>RESULTADO NÃO OPERACIONAL (+/-)</v>
      </c>
      <c r="S952" s="15">
        <f t="shared" si="5"/>
        <v>20</v>
      </c>
      <c r="T952" s="15">
        <f t="shared" si="6"/>
        <v>3</v>
      </c>
      <c r="U952" s="15">
        <f t="shared" si="7"/>
        <v>2025</v>
      </c>
      <c r="V952" s="15">
        <f t="shared" si="8"/>
        <v>20</v>
      </c>
      <c r="W952" s="15">
        <f t="shared" si="9"/>
        <v>3</v>
      </c>
      <c r="X952" s="15">
        <f t="shared" si="10"/>
        <v>2025</v>
      </c>
    </row>
    <row r="953">
      <c r="A953" s="9">
        <v>45736.0</v>
      </c>
      <c r="B953" s="9">
        <v>45553.0</v>
      </c>
      <c r="C953" s="9">
        <f t="shared" si="22"/>
        <v>45736</v>
      </c>
      <c r="D953" s="11" t="s">
        <v>313</v>
      </c>
      <c r="E953" s="11" t="s">
        <v>25</v>
      </c>
      <c r="F953" s="11" t="s">
        <v>107</v>
      </c>
      <c r="G953" s="11" t="s">
        <v>27</v>
      </c>
      <c r="H953" s="11" t="s">
        <v>314</v>
      </c>
      <c r="I953" s="31">
        <v>287.13</v>
      </c>
      <c r="J953" s="13"/>
      <c r="K953" s="13">
        <f t="shared" si="51"/>
        <v>287.13</v>
      </c>
      <c r="L953" s="11" t="s">
        <v>53</v>
      </c>
      <c r="M953" s="17">
        <v>45632.0</v>
      </c>
      <c r="N953" s="11" t="s">
        <v>95</v>
      </c>
      <c r="O953" s="10" t="str">
        <f t="shared" si="48"/>
        <v>03/2025</v>
      </c>
      <c r="P953" s="10" t="str">
        <f t="shared" si="29"/>
        <v>03/2025</v>
      </c>
      <c r="Q953" s="15" t="str">
        <f t="array" ref="Q953">IFERROR(XLOOKUP(N953,'Classificação'!A:A,'Classificação'!B:B),"")</f>
        <v>DESPESAS NÃO OPERACIONAIS</v>
      </c>
      <c r="R953" s="15" t="str">
        <f t="array" ref="R953">IFERROR(XLOOKUP(Q953,'Classificação'!B:B,'Classificação'!C:C),"")</f>
        <v>RESULTADO NÃO OPERACIONAL (+/-)</v>
      </c>
      <c r="S953" s="15">
        <f t="shared" si="5"/>
        <v>20</v>
      </c>
      <c r="T953" s="15">
        <f t="shared" si="6"/>
        <v>3</v>
      </c>
      <c r="U953" s="15">
        <f t="shared" si="7"/>
        <v>2025</v>
      </c>
      <c r="V953" s="15">
        <f t="shared" si="8"/>
        <v>20</v>
      </c>
      <c r="W953" s="15">
        <f t="shared" si="9"/>
        <v>3</v>
      </c>
      <c r="X953" s="15">
        <f t="shared" si="10"/>
        <v>2025</v>
      </c>
    </row>
    <row r="954">
      <c r="A954" s="9">
        <v>45736.0</v>
      </c>
      <c r="B954" s="9">
        <v>45561.0</v>
      </c>
      <c r="C954" s="9">
        <f t="shared" si="22"/>
        <v>45736</v>
      </c>
      <c r="D954" s="11" t="s">
        <v>316</v>
      </c>
      <c r="E954" s="11" t="s">
        <v>25</v>
      </c>
      <c r="F954" s="11" t="s">
        <v>107</v>
      </c>
      <c r="G954" s="11" t="s">
        <v>27</v>
      </c>
      <c r="H954" s="11" t="s">
        <v>317</v>
      </c>
      <c r="I954" s="31">
        <v>593.82</v>
      </c>
      <c r="J954" s="13"/>
      <c r="K954" s="13">
        <f t="shared" si="51"/>
        <v>593.82</v>
      </c>
      <c r="L954" s="11" t="s">
        <v>53</v>
      </c>
      <c r="M954" s="17">
        <v>45449.0</v>
      </c>
      <c r="N954" s="11" t="s">
        <v>105</v>
      </c>
      <c r="O954" s="10" t="str">
        <f t="shared" si="48"/>
        <v>03/2025</v>
      </c>
      <c r="P954" s="10" t="str">
        <f t="shared" si="29"/>
        <v>03/2025</v>
      </c>
      <c r="Q954" s="15" t="str">
        <f t="array" ref="Q954">IFERROR(XLOOKUP(N954,'Classificação'!A:A,'Classificação'!B:B),"")</f>
        <v>DESPESAS ADMINISTRATIVAS</v>
      </c>
      <c r="R954" s="15" t="str">
        <f t="array" ref="R954">IFERROR(XLOOKUP(Q954,'Classificação'!B:B,'Classificação'!C:C),"")</f>
        <v>DESPESAS FIXAS (-)</v>
      </c>
      <c r="S954" s="15">
        <f t="shared" si="5"/>
        <v>20</v>
      </c>
      <c r="T954" s="15">
        <f t="shared" si="6"/>
        <v>3</v>
      </c>
      <c r="U954" s="15">
        <f t="shared" si="7"/>
        <v>2025</v>
      </c>
      <c r="V954" s="15">
        <f t="shared" si="8"/>
        <v>20</v>
      </c>
      <c r="W954" s="15">
        <f t="shared" si="9"/>
        <v>3</v>
      </c>
      <c r="X954" s="15">
        <f t="shared" si="10"/>
        <v>2025</v>
      </c>
    </row>
    <row r="955" ht="15.75" customHeight="1">
      <c r="A955" s="9">
        <v>45736.0</v>
      </c>
      <c r="B955" s="10"/>
      <c r="C955" s="9">
        <f t="shared" si="22"/>
        <v>45736</v>
      </c>
      <c r="D955" s="11" t="s">
        <v>322</v>
      </c>
      <c r="E955" s="11" t="s">
        <v>25</v>
      </c>
      <c r="F955" s="11" t="s">
        <v>110</v>
      </c>
      <c r="G955" s="11" t="s">
        <v>27</v>
      </c>
      <c r="H955" s="11" t="s">
        <v>323</v>
      </c>
      <c r="I955" s="12">
        <v>46.2</v>
      </c>
      <c r="J955" s="13"/>
      <c r="K955" s="13">
        <f t="shared" si="51"/>
        <v>46.2</v>
      </c>
      <c r="L955" s="11" t="s">
        <v>29</v>
      </c>
      <c r="M955" s="17">
        <v>45632.0</v>
      </c>
      <c r="N955" s="11" t="s">
        <v>105</v>
      </c>
      <c r="O955" s="10" t="str">
        <f t="shared" si="48"/>
        <v>03/2025</v>
      </c>
      <c r="P955" s="10" t="str">
        <f t="shared" si="29"/>
        <v>03/2025</v>
      </c>
      <c r="Q955" s="15" t="str">
        <f t="array" ref="Q955">IFERROR(XLOOKUP(N955,'Classificação'!A:A,'Classificação'!B:B),"")</f>
        <v>DESPESAS ADMINISTRATIVAS</v>
      </c>
      <c r="R955" s="15" t="str">
        <f t="array" ref="R955">IFERROR(XLOOKUP(Q955,'Classificação'!B:B,'Classificação'!C:C),"")</f>
        <v>DESPESAS FIXAS (-)</v>
      </c>
      <c r="S955" s="15">
        <f t="shared" si="5"/>
        <v>20</v>
      </c>
      <c r="T955" s="15">
        <f t="shared" si="6"/>
        <v>3</v>
      </c>
      <c r="U955" s="15">
        <f t="shared" si="7"/>
        <v>2025</v>
      </c>
      <c r="V955" s="15">
        <f t="shared" si="8"/>
        <v>20</v>
      </c>
      <c r="W955" s="15">
        <f t="shared" si="9"/>
        <v>3</v>
      </c>
      <c r="X955" s="15">
        <f t="shared" si="10"/>
        <v>2025</v>
      </c>
    </row>
    <row r="956" ht="15.75" customHeight="1">
      <c r="A956" s="9">
        <v>45736.0</v>
      </c>
      <c r="B956" s="32">
        <v>45582.0</v>
      </c>
      <c r="C956" s="9">
        <f t="shared" si="22"/>
        <v>45736</v>
      </c>
      <c r="D956" s="11" t="s">
        <v>383</v>
      </c>
      <c r="E956" s="11" t="s">
        <v>25</v>
      </c>
      <c r="F956" s="11" t="s">
        <v>107</v>
      </c>
      <c r="G956" s="11" t="s">
        <v>27</v>
      </c>
      <c r="H956" s="11" t="s">
        <v>384</v>
      </c>
      <c r="I956" s="31">
        <v>382.73</v>
      </c>
      <c r="J956" s="13"/>
      <c r="K956" s="13">
        <f t="shared" si="51"/>
        <v>382.73</v>
      </c>
      <c r="L956" s="11" t="s">
        <v>53</v>
      </c>
      <c r="M956" s="17">
        <v>45448.0</v>
      </c>
      <c r="N956" s="11" t="s">
        <v>35</v>
      </c>
      <c r="O956" s="10" t="str">
        <f t="shared" si="48"/>
        <v>03/2025</v>
      </c>
      <c r="P956" s="10" t="str">
        <f t="shared" si="29"/>
        <v>03/2025</v>
      </c>
      <c r="Q956" s="15" t="str">
        <f t="array" ref="Q956">IFERROR(XLOOKUP(N956,'Classificação'!A:A,'Classificação'!B:B),"")</f>
        <v>COMPRA DE MERCADORIA</v>
      </c>
      <c r="R956" s="15" t="str">
        <f t="array" ref="R956">IFERROR(XLOOKUP(Q956,'Classificação'!B:B,'Classificação'!C:C),"")</f>
        <v>CUSTOS VARIÁVEIS</v>
      </c>
      <c r="S956" s="15">
        <f t="shared" si="5"/>
        <v>20</v>
      </c>
      <c r="T956" s="15">
        <f t="shared" si="6"/>
        <v>3</v>
      </c>
      <c r="U956" s="15">
        <f t="shared" si="7"/>
        <v>2025</v>
      </c>
      <c r="V956" s="15">
        <f t="shared" si="8"/>
        <v>20</v>
      </c>
      <c r="W956" s="15">
        <f t="shared" si="9"/>
        <v>3</v>
      </c>
      <c r="X956" s="15">
        <f t="shared" si="10"/>
        <v>2025</v>
      </c>
    </row>
    <row r="957" ht="16.5" customHeight="1">
      <c r="A957" s="9">
        <v>45736.0</v>
      </c>
      <c r="B957" s="9">
        <v>45600.0</v>
      </c>
      <c r="C957" s="9">
        <f t="shared" si="22"/>
        <v>45736</v>
      </c>
      <c r="D957" s="11" t="s">
        <v>65</v>
      </c>
      <c r="E957" s="11" t="s">
        <v>25</v>
      </c>
      <c r="F957" s="11" t="s">
        <v>107</v>
      </c>
      <c r="G957" s="11" t="s">
        <v>27</v>
      </c>
      <c r="H957" s="11" t="s">
        <v>393</v>
      </c>
      <c r="I957" s="31">
        <v>32.39</v>
      </c>
      <c r="J957" s="13"/>
      <c r="K957" s="13">
        <f t="shared" si="51"/>
        <v>32.39</v>
      </c>
      <c r="L957" s="11" t="s">
        <v>53</v>
      </c>
      <c r="M957" s="17">
        <v>45509.0</v>
      </c>
      <c r="N957" s="11" t="s">
        <v>394</v>
      </c>
      <c r="O957" s="10" t="str">
        <f t="shared" si="48"/>
        <v>03/2025</v>
      </c>
      <c r="P957" s="10" t="str">
        <f t="shared" si="29"/>
        <v>03/2025</v>
      </c>
      <c r="Q957" s="15" t="str">
        <f t="array" ref="Q957">IFERROR(XLOOKUP(N957,'Classificação'!A:A,'Classificação'!B:B),"")</f>
        <v>DESPESAS NÃO OPERACIONAIS</v>
      </c>
      <c r="R957" s="15" t="str">
        <f t="array" ref="R957">IFERROR(XLOOKUP(Q957,'Classificação'!B:B,'Classificação'!C:C),"")</f>
        <v>RESULTADO NÃO OPERACIONAL (+/-)</v>
      </c>
      <c r="S957" s="15">
        <f t="shared" si="5"/>
        <v>20</v>
      </c>
      <c r="T957" s="15">
        <f t="shared" si="6"/>
        <v>3</v>
      </c>
      <c r="U957" s="15">
        <f t="shared" si="7"/>
        <v>2025</v>
      </c>
      <c r="V957" s="15">
        <f t="shared" si="8"/>
        <v>20</v>
      </c>
      <c r="W957" s="15">
        <f t="shared" si="9"/>
        <v>3</v>
      </c>
      <c r="X957" s="15">
        <f t="shared" si="10"/>
        <v>2025</v>
      </c>
    </row>
    <row r="958">
      <c r="A958" s="9">
        <v>45736.0</v>
      </c>
      <c r="B958" s="10"/>
      <c r="C958" s="9">
        <f t="shared" si="22"/>
        <v>45736</v>
      </c>
      <c r="D958" s="11" t="s">
        <v>396</v>
      </c>
      <c r="E958" s="11" t="s">
        <v>25</v>
      </c>
      <c r="F958" s="11" t="s">
        <v>107</v>
      </c>
      <c r="G958" s="11" t="s">
        <v>27</v>
      </c>
      <c r="H958" s="11" t="s">
        <v>445</v>
      </c>
      <c r="I958" s="31">
        <v>60.0</v>
      </c>
      <c r="J958" s="13"/>
      <c r="K958" s="13">
        <f t="shared" si="51"/>
        <v>60</v>
      </c>
      <c r="L958" s="11" t="s">
        <v>29</v>
      </c>
      <c r="M958" s="14"/>
      <c r="N958" s="11" t="s">
        <v>105</v>
      </c>
      <c r="O958" s="10" t="str">
        <f t="shared" si="48"/>
        <v>03/2025</v>
      </c>
      <c r="P958" s="10" t="str">
        <f t="shared" si="29"/>
        <v>03/2025</v>
      </c>
      <c r="Q958" s="15" t="str">
        <f t="array" ref="Q958">IFERROR(XLOOKUP(N958,'Classificação'!A:A,'Classificação'!B:B),"")</f>
        <v>DESPESAS ADMINISTRATIVAS</v>
      </c>
      <c r="R958" s="15" t="str">
        <f t="array" ref="R958">IFERROR(XLOOKUP(Q958,'Classificação'!B:B,'Classificação'!C:C),"")</f>
        <v>DESPESAS FIXAS (-)</v>
      </c>
      <c r="S958" s="15">
        <f t="shared" si="5"/>
        <v>20</v>
      </c>
      <c r="T958" s="15">
        <f t="shared" si="6"/>
        <v>3</v>
      </c>
      <c r="U958" s="15">
        <f t="shared" si="7"/>
        <v>2025</v>
      </c>
      <c r="V958" s="15">
        <f t="shared" si="8"/>
        <v>20</v>
      </c>
      <c r="W958" s="15">
        <f t="shared" si="9"/>
        <v>3</v>
      </c>
      <c r="X958" s="15">
        <f t="shared" si="10"/>
        <v>2025</v>
      </c>
    </row>
    <row r="959">
      <c r="A959" s="9">
        <v>45736.0</v>
      </c>
      <c r="B959" s="9">
        <v>45604.0</v>
      </c>
      <c r="C959" s="9">
        <f t="shared" si="22"/>
        <v>45736</v>
      </c>
      <c r="D959" s="11" t="s">
        <v>65</v>
      </c>
      <c r="E959" s="11" t="s">
        <v>25</v>
      </c>
      <c r="F959" s="11" t="s">
        <v>107</v>
      </c>
      <c r="G959" s="11" t="s">
        <v>27</v>
      </c>
      <c r="H959" s="11" t="s">
        <v>446</v>
      </c>
      <c r="I959" s="31">
        <v>33.06</v>
      </c>
      <c r="J959" s="13"/>
      <c r="K959" s="13">
        <f t="shared" si="51"/>
        <v>33.06</v>
      </c>
      <c r="L959" s="11" t="s">
        <v>53</v>
      </c>
      <c r="M959" s="17">
        <v>45416.0</v>
      </c>
      <c r="N959" s="11" t="s">
        <v>392</v>
      </c>
      <c r="O959" s="10" t="str">
        <f t="shared" si="48"/>
        <v>03/2025</v>
      </c>
      <c r="P959" s="10" t="str">
        <f t="shared" si="29"/>
        <v>03/2025</v>
      </c>
      <c r="Q959" s="15" t="str">
        <f t="array" ref="Q959">IFERROR(XLOOKUP(N959,'Classificação'!A:A,'Classificação'!B:B),"")</f>
        <v>DESPESAS COM OCUPAÇÃO</v>
      </c>
      <c r="R959" s="15" t="str">
        <f t="array" ref="R959">IFERROR(XLOOKUP(Q959,'Classificação'!B:B,'Classificação'!C:C),"")</f>
        <v>DESPESAS FIXAS (-)</v>
      </c>
      <c r="S959" s="15">
        <f t="shared" si="5"/>
        <v>20</v>
      </c>
      <c r="T959" s="15">
        <f t="shared" si="6"/>
        <v>3</v>
      </c>
      <c r="U959" s="15">
        <f t="shared" si="7"/>
        <v>2025</v>
      </c>
      <c r="V959" s="15">
        <f t="shared" si="8"/>
        <v>20</v>
      </c>
      <c r="W959" s="15">
        <f t="shared" si="9"/>
        <v>3</v>
      </c>
      <c r="X959" s="15">
        <f t="shared" si="10"/>
        <v>2025</v>
      </c>
    </row>
    <row r="960">
      <c r="A960" s="9">
        <v>45736.0</v>
      </c>
      <c r="B960" s="32">
        <v>45643.0</v>
      </c>
      <c r="C960" s="9">
        <f t="shared" si="22"/>
        <v>45736</v>
      </c>
      <c r="D960" s="11" t="s">
        <v>502</v>
      </c>
      <c r="E960" s="11" t="s">
        <v>25</v>
      </c>
      <c r="F960" s="11" t="s">
        <v>107</v>
      </c>
      <c r="G960" s="11" t="s">
        <v>27</v>
      </c>
      <c r="H960" s="11" t="s">
        <v>503</v>
      </c>
      <c r="I960" s="31">
        <v>83.6</v>
      </c>
      <c r="J960" s="13"/>
      <c r="K960" s="13">
        <f t="shared" si="51"/>
        <v>83.6</v>
      </c>
      <c r="L960" s="11" t="s">
        <v>53</v>
      </c>
      <c r="M960" s="17">
        <v>45415.0</v>
      </c>
      <c r="N960" s="11" t="s">
        <v>347</v>
      </c>
      <c r="O960" s="10" t="str">
        <f t="shared" si="48"/>
        <v>03/2025</v>
      </c>
      <c r="P960" s="10" t="str">
        <f t="shared" si="29"/>
        <v>03/2025</v>
      </c>
      <c r="Q960" s="15" t="str">
        <f t="array" ref="Q960">IFERROR(XLOOKUP(N960,'Classificação'!A:A,'Classificação'!B:B),"")</f>
        <v>DESPESAS ADMINISTRATIVAS</v>
      </c>
      <c r="R960" s="15" t="str">
        <f t="array" ref="R960">IFERROR(XLOOKUP(Q960,'Classificação'!B:B,'Classificação'!C:C),"")</f>
        <v>DESPESAS FIXAS (-)</v>
      </c>
      <c r="S960" s="15">
        <f t="shared" si="5"/>
        <v>20</v>
      </c>
      <c r="T960" s="15">
        <f t="shared" si="6"/>
        <v>3</v>
      </c>
      <c r="U960" s="15">
        <f t="shared" si="7"/>
        <v>2025</v>
      </c>
      <c r="V960" s="15">
        <f t="shared" si="8"/>
        <v>20</v>
      </c>
      <c r="W960" s="15">
        <f t="shared" si="9"/>
        <v>3</v>
      </c>
      <c r="X960" s="15">
        <f t="shared" si="10"/>
        <v>2025</v>
      </c>
    </row>
    <row r="961">
      <c r="A961" s="9">
        <v>45736.0</v>
      </c>
      <c r="B961" s="36">
        <v>45647.0</v>
      </c>
      <c r="C961" s="9">
        <f t="shared" si="22"/>
        <v>45736</v>
      </c>
      <c r="D961" s="28" t="s">
        <v>65</v>
      </c>
      <c r="E961" s="11" t="s">
        <v>25</v>
      </c>
      <c r="F961" s="28" t="s">
        <v>107</v>
      </c>
      <c r="G961" s="28" t="s">
        <v>27</v>
      </c>
      <c r="H961" s="28" t="s">
        <v>507</v>
      </c>
      <c r="I961" s="33">
        <v>36.0</v>
      </c>
      <c r="J961" s="34"/>
      <c r="K961" s="13">
        <f t="shared" si="51"/>
        <v>36</v>
      </c>
      <c r="L961" s="28" t="s">
        <v>53</v>
      </c>
      <c r="M961" s="35">
        <v>45750.0</v>
      </c>
      <c r="N961" s="28" t="s">
        <v>143</v>
      </c>
      <c r="O961" s="10" t="str">
        <f t="shared" si="48"/>
        <v>03/2025</v>
      </c>
      <c r="P961" s="10" t="str">
        <f t="shared" si="29"/>
        <v>03/2025</v>
      </c>
      <c r="Q961" s="15" t="str">
        <f t="array" ref="Q961">IFERROR(XLOOKUP(N961,'Classificação'!A:A,'Classificação'!B:B),"")</f>
        <v>EMBALAGENS/FITAS/GERAL</v>
      </c>
      <c r="R961" s="15" t="str">
        <f t="array" ref="R961">IFERROR(XLOOKUP(Q961,'Classificação'!B:B,'Classificação'!C:C),"")</f>
        <v>CUSTOS VARIÁVEIS</v>
      </c>
      <c r="S961" s="15">
        <f t="shared" si="5"/>
        <v>20</v>
      </c>
      <c r="T961" s="15">
        <f t="shared" si="6"/>
        <v>3</v>
      </c>
      <c r="U961" s="15">
        <f t="shared" si="7"/>
        <v>2025</v>
      </c>
      <c r="V961" s="15">
        <f t="shared" si="8"/>
        <v>20</v>
      </c>
      <c r="W961" s="15">
        <f t="shared" si="9"/>
        <v>3</v>
      </c>
      <c r="X961" s="15">
        <f t="shared" si="10"/>
        <v>2025</v>
      </c>
    </row>
    <row r="962">
      <c r="A962" s="9">
        <v>45736.0</v>
      </c>
      <c r="B962" s="32">
        <v>45669.0</v>
      </c>
      <c r="C962" s="9">
        <f t="shared" si="22"/>
        <v>45736</v>
      </c>
      <c r="D962" s="11" t="s">
        <v>65</v>
      </c>
      <c r="E962" s="11" t="s">
        <v>25</v>
      </c>
      <c r="F962" s="11" t="s">
        <v>107</v>
      </c>
      <c r="G962" s="11" t="s">
        <v>27</v>
      </c>
      <c r="H962" s="11" t="s">
        <v>612</v>
      </c>
      <c r="I962" s="31">
        <v>9.9</v>
      </c>
      <c r="J962" s="13"/>
      <c r="K962" s="13">
        <f t="shared" si="51"/>
        <v>9.9</v>
      </c>
      <c r="L962" s="11" t="s">
        <v>29</v>
      </c>
      <c r="M962" s="14"/>
      <c r="N962" s="11" t="s">
        <v>105</v>
      </c>
      <c r="O962" s="10" t="str">
        <f t="shared" si="48"/>
        <v>03/2025</v>
      </c>
      <c r="P962" s="10" t="str">
        <f t="shared" si="29"/>
        <v>03/2025</v>
      </c>
      <c r="Q962" s="15" t="str">
        <f t="array" ref="Q962">IFERROR(XLOOKUP(N962,'Classificação'!A:A,'Classificação'!B:B),"")</f>
        <v>DESPESAS ADMINISTRATIVAS</v>
      </c>
      <c r="R962" s="15" t="str">
        <f t="array" ref="R962">IFERROR(XLOOKUP(Q962,'Classificação'!B:B,'Classificação'!C:C),"")</f>
        <v>DESPESAS FIXAS (-)</v>
      </c>
      <c r="S962" s="15">
        <f t="shared" si="5"/>
        <v>20</v>
      </c>
      <c r="T962" s="15">
        <f t="shared" si="6"/>
        <v>3</v>
      </c>
      <c r="U962" s="15">
        <f t="shared" si="7"/>
        <v>2025</v>
      </c>
      <c r="V962" s="15">
        <f t="shared" si="8"/>
        <v>20</v>
      </c>
      <c r="W962" s="15">
        <f t="shared" si="9"/>
        <v>3</v>
      </c>
      <c r="X962" s="15">
        <f t="shared" si="10"/>
        <v>2025</v>
      </c>
    </row>
    <row r="963">
      <c r="A963" s="9">
        <v>45736.0</v>
      </c>
      <c r="B963" s="9">
        <v>45670.0</v>
      </c>
      <c r="C963" s="9">
        <f t="shared" si="22"/>
        <v>45736</v>
      </c>
      <c r="D963" s="11" t="s">
        <v>65</v>
      </c>
      <c r="E963" s="11" t="s">
        <v>25</v>
      </c>
      <c r="F963" s="11" t="s">
        <v>107</v>
      </c>
      <c r="G963" s="11" t="s">
        <v>27</v>
      </c>
      <c r="H963" s="11" t="s">
        <v>549</v>
      </c>
      <c r="I963" s="31">
        <v>17.71</v>
      </c>
      <c r="J963" s="13"/>
      <c r="K963" s="13">
        <f t="shared" si="51"/>
        <v>17.71</v>
      </c>
      <c r="L963" s="11" t="s">
        <v>53</v>
      </c>
      <c r="M963" s="17">
        <v>45718.0</v>
      </c>
      <c r="N963" s="11" t="s">
        <v>143</v>
      </c>
      <c r="O963" s="10" t="str">
        <f t="shared" si="48"/>
        <v>03/2025</v>
      </c>
      <c r="P963" s="10" t="str">
        <f t="shared" si="29"/>
        <v>03/2025</v>
      </c>
      <c r="Q963" s="15" t="str">
        <f t="array" ref="Q963">IFERROR(XLOOKUP(N963,'Classificação'!A:A,'Classificação'!B:B),"")</f>
        <v>EMBALAGENS/FITAS/GERAL</v>
      </c>
      <c r="R963" s="15" t="str">
        <f t="array" ref="R963">IFERROR(XLOOKUP(Q963,'Classificação'!B:B,'Classificação'!C:C),"")</f>
        <v>CUSTOS VARIÁVEIS</v>
      </c>
      <c r="S963" s="15">
        <f t="shared" si="5"/>
        <v>20</v>
      </c>
      <c r="T963" s="15">
        <f t="shared" si="6"/>
        <v>3</v>
      </c>
      <c r="U963" s="15">
        <f t="shared" si="7"/>
        <v>2025</v>
      </c>
      <c r="V963" s="15">
        <f t="shared" si="8"/>
        <v>20</v>
      </c>
      <c r="W963" s="15">
        <f t="shared" si="9"/>
        <v>3</v>
      </c>
      <c r="X963" s="15">
        <f t="shared" si="10"/>
        <v>2025</v>
      </c>
    </row>
    <row r="964">
      <c r="A964" s="9">
        <v>45736.0</v>
      </c>
      <c r="B964" s="9">
        <v>45671.0</v>
      </c>
      <c r="C964" s="9">
        <f t="shared" si="22"/>
        <v>45736</v>
      </c>
      <c r="D964" s="11" t="s">
        <v>560</v>
      </c>
      <c r="E964" s="11" t="s">
        <v>25</v>
      </c>
      <c r="F964" s="11" t="s">
        <v>107</v>
      </c>
      <c r="G964" s="11" t="s">
        <v>27</v>
      </c>
      <c r="H964" s="11" t="s">
        <v>491</v>
      </c>
      <c r="I964" s="31">
        <v>129.75</v>
      </c>
      <c r="J964" s="13"/>
      <c r="K964" s="13">
        <f t="shared" si="51"/>
        <v>129.75</v>
      </c>
      <c r="L964" s="11" t="s">
        <v>53</v>
      </c>
      <c r="M964" s="17">
        <v>45749.0</v>
      </c>
      <c r="N964" s="11" t="s">
        <v>175</v>
      </c>
      <c r="O964" s="10" t="str">
        <f t="shared" si="48"/>
        <v>03/2025</v>
      </c>
      <c r="P964" s="10" t="str">
        <f t="shared" si="29"/>
        <v>03/2025</v>
      </c>
      <c r="Q964" s="15" t="str">
        <f t="array" ref="Q964">IFERROR(XLOOKUP(N964,'Classificação'!A:A,'Classificação'!B:B),"")</f>
        <v>DESPESAS COM VEICULOS</v>
      </c>
      <c r="R964" s="15" t="str">
        <f t="array" ref="R964">IFERROR(XLOOKUP(Q964,'Classificação'!B:B,'Classificação'!C:C),"")</f>
        <v>DESPESAS FIXAS (-)</v>
      </c>
      <c r="S964" s="15">
        <f t="shared" si="5"/>
        <v>20</v>
      </c>
      <c r="T964" s="15">
        <f t="shared" si="6"/>
        <v>3</v>
      </c>
      <c r="U964" s="15">
        <f t="shared" si="7"/>
        <v>2025</v>
      </c>
      <c r="V964" s="15">
        <f t="shared" si="8"/>
        <v>20</v>
      </c>
      <c r="W964" s="15">
        <f t="shared" si="9"/>
        <v>3</v>
      </c>
      <c r="X964" s="15">
        <f t="shared" si="10"/>
        <v>2025</v>
      </c>
    </row>
    <row r="965">
      <c r="A965" s="9">
        <v>45736.0</v>
      </c>
      <c r="B965" s="9">
        <v>45678.0</v>
      </c>
      <c r="C965" s="9">
        <f t="shared" si="22"/>
        <v>45736</v>
      </c>
      <c r="D965" s="11" t="s">
        <v>65</v>
      </c>
      <c r="E965" s="11" t="s">
        <v>25</v>
      </c>
      <c r="F965" s="11" t="s">
        <v>107</v>
      </c>
      <c r="G965" s="11" t="s">
        <v>27</v>
      </c>
      <c r="H965" s="11" t="s">
        <v>318</v>
      </c>
      <c r="I965" s="31">
        <v>53.5</v>
      </c>
      <c r="J965" s="13"/>
      <c r="K965" s="13">
        <f t="shared" si="51"/>
        <v>53.5</v>
      </c>
      <c r="L965" s="11" t="s">
        <v>53</v>
      </c>
      <c r="M965" s="17">
        <v>45749.0</v>
      </c>
      <c r="N965" s="11" t="s">
        <v>143</v>
      </c>
      <c r="O965" s="10" t="str">
        <f t="shared" si="48"/>
        <v>03/2025</v>
      </c>
      <c r="P965" s="10" t="str">
        <f t="shared" si="29"/>
        <v>03/2025</v>
      </c>
      <c r="Q965" s="15" t="str">
        <f t="array" ref="Q965">IFERROR(XLOOKUP(N965,'Classificação'!A:A,'Classificação'!B:B),"")</f>
        <v>EMBALAGENS/FITAS/GERAL</v>
      </c>
      <c r="R965" s="15" t="str">
        <f t="array" ref="R965">IFERROR(XLOOKUP(Q965,'Classificação'!B:B,'Classificação'!C:C),"")</f>
        <v>CUSTOS VARIÁVEIS</v>
      </c>
      <c r="S965" s="15">
        <f t="shared" si="5"/>
        <v>20</v>
      </c>
      <c r="T965" s="15">
        <f t="shared" si="6"/>
        <v>3</v>
      </c>
      <c r="U965" s="15">
        <f t="shared" si="7"/>
        <v>2025</v>
      </c>
      <c r="V965" s="15">
        <f t="shared" si="8"/>
        <v>20</v>
      </c>
      <c r="W965" s="15">
        <f t="shared" si="9"/>
        <v>3</v>
      </c>
      <c r="X965" s="15">
        <f t="shared" si="10"/>
        <v>2025</v>
      </c>
    </row>
    <row r="966">
      <c r="A966" s="9">
        <v>45736.0</v>
      </c>
      <c r="B966" s="9">
        <v>45686.0</v>
      </c>
      <c r="C966" s="9">
        <f t="shared" si="22"/>
        <v>45736</v>
      </c>
      <c r="D966" s="11" t="s">
        <v>65</v>
      </c>
      <c r="E966" s="11" t="s">
        <v>25</v>
      </c>
      <c r="F966" s="11" t="s">
        <v>107</v>
      </c>
      <c r="G966" s="11" t="s">
        <v>27</v>
      </c>
      <c r="H966" s="11" t="s">
        <v>565</v>
      </c>
      <c r="I966" s="31">
        <v>63.91</v>
      </c>
      <c r="J966" s="13"/>
      <c r="K966" s="13">
        <f t="shared" si="51"/>
        <v>63.91</v>
      </c>
      <c r="L966" s="11" t="s">
        <v>53</v>
      </c>
      <c r="M966" s="17">
        <v>45690.0</v>
      </c>
      <c r="N966" s="11" t="s">
        <v>259</v>
      </c>
      <c r="O966" s="10" t="str">
        <f t="shared" si="48"/>
        <v>03/2025</v>
      </c>
      <c r="P966" s="10" t="str">
        <f t="shared" si="29"/>
        <v>03/2025</v>
      </c>
      <c r="Q966" s="15" t="str">
        <f t="array" ref="Q966">IFERROR(XLOOKUP(N966,'Classificação'!A:A,'Classificação'!B:B),"")</f>
        <v>DESPESAS ADMINISTRATIVAS</v>
      </c>
      <c r="R966" s="15" t="str">
        <f t="array" ref="R966">IFERROR(XLOOKUP(Q966,'Classificação'!B:B,'Classificação'!C:C),"")</f>
        <v>DESPESAS FIXAS (-)</v>
      </c>
      <c r="S966" s="15">
        <f t="shared" si="5"/>
        <v>20</v>
      </c>
      <c r="T966" s="15">
        <f t="shared" si="6"/>
        <v>3</v>
      </c>
      <c r="U966" s="15">
        <f t="shared" si="7"/>
        <v>2025</v>
      </c>
      <c r="V966" s="15">
        <f t="shared" si="8"/>
        <v>20</v>
      </c>
      <c r="W966" s="15">
        <f t="shared" si="9"/>
        <v>3</v>
      </c>
      <c r="X966" s="15">
        <f t="shared" si="10"/>
        <v>2025</v>
      </c>
    </row>
    <row r="967">
      <c r="A967" s="9">
        <v>45736.0</v>
      </c>
      <c r="B967" s="9">
        <v>45686.0</v>
      </c>
      <c r="C967" s="9">
        <f t="shared" si="22"/>
        <v>45736</v>
      </c>
      <c r="D967" s="11" t="s">
        <v>65</v>
      </c>
      <c r="E967" s="11" t="s">
        <v>25</v>
      </c>
      <c r="F967" s="11" t="s">
        <v>107</v>
      </c>
      <c r="G967" s="11" t="s">
        <v>27</v>
      </c>
      <c r="H967" s="11" t="s">
        <v>566</v>
      </c>
      <c r="I967" s="31">
        <v>47.02</v>
      </c>
      <c r="J967" s="13"/>
      <c r="K967" s="13">
        <f t="shared" si="51"/>
        <v>47.02</v>
      </c>
      <c r="L967" s="11" t="s">
        <v>53</v>
      </c>
      <c r="M967" s="17">
        <v>45810.0</v>
      </c>
      <c r="N967" s="11" t="s">
        <v>95</v>
      </c>
      <c r="O967" s="10" t="str">
        <f t="shared" si="48"/>
        <v>03/2025</v>
      </c>
      <c r="P967" s="10" t="str">
        <f t="shared" si="29"/>
        <v>03/2025</v>
      </c>
      <c r="Q967" s="15" t="str">
        <f t="array" ref="Q967">IFERROR(XLOOKUP(N967,'Classificação'!A:A,'Classificação'!B:B),"")</f>
        <v>DESPESAS NÃO OPERACIONAIS</v>
      </c>
      <c r="R967" s="15" t="str">
        <f t="array" ref="R967">IFERROR(XLOOKUP(Q967,'Classificação'!B:B,'Classificação'!C:C),"")</f>
        <v>RESULTADO NÃO OPERACIONAL (+/-)</v>
      </c>
      <c r="S967" s="15">
        <f t="shared" si="5"/>
        <v>20</v>
      </c>
      <c r="T967" s="15">
        <f t="shared" si="6"/>
        <v>3</v>
      </c>
      <c r="U967" s="15">
        <f t="shared" si="7"/>
        <v>2025</v>
      </c>
      <c r="V967" s="15">
        <f t="shared" si="8"/>
        <v>20</v>
      </c>
      <c r="W967" s="15">
        <f t="shared" si="9"/>
        <v>3</v>
      </c>
      <c r="X967" s="15">
        <f t="shared" si="10"/>
        <v>2025</v>
      </c>
    </row>
    <row r="968">
      <c r="A968" s="9">
        <v>45736.0</v>
      </c>
      <c r="B968" s="9">
        <v>45686.0</v>
      </c>
      <c r="C968" s="9">
        <f t="shared" si="22"/>
        <v>45736</v>
      </c>
      <c r="D968" s="11" t="s">
        <v>114</v>
      </c>
      <c r="E968" s="11" t="s">
        <v>25</v>
      </c>
      <c r="F968" s="11" t="s">
        <v>107</v>
      </c>
      <c r="G968" s="11" t="s">
        <v>27</v>
      </c>
      <c r="H968" s="11" t="s">
        <v>568</v>
      </c>
      <c r="I968" s="31">
        <v>105.1</v>
      </c>
      <c r="J968" s="13"/>
      <c r="K968" s="13">
        <f t="shared" si="51"/>
        <v>105.1</v>
      </c>
      <c r="L968" s="11" t="s">
        <v>53</v>
      </c>
      <c r="M968" s="17">
        <v>45690.0</v>
      </c>
      <c r="N968" s="11" t="s">
        <v>143</v>
      </c>
      <c r="O968" s="10" t="str">
        <f t="shared" si="48"/>
        <v>03/2025</v>
      </c>
      <c r="P968" s="10" t="str">
        <f t="shared" si="29"/>
        <v>03/2025</v>
      </c>
      <c r="Q968" s="15" t="str">
        <f t="array" ref="Q968">IFERROR(XLOOKUP(N968,'Classificação'!A:A,'Classificação'!B:B),"")</f>
        <v>EMBALAGENS/FITAS/GERAL</v>
      </c>
      <c r="R968" s="15" t="str">
        <f t="array" ref="R968">IFERROR(XLOOKUP(Q968,'Classificação'!B:B,'Classificação'!C:C),"")</f>
        <v>CUSTOS VARIÁVEIS</v>
      </c>
      <c r="S968" s="15">
        <f t="shared" si="5"/>
        <v>20</v>
      </c>
      <c r="T968" s="15">
        <f t="shared" si="6"/>
        <v>3</v>
      </c>
      <c r="U968" s="15">
        <f t="shared" si="7"/>
        <v>2025</v>
      </c>
      <c r="V968" s="15">
        <f t="shared" si="8"/>
        <v>20</v>
      </c>
      <c r="W968" s="15">
        <f t="shared" si="9"/>
        <v>3</v>
      </c>
      <c r="X968" s="15">
        <f t="shared" si="10"/>
        <v>2025</v>
      </c>
    </row>
    <row r="969">
      <c r="A969" s="9">
        <v>45736.0</v>
      </c>
      <c r="B969" s="9">
        <v>45696.0</v>
      </c>
      <c r="C969" s="9">
        <f t="shared" si="22"/>
        <v>45736</v>
      </c>
      <c r="D969" s="11" t="s">
        <v>264</v>
      </c>
      <c r="E969" s="11" t="s">
        <v>25</v>
      </c>
      <c r="F969" s="11" t="s">
        <v>107</v>
      </c>
      <c r="G969" s="11" t="s">
        <v>27</v>
      </c>
      <c r="H969" s="11" t="s">
        <v>613</v>
      </c>
      <c r="I969" s="31">
        <v>12.0</v>
      </c>
      <c r="J969" s="13"/>
      <c r="K969" s="13">
        <f t="shared" si="51"/>
        <v>12</v>
      </c>
      <c r="L969" s="11" t="s">
        <v>34</v>
      </c>
      <c r="M969" s="14"/>
      <c r="N969" s="11" t="s">
        <v>266</v>
      </c>
      <c r="O969" s="10" t="str">
        <f t="shared" si="48"/>
        <v>03/2025</v>
      </c>
      <c r="P969" s="10" t="str">
        <f t="shared" si="29"/>
        <v>03/2025</v>
      </c>
      <c r="Q969" s="15" t="str">
        <f t="array" ref="Q969">IFERROR(XLOOKUP(N969,'Classificação'!A:A,'Classificação'!B:B),"")</f>
        <v>DESPESAS COM VIAGENS</v>
      </c>
      <c r="R969" s="15" t="str">
        <f t="array" ref="R969">IFERROR(XLOOKUP(Q969,'Classificação'!B:B,'Classificação'!C:C),"")</f>
        <v>DESPESAS FIXAS (-)</v>
      </c>
      <c r="S969" s="15">
        <f t="shared" si="5"/>
        <v>20</v>
      </c>
      <c r="T969" s="15">
        <f t="shared" si="6"/>
        <v>3</v>
      </c>
      <c r="U969" s="15">
        <f t="shared" si="7"/>
        <v>2025</v>
      </c>
      <c r="V969" s="15">
        <f t="shared" si="8"/>
        <v>20</v>
      </c>
      <c r="W969" s="15">
        <f t="shared" si="9"/>
        <v>3</v>
      </c>
      <c r="X969" s="15">
        <f t="shared" si="10"/>
        <v>2025</v>
      </c>
    </row>
    <row r="970">
      <c r="A970" s="9">
        <v>45736.0</v>
      </c>
      <c r="B970" s="9">
        <v>45698.0</v>
      </c>
      <c r="C970" s="9">
        <f t="shared" si="22"/>
        <v>45736</v>
      </c>
      <c r="D970" s="11" t="s">
        <v>329</v>
      </c>
      <c r="E970" s="11" t="s">
        <v>25</v>
      </c>
      <c r="F970" s="11" t="s">
        <v>107</v>
      </c>
      <c r="G970" s="11" t="s">
        <v>27</v>
      </c>
      <c r="H970" s="11" t="s">
        <v>614</v>
      </c>
      <c r="I970" s="31">
        <v>25.0</v>
      </c>
      <c r="J970" s="13"/>
      <c r="K970" s="13">
        <f t="shared" si="51"/>
        <v>25</v>
      </c>
      <c r="L970" s="11" t="s">
        <v>34</v>
      </c>
      <c r="M970" s="14"/>
      <c r="N970" s="11" t="s">
        <v>331</v>
      </c>
      <c r="O970" s="10" t="str">
        <f t="shared" si="48"/>
        <v>03/2025</v>
      </c>
      <c r="P970" s="10" t="str">
        <f t="shared" si="29"/>
        <v>03/2025</v>
      </c>
      <c r="Q970" s="15" t="str">
        <f t="array" ref="Q970">IFERROR(XLOOKUP(N970,'Classificação'!A:A,'Classificação'!B:B),"")</f>
        <v>DESPESAS COM VIAGENS</v>
      </c>
      <c r="R970" s="15" t="str">
        <f t="array" ref="R970">IFERROR(XLOOKUP(Q970,'Classificação'!B:B,'Classificação'!C:C),"")</f>
        <v>DESPESAS FIXAS (-)</v>
      </c>
      <c r="S970" s="15">
        <f t="shared" si="5"/>
        <v>20</v>
      </c>
      <c r="T970" s="15">
        <f t="shared" si="6"/>
        <v>3</v>
      </c>
      <c r="U970" s="15">
        <f t="shared" si="7"/>
        <v>2025</v>
      </c>
      <c r="V970" s="15">
        <f t="shared" si="8"/>
        <v>20</v>
      </c>
      <c r="W970" s="15">
        <f t="shared" si="9"/>
        <v>3</v>
      </c>
      <c r="X970" s="15">
        <f t="shared" si="10"/>
        <v>2025</v>
      </c>
    </row>
    <row r="971">
      <c r="A971" s="9">
        <v>45736.0</v>
      </c>
      <c r="B971" s="9">
        <v>45697.0</v>
      </c>
      <c r="C971" s="9">
        <f t="shared" si="22"/>
        <v>45736</v>
      </c>
      <c r="D971" s="11" t="s">
        <v>320</v>
      </c>
      <c r="E971" s="11" t="s">
        <v>25</v>
      </c>
      <c r="F971" s="11" t="s">
        <v>107</v>
      </c>
      <c r="G971" s="11" t="s">
        <v>27</v>
      </c>
      <c r="H971" s="11" t="s">
        <v>615</v>
      </c>
      <c r="I971" s="31">
        <v>147.08</v>
      </c>
      <c r="J971" s="13"/>
      <c r="K971" s="13">
        <f t="shared" si="51"/>
        <v>147.08</v>
      </c>
      <c r="L971" s="11" t="s">
        <v>34</v>
      </c>
      <c r="M971" s="14"/>
      <c r="N971" s="11" t="s">
        <v>272</v>
      </c>
      <c r="O971" s="10" t="str">
        <f t="shared" si="48"/>
        <v>03/2025</v>
      </c>
      <c r="P971" s="10" t="str">
        <f t="shared" si="29"/>
        <v>03/2025</v>
      </c>
      <c r="Q971" s="15" t="str">
        <f t="array" ref="Q971">IFERROR(XLOOKUP(N971,'Classificação'!A:A,'Classificação'!B:B),"")</f>
        <v>DESPESAS COM VIAGENS</v>
      </c>
      <c r="R971" s="15" t="str">
        <f t="array" ref="R971">IFERROR(XLOOKUP(Q971,'Classificação'!B:B,'Classificação'!C:C),"")</f>
        <v>DESPESAS FIXAS (-)</v>
      </c>
      <c r="S971" s="15">
        <f t="shared" si="5"/>
        <v>20</v>
      </c>
      <c r="T971" s="15">
        <f t="shared" si="6"/>
        <v>3</v>
      </c>
      <c r="U971" s="15">
        <f t="shared" si="7"/>
        <v>2025</v>
      </c>
      <c r="V971" s="15">
        <f t="shared" si="8"/>
        <v>20</v>
      </c>
      <c r="W971" s="15">
        <f t="shared" si="9"/>
        <v>3</v>
      </c>
      <c r="X971" s="15">
        <f t="shared" si="10"/>
        <v>2025</v>
      </c>
    </row>
    <row r="972">
      <c r="A972" s="9">
        <v>45736.0</v>
      </c>
      <c r="B972" s="9">
        <v>45696.0</v>
      </c>
      <c r="C972" s="9">
        <f t="shared" si="22"/>
        <v>45736</v>
      </c>
      <c r="D972" s="11" t="s">
        <v>179</v>
      </c>
      <c r="E972" s="11" t="s">
        <v>25</v>
      </c>
      <c r="F972" s="11" t="s">
        <v>107</v>
      </c>
      <c r="G972" s="11" t="s">
        <v>27</v>
      </c>
      <c r="H972" s="11" t="s">
        <v>312</v>
      </c>
      <c r="I972" s="31">
        <v>165.0</v>
      </c>
      <c r="J972" s="13"/>
      <c r="K972" s="13">
        <f t="shared" si="51"/>
        <v>165</v>
      </c>
      <c r="L972" s="11" t="s">
        <v>34</v>
      </c>
      <c r="M972" s="14"/>
      <c r="N972" s="11" t="s">
        <v>181</v>
      </c>
      <c r="O972" s="10" t="str">
        <f t="shared" si="48"/>
        <v>03/2025</v>
      </c>
      <c r="P972" s="10" t="str">
        <f t="shared" si="29"/>
        <v>03/2025</v>
      </c>
      <c r="Q972" s="15" t="str">
        <f t="array" ref="Q972">IFERROR(XLOOKUP(N972,'Classificação'!A:A,'Classificação'!B:B),"")</f>
        <v>DESPESAS COM VEICULOS</v>
      </c>
      <c r="R972" s="15" t="str">
        <f t="array" ref="R972">IFERROR(XLOOKUP(Q972,'Classificação'!B:B,'Classificação'!C:C),"")</f>
        <v>DESPESAS FIXAS (-)</v>
      </c>
      <c r="S972" s="15">
        <f t="shared" si="5"/>
        <v>20</v>
      </c>
      <c r="T972" s="15">
        <f t="shared" si="6"/>
        <v>3</v>
      </c>
      <c r="U972" s="15">
        <f t="shared" si="7"/>
        <v>2025</v>
      </c>
      <c r="V972" s="15">
        <f t="shared" si="8"/>
        <v>20</v>
      </c>
      <c r="W972" s="15">
        <f t="shared" si="9"/>
        <v>3</v>
      </c>
      <c r="X972" s="15">
        <f t="shared" si="10"/>
        <v>2025</v>
      </c>
    </row>
    <row r="973">
      <c r="A973" s="9">
        <v>45736.0</v>
      </c>
      <c r="B973" s="9">
        <v>45698.0</v>
      </c>
      <c r="C973" s="9">
        <f t="shared" si="22"/>
        <v>45736</v>
      </c>
      <c r="D973" s="11" t="s">
        <v>320</v>
      </c>
      <c r="E973" s="11" t="s">
        <v>25</v>
      </c>
      <c r="F973" s="11" t="s">
        <v>107</v>
      </c>
      <c r="G973" s="11" t="s">
        <v>27</v>
      </c>
      <c r="H973" s="11" t="s">
        <v>615</v>
      </c>
      <c r="I973" s="31">
        <v>177.6</v>
      </c>
      <c r="J973" s="13"/>
      <c r="K973" s="13">
        <f t="shared" si="51"/>
        <v>177.6</v>
      </c>
      <c r="L973" s="11" t="s">
        <v>34</v>
      </c>
      <c r="M973" s="14"/>
      <c r="N973" s="11" t="s">
        <v>272</v>
      </c>
      <c r="O973" s="10" t="str">
        <f t="shared" si="48"/>
        <v>03/2025</v>
      </c>
      <c r="P973" s="10" t="str">
        <f t="shared" si="29"/>
        <v>03/2025</v>
      </c>
      <c r="Q973" s="15" t="str">
        <f t="array" ref="Q973">IFERROR(XLOOKUP(N973,'Classificação'!A:A,'Classificação'!B:B),"")</f>
        <v>DESPESAS COM VIAGENS</v>
      </c>
      <c r="R973" s="15" t="str">
        <f t="array" ref="R973">IFERROR(XLOOKUP(Q973,'Classificação'!B:B,'Classificação'!C:C),"")</f>
        <v>DESPESAS FIXAS (-)</v>
      </c>
      <c r="S973" s="15">
        <f t="shared" si="5"/>
        <v>20</v>
      </c>
      <c r="T973" s="15">
        <f t="shared" si="6"/>
        <v>3</v>
      </c>
      <c r="U973" s="15">
        <f t="shared" si="7"/>
        <v>2025</v>
      </c>
      <c r="V973" s="15">
        <f t="shared" si="8"/>
        <v>20</v>
      </c>
      <c r="W973" s="15">
        <f t="shared" si="9"/>
        <v>3</v>
      </c>
      <c r="X973" s="15">
        <f t="shared" si="10"/>
        <v>2025</v>
      </c>
    </row>
    <row r="974">
      <c r="A974" s="9">
        <v>45736.0</v>
      </c>
      <c r="B974" s="9">
        <v>45698.0</v>
      </c>
      <c r="C974" s="9">
        <f t="shared" si="22"/>
        <v>45736</v>
      </c>
      <c r="D974" s="11" t="s">
        <v>264</v>
      </c>
      <c r="E974" s="11" t="s">
        <v>25</v>
      </c>
      <c r="F974" s="11" t="s">
        <v>107</v>
      </c>
      <c r="G974" s="11" t="s">
        <v>27</v>
      </c>
      <c r="H974" s="11" t="s">
        <v>616</v>
      </c>
      <c r="I974" s="31">
        <v>40.0</v>
      </c>
      <c r="J974" s="13"/>
      <c r="K974" s="13">
        <f t="shared" si="51"/>
        <v>40</v>
      </c>
      <c r="L974" s="11" t="s">
        <v>34</v>
      </c>
      <c r="M974" s="14"/>
      <c r="N974" s="11" t="s">
        <v>266</v>
      </c>
      <c r="O974" s="10" t="str">
        <f t="shared" si="48"/>
        <v>03/2025</v>
      </c>
      <c r="P974" s="10" t="str">
        <f t="shared" si="29"/>
        <v>03/2025</v>
      </c>
      <c r="Q974" s="15" t="str">
        <f t="array" ref="Q974">IFERROR(XLOOKUP(N974,'Classificação'!A:A,'Classificação'!B:B),"")</f>
        <v>DESPESAS COM VIAGENS</v>
      </c>
      <c r="R974" s="15" t="str">
        <f t="array" ref="R974">IFERROR(XLOOKUP(Q974,'Classificação'!B:B,'Classificação'!C:C),"")</f>
        <v>DESPESAS FIXAS (-)</v>
      </c>
      <c r="S974" s="15">
        <f t="shared" si="5"/>
        <v>20</v>
      </c>
      <c r="T974" s="15">
        <f t="shared" si="6"/>
        <v>3</v>
      </c>
      <c r="U974" s="15">
        <f t="shared" si="7"/>
        <v>2025</v>
      </c>
      <c r="V974" s="15">
        <f t="shared" si="8"/>
        <v>20</v>
      </c>
      <c r="W974" s="15">
        <f t="shared" si="9"/>
        <v>3</v>
      </c>
      <c r="X974" s="15">
        <f t="shared" si="10"/>
        <v>2025</v>
      </c>
    </row>
    <row r="975">
      <c r="A975" s="9">
        <v>45736.0</v>
      </c>
      <c r="B975" s="9">
        <v>45696.0</v>
      </c>
      <c r="C975" s="9">
        <f t="shared" si="22"/>
        <v>45736</v>
      </c>
      <c r="D975" s="11" t="s">
        <v>320</v>
      </c>
      <c r="E975" s="11" t="s">
        <v>25</v>
      </c>
      <c r="F975" s="11" t="s">
        <v>107</v>
      </c>
      <c r="G975" s="11" t="s">
        <v>27</v>
      </c>
      <c r="H975" s="11" t="s">
        <v>617</v>
      </c>
      <c r="I975" s="31">
        <v>357.38</v>
      </c>
      <c r="J975" s="13"/>
      <c r="K975" s="13">
        <f t="shared" si="51"/>
        <v>357.38</v>
      </c>
      <c r="L975" s="11" t="s">
        <v>34</v>
      </c>
      <c r="M975" s="14"/>
      <c r="N975" s="11" t="s">
        <v>272</v>
      </c>
      <c r="O975" s="10" t="str">
        <f t="shared" si="48"/>
        <v>03/2025</v>
      </c>
      <c r="P975" s="10" t="str">
        <f t="shared" si="29"/>
        <v>03/2025</v>
      </c>
      <c r="Q975" s="15" t="str">
        <f t="array" ref="Q975">IFERROR(XLOOKUP(N975,'Classificação'!A:A,'Classificação'!B:B),"")</f>
        <v>DESPESAS COM VIAGENS</v>
      </c>
      <c r="R975" s="15" t="str">
        <f t="array" ref="R975">IFERROR(XLOOKUP(Q975,'Classificação'!B:B,'Classificação'!C:C),"")</f>
        <v>DESPESAS FIXAS (-)</v>
      </c>
      <c r="S975" s="15">
        <f t="shared" si="5"/>
        <v>20</v>
      </c>
      <c r="T975" s="15">
        <f t="shared" si="6"/>
        <v>3</v>
      </c>
      <c r="U975" s="15">
        <f t="shared" si="7"/>
        <v>2025</v>
      </c>
      <c r="V975" s="15">
        <f t="shared" si="8"/>
        <v>20</v>
      </c>
      <c r="W975" s="15">
        <f t="shared" si="9"/>
        <v>3</v>
      </c>
      <c r="X975" s="15">
        <f t="shared" si="10"/>
        <v>2025</v>
      </c>
    </row>
    <row r="976">
      <c r="A976" s="9">
        <v>45736.0</v>
      </c>
      <c r="B976" s="9">
        <v>45696.0</v>
      </c>
      <c r="C976" s="9">
        <f t="shared" si="22"/>
        <v>45736</v>
      </c>
      <c r="D976" s="11" t="s">
        <v>329</v>
      </c>
      <c r="E976" s="11" t="s">
        <v>25</v>
      </c>
      <c r="F976" s="11" t="s">
        <v>107</v>
      </c>
      <c r="G976" s="11" t="s">
        <v>27</v>
      </c>
      <c r="H976" s="11" t="s">
        <v>618</v>
      </c>
      <c r="I976" s="31">
        <v>246.4</v>
      </c>
      <c r="J976" s="13"/>
      <c r="K976" s="13">
        <f t="shared" si="51"/>
        <v>246.4</v>
      </c>
      <c r="L976" s="11" t="s">
        <v>53</v>
      </c>
      <c r="M976" s="17">
        <v>45717.0</v>
      </c>
      <c r="N976" s="11" t="s">
        <v>331</v>
      </c>
      <c r="O976" s="10" t="str">
        <f t="shared" si="48"/>
        <v>03/2025</v>
      </c>
      <c r="P976" s="10" t="str">
        <f t="shared" si="29"/>
        <v>03/2025</v>
      </c>
      <c r="Q976" s="15" t="str">
        <f t="array" ref="Q976">IFERROR(XLOOKUP(N976,'Classificação'!A:A,'Classificação'!B:B),"")</f>
        <v>DESPESAS COM VIAGENS</v>
      </c>
      <c r="R976" s="15" t="str">
        <f t="array" ref="R976">IFERROR(XLOOKUP(Q976,'Classificação'!B:B,'Classificação'!C:C),"")</f>
        <v>DESPESAS FIXAS (-)</v>
      </c>
      <c r="S976" s="15">
        <f t="shared" si="5"/>
        <v>20</v>
      </c>
      <c r="T976" s="15">
        <f t="shared" si="6"/>
        <v>3</v>
      </c>
      <c r="U976" s="15">
        <f t="shared" si="7"/>
        <v>2025</v>
      </c>
      <c r="V976" s="15">
        <f t="shared" si="8"/>
        <v>20</v>
      </c>
      <c r="W976" s="15">
        <f t="shared" si="9"/>
        <v>3</v>
      </c>
      <c r="X976" s="15">
        <f t="shared" si="10"/>
        <v>2025</v>
      </c>
    </row>
    <row r="977">
      <c r="A977" s="9">
        <v>45736.0</v>
      </c>
      <c r="B977" s="9">
        <v>45695.0</v>
      </c>
      <c r="C977" s="9">
        <f t="shared" si="22"/>
        <v>45736</v>
      </c>
      <c r="D977" s="11" t="s">
        <v>65</v>
      </c>
      <c r="E977" s="11" t="s">
        <v>25</v>
      </c>
      <c r="F977" s="11" t="s">
        <v>107</v>
      </c>
      <c r="G977" s="11" t="s">
        <v>27</v>
      </c>
      <c r="H977" s="11" t="s">
        <v>619</v>
      </c>
      <c r="I977" s="31">
        <v>130.32</v>
      </c>
      <c r="J977" s="13"/>
      <c r="K977" s="13">
        <f t="shared" si="51"/>
        <v>130.32</v>
      </c>
      <c r="L977" s="11" t="s">
        <v>34</v>
      </c>
      <c r="M977" s="14"/>
      <c r="N977" s="11" t="s">
        <v>143</v>
      </c>
      <c r="O977" s="10" t="str">
        <f t="shared" si="48"/>
        <v>03/2025</v>
      </c>
      <c r="P977" s="10" t="str">
        <f t="shared" si="29"/>
        <v>03/2025</v>
      </c>
      <c r="Q977" s="15" t="str">
        <f t="array" ref="Q977">IFERROR(XLOOKUP(N977,'Classificação'!A:A,'Classificação'!B:B),"")</f>
        <v>EMBALAGENS/FITAS/GERAL</v>
      </c>
      <c r="R977" s="15" t="str">
        <f t="array" ref="R977">IFERROR(XLOOKUP(Q977,'Classificação'!B:B,'Classificação'!C:C),"")</f>
        <v>CUSTOS VARIÁVEIS</v>
      </c>
      <c r="S977" s="15">
        <f t="shared" si="5"/>
        <v>20</v>
      </c>
      <c r="T977" s="15">
        <f t="shared" si="6"/>
        <v>3</v>
      </c>
      <c r="U977" s="15">
        <f t="shared" si="7"/>
        <v>2025</v>
      </c>
      <c r="V977" s="15">
        <f t="shared" si="8"/>
        <v>20</v>
      </c>
      <c r="W977" s="15">
        <f t="shared" si="9"/>
        <v>3</v>
      </c>
      <c r="X977" s="15">
        <f t="shared" si="10"/>
        <v>2025</v>
      </c>
    </row>
    <row r="978">
      <c r="A978" s="9">
        <v>45736.0</v>
      </c>
      <c r="B978" s="9">
        <v>45695.0</v>
      </c>
      <c r="C978" s="9">
        <f t="shared" si="22"/>
        <v>45736</v>
      </c>
      <c r="D978" s="11" t="s">
        <v>65</v>
      </c>
      <c r="E978" s="11" t="s">
        <v>25</v>
      </c>
      <c r="F978" s="11" t="s">
        <v>107</v>
      </c>
      <c r="G978" s="11" t="s">
        <v>27</v>
      </c>
      <c r="H978" s="11" t="s">
        <v>619</v>
      </c>
      <c r="I978" s="31">
        <v>936.55</v>
      </c>
      <c r="J978" s="13"/>
      <c r="K978" s="13">
        <f t="shared" si="51"/>
        <v>936.55</v>
      </c>
      <c r="L978" s="11" t="s">
        <v>53</v>
      </c>
      <c r="M978" s="17">
        <v>45689.0</v>
      </c>
      <c r="N978" s="11" t="s">
        <v>143</v>
      </c>
      <c r="O978" s="10" t="str">
        <f t="shared" si="48"/>
        <v>03/2025</v>
      </c>
      <c r="P978" s="10" t="str">
        <f t="shared" si="29"/>
        <v>03/2025</v>
      </c>
      <c r="Q978" s="15" t="str">
        <f t="array" ref="Q978">IFERROR(XLOOKUP(N978,'Classificação'!A:A,'Classificação'!B:B),"")</f>
        <v>EMBALAGENS/FITAS/GERAL</v>
      </c>
      <c r="R978" s="15" t="str">
        <f t="array" ref="R978">IFERROR(XLOOKUP(Q978,'Classificação'!B:B,'Classificação'!C:C),"")</f>
        <v>CUSTOS VARIÁVEIS</v>
      </c>
      <c r="S978" s="15">
        <f t="shared" si="5"/>
        <v>20</v>
      </c>
      <c r="T978" s="15">
        <f t="shared" si="6"/>
        <v>3</v>
      </c>
      <c r="U978" s="15">
        <f t="shared" si="7"/>
        <v>2025</v>
      </c>
      <c r="V978" s="15">
        <f t="shared" si="8"/>
        <v>20</v>
      </c>
      <c r="W978" s="15">
        <f t="shared" si="9"/>
        <v>3</v>
      </c>
      <c r="X978" s="15">
        <f t="shared" si="10"/>
        <v>2025</v>
      </c>
    </row>
    <row r="979">
      <c r="A979" s="9">
        <v>45736.0</v>
      </c>
      <c r="B979" s="9">
        <v>45699.0</v>
      </c>
      <c r="C979" s="9">
        <f t="shared" si="22"/>
        <v>45736</v>
      </c>
      <c r="D979" s="11" t="s">
        <v>114</v>
      </c>
      <c r="E979" s="11" t="s">
        <v>25</v>
      </c>
      <c r="F979" s="11" t="s">
        <v>107</v>
      </c>
      <c r="G979" s="11" t="s">
        <v>27</v>
      </c>
      <c r="H979" s="11" t="s">
        <v>620</v>
      </c>
      <c r="I979" s="31">
        <v>214.27</v>
      </c>
      <c r="J979" s="13"/>
      <c r="K979" s="13">
        <f t="shared" si="51"/>
        <v>214.27</v>
      </c>
      <c r="L979" s="11" t="s">
        <v>34</v>
      </c>
      <c r="M979" s="14"/>
      <c r="N979" s="11" t="s">
        <v>136</v>
      </c>
      <c r="O979" s="10" t="str">
        <f t="shared" si="48"/>
        <v>03/2025</v>
      </c>
      <c r="P979" s="10" t="str">
        <f t="shared" si="29"/>
        <v>03/2025</v>
      </c>
      <c r="Q979" s="15" t="str">
        <f t="array" ref="Q979">IFERROR(XLOOKUP(N979,'Classificação'!A:A,'Classificação'!B:B),"")</f>
        <v>DESPESAS COM OCUPAÇÃO</v>
      </c>
      <c r="R979" s="15" t="str">
        <f t="array" ref="R979">IFERROR(XLOOKUP(Q979,'Classificação'!B:B,'Classificação'!C:C),"")</f>
        <v>DESPESAS FIXAS (-)</v>
      </c>
      <c r="S979" s="15">
        <f t="shared" si="5"/>
        <v>20</v>
      </c>
      <c r="T979" s="15">
        <f t="shared" si="6"/>
        <v>3</v>
      </c>
      <c r="U979" s="15">
        <f t="shared" si="7"/>
        <v>2025</v>
      </c>
      <c r="V979" s="15">
        <f t="shared" si="8"/>
        <v>20</v>
      </c>
      <c r="W979" s="15">
        <f t="shared" si="9"/>
        <v>3</v>
      </c>
      <c r="X979" s="15">
        <f t="shared" si="10"/>
        <v>2025</v>
      </c>
    </row>
    <row r="980">
      <c r="A980" s="9">
        <v>45736.0</v>
      </c>
      <c r="B980" s="9">
        <v>45699.0</v>
      </c>
      <c r="C980" s="9">
        <f t="shared" si="22"/>
        <v>45736</v>
      </c>
      <c r="D980" s="11" t="s">
        <v>114</v>
      </c>
      <c r="E980" s="11" t="s">
        <v>25</v>
      </c>
      <c r="F980" s="11" t="s">
        <v>107</v>
      </c>
      <c r="G980" s="11" t="s">
        <v>27</v>
      </c>
      <c r="H980" s="11" t="s">
        <v>621</v>
      </c>
      <c r="I980" s="31">
        <v>260.84</v>
      </c>
      <c r="J980" s="13"/>
      <c r="K980" s="13">
        <f t="shared" si="51"/>
        <v>260.84</v>
      </c>
      <c r="L980" s="11" t="s">
        <v>34</v>
      </c>
      <c r="M980" s="14"/>
      <c r="N980" s="11" t="s">
        <v>143</v>
      </c>
      <c r="O980" s="10" t="str">
        <f t="shared" si="48"/>
        <v>03/2025</v>
      </c>
      <c r="P980" s="10" t="str">
        <f t="shared" si="29"/>
        <v>03/2025</v>
      </c>
      <c r="Q980" s="15" t="str">
        <f t="array" ref="Q980">IFERROR(XLOOKUP(N980,'Classificação'!A:A,'Classificação'!B:B),"")</f>
        <v>EMBALAGENS/FITAS/GERAL</v>
      </c>
      <c r="R980" s="15" t="str">
        <f t="array" ref="R980">IFERROR(XLOOKUP(Q980,'Classificação'!B:B,'Classificação'!C:C),"")</f>
        <v>CUSTOS VARIÁVEIS</v>
      </c>
      <c r="S980" s="15">
        <f t="shared" si="5"/>
        <v>20</v>
      </c>
      <c r="T980" s="15">
        <f t="shared" si="6"/>
        <v>3</v>
      </c>
      <c r="U980" s="15">
        <f t="shared" si="7"/>
        <v>2025</v>
      </c>
      <c r="V980" s="15">
        <f t="shared" si="8"/>
        <v>20</v>
      </c>
      <c r="W980" s="15">
        <f t="shared" si="9"/>
        <v>3</v>
      </c>
      <c r="X980" s="15">
        <f t="shared" si="10"/>
        <v>2025</v>
      </c>
    </row>
    <row r="981">
      <c r="A981" s="9">
        <v>45736.0</v>
      </c>
      <c r="B981" s="9">
        <v>45699.0</v>
      </c>
      <c r="C981" s="9">
        <f t="shared" si="22"/>
        <v>45736</v>
      </c>
      <c r="D981" s="11" t="s">
        <v>65</v>
      </c>
      <c r="E981" s="11" t="s">
        <v>25</v>
      </c>
      <c r="F981" s="11" t="s">
        <v>107</v>
      </c>
      <c r="G981" s="11" t="s">
        <v>27</v>
      </c>
      <c r="H981" s="11" t="s">
        <v>318</v>
      </c>
      <c r="I981" s="31">
        <v>103.73</v>
      </c>
      <c r="J981" s="13"/>
      <c r="K981" s="13">
        <f t="shared" si="51"/>
        <v>103.73</v>
      </c>
      <c r="L981" s="11" t="s">
        <v>34</v>
      </c>
      <c r="M981" s="14"/>
      <c r="N981" s="11" t="s">
        <v>143</v>
      </c>
      <c r="O981" s="10" t="str">
        <f t="shared" si="48"/>
        <v>03/2025</v>
      </c>
      <c r="P981" s="10" t="str">
        <f t="shared" si="29"/>
        <v>03/2025</v>
      </c>
      <c r="Q981" s="15" t="str">
        <f t="array" ref="Q981">IFERROR(XLOOKUP(N981,'Classificação'!A:A,'Classificação'!B:B),"")</f>
        <v>EMBALAGENS/FITAS/GERAL</v>
      </c>
      <c r="R981" s="15" t="str">
        <f t="array" ref="R981">IFERROR(XLOOKUP(Q981,'Classificação'!B:B,'Classificação'!C:C),"")</f>
        <v>CUSTOS VARIÁVEIS</v>
      </c>
      <c r="S981" s="15">
        <f t="shared" si="5"/>
        <v>20</v>
      </c>
      <c r="T981" s="15">
        <f t="shared" si="6"/>
        <v>3</v>
      </c>
      <c r="U981" s="15">
        <f t="shared" si="7"/>
        <v>2025</v>
      </c>
      <c r="V981" s="15">
        <f t="shared" si="8"/>
        <v>20</v>
      </c>
      <c r="W981" s="15">
        <f t="shared" si="9"/>
        <v>3</v>
      </c>
      <c r="X981" s="15">
        <f t="shared" si="10"/>
        <v>2025</v>
      </c>
    </row>
    <row r="982">
      <c r="A982" s="9">
        <v>45736.0</v>
      </c>
      <c r="B982" s="9">
        <v>45706.0</v>
      </c>
      <c r="C982" s="9">
        <f t="shared" si="22"/>
        <v>45736</v>
      </c>
      <c r="D982" s="11" t="s">
        <v>137</v>
      </c>
      <c r="E982" s="11" t="s">
        <v>25</v>
      </c>
      <c r="F982" s="11" t="s">
        <v>107</v>
      </c>
      <c r="G982" s="11" t="s">
        <v>27</v>
      </c>
      <c r="H982" s="11" t="s">
        <v>622</v>
      </c>
      <c r="I982" s="31">
        <v>16.06</v>
      </c>
      <c r="J982" s="13"/>
      <c r="K982" s="13">
        <f t="shared" si="51"/>
        <v>16.06</v>
      </c>
      <c r="L982" s="11" t="s">
        <v>34</v>
      </c>
      <c r="M982" s="14"/>
      <c r="N982" s="11" t="s">
        <v>68</v>
      </c>
      <c r="O982" s="10" t="str">
        <f t="shared" si="48"/>
        <v>03/2025</v>
      </c>
      <c r="P982" s="10" t="str">
        <f t="shared" si="29"/>
        <v>03/2025</v>
      </c>
      <c r="Q982" s="15" t="str">
        <f t="array" ref="Q982">IFERROR(XLOOKUP(N982,'Classificação'!A:A,'Classificação'!B:B),"")</f>
        <v>FRETE DE VENDAS</v>
      </c>
      <c r="R982" s="15" t="str">
        <f t="array" ref="R982">IFERROR(XLOOKUP(Q982,'Classificação'!B:B,'Classificação'!C:C),"")</f>
        <v>CUSTOS VARIÁVEIS</v>
      </c>
      <c r="S982" s="15">
        <f t="shared" si="5"/>
        <v>20</v>
      </c>
      <c r="T982" s="15">
        <f t="shared" si="6"/>
        <v>3</v>
      </c>
      <c r="U982" s="15">
        <f t="shared" si="7"/>
        <v>2025</v>
      </c>
      <c r="V982" s="15">
        <f t="shared" si="8"/>
        <v>20</v>
      </c>
      <c r="W982" s="15">
        <f t="shared" si="9"/>
        <v>3</v>
      </c>
      <c r="X982" s="15">
        <f t="shared" si="10"/>
        <v>2025</v>
      </c>
    </row>
    <row r="983">
      <c r="A983" s="9">
        <v>45736.0</v>
      </c>
      <c r="B983" s="9">
        <v>45705.0</v>
      </c>
      <c r="C983" s="9">
        <f t="shared" si="22"/>
        <v>45736</v>
      </c>
      <c r="D983" s="11" t="s">
        <v>179</v>
      </c>
      <c r="E983" s="11" t="s">
        <v>25</v>
      </c>
      <c r="F983" s="11" t="s">
        <v>107</v>
      </c>
      <c r="G983" s="11" t="s">
        <v>27</v>
      </c>
      <c r="H983" s="11" t="s">
        <v>312</v>
      </c>
      <c r="I983" s="31">
        <v>100.0</v>
      </c>
      <c r="J983" s="13"/>
      <c r="K983" s="13">
        <f t="shared" si="51"/>
        <v>100</v>
      </c>
      <c r="L983" s="11" t="s">
        <v>34</v>
      </c>
      <c r="M983" s="14"/>
      <c r="N983" s="11" t="s">
        <v>181</v>
      </c>
      <c r="O983" s="10" t="str">
        <f t="shared" si="48"/>
        <v>03/2025</v>
      </c>
      <c r="P983" s="10" t="str">
        <f t="shared" si="29"/>
        <v>03/2025</v>
      </c>
      <c r="Q983" s="15" t="str">
        <f t="array" ref="Q983">IFERROR(XLOOKUP(N983,'Classificação'!A:A,'Classificação'!B:B),"")</f>
        <v>DESPESAS COM VEICULOS</v>
      </c>
      <c r="R983" s="15" t="str">
        <f t="array" ref="R983">IFERROR(XLOOKUP(Q983,'Classificação'!B:B,'Classificação'!C:C),"")</f>
        <v>DESPESAS FIXAS (-)</v>
      </c>
      <c r="S983" s="15">
        <f t="shared" si="5"/>
        <v>20</v>
      </c>
      <c r="T983" s="15">
        <f t="shared" si="6"/>
        <v>3</v>
      </c>
      <c r="U983" s="15">
        <f t="shared" si="7"/>
        <v>2025</v>
      </c>
      <c r="V983" s="15">
        <f t="shared" si="8"/>
        <v>20</v>
      </c>
      <c r="W983" s="15">
        <f t="shared" si="9"/>
        <v>3</v>
      </c>
      <c r="X983" s="15">
        <f t="shared" si="10"/>
        <v>2025</v>
      </c>
    </row>
    <row r="984">
      <c r="A984" s="9">
        <v>45736.0</v>
      </c>
      <c r="B984" s="9">
        <v>45707.0</v>
      </c>
      <c r="C984" s="9">
        <f t="shared" si="22"/>
        <v>45736</v>
      </c>
      <c r="D984" s="11" t="s">
        <v>179</v>
      </c>
      <c r="E984" s="11" t="s">
        <v>25</v>
      </c>
      <c r="F984" s="11" t="s">
        <v>107</v>
      </c>
      <c r="G984" s="11" t="s">
        <v>27</v>
      </c>
      <c r="H984" s="11" t="s">
        <v>312</v>
      </c>
      <c r="I984" s="31">
        <v>150.0</v>
      </c>
      <c r="J984" s="13"/>
      <c r="K984" s="13">
        <f t="shared" si="51"/>
        <v>150</v>
      </c>
      <c r="L984" s="11" t="s">
        <v>34</v>
      </c>
      <c r="M984" s="14"/>
      <c r="N984" s="11" t="s">
        <v>181</v>
      </c>
      <c r="O984" s="10" t="str">
        <f t="shared" si="48"/>
        <v>03/2025</v>
      </c>
      <c r="P984" s="10" t="str">
        <f t="shared" si="29"/>
        <v>03/2025</v>
      </c>
      <c r="Q984" s="15" t="str">
        <f t="array" ref="Q984">IFERROR(XLOOKUP(N984,'Classificação'!A:A,'Classificação'!B:B),"")</f>
        <v>DESPESAS COM VEICULOS</v>
      </c>
      <c r="R984" s="15" t="str">
        <f t="array" ref="R984">IFERROR(XLOOKUP(Q984,'Classificação'!B:B,'Classificação'!C:C),"")</f>
        <v>DESPESAS FIXAS (-)</v>
      </c>
      <c r="S984" s="15">
        <f t="shared" si="5"/>
        <v>20</v>
      </c>
      <c r="T984" s="15">
        <f t="shared" si="6"/>
        <v>3</v>
      </c>
      <c r="U984" s="15">
        <f t="shared" si="7"/>
        <v>2025</v>
      </c>
      <c r="V984" s="15">
        <f t="shared" si="8"/>
        <v>20</v>
      </c>
      <c r="W984" s="15">
        <f t="shared" si="9"/>
        <v>3</v>
      </c>
      <c r="X984" s="15">
        <f t="shared" si="10"/>
        <v>2025</v>
      </c>
    </row>
    <row r="985">
      <c r="A985" s="9">
        <v>45736.0</v>
      </c>
      <c r="B985" s="9">
        <v>45709.0</v>
      </c>
      <c r="C985" s="9">
        <f t="shared" si="22"/>
        <v>45736</v>
      </c>
      <c r="D985" s="11" t="s">
        <v>65</v>
      </c>
      <c r="E985" s="11" t="s">
        <v>25</v>
      </c>
      <c r="F985" s="11" t="s">
        <v>107</v>
      </c>
      <c r="G985" s="11" t="s">
        <v>27</v>
      </c>
      <c r="H985" s="11" t="s">
        <v>623</v>
      </c>
      <c r="I985" s="31">
        <v>29.32</v>
      </c>
      <c r="J985" s="13"/>
      <c r="K985" s="13">
        <f t="shared" si="51"/>
        <v>29.32</v>
      </c>
      <c r="L985" s="11" t="s">
        <v>53</v>
      </c>
      <c r="M985" s="17">
        <v>45717.0</v>
      </c>
      <c r="N985" s="11" t="s">
        <v>143</v>
      </c>
      <c r="O985" s="10" t="str">
        <f t="shared" si="48"/>
        <v>03/2025</v>
      </c>
      <c r="P985" s="10" t="str">
        <f t="shared" si="29"/>
        <v>03/2025</v>
      </c>
      <c r="Q985" s="15" t="str">
        <f t="array" ref="Q985">IFERROR(XLOOKUP(N985,'Classificação'!A:A,'Classificação'!B:B),"")</f>
        <v>EMBALAGENS/FITAS/GERAL</v>
      </c>
      <c r="R985" s="15" t="str">
        <f t="array" ref="R985">IFERROR(XLOOKUP(Q985,'Classificação'!B:B,'Classificação'!C:C),"")</f>
        <v>CUSTOS VARIÁVEIS</v>
      </c>
      <c r="S985" s="15">
        <f t="shared" si="5"/>
        <v>20</v>
      </c>
      <c r="T985" s="15">
        <f t="shared" si="6"/>
        <v>3</v>
      </c>
      <c r="U985" s="15">
        <f t="shared" si="7"/>
        <v>2025</v>
      </c>
      <c r="V985" s="15">
        <f t="shared" si="8"/>
        <v>20</v>
      </c>
      <c r="W985" s="15">
        <f t="shared" si="9"/>
        <v>3</v>
      </c>
      <c r="X985" s="15">
        <f t="shared" si="10"/>
        <v>2025</v>
      </c>
    </row>
    <row r="986">
      <c r="A986" s="9">
        <v>45736.0</v>
      </c>
      <c r="B986" s="9">
        <v>45709.0</v>
      </c>
      <c r="C986" s="9">
        <f t="shared" si="22"/>
        <v>45736</v>
      </c>
      <c r="D986" s="11" t="s">
        <v>65</v>
      </c>
      <c r="E986" s="11" t="s">
        <v>25</v>
      </c>
      <c r="F986" s="11" t="s">
        <v>107</v>
      </c>
      <c r="G986" s="11" t="s">
        <v>27</v>
      </c>
      <c r="H986" s="11" t="s">
        <v>624</v>
      </c>
      <c r="I986" s="31">
        <v>12.56</v>
      </c>
      <c r="J986" s="13"/>
      <c r="K986" s="13">
        <f t="shared" si="51"/>
        <v>12.56</v>
      </c>
      <c r="L986" s="11" t="s">
        <v>34</v>
      </c>
      <c r="M986" s="14"/>
      <c r="N986" s="11" t="s">
        <v>136</v>
      </c>
      <c r="O986" s="10" t="str">
        <f t="shared" si="48"/>
        <v>03/2025</v>
      </c>
      <c r="P986" s="10" t="str">
        <f t="shared" si="29"/>
        <v>03/2025</v>
      </c>
      <c r="Q986" s="15" t="str">
        <f t="array" ref="Q986">IFERROR(XLOOKUP(N986,'Classificação'!A:A,'Classificação'!B:B),"")</f>
        <v>DESPESAS COM OCUPAÇÃO</v>
      </c>
      <c r="R986" s="15" t="str">
        <f t="array" ref="R986">IFERROR(XLOOKUP(Q986,'Classificação'!B:B,'Classificação'!C:C),"")</f>
        <v>DESPESAS FIXAS (-)</v>
      </c>
      <c r="S986" s="15">
        <f t="shared" si="5"/>
        <v>20</v>
      </c>
      <c r="T986" s="15">
        <f t="shared" si="6"/>
        <v>3</v>
      </c>
      <c r="U986" s="15">
        <f t="shared" si="7"/>
        <v>2025</v>
      </c>
      <c r="V986" s="15">
        <f t="shared" si="8"/>
        <v>20</v>
      </c>
      <c r="W986" s="15">
        <f t="shared" si="9"/>
        <v>3</v>
      </c>
      <c r="X986" s="15">
        <f t="shared" si="10"/>
        <v>2025</v>
      </c>
    </row>
    <row r="987">
      <c r="A987" s="9">
        <v>45736.0</v>
      </c>
      <c r="B987" s="9">
        <v>45710.0</v>
      </c>
      <c r="C987" s="9">
        <f t="shared" si="22"/>
        <v>45736</v>
      </c>
      <c r="D987" s="11" t="s">
        <v>408</v>
      </c>
      <c r="E987" s="11" t="s">
        <v>25</v>
      </c>
      <c r="F987" s="11" t="s">
        <v>107</v>
      </c>
      <c r="G987" s="11" t="s">
        <v>27</v>
      </c>
      <c r="H987" s="11" t="s">
        <v>625</v>
      </c>
      <c r="I987" s="31">
        <v>74.54</v>
      </c>
      <c r="J987" s="13"/>
      <c r="K987" s="13">
        <f t="shared" si="51"/>
        <v>74.54</v>
      </c>
      <c r="L987" s="11" t="s">
        <v>34</v>
      </c>
      <c r="M987" s="14"/>
      <c r="N987" s="11" t="s">
        <v>394</v>
      </c>
      <c r="O987" s="10" t="str">
        <f t="shared" si="48"/>
        <v>03/2025</v>
      </c>
      <c r="P987" s="10" t="str">
        <f t="shared" si="29"/>
        <v>03/2025</v>
      </c>
      <c r="Q987" s="15" t="str">
        <f t="array" ref="Q987">IFERROR(XLOOKUP(N987,'Classificação'!A:A,'Classificação'!B:B),"")</f>
        <v>DESPESAS NÃO OPERACIONAIS</v>
      </c>
      <c r="R987" s="15" t="str">
        <f t="array" ref="R987">IFERROR(XLOOKUP(Q987,'Classificação'!B:B,'Classificação'!C:C),"")</f>
        <v>RESULTADO NÃO OPERACIONAL (+/-)</v>
      </c>
      <c r="S987" s="15">
        <f t="shared" si="5"/>
        <v>20</v>
      </c>
      <c r="T987" s="15">
        <f t="shared" si="6"/>
        <v>3</v>
      </c>
      <c r="U987" s="15">
        <f t="shared" si="7"/>
        <v>2025</v>
      </c>
      <c r="V987" s="15">
        <f t="shared" si="8"/>
        <v>20</v>
      </c>
      <c r="W987" s="15">
        <f t="shared" si="9"/>
        <v>3</v>
      </c>
      <c r="X987" s="15">
        <f t="shared" si="10"/>
        <v>2025</v>
      </c>
    </row>
    <row r="988">
      <c r="A988" s="27">
        <v>45736.0</v>
      </c>
      <c r="B988" s="30"/>
      <c r="C988" s="9">
        <f t="shared" si="22"/>
        <v>45736</v>
      </c>
      <c r="D988" s="28" t="s">
        <v>322</v>
      </c>
      <c r="E988" s="11" t="s">
        <v>25</v>
      </c>
      <c r="F988" s="28" t="s">
        <v>110</v>
      </c>
      <c r="G988" s="28" t="s">
        <v>27</v>
      </c>
      <c r="H988" s="29" t="s">
        <v>626</v>
      </c>
      <c r="I988" s="24">
        <v>64.9</v>
      </c>
      <c r="J988" s="34"/>
      <c r="K988" s="13">
        <f t="shared" si="51"/>
        <v>64.9</v>
      </c>
      <c r="L988" s="29" t="s">
        <v>34</v>
      </c>
      <c r="M988" s="40"/>
      <c r="N988" s="28" t="s">
        <v>105</v>
      </c>
      <c r="O988" s="10" t="str">
        <f t="shared" si="48"/>
        <v>03/2025</v>
      </c>
      <c r="P988" s="10" t="str">
        <f t="shared" si="29"/>
        <v>03/2025</v>
      </c>
      <c r="Q988" s="15" t="str">
        <f t="array" ref="Q988">IFERROR(XLOOKUP(N988,'Classificação'!A:A,'Classificação'!B:B),"")</f>
        <v>DESPESAS ADMINISTRATIVAS</v>
      </c>
      <c r="R988" s="15" t="str">
        <f t="array" ref="R988">IFERROR(XLOOKUP(Q988,'Classificação'!B:B,'Classificação'!C:C),"")</f>
        <v>DESPESAS FIXAS (-)</v>
      </c>
      <c r="S988" s="15">
        <f t="shared" si="5"/>
        <v>20</v>
      </c>
      <c r="T988" s="15">
        <f t="shared" si="6"/>
        <v>3</v>
      </c>
      <c r="U988" s="15">
        <f t="shared" si="7"/>
        <v>2025</v>
      </c>
      <c r="V988" s="15">
        <f t="shared" si="8"/>
        <v>20</v>
      </c>
      <c r="W988" s="15">
        <f t="shared" si="9"/>
        <v>3</v>
      </c>
      <c r="X988" s="15">
        <f t="shared" si="10"/>
        <v>2025</v>
      </c>
    </row>
    <row r="989">
      <c r="A989" s="27">
        <v>45736.0</v>
      </c>
      <c r="B989" s="9">
        <v>45697.0</v>
      </c>
      <c r="C989" s="9">
        <f t="shared" si="22"/>
        <v>45736</v>
      </c>
      <c r="D989" s="11" t="s">
        <v>558</v>
      </c>
      <c r="E989" s="11" t="s">
        <v>25</v>
      </c>
      <c r="F989" s="11" t="s">
        <v>107</v>
      </c>
      <c r="G989" s="11" t="s">
        <v>27</v>
      </c>
      <c r="H989" s="11" t="s">
        <v>627</v>
      </c>
      <c r="I989" s="31">
        <v>293.31</v>
      </c>
      <c r="J989" s="13"/>
      <c r="K989" s="13">
        <f t="shared" si="51"/>
        <v>293.31</v>
      </c>
      <c r="L989" s="11" t="s">
        <v>34</v>
      </c>
      <c r="M989" s="16"/>
      <c r="N989" s="11" t="s">
        <v>105</v>
      </c>
      <c r="O989" s="10" t="str">
        <f t="shared" si="48"/>
        <v>03/2025</v>
      </c>
      <c r="P989" s="10" t="str">
        <f t="shared" si="29"/>
        <v>03/2025</v>
      </c>
      <c r="Q989" s="15" t="str">
        <f t="array" ref="Q989">IFERROR(XLOOKUP(N989,'Classificação'!A:A,'Classificação'!B:B),"")</f>
        <v>DESPESAS ADMINISTRATIVAS</v>
      </c>
      <c r="R989" s="15" t="str">
        <f t="array" ref="R989">IFERROR(XLOOKUP(Q989,'Classificação'!B:B,'Classificação'!C:C),"")</f>
        <v>DESPESAS FIXAS (-)</v>
      </c>
      <c r="S989" s="15">
        <f t="shared" si="5"/>
        <v>20</v>
      </c>
      <c r="T989" s="15">
        <f t="shared" si="6"/>
        <v>3</v>
      </c>
      <c r="U989" s="15">
        <f t="shared" si="7"/>
        <v>2025</v>
      </c>
      <c r="V989" s="15">
        <f t="shared" si="8"/>
        <v>20</v>
      </c>
      <c r="W989" s="15">
        <f t="shared" si="9"/>
        <v>3</v>
      </c>
      <c r="X989" s="15">
        <f t="shared" si="10"/>
        <v>2025</v>
      </c>
    </row>
    <row r="990">
      <c r="A990" s="27">
        <v>45736.0</v>
      </c>
      <c r="B990" s="9">
        <v>45698.0</v>
      </c>
      <c r="C990" s="9">
        <f t="shared" si="22"/>
        <v>45736</v>
      </c>
      <c r="D990" s="11" t="s">
        <v>182</v>
      </c>
      <c r="E990" s="11" t="s">
        <v>25</v>
      </c>
      <c r="F990" s="11" t="s">
        <v>107</v>
      </c>
      <c r="G990" s="11" t="s">
        <v>27</v>
      </c>
      <c r="H990" s="11" t="s">
        <v>628</v>
      </c>
      <c r="I990" s="31">
        <v>10.95</v>
      </c>
      <c r="J990" s="13"/>
      <c r="K990" s="13">
        <f t="shared" si="51"/>
        <v>10.95</v>
      </c>
      <c r="L990" s="11" t="s">
        <v>34</v>
      </c>
      <c r="M990" s="14"/>
      <c r="N990" s="11" t="s">
        <v>184</v>
      </c>
      <c r="O990" s="10" t="str">
        <f t="shared" si="48"/>
        <v>03/2025</v>
      </c>
      <c r="P990" s="10" t="str">
        <f t="shared" si="29"/>
        <v>03/2025</v>
      </c>
      <c r="Q990" s="15" t="str">
        <f t="array" ref="Q990">IFERROR(XLOOKUP(N990,'Classificação'!A:A,'Classificação'!B:B),"")</f>
        <v>DESPESAS ADMINISTRATIVAS</v>
      </c>
      <c r="R990" s="15" t="str">
        <f t="array" ref="R990">IFERROR(XLOOKUP(Q990,'Classificação'!B:B,'Classificação'!C:C),"")</f>
        <v>DESPESAS FIXAS (-)</v>
      </c>
      <c r="S990" s="15">
        <f t="shared" si="5"/>
        <v>20</v>
      </c>
      <c r="T990" s="15">
        <f t="shared" si="6"/>
        <v>3</v>
      </c>
      <c r="U990" s="15">
        <f t="shared" si="7"/>
        <v>2025</v>
      </c>
      <c r="V990" s="15">
        <f t="shared" si="8"/>
        <v>20</v>
      </c>
      <c r="W990" s="15">
        <f t="shared" si="9"/>
        <v>3</v>
      </c>
      <c r="X990" s="15">
        <f t="shared" si="10"/>
        <v>2025</v>
      </c>
    </row>
    <row r="991">
      <c r="A991" s="27">
        <v>45736.0</v>
      </c>
      <c r="B991" s="9">
        <v>45706.0</v>
      </c>
      <c r="C991" s="9">
        <f t="shared" si="22"/>
        <v>45736</v>
      </c>
      <c r="D991" s="11" t="s">
        <v>182</v>
      </c>
      <c r="E991" s="11" t="s">
        <v>25</v>
      </c>
      <c r="F991" s="11" t="s">
        <v>107</v>
      </c>
      <c r="G991" s="11" t="s">
        <v>27</v>
      </c>
      <c r="H991" s="11" t="s">
        <v>629</v>
      </c>
      <c r="I991" s="31">
        <v>12.92</v>
      </c>
      <c r="J991" s="13"/>
      <c r="K991" s="13">
        <f t="shared" si="51"/>
        <v>12.92</v>
      </c>
      <c r="L991" s="11" t="s">
        <v>34</v>
      </c>
      <c r="M991" s="14"/>
      <c r="N991" s="11" t="s">
        <v>184</v>
      </c>
      <c r="O991" s="10" t="str">
        <f t="shared" si="48"/>
        <v>03/2025</v>
      </c>
      <c r="P991" s="10" t="str">
        <f t="shared" si="29"/>
        <v>03/2025</v>
      </c>
      <c r="Q991" s="15" t="str">
        <f t="array" ref="Q991">IFERROR(XLOOKUP(N991,'Classificação'!A:A,'Classificação'!B:B),"")</f>
        <v>DESPESAS ADMINISTRATIVAS</v>
      </c>
      <c r="R991" s="15" t="str">
        <f t="array" ref="R991">IFERROR(XLOOKUP(Q991,'Classificação'!B:B,'Classificação'!C:C),"")</f>
        <v>DESPESAS FIXAS (-)</v>
      </c>
      <c r="S991" s="15">
        <f t="shared" si="5"/>
        <v>20</v>
      </c>
      <c r="T991" s="15">
        <f t="shared" si="6"/>
        <v>3</v>
      </c>
      <c r="U991" s="15">
        <f t="shared" si="7"/>
        <v>2025</v>
      </c>
      <c r="V991" s="15">
        <f t="shared" si="8"/>
        <v>20</v>
      </c>
      <c r="W991" s="15">
        <f t="shared" si="9"/>
        <v>3</v>
      </c>
      <c r="X991" s="15">
        <f t="shared" si="10"/>
        <v>2025</v>
      </c>
    </row>
    <row r="992">
      <c r="A992" s="27">
        <v>45736.0</v>
      </c>
      <c r="B992" s="9">
        <v>45707.0</v>
      </c>
      <c r="C992" s="9">
        <f t="shared" si="22"/>
        <v>45736</v>
      </c>
      <c r="D992" s="11" t="s">
        <v>182</v>
      </c>
      <c r="E992" s="11" t="s">
        <v>25</v>
      </c>
      <c r="F992" s="11" t="s">
        <v>107</v>
      </c>
      <c r="G992" s="11" t="s">
        <v>27</v>
      </c>
      <c r="H992" s="11" t="s">
        <v>629</v>
      </c>
      <c r="I992" s="31">
        <v>8.99</v>
      </c>
      <c r="J992" s="13"/>
      <c r="K992" s="13">
        <f t="shared" si="51"/>
        <v>8.99</v>
      </c>
      <c r="L992" s="11" t="s">
        <v>34</v>
      </c>
      <c r="M992" s="14"/>
      <c r="N992" s="11" t="s">
        <v>184</v>
      </c>
      <c r="O992" s="10" t="str">
        <f t="shared" si="48"/>
        <v>03/2025</v>
      </c>
      <c r="P992" s="10" t="str">
        <f t="shared" si="29"/>
        <v>03/2025</v>
      </c>
      <c r="Q992" s="15" t="str">
        <f t="array" ref="Q992">IFERROR(XLOOKUP(N992,'Classificação'!A:A,'Classificação'!B:B),"")</f>
        <v>DESPESAS ADMINISTRATIVAS</v>
      </c>
      <c r="R992" s="15" t="str">
        <f t="array" ref="R992">IFERROR(XLOOKUP(Q992,'Classificação'!B:B,'Classificação'!C:C),"")</f>
        <v>DESPESAS FIXAS (-)</v>
      </c>
      <c r="S992" s="15">
        <f t="shared" si="5"/>
        <v>20</v>
      </c>
      <c r="T992" s="15">
        <f t="shared" si="6"/>
        <v>3</v>
      </c>
      <c r="U992" s="15">
        <f t="shared" si="7"/>
        <v>2025</v>
      </c>
      <c r="V992" s="15">
        <f t="shared" si="8"/>
        <v>20</v>
      </c>
      <c r="W992" s="15">
        <f t="shared" si="9"/>
        <v>3</v>
      </c>
      <c r="X992" s="15">
        <f t="shared" si="10"/>
        <v>2025</v>
      </c>
    </row>
    <row r="993">
      <c r="A993" s="27">
        <v>45736.0</v>
      </c>
      <c r="B993" s="9">
        <v>45709.0</v>
      </c>
      <c r="C993" s="9">
        <f t="shared" si="22"/>
        <v>45736</v>
      </c>
      <c r="D993" s="11" t="s">
        <v>182</v>
      </c>
      <c r="E993" s="11" t="s">
        <v>25</v>
      </c>
      <c r="F993" s="11" t="s">
        <v>107</v>
      </c>
      <c r="G993" s="11" t="s">
        <v>27</v>
      </c>
      <c r="H993" s="11" t="s">
        <v>629</v>
      </c>
      <c r="I993" s="31">
        <v>18.97</v>
      </c>
      <c r="J993" s="13"/>
      <c r="K993" s="13">
        <f t="shared" si="51"/>
        <v>18.97</v>
      </c>
      <c r="L993" s="11" t="s">
        <v>34</v>
      </c>
      <c r="M993" s="14"/>
      <c r="N993" s="11" t="s">
        <v>184</v>
      </c>
      <c r="O993" s="10" t="str">
        <f t="shared" si="48"/>
        <v>03/2025</v>
      </c>
      <c r="P993" s="10" t="str">
        <f t="shared" si="29"/>
        <v>03/2025</v>
      </c>
      <c r="Q993" s="15" t="str">
        <f t="array" ref="Q993">IFERROR(XLOOKUP(N993,'Classificação'!A:A,'Classificação'!B:B),"")</f>
        <v>DESPESAS ADMINISTRATIVAS</v>
      </c>
      <c r="R993" s="15" t="str">
        <f t="array" ref="R993">IFERROR(XLOOKUP(Q993,'Classificação'!B:B,'Classificação'!C:C),"")</f>
        <v>DESPESAS FIXAS (-)</v>
      </c>
      <c r="S993" s="15">
        <f t="shared" si="5"/>
        <v>20</v>
      </c>
      <c r="T993" s="15">
        <f t="shared" si="6"/>
        <v>3</v>
      </c>
      <c r="U993" s="15">
        <f t="shared" si="7"/>
        <v>2025</v>
      </c>
      <c r="V993" s="15">
        <f t="shared" si="8"/>
        <v>20</v>
      </c>
      <c r="W993" s="15">
        <f t="shared" si="9"/>
        <v>3</v>
      </c>
      <c r="X993" s="15">
        <f t="shared" si="10"/>
        <v>2025</v>
      </c>
    </row>
    <row r="994">
      <c r="A994" s="27">
        <v>45736.0</v>
      </c>
      <c r="B994" s="9">
        <v>45713.0</v>
      </c>
      <c r="C994" s="9">
        <f t="shared" si="22"/>
        <v>45736</v>
      </c>
      <c r="D994" s="11" t="s">
        <v>182</v>
      </c>
      <c r="E994" s="11" t="s">
        <v>25</v>
      </c>
      <c r="F994" s="11" t="s">
        <v>107</v>
      </c>
      <c r="G994" s="11" t="s">
        <v>27</v>
      </c>
      <c r="H994" s="11" t="s">
        <v>629</v>
      </c>
      <c r="I994" s="31">
        <v>12.95</v>
      </c>
      <c r="J994" s="13"/>
      <c r="K994" s="13">
        <f t="shared" si="51"/>
        <v>12.95</v>
      </c>
      <c r="L994" s="11" t="s">
        <v>34</v>
      </c>
      <c r="M994" s="14"/>
      <c r="N994" s="11" t="s">
        <v>184</v>
      </c>
      <c r="O994" s="10" t="str">
        <f t="shared" si="48"/>
        <v>03/2025</v>
      </c>
      <c r="P994" s="10" t="str">
        <f t="shared" si="29"/>
        <v>03/2025</v>
      </c>
      <c r="Q994" s="15" t="str">
        <f t="array" ref="Q994">IFERROR(XLOOKUP(N994,'Classificação'!A:A,'Classificação'!B:B),"")</f>
        <v>DESPESAS ADMINISTRATIVAS</v>
      </c>
      <c r="R994" s="15" t="str">
        <f t="array" ref="R994">IFERROR(XLOOKUP(Q994,'Classificação'!B:B,'Classificação'!C:C),"")</f>
        <v>DESPESAS FIXAS (-)</v>
      </c>
      <c r="S994" s="15">
        <f t="shared" si="5"/>
        <v>20</v>
      </c>
      <c r="T994" s="15">
        <f t="shared" si="6"/>
        <v>3</v>
      </c>
      <c r="U994" s="15">
        <f t="shared" si="7"/>
        <v>2025</v>
      </c>
      <c r="V994" s="15">
        <f t="shared" si="8"/>
        <v>20</v>
      </c>
      <c r="W994" s="15">
        <f t="shared" si="9"/>
        <v>3</v>
      </c>
      <c r="X994" s="15">
        <f t="shared" si="10"/>
        <v>2025</v>
      </c>
    </row>
    <row r="995">
      <c r="A995" s="27">
        <v>45736.0</v>
      </c>
      <c r="B995" s="9">
        <v>45715.0</v>
      </c>
      <c r="C995" s="9">
        <f t="shared" si="22"/>
        <v>45736</v>
      </c>
      <c r="D995" s="11" t="s">
        <v>182</v>
      </c>
      <c r="E995" s="11" t="s">
        <v>25</v>
      </c>
      <c r="F995" s="11" t="s">
        <v>107</v>
      </c>
      <c r="G995" s="11" t="s">
        <v>27</v>
      </c>
      <c r="H995" s="11" t="s">
        <v>629</v>
      </c>
      <c r="I995" s="31">
        <v>7.91</v>
      </c>
      <c r="J995" s="13"/>
      <c r="K995" s="13">
        <f t="shared" si="51"/>
        <v>7.91</v>
      </c>
      <c r="L995" s="11" t="s">
        <v>34</v>
      </c>
      <c r="M995" s="14"/>
      <c r="N995" s="11" t="s">
        <v>184</v>
      </c>
      <c r="O995" s="10" t="str">
        <f t="shared" si="48"/>
        <v>03/2025</v>
      </c>
      <c r="P995" s="10" t="str">
        <f t="shared" si="29"/>
        <v>03/2025</v>
      </c>
      <c r="Q995" s="15" t="str">
        <f t="array" ref="Q995">IFERROR(XLOOKUP(N995,'Classificação'!A:A,'Classificação'!B:B),"")</f>
        <v>DESPESAS ADMINISTRATIVAS</v>
      </c>
      <c r="R995" s="15" t="str">
        <f t="array" ref="R995">IFERROR(XLOOKUP(Q995,'Classificação'!B:B,'Classificação'!C:C),"")</f>
        <v>DESPESAS FIXAS (-)</v>
      </c>
      <c r="S995" s="15">
        <f t="shared" si="5"/>
        <v>20</v>
      </c>
      <c r="T995" s="15">
        <f t="shared" si="6"/>
        <v>3</v>
      </c>
      <c r="U995" s="15">
        <f t="shared" si="7"/>
        <v>2025</v>
      </c>
      <c r="V995" s="15">
        <f t="shared" si="8"/>
        <v>20</v>
      </c>
      <c r="W995" s="15">
        <f t="shared" si="9"/>
        <v>3</v>
      </c>
      <c r="X995" s="15">
        <f t="shared" si="10"/>
        <v>2025</v>
      </c>
    </row>
    <row r="996">
      <c r="A996" s="27">
        <v>45736.0</v>
      </c>
      <c r="B996" s="9">
        <v>45698.0</v>
      </c>
      <c r="C996" s="9">
        <f t="shared" si="22"/>
        <v>45736</v>
      </c>
      <c r="D996" s="11" t="s">
        <v>44</v>
      </c>
      <c r="E996" s="11" t="s">
        <v>25</v>
      </c>
      <c r="F996" s="11" t="s">
        <v>107</v>
      </c>
      <c r="G996" s="11" t="s">
        <v>27</v>
      </c>
      <c r="H996" s="11" t="s">
        <v>630</v>
      </c>
      <c r="I996" s="31">
        <v>9.91</v>
      </c>
      <c r="J996" s="13"/>
      <c r="K996" s="13">
        <f t="shared" si="51"/>
        <v>9.91</v>
      </c>
      <c r="L996" s="11" t="s">
        <v>34</v>
      </c>
      <c r="M996" s="14"/>
      <c r="N996" s="11" t="s">
        <v>105</v>
      </c>
      <c r="O996" s="10" t="str">
        <f t="shared" si="48"/>
        <v>03/2025</v>
      </c>
      <c r="P996" s="10" t="str">
        <f t="shared" si="29"/>
        <v>03/2025</v>
      </c>
      <c r="Q996" s="15" t="str">
        <f t="array" ref="Q996">IFERROR(XLOOKUP(N996,'Classificação'!A:A,'Classificação'!B:B),"")</f>
        <v>DESPESAS ADMINISTRATIVAS</v>
      </c>
      <c r="R996" s="15" t="str">
        <f t="array" ref="R996">IFERROR(XLOOKUP(Q996,'Classificação'!B:B,'Classificação'!C:C),"")</f>
        <v>DESPESAS FIXAS (-)</v>
      </c>
      <c r="S996" s="15">
        <f t="shared" si="5"/>
        <v>20</v>
      </c>
      <c r="T996" s="15">
        <f t="shared" si="6"/>
        <v>3</v>
      </c>
      <c r="U996" s="15">
        <f t="shared" si="7"/>
        <v>2025</v>
      </c>
      <c r="V996" s="15">
        <f t="shared" si="8"/>
        <v>20</v>
      </c>
      <c r="W996" s="15">
        <f t="shared" si="9"/>
        <v>3</v>
      </c>
      <c r="X996" s="15">
        <f t="shared" si="10"/>
        <v>2025</v>
      </c>
    </row>
    <row r="997">
      <c r="A997" s="27">
        <v>45736.0</v>
      </c>
      <c r="B997" s="9">
        <v>45696.0</v>
      </c>
      <c r="C997" s="9">
        <f t="shared" si="22"/>
        <v>45736</v>
      </c>
      <c r="D997" s="11" t="s">
        <v>631</v>
      </c>
      <c r="E997" s="11" t="s">
        <v>25</v>
      </c>
      <c r="F997" s="11" t="s">
        <v>107</v>
      </c>
      <c r="G997" s="11" t="s">
        <v>27</v>
      </c>
      <c r="H997" s="11" t="s">
        <v>632</v>
      </c>
      <c r="I997" s="31">
        <v>110.87</v>
      </c>
      <c r="J997" s="13"/>
      <c r="K997" s="13">
        <f t="shared" si="51"/>
        <v>110.87</v>
      </c>
      <c r="L997" s="11" t="s">
        <v>53</v>
      </c>
      <c r="M997" s="17">
        <v>45839.0</v>
      </c>
      <c r="N997" s="11" t="s">
        <v>178</v>
      </c>
      <c r="O997" s="10" t="str">
        <f t="shared" si="48"/>
        <v>03/2025</v>
      </c>
      <c r="P997" s="10" t="str">
        <f t="shared" si="29"/>
        <v>03/2025</v>
      </c>
      <c r="Q997" s="15" t="str">
        <f t="array" ref="Q997">IFERROR(XLOOKUP(N997,'Classificação'!A:A,'Classificação'!B:B),"")</f>
        <v>DESPESAS COM OCUPAÇÃO</v>
      </c>
      <c r="R997" s="15" t="str">
        <f t="array" ref="R997">IFERROR(XLOOKUP(Q997,'Classificação'!B:B,'Classificação'!C:C),"")</f>
        <v>DESPESAS FIXAS (-)</v>
      </c>
      <c r="S997" s="15">
        <f t="shared" si="5"/>
        <v>20</v>
      </c>
      <c r="T997" s="15">
        <f t="shared" si="6"/>
        <v>3</v>
      </c>
      <c r="U997" s="15">
        <f t="shared" si="7"/>
        <v>2025</v>
      </c>
      <c r="V997" s="15">
        <f t="shared" si="8"/>
        <v>20</v>
      </c>
      <c r="W997" s="15">
        <f t="shared" si="9"/>
        <v>3</v>
      </c>
      <c r="X997" s="15">
        <f t="shared" si="10"/>
        <v>2025</v>
      </c>
    </row>
    <row r="998">
      <c r="A998" s="9">
        <v>45737.0</v>
      </c>
      <c r="B998" s="10"/>
      <c r="C998" s="9">
        <f t="shared" si="22"/>
        <v>45737</v>
      </c>
      <c r="D998" s="11" t="s">
        <v>127</v>
      </c>
      <c r="E998" s="11" t="s">
        <v>25</v>
      </c>
      <c r="F998" s="11" t="s">
        <v>26</v>
      </c>
      <c r="G998" s="11" t="s">
        <v>37</v>
      </c>
      <c r="H998" s="11" t="s">
        <v>633</v>
      </c>
      <c r="I998" s="12">
        <v>630.0</v>
      </c>
      <c r="J998" s="13"/>
      <c r="K998" s="13">
        <f t="shared" si="51"/>
        <v>630</v>
      </c>
      <c r="L998" s="11" t="s">
        <v>29</v>
      </c>
      <c r="M998" s="14"/>
      <c r="N998" s="11" t="s">
        <v>58</v>
      </c>
      <c r="O998" s="10" t="str">
        <f t="shared" si="48"/>
        <v>03/2025</v>
      </c>
      <c r="P998" s="10" t="str">
        <f t="shared" si="29"/>
        <v>03/2025</v>
      </c>
      <c r="Q998" s="15" t="str">
        <f t="array" ref="Q998">IFERROR(XLOOKUP(N998,'Classificação'!A:A,'Classificação'!B:B),"")</f>
        <v>DESPESAS ADMINISTRATIVAS</v>
      </c>
      <c r="R998" s="15" t="str">
        <f t="array" ref="R998">IFERROR(XLOOKUP(Q998,'Classificação'!B:B,'Classificação'!C:C),"")</f>
        <v>DESPESAS FIXAS (-)</v>
      </c>
      <c r="S998" s="15">
        <f t="shared" si="5"/>
        <v>21</v>
      </c>
      <c r="T998" s="15">
        <f t="shared" si="6"/>
        <v>3</v>
      </c>
      <c r="U998" s="15">
        <f t="shared" si="7"/>
        <v>2025</v>
      </c>
      <c r="V998" s="15">
        <f t="shared" si="8"/>
        <v>21</v>
      </c>
      <c r="W998" s="15">
        <f t="shared" si="9"/>
        <v>3</v>
      </c>
      <c r="X998" s="15">
        <f t="shared" si="10"/>
        <v>2025</v>
      </c>
    </row>
    <row r="999">
      <c r="A999" s="9">
        <v>45737.0</v>
      </c>
      <c r="B999" s="10"/>
      <c r="C999" s="9">
        <f t="shared" si="22"/>
        <v>45737</v>
      </c>
      <c r="D999" s="11" t="s">
        <v>43</v>
      </c>
      <c r="E999" s="11" t="s">
        <v>25</v>
      </c>
      <c r="F999" s="11" t="s">
        <v>26</v>
      </c>
      <c r="G999" s="11" t="s">
        <v>37</v>
      </c>
      <c r="H999" s="11" t="s">
        <v>634</v>
      </c>
      <c r="I999" s="12">
        <v>184.52</v>
      </c>
      <c r="J999" s="13"/>
      <c r="K999" s="13">
        <f t="shared" si="51"/>
        <v>184.52</v>
      </c>
      <c r="L999" s="11" t="s">
        <v>34</v>
      </c>
      <c r="M999" s="14"/>
      <c r="N999" s="11" t="s">
        <v>38</v>
      </c>
      <c r="O999" s="10" t="str">
        <f t="shared" si="48"/>
        <v>03/2025</v>
      </c>
      <c r="P999" s="10" t="str">
        <f t="shared" si="29"/>
        <v>03/2025</v>
      </c>
      <c r="Q999" s="15" t="str">
        <f t="array" ref="Q999">IFERROR(XLOOKUP(N999,'Classificação'!A:A,'Classificação'!B:B),"")</f>
        <v>DESPESAS COM PESSOAL</v>
      </c>
      <c r="R999" s="15" t="str">
        <f t="array" ref="R999">IFERROR(XLOOKUP(Q999,'Classificação'!B:B,'Classificação'!C:C),"")</f>
        <v>DESPESAS FIXAS (-)</v>
      </c>
      <c r="S999" s="15">
        <f t="shared" si="5"/>
        <v>21</v>
      </c>
      <c r="T999" s="15">
        <f t="shared" si="6"/>
        <v>3</v>
      </c>
      <c r="U999" s="15">
        <f t="shared" si="7"/>
        <v>2025</v>
      </c>
      <c r="V999" s="15">
        <f t="shared" si="8"/>
        <v>21</v>
      </c>
      <c r="W999" s="15">
        <f t="shared" si="9"/>
        <v>3</v>
      </c>
      <c r="X999" s="15">
        <f t="shared" si="10"/>
        <v>2025</v>
      </c>
    </row>
    <row r="1000">
      <c r="A1000" s="9">
        <v>45737.0</v>
      </c>
      <c r="B1000" s="10"/>
      <c r="C1000" s="9">
        <f t="shared" si="22"/>
        <v>45737</v>
      </c>
      <c r="D1000" s="11" t="s">
        <v>635</v>
      </c>
      <c r="E1000" s="11" t="s">
        <v>25</v>
      </c>
      <c r="F1000" s="11" t="s">
        <v>26</v>
      </c>
      <c r="G1000" s="11" t="s">
        <v>37</v>
      </c>
      <c r="H1000" s="11" t="s">
        <v>636</v>
      </c>
      <c r="I1000" s="12">
        <v>41746.0</v>
      </c>
      <c r="J1000" s="13"/>
      <c r="K1000" s="13">
        <f t="shared" si="51"/>
        <v>41746</v>
      </c>
      <c r="L1000" s="11" t="s">
        <v>34</v>
      </c>
      <c r="M1000" s="14"/>
      <c r="N1000" s="11" t="s">
        <v>85</v>
      </c>
      <c r="O1000" s="10" t="str">
        <f t="shared" si="48"/>
        <v>03/2025</v>
      </c>
      <c r="P1000" s="10" t="str">
        <f t="shared" si="29"/>
        <v>03/2025</v>
      </c>
      <c r="Q1000" s="15" t="str">
        <f t="array" ref="Q1000">IFERROR(XLOOKUP(N1000,'Classificação'!A:A,'Classificação'!B:B),"")</f>
        <v>DESPESAS NÃO OPERACIONAIS</v>
      </c>
      <c r="R1000" s="15" t="str">
        <f t="array" ref="R1000">IFERROR(XLOOKUP(Q1000,'Classificação'!B:B,'Classificação'!C:C),"")</f>
        <v>RESULTADO NÃO OPERACIONAL (+/-)</v>
      </c>
      <c r="S1000" s="15">
        <f t="shared" si="5"/>
        <v>21</v>
      </c>
      <c r="T1000" s="15">
        <f t="shared" si="6"/>
        <v>3</v>
      </c>
      <c r="U1000" s="15">
        <f t="shared" si="7"/>
        <v>2025</v>
      </c>
      <c r="V1000" s="15">
        <f t="shared" si="8"/>
        <v>21</v>
      </c>
      <c r="W1000" s="15">
        <f t="shared" si="9"/>
        <v>3</v>
      </c>
      <c r="X1000" s="15">
        <f t="shared" si="10"/>
        <v>2025</v>
      </c>
    </row>
    <row r="1001">
      <c r="A1001" s="9">
        <v>45740.0</v>
      </c>
      <c r="B1001" s="10"/>
      <c r="C1001" s="9">
        <f t="shared" si="22"/>
        <v>45740</v>
      </c>
      <c r="D1001" s="11" t="s">
        <v>637</v>
      </c>
      <c r="E1001" s="11" t="s">
        <v>25</v>
      </c>
      <c r="F1001" s="11" t="s">
        <v>40</v>
      </c>
      <c r="G1001" s="11" t="s">
        <v>37</v>
      </c>
      <c r="H1001" s="11" t="s">
        <v>638</v>
      </c>
      <c r="I1001" s="12">
        <v>173.6</v>
      </c>
      <c r="J1001" s="13"/>
      <c r="K1001" s="13">
        <f t="shared" si="51"/>
        <v>173.6</v>
      </c>
      <c r="L1001" s="11" t="s">
        <v>29</v>
      </c>
      <c r="M1001" s="14"/>
      <c r="N1001" s="11" t="s">
        <v>201</v>
      </c>
      <c r="O1001" s="10" t="str">
        <f t="shared" si="48"/>
        <v>03/2025</v>
      </c>
      <c r="P1001" s="10" t="str">
        <f t="shared" si="29"/>
        <v>03/2025</v>
      </c>
      <c r="Q1001" s="15" t="str">
        <f t="array" ref="Q1001">IFERROR(XLOOKUP(N1001,'Classificação'!A:A,'Classificação'!B:B),"")</f>
        <v>DESPESAS COM OCUPAÇÃO</v>
      </c>
      <c r="R1001" s="15" t="str">
        <f t="array" ref="R1001">IFERROR(XLOOKUP(Q1001,'Classificação'!B:B,'Classificação'!C:C),"")</f>
        <v>DESPESAS FIXAS (-)</v>
      </c>
      <c r="S1001" s="15">
        <f t="shared" si="5"/>
        <v>24</v>
      </c>
      <c r="T1001" s="15">
        <f t="shared" si="6"/>
        <v>3</v>
      </c>
      <c r="U1001" s="15">
        <f t="shared" si="7"/>
        <v>2025</v>
      </c>
      <c r="V1001" s="15">
        <f t="shared" si="8"/>
        <v>24</v>
      </c>
      <c r="W1001" s="15">
        <f t="shared" si="9"/>
        <v>3</v>
      </c>
      <c r="X1001" s="15">
        <f t="shared" si="10"/>
        <v>2025</v>
      </c>
    </row>
    <row r="1002">
      <c r="A1002" s="26">
        <v>45740.0</v>
      </c>
      <c r="B1002" s="10"/>
      <c r="C1002" s="9">
        <f t="shared" si="22"/>
        <v>45740</v>
      </c>
      <c r="D1002" s="28" t="s">
        <v>177</v>
      </c>
      <c r="E1002" s="29" t="s">
        <v>25</v>
      </c>
      <c r="F1002" s="29" t="s">
        <v>40</v>
      </c>
      <c r="G1002" s="29" t="s">
        <v>37</v>
      </c>
      <c r="H1002" s="43" t="s">
        <v>582</v>
      </c>
      <c r="I1002" s="24">
        <v>223.69</v>
      </c>
      <c r="J1002" s="13"/>
      <c r="K1002" s="13">
        <f t="shared" si="51"/>
        <v>223.69</v>
      </c>
      <c r="L1002" s="28" t="s">
        <v>53</v>
      </c>
      <c r="M1002" s="17">
        <v>45447.0</v>
      </c>
      <c r="N1002" s="28" t="s">
        <v>178</v>
      </c>
      <c r="O1002" s="10" t="str">
        <f t="shared" si="48"/>
        <v>03/2025</v>
      </c>
      <c r="P1002" s="10" t="str">
        <f t="shared" si="29"/>
        <v>03/2025</v>
      </c>
      <c r="Q1002" s="15" t="str">
        <f t="array" ref="Q1002">IFERROR(XLOOKUP(N1002,'Classificação'!A:A,'Classificação'!B:B),"")</f>
        <v>DESPESAS COM OCUPAÇÃO</v>
      </c>
      <c r="R1002" s="15" t="str">
        <f t="array" ref="R1002">IFERROR(XLOOKUP(Q1002,'Classificação'!B:B,'Classificação'!C:C),"")</f>
        <v>DESPESAS FIXAS (-)</v>
      </c>
      <c r="S1002" s="15">
        <f t="shared" si="5"/>
        <v>24</v>
      </c>
      <c r="T1002" s="15">
        <f t="shared" si="6"/>
        <v>3</v>
      </c>
      <c r="U1002" s="15">
        <f t="shared" si="7"/>
        <v>2025</v>
      </c>
      <c r="V1002" s="15">
        <f t="shared" si="8"/>
        <v>24</v>
      </c>
      <c r="W1002" s="15">
        <f t="shared" si="9"/>
        <v>3</v>
      </c>
      <c r="X1002" s="15">
        <f t="shared" si="10"/>
        <v>2025</v>
      </c>
    </row>
    <row r="1003">
      <c r="A1003" s="9">
        <v>45740.0</v>
      </c>
      <c r="B1003" s="10"/>
      <c r="C1003" s="9">
        <f t="shared" si="22"/>
        <v>45740</v>
      </c>
      <c r="D1003" s="11" t="s">
        <v>44</v>
      </c>
      <c r="E1003" s="11" t="s">
        <v>25</v>
      </c>
      <c r="F1003" s="11" t="s">
        <v>45</v>
      </c>
      <c r="G1003" s="11" t="s">
        <v>27</v>
      </c>
      <c r="H1003" s="11" t="s">
        <v>639</v>
      </c>
      <c r="I1003" s="12">
        <v>121030.78</v>
      </c>
      <c r="J1003" s="13"/>
      <c r="K1003" s="13">
        <f t="shared" si="51"/>
        <v>121030.78</v>
      </c>
      <c r="L1003" s="11" t="s">
        <v>34</v>
      </c>
      <c r="M1003" s="14"/>
      <c r="N1003" s="11" t="s">
        <v>35</v>
      </c>
      <c r="O1003" s="10" t="str">
        <f t="shared" si="48"/>
        <v>03/2025</v>
      </c>
      <c r="P1003" s="10" t="str">
        <f t="shared" si="29"/>
        <v>03/2025</v>
      </c>
      <c r="Q1003" s="15" t="str">
        <f t="array" ref="Q1003">IFERROR(XLOOKUP(N1003,'Classificação'!A:A,'Classificação'!B:B),"")</f>
        <v>COMPRA DE MERCADORIA</v>
      </c>
      <c r="R1003" s="15" t="str">
        <f t="array" ref="R1003">IFERROR(XLOOKUP(Q1003,'Classificação'!B:B,'Classificação'!C:C),"")</f>
        <v>CUSTOS VARIÁVEIS</v>
      </c>
      <c r="S1003" s="15">
        <f t="shared" si="5"/>
        <v>24</v>
      </c>
      <c r="T1003" s="15">
        <f t="shared" si="6"/>
        <v>3</v>
      </c>
      <c r="U1003" s="15">
        <f t="shared" si="7"/>
        <v>2025</v>
      </c>
      <c r="V1003" s="15">
        <f t="shared" si="8"/>
        <v>24</v>
      </c>
      <c r="W1003" s="15">
        <f t="shared" si="9"/>
        <v>3</v>
      </c>
      <c r="X1003" s="15">
        <f t="shared" si="10"/>
        <v>2025</v>
      </c>
    </row>
    <row r="1004">
      <c r="A1004" s="9">
        <v>45740.0</v>
      </c>
      <c r="B1004" s="10"/>
      <c r="C1004" s="9">
        <f t="shared" si="22"/>
        <v>45740</v>
      </c>
      <c r="D1004" s="11" t="s">
        <v>39</v>
      </c>
      <c r="E1004" s="11" t="s">
        <v>25</v>
      </c>
      <c r="F1004" s="11" t="s">
        <v>40</v>
      </c>
      <c r="G1004" s="11" t="s">
        <v>37</v>
      </c>
      <c r="H1004" s="11" t="s">
        <v>640</v>
      </c>
      <c r="I1004" s="12">
        <v>142.68</v>
      </c>
      <c r="J1004" s="13"/>
      <c r="K1004" s="13">
        <f t="shared" si="51"/>
        <v>142.68</v>
      </c>
      <c r="L1004" s="11" t="s">
        <v>53</v>
      </c>
      <c r="M1004" s="17">
        <v>45931.0</v>
      </c>
      <c r="N1004" s="11" t="s">
        <v>355</v>
      </c>
      <c r="O1004" s="10" t="str">
        <f t="shared" si="48"/>
        <v>03/2025</v>
      </c>
      <c r="P1004" s="10" t="str">
        <f t="shared" si="29"/>
        <v>03/2025</v>
      </c>
      <c r="Q1004" s="15" t="str">
        <f t="array" ref="Q1004">IFERROR(XLOOKUP(N1004,'Classificação'!A:A,'Classificação'!B:B),"")</f>
        <v>IMPOSTOS E TAXAS DIVERSAS</v>
      </c>
      <c r="R1004" s="15" t="str">
        <f t="array" ref="R1004">IFERROR(XLOOKUP(Q1004,'Classificação'!B:B,'Classificação'!C:C),"")</f>
        <v>DESPESAS FIXAS (-)</v>
      </c>
      <c r="S1004" s="15">
        <f t="shared" si="5"/>
        <v>24</v>
      </c>
      <c r="T1004" s="15">
        <f t="shared" si="6"/>
        <v>3</v>
      </c>
      <c r="U1004" s="15">
        <f t="shared" si="7"/>
        <v>2025</v>
      </c>
      <c r="V1004" s="15">
        <f t="shared" si="8"/>
        <v>24</v>
      </c>
      <c r="W1004" s="15">
        <f t="shared" si="9"/>
        <v>3</v>
      </c>
      <c r="X1004" s="15">
        <f t="shared" si="10"/>
        <v>2025</v>
      </c>
    </row>
    <row r="1005">
      <c r="A1005" s="26">
        <v>45740.0</v>
      </c>
      <c r="B1005" s="30"/>
      <c r="C1005" s="27">
        <f t="shared" si="22"/>
        <v>45740</v>
      </c>
      <c r="D1005" s="28" t="s">
        <v>44</v>
      </c>
      <c r="E1005" s="28" t="s">
        <v>25</v>
      </c>
      <c r="F1005" s="28" t="s">
        <v>45</v>
      </c>
      <c r="G1005" s="28" t="s">
        <v>27</v>
      </c>
      <c r="H1005" s="45" t="s">
        <v>578</v>
      </c>
      <c r="I1005" s="24">
        <v>2831.84</v>
      </c>
      <c r="J1005" s="34"/>
      <c r="K1005" s="37">
        <f t="shared" ref="K1005:K1011" si="52">IF(E1005="pago",(I1005-J1005),"")</f>
        <v>2831.84</v>
      </c>
      <c r="L1005" s="28" t="s">
        <v>34</v>
      </c>
      <c r="M1005" s="28"/>
      <c r="N1005" s="28" t="s">
        <v>574</v>
      </c>
      <c r="O1005" s="10" t="str">
        <f t="shared" si="48"/>
        <v>03/2025</v>
      </c>
      <c r="P1005" s="10" t="str">
        <f t="shared" si="29"/>
        <v>03/2025</v>
      </c>
      <c r="Q1005" s="15" t="str">
        <f t="array" ref="Q1005">IFERROR(XLOOKUP(N1005,'Classificação'!A:A,'Classificação'!B:B),"")</f>
        <v>TARIFAS FINANCEIRAS DIVERSAS</v>
      </c>
      <c r="R1005" s="15" t="str">
        <f t="array" ref="R1005">IFERROR(XLOOKUP(Q1005,'Classificação'!B:B,'Classificação'!C:C),"")</f>
        <v>(+/-) RESULTADO FINANCEIRO LÍQUIDO</v>
      </c>
      <c r="S1005" s="15">
        <f t="shared" si="5"/>
        <v>24</v>
      </c>
      <c r="T1005" s="15">
        <f t="shared" si="6"/>
        <v>3</v>
      </c>
      <c r="U1005" s="15">
        <f t="shared" si="7"/>
        <v>2025</v>
      </c>
      <c r="V1005" s="15">
        <f t="shared" si="8"/>
        <v>24</v>
      </c>
      <c r="W1005" s="15">
        <f t="shared" si="9"/>
        <v>3</v>
      </c>
      <c r="X1005" s="15">
        <f t="shared" si="10"/>
        <v>2025</v>
      </c>
    </row>
    <row r="1006">
      <c r="A1006" s="26">
        <v>45740.0</v>
      </c>
      <c r="B1006" s="30"/>
      <c r="C1006" s="27">
        <f t="shared" si="22"/>
        <v>45740</v>
      </c>
      <c r="D1006" s="28" t="s">
        <v>44</v>
      </c>
      <c r="E1006" s="28" t="s">
        <v>25</v>
      </c>
      <c r="F1006" s="28" t="s">
        <v>45</v>
      </c>
      <c r="G1006" s="28" t="s">
        <v>27</v>
      </c>
      <c r="H1006" s="45" t="s">
        <v>581</v>
      </c>
      <c r="I1006" s="24">
        <v>353.98</v>
      </c>
      <c r="J1006" s="34"/>
      <c r="K1006" s="37">
        <f t="shared" si="52"/>
        <v>353.98</v>
      </c>
      <c r="L1006" s="28" t="s">
        <v>34</v>
      </c>
      <c r="M1006" s="28"/>
      <c r="N1006" s="28" t="s">
        <v>355</v>
      </c>
      <c r="O1006" s="10" t="str">
        <f t="shared" si="48"/>
        <v>03/2025</v>
      </c>
      <c r="P1006" s="10" t="str">
        <f t="shared" si="29"/>
        <v>03/2025</v>
      </c>
      <c r="Q1006" s="15" t="str">
        <f t="array" ref="Q1006">IFERROR(XLOOKUP(N1006,'Classificação'!A:A,'Classificação'!B:B),"")</f>
        <v>IMPOSTOS E TAXAS DIVERSAS</v>
      </c>
      <c r="R1006" s="15" t="str">
        <f t="array" ref="R1006">IFERROR(XLOOKUP(Q1006,'Classificação'!B:B,'Classificação'!C:C),"")</f>
        <v>DESPESAS FIXAS (-)</v>
      </c>
      <c r="S1006" s="15">
        <f t="shared" si="5"/>
        <v>24</v>
      </c>
      <c r="T1006" s="15">
        <f t="shared" si="6"/>
        <v>3</v>
      </c>
      <c r="U1006" s="15">
        <f t="shared" si="7"/>
        <v>2025</v>
      </c>
      <c r="V1006" s="15">
        <f t="shared" si="8"/>
        <v>24</v>
      </c>
      <c r="W1006" s="15">
        <f t="shared" si="9"/>
        <v>3</v>
      </c>
      <c r="X1006" s="15">
        <f t="shared" si="10"/>
        <v>2025</v>
      </c>
    </row>
    <row r="1007">
      <c r="A1007" s="26">
        <v>45741.0</v>
      </c>
      <c r="B1007" s="32">
        <v>45611.0</v>
      </c>
      <c r="C1007" s="9">
        <f t="shared" si="22"/>
        <v>45741</v>
      </c>
      <c r="D1007" s="11" t="s">
        <v>361</v>
      </c>
      <c r="E1007" s="11" t="s">
        <v>25</v>
      </c>
      <c r="F1007" s="29" t="s">
        <v>26</v>
      </c>
      <c r="G1007" s="11" t="s">
        <v>37</v>
      </c>
      <c r="H1007" s="11" t="s">
        <v>362</v>
      </c>
      <c r="I1007" s="12">
        <v>180.11</v>
      </c>
      <c r="J1007" s="13"/>
      <c r="K1007" s="37">
        <f t="shared" si="52"/>
        <v>180.11</v>
      </c>
      <c r="L1007" s="11" t="s">
        <v>53</v>
      </c>
      <c r="M1007" s="17">
        <v>45631.0</v>
      </c>
      <c r="N1007" s="11" t="s">
        <v>363</v>
      </c>
      <c r="O1007" s="10" t="str">
        <f t="shared" si="48"/>
        <v>03/2025</v>
      </c>
      <c r="P1007" s="10" t="str">
        <f t="shared" si="29"/>
        <v>03/2025</v>
      </c>
      <c r="Q1007" s="15" t="str">
        <f t="array" ref="Q1007">IFERROR(XLOOKUP(N1007,'Classificação'!A:A,'Classificação'!B:B),"")</f>
        <v>DESPESAS NÃO OPERACIONAIS</v>
      </c>
      <c r="R1007" s="15" t="str">
        <f t="array" ref="R1007">IFERROR(XLOOKUP(Q1007,'Classificação'!B:B,'Classificação'!C:C),"")</f>
        <v>RESULTADO NÃO OPERACIONAL (+/-)</v>
      </c>
      <c r="S1007" s="15">
        <f t="shared" si="5"/>
        <v>25</v>
      </c>
      <c r="T1007" s="15">
        <f t="shared" si="6"/>
        <v>3</v>
      </c>
      <c r="U1007" s="15">
        <f t="shared" si="7"/>
        <v>2025</v>
      </c>
      <c r="V1007" s="15">
        <f t="shared" si="8"/>
        <v>25</v>
      </c>
      <c r="W1007" s="15">
        <f t="shared" si="9"/>
        <v>3</v>
      </c>
      <c r="X1007" s="15">
        <f t="shared" si="10"/>
        <v>2025</v>
      </c>
    </row>
    <row r="1008">
      <c r="A1008" s="9">
        <v>45741.0</v>
      </c>
      <c r="B1008" s="9">
        <v>45553.0</v>
      </c>
      <c r="C1008" s="9">
        <f t="shared" si="22"/>
        <v>45741</v>
      </c>
      <c r="D1008" s="11" t="s">
        <v>313</v>
      </c>
      <c r="E1008" s="11" t="s">
        <v>25</v>
      </c>
      <c r="F1008" s="11" t="s">
        <v>26</v>
      </c>
      <c r="G1008" s="11" t="s">
        <v>37</v>
      </c>
      <c r="H1008" s="11" t="s">
        <v>327</v>
      </c>
      <c r="I1008" s="12">
        <v>250.0</v>
      </c>
      <c r="J1008" s="13"/>
      <c r="K1008" s="37">
        <f t="shared" si="52"/>
        <v>250</v>
      </c>
      <c r="L1008" s="11" t="s">
        <v>53</v>
      </c>
      <c r="M1008" s="17">
        <v>45632.0</v>
      </c>
      <c r="N1008" s="11" t="s">
        <v>95</v>
      </c>
      <c r="O1008" s="10" t="str">
        <f t="shared" si="48"/>
        <v>03/2025</v>
      </c>
      <c r="P1008" s="10" t="str">
        <f t="shared" si="29"/>
        <v>03/2025</v>
      </c>
      <c r="Q1008" s="15" t="str">
        <f t="array" ref="Q1008">IFERROR(XLOOKUP(N1008,'Classificação'!A:A,'Classificação'!B:B),"")</f>
        <v>DESPESAS NÃO OPERACIONAIS</v>
      </c>
      <c r="R1008" s="15" t="str">
        <f t="array" ref="R1008">IFERROR(XLOOKUP(Q1008,'Classificação'!B:B,'Classificação'!C:C),"")</f>
        <v>RESULTADO NÃO OPERACIONAL (+/-)</v>
      </c>
      <c r="S1008" s="15">
        <f t="shared" si="5"/>
        <v>25</v>
      </c>
      <c r="T1008" s="15">
        <f t="shared" si="6"/>
        <v>3</v>
      </c>
      <c r="U1008" s="15">
        <f t="shared" si="7"/>
        <v>2025</v>
      </c>
      <c r="V1008" s="15">
        <f t="shared" si="8"/>
        <v>25</v>
      </c>
      <c r="W1008" s="15">
        <f t="shared" si="9"/>
        <v>3</v>
      </c>
      <c r="X1008" s="15">
        <f t="shared" si="10"/>
        <v>2025</v>
      </c>
    </row>
    <row r="1009">
      <c r="A1009" s="26">
        <v>45741.0</v>
      </c>
      <c r="B1009" s="30"/>
      <c r="C1009" s="27">
        <f t="shared" si="22"/>
        <v>45741</v>
      </c>
      <c r="D1009" s="28" t="s">
        <v>36</v>
      </c>
      <c r="E1009" s="29" t="s">
        <v>25</v>
      </c>
      <c r="F1009" s="28" t="s">
        <v>32</v>
      </c>
      <c r="G1009" s="28" t="s">
        <v>27</v>
      </c>
      <c r="H1009" s="28"/>
      <c r="I1009" s="24">
        <v>3775.0</v>
      </c>
      <c r="J1009" s="34"/>
      <c r="K1009" s="37">
        <f t="shared" si="52"/>
        <v>3775</v>
      </c>
      <c r="L1009" s="28" t="s">
        <v>29</v>
      </c>
      <c r="M1009" s="28"/>
      <c r="N1009" s="28" t="s">
        <v>38</v>
      </c>
      <c r="O1009" s="10" t="str">
        <f t="shared" si="48"/>
        <v>03/2025</v>
      </c>
      <c r="P1009" s="10" t="str">
        <f t="shared" si="29"/>
        <v>03/2025</v>
      </c>
      <c r="Q1009" s="15" t="str">
        <f t="array" ref="Q1009">IFERROR(XLOOKUP(N1009,'Classificação'!A:A,'Classificação'!B:B),"")</f>
        <v>DESPESAS COM PESSOAL</v>
      </c>
      <c r="R1009" s="15" t="str">
        <f t="array" ref="R1009">IFERROR(XLOOKUP(Q1009,'Classificação'!B:B,'Classificação'!C:C),"")</f>
        <v>DESPESAS FIXAS (-)</v>
      </c>
      <c r="S1009" s="15">
        <f t="shared" si="5"/>
        <v>25</v>
      </c>
      <c r="T1009" s="15">
        <f t="shared" si="6"/>
        <v>3</v>
      </c>
      <c r="U1009" s="15">
        <f t="shared" si="7"/>
        <v>2025</v>
      </c>
      <c r="V1009" s="15">
        <f t="shared" si="8"/>
        <v>25</v>
      </c>
      <c r="W1009" s="15">
        <f t="shared" si="9"/>
        <v>3</v>
      </c>
      <c r="X1009" s="15">
        <f t="shared" si="10"/>
        <v>2025</v>
      </c>
    </row>
    <row r="1010">
      <c r="A1010" s="26">
        <v>45741.0</v>
      </c>
      <c r="B1010" s="30"/>
      <c r="C1010" s="27">
        <f t="shared" si="22"/>
        <v>45741</v>
      </c>
      <c r="D1010" s="28" t="s">
        <v>43</v>
      </c>
      <c r="E1010" s="29" t="s">
        <v>25</v>
      </c>
      <c r="F1010" s="29" t="s">
        <v>26</v>
      </c>
      <c r="G1010" s="29" t="s">
        <v>37</v>
      </c>
      <c r="H1010" s="28"/>
      <c r="I1010" s="24">
        <v>3775.0</v>
      </c>
      <c r="J1010" s="34"/>
      <c r="K1010" s="37">
        <f t="shared" si="52"/>
        <v>3775</v>
      </c>
      <c r="L1010" s="28" t="s">
        <v>29</v>
      </c>
      <c r="M1010" s="28"/>
      <c r="N1010" s="28" t="s">
        <v>38</v>
      </c>
      <c r="O1010" s="10" t="str">
        <f t="shared" si="48"/>
        <v>03/2025</v>
      </c>
      <c r="P1010" s="10" t="str">
        <f t="shared" si="29"/>
        <v>03/2025</v>
      </c>
      <c r="Q1010" s="15" t="str">
        <f t="array" ref="Q1010">IFERROR(XLOOKUP(N1010,'Classificação'!A:A,'Classificação'!B:B),"")</f>
        <v>DESPESAS COM PESSOAL</v>
      </c>
      <c r="R1010" s="15" t="str">
        <f t="array" ref="R1010">IFERROR(XLOOKUP(Q1010,'Classificação'!B:B,'Classificação'!C:C),"")</f>
        <v>DESPESAS FIXAS (-)</v>
      </c>
      <c r="S1010" s="15">
        <f t="shared" si="5"/>
        <v>25</v>
      </c>
      <c r="T1010" s="15">
        <f t="shared" si="6"/>
        <v>3</v>
      </c>
      <c r="U1010" s="15">
        <f t="shared" si="7"/>
        <v>2025</v>
      </c>
      <c r="V1010" s="15">
        <f t="shared" si="8"/>
        <v>25</v>
      </c>
      <c r="W1010" s="15">
        <f t="shared" si="9"/>
        <v>3</v>
      </c>
      <c r="X1010" s="15">
        <f t="shared" si="10"/>
        <v>2025</v>
      </c>
    </row>
    <row r="1011">
      <c r="A1011" s="9">
        <v>45741.0</v>
      </c>
      <c r="B1011" s="9">
        <v>45733.0</v>
      </c>
      <c r="C1011" s="9">
        <f t="shared" si="22"/>
        <v>45741</v>
      </c>
      <c r="D1011" s="11" t="s">
        <v>167</v>
      </c>
      <c r="E1011" s="11" t="s">
        <v>25</v>
      </c>
      <c r="F1011" s="11" t="s">
        <v>26</v>
      </c>
      <c r="G1011" s="11" t="s">
        <v>37</v>
      </c>
      <c r="H1011" s="11" t="s">
        <v>641</v>
      </c>
      <c r="I1011" s="12">
        <v>27.85</v>
      </c>
      <c r="J1011" s="13"/>
      <c r="K1011" s="37">
        <f t="shared" si="52"/>
        <v>27.85</v>
      </c>
      <c r="L1011" s="11" t="s">
        <v>34</v>
      </c>
      <c r="M1011" s="14"/>
      <c r="N1011" s="11" t="s">
        <v>78</v>
      </c>
      <c r="O1011" s="10" t="str">
        <f t="shared" si="48"/>
        <v>03/2025</v>
      </c>
      <c r="P1011" s="10" t="str">
        <f t="shared" si="29"/>
        <v>03/2025</v>
      </c>
      <c r="Q1011" s="15" t="str">
        <f t="array" ref="Q1011">IFERROR(XLOOKUP(N1011,'Classificação'!A:A,'Classificação'!B:B),"")</f>
        <v>DESPESAS COM PESSOAL</v>
      </c>
      <c r="R1011" s="15" t="str">
        <f t="array" ref="R1011">IFERROR(XLOOKUP(Q1011,'Classificação'!B:B,'Classificação'!C:C),"")</f>
        <v>DESPESAS FIXAS (-)</v>
      </c>
      <c r="S1011" s="15">
        <f t="shared" si="5"/>
        <v>25</v>
      </c>
      <c r="T1011" s="15">
        <f t="shared" si="6"/>
        <v>3</v>
      </c>
      <c r="U1011" s="15">
        <f t="shared" si="7"/>
        <v>2025</v>
      </c>
      <c r="V1011" s="15">
        <f t="shared" si="8"/>
        <v>25</v>
      </c>
      <c r="W1011" s="15">
        <f t="shared" si="9"/>
        <v>3</v>
      </c>
      <c r="X1011" s="15">
        <f t="shared" si="10"/>
        <v>2025</v>
      </c>
    </row>
    <row r="1012">
      <c r="A1012" s="9">
        <v>45741.0</v>
      </c>
      <c r="B1012" s="10"/>
      <c r="C1012" s="9">
        <f t="shared" si="22"/>
        <v>45741</v>
      </c>
      <c r="D1012" s="28" t="s">
        <v>76</v>
      </c>
      <c r="E1012" s="29" t="s">
        <v>25</v>
      </c>
      <c r="F1012" s="28" t="s">
        <v>26</v>
      </c>
      <c r="G1012" s="29" t="s">
        <v>27</v>
      </c>
      <c r="H1012" s="28" t="s">
        <v>84</v>
      </c>
      <c r="I1012" s="24">
        <v>1214.27</v>
      </c>
      <c r="J1012" s="13"/>
      <c r="K1012" s="13">
        <f t="shared" ref="K1012:K1158" si="53">if(E1012="pago",(I1012-J1012),"")</f>
        <v>1214.27</v>
      </c>
      <c r="L1012" s="28" t="s">
        <v>53</v>
      </c>
      <c r="M1012" s="16" t="s">
        <v>591</v>
      </c>
      <c r="N1012" s="28" t="s">
        <v>85</v>
      </c>
      <c r="O1012" s="10" t="str">
        <f t="shared" si="48"/>
        <v>03/2025</v>
      </c>
      <c r="P1012" s="10" t="str">
        <f t="shared" si="29"/>
        <v>03/2025</v>
      </c>
      <c r="Q1012" s="15" t="str">
        <f t="array" ref="Q1012">IFERROR(XLOOKUP(N1012,'Classificação'!A:A,'Classificação'!B:B),"")</f>
        <v>DESPESAS NÃO OPERACIONAIS</v>
      </c>
      <c r="R1012" s="15" t="str">
        <f t="array" ref="R1012">IFERROR(XLOOKUP(Q1012,'Classificação'!B:B,'Classificação'!C:C),"")</f>
        <v>RESULTADO NÃO OPERACIONAL (+/-)</v>
      </c>
      <c r="S1012" s="15">
        <f t="shared" si="5"/>
        <v>25</v>
      </c>
      <c r="T1012" s="15">
        <f t="shared" si="6"/>
        <v>3</v>
      </c>
      <c r="U1012" s="15">
        <f t="shared" si="7"/>
        <v>2025</v>
      </c>
      <c r="V1012" s="15">
        <f t="shared" si="8"/>
        <v>25</v>
      </c>
      <c r="W1012" s="15">
        <f t="shared" si="9"/>
        <v>3</v>
      </c>
      <c r="X1012" s="15">
        <f t="shared" si="10"/>
        <v>2025</v>
      </c>
    </row>
    <row r="1013">
      <c r="A1013" s="9">
        <v>45741.0</v>
      </c>
      <c r="B1013" s="10"/>
      <c r="C1013" s="9">
        <f t="shared" si="22"/>
        <v>45741</v>
      </c>
      <c r="D1013" s="11" t="s">
        <v>202</v>
      </c>
      <c r="E1013" s="11" t="s">
        <v>25</v>
      </c>
      <c r="F1013" s="11" t="s">
        <v>32</v>
      </c>
      <c r="G1013" s="29" t="s">
        <v>27</v>
      </c>
      <c r="H1013" s="11" t="s">
        <v>203</v>
      </c>
      <c r="I1013" s="12">
        <v>469.34</v>
      </c>
      <c r="J1013" s="13"/>
      <c r="K1013" s="13">
        <f t="shared" si="53"/>
        <v>469.34</v>
      </c>
      <c r="L1013" s="11" t="s">
        <v>53</v>
      </c>
      <c r="M1013" s="20">
        <v>45604.0</v>
      </c>
      <c r="N1013" s="11" t="s">
        <v>73</v>
      </c>
      <c r="O1013" s="10" t="str">
        <f t="shared" si="48"/>
        <v>03/2025</v>
      </c>
      <c r="P1013" s="10" t="str">
        <f t="shared" si="29"/>
        <v>03/2025</v>
      </c>
      <c r="Q1013" s="15" t="str">
        <f t="array" ref="Q1013">IFERROR(XLOOKUP(N1013,'Classificação'!A:A,'Classificação'!B:B),"")</f>
        <v>DESPESAS NÃO OPERACIONAIS</v>
      </c>
      <c r="R1013" s="15" t="str">
        <f t="array" ref="R1013">IFERROR(XLOOKUP(Q1013,'Classificação'!B:B,'Classificação'!C:C),"")</f>
        <v>RESULTADO NÃO OPERACIONAL (+/-)</v>
      </c>
      <c r="S1013" s="15">
        <f t="shared" si="5"/>
        <v>25</v>
      </c>
      <c r="T1013" s="15">
        <f t="shared" si="6"/>
        <v>3</v>
      </c>
      <c r="U1013" s="15">
        <f t="shared" si="7"/>
        <v>2025</v>
      </c>
      <c r="V1013" s="15">
        <f t="shared" si="8"/>
        <v>25</v>
      </c>
      <c r="W1013" s="15">
        <f t="shared" si="9"/>
        <v>3</v>
      </c>
      <c r="X1013" s="15">
        <f t="shared" si="10"/>
        <v>2025</v>
      </c>
    </row>
    <row r="1014">
      <c r="A1014" s="9">
        <v>45741.0</v>
      </c>
      <c r="B1014" s="10"/>
      <c r="C1014" s="9">
        <f t="shared" si="22"/>
        <v>45741</v>
      </c>
      <c r="D1014" s="11" t="s">
        <v>202</v>
      </c>
      <c r="E1014" s="11" t="s">
        <v>25</v>
      </c>
      <c r="F1014" s="11" t="s">
        <v>32</v>
      </c>
      <c r="G1014" s="29" t="s">
        <v>27</v>
      </c>
      <c r="H1014" s="11" t="s">
        <v>203</v>
      </c>
      <c r="I1014" s="12">
        <v>649.91</v>
      </c>
      <c r="J1014" s="13"/>
      <c r="K1014" s="13">
        <f t="shared" si="53"/>
        <v>649.91</v>
      </c>
      <c r="L1014" s="11" t="s">
        <v>53</v>
      </c>
      <c r="M1014" s="20">
        <v>45604.0</v>
      </c>
      <c r="N1014" s="11" t="s">
        <v>73</v>
      </c>
      <c r="O1014" s="10" t="str">
        <f t="shared" si="48"/>
        <v>03/2025</v>
      </c>
      <c r="P1014" s="10" t="str">
        <f t="shared" si="29"/>
        <v>03/2025</v>
      </c>
      <c r="Q1014" s="15" t="str">
        <f t="array" ref="Q1014">IFERROR(XLOOKUP(N1014,'Classificação'!A:A,'Classificação'!B:B),"")</f>
        <v>DESPESAS NÃO OPERACIONAIS</v>
      </c>
      <c r="R1014" s="15" t="str">
        <f t="array" ref="R1014">IFERROR(XLOOKUP(Q1014,'Classificação'!B:B,'Classificação'!C:C),"")</f>
        <v>RESULTADO NÃO OPERACIONAL (+/-)</v>
      </c>
      <c r="S1014" s="15">
        <f t="shared" si="5"/>
        <v>25</v>
      </c>
      <c r="T1014" s="15">
        <f t="shared" si="6"/>
        <v>3</v>
      </c>
      <c r="U1014" s="15">
        <f t="shared" si="7"/>
        <v>2025</v>
      </c>
      <c r="V1014" s="15">
        <f t="shared" si="8"/>
        <v>25</v>
      </c>
      <c r="W1014" s="15">
        <f t="shared" si="9"/>
        <v>3</v>
      </c>
      <c r="X1014" s="15">
        <f t="shared" si="10"/>
        <v>2025</v>
      </c>
    </row>
    <row r="1015">
      <c r="A1015" s="9">
        <v>45741.0</v>
      </c>
      <c r="B1015" s="10"/>
      <c r="C1015" s="9">
        <f t="shared" si="22"/>
        <v>45741</v>
      </c>
      <c r="D1015" s="11" t="s">
        <v>208</v>
      </c>
      <c r="E1015" s="11" t="s">
        <v>25</v>
      </c>
      <c r="F1015" s="11" t="s">
        <v>40</v>
      </c>
      <c r="G1015" s="11" t="s">
        <v>37</v>
      </c>
      <c r="H1015" s="11" t="s">
        <v>209</v>
      </c>
      <c r="I1015" s="12">
        <v>171.72</v>
      </c>
      <c r="J1015" s="13"/>
      <c r="K1015" s="13">
        <f t="shared" si="53"/>
        <v>171.72</v>
      </c>
      <c r="L1015" s="11" t="s">
        <v>29</v>
      </c>
      <c r="M1015" s="14"/>
      <c r="N1015" s="11" t="s">
        <v>210</v>
      </c>
      <c r="O1015" s="10" t="str">
        <f t="shared" si="48"/>
        <v>03/2025</v>
      </c>
      <c r="P1015" s="10" t="str">
        <f t="shared" si="29"/>
        <v>03/2025</v>
      </c>
      <c r="Q1015" s="15" t="str">
        <f t="array" ref="Q1015">IFERROR(XLOOKUP(N1015,'Classificação'!A:A,'Classificação'!B:B),"")</f>
        <v>DESPESAS COM OCUPAÇÃO</v>
      </c>
      <c r="R1015" s="15" t="str">
        <f t="array" ref="R1015">IFERROR(XLOOKUP(Q1015,'Classificação'!B:B,'Classificação'!C:C),"")</f>
        <v>DESPESAS FIXAS (-)</v>
      </c>
      <c r="S1015" s="15">
        <f t="shared" si="5"/>
        <v>25</v>
      </c>
      <c r="T1015" s="15">
        <f t="shared" si="6"/>
        <v>3</v>
      </c>
      <c r="U1015" s="15">
        <f t="shared" si="7"/>
        <v>2025</v>
      </c>
      <c r="V1015" s="15">
        <f t="shared" si="8"/>
        <v>25</v>
      </c>
      <c r="W1015" s="15">
        <f t="shared" si="9"/>
        <v>3</v>
      </c>
      <c r="X1015" s="15">
        <f t="shared" si="10"/>
        <v>2025</v>
      </c>
    </row>
    <row r="1016">
      <c r="A1016" s="9">
        <v>45742.0</v>
      </c>
      <c r="B1016" s="10"/>
      <c r="C1016" s="9">
        <f t="shared" si="22"/>
        <v>45742</v>
      </c>
      <c r="D1016" s="11" t="s">
        <v>520</v>
      </c>
      <c r="E1016" s="11" t="s">
        <v>25</v>
      </c>
      <c r="F1016" s="11" t="s">
        <v>26</v>
      </c>
      <c r="G1016" s="11" t="s">
        <v>37</v>
      </c>
      <c r="H1016" s="11" t="s">
        <v>609</v>
      </c>
      <c r="I1016" s="12">
        <v>162.5</v>
      </c>
      <c r="J1016" s="13"/>
      <c r="K1016" s="13">
        <f t="shared" si="53"/>
        <v>162.5</v>
      </c>
      <c r="L1016" s="11" t="s">
        <v>34</v>
      </c>
      <c r="M1016" s="14"/>
      <c r="N1016" s="11" t="s">
        <v>58</v>
      </c>
      <c r="O1016" s="10" t="str">
        <f t="shared" si="48"/>
        <v>03/2025</v>
      </c>
      <c r="P1016" s="10" t="str">
        <f t="shared" si="29"/>
        <v>03/2025</v>
      </c>
      <c r="Q1016" s="15" t="str">
        <f t="array" ref="Q1016">IFERROR(XLOOKUP(N1016,'Classificação'!A:A,'Classificação'!B:B),"")</f>
        <v>DESPESAS ADMINISTRATIVAS</v>
      </c>
      <c r="R1016" s="15" t="str">
        <f t="array" ref="R1016">IFERROR(XLOOKUP(Q1016,'Classificação'!B:B,'Classificação'!C:C),"")</f>
        <v>DESPESAS FIXAS (-)</v>
      </c>
      <c r="S1016" s="15">
        <f t="shared" si="5"/>
        <v>26</v>
      </c>
      <c r="T1016" s="15">
        <f t="shared" si="6"/>
        <v>3</v>
      </c>
      <c r="U1016" s="15">
        <f t="shared" si="7"/>
        <v>2025</v>
      </c>
      <c r="V1016" s="15">
        <f t="shared" si="8"/>
        <v>26</v>
      </c>
      <c r="W1016" s="15">
        <f t="shared" si="9"/>
        <v>3</v>
      </c>
      <c r="X1016" s="15">
        <f t="shared" si="10"/>
        <v>2025</v>
      </c>
    </row>
    <row r="1017">
      <c r="A1017" s="9">
        <v>45743.0</v>
      </c>
      <c r="B1017" s="32">
        <v>45653.0</v>
      </c>
      <c r="C1017" s="9">
        <f t="shared" si="22"/>
        <v>45743</v>
      </c>
      <c r="D1017" s="11" t="s">
        <v>86</v>
      </c>
      <c r="E1017" s="11" t="s">
        <v>25</v>
      </c>
      <c r="F1017" s="11" t="s">
        <v>87</v>
      </c>
      <c r="G1017" s="11" t="s">
        <v>27</v>
      </c>
      <c r="H1017" s="11" t="s">
        <v>642</v>
      </c>
      <c r="I1017" s="12">
        <v>1420.0</v>
      </c>
      <c r="J1017" s="13"/>
      <c r="K1017" s="13">
        <f t="shared" si="53"/>
        <v>1420</v>
      </c>
      <c r="L1017" s="11" t="s">
        <v>53</v>
      </c>
      <c r="M1017" s="17">
        <v>45354.0</v>
      </c>
      <c r="N1017" s="11" t="s">
        <v>35</v>
      </c>
      <c r="O1017" s="10" t="str">
        <f t="shared" si="48"/>
        <v>03/2025</v>
      </c>
      <c r="P1017" s="10" t="str">
        <f t="shared" si="29"/>
        <v>03/2025</v>
      </c>
      <c r="Q1017" s="15" t="str">
        <f t="array" ref="Q1017">IFERROR(XLOOKUP(N1017,'Classificação'!A:A,'Classificação'!B:B),"")</f>
        <v>COMPRA DE MERCADORIA</v>
      </c>
      <c r="R1017" s="15" t="str">
        <f t="array" ref="R1017">IFERROR(XLOOKUP(Q1017,'Classificação'!B:B,'Classificação'!C:C),"")</f>
        <v>CUSTOS VARIÁVEIS</v>
      </c>
      <c r="S1017" s="15">
        <f t="shared" si="5"/>
        <v>27</v>
      </c>
      <c r="T1017" s="15">
        <f t="shared" si="6"/>
        <v>3</v>
      </c>
      <c r="U1017" s="15">
        <f t="shared" si="7"/>
        <v>2025</v>
      </c>
      <c r="V1017" s="15">
        <f t="shared" si="8"/>
        <v>27</v>
      </c>
      <c r="W1017" s="15">
        <f t="shared" si="9"/>
        <v>3</v>
      </c>
      <c r="X1017" s="15">
        <f t="shared" si="10"/>
        <v>2025</v>
      </c>
    </row>
    <row r="1018">
      <c r="A1018" s="9">
        <v>45743.0</v>
      </c>
      <c r="B1018" s="10"/>
      <c r="C1018" s="9">
        <f t="shared" si="22"/>
        <v>45743</v>
      </c>
      <c r="D1018" s="11" t="s">
        <v>643</v>
      </c>
      <c r="E1018" s="11" t="s">
        <v>25</v>
      </c>
      <c r="F1018" s="11" t="s">
        <v>26</v>
      </c>
      <c r="G1018" s="11" t="s">
        <v>37</v>
      </c>
      <c r="H1018" s="11" t="s">
        <v>644</v>
      </c>
      <c r="I1018" s="12">
        <v>245.0</v>
      </c>
      <c r="J1018" s="13"/>
      <c r="K1018" s="13">
        <f t="shared" si="53"/>
        <v>245</v>
      </c>
      <c r="L1018" s="11" t="s">
        <v>34</v>
      </c>
      <c r="M1018" s="14"/>
      <c r="N1018" s="11" t="s">
        <v>392</v>
      </c>
      <c r="O1018" s="10" t="str">
        <f t="shared" si="48"/>
        <v>03/2025</v>
      </c>
      <c r="P1018" s="10" t="str">
        <f t="shared" si="29"/>
        <v>03/2025</v>
      </c>
      <c r="Q1018" s="15" t="str">
        <f t="array" ref="Q1018">IFERROR(XLOOKUP(N1018,'Classificação'!A:A,'Classificação'!B:B),"")</f>
        <v>DESPESAS COM OCUPAÇÃO</v>
      </c>
      <c r="R1018" s="15" t="str">
        <f t="array" ref="R1018">IFERROR(XLOOKUP(Q1018,'Classificação'!B:B,'Classificação'!C:C),"")</f>
        <v>DESPESAS FIXAS (-)</v>
      </c>
      <c r="S1018" s="15">
        <f t="shared" si="5"/>
        <v>27</v>
      </c>
      <c r="T1018" s="15">
        <f t="shared" si="6"/>
        <v>3</v>
      </c>
      <c r="U1018" s="15">
        <f t="shared" si="7"/>
        <v>2025</v>
      </c>
      <c r="V1018" s="15">
        <f t="shared" si="8"/>
        <v>27</v>
      </c>
      <c r="W1018" s="15">
        <f t="shared" si="9"/>
        <v>3</v>
      </c>
      <c r="X1018" s="15">
        <f t="shared" si="10"/>
        <v>2025</v>
      </c>
    </row>
    <row r="1019">
      <c r="A1019" s="9">
        <v>45744.0</v>
      </c>
      <c r="B1019" s="10"/>
      <c r="C1019" s="9">
        <f t="shared" si="22"/>
        <v>45744</v>
      </c>
      <c r="D1019" s="11" t="s">
        <v>219</v>
      </c>
      <c r="E1019" s="11" t="s">
        <v>25</v>
      </c>
      <c r="F1019" s="11" t="s">
        <v>40</v>
      </c>
      <c r="G1019" s="11" t="s">
        <v>27</v>
      </c>
      <c r="H1019" s="11" t="s">
        <v>589</v>
      </c>
      <c r="I1019" s="12">
        <v>2457.0</v>
      </c>
      <c r="J1019" s="13"/>
      <c r="K1019" s="13">
        <f t="shared" si="53"/>
        <v>2457</v>
      </c>
      <c r="L1019" s="11" t="s">
        <v>53</v>
      </c>
      <c r="M1019" s="17">
        <v>45718.0</v>
      </c>
      <c r="N1019" s="11" t="s">
        <v>35</v>
      </c>
      <c r="O1019" s="10" t="str">
        <f t="shared" si="48"/>
        <v>03/2025</v>
      </c>
      <c r="P1019" s="10" t="str">
        <f t="shared" si="29"/>
        <v>03/2025</v>
      </c>
      <c r="Q1019" s="15" t="str">
        <f t="array" ref="Q1019">IFERROR(XLOOKUP(N1019,'Classificação'!A:A,'Classificação'!B:B),"")</f>
        <v>COMPRA DE MERCADORIA</v>
      </c>
      <c r="R1019" s="15" t="str">
        <f t="array" ref="R1019">IFERROR(XLOOKUP(Q1019,'Classificação'!B:B,'Classificação'!C:C),"")</f>
        <v>CUSTOS VARIÁVEIS</v>
      </c>
      <c r="S1019" s="15">
        <f t="shared" si="5"/>
        <v>28</v>
      </c>
      <c r="T1019" s="15">
        <f t="shared" si="6"/>
        <v>3</v>
      </c>
      <c r="U1019" s="15">
        <f t="shared" si="7"/>
        <v>2025</v>
      </c>
      <c r="V1019" s="15">
        <f t="shared" si="8"/>
        <v>28</v>
      </c>
      <c r="W1019" s="15">
        <f t="shared" si="9"/>
        <v>3</v>
      </c>
      <c r="X1019" s="15">
        <f t="shared" si="10"/>
        <v>2025</v>
      </c>
    </row>
    <row r="1020">
      <c r="A1020" s="9">
        <v>45744.0</v>
      </c>
      <c r="B1020" s="10"/>
      <c r="C1020" s="9">
        <f t="shared" si="22"/>
        <v>45744</v>
      </c>
      <c r="D1020" s="11" t="s">
        <v>80</v>
      </c>
      <c r="E1020" s="11" t="s">
        <v>25</v>
      </c>
      <c r="F1020" s="11" t="s">
        <v>32</v>
      </c>
      <c r="G1020" s="11" t="s">
        <v>27</v>
      </c>
      <c r="H1020" s="11" t="s">
        <v>225</v>
      </c>
      <c r="I1020" s="12">
        <v>973.42</v>
      </c>
      <c r="J1020" s="13"/>
      <c r="K1020" s="13">
        <f t="shared" si="53"/>
        <v>973.42</v>
      </c>
      <c r="L1020" s="11" t="s">
        <v>29</v>
      </c>
      <c r="M1020" s="14"/>
      <c r="N1020" s="11" t="s">
        <v>38</v>
      </c>
      <c r="O1020" s="10" t="str">
        <f t="shared" si="48"/>
        <v>03/2025</v>
      </c>
      <c r="P1020" s="10" t="str">
        <f t="shared" si="29"/>
        <v>03/2025</v>
      </c>
      <c r="Q1020" s="15" t="str">
        <f t="array" ref="Q1020">IFERROR(XLOOKUP(N1020,'Classificação'!A:A,'Classificação'!B:B),"")</f>
        <v>DESPESAS COM PESSOAL</v>
      </c>
      <c r="R1020" s="15" t="str">
        <f t="array" ref="R1020">IFERROR(XLOOKUP(Q1020,'Classificação'!B:B,'Classificação'!C:C),"")</f>
        <v>DESPESAS FIXAS (-)</v>
      </c>
      <c r="S1020" s="15">
        <f t="shared" si="5"/>
        <v>28</v>
      </c>
      <c r="T1020" s="15">
        <f t="shared" si="6"/>
        <v>3</v>
      </c>
      <c r="U1020" s="15">
        <f t="shared" si="7"/>
        <v>2025</v>
      </c>
      <c r="V1020" s="15">
        <f t="shared" si="8"/>
        <v>28</v>
      </c>
      <c r="W1020" s="15">
        <f t="shared" si="9"/>
        <v>3</v>
      </c>
      <c r="X1020" s="15">
        <f t="shared" si="10"/>
        <v>2025</v>
      </c>
    </row>
    <row r="1021">
      <c r="A1021" s="9">
        <v>45744.0</v>
      </c>
      <c r="B1021" s="10"/>
      <c r="C1021" s="9">
        <f t="shared" si="22"/>
        <v>45744</v>
      </c>
      <c r="D1021" s="11" t="s">
        <v>83</v>
      </c>
      <c r="E1021" s="11" t="s">
        <v>25</v>
      </c>
      <c r="F1021" s="11" t="s">
        <v>40</v>
      </c>
      <c r="G1021" s="11" t="s">
        <v>27</v>
      </c>
      <c r="I1021" s="12">
        <v>1191.47</v>
      </c>
      <c r="J1021" s="13"/>
      <c r="K1021" s="13">
        <f t="shared" si="53"/>
        <v>1191.47</v>
      </c>
      <c r="L1021" s="11" t="s">
        <v>29</v>
      </c>
      <c r="M1021" s="14"/>
      <c r="N1021" s="11" t="s">
        <v>38</v>
      </c>
      <c r="O1021" s="10" t="str">
        <f t="shared" si="48"/>
        <v>03/2025</v>
      </c>
      <c r="P1021" s="10" t="str">
        <f t="shared" si="29"/>
        <v>03/2025</v>
      </c>
      <c r="Q1021" s="15" t="str">
        <f t="array" ref="Q1021">IFERROR(XLOOKUP(N1021,'Classificação'!A:A,'Classificação'!B:B),"")</f>
        <v>DESPESAS COM PESSOAL</v>
      </c>
      <c r="R1021" s="15" t="str">
        <f t="array" ref="R1021">IFERROR(XLOOKUP(Q1021,'Classificação'!B:B,'Classificação'!C:C),"")</f>
        <v>DESPESAS FIXAS (-)</v>
      </c>
      <c r="S1021" s="15">
        <f t="shared" si="5"/>
        <v>28</v>
      </c>
      <c r="T1021" s="15">
        <f t="shared" si="6"/>
        <v>3</v>
      </c>
      <c r="U1021" s="15">
        <f t="shared" si="7"/>
        <v>2025</v>
      </c>
      <c r="V1021" s="15">
        <f t="shared" si="8"/>
        <v>28</v>
      </c>
      <c r="W1021" s="15">
        <f t="shared" si="9"/>
        <v>3</v>
      </c>
      <c r="X1021" s="15">
        <f t="shared" si="10"/>
        <v>2025</v>
      </c>
    </row>
    <row r="1022">
      <c r="A1022" s="9">
        <v>45744.0</v>
      </c>
      <c r="B1022" s="10"/>
      <c r="C1022" s="9">
        <f t="shared" si="22"/>
        <v>45744</v>
      </c>
      <c r="D1022" s="11" t="s">
        <v>44</v>
      </c>
      <c r="E1022" s="11" t="s">
        <v>25</v>
      </c>
      <c r="F1022" s="11" t="s">
        <v>45</v>
      </c>
      <c r="G1022" s="11" t="s">
        <v>27</v>
      </c>
      <c r="H1022" s="11" t="s">
        <v>539</v>
      </c>
      <c r="I1022" s="12">
        <v>200.01</v>
      </c>
      <c r="J1022" s="13"/>
      <c r="K1022" s="13">
        <f t="shared" si="53"/>
        <v>200.01</v>
      </c>
      <c r="L1022" s="11" t="s">
        <v>34</v>
      </c>
      <c r="M1022" s="14"/>
      <c r="N1022" s="11" t="s">
        <v>448</v>
      </c>
      <c r="O1022" s="10" t="str">
        <f t="shared" si="48"/>
        <v>03/2025</v>
      </c>
      <c r="P1022" s="10" t="str">
        <f t="shared" si="29"/>
        <v>03/2025</v>
      </c>
      <c r="Q1022" s="15" t="str">
        <f t="array" ref="Q1022">IFERROR(XLOOKUP(N1022,'Classificação'!A:A,'Classificação'!B:B),"")</f>
        <v>DESPESAS ADMINISTRATIVAS</v>
      </c>
      <c r="R1022" s="15" t="str">
        <f t="array" ref="R1022">IFERROR(XLOOKUP(Q1022,'Classificação'!B:B,'Classificação'!C:C),"")</f>
        <v>DESPESAS FIXAS (-)</v>
      </c>
      <c r="S1022" s="15">
        <f t="shared" si="5"/>
        <v>28</v>
      </c>
      <c r="T1022" s="15">
        <f t="shared" si="6"/>
        <v>3</v>
      </c>
      <c r="U1022" s="15">
        <f t="shared" si="7"/>
        <v>2025</v>
      </c>
      <c r="V1022" s="15">
        <f t="shared" si="8"/>
        <v>28</v>
      </c>
      <c r="W1022" s="15">
        <f t="shared" si="9"/>
        <v>3</v>
      </c>
      <c r="X1022" s="15">
        <f t="shared" si="10"/>
        <v>2025</v>
      </c>
    </row>
    <row r="1023">
      <c r="A1023" s="9">
        <v>45744.0</v>
      </c>
      <c r="B1023" s="10"/>
      <c r="C1023" s="9">
        <f t="shared" si="22"/>
        <v>45744</v>
      </c>
      <c r="D1023" s="11" t="s">
        <v>44</v>
      </c>
      <c r="E1023" s="11" t="s">
        <v>25</v>
      </c>
      <c r="F1023" s="11" t="s">
        <v>45</v>
      </c>
      <c r="G1023" s="11" t="s">
        <v>27</v>
      </c>
      <c r="H1023" s="11" t="s">
        <v>539</v>
      </c>
      <c r="I1023" s="12">
        <v>91.96</v>
      </c>
      <c r="J1023" s="13"/>
      <c r="K1023" s="13">
        <f t="shared" si="53"/>
        <v>91.96</v>
      </c>
      <c r="L1023" s="11" t="s">
        <v>34</v>
      </c>
      <c r="M1023" s="14"/>
      <c r="N1023" s="11" t="s">
        <v>448</v>
      </c>
      <c r="O1023" s="10" t="str">
        <f t="shared" si="48"/>
        <v>03/2025</v>
      </c>
      <c r="P1023" s="10" t="str">
        <f t="shared" si="29"/>
        <v>03/2025</v>
      </c>
      <c r="Q1023" s="15" t="str">
        <f t="array" ref="Q1023">IFERROR(XLOOKUP(N1023,'Classificação'!A:A,'Classificação'!B:B),"")</f>
        <v>DESPESAS ADMINISTRATIVAS</v>
      </c>
      <c r="R1023" s="15" t="str">
        <f t="array" ref="R1023">IFERROR(XLOOKUP(Q1023,'Classificação'!B:B,'Classificação'!C:C),"")</f>
        <v>DESPESAS FIXAS (-)</v>
      </c>
      <c r="S1023" s="15">
        <f t="shared" si="5"/>
        <v>28</v>
      </c>
      <c r="T1023" s="15">
        <f t="shared" si="6"/>
        <v>3</v>
      </c>
      <c r="U1023" s="15">
        <f t="shared" si="7"/>
        <v>2025</v>
      </c>
      <c r="V1023" s="15">
        <f t="shared" si="8"/>
        <v>28</v>
      </c>
      <c r="W1023" s="15">
        <f t="shared" si="9"/>
        <v>3</v>
      </c>
      <c r="X1023" s="15">
        <f t="shared" si="10"/>
        <v>2025</v>
      </c>
    </row>
    <row r="1024">
      <c r="A1024" s="9">
        <v>45744.0</v>
      </c>
      <c r="B1024" s="10"/>
      <c r="C1024" s="9">
        <f t="shared" si="22"/>
        <v>45744</v>
      </c>
      <c r="D1024" s="11" t="s">
        <v>44</v>
      </c>
      <c r="E1024" s="11" t="s">
        <v>25</v>
      </c>
      <c r="F1024" s="11" t="s">
        <v>45</v>
      </c>
      <c r="G1024" s="11" t="s">
        <v>27</v>
      </c>
      <c r="H1024" s="11" t="s">
        <v>645</v>
      </c>
      <c r="I1024" s="12">
        <v>1609.27</v>
      </c>
      <c r="J1024" s="13"/>
      <c r="K1024" s="13">
        <f t="shared" si="53"/>
        <v>1609.27</v>
      </c>
      <c r="L1024" s="11" t="s">
        <v>34</v>
      </c>
      <c r="M1024" s="14"/>
      <c r="N1024" s="11" t="s">
        <v>448</v>
      </c>
      <c r="O1024" s="10" t="str">
        <f t="shared" si="48"/>
        <v>03/2025</v>
      </c>
      <c r="P1024" s="10" t="str">
        <f t="shared" si="29"/>
        <v>03/2025</v>
      </c>
      <c r="Q1024" s="15" t="str">
        <f t="array" ref="Q1024">IFERROR(XLOOKUP(N1024,'Classificação'!A:A,'Classificação'!B:B),"")</f>
        <v>DESPESAS ADMINISTRATIVAS</v>
      </c>
      <c r="R1024" s="15" t="str">
        <f t="array" ref="R1024">IFERROR(XLOOKUP(Q1024,'Classificação'!B:B,'Classificação'!C:C),"")</f>
        <v>DESPESAS FIXAS (-)</v>
      </c>
      <c r="S1024" s="15">
        <f t="shared" si="5"/>
        <v>28</v>
      </c>
      <c r="T1024" s="15">
        <f t="shared" si="6"/>
        <v>3</v>
      </c>
      <c r="U1024" s="15">
        <f t="shared" si="7"/>
        <v>2025</v>
      </c>
      <c r="V1024" s="15">
        <f t="shared" si="8"/>
        <v>28</v>
      </c>
      <c r="W1024" s="15">
        <f t="shared" si="9"/>
        <v>3</v>
      </c>
      <c r="X1024" s="15">
        <f t="shared" si="10"/>
        <v>2025</v>
      </c>
    </row>
    <row r="1025">
      <c r="A1025" s="9">
        <v>45744.0</v>
      </c>
      <c r="B1025" s="10"/>
      <c r="C1025" s="9">
        <f t="shared" si="22"/>
        <v>45744</v>
      </c>
      <c r="D1025" s="11" t="s">
        <v>44</v>
      </c>
      <c r="E1025" s="11" t="s">
        <v>25</v>
      </c>
      <c r="F1025" s="11" t="s">
        <v>45</v>
      </c>
      <c r="G1025" s="11" t="s">
        <v>27</v>
      </c>
      <c r="H1025" s="11" t="s">
        <v>527</v>
      </c>
      <c r="I1025" s="12">
        <v>19.63</v>
      </c>
      <c r="J1025" s="13"/>
      <c r="K1025" s="13">
        <f t="shared" si="53"/>
        <v>19.63</v>
      </c>
      <c r="L1025" s="11" t="s">
        <v>34</v>
      </c>
      <c r="M1025" s="14"/>
      <c r="N1025" s="11" t="s">
        <v>97</v>
      </c>
      <c r="O1025" s="10" t="str">
        <f t="shared" si="48"/>
        <v>03/2025</v>
      </c>
      <c r="P1025" s="10" t="str">
        <f t="shared" si="29"/>
        <v>03/2025</v>
      </c>
      <c r="Q1025" s="15" t="str">
        <f t="array" ref="Q1025">IFERROR(XLOOKUP(N1025,'Classificação'!A:A,'Classificação'!B:B),"")</f>
        <v>TARIFAS DE PIX</v>
      </c>
      <c r="R1025" s="15" t="str">
        <f t="array" ref="R1025">IFERROR(XLOOKUP(Q1025,'Classificação'!B:B,'Classificação'!C:C),"")</f>
        <v>(+/-) RESULTADO FINANCEIRO LÍQUIDO</v>
      </c>
      <c r="S1025" s="15">
        <f t="shared" si="5"/>
        <v>28</v>
      </c>
      <c r="T1025" s="15">
        <f t="shared" si="6"/>
        <v>3</v>
      </c>
      <c r="U1025" s="15">
        <f t="shared" si="7"/>
        <v>2025</v>
      </c>
      <c r="V1025" s="15">
        <f t="shared" si="8"/>
        <v>28</v>
      </c>
      <c r="W1025" s="15">
        <f t="shared" si="9"/>
        <v>3</v>
      </c>
      <c r="X1025" s="15">
        <f t="shared" si="10"/>
        <v>2025</v>
      </c>
    </row>
    <row r="1026">
      <c r="A1026" s="9">
        <v>45744.0</v>
      </c>
      <c r="B1026" s="10"/>
      <c r="C1026" s="9">
        <f t="shared" si="22"/>
        <v>45744</v>
      </c>
      <c r="D1026" s="11" t="s">
        <v>44</v>
      </c>
      <c r="E1026" s="11" t="s">
        <v>25</v>
      </c>
      <c r="F1026" s="11" t="s">
        <v>45</v>
      </c>
      <c r="G1026" s="11" t="s">
        <v>27</v>
      </c>
      <c r="H1026" s="11" t="s">
        <v>646</v>
      </c>
      <c r="I1026" s="12">
        <v>3.02</v>
      </c>
      <c r="J1026" s="13"/>
      <c r="K1026" s="13">
        <f t="shared" si="53"/>
        <v>3.02</v>
      </c>
      <c r="L1026" s="11" t="s">
        <v>34</v>
      </c>
      <c r="M1026" s="14"/>
      <c r="N1026" s="11" t="s">
        <v>47</v>
      </c>
      <c r="O1026" s="10" t="str">
        <f t="shared" si="48"/>
        <v>03/2025</v>
      </c>
      <c r="P1026" s="10" t="str">
        <f t="shared" si="29"/>
        <v>03/2025</v>
      </c>
      <c r="Q1026" s="15" t="str">
        <f t="array" ref="Q1026">IFERROR(XLOOKUP(N1026,'Classificação'!A:A,'Classificação'!B:B),"")</f>
        <v>DESPESAS NÃO OPERACIONAIS</v>
      </c>
      <c r="R1026" s="15" t="str">
        <f t="array" ref="R1026">IFERROR(XLOOKUP(Q1026,'Classificação'!B:B,'Classificação'!C:C),"")</f>
        <v>RESULTADO NÃO OPERACIONAL (+/-)</v>
      </c>
      <c r="S1026" s="15">
        <f t="shared" si="5"/>
        <v>28</v>
      </c>
      <c r="T1026" s="15">
        <f t="shared" si="6"/>
        <v>3</v>
      </c>
      <c r="U1026" s="15">
        <f t="shared" si="7"/>
        <v>2025</v>
      </c>
      <c r="V1026" s="15">
        <f t="shared" si="8"/>
        <v>28</v>
      </c>
      <c r="W1026" s="15">
        <f t="shared" si="9"/>
        <v>3</v>
      </c>
      <c r="X1026" s="15">
        <f t="shared" si="10"/>
        <v>2025</v>
      </c>
    </row>
    <row r="1027">
      <c r="A1027" s="9">
        <v>45747.0</v>
      </c>
      <c r="B1027" s="9">
        <v>45673.0</v>
      </c>
      <c r="C1027" s="9">
        <f t="shared" si="22"/>
        <v>45747</v>
      </c>
      <c r="D1027" s="11" t="s">
        <v>86</v>
      </c>
      <c r="E1027" s="11" t="s">
        <v>25</v>
      </c>
      <c r="F1027" s="11" t="s">
        <v>87</v>
      </c>
      <c r="G1027" s="11" t="s">
        <v>27</v>
      </c>
      <c r="H1027" s="11" t="s">
        <v>647</v>
      </c>
      <c r="I1027" s="12">
        <v>1420.0</v>
      </c>
      <c r="J1027" s="13"/>
      <c r="K1027" s="13">
        <f t="shared" si="53"/>
        <v>1420</v>
      </c>
      <c r="L1027" s="11" t="s">
        <v>53</v>
      </c>
      <c r="M1027" s="17">
        <v>45718.0</v>
      </c>
      <c r="N1027" s="11" t="s">
        <v>35</v>
      </c>
      <c r="O1027" s="10" t="str">
        <f t="shared" si="48"/>
        <v>03/2025</v>
      </c>
      <c r="P1027" s="10" t="str">
        <f t="shared" si="29"/>
        <v>03/2025</v>
      </c>
      <c r="Q1027" s="15" t="str">
        <f t="array" ref="Q1027">IFERROR(XLOOKUP(N1027,'Classificação'!A:A,'Classificação'!B:B),"")</f>
        <v>COMPRA DE MERCADORIA</v>
      </c>
      <c r="R1027" s="15" t="str">
        <f t="array" ref="R1027">IFERROR(XLOOKUP(Q1027,'Classificação'!B:B,'Classificação'!C:C),"")</f>
        <v>CUSTOS VARIÁVEIS</v>
      </c>
      <c r="S1027" s="15">
        <f t="shared" si="5"/>
        <v>31</v>
      </c>
      <c r="T1027" s="15">
        <f t="shared" si="6"/>
        <v>3</v>
      </c>
      <c r="U1027" s="15">
        <f t="shared" si="7"/>
        <v>2025</v>
      </c>
      <c r="V1027" s="15">
        <f t="shared" si="8"/>
        <v>31</v>
      </c>
      <c r="W1027" s="15">
        <f t="shared" si="9"/>
        <v>3</v>
      </c>
      <c r="X1027" s="15">
        <f t="shared" si="10"/>
        <v>2025</v>
      </c>
    </row>
    <row r="1028">
      <c r="A1028" s="9">
        <v>45747.0</v>
      </c>
      <c r="B1028" s="9">
        <v>45667.0</v>
      </c>
      <c r="C1028" s="9">
        <f t="shared" si="22"/>
        <v>45747</v>
      </c>
      <c r="D1028" s="11" t="s">
        <v>399</v>
      </c>
      <c r="E1028" s="11" t="s">
        <v>25</v>
      </c>
      <c r="F1028" s="11" t="s">
        <v>40</v>
      </c>
      <c r="G1028" s="11" t="s">
        <v>27</v>
      </c>
      <c r="H1028" s="11" t="s">
        <v>586</v>
      </c>
      <c r="I1028" s="12">
        <v>541.01</v>
      </c>
      <c r="J1028" s="13"/>
      <c r="K1028" s="13">
        <f t="shared" si="53"/>
        <v>541.01</v>
      </c>
      <c r="L1028" s="11" t="s">
        <v>53</v>
      </c>
      <c r="M1028" s="17">
        <v>45719.0</v>
      </c>
      <c r="N1028" s="11" t="s">
        <v>35</v>
      </c>
      <c r="O1028" s="10" t="str">
        <f t="shared" si="48"/>
        <v>03/2025</v>
      </c>
      <c r="P1028" s="10" t="str">
        <f t="shared" si="29"/>
        <v>03/2025</v>
      </c>
      <c r="Q1028" s="15" t="str">
        <f t="array" ref="Q1028">IFERROR(XLOOKUP(N1028,'Classificação'!A:A,'Classificação'!B:B),"")</f>
        <v>COMPRA DE MERCADORIA</v>
      </c>
      <c r="R1028" s="15" t="str">
        <f t="array" ref="R1028">IFERROR(XLOOKUP(Q1028,'Classificação'!B:B,'Classificação'!C:C),"")</f>
        <v>CUSTOS VARIÁVEIS</v>
      </c>
      <c r="S1028" s="15">
        <f t="shared" si="5"/>
        <v>31</v>
      </c>
      <c r="T1028" s="15">
        <f t="shared" si="6"/>
        <v>3</v>
      </c>
      <c r="U1028" s="15">
        <f t="shared" si="7"/>
        <v>2025</v>
      </c>
      <c r="V1028" s="15">
        <f t="shared" si="8"/>
        <v>31</v>
      </c>
      <c r="W1028" s="15">
        <f t="shared" si="9"/>
        <v>3</v>
      </c>
      <c r="X1028" s="15">
        <f t="shared" si="10"/>
        <v>2025</v>
      </c>
    </row>
    <row r="1029">
      <c r="A1029" s="9">
        <v>45747.0</v>
      </c>
      <c r="B1029" s="10"/>
      <c r="C1029" s="9">
        <f t="shared" si="22"/>
        <v>45747</v>
      </c>
      <c r="D1029" s="11" t="s">
        <v>223</v>
      </c>
      <c r="E1029" s="11" t="s">
        <v>25</v>
      </c>
      <c r="F1029" s="11" t="s">
        <v>32</v>
      </c>
      <c r="G1029" s="11" t="s">
        <v>37</v>
      </c>
      <c r="I1029" s="12">
        <v>100.0</v>
      </c>
      <c r="J1029" s="13"/>
      <c r="K1029" s="13">
        <f t="shared" si="53"/>
        <v>100</v>
      </c>
      <c r="L1029" s="11" t="s">
        <v>29</v>
      </c>
      <c r="M1029" s="14"/>
      <c r="N1029" s="11" t="s">
        <v>224</v>
      </c>
      <c r="O1029" s="10" t="str">
        <f t="shared" si="48"/>
        <v>03/2025</v>
      </c>
      <c r="P1029" s="10" t="str">
        <f t="shared" si="29"/>
        <v>03/2025</v>
      </c>
      <c r="Q1029" s="15" t="str">
        <f t="array" ref="Q1029">IFERROR(XLOOKUP(N1029,'Classificação'!A:A,'Classificação'!B:B),"")</f>
        <v>DESPESAS ADMINISTRATIVAS</v>
      </c>
      <c r="R1029" s="15" t="str">
        <f t="array" ref="R1029">IFERROR(XLOOKUP(Q1029,'Classificação'!B:B,'Classificação'!C:C),"")</f>
        <v>DESPESAS FIXAS (-)</v>
      </c>
      <c r="S1029" s="15">
        <f t="shared" si="5"/>
        <v>31</v>
      </c>
      <c r="T1029" s="15">
        <f t="shared" si="6"/>
        <v>3</v>
      </c>
      <c r="U1029" s="15">
        <f t="shared" si="7"/>
        <v>2025</v>
      </c>
      <c r="V1029" s="15">
        <f t="shared" si="8"/>
        <v>31</v>
      </c>
      <c r="W1029" s="15">
        <f t="shared" si="9"/>
        <v>3</v>
      </c>
      <c r="X1029" s="15">
        <f t="shared" si="10"/>
        <v>2025</v>
      </c>
    </row>
    <row r="1030">
      <c r="A1030" s="9">
        <v>45747.0</v>
      </c>
      <c r="B1030" s="10"/>
      <c r="C1030" s="9">
        <f t="shared" si="22"/>
        <v>45747</v>
      </c>
      <c r="D1030" s="11" t="s">
        <v>221</v>
      </c>
      <c r="E1030" s="11" t="s">
        <v>25</v>
      </c>
      <c r="F1030" s="11" t="s">
        <v>32</v>
      </c>
      <c r="G1030" s="11" t="s">
        <v>27</v>
      </c>
      <c r="H1030" s="11" t="s">
        <v>648</v>
      </c>
      <c r="I1030" s="12">
        <v>380.54</v>
      </c>
      <c r="J1030" s="13"/>
      <c r="K1030" s="13">
        <f t="shared" si="53"/>
        <v>380.54</v>
      </c>
      <c r="L1030" s="11" t="s">
        <v>29</v>
      </c>
      <c r="M1030" s="14"/>
      <c r="N1030" s="11" t="s">
        <v>61</v>
      </c>
      <c r="O1030" s="10" t="str">
        <f t="shared" si="48"/>
        <v>03/2025</v>
      </c>
      <c r="P1030" s="10" t="str">
        <f t="shared" si="29"/>
        <v>03/2025</v>
      </c>
      <c r="Q1030" s="15" t="str">
        <f t="array" ref="Q1030">IFERROR(XLOOKUP(N1030,'Classificação'!A:A,'Classificação'!B:B),"")</f>
        <v>DESPESAS ADMINISTRATIVAS</v>
      </c>
      <c r="R1030" s="15" t="str">
        <f t="array" ref="R1030">IFERROR(XLOOKUP(Q1030,'Classificação'!B:B,'Classificação'!C:C),"")</f>
        <v>DESPESAS FIXAS (-)</v>
      </c>
      <c r="S1030" s="15">
        <f t="shared" si="5"/>
        <v>31</v>
      </c>
      <c r="T1030" s="15">
        <f t="shared" si="6"/>
        <v>3</v>
      </c>
      <c r="U1030" s="15">
        <f t="shared" si="7"/>
        <v>2025</v>
      </c>
      <c r="V1030" s="15">
        <f t="shared" si="8"/>
        <v>31</v>
      </c>
      <c r="W1030" s="15">
        <f t="shared" si="9"/>
        <v>3</v>
      </c>
      <c r="X1030" s="15">
        <f t="shared" si="10"/>
        <v>2025</v>
      </c>
    </row>
    <row r="1031">
      <c r="A1031" s="9">
        <v>45747.0</v>
      </c>
      <c r="B1031" s="10"/>
      <c r="C1031" s="9">
        <f t="shared" si="22"/>
        <v>45747</v>
      </c>
      <c r="D1031" s="11" t="s">
        <v>83</v>
      </c>
      <c r="E1031" s="11" t="s">
        <v>25</v>
      </c>
      <c r="F1031" s="11" t="s">
        <v>40</v>
      </c>
      <c r="G1031" s="11" t="s">
        <v>27</v>
      </c>
      <c r="H1031" s="11" t="s">
        <v>611</v>
      </c>
      <c r="I1031" s="12">
        <v>330.0</v>
      </c>
      <c r="J1031" s="13"/>
      <c r="K1031" s="13">
        <f t="shared" si="53"/>
        <v>330</v>
      </c>
      <c r="L1031" s="11" t="s">
        <v>29</v>
      </c>
      <c r="M1031" s="14"/>
      <c r="N1031" s="11" t="s">
        <v>204</v>
      </c>
      <c r="O1031" s="10" t="str">
        <f t="shared" si="48"/>
        <v>03/2025</v>
      </c>
      <c r="P1031" s="10" t="str">
        <f t="shared" si="29"/>
        <v>03/2025</v>
      </c>
      <c r="Q1031" s="15" t="str">
        <f t="array" ref="Q1031">IFERROR(XLOOKUP(N1031,'Classificação'!A:A,'Classificação'!B:B),"")</f>
        <v>DESPESAS COM PESSOAL</v>
      </c>
      <c r="R1031" s="15" t="str">
        <f t="array" ref="R1031">IFERROR(XLOOKUP(Q1031,'Classificação'!B:B,'Classificação'!C:C),"")</f>
        <v>DESPESAS FIXAS (-)</v>
      </c>
      <c r="S1031" s="15">
        <f t="shared" si="5"/>
        <v>31</v>
      </c>
      <c r="T1031" s="15">
        <f t="shared" si="6"/>
        <v>3</v>
      </c>
      <c r="U1031" s="15">
        <f t="shared" si="7"/>
        <v>2025</v>
      </c>
      <c r="V1031" s="15">
        <f t="shared" si="8"/>
        <v>31</v>
      </c>
      <c r="W1031" s="15">
        <f t="shared" si="9"/>
        <v>3</v>
      </c>
      <c r="X1031" s="15">
        <f t="shared" si="10"/>
        <v>2025</v>
      </c>
    </row>
    <row r="1032">
      <c r="A1032" s="9">
        <v>45747.0</v>
      </c>
      <c r="B1032" s="10"/>
      <c r="C1032" s="9">
        <f t="shared" si="22"/>
        <v>45747</v>
      </c>
      <c r="D1032" s="11" t="s">
        <v>80</v>
      </c>
      <c r="E1032" s="11" t="s">
        <v>25</v>
      </c>
      <c r="F1032" s="11" t="s">
        <v>40</v>
      </c>
      <c r="G1032" s="11" t="s">
        <v>27</v>
      </c>
      <c r="H1032" s="11" t="s">
        <v>611</v>
      </c>
      <c r="I1032" s="12">
        <v>330.0</v>
      </c>
      <c r="J1032" s="13"/>
      <c r="K1032" s="13">
        <f t="shared" si="53"/>
        <v>330</v>
      </c>
      <c r="L1032" s="11" t="s">
        <v>29</v>
      </c>
      <c r="M1032" s="14"/>
      <c r="N1032" s="11" t="s">
        <v>204</v>
      </c>
      <c r="O1032" s="10" t="str">
        <f t="shared" si="48"/>
        <v>03/2025</v>
      </c>
      <c r="P1032" s="10" t="str">
        <f t="shared" si="29"/>
        <v>03/2025</v>
      </c>
      <c r="Q1032" s="15" t="str">
        <f t="array" ref="Q1032">IFERROR(XLOOKUP(N1032,'Classificação'!A:A,'Classificação'!B:B),"")</f>
        <v>DESPESAS COM PESSOAL</v>
      </c>
      <c r="R1032" s="15" t="str">
        <f t="array" ref="R1032">IFERROR(XLOOKUP(Q1032,'Classificação'!B:B,'Classificação'!C:C),"")</f>
        <v>DESPESAS FIXAS (-)</v>
      </c>
      <c r="S1032" s="15">
        <f t="shared" si="5"/>
        <v>31</v>
      </c>
      <c r="T1032" s="15">
        <f t="shared" si="6"/>
        <v>3</v>
      </c>
      <c r="U1032" s="15">
        <f t="shared" si="7"/>
        <v>2025</v>
      </c>
      <c r="V1032" s="15">
        <f t="shared" si="8"/>
        <v>31</v>
      </c>
      <c r="W1032" s="15">
        <f t="shared" si="9"/>
        <v>3</v>
      </c>
      <c r="X1032" s="15">
        <f t="shared" si="10"/>
        <v>2025</v>
      </c>
    </row>
    <row r="1033">
      <c r="A1033" s="9">
        <v>45747.0</v>
      </c>
      <c r="B1033" s="9">
        <v>45667.0</v>
      </c>
      <c r="C1033" s="9">
        <f t="shared" si="22"/>
        <v>45747</v>
      </c>
      <c r="D1033" s="11" t="s">
        <v>399</v>
      </c>
      <c r="E1033" s="11" t="s">
        <v>25</v>
      </c>
      <c r="F1033" s="11" t="s">
        <v>40</v>
      </c>
      <c r="G1033" s="11" t="s">
        <v>37</v>
      </c>
      <c r="H1033" s="11" t="s">
        <v>587</v>
      </c>
      <c r="I1033" s="12">
        <v>541.01</v>
      </c>
      <c r="J1033" s="13"/>
      <c r="K1033" s="13">
        <f t="shared" si="53"/>
        <v>541.01</v>
      </c>
      <c r="L1033" s="11" t="s">
        <v>53</v>
      </c>
      <c r="M1033" s="17">
        <v>45719.0</v>
      </c>
      <c r="N1033" s="11" t="s">
        <v>35</v>
      </c>
      <c r="O1033" s="10" t="str">
        <f t="shared" si="48"/>
        <v>03/2025</v>
      </c>
      <c r="P1033" s="10" t="str">
        <f t="shared" si="29"/>
        <v>03/2025</v>
      </c>
      <c r="Q1033" s="15" t="str">
        <f t="array" ref="Q1033">IFERROR(XLOOKUP(N1033,'Classificação'!A:A,'Classificação'!B:B),"")</f>
        <v>COMPRA DE MERCADORIA</v>
      </c>
      <c r="R1033" s="15" t="str">
        <f t="array" ref="R1033">IFERROR(XLOOKUP(Q1033,'Classificação'!B:B,'Classificação'!C:C),"")</f>
        <v>CUSTOS VARIÁVEIS</v>
      </c>
      <c r="S1033" s="15">
        <f t="shared" si="5"/>
        <v>31</v>
      </c>
      <c r="T1033" s="15">
        <f t="shared" si="6"/>
        <v>3</v>
      </c>
      <c r="U1033" s="15">
        <f t="shared" si="7"/>
        <v>2025</v>
      </c>
      <c r="V1033" s="15">
        <f t="shared" si="8"/>
        <v>31</v>
      </c>
      <c r="W1033" s="15">
        <f t="shared" si="9"/>
        <v>3</v>
      </c>
      <c r="X1033" s="15">
        <f t="shared" si="10"/>
        <v>2025</v>
      </c>
    </row>
    <row r="1034">
      <c r="A1034" s="9">
        <v>45747.0</v>
      </c>
      <c r="B1034" s="10"/>
      <c r="C1034" s="9">
        <f t="shared" si="22"/>
        <v>45747</v>
      </c>
      <c r="D1034" s="11" t="s">
        <v>528</v>
      </c>
      <c r="E1034" s="11" t="s">
        <v>25</v>
      </c>
      <c r="F1034" s="11" t="s">
        <v>40</v>
      </c>
      <c r="G1034" s="11" t="s">
        <v>27</v>
      </c>
      <c r="H1034" s="11" t="s">
        <v>649</v>
      </c>
      <c r="I1034" s="12">
        <v>216.55</v>
      </c>
      <c r="J1034" s="13"/>
      <c r="K1034" s="13">
        <f t="shared" si="53"/>
        <v>216.55</v>
      </c>
      <c r="L1034" s="11" t="s">
        <v>34</v>
      </c>
      <c r="M1034" s="14"/>
      <c r="N1034" s="11" t="s">
        <v>35</v>
      </c>
      <c r="O1034" s="10" t="str">
        <f t="shared" si="48"/>
        <v>03/2025</v>
      </c>
      <c r="P1034" s="10" t="str">
        <f t="shared" si="29"/>
        <v>03/2025</v>
      </c>
      <c r="Q1034" s="15" t="str">
        <f t="array" ref="Q1034">IFERROR(XLOOKUP(N1034,'Classificação'!A:A,'Classificação'!B:B),"")</f>
        <v>COMPRA DE MERCADORIA</v>
      </c>
      <c r="R1034" s="15" t="str">
        <f t="array" ref="R1034">IFERROR(XLOOKUP(Q1034,'Classificação'!B:B,'Classificação'!C:C),"")</f>
        <v>CUSTOS VARIÁVEIS</v>
      </c>
      <c r="S1034" s="15">
        <f t="shared" si="5"/>
        <v>31</v>
      </c>
      <c r="T1034" s="15">
        <f t="shared" si="6"/>
        <v>3</v>
      </c>
      <c r="U1034" s="15">
        <f t="shared" si="7"/>
        <v>2025</v>
      </c>
      <c r="V1034" s="15">
        <f t="shared" si="8"/>
        <v>31</v>
      </c>
      <c r="W1034" s="15">
        <f t="shared" si="9"/>
        <v>3</v>
      </c>
      <c r="X1034" s="15">
        <f t="shared" si="10"/>
        <v>2025</v>
      </c>
    </row>
    <row r="1035">
      <c r="A1035" s="9">
        <v>45747.0</v>
      </c>
      <c r="B1035" s="10"/>
      <c r="C1035" s="9">
        <f t="shared" si="22"/>
        <v>45747</v>
      </c>
      <c r="D1035" s="11" t="s">
        <v>36</v>
      </c>
      <c r="E1035" s="11" t="s">
        <v>25</v>
      </c>
      <c r="F1035" s="11" t="s">
        <v>26</v>
      </c>
      <c r="G1035" s="11" t="s">
        <v>37</v>
      </c>
      <c r="I1035" s="12">
        <v>750.0</v>
      </c>
      <c r="J1035" s="13"/>
      <c r="K1035" s="13">
        <f t="shared" si="53"/>
        <v>750</v>
      </c>
      <c r="L1035" s="11" t="s">
        <v>34</v>
      </c>
      <c r="M1035" s="14"/>
      <c r="N1035" s="11" t="s">
        <v>38</v>
      </c>
      <c r="O1035" s="10" t="str">
        <f t="shared" si="48"/>
        <v>03/2025</v>
      </c>
      <c r="P1035" s="10" t="str">
        <f t="shared" si="29"/>
        <v>03/2025</v>
      </c>
      <c r="Q1035" s="15" t="str">
        <f t="array" ref="Q1035">IFERROR(XLOOKUP(N1035,'Classificação'!A:A,'Classificação'!B:B),"")</f>
        <v>DESPESAS COM PESSOAL</v>
      </c>
      <c r="R1035" s="15" t="str">
        <f t="array" ref="R1035">IFERROR(XLOOKUP(Q1035,'Classificação'!B:B,'Classificação'!C:C),"")</f>
        <v>DESPESAS FIXAS (-)</v>
      </c>
      <c r="S1035" s="15">
        <f t="shared" si="5"/>
        <v>31</v>
      </c>
      <c r="T1035" s="15">
        <f t="shared" si="6"/>
        <v>3</v>
      </c>
      <c r="U1035" s="15">
        <f t="shared" si="7"/>
        <v>2025</v>
      </c>
      <c r="V1035" s="15">
        <f t="shared" si="8"/>
        <v>31</v>
      </c>
      <c r="W1035" s="15">
        <f t="shared" si="9"/>
        <v>3</v>
      </c>
      <c r="X1035" s="15">
        <f t="shared" si="10"/>
        <v>2025</v>
      </c>
    </row>
    <row r="1036">
      <c r="A1036" s="9">
        <v>45747.0</v>
      </c>
      <c r="B1036" s="10"/>
      <c r="C1036" s="9">
        <f t="shared" si="22"/>
        <v>45747</v>
      </c>
      <c r="D1036" s="11" t="s">
        <v>43</v>
      </c>
      <c r="E1036" s="11" t="s">
        <v>25</v>
      </c>
      <c r="F1036" s="11" t="s">
        <v>26</v>
      </c>
      <c r="G1036" s="11" t="s">
        <v>37</v>
      </c>
      <c r="I1036" s="12">
        <v>750.0</v>
      </c>
      <c r="J1036" s="13"/>
      <c r="K1036" s="13">
        <f t="shared" si="53"/>
        <v>750</v>
      </c>
      <c r="L1036" s="11" t="s">
        <v>34</v>
      </c>
      <c r="M1036" s="14"/>
      <c r="N1036" s="11" t="s">
        <v>38</v>
      </c>
      <c r="O1036" s="10" t="str">
        <f t="shared" si="48"/>
        <v>03/2025</v>
      </c>
      <c r="P1036" s="10" t="str">
        <f t="shared" si="29"/>
        <v>03/2025</v>
      </c>
      <c r="Q1036" s="15" t="str">
        <f t="array" ref="Q1036">IFERROR(XLOOKUP(N1036,'Classificação'!A:A,'Classificação'!B:B),"")</f>
        <v>DESPESAS COM PESSOAL</v>
      </c>
      <c r="R1036" s="15" t="str">
        <f t="array" ref="R1036">IFERROR(XLOOKUP(Q1036,'Classificação'!B:B,'Classificação'!C:C),"")</f>
        <v>DESPESAS FIXAS (-)</v>
      </c>
      <c r="S1036" s="15">
        <f t="shared" si="5"/>
        <v>31</v>
      </c>
      <c r="T1036" s="15">
        <f t="shared" si="6"/>
        <v>3</v>
      </c>
      <c r="U1036" s="15">
        <f t="shared" si="7"/>
        <v>2025</v>
      </c>
      <c r="V1036" s="15">
        <f t="shared" si="8"/>
        <v>31</v>
      </c>
      <c r="W1036" s="15">
        <f t="shared" si="9"/>
        <v>3</v>
      </c>
      <c r="X1036" s="15">
        <f t="shared" si="10"/>
        <v>2025</v>
      </c>
    </row>
    <row r="1037">
      <c r="A1037" s="9">
        <v>45748.0</v>
      </c>
      <c r="B1037" s="32">
        <v>45653.0</v>
      </c>
      <c r="C1037" s="9">
        <f t="shared" si="22"/>
        <v>45748</v>
      </c>
      <c r="D1037" s="11" t="s">
        <v>86</v>
      </c>
      <c r="E1037" s="11" t="s">
        <v>25</v>
      </c>
      <c r="F1037" s="11" t="s">
        <v>87</v>
      </c>
      <c r="G1037" s="11" t="s">
        <v>27</v>
      </c>
      <c r="H1037" s="11" t="s">
        <v>650</v>
      </c>
      <c r="I1037" s="12">
        <v>1420.0</v>
      </c>
      <c r="J1037" s="13"/>
      <c r="K1037" s="13">
        <f t="shared" si="53"/>
        <v>1420</v>
      </c>
      <c r="L1037" s="11" t="s">
        <v>53</v>
      </c>
      <c r="M1037" s="17">
        <v>45353.0</v>
      </c>
      <c r="N1037" s="11" t="s">
        <v>35</v>
      </c>
      <c r="O1037" s="10" t="str">
        <f t="shared" si="48"/>
        <v>04/2025</v>
      </c>
      <c r="P1037" s="10" t="str">
        <f t="shared" si="29"/>
        <v>04/2025</v>
      </c>
      <c r="Q1037" s="15" t="str">
        <f t="array" ref="Q1037">IFERROR(XLOOKUP(N1037,'Classificação'!A:A,'Classificação'!B:B),"")</f>
        <v>COMPRA DE MERCADORIA</v>
      </c>
      <c r="R1037" s="15" t="str">
        <f t="array" ref="R1037">IFERROR(XLOOKUP(Q1037,'Classificação'!B:B,'Classificação'!C:C),"")</f>
        <v>CUSTOS VARIÁVEIS</v>
      </c>
      <c r="S1037" s="15">
        <f t="shared" si="5"/>
        <v>1</v>
      </c>
      <c r="T1037" s="15">
        <f t="shared" si="6"/>
        <v>4</v>
      </c>
      <c r="U1037" s="15">
        <f t="shared" si="7"/>
        <v>2025</v>
      </c>
      <c r="V1037" s="15">
        <f t="shared" si="8"/>
        <v>1</v>
      </c>
      <c r="W1037" s="15">
        <f t="shared" si="9"/>
        <v>4</v>
      </c>
      <c r="X1037" s="15">
        <f t="shared" si="10"/>
        <v>2025</v>
      </c>
    </row>
    <row r="1038">
      <c r="A1038" s="9">
        <v>45748.0</v>
      </c>
      <c r="B1038" s="10"/>
      <c r="C1038" s="9">
        <f t="shared" si="22"/>
        <v>45748</v>
      </c>
      <c r="D1038" s="11" t="s">
        <v>24</v>
      </c>
      <c r="E1038" s="11" t="s">
        <v>25</v>
      </c>
      <c r="F1038" s="11" t="s">
        <v>26</v>
      </c>
      <c r="G1038" s="11" t="s">
        <v>37</v>
      </c>
      <c r="H1038" s="11" t="s">
        <v>28</v>
      </c>
      <c r="I1038" s="12">
        <v>6385.68</v>
      </c>
      <c r="J1038" s="13"/>
      <c r="K1038" s="13">
        <f t="shared" si="53"/>
        <v>6385.68</v>
      </c>
      <c r="L1038" s="11" t="s">
        <v>29</v>
      </c>
      <c r="M1038" s="14"/>
      <c r="N1038" s="11" t="s">
        <v>30</v>
      </c>
      <c r="O1038" s="10" t="str">
        <f t="shared" si="48"/>
        <v>04/2025</v>
      </c>
      <c r="P1038" s="10" t="str">
        <f t="shared" si="29"/>
        <v>04/2025</v>
      </c>
      <c r="Q1038" s="15" t="str">
        <f t="array" ref="Q1038">IFERROR(XLOOKUP(N1038,'Classificação'!A:A,'Classificação'!B:B),"")</f>
        <v>DESPESAS COM OCUPAÇÃO</v>
      </c>
      <c r="R1038" s="15" t="str">
        <f t="array" ref="R1038">IFERROR(XLOOKUP(Q1038,'Classificação'!B:B,'Classificação'!C:C),"")</f>
        <v>DESPESAS FIXAS (-)</v>
      </c>
      <c r="S1038" s="15">
        <f t="shared" si="5"/>
        <v>1</v>
      </c>
      <c r="T1038" s="15">
        <f t="shared" si="6"/>
        <v>4</v>
      </c>
      <c r="U1038" s="15">
        <f t="shared" si="7"/>
        <v>2025</v>
      </c>
      <c r="V1038" s="15">
        <f t="shared" si="8"/>
        <v>1</v>
      </c>
      <c r="W1038" s="15">
        <f t="shared" si="9"/>
        <v>4</v>
      </c>
      <c r="X1038" s="15">
        <f t="shared" si="10"/>
        <v>2025</v>
      </c>
    </row>
    <row r="1039">
      <c r="A1039" s="9">
        <v>45748.0</v>
      </c>
      <c r="B1039" s="10"/>
      <c r="C1039" s="9">
        <f t="shared" si="22"/>
        <v>45748</v>
      </c>
      <c r="D1039" s="11" t="s">
        <v>288</v>
      </c>
      <c r="E1039" s="11" t="s">
        <v>25</v>
      </c>
      <c r="F1039" s="11" t="s">
        <v>26</v>
      </c>
      <c r="G1039" s="11" t="s">
        <v>37</v>
      </c>
      <c r="H1039" s="11" t="s">
        <v>289</v>
      </c>
      <c r="I1039" s="12">
        <v>59.5</v>
      </c>
      <c r="J1039" s="13"/>
      <c r="K1039" s="13">
        <f t="shared" si="53"/>
        <v>59.5</v>
      </c>
      <c r="L1039" s="11" t="s">
        <v>29</v>
      </c>
      <c r="M1039" s="16"/>
      <c r="N1039" s="11" t="s">
        <v>105</v>
      </c>
      <c r="O1039" s="10" t="str">
        <f t="shared" si="48"/>
        <v>04/2025</v>
      </c>
      <c r="P1039" s="10" t="str">
        <f t="shared" si="29"/>
        <v>04/2025</v>
      </c>
      <c r="Q1039" s="15" t="str">
        <f t="array" ref="Q1039">IFERROR(XLOOKUP(N1039,'Classificação'!A:A,'Classificação'!B:B),"")</f>
        <v>DESPESAS ADMINISTRATIVAS</v>
      </c>
      <c r="R1039" s="15" t="str">
        <f t="array" ref="R1039">IFERROR(XLOOKUP(Q1039,'Classificação'!B:B,'Classificação'!C:C),"")</f>
        <v>DESPESAS FIXAS (-)</v>
      </c>
      <c r="S1039" s="15">
        <f t="shared" si="5"/>
        <v>1</v>
      </c>
      <c r="T1039" s="15">
        <f t="shared" si="6"/>
        <v>4</v>
      </c>
      <c r="U1039" s="15">
        <f t="shared" si="7"/>
        <v>2025</v>
      </c>
      <c r="V1039" s="15">
        <f t="shared" si="8"/>
        <v>1</v>
      </c>
      <c r="W1039" s="15">
        <f t="shared" si="9"/>
        <v>4</v>
      </c>
      <c r="X1039" s="15">
        <f t="shared" si="10"/>
        <v>2025</v>
      </c>
    </row>
    <row r="1040">
      <c r="A1040" s="9">
        <v>45750.0</v>
      </c>
      <c r="B1040" s="10"/>
      <c r="C1040" s="9">
        <f t="shared" si="22"/>
        <v>45750</v>
      </c>
      <c r="D1040" s="11" t="s">
        <v>520</v>
      </c>
      <c r="E1040" s="11" t="s">
        <v>25</v>
      </c>
      <c r="F1040" s="11" t="s">
        <v>26</v>
      </c>
      <c r="G1040" s="11" t="s">
        <v>37</v>
      </c>
      <c r="H1040" s="11" t="s">
        <v>609</v>
      </c>
      <c r="I1040" s="12">
        <v>200.0</v>
      </c>
      <c r="J1040" s="13"/>
      <c r="K1040" s="13">
        <f t="shared" si="53"/>
        <v>200</v>
      </c>
      <c r="L1040" s="11" t="s">
        <v>34</v>
      </c>
      <c r="M1040" s="14"/>
      <c r="N1040" s="11" t="s">
        <v>58</v>
      </c>
      <c r="O1040" s="10" t="str">
        <f t="shared" si="48"/>
        <v>04/2025</v>
      </c>
      <c r="P1040" s="10" t="str">
        <f t="shared" si="29"/>
        <v>04/2025</v>
      </c>
      <c r="Q1040" s="15" t="str">
        <f t="array" ref="Q1040">IFERROR(XLOOKUP(N1040,'Classificação'!A:A,'Classificação'!B:B),"")</f>
        <v>DESPESAS ADMINISTRATIVAS</v>
      </c>
      <c r="R1040" s="15" t="str">
        <f t="array" ref="R1040">IFERROR(XLOOKUP(Q1040,'Classificação'!B:B,'Classificação'!C:C),"")</f>
        <v>DESPESAS FIXAS (-)</v>
      </c>
      <c r="S1040" s="15">
        <f t="shared" si="5"/>
        <v>3</v>
      </c>
      <c r="T1040" s="15">
        <f t="shared" si="6"/>
        <v>4</v>
      </c>
      <c r="U1040" s="15">
        <f t="shared" si="7"/>
        <v>2025</v>
      </c>
      <c r="V1040" s="15">
        <f t="shared" si="8"/>
        <v>3</v>
      </c>
      <c r="W1040" s="15">
        <f t="shared" si="9"/>
        <v>4</v>
      </c>
      <c r="X1040" s="15">
        <f t="shared" si="10"/>
        <v>2025</v>
      </c>
    </row>
    <row r="1041">
      <c r="A1041" s="9">
        <v>45750.0</v>
      </c>
      <c r="B1041" s="10"/>
      <c r="C1041" s="9">
        <f t="shared" si="22"/>
        <v>45750</v>
      </c>
      <c r="D1041" s="11" t="s">
        <v>44</v>
      </c>
      <c r="E1041" s="11" t="s">
        <v>25</v>
      </c>
      <c r="F1041" s="11" t="s">
        <v>45</v>
      </c>
      <c r="G1041" s="11" t="s">
        <v>27</v>
      </c>
      <c r="H1041" s="11" t="s">
        <v>651</v>
      </c>
      <c r="I1041" s="12">
        <v>3297.86</v>
      </c>
      <c r="J1041" s="13"/>
      <c r="K1041" s="13">
        <f t="shared" si="53"/>
        <v>3297.86</v>
      </c>
      <c r="L1041" s="11" t="s">
        <v>53</v>
      </c>
      <c r="M1041" s="16" t="s">
        <v>652</v>
      </c>
      <c r="N1041" s="11" t="s">
        <v>73</v>
      </c>
      <c r="O1041" s="10" t="str">
        <f t="shared" si="48"/>
        <v>04/2025</v>
      </c>
      <c r="P1041" s="10" t="str">
        <f t="shared" si="29"/>
        <v>04/2025</v>
      </c>
      <c r="Q1041" s="15" t="str">
        <f t="array" ref="Q1041">IFERROR(XLOOKUP(N1041,'Classificação'!A:A,'Classificação'!B:B),"")</f>
        <v>DESPESAS NÃO OPERACIONAIS</v>
      </c>
      <c r="R1041" s="15" t="str">
        <f t="array" ref="R1041">IFERROR(XLOOKUP(Q1041,'Classificação'!B:B,'Classificação'!C:C),"")</f>
        <v>RESULTADO NÃO OPERACIONAL (+/-)</v>
      </c>
      <c r="S1041" s="15">
        <f t="shared" si="5"/>
        <v>3</v>
      </c>
      <c r="T1041" s="15">
        <f t="shared" si="6"/>
        <v>4</v>
      </c>
      <c r="U1041" s="15">
        <f t="shared" si="7"/>
        <v>2025</v>
      </c>
      <c r="V1041" s="15">
        <f t="shared" si="8"/>
        <v>3</v>
      </c>
      <c r="W1041" s="15">
        <f t="shared" si="9"/>
        <v>4</v>
      </c>
      <c r="X1041" s="15">
        <f t="shared" si="10"/>
        <v>2025</v>
      </c>
    </row>
    <row r="1042">
      <c r="A1042" s="9">
        <v>45754.0</v>
      </c>
      <c r="B1042" s="10"/>
      <c r="C1042" s="9">
        <f t="shared" si="22"/>
        <v>45754</v>
      </c>
      <c r="D1042" s="28" t="s">
        <v>76</v>
      </c>
      <c r="E1042" s="29" t="s">
        <v>25</v>
      </c>
      <c r="F1042" s="28" t="s">
        <v>26</v>
      </c>
      <c r="G1042" s="29" t="s">
        <v>37</v>
      </c>
      <c r="H1042" s="28" t="s">
        <v>84</v>
      </c>
      <c r="I1042" s="24">
        <v>1214.27</v>
      </c>
      <c r="J1042" s="13"/>
      <c r="K1042" s="13">
        <f t="shared" si="53"/>
        <v>1214.27</v>
      </c>
      <c r="L1042" s="28" t="s">
        <v>53</v>
      </c>
      <c r="M1042" s="16" t="s">
        <v>653</v>
      </c>
      <c r="N1042" s="28" t="s">
        <v>85</v>
      </c>
      <c r="O1042" s="10" t="str">
        <f t="shared" si="48"/>
        <v>04/2025</v>
      </c>
      <c r="P1042" s="10" t="str">
        <f t="shared" si="29"/>
        <v>04/2025</v>
      </c>
      <c r="Q1042" s="15" t="str">
        <f t="array" ref="Q1042">IFERROR(XLOOKUP(N1042,'Classificação'!A:A,'Classificação'!B:B),"")</f>
        <v>DESPESAS NÃO OPERACIONAIS</v>
      </c>
      <c r="R1042" s="15" t="str">
        <f t="array" ref="R1042">IFERROR(XLOOKUP(Q1042,'Classificação'!B:B,'Classificação'!C:C),"")</f>
        <v>RESULTADO NÃO OPERACIONAL (+/-)</v>
      </c>
      <c r="S1042" s="15">
        <f t="shared" si="5"/>
        <v>7</v>
      </c>
      <c r="T1042" s="15">
        <f t="shared" si="6"/>
        <v>4</v>
      </c>
      <c r="U1042" s="15">
        <f t="shared" si="7"/>
        <v>2025</v>
      </c>
      <c r="V1042" s="15">
        <f t="shared" si="8"/>
        <v>7</v>
      </c>
      <c r="W1042" s="15">
        <f t="shared" si="9"/>
        <v>4</v>
      </c>
      <c r="X1042" s="15">
        <f t="shared" si="10"/>
        <v>2025</v>
      </c>
    </row>
    <row r="1043">
      <c r="A1043" s="9">
        <v>45754.0</v>
      </c>
      <c r="B1043" s="10"/>
      <c r="C1043" s="9">
        <f t="shared" si="22"/>
        <v>45754</v>
      </c>
      <c r="D1043" s="11" t="s">
        <v>44</v>
      </c>
      <c r="E1043" s="11" t="s">
        <v>25</v>
      </c>
      <c r="F1043" s="11" t="s">
        <v>45</v>
      </c>
      <c r="G1043" s="11" t="s">
        <v>27</v>
      </c>
      <c r="I1043" s="12">
        <v>99.29</v>
      </c>
      <c r="J1043" s="13"/>
      <c r="K1043" s="13">
        <f t="shared" si="53"/>
        <v>99.29</v>
      </c>
      <c r="L1043" s="11" t="s">
        <v>29</v>
      </c>
      <c r="M1043" s="14"/>
      <c r="N1043" s="11" t="s">
        <v>47</v>
      </c>
      <c r="O1043" s="10" t="str">
        <f t="shared" si="48"/>
        <v>04/2025</v>
      </c>
      <c r="P1043" s="10" t="str">
        <f t="shared" si="29"/>
        <v>04/2025</v>
      </c>
      <c r="Q1043" s="15" t="str">
        <f t="array" ref="Q1043">IFERROR(XLOOKUP(N1043,'Classificação'!A:A,'Classificação'!B:B),"")</f>
        <v>DESPESAS NÃO OPERACIONAIS</v>
      </c>
      <c r="R1043" s="15" t="str">
        <f t="array" ref="R1043">IFERROR(XLOOKUP(Q1043,'Classificação'!B:B,'Classificação'!C:C),"")</f>
        <v>RESULTADO NÃO OPERACIONAL (+/-)</v>
      </c>
      <c r="S1043" s="15">
        <f t="shared" si="5"/>
        <v>7</v>
      </c>
      <c r="T1043" s="15">
        <f t="shared" si="6"/>
        <v>4</v>
      </c>
      <c r="U1043" s="15">
        <f t="shared" si="7"/>
        <v>2025</v>
      </c>
      <c r="V1043" s="15">
        <f t="shared" si="8"/>
        <v>7</v>
      </c>
      <c r="W1043" s="15">
        <f t="shared" si="9"/>
        <v>4</v>
      </c>
      <c r="X1043" s="15">
        <f t="shared" si="10"/>
        <v>2025</v>
      </c>
    </row>
    <row r="1044">
      <c r="A1044" s="26">
        <v>45754.0</v>
      </c>
      <c r="B1044" s="26">
        <v>45743.0</v>
      </c>
      <c r="C1044" s="27">
        <f t="shared" si="22"/>
        <v>45754</v>
      </c>
      <c r="D1044" s="29" t="s">
        <v>654</v>
      </c>
      <c r="E1044" s="11" t="s">
        <v>25</v>
      </c>
      <c r="F1044" s="29" t="s">
        <v>40</v>
      </c>
      <c r="G1044" s="11" t="s">
        <v>37</v>
      </c>
      <c r="H1044" s="43" t="s">
        <v>655</v>
      </c>
      <c r="I1044" s="24">
        <v>130.0</v>
      </c>
      <c r="J1044" s="34"/>
      <c r="K1044" s="13">
        <f t="shared" si="53"/>
        <v>130</v>
      </c>
      <c r="L1044" s="29" t="s">
        <v>34</v>
      </c>
      <c r="M1044" s="28"/>
      <c r="N1044" s="29" t="s">
        <v>392</v>
      </c>
      <c r="O1044" s="10" t="str">
        <f t="shared" si="48"/>
        <v>04/2025</v>
      </c>
      <c r="P1044" s="10" t="str">
        <f t="shared" si="29"/>
        <v>04/2025</v>
      </c>
      <c r="Q1044" s="15" t="str">
        <f t="array" ref="Q1044">IFERROR(XLOOKUP(N1044,'Classificação'!A:A,'Classificação'!B:B),"")</f>
        <v>DESPESAS COM OCUPAÇÃO</v>
      </c>
      <c r="R1044" s="15" t="str">
        <f t="array" ref="R1044">IFERROR(XLOOKUP(Q1044,'Classificação'!B:B,'Classificação'!C:C),"")</f>
        <v>DESPESAS FIXAS (-)</v>
      </c>
      <c r="S1044" s="15">
        <f t="shared" si="5"/>
        <v>7</v>
      </c>
      <c r="T1044" s="15">
        <f t="shared" si="6"/>
        <v>4</v>
      </c>
      <c r="U1044" s="15">
        <f t="shared" si="7"/>
        <v>2025</v>
      </c>
      <c r="V1044" s="15">
        <f t="shared" si="8"/>
        <v>7</v>
      </c>
      <c r="W1044" s="15">
        <f t="shared" si="9"/>
        <v>4</v>
      </c>
      <c r="X1044" s="15">
        <f t="shared" si="10"/>
        <v>2025</v>
      </c>
    </row>
    <row r="1045">
      <c r="A1045" s="26">
        <v>45754.0</v>
      </c>
      <c r="B1045" s="10"/>
      <c r="C1045" s="9">
        <f t="shared" si="22"/>
        <v>45754</v>
      </c>
      <c r="D1045" s="11" t="s">
        <v>43</v>
      </c>
      <c r="E1045" s="11" t="s">
        <v>25</v>
      </c>
      <c r="F1045" s="29" t="s">
        <v>26</v>
      </c>
      <c r="G1045" s="29" t="s">
        <v>37</v>
      </c>
      <c r="H1045" s="11" t="s">
        <v>460</v>
      </c>
      <c r="I1045" s="12">
        <v>69.3</v>
      </c>
      <c r="J1045" s="13"/>
      <c r="K1045" s="13">
        <f t="shared" si="53"/>
        <v>69.3</v>
      </c>
      <c r="L1045" s="28" t="s">
        <v>53</v>
      </c>
      <c r="M1045" s="17">
        <v>45632.0</v>
      </c>
      <c r="N1045" s="11" t="s">
        <v>105</v>
      </c>
      <c r="O1045" s="10" t="str">
        <f t="shared" si="48"/>
        <v>04/2025</v>
      </c>
      <c r="P1045" s="10" t="str">
        <f t="shared" si="29"/>
        <v>04/2025</v>
      </c>
      <c r="Q1045" s="15" t="str">
        <f t="array" ref="Q1045">IFERROR(XLOOKUP(N1045,'Classificação'!A:A,'Classificação'!B:B),"")</f>
        <v>DESPESAS ADMINISTRATIVAS</v>
      </c>
      <c r="R1045" s="15" t="str">
        <f t="array" ref="R1045">IFERROR(XLOOKUP(Q1045,'Classificação'!B:B,'Classificação'!C:C),"")</f>
        <v>DESPESAS FIXAS (-)</v>
      </c>
      <c r="S1045" s="15">
        <f t="shared" si="5"/>
        <v>7</v>
      </c>
      <c r="T1045" s="15">
        <f t="shared" si="6"/>
        <v>4</v>
      </c>
      <c r="U1045" s="15">
        <f t="shared" si="7"/>
        <v>2025</v>
      </c>
      <c r="V1045" s="15">
        <f t="shared" si="8"/>
        <v>7</v>
      </c>
      <c r="W1045" s="15">
        <f t="shared" si="9"/>
        <v>4</v>
      </c>
      <c r="X1045" s="15">
        <f t="shared" si="10"/>
        <v>2025</v>
      </c>
    </row>
    <row r="1046">
      <c r="A1046" s="9">
        <v>45754.0</v>
      </c>
      <c r="B1046" s="9">
        <v>45667.0</v>
      </c>
      <c r="C1046" s="9">
        <f t="shared" si="22"/>
        <v>45754</v>
      </c>
      <c r="D1046" s="11" t="s">
        <v>533</v>
      </c>
      <c r="E1046" s="11" t="s">
        <v>25</v>
      </c>
      <c r="F1046" s="11" t="s">
        <v>26</v>
      </c>
      <c r="G1046" s="11" t="s">
        <v>37</v>
      </c>
      <c r="H1046" s="11" t="s">
        <v>534</v>
      </c>
      <c r="I1046" s="12">
        <v>89.75</v>
      </c>
      <c r="J1046" s="13"/>
      <c r="K1046" s="13">
        <f t="shared" si="53"/>
        <v>89.75</v>
      </c>
      <c r="L1046" s="11" t="s">
        <v>53</v>
      </c>
      <c r="M1046" s="17">
        <v>45750.0</v>
      </c>
      <c r="N1046" s="11" t="s">
        <v>175</v>
      </c>
      <c r="O1046" s="10" t="str">
        <f t="shared" si="48"/>
        <v>04/2025</v>
      </c>
      <c r="P1046" s="10" t="str">
        <f t="shared" si="29"/>
        <v>04/2025</v>
      </c>
      <c r="Q1046" s="15" t="str">
        <f t="array" ref="Q1046">IFERROR(XLOOKUP(N1046,'Classificação'!A:A,'Classificação'!B:B),"")</f>
        <v>DESPESAS COM VEICULOS</v>
      </c>
      <c r="R1046" s="15" t="str">
        <f t="array" ref="R1046">IFERROR(XLOOKUP(Q1046,'Classificação'!B:B,'Classificação'!C:C),"")</f>
        <v>DESPESAS FIXAS (-)</v>
      </c>
      <c r="S1046" s="15">
        <f t="shared" si="5"/>
        <v>7</v>
      </c>
      <c r="T1046" s="15">
        <f t="shared" si="6"/>
        <v>4</v>
      </c>
      <c r="U1046" s="15">
        <f t="shared" si="7"/>
        <v>2025</v>
      </c>
      <c r="V1046" s="15">
        <f t="shared" si="8"/>
        <v>7</v>
      </c>
      <c r="W1046" s="15">
        <f t="shared" si="9"/>
        <v>4</v>
      </c>
      <c r="X1046" s="15">
        <f t="shared" si="10"/>
        <v>2025</v>
      </c>
    </row>
    <row r="1047">
      <c r="A1047" s="26">
        <v>45754.0</v>
      </c>
      <c r="B1047" s="39">
        <v>45611.0</v>
      </c>
      <c r="C1047" s="9">
        <f t="shared" si="22"/>
        <v>45754</v>
      </c>
      <c r="D1047" s="28" t="s">
        <v>361</v>
      </c>
      <c r="E1047" s="11" t="s">
        <v>25</v>
      </c>
      <c r="F1047" s="28" t="s">
        <v>26</v>
      </c>
      <c r="G1047" s="28" t="s">
        <v>37</v>
      </c>
      <c r="H1047" s="29" t="s">
        <v>535</v>
      </c>
      <c r="I1047" s="24">
        <v>282.35</v>
      </c>
      <c r="J1047" s="13"/>
      <c r="K1047" s="13">
        <f t="shared" si="53"/>
        <v>282.35</v>
      </c>
      <c r="L1047" s="28" t="s">
        <v>53</v>
      </c>
      <c r="M1047" s="17">
        <v>45996.0</v>
      </c>
      <c r="N1047" s="28" t="s">
        <v>363</v>
      </c>
      <c r="O1047" s="10" t="str">
        <f t="shared" si="48"/>
        <v>04/2025</v>
      </c>
      <c r="P1047" s="10" t="str">
        <f t="shared" si="29"/>
        <v>04/2025</v>
      </c>
      <c r="Q1047" s="15" t="str">
        <f t="array" ref="Q1047">IFERROR(XLOOKUP(N1047,'Classificação'!A:A,'Classificação'!B:B),"")</f>
        <v>DESPESAS NÃO OPERACIONAIS</v>
      </c>
      <c r="R1047" s="15" t="str">
        <f t="array" ref="R1047">IFERROR(XLOOKUP(Q1047,'Classificação'!B:B,'Classificação'!C:C),"")</f>
        <v>RESULTADO NÃO OPERACIONAL (+/-)</v>
      </c>
      <c r="S1047" s="15">
        <f t="shared" si="5"/>
        <v>7</v>
      </c>
      <c r="T1047" s="15">
        <f t="shared" si="6"/>
        <v>4</v>
      </c>
      <c r="U1047" s="15">
        <f t="shared" si="7"/>
        <v>2025</v>
      </c>
      <c r="V1047" s="15">
        <f t="shared" si="8"/>
        <v>7</v>
      </c>
      <c r="W1047" s="15">
        <f t="shared" si="9"/>
        <v>4</v>
      </c>
      <c r="X1047" s="15">
        <f t="shared" si="10"/>
        <v>2025</v>
      </c>
    </row>
    <row r="1048">
      <c r="A1048" s="9">
        <v>45754.0</v>
      </c>
      <c r="B1048" s="10"/>
      <c r="C1048" s="9">
        <f t="shared" si="22"/>
        <v>45754</v>
      </c>
      <c r="D1048" s="11" t="s">
        <v>656</v>
      </c>
      <c r="E1048" s="11" t="s">
        <v>25</v>
      </c>
      <c r="F1048" s="11" t="s">
        <v>40</v>
      </c>
      <c r="G1048" s="11" t="s">
        <v>27</v>
      </c>
      <c r="H1048" s="11" t="s">
        <v>657</v>
      </c>
      <c r="I1048" s="12">
        <v>56.0</v>
      </c>
      <c r="J1048" s="13"/>
      <c r="K1048" s="13">
        <f t="shared" si="53"/>
        <v>56</v>
      </c>
      <c r="L1048" s="11" t="s">
        <v>34</v>
      </c>
      <c r="M1048" s="14"/>
      <c r="N1048" s="11" t="s">
        <v>120</v>
      </c>
      <c r="O1048" s="10" t="str">
        <f t="shared" si="48"/>
        <v>04/2025</v>
      </c>
      <c r="P1048" s="10" t="str">
        <f t="shared" si="29"/>
        <v>04/2025</v>
      </c>
      <c r="Q1048" s="15" t="str">
        <f t="array" ref="Q1048">IFERROR(XLOOKUP(N1048,'Classificação'!A:A,'Classificação'!B:B),"")</f>
        <v>DESPESAS ADMINISTRATIVAS</v>
      </c>
      <c r="R1048" s="15" t="str">
        <f t="array" ref="R1048">IFERROR(XLOOKUP(Q1048,'Classificação'!B:B,'Classificação'!C:C),"")</f>
        <v>DESPESAS FIXAS (-)</v>
      </c>
      <c r="S1048" s="15">
        <f t="shared" si="5"/>
        <v>7</v>
      </c>
      <c r="T1048" s="15">
        <f t="shared" si="6"/>
        <v>4</v>
      </c>
      <c r="U1048" s="15">
        <f t="shared" si="7"/>
        <v>2025</v>
      </c>
      <c r="V1048" s="15">
        <f t="shared" si="8"/>
        <v>7</v>
      </c>
      <c r="W1048" s="15">
        <f t="shared" si="9"/>
        <v>4</v>
      </c>
      <c r="X1048" s="15">
        <f t="shared" si="10"/>
        <v>2025</v>
      </c>
    </row>
    <row r="1049">
      <c r="A1049" s="9">
        <v>45754.0</v>
      </c>
      <c r="B1049" s="10"/>
      <c r="C1049" s="9">
        <f t="shared" si="22"/>
        <v>45754</v>
      </c>
      <c r="D1049" s="11" t="s">
        <v>36</v>
      </c>
      <c r="E1049" s="11" t="s">
        <v>25</v>
      </c>
      <c r="F1049" s="11" t="s">
        <v>32</v>
      </c>
      <c r="G1049" s="11" t="s">
        <v>27</v>
      </c>
      <c r="I1049" s="12">
        <v>3651.0</v>
      </c>
      <c r="J1049" s="13"/>
      <c r="K1049" s="13">
        <f t="shared" si="53"/>
        <v>3651</v>
      </c>
      <c r="L1049" s="11" t="s">
        <v>29</v>
      </c>
      <c r="M1049" s="14"/>
      <c r="N1049" s="11" t="s">
        <v>38</v>
      </c>
      <c r="O1049" s="10" t="str">
        <f t="shared" si="48"/>
        <v>04/2025</v>
      </c>
      <c r="P1049" s="10" t="str">
        <f t="shared" si="29"/>
        <v>04/2025</v>
      </c>
      <c r="Q1049" s="15" t="str">
        <f t="array" ref="Q1049">IFERROR(XLOOKUP(N1049,'Classificação'!A:A,'Classificação'!B:B),"")</f>
        <v>DESPESAS COM PESSOAL</v>
      </c>
      <c r="R1049" s="15" t="str">
        <f t="array" ref="R1049">IFERROR(XLOOKUP(Q1049,'Classificação'!B:B,'Classificação'!C:C),"")</f>
        <v>DESPESAS FIXAS (-)</v>
      </c>
      <c r="S1049" s="15">
        <f t="shared" si="5"/>
        <v>7</v>
      </c>
      <c r="T1049" s="15">
        <f t="shared" si="6"/>
        <v>4</v>
      </c>
      <c r="U1049" s="15">
        <f t="shared" si="7"/>
        <v>2025</v>
      </c>
      <c r="V1049" s="15">
        <f t="shared" si="8"/>
        <v>7</v>
      </c>
      <c r="W1049" s="15">
        <f t="shared" si="9"/>
        <v>4</v>
      </c>
      <c r="X1049" s="15">
        <f t="shared" si="10"/>
        <v>2025</v>
      </c>
    </row>
    <row r="1050">
      <c r="A1050" s="9">
        <v>45754.0</v>
      </c>
      <c r="B1050" s="10"/>
      <c r="C1050" s="9">
        <f t="shared" si="22"/>
        <v>45754</v>
      </c>
      <c r="D1050" s="11" t="s">
        <v>43</v>
      </c>
      <c r="E1050" s="11" t="s">
        <v>25</v>
      </c>
      <c r="F1050" s="11" t="s">
        <v>32</v>
      </c>
      <c r="G1050" s="11" t="s">
        <v>27</v>
      </c>
      <c r="I1050" s="12">
        <v>3650.0</v>
      </c>
      <c r="J1050" s="13"/>
      <c r="K1050" s="13">
        <f t="shared" si="53"/>
        <v>3650</v>
      </c>
      <c r="L1050" s="11" t="s">
        <v>29</v>
      </c>
      <c r="M1050" s="14"/>
      <c r="N1050" s="11" t="s">
        <v>38</v>
      </c>
      <c r="O1050" s="10" t="str">
        <f t="shared" si="48"/>
        <v>04/2025</v>
      </c>
      <c r="P1050" s="10" t="str">
        <f t="shared" si="29"/>
        <v>04/2025</v>
      </c>
      <c r="Q1050" s="15" t="str">
        <f t="array" ref="Q1050">IFERROR(XLOOKUP(N1050,'Classificação'!A:A,'Classificação'!B:B),"")</f>
        <v>DESPESAS COM PESSOAL</v>
      </c>
      <c r="R1050" s="15" t="str">
        <f t="array" ref="R1050">IFERROR(XLOOKUP(Q1050,'Classificação'!B:B,'Classificação'!C:C),"")</f>
        <v>DESPESAS FIXAS (-)</v>
      </c>
      <c r="S1050" s="15">
        <f t="shared" si="5"/>
        <v>7</v>
      </c>
      <c r="T1050" s="15">
        <f t="shared" si="6"/>
        <v>4</v>
      </c>
      <c r="U1050" s="15">
        <f t="shared" si="7"/>
        <v>2025</v>
      </c>
      <c r="V1050" s="15">
        <f t="shared" si="8"/>
        <v>7</v>
      </c>
      <c r="W1050" s="15">
        <f t="shared" si="9"/>
        <v>4</v>
      </c>
      <c r="X1050" s="15">
        <f t="shared" si="10"/>
        <v>2025</v>
      </c>
    </row>
    <row r="1051">
      <c r="A1051" s="9">
        <v>45754.0</v>
      </c>
      <c r="B1051" s="10"/>
      <c r="C1051" s="9">
        <f t="shared" si="22"/>
        <v>45754</v>
      </c>
      <c r="D1051" s="11" t="s">
        <v>658</v>
      </c>
      <c r="E1051" s="11" t="s">
        <v>25</v>
      </c>
      <c r="F1051" s="11" t="s">
        <v>26</v>
      </c>
      <c r="G1051" s="11" t="s">
        <v>37</v>
      </c>
      <c r="H1051" s="11" t="s">
        <v>659</v>
      </c>
      <c r="I1051" s="12">
        <v>295.0</v>
      </c>
      <c r="J1051" s="13"/>
      <c r="K1051" s="13">
        <f t="shared" si="53"/>
        <v>295</v>
      </c>
      <c r="L1051" s="11" t="s">
        <v>53</v>
      </c>
      <c r="M1051" s="17">
        <v>45689.0</v>
      </c>
      <c r="N1051" s="11" t="s">
        <v>120</v>
      </c>
      <c r="O1051" s="10" t="str">
        <f t="shared" si="48"/>
        <v>04/2025</v>
      </c>
      <c r="P1051" s="10" t="str">
        <f t="shared" si="29"/>
        <v>04/2025</v>
      </c>
      <c r="Q1051" s="15" t="str">
        <f t="array" ref="Q1051">IFERROR(XLOOKUP(N1051,'Classificação'!A:A,'Classificação'!B:B),"")</f>
        <v>DESPESAS ADMINISTRATIVAS</v>
      </c>
      <c r="R1051" s="15" t="str">
        <f t="array" ref="R1051">IFERROR(XLOOKUP(Q1051,'Classificação'!B:B,'Classificação'!C:C),"")</f>
        <v>DESPESAS FIXAS (-)</v>
      </c>
      <c r="S1051" s="15">
        <f t="shared" si="5"/>
        <v>7</v>
      </c>
      <c r="T1051" s="15">
        <f t="shared" si="6"/>
        <v>4</v>
      </c>
      <c r="U1051" s="15">
        <f t="shared" si="7"/>
        <v>2025</v>
      </c>
      <c r="V1051" s="15">
        <f t="shared" si="8"/>
        <v>7</v>
      </c>
      <c r="W1051" s="15">
        <f t="shared" si="9"/>
        <v>4</v>
      </c>
      <c r="X1051" s="15">
        <f t="shared" si="10"/>
        <v>2025</v>
      </c>
    </row>
    <row r="1052">
      <c r="A1052" s="9">
        <v>45755.0</v>
      </c>
      <c r="B1052" s="9">
        <v>45734.0</v>
      </c>
      <c r="C1052" s="9">
        <f t="shared" si="22"/>
        <v>45755</v>
      </c>
      <c r="D1052" s="11" t="s">
        <v>86</v>
      </c>
      <c r="E1052" s="11" t="s">
        <v>25</v>
      </c>
      <c r="F1052" s="11" t="s">
        <v>87</v>
      </c>
      <c r="G1052" s="11" t="s">
        <v>27</v>
      </c>
      <c r="H1052" s="44" t="s">
        <v>660</v>
      </c>
      <c r="I1052" s="12">
        <v>6780.0</v>
      </c>
      <c r="J1052" s="13"/>
      <c r="K1052" s="13">
        <f t="shared" si="53"/>
        <v>6780</v>
      </c>
      <c r="L1052" s="11" t="s">
        <v>53</v>
      </c>
      <c r="M1052" s="17">
        <v>45748.0</v>
      </c>
      <c r="N1052" s="11" t="s">
        <v>35</v>
      </c>
      <c r="O1052" s="10" t="str">
        <f t="shared" si="48"/>
        <v>04/2025</v>
      </c>
      <c r="P1052" s="10" t="str">
        <f t="shared" si="29"/>
        <v>04/2025</v>
      </c>
      <c r="Q1052" s="15" t="str">
        <f t="array" ref="Q1052">IFERROR(XLOOKUP(N1052,'Classificação'!A:A,'Classificação'!B:B),"")</f>
        <v>COMPRA DE MERCADORIA</v>
      </c>
      <c r="R1052" s="15" t="str">
        <f t="array" ref="R1052">IFERROR(XLOOKUP(Q1052,'Classificação'!B:B,'Classificação'!C:C),"")</f>
        <v>CUSTOS VARIÁVEIS</v>
      </c>
      <c r="S1052" s="15">
        <f t="shared" si="5"/>
        <v>8</v>
      </c>
      <c r="T1052" s="15">
        <f t="shared" si="6"/>
        <v>4</v>
      </c>
      <c r="U1052" s="15">
        <f t="shared" si="7"/>
        <v>2025</v>
      </c>
      <c r="V1052" s="15">
        <f t="shared" si="8"/>
        <v>8</v>
      </c>
      <c r="W1052" s="15">
        <f t="shared" si="9"/>
        <v>4</v>
      </c>
      <c r="X1052" s="15">
        <f t="shared" si="10"/>
        <v>2025</v>
      </c>
    </row>
    <row r="1053">
      <c r="A1053" s="9">
        <v>45755.0</v>
      </c>
      <c r="B1053" s="9">
        <v>45707.0</v>
      </c>
      <c r="C1053" s="9">
        <f t="shared" si="22"/>
        <v>45755</v>
      </c>
      <c r="D1053" s="11" t="s">
        <v>86</v>
      </c>
      <c r="E1053" s="11" t="s">
        <v>25</v>
      </c>
      <c r="F1053" s="11" t="s">
        <v>87</v>
      </c>
      <c r="G1053" s="11" t="s">
        <v>27</v>
      </c>
      <c r="H1053" s="11" t="s">
        <v>661</v>
      </c>
      <c r="I1053" s="12">
        <v>1500.0</v>
      </c>
      <c r="J1053" s="13"/>
      <c r="K1053" s="13">
        <f t="shared" si="53"/>
        <v>1500</v>
      </c>
      <c r="L1053" s="11" t="s">
        <v>53</v>
      </c>
      <c r="M1053" s="17">
        <v>45780.0</v>
      </c>
      <c r="N1053" s="11" t="s">
        <v>35</v>
      </c>
      <c r="O1053" s="10" t="str">
        <f t="shared" si="48"/>
        <v>04/2025</v>
      </c>
      <c r="P1053" s="10" t="str">
        <f t="shared" si="29"/>
        <v>04/2025</v>
      </c>
      <c r="Q1053" s="15" t="str">
        <f t="array" ref="Q1053">IFERROR(XLOOKUP(N1053,'Classificação'!A:A,'Classificação'!B:B),"")</f>
        <v>COMPRA DE MERCADORIA</v>
      </c>
      <c r="R1053" s="15" t="str">
        <f t="array" ref="R1053">IFERROR(XLOOKUP(Q1053,'Classificação'!B:B,'Classificação'!C:C),"")</f>
        <v>CUSTOS VARIÁVEIS</v>
      </c>
      <c r="S1053" s="15">
        <f t="shared" si="5"/>
        <v>8</v>
      </c>
      <c r="T1053" s="15">
        <f t="shared" si="6"/>
        <v>4</v>
      </c>
      <c r="U1053" s="15">
        <f t="shared" si="7"/>
        <v>2025</v>
      </c>
      <c r="V1053" s="15">
        <f t="shared" si="8"/>
        <v>8</v>
      </c>
      <c r="W1053" s="15">
        <f t="shared" si="9"/>
        <v>4</v>
      </c>
      <c r="X1053" s="15">
        <f t="shared" si="10"/>
        <v>2025</v>
      </c>
    </row>
    <row r="1054">
      <c r="A1054" s="9">
        <v>45755.0</v>
      </c>
      <c r="B1054" s="10"/>
      <c r="C1054" s="9">
        <f t="shared" si="22"/>
        <v>45755</v>
      </c>
      <c r="D1054" s="11" t="s">
        <v>631</v>
      </c>
      <c r="E1054" s="11" t="s">
        <v>25</v>
      </c>
      <c r="F1054" s="11" t="s">
        <v>26</v>
      </c>
      <c r="G1054" s="11" t="s">
        <v>37</v>
      </c>
      <c r="H1054" s="11" t="s">
        <v>632</v>
      </c>
      <c r="I1054" s="12">
        <v>110.87</v>
      </c>
      <c r="J1054" s="13"/>
      <c r="K1054" s="13">
        <f t="shared" si="53"/>
        <v>110.87</v>
      </c>
      <c r="L1054" s="11" t="s">
        <v>53</v>
      </c>
      <c r="M1054" s="17">
        <v>45841.0</v>
      </c>
      <c r="N1054" s="11" t="s">
        <v>178</v>
      </c>
      <c r="O1054" s="10" t="str">
        <f t="shared" si="48"/>
        <v>04/2025</v>
      </c>
      <c r="P1054" s="10" t="str">
        <f t="shared" si="29"/>
        <v>04/2025</v>
      </c>
      <c r="Q1054" s="15" t="str">
        <f t="array" ref="Q1054">IFERROR(XLOOKUP(N1054,'Classificação'!A:A,'Classificação'!B:B),"")</f>
        <v>DESPESAS COM OCUPAÇÃO</v>
      </c>
      <c r="R1054" s="15" t="str">
        <f t="array" ref="R1054">IFERROR(XLOOKUP(Q1054,'Classificação'!B:B,'Classificação'!C:C),"")</f>
        <v>DESPESAS FIXAS (-)</v>
      </c>
      <c r="S1054" s="15">
        <f t="shared" si="5"/>
        <v>8</v>
      </c>
      <c r="T1054" s="15">
        <f t="shared" si="6"/>
        <v>4</v>
      </c>
      <c r="U1054" s="15">
        <f t="shared" si="7"/>
        <v>2025</v>
      </c>
      <c r="V1054" s="15">
        <f t="shared" si="8"/>
        <v>8</v>
      </c>
      <c r="W1054" s="15">
        <f t="shared" si="9"/>
        <v>4</v>
      </c>
      <c r="X1054" s="15">
        <f t="shared" si="10"/>
        <v>2025</v>
      </c>
    </row>
    <row r="1055">
      <c r="A1055" s="9">
        <v>45756.0</v>
      </c>
      <c r="B1055" s="10"/>
      <c r="C1055" s="9">
        <f t="shared" si="22"/>
        <v>45756</v>
      </c>
      <c r="D1055" s="11" t="s">
        <v>528</v>
      </c>
      <c r="E1055" s="11" t="s">
        <v>25</v>
      </c>
      <c r="F1055" s="11" t="s">
        <v>32</v>
      </c>
      <c r="G1055" s="11" t="s">
        <v>27</v>
      </c>
      <c r="H1055" s="11" t="s">
        <v>662</v>
      </c>
      <c r="I1055" s="12">
        <v>95550.0</v>
      </c>
      <c r="J1055" s="13"/>
      <c r="K1055" s="13">
        <f t="shared" si="53"/>
        <v>95550</v>
      </c>
      <c r="L1055" s="11" t="s">
        <v>34</v>
      </c>
      <c r="M1055" s="14"/>
      <c r="N1055" s="11" t="s">
        <v>35</v>
      </c>
      <c r="O1055" s="10" t="str">
        <f t="shared" si="48"/>
        <v>04/2025</v>
      </c>
      <c r="P1055" s="10" t="str">
        <f t="shared" si="29"/>
        <v>04/2025</v>
      </c>
      <c r="Q1055" s="15" t="str">
        <f t="array" ref="Q1055">IFERROR(XLOOKUP(N1055,'Classificação'!A:A,'Classificação'!B:B),"")</f>
        <v>COMPRA DE MERCADORIA</v>
      </c>
      <c r="R1055" s="15" t="str">
        <f t="array" ref="R1055">IFERROR(XLOOKUP(Q1055,'Classificação'!B:B,'Classificação'!C:C),"")</f>
        <v>CUSTOS VARIÁVEIS</v>
      </c>
      <c r="S1055" s="15">
        <f t="shared" si="5"/>
        <v>9</v>
      </c>
      <c r="T1055" s="15">
        <f t="shared" si="6"/>
        <v>4</v>
      </c>
      <c r="U1055" s="15">
        <f t="shared" si="7"/>
        <v>2025</v>
      </c>
      <c r="V1055" s="15">
        <f t="shared" si="8"/>
        <v>9</v>
      </c>
      <c r="W1055" s="15">
        <f t="shared" si="9"/>
        <v>4</v>
      </c>
      <c r="X1055" s="15">
        <f t="shared" si="10"/>
        <v>2025</v>
      </c>
    </row>
    <row r="1056">
      <c r="A1056" s="9">
        <v>45756.0</v>
      </c>
      <c r="B1056" s="10"/>
      <c r="C1056" s="9">
        <f t="shared" si="22"/>
        <v>45756</v>
      </c>
      <c r="D1056" s="11" t="s">
        <v>44</v>
      </c>
      <c r="E1056" s="11" t="s">
        <v>25</v>
      </c>
      <c r="F1056" s="11" t="s">
        <v>45</v>
      </c>
      <c r="G1056" s="11" t="s">
        <v>27</v>
      </c>
      <c r="H1056" s="11" t="s">
        <v>663</v>
      </c>
      <c r="I1056" s="12">
        <v>5.85</v>
      </c>
      <c r="J1056" s="13"/>
      <c r="K1056" s="13">
        <f t="shared" si="53"/>
        <v>5.85</v>
      </c>
      <c r="L1056" s="11" t="s">
        <v>34</v>
      </c>
      <c r="M1056" s="14"/>
      <c r="N1056" s="11" t="s">
        <v>47</v>
      </c>
      <c r="O1056" s="10" t="str">
        <f t="shared" si="48"/>
        <v>04/2025</v>
      </c>
      <c r="P1056" s="10" t="str">
        <f t="shared" si="29"/>
        <v>04/2025</v>
      </c>
      <c r="Q1056" s="15" t="str">
        <f t="array" ref="Q1056">IFERROR(XLOOKUP(N1056,'Classificação'!A:A,'Classificação'!B:B),"")</f>
        <v>DESPESAS NÃO OPERACIONAIS</v>
      </c>
      <c r="R1056" s="15" t="str">
        <f t="array" ref="R1056">IFERROR(XLOOKUP(Q1056,'Classificação'!B:B,'Classificação'!C:C),"")</f>
        <v>RESULTADO NÃO OPERACIONAL (+/-)</v>
      </c>
      <c r="S1056" s="15">
        <f t="shared" si="5"/>
        <v>9</v>
      </c>
      <c r="T1056" s="15">
        <f t="shared" si="6"/>
        <v>4</v>
      </c>
      <c r="U1056" s="15">
        <f t="shared" si="7"/>
        <v>2025</v>
      </c>
      <c r="V1056" s="15">
        <f t="shared" si="8"/>
        <v>9</v>
      </c>
      <c r="W1056" s="15">
        <f t="shared" si="9"/>
        <v>4</v>
      </c>
      <c r="X1056" s="15">
        <f t="shared" si="10"/>
        <v>2025</v>
      </c>
    </row>
    <row r="1057">
      <c r="A1057" s="9">
        <v>45757.0</v>
      </c>
      <c r="B1057" s="10"/>
      <c r="C1057" s="9">
        <f t="shared" si="22"/>
        <v>45757</v>
      </c>
      <c r="D1057" s="11" t="s">
        <v>48</v>
      </c>
      <c r="E1057" s="11" t="s">
        <v>25</v>
      </c>
      <c r="F1057" s="11" t="s">
        <v>40</v>
      </c>
      <c r="G1057" s="11" t="s">
        <v>27</v>
      </c>
      <c r="I1057" s="12">
        <v>1282.61</v>
      </c>
      <c r="J1057" s="13"/>
      <c r="K1057" s="13">
        <f t="shared" si="53"/>
        <v>1282.61</v>
      </c>
      <c r="L1057" s="11" t="s">
        <v>29</v>
      </c>
      <c r="M1057" s="14"/>
      <c r="N1057" s="11" t="s">
        <v>49</v>
      </c>
      <c r="O1057" s="10" t="str">
        <f t="shared" si="48"/>
        <v>04/2025</v>
      </c>
      <c r="P1057" s="10" t="str">
        <f t="shared" si="29"/>
        <v>04/2025</v>
      </c>
      <c r="Q1057" s="15" t="str">
        <f t="array" ref="Q1057">IFERROR(XLOOKUP(N1057,'Classificação'!A:A,'Classificação'!B:B),"")</f>
        <v>DESPESAS COM PESSOAL</v>
      </c>
      <c r="R1057" s="15" t="str">
        <f t="array" ref="R1057">IFERROR(XLOOKUP(Q1057,'Classificação'!B:B,'Classificação'!C:C),"")</f>
        <v>DESPESAS FIXAS (-)</v>
      </c>
      <c r="S1057" s="15">
        <f t="shared" si="5"/>
        <v>10</v>
      </c>
      <c r="T1057" s="15">
        <f t="shared" si="6"/>
        <v>4</v>
      </c>
      <c r="U1057" s="15">
        <f t="shared" si="7"/>
        <v>2025</v>
      </c>
      <c r="V1057" s="15">
        <f t="shared" si="8"/>
        <v>10</v>
      </c>
      <c r="W1057" s="15">
        <f t="shared" si="9"/>
        <v>4</v>
      </c>
      <c r="X1057" s="15">
        <f t="shared" si="10"/>
        <v>2025</v>
      </c>
    </row>
    <row r="1058">
      <c r="A1058" s="9">
        <v>45757.0</v>
      </c>
      <c r="B1058" s="10"/>
      <c r="C1058" s="9">
        <f t="shared" si="22"/>
        <v>45757</v>
      </c>
      <c r="D1058" s="11" t="s">
        <v>50</v>
      </c>
      <c r="E1058" s="11" t="s">
        <v>25</v>
      </c>
      <c r="F1058" s="11" t="s">
        <v>40</v>
      </c>
      <c r="G1058" s="11" t="s">
        <v>27</v>
      </c>
      <c r="H1058" s="11" t="s">
        <v>51</v>
      </c>
      <c r="I1058" s="12">
        <v>139.99</v>
      </c>
      <c r="J1058" s="13"/>
      <c r="K1058" s="13">
        <f t="shared" si="53"/>
        <v>139.99</v>
      </c>
      <c r="L1058" s="11" t="s">
        <v>29</v>
      </c>
      <c r="M1058" s="14"/>
      <c r="N1058" s="11" t="s">
        <v>51</v>
      </c>
      <c r="O1058" s="10" t="str">
        <f t="shared" si="48"/>
        <v>04/2025</v>
      </c>
      <c r="P1058" s="10" t="str">
        <f t="shared" si="29"/>
        <v>04/2025</v>
      </c>
      <c r="Q1058" s="15" t="str">
        <f t="array" ref="Q1058">IFERROR(XLOOKUP(N1058,'Classificação'!A:A,'Classificação'!B:B),"")</f>
        <v>DESPESAS COM OCUPAÇÃO</v>
      </c>
      <c r="R1058" s="15" t="str">
        <f t="array" ref="R1058">IFERROR(XLOOKUP(Q1058,'Classificação'!B:B,'Classificação'!C:C),"")</f>
        <v>DESPESAS FIXAS (-)</v>
      </c>
      <c r="S1058" s="15">
        <f t="shared" si="5"/>
        <v>10</v>
      </c>
      <c r="T1058" s="15">
        <f t="shared" si="6"/>
        <v>4</v>
      </c>
      <c r="U1058" s="15">
        <f t="shared" si="7"/>
        <v>2025</v>
      </c>
      <c r="V1058" s="15">
        <f t="shared" si="8"/>
        <v>10</v>
      </c>
      <c r="W1058" s="15">
        <f t="shared" si="9"/>
        <v>4</v>
      </c>
      <c r="X1058" s="15">
        <f t="shared" si="10"/>
        <v>2025</v>
      </c>
    </row>
    <row r="1059">
      <c r="A1059" s="9">
        <v>45757.0</v>
      </c>
      <c r="B1059" s="10"/>
      <c r="C1059" s="9">
        <f t="shared" si="22"/>
        <v>45757</v>
      </c>
      <c r="D1059" s="11" t="s">
        <v>59</v>
      </c>
      <c r="E1059" s="11" t="s">
        <v>25</v>
      </c>
      <c r="F1059" s="11" t="s">
        <v>40</v>
      </c>
      <c r="G1059" s="11" t="s">
        <v>37</v>
      </c>
      <c r="H1059" s="11" t="s">
        <v>664</v>
      </c>
      <c r="I1059" s="12">
        <v>397.0</v>
      </c>
      <c r="J1059" s="13"/>
      <c r="K1059" s="13">
        <f t="shared" si="53"/>
        <v>397</v>
      </c>
      <c r="L1059" s="11" t="s">
        <v>29</v>
      </c>
      <c r="M1059" s="14"/>
      <c r="N1059" s="11" t="s">
        <v>61</v>
      </c>
      <c r="O1059" s="10" t="str">
        <f t="shared" si="48"/>
        <v>04/2025</v>
      </c>
      <c r="P1059" s="10" t="str">
        <f t="shared" si="29"/>
        <v>04/2025</v>
      </c>
      <c r="Q1059" s="15" t="str">
        <f t="array" ref="Q1059">IFERROR(XLOOKUP(N1059,'Classificação'!A:A,'Classificação'!B:B),"")</f>
        <v>DESPESAS ADMINISTRATIVAS</v>
      </c>
      <c r="R1059" s="15" t="str">
        <f t="array" ref="R1059">IFERROR(XLOOKUP(Q1059,'Classificação'!B:B,'Classificação'!C:C),"")</f>
        <v>DESPESAS FIXAS (-)</v>
      </c>
      <c r="S1059" s="15">
        <f t="shared" si="5"/>
        <v>10</v>
      </c>
      <c r="T1059" s="15">
        <f t="shared" si="6"/>
        <v>4</v>
      </c>
      <c r="U1059" s="15">
        <f t="shared" si="7"/>
        <v>2025</v>
      </c>
      <c r="V1059" s="15">
        <f t="shared" si="8"/>
        <v>10</v>
      </c>
      <c r="W1059" s="15">
        <f t="shared" si="9"/>
        <v>4</v>
      </c>
      <c r="X1059" s="15">
        <f t="shared" si="10"/>
        <v>2025</v>
      </c>
    </row>
    <row r="1060">
      <c r="A1060" s="9">
        <v>45757.0</v>
      </c>
      <c r="B1060" s="10"/>
      <c r="C1060" s="9">
        <f t="shared" si="22"/>
        <v>45757</v>
      </c>
      <c r="D1060" s="11" t="s">
        <v>104</v>
      </c>
      <c r="E1060" s="11" t="s">
        <v>25</v>
      </c>
      <c r="F1060" s="11" t="s">
        <v>40</v>
      </c>
      <c r="G1060" s="11" t="s">
        <v>37</v>
      </c>
      <c r="H1060" s="11" t="s">
        <v>413</v>
      </c>
      <c r="I1060" s="12">
        <v>27.5</v>
      </c>
      <c r="J1060" s="13"/>
      <c r="K1060" s="13">
        <f t="shared" si="53"/>
        <v>27.5</v>
      </c>
      <c r="L1060" s="11" t="s">
        <v>29</v>
      </c>
      <c r="M1060" s="14"/>
      <c r="N1060" s="11" t="s">
        <v>105</v>
      </c>
      <c r="O1060" s="10" t="str">
        <f t="shared" si="48"/>
        <v>04/2025</v>
      </c>
      <c r="P1060" s="10" t="str">
        <f t="shared" si="29"/>
        <v>04/2025</v>
      </c>
      <c r="Q1060" s="15" t="str">
        <f t="array" ref="Q1060">IFERROR(XLOOKUP(N1060,'Classificação'!A:A,'Classificação'!B:B),"")</f>
        <v>DESPESAS ADMINISTRATIVAS</v>
      </c>
      <c r="R1060" s="15" t="str">
        <f t="array" ref="R1060">IFERROR(XLOOKUP(Q1060,'Classificação'!B:B,'Classificação'!C:C),"")</f>
        <v>DESPESAS FIXAS (-)</v>
      </c>
      <c r="S1060" s="15">
        <f t="shared" si="5"/>
        <v>10</v>
      </c>
      <c r="T1060" s="15">
        <f t="shared" si="6"/>
        <v>4</v>
      </c>
      <c r="U1060" s="15">
        <f t="shared" si="7"/>
        <v>2025</v>
      </c>
      <c r="V1060" s="15">
        <f t="shared" si="8"/>
        <v>10</v>
      </c>
      <c r="W1060" s="15">
        <f t="shared" si="9"/>
        <v>4</v>
      </c>
      <c r="X1060" s="15">
        <f t="shared" si="10"/>
        <v>2025</v>
      </c>
    </row>
    <row r="1061">
      <c r="A1061" s="9">
        <v>45757.0</v>
      </c>
      <c r="B1061" s="10"/>
      <c r="C1061" s="9">
        <f t="shared" si="22"/>
        <v>45757</v>
      </c>
      <c r="D1061" s="11" t="s">
        <v>44</v>
      </c>
      <c r="E1061" s="11" t="s">
        <v>25</v>
      </c>
      <c r="F1061" s="11" t="s">
        <v>45</v>
      </c>
      <c r="G1061" s="11" t="s">
        <v>27</v>
      </c>
      <c r="H1061" s="11" t="s">
        <v>52</v>
      </c>
      <c r="I1061" s="12">
        <v>480.32</v>
      </c>
      <c r="J1061" s="13"/>
      <c r="K1061" s="13">
        <f t="shared" si="53"/>
        <v>480.32</v>
      </c>
      <c r="L1061" s="11" t="s">
        <v>53</v>
      </c>
      <c r="M1061" s="16" t="s">
        <v>665</v>
      </c>
      <c r="N1061" s="11" t="s">
        <v>55</v>
      </c>
      <c r="O1061" s="10" t="str">
        <f t="shared" si="48"/>
        <v>04/2025</v>
      </c>
      <c r="P1061" s="10" t="str">
        <f t="shared" si="29"/>
        <v>04/2025</v>
      </c>
      <c r="Q1061" s="15" t="str">
        <f t="array" ref="Q1061">IFERROR(XLOOKUP(N1061,'Classificação'!A:A,'Classificação'!B:B),"")</f>
        <v>DESPESAS NÃO OPERACIONAIS</v>
      </c>
      <c r="R1061" s="15" t="str">
        <f t="array" ref="R1061">IFERROR(XLOOKUP(Q1061,'Classificação'!B:B,'Classificação'!C:C),"")</f>
        <v>RESULTADO NÃO OPERACIONAL (+/-)</v>
      </c>
      <c r="S1061" s="15">
        <f t="shared" si="5"/>
        <v>10</v>
      </c>
      <c r="T1061" s="15">
        <f t="shared" si="6"/>
        <v>4</v>
      </c>
      <c r="U1061" s="15">
        <f t="shared" si="7"/>
        <v>2025</v>
      </c>
      <c r="V1061" s="15">
        <f t="shared" si="8"/>
        <v>10</v>
      </c>
      <c r="W1061" s="15">
        <f t="shared" si="9"/>
        <v>4</v>
      </c>
      <c r="X1061" s="15">
        <f t="shared" si="10"/>
        <v>2025</v>
      </c>
    </row>
    <row r="1062">
      <c r="A1062" s="9">
        <v>45758.0</v>
      </c>
      <c r="B1062" s="10"/>
      <c r="C1062" s="9">
        <f t="shared" si="22"/>
        <v>45758</v>
      </c>
      <c r="D1062" s="11" t="s">
        <v>56</v>
      </c>
      <c r="E1062" s="11" t="s">
        <v>25</v>
      </c>
      <c r="F1062" s="11" t="s">
        <v>26</v>
      </c>
      <c r="G1062" s="11" t="s">
        <v>37</v>
      </c>
      <c r="H1062" s="11" t="s">
        <v>57</v>
      </c>
      <c r="I1062" s="12">
        <v>50.0</v>
      </c>
      <c r="J1062" s="13"/>
      <c r="K1062" s="13">
        <f t="shared" si="53"/>
        <v>50</v>
      </c>
      <c r="L1062" s="11" t="s">
        <v>29</v>
      </c>
      <c r="M1062" s="14"/>
      <c r="N1062" s="11" t="s">
        <v>58</v>
      </c>
      <c r="O1062" s="10" t="str">
        <f t="shared" si="48"/>
        <v>04/2025</v>
      </c>
      <c r="P1062" s="10" t="str">
        <f t="shared" si="29"/>
        <v>04/2025</v>
      </c>
      <c r="Q1062" s="15" t="str">
        <f t="array" ref="Q1062">IFERROR(XLOOKUP(N1062,'Classificação'!A:A,'Classificação'!B:B),"")</f>
        <v>DESPESAS ADMINISTRATIVAS</v>
      </c>
      <c r="R1062" s="15" t="str">
        <f t="array" ref="R1062">IFERROR(XLOOKUP(Q1062,'Classificação'!B:B,'Classificação'!C:C),"")</f>
        <v>DESPESAS FIXAS (-)</v>
      </c>
      <c r="S1062" s="15">
        <f t="shared" si="5"/>
        <v>11</v>
      </c>
      <c r="T1062" s="15">
        <f t="shared" si="6"/>
        <v>4</v>
      </c>
      <c r="U1062" s="15">
        <f t="shared" si="7"/>
        <v>2025</v>
      </c>
      <c r="V1062" s="15">
        <f t="shared" si="8"/>
        <v>11</v>
      </c>
      <c r="W1062" s="15">
        <f t="shared" si="9"/>
        <v>4</v>
      </c>
      <c r="X1062" s="15">
        <f t="shared" si="10"/>
        <v>2025</v>
      </c>
    </row>
    <row r="1063">
      <c r="A1063" s="9">
        <v>45758.0</v>
      </c>
      <c r="B1063" s="10"/>
      <c r="C1063" s="9">
        <f t="shared" si="22"/>
        <v>45758</v>
      </c>
      <c r="D1063" s="11" t="s">
        <v>65</v>
      </c>
      <c r="E1063" s="11" t="s">
        <v>25</v>
      </c>
      <c r="F1063" s="11" t="s">
        <v>45</v>
      </c>
      <c r="G1063" s="11" t="s">
        <v>66</v>
      </c>
      <c r="H1063" s="11" t="s">
        <v>67</v>
      </c>
      <c r="I1063" s="12">
        <v>782.87</v>
      </c>
      <c r="J1063" s="13"/>
      <c r="K1063" s="13">
        <f t="shared" si="53"/>
        <v>782.87</v>
      </c>
      <c r="L1063" s="11" t="s">
        <v>29</v>
      </c>
      <c r="M1063" s="14"/>
      <c r="N1063" s="11" t="s">
        <v>68</v>
      </c>
      <c r="O1063" s="10" t="str">
        <f t="shared" si="48"/>
        <v>04/2025</v>
      </c>
      <c r="P1063" s="10" t="str">
        <f t="shared" si="29"/>
        <v>04/2025</v>
      </c>
      <c r="Q1063" s="15" t="str">
        <f t="array" ref="Q1063">IFERROR(XLOOKUP(N1063,'Classificação'!A:A,'Classificação'!B:B),"")</f>
        <v>FRETE DE VENDAS</v>
      </c>
      <c r="R1063" s="15" t="str">
        <f t="array" ref="R1063">IFERROR(XLOOKUP(Q1063,'Classificação'!B:B,'Classificação'!C:C),"")</f>
        <v>CUSTOS VARIÁVEIS</v>
      </c>
      <c r="S1063" s="15">
        <f t="shared" si="5"/>
        <v>11</v>
      </c>
      <c r="T1063" s="15">
        <f t="shared" si="6"/>
        <v>4</v>
      </c>
      <c r="U1063" s="15">
        <f t="shared" si="7"/>
        <v>2025</v>
      </c>
      <c r="V1063" s="15">
        <f t="shared" si="8"/>
        <v>11</v>
      </c>
      <c r="W1063" s="15">
        <f t="shared" si="9"/>
        <v>4</v>
      </c>
      <c r="X1063" s="15">
        <f t="shared" si="10"/>
        <v>2025</v>
      </c>
    </row>
    <row r="1064">
      <c r="A1064" s="9">
        <v>45758.0</v>
      </c>
      <c r="B1064" s="9"/>
      <c r="C1064" s="9">
        <f t="shared" si="22"/>
        <v>45758</v>
      </c>
      <c r="D1064" s="11" t="s">
        <v>520</v>
      </c>
      <c r="E1064" s="11" t="s">
        <v>25</v>
      </c>
      <c r="F1064" s="11" t="s">
        <v>26</v>
      </c>
      <c r="G1064" s="11" t="s">
        <v>37</v>
      </c>
      <c r="H1064" s="11" t="s">
        <v>666</v>
      </c>
      <c r="I1064" s="12">
        <v>100.0</v>
      </c>
      <c r="J1064" s="13"/>
      <c r="K1064" s="13">
        <f t="shared" si="53"/>
        <v>100</v>
      </c>
      <c r="L1064" s="11" t="s">
        <v>34</v>
      </c>
      <c r="M1064" s="14"/>
      <c r="N1064" s="11" t="s">
        <v>58</v>
      </c>
      <c r="O1064" s="10" t="str">
        <f t="shared" si="48"/>
        <v>04/2025</v>
      </c>
      <c r="P1064" s="10" t="str">
        <f t="shared" si="29"/>
        <v>04/2025</v>
      </c>
      <c r="Q1064" s="15" t="str">
        <f t="array" ref="Q1064">IFERROR(XLOOKUP(N1064,'Classificação'!A:A,'Classificação'!B:B),"")</f>
        <v>DESPESAS ADMINISTRATIVAS</v>
      </c>
      <c r="R1064" s="15" t="str">
        <f t="array" ref="R1064">IFERROR(XLOOKUP(Q1064,'Classificação'!B:B,'Classificação'!C:C),"")</f>
        <v>DESPESAS FIXAS (-)</v>
      </c>
      <c r="S1064" s="15">
        <f t="shared" si="5"/>
        <v>11</v>
      </c>
      <c r="T1064" s="15">
        <f t="shared" si="6"/>
        <v>4</v>
      </c>
      <c r="U1064" s="15">
        <f t="shared" si="7"/>
        <v>2025</v>
      </c>
      <c r="V1064" s="15">
        <f t="shared" si="8"/>
        <v>11</v>
      </c>
      <c r="W1064" s="15">
        <f t="shared" si="9"/>
        <v>4</v>
      </c>
      <c r="X1064" s="15">
        <f t="shared" si="10"/>
        <v>2025</v>
      </c>
    </row>
    <row r="1065">
      <c r="A1065" s="9">
        <v>45761.0</v>
      </c>
      <c r="B1065" s="10"/>
      <c r="C1065" s="9">
        <f t="shared" si="22"/>
        <v>45761</v>
      </c>
      <c r="D1065" s="11" t="s">
        <v>44</v>
      </c>
      <c r="E1065" s="11" t="s">
        <v>25</v>
      </c>
      <c r="F1065" s="11" t="s">
        <v>45</v>
      </c>
      <c r="G1065" s="11" t="s">
        <v>27</v>
      </c>
      <c r="H1065" s="11" t="s">
        <v>476</v>
      </c>
      <c r="I1065" s="12">
        <v>5530.23</v>
      </c>
      <c r="J1065" s="13"/>
      <c r="K1065" s="13">
        <f t="shared" si="53"/>
        <v>5530.23</v>
      </c>
      <c r="L1065" s="11" t="s">
        <v>53</v>
      </c>
      <c r="M1065" s="16" t="s">
        <v>667</v>
      </c>
      <c r="N1065" s="11" t="s">
        <v>73</v>
      </c>
      <c r="O1065" s="10" t="str">
        <f t="shared" si="48"/>
        <v>04/2025</v>
      </c>
      <c r="P1065" s="10" t="str">
        <f t="shared" si="29"/>
        <v>04/2025</v>
      </c>
      <c r="Q1065" s="15" t="str">
        <f t="array" ref="Q1065">IFERROR(XLOOKUP(N1065,'Classificação'!A:A,'Classificação'!B:B),"")</f>
        <v>DESPESAS NÃO OPERACIONAIS</v>
      </c>
      <c r="R1065" s="15" t="str">
        <f t="array" ref="R1065">IFERROR(XLOOKUP(Q1065,'Classificação'!B:B,'Classificação'!C:C),"")</f>
        <v>RESULTADO NÃO OPERACIONAL (+/-)</v>
      </c>
      <c r="S1065" s="15">
        <f t="shared" si="5"/>
        <v>14</v>
      </c>
      <c r="T1065" s="15">
        <f t="shared" si="6"/>
        <v>4</v>
      </c>
      <c r="U1065" s="15">
        <f t="shared" si="7"/>
        <v>2025</v>
      </c>
      <c r="V1065" s="15">
        <f t="shared" si="8"/>
        <v>14</v>
      </c>
      <c r="W1065" s="15">
        <f t="shared" si="9"/>
        <v>4</v>
      </c>
      <c r="X1065" s="15">
        <f t="shared" si="10"/>
        <v>2025</v>
      </c>
    </row>
    <row r="1066">
      <c r="A1066" s="9">
        <v>45761.0</v>
      </c>
      <c r="B1066" s="10"/>
      <c r="C1066" s="9">
        <f t="shared" si="22"/>
        <v>45761</v>
      </c>
      <c r="D1066" s="11" t="s">
        <v>83</v>
      </c>
      <c r="E1066" s="11" t="s">
        <v>25</v>
      </c>
      <c r="F1066" s="11" t="s">
        <v>32</v>
      </c>
      <c r="G1066" s="11" t="s">
        <v>27</v>
      </c>
      <c r="I1066" s="12">
        <v>800.0</v>
      </c>
      <c r="J1066" s="13"/>
      <c r="K1066" s="13">
        <f t="shared" si="53"/>
        <v>800</v>
      </c>
      <c r="L1066" s="11" t="s">
        <v>29</v>
      </c>
      <c r="M1066" s="14"/>
      <c r="N1066" s="11" t="s">
        <v>75</v>
      </c>
      <c r="O1066" s="10" t="str">
        <f t="shared" si="48"/>
        <v>04/2025</v>
      </c>
      <c r="P1066" s="10" t="str">
        <f t="shared" si="29"/>
        <v>04/2025</v>
      </c>
      <c r="Q1066" s="15" t="str">
        <f t="array" ref="Q1066">IFERROR(XLOOKUP(N1066,'Classificação'!A:A,'Classificação'!B:B),"")</f>
        <v>DESPESAS COM PESSOAL</v>
      </c>
      <c r="R1066" s="15" t="str">
        <f t="array" ref="R1066">IFERROR(XLOOKUP(Q1066,'Classificação'!B:B,'Classificação'!C:C),"")</f>
        <v>DESPESAS FIXAS (-)</v>
      </c>
      <c r="S1066" s="15">
        <f t="shared" si="5"/>
        <v>14</v>
      </c>
      <c r="T1066" s="15">
        <f t="shared" si="6"/>
        <v>4</v>
      </c>
      <c r="U1066" s="15">
        <f t="shared" si="7"/>
        <v>2025</v>
      </c>
      <c r="V1066" s="15">
        <f t="shared" si="8"/>
        <v>14</v>
      </c>
      <c r="W1066" s="15">
        <f t="shared" si="9"/>
        <v>4</v>
      </c>
      <c r="X1066" s="15">
        <f t="shared" si="10"/>
        <v>2025</v>
      </c>
    </row>
    <row r="1067">
      <c r="A1067" s="9">
        <v>45762.0</v>
      </c>
      <c r="B1067" s="10"/>
      <c r="C1067" s="9">
        <f t="shared" si="22"/>
        <v>45762</v>
      </c>
      <c r="D1067" s="11" t="s">
        <v>79</v>
      </c>
      <c r="E1067" s="11" t="s">
        <v>25</v>
      </c>
      <c r="F1067" s="11" t="s">
        <v>26</v>
      </c>
      <c r="G1067" s="11" t="s">
        <v>37</v>
      </c>
      <c r="I1067" s="12">
        <v>500.0</v>
      </c>
      <c r="J1067" s="13"/>
      <c r="K1067" s="13">
        <f t="shared" si="53"/>
        <v>500</v>
      </c>
      <c r="L1067" s="11" t="s">
        <v>29</v>
      </c>
      <c r="M1067" s="14"/>
      <c r="N1067" s="11" t="s">
        <v>38</v>
      </c>
      <c r="O1067" s="10" t="str">
        <f t="shared" si="48"/>
        <v>04/2025</v>
      </c>
      <c r="P1067" s="10" t="str">
        <f t="shared" si="29"/>
        <v>04/2025</v>
      </c>
      <c r="Q1067" s="15" t="str">
        <f t="array" ref="Q1067">IFERROR(XLOOKUP(N1067,'Classificação'!A:A,'Classificação'!B:B),"")</f>
        <v>DESPESAS COM PESSOAL</v>
      </c>
      <c r="R1067" s="15" t="str">
        <f t="array" ref="R1067">IFERROR(XLOOKUP(Q1067,'Classificação'!B:B,'Classificação'!C:C),"")</f>
        <v>DESPESAS FIXAS (-)</v>
      </c>
      <c r="S1067" s="15">
        <f t="shared" si="5"/>
        <v>15</v>
      </c>
      <c r="T1067" s="15">
        <f t="shared" si="6"/>
        <v>4</v>
      </c>
      <c r="U1067" s="15">
        <f t="shared" si="7"/>
        <v>2025</v>
      </c>
      <c r="V1067" s="15">
        <f t="shared" si="8"/>
        <v>15</v>
      </c>
      <c r="W1067" s="15">
        <f t="shared" si="9"/>
        <v>4</v>
      </c>
      <c r="X1067" s="15">
        <f t="shared" si="10"/>
        <v>2025</v>
      </c>
    </row>
    <row r="1068">
      <c r="A1068" s="9">
        <v>45762.0</v>
      </c>
      <c r="B1068" s="10"/>
      <c r="C1068" s="9">
        <f t="shared" si="22"/>
        <v>45762</v>
      </c>
      <c r="D1068" s="11" t="s">
        <v>80</v>
      </c>
      <c r="E1068" s="11" t="s">
        <v>25</v>
      </c>
      <c r="F1068" s="11" t="s">
        <v>32</v>
      </c>
      <c r="G1068" s="11" t="s">
        <v>27</v>
      </c>
      <c r="I1068" s="12">
        <v>780.0</v>
      </c>
      <c r="J1068" s="13"/>
      <c r="K1068" s="13">
        <f t="shared" si="53"/>
        <v>780</v>
      </c>
      <c r="L1068" s="11" t="s">
        <v>29</v>
      </c>
      <c r="M1068" s="14"/>
      <c r="N1068" s="11" t="s">
        <v>75</v>
      </c>
      <c r="O1068" s="10" t="str">
        <f t="shared" si="48"/>
        <v>04/2025</v>
      </c>
      <c r="P1068" s="10" t="str">
        <f t="shared" si="29"/>
        <v>04/2025</v>
      </c>
      <c r="Q1068" s="15" t="str">
        <f t="array" ref="Q1068">IFERROR(XLOOKUP(N1068,'Classificação'!A:A,'Classificação'!B:B),"")</f>
        <v>DESPESAS COM PESSOAL</v>
      </c>
      <c r="R1068" s="15" t="str">
        <f t="array" ref="R1068">IFERROR(XLOOKUP(Q1068,'Classificação'!B:B,'Classificação'!C:C),"")</f>
        <v>DESPESAS FIXAS (-)</v>
      </c>
      <c r="S1068" s="15">
        <f t="shared" si="5"/>
        <v>15</v>
      </c>
      <c r="T1068" s="15">
        <f t="shared" si="6"/>
        <v>4</v>
      </c>
      <c r="U1068" s="15">
        <f t="shared" si="7"/>
        <v>2025</v>
      </c>
      <c r="V1068" s="15">
        <f t="shared" si="8"/>
        <v>15</v>
      </c>
      <c r="W1068" s="15">
        <f t="shared" si="9"/>
        <v>4</v>
      </c>
      <c r="X1068" s="15">
        <f t="shared" si="10"/>
        <v>2025</v>
      </c>
    </row>
    <row r="1069">
      <c r="A1069" s="9">
        <v>45762.0</v>
      </c>
      <c r="B1069" s="9">
        <v>45680.0</v>
      </c>
      <c r="C1069" s="9">
        <f t="shared" si="22"/>
        <v>45762</v>
      </c>
      <c r="D1069" s="11" t="s">
        <v>544</v>
      </c>
      <c r="E1069" s="11" t="s">
        <v>25</v>
      </c>
      <c r="F1069" s="11" t="s">
        <v>26</v>
      </c>
      <c r="G1069" s="11" t="s">
        <v>37</v>
      </c>
      <c r="H1069" s="11" t="s">
        <v>545</v>
      </c>
      <c r="I1069" s="12">
        <v>766.46</v>
      </c>
      <c r="J1069" s="13"/>
      <c r="K1069" s="13">
        <f t="shared" si="53"/>
        <v>766.46</v>
      </c>
      <c r="L1069" s="11" t="s">
        <v>53</v>
      </c>
      <c r="M1069" s="17">
        <v>45994.0</v>
      </c>
      <c r="N1069" s="11" t="s">
        <v>95</v>
      </c>
      <c r="O1069" s="10" t="str">
        <f t="shared" si="48"/>
        <v>04/2025</v>
      </c>
      <c r="P1069" s="10" t="str">
        <f t="shared" si="29"/>
        <v>04/2025</v>
      </c>
      <c r="Q1069" s="15" t="str">
        <f t="array" ref="Q1069">IFERROR(XLOOKUP(N1069,'Classificação'!A:A,'Classificação'!B:B),"")</f>
        <v>DESPESAS NÃO OPERACIONAIS</v>
      </c>
      <c r="R1069" s="15" t="str">
        <f t="array" ref="R1069">IFERROR(XLOOKUP(Q1069,'Classificação'!B:B,'Classificação'!C:C),"")</f>
        <v>RESULTADO NÃO OPERACIONAL (+/-)</v>
      </c>
      <c r="S1069" s="15">
        <f t="shared" si="5"/>
        <v>15</v>
      </c>
      <c r="T1069" s="15">
        <f t="shared" si="6"/>
        <v>4</v>
      </c>
      <c r="U1069" s="15">
        <f t="shared" si="7"/>
        <v>2025</v>
      </c>
      <c r="V1069" s="15">
        <f t="shared" si="8"/>
        <v>15</v>
      </c>
      <c r="W1069" s="15">
        <f t="shared" si="9"/>
        <v>4</v>
      </c>
      <c r="X1069" s="15">
        <f t="shared" si="10"/>
        <v>2025</v>
      </c>
    </row>
    <row r="1070">
      <c r="A1070" s="9">
        <v>45762.0</v>
      </c>
      <c r="B1070" s="9">
        <v>45708.0</v>
      </c>
      <c r="C1070" s="9">
        <f t="shared" si="22"/>
        <v>45762</v>
      </c>
      <c r="D1070" s="11" t="s">
        <v>399</v>
      </c>
      <c r="E1070" s="11" t="s">
        <v>25</v>
      </c>
      <c r="F1070" s="11" t="s">
        <v>40</v>
      </c>
      <c r="G1070" s="11" t="s">
        <v>37</v>
      </c>
      <c r="H1070" s="11" t="s">
        <v>605</v>
      </c>
      <c r="I1070" s="12">
        <v>538.0</v>
      </c>
      <c r="J1070" s="13"/>
      <c r="K1070" s="13">
        <f t="shared" si="53"/>
        <v>538</v>
      </c>
      <c r="L1070" s="11" t="s">
        <v>53</v>
      </c>
      <c r="M1070" s="17">
        <v>45690.0</v>
      </c>
      <c r="N1070" s="11" t="s">
        <v>35</v>
      </c>
      <c r="O1070" s="10" t="str">
        <f t="shared" si="48"/>
        <v>04/2025</v>
      </c>
      <c r="P1070" s="10" t="str">
        <f t="shared" si="29"/>
        <v>04/2025</v>
      </c>
      <c r="Q1070" s="15" t="str">
        <f t="array" ref="Q1070">IFERROR(XLOOKUP(N1070,'Classificação'!A:A,'Classificação'!B:B),"")</f>
        <v>COMPRA DE MERCADORIA</v>
      </c>
      <c r="R1070" s="15" t="str">
        <f t="array" ref="R1070">IFERROR(XLOOKUP(Q1070,'Classificação'!B:B,'Classificação'!C:C),"")</f>
        <v>CUSTOS VARIÁVEIS</v>
      </c>
      <c r="S1070" s="15">
        <f t="shared" si="5"/>
        <v>15</v>
      </c>
      <c r="T1070" s="15">
        <f t="shared" si="6"/>
        <v>4</v>
      </c>
      <c r="U1070" s="15">
        <f t="shared" si="7"/>
        <v>2025</v>
      </c>
      <c r="V1070" s="15">
        <f t="shared" si="8"/>
        <v>15</v>
      </c>
      <c r="W1070" s="15">
        <f t="shared" si="9"/>
        <v>4</v>
      </c>
      <c r="X1070" s="15">
        <f t="shared" si="10"/>
        <v>2025</v>
      </c>
    </row>
    <row r="1071">
      <c r="A1071" s="26">
        <v>45762.0</v>
      </c>
      <c r="B1071" s="30"/>
      <c r="C1071" s="27">
        <f t="shared" si="22"/>
        <v>45762</v>
      </c>
      <c r="D1071" s="28" t="s">
        <v>36</v>
      </c>
      <c r="E1071" s="29" t="s">
        <v>25</v>
      </c>
      <c r="F1071" s="28" t="s">
        <v>32</v>
      </c>
      <c r="G1071" s="28" t="s">
        <v>37</v>
      </c>
      <c r="H1071" s="28"/>
      <c r="I1071" s="24">
        <v>1500.0</v>
      </c>
      <c r="J1071" s="13"/>
      <c r="K1071" s="13">
        <f t="shared" si="53"/>
        <v>1500</v>
      </c>
      <c r="L1071" s="11" t="s">
        <v>34</v>
      </c>
      <c r="M1071" s="14"/>
      <c r="N1071" s="11" t="s">
        <v>38</v>
      </c>
      <c r="O1071" s="10" t="str">
        <f t="shared" si="48"/>
        <v>04/2025</v>
      </c>
      <c r="P1071" s="10" t="str">
        <f t="shared" si="29"/>
        <v>04/2025</v>
      </c>
      <c r="Q1071" s="15" t="str">
        <f t="array" ref="Q1071">IFERROR(XLOOKUP(N1071,'Classificação'!A:A,'Classificação'!B:B),"")</f>
        <v>DESPESAS COM PESSOAL</v>
      </c>
      <c r="R1071" s="15" t="str">
        <f t="array" ref="R1071">IFERROR(XLOOKUP(Q1071,'Classificação'!B:B,'Classificação'!C:C),"")</f>
        <v>DESPESAS FIXAS (-)</v>
      </c>
      <c r="S1071" s="15">
        <f t="shared" si="5"/>
        <v>15</v>
      </c>
      <c r="T1071" s="15">
        <f t="shared" si="6"/>
        <v>4</v>
      </c>
      <c r="U1071" s="15">
        <f t="shared" si="7"/>
        <v>2025</v>
      </c>
      <c r="V1071" s="15">
        <f t="shared" si="8"/>
        <v>15</v>
      </c>
      <c r="W1071" s="15">
        <f t="shared" si="9"/>
        <v>4</v>
      </c>
      <c r="X1071" s="15">
        <f t="shared" si="10"/>
        <v>2025</v>
      </c>
    </row>
    <row r="1072">
      <c r="A1072" s="26">
        <v>45762.0</v>
      </c>
      <c r="B1072" s="30"/>
      <c r="C1072" s="27">
        <f t="shared" si="22"/>
        <v>45762</v>
      </c>
      <c r="D1072" s="28" t="s">
        <v>43</v>
      </c>
      <c r="E1072" s="29" t="s">
        <v>25</v>
      </c>
      <c r="F1072" s="28" t="s">
        <v>32</v>
      </c>
      <c r="G1072" s="28" t="s">
        <v>37</v>
      </c>
      <c r="H1072" s="28"/>
      <c r="I1072" s="24">
        <v>1500.0</v>
      </c>
      <c r="J1072" s="13"/>
      <c r="K1072" s="13">
        <f t="shared" si="53"/>
        <v>1500</v>
      </c>
      <c r="L1072" s="11" t="s">
        <v>34</v>
      </c>
      <c r="M1072" s="14"/>
      <c r="N1072" s="11" t="s">
        <v>38</v>
      </c>
      <c r="O1072" s="10" t="str">
        <f t="shared" si="48"/>
        <v>04/2025</v>
      </c>
      <c r="P1072" s="10" t="str">
        <f t="shared" si="29"/>
        <v>04/2025</v>
      </c>
      <c r="Q1072" s="15" t="str">
        <f t="array" ref="Q1072">IFERROR(XLOOKUP(N1072,'Classificação'!A:A,'Classificação'!B:B),"")</f>
        <v>DESPESAS COM PESSOAL</v>
      </c>
      <c r="R1072" s="15" t="str">
        <f t="array" ref="R1072">IFERROR(XLOOKUP(Q1072,'Classificação'!B:B,'Classificação'!C:C),"")</f>
        <v>DESPESAS FIXAS (-)</v>
      </c>
      <c r="S1072" s="15">
        <f t="shared" si="5"/>
        <v>15</v>
      </c>
      <c r="T1072" s="15">
        <f t="shared" si="6"/>
        <v>4</v>
      </c>
      <c r="U1072" s="15">
        <f t="shared" si="7"/>
        <v>2025</v>
      </c>
      <c r="V1072" s="15">
        <f t="shared" si="8"/>
        <v>15</v>
      </c>
      <c r="W1072" s="15">
        <f t="shared" si="9"/>
        <v>4</v>
      </c>
      <c r="X1072" s="15">
        <f t="shared" si="10"/>
        <v>2025</v>
      </c>
    </row>
    <row r="1073">
      <c r="A1073" s="9">
        <v>45762.0</v>
      </c>
      <c r="B1073" s="9">
        <v>45708.0</v>
      </c>
      <c r="C1073" s="9">
        <f t="shared" si="22"/>
        <v>45762</v>
      </c>
      <c r="D1073" s="11" t="s">
        <v>399</v>
      </c>
      <c r="E1073" s="11" t="s">
        <v>25</v>
      </c>
      <c r="F1073" s="11" t="s">
        <v>40</v>
      </c>
      <c r="G1073" s="11" t="s">
        <v>27</v>
      </c>
      <c r="H1073" s="11" t="s">
        <v>605</v>
      </c>
      <c r="I1073" s="12">
        <v>537.99</v>
      </c>
      <c r="J1073" s="13"/>
      <c r="K1073" s="13">
        <f t="shared" si="53"/>
        <v>537.99</v>
      </c>
      <c r="L1073" s="11" t="s">
        <v>53</v>
      </c>
      <c r="M1073" s="17">
        <v>45690.0</v>
      </c>
      <c r="N1073" s="11" t="s">
        <v>35</v>
      </c>
      <c r="O1073" s="10" t="str">
        <f t="shared" si="48"/>
        <v>04/2025</v>
      </c>
      <c r="P1073" s="10" t="str">
        <f t="shared" si="29"/>
        <v>04/2025</v>
      </c>
      <c r="Q1073" s="15" t="str">
        <f t="array" ref="Q1073">IFERROR(XLOOKUP(N1073,'Classificação'!A:A,'Classificação'!B:B),"")</f>
        <v>COMPRA DE MERCADORIA</v>
      </c>
      <c r="R1073" s="15" t="str">
        <f t="array" ref="R1073">IFERROR(XLOOKUP(Q1073,'Classificação'!B:B,'Classificação'!C:C),"")</f>
        <v>CUSTOS VARIÁVEIS</v>
      </c>
      <c r="S1073" s="15">
        <f t="shared" si="5"/>
        <v>15</v>
      </c>
      <c r="T1073" s="15">
        <f t="shared" si="6"/>
        <v>4</v>
      </c>
      <c r="U1073" s="15">
        <f t="shared" si="7"/>
        <v>2025</v>
      </c>
      <c r="V1073" s="15">
        <f t="shared" si="8"/>
        <v>15</v>
      </c>
      <c r="W1073" s="15">
        <f t="shared" si="9"/>
        <v>4</v>
      </c>
      <c r="X1073" s="15">
        <f t="shared" si="10"/>
        <v>2025</v>
      </c>
    </row>
    <row r="1074">
      <c r="A1074" s="9">
        <v>45763.0</v>
      </c>
      <c r="B1074" s="9">
        <v>45673.0</v>
      </c>
      <c r="C1074" s="9">
        <f t="shared" si="22"/>
        <v>45763</v>
      </c>
      <c r="D1074" s="11" t="s">
        <v>90</v>
      </c>
      <c r="E1074" s="11" t="s">
        <v>25</v>
      </c>
      <c r="F1074" s="11" t="s">
        <v>40</v>
      </c>
      <c r="G1074" s="11" t="s">
        <v>37</v>
      </c>
      <c r="H1074" s="11" t="s">
        <v>91</v>
      </c>
      <c r="I1074" s="12">
        <v>462.36</v>
      </c>
      <c r="J1074" s="13"/>
      <c r="K1074" s="13">
        <f t="shared" si="53"/>
        <v>462.36</v>
      </c>
      <c r="L1074" s="11" t="s">
        <v>29</v>
      </c>
      <c r="M1074" s="14"/>
      <c r="N1074" s="11" t="s">
        <v>92</v>
      </c>
      <c r="O1074" s="10" t="str">
        <f t="shared" si="48"/>
        <v>04/2025</v>
      </c>
      <c r="P1074" s="10" t="str">
        <f t="shared" si="29"/>
        <v>04/2025</v>
      </c>
      <c r="Q1074" s="15" t="str">
        <f t="array" ref="Q1074">IFERROR(XLOOKUP(N1074,'Classificação'!A:A,'Classificação'!B:B),"")</f>
        <v>DESPESAS COM OCUPAÇÃO</v>
      </c>
      <c r="R1074" s="15" t="str">
        <f t="array" ref="R1074">IFERROR(XLOOKUP(Q1074,'Classificação'!B:B,'Classificação'!C:C),"")</f>
        <v>DESPESAS FIXAS (-)</v>
      </c>
      <c r="S1074" s="15">
        <f t="shared" si="5"/>
        <v>16</v>
      </c>
      <c r="T1074" s="15">
        <f t="shared" si="6"/>
        <v>4</v>
      </c>
      <c r="U1074" s="15">
        <f t="shared" si="7"/>
        <v>2025</v>
      </c>
      <c r="V1074" s="15">
        <f t="shared" si="8"/>
        <v>16</v>
      </c>
      <c r="W1074" s="15">
        <f t="shared" si="9"/>
        <v>4</v>
      </c>
      <c r="X1074" s="15">
        <f t="shared" si="10"/>
        <v>2025</v>
      </c>
    </row>
    <row r="1075">
      <c r="A1075" s="9">
        <v>45764.0</v>
      </c>
      <c r="B1075" s="10"/>
      <c r="C1075" s="9">
        <f t="shared" si="22"/>
        <v>45764</v>
      </c>
      <c r="D1075" s="11" t="s">
        <v>123</v>
      </c>
      <c r="E1075" s="11" t="s">
        <v>25</v>
      </c>
      <c r="F1075" s="11" t="s">
        <v>40</v>
      </c>
      <c r="G1075" s="11" t="s">
        <v>27</v>
      </c>
      <c r="I1075" s="12">
        <v>377.76</v>
      </c>
      <c r="J1075" s="13"/>
      <c r="K1075" s="13">
        <f t="shared" si="53"/>
        <v>377.76</v>
      </c>
      <c r="L1075" s="11" t="s">
        <v>29</v>
      </c>
      <c r="M1075" s="14"/>
      <c r="N1075" s="11" t="s">
        <v>123</v>
      </c>
      <c r="O1075" s="10" t="str">
        <f t="shared" si="48"/>
        <v>04/2025</v>
      </c>
      <c r="P1075" s="10" t="str">
        <f t="shared" si="29"/>
        <v>04/2025</v>
      </c>
      <c r="Q1075" s="15" t="str">
        <f t="array" ref="Q1075">IFERROR(XLOOKUP(N1075,'Classificação'!A:A,'Classificação'!B:B),"")</f>
        <v>DESPESAS COM PESSOAL</v>
      </c>
      <c r="R1075" s="15" t="str">
        <f t="array" ref="R1075">IFERROR(XLOOKUP(Q1075,'Classificação'!B:B,'Classificação'!C:C),"")</f>
        <v>DESPESAS FIXAS (-)</v>
      </c>
      <c r="S1075" s="15">
        <f t="shared" si="5"/>
        <v>17</v>
      </c>
      <c r="T1075" s="15">
        <f t="shared" si="6"/>
        <v>4</v>
      </c>
      <c r="U1075" s="15">
        <f t="shared" si="7"/>
        <v>2025</v>
      </c>
      <c r="V1075" s="15">
        <f t="shared" si="8"/>
        <v>17</v>
      </c>
      <c r="W1075" s="15">
        <f t="shared" si="9"/>
        <v>4</v>
      </c>
      <c r="X1075" s="15">
        <f t="shared" si="10"/>
        <v>2025</v>
      </c>
    </row>
    <row r="1076">
      <c r="A1076" s="9">
        <v>45764.0</v>
      </c>
      <c r="B1076" s="10"/>
      <c r="C1076" s="9">
        <f t="shared" si="22"/>
        <v>45764</v>
      </c>
      <c r="D1076" s="11" t="s">
        <v>126</v>
      </c>
      <c r="E1076" s="11" t="s">
        <v>25</v>
      </c>
      <c r="F1076" s="11" t="s">
        <v>40</v>
      </c>
      <c r="G1076" s="11" t="s">
        <v>27</v>
      </c>
      <c r="I1076" s="12">
        <v>691.82</v>
      </c>
      <c r="J1076" s="13"/>
      <c r="K1076" s="13">
        <f t="shared" si="53"/>
        <v>691.82</v>
      </c>
      <c r="L1076" s="11" t="s">
        <v>29</v>
      </c>
      <c r="M1076" s="14"/>
      <c r="N1076" s="11" t="s">
        <v>126</v>
      </c>
      <c r="O1076" s="10" t="str">
        <f t="shared" si="48"/>
        <v>04/2025</v>
      </c>
      <c r="P1076" s="10" t="str">
        <f t="shared" si="29"/>
        <v>04/2025</v>
      </c>
      <c r="Q1076" s="15" t="str">
        <f t="array" ref="Q1076">IFERROR(XLOOKUP(N1076,'Classificação'!A:A,'Classificação'!B:B),"")</f>
        <v>DESPESAS COM PESSOAL</v>
      </c>
      <c r="R1076" s="15" t="str">
        <f t="array" ref="R1076">IFERROR(XLOOKUP(Q1076,'Classificação'!B:B,'Classificação'!C:C),"")</f>
        <v>DESPESAS FIXAS (-)</v>
      </c>
      <c r="S1076" s="15">
        <f t="shared" si="5"/>
        <v>17</v>
      </c>
      <c r="T1076" s="15">
        <f t="shared" si="6"/>
        <v>4</v>
      </c>
      <c r="U1076" s="15">
        <f t="shared" si="7"/>
        <v>2025</v>
      </c>
      <c r="V1076" s="15">
        <f t="shared" si="8"/>
        <v>17</v>
      </c>
      <c r="W1076" s="15">
        <f t="shared" si="9"/>
        <v>4</v>
      </c>
      <c r="X1076" s="15">
        <f t="shared" si="10"/>
        <v>2025</v>
      </c>
    </row>
    <row r="1077">
      <c r="A1077" s="9">
        <v>45764.0</v>
      </c>
      <c r="B1077" s="10"/>
      <c r="C1077" s="9">
        <f t="shared" si="22"/>
        <v>45764</v>
      </c>
      <c r="D1077" s="11" t="s">
        <v>668</v>
      </c>
      <c r="E1077" s="11" t="s">
        <v>25</v>
      </c>
      <c r="F1077" s="11" t="s">
        <v>26</v>
      </c>
      <c r="G1077" s="11" t="s">
        <v>37</v>
      </c>
      <c r="H1077" s="11" t="s">
        <v>609</v>
      </c>
      <c r="I1077" s="12">
        <v>100.0</v>
      </c>
      <c r="J1077" s="13"/>
      <c r="K1077" s="13">
        <f t="shared" si="53"/>
        <v>100</v>
      </c>
      <c r="L1077" s="11" t="s">
        <v>34</v>
      </c>
      <c r="M1077" s="14"/>
      <c r="N1077" s="11" t="s">
        <v>58</v>
      </c>
      <c r="O1077" s="10" t="str">
        <f t="shared" si="48"/>
        <v>04/2025</v>
      </c>
      <c r="P1077" s="10" t="str">
        <f t="shared" si="29"/>
        <v>04/2025</v>
      </c>
      <c r="Q1077" s="15" t="str">
        <f t="array" ref="Q1077">IFERROR(XLOOKUP(N1077,'Classificação'!A:A,'Classificação'!B:B),"")</f>
        <v>DESPESAS ADMINISTRATIVAS</v>
      </c>
      <c r="R1077" s="15" t="str">
        <f t="array" ref="R1077">IFERROR(XLOOKUP(Q1077,'Classificação'!B:B,'Classificação'!C:C),"")</f>
        <v>DESPESAS FIXAS (-)</v>
      </c>
      <c r="S1077" s="15">
        <f t="shared" si="5"/>
        <v>17</v>
      </c>
      <c r="T1077" s="15">
        <f t="shared" si="6"/>
        <v>4</v>
      </c>
      <c r="U1077" s="15">
        <f t="shared" si="7"/>
        <v>2025</v>
      </c>
      <c r="V1077" s="15">
        <f t="shared" si="8"/>
        <v>17</v>
      </c>
      <c r="W1077" s="15">
        <f t="shared" si="9"/>
        <v>4</v>
      </c>
      <c r="X1077" s="15">
        <f t="shared" si="10"/>
        <v>2025</v>
      </c>
    </row>
    <row r="1078">
      <c r="A1078" s="9">
        <v>45765.0</v>
      </c>
      <c r="B1078" s="10"/>
      <c r="C1078" s="9">
        <f t="shared" si="22"/>
        <v>45765</v>
      </c>
      <c r="D1078" s="11" t="s">
        <v>65</v>
      </c>
      <c r="E1078" s="11" t="s">
        <v>25</v>
      </c>
      <c r="F1078" s="11" t="s">
        <v>45</v>
      </c>
      <c r="G1078" s="11" t="s">
        <v>37</v>
      </c>
      <c r="H1078" s="11" t="s">
        <v>103</v>
      </c>
      <c r="I1078" s="12">
        <v>930.92</v>
      </c>
      <c r="J1078" s="13"/>
      <c r="K1078" s="13">
        <f t="shared" si="53"/>
        <v>930.92</v>
      </c>
      <c r="L1078" s="11" t="s">
        <v>29</v>
      </c>
      <c r="M1078" s="14"/>
      <c r="N1078" s="11" t="s">
        <v>68</v>
      </c>
      <c r="O1078" s="10" t="str">
        <f t="shared" si="48"/>
        <v>04/2025</v>
      </c>
      <c r="P1078" s="10" t="str">
        <f t="shared" si="29"/>
        <v>04/2025</v>
      </c>
      <c r="Q1078" s="15" t="str">
        <f t="array" ref="Q1078">IFERROR(XLOOKUP(N1078,'Classificação'!A:A,'Classificação'!B:B),"")</f>
        <v>FRETE DE VENDAS</v>
      </c>
      <c r="R1078" s="15" t="str">
        <f t="array" ref="R1078">IFERROR(XLOOKUP(Q1078,'Classificação'!B:B,'Classificação'!C:C),"")</f>
        <v>CUSTOS VARIÁVEIS</v>
      </c>
      <c r="S1078" s="15">
        <f t="shared" si="5"/>
        <v>18</v>
      </c>
      <c r="T1078" s="15">
        <f t="shared" si="6"/>
        <v>4</v>
      </c>
      <c r="U1078" s="15">
        <f t="shared" si="7"/>
        <v>2025</v>
      </c>
      <c r="V1078" s="15">
        <f t="shared" si="8"/>
        <v>18</v>
      </c>
      <c r="W1078" s="15">
        <f t="shared" si="9"/>
        <v>4</v>
      </c>
      <c r="X1078" s="15">
        <f t="shared" si="10"/>
        <v>2025</v>
      </c>
    </row>
    <row r="1079">
      <c r="A1079" s="9">
        <v>45767.0</v>
      </c>
      <c r="B1079" s="9">
        <v>45750.0</v>
      </c>
      <c r="C1079" s="9">
        <f t="shared" si="22"/>
        <v>45767</v>
      </c>
      <c r="D1079" s="11" t="s">
        <v>570</v>
      </c>
      <c r="E1079" s="11" t="s">
        <v>25</v>
      </c>
      <c r="F1079" s="11" t="s">
        <v>110</v>
      </c>
      <c r="G1079" s="11" t="s">
        <v>27</v>
      </c>
      <c r="H1079" s="11" t="s">
        <v>669</v>
      </c>
      <c r="I1079" s="31">
        <v>81.83</v>
      </c>
      <c r="J1079" s="13"/>
      <c r="K1079" s="13">
        <f t="shared" si="53"/>
        <v>81.83</v>
      </c>
      <c r="L1079" s="11" t="s">
        <v>34</v>
      </c>
      <c r="M1079" s="14"/>
      <c r="N1079" s="11" t="s">
        <v>105</v>
      </c>
      <c r="O1079" s="10" t="str">
        <f t="shared" si="48"/>
        <v>04/2025</v>
      </c>
      <c r="P1079" s="10" t="str">
        <f t="shared" si="29"/>
        <v>04/2025</v>
      </c>
      <c r="Q1079" s="15" t="str">
        <f t="array" ref="Q1079">IFERROR(XLOOKUP(N1079,'Classificação'!A:A,'Classificação'!B:B),"")</f>
        <v>DESPESAS ADMINISTRATIVAS</v>
      </c>
      <c r="R1079" s="15" t="str">
        <f t="array" ref="R1079">IFERROR(XLOOKUP(Q1079,'Classificação'!B:B,'Classificação'!C:C),"")</f>
        <v>DESPESAS FIXAS (-)</v>
      </c>
      <c r="S1079" s="15">
        <f t="shared" si="5"/>
        <v>20</v>
      </c>
      <c r="T1079" s="15">
        <f t="shared" si="6"/>
        <v>4</v>
      </c>
      <c r="U1079" s="15">
        <f t="shared" si="7"/>
        <v>2025</v>
      </c>
      <c r="V1079" s="15">
        <f t="shared" si="8"/>
        <v>20</v>
      </c>
      <c r="W1079" s="15">
        <f t="shared" si="9"/>
        <v>4</v>
      </c>
      <c r="X1079" s="15">
        <f t="shared" si="10"/>
        <v>2025</v>
      </c>
    </row>
    <row r="1080">
      <c r="A1080" s="9">
        <v>45767.0</v>
      </c>
      <c r="B1080" s="9">
        <v>45754.0</v>
      </c>
      <c r="C1080" s="9">
        <f t="shared" si="22"/>
        <v>45767</v>
      </c>
      <c r="D1080" s="11" t="s">
        <v>167</v>
      </c>
      <c r="E1080" s="11" t="s">
        <v>25</v>
      </c>
      <c r="F1080" s="11" t="s">
        <v>110</v>
      </c>
      <c r="G1080" s="11" t="s">
        <v>27</v>
      </c>
      <c r="H1080" s="11" t="s">
        <v>670</v>
      </c>
      <c r="I1080" s="31">
        <v>27.0</v>
      </c>
      <c r="J1080" s="13"/>
      <c r="K1080" s="13">
        <f t="shared" si="53"/>
        <v>27</v>
      </c>
      <c r="L1080" s="11" t="s">
        <v>34</v>
      </c>
      <c r="M1080" s="14"/>
      <c r="N1080" s="11" t="s">
        <v>78</v>
      </c>
      <c r="O1080" s="10" t="str">
        <f t="shared" si="48"/>
        <v>04/2025</v>
      </c>
      <c r="P1080" s="10" t="str">
        <f t="shared" si="29"/>
        <v>04/2025</v>
      </c>
      <c r="Q1080" s="15" t="str">
        <f t="array" ref="Q1080">IFERROR(XLOOKUP(N1080,'Classificação'!A:A,'Classificação'!B:B),"")</f>
        <v>DESPESAS COM PESSOAL</v>
      </c>
      <c r="R1080" s="15" t="str">
        <f t="array" ref="R1080">IFERROR(XLOOKUP(Q1080,'Classificação'!B:B,'Classificação'!C:C),"")</f>
        <v>DESPESAS FIXAS (-)</v>
      </c>
      <c r="S1080" s="15">
        <f t="shared" si="5"/>
        <v>20</v>
      </c>
      <c r="T1080" s="15">
        <f t="shared" si="6"/>
        <v>4</v>
      </c>
      <c r="U1080" s="15">
        <f t="shared" si="7"/>
        <v>2025</v>
      </c>
      <c r="V1080" s="15">
        <f t="shared" si="8"/>
        <v>20</v>
      </c>
      <c r="W1080" s="15">
        <f t="shared" si="9"/>
        <v>4</v>
      </c>
      <c r="X1080" s="15">
        <f t="shared" si="10"/>
        <v>2025</v>
      </c>
    </row>
    <row r="1081">
      <c r="A1081" s="9">
        <v>45767.0</v>
      </c>
      <c r="B1081" s="9">
        <v>45726.0</v>
      </c>
      <c r="C1081" s="9">
        <f t="shared" si="22"/>
        <v>45767</v>
      </c>
      <c r="D1081" s="11" t="s">
        <v>44</v>
      </c>
      <c r="E1081" s="11" t="s">
        <v>25</v>
      </c>
      <c r="F1081" s="11" t="s">
        <v>107</v>
      </c>
      <c r="G1081" s="11" t="s">
        <v>27</v>
      </c>
      <c r="H1081" s="11" t="s">
        <v>671</v>
      </c>
      <c r="I1081" s="31">
        <v>9.92</v>
      </c>
      <c r="J1081" s="13"/>
      <c r="K1081" s="13">
        <f t="shared" si="53"/>
        <v>9.92</v>
      </c>
      <c r="L1081" s="11" t="s">
        <v>34</v>
      </c>
      <c r="M1081" s="17"/>
      <c r="N1081" s="11" t="s">
        <v>47</v>
      </c>
      <c r="O1081" s="10" t="str">
        <f t="shared" si="48"/>
        <v>04/2025</v>
      </c>
      <c r="P1081" s="10" t="str">
        <f t="shared" si="29"/>
        <v>04/2025</v>
      </c>
      <c r="Q1081" s="15" t="str">
        <f t="array" ref="Q1081">IFERROR(XLOOKUP(N1081,'Classificação'!A:A,'Classificação'!B:B),"")</f>
        <v>DESPESAS NÃO OPERACIONAIS</v>
      </c>
      <c r="R1081" s="15" t="str">
        <f t="array" ref="R1081">IFERROR(XLOOKUP(Q1081,'Classificação'!B:B,'Classificação'!C:C),"")</f>
        <v>RESULTADO NÃO OPERACIONAL (+/-)</v>
      </c>
      <c r="S1081" s="15">
        <f t="shared" si="5"/>
        <v>20</v>
      </c>
      <c r="T1081" s="15">
        <f t="shared" si="6"/>
        <v>4</v>
      </c>
      <c r="U1081" s="15">
        <f t="shared" si="7"/>
        <v>2025</v>
      </c>
      <c r="V1081" s="15">
        <f t="shared" si="8"/>
        <v>20</v>
      </c>
      <c r="W1081" s="15">
        <f t="shared" si="9"/>
        <v>4</v>
      </c>
      <c r="X1081" s="15">
        <f t="shared" si="10"/>
        <v>2025</v>
      </c>
    </row>
    <row r="1082">
      <c r="A1082" s="9">
        <v>45767.0</v>
      </c>
      <c r="B1082" s="9">
        <v>45727.0</v>
      </c>
      <c r="C1082" s="9">
        <f t="shared" si="22"/>
        <v>45767</v>
      </c>
      <c r="D1082" s="11" t="s">
        <v>182</v>
      </c>
      <c r="E1082" s="11" t="s">
        <v>25</v>
      </c>
      <c r="F1082" s="11" t="s">
        <v>107</v>
      </c>
      <c r="G1082" s="11" t="s">
        <v>27</v>
      </c>
      <c r="H1082" s="11" t="s">
        <v>672</v>
      </c>
      <c r="I1082" s="31">
        <v>14.95</v>
      </c>
      <c r="J1082" s="13"/>
      <c r="K1082" s="13">
        <f t="shared" si="53"/>
        <v>14.95</v>
      </c>
      <c r="L1082" s="11" t="s">
        <v>34</v>
      </c>
      <c r="M1082" s="16"/>
      <c r="N1082" s="11" t="s">
        <v>184</v>
      </c>
      <c r="O1082" s="10" t="str">
        <f t="shared" si="48"/>
        <v>04/2025</v>
      </c>
      <c r="P1082" s="10" t="str">
        <f t="shared" si="29"/>
        <v>04/2025</v>
      </c>
      <c r="Q1082" s="15" t="str">
        <f t="array" ref="Q1082">IFERROR(XLOOKUP(N1082,'Classificação'!A:A,'Classificação'!B:B),"")</f>
        <v>DESPESAS ADMINISTRATIVAS</v>
      </c>
      <c r="R1082" s="15" t="str">
        <f t="array" ref="R1082">IFERROR(XLOOKUP(Q1082,'Classificação'!B:B,'Classificação'!C:C),"")</f>
        <v>DESPESAS FIXAS (-)</v>
      </c>
      <c r="S1082" s="15">
        <f t="shared" si="5"/>
        <v>20</v>
      </c>
      <c r="T1082" s="15">
        <f t="shared" si="6"/>
        <v>4</v>
      </c>
      <c r="U1082" s="15">
        <f t="shared" si="7"/>
        <v>2025</v>
      </c>
      <c r="V1082" s="15">
        <f t="shared" si="8"/>
        <v>20</v>
      </c>
      <c r="W1082" s="15">
        <f t="shared" si="9"/>
        <v>4</v>
      </c>
      <c r="X1082" s="15">
        <f t="shared" si="10"/>
        <v>2025</v>
      </c>
    </row>
    <row r="1083">
      <c r="A1083" s="9">
        <v>45767.0</v>
      </c>
      <c r="B1083" s="9">
        <v>45729.0</v>
      </c>
      <c r="C1083" s="9">
        <f t="shared" si="22"/>
        <v>45767</v>
      </c>
      <c r="D1083" s="11" t="s">
        <v>182</v>
      </c>
      <c r="E1083" s="11" t="s">
        <v>25</v>
      </c>
      <c r="F1083" s="11" t="s">
        <v>107</v>
      </c>
      <c r="G1083" s="11" t="s">
        <v>27</v>
      </c>
      <c r="H1083" s="11" t="s">
        <v>672</v>
      </c>
      <c r="I1083" s="31">
        <v>13.94</v>
      </c>
      <c r="J1083" s="13"/>
      <c r="K1083" s="13">
        <f t="shared" si="53"/>
        <v>13.94</v>
      </c>
      <c r="L1083" s="11" t="s">
        <v>34</v>
      </c>
      <c r="M1083" s="14"/>
      <c r="N1083" s="11" t="s">
        <v>184</v>
      </c>
      <c r="O1083" s="10" t="str">
        <f t="shared" si="48"/>
        <v>04/2025</v>
      </c>
      <c r="P1083" s="10" t="str">
        <f t="shared" si="29"/>
        <v>04/2025</v>
      </c>
      <c r="Q1083" s="15" t="str">
        <f t="array" ref="Q1083">IFERROR(XLOOKUP(N1083,'Classificação'!A:A,'Classificação'!B:B),"")</f>
        <v>DESPESAS ADMINISTRATIVAS</v>
      </c>
      <c r="R1083" s="15" t="str">
        <f t="array" ref="R1083">IFERROR(XLOOKUP(Q1083,'Classificação'!B:B,'Classificação'!C:C),"")</f>
        <v>DESPESAS FIXAS (-)</v>
      </c>
      <c r="S1083" s="15">
        <f t="shared" si="5"/>
        <v>20</v>
      </c>
      <c r="T1083" s="15">
        <f t="shared" si="6"/>
        <v>4</v>
      </c>
      <c r="U1083" s="15">
        <f t="shared" si="7"/>
        <v>2025</v>
      </c>
      <c r="V1083" s="15">
        <f t="shared" si="8"/>
        <v>20</v>
      </c>
      <c r="W1083" s="15">
        <f t="shared" si="9"/>
        <v>4</v>
      </c>
      <c r="X1083" s="15">
        <f t="shared" si="10"/>
        <v>2025</v>
      </c>
    </row>
    <row r="1084">
      <c r="A1084" s="9">
        <v>45767.0</v>
      </c>
      <c r="B1084" s="9">
        <v>45725.0</v>
      </c>
      <c r="C1084" s="9">
        <f t="shared" si="22"/>
        <v>45767</v>
      </c>
      <c r="D1084" s="11" t="s">
        <v>558</v>
      </c>
      <c r="E1084" s="11" t="s">
        <v>25</v>
      </c>
      <c r="F1084" s="11" t="s">
        <v>107</v>
      </c>
      <c r="G1084" s="11" t="s">
        <v>27</v>
      </c>
      <c r="H1084" s="11" t="s">
        <v>673</v>
      </c>
      <c r="I1084" s="31">
        <v>293.98</v>
      </c>
      <c r="J1084" s="13"/>
      <c r="K1084" s="13">
        <f t="shared" si="53"/>
        <v>293.98</v>
      </c>
      <c r="L1084" s="11" t="s">
        <v>34</v>
      </c>
      <c r="M1084" s="14"/>
      <c r="N1084" s="11" t="s">
        <v>105</v>
      </c>
      <c r="O1084" s="10" t="str">
        <f t="shared" si="48"/>
        <v>04/2025</v>
      </c>
      <c r="P1084" s="10" t="str">
        <f t="shared" si="29"/>
        <v>04/2025</v>
      </c>
      <c r="Q1084" s="15" t="str">
        <f t="array" ref="Q1084">IFERROR(XLOOKUP(N1084,'Classificação'!A:A,'Classificação'!B:B),"")</f>
        <v>DESPESAS ADMINISTRATIVAS</v>
      </c>
      <c r="R1084" s="15" t="str">
        <f t="array" ref="R1084">IFERROR(XLOOKUP(Q1084,'Classificação'!B:B,'Classificação'!C:C),"")</f>
        <v>DESPESAS FIXAS (-)</v>
      </c>
      <c r="S1084" s="15">
        <f t="shared" si="5"/>
        <v>20</v>
      </c>
      <c r="T1084" s="15">
        <f t="shared" si="6"/>
        <v>4</v>
      </c>
      <c r="U1084" s="15">
        <f t="shared" si="7"/>
        <v>2025</v>
      </c>
      <c r="V1084" s="15">
        <f t="shared" si="8"/>
        <v>20</v>
      </c>
      <c r="W1084" s="15">
        <f t="shared" si="9"/>
        <v>4</v>
      </c>
      <c r="X1084" s="15">
        <f t="shared" si="10"/>
        <v>2025</v>
      </c>
    </row>
    <row r="1085">
      <c r="A1085" s="9">
        <v>45767.0</v>
      </c>
      <c r="B1085" s="9">
        <v>45724.0</v>
      </c>
      <c r="C1085" s="9">
        <f t="shared" si="22"/>
        <v>45767</v>
      </c>
      <c r="D1085" s="11" t="s">
        <v>44</v>
      </c>
      <c r="E1085" s="11" t="s">
        <v>25</v>
      </c>
      <c r="F1085" s="11" t="s">
        <v>107</v>
      </c>
      <c r="G1085" s="11" t="s">
        <v>27</v>
      </c>
      <c r="H1085" s="11" t="s">
        <v>674</v>
      </c>
      <c r="I1085" s="31">
        <v>109.96</v>
      </c>
      <c r="J1085" s="13"/>
      <c r="K1085" s="13">
        <f t="shared" si="53"/>
        <v>109.96</v>
      </c>
      <c r="L1085" s="11" t="s">
        <v>53</v>
      </c>
      <c r="M1085" s="17">
        <v>45717.0</v>
      </c>
      <c r="N1085" s="11" t="s">
        <v>448</v>
      </c>
      <c r="O1085" s="10" t="str">
        <f t="shared" si="48"/>
        <v>04/2025</v>
      </c>
      <c r="P1085" s="10" t="str">
        <f t="shared" si="29"/>
        <v>04/2025</v>
      </c>
      <c r="Q1085" s="15" t="str">
        <f t="array" ref="Q1085">IFERROR(XLOOKUP(N1085,'Classificação'!A:A,'Classificação'!B:B),"")</f>
        <v>DESPESAS ADMINISTRATIVAS</v>
      </c>
      <c r="R1085" s="15" t="str">
        <f t="array" ref="R1085">IFERROR(XLOOKUP(Q1085,'Classificação'!B:B,'Classificação'!C:C),"")</f>
        <v>DESPESAS FIXAS (-)</v>
      </c>
      <c r="S1085" s="15">
        <f t="shared" si="5"/>
        <v>20</v>
      </c>
      <c r="T1085" s="15">
        <f t="shared" si="6"/>
        <v>4</v>
      </c>
      <c r="U1085" s="15">
        <f t="shared" si="7"/>
        <v>2025</v>
      </c>
      <c r="V1085" s="15">
        <f t="shared" si="8"/>
        <v>20</v>
      </c>
      <c r="W1085" s="15">
        <f t="shared" si="9"/>
        <v>4</v>
      </c>
      <c r="X1085" s="15">
        <f t="shared" si="10"/>
        <v>2025</v>
      </c>
    </row>
    <row r="1086">
      <c r="A1086" s="9">
        <v>45768.0</v>
      </c>
      <c r="B1086" s="9">
        <v>45632.0</v>
      </c>
      <c r="C1086" s="9">
        <f t="shared" si="22"/>
        <v>45768</v>
      </c>
      <c r="D1086" s="11" t="s">
        <v>490</v>
      </c>
      <c r="E1086" s="11" t="s">
        <v>25</v>
      </c>
      <c r="F1086" s="11" t="s">
        <v>107</v>
      </c>
      <c r="G1086" s="11" t="s">
        <v>27</v>
      </c>
      <c r="H1086" s="11" t="s">
        <v>491</v>
      </c>
      <c r="I1086" s="31">
        <v>265.55</v>
      </c>
      <c r="J1086" s="13"/>
      <c r="K1086" s="13">
        <f t="shared" si="53"/>
        <v>265.55</v>
      </c>
      <c r="L1086" s="11" t="s">
        <v>53</v>
      </c>
      <c r="M1086" s="17">
        <v>45386.0</v>
      </c>
      <c r="N1086" s="11" t="s">
        <v>175</v>
      </c>
      <c r="O1086" s="10" t="str">
        <f t="shared" si="48"/>
        <v>04/2025</v>
      </c>
      <c r="P1086" s="10" t="str">
        <f t="shared" si="29"/>
        <v>04/2025</v>
      </c>
      <c r="Q1086" s="15" t="str">
        <f t="array" ref="Q1086">IFERROR(XLOOKUP(N1086,'Classificação'!A:A,'Classificação'!B:B),"")</f>
        <v>DESPESAS COM VEICULOS</v>
      </c>
      <c r="R1086" s="15" t="str">
        <f t="array" ref="R1086">IFERROR(XLOOKUP(Q1086,'Classificação'!B:B,'Classificação'!C:C),"")</f>
        <v>DESPESAS FIXAS (-)</v>
      </c>
      <c r="S1086" s="15">
        <f t="shared" si="5"/>
        <v>21</v>
      </c>
      <c r="T1086" s="15">
        <f t="shared" si="6"/>
        <v>4</v>
      </c>
      <c r="U1086" s="15">
        <f t="shared" si="7"/>
        <v>2025</v>
      </c>
      <c r="V1086" s="15">
        <f t="shared" si="8"/>
        <v>21</v>
      </c>
      <c r="W1086" s="15">
        <f t="shared" si="9"/>
        <v>4</v>
      </c>
      <c r="X1086" s="15">
        <f t="shared" si="10"/>
        <v>2025</v>
      </c>
    </row>
    <row r="1087">
      <c r="A1087" s="9">
        <v>45768.0</v>
      </c>
      <c r="B1087" s="10"/>
      <c r="C1087" s="9">
        <f t="shared" si="22"/>
        <v>45768</v>
      </c>
      <c r="D1087" s="11" t="s">
        <v>109</v>
      </c>
      <c r="E1087" s="11" t="s">
        <v>25</v>
      </c>
      <c r="F1087" s="11" t="s">
        <v>110</v>
      </c>
      <c r="G1087" s="11" t="s">
        <v>27</v>
      </c>
      <c r="H1087" s="11" t="s">
        <v>111</v>
      </c>
      <c r="I1087" s="31">
        <v>24.15</v>
      </c>
      <c r="J1087" s="13"/>
      <c r="K1087" s="13">
        <f t="shared" si="53"/>
        <v>24.15</v>
      </c>
      <c r="L1087" s="11" t="s">
        <v>29</v>
      </c>
      <c r="M1087" s="14"/>
      <c r="N1087" s="11" t="s">
        <v>105</v>
      </c>
      <c r="O1087" s="10" t="str">
        <f t="shared" si="48"/>
        <v>04/2025</v>
      </c>
      <c r="P1087" s="10" t="str">
        <f t="shared" si="29"/>
        <v>04/2025</v>
      </c>
      <c r="Q1087" s="15" t="str">
        <f t="array" ref="Q1087">IFERROR(XLOOKUP(N1087,'Classificação'!A:A,'Classificação'!B:B),"")</f>
        <v>DESPESAS ADMINISTRATIVAS</v>
      </c>
      <c r="R1087" s="15" t="str">
        <f t="array" ref="R1087">IFERROR(XLOOKUP(Q1087,'Classificação'!B:B,'Classificação'!C:C),"")</f>
        <v>DESPESAS FIXAS (-)</v>
      </c>
      <c r="S1087" s="15">
        <f t="shared" si="5"/>
        <v>21</v>
      </c>
      <c r="T1087" s="15">
        <f t="shared" si="6"/>
        <v>4</v>
      </c>
      <c r="U1087" s="15">
        <f t="shared" si="7"/>
        <v>2025</v>
      </c>
      <c r="V1087" s="15">
        <f t="shared" si="8"/>
        <v>21</v>
      </c>
      <c r="W1087" s="15">
        <f t="shared" si="9"/>
        <v>4</v>
      </c>
      <c r="X1087" s="15">
        <f t="shared" si="10"/>
        <v>2025</v>
      </c>
    </row>
    <row r="1088">
      <c r="A1088" s="9">
        <v>45768.0</v>
      </c>
      <c r="B1088" s="10"/>
      <c r="C1088" s="9">
        <f t="shared" si="22"/>
        <v>45768</v>
      </c>
      <c r="D1088" s="11" t="s">
        <v>121</v>
      </c>
      <c r="E1088" s="11" t="s">
        <v>25</v>
      </c>
      <c r="F1088" s="11" t="s">
        <v>110</v>
      </c>
      <c r="G1088" s="11" t="s">
        <v>27</v>
      </c>
      <c r="H1088" s="11" t="s">
        <v>122</v>
      </c>
      <c r="I1088" s="31">
        <v>29.9</v>
      </c>
      <c r="J1088" s="13"/>
      <c r="K1088" s="13">
        <f t="shared" si="53"/>
        <v>29.9</v>
      </c>
      <c r="L1088" s="11" t="s">
        <v>29</v>
      </c>
      <c r="M1088" s="14"/>
      <c r="N1088" s="11" t="s">
        <v>105</v>
      </c>
      <c r="O1088" s="10" t="str">
        <f t="shared" si="48"/>
        <v>04/2025</v>
      </c>
      <c r="P1088" s="10" t="str">
        <f t="shared" si="29"/>
        <v>04/2025</v>
      </c>
      <c r="Q1088" s="15" t="str">
        <f t="array" ref="Q1088">IFERROR(XLOOKUP(N1088,'Classificação'!A:A,'Classificação'!B:B),"")</f>
        <v>DESPESAS ADMINISTRATIVAS</v>
      </c>
      <c r="R1088" s="15" t="str">
        <f t="array" ref="R1088">IFERROR(XLOOKUP(Q1088,'Classificação'!B:B,'Classificação'!C:C),"")</f>
        <v>DESPESAS FIXAS (-)</v>
      </c>
      <c r="S1088" s="15">
        <f t="shared" si="5"/>
        <v>21</v>
      </c>
      <c r="T1088" s="15">
        <f t="shared" si="6"/>
        <v>4</v>
      </c>
      <c r="U1088" s="15">
        <f t="shared" si="7"/>
        <v>2025</v>
      </c>
      <c r="V1088" s="15">
        <f t="shared" si="8"/>
        <v>21</v>
      </c>
      <c r="W1088" s="15">
        <f t="shared" si="9"/>
        <v>4</v>
      </c>
      <c r="X1088" s="15">
        <f t="shared" si="10"/>
        <v>2025</v>
      </c>
    </row>
    <row r="1089">
      <c r="A1089" s="9">
        <v>45768.0</v>
      </c>
      <c r="B1089" s="10"/>
      <c r="C1089" s="9">
        <f t="shared" si="22"/>
        <v>45768</v>
      </c>
      <c r="D1089" s="11" t="s">
        <v>131</v>
      </c>
      <c r="E1089" s="11" t="s">
        <v>25</v>
      </c>
      <c r="F1089" s="11" t="s">
        <v>107</v>
      </c>
      <c r="G1089" s="11" t="s">
        <v>27</v>
      </c>
      <c r="I1089" s="31">
        <v>249.34</v>
      </c>
      <c r="J1089" s="13"/>
      <c r="K1089" s="13">
        <f t="shared" si="53"/>
        <v>249.34</v>
      </c>
      <c r="L1089" s="11" t="s">
        <v>53</v>
      </c>
      <c r="M1089" s="17">
        <v>45637.0</v>
      </c>
      <c r="N1089" s="11" t="s">
        <v>133</v>
      </c>
      <c r="O1089" s="10" t="str">
        <f t="shared" si="48"/>
        <v>04/2025</v>
      </c>
      <c r="P1089" s="10" t="str">
        <f t="shared" si="29"/>
        <v>04/2025</v>
      </c>
      <c r="Q1089" s="15" t="str">
        <f t="array" ref="Q1089">IFERROR(XLOOKUP(N1089,'Classificação'!A:A,'Classificação'!B:B),"")</f>
        <v>DESPESAS COM VEICULOS</v>
      </c>
      <c r="R1089" s="15" t="str">
        <f t="array" ref="R1089">IFERROR(XLOOKUP(Q1089,'Classificação'!B:B,'Classificação'!C:C),"")</f>
        <v>DESPESAS FIXAS (-)</v>
      </c>
      <c r="S1089" s="15">
        <f t="shared" si="5"/>
        <v>21</v>
      </c>
      <c r="T1089" s="15">
        <f t="shared" si="6"/>
        <v>4</v>
      </c>
      <c r="U1089" s="15">
        <f t="shared" si="7"/>
        <v>2025</v>
      </c>
      <c r="V1089" s="15">
        <f t="shared" si="8"/>
        <v>21</v>
      </c>
      <c r="W1089" s="15">
        <f t="shared" si="9"/>
        <v>4</v>
      </c>
      <c r="X1089" s="15">
        <f t="shared" si="10"/>
        <v>2025</v>
      </c>
    </row>
    <row r="1090">
      <c r="A1090" s="9">
        <v>45768.0</v>
      </c>
      <c r="B1090" s="10"/>
      <c r="C1090" s="9">
        <f t="shared" si="22"/>
        <v>45768</v>
      </c>
      <c r="D1090" s="11" t="s">
        <v>163</v>
      </c>
      <c r="E1090" s="11" t="s">
        <v>25</v>
      </c>
      <c r="F1090" s="11" t="s">
        <v>107</v>
      </c>
      <c r="G1090" s="11" t="s">
        <v>27</v>
      </c>
      <c r="H1090" s="11" t="s">
        <v>253</v>
      </c>
      <c r="I1090" s="31">
        <v>144.15</v>
      </c>
      <c r="J1090" s="13"/>
      <c r="K1090" s="13">
        <f t="shared" si="53"/>
        <v>144.15</v>
      </c>
      <c r="L1090" s="11" t="s">
        <v>53</v>
      </c>
      <c r="M1090" s="17">
        <v>45635.0</v>
      </c>
      <c r="N1090" s="11" t="s">
        <v>95</v>
      </c>
      <c r="O1090" s="10" t="str">
        <f t="shared" si="48"/>
        <v>04/2025</v>
      </c>
      <c r="P1090" s="10" t="str">
        <f t="shared" si="29"/>
        <v>04/2025</v>
      </c>
      <c r="Q1090" s="15" t="str">
        <f t="array" ref="Q1090">IFERROR(XLOOKUP(N1090,'Classificação'!A:A,'Classificação'!B:B),"")</f>
        <v>DESPESAS NÃO OPERACIONAIS</v>
      </c>
      <c r="R1090" s="15" t="str">
        <f t="array" ref="R1090">IFERROR(XLOOKUP(Q1090,'Classificação'!B:B,'Classificação'!C:C),"")</f>
        <v>RESULTADO NÃO OPERACIONAL (+/-)</v>
      </c>
      <c r="S1090" s="15">
        <f t="shared" si="5"/>
        <v>21</v>
      </c>
      <c r="T1090" s="15">
        <f t="shared" si="6"/>
        <v>4</v>
      </c>
      <c r="U1090" s="15">
        <f t="shared" si="7"/>
        <v>2025</v>
      </c>
      <c r="V1090" s="15">
        <f t="shared" si="8"/>
        <v>21</v>
      </c>
      <c r="W1090" s="15">
        <f t="shared" si="9"/>
        <v>4</v>
      </c>
      <c r="X1090" s="15">
        <f t="shared" si="10"/>
        <v>2025</v>
      </c>
    </row>
    <row r="1091">
      <c r="A1091" s="9">
        <v>45768.0</v>
      </c>
      <c r="B1091" s="9">
        <v>45523.0</v>
      </c>
      <c r="C1091" s="9">
        <f t="shared" si="22"/>
        <v>45768</v>
      </c>
      <c r="D1091" s="11" t="s">
        <v>65</v>
      </c>
      <c r="E1091" s="11" t="s">
        <v>25</v>
      </c>
      <c r="F1091" s="11" t="s">
        <v>107</v>
      </c>
      <c r="G1091" s="11" t="s">
        <v>27</v>
      </c>
      <c r="H1091" s="11" t="s">
        <v>263</v>
      </c>
      <c r="I1091" s="31">
        <v>102.67</v>
      </c>
      <c r="J1091" s="13"/>
      <c r="K1091" s="13">
        <f t="shared" si="53"/>
        <v>102.67</v>
      </c>
      <c r="L1091" s="11" t="s">
        <v>53</v>
      </c>
      <c r="M1091" s="17">
        <v>45634.0</v>
      </c>
      <c r="N1091" s="11" t="s">
        <v>95</v>
      </c>
      <c r="O1091" s="10" t="str">
        <f t="shared" si="48"/>
        <v>04/2025</v>
      </c>
      <c r="P1091" s="10" t="str">
        <f t="shared" si="29"/>
        <v>04/2025</v>
      </c>
      <c r="Q1091" s="15" t="str">
        <f t="array" ref="Q1091">IFERROR(XLOOKUP(N1091,'Classificação'!A:A,'Classificação'!B:B),"")</f>
        <v>DESPESAS NÃO OPERACIONAIS</v>
      </c>
      <c r="R1091" s="15" t="str">
        <f t="array" ref="R1091">IFERROR(XLOOKUP(Q1091,'Classificação'!B:B,'Classificação'!C:C),"")</f>
        <v>RESULTADO NÃO OPERACIONAL (+/-)</v>
      </c>
      <c r="S1091" s="15">
        <f t="shared" si="5"/>
        <v>21</v>
      </c>
      <c r="T1091" s="15">
        <f t="shared" si="6"/>
        <v>4</v>
      </c>
      <c r="U1091" s="15">
        <f t="shared" si="7"/>
        <v>2025</v>
      </c>
      <c r="V1091" s="15">
        <f t="shared" si="8"/>
        <v>21</v>
      </c>
      <c r="W1091" s="15">
        <f t="shared" si="9"/>
        <v>4</v>
      </c>
      <c r="X1091" s="15">
        <f t="shared" si="10"/>
        <v>2025</v>
      </c>
    </row>
    <row r="1092">
      <c r="A1092" s="9">
        <v>45768.0</v>
      </c>
      <c r="B1092" s="9">
        <v>45553.0</v>
      </c>
      <c r="C1092" s="9">
        <f t="shared" si="22"/>
        <v>45768</v>
      </c>
      <c r="D1092" s="11" t="s">
        <v>313</v>
      </c>
      <c r="E1092" s="11" t="s">
        <v>25</v>
      </c>
      <c r="F1092" s="11" t="s">
        <v>107</v>
      </c>
      <c r="G1092" s="11" t="s">
        <v>27</v>
      </c>
      <c r="H1092" s="11" t="s">
        <v>314</v>
      </c>
      <c r="I1092" s="31">
        <v>287.13</v>
      </c>
      <c r="J1092" s="13"/>
      <c r="K1092" s="13">
        <f t="shared" si="53"/>
        <v>287.13</v>
      </c>
      <c r="L1092" s="11" t="s">
        <v>53</v>
      </c>
      <c r="M1092" s="17">
        <v>45633.0</v>
      </c>
      <c r="N1092" s="11" t="s">
        <v>95</v>
      </c>
      <c r="O1092" s="10" t="str">
        <f t="shared" si="48"/>
        <v>04/2025</v>
      </c>
      <c r="P1092" s="10" t="str">
        <f t="shared" si="29"/>
        <v>04/2025</v>
      </c>
      <c r="Q1092" s="15" t="str">
        <f t="array" ref="Q1092">IFERROR(XLOOKUP(N1092,'Classificação'!A:A,'Classificação'!B:B),"")</f>
        <v>DESPESAS NÃO OPERACIONAIS</v>
      </c>
      <c r="R1092" s="15" t="str">
        <f t="array" ref="R1092">IFERROR(XLOOKUP(Q1092,'Classificação'!B:B,'Classificação'!C:C),"")</f>
        <v>RESULTADO NÃO OPERACIONAL (+/-)</v>
      </c>
      <c r="S1092" s="15">
        <f t="shared" si="5"/>
        <v>21</v>
      </c>
      <c r="T1092" s="15">
        <f t="shared" si="6"/>
        <v>4</v>
      </c>
      <c r="U1092" s="15">
        <f t="shared" si="7"/>
        <v>2025</v>
      </c>
      <c r="V1092" s="15">
        <f t="shared" si="8"/>
        <v>21</v>
      </c>
      <c r="W1092" s="15">
        <f t="shared" si="9"/>
        <v>4</v>
      </c>
      <c r="X1092" s="15">
        <f t="shared" si="10"/>
        <v>2025</v>
      </c>
    </row>
    <row r="1093">
      <c r="A1093" s="9">
        <v>45768.0</v>
      </c>
      <c r="B1093" s="10"/>
      <c r="C1093" s="9">
        <f t="shared" si="22"/>
        <v>45768</v>
      </c>
      <c r="D1093" s="11" t="s">
        <v>322</v>
      </c>
      <c r="E1093" s="11" t="s">
        <v>25</v>
      </c>
      <c r="F1093" s="11" t="s">
        <v>110</v>
      </c>
      <c r="G1093" s="11" t="s">
        <v>27</v>
      </c>
      <c r="H1093" s="11" t="s">
        <v>323</v>
      </c>
      <c r="I1093" s="31">
        <v>46.2</v>
      </c>
      <c r="J1093" s="13"/>
      <c r="K1093" s="13">
        <f t="shared" si="53"/>
        <v>46.2</v>
      </c>
      <c r="L1093" s="11" t="s">
        <v>29</v>
      </c>
      <c r="M1093" s="17">
        <v>45633.0</v>
      </c>
      <c r="N1093" s="11" t="s">
        <v>105</v>
      </c>
      <c r="O1093" s="10" t="str">
        <f t="shared" si="48"/>
        <v>04/2025</v>
      </c>
      <c r="P1093" s="10" t="str">
        <f t="shared" si="29"/>
        <v>04/2025</v>
      </c>
      <c r="Q1093" s="15" t="str">
        <f t="array" ref="Q1093">IFERROR(XLOOKUP(N1093,'Classificação'!A:A,'Classificação'!B:B),"")</f>
        <v>DESPESAS ADMINISTRATIVAS</v>
      </c>
      <c r="R1093" s="15" t="str">
        <f t="array" ref="R1093">IFERROR(XLOOKUP(Q1093,'Classificação'!B:B,'Classificação'!C:C),"")</f>
        <v>DESPESAS FIXAS (-)</v>
      </c>
      <c r="S1093" s="15">
        <f t="shared" si="5"/>
        <v>21</v>
      </c>
      <c r="T1093" s="15">
        <f t="shared" si="6"/>
        <v>4</v>
      </c>
      <c r="U1093" s="15">
        <f t="shared" si="7"/>
        <v>2025</v>
      </c>
      <c r="V1093" s="15">
        <f t="shared" si="8"/>
        <v>21</v>
      </c>
      <c r="W1093" s="15">
        <f t="shared" si="9"/>
        <v>4</v>
      </c>
      <c r="X1093" s="15">
        <f t="shared" si="10"/>
        <v>2025</v>
      </c>
    </row>
    <row r="1094">
      <c r="A1094" s="9">
        <v>45768.0</v>
      </c>
      <c r="B1094" s="32">
        <v>45582.0</v>
      </c>
      <c r="C1094" s="9">
        <f t="shared" si="22"/>
        <v>45768</v>
      </c>
      <c r="D1094" s="11" t="s">
        <v>383</v>
      </c>
      <c r="E1094" s="11" t="s">
        <v>25</v>
      </c>
      <c r="F1094" s="11" t="s">
        <v>107</v>
      </c>
      <c r="G1094" s="11" t="s">
        <v>27</v>
      </c>
      <c r="H1094" s="11" t="s">
        <v>384</v>
      </c>
      <c r="I1094" s="31">
        <v>382.73</v>
      </c>
      <c r="J1094" s="13"/>
      <c r="K1094" s="13">
        <f t="shared" si="53"/>
        <v>382.73</v>
      </c>
      <c r="L1094" s="11" t="s">
        <v>53</v>
      </c>
      <c r="M1094" s="17">
        <v>45449.0</v>
      </c>
      <c r="N1094" s="11" t="s">
        <v>35</v>
      </c>
      <c r="O1094" s="10" t="str">
        <f t="shared" si="48"/>
        <v>04/2025</v>
      </c>
      <c r="P1094" s="10" t="str">
        <f t="shared" si="29"/>
        <v>04/2025</v>
      </c>
      <c r="Q1094" s="15" t="str">
        <f t="array" ref="Q1094">IFERROR(XLOOKUP(N1094,'Classificação'!A:A,'Classificação'!B:B),"")</f>
        <v>COMPRA DE MERCADORIA</v>
      </c>
      <c r="R1094" s="15" t="str">
        <f t="array" ref="R1094">IFERROR(XLOOKUP(Q1094,'Classificação'!B:B,'Classificação'!C:C),"")</f>
        <v>CUSTOS VARIÁVEIS</v>
      </c>
      <c r="S1094" s="15">
        <f t="shared" si="5"/>
        <v>21</v>
      </c>
      <c r="T1094" s="15">
        <f t="shared" si="6"/>
        <v>4</v>
      </c>
      <c r="U1094" s="15">
        <f t="shared" si="7"/>
        <v>2025</v>
      </c>
      <c r="V1094" s="15">
        <f t="shared" si="8"/>
        <v>21</v>
      </c>
      <c r="W1094" s="15">
        <f t="shared" si="9"/>
        <v>4</v>
      </c>
      <c r="X1094" s="15">
        <f t="shared" si="10"/>
        <v>2025</v>
      </c>
    </row>
    <row r="1095">
      <c r="A1095" s="9">
        <v>45768.0</v>
      </c>
      <c r="B1095" s="9">
        <v>45600.0</v>
      </c>
      <c r="C1095" s="9">
        <f t="shared" si="22"/>
        <v>45768</v>
      </c>
      <c r="D1095" s="11" t="s">
        <v>65</v>
      </c>
      <c r="E1095" s="11" t="s">
        <v>25</v>
      </c>
      <c r="F1095" s="11" t="s">
        <v>107</v>
      </c>
      <c r="G1095" s="11" t="s">
        <v>27</v>
      </c>
      <c r="H1095" s="11" t="s">
        <v>393</v>
      </c>
      <c r="I1095" s="31">
        <v>32.39</v>
      </c>
      <c r="J1095" s="13"/>
      <c r="K1095" s="13">
        <f t="shared" si="53"/>
        <v>32.39</v>
      </c>
      <c r="L1095" s="11" t="s">
        <v>53</v>
      </c>
      <c r="M1095" s="17">
        <v>45510.0</v>
      </c>
      <c r="N1095" s="11" t="s">
        <v>394</v>
      </c>
      <c r="O1095" s="10" t="str">
        <f t="shared" si="48"/>
        <v>04/2025</v>
      </c>
      <c r="P1095" s="10" t="str">
        <f t="shared" si="29"/>
        <v>04/2025</v>
      </c>
      <c r="Q1095" s="15" t="str">
        <f t="array" ref="Q1095">IFERROR(XLOOKUP(N1095,'Classificação'!A:A,'Classificação'!B:B),"")</f>
        <v>DESPESAS NÃO OPERACIONAIS</v>
      </c>
      <c r="R1095" s="15" t="str">
        <f t="array" ref="R1095">IFERROR(XLOOKUP(Q1095,'Classificação'!B:B,'Classificação'!C:C),"")</f>
        <v>RESULTADO NÃO OPERACIONAL (+/-)</v>
      </c>
      <c r="S1095" s="15">
        <f t="shared" si="5"/>
        <v>21</v>
      </c>
      <c r="T1095" s="15">
        <f t="shared" si="6"/>
        <v>4</v>
      </c>
      <c r="U1095" s="15">
        <f t="shared" si="7"/>
        <v>2025</v>
      </c>
      <c r="V1095" s="15">
        <f t="shared" si="8"/>
        <v>21</v>
      </c>
      <c r="W1095" s="15">
        <f t="shared" si="9"/>
        <v>4</v>
      </c>
      <c r="X1095" s="15">
        <f t="shared" si="10"/>
        <v>2025</v>
      </c>
    </row>
    <row r="1096">
      <c r="A1096" s="9">
        <v>45768.0</v>
      </c>
      <c r="B1096" s="9">
        <v>45604.0</v>
      </c>
      <c r="C1096" s="9">
        <f t="shared" si="22"/>
        <v>45768</v>
      </c>
      <c r="D1096" s="11" t="s">
        <v>65</v>
      </c>
      <c r="E1096" s="11" t="s">
        <v>25</v>
      </c>
      <c r="F1096" s="11" t="s">
        <v>107</v>
      </c>
      <c r="G1096" s="11" t="s">
        <v>27</v>
      </c>
      <c r="H1096" s="11" t="s">
        <v>446</v>
      </c>
      <c r="I1096" s="31">
        <v>33.06</v>
      </c>
      <c r="J1096" s="13"/>
      <c r="K1096" s="13">
        <f t="shared" si="53"/>
        <v>33.06</v>
      </c>
      <c r="L1096" s="11" t="s">
        <v>53</v>
      </c>
      <c r="M1096" s="17">
        <v>45417.0</v>
      </c>
      <c r="N1096" s="11" t="s">
        <v>392</v>
      </c>
      <c r="O1096" s="10" t="str">
        <f t="shared" si="48"/>
        <v>04/2025</v>
      </c>
      <c r="P1096" s="10" t="str">
        <f t="shared" si="29"/>
        <v>04/2025</v>
      </c>
      <c r="Q1096" s="15" t="str">
        <f t="array" ref="Q1096">IFERROR(XLOOKUP(N1096,'Classificação'!A:A,'Classificação'!B:B),"")</f>
        <v>DESPESAS COM OCUPAÇÃO</v>
      </c>
      <c r="R1096" s="15" t="str">
        <f t="array" ref="R1096">IFERROR(XLOOKUP(Q1096,'Classificação'!B:B,'Classificação'!C:C),"")</f>
        <v>DESPESAS FIXAS (-)</v>
      </c>
      <c r="S1096" s="15">
        <f t="shared" si="5"/>
        <v>21</v>
      </c>
      <c r="T1096" s="15">
        <f t="shared" si="6"/>
        <v>4</v>
      </c>
      <c r="U1096" s="15">
        <f t="shared" si="7"/>
        <v>2025</v>
      </c>
      <c r="V1096" s="15">
        <f t="shared" si="8"/>
        <v>21</v>
      </c>
      <c r="W1096" s="15">
        <f t="shared" si="9"/>
        <v>4</v>
      </c>
      <c r="X1096" s="15">
        <f t="shared" si="10"/>
        <v>2025</v>
      </c>
    </row>
    <row r="1097">
      <c r="A1097" s="9">
        <v>45768.0</v>
      </c>
      <c r="B1097" s="32">
        <v>45643.0</v>
      </c>
      <c r="C1097" s="9">
        <f t="shared" si="22"/>
        <v>45768</v>
      </c>
      <c r="D1097" s="11" t="s">
        <v>502</v>
      </c>
      <c r="E1097" s="11" t="s">
        <v>25</v>
      </c>
      <c r="F1097" s="11" t="s">
        <v>107</v>
      </c>
      <c r="G1097" s="11" t="s">
        <v>27</v>
      </c>
      <c r="H1097" s="11" t="s">
        <v>503</v>
      </c>
      <c r="I1097" s="31">
        <v>83.6</v>
      </c>
      <c r="J1097" s="13"/>
      <c r="K1097" s="13">
        <f t="shared" si="53"/>
        <v>83.6</v>
      </c>
      <c r="L1097" s="11" t="s">
        <v>53</v>
      </c>
      <c r="M1097" s="17">
        <v>45416.0</v>
      </c>
      <c r="N1097" s="11" t="s">
        <v>347</v>
      </c>
      <c r="O1097" s="10" t="str">
        <f t="shared" si="48"/>
        <v>04/2025</v>
      </c>
      <c r="P1097" s="10" t="str">
        <f t="shared" si="29"/>
        <v>04/2025</v>
      </c>
      <c r="Q1097" s="15" t="str">
        <f t="array" ref="Q1097">IFERROR(XLOOKUP(N1097,'Classificação'!A:A,'Classificação'!B:B),"")</f>
        <v>DESPESAS ADMINISTRATIVAS</v>
      </c>
      <c r="R1097" s="15" t="str">
        <f t="array" ref="R1097">IFERROR(XLOOKUP(Q1097,'Classificação'!B:B,'Classificação'!C:C),"")</f>
        <v>DESPESAS FIXAS (-)</v>
      </c>
      <c r="S1097" s="15">
        <f t="shared" si="5"/>
        <v>21</v>
      </c>
      <c r="T1097" s="15">
        <f t="shared" si="6"/>
        <v>4</v>
      </c>
      <c r="U1097" s="15">
        <f t="shared" si="7"/>
        <v>2025</v>
      </c>
      <c r="V1097" s="15">
        <f t="shared" si="8"/>
        <v>21</v>
      </c>
      <c r="W1097" s="15">
        <f t="shared" si="9"/>
        <v>4</v>
      </c>
      <c r="X1097" s="15">
        <f t="shared" si="10"/>
        <v>2025</v>
      </c>
    </row>
    <row r="1098">
      <c r="A1098" s="9">
        <v>45768.0</v>
      </c>
      <c r="B1098" s="36">
        <v>45647.0</v>
      </c>
      <c r="C1098" s="27">
        <f t="shared" si="22"/>
        <v>45768</v>
      </c>
      <c r="D1098" s="28" t="s">
        <v>65</v>
      </c>
      <c r="E1098" s="11" t="s">
        <v>25</v>
      </c>
      <c r="F1098" s="28" t="s">
        <v>107</v>
      </c>
      <c r="G1098" s="28" t="s">
        <v>27</v>
      </c>
      <c r="H1098" s="28" t="s">
        <v>507</v>
      </c>
      <c r="I1098" s="33">
        <v>36.0</v>
      </c>
      <c r="J1098" s="34"/>
      <c r="K1098" s="13">
        <f t="shared" si="53"/>
        <v>36</v>
      </c>
      <c r="L1098" s="28" t="s">
        <v>53</v>
      </c>
      <c r="M1098" s="35">
        <v>45751.0</v>
      </c>
      <c r="N1098" s="28" t="s">
        <v>143</v>
      </c>
      <c r="O1098" s="10" t="str">
        <f t="shared" si="48"/>
        <v>04/2025</v>
      </c>
      <c r="P1098" s="10" t="str">
        <f t="shared" si="29"/>
        <v>04/2025</v>
      </c>
      <c r="Q1098" s="15" t="str">
        <f t="array" ref="Q1098">IFERROR(XLOOKUP(N1098,'Classificação'!A:A,'Classificação'!B:B),"")</f>
        <v>EMBALAGENS/FITAS/GERAL</v>
      </c>
      <c r="R1098" s="15" t="str">
        <f t="array" ref="R1098">IFERROR(XLOOKUP(Q1098,'Classificação'!B:B,'Classificação'!C:C),"")</f>
        <v>CUSTOS VARIÁVEIS</v>
      </c>
      <c r="S1098" s="15">
        <f t="shared" si="5"/>
        <v>21</v>
      </c>
      <c r="T1098" s="15">
        <f t="shared" si="6"/>
        <v>4</v>
      </c>
      <c r="U1098" s="15">
        <f t="shared" si="7"/>
        <v>2025</v>
      </c>
      <c r="V1098" s="15">
        <f t="shared" si="8"/>
        <v>21</v>
      </c>
      <c r="W1098" s="15">
        <f t="shared" si="9"/>
        <v>4</v>
      </c>
      <c r="X1098" s="15">
        <f t="shared" si="10"/>
        <v>2025</v>
      </c>
    </row>
    <row r="1099">
      <c r="A1099" s="9">
        <v>45768.0</v>
      </c>
      <c r="B1099" s="32">
        <v>45669.0</v>
      </c>
      <c r="C1099" s="27">
        <f t="shared" si="22"/>
        <v>45768</v>
      </c>
      <c r="D1099" s="11" t="s">
        <v>65</v>
      </c>
      <c r="E1099" s="11" t="s">
        <v>25</v>
      </c>
      <c r="F1099" s="11" t="s">
        <v>107</v>
      </c>
      <c r="G1099" s="11" t="s">
        <v>27</v>
      </c>
      <c r="H1099" s="11" t="s">
        <v>612</v>
      </c>
      <c r="I1099" s="31">
        <v>9.9</v>
      </c>
      <c r="J1099" s="13"/>
      <c r="K1099" s="13">
        <f t="shared" si="53"/>
        <v>9.9</v>
      </c>
      <c r="L1099" s="11" t="s">
        <v>29</v>
      </c>
      <c r="M1099" s="14"/>
      <c r="N1099" s="11" t="s">
        <v>105</v>
      </c>
      <c r="O1099" s="10" t="str">
        <f t="shared" si="48"/>
        <v>04/2025</v>
      </c>
      <c r="P1099" s="10" t="str">
        <f t="shared" si="29"/>
        <v>04/2025</v>
      </c>
      <c r="Q1099" s="15" t="str">
        <f t="array" ref="Q1099">IFERROR(XLOOKUP(N1099,'Classificação'!A:A,'Classificação'!B:B),"")</f>
        <v>DESPESAS ADMINISTRATIVAS</v>
      </c>
      <c r="R1099" s="15" t="str">
        <f t="array" ref="R1099">IFERROR(XLOOKUP(Q1099,'Classificação'!B:B,'Classificação'!C:C),"")</f>
        <v>DESPESAS FIXAS (-)</v>
      </c>
      <c r="S1099" s="15">
        <f t="shared" si="5"/>
        <v>21</v>
      </c>
      <c r="T1099" s="15">
        <f t="shared" si="6"/>
        <v>4</v>
      </c>
      <c r="U1099" s="15">
        <f t="shared" si="7"/>
        <v>2025</v>
      </c>
      <c r="V1099" s="15">
        <f t="shared" si="8"/>
        <v>21</v>
      </c>
      <c r="W1099" s="15">
        <f t="shared" si="9"/>
        <v>4</v>
      </c>
      <c r="X1099" s="15">
        <f t="shared" si="10"/>
        <v>2025</v>
      </c>
    </row>
    <row r="1100">
      <c r="A1100" s="9">
        <v>45768.0</v>
      </c>
      <c r="B1100" s="9">
        <v>45670.0</v>
      </c>
      <c r="C1100" s="9">
        <f t="shared" si="22"/>
        <v>45768</v>
      </c>
      <c r="D1100" s="11" t="s">
        <v>65</v>
      </c>
      <c r="E1100" s="11" t="s">
        <v>25</v>
      </c>
      <c r="F1100" s="11" t="s">
        <v>107</v>
      </c>
      <c r="G1100" s="11" t="s">
        <v>27</v>
      </c>
      <c r="H1100" s="11" t="s">
        <v>549</v>
      </c>
      <c r="I1100" s="31">
        <v>17.71</v>
      </c>
      <c r="J1100" s="13"/>
      <c r="K1100" s="13">
        <f t="shared" si="53"/>
        <v>17.71</v>
      </c>
      <c r="L1100" s="11" t="s">
        <v>53</v>
      </c>
      <c r="M1100" s="17">
        <v>45719.0</v>
      </c>
      <c r="N1100" s="11" t="s">
        <v>143</v>
      </c>
      <c r="O1100" s="10" t="str">
        <f t="shared" si="48"/>
        <v>04/2025</v>
      </c>
      <c r="P1100" s="10" t="str">
        <f t="shared" si="29"/>
        <v>04/2025</v>
      </c>
      <c r="Q1100" s="15" t="str">
        <f t="array" ref="Q1100">IFERROR(XLOOKUP(N1100,'Classificação'!A:A,'Classificação'!B:B),"")</f>
        <v>EMBALAGENS/FITAS/GERAL</v>
      </c>
      <c r="R1100" s="15" t="str">
        <f t="array" ref="R1100">IFERROR(XLOOKUP(Q1100,'Classificação'!B:B,'Classificação'!C:C),"")</f>
        <v>CUSTOS VARIÁVEIS</v>
      </c>
      <c r="S1100" s="15">
        <f t="shared" si="5"/>
        <v>21</v>
      </c>
      <c r="T1100" s="15">
        <f t="shared" si="6"/>
        <v>4</v>
      </c>
      <c r="U1100" s="15">
        <f t="shared" si="7"/>
        <v>2025</v>
      </c>
      <c r="V1100" s="15">
        <f t="shared" si="8"/>
        <v>21</v>
      </c>
      <c r="W1100" s="15">
        <f t="shared" si="9"/>
        <v>4</v>
      </c>
      <c r="X1100" s="15">
        <f t="shared" si="10"/>
        <v>2025</v>
      </c>
    </row>
    <row r="1101">
      <c r="A1101" s="9">
        <v>45768.0</v>
      </c>
      <c r="B1101" s="9">
        <v>45671.0</v>
      </c>
      <c r="C1101" s="9">
        <f t="shared" si="22"/>
        <v>45768</v>
      </c>
      <c r="D1101" s="11" t="s">
        <v>560</v>
      </c>
      <c r="E1101" s="11" t="s">
        <v>25</v>
      </c>
      <c r="F1101" s="11" t="s">
        <v>107</v>
      </c>
      <c r="G1101" s="11" t="s">
        <v>27</v>
      </c>
      <c r="H1101" s="11" t="s">
        <v>491</v>
      </c>
      <c r="I1101" s="31">
        <v>129.75</v>
      </c>
      <c r="J1101" s="13"/>
      <c r="K1101" s="13">
        <f t="shared" si="53"/>
        <v>129.75</v>
      </c>
      <c r="L1101" s="11" t="s">
        <v>53</v>
      </c>
      <c r="M1101" s="17">
        <v>45750.0</v>
      </c>
      <c r="N1101" s="11" t="s">
        <v>175</v>
      </c>
      <c r="O1101" s="10" t="str">
        <f t="shared" si="48"/>
        <v>04/2025</v>
      </c>
      <c r="P1101" s="10" t="str">
        <f t="shared" si="29"/>
        <v>04/2025</v>
      </c>
      <c r="Q1101" s="15" t="str">
        <f t="array" ref="Q1101">IFERROR(XLOOKUP(N1101,'Classificação'!A:A,'Classificação'!B:B),"")</f>
        <v>DESPESAS COM VEICULOS</v>
      </c>
      <c r="R1101" s="15" t="str">
        <f t="array" ref="R1101">IFERROR(XLOOKUP(Q1101,'Classificação'!B:B,'Classificação'!C:C),"")</f>
        <v>DESPESAS FIXAS (-)</v>
      </c>
      <c r="S1101" s="15">
        <f t="shared" si="5"/>
        <v>21</v>
      </c>
      <c r="T1101" s="15">
        <f t="shared" si="6"/>
        <v>4</v>
      </c>
      <c r="U1101" s="15">
        <f t="shared" si="7"/>
        <v>2025</v>
      </c>
      <c r="V1101" s="15">
        <f t="shared" si="8"/>
        <v>21</v>
      </c>
      <c r="W1101" s="15">
        <f t="shared" si="9"/>
        <v>4</v>
      </c>
      <c r="X1101" s="15">
        <f t="shared" si="10"/>
        <v>2025</v>
      </c>
    </row>
    <row r="1102">
      <c r="A1102" s="9">
        <v>45768.0</v>
      </c>
      <c r="B1102" s="9">
        <v>45678.0</v>
      </c>
      <c r="C1102" s="9">
        <f t="shared" si="22"/>
        <v>45768</v>
      </c>
      <c r="D1102" s="11" t="s">
        <v>65</v>
      </c>
      <c r="E1102" s="11" t="s">
        <v>25</v>
      </c>
      <c r="F1102" s="11" t="s">
        <v>107</v>
      </c>
      <c r="G1102" s="11" t="s">
        <v>27</v>
      </c>
      <c r="H1102" s="11" t="s">
        <v>318</v>
      </c>
      <c r="I1102" s="31">
        <v>53.5</v>
      </c>
      <c r="J1102" s="13"/>
      <c r="K1102" s="13">
        <f t="shared" si="53"/>
        <v>53.5</v>
      </c>
      <c r="L1102" s="11" t="s">
        <v>53</v>
      </c>
      <c r="M1102" s="17">
        <v>45750.0</v>
      </c>
      <c r="N1102" s="11" t="s">
        <v>143</v>
      </c>
      <c r="O1102" s="10" t="str">
        <f t="shared" si="48"/>
        <v>04/2025</v>
      </c>
      <c r="P1102" s="10" t="str">
        <f t="shared" si="29"/>
        <v>04/2025</v>
      </c>
      <c r="Q1102" s="15" t="str">
        <f t="array" ref="Q1102">IFERROR(XLOOKUP(N1102,'Classificação'!A:A,'Classificação'!B:B),"")</f>
        <v>EMBALAGENS/FITAS/GERAL</v>
      </c>
      <c r="R1102" s="15" t="str">
        <f t="array" ref="R1102">IFERROR(XLOOKUP(Q1102,'Classificação'!B:B,'Classificação'!C:C),"")</f>
        <v>CUSTOS VARIÁVEIS</v>
      </c>
      <c r="S1102" s="15">
        <f t="shared" si="5"/>
        <v>21</v>
      </c>
      <c r="T1102" s="15">
        <f t="shared" si="6"/>
        <v>4</v>
      </c>
      <c r="U1102" s="15">
        <f t="shared" si="7"/>
        <v>2025</v>
      </c>
      <c r="V1102" s="15">
        <f t="shared" si="8"/>
        <v>21</v>
      </c>
      <c r="W1102" s="15">
        <f t="shared" si="9"/>
        <v>4</v>
      </c>
      <c r="X1102" s="15">
        <f t="shared" si="10"/>
        <v>2025</v>
      </c>
    </row>
    <row r="1103">
      <c r="A1103" s="9">
        <v>45768.0</v>
      </c>
      <c r="B1103" s="9">
        <v>45696.0</v>
      </c>
      <c r="C1103" s="9">
        <f t="shared" si="22"/>
        <v>45768</v>
      </c>
      <c r="D1103" s="11" t="s">
        <v>329</v>
      </c>
      <c r="E1103" s="11" t="s">
        <v>25</v>
      </c>
      <c r="F1103" s="11" t="s">
        <v>107</v>
      </c>
      <c r="G1103" s="11" t="s">
        <v>27</v>
      </c>
      <c r="H1103" s="11" t="s">
        <v>618</v>
      </c>
      <c r="I1103" s="31">
        <v>246.4</v>
      </c>
      <c r="J1103" s="13"/>
      <c r="K1103" s="13">
        <f t="shared" si="53"/>
        <v>246.4</v>
      </c>
      <c r="L1103" s="11" t="s">
        <v>53</v>
      </c>
      <c r="M1103" s="17">
        <v>45718.0</v>
      </c>
      <c r="N1103" s="11" t="s">
        <v>331</v>
      </c>
      <c r="O1103" s="10" t="str">
        <f t="shared" si="48"/>
        <v>04/2025</v>
      </c>
      <c r="P1103" s="10" t="str">
        <f t="shared" si="29"/>
        <v>04/2025</v>
      </c>
      <c r="Q1103" s="15" t="str">
        <f t="array" ref="Q1103">IFERROR(XLOOKUP(N1103,'Classificação'!A:A,'Classificação'!B:B),"")</f>
        <v>DESPESAS COM VIAGENS</v>
      </c>
      <c r="R1103" s="15" t="str">
        <f t="array" ref="R1103">IFERROR(XLOOKUP(Q1103,'Classificação'!B:B,'Classificação'!C:C),"")</f>
        <v>DESPESAS FIXAS (-)</v>
      </c>
      <c r="S1103" s="15">
        <f t="shared" si="5"/>
        <v>21</v>
      </c>
      <c r="T1103" s="15">
        <f t="shared" si="6"/>
        <v>4</v>
      </c>
      <c r="U1103" s="15">
        <f t="shared" si="7"/>
        <v>2025</v>
      </c>
      <c r="V1103" s="15">
        <f t="shared" si="8"/>
        <v>21</v>
      </c>
      <c r="W1103" s="15">
        <f t="shared" si="9"/>
        <v>4</v>
      </c>
      <c r="X1103" s="15">
        <f t="shared" si="10"/>
        <v>2025</v>
      </c>
    </row>
    <row r="1104">
      <c r="A1104" s="9">
        <v>45768.0</v>
      </c>
      <c r="B1104" s="9">
        <v>45695.0</v>
      </c>
      <c r="C1104" s="9">
        <f t="shared" si="22"/>
        <v>45768</v>
      </c>
      <c r="D1104" s="11" t="s">
        <v>65</v>
      </c>
      <c r="E1104" s="11" t="s">
        <v>25</v>
      </c>
      <c r="F1104" s="11" t="s">
        <v>107</v>
      </c>
      <c r="G1104" s="11" t="s">
        <v>27</v>
      </c>
      <c r="H1104" s="11" t="s">
        <v>619</v>
      </c>
      <c r="I1104" s="31">
        <v>936.54</v>
      </c>
      <c r="J1104" s="13"/>
      <c r="K1104" s="13">
        <f t="shared" si="53"/>
        <v>936.54</v>
      </c>
      <c r="L1104" s="11" t="s">
        <v>53</v>
      </c>
      <c r="M1104" s="17">
        <v>45690.0</v>
      </c>
      <c r="N1104" s="11" t="s">
        <v>143</v>
      </c>
      <c r="O1104" s="10" t="str">
        <f t="shared" si="48"/>
        <v>04/2025</v>
      </c>
      <c r="P1104" s="10" t="str">
        <f t="shared" si="29"/>
        <v>04/2025</v>
      </c>
      <c r="Q1104" s="15" t="str">
        <f t="array" ref="Q1104">IFERROR(XLOOKUP(N1104,'Classificação'!A:A,'Classificação'!B:B),"")</f>
        <v>EMBALAGENS/FITAS/GERAL</v>
      </c>
      <c r="R1104" s="15" t="str">
        <f t="array" ref="R1104">IFERROR(XLOOKUP(Q1104,'Classificação'!B:B,'Classificação'!C:C),"")</f>
        <v>CUSTOS VARIÁVEIS</v>
      </c>
      <c r="S1104" s="15">
        <f t="shared" si="5"/>
        <v>21</v>
      </c>
      <c r="T1104" s="15">
        <f t="shared" si="6"/>
        <v>4</v>
      </c>
      <c r="U1104" s="15">
        <f t="shared" si="7"/>
        <v>2025</v>
      </c>
      <c r="V1104" s="15">
        <f t="shared" si="8"/>
        <v>21</v>
      </c>
      <c r="W1104" s="15">
        <f t="shared" si="9"/>
        <v>4</v>
      </c>
      <c r="X1104" s="15">
        <f t="shared" si="10"/>
        <v>2025</v>
      </c>
    </row>
    <row r="1105">
      <c r="A1105" s="9">
        <v>45768.0</v>
      </c>
      <c r="B1105" s="9">
        <v>45709.0</v>
      </c>
      <c r="C1105" s="9">
        <f t="shared" si="22"/>
        <v>45768</v>
      </c>
      <c r="D1105" s="11" t="s">
        <v>65</v>
      </c>
      <c r="E1105" s="11" t="s">
        <v>25</v>
      </c>
      <c r="F1105" s="11" t="s">
        <v>107</v>
      </c>
      <c r="G1105" s="11" t="s">
        <v>27</v>
      </c>
      <c r="H1105" s="11" t="s">
        <v>623</v>
      </c>
      <c r="I1105" s="31">
        <v>29.32</v>
      </c>
      <c r="J1105" s="13"/>
      <c r="K1105" s="13">
        <f t="shared" si="53"/>
        <v>29.32</v>
      </c>
      <c r="L1105" s="11" t="s">
        <v>53</v>
      </c>
      <c r="M1105" s="17">
        <v>45718.0</v>
      </c>
      <c r="N1105" s="11" t="s">
        <v>143</v>
      </c>
      <c r="O1105" s="10" t="str">
        <f t="shared" si="48"/>
        <v>04/2025</v>
      </c>
      <c r="P1105" s="10" t="str">
        <f t="shared" si="29"/>
        <v>04/2025</v>
      </c>
      <c r="Q1105" s="15" t="str">
        <f t="array" ref="Q1105">IFERROR(XLOOKUP(N1105,'Classificação'!A:A,'Classificação'!B:B),"")</f>
        <v>EMBALAGENS/FITAS/GERAL</v>
      </c>
      <c r="R1105" s="15" t="str">
        <f t="array" ref="R1105">IFERROR(XLOOKUP(Q1105,'Classificação'!B:B,'Classificação'!C:C),"")</f>
        <v>CUSTOS VARIÁVEIS</v>
      </c>
      <c r="S1105" s="15">
        <f t="shared" si="5"/>
        <v>21</v>
      </c>
      <c r="T1105" s="15">
        <f t="shared" si="6"/>
        <v>4</v>
      </c>
      <c r="U1105" s="15">
        <f t="shared" si="7"/>
        <v>2025</v>
      </c>
      <c r="V1105" s="15">
        <f t="shared" si="8"/>
        <v>21</v>
      </c>
      <c r="W1105" s="15">
        <f t="shared" si="9"/>
        <v>4</v>
      </c>
      <c r="X1105" s="15">
        <f t="shared" si="10"/>
        <v>2025</v>
      </c>
    </row>
    <row r="1106">
      <c r="A1106" s="9">
        <v>45768.0</v>
      </c>
      <c r="B1106" s="10"/>
      <c r="C1106" s="9">
        <f t="shared" si="22"/>
        <v>45768</v>
      </c>
      <c r="D1106" s="11" t="s">
        <v>631</v>
      </c>
      <c r="E1106" s="11" t="s">
        <v>25</v>
      </c>
      <c r="F1106" s="11" t="s">
        <v>107</v>
      </c>
      <c r="G1106" s="11" t="s">
        <v>27</v>
      </c>
      <c r="H1106" s="11" t="s">
        <v>632</v>
      </c>
      <c r="I1106" s="31">
        <v>110.87</v>
      </c>
      <c r="J1106" s="13"/>
      <c r="K1106" s="13">
        <f t="shared" si="53"/>
        <v>110.87</v>
      </c>
      <c r="L1106" s="11" t="s">
        <v>53</v>
      </c>
      <c r="M1106" s="17">
        <v>45840.0</v>
      </c>
      <c r="N1106" s="11" t="s">
        <v>178</v>
      </c>
      <c r="O1106" s="10" t="str">
        <f t="shared" si="48"/>
        <v>04/2025</v>
      </c>
      <c r="P1106" s="10" t="str">
        <f t="shared" si="29"/>
        <v>04/2025</v>
      </c>
      <c r="Q1106" s="15" t="str">
        <f t="array" ref="Q1106">IFERROR(XLOOKUP(N1106,'Classificação'!A:A,'Classificação'!B:B),"")</f>
        <v>DESPESAS COM OCUPAÇÃO</v>
      </c>
      <c r="R1106" s="15" t="str">
        <f t="array" ref="R1106">IFERROR(XLOOKUP(Q1106,'Classificação'!B:B,'Classificação'!C:C),"")</f>
        <v>DESPESAS FIXAS (-)</v>
      </c>
      <c r="S1106" s="15">
        <f t="shared" si="5"/>
        <v>21</v>
      </c>
      <c r="T1106" s="15">
        <f t="shared" si="6"/>
        <v>4</v>
      </c>
      <c r="U1106" s="15">
        <f t="shared" si="7"/>
        <v>2025</v>
      </c>
      <c r="V1106" s="15">
        <f t="shared" si="8"/>
        <v>21</v>
      </c>
      <c r="W1106" s="15">
        <f t="shared" si="9"/>
        <v>4</v>
      </c>
      <c r="X1106" s="15">
        <f t="shared" si="10"/>
        <v>2025</v>
      </c>
    </row>
    <row r="1107">
      <c r="A1107" s="9">
        <v>45768.0</v>
      </c>
      <c r="B1107" s="9">
        <v>45726.0</v>
      </c>
      <c r="C1107" s="9">
        <f t="shared" si="22"/>
        <v>45768</v>
      </c>
      <c r="D1107" s="11" t="s">
        <v>167</v>
      </c>
      <c r="E1107" s="11" t="s">
        <v>25</v>
      </c>
      <c r="F1107" s="11" t="s">
        <v>107</v>
      </c>
      <c r="G1107" s="11" t="s">
        <v>27</v>
      </c>
      <c r="H1107" s="11" t="s">
        <v>675</v>
      </c>
      <c r="I1107" s="31">
        <v>27.0</v>
      </c>
      <c r="J1107" s="13"/>
      <c r="K1107" s="13">
        <f t="shared" si="53"/>
        <v>27</v>
      </c>
      <c r="L1107" s="11" t="s">
        <v>34</v>
      </c>
      <c r="M1107" s="14"/>
      <c r="N1107" s="11" t="s">
        <v>78</v>
      </c>
      <c r="O1107" s="10" t="str">
        <f t="shared" si="48"/>
        <v>04/2025</v>
      </c>
      <c r="P1107" s="10" t="str">
        <f t="shared" si="29"/>
        <v>04/2025</v>
      </c>
      <c r="Q1107" s="15" t="str">
        <f t="array" ref="Q1107">IFERROR(XLOOKUP(N1107,'Classificação'!A:A,'Classificação'!B:B),"")</f>
        <v>DESPESAS COM PESSOAL</v>
      </c>
      <c r="R1107" s="15" t="str">
        <f t="array" ref="R1107">IFERROR(XLOOKUP(Q1107,'Classificação'!B:B,'Classificação'!C:C),"")</f>
        <v>DESPESAS FIXAS (-)</v>
      </c>
      <c r="S1107" s="15">
        <f t="shared" si="5"/>
        <v>21</v>
      </c>
      <c r="T1107" s="15">
        <f t="shared" si="6"/>
        <v>4</v>
      </c>
      <c r="U1107" s="15">
        <f t="shared" si="7"/>
        <v>2025</v>
      </c>
      <c r="V1107" s="15">
        <f t="shared" si="8"/>
        <v>21</v>
      </c>
      <c r="W1107" s="15">
        <f t="shared" si="9"/>
        <v>4</v>
      </c>
      <c r="X1107" s="15">
        <f t="shared" si="10"/>
        <v>2025</v>
      </c>
    </row>
    <row r="1108">
      <c r="A1108" s="9">
        <v>45768.0</v>
      </c>
      <c r="B1108" s="9">
        <v>45726.0</v>
      </c>
      <c r="C1108" s="9">
        <f t="shared" si="22"/>
        <v>45768</v>
      </c>
      <c r="D1108" s="11" t="s">
        <v>81</v>
      </c>
      <c r="E1108" s="11" t="s">
        <v>25</v>
      </c>
      <c r="F1108" s="11" t="s">
        <v>107</v>
      </c>
      <c r="G1108" s="11" t="s">
        <v>27</v>
      </c>
      <c r="H1108" s="11" t="s">
        <v>676</v>
      </c>
      <c r="I1108" s="31">
        <v>356.42</v>
      </c>
      <c r="J1108" s="13"/>
      <c r="K1108" s="13">
        <f t="shared" si="53"/>
        <v>356.42</v>
      </c>
      <c r="L1108" s="11" t="s">
        <v>34</v>
      </c>
      <c r="M1108" s="14"/>
      <c r="N1108" s="11" t="s">
        <v>136</v>
      </c>
      <c r="O1108" s="10" t="str">
        <f t="shared" si="48"/>
        <v>04/2025</v>
      </c>
      <c r="P1108" s="10" t="str">
        <f t="shared" si="29"/>
        <v>04/2025</v>
      </c>
      <c r="Q1108" s="15" t="str">
        <f t="array" ref="Q1108">IFERROR(XLOOKUP(N1108,'Classificação'!A:A,'Classificação'!B:B),"")</f>
        <v>DESPESAS COM OCUPAÇÃO</v>
      </c>
      <c r="R1108" s="15" t="str">
        <f t="array" ref="R1108">IFERROR(XLOOKUP(Q1108,'Classificação'!B:B,'Classificação'!C:C),"")</f>
        <v>DESPESAS FIXAS (-)</v>
      </c>
      <c r="S1108" s="15">
        <f t="shared" si="5"/>
        <v>21</v>
      </c>
      <c r="T1108" s="15">
        <f t="shared" si="6"/>
        <v>4</v>
      </c>
      <c r="U1108" s="15">
        <f t="shared" si="7"/>
        <v>2025</v>
      </c>
      <c r="V1108" s="15">
        <f t="shared" si="8"/>
        <v>21</v>
      </c>
      <c r="W1108" s="15">
        <f t="shared" si="9"/>
        <v>4</v>
      </c>
      <c r="X1108" s="15">
        <f t="shared" si="10"/>
        <v>2025</v>
      </c>
    </row>
    <row r="1109">
      <c r="A1109" s="9">
        <v>45768.0</v>
      </c>
      <c r="B1109" s="9">
        <v>45728.0</v>
      </c>
      <c r="C1109" s="9">
        <f t="shared" si="22"/>
        <v>45768</v>
      </c>
      <c r="D1109" s="11" t="s">
        <v>179</v>
      </c>
      <c r="E1109" s="11" t="s">
        <v>25</v>
      </c>
      <c r="F1109" s="11" t="s">
        <v>107</v>
      </c>
      <c r="G1109" s="11" t="s">
        <v>27</v>
      </c>
      <c r="H1109" s="11" t="s">
        <v>497</v>
      </c>
      <c r="I1109" s="31">
        <v>233.58</v>
      </c>
      <c r="J1109" s="13"/>
      <c r="K1109" s="13">
        <f t="shared" si="53"/>
        <v>233.58</v>
      </c>
      <c r="L1109" s="11" t="s">
        <v>34</v>
      </c>
      <c r="M1109" s="14"/>
      <c r="N1109" s="11" t="s">
        <v>181</v>
      </c>
      <c r="O1109" s="10" t="str">
        <f t="shared" si="48"/>
        <v>04/2025</v>
      </c>
      <c r="P1109" s="10" t="str">
        <f t="shared" si="29"/>
        <v>04/2025</v>
      </c>
      <c r="Q1109" s="15" t="str">
        <f t="array" ref="Q1109">IFERROR(XLOOKUP(N1109,'Classificação'!A:A,'Classificação'!B:B),"")</f>
        <v>DESPESAS COM VEICULOS</v>
      </c>
      <c r="R1109" s="15" t="str">
        <f t="array" ref="R1109">IFERROR(XLOOKUP(Q1109,'Classificação'!B:B,'Classificação'!C:C),"")</f>
        <v>DESPESAS FIXAS (-)</v>
      </c>
      <c r="S1109" s="15">
        <f t="shared" si="5"/>
        <v>21</v>
      </c>
      <c r="T1109" s="15">
        <f t="shared" si="6"/>
        <v>4</v>
      </c>
      <c r="U1109" s="15">
        <f t="shared" si="7"/>
        <v>2025</v>
      </c>
      <c r="V1109" s="15">
        <f t="shared" si="8"/>
        <v>21</v>
      </c>
      <c r="W1109" s="15">
        <f t="shared" si="9"/>
        <v>4</v>
      </c>
      <c r="X1109" s="15">
        <f t="shared" si="10"/>
        <v>2025</v>
      </c>
    </row>
    <row r="1110">
      <c r="A1110" s="9">
        <v>45768.0</v>
      </c>
      <c r="B1110" s="9">
        <v>45728.0</v>
      </c>
      <c r="C1110" s="9">
        <f t="shared" si="22"/>
        <v>45768</v>
      </c>
      <c r="D1110" s="11" t="s">
        <v>65</v>
      </c>
      <c r="E1110" s="11" t="s">
        <v>25</v>
      </c>
      <c r="F1110" s="11" t="s">
        <v>107</v>
      </c>
      <c r="G1110" s="11" t="s">
        <v>27</v>
      </c>
      <c r="H1110" s="11" t="s">
        <v>677</v>
      </c>
      <c r="I1110" s="31">
        <v>200.0</v>
      </c>
      <c r="J1110" s="13"/>
      <c r="K1110" s="13">
        <f t="shared" si="53"/>
        <v>200</v>
      </c>
      <c r="L1110" s="11" t="s">
        <v>53</v>
      </c>
      <c r="M1110" s="17">
        <v>45689.0</v>
      </c>
      <c r="N1110" s="11" t="s">
        <v>143</v>
      </c>
      <c r="O1110" s="10" t="str">
        <f t="shared" si="48"/>
        <v>04/2025</v>
      </c>
      <c r="P1110" s="10" t="str">
        <f t="shared" si="29"/>
        <v>04/2025</v>
      </c>
      <c r="Q1110" s="15" t="str">
        <f t="array" ref="Q1110">IFERROR(XLOOKUP(N1110,'Classificação'!A:A,'Classificação'!B:B),"")</f>
        <v>EMBALAGENS/FITAS/GERAL</v>
      </c>
      <c r="R1110" s="15" t="str">
        <f t="array" ref="R1110">IFERROR(XLOOKUP(Q1110,'Classificação'!B:B,'Classificação'!C:C),"")</f>
        <v>CUSTOS VARIÁVEIS</v>
      </c>
      <c r="S1110" s="15">
        <f t="shared" si="5"/>
        <v>21</v>
      </c>
      <c r="T1110" s="15">
        <f t="shared" si="6"/>
        <v>4</v>
      </c>
      <c r="U1110" s="15">
        <f t="shared" si="7"/>
        <v>2025</v>
      </c>
      <c r="V1110" s="15">
        <f t="shared" si="8"/>
        <v>21</v>
      </c>
      <c r="W1110" s="15">
        <f t="shared" si="9"/>
        <v>4</v>
      </c>
      <c r="X1110" s="15">
        <f t="shared" si="10"/>
        <v>2025</v>
      </c>
    </row>
    <row r="1111">
      <c r="A1111" s="9">
        <v>45768.0</v>
      </c>
      <c r="B1111" s="9">
        <v>45728.0</v>
      </c>
      <c r="C1111" s="9">
        <f t="shared" si="22"/>
        <v>45768</v>
      </c>
      <c r="D1111" s="11" t="s">
        <v>65</v>
      </c>
      <c r="E1111" s="11" t="s">
        <v>25</v>
      </c>
      <c r="F1111" s="11" t="s">
        <v>107</v>
      </c>
      <c r="G1111" s="11" t="s">
        <v>27</v>
      </c>
      <c r="H1111" s="11" t="s">
        <v>678</v>
      </c>
      <c r="I1111" s="31">
        <v>260.88</v>
      </c>
      <c r="J1111" s="13"/>
      <c r="K1111" s="13">
        <f t="shared" si="53"/>
        <v>260.88</v>
      </c>
      <c r="L1111" s="11" t="s">
        <v>34</v>
      </c>
      <c r="M1111" s="14"/>
      <c r="N1111" s="11" t="s">
        <v>143</v>
      </c>
      <c r="O1111" s="10" t="str">
        <f t="shared" si="48"/>
        <v>04/2025</v>
      </c>
      <c r="P1111" s="10" t="str">
        <f t="shared" si="29"/>
        <v>04/2025</v>
      </c>
      <c r="Q1111" s="15" t="str">
        <f t="array" ref="Q1111">IFERROR(XLOOKUP(N1111,'Classificação'!A:A,'Classificação'!B:B),"")</f>
        <v>EMBALAGENS/FITAS/GERAL</v>
      </c>
      <c r="R1111" s="15" t="str">
        <f t="array" ref="R1111">IFERROR(XLOOKUP(Q1111,'Classificação'!B:B,'Classificação'!C:C),"")</f>
        <v>CUSTOS VARIÁVEIS</v>
      </c>
      <c r="S1111" s="15">
        <f t="shared" si="5"/>
        <v>21</v>
      </c>
      <c r="T1111" s="15">
        <f t="shared" si="6"/>
        <v>4</v>
      </c>
      <c r="U1111" s="15">
        <f t="shared" si="7"/>
        <v>2025</v>
      </c>
      <c r="V1111" s="15">
        <f t="shared" si="8"/>
        <v>21</v>
      </c>
      <c r="W1111" s="15">
        <f t="shared" si="9"/>
        <v>4</v>
      </c>
      <c r="X1111" s="15">
        <f t="shared" si="10"/>
        <v>2025</v>
      </c>
    </row>
    <row r="1112">
      <c r="A1112" s="9">
        <v>45768.0</v>
      </c>
      <c r="B1112" s="9">
        <v>45729.0</v>
      </c>
      <c r="C1112" s="9">
        <f t="shared" si="22"/>
        <v>45768</v>
      </c>
      <c r="D1112" s="11" t="s">
        <v>114</v>
      </c>
      <c r="E1112" s="11" t="s">
        <v>25</v>
      </c>
      <c r="F1112" s="11" t="s">
        <v>107</v>
      </c>
      <c r="G1112" s="11" t="s">
        <v>27</v>
      </c>
      <c r="H1112" s="11" t="s">
        <v>679</v>
      </c>
      <c r="I1112" s="31">
        <v>324.97</v>
      </c>
      <c r="J1112" s="13"/>
      <c r="K1112" s="13">
        <f t="shared" si="53"/>
        <v>324.97</v>
      </c>
      <c r="L1112" s="11" t="s">
        <v>34</v>
      </c>
      <c r="M1112" s="14"/>
      <c r="N1112" s="11" t="s">
        <v>143</v>
      </c>
      <c r="O1112" s="10" t="str">
        <f t="shared" si="48"/>
        <v>04/2025</v>
      </c>
      <c r="P1112" s="10" t="str">
        <f t="shared" si="29"/>
        <v>04/2025</v>
      </c>
      <c r="Q1112" s="15" t="str">
        <f t="array" ref="Q1112">IFERROR(XLOOKUP(N1112,'Classificação'!A:A,'Classificação'!B:B),"")</f>
        <v>EMBALAGENS/FITAS/GERAL</v>
      </c>
      <c r="R1112" s="15" t="str">
        <f t="array" ref="R1112">IFERROR(XLOOKUP(Q1112,'Classificação'!B:B,'Classificação'!C:C),"")</f>
        <v>CUSTOS VARIÁVEIS</v>
      </c>
      <c r="S1112" s="15">
        <f t="shared" si="5"/>
        <v>21</v>
      </c>
      <c r="T1112" s="15">
        <f t="shared" si="6"/>
        <v>4</v>
      </c>
      <c r="U1112" s="15">
        <f t="shared" si="7"/>
        <v>2025</v>
      </c>
      <c r="V1112" s="15">
        <f t="shared" si="8"/>
        <v>21</v>
      </c>
      <c r="W1112" s="15">
        <f t="shared" si="9"/>
        <v>4</v>
      </c>
      <c r="X1112" s="15">
        <f t="shared" si="10"/>
        <v>2025</v>
      </c>
    </row>
    <row r="1113">
      <c r="A1113" s="9">
        <v>45768.0</v>
      </c>
      <c r="B1113" s="9">
        <v>45734.0</v>
      </c>
      <c r="C1113" s="9">
        <f t="shared" si="22"/>
        <v>45768</v>
      </c>
      <c r="D1113" s="11" t="s">
        <v>44</v>
      </c>
      <c r="E1113" s="11" t="s">
        <v>25</v>
      </c>
      <c r="F1113" s="11" t="s">
        <v>110</v>
      </c>
      <c r="G1113" s="11" t="s">
        <v>27</v>
      </c>
      <c r="H1113" s="11" t="s">
        <v>680</v>
      </c>
      <c r="I1113" s="31">
        <v>50.0</v>
      </c>
      <c r="J1113" s="13"/>
      <c r="K1113" s="13">
        <f t="shared" si="53"/>
        <v>50</v>
      </c>
      <c r="L1113" s="11" t="s">
        <v>34</v>
      </c>
      <c r="M1113" s="14"/>
      <c r="N1113" s="11" t="s">
        <v>145</v>
      </c>
      <c r="O1113" s="10" t="str">
        <f t="shared" si="48"/>
        <v>04/2025</v>
      </c>
      <c r="P1113" s="10" t="str">
        <f t="shared" si="29"/>
        <v>04/2025</v>
      </c>
      <c r="Q1113" s="15" t="str">
        <f t="array" ref="Q1113">IFERROR(XLOOKUP(N1113,'Classificação'!A:A,'Classificação'!B:B),"")</f>
        <v>DESPESAS ADMINISTRATIVAS</v>
      </c>
      <c r="R1113" s="15" t="str">
        <f t="array" ref="R1113">IFERROR(XLOOKUP(Q1113,'Classificação'!B:B,'Classificação'!C:C),"")</f>
        <v>DESPESAS FIXAS (-)</v>
      </c>
      <c r="S1113" s="15">
        <f t="shared" si="5"/>
        <v>21</v>
      </c>
      <c r="T1113" s="15">
        <f t="shared" si="6"/>
        <v>4</v>
      </c>
      <c r="U1113" s="15">
        <f t="shared" si="7"/>
        <v>2025</v>
      </c>
      <c r="V1113" s="15">
        <f t="shared" si="8"/>
        <v>21</v>
      </c>
      <c r="W1113" s="15">
        <f t="shared" si="9"/>
        <v>4</v>
      </c>
      <c r="X1113" s="15">
        <f t="shared" si="10"/>
        <v>2025</v>
      </c>
    </row>
    <row r="1114">
      <c r="A1114" s="9">
        <v>45768.0</v>
      </c>
      <c r="B1114" s="9">
        <v>45734.0</v>
      </c>
      <c r="C1114" s="9">
        <f t="shared" si="22"/>
        <v>45768</v>
      </c>
      <c r="D1114" s="11" t="s">
        <v>65</v>
      </c>
      <c r="E1114" s="11" t="s">
        <v>25</v>
      </c>
      <c r="F1114" s="11" t="s">
        <v>110</v>
      </c>
      <c r="G1114" s="11" t="s">
        <v>27</v>
      </c>
      <c r="H1114" s="11" t="s">
        <v>677</v>
      </c>
      <c r="I1114" s="31">
        <v>71.13</v>
      </c>
      <c r="J1114" s="13"/>
      <c r="K1114" s="13">
        <f t="shared" si="53"/>
        <v>71.13</v>
      </c>
      <c r="L1114" s="11" t="s">
        <v>34</v>
      </c>
      <c r="M1114" s="14"/>
      <c r="N1114" s="11" t="s">
        <v>143</v>
      </c>
      <c r="O1114" s="10" t="str">
        <f t="shared" si="48"/>
        <v>04/2025</v>
      </c>
      <c r="P1114" s="10" t="str">
        <f t="shared" si="29"/>
        <v>04/2025</v>
      </c>
      <c r="Q1114" s="15" t="str">
        <f t="array" ref="Q1114">IFERROR(XLOOKUP(N1114,'Classificação'!A:A,'Classificação'!B:B),"")</f>
        <v>EMBALAGENS/FITAS/GERAL</v>
      </c>
      <c r="R1114" s="15" t="str">
        <f t="array" ref="R1114">IFERROR(XLOOKUP(Q1114,'Classificação'!B:B,'Classificação'!C:C),"")</f>
        <v>CUSTOS VARIÁVEIS</v>
      </c>
      <c r="S1114" s="15">
        <f t="shared" si="5"/>
        <v>21</v>
      </c>
      <c r="T1114" s="15">
        <f t="shared" si="6"/>
        <v>4</v>
      </c>
      <c r="U1114" s="15">
        <f t="shared" si="7"/>
        <v>2025</v>
      </c>
      <c r="V1114" s="15">
        <f t="shared" si="8"/>
        <v>21</v>
      </c>
      <c r="W1114" s="15">
        <f t="shared" si="9"/>
        <v>4</v>
      </c>
      <c r="X1114" s="15">
        <f t="shared" si="10"/>
        <v>2025</v>
      </c>
    </row>
    <row r="1115">
      <c r="A1115" s="9">
        <v>45768.0</v>
      </c>
      <c r="B1115" s="9">
        <v>45737.0</v>
      </c>
      <c r="C1115" s="9">
        <f t="shared" si="22"/>
        <v>45768</v>
      </c>
      <c r="D1115" s="11" t="s">
        <v>65</v>
      </c>
      <c r="E1115" s="11" t="s">
        <v>25</v>
      </c>
      <c r="F1115" s="11" t="s">
        <v>110</v>
      </c>
      <c r="G1115" s="11" t="s">
        <v>27</v>
      </c>
      <c r="H1115" s="11" t="s">
        <v>681</v>
      </c>
      <c r="I1115" s="31">
        <v>47.2</v>
      </c>
      <c r="J1115" s="13"/>
      <c r="K1115" s="13">
        <f t="shared" si="53"/>
        <v>47.2</v>
      </c>
      <c r="L1115" s="11" t="s">
        <v>53</v>
      </c>
      <c r="M1115" s="17">
        <v>45992.0</v>
      </c>
      <c r="N1115" s="11" t="s">
        <v>95</v>
      </c>
      <c r="O1115" s="10" t="str">
        <f t="shared" si="48"/>
        <v>04/2025</v>
      </c>
      <c r="P1115" s="10" t="str">
        <f t="shared" si="29"/>
        <v>04/2025</v>
      </c>
      <c r="Q1115" s="15" t="str">
        <f t="array" ref="Q1115">IFERROR(XLOOKUP(N1115,'Classificação'!A:A,'Classificação'!B:B),"")</f>
        <v>DESPESAS NÃO OPERACIONAIS</v>
      </c>
      <c r="R1115" s="15" t="str">
        <f t="array" ref="R1115">IFERROR(XLOOKUP(Q1115,'Classificação'!B:B,'Classificação'!C:C),"")</f>
        <v>RESULTADO NÃO OPERACIONAL (+/-)</v>
      </c>
      <c r="S1115" s="15">
        <f t="shared" si="5"/>
        <v>21</v>
      </c>
      <c r="T1115" s="15">
        <f t="shared" si="6"/>
        <v>4</v>
      </c>
      <c r="U1115" s="15">
        <f t="shared" si="7"/>
        <v>2025</v>
      </c>
      <c r="V1115" s="15">
        <f t="shared" si="8"/>
        <v>21</v>
      </c>
      <c r="W1115" s="15">
        <f t="shared" si="9"/>
        <v>4</v>
      </c>
      <c r="X1115" s="15">
        <f t="shared" si="10"/>
        <v>2025</v>
      </c>
    </row>
    <row r="1116">
      <c r="A1116" s="9">
        <v>45768.0</v>
      </c>
      <c r="B1116" s="9">
        <v>45737.0</v>
      </c>
      <c r="C1116" s="9">
        <f t="shared" si="22"/>
        <v>45768</v>
      </c>
      <c r="D1116" s="11" t="s">
        <v>65</v>
      </c>
      <c r="E1116" s="11" t="s">
        <v>25</v>
      </c>
      <c r="F1116" s="11" t="s">
        <v>110</v>
      </c>
      <c r="G1116" s="11" t="s">
        <v>27</v>
      </c>
      <c r="H1116" s="11" t="s">
        <v>682</v>
      </c>
      <c r="I1116" s="31">
        <v>82.33</v>
      </c>
      <c r="J1116" s="13"/>
      <c r="K1116" s="13">
        <f t="shared" si="53"/>
        <v>82.33</v>
      </c>
      <c r="L1116" s="11" t="s">
        <v>53</v>
      </c>
      <c r="M1116" s="17">
        <v>45931.0</v>
      </c>
      <c r="N1116" s="11" t="s">
        <v>95</v>
      </c>
      <c r="O1116" s="10" t="str">
        <f t="shared" si="48"/>
        <v>04/2025</v>
      </c>
      <c r="P1116" s="10" t="str">
        <f t="shared" si="29"/>
        <v>04/2025</v>
      </c>
      <c r="Q1116" s="15" t="str">
        <f t="array" ref="Q1116">IFERROR(XLOOKUP(N1116,'Classificação'!A:A,'Classificação'!B:B),"")</f>
        <v>DESPESAS NÃO OPERACIONAIS</v>
      </c>
      <c r="R1116" s="15" t="str">
        <f t="array" ref="R1116">IFERROR(XLOOKUP(Q1116,'Classificação'!B:B,'Classificação'!C:C),"")</f>
        <v>RESULTADO NÃO OPERACIONAL (+/-)</v>
      </c>
      <c r="S1116" s="15">
        <f t="shared" si="5"/>
        <v>21</v>
      </c>
      <c r="T1116" s="15">
        <f t="shared" si="6"/>
        <v>4</v>
      </c>
      <c r="U1116" s="15">
        <f t="shared" si="7"/>
        <v>2025</v>
      </c>
      <c r="V1116" s="15">
        <f t="shared" si="8"/>
        <v>21</v>
      </c>
      <c r="W1116" s="15">
        <f t="shared" si="9"/>
        <v>4</v>
      </c>
      <c r="X1116" s="15">
        <f t="shared" si="10"/>
        <v>2025</v>
      </c>
    </row>
    <row r="1117">
      <c r="A1117" s="9">
        <v>45768.0</v>
      </c>
      <c r="B1117" s="9">
        <v>45740.0</v>
      </c>
      <c r="C1117" s="9">
        <f t="shared" si="22"/>
        <v>45768</v>
      </c>
      <c r="D1117" s="11" t="s">
        <v>167</v>
      </c>
      <c r="E1117" s="11" t="s">
        <v>25</v>
      </c>
      <c r="F1117" s="11" t="s">
        <v>110</v>
      </c>
      <c r="G1117" s="11" t="s">
        <v>27</v>
      </c>
      <c r="H1117" s="11" t="s">
        <v>683</v>
      </c>
      <c r="I1117" s="31">
        <v>27.0</v>
      </c>
      <c r="J1117" s="13"/>
      <c r="K1117" s="13">
        <f t="shared" si="53"/>
        <v>27</v>
      </c>
      <c r="L1117" s="11" t="s">
        <v>34</v>
      </c>
      <c r="M1117" s="14"/>
      <c r="N1117" s="11" t="s">
        <v>78</v>
      </c>
      <c r="O1117" s="10" t="str">
        <f t="shared" si="48"/>
        <v>04/2025</v>
      </c>
      <c r="P1117" s="10" t="str">
        <f t="shared" si="29"/>
        <v>04/2025</v>
      </c>
      <c r="Q1117" s="15" t="str">
        <f t="array" ref="Q1117">IFERROR(XLOOKUP(N1117,'Classificação'!A:A,'Classificação'!B:B),"")</f>
        <v>DESPESAS COM PESSOAL</v>
      </c>
      <c r="R1117" s="15" t="str">
        <f t="array" ref="R1117">IFERROR(XLOOKUP(Q1117,'Classificação'!B:B,'Classificação'!C:C),"")</f>
        <v>DESPESAS FIXAS (-)</v>
      </c>
      <c r="S1117" s="15">
        <f t="shared" si="5"/>
        <v>21</v>
      </c>
      <c r="T1117" s="15">
        <f t="shared" si="6"/>
        <v>4</v>
      </c>
      <c r="U1117" s="15">
        <f t="shared" si="7"/>
        <v>2025</v>
      </c>
      <c r="V1117" s="15">
        <f t="shared" si="8"/>
        <v>21</v>
      </c>
      <c r="W1117" s="15">
        <f t="shared" si="9"/>
        <v>4</v>
      </c>
      <c r="X1117" s="15">
        <f t="shared" si="10"/>
        <v>2025</v>
      </c>
    </row>
    <row r="1118">
      <c r="A1118" s="9">
        <v>45768.0</v>
      </c>
      <c r="B1118" s="9">
        <v>45740.0</v>
      </c>
      <c r="C1118" s="9">
        <f t="shared" si="22"/>
        <v>45768</v>
      </c>
      <c r="D1118" s="11" t="s">
        <v>114</v>
      </c>
      <c r="E1118" s="11" t="s">
        <v>25</v>
      </c>
      <c r="F1118" s="11" t="s">
        <v>110</v>
      </c>
      <c r="G1118" s="11" t="s">
        <v>27</v>
      </c>
      <c r="H1118" s="11" t="s">
        <v>555</v>
      </c>
      <c r="I1118" s="31">
        <v>62.8</v>
      </c>
      <c r="J1118" s="13"/>
      <c r="K1118" s="13">
        <f t="shared" si="53"/>
        <v>62.8</v>
      </c>
      <c r="L1118" s="11" t="s">
        <v>34</v>
      </c>
      <c r="M1118" s="14"/>
      <c r="N1118" s="11" t="s">
        <v>143</v>
      </c>
      <c r="O1118" s="10" t="str">
        <f t="shared" si="48"/>
        <v>04/2025</v>
      </c>
      <c r="P1118" s="10" t="str">
        <f t="shared" si="29"/>
        <v>04/2025</v>
      </c>
      <c r="Q1118" s="15" t="str">
        <f t="array" ref="Q1118">IFERROR(XLOOKUP(N1118,'Classificação'!A:A,'Classificação'!B:B),"")</f>
        <v>EMBALAGENS/FITAS/GERAL</v>
      </c>
      <c r="R1118" s="15" t="str">
        <f t="array" ref="R1118">IFERROR(XLOOKUP(Q1118,'Classificação'!B:B,'Classificação'!C:C),"")</f>
        <v>CUSTOS VARIÁVEIS</v>
      </c>
      <c r="S1118" s="15">
        <f t="shared" si="5"/>
        <v>21</v>
      </c>
      <c r="T1118" s="15">
        <f t="shared" si="6"/>
        <v>4</v>
      </c>
      <c r="U1118" s="15">
        <f t="shared" si="7"/>
        <v>2025</v>
      </c>
      <c r="V1118" s="15">
        <f t="shared" si="8"/>
        <v>21</v>
      </c>
      <c r="W1118" s="15">
        <f t="shared" si="9"/>
        <v>4</v>
      </c>
      <c r="X1118" s="15">
        <f t="shared" si="10"/>
        <v>2025</v>
      </c>
    </row>
    <row r="1119">
      <c r="A1119" s="9">
        <v>45768.0</v>
      </c>
      <c r="B1119" s="9">
        <v>45741.0</v>
      </c>
      <c r="C1119" s="9">
        <f t="shared" si="22"/>
        <v>45768</v>
      </c>
      <c r="D1119" s="11" t="s">
        <v>65</v>
      </c>
      <c r="E1119" s="11" t="s">
        <v>25</v>
      </c>
      <c r="F1119" s="11" t="s">
        <v>110</v>
      </c>
      <c r="G1119" s="11" t="s">
        <v>27</v>
      </c>
      <c r="H1119" s="11" t="s">
        <v>684</v>
      </c>
      <c r="I1119" s="31">
        <v>65.99</v>
      </c>
      <c r="J1119" s="13"/>
      <c r="K1119" s="13">
        <f t="shared" si="53"/>
        <v>65.99</v>
      </c>
      <c r="L1119" s="11" t="s">
        <v>34</v>
      </c>
      <c r="M1119" s="14"/>
      <c r="N1119" s="11" t="s">
        <v>175</v>
      </c>
      <c r="O1119" s="10" t="str">
        <f t="shared" si="48"/>
        <v>04/2025</v>
      </c>
      <c r="P1119" s="10" t="str">
        <f t="shared" si="29"/>
        <v>04/2025</v>
      </c>
      <c r="Q1119" s="15" t="str">
        <f t="array" ref="Q1119">IFERROR(XLOOKUP(N1119,'Classificação'!A:A,'Classificação'!B:B),"")</f>
        <v>DESPESAS COM VEICULOS</v>
      </c>
      <c r="R1119" s="15" t="str">
        <f t="array" ref="R1119">IFERROR(XLOOKUP(Q1119,'Classificação'!B:B,'Classificação'!C:C),"")</f>
        <v>DESPESAS FIXAS (-)</v>
      </c>
      <c r="S1119" s="15">
        <f t="shared" si="5"/>
        <v>21</v>
      </c>
      <c r="T1119" s="15">
        <f t="shared" si="6"/>
        <v>4</v>
      </c>
      <c r="U1119" s="15">
        <f t="shared" si="7"/>
        <v>2025</v>
      </c>
      <c r="V1119" s="15">
        <f t="shared" si="8"/>
        <v>21</v>
      </c>
      <c r="W1119" s="15">
        <f t="shared" si="9"/>
        <v>4</v>
      </c>
      <c r="X1119" s="15">
        <f t="shared" si="10"/>
        <v>2025</v>
      </c>
    </row>
    <row r="1120">
      <c r="A1120" s="9">
        <v>45768.0</v>
      </c>
      <c r="B1120" s="9">
        <v>45741.0</v>
      </c>
      <c r="C1120" s="9">
        <f t="shared" si="22"/>
        <v>45768</v>
      </c>
      <c r="D1120" s="11" t="s">
        <v>685</v>
      </c>
      <c r="E1120" s="11" t="s">
        <v>25</v>
      </c>
      <c r="F1120" s="11" t="s">
        <v>110</v>
      </c>
      <c r="G1120" s="11" t="s">
        <v>27</v>
      </c>
      <c r="H1120" s="11" t="s">
        <v>686</v>
      </c>
      <c r="I1120" s="31">
        <v>121.07</v>
      </c>
      <c r="J1120" s="13"/>
      <c r="K1120" s="13">
        <f t="shared" si="53"/>
        <v>121.07</v>
      </c>
      <c r="L1120" s="11" t="s">
        <v>53</v>
      </c>
      <c r="M1120" s="17">
        <v>45809.0</v>
      </c>
      <c r="N1120" s="11" t="s">
        <v>95</v>
      </c>
      <c r="O1120" s="10" t="str">
        <f t="shared" si="48"/>
        <v>04/2025</v>
      </c>
      <c r="P1120" s="10" t="str">
        <f t="shared" si="29"/>
        <v>04/2025</v>
      </c>
      <c r="Q1120" s="15" t="str">
        <f t="array" ref="Q1120">IFERROR(XLOOKUP(N1120,'Classificação'!A:A,'Classificação'!B:B),"")</f>
        <v>DESPESAS NÃO OPERACIONAIS</v>
      </c>
      <c r="R1120" s="15" t="str">
        <f t="array" ref="R1120">IFERROR(XLOOKUP(Q1120,'Classificação'!B:B,'Classificação'!C:C),"")</f>
        <v>RESULTADO NÃO OPERACIONAL (+/-)</v>
      </c>
      <c r="S1120" s="15">
        <f t="shared" si="5"/>
        <v>21</v>
      </c>
      <c r="T1120" s="15">
        <f t="shared" si="6"/>
        <v>4</v>
      </c>
      <c r="U1120" s="15">
        <f t="shared" si="7"/>
        <v>2025</v>
      </c>
      <c r="V1120" s="15">
        <f t="shared" si="8"/>
        <v>21</v>
      </c>
      <c r="W1120" s="15">
        <f t="shared" si="9"/>
        <v>4</v>
      </c>
      <c r="X1120" s="15">
        <f t="shared" si="10"/>
        <v>2025</v>
      </c>
    </row>
    <row r="1121">
      <c r="A1121" s="9">
        <v>45768.0</v>
      </c>
      <c r="B1121" s="9">
        <v>45741.0</v>
      </c>
      <c r="C1121" s="9">
        <f t="shared" si="22"/>
        <v>45768</v>
      </c>
      <c r="D1121" s="11" t="s">
        <v>685</v>
      </c>
      <c r="E1121" s="11" t="s">
        <v>25</v>
      </c>
      <c r="F1121" s="11" t="s">
        <v>110</v>
      </c>
      <c r="G1121" s="11" t="s">
        <v>27</v>
      </c>
      <c r="H1121" s="11" t="s">
        <v>687</v>
      </c>
      <c r="I1121" s="31">
        <v>124.47</v>
      </c>
      <c r="J1121" s="13"/>
      <c r="K1121" s="13">
        <f t="shared" si="53"/>
        <v>124.47</v>
      </c>
      <c r="L1121" s="11" t="s">
        <v>34</v>
      </c>
      <c r="M1121" s="14"/>
      <c r="N1121" s="11" t="s">
        <v>95</v>
      </c>
      <c r="O1121" s="10" t="str">
        <f t="shared" si="48"/>
        <v>04/2025</v>
      </c>
      <c r="P1121" s="10" t="str">
        <f t="shared" si="29"/>
        <v>04/2025</v>
      </c>
      <c r="Q1121" s="15" t="str">
        <f t="array" ref="Q1121">IFERROR(XLOOKUP(N1121,'Classificação'!A:A,'Classificação'!B:B),"")</f>
        <v>DESPESAS NÃO OPERACIONAIS</v>
      </c>
      <c r="R1121" s="15" t="str">
        <f t="array" ref="R1121">IFERROR(XLOOKUP(Q1121,'Classificação'!B:B,'Classificação'!C:C),"")</f>
        <v>RESULTADO NÃO OPERACIONAL (+/-)</v>
      </c>
      <c r="S1121" s="15">
        <f t="shared" si="5"/>
        <v>21</v>
      </c>
      <c r="T1121" s="15">
        <f t="shared" si="6"/>
        <v>4</v>
      </c>
      <c r="U1121" s="15">
        <f t="shared" si="7"/>
        <v>2025</v>
      </c>
      <c r="V1121" s="15">
        <f t="shared" si="8"/>
        <v>21</v>
      </c>
      <c r="W1121" s="15">
        <f t="shared" si="9"/>
        <v>4</v>
      </c>
      <c r="X1121" s="15">
        <f t="shared" si="10"/>
        <v>2025</v>
      </c>
    </row>
    <row r="1122">
      <c r="A1122" s="9">
        <v>45768.0</v>
      </c>
      <c r="B1122" s="9">
        <v>45743.0</v>
      </c>
      <c r="C1122" s="9">
        <f t="shared" si="22"/>
        <v>45768</v>
      </c>
      <c r="D1122" s="11" t="s">
        <v>685</v>
      </c>
      <c r="E1122" s="11" t="s">
        <v>25</v>
      </c>
      <c r="F1122" s="11" t="s">
        <v>110</v>
      </c>
      <c r="G1122" s="11" t="s">
        <v>27</v>
      </c>
      <c r="H1122" s="11" t="s">
        <v>688</v>
      </c>
      <c r="I1122" s="31">
        <v>106.36</v>
      </c>
      <c r="J1122" s="13"/>
      <c r="K1122" s="13">
        <f t="shared" si="53"/>
        <v>106.36</v>
      </c>
      <c r="L1122" s="11" t="s">
        <v>53</v>
      </c>
      <c r="M1122" s="17">
        <v>45717.0</v>
      </c>
      <c r="N1122" s="11" t="s">
        <v>448</v>
      </c>
      <c r="O1122" s="10" t="str">
        <f t="shared" si="48"/>
        <v>04/2025</v>
      </c>
      <c r="P1122" s="10" t="str">
        <f t="shared" si="29"/>
        <v>04/2025</v>
      </c>
      <c r="Q1122" s="15" t="str">
        <f t="array" ref="Q1122">IFERROR(XLOOKUP(N1122,'Classificação'!A:A,'Classificação'!B:B),"")</f>
        <v>DESPESAS ADMINISTRATIVAS</v>
      </c>
      <c r="R1122" s="15" t="str">
        <f t="array" ref="R1122">IFERROR(XLOOKUP(Q1122,'Classificação'!B:B,'Classificação'!C:C),"")</f>
        <v>DESPESAS FIXAS (-)</v>
      </c>
      <c r="S1122" s="15">
        <f t="shared" si="5"/>
        <v>21</v>
      </c>
      <c r="T1122" s="15">
        <f t="shared" si="6"/>
        <v>4</v>
      </c>
      <c r="U1122" s="15">
        <f t="shared" si="7"/>
        <v>2025</v>
      </c>
      <c r="V1122" s="15">
        <f t="shared" si="8"/>
        <v>21</v>
      </c>
      <c r="W1122" s="15">
        <f t="shared" si="9"/>
        <v>4</v>
      </c>
      <c r="X1122" s="15">
        <f t="shared" si="10"/>
        <v>2025</v>
      </c>
    </row>
    <row r="1123">
      <c r="A1123" s="9">
        <v>45768.0</v>
      </c>
      <c r="B1123" s="9">
        <v>45742.0</v>
      </c>
      <c r="C1123" s="9">
        <f t="shared" si="22"/>
        <v>45768</v>
      </c>
      <c r="D1123" s="11" t="s">
        <v>689</v>
      </c>
      <c r="E1123" s="11" t="s">
        <v>25</v>
      </c>
      <c r="F1123" s="11" t="s">
        <v>110</v>
      </c>
      <c r="G1123" s="11" t="s">
        <v>27</v>
      </c>
      <c r="H1123" s="11" t="s">
        <v>690</v>
      </c>
      <c r="I1123" s="31">
        <v>300.0</v>
      </c>
      <c r="J1123" s="13"/>
      <c r="K1123" s="13">
        <f t="shared" si="53"/>
        <v>300</v>
      </c>
      <c r="L1123" s="11" t="s">
        <v>53</v>
      </c>
      <c r="M1123" s="17">
        <v>45717.0</v>
      </c>
      <c r="N1123" s="11" t="s">
        <v>448</v>
      </c>
      <c r="O1123" s="10" t="str">
        <f t="shared" si="48"/>
        <v>04/2025</v>
      </c>
      <c r="P1123" s="10" t="str">
        <f t="shared" si="29"/>
        <v>04/2025</v>
      </c>
      <c r="Q1123" s="15" t="str">
        <f t="array" ref="Q1123">IFERROR(XLOOKUP(N1123,'Classificação'!A:A,'Classificação'!B:B),"")</f>
        <v>DESPESAS ADMINISTRATIVAS</v>
      </c>
      <c r="R1123" s="15" t="str">
        <f t="array" ref="R1123">IFERROR(XLOOKUP(Q1123,'Classificação'!B:B,'Classificação'!C:C),"")</f>
        <v>DESPESAS FIXAS (-)</v>
      </c>
      <c r="S1123" s="15">
        <f t="shared" si="5"/>
        <v>21</v>
      </c>
      <c r="T1123" s="15">
        <f t="shared" si="6"/>
        <v>4</v>
      </c>
      <c r="U1123" s="15">
        <f t="shared" si="7"/>
        <v>2025</v>
      </c>
      <c r="V1123" s="15">
        <f t="shared" si="8"/>
        <v>21</v>
      </c>
      <c r="W1123" s="15">
        <f t="shared" si="9"/>
        <v>4</v>
      </c>
      <c r="X1123" s="15">
        <f t="shared" si="10"/>
        <v>2025</v>
      </c>
    </row>
    <row r="1124">
      <c r="A1124" s="9">
        <v>45768.0</v>
      </c>
      <c r="B1124" s="9">
        <v>45742.0</v>
      </c>
      <c r="C1124" s="9">
        <f t="shared" si="22"/>
        <v>45768</v>
      </c>
      <c r="D1124" s="11" t="s">
        <v>179</v>
      </c>
      <c r="E1124" s="11" t="s">
        <v>25</v>
      </c>
      <c r="F1124" s="11" t="s">
        <v>110</v>
      </c>
      <c r="G1124" s="11" t="s">
        <v>27</v>
      </c>
      <c r="H1124" s="11" t="s">
        <v>312</v>
      </c>
      <c r="I1124" s="31">
        <v>150.0</v>
      </c>
      <c r="J1124" s="13"/>
      <c r="K1124" s="13">
        <f t="shared" si="53"/>
        <v>150</v>
      </c>
      <c r="L1124" s="11" t="s">
        <v>34</v>
      </c>
      <c r="M1124" s="14"/>
      <c r="N1124" s="11" t="s">
        <v>181</v>
      </c>
      <c r="O1124" s="10" t="str">
        <f t="shared" si="48"/>
        <v>04/2025</v>
      </c>
      <c r="P1124" s="10" t="str">
        <f t="shared" si="29"/>
        <v>04/2025</v>
      </c>
      <c r="Q1124" s="15" t="str">
        <f t="array" ref="Q1124">IFERROR(XLOOKUP(N1124,'Classificação'!A:A,'Classificação'!B:B),"")</f>
        <v>DESPESAS COM VEICULOS</v>
      </c>
      <c r="R1124" s="15" t="str">
        <f t="array" ref="R1124">IFERROR(XLOOKUP(Q1124,'Classificação'!B:B,'Classificação'!C:C),"")</f>
        <v>DESPESAS FIXAS (-)</v>
      </c>
      <c r="S1124" s="15">
        <f t="shared" si="5"/>
        <v>21</v>
      </c>
      <c r="T1124" s="15">
        <f t="shared" si="6"/>
        <v>4</v>
      </c>
      <c r="U1124" s="15">
        <f t="shared" si="7"/>
        <v>2025</v>
      </c>
      <c r="V1124" s="15">
        <f t="shared" si="8"/>
        <v>21</v>
      </c>
      <c r="W1124" s="15">
        <f t="shared" si="9"/>
        <v>4</v>
      </c>
      <c r="X1124" s="15">
        <f t="shared" si="10"/>
        <v>2025</v>
      </c>
    </row>
    <row r="1125">
      <c r="A1125" s="9">
        <v>45768.0</v>
      </c>
      <c r="B1125" s="9">
        <v>45747.0</v>
      </c>
      <c r="C1125" s="9">
        <f t="shared" si="22"/>
        <v>45768</v>
      </c>
      <c r="D1125" s="11" t="s">
        <v>691</v>
      </c>
      <c r="E1125" s="11" t="s">
        <v>25</v>
      </c>
      <c r="F1125" s="11" t="s">
        <v>107</v>
      </c>
      <c r="G1125" s="11" t="s">
        <v>27</v>
      </c>
      <c r="H1125" s="11" t="s">
        <v>692</v>
      </c>
      <c r="I1125" s="31">
        <v>98.93</v>
      </c>
      <c r="J1125" s="13"/>
      <c r="K1125" s="13">
        <f t="shared" si="53"/>
        <v>98.93</v>
      </c>
      <c r="L1125" s="11" t="s">
        <v>53</v>
      </c>
      <c r="M1125" s="17">
        <v>45992.0</v>
      </c>
      <c r="N1125" s="11" t="s">
        <v>693</v>
      </c>
      <c r="O1125" s="10" t="str">
        <f t="shared" si="48"/>
        <v>04/2025</v>
      </c>
      <c r="P1125" s="10" t="str">
        <f t="shared" si="29"/>
        <v>04/2025</v>
      </c>
      <c r="Q1125" s="15" t="str">
        <f t="array" ref="Q1125">IFERROR(XLOOKUP(N1125,'Classificação'!A:A,'Classificação'!B:B),"")</f>
        <v>DESPESAS COM OCUPAÇÃO</v>
      </c>
      <c r="R1125" s="15" t="str">
        <f t="array" ref="R1125">IFERROR(XLOOKUP(Q1125,'Classificação'!B:B,'Classificação'!C:C),"")</f>
        <v>DESPESAS FIXAS (-)</v>
      </c>
      <c r="S1125" s="15">
        <f t="shared" si="5"/>
        <v>21</v>
      </c>
      <c r="T1125" s="15">
        <f t="shared" si="6"/>
        <v>4</v>
      </c>
      <c r="U1125" s="15">
        <f t="shared" si="7"/>
        <v>2025</v>
      </c>
      <c r="V1125" s="15">
        <f t="shared" si="8"/>
        <v>21</v>
      </c>
      <c r="W1125" s="15">
        <f t="shared" si="9"/>
        <v>4</v>
      </c>
      <c r="X1125" s="15">
        <f t="shared" si="10"/>
        <v>2025</v>
      </c>
    </row>
    <row r="1126">
      <c r="A1126" s="9">
        <v>45768.0</v>
      </c>
      <c r="B1126" s="9">
        <v>45747.0</v>
      </c>
      <c r="C1126" s="9">
        <f t="shared" si="22"/>
        <v>45768</v>
      </c>
      <c r="D1126" s="11" t="s">
        <v>167</v>
      </c>
      <c r="E1126" s="11" t="s">
        <v>25</v>
      </c>
      <c r="F1126" s="11" t="s">
        <v>110</v>
      </c>
      <c r="G1126" s="11" t="s">
        <v>27</v>
      </c>
      <c r="H1126" s="11" t="s">
        <v>694</v>
      </c>
      <c r="I1126" s="31">
        <v>27.0</v>
      </c>
      <c r="J1126" s="13"/>
      <c r="K1126" s="13">
        <f t="shared" si="53"/>
        <v>27</v>
      </c>
      <c r="L1126" s="11" t="s">
        <v>34</v>
      </c>
      <c r="M1126" s="14"/>
      <c r="N1126" s="11" t="s">
        <v>78</v>
      </c>
      <c r="O1126" s="10" t="str">
        <f t="shared" si="48"/>
        <v>04/2025</v>
      </c>
      <c r="P1126" s="10" t="str">
        <f t="shared" si="29"/>
        <v>04/2025</v>
      </c>
      <c r="Q1126" s="15" t="str">
        <f t="array" ref="Q1126">IFERROR(XLOOKUP(N1126,'Classificação'!A:A,'Classificação'!B:B),"")</f>
        <v>DESPESAS COM PESSOAL</v>
      </c>
      <c r="R1126" s="15" t="str">
        <f t="array" ref="R1126">IFERROR(XLOOKUP(Q1126,'Classificação'!B:B,'Classificação'!C:C),"")</f>
        <v>DESPESAS FIXAS (-)</v>
      </c>
      <c r="S1126" s="15">
        <f t="shared" si="5"/>
        <v>21</v>
      </c>
      <c r="T1126" s="15">
        <f t="shared" si="6"/>
        <v>4</v>
      </c>
      <c r="U1126" s="15">
        <f t="shared" si="7"/>
        <v>2025</v>
      </c>
      <c r="V1126" s="15">
        <f t="shared" si="8"/>
        <v>21</v>
      </c>
      <c r="W1126" s="15">
        <f t="shared" si="9"/>
        <v>4</v>
      </c>
      <c r="X1126" s="15">
        <f t="shared" si="10"/>
        <v>2025</v>
      </c>
    </row>
    <row r="1127">
      <c r="A1127" s="9">
        <v>45768.0</v>
      </c>
      <c r="B1127" s="9">
        <v>45748.0</v>
      </c>
      <c r="C1127" s="9">
        <f t="shared" si="22"/>
        <v>45768</v>
      </c>
      <c r="D1127" s="11" t="s">
        <v>167</v>
      </c>
      <c r="E1127" s="11" t="s">
        <v>25</v>
      </c>
      <c r="F1127" s="11" t="s">
        <v>110</v>
      </c>
      <c r="G1127" s="11" t="s">
        <v>27</v>
      </c>
      <c r="H1127" s="11" t="s">
        <v>694</v>
      </c>
      <c r="I1127" s="31">
        <v>27.0</v>
      </c>
      <c r="J1127" s="13"/>
      <c r="K1127" s="13">
        <f t="shared" si="53"/>
        <v>27</v>
      </c>
      <c r="L1127" s="11" t="s">
        <v>34</v>
      </c>
      <c r="M1127" s="14"/>
      <c r="N1127" s="11" t="s">
        <v>78</v>
      </c>
      <c r="O1127" s="10" t="str">
        <f t="shared" si="48"/>
        <v>04/2025</v>
      </c>
      <c r="P1127" s="10" t="str">
        <f t="shared" si="29"/>
        <v>04/2025</v>
      </c>
      <c r="Q1127" s="15" t="str">
        <f t="array" ref="Q1127">IFERROR(XLOOKUP(N1127,'Classificação'!A:A,'Classificação'!B:B),"")</f>
        <v>DESPESAS COM PESSOAL</v>
      </c>
      <c r="R1127" s="15" t="str">
        <f t="array" ref="R1127">IFERROR(XLOOKUP(Q1127,'Classificação'!B:B,'Classificação'!C:C),"")</f>
        <v>DESPESAS FIXAS (-)</v>
      </c>
      <c r="S1127" s="15">
        <f t="shared" si="5"/>
        <v>21</v>
      </c>
      <c r="T1127" s="15">
        <f t="shared" si="6"/>
        <v>4</v>
      </c>
      <c r="U1127" s="15">
        <f t="shared" si="7"/>
        <v>2025</v>
      </c>
      <c r="V1127" s="15">
        <f t="shared" si="8"/>
        <v>21</v>
      </c>
      <c r="W1127" s="15">
        <f t="shared" si="9"/>
        <v>4</v>
      </c>
      <c r="X1127" s="15">
        <f t="shared" si="10"/>
        <v>2025</v>
      </c>
    </row>
    <row r="1128">
      <c r="A1128" s="9">
        <v>45768.0</v>
      </c>
      <c r="B1128" s="9">
        <v>45748.0</v>
      </c>
      <c r="C1128" s="9">
        <f t="shared" si="22"/>
        <v>45768</v>
      </c>
      <c r="D1128" s="11" t="s">
        <v>255</v>
      </c>
      <c r="E1128" s="11" t="s">
        <v>25</v>
      </c>
      <c r="F1128" s="11" t="s">
        <v>110</v>
      </c>
      <c r="G1128" s="11" t="s">
        <v>27</v>
      </c>
      <c r="H1128" s="11" t="s">
        <v>695</v>
      </c>
      <c r="I1128" s="31">
        <v>4.58</v>
      </c>
      <c r="J1128" s="13"/>
      <c r="K1128" s="13">
        <f t="shared" si="53"/>
        <v>4.58</v>
      </c>
      <c r="L1128" s="11" t="s">
        <v>34</v>
      </c>
      <c r="M1128" s="14"/>
      <c r="N1128" s="11" t="s">
        <v>392</v>
      </c>
      <c r="O1128" s="10" t="str">
        <f t="shared" si="48"/>
        <v>04/2025</v>
      </c>
      <c r="P1128" s="10" t="str">
        <f t="shared" si="29"/>
        <v>04/2025</v>
      </c>
      <c r="Q1128" s="15" t="str">
        <f t="array" ref="Q1128">IFERROR(XLOOKUP(N1128,'Classificação'!A:A,'Classificação'!B:B),"")</f>
        <v>DESPESAS COM OCUPAÇÃO</v>
      </c>
      <c r="R1128" s="15" t="str">
        <f t="array" ref="R1128">IFERROR(XLOOKUP(Q1128,'Classificação'!B:B,'Classificação'!C:C),"")</f>
        <v>DESPESAS FIXAS (-)</v>
      </c>
      <c r="S1128" s="15">
        <f t="shared" si="5"/>
        <v>21</v>
      </c>
      <c r="T1128" s="15">
        <f t="shared" si="6"/>
        <v>4</v>
      </c>
      <c r="U1128" s="15">
        <f t="shared" si="7"/>
        <v>2025</v>
      </c>
      <c r="V1128" s="15">
        <f t="shared" si="8"/>
        <v>21</v>
      </c>
      <c r="W1128" s="15">
        <f t="shared" si="9"/>
        <v>4</v>
      </c>
      <c r="X1128" s="15">
        <f t="shared" si="10"/>
        <v>2025</v>
      </c>
    </row>
    <row r="1129">
      <c r="A1129" s="9">
        <v>45768.0</v>
      </c>
      <c r="B1129" s="9">
        <v>45749.0</v>
      </c>
      <c r="C1129" s="9">
        <f t="shared" si="22"/>
        <v>45768</v>
      </c>
      <c r="D1129" s="11" t="s">
        <v>696</v>
      </c>
      <c r="E1129" s="11" t="s">
        <v>25</v>
      </c>
      <c r="F1129" s="11" t="s">
        <v>107</v>
      </c>
      <c r="G1129" s="11" t="s">
        <v>27</v>
      </c>
      <c r="H1129" s="11" t="s">
        <v>697</v>
      </c>
      <c r="I1129" s="31">
        <v>45.0</v>
      </c>
      <c r="J1129" s="13"/>
      <c r="K1129" s="13">
        <f t="shared" si="53"/>
        <v>45</v>
      </c>
      <c r="L1129" s="11" t="s">
        <v>34</v>
      </c>
      <c r="M1129" s="14"/>
      <c r="N1129" s="11" t="s">
        <v>95</v>
      </c>
      <c r="O1129" s="10" t="str">
        <f t="shared" si="48"/>
        <v>04/2025</v>
      </c>
      <c r="P1129" s="10" t="str">
        <f t="shared" si="29"/>
        <v>04/2025</v>
      </c>
      <c r="Q1129" s="15" t="str">
        <f t="array" ref="Q1129">IFERROR(XLOOKUP(N1129,'Classificação'!A:A,'Classificação'!B:B),"")</f>
        <v>DESPESAS NÃO OPERACIONAIS</v>
      </c>
      <c r="R1129" s="15" t="str">
        <f t="array" ref="R1129">IFERROR(XLOOKUP(Q1129,'Classificação'!B:B,'Classificação'!C:C),"")</f>
        <v>RESULTADO NÃO OPERACIONAL (+/-)</v>
      </c>
      <c r="S1129" s="15">
        <f t="shared" si="5"/>
        <v>21</v>
      </c>
      <c r="T1129" s="15">
        <f t="shared" si="6"/>
        <v>4</v>
      </c>
      <c r="U1129" s="15">
        <f t="shared" si="7"/>
        <v>2025</v>
      </c>
      <c r="V1129" s="15">
        <f t="shared" si="8"/>
        <v>21</v>
      </c>
      <c r="W1129" s="15">
        <f t="shared" si="9"/>
        <v>4</v>
      </c>
      <c r="X1129" s="15">
        <f t="shared" si="10"/>
        <v>2025</v>
      </c>
    </row>
    <row r="1130">
      <c r="A1130" s="9">
        <v>45768.0</v>
      </c>
      <c r="B1130" s="9">
        <v>45749.0</v>
      </c>
      <c r="C1130" s="9">
        <f t="shared" si="22"/>
        <v>45768</v>
      </c>
      <c r="D1130" s="11" t="s">
        <v>696</v>
      </c>
      <c r="E1130" s="11" t="s">
        <v>25</v>
      </c>
      <c r="F1130" s="11" t="s">
        <v>107</v>
      </c>
      <c r="G1130" s="11" t="s">
        <v>27</v>
      </c>
      <c r="H1130" s="11" t="s">
        <v>697</v>
      </c>
      <c r="I1130" s="31">
        <v>35.0</v>
      </c>
      <c r="J1130" s="13"/>
      <c r="K1130" s="13">
        <f t="shared" si="53"/>
        <v>35</v>
      </c>
      <c r="L1130" s="11" t="s">
        <v>34</v>
      </c>
      <c r="M1130" s="14"/>
      <c r="N1130" s="11" t="s">
        <v>95</v>
      </c>
      <c r="O1130" s="10" t="str">
        <f t="shared" si="48"/>
        <v>04/2025</v>
      </c>
      <c r="P1130" s="10" t="str">
        <f t="shared" si="29"/>
        <v>04/2025</v>
      </c>
      <c r="Q1130" s="15" t="str">
        <f t="array" ref="Q1130">IFERROR(XLOOKUP(N1130,'Classificação'!A:A,'Classificação'!B:B),"")</f>
        <v>DESPESAS NÃO OPERACIONAIS</v>
      </c>
      <c r="R1130" s="15" t="str">
        <f t="array" ref="R1130">IFERROR(XLOOKUP(Q1130,'Classificação'!B:B,'Classificação'!C:C),"")</f>
        <v>RESULTADO NÃO OPERACIONAL (+/-)</v>
      </c>
      <c r="S1130" s="15">
        <f t="shared" si="5"/>
        <v>21</v>
      </c>
      <c r="T1130" s="15">
        <f t="shared" si="6"/>
        <v>4</v>
      </c>
      <c r="U1130" s="15">
        <f t="shared" si="7"/>
        <v>2025</v>
      </c>
      <c r="V1130" s="15">
        <f t="shared" si="8"/>
        <v>21</v>
      </c>
      <c r="W1130" s="15">
        <f t="shared" si="9"/>
        <v>4</v>
      </c>
      <c r="X1130" s="15">
        <f t="shared" si="10"/>
        <v>2025</v>
      </c>
    </row>
    <row r="1131">
      <c r="A1131" s="9">
        <v>45768.0</v>
      </c>
      <c r="B1131" s="9">
        <v>45748.0</v>
      </c>
      <c r="C1131" s="9">
        <f t="shared" si="22"/>
        <v>45768</v>
      </c>
      <c r="D1131" s="11" t="s">
        <v>182</v>
      </c>
      <c r="E1131" s="11" t="s">
        <v>25</v>
      </c>
      <c r="F1131" s="11" t="s">
        <v>107</v>
      </c>
      <c r="G1131" s="11" t="s">
        <v>27</v>
      </c>
      <c r="H1131" s="11" t="s">
        <v>698</v>
      </c>
      <c r="I1131" s="31">
        <v>10.93</v>
      </c>
      <c r="J1131" s="13"/>
      <c r="K1131" s="13">
        <f t="shared" si="53"/>
        <v>10.93</v>
      </c>
      <c r="L1131" s="11" t="s">
        <v>34</v>
      </c>
      <c r="M1131" s="14"/>
      <c r="N1131" s="11" t="s">
        <v>184</v>
      </c>
      <c r="O1131" s="10" t="str">
        <f t="shared" si="48"/>
        <v>04/2025</v>
      </c>
      <c r="P1131" s="10" t="str">
        <f t="shared" si="29"/>
        <v>04/2025</v>
      </c>
      <c r="Q1131" s="15" t="str">
        <f t="array" ref="Q1131">IFERROR(XLOOKUP(N1131,'Classificação'!A:A,'Classificação'!B:B),"")</f>
        <v>DESPESAS ADMINISTRATIVAS</v>
      </c>
      <c r="R1131" s="15" t="str">
        <f t="array" ref="R1131">IFERROR(XLOOKUP(Q1131,'Classificação'!B:B,'Classificação'!C:C),"")</f>
        <v>DESPESAS FIXAS (-)</v>
      </c>
      <c r="S1131" s="15">
        <f t="shared" si="5"/>
        <v>21</v>
      </c>
      <c r="T1131" s="15">
        <f t="shared" si="6"/>
        <v>4</v>
      </c>
      <c r="U1131" s="15">
        <f t="shared" si="7"/>
        <v>2025</v>
      </c>
      <c r="V1131" s="15">
        <f t="shared" si="8"/>
        <v>21</v>
      </c>
      <c r="W1131" s="15">
        <f t="shared" si="9"/>
        <v>4</v>
      </c>
      <c r="X1131" s="15">
        <f t="shared" si="10"/>
        <v>2025</v>
      </c>
    </row>
    <row r="1132">
      <c r="A1132" s="9">
        <v>45768.0</v>
      </c>
      <c r="B1132" s="9">
        <v>45749.0</v>
      </c>
      <c r="C1132" s="9">
        <f t="shared" si="22"/>
        <v>45768</v>
      </c>
      <c r="D1132" s="11" t="s">
        <v>182</v>
      </c>
      <c r="E1132" s="11" t="s">
        <v>25</v>
      </c>
      <c r="F1132" s="11" t="s">
        <v>107</v>
      </c>
      <c r="G1132" s="11" t="s">
        <v>27</v>
      </c>
      <c r="H1132" s="11" t="s">
        <v>698</v>
      </c>
      <c r="I1132" s="31">
        <v>10.93</v>
      </c>
      <c r="J1132" s="13"/>
      <c r="K1132" s="13">
        <f t="shared" si="53"/>
        <v>10.93</v>
      </c>
      <c r="L1132" s="11" t="s">
        <v>34</v>
      </c>
      <c r="M1132" s="14"/>
      <c r="N1132" s="11" t="s">
        <v>184</v>
      </c>
      <c r="O1132" s="10" t="str">
        <f t="shared" si="48"/>
        <v>04/2025</v>
      </c>
      <c r="P1132" s="10" t="str">
        <f t="shared" si="29"/>
        <v>04/2025</v>
      </c>
      <c r="Q1132" s="15" t="str">
        <f t="array" ref="Q1132">IFERROR(XLOOKUP(N1132,'Classificação'!A:A,'Classificação'!B:B),"")</f>
        <v>DESPESAS ADMINISTRATIVAS</v>
      </c>
      <c r="R1132" s="15" t="str">
        <f t="array" ref="R1132">IFERROR(XLOOKUP(Q1132,'Classificação'!B:B,'Classificação'!C:C),"")</f>
        <v>DESPESAS FIXAS (-)</v>
      </c>
      <c r="S1132" s="15">
        <f t="shared" si="5"/>
        <v>21</v>
      </c>
      <c r="T1132" s="15">
        <f t="shared" si="6"/>
        <v>4</v>
      </c>
      <c r="U1132" s="15">
        <f t="shared" si="7"/>
        <v>2025</v>
      </c>
      <c r="V1132" s="15">
        <f t="shared" si="8"/>
        <v>21</v>
      </c>
      <c r="W1132" s="15">
        <f t="shared" si="9"/>
        <v>4</v>
      </c>
      <c r="X1132" s="15">
        <f t="shared" si="10"/>
        <v>2025</v>
      </c>
    </row>
    <row r="1133">
      <c r="A1133" s="9">
        <v>45768.0</v>
      </c>
      <c r="B1133" s="9">
        <v>45750.0</v>
      </c>
      <c r="C1133" s="9">
        <f t="shared" si="22"/>
        <v>45768</v>
      </c>
      <c r="D1133" s="11" t="s">
        <v>182</v>
      </c>
      <c r="E1133" s="11" t="s">
        <v>25</v>
      </c>
      <c r="F1133" s="11" t="s">
        <v>107</v>
      </c>
      <c r="G1133" s="11" t="s">
        <v>27</v>
      </c>
      <c r="H1133" s="11" t="s">
        <v>698</v>
      </c>
      <c r="I1133" s="31">
        <v>9.06</v>
      </c>
      <c r="J1133" s="13"/>
      <c r="K1133" s="13">
        <f t="shared" si="53"/>
        <v>9.06</v>
      </c>
      <c r="L1133" s="11" t="s">
        <v>34</v>
      </c>
      <c r="M1133" s="14"/>
      <c r="N1133" s="11" t="s">
        <v>184</v>
      </c>
      <c r="O1133" s="10" t="str">
        <f t="shared" si="48"/>
        <v>04/2025</v>
      </c>
      <c r="P1133" s="10" t="str">
        <f t="shared" si="29"/>
        <v>04/2025</v>
      </c>
      <c r="Q1133" s="15" t="str">
        <f t="array" ref="Q1133">IFERROR(XLOOKUP(N1133,'Classificação'!A:A,'Classificação'!B:B),"")</f>
        <v>DESPESAS ADMINISTRATIVAS</v>
      </c>
      <c r="R1133" s="15" t="str">
        <f t="array" ref="R1133">IFERROR(XLOOKUP(Q1133,'Classificação'!B:B,'Classificação'!C:C),"")</f>
        <v>DESPESAS FIXAS (-)</v>
      </c>
      <c r="S1133" s="15">
        <f t="shared" si="5"/>
        <v>21</v>
      </c>
      <c r="T1133" s="15">
        <f t="shared" si="6"/>
        <v>4</v>
      </c>
      <c r="U1133" s="15">
        <f t="shared" si="7"/>
        <v>2025</v>
      </c>
      <c r="V1133" s="15">
        <f t="shared" si="8"/>
        <v>21</v>
      </c>
      <c r="W1133" s="15">
        <f t="shared" si="9"/>
        <v>4</v>
      </c>
      <c r="X1133" s="15">
        <f t="shared" si="10"/>
        <v>2025</v>
      </c>
    </row>
    <row r="1134">
      <c r="A1134" s="9">
        <v>45768.0</v>
      </c>
      <c r="B1134" s="9">
        <v>45751.0</v>
      </c>
      <c r="C1134" s="9">
        <f t="shared" si="22"/>
        <v>45768</v>
      </c>
      <c r="D1134" s="11" t="s">
        <v>182</v>
      </c>
      <c r="E1134" s="11" t="s">
        <v>25</v>
      </c>
      <c r="F1134" s="11" t="s">
        <v>107</v>
      </c>
      <c r="G1134" s="11" t="s">
        <v>27</v>
      </c>
      <c r="H1134" s="11" t="s">
        <v>698</v>
      </c>
      <c r="I1134" s="31">
        <v>10.97</v>
      </c>
      <c r="J1134" s="13"/>
      <c r="K1134" s="13">
        <f t="shared" si="53"/>
        <v>10.97</v>
      </c>
      <c r="L1134" s="11" t="s">
        <v>34</v>
      </c>
      <c r="M1134" s="14"/>
      <c r="N1134" s="11" t="s">
        <v>184</v>
      </c>
      <c r="O1134" s="10" t="str">
        <f t="shared" si="48"/>
        <v>04/2025</v>
      </c>
      <c r="P1134" s="10" t="str">
        <f t="shared" si="29"/>
        <v>04/2025</v>
      </c>
      <c r="Q1134" s="15" t="str">
        <f t="array" ref="Q1134">IFERROR(XLOOKUP(N1134,'Classificação'!A:A,'Classificação'!B:B),"")</f>
        <v>DESPESAS ADMINISTRATIVAS</v>
      </c>
      <c r="R1134" s="15" t="str">
        <f t="array" ref="R1134">IFERROR(XLOOKUP(Q1134,'Classificação'!B:B,'Classificação'!C:C),"")</f>
        <v>DESPESAS FIXAS (-)</v>
      </c>
      <c r="S1134" s="15">
        <f t="shared" si="5"/>
        <v>21</v>
      </c>
      <c r="T1134" s="15">
        <f t="shared" si="6"/>
        <v>4</v>
      </c>
      <c r="U1134" s="15">
        <f t="shared" si="7"/>
        <v>2025</v>
      </c>
      <c r="V1134" s="15">
        <f t="shared" si="8"/>
        <v>21</v>
      </c>
      <c r="W1134" s="15">
        <f t="shared" si="9"/>
        <v>4</v>
      </c>
      <c r="X1134" s="15">
        <f t="shared" si="10"/>
        <v>2025</v>
      </c>
    </row>
    <row r="1135">
      <c r="A1135" s="9">
        <v>45768.0</v>
      </c>
      <c r="B1135" s="9">
        <v>45754.0</v>
      </c>
      <c r="C1135" s="9">
        <f t="shared" si="22"/>
        <v>45768</v>
      </c>
      <c r="D1135" s="11" t="s">
        <v>699</v>
      </c>
      <c r="E1135" s="11" t="s">
        <v>25</v>
      </c>
      <c r="F1135" s="11" t="s">
        <v>107</v>
      </c>
      <c r="G1135" s="11" t="s">
        <v>27</v>
      </c>
      <c r="H1135" s="11" t="s">
        <v>700</v>
      </c>
      <c r="I1135" s="31">
        <v>130.0</v>
      </c>
      <c r="J1135" s="13"/>
      <c r="K1135" s="13">
        <f t="shared" si="53"/>
        <v>130</v>
      </c>
      <c r="L1135" s="11" t="s">
        <v>34</v>
      </c>
      <c r="M1135" s="14"/>
      <c r="N1135" s="11" t="s">
        <v>95</v>
      </c>
      <c r="O1135" s="10" t="str">
        <f t="shared" si="48"/>
        <v>04/2025</v>
      </c>
      <c r="P1135" s="10" t="str">
        <f t="shared" si="29"/>
        <v>04/2025</v>
      </c>
      <c r="Q1135" s="15" t="str">
        <f t="array" ref="Q1135">IFERROR(XLOOKUP(N1135,'Classificação'!A:A,'Classificação'!B:B),"")</f>
        <v>DESPESAS NÃO OPERACIONAIS</v>
      </c>
      <c r="R1135" s="15" t="str">
        <f t="array" ref="R1135">IFERROR(XLOOKUP(Q1135,'Classificação'!B:B,'Classificação'!C:C),"")</f>
        <v>RESULTADO NÃO OPERACIONAL (+/-)</v>
      </c>
      <c r="S1135" s="15">
        <f t="shared" si="5"/>
        <v>21</v>
      </c>
      <c r="T1135" s="15">
        <f t="shared" si="6"/>
        <v>4</v>
      </c>
      <c r="U1135" s="15">
        <f t="shared" si="7"/>
        <v>2025</v>
      </c>
      <c r="V1135" s="15">
        <f t="shared" si="8"/>
        <v>21</v>
      </c>
      <c r="W1135" s="15">
        <f t="shared" si="9"/>
        <v>4</v>
      </c>
      <c r="X1135" s="15">
        <f t="shared" si="10"/>
        <v>2025</v>
      </c>
    </row>
    <row r="1136">
      <c r="A1136" s="9">
        <v>45768.0</v>
      </c>
      <c r="B1136" s="9">
        <v>45754.0</v>
      </c>
      <c r="C1136" s="9">
        <f t="shared" si="22"/>
        <v>45768</v>
      </c>
      <c r="D1136" s="11" t="s">
        <v>699</v>
      </c>
      <c r="E1136" s="11" t="s">
        <v>25</v>
      </c>
      <c r="F1136" s="11" t="s">
        <v>107</v>
      </c>
      <c r="G1136" s="11" t="s">
        <v>27</v>
      </c>
      <c r="H1136" s="11" t="s">
        <v>700</v>
      </c>
      <c r="I1136" s="31">
        <v>30.0</v>
      </c>
      <c r="J1136" s="13"/>
      <c r="K1136" s="13">
        <f t="shared" si="53"/>
        <v>30</v>
      </c>
      <c r="L1136" s="11" t="s">
        <v>34</v>
      </c>
      <c r="M1136" s="14"/>
      <c r="N1136" s="11" t="s">
        <v>95</v>
      </c>
      <c r="O1136" s="10" t="str">
        <f t="shared" si="48"/>
        <v>04/2025</v>
      </c>
      <c r="P1136" s="10" t="str">
        <f t="shared" si="29"/>
        <v>04/2025</v>
      </c>
      <c r="Q1136" s="15" t="str">
        <f t="array" ref="Q1136">IFERROR(XLOOKUP(N1136,'Classificação'!A:A,'Classificação'!B:B),"")</f>
        <v>DESPESAS NÃO OPERACIONAIS</v>
      </c>
      <c r="R1136" s="15" t="str">
        <f t="array" ref="R1136">IFERROR(XLOOKUP(Q1136,'Classificação'!B:B,'Classificação'!C:C),"")</f>
        <v>RESULTADO NÃO OPERACIONAL (+/-)</v>
      </c>
      <c r="S1136" s="15">
        <f t="shared" si="5"/>
        <v>21</v>
      </c>
      <c r="T1136" s="15">
        <f t="shared" si="6"/>
        <v>4</v>
      </c>
      <c r="U1136" s="15">
        <f t="shared" si="7"/>
        <v>2025</v>
      </c>
      <c r="V1136" s="15">
        <f t="shared" si="8"/>
        <v>21</v>
      </c>
      <c r="W1136" s="15">
        <f t="shared" si="9"/>
        <v>4</v>
      </c>
      <c r="X1136" s="15">
        <f t="shared" si="10"/>
        <v>2025</v>
      </c>
    </row>
    <row r="1137">
      <c r="A1137" s="9">
        <v>45768.0</v>
      </c>
      <c r="B1137" s="9">
        <v>45754.0</v>
      </c>
      <c r="C1137" s="9">
        <f t="shared" si="22"/>
        <v>45768</v>
      </c>
      <c r="D1137" s="11" t="s">
        <v>699</v>
      </c>
      <c r="E1137" s="11" t="s">
        <v>25</v>
      </c>
      <c r="F1137" s="11" t="s">
        <v>107</v>
      </c>
      <c r="G1137" s="11" t="s">
        <v>27</v>
      </c>
      <c r="H1137" s="11" t="s">
        <v>700</v>
      </c>
      <c r="I1137" s="31">
        <v>233.34</v>
      </c>
      <c r="J1137" s="13"/>
      <c r="K1137" s="13">
        <f t="shared" si="53"/>
        <v>233.34</v>
      </c>
      <c r="L1137" s="11" t="s">
        <v>53</v>
      </c>
      <c r="M1137" s="17">
        <v>45717.0</v>
      </c>
      <c r="N1137" s="11" t="s">
        <v>95</v>
      </c>
      <c r="O1137" s="10" t="str">
        <f t="shared" si="48"/>
        <v>04/2025</v>
      </c>
      <c r="P1137" s="10" t="str">
        <f t="shared" si="29"/>
        <v>04/2025</v>
      </c>
      <c r="Q1137" s="15" t="str">
        <f t="array" ref="Q1137">IFERROR(XLOOKUP(N1137,'Classificação'!A:A,'Classificação'!B:B),"")</f>
        <v>DESPESAS NÃO OPERACIONAIS</v>
      </c>
      <c r="R1137" s="15" t="str">
        <f t="array" ref="R1137">IFERROR(XLOOKUP(Q1137,'Classificação'!B:B,'Classificação'!C:C),"")</f>
        <v>RESULTADO NÃO OPERACIONAL (+/-)</v>
      </c>
      <c r="S1137" s="15">
        <f t="shared" si="5"/>
        <v>21</v>
      </c>
      <c r="T1137" s="15">
        <f t="shared" si="6"/>
        <v>4</v>
      </c>
      <c r="U1137" s="15">
        <f t="shared" si="7"/>
        <v>2025</v>
      </c>
      <c r="V1137" s="15">
        <f t="shared" si="8"/>
        <v>21</v>
      </c>
      <c r="W1137" s="15">
        <f t="shared" si="9"/>
        <v>4</v>
      </c>
      <c r="X1137" s="15">
        <f t="shared" si="10"/>
        <v>2025</v>
      </c>
    </row>
    <row r="1138">
      <c r="A1138" s="9">
        <v>45768.0</v>
      </c>
      <c r="B1138" s="9">
        <v>45754.0</v>
      </c>
      <c r="C1138" s="9">
        <f t="shared" si="22"/>
        <v>45768</v>
      </c>
      <c r="D1138" s="11" t="s">
        <v>699</v>
      </c>
      <c r="E1138" s="11" t="s">
        <v>25</v>
      </c>
      <c r="F1138" s="11" t="s">
        <v>107</v>
      </c>
      <c r="G1138" s="11" t="s">
        <v>27</v>
      </c>
      <c r="H1138" s="11" t="s">
        <v>700</v>
      </c>
      <c r="I1138" s="31">
        <v>54.28</v>
      </c>
      <c r="J1138" s="13"/>
      <c r="K1138" s="13">
        <f t="shared" si="53"/>
        <v>54.28</v>
      </c>
      <c r="L1138" s="11" t="s">
        <v>34</v>
      </c>
      <c r="M1138" s="14"/>
      <c r="N1138" s="11" t="s">
        <v>95</v>
      </c>
      <c r="O1138" s="10" t="str">
        <f t="shared" si="48"/>
        <v>04/2025</v>
      </c>
      <c r="P1138" s="10" t="str">
        <f t="shared" si="29"/>
        <v>04/2025</v>
      </c>
      <c r="Q1138" s="15" t="str">
        <f t="array" ref="Q1138">IFERROR(XLOOKUP(N1138,'Classificação'!A:A,'Classificação'!B:B),"")</f>
        <v>DESPESAS NÃO OPERACIONAIS</v>
      </c>
      <c r="R1138" s="15" t="str">
        <f t="array" ref="R1138">IFERROR(XLOOKUP(Q1138,'Classificação'!B:B,'Classificação'!C:C),"")</f>
        <v>RESULTADO NÃO OPERACIONAL (+/-)</v>
      </c>
      <c r="S1138" s="15">
        <f t="shared" si="5"/>
        <v>21</v>
      </c>
      <c r="T1138" s="15">
        <f t="shared" si="6"/>
        <v>4</v>
      </c>
      <c r="U1138" s="15">
        <f t="shared" si="7"/>
        <v>2025</v>
      </c>
      <c r="V1138" s="15">
        <f t="shared" si="8"/>
        <v>21</v>
      </c>
      <c r="W1138" s="15">
        <f t="shared" si="9"/>
        <v>4</v>
      </c>
      <c r="X1138" s="15">
        <f t="shared" si="10"/>
        <v>2025</v>
      </c>
    </row>
    <row r="1139">
      <c r="A1139" s="9">
        <v>45768.0</v>
      </c>
      <c r="B1139" s="9">
        <v>45754.0</v>
      </c>
      <c r="C1139" s="9">
        <f t="shared" si="22"/>
        <v>45768</v>
      </c>
      <c r="D1139" s="11" t="s">
        <v>699</v>
      </c>
      <c r="E1139" s="11" t="s">
        <v>25</v>
      </c>
      <c r="F1139" s="11" t="s">
        <v>107</v>
      </c>
      <c r="G1139" s="11" t="s">
        <v>27</v>
      </c>
      <c r="H1139" s="11" t="s">
        <v>700</v>
      </c>
      <c r="I1139" s="31">
        <v>32.0</v>
      </c>
      <c r="J1139" s="13"/>
      <c r="K1139" s="13">
        <f t="shared" si="53"/>
        <v>32</v>
      </c>
      <c r="L1139" s="11" t="s">
        <v>34</v>
      </c>
      <c r="M1139" s="14"/>
      <c r="N1139" s="11" t="s">
        <v>95</v>
      </c>
      <c r="O1139" s="10" t="str">
        <f t="shared" si="48"/>
        <v>04/2025</v>
      </c>
      <c r="P1139" s="10" t="str">
        <f t="shared" si="29"/>
        <v>04/2025</v>
      </c>
      <c r="Q1139" s="15" t="str">
        <f t="array" ref="Q1139">IFERROR(XLOOKUP(N1139,'Classificação'!A:A,'Classificação'!B:B),"")</f>
        <v>DESPESAS NÃO OPERACIONAIS</v>
      </c>
      <c r="R1139" s="15" t="str">
        <f t="array" ref="R1139">IFERROR(XLOOKUP(Q1139,'Classificação'!B:B,'Classificação'!C:C),"")</f>
        <v>RESULTADO NÃO OPERACIONAL (+/-)</v>
      </c>
      <c r="S1139" s="15">
        <f t="shared" si="5"/>
        <v>21</v>
      </c>
      <c r="T1139" s="15">
        <f t="shared" si="6"/>
        <v>4</v>
      </c>
      <c r="U1139" s="15">
        <f t="shared" si="7"/>
        <v>2025</v>
      </c>
      <c r="V1139" s="15">
        <f t="shared" si="8"/>
        <v>21</v>
      </c>
      <c r="W1139" s="15">
        <f t="shared" si="9"/>
        <v>4</v>
      </c>
      <c r="X1139" s="15">
        <f t="shared" si="10"/>
        <v>2025</v>
      </c>
    </row>
    <row r="1140">
      <c r="A1140" s="9">
        <v>45768.0</v>
      </c>
      <c r="B1140" s="9">
        <v>45754.0</v>
      </c>
      <c r="C1140" s="9">
        <f t="shared" si="22"/>
        <v>45768</v>
      </c>
      <c r="D1140" s="11" t="s">
        <v>699</v>
      </c>
      <c r="E1140" s="11" t="s">
        <v>25</v>
      </c>
      <c r="F1140" s="11" t="s">
        <v>107</v>
      </c>
      <c r="G1140" s="11" t="s">
        <v>27</v>
      </c>
      <c r="H1140" s="11" t="s">
        <v>700</v>
      </c>
      <c r="I1140" s="31">
        <v>57.0</v>
      </c>
      <c r="J1140" s="13"/>
      <c r="K1140" s="13">
        <f t="shared" si="53"/>
        <v>57</v>
      </c>
      <c r="L1140" s="11" t="s">
        <v>53</v>
      </c>
      <c r="M1140" s="17">
        <v>45931.0</v>
      </c>
      <c r="N1140" s="11" t="s">
        <v>95</v>
      </c>
      <c r="O1140" s="10" t="str">
        <f t="shared" si="48"/>
        <v>04/2025</v>
      </c>
      <c r="P1140" s="10" t="str">
        <f t="shared" si="29"/>
        <v>04/2025</v>
      </c>
      <c r="Q1140" s="15" t="str">
        <f t="array" ref="Q1140">IFERROR(XLOOKUP(N1140,'Classificação'!A:A,'Classificação'!B:B),"")</f>
        <v>DESPESAS NÃO OPERACIONAIS</v>
      </c>
      <c r="R1140" s="15" t="str">
        <f t="array" ref="R1140">IFERROR(XLOOKUP(Q1140,'Classificação'!B:B,'Classificação'!C:C),"")</f>
        <v>RESULTADO NÃO OPERACIONAL (+/-)</v>
      </c>
      <c r="S1140" s="15">
        <f t="shared" si="5"/>
        <v>21</v>
      </c>
      <c r="T1140" s="15">
        <f t="shared" si="6"/>
        <v>4</v>
      </c>
      <c r="U1140" s="15">
        <f t="shared" si="7"/>
        <v>2025</v>
      </c>
      <c r="V1140" s="15">
        <f t="shared" si="8"/>
        <v>21</v>
      </c>
      <c r="W1140" s="15">
        <f t="shared" si="9"/>
        <v>4</v>
      </c>
      <c r="X1140" s="15">
        <f t="shared" si="10"/>
        <v>2025</v>
      </c>
    </row>
    <row r="1141">
      <c r="A1141" s="9">
        <v>45768.0</v>
      </c>
      <c r="B1141" s="9">
        <v>45754.0</v>
      </c>
      <c r="C1141" s="9">
        <f t="shared" si="22"/>
        <v>45768</v>
      </c>
      <c r="D1141" s="11" t="s">
        <v>699</v>
      </c>
      <c r="E1141" s="11" t="s">
        <v>25</v>
      </c>
      <c r="F1141" s="11" t="s">
        <v>107</v>
      </c>
      <c r="G1141" s="11" t="s">
        <v>27</v>
      </c>
      <c r="H1141" s="11" t="s">
        <v>700</v>
      </c>
      <c r="I1141" s="31">
        <v>38.09</v>
      </c>
      <c r="J1141" s="13"/>
      <c r="K1141" s="13">
        <f t="shared" si="53"/>
        <v>38.09</v>
      </c>
      <c r="L1141" s="11" t="s">
        <v>34</v>
      </c>
      <c r="M1141" s="14"/>
      <c r="N1141" s="11" t="s">
        <v>95</v>
      </c>
      <c r="O1141" s="10" t="str">
        <f t="shared" si="48"/>
        <v>04/2025</v>
      </c>
      <c r="P1141" s="10" t="str">
        <f t="shared" si="29"/>
        <v>04/2025</v>
      </c>
      <c r="Q1141" s="15" t="str">
        <f t="array" ref="Q1141">IFERROR(XLOOKUP(N1141,'Classificação'!A:A,'Classificação'!B:B),"")</f>
        <v>DESPESAS NÃO OPERACIONAIS</v>
      </c>
      <c r="R1141" s="15" t="str">
        <f t="array" ref="R1141">IFERROR(XLOOKUP(Q1141,'Classificação'!B:B,'Classificação'!C:C),"")</f>
        <v>RESULTADO NÃO OPERACIONAL (+/-)</v>
      </c>
      <c r="S1141" s="15">
        <f t="shared" si="5"/>
        <v>21</v>
      </c>
      <c r="T1141" s="15">
        <f t="shared" si="6"/>
        <v>4</v>
      </c>
      <c r="U1141" s="15">
        <f t="shared" si="7"/>
        <v>2025</v>
      </c>
      <c r="V1141" s="15">
        <f t="shared" si="8"/>
        <v>21</v>
      </c>
      <c r="W1141" s="15">
        <f t="shared" si="9"/>
        <v>4</v>
      </c>
      <c r="X1141" s="15">
        <f t="shared" si="10"/>
        <v>2025</v>
      </c>
    </row>
    <row r="1142">
      <c r="A1142" s="9">
        <v>45768.0</v>
      </c>
      <c r="B1142" s="9">
        <v>45754.0</v>
      </c>
      <c r="C1142" s="9">
        <f t="shared" si="22"/>
        <v>45768</v>
      </c>
      <c r="D1142" s="11" t="s">
        <v>699</v>
      </c>
      <c r="E1142" s="11" t="s">
        <v>25</v>
      </c>
      <c r="F1142" s="11" t="s">
        <v>107</v>
      </c>
      <c r="G1142" s="11" t="s">
        <v>27</v>
      </c>
      <c r="H1142" s="11" t="s">
        <v>700</v>
      </c>
      <c r="I1142" s="31">
        <v>60.0</v>
      </c>
      <c r="J1142" s="13"/>
      <c r="K1142" s="13">
        <f t="shared" si="53"/>
        <v>60</v>
      </c>
      <c r="L1142" s="11" t="s">
        <v>34</v>
      </c>
      <c r="M1142" s="14"/>
      <c r="N1142" s="11" t="s">
        <v>95</v>
      </c>
      <c r="O1142" s="10" t="str">
        <f t="shared" si="48"/>
        <v>04/2025</v>
      </c>
      <c r="P1142" s="10" t="str">
        <f t="shared" si="29"/>
        <v>04/2025</v>
      </c>
      <c r="Q1142" s="15" t="str">
        <f t="array" ref="Q1142">IFERROR(XLOOKUP(N1142,'Classificação'!A:A,'Classificação'!B:B),"")</f>
        <v>DESPESAS NÃO OPERACIONAIS</v>
      </c>
      <c r="R1142" s="15" t="str">
        <f t="array" ref="R1142">IFERROR(XLOOKUP(Q1142,'Classificação'!B:B,'Classificação'!C:C),"")</f>
        <v>RESULTADO NÃO OPERACIONAL (+/-)</v>
      </c>
      <c r="S1142" s="15">
        <f t="shared" si="5"/>
        <v>21</v>
      </c>
      <c r="T1142" s="15">
        <f t="shared" si="6"/>
        <v>4</v>
      </c>
      <c r="U1142" s="15">
        <f t="shared" si="7"/>
        <v>2025</v>
      </c>
      <c r="V1142" s="15">
        <f t="shared" si="8"/>
        <v>21</v>
      </c>
      <c r="W1142" s="15">
        <f t="shared" si="9"/>
        <v>4</v>
      </c>
      <c r="X1142" s="15">
        <f t="shared" si="10"/>
        <v>2025</v>
      </c>
    </row>
    <row r="1143">
      <c r="A1143" s="9">
        <v>45768.0</v>
      </c>
      <c r="B1143" s="9">
        <v>45754.0</v>
      </c>
      <c r="C1143" s="9">
        <f t="shared" si="22"/>
        <v>45768</v>
      </c>
      <c r="D1143" s="11" t="s">
        <v>699</v>
      </c>
      <c r="E1143" s="11" t="s">
        <v>25</v>
      </c>
      <c r="F1143" s="11" t="s">
        <v>107</v>
      </c>
      <c r="G1143" s="11" t="s">
        <v>27</v>
      </c>
      <c r="H1143" s="11" t="s">
        <v>700</v>
      </c>
      <c r="I1143" s="31">
        <v>85.29</v>
      </c>
      <c r="J1143" s="13"/>
      <c r="K1143" s="13">
        <f t="shared" si="53"/>
        <v>85.29</v>
      </c>
      <c r="L1143" s="11" t="s">
        <v>53</v>
      </c>
      <c r="M1143" s="17">
        <v>45689.0</v>
      </c>
      <c r="N1143" s="11" t="s">
        <v>95</v>
      </c>
      <c r="O1143" s="10" t="str">
        <f t="shared" si="48"/>
        <v>04/2025</v>
      </c>
      <c r="P1143" s="10" t="str">
        <f t="shared" si="29"/>
        <v>04/2025</v>
      </c>
      <c r="Q1143" s="15" t="str">
        <f t="array" ref="Q1143">IFERROR(XLOOKUP(N1143,'Classificação'!A:A,'Classificação'!B:B),"")</f>
        <v>DESPESAS NÃO OPERACIONAIS</v>
      </c>
      <c r="R1143" s="15" t="str">
        <f t="array" ref="R1143">IFERROR(XLOOKUP(Q1143,'Classificação'!B:B,'Classificação'!C:C),"")</f>
        <v>RESULTADO NÃO OPERACIONAL (+/-)</v>
      </c>
      <c r="S1143" s="15">
        <f t="shared" si="5"/>
        <v>21</v>
      </c>
      <c r="T1143" s="15">
        <f t="shared" si="6"/>
        <v>4</v>
      </c>
      <c r="U1143" s="15">
        <f t="shared" si="7"/>
        <v>2025</v>
      </c>
      <c r="V1143" s="15">
        <f t="shared" si="8"/>
        <v>21</v>
      </c>
      <c r="W1143" s="15">
        <f t="shared" si="9"/>
        <v>4</v>
      </c>
      <c r="X1143" s="15">
        <f t="shared" si="10"/>
        <v>2025</v>
      </c>
    </row>
    <row r="1144">
      <c r="A1144" s="9">
        <v>45768.0</v>
      </c>
      <c r="B1144" s="9">
        <v>45755.0</v>
      </c>
      <c r="C1144" s="9">
        <f t="shared" si="22"/>
        <v>45768</v>
      </c>
      <c r="D1144" s="11" t="s">
        <v>179</v>
      </c>
      <c r="E1144" s="11" t="s">
        <v>25</v>
      </c>
      <c r="F1144" s="11" t="s">
        <v>107</v>
      </c>
      <c r="G1144" s="11" t="s">
        <v>27</v>
      </c>
      <c r="H1144" s="11" t="s">
        <v>312</v>
      </c>
      <c r="I1144" s="31">
        <v>150.0</v>
      </c>
      <c r="J1144" s="13"/>
      <c r="K1144" s="13">
        <f t="shared" si="53"/>
        <v>150</v>
      </c>
      <c r="L1144" s="11" t="s">
        <v>34</v>
      </c>
      <c r="M1144" s="14"/>
      <c r="N1144" s="11" t="s">
        <v>181</v>
      </c>
      <c r="O1144" s="10" t="str">
        <f t="shared" si="48"/>
        <v>04/2025</v>
      </c>
      <c r="P1144" s="10" t="str">
        <f t="shared" si="29"/>
        <v>04/2025</v>
      </c>
      <c r="Q1144" s="15" t="str">
        <f t="array" ref="Q1144">IFERROR(XLOOKUP(N1144,'Classificação'!A:A,'Classificação'!B:B),"")</f>
        <v>DESPESAS COM VEICULOS</v>
      </c>
      <c r="R1144" s="15" t="str">
        <f t="array" ref="R1144">IFERROR(XLOOKUP(Q1144,'Classificação'!B:B,'Classificação'!C:C),"")</f>
        <v>DESPESAS FIXAS (-)</v>
      </c>
      <c r="S1144" s="15">
        <f t="shared" si="5"/>
        <v>21</v>
      </c>
      <c r="T1144" s="15">
        <f t="shared" si="6"/>
        <v>4</v>
      </c>
      <c r="U1144" s="15">
        <f t="shared" si="7"/>
        <v>2025</v>
      </c>
      <c r="V1144" s="15">
        <f t="shared" si="8"/>
        <v>21</v>
      </c>
      <c r="W1144" s="15">
        <f t="shared" si="9"/>
        <v>4</v>
      </c>
      <c r="X1144" s="15">
        <f t="shared" si="10"/>
        <v>2025</v>
      </c>
    </row>
    <row r="1145">
      <c r="A1145" s="9">
        <v>45768.0</v>
      </c>
      <c r="B1145" s="26">
        <v>45754.0</v>
      </c>
      <c r="C1145" s="27">
        <f t="shared" si="22"/>
        <v>45768</v>
      </c>
      <c r="D1145" s="28" t="s">
        <v>182</v>
      </c>
      <c r="E1145" s="11" t="s">
        <v>25</v>
      </c>
      <c r="F1145" s="28" t="s">
        <v>107</v>
      </c>
      <c r="G1145" s="28" t="s">
        <v>27</v>
      </c>
      <c r="H1145" s="28" t="s">
        <v>698</v>
      </c>
      <c r="I1145" s="33">
        <v>10.41</v>
      </c>
      <c r="J1145" s="34"/>
      <c r="K1145" s="13">
        <f t="shared" si="53"/>
        <v>10.41</v>
      </c>
      <c r="L1145" s="28" t="s">
        <v>34</v>
      </c>
      <c r="M1145" s="28"/>
      <c r="N1145" s="28" t="s">
        <v>184</v>
      </c>
      <c r="O1145" s="10" t="str">
        <f t="shared" si="48"/>
        <v>04/2025</v>
      </c>
      <c r="P1145" s="10" t="str">
        <f t="shared" si="29"/>
        <v>04/2025</v>
      </c>
      <c r="Q1145" s="15" t="str">
        <f t="array" ref="Q1145">IFERROR(XLOOKUP(N1145,'Classificação'!A:A,'Classificação'!B:B),"")</f>
        <v>DESPESAS ADMINISTRATIVAS</v>
      </c>
      <c r="R1145" s="15" t="str">
        <f t="array" ref="R1145">IFERROR(XLOOKUP(Q1145,'Classificação'!B:B,'Classificação'!C:C),"")</f>
        <v>DESPESAS FIXAS (-)</v>
      </c>
      <c r="S1145" s="15">
        <f t="shared" si="5"/>
        <v>21</v>
      </c>
      <c r="T1145" s="15">
        <f t="shared" si="6"/>
        <v>4</v>
      </c>
      <c r="U1145" s="15">
        <f t="shared" si="7"/>
        <v>2025</v>
      </c>
      <c r="V1145" s="15">
        <f t="shared" si="8"/>
        <v>21</v>
      </c>
      <c r="W1145" s="15">
        <f t="shared" si="9"/>
        <v>4</v>
      </c>
      <c r="X1145" s="15">
        <f t="shared" si="10"/>
        <v>2025</v>
      </c>
    </row>
    <row r="1146">
      <c r="A1146" s="9">
        <v>45768.0</v>
      </c>
      <c r="B1146" s="10"/>
      <c r="C1146" s="9">
        <f t="shared" si="22"/>
        <v>45768</v>
      </c>
      <c r="D1146" s="11" t="s">
        <v>171</v>
      </c>
      <c r="E1146" s="11" t="s">
        <v>25</v>
      </c>
      <c r="F1146" s="11" t="s">
        <v>40</v>
      </c>
      <c r="G1146" s="11" t="s">
        <v>37</v>
      </c>
      <c r="H1146" s="11" t="s">
        <v>701</v>
      </c>
      <c r="I1146" s="12">
        <v>107.64</v>
      </c>
      <c r="J1146" s="13"/>
      <c r="K1146" s="13">
        <f t="shared" si="53"/>
        <v>107.64</v>
      </c>
      <c r="L1146" s="11" t="s">
        <v>29</v>
      </c>
      <c r="M1146" s="14"/>
      <c r="N1146" s="11" t="s">
        <v>172</v>
      </c>
      <c r="O1146" s="10" t="str">
        <f t="shared" si="48"/>
        <v>04/2025</v>
      </c>
      <c r="P1146" s="10" t="str">
        <f t="shared" si="29"/>
        <v>04/2025</v>
      </c>
      <c r="Q1146" s="15" t="str">
        <f t="array" ref="Q1146">IFERROR(XLOOKUP(N1146,'Classificação'!A:A,'Classificação'!B:B),"")</f>
        <v>DESPESAS COM OCUPAÇÃO</v>
      </c>
      <c r="R1146" s="15" t="str">
        <f t="array" ref="R1146">IFERROR(XLOOKUP(Q1146,'Classificação'!B:B,'Classificação'!C:C),"")</f>
        <v>DESPESAS FIXAS (-)</v>
      </c>
      <c r="S1146" s="15">
        <f t="shared" si="5"/>
        <v>21</v>
      </c>
      <c r="T1146" s="15">
        <f t="shared" si="6"/>
        <v>4</v>
      </c>
      <c r="U1146" s="15">
        <f t="shared" si="7"/>
        <v>2025</v>
      </c>
      <c r="V1146" s="15">
        <f t="shared" si="8"/>
        <v>21</v>
      </c>
      <c r="W1146" s="15">
        <f t="shared" si="9"/>
        <v>4</v>
      </c>
      <c r="X1146" s="15">
        <f t="shared" si="10"/>
        <v>2025</v>
      </c>
    </row>
    <row r="1147">
      <c r="A1147" s="9">
        <v>45768.0</v>
      </c>
      <c r="B1147" s="10"/>
      <c r="C1147" s="9">
        <f t="shared" si="22"/>
        <v>45768</v>
      </c>
      <c r="D1147" s="11" t="s">
        <v>104</v>
      </c>
      <c r="E1147" s="11" t="s">
        <v>25</v>
      </c>
      <c r="F1147" s="11" t="s">
        <v>40</v>
      </c>
      <c r="G1147" s="11" t="s">
        <v>37</v>
      </c>
      <c r="H1147" s="11" t="s">
        <v>483</v>
      </c>
      <c r="I1147" s="12">
        <v>450.0</v>
      </c>
      <c r="J1147" s="13"/>
      <c r="K1147" s="13">
        <f t="shared" si="53"/>
        <v>450</v>
      </c>
      <c r="L1147" s="11" t="s">
        <v>29</v>
      </c>
      <c r="M1147" s="14"/>
      <c r="N1147" s="11" t="s">
        <v>105</v>
      </c>
      <c r="O1147" s="10" t="str">
        <f t="shared" si="48"/>
        <v>04/2025</v>
      </c>
      <c r="P1147" s="10" t="str">
        <f t="shared" si="29"/>
        <v>04/2025</v>
      </c>
      <c r="Q1147" s="15" t="str">
        <f t="array" ref="Q1147">IFERROR(XLOOKUP(N1147,'Classificação'!A:A,'Classificação'!B:B),"")</f>
        <v>DESPESAS ADMINISTRATIVAS</v>
      </c>
      <c r="R1147" s="15" t="str">
        <f t="array" ref="R1147">IFERROR(XLOOKUP(Q1147,'Classificação'!B:B,'Classificação'!C:C),"")</f>
        <v>DESPESAS FIXAS (-)</v>
      </c>
      <c r="S1147" s="15">
        <f t="shared" si="5"/>
        <v>21</v>
      </c>
      <c r="T1147" s="15">
        <f t="shared" si="6"/>
        <v>4</v>
      </c>
      <c r="U1147" s="15">
        <f t="shared" si="7"/>
        <v>2025</v>
      </c>
      <c r="V1147" s="15">
        <f t="shared" si="8"/>
        <v>21</v>
      </c>
      <c r="W1147" s="15">
        <f t="shared" si="9"/>
        <v>4</v>
      </c>
      <c r="X1147" s="15">
        <f t="shared" si="10"/>
        <v>2025</v>
      </c>
    </row>
    <row r="1148">
      <c r="A1148" s="9">
        <v>45768.0</v>
      </c>
      <c r="B1148" s="10"/>
      <c r="C1148" s="9">
        <f t="shared" si="22"/>
        <v>45768</v>
      </c>
      <c r="D1148" s="11" t="s">
        <v>637</v>
      </c>
      <c r="E1148" s="11" t="s">
        <v>25</v>
      </c>
      <c r="F1148" s="11" t="s">
        <v>40</v>
      </c>
      <c r="G1148" s="11" t="s">
        <v>37</v>
      </c>
      <c r="H1148" s="11" t="s">
        <v>702</v>
      </c>
      <c r="I1148" s="12">
        <v>170.0</v>
      </c>
      <c r="J1148" s="13"/>
      <c r="K1148" s="13">
        <f t="shared" si="53"/>
        <v>170</v>
      </c>
      <c r="L1148" s="11" t="s">
        <v>29</v>
      </c>
      <c r="M1148" s="14"/>
      <c r="N1148" s="11" t="s">
        <v>201</v>
      </c>
      <c r="O1148" s="10" t="str">
        <f t="shared" si="48"/>
        <v>04/2025</v>
      </c>
      <c r="P1148" s="10" t="str">
        <f t="shared" si="29"/>
        <v>04/2025</v>
      </c>
      <c r="Q1148" s="15" t="str">
        <f t="array" ref="Q1148">IFERROR(XLOOKUP(N1148,'Classificação'!A:A,'Classificação'!B:B),"")</f>
        <v>DESPESAS COM OCUPAÇÃO</v>
      </c>
      <c r="R1148" s="15" t="str">
        <f t="array" ref="R1148">IFERROR(XLOOKUP(Q1148,'Classificação'!B:B,'Classificação'!C:C),"")</f>
        <v>DESPESAS FIXAS (-)</v>
      </c>
      <c r="S1148" s="15">
        <f t="shared" si="5"/>
        <v>21</v>
      </c>
      <c r="T1148" s="15">
        <f t="shared" si="6"/>
        <v>4</v>
      </c>
      <c r="U1148" s="15">
        <f t="shared" si="7"/>
        <v>2025</v>
      </c>
      <c r="V1148" s="15">
        <f t="shared" si="8"/>
        <v>21</v>
      </c>
      <c r="W1148" s="15">
        <f t="shared" si="9"/>
        <v>4</v>
      </c>
      <c r="X1148" s="15">
        <f t="shared" si="10"/>
        <v>2025</v>
      </c>
    </row>
    <row r="1149">
      <c r="A1149" s="9">
        <v>45769.0</v>
      </c>
      <c r="B1149" s="10"/>
      <c r="C1149" s="9">
        <f t="shared" si="22"/>
        <v>45769</v>
      </c>
      <c r="D1149" s="11" t="s">
        <v>44</v>
      </c>
      <c r="E1149" s="11" t="s">
        <v>25</v>
      </c>
      <c r="F1149" s="11" t="s">
        <v>45</v>
      </c>
      <c r="G1149" s="11" t="s">
        <v>27</v>
      </c>
      <c r="H1149" s="11" t="s">
        <v>703</v>
      </c>
      <c r="I1149" s="12">
        <v>3406.79</v>
      </c>
      <c r="J1149" s="13"/>
      <c r="K1149" s="13">
        <f t="shared" si="53"/>
        <v>3406.79</v>
      </c>
      <c r="L1149" s="11" t="s">
        <v>53</v>
      </c>
      <c r="M1149" s="16" t="s">
        <v>704</v>
      </c>
      <c r="N1149" s="11" t="s">
        <v>73</v>
      </c>
      <c r="O1149" s="10" t="str">
        <f t="shared" si="48"/>
        <v>04/2025</v>
      </c>
      <c r="P1149" s="10" t="str">
        <f t="shared" si="29"/>
        <v>04/2025</v>
      </c>
      <c r="Q1149" s="15" t="str">
        <f t="array" ref="Q1149">IFERROR(XLOOKUP(N1149,'Classificação'!A:A,'Classificação'!B:B),"")</f>
        <v>DESPESAS NÃO OPERACIONAIS</v>
      </c>
      <c r="R1149" s="15" t="str">
        <f t="array" ref="R1149">IFERROR(XLOOKUP(Q1149,'Classificação'!B:B,'Classificação'!C:C),"")</f>
        <v>RESULTADO NÃO OPERACIONAL (+/-)</v>
      </c>
      <c r="S1149" s="15">
        <f t="shared" si="5"/>
        <v>22</v>
      </c>
      <c r="T1149" s="15">
        <f t="shared" si="6"/>
        <v>4</v>
      </c>
      <c r="U1149" s="15">
        <f t="shared" si="7"/>
        <v>2025</v>
      </c>
      <c r="V1149" s="15">
        <f t="shared" si="8"/>
        <v>22</v>
      </c>
      <c r="W1149" s="15">
        <f t="shared" si="9"/>
        <v>4</v>
      </c>
      <c r="X1149" s="15">
        <f t="shared" si="10"/>
        <v>2025</v>
      </c>
    </row>
    <row r="1150">
      <c r="A1150" s="9">
        <v>45769.0</v>
      </c>
      <c r="B1150" s="10"/>
      <c r="C1150" s="9">
        <f t="shared" si="22"/>
        <v>45769</v>
      </c>
      <c r="D1150" s="11" t="s">
        <v>100</v>
      </c>
      <c r="E1150" s="11" t="s">
        <v>25</v>
      </c>
      <c r="F1150" s="11" t="s">
        <v>40</v>
      </c>
      <c r="G1150" s="11" t="s">
        <v>27</v>
      </c>
      <c r="H1150" s="11" t="s">
        <v>705</v>
      </c>
      <c r="I1150" s="12">
        <v>15210.9</v>
      </c>
      <c r="J1150" s="13"/>
      <c r="K1150" s="13">
        <f t="shared" si="53"/>
        <v>15210.9</v>
      </c>
      <c r="L1150" s="11" t="s">
        <v>29</v>
      </c>
      <c r="M1150" s="14"/>
      <c r="N1150" s="11" t="s">
        <v>101</v>
      </c>
      <c r="O1150" s="10" t="str">
        <f t="shared" si="48"/>
        <v>04/2025</v>
      </c>
      <c r="P1150" s="10" t="str">
        <f t="shared" si="29"/>
        <v>04/2025</v>
      </c>
      <c r="Q1150" s="15" t="str">
        <f t="array" ref="Q1150">IFERROR(XLOOKUP(N1150,'Classificação'!A:A,'Classificação'!B:B),"")</f>
        <v>IMPOSTO DE RENDA - DAS</v>
      </c>
      <c r="R1150" s="15" t="str">
        <f t="array" ref="R1150">IFERROR(XLOOKUP(Q1150,'Classificação'!B:B,'Classificação'!C:C),"")</f>
        <v>DEDUÇÕES DA RECEITA BRUTA (-)</v>
      </c>
      <c r="S1150" s="15">
        <f t="shared" si="5"/>
        <v>22</v>
      </c>
      <c r="T1150" s="15">
        <f t="shared" si="6"/>
        <v>4</v>
      </c>
      <c r="U1150" s="15">
        <f t="shared" si="7"/>
        <v>2025</v>
      </c>
      <c r="V1150" s="15">
        <f t="shared" si="8"/>
        <v>22</v>
      </c>
      <c r="W1150" s="15">
        <f t="shared" si="9"/>
        <v>4</v>
      </c>
      <c r="X1150" s="15">
        <f t="shared" si="10"/>
        <v>2025</v>
      </c>
    </row>
    <row r="1151">
      <c r="A1151" s="9">
        <v>45769.0</v>
      </c>
      <c r="B1151" s="10"/>
      <c r="C1151" s="9">
        <f t="shared" si="22"/>
        <v>45769</v>
      </c>
      <c r="D1151" s="11" t="s">
        <v>100</v>
      </c>
      <c r="E1151" s="11" t="s">
        <v>25</v>
      </c>
      <c r="F1151" s="11" t="s">
        <v>40</v>
      </c>
      <c r="G1151" s="11" t="s">
        <v>37</v>
      </c>
      <c r="H1151" s="11" t="s">
        <v>705</v>
      </c>
      <c r="I1151" s="12">
        <v>3385.0</v>
      </c>
      <c r="J1151" s="13"/>
      <c r="K1151" s="13">
        <f t="shared" si="53"/>
        <v>3385</v>
      </c>
      <c r="L1151" s="11" t="s">
        <v>29</v>
      </c>
      <c r="M1151" s="14"/>
      <c r="N1151" s="11" t="s">
        <v>101</v>
      </c>
      <c r="O1151" s="10" t="str">
        <f t="shared" si="48"/>
        <v>04/2025</v>
      </c>
      <c r="P1151" s="10" t="str">
        <f t="shared" si="29"/>
        <v>04/2025</v>
      </c>
      <c r="Q1151" s="15" t="str">
        <f t="array" ref="Q1151">IFERROR(XLOOKUP(N1151,'Classificação'!A:A,'Classificação'!B:B),"")</f>
        <v>IMPOSTO DE RENDA - DAS</v>
      </c>
      <c r="R1151" s="15" t="str">
        <f t="array" ref="R1151">IFERROR(XLOOKUP(Q1151,'Classificação'!B:B,'Classificação'!C:C),"")</f>
        <v>DEDUÇÕES DA RECEITA BRUTA (-)</v>
      </c>
      <c r="S1151" s="15">
        <f t="shared" si="5"/>
        <v>22</v>
      </c>
      <c r="T1151" s="15">
        <f t="shared" si="6"/>
        <v>4</v>
      </c>
      <c r="U1151" s="15">
        <f t="shared" si="7"/>
        <v>2025</v>
      </c>
      <c r="V1151" s="15">
        <f t="shared" si="8"/>
        <v>22</v>
      </c>
      <c r="W1151" s="15">
        <f t="shared" si="9"/>
        <v>4</v>
      </c>
      <c r="X1151" s="15">
        <f t="shared" si="10"/>
        <v>2025</v>
      </c>
    </row>
    <row r="1152">
      <c r="A1152" s="9">
        <v>45769.0</v>
      </c>
      <c r="B1152" s="10"/>
      <c r="C1152" s="9">
        <f t="shared" si="22"/>
        <v>45769</v>
      </c>
      <c r="D1152" s="28" t="s">
        <v>76</v>
      </c>
      <c r="E1152" s="29" t="s">
        <v>25</v>
      </c>
      <c r="F1152" s="28" t="s">
        <v>26</v>
      </c>
      <c r="G1152" s="29" t="s">
        <v>37</v>
      </c>
      <c r="H1152" s="28" t="s">
        <v>84</v>
      </c>
      <c r="I1152" s="24">
        <v>1214.27</v>
      </c>
      <c r="J1152" s="13"/>
      <c r="K1152" s="13">
        <f t="shared" si="53"/>
        <v>1214.27</v>
      </c>
      <c r="L1152" s="28" t="s">
        <v>53</v>
      </c>
      <c r="M1152" s="16" t="s">
        <v>653</v>
      </c>
      <c r="N1152" s="28" t="s">
        <v>85</v>
      </c>
      <c r="O1152" s="10" t="str">
        <f t="shared" si="48"/>
        <v>04/2025</v>
      </c>
      <c r="P1152" s="10" t="str">
        <f t="shared" si="29"/>
        <v>04/2025</v>
      </c>
      <c r="Q1152" s="15" t="str">
        <f t="array" ref="Q1152">IFERROR(XLOOKUP(N1152,'Classificação'!A:A,'Classificação'!B:B),"")</f>
        <v>DESPESAS NÃO OPERACIONAIS</v>
      </c>
      <c r="R1152" s="15" t="str">
        <f t="array" ref="R1152">IFERROR(XLOOKUP(Q1152,'Classificação'!B:B,'Classificação'!C:C),"")</f>
        <v>RESULTADO NÃO OPERACIONAL (+/-)</v>
      </c>
      <c r="S1152" s="15">
        <f t="shared" si="5"/>
        <v>22</v>
      </c>
      <c r="T1152" s="15">
        <f t="shared" si="6"/>
        <v>4</v>
      </c>
      <c r="U1152" s="15">
        <f t="shared" si="7"/>
        <v>2025</v>
      </c>
      <c r="V1152" s="15">
        <f t="shared" si="8"/>
        <v>22</v>
      </c>
      <c r="W1152" s="15">
        <f t="shared" si="9"/>
        <v>4</v>
      </c>
      <c r="X1152" s="15">
        <f t="shared" si="10"/>
        <v>2025</v>
      </c>
    </row>
    <row r="1153">
      <c r="A1153" s="9">
        <v>45769.0</v>
      </c>
      <c r="B1153" s="10"/>
      <c r="C1153" s="9">
        <f t="shared" si="22"/>
        <v>45769</v>
      </c>
      <c r="D1153" s="11" t="s">
        <v>202</v>
      </c>
      <c r="E1153" s="29" t="s">
        <v>25</v>
      </c>
      <c r="F1153" s="11" t="s">
        <v>32</v>
      </c>
      <c r="G1153" s="11" t="s">
        <v>37</v>
      </c>
      <c r="H1153" s="11" t="s">
        <v>203</v>
      </c>
      <c r="I1153" s="12">
        <v>469.34</v>
      </c>
      <c r="J1153" s="13"/>
      <c r="K1153" s="13">
        <f t="shared" si="53"/>
        <v>469.34</v>
      </c>
      <c r="L1153" s="11" t="s">
        <v>53</v>
      </c>
      <c r="M1153" s="20">
        <v>45605.0</v>
      </c>
      <c r="N1153" s="11" t="s">
        <v>73</v>
      </c>
      <c r="O1153" s="10" t="str">
        <f t="shared" si="48"/>
        <v>04/2025</v>
      </c>
      <c r="P1153" s="10" t="str">
        <f t="shared" si="29"/>
        <v>04/2025</v>
      </c>
      <c r="Q1153" s="15" t="str">
        <f t="array" ref="Q1153">IFERROR(XLOOKUP(N1153,'Classificação'!A:A,'Classificação'!B:B),"")</f>
        <v>DESPESAS NÃO OPERACIONAIS</v>
      </c>
      <c r="R1153" s="15" t="str">
        <f t="array" ref="R1153">IFERROR(XLOOKUP(Q1153,'Classificação'!B:B,'Classificação'!C:C),"")</f>
        <v>RESULTADO NÃO OPERACIONAL (+/-)</v>
      </c>
      <c r="S1153" s="15">
        <f t="shared" si="5"/>
        <v>22</v>
      </c>
      <c r="T1153" s="15">
        <f t="shared" si="6"/>
        <v>4</v>
      </c>
      <c r="U1153" s="15">
        <f t="shared" si="7"/>
        <v>2025</v>
      </c>
      <c r="V1153" s="15">
        <f t="shared" si="8"/>
        <v>22</v>
      </c>
      <c r="W1153" s="15">
        <f t="shared" si="9"/>
        <v>4</v>
      </c>
      <c r="X1153" s="15">
        <f t="shared" si="10"/>
        <v>2025</v>
      </c>
    </row>
    <row r="1154">
      <c r="A1154" s="9">
        <v>45769.0</v>
      </c>
      <c r="B1154" s="10"/>
      <c r="C1154" s="9">
        <f t="shared" si="22"/>
        <v>45769</v>
      </c>
      <c r="D1154" s="11" t="s">
        <v>202</v>
      </c>
      <c r="E1154" s="29" t="s">
        <v>25</v>
      </c>
      <c r="F1154" s="11" t="s">
        <v>32</v>
      </c>
      <c r="G1154" s="11" t="s">
        <v>37</v>
      </c>
      <c r="H1154" s="11" t="s">
        <v>203</v>
      </c>
      <c r="I1154" s="12">
        <v>649.91</v>
      </c>
      <c r="J1154" s="13"/>
      <c r="K1154" s="13">
        <f t="shared" si="53"/>
        <v>649.91</v>
      </c>
      <c r="L1154" s="11" t="s">
        <v>53</v>
      </c>
      <c r="M1154" s="20">
        <v>45605.0</v>
      </c>
      <c r="N1154" s="11" t="s">
        <v>73</v>
      </c>
      <c r="O1154" s="10" t="str">
        <f t="shared" si="48"/>
        <v>04/2025</v>
      </c>
      <c r="P1154" s="10" t="str">
        <f t="shared" si="29"/>
        <v>04/2025</v>
      </c>
      <c r="Q1154" s="15" t="str">
        <f t="array" ref="Q1154">IFERROR(XLOOKUP(N1154,'Classificação'!A:A,'Classificação'!B:B),"")</f>
        <v>DESPESAS NÃO OPERACIONAIS</v>
      </c>
      <c r="R1154" s="15" t="str">
        <f t="array" ref="R1154">IFERROR(XLOOKUP(Q1154,'Classificação'!B:B,'Classificação'!C:C),"")</f>
        <v>RESULTADO NÃO OPERACIONAL (+/-)</v>
      </c>
      <c r="S1154" s="15">
        <f t="shared" si="5"/>
        <v>22</v>
      </c>
      <c r="T1154" s="15">
        <f t="shared" si="6"/>
        <v>4</v>
      </c>
      <c r="U1154" s="15">
        <f t="shared" si="7"/>
        <v>2025</v>
      </c>
      <c r="V1154" s="15">
        <f t="shared" si="8"/>
        <v>22</v>
      </c>
      <c r="W1154" s="15">
        <f t="shared" si="9"/>
        <v>4</v>
      </c>
      <c r="X1154" s="15">
        <f t="shared" si="10"/>
        <v>2025</v>
      </c>
    </row>
    <row r="1155">
      <c r="A1155" s="9">
        <v>45770.0</v>
      </c>
      <c r="B1155" s="10"/>
      <c r="C1155" s="9">
        <f t="shared" si="22"/>
        <v>45770</v>
      </c>
      <c r="D1155" s="11" t="s">
        <v>36</v>
      </c>
      <c r="E1155" s="11" t="s">
        <v>25</v>
      </c>
      <c r="F1155" s="11" t="s">
        <v>32</v>
      </c>
      <c r="G1155" s="11" t="s">
        <v>37</v>
      </c>
      <c r="I1155" s="12">
        <v>3125.0</v>
      </c>
      <c r="J1155" s="13"/>
      <c r="K1155" s="13">
        <f t="shared" si="53"/>
        <v>3125</v>
      </c>
      <c r="L1155" s="11" t="s">
        <v>29</v>
      </c>
      <c r="M1155" s="14"/>
      <c r="N1155" s="11" t="s">
        <v>38</v>
      </c>
      <c r="O1155" s="10" t="str">
        <f t="shared" si="48"/>
        <v>04/2025</v>
      </c>
      <c r="P1155" s="10" t="str">
        <f t="shared" si="29"/>
        <v>04/2025</v>
      </c>
      <c r="Q1155" s="15" t="str">
        <f t="array" ref="Q1155">IFERROR(XLOOKUP(N1155,'Classificação'!A:A,'Classificação'!B:B),"")</f>
        <v>DESPESAS COM PESSOAL</v>
      </c>
      <c r="R1155" s="15" t="str">
        <f t="array" ref="R1155">IFERROR(XLOOKUP(Q1155,'Classificação'!B:B,'Classificação'!C:C),"")</f>
        <v>DESPESAS FIXAS (-)</v>
      </c>
      <c r="S1155" s="15">
        <f t="shared" si="5"/>
        <v>23</v>
      </c>
      <c r="T1155" s="15">
        <f t="shared" si="6"/>
        <v>4</v>
      </c>
      <c r="U1155" s="15">
        <f t="shared" si="7"/>
        <v>2025</v>
      </c>
      <c r="V1155" s="15">
        <f t="shared" si="8"/>
        <v>23</v>
      </c>
      <c r="W1155" s="15">
        <f t="shared" si="9"/>
        <v>4</v>
      </c>
      <c r="X1155" s="15">
        <f t="shared" si="10"/>
        <v>2025</v>
      </c>
    </row>
    <row r="1156">
      <c r="A1156" s="9">
        <v>45770.0</v>
      </c>
      <c r="B1156" s="10"/>
      <c r="C1156" s="9">
        <f t="shared" si="22"/>
        <v>45770</v>
      </c>
      <c r="D1156" s="11" t="s">
        <v>43</v>
      </c>
      <c r="E1156" s="11" t="s">
        <v>25</v>
      </c>
      <c r="F1156" s="11" t="s">
        <v>32</v>
      </c>
      <c r="G1156" s="11" t="s">
        <v>37</v>
      </c>
      <c r="I1156" s="12">
        <v>3125.0</v>
      </c>
      <c r="J1156" s="13"/>
      <c r="K1156" s="13">
        <f t="shared" si="53"/>
        <v>3125</v>
      </c>
      <c r="L1156" s="11" t="s">
        <v>29</v>
      </c>
      <c r="M1156" s="14"/>
      <c r="N1156" s="11" t="s">
        <v>38</v>
      </c>
      <c r="O1156" s="10" t="str">
        <f t="shared" si="48"/>
        <v>04/2025</v>
      </c>
      <c r="P1156" s="10" t="str">
        <f t="shared" si="29"/>
        <v>04/2025</v>
      </c>
      <c r="Q1156" s="15" t="str">
        <f t="array" ref="Q1156">IFERROR(XLOOKUP(N1156,'Classificação'!A:A,'Classificação'!B:B),"")</f>
        <v>DESPESAS COM PESSOAL</v>
      </c>
      <c r="R1156" s="15" t="str">
        <f t="array" ref="R1156">IFERROR(XLOOKUP(Q1156,'Classificação'!B:B,'Classificação'!C:C),"")</f>
        <v>DESPESAS FIXAS (-)</v>
      </c>
      <c r="S1156" s="15">
        <f t="shared" si="5"/>
        <v>23</v>
      </c>
      <c r="T1156" s="15">
        <f t="shared" si="6"/>
        <v>4</v>
      </c>
      <c r="U1156" s="15">
        <f t="shared" si="7"/>
        <v>2025</v>
      </c>
      <c r="V1156" s="15">
        <f t="shared" si="8"/>
        <v>23</v>
      </c>
      <c r="W1156" s="15">
        <f t="shared" si="9"/>
        <v>4</v>
      </c>
      <c r="X1156" s="15">
        <f t="shared" si="10"/>
        <v>2025</v>
      </c>
    </row>
    <row r="1157">
      <c r="A1157" s="9">
        <v>45770.0</v>
      </c>
      <c r="B1157" s="10"/>
      <c r="C1157" s="9">
        <f t="shared" si="22"/>
        <v>45770</v>
      </c>
      <c r="D1157" s="11" t="s">
        <v>127</v>
      </c>
      <c r="E1157" s="11" t="s">
        <v>25</v>
      </c>
      <c r="F1157" s="11" t="s">
        <v>26</v>
      </c>
      <c r="G1157" s="11" t="s">
        <v>37</v>
      </c>
      <c r="H1157" s="11" t="s">
        <v>706</v>
      </c>
      <c r="I1157" s="12">
        <v>600.48</v>
      </c>
      <c r="J1157" s="13"/>
      <c r="K1157" s="13">
        <f t="shared" si="53"/>
        <v>600.48</v>
      </c>
      <c r="L1157" s="11" t="s">
        <v>29</v>
      </c>
      <c r="M1157" s="14"/>
      <c r="N1157" s="11" t="s">
        <v>58</v>
      </c>
      <c r="O1157" s="10" t="str">
        <f t="shared" si="48"/>
        <v>04/2025</v>
      </c>
      <c r="P1157" s="10" t="str">
        <f t="shared" si="29"/>
        <v>04/2025</v>
      </c>
      <c r="Q1157" s="15" t="str">
        <f t="array" ref="Q1157">IFERROR(XLOOKUP(N1157,'Classificação'!A:A,'Classificação'!B:B),"")</f>
        <v>DESPESAS ADMINISTRATIVAS</v>
      </c>
      <c r="R1157" s="15" t="str">
        <f t="array" ref="R1157">IFERROR(XLOOKUP(Q1157,'Classificação'!B:B,'Classificação'!C:C),"")</f>
        <v>DESPESAS FIXAS (-)</v>
      </c>
      <c r="S1157" s="15">
        <f t="shared" si="5"/>
        <v>23</v>
      </c>
      <c r="T1157" s="15">
        <f t="shared" si="6"/>
        <v>4</v>
      </c>
      <c r="U1157" s="15">
        <f t="shared" si="7"/>
        <v>2025</v>
      </c>
      <c r="V1157" s="15">
        <f t="shared" si="8"/>
        <v>23</v>
      </c>
      <c r="W1157" s="15">
        <f t="shared" si="9"/>
        <v>4</v>
      </c>
      <c r="X1157" s="15">
        <f t="shared" si="10"/>
        <v>2025</v>
      </c>
    </row>
    <row r="1158">
      <c r="A1158" s="26">
        <v>45770.0</v>
      </c>
      <c r="B1158" s="10"/>
      <c r="C1158" s="9">
        <f t="shared" si="22"/>
        <v>45770</v>
      </c>
      <c r="D1158" s="28" t="s">
        <v>177</v>
      </c>
      <c r="E1158" s="29" t="s">
        <v>25</v>
      </c>
      <c r="F1158" s="29" t="s">
        <v>40</v>
      </c>
      <c r="G1158" s="29" t="s">
        <v>37</v>
      </c>
      <c r="H1158" s="43" t="s">
        <v>582</v>
      </c>
      <c r="I1158" s="24">
        <v>223.69</v>
      </c>
      <c r="J1158" s="13"/>
      <c r="K1158" s="13">
        <f t="shared" si="53"/>
        <v>223.69</v>
      </c>
      <c r="L1158" s="28" t="s">
        <v>53</v>
      </c>
      <c r="M1158" s="17">
        <v>45448.0</v>
      </c>
      <c r="N1158" s="28" t="s">
        <v>178</v>
      </c>
      <c r="O1158" s="10" t="str">
        <f t="shared" si="48"/>
        <v>04/2025</v>
      </c>
      <c r="P1158" s="10" t="str">
        <f t="shared" si="29"/>
        <v>04/2025</v>
      </c>
      <c r="Q1158" s="15" t="str">
        <f t="array" ref="Q1158">IFERROR(XLOOKUP(N1158,'Classificação'!A:A,'Classificação'!B:B),"")</f>
        <v>DESPESAS COM OCUPAÇÃO</v>
      </c>
      <c r="R1158" s="15" t="str">
        <f t="array" ref="R1158">IFERROR(XLOOKUP(Q1158,'Classificação'!B:B,'Classificação'!C:C),"")</f>
        <v>DESPESAS FIXAS (-)</v>
      </c>
      <c r="S1158" s="15">
        <f t="shared" si="5"/>
        <v>23</v>
      </c>
      <c r="T1158" s="15">
        <f t="shared" si="6"/>
        <v>4</v>
      </c>
      <c r="U1158" s="15">
        <f t="shared" si="7"/>
        <v>2025</v>
      </c>
      <c r="V1158" s="15">
        <f t="shared" si="8"/>
        <v>23</v>
      </c>
      <c r="W1158" s="15">
        <f t="shared" si="9"/>
        <v>4</v>
      </c>
      <c r="X1158" s="15">
        <f t="shared" si="10"/>
        <v>2025</v>
      </c>
    </row>
    <row r="1159">
      <c r="A1159" s="27">
        <v>45770.0</v>
      </c>
      <c r="B1159" s="30"/>
      <c r="C1159" s="27">
        <f t="shared" si="22"/>
        <v>45770</v>
      </c>
      <c r="D1159" s="28" t="s">
        <v>36</v>
      </c>
      <c r="E1159" s="29" t="s">
        <v>25</v>
      </c>
      <c r="F1159" s="28" t="s">
        <v>32</v>
      </c>
      <c r="G1159" s="28" t="s">
        <v>27</v>
      </c>
      <c r="H1159" s="28"/>
      <c r="I1159" s="24">
        <v>3125.0</v>
      </c>
      <c r="J1159" s="34"/>
      <c r="K1159" s="37">
        <f t="shared" ref="K1159:K1160" si="54">IF(E1159="pago",(I1159-J1159),"")</f>
        <v>3125</v>
      </c>
      <c r="L1159" s="28" t="s">
        <v>29</v>
      </c>
      <c r="M1159" s="28"/>
      <c r="N1159" s="28" t="s">
        <v>38</v>
      </c>
      <c r="O1159" s="10" t="str">
        <f t="shared" si="48"/>
        <v>04/2025</v>
      </c>
      <c r="P1159" s="10" t="str">
        <f t="shared" si="29"/>
        <v>04/2025</v>
      </c>
      <c r="Q1159" s="15" t="str">
        <f t="array" ref="Q1159">IFERROR(XLOOKUP(N1159,'Classificação'!A:A,'Classificação'!B:B),"")</f>
        <v>DESPESAS COM PESSOAL</v>
      </c>
      <c r="R1159" s="15" t="str">
        <f t="array" ref="R1159">IFERROR(XLOOKUP(Q1159,'Classificação'!B:B,'Classificação'!C:C),"")</f>
        <v>DESPESAS FIXAS (-)</v>
      </c>
      <c r="S1159" s="15">
        <f t="shared" si="5"/>
        <v>23</v>
      </c>
      <c r="T1159" s="15">
        <f t="shared" si="6"/>
        <v>4</v>
      </c>
      <c r="U1159" s="15">
        <f t="shared" si="7"/>
        <v>2025</v>
      </c>
      <c r="V1159" s="15">
        <f t="shared" si="8"/>
        <v>23</v>
      </c>
      <c r="W1159" s="15">
        <f t="shared" si="9"/>
        <v>4</v>
      </c>
      <c r="X1159" s="15">
        <f t="shared" si="10"/>
        <v>2025</v>
      </c>
    </row>
    <row r="1160">
      <c r="A1160" s="27">
        <v>45770.0</v>
      </c>
      <c r="B1160" s="30"/>
      <c r="C1160" s="27">
        <f t="shared" si="22"/>
        <v>45770</v>
      </c>
      <c r="D1160" s="28" t="s">
        <v>43</v>
      </c>
      <c r="E1160" s="29" t="s">
        <v>25</v>
      </c>
      <c r="F1160" s="28" t="s">
        <v>32</v>
      </c>
      <c r="G1160" s="28" t="s">
        <v>27</v>
      </c>
      <c r="H1160" s="28"/>
      <c r="I1160" s="24">
        <v>3126.0</v>
      </c>
      <c r="J1160" s="34"/>
      <c r="K1160" s="37">
        <f t="shared" si="54"/>
        <v>3126</v>
      </c>
      <c r="L1160" s="28" t="s">
        <v>29</v>
      </c>
      <c r="M1160" s="28"/>
      <c r="N1160" s="28" t="s">
        <v>38</v>
      </c>
      <c r="O1160" s="10" t="str">
        <f t="shared" si="48"/>
        <v>04/2025</v>
      </c>
      <c r="P1160" s="10" t="str">
        <f t="shared" si="29"/>
        <v>04/2025</v>
      </c>
      <c r="Q1160" s="15" t="str">
        <f t="array" ref="Q1160">IFERROR(XLOOKUP(N1160,'Classificação'!A:A,'Classificação'!B:B),"")</f>
        <v>DESPESAS COM PESSOAL</v>
      </c>
      <c r="R1160" s="15" t="str">
        <f t="array" ref="R1160">IFERROR(XLOOKUP(Q1160,'Classificação'!B:B,'Classificação'!C:C),"")</f>
        <v>DESPESAS FIXAS (-)</v>
      </c>
      <c r="S1160" s="15">
        <f t="shared" si="5"/>
        <v>23</v>
      </c>
      <c r="T1160" s="15">
        <f t="shared" si="6"/>
        <v>4</v>
      </c>
      <c r="U1160" s="15">
        <f t="shared" si="7"/>
        <v>2025</v>
      </c>
      <c r="V1160" s="15">
        <f t="shared" si="8"/>
        <v>23</v>
      </c>
      <c r="W1160" s="15">
        <f t="shared" si="9"/>
        <v>4</v>
      </c>
      <c r="X1160" s="15">
        <f t="shared" si="10"/>
        <v>2025</v>
      </c>
    </row>
    <row r="1161">
      <c r="A1161" s="9">
        <v>45770.0</v>
      </c>
      <c r="B1161" s="10"/>
      <c r="C1161" s="9">
        <f t="shared" si="22"/>
        <v>45770</v>
      </c>
      <c r="D1161" s="11" t="s">
        <v>83</v>
      </c>
      <c r="E1161" s="11" t="s">
        <v>25</v>
      </c>
      <c r="F1161" s="11" t="s">
        <v>26</v>
      </c>
      <c r="G1161" s="11" t="s">
        <v>37</v>
      </c>
      <c r="H1161" s="11" t="s">
        <v>707</v>
      </c>
      <c r="I1161" s="12">
        <v>100.0</v>
      </c>
      <c r="J1161" s="13"/>
      <c r="K1161" s="13">
        <f t="shared" ref="K1161:K1193" si="55">if(E1161="pago",(I1161-J1161),"")</f>
        <v>100</v>
      </c>
      <c r="L1161" s="11" t="s">
        <v>34</v>
      </c>
      <c r="M1161" s="14"/>
      <c r="N1161" s="11" t="s">
        <v>95</v>
      </c>
      <c r="O1161" s="10" t="str">
        <f t="shared" si="48"/>
        <v>04/2025</v>
      </c>
      <c r="P1161" s="10" t="str">
        <f t="shared" si="29"/>
        <v>04/2025</v>
      </c>
      <c r="Q1161" s="15" t="str">
        <f t="array" ref="Q1161">IFERROR(XLOOKUP(N1161,'Classificação'!A:A,'Classificação'!B:B),"")</f>
        <v>DESPESAS NÃO OPERACIONAIS</v>
      </c>
      <c r="R1161" s="15" t="str">
        <f t="array" ref="R1161">IFERROR(XLOOKUP(Q1161,'Classificação'!B:B,'Classificação'!C:C),"")</f>
        <v>RESULTADO NÃO OPERACIONAL (+/-)</v>
      </c>
      <c r="S1161" s="15">
        <f t="shared" si="5"/>
        <v>23</v>
      </c>
      <c r="T1161" s="15">
        <f t="shared" si="6"/>
        <v>4</v>
      </c>
      <c r="U1161" s="15">
        <f t="shared" si="7"/>
        <v>2025</v>
      </c>
      <c r="V1161" s="15">
        <f t="shared" si="8"/>
        <v>23</v>
      </c>
      <c r="W1161" s="15">
        <f t="shared" si="9"/>
        <v>4</v>
      </c>
      <c r="X1161" s="15">
        <f t="shared" si="10"/>
        <v>2025</v>
      </c>
    </row>
    <row r="1162">
      <c r="A1162" s="9">
        <v>45771.0</v>
      </c>
      <c r="B1162" s="10"/>
      <c r="C1162" s="9">
        <f t="shared" si="22"/>
        <v>45771</v>
      </c>
      <c r="D1162" s="11" t="s">
        <v>520</v>
      </c>
      <c r="E1162" s="11" t="s">
        <v>25</v>
      </c>
      <c r="F1162" s="11" t="s">
        <v>26</v>
      </c>
      <c r="G1162" s="11" t="s">
        <v>37</v>
      </c>
      <c r="H1162" s="11" t="s">
        <v>708</v>
      </c>
      <c r="I1162" s="12">
        <v>206.25</v>
      </c>
      <c r="J1162" s="13"/>
      <c r="K1162" s="13">
        <f t="shared" si="55"/>
        <v>206.25</v>
      </c>
      <c r="L1162" s="11" t="s">
        <v>34</v>
      </c>
      <c r="M1162" s="14"/>
      <c r="N1162" s="11" t="s">
        <v>58</v>
      </c>
      <c r="O1162" s="10" t="str">
        <f t="shared" si="48"/>
        <v>04/2025</v>
      </c>
      <c r="P1162" s="10" t="str">
        <f t="shared" si="29"/>
        <v>04/2025</v>
      </c>
      <c r="Q1162" s="15" t="str">
        <f t="array" ref="Q1162">IFERROR(XLOOKUP(N1162,'Classificação'!A:A,'Classificação'!B:B),"")</f>
        <v>DESPESAS ADMINISTRATIVAS</v>
      </c>
      <c r="R1162" s="15" t="str">
        <f t="array" ref="R1162">IFERROR(XLOOKUP(Q1162,'Classificação'!B:B,'Classificação'!C:C),"")</f>
        <v>DESPESAS FIXAS (-)</v>
      </c>
      <c r="S1162" s="15">
        <f t="shared" si="5"/>
        <v>24</v>
      </c>
      <c r="T1162" s="15">
        <f t="shared" si="6"/>
        <v>4</v>
      </c>
      <c r="U1162" s="15">
        <f t="shared" si="7"/>
        <v>2025</v>
      </c>
      <c r="V1162" s="15">
        <f t="shared" si="8"/>
        <v>24</v>
      </c>
      <c r="W1162" s="15">
        <f t="shared" si="9"/>
        <v>4</v>
      </c>
      <c r="X1162" s="15">
        <f t="shared" si="10"/>
        <v>2025</v>
      </c>
    </row>
    <row r="1163">
      <c r="A1163" s="9">
        <v>45771.0</v>
      </c>
      <c r="B1163" s="10"/>
      <c r="C1163" s="9">
        <f t="shared" si="22"/>
        <v>45771</v>
      </c>
      <c r="D1163" s="11" t="s">
        <v>39</v>
      </c>
      <c r="E1163" s="11" t="s">
        <v>25</v>
      </c>
      <c r="F1163" s="11" t="s">
        <v>40</v>
      </c>
      <c r="G1163" s="11" t="s">
        <v>27</v>
      </c>
      <c r="H1163" s="11" t="s">
        <v>640</v>
      </c>
      <c r="I1163" s="12">
        <v>142.68</v>
      </c>
      <c r="J1163" s="13"/>
      <c r="K1163" s="13">
        <f t="shared" si="55"/>
        <v>142.68</v>
      </c>
      <c r="L1163" s="11" t="s">
        <v>53</v>
      </c>
      <c r="M1163" s="17">
        <v>45932.0</v>
      </c>
      <c r="N1163" s="11" t="s">
        <v>355</v>
      </c>
      <c r="O1163" s="10" t="str">
        <f t="shared" si="48"/>
        <v>04/2025</v>
      </c>
      <c r="P1163" s="10" t="str">
        <f t="shared" si="29"/>
        <v>04/2025</v>
      </c>
      <c r="Q1163" s="15" t="str">
        <f t="array" ref="Q1163">IFERROR(XLOOKUP(N1163,'Classificação'!A:A,'Classificação'!B:B),"")</f>
        <v>IMPOSTOS E TAXAS DIVERSAS</v>
      </c>
      <c r="R1163" s="15" t="str">
        <f t="array" ref="R1163">IFERROR(XLOOKUP(Q1163,'Classificação'!B:B,'Classificação'!C:C),"")</f>
        <v>DESPESAS FIXAS (-)</v>
      </c>
      <c r="S1163" s="15">
        <f t="shared" si="5"/>
        <v>24</v>
      </c>
      <c r="T1163" s="15">
        <f t="shared" si="6"/>
        <v>4</v>
      </c>
      <c r="U1163" s="15">
        <f t="shared" si="7"/>
        <v>2025</v>
      </c>
      <c r="V1163" s="15">
        <f t="shared" si="8"/>
        <v>24</v>
      </c>
      <c r="W1163" s="15">
        <f t="shared" si="9"/>
        <v>4</v>
      </c>
      <c r="X1163" s="15">
        <f t="shared" si="10"/>
        <v>2025</v>
      </c>
    </row>
    <row r="1164">
      <c r="A1164" s="9">
        <v>45771.0</v>
      </c>
      <c r="B1164" s="10"/>
      <c r="C1164" s="9">
        <f t="shared" si="22"/>
        <v>45771</v>
      </c>
      <c r="D1164" s="11" t="s">
        <v>137</v>
      </c>
      <c r="E1164" s="11" t="s">
        <v>25</v>
      </c>
      <c r="F1164" s="11" t="s">
        <v>26</v>
      </c>
      <c r="G1164" s="11" t="s">
        <v>37</v>
      </c>
      <c r="H1164" s="11" t="s">
        <v>709</v>
      </c>
      <c r="I1164" s="12">
        <v>12.27</v>
      </c>
      <c r="J1164" s="13"/>
      <c r="K1164" s="13">
        <f t="shared" si="55"/>
        <v>12.27</v>
      </c>
      <c r="L1164" s="11" t="s">
        <v>34</v>
      </c>
      <c r="M1164" s="14"/>
      <c r="N1164" s="11" t="s">
        <v>68</v>
      </c>
      <c r="O1164" s="10" t="str">
        <f t="shared" si="48"/>
        <v>04/2025</v>
      </c>
      <c r="P1164" s="10" t="str">
        <f t="shared" si="29"/>
        <v>04/2025</v>
      </c>
      <c r="Q1164" s="15" t="str">
        <f t="array" ref="Q1164">IFERROR(XLOOKUP(N1164,'Classificação'!A:A,'Classificação'!B:B),"")</f>
        <v>FRETE DE VENDAS</v>
      </c>
      <c r="R1164" s="15" t="str">
        <f t="array" ref="R1164">IFERROR(XLOOKUP(Q1164,'Classificação'!B:B,'Classificação'!C:C),"")</f>
        <v>CUSTOS VARIÁVEIS</v>
      </c>
      <c r="S1164" s="15">
        <f t="shared" si="5"/>
        <v>24</v>
      </c>
      <c r="T1164" s="15">
        <f t="shared" si="6"/>
        <v>4</v>
      </c>
      <c r="U1164" s="15">
        <f t="shared" si="7"/>
        <v>2025</v>
      </c>
      <c r="V1164" s="15">
        <f t="shared" si="8"/>
        <v>24</v>
      </c>
      <c r="W1164" s="15">
        <f t="shared" si="9"/>
        <v>4</v>
      </c>
      <c r="X1164" s="15">
        <f t="shared" si="10"/>
        <v>2025</v>
      </c>
    </row>
    <row r="1165">
      <c r="A1165" s="9">
        <v>45771.0</v>
      </c>
      <c r="B1165" s="10"/>
      <c r="C1165" s="9">
        <f t="shared" si="22"/>
        <v>45771</v>
      </c>
      <c r="D1165" s="11" t="s">
        <v>216</v>
      </c>
      <c r="E1165" s="11" t="s">
        <v>25</v>
      </c>
      <c r="F1165" s="11" t="s">
        <v>26</v>
      </c>
      <c r="G1165" s="11" t="s">
        <v>37</v>
      </c>
      <c r="H1165" s="11" t="s">
        <v>402</v>
      </c>
      <c r="I1165" s="12">
        <v>100.0</v>
      </c>
      <c r="J1165" s="13"/>
      <c r="K1165" s="13">
        <f t="shared" si="55"/>
        <v>100</v>
      </c>
      <c r="L1165" s="11" t="s">
        <v>34</v>
      </c>
      <c r="M1165" s="14"/>
      <c r="N1165" s="11" t="s">
        <v>218</v>
      </c>
      <c r="O1165" s="10" t="str">
        <f t="shared" si="48"/>
        <v>04/2025</v>
      </c>
      <c r="P1165" s="10" t="str">
        <f t="shared" si="29"/>
        <v>04/2025</v>
      </c>
      <c r="Q1165" s="15" t="str">
        <f t="array" ref="Q1165">IFERROR(XLOOKUP(N1165,'Classificação'!A:A,'Classificação'!B:B),"")</f>
        <v>DESPESAS COM VIAGENS</v>
      </c>
      <c r="R1165" s="15" t="str">
        <f t="array" ref="R1165">IFERROR(XLOOKUP(Q1165,'Classificação'!B:B,'Classificação'!C:C),"")</f>
        <v>DESPESAS FIXAS (-)</v>
      </c>
      <c r="S1165" s="15">
        <f t="shared" si="5"/>
        <v>24</v>
      </c>
      <c r="T1165" s="15">
        <f t="shared" si="6"/>
        <v>4</v>
      </c>
      <c r="U1165" s="15">
        <f t="shared" si="7"/>
        <v>2025</v>
      </c>
      <c r="V1165" s="15">
        <f t="shared" si="8"/>
        <v>24</v>
      </c>
      <c r="W1165" s="15">
        <f t="shared" si="9"/>
        <v>4</v>
      </c>
      <c r="X1165" s="15">
        <f t="shared" si="10"/>
        <v>2025</v>
      </c>
    </row>
    <row r="1166">
      <c r="A1166" s="9">
        <v>45772.0</v>
      </c>
      <c r="B1166" s="10"/>
      <c r="C1166" s="9">
        <f t="shared" si="22"/>
        <v>45772</v>
      </c>
      <c r="D1166" s="11" t="s">
        <v>528</v>
      </c>
      <c r="E1166" s="11" t="s">
        <v>25</v>
      </c>
      <c r="F1166" s="11" t="s">
        <v>40</v>
      </c>
      <c r="G1166" s="11" t="s">
        <v>27</v>
      </c>
      <c r="H1166" s="11" t="s">
        <v>710</v>
      </c>
      <c r="I1166" s="12">
        <v>21881.12</v>
      </c>
      <c r="J1166" s="13"/>
      <c r="K1166" s="13">
        <f t="shared" si="55"/>
        <v>21881.12</v>
      </c>
      <c r="L1166" s="11" t="s">
        <v>34</v>
      </c>
      <c r="M1166" s="14"/>
      <c r="N1166" s="11" t="s">
        <v>35</v>
      </c>
      <c r="O1166" s="10" t="str">
        <f t="shared" si="48"/>
        <v>04/2025</v>
      </c>
      <c r="P1166" s="10" t="str">
        <f t="shared" si="29"/>
        <v>04/2025</v>
      </c>
      <c r="Q1166" s="15" t="str">
        <f t="array" ref="Q1166">IFERROR(XLOOKUP(N1166,'Classificação'!A:A,'Classificação'!B:B),"")</f>
        <v>COMPRA DE MERCADORIA</v>
      </c>
      <c r="R1166" s="15" t="str">
        <f t="array" ref="R1166">IFERROR(XLOOKUP(Q1166,'Classificação'!B:B,'Classificação'!C:C),"")</f>
        <v>CUSTOS VARIÁVEIS</v>
      </c>
      <c r="S1166" s="15">
        <f t="shared" si="5"/>
        <v>25</v>
      </c>
      <c r="T1166" s="15">
        <f t="shared" si="6"/>
        <v>4</v>
      </c>
      <c r="U1166" s="15">
        <f t="shared" si="7"/>
        <v>2025</v>
      </c>
      <c r="V1166" s="15">
        <f t="shared" si="8"/>
        <v>25</v>
      </c>
      <c r="W1166" s="15">
        <f t="shared" si="9"/>
        <v>4</v>
      </c>
      <c r="X1166" s="15">
        <f t="shared" si="10"/>
        <v>2025</v>
      </c>
    </row>
    <row r="1167">
      <c r="A1167" s="9">
        <v>45772.0</v>
      </c>
      <c r="B1167" s="10"/>
      <c r="C1167" s="9">
        <f t="shared" si="22"/>
        <v>45772</v>
      </c>
      <c r="D1167" s="11" t="s">
        <v>208</v>
      </c>
      <c r="E1167" s="11" t="s">
        <v>25</v>
      </c>
      <c r="F1167" s="11" t="s">
        <v>40</v>
      </c>
      <c r="G1167" s="11" t="s">
        <v>37</v>
      </c>
      <c r="H1167" s="11" t="s">
        <v>209</v>
      </c>
      <c r="I1167" s="12">
        <v>171.72</v>
      </c>
      <c r="J1167" s="13"/>
      <c r="K1167" s="13">
        <f t="shared" si="55"/>
        <v>171.72</v>
      </c>
      <c r="L1167" s="11" t="s">
        <v>29</v>
      </c>
      <c r="M1167" s="14"/>
      <c r="N1167" s="11" t="s">
        <v>210</v>
      </c>
      <c r="O1167" s="10" t="str">
        <f t="shared" si="48"/>
        <v>04/2025</v>
      </c>
      <c r="P1167" s="10" t="str">
        <f t="shared" si="29"/>
        <v>04/2025</v>
      </c>
      <c r="Q1167" s="15" t="str">
        <f t="array" ref="Q1167">IFERROR(XLOOKUP(N1167,'Classificação'!A:A,'Classificação'!B:B),"")</f>
        <v>DESPESAS COM OCUPAÇÃO</v>
      </c>
      <c r="R1167" s="15" t="str">
        <f t="array" ref="R1167">IFERROR(XLOOKUP(Q1167,'Classificação'!B:B,'Classificação'!C:C),"")</f>
        <v>DESPESAS FIXAS (-)</v>
      </c>
      <c r="S1167" s="15">
        <f t="shared" si="5"/>
        <v>25</v>
      </c>
      <c r="T1167" s="15">
        <f t="shared" si="6"/>
        <v>4</v>
      </c>
      <c r="U1167" s="15">
        <f t="shared" si="7"/>
        <v>2025</v>
      </c>
      <c r="V1167" s="15">
        <f t="shared" si="8"/>
        <v>25</v>
      </c>
      <c r="W1167" s="15">
        <f t="shared" si="9"/>
        <v>4</v>
      </c>
      <c r="X1167" s="15">
        <f t="shared" si="10"/>
        <v>2025</v>
      </c>
    </row>
    <row r="1168">
      <c r="A1168" s="9">
        <v>45772.0</v>
      </c>
      <c r="B1168" s="9">
        <v>45553.0</v>
      </c>
      <c r="C1168" s="9">
        <f t="shared" si="22"/>
        <v>45772</v>
      </c>
      <c r="D1168" s="11" t="s">
        <v>313</v>
      </c>
      <c r="E1168" s="11" t="s">
        <v>25</v>
      </c>
      <c r="F1168" s="11" t="s">
        <v>26</v>
      </c>
      <c r="G1168" s="11" t="s">
        <v>37</v>
      </c>
      <c r="H1168" s="11" t="s">
        <v>327</v>
      </c>
      <c r="I1168" s="12">
        <v>250.0</v>
      </c>
      <c r="J1168" s="13"/>
      <c r="K1168" s="13">
        <f t="shared" si="55"/>
        <v>250</v>
      </c>
      <c r="L1168" s="11" t="s">
        <v>53</v>
      </c>
      <c r="M1168" s="17">
        <v>45633.0</v>
      </c>
      <c r="N1168" s="11" t="s">
        <v>95</v>
      </c>
      <c r="O1168" s="10" t="str">
        <f t="shared" si="48"/>
        <v>04/2025</v>
      </c>
      <c r="P1168" s="10" t="str">
        <f t="shared" si="29"/>
        <v>04/2025</v>
      </c>
      <c r="Q1168" s="15" t="str">
        <f t="array" ref="Q1168">IFERROR(XLOOKUP(N1168,'Classificação'!A:A,'Classificação'!B:B),"")</f>
        <v>DESPESAS NÃO OPERACIONAIS</v>
      </c>
      <c r="R1168" s="15" t="str">
        <f t="array" ref="R1168">IFERROR(XLOOKUP(Q1168,'Classificação'!B:B,'Classificação'!C:C),"")</f>
        <v>RESULTADO NÃO OPERACIONAL (+/-)</v>
      </c>
      <c r="S1168" s="15">
        <f t="shared" si="5"/>
        <v>25</v>
      </c>
      <c r="T1168" s="15">
        <f t="shared" si="6"/>
        <v>4</v>
      </c>
      <c r="U1168" s="15">
        <f t="shared" si="7"/>
        <v>2025</v>
      </c>
      <c r="V1168" s="15">
        <f t="shared" si="8"/>
        <v>25</v>
      </c>
      <c r="W1168" s="15">
        <f t="shared" si="9"/>
        <v>4</v>
      </c>
      <c r="X1168" s="15">
        <f t="shared" si="10"/>
        <v>2025</v>
      </c>
    </row>
    <row r="1169">
      <c r="A1169" s="26">
        <v>45772.0</v>
      </c>
      <c r="B1169" s="32">
        <v>45611.0</v>
      </c>
      <c r="C1169" s="9">
        <f t="shared" si="22"/>
        <v>45772</v>
      </c>
      <c r="D1169" s="11" t="s">
        <v>361</v>
      </c>
      <c r="E1169" s="11" t="s">
        <v>25</v>
      </c>
      <c r="F1169" s="29" t="s">
        <v>26</v>
      </c>
      <c r="G1169" s="11" t="s">
        <v>37</v>
      </c>
      <c r="H1169" s="11" t="s">
        <v>362</v>
      </c>
      <c r="I1169" s="12">
        <v>180.11</v>
      </c>
      <c r="J1169" s="13"/>
      <c r="K1169" s="13">
        <f t="shared" si="55"/>
        <v>180.11</v>
      </c>
      <c r="L1169" s="11" t="s">
        <v>53</v>
      </c>
      <c r="M1169" s="17">
        <v>45632.0</v>
      </c>
      <c r="N1169" s="11" t="s">
        <v>363</v>
      </c>
      <c r="O1169" s="10" t="str">
        <f t="shared" si="48"/>
        <v>04/2025</v>
      </c>
      <c r="P1169" s="10" t="str">
        <f t="shared" si="29"/>
        <v>04/2025</v>
      </c>
      <c r="Q1169" s="15" t="str">
        <f t="array" ref="Q1169">IFERROR(XLOOKUP(N1169,'Classificação'!A:A,'Classificação'!B:B),"")</f>
        <v>DESPESAS NÃO OPERACIONAIS</v>
      </c>
      <c r="R1169" s="15" t="str">
        <f t="array" ref="R1169">IFERROR(XLOOKUP(Q1169,'Classificação'!B:B,'Classificação'!C:C),"")</f>
        <v>RESULTADO NÃO OPERACIONAL (+/-)</v>
      </c>
      <c r="S1169" s="15">
        <f t="shared" si="5"/>
        <v>25</v>
      </c>
      <c r="T1169" s="15">
        <f t="shared" si="6"/>
        <v>4</v>
      </c>
      <c r="U1169" s="15">
        <f t="shared" si="7"/>
        <v>2025</v>
      </c>
      <c r="V1169" s="15">
        <f t="shared" si="8"/>
        <v>25</v>
      </c>
      <c r="W1169" s="15">
        <f t="shared" si="9"/>
        <v>4</v>
      </c>
      <c r="X1169" s="15">
        <f t="shared" si="10"/>
        <v>2025</v>
      </c>
    </row>
    <row r="1170">
      <c r="A1170" s="9">
        <v>45772.0</v>
      </c>
      <c r="B1170" s="10"/>
      <c r="C1170" s="9">
        <f t="shared" si="22"/>
        <v>45772</v>
      </c>
      <c r="D1170" s="47" t="s">
        <v>711</v>
      </c>
      <c r="E1170" s="11" t="s">
        <v>25</v>
      </c>
      <c r="F1170" s="11" t="s">
        <v>26</v>
      </c>
      <c r="G1170" s="11" t="s">
        <v>37</v>
      </c>
      <c r="H1170" s="11" t="s">
        <v>712</v>
      </c>
      <c r="I1170" s="12">
        <v>237.15</v>
      </c>
      <c r="J1170" s="13"/>
      <c r="K1170" s="13">
        <f t="shared" si="55"/>
        <v>237.15</v>
      </c>
      <c r="L1170" s="11" t="s">
        <v>53</v>
      </c>
      <c r="M1170" s="17">
        <v>45717.0</v>
      </c>
      <c r="N1170" s="11" t="s">
        <v>120</v>
      </c>
      <c r="O1170" s="10" t="str">
        <f t="shared" si="48"/>
        <v>04/2025</v>
      </c>
      <c r="P1170" s="10" t="str">
        <f t="shared" si="29"/>
        <v>04/2025</v>
      </c>
      <c r="Q1170" s="15" t="str">
        <f t="array" ref="Q1170">IFERROR(XLOOKUP(N1170,'Classificação'!A:A,'Classificação'!B:B),"")</f>
        <v>DESPESAS ADMINISTRATIVAS</v>
      </c>
      <c r="R1170" s="15" t="str">
        <f t="array" ref="R1170">IFERROR(XLOOKUP(Q1170,'Classificação'!B:B,'Classificação'!C:C),"")</f>
        <v>DESPESAS FIXAS (-)</v>
      </c>
      <c r="S1170" s="15">
        <f t="shared" si="5"/>
        <v>25</v>
      </c>
      <c r="T1170" s="15">
        <f t="shared" si="6"/>
        <v>4</v>
      </c>
      <c r="U1170" s="15">
        <f t="shared" si="7"/>
        <v>2025</v>
      </c>
      <c r="V1170" s="15">
        <f t="shared" si="8"/>
        <v>25</v>
      </c>
      <c r="W1170" s="15">
        <f t="shared" si="9"/>
        <v>4</v>
      </c>
      <c r="X1170" s="15">
        <f t="shared" si="10"/>
        <v>2025</v>
      </c>
    </row>
    <row r="1171">
      <c r="A1171" s="9">
        <v>45772.0</v>
      </c>
      <c r="B1171" s="10"/>
      <c r="C1171" s="9">
        <f t="shared" si="22"/>
        <v>45772</v>
      </c>
      <c r="D1171" s="11" t="s">
        <v>179</v>
      </c>
      <c r="E1171" s="11" t="s">
        <v>25</v>
      </c>
      <c r="F1171" s="11" t="s">
        <v>26</v>
      </c>
      <c r="G1171" s="11" t="s">
        <v>37</v>
      </c>
      <c r="H1171" s="11" t="s">
        <v>713</v>
      </c>
      <c r="I1171" s="12">
        <v>113.88</v>
      </c>
      <c r="J1171" s="13"/>
      <c r="K1171" s="13">
        <f t="shared" si="55"/>
        <v>113.88</v>
      </c>
      <c r="L1171" s="11" t="s">
        <v>34</v>
      </c>
      <c r="M1171" s="17"/>
      <c r="N1171" s="11" t="s">
        <v>181</v>
      </c>
      <c r="O1171" s="10" t="str">
        <f t="shared" si="48"/>
        <v>04/2025</v>
      </c>
      <c r="P1171" s="10" t="str">
        <f t="shared" si="29"/>
        <v>04/2025</v>
      </c>
      <c r="Q1171" s="15" t="str">
        <f t="array" ref="Q1171">IFERROR(XLOOKUP(N1171,'Classificação'!A:A,'Classificação'!B:B),"")</f>
        <v>DESPESAS COM VEICULOS</v>
      </c>
      <c r="R1171" s="15" t="str">
        <f t="array" ref="R1171">IFERROR(XLOOKUP(Q1171,'Classificação'!B:B,'Classificação'!C:C),"")</f>
        <v>DESPESAS FIXAS (-)</v>
      </c>
      <c r="S1171" s="15">
        <f t="shared" si="5"/>
        <v>25</v>
      </c>
      <c r="T1171" s="15">
        <f t="shared" si="6"/>
        <v>4</v>
      </c>
      <c r="U1171" s="15">
        <f t="shared" si="7"/>
        <v>2025</v>
      </c>
      <c r="V1171" s="15">
        <f t="shared" si="8"/>
        <v>25</v>
      </c>
      <c r="W1171" s="15">
        <f t="shared" si="9"/>
        <v>4</v>
      </c>
      <c r="X1171" s="15">
        <f t="shared" si="10"/>
        <v>2025</v>
      </c>
    </row>
    <row r="1172">
      <c r="A1172" s="9">
        <v>45775.0</v>
      </c>
      <c r="B1172" s="10"/>
      <c r="C1172" s="9">
        <f t="shared" si="22"/>
        <v>45775</v>
      </c>
      <c r="D1172" s="11" t="s">
        <v>219</v>
      </c>
      <c r="E1172" s="11" t="s">
        <v>25</v>
      </c>
      <c r="F1172" s="11" t="s">
        <v>40</v>
      </c>
      <c r="G1172" s="11" t="s">
        <v>27</v>
      </c>
      <c r="H1172" s="11" t="s">
        <v>589</v>
      </c>
      <c r="I1172" s="12">
        <v>2457.0</v>
      </c>
      <c r="J1172" s="13"/>
      <c r="K1172" s="13">
        <f t="shared" si="55"/>
        <v>2457</v>
      </c>
      <c r="L1172" s="11" t="s">
        <v>53</v>
      </c>
      <c r="M1172" s="17">
        <v>45719.0</v>
      </c>
      <c r="N1172" s="11" t="s">
        <v>35</v>
      </c>
      <c r="O1172" s="10" t="str">
        <f t="shared" si="48"/>
        <v>04/2025</v>
      </c>
      <c r="P1172" s="10" t="str">
        <f t="shared" si="29"/>
        <v>04/2025</v>
      </c>
      <c r="Q1172" s="15" t="str">
        <f t="array" ref="Q1172">IFERROR(XLOOKUP(N1172,'Classificação'!A:A,'Classificação'!B:B),"")</f>
        <v>COMPRA DE MERCADORIA</v>
      </c>
      <c r="R1172" s="15" t="str">
        <f t="array" ref="R1172">IFERROR(XLOOKUP(Q1172,'Classificação'!B:B,'Classificação'!C:C),"")</f>
        <v>CUSTOS VARIÁVEIS</v>
      </c>
      <c r="S1172" s="15">
        <f t="shared" si="5"/>
        <v>28</v>
      </c>
      <c r="T1172" s="15">
        <f t="shared" si="6"/>
        <v>4</v>
      </c>
      <c r="U1172" s="15">
        <f t="shared" si="7"/>
        <v>2025</v>
      </c>
      <c r="V1172" s="15">
        <f t="shared" si="8"/>
        <v>28</v>
      </c>
      <c r="W1172" s="15">
        <f t="shared" si="9"/>
        <v>4</v>
      </c>
      <c r="X1172" s="15">
        <f t="shared" si="10"/>
        <v>2025</v>
      </c>
    </row>
    <row r="1173">
      <c r="A1173" s="9">
        <v>45775.0</v>
      </c>
      <c r="B1173" s="10"/>
      <c r="C1173" s="9">
        <f t="shared" si="22"/>
        <v>45775</v>
      </c>
      <c r="D1173" s="11" t="s">
        <v>31</v>
      </c>
      <c r="E1173" s="11" t="s">
        <v>25</v>
      </c>
      <c r="F1173" s="11" t="s">
        <v>26</v>
      </c>
      <c r="G1173" s="11" t="s">
        <v>37</v>
      </c>
      <c r="H1173" s="11" t="s">
        <v>714</v>
      </c>
      <c r="I1173" s="12">
        <v>268.95</v>
      </c>
      <c r="J1173" s="13"/>
      <c r="K1173" s="13">
        <f t="shared" si="55"/>
        <v>268.95</v>
      </c>
      <c r="L1173" s="11" t="s">
        <v>34</v>
      </c>
      <c r="M1173" s="14"/>
      <c r="N1173" s="11" t="s">
        <v>35</v>
      </c>
      <c r="O1173" s="10" t="str">
        <f t="shared" si="48"/>
        <v>04/2025</v>
      </c>
      <c r="P1173" s="10" t="str">
        <f t="shared" si="29"/>
        <v>04/2025</v>
      </c>
      <c r="Q1173" s="15" t="str">
        <f t="array" ref="Q1173">IFERROR(XLOOKUP(N1173,'Classificação'!A:A,'Classificação'!B:B),"")</f>
        <v>COMPRA DE MERCADORIA</v>
      </c>
      <c r="R1173" s="15" t="str">
        <f t="array" ref="R1173">IFERROR(XLOOKUP(Q1173,'Classificação'!B:B,'Classificação'!C:C),"")</f>
        <v>CUSTOS VARIÁVEIS</v>
      </c>
      <c r="S1173" s="15">
        <f t="shared" si="5"/>
        <v>28</v>
      </c>
      <c r="T1173" s="15">
        <f t="shared" si="6"/>
        <v>4</v>
      </c>
      <c r="U1173" s="15">
        <f t="shared" si="7"/>
        <v>2025</v>
      </c>
      <c r="V1173" s="15">
        <f t="shared" si="8"/>
        <v>28</v>
      </c>
      <c r="W1173" s="15">
        <f t="shared" si="9"/>
        <v>4</v>
      </c>
      <c r="X1173" s="15">
        <f t="shared" si="10"/>
        <v>2025</v>
      </c>
    </row>
    <row r="1174">
      <c r="A1174" s="9">
        <v>45776.0</v>
      </c>
      <c r="B1174" s="10"/>
      <c r="C1174" s="9">
        <f t="shared" si="22"/>
        <v>45776</v>
      </c>
      <c r="D1174" s="11" t="s">
        <v>31</v>
      </c>
      <c r="E1174" s="11" t="s">
        <v>25</v>
      </c>
      <c r="F1174" s="11" t="s">
        <v>40</v>
      </c>
      <c r="G1174" s="11" t="s">
        <v>37</v>
      </c>
      <c r="H1174" s="11" t="s">
        <v>715</v>
      </c>
      <c r="I1174" s="12">
        <v>5059.23</v>
      </c>
      <c r="J1174" s="13"/>
      <c r="K1174" s="13">
        <f t="shared" si="55"/>
        <v>5059.23</v>
      </c>
      <c r="L1174" s="11" t="s">
        <v>34</v>
      </c>
      <c r="M1174" s="14"/>
      <c r="N1174" s="11" t="s">
        <v>68</v>
      </c>
      <c r="O1174" s="10" t="str">
        <f t="shared" si="48"/>
        <v>04/2025</v>
      </c>
      <c r="P1174" s="10" t="str">
        <f t="shared" si="29"/>
        <v>04/2025</v>
      </c>
      <c r="Q1174" s="11" t="s">
        <v>35</v>
      </c>
      <c r="R1174" s="15" t="str">
        <f t="array" ref="R1174">IFERROR(XLOOKUP(Q1174,'Classificação'!B:B,'Classificação'!C:C),"")</f>
        <v>CUSTOS VARIÁVEIS</v>
      </c>
      <c r="S1174" s="15">
        <f t="shared" si="5"/>
        <v>29</v>
      </c>
      <c r="T1174" s="15">
        <f t="shared" si="6"/>
        <v>4</v>
      </c>
      <c r="U1174" s="15">
        <f t="shared" si="7"/>
        <v>2025</v>
      </c>
      <c r="V1174" s="15">
        <f t="shared" si="8"/>
        <v>29</v>
      </c>
      <c r="W1174" s="15">
        <f t="shared" si="9"/>
        <v>4</v>
      </c>
      <c r="X1174" s="15">
        <f t="shared" si="10"/>
        <v>2025</v>
      </c>
    </row>
    <row r="1175">
      <c r="A1175" s="9">
        <v>45776.0</v>
      </c>
      <c r="B1175" s="10"/>
      <c r="C1175" s="9">
        <f t="shared" si="22"/>
        <v>45776</v>
      </c>
      <c r="D1175" s="11" t="s">
        <v>221</v>
      </c>
      <c r="E1175" s="11" t="s">
        <v>25</v>
      </c>
      <c r="F1175" s="11" t="s">
        <v>32</v>
      </c>
      <c r="G1175" s="11" t="s">
        <v>27</v>
      </c>
      <c r="H1175" s="11" t="s">
        <v>716</v>
      </c>
      <c r="I1175" s="12">
        <v>360.54</v>
      </c>
      <c r="J1175" s="13"/>
      <c r="K1175" s="13">
        <f t="shared" si="55"/>
        <v>360.54</v>
      </c>
      <c r="L1175" s="11" t="s">
        <v>29</v>
      </c>
      <c r="M1175" s="14"/>
      <c r="N1175" s="11" t="s">
        <v>61</v>
      </c>
      <c r="O1175" s="10" t="str">
        <f t="shared" si="48"/>
        <v>04/2025</v>
      </c>
      <c r="P1175" s="10" t="str">
        <f t="shared" si="29"/>
        <v>04/2025</v>
      </c>
      <c r="Q1175" s="15" t="str">
        <f t="array" ref="Q1175">IFERROR(XLOOKUP(N1175,'Classificação'!A:A,'Classificação'!B:B),"")</f>
        <v>DESPESAS ADMINISTRATIVAS</v>
      </c>
      <c r="R1175" s="15" t="str">
        <f t="array" ref="R1175">IFERROR(XLOOKUP(Q1175,'Classificação'!B:B,'Classificação'!C:C),"")</f>
        <v>DESPESAS FIXAS (-)</v>
      </c>
      <c r="S1175" s="15">
        <f t="shared" si="5"/>
        <v>29</v>
      </c>
      <c r="T1175" s="15">
        <f t="shared" si="6"/>
        <v>4</v>
      </c>
      <c r="U1175" s="15">
        <f t="shared" si="7"/>
        <v>2025</v>
      </c>
      <c r="V1175" s="15">
        <f t="shared" si="8"/>
        <v>29</v>
      </c>
      <c r="W1175" s="15">
        <f t="shared" si="9"/>
        <v>4</v>
      </c>
      <c r="X1175" s="15">
        <f t="shared" si="10"/>
        <v>2025</v>
      </c>
    </row>
    <row r="1176">
      <c r="A1176" s="9">
        <v>45776.0</v>
      </c>
      <c r="B1176" s="10"/>
      <c r="C1176" s="9">
        <f t="shared" si="22"/>
        <v>45776</v>
      </c>
      <c r="D1176" s="11" t="s">
        <v>83</v>
      </c>
      <c r="E1176" s="11" t="s">
        <v>25</v>
      </c>
      <c r="F1176" s="11" t="s">
        <v>40</v>
      </c>
      <c r="G1176" s="11" t="s">
        <v>27</v>
      </c>
      <c r="H1176" s="11" t="s">
        <v>611</v>
      </c>
      <c r="I1176" s="12">
        <v>330.0</v>
      </c>
      <c r="J1176" s="13"/>
      <c r="K1176" s="13">
        <f t="shared" si="55"/>
        <v>330</v>
      </c>
      <c r="L1176" s="11" t="s">
        <v>29</v>
      </c>
      <c r="M1176" s="14"/>
      <c r="N1176" s="11" t="s">
        <v>204</v>
      </c>
      <c r="O1176" s="10" t="str">
        <f t="shared" si="48"/>
        <v>04/2025</v>
      </c>
      <c r="P1176" s="10" t="str">
        <f t="shared" si="29"/>
        <v>04/2025</v>
      </c>
      <c r="Q1176" s="15" t="str">
        <f t="array" ref="Q1176">IFERROR(XLOOKUP(N1176,'Classificação'!A:A,'Classificação'!B:B),"")</f>
        <v>DESPESAS COM PESSOAL</v>
      </c>
      <c r="R1176" s="15" t="str">
        <f t="array" ref="R1176">IFERROR(XLOOKUP(Q1176,'Classificação'!B:B,'Classificação'!C:C),"")</f>
        <v>DESPESAS FIXAS (-)</v>
      </c>
      <c r="S1176" s="15">
        <f t="shared" si="5"/>
        <v>29</v>
      </c>
      <c r="T1176" s="15">
        <f t="shared" si="6"/>
        <v>4</v>
      </c>
      <c r="U1176" s="15">
        <f t="shared" si="7"/>
        <v>2025</v>
      </c>
      <c r="V1176" s="15">
        <f t="shared" si="8"/>
        <v>29</v>
      </c>
      <c r="W1176" s="15">
        <f t="shared" si="9"/>
        <v>4</v>
      </c>
      <c r="X1176" s="15">
        <f t="shared" si="10"/>
        <v>2025</v>
      </c>
    </row>
    <row r="1177">
      <c r="A1177" s="9">
        <v>45776.0</v>
      </c>
      <c r="B1177" s="10"/>
      <c r="C1177" s="9">
        <f t="shared" si="22"/>
        <v>45776</v>
      </c>
      <c r="D1177" s="11" t="s">
        <v>80</v>
      </c>
      <c r="E1177" s="11" t="s">
        <v>25</v>
      </c>
      <c r="F1177" s="11" t="s">
        <v>40</v>
      </c>
      <c r="G1177" s="11" t="s">
        <v>27</v>
      </c>
      <c r="H1177" s="11" t="s">
        <v>611</v>
      </c>
      <c r="I1177" s="12">
        <v>330.0</v>
      </c>
      <c r="J1177" s="13"/>
      <c r="K1177" s="13">
        <f t="shared" si="55"/>
        <v>330</v>
      </c>
      <c r="L1177" s="11" t="s">
        <v>29</v>
      </c>
      <c r="M1177" s="14"/>
      <c r="N1177" s="11" t="s">
        <v>204</v>
      </c>
      <c r="O1177" s="10" t="str">
        <f t="shared" si="48"/>
        <v>04/2025</v>
      </c>
      <c r="P1177" s="10" t="str">
        <f t="shared" si="29"/>
        <v>04/2025</v>
      </c>
      <c r="Q1177" s="15" t="str">
        <f t="array" ref="Q1177">IFERROR(XLOOKUP(N1177,'Classificação'!A:A,'Classificação'!B:B),"")</f>
        <v>DESPESAS COM PESSOAL</v>
      </c>
      <c r="R1177" s="15" t="str">
        <f t="array" ref="R1177">IFERROR(XLOOKUP(Q1177,'Classificação'!B:B,'Classificação'!C:C),"")</f>
        <v>DESPESAS FIXAS (-)</v>
      </c>
      <c r="S1177" s="15">
        <f t="shared" si="5"/>
        <v>29</v>
      </c>
      <c r="T1177" s="15">
        <f t="shared" si="6"/>
        <v>4</v>
      </c>
      <c r="U1177" s="15">
        <f t="shared" si="7"/>
        <v>2025</v>
      </c>
      <c r="V1177" s="15">
        <f t="shared" si="8"/>
        <v>29</v>
      </c>
      <c r="W1177" s="15">
        <f t="shared" si="9"/>
        <v>4</v>
      </c>
      <c r="X1177" s="15">
        <f t="shared" si="10"/>
        <v>2025</v>
      </c>
    </row>
    <row r="1178">
      <c r="A1178" s="9">
        <v>45776.0</v>
      </c>
      <c r="B1178" s="10"/>
      <c r="C1178" s="9">
        <f t="shared" si="22"/>
        <v>45776</v>
      </c>
      <c r="D1178" s="11" t="s">
        <v>520</v>
      </c>
      <c r="E1178" s="11" t="s">
        <v>25</v>
      </c>
      <c r="F1178" s="11" t="s">
        <v>26</v>
      </c>
      <c r="G1178" s="11" t="s">
        <v>37</v>
      </c>
      <c r="H1178" s="11" t="s">
        <v>717</v>
      </c>
      <c r="I1178" s="12">
        <v>100.0</v>
      </c>
      <c r="J1178" s="13"/>
      <c r="K1178" s="13">
        <f t="shared" si="55"/>
        <v>100</v>
      </c>
      <c r="L1178" s="11" t="s">
        <v>34</v>
      </c>
      <c r="M1178" s="14"/>
      <c r="N1178" s="11" t="s">
        <v>58</v>
      </c>
      <c r="O1178" s="10" t="str">
        <f t="shared" si="48"/>
        <v>04/2025</v>
      </c>
      <c r="P1178" s="10" t="str">
        <f t="shared" si="29"/>
        <v>04/2025</v>
      </c>
      <c r="Q1178" s="15" t="str">
        <f t="array" ref="Q1178">IFERROR(XLOOKUP(N1178,'Classificação'!A:A,'Classificação'!B:B),"")</f>
        <v>DESPESAS ADMINISTRATIVAS</v>
      </c>
      <c r="R1178" s="15" t="str">
        <f t="array" ref="R1178">IFERROR(XLOOKUP(Q1178,'Classificação'!B:B,'Classificação'!C:C),"")</f>
        <v>DESPESAS FIXAS (-)</v>
      </c>
      <c r="S1178" s="15">
        <f t="shared" si="5"/>
        <v>29</v>
      </c>
      <c r="T1178" s="15">
        <f t="shared" si="6"/>
        <v>4</v>
      </c>
      <c r="U1178" s="15">
        <f t="shared" si="7"/>
        <v>2025</v>
      </c>
      <c r="V1178" s="15">
        <f t="shared" si="8"/>
        <v>29</v>
      </c>
      <c r="W1178" s="15">
        <f t="shared" si="9"/>
        <v>4</v>
      </c>
      <c r="X1178" s="15">
        <f t="shared" si="10"/>
        <v>2025</v>
      </c>
    </row>
    <row r="1179">
      <c r="A1179" s="9">
        <v>45777.0</v>
      </c>
      <c r="B1179" s="10"/>
      <c r="C1179" s="9">
        <f t="shared" si="22"/>
        <v>45777</v>
      </c>
      <c r="D1179" s="11" t="s">
        <v>223</v>
      </c>
      <c r="E1179" s="11" t="s">
        <v>25</v>
      </c>
      <c r="F1179" s="11" t="s">
        <v>32</v>
      </c>
      <c r="G1179" s="11" t="s">
        <v>37</v>
      </c>
      <c r="I1179" s="12">
        <v>150.0</v>
      </c>
      <c r="J1179" s="13"/>
      <c r="K1179" s="13">
        <f t="shared" si="55"/>
        <v>150</v>
      </c>
      <c r="L1179" s="11" t="s">
        <v>29</v>
      </c>
      <c r="M1179" s="14"/>
      <c r="N1179" s="11" t="s">
        <v>224</v>
      </c>
      <c r="O1179" s="10" t="str">
        <f t="shared" si="48"/>
        <v>04/2025</v>
      </c>
      <c r="P1179" s="10" t="str">
        <f t="shared" si="29"/>
        <v>04/2025</v>
      </c>
      <c r="Q1179" s="15" t="str">
        <f t="array" ref="Q1179">IFERROR(XLOOKUP(N1179,'Classificação'!A:A,'Classificação'!B:B),"")</f>
        <v>DESPESAS ADMINISTRATIVAS</v>
      </c>
      <c r="R1179" s="15" t="str">
        <f t="array" ref="R1179">IFERROR(XLOOKUP(Q1179,'Classificação'!B:B,'Classificação'!C:C),"")</f>
        <v>DESPESAS FIXAS (-)</v>
      </c>
      <c r="S1179" s="15">
        <f t="shared" si="5"/>
        <v>30</v>
      </c>
      <c r="T1179" s="15">
        <f t="shared" si="6"/>
        <v>4</v>
      </c>
      <c r="U1179" s="15">
        <f t="shared" si="7"/>
        <v>2025</v>
      </c>
      <c r="V1179" s="15">
        <f t="shared" si="8"/>
        <v>30</v>
      </c>
      <c r="W1179" s="15">
        <f t="shared" si="9"/>
        <v>4</v>
      </c>
      <c r="X1179" s="15">
        <f t="shared" si="10"/>
        <v>2025</v>
      </c>
    </row>
    <row r="1180">
      <c r="A1180" s="9">
        <v>45777.0</v>
      </c>
      <c r="B1180" s="10"/>
      <c r="C1180" s="9">
        <f t="shared" si="22"/>
        <v>45777</v>
      </c>
      <c r="D1180" s="11" t="s">
        <v>80</v>
      </c>
      <c r="E1180" s="11" t="s">
        <v>25</v>
      </c>
      <c r="F1180" s="11" t="s">
        <v>32</v>
      </c>
      <c r="G1180" s="11" t="s">
        <v>27</v>
      </c>
      <c r="H1180" s="11" t="s">
        <v>225</v>
      </c>
      <c r="I1180" s="12">
        <v>938.47</v>
      </c>
      <c r="J1180" s="13"/>
      <c r="K1180" s="13">
        <f t="shared" si="55"/>
        <v>938.47</v>
      </c>
      <c r="L1180" s="11" t="s">
        <v>29</v>
      </c>
      <c r="M1180" s="14"/>
      <c r="N1180" s="11" t="s">
        <v>38</v>
      </c>
      <c r="O1180" s="10" t="str">
        <f t="shared" si="48"/>
        <v>04/2025</v>
      </c>
      <c r="P1180" s="10" t="str">
        <f t="shared" si="29"/>
        <v>04/2025</v>
      </c>
      <c r="Q1180" s="15" t="str">
        <f t="array" ref="Q1180">IFERROR(XLOOKUP(N1180,'Classificação'!A:A,'Classificação'!B:B),"")</f>
        <v>DESPESAS COM PESSOAL</v>
      </c>
      <c r="R1180" s="15" t="str">
        <f t="array" ref="R1180">IFERROR(XLOOKUP(Q1180,'Classificação'!B:B,'Classificação'!C:C),"")</f>
        <v>DESPESAS FIXAS (-)</v>
      </c>
      <c r="S1180" s="15">
        <f t="shared" si="5"/>
        <v>30</v>
      </c>
      <c r="T1180" s="15">
        <f t="shared" si="6"/>
        <v>4</v>
      </c>
      <c r="U1180" s="15">
        <f t="shared" si="7"/>
        <v>2025</v>
      </c>
      <c r="V1180" s="15">
        <f t="shared" si="8"/>
        <v>30</v>
      </c>
      <c r="W1180" s="15">
        <f t="shared" si="9"/>
        <v>4</v>
      </c>
      <c r="X1180" s="15">
        <f t="shared" si="10"/>
        <v>2025</v>
      </c>
    </row>
    <row r="1181">
      <c r="A1181" s="9">
        <v>45777.0</v>
      </c>
      <c r="B1181" s="10"/>
      <c r="C1181" s="9">
        <f t="shared" si="22"/>
        <v>45777</v>
      </c>
      <c r="D1181" s="11" t="s">
        <v>83</v>
      </c>
      <c r="E1181" s="11" t="s">
        <v>25</v>
      </c>
      <c r="F1181" s="11" t="s">
        <v>40</v>
      </c>
      <c r="G1181" s="11" t="s">
        <v>27</v>
      </c>
      <c r="I1181" s="12">
        <v>1191.47</v>
      </c>
      <c r="J1181" s="13"/>
      <c r="K1181" s="13">
        <f t="shared" si="55"/>
        <v>1191.47</v>
      </c>
      <c r="L1181" s="11" t="s">
        <v>29</v>
      </c>
      <c r="M1181" s="14"/>
      <c r="N1181" s="11" t="s">
        <v>38</v>
      </c>
      <c r="O1181" s="10" t="str">
        <f t="shared" si="48"/>
        <v>04/2025</v>
      </c>
      <c r="P1181" s="10" t="str">
        <f t="shared" si="29"/>
        <v>04/2025</v>
      </c>
      <c r="Q1181" s="15" t="str">
        <f t="array" ref="Q1181">IFERROR(XLOOKUP(N1181,'Classificação'!A:A,'Classificação'!B:B),"")</f>
        <v>DESPESAS COM PESSOAL</v>
      </c>
      <c r="R1181" s="15" t="str">
        <f t="array" ref="R1181">IFERROR(XLOOKUP(Q1181,'Classificação'!B:B,'Classificação'!C:C),"")</f>
        <v>DESPESAS FIXAS (-)</v>
      </c>
      <c r="S1181" s="15">
        <f t="shared" si="5"/>
        <v>30</v>
      </c>
      <c r="T1181" s="15">
        <f t="shared" si="6"/>
        <v>4</v>
      </c>
      <c r="U1181" s="15">
        <f t="shared" si="7"/>
        <v>2025</v>
      </c>
      <c r="V1181" s="15">
        <f t="shared" si="8"/>
        <v>30</v>
      </c>
      <c r="W1181" s="15">
        <f t="shared" si="9"/>
        <v>4</v>
      </c>
      <c r="X1181" s="15">
        <f t="shared" si="10"/>
        <v>2025</v>
      </c>
    </row>
    <row r="1182">
      <c r="A1182" s="9">
        <v>45777.0</v>
      </c>
      <c r="B1182" s="10"/>
      <c r="C1182" s="9">
        <f t="shared" si="22"/>
        <v>45777</v>
      </c>
      <c r="D1182" s="11" t="s">
        <v>528</v>
      </c>
      <c r="E1182" s="11" t="s">
        <v>25</v>
      </c>
      <c r="F1182" s="11" t="s">
        <v>40</v>
      </c>
      <c r="G1182" s="11" t="s">
        <v>27</v>
      </c>
      <c r="H1182" s="11" t="s">
        <v>718</v>
      </c>
      <c r="I1182" s="12">
        <v>116.29</v>
      </c>
      <c r="J1182" s="13"/>
      <c r="K1182" s="13">
        <f t="shared" si="55"/>
        <v>116.29</v>
      </c>
      <c r="L1182" s="11" t="s">
        <v>34</v>
      </c>
      <c r="M1182" s="14"/>
      <c r="N1182" s="11" t="s">
        <v>355</v>
      </c>
      <c r="O1182" s="10" t="str">
        <f t="shared" si="48"/>
        <v>04/2025</v>
      </c>
      <c r="P1182" s="10" t="str">
        <f t="shared" si="29"/>
        <v>04/2025</v>
      </c>
      <c r="Q1182" s="15" t="str">
        <f t="array" ref="Q1182">IFERROR(XLOOKUP(N1182,'Classificação'!A:A,'Classificação'!B:B),"")</f>
        <v>IMPOSTOS E TAXAS DIVERSAS</v>
      </c>
      <c r="R1182" s="15" t="str">
        <f t="array" ref="R1182">IFERROR(XLOOKUP(Q1182,'Classificação'!B:B,'Classificação'!C:C),"")</f>
        <v>DESPESAS FIXAS (-)</v>
      </c>
      <c r="S1182" s="15">
        <f t="shared" si="5"/>
        <v>30</v>
      </c>
      <c r="T1182" s="15">
        <f t="shared" si="6"/>
        <v>4</v>
      </c>
      <c r="U1182" s="15">
        <f t="shared" si="7"/>
        <v>2025</v>
      </c>
      <c r="V1182" s="15">
        <f t="shared" si="8"/>
        <v>30</v>
      </c>
      <c r="W1182" s="15">
        <f t="shared" si="9"/>
        <v>4</v>
      </c>
      <c r="X1182" s="15">
        <f t="shared" si="10"/>
        <v>2025</v>
      </c>
    </row>
    <row r="1183">
      <c r="A1183" s="9">
        <v>45777.0</v>
      </c>
      <c r="B1183" s="10"/>
      <c r="C1183" s="9">
        <f t="shared" si="22"/>
        <v>45777</v>
      </c>
      <c r="D1183" s="11" t="s">
        <v>528</v>
      </c>
      <c r="E1183" s="11" t="s">
        <v>25</v>
      </c>
      <c r="F1183" s="11" t="s">
        <v>40</v>
      </c>
      <c r="G1183" s="11" t="s">
        <v>27</v>
      </c>
      <c r="H1183" s="11" t="s">
        <v>718</v>
      </c>
      <c r="I1183" s="12">
        <v>166.44</v>
      </c>
      <c r="J1183" s="13"/>
      <c r="K1183" s="13">
        <f t="shared" si="55"/>
        <v>166.44</v>
      </c>
      <c r="L1183" s="11" t="s">
        <v>34</v>
      </c>
      <c r="M1183" s="14"/>
      <c r="N1183" s="11" t="s">
        <v>35</v>
      </c>
      <c r="O1183" s="10" t="str">
        <f t="shared" si="48"/>
        <v>04/2025</v>
      </c>
      <c r="P1183" s="10" t="str">
        <f t="shared" si="29"/>
        <v>04/2025</v>
      </c>
      <c r="Q1183" s="15" t="str">
        <f t="array" ref="Q1183">IFERROR(XLOOKUP(N1183,'Classificação'!A:A,'Classificação'!B:B),"")</f>
        <v>COMPRA DE MERCADORIA</v>
      </c>
      <c r="R1183" s="15" t="str">
        <f t="array" ref="R1183">IFERROR(XLOOKUP(Q1183,'Classificação'!B:B,'Classificação'!C:C),"")</f>
        <v>CUSTOS VARIÁVEIS</v>
      </c>
      <c r="S1183" s="15">
        <f t="shared" si="5"/>
        <v>30</v>
      </c>
      <c r="T1183" s="15">
        <f t="shared" si="6"/>
        <v>4</v>
      </c>
      <c r="U1183" s="15">
        <f t="shared" si="7"/>
        <v>2025</v>
      </c>
      <c r="V1183" s="15">
        <f t="shared" si="8"/>
        <v>30</v>
      </c>
      <c r="W1183" s="15">
        <f t="shared" si="9"/>
        <v>4</v>
      </c>
      <c r="X1183" s="15">
        <f t="shared" si="10"/>
        <v>2025</v>
      </c>
    </row>
    <row r="1184">
      <c r="A1184" s="9">
        <v>45779.0</v>
      </c>
      <c r="B1184" s="10"/>
      <c r="C1184" s="9">
        <f t="shared" si="22"/>
        <v>45779</v>
      </c>
      <c r="D1184" s="11" t="s">
        <v>24</v>
      </c>
      <c r="E1184" s="11" t="s">
        <v>25</v>
      </c>
      <c r="F1184" s="11" t="s">
        <v>26</v>
      </c>
      <c r="G1184" s="11" t="s">
        <v>37</v>
      </c>
      <c r="H1184" s="11" t="s">
        <v>28</v>
      </c>
      <c r="I1184" s="12">
        <v>6385.68</v>
      </c>
      <c r="J1184" s="13"/>
      <c r="K1184" s="13">
        <f t="shared" si="55"/>
        <v>6385.68</v>
      </c>
      <c r="L1184" s="11" t="s">
        <v>29</v>
      </c>
      <c r="M1184" s="14"/>
      <c r="N1184" s="11" t="s">
        <v>30</v>
      </c>
      <c r="O1184" s="10" t="str">
        <f t="shared" si="48"/>
        <v>05/2025</v>
      </c>
      <c r="P1184" s="10" t="str">
        <f t="shared" si="29"/>
        <v>05/2025</v>
      </c>
      <c r="Q1184" s="15" t="str">
        <f t="array" ref="Q1184">IFERROR(XLOOKUP(N1184,'Classificação'!A:A,'Classificação'!B:B),"")</f>
        <v>DESPESAS COM OCUPAÇÃO</v>
      </c>
      <c r="R1184" s="15" t="str">
        <f t="array" ref="R1184">IFERROR(XLOOKUP(Q1184,'Classificação'!B:B,'Classificação'!C:C),"")</f>
        <v>DESPESAS FIXAS (-)</v>
      </c>
      <c r="S1184" s="15">
        <f t="shared" si="5"/>
        <v>2</v>
      </c>
      <c r="T1184" s="15">
        <f t="shared" si="6"/>
        <v>5</v>
      </c>
      <c r="U1184" s="15">
        <f t="shared" si="7"/>
        <v>2025</v>
      </c>
      <c r="V1184" s="15">
        <f t="shared" si="8"/>
        <v>2</v>
      </c>
      <c r="W1184" s="15">
        <f t="shared" si="9"/>
        <v>5</v>
      </c>
      <c r="X1184" s="15">
        <f t="shared" si="10"/>
        <v>2025</v>
      </c>
    </row>
    <row r="1185">
      <c r="A1185" s="9">
        <v>45779.0</v>
      </c>
      <c r="B1185" s="10"/>
      <c r="C1185" s="9">
        <f t="shared" si="22"/>
        <v>45779</v>
      </c>
      <c r="D1185" s="11" t="s">
        <v>288</v>
      </c>
      <c r="E1185" s="11" t="s">
        <v>25</v>
      </c>
      <c r="F1185" s="11" t="s">
        <v>26</v>
      </c>
      <c r="G1185" s="11" t="s">
        <v>37</v>
      </c>
      <c r="H1185" s="11" t="s">
        <v>289</v>
      </c>
      <c r="I1185" s="12">
        <v>59.5</v>
      </c>
      <c r="J1185" s="13"/>
      <c r="K1185" s="13">
        <f t="shared" si="55"/>
        <v>59.5</v>
      </c>
      <c r="L1185" s="11" t="s">
        <v>29</v>
      </c>
      <c r="M1185" s="16"/>
      <c r="N1185" s="11" t="s">
        <v>105</v>
      </c>
      <c r="O1185" s="10" t="str">
        <f t="shared" si="48"/>
        <v>05/2025</v>
      </c>
      <c r="P1185" s="10" t="str">
        <f t="shared" si="29"/>
        <v>05/2025</v>
      </c>
      <c r="Q1185" s="15" t="str">
        <f t="array" ref="Q1185">IFERROR(XLOOKUP(N1185,'Classificação'!A:A,'Classificação'!B:B),"")</f>
        <v>DESPESAS ADMINISTRATIVAS</v>
      </c>
      <c r="R1185" s="15" t="str">
        <f t="array" ref="R1185">IFERROR(XLOOKUP(Q1185,'Classificação'!B:B,'Classificação'!C:C),"")</f>
        <v>DESPESAS FIXAS (-)</v>
      </c>
      <c r="S1185" s="15">
        <f t="shared" si="5"/>
        <v>2</v>
      </c>
      <c r="T1185" s="15">
        <f t="shared" si="6"/>
        <v>5</v>
      </c>
      <c r="U1185" s="15">
        <f t="shared" si="7"/>
        <v>2025</v>
      </c>
      <c r="V1185" s="15">
        <f t="shared" si="8"/>
        <v>2</v>
      </c>
      <c r="W1185" s="15">
        <f t="shared" si="9"/>
        <v>5</v>
      </c>
      <c r="X1185" s="15">
        <f t="shared" si="10"/>
        <v>2025</v>
      </c>
    </row>
    <row r="1186">
      <c r="A1186" s="9">
        <v>45782.0</v>
      </c>
      <c r="B1186" s="10"/>
      <c r="C1186" s="9">
        <f t="shared" si="22"/>
        <v>45782</v>
      </c>
      <c r="D1186" s="11" t="s">
        <v>44</v>
      </c>
      <c r="E1186" s="11" t="s">
        <v>25</v>
      </c>
      <c r="F1186" s="11" t="s">
        <v>45</v>
      </c>
      <c r="G1186" s="11" t="s">
        <v>27</v>
      </c>
      <c r="H1186" s="11" t="s">
        <v>651</v>
      </c>
      <c r="I1186" s="12">
        <v>3185.43</v>
      </c>
      <c r="J1186" s="13"/>
      <c r="K1186" s="13">
        <f t="shared" si="55"/>
        <v>3185.43</v>
      </c>
      <c r="L1186" s="11" t="s">
        <v>53</v>
      </c>
      <c r="M1186" s="16" t="s">
        <v>719</v>
      </c>
      <c r="N1186" s="11" t="s">
        <v>73</v>
      </c>
      <c r="O1186" s="10" t="str">
        <f t="shared" si="48"/>
        <v>05/2025</v>
      </c>
      <c r="P1186" s="10" t="str">
        <f t="shared" si="29"/>
        <v>05/2025</v>
      </c>
      <c r="Q1186" s="15" t="str">
        <f t="array" ref="Q1186">IFERROR(XLOOKUP(N1186,'Classificação'!A:A,'Classificação'!B:B),"")</f>
        <v>DESPESAS NÃO OPERACIONAIS</v>
      </c>
      <c r="R1186" s="15" t="str">
        <f t="array" ref="R1186">IFERROR(XLOOKUP(Q1186,'Classificação'!B:B,'Classificação'!C:C),"")</f>
        <v>RESULTADO NÃO OPERACIONAL (+/-)</v>
      </c>
      <c r="S1186" s="15">
        <f t="shared" si="5"/>
        <v>5</v>
      </c>
      <c r="T1186" s="15">
        <f t="shared" si="6"/>
        <v>5</v>
      </c>
      <c r="U1186" s="15">
        <f t="shared" si="7"/>
        <v>2025</v>
      </c>
      <c r="V1186" s="15">
        <f t="shared" si="8"/>
        <v>5</v>
      </c>
      <c r="W1186" s="15">
        <f t="shared" si="9"/>
        <v>5</v>
      </c>
      <c r="X1186" s="15">
        <f t="shared" si="10"/>
        <v>2025</v>
      </c>
    </row>
    <row r="1187">
      <c r="A1187" s="9">
        <v>45782.0</v>
      </c>
      <c r="B1187" s="10"/>
      <c r="C1187" s="9">
        <f t="shared" si="22"/>
        <v>45782</v>
      </c>
      <c r="D1187" s="11" t="s">
        <v>36</v>
      </c>
      <c r="E1187" s="11" t="s">
        <v>25</v>
      </c>
      <c r="F1187" s="11" t="s">
        <v>32</v>
      </c>
      <c r="G1187" s="11" t="s">
        <v>37</v>
      </c>
      <c r="I1187" s="12">
        <v>2400.0</v>
      </c>
      <c r="J1187" s="13"/>
      <c r="K1187" s="13">
        <f t="shared" si="55"/>
        <v>2400</v>
      </c>
      <c r="L1187" s="11" t="s">
        <v>29</v>
      </c>
      <c r="M1187" s="14"/>
      <c r="N1187" s="11" t="s">
        <v>38</v>
      </c>
      <c r="O1187" s="10" t="str">
        <f t="shared" si="48"/>
        <v>05/2025</v>
      </c>
      <c r="P1187" s="10" t="str">
        <f t="shared" si="29"/>
        <v>05/2025</v>
      </c>
      <c r="Q1187" s="15" t="str">
        <f t="array" ref="Q1187">IFERROR(XLOOKUP(N1187,'Classificação'!A:A,'Classificação'!B:B),"")</f>
        <v>DESPESAS COM PESSOAL</v>
      </c>
      <c r="R1187" s="15" t="str">
        <f t="array" ref="R1187">IFERROR(XLOOKUP(Q1187,'Classificação'!B:B,'Classificação'!C:C),"")</f>
        <v>DESPESAS FIXAS (-)</v>
      </c>
      <c r="S1187" s="15">
        <f t="shared" si="5"/>
        <v>5</v>
      </c>
      <c r="T1187" s="15">
        <f t="shared" si="6"/>
        <v>5</v>
      </c>
      <c r="U1187" s="15">
        <f t="shared" si="7"/>
        <v>2025</v>
      </c>
      <c r="V1187" s="15">
        <f t="shared" si="8"/>
        <v>5</v>
      </c>
      <c r="W1187" s="15">
        <f t="shared" si="9"/>
        <v>5</v>
      </c>
      <c r="X1187" s="15">
        <f t="shared" si="10"/>
        <v>2025</v>
      </c>
    </row>
    <row r="1188">
      <c r="A1188" s="9">
        <v>45782.0</v>
      </c>
      <c r="B1188" s="10"/>
      <c r="C1188" s="9">
        <f t="shared" si="22"/>
        <v>45782</v>
      </c>
      <c r="D1188" s="11" t="s">
        <v>43</v>
      </c>
      <c r="E1188" s="11" t="s">
        <v>25</v>
      </c>
      <c r="F1188" s="11" t="s">
        <v>32</v>
      </c>
      <c r="G1188" s="11" t="s">
        <v>37</v>
      </c>
      <c r="I1188" s="12">
        <v>2400.0</v>
      </c>
      <c r="J1188" s="13"/>
      <c r="K1188" s="13">
        <f t="shared" si="55"/>
        <v>2400</v>
      </c>
      <c r="L1188" s="11" t="s">
        <v>29</v>
      </c>
      <c r="M1188" s="14"/>
      <c r="N1188" s="11" t="s">
        <v>38</v>
      </c>
      <c r="O1188" s="10" t="str">
        <f t="shared" si="48"/>
        <v>05/2025</v>
      </c>
      <c r="P1188" s="10" t="str">
        <f t="shared" si="29"/>
        <v>05/2025</v>
      </c>
      <c r="Q1188" s="15" t="str">
        <f t="array" ref="Q1188">IFERROR(XLOOKUP(N1188,'Classificação'!A:A,'Classificação'!B:B),"")</f>
        <v>DESPESAS COM PESSOAL</v>
      </c>
      <c r="R1188" s="15" t="str">
        <f t="array" ref="R1188">IFERROR(XLOOKUP(Q1188,'Classificação'!B:B,'Classificação'!C:C),"")</f>
        <v>DESPESAS FIXAS (-)</v>
      </c>
      <c r="S1188" s="15">
        <f t="shared" si="5"/>
        <v>5</v>
      </c>
      <c r="T1188" s="15">
        <f t="shared" si="6"/>
        <v>5</v>
      </c>
      <c r="U1188" s="15">
        <f t="shared" si="7"/>
        <v>2025</v>
      </c>
      <c r="V1188" s="15">
        <f t="shared" si="8"/>
        <v>5</v>
      </c>
      <c r="W1188" s="15">
        <f t="shared" si="9"/>
        <v>5</v>
      </c>
      <c r="X1188" s="15">
        <f t="shared" si="10"/>
        <v>2025</v>
      </c>
    </row>
    <row r="1189">
      <c r="A1189" s="9">
        <v>45782.0</v>
      </c>
      <c r="B1189" s="10"/>
      <c r="C1189" s="9">
        <f t="shared" si="22"/>
        <v>45782</v>
      </c>
      <c r="D1189" s="28" t="s">
        <v>76</v>
      </c>
      <c r="E1189" s="29" t="s">
        <v>25</v>
      </c>
      <c r="F1189" s="28" t="s">
        <v>26</v>
      </c>
      <c r="G1189" s="29" t="s">
        <v>37</v>
      </c>
      <c r="H1189" s="28" t="s">
        <v>84</v>
      </c>
      <c r="I1189" s="24">
        <v>1214.27</v>
      </c>
      <c r="J1189" s="13"/>
      <c r="K1189" s="13">
        <f t="shared" si="55"/>
        <v>1214.27</v>
      </c>
      <c r="L1189" s="28" t="s">
        <v>53</v>
      </c>
      <c r="M1189" s="16" t="s">
        <v>720</v>
      </c>
      <c r="N1189" s="28" t="s">
        <v>85</v>
      </c>
      <c r="O1189" s="10" t="str">
        <f t="shared" si="48"/>
        <v>05/2025</v>
      </c>
      <c r="P1189" s="10" t="str">
        <f t="shared" si="29"/>
        <v>05/2025</v>
      </c>
      <c r="Q1189" s="15" t="str">
        <f t="array" ref="Q1189">IFERROR(XLOOKUP(N1189,'Classificação'!A:A,'Classificação'!B:B),"")</f>
        <v>DESPESAS NÃO OPERACIONAIS</v>
      </c>
      <c r="R1189" s="15" t="str">
        <f t="array" ref="R1189">IFERROR(XLOOKUP(Q1189,'Classificação'!B:B,'Classificação'!C:C),"")</f>
        <v>RESULTADO NÃO OPERACIONAL (+/-)</v>
      </c>
      <c r="S1189" s="15">
        <f t="shared" si="5"/>
        <v>5</v>
      </c>
      <c r="T1189" s="15">
        <f t="shared" si="6"/>
        <v>5</v>
      </c>
      <c r="U1189" s="15">
        <f t="shared" si="7"/>
        <v>2025</v>
      </c>
      <c r="V1189" s="15">
        <f t="shared" si="8"/>
        <v>5</v>
      </c>
      <c r="W1189" s="15">
        <f t="shared" si="9"/>
        <v>5</v>
      </c>
      <c r="X1189" s="15">
        <f t="shared" si="10"/>
        <v>2025</v>
      </c>
    </row>
    <row r="1190">
      <c r="A1190" s="9">
        <v>45782.0</v>
      </c>
      <c r="B1190" s="10"/>
      <c r="C1190" s="9">
        <f t="shared" si="22"/>
        <v>45782</v>
      </c>
      <c r="D1190" s="11" t="s">
        <v>658</v>
      </c>
      <c r="E1190" s="11" t="s">
        <v>25</v>
      </c>
      <c r="F1190" s="11" t="s">
        <v>40</v>
      </c>
      <c r="G1190" s="11" t="s">
        <v>37</v>
      </c>
      <c r="H1190" s="11" t="s">
        <v>659</v>
      </c>
      <c r="I1190" s="12">
        <v>295.0</v>
      </c>
      <c r="J1190" s="13"/>
      <c r="K1190" s="13">
        <f t="shared" si="55"/>
        <v>295</v>
      </c>
      <c r="L1190" s="11" t="s">
        <v>53</v>
      </c>
      <c r="M1190" s="17">
        <v>45690.0</v>
      </c>
      <c r="N1190" s="11" t="s">
        <v>120</v>
      </c>
      <c r="O1190" s="10" t="str">
        <f t="shared" si="48"/>
        <v>05/2025</v>
      </c>
      <c r="P1190" s="10" t="str">
        <f t="shared" si="29"/>
        <v>05/2025</v>
      </c>
      <c r="Q1190" s="15" t="str">
        <f t="array" ref="Q1190">IFERROR(XLOOKUP(N1190,'Classificação'!A:A,'Classificação'!B:B),"")</f>
        <v>DESPESAS ADMINISTRATIVAS</v>
      </c>
      <c r="R1190" s="15" t="str">
        <f t="array" ref="R1190">IFERROR(XLOOKUP(Q1190,'Classificação'!B:B,'Classificação'!C:C),"")</f>
        <v>DESPESAS FIXAS (-)</v>
      </c>
      <c r="S1190" s="15">
        <f t="shared" si="5"/>
        <v>5</v>
      </c>
      <c r="T1190" s="15">
        <f t="shared" si="6"/>
        <v>5</v>
      </c>
      <c r="U1190" s="15">
        <f t="shared" si="7"/>
        <v>2025</v>
      </c>
      <c r="V1190" s="15">
        <f t="shared" si="8"/>
        <v>5</v>
      </c>
      <c r="W1190" s="15">
        <f t="shared" si="9"/>
        <v>5</v>
      </c>
      <c r="X1190" s="15">
        <f t="shared" si="10"/>
        <v>2025</v>
      </c>
    </row>
    <row r="1191">
      <c r="A1191" s="26">
        <v>45782.0</v>
      </c>
      <c r="B1191" s="10"/>
      <c r="C1191" s="9">
        <f t="shared" si="22"/>
        <v>45782</v>
      </c>
      <c r="D1191" s="11" t="s">
        <v>43</v>
      </c>
      <c r="E1191" s="11" t="s">
        <v>25</v>
      </c>
      <c r="F1191" s="29" t="s">
        <v>26</v>
      </c>
      <c r="G1191" s="29" t="s">
        <v>37</v>
      </c>
      <c r="H1191" s="11" t="s">
        <v>460</v>
      </c>
      <c r="I1191" s="12">
        <v>69.3</v>
      </c>
      <c r="J1191" s="13"/>
      <c r="K1191" s="13">
        <f t="shared" si="55"/>
        <v>69.3</v>
      </c>
      <c r="L1191" s="28" t="s">
        <v>53</v>
      </c>
      <c r="M1191" s="17">
        <v>45633.0</v>
      </c>
      <c r="N1191" s="11" t="s">
        <v>105</v>
      </c>
      <c r="O1191" s="10" t="str">
        <f t="shared" si="48"/>
        <v>05/2025</v>
      </c>
      <c r="P1191" s="10" t="str">
        <f t="shared" si="29"/>
        <v>05/2025</v>
      </c>
      <c r="Q1191" s="15" t="str">
        <f t="array" ref="Q1191">IFERROR(XLOOKUP(N1191,'Classificação'!A:A,'Classificação'!B:B),"")</f>
        <v>DESPESAS ADMINISTRATIVAS</v>
      </c>
      <c r="R1191" s="15" t="str">
        <f t="array" ref="R1191">IFERROR(XLOOKUP(Q1191,'Classificação'!B:B,'Classificação'!C:C),"")</f>
        <v>DESPESAS FIXAS (-)</v>
      </c>
      <c r="S1191" s="15">
        <f t="shared" si="5"/>
        <v>5</v>
      </c>
      <c r="T1191" s="15">
        <f t="shared" si="6"/>
        <v>5</v>
      </c>
      <c r="U1191" s="15">
        <f t="shared" si="7"/>
        <v>2025</v>
      </c>
      <c r="V1191" s="15">
        <f t="shared" si="8"/>
        <v>5</v>
      </c>
      <c r="W1191" s="15">
        <f t="shared" si="9"/>
        <v>5</v>
      </c>
      <c r="X1191" s="15">
        <f t="shared" si="10"/>
        <v>2025</v>
      </c>
    </row>
    <row r="1192">
      <c r="A1192" s="9">
        <v>45782.0</v>
      </c>
      <c r="B1192" s="9">
        <v>45667.0</v>
      </c>
      <c r="C1192" s="9">
        <f t="shared" si="22"/>
        <v>45782</v>
      </c>
      <c r="D1192" s="11" t="s">
        <v>533</v>
      </c>
      <c r="E1192" s="11" t="s">
        <v>25</v>
      </c>
      <c r="F1192" s="11" t="s">
        <v>26</v>
      </c>
      <c r="G1192" s="11" t="s">
        <v>37</v>
      </c>
      <c r="H1192" s="11" t="s">
        <v>534</v>
      </c>
      <c r="I1192" s="12">
        <v>89.75</v>
      </c>
      <c r="J1192" s="13"/>
      <c r="K1192" s="13">
        <f t="shared" si="55"/>
        <v>89.75</v>
      </c>
      <c r="L1192" s="11" t="s">
        <v>53</v>
      </c>
      <c r="M1192" s="17">
        <v>45751.0</v>
      </c>
      <c r="N1192" s="11" t="s">
        <v>175</v>
      </c>
      <c r="O1192" s="10" t="str">
        <f t="shared" si="48"/>
        <v>05/2025</v>
      </c>
      <c r="P1192" s="10" t="str">
        <f t="shared" si="29"/>
        <v>05/2025</v>
      </c>
      <c r="Q1192" s="15" t="str">
        <f t="array" ref="Q1192">IFERROR(XLOOKUP(N1192,'Classificação'!A:A,'Classificação'!B:B),"")</f>
        <v>DESPESAS COM VEICULOS</v>
      </c>
      <c r="R1192" s="15" t="str">
        <f t="array" ref="R1192">IFERROR(XLOOKUP(Q1192,'Classificação'!B:B,'Classificação'!C:C),"")</f>
        <v>DESPESAS FIXAS (-)</v>
      </c>
      <c r="S1192" s="15">
        <f t="shared" si="5"/>
        <v>5</v>
      </c>
      <c r="T1192" s="15">
        <f t="shared" si="6"/>
        <v>5</v>
      </c>
      <c r="U1192" s="15">
        <f t="shared" si="7"/>
        <v>2025</v>
      </c>
      <c r="V1192" s="15">
        <f t="shared" si="8"/>
        <v>5</v>
      </c>
      <c r="W1192" s="15">
        <f t="shared" si="9"/>
        <v>5</v>
      </c>
      <c r="X1192" s="15">
        <f t="shared" si="10"/>
        <v>2025</v>
      </c>
    </row>
    <row r="1193">
      <c r="A1193" s="26">
        <v>45782.0</v>
      </c>
      <c r="B1193" s="39">
        <v>45611.0</v>
      </c>
      <c r="C1193" s="9">
        <f t="shared" si="22"/>
        <v>45782</v>
      </c>
      <c r="D1193" s="28" t="s">
        <v>361</v>
      </c>
      <c r="E1193" s="11" t="s">
        <v>25</v>
      </c>
      <c r="F1193" s="28" t="s">
        <v>26</v>
      </c>
      <c r="G1193" s="28" t="s">
        <v>37</v>
      </c>
      <c r="H1193" s="29" t="s">
        <v>535</v>
      </c>
      <c r="I1193" s="24">
        <v>282.35</v>
      </c>
      <c r="J1193" s="13"/>
      <c r="K1193" s="13">
        <f t="shared" si="55"/>
        <v>282.35</v>
      </c>
      <c r="L1193" s="28" t="s">
        <v>53</v>
      </c>
      <c r="M1193" s="17">
        <v>45997.0</v>
      </c>
      <c r="N1193" s="28" t="s">
        <v>363</v>
      </c>
      <c r="O1193" s="10" t="str">
        <f t="shared" si="48"/>
        <v>05/2025</v>
      </c>
      <c r="P1193" s="10" t="str">
        <f t="shared" si="29"/>
        <v>05/2025</v>
      </c>
      <c r="Q1193" s="15" t="str">
        <f t="array" ref="Q1193">IFERROR(XLOOKUP(N1193,'Classificação'!A:A,'Classificação'!B:B),"")</f>
        <v>DESPESAS NÃO OPERACIONAIS</v>
      </c>
      <c r="R1193" s="15" t="str">
        <f t="array" ref="R1193">IFERROR(XLOOKUP(Q1193,'Classificação'!B:B,'Classificação'!C:C),"")</f>
        <v>RESULTADO NÃO OPERACIONAL (+/-)</v>
      </c>
      <c r="S1193" s="15">
        <f t="shared" si="5"/>
        <v>5</v>
      </c>
      <c r="T1193" s="15">
        <f t="shared" si="6"/>
        <v>5</v>
      </c>
      <c r="U1193" s="15">
        <f t="shared" si="7"/>
        <v>2025</v>
      </c>
      <c r="V1193" s="15">
        <f t="shared" si="8"/>
        <v>5</v>
      </c>
      <c r="W1193" s="15">
        <f t="shared" si="9"/>
        <v>5</v>
      </c>
      <c r="X1193" s="15">
        <f t="shared" si="10"/>
        <v>2025</v>
      </c>
    </row>
    <row r="1194">
      <c r="A1194" s="27">
        <v>45782.0</v>
      </c>
      <c r="B1194" s="30"/>
      <c r="C1194" s="27">
        <f t="shared" si="22"/>
        <v>45782</v>
      </c>
      <c r="D1194" s="28" t="s">
        <v>36</v>
      </c>
      <c r="E1194" s="29" t="s">
        <v>25</v>
      </c>
      <c r="F1194" s="28" t="s">
        <v>32</v>
      </c>
      <c r="G1194" s="29" t="s">
        <v>27</v>
      </c>
      <c r="H1194" s="28"/>
      <c r="I1194" s="37">
        <v>2400.0</v>
      </c>
      <c r="J1194" s="34"/>
      <c r="K1194" s="37">
        <f t="shared" ref="K1194:K1195" si="56">IF(E1194="pago",(I1194-J1194),"")</f>
        <v>2400</v>
      </c>
      <c r="L1194" s="28" t="s">
        <v>29</v>
      </c>
      <c r="M1194" s="28"/>
      <c r="N1194" s="28" t="s">
        <v>38</v>
      </c>
      <c r="O1194" s="10" t="str">
        <f t="shared" si="48"/>
        <v>05/2025</v>
      </c>
      <c r="P1194" s="10" t="str">
        <f t="shared" si="29"/>
        <v>05/2025</v>
      </c>
      <c r="Q1194" s="15" t="str">
        <f t="array" ref="Q1194">IFERROR(XLOOKUP(N1194,'Classificação'!A:A,'Classificação'!B:B),"")</f>
        <v>DESPESAS COM PESSOAL</v>
      </c>
      <c r="R1194" s="15" t="str">
        <f t="array" ref="R1194">IFERROR(XLOOKUP(Q1194,'Classificação'!B:B,'Classificação'!C:C),"")</f>
        <v>DESPESAS FIXAS (-)</v>
      </c>
      <c r="S1194" s="15">
        <f t="shared" si="5"/>
        <v>5</v>
      </c>
      <c r="T1194" s="15">
        <f t="shared" si="6"/>
        <v>5</v>
      </c>
      <c r="U1194" s="15">
        <f t="shared" si="7"/>
        <v>2025</v>
      </c>
      <c r="V1194" s="15">
        <f t="shared" si="8"/>
        <v>5</v>
      </c>
      <c r="W1194" s="15">
        <f t="shared" si="9"/>
        <v>5</v>
      </c>
      <c r="X1194" s="15">
        <f t="shared" si="10"/>
        <v>2025</v>
      </c>
    </row>
    <row r="1195">
      <c r="A1195" s="27">
        <v>45782.0</v>
      </c>
      <c r="B1195" s="30"/>
      <c r="C1195" s="27">
        <f t="shared" si="22"/>
        <v>45782</v>
      </c>
      <c r="D1195" s="28" t="s">
        <v>43</v>
      </c>
      <c r="E1195" s="29" t="s">
        <v>25</v>
      </c>
      <c r="F1195" s="28" t="s">
        <v>32</v>
      </c>
      <c r="G1195" s="29" t="s">
        <v>27</v>
      </c>
      <c r="H1195" s="28"/>
      <c r="I1195" s="24">
        <v>2399.0</v>
      </c>
      <c r="J1195" s="34"/>
      <c r="K1195" s="37">
        <f t="shared" si="56"/>
        <v>2399</v>
      </c>
      <c r="L1195" s="28" t="s">
        <v>29</v>
      </c>
      <c r="M1195" s="28"/>
      <c r="N1195" s="28" t="s">
        <v>38</v>
      </c>
      <c r="O1195" s="10" t="str">
        <f t="shared" si="48"/>
        <v>05/2025</v>
      </c>
      <c r="P1195" s="10" t="str">
        <f t="shared" si="29"/>
        <v>05/2025</v>
      </c>
      <c r="Q1195" s="15" t="str">
        <f t="array" ref="Q1195">IFERROR(XLOOKUP(N1195,'Classificação'!A:A,'Classificação'!B:B),"")</f>
        <v>DESPESAS COM PESSOAL</v>
      </c>
      <c r="R1195" s="15" t="str">
        <f t="array" ref="R1195">IFERROR(XLOOKUP(Q1195,'Classificação'!B:B,'Classificação'!C:C),"")</f>
        <v>DESPESAS FIXAS (-)</v>
      </c>
      <c r="S1195" s="15">
        <f t="shared" si="5"/>
        <v>5</v>
      </c>
      <c r="T1195" s="15">
        <f t="shared" si="6"/>
        <v>5</v>
      </c>
      <c r="U1195" s="15">
        <f t="shared" si="7"/>
        <v>2025</v>
      </c>
      <c r="V1195" s="15">
        <f t="shared" si="8"/>
        <v>5</v>
      </c>
      <c r="W1195" s="15">
        <f t="shared" si="9"/>
        <v>5</v>
      </c>
      <c r="X1195" s="15">
        <f t="shared" si="10"/>
        <v>2025</v>
      </c>
    </row>
    <row r="1196">
      <c r="A1196" s="9">
        <v>45785.0</v>
      </c>
      <c r="B1196" s="10"/>
      <c r="C1196" s="9">
        <f t="shared" si="22"/>
        <v>45785</v>
      </c>
      <c r="D1196" s="11" t="s">
        <v>520</v>
      </c>
      <c r="E1196" s="11" t="s">
        <v>25</v>
      </c>
      <c r="F1196" s="11" t="s">
        <v>26</v>
      </c>
      <c r="G1196" s="11" t="s">
        <v>37</v>
      </c>
      <c r="H1196" s="11" t="s">
        <v>721</v>
      </c>
      <c r="I1196" s="12">
        <v>212.5</v>
      </c>
      <c r="J1196" s="13"/>
      <c r="K1196" s="13">
        <f t="shared" ref="K1196:K1205" si="57">if(E1196="pago",(I1196-J1196),"")</f>
        <v>212.5</v>
      </c>
      <c r="L1196" s="11" t="s">
        <v>34</v>
      </c>
      <c r="M1196" s="14"/>
      <c r="N1196" s="11" t="s">
        <v>58</v>
      </c>
      <c r="O1196" s="10" t="str">
        <f t="shared" si="48"/>
        <v>05/2025</v>
      </c>
      <c r="P1196" s="10" t="str">
        <f t="shared" si="29"/>
        <v>05/2025</v>
      </c>
      <c r="Q1196" s="15" t="str">
        <f t="array" ref="Q1196">IFERROR(XLOOKUP(N1196,'Classificação'!A:A,'Classificação'!B:B),"")</f>
        <v>DESPESAS ADMINISTRATIVAS</v>
      </c>
      <c r="R1196" s="15" t="str">
        <f t="array" ref="R1196">IFERROR(XLOOKUP(Q1196,'Classificação'!B:B,'Classificação'!C:C),"")</f>
        <v>DESPESAS FIXAS (-)</v>
      </c>
      <c r="S1196" s="15">
        <f t="shared" si="5"/>
        <v>8</v>
      </c>
      <c r="T1196" s="15">
        <f t="shared" si="6"/>
        <v>5</v>
      </c>
      <c r="U1196" s="15">
        <f t="shared" si="7"/>
        <v>2025</v>
      </c>
      <c r="V1196" s="15">
        <f t="shared" si="8"/>
        <v>8</v>
      </c>
      <c r="W1196" s="15">
        <f t="shared" si="9"/>
        <v>5</v>
      </c>
      <c r="X1196" s="15">
        <f t="shared" si="10"/>
        <v>2025</v>
      </c>
    </row>
    <row r="1197">
      <c r="A1197" s="9">
        <v>45785.0</v>
      </c>
      <c r="B1197" s="10"/>
      <c r="C1197" s="9">
        <f t="shared" si="22"/>
        <v>45785</v>
      </c>
      <c r="D1197" s="11" t="s">
        <v>722</v>
      </c>
      <c r="E1197" s="11" t="s">
        <v>25</v>
      </c>
      <c r="F1197" s="11" t="s">
        <v>26</v>
      </c>
      <c r="G1197" s="11" t="s">
        <v>37</v>
      </c>
      <c r="H1197" s="11" t="s">
        <v>723</v>
      </c>
      <c r="I1197" s="12">
        <v>210.0</v>
      </c>
      <c r="J1197" s="13"/>
      <c r="K1197" s="13">
        <f t="shared" si="57"/>
        <v>210</v>
      </c>
      <c r="L1197" s="11" t="s">
        <v>34</v>
      </c>
      <c r="M1197" s="14"/>
      <c r="N1197" s="11" t="s">
        <v>143</v>
      </c>
      <c r="O1197" s="10" t="str">
        <f t="shared" si="48"/>
        <v>05/2025</v>
      </c>
      <c r="P1197" s="10" t="str">
        <f t="shared" si="29"/>
        <v>05/2025</v>
      </c>
      <c r="Q1197" s="15" t="str">
        <f t="array" ref="Q1197">IFERROR(XLOOKUP(N1197,'Classificação'!A:A,'Classificação'!B:B),"")</f>
        <v>EMBALAGENS/FITAS/GERAL</v>
      </c>
      <c r="R1197" s="15" t="str">
        <f t="array" ref="R1197">IFERROR(XLOOKUP(Q1197,'Classificação'!B:B,'Classificação'!C:C),"")</f>
        <v>CUSTOS VARIÁVEIS</v>
      </c>
      <c r="S1197" s="15">
        <f t="shared" si="5"/>
        <v>8</v>
      </c>
      <c r="T1197" s="15">
        <f t="shared" si="6"/>
        <v>5</v>
      </c>
      <c r="U1197" s="15">
        <f t="shared" si="7"/>
        <v>2025</v>
      </c>
      <c r="V1197" s="15">
        <f t="shared" si="8"/>
        <v>8</v>
      </c>
      <c r="W1197" s="15">
        <f t="shared" si="9"/>
        <v>5</v>
      </c>
      <c r="X1197" s="15">
        <f t="shared" si="10"/>
        <v>2025</v>
      </c>
    </row>
    <row r="1198">
      <c r="A1198" s="9">
        <v>45789.0</v>
      </c>
      <c r="B1198" s="10"/>
      <c r="C1198" s="9">
        <f t="shared" si="22"/>
        <v>45789</v>
      </c>
      <c r="D1198" s="11" t="s">
        <v>50</v>
      </c>
      <c r="E1198" s="11" t="s">
        <v>25</v>
      </c>
      <c r="F1198" s="11" t="s">
        <v>40</v>
      </c>
      <c r="G1198" s="11" t="s">
        <v>27</v>
      </c>
      <c r="H1198" s="11" t="s">
        <v>51</v>
      </c>
      <c r="I1198" s="12">
        <v>139.99</v>
      </c>
      <c r="J1198" s="13"/>
      <c r="K1198" s="13">
        <f t="shared" si="57"/>
        <v>139.99</v>
      </c>
      <c r="L1198" s="11" t="s">
        <v>29</v>
      </c>
      <c r="M1198" s="14"/>
      <c r="N1198" s="11" t="s">
        <v>51</v>
      </c>
      <c r="O1198" s="10" t="str">
        <f t="shared" si="48"/>
        <v>05/2025</v>
      </c>
      <c r="P1198" s="10" t="str">
        <f t="shared" si="29"/>
        <v>05/2025</v>
      </c>
      <c r="Q1198" s="15" t="str">
        <f t="array" ref="Q1198">IFERROR(XLOOKUP(N1198,'Classificação'!A:A,'Classificação'!B:B),"")</f>
        <v>DESPESAS COM OCUPAÇÃO</v>
      </c>
      <c r="R1198" s="15" t="str">
        <f t="array" ref="R1198">IFERROR(XLOOKUP(Q1198,'Classificação'!B:B,'Classificação'!C:C),"")</f>
        <v>DESPESAS FIXAS (-)</v>
      </c>
      <c r="S1198" s="15">
        <f t="shared" si="5"/>
        <v>12</v>
      </c>
      <c r="T1198" s="15">
        <f t="shared" si="6"/>
        <v>5</v>
      </c>
      <c r="U1198" s="15">
        <f t="shared" si="7"/>
        <v>2025</v>
      </c>
      <c r="V1198" s="15">
        <f t="shared" si="8"/>
        <v>12</v>
      </c>
      <c r="W1198" s="15">
        <f t="shared" si="9"/>
        <v>5</v>
      </c>
      <c r="X1198" s="15">
        <f t="shared" si="10"/>
        <v>2025</v>
      </c>
    </row>
    <row r="1199">
      <c r="A1199" s="9">
        <v>45789.0</v>
      </c>
      <c r="B1199" s="10"/>
      <c r="C1199" s="9">
        <f t="shared" si="22"/>
        <v>45789</v>
      </c>
      <c r="D1199" s="11" t="s">
        <v>44</v>
      </c>
      <c r="E1199" s="11" t="s">
        <v>25</v>
      </c>
      <c r="F1199" s="11" t="s">
        <v>45</v>
      </c>
      <c r="G1199" s="11" t="s">
        <v>27</v>
      </c>
      <c r="H1199" s="11" t="s">
        <v>52</v>
      </c>
      <c r="I1199" s="12">
        <v>480.32</v>
      </c>
      <c r="J1199" s="13"/>
      <c r="K1199" s="13">
        <f t="shared" si="57"/>
        <v>480.32</v>
      </c>
      <c r="L1199" s="11" t="s">
        <v>53</v>
      </c>
      <c r="M1199" s="16" t="s">
        <v>724</v>
      </c>
      <c r="N1199" s="11" t="s">
        <v>55</v>
      </c>
      <c r="O1199" s="10" t="str">
        <f t="shared" si="48"/>
        <v>05/2025</v>
      </c>
      <c r="P1199" s="10" t="str">
        <f t="shared" si="29"/>
        <v>05/2025</v>
      </c>
      <c r="Q1199" s="15" t="str">
        <f t="array" ref="Q1199">IFERROR(XLOOKUP(N1199,'Classificação'!A:A,'Classificação'!B:B),"")</f>
        <v>DESPESAS NÃO OPERACIONAIS</v>
      </c>
      <c r="R1199" s="15" t="str">
        <f t="array" ref="R1199">IFERROR(XLOOKUP(Q1199,'Classificação'!B:B,'Classificação'!C:C),"")</f>
        <v>RESULTADO NÃO OPERACIONAL (+/-)</v>
      </c>
      <c r="S1199" s="15">
        <f t="shared" si="5"/>
        <v>12</v>
      </c>
      <c r="T1199" s="15">
        <f t="shared" si="6"/>
        <v>5</v>
      </c>
      <c r="U1199" s="15">
        <f t="shared" si="7"/>
        <v>2025</v>
      </c>
      <c r="V1199" s="15">
        <f t="shared" si="8"/>
        <v>12</v>
      </c>
      <c r="W1199" s="15">
        <f t="shared" si="9"/>
        <v>5</v>
      </c>
      <c r="X1199" s="15">
        <f t="shared" si="10"/>
        <v>2025</v>
      </c>
    </row>
    <row r="1200">
      <c r="A1200" s="9">
        <v>45789.0</v>
      </c>
      <c r="B1200" s="10"/>
      <c r="C1200" s="9">
        <f t="shared" si="22"/>
        <v>45789</v>
      </c>
      <c r="D1200" s="11" t="s">
        <v>48</v>
      </c>
      <c r="E1200" s="11" t="s">
        <v>25</v>
      </c>
      <c r="F1200" s="11" t="s">
        <v>40</v>
      </c>
      <c r="G1200" s="11" t="s">
        <v>27</v>
      </c>
      <c r="I1200" s="12">
        <v>1433.18</v>
      </c>
      <c r="J1200" s="13"/>
      <c r="K1200" s="13">
        <f t="shared" si="57"/>
        <v>1433.18</v>
      </c>
      <c r="L1200" s="11" t="s">
        <v>29</v>
      </c>
      <c r="M1200" s="14"/>
      <c r="N1200" s="11" t="s">
        <v>49</v>
      </c>
      <c r="O1200" s="10" t="str">
        <f t="shared" si="48"/>
        <v>05/2025</v>
      </c>
      <c r="P1200" s="10" t="str">
        <f t="shared" si="29"/>
        <v>05/2025</v>
      </c>
      <c r="Q1200" s="15" t="str">
        <f t="array" ref="Q1200">IFERROR(XLOOKUP(N1200,'Classificação'!A:A,'Classificação'!B:B),"")</f>
        <v>DESPESAS COM PESSOAL</v>
      </c>
      <c r="R1200" s="15" t="str">
        <f t="array" ref="R1200">IFERROR(XLOOKUP(Q1200,'Classificação'!B:B,'Classificação'!C:C),"")</f>
        <v>DESPESAS FIXAS (-)</v>
      </c>
      <c r="S1200" s="15">
        <f t="shared" si="5"/>
        <v>12</v>
      </c>
      <c r="T1200" s="15">
        <f t="shared" si="6"/>
        <v>5</v>
      </c>
      <c r="U1200" s="15">
        <f t="shared" si="7"/>
        <v>2025</v>
      </c>
      <c r="V1200" s="15">
        <f t="shared" si="8"/>
        <v>12</v>
      </c>
      <c r="W1200" s="15">
        <f t="shared" si="9"/>
        <v>5</v>
      </c>
      <c r="X1200" s="15">
        <f t="shared" si="10"/>
        <v>2025</v>
      </c>
    </row>
    <row r="1201">
      <c r="A1201" s="9">
        <v>45789.0</v>
      </c>
      <c r="B1201" s="10"/>
      <c r="C1201" s="9">
        <f t="shared" si="22"/>
        <v>45789</v>
      </c>
      <c r="D1201" s="11" t="s">
        <v>59</v>
      </c>
      <c r="E1201" s="11" t="s">
        <v>25</v>
      </c>
      <c r="F1201" s="11" t="s">
        <v>40</v>
      </c>
      <c r="G1201" s="11" t="s">
        <v>37</v>
      </c>
      <c r="H1201" s="11" t="s">
        <v>60</v>
      </c>
      <c r="I1201" s="12">
        <v>397.0</v>
      </c>
      <c r="J1201" s="13"/>
      <c r="K1201" s="13">
        <f t="shared" si="57"/>
        <v>397</v>
      </c>
      <c r="L1201" s="11" t="s">
        <v>29</v>
      </c>
      <c r="M1201" s="14"/>
      <c r="N1201" s="11" t="s">
        <v>61</v>
      </c>
      <c r="O1201" s="10" t="str">
        <f t="shared" si="48"/>
        <v>05/2025</v>
      </c>
      <c r="P1201" s="10" t="str">
        <f t="shared" si="29"/>
        <v>05/2025</v>
      </c>
      <c r="Q1201" s="15" t="str">
        <f t="array" ref="Q1201">IFERROR(XLOOKUP(N1201,'Classificação'!A:A,'Classificação'!B:B),"")</f>
        <v>DESPESAS ADMINISTRATIVAS</v>
      </c>
      <c r="R1201" s="15" t="str">
        <f t="array" ref="R1201">IFERROR(XLOOKUP(Q1201,'Classificação'!B:B,'Classificação'!C:C),"")</f>
        <v>DESPESAS FIXAS (-)</v>
      </c>
      <c r="S1201" s="15">
        <f t="shared" si="5"/>
        <v>12</v>
      </c>
      <c r="T1201" s="15">
        <f t="shared" si="6"/>
        <v>5</v>
      </c>
      <c r="U1201" s="15">
        <f t="shared" si="7"/>
        <v>2025</v>
      </c>
      <c r="V1201" s="15">
        <f t="shared" si="8"/>
        <v>12</v>
      </c>
      <c r="W1201" s="15">
        <f t="shared" si="9"/>
        <v>5</v>
      </c>
      <c r="X1201" s="15">
        <f t="shared" si="10"/>
        <v>2025</v>
      </c>
    </row>
    <row r="1202">
      <c r="A1202" s="9">
        <v>45789.0</v>
      </c>
      <c r="B1202" s="10"/>
      <c r="C1202" s="9">
        <f t="shared" si="22"/>
        <v>45789</v>
      </c>
      <c r="D1202" s="11" t="s">
        <v>104</v>
      </c>
      <c r="E1202" s="11" t="s">
        <v>25</v>
      </c>
      <c r="F1202" s="11" t="s">
        <v>40</v>
      </c>
      <c r="G1202" s="11" t="s">
        <v>37</v>
      </c>
      <c r="H1202" s="11" t="s">
        <v>413</v>
      </c>
      <c r="I1202" s="12">
        <v>27.5</v>
      </c>
      <c r="J1202" s="13"/>
      <c r="K1202" s="13">
        <f t="shared" si="57"/>
        <v>27.5</v>
      </c>
      <c r="L1202" s="11" t="s">
        <v>29</v>
      </c>
      <c r="M1202" s="14"/>
      <c r="N1202" s="11" t="s">
        <v>105</v>
      </c>
      <c r="O1202" s="10" t="str">
        <f t="shared" si="48"/>
        <v>05/2025</v>
      </c>
      <c r="P1202" s="10" t="str">
        <f t="shared" si="29"/>
        <v>05/2025</v>
      </c>
      <c r="Q1202" s="15" t="str">
        <f t="array" ref="Q1202">IFERROR(XLOOKUP(N1202,'Classificação'!A:A,'Classificação'!B:B),"")</f>
        <v>DESPESAS ADMINISTRATIVAS</v>
      </c>
      <c r="R1202" s="15" t="str">
        <f t="array" ref="R1202">IFERROR(XLOOKUP(Q1202,'Classificação'!B:B,'Classificação'!C:C),"")</f>
        <v>DESPESAS FIXAS (-)</v>
      </c>
      <c r="S1202" s="15">
        <f t="shared" si="5"/>
        <v>12</v>
      </c>
      <c r="T1202" s="15">
        <f t="shared" si="6"/>
        <v>5</v>
      </c>
      <c r="U1202" s="15">
        <f t="shared" si="7"/>
        <v>2025</v>
      </c>
      <c r="V1202" s="15">
        <f t="shared" si="8"/>
        <v>12</v>
      </c>
      <c r="W1202" s="15">
        <f t="shared" si="9"/>
        <v>5</v>
      </c>
      <c r="X1202" s="15">
        <f t="shared" si="10"/>
        <v>2025</v>
      </c>
    </row>
    <row r="1203">
      <c r="A1203" s="9">
        <v>45789.0</v>
      </c>
      <c r="B1203" s="10"/>
      <c r="C1203" s="9">
        <f t="shared" si="22"/>
        <v>45789</v>
      </c>
      <c r="D1203" s="11" t="s">
        <v>56</v>
      </c>
      <c r="E1203" s="11" t="s">
        <v>25</v>
      </c>
      <c r="F1203" s="11" t="s">
        <v>26</v>
      </c>
      <c r="G1203" s="11" t="s">
        <v>37</v>
      </c>
      <c r="H1203" s="11" t="s">
        <v>57</v>
      </c>
      <c r="I1203" s="12">
        <v>50.0</v>
      </c>
      <c r="J1203" s="13"/>
      <c r="K1203" s="13">
        <f t="shared" si="57"/>
        <v>50</v>
      </c>
      <c r="L1203" s="11" t="s">
        <v>29</v>
      </c>
      <c r="M1203" s="14"/>
      <c r="N1203" s="11" t="s">
        <v>58</v>
      </c>
      <c r="O1203" s="10" t="str">
        <f t="shared" si="48"/>
        <v>05/2025</v>
      </c>
      <c r="P1203" s="10" t="str">
        <f t="shared" si="29"/>
        <v>05/2025</v>
      </c>
      <c r="Q1203" s="15" t="str">
        <f t="array" ref="Q1203">IFERROR(XLOOKUP(N1203,'Classificação'!A:A,'Classificação'!B:B),"")</f>
        <v>DESPESAS ADMINISTRATIVAS</v>
      </c>
      <c r="R1203" s="15" t="str">
        <f t="array" ref="R1203">IFERROR(XLOOKUP(Q1203,'Classificação'!B:B,'Classificação'!C:C),"")</f>
        <v>DESPESAS FIXAS (-)</v>
      </c>
      <c r="S1203" s="15">
        <f t="shared" si="5"/>
        <v>12</v>
      </c>
      <c r="T1203" s="15">
        <f t="shared" si="6"/>
        <v>5</v>
      </c>
      <c r="U1203" s="15">
        <f t="shared" si="7"/>
        <v>2025</v>
      </c>
      <c r="V1203" s="15">
        <f t="shared" si="8"/>
        <v>12</v>
      </c>
      <c r="W1203" s="15">
        <f t="shared" si="9"/>
        <v>5</v>
      </c>
      <c r="X1203" s="15">
        <f t="shared" si="10"/>
        <v>2025</v>
      </c>
    </row>
    <row r="1204">
      <c r="A1204" s="9">
        <v>45789.0</v>
      </c>
      <c r="B1204" s="10"/>
      <c r="C1204" s="9">
        <f t="shared" si="22"/>
        <v>45789</v>
      </c>
      <c r="D1204" s="11" t="s">
        <v>65</v>
      </c>
      <c r="E1204" s="11" t="s">
        <v>25</v>
      </c>
      <c r="F1204" s="11" t="s">
        <v>45</v>
      </c>
      <c r="G1204" s="11" t="s">
        <v>66</v>
      </c>
      <c r="H1204" s="11" t="s">
        <v>67</v>
      </c>
      <c r="I1204" s="12">
        <v>666.38</v>
      </c>
      <c r="J1204" s="13"/>
      <c r="K1204" s="13">
        <f t="shared" si="57"/>
        <v>666.38</v>
      </c>
      <c r="L1204" s="11" t="s">
        <v>29</v>
      </c>
      <c r="M1204" s="14"/>
      <c r="N1204" s="11" t="s">
        <v>68</v>
      </c>
      <c r="O1204" s="10" t="str">
        <f t="shared" si="48"/>
        <v>05/2025</v>
      </c>
      <c r="P1204" s="10" t="str">
        <f t="shared" si="29"/>
        <v>05/2025</v>
      </c>
      <c r="Q1204" s="15" t="str">
        <f t="array" ref="Q1204">IFERROR(XLOOKUP(N1204,'Classificação'!A:A,'Classificação'!B:B),"")</f>
        <v>FRETE DE VENDAS</v>
      </c>
      <c r="R1204" s="15" t="str">
        <f t="array" ref="R1204">IFERROR(XLOOKUP(Q1204,'Classificação'!B:B,'Classificação'!C:C),"")</f>
        <v>CUSTOS VARIÁVEIS</v>
      </c>
      <c r="S1204" s="15">
        <f t="shared" si="5"/>
        <v>12</v>
      </c>
      <c r="T1204" s="15">
        <f t="shared" si="6"/>
        <v>5</v>
      </c>
      <c r="U1204" s="15">
        <f t="shared" si="7"/>
        <v>2025</v>
      </c>
      <c r="V1204" s="15">
        <f t="shared" si="8"/>
        <v>12</v>
      </c>
      <c r="W1204" s="15">
        <f t="shared" si="9"/>
        <v>5</v>
      </c>
      <c r="X1204" s="15">
        <f t="shared" si="10"/>
        <v>2025</v>
      </c>
    </row>
    <row r="1205">
      <c r="A1205" s="9">
        <v>45789.0</v>
      </c>
      <c r="B1205" s="10"/>
      <c r="C1205" s="9">
        <f t="shared" si="22"/>
        <v>45789</v>
      </c>
      <c r="D1205" s="11" t="s">
        <v>473</v>
      </c>
      <c r="E1205" s="11" t="s">
        <v>25</v>
      </c>
      <c r="F1205" s="11" t="s">
        <v>26</v>
      </c>
      <c r="G1205" s="11" t="s">
        <v>27</v>
      </c>
      <c r="H1205" s="11" t="s">
        <v>474</v>
      </c>
      <c r="I1205" s="12">
        <v>1166.6</v>
      </c>
      <c r="J1205" s="13"/>
      <c r="K1205" s="13">
        <f t="shared" si="57"/>
        <v>1166.6</v>
      </c>
      <c r="L1205" s="11" t="s">
        <v>53</v>
      </c>
      <c r="M1205" s="17">
        <v>45782.0</v>
      </c>
      <c r="N1205" s="11" t="s">
        <v>233</v>
      </c>
      <c r="O1205" s="10" t="str">
        <f t="shared" si="48"/>
        <v>05/2025</v>
      </c>
      <c r="P1205" s="10" t="str">
        <f t="shared" si="29"/>
        <v>05/2025</v>
      </c>
      <c r="Q1205" s="15" t="str">
        <f t="array" ref="Q1205">IFERROR(XLOOKUP(N1205,'Classificação'!A:A,'Classificação'!B:B),"")</f>
        <v>DESPESAS COM VEICULOS</v>
      </c>
      <c r="R1205" s="15" t="str">
        <f t="array" ref="R1205">IFERROR(XLOOKUP(Q1205,'Classificação'!B:B,'Classificação'!C:C),"")</f>
        <v>DESPESAS FIXAS (-)</v>
      </c>
      <c r="S1205" s="15">
        <f t="shared" si="5"/>
        <v>12</v>
      </c>
      <c r="T1205" s="15">
        <f t="shared" si="6"/>
        <v>5</v>
      </c>
      <c r="U1205" s="15">
        <f t="shared" si="7"/>
        <v>2025</v>
      </c>
      <c r="V1205" s="15">
        <f t="shared" si="8"/>
        <v>12</v>
      </c>
      <c r="W1205" s="15">
        <f t="shared" si="9"/>
        <v>5</v>
      </c>
      <c r="X1205" s="15">
        <f t="shared" si="10"/>
        <v>2025</v>
      </c>
    </row>
    <row r="1206">
      <c r="A1206" s="26">
        <v>45789.0</v>
      </c>
      <c r="B1206" s="26">
        <v>45693.0</v>
      </c>
      <c r="C1206" s="27">
        <f t="shared" si="22"/>
        <v>45789</v>
      </c>
      <c r="D1206" s="28" t="s">
        <v>86</v>
      </c>
      <c r="E1206" s="29" t="s">
        <v>25</v>
      </c>
      <c r="F1206" s="29" t="s">
        <v>87</v>
      </c>
      <c r="G1206" s="29" t="s">
        <v>27</v>
      </c>
      <c r="H1206" s="29" t="s">
        <v>725</v>
      </c>
      <c r="I1206" s="24">
        <v>1150.0</v>
      </c>
      <c r="J1206" s="34"/>
      <c r="K1206" s="37">
        <f t="shared" ref="K1206:K1207" si="58">IF(E1206="pago",(I1206-J1206),"")</f>
        <v>1150</v>
      </c>
      <c r="L1206" s="29" t="s">
        <v>53</v>
      </c>
      <c r="M1206" s="35">
        <v>45719.0</v>
      </c>
      <c r="N1206" s="28" t="s">
        <v>35</v>
      </c>
      <c r="O1206" s="10" t="str">
        <f t="shared" si="48"/>
        <v>05/2025</v>
      </c>
      <c r="P1206" s="10" t="str">
        <f t="shared" si="29"/>
        <v>05/2025</v>
      </c>
      <c r="Q1206" s="15" t="str">
        <f t="array" ref="Q1206">IFERROR(XLOOKUP(N1206,'Classificação'!A:A,'Classificação'!B:B),"")</f>
        <v>COMPRA DE MERCADORIA</v>
      </c>
      <c r="R1206" s="15" t="str">
        <f t="array" ref="R1206">IFERROR(XLOOKUP(Q1206,'Classificação'!B:B,'Classificação'!C:C),"")</f>
        <v>CUSTOS VARIÁVEIS</v>
      </c>
      <c r="S1206" s="15">
        <f t="shared" si="5"/>
        <v>12</v>
      </c>
      <c r="T1206" s="15">
        <f t="shared" si="6"/>
        <v>5</v>
      </c>
      <c r="U1206" s="15">
        <f t="shared" si="7"/>
        <v>2025</v>
      </c>
      <c r="V1206" s="15">
        <f t="shared" si="8"/>
        <v>12</v>
      </c>
      <c r="W1206" s="15">
        <f t="shared" si="9"/>
        <v>5</v>
      </c>
      <c r="X1206" s="15">
        <f t="shared" si="10"/>
        <v>2025</v>
      </c>
    </row>
    <row r="1207">
      <c r="A1207" s="9">
        <v>45789.0</v>
      </c>
      <c r="B1207" s="9">
        <v>45707.0</v>
      </c>
      <c r="C1207" s="9">
        <f t="shared" si="22"/>
        <v>45789</v>
      </c>
      <c r="D1207" s="11" t="s">
        <v>86</v>
      </c>
      <c r="E1207" s="11" t="s">
        <v>25</v>
      </c>
      <c r="F1207" s="11" t="s">
        <v>87</v>
      </c>
      <c r="G1207" s="11" t="s">
        <v>27</v>
      </c>
      <c r="H1207" s="11" t="s">
        <v>726</v>
      </c>
      <c r="I1207" s="12">
        <v>1500.0</v>
      </c>
      <c r="J1207" s="13"/>
      <c r="K1207" s="37">
        <f t="shared" si="58"/>
        <v>1500</v>
      </c>
      <c r="L1207" s="11" t="s">
        <v>53</v>
      </c>
      <c r="M1207" s="17">
        <v>45781.0</v>
      </c>
      <c r="N1207" s="11" t="s">
        <v>35</v>
      </c>
      <c r="O1207" s="10" t="str">
        <f t="shared" si="48"/>
        <v>05/2025</v>
      </c>
      <c r="P1207" s="10" t="str">
        <f t="shared" si="29"/>
        <v>05/2025</v>
      </c>
      <c r="Q1207" s="15" t="str">
        <f t="array" ref="Q1207">IFERROR(XLOOKUP(N1207,'Classificação'!A:A,'Classificação'!B:B),"")</f>
        <v>COMPRA DE MERCADORIA</v>
      </c>
      <c r="R1207" s="15" t="str">
        <f t="array" ref="R1207">IFERROR(XLOOKUP(Q1207,'Classificação'!B:B,'Classificação'!C:C),"")</f>
        <v>CUSTOS VARIÁVEIS</v>
      </c>
      <c r="S1207" s="15">
        <f t="shared" si="5"/>
        <v>12</v>
      </c>
      <c r="T1207" s="15">
        <f t="shared" si="6"/>
        <v>5</v>
      </c>
      <c r="U1207" s="15">
        <f t="shared" si="7"/>
        <v>2025</v>
      </c>
      <c r="V1207" s="15">
        <f t="shared" si="8"/>
        <v>12</v>
      </c>
      <c r="W1207" s="15">
        <f t="shared" si="9"/>
        <v>5</v>
      </c>
      <c r="X1207" s="15">
        <f t="shared" si="10"/>
        <v>2025</v>
      </c>
    </row>
    <row r="1208">
      <c r="A1208" s="26">
        <v>45789.0</v>
      </c>
      <c r="B1208" s="9">
        <v>45673.0</v>
      </c>
      <c r="C1208" s="9">
        <f t="shared" si="22"/>
        <v>45789</v>
      </c>
      <c r="D1208" s="11" t="s">
        <v>86</v>
      </c>
      <c r="E1208" s="11" t="s">
        <v>25</v>
      </c>
      <c r="F1208" s="11" t="s">
        <v>87</v>
      </c>
      <c r="G1208" s="11" t="s">
        <v>27</v>
      </c>
      <c r="H1208" s="11" t="s">
        <v>727</v>
      </c>
      <c r="I1208" s="12">
        <v>1420.0</v>
      </c>
      <c r="J1208" s="13"/>
      <c r="K1208" s="13">
        <f t="shared" ref="K1208:K1214" si="59">if(E1208="pago",(I1208-J1208),"")</f>
        <v>1420</v>
      </c>
      <c r="L1208" s="11" t="s">
        <v>53</v>
      </c>
      <c r="M1208" s="17">
        <v>45719.0</v>
      </c>
      <c r="N1208" s="11" t="s">
        <v>35</v>
      </c>
      <c r="O1208" s="10" t="str">
        <f t="shared" si="48"/>
        <v>05/2025</v>
      </c>
      <c r="P1208" s="10" t="str">
        <f t="shared" si="29"/>
        <v>05/2025</v>
      </c>
      <c r="Q1208" s="15" t="str">
        <f t="array" ref="Q1208">IFERROR(XLOOKUP(N1208,'Classificação'!A:A,'Classificação'!B:B),"")</f>
        <v>COMPRA DE MERCADORIA</v>
      </c>
      <c r="R1208" s="15" t="str">
        <f t="array" ref="R1208">IFERROR(XLOOKUP(Q1208,'Classificação'!B:B,'Classificação'!C:C),"")</f>
        <v>CUSTOS VARIÁVEIS</v>
      </c>
      <c r="S1208" s="15">
        <f t="shared" si="5"/>
        <v>12</v>
      </c>
      <c r="T1208" s="15">
        <f t="shared" si="6"/>
        <v>5</v>
      </c>
      <c r="U1208" s="15">
        <f t="shared" si="7"/>
        <v>2025</v>
      </c>
      <c r="V1208" s="15">
        <f t="shared" si="8"/>
        <v>12</v>
      </c>
      <c r="W1208" s="15">
        <f t="shared" si="9"/>
        <v>5</v>
      </c>
      <c r="X1208" s="15">
        <f t="shared" si="10"/>
        <v>2025</v>
      </c>
    </row>
    <row r="1209">
      <c r="A1209" s="26">
        <v>45789.0</v>
      </c>
      <c r="B1209" s="9">
        <v>45734.0</v>
      </c>
      <c r="C1209" s="9">
        <f t="shared" si="22"/>
        <v>45789</v>
      </c>
      <c r="D1209" s="11" t="s">
        <v>86</v>
      </c>
      <c r="E1209" s="11" t="s">
        <v>25</v>
      </c>
      <c r="F1209" s="11" t="s">
        <v>87</v>
      </c>
      <c r="G1209" s="11" t="s">
        <v>27</v>
      </c>
      <c r="H1209" s="11" t="s">
        <v>728</v>
      </c>
      <c r="I1209" s="12">
        <v>2260.0</v>
      </c>
      <c r="J1209" s="13"/>
      <c r="K1209" s="13">
        <f t="shared" si="59"/>
        <v>2260</v>
      </c>
      <c r="L1209" s="11" t="s">
        <v>53</v>
      </c>
      <c r="M1209" s="17">
        <v>45749.0</v>
      </c>
      <c r="N1209" s="11" t="s">
        <v>35</v>
      </c>
      <c r="O1209" s="10" t="str">
        <f t="shared" si="48"/>
        <v>05/2025</v>
      </c>
      <c r="P1209" s="10" t="str">
        <f t="shared" si="29"/>
        <v>05/2025</v>
      </c>
      <c r="Q1209" s="15" t="str">
        <f t="array" ref="Q1209">IFERROR(XLOOKUP(N1209,'Classificação'!A:A,'Classificação'!B:B),"")</f>
        <v>COMPRA DE MERCADORIA</v>
      </c>
      <c r="R1209" s="15" t="str">
        <f t="array" ref="R1209">IFERROR(XLOOKUP(Q1209,'Classificação'!B:B,'Classificação'!C:C),"")</f>
        <v>CUSTOS VARIÁVEIS</v>
      </c>
      <c r="S1209" s="15">
        <f t="shared" si="5"/>
        <v>12</v>
      </c>
      <c r="T1209" s="15">
        <f t="shared" si="6"/>
        <v>5</v>
      </c>
      <c r="U1209" s="15">
        <f t="shared" si="7"/>
        <v>2025</v>
      </c>
      <c r="V1209" s="15">
        <f t="shared" si="8"/>
        <v>12</v>
      </c>
      <c r="W1209" s="15">
        <f t="shared" si="9"/>
        <v>5</v>
      </c>
      <c r="X1209" s="15">
        <f t="shared" si="10"/>
        <v>2025</v>
      </c>
    </row>
    <row r="1210">
      <c r="A1210" s="9">
        <v>45791.0</v>
      </c>
      <c r="B1210" s="10"/>
      <c r="C1210" s="9">
        <f t="shared" si="22"/>
        <v>45791</v>
      </c>
      <c r="D1210" s="11" t="s">
        <v>44</v>
      </c>
      <c r="E1210" s="11" t="s">
        <v>25</v>
      </c>
      <c r="F1210" s="11" t="s">
        <v>45</v>
      </c>
      <c r="G1210" s="11" t="s">
        <v>27</v>
      </c>
      <c r="H1210" s="11" t="s">
        <v>476</v>
      </c>
      <c r="I1210" s="12">
        <v>5225.83</v>
      </c>
      <c r="J1210" s="13"/>
      <c r="K1210" s="13">
        <f t="shared" si="59"/>
        <v>5225.83</v>
      </c>
      <c r="L1210" s="11" t="s">
        <v>53</v>
      </c>
      <c r="M1210" s="16" t="s">
        <v>729</v>
      </c>
      <c r="N1210" s="11" t="s">
        <v>73</v>
      </c>
      <c r="O1210" s="10" t="str">
        <f t="shared" si="48"/>
        <v>05/2025</v>
      </c>
      <c r="P1210" s="10" t="str">
        <f t="shared" si="29"/>
        <v>05/2025</v>
      </c>
      <c r="Q1210" s="15" t="str">
        <f t="array" ref="Q1210">IFERROR(XLOOKUP(N1210,'Classificação'!A:A,'Classificação'!B:B),"")</f>
        <v>DESPESAS NÃO OPERACIONAIS</v>
      </c>
      <c r="R1210" s="15" t="str">
        <f t="array" ref="R1210">IFERROR(XLOOKUP(Q1210,'Classificação'!B:B,'Classificação'!C:C),"")</f>
        <v>RESULTADO NÃO OPERACIONAL (+/-)</v>
      </c>
      <c r="S1210" s="15">
        <f t="shared" si="5"/>
        <v>14</v>
      </c>
      <c r="T1210" s="15">
        <f t="shared" si="6"/>
        <v>5</v>
      </c>
      <c r="U1210" s="15">
        <f t="shared" si="7"/>
        <v>2025</v>
      </c>
      <c r="V1210" s="15">
        <f t="shared" si="8"/>
        <v>14</v>
      </c>
      <c r="W1210" s="15">
        <f t="shared" si="9"/>
        <v>5</v>
      </c>
      <c r="X1210" s="15">
        <f t="shared" si="10"/>
        <v>2025</v>
      </c>
    </row>
    <row r="1211">
      <c r="A1211" s="9">
        <v>45792.0</v>
      </c>
      <c r="B1211" s="10"/>
      <c r="C1211" s="9">
        <f t="shared" si="22"/>
        <v>45792</v>
      </c>
      <c r="D1211" s="11" t="s">
        <v>79</v>
      </c>
      <c r="E1211" s="11" t="s">
        <v>25</v>
      </c>
      <c r="F1211" s="11" t="s">
        <v>26</v>
      </c>
      <c r="G1211" s="11" t="s">
        <v>37</v>
      </c>
      <c r="I1211" s="12">
        <v>500.0</v>
      </c>
      <c r="J1211" s="13"/>
      <c r="K1211" s="13">
        <f t="shared" si="59"/>
        <v>500</v>
      </c>
      <c r="L1211" s="11" t="s">
        <v>29</v>
      </c>
      <c r="M1211" s="14"/>
      <c r="N1211" s="11" t="s">
        <v>38</v>
      </c>
      <c r="O1211" s="10" t="str">
        <f t="shared" si="48"/>
        <v>05/2025</v>
      </c>
      <c r="P1211" s="10" t="str">
        <f t="shared" si="29"/>
        <v>05/2025</v>
      </c>
      <c r="Q1211" s="15" t="str">
        <f t="array" ref="Q1211">IFERROR(XLOOKUP(N1211,'Classificação'!A:A,'Classificação'!B:B),"")</f>
        <v>DESPESAS COM PESSOAL</v>
      </c>
      <c r="R1211" s="15" t="str">
        <f t="array" ref="R1211">IFERROR(XLOOKUP(Q1211,'Classificação'!B:B,'Classificação'!C:C),"")</f>
        <v>DESPESAS FIXAS (-)</v>
      </c>
      <c r="S1211" s="15">
        <f t="shared" si="5"/>
        <v>15</v>
      </c>
      <c r="T1211" s="15">
        <f t="shared" si="6"/>
        <v>5</v>
      </c>
      <c r="U1211" s="15">
        <f t="shared" si="7"/>
        <v>2025</v>
      </c>
      <c r="V1211" s="15">
        <f t="shared" si="8"/>
        <v>15</v>
      </c>
      <c r="W1211" s="15">
        <f t="shared" si="9"/>
        <v>5</v>
      </c>
      <c r="X1211" s="15">
        <f t="shared" si="10"/>
        <v>2025</v>
      </c>
    </row>
    <row r="1212">
      <c r="A1212" s="9">
        <v>45792.0</v>
      </c>
      <c r="B1212" s="10"/>
      <c r="C1212" s="9">
        <f t="shared" si="22"/>
        <v>45792</v>
      </c>
      <c r="D1212" s="11" t="s">
        <v>80</v>
      </c>
      <c r="E1212" s="11" t="s">
        <v>25</v>
      </c>
      <c r="F1212" s="11" t="s">
        <v>32</v>
      </c>
      <c r="G1212" s="11" t="s">
        <v>27</v>
      </c>
      <c r="I1212" s="12">
        <v>780.0</v>
      </c>
      <c r="J1212" s="13"/>
      <c r="K1212" s="13">
        <f t="shared" si="59"/>
        <v>780</v>
      </c>
      <c r="L1212" s="11" t="s">
        <v>29</v>
      </c>
      <c r="M1212" s="14"/>
      <c r="N1212" s="11" t="s">
        <v>75</v>
      </c>
      <c r="O1212" s="10" t="str">
        <f t="shared" si="48"/>
        <v>05/2025</v>
      </c>
      <c r="P1212" s="10" t="str">
        <f t="shared" si="29"/>
        <v>05/2025</v>
      </c>
      <c r="Q1212" s="15" t="str">
        <f t="array" ref="Q1212">IFERROR(XLOOKUP(N1212,'Classificação'!A:A,'Classificação'!B:B),"")</f>
        <v>DESPESAS COM PESSOAL</v>
      </c>
      <c r="R1212" s="15" t="str">
        <f t="array" ref="R1212">IFERROR(XLOOKUP(Q1212,'Classificação'!B:B,'Classificação'!C:C),"")</f>
        <v>DESPESAS FIXAS (-)</v>
      </c>
      <c r="S1212" s="15">
        <f t="shared" si="5"/>
        <v>15</v>
      </c>
      <c r="T1212" s="15">
        <f t="shared" si="6"/>
        <v>5</v>
      </c>
      <c r="U1212" s="15">
        <f t="shared" si="7"/>
        <v>2025</v>
      </c>
      <c r="V1212" s="15">
        <f t="shared" si="8"/>
        <v>15</v>
      </c>
      <c r="W1212" s="15">
        <f t="shared" si="9"/>
        <v>5</v>
      </c>
      <c r="X1212" s="15">
        <f t="shared" si="10"/>
        <v>2025</v>
      </c>
    </row>
    <row r="1213">
      <c r="A1213" s="9">
        <v>45792.0</v>
      </c>
      <c r="B1213" s="10"/>
      <c r="C1213" s="9">
        <f t="shared" si="22"/>
        <v>45792</v>
      </c>
      <c r="D1213" s="11" t="s">
        <v>83</v>
      </c>
      <c r="E1213" s="11" t="s">
        <v>25</v>
      </c>
      <c r="F1213" s="11" t="s">
        <v>32</v>
      </c>
      <c r="G1213" s="11" t="s">
        <v>27</v>
      </c>
      <c r="I1213" s="12">
        <v>800.0</v>
      </c>
      <c r="J1213" s="13"/>
      <c r="K1213" s="13">
        <f t="shared" si="59"/>
        <v>800</v>
      </c>
      <c r="L1213" s="11" t="s">
        <v>29</v>
      </c>
      <c r="M1213" s="14"/>
      <c r="N1213" s="11" t="s">
        <v>75</v>
      </c>
      <c r="O1213" s="10" t="str">
        <f t="shared" si="48"/>
        <v>05/2025</v>
      </c>
      <c r="P1213" s="10" t="str">
        <f t="shared" si="29"/>
        <v>05/2025</v>
      </c>
      <c r="Q1213" s="15" t="str">
        <f t="array" ref="Q1213">IFERROR(XLOOKUP(N1213,'Classificação'!A:A,'Classificação'!B:B),"")</f>
        <v>DESPESAS COM PESSOAL</v>
      </c>
      <c r="R1213" s="15" t="str">
        <f t="array" ref="R1213">IFERROR(XLOOKUP(Q1213,'Classificação'!B:B,'Classificação'!C:C),"")</f>
        <v>DESPESAS FIXAS (-)</v>
      </c>
      <c r="S1213" s="15">
        <f t="shared" si="5"/>
        <v>15</v>
      </c>
      <c r="T1213" s="15">
        <f t="shared" si="6"/>
        <v>5</v>
      </c>
      <c r="U1213" s="15">
        <f t="shared" si="7"/>
        <v>2025</v>
      </c>
      <c r="V1213" s="15">
        <f t="shared" si="8"/>
        <v>15</v>
      </c>
      <c r="W1213" s="15">
        <f t="shared" si="9"/>
        <v>5</v>
      </c>
      <c r="X1213" s="15">
        <f t="shared" si="10"/>
        <v>2025</v>
      </c>
    </row>
    <row r="1214">
      <c r="A1214" s="9">
        <v>45792.0</v>
      </c>
      <c r="B1214" s="9">
        <v>45680.0</v>
      </c>
      <c r="C1214" s="9">
        <f t="shared" si="22"/>
        <v>45792</v>
      </c>
      <c r="D1214" s="11" t="s">
        <v>544</v>
      </c>
      <c r="E1214" s="11" t="s">
        <v>25</v>
      </c>
      <c r="F1214" s="11" t="s">
        <v>26</v>
      </c>
      <c r="G1214" s="11" t="s">
        <v>37</v>
      </c>
      <c r="H1214" s="11" t="s">
        <v>545</v>
      </c>
      <c r="I1214" s="12">
        <v>767.0</v>
      </c>
      <c r="J1214" s="13"/>
      <c r="K1214" s="13">
        <f t="shared" si="59"/>
        <v>767</v>
      </c>
      <c r="L1214" s="11" t="s">
        <v>53</v>
      </c>
      <c r="M1214" s="17">
        <v>45995.0</v>
      </c>
      <c r="N1214" s="11" t="s">
        <v>95</v>
      </c>
      <c r="O1214" s="10" t="str">
        <f t="shared" si="48"/>
        <v>05/2025</v>
      </c>
      <c r="P1214" s="10" t="str">
        <f t="shared" si="29"/>
        <v>05/2025</v>
      </c>
      <c r="Q1214" s="15" t="str">
        <f t="array" ref="Q1214">IFERROR(XLOOKUP(N1214,'Classificação'!A:A,'Classificação'!B:B),"")</f>
        <v>DESPESAS NÃO OPERACIONAIS</v>
      </c>
      <c r="R1214" s="15" t="str">
        <f t="array" ref="R1214">IFERROR(XLOOKUP(Q1214,'Classificação'!B:B,'Classificação'!C:C),"")</f>
        <v>RESULTADO NÃO OPERACIONAL (+/-)</v>
      </c>
      <c r="S1214" s="15">
        <f t="shared" si="5"/>
        <v>15</v>
      </c>
      <c r="T1214" s="15">
        <f t="shared" si="6"/>
        <v>5</v>
      </c>
      <c r="U1214" s="15">
        <f t="shared" si="7"/>
        <v>2025</v>
      </c>
      <c r="V1214" s="15">
        <f t="shared" si="8"/>
        <v>15</v>
      </c>
      <c r="W1214" s="15">
        <f t="shared" si="9"/>
        <v>5</v>
      </c>
      <c r="X1214" s="15">
        <f t="shared" si="10"/>
        <v>2025</v>
      </c>
    </row>
    <row r="1215">
      <c r="A1215" s="26">
        <v>45792.0</v>
      </c>
      <c r="B1215" s="30"/>
      <c r="C1215" s="27">
        <f t="shared" si="22"/>
        <v>45792</v>
      </c>
      <c r="D1215" s="28" t="s">
        <v>520</v>
      </c>
      <c r="E1215" s="28" t="s">
        <v>25</v>
      </c>
      <c r="F1215" s="28" t="s">
        <v>26</v>
      </c>
      <c r="G1215" s="28" t="s">
        <v>37</v>
      </c>
      <c r="H1215" s="29" t="s">
        <v>730</v>
      </c>
      <c r="I1215" s="24">
        <v>200.0</v>
      </c>
      <c r="J1215" s="34"/>
      <c r="K1215" s="37">
        <f>IF(E1215="pago",(I1215-J1215),"")</f>
        <v>200</v>
      </c>
      <c r="L1215" s="28" t="s">
        <v>34</v>
      </c>
      <c r="M1215" s="28"/>
      <c r="N1215" s="28" t="s">
        <v>58</v>
      </c>
      <c r="O1215" s="10" t="str">
        <f t="shared" si="48"/>
        <v>05/2025</v>
      </c>
      <c r="P1215" s="10" t="str">
        <f t="shared" si="29"/>
        <v>05/2025</v>
      </c>
      <c r="Q1215" s="15" t="str">
        <f t="array" ref="Q1215">IFERROR(XLOOKUP(N1215,'Classificação'!A:A,'Classificação'!B:B),"")</f>
        <v>DESPESAS ADMINISTRATIVAS</v>
      </c>
      <c r="R1215" s="15" t="str">
        <f t="array" ref="R1215">IFERROR(XLOOKUP(Q1215,'Classificação'!B:B,'Classificação'!C:C),"")</f>
        <v>DESPESAS FIXAS (-)</v>
      </c>
      <c r="S1215" s="15">
        <f t="shared" si="5"/>
        <v>15</v>
      </c>
      <c r="T1215" s="15">
        <f t="shared" si="6"/>
        <v>5</v>
      </c>
      <c r="U1215" s="15">
        <f t="shared" si="7"/>
        <v>2025</v>
      </c>
      <c r="V1215" s="15">
        <f t="shared" si="8"/>
        <v>15</v>
      </c>
      <c r="W1215" s="15">
        <f t="shared" si="9"/>
        <v>5</v>
      </c>
      <c r="X1215" s="15">
        <f t="shared" si="10"/>
        <v>2025</v>
      </c>
    </row>
    <row r="1216">
      <c r="A1216" s="9">
        <v>45796.0</v>
      </c>
      <c r="B1216" s="10"/>
      <c r="C1216" s="9">
        <f t="shared" si="22"/>
        <v>45796</v>
      </c>
      <c r="D1216" s="11" t="s">
        <v>44</v>
      </c>
      <c r="E1216" s="11" t="s">
        <v>25</v>
      </c>
      <c r="F1216" s="11" t="s">
        <v>45</v>
      </c>
      <c r="G1216" s="11" t="s">
        <v>27</v>
      </c>
      <c r="H1216" s="11" t="s">
        <v>703</v>
      </c>
      <c r="I1216" s="12">
        <v>3194.2</v>
      </c>
      <c r="J1216" s="13"/>
      <c r="K1216" s="13">
        <f t="shared" ref="K1216:K1218" si="60">if(E1216="pago",(I1216-J1216),"")</f>
        <v>3194.2</v>
      </c>
      <c r="L1216" s="11" t="s">
        <v>53</v>
      </c>
      <c r="M1216" s="16" t="s">
        <v>731</v>
      </c>
      <c r="N1216" s="11" t="s">
        <v>73</v>
      </c>
      <c r="O1216" s="10" t="str">
        <f t="shared" si="48"/>
        <v>05/2025</v>
      </c>
      <c r="P1216" s="10" t="str">
        <f t="shared" si="29"/>
        <v>05/2025</v>
      </c>
      <c r="Q1216" s="15" t="str">
        <f t="array" ref="Q1216">IFERROR(XLOOKUP(N1216,'Classificação'!A:A,'Classificação'!B:B),"")</f>
        <v>DESPESAS NÃO OPERACIONAIS</v>
      </c>
      <c r="R1216" s="15" t="str">
        <f t="array" ref="R1216">IFERROR(XLOOKUP(Q1216,'Classificação'!B:B,'Classificação'!C:C),"")</f>
        <v>RESULTADO NÃO OPERACIONAL (+/-)</v>
      </c>
      <c r="S1216" s="15">
        <f t="shared" si="5"/>
        <v>19</v>
      </c>
      <c r="T1216" s="15">
        <f t="shared" si="6"/>
        <v>5</v>
      </c>
      <c r="U1216" s="15">
        <f t="shared" si="7"/>
        <v>2025</v>
      </c>
      <c r="V1216" s="15">
        <f t="shared" si="8"/>
        <v>19</v>
      </c>
      <c r="W1216" s="15">
        <f t="shared" si="9"/>
        <v>5</v>
      </c>
      <c r="X1216" s="15">
        <f t="shared" si="10"/>
        <v>2025</v>
      </c>
    </row>
    <row r="1217">
      <c r="A1217" s="9">
        <v>45796.0</v>
      </c>
      <c r="B1217" s="10"/>
      <c r="C1217" s="9">
        <f t="shared" si="22"/>
        <v>45796</v>
      </c>
      <c r="D1217" s="11" t="s">
        <v>65</v>
      </c>
      <c r="E1217" s="11" t="s">
        <v>25</v>
      </c>
      <c r="F1217" s="11" t="s">
        <v>45</v>
      </c>
      <c r="G1217" s="11" t="s">
        <v>37</v>
      </c>
      <c r="H1217" s="11" t="s">
        <v>103</v>
      </c>
      <c r="I1217" s="12">
        <v>861.64</v>
      </c>
      <c r="J1217" s="13"/>
      <c r="K1217" s="13">
        <f t="shared" si="60"/>
        <v>861.64</v>
      </c>
      <c r="L1217" s="11" t="s">
        <v>29</v>
      </c>
      <c r="M1217" s="14"/>
      <c r="N1217" s="11" t="s">
        <v>68</v>
      </c>
      <c r="O1217" s="10" t="str">
        <f t="shared" si="48"/>
        <v>05/2025</v>
      </c>
      <c r="P1217" s="10" t="str">
        <f t="shared" si="29"/>
        <v>05/2025</v>
      </c>
      <c r="Q1217" s="15" t="str">
        <f t="array" ref="Q1217">IFERROR(XLOOKUP(N1217,'Classificação'!A:A,'Classificação'!B:B),"")</f>
        <v>FRETE DE VENDAS</v>
      </c>
      <c r="R1217" s="15" t="str">
        <f t="array" ref="R1217">IFERROR(XLOOKUP(Q1217,'Classificação'!B:B,'Classificação'!C:C),"")</f>
        <v>CUSTOS VARIÁVEIS</v>
      </c>
      <c r="S1217" s="15">
        <f t="shared" si="5"/>
        <v>19</v>
      </c>
      <c r="T1217" s="15">
        <f t="shared" si="6"/>
        <v>5</v>
      </c>
      <c r="U1217" s="15">
        <f t="shared" si="7"/>
        <v>2025</v>
      </c>
      <c r="V1217" s="15">
        <f t="shared" si="8"/>
        <v>19</v>
      </c>
      <c r="W1217" s="15">
        <f t="shared" si="9"/>
        <v>5</v>
      </c>
      <c r="X1217" s="15">
        <f t="shared" si="10"/>
        <v>2025</v>
      </c>
    </row>
    <row r="1218">
      <c r="A1218" s="9">
        <v>45796.0</v>
      </c>
      <c r="B1218" s="10"/>
      <c r="C1218" s="9">
        <f t="shared" si="22"/>
        <v>45796</v>
      </c>
      <c r="D1218" s="11" t="s">
        <v>90</v>
      </c>
      <c r="E1218" s="11" t="s">
        <v>25</v>
      </c>
      <c r="F1218" s="11" t="s">
        <v>40</v>
      </c>
      <c r="G1218" s="11" t="s">
        <v>27</v>
      </c>
      <c r="H1218" s="11" t="s">
        <v>91</v>
      </c>
      <c r="I1218" s="12">
        <v>397.83</v>
      </c>
      <c r="J1218" s="13"/>
      <c r="K1218" s="13">
        <f t="shared" si="60"/>
        <v>397.83</v>
      </c>
      <c r="L1218" s="11" t="s">
        <v>29</v>
      </c>
      <c r="M1218" s="14"/>
      <c r="N1218" s="11" t="s">
        <v>92</v>
      </c>
      <c r="O1218" s="10" t="str">
        <f t="shared" si="48"/>
        <v>05/2025</v>
      </c>
      <c r="P1218" s="10" t="str">
        <f t="shared" si="29"/>
        <v>05/2025</v>
      </c>
      <c r="Q1218" s="15" t="str">
        <f t="array" ref="Q1218">IFERROR(XLOOKUP(N1218,'Classificação'!A:A,'Classificação'!B:B),"")</f>
        <v>DESPESAS COM OCUPAÇÃO</v>
      </c>
      <c r="R1218" s="15" t="str">
        <f t="array" ref="R1218">IFERROR(XLOOKUP(Q1218,'Classificação'!B:B,'Classificação'!C:C),"")</f>
        <v>DESPESAS FIXAS (-)</v>
      </c>
      <c r="S1218" s="15">
        <f t="shared" si="5"/>
        <v>19</v>
      </c>
      <c r="T1218" s="15">
        <f t="shared" si="6"/>
        <v>5</v>
      </c>
      <c r="U1218" s="15">
        <f t="shared" si="7"/>
        <v>2025</v>
      </c>
      <c r="V1218" s="15">
        <f t="shared" si="8"/>
        <v>19</v>
      </c>
      <c r="W1218" s="15">
        <f t="shared" si="9"/>
        <v>5</v>
      </c>
      <c r="X1218" s="15">
        <f t="shared" si="10"/>
        <v>2025</v>
      </c>
    </row>
    <row r="1219">
      <c r="A1219" s="26">
        <v>45796.0</v>
      </c>
      <c r="B1219" s="30"/>
      <c r="C1219" s="27">
        <f t="shared" si="22"/>
        <v>45796</v>
      </c>
      <c r="D1219" s="28" t="s">
        <v>36</v>
      </c>
      <c r="E1219" s="29" t="s">
        <v>25</v>
      </c>
      <c r="F1219" s="28" t="s">
        <v>32</v>
      </c>
      <c r="G1219" s="29" t="s">
        <v>27</v>
      </c>
      <c r="H1219" s="28"/>
      <c r="I1219" s="24">
        <v>2500.0</v>
      </c>
      <c r="J1219" s="34"/>
      <c r="K1219" s="37">
        <f t="shared" ref="K1219:K1220" si="61">IF(E1219="pago",(I1219-J1219),"")</f>
        <v>2500</v>
      </c>
      <c r="L1219" s="28" t="s">
        <v>29</v>
      </c>
      <c r="M1219" s="28"/>
      <c r="N1219" s="28" t="s">
        <v>38</v>
      </c>
      <c r="O1219" s="10" t="str">
        <f t="shared" si="48"/>
        <v>05/2025</v>
      </c>
      <c r="P1219" s="10" t="str">
        <f t="shared" si="29"/>
        <v>05/2025</v>
      </c>
      <c r="Q1219" s="15" t="str">
        <f t="array" ref="Q1219">IFERROR(XLOOKUP(N1219,'Classificação'!A:A,'Classificação'!B:B),"")</f>
        <v>DESPESAS COM PESSOAL</v>
      </c>
      <c r="R1219" s="15" t="str">
        <f t="array" ref="R1219">IFERROR(XLOOKUP(Q1219,'Classificação'!B:B,'Classificação'!C:C),"")</f>
        <v>DESPESAS FIXAS (-)</v>
      </c>
      <c r="S1219" s="15">
        <f t="shared" si="5"/>
        <v>19</v>
      </c>
      <c r="T1219" s="15">
        <f t="shared" si="6"/>
        <v>5</v>
      </c>
      <c r="U1219" s="15">
        <f t="shared" si="7"/>
        <v>2025</v>
      </c>
      <c r="V1219" s="15">
        <f t="shared" si="8"/>
        <v>19</v>
      </c>
      <c r="W1219" s="15">
        <f t="shared" si="9"/>
        <v>5</v>
      </c>
      <c r="X1219" s="15">
        <f t="shared" si="10"/>
        <v>2025</v>
      </c>
    </row>
    <row r="1220">
      <c r="A1220" s="26">
        <v>45796.0</v>
      </c>
      <c r="B1220" s="30"/>
      <c r="C1220" s="27">
        <f t="shared" si="22"/>
        <v>45796</v>
      </c>
      <c r="D1220" s="28" t="s">
        <v>43</v>
      </c>
      <c r="E1220" s="29" t="s">
        <v>25</v>
      </c>
      <c r="F1220" s="28" t="s">
        <v>32</v>
      </c>
      <c r="G1220" s="29" t="s">
        <v>27</v>
      </c>
      <c r="H1220" s="28"/>
      <c r="I1220" s="24">
        <v>2500.01</v>
      </c>
      <c r="J1220" s="34"/>
      <c r="K1220" s="37">
        <f t="shared" si="61"/>
        <v>2500.01</v>
      </c>
      <c r="L1220" s="28" t="s">
        <v>29</v>
      </c>
      <c r="M1220" s="28"/>
      <c r="N1220" s="28" t="s">
        <v>38</v>
      </c>
      <c r="O1220" s="10" t="str">
        <f t="shared" si="48"/>
        <v>05/2025</v>
      </c>
      <c r="P1220" s="10" t="str">
        <f t="shared" si="29"/>
        <v>05/2025</v>
      </c>
      <c r="Q1220" s="15" t="str">
        <f t="array" ref="Q1220">IFERROR(XLOOKUP(N1220,'Classificação'!A:A,'Classificação'!B:B),"")</f>
        <v>DESPESAS COM PESSOAL</v>
      </c>
      <c r="R1220" s="15" t="str">
        <f t="array" ref="R1220">IFERROR(XLOOKUP(Q1220,'Classificação'!B:B,'Classificação'!C:C),"")</f>
        <v>DESPESAS FIXAS (-)</v>
      </c>
      <c r="S1220" s="15">
        <f t="shared" si="5"/>
        <v>19</v>
      </c>
      <c r="T1220" s="15">
        <f t="shared" si="6"/>
        <v>5</v>
      </c>
      <c r="U1220" s="15">
        <f t="shared" si="7"/>
        <v>2025</v>
      </c>
      <c r="V1220" s="15">
        <f t="shared" si="8"/>
        <v>19</v>
      </c>
      <c r="W1220" s="15">
        <f t="shared" si="9"/>
        <v>5</v>
      </c>
      <c r="X1220" s="15">
        <f t="shared" si="10"/>
        <v>2025</v>
      </c>
    </row>
    <row r="1221">
      <c r="A1221" s="9">
        <v>45797.0</v>
      </c>
      <c r="B1221" s="10"/>
      <c r="C1221" s="9">
        <f t="shared" si="22"/>
        <v>45797</v>
      </c>
      <c r="D1221" s="11" t="s">
        <v>104</v>
      </c>
      <c r="E1221" s="11" t="s">
        <v>25</v>
      </c>
      <c r="F1221" s="11" t="s">
        <v>40</v>
      </c>
      <c r="G1221" s="11" t="s">
        <v>27</v>
      </c>
      <c r="I1221" s="12">
        <v>450.0</v>
      </c>
      <c r="J1221" s="13"/>
      <c r="K1221" s="13">
        <f t="shared" ref="K1221:K1289" si="62">if(E1221="pago",(I1221-J1221),"")</f>
        <v>450</v>
      </c>
      <c r="L1221" s="11" t="s">
        <v>29</v>
      </c>
      <c r="M1221" s="14"/>
      <c r="N1221" s="11" t="s">
        <v>105</v>
      </c>
      <c r="O1221" s="10" t="str">
        <f t="shared" si="48"/>
        <v>05/2025</v>
      </c>
      <c r="P1221" s="10" t="str">
        <f t="shared" si="29"/>
        <v>05/2025</v>
      </c>
      <c r="Q1221" s="15" t="str">
        <f t="array" ref="Q1221">IFERROR(XLOOKUP(N1221,'Classificação'!A:A,'Classificação'!B:B),"")</f>
        <v>DESPESAS ADMINISTRATIVAS</v>
      </c>
      <c r="R1221" s="15" t="str">
        <f t="array" ref="R1221">IFERROR(XLOOKUP(Q1221,'Classificação'!B:B,'Classificação'!C:C),"")</f>
        <v>DESPESAS FIXAS (-)</v>
      </c>
      <c r="S1221" s="15">
        <f t="shared" si="5"/>
        <v>20</v>
      </c>
      <c r="T1221" s="15">
        <f t="shared" si="6"/>
        <v>5</v>
      </c>
      <c r="U1221" s="15">
        <f t="shared" si="7"/>
        <v>2025</v>
      </c>
      <c r="V1221" s="15">
        <f t="shared" si="8"/>
        <v>20</v>
      </c>
      <c r="W1221" s="15">
        <f t="shared" si="9"/>
        <v>5</v>
      </c>
      <c r="X1221" s="15">
        <f t="shared" si="10"/>
        <v>2025</v>
      </c>
    </row>
    <row r="1222">
      <c r="A1222" s="9">
        <v>45797.0</v>
      </c>
      <c r="B1222" s="10"/>
      <c r="C1222" s="9">
        <f t="shared" si="22"/>
        <v>45797</v>
      </c>
      <c r="D1222" s="11" t="s">
        <v>100</v>
      </c>
      <c r="E1222" s="11" t="s">
        <v>25</v>
      </c>
      <c r="F1222" s="11" t="s">
        <v>40</v>
      </c>
      <c r="G1222" s="11" t="s">
        <v>27</v>
      </c>
      <c r="H1222" s="11" t="s">
        <v>732</v>
      </c>
      <c r="I1222" s="12">
        <v>14205.3</v>
      </c>
      <c r="J1222" s="13"/>
      <c r="K1222" s="13">
        <f t="shared" si="62"/>
        <v>14205.3</v>
      </c>
      <c r="L1222" s="11" t="s">
        <v>29</v>
      </c>
      <c r="M1222" s="14"/>
      <c r="N1222" s="11" t="s">
        <v>101</v>
      </c>
      <c r="O1222" s="10" t="str">
        <f t="shared" si="48"/>
        <v>05/2025</v>
      </c>
      <c r="P1222" s="10" t="str">
        <f t="shared" si="29"/>
        <v>05/2025</v>
      </c>
      <c r="Q1222" s="15" t="str">
        <f t="array" ref="Q1222">IFERROR(XLOOKUP(N1222,'Classificação'!A:A,'Classificação'!B:B),"")</f>
        <v>IMPOSTO DE RENDA - DAS</v>
      </c>
      <c r="R1222" s="15" t="str">
        <f t="array" ref="R1222">IFERROR(XLOOKUP(Q1222,'Classificação'!B:B,'Classificação'!C:C),"")</f>
        <v>DEDUÇÕES DA RECEITA BRUTA (-)</v>
      </c>
      <c r="S1222" s="15">
        <f t="shared" si="5"/>
        <v>20</v>
      </c>
      <c r="T1222" s="15">
        <f t="shared" si="6"/>
        <v>5</v>
      </c>
      <c r="U1222" s="15">
        <f t="shared" si="7"/>
        <v>2025</v>
      </c>
      <c r="V1222" s="15">
        <f t="shared" si="8"/>
        <v>20</v>
      </c>
      <c r="W1222" s="15">
        <f t="shared" si="9"/>
        <v>5</v>
      </c>
      <c r="X1222" s="15">
        <f t="shared" si="10"/>
        <v>2025</v>
      </c>
    </row>
    <row r="1223">
      <c r="A1223" s="9">
        <v>45797.0</v>
      </c>
      <c r="B1223" s="10"/>
      <c r="C1223" s="9">
        <f t="shared" si="22"/>
        <v>45797</v>
      </c>
      <c r="D1223" s="11" t="s">
        <v>100</v>
      </c>
      <c r="E1223" s="11" t="s">
        <v>25</v>
      </c>
      <c r="F1223" s="11" t="s">
        <v>40</v>
      </c>
      <c r="G1223" s="11" t="s">
        <v>37</v>
      </c>
      <c r="H1223" s="11" t="s">
        <v>733</v>
      </c>
      <c r="I1223" s="12">
        <v>3456.91</v>
      </c>
      <c r="J1223" s="13"/>
      <c r="K1223" s="13">
        <f t="shared" si="62"/>
        <v>3456.91</v>
      </c>
      <c r="L1223" s="11" t="s">
        <v>29</v>
      </c>
      <c r="M1223" s="14"/>
      <c r="N1223" s="11" t="s">
        <v>101</v>
      </c>
      <c r="O1223" s="10" t="str">
        <f t="shared" si="48"/>
        <v>05/2025</v>
      </c>
      <c r="P1223" s="10" t="str">
        <f t="shared" si="29"/>
        <v>05/2025</v>
      </c>
      <c r="Q1223" s="15" t="str">
        <f t="array" ref="Q1223">IFERROR(XLOOKUP(N1223,'Classificação'!A:A,'Classificação'!B:B),"")</f>
        <v>IMPOSTO DE RENDA - DAS</v>
      </c>
      <c r="R1223" s="15" t="str">
        <f t="array" ref="R1223">IFERROR(XLOOKUP(Q1223,'Classificação'!B:B,'Classificação'!C:C),"")</f>
        <v>DEDUÇÕES DA RECEITA BRUTA (-)</v>
      </c>
      <c r="S1223" s="15">
        <f t="shared" si="5"/>
        <v>20</v>
      </c>
      <c r="T1223" s="15">
        <f t="shared" si="6"/>
        <v>5</v>
      </c>
      <c r="U1223" s="15">
        <f t="shared" si="7"/>
        <v>2025</v>
      </c>
      <c r="V1223" s="15">
        <f t="shared" si="8"/>
        <v>20</v>
      </c>
      <c r="W1223" s="15">
        <f t="shared" si="9"/>
        <v>5</v>
      </c>
      <c r="X1223" s="15">
        <f t="shared" si="10"/>
        <v>2025</v>
      </c>
    </row>
    <row r="1224">
      <c r="A1224" s="9">
        <v>45797.0</v>
      </c>
      <c r="B1224" s="10"/>
      <c r="C1224" s="9">
        <f t="shared" si="22"/>
        <v>45797</v>
      </c>
      <c r="D1224" s="11" t="s">
        <v>109</v>
      </c>
      <c r="E1224" s="11" t="s">
        <v>25</v>
      </c>
      <c r="F1224" s="11" t="s">
        <v>110</v>
      </c>
      <c r="G1224" s="11" t="s">
        <v>27</v>
      </c>
      <c r="H1224" s="11" t="s">
        <v>111</v>
      </c>
      <c r="I1224" s="31">
        <v>24.15</v>
      </c>
      <c r="J1224" s="13"/>
      <c r="K1224" s="13">
        <f t="shared" si="62"/>
        <v>24.15</v>
      </c>
      <c r="L1224" s="11" t="s">
        <v>29</v>
      </c>
      <c r="M1224" s="14"/>
      <c r="N1224" s="11" t="s">
        <v>105</v>
      </c>
      <c r="O1224" s="10" t="str">
        <f t="shared" si="48"/>
        <v>05/2025</v>
      </c>
      <c r="P1224" s="10" t="str">
        <f t="shared" si="29"/>
        <v>05/2025</v>
      </c>
      <c r="Q1224" s="15" t="str">
        <f t="array" ref="Q1224">IFERROR(XLOOKUP(N1224,'Classificação'!A:A,'Classificação'!B:B),"")</f>
        <v>DESPESAS ADMINISTRATIVAS</v>
      </c>
      <c r="R1224" s="15" t="str">
        <f t="array" ref="R1224">IFERROR(XLOOKUP(Q1224,'Classificação'!B:B,'Classificação'!C:C),"")</f>
        <v>DESPESAS FIXAS (-)</v>
      </c>
      <c r="S1224" s="15">
        <f t="shared" si="5"/>
        <v>20</v>
      </c>
      <c r="T1224" s="15">
        <f t="shared" si="6"/>
        <v>5</v>
      </c>
      <c r="U1224" s="15">
        <f t="shared" si="7"/>
        <v>2025</v>
      </c>
      <c r="V1224" s="15">
        <f t="shared" si="8"/>
        <v>20</v>
      </c>
      <c r="W1224" s="15">
        <f t="shared" si="9"/>
        <v>5</v>
      </c>
      <c r="X1224" s="15">
        <f t="shared" si="10"/>
        <v>2025</v>
      </c>
    </row>
    <row r="1225">
      <c r="A1225" s="9">
        <v>45797.0</v>
      </c>
      <c r="B1225" s="10"/>
      <c r="C1225" s="9">
        <f t="shared" si="22"/>
        <v>45797</v>
      </c>
      <c r="D1225" s="11" t="s">
        <v>123</v>
      </c>
      <c r="E1225" s="11" t="s">
        <v>25</v>
      </c>
      <c r="F1225" s="11" t="s">
        <v>40</v>
      </c>
      <c r="G1225" s="11" t="s">
        <v>27</v>
      </c>
      <c r="I1225" s="12">
        <v>332.0</v>
      </c>
      <c r="J1225" s="13"/>
      <c r="K1225" s="13">
        <f t="shared" si="62"/>
        <v>332</v>
      </c>
      <c r="L1225" s="11" t="s">
        <v>29</v>
      </c>
      <c r="M1225" s="14"/>
      <c r="N1225" s="11" t="s">
        <v>123</v>
      </c>
      <c r="O1225" s="10" t="str">
        <f t="shared" si="48"/>
        <v>05/2025</v>
      </c>
      <c r="P1225" s="10" t="str">
        <f t="shared" si="29"/>
        <v>05/2025</v>
      </c>
      <c r="Q1225" s="15" t="str">
        <f t="array" ref="Q1225">IFERROR(XLOOKUP(N1225,'Classificação'!A:A,'Classificação'!B:B),"")</f>
        <v>DESPESAS COM PESSOAL</v>
      </c>
      <c r="R1225" s="15" t="str">
        <f t="array" ref="R1225">IFERROR(XLOOKUP(Q1225,'Classificação'!B:B,'Classificação'!C:C),"")</f>
        <v>DESPESAS FIXAS (-)</v>
      </c>
      <c r="S1225" s="15">
        <f t="shared" si="5"/>
        <v>20</v>
      </c>
      <c r="T1225" s="15">
        <f t="shared" si="6"/>
        <v>5</v>
      </c>
      <c r="U1225" s="15">
        <f t="shared" si="7"/>
        <v>2025</v>
      </c>
      <c r="V1225" s="15">
        <f t="shared" si="8"/>
        <v>20</v>
      </c>
      <c r="W1225" s="15">
        <f t="shared" si="9"/>
        <v>5</v>
      </c>
      <c r="X1225" s="15">
        <f t="shared" si="10"/>
        <v>2025</v>
      </c>
    </row>
    <row r="1226">
      <c r="A1226" s="9">
        <v>45797.0</v>
      </c>
      <c r="B1226" s="10"/>
      <c r="C1226" s="9">
        <f t="shared" si="22"/>
        <v>45797</v>
      </c>
      <c r="D1226" s="11" t="s">
        <v>126</v>
      </c>
      <c r="E1226" s="11" t="s">
        <v>25</v>
      </c>
      <c r="F1226" s="11" t="s">
        <v>40</v>
      </c>
      <c r="G1226" s="11" t="s">
        <v>27</v>
      </c>
      <c r="I1226" s="12">
        <v>661.92</v>
      </c>
      <c r="J1226" s="13"/>
      <c r="K1226" s="13">
        <f t="shared" si="62"/>
        <v>661.92</v>
      </c>
      <c r="L1226" s="11" t="s">
        <v>29</v>
      </c>
      <c r="M1226" s="14"/>
      <c r="N1226" s="11" t="s">
        <v>126</v>
      </c>
      <c r="O1226" s="10" t="str">
        <f t="shared" si="48"/>
        <v>05/2025</v>
      </c>
      <c r="P1226" s="10" t="str">
        <f t="shared" si="29"/>
        <v>05/2025</v>
      </c>
      <c r="Q1226" s="15" t="str">
        <f t="array" ref="Q1226">IFERROR(XLOOKUP(N1226,'Classificação'!A:A,'Classificação'!B:B),"")</f>
        <v>DESPESAS COM PESSOAL</v>
      </c>
      <c r="R1226" s="15" t="str">
        <f t="array" ref="R1226">IFERROR(XLOOKUP(Q1226,'Classificação'!B:B,'Classificação'!C:C),"")</f>
        <v>DESPESAS FIXAS (-)</v>
      </c>
      <c r="S1226" s="15">
        <f t="shared" si="5"/>
        <v>20</v>
      </c>
      <c r="T1226" s="15">
        <f t="shared" si="6"/>
        <v>5</v>
      </c>
      <c r="U1226" s="15">
        <f t="shared" si="7"/>
        <v>2025</v>
      </c>
      <c r="V1226" s="15">
        <f t="shared" si="8"/>
        <v>20</v>
      </c>
      <c r="W1226" s="15">
        <f t="shared" si="9"/>
        <v>5</v>
      </c>
      <c r="X1226" s="15">
        <f t="shared" si="10"/>
        <v>2025</v>
      </c>
    </row>
    <row r="1227">
      <c r="A1227" s="9">
        <v>45797.0</v>
      </c>
      <c r="B1227" s="10"/>
      <c r="C1227" s="9">
        <f t="shared" si="22"/>
        <v>45797</v>
      </c>
      <c r="D1227" s="11" t="s">
        <v>121</v>
      </c>
      <c r="E1227" s="11" t="s">
        <v>25</v>
      </c>
      <c r="F1227" s="11" t="s">
        <v>110</v>
      </c>
      <c r="G1227" s="11" t="s">
        <v>27</v>
      </c>
      <c r="H1227" s="11" t="s">
        <v>122</v>
      </c>
      <c r="I1227" s="31">
        <v>29.9</v>
      </c>
      <c r="J1227" s="13"/>
      <c r="K1227" s="13">
        <f t="shared" si="62"/>
        <v>29.9</v>
      </c>
      <c r="L1227" s="11" t="s">
        <v>29</v>
      </c>
      <c r="M1227" s="14"/>
      <c r="N1227" s="11" t="s">
        <v>105</v>
      </c>
      <c r="O1227" s="10" t="str">
        <f t="shared" si="48"/>
        <v>05/2025</v>
      </c>
      <c r="P1227" s="10" t="str">
        <f t="shared" si="29"/>
        <v>05/2025</v>
      </c>
      <c r="Q1227" s="15" t="str">
        <f t="array" ref="Q1227">IFERROR(XLOOKUP(N1227,'Classificação'!A:A,'Classificação'!B:B),"")</f>
        <v>DESPESAS ADMINISTRATIVAS</v>
      </c>
      <c r="R1227" s="15" t="str">
        <f t="array" ref="R1227">IFERROR(XLOOKUP(Q1227,'Classificação'!B:B,'Classificação'!C:C),"")</f>
        <v>DESPESAS FIXAS (-)</v>
      </c>
      <c r="S1227" s="15">
        <f t="shared" si="5"/>
        <v>20</v>
      </c>
      <c r="T1227" s="15">
        <f t="shared" si="6"/>
        <v>5</v>
      </c>
      <c r="U1227" s="15">
        <f t="shared" si="7"/>
        <v>2025</v>
      </c>
      <c r="V1227" s="15">
        <f t="shared" si="8"/>
        <v>20</v>
      </c>
      <c r="W1227" s="15">
        <f t="shared" si="9"/>
        <v>5</v>
      </c>
      <c r="X1227" s="15">
        <f t="shared" si="10"/>
        <v>2025</v>
      </c>
    </row>
    <row r="1228">
      <c r="A1228" s="9">
        <v>45797.0</v>
      </c>
      <c r="B1228" s="10"/>
      <c r="C1228" s="9">
        <f t="shared" si="22"/>
        <v>45797</v>
      </c>
      <c r="D1228" s="11" t="s">
        <v>171</v>
      </c>
      <c r="E1228" s="11" t="s">
        <v>25</v>
      </c>
      <c r="F1228" s="11" t="s">
        <v>40</v>
      </c>
      <c r="G1228" s="11" t="s">
        <v>27</v>
      </c>
      <c r="I1228" s="12">
        <v>107.64</v>
      </c>
      <c r="J1228" s="13"/>
      <c r="K1228" s="13">
        <f t="shared" si="62"/>
        <v>107.64</v>
      </c>
      <c r="L1228" s="11" t="s">
        <v>29</v>
      </c>
      <c r="M1228" s="14"/>
      <c r="N1228" s="11" t="s">
        <v>172</v>
      </c>
      <c r="O1228" s="10" t="str">
        <f t="shared" si="48"/>
        <v>05/2025</v>
      </c>
      <c r="P1228" s="10" t="str">
        <f t="shared" si="29"/>
        <v>05/2025</v>
      </c>
      <c r="Q1228" s="15" t="str">
        <f t="array" ref="Q1228">IFERROR(XLOOKUP(N1228,'Classificação'!A:A,'Classificação'!B:B),"")</f>
        <v>DESPESAS COM OCUPAÇÃO</v>
      </c>
      <c r="R1228" s="15" t="str">
        <f t="array" ref="R1228">IFERROR(XLOOKUP(Q1228,'Classificação'!B:B,'Classificação'!C:C),"")</f>
        <v>DESPESAS FIXAS (-)</v>
      </c>
      <c r="S1228" s="15">
        <f t="shared" si="5"/>
        <v>20</v>
      </c>
      <c r="T1228" s="15">
        <f t="shared" si="6"/>
        <v>5</v>
      </c>
      <c r="U1228" s="15">
        <f t="shared" si="7"/>
        <v>2025</v>
      </c>
      <c r="V1228" s="15">
        <f t="shared" si="8"/>
        <v>20</v>
      </c>
      <c r="W1228" s="15">
        <f t="shared" si="9"/>
        <v>5</v>
      </c>
      <c r="X1228" s="15">
        <f t="shared" si="10"/>
        <v>2025</v>
      </c>
    </row>
    <row r="1229">
      <c r="A1229" s="9">
        <v>45797.0</v>
      </c>
      <c r="B1229" s="10"/>
      <c r="C1229" s="9">
        <f t="shared" si="22"/>
        <v>45797</v>
      </c>
      <c r="D1229" s="11" t="s">
        <v>637</v>
      </c>
      <c r="E1229" s="11" t="s">
        <v>25</v>
      </c>
      <c r="F1229" s="11" t="s">
        <v>40</v>
      </c>
      <c r="G1229" s="11" t="s">
        <v>27</v>
      </c>
      <c r="I1229" s="12">
        <v>170.0</v>
      </c>
      <c r="J1229" s="13"/>
      <c r="K1229" s="13">
        <f t="shared" si="62"/>
        <v>170</v>
      </c>
      <c r="L1229" s="11" t="s">
        <v>29</v>
      </c>
      <c r="M1229" s="14"/>
      <c r="N1229" s="11" t="s">
        <v>201</v>
      </c>
      <c r="O1229" s="10" t="str">
        <f t="shared" si="48"/>
        <v>05/2025</v>
      </c>
      <c r="P1229" s="10" t="str">
        <f t="shared" si="29"/>
        <v>05/2025</v>
      </c>
      <c r="Q1229" s="15" t="str">
        <f t="array" ref="Q1229">IFERROR(XLOOKUP(N1229,'Classificação'!A:A,'Classificação'!B:B),"")</f>
        <v>DESPESAS COM OCUPAÇÃO</v>
      </c>
      <c r="R1229" s="15" t="str">
        <f t="array" ref="R1229">IFERROR(XLOOKUP(Q1229,'Classificação'!B:B,'Classificação'!C:C),"")</f>
        <v>DESPESAS FIXAS (-)</v>
      </c>
      <c r="S1229" s="15">
        <f t="shared" si="5"/>
        <v>20</v>
      </c>
      <c r="T1229" s="15">
        <f t="shared" si="6"/>
        <v>5</v>
      </c>
      <c r="U1229" s="15">
        <f t="shared" si="7"/>
        <v>2025</v>
      </c>
      <c r="V1229" s="15">
        <f t="shared" si="8"/>
        <v>20</v>
      </c>
      <c r="W1229" s="15">
        <f t="shared" si="9"/>
        <v>5</v>
      </c>
      <c r="X1229" s="15">
        <f t="shared" si="10"/>
        <v>2025</v>
      </c>
    </row>
    <row r="1230">
      <c r="A1230" s="9">
        <v>45797.0</v>
      </c>
      <c r="B1230" s="9">
        <v>45761.0</v>
      </c>
      <c r="C1230" s="9">
        <f t="shared" si="22"/>
        <v>45797</v>
      </c>
      <c r="D1230" s="11" t="s">
        <v>131</v>
      </c>
      <c r="E1230" s="11" t="s">
        <v>25</v>
      </c>
      <c r="F1230" s="11" t="s">
        <v>110</v>
      </c>
      <c r="G1230" s="11" t="s">
        <v>27</v>
      </c>
      <c r="I1230" s="31">
        <v>265.48</v>
      </c>
      <c r="J1230" s="13"/>
      <c r="K1230" s="13">
        <f t="shared" si="62"/>
        <v>265.48</v>
      </c>
      <c r="L1230" s="11" t="s">
        <v>53</v>
      </c>
      <c r="M1230" s="17">
        <v>45638.0</v>
      </c>
      <c r="N1230" s="11" t="s">
        <v>133</v>
      </c>
      <c r="O1230" s="10" t="str">
        <f t="shared" si="48"/>
        <v>05/2025</v>
      </c>
      <c r="P1230" s="10" t="str">
        <f t="shared" si="29"/>
        <v>05/2025</v>
      </c>
      <c r="Q1230" s="15" t="str">
        <f t="array" ref="Q1230">IFERROR(XLOOKUP(N1230,'Classificação'!A:A,'Classificação'!B:B),"")</f>
        <v>DESPESAS COM VEICULOS</v>
      </c>
      <c r="R1230" s="15" t="str">
        <f t="array" ref="R1230">IFERROR(XLOOKUP(Q1230,'Classificação'!B:B,'Classificação'!C:C),"")</f>
        <v>DESPESAS FIXAS (-)</v>
      </c>
      <c r="S1230" s="15">
        <f t="shared" si="5"/>
        <v>20</v>
      </c>
      <c r="T1230" s="15">
        <f t="shared" si="6"/>
        <v>5</v>
      </c>
      <c r="U1230" s="15">
        <f t="shared" si="7"/>
        <v>2025</v>
      </c>
      <c r="V1230" s="15">
        <f t="shared" si="8"/>
        <v>20</v>
      </c>
      <c r="W1230" s="15">
        <f t="shared" si="9"/>
        <v>5</v>
      </c>
      <c r="X1230" s="15">
        <f t="shared" si="10"/>
        <v>2025</v>
      </c>
    </row>
    <row r="1231">
      <c r="A1231" s="9">
        <v>45797.0</v>
      </c>
      <c r="B1231" s="10"/>
      <c r="C1231" s="9">
        <f t="shared" si="22"/>
        <v>45797</v>
      </c>
      <c r="D1231" s="11" t="s">
        <v>322</v>
      </c>
      <c r="E1231" s="11" t="s">
        <v>25</v>
      </c>
      <c r="F1231" s="11" t="s">
        <v>110</v>
      </c>
      <c r="G1231" s="11" t="s">
        <v>27</v>
      </c>
      <c r="H1231" s="11" t="s">
        <v>323</v>
      </c>
      <c r="I1231" s="31">
        <v>46.2</v>
      </c>
      <c r="J1231" s="13"/>
      <c r="K1231" s="13">
        <f t="shared" si="62"/>
        <v>46.2</v>
      </c>
      <c r="L1231" s="11" t="s">
        <v>29</v>
      </c>
      <c r="M1231" s="17">
        <v>45634.0</v>
      </c>
      <c r="N1231" s="11" t="s">
        <v>105</v>
      </c>
      <c r="O1231" s="10" t="str">
        <f t="shared" si="48"/>
        <v>05/2025</v>
      </c>
      <c r="P1231" s="10" t="str">
        <f t="shared" si="29"/>
        <v>05/2025</v>
      </c>
      <c r="Q1231" s="15" t="str">
        <f t="array" ref="Q1231">IFERROR(XLOOKUP(N1231,'Classificação'!A:A,'Classificação'!B:B),"")</f>
        <v>DESPESAS ADMINISTRATIVAS</v>
      </c>
      <c r="R1231" s="15" t="str">
        <f t="array" ref="R1231">IFERROR(XLOOKUP(Q1231,'Classificação'!B:B,'Classificação'!C:C),"")</f>
        <v>DESPESAS FIXAS (-)</v>
      </c>
      <c r="S1231" s="15">
        <f t="shared" si="5"/>
        <v>20</v>
      </c>
      <c r="T1231" s="15">
        <f t="shared" si="6"/>
        <v>5</v>
      </c>
      <c r="U1231" s="15">
        <f t="shared" si="7"/>
        <v>2025</v>
      </c>
      <c r="V1231" s="15">
        <f t="shared" si="8"/>
        <v>20</v>
      </c>
      <c r="W1231" s="15">
        <f t="shared" si="9"/>
        <v>5</v>
      </c>
      <c r="X1231" s="15">
        <f t="shared" si="10"/>
        <v>2025</v>
      </c>
    </row>
    <row r="1232">
      <c r="A1232" s="9">
        <v>45797.0</v>
      </c>
      <c r="B1232" s="9">
        <v>45771.0</v>
      </c>
      <c r="C1232" s="9">
        <f t="shared" si="22"/>
        <v>45797</v>
      </c>
      <c r="D1232" s="11" t="s">
        <v>44</v>
      </c>
      <c r="E1232" s="11" t="s">
        <v>25</v>
      </c>
      <c r="F1232" s="11" t="s">
        <v>107</v>
      </c>
      <c r="G1232" s="11" t="s">
        <v>27</v>
      </c>
      <c r="H1232" s="11" t="s">
        <v>734</v>
      </c>
      <c r="I1232" s="31">
        <v>-109.96</v>
      </c>
      <c r="J1232" s="13"/>
      <c r="K1232" s="13">
        <f t="shared" si="62"/>
        <v>-109.96</v>
      </c>
      <c r="L1232" s="11" t="s">
        <v>34</v>
      </c>
      <c r="M1232" s="17"/>
      <c r="N1232" s="11" t="s">
        <v>394</v>
      </c>
      <c r="O1232" s="10" t="str">
        <f t="shared" si="48"/>
        <v>05/2025</v>
      </c>
      <c r="P1232" s="10" t="str">
        <f t="shared" si="29"/>
        <v>05/2025</v>
      </c>
      <c r="Q1232" s="15" t="str">
        <f t="array" ref="Q1232">IFERROR(XLOOKUP(N1232,'Classificação'!A:A,'Classificação'!B:B),"")</f>
        <v>DESPESAS NÃO OPERACIONAIS</v>
      </c>
      <c r="R1232" s="15" t="str">
        <f t="array" ref="R1232">IFERROR(XLOOKUP(Q1232,'Classificação'!B:B,'Classificação'!C:C),"")</f>
        <v>RESULTADO NÃO OPERACIONAL (+/-)</v>
      </c>
      <c r="S1232" s="15">
        <f t="shared" si="5"/>
        <v>20</v>
      </c>
      <c r="T1232" s="15">
        <f t="shared" si="6"/>
        <v>5</v>
      </c>
      <c r="U1232" s="15">
        <f t="shared" si="7"/>
        <v>2025</v>
      </c>
      <c r="V1232" s="15">
        <f t="shared" si="8"/>
        <v>20</v>
      </c>
      <c r="W1232" s="15">
        <f t="shared" si="9"/>
        <v>5</v>
      </c>
      <c r="X1232" s="15">
        <f t="shared" si="10"/>
        <v>2025</v>
      </c>
    </row>
    <row r="1233">
      <c r="A1233" s="9">
        <v>45797.0</v>
      </c>
      <c r="B1233" s="10"/>
      <c r="C1233" s="9">
        <f t="shared" si="22"/>
        <v>45797</v>
      </c>
      <c r="D1233" s="11" t="s">
        <v>163</v>
      </c>
      <c r="E1233" s="11" t="s">
        <v>25</v>
      </c>
      <c r="F1233" s="11" t="s">
        <v>107</v>
      </c>
      <c r="G1233" s="11" t="s">
        <v>27</v>
      </c>
      <c r="H1233" s="11" t="s">
        <v>253</v>
      </c>
      <c r="I1233" s="31">
        <v>144.15</v>
      </c>
      <c r="J1233" s="13"/>
      <c r="K1233" s="13">
        <f t="shared" si="62"/>
        <v>144.15</v>
      </c>
      <c r="L1233" s="11" t="s">
        <v>53</v>
      </c>
      <c r="M1233" s="17">
        <v>45636.0</v>
      </c>
      <c r="N1233" s="11" t="s">
        <v>95</v>
      </c>
      <c r="O1233" s="10" t="str">
        <f t="shared" si="48"/>
        <v>05/2025</v>
      </c>
      <c r="P1233" s="10" t="str">
        <f t="shared" si="29"/>
        <v>05/2025</v>
      </c>
      <c r="Q1233" s="15" t="str">
        <f t="array" ref="Q1233">IFERROR(XLOOKUP(N1233,'Classificação'!A:A,'Classificação'!B:B),"")</f>
        <v>DESPESAS NÃO OPERACIONAIS</v>
      </c>
      <c r="R1233" s="15" t="str">
        <f t="array" ref="R1233">IFERROR(XLOOKUP(Q1233,'Classificação'!B:B,'Classificação'!C:C),"")</f>
        <v>RESULTADO NÃO OPERACIONAL (+/-)</v>
      </c>
      <c r="S1233" s="15">
        <f t="shared" si="5"/>
        <v>20</v>
      </c>
      <c r="T1233" s="15">
        <f t="shared" si="6"/>
        <v>5</v>
      </c>
      <c r="U1233" s="15">
        <f t="shared" si="7"/>
        <v>2025</v>
      </c>
      <c r="V1233" s="15">
        <f t="shared" si="8"/>
        <v>20</v>
      </c>
      <c r="W1233" s="15">
        <f t="shared" si="9"/>
        <v>5</v>
      </c>
      <c r="X1233" s="15">
        <f t="shared" si="10"/>
        <v>2025</v>
      </c>
    </row>
    <row r="1234">
      <c r="A1234" s="9">
        <v>45797.0</v>
      </c>
      <c r="B1234" s="9">
        <v>45763.0</v>
      </c>
      <c r="C1234" s="9">
        <f t="shared" si="22"/>
        <v>45797</v>
      </c>
      <c r="D1234" s="11" t="s">
        <v>65</v>
      </c>
      <c r="E1234" s="11" t="s">
        <v>25</v>
      </c>
      <c r="F1234" s="11" t="s">
        <v>110</v>
      </c>
      <c r="G1234" s="11" t="s">
        <v>27</v>
      </c>
      <c r="H1234" s="11" t="s">
        <v>612</v>
      </c>
      <c r="I1234" s="31">
        <v>9.9</v>
      </c>
      <c r="J1234" s="13"/>
      <c r="K1234" s="13">
        <f t="shared" si="62"/>
        <v>9.9</v>
      </c>
      <c r="L1234" s="11" t="s">
        <v>29</v>
      </c>
      <c r="M1234" s="14"/>
      <c r="N1234" s="11" t="s">
        <v>105</v>
      </c>
      <c r="O1234" s="10" t="str">
        <f t="shared" si="48"/>
        <v>05/2025</v>
      </c>
      <c r="P1234" s="10" t="str">
        <f t="shared" si="29"/>
        <v>05/2025</v>
      </c>
      <c r="Q1234" s="15" t="str">
        <f t="array" ref="Q1234">IFERROR(XLOOKUP(N1234,'Classificação'!A:A,'Classificação'!B:B),"")</f>
        <v>DESPESAS ADMINISTRATIVAS</v>
      </c>
      <c r="R1234" s="15" t="str">
        <f t="array" ref="R1234">IFERROR(XLOOKUP(Q1234,'Classificação'!B:B,'Classificação'!C:C),"")</f>
        <v>DESPESAS FIXAS (-)</v>
      </c>
      <c r="S1234" s="15">
        <f t="shared" si="5"/>
        <v>20</v>
      </c>
      <c r="T1234" s="15">
        <f t="shared" si="6"/>
        <v>5</v>
      </c>
      <c r="U1234" s="15">
        <f t="shared" si="7"/>
        <v>2025</v>
      </c>
      <c r="V1234" s="15">
        <f t="shared" si="8"/>
        <v>20</v>
      </c>
      <c r="W1234" s="15">
        <f t="shared" si="9"/>
        <v>5</v>
      </c>
      <c r="X1234" s="15">
        <f t="shared" si="10"/>
        <v>2025</v>
      </c>
    </row>
    <row r="1235">
      <c r="A1235" s="9">
        <v>45797.0</v>
      </c>
      <c r="B1235" s="9">
        <v>45523.0</v>
      </c>
      <c r="C1235" s="9">
        <f t="shared" si="22"/>
        <v>45797</v>
      </c>
      <c r="D1235" s="11" t="s">
        <v>65</v>
      </c>
      <c r="E1235" s="11" t="s">
        <v>25</v>
      </c>
      <c r="F1235" s="11" t="s">
        <v>107</v>
      </c>
      <c r="G1235" s="11" t="s">
        <v>27</v>
      </c>
      <c r="H1235" s="11" t="s">
        <v>263</v>
      </c>
      <c r="I1235" s="31">
        <v>102.67</v>
      </c>
      <c r="J1235" s="13"/>
      <c r="K1235" s="13">
        <f t="shared" si="62"/>
        <v>102.67</v>
      </c>
      <c r="L1235" s="11" t="s">
        <v>53</v>
      </c>
      <c r="M1235" s="17">
        <v>45635.0</v>
      </c>
      <c r="N1235" s="11" t="s">
        <v>95</v>
      </c>
      <c r="O1235" s="10" t="str">
        <f t="shared" si="48"/>
        <v>05/2025</v>
      </c>
      <c r="P1235" s="10" t="str">
        <f t="shared" si="29"/>
        <v>05/2025</v>
      </c>
      <c r="Q1235" s="15" t="str">
        <f t="array" ref="Q1235">IFERROR(XLOOKUP(N1235,'Classificação'!A:A,'Classificação'!B:B),"")</f>
        <v>DESPESAS NÃO OPERACIONAIS</v>
      </c>
      <c r="R1235" s="15" t="str">
        <f t="array" ref="R1235">IFERROR(XLOOKUP(Q1235,'Classificação'!B:B,'Classificação'!C:C),"")</f>
        <v>RESULTADO NÃO OPERACIONAL (+/-)</v>
      </c>
      <c r="S1235" s="15">
        <f t="shared" si="5"/>
        <v>20</v>
      </c>
      <c r="T1235" s="15">
        <f t="shared" si="6"/>
        <v>5</v>
      </c>
      <c r="U1235" s="15">
        <f t="shared" si="7"/>
        <v>2025</v>
      </c>
      <c r="V1235" s="15">
        <f t="shared" si="8"/>
        <v>20</v>
      </c>
      <c r="W1235" s="15">
        <f t="shared" si="9"/>
        <v>5</v>
      </c>
      <c r="X1235" s="15">
        <f t="shared" si="10"/>
        <v>2025</v>
      </c>
    </row>
    <row r="1236">
      <c r="A1236" s="9">
        <v>45797.0</v>
      </c>
      <c r="B1236" s="9">
        <v>45553.0</v>
      </c>
      <c r="C1236" s="9">
        <f t="shared" si="22"/>
        <v>45797</v>
      </c>
      <c r="D1236" s="11" t="s">
        <v>313</v>
      </c>
      <c r="E1236" s="11" t="s">
        <v>25</v>
      </c>
      <c r="F1236" s="11" t="s">
        <v>107</v>
      </c>
      <c r="G1236" s="11" t="s">
        <v>27</v>
      </c>
      <c r="H1236" s="11" t="s">
        <v>314</v>
      </c>
      <c r="I1236" s="31">
        <v>287.13</v>
      </c>
      <c r="J1236" s="13"/>
      <c r="K1236" s="13">
        <f t="shared" si="62"/>
        <v>287.13</v>
      </c>
      <c r="L1236" s="11" t="s">
        <v>53</v>
      </c>
      <c r="M1236" s="17">
        <v>45634.0</v>
      </c>
      <c r="N1236" s="11" t="s">
        <v>95</v>
      </c>
      <c r="O1236" s="10" t="str">
        <f t="shared" si="48"/>
        <v>05/2025</v>
      </c>
      <c r="P1236" s="10" t="str">
        <f t="shared" si="29"/>
        <v>05/2025</v>
      </c>
      <c r="Q1236" s="15" t="str">
        <f t="array" ref="Q1236">IFERROR(XLOOKUP(N1236,'Classificação'!A:A,'Classificação'!B:B),"")</f>
        <v>DESPESAS NÃO OPERACIONAIS</v>
      </c>
      <c r="R1236" s="15" t="str">
        <f t="array" ref="R1236">IFERROR(XLOOKUP(Q1236,'Classificação'!B:B,'Classificação'!C:C),"")</f>
        <v>RESULTADO NÃO OPERACIONAL (+/-)</v>
      </c>
      <c r="S1236" s="15">
        <f t="shared" si="5"/>
        <v>20</v>
      </c>
      <c r="T1236" s="15">
        <f t="shared" si="6"/>
        <v>5</v>
      </c>
      <c r="U1236" s="15">
        <f t="shared" si="7"/>
        <v>2025</v>
      </c>
      <c r="V1236" s="15">
        <f t="shared" si="8"/>
        <v>20</v>
      </c>
      <c r="W1236" s="15">
        <f t="shared" si="9"/>
        <v>5</v>
      </c>
      <c r="X1236" s="15">
        <f t="shared" si="10"/>
        <v>2025</v>
      </c>
    </row>
    <row r="1237">
      <c r="A1237" s="9">
        <v>45797.0</v>
      </c>
      <c r="B1237" s="9">
        <v>45600.0</v>
      </c>
      <c r="C1237" s="9">
        <f t="shared" si="22"/>
        <v>45797</v>
      </c>
      <c r="D1237" s="11" t="s">
        <v>65</v>
      </c>
      <c r="E1237" s="11" t="s">
        <v>25</v>
      </c>
      <c r="F1237" s="11" t="s">
        <v>107</v>
      </c>
      <c r="G1237" s="11" t="s">
        <v>27</v>
      </c>
      <c r="H1237" s="11" t="s">
        <v>393</v>
      </c>
      <c r="I1237" s="31">
        <v>32.39</v>
      </c>
      <c r="J1237" s="13"/>
      <c r="K1237" s="13">
        <f t="shared" si="62"/>
        <v>32.39</v>
      </c>
      <c r="L1237" s="11" t="s">
        <v>53</v>
      </c>
      <c r="M1237" s="17">
        <v>45511.0</v>
      </c>
      <c r="N1237" s="11" t="s">
        <v>394</v>
      </c>
      <c r="O1237" s="10" t="str">
        <f t="shared" si="48"/>
        <v>05/2025</v>
      </c>
      <c r="P1237" s="10" t="str">
        <f t="shared" si="29"/>
        <v>05/2025</v>
      </c>
      <c r="Q1237" s="15" t="str">
        <f t="array" ref="Q1237">IFERROR(XLOOKUP(N1237,'Classificação'!A:A,'Classificação'!B:B),"")</f>
        <v>DESPESAS NÃO OPERACIONAIS</v>
      </c>
      <c r="R1237" s="15" t="str">
        <f t="array" ref="R1237">IFERROR(XLOOKUP(Q1237,'Classificação'!B:B,'Classificação'!C:C),"")</f>
        <v>RESULTADO NÃO OPERACIONAL (+/-)</v>
      </c>
      <c r="S1237" s="15">
        <f t="shared" si="5"/>
        <v>20</v>
      </c>
      <c r="T1237" s="15">
        <f t="shared" si="6"/>
        <v>5</v>
      </c>
      <c r="U1237" s="15">
        <f t="shared" si="7"/>
        <v>2025</v>
      </c>
      <c r="V1237" s="15">
        <f t="shared" si="8"/>
        <v>20</v>
      </c>
      <c r="W1237" s="15">
        <f t="shared" si="9"/>
        <v>5</v>
      </c>
      <c r="X1237" s="15">
        <f t="shared" si="10"/>
        <v>2025</v>
      </c>
    </row>
    <row r="1238">
      <c r="A1238" s="9">
        <v>45797.0</v>
      </c>
      <c r="B1238" s="32">
        <v>45643.0</v>
      </c>
      <c r="C1238" s="9">
        <f t="shared" si="22"/>
        <v>45797</v>
      </c>
      <c r="D1238" s="11" t="s">
        <v>502</v>
      </c>
      <c r="E1238" s="11" t="s">
        <v>25</v>
      </c>
      <c r="F1238" s="11" t="s">
        <v>107</v>
      </c>
      <c r="G1238" s="11" t="s">
        <v>27</v>
      </c>
      <c r="H1238" s="11" t="s">
        <v>503</v>
      </c>
      <c r="I1238" s="31">
        <v>83.6</v>
      </c>
      <c r="J1238" s="13"/>
      <c r="K1238" s="13">
        <f t="shared" si="62"/>
        <v>83.6</v>
      </c>
      <c r="L1238" s="11" t="s">
        <v>53</v>
      </c>
      <c r="M1238" s="17">
        <v>45417.0</v>
      </c>
      <c r="N1238" s="11" t="s">
        <v>347</v>
      </c>
      <c r="O1238" s="10" t="str">
        <f t="shared" si="48"/>
        <v>05/2025</v>
      </c>
      <c r="P1238" s="10" t="str">
        <f t="shared" si="29"/>
        <v>05/2025</v>
      </c>
      <c r="Q1238" s="15" t="str">
        <f t="array" ref="Q1238">IFERROR(XLOOKUP(N1238,'Classificação'!A:A,'Classificação'!B:B),"")</f>
        <v>DESPESAS ADMINISTRATIVAS</v>
      </c>
      <c r="R1238" s="15" t="str">
        <f t="array" ref="R1238">IFERROR(XLOOKUP(Q1238,'Classificação'!B:B,'Classificação'!C:C),"")</f>
        <v>DESPESAS FIXAS (-)</v>
      </c>
      <c r="S1238" s="15">
        <f t="shared" si="5"/>
        <v>20</v>
      </c>
      <c r="T1238" s="15">
        <f t="shared" si="6"/>
        <v>5</v>
      </c>
      <c r="U1238" s="15">
        <f t="shared" si="7"/>
        <v>2025</v>
      </c>
      <c r="V1238" s="15">
        <f t="shared" si="8"/>
        <v>20</v>
      </c>
      <c r="W1238" s="15">
        <f t="shared" si="9"/>
        <v>5</v>
      </c>
      <c r="X1238" s="15">
        <f t="shared" si="10"/>
        <v>2025</v>
      </c>
    </row>
    <row r="1239">
      <c r="A1239" s="9">
        <v>45797.0</v>
      </c>
      <c r="B1239" s="9">
        <v>45671.0</v>
      </c>
      <c r="C1239" s="9">
        <f t="shared" si="22"/>
        <v>45797</v>
      </c>
      <c r="D1239" s="11" t="s">
        <v>560</v>
      </c>
      <c r="E1239" s="11" t="s">
        <v>25</v>
      </c>
      <c r="F1239" s="11" t="s">
        <v>107</v>
      </c>
      <c r="G1239" s="11" t="s">
        <v>27</v>
      </c>
      <c r="H1239" s="11" t="s">
        <v>491</v>
      </c>
      <c r="I1239" s="31">
        <v>129.75</v>
      </c>
      <c r="J1239" s="13"/>
      <c r="K1239" s="13">
        <f t="shared" si="62"/>
        <v>129.75</v>
      </c>
      <c r="L1239" s="11" t="s">
        <v>53</v>
      </c>
      <c r="M1239" s="17">
        <v>45751.0</v>
      </c>
      <c r="N1239" s="11" t="s">
        <v>175</v>
      </c>
      <c r="O1239" s="10" t="str">
        <f t="shared" si="48"/>
        <v>05/2025</v>
      </c>
      <c r="P1239" s="10" t="str">
        <f t="shared" si="29"/>
        <v>05/2025</v>
      </c>
      <c r="Q1239" s="15" t="str">
        <f t="array" ref="Q1239">IFERROR(XLOOKUP(N1239,'Classificação'!A:A,'Classificação'!B:B),"")</f>
        <v>DESPESAS COM VEICULOS</v>
      </c>
      <c r="R1239" s="15" t="str">
        <f t="array" ref="R1239">IFERROR(XLOOKUP(Q1239,'Classificação'!B:B,'Classificação'!C:C),"")</f>
        <v>DESPESAS FIXAS (-)</v>
      </c>
      <c r="S1239" s="15">
        <f t="shared" si="5"/>
        <v>20</v>
      </c>
      <c r="T1239" s="15">
        <f t="shared" si="6"/>
        <v>5</v>
      </c>
      <c r="U1239" s="15">
        <f t="shared" si="7"/>
        <v>2025</v>
      </c>
      <c r="V1239" s="15">
        <f t="shared" si="8"/>
        <v>20</v>
      </c>
      <c r="W1239" s="15">
        <f t="shared" si="9"/>
        <v>5</v>
      </c>
      <c r="X1239" s="15">
        <f t="shared" si="10"/>
        <v>2025</v>
      </c>
    </row>
    <row r="1240">
      <c r="A1240" s="9">
        <v>45797.0</v>
      </c>
      <c r="B1240" s="9">
        <v>45678.0</v>
      </c>
      <c r="C1240" s="9">
        <f t="shared" si="22"/>
        <v>45797</v>
      </c>
      <c r="D1240" s="11" t="s">
        <v>65</v>
      </c>
      <c r="E1240" s="11" t="s">
        <v>25</v>
      </c>
      <c r="F1240" s="11" t="s">
        <v>107</v>
      </c>
      <c r="G1240" s="11" t="s">
        <v>27</v>
      </c>
      <c r="H1240" s="11" t="s">
        <v>318</v>
      </c>
      <c r="I1240" s="31">
        <v>53.5</v>
      </c>
      <c r="J1240" s="13"/>
      <c r="K1240" s="13">
        <f t="shared" si="62"/>
        <v>53.5</v>
      </c>
      <c r="L1240" s="11" t="s">
        <v>53</v>
      </c>
      <c r="M1240" s="17">
        <v>45751.0</v>
      </c>
      <c r="N1240" s="11" t="s">
        <v>143</v>
      </c>
      <c r="O1240" s="10" t="str">
        <f t="shared" si="48"/>
        <v>05/2025</v>
      </c>
      <c r="P1240" s="10" t="str">
        <f t="shared" si="29"/>
        <v>05/2025</v>
      </c>
      <c r="Q1240" s="15" t="str">
        <f t="array" ref="Q1240">IFERROR(XLOOKUP(N1240,'Classificação'!A:A,'Classificação'!B:B),"")</f>
        <v>EMBALAGENS/FITAS/GERAL</v>
      </c>
      <c r="R1240" s="15" t="str">
        <f t="array" ref="R1240">IFERROR(XLOOKUP(Q1240,'Classificação'!B:B,'Classificação'!C:C),"")</f>
        <v>CUSTOS VARIÁVEIS</v>
      </c>
      <c r="S1240" s="15">
        <f t="shared" si="5"/>
        <v>20</v>
      </c>
      <c r="T1240" s="15">
        <f t="shared" si="6"/>
        <v>5</v>
      </c>
      <c r="U1240" s="15">
        <f t="shared" si="7"/>
        <v>2025</v>
      </c>
      <c r="V1240" s="15">
        <f t="shared" si="8"/>
        <v>20</v>
      </c>
      <c r="W1240" s="15">
        <f t="shared" si="9"/>
        <v>5</v>
      </c>
      <c r="X1240" s="15">
        <f t="shared" si="10"/>
        <v>2025</v>
      </c>
    </row>
    <row r="1241">
      <c r="A1241" s="9">
        <v>45797.0</v>
      </c>
      <c r="B1241" s="9">
        <v>45737.0</v>
      </c>
      <c r="C1241" s="9">
        <f t="shared" si="22"/>
        <v>45797</v>
      </c>
      <c r="D1241" s="11" t="s">
        <v>65</v>
      </c>
      <c r="E1241" s="11" t="s">
        <v>25</v>
      </c>
      <c r="F1241" s="11" t="s">
        <v>110</v>
      </c>
      <c r="G1241" s="11" t="s">
        <v>27</v>
      </c>
      <c r="H1241" s="11" t="s">
        <v>681</v>
      </c>
      <c r="I1241" s="31">
        <v>47.2</v>
      </c>
      <c r="J1241" s="13"/>
      <c r="K1241" s="13">
        <f t="shared" si="62"/>
        <v>47.2</v>
      </c>
      <c r="L1241" s="11" t="s">
        <v>53</v>
      </c>
      <c r="M1241" s="17">
        <v>45993.0</v>
      </c>
      <c r="N1241" s="11" t="s">
        <v>95</v>
      </c>
      <c r="O1241" s="10" t="str">
        <f t="shared" si="48"/>
        <v>05/2025</v>
      </c>
      <c r="P1241" s="10" t="str">
        <f t="shared" si="29"/>
        <v>05/2025</v>
      </c>
      <c r="Q1241" s="15" t="str">
        <f t="array" ref="Q1241">IFERROR(XLOOKUP(N1241,'Classificação'!A:A,'Classificação'!B:B),"")</f>
        <v>DESPESAS NÃO OPERACIONAIS</v>
      </c>
      <c r="R1241" s="15" t="str">
        <f t="array" ref="R1241">IFERROR(XLOOKUP(Q1241,'Classificação'!B:B,'Classificação'!C:C),"")</f>
        <v>RESULTADO NÃO OPERACIONAL (+/-)</v>
      </c>
      <c r="S1241" s="15">
        <f t="shared" si="5"/>
        <v>20</v>
      </c>
      <c r="T1241" s="15">
        <f t="shared" si="6"/>
        <v>5</v>
      </c>
      <c r="U1241" s="15">
        <f t="shared" si="7"/>
        <v>2025</v>
      </c>
      <c r="V1241" s="15">
        <f t="shared" si="8"/>
        <v>20</v>
      </c>
      <c r="W1241" s="15">
        <f t="shared" si="9"/>
        <v>5</v>
      </c>
      <c r="X1241" s="15">
        <f t="shared" si="10"/>
        <v>2025</v>
      </c>
    </row>
    <row r="1242">
      <c r="A1242" s="9">
        <v>45797.0</v>
      </c>
      <c r="B1242" s="9">
        <v>45737.0</v>
      </c>
      <c r="C1242" s="9">
        <f t="shared" si="22"/>
        <v>45797</v>
      </c>
      <c r="D1242" s="11" t="s">
        <v>65</v>
      </c>
      <c r="E1242" s="11" t="s">
        <v>25</v>
      </c>
      <c r="F1242" s="11" t="s">
        <v>110</v>
      </c>
      <c r="G1242" s="11" t="s">
        <v>27</v>
      </c>
      <c r="H1242" s="11" t="s">
        <v>682</v>
      </c>
      <c r="I1242" s="31">
        <v>82.27</v>
      </c>
      <c r="J1242" s="13"/>
      <c r="K1242" s="13">
        <f t="shared" si="62"/>
        <v>82.27</v>
      </c>
      <c r="L1242" s="11" t="s">
        <v>53</v>
      </c>
      <c r="M1242" s="17">
        <v>45932.0</v>
      </c>
      <c r="N1242" s="11" t="s">
        <v>95</v>
      </c>
      <c r="O1242" s="10" t="str">
        <f t="shared" si="48"/>
        <v>05/2025</v>
      </c>
      <c r="P1242" s="10" t="str">
        <f t="shared" si="29"/>
        <v>05/2025</v>
      </c>
      <c r="Q1242" s="15" t="str">
        <f t="array" ref="Q1242">IFERROR(XLOOKUP(N1242,'Classificação'!A:A,'Classificação'!B:B),"")</f>
        <v>DESPESAS NÃO OPERACIONAIS</v>
      </c>
      <c r="R1242" s="15" t="str">
        <f t="array" ref="R1242">IFERROR(XLOOKUP(Q1242,'Classificação'!B:B,'Classificação'!C:C),"")</f>
        <v>RESULTADO NÃO OPERACIONAL (+/-)</v>
      </c>
      <c r="S1242" s="15">
        <f t="shared" si="5"/>
        <v>20</v>
      </c>
      <c r="T1242" s="15">
        <f t="shared" si="6"/>
        <v>5</v>
      </c>
      <c r="U1242" s="15">
        <f t="shared" si="7"/>
        <v>2025</v>
      </c>
      <c r="V1242" s="15">
        <f t="shared" si="8"/>
        <v>20</v>
      </c>
      <c r="W1242" s="15">
        <f t="shared" si="9"/>
        <v>5</v>
      </c>
      <c r="X1242" s="15">
        <f t="shared" si="10"/>
        <v>2025</v>
      </c>
    </row>
    <row r="1243">
      <c r="A1243" s="9">
        <v>45797.0</v>
      </c>
      <c r="B1243" s="9">
        <v>45741.0</v>
      </c>
      <c r="C1243" s="9">
        <f t="shared" si="22"/>
        <v>45797</v>
      </c>
      <c r="D1243" s="11" t="s">
        <v>685</v>
      </c>
      <c r="E1243" s="11" t="s">
        <v>25</v>
      </c>
      <c r="F1243" s="11" t="s">
        <v>110</v>
      </c>
      <c r="G1243" s="11" t="s">
        <v>27</v>
      </c>
      <c r="H1243" s="11" t="s">
        <v>686</v>
      </c>
      <c r="I1243" s="31">
        <v>121.04</v>
      </c>
      <c r="J1243" s="13"/>
      <c r="K1243" s="13">
        <f t="shared" si="62"/>
        <v>121.04</v>
      </c>
      <c r="L1243" s="11" t="s">
        <v>53</v>
      </c>
      <c r="M1243" s="17">
        <v>45810.0</v>
      </c>
      <c r="N1243" s="11" t="s">
        <v>95</v>
      </c>
      <c r="O1243" s="10" t="str">
        <f t="shared" si="48"/>
        <v>05/2025</v>
      </c>
      <c r="P1243" s="10" t="str">
        <f t="shared" si="29"/>
        <v>05/2025</v>
      </c>
      <c r="Q1243" s="15" t="str">
        <f t="array" ref="Q1243">IFERROR(XLOOKUP(N1243,'Classificação'!A:A,'Classificação'!B:B),"")</f>
        <v>DESPESAS NÃO OPERACIONAIS</v>
      </c>
      <c r="R1243" s="15" t="str">
        <f t="array" ref="R1243">IFERROR(XLOOKUP(Q1243,'Classificação'!B:B,'Classificação'!C:C),"")</f>
        <v>RESULTADO NÃO OPERACIONAL (+/-)</v>
      </c>
      <c r="S1243" s="15">
        <f t="shared" si="5"/>
        <v>20</v>
      </c>
      <c r="T1243" s="15">
        <f t="shared" si="6"/>
        <v>5</v>
      </c>
      <c r="U1243" s="15">
        <f t="shared" si="7"/>
        <v>2025</v>
      </c>
      <c r="V1243" s="15">
        <f t="shared" si="8"/>
        <v>20</v>
      </c>
      <c r="W1243" s="15">
        <f t="shared" si="9"/>
        <v>5</v>
      </c>
      <c r="X1243" s="15">
        <f t="shared" si="10"/>
        <v>2025</v>
      </c>
    </row>
    <row r="1244">
      <c r="A1244" s="9">
        <v>45797.0</v>
      </c>
      <c r="B1244" s="9">
        <v>45743.0</v>
      </c>
      <c r="C1244" s="9">
        <f t="shared" si="22"/>
        <v>45797</v>
      </c>
      <c r="D1244" s="11" t="s">
        <v>685</v>
      </c>
      <c r="E1244" s="11" t="s">
        <v>25</v>
      </c>
      <c r="F1244" s="11" t="s">
        <v>110</v>
      </c>
      <c r="G1244" s="11" t="s">
        <v>27</v>
      </c>
      <c r="H1244" s="11" t="s">
        <v>688</v>
      </c>
      <c r="I1244" s="31">
        <v>106.34</v>
      </c>
      <c r="J1244" s="13"/>
      <c r="K1244" s="13">
        <f t="shared" si="62"/>
        <v>106.34</v>
      </c>
      <c r="L1244" s="11" t="s">
        <v>53</v>
      </c>
      <c r="M1244" s="17">
        <v>45718.0</v>
      </c>
      <c r="N1244" s="11" t="s">
        <v>448</v>
      </c>
      <c r="O1244" s="10" t="str">
        <f t="shared" si="48"/>
        <v>05/2025</v>
      </c>
      <c r="P1244" s="10" t="str">
        <f t="shared" si="29"/>
        <v>05/2025</v>
      </c>
      <c r="Q1244" s="15" t="str">
        <f t="array" ref="Q1244">IFERROR(XLOOKUP(N1244,'Classificação'!A:A,'Classificação'!B:B),"")</f>
        <v>DESPESAS ADMINISTRATIVAS</v>
      </c>
      <c r="R1244" s="15" t="str">
        <f t="array" ref="R1244">IFERROR(XLOOKUP(Q1244,'Classificação'!B:B,'Classificação'!C:C),"")</f>
        <v>DESPESAS FIXAS (-)</v>
      </c>
      <c r="S1244" s="15">
        <f t="shared" si="5"/>
        <v>20</v>
      </c>
      <c r="T1244" s="15">
        <f t="shared" si="6"/>
        <v>5</v>
      </c>
      <c r="U1244" s="15">
        <f t="shared" si="7"/>
        <v>2025</v>
      </c>
      <c r="V1244" s="15">
        <f t="shared" si="8"/>
        <v>20</v>
      </c>
      <c r="W1244" s="15">
        <f t="shared" si="9"/>
        <v>5</v>
      </c>
      <c r="X1244" s="15">
        <f t="shared" si="10"/>
        <v>2025</v>
      </c>
    </row>
    <row r="1245">
      <c r="A1245" s="9">
        <v>45797.0</v>
      </c>
      <c r="B1245" s="9">
        <v>45742.0</v>
      </c>
      <c r="C1245" s="9">
        <f t="shared" si="22"/>
        <v>45797</v>
      </c>
      <c r="D1245" s="11" t="s">
        <v>689</v>
      </c>
      <c r="E1245" s="11" t="s">
        <v>25</v>
      </c>
      <c r="F1245" s="11" t="s">
        <v>110</v>
      </c>
      <c r="G1245" s="11" t="s">
        <v>27</v>
      </c>
      <c r="H1245" s="11" t="s">
        <v>690</v>
      </c>
      <c r="I1245" s="31">
        <v>300.0</v>
      </c>
      <c r="J1245" s="13"/>
      <c r="K1245" s="13">
        <f t="shared" si="62"/>
        <v>300</v>
      </c>
      <c r="L1245" s="11" t="s">
        <v>53</v>
      </c>
      <c r="M1245" s="17">
        <v>45718.0</v>
      </c>
      <c r="N1245" s="11" t="s">
        <v>448</v>
      </c>
      <c r="O1245" s="10" t="str">
        <f t="shared" si="48"/>
        <v>05/2025</v>
      </c>
      <c r="P1245" s="10" t="str">
        <f t="shared" si="29"/>
        <v>05/2025</v>
      </c>
      <c r="Q1245" s="15" t="str">
        <f t="array" ref="Q1245">IFERROR(XLOOKUP(N1245,'Classificação'!A:A,'Classificação'!B:B),"")</f>
        <v>DESPESAS ADMINISTRATIVAS</v>
      </c>
      <c r="R1245" s="15" t="str">
        <f t="array" ref="R1245">IFERROR(XLOOKUP(Q1245,'Classificação'!B:B,'Classificação'!C:C),"")</f>
        <v>DESPESAS FIXAS (-)</v>
      </c>
      <c r="S1245" s="15">
        <f t="shared" si="5"/>
        <v>20</v>
      </c>
      <c r="T1245" s="15">
        <f t="shared" si="6"/>
        <v>5</v>
      </c>
      <c r="U1245" s="15">
        <f t="shared" si="7"/>
        <v>2025</v>
      </c>
      <c r="V1245" s="15">
        <f t="shared" si="8"/>
        <v>20</v>
      </c>
      <c r="W1245" s="15">
        <f t="shared" si="9"/>
        <v>5</v>
      </c>
      <c r="X1245" s="15">
        <f t="shared" si="10"/>
        <v>2025</v>
      </c>
    </row>
    <row r="1246">
      <c r="A1246" s="9">
        <v>45797.0</v>
      </c>
      <c r="B1246" s="9">
        <v>45686.0</v>
      </c>
      <c r="C1246" s="9">
        <f t="shared" si="22"/>
        <v>45797</v>
      </c>
      <c r="D1246" s="11" t="s">
        <v>65</v>
      </c>
      <c r="E1246" s="11" t="s">
        <v>25</v>
      </c>
      <c r="F1246" s="11" t="s">
        <v>107</v>
      </c>
      <c r="G1246" s="11" t="s">
        <v>27</v>
      </c>
      <c r="H1246" s="11" t="s">
        <v>735</v>
      </c>
      <c r="I1246" s="31">
        <v>47.02</v>
      </c>
      <c r="J1246" s="13"/>
      <c r="K1246" s="13">
        <f t="shared" si="62"/>
        <v>47.02</v>
      </c>
      <c r="L1246" s="11" t="s">
        <v>53</v>
      </c>
      <c r="M1246" s="17">
        <v>45811.0</v>
      </c>
      <c r="N1246" s="11" t="s">
        <v>95</v>
      </c>
      <c r="O1246" s="10" t="str">
        <f t="shared" si="48"/>
        <v>05/2025</v>
      </c>
      <c r="P1246" s="10" t="str">
        <f t="shared" si="29"/>
        <v>05/2025</v>
      </c>
      <c r="Q1246" s="15" t="str">
        <f t="array" ref="Q1246">IFERROR(XLOOKUP(N1246,'Classificação'!A:A,'Classificação'!B:B),"")</f>
        <v>DESPESAS NÃO OPERACIONAIS</v>
      </c>
      <c r="R1246" s="15" t="str">
        <f t="array" ref="R1246">IFERROR(XLOOKUP(Q1246,'Classificação'!B:B,'Classificação'!C:C),"")</f>
        <v>RESULTADO NÃO OPERACIONAL (+/-)</v>
      </c>
      <c r="S1246" s="15">
        <f t="shared" si="5"/>
        <v>20</v>
      </c>
      <c r="T1246" s="15">
        <f t="shared" si="6"/>
        <v>5</v>
      </c>
      <c r="U1246" s="15">
        <f t="shared" si="7"/>
        <v>2025</v>
      </c>
      <c r="V1246" s="15">
        <f t="shared" si="8"/>
        <v>20</v>
      </c>
      <c r="W1246" s="15">
        <f t="shared" si="9"/>
        <v>5</v>
      </c>
      <c r="X1246" s="15">
        <f t="shared" si="10"/>
        <v>2025</v>
      </c>
    </row>
    <row r="1247">
      <c r="A1247" s="9">
        <v>45797.0</v>
      </c>
      <c r="B1247" s="9">
        <v>45696.0</v>
      </c>
      <c r="C1247" s="9">
        <f t="shared" si="22"/>
        <v>45797</v>
      </c>
      <c r="D1247" s="11" t="s">
        <v>329</v>
      </c>
      <c r="E1247" s="11" t="s">
        <v>25</v>
      </c>
      <c r="F1247" s="11" t="s">
        <v>107</v>
      </c>
      <c r="G1247" s="11" t="s">
        <v>27</v>
      </c>
      <c r="H1247" s="11" t="s">
        <v>618</v>
      </c>
      <c r="I1247" s="31">
        <v>246.4</v>
      </c>
      <c r="J1247" s="13"/>
      <c r="K1247" s="13">
        <f t="shared" si="62"/>
        <v>246.4</v>
      </c>
      <c r="L1247" s="11" t="s">
        <v>53</v>
      </c>
      <c r="M1247" s="17">
        <v>45719.0</v>
      </c>
      <c r="N1247" s="11" t="s">
        <v>331</v>
      </c>
      <c r="O1247" s="10" t="str">
        <f t="shared" si="48"/>
        <v>05/2025</v>
      </c>
      <c r="P1247" s="10" t="str">
        <f t="shared" si="29"/>
        <v>05/2025</v>
      </c>
      <c r="Q1247" s="15" t="str">
        <f t="array" ref="Q1247">IFERROR(XLOOKUP(N1247,'Classificação'!A:A,'Classificação'!B:B),"")</f>
        <v>DESPESAS COM VIAGENS</v>
      </c>
      <c r="R1247" s="15" t="str">
        <f t="array" ref="R1247">IFERROR(XLOOKUP(Q1247,'Classificação'!B:B,'Classificação'!C:C),"")</f>
        <v>DESPESAS FIXAS (-)</v>
      </c>
      <c r="S1247" s="15">
        <f t="shared" si="5"/>
        <v>20</v>
      </c>
      <c r="T1247" s="15">
        <f t="shared" si="6"/>
        <v>5</v>
      </c>
      <c r="U1247" s="15">
        <f t="shared" si="7"/>
        <v>2025</v>
      </c>
      <c r="V1247" s="15">
        <f t="shared" si="8"/>
        <v>20</v>
      </c>
      <c r="W1247" s="15">
        <f t="shared" si="9"/>
        <v>5</v>
      </c>
      <c r="X1247" s="15">
        <f t="shared" si="10"/>
        <v>2025</v>
      </c>
    </row>
    <row r="1248">
      <c r="A1248" s="9">
        <v>45797.0</v>
      </c>
      <c r="B1248" s="9">
        <v>45709.0</v>
      </c>
      <c r="C1248" s="9">
        <f t="shared" si="22"/>
        <v>45797</v>
      </c>
      <c r="D1248" s="11" t="s">
        <v>65</v>
      </c>
      <c r="E1248" s="11" t="s">
        <v>25</v>
      </c>
      <c r="F1248" s="11" t="s">
        <v>107</v>
      </c>
      <c r="G1248" s="11" t="s">
        <v>27</v>
      </c>
      <c r="H1248" s="11" t="s">
        <v>623</v>
      </c>
      <c r="I1248" s="31">
        <v>29.32</v>
      </c>
      <c r="J1248" s="13"/>
      <c r="K1248" s="13">
        <f t="shared" si="62"/>
        <v>29.32</v>
      </c>
      <c r="L1248" s="11" t="s">
        <v>53</v>
      </c>
      <c r="M1248" s="17">
        <v>45719.0</v>
      </c>
      <c r="N1248" s="11" t="s">
        <v>143</v>
      </c>
      <c r="O1248" s="10" t="str">
        <f t="shared" si="48"/>
        <v>05/2025</v>
      </c>
      <c r="P1248" s="10" t="str">
        <f t="shared" si="29"/>
        <v>05/2025</v>
      </c>
      <c r="Q1248" s="15" t="str">
        <f t="array" ref="Q1248">IFERROR(XLOOKUP(N1248,'Classificação'!A:A,'Classificação'!B:B),"")</f>
        <v>EMBALAGENS/FITAS/GERAL</v>
      </c>
      <c r="R1248" s="15" t="str">
        <f t="array" ref="R1248">IFERROR(XLOOKUP(Q1248,'Classificação'!B:B,'Classificação'!C:C),"")</f>
        <v>CUSTOS VARIÁVEIS</v>
      </c>
      <c r="S1248" s="15">
        <f t="shared" si="5"/>
        <v>20</v>
      </c>
      <c r="T1248" s="15">
        <f t="shared" si="6"/>
        <v>5</v>
      </c>
      <c r="U1248" s="15">
        <f t="shared" si="7"/>
        <v>2025</v>
      </c>
      <c r="V1248" s="15">
        <f t="shared" si="8"/>
        <v>20</v>
      </c>
      <c r="W1248" s="15">
        <f t="shared" si="9"/>
        <v>5</v>
      </c>
      <c r="X1248" s="15">
        <f t="shared" si="10"/>
        <v>2025</v>
      </c>
    </row>
    <row r="1249">
      <c r="A1249" s="9">
        <v>45797.0</v>
      </c>
      <c r="B1249" s="9">
        <v>45728.0</v>
      </c>
      <c r="C1249" s="9">
        <f t="shared" si="22"/>
        <v>45797</v>
      </c>
      <c r="D1249" s="11" t="s">
        <v>65</v>
      </c>
      <c r="E1249" s="11" t="s">
        <v>25</v>
      </c>
      <c r="F1249" s="11" t="s">
        <v>107</v>
      </c>
      <c r="G1249" s="11" t="s">
        <v>27</v>
      </c>
      <c r="H1249" s="11" t="s">
        <v>677</v>
      </c>
      <c r="I1249" s="31">
        <v>200.0</v>
      </c>
      <c r="J1249" s="13"/>
      <c r="K1249" s="13">
        <f t="shared" si="62"/>
        <v>200</v>
      </c>
      <c r="L1249" s="11" t="s">
        <v>53</v>
      </c>
      <c r="M1249" s="17">
        <v>45690.0</v>
      </c>
      <c r="N1249" s="11" t="s">
        <v>143</v>
      </c>
      <c r="O1249" s="10" t="str">
        <f t="shared" si="48"/>
        <v>05/2025</v>
      </c>
      <c r="P1249" s="10" t="str">
        <f t="shared" si="29"/>
        <v>05/2025</v>
      </c>
      <c r="Q1249" s="15" t="str">
        <f t="array" ref="Q1249">IFERROR(XLOOKUP(N1249,'Classificação'!A:A,'Classificação'!B:B),"")</f>
        <v>EMBALAGENS/FITAS/GERAL</v>
      </c>
      <c r="R1249" s="15" t="str">
        <f t="array" ref="R1249">IFERROR(XLOOKUP(Q1249,'Classificação'!B:B,'Classificação'!C:C),"")</f>
        <v>CUSTOS VARIÁVEIS</v>
      </c>
      <c r="S1249" s="15">
        <f t="shared" si="5"/>
        <v>20</v>
      </c>
      <c r="T1249" s="15">
        <f t="shared" si="6"/>
        <v>5</v>
      </c>
      <c r="U1249" s="15">
        <f t="shared" si="7"/>
        <v>2025</v>
      </c>
      <c r="V1249" s="15">
        <f t="shared" si="8"/>
        <v>20</v>
      </c>
      <c r="W1249" s="15">
        <f t="shared" si="9"/>
        <v>5</v>
      </c>
      <c r="X1249" s="15">
        <f t="shared" si="10"/>
        <v>2025</v>
      </c>
    </row>
    <row r="1250">
      <c r="A1250" s="9">
        <v>45797.0</v>
      </c>
      <c r="B1250" s="19">
        <v>45747.0</v>
      </c>
      <c r="C1250" s="9">
        <f t="shared" si="22"/>
        <v>45797</v>
      </c>
      <c r="D1250" s="11" t="s">
        <v>691</v>
      </c>
      <c r="E1250" s="11" t="s">
        <v>25</v>
      </c>
      <c r="F1250" s="11" t="s">
        <v>107</v>
      </c>
      <c r="G1250" s="11" t="s">
        <v>27</v>
      </c>
      <c r="H1250" s="11" t="s">
        <v>692</v>
      </c>
      <c r="I1250" s="31">
        <v>98.93</v>
      </c>
      <c r="J1250" s="13"/>
      <c r="K1250" s="13">
        <f t="shared" si="62"/>
        <v>98.93</v>
      </c>
      <c r="L1250" s="11" t="s">
        <v>53</v>
      </c>
      <c r="M1250" s="17">
        <v>45993.0</v>
      </c>
      <c r="N1250" s="11" t="s">
        <v>693</v>
      </c>
      <c r="O1250" s="10" t="str">
        <f t="shared" si="48"/>
        <v>05/2025</v>
      </c>
      <c r="P1250" s="10" t="str">
        <f t="shared" si="29"/>
        <v>05/2025</v>
      </c>
      <c r="Q1250" s="15" t="str">
        <f t="array" ref="Q1250">IFERROR(XLOOKUP(N1250,'Classificação'!A:A,'Classificação'!B:B),"")</f>
        <v>DESPESAS COM OCUPAÇÃO</v>
      </c>
      <c r="R1250" s="15" t="str">
        <f t="array" ref="R1250">IFERROR(XLOOKUP(Q1250,'Classificação'!B:B,'Classificação'!C:C),"")</f>
        <v>DESPESAS FIXAS (-)</v>
      </c>
      <c r="S1250" s="15">
        <f t="shared" si="5"/>
        <v>20</v>
      </c>
      <c r="T1250" s="15">
        <f t="shared" si="6"/>
        <v>5</v>
      </c>
      <c r="U1250" s="15">
        <f t="shared" si="7"/>
        <v>2025</v>
      </c>
      <c r="V1250" s="15">
        <f t="shared" si="8"/>
        <v>20</v>
      </c>
      <c r="W1250" s="15">
        <f t="shared" si="9"/>
        <v>5</v>
      </c>
      <c r="X1250" s="15">
        <f t="shared" si="10"/>
        <v>2025</v>
      </c>
    </row>
    <row r="1251">
      <c r="A1251" s="9">
        <v>45797.0</v>
      </c>
      <c r="B1251" s="9">
        <v>45757.0</v>
      </c>
      <c r="C1251" s="9">
        <f t="shared" si="22"/>
        <v>45797</v>
      </c>
      <c r="D1251" s="11" t="s">
        <v>65</v>
      </c>
      <c r="E1251" s="11" t="s">
        <v>25</v>
      </c>
      <c r="F1251" s="11" t="s">
        <v>107</v>
      </c>
      <c r="G1251" s="11" t="s">
        <v>27</v>
      </c>
      <c r="H1251" s="11" t="s">
        <v>681</v>
      </c>
      <c r="I1251" s="31">
        <v>47.8</v>
      </c>
      <c r="J1251" s="13"/>
      <c r="K1251" s="13">
        <f t="shared" si="62"/>
        <v>47.8</v>
      </c>
      <c r="L1251" s="11" t="s">
        <v>53</v>
      </c>
      <c r="M1251" s="17">
        <v>45992.0</v>
      </c>
      <c r="N1251" s="11" t="s">
        <v>95</v>
      </c>
      <c r="O1251" s="10" t="str">
        <f t="shared" si="48"/>
        <v>05/2025</v>
      </c>
      <c r="P1251" s="10" t="str">
        <f t="shared" si="29"/>
        <v>05/2025</v>
      </c>
      <c r="Q1251" s="15" t="str">
        <f t="array" ref="Q1251">IFERROR(XLOOKUP(N1251,'Classificação'!A:A,'Classificação'!B:B),"")</f>
        <v>DESPESAS NÃO OPERACIONAIS</v>
      </c>
      <c r="R1251" s="15" t="str">
        <f t="array" ref="R1251">IFERROR(XLOOKUP(Q1251,'Classificação'!B:B,'Classificação'!C:C),"")</f>
        <v>RESULTADO NÃO OPERACIONAL (+/-)</v>
      </c>
      <c r="S1251" s="15">
        <f t="shared" si="5"/>
        <v>20</v>
      </c>
      <c r="T1251" s="15">
        <f t="shared" si="6"/>
        <v>5</v>
      </c>
      <c r="U1251" s="15">
        <f t="shared" si="7"/>
        <v>2025</v>
      </c>
      <c r="V1251" s="15">
        <f t="shared" si="8"/>
        <v>20</v>
      </c>
      <c r="W1251" s="15">
        <f t="shared" si="9"/>
        <v>5</v>
      </c>
      <c r="X1251" s="15">
        <f t="shared" si="10"/>
        <v>2025</v>
      </c>
    </row>
    <row r="1252">
      <c r="A1252" s="9">
        <v>45797.0</v>
      </c>
      <c r="B1252" s="9">
        <v>45757.0</v>
      </c>
      <c r="C1252" s="9">
        <f t="shared" si="22"/>
        <v>45797</v>
      </c>
      <c r="D1252" s="11" t="s">
        <v>114</v>
      </c>
      <c r="E1252" s="11" t="s">
        <v>25</v>
      </c>
      <c r="F1252" s="11" t="s">
        <v>107</v>
      </c>
      <c r="G1252" s="11" t="s">
        <v>27</v>
      </c>
      <c r="H1252" s="11" t="s">
        <v>736</v>
      </c>
      <c r="I1252" s="31">
        <v>64.98</v>
      </c>
      <c r="J1252" s="13"/>
      <c r="K1252" s="13">
        <f t="shared" si="62"/>
        <v>64.98</v>
      </c>
      <c r="L1252" s="11" t="s">
        <v>34</v>
      </c>
      <c r="M1252" s="14"/>
      <c r="N1252" s="11" t="s">
        <v>143</v>
      </c>
      <c r="O1252" s="10" t="str">
        <f t="shared" si="48"/>
        <v>05/2025</v>
      </c>
      <c r="P1252" s="10" t="str">
        <f t="shared" si="29"/>
        <v>05/2025</v>
      </c>
      <c r="Q1252" s="15" t="str">
        <f t="array" ref="Q1252">IFERROR(XLOOKUP(N1252,'Classificação'!A:A,'Classificação'!B:B),"")</f>
        <v>EMBALAGENS/FITAS/GERAL</v>
      </c>
      <c r="R1252" s="15" t="str">
        <f t="array" ref="R1252">IFERROR(XLOOKUP(Q1252,'Classificação'!B:B,'Classificação'!C:C),"")</f>
        <v>CUSTOS VARIÁVEIS</v>
      </c>
      <c r="S1252" s="15">
        <f t="shared" si="5"/>
        <v>20</v>
      </c>
      <c r="T1252" s="15">
        <f t="shared" si="6"/>
        <v>5</v>
      </c>
      <c r="U1252" s="15">
        <f t="shared" si="7"/>
        <v>2025</v>
      </c>
      <c r="V1252" s="15">
        <f t="shared" si="8"/>
        <v>20</v>
      </c>
      <c r="W1252" s="15">
        <f t="shared" si="9"/>
        <v>5</v>
      </c>
      <c r="X1252" s="15">
        <f t="shared" si="10"/>
        <v>2025</v>
      </c>
    </row>
    <row r="1253">
      <c r="A1253" s="9">
        <v>45797.0</v>
      </c>
      <c r="B1253" s="9">
        <v>45757.0</v>
      </c>
      <c r="C1253" s="9">
        <f t="shared" si="22"/>
        <v>45797</v>
      </c>
      <c r="D1253" s="11" t="s">
        <v>137</v>
      </c>
      <c r="E1253" s="11" t="s">
        <v>25</v>
      </c>
      <c r="F1253" s="11" t="s">
        <v>110</v>
      </c>
      <c r="G1253" s="11" t="s">
        <v>27</v>
      </c>
      <c r="H1253" s="11" t="s">
        <v>737</v>
      </c>
      <c r="I1253" s="31">
        <v>12.69</v>
      </c>
      <c r="J1253" s="13"/>
      <c r="K1253" s="13">
        <f t="shared" si="62"/>
        <v>12.69</v>
      </c>
      <c r="L1253" s="11" t="s">
        <v>34</v>
      </c>
      <c r="M1253" s="14"/>
      <c r="N1253" s="11" t="s">
        <v>68</v>
      </c>
      <c r="O1253" s="10" t="str">
        <f t="shared" si="48"/>
        <v>05/2025</v>
      </c>
      <c r="P1253" s="10" t="str">
        <f t="shared" si="29"/>
        <v>05/2025</v>
      </c>
      <c r="Q1253" s="15" t="str">
        <f t="array" ref="Q1253">IFERROR(XLOOKUP(N1253,'Classificação'!A:A,'Classificação'!B:B),"")</f>
        <v>FRETE DE VENDAS</v>
      </c>
      <c r="R1253" s="15" t="str">
        <f t="array" ref="R1253">IFERROR(XLOOKUP(Q1253,'Classificação'!B:B,'Classificação'!C:C),"")</f>
        <v>CUSTOS VARIÁVEIS</v>
      </c>
      <c r="S1253" s="15">
        <f t="shared" si="5"/>
        <v>20</v>
      </c>
      <c r="T1253" s="15">
        <f t="shared" si="6"/>
        <v>5</v>
      </c>
      <c r="U1253" s="15">
        <f t="shared" si="7"/>
        <v>2025</v>
      </c>
      <c r="V1253" s="15">
        <f t="shared" si="8"/>
        <v>20</v>
      </c>
      <c r="W1253" s="15">
        <f t="shared" si="9"/>
        <v>5</v>
      </c>
      <c r="X1253" s="15">
        <f t="shared" si="10"/>
        <v>2025</v>
      </c>
    </row>
    <row r="1254">
      <c r="A1254" s="9">
        <v>45797.0</v>
      </c>
      <c r="B1254" s="9">
        <v>45757.0</v>
      </c>
      <c r="C1254" s="9">
        <f t="shared" si="22"/>
        <v>45797</v>
      </c>
      <c r="D1254" s="11" t="s">
        <v>65</v>
      </c>
      <c r="E1254" s="11" t="s">
        <v>25</v>
      </c>
      <c r="F1254" s="11" t="s">
        <v>107</v>
      </c>
      <c r="G1254" s="11" t="s">
        <v>27</v>
      </c>
      <c r="H1254" s="11" t="s">
        <v>738</v>
      </c>
      <c r="I1254" s="31">
        <v>84.59</v>
      </c>
      <c r="J1254" s="13"/>
      <c r="K1254" s="13">
        <f t="shared" si="62"/>
        <v>84.59</v>
      </c>
      <c r="L1254" s="11" t="s">
        <v>34</v>
      </c>
      <c r="M1254" s="14"/>
      <c r="N1254" s="11" t="s">
        <v>392</v>
      </c>
      <c r="O1254" s="10" t="str">
        <f t="shared" si="48"/>
        <v>05/2025</v>
      </c>
      <c r="P1254" s="10" t="str">
        <f t="shared" si="29"/>
        <v>05/2025</v>
      </c>
      <c r="Q1254" s="15" t="str">
        <f t="array" ref="Q1254">IFERROR(XLOOKUP(N1254,'Classificação'!A:A,'Classificação'!B:B),"")</f>
        <v>DESPESAS COM OCUPAÇÃO</v>
      </c>
      <c r="R1254" s="15" t="str">
        <f t="array" ref="R1254">IFERROR(XLOOKUP(Q1254,'Classificação'!B:B,'Classificação'!C:C),"")</f>
        <v>DESPESAS FIXAS (-)</v>
      </c>
      <c r="S1254" s="15">
        <f t="shared" si="5"/>
        <v>20</v>
      </c>
      <c r="T1254" s="15">
        <f t="shared" si="6"/>
        <v>5</v>
      </c>
      <c r="U1254" s="15">
        <f t="shared" si="7"/>
        <v>2025</v>
      </c>
      <c r="V1254" s="15">
        <f t="shared" si="8"/>
        <v>20</v>
      </c>
      <c r="W1254" s="15">
        <f t="shared" si="9"/>
        <v>5</v>
      </c>
      <c r="X1254" s="15">
        <f t="shared" si="10"/>
        <v>2025</v>
      </c>
    </row>
    <row r="1255">
      <c r="A1255" s="27">
        <v>45797.0</v>
      </c>
      <c r="B1255" s="9">
        <v>45757.0</v>
      </c>
      <c r="C1255" s="9">
        <f t="shared" si="22"/>
        <v>45797</v>
      </c>
      <c r="D1255" s="11" t="s">
        <v>65</v>
      </c>
      <c r="E1255" s="11" t="s">
        <v>25</v>
      </c>
      <c r="F1255" s="11" t="s">
        <v>107</v>
      </c>
      <c r="G1255" s="11" t="s">
        <v>27</v>
      </c>
      <c r="H1255" s="11" t="s">
        <v>739</v>
      </c>
      <c r="I1255" s="31">
        <v>48.2</v>
      </c>
      <c r="J1255" s="13"/>
      <c r="K1255" s="13">
        <f t="shared" si="62"/>
        <v>48.2</v>
      </c>
      <c r="L1255" s="11" t="s">
        <v>53</v>
      </c>
      <c r="M1255" s="17">
        <v>45962.0</v>
      </c>
      <c r="N1255" s="11" t="s">
        <v>95</v>
      </c>
      <c r="O1255" s="10" t="str">
        <f t="shared" si="48"/>
        <v>05/2025</v>
      </c>
      <c r="P1255" s="10" t="str">
        <f t="shared" si="29"/>
        <v>05/2025</v>
      </c>
      <c r="Q1255" s="15" t="str">
        <f t="array" ref="Q1255">IFERROR(XLOOKUP(N1255,'Classificação'!A:A,'Classificação'!B:B),"")</f>
        <v>DESPESAS NÃO OPERACIONAIS</v>
      </c>
      <c r="R1255" s="15" t="str">
        <f t="array" ref="R1255">IFERROR(XLOOKUP(Q1255,'Classificação'!B:B,'Classificação'!C:C),"")</f>
        <v>RESULTADO NÃO OPERACIONAL (+/-)</v>
      </c>
      <c r="S1255" s="15">
        <f t="shared" si="5"/>
        <v>20</v>
      </c>
      <c r="T1255" s="15">
        <f t="shared" si="6"/>
        <v>5</v>
      </c>
      <c r="U1255" s="15">
        <f t="shared" si="7"/>
        <v>2025</v>
      </c>
      <c r="V1255" s="15">
        <f t="shared" si="8"/>
        <v>20</v>
      </c>
      <c r="W1255" s="15">
        <f t="shared" si="9"/>
        <v>5</v>
      </c>
      <c r="X1255" s="15">
        <f t="shared" si="10"/>
        <v>2025</v>
      </c>
    </row>
    <row r="1256">
      <c r="A1256" s="9">
        <v>45797.0</v>
      </c>
      <c r="B1256" s="9">
        <v>45758.0</v>
      </c>
      <c r="C1256" s="9">
        <f t="shared" si="22"/>
        <v>45797</v>
      </c>
      <c r="D1256" s="11" t="s">
        <v>65</v>
      </c>
      <c r="E1256" s="11" t="s">
        <v>25</v>
      </c>
      <c r="F1256" s="11" t="s">
        <v>107</v>
      </c>
      <c r="G1256" s="11" t="s">
        <v>27</v>
      </c>
      <c r="H1256" s="11" t="s">
        <v>740</v>
      </c>
      <c r="I1256" s="31">
        <v>422.98</v>
      </c>
      <c r="J1256" s="13"/>
      <c r="K1256" s="13">
        <f t="shared" si="62"/>
        <v>422.98</v>
      </c>
      <c r="L1256" s="11" t="s">
        <v>53</v>
      </c>
      <c r="M1256" s="17">
        <v>45689.0</v>
      </c>
      <c r="N1256" s="11" t="s">
        <v>143</v>
      </c>
      <c r="O1256" s="10" t="str">
        <f t="shared" si="48"/>
        <v>05/2025</v>
      </c>
      <c r="P1256" s="10" t="str">
        <f t="shared" si="29"/>
        <v>05/2025</v>
      </c>
      <c r="Q1256" s="15" t="str">
        <f t="array" ref="Q1256">IFERROR(XLOOKUP(N1256,'Classificação'!A:A,'Classificação'!B:B),"")</f>
        <v>EMBALAGENS/FITAS/GERAL</v>
      </c>
      <c r="R1256" s="15" t="str">
        <f t="array" ref="R1256">IFERROR(XLOOKUP(Q1256,'Classificação'!B:B,'Classificação'!C:C),"")</f>
        <v>CUSTOS VARIÁVEIS</v>
      </c>
      <c r="S1256" s="15">
        <f t="shared" si="5"/>
        <v>20</v>
      </c>
      <c r="T1256" s="15">
        <f t="shared" si="6"/>
        <v>5</v>
      </c>
      <c r="U1256" s="15">
        <f t="shared" si="7"/>
        <v>2025</v>
      </c>
      <c r="V1256" s="15">
        <f t="shared" si="8"/>
        <v>20</v>
      </c>
      <c r="W1256" s="15">
        <f t="shared" si="9"/>
        <v>5</v>
      </c>
      <c r="X1256" s="15">
        <f t="shared" si="10"/>
        <v>2025</v>
      </c>
    </row>
    <row r="1257">
      <c r="A1257" s="9">
        <v>45797.0</v>
      </c>
      <c r="B1257" s="9">
        <v>45758.0</v>
      </c>
      <c r="C1257" s="9">
        <f t="shared" si="22"/>
        <v>45797</v>
      </c>
      <c r="D1257" s="11" t="s">
        <v>65</v>
      </c>
      <c r="E1257" s="11" t="s">
        <v>25</v>
      </c>
      <c r="F1257" s="11" t="s">
        <v>107</v>
      </c>
      <c r="G1257" s="11" t="s">
        <v>27</v>
      </c>
      <c r="H1257" s="11" t="s">
        <v>740</v>
      </c>
      <c r="I1257" s="31">
        <v>295.87</v>
      </c>
      <c r="J1257" s="13"/>
      <c r="K1257" s="13">
        <f t="shared" si="62"/>
        <v>295.87</v>
      </c>
      <c r="L1257" s="11" t="s">
        <v>53</v>
      </c>
      <c r="M1257" s="17">
        <v>45689.0</v>
      </c>
      <c r="N1257" s="11" t="s">
        <v>143</v>
      </c>
      <c r="O1257" s="10" t="str">
        <f t="shared" si="48"/>
        <v>05/2025</v>
      </c>
      <c r="P1257" s="10" t="str">
        <f t="shared" si="29"/>
        <v>05/2025</v>
      </c>
      <c r="Q1257" s="15" t="str">
        <f t="array" ref="Q1257">IFERROR(XLOOKUP(N1257,'Classificação'!A:A,'Classificação'!B:B),"")</f>
        <v>EMBALAGENS/FITAS/GERAL</v>
      </c>
      <c r="R1257" s="15" t="str">
        <f t="array" ref="R1257">IFERROR(XLOOKUP(Q1257,'Classificação'!B:B,'Classificação'!C:C),"")</f>
        <v>CUSTOS VARIÁVEIS</v>
      </c>
      <c r="S1257" s="15">
        <f t="shared" si="5"/>
        <v>20</v>
      </c>
      <c r="T1257" s="15">
        <f t="shared" si="6"/>
        <v>5</v>
      </c>
      <c r="U1257" s="15">
        <f t="shared" si="7"/>
        <v>2025</v>
      </c>
      <c r="V1257" s="15">
        <f t="shared" si="8"/>
        <v>20</v>
      </c>
      <c r="W1257" s="15">
        <f t="shared" si="9"/>
        <v>5</v>
      </c>
      <c r="X1257" s="15">
        <f t="shared" si="10"/>
        <v>2025</v>
      </c>
    </row>
    <row r="1258">
      <c r="A1258" s="9">
        <v>45797.0</v>
      </c>
      <c r="B1258" s="9">
        <v>45758.0</v>
      </c>
      <c r="C1258" s="9">
        <f t="shared" si="22"/>
        <v>45797</v>
      </c>
      <c r="D1258" s="11" t="s">
        <v>65</v>
      </c>
      <c r="E1258" s="11" t="s">
        <v>25</v>
      </c>
      <c r="F1258" s="11" t="s">
        <v>107</v>
      </c>
      <c r="G1258" s="11" t="s">
        <v>27</v>
      </c>
      <c r="H1258" s="11" t="s">
        <v>740</v>
      </c>
      <c r="I1258" s="31">
        <v>384.15</v>
      </c>
      <c r="J1258" s="13"/>
      <c r="K1258" s="13">
        <f t="shared" si="62"/>
        <v>384.15</v>
      </c>
      <c r="L1258" s="11" t="s">
        <v>53</v>
      </c>
      <c r="M1258" s="17">
        <v>45717.0</v>
      </c>
      <c r="N1258" s="11" t="s">
        <v>143</v>
      </c>
      <c r="O1258" s="10" t="str">
        <f t="shared" si="48"/>
        <v>05/2025</v>
      </c>
      <c r="P1258" s="10" t="str">
        <f t="shared" si="29"/>
        <v>05/2025</v>
      </c>
      <c r="Q1258" s="15" t="str">
        <f t="array" ref="Q1258">IFERROR(XLOOKUP(N1258,'Classificação'!A:A,'Classificação'!B:B),"")</f>
        <v>EMBALAGENS/FITAS/GERAL</v>
      </c>
      <c r="R1258" s="15" t="str">
        <f t="array" ref="R1258">IFERROR(XLOOKUP(Q1258,'Classificação'!B:B,'Classificação'!C:C),"")</f>
        <v>CUSTOS VARIÁVEIS</v>
      </c>
      <c r="S1258" s="15">
        <f t="shared" si="5"/>
        <v>20</v>
      </c>
      <c r="T1258" s="15">
        <f t="shared" si="6"/>
        <v>5</v>
      </c>
      <c r="U1258" s="15">
        <f t="shared" si="7"/>
        <v>2025</v>
      </c>
      <c r="V1258" s="15">
        <f t="shared" si="8"/>
        <v>20</v>
      </c>
      <c r="W1258" s="15">
        <f t="shared" si="9"/>
        <v>5</v>
      </c>
      <c r="X1258" s="15">
        <f t="shared" si="10"/>
        <v>2025</v>
      </c>
    </row>
    <row r="1259">
      <c r="A1259" s="9">
        <v>45797.0</v>
      </c>
      <c r="B1259" s="9">
        <v>45763.0</v>
      </c>
      <c r="C1259" s="9">
        <f t="shared" si="22"/>
        <v>45797</v>
      </c>
      <c r="D1259" s="11" t="s">
        <v>508</v>
      </c>
      <c r="E1259" s="11" t="s">
        <v>25</v>
      </c>
      <c r="F1259" s="11" t="s">
        <v>107</v>
      </c>
      <c r="G1259" s="11" t="s">
        <v>27</v>
      </c>
      <c r="H1259" s="11" t="s">
        <v>741</v>
      </c>
      <c r="I1259" s="31">
        <v>50.0</v>
      </c>
      <c r="J1259" s="13"/>
      <c r="K1259" s="13">
        <f t="shared" si="62"/>
        <v>50</v>
      </c>
      <c r="L1259" s="11" t="s">
        <v>34</v>
      </c>
      <c r="M1259" s="14"/>
      <c r="N1259" s="11" t="s">
        <v>392</v>
      </c>
      <c r="O1259" s="10" t="str">
        <f t="shared" si="48"/>
        <v>05/2025</v>
      </c>
      <c r="P1259" s="10" t="str">
        <f t="shared" si="29"/>
        <v>05/2025</v>
      </c>
      <c r="Q1259" s="15" t="str">
        <f t="array" ref="Q1259">IFERROR(XLOOKUP(N1259,'Classificação'!A:A,'Classificação'!B:B),"")</f>
        <v>DESPESAS COM OCUPAÇÃO</v>
      </c>
      <c r="R1259" s="15" t="str">
        <f t="array" ref="R1259">IFERROR(XLOOKUP(Q1259,'Classificação'!B:B,'Classificação'!C:C),"")</f>
        <v>DESPESAS FIXAS (-)</v>
      </c>
      <c r="S1259" s="15">
        <f t="shared" si="5"/>
        <v>20</v>
      </c>
      <c r="T1259" s="15">
        <f t="shared" si="6"/>
        <v>5</v>
      </c>
      <c r="U1259" s="15">
        <f t="shared" si="7"/>
        <v>2025</v>
      </c>
      <c r="V1259" s="15">
        <f t="shared" si="8"/>
        <v>20</v>
      </c>
      <c r="W1259" s="15">
        <f t="shared" si="9"/>
        <v>5</v>
      </c>
      <c r="X1259" s="15">
        <f t="shared" si="10"/>
        <v>2025</v>
      </c>
    </row>
    <row r="1260">
      <c r="A1260" s="9">
        <v>45797.0</v>
      </c>
      <c r="B1260" s="9">
        <v>45764.0</v>
      </c>
      <c r="C1260" s="9">
        <f t="shared" si="22"/>
        <v>45797</v>
      </c>
      <c r="D1260" s="11" t="s">
        <v>179</v>
      </c>
      <c r="E1260" s="11" t="s">
        <v>25</v>
      </c>
      <c r="F1260" s="11" t="s">
        <v>107</v>
      </c>
      <c r="G1260" s="11" t="s">
        <v>27</v>
      </c>
      <c r="H1260" s="11" t="s">
        <v>497</v>
      </c>
      <c r="I1260" s="31">
        <v>150.0</v>
      </c>
      <c r="J1260" s="13"/>
      <c r="K1260" s="13">
        <f t="shared" si="62"/>
        <v>150</v>
      </c>
      <c r="L1260" s="11" t="s">
        <v>34</v>
      </c>
      <c r="M1260" s="14"/>
      <c r="N1260" s="11" t="s">
        <v>181</v>
      </c>
      <c r="O1260" s="10" t="str">
        <f t="shared" si="48"/>
        <v>05/2025</v>
      </c>
      <c r="P1260" s="10" t="str">
        <f t="shared" si="29"/>
        <v>05/2025</v>
      </c>
      <c r="Q1260" s="15" t="str">
        <f t="array" ref="Q1260">IFERROR(XLOOKUP(N1260,'Classificação'!A:A,'Classificação'!B:B),"")</f>
        <v>DESPESAS COM VEICULOS</v>
      </c>
      <c r="R1260" s="15" t="str">
        <f t="array" ref="R1260">IFERROR(XLOOKUP(Q1260,'Classificação'!B:B,'Classificação'!C:C),"")</f>
        <v>DESPESAS FIXAS (-)</v>
      </c>
      <c r="S1260" s="15">
        <f t="shared" si="5"/>
        <v>20</v>
      </c>
      <c r="T1260" s="15">
        <f t="shared" si="6"/>
        <v>5</v>
      </c>
      <c r="U1260" s="15">
        <f t="shared" si="7"/>
        <v>2025</v>
      </c>
      <c r="V1260" s="15">
        <f t="shared" si="8"/>
        <v>20</v>
      </c>
      <c r="W1260" s="15">
        <f t="shared" si="9"/>
        <v>5</v>
      </c>
      <c r="X1260" s="15">
        <f t="shared" si="10"/>
        <v>2025</v>
      </c>
    </row>
    <row r="1261">
      <c r="A1261" s="9">
        <v>45797.0</v>
      </c>
      <c r="B1261" s="9">
        <v>45769.0</v>
      </c>
      <c r="C1261" s="9">
        <f t="shared" si="22"/>
        <v>45797</v>
      </c>
      <c r="D1261" s="11" t="s">
        <v>167</v>
      </c>
      <c r="E1261" s="11" t="s">
        <v>25</v>
      </c>
      <c r="F1261" s="11" t="s">
        <v>110</v>
      </c>
      <c r="G1261" s="11" t="s">
        <v>27</v>
      </c>
      <c r="H1261" s="11" t="s">
        <v>519</v>
      </c>
      <c r="I1261" s="31">
        <v>27.0</v>
      </c>
      <c r="J1261" s="13"/>
      <c r="K1261" s="13">
        <f t="shared" si="62"/>
        <v>27</v>
      </c>
      <c r="L1261" s="11" t="s">
        <v>34</v>
      </c>
      <c r="M1261" s="14"/>
      <c r="N1261" s="11" t="s">
        <v>78</v>
      </c>
      <c r="O1261" s="10" t="str">
        <f t="shared" si="48"/>
        <v>05/2025</v>
      </c>
      <c r="P1261" s="10" t="str">
        <f t="shared" si="29"/>
        <v>05/2025</v>
      </c>
      <c r="Q1261" s="15" t="str">
        <f t="array" ref="Q1261">IFERROR(XLOOKUP(N1261,'Classificação'!A:A,'Classificação'!B:B),"")</f>
        <v>DESPESAS COM PESSOAL</v>
      </c>
      <c r="R1261" s="15" t="str">
        <f t="array" ref="R1261">IFERROR(XLOOKUP(Q1261,'Classificação'!B:B,'Classificação'!C:C),"")</f>
        <v>DESPESAS FIXAS (-)</v>
      </c>
      <c r="S1261" s="15">
        <f t="shared" si="5"/>
        <v>20</v>
      </c>
      <c r="T1261" s="15">
        <f t="shared" si="6"/>
        <v>5</v>
      </c>
      <c r="U1261" s="15">
        <f t="shared" si="7"/>
        <v>2025</v>
      </c>
      <c r="V1261" s="15">
        <f t="shared" si="8"/>
        <v>20</v>
      </c>
      <c r="W1261" s="15">
        <f t="shared" si="9"/>
        <v>5</v>
      </c>
      <c r="X1261" s="15">
        <f t="shared" si="10"/>
        <v>2025</v>
      </c>
    </row>
    <row r="1262">
      <c r="A1262" s="9">
        <v>45797.0</v>
      </c>
      <c r="B1262" s="9">
        <v>45763.0</v>
      </c>
      <c r="C1262" s="9">
        <f t="shared" si="22"/>
        <v>45797</v>
      </c>
      <c r="D1262" s="11" t="s">
        <v>167</v>
      </c>
      <c r="E1262" s="11" t="s">
        <v>25</v>
      </c>
      <c r="F1262" s="11" t="s">
        <v>107</v>
      </c>
      <c r="G1262" s="11" t="s">
        <v>27</v>
      </c>
      <c r="H1262" s="11" t="s">
        <v>742</v>
      </c>
      <c r="I1262" s="31">
        <v>83.0</v>
      </c>
      <c r="J1262" s="13"/>
      <c r="K1262" s="13">
        <f t="shared" si="62"/>
        <v>83</v>
      </c>
      <c r="L1262" s="11" t="s">
        <v>34</v>
      </c>
      <c r="M1262" s="14"/>
      <c r="N1262" s="11" t="s">
        <v>78</v>
      </c>
      <c r="O1262" s="10" t="str">
        <f t="shared" si="48"/>
        <v>05/2025</v>
      </c>
      <c r="P1262" s="10" t="str">
        <f t="shared" si="29"/>
        <v>05/2025</v>
      </c>
      <c r="Q1262" s="15" t="str">
        <f t="array" ref="Q1262">IFERROR(XLOOKUP(N1262,'Classificação'!A:A,'Classificação'!B:B),"")</f>
        <v>DESPESAS COM PESSOAL</v>
      </c>
      <c r="R1262" s="15" t="str">
        <f t="array" ref="R1262">IFERROR(XLOOKUP(Q1262,'Classificação'!B:B,'Classificação'!C:C),"")</f>
        <v>DESPESAS FIXAS (-)</v>
      </c>
      <c r="S1262" s="15">
        <f t="shared" si="5"/>
        <v>20</v>
      </c>
      <c r="T1262" s="15">
        <f t="shared" si="6"/>
        <v>5</v>
      </c>
      <c r="U1262" s="15">
        <f t="shared" si="7"/>
        <v>2025</v>
      </c>
      <c r="V1262" s="15">
        <f t="shared" si="8"/>
        <v>20</v>
      </c>
      <c r="W1262" s="15">
        <f t="shared" si="9"/>
        <v>5</v>
      </c>
      <c r="X1262" s="15">
        <f t="shared" si="10"/>
        <v>2025</v>
      </c>
    </row>
    <row r="1263">
      <c r="A1263" s="9">
        <v>45797.0</v>
      </c>
      <c r="B1263" s="9">
        <v>45769.0</v>
      </c>
      <c r="C1263" s="9">
        <f t="shared" si="22"/>
        <v>45797</v>
      </c>
      <c r="D1263" s="11" t="s">
        <v>182</v>
      </c>
      <c r="E1263" s="11" t="s">
        <v>25</v>
      </c>
      <c r="F1263" s="11" t="s">
        <v>107</v>
      </c>
      <c r="G1263" s="11" t="s">
        <v>27</v>
      </c>
      <c r="H1263" s="11" t="s">
        <v>743</v>
      </c>
      <c r="I1263" s="31">
        <v>10.91</v>
      </c>
      <c r="J1263" s="13"/>
      <c r="K1263" s="13">
        <f t="shared" si="62"/>
        <v>10.91</v>
      </c>
      <c r="L1263" s="11" t="s">
        <v>34</v>
      </c>
      <c r="M1263" s="14"/>
      <c r="N1263" s="11" t="s">
        <v>184</v>
      </c>
      <c r="O1263" s="10" t="str">
        <f t="shared" si="48"/>
        <v>05/2025</v>
      </c>
      <c r="P1263" s="10" t="str">
        <f t="shared" si="29"/>
        <v>05/2025</v>
      </c>
      <c r="Q1263" s="15" t="str">
        <f t="array" ref="Q1263">IFERROR(XLOOKUP(N1263,'Classificação'!A:A,'Classificação'!B:B),"")</f>
        <v>DESPESAS ADMINISTRATIVAS</v>
      </c>
      <c r="R1263" s="15" t="str">
        <f t="array" ref="R1263">IFERROR(XLOOKUP(Q1263,'Classificação'!B:B,'Classificação'!C:C),"")</f>
        <v>DESPESAS FIXAS (-)</v>
      </c>
      <c r="S1263" s="15">
        <f t="shared" si="5"/>
        <v>20</v>
      </c>
      <c r="T1263" s="15">
        <f t="shared" si="6"/>
        <v>5</v>
      </c>
      <c r="U1263" s="15">
        <f t="shared" si="7"/>
        <v>2025</v>
      </c>
      <c r="V1263" s="15">
        <f t="shared" si="8"/>
        <v>20</v>
      </c>
      <c r="W1263" s="15">
        <f t="shared" si="9"/>
        <v>5</v>
      </c>
      <c r="X1263" s="15">
        <f t="shared" si="10"/>
        <v>2025</v>
      </c>
    </row>
    <row r="1264">
      <c r="A1264" s="9">
        <v>45797.0</v>
      </c>
      <c r="B1264" s="9">
        <v>45769.0</v>
      </c>
      <c r="C1264" s="9">
        <f t="shared" si="22"/>
        <v>45797</v>
      </c>
      <c r="D1264" s="11" t="s">
        <v>182</v>
      </c>
      <c r="E1264" s="11" t="s">
        <v>25</v>
      </c>
      <c r="F1264" s="11" t="s">
        <v>107</v>
      </c>
      <c r="G1264" s="11" t="s">
        <v>27</v>
      </c>
      <c r="H1264" s="11" t="s">
        <v>743</v>
      </c>
      <c r="I1264" s="31">
        <v>10.99</v>
      </c>
      <c r="J1264" s="13"/>
      <c r="K1264" s="13">
        <f t="shared" si="62"/>
        <v>10.99</v>
      </c>
      <c r="L1264" s="11" t="s">
        <v>34</v>
      </c>
      <c r="M1264" s="14"/>
      <c r="N1264" s="11" t="s">
        <v>184</v>
      </c>
      <c r="O1264" s="10" t="str">
        <f t="shared" si="48"/>
        <v>05/2025</v>
      </c>
      <c r="P1264" s="10" t="str">
        <f t="shared" si="29"/>
        <v>05/2025</v>
      </c>
      <c r="Q1264" s="15" t="str">
        <f t="array" ref="Q1264">IFERROR(XLOOKUP(N1264,'Classificação'!A:A,'Classificação'!B:B),"")</f>
        <v>DESPESAS ADMINISTRATIVAS</v>
      </c>
      <c r="R1264" s="15" t="str">
        <f t="array" ref="R1264">IFERROR(XLOOKUP(Q1264,'Classificação'!B:B,'Classificação'!C:C),"")</f>
        <v>DESPESAS FIXAS (-)</v>
      </c>
      <c r="S1264" s="15">
        <f t="shared" si="5"/>
        <v>20</v>
      </c>
      <c r="T1264" s="15">
        <f t="shared" si="6"/>
        <v>5</v>
      </c>
      <c r="U1264" s="15">
        <f t="shared" si="7"/>
        <v>2025</v>
      </c>
      <c r="V1264" s="15">
        <f t="shared" si="8"/>
        <v>20</v>
      </c>
      <c r="W1264" s="15">
        <f t="shared" si="9"/>
        <v>5</v>
      </c>
      <c r="X1264" s="15">
        <f t="shared" si="10"/>
        <v>2025</v>
      </c>
    </row>
    <row r="1265">
      <c r="A1265" s="9">
        <v>45797.0</v>
      </c>
      <c r="B1265" s="9">
        <v>45771.0</v>
      </c>
      <c r="C1265" s="9">
        <f t="shared" si="22"/>
        <v>45797</v>
      </c>
      <c r="D1265" s="11" t="s">
        <v>179</v>
      </c>
      <c r="E1265" s="11" t="s">
        <v>25</v>
      </c>
      <c r="F1265" s="11" t="s">
        <v>107</v>
      </c>
      <c r="G1265" s="11" t="s">
        <v>27</v>
      </c>
      <c r="H1265" s="11" t="s">
        <v>312</v>
      </c>
      <c r="I1265" s="31">
        <v>100.0</v>
      </c>
      <c r="J1265" s="13"/>
      <c r="K1265" s="13">
        <f t="shared" si="62"/>
        <v>100</v>
      </c>
      <c r="L1265" s="11" t="s">
        <v>34</v>
      </c>
      <c r="M1265" s="14"/>
      <c r="N1265" s="11" t="s">
        <v>181</v>
      </c>
      <c r="O1265" s="10" t="str">
        <f t="shared" si="48"/>
        <v>05/2025</v>
      </c>
      <c r="P1265" s="10" t="str">
        <f t="shared" si="29"/>
        <v>05/2025</v>
      </c>
      <c r="Q1265" s="15" t="str">
        <f t="array" ref="Q1265">IFERROR(XLOOKUP(N1265,'Classificação'!A:A,'Classificação'!B:B),"")</f>
        <v>DESPESAS COM VEICULOS</v>
      </c>
      <c r="R1265" s="15" t="str">
        <f t="array" ref="R1265">IFERROR(XLOOKUP(Q1265,'Classificação'!B:B,'Classificação'!C:C),"")</f>
        <v>DESPESAS FIXAS (-)</v>
      </c>
      <c r="S1265" s="15">
        <f t="shared" si="5"/>
        <v>20</v>
      </c>
      <c r="T1265" s="15">
        <f t="shared" si="6"/>
        <v>5</v>
      </c>
      <c r="U1265" s="15">
        <f t="shared" si="7"/>
        <v>2025</v>
      </c>
      <c r="V1265" s="15">
        <f t="shared" si="8"/>
        <v>20</v>
      </c>
      <c r="W1265" s="15">
        <f t="shared" si="9"/>
        <v>5</v>
      </c>
      <c r="X1265" s="15">
        <f t="shared" si="10"/>
        <v>2025</v>
      </c>
    </row>
    <row r="1266">
      <c r="A1266" s="9">
        <v>45797.0</v>
      </c>
      <c r="B1266" s="9">
        <v>45770.0</v>
      </c>
      <c r="C1266" s="9">
        <f t="shared" si="22"/>
        <v>45797</v>
      </c>
      <c r="D1266" s="11" t="s">
        <v>81</v>
      </c>
      <c r="E1266" s="11" t="s">
        <v>25</v>
      </c>
      <c r="F1266" s="11" t="s">
        <v>107</v>
      </c>
      <c r="G1266" s="11" t="s">
        <v>27</v>
      </c>
      <c r="H1266" s="11" t="s">
        <v>744</v>
      </c>
      <c r="I1266" s="31">
        <v>165.77</v>
      </c>
      <c r="J1266" s="13"/>
      <c r="K1266" s="13">
        <f t="shared" si="62"/>
        <v>165.77</v>
      </c>
      <c r="L1266" s="11" t="s">
        <v>34</v>
      </c>
      <c r="M1266" s="14"/>
      <c r="N1266" s="11" t="s">
        <v>71</v>
      </c>
      <c r="O1266" s="10" t="str">
        <f t="shared" si="48"/>
        <v>05/2025</v>
      </c>
      <c r="P1266" s="10" t="str">
        <f t="shared" si="29"/>
        <v>05/2025</v>
      </c>
      <c r="Q1266" s="15" t="str">
        <f t="array" ref="Q1266">IFERROR(XLOOKUP(N1266,'Classificação'!A:A,'Classificação'!B:B),"")</f>
        <v>DESPESAS DIVERSAS</v>
      </c>
      <c r="R1266" s="15" t="str">
        <f t="array" ref="R1266">IFERROR(XLOOKUP(Q1266,'Classificação'!B:B,'Classificação'!C:C),"")</f>
        <v>DESPESAS FIXAS (-)</v>
      </c>
      <c r="S1266" s="15">
        <f t="shared" si="5"/>
        <v>20</v>
      </c>
      <c r="T1266" s="15">
        <f t="shared" si="6"/>
        <v>5</v>
      </c>
      <c r="U1266" s="15">
        <f t="shared" si="7"/>
        <v>2025</v>
      </c>
      <c r="V1266" s="15">
        <f t="shared" si="8"/>
        <v>20</v>
      </c>
      <c r="W1266" s="15">
        <f t="shared" si="9"/>
        <v>5</v>
      </c>
      <c r="X1266" s="15">
        <f t="shared" si="10"/>
        <v>2025</v>
      </c>
    </row>
    <row r="1267">
      <c r="A1267" s="9">
        <v>45797.0</v>
      </c>
      <c r="B1267" s="9">
        <v>45770.0</v>
      </c>
      <c r="C1267" s="9">
        <f t="shared" si="22"/>
        <v>45797</v>
      </c>
      <c r="D1267" s="11" t="s">
        <v>114</v>
      </c>
      <c r="E1267" s="11" t="s">
        <v>25</v>
      </c>
      <c r="F1267" s="11" t="s">
        <v>107</v>
      </c>
      <c r="G1267" s="11" t="s">
        <v>27</v>
      </c>
      <c r="H1267" s="11" t="s">
        <v>679</v>
      </c>
      <c r="I1267" s="31">
        <v>548.36</v>
      </c>
      <c r="J1267" s="13"/>
      <c r="K1267" s="13">
        <f t="shared" si="62"/>
        <v>548.36</v>
      </c>
      <c r="L1267" s="11" t="s">
        <v>34</v>
      </c>
      <c r="M1267" s="14"/>
      <c r="N1267" s="11" t="s">
        <v>143</v>
      </c>
      <c r="O1267" s="10" t="str">
        <f t="shared" si="48"/>
        <v>05/2025</v>
      </c>
      <c r="P1267" s="10" t="str">
        <f t="shared" si="29"/>
        <v>05/2025</v>
      </c>
      <c r="Q1267" s="15" t="str">
        <f t="array" ref="Q1267">IFERROR(XLOOKUP(N1267,'Classificação'!A:A,'Classificação'!B:B),"")</f>
        <v>EMBALAGENS/FITAS/GERAL</v>
      </c>
      <c r="R1267" s="15" t="str">
        <f t="array" ref="R1267">IFERROR(XLOOKUP(Q1267,'Classificação'!B:B,'Classificação'!C:C),"")</f>
        <v>CUSTOS VARIÁVEIS</v>
      </c>
      <c r="S1267" s="15">
        <f t="shared" si="5"/>
        <v>20</v>
      </c>
      <c r="T1267" s="15">
        <f t="shared" si="6"/>
        <v>5</v>
      </c>
      <c r="U1267" s="15">
        <f t="shared" si="7"/>
        <v>2025</v>
      </c>
      <c r="V1267" s="15">
        <f t="shared" si="8"/>
        <v>20</v>
      </c>
      <c r="W1267" s="15">
        <f t="shared" si="9"/>
        <v>5</v>
      </c>
      <c r="X1267" s="15">
        <f t="shared" si="10"/>
        <v>2025</v>
      </c>
    </row>
    <row r="1268">
      <c r="A1268" s="9">
        <v>45797.0</v>
      </c>
      <c r="B1268" s="9">
        <v>45772.0</v>
      </c>
      <c r="C1268" s="9">
        <f t="shared" si="22"/>
        <v>45797</v>
      </c>
      <c r="D1268" s="11" t="s">
        <v>745</v>
      </c>
      <c r="E1268" s="11" t="s">
        <v>25</v>
      </c>
      <c r="F1268" s="11" t="s">
        <v>110</v>
      </c>
      <c r="G1268" s="11" t="s">
        <v>27</v>
      </c>
      <c r="H1268" s="11" t="s">
        <v>746</v>
      </c>
      <c r="I1268" s="31">
        <v>295.04</v>
      </c>
      <c r="J1268" s="13"/>
      <c r="K1268" s="13">
        <f t="shared" si="62"/>
        <v>295.04</v>
      </c>
      <c r="L1268" s="11" t="s">
        <v>34</v>
      </c>
      <c r="M1268" s="14"/>
      <c r="N1268" s="11" t="s">
        <v>105</v>
      </c>
      <c r="O1268" s="10" t="str">
        <f t="shared" si="48"/>
        <v>05/2025</v>
      </c>
      <c r="P1268" s="10" t="str">
        <f t="shared" si="29"/>
        <v>05/2025</v>
      </c>
      <c r="Q1268" s="15" t="str">
        <f t="array" ref="Q1268">IFERROR(XLOOKUP(N1268,'Classificação'!A:A,'Classificação'!B:B),"")</f>
        <v>DESPESAS ADMINISTRATIVAS</v>
      </c>
      <c r="R1268" s="15" t="str">
        <f t="array" ref="R1268">IFERROR(XLOOKUP(Q1268,'Classificação'!B:B,'Classificação'!C:C),"")</f>
        <v>DESPESAS FIXAS (-)</v>
      </c>
      <c r="S1268" s="15">
        <f t="shared" si="5"/>
        <v>20</v>
      </c>
      <c r="T1268" s="15">
        <f t="shared" si="6"/>
        <v>5</v>
      </c>
      <c r="U1268" s="15">
        <f t="shared" si="7"/>
        <v>2025</v>
      </c>
      <c r="V1268" s="15">
        <f t="shared" si="8"/>
        <v>20</v>
      </c>
      <c r="W1268" s="15">
        <f t="shared" si="9"/>
        <v>5</v>
      </c>
      <c r="X1268" s="15">
        <f t="shared" si="10"/>
        <v>2025</v>
      </c>
    </row>
    <row r="1269">
      <c r="A1269" s="9">
        <v>45797.0</v>
      </c>
      <c r="B1269" s="9">
        <v>45771.0</v>
      </c>
      <c r="C1269" s="9">
        <f>IF(E1269="pago",A1268,"")</f>
        <v>45797</v>
      </c>
      <c r="D1269" s="11" t="s">
        <v>182</v>
      </c>
      <c r="E1269" s="11" t="s">
        <v>25</v>
      </c>
      <c r="F1269" s="11" t="s">
        <v>107</v>
      </c>
      <c r="G1269" s="11" t="s">
        <v>27</v>
      </c>
      <c r="H1269" s="11" t="s">
        <v>747</v>
      </c>
      <c r="I1269" s="31">
        <v>8.96</v>
      </c>
      <c r="J1269" s="13"/>
      <c r="K1269" s="13">
        <f t="shared" si="62"/>
        <v>8.96</v>
      </c>
      <c r="L1269" s="11" t="s">
        <v>34</v>
      </c>
      <c r="M1269" s="14"/>
      <c r="N1269" s="11" t="s">
        <v>184</v>
      </c>
      <c r="O1269" s="10" t="str">
        <f>if(A1268="","", TEXT(A1268,"mm/yyyy"))</f>
        <v>05/2025</v>
      </c>
      <c r="P1269" s="10" t="str">
        <f t="shared" si="29"/>
        <v>05/2025</v>
      </c>
      <c r="Q1269" s="15" t="str">
        <f t="array" ref="Q1269">IFERROR(XLOOKUP(N1269,'Classificação'!A:A,'Classificação'!B:B),"")</f>
        <v>DESPESAS ADMINISTRATIVAS</v>
      </c>
      <c r="R1269" s="15" t="str">
        <f t="array" ref="R1269">IFERROR(XLOOKUP(Q1269,'Classificação'!B:B,'Classificação'!C:C),"")</f>
        <v>DESPESAS FIXAS (-)</v>
      </c>
      <c r="S1269" s="15">
        <f>iferror(DAY(A1268),"")</f>
        <v>20</v>
      </c>
      <c r="T1269" s="15">
        <f t="shared" si="6"/>
        <v>5</v>
      </c>
      <c r="U1269" s="15">
        <f t="shared" si="7"/>
        <v>2025</v>
      </c>
      <c r="V1269" s="15">
        <f t="shared" si="8"/>
        <v>20</v>
      </c>
      <c r="W1269" s="15">
        <f t="shared" si="9"/>
        <v>5</v>
      </c>
      <c r="X1269" s="15">
        <f t="shared" si="10"/>
        <v>2025</v>
      </c>
    </row>
    <row r="1270">
      <c r="A1270" s="9">
        <v>45797.0</v>
      </c>
      <c r="B1270" s="9">
        <v>45772.0</v>
      </c>
      <c r="C1270" s="9">
        <f t="shared" ref="C1270:C1390" si="63">IF(E1270="pago",A1270,"")</f>
        <v>45797</v>
      </c>
      <c r="D1270" s="11" t="s">
        <v>65</v>
      </c>
      <c r="E1270" s="11" t="s">
        <v>25</v>
      </c>
      <c r="F1270" s="11" t="s">
        <v>107</v>
      </c>
      <c r="G1270" s="11" t="s">
        <v>27</v>
      </c>
      <c r="H1270" s="11" t="s">
        <v>748</v>
      </c>
      <c r="I1270" s="31">
        <v>92.2</v>
      </c>
      <c r="J1270" s="13"/>
      <c r="K1270" s="13">
        <f t="shared" si="62"/>
        <v>92.2</v>
      </c>
      <c r="L1270" s="11" t="s">
        <v>34</v>
      </c>
      <c r="M1270" s="14"/>
      <c r="N1270" s="11" t="s">
        <v>95</v>
      </c>
      <c r="O1270" s="10" t="str">
        <f t="shared" ref="O1270:O1390" si="64">if(A1270="","", TEXT(A1270,"mm/yyyy"))</f>
        <v>05/2025</v>
      </c>
      <c r="P1270" s="10" t="str">
        <f t="shared" si="29"/>
        <v>05/2025</v>
      </c>
      <c r="Q1270" s="15" t="str">
        <f t="array" ref="Q1270">IFERROR(XLOOKUP(N1270,'Classificação'!A:A,'Classificação'!B:B),"")</f>
        <v>DESPESAS NÃO OPERACIONAIS</v>
      </c>
      <c r="R1270" s="15" t="str">
        <f t="array" ref="R1270">IFERROR(XLOOKUP(Q1270,'Classificação'!B:B,'Classificação'!C:C),"")</f>
        <v>RESULTADO NÃO OPERACIONAL (+/-)</v>
      </c>
      <c r="S1270" s="15">
        <f t="shared" ref="S1270:S1390" si="65">iferror(DAY(A1270),"")</f>
        <v>20</v>
      </c>
      <c r="T1270" s="15">
        <f t="shared" si="6"/>
        <v>5</v>
      </c>
      <c r="U1270" s="15">
        <f t="shared" si="7"/>
        <v>2025</v>
      </c>
      <c r="V1270" s="15">
        <f t="shared" si="8"/>
        <v>20</v>
      </c>
      <c r="W1270" s="15">
        <f t="shared" si="9"/>
        <v>5</v>
      </c>
      <c r="X1270" s="15">
        <f t="shared" si="10"/>
        <v>2025</v>
      </c>
    </row>
    <row r="1271">
      <c r="A1271" s="9">
        <v>45797.0</v>
      </c>
      <c r="B1271" s="9">
        <v>45775.0</v>
      </c>
      <c r="C1271" s="9">
        <f t="shared" si="63"/>
        <v>45797</v>
      </c>
      <c r="D1271" s="11" t="s">
        <v>167</v>
      </c>
      <c r="E1271" s="11" t="s">
        <v>25</v>
      </c>
      <c r="F1271" s="11" t="s">
        <v>107</v>
      </c>
      <c r="G1271" s="11" t="s">
        <v>27</v>
      </c>
      <c r="H1271" s="11" t="s">
        <v>670</v>
      </c>
      <c r="I1271" s="31">
        <v>27.0</v>
      </c>
      <c r="J1271" s="13"/>
      <c r="K1271" s="13">
        <f t="shared" si="62"/>
        <v>27</v>
      </c>
      <c r="L1271" s="11" t="s">
        <v>34</v>
      </c>
      <c r="M1271" s="14"/>
      <c r="N1271" s="11" t="s">
        <v>78</v>
      </c>
      <c r="O1271" s="10" t="str">
        <f t="shared" si="64"/>
        <v>05/2025</v>
      </c>
      <c r="P1271" s="10" t="str">
        <f t="shared" si="29"/>
        <v>05/2025</v>
      </c>
      <c r="Q1271" s="15" t="str">
        <f t="array" ref="Q1271">IFERROR(XLOOKUP(N1271,'Classificação'!A:A,'Classificação'!B:B),"")</f>
        <v>DESPESAS COM PESSOAL</v>
      </c>
      <c r="R1271" s="15" t="str">
        <f t="array" ref="R1271">IFERROR(XLOOKUP(Q1271,'Classificação'!B:B,'Classificação'!C:C),"")</f>
        <v>DESPESAS FIXAS (-)</v>
      </c>
      <c r="S1271" s="15">
        <f t="shared" si="65"/>
        <v>20</v>
      </c>
      <c r="T1271" s="15">
        <f t="shared" si="6"/>
        <v>5</v>
      </c>
      <c r="U1271" s="15">
        <f t="shared" si="7"/>
        <v>2025</v>
      </c>
      <c r="V1271" s="15">
        <f t="shared" si="8"/>
        <v>20</v>
      </c>
      <c r="W1271" s="15">
        <f t="shared" si="9"/>
        <v>5</v>
      </c>
      <c r="X1271" s="15">
        <f t="shared" si="10"/>
        <v>2025</v>
      </c>
    </row>
    <row r="1272">
      <c r="A1272" s="9">
        <v>45797.0</v>
      </c>
      <c r="B1272" s="9">
        <v>45775.0</v>
      </c>
      <c r="C1272" s="9">
        <f t="shared" si="63"/>
        <v>45797</v>
      </c>
      <c r="D1272" s="11" t="s">
        <v>65</v>
      </c>
      <c r="E1272" s="11" t="s">
        <v>25</v>
      </c>
      <c r="F1272" s="11" t="s">
        <v>107</v>
      </c>
      <c r="G1272" s="11" t="s">
        <v>27</v>
      </c>
      <c r="H1272" s="11" t="s">
        <v>749</v>
      </c>
      <c r="I1272" s="31">
        <v>50.66</v>
      </c>
      <c r="J1272" s="13"/>
      <c r="K1272" s="13">
        <f t="shared" si="62"/>
        <v>50.66</v>
      </c>
      <c r="L1272" s="11" t="s">
        <v>53</v>
      </c>
      <c r="M1272" s="17">
        <v>45809.0</v>
      </c>
      <c r="N1272" s="11" t="s">
        <v>175</v>
      </c>
      <c r="O1272" s="10" t="str">
        <f t="shared" si="64"/>
        <v>05/2025</v>
      </c>
      <c r="P1272" s="10" t="str">
        <f t="shared" si="29"/>
        <v>05/2025</v>
      </c>
      <c r="Q1272" s="15" t="str">
        <f t="array" ref="Q1272">IFERROR(XLOOKUP(N1272,'Classificação'!A:A,'Classificação'!B:B),"")</f>
        <v>DESPESAS COM VEICULOS</v>
      </c>
      <c r="R1272" s="15" t="str">
        <f t="array" ref="R1272">IFERROR(XLOOKUP(Q1272,'Classificação'!B:B,'Classificação'!C:C),"")</f>
        <v>DESPESAS FIXAS (-)</v>
      </c>
      <c r="S1272" s="15">
        <f t="shared" si="65"/>
        <v>20</v>
      </c>
      <c r="T1272" s="15">
        <f t="shared" si="6"/>
        <v>5</v>
      </c>
      <c r="U1272" s="15">
        <f t="shared" si="7"/>
        <v>2025</v>
      </c>
      <c r="V1272" s="15">
        <f t="shared" si="8"/>
        <v>20</v>
      </c>
      <c r="W1272" s="15">
        <f t="shared" si="9"/>
        <v>5</v>
      </c>
      <c r="X1272" s="15">
        <f t="shared" si="10"/>
        <v>2025</v>
      </c>
    </row>
    <row r="1273">
      <c r="A1273" s="9">
        <v>45797.0</v>
      </c>
      <c r="B1273" s="9">
        <v>45775.0</v>
      </c>
      <c r="C1273" s="9">
        <f t="shared" si="63"/>
        <v>45797</v>
      </c>
      <c r="D1273" s="11" t="s">
        <v>81</v>
      </c>
      <c r="E1273" s="11" t="s">
        <v>25</v>
      </c>
      <c r="F1273" s="11" t="s">
        <v>107</v>
      </c>
      <c r="G1273" s="11" t="s">
        <v>27</v>
      </c>
      <c r="H1273" s="11" t="s">
        <v>750</v>
      </c>
      <c r="I1273" s="31">
        <v>41.03</v>
      </c>
      <c r="J1273" s="13"/>
      <c r="K1273" s="13">
        <f t="shared" si="62"/>
        <v>41.03</v>
      </c>
      <c r="L1273" s="11" t="s">
        <v>34</v>
      </c>
      <c r="M1273" s="14"/>
      <c r="N1273" s="11" t="s">
        <v>71</v>
      </c>
      <c r="O1273" s="10" t="str">
        <f t="shared" si="64"/>
        <v>05/2025</v>
      </c>
      <c r="P1273" s="10" t="str">
        <f t="shared" si="29"/>
        <v>05/2025</v>
      </c>
      <c r="Q1273" s="15" t="str">
        <f t="array" ref="Q1273">IFERROR(XLOOKUP(N1273,'Classificação'!A:A,'Classificação'!B:B),"")</f>
        <v>DESPESAS DIVERSAS</v>
      </c>
      <c r="R1273" s="15" t="str">
        <f t="array" ref="R1273">IFERROR(XLOOKUP(Q1273,'Classificação'!B:B,'Classificação'!C:C),"")</f>
        <v>DESPESAS FIXAS (-)</v>
      </c>
      <c r="S1273" s="15">
        <f t="shared" si="65"/>
        <v>20</v>
      </c>
      <c r="T1273" s="15">
        <f t="shared" si="6"/>
        <v>5</v>
      </c>
      <c r="U1273" s="15">
        <f t="shared" si="7"/>
        <v>2025</v>
      </c>
      <c r="V1273" s="15">
        <f t="shared" si="8"/>
        <v>20</v>
      </c>
      <c r="W1273" s="15">
        <f t="shared" si="9"/>
        <v>5</v>
      </c>
      <c r="X1273" s="15">
        <f t="shared" si="10"/>
        <v>2025</v>
      </c>
    </row>
    <row r="1274">
      <c r="A1274" s="9">
        <v>45797.0</v>
      </c>
      <c r="B1274" s="9">
        <v>45783.0</v>
      </c>
      <c r="C1274" s="9">
        <f t="shared" si="63"/>
        <v>45797</v>
      </c>
      <c r="D1274" s="11" t="s">
        <v>179</v>
      </c>
      <c r="E1274" s="11" t="s">
        <v>25</v>
      </c>
      <c r="F1274" s="11" t="s">
        <v>107</v>
      </c>
      <c r="G1274" s="11" t="s">
        <v>27</v>
      </c>
      <c r="H1274" s="11" t="s">
        <v>312</v>
      </c>
      <c r="I1274" s="31">
        <v>228.0</v>
      </c>
      <c r="J1274" s="13"/>
      <c r="K1274" s="13">
        <f t="shared" si="62"/>
        <v>228</v>
      </c>
      <c r="L1274" s="11" t="s">
        <v>34</v>
      </c>
      <c r="M1274" s="14"/>
      <c r="N1274" s="11" t="s">
        <v>181</v>
      </c>
      <c r="O1274" s="10" t="str">
        <f t="shared" si="64"/>
        <v>05/2025</v>
      </c>
      <c r="P1274" s="10" t="str">
        <f t="shared" si="29"/>
        <v>05/2025</v>
      </c>
      <c r="Q1274" s="15" t="str">
        <f t="array" ref="Q1274">IFERROR(XLOOKUP(N1274,'Classificação'!A:A,'Classificação'!B:B),"")</f>
        <v>DESPESAS COM VEICULOS</v>
      </c>
      <c r="R1274" s="15" t="str">
        <f t="array" ref="R1274">IFERROR(XLOOKUP(Q1274,'Classificação'!B:B,'Classificação'!C:C),"")</f>
        <v>DESPESAS FIXAS (-)</v>
      </c>
      <c r="S1274" s="15">
        <f t="shared" si="65"/>
        <v>20</v>
      </c>
      <c r="T1274" s="15">
        <f t="shared" si="6"/>
        <v>5</v>
      </c>
      <c r="U1274" s="15">
        <f t="shared" si="7"/>
        <v>2025</v>
      </c>
      <c r="V1274" s="15">
        <f t="shared" si="8"/>
        <v>20</v>
      </c>
      <c r="W1274" s="15">
        <f t="shared" si="9"/>
        <v>5</v>
      </c>
      <c r="X1274" s="15">
        <f t="shared" si="10"/>
        <v>2025</v>
      </c>
    </row>
    <row r="1275">
      <c r="A1275" s="9">
        <v>45797.0</v>
      </c>
      <c r="B1275" s="9">
        <v>45783.0</v>
      </c>
      <c r="C1275" s="9">
        <f t="shared" si="63"/>
        <v>45797</v>
      </c>
      <c r="D1275" s="11" t="s">
        <v>182</v>
      </c>
      <c r="E1275" s="11" t="s">
        <v>25</v>
      </c>
      <c r="F1275" s="11" t="s">
        <v>107</v>
      </c>
      <c r="G1275" s="11" t="s">
        <v>27</v>
      </c>
      <c r="H1275" s="11" t="s">
        <v>751</v>
      </c>
      <c r="I1275" s="31">
        <v>10.96</v>
      </c>
      <c r="J1275" s="13"/>
      <c r="K1275" s="13">
        <f t="shared" si="62"/>
        <v>10.96</v>
      </c>
      <c r="L1275" s="11" t="s">
        <v>34</v>
      </c>
      <c r="M1275" s="14"/>
      <c r="N1275" s="11" t="s">
        <v>184</v>
      </c>
      <c r="O1275" s="10" t="str">
        <f t="shared" si="64"/>
        <v>05/2025</v>
      </c>
      <c r="P1275" s="10" t="str">
        <f t="shared" si="29"/>
        <v>05/2025</v>
      </c>
      <c r="Q1275" s="15" t="str">
        <f t="array" ref="Q1275">IFERROR(XLOOKUP(N1275,'Classificação'!A:A,'Classificação'!B:B),"")</f>
        <v>DESPESAS ADMINISTRATIVAS</v>
      </c>
      <c r="R1275" s="15" t="str">
        <f t="array" ref="R1275">IFERROR(XLOOKUP(Q1275,'Classificação'!B:B,'Classificação'!C:C),"")</f>
        <v>DESPESAS FIXAS (-)</v>
      </c>
      <c r="S1275" s="15">
        <f t="shared" si="65"/>
        <v>20</v>
      </c>
      <c r="T1275" s="15">
        <f t="shared" si="6"/>
        <v>5</v>
      </c>
      <c r="U1275" s="15">
        <f t="shared" si="7"/>
        <v>2025</v>
      </c>
      <c r="V1275" s="15">
        <f t="shared" si="8"/>
        <v>20</v>
      </c>
      <c r="W1275" s="15">
        <f t="shared" si="9"/>
        <v>5</v>
      </c>
      <c r="X1275" s="15">
        <f t="shared" si="10"/>
        <v>2025</v>
      </c>
    </row>
    <row r="1276">
      <c r="A1276" s="9">
        <v>45797.0</v>
      </c>
      <c r="B1276" s="9">
        <v>45776.0</v>
      </c>
      <c r="C1276" s="9">
        <f t="shared" si="63"/>
        <v>45797</v>
      </c>
      <c r="D1276" s="11" t="s">
        <v>65</v>
      </c>
      <c r="E1276" s="11" t="s">
        <v>25</v>
      </c>
      <c r="F1276" s="11" t="s">
        <v>110</v>
      </c>
      <c r="G1276" s="11" t="s">
        <v>27</v>
      </c>
      <c r="H1276" s="11" t="s">
        <v>752</v>
      </c>
      <c r="I1276" s="31">
        <v>98.4</v>
      </c>
      <c r="J1276" s="13"/>
      <c r="K1276" s="13">
        <f t="shared" si="62"/>
        <v>98.4</v>
      </c>
      <c r="L1276" s="11" t="s">
        <v>53</v>
      </c>
      <c r="M1276" s="17">
        <v>45931.0</v>
      </c>
      <c r="N1276" s="11" t="s">
        <v>58</v>
      </c>
      <c r="O1276" s="10" t="str">
        <f t="shared" si="64"/>
        <v>05/2025</v>
      </c>
      <c r="P1276" s="10" t="str">
        <f t="shared" si="29"/>
        <v>05/2025</v>
      </c>
      <c r="Q1276" s="15" t="str">
        <f t="array" ref="Q1276">IFERROR(XLOOKUP(N1276,'Classificação'!A:A,'Classificação'!B:B),"")</f>
        <v>DESPESAS ADMINISTRATIVAS</v>
      </c>
      <c r="R1276" s="15" t="str">
        <f t="array" ref="R1276">IFERROR(XLOOKUP(Q1276,'Classificação'!B:B,'Classificação'!C:C),"")</f>
        <v>DESPESAS FIXAS (-)</v>
      </c>
      <c r="S1276" s="15">
        <f t="shared" si="65"/>
        <v>20</v>
      </c>
      <c r="T1276" s="15">
        <f t="shared" si="6"/>
        <v>5</v>
      </c>
      <c r="U1276" s="15">
        <f t="shared" si="7"/>
        <v>2025</v>
      </c>
      <c r="V1276" s="15">
        <f t="shared" si="8"/>
        <v>20</v>
      </c>
      <c r="W1276" s="15">
        <f t="shared" si="9"/>
        <v>5</v>
      </c>
      <c r="X1276" s="15">
        <f t="shared" si="10"/>
        <v>2025</v>
      </c>
    </row>
    <row r="1277">
      <c r="A1277" s="9">
        <v>45797.0</v>
      </c>
      <c r="B1277" s="9">
        <v>45775.0</v>
      </c>
      <c r="C1277" s="9">
        <f t="shared" si="63"/>
        <v>45797</v>
      </c>
      <c r="D1277" s="11" t="s">
        <v>528</v>
      </c>
      <c r="E1277" s="11" t="s">
        <v>25</v>
      </c>
      <c r="F1277" s="11" t="s">
        <v>110</v>
      </c>
      <c r="G1277" s="11" t="s">
        <v>27</v>
      </c>
      <c r="H1277" s="11" t="s">
        <v>753</v>
      </c>
      <c r="I1277" s="31">
        <v>9.97</v>
      </c>
      <c r="J1277" s="13"/>
      <c r="K1277" s="13">
        <f t="shared" si="62"/>
        <v>9.97</v>
      </c>
      <c r="L1277" s="11" t="s">
        <v>34</v>
      </c>
      <c r="M1277" s="14"/>
      <c r="N1277" s="11" t="s">
        <v>355</v>
      </c>
      <c r="O1277" s="10" t="str">
        <f t="shared" si="64"/>
        <v>05/2025</v>
      </c>
      <c r="P1277" s="10" t="str">
        <f t="shared" si="29"/>
        <v>05/2025</v>
      </c>
      <c r="Q1277" s="15" t="str">
        <f t="array" ref="Q1277">IFERROR(XLOOKUP(N1277,'Classificação'!A:A,'Classificação'!B:B),"")</f>
        <v>IMPOSTOS E TAXAS DIVERSAS</v>
      </c>
      <c r="R1277" s="15" t="str">
        <f t="array" ref="R1277">IFERROR(XLOOKUP(Q1277,'Classificação'!B:B,'Classificação'!C:C),"")</f>
        <v>DESPESAS FIXAS (-)</v>
      </c>
      <c r="S1277" s="15">
        <f t="shared" si="65"/>
        <v>20</v>
      </c>
      <c r="T1277" s="15">
        <f t="shared" si="6"/>
        <v>5</v>
      </c>
      <c r="U1277" s="15">
        <f t="shared" si="7"/>
        <v>2025</v>
      </c>
      <c r="V1277" s="15">
        <f t="shared" si="8"/>
        <v>20</v>
      </c>
      <c r="W1277" s="15">
        <f t="shared" si="9"/>
        <v>5</v>
      </c>
      <c r="X1277" s="15">
        <f t="shared" si="10"/>
        <v>2025</v>
      </c>
    </row>
    <row r="1278">
      <c r="A1278" s="9">
        <v>45797.0</v>
      </c>
      <c r="B1278" s="9">
        <v>45762.0</v>
      </c>
      <c r="C1278" s="9">
        <f t="shared" si="63"/>
        <v>45797</v>
      </c>
      <c r="D1278" s="11" t="s">
        <v>65</v>
      </c>
      <c r="E1278" s="11" t="s">
        <v>25</v>
      </c>
      <c r="F1278" s="11" t="s">
        <v>110</v>
      </c>
      <c r="G1278" s="11" t="s">
        <v>27</v>
      </c>
      <c r="H1278" s="11" t="s">
        <v>754</v>
      </c>
      <c r="I1278" s="31">
        <v>-566.4</v>
      </c>
      <c r="J1278" s="13"/>
      <c r="K1278" s="13">
        <f t="shared" si="62"/>
        <v>-566.4</v>
      </c>
      <c r="L1278" s="11" t="s">
        <v>34</v>
      </c>
      <c r="M1278" s="14"/>
      <c r="N1278" s="11" t="s">
        <v>394</v>
      </c>
      <c r="O1278" s="10" t="str">
        <f t="shared" si="64"/>
        <v>05/2025</v>
      </c>
      <c r="P1278" s="10" t="str">
        <f t="shared" si="29"/>
        <v>05/2025</v>
      </c>
      <c r="Q1278" s="15" t="str">
        <f t="array" ref="Q1278">IFERROR(XLOOKUP(N1278,'Classificação'!A:A,'Classificação'!B:B),"")</f>
        <v>DESPESAS NÃO OPERACIONAIS</v>
      </c>
      <c r="R1278" s="15" t="str">
        <f t="array" ref="R1278">IFERROR(XLOOKUP(Q1278,'Classificação'!B:B,'Classificação'!C:C),"")</f>
        <v>RESULTADO NÃO OPERACIONAL (+/-)</v>
      </c>
      <c r="S1278" s="15">
        <f t="shared" si="65"/>
        <v>20</v>
      </c>
      <c r="T1278" s="15">
        <f t="shared" si="6"/>
        <v>5</v>
      </c>
      <c r="U1278" s="15">
        <f t="shared" si="7"/>
        <v>2025</v>
      </c>
      <c r="V1278" s="15">
        <f t="shared" si="8"/>
        <v>20</v>
      </c>
      <c r="W1278" s="15">
        <f t="shared" si="9"/>
        <v>5</v>
      </c>
      <c r="X1278" s="15">
        <f t="shared" si="10"/>
        <v>2025</v>
      </c>
    </row>
    <row r="1279">
      <c r="A1279" s="9">
        <v>45797.0</v>
      </c>
      <c r="B1279" s="9">
        <v>45779.0</v>
      </c>
      <c r="C1279" s="9">
        <f t="shared" si="63"/>
        <v>45797</v>
      </c>
      <c r="D1279" s="11" t="s">
        <v>65</v>
      </c>
      <c r="E1279" s="11" t="s">
        <v>25</v>
      </c>
      <c r="F1279" s="11" t="s">
        <v>110</v>
      </c>
      <c r="G1279" s="11" t="s">
        <v>27</v>
      </c>
      <c r="H1279" s="11" t="s">
        <v>754</v>
      </c>
      <c r="I1279" s="31">
        <v>-179.86</v>
      </c>
      <c r="J1279" s="13"/>
      <c r="K1279" s="13">
        <f t="shared" si="62"/>
        <v>-179.86</v>
      </c>
      <c r="L1279" s="11" t="s">
        <v>34</v>
      </c>
      <c r="M1279" s="14"/>
      <c r="N1279" s="11" t="s">
        <v>394</v>
      </c>
      <c r="O1279" s="10" t="str">
        <f t="shared" si="64"/>
        <v>05/2025</v>
      </c>
      <c r="P1279" s="10" t="str">
        <f t="shared" si="29"/>
        <v>05/2025</v>
      </c>
      <c r="Q1279" s="15" t="str">
        <f t="array" ref="Q1279">IFERROR(XLOOKUP(N1279,'Classificação'!A:A,'Classificação'!B:B),"")</f>
        <v>DESPESAS NÃO OPERACIONAIS</v>
      </c>
      <c r="R1279" s="15" t="str">
        <f t="array" ref="R1279">IFERROR(XLOOKUP(Q1279,'Classificação'!B:B,'Classificação'!C:C),"")</f>
        <v>RESULTADO NÃO OPERACIONAL (+/-)</v>
      </c>
      <c r="S1279" s="15">
        <f t="shared" si="65"/>
        <v>20</v>
      </c>
      <c r="T1279" s="15">
        <f t="shared" si="6"/>
        <v>5</v>
      </c>
      <c r="U1279" s="15">
        <f t="shared" si="7"/>
        <v>2025</v>
      </c>
      <c r="V1279" s="15">
        <f t="shared" si="8"/>
        <v>20</v>
      </c>
      <c r="W1279" s="15">
        <f t="shared" si="9"/>
        <v>5</v>
      </c>
      <c r="X1279" s="15">
        <f t="shared" si="10"/>
        <v>2025</v>
      </c>
    </row>
    <row r="1280">
      <c r="A1280" s="9">
        <v>45797.0</v>
      </c>
      <c r="B1280" s="9">
        <v>45782.0</v>
      </c>
      <c r="C1280" s="9">
        <f t="shared" si="63"/>
        <v>45797</v>
      </c>
      <c r="D1280" s="11" t="s">
        <v>167</v>
      </c>
      <c r="E1280" s="11" t="s">
        <v>25</v>
      </c>
      <c r="F1280" s="11" t="s">
        <v>107</v>
      </c>
      <c r="G1280" s="11" t="s">
        <v>27</v>
      </c>
      <c r="H1280" s="11" t="s">
        <v>755</v>
      </c>
      <c r="I1280" s="31">
        <v>27.0</v>
      </c>
      <c r="J1280" s="13"/>
      <c r="K1280" s="13">
        <f t="shared" si="62"/>
        <v>27</v>
      </c>
      <c r="L1280" s="11" t="s">
        <v>34</v>
      </c>
      <c r="M1280" s="17"/>
      <c r="N1280" s="11" t="s">
        <v>78</v>
      </c>
      <c r="O1280" s="10" t="str">
        <f t="shared" si="64"/>
        <v>05/2025</v>
      </c>
      <c r="P1280" s="10" t="str">
        <f t="shared" si="29"/>
        <v>05/2025</v>
      </c>
      <c r="Q1280" s="15" t="str">
        <f t="array" ref="Q1280">IFERROR(XLOOKUP(N1280,'Classificação'!A:A,'Classificação'!B:B),"")</f>
        <v>DESPESAS COM PESSOAL</v>
      </c>
      <c r="R1280" s="15" t="str">
        <f t="array" ref="R1280">IFERROR(XLOOKUP(Q1280,'Classificação'!B:B,'Classificação'!C:C),"")</f>
        <v>DESPESAS FIXAS (-)</v>
      </c>
      <c r="S1280" s="15">
        <f t="shared" si="65"/>
        <v>20</v>
      </c>
      <c r="T1280" s="15">
        <f t="shared" si="6"/>
        <v>5</v>
      </c>
      <c r="U1280" s="15">
        <f t="shared" si="7"/>
        <v>2025</v>
      </c>
      <c r="V1280" s="15">
        <f t="shared" si="8"/>
        <v>20</v>
      </c>
      <c r="W1280" s="15">
        <f t="shared" si="9"/>
        <v>5</v>
      </c>
      <c r="X1280" s="15">
        <f t="shared" si="10"/>
        <v>2025</v>
      </c>
    </row>
    <row r="1281">
      <c r="A1281" s="9">
        <v>45797.0</v>
      </c>
      <c r="B1281" s="9">
        <v>45761.0</v>
      </c>
      <c r="C1281" s="9">
        <f t="shared" si="63"/>
        <v>45797</v>
      </c>
      <c r="D1281" s="11" t="s">
        <v>65</v>
      </c>
      <c r="E1281" s="11" t="s">
        <v>25</v>
      </c>
      <c r="F1281" s="11" t="s">
        <v>107</v>
      </c>
      <c r="G1281" s="11" t="s">
        <v>27</v>
      </c>
      <c r="H1281" s="11" t="s">
        <v>756</v>
      </c>
      <c r="I1281" s="31">
        <v>55.75</v>
      </c>
      <c r="J1281" s="13"/>
      <c r="K1281" s="13">
        <f t="shared" si="62"/>
        <v>55.75</v>
      </c>
      <c r="L1281" s="11" t="s">
        <v>34</v>
      </c>
      <c r="M1281" s="17"/>
      <c r="N1281" s="11" t="s">
        <v>394</v>
      </c>
      <c r="O1281" s="10" t="str">
        <f t="shared" si="64"/>
        <v>05/2025</v>
      </c>
      <c r="P1281" s="10" t="str">
        <f t="shared" si="29"/>
        <v>05/2025</v>
      </c>
      <c r="Q1281" s="15" t="str">
        <f t="array" ref="Q1281">IFERROR(XLOOKUP(N1281,'Classificação'!A:A,'Classificação'!B:B),"")</f>
        <v>DESPESAS NÃO OPERACIONAIS</v>
      </c>
      <c r="R1281" s="15" t="str">
        <f t="array" ref="R1281">IFERROR(XLOOKUP(Q1281,'Classificação'!B:B,'Classificação'!C:C),"")</f>
        <v>RESULTADO NÃO OPERACIONAL (+/-)</v>
      </c>
      <c r="S1281" s="15">
        <f t="shared" si="65"/>
        <v>20</v>
      </c>
      <c r="T1281" s="15">
        <f t="shared" si="6"/>
        <v>5</v>
      </c>
      <c r="U1281" s="15">
        <f t="shared" si="7"/>
        <v>2025</v>
      </c>
      <c r="V1281" s="15">
        <f t="shared" si="8"/>
        <v>20</v>
      </c>
      <c r="W1281" s="15">
        <f t="shared" si="9"/>
        <v>5</v>
      </c>
      <c r="X1281" s="15">
        <f t="shared" si="10"/>
        <v>2025</v>
      </c>
    </row>
    <row r="1282">
      <c r="A1282" s="9">
        <v>45797.0</v>
      </c>
      <c r="B1282" s="9">
        <v>45771.0</v>
      </c>
      <c r="C1282" s="9">
        <f t="shared" si="63"/>
        <v>45797</v>
      </c>
      <c r="D1282" s="11" t="s">
        <v>264</v>
      </c>
      <c r="E1282" s="11" t="s">
        <v>25</v>
      </c>
      <c r="F1282" s="11" t="s">
        <v>107</v>
      </c>
      <c r="G1282" s="11" t="s">
        <v>27</v>
      </c>
      <c r="H1282" s="11" t="s">
        <v>757</v>
      </c>
      <c r="I1282" s="31">
        <v>80.0</v>
      </c>
      <c r="J1282" s="13"/>
      <c r="K1282" s="13">
        <f t="shared" si="62"/>
        <v>80</v>
      </c>
      <c r="L1282" s="11" t="s">
        <v>34</v>
      </c>
      <c r="M1282" s="17"/>
      <c r="N1282" s="11" t="s">
        <v>266</v>
      </c>
      <c r="O1282" s="10" t="str">
        <f t="shared" si="64"/>
        <v>05/2025</v>
      </c>
      <c r="P1282" s="10" t="str">
        <f t="shared" si="29"/>
        <v>05/2025</v>
      </c>
      <c r="Q1282" s="15" t="str">
        <f t="array" ref="Q1282">IFERROR(XLOOKUP(N1282,'Classificação'!A:A,'Classificação'!B:B),"")</f>
        <v>DESPESAS COM VIAGENS</v>
      </c>
      <c r="R1282" s="15" t="str">
        <f t="array" ref="R1282">IFERROR(XLOOKUP(Q1282,'Classificação'!B:B,'Classificação'!C:C),"")</f>
        <v>DESPESAS FIXAS (-)</v>
      </c>
      <c r="S1282" s="15">
        <f t="shared" si="65"/>
        <v>20</v>
      </c>
      <c r="T1282" s="15">
        <f t="shared" si="6"/>
        <v>5</v>
      </c>
      <c r="U1282" s="15">
        <f t="shared" si="7"/>
        <v>2025</v>
      </c>
      <c r="V1282" s="15">
        <f t="shared" si="8"/>
        <v>20</v>
      </c>
      <c r="W1282" s="15">
        <f t="shared" si="9"/>
        <v>5</v>
      </c>
      <c r="X1282" s="15">
        <f t="shared" si="10"/>
        <v>2025</v>
      </c>
    </row>
    <row r="1283">
      <c r="A1283" s="9">
        <v>45797.0</v>
      </c>
      <c r="B1283" s="9">
        <v>45777.0</v>
      </c>
      <c r="C1283" s="9">
        <f t="shared" si="63"/>
        <v>45797</v>
      </c>
      <c r="D1283" s="11" t="s">
        <v>182</v>
      </c>
      <c r="E1283" s="11" t="s">
        <v>25</v>
      </c>
      <c r="F1283" s="11" t="s">
        <v>107</v>
      </c>
      <c r="G1283" s="11" t="s">
        <v>27</v>
      </c>
      <c r="H1283" s="11" t="s">
        <v>758</v>
      </c>
      <c r="I1283" s="31">
        <v>11.92</v>
      </c>
      <c r="J1283" s="13"/>
      <c r="K1283" s="13">
        <f t="shared" si="62"/>
        <v>11.92</v>
      </c>
      <c r="L1283" s="11" t="s">
        <v>34</v>
      </c>
      <c r="M1283" s="16"/>
      <c r="N1283" s="11" t="s">
        <v>184</v>
      </c>
      <c r="O1283" s="10" t="str">
        <f t="shared" si="64"/>
        <v>05/2025</v>
      </c>
      <c r="P1283" s="10" t="str">
        <f t="shared" si="29"/>
        <v>05/2025</v>
      </c>
      <c r="Q1283" s="15" t="str">
        <f t="array" ref="Q1283">IFERROR(XLOOKUP(N1283,'Classificação'!A:A,'Classificação'!B:B),"")</f>
        <v>DESPESAS ADMINISTRATIVAS</v>
      </c>
      <c r="R1283" s="15" t="str">
        <f t="array" ref="R1283">IFERROR(XLOOKUP(Q1283,'Classificação'!B:B,'Classificação'!C:C),"")</f>
        <v>DESPESAS FIXAS (-)</v>
      </c>
      <c r="S1283" s="15">
        <f t="shared" si="65"/>
        <v>20</v>
      </c>
      <c r="T1283" s="15">
        <f t="shared" si="6"/>
        <v>5</v>
      </c>
      <c r="U1283" s="15">
        <f t="shared" si="7"/>
        <v>2025</v>
      </c>
      <c r="V1283" s="15">
        <f t="shared" si="8"/>
        <v>20</v>
      </c>
      <c r="W1283" s="15">
        <f t="shared" si="9"/>
        <v>5</v>
      </c>
      <c r="X1283" s="15">
        <f t="shared" si="10"/>
        <v>2025</v>
      </c>
    </row>
    <row r="1284">
      <c r="A1284" s="27">
        <v>45797.0</v>
      </c>
      <c r="B1284" s="27">
        <v>45771.0</v>
      </c>
      <c r="C1284" s="27">
        <f t="shared" si="63"/>
        <v>45797</v>
      </c>
      <c r="D1284" s="28" t="s">
        <v>44</v>
      </c>
      <c r="E1284" s="11" t="s">
        <v>25</v>
      </c>
      <c r="F1284" s="28" t="s">
        <v>107</v>
      </c>
      <c r="G1284" s="28" t="s">
        <v>27</v>
      </c>
      <c r="H1284" s="29" t="s">
        <v>759</v>
      </c>
      <c r="I1284" s="33">
        <v>-109.95</v>
      </c>
      <c r="J1284" s="34"/>
      <c r="K1284" s="13">
        <f t="shared" si="62"/>
        <v>-109.95</v>
      </c>
      <c r="L1284" s="28" t="s">
        <v>34</v>
      </c>
      <c r="M1284" s="14"/>
      <c r="N1284" s="11" t="s">
        <v>394</v>
      </c>
      <c r="O1284" s="10" t="str">
        <f t="shared" si="64"/>
        <v>05/2025</v>
      </c>
      <c r="P1284" s="10" t="str">
        <f t="shared" si="29"/>
        <v>05/2025</v>
      </c>
      <c r="Q1284" s="15" t="str">
        <f t="array" ref="Q1284">IFERROR(XLOOKUP(N1284,'Classificação'!A:A,'Classificação'!B:B),"")</f>
        <v>DESPESAS NÃO OPERACIONAIS</v>
      </c>
      <c r="R1284" s="15" t="str">
        <f t="array" ref="R1284">IFERROR(XLOOKUP(Q1284,'Classificação'!B:B,'Classificação'!C:C),"")</f>
        <v>RESULTADO NÃO OPERACIONAL (+/-)</v>
      </c>
      <c r="S1284" s="15">
        <f t="shared" si="65"/>
        <v>20</v>
      </c>
      <c r="T1284" s="15">
        <f t="shared" si="6"/>
        <v>5</v>
      </c>
      <c r="U1284" s="15">
        <f t="shared" si="7"/>
        <v>2025</v>
      </c>
      <c r="V1284" s="15">
        <f t="shared" si="8"/>
        <v>20</v>
      </c>
      <c r="W1284" s="15">
        <f t="shared" si="9"/>
        <v>5</v>
      </c>
      <c r="X1284" s="15">
        <f t="shared" si="10"/>
        <v>2025</v>
      </c>
    </row>
    <row r="1285">
      <c r="A1285" s="27">
        <v>45797.0</v>
      </c>
      <c r="B1285" s="26">
        <v>45763.0</v>
      </c>
      <c r="C1285" s="27">
        <f t="shared" si="63"/>
        <v>45797</v>
      </c>
      <c r="D1285" s="28" t="s">
        <v>44</v>
      </c>
      <c r="E1285" s="11" t="s">
        <v>25</v>
      </c>
      <c r="F1285" s="28" t="s">
        <v>107</v>
      </c>
      <c r="G1285" s="28" t="s">
        <v>27</v>
      </c>
      <c r="H1285" s="29" t="s">
        <v>760</v>
      </c>
      <c r="I1285" s="33">
        <v>-48.89</v>
      </c>
      <c r="J1285" s="34"/>
      <c r="K1285" s="13">
        <f t="shared" si="62"/>
        <v>-48.89</v>
      </c>
      <c r="L1285" s="28" t="s">
        <v>34</v>
      </c>
      <c r="M1285" s="14"/>
      <c r="N1285" s="11" t="s">
        <v>394</v>
      </c>
      <c r="O1285" s="10" t="str">
        <f t="shared" si="64"/>
        <v>05/2025</v>
      </c>
      <c r="P1285" s="10" t="str">
        <f t="shared" si="29"/>
        <v>05/2025</v>
      </c>
      <c r="Q1285" s="15" t="str">
        <f t="array" ref="Q1285">IFERROR(XLOOKUP(N1285,'Classificação'!A:A,'Classificação'!B:B),"")</f>
        <v>DESPESAS NÃO OPERACIONAIS</v>
      </c>
      <c r="R1285" s="15" t="str">
        <f t="array" ref="R1285">IFERROR(XLOOKUP(Q1285,'Classificação'!B:B,'Classificação'!C:C),"")</f>
        <v>RESULTADO NÃO OPERACIONAL (+/-)</v>
      </c>
      <c r="S1285" s="15">
        <f t="shared" si="65"/>
        <v>20</v>
      </c>
      <c r="T1285" s="15">
        <f t="shared" si="6"/>
        <v>5</v>
      </c>
      <c r="U1285" s="15">
        <f t="shared" si="7"/>
        <v>2025</v>
      </c>
      <c r="V1285" s="15">
        <f t="shared" si="8"/>
        <v>20</v>
      </c>
      <c r="W1285" s="15">
        <f t="shared" si="9"/>
        <v>5</v>
      </c>
      <c r="X1285" s="15">
        <f t="shared" si="10"/>
        <v>2025</v>
      </c>
    </row>
    <row r="1286">
      <c r="A1286" s="9">
        <v>45797.0</v>
      </c>
      <c r="B1286" s="9">
        <v>45771.0</v>
      </c>
      <c r="C1286" s="9">
        <f t="shared" si="63"/>
        <v>45797</v>
      </c>
      <c r="D1286" s="11" t="s">
        <v>217</v>
      </c>
      <c r="E1286" s="11" t="s">
        <v>25</v>
      </c>
      <c r="F1286" s="28" t="s">
        <v>107</v>
      </c>
      <c r="G1286" s="28" t="s">
        <v>27</v>
      </c>
      <c r="H1286" s="11" t="s">
        <v>761</v>
      </c>
      <c r="I1286" s="12">
        <v>106.49</v>
      </c>
      <c r="J1286" s="13"/>
      <c r="K1286" s="13">
        <f t="shared" si="62"/>
        <v>106.49</v>
      </c>
      <c r="L1286" s="28" t="s">
        <v>34</v>
      </c>
      <c r="M1286" s="14"/>
      <c r="N1286" s="11" t="s">
        <v>218</v>
      </c>
      <c r="O1286" s="10" t="str">
        <f t="shared" si="64"/>
        <v>05/2025</v>
      </c>
      <c r="P1286" s="10" t="str">
        <f t="shared" si="29"/>
        <v>05/2025</v>
      </c>
      <c r="Q1286" s="15" t="str">
        <f t="array" ref="Q1286">IFERROR(XLOOKUP(N1286,'Classificação'!A:A,'Classificação'!B:B),"")</f>
        <v>DESPESAS COM VIAGENS</v>
      </c>
      <c r="R1286" s="15" t="str">
        <f t="array" ref="R1286">IFERROR(XLOOKUP(Q1286,'Classificação'!B:B,'Classificação'!C:C),"")</f>
        <v>DESPESAS FIXAS (-)</v>
      </c>
      <c r="S1286" s="15">
        <f t="shared" si="65"/>
        <v>20</v>
      </c>
      <c r="T1286" s="15">
        <f t="shared" si="6"/>
        <v>5</v>
      </c>
      <c r="U1286" s="15">
        <f t="shared" si="7"/>
        <v>2025</v>
      </c>
      <c r="V1286" s="15">
        <f t="shared" si="8"/>
        <v>20</v>
      </c>
      <c r="W1286" s="15">
        <f t="shared" si="9"/>
        <v>5</v>
      </c>
      <c r="X1286" s="15">
        <f t="shared" si="10"/>
        <v>2025</v>
      </c>
    </row>
    <row r="1287">
      <c r="A1287" s="9">
        <v>45797.0</v>
      </c>
      <c r="B1287" s="9">
        <v>45775.0</v>
      </c>
      <c r="C1287" s="9">
        <f t="shared" si="63"/>
        <v>45797</v>
      </c>
      <c r="D1287" s="11" t="s">
        <v>65</v>
      </c>
      <c r="E1287" s="11" t="s">
        <v>25</v>
      </c>
      <c r="F1287" s="28" t="s">
        <v>107</v>
      </c>
      <c r="G1287" s="28" t="s">
        <v>27</v>
      </c>
      <c r="H1287" s="11" t="s">
        <v>762</v>
      </c>
      <c r="I1287" s="12">
        <v>109.96</v>
      </c>
      <c r="J1287" s="13"/>
      <c r="K1287" s="13">
        <f t="shared" si="62"/>
        <v>109.96</v>
      </c>
      <c r="L1287" s="28" t="s">
        <v>34</v>
      </c>
      <c r="M1287" s="14"/>
      <c r="N1287" s="11" t="s">
        <v>394</v>
      </c>
      <c r="O1287" s="10" t="str">
        <f t="shared" si="64"/>
        <v>05/2025</v>
      </c>
      <c r="P1287" s="10" t="str">
        <f t="shared" si="29"/>
        <v>05/2025</v>
      </c>
      <c r="Q1287" s="15" t="str">
        <f t="array" ref="Q1287">IFERROR(XLOOKUP(N1287,'Classificação'!A:A,'Classificação'!B:B),"")</f>
        <v>DESPESAS NÃO OPERACIONAIS</v>
      </c>
      <c r="R1287" s="15" t="str">
        <f t="array" ref="R1287">IFERROR(XLOOKUP(Q1287,'Classificação'!B:B,'Classificação'!C:C),"")</f>
        <v>RESULTADO NÃO OPERACIONAL (+/-)</v>
      </c>
      <c r="S1287" s="15">
        <f t="shared" si="65"/>
        <v>20</v>
      </c>
      <c r="T1287" s="15">
        <f t="shared" si="6"/>
        <v>5</v>
      </c>
      <c r="U1287" s="15">
        <f t="shared" si="7"/>
        <v>2025</v>
      </c>
      <c r="V1287" s="15">
        <f t="shared" si="8"/>
        <v>20</v>
      </c>
      <c r="W1287" s="15">
        <f t="shared" si="9"/>
        <v>5</v>
      </c>
      <c r="X1287" s="15">
        <f t="shared" si="10"/>
        <v>2025</v>
      </c>
    </row>
    <row r="1288">
      <c r="A1288" s="9">
        <v>45797.0</v>
      </c>
      <c r="B1288" s="9">
        <v>45775.0</v>
      </c>
      <c r="C1288" s="9">
        <f t="shared" si="63"/>
        <v>45797</v>
      </c>
      <c r="D1288" s="11" t="s">
        <v>65</v>
      </c>
      <c r="E1288" s="11" t="s">
        <v>25</v>
      </c>
      <c r="F1288" s="28" t="s">
        <v>107</v>
      </c>
      <c r="G1288" s="28" t="s">
        <v>27</v>
      </c>
      <c r="H1288" s="11" t="s">
        <v>763</v>
      </c>
      <c r="I1288" s="12">
        <v>109.95</v>
      </c>
      <c r="J1288" s="13"/>
      <c r="K1288" s="13">
        <f t="shared" si="62"/>
        <v>109.95</v>
      </c>
      <c r="L1288" s="28" t="s">
        <v>34</v>
      </c>
      <c r="M1288" s="14"/>
      <c r="N1288" s="11" t="s">
        <v>394</v>
      </c>
      <c r="O1288" s="10" t="str">
        <f t="shared" si="64"/>
        <v>05/2025</v>
      </c>
      <c r="P1288" s="10" t="str">
        <f t="shared" si="29"/>
        <v>05/2025</v>
      </c>
      <c r="Q1288" s="15" t="str">
        <f t="array" ref="Q1288">IFERROR(XLOOKUP(N1288,'Classificação'!A:A,'Classificação'!B:B),"")</f>
        <v>DESPESAS NÃO OPERACIONAIS</v>
      </c>
      <c r="R1288" s="15" t="str">
        <f t="array" ref="R1288">IFERROR(XLOOKUP(Q1288,'Classificação'!B:B,'Classificação'!C:C),"")</f>
        <v>RESULTADO NÃO OPERACIONAL (+/-)</v>
      </c>
      <c r="S1288" s="15">
        <f t="shared" si="65"/>
        <v>20</v>
      </c>
      <c r="T1288" s="15">
        <f t="shared" si="6"/>
        <v>5</v>
      </c>
      <c r="U1288" s="15">
        <f t="shared" si="7"/>
        <v>2025</v>
      </c>
      <c r="V1288" s="15">
        <f t="shared" si="8"/>
        <v>20</v>
      </c>
      <c r="W1288" s="15">
        <f t="shared" si="9"/>
        <v>5</v>
      </c>
      <c r="X1288" s="15">
        <f t="shared" si="10"/>
        <v>2025</v>
      </c>
    </row>
    <row r="1289">
      <c r="A1289" s="9">
        <v>45797.0</v>
      </c>
      <c r="B1289" s="9">
        <v>45724.0</v>
      </c>
      <c r="C1289" s="9">
        <f t="shared" si="63"/>
        <v>45797</v>
      </c>
      <c r="D1289" s="11" t="s">
        <v>65</v>
      </c>
      <c r="E1289" s="11" t="s">
        <v>25</v>
      </c>
      <c r="F1289" s="28" t="s">
        <v>107</v>
      </c>
      <c r="G1289" s="28" t="s">
        <v>27</v>
      </c>
      <c r="H1289" s="11" t="s">
        <v>764</v>
      </c>
      <c r="I1289" s="12">
        <v>109.95</v>
      </c>
      <c r="J1289" s="13"/>
      <c r="K1289" s="13">
        <f t="shared" si="62"/>
        <v>109.95</v>
      </c>
      <c r="L1289" s="28" t="s">
        <v>34</v>
      </c>
      <c r="M1289" s="14"/>
      <c r="N1289" s="11" t="s">
        <v>394</v>
      </c>
      <c r="O1289" s="10" t="str">
        <f t="shared" si="64"/>
        <v>05/2025</v>
      </c>
      <c r="P1289" s="10" t="str">
        <f t="shared" si="29"/>
        <v>05/2025</v>
      </c>
      <c r="Q1289" s="15" t="str">
        <f t="array" ref="Q1289">IFERROR(XLOOKUP(N1289,'Classificação'!A:A,'Classificação'!B:B),"")</f>
        <v>DESPESAS NÃO OPERACIONAIS</v>
      </c>
      <c r="R1289" s="15" t="str">
        <f t="array" ref="R1289">IFERROR(XLOOKUP(Q1289,'Classificação'!B:B,'Classificação'!C:C),"")</f>
        <v>RESULTADO NÃO OPERACIONAL (+/-)</v>
      </c>
      <c r="S1289" s="15">
        <f t="shared" si="65"/>
        <v>20</v>
      </c>
      <c r="T1289" s="15">
        <f t="shared" si="6"/>
        <v>5</v>
      </c>
      <c r="U1289" s="15">
        <f t="shared" si="7"/>
        <v>2025</v>
      </c>
      <c r="V1289" s="15">
        <f t="shared" si="8"/>
        <v>20</v>
      </c>
      <c r="W1289" s="15">
        <f t="shared" si="9"/>
        <v>5</v>
      </c>
      <c r="X1289" s="15">
        <f t="shared" si="10"/>
        <v>2025</v>
      </c>
    </row>
    <row r="1290">
      <c r="A1290" s="26">
        <v>45798.0</v>
      </c>
      <c r="B1290" s="30"/>
      <c r="C1290" s="27">
        <f t="shared" si="63"/>
        <v>45798</v>
      </c>
      <c r="D1290" s="28" t="s">
        <v>520</v>
      </c>
      <c r="E1290" s="29" t="s">
        <v>25</v>
      </c>
      <c r="F1290" s="28" t="s">
        <v>26</v>
      </c>
      <c r="G1290" s="28" t="s">
        <v>37</v>
      </c>
      <c r="H1290" s="29" t="s">
        <v>730</v>
      </c>
      <c r="I1290" s="24">
        <v>100.0</v>
      </c>
      <c r="J1290" s="34"/>
      <c r="K1290" s="37">
        <f>IF(E1290="pago",(I1290-J1290),"")</f>
        <v>100</v>
      </c>
      <c r="L1290" s="28" t="s">
        <v>34</v>
      </c>
      <c r="M1290" s="28"/>
      <c r="N1290" s="28" t="s">
        <v>58</v>
      </c>
      <c r="O1290" s="10" t="str">
        <f t="shared" si="64"/>
        <v>05/2025</v>
      </c>
      <c r="P1290" s="10" t="str">
        <f t="shared" si="29"/>
        <v>05/2025</v>
      </c>
      <c r="Q1290" s="15" t="str">
        <f t="array" ref="Q1290">IFERROR(XLOOKUP(N1290,'Classificação'!A:A,'Classificação'!B:B),"")</f>
        <v>DESPESAS ADMINISTRATIVAS</v>
      </c>
      <c r="R1290" s="15" t="str">
        <f t="array" ref="R1290">IFERROR(XLOOKUP(Q1290,'Classificação'!B:B,'Classificação'!C:C),"")</f>
        <v>DESPESAS FIXAS (-)</v>
      </c>
      <c r="S1290" s="15">
        <f t="shared" si="65"/>
        <v>21</v>
      </c>
      <c r="T1290" s="15">
        <f t="shared" si="6"/>
        <v>5</v>
      </c>
      <c r="U1290" s="15">
        <f t="shared" si="7"/>
        <v>2025</v>
      </c>
      <c r="V1290" s="15">
        <f t="shared" si="8"/>
        <v>21</v>
      </c>
      <c r="W1290" s="15">
        <f t="shared" si="9"/>
        <v>5</v>
      </c>
      <c r="X1290" s="15">
        <f t="shared" si="10"/>
        <v>2025</v>
      </c>
    </row>
    <row r="1291">
      <c r="A1291" s="9">
        <v>45799.0</v>
      </c>
      <c r="B1291" s="10"/>
      <c r="C1291" s="9">
        <f t="shared" si="63"/>
        <v>45799</v>
      </c>
      <c r="D1291" s="28" t="s">
        <v>76</v>
      </c>
      <c r="E1291" s="29" t="s">
        <v>25</v>
      </c>
      <c r="F1291" s="28" t="s">
        <v>26</v>
      </c>
      <c r="G1291" s="28" t="s">
        <v>27</v>
      </c>
      <c r="H1291" s="28" t="s">
        <v>84</v>
      </c>
      <c r="I1291" s="24">
        <v>1214.27</v>
      </c>
      <c r="J1291" s="13"/>
      <c r="K1291" s="13">
        <f t="shared" ref="K1291:K1303" si="66">if(E1291="pago",(I1291-J1291),"")</f>
        <v>1214.27</v>
      </c>
      <c r="L1291" s="28" t="s">
        <v>53</v>
      </c>
      <c r="M1291" s="16" t="s">
        <v>720</v>
      </c>
      <c r="N1291" s="28" t="s">
        <v>85</v>
      </c>
      <c r="O1291" s="10" t="str">
        <f t="shared" si="64"/>
        <v>05/2025</v>
      </c>
      <c r="P1291" s="10" t="str">
        <f t="shared" si="29"/>
        <v>05/2025</v>
      </c>
      <c r="Q1291" s="15" t="str">
        <f t="array" ref="Q1291">IFERROR(XLOOKUP(N1291,'Classificação'!A:A,'Classificação'!B:B),"")</f>
        <v>DESPESAS NÃO OPERACIONAIS</v>
      </c>
      <c r="R1291" s="15" t="str">
        <f t="array" ref="R1291">IFERROR(XLOOKUP(Q1291,'Classificação'!B:B,'Classificação'!C:C),"")</f>
        <v>RESULTADO NÃO OPERACIONAL (+/-)</v>
      </c>
      <c r="S1291" s="15">
        <f t="shared" si="65"/>
        <v>22</v>
      </c>
      <c r="T1291" s="15">
        <f t="shared" si="6"/>
        <v>5</v>
      </c>
      <c r="U1291" s="15">
        <f t="shared" si="7"/>
        <v>2025</v>
      </c>
      <c r="V1291" s="15">
        <f t="shared" si="8"/>
        <v>22</v>
      </c>
      <c r="W1291" s="15">
        <f t="shared" si="9"/>
        <v>5</v>
      </c>
      <c r="X1291" s="15">
        <f t="shared" si="10"/>
        <v>2025</v>
      </c>
    </row>
    <row r="1292">
      <c r="A1292" s="9">
        <v>45799.0</v>
      </c>
      <c r="B1292" s="10"/>
      <c r="C1292" s="9">
        <f t="shared" si="63"/>
        <v>45799</v>
      </c>
      <c r="D1292" s="11" t="s">
        <v>202</v>
      </c>
      <c r="E1292" s="11" t="s">
        <v>25</v>
      </c>
      <c r="F1292" s="11" t="s">
        <v>32</v>
      </c>
      <c r="G1292" s="11" t="s">
        <v>27</v>
      </c>
      <c r="H1292" s="11" t="s">
        <v>203</v>
      </c>
      <c r="I1292" s="12">
        <v>469.34</v>
      </c>
      <c r="J1292" s="13"/>
      <c r="K1292" s="13">
        <f t="shared" si="66"/>
        <v>469.34</v>
      </c>
      <c r="L1292" s="11" t="s">
        <v>53</v>
      </c>
      <c r="M1292" s="17">
        <v>45606.0</v>
      </c>
      <c r="N1292" s="11" t="s">
        <v>73</v>
      </c>
      <c r="O1292" s="10" t="str">
        <f t="shared" si="64"/>
        <v>05/2025</v>
      </c>
      <c r="P1292" s="10" t="str">
        <f t="shared" si="29"/>
        <v>05/2025</v>
      </c>
      <c r="Q1292" s="15" t="str">
        <f t="array" ref="Q1292">IFERROR(XLOOKUP(N1292,'Classificação'!A:A,'Classificação'!B:B),"")</f>
        <v>DESPESAS NÃO OPERACIONAIS</v>
      </c>
      <c r="R1292" s="15" t="str">
        <f t="array" ref="R1292">IFERROR(XLOOKUP(Q1292,'Classificação'!B:B,'Classificação'!C:C),"")</f>
        <v>RESULTADO NÃO OPERACIONAL (+/-)</v>
      </c>
      <c r="S1292" s="15">
        <f t="shared" si="65"/>
        <v>22</v>
      </c>
      <c r="T1292" s="15">
        <f t="shared" si="6"/>
        <v>5</v>
      </c>
      <c r="U1292" s="15">
        <f t="shared" si="7"/>
        <v>2025</v>
      </c>
      <c r="V1292" s="15">
        <f t="shared" si="8"/>
        <v>22</v>
      </c>
      <c r="W1292" s="15">
        <f t="shared" si="9"/>
        <v>5</v>
      </c>
      <c r="X1292" s="15">
        <f t="shared" si="10"/>
        <v>2025</v>
      </c>
    </row>
    <row r="1293">
      <c r="A1293" s="9">
        <v>45799.0</v>
      </c>
      <c r="B1293" s="10"/>
      <c r="C1293" s="9">
        <f t="shared" si="63"/>
        <v>45799</v>
      </c>
      <c r="D1293" s="11" t="s">
        <v>202</v>
      </c>
      <c r="E1293" s="11" t="s">
        <v>25</v>
      </c>
      <c r="F1293" s="11" t="s">
        <v>32</v>
      </c>
      <c r="G1293" s="11" t="s">
        <v>27</v>
      </c>
      <c r="H1293" s="11" t="s">
        <v>203</v>
      </c>
      <c r="I1293" s="12">
        <v>649.91</v>
      </c>
      <c r="J1293" s="13"/>
      <c r="K1293" s="13">
        <f t="shared" si="66"/>
        <v>649.91</v>
      </c>
      <c r="L1293" s="11" t="s">
        <v>53</v>
      </c>
      <c r="M1293" s="17">
        <v>45606.0</v>
      </c>
      <c r="N1293" s="11" t="s">
        <v>73</v>
      </c>
      <c r="O1293" s="10" t="str">
        <f t="shared" si="64"/>
        <v>05/2025</v>
      </c>
      <c r="P1293" s="10" t="str">
        <f t="shared" si="29"/>
        <v>05/2025</v>
      </c>
      <c r="Q1293" s="15" t="str">
        <f t="array" ref="Q1293">IFERROR(XLOOKUP(N1293,'Classificação'!A:A,'Classificação'!B:B),"")</f>
        <v>DESPESAS NÃO OPERACIONAIS</v>
      </c>
      <c r="R1293" s="15" t="str">
        <f t="array" ref="R1293">IFERROR(XLOOKUP(Q1293,'Classificação'!B:B,'Classificação'!C:C),"")</f>
        <v>RESULTADO NÃO OPERACIONAL (+/-)</v>
      </c>
      <c r="S1293" s="15">
        <f t="shared" si="65"/>
        <v>22</v>
      </c>
      <c r="T1293" s="15">
        <f t="shared" si="6"/>
        <v>5</v>
      </c>
      <c r="U1293" s="15">
        <f t="shared" si="7"/>
        <v>2025</v>
      </c>
      <c r="V1293" s="15">
        <f t="shared" si="8"/>
        <v>22</v>
      </c>
      <c r="W1293" s="15">
        <f t="shared" si="9"/>
        <v>5</v>
      </c>
      <c r="X1293" s="15">
        <f t="shared" si="10"/>
        <v>2025</v>
      </c>
    </row>
    <row r="1294">
      <c r="A1294" s="9">
        <v>45800.0</v>
      </c>
      <c r="B1294" s="10"/>
      <c r="C1294" s="9">
        <f t="shared" si="63"/>
        <v>45800</v>
      </c>
      <c r="D1294" s="11" t="s">
        <v>36</v>
      </c>
      <c r="E1294" s="11" t="s">
        <v>25</v>
      </c>
      <c r="F1294" s="11" t="s">
        <v>32</v>
      </c>
      <c r="G1294" s="11" t="s">
        <v>27</v>
      </c>
      <c r="I1294" s="12">
        <v>1500.0</v>
      </c>
      <c r="J1294" s="13"/>
      <c r="K1294" s="13">
        <f t="shared" si="66"/>
        <v>1500</v>
      </c>
      <c r="L1294" s="11" t="s">
        <v>29</v>
      </c>
      <c r="M1294" s="14"/>
      <c r="N1294" s="11" t="s">
        <v>38</v>
      </c>
      <c r="O1294" s="10" t="str">
        <f t="shared" si="64"/>
        <v>05/2025</v>
      </c>
      <c r="P1294" s="10" t="str">
        <f t="shared" si="29"/>
        <v>05/2025</v>
      </c>
      <c r="Q1294" s="15" t="str">
        <f t="array" ref="Q1294">IFERROR(XLOOKUP(N1294,'Classificação'!A:A,'Classificação'!B:B),"")</f>
        <v>DESPESAS COM PESSOAL</v>
      </c>
      <c r="R1294" s="15" t="str">
        <f t="array" ref="R1294">IFERROR(XLOOKUP(Q1294,'Classificação'!B:B,'Classificação'!C:C),"")</f>
        <v>DESPESAS FIXAS (-)</v>
      </c>
      <c r="S1294" s="15">
        <f t="shared" si="65"/>
        <v>23</v>
      </c>
      <c r="T1294" s="15">
        <f t="shared" si="6"/>
        <v>5</v>
      </c>
      <c r="U1294" s="15">
        <f t="shared" si="7"/>
        <v>2025</v>
      </c>
      <c r="V1294" s="15">
        <f t="shared" si="8"/>
        <v>23</v>
      </c>
      <c r="W1294" s="15">
        <f t="shared" si="9"/>
        <v>5</v>
      </c>
      <c r="X1294" s="15">
        <f t="shared" si="10"/>
        <v>2025</v>
      </c>
    </row>
    <row r="1295">
      <c r="A1295" s="9">
        <v>45800.0</v>
      </c>
      <c r="B1295" s="10"/>
      <c r="C1295" s="9">
        <f t="shared" si="63"/>
        <v>45800</v>
      </c>
      <c r="D1295" s="11" t="s">
        <v>43</v>
      </c>
      <c r="E1295" s="11" t="s">
        <v>25</v>
      </c>
      <c r="F1295" s="11" t="s">
        <v>32</v>
      </c>
      <c r="G1295" s="11" t="s">
        <v>27</v>
      </c>
      <c r="I1295" s="12">
        <v>1500.0</v>
      </c>
      <c r="J1295" s="13"/>
      <c r="K1295" s="13">
        <f t="shared" si="66"/>
        <v>1500</v>
      </c>
      <c r="L1295" s="11" t="s">
        <v>29</v>
      </c>
      <c r="M1295" s="14"/>
      <c r="N1295" s="11" t="s">
        <v>38</v>
      </c>
      <c r="O1295" s="10" t="str">
        <f t="shared" si="64"/>
        <v>05/2025</v>
      </c>
      <c r="P1295" s="10" t="str">
        <f t="shared" si="29"/>
        <v>05/2025</v>
      </c>
      <c r="Q1295" s="15" t="str">
        <f t="array" ref="Q1295">IFERROR(XLOOKUP(N1295,'Classificação'!A:A,'Classificação'!B:B),"")</f>
        <v>DESPESAS COM PESSOAL</v>
      </c>
      <c r="R1295" s="15" t="str">
        <f t="array" ref="R1295">IFERROR(XLOOKUP(Q1295,'Classificação'!B:B,'Classificação'!C:C),"")</f>
        <v>DESPESAS FIXAS (-)</v>
      </c>
      <c r="S1295" s="15">
        <f t="shared" si="65"/>
        <v>23</v>
      </c>
      <c r="T1295" s="15">
        <f t="shared" si="6"/>
        <v>5</v>
      </c>
      <c r="U1295" s="15">
        <f t="shared" si="7"/>
        <v>2025</v>
      </c>
      <c r="V1295" s="15">
        <f t="shared" si="8"/>
        <v>23</v>
      </c>
      <c r="W1295" s="15">
        <f t="shared" si="9"/>
        <v>5</v>
      </c>
      <c r="X1295" s="15">
        <f t="shared" si="10"/>
        <v>2025</v>
      </c>
    </row>
    <row r="1296">
      <c r="A1296" s="9">
        <v>45800.0</v>
      </c>
      <c r="B1296" s="10"/>
      <c r="C1296" s="9">
        <f t="shared" si="63"/>
        <v>45800</v>
      </c>
      <c r="D1296" s="11" t="s">
        <v>127</v>
      </c>
      <c r="E1296" s="11" t="s">
        <v>25</v>
      </c>
      <c r="F1296" s="11" t="s">
        <v>26</v>
      </c>
      <c r="G1296" s="11" t="s">
        <v>37</v>
      </c>
      <c r="H1296" s="11" t="s">
        <v>765</v>
      </c>
      <c r="I1296" s="12">
        <v>600.46</v>
      </c>
      <c r="J1296" s="13"/>
      <c r="K1296" s="13">
        <f t="shared" si="66"/>
        <v>600.46</v>
      </c>
      <c r="L1296" s="11" t="s">
        <v>29</v>
      </c>
      <c r="M1296" s="14"/>
      <c r="N1296" s="11" t="s">
        <v>58</v>
      </c>
      <c r="O1296" s="10" t="str">
        <f t="shared" si="64"/>
        <v>05/2025</v>
      </c>
      <c r="P1296" s="10" t="str">
        <f t="shared" si="29"/>
        <v>05/2025</v>
      </c>
      <c r="Q1296" s="15" t="str">
        <f t="array" ref="Q1296">IFERROR(XLOOKUP(N1296,'Classificação'!A:A,'Classificação'!B:B),"")</f>
        <v>DESPESAS ADMINISTRATIVAS</v>
      </c>
      <c r="R1296" s="15" t="str">
        <f t="array" ref="R1296">IFERROR(XLOOKUP(Q1296,'Classificação'!B:B,'Classificação'!C:C),"")</f>
        <v>DESPESAS FIXAS (-)</v>
      </c>
      <c r="S1296" s="15">
        <f t="shared" si="65"/>
        <v>23</v>
      </c>
      <c r="T1296" s="15">
        <f t="shared" si="6"/>
        <v>5</v>
      </c>
      <c r="U1296" s="15">
        <f t="shared" si="7"/>
        <v>2025</v>
      </c>
      <c r="V1296" s="15">
        <f t="shared" si="8"/>
        <v>23</v>
      </c>
      <c r="W1296" s="15">
        <f t="shared" si="9"/>
        <v>5</v>
      </c>
      <c r="X1296" s="15">
        <f t="shared" si="10"/>
        <v>2025</v>
      </c>
    </row>
    <row r="1297">
      <c r="A1297" s="26">
        <v>45800.0</v>
      </c>
      <c r="B1297" s="10"/>
      <c r="C1297" s="9">
        <f t="shared" si="63"/>
        <v>45800</v>
      </c>
      <c r="D1297" s="28" t="s">
        <v>177</v>
      </c>
      <c r="E1297" s="29" t="s">
        <v>25</v>
      </c>
      <c r="F1297" s="29" t="s">
        <v>40</v>
      </c>
      <c r="G1297" s="28" t="s">
        <v>27</v>
      </c>
      <c r="H1297" s="43" t="s">
        <v>582</v>
      </c>
      <c r="I1297" s="24">
        <v>223.69</v>
      </c>
      <c r="J1297" s="13"/>
      <c r="K1297" s="13">
        <f t="shared" si="66"/>
        <v>223.69</v>
      </c>
      <c r="L1297" s="28" t="s">
        <v>53</v>
      </c>
      <c r="M1297" s="17">
        <v>45449.0</v>
      </c>
      <c r="N1297" s="28" t="s">
        <v>178</v>
      </c>
      <c r="O1297" s="10" t="str">
        <f t="shared" si="64"/>
        <v>05/2025</v>
      </c>
      <c r="P1297" s="10" t="str">
        <f t="shared" si="29"/>
        <v>05/2025</v>
      </c>
      <c r="Q1297" s="15" t="str">
        <f t="array" ref="Q1297">IFERROR(XLOOKUP(N1297,'Classificação'!A:A,'Classificação'!B:B),"")</f>
        <v>DESPESAS COM OCUPAÇÃO</v>
      </c>
      <c r="R1297" s="15" t="str">
        <f t="array" ref="R1297">IFERROR(XLOOKUP(Q1297,'Classificação'!B:B,'Classificação'!C:C),"")</f>
        <v>DESPESAS FIXAS (-)</v>
      </c>
      <c r="S1297" s="15">
        <f t="shared" si="65"/>
        <v>23</v>
      </c>
      <c r="T1297" s="15">
        <f t="shared" si="6"/>
        <v>5</v>
      </c>
      <c r="U1297" s="15">
        <f t="shared" si="7"/>
        <v>2025</v>
      </c>
      <c r="V1297" s="15">
        <f t="shared" si="8"/>
        <v>23</v>
      </c>
      <c r="W1297" s="15">
        <f t="shared" si="9"/>
        <v>5</v>
      </c>
      <c r="X1297" s="15">
        <f t="shared" si="10"/>
        <v>2025</v>
      </c>
    </row>
    <row r="1298">
      <c r="A1298" s="9">
        <v>45800.0</v>
      </c>
      <c r="B1298" s="10"/>
      <c r="C1298" s="9">
        <f t="shared" si="63"/>
        <v>45800</v>
      </c>
      <c r="D1298" s="11" t="s">
        <v>80</v>
      </c>
      <c r="E1298" s="11" t="s">
        <v>25</v>
      </c>
      <c r="F1298" s="11" t="s">
        <v>26</v>
      </c>
      <c r="G1298" s="11" t="s">
        <v>27</v>
      </c>
      <c r="H1298" s="11" t="s">
        <v>766</v>
      </c>
      <c r="I1298" s="12">
        <v>700.0</v>
      </c>
      <c r="J1298" s="13"/>
      <c r="K1298" s="13">
        <f t="shared" si="66"/>
        <v>700</v>
      </c>
      <c r="L1298" s="11" t="s">
        <v>34</v>
      </c>
      <c r="M1298" s="14"/>
      <c r="N1298" s="11" t="s">
        <v>75</v>
      </c>
      <c r="O1298" s="10" t="str">
        <f t="shared" si="64"/>
        <v>05/2025</v>
      </c>
      <c r="P1298" s="10" t="str">
        <f t="shared" si="29"/>
        <v>05/2025</v>
      </c>
      <c r="Q1298" s="15" t="str">
        <f t="array" ref="Q1298">IFERROR(XLOOKUP(N1298,'Classificação'!A:A,'Classificação'!B:B),"")</f>
        <v>DESPESAS COM PESSOAL</v>
      </c>
      <c r="R1298" s="15" t="str">
        <f t="array" ref="R1298">IFERROR(XLOOKUP(Q1298,'Classificação'!B:B,'Classificação'!C:C),"")</f>
        <v>DESPESAS FIXAS (-)</v>
      </c>
      <c r="S1298" s="15">
        <f t="shared" si="65"/>
        <v>23</v>
      </c>
      <c r="T1298" s="15">
        <f t="shared" si="6"/>
        <v>5</v>
      </c>
      <c r="U1298" s="15">
        <f t="shared" si="7"/>
        <v>2025</v>
      </c>
      <c r="V1298" s="15">
        <f t="shared" si="8"/>
        <v>23</v>
      </c>
      <c r="W1298" s="15">
        <f t="shared" si="9"/>
        <v>5</v>
      </c>
      <c r="X1298" s="15">
        <f t="shared" si="10"/>
        <v>2025</v>
      </c>
    </row>
    <row r="1299">
      <c r="A1299" s="9">
        <v>45803.0</v>
      </c>
      <c r="B1299" s="10"/>
      <c r="C1299" s="9">
        <f t="shared" si="63"/>
        <v>45803</v>
      </c>
      <c r="D1299" s="11" t="s">
        <v>208</v>
      </c>
      <c r="E1299" s="11" t="s">
        <v>25</v>
      </c>
      <c r="F1299" s="11" t="s">
        <v>40</v>
      </c>
      <c r="G1299" s="11" t="s">
        <v>27</v>
      </c>
      <c r="H1299" s="11" t="s">
        <v>209</v>
      </c>
      <c r="I1299" s="31">
        <v>171.72</v>
      </c>
      <c r="J1299" s="13"/>
      <c r="K1299" s="13">
        <f t="shared" si="66"/>
        <v>171.72</v>
      </c>
      <c r="L1299" s="11" t="s">
        <v>29</v>
      </c>
      <c r="M1299" s="14"/>
      <c r="N1299" s="11" t="s">
        <v>210</v>
      </c>
      <c r="O1299" s="10" t="str">
        <f t="shared" si="64"/>
        <v>05/2025</v>
      </c>
      <c r="P1299" s="10" t="str">
        <f t="shared" si="29"/>
        <v>05/2025</v>
      </c>
      <c r="Q1299" s="15" t="str">
        <f t="array" ref="Q1299">IFERROR(XLOOKUP(N1299,'Classificação'!A:A,'Classificação'!B:B),"")</f>
        <v>DESPESAS COM OCUPAÇÃO</v>
      </c>
      <c r="R1299" s="15" t="str">
        <f t="array" ref="R1299">IFERROR(XLOOKUP(Q1299,'Classificação'!B:B,'Classificação'!C:C),"")</f>
        <v>DESPESAS FIXAS (-)</v>
      </c>
      <c r="S1299" s="15">
        <f t="shared" si="65"/>
        <v>26</v>
      </c>
      <c r="T1299" s="15">
        <f t="shared" si="6"/>
        <v>5</v>
      </c>
      <c r="U1299" s="15">
        <f t="shared" si="7"/>
        <v>2025</v>
      </c>
      <c r="V1299" s="15">
        <f t="shared" si="8"/>
        <v>26</v>
      </c>
      <c r="W1299" s="15">
        <f t="shared" si="9"/>
        <v>5</v>
      </c>
      <c r="X1299" s="15">
        <f t="shared" si="10"/>
        <v>2025</v>
      </c>
    </row>
    <row r="1300">
      <c r="A1300" s="9">
        <v>45803.0</v>
      </c>
      <c r="B1300" s="9">
        <v>45553.0</v>
      </c>
      <c r="C1300" s="9">
        <f t="shared" si="63"/>
        <v>45803</v>
      </c>
      <c r="D1300" s="11" t="s">
        <v>313</v>
      </c>
      <c r="E1300" s="11" t="s">
        <v>25</v>
      </c>
      <c r="F1300" s="11" t="s">
        <v>26</v>
      </c>
      <c r="G1300" s="11" t="s">
        <v>37</v>
      </c>
      <c r="H1300" s="11" t="s">
        <v>327</v>
      </c>
      <c r="I1300" s="12">
        <v>250.0</v>
      </c>
      <c r="J1300" s="13"/>
      <c r="K1300" s="13">
        <f t="shared" si="66"/>
        <v>250</v>
      </c>
      <c r="L1300" s="11" t="s">
        <v>53</v>
      </c>
      <c r="M1300" s="17">
        <v>45634.0</v>
      </c>
      <c r="N1300" s="11" t="s">
        <v>95</v>
      </c>
      <c r="O1300" s="10" t="str">
        <f t="shared" si="64"/>
        <v>05/2025</v>
      </c>
      <c r="P1300" s="10" t="str">
        <f t="shared" si="29"/>
        <v>05/2025</v>
      </c>
      <c r="Q1300" s="15" t="str">
        <f t="array" ref="Q1300">IFERROR(XLOOKUP(N1300,'Classificação'!A:A,'Classificação'!B:B),"")</f>
        <v>DESPESAS NÃO OPERACIONAIS</v>
      </c>
      <c r="R1300" s="15" t="str">
        <f t="array" ref="R1300">IFERROR(XLOOKUP(Q1300,'Classificação'!B:B,'Classificação'!C:C),"")</f>
        <v>RESULTADO NÃO OPERACIONAL (+/-)</v>
      </c>
      <c r="S1300" s="15">
        <f t="shared" si="65"/>
        <v>26</v>
      </c>
      <c r="T1300" s="15">
        <f t="shared" si="6"/>
        <v>5</v>
      </c>
      <c r="U1300" s="15">
        <f t="shared" si="7"/>
        <v>2025</v>
      </c>
      <c r="V1300" s="15">
        <f t="shared" si="8"/>
        <v>26</v>
      </c>
      <c r="W1300" s="15">
        <f t="shared" si="9"/>
        <v>5</v>
      </c>
      <c r="X1300" s="15">
        <f t="shared" si="10"/>
        <v>2025</v>
      </c>
    </row>
    <row r="1301">
      <c r="A1301" s="26">
        <v>45803.0</v>
      </c>
      <c r="B1301" s="32">
        <v>45611.0</v>
      </c>
      <c r="C1301" s="9">
        <f t="shared" si="63"/>
        <v>45803</v>
      </c>
      <c r="D1301" s="11" t="s">
        <v>361</v>
      </c>
      <c r="E1301" s="11" t="s">
        <v>25</v>
      </c>
      <c r="F1301" s="29" t="s">
        <v>26</v>
      </c>
      <c r="G1301" s="11" t="s">
        <v>37</v>
      </c>
      <c r="H1301" s="11" t="s">
        <v>362</v>
      </c>
      <c r="I1301" s="12">
        <v>180.11</v>
      </c>
      <c r="J1301" s="13"/>
      <c r="K1301" s="13">
        <f t="shared" si="66"/>
        <v>180.11</v>
      </c>
      <c r="L1301" s="11" t="s">
        <v>53</v>
      </c>
      <c r="M1301" s="17">
        <v>45633.0</v>
      </c>
      <c r="N1301" s="11" t="s">
        <v>363</v>
      </c>
      <c r="O1301" s="10" t="str">
        <f t="shared" si="64"/>
        <v>05/2025</v>
      </c>
      <c r="P1301" s="10" t="str">
        <f t="shared" si="29"/>
        <v>05/2025</v>
      </c>
      <c r="Q1301" s="15" t="str">
        <f t="array" ref="Q1301">IFERROR(XLOOKUP(N1301,'Classificação'!A:A,'Classificação'!B:B),"")</f>
        <v>DESPESAS NÃO OPERACIONAIS</v>
      </c>
      <c r="R1301" s="15" t="str">
        <f t="array" ref="R1301">IFERROR(XLOOKUP(Q1301,'Classificação'!B:B,'Classificação'!C:C),"")</f>
        <v>RESULTADO NÃO OPERACIONAL (+/-)</v>
      </c>
      <c r="S1301" s="15">
        <f t="shared" si="65"/>
        <v>26</v>
      </c>
      <c r="T1301" s="15">
        <f t="shared" si="6"/>
        <v>5</v>
      </c>
      <c r="U1301" s="15">
        <f t="shared" si="7"/>
        <v>2025</v>
      </c>
      <c r="V1301" s="15">
        <f t="shared" si="8"/>
        <v>26</v>
      </c>
      <c r="W1301" s="15">
        <f t="shared" si="9"/>
        <v>5</v>
      </c>
      <c r="X1301" s="15">
        <f t="shared" si="10"/>
        <v>2025</v>
      </c>
    </row>
    <row r="1302">
      <c r="A1302" s="9">
        <v>45803.0</v>
      </c>
      <c r="B1302" s="10"/>
      <c r="C1302" s="9">
        <f t="shared" si="63"/>
        <v>45803</v>
      </c>
      <c r="D1302" s="47" t="s">
        <v>711</v>
      </c>
      <c r="E1302" s="11" t="s">
        <v>25</v>
      </c>
      <c r="F1302" s="11" t="s">
        <v>26</v>
      </c>
      <c r="G1302" s="11" t="s">
        <v>37</v>
      </c>
      <c r="H1302" s="11" t="s">
        <v>712</v>
      </c>
      <c r="I1302" s="12">
        <v>325.5</v>
      </c>
      <c r="J1302" s="13"/>
      <c r="K1302" s="13">
        <f t="shared" si="66"/>
        <v>325.5</v>
      </c>
      <c r="L1302" s="11" t="s">
        <v>53</v>
      </c>
      <c r="M1302" s="17">
        <v>45718.0</v>
      </c>
      <c r="N1302" s="11" t="s">
        <v>120</v>
      </c>
      <c r="O1302" s="10" t="str">
        <f t="shared" si="64"/>
        <v>05/2025</v>
      </c>
      <c r="P1302" s="10" t="str">
        <f t="shared" si="29"/>
        <v>05/2025</v>
      </c>
      <c r="Q1302" s="15" t="str">
        <f t="array" ref="Q1302">IFERROR(XLOOKUP(N1302,'Classificação'!A:A,'Classificação'!B:B),"")</f>
        <v>DESPESAS ADMINISTRATIVAS</v>
      </c>
      <c r="R1302" s="15" t="str">
        <f t="array" ref="R1302">IFERROR(XLOOKUP(Q1302,'Classificação'!B:B,'Classificação'!C:C),"")</f>
        <v>DESPESAS FIXAS (-)</v>
      </c>
      <c r="S1302" s="15">
        <f t="shared" si="65"/>
        <v>26</v>
      </c>
      <c r="T1302" s="15">
        <f t="shared" si="6"/>
        <v>5</v>
      </c>
      <c r="U1302" s="15">
        <f t="shared" si="7"/>
        <v>2025</v>
      </c>
      <c r="V1302" s="15">
        <f t="shared" si="8"/>
        <v>26</v>
      </c>
      <c r="W1302" s="15">
        <f t="shared" si="9"/>
        <v>5</v>
      </c>
      <c r="X1302" s="15">
        <f t="shared" si="10"/>
        <v>2025</v>
      </c>
    </row>
    <row r="1303">
      <c r="A1303" s="9">
        <v>45803.0</v>
      </c>
      <c r="B1303" s="10"/>
      <c r="C1303" s="9">
        <f t="shared" si="63"/>
        <v>45803</v>
      </c>
      <c r="D1303" s="11" t="s">
        <v>39</v>
      </c>
      <c r="E1303" s="11" t="s">
        <v>25</v>
      </c>
      <c r="F1303" s="11" t="s">
        <v>40</v>
      </c>
      <c r="G1303" s="11" t="s">
        <v>27</v>
      </c>
      <c r="H1303" s="11" t="s">
        <v>640</v>
      </c>
      <c r="I1303" s="31">
        <v>142.68</v>
      </c>
      <c r="J1303" s="13"/>
      <c r="K1303" s="13">
        <f t="shared" si="66"/>
        <v>142.68</v>
      </c>
      <c r="L1303" s="11" t="s">
        <v>53</v>
      </c>
      <c r="M1303" s="17">
        <v>45933.0</v>
      </c>
      <c r="N1303" s="11" t="s">
        <v>355</v>
      </c>
      <c r="O1303" s="10" t="str">
        <f t="shared" si="64"/>
        <v>05/2025</v>
      </c>
      <c r="P1303" s="10" t="str">
        <f t="shared" si="29"/>
        <v>05/2025</v>
      </c>
      <c r="Q1303" s="15" t="str">
        <f t="array" ref="Q1303">IFERROR(XLOOKUP(N1303,'Classificação'!A:A,'Classificação'!B:B),"")</f>
        <v>IMPOSTOS E TAXAS DIVERSAS</v>
      </c>
      <c r="R1303" s="15" t="str">
        <f t="array" ref="R1303">IFERROR(XLOOKUP(Q1303,'Classificação'!B:B,'Classificação'!C:C),"")</f>
        <v>DESPESAS FIXAS (-)</v>
      </c>
      <c r="S1303" s="15">
        <f t="shared" si="65"/>
        <v>26</v>
      </c>
      <c r="T1303" s="15">
        <f t="shared" si="6"/>
        <v>5</v>
      </c>
      <c r="U1303" s="15">
        <f t="shared" si="7"/>
        <v>2025</v>
      </c>
      <c r="V1303" s="15">
        <f t="shared" si="8"/>
        <v>26</v>
      </c>
      <c r="W1303" s="15">
        <f t="shared" si="9"/>
        <v>5</v>
      </c>
      <c r="X1303" s="15">
        <f t="shared" si="10"/>
        <v>2025</v>
      </c>
    </row>
    <row r="1304">
      <c r="A1304" s="26">
        <v>45803.0</v>
      </c>
      <c r="B1304" s="30"/>
      <c r="C1304" s="27">
        <f t="shared" si="63"/>
        <v>45803</v>
      </c>
      <c r="D1304" s="28" t="s">
        <v>36</v>
      </c>
      <c r="E1304" s="29" t="s">
        <v>25</v>
      </c>
      <c r="F1304" s="28" t="s">
        <v>32</v>
      </c>
      <c r="G1304" s="29" t="s">
        <v>37</v>
      </c>
      <c r="H1304" s="28"/>
      <c r="I1304" s="24">
        <v>3250.0</v>
      </c>
      <c r="J1304" s="34"/>
      <c r="K1304" s="37">
        <f t="shared" ref="K1304:K1307" si="67">IF(E1304="pago",(I1304-J1304),"")</f>
        <v>3250</v>
      </c>
      <c r="L1304" s="28" t="s">
        <v>29</v>
      </c>
      <c r="M1304" s="28"/>
      <c r="N1304" s="28" t="s">
        <v>38</v>
      </c>
      <c r="O1304" s="10" t="str">
        <f t="shared" si="64"/>
        <v>05/2025</v>
      </c>
      <c r="P1304" s="10" t="str">
        <f t="shared" si="29"/>
        <v>05/2025</v>
      </c>
      <c r="Q1304" s="15" t="str">
        <f t="array" ref="Q1304">IFERROR(XLOOKUP(N1304,'Classificação'!A:A,'Classificação'!B:B),"")</f>
        <v>DESPESAS COM PESSOAL</v>
      </c>
      <c r="R1304" s="15" t="str">
        <f t="array" ref="R1304">IFERROR(XLOOKUP(Q1304,'Classificação'!B:B,'Classificação'!C:C),"")</f>
        <v>DESPESAS FIXAS (-)</v>
      </c>
      <c r="S1304" s="15">
        <f t="shared" si="65"/>
        <v>26</v>
      </c>
      <c r="T1304" s="15">
        <f t="shared" si="6"/>
        <v>5</v>
      </c>
      <c r="U1304" s="15">
        <f t="shared" si="7"/>
        <v>2025</v>
      </c>
      <c r="V1304" s="15">
        <f t="shared" si="8"/>
        <v>26</v>
      </c>
      <c r="W1304" s="15">
        <f t="shared" si="9"/>
        <v>5</v>
      </c>
      <c r="X1304" s="15">
        <f t="shared" si="10"/>
        <v>2025</v>
      </c>
    </row>
    <row r="1305">
      <c r="A1305" s="26">
        <v>45803.0</v>
      </c>
      <c r="B1305" s="30"/>
      <c r="C1305" s="27">
        <f t="shared" si="63"/>
        <v>45803</v>
      </c>
      <c r="D1305" s="28" t="s">
        <v>43</v>
      </c>
      <c r="E1305" s="29" t="s">
        <v>25</v>
      </c>
      <c r="F1305" s="28" t="s">
        <v>32</v>
      </c>
      <c r="G1305" s="29" t="s">
        <v>37</v>
      </c>
      <c r="H1305" s="28"/>
      <c r="I1305" s="24">
        <v>3250.0</v>
      </c>
      <c r="J1305" s="34"/>
      <c r="K1305" s="37">
        <f t="shared" si="67"/>
        <v>3250</v>
      </c>
      <c r="L1305" s="28" t="s">
        <v>29</v>
      </c>
      <c r="M1305" s="28"/>
      <c r="N1305" s="28" t="s">
        <v>38</v>
      </c>
      <c r="O1305" s="10" t="str">
        <f t="shared" si="64"/>
        <v>05/2025</v>
      </c>
      <c r="P1305" s="10" t="str">
        <f t="shared" si="29"/>
        <v>05/2025</v>
      </c>
      <c r="Q1305" s="15" t="str">
        <f t="array" ref="Q1305">IFERROR(XLOOKUP(N1305,'Classificação'!A:A,'Classificação'!B:B),"")</f>
        <v>DESPESAS COM PESSOAL</v>
      </c>
      <c r="R1305" s="15" t="str">
        <f t="array" ref="R1305">IFERROR(XLOOKUP(Q1305,'Classificação'!B:B,'Classificação'!C:C),"")</f>
        <v>DESPESAS FIXAS (-)</v>
      </c>
      <c r="S1305" s="15">
        <f t="shared" si="65"/>
        <v>26</v>
      </c>
      <c r="T1305" s="15">
        <f t="shared" si="6"/>
        <v>5</v>
      </c>
      <c r="U1305" s="15">
        <f t="shared" si="7"/>
        <v>2025</v>
      </c>
      <c r="V1305" s="15">
        <f t="shared" si="8"/>
        <v>26</v>
      </c>
      <c r="W1305" s="15">
        <f t="shared" si="9"/>
        <v>5</v>
      </c>
      <c r="X1305" s="15">
        <f t="shared" si="10"/>
        <v>2025</v>
      </c>
    </row>
    <row r="1306">
      <c r="A1306" s="9">
        <v>45803.0</v>
      </c>
      <c r="B1306" s="9">
        <v>45755.0</v>
      </c>
      <c r="C1306" s="9">
        <f t="shared" si="63"/>
        <v>45803</v>
      </c>
      <c r="D1306" s="11" t="s">
        <v>86</v>
      </c>
      <c r="E1306" s="11" t="s">
        <v>25</v>
      </c>
      <c r="F1306" s="11" t="s">
        <v>87</v>
      </c>
      <c r="G1306" s="11" t="s">
        <v>27</v>
      </c>
      <c r="H1306" s="11" t="s">
        <v>767</v>
      </c>
      <c r="I1306" s="31">
        <v>1300.0</v>
      </c>
      <c r="J1306" s="13"/>
      <c r="K1306" s="37">
        <f t="shared" si="67"/>
        <v>1300</v>
      </c>
      <c r="L1306" s="11" t="s">
        <v>53</v>
      </c>
      <c r="M1306" s="17">
        <v>45749.0</v>
      </c>
      <c r="N1306" s="11" t="s">
        <v>35</v>
      </c>
      <c r="O1306" s="10" t="str">
        <f t="shared" si="64"/>
        <v>05/2025</v>
      </c>
      <c r="P1306" s="10" t="str">
        <f t="shared" si="29"/>
        <v>05/2025</v>
      </c>
      <c r="Q1306" s="15" t="str">
        <f t="array" ref="Q1306">IFERROR(XLOOKUP(N1306,'Classificação'!A:A,'Classificação'!B:B),"")</f>
        <v>COMPRA DE MERCADORIA</v>
      </c>
      <c r="R1306" s="15" t="str">
        <f t="array" ref="R1306">IFERROR(XLOOKUP(Q1306,'Classificação'!B:B,'Classificação'!C:C),"")</f>
        <v>CUSTOS VARIÁVEIS</v>
      </c>
      <c r="S1306" s="15">
        <f t="shared" si="65"/>
        <v>26</v>
      </c>
      <c r="T1306" s="15">
        <f t="shared" si="6"/>
        <v>5</v>
      </c>
      <c r="U1306" s="15">
        <f t="shared" si="7"/>
        <v>2025</v>
      </c>
      <c r="V1306" s="15">
        <f t="shared" si="8"/>
        <v>26</v>
      </c>
      <c r="W1306" s="15">
        <f t="shared" si="9"/>
        <v>5</v>
      </c>
      <c r="X1306" s="15">
        <f t="shared" si="10"/>
        <v>2025</v>
      </c>
    </row>
    <row r="1307">
      <c r="A1307" s="9">
        <v>45804.0</v>
      </c>
      <c r="B1307" s="10"/>
      <c r="C1307" s="9">
        <f t="shared" si="63"/>
        <v>45804</v>
      </c>
      <c r="D1307" s="11" t="s">
        <v>768</v>
      </c>
      <c r="E1307" s="11" t="s">
        <v>25</v>
      </c>
      <c r="F1307" s="11" t="s">
        <v>769</v>
      </c>
      <c r="G1307" s="11" t="s">
        <v>27</v>
      </c>
      <c r="H1307" s="11" t="s">
        <v>770</v>
      </c>
      <c r="I1307" s="31">
        <v>22.43</v>
      </c>
      <c r="J1307" s="13"/>
      <c r="K1307" s="37">
        <f t="shared" si="67"/>
        <v>22.43</v>
      </c>
      <c r="L1307" s="11" t="s">
        <v>34</v>
      </c>
      <c r="M1307" s="14"/>
      <c r="N1307" s="11" t="s">
        <v>448</v>
      </c>
      <c r="O1307" s="10" t="str">
        <f t="shared" si="64"/>
        <v>05/2025</v>
      </c>
      <c r="P1307" s="10" t="str">
        <f t="shared" si="29"/>
        <v>05/2025</v>
      </c>
      <c r="Q1307" s="15" t="str">
        <f t="array" ref="Q1307">IFERROR(XLOOKUP(N1307,'Classificação'!A:A,'Classificação'!B:B),"")</f>
        <v>DESPESAS ADMINISTRATIVAS</v>
      </c>
      <c r="R1307" s="15" t="str">
        <f t="array" ref="R1307">IFERROR(XLOOKUP(Q1307,'Classificação'!B:B,'Classificação'!C:C),"")</f>
        <v>DESPESAS FIXAS (-)</v>
      </c>
      <c r="S1307" s="15">
        <f t="shared" si="65"/>
        <v>27</v>
      </c>
      <c r="T1307" s="15">
        <f t="shared" si="6"/>
        <v>5</v>
      </c>
      <c r="U1307" s="15">
        <f t="shared" si="7"/>
        <v>2025</v>
      </c>
      <c r="V1307" s="15">
        <f t="shared" si="8"/>
        <v>27</v>
      </c>
      <c r="W1307" s="15">
        <f t="shared" si="9"/>
        <v>5</v>
      </c>
      <c r="X1307" s="15">
        <f t="shared" si="10"/>
        <v>2025</v>
      </c>
    </row>
    <row r="1308">
      <c r="A1308" s="9">
        <v>45804.0</v>
      </c>
      <c r="B1308" s="10"/>
      <c r="C1308" s="9">
        <f t="shared" si="63"/>
        <v>45804</v>
      </c>
      <c r="D1308" s="11" t="s">
        <v>771</v>
      </c>
      <c r="E1308" s="11" t="s">
        <v>25</v>
      </c>
      <c r="F1308" s="11" t="s">
        <v>26</v>
      </c>
      <c r="G1308" s="11" t="s">
        <v>27</v>
      </c>
      <c r="H1308" s="11" t="s">
        <v>772</v>
      </c>
      <c r="I1308" s="12">
        <v>250.0</v>
      </c>
      <c r="J1308" s="13"/>
      <c r="K1308" s="13">
        <f>if(E1308="pago",(I1308-J1308),"")</f>
        <v>250</v>
      </c>
      <c r="L1308" s="11" t="s">
        <v>34</v>
      </c>
      <c r="M1308" s="14"/>
      <c r="N1308" s="11" t="s">
        <v>175</v>
      </c>
      <c r="O1308" s="10" t="str">
        <f t="shared" si="64"/>
        <v>05/2025</v>
      </c>
      <c r="P1308" s="10" t="str">
        <f t="shared" si="29"/>
        <v>05/2025</v>
      </c>
      <c r="Q1308" s="15" t="str">
        <f t="array" ref="Q1308">IFERROR(XLOOKUP(N1308,'Classificação'!A:A,'Classificação'!B:B),"")</f>
        <v>DESPESAS COM VEICULOS</v>
      </c>
      <c r="R1308" s="15" t="str">
        <f t="array" ref="R1308">IFERROR(XLOOKUP(Q1308,'Classificação'!B:B,'Classificação'!C:C),"")</f>
        <v>DESPESAS FIXAS (-)</v>
      </c>
      <c r="S1308" s="15">
        <f t="shared" si="65"/>
        <v>27</v>
      </c>
      <c r="T1308" s="15">
        <f t="shared" si="6"/>
        <v>5</v>
      </c>
      <c r="U1308" s="15">
        <f t="shared" si="7"/>
        <v>2025</v>
      </c>
      <c r="V1308" s="15">
        <f t="shared" si="8"/>
        <v>27</v>
      </c>
      <c r="W1308" s="15">
        <f t="shared" si="9"/>
        <v>5</v>
      </c>
      <c r="X1308" s="15">
        <f t="shared" si="10"/>
        <v>2025</v>
      </c>
    </row>
    <row r="1309">
      <c r="A1309" s="26">
        <v>45806.0</v>
      </c>
      <c r="B1309" s="30"/>
      <c r="C1309" s="27">
        <f t="shared" si="63"/>
        <v>45806</v>
      </c>
      <c r="D1309" s="28" t="s">
        <v>520</v>
      </c>
      <c r="E1309" s="29" t="s">
        <v>25</v>
      </c>
      <c r="F1309" s="28" t="s">
        <v>26</v>
      </c>
      <c r="G1309" s="28" t="s">
        <v>37</v>
      </c>
      <c r="H1309" s="29" t="s">
        <v>730</v>
      </c>
      <c r="I1309" s="24">
        <v>300.0</v>
      </c>
      <c r="J1309" s="34"/>
      <c r="K1309" s="37">
        <f>IF(E1309="pago",(I1309-J1309),"")</f>
        <v>300</v>
      </c>
      <c r="L1309" s="28" t="s">
        <v>34</v>
      </c>
      <c r="M1309" s="28"/>
      <c r="N1309" s="28" t="s">
        <v>58</v>
      </c>
      <c r="O1309" s="10" t="str">
        <f t="shared" si="64"/>
        <v>05/2025</v>
      </c>
      <c r="P1309" s="10" t="str">
        <f t="shared" si="29"/>
        <v>05/2025</v>
      </c>
      <c r="Q1309" s="15" t="str">
        <f t="array" ref="Q1309">IFERROR(XLOOKUP(N1309,'Classificação'!A:A,'Classificação'!B:B),"")</f>
        <v>DESPESAS ADMINISTRATIVAS</v>
      </c>
      <c r="R1309" s="15" t="str">
        <f t="array" ref="R1309">IFERROR(XLOOKUP(Q1309,'Classificação'!B:B,'Classificação'!C:C),"")</f>
        <v>DESPESAS FIXAS (-)</v>
      </c>
      <c r="S1309" s="15">
        <f t="shared" si="65"/>
        <v>29</v>
      </c>
      <c r="T1309" s="15">
        <f t="shared" si="6"/>
        <v>5</v>
      </c>
      <c r="U1309" s="15">
        <f t="shared" si="7"/>
        <v>2025</v>
      </c>
      <c r="V1309" s="15">
        <f t="shared" si="8"/>
        <v>29</v>
      </c>
      <c r="W1309" s="15">
        <f t="shared" si="9"/>
        <v>5</v>
      </c>
      <c r="X1309" s="15">
        <f t="shared" si="10"/>
        <v>2025</v>
      </c>
    </row>
    <row r="1310">
      <c r="A1310" s="9">
        <v>45806.0</v>
      </c>
      <c r="B1310" s="10"/>
      <c r="C1310" s="9">
        <f t="shared" si="63"/>
        <v>45806</v>
      </c>
      <c r="D1310" s="11" t="s">
        <v>221</v>
      </c>
      <c r="E1310" s="11" t="s">
        <v>25</v>
      </c>
      <c r="F1310" s="11" t="s">
        <v>32</v>
      </c>
      <c r="G1310" s="11" t="s">
        <v>27</v>
      </c>
      <c r="H1310" s="11" t="s">
        <v>222</v>
      </c>
      <c r="I1310" s="31">
        <v>360.54</v>
      </c>
      <c r="J1310" s="13"/>
      <c r="K1310" s="13">
        <f t="shared" ref="K1310:K1312" si="68">if(E1310="pago",(I1310-J1310),"")</f>
        <v>360.54</v>
      </c>
      <c r="L1310" s="11" t="s">
        <v>29</v>
      </c>
      <c r="M1310" s="14"/>
      <c r="N1310" s="11" t="s">
        <v>61</v>
      </c>
      <c r="O1310" s="10" t="str">
        <f t="shared" si="64"/>
        <v>05/2025</v>
      </c>
      <c r="P1310" s="10" t="str">
        <f t="shared" si="29"/>
        <v>05/2025</v>
      </c>
      <c r="Q1310" s="15" t="str">
        <f t="array" ref="Q1310">IFERROR(XLOOKUP(N1310,'Classificação'!A:A,'Classificação'!B:B),"")</f>
        <v>DESPESAS ADMINISTRATIVAS</v>
      </c>
      <c r="R1310" s="15" t="str">
        <f t="array" ref="R1310">IFERROR(XLOOKUP(Q1310,'Classificação'!B:B,'Classificação'!C:C),"")</f>
        <v>DESPESAS FIXAS (-)</v>
      </c>
      <c r="S1310" s="15">
        <f t="shared" si="65"/>
        <v>29</v>
      </c>
      <c r="T1310" s="15">
        <f t="shared" si="6"/>
        <v>5</v>
      </c>
      <c r="U1310" s="15">
        <f t="shared" si="7"/>
        <v>2025</v>
      </c>
      <c r="V1310" s="15">
        <f t="shared" si="8"/>
        <v>29</v>
      </c>
      <c r="W1310" s="15">
        <f t="shared" si="9"/>
        <v>5</v>
      </c>
      <c r="X1310" s="15">
        <f t="shared" si="10"/>
        <v>2025</v>
      </c>
    </row>
    <row r="1311">
      <c r="A1311" s="9">
        <v>45806.0</v>
      </c>
      <c r="B1311" s="10"/>
      <c r="C1311" s="9">
        <f t="shared" si="63"/>
        <v>45806</v>
      </c>
      <c r="D1311" s="11" t="s">
        <v>83</v>
      </c>
      <c r="E1311" s="11" t="s">
        <v>25</v>
      </c>
      <c r="F1311" s="11" t="s">
        <v>40</v>
      </c>
      <c r="G1311" s="11" t="s">
        <v>27</v>
      </c>
      <c r="I1311" s="31">
        <v>330.0</v>
      </c>
      <c r="J1311" s="13"/>
      <c r="K1311" s="13">
        <f t="shared" si="68"/>
        <v>330</v>
      </c>
      <c r="L1311" s="11" t="s">
        <v>29</v>
      </c>
      <c r="M1311" s="14"/>
      <c r="N1311" s="11" t="s">
        <v>204</v>
      </c>
      <c r="O1311" s="10" t="str">
        <f t="shared" si="64"/>
        <v>05/2025</v>
      </c>
      <c r="P1311" s="10" t="str">
        <f t="shared" si="29"/>
        <v>05/2025</v>
      </c>
      <c r="Q1311" s="15" t="str">
        <f t="array" ref="Q1311">IFERROR(XLOOKUP(N1311,'Classificação'!A:A,'Classificação'!B:B),"")</f>
        <v>DESPESAS COM PESSOAL</v>
      </c>
      <c r="R1311" s="15" t="str">
        <f t="array" ref="R1311">IFERROR(XLOOKUP(Q1311,'Classificação'!B:B,'Classificação'!C:C),"")</f>
        <v>DESPESAS FIXAS (-)</v>
      </c>
      <c r="S1311" s="15">
        <f t="shared" si="65"/>
        <v>29</v>
      </c>
      <c r="T1311" s="15">
        <f t="shared" si="6"/>
        <v>5</v>
      </c>
      <c r="U1311" s="15">
        <f t="shared" si="7"/>
        <v>2025</v>
      </c>
      <c r="V1311" s="15">
        <f t="shared" si="8"/>
        <v>29</v>
      </c>
      <c r="W1311" s="15">
        <f t="shared" si="9"/>
        <v>5</v>
      </c>
      <c r="X1311" s="15">
        <f t="shared" si="10"/>
        <v>2025</v>
      </c>
    </row>
    <row r="1312">
      <c r="A1312" s="9">
        <v>45806.0</v>
      </c>
      <c r="B1312" s="10"/>
      <c r="C1312" s="9">
        <f t="shared" si="63"/>
        <v>45806</v>
      </c>
      <c r="D1312" s="11" t="s">
        <v>80</v>
      </c>
      <c r="E1312" s="11" t="s">
        <v>25</v>
      </c>
      <c r="F1312" s="11" t="s">
        <v>40</v>
      </c>
      <c r="G1312" s="11" t="s">
        <v>27</v>
      </c>
      <c r="I1312" s="31">
        <v>330.0</v>
      </c>
      <c r="J1312" s="13"/>
      <c r="K1312" s="13">
        <f t="shared" si="68"/>
        <v>330</v>
      </c>
      <c r="L1312" s="11" t="s">
        <v>29</v>
      </c>
      <c r="M1312" s="14"/>
      <c r="N1312" s="11" t="s">
        <v>204</v>
      </c>
      <c r="O1312" s="10" t="str">
        <f t="shared" si="64"/>
        <v>05/2025</v>
      </c>
      <c r="P1312" s="10" t="str">
        <f t="shared" si="29"/>
        <v>05/2025</v>
      </c>
      <c r="Q1312" s="15" t="str">
        <f t="array" ref="Q1312">IFERROR(XLOOKUP(N1312,'Classificação'!A:A,'Classificação'!B:B),"")</f>
        <v>DESPESAS COM PESSOAL</v>
      </c>
      <c r="R1312" s="15" t="str">
        <f t="array" ref="R1312">IFERROR(XLOOKUP(Q1312,'Classificação'!B:B,'Classificação'!C:C),"")</f>
        <v>DESPESAS FIXAS (-)</v>
      </c>
      <c r="S1312" s="15">
        <f t="shared" si="65"/>
        <v>29</v>
      </c>
      <c r="T1312" s="15">
        <f t="shared" si="6"/>
        <v>5</v>
      </c>
      <c r="U1312" s="15">
        <f t="shared" si="7"/>
        <v>2025</v>
      </c>
      <c r="V1312" s="15">
        <f t="shared" si="8"/>
        <v>29</v>
      </c>
      <c r="W1312" s="15">
        <f t="shared" si="9"/>
        <v>5</v>
      </c>
      <c r="X1312" s="15">
        <f t="shared" si="10"/>
        <v>2025</v>
      </c>
    </row>
    <row r="1313">
      <c r="A1313" s="9">
        <v>45806.0</v>
      </c>
      <c r="B1313" s="10"/>
      <c r="C1313" s="9">
        <f t="shared" si="63"/>
        <v>45806</v>
      </c>
      <c r="D1313" s="11" t="s">
        <v>773</v>
      </c>
      <c r="E1313" s="11" t="s">
        <v>25</v>
      </c>
      <c r="F1313" s="11" t="s">
        <v>26</v>
      </c>
      <c r="G1313" s="11" t="s">
        <v>37</v>
      </c>
      <c r="H1313" s="11" t="s">
        <v>774</v>
      </c>
      <c r="I1313" s="12">
        <v>150.0</v>
      </c>
      <c r="J1313" s="13"/>
      <c r="K1313" s="37">
        <f>IF(E1313="pago",(I1313-J1313),"")</f>
        <v>150</v>
      </c>
      <c r="L1313" s="11" t="s">
        <v>34</v>
      </c>
      <c r="M1313" s="14"/>
      <c r="N1313" s="11" t="s">
        <v>58</v>
      </c>
      <c r="O1313" s="10" t="str">
        <f t="shared" si="64"/>
        <v>05/2025</v>
      </c>
      <c r="P1313" s="10" t="str">
        <f t="shared" si="29"/>
        <v>05/2025</v>
      </c>
      <c r="Q1313" s="15" t="str">
        <f t="array" ref="Q1313">IFERROR(XLOOKUP(N1313,'Classificação'!A:A,'Classificação'!B:B),"")</f>
        <v>DESPESAS ADMINISTRATIVAS</v>
      </c>
      <c r="R1313" s="15" t="str">
        <f t="array" ref="R1313">IFERROR(XLOOKUP(Q1313,'Classificação'!B:B,'Classificação'!C:C),"")</f>
        <v>DESPESAS FIXAS (-)</v>
      </c>
      <c r="S1313" s="15">
        <f t="shared" si="65"/>
        <v>29</v>
      </c>
      <c r="T1313" s="15">
        <f t="shared" si="6"/>
        <v>5</v>
      </c>
      <c r="U1313" s="15">
        <f t="shared" si="7"/>
        <v>2025</v>
      </c>
      <c r="V1313" s="15">
        <f t="shared" si="8"/>
        <v>29</v>
      </c>
      <c r="W1313" s="15">
        <f t="shared" si="9"/>
        <v>5</v>
      </c>
      <c r="X1313" s="15">
        <f t="shared" si="10"/>
        <v>2025</v>
      </c>
    </row>
    <row r="1314">
      <c r="A1314" s="9">
        <v>45807.0</v>
      </c>
      <c r="B1314" s="10"/>
      <c r="C1314" s="9">
        <f t="shared" si="63"/>
        <v>45807</v>
      </c>
      <c r="D1314" s="11" t="s">
        <v>223</v>
      </c>
      <c r="E1314" s="11" t="s">
        <v>25</v>
      </c>
      <c r="F1314" s="11" t="s">
        <v>32</v>
      </c>
      <c r="G1314" s="11" t="s">
        <v>27</v>
      </c>
      <c r="I1314" s="31">
        <v>150.0</v>
      </c>
      <c r="J1314" s="13"/>
      <c r="K1314" s="13">
        <f t="shared" ref="K1314:K1319" si="69">if(E1314="pago",(I1314-J1314),"")</f>
        <v>150</v>
      </c>
      <c r="L1314" s="11" t="s">
        <v>29</v>
      </c>
      <c r="M1314" s="14"/>
      <c r="N1314" s="11" t="s">
        <v>224</v>
      </c>
      <c r="O1314" s="10" t="str">
        <f t="shared" si="64"/>
        <v>05/2025</v>
      </c>
      <c r="P1314" s="10" t="str">
        <f t="shared" si="29"/>
        <v>05/2025</v>
      </c>
      <c r="Q1314" s="15" t="str">
        <f t="array" ref="Q1314">IFERROR(XLOOKUP(N1314,'Classificação'!A:A,'Classificação'!B:B),"")</f>
        <v>DESPESAS ADMINISTRATIVAS</v>
      </c>
      <c r="R1314" s="15" t="str">
        <f t="array" ref="R1314">IFERROR(XLOOKUP(Q1314,'Classificação'!B:B,'Classificação'!C:C),"")</f>
        <v>DESPESAS FIXAS (-)</v>
      </c>
      <c r="S1314" s="15">
        <f t="shared" si="65"/>
        <v>30</v>
      </c>
      <c r="T1314" s="15">
        <f t="shared" si="6"/>
        <v>5</v>
      </c>
      <c r="U1314" s="15">
        <f t="shared" si="7"/>
        <v>2025</v>
      </c>
      <c r="V1314" s="15">
        <f t="shared" si="8"/>
        <v>30</v>
      </c>
      <c r="W1314" s="15">
        <f t="shared" si="9"/>
        <v>5</v>
      </c>
      <c r="X1314" s="15">
        <f t="shared" si="10"/>
        <v>2025</v>
      </c>
    </row>
    <row r="1315">
      <c r="A1315" s="9">
        <v>45807.0</v>
      </c>
      <c r="B1315" s="10"/>
      <c r="C1315" s="9">
        <f t="shared" si="63"/>
        <v>45807</v>
      </c>
      <c r="D1315" s="11" t="s">
        <v>80</v>
      </c>
      <c r="E1315" s="11" t="s">
        <v>25</v>
      </c>
      <c r="F1315" s="11" t="s">
        <v>32</v>
      </c>
      <c r="G1315" s="11" t="s">
        <v>27</v>
      </c>
      <c r="H1315" s="11" t="s">
        <v>225</v>
      </c>
      <c r="I1315" s="31">
        <v>962.36</v>
      </c>
      <c r="J1315" s="13"/>
      <c r="K1315" s="13">
        <f t="shared" si="69"/>
        <v>962.36</v>
      </c>
      <c r="L1315" s="11" t="s">
        <v>29</v>
      </c>
      <c r="M1315" s="14"/>
      <c r="N1315" s="11" t="s">
        <v>38</v>
      </c>
      <c r="O1315" s="10" t="str">
        <f t="shared" si="64"/>
        <v>05/2025</v>
      </c>
      <c r="P1315" s="10" t="str">
        <f t="shared" si="29"/>
        <v>05/2025</v>
      </c>
      <c r="Q1315" s="15" t="str">
        <f t="array" ref="Q1315">IFERROR(XLOOKUP(N1315,'Classificação'!A:A,'Classificação'!B:B),"")</f>
        <v>DESPESAS COM PESSOAL</v>
      </c>
      <c r="R1315" s="15" t="str">
        <f t="array" ref="R1315">IFERROR(XLOOKUP(Q1315,'Classificação'!B:B,'Classificação'!C:C),"")</f>
        <v>DESPESAS FIXAS (-)</v>
      </c>
      <c r="S1315" s="15">
        <f t="shared" si="65"/>
        <v>30</v>
      </c>
      <c r="T1315" s="15">
        <f t="shared" si="6"/>
        <v>5</v>
      </c>
      <c r="U1315" s="15">
        <f t="shared" si="7"/>
        <v>2025</v>
      </c>
      <c r="V1315" s="15">
        <f t="shared" si="8"/>
        <v>30</v>
      </c>
      <c r="W1315" s="15">
        <f t="shared" si="9"/>
        <v>5</v>
      </c>
      <c r="X1315" s="15">
        <f t="shared" si="10"/>
        <v>2025</v>
      </c>
    </row>
    <row r="1316">
      <c r="A1316" s="9">
        <v>45807.0</v>
      </c>
      <c r="B1316" s="10"/>
      <c r="C1316" s="9">
        <f t="shared" si="63"/>
        <v>45807</v>
      </c>
      <c r="D1316" s="11" t="s">
        <v>83</v>
      </c>
      <c r="E1316" s="11" t="s">
        <v>25</v>
      </c>
      <c r="F1316" s="11" t="s">
        <v>40</v>
      </c>
      <c r="G1316" s="11" t="s">
        <v>27</v>
      </c>
      <c r="I1316" s="31">
        <v>1224.77</v>
      </c>
      <c r="J1316" s="13"/>
      <c r="K1316" s="13">
        <f t="shared" si="69"/>
        <v>1224.77</v>
      </c>
      <c r="L1316" s="11" t="s">
        <v>29</v>
      </c>
      <c r="M1316" s="14"/>
      <c r="N1316" s="11" t="s">
        <v>38</v>
      </c>
      <c r="O1316" s="10" t="str">
        <f t="shared" si="64"/>
        <v>05/2025</v>
      </c>
      <c r="P1316" s="10" t="str">
        <f t="shared" si="29"/>
        <v>05/2025</v>
      </c>
      <c r="Q1316" s="15" t="str">
        <f t="array" ref="Q1316">IFERROR(XLOOKUP(N1316,'Classificação'!A:A,'Classificação'!B:B),"")</f>
        <v>DESPESAS COM PESSOAL</v>
      </c>
      <c r="R1316" s="15" t="str">
        <f t="array" ref="R1316">IFERROR(XLOOKUP(Q1316,'Classificação'!B:B,'Classificação'!C:C),"")</f>
        <v>DESPESAS FIXAS (-)</v>
      </c>
      <c r="S1316" s="15">
        <f t="shared" si="65"/>
        <v>30</v>
      </c>
      <c r="T1316" s="15">
        <f t="shared" si="6"/>
        <v>5</v>
      </c>
      <c r="U1316" s="15">
        <f t="shared" si="7"/>
        <v>2025</v>
      </c>
      <c r="V1316" s="15">
        <f t="shared" si="8"/>
        <v>30</v>
      </c>
      <c r="W1316" s="15">
        <f t="shared" si="9"/>
        <v>5</v>
      </c>
      <c r="X1316" s="15">
        <f t="shared" si="10"/>
        <v>2025</v>
      </c>
    </row>
    <row r="1317">
      <c r="A1317" s="9">
        <v>45807.0</v>
      </c>
      <c r="B1317" s="10"/>
      <c r="C1317" s="9">
        <f t="shared" si="63"/>
        <v>45807</v>
      </c>
      <c r="D1317" s="11" t="s">
        <v>528</v>
      </c>
      <c r="E1317" s="11" t="s">
        <v>25</v>
      </c>
      <c r="F1317" s="11" t="s">
        <v>40</v>
      </c>
      <c r="G1317" s="11" t="s">
        <v>27</v>
      </c>
      <c r="H1317" s="11" t="s">
        <v>775</v>
      </c>
      <c r="I1317" s="31">
        <v>3.32</v>
      </c>
      <c r="J1317" s="13"/>
      <c r="K1317" s="13">
        <f t="shared" si="69"/>
        <v>3.32</v>
      </c>
      <c r="L1317" s="11" t="s">
        <v>34</v>
      </c>
      <c r="M1317" s="14"/>
      <c r="N1317" s="11" t="s">
        <v>355</v>
      </c>
      <c r="O1317" s="10" t="str">
        <f t="shared" si="64"/>
        <v>05/2025</v>
      </c>
      <c r="P1317" s="10" t="str">
        <f t="shared" si="29"/>
        <v>05/2025</v>
      </c>
      <c r="Q1317" s="15" t="str">
        <f t="array" ref="Q1317">IFERROR(XLOOKUP(N1317,'Classificação'!A:A,'Classificação'!B:B),"")</f>
        <v>IMPOSTOS E TAXAS DIVERSAS</v>
      </c>
      <c r="R1317" s="15" t="str">
        <f t="array" ref="R1317">IFERROR(XLOOKUP(Q1317,'Classificação'!B:B,'Classificação'!C:C),"")</f>
        <v>DESPESAS FIXAS (-)</v>
      </c>
      <c r="S1317" s="15">
        <f t="shared" si="65"/>
        <v>30</v>
      </c>
      <c r="T1317" s="15">
        <f t="shared" si="6"/>
        <v>5</v>
      </c>
      <c r="U1317" s="15">
        <f t="shared" si="7"/>
        <v>2025</v>
      </c>
      <c r="V1317" s="15">
        <f t="shared" si="8"/>
        <v>30</v>
      </c>
      <c r="W1317" s="15">
        <f t="shared" si="9"/>
        <v>5</v>
      </c>
      <c r="X1317" s="15">
        <f t="shared" si="10"/>
        <v>2025</v>
      </c>
    </row>
    <row r="1318">
      <c r="A1318" s="9">
        <v>45810.0</v>
      </c>
      <c r="B1318" s="10"/>
      <c r="C1318" s="9">
        <f t="shared" si="63"/>
        <v>45810</v>
      </c>
      <c r="D1318" s="11" t="s">
        <v>24</v>
      </c>
      <c r="E1318" s="11" t="s">
        <v>25</v>
      </c>
      <c r="F1318" s="11" t="s">
        <v>26</v>
      </c>
      <c r="G1318" s="11" t="s">
        <v>27</v>
      </c>
      <c r="H1318" s="11" t="s">
        <v>28</v>
      </c>
      <c r="I1318" s="31">
        <v>6385.68</v>
      </c>
      <c r="J1318" s="13"/>
      <c r="K1318" s="13">
        <f t="shared" si="69"/>
        <v>6385.68</v>
      </c>
      <c r="L1318" s="11" t="s">
        <v>29</v>
      </c>
      <c r="M1318" s="14"/>
      <c r="N1318" s="11" t="s">
        <v>30</v>
      </c>
      <c r="O1318" s="10" t="str">
        <f t="shared" si="64"/>
        <v>06/2025</v>
      </c>
      <c r="P1318" s="10" t="str">
        <f t="shared" si="29"/>
        <v>06/2025</v>
      </c>
      <c r="Q1318" s="15" t="str">
        <f t="array" ref="Q1318">IFERROR(XLOOKUP(N1318,'Classificação'!A:A,'Classificação'!B:B),"")</f>
        <v>DESPESAS COM OCUPAÇÃO</v>
      </c>
      <c r="R1318" s="15" t="str">
        <f t="array" ref="R1318">IFERROR(XLOOKUP(Q1318,'Classificação'!B:B,'Classificação'!C:C),"")</f>
        <v>DESPESAS FIXAS (-)</v>
      </c>
      <c r="S1318" s="15">
        <f t="shared" si="65"/>
        <v>2</v>
      </c>
      <c r="T1318" s="15">
        <f t="shared" si="6"/>
        <v>6</v>
      </c>
      <c r="U1318" s="15">
        <f t="shared" si="7"/>
        <v>2025</v>
      </c>
      <c r="V1318" s="15">
        <f t="shared" si="8"/>
        <v>2</v>
      </c>
      <c r="W1318" s="15">
        <f t="shared" si="9"/>
        <v>6</v>
      </c>
      <c r="X1318" s="15">
        <f t="shared" si="10"/>
        <v>2025</v>
      </c>
    </row>
    <row r="1319">
      <c r="A1319" s="9">
        <v>45810.0</v>
      </c>
      <c r="B1319" s="10"/>
      <c r="C1319" s="9">
        <f t="shared" si="63"/>
        <v>45810</v>
      </c>
      <c r="D1319" s="11" t="s">
        <v>288</v>
      </c>
      <c r="E1319" s="11" t="s">
        <v>25</v>
      </c>
      <c r="F1319" s="11" t="s">
        <v>26</v>
      </c>
      <c r="G1319" s="11" t="s">
        <v>27</v>
      </c>
      <c r="H1319" s="11" t="s">
        <v>289</v>
      </c>
      <c r="I1319" s="31">
        <v>59.5</v>
      </c>
      <c r="J1319" s="13"/>
      <c r="K1319" s="13">
        <f t="shared" si="69"/>
        <v>59.5</v>
      </c>
      <c r="L1319" s="11" t="s">
        <v>29</v>
      </c>
      <c r="M1319" s="16"/>
      <c r="N1319" s="11" t="s">
        <v>105</v>
      </c>
      <c r="O1319" s="10" t="str">
        <f t="shared" si="64"/>
        <v>06/2025</v>
      </c>
      <c r="P1319" s="10" t="str">
        <f t="shared" si="29"/>
        <v>06/2025</v>
      </c>
      <c r="Q1319" s="15" t="str">
        <f t="array" ref="Q1319">IFERROR(XLOOKUP(N1319,'Classificação'!A:A,'Classificação'!B:B),"")</f>
        <v>DESPESAS ADMINISTRATIVAS</v>
      </c>
      <c r="R1319" s="15" t="str">
        <f t="array" ref="R1319">IFERROR(XLOOKUP(Q1319,'Classificação'!B:B,'Classificação'!C:C),"")</f>
        <v>DESPESAS FIXAS (-)</v>
      </c>
      <c r="S1319" s="15">
        <f t="shared" si="65"/>
        <v>2</v>
      </c>
      <c r="T1319" s="15">
        <f t="shared" si="6"/>
        <v>6</v>
      </c>
      <c r="U1319" s="15">
        <f t="shared" si="7"/>
        <v>2025</v>
      </c>
      <c r="V1319" s="15">
        <f t="shared" si="8"/>
        <v>2</v>
      </c>
      <c r="W1319" s="15">
        <f t="shared" si="9"/>
        <v>6</v>
      </c>
      <c r="X1319" s="15">
        <f t="shared" si="10"/>
        <v>2025</v>
      </c>
    </row>
    <row r="1320">
      <c r="A1320" s="9">
        <v>45810.0</v>
      </c>
      <c r="B1320" s="10"/>
      <c r="C1320" s="9">
        <f t="shared" si="63"/>
        <v>45810</v>
      </c>
      <c r="D1320" s="11" t="s">
        <v>44</v>
      </c>
      <c r="E1320" s="11" t="s">
        <v>25</v>
      </c>
      <c r="F1320" s="11" t="s">
        <v>776</v>
      </c>
      <c r="G1320" s="11" t="s">
        <v>27</v>
      </c>
      <c r="H1320" s="11" t="s">
        <v>777</v>
      </c>
      <c r="I1320" s="12">
        <v>249.91</v>
      </c>
      <c r="J1320" s="13"/>
      <c r="K1320" s="37">
        <f>IF(E1320="pago",(I1320-J1320),"")</f>
        <v>249.91</v>
      </c>
      <c r="L1320" s="11" t="s">
        <v>34</v>
      </c>
      <c r="M1320" s="14"/>
      <c r="N1320" s="11" t="s">
        <v>105</v>
      </c>
      <c r="O1320" s="10" t="str">
        <f t="shared" si="64"/>
        <v>06/2025</v>
      </c>
      <c r="P1320" s="10" t="str">
        <f t="shared" si="29"/>
        <v>06/2025</v>
      </c>
      <c r="Q1320" s="15" t="str">
        <f t="array" ref="Q1320">IFERROR(XLOOKUP(N1320,'Classificação'!A:A,'Classificação'!B:B),"")</f>
        <v>DESPESAS ADMINISTRATIVAS</v>
      </c>
      <c r="R1320" s="15" t="str">
        <f t="array" ref="R1320">IFERROR(XLOOKUP(Q1320,'Classificação'!B:B,'Classificação'!C:C),"")</f>
        <v>DESPESAS FIXAS (-)</v>
      </c>
      <c r="S1320" s="15">
        <f t="shared" si="65"/>
        <v>2</v>
      </c>
      <c r="T1320" s="15">
        <f t="shared" si="6"/>
        <v>6</v>
      </c>
      <c r="U1320" s="15">
        <f t="shared" si="7"/>
        <v>2025</v>
      </c>
      <c r="V1320" s="15">
        <f t="shared" si="8"/>
        <v>2</v>
      </c>
      <c r="W1320" s="15">
        <f t="shared" si="9"/>
        <v>6</v>
      </c>
      <c r="X1320" s="15">
        <f t="shared" si="10"/>
        <v>2025</v>
      </c>
    </row>
    <row r="1321">
      <c r="A1321" s="9">
        <v>45810.0</v>
      </c>
      <c r="B1321" s="10"/>
      <c r="C1321" s="9">
        <f t="shared" si="63"/>
        <v>45810</v>
      </c>
      <c r="D1321" s="11" t="s">
        <v>322</v>
      </c>
      <c r="E1321" s="11" t="s">
        <v>25</v>
      </c>
      <c r="F1321" s="11" t="s">
        <v>40</v>
      </c>
      <c r="G1321" s="11" t="s">
        <v>27</v>
      </c>
      <c r="H1321" s="11" t="s">
        <v>778</v>
      </c>
      <c r="I1321" s="31">
        <v>46.2</v>
      </c>
      <c r="J1321" s="13"/>
      <c r="K1321" s="13">
        <f t="shared" ref="K1321:K1324" si="70">if(E1321="pago",(I1321-J1321),"")</f>
        <v>46.2</v>
      </c>
      <c r="L1321" s="11" t="s">
        <v>29</v>
      </c>
      <c r="M1321" s="17">
        <v>45635.0</v>
      </c>
      <c r="N1321" s="11" t="s">
        <v>105</v>
      </c>
      <c r="O1321" s="10" t="str">
        <f t="shared" si="64"/>
        <v>06/2025</v>
      </c>
      <c r="P1321" s="10" t="str">
        <f t="shared" si="29"/>
        <v>06/2025</v>
      </c>
      <c r="Q1321" s="15" t="str">
        <f t="array" ref="Q1321">IFERROR(XLOOKUP(N1321,'Classificação'!A:A,'Classificação'!B:B),"")</f>
        <v>DESPESAS ADMINISTRATIVAS</v>
      </c>
      <c r="R1321" s="15" t="str">
        <f t="array" ref="R1321">IFERROR(XLOOKUP(Q1321,'Classificação'!B:B,'Classificação'!C:C),"")</f>
        <v>DESPESAS FIXAS (-)</v>
      </c>
      <c r="S1321" s="15">
        <f t="shared" si="65"/>
        <v>2</v>
      </c>
      <c r="T1321" s="15">
        <f t="shared" si="6"/>
        <v>6</v>
      </c>
      <c r="U1321" s="15">
        <f t="shared" si="7"/>
        <v>2025</v>
      </c>
      <c r="V1321" s="15">
        <f t="shared" si="8"/>
        <v>2</v>
      </c>
      <c r="W1321" s="15">
        <f t="shared" si="9"/>
        <v>6</v>
      </c>
      <c r="X1321" s="15">
        <f t="shared" si="10"/>
        <v>2025</v>
      </c>
    </row>
    <row r="1322">
      <c r="A1322" s="9">
        <v>45810.0</v>
      </c>
      <c r="B1322" s="10"/>
      <c r="C1322" s="9">
        <f t="shared" si="63"/>
        <v>45810</v>
      </c>
      <c r="D1322" s="11" t="s">
        <v>773</v>
      </c>
      <c r="E1322" s="11" t="s">
        <v>25</v>
      </c>
      <c r="F1322" s="11" t="s">
        <v>26</v>
      </c>
      <c r="G1322" s="11" t="s">
        <v>37</v>
      </c>
      <c r="H1322" s="11" t="s">
        <v>779</v>
      </c>
      <c r="I1322" s="12">
        <v>150.0</v>
      </c>
      <c r="J1322" s="13"/>
      <c r="K1322" s="13">
        <f t="shared" si="70"/>
        <v>150</v>
      </c>
      <c r="L1322" s="11" t="s">
        <v>34</v>
      </c>
      <c r="M1322" s="14"/>
      <c r="N1322" s="11" t="s">
        <v>58</v>
      </c>
      <c r="O1322" s="10" t="str">
        <f t="shared" si="64"/>
        <v>06/2025</v>
      </c>
      <c r="P1322" s="10" t="str">
        <f t="shared" si="29"/>
        <v>06/2025</v>
      </c>
      <c r="Q1322" s="15" t="str">
        <f t="array" ref="Q1322">IFERROR(XLOOKUP(N1322,'Classificação'!A:A,'Classificação'!B:B),"")</f>
        <v>DESPESAS ADMINISTRATIVAS</v>
      </c>
      <c r="R1322" s="15" t="str">
        <f t="array" ref="R1322">IFERROR(XLOOKUP(Q1322,'Classificação'!B:B,'Classificação'!C:C),"")</f>
        <v>DESPESAS FIXAS (-)</v>
      </c>
      <c r="S1322" s="15">
        <f t="shared" si="65"/>
        <v>2</v>
      </c>
      <c r="T1322" s="15">
        <f t="shared" si="6"/>
        <v>6</v>
      </c>
      <c r="U1322" s="15">
        <f t="shared" si="7"/>
        <v>2025</v>
      </c>
      <c r="V1322" s="15">
        <f t="shared" si="8"/>
        <v>2</v>
      </c>
      <c r="W1322" s="15">
        <f t="shared" si="9"/>
        <v>6</v>
      </c>
      <c r="X1322" s="15">
        <f t="shared" si="10"/>
        <v>2025</v>
      </c>
    </row>
    <row r="1323">
      <c r="A1323" s="9">
        <v>45810.0</v>
      </c>
      <c r="B1323" s="10"/>
      <c r="C1323" s="9">
        <f t="shared" si="63"/>
        <v>45810</v>
      </c>
      <c r="D1323" s="11" t="s">
        <v>36</v>
      </c>
      <c r="E1323" s="11" t="s">
        <v>25</v>
      </c>
      <c r="F1323" s="11" t="s">
        <v>32</v>
      </c>
      <c r="G1323" s="11" t="s">
        <v>27</v>
      </c>
      <c r="I1323" s="12">
        <v>3031.0</v>
      </c>
      <c r="J1323" s="13"/>
      <c r="K1323" s="13">
        <f t="shared" si="70"/>
        <v>3031</v>
      </c>
      <c r="L1323" s="11" t="s">
        <v>29</v>
      </c>
      <c r="M1323" s="14"/>
      <c r="N1323" s="11" t="s">
        <v>38</v>
      </c>
      <c r="O1323" s="10" t="str">
        <f t="shared" si="64"/>
        <v>06/2025</v>
      </c>
      <c r="P1323" s="10" t="str">
        <f t="shared" si="29"/>
        <v>06/2025</v>
      </c>
      <c r="Q1323" s="15" t="str">
        <f t="array" ref="Q1323">IFERROR(XLOOKUP(N1323,'Classificação'!A:A,'Classificação'!B:B),"")</f>
        <v>DESPESAS COM PESSOAL</v>
      </c>
      <c r="R1323" s="15" t="str">
        <f t="array" ref="R1323">IFERROR(XLOOKUP(Q1323,'Classificação'!B:B,'Classificação'!C:C),"")</f>
        <v>DESPESAS FIXAS (-)</v>
      </c>
      <c r="S1323" s="15">
        <f t="shared" si="65"/>
        <v>2</v>
      </c>
      <c r="T1323" s="15">
        <f t="shared" si="6"/>
        <v>6</v>
      </c>
      <c r="U1323" s="15">
        <f t="shared" si="7"/>
        <v>2025</v>
      </c>
      <c r="V1323" s="15">
        <f t="shared" si="8"/>
        <v>2</v>
      </c>
      <c r="W1323" s="15">
        <f t="shared" si="9"/>
        <v>6</v>
      </c>
      <c r="X1323" s="15">
        <f t="shared" si="10"/>
        <v>2025</v>
      </c>
    </row>
    <row r="1324">
      <c r="A1324" s="9">
        <v>45810.0</v>
      </c>
      <c r="B1324" s="10"/>
      <c r="C1324" s="9">
        <f t="shared" si="63"/>
        <v>45810</v>
      </c>
      <c r="D1324" s="11" t="s">
        <v>43</v>
      </c>
      <c r="E1324" s="11" t="s">
        <v>25</v>
      </c>
      <c r="F1324" s="11" t="s">
        <v>32</v>
      </c>
      <c r="G1324" s="11" t="s">
        <v>27</v>
      </c>
      <c r="I1324" s="12">
        <v>3030.0</v>
      </c>
      <c r="J1324" s="13"/>
      <c r="K1324" s="13">
        <f t="shared" si="70"/>
        <v>3030</v>
      </c>
      <c r="L1324" s="11" t="s">
        <v>29</v>
      </c>
      <c r="M1324" s="14"/>
      <c r="N1324" s="11" t="s">
        <v>38</v>
      </c>
      <c r="O1324" s="10" t="str">
        <f t="shared" si="64"/>
        <v>06/2025</v>
      </c>
      <c r="P1324" s="10" t="str">
        <f t="shared" si="29"/>
        <v>06/2025</v>
      </c>
      <c r="Q1324" s="15" t="str">
        <f t="array" ref="Q1324">IFERROR(XLOOKUP(N1324,'Classificação'!A:A,'Classificação'!B:B),"")</f>
        <v>DESPESAS COM PESSOAL</v>
      </c>
      <c r="R1324" s="15" t="str">
        <f t="array" ref="R1324">IFERROR(XLOOKUP(Q1324,'Classificação'!B:B,'Classificação'!C:C),"")</f>
        <v>DESPESAS FIXAS (-)</v>
      </c>
      <c r="S1324" s="15">
        <f t="shared" si="65"/>
        <v>2</v>
      </c>
      <c r="T1324" s="15">
        <f t="shared" si="6"/>
        <v>6</v>
      </c>
      <c r="U1324" s="15">
        <f t="shared" si="7"/>
        <v>2025</v>
      </c>
      <c r="V1324" s="15">
        <f t="shared" si="8"/>
        <v>2</v>
      </c>
      <c r="W1324" s="15">
        <f t="shared" si="9"/>
        <v>6</v>
      </c>
      <c r="X1324" s="15">
        <f t="shared" si="10"/>
        <v>2025</v>
      </c>
    </row>
    <row r="1325">
      <c r="A1325" s="27">
        <v>45810.0</v>
      </c>
      <c r="B1325" s="30"/>
      <c r="C1325" s="27">
        <f t="shared" si="63"/>
        <v>45810</v>
      </c>
      <c r="D1325" s="28" t="s">
        <v>36</v>
      </c>
      <c r="E1325" s="28" t="s">
        <v>25</v>
      </c>
      <c r="F1325" s="28" t="s">
        <v>32</v>
      </c>
      <c r="G1325" s="29" t="s">
        <v>37</v>
      </c>
      <c r="H1325" s="28"/>
      <c r="I1325" s="24">
        <v>3030.0</v>
      </c>
      <c r="J1325" s="34"/>
      <c r="K1325" s="37">
        <f t="shared" ref="K1325:K1326" si="71">IF(E1325="pago",(I1325-J1325),"")</f>
        <v>3030</v>
      </c>
      <c r="L1325" s="28" t="s">
        <v>29</v>
      </c>
      <c r="M1325" s="28"/>
      <c r="N1325" s="28" t="s">
        <v>38</v>
      </c>
      <c r="O1325" s="10" t="str">
        <f t="shared" si="64"/>
        <v>06/2025</v>
      </c>
      <c r="P1325" s="10" t="str">
        <f t="shared" si="29"/>
        <v>06/2025</v>
      </c>
      <c r="Q1325" s="15" t="str">
        <f t="array" ref="Q1325">IFERROR(XLOOKUP(N1325,'Classificação'!A:A,'Classificação'!B:B),"")</f>
        <v>DESPESAS COM PESSOAL</v>
      </c>
      <c r="R1325" s="15" t="str">
        <f t="array" ref="R1325">IFERROR(XLOOKUP(Q1325,'Classificação'!B:B,'Classificação'!C:C),"")</f>
        <v>DESPESAS FIXAS (-)</v>
      </c>
      <c r="S1325" s="15">
        <f t="shared" si="65"/>
        <v>2</v>
      </c>
      <c r="T1325" s="15">
        <f t="shared" si="6"/>
        <v>6</v>
      </c>
      <c r="U1325" s="15">
        <f t="shared" si="7"/>
        <v>2025</v>
      </c>
      <c r="V1325" s="15">
        <f t="shared" si="8"/>
        <v>2</v>
      </c>
      <c r="W1325" s="15">
        <f t="shared" si="9"/>
        <v>6</v>
      </c>
      <c r="X1325" s="15">
        <f t="shared" si="10"/>
        <v>2025</v>
      </c>
    </row>
    <row r="1326">
      <c r="A1326" s="27">
        <v>45810.0</v>
      </c>
      <c r="B1326" s="30"/>
      <c r="C1326" s="27">
        <f t="shared" si="63"/>
        <v>45810</v>
      </c>
      <c r="D1326" s="28" t="s">
        <v>43</v>
      </c>
      <c r="E1326" s="28" t="s">
        <v>25</v>
      </c>
      <c r="F1326" s="28" t="s">
        <v>32</v>
      </c>
      <c r="G1326" s="29" t="s">
        <v>37</v>
      </c>
      <c r="H1326" s="28"/>
      <c r="I1326" s="37">
        <v>3030.0</v>
      </c>
      <c r="J1326" s="34"/>
      <c r="K1326" s="37">
        <f t="shared" si="71"/>
        <v>3030</v>
      </c>
      <c r="L1326" s="28" t="s">
        <v>29</v>
      </c>
      <c r="M1326" s="28"/>
      <c r="N1326" s="28" t="s">
        <v>38</v>
      </c>
      <c r="O1326" s="10" t="str">
        <f t="shared" si="64"/>
        <v>06/2025</v>
      </c>
      <c r="P1326" s="10" t="str">
        <f t="shared" si="29"/>
        <v>06/2025</v>
      </c>
      <c r="Q1326" s="15" t="str">
        <f t="array" ref="Q1326">IFERROR(XLOOKUP(N1326,'Classificação'!A:A,'Classificação'!B:B),"")</f>
        <v>DESPESAS COM PESSOAL</v>
      </c>
      <c r="R1326" s="15" t="str">
        <f t="array" ref="R1326">IFERROR(XLOOKUP(Q1326,'Classificação'!B:B,'Classificação'!C:C),"")</f>
        <v>DESPESAS FIXAS (-)</v>
      </c>
      <c r="S1326" s="15">
        <f t="shared" si="65"/>
        <v>2</v>
      </c>
      <c r="T1326" s="15">
        <f t="shared" si="6"/>
        <v>6</v>
      </c>
      <c r="U1326" s="15">
        <f t="shared" si="7"/>
        <v>2025</v>
      </c>
      <c r="V1326" s="15">
        <f t="shared" si="8"/>
        <v>2</v>
      </c>
      <c r="W1326" s="15">
        <f t="shared" si="9"/>
        <v>6</v>
      </c>
      <c r="X1326" s="15">
        <f t="shared" si="10"/>
        <v>2025</v>
      </c>
    </row>
    <row r="1327">
      <c r="A1327" s="9">
        <v>45811.0</v>
      </c>
      <c r="B1327" s="10"/>
      <c r="C1327" s="9">
        <f t="shared" si="63"/>
        <v>45811</v>
      </c>
      <c r="D1327" s="11" t="s">
        <v>44</v>
      </c>
      <c r="E1327" s="11" t="s">
        <v>25</v>
      </c>
      <c r="F1327" s="11" t="s">
        <v>45</v>
      </c>
      <c r="G1327" s="11" t="s">
        <v>27</v>
      </c>
      <c r="H1327" s="11" t="s">
        <v>651</v>
      </c>
      <c r="I1327" s="12">
        <v>3275.83</v>
      </c>
      <c r="J1327" s="13"/>
      <c r="K1327" s="13">
        <f t="shared" ref="K1327:K1331" si="72">if(E1327="pago",(I1327-J1327),"")</f>
        <v>3275.83</v>
      </c>
      <c r="L1327" s="11" t="s">
        <v>53</v>
      </c>
      <c r="M1327" s="16" t="s">
        <v>780</v>
      </c>
      <c r="N1327" s="11" t="s">
        <v>73</v>
      </c>
      <c r="O1327" s="10" t="str">
        <f t="shared" si="64"/>
        <v>06/2025</v>
      </c>
      <c r="P1327" s="10" t="str">
        <f t="shared" si="29"/>
        <v>06/2025</v>
      </c>
      <c r="Q1327" s="15" t="str">
        <f t="array" ref="Q1327">IFERROR(XLOOKUP(N1327,'Classificação'!A:A,'Classificação'!B:B),"")</f>
        <v>DESPESAS NÃO OPERACIONAIS</v>
      </c>
      <c r="R1327" s="15" t="str">
        <f t="array" ref="R1327">IFERROR(XLOOKUP(Q1327,'Classificação'!B:B,'Classificação'!C:C),"")</f>
        <v>RESULTADO NÃO OPERACIONAL (+/-)</v>
      </c>
      <c r="S1327" s="15">
        <f t="shared" si="65"/>
        <v>3</v>
      </c>
      <c r="T1327" s="15">
        <f t="shared" si="6"/>
        <v>6</v>
      </c>
      <c r="U1327" s="15">
        <f t="shared" si="7"/>
        <v>2025</v>
      </c>
      <c r="V1327" s="15">
        <f t="shared" si="8"/>
        <v>3</v>
      </c>
      <c r="W1327" s="15">
        <f t="shared" si="9"/>
        <v>6</v>
      </c>
      <c r="X1327" s="15">
        <f t="shared" si="10"/>
        <v>2025</v>
      </c>
    </row>
    <row r="1328">
      <c r="A1328" s="9">
        <v>45813.0</v>
      </c>
      <c r="B1328" s="10"/>
      <c r="C1328" s="9">
        <f t="shared" si="63"/>
        <v>45813</v>
      </c>
      <c r="D1328" s="28" t="s">
        <v>76</v>
      </c>
      <c r="E1328" s="29" t="s">
        <v>25</v>
      </c>
      <c r="F1328" s="28" t="s">
        <v>26</v>
      </c>
      <c r="G1328" s="28" t="s">
        <v>27</v>
      </c>
      <c r="H1328" s="28" t="s">
        <v>84</v>
      </c>
      <c r="I1328" s="24">
        <v>1214.27</v>
      </c>
      <c r="J1328" s="13"/>
      <c r="K1328" s="13">
        <f t="shared" si="72"/>
        <v>1214.27</v>
      </c>
      <c r="L1328" s="28" t="s">
        <v>53</v>
      </c>
      <c r="M1328" s="16" t="s">
        <v>781</v>
      </c>
      <c r="N1328" s="28" t="s">
        <v>85</v>
      </c>
      <c r="O1328" s="10" t="str">
        <f t="shared" si="64"/>
        <v>06/2025</v>
      </c>
      <c r="P1328" s="10" t="str">
        <f t="shared" si="29"/>
        <v>06/2025</v>
      </c>
      <c r="Q1328" s="15" t="str">
        <f t="array" ref="Q1328">IFERROR(XLOOKUP(N1328,'Classificação'!A:A,'Classificação'!B:B),"")</f>
        <v>DESPESAS NÃO OPERACIONAIS</v>
      </c>
      <c r="R1328" s="15" t="str">
        <f t="array" ref="R1328">IFERROR(XLOOKUP(Q1328,'Classificação'!B:B,'Classificação'!C:C),"")</f>
        <v>RESULTADO NÃO OPERACIONAL (+/-)</v>
      </c>
      <c r="S1328" s="15">
        <f t="shared" si="65"/>
        <v>5</v>
      </c>
      <c r="T1328" s="15">
        <f t="shared" si="6"/>
        <v>6</v>
      </c>
      <c r="U1328" s="15">
        <f t="shared" si="7"/>
        <v>2025</v>
      </c>
      <c r="V1328" s="15">
        <f t="shared" si="8"/>
        <v>5</v>
      </c>
      <c r="W1328" s="15">
        <f t="shared" si="9"/>
        <v>6</v>
      </c>
      <c r="X1328" s="15">
        <f t="shared" si="10"/>
        <v>2025</v>
      </c>
    </row>
    <row r="1329">
      <c r="A1329" s="9">
        <v>45813.0</v>
      </c>
      <c r="B1329" s="10"/>
      <c r="C1329" s="9">
        <f t="shared" si="63"/>
        <v>45813</v>
      </c>
      <c r="D1329" s="11" t="s">
        <v>782</v>
      </c>
      <c r="E1329" s="11" t="s">
        <v>25</v>
      </c>
      <c r="F1329" s="11" t="s">
        <v>40</v>
      </c>
      <c r="G1329" s="11" t="s">
        <v>27</v>
      </c>
      <c r="H1329" s="11" t="s">
        <v>783</v>
      </c>
      <c r="I1329" s="12">
        <v>2800.0</v>
      </c>
      <c r="J1329" s="13"/>
      <c r="K1329" s="13">
        <f t="shared" si="72"/>
        <v>2800</v>
      </c>
      <c r="L1329" s="11" t="s">
        <v>34</v>
      </c>
      <c r="M1329" s="14"/>
      <c r="N1329" s="11" t="s">
        <v>35</v>
      </c>
      <c r="O1329" s="10" t="str">
        <f t="shared" si="64"/>
        <v>06/2025</v>
      </c>
      <c r="P1329" s="10" t="str">
        <f t="shared" si="29"/>
        <v>06/2025</v>
      </c>
      <c r="Q1329" s="15" t="str">
        <f t="array" ref="Q1329">IFERROR(XLOOKUP(N1329,'Classificação'!A:A,'Classificação'!B:B),"")</f>
        <v>COMPRA DE MERCADORIA</v>
      </c>
      <c r="R1329" s="15" t="str">
        <f t="array" ref="R1329">IFERROR(XLOOKUP(Q1329,'Classificação'!B:B,'Classificação'!C:C),"")</f>
        <v>CUSTOS VARIÁVEIS</v>
      </c>
      <c r="S1329" s="15">
        <f t="shared" si="65"/>
        <v>5</v>
      </c>
      <c r="T1329" s="15">
        <f t="shared" si="6"/>
        <v>6</v>
      </c>
      <c r="U1329" s="15">
        <f t="shared" si="7"/>
        <v>2025</v>
      </c>
      <c r="V1329" s="15">
        <f t="shared" si="8"/>
        <v>5</v>
      </c>
      <c r="W1329" s="15">
        <f t="shared" si="9"/>
        <v>6</v>
      </c>
      <c r="X1329" s="15">
        <f t="shared" si="10"/>
        <v>2025</v>
      </c>
    </row>
    <row r="1330">
      <c r="A1330" s="9">
        <v>45814.0</v>
      </c>
      <c r="B1330" s="9">
        <v>45798.0</v>
      </c>
      <c r="C1330" s="9">
        <f t="shared" si="63"/>
        <v>45814</v>
      </c>
      <c r="D1330" s="11" t="s">
        <v>86</v>
      </c>
      <c r="E1330" s="11" t="s">
        <v>25</v>
      </c>
      <c r="F1330" s="11" t="s">
        <v>87</v>
      </c>
      <c r="G1330" s="11" t="s">
        <v>27</v>
      </c>
      <c r="H1330" s="11" t="s">
        <v>784</v>
      </c>
      <c r="I1330" s="12">
        <v>5880.0</v>
      </c>
      <c r="J1330" s="13"/>
      <c r="K1330" s="13">
        <f t="shared" si="72"/>
        <v>5880</v>
      </c>
      <c r="L1330" s="11" t="s">
        <v>53</v>
      </c>
      <c r="M1330" s="17">
        <v>45748.0</v>
      </c>
      <c r="N1330" s="11" t="s">
        <v>35</v>
      </c>
      <c r="O1330" s="10" t="str">
        <f t="shared" si="64"/>
        <v>06/2025</v>
      </c>
      <c r="P1330" s="10" t="str">
        <f t="shared" si="29"/>
        <v>06/2025</v>
      </c>
      <c r="Q1330" s="15" t="str">
        <f t="array" ref="Q1330">IFERROR(XLOOKUP(N1330,'Classificação'!A:A,'Classificação'!B:B),"")</f>
        <v>COMPRA DE MERCADORIA</v>
      </c>
      <c r="R1330" s="15" t="str">
        <f t="array" ref="R1330">IFERROR(XLOOKUP(Q1330,'Classificação'!B:B,'Classificação'!C:C),"")</f>
        <v>CUSTOS VARIÁVEIS</v>
      </c>
      <c r="S1330" s="15">
        <f t="shared" si="65"/>
        <v>6</v>
      </c>
      <c r="T1330" s="15">
        <f t="shared" si="6"/>
        <v>6</v>
      </c>
      <c r="U1330" s="15">
        <f t="shared" si="7"/>
        <v>2025</v>
      </c>
      <c r="V1330" s="15">
        <f t="shared" si="8"/>
        <v>6</v>
      </c>
      <c r="W1330" s="15">
        <f t="shared" si="9"/>
        <v>6</v>
      </c>
      <c r="X1330" s="15">
        <f t="shared" si="10"/>
        <v>2025</v>
      </c>
    </row>
    <row r="1331">
      <c r="A1331" s="9">
        <v>45814.0</v>
      </c>
      <c r="B1331" s="9"/>
      <c r="C1331" s="9">
        <f t="shared" si="63"/>
        <v>45814</v>
      </c>
      <c r="D1331" s="11" t="s">
        <v>785</v>
      </c>
      <c r="E1331" s="11" t="s">
        <v>25</v>
      </c>
      <c r="F1331" s="11" t="s">
        <v>26</v>
      </c>
      <c r="G1331" s="11" t="s">
        <v>37</v>
      </c>
      <c r="H1331" s="11" t="s">
        <v>786</v>
      </c>
      <c r="I1331" s="12">
        <v>265.0</v>
      </c>
      <c r="J1331" s="13"/>
      <c r="K1331" s="13">
        <f t="shared" si="72"/>
        <v>265</v>
      </c>
      <c r="L1331" s="11" t="s">
        <v>34</v>
      </c>
      <c r="M1331" s="14"/>
      <c r="N1331" s="11" t="s">
        <v>392</v>
      </c>
      <c r="O1331" s="10" t="str">
        <f t="shared" si="64"/>
        <v>06/2025</v>
      </c>
      <c r="P1331" s="10" t="str">
        <f t="shared" si="29"/>
        <v>06/2025</v>
      </c>
      <c r="Q1331" s="15" t="str">
        <f t="array" ref="Q1331">IFERROR(XLOOKUP(N1331,'Classificação'!A:A,'Classificação'!B:B),"")</f>
        <v>DESPESAS COM OCUPAÇÃO</v>
      </c>
      <c r="R1331" s="15" t="str">
        <f t="array" ref="R1331">IFERROR(XLOOKUP(Q1331,'Classificação'!B:B,'Classificação'!C:C),"")</f>
        <v>DESPESAS FIXAS (-)</v>
      </c>
      <c r="S1331" s="15">
        <f t="shared" si="65"/>
        <v>6</v>
      </c>
      <c r="T1331" s="15">
        <f t="shared" si="6"/>
        <v>6</v>
      </c>
      <c r="U1331" s="15">
        <f t="shared" si="7"/>
        <v>2025</v>
      </c>
      <c r="V1331" s="15">
        <f t="shared" si="8"/>
        <v>6</v>
      </c>
      <c r="W1331" s="15">
        <f t="shared" si="9"/>
        <v>6</v>
      </c>
      <c r="X1331" s="15">
        <f t="shared" si="10"/>
        <v>2025</v>
      </c>
    </row>
    <row r="1332">
      <c r="A1332" s="26">
        <v>45815.0</v>
      </c>
      <c r="B1332" s="30"/>
      <c r="C1332" s="27">
        <f t="shared" si="63"/>
        <v>45815</v>
      </c>
      <c r="D1332" s="28" t="s">
        <v>520</v>
      </c>
      <c r="E1332" s="29" t="s">
        <v>25</v>
      </c>
      <c r="F1332" s="28" t="s">
        <v>26</v>
      </c>
      <c r="G1332" s="28" t="s">
        <v>37</v>
      </c>
      <c r="H1332" s="29" t="s">
        <v>730</v>
      </c>
      <c r="I1332" s="24">
        <v>200.0</v>
      </c>
      <c r="J1332" s="34"/>
      <c r="K1332" s="37">
        <f t="shared" ref="K1332:K1333" si="73">IF(E1332="pago",(I1332-J1332),"")</f>
        <v>200</v>
      </c>
      <c r="L1332" s="28" t="s">
        <v>34</v>
      </c>
      <c r="M1332" s="28"/>
      <c r="N1332" s="28" t="s">
        <v>58</v>
      </c>
      <c r="O1332" s="10" t="str">
        <f t="shared" si="64"/>
        <v>06/2025</v>
      </c>
      <c r="P1332" s="10" t="str">
        <f t="shared" si="29"/>
        <v>06/2025</v>
      </c>
      <c r="Q1332" s="15" t="str">
        <f t="array" ref="Q1332">IFERROR(XLOOKUP(N1332,'Classificação'!A:A,'Classificação'!B:B),"")</f>
        <v>DESPESAS ADMINISTRATIVAS</v>
      </c>
      <c r="R1332" s="15" t="str">
        <f t="array" ref="R1332">IFERROR(XLOOKUP(Q1332,'Classificação'!B:B,'Classificação'!C:C),"")</f>
        <v>DESPESAS FIXAS (-)</v>
      </c>
      <c r="S1332" s="15">
        <f t="shared" si="65"/>
        <v>7</v>
      </c>
      <c r="T1332" s="15">
        <f t="shared" si="6"/>
        <v>6</v>
      </c>
      <c r="U1332" s="15">
        <f t="shared" si="7"/>
        <v>2025</v>
      </c>
      <c r="V1332" s="15">
        <f t="shared" si="8"/>
        <v>7</v>
      </c>
      <c r="W1332" s="15">
        <f t="shared" si="9"/>
        <v>6</v>
      </c>
      <c r="X1332" s="15">
        <f t="shared" si="10"/>
        <v>2025</v>
      </c>
    </row>
    <row r="1333">
      <c r="A1333" s="26">
        <v>45817.0</v>
      </c>
      <c r="B1333" s="39">
        <v>45611.0</v>
      </c>
      <c r="C1333" s="9">
        <f t="shared" si="63"/>
        <v>45817</v>
      </c>
      <c r="D1333" s="28" t="s">
        <v>361</v>
      </c>
      <c r="E1333" s="29" t="s">
        <v>25</v>
      </c>
      <c r="F1333" s="28" t="s">
        <v>26</v>
      </c>
      <c r="G1333" s="28" t="s">
        <v>37</v>
      </c>
      <c r="H1333" s="29" t="s">
        <v>535</v>
      </c>
      <c r="I1333" s="24">
        <v>282.35</v>
      </c>
      <c r="J1333" s="13"/>
      <c r="K1333" s="37">
        <f t="shared" si="73"/>
        <v>282.35</v>
      </c>
      <c r="L1333" s="28" t="s">
        <v>53</v>
      </c>
      <c r="M1333" s="17">
        <v>45998.0</v>
      </c>
      <c r="N1333" s="28" t="s">
        <v>363</v>
      </c>
      <c r="O1333" s="10" t="str">
        <f t="shared" si="64"/>
        <v>06/2025</v>
      </c>
      <c r="P1333" s="10" t="str">
        <f t="shared" si="29"/>
        <v>06/2025</v>
      </c>
      <c r="Q1333" s="15" t="str">
        <f t="array" ref="Q1333">IFERROR(XLOOKUP(N1333,'Classificação'!A:A,'Classificação'!B:B),"")</f>
        <v>DESPESAS NÃO OPERACIONAIS</v>
      </c>
      <c r="R1333" s="15" t="str">
        <f t="array" ref="R1333">IFERROR(XLOOKUP(Q1333,'Classificação'!B:B,'Classificação'!C:C),"")</f>
        <v>RESULTADO NÃO OPERACIONAL (+/-)</v>
      </c>
      <c r="S1333" s="15">
        <f t="shared" si="65"/>
        <v>9</v>
      </c>
      <c r="T1333" s="15">
        <f t="shared" si="6"/>
        <v>6</v>
      </c>
      <c r="U1333" s="15">
        <f t="shared" si="7"/>
        <v>2025</v>
      </c>
      <c r="V1333" s="15">
        <f t="shared" si="8"/>
        <v>9</v>
      </c>
      <c r="W1333" s="15">
        <f t="shared" si="9"/>
        <v>6</v>
      </c>
      <c r="X1333" s="15">
        <f t="shared" si="10"/>
        <v>2025</v>
      </c>
    </row>
    <row r="1334">
      <c r="A1334" s="9">
        <v>45817.0</v>
      </c>
      <c r="B1334" s="10"/>
      <c r="C1334" s="9">
        <f t="shared" si="63"/>
        <v>45817</v>
      </c>
      <c r="D1334" s="11" t="s">
        <v>83</v>
      </c>
      <c r="E1334" s="11" t="s">
        <v>25</v>
      </c>
      <c r="F1334" s="11" t="s">
        <v>32</v>
      </c>
      <c r="G1334" s="11" t="s">
        <v>27</v>
      </c>
      <c r="I1334" s="12">
        <v>800.0</v>
      </c>
      <c r="J1334" s="13"/>
      <c r="K1334" s="13">
        <f t="shared" ref="K1334:K1337" si="74">if(E1334="pago",(I1334-J1334),"")</f>
        <v>800</v>
      </c>
      <c r="L1334" s="11" t="s">
        <v>29</v>
      </c>
      <c r="M1334" s="14"/>
      <c r="N1334" s="11" t="s">
        <v>75</v>
      </c>
      <c r="O1334" s="10" t="str">
        <f t="shared" si="64"/>
        <v>06/2025</v>
      </c>
      <c r="P1334" s="10" t="str">
        <f t="shared" si="29"/>
        <v>06/2025</v>
      </c>
      <c r="Q1334" s="15" t="str">
        <f t="array" ref="Q1334">IFERROR(XLOOKUP(N1334,'Classificação'!A:A,'Classificação'!B:B),"")</f>
        <v>DESPESAS COM PESSOAL</v>
      </c>
      <c r="R1334" s="15" t="str">
        <f t="array" ref="R1334">IFERROR(XLOOKUP(Q1334,'Classificação'!B:B,'Classificação'!C:C),"")</f>
        <v>DESPESAS FIXAS (-)</v>
      </c>
      <c r="S1334" s="15">
        <f t="shared" si="65"/>
        <v>9</v>
      </c>
      <c r="T1334" s="15">
        <f t="shared" si="6"/>
        <v>6</v>
      </c>
      <c r="U1334" s="15">
        <f t="shared" si="7"/>
        <v>2025</v>
      </c>
      <c r="V1334" s="15">
        <f t="shared" si="8"/>
        <v>9</v>
      </c>
      <c r="W1334" s="15">
        <f t="shared" si="9"/>
        <v>6</v>
      </c>
      <c r="X1334" s="15">
        <f t="shared" si="10"/>
        <v>2025</v>
      </c>
    </row>
    <row r="1335">
      <c r="A1335" s="9">
        <v>45817.0</v>
      </c>
      <c r="B1335" s="10"/>
      <c r="C1335" s="9">
        <f t="shared" si="63"/>
        <v>45817</v>
      </c>
      <c r="D1335" s="11" t="s">
        <v>36</v>
      </c>
      <c r="E1335" s="11" t="s">
        <v>25</v>
      </c>
      <c r="F1335" s="11" t="s">
        <v>32</v>
      </c>
      <c r="G1335" s="11" t="s">
        <v>37</v>
      </c>
      <c r="I1335" s="12">
        <v>1450.0</v>
      </c>
      <c r="J1335" s="13"/>
      <c r="K1335" s="13">
        <f t="shared" si="74"/>
        <v>1450</v>
      </c>
      <c r="L1335" s="11" t="s">
        <v>29</v>
      </c>
      <c r="M1335" s="14"/>
      <c r="N1335" s="11" t="s">
        <v>38</v>
      </c>
      <c r="O1335" s="10" t="str">
        <f t="shared" si="64"/>
        <v>06/2025</v>
      </c>
      <c r="P1335" s="10" t="str">
        <f t="shared" si="29"/>
        <v>06/2025</v>
      </c>
      <c r="Q1335" s="15" t="str">
        <f t="array" ref="Q1335">IFERROR(XLOOKUP(N1335,'Classificação'!A:A,'Classificação'!B:B),"")</f>
        <v>DESPESAS COM PESSOAL</v>
      </c>
      <c r="R1335" s="15" t="str">
        <f t="array" ref="R1335">IFERROR(XLOOKUP(Q1335,'Classificação'!B:B,'Classificação'!C:C),"")</f>
        <v>DESPESAS FIXAS (-)</v>
      </c>
      <c r="S1335" s="15">
        <f t="shared" si="65"/>
        <v>9</v>
      </c>
      <c r="T1335" s="15">
        <f t="shared" si="6"/>
        <v>6</v>
      </c>
      <c r="U1335" s="15">
        <f t="shared" si="7"/>
        <v>2025</v>
      </c>
      <c r="V1335" s="15">
        <f t="shared" si="8"/>
        <v>9</v>
      </c>
      <c r="W1335" s="15">
        <f t="shared" si="9"/>
        <v>6</v>
      </c>
      <c r="X1335" s="15">
        <f t="shared" si="10"/>
        <v>2025</v>
      </c>
    </row>
    <row r="1336">
      <c r="A1336" s="9">
        <v>45817.0</v>
      </c>
      <c r="B1336" s="10"/>
      <c r="C1336" s="9">
        <f t="shared" si="63"/>
        <v>45817</v>
      </c>
      <c r="D1336" s="11" t="s">
        <v>43</v>
      </c>
      <c r="E1336" s="11" t="s">
        <v>25</v>
      </c>
      <c r="F1336" s="11" t="s">
        <v>32</v>
      </c>
      <c r="G1336" s="11" t="s">
        <v>37</v>
      </c>
      <c r="I1336" s="12">
        <v>1450.0</v>
      </c>
      <c r="J1336" s="13"/>
      <c r="K1336" s="13">
        <f t="shared" si="74"/>
        <v>1450</v>
      </c>
      <c r="L1336" s="11" t="s">
        <v>29</v>
      </c>
      <c r="M1336" s="14"/>
      <c r="N1336" s="11" t="s">
        <v>38</v>
      </c>
      <c r="O1336" s="10" t="str">
        <f t="shared" si="64"/>
        <v>06/2025</v>
      </c>
      <c r="P1336" s="10" t="str">
        <f t="shared" si="29"/>
        <v>06/2025</v>
      </c>
      <c r="Q1336" s="15" t="str">
        <f t="array" ref="Q1336">IFERROR(XLOOKUP(N1336,'Classificação'!A:A,'Classificação'!B:B),"")</f>
        <v>DESPESAS COM PESSOAL</v>
      </c>
      <c r="R1336" s="15" t="str">
        <f t="array" ref="R1336">IFERROR(XLOOKUP(Q1336,'Classificação'!B:B,'Classificação'!C:C),"")</f>
        <v>DESPESAS FIXAS (-)</v>
      </c>
      <c r="S1336" s="15">
        <f t="shared" si="65"/>
        <v>9</v>
      </c>
      <c r="T1336" s="15">
        <f t="shared" si="6"/>
        <v>6</v>
      </c>
      <c r="U1336" s="15">
        <f t="shared" si="7"/>
        <v>2025</v>
      </c>
      <c r="V1336" s="15">
        <f t="shared" si="8"/>
        <v>9</v>
      </c>
      <c r="W1336" s="15">
        <f t="shared" si="9"/>
        <v>6</v>
      </c>
      <c r="X1336" s="15">
        <f t="shared" si="10"/>
        <v>2025</v>
      </c>
    </row>
    <row r="1337">
      <c r="A1337" s="9">
        <v>45817.0</v>
      </c>
      <c r="B1337" s="9">
        <v>45734.0</v>
      </c>
      <c r="C1337" s="9">
        <f t="shared" si="63"/>
        <v>45817</v>
      </c>
      <c r="D1337" s="11" t="s">
        <v>86</v>
      </c>
      <c r="E1337" s="11" t="s">
        <v>25</v>
      </c>
      <c r="F1337" s="11" t="s">
        <v>87</v>
      </c>
      <c r="G1337" s="11" t="s">
        <v>27</v>
      </c>
      <c r="H1337" s="11" t="s">
        <v>787</v>
      </c>
      <c r="I1337" s="12">
        <v>2260.0</v>
      </c>
      <c r="J1337" s="13"/>
      <c r="K1337" s="13">
        <f t="shared" si="74"/>
        <v>2260</v>
      </c>
      <c r="L1337" s="11" t="s">
        <v>53</v>
      </c>
      <c r="M1337" s="17">
        <v>45750.0</v>
      </c>
      <c r="N1337" s="11" t="s">
        <v>35</v>
      </c>
      <c r="O1337" s="10" t="str">
        <f t="shared" si="64"/>
        <v>06/2025</v>
      </c>
      <c r="P1337" s="10" t="str">
        <f t="shared" si="29"/>
        <v>06/2025</v>
      </c>
      <c r="Q1337" s="15" t="str">
        <f t="array" ref="Q1337">IFERROR(XLOOKUP(N1337,'Classificação'!A:A,'Classificação'!B:B),"")</f>
        <v>COMPRA DE MERCADORIA</v>
      </c>
      <c r="R1337" s="15" t="str">
        <f t="array" ref="R1337">IFERROR(XLOOKUP(Q1337,'Classificação'!B:B,'Classificação'!C:C),"")</f>
        <v>CUSTOS VARIÁVEIS</v>
      </c>
      <c r="S1337" s="15">
        <f t="shared" si="65"/>
        <v>9</v>
      </c>
      <c r="T1337" s="15">
        <f t="shared" si="6"/>
        <v>6</v>
      </c>
      <c r="U1337" s="15">
        <f t="shared" si="7"/>
        <v>2025</v>
      </c>
      <c r="V1337" s="15">
        <f t="shared" si="8"/>
        <v>9</v>
      </c>
      <c r="W1337" s="15">
        <f t="shared" si="9"/>
        <v>6</v>
      </c>
      <c r="X1337" s="15">
        <f t="shared" si="10"/>
        <v>2025</v>
      </c>
    </row>
    <row r="1338">
      <c r="A1338" s="26">
        <v>45818.0</v>
      </c>
      <c r="B1338" s="26">
        <v>45693.0</v>
      </c>
      <c r="C1338" s="27">
        <f t="shared" si="63"/>
        <v>45818</v>
      </c>
      <c r="D1338" s="28" t="s">
        <v>86</v>
      </c>
      <c r="E1338" s="29" t="s">
        <v>25</v>
      </c>
      <c r="F1338" s="29" t="s">
        <v>87</v>
      </c>
      <c r="G1338" s="29" t="s">
        <v>27</v>
      </c>
      <c r="H1338" s="29" t="s">
        <v>788</v>
      </c>
      <c r="I1338" s="24">
        <v>1150.0</v>
      </c>
      <c r="J1338" s="34"/>
      <c r="K1338" s="37">
        <f>IF(E1338="pago",(I1338-J1338),"")</f>
        <v>1150</v>
      </c>
      <c r="L1338" s="29" t="s">
        <v>53</v>
      </c>
      <c r="M1338" s="35">
        <v>45718.0</v>
      </c>
      <c r="N1338" s="28" t="s">
        <v>35</v>
      </c>
      <c r="O1338" s="10" t="str">
        <f t="shared" si="64"/>
        <v>06/2025</v>
      </c>
      <c r="P1338" s="10" t="str">
        <f t="shared" si="29"/>
        <v>06/2025</v>
      </c>
      <c r="Q1338" s="15" t="str">
        <f t="array" ref="Q1338">IFERROR(XLOOKUP(N1338,'Classificação'!A:A,'Classificação'!B:B),"")</f>
        <v>COMPRA DE MERCADORIA</v>
      </c>
      <c r="R1338" s="15" t="str">
        <f t="array" ref="R1338">IFERROR(XLOOKUP(Q1338,'Classificação'!B:B,'Classificação'!C:C),"")</f>
        <v>CUSTOS VARIÁVEIS</v>
      </c>
      <c r="S1338" s="15">
        <f t="shared" si="65"/>
        <v>10</v>
      </c>
      <c r="T1338" s="15">
        <f t="shared" si="6"/>
        <v>6</v>
      </c>
      <c r="U1338" s="15">
        <f t="shared" si="7"/>
        <v>2025</v>
      </c>
      <c r="V1338" s="15">
        <f t="shared" si="8"/>
        <v>10</v>
      </c>
      <c r="W1338" s="15">
        <f t="shared" si="9"/>
        <v>6</v>
      </c>
      <c r="X1338" s="15">
        <f t="shared" si="10"/>
        <v>2025</v>
      </c>
    </row>
    <row r="1339">
      <c r="A1339" s="9">
        <v>45818.0</v>
      </c>
      <c r="B1339" s="10"/>
      <c r="C1339" s="9">
        <f t="shared" si="63"/>
        <v>45818</v>
      </c>
      <c r="D1339" s="11" t="s">
        <v>48</v>
      </c>
      <c r="E1339" s="11" t="s">
        <v>25</v>
      </c>
      <c r="F1339" s="11" t="s">
        <v>40</v>
      </c>
      <c r="G1339" s="11" t="s">
        <v>27</v>
      </c>
      <c r="I1339" s="12">
        <v>1824.26</v>
      </c>
      <c r="J1339" s="13"/>
      <c r="K1339" s="13">
        <f t="shared" ref="K1339:K1351" si="75">if(E1339="pago",(I1339-J1339),"")</f>
        <v>1824.26</v>
      </c>
      <c r="L1339" s="11" t="s">
        <v>29</v>
      </c>
      <c r="M1339" s="14"/>
      <c r="N1339" s="11" t="s">
        <v>49</v>
      </c>
      <c r="O1339" s="10" t="str">
        <f t="shared" si="64"/>
        <v>06/2025</v>
      </c>
      <c r="P1339" s="10" t="str">
        <f t="shared" si="29"/>
        <v>06/2025</v>
      </c>
      <c r="Q1339" s="15" t="str">
        <f t="array" ref="Q1339">IFERROR(XLOOKUP(N1339,'Classificação'!A:A,'Classificação'!B:B),"")</f>
        <v>DESPESAS COM PESSOAL</v>
      </c>
      <c r="R1339" s="15" t="str">
        <f t="array" ref="R1339">IFERROR(XLOOKUP(Q1339,'Classificação'!B:B,'Classificação'!C:C),"")</f>
        <v>DESPESAS FIXAS (-)</v>
      </c>
      <c r="S1339" s="15">
        <f t="shared" si="65"/>
        <v>10</v>
      </c>
      <c r="T1339" s="15">
        <f t="shared" si="6"/>
        <v>6</v>
      </c>
      <c r="U1339" s="15">
        <f t="shared" si="7"/>
        <v>2025</v>
      </c>
      <c r="V1339" s="15">
        <f t="shared" si="8"/>
        <v>10</v>
      </c>
      <c r="W1339" s="15">
        <f t="shared" si="9"/>
        <v>6</v>
      </c>
      <c r="X1339" s="15">
        <f t="shared" si="10"/>
        <v>2025</v>
      </c>
    </row>
    <row r="1340">
      <c r="A1340" s="9">
        <v>45818.0</v>
      </c>
      <c r="B1340" s="10"/>
      <c r="C1340" s="9">
        <f t="shared" si="63"/>
        <v>45818</v>
      </c>
      <c r="D1340" s="11" t="s">
        <v>50</v>
      </c>
      <c r="E1340" s="11" t="s">
        <v>25</v>
      </c>
      <c r="F1340" s="11" t="s">
        <v>40</v>
      </c>
      <c r="G1340" s="11" t="s">
        <v>27</v>
      </c>
      <c r="H1340" s="11" t="s">
        <v>51</v>
      </c>
      <c r="I1340" s="12">
        <v>139.99</v>
      </c>
      <c r="J1340" s="13"/>
      <c r="K1340" s="13">
        <f t="shared" si="75"/>
        <v>139.99</v>
      </c>
      <c r="L1340" s="11" t="s">
        <v>29</v>
      </c>
      <c r="M1340" s="14"/>
      <c r="N1340" s="11" t="s">
        <v>51</v>
      </c>
      <c r="O1340" s="10" t="str">
        <f t="shared" si="64"/>
        <v>06/2025</v>
      </c>
      <c r="P1340" s="10" t="str">
        <f t="shared" si="29"/>
        <v>06/2025</v>
      </c>
      <c r="Q1340" s="15" t="str">
        <f t="array" ref="Q1340">IFERROR(XLOOKUP(N1340,'Classificação'!A:A,'Classificação'!B:B),"")</f>
        <v>DESPESAS COM OCUPAÇÃO</v>
      </c>
      <c r="R1340" s="15" t="str">
        <f t="array" ref="R1340">IFERROR(XLOOKUP(Q1340,'Classificação'!B:B,'Classificação'!C:C),"")</f>
        <v>DESPESAS FIXAS (-)</v>
      </c>
      <c r="S1340" s="15">
        <f t="shared" si="65"/>
        <v>10</v>
      </c>
      <c r="T1340" s="15">
        <f t="shared" si="6"/>
        <v>6</v>
      </c>
      <c r="U1340" s="15">
        <f t="shared" si="7"/>
        <v>2025</v>
      </c>
      <c r="V1340" s="15">
        <f t="shared" si="8"/>
        <v>10</v>
      </c>
      <c r="W1340" s="15">
        <f t="shared" si="9"/>
        <v>6</v>
      </c>
      <c r="X1340" s="15">
        <f t="shared" si="10"/>
        <v>2025</v>
      </c>
    </row>
    <row r="1341">
      <c r="A1341" s="9">
        <v>45818.0</v>
      </c>
      <c r="B1341" s="10"/>
      <c r="C1341" s="9">
        <f t="shared" si="63"/>
        <v>45818</v>
      </c>
      <c r="D1341" s="11" t="s">
        <v>59</v>
      </c>
      <c r="E1341" s="11" t="s">
        <v>25</v>
      </c>
      <c r="F1341" s="11" t="s">
        <v>40</v>
      </c>
      <c r="G1341" s="11" t="s">
        <v>37</v>
      </c>
      <c r="H1341" s="11" t="s">
        <v>60</v>
      </c>
      <c r="I1341" s="12">
        <v>397.0</v>
      </c>
      <c r="J1341" s="13"/>
      <c r="K1341" s="13">
        <f t="shared" si="75"/>
        <v>397</v>
      </c>
      <c r="L1341" s="11" t="s">
        <v>29</v>
      </c>
      <c r="M1341" s="14"/>
      <c r="N1341" s="11" t="s">
        <v>61</v>
      </c>
      <c r="O1341" s="10" t="str">
        <f t="shared" si="64"/>
        <v>06/2025</v>
      </c>
      <c r="P1341" s="10" t="str">
        <f t="shared" si="29"/>
        <v>06/2025</v>
      </c>
      <c r="Q1341" s="15" t="str">
        <f t="array" ref="Q1341">IFERROR(XLOOKUP(N1341,'Classificação'!A:A,'Classificação'!B:B),"")</f>
        <v>DESPESAS ADMINISTRATIVAS</v>
      </c>
      <c r="R1341" s="15" t="str">
        <f t="array" ref="R1341">IFERROR(XLOOKUP(Q1341,'Classificação'!B:B,'Classificação'!C:C),"")</f>
        <v>DESPESAS FIXAS (-)</v>
      </c>
      <c r="S1341" s="15">
        <f t="shared" si="65"/>
        <v>10</v>
      </c>
      <c r="T1341" s="15">
        <f t="shared" si="6"/>
        <v>6</v>
      </c>
      <c r="U1341" s="15">
        <f t="shared" si="7"/>
        <v>2025</v>
      </c>
      <c r="V1341" s="15">
        <f t="shared" si="8"/>
        <v>10</v>
      </c>
      <c r="W1341" s="15">
        <f t="shared" si="9"/>
        <v>6</v>
      </c>
      <c r="X1341" s="15">
        <f t="shared" si="10"/>
        <v>2025</v>
      </c>
    </row>
    <row r="1342">
      <c r="A1342" s="9">
        <v>45818.0</v>
      </c>
      <c r="B1342" s="10"/>
      <c r="C1342" s="9">
        <f t="shared" si="63"/>
        <v>45818</v>
      </c>
      <c r="D1342" s="11" t="s">
        <v>104</v>
      </c>
      <c r="E1342" s="11" t="s">
        <v>25</v>
      </c>
      <c r="F1342" s="11" t="s">
        <v>40</v>
      </c>
      <c r="G1342" s="11" t="s">
        <v>37</v>
      </c>
      <c r="H1342" s="11" t="s">
        <v>413</v>
      </c>
      <c r="I1342" s="12">
        <v>27.5</v>
      </c>
      <c r="J1342" s="13"/>
      <c r="K1342" s="13">
        <f t="shared" si="75"/>
        <v>27.5</v>
      </c>
      <c r="L1342" s="11" t="s">
        <v>29</v>
      </c>
      <c r="M1342" s="14"/>
      <c r="N1342" s="11" t="s">
        <v>105</v>
      </c>
      <c r="O1342" s="10" t="str">
        <f t="shared" si="64"/>
        <v>06/2025</v>
      </c>
      <c r="P1342" s="10" t="str">
        <f t="shared" si="29"/>
        <v>06/2025</v>
      </c>
      <c r="Q1342" s="15" t="str">
        <f t="array" ref="Q1342">IFERROR(XLOOKUP(N1342,'Classificação'!A:A,'Classificação'!B:B),"")</f>
        <v>DESPESAS ADMINISTRATIVAS</v>
      </c>
      <c r="R1342" s="15" t="str">
        <f t="array" ref="R1342">IFERROR(XLOOKUP(Q1342,'Classificação'!B:B,'Classificação'!C:C),"")</f>
        <v>DESPESAS FIXAS (-)</v>
      </c>
      <c r="S1342" s="15">
        <f t="shared" si="65"/>
        <v>10</v>
      </c>
      <c r="T1342" s="15">
        <f t="shared" si="6"/>
        <v>6</v>
      </c>
      <c r="U1342" s="15">
        <f t="shared" si="7"/>
        <v>2025</v>
      </c>
      <c r="V1342" s="15">
        <f t="shared" si="8"/>
        <v>10</v>
      </c>
      <c r="W1342" s="15">
        <f t="shared" si="9"/>
        <v>6</v>
      </c>
      <c r="X1342" s="15">
        <f t="shared" si="10"/>
        <v>2025</v>
      </c>
    </row>
    <row r="1343">
      <c r="A1343" s="9">
        <v>45818.0</v>
      </c>
      <c r="B1343" s="10"/>
      <c r="C1343" s="9">
        <f t="shared" si="63"/>
        <v>45818</v>
      </c>
      <c r="D1343" s="11" t="s">
        <v>44</v>
      </c>
      <c r="E1343" s="11" t="s">
        <v>25</v>
      </c>
      <c r="F1343" s="11" t="s">
        <v>45</v>
      </c>
      <c r="G1343" s="11" t="s">
        <v>27</v>
      </c>
      <c r="H1343" s="11" t="s">
        <v>52</v>
      </c>
      <c r="I1343" s="12">
        <v>480.32</v>
      </c>
      <c r="J1343" s="13"/>
      <c r="K1343" s="13">
        <f t="shared" si="75"/>
        <v>480.32</v>
      </c>
      <c r="L1343" s="11" t="s">
        <v>53</v>
      </c>
      <c r="M1343" s="16" t="s">
        <v>789</v>
      </c>
      <c r="N1343" s="11" t="s">
        <v>55</v>
      </c>
      <c r="O1343" s="10" t="str">
        <f t="shared" si="64"/>
        <v>06/2025</v>
      </c>
      <c r="P1343" s="10" t="str">
        <f t="shared" si="29"/>
        <v>06/2025</v>
      </c>
      <c r="Q1343" s="15" t="str">
        <f t="array" ref="Q1343">IFERROR(XLOOKUP(N1343,'Classificação'!A:A,'Classificação'!B:B),"")</f>
        <v>DESPESAS NÃO OPERACIONAIS</v>
      </c>
      <c r="R1343" s="15" t="str">
        <f t="array" ref="R1343">IFERROR(XLOOKUP(Q1343,'Classificação'!B:B,'Classificação'!C:C),"")</f>
        <v>RESULTADO NÃO OPERACIONAL (+/-)</v>
      </c>
      <c r="S1343" s="15">
        <f t="shared" si="65"/>
        <v>10</v>
      </c>
      <c r="T1343" s="15">
        <f t="shared" si="6"/>
        <v>6</v>
      </c>
      <c r="U1343" s="15">
        <f t="shared" si="7"/>
        <v>2025</v>
      </c>
      <c r="V1343" s="15">
        <f t="shared" si="8"/>
        <v>10</v>
      </c>
      <c r="W1343" s="15">
        <f t="shared" si="9"/>
        <v>6</v>
      </c>
      <c r="X1343" s="15">
        <f t="shared" si="10"/>
        <v>2025</v>
      </c>
    </row>
    <row r="1344">
      <c r="A1344" s="26">
        <v>45819.0</v>
      </c>
      <c r="B1344" s="9">
        <v>45755.0</v>
      </c>
      <c r="C1344" s="9">
        <f t="shared" si="63"/>
        <v>45819</v>
      </c>
      <c r="D1344" s="11" t="s">
        <v>86</v>
      </c>
      <c r="E1344" s="11" t="s">
        <v>25</v>
      </c>
      <c r="F1344" s="11" t="s">
        <v>87</v>
      </c>
      <c r="G1344" s="11" t="s">
        <v>27</v>
      </c>
      <c r="H1344" s="11" t="s">
        <v>790</v>
      </c>
      <c r="I1344" s="12">
        <v>3900.0</v>
      </c>
      <c r="J1344" s="13"/>
      <c r="K1344" s="13">
        <f t="shared" si="75"/>
        <v>3900</v>
      </c>
      <c r="L1344" s="11" t="s">
        <v>53</v>
      </c>
      <c r="M1344" s="17">
        <v>45748.0</v>
      </c>
      <c r="N1344" s="11" t="s">
        <v>35</v>
      </c>
      <c r="O1344" s="10" t="str">
        <f t="shared" si="64"/>
        <v>06/2025</v>
      </c>
      <c r="P1344" s="10" t="str">
        <f t="shared" si="29"/>
        <v>06/2025</v>
      </c>
      <c r="Q1344" s="15" t="str">
        <f t="array" ref="Q1344">IFERROR(XLOOKUP(N1344,'Classificação'!A:A,'Classificação'!B:B),"")</f>
        <v>COMPRA DE MERCADORIA</v>
      </c>
      <c r="R1344" s="15" t="str">
        <f t="array" ref="R1344">IFERROR(XLOOKUP(Q1344,'Classificação'!B:B,'Classificação'!C:C),"")</f>
        <v>CUSTOS VARIÁVEIS</v>
      </c>
      <c r="S1344" s="15">
        <f t="shared" si="65"/>
        <v>11</v>
      </c>
      <c r="T1344" s="15">
        <f t="shared" si="6"/>
        <v>6</v>
      </c>
      <c r="U1344" s="15">
        <f t="shared" si="7"/>
        <v>2025</v>
      </c>
      <c r="V1344" s="15">
        <f t="shared" si="8"/>
        <v>11</v>
      </c>
      <c r="W1344" s="15">
        <f t="shared" si="9"/>
        <v>6</v>
      </c>
      <c r="X1344" s="15">
        <f t="shared" si="10"/>
        <v>2025</v>
      </c>
    </row>
    <row r="1345">
      <c r="A1345" s="9">
        <v>45819.0</v>
      </c>
      <c r="B1345" s="10"/>
      <c r="C1345" s="9">
        <f t="shared" si="63"/>
        <v>45819</v>
      </c>
      <c r="D1345" s="11" t="s">
        <v>65</v>
      </c>
      <c r="E1345" s="11" t="s">
        <v>25</v>
      </c>
      <c r="F1345" s="11" t="s">
        <v>45</v>
      </c>
      <c r="G1345" s="11" t="s">
        <v>66</v>
      </c>
      <c r="H1345" s="11" t="s">
        <v>67</v>
      </c>
      <c r="I1345" s="12">
        <v>727.72</v>
      </c>
      <c r="J1345" s="13"/>
      <c r="K1345" s="13">
        <f t="shared" si="75"/>
        <v>727.72</v>
      </c>
      <c r="L1345" s="11" t="s">
        <v>29</v>
      </c>
      <c r="M1345" s="14"/>
      <c r="N1345" s="11" t="s">
        <v>68</v>
      </c>
      <c r="O1345" s="10" t="str">
        <f t="shared" si="64"/>
        <v>06/2025</v>
      </c>
      <c r="P1345" s="10" t="str">
        <f t="shared" si="29"/>
        <v>06/2025</v>
      </c>
      <c r="Q1345" s="15" t="str">
        <f t="array" ref="Q1345">IFERROR(XLOOKUP(N1345,'Classificação'!A:A,'Classificação'!B:B),"")</f>
        <v>FRETE DE VENDAS</v>
      </c>
      <c r="R1345" s="15" t="str">
        <f t="array" ref="R1345">IFERROR(XLOOKUP(Q1345,'Classificação'!B:B,'Classificação'!C:C),"")</f>
        <v>CUSTOS VARIÁVEIS</v>
      </c>
      <c r="S1345" s="15">
        <f t="shared" si="65"/>
        <v>11</v>
      </c>
      <c r="T1345" s="15">
        <f t="shared" si="6"/>
        <v>6</v>
      </c>
      <c r="U1345" s="15">
        <f t="shared" si="7"/>
        <v>2025</v>
      </c>
      <c r="V1345" s="15">
        <f t="shared" si="8"/>
        <v>11</v>
      </c>
      <c r="W1345" s="15">
        <f t="shared" si="9"/>
        <v>6</v>
      </c>
      <c r="X1345" s="15">
        <f t="shared" si="10"/>
        <v>2025</v>
      </c>
    </row>
    <row r="1346">
      <c r="A1346" s="9">
        <v>45820.0</v>
      </c>
      <c r="B1346" s="10"/>
      <c r="C1346" s="9">
        <f t="shared" si="63"/>
        <v>45820</v>
      </c>
      <c r="D1346" s="11" t="s">
        <v>56</v>
      </c>
      <c r="E1346" s="11" t="s">
        <v>25</v>
      </c>
      <c r="F1346" s="11" t="s">
        <v>26</v>
      </c>
      <c r="G1346" s="11" t="s">
        <v>37</v>
      </c>
      <c r="H1346" s="11" t="s">
        <v>57</v>
      </c>
      <c r="I1346" s="12">
        <v>50.0</v>
      </c>
      <c r="J1346" s="13"/>
      <c r="K1346" s="13">
        <f t="shared" si="75"/>
        <v>50</v>
      </c>
      <c r="L1346" s="11" t="s">
        <v>29</v>
      </c>
      <c r="M1346" s="14"/>
      <c r="N1346" s="11" t="s">
        <v>58</v>
      </c>
      <c r="O1346" s="10" t="str">
        <f t="shared" si="64"/>
        <v>06/2025</v>
      </c>
      <c r="P1346" s="10" t="str">
        <f t="shared" si="29"/>
        <v>06/2025</v>
      </c>
      <c r="Q1346" s="15" t="str">
        <f t="array" ref="Q1346">IFERROR(XLOOKUP(N1346,'Classificação'!A:A,'Classificação'!B:B),"")</f>
        <v>DESPESAS ADMINISTRATIVAS</v>
      </c>
      <c r="R1346" s="15" t="str">
        <f t="array" ref="R1346">IFERROR(XLOOKUP(Q1346,'Classificação'!B:B,'Classificação'!C:C),"")</f>
        <v>DESPESAS FIXAS (-)</v>
      </c>
      <c r="S1346" s="15">
        <f t="shared" si="65"/>
        <v>12</v>
      </c>
      <c r="T1346" s="15">
        <f t="shared" si="6"/>
        <v>6</v>
      </c>
      <c r="U1346" s="15">
        <f t="shared" si="7"/>
        <v>2025</v>
      </c>
      <c r="V1346" s="15">
        <f t="shared" si="8"/>
        <v>12</v>
      </c>
      <c r="W1346" s="15">
        <f t="shared" si="9"/>
        <v>6</v>
      </c>
      <c r="X1346" s="15">
        <f t="shared" si="10"/>
        <v>2025</v>
      </c>
    </row>
    <row r="1347">
      <c r="A1347" s="26">
        <v>45821.0</v>
      </c>
      <c r="B1347" s="30"/>
      <c r="C1347" s="27">
        <f t="shared" si="63"/>
        <v>45821</v>
      </c>
      <c r="D1347" s="28" t="s">
        <v>520</v>
      </c>
      <c r="E1347" s="29" t="s">
        <v>25</v>
      </c>
      <c r="F1347" s="28" t="s">
        <v>26</v>
      </c>
      <c r="G1347" s="28" t="s">
        <v>37</v>
      </c>
      <c r="H1347" s="28" t="s">
        <v>730</v>
      </c>
      <c r="I1347" s="37">
        <v>200.0</v>
      </c>
      <c r="J1347" s="13"/>
      <c r="K1347" s="13">
        <f t="shared" si="75"/>
        <v>200</v>
      </c>
      <c r="L1347" s="11" t="s">
        <v>34</v>
      </c>
      <c r="M1347" s="14"/>
      <c r="N1347" s="11" t="s">
        <v>58</v>
      </c>
      <c r="O1347" s="10" t="str">
        <f t="shared" si="64"/>
        <v>06/2025</v>
      </c>
      <c r="P1347" s="10" t="str">
        <f t="shared" si="29"/>
        <v>06/2025</v>
      </c>
      <c r="Q1347" s="15" t="str">
        <f t="array" ref="Q1347">IFERROR(XLOOKUP(N1347,'Classificação'!A:A,'Classificação'!B:B),"")</f>
        <v>DESPESAS ADMINISTRATIVAS</v>
      </c>
      <c r="R1347" s="15" t="str">
        <f t="array" ref="R1347">IFERROR(XLOOKUP(Q1347,'Classificação'!B:B,'Classificação'!C:C),"")</f>
        <v>DESPESAS FIXAS (-)</v>
      </c>
      <c r="S1347" s="15">
        <f t="shared" si="65"/>
        <v>13</v>
      </c>
      <c r="T1347" s="15">
        <f t="shared" si="6"/>
        <v>6</v>
      </c>
      <c r="U1347" s="15">
        <f t="shared" si="7"/>
        <v>2025</v>
      </c>
      <c r="V1347" s="15">
        <f t="shared" si="8"/>
        <v>13</v>
      </c>
      <c r="W1347" s="15">
        <f t="shared" si="9"/>
        <v>6</v>
      </c>
      <c r="X1347" s="15">
        <f t="shared" si="10"/>
        <v>2025</v>
      </c>
    </row>
    <row r="1348">
      <c r="A1348" s="9">
        <v>45821.0</v>
      </c>
      <c r="B1348" s="10"/>
      <c r="C1348" s="9">
        <f t="shared" si="63"/>
        <v>45821</v>
      </c>
      <c r="D1348" s="11" t="s">
        <v>79</v>
      </c>
      <c r="E1348" s="11" t="s">
        <v>25</v>
      </c>
      <c r="F1348" s="11" t="s">
        <v>26</v>
      </c>
      <c r="G1348" s="11" t="s">
        <v>37</v>
      </c>
      <c r="I1348" s="12">
        <v>500.0</v>
      </c>
      <c r="J1348" s="13"/>
      <c r="K1348" s="13">
        <f t="shared" si="75"/>
        <v>500</v>
      </c>
      <c r="L1348" s="11" t="s">
        <v>29</v>
      </c>
      <c r="M1348" s="14"/>
      <c r="N1348" s="11" t="s">
        <v>38</v>
      </c>
      <c r="O1348" s="10" t="str">
        <f t="shared" si="64"/>
        <v>06/2025</v>
      </c>
      <c r="P1348" s="10" t="str">
        <f t="shared" si="29"/>
        <v>06/2025</v>
      </c>
      <c r="Q1348" s="15" t="str">
        <f t="array" ref="Q1348">IFERROR(XLOOKUP(N1348,'Classificação'!A:A,'Classificação'!B:B),"")</f>
        <v>DESPESAS COM PESSOAL</v>
      </c>
      <c r="R1348" s="15" t="str">
        <f t="array" ref="R1348">IFERROR(XLOOKUP(Q1348,'Classificação'!B:B,'Classificação'!C:C),"")</f>
        <v>DESPESAS FIXAS (-)</v>
      </c>
      <c r="S1348" s="15">
        <f t="shared" si="65"/>
        <v>13</v>
      </c>
      <c r="T1348" s="15">
        <f t="shared" si="6"/>
        <v>6</v>
      </c>
      <c r="U1348" s="15">
        <f t="shared" si="7"/>
        <v>2025</v>
      </c>
      <c r="V1348" s="15">
        <f t="shared" si="8"/>
        <v>13</v>
      </c>
      <c r="W1348" s="15">
        <f t="shared" si="9"/>
        <v>6</v>
      </c>
      <c r="X1348" s="15">
        <f t="shared" si="10"/>
        <v>2025</v>
      </c>
    </row>
    <row r="1349">
      <c r="A1349" s="9">
        <v>45821.0</v>
      </c>
      <c r="B1349" s="10"/>
      <c r="C1349" s="9">
        <f t="shared" si="63"/>
        <v>45821</v>
      </c>
      <c r="D1349" s="11" t="s">
        <v>80</v>
      </c>
      <c r="E1349" s="11" t="s">
        <v>25</v>
      </c>
      <c r="F1349" s="11" t="s">
        <v>32</v>
      </c>
      <c r="G1349" s="11" t="s">
        <v>27</v>
      </c>
      <c r="I1349" s="12">
        <v>780.0</v>
      </c>
      <c r="J1349" s="13"/>
      <c r="K1349" s="13">
        <f t="shared" si="75"/>
        <v>780</v>
      </c>
      <c r="L1349" s="11" t="s">
        <v>29</v>
      </c>
      <c r="M1349" s="14"/>
      <c r="N1349" s="11" t="s">
        <v>75</v>
      </c>
      <c r="O1349" s="10" t="str">
        <f t="shared" si="64"/>
        <v>06/2025</v>
      </c>
      <c r="P1349" s="10" t="str">
        <f t="shared" si="29"/>
        <v>06/2025</v>
      </c>
      <c r="Q1349" s="15" t="str">
        <f t="array" ref="Q1349">IFERROR(XLOOKUP(N1349,'Classificação'!A:A,'Classificação'!B:B),"")</f>
        <v>DESPESAS COM PESSOAL</v>
      </c>
      <c r="R1349" s="15" t="str">
        <f t="array" ref="R1349">IFERROR(XLOOKUP(Q1349,'Classificação'!B:B,'Classificação'!C:C),"")</f>
        <v>DESPESAS FIXAS (-)</v>
      </c>
      <c r="S1349" s="15">
        <f t="shared" si="65"/>
        <v>13</v>
      </c>
      <c r="T1349" s="15">
        <f t="shared" si="6"/>
        <v>6</v>
      </c>
      <c r="U1349" s="15">
        <f t="shared" si="7"/>
        <v>2025</v>
      </c>
      <c r="V1349" s="15">
        <f t="shared" si="8"/>
        <v>13</v>
      </c>
      <c r="W1349" s="15">
        <f t="shared" si="9"/>
        <v>6</v>
      </c>
      <c r="X1349" s="15">
        <f t="shared" si="10"/>
        <v>2025</v>
      </c>
    </row>
    <row r="1350">
      <c r="A1350" s="9">
        <v>45821.0</v>
      </c>
      <c r="B1350" s="9">
        <v>45680.0</v>
      </c>
      <c r="C1350" s="9">
        <f t="shared" si="63"/>
        <v>45821</v>
      </c>
      <c r="D1350" s="11" t="s">
        <v>544</v>
      </c>
      <c r="E1350" s="11" t="s">
        <v>25</v>
      </c>
      <c r="F1350" s="11" t="s">
        <v>26</v>
      </c>
      <c r="G1350" s="11" t="s">
        <v>37</v>
      </c>
      <c r="H1350" s="11" t="s">
        <v>545</v>
      </c>
      <c r="I1350" s="12">
        <v>706.46</v>
      </c>
      <c r="J1350" s="13"/>
      <c r="K1350" s="13">
        <f t="shared" si="75"/>
        <v>706.46</v>
      </c>
      <c r="L1350" s="11" t="s">
        <v>53</v>
      </c>
      <c r="M1350" s="17">
        <v>45996.0</v>
      </c>
      <c r="N1350" s="11" t="s">
        <v>95</v>
      </c>
      <c r="O1350" s="10" t="str">
        <f t="shared" si="64"/>
        <v>06/2025</v>
      </c>
      <c r="P1350" s="10" t="str">
        <f t="shared" si="29"/>
        <v>06/2025</v>
      </c>
      <c r="Q1350" s="15" t="str">
        <f t="array" ref="Q1350">IFERROR(XLOOKUP(N1350,'Classificação'!A:A,'Classificação'!B:B),"")</f>
        <v>DESPESAS NÃO OPERACIONAIS</v>
      </c>
      <c r="R1350" s="15" t="str">
        <f t="array" ref="R1350">IFERROR(XLOOKUP(Q1350,'Classificação'!B:B,'Classificação'!C:C),"")</f>
        <v>RESULTADO NÃO OPERACIONAL (+/-)</v>
      </c>
      <c r="S1350" s="15">
        <f t="shared" si="65"/>
        <v>13</v>
      </c>
      <c r="T1350" s="15">
        <f t="shared" si="6"/>
        <v>6</v>
      </c>
      <c r="U1350" s="15">
        <f t="shared" si="7"/>
        <v>2025</v>
      </c>
      <c r="V1350" s="15">
        <f t="shared" si="8"/>
        <v>13</v>
      </c>
      <c r="W1350" s="15">
        <f t="shared" si="9"/>
        <v>6</v>
      </c>
      <c r="X1350" s="15">
        <f t="shared" si="10"/>
        <v>2025</v>
      </c>
    </row>
    <row r="1351">
      <c r="A1351" s="9">
        <v>45824.0</v>
      </c>
      <c r="B1351" s="10"/>
      <c r="C1351" s="9">
        <f t="shared" si="63"/>
        <v>45824</v>
      </c>
      <c r="D1351" s="11" t="s">
        <v>44</v>
      </c>
      <c r="E1351" s="11" t="s">
        <v>25</v>
      </c>
      <c r="F1351" s="11" t="s">
        <v>45</v>
      </c>
      <c r="G1351" s="11" t="s">
        <v>27</v>
      </c>
      <c r="H1351" s="11" t="s">
        <v>476</v>
      </c>
      <c r="I1351" s="12">
        <v>5730.78</v>
      </c>
      <c r="J1351" s="13"/>
      <c r="K1351" s="13">
        <f t="shared" si="75"/>
        <v>5730.78</v>
      </c>
      <c r="L1351" s="11" t="s">
        <v>53</v>
      </c>
      <c r="M1351" s="16" t="s">
        <v>791</v>
      </c>
      <c r="N1351" s="11" t="s">
        <v>73</v>
      </c>
      <c r="O1351" s="10" t="str">
        <f t="shared" si="64"/>
        <v>06/2025</v>
      </c>
      <c r="P1351" s="10" t="str">
        <f t="shared" si="29"/>
        <v>06/2025</v>
      </c>
      <c r="Q1351" s="15" t="str">
        <f t="array" ref="Q1351">IFERROR(XLOOKUP(N1351,'Classificação'!A:A,'Classificação'!B:B),"")</f>
        <v>DESPESAS NÃO OPERACIONAIS</v>
      </c>
      <c r="R1351" s="15" t="str">
        <f t="array" ref="R1351">IFERROR(XLOOKUP(Q1351,'Classificação'!B:B,'Classificação'!C:C),"")</f>
        <v>RESULTADO NÃO OPERACIONAL (+/-)</v>
      </c>
      <c r="S1351" s="15">
        <f t="shared" si="65"/>
        <v>16</v>
      </c>
      <c r="T1351" s="15">
        <f t="shared" si="6"/>
        <v>6</v>
      </c>
      <c r="U1351" s="15">
        <f t="shared" si="7"/>
        <v>2025</v>
      </c>
      <c r="V1351" s="15">
        <f t="shared" si="8"/>
        <v>16</v>
      </c>
      <c r="W1351" s="15">
        <f t="shared" si="9"/>
        <v>6</v>
      </c>
      <c r="X1351" s="15">
        <f t="shared" si="10"/>
        <v>2025</v>
      </c>
    </row>
    <row r="1352">
      <c r="A1352" s="26">
        <v>45824.0</v>
      </c>
      <c r="B1352" s="30"/>
      <c r="C1352" s="27">
        <f t="shared" si="63"/>
        <v>45824</v>
      </c>
      <c r="D1352" s="28" t="s">
        <v>36</v>
      </c>
      <c r="E1352" s="29" t="s">
        <v>25</v>
      </c>
      <c r="F1352" s="28" t="s">
        <v>32</v>
      </c>
      <c r="G1352" s="29" t="s">
        <v>27</v>
      </c>
      <c r="H1352" s="28"/>
      <c r="I1352" s="24">
        <v>1750.0</v>
      </c>
      <c r="J1352" s="34"/>
      <c r="K1352" s="37">
        <f t="shared" ref="K1352:K1353" si="76">IF(E1352="pago",(I1352-J1352),"")</f>
        <v>1750</v>
      </c>
      <c r="L1352" s="28" t="s">
        <v>29</v>
      </c>
      <c r="M1352" s="28"/>
      <c r="N1352" s="28" t="s">
        <v>38</v>
      </c>
      <c r="O1352" s="10" t="str">
        <f t="shared" si="64"/>
        <v>06/2025</v>
      </c>
      <c r="P1352" s="10" t="str">
        <f t="shared" si="29"/>
        <v>06/2025</v>
      </c>
      <c r="Q1352" s="15" t="str">
        <f t="array" ref="Q1352">IFERROR(XLOOKUP(N1352,'Classificação'!A:A,'Classificação'!B:B),"")</f>
        <v>DESPESAS COM PESSOAL</v>
      </c>
      <c r="R1352" s="15" t="str">
        <f t="array" ref="R1352">IFERROR(XLOOKUP(Q1352,'Classificação'!B:B,'Classificação'!C:C),"")</f>
        <v>DESPESAS FIXAS (-)</v>
      </c>
      <c r="S1352" s="15">
        <f t="shared" si="65"/>
        <v>16</v>
      </c>
      <c r="T1352" s="15">
        <f t="shared" si="6"/>
        <v>6</v>
      </c>
      <c r="U1352" s="15">
        <f t="shared" si="7"/>
        <v>2025</v>
      </c>
      <c r="V1352" s="15">
        <f t="shared" si="8"/>
        <v>16</v>
      </c>
      <c r="W1352" s="15">
        <f t="shared" si="9"/>
        <v>6</v>
      </c>
      <c r="X1352" s="15">
        <f t="shared" si="10"/>
        <v>2025</v>
      </c>
    </row>
    <row r="1353">
      <c r="A1353" s="26">
        <v>45824.0</v>
      </c>
      <c r="B1353" s="30"/>
      <c r="C1353" s="27">
        <f t="shared" si="63"/>
        <v>45824</v>
      </c>
      <c r="D1353" s="28" t="s">
        <v>43</v>
      </c>
      <c r="E1353" s="29" t="s">
        <v>25</v>
      </c>
      <c r="F1353" s="28" t="s">
        <v>32</v>
      </c>
      <c r="G1353" s="29" t="s">
        <v>27</v>
      </c>
      <c r="H1353" s="28"/>
      <c r="I1353" s="24">
        <v>1751.0</v>
      </c>
      <c r="J1353" s="34"/>
      <c r="K1353" s="37">
        <f t="shared" si="76"/>
        <v>1751</v>
      </c>
      <c r="L1353" s="28" t="s">
        <v>29</v>
      </c>
      <c r="M1353" s="28"/>
      <c r="N1353" s="28" t="s">
        <v>38</v>
      </c>
      <c r="O1353" s="10" t="str">
        <f t="shared" si="64"/>
        <v>06/2025</v>
      </c>
      <c r="P1353" s="10" t="str">
        <f t="shared" si="29"/>
        <v>06/2025</v>
      </c>
      <c r="Q1353" s="15" t="str">
        <f t="array" ref="Q1353">IFERROR(XLOOKUP(N1353,'Classificação'!A:A,'Classificação'!B:B),"")</f>
        <v>DESPESAS COM PESSOAL</v>
      </c>
      <c r="R1353" s="15" t="str">
        <f t="array" ref="R1353">IFERROR(XLOOKUP(Q1353,'Classificação'!B:B,'Classificação'!C:C),"")</f>
        <v>DESPESAS FIXAS (-)</v>
      </c>
      <c r="S1353" s="15">
        <f t="shared" si="65"/>
        <v>16</v>
      </c>
      <c r="T1353" s="15">
        <f t="shared" si="6"/>
        <v>6</v>
      </c>
      <c r="U1353" s="15">
        <f t="shared" si="7"/>
        <v>2025</v>
      </c>
      <c r="V1353" s="15">
        <f t="shared" si="8"/>
        <v>16</v>
      </c>
      <c r="W1353" s="15">
        <f t="shared" si="9"/>
        <v>6</v>
      </c>
      <c r="X1353" s="15">
        <f t="shared" si="10"/>
        <v>2025</v>
      </c>
    </row>
    <row r="1354">
      <c r="A1354" s="9">
        <v>45825.0</v>
      </c>
      <c r="B1354" s="10"/>
      <c r="C1354" s="9">
        <f t="shared" si="63"/>
        <v>45825</v>
      </c>
      <c r="D1354" s="11" t="s">
        <v>90</v>
      </c>
      <c r="E1354" s="11" t="s">
        <v>25</v>
      </c>
      <c r="F1354" s="11" t="s">
        <v>40</v>
      </c>
      <c r="G1354" s="11" t="s">
        <v>27</v>
      </c>
      <c r="H1354" s="11" t="s">
        <v>367</v>
      </c>
      <c r="I1354" s="12">
        <v>335.98</v>
      </c>
      <c r="J1354" s="13"/>
      <c r="K1354" s="13">
        <f t="shared" ref="K1354:K1471" si="77">if(E1354="pago",(I1354-J1354),"")</f>
        <v>335.98</v>
      </c>
      <c r="L1354" s="11" t="s">
        <v>29</v>
      </c>
      <c r="M1354" s="14"/>
      <c r="N1354" s="11" t="s">
        <v>92</v>
      </c>
      <c r="O1354" s="10" t="str">
        <f t="shared" si="64"/>
        <v>06/2025</v>
      </c>
      <c r="P1354" s="10" t="str">
        <f t="shared" si="29"/>
        <v>06/2025</v>
      </c>
      <c r="Q1354" s="15" t="str">
        <f t="array" ref="Q1354">IFERROR(XLOOKUP(N1354,'Classificação'!A:A,'Classificação'!B:B),"")</f>
        <v>DESPESAS COM OCUPAÇÃO</v>
      </c>
      <c r="R1354" s="15" t="str">
        <f t="array" ref="R1354">IFERROR(XLOOKUP(Q1354,'Classificação'!B:B,'Classificação'!C:C),"")</f>
        <v>DESPESAS FIXAS (-)</v>
      </c>
      <c r="S1354" s="15">
        <f t="shared" si="65"/>
        <v>17</v>
      </c>
      <c r="T1354" s="15">
        <f t="shared" si="6"/>
        <v>6</v>
      </c>
      <c r="U1354" s="15">
        <f t="shared" si="7"/>
        <v>2025</v>
      </c>
      <c r="V1354" s="15">
        <f t="shared" si="8"/>
        <v>17</v>
      </c>
      <c r="W1354" s="15">
        <f t="shared" si="9"/>
        <v>6</v>
      </c>
      <c r="X1354" s="15">
        <f t="shared" si="10"/>
        <v>2025</v>
      </c>
    </row>
    <row r="1355">
      <c r="A1355" s="26">
        <v>45825.0</v>
      </c>
      <c r="B1355" s="30"/>
      <c r="C1355" s="27">
        <f t="shared" si="63"/>
        <v>45825</v>
      </c>
      <c r="D1355" s="28" t="s">
        <v>520</v>
      </c>
      <c r="E1355" s="29" t="s">
        <v>25</v>
      </c>
      <c r="F1355" s="28" t="s">
        <v>26</v>
      </c>
      <c r="G1355" s="28" t="s">
        <v>37</v>
      </c>
      <c r="H1355" s="28" t="s">
        <v>730</v>
      </c>
      <c r="I1355" s="24">
        <v>100.0</v>
      </c>
      <c r="J1355" s="13"/>
      <c r="K1355" s="13">
        <f t="shared" si="77"/>
        <v>100</v>
      </c>
      <c r="L1355" s="11" t="s">
        <v>29</v>
      </c>
      <c r="M1355" s="14"/>
      <c r="N1355" s="11" t="s">
        <v>58</v>
      </c>
      <c r="O1355" s="10" t="str">
        <f t="shared" si="64"/>
        <v>06/2025</v>
      </c>
      <c r="P1355" s="10" t="str">
        <f t="shared" si="29"/>
        <v>06/2025</v>
      </c>
      <c r="Q1355" s="15" t="str">
        <f t="array" ref="Q1355">IFERROR(XLOOKUP(N1355,'Classificação'!A:A,'Classificação'!B:B),"")</f>
        <v>DESPESAS ADMINISTRATIVAS</v>
      </c>
      <c r="R1355" s="15" t="str">
        <f t="array" ref="R1355">IFERROR(XLOOKUP(Q1355,'Classificação'!B:B,'Classificação'!C:C),"")</f>
        <v>DESPESAS FIXAS (-)</v>
      </c>
      <c r="S1355" s="15">
        <f t="shared" si="65"/>
        <v>17</v>
      </c>
      <c r="T1355" s="15">
        <f t="shared" si="6"/>
        <v>6</v>
      </c>
      <c r="U1355" s="15">
        <f t="shared" si="7"/>
        <v>2025</v>
      </c>
      <c r="V1355" s="15">
        <f t="shared" si="8"/>
        <v>17</v>
      </c>
      <c r="W1355" s="15">
        <f t="shared" si="9"/>
        <v>6</v>
      </c>
      <c r="X1355" s="15">
        <f t="shared" si="10"/>
        <v>2025</v>
      </c>
    </row>
    <row r="1356">
      <c r="A1356" s="9">
        <v>45825.0</v>
      </c>
      <c r="B1356" s="10"/>
      <c r="C1356" s="9">
        <f t="shared" si="63"/>
        <v>45825</v>
      </c>
      <c r="D1356" s="11" t="s">
        <v>44</v>
      </c>
      <c r="E1356" s="11" t="s">
        <v>25</v>
      </c>
      <c r="F1356" s="11" t="s">
        <v>45</v>
      </c>
      <c r="G1356" s="11" t="s">
        <v>27</v>
      </c>
      <c r="H1356" s="11" t="s">
        <v>792</v>
      </c>
      <c r="I1356" s="12">
        <v>40.02</v>
      </c>
      <c r="J1356" s="13"/>
      <c r="K1356" s="13">
        <f t="shared" si="77"/>
        <v>40.02</v>
      </c>
      <c r="L1356" s="11" t="s">
        <v>34</v>
      </c>
      <c r="M1356" s="14"/>
      <c r="N1356" s="11" t="s">
        <v>574</v>
      </c>
      <c r="O1356" s="10" t="str">
        <f t="shared" si="64"/>
        <v>06/2025</v>
      </c>
      <c r="P1356" s="10" t="str">
        <f t="shared" si="29"/>
        <v>06/2025</v>
      </c>
      <c r="Q1356" s="15" t="str">
        <f t="array" ref="Q1356">IFERROR(XLOOKUP(N1356,'Classificação'!A:A,'Classificação'!B:B),"")</f>
        <v>TARIFAS FINANCEIRAS DIVERSAS</v>
      </c>
      <c r="R1356" s="15" t="str">
        <f t="array" ref="R1356">IFERROR(XLOOKUP(Q1356,'Classificação'!B:B,'Classificação'!C:C),"")</f>
        <v>(+/-) RESULTADO FINANCEIRO LÍQUIDO</v>
      </c>
      <c r="S1356" s="15">
        <f t="shared" si="65"/>
        <v>17</v>
      </c>
      <c r="T1356" s="15">
        <f t="shared" si="6"/>
        <v>6</v>
      </c>
      <c r="U1356" s="15">
        <f t="shared" si="7"/>
        <v>2025</v>
      </c>
      <c r="V1356" s="15">
        <f t="shared" si="8"/>
        <v>17</v>
      </c>
      <c r="W1356" s="15">
        <f t="shared" si="9"/>
        <v>6</v>
      </c>
      <c r="X1356" s="15">
        <f t="shared" si="10"/>
        <v>2025</v>
      </c>
    </row>
    <row r="1357">
      <c r="A1357" s="9">
        <v>45825.0</v>
      </c>
      <c r="B1357" s="10"/>
      <c r="C1357" s="9">
        <f t="shared" si="63"/>
        <v>45825</v>
      </c>
      <c r="D1357" s="11" t="s">
        <v>44</v>
      </c>
      <c r="E1357" s="11" t="s">
        <v>25</v>
      </c>
      <c r="F1357" s="11" t="s">
        <v>45</v>
      </c>
      <c r="G1357" s="11" t="s">
        <v>27</v>
      </c>
      <c r="H1357" s="11" t="s">
        <v>793</v>
      </c>
      <c r="I1357" s="12">
        <v>487.97</v>
      </c>
      <c r="J1357" s="13"/>
      <c r="K1357" s="13">
        <f t="shared" si="77"/>
        <v>487.97</v>
      </c>
      <c r="L1357" s="11" t="s">
        <v>34</v>
      </c>
      <c r="M1357" s="14"/>
      <c r="N1357" s="11" t="s">
        <v>574</v>
      </c>
      <c r="O1357" s="10" t="str">
        <f t="shared" si="64"/>
        <v>06/2025</v>
      </c>
      <c r="P1357" s="10" t="str">
        <f t="shared" si="29"/>
        <v>06/2025</v>
      </c>
      <c r="Q1357" s="15" t="str">
        <f t="array" ref="Q1357">IFERROR(XLOOKUP(N1357,'Classificação'!A:A,'Classificação'!B:B),"")</f>
        <v>TARIFAS FINANCEIRAS DIVERSAS</v>
      </c>
      <c r="R1357" s="15" t="str">
        <f t="array" ref="R1357">IFERROR(XLOOKUP(Q1357,'Classificação'!B:B,'Classificação'!C:C),"")</f>
        <v>(+/-) RESULTADO FINANCEIRO LÍQUIDO</v>
      </c>
      <c r="S1357" s="15">
        <f t="shared" si="65"/>
        <v>17</v>
      </c>
      <c r="T1357" s="15">
        <f t="shared" si="6"/>
        <v>6</v>
      </c>
      <c r="U1357" s="15">
        <f t="shared" si="7"/>
        <v>2025</v>
      </c>
      <c r="V1357" s="15">
        <f t="shared" si="8"/>
        <v>17</v>
      </c>
      <c r="W1357" s="15">
        <f t="shared" si="9"/>
        <v>6</v>
      </c>
      <c r="X1357" s="15">
        <f t="shared" si="10"/>
        <v>2025</v>
      </c>
    </row>
    <row r="1358">
      <c r="A1358" s="9">
        <v>45826.0</v>
      </c>
      <c r="B1358" s="10"/>
      <c r="C1358" s="9">
        <f t="shared" si="63"/>
        <v>45826</v>
      </c>
      <c r="D1358" s="11" t="s">
        <v>44</v>
      </c>
      <c r="E1358" s="11" t="s">
        <v>25</v>
      </c>
      <c r="F1358" s="11" t="s">
        <v>45</v>
      </c>
      <c r="G1358" s="11" t="s">
        <v>27</v>
      </c>
      <c r="H1358" s="11" t="s">
        <v>703</v>
      </c>
      <c r="I1358" s="12">
        <v>3303.89</v>
      </c>
      <c r="J1358" s="13"/>
      <c r="K1358" s="13">
        <f t="shared" si="77"/>
        <v>3303.89</v>
      </c>
      <c r="L1358" s="11" t="s">
        <v>53</v>
      </c>
      <c r="M1358" s="16" t="s">
        <v>794</v>
      </c>
      <c r="N1358" s="11" t="s">
        <v>73</v>
      </c>
      <c r="O1358" s="10" t="str">
        <f t="shared" si="64"/>
        <v>06/2025</v>
      </c>
      <c r="P1358" s="10" t="str">
        <f t="shared" si="29"/>
        <v>06/2025</v>
      </c>
      <c r="Q1358" s="15" t="str">
        <f t="array" ref="Q1358">IFERROR(XLOOKUP(N1358,'Classificação'!A:A,'Classificação'!B:B),"")</f>
        <v>DESPESAS NÃO OPERACIONAIS</v>
      </c>
      <c r="R1358" s="15" t="str">
        <f t="array" ref="R1358">IFERROR(XLOOKUP(Q1358,'Classificação'!B:B,'Classificação'!C:C),"")</f>
        <v>RESULTADO NÃO OPERACIONAL (+/-)</v>
      </c>
      <c r="S1358" s="15">
        <f t="shared" si="65"/>
        <v>18</v>
      </c>
      <c r="T1358" s="15">
        <f t="shared" si="6"/>
        <v>6</v>
      </c>
      <c r="U1358" s="15">
        <f t="shared" si="7"/>
        <v>2025</v>
      </c>
      <c r="V1358" s="15">
        <f t="shared" si="8"/>
        <v>18</v>
      </c>
      <c r="W1358" s="15">
        <f t="shared" si="9"/>
        <v>6</v>
      </c>
      <c r="X1358" s="15">
        <f t="shared" si="10"/>
        <v>2025</v>
      </c>
    </row>
    <row r="1359">
      <c r="A1359" s="9">
        <v>45826.0</v>
      </c>
      <c r="B1359" s="10"/>
      <c r="C1359" s="9">
        <f t="shared" si="63"/>
        <v>45826</v>
      </c>
      <c r="D1359" s="11" t="s">
        <v>65</v>
      </c>
      <c r="E1359" s="11" t="s">
        <v>25</v>
      </c>
      <c r="F1359" s="11" t="s">
        <v>45</v>
      </c>
      <c r="G1359" s="11" t="s">
        <v>37</v>
      </c>
      <c r="H1359" s="11" t="s">
        <v>103</v>
      </c>
      <c r="I1359" s="12">
        <v>794.64</v>
      </c>
      <c r="J1359" s="13"/>
      <c r="K1359" s="13">
        <f t="shared" si="77"/>
        <v>794.64</v>
      </c>
      <c r="L1359" s="11" t="s">
        <v>29</v>
      </c>
      <c r="M1359" s="14"/>
      <c r="N1359" s="11" t="s">
        <v>68</v>
      </c>
      <c r="O1359" s="10" t="str">
        <f t="shared" si="64"/>
        <v>06/2025</v>
      </c>
      <c r="P1359" s="10" t="str">
        <f t="shared" si="29"/>
        <v>06/2025</v>
      </c>
      <c r="Q1359" s="15" t="str">
        <f t="array" ref="Q1359">IFERROR(XLOOKUP(N1359,'Classificação'!A:A,'Classificação'!B:B),"")</f>
        <v>FRETE DE VENDAS</v>
      </c>
      <c r="R1359" s="15" t="str">
        <f t="array" ref="R1359">IFERROR(XLOOKUP(Q1359,'Classificação'!B:B,'Classificação'!C:C),"")</f>
        <v>CUSTOS VARIÁVEIS</v>
      </c>
      <c r="S1359" s="15">
        <f t="shared" si="65"/>
        <v>18</v>
      </c>
      <c r="T1359" s="15">
        <f t="shared" si="6"/>
        <v>6</v>
      </c>
      <c r="U1359" s="15">
        <f t="shared" si="7"/>
        <v>2025</v>
      </c>
      <c r="V1359" s="15">
        <f t="shared" si="8"/>
        <v>18</v>
      </c>
      <c r="W1359" s="15">
        <f t="shared" si="9"/>
        <v>6</v>
      </c>
      <c r="X1359" s="15">
        <f t="shared" si="10"/>
        <v>2025</v>
      </c>
    </row>
    <row r="1360">
      <c r="A1360" s="9">
        <v>45826.0</v>
      </c>
      <c r="B1360" s="9">
        <v>45707.0</v>
      </c>
      <c r="C1360" s="9">
        <f t="shared" si="63"/>
        <v>45826</v>
      </c>
      <c r="D1360" s="11" t="s">
        <v>86</v>
      </c>
      <c r="E1360" s="11" t="s">
        <v>25</v>
      </c>
      <c r="F1360" s="11" t="s">
        <v>87</v>
      </c>
      <c r="G1360" s="11" t="s">
        <v>27</v>
      </c>
      <c r="H1360" s="11" t="s">
        <v>795</v>
      </c>
      <c r="I1360" s="31">
        <v>1500.0</v>
      </c>
      <c r="J1360" s="13"/>
      <c r="K1360" s="13">
        <f t="shared" si="77"/>
        <v>1500</v>
      </c>
      <c r="L1360" s="11" t="s">
        <v>53</v>
      </c>
      <c r="M1360" s="17">
        <v>45782.0</v>
      </c>
      <c r="N1360" s="11" t="s">
        <v>35</v>
      </c>
      <c r="O1360" s="10" t="str">
        <f t="shared" si="64"/>
        <v>06/2025</v>
      </c>
      <c r="P1360" s="10" t="str">
        <f t="shared" si="29"/>
        <v>06/2025</v>
      </c>
      <c r="Q1360" s="15" t="str">
        <f t="array" ref="Q1360">IFERROR(XLOOKUP(N1360,'Classificação'!A:A,'Classificação'!B:B),"")</f>
        <v>COMPRA DE MERCADORIA</v>
      </c>
      <c r="R1360" s="15" t="str">
        <f t="array" ref="R1360">IFERROR(XLOOKUP(Q1360,'Classificação'!B:B,'Classificação'!C:C),"")</f>
        <v>CUSTOS VARIÁVEIS</v>
      </c>
      <c r="S1360" s="15">
        <f t="shared" si="65"/>
        <v>18</v>
      </c>
      <c r="T1360" s="15">
        <f t="shared" si="6"/>
        <v>6</v>
      </c>
      <c r="U1360" s="15">
        <f t="shared" si="7"/>
        <v>2025</v>
      </c>
      <c r="V1360" s="15">
        <f t="shared" si="8"/>
        <v>18</v>
      </c>
      <c r="W1360" s="15">
        <f t="shared" si="9"/>
        <v>6</v>
      </c>
      <c r="X1360" s="15">
        <f t="shared" si="10"/>
        <v>2025</v>
      </c>
    </row>
    <row r="1361">
      <c r="A1361" s="9">
        <v>45827.0</v>
      </c>
      <c r="B1361" s="10"/>
      <c r="C1361" s="9">
        <f t="shared" si="63"/>
        <v>45827</v>
      </c>
      <c r="D1361" s="11" t="s">
        <v>782</v>
      </c>
      <c r="E1361" s="11" t="s">
        <v>25</v>
      </c>
      <c r="F1361" s="11" t="s">
        <v>26</v>
      </c>
      <c r="G1361" s="11" t="s">
        <v>27</v>
      </c>
      <c r="H1361" s="11" t="s">
        <v>796</v>
      </c>
      <c r="I1361" s="12">
        <v>6000.0</v>
      </c>
      <c r="J1361" s="13"/>
      <c r="K1361" s="13">
        <f t="shared" si="77"/>
        <v>6000</v>
      </c>
      <c r="L1361" s="11" t="s">
        <v>34</v>
      </c>
      <c r="M1361" s="14"/>
      <c r="N1361" s="11" t="s">
        <v>35</v>
      </c>
      <c r="O1361" s="10" t="str">
        <f t="shared" si="64"/>
        <v>06/2025</v>
      </c>
      <c r="P1361" s="10" t="str">
        <f t="shared" si="29"/>
        <v>06/2025</v>
      </c>
      <c r="Q1361" s="15" t="str">
        <f t="array" ref="Q1361">IFERROR(XLOOKUP(N1361,'Classificação'!A:A,'Classificação'!B:B),"")</f>
        <v>COMPRA DE MERCADORIA</v>
      </c>
      <c r="R1361" s="15" t="str">
        <f t="array" ref="R1361">IFERROR(XLOOKUP(Q1361,'Classificação'!B:B,'Classificação'!C:C),"")</f>
        <v>CUSTOS VARIÁVEIS</v>
      </c>
      <c r="S1361" s="15">
        <f t="shared" si="65"/>
        <v>19</v>
      </c>
      <c r="T1361" s="15">
        <f t="shared" si="6"/>
        <v>6</v>
      </c>
      <c r="U1361" s="15">
        <f t="shared" si="7"/>
        <v>2025</v>
      </c>
      <c r="V1361" s="15">
        <f t="shared" si="8"/>
        <v>19</v>
      </c>
      <c r="W1361" s="15">
        <f t="shared" si="9"/>
        <v>6</v>
      </c>
      <c r="X1361" s="15">
        <f t="shared" si="10"/>
        <v>2025</v>
      </c>
    </row>
    <row r="1362">
      <c r="A1362" s="9">
        <v>45827.0</v>
      </c>
      <c r="B1362" s="10"/>
      <c r="C1362" s="9">
        <f t="shared" si="63"/>
        <v>45827</v>
      </c>
      <c r="D1362" s="11" t="s">
        <v>782</v>
      </c>
      <c r="E1362" s="11" t="s">
        <v>25</v>
      </c>
      <c r="F1362" s="11" t="s">
        <v>26</v>
      </c>
      <c r="G1362" s="11" t="s">
        <v>27</v>
      </c>
      <c r="H1362" s="11" t="s">
        <v>797</v>
      </c>
      <c r="I1362" s="12">
        <v>6001.0</v>
      </c>
      <c r="J1362" s="13"/>
      <c r="K1362" s="13">
        <f t="shared" si="77"/>
        <v>6001</v>
      </c>
      <c r="L1362" s="11" t="s">
        <v>34</v>
      </c>
      <c r="M1362" s="14"/>
      <c r="N1362" s="11" t="s">
        <v>35</v>
      </c>
      <c r="O1362" s="10" t="str">
        <f t="shared" si="64"/>
        <v>06/2025</v>
      </c>
      <c r="P1362" s="10" t="str">
        <f t="shared" si="29"/>
        <v>06/2025</v>
      </c>
      <c r="Q1362" s="15" t="str">
        <f t="array" ref="Q1362">IFERROR(XLOOKUP(N1362,'Classificação'!A:A,'Classificação'!B:B),"")</f>
        <v>COMPRA DE MERCADORIA</v>
      </c>
      <c r="R1362" s="15" t="str">
        <f t="array" ref="R1362">IFERROR(XLOOKUP(Q1362,'Classificação'!B:B,'Classificação'!C:C),"")</f>
        <v>CUSTOS VARIÁVEIS</v>
      </c>
      <c r="S1362" s="15">
        <f t="shared" si="65"/>
        <v>19</v>
      </c>
      <c r="T1362" s="15">
        <f t="shared" si="6"/>
        <v>6</v>
      </c>
      <c r="U1362" s="15">
        <f t="shared" si="7"/>
        <v>2025</v>
      </c>
      <c r="V1362" s="15">
        <f t="shared" si="8"/>
        <v>19</v>
      </c>
      <c r="W1362" s="15">
        <f t="shared" si="9"/>
        <v>6</v>
      </c>
      <c r="X1362" s="15">
        <f t="shared" si="10"/>
        <v>2025</v>
      </c>
    </row>
    <row r="1363">
      <c r="A1363" s="9">
        <v>45827.0</v>
      </c>
      <c r="B1363" s="10"/>
      <c r="C1363" s="9">
        <f t="shared" si="63"/>
        <v>45827</v>
      </c>
      <c r="D1363" s="11" t="s">
        <v>798</v>
      </c>
      <c r="E1363" s="11" t="s">
        <v>25</v>
      </c>
      <c r="F1363" s="11" t="s">
        <v>26</v>
      </c>
      <c r="G1363" s="11" t="s">
        <v>27</v>
      </c>
      <c r="H1363" s="11" t="s">
        <v>799</v>
      </c>
      <c r="I1363" s="12">
        <v>2201.0</v>
      </c>
      <c r="J1363" s="13"/>
      <c r="K1363" s="13">
        <f t="shared" si="77"/>
        <v>2201</v>
      </c>
      <c r="L1363" s="11" t="s">
        <v>34</v>
      </c>
      <c r="M1363" s="14"/>
      <c r="N1363" s="11" t="s">
        <v>35</v>
      </c>
      <c r="O1363" s="10" t="str">
        <f t="shared" si="64"/>
        <v>06/2025</v>
      </c>
      <c r="P1363" s="10" t="str">
        <f t="shared" si="29"/>
        <v>06/2025</v>
      </c>
      <c r="Q1363" s="15" t="str">
        <f t="array" ref="Q1363">IFERROR(XLOOKUP(N1363,'Classificação'!A:A,'Classificação'!B:B),"")</f>
        <v>COMPRA DE MERCADORIA</v>
      </c>
      <c r="R1363" s="15" t="str">
        <f t="array" ref="R1363">IFERROR(XLOOKUP(Q1363,'Classificação'!B:B,'Classificação'!C:C),"")</f>
        <v>CUSTOS VARIÁVEIS</v>
      </c>
      <c r="S1363" s="15">
        <f t="shared" si="65"/>
        <v>19</v>
      </c>
      <c r="T1363" s="15">
        <f t="shared" si="6"/>
        <v>6</v>
      </c>
      <c r="U1363" s="15">
        <f t="shared" si="7"/>
        <v>2025</v>
      </c>
      <c r="V1363" s="15">
        <f t="shared" si="8"/>
        <v>19</v>
      </c>
      <c r="W1363" s="15">
        <f t="shared" si="9"/>
        <v>6</v>
      </c>
      <c r="X1363" s="15">
        <f t="shared" si="10"/>
        <v>2025</v>
      </c>
    </row>
    <row r="1364">
      <c r="A1364" s="9">
        <v>45827.0</v>
      </c>
      <c r="B1364" s="10"/>
      <c r="C1364" s="9">
        <f t="shared" si="63"/>
        <v>45827</v>
      </c>
      <c r="D1364" s="11" t="s">
        <v>798</v>
      </c>
      <c r="E1364" s="11" t="s">
        <v>25</v>
      </c>
      <c r="F1364" s="11" t="s">
        <v>26</v>
      </c>
      <c r="G1364" s="11" t="s">
        <v>27</v>
      </c>
      <c r="H1364" s="11" t="s">
        <v>800</v>
      </c>
      <c r="I1364" s="12">
        <v>2200.0</v>
      </c>
      <c r="J1364" s="13"/>
      <c r="K1364" s="13">
        <f t="shared" si="77"/>
        <v>2200</v>
      </c>
      <c r="L1364" s="11" t="s">
        <v>34</v>
      </c>
      <c r="M1364" s="14"/>
      <c r="N1364" s="11" t="s">
        <v>35</v>
      </c>
      <c r="O1364" s="10" t="str">
        <f t="shared" si="64"/>
        <v>06/2025</v>
      </c>
      <c r="P1364" s="10" t="str">
        <f t="shared" si="29"/>
        <v>06/2025</v>
      </c>
      <c r="Q1364" s="15" t="str">
        <f t="array" ref="Q1364">IFERROR(XLOOKUP(N1364,'Classificação'!A:A,'Classificação'!B:B),"")</f>
        <v>COMPRA DE MERCADORIA</v>
      </c>
      <c r="R1364" s="15" t="str">
        <f t="array" ref="R1364">IFERROR(XLOOKUP(Q1364,'Classificação'!B:B,'Classificação'!C:C),"")</f>
        <v>CUSTOS VARIÁVEIS</v>
      </c>
      <c r="S1364" s="15">
        <f t="shared" si="65"/>
        <v>19</v>
      </c>
      <c r="T1364" s="15">
        <f t="shared" si="6"/>
        <v>6</v>
      </c>
      <c r="U1364" s="15">
        <f t="shared" si="7"/>
        <v>2025</v>
      </c>
      <c r="V1364" s="15">
        <f t="shared" si="8"/>
        <v>19</v>
      </c>
      <c r="W1364" s="15">
        <f t="shared" si="9"/>
        <v>6</v>
      </c>
      <c r="X1364" s="15">
        <f t="shared" si="10"/>
        <v>2025</v>
      </c>
    </row>
    <row r="1365">
      <c r="A1365" s="9">
        <v>45827.0</v>
      </c>
      <c r="B1365" s="10"/>
      <c r="C1365" s="9">
        <f t="shared" si="63"/>
        <v>45827</v>
      </c>
      <c r="D1365" s="11" t="s">
        <v>798</v>
      </c>
      <c r="E1365" s="11" t="s">
        <v>25</v>
      </c>
      <c r="F1365" s="11" t="s">
        <v>26</v>
      </c>
      <c r="G1365" s="11" t="s">
        <v>37</v>
      </c>
      <c r="H1365" s="11" t="s">
        <v>799</v>
      </c>
      <c r="I1365" s="12">
        <v>2200.0</v>
      </c>
      <c r="J1365" s="13"/>
      <c r="K1365" s="13">
        <f t="shared" si="77"/>
        <v>2200</v>
      </c>
      <c r="L1365" s="11" t="s">
        <v>34</v>
      </c>
      <c r="M1365" s="14"/>
      <c r="N1365" s="11" t="s">
        <v>35</v>
      </c>
      <c r="O1365" s="10" t="str">
        <f t="shared" si="64"/>
        <v>06/2025</v>
      </c>
      <c r="P1365" s="10" t="str">
        <f t="shared" si="29"/>
        <v>06/2025</v>
      </c>
      <c r="Q1365" s="15" t="str">
        <f t="array" ref="Q1365">IFERROR(XLOOKUP(N1365,'Classificação'!A:A,'Classificação'!B:B),"")</f>
        <v>COMPRA DE MERCADORIA</v>
      </c>
      <c r="R1365" s="15" t="str">
        <f t="array" ref="R1365">IFERROR(XLOOKUP(Q1365,'Classificação'!B:B,'Classificação'!C:C),"")</f>
        <v>CUSTOS VARIÁVEIS</v>
      </c>
      <c r="S1365" s="15">
        <f t="shared" si="65"/>
        <v>19</v>
      </c>
      <c r="T1365" s="15">
        <f t="shared" si="6"/>
        <v>6</v>
      </c>
      <c r="U1365" s="15">
        <f t="shared" si="7"/>
        <v>2025</v>
      </c>
      <c r="V1365" s="15">
        <f t="shared" si="8"/>
        <v>19</v>
      </c>
      <c r="W1365" s="15">
        <f t="shared" si="9"/>
        <v>6</v>
      </c>
      <c r="X1365" s="15">
        <f t="shared" si="10"/>
        <v>2025</v>
      </c>
    </row>
    <row r="1366">
      <c r="A1366" s="9">
        <v>45827.0</v>
      </c>
      <c r="B1366" s="10"/>
      <c r="C1366" s="9">
        <f t="shared" si="63"/>
        <v>45827</v>
      </c>
      <c r="D1366" s="11" t="s">
        <v>798</v>
      </c>
      <c r="E1366" s="11" t="s">
        <v>25</v>
      </c>
      <c r="F1366" s="11" t="s">
        <v>26</v>
      </c>
      <c r="G1366" s="11" t="s">
        <v>37</v>
      </c>
      <c r="H1366" s="11" t="s">
        <v>800</v>
      </c>
      <c r="I1366" s="12">
        <v>2200.0</v>
      </c>
      <c r="J1366" s="13"/>
      <c r="K1366" s="13">
        <f t="shared" si="77"/>
        <v>2200</v>
      </c>
      <c r="L1366" s="11" t="s">
        <v>34</v>
      </c>
      <c r="M1366" s="14"/>
      <c r="N1366" s="11" t="s">
        <v>35</v>
      </c>
      <c r="O1366" s="10" t="str">
        <f t="shared" si="64"/>
        <v>06/2025</v>
      </c>
      <c r="P1366" s="10" t="str">
        <f t="shared" si="29"/>
        <v>06/2025</v>
      </c>
      <c r="Q1366" s="15" t="str">
        <f t="array" ref="Q1366">IFERROR(XLOOKUP(N1366,'Classificação'!A:A,'Classificação'!B:B),"")</f>
        <v>COMPRA DE MERCADORIA</v>
      </c>
      <c r="R1366" s="15" t="str">
        <f t="array" ref="R1366">IFERROR(XLOOKUP(Q1366,'Classificação'!B:B,'Classificação'!C:C),"")</f>
        <v>CUSTOS VARIÁVEIS</v>
      </c>
      <c r="S1366" s="15">
        <f t="shared" si="65"/>
        <v>19</v>
      </c>
      <c r="T1366" s="15">
        <f t="shared" si="6"/>
        <v>6</v>
      </c>
      <c r="U1366" s="15">
        <f t="shared" si="7"/>
        <v>2025</v>
      </c>
      <c r="V1366" s="15">
        <f t="shared" si="8"/>
        <v>19</v>
      </c>
      <c r="W1366" s="15">
        <f t="shared" si="9"/>
        <v>6</v>
      </c>
      <c r="X1366" s="15">
        <f t="shared" si="10"/>
        <v>2025</v>
      </c>
    </row>
    <row r="1367">
      <c r="A1367" s="9">
        <v>45828.0</v>
      </c>
      <c r="B1367" s="9">
        <v>45775.0</v>
      </c>
      <c r="C1367" s="9">
        <f t="shared" si="63"/>
        <v>45828</v>
      </c>
      <c r="D1367" s="11" t="s">
        <v>65</v>
      </c>
      <c r="E1367" s="11" t="s">
        <v>25</v>
      </c>
      <c r="F1367" s="11" t="s">
        <v>107</v>
      </c>
      <c r="G1367" s="11" t="s">
        <v>27</v>
      </c>
      <c r="H1367" s="11" t="s">
        <v>749</v>
      </c>
      <c r="I1367" s="31">
        <v>50.64</v>
      </c>
      <c r="J1367" s="13"/>
      <c r="K1367" s="13">
        <f t="shared" si="77"/>
        <v>50.64</v>
      </c>
      <c r="L1367" s="11" t="s">
        <v>53</v>
      </c>
      <c r="M1367" s="17">
        <v>45810.0</v>
      </c>
      <c r="N1367" s="11" t="s">
        <v>175</v>
      </c>
      <c r="O1367" s="10" t="str">
        <f t="shared" si="64"/>
        <v>06/2025</v>
      </c>
      <c r="P1367" s="10" t="str">
        <f t="shared" si="29"/>
        <v>06/2025</v>
      </c>
      <c r="Q1367" s="15" t="str">
        <f t="array" ref="Q1367">IFERROR(XLOOKUP(N1367,'Classificação'!A:A,'Classificação'!B:B),"")</f>
        <v>DESPESAS COM VEICULOS</v>
      </c>
      <c r="R1367" s="15" t="str">
        <f t="array" ref="R1367">IFERROR(XLOOKUP(Q1367,'Classificação'!B:B,'Classificação'!C:C),"")</f>
        <v>DESPESAS FIXAS (-)</v>
      </c>
      <c r="S1367" s="15">
        <f t="shared" si="65"/>
        <v>20</v>
      </c>
      <c r="T1367" s="15">
        <f t="shared" si="6"/>
        <v>6</v>
      </c>
      <c r="U1367" s="15">
        <f t="shared" si="7"/>
        <v>2025</v>
      </c>
      <c r="V1367" s="15">
        <f t="shared" si="8"/>
        <v>20</v>
      </c>
      <c r="W1367" s="15">
        <f t="shared" si="9"/>
        <v>6</v>
      </c>
      <c r="X1367" s="15">
        <f t="shared" si="10"/>
        <v>2025</v>
      </c>
    </row>
    <row r="1368">
      <c r="A1368" s="9">
        <v>45828.0</v>
      </c>
      <c r="B1368" s="10"/>
      <c r="C1368" s="9">
        <f t="shared" si="63"/>
        <v>45828</v>
      </c>
      <c r="D1368" s="11" t="s">
        <v>104</v>
      </c>
      <c r="E1368" s="11" t="s">
        <v>25</v>
      </c>
      <c r="F1368" s="11" t="s">
        <v>40</v>
      </c>
      <c r="G1368" s="11" t="s">
        <v>27</v>
      </c>
      <c r="I1368" s="12">
        <v>450.0</v>
      </c>
      <c r="J1368" s="13"/>
      <c r="K1368" s="13">
        <f t="shared" si="77"/>
        <v>450</v>
      </c>
      <c r="L1368" s="11" t="s">
        <v>29</v>
      </c>
      <c r="M1368" s="14"/>
      <c r="N1368" s="11" t="s">
        <v>105</v>
      </c>
      <c r="O1368" s="10" t="str">
        <f t="shared" si="64"/>
        <v>06/2025</v>
      </c>
      <c r="P1368" s="10" t="str">
        <f t="shared" si="29"/>
        <v>06/2025</v>
      </c>
      <c r="Q1368" s="15" t="str">
        <f t="array" ref="Q1368">IFERROR(XLOOKUP(N1368,'Classificação'!A:A,'Classificação'!B:B),"")</f>
        <v>DESPESAS ADMINISTRATIVAS</v>
      </c>
      <c r="R1368" s="15" t="str">
        <f t="array" ref="R1368">IFERROR(XLOOKUP(Q1368,'Classificação'!B:B,'Classificação'!C:C),"")</f>
        <v>DESPESAS FIXAS (-)</v>
      </c>
      <c r="S1368" s="15">
        <f t="shared" si="65"/>
        <v>20</v>
      </c>
      <c r="T1368" s="15">
        <f t="shared" si="6"/>
        <v>6</v>
      </c>
      <c r="U1368" s="15">
        <f t="shared" si="7"/>
        <v>2025</v>
      </c>
      <c r="V1368" s="15">
        <f t="shared" si="8"/>
        <v>20</v>
      </c>
      <c r="W1368" s="15">
        <f t="shared" si="9"/>
        <v>6</v>
      </c>
      <c r="X1368" s="15">
        <f t="shared" si="10"/>
        <v>2025</v>
      </c>
    </row>
    <row r="1369">
      <c r="A1369" s="9">
        <v>45828.0</v>
      </c>
      <c r="B1369" s="10"/>
      <c r="C1369" s="9">
        <f t="shared" si="63"/>
        <v>45828</v>
      </c>
      <c r="D1369" s="11" t="s">
        <v>109</v>
      </c>
      <c r="E1369" s="11" t="s">
        <v>25</v>
      </c>
      <c r="F1369" s="11" t="s">
        <v>110</v>
      </c>
      <c r="G1369" s="11" t="s">
        <v>27</v>
      </c>
      <c r="H1369" s="11" t="s">
        <v>111</v>
      </c>
      <c r="I1369" s="31">
        <v>24.15</v>
      </c>
      <c r="J1369" s="13"/>
      <c r="K1369" s="13">
        <f t="shared" si="77"/>
        <v>24.15</v>
      </c>
      <c r="L1369" s="11" t="s">
        <v>29</v>
      </c>
      <c r="M1369" s="14"/>
      <c r="N1369" s="11" t="s">
        <v>105</v>
      </c>
      <c r="O1369" s="10" t="str">
        <f t="shared" si="64"/>
        <v>06/2025</v>
      </c>
      <c r="P1369" s="10" t="str">
        <f t="shared" si="29"/>
        <v>06/2025</v>
      </c>
      <c r="Q1369" s="15" t="str">
        <f t="array" ref="Q1369">IFERROR(XLOOKUP(N1369,'Classificação'!A:A,'Classificação'!B:B),"")</f>
        <v>DESPESAS ADMINISTRATIVAS</v>
      </c>
      <c r="R1369" s="15" t="str">
        <f t="array" ref="R1369">IFERROR(XLOOKUP(Q1369,'Classificação'!B:B,'Classificação'!C:C),"")</f>
        <v>DESPESAS FIXAS (-)</v>
      </c>
      <c r="S1369" s="15">
        <f t="shared" si="65"/>
        <v>20</v>
      </c>
      <c r="T1369" s="15">
        <f t="shared" si="6"/>
        <v>6</v>
      </c>
      <c r="U1369" s="15">
        <f t="shared" si="7"/>
        <v>2025</v>
      </c>
      <c r="V1369" s="15">
        <f t="shared" si="8"/>
        <v>20</v>
      </c>
      <c r="W1369" s="15">
        <f t="shared" si="9"/>
        <v>6</v>
      </c>
      <c r="X1369" s="15">
        <f t="shared" si="10"/>
        <v>2025</v>
      </c>
    </row>
    <row r="1370">
      <c r="A1370" s="9">
        <v>45828.0</v>
      </c>
      <c r="B1370" s="10"/>
      <c r="C1370" s="9">
        <f t="shared" si="63"/>
        <v>45828</v>
      </c>
      <c r="D1370" s="11" t="s">
        <v>100</v>
      </c>
      <c r="E1370" s="11" t="s">
        <v>25</v>
      </c>
      <c r="F1370" s="11" t="s">
        <v>40</v>
      </c>
      <c r="G1370" s="11" t="s">
        <v>27</v>
      </c>
      <c r="H1370" s="11" t="s">
        <v>705</v>
      </c>
      <c r="I1370" s="12">
        <v>16386.58</v>
      </c>
      <c r="J1370" s="13"/>
      <c r="K1370" s="13">
        <f t="shared" si="77"/>
        <v>16386.58</v>
      </c>
      <c r="L1370" s="11" t="s">
        <v>29</v>
      </c>
      <c r="M1370" s="14"/>
      <c r="N1370" s="11" t="s">
        <v>101</v>
      </c>
      <c r="O1370" s="10" t="str">
        <f t="shared" si="64"/>
        <v>06/2025</v>
      </c>
      <c r="P1370" s="10" t="str">
        <f t="shared" si="29"/>
        <v>06/2025</v>
      </c>
      <c r="Q1370" s="15" t="str">
        <f t="array" ref="Q1370">IFERROR(XLOOKUP(N1370,'Classificação'!A:A,'Classificação'!B:B),"")</f>
        <v>IMPOSTO DE RENDA - DAS</v>
      </c>
      <c r="R1370" s="15" t="str">
        <f t="array" ref="R1370">IFERROR(XLOOKUP(Q1370,'Classificação'!B:B,'Classificação'!C:C),"")</f>
        <v>DEDUÇÕES DA RECEITA BRUTA (-)</v>
      </c>
      <c r="S1370" s="15">
        <f t="shared" si="65"/>
        <v>20</v>
      </c>
      <c r="T1370" s="15">
        <f t="shared" si="6"/>
        <v>6</v>
      </c>
      <c r="U1370" s="15">
        <f t="shared" si="7"/>
        <v>2025</v>
      </c>
      <c r="V1370" s="15">
        <f t="shared" si="8"/>
        <v>20</v>
      </c>
      <c r="W1370" s="15">
        <f t="shared" si="9"/>
        <v>6</v>
      </c>
      <c r="X1370" s="15">
        <f t="shared" si="10"/>
        <v>2025</v>
      </c>
    </row>
    <row r="1371">
      <c r="A1371" s="9">
        <v>45828.0</v>
      </c>
      <c r="B1371" s="10"/>
      <c r="C1371" s="9">
        <f t="shared" si="63"/>
        <v>45828</v>
      </c>
      <c r="D1371" s="11" t="s">
        <v>100</v>
      </c>
      <c r="E1371" s="11" t="s">
        <v>25</v>
      </c>
      <c r="F1371" s="11" t="s">
        <v>40</v>
      </c>
      <c r="G1371" s="11" t="s">
        <v>37</v>
      </c>
      <c r="H1371" s="11" t="s">
        <v>243</v>
      </c>
      <c r="I1371" s="12">
        <v>4545.11</v>
      </c>
      <c r="J1371" s="13"/>
      <c r="K1371" s="13">
        <f t="shared" si="77"/>
        <v>4545.11</v>
      </c>
      <c r="L1371" s="11" t="s">
        <v>29</v>
      </c>
      <c r="M1371" s="14"/>
      <c r="N1371" s="11" t="s">
        <v>101</v>
      </c>
      <c r="O1371" s="10" t="str">
        <f t="shared" si="64"/>
        <v>06/2025</v>
      </c>
      <c r="P1371" s="10" t="str">
        <f t="shared" si="29"/>
        <v>06/2025</v>
      </c>
      <c r="Q1371" s="15" t="str">
        <f t="array" ref="Q1371">IFERROR(XLOOKUP(N1371,'Classificação'!A:A,'Classificação'!B:B),"")</f>
        <v>IMPOSTO DE RENDA - DAS</v>
      </c>
      <c r="R1371" s="15" t="str">
        <f t="array" ref="R1371">IFERROR(XLOOKUP(Q1371,'Classificação'!B:B,'Classificação'!C:C),"")</f>
        <v>DEDUÇÕES DA RECEITA BRUTA (-)</v>
      </c>
      <c r="S1371" s="15">
        <f t="shared" si="65"/>
        <v>20</v>
      </c>
      <c r="T1371" s="15">
        <f t="shared" si="6"/>
        <v>6</v>
      </c>
      <c r="U1371" s="15">
        <f t="shared" si="7"/>
        <v>2025</v>
      </c>
      <c r="V1371" s="15">
        <f t="shared" si="8"/>
        <v>20</v>
      </c>
      <c r="W1371" s="15">
        <f t="shared" si="9"/>
        <v>6</v>
      </c>
      <c r="X1371" s="15">
        <f t="shared" si="10"/>
        <v>2025</v>
      </c>
    </row>
    <row r="1372">
      <c r="A1372" s="9">
        <v>45828.0</v>
      </c>
      <c r="B1372" s="10"/>
      <c r="C1372" s="9">
        <f t="shared" si="63"/>
        <v>45828</v>
      </c>
      <c r="D1372" s="11" t="s">
        <v>163</v>
      </c>
      <c r="E1372" s="11" t="s">
        <v>25</v>
      </c>
      <c r="F1372" s="11" t="s">
        <v>107</v>
      </c>
      <c r="G1372" s="11" t="s">
        <v>27</v>
      </c>
      <c r="H1372" s="11" t="s">
        <v>253</v>
      </c>
      <c r="I1372" s="31">
        <v>144.15</v>
      </c>
      <c r="J1372" s="13"/>
      <c r="K1372" s="13">
        <f t="shared" si="77"/>
        <v>144.15</v>
      </c>
      <c r="L1372" s="11" t="s">
        <v>53</v>
      </c>
      <c r="M1372" s="17">
        <v>45637.0</v>
      </c>
      <c r="N1372" s="11" t="s">
        <v>95</v>
      </c>
      <c r="O1372" s="10" t="str">
        <f t="shared" si="64"/>
        <v>06/2025</v>
      </c>
      <c r="P1372" s="10" t="str">
        <f t="shared" si="29"/>
        <v>06/2025</v>
      </c>
      <c r="Q1372" s="15" t="str">
        <f t="array" ref="Q1372">IFERROR(XLOOKUP(N1372,'Classificação'!A:A,'Classificação'!B:B),"")</f>
        <v>DESPESAS NÃO OPERACIONAIS</v>
      </c>
      <c r="R1372" s="15" t="str">
        <f t="array" ref="R1372">IFERROR(XLOOKUP(Q1372,'Classificação'!B:B,'Classificação'!C:C),"")</f>
        <v>RESULTADO NÃO OPERACIONAL (+/-)</v>
      </c>
      <c r="S1372" s="15">
        <f t="shared" si="65"/>
        <v>20</v>
      </c>
      <c r="T1372" s="15">
        <f t="shared" si="6"/>
        <v>6</v>
      </c>
      <c r="U1372" s="15">
        <f t="shared" si="7"/>
        <v>2025</v>
      </c>
      <c r="V1372" s="15">
        <f t="shared" si="8"/>
        <v>20</v>
      </c>
      <c r="W1372" s="15">
        <f t="shared" si="9"/>
        <v>6</v>
      </c>
      <c r="X1372" s="15">
        <f t="shared" si="10"/>
        <v>2025</v>
      </c>
    </row>
    <row r="1373">
      <c r="A1373" s="9">
        <v>45828.0</v>
      </c>
      <c r="B1373" s="10"/>
      <c r="C1373" s="9">
        <f t="shared" si="63"/>
        <v>45828</v>
      </c>
      <c r="D1373" s="11" t="s">
        <v>123</v>
      </c>
      <c r="E1373" s="11" t="s">
        <v>25</v>
      </c>
      <c r="F1373" s="11" t="s">
        <v>40</v>
      </c>
      <c r="G1373" s="11" t="s">
        <v>27</v>
      </c>
      <c r="H1373" s="11" t="s">
        <v>611</v>
      </c>
      <c r="I1373" s="12">
        <v>332.0</v>
      </c>
      <c r="J1373" s="13"/>
      <c r="K1373" s="13">
        <f t="shared" si="77"/>
        <v>332</v>
      </c>
      <c r="L1373" s="11" t="s">
        <v>29</v>
      </c>
      <c r="M1373" s="14"/>
      <c r="N1373" s="11" t="s">
        <v>123</v>
      </c>
      <c r="O1373" s="10" t="str">
        <f t="shared" si="64"/>
        <v>06/2025</v>
      </c>
      <c r="P1373" s="10" t="str">
        <f t="shared" si="29"/>
        <v>06/2025</v>
      </c>
      <c r="Q1373" s="15" t="str">
        <f t="array" ref="Q1373">IFERROR(XLOOKUP(N1373,'Classificação'!A:A,'Classificação'!B:B),"")</f>
        <v>DESPESAS COM PESSOAL</v>
      </c>
      <c r="R1373" s="15" t="str">
        <f t="array" ref="R1373">IFERROR(XLOOKUP(Q1373,'Classificação'!B:B,'Classificação'!C:C),"")</f>
        <v>DESPESAS FIXAS (-)</v>
      </c>
      <c r="S1373" s="15">
        <f t="shared" si="65"/>
        <v>20</v>
      </c>
      <c r="T1373" s="15">
        <f t="shared" si="6"/>
        <v>6</v>
      </c>
      <c r="U1373" s="15">
        <f t="shared" si="7"/>
        <v>2025</v>
      </c>
      <c r="V1373" s="15">
        <f t="shared" si="8"/>
        <v>20</v>
      </c>
      <c r="W1373" s="15">
        <f t="shared" si="9"/>
        <v>6</v>
      </c>
      <c r="X1373" s="15">
        <f t="shared" si="10"/>
        <v>2025</v>
      </c>
    </row>
    <row r="1374">
      <c r="A1374" s="9">
        <v>45828.0</v>
      </c>
      <c r="B1374" s="10"/>
      <c r="C1374" s="9">
        <f t="shared" si="63"/>
        <v>45828</v>
      </c>
      <c r="D1374" s="11" t="s">
        <v>126</v>
      </c>
      <c r="E1374" s="11" t="s">
        <v>25</v>
      </c>
      <c r="F1374" s="11" t="s">
        <v>40</v>
      </c>
      <c r="G1374" s="11" t="s">
        <v>27</v>
      </c>
      <c r="H1374" s="11" t="s">
        <v>611</v>
      </c>
      <c r="I1374" s="12">
        <v>661.92</v>
      </c>
      <c r="J1374" s="13"/>
      <c r="K1374" s="13">
        <f t="shared" si="77"/>
        <v>661.92</v>
      </c>
      <c r="L1374" s="11" t="s">
        <v>29</v>
      </c>
      <c r="M1374" s="14"/>
      <c r="N1374" s="11" t="s">
        <v>126</v>
      </c>
      <c r="O1374" s="10" t="str">
        <f t="shared" si="64"/>
        <v>06/2025</v>
      </c>
      <c r="P1374" s="10" t="str">
        <f t="shared" si="29"/>
        <v>06/2025</v>
      </c>
      <c r="Q1374" s="15" t="str">
        <f t="array" ref="Q1374">IFERROR(XLOOKUP(N1374,'Classificação'!A:A,'Classificação'!B:B),"")</f>
        <v>DESPESAS COM PESSOAL</v>
      </c>
      <c r="R1374" s="15" t="str">
        <f t="array" ref="R1374">IFERROR(XLOOKUP(Q1374,'Classificação'!B:B,'Classificação'!C:C),"")</f>
        <v>DESPESAS FIXAS (-)</v>
      </c>
      <c r="S1374" s="15">
        <f t="shared" si="65"/>
        <v>20</v>
      </c>
      <c r="T1374" s="15">
        <f t="shared" si="6"/>
        <v>6</v>
      </c>
      <c r="U1374" s="15">
        <f t="shared" si="7"/>
        <v>2025</v>
      </c>
      <c r="V1374" s="15">
        <f t="shared" si="8"/>
        <v>20</v>
      </c>
      <c r="W1374" s="15">
        <f t="shared" si="9"/>
        <v>6</v>
      </c>
      <c r="X1374" s="15">
        <f t="shared" si="10"/>
        <v>2025</v>
      </c>
    </row>
    <row r="1375">
      <c r="A1375" s="9">
        <v>45828.0</v>
      </c>
      <c r="B1375" s="9">
        <v>45523.0</v>
      </c>
      <c r="C1375" s="9">
        <f t="shared" si="63"/>
        <v>45828</v>
      </c>
      <c r="D1375" s="11" t="s">
        <v>65</v>
      </c>
      <c r="E1375" s="11" t="s">
        <v>25</v>
      </c>
      <c r="F1375" s="11" t="s">
        <v>107</v>
      </c>
      <c r="G1375" s="11" t="s">
        <v>27</v>
      </c>
      <c r="H1375" s="11" t="s">
        <v>263</v>
      </c>
      <c r="I1375" s="31">
        <v>102.67</v>
      </c>
      <c r="J1375" s="13"/>
      <c r="K1375" s="13">
        <f t="shared" si="77"/>
        <v>102.67</v>
      </c>
      <c r="L1375" s="11" t="s">
        <v>53</v>
      </c>
      <c r="M1375" s="17">
        <v>45636.0</v>
      </c>
      <c r="N1375" s="11" t="s">
        <v>95</v>
      </c>
      <c r="O1375" s="10" t="str">
        <f t="shared" si="64"/>
        <v>06/2025</v>
      </c>
      <c r="P1375" s="10" t="str">
        <f t="shared" si="29"/>
        <v>06/2025</v>
      </c>
      <c r="Q1375" s="15" t="str">
        <f t="array" ref="Q1375">IFERROR(XLOOKUP(N1375,'Classificação'!A:A,'Classificação'!B:B),"")</f>
        <v>DESPESAS NÃO OPERACIONAIS</v>
      </c>
      <c r="R1375" s="15" t="str">
        <f t="array" ref="R1375">IFERROR(XLOOKUP(Q1375,'Classificação'!B:B,'Classificação'!C:C),"")</f>
        <v>RESULTADO NÃO OPERACIONAL (+/-)</v>
      </c>
      <c r="S1375" s="15">
        <f t="shared" si="65"/>
        <v>20</v>
      </c>
      <c r="T1375" s="15">
        <f t="shared" si="6"/>
        <v>6</v>
      </c>
      <c r="U1375" s="15">
        <f t="shared" si="7"/>
        <v>2025</v>
      </c>
      <c r="V1375" s="15">
        <f t="shared" si="8"/>
        <v>20</v>
      </c>
      <c r="W1375" s="15">
        <f t="shared" si="9"/>
        <v>6</v>
      </c>
      <c r="X1375" s="15">
        <f t="shared" si="10"/>
        <v>2025</v>
      </c>
    </row>
    <row r="1376">
      <c r="A1376" s="9">
        <v>45828.0</v>
      </c>
      <c r="B1376" s="10"/>
      <c r="C1376" s="9">
        <f t="shared" si="63"/>
        <v>45828</v>
      </c>
      <c r="D1376" s="11" t="s">
        <v>171</v>
      </c>
      <c r="E1376" s="11" t="s">
        <v>25</v>
      </c>
      <c r="F1376" s="11" t="s">
        <v>40</v>
      </c>
      <c r="G1376" s="11" t="s">
        <v>27</v>
      </c>
      <c r="I1376" s="12">
        <v>107.64</v>
      </c>
      <c r="J1376" s="13"/>
      <c r="K1376" s="13">
        <f t="shared" si="77"/>
        <v>107.64</v>
      </c>
      <c r="L1376" s="11" t="s">
        <v>29</v>
      </c>
      <c r="M1376" s="14"/>
      <c r="N1376" s="11" t="s">
        <v>172</v>
      </c>
      <c r="O1376" s="10" t="str">
        <f t="shared" si="64"/>
        <v>06/2025</v>
      </c>
      <c r="P1376" s="10" t="str">
        <f t="shared" si="29"/>
        <v>06/2025</v>
      </c>
      <c r="Q1376" s="15" t="str">
        <f t="array" ref="Q1376">IFERROR(XLOOKUP(N1376,'Classificação'!A:A,'Classificação'!B:B),"")</f>
        <v>DESPESAS COM OCUPAÇÃO</v>
      </c>
      <c r="R1376" s="15" t="str">
        <f t="array" ref="R1376">IFERROR(XLOOKUP(Q1376,'Classificação'!B:B,'Classificação'!C:C),"")</f>
        <v>DESPESAS FIXAS (-)</v>
      </c>
      <c r="S1376" s="15">
        <f t="shared" si="65"/>
        <v>20</v>
      </c>
      <c r="T1376" s="15">
        <f t="shared" si="6"/>
        <v>6</v>
      </c>
      <c r="U1376" s="15">
        <f t="shared" si="7"/>
        <v>2025</v>
      </c>
      <c r="V1376" s="15">
        <f t="shared" si="8"/>
        <v>20</v>
      </c>
      <c r="W1376" s="15">
        <f t="shared" si="9"/>
        <v>6</v>
      </c>
      <c r="X1376" s="15">
        <f t="shared" si="10"/>
        <v>2025</v>
      </c>
    </row>
    <row r="1377">
      <c r="A1377" s="9">
        <v>45828.0</v>
      </c>
      <c r="B1377" s="9">
        <v>45553.0</v>
      </c>
      <c r="C1377" s="9">
        <f t="shared" si="63"/>
        <v>45828</v>
      </c>
      <c r="D1377" s="11" t="s">
        <v>313</v>
      </c>
      <c r="E1377" s="11" t="s">
        <v>25</v>
      </c>
      <c r="F1377" s="11" t="s">
        <v>107</v>
      </c>
      <c r="G1377" s="11" t="s">
        <v>27</v>
      </c>
      <c r="H1377" s="11" t="s">
        <v>314</v>
      </c>
      <c r="I1377" s="31">
        <v>287.13</v>
      </c>
      <c r="J1377" s="13"/>
      <c r="K1377" s="13">
        <f t="shared" si="77"/>
        <v>287.13</v>
      </c>
      <c r="L1377" s="11" t="s">
        <v>53</v>
      </c>
      <c r="M1377" s="17">
        <v>45635.0</v>
      </c>
      <c r="N1377" s="11" t="s">
        <v>95</v>
      </c>
      <c r="O1377" s="10" t="str">
        <f t="shared" si="64"/>
        <v>06/2025</v>
      </c>
      <c r="P1377" s="10" t="str">
        <f t="shared" si="29"/>
        <v>06/2025</v>
      </c>
      <c r="Q1377" s="15" t="str">
        <f t="array" ref="Q1377">IFERROR(XLOOKUP(N1377,'Classificação'!A:A,'Classificação'!B:B),"")</f>
        <v>DESPESAS NÃO OPERACIONAIS</v>
      </c>
      <c r="R1377" s="15" t="str">
        <f t="array" ref="R1377">IFERROR(XLOOKUP(Q1377,'Classificação'!B:B,'Classificação'!C:C),"")</f>
        <v>RESULTADO NÃO OPERACIONAL (+/-)</v>
      </c>
      <c r="S1377" s="15">
        <f t="shared" si="65"/>
        <v>20</v>
      </c>
      <c r="T1377" s="15">
        <f t="shared" si="6"/>
        <v>6</v>
      </c>
      <c r="U1377" s="15">
        <f t="shared" si="7"/>
        <v>2025</v>
      </c>
      <c r="V1377" s="15">
        <f t="shared" si="8"/>
        <v>20</v>
      </c>
      <c r="W1377" s="15">
        <f t="shared" si="9"/>
        <v>6</v>
      </c>
      <c r="X1377" s="15">
        <f t="shared" si="10"/>
        <v>2025</v>
      </c>
    </row>
    <row r="1378">
      <c r="A1378" s="9">
        <v>45828.0</v>
      </c>
      <c r="B1378" s="9">
        <v>45600.0</v>
      </c>
      <c r="C1378" s="9">
        <f t="shared" si="63"/>
        <v>45828</v>
      </c>
      <c r="D1378" s="11" t="s">
        <v>65</v>
      </c>
      <c r="E1378" s="11" t="s">
        <v>25</v>
      </c>
      <c r="F1378" s="11" t="s">
        <v>107</v>
      </c>
      <c r="G1378" s="11" t="s">
        <v>27</v>
      </c>
      <c r="H1378" s="11" t="s">
        <v>393</v>
      </c>
      <c r="I1378" s="31">
        <v>32.39</v>
      </c>
      <c r="J1378" s="13"/>
      <c r="K1378" s="13">
        <f t="shared" si="77"/>
        <v>32.39</v>
      </c>
      <c r="L1378" s="11" t="s">
        <v>53</v>
      </c>
      <c r="M1378" s="17">
        <v>45512.0</v>
      </c>
      <c r="N1378" s="11" t="s">
        <v>394</v>
      </c>
      <c r="O1378" s="10" t="str">
        <f t="shared" si="64"/>
        <v>06/2025</v>
      </c>
      <c r="P1378" s="10" t="str">
        <f t="shared" si="29"/>
        <v>06/2025</v>
      </c>
      <c r="Q1378" s="15" t="str">
        <f t="array" ref="Q1378">IFERROR(XLOOKUP(N1378,'Classificação'!A:A,'Classificação'!B:B),"")</f>
        <v>DESPESAS NÃO OPERACIONAIS</v>
      </c>
      <c r="R1378" s="15" t="str">
        <f t="array" ref="R1378">IFERROR(XLOOKUP(Q1378,'Classificação'!B:B,'Classificação'!C:C),"")</f>
        <v>RESULTADO NÃO OPERACIONAL (+/-)</v>
      </c>
      <c r="S1378" s="15">
        <f t="shared" si="65"/>
        <v>20</v>
      </c>
      <c r="T1378" s="15">
        <f t="shared" si="6"/>
        <v>6</v>
      </c>
      <c r="U1378" s="15">
        <f t="shared" si="7"/>
        <v>2025</v>
      </c>
      <c r="V1378" s="15">
        <f t="shared" si="8"/>
        <v>20</v>
      </c>
      <c r="W1378" s="15">
        <f t="shared" si="9"/>
        <v>6</v>
      </c>
      <c r="X1378" s="15">
        <f t="shared" si="10"/>
        <v>2025</v>
      </c>
    </row>
    <row r="1379">
      <c r="A1379" s="9">
        <v>45828.0</v>
      </c>
      <c r="B1379" s="9">
        <v>45686.0</v>
      </c>
      <c r="C1379" s="9">
        <f t="shared" si="63"/>
        <v>45828</v>
      </c>
      <c r="D1379" s="11" t="s">
        <v>65</v>
      </c>
      <c r="E1379" s="11" t="s">
        <v>25</v>
      </c>
      <c r="F1379" s="11" t="s">
        <v>107</v>
      </c>
      <c r="G1379" s="11" t="s">
        <v>27</v>
      </c>
      <c r="H1379" s="11" t="s">
        <v>566</v>
      </c>
      <c r="I1379" s="31">
        <v>47.02</v>
      </c>
      <c r="J1379" s="13"/>
      <c r="K1379" s="13">
        <f t="shared" si="77"/>
        <v>47.02</v>
      </c>
      <c r="L1379" s="11" t="s">
        <v>53</v>
      </c>
      <c r="M1379" s="17">
        <v>45812.0</v>
      </c>
      <c r="N1379" s="11" t="s">
        <v>95</v>
      </c>
      <c r="O1379" s="10" t="str">
        <f t="shared" si="64"/>
        <v>06/2025</v>
      </c>
      <c r="P1379" s="10" t="str">
        <f t="shared" si="29"/>
        <v>06/2025</v>
      </c>
      <c r="Q1379" s="15" t="str">
        <f t="array" ref="Q1379">IFERROR(XLOOKUP(N1379,'Classificação'!A:A,'Classificação'!B:B),"")</f>
        <v>DESPESAS NÃO OPERACIONAIS</v>
      </c>
      <c r="R1379" s="15" t="str">
        <f t="array" ref="R1379">IFERROR(XLOOKUP(Q1379,'Classificação'!B:B,'Classificação'!C:C),"")</f>
        <v>RESULTADO NÃO OPERACIONAL (+/-)</v>
      </c>
      <c r="S1379" s="15">
        <f t="shared" si="65"/>
        <v>20</v>
      </c>
      <c r="T1379" s="15">
        <f t="shared" si="6"/>
        <v>6</v>
      </c>
      <c r="U1379" s="15">
        <f t="shared" si="7"/>
        <v>2025</v>
      </c>
      <c r="V1379" s="15">
        <f t="shared" si="8"/>
        <v>20</v>
      </c>
      <c r="W1379" s="15">
        <f t="shared" si="9"/>
        <v>6</v>
      </c>
      <c r="X1379" s="15">
        <f t="shared" si="10"/>
        <v>2025</v>
      </c>
    </row>
    <row r="1380">
      <c r="A1380" s="9">
        <v>45828.0</v>
      </c>
      <c r="B1380" s="10"/>
      <c r="C1380" s="9">
        <f t="shared" si="63"/>
        <v>45828</v>
      </c>
      <c r="D1380" s="11" t="s">
        <v>631</v>
      </c>
      <c r="E1380" s="11" t="s">
        <v>25</v>
      </c>
      <c r="F1380" s="11" t="s">
        <v>107</v>
      </c>
      <c r="G1380" s="11" t="s">
        <v>27</v>
      </c>
      <c r="H1380" s="11" t="s">
        <v>632</v>
      </c>
      <c r="I1380" s="31">
        <v>110.87</v>
      </c>
      <c r="J1380" s="13"/>
      <c r="K1380" s="13">
        <f t="shared" si="77"/>
        <v>110.87</v>
      </c>
      <c r="L1380" s="11" t="s">
        <v>53</v>
      </c>
      <c r="M1380" s="17">
        <v>45842.0</v>
      </c>
      <c r="N1380" s="11" t="s">
        <v>178</v>
      </c>
      <c r="O1380" s="10" t="str">
        <f t="shared" si="64"/>
        <v>06/2025</v>
      </c>
      <c r="P1380" s="10" t="str">
        <f t="shared" si="29"/>
        <v>06/2025</v>
      </c>
      <c r="Q1380" s="15" t="str">
        <f t="array" ref="Q1380">IFERROR(XLOOKUP(N1380,'Classificação'!A:A,'Classificação'!B:B),"")</f>
        <v>DESPESAS COM OCUPAÇÃO</v>
      </c>
      <c r="R1380" s="15" t="str">
        <f t="array" ref="R1380">IFERROR(XLOOKUP(Q1380,'Classificação'!B:B,'Classificação'!C:C),"")</f>
        <v>DESPESAS FIXAS (-)</v>
      </c>
      <c r="S1380" s="15">
        <f t="shared" si="65"/>
        <v>20</v>
      </c>
      <c r="T1380" s="15">
        <f t="shared" si="6"/>
        <v>6</v>
      </c>
      <c r="U1380" s="15">
        <f t="shared" si="7"/>
        <v>2025</v>
      </c>
      <c r="V1380" s="15">
        <f t="shared" si="8"/>
        <v>20</v>
      </c>
      <c r="W1380" s="15">
        <f t="shared" si="9"/>
        <v>6</v>
      </c>
      <c r="X1380" s="15">
        <f t="shared" si="10"/>
        <v>2025</v>
      </c>
    </row>
    <row r="1381">
      <c r="A1381" s="9">
        <v>45828.0</v>
      </c>
      <c r="B1381" s="19">
        <v>45747.0</v>
      </c>
      <c r="C1381" s="9">
        <f t="shared" si="63"/>
        <v>45828</v>
      </c>
      <c r="D1381" s="11" t="s">
        <v>691</v>
      </c>
      <c r="E1381" s="11" t="s">
        <v>25</v>
      </c>
      <c r="F1381" s="11" t="s">
        <v>107</v>
      </c>
      <c r="G1381" s="11" t="s">
        <v>27</v>
      </c>
      <c r="H1381" s="11" t="s">
        <v>692</v>
      </c>
      <c r="I1381" s="31">
        <v>98.93</v>
      </c>
      <c r="J1381" s="13"/>
      <c r="K1381" s="13">
        <f t="shared" si="77"/>
        <v>98.93</v>
      </c>
      <c r="L1381" s="11" t="s">
        <v>53</v>
      </c>
      <c r="M1381" s="17">
        <v>45994.0</v>
      </c>
      <c r="N1381" s="11" t="s">
        <v>693</v>
      </c>
      <c r="O1381" s="10" t="str">
        <f t="shared" si="64"/>
        <v>06/2025</v>
      </c>
      <c r="P1381" s="10" t="str">
        <f t="shared" si="29"/>
        <v>06/2025</v>
      </c>
      <c r="Q1381" s="15" t="str">
        <f t="array" ref="Q1381">IFERROR(XLOOKUP(N1381,'Classificação'!A:A,'Classificação'!B:B),"")</f>
        <v>DESPESAS COM OCUPAÇÃO</v>
      </c>
      <c r="R1381" s="15" t="str">
        <f t="array" ref="R1381">IFERROR(XLOOKUP(Q1381,'Classificação'!B:B,'Classificação'!C:C),"")</f>
        <v>DESPESAS FIXAS (-)</v>
      </c>
      <c r="S1381" s="15">
        <f t="shared" si="65"/>
        <v>20</v>
      </c>
      <c r="T1381" s="15">
        <f t="shared" si="6"/>
        <v>6</v>
      </c>
      <c r="U1381" s="15">
        <f t="shared" si="7"/>
        <v>2025</v>
      </c>
      <c r="V1381" s="15">
        <f t="shared" si="8"/>
        <v>20</v>
      </c>
      <c r="W1381" s="15">
        <f t="shared" si="9"/>
        <v>6</v>
      </c>
      <c r="X1381" s="15">
        <f t="shared" si="10"/>
        <v>2025</v>
      </c>
    </row>
    <row r="1382">
      <c r="A1382" s="9">
        <v>45828.0</v>
      </c>
      <c r="B1382" s="9">
        <v>45754.0</v>
      </c>
      <c r="C1382" s="9">
        <f t="shared" si="63"/>
        <v>45828</v>
      </c>
      <c r="D1382" s="11" t="s">
        <v>699</v>
      </c>
      <c r="E1382" s="11" t="s">
        <v>25</v>
      </c>
      <c r="F1382" s="11" t="s">
        <v>107</v>
      </c>
      <c r="G1382" s="11" t="s">
        <v>27</v>
      </c>
      <c r="H1382" s="11" t="s">
        <v>801</v>
      </c>
      <c r="I1382" s="31">
        <v>233.33</v>
      </c>
      <c r="J1382" s="13"/>
      <c r="K1382" s="13">
        <f t="shared" si="77"/>
        <v>233.33</v>
      </c>
      <c r="L1382" s="11" t="s">
        <v>53</v>
      </c>
      <c r="M1382" s="17">
        <v>45718.0</v>
      </c>
      <c r="N1382" s="11" t="s">
        <v>95</v>
      </c>
      <c r="O1382" s="10" t="str">
        <f t="shared" si="64"/>
        <v>06/2025</v>
      </c>
      <c r="P1382" s="10" t="str">
        <f t="shared" si="29"/>
        <v>06/2025</v>
      </c>
      <c r="Q1382" s="15" t="str">
        <f t="array" ref="Q1382">IFERROR(XLOOKUP(N1382,'Classificação'!A:A,'Classificação'!B:B),"")</f>
        <v>DESPESAS NÃO OPERACIONAIS</v>
      </c>
      <c r="R1382" s="15" t="str">
        <f t="array" ref="R1382">IFERROR(XLOOKUP(Q1382,'Classificação'!B:B,'Classificação'!C:C),"")</f>
        <v>RESULTADO NÃO OPERACIONAL (+/-)</v>
      </c>
      <c r="S1382" s="15">
        <f t="shared" si="65"/>
        <v>20</v>
      </c>
      <c r="T1382" s="15">
        <f t="shared" si="6"/>
        <v>6</v>
      </c>
      <c r="U1382" s="15">
        <f t="shared" si="7"/>
        <v>2025</v>
      </c>
      <c r="V1382" s="15">
        <f t="shared" si="8"/>
        <v>20</v>
      </c>
      <c r="W1382" s="15">
        <f t="shared" si="9"/>
        <v>6</v>
      </c>
      <c r="X1382" s="15">
        <f t="shared" si="10"/>
        <v>2025</v>
      </c>
    </row>
    <row r="1383">
      <c r="A1383" s="9">
        <v>45828.0</v>
      </c>
      <c r="B1383" s="9">
        <v>45754.0</v>
      </c>
      <c r="C1383" s="9">
        <f t="shared" si="63"/>
        <v>45828</v>
      </c>
      <c r="D1383" s="11" t="s">
        <v>699</v>
      </c>
      <c r="E1383" s="11" t="s">
        <v>25</v>
      </c>
      <c r="F1383" s="11" t="s">
        <v>107</v>
      </c>
      <c r="G1383" s="11" t="s">
        <v>27</v>
      </c>
      <c r="H1383" s="11" t="s">
        <v>802</v>
      </c>
      <c r="I1383" s="31">
        <v>57.0</v>
      </c>
      <c r="J1383" s="13"/>
      <c r="K1383" s="13">
        <f t="shared" si="77"/>
        <v>57</v>
      </c>
      <c r="L1383" s="11" t="s">
        <v>53</v>
      </c>
      <c r="M1383" s="17">
        <v>45932.0</v>
      </c>
      <c r="N1383" s="11" t="s">
        <v>95</v>
      </c>
      <c r="O1383" s="10" t="str">
        <f t="shared" si="64"/>
        <v>06/2025</v>
      </c>
      <c r="P1383" s="10" t="str">
        <f t="shared" si="29"/>
        <v>06/2025</v>
      </c>
      <c r="Q1383" s="15" t="str">
        <f t="array" ref="Q1383">IFERROR(XLOOKUP(N1383,'Classificação'!A:A,'Classificação'!B:B),"")</f>
        <v>DESPESAS NÃO OPERACIONAIS</v>
      </c>
      <c r="R1383" s="15" t="str">
        <f t="array" ref="R1383">IFERROR(XLOOKUP(Q1383,'Classificação'!B:B,'Classificação'!C:C),"")</f>
        <v>RESULTADO NÃO OPERACIONAL (+/-)</v>
      </c>
      <c r="S1383" s="15">
        <f t="shared" si="65"/>
        <v>20</v>
      </c>
      <c r="T1383" s="15">
        <f t="shared" si="6"/>
        <v>6</v>
      </c>
      <c r="U1383" s="15">
        <f t="shared" si="7"/>
        <v>2025</v>
      </c>
      <c r="V1383" s="15">
        <f t="shared" si="8"/>
        <v>20</v>
      </c>
      <c r="W1383" s="15">
        <f t="shared" si="9"/>
        <v>6</v>
      </c>
      <c r="X1383" s="15">
        <f t="shared" si="10"/>
        <v>2025</v>
      </c>
    </row>
    <row r="1384">
      <c r="A1384" s="9">
        <v>45828.0</v>
      </c>
      <c r="B1384" s="9">
        <v>45737.0</v>
      </c>
      <c r="C1384" s="9">
        <f t="shared" si="63"/>
        <v>45828</v>
      </c>
      <c r="D1384" s="11" t="s">
        <v>65</v>
      </c>
      <c r="E1384" s="11" t="s">
        <v>25</v>
      </c>
      <c r="F1384" s="11" t="s">
        <v>110</v>
      </c>
      <c r="G1384" s="11" t="s">
        <v>27</v>
      </c>
      <c r="H1384" s="11" t="s">
        <v>681</v>
      </c>
      <c r="I1384" s="31">
        <v>47.2</v>
      </c>
      <c r="J1384" s="13"/>
      <c r="K1384" s="13">
        <f t="shared" si="77"/>
        <v>47.2</v>
      </c>
      <c r="L1384" s="11" t="s">
        <v>53</v>
      </c>
      <c r="M1384" s="17">
        <v>45994.0</v>
      </c>
      <c r="N1384" s="11" t="s">
        <v>95</v>
      </c>
      <c r="O1384" s="10" t="str">
        <f t="shared" si="64"/>
        <v>06/2025</v>
      </c>
      <c r="P1384" s="10" t="str">
        <f t="shared" si="29"/>
        <v>06/2025</v>
      </c>
      <c r="Q1384" s="15" t="str">
        <f t="array" ref="Q1384">IFERROR(XLOOKUP(N1384,'Classificação'!A:A,'Classificação'!B:B),"")</f>
        <v>DESPESAS NÃO OPERACIONAIS</v>
      </c>
      <c r="R1384" s="15" t="str">
        <f t="array" ref="R1384">IFERROR(XLOOKUP(Q1384,'Classificação'!B:B,'Classificação'!C:C),"")</f>
        <v>RESULTADO NÃO OPERACIONAL (+/-)</v>
      </c>
      <c r="S1384" s="15">
        <f t="shared" si="65"/>
        <v>20</v>
      </c>
      <c r="T1384" s="15">
        <f t="shared" si="6"/>
        <v>6</v>
      </c>
      <c r="U1384" s="15">
        <f t="shared" si="7"/>
        <v>2025</v>
      </c>
      <c r="V1384" s="15">
        <f t="shared" si="8"/>
        <v>20</v>
      </c>
      <c r="W1384" s="15">
        <f t="shared" si="9"/>
        <v>6</v>
      </c>
      <c r="X1384" s="15">
        <f t="shared" si="10"/>
        <v>2025</v>
      </c>
    </row>
    <row r="1385">
      <c r="A1385" s="9">
        <v>45828.0</v>
      </c>
      <c r="B1385" s="9">
        <v>45737.0</v>
      </c>
      <c r="C1385" s="9">
        <f t="shared" si="63"/>
        <v>45828</v>
      </c>
      <c r="D1385" s="11" t="s">
        <v>65</v>
      </c>
      <c r="E1385" s="11" t="s">
        <v>25</v>
      </c>
      <c r="F1385" s="11" t="s">
        <v>110</v>
      </c>
      <c r="G1385" s="11" t="s">
        <v>27</v>
      </c>
      <c r="H1385" s="11" t="s">
        <v>682</v>
      </c>
      <c r="I1385" s="31">
        <v>82.27</v>
      </c>
      <c r="J1385" s="13"/>
      <c r="K1385" s="13">
        <f t="shared" si="77"/>
        <v>82.27</v>
      </c>
      <c r="L1385" s="11" t="s">
        <v>53</v>
      </c>
      <c r="M1385" s="17">
        <v>45933.0</v>
      </c>
      <c r="N1385" s="11" t="s">
        <v>95</v>
      </c>
      <c r="O1385" s="10" t="str">
        <f t="shared" si="64"/>
        <v>06/2025</v>
      </c>
      <c r="P1385" s="10" t="str">
        <f t="shared" si="29"/>
        <v>06/2025</v>
      </c>
      <c r="Q1385" s="15" t="str">
        <f t="array" ref="Q1385">IFERROR(XLOOKUP(N1385,'Classificação'!A:A,'Classificação'!B:B),"")</f>
        <v>DESPESAS NÃO OPERACIONAIS</v>
      </c>
      <c r="R1385" s="15" t="str">
        <f t="array" ref="R1385">IFERROR(XLOOKUP(Q1385,'Classificação'!B:B,'Classificação'!C:C),"")</f>
        <v>RESULTADO NÃO OPERACIONAL (+/-)</v>
      </c>
      <c r="S1385" s="15">
        <f t="shared" si="65"/>
        <v>20</v>
      </c>
      <c r="T1385" s="15">
        <f t="shared" si="6"/>
        <v>6</v>
      </c>
      <c r="U1385" s="15">
        <f t="shared" si="7"/>
        <v>2025</v>
      </c>
      <c r="V1385" s="15">
        <f t="shared" si="8"/>
        <v>20</v>
      </c>
      <c r="W1385" s="15">
        <f t="shared" si="9"/>
        <v>6</v>
      </c>
      <c r="X1385" s="15">
        <f t="shared" si="10"/>
        <v>2025</v>
      </c>
    </row>
    <row r="1386">
      <c r="A1386" s="9">
        <v>45828.0</v>
      </c>
      <c r="B1386" s="10"/>
      <c r="C1386" s="9">
        <f t="shared" si="63"/>
        <v>45828</v>
      </c>
      <c r="D1386" s="11" t="s">
        <v>637</v>
      </c>
      <c r="E1386" s="11" t="s">
        <v>25</v>
      </c>
      <c r="F1386" s="11" t="s">
        <v>40</v>
      </c>
      <c r="G1386" s="11" t="s">
        <v>27</v>
      </c>
      <c r="I1386" s="12">
        <v>170.0</v>
      </c>
      <c r="J1386" s="13"/>
      <c r="K1386" s="13">
        <f t="shared" si="77"/>
        <v>170</v>
      </c>
      <c r="L1386" s="11" t="s">
        <v>29</v>
      </c>
      <c r="M1386" s="14"/>
      <c r="N1386" s="11" t="s">
        <v>201</v>
      </c>
      <c r="O1386" s="10" t="str">
        <f t="shared" si="64"/>
        <v>06/2025</v>
      </c>
      <c r="P1386" s="10" t="str">
        <f t="shared" si="29"/>
        <v>06/2025</v>
      </c>
      <c r="Q1386" s="15" t="str">
        <f t="array" ref="Q1386">IFERROR(XLOOKUP(N1386,'Classificação'!A:A,'Classificação'!B:B),"")</f>
        <v>DESPESAS COM OCUPAÇÃO</v>
      </c>
      <c r="R1386" s="15" t="str">
        <f t="array" ref="R1386">IFERROR(XLOOKUP(Q1386,'Classificação'!B:B,'Classificação'!C:C),"")</f>
        <v>DESPESAS FIXAS (-)</v>
      </c>
      <c r="S1386" s="15">
        <f t="shared" si="65"/>
        <v>20</v>
      </c>
      <c r="T1386" s="15">
        <f t="shared" si="6"/>
        <v>6</v>
      </c>
      <c r="U1386" s="15">
        <f t="shared" si="7"/>
        <v>2025</v>
      </c>
      <c r="V1386" s="15">
        <f t="shared" si="8"/>
        <v>20</v>
      </c>
      <c r="W1386" s="15">
        <f t="shared" si="9"/>
        <v>6</v>
      </c>
      <c r="X1386" s="15">
        <f t="shared" si="10"/>
        <v>2025</v>
      </c>
    </row>
    <row r="1387">
      <c r="A1387" s="9">
        <v>45828.0</v>
      </c>
      <c r="B1387" s="9">
        <v>45741.0</v>
      </c>
      <c r="C1387" s="9">
        <f t="shared" si="63"/>
        <v>45828</v>
      </c>
      <c r="D1387" s="11" t="s">
        <v>685</v>
      </c>
      <c r="E1387" s="11" t="s">
        <v>25</v>
      </c>
      <c r="F1387" s="11" t="s">
        <v>110</v>
      </c>
      <c r="G1387" s="11" t="s">
        <v>27</v>
      </c>
      <c r="H1387" s="11" t="s">
        <v>686</v>
      </c>
      <c r="I1387" s="31">
        <v>121.04</v>
      </c>
      <c r="J1387" s="13"/>
      <c r="K1387" s="13">
        <f t="shared" si="77"/>
        <v>121.04</v>
      </c>
      <c r="L1387" s="11" t="s">
        <v>53</v>
      </c>
      <c r="M1387" s="17">
        <v>45811.0</v>
      </c>
      <c r="N1387" s="11" t="s">
        <v>95</v>
      </c>
      <c r="O1387" s="10" t="str">
        <f t="shared" si="64"/>
        <v>06/2025</v>
      </c>
      <c r="P1387" s="10" t="str">
        <f t="shared" si="29"/>
        <v>06/2025</v>
      </c>
      <c r="Q1387" s="15" t="str">
        <f t="array" ref="Q1387">IFERROR(XLOOKUP(N1387,'Classificação'!A:A,'Classificação'!B:B),"")</f>
        <v>DESPESAS NÃO OPERACIONAIS</v>
      </c>
      <c r="R1387" s="15" t="str">
        <f t="array" ref="R1387">IFERROR(XLOOKUP(Q1387,'Classificação'!B:B,'Classificação'!C:C),"")</f>
        <v>RESULTADO NÃO OPERACIONAL (+/-)</v>
      </c>
      <c r="S1387" s="15">
        <f t="shared" si="65"/>
        <v>20</v>
      </c>
      <c r="T1387" s="15">
        <f t="shared" si="6"/>
        <v>6</v>
      </c>
      <c r="U1387" s="15">
        <f t="shared" si="7"/>
        <v>2025</v>
      </c>
      <c r="V1387" s="15">
        <f t="shared" si="8"/>
        <v>20</v>
      </c>
      <c r="W1387" s="15">
        <f t="shared" si="9"/>
        <v>6</v>
      </c>
      <c r="X1387" s="15">
        <f t="shared" si="10"/>
        <v>2025</v>
      </c>
    </row>
    <row r="1388">
      <c r="A1388" s="9">
        <v>45828.0</v>
      </c>
      <c r="B1388" s="9">
        <v>45743.0</v>
      </c>
      <c r="C1388" s="9">
        <f t="shared" si="63"/>
        <v>45828</v>
      </c>
      <c r="D1388" s="11" t="s">
        <v>685</v>
      </c>
      <c r="E1388" s="11" t="s">
        <v>25</v>
      </c>
      <c r="F1388" s="11" t="s">
        <v>110</v>
      </c>
      <c r="G1388" s="11" t="s">
        <v>27</v>
      </c>
      <c r="H1388" s="11" t="s">
        <v>688</v>
      </c>
      <c r="I1388" s="31">
        <v>106.34</v>
      </c>
      <c r="J1388" s="13"/>
      <c r="K1388" s="13">
        <f t="shared" si="77"/>
        <v>106.34</v>
      </c>
      <c r="L1388" s="11" t="s">
        <v>53</v>
      </c>
      <c r="M1388" s="17">
        <v>45719.0</v>
      </c>
      <c r="N1388" s="11" t="s">
        <v>448</v>
      </c>
      <c r="O1388" s="10" t="str">
        <f t="shared" si="64"/>
        <v>06/2025</v>
      </c>
      <c r="P1388" s="10" t="str">
        <f t="shared" si="29"/>
        <v>06/2025</v>
      </c>
      <c r="Q1388" s="15" t="str">
        <f t="array" ref="Q1388">IFERROR(XLOOKUP(N1388,'Classificação'!A:A,'Classificação'!B:B),"")</f>
        <v>DESPESAS ADMINISTRATIVAS</v>
      </c>
      <c r="R1388" s="15" t="str">
        <f t="array" ref="R1388">IFERROR(XLOOKUP(Q1388,'Classificação'!B:B,'Classificação'!C:C),"")</f>
        <v>DESPESAS FIXAS (-)</v>
      </c>
      <c r="S1388" s="15">
        <f t="shared" si="65"/>
        <v>20</v>
      </c>
      <c r="T1388" s="15">
        <f t="shared" si="6"/>
        <v>6</v>
      </c>
      <c r="U1388" s="15">
        <f t="shared" si="7"/>
        <v>2025</v>
      </c>
      <c r="V1388" s="15">
        <f t="shared" si="8"/>
        <v>20</v>
      </c>
      <c r="W1388" s="15">
        <f t="shared" si="9"/>
        <v>6</v>
      </c>
      <c r="X1388" s="15">
        <f t="shared" si="10"/>
        <v>2025</v>
      </c>
    </row>
    <row r="1389">
      <c r="A1389" s="9">
        <v>45828.0</v>
      </c>
      <c r="B1389" s="9">
        <v>45742.0</v>
      </c>
      <c r="C1389" s="9">
        <f t="shared" si="63"/>
        <v>45828</v>
      </c>
      <c r="D1389" s="11" t="s">
        <v>689</v>
      </c>
      <c r="E1389" s="11" t="s">
        <v>25</v>
      </c>
      <c r="F1389" s="11" t="s">
        <v>110</v>
      </c>
      <c r="G1389" s="11" t="s">
        <v>27</v>
      </c>
      <c r="H1389" s="11" t="s">
        <v>690</v>
      </c>
      <c r="I1389" s="31">
        <v>300.0</v>
      </c>
      <c r="J1389" s="13"/>
      <c r="K1389" s="13">
        <f t="shared" si="77"/>
        <v>300</v>
      </c>
      <c r="L1389" s="11" t="s">
        <v>53</v>
      </c>
      <c r="M1389" s="17">
        <v>45719.0</v>
      </c>
      <c r="N1389" s="11" t="s">
        <v>448</v>
      </c>
      <c r="O1389" s="10" t="str">
        <f t="shared" si="64"/>
        <v>06/2025</v>
      </c>
      <c r="P1389" s="10" t="str">
        <f t="shared" si="29"/>
        <v>06/2025</v>
      </c>
      <c r="Q1389" s="15" t="str">
        <f t="array" ref="Q1389">IFERROR(XLOOKUP(N1389,'Classificação'!A:A,'Classificação'!B:B),"")</f>
        <v>DESPESAS ADMINISTRATIVAS</v>
      </c>
      <c r="R1389" s="15" t="str">
        <f t="array" ref="R1389">IFERROR(XLOOKUP(Q1389,'Classificação'!B:B,'Classificação'!C:C),"")</f>
        <v>DESPESAS FIXAS (-)</v>
      </c>
      <c r="S1389" s="15">
        <f t="shared" si="65"/>
        <v>20</v>
      </c>
      <c r="T1389" s="15">
        <f t="shared" si="6"/>
        <v>6</v>
      </c>
      <c r="U1389" s="15">
        <f t="shared" si="7"/>
        <v>2025</v>
      </c>
      <c r="V1389" s="15">
        <f t="shared" si="8"/>
        <v>20</v>
      </c>
      <c r="W1389" s="15">
        <f t="shared" si="9"/>
        <v>6</v>
      </c>
      <c r="X1389" s="15">
        <f t="shared" si="10"/>
        <v>2025</v>
      </c>
    </row>
    <row r="1390">
      <c r="A1390" s="9">
        <v>45828.0</v>
      </c>
      <c r="B1390" s="9">
        <v>45757.0</v>
      </c>
      <c r="C1390" s="9">
        <f t="shared" si="63"/>
        <v>45828</v>
      </c>
      <c r="D1390" s="11" t="s">
        <v>65</v>
      </c>
      <c r="E1390" s="11" t="s">
        <v>25</v>
      </c>
      <c r="F1390" s="11" t="s">
        <v>107</v>
      </c>
      <c r="G1390" s="11" t="s">
        <v>27</v>
      </c>
      <c r="H1390" s="11" t="s">
        <v>681</v>
      </c>
      <c r="I1390" s="31">
        <v>47.74</v>
      </c>
      <c r="J1390" s="13"/>
      <c r="K1390" s="13">
        <f t="shared" si="77"/>
        <v>47.74</v>
      </c>
      <c r="L1390" s="11" t="s">
        <v>53</v>
      </c>
      <c r="M1390" s="17">
        <v>45993.0</v>
      </c>
      <c r="N1390" s="11" t="s">
        <v>95</v>
      </c>
      <c r="O1390" s="10" t="str">
        <f t="shared" si="64"/>
        <v>06/2025</v>
      </c>
      <c r="P1390" s="10" t="str">
        <f t="shared" si="29"/>
        <v>06/2025</v>
      </c>
      <c r="Q1390" s="15" t="str">
        <f t="array" ref="Q1390">IFERROR(XLOOKUP(N1390,'Classificação'!A:A,'Classificação'!B:B),"")</f>
        <v>DESPESAS NÃO OPERACIONAIS</v>
      </c>
      <c r="R1390" s="15" t="str">
        <f t="array" ref="R1390">IFERROR(XLOOKUP(Q1390,'Classificação'!B:B,'Classificação'!C:C),"")</f>
        <v>RESULTADO NÃO OPERACIONAL (+/-)</v>
      </c>
      <c r="S1390" s="15">
        <f t="shared" si="65"/>
        <v>20</v>
      </c>
      <c r="T1390" s="15">
        <f t="shared" si="6"/>
        <v>6</v>
      </c>
      <c r="U1390" s="15">
        <f t="shared" si="7"/>
        <v>2025</v>
      </c>
      <c r="V1390" s="15">
        <f t="shared" si="8"/>
        <v>20</v>
      </c>
      <c r="W1390" s="15">
        <f t="shared" si="9"/>
        <v>6</v>
      </c>
      <c r="X1390" s="15">
        <f t="shared" si="10"/>
        <v>2025</v>
      </c>
    </row>
    <row r="1391">
      <c r="A1391" s="27">
        <v>45828.0</v>
      </c>
      <c r="B1391" s="9">
        <v>45757.0</v>
      </c>
      <c r="C1391" s="9">
        <f>IF(E1391="pago",A1390,"")</f>
        <v>45828</v>
      </c>
      <c r="D1391" s="11" t="s">
        <v>65</v>
      </c>
      <c r="E1391" s="11" t="s">
        <v>25</v>
      </c>
      <c r="F1391" s="11" t="s">
        <v>107</v>
      </c>
      <c r="G1391" s="11" t="s">
        <v>27</v>
      </c>
      <c r="H1391" s="11" t="s">
        <v>739</v>
      </c>
      <c r="I1391" s="31">
        <v>48.17</v>
      </c>
      <c r="J1391" s="13"/>
      <c r="K1391" s="13">
        <f t="shared" si="77"/>
        <v>48.17</v>
      </c>
      <c r="L1391" s="11" t="s">
        <v>53</v>
      </c>
      <c r="M1391" s="17">
        <v>45963.0</v>
      </c>
      <c r="N1391" s="11" t="s">
        <v>95</v>
      </c>
      <c r="O1391" s="10" t="str">
        <f>if(A1390="","", TEXT(A1390,"mm/yyyy"))</f>
        <v>06/2025</v>
      </c>
      <c r="P1391" s="10" t="str">
        <f t="shared" si="29"/>
        <v>06/2025</v>
      </c>
      <c r="Q1391" s="15" t="str">
        <f t="array" ref="Q1391">IFERROR(XLOOKUP(N1391,'Classificação'!A:A,'Classificação'!B:B),"")</f>
        <v>DESPESAS NÃO OPERACIONAIS</v>
      </c>
      <c r="R1391" s="15" t="str">
        <f t="array" ref="R1391">IFERROR(XLOOKUP(Q1391,'Classificação'!B:B,'Classificação'!C:C),"")</f>
        <v>RESULTADO NÃO OPERACIONAL (+/-)</v>
      </c>
      <c r="S1391" s="15">
        <f>iferror(DAY(A1390),"")</f>
        <v>20</v>
      </c>
      <c r="T1391" s="15">
        <f t="shared" si="6"/>
        <v>6</v>
      </c>
      <c r="U1391" s="15">
        <f t="shared" si="7"/>
        <v>2025</v>
      </c>
      <c r="V1391" s="15">
        <f t="shared" si="8"/>
        <v>20</v>
      </c>
      <c r="W1391" s="15">
        <f t="shared" si="9"/>
        <v>6</v>
      </c>
      <c r="X1391" s="15">
        <f t="shared" si="10"/>
        <v>2025</v>
      </c>
    </row>
    <row r="1392">
      <c r="A1392" s="9">
        <v>45828.0</v>
      </c>
      <c r="B1392" s="9">
        <v>45758.0</v>
      </c>
      <c r="C1392" s="9">
        <f t="shared" ref="C1392:C1546" si="78">IF(E1392="pago",A1392,"")</f>
        <v>45828</v>
      </c>
      <c r="D1392" s="11" t="s">
        <v>65</v>
      </c>
      <c r="E1392" s="11" t="s">
        <v>25</v>
      </c>
      <c r="F1392" s="11" t="s">
        <v>107</v>
      </c>
      <c r="G1392" s="11" t="s">
        <v>27</v>
      </c>
      <c r="H1392" s="11" t="s">
        <v>740</v>
      </c>
      <c r="I1392" s="31">
        <v>422.97</v>
      </c>
      <c r="J1392" s="13"/>
      <c r="K1392" s="13">
        <f t="shared" si="77"/>
        <v>422.97</v>
      </c>
      <c r="L1392" s="11" t="s">
        <v>53</v>
      </c>
      <c r="M1392" s="17">
        <v>45690.0</v>
      </c>
      <c r="N1392" s="11" t="s">
        <v>143</v>
      </c>
      <c r="O1392" s="10" t="str">
        <f t="shared" ref="O1392:O3393" si="79">if(A1392="","", TEXT(A1392,"mm/yyyy"))</f>
        <v>06/2025</v>
      </c>
      <c r="P1392" s="10" t="str">
        <f t="shared" si="29"/>
        <v>06/2025</v>
      </c>
      <c r="Q1392" s="15" t="str">
        <f t="array" ref="Q1392">IFERROR(XLOOKUP(N1392,'Classificação'!A:A,'Classificação'!B:B),"")</f>
        <v>EMBALAGENS/FITAS/GERAL</v>
      </c>
      <c r="R1392" s="15" t="str">
        <f t="array" ref="R1392">IFERROR(XLOOKUP(Q1392,'Classificação'!B:B,'Classificação'!C:C),"")</f>
        <v>CUSTOS VARIÁVEIS</v>
      </c>
      <c r="S1392" s="15">
        <f t="shared" ref="S1392:S1546" si="80">iferror(DAY(A1392),"")</f>
        <v>20</v>
      </c>
      <c r="T1392" s="15">
        <f t="shared" si="6"/>
        <v>6</v>
      </c>
      <c r="U1392" s="15">
        <f t="shared" si="7"/>
        <v>2025</v>
      </c>
      <c r="V1392" s="15">
        <f t="shared" si="8"/>
        <v>20</v>
      </c>
      <c r="W1392" s="15">
        <f t="shared" si="9"/>
        <v>6</v>
      </c>
      <c r="X1392" s="15">
        <f t="shared" si="10"/>
        <v>2025</v>
      </c>
    </row>
    <row r="1393">
      <c r="A1393" s="9">
        <v>45828.0</v>
      </c>
      <c r="B1393" s="9">
        <v>45758.0</v>
      </c>
      <c r="C1393" s="9">
        <f t="shared" si="78"/>
        <v>45828</v>
      </c>
      <c r="D1393" s="11" t="s">
        <v>65</v>
      </c>
      <c r="E1393" s="11" t="s">
        <v>25</v>
      </c>
      <c r="F1393" s="11" t="s">
        <v>107</v>
      </c>
      <c r="G1393" s="11" t="s">
        <v>27</v>
      </c>
      <c r="H1393" s="11" t="s">
        <v>740</v>
      </c>
      <c r="I1393" s="31">
        <v>295.87</v>
      </c>
      <c r="J1393" s="13"/>
      <c r="K1393" s="13">
        <f t="shared" si="77"/>
        <v>295.87</v>
      </c>
      <c r="L1393" s="11" t="s">
        <v>53</v>
      </c>
      <c r="M1393" s="17">
        <v>45690.0</v>
      </c>
      <c r="N1393" s="11" t="s">
        <v>143</v>
      </c>
      <c r="O1393" s="10" t="str">
        <f t="shared" si="79"/>
        <v>06/2025</v>
      </c>
      <c r="P1393" s="10" t="str">
        <f t="shared" si="29"/>
        <v>06/2025</v>
      </c>
      <c r="Q1393" s="15" t="str">
        <f t="array" ref="Q1393">IFERROR(XLOOKUP(N1393,'Classificação'!A:A,'Classificação'!B:B),"")</f>
        <v>EMBALAGENS/FITAS/GERAL</v>
      </c>
      <c r="R1393" s="15" t="str">
        <f t="array" ref="R1393">IFERROR(XLOOKUP(Q1393,'Classificação'!B:B,'Classificação'!C:C),"")</f>
        <v>CUSTOS VARIÁVEIS</v>
      </c>
      <c r="S1393" s="15">
        <f t="shared" si="80"/>
        <v>20</v>
      </c>
      <c r="T1393" s="15">
        <f t="shared" si="6"/>
        <v>6</v>
      </c>
      <c r="U1393" s="15">
        <f t="shared" si="7"/>
        <v>2025</v>
      </c>
      <c r="V1393" s="15">
        <f t="shared" si="8"/>
        <v>20</v>
      </c>
      <c r="W1393" s="15">
        <f t="shared" si="9"/>
        <v>6</v>
      </c>
      <c r="X1393" s="15">
        <f t="shared" si="10"/>
        <v>2025</v>
      </c>
    </row>
    <row r="1394">
      <c r="A1394" s="9">
        <v>45828.0</v>
      </c>
      <c r="B1394" s="9">
        <v>45758.0</v>
      </c>
      <c r="C1394" s="9">
        <f t="shared" si="78"/>
        <v>45828</v>
      </c>
      <c r="D1394" s="11" t="s">
        <v>65</v>
      </c>
      <c r="E1394" s="11" t="s">
        <v>25</v>
      </c>
      <c r="F1394" s="11" t="s">
        <v>107</v>
      </c>
      <c r="G1394" s="11" t="s">
        <v>27</v>
      </c>
      <c r="H1394" s="11" t="s">
        <v>740</v>
      </c>
      <c r="I1394" s="31">
        <v>384.15</v>
      </c>
      <c r="J1394" s="13"/>
      <c r="K1394" s="13">
        <f t="shared" si="77"/>
        <v>384.15</v>
      </c>
      <c r="L1394" s="11" t="s">
        <v>53</v>
      </c>
      <c r="M1394" s="17">
        <v>45718.0</v>
      </c>
      <c r="N1394" s="11" t="s">
        <v>143</v>
      </c>
      <c r="O1394" s="10" t="str">
        <f t="shared" si="79"/>
        <v>06/2025</v>
      </c>
      <c r="P1394" s="10" t="str">
        <f t="shared" si="29"/>
        <v>06/2025</v>
      </c>
      <c r="Q1394" s="15" t="str">
        <f t="array" ref="Q1394">IFERROR(XLOOKUP(N1394,'Classificação'!A:A,'Classificação'!B:B),"")</f>
        <v>EMBALAGENS/FITAS/GERAL</v>
      </c>
      <c r="R1394" s="15" t="str">
        <f t="array" ref="R1394">IFERROR(XLOOKUP(Q1394,'Classificação'!B:B,'Classificação'!C:C),"")</f>
        <v>CUSTOS VARIÁVEIS</v>
      </c>
      <c r="S1394" s="15">
        <f t="shared" si="80"/>
        <v>20</v>
      </c>
      <c r="T1394" s="15">
        <f t="shared" si="6"/>
        <v>6</v>
      </c>
      <c r="U1394" s="15">
        <f t="shared" si="7"/>
        <v>2025</v>
      </c>
      <c r="V1394" s="15">
        <f t="shared" si="8"/>
        <v>20</v>
      </c>
      <c r="W1394" s="15">
        <f t="shared" si="9"/>
        <v>6</v>
      </c>
      <c r="X1394" s="15">
        <f t="shared" si="10"/>
        <v>2025</v>
      </c>
    </row>
    <row r="1395">
      <c r="A1395" s="9">
        <v>45828.0</v>
      </c>
      <c r="B1395" s="9">
        <v>45724.0</v>
      </c>
      <c r="C1395" s="9">
        <f t="shared" si="78"/>
        <v>45828</v>
      </c>
      <c r="D1395" s="11" t="s">
        <v>44</v>
      </c>
      <c r="E1395" s="11" t="s">
        <v>25</v>
      </c>
      <c r="F1395" s="11" t="s">
        <v>107</v>
      </c>
      <c r="G1395" s="11" t="s">
        <v>27</v>
      </c>
      <c r="H1395" s="11" t="s">
        <v>674</v>
      </c>
      <c r="I1395" s="31">
        <v>109.95</v>
      </c>
      <c r="J1395" s="13"/>
      <c r="K1395" s="13">
        <f t="shared" si="77"/>
        <v>109.95</v>
      </c>
      <c r="L1395" s="11" t="s">
        <v>53</v>
      </c>
      <c r="M1395" s="17">
        <v>45719.0</v>
      </c>
      <c r="N1395" s="11" t="s">
        <v>448</v>
      </c>
      <c r="O1395" s="10" t="str">
        <f t="shared" si="79"/>
        <v>06/2025</v>
      </c>
      <c r="P1395" s="10" t="str">
        <f t="shared" si="29"/>
        <v>06/2025</v>
      </c>
      <c r="Q1395" s="15" t="str">
        <f t="array" ref="Q1395">IFERROR(XLOOKUP(N1395,'Classificação'!A:A,'Classificação'!B:B),"")</f>
        <v>DESPESAS ADMINISTRATIVAS</v>
      </c>
      <c r="R1395" s="15" t="str">
        <f t="array" ref="R1395">IFERROR(XLOOKUP(Q1395,'Classificação'!B:B,'Classificação'!C:C),"")</f>
        <v>DESPESAS FIXAS (-)</v>
      </c>
      <c r="S1395" s="15">
        <f t="shared" si="80"/>
        <v>20</v>
      </c>
      <c r="T1395" s="15">
        <f t="shared" si="6"/>
        <v>6</v>
      </c>
      <c r="U1395" s="15">
        <f t="shared" si="7"/>
        <v>2025</v>
      </c>
      <c r="V1395" s="15">
        <f t="shared" si="8"/>
        <v>20</v>
      </c>
      <c r="W1395" s="15">
        <f t="shared" si="9"/>
        <v>6</v>
      </c>
      <c r="X1395" s="15">
        <f t="shared" si="10"/>
        <v>2025</v>
      </c>
    </row>
    <row r="1396">
      <c r="A1396" s="9">
        <v>45828.0</v>
      </c>
      <c r="B1396" s="9">
        <v>45786.0</v>
      </c>
      <c r="C1396" s="9">
        <f t="shared" si="78"/>
        <v>45828</v>
      </c>
      <c r="D1396" s="11" t="s">
        <v>182</v>
      </c>
      <c r="E1396" s="11" t="s">
        <v>25</v>
      </c>
      <c r="F1396" s="11" t="s">
        <v>107</v>
      </c>
      <c r="G1396" s="11" t="s">
        <v>27</v>
      </c>
      <c r="H1396" s="11" t="s">
        <v>751</v>
      </c>
      <c r="I1396" s="31">
        <v>12.18</v>
      </c>
      <c r="J1396" s="13"/>
      <c r="K1396" s="13">
        <f t="shared" si="77"/>
        <v>12.18</v>
      </c>
      <c r="L1396" s="11" t="s">
        <v>34</v>
      </c>
      <c r="M1396" s="14"/>
      <c r="N1396" s="11" t="s">
        <v>184</v>
      </c>
      <c r="O1396" s="10" t="str">
        <f t="shared" si="79"/>
        <v>06/2025</v>
      </c>
      <c r="P1396" s="10" t="str">
        <f t="shared" si="29"/>
        <v>06/2025</v>
      </c>
      <c r="Q1396" s="15" t="str">
        <f t="array" ref="Q1396">IFERROR(XLOOKUP(N1396,'Classificação'!A:A,'Classificação'!B:B),"")</f>
        <v>DESPESAS ADMINISTRATIVAS</v>
      </c>
      <c r="R1396" s="15" t="str">
        <f t="array" ref="R1396">IFERROR(XLOOKUP(Q1396,'Classificação'!B:B,'Classificação'!C:C),"")</f>
        <v>DESPESAS FIXAS (-)</v>
      </c>
      <c r="S1396" s="15">
        <f t="shared" si="80"/>
        <v>20</v>
      </c>
      <c r="T1396" s="15">
        <f t="shared" si="6"/>
        <v>6</v>
      </c>
      <c r="U1396" s="15">
        <f t="shared" si="7"/>
        <v>2025</v>
      </c>
      <c r="V1396" s="15">
        <f t="shared" si="8"/>
        <v>20</v>
      </c>
      <c r="W1396" s="15">
        <f t="shared" si="9"/>
        <v>6</v>
      </c>
      <c r="X1396" s="15">
        <f t="shared" si="10"/>
        <v>2025</v>
      </c>
    </row>
    <row r="1397">
      <c r="A1397" s="9">
        <v>45828.0</v>
      </c>
      <c r="B1397" s="9">
        <v>45786.0</v>
      </c>
      <c r="C1397" s="9">
        <f t="shared" si="78"/>
        <v>45828</v>
      </c>
      <c r="D1397" s="11" t="s">
        <v>255</v>
      </c>
      <c r="E1397" s="11" t="s">
        <v>25</v>
      </c>
      <c r="F1397" s="11" t="s">
        <v>107</v>
      </c>
      <c r="G1397" s="11" t="s">
        <v>27</v>
      </c>
      <c r="H1397" s="11" t="s">
        <v>803</v>
      </c>
      <c r="I1397" s="31">
        <v>398.34</v>
      </c>
      <c r="J1397" s="13"/>
      <c r="K1397" s="13">
        <f t="shared" si="77"/>
        <v>398.34</v>
      </c>
      <c r="L1397" s="11" t="s">
        <v>34</v>
      </c>
      <c r="M1397" s="14"/>
      <c r="N1397" s="11" t="s">
        <v>71</v>
      </c>
      <c r="O1397" s="10" t="str">
        <f t="shared" si="79"/>
        <v>06/2025</v>
      </c>
      <c r="P1397" s="10" t="str">
        <f t="shared" si="29"/>
        <v>06/2025</v>
      </c>
      <c r="Q1397" s="15" t="str">
        <f t="array" ref="Q1397">IFERROR(XLOOKUP(N1397,'Classificação'!A:A,'Classificação'!B:B),"")</f>
        <v>DESPESAS DIVERSAS</v>
      </c>
      <c r="R1397" s="15" t="str">
        <f t="array" ref="R1397">IFERROR(XLOOKUP(Q1397,'Classificação'!B:B,'Classificação'!C:C),"")</f>
        <v>DESPESAS FIXAS (-)</v>
      </c>
      <c r="S1397" s="15">
        <f t="shared" si="80"/>
        <v>20</v>
      </c>
      <c r="T1397" s="15">
        <f t="shared" si="6"/>
        <v>6</v>
      </c>
      <c r="U1397" s="15">
        <f t="shared" si="7"/>
        <v>2025</v>
      </c>
      <c r="V1397" s="15">
        <f t="shared" si="8"/>
        <v>20</v>
      </c>
      <c r="W1397" s="15">
        <f t="shared" si="9"/>
        <v>6</v>
      </c>
      <c r="X1397" s="15">
        <f t="shared" si="10"/>
        <v>2025</v>
      </c>
    </row>
    <row r="1398">
      <c r="A1398" s="9">
        <v>45828.0</v>
      </c>
      <c r="B1398" s="9">
        <v>45786.0</v>
      </c>
      <c r="C1398" s="9">
        <f t="shared" si="78"/>
        <v>45828</v>
      </c>
      <c r="D1398" s="11" t="s">
        <v>65</v>
      </c>
      <c r="E1398" s="11" t="s">
        <v>25</v>
      </c>
      <c r="F1398" s="11" t="s">
        <v>107</v>
      </c>
      <c r="G1398" s="11" t="s">
        <v>27</v>
      </c>
      <c r="H1398" s="11" t="s">
        <v>804</v>
      </c>
      <c r="I1398" s="31">
        <v>109.91</v>
      </c>
      <c r="J1398" s="13"/>
      <c r="K1398" s="13">
        <f t="shared" si="77"/>
        <v>109.91</v>
      </c>
      <c r="L1398" s="11" t="s">
        <v>34</v>
      </c>
      <c r="M1398" s="14"/>
      <c r="N1398" s="11" t="s">
        <v>347</v>
      </c>
      <c r="O1398" s="10" t="str">
        <f t="shared" si="79"/>
        <v>06/2025</v>
      </c>
      <c r="P1398" s="10" t="str">
        <f t="shared" si="29"/>
        <v>06/2025</v>
      </c>
      <c r="Q1398" s="15" t="str">
        <f t="array" ref="Q1398">IFERROR(XLOOKUP(N1398,'Classificação'!A:A,'Classificação'!B:B),"")</f>
        <v>DESPESAS ADMINISTRATIVAS</v>
      </c>
      <c r="R1398" s="15" t="str">
        <f t="array" ref="R1398">IFERROR(XLOOKUP(Q1398,'Classificação'!B:B,'Classificação'!C:C),"")</f>
        <v>DESPESAS FIXAS (-)</v>
      </c>
      <c r="S1398" s="15">
        <f t="shared" si="80"/>
        <v>20</v>
      </c>
      <c r="T1398" s="15">
        <f t="shared" si="6"/>
        <v>6</v>
      </c>
      <c r="U1398" s="15">
        <f t="shared" si="7"/>
        <v>2025</v>
      </c>
      <c r="V1398" s="15">
        <f t="shared" si="8"/>
        <v>20</v>
      </c>
      <c r="W1398" s="15">
        <f t="shared" si="9"/>
        <v>6</v>
      </c>
      <c r="X1398" s="15">
        <f t="shared" si="10"/>
        <v>2025</v>
      </c>
    </row>
    <row r="1399">
      <c r="A1399" s="9">
        <v>45828.0</v>
      </c>
      <c r="B1399" s="9">
        <v>45791.0</v>
      </c>
      <c r="C1399" s="9">
        <f t="shared" si="78"/>
        <v>45828</v>
      </c>
      <c r="D1399" s="11" t="s">
        <v>65</v>
      </c>
      <c r="E1399" s="11" t="s">
        <v>25</v>
      </c>
      <c r="F1399" s="11" t="s">
        <v>107</v>
      </c>
      <c r="G1399" s="11" t="s">
        <v>27</v>
      </c>
      <c r="H1399" s="11" t="s">
        <v>805</v>
      </c>
      <c r="I1399" s="31">
        <v>86.4</v>
      </c>
      <c r="J1399" s="13"/>
      <c r="K1399" s="13">
        <f t="shared" si="77"/>
        <v>86.4</v>
      </c>
      <c r="L1399" s="11" t="s">
        <v>34</v>
      </c>
      <c r="M1399" s="14"/>
      <c r="N1399" s="11" t="s">
        <v>259</v>
      </c>
      <c r="O1399" s="10" t="str">
        <f t="shared" si="79"/>
        <v>06/2025</v>
      </c>
      <c r="P1399" s="10" t="str">
        <f t="shared" si="29"/>
        <v>06/2025</v>
      </c>
      <c r="Q1399" s="15" t="str">
        <f t="array" ref="Q1399">IFERROR(XLOOKUP(N1399,'Classificação'!A:A,'Classificação'!B:B),"")</f>
        <v>DESPESAS ADMINISTRATIVAS</v>
      </c>
      <c r="R1399" s="15" t="str">
        <f t="array" ref="R1399">IFERROR(XLOOKUP(Q1399,'Classificação'!B:B,'Classificação'!C:C),"")</f>
        <v>DESPESAS FIXAS (-)</v>
      </c>
      <c r="S1399" s="15">
        <f t="shared" si="80"/>
        <v>20</v>
      </c>
      <c r="T1399" s="15">
        <f t="shared" si="6"/>
        <v>6</v>
      </c>
      <c r="U1399" s="15">
        <f t="shared" si="7"/>
        <v>2025</v>
      </c>
      <c r="V1399" s="15">
        <f t="shared" si="8"/>
        <v>20</v>
      </c>
      <c r="W1399" s="15">
        <f t="shared" si="9"/>
        <v>6</v>
      </c>
      <c r="X1399" s="15">
        <f t="shared" si="10"/>
        <v>2025</v>
      </c>
    </row>
    <row r="1400">
      <c r="A1400" s="9">
        <v>45828.0</v>
      </c>
      <c r="B1400" s="9">
        <v>45797.0</v>
      </c>
      <c r="C1400" s="9">
        <f t="shared" si="78"/>
        <v>45828</v>
      </c>
      <c r="D1400" s="11" t="s">
        <v>381</v>
      </c>
      <c r="E1400" s="11" t="s">
        <v>25</v>
      </c>
      <c r="F1400" s="11" t="s">
        <v>107</v>
      </c>
      <c r="G1400" s="11" t="s">
        <v>27</v>
      </c>
      <c r="H1400" s="11" t="s">
        <v>806</v>
      </c>
      <c r="I1400" s="31">
        <v>109.0</v>
      </c>
      <c r="J1400" s="13"/>
      <c r="K1400" s="13">
        <f t="shared" si="77"/>
        <v>109</v>
      </c>
      <c r="L1400" s="11" t="s">
        <v>34</v>
      </c>
      <c r="M1400" s="14"/>
      <c r="N1400" s="11" t="s">
        <v>105</v>
      </c>
      <c r="O1400" s="10" t="str">
        <f t="shared" si="79"/>
        <v>06/2025</v>
      </c>
      <c r="P1400" s="10" t="str">
        <f t="shared" si="29"/>
        <v>06/2025</v>
      </c>
      <c r="Q1400" s="15" t="str">
        <f t="array" ref="Q1400">IFERROR(XLOOKUP(N1400,'Classificação'!A:A,'Classificação'!B:B),"")</f>
        <v>DESPESAS ADMINISTRATIVAS</v>
      </c>
      <c r="R1400" s="15" t="str">
        <f t="array" ref="R1400">IFERROR(XLOOKUP(Q1400,'Classificação'!B:B,'Classificação'!C:C),"")</f>
        <v>DESPESAS FIXAS (-)</v>
      </c>
      <c r="S1400" s="15">
        <f t="shared" si="80"/>
        <v>20</v>
      </c>
      <c r="T1400" s="15">
        <f t="shared" si="6"/>
        <v>6</v>
      </c>
      <c r="U1400" s="15">
        <f t="shared" si="7"/>
        <v>2025</v>
      </c>
      <c r="V1400" s="15">
        <f t="shared" si="8"/>
        <v>20</v>
      </c>
      <c r="W1400" s="15">
        <f t="shared" si="9"/>
        <v>6</v>
      </c>
      <c r="X1400" s="15">
        <f t="shared" si="10"/>
        <v>2025</v>
      </c>
    </row>
    <row r="1401">
      <c r="A1401" s="9">
        <v>45828.0</v>
      </c>
      <c r="B1401" s="9">
        <v>45797.0</v>
      </c>
      <c r="C1401" s="9">
        <f t="shared" si="78"/>
        <v>45828</v>
      </c>
      <c r="D1401" s="11" t="s">
        <v>807</v>
      </c>
      <c r="E1401" s="11" t="s">
        <v>25</v>
      </c>
      <c r="F1401" s="11" t="s">
        <v>107</v>
      </c>
      <c r="G1401" s="11" t="s">
        <v>27</v>
      </c>
      <c r="H1401" s="11" t="s">
        <v>808</v>
      </c>
      <c r="I1401" s="31">
        <v>126.92</v>
      </c>
      <c r="J1401" s="13"/>
      <c r="K1401" s="13">
        <f t="shared" si="77"/>
        <v>126.92</v>
      </c>
      <c r="L1401" s="11" t="s">
        <v>34</v>
      </c>
      <c r="M1401" s="14"/>
      <c r="N1401" s="11" t="s">
        <v>71</v>
      </c>
      <c r="O1401" s="10" t="str">
        <f t="shared" si="79"/>
        <v>06/2025</v>
      </c>
      <c r="P1401" s="10" t="str">
        <f t="shared" si="29"/>
        <v>06/2025</v>
      </c>
      <c r="Q1401" s="15" t="str">
        <f t="array" ref="Q1401">IFERROR(XLOOKUP(N1401,'Classificação'!A:A,'Classificação'!B:B),"")</f>
        <v>DESPESAS DIVERSAS</v>
      </c>
      <c r="R1401" s="15" t="str">
        <f t="array" ref="R1401">IFERROR(XLOOKUP(Q1401,'Classificação'!B:B,'Classificação'!C:C),"")</f>
        <v>DESPESAS FIXAS (-)</v>
      </c>
      <c r="S1401" s="15">
        <f t="shared" si="80"/>
        <v>20</v>
      </c>
      <c r="T1401" s="15">
        <f t="shared" si="6"/>
        <v>6</v>
      </c>
      <c r="U1401" s="15">
        <f t="shared" si="7"/>
        <v>2025</v>
      </c>
      <c r="V1401" s="15">
        <f t="shared" si="8"/>
        <v>20</v>
      </c>
      <c r="W1401" s="15">
        <f t="shared" si="9"/>
        <v>6</v>
      </c>
      <c r="X1401" s="15">
        <f t="shared" si="10"/>
        <v>2025</v>
      </c>
    </row>
    <row r="1402">
      <c r="A1402" s="9">
        <v>45828.0</v>
      </c>
      <c r="B1402" s="9">
        <v>45797.0</v>
      </c>
      <c r="C1402" s="9">
        <f t="shared" si="78"/>
        <v>45828</v>
      </c>
      <c r="D1402" s="11" t="s">
        <v>260</v>
      </c>
      <c r="E1402" s="11" t="s">
        <v>25</v>
      </c>
      <c r="F1402" s="11" t="s">
        <v>107</v>
      </c>
      <c r="G1402" s="11" t="s">
        <v>27</v>
      </c>
      <c r="H1402" s="11" t="s">
        <v>809</v>
      </c>
      <c r="I1402" s="31">
        <v>150.3</v>
      </c>
      <c r="J1402" s="13"/>
      <c r="K1402" s="13">
        <f t="shared" si="77"/>
        <v>150.3</v>
      </c>
      <c r="L1402" s="11" t="s">
        <v>34</v>
      </c>
      <c r="M1402" s="14"/>
      <c r="N1402" s="11" t="s">
        <v>71</v>
      </c>
      <c r="O1402" s="10" t="str">
        <f t="shared" si="79"/>
        <v>06/2025</v>
      </c>
      <c r="P1402" s="10" t="str">
        <f t="shared" si="29"/>
        <v>06/2025</v>
      </c>
      <c r="Q1402" s="15" t="str">
        <f t="array" ref="Q1402">IFERROR(XLOOKUP(N1402,'Classificação'!A:A,'Classificação'!B:B),"")</f>
        <v>DESPESAS DIVERSAS</v>
      </c>
      <c r="R1402" s="15" t="str">
        <f t="array" ref="R1402">IFERROR(XLOOKUP(Q1402,'Classificação'!B:B,'Classificação'!C:C),"")</f>
        <v>DESPESAS FIXAS (-)</v>
      </c>
      <c r="S1402" s="15">
        <f t="shared" si="80"/>
        <v>20</v>
      </c>
      <c r="T1402" s="15">
        <f t="shared" si="6"/>
        <v>6</v>
      </c>
      <c r="U1402" s="15">
        <f t="shared" si="7"/>
        <v>2025</v>
      </c>
      <c r="V1402" s="15">
        <f t="shared" si="8"/>
        <v>20</v>
      </c>
      <c r="W1402" s="15">
        <f t="shared" si="9"/>
        <v>6</v>
      </c>
      <c r="X1402" s="15">
        <f t="shared" si="10"/>
        <v>2025</v>
      </c>
    </row>
    <row r="1403">
      <c r="A1403" s="9">
        <v>45828.0</v>
      </c>
      <c r="B1403" s="9">
        <v>45776.0</v>
      </c>
      <c r="C1403" s="9">
        <f t="shared" si="78"/>
        <v>45828</v>
      </c>
      <c r="D1403" s="11" t="s">
        <v>65</v>
      </c>
      <c r="E1403" s="11" t="s">
        <v>25</v>
      </c>
      <c r="F1403" s="11" t="s">
        <v>110</v>
      </c>
      <c r="G1403" s="11" t="s">
        <v>27</v>
      </c>
      <c r="H1403" s="11" t="s">
        <v>752</v>
      </c>
      <c r="I1403" s="31">
        <v>98.4</v>
      </c>
      <c r="J1403" s="13"/>
      <c r="K1403" s="13">
        <f t="shared" si="77"/>
        <v>98.4</v>
      </c>
      <c r="L1403" s="11" t="s">
        <v>53</v>
      </c>
      <c r="M1403" s="17">
        <v>45932.0</v>
      </c>
      <c r="N1403" s="11" t="s">
        <v>58</v>
      </c>
      <c r="O1403" s="10" t="str">
        <f t="shared" si="79"/>
        <v>06/2025</v>
      </c>
      <c r="P1403" s="10" t="str">
        <f t="shared" si="29"/>
        <v>06/2025</v>
      </c>
      <c r="Q1403" s="15" t="str">
        <f t="array" ref="Q1403">IFERROR(XLOOKUP(N1403,'Classificação'!A:A,'Classificação'!B:B),"")</f>
        <v>DESPESAS ADMINISTRATIVAS</v>
      </c>
      <c r="R1403" s="15" t="str">
        <f t="array" ref="R1403">IFERROR(XLOOKUP(Q1403,'Classificação'!B:B,'Classificação'!C:C),"")</f>
        <v>DESPESAS FIXAS (-)</v>
      </c>
      <c r="S1403" s="15">
        <f t="shared" si="80"/>
        <v>20</v>
      </c>
      <c r="T1403" s="15">
        <f t="shared" si="6"/>
        <v>6</v>
      </c>
      <c r="U1403" s="15">
        <f t="shared" si="7"/>
        <v>2025</v>
      </c>
      <c r="V1403" s="15">
        <f t="shared" si="8"/>
        <v>20</v>
      </c>
      <c r="W1403" s="15">
        <f t="shared" si="9"/>
        <v>6</v>
      </c>
      <c r="X1403" s="15">
        <f t="shared" si="10"/>
        <v>2025</v>
      </c>
    </row>
    <row r="1404">
      <c r="A1404" s="9">
        <v>45828.0</v>
      </c>
      <c r="B1404" s="9">
        <v>45797.0</v>
      </c>
      <c r="C1404" s="9">
        <f t="shared" si="78"/>
        <v>45828</v>
      </c>
      <c r="D1404" s="11" t="s">
        <v>810</v>
      </c>
      <c r="E1404" s="11" t="s">
        <v>25</v>
      </c>
      <c r="F1404" s="11" t="s">
        <v>107</v>
      </c>
      <c r="G1404" s="11" t="s">
        <v>27</v>
      </c>
      <c r="H1404" s="11" t="s">
        <v>811</v>
      </c>
      <c r="I1404" s="31">
        <v>60.27</v>
      </c>
      <c r="J1404" s="13"/>
      <c r="K1404" s="13">
        <f t="shared" si="77"/>
        <v>60.27</v>
      </c>
      <c r="L1404" s="11" t="s">
        <v>34</v>
      </c>
      <c r="M1404" s="14"/>
      <c r="N1404" s="11" t="s">
        <v>71</v>
      </c>
      <c r="O1404" s="10" t="str">
        <f t="shared" si="79"/>
        <v>06/2025</v>
      </c>
      <c r="P1404" s="10" t="str">
        <f t="shared" si="29"/>
        <v>06/2025</v>
      </c>
      <c r="Q1404" s="15" t="str">
        <f t="array" ref="Q1404">IFERROR(XLOOKUP(N1404,'Classificação'!A:A,'Classificação'!B:B),"")</f>
        <v>DESPESAS DIVERSAS</v>
      </c>
      <c r="R1404" s="15" t="str">
        <f t="array" ref="R1404">IFERROR(XLOOKUP(Q1404,'Classificação'!B:B,'Classificação'!C:C),"")</f>
        <v>DESPESAS FIXAS (-)</v>
      </c>
      <c r="S1404" s="15">
        <f t="shared" si="80"/>
        <v>20</v>
      </c>
      <c r="T1404" s="15">
        <f t="shared" si="6"/>
        <v>6</v>
      </c>
      <c r="U1404" s="15">
        <f t="shared" si="7"/>
        <v>2025</v>
      </c>
      <c r="V1404" s="15">
        <f t="shared" si="8"/>
        <v>20</v>
      </c>
      <c r="W1404" s="15">
        <f t="shared" si="9"/>
        <v>6</v>
      </c>
      <c r="X1404" s="15">
        <f t="shared" si="10"/>
        <v>2025</v>
      </c>
    </row>
    <row r="1405">
      <c r="A1405" s="9">
        <v>45828.0</v>
      </c>
      <c r="B1405" s="9">
        <v>45800.0</v>
      </c>
      <c r="C1405" s="9">
        <f t="shared" si="78"/>
        <v>45828</v>
      </c>
      <c r="D1405" s="11" t="s">
        <v>114</v>
      </c>
      <c r="E1405" s="11" t="s">
        <v>25</v>
      </c>
      <c r="F1405" s="11" t="s">
        <v>107</v>
      </c>
      <c r="G1405" s="11" t="s">
        <v>27</v>
      </c>
      <c r="H1405" s="11" t="s">
        <v>812</v>
      </c>
      <c r="I1405" s="31">
        <v>191.17</v>
      </c>
      <c r="J1405" s="13"/>
      <c r="K1405" s="13">
        <f t="shared" si="77"/>
        <v>191.17</v>
      </c>
      <c r="L1405" s="11" t="s">
        <v>34</v>
      </c>
      <c r="M1405" s="14"/>
      <c r="N1405" s="11" t="s">
        <v>143</v>
      </c>
      <c r="O1405" s="10" t="str">
        <f t="shared" si="79"/>
        <v>06/2025</v>
      </c>
      <c r="P1405" s="10" t="str">
        <f t="shared" si="29"/>
        <v>06/2025</v>
      </c>
      <c r="Q1405" s="15" t="str">
        <f t="array" ref="Q1405">IFERROR(XLOOKUP(N1405,'Classificação'!A:A,'Classificação'!B:B),"")</f>
        <v>EMBALAGENS/FITAS/GERAL</v>
      </c>
      <c r="R1405" s="15" t="str">
        <f t="array" ref="R1405">IFERROR(XLOOKUP(Q1405,'Classificação'!B:B,'Classificação'!C:C),"")</f>
        <v>CUSTOS VARIÁVEIS</v>
      </c>
      <c r="S1405" s="15">
        <f t="shared" si="80"/>
        <v>20</v>
      </c>
      <c r="T1405" s="15">
        <f t="shared" si="6"/>
        <v>6</v>
      </c>
      <c r="U1405" s="15">
        <f t="shared" si="7"/>
        <v>2025</v>
      </c>
      <c r="V1405" s="15">
        <f t="shared" si="8"/>
        <v>20</v>
      </c>
      <c r="W1405" s="15">
        <f t="shared" si="9"/>
        <v>6</v>
      </c>
      <c r="X1405" s="15">
        <f t="shared" si="10"/>
        <v>2025</v>
      </c>
    </row>
    <row r="1406">
      <c r="A1406" s="9">
        <v>45828.0</v>
      </c>
      <c r="B1406" s="9">
        <v>45800.0</v>
      </c>
      <c r="C1406" s="9">
        <f t="shared" si="78"/>
        <v>45828</v>
      </c>
      <c r="D1406" s="11" t="s">
        <v>179</v>
      </c>
      <c r="E1406" s="11" t="s">
        <v>25</v>
      </c>
      <c r="F1406" s="11" t="s">
        <v>107</v>
      </c>
      <c r="G1406" s="11" t="s">
        <v>27</v>
      </c>
      <c r="H1406" s="11" t="s">
        <v>312</v>
      </c>
      <c r="I1406" s="31">
        <v>100.0</v>
      </c>
      <c r="J1406" s="13"/>
      <c r="K1406" s="13">
        <f t="shared" si="77"/>
        <v>100</v>
      </c>
      <c r="L1406" s="11" t="s">
        <v>34</v>
      </c>
      <c r="M1406" s="14"/>
      <c r="N1406" s="11" t="s">
        <v>181</v>
      </c>
      <c r="O1406" s="10" t="str">
        <f t="shared" si="79"/>
        <v>06/2025</v>
      </c>
      <c r="P1406" s="10" t="str">
        <f t="shared" si="29"/>
        <v>06/2025</v>
      </c>
      <c r="Q1406" s="15" t="str">
        <f t="array" ref="Q1406">IFERROR(XLOOKUP(N1406,'Classificação'!A:A,'Classificação'!B:B),"")</f>
        <v>DESPESAS COM VEICULOS</v>
      </c>
      <c r="R1406" s="15" t="str">
        <f t="array" ref="R1406">IFERROR(XLOOKUP(Q1406,'Classificação'!B:B,'Classificação'!C:C),"")</f>
        <v>DESPESAS FIXAS (-)</v>
      </c>
      <c r="S1406" s="15">
        <f t="shared" si="80"/>
        <v>20</v>
      </c>
      <c r="T1406" s="15">
        <f t="shared" si="6"/>
        <v>6</v>
      </c>
      <c r="U1406" s="15">
        <f t="shared" si="7"/>
        <v>2025</v>
      </c>
      <c r="V1406" s="15">
        <f t="shared" si="8"/>
        <v>20</v>
      </c>
      <c r="W1406" s="15">
        <f t="shared" si="9"/>
        <v>6</v>
      </c>
      <c r="X1406" s="15">
        <f t="shared" si="10"/>
        <v>2025</v>
      </c>
    </row>
    <row r="1407">
      <c r="A1407" s="9">
        <v>45828.0</v>
      </c>
      <c r="B1407" s="9">
        <v>45801.0</v>
      </c>
      <c r="C1407" s="9">
        <f t="shared" si="78"/>
        <v>45828</v>
      </c>
      <c r="D1407" s="11" t="s">
        <v>179</v>
      </c>
      <c r="E1407" s="11" t="s">
        <v>25</v>
      </c>
      <c r="F1407" s="11" t="s">
        <v>107</v>
      </c>
      <c r="G1407" s="11" t="s">
        <v>27</v>
      </c>
      <c r="H1407" s="11" t="s">
        <v>312</v>
      </c>
      <c r="I1407" s="31">
        <v>169.5</v>
      </c>
      <c r="J1407" s="13"/>
      <c r="K1407" s="13">
        <f t="shared" si="77"/>
        <v>169.5</v>
      </c>
      <c r="L1407" s="11" t="s">
        <v>34</v>
      </c>
      <c r="M1407" s="14"/>
      <c r="N1407" s="11" t="s">
        <v>181</v>
      </c>
      <c r="O1407" s="10" t="str">
        <f t="shared" si="79"/>
        <v>06/2025</v>
      </c>
      <c r="P1407" s="10" t="str">
        <f t="shared" si="29"/>
        <v>06/2025</v>
      </c>
      <c r="Q1407" s="15" t="str">
        <f t="array" ref="Q1407">IFERROR(XLOOKUP(N1407,'Classificação'!A:A,'Classificação'!B:B),"")</f>
        <v>DESPESAS COM VEICULOS</v>
      </c>
      <c r="R1407" s="15" t="str">
        <f t="array" ref="R1407">IFERROR(XLOOKUP(Q1407,'Classificação'!B:B,'Classificação'!C:C),"")</f>
        <v>DESPESAS FIXAS (-)</v>
      </c>
      <c r="S1407" s="15">
        <f t="shared" si="80"/>
        <v>20</v>
      </c>
      <c r="T1407" s="15">
        <f t="shared" si="6"/>
        <v>6</v>
      </c>
      <c r="U1407" s="15">
        <f t="shared" si="7"/>
        <v>2025</v>
      </c>
      <c r="V1407" s="15">
        <f t="shared" si="8"/>
        <v>20</v>
      </c>
      <c r="W1407" s="15">
        <f t="shared" si="9"/>
        <v>6</v>
      </c>
      <c r="X1407" s="15">
        <f t="shared" si="10"/>
        <v>2025</v>
      </c>
    </row>
    <row r="1408">
      <c r="A1408" s="9">
        <v>45828.0</v>
      </c>
      <c r="B1408" s="9">
        <v>45803.0</v>
      </c>
      <c r="C1408" s="9">
        <f t="shared" si="78"/>
        <v>45828</v>
      </c>
      <c r="D1408" s="11" t="s">
        <v>167</v>
      </c>
      <c r="E1408" s="11" t="s">
        <v>25</v>
      </c>
      <c r="F1408" s="11" t="s">
        <v>107</v>
      </c>
      <c r="G1408" s="11" t="s">
        <v>27</v>
      </c>
      <c r="H1408" s="11" t="s">
        <v>519</v>
      </c>
      <c r="I1408" s="31">
        <v>27.0</v>
      </c>
      <c r="J1408" s="13"/>
      <c r="K1408" s="13">
        <f t="shared" si="77"/>
        <v>27</v>
      </c>
      <c r="L1408" s="11" t="s">
        <v>34</v>
      </c>
      <c r="M1408" s="14"/>
      <c r="N1408" s="11" t="s">
        <v>78</v>
      </c>
      <c r="O1408" s="10" t="str">
        <f t="shared" si="79"/>
        <v>06/2025</v>
      </c>
      <c r="P1408" s="10" t="str">
        <f t="shared" si="29"/>
        <v>06/2025</v>
      </c>
      <c r="Q1408" s="15" t="str">
        <f t="array" ref="Q1408">IFERROR(XLOOKUP(N1408,'Classificação'!A:A,'Classificação'!B:B),"")</f>
        <v>DESPESAS COM PESSOAL</v>
      </c>
      <c r="R1408" s="15" t="str">
        <f t="array" ref="R1408">IFERROR(XLOOKUP(Q1408,'Classificação'!B:B,'Classificação'!C:C),"")</f>
        <v>DESPESAS FIXAS (-)</v>
      </c>
      <c r="S1408" s="15">
        <f t="shared" si="80"/>
        <v>20</v>
      </c>
      <c r="T1408" s="15">
        <f t="shared" si="6"/>
        <v>6</v>
      </c>
      <c r="U1408" s="15">
        <f t="shared" si="7"/>
        <v>2025</v>
      </c>
      <c r="V1408" s="15">
        <f t="shared" si="8"/>
        <v>20</v>
      </c>
      <c r="W1408" s="15">
        <f t="shared" si="9"/>
        <v>6</v>
      </c>
      <c r="X1408" s="15">
        <f t="shared" si="10"/>
        <v>2025</v>
      </c>
    </row>
    <row r="1409">
      <c r="A1409" s="9">
        <v>45828.0</v>
      </c>
      <c r="B1409" s="9">
        <v>45804.0</v>
      </c>
      <c r="C1409" s="9">
        <f t="shared" si="78"/>
        <v>45828</v>
      </c>
      <c r="D1409" s="11" t="s">
        <v>167</v>
      </c>
      <c r="E1409" s="11" t="s">
        <v>25</v>
      </c>
      <c r="F1409" s="11" t="s">
        <v>107</v>
      </c>
      <c r="G1409" s="11" t="s">
        <v>27</v>
      </c>
      <c r="H1409" s="11" t="s">
        <v>519</v>
      </c>
      <c r="I1409" s="31">
        <v>27.0</v>
      </c>
      <c r="J1409" s="13"/>
      <c r="K1409" s="13">
        <f t="shared" si="77"/>
        <v>27</v>
      </c>
      <c r="L1409" s="11" t="s">
        <v>34</v>
      </c>
      <c r="M1409" s="14"/>
      <c r="N1409" s="11" t="s">
        <v>78</v>
      </c>
      <c r="O1409" s="10" t="str">
        <f t="shared" si="79"/>
        <v>06/2025</v>
      </c>
      <c r="P1409" s="10" t="str">
        <f t="shared" si="29"/>
        <v>06/2025</v>
      </c>
      <c r="Q1409" s="15" t="str">
        <f t="array" ref="Q1409">IFERROR(XLOOKUP(N1409,'Classificação'!A:A,'Classificação'!B:B),"")</f>
        <v>DESPESAS COM PESSOAL</v>
      </c>
      <c r="R1409" s="15" t="str">
        <f t="array" ref="R1409">IFERROR(XLOOKUP(Q1409,'Classificação'!B:B,'Classificação'!C:C),"")</f>
        <v>DESPESAS FIXAS (-)</v>
      </c>
      <c r="S1409" s="15">
        <f t="shared" si="80"/>
        <v>20</v>
      </c>
      <c r="T1409" s="15">
        <f t="shared" si="6"/>
        <v>6</v>
      </c>
      <c r="U1409" s="15">
        <f t="shared" si="7"/>
        <v>2025</v>
      </c>
      <c r="V1409" s="15">
        <f t="shared" si="8"/>
        <v>20</v>
      </c>
      <c r="W1409" s="15">
        <f t="shared" si="9"/>
        <v>6</v>
      </c>
      <c r="X1409" s="15">
        <f t="shared" si="10"/>
        <v>2025</v>
      </c>
    </row>
    <row r="1410">
      <c r="A1410" s="9">
        <v>45828.0</v>
      </c>
      <c r="B1410" s="9">
        <v>45806.0</v>
      </c>
      <c r="C1410" s="9">
        <f t="shared" si="78"/>
        <v>45828</v>
      </c>
      <c r="D1410" s="11" t="s">
        <v>167</v>
      </c>
      <c r="E1410" s="11" t="s">
        <v>25</v>
      </c>
      <c r="F1410" s="11" t="s">
        <v>107</v>
      </c>
      <c r="G1410" s="11" t="s">
        <v>27</v>
      </c>
      <c r="H1410" s="11" t="s">
        <v>519</v>
      </c>
      <c r="I1410" s="31">
        <v>28.0</v>
      </c>
      <c r="J1410" s="13"/>
      <c r="K1410" s="13">
        <f t="shared" si="77"/>
        <v>28</v>
      </c>
      <c r="L1410" s="11" t="s">
        <v>34</v>
      </c>
      <c r="M1410" s="14"/>
      <c r="N1410" s="11" t="s">
        <v>78</v>
      </c>
      <c r="O1410" s="10" t="str">
        <f t="shared" si="79"/>
        <v>06/2025</v>
      </c>
      <c r="P1410" s="10" t="str">
        <f t="shared" si="29"/>
        <v>06/2025</v>
      </c>
      <c r="Q1410" s="15" t="str">
        <f t="array" ref="Q1410">IFERROR(XLOOKUP(N1410,'Classificação'!A:A,'Classificação'!B:B),"")</f>
        <v>DESPESAS COM PESSOAL</v>
      </c>
      <c r="R1410" s="15" t="str">
        <f t="array" ref="R1410">IFERROR(XLOOKUP(Q1410,'Classificação'!B:B,'Classificação'!C:C),"")</f>
        <v>DESPESAS FIXAS (-)</v>
      </c>
      <c r="S1410" s="15">
        <f t="shared" si="80"/>
        <v>20</v>
      </c>
      <c r="T1410" s="15">
        <f t="shared" si="6"/>
        <v>6</v>
      </c>
      <c r="U1410" s="15">
        <f t="shared" si="7"/>
        <v>2025</v>
      </c>
      <c r="V1410" s="15">
        <f t="shared" si="8"/>
        <v>20</v>
      </c>
      <c r="W1410" s="15">
        <f t="shared" si="9"/>
        <v>6</v>
      </c>
      <c r="X1410" s="15">
        <f t="shared" si="10"/>
        <v>2025</v>
      </c>
    </row>
    <row r="1411">
      <c r="A1411" s="9">
        <v>45828.0</v>
      </c>
      <c r="B1411" s="9">
        <v>45810.0</v>
      </c>
      <c r="C1411" s="9">
        <f t="shared" si="78"/>
        <v>45828</v>
      </c>
      <c r="D1411" s="11" t="s">
        <v>807</v>
      </c>
      <c r="E1411" s="11" t="s">
        <v>25</v>
      </c>
      <c r="F1411" s="11" t="s">
        <v>107</v>
      </c>
      <c r="G1411" s="11" t="s">
        <v>27</v>
      </c>
      <c r="H1411" s="11" t="s">
        <v>813</v>
      </c>
      <c r="I1411" s="31">
        <v>107.55</v>
      </c>
      <c r="J1411" s="13"/>
      <c r="K1411" s="13">
        <f t="shared" si="77"/>
        <v>107.55</v>
      </c>
      <c r="L1411" s="11" t="s">
        <v>34</v>
      </c>
      <c r="M1411" s="14"/>
      <c r="N1411" s="11" t="s">
        <v>71</v>
      </c>
      <c r="O1411" s="10" t="str">
        <f t="shared" si="79"/>
        <v>06/2025</v>
      </c>
      <c r="P1411" s="10" t="str">
        <f t="shared" si="29"/>
        <v>06/2025</v>
      </c>
      <c r="Q1411" s="15" t="str">
        <f t="array" ref="Q1411">IFERROR(XLOOKUP(N1411,'Classificação'!A:A,'Classificação'!B:B),"")</f>
        <v>DESPESAS DIVERSAS</v>
      </c>
      <c r="R1411" s="15" t="str">
        <f t="array" ref="R1411">IFERROR(XLOOKUP(Q1411,'Classificação'!B:B,'Classificação'!C:C),"")</f>
        <v>DESPESAS FIXAS (-)</v>
      </c>
      <c r="S1411" s="15">
        <f t="shared" si="80"/>
        <v>20</v>
      </c>
      <c r="T1411" s="15">
        <f t="shared" si="6"/>
        <v>6</v>
      </c>
      <c r="U1411" s="15">
        <f t="shared" si="7"/>
        <v>2025</v>
      </c>
      <c r="V1411" s="15">
        <f t="shared" si="8"/>
        <v>20</v>
      </c>
      <c r="W1411" s="15">
        <f t="shared" si="9"/>
        <v>6</v>
      </c>
      <c r="X1411" s="15">
        <f t="shared" si="10"/>
        <v>2025</v>
      </c>
    </row>
    <row r="1412">
      <c r="A1412" s="9">
        <v>45828.0</v>
      </c>
      <c r="B1412" s="9">
        <v>45810.0</v>
      </c>
      <c r="C1412" s="9">
        <f t="shared" si="78"/>
        <v>45828</v>
      </c>
      <c r="D1412" s="11" t="s">
        <v>167</v>
      </c>
      <c r="E1412" s="11" t="s">
        <v>25</v>
      </c>
      <c r="F1412" s="11" t="s">
        <v>107</v>
      </c>
      <c r="G1412" s="11" t="s">
        <v>27</v>
      </c>
      <c r="H1412" s="11" t="s">
        <v>519</v>
      </c>
      <c r="I1412" s="31">
        <v>28.0</v>
      </c>
      <c r="J1412" s="13"/>
      <c r="K1412" s="13">
        <f t="shared" si="77"/>
        <v>28</v>
      </c>
      <c r="L1412" s="11" t="s">
        <v>34</v>
      </c>
      <c r="M1412" s="14"/>
      <c r="N1412" s="11" t="s">
        <v>78</v>
      </c>
      <c r="O1412" s="10" t="str">
        <f t="shared" si="79"/>
        <v>06/2025</v>
      </c>
      <c r="P1412" s="10" t="str">
        <f t="shared" si="29"/>
        <v>06/2025</v>
      </c>
      <c r="Q1412" s="15" t="str">
        <f t="array" ref="Q1412">IFERROR(XLOOKUP(N1412,'Classificação'!A:A,'Classificação'!B:B),"")</f>
        <v>DESPESAS COM PESSOAL</v>
      </c>
      <c r="R1412" s="15" t="str">
        <f t="array" ref="R1412">IFERROR(XLOOKUP(Q1412,'Classificação'!B:B,'Classificação'!C:C),"")</f>
        <v>DESPESAS FIXAS (-)</v>
      </c>
      <c r="S1412" s="15">
        <f t="shared" si="80"/>
        <v>20</v>
      </c>
      <c r="T1412" s="15">
        <f t="shared" si="6"/>
        <v>6</v>
      </c>
      <c r="U1412" s="15">
        <f t="shared" si="7"/>
        <v>2025</v>
      </c>
      <c r="V1412" s="15">
        <f t="shared" si="8"/>
        <v>20</v>
      </c>
      <c r="W1412" s="15">
        <f t="shared" si="9"/>
        <v>6</v>
      </c>
      <c r="X1412" s="15">
        <f t="shared" si="10"/>
        <v>2025</v>
      </c>
    </row>
    <row r="1413">
      <c r="A1413" s="9">
        <v>45828.0</v>
      </c>
      <c r="B1413" s="9">
        <v>45807.0</v>
      </c>
      <c r="C1413" s="9">
        <f t="shared" si="78"/>
        <v>45828</v>
      </c>
      <c r="D1413" s="11" t="s">
        <v>179</v>
      </c>
      <c r="E1413" s="11" t="s">
        <v>25</v>
      </c>
      <c r="F1413" s="11" t="s">
        <v>107</v>
      </c>
      <c r="G1413" s="11" t="s">
        <v>27</v>
      </c>
      <c r="H1413" s="11" t="s">
        <v>312</v>
      </c>
      <c r="I1413" s="31">
        <v>100.0</v>
      </c>
      <c r="J1413" s="13"/>
      <c r="K1413" s="13">
        <f t="shared" si="77"/>
        <v>100</v>
      </c>
      <c r="L1413" s="11" t="s">
        <v>34</v>
      </c>
      <c r="M1413" s="14"/>
      <c r="N1413" s="11" t="s">
        <v>181</v>
      </c>
      <c r="O1413" s="10" t="str">
        <f t="shared" si="79"/>
        <v>06/2025</v>
      </c>
      <c r="P1413" s="10" t="str">
        <f t="shared" si="29"/>
        <v>06/2025</v>
      </c>
      <c r="Q1413" s="15" t="str">
        <f t="array" ref="Q1413">IFERROR(XLOOKUP(N1413,'Classificação'!A:A,'Classificação'!B:B),"")</f>
        <v>DESPESAS COM VEICULOS</v>
      </c>
      <c r="R1413" s="15" t="str">
        <f t="array" ref="R1413">IFERROR(XLOOKUP(Q1413,'Classificação'!B:B,'Classificação'!C:C),"")</f>
        <v>DESPESAS FIXAS (-)</v>
      </c>
      <c r="S1413" s="15">
        <f t="shared" si="80"/>
        <v>20</v>
      </c>
      <c r="T1413" s="15">
        <f t="shared" si="6"/>
        <v>6</v>
      </c>
      <c r="U1413" s="15">
        <f t="shared" si="7"/>
        <v>2025</v>
      </c>
      <c r="V1413" s="15">
        <f t="shared" si="8"/>
        <v>20</v>
      </c>
      <c r="W1413" s="15">
        <f t="shared" si="9"/>
        <v>6</v>
      </c>
      <c r="X1413" s="15">
        <f t="shared" si="10"/>
        <v>2025</v>
      </c>
    </row>
    <row r="1414">
      <c r="A1414" s="9">
        <v>45828.0</v>
      </c>
      <c r="B1414" s="9">
        <v>45810.0</v>
      </c>
      <c r="C1414" s="9">
        <f t="shared" si="78"/>
        <v>45828</v>
      </c>
      <c r="D1414" s="11" t="s">
        <v>260</v>
      </c>
      <c r="E1414" s="11" t="s">
        <v>25</v>
      </c>
      <c r="F1414" s="11" t="s">
        <v>107</v>
      </c>
      <c r="G1414" s="11" t="s">
        <v>27</v>
      </c>
      <c r="H1414" s="11" t="s">
        <v>814</v>
      </c>
      <c r="I1414" s="31">
        <v>134.1</v>
      </c>
      <c r="J1414" s="13"/>
      <c r="K1414" s="13">
        <f t="shared" si="77"/>
        <v>134.1</v>
      </c>
      <c r="L1414" s="11" t="s">
        <v>34</v>
      </c>
      <c r="M1414" s="14"/>
      <c r="N1414" s="11" t="s">
        <v>71</v>
      </c>
      <c r="O1414" s="10" t="str">
        <f t="shared" si="79"/>
        <v>06/2025</v>
      </c>
      <c r="P1414" s="10" t="str">
        <f t="shared" si="29"/>
        <v>06/2025</v>
      </c>
      <c r="Q1414" s="15" t="str">
        <f t="array" ref="Q1414">IFERROR(XLOOKUP(N1414,'Classificação'!A:A,'Classificação'!B:B),"")</f>
        <v>DESPESAS DIVERSAS</v>
      </c>
      <c r="R1414" s="15" t="str">
        <f t="array" ref="R1414">IFERROR(XLOOKUP(Q1414,'Classificação'!B:B,'Classificação'!C:C),"")</f>
        <v>DESPESAS FIXAS (-)</v>
      </c>
      <c r="S1414" s="15">
        <f t="shared" si="80"/>
        <v>20</v>
      </c>
      <c r="T1414" s="15">
        <f t="shared" si="6"/>
        <v>6</v>
      </c>
      <c r="U1414" s="15">
        <f t="shared" si="7"/>
        <v>2025</v>
      </c>
      <c r="V1414" s="15">
        <f t="shared" si="8"/>
        <v>20</v>
      </c>
      <c r="W1414" s="15">
        <f t="shared" si="9"/>
        <v>6</v>
      </c>
      <c r="X1414" s="15">
        <f t="shared" si="10"/>
        <v>2025</v>
      </c>
    </row>
    <row r="1415">
      <c r="A1415" s="9">
        <v>45828.0</v>
      </c>
      <c r="B1415" s="9">
        <v>45805.0</v>
      </c>
      <c r="C1415" s="9">
        <f t="shared" si="78"/>
        <v>45828</v>
      </c>
      <c r="D1415" s="11" t="s">
        <v>80</v>
      </c>
      <c r="E1415" s="11" t="s">
        <v>25</v>
      </c>
      <c r="F1415" s="11" t="s">
        <v>107</v>
      </c>
      <c r="G1415" s="11" t="s">
        <v>27</v>
      </c>
      <c r="H1415" s="11" t="s">
        <v>815</v>
      </c>
      <c r="I1415" s="31">
        <v>162.5</v>
      </c>
      <c r="J1415" s="13"/>
      <c r="K1415" s="13">
        <f t="shared" si="77"/>
        <v>162.5</v>
      </c>
      <c r="L1415" s="11" t="s">
        <v>53</v>
      </c>
      <c r="M1415" s="17">
        <v>45748.0</v>
      </c>
      <c r="N1415" s="11" t="s">
        <v>75</v>
      </c>
      <c r="O1415" s="10" t="str">
        <f t="shared" si="79"/>
        <v>06/2025</v>
      </c>
      <c r="P1415" s="10" t="str">
        <f t="shared" si="29"/>
        <v>06/2025</v>
      </c>
      <c r="Q1415" s="15" t="str">
        <f t="array" ref="Q1415">IFERROR(XLOOKUP(N1415,'Classificação'!A:A,'Classificação'!B:B),"")</f>
        <v>DESPESAS COM PESSOAL</v>
      </c>
      <c r="R1415" s="15" t="str">
        <f t="array" ref="R1415">IFERROR(XLOOKUP(Q1415,'Classificação'!B:B,'Classificação'!C:C),"")</f>
        <v>DESPESAS FIXAS (-)</v>
      </c>
      <c r="S1415" s="15">
        <f t="shared" si="80"/>
        <v>20</v>
      </c>
      <c r="T1415" s="15">
        <f t="shared" si="6"/>
        <v>6</v>
      </c>
      <c r="U1415" s="15">
        <f t="shared" si="7"/>
        <v>2025</v>
      </c>
      <c r="V1415" s="15">
        <f t="shared" si="8"/>
        <v>20</v>
      </c>
      <c r="W1415" s="15">
        <f t="shared" si="9"/>
        <v>6</v>
      </c>
      <c r="X1415" s="15">
        <f t="shared" si="10"/>
        <v>2025</v>
      </c>
    </row>
    <row r="1416">
      <c r="A1416" s="26">
        <v>45828.0</v>
      </c>
      <c r="B1416" s="9">
        <v>45811.0</v>
      </c>
      <c r="C1416" s="9">
        <f t="shared" si="78"/>
        <v>45828</v>
      </c>
      <c r="D1416" s="11" t="s">
        <v>114</v>
      </c>
      <c r="E1416" s="11" t="s">
        <v>25</v>
      </c>
      <c r="F1416" s="29" t="s">
        <v>107</v>
      </c>
      <c r="G1416" s="11" t="s">
        <v>27</v>
      </c>
      <c r="H1416" s="11" t="s">
        <v>816</v>
      </c>
      <c r="I1416" s="31">
        <v>29.98</v>
      </c>
      <c r="J1416" s="13"/>
      <c r="K1416" s="13">
        <f t="shared" si="77"/>
        <v>29.98</v>
      </c>
      <c r="L1416" s="29" t="s">
        <v>34</v>
      </c>
      <c r="M1416" s="17"/>
      <c r="N1416" s="11" t="s">
        <v>143</v>
      </c>
      <c r="O1416" s="10" t="str">
        <f t="shared" si="79"/>
        <v>06/2025</v>
      </c>
      <c r="P1416" s="10" t="str">
        <f t="shared" si="29"/>
        <v>06/2025</v>
      </c>
      <c r="Q1416" s="15" t="str">
        <f t="array" ref="Q1416">IFERROR(XLOOKUP(N1416,'Classificação'!A:A,'Classificação'!B:B),"")</f>
        <v>EMBALAGENS/FITAS/GERAL</v>
      </c>
      <c r="R1416" s="15" t="str">
        <f t="array" ref="R1416">IFERROR(XLOOKUP(Q1416,'Classificação'!B:B,'Classificação'!C:C),"")</f>
        <v>CUSTOS VARIÁVEIS</v>
      </c>
      <c r="S1416" s="15">
        <f t="shared" si="80"/>
        <v>20</v>
      </c>
      <c r="T1416" s="15">
        <f t="shared" si="6"/>
        <v>6</v>
      </c>
      <c r="U1416" s="15">
        <f t="shared" si="7"/>
        <v>2025</v>
      </c>
      <c r="V1416" s="15">
        <f t="shared" si="8"/>
        <v>20</v>
      </c>
      <c r="W1416" s="15">
        <f t="shared" si="9"/>
        <v>6</v>
      </c>
      <c r="X1416" s="15">
        <f t="shared" si="10"/>
        <v>2025</v>
      </c>
    </row>
    <row r="1417">
      <c r="A1417" s="26">
        <v>45828.0</v>
      </c>
      <c r="B1417" s="9">
        <v>45811.0</v>
      </c>
      <c r="C1417" s="9">
        <f t="shared" si="78"/>
        <v>45828</v>
      </c>
      <c r="D1417" s="11" t="s">
        <v>167</v>
      </c>
      <c r="E1417" s="11" t="s">
        <v>25</v>
      </c>
      <c r="F1417" s="29" t="s">
        <v>107</v>
      </c>
      <c r="G1417" s="11" t="s">
        <v>27</v>
      </c>
      <c r="H1417" s="11" t="s">
        <v>519</v>
      </c>
      <c r="I1417" s="31">
        <v>28.0</v>
      </c>
      <c r="J1417" s="13"/>
      <c r="K1417" s="13">
        <f t="shared" si="77"/>
        <v>28</v>
      </c>
      <c r="L1417" s="29" t="s">
        <v>34</v>
      </c>
      <c r="M1417" s="14"/>
      <c r="N1417" s="11" t="s">
        <v>78</v>
      </c>
      <c r="O1417" s="10" t="str">
        <f t="shared" si="79"/>
        <v>06/2025</v>
      </c>
      <c r="P1417" s="10" t="str">
        <f t="shared" si="29"/>
        <v>06/2025</v>
      </c>
      <c r="Q1417" s="15" t="str">
        <f t="array" ref="Q1417">IFERROR(XLOOKUP(N1417,'Classificação'!A:A,'Classificação'!B:B),"")</f>
        <v>DESPESAS COM PESSOAL</v>
      </c>
      <c r="R1417" s="15" t="str">
        <f t="array" ref="R1417">IFERROR(XLOOKUP(Q1417,'Classificação'!B:B,'Classificação'!C:C),"")</f>
        <v>DESPESAS FIXAS (-)</v>
      </c>
      <c r="S1417" s="15">
        <f t="shared" si="80"/>
        <v>20</v>
      </c>
      <c r="T1417" s="15">
        <f t="shared" si="6"/>
        <v>6</v>
      </c>
      <c r="U1417" s="15">
        <f t="shared" si="7"/>
        <v>2025</v>
      </c>
      <c r="V1417" s="15">
        <f t="shared" si="8"/>
        <v>20</v>
      </c>
      <c r="W1417" s="15">
        <f t="shared" si="9"/>
        <v>6</v>
      </c>
      <c r="X1417" s="15">
        <f t="shared" si="10"/>
        <v>2025</v>
      </c>
    </row>
    <row r="1418">
      <c r="A1418" s="9">
        <v>45828.0</v>
      </c>
      <c r="B1418" s="9">
        <v>45810.0</v>
      </c>
      <c r="C1418" s="9">
        <f t="shared" si="78"/>
        <v>45828</v>
      </c>
      <c r="D1418" s="11" t="s">
        <v>810</v>
      </c>
      <c r="E1418" s="11" t="s">
        <v>25</v>
      </c>
      <c r="F1418" s="11" t="s">
        <v>110</v>
      </c>
      <c r="G1418" s="11" t="s">
        <v>27</v>
      </c>
      <c r="H1418" s="11" t="s">
        <v>817</v>
      </c>
      <c r="I1418" s="31">
        <v>30.93</v>
      </c>
      <c r="J1418" s="13"/>
      <c r="K1418" s="13">
        <f t="shared" si="77"/>
        <v>30.93</v>
      </c>
      <c r="L1418" s="11" t="s">
        <v>34</v>
      </c>
      <c r="M1418" s="14"/>
      <c r="N1418" s="11" t="s">
        <v>71</v>
      </c>
      <c r="O1418" s="10" t="str">
        <f t="shared" si="79"/>
        <v>06/2025</v>
      </c>
      <c r="P1418" s="10" t="str">
        <f t="shared" si="29"/>
        <v>06/2025</v>
      </c>
      <c r="Q1418" s="15" t="str">
        <f t="array" ref="Q1418">IFERROR(XLOOKUP(N1418,'Classificação'!A:A,'Classificação'!B:B),"")</f>
        <v>DESPESAS DIVERSAS</v>
      </c>
      <c r="R1418" s="15" t="str">
        <f t="array" ref="R1418">IFERROR(XLOOKUP(Q1418,'Classificação'!B:B,'Classificação'!C:C),"")</f>
        <v>DESPESAS FIXAS (-)</v>
      </c>
      <c r="S1418" s="15">
        <f t="shared" si="80"/>
        <v>20</v>
      </c>
      <c r="T1418" s="15">
        <f t="shared" si="6"/>
        <v>6</v>
      </c>
      <c r="U1418" s="15">
        <f t="shared" si="7"/>
        <v>2025</v>
      </c>
      <c r="V1418" s="15">
        <f t="shared" si="8"/>
        <v>20</v>
      </c>
      <c r="W1418" s="15">
        <f t="shared" si="9"/>
        <v>6</v>
      </c>
      <c r="X1418" s="15">
        <f t="shared" si="10"/>
        <v>2025</v>
      </c>
    </row>
    <row r="1419">
      <c r="A1419" s="9">
        <v>45828.0</v>
      </c>
      <c r="B1419" s="9">
        <v>45806.0</v>
      </c>
      <c r="C1419" s="9">
        <f t="shared" si="78"/>
        <v>45828</v>
      </c>
      <c r="D1419" s="11" t="s">
        <v>137</v>
      </c>
      <c r="E1419" s="11" t="s">
        <v>25</v>
      </c>
      <c r="F1419" s="11" t="s">
        <v>107</v>
      </c>
      <c r="G1419" s="11" t="s">
        <v>27</v>
      </c>
      <c r="H1419" s="11" t="s">
        <v>818</v>
      </c>
      <c r="I1419" s="31">
        <v>53.25</v>
      </c>
      <c r="J1419" s="13"/>
      <c r="K1419" s="13">
        <f t="shared" si="77"/>
        <v>53.25</v>
      </c>
      <c r="L1419" s="11" t="s">
        <v>34</v>
      </c>
      <c r="M1419" s="14"/>
      <c r="N1419" s="11" t="s">
        <v>68</v>
      </c>
      <c r="O1419" s="10" t="str">
        <f t="shared" si="79"/>
        <v>06/2025</v>
      </c>
      <c r="P1419" s="10" t="str">
        <f t="shared" si="29"/>
        <v>06/2025</v>
      </c>
      <c r="Q1419" s="15" t="str">
        <f t="array" ref="Q1419">IFERROR(XLOOKUP(N1419,'Classificação'!A:A,'Classificação'!B:B),"")</f>
        <v>FRETE DE VENDAS</v>
      </c>
      <c r="R1419" s="15" t="str">
        <f t="array" ref="R1419">IFERROR(XLOOKUP(Q1419,'Classificação'!B:B,'Classificação'!C:C),"")</f>
        <v>CUSTOS VARIÁVEIS</v>
      </c>
      <c r="S1419" s="15">
        <f t="shared" si="80"/>
        <v>20</v>
      </c>
      <c r="T1419" s="15">
        <f t="shared" si="6"/>
        <v>6</v>
      </c>
      <c r="U1419" s="15">
        <f t="shared" si="7"/>
        <v>2025</v>
      </c>
      <c r="V1419" s="15">
        <f t="shared" si="8"/>
        <v>20</v>
      </c>
      <c r="W1419" s="15">
        <f t="shared" si="9"/>
        <v>6</v>
      </c>
      <c r="X1419" s="15">
        <f t="shared" si="10"/>
        <v>2025</v>
      </c>
    </row>
    <row r="1420">
      <c r="A1420" s="9">
        <v>45828.0</v>
      </c>
      <c r="B1420" s="10"/>
      <c r="C1420" s="9">
        <f t="shared" si="78"/>
        <v>45828</v>
      </c>
      <c r="D1420" s="11" t="s">
        <v>782</v>
      </c>
      <c r="E1420" s="11" t="s">
        <v>25</v>
      </c>
      <c r="F1420" s="11" t="s">
        <v>26</v>
      </c>
      <c r="G1420" s="11" t="s">
        <v>27</v>
      </c>
      <c r="H1420" s="11" t="s">
        <v>819</v>
      </c>
      <c r="I1420" s="12">
        <v>300.0</v>
      </c>
      <c r="J1420" s="13"/>
      <c r="K1420" s="13">
        <f t="shared" si="77"/>
        <v>300</v>
      </c>
      <c r="L1420" s="11" t="s">
        <v>34</v>
      </c>
      <c r="M1420" s="14"/>
      <c r="N1420" s="11" t="s">
        <v>35</v>
      </c>
      <c r="O1420" s="10" t="str">
        <f t="shared" si="79"/>
        <v>06/2025</v>
      </c>
      <c r="P1420" s="10" t="str">
        <f t="shared" si="29"/>
        <v>06/2025</v>
      </c>
      <c r="Q1420" s="15" t="str">
        <f t="array" ref="Q1420">IFERROR(XLOOKUP(N1420,'Classificação'!A:A,'Classificação'!B:B),"")</f>
        <v>COMPRA DE MERCADORIA</v>
      </c>
      <c r="R1420" s="15" t="str">
        <f t="array" ref="R1420">IFERROR(XLOOKUP(Q1420,'Classificação'!B:B,'Classificação'!C:C),"")</f>
        <v>CUSTOS VARIÁVEIS</v>
      </c>
      <c r="S1420" s="15">
        <f t="shared" si="80"/>
        <v>20</v>
      </c>
      <c r="T1420" s="15">
        <f t="shared" si="6"/>
        <v>6</v>
      </c>
      <c r="U1420" s="15">
        <f t="shared" si="7"/>
        <v>2025</v>
      </c>
      <c r="V1420" s="15">
        <f t="shared" si="8"/>
        <v>20</v>
      </c>
      <c r="W1420" s="15">
        <f t="shared" si="9"/>
        <v>6</v>
      </c>
      <c r="X1420" s="15">
        <f t="shared" si="10"/>
        <v>2025</v>
      </c>
    </row>
    <row r="1421">
      <c r="A1421" s="9">
        <v>45828.0</v>
      </c>
      <c r="B1421" s="10"/>
      <c r="C1421" s="9">
        <f t="shared" si="78"/>
        <v>45828</v>
      </c>
      <c r="D1421" s="11" t="s">
        <v>782</v>
      </c>
      <c r="E1421" s="11" t="s">
        <v>25</v>
      </c>
      <c r="F1421" s="11" t="s">
        <v>26</v>
      </c>
      <c r="G1421" s="11" t="s">
        <v>37</v>
      </c>
      <c r="H1421" s="11" t="s">
        <v>820</v>
      </c>
      <c r="I1421" s="12">
        <v>46447.72</v>
      </c>
      <c r="J1421" s="13"/>
      <c r="K1421" s="13">
        <f t="shared" si="77"/>
        <v>46447.72</v>
      </c>
      <c r="L1421" s="11" t="s">
        <v>34</v>
      </c>
      <c r="M1421" s="14"/>
      <c r="N1421" s="11" t="s">
        <v>35</v>
      </c>
      <c r="O1421" s="10" t="str">
        <f t="shared" si="79"/>
        <v>06/2025</v>
      </c>
      <c r="P1421" s="10" t="str">
        <f t="shared" si="29"/>
        <v>06/2025</v>
      </c>
      <c r="Q1421" s="15" t="str">
        <f t="array" ref="Q1421">IFERROR(XLOOKUP(N1421,'Classificação'!A:A,'Classificação'!B:B),"")</f>
        <v>COMPRA DE MERCADORIA</v>
      </c>
      <c r="R1421" s="15" t="str">
        <f t="array" ref="R1421">IFERROR(XLOOKUP(Q1421,'Classificação'!B:B,'Classificação'!C:C),"")</f>
        <v>CUSTOS VARIÁVEIS</v>
      </c>
      <c r="S1421" s="15">
        <f t="shared" si="80"/>
        <v>20</v>
      </c>
      <c r="T1421" s="15">
        <f t="shared" si="6"/>
        <v>6</v>
      </c>
      <c r="U1421" s="15">
        <f t="shared" si="7"/>
        <v>2025</v>
      </c>
      <c r="V1421" s="15">
        <f t="shared" si="8"/>
        <v>20</v>
      </c>
      <c r="W1421" s="15">
        <f t="shared" si="9"/>
        <v>6</v>
      </c>
      <c r="X1421" s="15">
        <f t="shared" si="10"/>
        <v>2025</v>
      </c>
    </row>
    <row r="1422">
      <c r="A1422" s="9">
        <v>45828.0</v>
      </c>
      <c r="B1422" s="9">
        <v>45790.0</v>
      </c>
      <c r="C1422" s="9">
        <f t="shared" si="78"/>
        <v>45828</v>
      </c>
      <c r="D1422" s="11" t="s">
        <v>65</v>
      </c>
      <c r="E1422" s="11" t="s">
        <v>25</v>
      </c>
      <c r="F1422" s="11" t="s">
        <v>110</v>
      </c>
      <c r="G1422" s="11" t="s">
        <v>27</v>
      </c>
      <c r="H1422" s="11" t="s">
        <v>612</v>
      </c>
      <c r="I1422" s="31">
        <v>9.9</v>
      </c>
      <c r="J1422" s="13"/>
      <c r="K1422" s="13">
        <f t="shared" si="77"/>
        <v>9.9</v>
      </c>
      <c r="L1422" s="11" t="s">
        <v>29</v>
      </c>
      <c r="M1422" s="14"/>
      <c r="N1422" s="11" t="s">
        <v>105</v>
      </c>
      <c r="O1422" s="10" t="str">
        <f t="shared" si="79"/>
        <v>06/2025</v>
      </c>
      <c r="P1422" s="10" t="str">
        <f t="shared" si="29"/>
        <v>06/2025</v>
      </c>
      <c r="Q1422" s="15" t="str">
        <f t="array" ref="Q1422">IFERROR(XLOOKUP(N1422,'Classificação'!A:A,'Classificação'!B:B),"")</f>
        <v>DESPESAS ADMINISTRATIVAS</v>
      </c>
      <c r="R1422" s="15" t="str">
        <f t="array" ref="R1422">IFERROR(XLOOKUP(Q1422,'Classificação'!B:B,'Classificação'!C:C),"")</f>
        <v>DESPESAS FIXAS (-)</v>
      </c>
      <c r="S1422" s="15">
        <f t="shared" si="80"/>
        <v>20</v>
      </c>
      <c r="T1422" s="15">
        <f t="shared" si="6"/>
        <v>6</v>
      </c>
      <c r="U1422" s="15">
        <f t="shared" si="7"/>
        <v>2025</v>
      </c>
      <c r="V1422" s="15">
        <f t="shared" si="8"/>
        <v>20</v>
      </c>
      <c r="W1422" s="15">
        <f t="shared" si="9"/>
        <v>6</v>
      </c>
      <c r="X1422" s="15">
        <f t="shared" si="10"/>
        <v>2025</v>
      </c>
    </row>
    <row r="1423">
      <c r="A1423" s="9">
        <v>45828.0</v>
      </c>
      <c r="B1423" s="9">
        <v>45789.0</v>
      </c>
      <c r="C1423" s="9">
        <f t="shared" si="78"/>
        <v>45828</v>
      </c>
      <c r="D1423" s="11" t="s">
        <v>167</v>
      </c>
      <c r="E1423" s="11" t="s">
        <v>25</v>
      </c>
      <c r="F1423" s="11" t="s">
        <v>107</v>
      </c>
      <c r="G1423" s="11" t="s">
        <v>27</v>
      </c>
      <c r="H1423" s="11" t="s">
        <v>519</v>
      </c>
      <c r="I1423" s="31">
        <v>28.0</v>
      </c>
      <c r="J1423" s="13"/>
      <c r="K1423" s="13">
        <f t="shared" si="77"/>
        <v>28</v>
      </c>
      <c r="L1423" s="11" t="s">
        <v>34</v>
      </c>
      <c r="M1423" s="16"/>
      <c r="N1423" s="11" t="s">
        <v>78</v>
      </c>
      <c r="O1423" s="10" t="str">
        <f t="shared" si="79"/>
        <v>06/2025</v>
      </c>
      <c r="P1423" s="10" t="str">
        <f t="shared" si="29"/>
        <v>06/2025</v>
      </c>
      <c r="Q1423" s="15" t="str">
        <f t="array" ref="Q1423">IFERROR(XLOOKUP(N1423,'Classificação'!A:A,'Classificação'!B:B),"")</f>
        <v>DESPESAS COM PESSOAL</v>
      </c>
      <c r="R1423" s="15" t="str">
        <f t="array" ref="R1423">IFERROR(XLOOKUP(Q1423,'Classificação'!B:B,'Classificação'!C:C),"")</f>
        <v>DESPESAS FIXAS (-)</v>
      </c>
      <c r="S1423" s="15">
        <f t="shared" si="80"/>
        <v>20</v>
      </c>
      <c r="T1423" s="15">
        <f t="shared" si="6"/>
        <v>6</v>
      </c>
      <c r="U1423" s="15">
        <f t="shared" si="7"/>
        <v>2025</v>
      </c>
      <c r="V1423" s="15">
        <f t="shared" si="8"/>
        <v>20</v>
      </c>
      <c r="W1423" s="15">
        <f t="shared" si="9"/>
        <v>6</v>
      </c>
      <c r="X1423" s="15">
        <f t="shared" si="10"/>
        <v>2025</v>
      </c>
    </row>
    <row r="1424">
      <c r="A1424" s="9">
        <v>45828.0</v>
      </c>
      <c r="B1424" s="9">
        <v>45790.0</v>
      </c>
      <c r="C1424" s="9">
        <f t="shared" si="78"/>
        <v>45828</v>
      </c>
      <c r="D1424" s="11" t="s">
        <v>167</v>
      </c>
      <c r="E1424" s="11" t="s">
        <v>25</v>
      </c>
      <c r="F1424" s="11" t="s">
        <v>107</v>
      </c>
      <c r="G1424" s="11" t="s">
        <v>27</v>
      </c>
      <c r="H1424" s="11" t="s">
        <v>519</v>
      </c>
      <c r="I1424" s="31">
        <v>28.0</v>
      </c>
      <c r="J1424" s="13"/>
      <c r="K1424" s="13">
        <f t="shared" si="77"/>
        <v>28</v>
      </c>
      <c r="L1424" s="11" t="s">
        <v>34</v>
      </c>
      <c r="M1424" s="16"/>
      <c r="N1424" s="11" t="s">
        <v>78</v>
      </c>
      <c r="O1424" s="10" t="str">
        <f t="shared" si="79"/>
        <v>06/2025</v>
      </c>
      <c r="P1424" s="10" t="str">
        <f t="shared" si="29"/>
        <v>06/2025</v>
      </c>
      <c r="Q1424" s="15" t="str">
        <f t="array" ref="Q1424">IFERROR(XLOOKUP(N1424,'Classificação'!A:A,'Classificação'!B:B),"")</f>
        <v>DESPESAS COM PESSOAL</v>
      </c>
      <c r="R1424" s="15" t="str">
        <f t="array" ref="R1424">IFERROR(XLOOKUP(Q1424,'Classificação'!B:B,'Classificação'!C:C),"")</f>
        <v>DESPESAS FIXAS (-)</v>
      </c>
      <c r="S1424" s="15">
        <f t="shared" si="80"/>
        <v>20</v>
      </c>
      <c r="T1424" s="15">
        <f t="shared" si="6"/>
        <v>6</v>
      </c>
      <c r="U1424" s="15">
        <f t="shared" si="7"/>
        <v>2025</v>
      </c>
      <c r="V1424" s="15">
        <f t="shared" si="8"/>
        <v>20</v>
      </c>
      <c r="W1424" s="15">
        <f t="shared" si="9"/>
        <v>6</v>
      </c>
      <c r="X1424" s="15">
        <f t="shared" si="10"/>
        <v>2025</v>
      </c>
    </row>
    <row r="1425">
      <c r="A1425" s="9">
        <v>45828.0</v>
      </c>
      <c r="B1425" s="9">
        <v>45796.0</v>
      </c>
      <c r="C1425" s="9">
        <f t="shared" si="78"/>
        <v>45828</v>
      </c>
      <c r="D1425" s="11" t="s">
        <v>167</v>
      </c>
      <c r="E1425" s="11" t="s">
        <v>25</v>
      </c>
      <c r="F1425" s="11" t="s">
        <v>107</v>
      </c>
      <c r="G1425" s="11" t="s">
        <v>27</v>
      </c>
      <c r="H1425" s="11" t="s">
        <v>519</v>
      </c>
      <c r="I1425" s="31">
        <v>27.0</v>
      </c>
      <c r="J1425" s="13"/>
      <c r="K1425" s="13">
        <f t="shared" si="77"/>
        <v>27</v>
      </c>
      <c r="L1425" s="11" t="s">
        <v>34</v>
      </c>
      <c r="M1425" s="16"/>
      <c r="N1425" s="11" t="s">
        <v>78</v>
      </c>
      <c r="O1425" s="10" t="str">
        <f t="shared" si="79"/>
        <v>06/2025</v>
      </c>
      <c r="P1425" s="10" t="str">
        <f t="shared" si="29"/>
        <v>06/2025</v>
      </c>
      <c r="Q1425" s="15" t="str">
        <f t="array" ref="Q1425">IFERROR(XLOOKUP(N1425,'Classificação'!A:A,'Classificação'!B:B),"")</f>
        <v>DESPESAS COM PESSOAL</v>
      </c>
      <c r="R1425" s="15" t="str">
        <f t="array" ref="R1425">IFERROR(XLOOKUP(Q1425,'Classificação'!B:B,'Classificação'!C:C),"")</f>
        <v>DESPESAS FIXAS (-)</v>
      </c>
      <c r="S1425" s="15">
        <f t="shared" si="80"/>
        <v>20</v>
      </c>
      <c r="T1425" s="15">
        <f t="shared" si="6"/>
        <v>6</v>
      </c>
      <c r="U1425" s="15">
        <f t="shared" si="7"/>
        <v>2025</v>
      </c>
      <c r="V1425" s="15">
        <f t="shared" si="8"/>
        <v>20</v>
      </c>
      <c r="W1425" s="15">
        <f t="shared" si="9"/>
        <v>6</v>
      </c>
      <c r="X1425" s="15">
        <f t="shared" si="10"/>
        <v>2025</v>
      </c>
    </row>
    <row r="1426">
      <c r="A1426" s="9">
        <v>45828.0</v>
      </c>
      <c r="B1426" s="9">
        <v>45806.0</v>
      </c>
      <c r="C1426" s="9">
        <f t="shared" si="78"/>
        <v>45828</v>
      </c>
      <c r="D1426" s="11" t="s">
        <v>182</v>
      </c>
      <c r="E1426" s="11" t="s">
        <v>25</v>
      </c>
      <c r="F1426" s="11" t="s">
        <v>107</v>
      </c>
      <c r="G1426" s="11" t="s">
        <v>27</v>
      </c>
      <c r="H1426" s="11" t="s">
        <v>821</v>
      </c>
      <c r="I1426" s="31">
        <v>10.97</v>
      </c>
      <c r="J1426" s="13"/>
      <c r="K1426" s="13">
        <f t="shared" si="77"/>
        <v>10.97</v>
      </c>
      <c r="L1426" s="11" t="s">
        <v>34</v>
      </c>
      <c r="M1426" s="14"/>
      <c r="N1426" s="11" t="s">
        <v>68</v>
      </c>
      <c r="O1426" s="10" t="str">
        <f t="shared" si="79"/>
        <v>06/2025</v>
      </c>
      <c r="P1426" s="10" t="str">
        <f t="shared" si="29"/>
        <v>06/2025</v>
      </c>
      <c r="Q1426" s="15" t="str">
        <f t="array" ref="Q1426">IFERROR(XLOOKUP(N1426,'Classificação'!A:A,'Classificação'!B:B),"")</f>
        <v>FRETE DE VENDAS</v>
      </c>
      <c r="R1426" s="15" t="str">
        <f t="array" ref="R1426">IFERROR(XLOOKUP(Q1426,'Classificação'!B:B,'Classificação'!C:C),"")</f>
        <v>CUSTOS VARIÁVEIS</v>
      </c>
      <c r="S1426" s="15">
        <f t="shared" si="80"/>
        <v>20</v>
      </c>
      <c r="T1426" s="15">
        <f t="shared" si="6"/>
        <v>6</v>
      </c>
      <c r="U1426" s="15">
        <f t="shared" si="7"/>
        <v>2025</v>
      </c>
      <c r="V1426" s="15">
        <f t="shared" si="8"/>
        <v>20</v>
      </c>
      <c r="W1426" s="15">
        <f t="shared" si="9"/>
        <v>6</v>
      </c>
      <c r="X1426" s="15">
        <f t="shared" si="10"/>
        <v>2025</v>
      </c>
    </row>
    <row r="1427">
      <c r="A1427" s="9">
        <v>45828.0</v>
      </c>
      <c r="B1427" s="10"/>
      <c r="C1427" s="9">
        <f t="shared" si="78"/>
        <v>45828</v>
      </c>
      <c r="D1427" s="11" t="s">
        <v>182</v>
      </c>
      <c r="E1427" s="11" t="s">
        <v>25</v>
      </c>
      <c r="F1427" s="11" t="s">
        <v>107</v>
      </c>
      <c r="G1427" s="11" t="s">
        <v>27</v>
      </c>
      <c r="H1427" s="11" t="s">
        <v>821</v>
      </c>
      <c r="I1427" s="31">
        <v>5.25</v>
      </c>
      <c r="J1427" s="13"/>
      <c r="K1427" s="13">
        <f t="shared" si="77"/>
        <v>5.25</v>
      </c>
      <c r="L1427" s="11" t="s">
        <v>34</v>
      </c>
      <c r="M1427" s="14"/>
      <c r="N1427" s="11" t="s">
        <v>68</v>
      </c>
      <c r="O1427" s="10" t="str">
        <f t="shared" si="79"/>
        <v>06/2025</v>
      </c>
      <c r="P1427" s="10" t="str">
        <f t="shared" si="29"/>
        <v>06/2025</v>
      </c>
      <c r="Q1427" s="15" t="str">
        <f t="array" ref="Q1427">IFERROR(XLOOKUP(N1427,'Classificação'!A:A,'Classificação'!B:B),"")</f>
        <v>FRETE DE VENDAS</v>
      </c>
      <c r="R1427" s="15" t="str">
        <f t="array" ref="R1427">IFERROR(XLOOKUP(Q1427,'Classificação'!B:B,'Classificação'!C:C),"")</f>
        <v>CUSTOS VARIÁVEIS</v>
      </c>
      <c r="S1427" s="15">
        <f t="shared" si="80"/>
        <v>20</v>
      </c>
      <c r="T1427" s="15">
        <f t="shared" si="6"/>
        <v>6</v>
      </c>
      <c r="U1427" s="15">
        <f t="shared" si="7"/>
        <v>2025</v>
      </c>
      <c r="V1427" s="15">
        <f t="shared" si="8"/>
        <v>20</v>
      </c>
      <c r="W1427" s="15">
        <f t="shared" si="9"/>
        <v>6</v>
      </c>
      <c r="X1427" s="15">
        <f t="shared" si="10"/>
        <v>2025</v>
      </c>
    </row>
    <row r="1428">
      <c r="A1428" s="9">
        <v>45828.0</v>
      </c>
      <c r="B1428" s="10"/>
      <c r="C1428" s="9">
        <f t="shared" si="78"/>
        <v>45828</v>
      </c>
      <c r="D1428" s="11" t="s">
        <v>182</v>
      </c>
      <c r="E1428" s="11" t="s">
        <v>25</v>
      </c>
      <c r="F1428" s="11" t="s">
        <v>107</v>
      </c>
      <c r="G1428" s="11" t="s">
        <v>27</v>
      </c>
      <c r="H1428" s="11" t="s">
        <v>821</v>
      </c>
      <c r="I1428" s="31">
        <v>8.94</v>
      </c>
      <c r="J1428" s="13"/>
      <c r="K1428" s="13">
        <f t="shared" si="77"/>
        <v>8.94</v>
      </c>
      <c r="L1428" s="11" t="s">
        <v>34</v>
      </c>
      <c r="M1428" s="14"/>
      <c r="N1428" s="11" t="s">
        <v>68</v>
      </c>
      <c r="O1428" s="10" t="str">
        <f t="shared" si="79"/>
        <v>06/2025</v>
      </c>
      <c r="P1428" s="10" t="str">
        <f t="shared" si="29"/>
        <v>06/2025</v>
      </c>
      <c r="Q1428" s="15" t="str">
        <f t="array" ref="Q1428">IFERROR(XLOOKUP(N1428,'Classificação'!A:A,'Classificação'!B:B),"")</f>
        <v>FRETE DE VENDAS</v>
      </c>
      <c r="R1428" s="15" t="str">
        <f t="array" ref="R1428">IFERROR(XLOOKUP(Q1428,'Classificação'!B:B,'Classificação'!C:C),"")</f>
        <v>CUSTOS VARIÁVEIS</v>
      </c>
      <c r="S1428" s="15">
        <f t="shared" si="80"/>
        <v>20</v>
      </c>
      <c r="T1428" s="15">
        <f t="shared" si="6"/>
        <v>6</v>
      </c>
      <c r="U1428" s="15">
        <f t="shared" si="7"/>
        <v>2025</v>
      </c>
      <c r="V1428" s="15">
        <f t="shared" si="8"/>
        <v>20</v>
      </c>
      <c r="W1428" s="15">
        <f t="shared" si="9"/>
        <v>6</v>
      </c>
      <c r="X1428" s="15">
        <f t="shared" si="10"/>
        <v>2025</v>
      </c>
    </row>
    <row r="1429">
      <c r="A1429" s="26">
        <v>45828.0</v>
      </c>
      <c r="B1429" s="27">
        <v>45754.0</v>
      </c>
      <c r="C1429" s="27">
        <f t="shared" si="78"/>
        <v>45828</v>
      </c>
      <c r="D1429" s="28" t="s">
        <v>699</v>
      </c>
      <c r="E1429" s="11" t="s">
        <v>25</v>
      </c>
      <c r="F1429" s="28" t="s">
        <v>107</v>
      </c>
      <c r="G1429" s="28" t="s">
        <v>27</v>
      </c>
      <c r="H1429" s="28" t="s">
        <v>700</v>
      </c>
      <c r="I1429" s="33">
        <v>85.28</v>
      </c>
      <c r="J1429" s="34"/>
      <c r="K1429" s="13">
        <f t="shared" si="77"/>
        <v>85.28</v>
      </c>
      <c r="L1429" s="28" t="s">
        <v>53</v>
      </c>
      <c r="M1429" s="35">
        <v>45690.0</v>
      </c>
      <c r="N1429" s="28" t="s">
        <v>95</v>
      </c>
      <c r="O1429" s="10" t="str">
        <f t="shared" si="79"/>
        <v>06/2025</v>
      </c>
      <c r="P1429" s="10" t="str">
        <f t="shared" si="29"/>
        <v>06/2025</v>
      </c>
      <c r="Q1429" s="15" t="str">
        <f t="array" ref="Q1429">IFERROR(XLOOKUP(N1429,'Classificação'!A:A,'Classificação'!B:B),"")</f>
        <v>DESPESAS NÃO OPERACIONAIS</v>
      </c>
      <c r="R1429" s="15" t="str">
        <f t="array" ref="R1429">IFERROR(XLOOKUP(Q1429,'Classificação'!B:B,'Classificação'!C:C),"")</f>
        <v>RESULTADO NÃO OPERACIONAL (+/-)</v>
      </c>
      <c r="S1429" s="15">
        <f t="shared" si="80"/>
        <v>20</v>
      </c>
      <c r="T1429" s="15">
        <f t="shared" si="6"/>
        <v>6</v>
      </c>
      <c r="U1429" s="15">
        <f t="shared" si="7"/>
        <v>2025</v>
      </c>
      <c r="V1429" s="15">
        <f t="shared" si="8"/>
        <v>20</v>
      </c>
      <c r="W1429" s="15">
        <f t="shared" si="9"/>
        <v>6</v>
      </c>
      <c r="X1429" s="15">
        <f t="shared" si="10"/>
        <v>2025</v>
      </c>
    </row>
    <row r="1430">
      <c r="A1430" s="9">
        <v>45828.0</v>
      </c>
      <c r="B1430" s="10"/>
      <c r="C1430" s="9">
        <f t="shared" si="78"/>
        <v>45828</v>
      </c>
      <c r="D1430" s="11" t="s">
        <v>131</v>
      </c>
      <c r="E1430" s="11" t="s">
        <v>25</v>
      </c>
      <c r="F1430" s="28" t="s">
        <v>107</v>
      </c>
      <c r="G1430" s="28" t="s">
        <v>27</v>
      </c>
      <c r="H1430" s="11" t="s">
        <v>822</v>
      </c>
      <c r="I1430" s="31">
        <v>221.66</v>
      </c>
      <c r="J1430" s="13"/>
      <c r="K1430" s="13">
        <f t="shared" si="77"/>
        <v>221.66</v>
      </c>
      <c r="L1430" s="28" t="s">
        <v>53</v>
      </c>
      <c r="M1430" s="17">
        <v>45992.0</v>
      </c>
      <c r="N1430" s="11" t="s">
        <v>133</v>
      </c>
      <c r="O1430" s="10" t="str">
        <f t="shared" si="79"/>
        <v>06/2025</v>
      </c>
      <c r="P1430" s="10" t="str">
        <f t="shared" si="29"/>
        <v>06/2025</v>
      </c>
      <c r="Q1430" s="15" t="str">
        <f t="array" ref="Q1430">IFERROR(XLOOKUP(N1430,'Classificação'!A:A,'Classificação'!B:B),"")</f>
        <v>DESPESAS COM VEICULOS</v>
      </c>
      <c r="R1430" s="15" t="str">
        <f t="array" ref="R1430">IFERROR(XLOOKUP(Q1430,'Classificação'!B:B,'Classificação'!C:C),"")</f>
        <v>DESPESAS FIXAS (-)</v>
      </c>
      <c r="S1430" s="15">
        <f t="shared" si="80"/>
        <v>20</v>
      </c>
      <c r="T1430" s="15">
        <f t="shared" si="6"/>
        <v>6</v>
      </c>
      <c r="U1430" s="15">
        <f t="shared" si="7"/>
        <v>2025</v>
      </c>
      <c r="V1430" s="15">
        <f t="shared" si="8"/>
        <v>20</v>
      </c>
      <c r="W1430" s="15">
        <f t="shared" si="9"/>
        <v>6</v>
      </c>
      <c r="X1430" s="15">
        <f t="shared" si="10"/>
        <v>2025</v>
      </c>
    </row>
    <row r="1431">
      <c r="A1431" s="9">
        <v>45828.0</v>
      </c>
      <c r="B1431" s="9">
        <v>45800.0</v>
      </c>
      <c r="C1431" s="9">
        <f t="shared" si="78"/>
        <v>45828</v>
      </c>
      <c r="D1431" s="11" t="s">
        <v>44</v>
      </c>
      <c r="E1431" s="11" t="s">
        <v>25</v>
      </c>
      <c r="F1431" s="11" t="s">
        <v>107</v>
      </c>
      <c r="G1431" s="11" t="s">
        <v>27</v>
      </c>
      <c r="H1431" s="11" t="s">
        <v>823</v>
      </c>
      <c r="I1431" s="31">
        <v>-109.96</v>
      </c>
      <c r="J1431" s="13"/>
      <c r="K1431" s="13">
        <f t="shared" si="77"/>
        <v>-109.96</v>
      </c>
      <c r="L1431" s="11" t="s">
        <v>53</v>
      </c>
      <c r="M1431" s="17">
        <v>45717.0</v>
      </c>
      <c r="N1431" s="11" t="s">
        <v>394</v>
      </c>
      <c r="O1431" s="10" t="str">
        <f t="shared" si="79"/>
        <v>06/2025</v>
      </c>
      <c r="P1431" s="10" t="str">
        <f t="shared" si="29"/>
        <v>06/2025</v>
      </c>
      <c r="Q1431" s="15" t="str">
        <f t="array" ref="Q1431">IFERROR(XLOOKUP(N1431,'Classificação'!A:A,'Classificação'!B:B),"")</f>
        <v>DESPESAS NÃO OPERACIONAIS</v>
      </c>
      <c r="R1431" s="15" t="str">
        <f t="array" ref="R1431">IFERROR(XLOOKUP(Q1431,'Classificação'!B:B,'Classificação'!C:C),"")</f>
        <v>RESULTADO NÃO OPERACIONAL (+/-)</v>
      </c>
      <c r="S1431" s="15">
        <f t="shared" si="80"/>
        <v>20</v>
      </c>
      <c r="T1431" s="15">
        <f t="shared" si="6"/>
        <v>6</v>
      </c>
      <c r="U1431" s="15">
        <f t="shared" si="7"/>
        <v>2025</v>
      </c>
      <c r="V1431" s="15">
        <f t="shared" si="8"/>
        <v>20</v>
      </c>
      <c r="W1431" s="15">
        <f t="shared" si="9"/>
        <v>6</v>
      </c>
      <c r="X1431" s="15">
        <f t="shared" si="10"/>
        <v>2025</v>
      </c>
    </row>
    <row r="1432">
      <c r="A1432" s="9">
        <v>45828.0</v>
      </c>
      <c r="B1432" s="9">
        <v>45800.0</v>
      </c>
      <c r="C1432" s="9">
        <f t="shared" si="78"/>
        <v>45828</v>
      </c>
      <c r="D1432" s="11" t="s">
        <v>44</v>
      </c>
      <c r="E1432" s="11" t="s">
        <v>25</v>
      </c>
      <c r="F1432" s="11" t="s">
        <v>107</v>
      </c>
      <c r="G1432" s="11" t="s">
        <v>27</v>
      </c>
      <c r="H1432" s="11" t="s">
        <v>824</v>
      </c>
      <c r="I1432" s="31">
        <v>-109.96</v>
      </c>
      <c r="J1432" s="13"/>
      <c r="K1432" s="13">
        <f t="shared" si="77"/>
        <v>-109.96</v>
      </c>
      <c r="L1432" s="11" t="s">
        <v>53</v>
      </c>
      <c r="M1432" s="17">
        <v>45718.0</v>
      </c>
      <c r="N1432" s="11" t="s">
        <v>394</v>
      </c>
      <c r="O1432" s="10" t="str">
        <f t="shared" si="79"/>
        <v>06/2025</v>
      </c>
      <c r="P1432" s="10" t="str">
        <f t="shared" si="29"/>
        <v>06/2025</v>
      </c>
      <c r="Q1432" s="15" t="str">
        <f t="array" ref="Q1432">IFERROR(XLOOKUP(N1432,'Classificação'!A:A,'Classificação'!B:B),"")</f>
        <v>DESPESAS NÃO OPERACIONAIS</v>
      </c>
      <c r="R1432" s="15" t="str">
        <f t="array" ref="R1432">IFERROR(XLOOKUP(Q1432,'Classificação'!B:B,'Classificação'!C:C),"")</f>
        <v>RESULTADO NÃO OPERACIONAL (+/-)</v>
      </c>
      <c r="S1432" s="15">
        <f t="shared" si="80"/>
        <v>20</v>
      </c>
      <c r="T1432" s="15">
        <f t="shared" si="6"/>
        <v>6</v>
      </c>
      <c r="U1432" s="15">
        <f t="shared" si="7"/>
        <v>2025</v>
      </c>
      <c r="V1432" s="15">
        <f t="shared" si="8"/>
        <v>20</v>
      </c>
      <c r="W1432" s="15">
        <f t="shared" si="9"/>
        <v>6</v>
      </c>
      <c r="X1432" s="15">
        <f t="shared" si="10"/>
        <v>2025</v>
      </c>
    </row>
    <row r="1433">
      <c r="A1433" s="9">
        <v>45828.0</v>
      </c>
      <c r="B1433" s="9">
        <v>45800.0</v>
      </c>
      <c r="C1433" s="9">
        <f t="shared" si="78"/>
        <v>45828</v>
      </c>
      <c r="D1433" s="11" t="s">
        <v>44</v>
      </c>
      <c r="E1433" s="11" t="s">
        <v>25</v>
      </c>
      <c r="F1433" s="11" t="s">
        <v>107</v>
      </c>
      <c r="G1433" s="11" t="s">
        <v>27</v>
      </c>
      <c r="H1433" s="11" t="s">
        <v>825</v>
      </c>
      <c r="I1433" s="31">
        <v>-109.95</v>
      </c>
      <c r="J1433" s="13"/>
      <c r="K1433" s="13">
        <f t="shared" si="77"/>
        <v>-109.95</v>
      </c>
      <c r="L1433" s="11" t="s">
        <v>53</v>
      </c>
      <c r="M1433" s="17">
        <v>45719.0</v>
      </c>
      <c r="N1433" s="11" t="s">
        <v>394</v>
      </c>
      <c r="O1433" s="10" t="str">
        <f t="shared" si="79"/>
        <v>06/2025</v>
      </c>
      <c r="P1433" s="10" t="str">
        <f t="shared" si="29"/>
        <v>06/2025</v>
      </c>
      <c r="Q1433" s="15" t="str">
        <f t="array" ref="Q1433">IFERROR(XLOOKUP(N1433,'Classificação'!A:A,'Classificação'!B:B),"")</f>
        <v>DESPESAS NÃO OPERACIONAIS</v>
      </c>
      <c r="R1433" s="15" t="str">
        <f t="array" ref="R1433">IFERROR(XLOOKUP(Q1433,'Classificação'!B:B,'Classificação'!C:C),"")</f>
        <v>RESULTADO NÃO OPERACIONAL (+/-)</v>
      </c>
      <c r="S1433" s="15">
        <f t="shared" si="80"/>
        <v>20</v>
      </c>
      <c r="T1433" s="15">
        <f t="shared" si="6"/>
        <v>6</v>
      </c>
      <c r="U1433" s="15">
        <f t="shared" si="7"/>
        <v>2025</v>
      </c>
      <c r="V1433" s="15">
        <f t="shared" si="8"/>
        <v>20</v>
      </c>
      <c r="W1433" s="15">
        <f t="shared" si="9"/>
        <v>6</v>
      </c>
      <c r="X1433" s="15">
        <f t="shared" si="10"/>
        <v>2025</v>
      </c>
    </row>
    <row r="1434">
      <c r="A1434" s="9">
        <v>45831.0</v>
      </c>
      <c r="B1434" s="10"/>
      <c r="C1434" s="9">
        <f t="shared" si="78"/>
        <v>45831</v>
      </c>
      <c r="D1434" s="28" t="s">
        <v>76</v>
      </c>
      <c r="E1434" s="29" t="s">
        <v>25</v>
      </c>
      <c r="F1434" s="28" t="s">
        <v>26</v>
      </c>
      <c r="G1434" s="28" t="s">
        <v>27</v>
      </c>
      <c r="H1434" s="28" t="s">
        <v>84</v>
      </c>
      <c r="I1434" s="24">
        <v>1214.27</v>
      </c>
      <c r="J1434" s="13"/>
      <c r="K1434" s="13">
        <f t="shared" si="77"/>
        <v>1214.27</v>
      </c>
      <c r="L1434" s="28" t="s">
        <v>53</v>
      </c>
      <c r="M1434" s="16" t="s">
        <v>781</v>
      </c>
      <c r="N1434" s="28" t="s">
        <v>85</v>
      </c>
      <c r="O1434" s="10" t="str">
        <f t="shared" si="79"/>
        <v>06/2025</v>
      </c>
      <c r="P1434" s="10" t="str">
        <f t="shared" si="29"/>
        <v>06/2025</v>
      </c>
      <c r="Q1434" s="15" t="str">
        <f t="array" ref="Q1434">IFERROR(XLOOKUP(N1434,'Classificação'!A:A,'Classificação'!B:B),"")</f>
        <v>DESPESAS NÃO OPERACIONAIS</v>
      </c>
      <c r="R1434" s="15" t="str">
        <f t="array" ref="R1434">IFERROR(XLOOKUP(Q1434,'Classificação'!B:B,'Classificação'!C:C),"")</f>
        <v>RESULTADO NÃO OPERACIONAL (+/-)</v>
      </c>
      <c r="S1434" s="15">
        <f t="shared" si="80"/>
        <v>23</v>
      </c>
      <c r="T1434" s="15">
        <f t="shared" si="6"/>
        <v>6</v>
      </c>
      <c r="U1434" s="15">
        <f t="shared" si="7"/>
        <v>2025</v>
      </c>
      <c r="V1434" s="15">
        <f t="shared" si="8"/>
        <v>23</v>
      </c>
      <c r="W1434" s="15">
        <f t="shared" si="9"/>
        <v>6</v>
      </c>
      <c r="X1434" s="15">
        <f t="shared" si="10"/>
        <v>2025</v>
      </c>
    </row>
    <row r="1435">
      <c r="A1435" s="9">
        <v>45831.0</v>
      </c>
      <c r="B1435" s="10"/>
      <c r="C1435" s="9">
        <f t="shared" si="78"/>
        <v>45831</v>
      </c>
      <c r="D1435" s="11" t="s">
        <v>202</v>
      </c>
      <c r="E1435" s="11" t="s">
        <v>25</v>
      </c>
      <c r="F1435" s="11" t="s">
        <v>32</v>
      </c>
      <c r="G1435" s="11" t="s">
        <v>27</v>
      </c>
      <c r="H1435" s="11" t="s">
        <v>203</v>
      </c>
      <c r="I1435" s="12">
        <v>469.34</v>
      </c>
      <c r="J1435" s="13"/>
      <c r="K1435" s="13">
        <f t="shared" si="77"/>
        <v>469.34</v>
      </c>
      <c r="L1435" s="11" t="s">
        <v>53</v>
      </c>
      <c r="M1435" s="17">
        <v>45607.0</v>
      </c>
      <c r="N1435" s="11" t="s">
        <v>73</v>
      </c>
      <c r="O1435" s="10" t="str">
        <f t="shared" si="79"/>
        <v>06/2025</v>
      </c>
      <c r="P1435" s="10" t="str">
        <f t="shared" si="29"/>
        <v>06/2025</v>
      </c>
      <c r="Q1435" s="15" t="str">
        <f t="array" ref="Q1435">IFERROR(XLOOKUP(N1435,'Classificação'!A:A,'Classificação'!B:B),"")</f>
        <v>DESPESAS NÃO OPERACIONAIS</v>
      </c>
      <c r="R1435" s="15" t="str">
        <f t="array" ref="R1435">IFERROR(XLOOKUP(Q1435,'Classificação'!B:B,'Classificação'!C:C),"")</f>
        <v>RESULTADO NÃO OPERACIONAL (+/-)</v>
      </c>
      <c r="S1435" s="15">
        <f t="shared" si="80"/>
        <v>23</v>
      </c>
      <c r="T1435" s="15">
        <f t="shared" si="6"/>
        <v>6</v>
      </c>
      <c r="U1435" s="15">
        <f t="shared" si="7"/>
        <v>2025</v>
      </c>
      <c r="V1435" s="15">
        <f t="shared" si="8"/>
        <v>23</v>
      </c>
      <c r="W1435" s="15">
        <f t="shared" si="9"/>
        <v>6</v>
      </c>
      <c r="X1435" s="15">
        <f t="shared" si="10"/>
        <v>2025</v>
      </c>
    </row>
    <row r="1436">
      <c r="A1436" s="9">
        <v>45831.0</v>
      </c>
      <c r="B1436" s="10"/>
      <c r="C1436" s="9">
        <f t="shared" si="78"/>
        <v>45831</v>
      </c>
      <c r="D1436" s="11" t="s">
        <v>202</v>
      </c>
      <c r="E1436" s="11" t="s">
        <v>25</v>
      </c>
      <c r="F1436" s="11" t="s">
        <v>32</v>
      </c>
      <c r="G1436" s="11" t="s">
        <v>27</v>
      </c>
      <c r="H1436" s="11" t="s">
        <v>203</v>
      </c>
      <c r="I1436" s="12">
        <v>649.91</v>
      </c>
      <c r="J1436" s="13"/>
      <c r="K1436" s="13">
        <f t="shared" si="77"/>
        <v>649.91</v>
      </c>
      <c r="L1436" s="11" t="s">
        <v>53</v>
      </c>
      <c r="M1436" s="17">
        <v>45607.0</v>
      </c>
      <c r="N1436" s="11" t="s">
        <v>73</v>
      </c>
      <c r="O1436" s="10" t="str">
        <f t="shared" si="79"/>
        <v>06/2025</v>
      </c>
      <c r="P1436" s="10" t="str">
        <f t="shared" si="29"/>
        <v>06/2025</v>
      </c>
      <c r="Q1436" s="15" t="str">
        <f t="array" ref="Q1436">IFERROR(XLOOKUP(N1436,'Classificação'!A:A,'Classificação'!B:B),"")</f>
        <v>DESPESAS NÃO OPERACIONAIS</v>
      </c>
      <c r="R1436" s="15" t="str">
        <f t="array" ref="R1436">IFERROR(XLOOKUP(Q1436,'Classificação'!B:B,'Classificação'!C:C),"")</f>
        <v>RESULTADO NÃO OPERACIONAL (+/-)</v>
      </c>
      <c r="S1436" s="15">
        <f t="shared" si="80"/>
        <v>23</v>
      </c>
      <c r="T1436" s="15">
        <f t="shared" si="6"/>
        <v>6</v>
      </c>
      <c r="U1436" s="15">
        <f t="shared" si="7"/>
        <v>2025</v>
      </c>
      <c r="V1436" s="15">
        <f t="shared" si="8"/>
        <v>23</v>
      </c>
      <c r="W1436" s="15">
        <f t="shared" si="9"/>
        <v>6</v>
      </c>
      <c r="X1436" s="15">
        <f t="shared" si="10"/>
        <v>2025</v>
      </c>
    </row>
    <row r="1437">
      <c r="A1437" s="9">
        <v>45831.0</v>
      </c>
      <c r="B1437" s="10"/>
      <c r="C1437" s="9">
        <f t="shared" si="78"/>
        <v>45831</v>
      </c>
      <c r="D1437" s="11" t="s">
        <v>127</v>
      </c>
      <c r="E1437" s="11" t="s">
        <v>25</v>
      </c>
      <c r="F1437" s="11" t="s">
        <v>26</v>
      </c>
      <c r="G1437" s="11" t="s">
        <v>37</v>
      </c>
      <c r="H1437" s="11" t="s">
        <v>826</v>
      </c>
      <c r="I1437" s="12">
        <v>600.46</v>
      </c>
      <c r="J1437" s="13"/>
      <c r="K1437" s="13">
        <f t="shared" si="77"/>
        <v>600.46</v>
      </c>
      <c r="L1437" s="11" t="s">
        <v>29</v>
      </c>
      <c r="M1437" s="14"/>
      <c r="N1437" s="11" t="s">
        <v>58</v>
      </c>
      <c r="O1437" s="10" t="str">
        <f t="shared" si="79"/>
        <v>06/2025</v>
      </c>
      <c r="P1437" s="10" t="str">
        <f t="shared" si="29"/>
        <v>06/2025</v>
      </c>
      <c r="Q1437" s="15" t="str">
        <f t="array" ref="Q1437">IFERROR(XLOOKUP(N1437,'Classificação'!A:A,'Classificação'!B:B),"")</f>
        <v>DESPESAS ADMINISTRATIVAS</v>
      </c>
      <c r="R1437" s="15" t="str">
        <f t="array" ref="R1437">IFERROR(XLOOKUP(Q1437,'Classificação'!B:B,'Classificação'!C:C),"")</f>
        <v>DESPESAS FIXAS (-)</v>
      </c>
      <c r="S1437" s="15">
        <f t="shared" si="80"/>
        <v>23</v>
      </c>
      <c r="T1437" s="15">
        <f t="shared" si="6"/>
        <v>6</v>
      </c>
      <c r="U1437" s="15">
        <f t="shared" si="7"/>
        <v>2025</v>
      </c>
      <c r="V1437" s="15">
        <f t="shared" si="8"/>
        <v>23</v>
      </c>
      <c r="W1437" s="15">
        <f t="shared" si="9"/>
        <v>6</v>
      </c>
      <c r="X1437" s="15">
        <f t="shared" si="10"/>
        <v>2025</v>
      </c>
    </row>
    <row r="1438">
      <c r="A1438" s="26">
        <v>45831.0</v>
      </c>
      <c r="B1438" s="30"/>
      <c r="C1438" s="27">
        <f t="shared" si="78"/>
        <v>45831</v>
      </c>
      <c r="D1438" s="28" t="s">
        <v>36</v>
      </c>
      <c r="E1438" s="29" t="s">
        <v>25</v>
      </c>
      <c r="F1438" s="28" t="s">
        <v>32</v>
      </c>
      <c r="G1438" s="28" t="s">
        <v>37</v>
      </c>
      <c r="H1438" s="28"/>
      <c r="I1438" s="24">
        <v>3500.0</v>
      </c>
      <c r="J1438" s="34"/>
      <c r="K1438" s="13">
        <f t="shared" si="77"/>
        <v>3500</v>
      </c>
      <c r="L1438" s="28" t="s">
        <v>29</v>
      </c>
      <c r="M1438" s="28"/>
      <c r="N1438" s="28" t="s">
        <v>38</v>
      </c>
      <c r="O1438" s="10" t="str">
        <f t="shared" si="79"/>
        <v>06/2025</v>
      </c>
      <c r="P1438" s="10" t="str">
        <f t="shared" si="29"/>
        <v>06/2025</v>
      </c>
      <c r="Q1438" s="15" t="str">
        <f t="array" ref="Q1438">IFERROR(XLOOKUP(N1438,'Classificação'!A:A,'Classificação'!B:B),"")</f>
        <v>DESPESAS COM PESSOAL</v>
      </c>
      <c r="R1438" s="15" t="str">
        <f t="array" ref="R1438">IFERROR(XLOOKUP(Q1438,'Classificação'!B:B,'Classificação'!C:C),"")</f>
        <v>DESPESAS FIXAS (-)</v>
      </c>
      <c r="S1438" s="15">
        <f t="shared" si="80"/>
        <v>23</v>
      </c>
      <c r="T1438" s="15">
        <f t="shared" si="6"/>
        <v>6</v>
      </c>
      <c r="U1438" s="15">
        <f t="shared" si="7"/>
        <v>2025</v>
      </c>
      <c r="V1438" s="15">
        <f t="shared" si="8"/>
        <v>23</v>
      </c>
      <c r="W1438" s="15">
        <f t="shared" si="9"/>
        <v>6</v>
      </c>
      <c r="X1438" s="15">
        <f t="shared" si="10"/>
        <v>2025</v>
      </c>
    </row>
    <row r="1439">
      <c r="A1439" s="26">
        <v>45831.0</v>
      </c>
      <c r="B1439" s="30"/>
      <c r="C1439" s="27">
        <f t="shared" si="78"/>
        <v>45831</v>
      </c>
      <c r="D1439" s="28" t="s">
        <v>43</v>
      </c>
      <c r="E1439" s="29" t="s">
        <v>25</v>
      </c>
      <c r="F1439" s="28" t="s">
        <v>32</v>
      </c>
      <c r="G1439" s="28" t="s">
        <v>37</v>
      </c>
      <c r="H1439" s="28"/>
      <c r="I1439" s="24">
        <v>3500.0</v>
      </c>
      <c r="J1439" s="34"/>
      <c r="K1439" s="13">
        <f t="shared" si="77"/>
        <v>3500</v>
      </c>
      <c r="L1439" s="28" t="s">
        <v>29</v>
      </c>
      <c r="M1439" s="28"/>
      <c r="N1439" s="28" t="s">
        <v>38</v>
      </c>
      <c r="O1439" s="10" t="str">
        <f t="shared" si="79"/>
        <v>06/2025</v>
      </c>
      <c r="P1439" s="10" t="str">
        <f t="shared" si="29"/>
        <v>06/2025</v>
      </c>
      <c r="Q1439" s="15" t="str">
        <f t="array" ref="Q1439">IFERROR(XLOOKUP(N1439,'Classificação'!A:A,'Classificação'!B:B),"")</f>
        <v>DESPESAS COM PESSOAL</v>
      </c>
      <c r="R1439" s="15" t="str">
        <f t="array" ref="R1439">IFERROR(XLOOKUP(Q1439,'Classificação'!B:B,'Classificação'!C:C),"")</f>
        <v>DESPESAS FIXAS (-)</v>
      </c>
      <c r="S1439" s="15">
        <f t="shared" si="80"/>
        <v>23</v>
      </c>
      <c r="T1439" s="15">
        <f t="shared" si="6"/>
        <v>6</v>
      </c>
      <c r="U1439" s="15">
        <f t="shared" si="7"/>
        <v>2025</v>
      </c>
      <c r="V1439" s="15">
        <f t="shared" si="8"/>
        <v>23</v>
      </c>
      <c r="W1439" s="15">
        <f t="shared" si="9"/>
        <v>6</v>
      </c>
      <c r="X1439" s="15">
        <f t="shared" si="10"/>
        <v>2025</v>
      </c>
    </row>
    <row r="1440">
      <c r="A1440" s="9">
        <v>45831.0</v>
      </c>
      <c r="B1440" s="9">
        <v>45553.0</v>
      </c>
      <c r="C1440" s="9">
        <f t="shared" si="78"/>
        <v>45831</v>
      </c>
      <c r="D1440" s="11" t="s">
        <v>313</v>
      </c>
      <c r="E1440" s="11" t="s">
        <v>25</v>
      </c>
      <c r="F1440" s="11" t="s">
        <v>26</v>
      </c>
      <c r="G1440" s="11" t="s">
        <v>37</v>
      </c>
      <c r="H1440" s="11" t="s">
        <v>327</v>
      </c>
      <c r="I1440" s="31">
        <v>250.0</v>
      </c>
      <c r="J1440" s="13"/>
      <c r="K1440" s="13">
        <f t="shared" si="77"/>
        <v>250</v>
      </c>
      <c r="L1440" s="11" t="s">
        <v>53</v>
      </c>
      <c r="M1440" s="17">
        <v>45635.0</v>
      </c>
      <c r="N1440" s="11" t="s">
        <v>95</v>
      </c>
      <c r="O1440" s="10" t="str">
        <f t="shared" si="79"/>
        <v>06/2025</v>
      </c>
      <c r="P1440" s="10" t="str">
        <f t="shared" si="29"/>
        <v>06/2025</v>
      </c>
      <c r="Q1440" s="15" t="str">
        <f t="array" ref="Q1440">IFERROR(XLOOKUP(N1440,'Classificação'!A:A,'Classificação'!B:B),"")</f>
        <v>DESPESAS NÃO OPERACIONAIS</v>
      </c>
      <c r="R1440" s="15" t="str">
        <f t="array" ref="R1440">IFERROR(XLOOKUP(Q1440,'Classificação'!B:B,'Classificação'!C:C),"")</f>
        <v>RESULTADO NÃO OPERACIONAL (+/-)</v>
      </c>
      <c r="S1440" s="15">
        <f t="shared" si="80"/>
        <v>23</v>
      </c>
      <c r="T1440" s="15">
        <f t="shared" si="6"/>
        <v>6</v>
      </c>
      <c r="U1440" s="15">
        <f t="shared" si="7"/>
        <v>2025</v>
      </c>
      <c r="V1440" s="15">
        <f t="shared" si="8"/>
        <v>23</v>
      </c>
      <c r="W1440" s="15">
        <f t="shared" si="9"/>
        <v>6</v>
      </c>
      <c r="X1440" s="15">
        <f t="shared" si="10"/>
        <v>2025</v>
      </c>
    </row>
    <row r="1441">
      <c r="A1441" s="9">
        <v>45831.0</v>
      </c>
      <c r="B1441" s="32">
        <v>45611.0</v>
      </c>
      <c r="C1441" s="9">
        <f t="shared" si="78"/>
        <v>45831</v>
      </c>
      <c r="D1441" s="11" t="s">
        <v>361</v>
      </c>
      <c r="E1441" s="11" t="s">
        <v>25</v>
      </c>
      <c r="F1441" s="29" t="s">
        <v>26</v>
      </c>
      <c r="G1441" s="11" t="s">
        <v>37</v>
      </c>
      <c r="H1441" s="11" t="s">
        <v>362</v>
      </c>
      <c r="I1441" s="31">
        <v>180.07</v>
      </c>
      <c r="J1441" s="13"/>
      <c r="K1441" s="13">
        <f t="shared" si="77"/>
        <v>180.07</v>
      </c>
      <c r="L1441" s="11" t="s">
        <v>53</v>
      </c>
      <c r="M1441" s="17">
        <v>45634.0</v>
      </c>
      <c r="N1441" s="11" t="s">
        <v>363</v>
      </c>
      <c r="O1441" s="10" t="str">
        <f t="shared" si="79"/>
        <v>06/2025</v>
      </c>
      <c r="P1441" s="10" t="str">
        <f t="shared" si="29"/>
        <v>06/2025</v>
      </c>
      <c r="Q1441" s="15" t="str">
        <f t="array" ref="Q1441">IFERROR(XLOOKUP(N1441,'Classificação'!A:A,'Classificação'!B:B),"")</f>
        <v>DESPESAS NÃO OPERACIONAIS</v>
      </c>
      <c r="R1441" s="15" t="str">
        <f t="array" ref="R1441">IFERROR(XLOOKUP(Q1441,'Classificação'!B:B,'Classificação'!C:C),"")</f>
        <v>RESULTADO NÃO OPERACIONAL (+/-)</v>
      </c>
      <c r="S1441" s="15">
        <f t="shared" si="80"/>
        <v>23</v>
      </c>
      <c r="T1441" s="15">
        <f t="shared" si="6"/>
        <v>6</v>
      </c>
      <c r="U1441" s="15">
        <f t="shared" si="7"/>
        <v>2025</v>
      </c>
      <c r="V1441" s="15">
        <f t="shared" si="8"/>
        <v>23</v>
      </c>
      <c r="W1441" s="15">
        <f t="shared" si="9"/>
        <v>6</v>
      </c>
      <c r="X1441" s="15">
        <f t="shared" si="10"/>
        <v>2025</v>
      </c>
    </row>
    <row r="1442">
      <c r="A1442" s="9">
        <v>45831.0</v>
      </c>
      <c r="B1442" s="10"/>
      <c r="C1442" s="9">
        <f t="shared" si="78"/>
        <v>45831</v>
      </c>
      <c r="D1442" s="47" t="s">
        <v>711</v>
      </c>
      <c r="E1442" s="11" t="s">
        <v>25</v>
      </c>
      <c r="F1442" s="11" t="s">
        <v>26</v>
      </c>
      <c r="G1442" s="11" t="s">
        <v>37</v>
      </c>
      <c r="H1442" s="11" t="s">
        <v>712</v>
      </c>
      <c r="I1442" s="31">
        <v>237.15</v>
      </c>
      <c r="J1442" s="13"/>
      <c r="K1442" s="13">
        <f t="shared" si="77"/>
        <v>237.15</v>
      </c>
      <c r="L1442" s="11" t="s">
        <v>53</v>
      </c>
      <c r="M1442" s="17">
        <v>45719.0</v>
      </c>
      <c r="N1442" s="11" t="s">
        <v>120</v>
      </c>
      <c r="O1442" s="10" t="str">
        <f t="shared" si="79"/>
        <v>06/2025</v>
      </c>
      <c r="P1442" s="10" t="str">
        <f t="shared" si="29"/>
        <v>06/2025</v>
      </c>
      <c r="Q1442" s="15" t="str">
        <f t="array" ref="Q1442">IFERROR(XLOOKUP(N1442,'Classificação'!A:A,'Classificação'!B:B),"")</f>
        <v>DESPESAS ADMINISTRATIVAS</v>
      </c>
      <c r="R1442" s="15" t="str">
        <f t="array" ref="R1442">IFERROR(XLOOKUP(Q1442,'Classificação'!B:B,'Classificação'!C:C),"")</f>
        <v>DESPESAS FIXAS (-)</v>
      </c>
      <c r="S1442" s="15">
        <f t="shared" si="80"/>
        <v>23</v>
      </c>
      <c r="T1442" s="15">
        <f t="shared" si="6"/>
        <v>6</v>
      </c>
      <c r="U1442" s="15">
        <f t="shared" si="7"/>
        <v>2025</v>
      </c>
      <c r="V1442" s="15">
        <f t="shared" si="8"/>
        <v>23</v>
      </c>
      <c r="W1442" s="15">
        <f t="shared" si="9"/>
        <v>6</v>
      </c>
      <c r="X1442" s="15">
        <f t="shared" si="10"/>
        <v>2025</v>
      </c>
    </row>
    <row r="1443">
      <c r="A1443" s="9">
        <v>45831.0</v>
      </c>
      <c r="B1443" s="9">
        <v>45804.0</v>
      </c>
      <c r="C1443" s="9">
        <f t="shared" si="78"/>
        <v>45831</v>
      </c>
      <c r="D1443" s="11" t="s">
        <v>558</v>
      </c>
      <c r="E1443" s="11" t="s">
        <v>25</v>
      </c>
      <c r="F1443" s="11" t="s">
        <v>26</v>
      </c>
      <c r="G1443" s="11" t="s">
        <v>37</v>
      </c>
      <c r="H1443" s="11" t="s">
        <v>827</v>
      </c>
      <c r="I1443" s="31">
        <v>302.19</v>
      </c>
      <c r="J1443" s="13"/>
      <c r="K1443" s="13">
        <f t="shared" si="77"/>
        <v>302.19</v>
      </c>
      <c r="L1443" s="11" t="s">
        <v>34</v>
      </c>
      <c r="M1443" s="14"/>
      <c r="N1443" s="11" t="s">
        <v>105</v>
      </c>
      <c r="O1443" s="10" t="str">
        <f t="shared" si="79"/>
        <v>06/2025</v>
      </c>
      <c r="P1443" s="10" t="str">
        <f t="shared" si="29"/>
        <v>06/2025</v>
      </c>
      <c r="Q1443" s="15" t="str">
        <f t="array" ref="Q1443">IFERROR(XLOOKUP(N1443,'Classificação'!A:A,'Classificação'!B:B),"")</f>
        <v>DESPESAS ADMINISTRATIVAS</v>
      </c>
      <c r="R1443" s="15" t="str">
        <f t="array" ref="R1443">IFERROR(XLOOKUP(Q1443,'Classificação'!B:B,'Classificação'!C:C),"")</f>
        <v>DESPESAS FIXAS (-)</v>
      </c>
      <c r="S1443" s="15">
        <f t="shared" si="80"/>
        <v>23</v>
      </c>
      <c r="T1443" s="15">
        <f t="shared" si="6"/>
        <v>6</v>
      </c>
      <c r="U1443" s="15">
        <f t="shared" si="7"/>
        <v>2025</v>
      </c>
      <c r="V1443" s="15">
        <f t="shared" si="8"/>
        <v>23</v>
      </c>
      <c r="W1443" s="15">
        <f t="shared" si="9"/>
        <v>6</v>
      </c>
      <c r="X1443" s="15">
        <f t="shared" si="10"/>
        <v>2025</v>
      </c>
    </row>
    <row r="1444">
      <c r="A1444" s="9">
        <v>45831.0</v>
      </c>
      <c r="B1444" s="9">
        <v>45813.0</v>
      </c>
      <c r="C1444" s="9">
        <f t="shared" si="78"/>
        <v>45831</v>
      </c>
      <c r="D1444" s="11" t="s">
        <v>828</v>
      </c>
      <c r="E1444" s="11" t="s">
        <v>25</v>
      </c>
      <c r="F1444" s="11" t="s">
        <v>26</v>
      </c>
      <c r="G1444" s="11" t="s">
        <v>37</v>
      </c>
      <c r="H1444" s="11" t="s">
        <v>829</v>
      </c>
      <c r="I1444" s="31">
        <v>115.83</v>
      </c>
      <c r="J1444" s="13"/>
      <c r="K1444" s="13">
        <f t="shared" si="77"/>
        <v>115.83</v>
      </c>
      <c r="L1444" s="11" t="s">
        <v>34</v>
      </c>
      <c r="M1444" s="14"/>
      <c r="N1444" s="11" t="s">
        <v>105</v>
      </c>
      <c r="O1444" s="10" t="str">
        <f t="shared" si="79"/>
        <v>06/2025</v>
      </c>
      <c r="P1444" s="10" t="str">
        <f t="shared" si="29"/>
        <v>06/2025</v>
      </c>
      <c r="Q1444" s="15" t="str">
        <f t="array" ref="Q1444">IFERROR(XLOOKUP(N1444,'Classificação'!A:A,'Classificação'!B:B),"")</f>
        <v>DESPESAS ADMINISTRATIVAS</v>
      </c>
      <c r="R1444" s="15" t="str">
        <f t="array" ref="R1444">IFERROR(XLOOKUP(Q1444,'Classificação'!B:B,'Classificação'!C:C),"")</f>
        <v>DESPESAS FIXAS (-)</v>
      </c>
      <c r="S1444" s="15">
        <f t="shared" si="80"/>
        <v>23</v>
      </c>
      <c r="T1444" s="15">
        <f t="shared" si="6"/>
        <v>6</v>
      </c>
      <c r="U1444" s="15">
        <f t="shared" si="7"/>
        <v>2025</v>
      </c>
      <c r="V1444" s="15">
        <f t="shared" si="8"/>
        <v>23</v>
      </c>
      <c r="W1444" s="15">
        <f t="shared" si="9"/>
        <v>6</v>
      </c>
      <c r="X1444" s="15">
        <f t="shared" si="10"/>
        <v>2025</v>
      </c>
    </row>
    <row r="1445">
      <c r="A1445" s="9">
        <v>45831.0</v>
      </c>
      <c r="B1445" s="9">
        <v>45819.0</v>
      </c>
      <c r="C1445" s="9">
        <f t="shared" si="78"/>
        <v>45831</v>
      </c>
      <c r="D1445" s="11" t="s">
        <v>830</v>
      </c>
      <c r="E1445" s="11" t="s">
        <v>25</v>
      </c>
      <c r="F1445" s="11" t="s">
        <v>26</v>
      </c>
      <c r="G1445" s="11" t="s">
        <v>37</v>
      </c>
      <c r="H1445" s="11" t="s">
        <v>831</v>
      </c>
      <c r="I1445" s="31">
        <v>114.98</v>
      </c>
      <c r="J1445" s="13"/>
      <c r="K1445" s="13">
        <f t="shared" si="77"/>
        <v>114.98</v>
      </c>
      <c r="L1445" s="11" t="s">
        <v>34</v>
      </c>
      <c r="M1445" s="14"/>
      <c r="N1445" s="11" t="s">
        <v>105</v>
      </c>
      <c r="O1445" s="10" t="str">
        <f t="shared" si="79"/>
        <v>06/2025</v>
      </c>
      <c r="P1445" s="10" t="str">
        <f t="shared" si="29"/>
        <v>06/2025</v>
      </c>
      <c r="Q1445" s="15" t="str">
        <f t="array" ref="Q1445">IFERROR(XLOOKUP(N1445,'Classificação'!A:A,'Classificação'!B:B),"")</f>
        <v>DESPESAS ADMINISTRATIVAS</v>
      </c>
      <c r="R1445" s="15" t="str">
        <f t="array" ref="R1445">IFERROR(XLOOKUP(Q1445,'Classificação'!B:B,'Classificação'!C:C),"")</f>
        <v>DESPESAS FIXAS (-)</v>
      </c>
      <c r="S1445" s="15">
        <f t="shared" si="80"/>
        <v>23</v>
      </c>
      <c r="T1445" s="15">
        <f t="shared" si="6"/>
        <v>6</v>
      </c>
      <c r="U1445" s="15">
        <f t="shared" si="7"/>
        <v>2025</v>
      </c>
      <c r="V1445" s="15">
        <f t="shared" si="8"/>
        <v>23</v>
      </c>
      <c r="W1445" s="15">
        <f t="shared" si="9"/>
        <v>6</v>
      </c>
      <c r="X1445" s="15">
        <f t="shared" si="10"/>
        <v>2025</v>
      </c>
    </row>
    <row r="1446">
      <c r="A1446" s="9">
        <v>45831.0</v>
      </c>
      <c r="B1446" s="9">
        <v>45818.0</v>
      </c>
      <c r="C1446" s="9">
        <f t="shared" si="78"/>
        <v>45831</v>
      </c>
      <c r="D1446" s="11" t="s">
        <v>832</v>
      </c>
      <c r="E1446" s="11" t="s">
        <v>25</v>
      </c>
      <c r="F1446" s="11" t="s">
        <v>26</v>
      </c>
      <c r="G1446" s="11" t="s">
        <v>37</v>
      </c>
      <c r="H1446" s="11" t="s">
        <v>833</v>
      </c>
      <c r="I1446" s="31">
        <v>30.3</v>
      </c>
      <c r="J1446" s="13"/>
      <c r="K1446" s="13">
        <f t="shared" si="77"/>
        <v>30.3</v>
      </c>
      <c r="L1446" s="11" t="s">
        <v>34</v>
      </c>
      <c r="M1446" s="14"/>
      <c r="N1446" s="11" t="s">
        <v>105</v>
      </c>
      <c r="O1446" s="10" t="str">
        <f t="shared" si="79"/>
        <v>06/2025</v>
      </c>
      <c r="P1446" s="10" t="str">
        <f t="shared" si="29"/>
        <v>06/2025</v>
      </c>
      <c r="Q1446" s="15" t="str">
        <f t="array" ref="Q1446">IFERROR(XLOOKUP(N1446,'Classificação'!A:A,'Classificação'!B:B),"")</f>
        <v>DESPESAS ADMINISTRATIVAS</v>
      </c>
      <c r="R1446" s="15" t="str">
        <f t="array" ref="R1446">IFERROR(XLOOKUP(Q1446,'Classificação'!B:B,'Classificação'!C:C),"")</f>
        <v>DESPESAS FIXAS (-)</v>
      </c>
      <c r="S1446" s="15">
        <f t="shared" si="80"/>
        <v>23</v>
      </c>
      <c r="T1446" s="15">
        <f t="shared" si="6"/>
        <v>6</v>
      </c>
      <c r="U1446" s="15">
        <f t="shared" si="7"/>
        <v>2025</v>
      </c>
      <c r="V1446" s="15">
        <f t="shared" si="8"/>
        <v>23</v>
      </c>
      <c r="W1446" s="15">
        <f t="shared" si="9"/>
        <v>6</v>
      </c>
      <c r="X1446" s="15">
        <f t="shared" si="10"/>
        <v>2025</v>
      </c>
    </row>
    <row r="1447">
      <c r="A1447" s="27">
        <v>45831.0</v>
      </c>
      <c r="B1447" s="30"/>
      <c r="C1447" s="9">
        <f t="shared" si="78"/>
        <v>45831</v>
      </c>
      <c r="D1447" s="28" t="s">
        <v>36</v>
      </c>
      <c r="E1447" s="28" t="s">
        <v>25</v>
      </c>
      <c r="F1447" s="28" t="s">
        <v>32</v>
      </c>
      <c r="G1447" s="29" t="s">
        <v>27</v>
      </c>
      <c r="H1447" s="28"/>
      <c r="I1447" s="24">
        <v>1621.0</v>
      </c>
      <c r="J1447" s="34"/>
      <c r="K1447" s="13">
        <f t="shared" si="77"/>
        <v>1621</v>
      </c>
      <c r="L1447" s="28" t="s">
        <v>29</v>
      </c>
      <c r="M1447" s="28"/>
      <c r="N1447" s="28" t="s">
        <v>38</v>
      </c>
      <c r="O1447" s="10" t="str">
        <f t="shared" si="79"/>
        <v>06/2025</v>
      </c>
      <c r="P1447" s="10" t="str">
        <f t="shared" si="29"/>
        <v>06/2025</v>
      </c>
      <c r="Q1447" s="15" t="str">
        <f t="array" ref="Q1447">IFERROR(XLOOKUP(N1447,'Classificação'!A:A,'Classificação'!B:B),"")</f>
        <v>DESPESAS COM PESSOAL</v>
      </c>
      <c r="R1447" s="15" t="str">
        <f t="array" ref="R1447">IFERROR(XLOOKUP(Q1447,'Classificação'!B:B,'Classificação'!C:C),"")</f>
        <v>DESPESAS FIXAS (-)</v>
      </c>
      <c r="S1447" s="15">
        <f t="shared" si="80"/>
        <v>23</v>
      </c>
      <c r="T1447" s="15">
        <f t="shared" si="6"/>
        <v>6</v>
      </c>
      <c r="U1447" s="15">
        <f t="shared" si="7"/>
        <v>2025</v>
      </c>
      <c r="V1447" s="15">
        <f t="shared" si="8"/>
        <v>23</v>
      </c>
      <c r="W1447" s="15">
        <f t="shared" si="9"/>
        <v>6</v>
      </c>
      <c r="X1447" s="15">
        <f t="shared" si="10"/>
        <v>2025</v>
      </c>
    </row>
    <row r="1448">
      <c r="A1448" s="27">
        <v>45831.0</v>
      </c>
      <c r="B1448" s="30"/>
      <c r="C1448" s="9">
        <f t="shared" si="78"/>
        <v>45831</v>
      </c>
      <c r="D1448" s="28" t="s">
        <v>43</v>
      </c>
      <c r="E1448" s="28" t="s">
        <v>25</v>
      </c>
      <c r="F1448" s="28" t="s">
        <v>32</v>
      </c>
      <c r="G1448" s="29" t="s">
        <v>27</v>
      </c>
      <c r="H1448" s="28"/>
      <c r="I1448" s="24">
        <v>1620.0</v>
      </c>
      <c r="J1448" s="34"/>
      <c r="K1448" s="13">
        <f t="shared" si="77"/>
        <v>1620</v>
      </c>
      <c r="L1448" s="28" t="s">
        <v>29</v>
      </c>
      <c r="M1448" s="28"/>
      <c r="N1448" s="28" t="s">
        <v>38</v>
      </c>
      <c r="O1448" s="10" t="str">
        <f t="shared" si="79"/>
        <v>06/2025</v>
      </c>
      <c r="P1448" s="10" t="str">
        <f t="shared" si="29"/>
        <v>06/2025</v>
      </c>
      <c r="Q1448" s="15" t="str">
        <f t="array" ref="Q1448">IFERROR(XLOOKUP(N1448,'Classificação'!A:A,'Classificação'!B:B),"")</f>
        <v>DESPESAS COM PESSOAL</v>
      </c>
      <c r="R1448" s="15" t="str">
        <f t="array" ref="R1448">IFERROR(XLOOKUP(Q1448,'Classificação'!B:B,'Classificação'!C:C),"")</f>
        <v>DESPESAS FIXAS (-)</v>
      </c>
      <c r="S1448" s="15">
        <f t="shared" si="80"/>
        <v>23</v>
      </c>
      <c r="T1448" s="15">
        <f t="shared" si="6"/>
        <v>6</v>
      </c>
      <c r="U1448" s="15">
        <f t="shared" si="7"/>
        <v>2025</v>
      </c>
      <c r="V1448" s="15">
        <f t="shared" si="8"/>
        <v>23</v>
      </c>
      <c r="W1448" s="15">
        <f t="shared" si="9"/>
        <v>6</v>
      </c>
      <c r="X1448" s="15">
        <f t="shared" si="10"/>
        <v>2025</v>
      </c>
    </row>
    <row r="1449">
      <c r="A1449" s="9">
        <v>45831.0</v>
      </c>
      <c r="B1449" s="10"/>
      <c r="C1449" s="9">
        <f t="shared" si="78"/>
        <v>45831</v>
      </c>
      <c r="D1449" s="11" t="s">
        <v>834</v>
      </c>
      <c r="E1449" s="11" t="s">
        <v>25</v>
      </c>
      <c r="F1449" s="11" t="s">
        <v>26</v>
      </c>
      <c r="G1449" s="11" t="s">
        <v>37</v>
      </c>
      <c r="H1449" s="11" t="s">
        <v>835</v>
      </c>
      <c r="I1449" s="12">
        <v>120.0</v>
      </c>
      <c r="J1449" s="13"/>
      <c r="K1449" s="13">
        <f t="shared" si="77"/>
        <v>120</v>
      </c>
      <c r="L1449" s="11" t="s">
        <v>34</v>
      </c>
      <c r="M1449" s="14"/>
      <c r="N1449" s="11" t="s">
        <v>120</v>
      </c>
      <c r="O1449" s="10" t="str">
        <f t="shared" si="79"/>
        <v>06/2025</v>
      </c>
      <c r="P1449" s="10" t="str">
        <f t="shared" si="29"/>
        <v>06/2025</v>
      </c>
      <c r="Q1449" s="15" t="str">
        <f t="array" ref="Q1449">IFERROR(XLOOKUP(N1449,'Classificação'!A:A,'Classificação'!B:B),"")</f>
        <v>DESPESAS ADMINISTRATIVAS</v>
      </c>
      <c r="R1449" s="15" t="str">
        <f t="array" ref="R1449">IFERROR(XLOOKUP(Q1449,'Classificação'!B:B,'Classificação'!C:C),"")</f>
        <v>DESPESAS FIXAS (-)</v>
      </c>
      <c r="S1449" s="15">
        <f t="shared" si="80"/>
        <v>23</v>
      </c>
      <c r="T1449" s="15">
        <f t="shared" si="6"/>
        <v>6</v>
      </c>
      <c r="U1449" s="15">
        <f t="shared" si="7"/>
        <v>2025</v>
      </c>
      <c r="V1449" s="15">
        <f t="shared" si="8"/>
        <v>23</v>
      </c>
      <c r="W1449" s="15">
        <f t="shared" si="9"/>
        <v>6</v>
      </c>
      <c r="X1449" s="15">
        <f t="shared" si="10"/>
        <v>2025</v>
      </c>
    </row>
    <row r="1450">
      <c r="A1450" s="9">
        <v>45832.0</v>
      </c>
      <c r="B1450" s="9">
        <v>45786.0</v>
      </c>
      <c r="C1450" s="9">
        <f t="shared" si="78"/>
        <v>45832</v>
      </c>
      <c r="D1450" s="11" t="s">
        <v>86</v>
      </c>
      <c r="E1450" s="11" t="s">
        <v>25</v>
      </c>
      <c r="F1450" s="11" t="s">
        <v>87</v>
      </c>
      <c r="G1450" s="11" t="s">
        <v>27</v>
      </c>
      <c r="H1450" s="11" t="s">
        <v>836</v>
      </c>
      <c r="I1450" s="12">
        <v>5310.0</v>
      </c>
      <c r="J1450" s="13"/>
      <c r="K1450" s="13">
        <f t="shared" si="77"/>
        <v>5310</v>
      </c>
      <c r="L1450" s="11" t="s">
        <v>53</v>
      </c>
      <c r="M1450" s="17">
        <v>45748.0</v>
      </c>
      <c r="N1450" s="11" t="s">
        <v>35</v>
      </c>
      <c r="O1450" s="10" t="str">
        <f t="shared" si="79"/>
        <v>06/2025</v>
      </c>
      <c r="P1450" s="10" t="str">
        <f t="shared" si="29"/>
        <v>06/2025</v>
      </c>
      <c r="Q1450" s="15" t="str">
        <f t="array" ref="Q1450">IFERROR(XLOOKUP(N1450,'Classificação'!A:A,'Classificação'!B:B),"")</f>
        <v>COMPRA DE MERCADORIA</v>
      </c>
      <c r="R1450" s="15" t="str">
        <f t="array" ref="R1450">IFERROR(XLOOKUP(Q1450,'Classificação'!B:B,'Classificação'!C:C),"")</f>
        <v>CUSTOS VARIÁVEIS</v>
      </c>
      <c r="S1450" s="15">
        <f t="shared" si="80"/>
        <v>24</v>
      </c>
      <c r="T1450" s="15">
        <f t="shared" si="6"/>
        <v>6</v>
      </c>
      <c r="U1450" s="15">
        <f t="shared" si="7"/>
        <v>2025</v>
      </c>
      <c r="V1450" s="15">
        <f t="shared" si="8"/>
        <v>24</v>
      </c>
      <c r="W1450" s="15">
        <f t="shared" si="9"/>
        <v>6</v>
      </c>
      <c r="X1450" s="15">
        <f t="shared" si="10"/>
        <v>2025</v>
      </c>
    </row>
    <row r="1451">
      <c r="A1451" s="9">
        <v>45832.0</v>
      </c>
      <c r="B1451" s="10"/>
      <c r="C1451" s="9">
        <f t="shared" si="78"/>
        <v>45832</v>
      </c>
      <c r="D1451" s="11" t="s">
        <v>39</v>
      </c>
      <c r="E1451" s="11" t="s">
        <v>25</v>
      </c>
      <c r="F1451" s="11" t="s">
        <v>40</v>
      </c>
      <c r="G1451" s="11" t="s">
        <v>27</v>
      </c>
      <c r="H1451" s="11" t="s">
        <v>640</v>
      </c>
      <c r="I1451" s="12">
        <v>142.68</v>
      </c>
      <c r="J1451" s="13"/>
      <c r="K1451" s="13">
        <f t="shared" si="77"/>
        <v>142.68</v>
      </c>
      <c r="L1451" s="11" t="s">
        <v>53</v>
      </c>
      <c r="M1451" s="17">
        <v>45934.0</v>
      </c>
      <c r="N1451" s="11" t="s">
        <v>355</v>
      </c>
      <c r="O1451" s="10" t="str">
        <f t="shared" si="79"/>
        <v>06/2025</v>
      </c>
      <c r="P1451" s="10" t="str">
        <f t="shared" si="29"/>
        <v>06/2025</v>
      </c>
      <c r="Q1451" s="15" t="str">
        <f t="array" ref="Q1451">IFERROR(XLOOKUP(N1451,'Classificação'!A:A,'Classificação'!B:B),"")</f>
        <v>IMPOSTOS E TAXAS DIVERSAS</v>
      </c>
      <c r="R1451" s="15" t="str">
        <f t="array" ref="R1451">IFERROR(XLOOKUP(Q1451,'Classificação'!B:B,'Classificação'!C:C),"")</f>
        <v>DESPESAS FIXAS (-)</v>
      </c>
      <c r="S1451" s="15">
        <f t="shared" si="80"/>
        <v>24</v>
      </c>
      <c r="T1451" s="15">
        <f t="shared" si="6"/>
        <v>6</v>
      </c>
      <c r="U1451" s="15">
        <f t="shared" si="7"/>
        <v>2025</v>
      </c>
      <c r="V1451" s="15">
        <f t="shared" si="8"/>
        <v>24</v>
      </c>
      <c r="W1451" s="15">
        <f t="shared" si="9"/>
        <v>6</v>
      </c>
      <c r="X1451" s="15">
        <f t="shared" si="10"/>
        <v>2025</v>
      </c>
    </row>
    <row r="1452">
      <c r="A1452" s="26">
        <v>45833.0</v>
      </c>
      <c r="B1452" s="30"/>
      <c r="C1452" s="9">
        <f t="shared" si="78"/>
        <v>45833</v>
      </c>
      <c r="D1452" s="28" t="s">
        <v>86</v>
      </c>
      <c r="E1452" s="29" t="s">
        <v>25</v>
      </c>
      <c r="F1452" s="29" t="s">
        <v>87</v>
      </c>
      <c r="G1452" s="28" t="s">
        <v>27</v>
      </c>
      <c r="H1452" s="29" t="s">
        <v>837</v>
      </c>
      <c r="I1452" s="12">
        <v>1301.67</v>
      </c>
      <c r="J1452" s="13"/>
      <c r="K1452" s="13">
        <f t="shared" si="77"/>
        <v>1301.67</v>
      </c>
      <c r="L1452" s="11" t="s">
        <v>53</v>
      </c>
      <c r="M1452" s="17">
        <v>45354.0</v>
      </c>
      <c r="N1452" s="11" t="s">
        <v>35</v>
      </c>
      <c r="O1452" s="10" t="str">
        <f t="shared" si="79"/>
        <v>06/2025</v>
      </c>
      <c r="P1452" s="10" t="str">
        <f t="shared" si="29"/>
        <v>06/2025</v>
      </c>
      <c r="Q1452" s="15" t="str">
        <f t="array" ref="Q1452">IFERROR(XLOOKUP(N1452,'Classificação'!A:A,'Classificação'!B:B),"")</f>
        <v>COMPRA DE MERCADORIA</v>
      </c>
      <c r="R1452" s="15" t="str">
        <f t="array" ref="R1452">IFERROR(XLOOKUP(Q1452,'Classificação'!B:B,'Classificação'!C:C),"")</f>
        <v>CUSTOS VARIÁVEIS</v>
      </c>
      <c r="S1452" s="15">
        <f t="shared" si="80"/>
        <v>25</v>
      </c>
      <c r="T1452" s="15">
        <f t="shared" si="6"/>
        <v>6</v>
      </c>
      <c r="U1452" s="15">
        <f t="shared" si="7"/>
        <v>2025</v>
      </c>
      <c r="V1452" s="15">
        <f t="shared" si="8"/>
        <v>25</v>
      </c>
      <c r="W1452" s="15">
        <f t="shared" si="9"/>
        <v>6</v>
      </c>
      <c r="X1452" s="15">
        <f t="shared" si="10"/>
        <v>2025</v>
      </c>
    </row>
    <row r="1453">
      <c r="A1453" s="9">
        <v>45833.0</v>
      </c>
      <c r="B1453" s="10"/>
      <c r="C1453" s="9">
        <f t="shared" si="78"/>
        <v>45833</v>
      </c>
      <c r="D1453" s="11" t="s">
        <v>208</v>
      </c>
      <c r="E1453" s="11" t="s">
        <v>25</v>
      </c>
      <c r="F1453" s="11" t="s">
        <v>40</v>
      </c>
      <c r="G1453" s="11" t="s">
        <v>27</v>
      </c>
      <c r="H1453" s="11" t="s">
        <v>209</v>
      </c>
      <c r="I1453" s="12">
        <v>171.72</v>
      </c>
      <c r="J1453" s="13"/>
      <c r="K1453" s="13">
        <f t="shared" si="77"/>
        <v>171.72</v>
      </c>
      <c r="L1453" s="11" t="s">
        <v>29</v>
      </c>
      <c r="M1453" s="14"/>
      <c r="N1453" s="11" t="s">
        <v>210</v>
      </c>
      <c r="O1453" s="10" t="str">
        <f t="shared" si="79"/>
        <v>06/2025</v>
      </c>
      <c r="P1453" s="10" t="str">
        <f t="shared" si="29"/>
        <v>06/2025</v>
      </c>
      <c r="Q1453" s="15" t="str">
        <f t="array" ref="Q1453">IFERROR(XLOOKUP(N1453,'Classificação'!A:A,'Classificação'!B:B),"")</f>
        <v>DESPESAS COM OCUPAÇÃO</v>
      </c>
      <c r="R1453" s="15" t="str">
        <f t="array" ref="R1453">IFERROR(XLOOKUP(Q1453,'Classificação'!B:B,'Classificação'!C:C),"")</f>
        <v>DESPESAS FIXAS (-)</v>
      </c>
      <c r="S1453" s="15">
        <f t="shared" si="80"/>
        <v>25</v>
      </c>
      <c r="T1453" s="15">
        <f t="shared" si="6"/>
        <v>6</v>
      </c>
      <c r="U1453" s="15">
        <f t="shared" si="7"/>
        <v>2025</v>
      </c>
      <c r="V1453" s="15">
        <f t="shared" si="8"/>
        <v>25</v>
      </c>
      <c r="W1453" s="15">
        <f t="shared" si="9"/>
        <v>6</v>
      </c>
      <c r="X1453" s="15">
        <f t="shared" si="10"/>
        <v>2025</v>
      </c>
    </row>
    <row r="1454">
      <c r="A1454" s="26">
        <v>45834.0</v>
      </c>
      <c r="B1454" s="30"/>
      <c r="C1454" s="27">
        <f t="shared" si="78"/>
        <v>45834</v>
      </c>
      <c r="D1454" s="28" t="s">
        <v>520</v>
      </c>
      <c r="E1454" s="29" t="s">
        <v>25</v>
      </c>
      <c r="F1454" s="28" t="s">
        <v>26</v>
      </c>
      <c r="G1454" s="28" t="s">
        <v>37</v>
      </c>
      <c r="H1454" s="28" t="s">
        <v>730</v>
      </c>
      <c r="I1454" s="24">
        <v>100.0</v>
      </c>
      <c r="J1454" s="13"/>
      <c r="K1454" s="13">
        <f t="shared" si="77"/>
        <v>100</v>
      </c>
      <c r="L1454" s="11" t="s">
        <v>34</v>
      </c>
      <c r="M1454" s="14"/>
      <c r="N1454" s="11" t="s">
        <v>58</v>
      </c>
      <c r="O1454" s="10" t="str">
        <f t="shared" si="79"/>
        <v>06/2025</v>
      </c>
      <c r="P1454" s="10" t="str">
        <f t="shared" si="29"/>
        <v>06/2025</v>
      </c>
      <c r="Q1454" s="15" t="str">
        <f t="array" ref="Q1454">IFERROR(XLOOKUP(N1454,'Classificação'!A:A,'Classificação'!B:B),"")</f>
        <v>DESPESAS ADMINISTRATIVAS</v>
      </c>
      <c r="R1454" s="15" t="str">
        <f t="array" ref="R1454">IFERROR(XLOOKUP(Q1454,'Classificação'!B:B,'Classificação'!C:C),"")</f>
        <v>DESPESAS FIXAS (-)</v>
      </c>
      <c r="S1454" s="15">
        <f t="shared" si="80"/>
        <v>26</v>
      </c>
      <c r="T1454" s="15">
        <f t="shared" si="6"/>
        <v>6</v>
      </c>
      <c r="U1454" s="15">
        <f t="shared" si="7"/>
        <v>2025</v>
      </c>
      <c r="V1454" s="15">
        <f t="shared" si="8"/>
        <v>26</v>
      </c>
      <c r="W1454" s="15">
        <f t="shared" si="9"/>
        <v>6</v>
      </c>
      <c r="X1454" s="15">
        <f t="shared" si="10"/>
        <v>2025</v>
      </c>
    </row>
    <row r="1455">
      <c r="A1455" s="9">
        <v>45834.0</v>
      </c>
      <c r="B1455" s="9">
        <v>45819.0</v>
      </c>
      <c r="C1455" s="9">
        <f t="shared" si="78"/>
        <v>45834</v>
      </c>
      <c r="D1455" s="11" t="s">
        <v>86</v>
      </c>
      <c r="E1455" s="11" t="s">
        <v>25</v>
      </c>
      <c r="F1455" s="11" t="s">
        <v>87</v>
      </c>
      <c r="G1455" s="11" t="s">
        <v>27</v>
      </c>
      <c r="H1455" s="11" t="s">
        <v>838</v>
      </c>
      <c r="I1455" s="12">
        <v>4200.0</v>
      </c>
      <c r="J1455" s="13"/>
      <c r="K1455" s="13">
        <f t="shared" si="77"/>
        <v>4200</v>
      </c>
      <c r="L1455" s="11" t="s">
        <v>53</v>
      </c>
      <c r="M1455" s="17">
        <v>45748.0</v>
      </c>
      <c r="N1455" s="11" t="s">
        <v>35</v>
      </c>
      <c r="O1455" s="10" t="str">
        <f t="shared" si="79"/>
        <v>06/2025</v>
      </c>
      <c r="P1455" s="10"/>
      <c r="Q1455" s="15" t="str">
        <f t="array" ref="Q1455">IFERROR(XLOOKUP(N1455,'Classificação'!A:A,'Classificação'!B:B),"")</f>
        <v>COMPRA DE MERCADORIA</v>
      </c>
      <c r="R1455" s="15" t="str">
        <f t="array" ref="R1455">IFERROR(XLOOKUP(Q1455,'Classificação'!B:B,'Classificação'!C:C),"")</f>
        <v>CUSTOS VARIÁVEIS</v>
      </c>
      <c r="S1455" s="15">
        <f t="shared" si="80"/>
        <v>26</v>
      </c>
      <c r="T1455" s="15">
        <f t="shared" si="6"/>
        <v>6</v>
      </c>
      <c r="U1455" s="15">
        <f t="shared" si="7"/>
        <v>2025</v>
      </c>
      <c r="V1455" s="15">
        <f t="shared" si="8"/>
        <v>26</v>
      </c>
      <c r="W1455" s="15">
        <f t="shared" si="9"/>
        <v>6</v>
      </c>
      <c r="X1455" s="15">
        <f t="shared" si="10"/>
        <v>2025</v>
      </c>
    </row>
    <row r="1456">
      <c r="A1456" s="9">
        <v>45837.0</v>
      </c>
      <c r="B1456" s="10"/>
      <c r="C1456" s="9">
        <f t="shared" si="78"/>
        <v>45837</v>
      </c>
      <c r="D1456" s="11" t="s">
        <v>839</v>
      </c>
      <c r="E1456" s="11" t="s">
        <v>25</v>
      </c>
      <c r="F1456" s="11" t="s">
        <v>26</v>
      </c>
      <c r="G1456" s="11" t="s">
        <v>37</v>
      </c>
      <c r="H1456" s="11" t="s">
        <v>840</v>
      </c>
      <c r="I1456" s="12">
        <v>350.0</v>
      </c>
      <c r="J1456" s="13"/>
      <c r="K1456" s="13">
        <f t="shared" si="77"/>
        <v>350</v>
      </c>
      <c r="L1456" s="11" t="s">
        <v>34</v>
      </c>
      <c r="M1456" s="14"/>
      <c r="N1456" s="11" t="s">
        <v>95</v>
      </c>
      <c r="O1456" s="10" t="str">
        <f t="shared" si="79"/>
        <v>06/2025</v>
      </c>
      <c r="P1456" s="10" t="str">
        <f t="shared" ref="P1456:P2041" si="81">if(C1456="","", TEXT(C1456,"mm/yyyy"))</f>
        <v>06/2025</v>
      </c>
      <c r="Q1456" s="15" t="str">
        <f t="array" ref="Q1456">IFERROR(XLOOKUP(N1456,'Classificação'!A:A,'Classificação'!B:B),"")</f>
        <v>DESPESAS NÃO OPERACIONAIS</v>
      </c>
      <c r="R1456" s="15" t="str">
        <f t="array" ref="R1456">IFERROR(XLOOKUP(Q1456,'Classificação'!B:B,'Classificação'!C:C),"")</f>
        <v>RESULTADO NÃO OPERACIONAL (+/-)</v>
      </c>
      <c r="S1456" s="15">
        <f t="shared" si="80"/>
        <v>29</v>
      </c>
      <c r="T1456" s="15">
        <f t="shared" si="6"/>
        <v>6</v>
      </c>
      <c r="U1456" s="15">
        <f t="shared" si="7"/>
        <v>2025</v>
      </c>
      <c r="V1456" s="15">
        <f t="shared" si="8"/>
        <v>29</v>
      </c>
      <c r="W1456" s="15">
        <f t="shared" si="9"/>
        <v>6</v>
      </c>
      <c r="X1456" s="15">
        <f t="shared" si="10"/>
        <v>2025</v>
      </c>
    </row>
    <row r="1457">
      <c r="A1457" s="9">
        <v>45838.0</v>
      </c>
      <c r="B1457" s="10"/>
      <c r="C1457" s="9">
        <f t="shared" si="78"/>
        <v>45838</v>
      </c>
      <c r="D1457" s="11" t="s">
        <v>223</v>
      </c>
      <c r="E1457" s="11" t="s">
        <v>25</v>
      </c>
      <c r="F1457" s="11" t="s">
        <v>32</v>
      </c>
      <c r="G1457" s="11" t="s">
        <v>37</v>
      </c>
      <c r="I1457" s="12">
        <v>150.0</v>
      </c>
      <c r="J1457" s="13"/>
      <c r="K1457" s="13">
        <f t="shared" si="77"/>
        <v>150</v>
      </c>
      <c r="L1457" s="11" t="s">
        <v>29</v>
      </c>
      <c r="M1457" s="14"/>
      <c r="N1457" s="11" t="s">
        <v>224</v>
      </c>
      <c r="O1457" s="10" t="str">
        <f t="shared" si="79"/>
        <v>06/2025</v>
      </c>
      <c r="P1457" s="10" t="str">
        <f t="shared" si="81"/>
        <v>06/2025</v>
      </c>
      <c r="Q1457" s="15" t="str">
        <f t="array" ref="Q1457">IFERROR(XLOOKUP(N1457,'Classificação'!A:A,'Classificação'!B:B),"")</f>
        <v>DESPESAS ADMINISTRATIVAS</v>
      </c>
      <c r="R1457" s="15" t="str">
        <f t="array" ref="R1457">IFERROR(XLOOKUP(Q1457,'Classificação'!B:B,'Classificação'!C:C),"")</f>
        <v>DESPESAS FIXAS (-)</v>
      </c>
      <c r="S1457" s="15">
        <f t="shared" si="80"/>
        <v>30</v>
      </c>
      <c r="T1457" s="15">
        <f t="shared" si="6"/>
        <v>6</v>
      </c>
      <c r="U1457" s="15">
        <f t="shared" si="7"/>
        <v>2025</v>
      </c>
      <c r="V1457" s="15">
        <f t="shared" si="8"/>
        <v>30</v>
      </c>
      <c r="W1457" s="15">
        <f t="shared" si="9"/>
        <v>6</v>
      </c>
      <c r="X1457" s="15">
        <f t="shared" si="10"/>
        <v>2025</v>
      </c>
    </row>
    <row r="1458">
      <c r="A1458" s="9">
        <v>45838.0</v>
      </c>
      <c r="B1458" s="10"/>
      <c r="C1458" s="9">
        <f t="shared" si="78"/>
        <v>45838</v>
      </c>
      <c r="D1458" s="11" t="s">
        <v>221</v>
      </c>
      <c r="E1458" s="11" t="s">
        <v>25</v>
      </c>
      <c r="F1458" s="11" t="s">
        <v>32</v>
      </c>
      <c r="G1458" s="11" t="s">
        <v>27</v>
      </c>
      <c r="H1458" s="11" t="s">
        <v>222</v>
      </c>
      <c r="I1458" s="12">
        <v>360.54</v>
      </c>
      <c r="J1458" s="13"/>
      <c r="K1458" s="13">
        <f t="shared" si="77"/>
        <v>360.54</v>
      </c>
      <c r="L1458" s="11" t="s">
        <v>29</v>
      </c>
      <c r="M1458" s="14"/>
      <c r="N1458" s="11" t="s">
        <v>61</v>
      </c>
      <c r="O1458" s="10" t="str">
        <f t="shared" si="79"/>
        <v>06/2025</v>
      </c>
      <c r="P1458" s="10" t="str">
        <f t="shared" si="81"/>
        <v>06/2025</v>
      </c>
      <c r="Q1458" s="15" t="str">
        <f t="array" ref="Q1458">IFERROR(XLOOKUP(N1458,'Classificação'!A:A,'Classificação'!B:B),"")</f>
        <v>DESPESAS ADMINISTRATIVAS</v>
      </c>
      <c r="R1458" s="15" t="str">
        <f t="array" ref="R1458">IFERROR(XLOOKUP(Q1458,'Classificação'!B:B,'Classificação'!C:C),"")</f>
        <v>DESPESAS FIXAS (-)</v>
      </c>
      <c r="S1458" s="15">
        <f t="shared" si="80"/>
        <v>30</v>
      </c>
      <c r="T1458" s="15">
        <f t="shared" si="6"/>
        <v>6</v>
      </c>
      <c r="U1458" s="15">
        <f t="shared" si="7"/>
        <v>2025</v>
      </c>
      <c r="V1458" s="15">
        <f t="shared" si="8"/>
        <v>30</v>
      </c>
      <c r="W1458" s="15">
        <f t="shared" si="9"/>
        <v>6</v>
      </c>
      <c r="X1458" s="15">
        <f t="shared" si="10"/>
        <v>2025</v>
      </c>
    </row>
    <row r="1459">
      <c r="A1459" s="9">
        <v>45838.0</v>
      </c>
      <c r="B1459" s="10"/>
      <c r="C1459" s="9">
        <f t="shared" si="78"/>
        <v>45838</v>
      </c>
      <c r="D1459" s="11" t="s">
        <v>80</v>
      </c>
      <c r="E1459" s="11" t="s">
        <v>25</v>
      </c>
      <c r="F1459" s="11" t="s">
        <v>32</v>
      </c>
      <c r="G1459" s="11" t="s">
        <v>27</v>
      </c>
      <c r="H1459" s="11" t="s">
        <v>225</v>
      </c>
      <c r="I1459" s="12">
        <v>962.35</v>
      </c>
      <c r="J1459" s="13"/>
      <c r="K1459" s="13">
        <f t="shared" si="77"/>
        <v>962.35</v>
      </c>
      <c r="L1459" s="11" t="s">
        <v>29</v>
      </c>
      <c r="M1459" s="14"/>
      <c r="N1459" s="11" t="s">
        <v>38</v>
      </c>
      <c r="O1459" s="10" t="str">
        <f t="shared" si="79"/>
        <v>06/2025</v>
      </c>
      <c r="P1459" s="10" t="str">
        <f t="shared" si="81"/>
        <v>06/2025</v>
      </c>
      <c r="Q1459" s="15" t="str">
        <f t="array" ref="Q1459">IFERROR(XLOOKUP(N1459,'Classificação'!A:A,'Classificação'!B:B),"")</f>
        <v>DESPESAS COM PESSOAL</v>
      </c>
      <c r="R1459" s="15" t="str">
        <f t="array" ref="R1459">IFERROR(XLOOKUP(Q1459,'Classificação'!B:B,'Classificação'!C:C),"")</f>
        <v>DESPESAS FIXAS (-)</v>
      </c>
      <c r="S1459" s="15">
        <f t="shared" si="80"/>
        <v>30</v>
      </c>
      <c r="T1459" s="15">
        <f t="shared" si="6"/>
        <v>6</v>
      </c>
      <c r="U1459" s="15">
        <f t="shared" si="7"/>
        <v>2025</v>
      </c>
      <c r="V1459" s="15">
        <f t="shared" si="8"/>
        <v>30</v>
      </c>
      <c r="W1459" s="15">
        <f t="shared" si="9"/>
        <v>6</v>
      </c>
      <c r="X1459" s="15">
        <f t="shared" si="10"/>
        <v>2025</v>
      </c>
    </row>
    <row r="1460">
      <c r="A1460" s="9">
        <v>45838.0</v>
      </c>
      <c r="B1460" s="10"/>
      <c r="C1460" s="9">
        <f t="shared" si="78"/>
        <v>45838</v>
      </c>
      <c r="D1460" s="11" t="s">
        <v>83</v>
      </c>
      <c r="E1460" s="11" t="s">
        <v>25</v>
      </c>
      <c r="F1460" s="11" t="s">
        <v>40</v>
      </c>
      <c r="G1460" s="11" t="s">
        <v>27</v>
      </c>
      <c r="I1460" s="12">
        <v>330.0</v>
      </c>
      <c r="J1460" s="13"/>
      <c r="K1460" s="13">
        <f t="shared" si="77"/>
        <v>330</v>
      </c>
      <c r="L1460" s="11" t="s">
        <v>29</v>
      </c>
      <c r="M1460" s="14"/>
      <c r="N1460" s="11" t="s">
        <v>204</v>
      </c>
      <c r="O1460" s="10" t="str">
        <f t="shared" si="79"/>
        <v>06/2025</v>
      </c>
      <c r="P1460" s="10" t="str">
        <f t="shared" si="81"/>
        <v>06/2025</v>
      </c>
      <c r="Q1460" s="15" t="str">
        <f t="array" ref="Q1460">IFERROR(XLOOKUP(N1460,'Classificação'!A:A,'Classificação'!B:B),"")</f>
        <v>DESPESAS COM PESSOAL</v>
      </c>
      <c r="R1460" s="15" t="str">
        <f t="array" ref="R1460">IFERROR(XLOOKUP(Q1460,'Classificação'!B:B,'Classificação'!C:C),"")</f>
        <v>DESPESAS FIXAS (-)</v>
      </c>
      <c r="S1460" s="15">
        <f t="shared" si="80"/>
        <v>30</v>
      </c>
      <c r="T1460" s="15">
        <f t="shared" si="6"/>
        <v>6</v>
      </c>
      <c r="U1460" s="15">
        <f t="shared" si="7"/>
        <v>2025</v>
      </c>
      <c r="V1460" s="15">
        <f t="shared" si="8"/>
        <v>30</v>
      </c>
      <c r="W1460" s="15">
        <f t="shared" si="9"/>
        <v>6</v>
      </c>
      <c r="X1460" s="15">
        <f t="shared" si="10"/>
        <v>2025</v>
      </c>
    </row>
    <row r="1461">
      <c r="A1461" s="9">
        <v>45838.0</v>
      </c>
      <c r="B1461" s="10"/>
      <c r="C1461" s="9">
        <f t="shared" si="78"/>
        <v>45838</v>
      </c>
      <c r="D1461" s="11" t="s">
        <v>83</v>
      </c>
      <c r="E1461" s="11" t="s">
        <v>25</v>
      </c>
      <c r="F1461" s="11" t="s">
        <v>40</v>
      </c>
      <c r="G1461" s="11" t="s">
        <v>27</v>
      </c>
      <c r="I1461" s="12">
        <v>1179.31</v>
      </c>
      <c r="J1461" s="13"/>
      <c r="K1461" s="13">
        <f t="shared" si="77"/>
        <v>1179.31</v>
      </c>
      <c r="L1461" s="11" t="s">
        <v>29</v>
      </c>
      <c r="M1461" s="14"/>
      <c r="N1461" s="11" t="s">
        <v>38</v>
      </c>
      <c r="O1461" s="10" t="str">
        <f t="shared" si="79"/>
        <v>06/2025</v>
      </c>
      <c r="P1461" s="10" t="str">
        <f t="shared" si="81"/>
        <v>06/2025</v>
      </c>
      <c r="Q1461" s="15" t="str">
        <f t="array" ref="Q1461">IFERROR(XLOOKUP(N1461,'Classificação'!A:A,'Classificação'!B:B),"")</f>
        <v>DESPESAS COM PESSOAL</v>
      </c>
      <c r="R1461" s="15" t="str">
        <f t="array" ref="R1461">IFERROR(XLOOKUP(Q1461,'Classificação'!B:B,'Classificação'!C:C),"")</f>
        <v>DESPESAS FIXAS (-)</v>
      </c>
      <c r="S1461" s="15">
        <f t="shared" si="80"/>
        <v>30</v>
      </c>
      <c r="T1461" s="15">
        <f t="shared" si="6"/>
        <v>6</v>
      </c>
      <c r="U1461" s="15">
        <f t="shared" si="7"/>
        <v>2025</v>
      </c>
      <c r="V1461" s="15">
        <f t="shared" si="8"/>
        <v>30</v>
      </c>
      <c r="W1461" s="15">
        <f t="shared" si="9"/>
        <v>6</v>
      </c>
      <c r="X1461" s="15">
        <f t="shared" si="10"/>
        <v>2025</v>
      </c>
    </row>
    <row r="1462">
      <c r="A1462" s="9">
        <v>45838.0</v>
      </c>
      <c r="B1462" s="10"/>
      <c r="C1462" s="9">
        <f t="shared" si="78"/>
        <v>45838</v>
      </c>
      <c r="D1462" s="11" t="s">
        <v>80</v>
      </c>
      <c r="E1462" s="11" t="s">
        <v>25</v>
      </c>
      <c r="F1462" s="11" t="s">
        <v>40</v>
      </c>
      <c r="G1462" s="11" t="s">
        <v>27</v>
      </c>
      <c r="I1462" s="12">
        <v>330.0</v>
      </c>
      <c r="J1462" s="13"/>
      <c r="K1462" s="13">
        <f t="shared" si="77"/>
        <v>330</v>
      </c>
      <c r="L1462" s="11" t="s">
        <v>29</v>
      </c>
      <c r="M1462" s="14"/>
      <c r="N1462" s="11" t="s">
        <v>204</v>
      </c>
      <c r="O1462" s="10" t="str">
        <f t="shared" si="79"/>
        <v>06/2025</v>
      </c>
      <c r="P1462" s="10" t="str">
        <f t="shared" si="81"/>
        <v>06/2025</v>
      </c>
      <c r="Q1462" s="15" t="str">
        <f t="array" ref="Q1462">IFERROR(XLOOKUP(N1462,'Classificação'!A:A,'Classificação'!B:B),"")</f>
        <v>DESPESAS COM PESSOAL</v>
      </c>
      <c r="R1462" s="15" t="str">
        <f t="array" ref="R1462">IFERROR(XLOOKUP(Q1462,'Classificação'!B:B,'Classificação'!C:C),"")</f>
        <v>DESPESAS FIXAS (-)</v>
      </c>
      <c r="S1462" s="15">
        <f t="shared" si="80"/>
        <v>30</v>
      </c>
      <c r="T1462" s="15">
        <f t="shared" si="6"/>
        <v>6</v>
      </c>
      <c r="U1462" s="15">
        <f t="shared" si="7"/>
        <v>2025</v>
      </c>
      <c r="V1462" s="15">
        <f t="shared" si="8"/>
        <v>30</v>
      </c>
      <c r="W1462" s="15">
        <f t="shared" si="9"/>
        <v>6</v>
      </c>
      <c r="X1462" s="15">
        <f t="shared" si="10"/>
        <v>2025</v>
      </c>
    </row>
    <row r="1463">
      <c r="A1463" s="9">
        <v>45838.0</v>
      </c>
      <c r="B1463" s="32"/>
      <c r="C1463" s="9">
        <f t="shared" si="78"/>
        <v>45838</v>
      </c>
      <c r="D1463" s="11" t="s">
        <v>528</v>
      </c>
      <c r="E1463" s="11" t="s">
        <v>25</v>
      </c>
      <c r="F1463" s="11" t="s">
        <v>40</v>
      </c>
      <c r="G1463" s="11" t="s">
        <v>27</v>
      </c>
      <c r="H1463" s="11" t="s">
        <v>775</v>
      </c>
      <c r="I1463" s="12">
        <v>70.54</v>
      </c>
      <c r="J1463" s="13"/>
      <c r="K1463" s="13">
        <f t="shared" si="77"/>
        <v>70.54</v>
      </c>
      <c r="L1463" s="11" t="s">
        <v>34</v>
      </c>
      <c r="M1463" s="14"/>
      <c r="N1463" s="11" t="s">
        <v>355</v>
      </c>
      <c r="O1463" s="10" t="str">
        <f t="shared" si="79"/>
        <v>06/2025</v>
      </c>
      <c r="P1463" s="10" t="str">
        <f t="shared" si="81"/>
        <v>06/2025</v>
      </c>
      <c r="Q1463" s="15" t="str">
        <f t="array" ref="Q1463">IFERROR(XLOOKUP(N1463,'Classificação'!A:A,'Classificação'!B:B),"")</f>
        <v>IMPOSTOS E TAXAS DIVERSAS</v>
      </c>
      <c r="R1463" s="15" t="str">
        <f t="array" ref="R1463">IFERROR(XLOOKUP(Q1463,'Classificação'!B:B,'Classificação'!C:C),"")</f>
        <v>DESPESAS FIXAS (-)</v>
      </c>
      <c r="S1463" s="15">
        <f t="shared" si="80"/>
        <v>30</v>
      </c>
      <c r="T1463" s="15">
        <f t="shared" si="6"/>
        <v>6</v>
      </c>
      <c r="U1463" s="15">
        <f t="shared" si="7"/>
        <v>2025</v>
      </c>
      <c r="V1463" s="15">
        <f t="shared" si="8"/>
        <v>30</v>
      </c>
      <c r="W1463" s="15">
        <f t="shared" si="9"/>
        <v>6</v>
      </c>
      <c r="X1463" s="15">
        <f t="shared" si="10"/>
        <v>2025</v>
      </c>
    </row>
    <row r="1464">
      <c r="A1464" s="9">
        <v>45838.0</v>
      </c>
      <c r="B1464" s="10"/>
      <c r="C1464" s="9">
        <f t="shared" si="78"/>
        <v>45838</v>
      </c>
      <c r="D1464" s="11" t="s">
        <v>520</v>
      </c>
      <c r="E1464" s="11" t="s">
        <v>25</v>
      </c>
      <c r="F1464" s="11" t="s">
        <v>26</v>
      </c>
      <c r="G1464" s="11" t="s">
        <v>37</v>
      </c>
      <c r="H1464" s="11" t="s">
        <v>519</v>
      </c>
      <c r="I1464" s="12">
        <v>28.0</v>
      </c>
      <c r="J1464" s="13"/>
      <c r="K1464" s="13">
        <f t="shared" si="77"/>
        <v>28</v>
      </c>
      <c r="L1464" s="11" t="s">
        <v>34</v>
      </c>
      <c r="M1464" s="14"/>
      <c r="N1464" s="11" t="s">
        <v>78</v>
      </c>
      <c r="O1464" s="10" t="str">
        <f t="shared" si="79"/>
        <v>06/2025</v>
      </c>
      <c r="P1464" s="10" t="str">
        <f t="shared" si="81"/>
        <v>06/2025</v>
      </c>
      <c r="Q1464" s="15" t="str">
        <f t="array" ref="Q1464">IFERROR(XLOOKUP(N1464,'Classificação'!A:A,'Classificação'!B:B),"")</f>
        <v>DESPESAS COM PESSOAL</v>
      </c>
      <c r="R1464" s="15" t="str">
        <f t="array" ref="R1464">IFERROR(XLOOKUP(Q1464,'Classificação'!B:B,'Classificação'!C:C),"")</f>
        <v>DESPESAS FIXAS (-)</v>
      </c>
      <c r="S1464" s="15">
        <f t="shared" si="80"/>
        <v>30</v>
      </c>
      <c r="T1464" s="15">
        <f t="shared" si="6"/>
        <v>6</v>
      </c>
      <c r="U1464" s="15">
        <f t="shared" si="7"/>
        <v>2025</v>
      </c>
      <c r="V1464" s="15">
        <f t="shared" si="8"/>
        <v>30</v>
      </c>
      <c r="W1464" s="15">
        <f t="shared" si="9"/>
        <v>6</v>
      </c>
      <c r="X1464" s="15">
        <f t="shared" si="10"/>
        <v>2025</v>
      </c>
    </row>
    <row r="1465">
      <c r="A1465" s="9">
        <v>45838.0</v>
      </c>
      <c r="B1465" s="10"/>
      <c r="C1465" s="9">
        <f t="shared" si="78"/>
        <v>45838</v>
      </c>
      <c r="D1465" s="11" t="s">
        <v>36</v>
      </c>
      <c r="E1465" s="11" t="s">
        <v>25</v>
      </c>
      <c r="F1465" s="11" t="s">
        <v>32</v>
      </c>
      <c r="G1465" s="11" t="s">
        <v>27</v>
      </c>
      <c r="I1465" s="12">
        <v>4250.0</v>
      </c>
      <c r="J1465" s="13"/>
      <c r="K1465" s="13">
        <f t="shared" si="77"/>
        <v>4250</v>
      </c>
      <c r="L1465" s="11" t="s">
        <v>29</v>
      </c>
      <c r="M1465" s="14"/>
      <c r="N1465" s="11" t="s">
        <v>38</v>
      </c>
      <c r="O1465" s="10" t="str">
        <f t="shared" si="79"/>
        <v>06/2025</v>
      </c>
      <c r="P1465" s="10" t="str">
        <f t="shared" si="81"/>
        <v>06/2025</v>
      </c>
      <c r="Q1465" s="15" t="str">
        <f t="array" ref="Q1465">IFERROR(XLOOKUP(N1465,'Classificação'!A:A,'Classificação'!B:B),"")</f>
        <v>DESPESAS COM PESSOAL</v>
      </c>
      <c r="R1465" s="15" t="str">
        <f t="array" ref="R1465">IFERROR(XLOOKUP(Q1465,'Classificação'!B:B,'Classificação'!C:C),"")</f>
        <v>DESPESAS FIXAS (-)</v>
      </c>
      <c r="S1465" s="15">
        <f t="shared" si="80"/>
        <v>30</v>
      </c>
      <c r="T1465" s="15">
        <f t="shared" si="6"/>
        <v>6</v>
      </c>
      <c r="U1465" s="15">
        <f t="shared" si="7"/>
        <v>2025</v>
      </c>
      <c r="V1465" s="15">
        <f t="shared" si="8"/>
        <v>30</v>
      </c>
      <c r="W1465" s="15">
        <f t="shared" si="9"/>
        <v>6</v>
      </c>
      <c r="X1465" s="15">
        <f t="shared" si="10"/>
        <v>2025</v>
      </c>
    </row>
    <row r="1466">
      <c r="A1466" s="9">
        <v>45838.0</v>
      </c>
      <c r="B1466" s="10"/>
      <c r="C1466" s="9">
        <f t="shared" si="78"/>
        <v>45838</v>
      </c>
      <c r="D1466" s="11" t="s">
        <v>44</v>
      </c>
      <c r="E1466" s="11" t="s">
        <v>25</v>
      </c>
      <c r="F1466" s="11" t="s">
        <v>45</v>
      </c>
      <c r="G1466" s="11" t="s">
        <v>27</v>
      </c>
      <c r="H1466" s="11" t="s">
        <v>841</v>
      </c>
      <c r="I1466" s="12">
        <v>1.73</v>
      </c>
      <c r="J1466" s="13"/>
      <c r="K1466" s="13">
        <f t="shared" si="77"/>
        <v>1.73</v>
      </c>
      <c r="L1466" s="11" t="s">
        <v>34</v>
      </c>
      <c r="M1466" s="14"/>
      <c r="N1466" s="11" t="s">
        <v>47</v>
      </c>
      <c r="O1466" s="10" t="str">
        <f t="shared" si="79"/>
        <v>06/2025</v>
      </c>
      <c r="P1466" s="10" t="str">
        <f t="shared" si="81"/>
        <v>06/2025</v>
      </c>
      <c r="Q1466" s="15" t="str">
        <f t="array" ref="Q1466">IFERROR(XLOOKUP(N1466,'Classificação'!A:A,'Classificação'!B:B),"")</f>
        <v>DESPESAS NÃO OPERACIONAIS</v>
      </c>
      <c r="R1466" s="15" t="str">
        <f t="array" ref="R1466">IFERROR(XLOOKUP(Q1466,'Classificação'!B:B,'Classificação'!C:C),"")</f>
        <v>RESULTADO NÃO OPERACIONAL (+/-)</v>
      </c>
      <c r="S1466" s="15">
        <f t="shared" si="80"/>
        <v>30</v>
      </c>
      <c r="T1466" s="15">
        <f t="shared" si="6"/>
        <v>6</v>
      </c>
      <c r="U1466" s="15">
        <f t="shared" si="7"/>
        <v>2025</v>
      </c>
      <c r="V1466" s="15">
        <f t="shared" si="8"/>
        <v>30</v>
      </c>
      <c r="W1466" s="15">
        <f t="shared" si="9"/>
        <v>6</v>
      </c>
      <c r="X1466" s="15">
        <f t="shared" si="10"/>
        <v>2025</v>
      </c>
    </row>
    <row r="1467">
      <c r="A1467" s="9">
        <v>45839.0</v>
      </c>
      <c r="B1467" s="10"/>
      <c r="C1467" s="9">
        <f t="shared" si="78"/>
        <v>45839</v>
      </c>
      <c r="D1467" s="11" t="s">
        <v>24</v>
      </c>
      <c r="E1467" s="11" t="s">
        <v>25</v>
      </c>
      <c r="F1467" s="11" t="s">
        <v>26</v>
      </c>
      <c r="G1467" s="11" t="s">
        <v>27</v>
      </c>
      <c r="H1467" s="11" t="s">
        <v>28</v>
      </c>
      <c r="I1467" s="12">
        <v>6385.68</v>
      </c>
      <c r="J1467" s="13"/>
      <c r="K1467" s="13">
        <f t="shared" si="77"/>
        <v>6385.68</v>
      </c>
      <c r="L1467" s="11" t="s">
        <v>29</v>
      </c>
      <c r="M1467" s="14"/>
      <c r="N1467" s="11" t="s">
        <v>30</v>
      </c>
      <c r="O1467" s="10" t="str">
        <f t="shared" si="79"/>
        <v>07/2025</v>
      </c>
      <c r="P1467" s="10" t="str">
        <f t="shared" si="81"/>
        <v>07/2025</v>
      </c>
      <c r="Q1467" s="15" t="str">
        <f t="array" ref="Q1467">IFERROR(XLOOKUP(N1467,'Classificação'!A:A,'Classificação'!B:B),"")</f>
        <v>DESPESAS COM OCUPAÇÃO</v>
      </c>
      <c r="R1467" s="15" t="str">
        <f t="array" ref="R1467">IFERROR(XLOOKUP(Q1467,'Classificação'!B:B,'Classificação'!C:C),"")</f>
        <v>DESPESAS FIXAS (-)</v>
      </c>
      <c r="S1467" s="15">
        <f t="shared" si="80"/>
        <v>1</v>
      </c>
      <c r="T1467" s="15">
        <f t="shared" si="6"/>
        <v>7</v>
      </c>
      <c r="U1467" s="15">
        <f t="shared" si="7"/>
        <v>2025</v>
      </c>
      <c r="V1467" s="15">
        <f t="shared" si="8"/>
        <v>1</v>
      </c>
      <c r="W1467" s="15">
        <f t="shared" si="9"/>
        <v>7</v>
      </c>
      <c r="X1467" s="15">
        <f t="shared" si="10"/>
        <v>2025</v>
      </c>
    </row>
    <row r="1468">
      <c r="A1468" s="9">
        <v>45839.0</v>
      </c>
      <c r="B1468" s="10"/>
      <c r="C1468" s="9">
        <f t="shared" si="78"/>
        <v>45839</v>
      </c>
      <c r="D1468" s="11" t="s">
        <v>322</v>
      </c>
      <c r="E1468" s="11" t="s">
        <v>25</v>
      </c>
      <c r="F1468" s="11" t="s">
        <v>40</v>
      </c>
      <c r="G1468" s="11" t="s">
        <v>27</v>
      </c>
      <c r="H1468" s="11" t="s">
        <v>778</v>
      </c>
      <c r="I1468" s="12">
        <v>46.2</v>
      </c>
      <c r="J1468" s="13"/>
      <c r="K1468" s="13">
        <f t="shared" si="77"/>
        <v>46.2</v>
      </c>
      <c r="L1468" s="11" t="s">
        <v>29</v>
      </c>
      <c r="M1468" s="17">
        <v>45636.0</v>
      </c>
      <c r="N1468" s="11" t="s">
        <v>105</v>
      </c>
      <c r="O1468" s="10" t="str">
        <f t="shared" si="79"/>
        <v>07/2025</v>
      </c>
      <c r="P1468" s="10" t="str">
        <f t="shared" si="81"/>
        <v>07/2025</v>
      </c>
      <c r="Q1468" s="15" t="str">
        <f t="array" ref="Q1468">IFERROR(XLOOKUP(N1468,'Classificação'!A:A,'Classificação'!B:B),"")</f>
        <v>DESPESAS ADMINISTRATIVAS</v>
      </c>
      <c r="R1468" s="15" t="str">
        <f t="array" ref="R1468">IFERROR(XLOOKUP(Q1468,'Classificação'!B:B,'Classificação'!C:C),"")</f>
        <v>DESPESAS FIXAS (-)</v>
      </c>
      <c r="S1468" s="15">
        <f t="shared" si="80"/>
        <v>1</v>
      </c>
      <c r="T1468" s="15">
        <f t="shared" si="6"/>
        <v>7</v>
      </c>
      <c r="U1468" s="15">
        <f t="shared" si="7"/>
        <v>2025</v>
      </c>
      <c r="V1468" s="15">
        <f t="shared" si="8"/>
        <v>1</v>
      </c>
      <c r="W1468" s="15">
        <f t="shared" si="9"/>
        <v>7</v>
      </c>
      <c r="X1468" s="15">
        <f t="shared" si="10"/>
        <v>2025</v>
      </c>
    </row>
    <row r="1469">
      <c r="A1469" s="9">
        <v>45839.0</v>
      </c>
      <c r="B1469" s="10"/>
      <c r="C1469" s="9">
        <f t="shared" si="78"/>
        <v>45839</v>
      </c>
      <c r="D1469" s="11" t="s">
        <v>43</v>
      </c>
      <c r="E1469" s="11" t="s">
        <v>25</v>
      </c>
      <c r="F1469" s="11" t="s">
        <v>32</v>
      </c>
      <c r="G1469" s="11" t="s">
        <v>27</v>
      </c>
      <c r="I1469" s="12">
        <v>4250.0</v>
      </c>
      <c r="J1469" s="13"/>
      <c r="K1469" s="13">
        <f t="shared" si="77"/>
        <v>4250</v>
      </c>
      <c r="L1469" s="11" t="s">
        <v>29</v>
      </c>
      <c r="M1469" s="14"/>
      <c r="N1469" s="11" t="s">
        <v>38</v>
      </c>
      <c r="O1469" s="10" t="str">
        <f t="shared" si="79"/>
        <v>07/2025</v>
      </c>
      <c r="P1469" s="10" t="str">
        <f t="shared" si="81"/>
        <v>07/2025</v>
      </c>
      <c r="Q1469" s="15" t="str">
        <f t="array" ref="Q1469">IFERROR(XLOOKUP(N1469,'Classificação'!A:A,'Classificação'!B:B),"")</f>
        <v>DESPESAS COM PESSOAL</v>
      </c>
      <c r="R1469" s="15" t="str">
        <f t="array" ref="R1469">IFERROR(XLOOKUP(Q1469,'Classificação'!B:B,'Classificação'!C:C),"")</f>
        <v>DESPESAS FIXAS (-)</v>
      </c>
      <c r="S1469" s="15">
        <f t="shared" si="80"/>
        <v>1</v>
      </c>
      <c r="T1469" s="15">
        <f t="shared" si="6"/>
        <v>7</v>
      </c>
      <c r="U1469" s="15">
        <f t="shared" si="7"/>
        <v>2025</v>
      </c>
      <c r="V1469" s="15">
        <f t="shared" si="8"/>
        <v>1</v>
      </c>
      <c r="W1469" s="15">
        <f t="shared" si="9"/>
        <v>7</v>
      </c>
      <c r="X1469" s="15">
        <f t="shared" si="10"/>
        <v>2025</v>
      </c>
    </row>
    <row r="1470">
      <c r="A1470" s="9">
        <v>45839.0</v>
      </c>
      <c r="B1470" s="10"/>
      <c r="C1470" s="9">
        <f t="shared" si="78"/>
        <v>45839</v>
      </c>
      <c r="D1470" s="11" t="s">
        <v>288</v>
      </c>
      <c r="E1470" s="11" t="s">
        <v>25</v>
      </c>
      <c r="F1470" s="11" t="s">
        <v>26</v>
      </c>
      <c r="G1470" s="11" t="s">
        <v>37</v>
      </c>
      <c r="H1470" s="11" t="s">
        <v>289</v>
      </c>
      <c r="I1470" s="12">
        <v>59.5</v>
      </c>
      <c r="J1470" s="13"/>
      <c r="K1470" s="13">
        <f t="shared" si="77"/>
        <v>59.5</v>
      </c>
      <c r="L1470" s="11" t="s">
        <v>29</v>
      </c>
      <c r="M1470" s="16"/>
      <c r="N1470" s="11" t="s">
        <v>105</v>
      </c>
      <c r="O1470" s="10" t="str">
        <f t="shared" si="79"/>
        <v>07/2025</v>
      </c>
      <c r="P1470" s="10" t="str">
        <f t="shared" si="81"/>
        <v>07/2025</v>
      </c>
      <c r="Q1470" s="15" t="str">
        <f t="array" ref="Q1470">IFERROR(XLOOKUP(N1470,'Classificação'!A:A,'Classificação'!B:B),"")</f>
        <v>DESPESAS ADMINISTRATIVAS</v>
      </c>
      <c r="R1470" s="15" t="str">
        <f t="array" ref="R1470">IFERROR(XLOOKUP(Q1470,'Classificação'!B:B,'Classificação'!C:C),"")</f>
        <v>DESPESAS FIXAS (-)</v>
      </c>
      <c r="S1470" s="15">
        <f t="shared" si="80"/>
        <v>1</v>
      </c>
      <c r="T1470" s="15">
        <f t="shared" si="6"/>
        <v>7</v>
      </c>
      <c r="U1470" s="15">
        <f t="shared" si="7"/>
        <v>2025</v>
      </c>
      <c r="V1470" s="15">
        <f t="shared" si="8"/>
        <v>1</v>
      </c>
      <c r="W1470" s="15">
        <f t="shared" si="9"/>
        <v>7</v>
      </c>
      <c r="X1470" s="15">
        <f t="shared" si="10"/>
        <v>2025</v>
      </c>
    </row>
    <row r="1471">
      <c r="A1471" s="9">
        <v>45841.0</v>
      </c>
      <c r="B1471" s="10"/>
      <c r="C1471" s="9">
        <f t="shared" si="78"/>
        <v>45841</v>
      </c>
      <c r="D1471" s="11" t="s">
        <v>44</v>
      </c>
      <c r="E1471" s="11" t="s">
        <v>25</v>
      </c>
      <c r="F1471" s="11" t="s">
        <v>45</v>
      </c>
      <c r="G1471" s="11" t="s">
        <v>27</v>
      </c>
      <c r="H1471" s="11" t="s">
        <v>651</v>
      </c>
      <c r="I1471" s="12">
        <v>3248.35</v>
      </c>
      <c r="J1471" s="13"/>
      <c r="K1471" s="13">
        <f t="shared" si="77"/>
        <v>3248.35</v>
      </c>
      <c r="L1471" s="11" t="s">
        <v>53</v>
      </c>
      <c r="M1471" s="16" t="s">
        <v>842</v>
      </c>
      <c r="N1471" s="11" t="s">
        <v>73</v>
      </c>
      <c r="O1471" s="10" t="str">
        <f t="shared" si="79"/>
        <v>07/2025</v>
      </c>
      <c r="P1471" s="10" t="str">
        <f t="shared" si="81"/>
        <v>07/2025</v>
      </c>
      <c r="Q1471" s="15" t="str">
        <f t="array" ref="Q1471">IFERROR(XLOOKUP(N1471,'Classificação'!A:A,'Classificação'!B:B),"")</f>
        <v>DESPESAS NÃO OPERACIONAIS</v>
      </c>
      <c r="R1471" s="15" t="str">
        <f t="array" ref="R1471">IFERROR(XLOOKUP(Q1471,'Classificação'!B:B,'Classificação'!C:C),"")</f>
        <v>RESULTADO NÃO OPERACIONAL (+/-)</v>
      </c>
      <c r="S1471" s="15">
        <f t="shared" si="80"/>
        <v>3</v>
      </c>
      <c r="T1471" s="15">
        <f t="shared" si="6"/>
        <v>7</v>
      </c>
      <c r="U1471" s="15">
        <f t="shared" si="7"/>
        <v>2025</v>
      </c>
      <c r="V1471" s="15">
        <f t="shared" si="8"/>
        <v>3</v>
      </c>
      <c r="W1471" s="15">
        <f t="shared" si="9"/>
        <v>7</v>
      </c>
      <c r="X1471" s="15">
        <f t="shared" si="10"/>
        <v>2025</v>
      </c>
    </row>
    <row r="1472">
      <c r="A1472" s="26">
        <v>45844.0</v>
      </c>
      <c r="B1472" s="30"/>
      <c r="C1472" s="27">
        <f t="shared" si="78"/>
        <v>45844</v>
      </c>
      <c r="D1472" s="28" t="s">
        <v>520</v>
      </c>
      <c r="E1472" s="29" t="s">
        <v>25</v>
      </c>
      <c r="F1472" s="28" t="s">
        <v>26</v>
      </c>
      <c r="G1472" s="28" t="s">
        <v>37</v>
      </c>
      <c r="H1472" s="28" t="s">
        <v>730</v>
      </c>
      <c r="I1472" s="37">
        <v>200.0</v>
      </c>
      <c r="J1472" s="34"/>
      <c r="K1472" s="37">
        <f>IF(E1472="pago",(I1472-J1472),"")</f>
        <v>200</v>
      </c>
      <c r="L1472" s="28" t="s">
        <v>34</v>
      </c>
      <c r="M1472" s="28"/>
      <c r="N1472" s="28" t="s">
        <v>58</v>
      </c>
      <c r="O1472" s="10" t="str">
        <f t="shared" si="79"/>
        <v>07/2025</v>
      </c>
      <c r="P1472" s="10" t="str">
        <f t="shared" si="81"/>
        <v>07/2025</v>
      </c>
      <c r="Q1472" s="15" t="str">
        <f t="array" ref="Q1472">IFERROR(XLOOKUP(N1472,'Classificação'!A:A,'Classificação'!B:B),"")</f>
        <v>DESPESAS ADMINISTRATIVAS</v>
      </c>
      <c r="R1472" s="15" t="str">
        <f t="array" ref="R1472">IFERROR(XLOOKUP(Q1472,'Classificação'!B:B,'Classificação'!C:C),"")</f>
        <v>DESPESAS FIXAS (-)</v>
      </c>
      <c r="S1472" s="15">
        <f t="shared" si="80"/>
        <v>6</v>
      </c>
      <c r="T1472" s="15">
        <f t="shared" si="6"/>
        <v>7</v>
      </c>
      <c r="U1472" s="15">
        <f t="shared" si="7"/>
        <v>2025</v>
      </c>
      <c r="V1472" s="15">
        <f t="shared" si="8"/>
        <v>6</v>
      </c>
      <c r="W1472" s="15">
        <f t="shared" si="9"/>
        <v>7</v>
      </c>
      <c r="X1472" s="15">
        <f t="shared" si="10"/>
        <v>2025</v>
      </c>
    </row>
    <row r="1473">
      <c r="A1473" s="9">
        <v>45845.0</v>
      </c>
      <c r="B1473" s="10"/>
      <c r="C1473" s="9">
        <f t="shared" si="78"/>
        <v>45845</v>
      </c>
      <c r="D1473" s="28" t="s">
        <v>76</v>
      </c>
      <c r="E1473" s="29" t="s">
        <v>25</v>
      </c>
      <c r="F1473" s="28" t="s">
        <v>26</v>
      </c>
      <c r="G1473" s="28" t="s">
        <v>27</v>
      </c>
      <c r="H1473" s="28" t="s">
        <v>84</v>
      </c>
      <c r="I1473" s="24">
        <v>1214.27</v>
      </c>
      <c r="J1473" s="13"/>
      <c r="K1473" s="13">
        <f t="shared" ref="K1473:K1481" si="82">if(E1473="pago",(I1473-J1473),"")</f>
        <v>1214.27</v>
      </c>
      <c r="L1473" s="28" t="s">
        <v>53</v>
      </c>
      <c r="M1473" s="16" t="s">
        <v>843</v>
      </c>
      <c r="N1473" s="28" t="s">
        <v>85</v>
      </c>
      <c r="O1473" s="10" t="str">
        <f t="shared" si="79"/>
        <v>07/2025</v>
      </c>
      <c r="P1473" s="10" t="str">
        <f t="shared" si="81"/>
        <v>07/2025</v>
      </c>
      <c r="Q1473" s="15" t="str">
        <f t="array" ref="Q1473">IFERROR(XLOOKUP(N1473,'Classificação'!A:A,'Classificação'!B:B),"")</f>
        <v>DESPESAS NÃO OPERACIONAIS</v>
      </c>
      <c r="R1473" s="15" t="str">
        <f t="array" ref="R1473">IFERROR(XLOOKUP(Q1473,'Classificação'!B:B,'Classificação'!C:C),"")</f>
        <v>RESULTADO NÃO OPERACIONAL (+/-)</v>
      </c>
      <c r="S1473" s="15">
        <f t="shared" si="80"/>
        <v>7</v>
      </c>
      <c r="T1473" s="15">
        <f t="shared" si="6"/>
        <v>7</v>
      </c>
      <c r="U1473" s="15">
        <f t="shared" si="7"/>
        <v>2025</v>
      </c>
      <c r="V1473" s="15">
        <f t="shared" si="8"/>
        <v>7</v>
      </c>
      <c r="W1473" s="15">
        <f t="shared" si="9"/>
        <v>7</v>
      </c>
      <c r="X1473" s="15">
        <f t="shared" si="10"/>
        <v>2025</v>
      </c>
    </row>
    <row r="1474">
      <c r="A1474" s="9">
        <v>45845.0</v>
      </c>
      <c r="B1474" s="10"/>
      <c r="C1474" s="9">
        <f t="shared" si="78"/>
        <v>45845</v>
      </c>
      <c r="D1474" s="11" t="s">
        <v>656</v>
      </c>
      <c r="E1474" s="11" t="s">
        <v>25</v>
      </c>
      <c r="F1474" s="11" t="s">
        <v>40</v>
      </c>
      <c r="G1474" s="11" t="s">
        <v>27</v>
      </c>
      <c r="H1474" s="11" t="s">
        <v>844</v>
      </c>
      <c r="I1474" s="12">
        <v>475.0</v>
      </c>
      <c r="J1474" s="13"/>
      <c r="K1474" s="13">
        <f t="shared" si="82"/>
        <v>475</v>
      </c>
      <c r="L1474" s="11" t="s">
        <v>34</v>
      </c>
      <c r="M1474" s="14"/>
      <c r="N1474" s="11" t="s">
        <v>355</v>
      </c>
      <c r="O1474" s="10" t="str">
        <f t="shared" si="79"/>
        <v>07/2025</v>
      </c>
      <c r="P1474" s="10" t="str">
        <f t="shared" si="81"/>
        <v>07/2025</v>
      </c>
      <c r="Q1474" s="15" t="str">
        <f t="array" ref="Q1474">IFERROR(XLOOKUP(N1474,'Classificação'!A:A,'Classificação'!B:B),"")</f>
        <v>IMPOSTOS E TAXAS DIVERSAS</v>
      </c>
      <c r="R1474" s="15" t="str">
        <f t="array" ref="R1474">IFERROR(XLOOKUP(Q1474,'Classificação'!B:B,'Classificação'!C:C),"")</f>
        <v>DESPESAS FIXAS (-)</v>
      </c>
      <c r="S1474" s="15">
        <f t="shared" si="80"/>
        <v>7</v>
      </c>
      <c r="T1474" s="15">
        <f t="shared" si="6"/>
        <v>7</v>
      </c>
      <c r="U1474" s="15">
        <f t="shared" si="7"/>
        <v>2025</v>
      </c>
      <c r="V1474" s="15">
        <f t="shared" si="8"/>
        <v>7</v>
      </c>
      <c r="W1474" s="15">
        <f t="shared" si="9"/>
        <v>7</v>
      </c>
      <c r="X1474" s="15">
        <f t="shared" si="10"/>
        <v>2025</v>
      </c>
    </row>
    <row r="1475">
      <c r="A1475" s="9">
        <v>45845.0</v>
      </c>
      <c r="B1475" s="10"/>
      <c r="C1475" s="9">
        <f t="shared" si="78"/>
        <v>45845</v>
      </c>
      <c r="D1475" s="11" t="s">
        <v>656</v>
      </c>
      <c r="E1475" s="11" t="s">
        <v>25</v>
      </c>
      <c r="F1475" s="11" t="s">
        <v>40</v>
      </c>
      <c r="G1475" s="11" t="s">
        <v>27</v>
      </c>
      <c r="H1475" s="11" t="s">
        <v>845</v>
      </c>
      <c r="I1475" s="12">
        <v>142.0</v>
      </c>
      <c r="J1475" s="13"/>
      <c r="K1475" s="13">
        <f t="shared" si="82"/>
        <v>142</v>
      </c>
      <c r="L1475" s="11" t="s">
        <v>34</v>
      </c>
      <c r="M1475" s="14"/>
      <c r="N1475" s="11" t="s">
        <v>355</v>
      </c>
      <c r="O1475" s="10" t="str">
        <f t="shared" si="79"/>
        <v>07/2025</v>
      </c>
      <c r="P1475" s="10" t="str">
        <f t="shared" si="81"/>
        <v>07/2025</v>
      </c>
      <c r="Q1475" s="15" t="str">
        <f t="array" ref="Q1475">IFERROR(XLOOKUP(N1475,'Classificação'!A:A,'Classificação'!B:B),"")</f>
        <v>IMPOSTOS E TAXAS DIVERSAS</v>
      </c>
      <c r="R1475" s="15" t="str">
        <f t="array" ref="R1475">IFERROR(XLOOKUP(Q1475,'Classificação'!B:B,'Classificação'!C:C),"")</f>
        <v>DESPESAS FIXAS (-)</v>
      </c>
      <c r="S1475" s="15">
        <f t="shared" si="80"/>
        <v>7</v>
      </c>
      <c r="T1475" s="15">
        <f t="shared" si="6"/>
        <v>7</v>
      </c>
      <c r="U1475" s="15">
        <f t="shared" si="7"/>
        <v>2025</v>
      </c>
      <c r="V1475" s="15">
        <f t="shared" si="8"/>
        <v>7</v>
      </c>
      <c r="W1475" s="15">
        <f t="shared" si="9"/>
        <v>7</v>
      </c>
      <c r="X1475" s="15">
        <f t="shared" si="10"/>
        <v>2025</v>
      </c>
    </row>
    <row r="1476">
      <c r="A1476" s="9">
        <v>45845.0</v>
      </c>
      <c r="B1476" s="10"/>
      <c r="C1476" s="9">
        <f t="shared" si="78"/>
        <v>45845</v>
      </c>
      <c r="D1476" s="11" t="s">
        <v>36</v>
      </c>
      <c r="E1476" s="11" t="s">
        <v>25</v>
      </c>
      <c r="F1476" s="11" t="s">
        <v>32</v>
      </c>
      <c r="G1476" s="11" t="s">
        <v>37</v>
      </c>
      <c r="I1476" s="12">
        <v>1150.0</v>
      </c>
      <c r="J1476" s="13"/>
      <c r="K1476" s="13">
        <f t="shared" si="82"/>
        <v>1150</v>
      </c>
      <c r="L1476" s="11" t="s">
        <v>29</v>
      </c>
      <c r="M1476" s="14"/>
      <c r="N1476" s="11" t="s">
        <v>38</v>
      </c>
      <c r="O1476" s="10" t="str">
        <f t="shared" si="79"/>
        <v>07/2025</v>
      </c>
      <c r="P1476" s="10" t="str">
        <f t="shared" si="81"/>
        <v>07/2025</v>
      </c>
      <c r="Q1476" s="15" t="str">
        <f t="array" ref="Q1476">IFERROR(XLOOKUP(N1476,'Classificação'!A:A,'Classificação'!B:B),"")</f>
        <v>DESPESAS COM PESSOAL</v>
      </c>
      <c r="R1476" s="15" t="str">
        <f t="array" ref="R1476">IFERROR(XLOOKUP(Q1476,'Classificação'!B:B,'Classificação'!C:C),"")</f>
        <v>DESPESAS FIXAS (-)</v>
      </c>
      <c r="S1476" s="15">
        <f t="shared" si="80"/>
        <v>7</v>
      </c>
      <c r="T1476" s="15">
        <f t="shared" si="6"/>
        <v>7</v>
      </c>
      <c r="U1476" s="15">
        <f t="shared" si="7"/>
        <v>2025</v>
      </c>
      <c r="V1476" s="15">
        <f t="shared" si="8"/>
        <v>7</v>
      </c>
      <c r="W1476" s="15">
        <f t="shared" si="9"/>
        <v>7</v>
      </c>
      <c r="X1476" s="15">
        <f t="shared" si="10"/>
        <v>2025</v>
      </c>
    </row>
    <row r="1477">
      <c r="A1477" s="9">
        <v>45845.0</v>
      </c>
      <c r="B1477" s="10"/>
      <c r="C1477" s="9">
        <f t="shared" si="78"/>
        <v>45845</v>
      </c>
      <c r="D1477" s="11" t="s">
        <v>43</v>
      </c>
      <c r="E1477" s="11" t="s">
        <v>25</v>
      </c>
      <c r="F1477" s="11" t="s">
        <v>32</v>
      </c>
      <c r="G1477" s="11" t="s">
        <v>37</v>
      </c>
      <c r="I1477" s="12">
        <v>1150.0</v>
      </c>
      <c r="J1477" s="13"/>
      <c r="K1477" s="13">
        <f t="shared" si="82"/>
        <v>1150</v>
      </c>
      <c r="L1477" s="11" t="s">
        <v>29</v>
      </c>
      <c r="M1477" s="14"/>
      <c r="N1477" s="11" t="s">
        <v>38</v>
      </c>
      <c r="O1477" s="10" t="str">
        <f t="shared" si="79"/>
        <v>07/2025</v>
      </c>
      <c r="P1477" s="10" t="str">
        <f t="shared" si="81"/>
        <v>07/2025</v>
      </c>
      <c r="Q1477" s="15" t="str">
        <f t="array" ref="Q1477">IFERROR(XLOOKUP(N1477,'Classificação'!A:A,'Classificação'!B:B),"")</f>
        <v>DESPESAS COM PESSOAL</v>
      </c>
      <c r="R1477" s="15" t="str">
        <f t="array" ref="R1477">IFERROR(XLOOKUP(Q1477,'Classificação'!B:B,'Classificação'!C:C),"")</f>
        <v>DESPESAS FIXAS (-)</v>
      </c>
      <c r="S1477" s="15">
        <f t="shared" si="80"/>
        <v>7</v>
      </c>
      <c r="T1477" s="15">
        <f t="shared" si="6"/>
        <v>7</v>
      </c>
      <c r="U1477" s="15">
        <f t="shared" si="7"/>
        <v>2025</v>
      </c>
      <c r="V1477" s="15">
        <f t="shared" si="8"/>
        <v>7</v>
      </c>
      <c r="W1477" s="15">
        <f t="shared" si="9"/>
        <v>7</v>
      </c>
      <c r="X1477" s="15">
        <f t="shared" si="10"/>
        <v>2025</v>
      </c>
    </row>
    <row r="1478">
      <c r="A1478" s="26">
        <v>45845.0</v>
      </c>
      <c r="B1478" s="10"/>
      <c r="C1478" s="9">
        <f t="shared" si="78"/>
        <v>45845</v>
      </c>
      <c r="D1478" s="11" t="s">
        <v>846</v>
      </c>
      <c r="E1478" s="11" t="s">
        <v>25</v>
      </c>
      <c r="F1478" s="29" t="s">
        <v>26</v>
      </c>
      <c r="G1478" s="28" t="s">
        <v>27</v>
      </c>
      <c r="H1478" s="11" t="s">
        <v>460</v>
      </c>
      <c r="I1478" s="12">
        <v>69.3</v>
      </c>
      <c r="J1478" s="13"/>
      <c r="K1478" s="13">
        <f t="shared" si="82"/>
        <v>69.3</v>
      </c>
      <c r="L1478" s="28" t="s">
        <v>53</v>
      </c>
      <c r="M1478" s="17">
        <v>45635.0</v>
      </c>
      <c r="N1478" s="11" t="s">
        <v>105</v>
      </c>
      <c r="O1478" s="10" t="str">
        <f t="shared" si="79"/>
        <v>07/2025</v>
      </c>
      <c r="P1478" s="10" t="str">
        <f t="shared" si="81"/>
        <v>07/2025</v>
      </c>
      <c r="Q1478" s="15" t="str">
        <f t="array" ref="Q1478">IFERROR(XLOOKUP(N1478,'Classificação'!A:A,'Classificação'!B:B),"")</f>
        <v>DESPESAS ADMINISTRATIVAS</v>
      </c>
      <c r="R1478" s="15" t="str">
        <f t="array" ref="R1478">IFERROR(XLOOKUP(Q1478,'Classificação'!B:B,'Classificação'!C:C),"")</f>
        <v>DESPESAS FIXAS (-)</v>
      </c>
      <c r="S1478" s="15">
        <f t="shared" si="80"/>
        <v>7</v>
      </c>
      <c r="T1478" s="15">
        <f t="shared" si="6"/>
        <v>7</v>
      </c>
      <c r="U1478" s="15">
        <f t="shared" si="7"/>
        <v>2025</v>
      </c>
      <c r="V1478" s="15">
        <f t="shared" si="8"/>
        <v>7</v>
      </c>
      <c r="W1478" s="15">
        <f t="shared" si="9"/>
        <v>7</v>
      </c>
      <c r="X1478" s="15">
        <f t="shared" si="10"/>
        <v>2025</v>
      </c>
    </row>
    <row r="1479">
      <c r="A1479" s="26">
        <v>45845.0</v>
      </c>
      <c r="B1479" s="39">
        <v>45611.0</v>
      </c>
      <c r="C1479" s="9">
        <f t="shared" si="78"/>
        <v>45845</v>
      </c>
      <c r="D1479" s="28" t="s">
        <v>361</v>
      </c>
      <c r="E1479" s="29" t="s">
        <v>25</v>
      </c>
      <c r="F1479" s="28" t="s">
        <v>26</v>
      </c>
      <c r="G1479" s="29" t="s">
        <v>27</v>
      </c>
      <c r="H1479" s="29" t="s">
        <v>535</v>
      </c>
      <c r="I1479" s="24">
        <v>282.35</v>
      </c>
      <c r="J1479" s="13"/>
      <c r="K1479" s="13">
        <f t="shared" si="82"/>
        <v>282.35</v>
      </c>
      <c r="L1479" s="28" t="s">
        <v>53</v>
      </c>
      <c r="M1479" s="17">
        <v>45999.0</v>
      </c>
      <c r="N1479" s="29" t="s">
        <v>61</v>
      </c>
      <c r="O1479" s="10" t="str">
        <f t="shared" si="79"/>
        <v>07/2025</v>
      </c>
      <c r="P1479" s="10" t="str">
        <f t="shared" si="81"/>
        <v>07/2025</v>
      </c>
      <c r="Q1479" s="15" t="str">
        <f t="array" ref="Q1479">IFERROR(XLOOKUP(N1479,'Classificação'!A:A,'Classificação'!B:B),"")</f>
        <v>DESPESAS ADMINISTRATIVAS</v>
      </c>
      <c r="R1479" s="15" t="str">
        <f t="array" ref="R1479">IFERROR(XLOOKUP(Q1479,'Classificação'!B:B,'Classificação'!C:C),"")</f>
        <v>DESPESAS FIXAS (-)</v>
      </c>
      <c r="S1479" s="15">
        <f t="shared" si="80"/>
        <v>7</v>
      </c>
      <c r="T1479" s="15">
        <f t="shared" si="6"/>
        <v>7</v>
      </c>
      <c r="U1479" s="15">
        <f t="shared" si="7"/>
        <v>2025</v>
      </c>
      <c r="V1479" s="15">
        <f t="shared" si="8"/>
        <v>7</v>
      </c>
      <c r="W1479" s="15">
        <f t="shared" si="9"/>
        <v>7</v>
      </c>
      <c r="X1479" s="15">
        <f t="shared" si="10"/>
        <v>2025</v>
      </c>
    </row>
    <row r="1480">
      <c r="A1480" s="9">
        <v>45845.0</v>
      </c>
      <c r="B1480" s="9">
        <v>45786.0</v>
      </c>
      <c r="C1480" s="9">
        <f t="shared" si="78"/>
        <v>45845</v>
      </c>
      <c r="D1480" s="11" t="s">
        <v>86</v>
      </c>
      <c r="E1480" s="11" t="s">
        <v>25</v>
      </c>
      <c r="F1480" s="11" t="s">
        <v>87</v>
      </c>
      <c r="G1480" s="11" t="s">
        <v>27</v>
      </c>
      <c r="H1480" s="11" t="s">
        <v>847</v>
      </c>
      <c r="I1480" s="12">
        <v>1770.0</v>
      </c>
      <c r="J1480" s="13"/>
      <c r="K1480" s="13">
        <f t="shared" si="82"/>
        <v>1770</v>
      </c>
      <c r="L1480" s="11" t="s">
        <v>53</v>
      </c>
      <c r="M1480" s="17">
        <v>45749.0</v>
      </c>
      <c r="N1480" s="11" t="s">
        <v>35</v>
      </c>
      <c r="O1480" s="10" t="str">
        <f t="shared" si="79"/>
        <v>07/2025</v>
      </c>
      <c r="P1480" s="10" t="str">
        <f t="shared" si="81"/>
        <v>07/2025</v>
      </c>
      <c r="Q1480" s="15" t="str">
        <f t="array" ref="Q1480">IFERROR(XLOOKUP(N1480,'Classificação'!A:A,'Classificação'!B:B),"")</f>
        <v>COMPRA DE MERCADORIA</v>
      </c>
      <c r="R1480" s="15" t="str">
        <f t="array" ref="R1480">IFERROR(XLOOKUP(Q1480,'Classificação'!B:B,'Classificação'!C:C),"")</f>
        <v>CUSTOS VARIÁVEIS</v>
      </c>
      <c r="S1480" s="15">
        <f t="shared" si="80"/>
        <v>7</v>
      </c>
      <c r="T1480" s="15">
        <f t="shared" si="6"/>
        <v>7</v>
      </c>
      <c r="U1480" s="15">
        <f t="shared" si="7"/>
        <v>2025</v>
      </c>
      <c r="V1480" s="15">
        <f t="shared" si="8"/>
        <v>7</v>
      </c>
      <c r="W1480" s="15">
        <f t="shared" si="9"/>
        <v>7</v>
      </c>
      <c r="X1480" s="15">
        <f t="shared" si="10"/>
        <v>2025</v>
      </c>
    </row>
    <row r="1481">
      <c r="A1481" s="9">
        <v>45845.0</v>
      </c>
      <c r="B1481" s="9">
        <v>45798.0</v>
      </c>
      <c r="C1481" s="9">
        <f t="shared" si="78"/>
        <v>45845</v>
      </c>
      <c r="D1481" s="11" t="s">
        <v>86</v>
      </c>
      <c r="E1481" s="11" t="s">
        <v>25</v>
      </c>
      <c r="F1481" s="11" t="s">
        <v>87</v>
      </c>
      <c r="G1481" s="11" t="s">
        <v>27</v>
      </c>
      <c r="H1481" s="11" t="s">
        <v>848</v>
      </c>
      <c r="I1481" s="12">
        <v>1960.0</v>
      </c>
      <c r="J1481" s="13"/>
      <c r="K1481" s="13">
        <f t="shared" si="82"/>
        <v>1960</v>
      </c>
      <c r="L1481" s="11" t="s">
        <v>53</v>
      </c>
      <c r="M1481" s="17">
        <v>45749.0</v>
      </c>
      <c r="N1481" s="11" t="s">
        <v>35</v>
      </c>
      <c r="O1481" s="10" t="str">
        <f t="shared" si="79"/>
        <v>07/2025</v>
      </c>
      <c r="P1481" s="10" t="str">
        <f t="shared" si="81"/>
        <v>07/2025</v>
      </c>
      <c r="Q1481" s="15" t="str">
        <f t="array" ref="Q1481">IFERROR(XLOOKUP(N1481,'Classificação'!A:A,'Classificação'!B:B),"")</f>
        <v>COMPRA DE MERCADORIA</v>
      </c>
      <c r="R1481" s="15" t="str">
        <f t="array" ref="R1481">IFERROR(XLOOKUP(Q1481,'Classificação'!B:B,'Classificação'!C:C),"")</f>
        <v>CUSTOS VARIÁVEIS</v>
      </c>
      <c r="S1481" s="15">
        <f t="shared" si="80"/>
        <v>7</v>
      </c>
      <c r="T1481" s="15">
        <f t="shared" si="6"/>
        <v>7</v>
      </c>
      <c r="U1481" s="15">
        <f t="shared" si="7"/>
        <v>2025</v>
      </c>
      <c r="V1481" s="15">
        <f t="shared" si="8"/>
        <v>7</v>
      </c>
      <c r="W1481" s="15">
        <f t="shared" si="9"/>
        <v>7</v>
      </c>
      <c r="X1481" s="15">
        <f t="shared" si="10"/>
        <v>2025</v>
      </c>
    </row>
    <row r="1482">
      <c r="A1482" s="26">
        <v>45846.0</v>
      </c>
      <c r="B1482" s="30"/>
      <c r="C1482" s="27">
        <f t="shared" si="78"/>
        <v>45846</v>
      </c>
      <c r="D1482" s="28" t="s">
        <v>520</v>
      </c>
      <c r="E1482" s="29" t="s">
        <v>25</v>
      </c>
      <c r="F1482" s="28" t="s">
        <v>26</v>
      </c>
      <c r="G1482" s="28" t="s">
        <v>37</v>
      </c>
      <c r="H1482" s="29" t="s">
        <v>849</v>
      </c>
      <c r="I1482" s="24">
        <v>112.5</v>
      </c>
      <c r="J1482" s="34"/>
      <c r="K1482" s="37">
        <f>IF(E1482="pago",(I1482-J1482),"")</f>
        <v>112.5</v>
      </c>
      <c r="L1482" s="28" t="s">
        <v>34</v>
      </c>
      <c r="M1482" s="28"/>
      <c r="N1482" s="28" t="s">
        <v>58</v>
      </c>
      <c r="O1482" s="10" t="str">
        <f t="shared" si="79"/>
        <v>07/2025</v>
      </c>
      <c r="P1482" s="10" t="str">
        <f t="shared" si="81"/>
        <v>07/2025</v>
      </c>
      <c r="Q1482" s="15" t="str">
        <f t="array" ref="Q1482">IFERROR(XLOOKUP(N1482,'Classificação'!A:A,'Classificação'!B:B),"")</f>
        <v>DESPESAS ADMINISTRATIVAS</v>
      </c>
      <c r="R1482" s="15" t="str">
        <f t="array" ref="R1482">IFERROR(XLOOKUP(Q1482,'Classificação'!B:B,'Classificação'!C:C),"")</f>
        <v>DESPESAS FIXAS (-)</v>
      </c>
      <c r="S1482" s="15">
        <f t="shared" si="80"/>
        <v>8</v>
      </c>
      <c r="T1482" s="15">
        <f t="shared" si="6"/>
        <v>7</v>
      </c>
      <c r="U1482" s="15">
        <f t="shared" si="7"/>
        <v>2025</v>
      </c>
      <c r="V1482" s="15">
        <f t="shared" si="8"/>
        <v>8</v>
      </c>
      <c r="W1482" s="15">
        <f t="shared" si="9"/>
        <v>7</v>
      </c>
      <c r="X1482" s="15">
        <f t="shared" si="10"/>
        <v>2025</v>
      </c>
    </row>
    <row r="1483">
      <c r="A1483" s="9">
        <v>45848.0</v>
      </c>
      <c r="B1483" s="10"/>
      <c r="C1483" s="9">
        <f t="shared" si="78"/>
        <v>45848</v>
      </c>
      <c r="D1483" s="11" t="s">
        <v>48</v>
      </c>
      <c r="E1483" s="11" t="s">
        <v>25</v>
      </c>
      <c r="F1483" s="11" t="s">
        <v>40</v>
      </c>
      <c r="G1483" s="11" t="s">
        <v>27</v>
      </c>
      <c r="I1483" s="12">
        <v>1779.69</v>
      </c>
      <c r="J1483" s="13"/>
      <c r="K1483" s="13">
        <f t="shared" ref="K1483:K1496" si="83">if(E1483="pago",(I1483-J1483),"")</f>
        <v>1779.69</v>
      </c>
      <c r="L1483" s="11" t="s">
        <v>29</v>
      </c>
      <c r="M1483" s="14"/>
      <c r="N1483" s="11" t="s">
        <v>49</v>
      </c>
      <c r="O1483" s="10" t="str">
        <f t="shared" si="79"/>
        <v>07/2025</v>
      </c>
      <c r="P1483" s="10" t="str">
        <f t="shared" si="81"/>
        <v>07/2025</v>
      </c>
      <c r="Q1483" s="15" t="str">
        <f t="array" ref="Q1483">IFERROR(XLOOKUP(N1483,'Classificação'!A:A,'Classificação'!B:B),"")</f>
        <v>DESPESAS COM PESSOAL</v>
      </c>
      <c r="R1483" s="15" t="str">
        <f t="array" ref="R1483">IFERROR(XLOOKUP(Q1483,'Classificação'!B:B,'Classificação'!C:C),"")</f>
        <v>DESPESAS FIXAS (-)</v>
      </c>
      <c r="S1483" s="15">
        <f t="shared" si="80"/>
        <v>10</v>
      </c>
      <c r="T1483" s="15">
        <f t="shared" si="6"/>
        <v>7</v>
      </c>
      <c r="U1483" s="15">
        <f t="shared" si="7"/>
        <v>2025</v>
      </c>
      <c r="V1483" s="15">
        <f t="shared" si="8"/>
        <v>10</v>
      </c>
      <c r="W1483" s="15">
        <f t="shared" si="9"/>
        <v>7</v>
      </c>
      <c r="X1483" s="15">
        <f t="shared" si="10"/>
        <v>2025</v>
      </c>
    </row>
    <row r="1484">
      <c r="A1484" s="9">
        <v>45848.0</v>
      </c>
      <c r="B1484" s="10"/>
      <c r="C1484" s="9">
        <f t="shared" si="78"/>
        <v>45848</v>
      </c>
      <c r="D1484" s="11" t="s">
        <v>50</v>
      </c>
      <c r="E1484" s="11" t="s">
        <v>25</v>
      </c>
      <c r="F1484" s="11" t="s">
        <v>40</v>
      </c>
      <c r="G1484" s="11" t="s">
        <v>27</v>
      </c>
      <c r="H1484" s="11" t="s">
        <v>51</v>
      </c>
      <c r="I1484" s="12">
        <v>139.99</v>
      </c>
      <c r="J1484" s="13"/>
      <c r="K1484" s="13">
        <f t="shared" si="83"/>
        <v>139.99</v>
      </c>
      <c r="L1484" s="11" t="s">
        <v>29</v>
      </c>
      <c r="M1484" s="14"/>
      <c r="N1484" s="11" t="s">
        <v>51</v>
      </c>
      <c r="O1484" s="10" t="str">
        <f t="shared" si="79"/>
        <v>07/2025</v>
      </c>
      <c r="P1484" s="10" t="str">
        <f t="shared" si="81"/>
        <v>07/2025</v>
      </c>
      <c r="Q1484" s="15" t="str">
        <f t="array" ref="Q1484">IFERROR(XLOOKUP(N1484,'Classificação'!A:A,'Classificação'!B:B),"")</f>
        <v>DESPESAS COM OCUPAÇÃO</v>
      </c>
      <c r="R1484" s="15" t="str">
        <f t="array" ref="R1484">IFERROR(XLOOKUP(Q1484,'Classificação'!B:B,'Classificação'!C:C),"")</f>
        <v>DESPESAS FIXAS (-)</v>
      </c>
      <c r="S1484" s="15">
        <f t="shared" si="80"/>
        <v>10</v>
      </c>
      <c r="T1484" s="15">
        <f t="shared" si="6"/>
        <v>7</v>
      </c>
      <c r="U1484" s="15">
        <f t="shared" si="7"/>
        <v>2025</v>
      </c>
      <c r="V1484" s="15">
        <f t="shared" si="8"/>
        <v>10</v>
      </c>
      <c r="W1484" s="15">
        <f t="shared" si="9"/>
        <v>7</v>
      </c>
      <c r="X1484" s="15">
        <f t="shared" si="10"/>
        <v>2025</v>
      </c>
    </row>
    <row r="1485">
      <c r="A1485" s="9">
        <v>45848.0</v>
      </c>
      <c r="B1485" s="10"/>
      <c r="C1485" s="9">
        <f t="shared" si="78"/>
        <v>45848</v>
      </c>
      <c r="D1485" s="11" t="s">
        <v>59</v>
      </c>
      <c r="E1485" s="11" t="s">
        <v>25</v>
      </c>
      <c r="F1485" s="11" t="s">
        <v>40</v>
      </c>
      <c r="G1485" s="11" t="s">
        <v>37</v>
      </c>
      <c r="H1485" s="11" t="s">
        <v>60</v>
      </c>
      <c r="I1485" s="12">
        <v>397.0</v>
      </c>
      <c r="J1485" s="13"/>
      <c r="K1485" s="13">
        <f t="shared" si="83"/>
        <v>397</v>
      </c>
      <c r="L1485" s="11" t="s">
        <v>29</v>
      </c>
      <c r="M1485" s="14"/>
      <c r="N1485" s="11" t="s">
        <v>61</v>
      </c>
      <c r="O1485" s="10" t="str">
        <f t="shared" si="79"/>
        <v>07/2025</v>
      </c>
      <c r="P1485" s="10" t="str">
        <f t="shared" si="81"/>
        <v>07/2025</v>
      </c>
      <c r="Q1485" s="15" t="str">
        <f t="array" ref="Q1485">IFERROR(XLOOKUP(N1485,'Classificação'!A:A,'Classificação'!B:B),"")</f>
        <v>DESPESAS ADMINISTRATIVAS</v>
      </c>
      <c r="R1485" s="15" t="str">
        <f t="array" ref="R1485">IFERROR(XLOOKUP(Q1485,'Classificação'!B:B,'Classificação'!C:C),"")</f>
        <v>DESPESAS FIXAS (-)</v>
      </c>
      <c r="S1485" s="15">
        <f t="shared" si="80"/>
        <v>10</v>
      </c>
      <c r="T1485" s="15">
        <f t="shared" si="6"/>
        <v>7</v>
      </c>
      <c r="U1485" s="15">
        <f t="shared" si="7"/>
        <v>2025</v>
      </c>
      <c r="V1485" s="15">
        <f t="shared" si="8"/>
        <v>10</v>
      </c>
      <c r="W1485" s="15">
        <f t="shared" si="9"/>
        <v>7</v>
      </c>
      <c r="X1485" s="15">
        <f t="shared" si="10"/>
        <v>2025</v>
      </c>
    </row>
    <row r="1486">
      <c r="A1486" s="9">
        <v>45848.0</v>
      </c>
      <c r="B1486" s="10"/>
      <c r="C1486" s="9">
        <f t="shared" si="78"/>
        <v>45848</v>
      </c>
      <c r="D1486" s="11" t="s">
        <v>104</v>
      </c>
      <c r="E1486" s="11" t="s">
        <v>25</v>
      </c>
      <c r="F1486" s="11" t="s">
        <v>40</v>
      </c>
      <c r="G1486" s="11" t="s">
        <v>37</v>
      </c>
      <c r="H1486" s="11" t="s">
        <v>413</v>
      </c>
      <c r="I1486" s="12">
        <v>27.5</v>
      </c>
      <c r="J1486" s="13"/>
      <c r="K1486" s="13">
        <f t="shared" si="83"/>
        <v>27.5</v>
      </c>
      <c r="L1486" s="11" t="s">
        <v>29</v>
      </c>
      <c r="M1486" s="14"/>
      <c r="N1486" s="11" t="s">
        <v>105</v>
      </c>
      <c r="O1486" s="10" t="str">
        <f t="shared" si="79"/>
        <v>07/2025</v>
      </c>
      <c r="P1486" s="10" t="str">
        <f t="shared" si="81"/>
        <v>07/2025</v>
      </c>
      <c r="Q1486" s="15" t="str">
        <f t="array" ref="Q1486">IFERROR(XLOOKUP(N1486,'Classificação'!A:A,'Classificação'!B:B),"")</f>
        <v>DESPESAS ADMINISTRATIVAS</v>
      </c>
      <c r="R1486" s="15" t="str">
        <f t="array" ref="R1486">IFERROR(XLOOKUP(Q1486,'Classificação'!B:B,'Classificação'!C:C),"")</f>
        <v>DESPESAS FIXAS (-)</v>
      </c>
      <c r="S1486" s="15">
        <f t="shared" si="80"/>
        <v>10</v>
      </c>
      <c r="T1486" s="15">
        <f t="shared" si="6"/>
        <v>7</v>
      </c>
      <c r="U1486" s="15">
        <f t="shared" si="7"/>
        <v>2025</v>
      </c>
      <c r="V1486" s="15">
        <f t="shared" si="8"/>
        <v>10</v>
      </c>
      <c r="W1486" s="15">
        <f t="shared" si="9"/>
        <v>7</v>
      </c>
      <c r="X1486" s="15">
        <f t="shared" si="10"/>
        <v>2025</v>
      </c>
    </row>
    <row r="1487">
      <c r="A1487" s="9">
        <v>45848.0</v>
      </c>
      <c r="B1487" s="10"/>
      <c r="C1487" s="9">
        <f t="shared" si="78"/>
        <v>45848</v>
      </c>
      <c r="D1487" s="11" t="s">
        <v>782</v>
      </c>
      <c r="E1487" s="11" t="s">
        <v>25</v>
      </c>
      <c r="F1487" s="11" t="s">
        <v>40</v>
      </c>
      <c r="G1487" s="11" t="s">
        <v>27</v>
      </c>
      <c r="H1487" s="11" t="s">
        <v>850</v>
      </c>
      <c r="I1487" s="12">
        <v>5791.0</v>
      </c>
      <c r="J1487" s="13"/>
      <c r="K1487" s="13">
        <f t="shared" si="83"/>
        <v>5791</v>
      </c>
      <c r="L1487" s="11" t="s">
        <v>34</v>
      </c>
      <c r="M1487" s="14"/>
      <c r="N1487" s="11" t="s">
        <v>35</v>
      </c>
      <c r="O1487" s="10" t="str">
        <f t="shared" si="79"/>
        <v>07/2025</v>
      </c>
      <c r="P1487" s="10" t="str">
        <f t="shared" si="81"/>
        <v>07/2025</v>
      </c>
      <c r="Q1487" s="15" t="str">
        <f t="array" ref="Q1487">IFERROR(XLOOKUP(N1487,'Classificação'!A:A,'Classificação'!B:B),"")</f>
        <v>COMPRA DE MERCADORIA</v>
      </c>
      <c r="R1487" s="15" t="str">
        <f t="array" ref="R1487">IFERROR(XLOOKUP(Q1487,'Classificação'!B:B,'Classificação'!C:C),"")</f>
        <v>CUSTOS VARIÁVEIS</v>
      </c>
      <c r="S1487" s="15">
        <f t="shared" si="80"/>
        <v>10</v>
      </c>
      <c r="T1487" s="15">
        <f t="shared" si="6"/>
        <v>7</v>
      </c>
      <c r="U1487" s="15">
        <f t="shared" si="7"/>
        <v>2025</v>
      </c>
      <c r="V1487" s="15">
        <f t="shared" si="8"/>
        <v>10</v>
      </c>
      <c r="W1487" s="15">
        <f t="shared" si="9"/>
        <v>7</v>
      </c>
      <c r="X1487" s="15">
        <f t="shared" si="10"/>
        <v>2025</v>
      </c>
    </row>
    <row r="1488">
      <c r="A1488" s="9">
        <v>45848.0</v>
      </c>
      <c r="B1488" s="10"/>
      <c r="C1488" s="9">
        <f t="shared" si="78"/>
        <v>45848</v>
      </c>
      <c r="D1488" s="11" t="s">
        <v>782</v>
      </c>
      <c r="E1488" s="11" t="s">
        <v>25</v>
      </c>
      <c r="F1488" s="11" t="s">
        <v>40</v>
      </c>
      <c r="G1488" s="11" t="s">
        <v>27</v>
      </c>
      <c r="H1488" s="11" t="s">
        <v>851</v>
      </c>
      <c r="I1488" s="12">
        <v>402.0</v>
      </c>
      <c r="J1488" s="13"/>
      <c r="K1488" s="13">
        <f t="shared" si="83"/>
        <v>402</v>
      </c>
      <c r="L1488" s="11" t="s">
        <v>34</v>
      </c>
      <c r="M1488" s="14"/>
      <c r="N1488" s="11" t="s">
        <v>35</v>
      </c>
      <c r="O1488" s="10" t="str">
        <f t="shared" si="79"/>
        <v>07/2025</v>
      </c>
      <c r="P1488" s="10" t="str">
        <f t="shared" si="81"/>
        <v>07/2025</v>
      </c>
      <c r="Q1488" s="15" t="str">
        <f t="array" ref="Q1488">IFERROR(XLOOKUP(N1488,'Classificação'!A:A,'Classificação'!B:B),"")</f>
        <v>COMPRA DE MERCADORIA</v>
      </c>
      <c r="R1488" s="15" t="str">
        <f t="array" ref="R1488">IFERROR(XLOOKUP(Q1488,'Classificação'!B:B,'Classificação'!C:C),"")</f>
        <v>CUSTOS VARIÁVEIS</v>
      </c>
      <c r="S1488" s="15">
        <f t="shared" si="80"/>
        <v>10</v>
      </c>
      <c r="T1488" s="15">
        <f t="shared" si="6"/>
        <v>7</v>
      </c>
      <c r="U1488" s="15">
        <f t="shared" si="7"/>
        <v>2025</v>
      </c>
      <c r="V1488" s="15">
        <f t="shared" si="8"/>
        <v>10</v>
      </c>
      <c r="W1488" s="15">
        <f t="shared" si="9"/>
        <v>7</v>
      </c>
      <c r="X1488" s="15">
        <f t="shared" si="10"/>
        <v>2025</v>
      </c>
    </row>
    <row r="1489">
      <c r="A1489" s="9">
        <v>45848.0</v>
      </c>
      <c r="B1489" s="9"/>
      <c r="C1489" s="9">
        <f t="shared" si="78"/>
        <v>45848</v>
      </c>
      <c r="D1489" s="11" t="s">
        <v>852</v>
      </c>
      <c r="E1489" s="11" t="s">
        <v>25</v>
      </c>
      <c r="F1489" s="11" t="s">
        <v>26</v>
      </c>
      <c r="G1489" s="11" t="s">
        <v>37</v>
      </c>
      <c r="H1489" s="11" t="s">
        <v>853</v>
      </c>
      <c r="I1489" s="12">
        <v>51.0</v>
      </c>
      <c r="J1489" s="13"/>
      <c r="K1489" s="13">
        <f t="shared" si="83"/>
        <v>51</v>
      </c>
      <c r="L1489" s="11" t="s">
        <v>34</v>
      </c>
      <c r="M1489" s="14"/>
      <c r="N1489" s="11" t="s">
        <v>392</v>
      </c>
      <c r="O1489" s="10" t="str">
        <f t="shared" si="79"/>
        <v>07/2025</v>
      </c>
      <c r="P1489" s="10" t="str">
        <f t="shared" si="81"/>
        <v>07/2025</v>
      </c>
      <c r="Q1489" s="15" t="str">
        <f t="array" ref="Q1489">IFERROR(XLOOKUP(N1489,'Classificação'!A:A,'Classificação'!B:B),"")</f>
        <v>DESPESAS COM OCUPAÇÃO</v>
      </c>
      <c r="R1489" s="15" t="str">
        <f t="array" ref="R1489">IFERROR(XLOOKUP(Q1489,'Classificação'!B:B,'Classificação'!C:C),"")</f>
        <v>DESPESAS FIXAS (-)</v>
      </c>
      <c r="S1489" s="15">
        <f t="shared" si="80"/>
        <v>10</v>
      </c>
      <c r="T1489" s="15">
        <f t="shared" si="6"/>
        <v>7</v>
      </c>
      <c r="U1489" s="15">
        <f t="shared" si="7"/>
        <v>2025</v>
      </c>
      <c r="V1489" s="15">
        <f t="shared" si="8"/>
        <v>10</v>
      </c>
      <c r="W1489" s="15">
        <f t="shared" si="9"/>
        <v>7</v>
      </c>
      <c r="X1489" s="15">
        <f t="shared" si="10"/>
        <v>2025</v>
      </c>
    </row>
    <row r="1490">
      <c r="A1490" s="9">
        <v>45849.0</v>
      </c>
      <c r="B1490" s="10"/>
      <c r="C1490" s="9">
        <f t="shared" si="78"/>
        <v>45849</v>
      </c>
      <c r="D1490" s="11" t="s">
        <v>44</v>
      </c>
      <c r="E1490" s="11" t="s">
        <v>25</v>
      </c>
      <c r="F1490" s="11" t="s">
        <v>45</v>
      </c>
      <c r="G1490" s="11" t="s">
        <v>27</v>
      </c>
      <c r="H1490" s="11" t="s">
        <v>52</v>
      </c>
      <c r="I1490" s="12">
        <v>480.32</v>
      </c>
      <c r="J1490" s="13"/>
      <c r="K1490" s="13">
        <f t="shared" si="83"/>
        <v>480.32</v>
      </c>
      <c r="L1490" s="11" t="s">
        <v>53</v>
      </c>
      <c r="M1490" s="16" t="s">
        <v>854</v>
      </c>
      <c r="N1490" s="11" t="s">
        <v>55</v>
      </c>
      <c r="O1490" s="10" t="str">
        <f t="shared" si="79"/>
        <v>07/2025</v>
      </c>
      <c r="P1490" s="10" t="str">
        <f t="shared" si="81"/>
        <v>07/2025</v>
      </c>
      <c r="Q1490" s="15" t="str">
        <f t="array" ref="Q1490">IFERROR(XLOOKUP(N1490,'Classificação'!A:A,'Classificação'!B:B),"")</f>
        <v>DESPESAS NÃO OPERACIONAIS</v>
      </c>
      <c r="R1490" s="15" t="str">
        <f t="array" ref="R1490">IFERROR(XLOOKUP(Q1490,'Classificação'!B:B,'Classificação'!C:C),"")</f>
        <v>RESULTADO NÃO OPERACIONAL (+/-)</v>
      </c>
      <c r="S1490" s="15">
        <f t="shared" si="80"/>
        <v>11</v>
      </c>
      <c r="T1490" s="15">
        <f t="shared" si="6"/>
        <v>7</v>
      </c>
      <c r="U1490" s="15">
        <f t="shared" si="7"/>
        <v>2025</v>
      </c>
      <c r="V1490" s="15">
        <f t="shared" si="8"/>
        <v>11</v>
      </c>
      <c r="W1490" s="15">
        <f t="shared" si="9"/>
        <v>7</v>
      </c>
      <c r="X1490" s="15">
        <f t="shared" si="10"/>
        <v>2025</v>
      </c>
    </row>
    <row r="1491">
      <c r="A1491" s="9">
        <v>45849.0</v>
      </c>
      <c r="B1491" s="10"/>
      <c r="C1491" s="9">
        <f t="shared" si="78"/>
        <v>45849</v>
      </c>
      <c r="D1491" s="11" t="s">
        <v>80</v>
      </c>
      <c r="E1491" s="11" t="s">
        <v>25</v>
      </c>
      <c r="F1491" s="11" t="s">
        <v>32</v>
      </c>
      <c r="G1491" s="11" t="s">
        <v>27</v>
      </c>
      <c r="H1491" s="11" t="s">
        <v>855</v>
      </c>
      <c r="I1491" s="12">
        <v>1202.5</v>
      </c>
      <c r="J1491" s="13"/>
      <c r="K1491" s="13">
        <f t="shared" si="83"/>
        <v>1202.5</v>
      </c>
      <c r="L1491" s="11" t="s">
        <v>34</v>
      </c>
      <c r="M1491" s="14"/>
      <c r="N1491" s="11" t="s">
        <v>856</v>
      </c>
      <c r="O1491" s="10" t="str">
        <f t="shared" si="79"/>
        <v>07/2025</v>
      </c>
      <c r="P1491" s="10" t="str">
        <f t="shared" si="81"/>
        <v>07/2025</v>
      </c>
      <c r="Q1491" s="15" t="str">
        <f t="array" ref="Q1491">IFERROR(XLOOKUP(N1491,'Classificação'!A:A,'Classificação'!B:B),"")</f>
        <v>DESPESAS COM PESSOAL</v>
      </c>
      <c r="R1491" s="15" t="str">
        <f t="array" ref="R1491">IFERROR(XLOOKUP(Q1491,'Classificação'!B:B,'Classificação'!C:C),"")</f>
        <v>DESPESAS FIXAS (-)</v>
      </c>
      <c r="S1491" s="15">
        <f t="shared" si="80"/>
        <v>11</v>
      </c>
      <c r="T1491" s="15">
        <f t="shared" si="6"/>
        <v>7</v>
      </c>
      <c r="U1491" s="15">
        <f t="shared" si="7"/>
        <v>2025</v>
      </c>
      <c r="V1491" s="15">
        <f t="shared" si="8"/>
        <v>11</v>
      </c>
      <c r="W1491" s="15">
        <f t="shared" si="9"/>
        <v>7</v>
      </c>
      <c r="X1491" s="15">
        <f t="shared" si="10"/>
        <v>2025</v>
      </c>
    </row>
    <row r="1492">
      <c r="A1492" s="9">
        <v>45849.0</v>
      </c>
      <c r="B1492" s="10"/>
      <c r="C1492" s="9">
        <f t="shared" si="78"/>
        <v>45849</v>
      </c>
      <c r="D1492" s="11" t="s">
        <v>56</v>
      </c>
      <c r="E1492" s="11" t="s">
        <v>25</v>
      </c>
      <c r="F1492" s="11" t="s">
        <v>26</v>
      </c>
      <c r="G1492" s="11" t="s">
        <v>37</v>
      </c>
      <c r="H1492" s="11" t="s">
        <v>57</v>
      </c>
      <c r="I1492" s="12">
        <v>50.0</v>
      </c>
      <c r="J1492" s="13"/>
      <c r="K1492" s="13">
        <f t="shared" si="83"/>
        <v>50</v>
      </c>
      <c r="L1492" s="11" t="s">
        <v>29</v>
      </c>
      <c r="M1492" s="14"/>
      <c r="N1492" s="11" t="s">
        <v>58</v>
      </c>
      <c r="O1492" s="10" t="str">
        <f t="shared" si="79"/>
        <v>07/2025</v>
      </c>
      <c r="P1492" s="10" t="str">
        <f t="shared" si="81"/>
        <v>07/2025</v>
      </c>
      <c r="Q1492" s="15" t="str">
        <f t="array" ref="Q1492">IFERROR(XLOOKUP(N1492,'Classificação'!A:A,'Classificação'!B:B),"")</f>
        <v>DESPESAS ADMINISTRATIVAS</v>
      </c>
      <c r="R1492" s="15" t="str">
        <f t="array" ref="R1492">IFERROR(XLOOKUP(Q1492,'Classificação'!B:B,'Classificação'!C:C),"")</f>
        <v>DESPESAS FIXAS (-)</v>
      </c>
      <c r="S1492" s="15">
        <f t="shared" si="80"/>
        <v>11</v>
      </c>
      <c r="T1492" s="15">
        <f t="shared" si="6"/>
        <v>7</v>
      </c>
      <c r="U1492" s="15">
        <f t="shared" si="7"/>
        <v>2025</v>
      </c>
      <c r="V1492" s="15">
        <f t="shared" si="8"/>
        <v>11</v>
      </c>
      <c r="W1492" s="15">
        <f t="shared" si="9"/>
        <v>7</v>
      </c>
      <c r="X1492" s="15">
        <f t="shared" si="10"/>
        <v>2025</v>
      </c>
    </row>
    <row r="1493">
      <c r="A1493" s="9">
        <v>45849.0</v>
      </c>
      <c r="B1493" s="10"/>
      <c r="C1493" s="9">
        <f t="shared" si="78"/>
        <v>45849</v>
      </c>
      <c r="D1493" s="11" t="s">
        <v>65</v>
      </c>
      <c r="E1493" s="11" t="s">
        <v>25</v>
      </c>
      <c r="F1493" s="11" t="s">
        <v>45</v>
      </c>
      <c r="G1493" s="11" t="s">
        <v>66</v>
      </c>
      <c r="H1493" s="11" t="s">
        <v>67</v>
      </c>
      <c r="I1493" s="12">
        <v>446.25</v>
      </c>
      <c r="J1493" s="13"/>
      <c r="K1493" s="13">
        <f t="shared" si="83"/>
        <v>446.25</v>
      </c>
      <c r="L1493" s="11" t="s">
        <v>29</v>
      </c>
      <c r="M1493" s="14"/>
      <c r="N1493" s="11" t="s">
        <v>68</v>
      </c>
      <c r="O1493" s="10" t="str">
        <f t="shared" si="79"/>
        <v>07/2025</v>
      </c>
      <c r="P1493" s="10" t="str">
        <f t="shared" si="81"/>
        <v>07/2025</v>
      </c>
      <c r="Q1493" s="15" t="str">
        <f t="array" ref="Q1493">IFERROR(XLOOKUP(N1493,'Classificação'!A:A,'Classificação'!B:B),"")</f>
        <v>FRETE DE VENDAS</v>
      </c>
      <c r="R1493" s="15" t="str">
        <f t="array" ref="R1493">IFERROR(XLOOKUP(Q1493,'Classificação'!B:B,'Classificação'!C:C),"")</f>
        <v>CUSTOS VARIÁVEIS</v>
      </c>
      <c r="S1493" s="15">
        <f t="shared" si="80"/>
        <v>11</v>
      </c>
      <c r="T1493" s="15">
        <f t="shared" si="6"/>
        <v>7</v>
      </c>
      <c r="U1493" s="15">
        <f t="shared" si="7"/>
        <v>2025</v>
      </c>
      <c r="V1493" s="15">
        <f t="shared" si="8"/>
        <v>11</v>
      </c>
      <c r="W1493" s="15">
        <f t="shared" si="9"/>
        <v>7</v>
      </c>
      <c r="X1493" s="15">
        <f t="shared" si="10"/>
        <v>2025</v>
      </c>
    </row>
    <row r="1494">
      <c r="A1494" s="9">
        <v>45852.0</v>
      </c>
      <c r="B1494" s="10"/>
      <c r="C1494" s="9">
        <f t="shared" si="78"/>
        <v>45852</v>
      </c>
      <c r="D1494" s="11" t="s">
        <v>44</v>
      </c>
      <c r="E1494" s="11" t="s">
        <v>25</v>
      </c>
      <c r="F1494" s="11" t="s">
        <v>45</v>
      </c>
      <c r="G1494" s="11" t="s">
        <v>27</v>
      </c>
      <c r="H1494" s="11" t="s">
        <v>476</v>
      </c>
      <c r="I1494" s="12">
        <v>5157.69</v>
      </c>
      <c r="J1494" s="13"/>
      <c r="K1494" s="13">
        <f t="shared" si="83"/>
        <v>5157.69</v>
      </c>
      <c r="L1494" s="11" t="s">
        <v>53</v>
      </c>
      <c r="M1494" s="16" t="s">
        <v>857</v>
      </c>
      <c r="N1494" s="11" t="s">
        <v>73</v>
      </c>
      <c r="O1494" s="10" t="str">
        <f t="shared" si="79"/>
        <v>07/2025</v>
      </c>
      <c r="P1494" s="10" t="str">
        <f t="shared" si="81"/>
        <v>07/2025</v>
      </c>
      <c r="Q1494" s="15" t="str">
        <f t="array" ref="Q1494">IFERROR(XLOOKUP(N1494,'Classificação'!A:A,'Classificação'!B:B),"")</f>
        <v>DESPESAS NÃO OPERACIONAIS</v>
      </c>
      <c r="R1494" s="15" t="str">
        <f t="array" ref="R1494">IFERROR(XLOOKUP(Q1494,'Classificação'!B:B,'Classificação'!C:C),"")</f>
        <v>RESULTADO NÃO OPERACIONAL (+/-)</v>
      </c>
      <c r="S1494" s="15">
        <f t="shared" si="80"/>
        <v>14</v>
      </c>
      <c r="T1494" s="15">
        <f t="shared" si="6"/>
        <v>7</v>
      </c>
      <c r="U1494" s="15">
        <f t="shared" si="7"/>
        <v>2025</v>
      </c>
      <c r="V1494" s="15">
        <f t="shared" si="8"/>
        <v>14</v>
      </c>
      <c r="W1494" s="15">
        <f t="shared" si="9"/>
        <v>7</v>
      </c>
      <c r="X1494" s="15">
        <f t="shared" si="10"/>
        <v>2025</v>
      </c>
    </row>
    <row r="1495">
      <c r="A1495" s="9">
        <v>45852.0</v>
      </c>
      <c r="B1495" s="10"/>
      <c r="C1495" s="9">
        <f t="shared" si="78"/>
        <v>45852</v>
      </c>
      <c r="D1495" s="11" t="s">
        <v>79</v>
      </c>
      <c r="E1495" s="11" t="s">
        <v>25</v>
      </c>
      <c r="F1495" s="11" t="s">
        <v>26</v>
      </c>
      <c r="G1495" s="11" t="s">
        <v>37</v>
      </c>
      <c r="I1495" s="12">
        <v>500.0</v>
      </c>
      <c r="J1495" s="13"/>
      <c r="K1495" s="13">
        <f t="shared" si="83"/>
        <v>500</v>
      </c>
      <c r="L1495" s="11" t="s">
        <v>29</v>
      </c>
      <c r="M1495" s="14"/>
      <c r="N1495" s="11" t="s">
        <v>38</v>
      </c>
      <c r="O1495" s="10" t="str">
        <f t="shared" si="79"/>
        <v>07/2025</v>
      </c>
      <c r="P1495" s="10" t="str">
        <f t="shared" si="81"/>
        <v>07/2025</v>
      </c>
      <c r="Q1495" s="15" t="str">
        <f t="array" ref="Q1495">IFERROR(XLOOKUP(N1495,'Classificação'!A:A,'Classificação'!B:B),"")</f>
        <v>DESPESAS COM PESSOAL</v>
      </c>
      <c r="R1495" s="15" t="str">
        <f t="array" ref="R1495">IFERROR(XLOOKUP(Q1495,'Classificação'!B:B,'Classificação'!C:C),"")</f>
        <v>DESPESAS FIXAS (-)</v>
      </c>
      <c r="S1495" s="15">
        <f t="shared" si="80"/>
        <v>14</v>
      </c>
      <c r="T1495" s="15">
        <f t="shared" si="6"/>
        <v>7</v>
      </c>
      <c r="U1495" s="15">
        <f t="shared" si="7"/>
        <v>2025</v>
      </c>
      <c r="V1495" s="15">
        <f t="shared" si="8"/>
        <v>14</v>
      </c>
      <c r="W1495" s="15">
        <f t="shared" si="9"/>
        <v>7</v>
      </c>
      <c r="X1495" s="15">
        <f t="shared" si="10"/>
        <v>2025</v>
      </c>
    </row>
    <row r="1496">
      <c r="A1496" s="9">
        <v>45852.0</v>
      </c>
      <c r="B1496" s="9">
        <v>45680.0</v>
      </c>
      <c r="C1496" s="9">
        <f t="shared" si="78"/>
        <v>45852</v>
      </c>
      <c r="D1496" s="11" t="s">
        <v>544</v>
      </c>
      <c r="E1496" s="11" t="s">
        <v>25</v>
      </c>
      <c r="F1496" s="11" t="s">
        <v>26</v>
      </c>
      <c r="G1496" s="11" t="s">
        <v>37</v>
      </c>
      <c r="H1496" s="11" t="s">
        <v>545</v>
      </c>
      <c r="I1496" s="12">
        <v>894.69</v>
      </c>
      <c r="J1496" s="13"/>
      <c r="K1496" s="13">
        <f t="shared" si="83"/>
        <v>894.69</v>
      </c>
      <c r="L1496" s="11" t="s">
        <v>53</v>
      </c>
      <c r="M1496" s="17">
        <v>45997.0</v>
      </c>
      <c r="N1496" s="11" t="s">
        <v>95</v>
      </c>
      <c r="O1496" s="10" t="str">
        <f t="shared" si="79"/>
        <v>07/2025</v>
      </c>
      <c r="P1496" s="10" t="str">
        <f t="shared" si="81"/>
        <v>07/2025</v>
      </c>
      <c r="Q1496" s="15" t="str">
        <f t="array" ref="Q1496">IFERROR(XLOOKUP(N1496,'Classificação'!A:A,'Classificação'!B:B),"")</f>
        <v>DESPESAS NÃO OPERACIONAIS</v>
      </c>
      <c r="R1496" s="15" t="str">
        <f t="array" ref="R1496">IFERROR(XLOOKUP(Q1496,'Classificação'!B:B,'Classificação'!C:C),"")</f>
        <v>RESULTADO NÃO OPERACIONAL (+/-)</v>
      </c>
      <c r="S1496" s="15">
        <f t="shared" si="80"/>
        <v>14</v>
      </c>
      <c r="T1496" s="15">
        <f t="shared" si="6"/>
        <v>7</v>
      </c>
      <c r="U1496" s="15">
        <f t="shared" si="7"/>
        <v>2025</v>
      </c>
      <c r="V1496" s="15">
        <f t="shared" si="8"/>
        <v>14</v>
      </c>
      <c r="W1496" s="15">
        <f t="shared" si="9"/>
        <v>7</v>
      </c>
      <c r="X1496" s="15">
        <f t="shared" si="10"/>
        <v>2025</v>
      </c>
    </row>
    <row r="1497">
      <c r="A1497" s="26">
        <v>45852.0</v>
      </c>
      <c r="B1497" s="30"/>
      <c r="C1497" s="27">
        <f t="shared" si="78"/>
        <v>45852</v>
      </c>
      <c r="D1497" s="28" t="s">
        <v>36</v>
      </c>
      <c r="E1497" s="29" t="s">
        <v>25</v>
      </c>
      <c r="F1497" s="28" t="s">
        <v>32</v>
      </c>
      <c r="G1497" s="29" t="s">
        <v>27</v>
      </c>
      <c r="H1497" s="28"/>
      <c r="I1497" s="24">
        <v>1750.0</v>
      </c>
      <c r="J1497" s="34"/>
      <c r="K1497" s="37">
        <f t="shared" ref="K1497:K1498" si="84">IF(E1497="pago",(I1497-J1497),"")</f>
        <v>1750</v>
      </c>
      <c r="L1497" s="28" t="s">
        <v>29</v>
      </c>
      <c r="M1497" s="28"/>
      <c r="N1497" s="28" t="s">
        <v>38</v>
      </c>
      <c r="O1497" s="10" t="str">
        <f t="shared" si="79"/>
        <v>07/2025</v>
      </c>
      <c r="P1497" s="10" t="str">
        <f t="shared" si="81"/>
        <v>07/2025</v>
      </c>
      <c r="Q1497" s="15" t="str">
        <f t="array" ref="Q1497">IFERROR(XLOOKUP(N1497,'Classificação'!A:A,'Classificação'!B:B),"")</f>
        <v>DESPESAS COM PESSOAL</v>
      </c>
      <c r="R1497" s="15" t="str">
        <f t="array" ref="R1497">IFERROR(XLOOKUP(Q1497,'Classificação'!B:B,'Classificação'!C:C),"")</f>
        <v>DESPESAS FIXAS (-)</v>
      </c>
      <c r="S1497" s="15">
        <f t="shared" si="80"/>
        <v>14</v>
      </c>
      <c r="T1497" s="15">
        <f t="shared" si="6"/>
        <v>7</v>
      </c>
      <c r="U1497" s="15">
        <f t="shared" si="7"/>
        <v>2025</v>
      </c>
      <c r="V1497" s="15">
        <f t="shared" si="8"/>
        <v>14</v>
      </c>
      <c r="W1497" s="15">
        <f t="shared" si="9"/>
        <v>7</v>
      </c>
      <c r="X1497" s="15">
        <f t="shared" si="10"/>
        <v>2025</v>
      </c>
    </row>
    <row r="1498">
      <c r="A1498" s="26">
        <v>45852.0</v>
      </c>
      <c r="B1498" s="30"/>
      <c r="C1498" s="27">
        <f t="shared" si="78"/>
        <v>45852</v>
      </c>
      <c r="D1498" s="28" t="s">
        <v>43</v>
      </c>
      <c r="E1498" s="29" t="s">
        <v>25</v>
      </c>
      <c r="F1498" s="28" t="s">
        <v>32</v>
      </c>
      <c r="G1498" s="29" t="s">
        <v>27</v>
      </c>
      <c r="H1498" s="28"/>
      <c r="I1498" s="24">
        <v>1750.0</v>
      </c>
      <c r="J1498" s="34"/>
      <c r="K1498" s="37">
        <f t="shared" si="84"/>
        <v>1750</v>
      </c>
      <c r="L1498" s="28" t="s">
        <v>29</v>
      </c>
      <c r="M1498" s="28"/>
      <c r="N1498" s="28" t="s">
        <v>38</v>
      </c>
      <c r="O1498" s="10" t="str">
        <f t="shared" si="79"/>
        <v>07/2025</v>
      </c>
      <c r="P1498" s="10" t="str">
        <f t="shared" si="81"/>
        <v>07/2025</v>
      </c>
      <c r="Q1498" s="15" t="str">
        <f t="array" ref="Q1498">IFERROR(XLOOKUP(N1498,'Classificação'!A:A,'Classificação'!B:B),"")</f>
        <v>DESPESAS COM PESSOAL</v>
      </c>
      <c r="R1498" s="15" t="str">
        <f t="array" ref="R1498">IFERROR(XLOOKUP(Q1498,'Classificação'!B:B,'Classificação'!C:C),"")</f>
        <v>DESPESAS FIXAS (-)</v>
      </c>
      <c r="S1498" s="15">
        <f t="shared" si="80"/>
        <v>14</v>
      </c>
      <c r="T1498" s="15">
        <f t="shared" si="6"/>
        <v>7</v>
      </c>
      <c r="U1498" s="15">
        <f t="shared" si="7"/>
        <v>2025</v>
      </c>
      <c r="V1498" s="15">
        <f t="shared" si="8"/>
        <v>14</v>
      </c>
      <c r="W1498" s="15">
        <f t="shared" si="9"/>
        <v>7</v>
      </c>
      <c r="X1498" s="15">
        <f t="shared" si="10"/>
        <v>2025</v>
      </c>
    </row>
    <row r="1499">
      <c r="A1499" s="9">
        <v>45853.0</v>
      </c>
      <c r="B1499" s="10"/>
      <c r="C1499" s="9">
        <f t="shared" si="78"/>
        <v>45853</v>
      </c>
      <c r="D1499" s="11" t="s">
        <v>80</v>
      </c>
      <c r="E1499" s="11" t="s">
        <v>25</v>
      </c>
      <c r="F1499" s="11" t="s">
        <v>32</v>
      </c>
      <c r="G1499" s="11" t="s">
        <v>27</v>
      </c>
      <c r="H1499" s="11" t="s">
        <v>858</v>
      </c>
      <c r="I1499" s="12">
        <v>390.0</v>
      </c>
      <c r="J1499" s="13"/>
      <c r="K1499" s="13">
        <f t="shared" ref="K1499:K1502" si="85">if(E1499="pago",(I1499-J1499),"")</f>
        <v>390</v>
      </c>
      <c r="L1499" s="11" t="s">
        <v>29</v>
      </c>
      <c r="M1499" s="14"/>
      <c r="N1499" s="11" t="s">
        <v>75</v>
      </c>
      <c r="O1499" s="10" t="str">
        <f t="shared" si="79"/>
        <v>07/2025</v>
      </c>
      <c r="P1499" s="10" t="str">
        <f t="shared" si="81"/>
        <v>07/2025</v>
      </c>
      <c r="Q1499" s="15" t="str">
        <f t="array" ref="Q1499">IFERROR(XLOOKUP(N1499,'Classificação'!A:A,'Classificação'!B:B),"")</f>
        <v>DESPESAS COM PESSOAL</v>
      </c>
      <c r="R1499" s="15" t="str">
        <f t="array" ref="R1499">IFERROR(XLOOKUP(Q1499,'Classificação'!B:B,'Classificação'!C:C),"")</f>
        <v>DESPESAS FIXAS (-)</v>
      </c>
      <c r="S1499" s="15">
        <f t="shared" si="80"/>
        <v>15</v>
      </c>
      <c r="T1499" s="15">
        <f t="shared" si="6"/>
        <v>7</v>
      </c>
      <c r="U1499" s="15">
        <f t="shared" si="7"/>
        <v>2025</v>
      </c>
      <c r="V1499" s="15">
        <f t="shared" si="8"/>
        <v>15</v>
      </c>
      <c r="W1499" s="15">
        <f t="shared" si="9"/>
        <v>7</v>
      </c>
      <c r="X1499" s="15">
        <f t="shared" si="10"/>
        <v>2025</v>
      </c>
    </row>
    <row r="1500">
      <c r="A1500" s="9">
        <v>45853.0</v>
      </c>
      <c r="B1500" s="10"/>
      <c r="C1500" s="9">
        <f t="shared" si="78"/>
        <v>45853</v>
      </c>
      <c r="D1500" s="11" t="s">
        <v>83</v>
      </c>
      <c r="E1500" s="11" t="s">
        <v>25</v>
      </c>
      <c r="F1500" s="11" t="s">
        <v>32</v>
      </c>
      <c r="G1500" s="11" t="s">
        <v>27</v>
      </c>
      <c r="I1500" s="12">
        <v>800.0</v>
      </c>
      <c r="J1500" s="13"/>
      <c r="K1500" s="13">
        <f t="shared" si="85"/>
        <v>800</v>
      </c>
      <c r="L1500" s="11" t="s">
        <v>29</v>
      </c>
      <c r="M1500" s="14"/>
      <c r="N1500" s="11" t="s">
        <v>75</v>
      </c>
      <c r="O1500" s="10" t="str">
        <f t="shared" si="79"/>
        <v>07/2025</v>
      </c>
      <c r="P1500" s="10" t="str">
        <f t="shared" si="81"/>
        <v>07/2025</v>
      </c>
      <c r="Q1500" s="15" t="str">
        <f t="array" ref="Q1500">IFERROR(XLOOKUP(N1500,'Classificação'!A:A,'Classificação'!B:B),"")</f>
        <v>DESPESAS COM PESSOAL</v>
      </c>
      <c r="R1500" s="15" t="str">
        <f t="array" ref="R1500">IFERROR(XLOOKUP(Q1500,'Classificação'!B:B,'Classificação'!C:C),"")</f>
        <v>DESPESAS FIXAS (-)</v>
      </c>
      <c r="S1500" s="15">
        <f t="shared" si="80"/>
        <v>15</v>
      </c>
      <c r="T1500" s="15">
        <f t="shared" si="6"/>
        <v>7</v>
      </c>
      <c r="U1500" s="15">
        <f t="shared" si="7"/>
        <v>2025</v>
      </c>
      <c r="V1500" s="15">
        <f t="shared" si="8"/>
        <v>15</v>
      </c>
      <c r="W1500" s="15">
        <f t="shared" si="9"/>
        <v>7</v>
      </c>
      <c r="X1500" s="15">
        <f t="shared" si="10"/>
        <v>2025</v>
      </c>
    </row>
    <row r="1501">
      <c r="A1501" s="9">
        <v>45853.0</v>
      </c>
      <c r="B1501" s="9">
        <v>45734.0</v>
      </c>
      <c r="C1501" s="9">
        <f t="shared" si="78"/>
        <v>45853</v>
      </c>
      <c r="D1501" s="11" t="s">
        <v>86</v>
      </c>
      <c r="E1501" s="11" t="s">
        <v>25</v>
      </c>
      <c r="F1501" s="11" t="s">
        <v>87</v>
      </c>
      <c r="G1501" s="11" t="s">
        <v>27</v>
      </c>
      <c r="H1501" s="11" t="s">
        <v>859</v>
      </c>
      <c r="I1501" s="12">
        <v>2260.0</v>
      </c>
      <c r="J1501" s="13"/>
      <c r="K1501" s="13">
        <f t="shared" si="85"/>
        <v>2260</v>
      </c>
      <c r="L1501" s="11" t="s">
        <v>53</v>
      </c>
      <c r="M1501" s="17">
        <v>45751.0</v>
      </c>
      <c r="N1501" s="11" t="s">
        <v>35</v>
      </c>
      <c r="O1501" s="10" t="str">
        <f t="shared" si="79"/>
        <v>07/2025</v>
      </c>
      <c r="P1501" s="10" t="str">
        <f t="shared" si="81"/>
        <v>07/2025</v>
      </c>
      <c r="Q1501" s="15" t="str">
        <f t="array" ref="Q1501">IFERROR(XLOOKUP(N1501,'Classificação'!A:A,'Classificação'!B:B),"")</f>
        <v>COMPRA DE MERCADORIA</v>
      </c>
      <c r="R1501" s="15" t="str">
        <f t="array" ref="R1501">IFERROR(XLOOKUP(Q1501,'Classificação'!B:B,'Classificação'!C:C),"")</f>
        <v>CUSTOS VARIÁVEIS</v>
      </c>
      <c r="S1501" s="15">
        <f t="shared" si="80"/>
        <v>15</v>
      </c>
      <c r="T1501" s="15">
        <f t="shared" si="6"/>
        <v>7</v>
      </c>
      <c r="U1501" s="15">
        <f t="shared" si="7"/>
        <v>2025</v>
      </c>
      <c r="V1501" s="15">
        <f t="shared" si="8"/>
        <v>15</v>
      </c>
      <c r="W1501" s="15">
        <f t="shared" si="9"/>
        <v>7</v>
      </c>
      <c r="X1501" s="15">
        <f t="shared" si="10"/>
        <v>2025</v>
      </c>
    </row>
    <row r="1502">
      <c r="A1502" s="9">
        <v>45855.0</v>
      </c>
      <c r="B1502" s="10"/>
      <c r="C1502" s="9">
        <f t="shared" si="78"/>
        <v>45855</v>
      </c>
      <c r="D1502" s="11" t="s">
        <v>167</v>
      </c>
      <c r="E1502" s="11" t="s">
        <v>25</v>
      </c>
      <c r="F1502" s="11" t="s">
        <v>26</v>
      </c>
      <c r="G1502" s="11" t="s">
        <v>37</v>
      </c>
      <c r="H1502" s="11" t="s">
        <v>519</v>
      </c>
      <c r="I1502" s="12">
        <v>28.0</v>
      </c>
      <c r="J1502" s="13"/>
      <c r="K1502" s="13">
        <f t="shared" si="85"/>
        <v>28</v>
      </c>
      <c r="L1502" s="11" t="s">
        <v>34</v>
      </c>
      <c r="M1502" s="14"/>
      <c r="N1502" s="11" t="s">
        <v>78</v>
      </c>
      <c r="O1502" s="10" t="str">
        <f t="shared" si="79"/>
        <v>07/2025</v>
      </c>
      <c r="P1502" s="10" t="str">
        <f t="shared" si="81"/>
        <v>07/2025</v>
      </c>
      <c r="Q1502" s="15" t="str">
        <f t="array" ref="Q1502">IFERROR(XLOOKUP(N1502,'Classificação'!A:A,'Classificação'!B:B),"")</f>
        <v>DESPESAS COM PESSOAL</v>
      </c>
      <c r="R1502" s="15" t="str">
        <f t="array" ref="R1502">IFERROR(XLOOKUP(Q1502,'Classificação'!B:B,'Classificação'!C:C),"")</f>
        <v>DESPESAS FIXAS (-)</v>
      </c>
      <c r="S1502" s="15">
        <f t="shared" si="80"/>
        <v>17</v>
      </c>
      <c r="T1502" s="15">
        <f t="shared" si="6"/>
        <v>7</v>
      </c>
      <c r="U1502" s="15">
        <f t="shared" si="7"/>
        <v>2025</v>
      </c>
      <c r="V1502" s="15">
        <f t="shared" si="8"/>
        <v>17</v>
      </c>
      <c r="W1502" s="15">
        <f t="shared" si="9"/>
        <v>7</v>
      </c>
      <c r="X1502" s="15">
        <f t="shared" si="10"/>
        <v>2025</v>
      </c>
    </row>
    <row r="1503">
      <c r="A1503" s="26">
        <v>45856.0</v>
      </c>
      <c r="B1503" s="30"/>
      <c r="C1503" s="27">
        <f t="shared" si="78"/>
        <v>45856</v>
      </c>
      <c r="D1503" s="28" t="s">
        <v>520</v>
      </c>
      <c r="E1503" s="29" t="s">
        <v>25</v>
      </c>
      <c r="F1503" s="28" t="s">
        <v>26</v>
      </c>
      <c r="G1503" s="28" t="s">
        <v>37</v>
      </c>
      <c r="H1503" s="28" t="s">
        <v>730</v>
      </c>
      <c r="I1503" s="24">
        <v>300.0</v>
      </c>
      <c r="J1503" s="34"/>
      <c r="K1503" s="37">
        <f t="shared" ref="K1503:K1504" si="86">IF(E1503="pago",(I1503-J1503),"")</f>
        <v>300</v>
      </c>
      <c r="L1503" s="28" t="s">
        <v>34</v>
      </c>
      <c r="M1503" s="28"/>
      <c r="N1503" s="28" t="s">
        <v>58</v>
      </c>
      <c r="O1503" s="10" t="str">
        <f t="shared" si="79"/>
        <v>07/2025</v>
      </c>
      <c r="P1503" s="10" t="str">
        <f t="shared" si="81"/>
        <v>07/2025</v>
      </c>
      <c r="Q1503" s="15" t="str">
        <f t="array" ref="Q1503">IFERROR(XLOOKUP(N1503,'Classificação'!A:A,'Classificação'!B:B),"")</f>
        <v>DESPESAS ADMINISTRATIVAS</v>
      </c>
      <c r="R1503" s="15" t="str">
        <f t="array" ref="R1503">IFERROR(XLOOKUP(Q1503,'Classificação'!B:B,'Classificação'!C:C),"")</f>
        <v>DESPESAS FIXAS (-)</v>
      </c>
      <c r="S1503" s="15">
        <f t="shared" si="80"/>
        <v>18</v>
      </c>
      <c r="T1503" s="15">
        <f t="shared" si="6"/>
        <v>7</v>
      </c>
      <c r="U1503" s="15">
        <f t="shared" si="7"/>
        <v>2025</v>
      </c>
      <c r="V1503" s="15">
        <f t="shared" si="8"/>
        <v>18</v>
      </c>
      <c r="W1503" s="15">
        <f t="shared" si="9"/>
        <v>7</v>
      </c>
      <c r="X1503" s="15">
        <f t="shared" si="10"/>
        <v>2025</v>
      </c>
    </row>
    <row r="1504">
      <c r="A1504" s="9">
        <v>45856.0</v>
      </c>
      <c r="B1504" s="10"/>
      <c r="C1504" s="9">
        <f t="shared" si="78"/>
        <v>45856</v>
      </c>
      <c r="D1504" s="11" t="s">
        <v>90</v>
      </c>
      <c r="E1504" s="11" t="s">
        <v>25</v>
      </c>
      <c r="F1504" s="11" t="s">
        <v>40</v>
      </c>
      <c r="G1504" s="11" t="s">
        <v>27</v>
      </c>
      <c r="H1504" s="11" t="s">
        <v>91</v>
      </c>
      <c r="I1504" s="12">
        <v>357.33</v>
      </c>
      <c r="J1504" s="13"/>
      <c r="K1504" s="37">
        <f t="shared" si="86"/>
        <v>357.33</v>
      </c>
      <c r="L1504" s="11" t="s">
        <v>29</v>
      </c>
      <c r="M1504" s="14"/>
      <c r="N1504" s="11" t="s">
        <v>92</v>
      </c>
      <c r="O1504" s="10" t="str">
        <f t="shared" si="79"/>
        <v>07/2025</v>
      </c>
      <c r="P1504" s="10" t="str">
        <f t="shared" si="81"/>
        <v>07/2025</v>
      </c>
      <c r="Q1504" s="15" t="str">
        <f t="array" ref="Q1504">IFERROR(XLOOKUP(N1504,'Classificação'!A:A,'Classificação'!B:B),"")</f>
        <v>DESPESAS COM OCUPAÇÃO</v>
      </c>
      <c r="R1504" s="15" t="str">
        <f t="array" ref="R1504">IFERROR(XLOOKUP(Q1504,'Classificação'!B:B,'Classificação'!C:C),"")</f>
        <v>DESPESAS FIXAS (-)</v>
      </c>
      <c r="S1504" s="15">
        <f t="shared" si="80"/>
        <v>18</v>
      </c>
      <c r="T1504" s="15">
        <f t="shared" si="6"/>
        <v>7</v>
      </c>
      <c r="U1504" s="15">
        <f t="shared" si="7"/>
        <v>2025</v>
      </c>
      <c r="V1504" s="15">
        <f t="shared" si="8"/>
        <v>18</v>
      </c>
      <c r="W1504" s="15">
        <f t="shared" si="9"/>
        <v>7</v>
      </c>
      <c r="X1504" s="15">
        <f t="shared" si="10"/>
        <v>2025</v>
      </c>
    </row>
    <row r="1505">
      <c r="A1505" s="9">
        <v>45856.0</v>
      </c>
      <c r="B1505" s="10"/>
      <c r="C1505" s="9">
        <f t="shared" si="78"/>
        <v>45856</v>
      </c>
      <c r="D1505" s="11" t="s">
        <v>44</v>
      </c>
      <c r="E1505" s="11" t="s">
        <v>25</v>
      </c>
      <c r="F1505" s="11" t="s">
        <v>45</v>
      </c>
      <c r="G1505" s="11" t="s">
        <v>27</v>
      </c>
      <c r="H1505" s="11" t="s">
        <v>703</v>
      </c>
      <c r="I1505" s="12">
        <v>3234.99</v>
      </c>
      <c r="J1505" s="13"/>
      <c r="K1505" s="13">
        <f t="shared" ref="K1505:K1508" si="87">if(E1505="pago",(I1505-J1505),"")</f>
        <v>3234.99</v>
      </c>
      <c r="L1505" s="11" t="s">
        <v>53</v>
      </c>
      <c r="M1505" s="16" t="s">
        <v>860</v>
      </c>
      <c r="N1505" s="11" t="s">
        <v>73</v>
      </c>
      <c r="O1505" s="10" t="str">
        <f t="shared" si="79"/>
        <v>07/2025</v>
      </c>
      <c r="P1505" s="10" t="str">
        <f t="shared" si="81"/>
        <v>07/2025</v>
      </c>
      <c r="Q1505" s="15" t="str">
        <f t="array" ref="Q1505">IFERROR(XLOOKUP(N1505,'Classificação'!A:A,'Classificação'!B:B),"")</f>
        <v>DESPESAS NÃO OPERACIONAIS</v>
      </c>
      <c r="R1505" s="15" t="str">
        <f t="array" ref="R1505">IFERROR(XLOOKUP(Q1505,'Classificação'!B:B,'Classificação'!C:C),"")</f>
        <v>RESULTADO NÃO OPERACIONAL (+/-)</v>
      </c>
      <c r="S1505" s="15">
        <f t="shared" si="80"/>
        <v>18</v>
      </c>
      <c r="T1505" s="15">
        <f t="shared" si="6"/>
        <v>7</v>
      </c>
      <c r="U1505" s="15">
        <f t="shared" si="7"/>
        <v>2025</v>
      </c>
      <c r="V1505" s="15">
        <f t="shared" si="8"/>
        <v>18</v>
      </c>
      <c r="W1505" s="15">
        <f t="shared" si="9"/>
        <v>7</v>
      </c>
      <c r="X1505" s="15">
        <f t="shared" si="10"/>
        <v>2025</v>
      </c>
    </row>
    <row r="1506">
      <c r="A1506" s="9">
        <v>45856.0</v>
      </c>
      <c r="B1506" s="10"/>
      <c r="C1506" s="9">
        <f t="shared" si="78"/>
        <v>45856</v>
      </c>
      <c r="D1506" s="11" t="s">
        <v>65</v>
      </c>
      <c r="E1506" s="11" t="s">
        <v>25</v>
      </c>
      <c r="F1506" s="11" t="s">
        <v>45</v>
      </c>
      <c r="G1506" s="11" t="s">
        <v>37</v>
      </c>
      <c r="H1506" s="11" t="s">
        <v>103</v>
      </c>
      <c r="I1506" s="12">
        <v>631.99</v>
      </c>
      <c r="J1506" s="13"/>
      <c r="K1506" s="13">
        <f t="shared" si="87"/>
        <v>631.99</v>
      </c>
      <c r="L1506" s="11" t="s">
        <v>29</v>
      </c>
      <c r="M1506" s="14"/>
      <c r="N1506" s="11" t="s">
        <v>68</v>
      </c>
      <c r="O1506" s="10" t="str">
        <f t="shared" si="79"/>
        <v>07/2025</v>
      </c>
      <c r="P1506" s="10" t="str">
        <f t="shared" si="81"/>
        <v>07/2025</v>
      </c>
      <c r="Q1506" s="15" t="str">
        <f t="array" ref="Q1506">IFERROR(XLOOKUP(N1506,'Classificação'!A:A,'Classificação'!B:B),"")</f>
        <v>FRETE DE VENDAS</v>
      </c>
      <c r="R1506" s="15" t="str">
        <f t="array" ref="R1506">IFERROR(XLOOKUP(Q1506,'Classificação'!B:B,'Classificação'!C:C),"")</f>
        <v>CUSTOS VARIÁVEIS</v>
      </c>
      <c r="S1506" s="15">
        <f t="shared" si="80"/>
        <v>18</v>
      </c>
      <c r="T1506" s="15">
        <f t="shared" si="6"/>
        <v>7</v>
      </c>
      <c r="U1506" s="15">
        <f t="shared" si="7"/>
        <v>2025</v>
      </c>
      <c r="V1506" s="15">
        <f t="shared" si="8"/>
        <v>18</v>
      </c>
      <c r="W1506" s="15">
        <f t="shared" si="9"/>
        <v>7</v>
      </c>
      <c r="X1506" s="15">
        <f t="shared" si="10"/>
        <v>2025</v>
      </c>
    </row>
    <row r="1507">
      <c r="A1507" s="9">
        <v>45856.0</v>
      </c>
      <c r="B1507" s="10"/>
      <c r="C1507" s="9">
        <f t="shared" si="78"/>
        <v>45856</v>
      </c>
      <c r="D1507" s="11" t="s">
        <v>123</v>
      </c>
      <c r="E1507" s="11" t="s">
        <v>25</v>
      </c>
      <c r="F1507" s="11" t="s">
        <v>40</v>
      </c>
      <c r="G1507" s="11" t="s">
        <v>27</v>
      </c>
      <c r="I1507" s="12">
        <v>332.0</v>
      </c>
      <c r="J1507" s="13"/>
      <c r="K1507" s="13">
        <f t="shared" si="87"/>
        <v>332</v>
      </c>
      <c r="L1507" s="11" t="s">
        <v>29</v>
      </c>
      <c r="M1507" s="14"/>
      <c r="N1507" s="11" t="s">
        <v>123</v>
      </c>
      <c r="O1507" s="10" t="str">
        <f t="shared" si="79"/>
        <v>07/2025</v>
      </c>
      <c r="P1507" s="10" t="str">
        <f t="shared" si="81"/>
        <v>07/2025</v>
      </c>
      <c r="Q1507" s="15" t="str">
        <f t="array" ref="Q1507">IFERROR(XLOOKUP(N1507,'Classificação'!A:A,'Classificação'!B:B),"")</f>
        <v>DESPESAS COM PESSOAL</v>
      </c>
      <c r="R1507" s="15" t="str">
        <f t="array" ref="R1507">IFERROR(XLOOKUP(Q1507,'Classificação'!B:B,'Classificação'!C:C),"")</f>
        <v>DESPESAS FIXAS (-)</v>
      </c>
      <c r="S1507" s="15">
        <f t="shared" si="80"/>
        <v>18</v>
      </c>
      <c r="T1507" s="15">
        <f t="shared" si="6"/>
        <v>7</v>
      </c>
      <c r="U1507" s="15">
        <f t="shared" si="7"/>
        <v>2025</v>
      </c>
      <c r="V1507" s="15">
        <f t="shared" si="8"/>
        <v>18</v>
      </c>
      <c r="W1507" s="15">
        <f t="shared" si="9"/>
        <v>7</v>
      </c>
      <c r="X1507" s="15">
        <f t="shared" si="10"/>
        <v>2025</v>
      </c>
    </row>
    <row r="1508">
      <c r="A1508" s="9">
        <v>45856.0</v>
      </c>
      <c r="B1508" s="10"/>
      <c r="C1508" s="9">
        <f t="shared" si="78"/>
        <v>45856</v>
      </c>
      <c r="D1508" s="11" t="s">
        <v>126</v>
      </c>
      <c r="E1508" s="11" t="s">
        <v>25</v>
      </c>
      <c r="F1508" s="11" t="s">
        <v>40</v>
      </c>
      <c r="G1508" s="11" t="s">
        <v>27</v>
      </c>
      <c r="I1508" s="12">
        <v>661.92</v>
      </c>
      <c r="J1508" s="13"/>
      <c r="K1508" s="13">
        <f t="shared" si="87"/>
        <v>661.92</v>
      </c>
      <c r="L1508" s="11" t="s">
        <v>29</v>
      </c>
      <c r="M1508" s="14"/>
      <c r="N1508" s="11" t="s">
        <v>126</v>
      </c>
      <c r="O1508" s="10" t="str">
        <f t="shared" si="79"/>
        <v>07/2025</v>
      </c>
      <c r="P1508" s="10" t="str">
        <f t="shared" si="81"/>
        <v>07/2025</v>
      </c>
      <c r="Q1508" s="15" t="str">
        <f t="array" ref="Q1508">IFERROR(XLOOKUP(N1508,'Classificação'!A:A,'Classificação'!B:B),"")</f>
        <v>DESPESAS COM PESSOAL</v>
      </c>
      <c r="R1508" s="15" t="str">
        <f t="array" ref="R1508">IFERROR(XLOOKUP(Q1508,'Classificação'!B:B,'Classificação'!C:C),"")</f>
        <v>DESPESAS FIXAS (-)</v>
      </c>
      <c r="S1508" s="15">
        <f t="shared" si="80"/>
        <v>18</v>
      </c>
      <c r="T1508" s="15">
        <f t="shared" si="6"/>
        <v>7</v>
      </c>
      <c r="U1508" s="15">
        <f t="shared" si="7"/>
        <v>2025</v>
      </c>
      <c r="V1508" s="15">
        <f t="shared" si="8"/>
        <v>18</v>
      </c>
      <c r="W1508" s="15">
        <f t="shared" si="9"/>
        <v>7</v>
      </c>
      <c r="X1508" s="15">
        <f t="shared" si="10"/>
        <v>2025</v>
      </c>
    </row>
    <row r="1509">
      <c r="A1509" s="26">
        <v>45856.0</v>
      </c>
      <c r="B1509" s="30"/>
      <c r="C1509" s="27">
        <f t="shared" si="78"/>
        <v>45856</v>
      </c>
      <c r="D1509" s="28" t="s">
        <v>798</v>
      </c>
      <c r="E1509" s="28" t="s">
        <v>25</v>
      </c>
      <c r="F1509" s="28" t="s">
        <v>26</v>
      </c>
      <c r="G1509" s="28" t="s">
        <v>27</v>
      </c>
      <c r="H1509" s="28" t="s">
        <v>799</v>
      </c>
      <c r="I1509" s="24">
        <v>4900.0</v>
      </c>
      <c r="J1509" s="34"/>
      <c r="K1509" s="37">
        <f t="shared" ref="K1509:K1510" si="88">IF(E1509="pago",(I1509-J1509),"")</f>
        <v>4900</v>
      </c>
      <c r="L1509" s="28" t="s">
        <v>34</v>
      </c>
      <c r="M1509" s="28"/>
      <c r="N1509" s="11" t="s">
        <v>35</v>
      </c>
      <c r="O1509" s="10" t="str">
        <f t="shared" si="79"/>
        <v>07/2025</v>
      </c>
      <c r="P1509" s="10" t="str">
        <f t="shared" si="81"/>
        <v>07/2025</v>
      </c>
      <c r="Q1509" s="15" t="str">
        <f t="array" ref="Q1509">IFERROR(XLOOKUP(N1509,'Classificação'!A:A,'Classificação'!B:B),"")</f>
        <v>COMPRA DE MERCADORIA</v>
      </c>
      <c r="R1509" s="15" t="str">
        <f t="array" ref="R1509">IFERROR(XLOOKUP(Q1509,'Classificação'!B:B,'Classificação'!C:C),"")</f>
        <v>CUSTOS VARIÁVEIS</v>
      </c>
      <c r="S1509" s="15">
        <f t="shared" si="80"/>
        <v>18</v>
      </c>
      <c r="T1509" s="15">
        <f t="shared" si="6"/>
        <v>7</v>
      </c>
      <c r="U1509" s="15">
        <f t="shared" si="7"/>
        <v>2025</v>
      </c>
      <c r="V1509" s="15">
        <f t="shared" si="8"/>
        <v>18</v>
      </c>
      <c r="W1509" s="15">
        <f t="shared" si="9"/>
        <v>7</v>
      </c>
      <c r="X1509" s="15">
        <f t="shared" si="10"/>
        <v>2025</v>
      </c>
    </row>
    <row r="1510">
      <c r="A1510" s="26">
        <v>45856.0</v>
      </c>
      <c r="B1510" s="30"/>
      <c r="C1510" s="27">
        <f t="shared" si="78"/>
        <v>45856</v>
      </c>
      <c r="D1510" s="28" t="s">
        <v>798</v>
      </c>
      <c r="E1510" s="28" t="s">
        <v>25</v>
      </c>
      <c r="F1510" s="28" t="s">
        <v>26</v>
      </c>
      <c r="G1510" s="28" t="s">
        <v>27</v>
      </c>
      <c r="H1510" s="28" t="s">
        <v>800</v>
      </c>
      <c r="I1510" s="24">
        <v>4901.0</v>
      </c>
      <c r="J1510" s="34"/>
      <c r="K1510" s="37">
        <f t="shared" si="88"/>
        <v>4901</v>
      </c>
      <c r="L1510" s="28" t="s">
        <v>34</v>
      </c>
      <c r="M1510" s="28"/>
      <c r="N1510" s="11" t="s">
        <v>35</v>
      </c>
      <c r="O1510" s="10" t="str">
        <f t="shared" si="79"/>
        <v>07/2025</v>
      </c>
      <c r="P1510" s="10" t="str">
        <f t="shared" si="81"/>
        <v>07/2025</v>
      </c>
      <c r="Q1510" s="15" t="str">
        <f t="array" ref="Q1510">IFERROR(XLOOKUP(N1510,'Classificação'!A:A,'Classificação'!B:B),"")</f>
        <v>COMPRA DE MERCADORIA</v>
      </c>
      <c r="R1510" s="15" t="str">
        <f t="array" ref="R1510">IFERROR(XLOOKUP(Q1510,'Classificação'!B:B,'Classificação'!C:C),"")</f>
        <v>CUSTOS VARIÁVEIS</v>
      </c>
      <c r="S1510" s="15">
        <f t="shared" si="80"/>
        <v>18</v>
      </c>
      <c r="T1510" s="15">
        <f t="shared" si="6"/>
        <v>7</v>
      </c>
      <c r="U1510" s="15">
        <f t="shared" si="7"/>
        <v>2025</v>
      </c>
      <c r="V1510" s="15">
        <f t="shared" si="8"/>
        <v>18</v>
      </c>
      <c r="W1510" s="15">
        <f t="shared" si="9"/>
        <v>7</v>
      </c>
      <c r="X1510" s="15">
        <f t="shared" si="10"/>
        <v>2025</v>
      </c>
    </row>
    <row r="1511">
      <c r="A1511" s="9">
        <v>45859.0</v>
      </c>
      <c r="B1511" s="9">
        <v>45814.0</v>
      </c>
      <c r="C1511" s="9">
        <f t="shared" si="78"/>
        <v>45859</v>
      </c>
      <c r="D1511" s="11" t="s">
        <v>861</v>
      </c>
      <c r="E1511" s="11" t="s">
        <v>25</v>
      </c>
      <c r="F1511" s="11" t="s">
        <v>110</v>
      </c>
      <c r="G1511" s="11" t="s">
        <v>27</v>
      </c>
      <c r="H1511" s="11" t="s">
        <v>862</v>
      </c>
      <c r="I1511" s="31">
        <v>58.7</v>
      </c>
      <c r="J1511" s="13"/>
      <c r="K1511" s="13">
        <f t="shared" ref="K1511:K1561" si="89">if(E1511="pago",(I1511-J1511),"")</f>
        <v>58.7</v>
      </c>
      <c r="L1511" s="11" t="s">
        <v>53</v>
      </c>
      <c r="M1511" s="17">
        <v>45809.0</v>
      </c>
      <c r="N1511" s="11" t="s">
        <v>394</v>
      </c>
      <c r="O1511" s="10" t="str">
        <f t="shared" si="79"/>
        <v>07/2025</v>
      </c>
      <c r="P1511" s="10" t="str">
        <f t="shared" si="81"/>
        <v>07/2025</v>
      </c>
      <c r="Q1511" s="15" t="str">
        <f t="array" ref="Q1511">IFERROR(XLOOKUP(N1511,'Classificação'!A:A,'Classificação'!B:B),"")</f>
        <v>DESPESAS NÃO OPERACIONAIS</v>
      </c>
      <c r="R1511" s="15" t="str">
        <f t="array" ref="R1511">IFERROR(XLOOKUP(Q1511,'Classificação'!B:B,'Classificação'!C:C),"")</f>
        <v>RESULTADO NÃO OPERACIONAL (+/-)</v>
      </c>
      <c r="S1511" s="15">
        <f t="shared" si="80"/>
        <v>21</v>
      </c>
      <c r="T1511" s="15">
        <f t="shared" si="6"/>
        <v>7</v>
      </c>
      <c r="U1511" s="15">
        <f t="shared" si="7"/>
        <v>2025</v>
      </c>
      <c r="V1511" s="15">
        <f t="shared" si="8"/>
        <v>21</v>
      </c>
      <c r="W1511" s="15">
        <f t="shared" si="9"/>
        <v>7</v>
      </c>
      <c r="X1511" s="15">
        <f t="shared" si="10"/>
        <v>2025</v>
      </c>
    </row>
    <row r="1512">
      <c r="A1512" s="9">
        <v>45859.0</v>
      </c>
      <c r="B1512" s="9">
        <v>45824.0</v>
      </c>
      <c r="C1512" s="9">
        <f t="shared" si="78"/>
        <v>45859</v>
      </c>
      <c r="D1512" s="11" t="s">
        <v>167</v>
      </c>
      <c r="E1512" s="11" t="s">
        <v>25</v>
      </c>
      <c r="F1512" s="11" t="s">
        <v>107</v>
      </c>
      <c r="G1512" s="11" t="s">
        <v>27</v>
      </c>
      <c r="H1512" s="11" t="s">
        <v>519</v>
      </c>
      <c r="I1512" s="31">
        <v>27.0</v>
      </c>
      <c r="J1512" s="13"/>
      <c r="K1512" s="13">
        <f t="shared" si="89"/>
        <v>27</v>
      </c>
      <c r="L1512" s="11" t="s">
        <v>34</v>
      </c>
      <c r="M1512" s="16"/>
      <c r="N1512" s="11" t="s">
        <v>78</v>
      </c>
      <c r="O1512" s="10" t="str">
        <f t="shared" si="79"/>
        <v>07/2025</v>
      </c>
      <c r="P1512" s="10" t="str">
        <f t="shared" si="81"/>
        <v>07/2025</v>
      </c>
      <c r="Q1512" s="15" t="str">
        <f t="array" ref="Q1512">IFERROR(XLOOKUP(N1512,'Classificação'!A:A,'Classificação'!B:B),"")</f>
        <v>DESPESAS COM PESSOAL</v>
      </c>
      <c r="R1512" s="15" t="str">
        <f t="array" ref="R1512">IFERROR(XLOOKUP(Q1512,'Classificação'!B:B,'Classificação'!C:C),"")</f>
        <v>DESPESAS FIXAS (-)</v>
      </c>
      <c r="S1512" s="15">
        <f t="shared" si="80"/>
        <v>21</v>
      </c>
      <c r="T1512" s="15">
        <f t="shared" si="6"/>
        <v>7</v>
      </c>
      <c r="U1512" s="15">
        <f t="shared" si="7"/>
        <v>2025</v>
      </c>
      <c r="V1512" s="15">
        <f t="shared" si="8"/>
        <v>21</v>
      </c>
      <c r="W1512" s="15">
        <f t="shared" si="9"/>
        <v>7</v>
      </c>
      <c r="X1512" s="15">
        <f t="shared" si="10"/>
        <v>2025</v>
      </c>
    </row>
    <row r="1513">
      <c r="A1513" s="9">
        <v>45859.0</v>
      </c>
      <c r="B1513" s="10"/>
      <c r="C1513" s="9">
        <f t="shared" si="78"/>
        <v>45859</v>
      </c>
      <c r="D1513" s="11" t="s">
        <v>109</v>
      </c>
      <c r="E1513" s="11" t="s">
        <v>25</v>
      </c>
      <c r="F1513" s="11" t="s">
        <v>110</v>
      </c>
      <c r="G1513" s="11" t="s">
        <v>27</v>
      </c>
      <c r="H1513" s="11" t="s">
        <v>863</v>
      </c>
      <c r="I1513" s="31">
        <v>24.15</v>
      </c>
      <c r="J1513" s="13"/>
      <c r="K1513" s="13">
        <f t="shared" si="89"/>
        <v>24.15</v>
      </c>
      <c r="L1513" s="11" t="s">
        <v>29</v>
      </c>
      <c r="M1513" s="14"/>
      <c r="N1513" s="11" t="s">
        <v>105</v>
      </c>
      <c r="O1513" s="10" t="str">
        <f t="shared" si="79"/>
        <v>07/2025</v>
      </c>
      <c r="P1513" s="10" t="str">
        <f t="shared" si="81"/>
        <v>07/2025</v>
      </c>
      <c r="Q1513" s="15" t="str">
        <f t="array" ref="Q1513">IFERROR(XLOOKUP(N1513,'Classificação'!A:A,'Classificação'!B:B),"")</f>
        <v>DESPESAS ADMINISTRATIVAS</v>
      </c>
      <c r="R1513" s="15" t="str">
        <f t="array" ref="R1513">IFERROR(XLOOKUP(Q1513,'Classificação'!B:B,'Classificação'!C:C),"")</f>
        <v>DESPESAS FIXAS (-)</v>
      </c>
      <c r="S1513" s="15">
        <f t="shared" si="80"/>
        <v>21</v>
      </c>
      <c r="T1513" s="15">
        <f t="shared" si="6"/>
        <v>7</v>
      </c>
      <c r="U1513" s="15">
        <f t="shared" si="7"/>
        <v>2025</v>
      </c>
      <c r="V1513" s="15">
        <f t="shared" si="8"/>
        <v>21</v>
      </c>
      <c r="W1513" s="15">
        <f t="shared" si="9"/>
        <v>7</v>
      </c>
      <c r="X1513" s="15">
        <f t="shared" si="10"/>
        <v>2025</v>
      </c>
    </row>
    <row r="1514">
      <c r="A1514" s="9">
        <v>45859.0</v>
      </c>
      <c r="B1514" s="9">
        <v>45831.0</v>
      </c>
      <c r="C1514" s="9">
        <f t="shared" si="78"/>
        <v>45859</v>
      </c>
      <c r="D1514" s="11" t="s">
        <v>167</v>
      </c>
      <c r="E1514" s="11" t="s">
        <v>25</v>
      </c>
      <c r="F1514" s="11" t="s">
        <v>107</v>
      </c>
      <c r="G1514" s="11" t="s">
        <v>27</v>
      </c>
      <c r="H1514" s="11" t="s">
        <v>519</v>
      </c>
      <c r="I1514" s="31">
        <v>28.0</v>
      </c>
      <c r="J1514" s="13"/>
      <c r="K1514" s="13">
        <f t="shared" si="89"/>
        <v>28</v>
      </c>
      <c r="L1514" s="11" t="s">
        <v>34</v>
      </c>
      <c r="M1514" s="16"/>
      <c r="N1514" s="11" t="s">
        <v>78</v>
      </c>
      <c r="O1514" s="10" t="str">
        <f t="shared" si="79"/>
        <v>07/2025</v>
      </c>
      <c r="P1514" s="10" t="str">
        <f t="shared" si="81"/>
        <v>07/2025</v>
      </c>
      <c r="Q1514" s="15" t="str">
        <f t="array" ref="Q1514">IFERROR(XLOOKUP(N1514,'Classificação'!A:A,'Classificação'!B:B),"")</f>
        <v>DESPESAS COM PESSOAL</v>
      </c>
      <c r="R1514" s="15" t="str">
        <f t="array" ref="R1514">IFERROR(XLOOKUP(Q1514,'Classificação'!B:B,'Classificação'!C:C),"")</f>
        <v>DESPESAS FIXAS (-)</v>
      </c>
      <c r="S1514" s="15">
        <f t="shared" si="80"/>
        <v>21</v>
      </c>
      <c r="T1514" s="15">
        <f t="shared" si="6"/>
        <v>7</v>
      </c>
      <c r="U1514" s="15">
        <f t="shared" si="7"/>
        <v>2025</v>
      </c>
      <c r="V1514" s="15">
        <f t="shared" si="8"/>
        <v>21</v>
      </c>
      <c r="W1514" s="15">
        <f t="shared" si="9"/>
        <v>7</v>
      </c>
      <c r="X1514" s="15">
        <f t="shared" si="10"/>
        <v>2025</v>
      </c>
    </row>
    <row r="1515">
      <c r="A1515" s="9">
        <v>45859.0</v>
      </c>
      <c r="B1515" s="9">
        <v>45818.0</v>
      </c>
      <c r="C1515" s="9">
        <f t="shared" si="78"/>
        <v>45859</v>
      </c>
      <c r="D1515" s="11" t="s">
        <v>65</v>
      </c>
      <c r="E1515" s="11" t="s">
        <v>25</v>
      </c>
      <c r="F1515" s="11" t="s">
        <v>107</v>
      </c>
      <c r="G1515" s="11" t="s">
        <v>27</v>
      </c>
      <c r="H1515" s="11" t="s">
        <v>864</v>
      </c>
      <c r="I1515" s="31">
        <v>48.28</v>
      </c>
      <c r="J1515" s="13"/>
      <c r="K1515" s="13">
        <f t="shared" si="89"/>
        <v>48.28</v>
      </c>
      <c r="L1515" s="11" t="s">
        <v>34</v>
      </c>
      <c r="M1515" s="14"/>
      <c r="N1515" s="11" t="s">
        <v>145</v>
      </c>
      <c r="O1515" s="10" t="str">
        <f t="shared" si="79"/>
        <v>07/2025</v>
      </c>
      <c r="P1515" s="10" t="str">
        <f t="shared" si="81"/>
        <v>07/2025</v>
      </c>
      <c r="Q1515" s="15" t="str">
        <f t="array" ref="Q1515">IFERROR(XLOOKUP(N1515,'Classificação'!A:A,'Classificação'!B:B),"")</f>
        <v>DESPESAS ADMINISTRATIVAS</v>
      </c>
      <c r="R1515" s="15" t="str">
        <f t="array" ref="R1515">IFERROR(XLOOKUP(Q1515,'Classificação'!B:B,'Classificação'!C:C),"")</f>
        <v>DESPESAS FIXAS (-)</v>
      </c>
      <c r="S1515" s="15">
        <f t="shared" si="80"/>
        <v>21</v>
      </c>
      <c r="T1515" s="15">
        <f t="shared" si="6"/>
        <v>7</v>
      </c>
      <c r="U1515" s="15">
        <f t="shared" si="7"/>
        <v>2025</v>
      </c>
      <c r="V1515" s="15">
        <f t="shared" si="8"/>
        <v>21</v>
      </c>
      <c r="W1515" s="15">
        <f t="shared" si="9"/>
        <v>7</v>
      </c>
      <c r="X1515" s="15">
        <f t="shared" si="10"/>
        <v>2025</v>
      </c>
    </row>
    <row r="1516">
      <c r="A1516" s="9">
        <v>45859.0</v>
      </c>
      <c r="B1516" s="9">
        <v>45775.0</v>
      </c>
      <c r="C1516" s="9">
        <f t="shared" si="78"/>
        <v>45859</v>
      </c>
      <c r="D1516" s="11" t="s">
        <v>65</v>
      </c>
      <c r="E1516" s="11" t="s">
        <v>25</v>
      </c>
      <c r="F1516" s="11" t="s">
        <v>107</v>
      </c>
      <c r="G1516" s="11" t="s">
        <v>27</v>
      </c>
      <c r="H1516" s="11" t="s">
        <v>749</v>
      </c>
      <c r="I1516" s="31">
        <v>50.64</v>
      </c>
      <c r="J1516" s="13"/>
      <c r="K1516" s="13">
        <f t="shared" si="89"/>
        <v>50.64</v>
      </c>
      <c r="L1516" s="11" t="s">
        <v>53</v>
      </c>
      <c r="M1516" s="17">
        <v>45811.0</v>
      </c>
      <c r="N1516" s="11" t="s">
        <v>175</v>
      </c>
      <c r="O1516" s="10" t="str">
        <f t="shared" si="79"/>
        <v>07/2025</v>
      </c>
      <c r="P1516" s="10" t="str">
        <f t="shared" si="81"/>
        <v>07/2025</v>
      </c>
      <c r="Q1516" s="15" t="str">
        <f t="array" ref="Q1516">IFERROR(XLOOKUP(N1516,'Classificação'!A:A,'Classificação'!B:B),"")</f>
        <v>DESPESAS COM VEICULOS</v>
      </c>
      <c r="R1516" s="15" t="str">
        <f t="array" ref="R1516">IFERROR(XLOOKUP(Q1516,'Classificação'!B:B,'Classificação'!C:C),"")</f>
        <v>DESPESAS FIXAS (-)</v>
      </c>
      <c r="S1516" s="15">
        <f t="shared" si="80"/>
        <v>21</v>
      </c>
      <c r="T1516" s="15">
        <f t="shared" si="6"/>
        <v>7</v>
      </c>
      <c r="U1516" s="15">
        <f t="shared" si="7"/>
        <v>2025</v>
      </c>
      <c r="V1516" s="15">
        <f t="shared" si="8"/>
        <v>21</v>
      </c>
      <c r="W1516" s="15">
        <f t="shared" si="9"/>
        <v>7</v>
      </c>
      <c r="X1516" s="15">
        <f t="shared" si="10"/>
        <v>2025</v>
      </c>
    </row>
    <row r="1517">
      <c r="A1517" s="9">
        <v>45859.0</v>
      </c>
      <c r="B1517" s="9">
        <v>45818.0</v>
      </c>
      <c r="C1517" s="9">
        <f t="shared" si="78"/>
        <v>45859</v>
      </c>
      <c r="D1517" s="11" t="s">
        <v>121</v>
      </c>
      <c r="E1517" s="11" t="s">
        <v>25</v>
      </c>
      <c r="F1517" s="11" t="s">
        <v>107</v>
      </c>
      <c r="G1517" s="11" t="s">
        <v>27</v>
      </c>
      <c r="H1517" s="11" t="s">
        <v>865</v>
      </c>
      <c r="I1517" s="31">
        <v>29.9</v>
      </c>
      <c r="J1517" s="13"/>
      <c r="K1517" s="13">
        <f t="shared" si="89"/>
        <v>29.9</v>
      </c>
      <c r="L1517" s="11" t="s">
        <v>29</v>
      </c>
      <c r="M1517" s="14"/>
      <c r="N1517" s="11" t="s">
        <v>105</v>
      </c>
      <c r="O1517" s="10" t="str">
        <f t="shared" si="79"/>
        <v>07/2025</v>
      </c>
      <c r="P1517" s="10" t="str">
        <f t="shared" si="81"/>
        <v>07/2025</v>
      </c>
      <c r="Q1517" s="15" t="str">
        <f t="array" ref="Q1517">IFERROR(XLOOKUP(N1517,'Classificação'!A:A,'Classificação'!B:B),"")</f>
        <v>DESPESAS ADMINISTRATIVAS</v>
      </c>
      <c r="R1517" s="15" t="str">
        <f t="array" ref="R1517">IFERROR(XLOOKUP(Q1517,'Classificação'!B:B,'Classificação'!C:C),"")</f>
        <v>DESPESAS FIXAS (-)</v>
      </c>
      <c r="S1517" s="15">
        <f t="shared" si="80"/>
        <v>21</v>
      </c>
      <c r="T1517" s="15">
        <f t="shared" si="6"/>
        <v>7</v>
      </c>
      <c r="U1517" s="15">
        <f t="shared" si="7"/>
        <v>2025</v>
      </c>
      <c r="V1517" s="15">
        <f t="shared" si="8"/>
        <v>21</v>
      </c>
      <c r="W1517" s="15">
        <f t="shared" si="9"/>
        <v>7</v>
      </c>
      <c r="X1517" s="15">
        <f t="shared" si="10"/>
        <v>2025</v>
      </c>
    </row>
    <row r="1518">
      <c r="A1518" s="9">
        <v>45859.0</v>
      </c>
      <c r="B1518" s="10"/>
      <c r="C1518" s="9">
        <f t="shared" si="78"/>
        <v>45859</v>
      </c>
      <c r="D1518" s="11" t="s">
        <v>163</v>
      </c>
      <c r="E1518" s="11" t="s">
        <v>25</v>
      </c>
      <c r="F1518" s="11" t="s">
        <v>107</v>
      </c>
      <c r="G1518" s="11" t="s">
        <v>27</v>
      </c>
      <c r="H1518" s="11" t="s">
        <v>253</v>
      </c>
      <c r="I1518" s="31">
        <v>144.15</v>
      </c>
      <c r="J1518" s="13"/>
      <c r="K1518" s="13">
        <f t="shared" si="89"/>
        <v>144.15</v>
      </c>
      <c r="L1518" s="11" t="s">
        <v>53</v>
      </c>
      <c r="M1518" s="17">
        <v>45638.0</v>
      </c>
      <c r="N1518" s="11" t="s">
        <v>95</v>
      </c>
      <c r="O1518" s="10" t="str">
        <f t="shared" si="79"/>
        <v>07/2025</v>
      </c>
      <c r="P1518" s="10" t="str">
        <f t="shared" si="81"/>
        <v>07/2025</v>
      </c>
      <c r="Q1518" s="15" t="str">
        <f t="array" ref="Q1518">IFERROR(XLOOKUP(N1518,'Classificação'!A:A,'Classificação'!B:B),"")</f>
        <v>DESPESAS NÃO OPERACIONAIS</v>
      </c>
      <c r="R1518" s="15" t="str">
        <f t="array" ref="R1518">IFERROR(XLOOKUP(Q1518,'Classificação'!B:B,'Classificação'!C:C),"")</f>
        <v>RESULTADO NÃO OPERACIONAL (+/-)</v>
      </c>
      <c r="S1518" s="15">
        <f t="shared" si="80"/>
        <v>21</v>
      </c>
      <c r="T1518" s="15">
        <f t="shared" si="6"/>
        <v>7</v>
      </c>
      <c r="U1518" s="15">
        <f t="shared" si="7"/>
        <v>2025</v>
      </c>
      <c r="V1518" s="15">
        <f t="shared" si="8"/>
        <v>21</v>
      </c>
      <c r="W1518" s="15">
        <f t="shared" si="9"/>
        <v>7</v>
      </c>
      <c r="X1518" s="15">
        <f t="shared" si="10"/>
        <v>2025</v>
      </c>
    </row>
    <row r="1519">
      <c r="A1519" s="9">
        <v>45859.0</v>
      </c>
      <c r="B1519" s="9">
        <v>45523.0</v>
      </c>
      <c r="C1519" s="9">
        <f t="shared" si="78"/>
        <v>45859</v>
      </c>
      <c r="D1519" s="11" t="s">
        <v>65</v>
      </c>
      <c r="E1519" s="11" t="s">
        <v>25</v>
      </c>
      <c r="F1519" s="11" t="s">
        <v>107</v>
      </c>
      <c r="G1519" s="11" t="s">
        <v>27</v>
      </c>
      <c r="H1519" s="11" t="s">
        <v>263</v>
      </c>
      <c r="I1519" s="31">
        <v>102.67</v>
      </c>
      <c r="J1519" s="13"/>
      <c r="K1519" s="13">
        <f t="shared" si="89"/>
        <v>102.67</v>
      </c>
      <c r="L1519" s="11" t="s">
        <v>53</v>
      </c>
      <c r="M1519" s="17">
        <v>45637.0</v>
      </c>
      <c r="N1519" s="11" t="s">
        <v>95</v>
      </c>
      <c r="O1519" s="10" t="str">
        <f t="shared" si="79"/>
        <v>07/2025</v>
      </c>
      <c r="P1519" s="10" t="str">
        <f t="shared" si="81"/>
        <v>07/2025</v>
      </c>
      <c r="Q1519" s="15" t="str">
        <f t="array" ref="Q1519">IFERROR(XLOOKUP(N1519,'Classificação'!A:A,'Classificação'!B:B),"")</f>
        <v>DESPESAS NÃO OPERACIONAIS</v>
      </c>
      <c r="R1519" s="15" t="str">
        <f t="array" ref="R1519">IFERROR(XLOOKUP(Q1519,'Classificação'!B:B,'Classificação'!C:C),"")</f>
        <v>RESULTADO NÃO OPERACIONAL (+/-)</v>
      </c>
      <c r="S1519" s="15">
        <f t="shared" si="80"/>
        <v>21</v>
      </c>
      <c r="T1519" s="15">
        <f t="shared" si="6"/>
        <v>7</v>
      </c>
      <c r="U1519" s="15">
        <f t="shared" si="7"/>
        <v>2025</v>
      </c>
      <c r="V1519" s="15">
        <f t="shared" si="8"/>
        <v>21</v>
      </c>
      <c r="W1519" s="15">
        <f t="shared" si="9"/>
        <v>7</v>
      </c>
      <c r="X1519" s="15">
        <f t="shared" si="10"/>
        <v>2025</v>
      </c>
    </row>
    <row r="1520">
      <c r="A1520" s="9">
        <v>45859.0</v>
      </c>
      <c r="B1520" s="9">
        <v>45553.0</v>
      </c>
      <c r="C1520" s="9">
        <f t="shared" si="78"/>
        <v>45859</v>
      </c>
      <c r="D1520" s="11" t="s">
        <v>313</v>
      </c>
      <c r="E1520" s="11" t="s">
        <v>25</v>
      </c>
      <c r="F1520" s="11" t="s">
        <v>107</v>
      </c>
      <c r="G1520" s="11" t="s">
        <v>27</v>
      </c>
      <c r="H1520" s="11" t="s">
        <v>314</v>
      </c>
      <c r="I1520" s="31">
        <v>287.13</v>
      </c>
      <c r="J1520" s="13"/>
      <c r="K1520" s="13">
        <f t="shared" si="89"/>
        <v>287.13</v>
      </c>
      <c r="L1520" s="11" t="s">
        <v>53</v>
      </c>
      <c r="M1520" s="17">
        <v>45636.0</v>
      </c>
      <c r="N1520" s="11" t="s">
        <v>95</v>
      </c>
      <c r="O1520" s="10" t="str">
        <f t="shared" si="79"/>
        <v>07/2025</v>
      </c>
      <c r="P1520" s="10" t="str">
        <f t="shared" si="81"/>
        <v>07/2025</v>
      </c>
      <c r="Q1520" s="15" t="str">
        <f t="array" ref="Q1520">IFERROR(XLOOKUP(N1520,'Classificação'!A:A,'Classificação'!B:B),"")</f>
        <v>DESPESAS NÃO OPERACIONAIS</v>
      </c>
      <c r="R1520" s="15" t="str">
        <f t="array" ref="R1520">IFERROR(XLOOKUP(Q1520,'Classificação'!B:B,'Classificação'!C:C),"")</f>
        <v>RESULTADO NÃO OPERACIONAL (+/-)</v>
      </c>
      <c r="S1520" s="15">
        <f t="shared" si="80"/>
        <v>21</v>
      </c>
      <c r="T1520" s="15">
        <f t="shared" si="6"/>
        <v>7</v>
      </c>
      <c r="U1520" s="15">
        <f t="shared" si="7"/>
        <v>2025</v>
      </c>
      <c r="V1520" s="15">
        <f t="shared" si="8"/>
        <v>21</v>
      </c>
      <c r="W1520" s="15">
        <f t="shared" si="9"/>
        <v>7</v>
      </c>
      <c r="X1520" s="15">
        <f t="shared" si="10"/>
        <v>2025</v>
      </c>
    </row>
    <row r="1521">
      <c r="A1521" s="9">
        <v>45859.0</v>
      </c>
      <c r="B1521" s="32">
        <v>45669.0</v>
      </c>
      <c r="C1521" s="9">
        <f t="shared" si="78"/>
        <v>45859</v>
      </c>
      <c r="D1521" s="11" t="s">
        <v>65</v>
      </c>
      <c r="E1521" s="11" t="s">
        <v>25</v>
      </c>
      <c r="F1521" s="11" t="s">
        <v>107</v>
      </c>
      <c r="G1521" s="11" t="s">
        <v>27</v>
      </c>
      <c r="H1521" s="11" t="s">
        <v>612</v>
      </c>
      <c r="I1521" s="31">
        <v>8.9</v>
      </c>
      <c r="J1521" s="13"/>
      <c r="K1521" s="13">
        <f t="shared" si="89"/>
        <v>8.9</v>
      </c>
      <c r="L1521" s="11" t="s">
        <v>29</v>
      </c>
      <c r="M1521" s="14"/>
      <c r="N1521" s="11" t="s">
        <v>105</v>
      </c>
      <c r="O1521" s="10" t="str">
        <f t="shared" si="79"/>
        <v>07/2025</v>
      </c>
      <c r="P1521" s="10" t="str">
        <f t="shared" si="81"/>
        <v>07/2025</v>
      </c>
      <c r="Q1521" s="15" t="str">
        <f t="array" ref="Q1521">IFERROR(XLOOKUP(N1521,'Classificação'!A:A,'Classificação'!B:B),"")</f>
        <v>DESPESAS ADMINISTRATIVAS</v>
      </c>
      <c r="R1521" s="15" t="str">
        <f t="array" ref="R1521">IFERROR(XLOOKUP(Q1521,'Classificação'!B:B,'Classificação'!C:C),"")</f>
        <v>DESPESAS FIXAS (-)</v>
      </c>
      <c r="S1521" s="15">
        <f t="shared" si="80"/>
        <v>21</v>
      </c>
      <c r="T1521" s="15">
        <f t="shared" si="6"/>
        <v>7</v>
      </c>
      <c r="U1521" s="15">
        <f t="shared" si="7"/>
        <v>2025</v>
      </c>
      <c r="V1521" s="15">
        <f t="shared" si="8"/>
        <v>21</v>
      </c>
      <c r="W1521" s="15">
        <f t="shared" si="9"/>
        <v>7</v>
      </c>
      <c r="X1521" s="15">
        <f t="shared" si="10"/>
        <v>2025</v>
      </c>
    </row>
    <row r="1522">
      <c r="A1522" s="9">
        <v>45859.0</v>
      </c>
      <c r="B1522" s="9">
        <v>45737.0</v>
      </c>
      <c r="C1522" s="9">
        <f t="shared" si="78"/>
        <v>45859</v>
      </c>
      <c r="D1522" s="11" t="s">
        <v>65</v>
      </c>
      <c r="E1522" s="11" t="s">
        <v>25</v>
      </c>
      <c r="F1522" s="11" t="s">
        <v>110</v>
      </c>
      <c r="G1522" s="11" t="s">
        <v>27</v>
      </c>
      <c r="H1522" s="11" t="s">
        <v>681</v>
      </c>
      <c r="I1522" s="31">
        <v>47.2</v>
      </c>
      <c r="J1522" s="13"/>
      <c r="K1522" s="13">
        <f t="shared" si="89"/>
        <v>47.2</v>
      </c>
      <c r="L1522" s="11" t="s">
        <v>53</v>
      </c>
      <c r="M1522" s="17">
        <v>45995.0</v>
      </c>
      <c r="N1522" s="11" t="s">
        <v>95</v>
      </c>
      <c r="O1522" s="10" t="str">
        <f t="shared" si="79"/>
        <v>07/2025</v>
      </c>
      <c r="P1522" s="10" t="str">
        <f t="shared" si="81"/>
        <v>07/2025</v>
      </c>
      <c r="Q1522" s="15" t="str">
        <f t="array" ref="Q1522">IFERROR(XLOOKUP(N1522,'Classificação'!A:A,'Classificação'!B:B),"")</f>
        <v>DESPESAS NÃO OPERACIONAIS</v>
      </c>
      <c r="R1522" s="15" t="str">
        <f t="array" ref="R1522">IFERROR(XLOOKUP(Q1522,'Classificação'!B:B,'Classificação'!C:C),"")</f>
        <v>RESULTADO NÃO OPERACIONAL (+/-)</v>
      </c>
      <c r="S1522" s="15">
        <f t="shared" si="80"/>
        <v>21</v>
      </c>
      <c r="T1522" s="15">
        <f t="shared" si="6"/>
        <v>7</v>
      </c>
      <c r="U1522" s="15">
        <f t="shared" si="7"/>
        <v>2025</v>
      </c>
      <c r="V1522" s="15">
        <f t="shared" si="8"/>
        <v>21</v>
      </c>
      <c r="W1522" s="15">
        <f t="shared" si="9"/>
        <v>7</v>
      </c>
      <c r="X1522" s="15">
        <f t="shared" si="10"/>
        <v>2025</v>
      </c>
    </row>
    <row r="1523">
      <c r="A1523" s="9">
        <v>45859.0</v>
      </c>
      <c r="B1523" s="9">
        <v>45737.0</v>
      </c>
      <c r="C1523" s="9">
        <f t="shared" si="78"/>
        <v>45859</v>
      </c>
      <c r="D1523" s="11" t="s">
        <v>65</v>
      </c>
      <c r="E1523" s="11" t="s">
        <v>25</v>
      </c>
      <c r="F1523" s="11" t="s">
        <v>110</v>
      </c>
      <c r="G1523" s="11" t="s">
        <v>27</v>
      </c>
      <c r="H1523" s="11" t="s">
        <v>682</v>
      </c>
      <c r="I1523" s="31">
        <v>82.27</v>
      </c>
      <c r="J1523" s="13"/>
      <c r="K1523" s="13">
        <f t="shared" si="89"/>
        <v>82.27</v>
      </c>
      <c r="L1523" s="11" t="s">
        <v>53</v>
      </c>
      <c r="M1523" s="17">
        <v>45934.0</v>
      </c>
      <c r="N1523" s="11" t="s">
        <v>95</v>
      </c>
      <c r="O1523" s="10" t="str">
        <f t="shared" si="79"/>
        <v>07/2025</v>
      </c>
      <c r="P1523" s="10" t="str">
        <f t="shared" si="81"/>
        <v>07/2025</v>
      </c>
      <c r="Q1523" s="15" t="str">
        <f t="array" ref="Q1523">IFERROR(XLOOKUP(N1523,'Classificação'!A:A,'Classificação'!B:B),"")</f>
        <v>DESPESAS NÃO OPERACIONAIS</v>
      </c>
      <c r="R1523" s="15" t="str">
        <f t="array" ref="R1523">IFERROR(XLOOKUP(Q1523,'Classificação'!B:B,'Classificação'!C:C),"")</f>
        <v>RESULTADO NÃO OPERACIONAL (+/-)</v>
      </c>
      <c r="S1523" s="15">
        <f t="shared" si="80"/>
        <v>21</v>
      </c>
      <c r="T1523" s="15">
        <f t="shared" si="6"/>
        <v>7</v>
      </c>
      <c r="U1523" s="15">
        <f t="shared" si="7"/>
        <v>2025</v>
      </c>
      <c r="V1523" s="15">
        <f t="shared" si="8"/>
        <v>21</v>
      </c>
      <c r="W1523" s="15">
        <f t="shared" si="9"/>
        <v>7</v>
      </c>
      <c r="X1523" s="15">
        <f t="shared" si="10"/>
        <v>2025</v>
      </c>
    </row>
    <row r="1524">
      <c r="A1524" s="9">
        <v>45859.0</v>
      </c>
      <c r="B1524" s="9">
        <v>45741.0</v>
      </c>
      <c r="C1524" s="9">
        <f t="shared" si="78"/>
        <v>45859</v>
      </c>
      <c r="D1524" s="11" t="s">
        <v>685</v>
      </c>
      <c r="E1524" s="11" t="s">
        <v>25</v>
      </c>
      <c r="F1524" s="11" t="s">
        <v>110</v>
      </c>
      <c r="G1524" s="11" t="s">
        <v>27</v>
      </c>
      <c r="H1524" s="11" t="s">
        <v>686</v>
      </c>
      <c r="I1524" s="31">
        <v>121.04</v>
      </c>
      <c r="J1524" s="13"/>
      <c r="K1524" s="13">
        <f t="shared" si="89"/>
        <v>121.04</v>
      </c>
      <c r="L1524" s="11" t="s">
        <v>53</v>
      </c>
      <c r="M1524" s="17">
        <v>45812.0</v>
      </c>
      <c r="N1524" s="11" t="s">
        <v>95</v>
      </c>
      <c r="O1524" s="10" t="str">
        <f t="shared" si="79"/>
        <v>07/2025</v>
      </c>
      <c r="P1524" s="10" t="str">
        <f t="shared" si="81"/>
        <v>07/2025</v>
      </c>
      <c r="Q1524" s="15" t="str">
        <f t="array" ref="Q1524">IFERROR(XLOOKUP(N1524,'Classificação'!A:A,'Classificação'!B:B),"")</f>
        <v>DESPESAS NÃO OPERACIONAIS</v>
      </c>
      <c r="R1524" s="15" t="str">
        <f t="array" ref="R1524">IFERROR(XLOOKUP(Q1524,'Classificação'!B:B,'Classificação'!C:C),"")</f>
        <v>RESULTADO NÃO OPERACIONAL (+/-)</v>
      </c>
      <c r="S1524" s="15">
        <f t="shared" si="80"/>
        <v>21</v>
      </c>
      <c r="T1524" s="15">
        <f t="shared" si="6"/>
        <v>7</v>
      </c>
      <c r="U1524" s="15">
        <f t="shared" si="7"/>
        <v>2025</v>
      </c>
      <c r="V1524" s="15">
        <f t="shared" si="8"/>
        <v>21</v>
      </c>
      <c r="W1524" s="15">
        <f t="shared" si="9"/>
        <v>7</v>
      </c>
      <c r="X1524" s="15">
        <f t="shared" si="10"/>
        <v>2025</v>
      </c>
    </row>
    <row r="1525">
      <c r="A1525" s="9">
        <v>45859.0</v>
      </c>
      <c r="B1525" s="9">
        <v>45686.0</v>
      </c>
      <c r="C1525" s="9">
        <f t="shared" si="78"/>
        <v>45859</v>
      </c>
      <c r="D1525" s="11" t="s">
        <v>65</v>
      </c>
      <c r="E1525" s="11" t="s">
        <v>25</v>
      </c>
      <c r="F1525" s="11" t="s">
        <v>107</v>
      </c>
      <c r="G1525" s="11" t="s">
        <v>27</v>
      </c>
      <c r="H1525" s="11" t="s">
        <v>566</v>
      </c>
      <c r="I1525" s="31">
        <v>47.02</v>
      </c>
      <c r="J1525" s="13"/>
      <c r="K1525" s="13">
        <f t="shared" si="89"/>
        <v>47.02</v>
      </c>
      <c r="L1525" s="11" t="s">
        <v>53</v>
      </c>
      <c r="M1525" s="17">
        <v>45813.0</v>
      </c>
      <c r="N1525" s="11" t="s">
        <v>95</v>
      </c>
      <c r="O1525" s="10" t="str">
        <f t="shared" si="79"/>
        <v>07/2025</v>
      </c>
      <c r="P1525" s="10" t="str">
        <f t="shared" si="81"/>
        <v>07/2025</v>
      </c>
      <c r="Q1525" s="15" t="str">
        <f t="array" ref="Q1525">IFERROR(XLOOKUP(N1525,'Classificação'!A:A,'Classificação'!B:B),"")</f>
        <v>DESPESAS NÃO OPERACIONAIS</v>
      </c>
      <c r="R1525" s="15" t="str">
        <f t="array" ref="R1525">IFERROR(XLOOKUP(Q1525,'Classificação'!B:B,'Classificação'!C:C),"")</f>
        <v>RESULTADO NÃO OPERACIONAL (+/-)</v>
      </c>
      <c r="S1525" s="15">
        <f t="shared" si="80"/>
        <v>21</v>
      </c>
      <c r="T1525" s="15">
        <f t="shared" si="6"/>
        <v>7</v>
      </c>
      <c r="U1525" s="15">
        <f t="shared" si="7"/>
        <v>2025</v>
      </c>
      <c r="V1525" s="15">
        <f t="shared" si="8"/>
        <v>21</v>
      </c>
      <c r="W1525" s="15">
        <f t="shared" si="9"/>
        <v>7</v>
      </c>
      <c r="X1525" s="15">
        <f t="shared" si="10"/>
        <v>2025</v>
      </c>
    </row>
    <row r="1526">
      <c r="A1526" s="9">
        <v>45859.0</v>
      </c>
      <c r="B1526" s="10"/>
      <c r="C1526" s="9">
        <f t="shared" si="78"/>
        <v>45859</v>
      </c>
      <c r="D1526" s="11" t="s">
        <v>631</v>
      </c>
      <c r="E1526" s="11" t="s">
        <v>25</v>
      </c>
      <c r="F1526" s="11" t="s">
        <v>107</v>
      </c>
      <c r="G1526" s="11" t="s">
        <v>27</v>
      </c>
      <c r="H1526" s="11" t="s">
        <v>632</v>
      </c>
      <c r="I1526" s="31">
        <v>110.87</v>
      </c>
      <c r="J1526" s="13"/>
      <c r="K1526" s="13">
        <f t="shared" si="89"/>
        <v>110.87</v>
      </c>
      <c r="L1526" s="11" t="s">
        <v>53</v>
      </c>
      <c r="M1526" s="17">
        <v>45843.0</v>
      </c>
      <c r="N1526" s="11" t="s">
        <v>178</v>
      </c>
      <c r="O1526" s="10" t="str">
        <f t="shared" si="79"/>
        <v>07/2025</v>
      </c>
      <c r="P1526" s="10" t="str">
        <f t="shared" si="81"/>
        <v>07/2025</v>
      </c>
      <c r="Q1526" s="15" t="str">
        <f t="array" ref="Q1526">IFERROR(XLOOKUP(N1526,'Classificação'!A:A,'Classificação'!B:B),"")</f>
        <v>DESPESAS COM OCUPAÇÃO</v>
      </c>
      <c r="R1526" s="15" t="str">
        <f t="array" ref="R1526">IFERROR(XLOOKUP(Q1526,'Classificação'!B:B,'Classificação'!C:C),"")</f>
        <v>DESPESAS FIXAS (-)</v>
      </c>
      <c r="S1526" s="15">
        <f t="shared" si="80"/>
        <v>21</v>
      </c>
      <c r="T1526" s="15">
        <f t="shared" si="6"/>
        <v>7</v>
      </c>
      <c r="U1526" s="15">
        <f t="shared" si="7"/>
        <v>2025</v>
      </c>
      <c r="V1526" s="15">
        <f t="shared" si="8"/>
        <v>21</v>
      </c>
      <c r="W1526" s="15">
        <f t="shared" si="9"/>
        <v>7</v>
      </c>
      <c r="X1526" s="15">
        <f t="shared" si="10"/>
        <v>2025</v>
      </c>
    </row>
    <row r="1527">
      <c r="A1527" s="9">
        <v>45859.0</v>
      </c>
      <c r="B1527" s="19">
        <v>45747.0</v>
      </c>
      <c r="C1527" s="9">
        <f t="shared" si="78"/>
        <v>45859</v>
      </c>
      <c r="D1527" s="11" t="s">
        <v>691</v>
      </c>
      <c r="E1527" s="11" t="s">
        <v>25</v>
      </c>
      <c r="F1527" s="11" t="s">
        <v>107</v>
      </c>
      <c r="G1527" s="11" t="s">
        <v>27</v>
      </c>
      <c r="H1527" s="11" t="s">
        <v>692</v>
      </c>
      <c r="I1527" s="31">
        <v>98.93</v>
      </c>
      <c r="J1527" s="13"/>
      <c r="K1527" s="13">
        <f t="shared" si="89"/>
        <v>98.93</v>
      </c>
      <c r="L1527" s="11" t="s">
        <v>53</v>
      </c>
      <c r="M1527" s="17">
        <v>45995.0</v>
      </c>
      <c r="N1527" s="11" t="s">
        <v>693</v>
      </c>
      <c r="O1527" s="10" t="str">
        <f t="shared" si="79"/>
        <v>07/2025</v>
      </c>
      <c r="P1527" s="10" t="str">
        <f t="shared" si="81"/>
        <v>07/2025</v>
      </c>
      <c r="Q1527" s="15" t="str">
        <f t="array" ref="Q1527">IFERROR(XLOOKUP(N1527,'Classificação'!A:A,'Classificação'!B:B),"")</f>
        <v>DESPESAS COM OCUPAÇÃO</v>
      </c>
      <c r="R1527" s="15" t="str">
        <f t="array" ref="R1527">IFERROR(XLOOKUP(Q1527,'Classificação'!B:B,'Classificação'!C:C),"")</f>
        <v>DESPESAS FIXAS (-)</v>
      </c>
      <c r="S1527" s="15">
        <f t="shared" si="80"/>
        <v>21</v>
      </c>
      <c r="T1527" s="15">
        <f t="shared" si="6"/>
        <v>7</v>
      </c>
      <c r="U1527" s="15">
        <f t="shared" si="7"/>
        <v>2025</v>
      </c>
      <c r="V1527" s="15">
        <f t="shared" si="8"/>
        <v>21</v>
      </c>
      <c r="W1527" s="15">
        <f t="shared" si="9"/>
        <v>7</v>
      </c>
      <c r="X1527" s="15">
        <f t="shared" si="10"/>
        <v>2025</v>
      </c>
    </row>
    <row r="1528">
      <c r="A1528" s="9">
        <v>45859.0</v>
      </c>
      <c r="B1528" s="9">
        <v>45754.0</v>
      </c>
      <c r="C1528" s="9">
        <f t="shared" si="78"/>
        <v>45859</v>
      </c>
      <c r="D1528" s="11" t="s">
        <v>699</v>
      </c>
      <c r="E1528" s="11" t="s">
        <v>25</v>
      </c>
      <c r="F1528" s="11" t="s">
        <v>107</v>
      </c>
      <c r="G1528" s="11" t="s">
        <v>27</v>
      </c>
      <c r="H1528" s="11" t="s">
        <v>700</v>
      </c>
      <c r="I1528" s="31">
        <v>57.0</v>
      </c>
      <c r="J1528" s="13"/>
      <c r="K1528" s="13">
        <f t="shared" si="89"/>
        <v>57</v>
      </c>
      <c r="L1528" s="11" t="s">
        <v>53</v>
      </c>
      <c r="M1528" s="17">
        <v>45933.0</v>
      </c>
      <c r="N1528" s="11" t="s">
        <v>95</v>
      </c>
      <c r="O1528" s="10" t="str">
        <f t="shared" si="79"/>
        <v>07/2025</v>
      </c>
      <c r="P1528" s="10" t="str">
        <f t="shared" si="81"/>
        <v>07/2025</v>
      </c>
      <c r="Q1528" s="15" t="str">
        <f t="array" ref="Q1528">IFERROR(XLOOKUP(N1528,'Classificação'!A:A,'Classificação'!B:B),"")</f>
        <v>DESPESAS NÃO OPERACIONAIS</v>
      </c>
      <c r="R1528" s="15" t="str">
        <f t="array" ref="R1528">IFERROR(XLOOKUP(Q1528,'Classificação'!B:B,'Classificação'!C:C),"")</f>
        <v>RESULTADO NÃO OPERACIONAL (+/-)</v>
      </c>
      <c r="S1528" s="15">
        <f t="shared" si="80"/>
        <v>21</v>
      </c>
      <c r="T1528" s="15">
        <f t="shared" si="6"/>
        <v>7</v>
      </c>
      <c r="U1528" s="15">
        <f t="shared" si="7"/>
        <v>2025</v>
      </c>
      <c r="V1528" s="15">
        <f t="shared" si="8"/>
        <v>21</v>
      </c>
      <c r="W1528" s="15">
        <f t="shared" si="9"/>
        <v>7</v>
      </c>
      <c r="X1528" s="15">
        <f t="shared" si="10"/>
        <v>2025</v>
      </c>
    </row>
    <row r="1529">
      <c r="A1529" s="9">
        <v>45859.0</v>
      </c>
      <c r="B1529" s="9">
        <v>45757.0</v>
      </c>
      <c r="C1529" s="9">
        <f t="shared" si="78"/>
        <v>45859</v>
      </c>
      <c r="D1529" s="11" t="s">
        <v>65</v>
      </c>
      <c r="E1529" s="11" t="s">
        <v>25</v>
      </c>
      <c r="F1529" s="11" t="s">
        <v>107</v>
      </c>
      <c r="G1529" s="11" t="s">
        <v>27</v>
      </c>
      <c r="H1529" s="11" t="s">
        <v>681</v>
      </c>
      <c r="I1529" s="31">
        <v>47.74</v>
      </c>
      <c r="J1529" s="13"/>
      <c r="K1529" s="13">
        <f t="shared" si="89"/>
        <v>47.74</v>
      </c>
      <c r="L1529" s="11" t="s">
        <v>53</v>
      </c>
      <c r="M1529" s="17">
        <v>45994.0</v>
      </c>
      <c r="N1529" s="11" t="s">
        <v>95</v>
      </c>
      <c r="O1529" s="10" t="str">
        <f t="shared" si="79"/>
        <v>07/2025</v>
      </c>
      <c r="P1529" s="10" t="str">
        <f t="shared" si="81"/>
        <v>07/2025</v>
      </c>
      <c r="Q1529" s="15" t="str">
        <f t="array" ref="Q1529">IFERROR(XLOOKUP(N1529,'Classificação'!A:A,'Classificação'!B:B),"")</f>
        <v>DESPESAS NÃO OPERACIONAIS</v>
      </c>
      <c r="R1529" s="15" t="str">
        <f t="array" ref="R1529">IFERROR(XLOOKUP(Q1529,'Classificação'!B:B,'Classificação'!C:C),"")</f>
        <v>RESULTADO NÃO OPERACIONAL (+/-)</v>
      </c>
      <c r="S1529" s="15">
        <f t="shared" si="80"/>
        <v>21</v>
      </c>
      <c r="T1529" s="15">
        <f t="shared" si="6"/>
        <v>7</v>
      </c>
      <c r="U1529" s="15">
        <f t="shared" si="7"/>
        <v>2025</v>
      </c>
      <c r="V1529" s="15">
        <f t="shared" si="8"/>
        <v>21</v>
      </c>
      <c r="W1529" s="15">
        <f t="shared" si="9"/>
        <v>7</v>
      </c>
      <c r="X1529" s="15">
        <f t="shared" si="10"/>
        <v>2025</v>
      </c>
    </row>
    <row r="1530">
      <c r="A1530" s="9">
        <v>45859.0</v>
      </c>
      <c r="B1530" s="9">
        <v>45776.0</v>
      </c>
      <c r="C1530" s="9">
        <f t="shared" si="78"/>
        <v>45859</v>
      </c>
      <c r="D1530" s="11" t="s">
        <v>65</v>
      </c>
      <c r="E1530" s="11" t="s">
        <v>25</v>
      </c>
      <c r="F1530" s="11" t="s">
        <v>110</v>
      </c>
      <c r="G1530" s="11" t="s">
        <v>27</v>
      </c>
      <c r="H1530" s="11" t="s">
        <v>752</v>
      </c>
      <c r="I1530" s="31">
        <v>98.4</v>
      </c>
      <c r="J1530" s="13"/>
      <c r="K1530" s="13">
        <f t="shared" si="89"/>
        <v>98.4</v>
      </c>
      <c r="L1530" s="11" t="s">
        <v>53</v>
      </c>
      <c r="M1530" s="17">
        <v>45933.0</v>
      </c>
      <c r="N1530" s="11" t="s">
        <v>58</v>
      </c>
      <c r="O1530" s="10" t="str">
        <f t="shared" si="79"/>
        <v>07/2025</v>
      </c>
      <c r="P1530" s="10" t="str">
        <f t="shared" si="81"/>
        <v>07/2025</v>
      </c>
      <c r="Q1530" s="15" t="str">
        <f t="array" ref="Q1530">IFERROR(XLOOKUP(N1530,'Classificação'!A:A,'Classificação'!B:B),"")</f>
        <v>DESPESAS ADMINISTRATIVAS</v>
      </c>
      <c r="R1530" s="15" t="str">
        <f t="array" ref="R1530">IFERROR(XLOOKUP(Q1530,'Classificação'!B:B,'Classificação'!C:C),"")</f>
        <v>DESPESAS FIXAS (-)</v>
      </c>
      <c r="S1530" s="15">
        <f t="shared" si="80"/>
        <v>21</v>
      </c>
      <c r="T1530" s="15">
        <f t="shared" si="6"/>
        <v>7</v>
      </c>
      <c r="U1530" s="15">
        <f t="shared" si="7"/>
        <v>2025</v>
      </c>
      <c r="V1530" s="15">
        <f t="shared" si="8"/>
        <v>21</v>
      </c>
      <c r="W1530" s="15">
        <f t="shared" si="9"/>
        <v>7</v>
      </c>
      <c r="X1530" s="15">
        <f t="shared" si="10"/>
        <v>2025</v>
      </c>
    </row>
    <row r="1531">
      <c r="A1531" s="9">
        <v>45859.0</v>
      </c>
      <c r="B1531" s="9">
        <v>45757.0</v>
      </c>
      <c r="C1531" s="9">
        <f t="shared" si="78"/>
        <v>45859</v>
      </c>
      <c r="D1531" s="11" t="s">
        <v>65</v>
      </c>
      <c r="E1531" s="11" t="s">
        <v>25</v>
      </c>
      <c r="F1531" s="11" t="s">
        <v>107</v>
      </c>
      <c r="G1531" s="11" t="s">
        <v>27</v>
      </c>
      <c r="H1531" s="11" t="s">
        <v>739</v>
      </c>
      <c r="I1531" s="31">
        <v>48.17</v>
      </c>
      <c r="J1531" s="13"/>
      <c r="K1531" s="13">
        <f t="shared" si="89"/>
        <v>48.17</v>
      </c>
      <c r="L1531" s="11" t="s">
        <v>53</v>
      </c>
      <c r="M1531" s="17">
        <v>45964.0</v>
      </c>
      <c r="N1531" s="11" t="s">
        <v>95</v>
      </c>
      <c r="O1531" s="10" t="str">
        <f t="shared" si="79"/>
        <v>07/2025</v>
      </c>
      <c r="P1531" s="10" t="str">
        <f t="shared" si="81"/>
        <v>07/2025</v>
      </c>
      <c r="Q1531" s="15" t="str">
        <f t="array" ref="Q1531">IFERROR(XLOOKUP(N1531,'Classificação'!A:A,'Classificação'!B:B),"")</f>
        <v>DESPESAS NÃO OPERACIONAIS</v>
      </c>
      <c r="R1531" s="15" t="str">
        <f t="array" ref="R1531">IFERROR(XLOOKUP(Q1531,'Classificação'!B:B,'Classificação'!C:C),"")</f>
        <v>RESULTADO NÃO OPERACIONAL (+/-)</v>
      </c>
      <c r="S1531" s="15">
        <f t="shared" si="80"/>
        <v>21</v>
      </c>
      <c r="T1531" s="15">
        <f t="shared" si="6"/>
        <v>7</v>
      </c>
      <c r="U1531" s="15">
        <f t="shared" si="7"/>
        <v>2025</v>
      </c>
      <c r="V1531" s="15">
        <f t="shared" si="8"/>
        <v>21</v>
      </c>
      <c r="W1531" s="15">
        <f t="shared" si="9"/>
        <v>7</v>
      </c>
      <c r="X1531" s="15">
        <f t="shared" si="10"/>
        <v>2025</v>
      </c>
    </row>
    <row r="1532">
      <c r="A1532" s="9">
        <v>45859.0</v>
      </c>
      <c r="B1532" s="9">
        <v>45758.0</v>
      </c>
      <c r="C1532" s="9">
        <f t="shared" si="78"/>
        <v>45859</v>
      </c>
      <c r="D1532" s="11" t="s">
        <v>65</v>
      </c>
      <c r="E1532" s="11" t="s">
        <v>25</v>
      </c>
      <c r="F1532" s="11" t="s">
        <v>107</v>
      </c>
      <c r="G1532" s="11" t="s">
        <v>27</v>
      </c>
      <c r="H1532" s="11" t="s">
        <v>740</v>
      </c>
      <c r="I1532" s="31">
        <v>384.15</v>
      </c>
      <c r="J1532" s="13"/>
      <c r="K1532" s="13">
        <f t="shared" si="89"/>
        <v>384.15</v>
      </c>
      <c r="L1532" s="11" t="s">
        <v>53</v>
      </c>
      <c r="M1532" s="17">
        <v>45719.0</v>
      </c>
      <c r="N1532" s="11" t="s">
        <v>143</v>
      </c>
      <c r="O1532" s="10" t="str">
        <f t="shared" si="79"/>
        <v>07/2025</v>
      </c>
      <c r="P1532" s="10" t="str">
        <f t="shared" si="81"/>
        <v>07/2025</v>
      </c>
      <c r="Q1532" s="15" t="str">
        <f t="array" ref="Q1532">IFERROR(XLOOKUP(N1532,'Classificação'!A:A,'Classificação'!B:B),"")</f>
        <v>EMBALAGENS/FITAS/GERAL</v>
      </c>
      <c r="R1532" s="15" t="str">
        <f t="array" ref="R1532">IFERROR(XLOOKUP(Q1532,'Classificação'!B:B,'Classificação'!C:C),"")</f>
        <v>CUSTOS VARIÁVEIS</v>
      </c>
      <c r="S1532" s="15">
        <f t="shared" si="80"/>
        <v>21</v>
      </c>
      <c r="T1532" s="15">
        <f t="shared" si="6"/>
        <v>7</v>
      </c>
      <c r="U1532" s="15">
        <f t="shared" si="7"/>
        <v>2025</v>
      </c>
      <c r="V1532" s="15">
        <f t="shared" si="8"/>
        <v>21</v>
      </c>
      <c r="W1532" s="15">
        <f t="shared" si="9"/>
        <v>7</v>
      </c>
      <c r="X1532" s="15">
        <f t="shared" si="10"/>
        <v>2025</v>
      </c>
    </row>
    <row r="1533">
      <c r="A1533" s="9">
        <v>45859.0</v>
      </c>
      <c r="B1533" s="9">
        <v>45805.0</v>
      </c>
      <c r="C1533" s="9">
        <f t="shared" si="78"/>
        <v>45859</v>
      </c>
      <c r="D1533" s="11" t="s">
        <v>80</v>
      </c>
      <c r="E1533" s="11" t="s">
        <v>25</v>
      </c>
      <c r="F1533" s="11" t="s">
        <v>107</v>
      </c>
      <c r="G1533" s="11" t="s">
        <v>27</v>
      </c>
      <c r="H1533" s="11" t="s">
        <v>815</v>
      </c>
      <c r="I1533" s="31">
        <v>162.5</v>
      </c>
      <c r="J1533" s="13"/>
      <c r="K1533" s="13">
        <f t="shared" si="89"/>
        <v>162.5</v>
      </c>
      <c r="L1533" s="11" t="s">
        <v>53</v>
      </c>
      <c r="M1533" s="17">
        <v>45749.0</v>
      </c>
      <c r="N1533" s="11" t="s">
        <v>75</v>
      </c>
      <c r="O1533" s="10" t="str">
        <f t="shared" si="79"/>
        <v>07/2025</v>
      </c>
      <c r="P1533" s="10" t="str">
        <f t="shared" si="81"/>
        <v>07/2025</v>
      </c>
      <c r="Q1533" s="15" t="str">
        <f t="array" ref="Q1533">IFERROR(XLOOKUP(N1533,'Classificação'!A:A,'Classificação'!B:B),"")</f>
        <v>DESPESAS COM PESSOAL</v>
      </c>
      <c r="R1533" s="15" t="str">
        <f t="array" ref="R1533">IFERROR(XLOOKUP(Q1533,'Classificação'!B:B,'Classificação'!C:C),"")</f>
        <v>DESPESAS FIXAS (-)</v>
      </c>
      <c r="S1533" s="15">
        <f t="shared" si="80"/>
        <v>21</v>
      </c>
      <c r="T1533" s="15">
        <f t="shared" si="6"/>
        <v>7</v>
      </c>
      <c r="U1533" s="15">
        <f t="shared" si="7"/>
        <v>2025</v>
      </c>
      <c r="V1533" s="15">
        <f t="shared" si="8"/>
        <v>21</v>
      </c>
      <c r="W1533" s="15">
        <f t="shared" si="9"/>
        <v>7</v>
      </c>
      <c r="X1533" s="15">
        <f t="shared" si="10"/>
        <v>2025</v>
      </c>
    </row>
    <row r="1534">
      <c r="A1534" s="9">
        <v>45859.0</v>
      </c>
      <c r="B1534" s="9">
        <v>45817.0</v>
      </c>
      <c r="C1534" s="9">
        <f t="shared" si="78"/>
        <v>45859</v>
      </c>
      <c r="D1534" s="11" t="s">
        <v>114</v>
      </c>
      <c r="E1534" s="11" t="s">
        <v>25</v>
      </c>
      <c r="F1534" s="11" t="s">
        <v>107</v>
      </c>
      <c r="G1534" s="11" t="s">
        <v>27</v>
      </c>
      <c r="H1534" s="11" t="s">
        <v>866</v>
      </c>
      <c r="I1534" s="31">
        <v>338.66</v>
      </c>
      <c r="J1534" s="13"/>
      <c r="K1534" s="13">
        <f t="shared" si="89"/>
        <v>338.66</v>
      </c>
      <c r="L1534" s="11" t="s">
        <v>34</v>
      </c>
      <c r="M1534" s="14"/>
      <c r="N1534" s="11" t="s">
        <v>143</v>
      </c>
      <c r="O1534" s="10" t="str">
        <f t="shared" si="79"/>
        <v>07/2025</v>
      </c>
      <c r="P1534" s="10" t="str">
        <f t="shared" si="81"/>
        <v>07/2025</v>
      </c>
      <c r="Q1534" s="15" t="str">
        <f t="array" ref="Q1534">IFERROR(XLOOKUP(N1534,'Classificação'!A:A,'Classificação'!B:B),"")</f>
        <v>EMBALAGENS/FITAS/GERAL</v>
      </c>
      <c r="R1534" s="15" t="str">
        <f t="array" ref="R1534">IFERROR(XLOOKUP(Q1534,'Classificação'!B:B,'Classificação'!C:C),"")</f>
        <v>CUSTOS VARIÁVEIS</v>
      </c>
      <c r="S1534" s="15">
        <f t="shared" si="80"/>
        <v>21</v>
      </c>
      <c r="T1534" s="15">
        <f t="shared" si="6"/>
        <v>7</v>
      </c>
      <c r="U1534" s="15">
        <f t="shared" si="7"/>
        <v>2025</v>
      </c>
      <c r="V1534" s="15">
        <f t="shared" si="8"/>
        <v>21</v>
      </c>
      <c r="W1534" s="15">
        <f t="shared" si="9"/>
        <v>7</v>
      </c>
      <c r="X1534" s="15">
        <f t="shared" si="10"/>
        <v>2025</v>
      </c>
    </row>
    <row r="1535">
      <c r="A1535" s="9">
        <v>45859.0</v>
      </c>
      <c r="B1535" s="9">
        <v>45817.0</v>
      </c>
      <c r="C1535" s="9">
        <f t="shared" si="78"/>
        <v>45859</v>
      </c>
      <c r="D1535" s="11" t="s">
        <v>114</v>
      </c>
      <c r="E1535" s="11" t="s">
        <v>25</v>
      </c>
      <c r="F1535" s="11" t="s">
        <v>107</v>
      </c>
      <c r="G1535" s="11" t="s">
        <v>27</v>
      </c>
      <c r="H1535" s="11" t="s">
        <v>867</v>
      </c>
      <c r="I1535" s="31">
        <v>199.39</v>
      </c>
      <c r="J1535" s="13"/>
      <c r="K1535" s="13">
        <f t="shared" si="89"/>
        <v>199.39</v>
      </c>
      <c r="L1535" s="11" t="s">
        <v>34</v>
      </c>
      <c r="M1535" s="14"/>
      <c r="N1535" s="11" t="s">
        <v>136</v>
      </c>
      <c r="O1535" s="10" t="str">
        <f t="shared" si="79"/>
        <v>07/2025</v>
      </c>
      <c r="P1535" s="10" t="str">
        <f t="shared" si="81"/>
        <v>07/2025</v>
      </c>
      <c r="Q1535" s="15" t="str">
        <f t="array" ref="Q1535">IFERROR(XLOOKUP(N1535,'Classificação'!A:A,'Classificação'!B:B),"")</f>
        <v>DESPESAS COM OCUPAÇÃO</v>
      </c>
      <c r="R1535" s="15" t="str">
        <f t="array" ref="R1535">IFERROR(XLOOKUP(Q1535,'Classificação'!B:B,'Classificação'!C:C),"")</f>
        <v>DESPESAS FIXAS (-)</v>
      </c>
      <c r="S1535" s="15">
        <f t="shared" si="80"/>
        <v>21</v>
      </c>
      <c r="T1535" s="15">
        <f t="shared" si="6"/>
        <v>7</v>
      </c>
      <c r="U1535" s="15">
        <f t="shared" si="7"/>
        <v>2025</v>
      </c>
      <c r="V1535" s="15">
        <f t="shared" si="8"/>
        <v>21</v>
      </c>
      <c r="W1535" s="15">
        <f t="shared" si="9"/>
        <v>7</v>
      </c>
      <c r="X1535" s="15">
        <f t="shared" si="10"/>
        <v>2025</v>
      </c>
    </row>
    <row r="1536">
      <c r="A1536" s="9">
        <v>45859.0</v>
      </c>
      <c r="B1536" s="9">
        <v>45817.0</v>
      </c>
      <c r="C1536" s="9">
        <f t="shared" si="78"/>
        <v>45859</v>
      </c>
      <c r="D1536" s="11" t="s">
        <v>167</v>
      </c>
      <c r="E1536" s="11" t="s">
        <v>25</v>
      </c>
      <c r="F1536" s="11" t="s">
        <v>107</v>
      </c>
      <c r="G1536" s="11" t="s">
        <v>27</v>
      </c>
      <c r="H1536" s="11" t="s">
        <v>519</v>
      </c>
      <c r="I1536" s="31">
        <v>28.0</v>
      </c>
      <c r="J1536" s="13"/>
      <c r="K1536" s="13">
        <f t="shared" si="89"/>
        <v>28</v>
      </c>
      <c r="L1536" s="11" t="s">
        <v>34</v>
      </c>
      <c r="M1536" s="14"/>
      <c r="N1536" s="11" t="s">
        <v>78</v>
      </c>
      <c r="O1536" s="10" t="str">
        <f t="shared" si="79"/>
        <v>07/2025</v>
      </c>
      <c r="P1536" s="10" t="str">
        <f t="shared" si="81"/>
        <v>07/2025</v>
      </c>
      <c r="Q1536" s="15" t="str">
        <f t="array" ref="Q1536">IFERROR(XLOOKUP(N1536,'Classificação'!A:A,'Classificação'!B:B),"")</f>
        <v>DESPESAS COM PESSOAL</v>
      </c>
      <c r="R1536" s="15" t="str">
        <f t="array" ref="R1536">IFERROR(XLOOKUP(Q1536,'Classificação'!B:B,'Classificação'!C:C),"")</f>
        <v>DESPESAS FIXAS (-)</v>
      </c>
      <c r="S1536" s="15">
        <f t="shared" si="80"/>
        <v>21</v>
      </c>
      <c r="T1536" s="15">
        <f t="shared" si="6"/>
        <v>7</v>
      </c>
      <c r="U1536" s="15">
        <f t="shared" si="7"/>
        <v>2025</v>
      </c>
      <c r="V1536" s="15">
        <f t="shared" si="8"/>
        <v>21</v>
      </c>
      <c r="W1536" s="15">
        <f t="shared" si="9"/>
        <v>7</v>
      </c>
      <c r="X1536" s="15">
        <f t="shared" si="10"/>
        <v>2025</v>
      </c>
    </row>
    <row r="1537">
      <c r="A1537" s="9">
        <v>45859.0</v>
      </c>
      <c r="B1537" s="9">
        <v>45818.0</v>
      </c>
      <c r="C1537" s="9">
        <f t="shared" si="78"/>
        <v>45859</v>
      </c>
      <c r="D1537" s="11" t="s">
        <v>508</v>
      </c>
      <c r="E1537" s="11" t="s">
        <v>25</v>
      </c>
      <c r="F1537" s="11" t="s">
        <v>107</v>
      </c>
      <c r="G1537" s="11" t="s">
        <v>27</v>
      </c>
      <c r="H1537" s="11" t="s">
        <v>868</v>
      </c>
      <c r="I1537" s="31">
        <v>22.68</v>
      </c>
      <c r="J1537" s="13"/>
      <c r="K1537" s="13">
        <f t="shared" si="89"/>
        <v>22.68</v>
      </c>
      <c r="L1537" s="11" t="s">
        <v>34</v>
      </c>
      <c r="M1537" s="14"/>
      <c r="N1537" s="11" t="s">
        <v>145</v>
      </c>
      <c r="O1537" s="10" t="str">
        <f t="shared" si="79"/>
        <v>07/2025</v>
      </c>
      <c r="P1537" s="10" t="str">
        <f t="shared" si="81"/>
        <v>07/2025</v>
      </c>
      <c r="Q1537" s="15" t="str">
        <f t="array" ref="Q1537">IFERROR(XLOOKUP(N1537,'Classificação'!A:A,'Classificação'!B:B),"")</f>
        <v>DESPESAS ADMINISTRATIVAS</v>
      </c>
      <c r="R1537" s="15" t="str">
        <f t="array" ref="R1537">IFERROR(XLOOKUP(Q1537,'Classificação'!B:B,'Classificação'!C:C),"")</f>
        <v>DESPESAS FIXAS (-)</v>
      </c>
      <c r="S1537" s="15">
        <f t="shared" si="80"/>
        <v>21</v>
      </c>
      <c r="T1537" s="15">
        <f t="shared" si="6"/>
        <v>7</v>
      </c>
      <c r="U1537" s="15">
        <f t="shared" si="7"/>
        <v>2025</v>
      </c>
      <c r="V1537" s="15">
        <f t="shared" si="8"/>
        <v>21</v>
      </c>
      <c r="W1537" s="15">
        <f t="shared" si="9"/>
        <v>7</v>
      </c>
      <c r="X1537" s="15">
        <f t="shared" si="10"/>
        <v>2025</v>
      </c>
    </row>
    <row r="1538">
      <c r="A1538" s="9">
        <v>45859.0</v>
      </c>
      <c r="B1538" s="9">
        <v>45818.0</v>
      </c>
      <c r="C1538" s="9">
        <f t="shared" si="78"/>
        <v>45859</v>
      </c>
      <c r="D1538" s="11" t="s">
        <v>65</v>
      </c>
      <c r="E1538" s="11" t="s">
        <v>25</v>
      </c>
      <c r="F1538" s="11" t="s">
        <v>107</v>
      </c>
      <c r="G1538" s="11" t="s">
        <v>27</v>
      </c>
      <c r="H1538" s="11" t="s">
        <v>869</v>
      </c>
      <c r="I1538" s="31">
        <v>31.25</v>
      </c>
      <c r="J1538" s="13"/>
      <c r="K1538" s="13">
        <f t="shared" si="89"/>
        <v>31.25</v>
      </c>
      <c r="L1538" s="11" t="s">
        <v>34</v>
      </c>
      <c r="M1538" s="14"/>
      <c r="N1538" s="11" t="s">
        <v>259</v>
      </c>
      <c r="O1538" s="10" t="str">
        <f t="shared" si="79"/>
        <v>07/2025</v>
      </c>
      <c r="P1538" s="10" t="str">
        <f t="shared" si="81"/>
        <v>07/2025</v>
      </c>
      <c r="Q1538" s="15" t="str">
        <f t="array" ref="Q1538">IFERROR(XLOOKUP(N1538,'Classificação'!A:A,'Classificação'!B:B),"")</f>
        <v>DESPESAS ADMINISTRATIVAS</v>
      </c>
      <c r="R1538" s="15" t="str">
        <f t="array" ref="R1538">IFERROR(XLOOKUP(Q1538,'Classificação'!B:B,'Classificação'!C:C),"")</f>
        <v>DESPESAS FIXAS (-)</v>
      </c>
      <c r="S1538" s="15">
        <f t="shared" si="80"/>
        <v>21</v>
      </c>
      <c r="T1538" s="15">
        <f t="shared" si="6"/>
        <v>7</v>
      </c>
      <c r="U1538" s="15">
        <f t="shared" si="7"/>
        <v>2025</v>
      </c>
      <c r="V1538" s="15">
        <f t="shared" si="8"/>
        <v>21</v>
      </c>
      <c r="W1538" s="15">
        <f t="shared" si="9"/>
        <v>7</v>
      </c>
      <c r="X1538" s="15">
        <f t="shared" si="10"/>
        <v>2025</v>
      </c>
    </row>
    <row r="1539">
      <c r="A1539" s="9">
        <v>45859.0</v>
      </c>
      <c r="B1539" s="9">
        <v>45818.0</v>
      </c>
      <c r="C1539" s="9">
        <f t="shared" si="78"/>
        <v>45859</v>
      </c>
      <c r="D1539" s="11" t="s">
        <v>65</v>
      </c>
      <c r="E1539" s="11" t="s">
        <v>25</v>
      </c>
      <c r="F1539" s="11" t="s">
        <v>107</v>
      </c>
      <c r="G1539" s="11" t="s">
        <v>27</v>
      </c>
      <c r="H1539" s="11" t="s">
        <v>677</v>
      </c>
      <c r="I1539" s="31">
        <v>66.4</v>
      </c>
      <c r="J1539" s="13"/>
      <c r="K1539" s="13">
        <f t="shared" si="89"/>
        <v>66.4</v>
      </c>
      <c r="L1539" s="11" t="s">
        <v>34</v>
      </c>
      <c r="M1539" s="14"/>
      <c r="N1539" s="11" t="s">
        <v>143</v>
      </c>
      <c r="O1539" s="10" t="str">
        <f t="shared" si="79"/>
        <v>07/2025</v>
      </c>
      <c r="P1539" s="10" t="str">
        <f t="shared" si="81"/>
        <v>07/2025</v>
      </c>
      <c r="Q1539" s="15" t="str">
        <f t="array" ref="Q1539">IFERROR(XLOOKUP(N1539,'Classificação'!A:A,'Classificação'!B:B),"")</f>
        <v>EMBALAGENS/FITAS/GERAL</v>
      </c>
      <c r="R1539" s="15" t="str">
        <f t="array" ref="R1539">IFERROR(XLOOKUP(Q1539,'Classificação'!B:B,'Classificação'!C:C),"")</f>
        <v>CUSTOS VARIÁVEIS</v>
      </c>
      <c r="S1539" s="15">
        <f t="shared" si="80"/>
        <v>21</v>
      </c>
      <c r="T1539" s="15">
        <f t="shared" si="6"/>
        <v>7</v>
      </c>
      <c r="U1539" s="15">
        <f t="shared" si="7"/>
        <v>2025</v>
      </c>
      <c r="V1539" s="15">
        <f t="shared" si="8"/>
        <v>21</v>
      </c>
      <c r="W1539" s="15">
        <f t="shared" si="9"/>
        <v>7</v>
      </c>
      <c r="X1539" s="15">
        <f t="shared" si="10"/>
        <v>2025</v>
      </c>
    </row>
    <row r="1540">
      <c r="A1540" s="9">
        <v>45859.0</v>
      </c>
      <c r="B1540" s="9">
        <v>45818.0</v>
      </c>
      <c r="C1540" s="9">
        <f t="shared" si="78"/>
        <v>45859</v>
      </c>
      <c r="D1540" s="11" t="s">
        <v>65</v>
      </c>
      <c r="E1540" s="11" t="s">
        <v>25</v>
      </c>
      <c r="F1540" s="11" t="s">
        <v>107</v>
      </c>
      <c r="G1540" s="11" t="s">
        <v>27</v>
      </c>
      <c r="H1540" s="11" t="s">
        <v>677</v>
      </c>
      <c r="I1540" s="31">
        <v>278.41</v>
      </c>
      <c r="J1540" s="13"/>
      <c r="K1540" s="13">
        <f t="shared" si="89"/>
        <v>278.41</v>
      </c>
      <c r="L1540" s="11" t="s">
        <v>34</v>
      </c>
      <c r="M1540" s="14"/>
      <c r="N1540" s="11" t="s">
        <v>143</v>
      </c>
      <c r="O1540" s="10" t="str">
        <f t="shared" si="79"/>
        <v>07/2025</v>
      </c>
      <c r="P1540" s="10" t="str">
        <f t="shared" si="81"/>
        <v>07/2025</v>
      </c>
      <c r="Q1540" s="15" t="str">
        <f t="array" ref="Q1540">IFERROR(XLOOKUP(N1540,'Classificação'!A:A,'Classificação'!B:B),"")</f>
        <v>EMBALAGENS/FITAS/GERAL</v>
      </c>
      <c r="R1540" s="15" t="str">
        <f t="array" ref="R1540">IFERROR(XLOOKUP(Q1540,'Classificação'!B:B,'Classificação'!C:C),"")</f>
        <v>CUSTOS VARIÁVEIS</v>
      </c>
      <c r="S1540" s="15">
        <f t="shared" si="80"/>
        <v>21</v>
      </c>
      <c r="T1540" s="15">
        <f t="shared" si="6"/>
        <v>7</v>
      </c>
      <c r="U1540" s="15">
        <f t="shared" si="7"/>
        <v>2025</v>
      </c>
      <c r="V1540" s="15">
        <f t="shared" si="8"/>
        <v>21</v>
      </c>
      <c r="W1540" s="15">
        <f t="shared" si="9"/>
        <v>7</v>
      </c>
      <c r="X1540" s="15">
        <f t="shared" si="10"/>
        <v>2025</v>
      </c>
    </row>
    <row r="1541">
      <c r="A1541" s="9">
        <v>45859.0</v>
      </c>
      <c r="B1541" s="9">
        <v>45818.0</v>
      </c>
      <c r="C1541" s="9">
        <f t="shared" si="78"/>
        <v>45859</v>
      </c>
      <c r="D1541" s="11" t="s">
        <v>65</v>
      </c>
      <c r="E1541" s="11" t="s">
        <v>25</v>
      </c>
      <c r="F1541" s="11" t="s">
        <v>107</v>
      </c>
      <c r="G1541" s="11" t="s">
        <v>27</v>
      </c>
      <c r="H1541" s="11" t="s">
        <v>677</v>
      </c>
      <c r="I1541" s="31">
        <v>250.8</v>
      </c>
      <c r="J1541" s="13"/>
      <c r="K1541" s="13">
        <f t="shared" si="89"/>
        <v>250.8</v>
      </c>
      <c r="L1541" s="11" t="s">
        <v>53</v>
      </c>
      <c r="M1541" s="17">
        <v>45717.0</v>
      </c>
      <c r="N1541" s="11" t="s">
        <v>143</v>
      </c>
      <c r="O1541" s="10" t="str">
        <f t="shared" si="79"/>
        <v>07/2025</v>
      </c>
      <c r="P1541" s="10" t="str">
        <f t="shared" si="81"/>
        <v>07/2025</v>
      </c>
      <c r="Q1541" s="15" t="str">
        <f t="array" ref="Q1541">IFERROR(XLOOKUP(N1541,'Classificação'!A:A,'Classificação'!B:B),"")</f>
        <v>EMBALAGENS/FITAS/GERAL</v>
      </c>
      <c r="R1541" s="15" t="str">
        <f t="array" ref="R1541">IFERROR(XLOOKUP(Q1541,'Classificação'!B:B,'Classificação'!C:C),"")</f>
        <v>CUSTOS VARIÁVEIS</v>
      </c>
      <c r="S1541" s="15">
        <f t="shared" si="80"/>
        <v>21</v>
      </c>
      <c r="T1541" s="15">
        <f t="shared" si="6"/>
        <v>7</v>
      </c>
      <c r="U1541" s="15">
        <f t="shared" si="7"/>
        <v>2025</v>
      </c>
      <c r="V1541" s="15">
        <f t="shared" si="8"/>
        <v>21</v>
      </c>
      <c r="W1541" s="15">
        <f t="shared" si="9"/>
        <v>7</v>
      </c>
      <c r="X1541" s="15">
        <f t="shared" si="10"/>
        <v>2025</v>
      </c>
    </row>
    <row r="1542">
      <c r="A1542" s="9">
        <v>45859.0</v>
      </c>
      <c r="B1542" s="9">
        <v>45818.0</v>
      </c>
      <c r="C1542" s="9">
        <f t="shared" si="78"/>
        <v>45859</v>
      </c>
      <c r="D1542" s="11" t="s">
        <v>65</v>
      </c>
      <c r="E1542" s="11" t="s">
        <v>25</v>
      </c>
      <c r="F1542" s="11" t="s">
        <v>107</v>
      </c>
      <c r="G1542" s="11" t="s">
        <v>27</v>
      </c>
      <c r="H1542" s="11" t="s">
        <v>870</v>
      </c>
      <c r="I1542" s="31">
        <v>164.98</v>
      </c>
      <c r="J1542" s="13"/>
      <c r="K1542" s="13">
        <f t="shared" si="89"/>
        <v>164.98</v>
      </c>
      <c r="L1542" s="11" t="s">
        <v>34</v>
      </c>
      <c r="M1542" s="14"/>
      <c r="N1542" s="11" t="s">
        <v>143</v>
      </c>
      <c r="O1542" s="10" t="str">
        <f t="shared" si="79"/>
        <v>07/2025</v>
      </c>
      <c r="P1542" s="10" t="str">
        <f t="shared" si="81"/>
        <v>07/2025</v>
      </c>
      <c r="Q1542" s="15" t="str">
        <f t="array" ref="Q1542">IFERROR(XLOOKUP(N1542,'Classificação'!A:A,'Classificação'!B:B),"")</f>
        <v>EMBALAGENS/FITAS/GERAL</v>
      </c>
      <c r="R1542" s="15" t="str">
        <f t="array" ref="R1542">IFERROR(XLOOKUP(Q1542,'Classificação'!B:B,'Classificação'!C:C),"")</f>
        <v>CUSTOS VARIÁVEIS</v>
      </c>
      <c r="S1542" s="15">
        <f t="shared" si="80"/>
        <v>21</v>
      </c>
      <c r="T1542" s="15">
        <f t="shared" si="6"/>
        <v>7</v>
      </c>
      <c r="U1542" s="15">
        <f t="shared" si="7"/>
        <v>2025</v>
      </c>
      <c r="V1542" s="15">
        <f t="shared" si="8"/>
        <v>21</v>
      </c>
      <c r="W1542" s="15">
        <f t="shared" si="9"/>
        <v>7</v>
      </c>
      <c r="X1542" s="15">
        <f t="shared" si="10"/>
        <v>2025</v>
      </c>
    </row>
    <row r="1543">
      <c r="A1543" s="9">
        <v>45859.0</v>
      </c>
      <c r="B1543" s="9">
        <v>45818.0</v>
      </c>
      <c r="C1543" s="9">
        <f t="shared" si="78"/>
        <v>45859</v>
      </c>
      <c r="D1543" s="11" t="s">
        <v>65</v>
      </c>
      <c r="E1543" s="11" t="s">
        <v>25</v>
      </c>
      <c r="F1543" s="11" t="s">
        <v>107</v>
      </c>
      <c r="G1543" s="11" t="s">
        <v>27</v>
      </c>
      <c r="H1543" s="11" t="s">
        <v>870</v>
      </c>
      <c r="I1543" s="31">
        <v>110.82</v>
      </c>
      <c r="J1543" s="13"/>
      <c r="K1543" s="13">
        <f t="shared" si="89"/>
        <v>110.82</v>
      </c>
      <c r="L1543" s="11" t="s">
        <v>53</v>
      </c>
      <c r="M1543" s="17">
        <v>45717.0</v>
      </c>
      <c r="N1543" s="11" t="s">
        <v>143</v>
      </c>
      <c r="O1543" s="10" t="str">
        <f t="shared" si="79"/>
        <v>07/2025</v>
      </c>
      <c r="P1543" s="10" t="str">
        <f t="shared" si="81"/>
        <v>07/2025</v>
      </c>
      <c r="Q1543" s="15" t="str">
        <f t="array" ref="Q1543">IFERROR(XLOOKUP(N1543,'Classificação'!A:A,'Classificação'!B:B),"")</f>
        <v>EMBALAGENS/FITAS/GERAL</v>
      </c>
      <c r="R1543" s="15" t="str">
        <f t="array" ref="R1543">IFERROR(XLOOKUP(Q1543,'Classificação'!B:B,'Classificação'!C:C),"")</f>
        <v>CUSTOS VARIÁVEIS</v>
      </c>
      <c r="S1543" s="15">
        <f t="shared" si="80"/>
        <v>21</v>
      </c>
      <c r="T1543" s="15">
        <f t="shared" si="6"/>
        <v>7</v>
      </c>
      <c r="U1543" s="15">
        <f t="shared" si="7"/>
        <v>2025</v>
      </c>
      <c r="V1543" s="15">
        <f t="shared" si="8"/>
        <v>21</v>
      </c>
      <c r="W1543" s="15">
        <f t="shared" si="9"/>
        <v>7</v>
      </c>
      <c r="X1543" s="15">
        <f t="shared" si="10"/>
        <v>2025</v>
      </c>
    </row>
    <row r="1544">
      <c r="A1544" s="9">
        <v>45859.0</v>
      </c>
      <c r="B1544" s="9">
        <v>45819.0</v>
      </c>
      <c r="C1544" s="9">
        <f t="shared" si="78"/>
        <v>45859</v>
      </c>
      <c r="D1544" s="11" t="s">
        <v>179</v>
      </c>
      <c r="E1544" s="11" t="s">
        <v>25</v>
      </c>
      <c r="F1544" s="11" t="s">
        <v>107</v>
      </c>
      <c r="G1544" s="11" t="s">
        <v>27</v>
      </c>
      <c r="H1544" s="11" t="s">
        <v>312</v>
      </c>
      <c r="I1544" s="31">
        <v>263.34</v>
      </c>
      <c r="J1544" s="13"/>
      <c r="K1544" s="13">
        <f t="shared" si="89"/>
        <v>263.34</v>
      </c>
      <c r="L1544" s="11" t="s">
        <v>34</v>
      </c>
      <c r="M1544" s="14"/>
      <c r="N1544" s="11" t="s">
        <v>181</v>
      </c>
      <c r="O1544" s="10" t="str">
        <f t="shared" si="79"/>
        <v>07/2025</v>
      </c>
      <c r="P1544" s="10" t="str">
        <f t="shared" si="81"/>
        <v>07/2025</v>
      </c>
      <c r="Q1544" s="15" t="str">
        <f t="array" ref="Q1544">IFERROR(XLOOKUP(N1544,'Classificação'!A:A,'Classificação'!B:B),"")</f>
        <v>DESPESAS COM VEICULOS</v>
      </c>
      <c r="R1544" s="15" t="str">
        <f t="array" ref="R1544">IFERROR(XLOOKUP(Q1544,'Classificação'!B:B,'Classificação'!C:C),"")</f>
        <v>DESPESAS FIXAS (-)</v>
      </c>
      <c r="S1544" s="15">
        <f t="shared" si="80"/>
        <v>21</v>
      </c>
      <c r="T1544" s="15">
        <f t="shared" si="6"/>
        <v>7</v>
      </c>
      <c r="U1544" s="15">
        <f t="shared" si="7"/>
        <v>2025</v>
      </c>
      <c r="V1544" s="15">
        <f t="shared" si="8"/>
        <v>21</v>
      </c>
      <c r="W1544" s="15">
        <f t="shared" si="9"/>
        <v>7</v>
      </c>
      <c r="X1544" s="15">
        <f t="shared" si="10"/>
        <v>2025</v>
      </c>
    </row>
    <row r="1545">
      <c r="A1545" s="9">
        <v>45859.0</v>
      </c>
      <c r="B1545" s="27">
        <v>45754.0</v>
      </c>
      <c r="C1545" s="27">
        <f t="shared" si="78"/>
        <v>45859</v>
      </c>
      <c r="D1545" s="28" t="s">
        <v>699</v>
      </c>
      <c r="E1545" s="11" t="s">
        <v>25</v>
      </c>
      <c r="F1545" s="28" t="s">
        <v>107</v>
      </c>
      <c r="G1545" s="28" t="s">
        <v>27</v>
      </c>
      <c r="H1545" s="29" t="s">
        <v>700</v>
      </c>
      <c r="I1545" s="38">
        <v>233.33</v>
      </c>
      <c r="J1545" s="34"/>
      <c r="K1545" s="13">
        <f t="shared" si="89"/>
        <v>233.33</v>
      </c>
      <c r="L1545" s="28" t="s">
        <v>53</v>
      </c>
      <c r="M1545" s="40">
        <v>45719.0</v>
      </c>
      <c r="N1545" s="28" t="s">
        <v>95</v>
      </c>
      <c r="O1545" s="10" t="str">
        <f t="shared" si="79"/>
        <v>07/2025</v>
      </c>
      <c r="P1545" s="10" t="str">
        <f t="shared" si="81"/>
        <v>07/2025</v>
      </c>
      <c r="Q1545" s="15" t="str">
        <f t="array" ref="Q1545">IFERROR(XLOOKUP(N1545,'Classificação'!A:A,'Classificação'!B:B),"")</f>
        <v>DESPESAS NÃO OPERACIONAIS</v>
      </c>
      <c r="R1545" s="15" t="str">
        <f t="array" ref="R1545">IFERROR(XLOOKUP(Q1545,'Classificação'!B:B,'Classificação'!C:C),"")</f>
        <v>RESULTADO NÃO OPERACIONAL (+/-)</v>
      </c>
      <c r="S1545" s="15">
        <f t="shared" si="80"/>
        <v>21</v>
      </c>
      <c r="T1545" s="15">
        <f t="shared" si="6"/>
        <v>7</v>
      </c>
      <c r="U1545" s="15">
        <f t="shared" si="7"/>
        <v>2025</v>
      </c>
      <c r="V1545" s="15">
        <f t="shared" si="8"/>
        <v>21</v>
      </c>
      <c r="W1545" s="15">
        <f t="shared" si="9"/>
        <v>7</v>
      </c>
      <c r="X1545" s="15">
        <f t="shared" si="10"/>
        <v>2025</v>
      </c>
    </row>
    <row r="1546">
      <c r="A1546" s="9">
        <v>45859.0</v>
      </c>
      <c r="B1546" s="10"/>
      <c r="C1546" s="9">
        <f t="shared" si="78"/>
        <v>45859</v>
      </c>
      <c r="D1546" s="11" t="s">
        <v>131</v>
      </c>
      <c r="E1546" s="11" t="s">
        <v>25</v>
      </c>
      <c r="F1546" s="28" t="s">
        <v>107</v>
      </c>
      <c r="G1546" s="28" t="s">
        <v>27</v>
      </c>
      <c r="H1546" s="11" t="s">
        <v>822</v>
      </c>
      <c r="I1546" s="31">
        <v>221.74</v>
      </c>
      <c r="J1546" s="13"/>
      <c r="K1546" s="13">
        <f t="shared" si="89"/>
        <v>221.74</v>
      </c>
      <c r="L1546" s="28" t="s">
        <v>53</v>
      </c>
      <c r="M1546" s="17">
        <v>45993.0</v>
      </c>
      <c r="N1546" s="11" t="s">
        <v>133</v>
      </c>
      <c r="O1546" s="10" t="str">
        <f t="shared" si="79"/>
        <v>07/2025</v>
      </c>
      <c r="P1546" s="10" t="str">
        <f t="shared" si="81"/>
        <v>07/2025</v>
      </c>
      <c r="Q1546" s="15" t="str">
        <f t="array" ref="Q1546">IFERROR(XLOOKUP(N1546,'Classificação'!A:A,'Classificação'!B:B),"")</f>
        <v>DESPESAS COM VEICULOS</v>
      </c>
      <c r="R1546" s="15" t="str">
        <f t="array" ref="R1546">IFERROR(XLOOKUP(Q1546,'Classificação'!B:B,'Classificação'!C:C),"")</f>
        <v>DESPESAS FIXAS (-)</v>
      </c>
      <c r="S1546" s="15">
        <f t="shared" si="80"/>
        <v>21</v>
      </c>
      <c r="T1546" s="15">
        <f t="shared" si="6"/>
        <v>7</v>
      </c>
      <c r="U1546" s="15">
        <f t="shared" si="7"/>
        <v>2025</v>
      </c>
      <c r="V1546" s="15">
        <f t="shared" si="8"/>
        <v>21</v>
      </c>
      <c r="W1546" s="15">
        <f t="shared" si="9"/>
        <v>7</v>
      </c>
      <c r="X1546" s="15">
        <f t="shared" si="10"/>
        <v>2025</v>
      </c>
    </row>
    <row r="1547">
      <c r="A1547" s="9">
        <v>45859.0</v>
      </c>
      <c r="B1547" s="10"/>
      <c r="C1547" s="9">
        <f>IF(E1547="pago",A1546,"")</f>
        <v>45859</v>
      </c>
      <c r="D1547" s="11" t="s">
        <v>112</v>
      </c>
      <c r="E1547" s="11" t="s">
        <v>25</v>
      </c>
      <c r="F1547" s="11" t="s">
        <v>107</v>
      </c>
      <c r="G1547" s="11" t="s">
        <v>27</v>
      </c>
      <c r="H1547" s="11" t="s">
        <v>871</v>
      </c>
      <c r="I1547" s="31">
        <v>86.93</v>
      </c>
      <c r="J1547" s="13"/>
      <c r="K1547" s="13">
        <f t="shared" si="89"/>
        <v>86.93</v>
      </c>
      <c r="L1547" s="11" t="s">
        <v>34</v>
      </c>
      <c r="M1547" s="14"/>
      <c r="N1547" s="11" t="s">
        <v>71</v>
      </c>
      <c r="O1547" s="10" t="str">
        <f t="shared" si="79"/>
        <v>07/2025</v>
      </c>
      <c r="P1547" s="10" t="str">
        <f t="shared" si="81"/>
        <v>07/2025</v>
      </c>
      <c r="Q1547" s="15" t="str">
        <f t="array" ref="Q1547">IFERROR(XLOOKUP(N1547,'Classificação'!A:A,'Classificação'!B:B),"")</f>
        <v>DESPESAS DIVERSAS</v>
      </c>
      <c r="R1547" s="15" t="str">
        <f t="array" ref="R1547">IFERROR(XLOOKUP(Q1547,'Classificação'!B:B,'Classificação'!C:C),"")</f>
        <v>DESPESAS FIXAS (-)</v>
      </c>
      <c r="S1547" s="15">
        <f>iferror(DAY(A1546),"")</f>
        <v>21</v>
      </c>
      <c r="T1547" s="15">
        <f t="shared" si="6"/>
        <v>7</v>
      </c>
      <c r="U1547" s="15">
        <f t="shared" si="7"/>
        <v>2025</v>
      </c>
      <c r="V1547" s="15">
        <f t="shared" si="8"/>
        <v>21</v>
      </c>
      <c r="W1547" s="15">
        <f t="shared" si="9"/>
        <v>7</v>
      </c>
      <c r="X1547" s="15">
        <f t="shared" si="10"/>
        <v>2025</v>
      </c>
    </row>
    <row r="1548">
      <c r="A1548" s="9">
        <v>45859.0</v>
      </c>
      <c r="B1548" s="9">
        <v>45814.0</v>
      </c>
      <c r="C1548" s="9">
        <f t="shared" ref="C1548:C2346" si="90">IF(E1548="pago",A1548,"")</f>
        <v>45859</v>
      </c>
      <c r="D1548" s="11" t="s">
        <v>182</v>
      </c>
      <c r="E1548" s="11" t="s">
        <v>25</v>
      </c>
      <c r="F1548" s="11" t="s">
        <v>107</v>
      </c>
      <c r="G1548" s="11" t="s">
        <v>27</v>
      </c>
      <c r="H1548" s="11" t="s">
        <v>872</v>
      </c>
      <c r="I1548" s="31">
        <v>13.39</v>
      </c>
      <c r="J1548" s="13"/>
      <c r="K1548" s="13">
        <f t="shared" si="89"/>
        <v>13.39</v>
      </c>
      <c r="L1548" s="11" t="s">
        <v>34</v>
      </c>
      <c r="M1548" s="14"/>
      <c r="N1548" s="11" t="s">
        <v>184</v>
      </c>
      <c r="O1548" s="10" t="str">
        <f t="shared" si="79"/>
        <v>07/2025</v>
      </c>
      <c r="P1548" s="10" t="str">
        <f t="shared" si="81"/>
        <v>07/2025</v>
      </c>
      <c r="Q1548" s="15" t="str">
        <f t="array" ref="Q1548">IFERROR(XLOOKUP(N1548,'Classificação'!A:A,'Classificação'!B:B),"")</f>
        <v>DESPESAS ADMINISTRATIVAS</v>
      </c>
      <c r="R1548" s="15" t="str">
        <f t="array" ref="R1548">IFERROR(XLOOKUP(Q1548,'Classificação'!B:B,'Classificação'!C:C),"")</f>
        <v>DESPESAS FIXAS (-)</v>
      </c>
      <c r="S1548" s="15">
        <f t="shared" ref="S1548:S2223" si="91">iferror(DAY(A1548),"")</f>
        <v>21</v>
      </c>
      <c r="T1548" s="15">
        <f t="shared" si="6"/>
        <v>7</v>
      </c>
      <c r="U1548" s="15">
        <f t="shared" si="7"/>
        <v>2025</v>
      </c>
      <c r="V1548" s="15">
        <f t="shared" si="8"/>
        <v>21</v>
      </c>
      <c r="W1548" s="15">
        <f t="shared" si="9"/>
        <v>7</v>
      </c>
      <c r="X1548" s="15">
        <f t="shared" si="10"/>
        <v>2025</v>
      </c>
    </row>
    <row r="1549">
      <c r="A1549" s="9">
        <v>45859.0</v>
      </c>
      <c r="B1549" s="9">
        <v>45817.0</v>
      </c>
      <c r="C1549" s="9">
        <f t="shared" si="90"/>
        <v>45859</v>
      </c>
      <c r="D1549" s="11" t="s">
        <v>182</v>
      </c>
      <c r="E1549" s="11" t="s">
        <v>25</v>
      </c>
      <c r="F1549" s="11" t="s">
        <v>107</v>
      </c>
      <c r="G1549" s="11" t="s">
        <v>27</v>
      </c>
      <c r="H1549" s="11" t="s">
        <v>872</v>
      </c>
      <c r="I1549" s="31">
        <v>10.98</v>
      </c>
      <c r="J1549" s="13"/>
      <c r="K1549" s="13">
        <f t="shared" si="89"/>
        <v>10.98</v>
      </c>
      <c r="L1549" s="11" t="s">
        <v>34</v>
      </c>
      <c r="M1549" s="14"/>
      <c r="N1549" s="11" t="s">
        <v>184</v>
      </c>
      <c r="O1549" s="10" t="str">
        <f t="shared" si="79"/>
        <v>07/2025</v>
      </c>
      <c r="P1549" s="10" t="str">
        <f t="shared" si="81"/>
        <v>07/2025</v>
      </c>
      <c r="Q1549" s="15" t="str">
        <f t="array" ref="Q1549">IFERROR(XLOOKUP(N1549,'Classificação'!A:A,'Classificação'!B:B),"")</f>
        <v>DESPESAS ADMINISTRATIVAS</v>
      </c>
      <c r="R1549" s="15" t="str">
        <f t="array" ref="R1549">IFERROR(XLOOKUP(Q1549,'Classificação'!B:B,'Classificação'!C:C),"")</f>
        <v>DESPESAS FIXAS (-)</v>
      </c>
      <c r="S1549" s="15">
        <f t="shared" si="91"/>
        <v>21</v>
      </c>
      <c r="T1549" s="15">
        <f t="shared" si="6"/>
        <v>7</v>
      </c>
      <c r="U1549" s="15">
        <f t="shared" si="7"/>
        <v>2025</v>
      </c>
      <c r="V1549" s="15">
        <f t="shared" si="8"/>
        <v>21</v>
      </c>
      <c r="W1549" s="15">
        <f t="shared" si="9"/>
        <v>7</v>
      </c>
      <c r="X1549" s="15">
        <f t="shared" si="10"/>
        <v>2025</v>
      </c>
    </row>
    <row r="1550">
      <c r="A1550" s="9">
        <v>45859.0</v>
      </c>
      <c r="B1550" s="9">
        <v>45832.0</v>
      </c>
      <c r="C1550" s="9">
        <f t="shared" si="90"/>
        <v>45859</v>
      </c>
      <c r="D1550" s="11" t="s">
        <v>65</v>
      </c>
      <c r="E1550" s="11" t="s">
        <v>25</v>
      </c>
      <c r="F1550" s="11" t="s">
        <v>107</v>
      </c>
      <c r="G1550" s="11" t="s">
        <v>27</v>
      </c>
      <c r="H1550" s="11" t="s">
        <v>873</v>
      </c>
      <c r="I1550" s="31">
        <v>46.81</v>
      </c>
      <c r="J1550" s="13"/>
      <c r="K1550" s="13">
        <f t="shared" si="89"/>
        <v>46.81</v>
      </c>
      <c r="L1550" s="11" t="s">
        <v>34</v>
      </c>
      <c r="M1550" s="14"/>
      <c r="N1550" s="11" t="s">
        <v>95</v>
      </c>
      <c r="O1550" s="10" t="str">
        <f t="shared" si="79"/>
        <v>07/2025</v>
      </c>
      <c r="P1550" s="10" t="str">
        <f t="shared" si="81"/>
        <v>07/2025</v>
      </c>
      <c r="Q1550" s="15" t="str">
        <f t="array" ref="Q1550">IFERROR(XLOOKUP(N1550,'Classificação'!A:A,'Classificação'!B:B),"")</f>
        <v>DESPESAS NÃO OPERACIONAIS</v>
      </c>
      <c r="R1550" s="15" t="str">
        <f t="array" ref="R1550">IFERROR(XLOOKUP(Q1550,'Classificação'!B:B,'Classificação'!C:C),"")</f>
        <v>RESULTADO NÃO OPERACIONAL (+/-)</v>
      </c>
      <c r="S1550" s="15">
        <f t="shared" si="91"/>
        <v>21</v>
      </c>
      <c r="T1550" s="15">
        <f t="shared" si="6"/>
        <v>7</v>
      </c>
      <c r="U1550" s="15">
        <f t="shared" si="7"/>
        <v>2025</v>
      </c>
      <c r="V1550" s="15">
        <f t="shared" si="8"/>
        <v>21</v>
      </c>
      <c r="W1550" s="15">
        <f t="shared" si="9"/>
        <v>7</v>
      </c>
      <c r="X1550" s="15">
        <f t="shared" si="10"/>
        <v>2025</v>
      </c>
    </row>
    <row r="1551">
      <c r="A1551" s="9">
        <v>45859.0</v>
      </c>
      <c r="B1551" s="9">
        <v>45837.0</v>
      </c>
      <c r="C1551" s="9">
        <f t="shared" si="90"/>
        <v>45859</v>
      </c>
      <c r="D1551" s="11" t="s">
        <v>65</v>
      </c>
      <c r="E1551" s="11" t="s">
        <v>25</v>
      </c>
      <c r="F1551" s="11" t="s">
        <v>107</v>
      </c>
      <c r="G1551" s="11" t="s">
        <v>27</v>
      </c>
      <c r="H1551" s="11" t="s">
        <v>874</v>
      </c>
      <c r="I1551" s="31">
        <v>51.13</v>
      </c>
      <c r="J1551" s="13"/>
      <c r="K1551" s="13">
        <f t="shared" si="89"/>
        <v>51.13</v>
      </c>
      <c r="L1551" s="11" t="s">
        <v>53</v>
      </c>
      <c r="M1551" s="17">
        <v>45992.0</v>
      </c>
      <c r="N1551" s="11" t="s">
        <v>95</v>
      </c>
      <c r="O1551" s="10" t="str">
        <f t="shared" si="79"/>
        <v>07/2025</v>
      </c>
      <c r="P1551" s="10" t="str">
        <f t="shared" si="81"/>
        <v>07/2025</v>
      </c>
      <c r="Q1551" s="15" t="str">
        <f t="array" ref="Q1551">IFERROR(XLOOKUP(N1551,'Classificação'!A:A,'Classificação'!B:B),"")</f>
        <v>DESPESAS NÃO OPERACIONAIS</v>
      </c>
      <c r="R1551" s="15" t="str">
        <f t="array" ref="R1551">IFERROR(XLOOKUP(Q1551,'Classificação'!B:B,'Classificação'!C:C),"")</f>
        <v>RESULTADO NÃO OPERACIONAL (+/-)</v>
      </c>
      <c r="S1551" s="15">
        <f t="shared" si="91"/>
        <v>21</v>
      </c>
      <c r="T1551" s="15">
        <f t="shared" si="6"/>
        <v>7</v>
      </c>
      <c r="U1551" s="15">
        <f t="shared" si="7"/>
        <v>2025</v>
      </c>
      <c r="V1551" s="15">
        <f t="shared" si="8"/>
        <v>21</v>
      </c>
      <c r="W1551" s="15">
        <f t="shared" si="9"/>
        <v>7</v>
      </c>
      <c r="X1551" s="15">
        <f t="shared" si="10"/>
        <v>2025</v>
      </c>
    </row>
    <row r="1552">
      <c r="A1552" s="9">
        <v>45859.0</v>
      </c>
      <c r="B1552" s="9">
        <v>45840.0</v>
      </c>
      <c r="C1552" s="9">
        <f t="shared" si="90"/>
        <v>45859</v>
      </c>
      <c r="D1552" s="11" t="s">
        <v>345</v>
      </c>
      <c r="E1552" s="11" t="s">
        <v>25</v>
      </c>
      <c r="F1552" s="11" t="s">
        <v>107</v>
      </c>
      <c r="G1552" s="11" t="s">
        <v>27</v>
      </c>
      <c r="H1552" s="11" t="s">
        <v>875</v>
      </c>
      <c r="I1552" s="31">
        <v>130.0</v>
      </c>
      <c r="J1552" s="13"/>
      <c r="K1552" s="13">
        <f t="shared" si="89"/>
        <v>130</v>
      </c>
      <c r="L1552" s="11" t="s">
        <v>34</v>
      </c>
      <c r="M1552" s="14"/>
      <c r="N1552" s="11" t="s">
        <v>392</v>
      </c>
      <c r="O1552" s="10" t="str">
        <f t="shared" si="79"/>
        <v>07/2025</v>
      </c>
      <c r="P1552" s="10" t="str">
        <f t="shared" si="81"/>
        <v>07/2025</v>
      </c>
      <c r="Q1552" s="15" t="str">
        <f t="array" ref="Q1552">IFERROR(XLOOKUP(N1552,'Classificação'!A:A,'Classificação'!B:B),"")</f>
        <v>DESPESAS COM OCUPAÇÃO</v>
      </c>
      <c r="R1552" s="15" t="str">
        <f t="array" ref="R1552">IFERROR(XLOOKUP(Q1552,'Classificação'!B:B,'Classificação'!C:C),"")</f>
        <v>DESPESAS FIXAS (-)</v>
      </c>
      <c r="S1552" s="15">
        <f t="shared" si="91"/>
        <v>21</v>
      </c>
      <c r="T1552" s="15">
        <f t="shared" si="6"/>
        <v>7</v>
      </c>
      <c r="U1552" s="15">
        <f t="shared" si="7"/>
        <v>2025</v>
      </c>
      <c r="V1552" s="15">
        <f t="shared" si="8"/>
        <v>21</v>
      </c>
      <c r="W1552" s="15">
        <f t="shared" si="9"/>
        <v>7</v>
      </c>
      <c r="X1552" s="15">
        <f t="shared" si="10"/>
        <v>2025</v>
      </c>
    </row>
    <row r="1553">
      <c r="A1553" s="9">
        <v>45859.0</v>
      </c>
      <c r="B1553" s="9">
        <v>45839.0</v>
      </c>
      <c r="C1553" s="9">
        <f t="shared" si="90"/>
        <v>45859</v>
      </c>
      <c r="D1553" s="11" t="s">
        <v>167</v>
      </c>
      <c r="E1553" s="11" t="s">
        <v>25</v>
      </c>
      <c r="F1553" s="11" t="s">
        <v>107</v>
      </c>
      <c r="G1553" s="11" t="s">
        <v>27</v>
      </c>
      <c r="H1553" s="11" t="s">
        <v>876</v>
      </c>
      <c r="I1553" s="31">
        <v>28.0</v>
      </c>
      <c r="J1553" s="13"/>
      <c r="K1553" s="13">
        <f t="shared" si="89"/>
        <v>28</v>
      </c>
      <c r="L1553" s="11" t="s">
        <v>34</v>
      </c>
      <c r="M1553" s="14"/>
      <c r="N1553" s="11" t="s">
        <v>78</v>
      </c>
      <c r="O1553" s="10" t="str">
        <f t="shared" si="79"/>
        <v>07/2025</v>
      </c>
      <c r="P1553" s="10" t="str">
        <f t="shared" si="81"/>
        <v>07/2025</v>
      </c>
      <c r="Q1553" s="15" t="str">
        <f t="array" ref="Q1553">IFERROR(XLOOKUP(N1553,'Classificação'!A:A,'Classificação'!B:B),"")</f>
        <v>DESPESAS COM PESSOAL</v>
      </c>
      <c r="R1553" s="15" t="str">
        <f t="array" ref="R1553">IFERROR(XLOOKUP(Q1553,'Classificação'!B:B,'Classificação'!C:C),"")</f>
        <v>DESPESAS FIXAS (-)</v>
      </c>
      <c r="S1553" s="15">
        <f t="shared" si="91"/>
        <v>21</v>
      </c>
      <c r="T1553" s="15">
        <f t="shared" si="6"/>
        <v>7</v>
      </c>
      <c r="U1553" s="15">
        <f t="shared" si="7"/>
        <v>2025</v>
      </c>
      <c r="V1553" s="15">
        <f t="shared" si="8"/>
        <v>21</v>
      </c>
      <c r="W1553" s="15">
        <f t="shared" si="9"/>
        <v>7</v>
      </c>
      <c r="X1553" s="15">
        <f t="shared" si="10"/>
        <v>2025</v>
      </c>
    </row>
    <row r="1554">
      <c r="A1554" s="9">
        <v>45859.0</v>
      </c>
      <c r="B1554" s="9">
        <v>45842.0</v>
      </c>
      <c r="C1554" s="9">
        <f t="shared" si="90"/>
        <v>45859</v>
      </c>
      <c r="D1554" s="11" t="s">
        <v>877</v>
      </c>
      <c r="E1554" s="11" t="s">
        <v>25</v>
      </c>
      <c r="F1554" s="11" t="s">
        <v>107</v>
      </c>
      <c r="G1554" s="11" t="s">
        <v>27</v>
      </c>
      <c r="H1554" s="11" t="s">
        <v>878</v>
      </c>
      <c r="I1554" s="31">
        <v>200.0</v>
      </c>
      <c r="J1554" s="13"/>
      <c r="K1554" s="13">
        <f t="shared" si="89"/>
        <v>200</v>
      </c>
      <c r="L1554" s="11" t="s">
        <v>53</v>
      </c>
      <c r="M1554" s="17">
        <v>45931.0</v>
      </c>
      <c r="N1554" s="11" t="s">
        <v>175</v>
      </c>
      <c r="O1554" s="10" t="str">
        <f t="shared" si="79"/>
        <v>07/2025</v>
      </c>
      <c r="P1554" s="10" t="str">
        <f t="shared" si="81"/>
        <v>07/2025</v>
      </c>
      <c r="Q1554" s="15" t="str">
        <f t="array" ref="Q1554">IFERROR(XLOOKUP(N1554,'Classificação'!A:A,'Classificação'!B:B),"")</f>
        <v>DESPESAS COM VEICULOS</v>
      </c>
      <c r="R1554" s="15" t="str">
        <f t="array" ref="R1554">IFERROR(XLOOKUP(Q1554,'Classificação'!B:B,'Classificação'!C:C),"")</f>
        <v>DESPESAS FIXAS (-)</v>
      </c>
      <c r="S1554" s="15">
        <f t="shared" si="91"/>
        <v>21</v>
      </c>
      <c r="T1554" s="15">
        <f t="shared" si="6"/>
        <v>7</v>
      </c>
      <c r="U1554" s="15">
        <f t="shared" si="7"/>
        <v>2025</v>
      </c>
      <c r="V1554" s="15">
        <f t="shared" si="8"/>
        <v>21</v>
      </c>
      <c r="W1554" s="15">
        <f t="shared" si="9"/>
        <v>7</v>
      </c>
      <c r="X1554" s="15">
        <f t="shared" si="10"/>
        <v>2025</v>
      </c>
    </row>
    <row r="1555">
      <c r="A1555" s="9">
        <v>45859.0</v>
      </c>
      <c r="B1555" s="9">
        <v>45842.0</v>
      </c>
      <c r="C1555" s="9">
        <f t="shared" si="90"/>
        <v>45859</v>
      </c>
      <c r="D1555" s="11" t="s">
        <v>877</v>
      </c>
      <c r="E1555" s="11" t="s">
        <v>25</v>
      </c>
      <c r="F1555" s="11" t="s">
        <v>107</v>
      </c>
      <c r="G1555" s="11" t="s">
        <v>27</v>
      </c>
      <c r="H1555" s="11" t="s">
        <v>878</v>
      </c>
      <c r="I1555" s="31">
        <v>338.3</v>
      </c>
      <c r="J1555" s="13"/>
      <c r="K1555" s="13">
        <f t="shared" si="89"/>
        <v>338.3</v>
      </c>
      <c r="L1555" s="11" t="s">
        <v>53</v>
      </c>
      <c r="M1555" s="17">
        <v>45931.0</v>
      </c>
      <c r="N1555" s="11" t="s">
        <v>175</v>
      </c>
      <c r="O1555" s="10" t="str">
        <f t="shared" si="79"/>
        <v>07/2025</v>
      </c>
      <c r="P1555" s="10" t="str">
        <f t="shared" si="81"/>
        <v>07/2025</v>
      </c>
      <c r="Q1555" s="15" t="str">
        <f t="array" ref="Q1555">IFERROR(XLOOKUP(N1555,'Classificação'!A:A,'Classificação'!B:B),"")</f>
        <v>DESPESAS COM VEICULOS</v>
      </c>
      <c r="R1555" s="15" t="str">
        <f t="array" ref="R1555">IFERROR(XLOOKUP(Q1555,'Classificação'!B:B,'Classificação'!C:C),"")</f>
        <v>DESPESAS FIXAS (-)</v>
      </c>
      <c r="S1555" s="15">
        <f t="shared" si="91"/>
        <v>21</v>
      </c>
      <c r="T1555" s="15">
        <f t="shared" si="6"/>
        <v>7</v>
      </c>
      <c r="U1555" s="15">
        <f t="shared" si="7"/>
        <v>2025</v>
      </c>
      <c r="V1555" s="15">
        <f t="shared" si="8"/>
        <v>21</v>
      </c>
      <c r="W1555" s="15">
        <f t="shared" si="9"/>
        <v>7</v>
      </c>
      <c r="X1555" s="15">
        <f t="shared" si="10"/>
        <v>2025</v>
      </c>
    </row>
    <row r="1556">
      <c r="A1556" s="9">
        <v>45859.0</v>
      </c>
      <c r="B1556" s="9">
        <v>45841.0</v>
      </c>
      <c r="C1556" s="9">
        <f t="shared" si="90"/>
        <v>45859</v>
      </c>
      <c r="D1556" s="11" t="s">
        <v>345</v>
      </c>
      <c r="E1556" s="11" t="s">
        <v>25</v>
      </c>
      <c r="F1556" s="11" t="s">
        <v>107</v>
      </c>
      <c r="G1556" s="11" t="s">
        <v>27</v>
      </c>
      <c r="H1556" s="11" t="s">
        <v>879</v>
      </c>
      <c r="I1556" s="31">
        <v>36.0</v>
      </c>
      <c r="J1556" s="13"/>
      <c r="K1556" s="13">
        <f t="shared" si="89"/>
        <v>36</v>
      </c>
      <c r="L1556" s="11" t="s">
        <v>34</v>
      </c>
      <c r="M1556" s="14"/>
      <c r="N1556" s="11" t="s">
        <v>392</v>
      </c>
      <c r="O1556" s="10" t="str">
        <f t="shared" si="79"/>
        <v>07/2025</v>
      </c>
      <c r="P1556" s="10" t="str">
        <f t="shared" si="81"/>
        <v>07/2025</v>
      </c>
      <c r="Q1556" s="15" t="str">
        <f t="array" ref="Q1556">IFERROR(XLOOKUP(N1556,'Classificação'!A:A,'Classificação'!B:B),"")</f>
        <v>DESPESAS COM OCUPAÇÃO</v>
      </c>
      <c r="R1556" s="15" t="str">
        <f t="array" ref="R1556">IFERROR(XLOOKUP(Q1556,'Classificação'!B:B,'Classificação'!C:C),"")</f>
        <v>DESPESAS FIXAS (-)</v>
      </c>
      <c r="S1556" s="15">
        <f t="shared" si="91"/>
        <v>21</v>
      </c>
      <c r="T1556" s="15">
        <f t="shared" si="6"/>
        <v>7</v>
      </c>
      <c r="U1556" s="15">
        <f t="shared" si="7"/>
        <v>2025</v>
      </c>
      <c r="V1556" s="15">
        <f t="shared" si="8"/>
        <v>21</v>
      </c>
      <c r="W1556" s="15">
        <f t="shared" si="9"/>
        <v>7</v>
      </c>
      <c r="X1556" s="15">
        <f t="shared" si="10"/>
        <v>2025</v>
      </c>
    </row>
    <row r="1557">
      <c r="A1557" s="9">
        <v>45859.0</v>
      </c>
      <c r="B1557" s="10"/>
      <c r="C1557" s="9">
        <f t="shared" si="90"/>
        <v>45859</v>
      </c>
      <c r="D1557" s="11" t="s">
        <v>167</v>
      </c>
      <c r="E1557" s="11" t="s">
        <v>25</v>
      </c>
      <c r="F1557" s="11" t="s">
        <v>107</v>
      </c>
      <c r="G1557" s="11" t="s">
        <v>27</v>
      </c>
      <c r="H1557" s="11" t="s">
        <v>880</v>
      </c>
      <c r="I1557" s="31">
        <v>21.0</v>
      </c>
      <c r="J1557" s="13"/>
      <c r="K1557" s="13">
        <f t="shared" si="89"/>
        <v>21</v>
      </c>
      <c r="L1557" s="11" t="s">
        <v>34</v>
      </c>
      <c r="M1557" s="14"/>
      <c r="N1557" s="11" t="s">
        <v>78</v>
      </c>
      <c r="O1557" s="10" t="str">
        <f t="shared" si="79"/>
        <v>07/2025</v>
      </c>
      <c r="P1557" s="10" t="str">
        <f t="shared" si="81"/>
        <v>07/2025</v>
      </c>
      <c r="Q1557" s="15" t="str">
        <f t="array" ref="Q1557">IFERROR(XLOOKUP(N1557,'Classificação'!A:A,'Classificação'!B:B),"")</f>
        <v>DESPESAS COM PESSOAL</v>
      </c>
      <c r="R1557" s="15" t="str">
        <f t="array" ref="R1557">IFERROR(XLOOKUP(Q1557,'Classificação'!B:B,'Classificação'!C:C),"")</f>
        <v>DESPESAS FIXAS (-)</v>
      </c>
      <c r="S1557" s="15">
        <f t="shared" si="91"/>
        <v>21</v>
      </c>
      <c r="T1557" s="15">
        <f t="shared" si="6"/>
        <v>7</v>
      </c>
      <c r="U1557" s="15">
        <f t="shared" si="7"/>
        <v>2025</v>
      </c>
      <c r="V1557" s="15">
        <f t="shared" si="8"/>
        <v>21</v>
      </c>
      <c r="W1557" s="15">
        <f t="shared" si="9"/>
        <v>7</v>
      </c>
      <c r="X1557" s="15">
        <f t="shared" si="10"/>
        <v>2025</v>
      </c>
    </row>
    <row r="1558">
      <c r="A1558" s="9">
        <v>45859.0</v>
      </c>
      <c r="B1558" s="10"/>
      <c r="C1558" s="9">
        <f t="shared" si="90"/>
        <v>45859</v>
      </c>
      <c r="D1558" s="11" t="s">
        <v>167</v>
      </c>
      <c r="E1558" s="11" t="s">
        <v>25</v>
      </c>
      <c r="F1558" s="11" t="s">
        <v>107</v>
      </c>
      <c r="G1558" s="11" t="s">
        <v>27</v>
      </c>
      <c r="H1558" s="11" t="s">
        <v>880</v>
      </c>
      <c r="I1558" s="31">
        <v>7.0</v>
      </c>
      <c r="J1558" s="13"/>
      <c r="K1558" s="13">
        <f t="shared" si="89"/>
        <v>7</v>
      </c>
      <c r="L1558" s="11" t="s">
        <v>34</v>
      </c>
      <c r="M1558" s="14"/>
      <c r="N1558" s="11" t="s">
        <v>78</v>
      </c>
      <c r="O1558" s="10" t="str">
        <f t="shared" si="79"/>
        <v>07/2025</v>
      </c>
      <c r="P1558" s="10" t="str">
        <f t="shared" si="81"/>
        <v>07/2025</v>
      </c>
      <c r="Q1558" s="15" t="str">
        <f t="array" ref="Q1558">IFERROR(XLOOKUP(N1558,'Classificação'!A:A,'Classificação'!B:B),"")</f>
        <v>DESPESAS COM PESSOAL</v>
      </c>
      <c r="R1558" s="15" t="str">
        <f t="array" ref="R1558">IFERROR(XLOOKUP(Q1558,'Classificação'!B:B,'Classificação'!C:C),"")</f>
        <v>DESPESAS FIXAS (-)</v>
      </c>
      <c r="S1558" s="15">
        <f t="shared" si="91"/>
        <v>21</v>
      </c>
      <c r="T1558" s="15">
        <f t="shared" si="6"/>
        <v>7</v>
      </c>
      <c r="U1558" s="15">
        <f t="shared" si="7"/>
        <v>2025</v>
      </c>
      <c r="V1558" s="15">
        <f t="shared" si="8"/>
        <v>21</v>
      </c>
      <c r="W1558" s="15">
        <f t="shared" si="9"/>
        <v>7</v>
      </c>
      <c r="X1558" s="15">
        <f t="shared" si="10"/>
        <v>2025</v>
      </c>
    </row>
    <row r="1559">
      <c r="A1559" s="9">
        <v>45859.0</v>
      </c>
      <c r="B1559" s="9">
        <v>45842.0</v>
      </c>
      <c r="C1559" s="9">
        <f t="shared" si="90"/>
        <v>45859</v>
      </c>
      <c r="D1559" s="11" t="s">
        <v>182</v>
      </c>
      <c r="E1559" s="11" t="s">
        <v>25</v>
      </c>
      <c r="F1559" s="11" t="s">
        <v>107</v>
      </c>
      <c r="G1559" s="11" t="s">
        <v>27</v>
      </c>
      <c r="H1559" s="11" t="s">
        <v>881</v>
      </c>
      <c r="I1559" s="31">
        <v>10.9</v>
      </c>
      <c r="J1559" s="13"/>
      <c r="K1559" s="13">
        <f t="shared" si="89"/>
        <v>10.9</v>
      </c>
      <c r="L1559" s="11" t="s">
        <v>34</v>
      </c>
      <c r="M1559" s="14"/>
      <c r="N1559" s="11" t="s">
        <v>184</v>
      </c>
      <c r="O1559" s="10" t="str">
        <f t="shared" si="79"/>
        <v>07/2025</v>
      </c>
      <c r="P1559" s="10" t="str">
        <f t="shared" si="81"/>
        <v>07/2025</v>
      </c>
      <c r="Q1559" s="15" t="str">
        <f t="array" ref="Q1559">IFERROR(XLOOKUP(N1559,'Classificação'!A:A,'Classificação'!B:B),"")</f>
        <v>DESPESAS ADMINISTRATIVAS</v>
      </c>
      <c r="R1559" s="15" t="str">
        <f t="array" ref="R1559">IFERROR(XLOOKUP(Q1559,'Classificação'!B:B,'Classificação'!C:C),"")</f>
        <v>DESPESAS FIXAS (-)</v>
      </c>
      <c r="S1559" s="15">
        <f t="shared" si="91"/>
        <v>21</v>
      </c>
      <c r="T1559" s="15">
        <f t="shared" si="6"/>
        <v>7</v>
      </c>
      <c r="U1559" s="15">
        <f t="shared" si="7"/>
        <v>2025</v>
      </c>
      <c r="V1559" s="15">
        <f t="shared" si="8"/>
        <v>21</v>
      </c>
      <c r="W1559" s="15">
        <f t="shared" si="9"/>
        <v>7</v>
      </c>
      <c r="X1559" s="15">
        <f t="shared" si="10"/>
        <v>2025</v>
      </c>
    </row>
    <row r="1560">
      <c r="A1560" s="9">
        <v>45859.0</v>
      </c>
      <c r="B1560" s="26">
        <v>45829.0</v>
      </c>
      <c r="C1560" s="27">
        <f t="shared" si="90"/>
        <v>45859</v>
      </c>
      <c r="D1560" s="29" t="s">
        <v>882</v>
      </c>
      <c r="E1560" s="11" t="s">
        <v>25</v>
      </c>
      <c r="F1560" s="28" t="s">
        <v>110</v>
      </c>
      <c r="G1560" s="28" t="s">
        <v>27</v>
      </c>
      <c r="H1560" s="29" t="s">
        <v>883</v>
      </c>
      <c r="I1560" s="33">
        <v>11.06</v>
      </c>
      <c r="J1560" s="13"/>
      <c r="K1560" s="13">
        <f t="shared" si="89"/>
        <v>11.06</v>
      </c>
      <c r="L1560" s="11" t="s">
        <v>34</v>
      </c>
      <c r="M1560" s="14"/>
      <c r="N1560" s="11" t="s">
        <v>71</v>
      </c>
      <c r="O1560" s="10" t="str">
        <f t="shared" si="79"/>
        <v>07/2025</v>
      </c>
      <c r="P1560" s="10" t="str">
        <f t="shared" si="81"/>
        <v>07/2025</v>
      </c>
      <c r="Q1560" s="15" t="str">
        <f t="array" ref="Q1560">IFERROR(XLOOKUP(N1560,'Classificação'!A:A,'Classificação'!B:B),"")</f>
        <v>DESPESAS DIVERSAS</v>
      </c>
      <c r="R1560" s="15" t="str">
        <f t="array" ref="R1560">IFERROR(XLOOKUP(Q1560,'Classificação'!B:B,'Classificação'!C:C),"")</f>
        <v>DESPESAS FIXAS (-)</v>
      </c>
      <c r="S1560" s="15">
        <f t="shared" si="91"/>
        <v>21</v>
      </c>
      <c r="T1560" s="15">
        <f t="shared" si="6"/>
        <v>7</v>
      </c>
      <c r="U1560" s="15">
        <f t="shared" si="7"/>
        <v>2025</v>
      </c>
      <c r="V1560" s="15">
        <f t="shared" si="8"/>
        <v>21</v>
      </c>
      <c r="W1560" s="15">
        <f t="shared" si="9"/>
        <v>7</v>
      </c>
      <c r="X1560" s="15">
        <f t="shared" si="10"/>
        <v>2025</v>
      </c>
    </row>
    <row r="1561">
      <c r="A1561" s="9">
        <v>45859.0</v>
      </c>
      <c r="B1561" s="9">
        <v>45839.0</v>
      </c>
      <c r="C1561" s="9">
        <f t="shared" si="90"/>
        <v>45859</v>
      </c>
      <c r="D1561" s="11" t="s">
        <v>121</v>
      </c>
      <c r="E1561" s="11" t="s">
        <v>25</v>
      </c>
      <c r="F1561" s="11" t="s">
        <v>107</v>
      </c>
      <c r="G1561" s="11" t="s">
        <v>27</v>
      </c>
      <c r="H1561" s="11" t="s">
        <v>865</v>
      </c>
      <c r="I1561" s="31">
        <v>29.9</v>
      </c>
      <c r="J1561" s="13"/>
      <c r="K1561" s="13">
        <f t="shared" si="89"/>
        <v>29.9</v>
      </c>
      <c r="L1561" s="11" t="s">
        <v>29</v>
      </c>
      <c r="M1561" s="14"/>
      <c r="N1561" s="11" t="s">
        <v>105</v>
      </c>
      <c r="O1561" s="10" t="str">
        <f t="shared" si="79"/>
        <v>07/2025</v>
      </c>
      <c r="P1561" s="10" t="str">
        <f t="shared" si="81"/>
        <v>07/2025</v>
      </c>
      <c r="Q1561" s="15" t="str">
        <f t="array" ref="Q1561">IFERROR(XLOOKUP(N1561,'Classificação'!A:A,'Classificação'!B:B),"")</f>
        <v>DESPESAS ADMINISTRATIVAS</v>
      </c>
      <c r="R1561" s="15" t="str">
        <f t="array" ref="R1561">IFERROR(XLOOKUP(Q1561,'Classificação'!B:B,'Classificação'!C:C),"")</f>
        <v>DESPESAS FIXAS (-)</v>
      </c>
      <c r="S1561" s="15">
        <f t="shared" si="91"/>
        <v>21</v>
      </c>
      <c r="T1561" s="15">
        <f t="shared" si="6"/>
        <v>7</v>
      </c>
      <c r="U1561" s="15">
        <f t="shared" si="7"/>
        <v>2025</v>
      </c>
      <c r="V1561" s="15">
        <f t="shared" si="8"/>
        <v>21</v>
      </c>
      <c r="W1561" s="15">
        <f t="shared" si="9"/>
        <v>7</v>
      </c>
      <c r="X1561" s="15">
        <f t="shared" si="10"/>
        <v>2025</v>
      </c>
    </row>
    <row r="1562">
      <c r="A1562" s="9">
        <v>45859.0</v>
      </c>
      <c r="B1562" s="26">
        <v>45820.0</v>
      </c>
      <c r="C1562" s="27">
        <f t="shared" si="90"/>
        <v>45859</v>
      </c>
      <c r="D1562" s="29" t="s">
        <v>65</v>
      </c>
      <c r="E1562" s="11" t="s">
        <v>25</v>
      </c>
      <c r="F1562" s="28" t="s">
        <v>107</v>
      </c>
      <c r="G1562" s="28" t="s">
        <v>27</v>
      </c>
      <c r="H1562" s="29" t="s">
        <v>884</v>
      </c>
      <c r="I1562" s="33">
        <v>-127.36</v>
      </c>
      <c r="J1562" s="34"/>
      <c r="K1562" s="37">
        <f>IF(E1562="pago",(I1562-J1562),"")</f>
        <v>-127.36</v>
      </c>
      <c r="L1562" s="29" t="s">
        <v>34</v>
      </c>
      <c r="M1562" s="28"/>
      <c r="N1562" s="29" t="s">
        <v>448</v>
      </c>
      <c r="O1562" s="10" t="str">
        <f t="shared" si="79"/>
        <v>07/2025</v>
      </c>
      <c r="P1562" s="10" t="str">
        <f t="shared" si="81"/>
        <v>07/2025</v>
      </c>
      <c r="Q1562" s="15" t="str">
        <f t="array" ref="Q1562">IFERROR(XLOOKUP(N1562,'Classificação'!A:A,'Classificação'!B:B),"")</f>
        <v>DESPESAS ADMINISTRATIVAS</v>
      </c>
      <c r="R1562" s="15" t="str">
        <f t="array" ref="R1562">IFERROR(XLOOKUP(Q1562,'Classificação'!B:B,'Classificação'!C:C),"")</f>
        <v>DESPESAS FIXAS (-)</v>
      </c>
      <c r="S1562" s="15">
        <f t="shared" si="91"/>
        <v>21</v>
      </c>
      <c r="T1562" s="15">
        <f t="shared" si="6"/>
        <v>7</v>
      </c>
      <c r="U1562" s="15">
        <f t="shared" si="7"/>
        <v>2025</v>
      </c>
      <c r="V1562" s="15">
        <f t="shared" si="8"/>
        <v>21</v>
      </c>
      <c r="W1562" s="15">
        <f t="shared" si="9"/>
        <v>7</v>
      </c>
      <c r="X1562" s="15">
        <f t="shared" si="10"/>
        <v>2025</v>
      </c>
    </row>
    <row r="1563">
      <c r="A1563" s="9">
        <v>45859.0</v>
      </c>
      <c r="B1563" s="10"/>
      <c r="C1563" s="9">
        <f t="shared" si="90"/>
        <v>45859</v>
      </c>
      <c r="D1563" s="11" t="s">
        <v>100</v>
      </c>
      <c r="E1563" s="11" t="s">
        <v>25</v>
      </c>
      <c r="F1563" s="11" t="s">
        <v>40</v>
      </c>
      <c r="G1563" s="11" t="s">
        <v>37</v>
      </c>
      <c r="H1563" s="11" t="s">
        <v>243</v>
      </c>
      <c r="I1563" s="12">
        <v>6191.84</v>
      </c>
      <c r="J1563" s="13"/>
      <c r="K1563" s="13">
        <f t="shared" ref="K1563:K1568" si="92">if(E1563="pago",(I1563-J1563),"")</f>
        <v>6191.84</v>
      </c>
      <c r="L1563" s="11" t="s">
        <v>29</v>
      </c>
      <c r="M1563" s="14"/>
      <c r="N1563" s="11" t="s">
        <v>101</v>
      </c>
      <c r="O1563" s="10" t="str">
        <f t="shared" si="79"/>
        <v>07/2025</v>
      </c>
      <c r="P1563" s="10" t="str">
        <f t="shared" si="81"/>
        <v>07/2025</v>
      </c>
      <c r="Q1563" s="15" t="str">
        <f t="array" ref="Q1563">IFERROR(XLOOKUP(N1563,'Classificação'!A:A,'Classificação'!B:B),"")</f>
        <v>IMPOSTO DE RENDA - DAS</v>
      </c>
      <c r="R1563" s="15" t="str">
        <f t="array" ref="R1563">IFERROR(XLOOKUP(Q1563,'Classificação'!B:B,'Classificação'!C:C),"")</f>
        <v>DEDUÇÕES DA RECEITA BRUTA (-)</v>
      </c>
      <c r="S1563" s="15">
        <f t="shared" si="91"/>
        <v>21</v>
      </c>
      <c r="T1563" s="15">
        <f t="shared" si="6"/>
        <v>7</v>
      </c>
      <c r="U1563" s="15">
        <f t="shared" si="7"/>
        <v>2025</v>
      </c>
      <c r="V1563" s="15">
        <f t="shared" si="8"/>
        <v>21</v>
      </c>
      <c r="W1563" s="15">
        <f t="shared" si="9"/>
        <v>7</v>
      </c>
      <c r="X1563" s="15">
        <f t="shared" si="10"/>
        <v>2025</v>
      </c>
    </row>
    <row r="1564">
      <c r="A1564" s="9">
        <v>45859.0</v>
      </c>
      <c r="B1564" s="10"/>
      <c r="C1564" s="9">
        <f t="shared" si="90"/>
        <v>45859</v>
      </c>
      <c r="D1564" s="11" t="s">
        <v>104</v>
      </c>
      <c r="E1564" s="11" t="s">
        <v>25</v>
      </c>
      <c r="F1564" s="11" t="s">
        <v>40</v>
      </c>
      <c r="G1564" s="11" t="s">
        <v>27</v>
      </c>
      <c r="I1564" s="12">
        <v>450.0</v>
      </c>
      <c r="J1564" s="13"/>
      <c r="K1564" s="13">
        <f t="shared" si="92"/>
        <v>450</v>
      </c>
      <c r="L1564" s="11" t="s">
        <v>29</v>
      </c>
      <c r="M1564" s="14"/>
      <c r="N1564" s="11" t="s">
        <v>105</v>
      </c>
      <c r="O1564" s="10" t="str">
        <f t="shared" si="79"/>
        <v>07/2025</v>
      </c>
      <c r="P1564" s="10" t="str">
        <f t="shared" si="81"/>
        <v>07/2025</v>
      </c>
      <c r="Q1564" s="15" t="str">
        <f t="array" ref="Q1564">IFERROR(XLOOKUP(N1564,'Classificação'!A:A,'Classificação'!B:B),"")</f>
        <v>DESPESAS ADMINISTRATIVAS</v>
      </c>
      <c r="R1564" s="15" t="str">
        <f t="array" ref="R1564">IFERROR(XLOOKUP(Q1564,'Classificação'!B:B,'Classificação'!C:C),"")</f>
        <v>DESPESAS FIXAS (-)</v>
      </c>
      <c r="S1564" s="15">
        <f t="shared" si="91"/>
        <v>21</v>
      </c>
      <c r="T1564" s="15">
        <f t="shared" si="6"/>
        <v>7</v>
      </c>
      <c r="U1564" s="15">
        <f t="shared" si="7"/>
        <v>2025</v>
      </c>
      <c r="V1564" s="15">
        <f t="shared" si="8"/>
        <v>21</v>
      </c>
      <c r="W1564" s="15">
        <f t="shared" si="9"/>
        <v>7</v>
      </c>
      <c r="X1564" s="15">
        <f t="shared" si="10"/>
        <v>2025</v>
      </c>
    </row>
    <row r="1565">
      <c r="A1565" s="9">
        <v>45859.0</v>
      </c>
      <c r="B1565" s="10"/>
      <c r="C1565" s="9">
        <f t="shared" si="90"/>
        <v>45859</v>
      </c>
      <c r="D1565" s="11" t="s">
        <v>100</v>
      </c>
      <c r="E1565" s="11" t="s">
        <v>25</v>
      </c>
      <c r="F1565" s="11" t="s">
        <v>40</v>
      </c>
      <c r="G1565" s="11" t="s">
        <v>27</v>
      </c>
      <c r="H1565" s="11" t="s">
        <v>243</v>
      </c>
      <c r="I1565" s="12">
        <v>13308.43</v>
      </c>
      <c r="J1565" s="13"/>
      <c r="K1565" s="13">
        <f t="shared" si="92"/>
        <v>13308.43</v>
      </c>
      <c r="L1565" s="11" t="s">
        <v>29</v>
      </c>
      <c r="M1565" s="14"/>
      <c r="N1565" s="11" t="s">
        <v>101</v>
      </c>
      <c r="O1565" s="10" t="str">
        <f t="shared" si="79"/>
        <v>07/2025</v>
      </c>
      <c r="P1565" s="10" t="str">
        <f t="shared" si="81"/>
        <v>07/2025</v>
      </c>
      <c r="Q1565" s="15" t="str">
        <f t="array" ref="Q1565">IFERROR(XLOOKUP(N1565,'Classificação'!A:A,'Classificação'!B:B),"")</f>
        <v>IMPOSTO DE RENDA - DAS</v>
      </c>
      <c r="R1565" s="15" t="str">
        <f t="array" ref="R1565">IFERROR(XLOOKUP(Q1565,'Classificação'!B:B,'Classificação'!C:C),"")</f>
        <v>DEDUÇÕES DA RECEITA BRUTA (-)</v>
      </c>
      <c r="S1565" s="15">
        <f t="shared" si="91"/>
        <v>21</v>
      </c>
      <c r="T1565" s="15">
        <f t="shared" si="6"/>
        <v>7</v>
      </c>
      <c r="U1565" s="15">
        <f t="shared" si="7"/>
        <v>2025</v>
      </c>
      <c r="V1565" s="15">
        <f t="shared" si="8"/>
        <v>21</v>
      </c>
      <c r="W1565" s="15">
        <f t="shared" si="9"/>
        <v>7</v>
      </c>
      <c r="X1565" s="15">
        <f t="shared" si="10"/>
        <v>2025</v>
      </c>
    </row>
    <row r="1566">
      <c r="A1566" s="9">
        <v>45859.0</v>
      </c>
      <c r="B1566" s="10"/>
      <c r="C1566" s="9">
        <f t="shared" si="90"/>
        <v>45859</v>
      </c>
      <c r="D1566" s="11" t="s">
        <v>171</v>
      </c>
      <c r="E1566" s="11" t="s">
        <v>25</v>
      </c>
      <c r="F1566" s="11" t="s">
        <v>40</v>
      </c>
      <c r="G1566" s="11" t="s">
        <v>27</v>
      </c>
      <c r="I1566" s="12">
        <v>107.64</v>
      </c>
      <c r="J1566" s="13"/>
      <c r="K1566" s="13">
        <f t="shared" si="92"/>
        <v>107.64</v>
      </c>
      <c r="L1566" s="11" t="s">
        <v>29</v>
      </c>
      <c r="M1566" s="14"/>
      <c r="N1566" s="11" t="s">
        <v>172</v>
      </c>
      <c r="O1566" s="10" t="str">
        <f t="shared" si="79"/>
        <v>07/2025</v>
      </c>
      <c r="P1566" s="10" t="str">
        <f t="shared" si="81"/>
        <v>07/2025</v>
      </c>
      <c r="Q1566" s="15" t="str">
        <f t="array" ref="Q1566">IFERROR(XLOOKUP(N1566,'Classificação'!A:A,'Classificação'!B:B),"")</f>
        <v>DESPESAS COM OCUPAÇÃO</v>
      </c>
      <c r="R1566" s="15" t="str">
        <f t="array" ref="R1566">IFERROR(XLOOKUP(Q1566,'Classificação'!B:B,'Classificação'!C:C),"")</f>
        <v>DESPESAS FIXAS (-)</v>
      </c>
      <c r="S1566" s="15">
        <f t="shared" si="91"/>
        <v>21</v>
      </c>
      <c r="T1566" s="15">
        <f t="shared" si="6"/>
        <v>7</v>
      </c>
      <c r="U1566" s="15">
        <f t="shared" si="7"/>
        <v>2025</v>
      </c>
      <c r="V1566" s="15">
        <f t="shared" si="8"/>
        <v>21</v>
      </c>
      <c r="W1566" s="15">
        <f t="shared" si="9"/>
        <v>7</v>
      </c>
      <c r="X1566" s="15">
        <f t="shared" si="10"/>
        <v>2025</v>
      </c>
    </row>
    <row r="1567">
      <c r="A1567" s="9">
        <v>45859.0</v>
      </c>
      <c r="B1567" s="10"/>
      <c r="C1567" s="9">
        <f t="shared" si="90"/>
        <v>45859</v>
      </c>
      <c r="D1567" s="11" t="s">
        <v>637</v>
      </c>
      <c r="E1567" s="11" t="s">
        <v>25</v>
      </c>
      <c r="F1567" s="11" t="s">
        <v>40</v>
      </c>
      <c r="G1567" s="11" t="s">
        <v>27</v>
      </c>
      <c r="I1567" s="12">
        <v>170.0</v>
      </c>
      <c r="J1567" s="13"/>
      <c r="K1567" s="13">
        <f t="shared" si="92"/>
        <v>170</v>
      </c>
      <c r="L1567" s="11" t="s">
        <v>29</v>
      </c>
      <c r="M1567" s="14"/>
      <c r="N1567" s="11" t="s">
        <v>201</v>
      </c>
      <c r="O1567" s="10" t="str">
        <f t="shared" si="79"/>
        <v>07/2025</v>
      </c>
      <c r="P1567" s="10" t="str">
        <f t="shared" si="81"/>
        <v>07/2025</v>
      </c>
      <c r="Q1567" s="15" t="str">
        <f t="array" ref="Q1567">IFERROR(XLOOKUP(N1567,'Classificação'!A:A,'Classificação'!B:B),"")</f>
        <v>DESPESAS COM OCUPAÇÃO</v>
      </c>
      <c r="R1567" s="15" t="str">
        <f t="array" ref="R1567">IFERROR(XLOOKUP(Q1567,'Classificação'!B:B,'Classificação'!C:C),"")</f>
        <v>DESPESAS FIXAS (-)</v>
      </c>
      <c r="S1567" s="15">
        <f t="shared" si="91"/>
        <v>21</v>
      </c>
      <c r="T1567" s="15">
        <f t="shared" si="6"/>
        <v>7</v>
      </c>
      <c r="U1567" s="15">
        <f t="shared" si="7"/>
        <v>2025</v>
      </c>
      <c r="V1567" s="15">
        <f t="shared" si="8"/>
        <v>21</v>
      </c>
      <c r="W1567" s="15">
        <f t="shared" si="9"/>
        <v>7</v>
      </c>
      <c r="X1567" s="15">
        <f t="shared" si="10"/>
        <v>2025</v>
      </c>
    </row>
    <row r="1568">
      <c r="A1568" s="9">
        <v>45859.0</v>
      </c>
      <c r="B1568" s="10"/>
      <c r="C1568" s="9">
        <f t="shared" si="90"/>
        <v>45859</v>
      </c>
      <c r="D1568" s="11" t="s">
        <v>127</v>
      </c>
      <c r="E1568" s="11" t="s">
        <v>25</v>
      </c>
      <c r="F1568" s="11" t="s">
        <v>26</v>
      </c>
      <c r="G1568" s="11" t="s">
        <v>37</v>
      </c>
      <c r="H1568" s="11" t="s">
        <v>885</v>
      </c>
      <c r="I1568" s="12">
        <v>587.56</v>
      </c>
      <c r="J1568" s="13"/>
      <c r="K1568" s="13">
        <f t="shared" si="92"/>
        <v>587.56</v>
      </c>
      <c r="L1568" s="11" t="s">
        <v>29</v>
      </c>
      <c r="M1568" s="14"/>
      <c r="N1568" s="11" t="s">
        <v>58</v>
      </c>
      <c r="O1568" s="10" t="str">
        <f t="shared" si="79"/>
        <v>07/2025</v>
      </c>
      <c r="P1568" s="10" t="str">
        <f t="shared" si="81"/>
        <v>07/2025</v>
      </c>
      <c r="Q1568" s="15" t="str">
        <f t="array" ref="Q1568">IFERROR(XLOOKUP(N1568,'Classificação'!A:A,'Classificação'!B:B),"")</f>
        <v>DESPESAS ADMINISTRATIVAS</v>
      </c>
      <c r="R1568" s="15" t="str">
        <f t="array" ref="R1568">IFERROR(XLOOKUP(Q1568,'Classificação'!B:B,'Classificação'!C:C),"")</f>
        <v>DESPESAS FIXAS (-)</v>
      </c>
      <c r="S1568" s="15">
        <f t="shared" si="91"/>
        <v>21</v>
      </c>
      <c r="T1568" s="15">
        <f t="shared" si="6"/>
        <v>7</v>
      </c>
      <c r="U1568" s="15">
        <f t="shared" si="7"/>
        <v>2025</v>
      </c>
      <c r="V1568" s="15">
        <f t="shared" si="8"/>
        <v>21</v>
      </c>
      <c r="W1568" s="15">
        <f t="shared" si="9"/>
        <v>7</v>
      </c>
      <c r="X1568" s="15">
        <f t="shared" si="10"/>
        <v>2025</v>
      </c>
    </row>
    <row r="1569">
      <c r="A1569" s="26">
        <v>45859.0</v>
      </c>
      <c r="B1569" s="30"/>
      <c r="C1569" s="27">
        <f t="shared" si="90"/>
        <v>45859</v>
      </c>
      <c r="D1569" s="28" t="s">
        <v>36</v>
      </c>
      <c r="E1569" s="29" t="s">
        <v>25</v>
      </c>
      <c r="F1569" s="28" t="s">
        <v>32</v>
      </c>
      <c r="G1569" s="29" t="s">
        <v>27</v>
      </c>
      <c r="H1569" s="28"/>
      <c r="I1569" s="24">
        <v>5551.0</v>
      </c>
      <c r="J1569" s="34"/>
      <c r="K1569" s="37">
        <f t="shared" ref="K1569:K1570" si="93">IF(E1569="pago",(I1569-J1569),"")</f>
        <v>5551</v>
      </c>
      <c r="L1569" s="28" t="s">
        <v>29</v>
      </c>
      <c r="M1569" s="28"/>
      <c r="N1569" s="28" t="s">
        <v>38</v>
      </c>
      <c r="O1569" s="10" t="str">
        <f t="shared" si="79"/>
        <v>07/2025</v>
      </c>
      <c r="P1569" s="10" t="str">
        <f t="shared" si="81"/>
        <v>07/2025</v>
      </c>
      <c r="Q1569" s="15" t="str">
        <f t="array" ref="Q1569">IFERROR(XLOOKUP(N1569,'Classificação'!A:A,'Classificação'!B:B),"")</f>
        <v>DESPESAS COM PESSOAL</v>
      </c>
      <c r="R1569" s="15" t="str">
        <f t="array" ref="R1569">IFERROR(XLOOKUP(Q1569,'Classificação'!B:B,'Classificação'!C:C),"")</f>
        <v>DESPESAS FIXAS (-)</v>
      </c>
      <c r="S1569" s="15">
        <f t="shared" si="91"/>
        <v>21</v>
      </c>
      <c r="T1569" s="15">
        <f t="shared" si="6"/>
        <v>7</v>
      </c>
      <c r="U1569" s="15">
        <f t="shared" si="7"/>
        <v>2025</v>
      </c>
      <c r="V1569" s="15">
        <f t="shared" si="8"/>
        <v>21</v>
      </c>
      <c r="W1569" s="15">
        <f t="shared" si="9"/>
        <v>7</v>
      </c>
      <c r="X1569" s="15">
        <f t="shared" si="10"/>
        <v>2025</v>
      </c>
    </row>
    <row r="1570">
      <c r="A1570" s="26">
        <v>45859.0</v>
      </c>
      <c r="B1570" s="30"/>
      <c r="C1570" s="27">
        <f t="shared" si="90"/>
        <v>45859</v>
      </c>
      <c r="D1570" s="28" t="s">
        <v>43</v>
      </c>
      <c r="E1570" s="29" t="s">
        <v>25</v>
      </c>
      <c r="F1570" s="28" t="s">
        <v>32</v>
      </c>
      <c r="G1570" s="29" t="s">
        <v>27</v>
      </c>
      <c r="H1570" s="28"/>
      <c r="I1570" s="24">
        <v>5550.0</v>
      </c>
      <c r="J1570" s="34"/>
      <c r="K1570" s="37">
        <f t="shared" si="93"/>
        <v>5550</v>
      </c>
      <c r="L1570" s="28" t="s">
        <v>29</v>
      </c>
      <c r="M1570" s="28"/>
      <c r="N1570" s="28" t="s">
        <v>38</v>
      </c>
      <c r="O1570" s="10" t="str">
        <f t="shared" si="79"/>
        <v>07/2025</v>
      </c>
      <c r="P1570" s="10" t="str">
        <f t="shared" si="81"/>
        <v>07/2025</v>
      </c>
      <c r="Q1570" s="15" t="str">
        <f t="array" ref="Q1570">IFERROR(XLOOKUP(N1570,'Classificação'!A:A,'Classificação'!B:B),"")</f>
        <v>DESPESAS COM PESSOAL</v>
      </c>
      <c r="R1570" s="15" t="str">
        <f t="array" ref="R1570">IFERROR(XLOOKUP(Q1570,'Classificação'!B:B,'Classificação'!C:C),"")</f>
        <v>DESPESAS FIXAS (-)</v>
      </c>
      <c r="S1570" s="15">
        <f t="shared" si="91"/>
        <v>21</v>
      </c>
      <c r="T1570" s="15">
        <f t="shared" si="6"/>
        <v>7</v>
      </c>
      <c r="U1570" s="15">
        <f t="shared" si="7"/>
        <v>2025</v>
      </c>
      <c r="V1570" s="15">
        <f t="shared" si="8"/>
        <v>21</v>
      </c>
      <c r="W1570" s="15">
        <f t="shared" si="9"/>
        <v>7</v>
      </c>
      <c r="X1570" s="15">
        <f t="shared" si="10"/>
        <v>2025</v>
      </c>
    </row>
    <row r="1571">
      <c r="A1571" s="9">
        <v>45859.0</v>
      </c>
      <c r="B1571" s="9">
        <v>45825.0</v>
      </c>
      <c r="C1571" s="9">
        <f t="shared" si="90"/>
        <v>45859</v>
      </c>
      <c r="D1571" s="11" t="s">
        <v>832</v>
      </c>
      <c r="E1571" s="11" t="s">
        <v>25</v>
      </c>
      <c r="F1571" s="11" t="s">
        <v>26</v>
      </c>
      <c r="G1571" s="11" t="s">
        <v>27</v>
      </c>
      <c r="H1571" s="11" t="s">
        <v>886</v>
      </c>
      <c r="I1571" s="12">
        <v>29.66</v>
      </c>
      <c r="J1571" s="13"/>
      <c r="K1571" s="13">
        <f t="shared" ref="K1571:K1577" si="94">if(E1571="pago",(I1571-J1571),"")</f>
        <v>29.66</v>
      </c>
      <c r="L1571" s="11" t="s">
        <v>34</v>
      </c>
      <c r="M1571" s="14"/>
      <c r="N1571" s="11" t="s">
        <v>105</v>
      </c>
      <c r="O1571" s="10" t="str">
        <f t="shared" si="79"/>
        <v>07/2025</v>
      </c>
      <c r="P1571" s="10" t="str">
        <f t="shared" si="81"/>
        <v>07/2025</v>
      </c>
      <c r="Q1571" s="15" t="str">
        <f t="array" ref="Q1571">IFERROR(XLOOKUP(N1571,'Classificação'!A:A,'Classificação'!B:B),"")</f>
        <v>DESPESAS ADMINISTRATIVAS</v>
      </c>
      <c r="R1571" s="15" t="str">
        <f t="array" ref="R1571">IFERROR(XLOOKUP(Q1571,'Classificação'!B:B,'Classificação'!C:C),"")</f>
        <v>DESPESAS FIXAS (-)</v>
      </c>
      <c r="S1571" s="15">
        <f t="shared" si="91"/>
        <v>21</v>
      </c>
      <c r="T1571" s="15">
        <f t="shared" si="6"/>
        <v>7</v>
      </c>
      <c r="U1571" s="15">
        <f t="shared" si="7"/>
        <v>2025</v>
      </c>
      <c r="V1571" s="15">
        <f t="shared" si="8"/>
        <v>21</v>
      </c>
      <c r="W1571" s="15">
        <f t="shared" si="9"/>
        <v>7</v>
      </c>
      <c r="X1571" s="15">
        <f t="shared" si="10"/>
        <v>2025</v>
      </c>
    </row>
    <row r="1572">
      <c r="A1572" s="9">
        <v>45859.0</v>
      </c>
      <c r="B1572" s="9">
        <v>45553.0</v>
      </c>
      <c r="C1572" s="9">
        <f t="shared" si="90"/>
        <v>45859</v>
      </c>
      <c r="D1572" s="11" t="s">
        <v>313</v>
      </c>
      <c r="E1572" s="11" t="s">
        <v>25</v>
      </c>
      <c r="F1572" s="11" t="s">
        <v>26</v>
      </c>
      <c r="G1572" s="11" t="s">
        <v>27</v>
      </c>
      <c r="H1572" s="11" t="s">
        <v>327</v>
      </c>
      <c r="I1572" s="31">
        <v>250.0</v>
      </c>
      <c r="J1572" s="13"/>
      <c r="K1572" s="13">
        <f t="shared" si="94"/>
        <v>250</v>
      </c>
      <c r="L1572" s="11" t="s">
        <v>53</v>
      </c>
      <c r="M1572" s="17">
        <v>45636.0</v>
      </c>
      <c r="N1572" s="11" t="s">
        <v>95</v>
      </c>
      <c r="O1572" s="10" t="str">
        <f t="shared" si="79"/>
        <v>07/2025</v>
      </c>
      <c r="P1572" s="10" t="str">
        <f t="shared" si="81"/>
        <v>07/2025</v>
      </c>
      <c r="Q1572" s="15" t="str">
        <f t="array" ref="Q1572">IFERROR(XLOOKUP(N1572,'Classificação'!A:A,'Classificação'!B:B),"")</f>
        <v>DESPESAS NÃO OPERACIONAIS</v>
      </c>
      <c r="R1572" s="15" t="str">
        <f t="array" ref="R1572">IFERROR(XLOOKUP(Q1572,'Classificação'!B:B,'Classificação'!C:C),"")</f>
        <v>RESULTADO NÃO OPERACIONAL (+/-)</v>
      </c>
      <c r="S1572" s="15">
        <f t="shared" si="91"/>
        <v>21</v>
      </c>
      <c r="T1572" s="15">
        <f t="shared" si="6"/>
        <v>7</v>
      </c>
      <c r="U1572" s="15">
        <f t="shared" si="7"/>
        <v>2025</v>
      </c>
      <c r="V1572" s="15">
        <f t="shared" si="8"/>
        <v>21</v>
      </c>
      <c r="W1572" s="15">
        <f t="shared" si="9"/>
        <v>7</v>
      </c>
      <c r="X1572" s="15">
        <f t="shared" si="10"/>
        <v>2025</v>
      </c>
    </row>
    <row r="1573">
      <c r="A1573" s="9">
        <v>45859.0</v>
      </c>
      <c r="B1573" s="32">
        <v>45611.0</v>
      </c>
      <c r="C1573" s="9">
        <f t="shared" si="90"/>
        <v>45859</v>
      </c>
      <c r="D1573" s="11" t="s">
        <v>361</v>
      </c>
      <c r="E1573" s="11" t="s">
        <v>25</v>
      </c>
      <c r="F1573" s="29" t="s">
        <v>26</v>
      </c>
      <c r="G1573" s="11" t="s">
        <v>27</v>
      </c>
      <c r="H1573" s="11" t="s">
        <v>362</v>
      </c>
      <c r="I1573" s="31">
        <v>180.07</v>
      </c>
      <c r="J1573" s="13"/>
      <c r="K1573" s="13">
        <f t="shared" si="94"/>
        <v>180.07</v>
      </c>
      <c r="L1573" s="11" t="s">
        <v>53</v>
      </c>
      <c r="M1573" s="17">
        <v>45635.0</v>
      </c>
      <c r="N1573" s="11" t="s">
        <v>61</v>
      </c>
      <c r="O1573" s="10" t="str">
        <f t="shared" si="79"/>
        <v>07/2025</v>
      </c>
      <c r="P1573" s="10" t="str">
        <f t="shared" si="81"/>
        <v>07/2025</v>
      </c>
      <c r="Q1573" s="15" t="str">
        <f t="array" ref="Q1573">IFERROR(XLOOKUP(N1573,'Classificação'!A:A,'Classificação'!B:B),"")</f>
        <v>DESPESAS ADMINISTRATIVAS</v>
      </c>
      <c r="R1573" s="15" t="str">
        <f t="array" ref="R1573">IFERROR(XLOOKUP(Q1573,'Classificação'!B:B,'Classificação'!C:C),"")</f>
        <v>DESPESAS FIXAS (-)</v>
      </c>
      <c r="S1573" s="15">
        <f t="shared" si="91"/>
        <v>21</v>
      </c>
      <c r="T1573" s="15">
        <f t="shared" si="6"/>
        <v>7</v>
      </c>
      <c r="U1573" s="15">
        <f t="shared" si="7"/>
        <v>2025</v>
      </c>
      <c r="V1573" s="15">
        <f t="shared" si="8"/>
        <v>21</v>
      </c>
      <c r="W1573" s="15">
        <f t="shared" si="9"/>
        <v>7</v>
      </c>
      <c r="X1573" s="15">
        <f t="shared" si="10"/>
        <v>2025</v>
      </c>
    </row>
    <row r="1574">
      <c r="A1574" s="9">
        <v>45859.0</v>
      </c>
      <c r="B1574" s="9">
        <v>45832.0</v>
      </c>
      <c r="C1574" s="9">
        <f t="shared" si="90"/>
        <v>45859</v>
      </c>
      <c r="D1574" s="11" t="s">
        <v>887</v>
      </c>
      <c r="E1574" s="11" t="s">
        <v>25</v>
      </c>
      <c r="F1574" s="11" t="s">
        <v>26</v>
      </c>
      <c r="G1574" s="11" t="s">
        <v>27</v>
      </c>
      <c r="H1574" s="11" t="s">
        <v>888</v>
      </c>
      <c r="I1574" s="31">
        <v>359.04</v>
      </c>
      <c r="J1574" s="13"/>
      <c r="K1574" s="13">
        <f t="shared" si="94"/>
        <v>359.04</v>
      </c>
      <c r="L1574" s="11" t="s">
        <v>34</v>
      </c>
      <c r="M1574" s="14"/>
      <c r="N1574" s="11" t="s">
        <v>120</v>
      </c>
      <c r="O1574" s="10" t="str">
        <f t="shared" si="79"/>
        <v>07/2025</v>
      </c>
      <c r="P1574" s="10" t="str">
        <f t="shared" si="81"/>
        <v>07/2025</v>
      </c>
      <c r="Q1574" s="15" t="str">
        <f t="array" ref="Q1574">IFERROR(XLOOKUP(N1574,'Classificação'!A:A,'Classificação'!B:B),"")</f>
        <v>DESPESAS ADMINISTRATIVAS</v>
      </c>
      <c r="R1574" s="15" t="str">
        <f t="array" ref="R1574">IFERROR(XLOOKUP(Q1574,'Classificação'!B:B,'Classificação'!C:C),"")</f>
        <v>DESPESAS FIXAS (-)</v>
      </c>
      <c r="S1574" s="15">
        <f t="shared" si="91"/>
        <v>21</v>
      </c>
      <c r="T1574" s="15">
        <f t="shared" si="6"/>
        <v>7</v>
      </c>
      <c r="U1574" s="15">
        <f t="shared" si="7"/>
        <v>2025</v>
      </c>
      <c r="V1574" s="15">
        <f t="shared" si="8"/>
        <v>21</v>
      </c>
      <c r="W1574" s="15">
        <f t="shared" si="9"/>
        <v>7</v>
      </c>
      <c r="X1574" s="15">
        <f t="shared" si="10"/>
        <v>2025</v>
      </c>
    </row>
    <row r="1575">
      <c r="A1575" s="9">
        <v>45859.0</v>
      </c>
      <c r="B1575" s="9">
        <v>45834.0</v>
      </c>
      <c r="C1575" s="9">
        <f t="shared" si="90"/>
        <v>45859</v>
      </c>
      <c r="D1575" s="11" t="s">
        <v>691</v>
      </c>
      <c r="E1575" s="11" t="s">
        <v>25</v>
      </c>
      <c r="F1575" s="11" t="s">
        <v>26</v>
      </c>
      <c r="G1575" s="11" t="s">
        <v>27</v>
      </c>
      <c r="H1575" s="11" t="s">
        <v>889</v>
      </c>
      <c r="I1575" s="31">
        <v>196.53</v>
      </c>
      <c r="J1575" s="13"/>
      <c r="K1575" s="13">
        <f t="shared" si="94"/>
        <v>196.53</v>
      </c>
      <c r="L1575" s="11" t="s">
        <v>53</v>
      </c>
      <c r="M1575" s="17">
        <v>45809.0</v>
      </c>
      <c r="N1575" s="11" t="s">
        <v>61</v>
      </c>
      <c r="O1575" s="10" t="str">
        <f t="shared" si="79"/>
        <v>07/2025</v>
      </c>
      <c r="P1575" s="10" t="str">
        <f t="shared" si="81"/>
        <v>07/2025</v>
      </c>
      <c r="Q1575" s="15" t="str">
        <f t="array" ref="Q1575">IFERROR(XLOOKUP(N1575,'Classificação'!A:A,'Classificação'!B:B),"")</f>
        <v>DESPESAS ADMINISTRATIVAS</v>
      </c>
      <c r="R1575" s="15" t="str">
        <f t="array" ref="R1575">IFERROR(XLOOKUP(Q1575,'Classificação'!B:B,'Classificação'!C:C),"")</f>
        <v>DESPESAS FIXAS (-)</v>
      </c>
      <c r="S1575" s="15">
        <f t="shared" si="91"/>
        <v>21</v>
      </c>
      <c r="T1575" s="15">
        <f t="shared" si="6"/>
        <v>7</v>
      </c>
      <c r="U1575" s="15">
        <f t="shared" si="7"/>
        <v>2025</v>
      </c>
      <c r="V1575" s="15">
        <f t="shared" si="8"/>
        <v>21</v>
      </c>
      <c r="W1575" s="15">
        <f t="shared" si="9"/>
        <v>7</v>
      </c>
      <c r="X1575" s="15">
        <f t="shared" si="10"/>
        <v>2025</v>
      </c>
    </row>
    <row r="1576">
      <c r="A1576" s="9">
        <v>45859.0</v>
      </c>
      <c r="B1576" s="9">
        <v>45835.0</v>
      </c>
      <c r="C1576" s="9">
        <f t="shared" si="90"/>
        <v>45859</v>
      </c>
      <c r="D1576" s="11" t="s">
        <v>558</v>
      </c>
      <c r="E1576" s="11" t="s">
        <v>25</v>
      </c>
      <c r="F1576" s="11" t="s">
        <v>26</v>
      </c>
      <c r="G1576" s="11" t="s">
        <v>27</v>
      </c>
      <c r="H1576" s="11" t="s">
        <v>890</v>
      </c>
      <c r="I1576" s="12">
        <v>293.98</v>
      </c>
      <c r="J1576" s="13"/>
      <c r="K1576" s="13">
        <f t="shared" si="94"/>
        <v>293.98</v>
      </c>
      <c r="L1576" s="11" t="s">
        <v>34</v>
      </c>
      <c r="M1576" s="14"/>
      <c r="N1576" s="11" t="s">
        <v>120</v>
      </c>
      <c r="O1576" s="10" t="str">
        <f t="shared" si="79"/>
        <v>07/2025</v>
      </c>
      <c r="P1576" s="10" t="str">
        <f t="shared" si="81"/>
        <v>07/2025</v>
      </c>
      <c r="Q1576" s="15" t="str">
        <f t="array" ref="Q1576">IFERROR(XLOOKUP(N1576,'Classificação'!A:A,'Classificação'!B:B),"")</f>
        <v>DESPESAS ADMINISTRATIVAS</v>
      </c>
      <c r="R1576" s="15" t="str">
        <f t="array" ref="R1576">IFERROR(XLOOKUP(Q1576,'Classificação'!B:B,'Classificação'!C:C),"")</f>
        <v>DESPESAS FIXAS (-)</v>
      </c>
      <c r="S1576" s="15">
        <f t="shared" si="91"/>
        <v>21</v>
      </c>
      <c r="T1576" s="15">
        <f t="shared" si="6"/>
        <v>7</v>
      </c>
      <c r="U1576" s="15">
        <f t="shared" si="7"/>
        <v>2025</v>
      </c>
      <c r="V1576" s="15">
        <f t="shared" si="8"/>
        <v>21</v>
      </c>
      <c r="W1576" s="15">
        <f t="shared" si="9"/>
        <v>7</v>
      </c>
      <c r="X1576" s="15">
        <f t="shared" si="10"/>
        <v>2025</v>
      </c>
    </row>
    <row r="1577">
      <c r="A1577" s="9">
        <v>45859.0</v>
      </c>
      <c r="B1577" s="10"/>
      <c r="C1577" s="9">
        <f t="shared" si="90"/>
        <v>45859</v>
      </c>
      <c r="D1577" s="11" t="s">
        <v>570</v>
      </c>
      <c r="E1577" s="11" t="s">
        <v>25</v>
      </c>
      <c r="F1577" s="11" t="s">
        <v>26</v>
      </c>
      <c r="G1577" s="11" t="s">
        <v>27</v>
      </c>
      <c r="H1577" s="11" t="s">
        <v>891</v>
      </c>
      <c r="I1577" s="12">
        <v>235.84</v>
      </c>
      <c r="J1577" s="13"/>
      <c r="K1577" s="13">
        <f t="shared" si="94"/>
        <v>235.84</v>
      </c>
      <c r="L1577" s="11" t="s">
        <v>34</v>
      </c>
      <c r="M1577" s="14"/>
      <c r="N1577" s="11" t="s">
        <v>120</v>
      </c>
      <c r="O1577" s="10" t="str">
        <f t="shared" si="79"/>
        <v>07/2025</v>
      </c>
      <c r="P1577" s="10" t="str">
        <f t="shared" si="81"/>
        <v>07/2025</v>
      </c>
      <c r="Q1577" s="15" t="str">
        <f t="array" ref="Q1577">IFERROR(XLOOKUP(N1577,'Classificação'!A:A,'Classificação'!B:B),"")</f>
        <v>DESPESAS ADMINISTRATIVAS</v>
      </c>
      <c r="R1577" s="15" t="str">
        <f t="array" ref="R1577">IFERROR(XLOOKUP(Q1577,'Classificação'!B:B,'Classificação'!C:C),"")</f>
        <v>DESPESAS FIXAS (-)</v>
      </c>
      <c r="S1577" s="15">
        <f t="shared" si="91"/>
        <v>21</v>
      </c>
      <c r="T1577" s="15">
        <f t="shared" si="6"/>
        <v>7</v>
      </c>
      <c r="U1577" s="15">
        <f t="shared" si="7"/>
        <v>2025</v>
      </c>
      <c r="V1577" s="15">
        <f t="shared" si="8"/>
        <v>21</v>
      </c>
      <c r="W1577" s="15">
        <f t="shared" si="9"/>
        <v>7</v>
      </c>
      <c r="X1577" s="15">
        <f t="shared" si="10"/>
        <v>2025</v>
      </c>
    </row>
    <row r="1578">
      <c r="A1578" s="9">
        <v>45859.0</v>
      </c>
      <c r="B1578" s="27"/>
      <c r="C1578" s="27">
        <f t="shared" si="90"/>
        <v>45859</v>
      </c>
      <c r="D1578" s="28" t="s">
        <v>828</v>
      </c>
      <c r="E1578" s="11" t="s">
        <v>25</v>
      </c>
      <c r="F1578" s="28" t="s">
        <v>26</v>
      </c>
      <c r="G1578" s="11" t="s">
        <v>27</v>
      </c>
      <c r="H1578" s="28" t="s">
        <v>829</v>
      </c>
      <c r="I1578" s="33">
        <v>112.05</v>
      </c>
      <c r="J1578" s="34"/>
      <c r="K1578" s="37">
        <f>IF(E1578="pago",(I1578-J1578),"")</f>
        <v>112.05</v>
      </c>
      <c r="L1578" s="28" t="s">
        <v>34</v>
      </c>
      <c r="M1578" s="28"/>
      <c r="N1578" s="28" t="s">
        <v>105</v>
      </c>
      <c r="O1578" s="10" t="str">
        <f t="shared" si="79"/>
        <v>07/2025</v>
      </c>
      <c r="P1578" s="10" t="str">
        <f t="shared" si="81"/>
        <v>07/2025</v>
      </c>
      <c r="Q1578" s="15" t="str">
        <f t="array" ref="Q1578">IFERROR(XLOOKUP(N1578,'Classificação'!A:A,'Classificação'!B:B),"")</f>
        <v>DESPESAS ADMINISTRATIVAS</v>
      </c>
      <c r="R1578" s="15" t="str">
        <f t="array" ref="R1578">IFERROR(XLOOKUP(Q1578,'Classificação'!B:B,'Classificação'!C:C),"")</f>
        <v>DESPESAS FIXAS (-)</v>
      </c>
      <c r="S1578" s="15">
        <f t="shared" si="91"/>
        <v>21</v>
      </c>
      <c r="T1578" s="15">
        <f t="shared" si="6"/>
        <v>7</v>
      </c>
      <c r="U1578" s="15">
        <f t="shared" si="7"/>
        <v>2025</v>
      </c>
      <c r="V1578" s="15">
        <f t="shared" si="8"/>
        <v>21</v>
      </c>
      <c r="W1578" s="15">
        <f t="shared" si="9"/>
        <v>7</v>
      </c>
      <c r="X1578" s="15">
        <f t="shared" si="10"/>
        <v>2025</v>
      </c>
    </row>
    <row r="1579">
      <c r="A1579" s="9">
        <v>45860.0</v>
      </c>
      <c r="B1579" s="10"/>
      <c r="C1579" s="9">
        <f t="shared" si="90"/>
        <v>45860</v>
      </c>
      <c r="D1579" s="28" t="s">
        <v>76</v>
      </c>
      <c r="E1579" s="29" t="s">
        <v>25</v>
      </c>
      <c r="F1579" s="28" t="s">
        <v>26</v>
      </c>
      <c r="G1579" s="28" t="s">
        <v>27</v>
      </c>
      <c r="H1579" s="28" t="s">
        <v>84</v>
      </c>
      <c r="I1579" s="24">
        <v>1214.27</v>
      </c>
      <c r="J1579" s="13"/>
      <c r="K1579" s="13">
        <f t="shared" ref="K1579:K1584" si="95">if(E1579="pago",(I1579-J1579),"")</f>
        <v>1214.27</v>
      </c>
      <c r="L1579" s="28" t="s">
        <v>53</v>
      </c>
      <c r="M1579" s="16" t="s">
        <v>843</v>
      </c>
      <c r="N1579" s="28" t="s">
        <v>85</v>
      </c>
      <c r="O1579" s="10" t="str">
        <f t="shared" si="79"/>
        <v>07/2025</v>
      </c>
      <c r="P1579" s="10" t="str">
        <f t="shared" si="81"/>
        <v>07/2025</v>
      </c>
      <c r="Q1579" s="15" t="str">
        <f t="array" ref="Q1579">IFERROR(XLOOKUP(N1579,'Classificação'!A:A,'Classificação'!B:B),"")</f>
        <v>DESPESAS NÃO OPERACIONAIS</v>
      </c>
      <c r="R1579" s="15" t="str">
        <f t="array" ref="R1579">IFERROR(XLOOKUP(Q1579,'Classificação'!B:B,'Classificação'!C:C),"")</f>
        <v>RESULTADO NÃO OPERACIONAL (+/-)</v>
      </c>
      <c r="S1579" s="15">
        <f t="shared" si="91"/>
        <v>22</v>
      </c>
      <c r="T1579" s="15">
        <f t="shared" si="6"/>
        <v>7</v>
      </c>
      <c r="U1579" s="15">
        <f t="shared" si="7"/>
        <v>2025</v>
      </c>
      <c r="V1579" s="15">
        <f t="shared" si="8"/>
        <v>22</v>
      </c>
      <c r="W1579" s="15">
        <f t="shared" si="9"/>
        <v>7</v>
      </c>
      <c r="X1579" s="15">
        <f t="shared" si="10"/>
        <v>2025</v>
      </c>
    </row>
    <row r="1580">
      <c r="A1580" s="9">
        <v>45861.0</v>
      </c>
      <c r="B1580" s="9">
        <v>45755.0</v>
      </c>
      <c r="C1580" s="9">
        <f t="shared" si="90"/>
        <v>45861</v>
      </c>
      <c r="D1580" s="11" t="s">
        <v>86</v>
      </c>
      <c r="E1580" s="11" t="s">
        <v>25</v>
      </c>
      <c r="F1580" s="11" t="s">
        <v>87</v>
      </c>
      <c r="G1580" s="11" t="s">
        <v>27</v>
      </c>
      <c r="H1580" s="11" t="s">
        <v>892</v>
      </c>
      <c r="I1580" s="12">
        <v>1300.0</v>
      </c>
      <c r="J1580" s="13"/>
      <c r="K1580" s="13">
        <f t="shared" si="95"/>
        <v>1300</v>
      </c>
      <c r="L1580" s="11" t="s">
        <v>53</v>
      </c>
      <c r="M1580" s="17">
        <v>45750.0</v>
      </c>
      <c r="N1580" s="11" t="s">
        <v>35</v>
      </c>
      <c r="O1580" s="10" t="str">
        <f t="shared" si="79"/>
        <v>07/2025</v>
      </c>
      <c r="P1580" s="10" t="str">
        <f t="shared" si="81"/>
        <v>07/2025</v>
      </c>
      <c r="Q1580" s="15" t="str">
        <f t="array" ref="Q1580">IFERROR(XLOOKUP(N1580,'Classificação'!A:A,'Classificação'!B:B),"")</f>
        <v>COMPRA DE MERCADORIA</v>
      </c>
      <c r="R1580" s="15" t="str">
        <f t="array" ref="R1580">IFERROR(XLOOKUP(Q1580,'Classificação'!B:B,'Classificação'!C:C),"")</f>
        <v>CUSTOS VARIÁVEIS</v>
      </c>
      <c r="S1580" s="15">
        <f t="shared" si="91"/>
        <v>23</v>
      </c>
      <c r="T1580" s="15">
        <f t="shared" si="6"/>
        <v>7</v>
      </c>
      <c r="U1580" s="15">
        <f t="shared" si="7"/>
        <v>2025</v>
      </c>
      <c r="V1580" s="15">
        <f t="shared" si="8"/>
        <v>23</v>
      </c>
      <c r="W1580" s="15">
        <f t="shared" si="9"/>
        <v>7</v>
      </c>
      <c r="X1580" s="15">
        <f t="shared" si="10"/>
        <v>2025</v>
      </c>
    </row>
    <row r="1581">
      <c r="A1581" s="9">
        <v>45862.0</v>
      </c>
      <c r="B1581" s="10"/>
      <c r="C1581" s="9">
        <f t="shared" si="90"/>
        <v>45862</v>
      </c>
      <c r="D1581" s="11" t="s">
        <v>39</v>
      </c>
      <c r="E1581" s="11" t="s">
        <v>25</v>
      </c>
      <c r="F1581" s="11" t="s">
        <v>40</v>
      </c>
      <c r="G1581" s="11" t="s">
        <v>27</v>
      </c>
      <c r="H1581" s="11" t="s">
        <v>640</v>
      </c>
      <c r="I1581" s="12">
        <v>142.68</v>
      </c>
      <c r="J1581" s="13"/>
      <c r="K1581" s="13">
        <f t="shared" si="95"/>
        <v>142.68</v>
      </c>
      <c r="L1581" s="11" t="s">
        <v>53</v>
      </c>
      <c r="M1581" s="17">
        <v>45935.0</v>
      </c>
      <c r="N1581" s="11" t="s">
        <v>355</v>
      </c>
      <c r="O1581" s="10" t="str">
        <f t="shared" si="79"/>
        <v>07/2025</v>
      </c>
      <c r="P1581" s="10" t="str">
        <f t="shared" si="81"/>
        <v>07/2025</v>
      </c>
      <c r="Q1581" s="15" t="str">
        <f t="array" ref="Q1581">IFERROR(XLOOKUP(N1581,'Classificação'!A:A,'Classificação'!B:B),"")</f>
        <v>IMPOSTOS E TAXAS DIVERSAS</v>
      </c>
      <c r="R1581" s="15" t="str">
        <f t="array" ref="R1581">IFERROR(XLOOKUP(Q1581,'Classificação'!B:B,'Classificação'!C:C),"")</f>
        <v>DESPESAS FIXAS (-)</v>
      </c>
      <c r="S1581" s="15">
        <f t="shared" si="91"/>
        <v>24</v>
      </c>
      <c r="T1581" s="15">
        <f t="shared" si="6"/>
        <v>7</v>
      </c>
      <c r="U1581" s="15">
        <f t="shared" si="7"/>
        <v>2025</v>
      </c>
      <c r="V1581" s="15">
        <f t="shared" si="8"/>
        <v>24</v>
      </c>
      <c r="W1581" s="15">
        <f t="shared" si="9"/>
        <v>7</v>
      </c>
      <c r="X1581" s="15">
        <f t="shared" si="10"/>
        <v>2025</v>
      </c>
    </row>
    <row r="1582">
      <c r="A1582" s="26">
        <v>45863.0</v>
      </c>
      <c r="B1582" s="30"/>
      <c r="C1582" s="27">
        <f t="shared" si="90"/>
        <v>45863</v>
      </c>
      <c r="D1582" s="28" t="s">
        <v>520</v>
      </c>
      <c r="E1582" s="29" t="s">
        <v>25</v>
      </c>
      <c r="F1582" s="28" t="s">
        <v>26</v>
      </c>
      <c r="G1582" s="29" t="s">
        <v>37</v>
      </c>
      <c r="H1582" s="29" t="s">
        <v>893</v>
      </c>
      <c r="I1582" s="24">
        <v>200.0</v>
      </c>
      <c r="J1582" s="34"/>
      <c r="K1582" s="13">
        <f t="shared" si="95"/>
        <v>200</v>
      </c>
      <c r="L1582" s="28" t="s">
        <v>34</v>
      </c>
      <c r="M1582" s="28"/>
      <c r="N1582" s="28" t="s">
        <v>58</v>
      </c>
      <c r="O1582" s="10" t="str">
        <f t="shared" si="79"/>
        <v>07/2025</v>
      </c>
      <c r="P1582" s="10" t="str">
        <f t="shared" si="81"/>
        <v>07/2025</v>
      </c>
      <c r="Q1582" s="15" t="str">
        <f t="array" ref="Q1582">IFERROR(XLOOKUP(N1582,'Classificação'!A:A,'Classificação'!B:B),"")</f>
        <v>DESPESAS ADMINISTRATIVAS</v>
      </c>
      <c r="R1582" s="15" t="str">
        <f t="array" ref="R1582">IFERROR(XLOOKUP(Q1582,'Classificação'!B:B,'Classificação'!C:C),"")</f>
        <v>DESPESAS FIXAS (-)</v>
      </c>
      <c r="S1582" s="15">
        <f t="shared" si="91"/>
        <v>25</v>
      </c>
      <c r="T1582" s="15">
        <f t="shared" si="6"/>
        <v>7</v>
      </c>
      <c r="U1582" s="15">
        <f t="shared" si="7"/>
        <v>2025</v>
      </c>
      <c r="V1582" s="15">
        <f t="shared" si="8"/>
        <v>25</v>
      </c>
      <c r="W1582" s="15">
        <f t="shared" si="9"/>
        <v>7</v>
      </c>
      <c r="X1582" s="15">
        <f t="shared" si="10"/>
        <v>2025</v>
      </c>
    </row>
    <row r="1583">
      <c r="A1583" s="9">
        <v>45863.0</v>
      </c>
      <c r="B1583" s="10"/>
      <c r="C1583" s="9">
        <f t="shared" si="90"/>
        <v>45863</v>
      </c>
      <c r="D1583" s="11" t="s">
        <v>208</v>
      </c>
      <c r="E1583" s="11" t="s">
        <v>25</v>
      </c>
      <c r="F1583" s="11" t="s">
        <v>40</v>
      </c>
      <c r="G1583" s="11" t="s">
        <v>27</v>
      </c>
      <c r="H1583" s="11" t="s">
        <v>209</v>
      </c>
      <c r="I1583" s="12">
        <v>174.69</v>
      </c>
      <c r="J1583" s="13"/>
      <c r="K1583" s="13">
        <f t="shared" si="95"/>
        <v>174.69</v>
      </c>
      <c r="L1583" s="11" t="s">
        <v>29</v>
      </c>
      <c r="M1583" s="14"/>
      <c r="N1583" s="11" t="s">
        <v>210</v>
      </c>
      <c r="O1583" s="10" t="str">
        <f t="shared" si="79"/>
        <v>07/2025</v>
      </c>
      <c r="P1583" s="10" t="str">
        <f t="shared" si="81"/>
        <v>07/2025</v>
      </c>
      <c r="Q1583" s="15" t="str">
        <f t="array" ref="Q1583">IFERROR(XLOOKUP(N1583,'Classificação'!A:A,'Classificação'!B:B),"")</f>
        <v>DESPESAS COM OCUPAÇÃO</v>
      </c>
      <c r="R1583" s="15" t="str">
        <f t="array" ref="R1583">IFERROR(XLOOKUP(Q1583,'Classificação'!B:B,'Classificação'!C:C),"")</f>
        <v>DESPESAS FIXAS (-)</v>
      </c>
      <c r="S1583" s="15">
        <f t="shared" si="91"/>
        <v>25</v>
      </c>
      <c r="T1583" s="15">
        <f t="shared" si="6"/>
        <v>7</v>
      </c>
      <c r="U1583" s="15">
        <f t="shared" si="7"/>
        <v>2025</v>
      </c>
      <c r="V1583" s="15">
        <f t="shared" si="8"/>
        <v>25</v>
      </c>
      <c r="W1583" s="15">
        <f t="shared" si="9"/>
        <v>7</v>
      </c>
      <c r="X1583" s="15">
        <f t="shared" si="10"/>
        <v>2025</v>
      </c>
    </row>
    <row r="1584">
      <c r="A1584" s="9">
        <v>45867.0</v>
      </c>
      <c r="B1584" s="10"/>
      <c r="C1584" s="9">
        <f t="shared" si="90"/>
        <v>45867</v>
      </c>
      <c r="D1584" s="11" t="s">
        <v>221</v>
      </c>
      <c r="E1584" s="11" t="s">
        <v>25</v>
      </c>
      <c r="F1584" s="11" t="s">
        <v>32</v>
      </c>
      <c r="G1584" s="11" t="s">
        <v>27</v>
      </c>
      <c r="H1584" s="11" t="s">
        <v>222</v>
      </c>
      <c r="I1584" s="12">
        <v>360.54</v>
      </c>
      <c r="J1584" s="13"/>
      <c r="K1584" s="13">
        <f t="shared" si="95"/>
        <v>360.54</v>
      </c>
      <c r="L1584" s="11" t="s">
        <v>29</v>
      </c>
      <c r="M1584" s="14"/>
      <c r="N1584" s="11" t="s">
        <v>61</v>
      </c>
      <c r="O1584" s="10" t="str">
        <f t="shared" si="79"/>
        <v>07/2025</v>
      </c>
      <c r="P1584" s="10" t="str">
        <f t="shared" si="81"/>
        <v>07/2025</v>
      </c>
      <c r="Q1584" s="15" t="str">
        <f t="array" ref="Q1584">IFERROR(XLOOKUP(N1584,'Classificação'!A:A,'Classificação'!B:B),"")</f>
        <v>DESPESAS ADMINISTRATIVAS</v>
      </c>
      <c r="R1584" s="15" t="str">
        <f t="array" ref="R1584">IFERROR(XLOOKUP(Q1584,'Classificação'!B:B,'Classificação'!C:C),"")</f>
        <v>DESPESAS FIXAS (-)</v>
      </c>
      <c r="S1584" s="15">
        <f t="shared" si="91"/>
        <v>29</v>
      </c>
      <c r="T1584" s="15">
        <f t="shared" si="6"/>
        <v>7</v>
      </c>
      <c r="U1584" s="15">
        <f t="shared" si="7"/>
        <v>2025</v>
      </c>
      <c r="V1584" s="15">
        <f t="shared" si="8"/>
        <v>29</v>
      </c>
      <c r="W1584" s="15">
        <f t="shared" si="9"/>
        <v>7</v>
      </c>
      <c r="X1584" s="15">
        <f t="shared" si="10"/>
        <v>2025</v>
      </c>
    </row>
    <row r="1585">
      <c r="A1585" s="26">
        <v>45867.0</v>
      </c>
      <c r="B1585" s="30"/>
      <c r="C1585" s="27">
        <f t="shared" si="90"/>
        <v>45867</v>
      </c>
      <c r="D1585" s="28" t="s">
        <v>520</v>
      </c>
      <c r="E1585" s="29" t="s">
        <v>25</v>
      </c>
      <c r="F1585" s="28" t="s">
        <v>26</v>
      </c>
      <c r="G1585" s="28" t="s">
        <v>37</v>
      </c>
      <c r="H1585" s="29" t="s">
        <v>894</v>
      </c>
      <c r="I1585" s="24">
        <v>100.0</v>
      </c>
      <c r="J1585" s="34"/>
      <c r="K1585" s="37">
        <f>IF(E1585="pago",(I1585-J1585),"")</f>
        <v>100</v>
      </c>
      <c r="L1585" s="28" t="s">
        <v>34</v>
      </c>
      <c r="M1585" s="28"/>
      <c r="N1585" s="28" t="s">
        <v>58</v>
      </c>
      <c r="O1585" s="10" t="str">
        <f t="shared" si="79"/>
        <v>07/2025</v>
      </c>
      <c r="P1585" s="10" t="str">
        <f t="shared" si="81"/>
        <v>07/2025</v>
      </c>
      <c r="Q1585" s="15" t="str">
        <f t="array" ref="Q1585">IFERROR(XLOOKUP(N1585,'Classificação'!A:A,'Classificação'!B:B),"")</f>
        <v>DESPESAS ADMINISTRATIVAS</v>
      </c>
      <c r="R1585" s="15" t="str">
        <f t="array" ref="R1585">IFERROR(XLOOKUP(Q1585,'Classificação'!B:B,'Classificação'!C:C),"")</f>
        <v>DESPESAS FIXAS (-)</v>
      </c>
      <c r="S1585" s="15">
        <f t="shared" si="91"/>
        <v>29</v>
      </c>
      <c r="T1585" s="15">
        <f t="shared" si="6"/>
        <v>7</v>
      </c>
      <c r="U1585" s="15">
        <f t="shared" si="7"/>
        <v>2025</v>
      </c>
      <c r="V1585" s="15">
        <f t="shared" si="8"/>
        <v>29</v>
      </c>
      <c r="W1585" s="15">
        <f t="shared" si="9"/>
        <v>7</v>
      </c>
      <c r="X1585" s="15">
        <f t="shared" si="10"/>
        <v>2025</v>
      </c>
    </row>
    <row r="1586">
      <c r="A1586" s="9">
        <v>45868.0</v>
      </c>
      <c r="B1586" s="10"/>
      <c r="C1586" s="9">
        <f t="shared" si="90"/>
        <v>45868</v>
      </c>
      <c r="D1586" s="11" t="s">
        <v>223</v>
      </c>
      <c r="E1586" s="11" t="s">
        <v>25</v>
      </c>
      <c r="F1586" s="11" t="s">
        <v>32</v>
      </c>
      <c r="G1586" s="11" t="s">
        <v>37</v>
      </c>
      <c r="I1586" s="12">
        <v>150.0</v>
      </c>
      <c r="J1586" s="13"/>
      <c r="K1586" s="13">
        <f t="shared" ref="K1586:K1612" si="96">if(E1586="pago",(I1586-J1586),"")</f>
        <v>150</v>
      </c>
      <c r="L1586" s="11" t="s">
        <v>29</v>
      </c>
      <c r="M1586" s="14"/>
      <c r="N1586" s="11" t="s">
        <v>224</v>
      </c>
      <c r="O1586" s="10" t="str">
        <f t="shared" si="79"/>
        <v>07/2025</v>
      </c>
      <c r="P1586" s="10" t="str">
        <f t="shared" si="81"/>
        <v>07/2025</v>
      </c>
      <c r="Q1586" s="15" t="str">
        <f t="array" ref="Q1586">IFERROR(XLOOKUP(N1586,'Classificação'!A:A,'Classificação'!B:B),"")</f>
        <v>DESPESAS ADMINISTRATIVAS</v>
      </c>
      <c r="R1586" s="15" t="str">
        <f t="array" ref="R1586">IFERROR(XLOOKUP(Q1586,'Classificação'!B:B,'Classificação'!C:C),"")</f>
        <v>DESPESAS FIXAS (-)</v>
      </c>
      <c r="S1586" s="15">
        <f t="shared" si="91"/>
        <v>30</v>
      </c>
      <c r="T1586" s="15">
        <f t="shared" si="6"/>
        <v>7</v>
      </c>
      <c r="U1586" s="15">
        <f t="shared" si="7"/>
        <v>2025</v>
      </c>
      <c r="V1586" s="15">
        <f t="shared" si="8"/>
        <v>30</v>
      </c>
      <c r="W1586" s="15">
        <f t="shared" si="9"/>
        <v>7</v>
      </c>
      <c r="X1586" s="15">
        <f t="shared" si="10"/>
        <v>2025</v>
      </c>
    </row>
    <row r="1587">
      <c r="A1587" s="9">
        <v>45868.0</v>
      </c>
      <c r="B1587" s="10"/>
      <c r="C1587" s="9">
        <f t="shared" si="90"/>
        <v>45868</v>
      </c>
      <c r="D1587" s="11" t="s">
        <v>80</v>
      </c>
      <c r="E1587" s="11" t="s">
        <v>25</v>
      </c>
      <c r="F1587" s="11" t="s">
        <v>32</v>
      </c>
      <c r="G1587" s="11" t="s">
        <v>27</v>
      </c>
      <c r="H1587" s="11" t="s">
        <v>225</v>
      </c>
      <c r="I1587" s="12">
        <v>445.6</v>
      </c>
      <c r="J1587" s="13"/>
      <c r="K1587" s="13">
        <f t="shared" si="96"/>
        <v>445.6</v>
      </c>
      <c r="L1587" s="11" t="s">
        <v>29</v>
      </c>
      <c r="M1587" s="14"/>
      <c r="N1587" s="11" t="s">
        <v>38</v>
      </c>
      <c r="O1587" s="10" t="str">
        <f t="shared" si="79"/>
        <v>07/2025</v>
      </c>
      <c r="P1587" s="10" t="str">
        <f t="shared" si="81"/>
        <v>07/2025</v>
      </c>
      <c r="Q1587" s="15" t="str">
        <f t="array" ref="Q1587">IFERROR(XLOOKUP(N1587,'Classificação'!A:A,'Classificação'!B:B),"")</f>
        <v>DESPESAS COM PESSOAL</v>
      </c>
      <c r="R1587" s="15" t="str">
        <f t="array" ref="R1587">IFERROR(XLOOKUP(Q1587,'Classificação'!B:B,'Classificação'!C:C),"")</f>
        <v>DESPESAS FIXAS (-)</v>
      </c>
      <c r="S1587" s="15">
        <f t="shared" si="91"/>
        <v>30</v>
      </c>
      <c r="T1587" s="15">
        <f t="shared" si="6"/>
        <v>7</v>
      </c>
      <c r="U1587" s="15">
        <f t="shared" si="7"/>
        <v>2025</v>
      </c>
      <c r="V1587" s="15">
        <f t="shared" si="8"/>
        <v>30</v>
      </c>
      <c r="W1587" s="15">
        <f t="shared" si="9"/>
        <v>7</v>
      </c>
      <c r="X1587" s="15">
        <f t="shared" si="10"/>
        <v>2025</v>
      </c>
    </row>
    <row r="1588">
      <c r="A1588" s="9">
        <v>45868.0</v>
      </c>
      <c r="B1588" s="10"/>
      <c r="C1588" s="9">
        <f t="shared" si="90"/>
        <v>45868</v>
      </c>
      <c r="D1588" s="11" t="s">
        <v>83</v>
      </c>
      <c r="E1588" s="11" t="s">
        <v>25</v>
      </c>
      <c r="F1588" s="11" t="s">
        <v>40</v>
      </c>
      <c r="G1588" s="11" t="s">
        <v>27</v>
      </c>
      <c r="I1588" s="12">
        <v>1179.3</v>
      </c>
      <c r="J1588" s="13"/>
      <c r="K1588" s="13">
        <f t="shared" si="96"/>
        <v>1179.3</v>
      </c>
      <c r="L1588" s="11" t="s">
        <v>29</v>
      </c>
      <c r="M1588" s="14"/>
      <c r="N1588" s="11" t="s">
        <v>38</v>
      </c>
      <c r="O1588" s="10" t="str">
        <f t="shared" si="79"/>
        <v>07/2025</v>
      </c>
      <c r="P1588" s="10" t="str">
        <f t="shared" si="81"/>
        <v>07/2025</v>
      </c>
      <c r="Q1588" s="15" t="str">
        <f t="array" ref="Q1588">IFERROR(XLOOKUP(N1588,'Classificação'!A:A,'Classificação'!B:B),"")</f>
        <v>DESPESAS COM PESSOAL</v>
      </c>
      <c r="R1588" s="15" t="str">
        <f t="array" ref="R1588">IFERROR(XLOOKUP(Q1588,'Classificação'!B:B,'Classificação'!C:C),"")</f>
        <v>DESPESAS FIXAS (-)</v>
      </c>
      <c r="S1588" s="15">
        <f t="shared" si="91"/>
        <v>30</v>
      </c>
      <c r="T1588" s="15">
        <f t="shared" si="6"/>
        <v>7</v>
      </c>
      <c r="U1588" s="15">
        <f t="shared" si="7"/>
        <v>2025</v>
      </c>
      <c r="V1588" s="15">
        <f t="shared" si="8"/>
        <v>30</v>
      </c>
      <c r="W1588" s="15">
        <f t="shared" si="9"/>
        <v>7</v>
      </c>
      <c r="X1588" s="15">
        <f t="shared" si="10"/>
        <v>2025</v>
      </c>
    </row>
    <row r="1589">
      <c r="A1589" s="9">
        <v>45869.0</v>
      </c>
      <c r="B1589" s="10"/>
      <c r="C1589" s="9">
        <f t="shared" si="90"/>
        <v>45869</v>
      </c>
      <c r="D1589" s="11" t="s">
        <v>83</v>
      </c>
      <c r="E1589" s="11" t="s">
        <v>25</v>
      </c>
      <c r="F1589" s="11" t="s">
        <v>40</v>
      </c>
      <c r="G1589" s="11" t="s">
        <v>27</v>
      </c>
      <c r="I1589" s="12">
        <v>550.0</v>
      </c>
      <c r="J1589" s="13"/>
      <c r="K1589" s="13">
        <f t="shared" si="96"/>
        <v>550</v>
      </c>
      <c r="L1589" s="11" t="s">
        <v>29</v>
      </c>
      <c r="M1589" s="14"/>
      <c r="N1589" s="11" t="s">
        <v>204</v>
      </c>
      <c r="O1589" s="10" t="str">
        <f t="shared" si="79"/>
        <v>07/2025</v>
      </c>
      <c r="P1589" s="10" t="str">
        <f t="shared" si="81"/>
        <v>07/2025</v>
      </c>
      <c r="Q1589" s="15" t="str">
        <f t="array" ref="Q1589">IFERROR(XLOOKUP(N1589,'Classificação'!A:A,'Classificação'!B:B),"")</f>
        <v>DESPESAS COM PESSOAL</v>
      </c>
      <c r="R1589" s="15" t="str">
        <f t="array" ref="R1589">IFERROR(XLOOKUP(Q1589,'Classificação'!B:B,'Classificação'!C:C),"")</f>
        <v>DESPESAS FIXAS (-)</v>
      </c>
      <c r="S1589" s="15">
        <f t="shared" si="91"/>
        <v>31</v>
      </c>
      <c r="T1589" s="15">
        <f t="shared" si="6"/>
        <v>7</v>
      </c>
      <c r="U1589" s="15">
        <f t="shared" si="7"/>
        <v>2025</v>
      </c>
      <c r="V1589" s="15">
        <f t="shared" si="8"/>
        <v>31</v>
      </c>
      <c r="W1589" s="15">
        <f t="shared" si="9"/>
        <v>7</v>
      </c>
      <c r="X1589" s="15">
        <f t="shared" si="10"/>
        <v>2025</v>
      </c>
    </row>
    <row r="1590">
      <c r="A1590" s="9">
        <v>45869.0</v>
      </c>
      <c r="B1590" s="10"/>
      <c r="C1590" s="9">
        <f t="shared" si="90"/>
        <v>45869</v>
      </c>
      <c r="D1590" s="11" t="s">
        <v>80</v>
      </c>
      <c r="E1590" s="11" t="s">
        <v>25</v>
      </c>
      <c r="F1590" s="11" t="s">
        <v>40</v>
      </c>
      <c r="G1590" s="11" t="s">
        <v>27</v>
      </c>
      <c r="I1590" s="12">
        <v>550.0</v>
      </c>
      <c r="J1590" s="13"/>
      <c r="K1590" s="13">
        <f t="shared" si="96"/>
        <v>550</v>
      </c>
      <c r="L1590" s="11" t="s">
        <v>29</v>
      </c>
      <c r="M1590" s="14"/>
      <c r="N1590" s="11" t="s">
        <v>204</v>
      </c>
      <c r="O1590" s="10" t="str">
        <f t="shared" si="79"/>
        <v>07/2025</v>
      </c>
      <c r="P1590" s="10" t="str">
        <f t="shared" si="81"/>
        <v>07/2025</v>
      </c>
      <c r="Q1590" s="15" t="str">
        <f t="array" ref="Q1590">IFERROR(XLOOKUP(N1590,'Classificação'!A:A,'Classificação'!B:B),"")</f>
        <v>DESPESAS COM PESSOAL</v>
      </c>
      <c r="R1590" s="15" t="str">
        <f t="array" ref="R1590">IFERROR(XLOOKUP(Q1590,'Classificação'!B:B,'Classificação'!C:C),"")</f>
        <v>DESPESAS FIXAS (-)</v>
      </c>
      <c r="S1590" s="15">
        <f t="shared" si="91"/>
        <v>31</v>
      </c>
      <c r="T1590" s="15">
        <f t="shared" si="6"/>
        <v>7</v>
      </c>
      <c r="U1590" s="15">
        <f t="shared" si="7"/>
        <v>2025</v>
      </c>
      <c r="V1590" s="15">
        <f t="shared" si="8"/>
        <v>31</v>
      </c>
      <c r="W1590" s="15">
        <f t="shared" si="9"/>
        <v>7</v>
      </c>
      <c r="X1590" s="15">
        <f t="shared" si="10"/>
        <v>2025</v>
      </c>
    </row>
    <row r="1591">
      <c r="A1591" s="9">
        <v>45870.0</v>
      </c>
      <c r="B1591" s="10"/>
      <c r="C1591" s="9">
        <f t="shared" si="90"/>
        <v>45870</v>
      </c>
      <c r="D1591" s="11" t="s">
        <v>24</v>
      </c>
      <c r="E1591" s="11" t="s">
        <v>25</v>
      </c>
      <c r="F1591" s="11" t="s">
        <v>26</v>
      </c>
      <c r="G1591" s="11" t="s">
        <v>27</v>
      </c>
      <c r="H1591" s="11" t="s">
        <v>28</v>
      </c>
      <c r="I1591" s="12">
        <v>6385.68</v>
      </c>
      <c r="J1591" s="13"/>
      <c r="K1591" s="13">
        <f t="shared" si="96"/>
        <v>6385.68</v>
      </c>
      <c r="L1591" s="11" t="s">
        <v>29</v>
      </c>
      <c r="M1591" s="14"/>
      <c r="N1591" s="11" t="s">
        <v>30</v>
      </c>
      <c r="O1591" s="10" t="str">
        <f t="shared" si="79"/>
        <v>08/2025</v>
      </c>
      <c r="P1591" s="10" t="str">
        <f t="shared" si="81"/>
        <v>08/2025</v>
      </c>
      <c r="Q1591" s="15" t="str">
        <f t="array" ref="Q1591">IFERROR(XLOOKUP(N1591,'Classificação'!A:A,'Classificação'!B:B),"")</f>
        <v>DESPESAS COM OCUPAÇÃO</v>
      </c>
      <c r="R1591" s="15" t="str">
        <f t="array" ref="R1591">IFERROR(XLOOKUP(Q1591,'Classificação'!B:B,'Classificação'!C:C),"")</f>
        <v>DESPESAS FIXAS (-)</v>
      </c>
      <c r="S1591" s="15">
        <f t="shared" si="91"/>
        <v>1</v>
      </c>
      <c r="T1591" s="15">
        <f t="shared" si="6"/>
        <v>8</v>
      </c>
      <c r="U1591" s="15">
        <f t="shared" si="7"/>
        <v>2025</v>
      </c>
      <c r="V1591" s="15">
        <f t="shared" si="8"/>
        <v>1</v>
      </c>
      <c r="W1591" s="15">
        <f t="shared" si="9"/>
        <v>8</v>
      </c>
      <c r="X1591" s="15">
        <f t="shared" si="10"/>
        <v>2025</v>
      </c>
    </row>
    <row r="1592">
      <c r="A1592" s="9">
        <v>45870.0</v>
      </c>
      <c r="B1592" s="10"/>
      <c r="C1592" s="9">
        <f t="shared" si="90"/>
        <v>45870</v>
      </c>
      <c r="D1592" s="11" t="s">
        <v>288</v>
      </c>
      <c r="E1592" s="11" t="s">
        <v>25</v>
      </c>
      <c r="F1592" s="11" t="s">
        <v>26</v>
      </c>
      <c r="G1592" s="11" t="s">
        <v>27</v>
      </c>
      <c r="H1592" s="11" t="s">
        <v>289</v>
      </c>
      <c r="I1592" s="12">
        <v>59.5</v>
      </c>
      <c r="J1592" s="13"/>
      <c r="K1592" s="13">
        <f t="shared" si="96"/>
        <v>59.5</v>
      </c>
      <c r="L1592" s="11" t="s">
        <v>29</v>
      </c>
      <c r="M1592" s="16"/>
      <c r="N1592" s="11" t="s">
        <v>105</v>
      </c>
      <c r="O1592" s="10" t="str">
        <f t="shared" si="79"/>
        <v>08/2025</v>
      </c>
      <c r="P1592" s="10" t="str">
        <f t="shared" si="81"/>
        <v>08/2025</v>
      </c>
      <c r="Q1592" s="15" t="str">
        <f t="array" ref="Q1592">IFERROR(XLOOKUP(N1592,'Classificação'!A:A,'Classificação'!B:B),"")</f>
        <v>DESPESAS ADMINISTRATIVAS</v>
      </c>
      <c r="R1592" s="15" t="str">
        <f t="array" ref="R1592">IFERROR(XLOOKUP(Q1592,'Classificação'!B:B,'Classificação'!C:C),"")</f>
        <v>DESPESAS FIXAS (-)</v>
      </c>
      <c r="S1592" s="15">
        <f t="shared" si="91"/>
        <v>1</v>
      </c>
      <c r="T1592" s="15">
        <f t="shared" si="6"/>
        <v>8</v>
      </c>
      <c r="U1592" s="15">
        <f t="shared" si="7"/>
        <v>2025</v>
      </c>
      <c r="V1592" s="15">
        <f t="shared" si="8"/>
        <v>1</v>
      </c>
      <c r="W1592" s="15">
        <f t="shared" si="9"/>
        <v>8</v>
      </c>
      <c r="X1592" s="15">
        <f t="shared" si="10"/>
        <v>2025</v>
      </c>
    </row>
    <row r="1593">
      <c r="A1593" s="9">
        <v>45870.0</v>
      </c>
      <c r="B1593" s="10"/>
      <c r="C1593" s="9">
        <f t="shared" si="90"/>
        <v>45870</v>
      </c>
      <c r="D1593" s="11" t="s">
        <v>322</v>
      </c>
      <c r="E1593" s="11" t="s">
        <v>25</v>
      </c>
      <c r="F1593" s="11" t="s">
        <v>40</v>
      </c>
      <c r="G1593" s="11" t="s">
        <v>27</v>
      </c>
      <c r="H1593" s="11" t="s">
        <v>778</v>
      </c>
      <c r="I1593" s="12">
        <v>46.2</v>
      </c>
      <c r="J1593" s="13"/>
      <c r="K1593" s="13">
        <f t="shared" si="96"/>
        <v>46.2</v>
      </c>
      <c r="L1593" s="11" t="s">
        <v>29</v>
      </c>
      <c r="M1593" s="17">
        <v>45637.0</v>
      </c>
      <c r="N1593" s="11" t="s">
        <v>105</v>
      </c>
      <c r="O1593" s="10" t="str">
        <f t="shared" si="79"/>
        <v>08/2025</v>
      </c>
      <c r="P1593" s="10" t="str">
        <f t="shared" si="81"/>
        <v>08/2025</v>
      </c>
      <c r="Q1593" s="15" t="str">
        <f t="array" ref="Q1593">IFERROR(XLOOKUP(N1593,'Classificação'!A:A,'Classificação'!B:B),"")</f>
        <v>DESPESAS ADMINISTRATIVAS</v>
      </c>
      <c r="R1593" s="15" t="str">
        <f t="array" ref="R1593">IFERROR(XLOOKUP(Q1593,'Classificação'!B:B,'Classificação'!C:C),"")</f>
        <v>DESPESAS FIXAS (-)</v>
      </c>
      <c r="S1593" s="15">
        <f t="shared" si="91"/>
        <v>1</v>
      </c>
      <c r="T1593" s="15">
        <f t="shared" si="6"/>
        <v>8</v>
      </c>
      <c r="U1593" s="15">
        <f t="shared" si="7"/>
        <v>2025</v>
      </c>
      <c r="V1593" s="15">
        <f t="shared" si="8"/>
        <v>1</v>
      </c>
      <c r="W1593" s="15">
        <f t="shared" si="9"/>
        <v>8</v>
      </c>
      <c r="X1593" s="15">
        <f t="shared" si="10"/>
        <v>2025</v>
      </c>
    </row>
    <row r="1594">
      <c r="A1594" s="9">
        <v>45870.0</v>
      </c>
      <c r="B1594" s="10"/>
      <c r="C1594" s="9">
        <f t="shared" si="90"/>
        <v>45870</v>
      </c>
      <c r="D1594" s="28" t="s">
        <v>782</v>
      </c>
      <c r="E1594" s="28" t="s">
        <v>25</v>
      </c>
      <c r="F1594" s="28" t="s">
        <v>26</v>
      </c>
      <c r="G1594" s="29" t="s">
        <v>37</v>
      </c>
      <c r="H1594" s="28" t="s">
        <v>796</v>
      </c>
      <c r="I1594" s="37">
        <v>6000.0</v>
      </c>
      <c r="J1594" s="13"/>
      <c r="K1594" s="13">
        <f t="shared" si="96"/>
        <v>6000</v>
      </c>
      <c r="L1594" s="11" t="s">
        <v>34</v>
      </c>
      <c r="M1594" s="14"/>
      <c r="N1594" s="11" t="s">
        <v>35</v>
      </c>
      <c r="O1594" s="10" t="str">
        <f t="shared" si="79"/>
        <v>08/2025</v>
      </c>
      <c r="P1594" s="10" t="str">
        <f t="shared" si="81"/>
        <v>08/2025</v>
      </c>
      <c r="Q1594" s="15" t="str">
        <f t="array" ref="Q1594">IFERROR(XLOOKUP(N1594,'Classificação'!A:A,'Classificação'!B:B),"")</f>
        <v>COMPRA DE MERCADORIA</v>
      </c>
      <c r="R1594" s="15" t="str">
        <f t="array" ref="R1594">IFERROR(XLOOKUP(Q1594,'Classificação'!B:B,'Classificação'!C:C),"")</f>
        <v>CUSTOS VARIÁVEIS</v>
      </c>
      <c r="S1594" s="15">
        <f t="shared" si="91"/>
        <v>1</v>
      </c>
      <c r="T1594" s="15">
        <f t="shared" si="6"/>
        <v>8</v>
      </c>
      <c r="U1594" s="15">
        <f t="shared" si="7"/>
        <v>2025</v>
      </c>
      <c r="V1594" s="15">
        <f t="shared" si="8"/>
        <v>1</v>
      </c>
      <c r="W1594" s="15">
        <f t="shared" si="9"/>
        <v>8</v>
      </c>
      <c r="X1594" s="15">
        <f t="shared" si="10"/>
        <v>2025</v>
      </c>
    </row>
    <row r="1595">
      <c r="A1595" s="9">
        <v>45870.0</v>
      </c>
      <c r="B1595" s="10"/>
      <c r="C1595" s="9">
        <f t="shared" si="90"/>
        <v>45870</v>
      </c>
      <c r="D1595" s="28" t="s">
        <v>782</v>
      </c>
      <c r="E1595" s="28" t="s">
        <v>25</v>
      </c>
      <c r="F1595" s="28" t="s">
        <v>26</v>
      </c>
      <c r="G1595" s="29" t="s">
        <v>37</v>
      </c>
      <c r="H1595" s="28" t="s">
        <v>797</v>
      </c>
      <c r="I1595" s="24">
        <v>6000.0</v>
      </c>
      <c r="J1595" s="13"/>
      <c r="K1595" s="13">
        <f t="shared" si="96"/>
        <v>6000</v>
      </c>
      <c r="L1595" s="11" t="s">
        <v>34</v>
      </c>
      <c r="M1595" s="14"/>
      <c r="N1595" s="11" t="s">
        <v>35</v>
      </c>
      <c r="O1595" s="10" t="str">
        <f t="shared" si="79"/>
        <v>08/2025</v>
      </c>
      <c r="P1595" s="10" t="str">
        <f t="shared" si="81"/>
        <v>08/2025</v>
      </c>
      <c r="Q1595" s="15" t="str">
        <f t="array" ref="Q1595">IFERROR(XLOOKUP(N1595,'Classificação'!A:A,'Classificação'!B:B),"")</f>
        <v>COMPRA DE MERCADORIA</v>
      </c>
      <c r="R1595" s="15" t="str">
        <f t="array" ref="R1595">IFERROR(XLOOKUP(Q1595,'Classificação'!B:B,'Classificação'!C:C),"")</f>
        <v>CUSTOS VARIÁVEIS</v>
      </c>
      <c r="S1595" s="15">
        <f t="shared" si="91"/>
        <v>1</v>
      </c>
      <c r="T1595" s="15">
        <f t="shared" si="6"/>
        <v>8</v>
      </c>
      <c r="U1595" s="15">
        <f t="shared" si="7"/>
        <v>2025</v>
      </c>
      <c r="V1595" s="15">
        <f t="shared" si="8"/>
        <v>1</v>
      </c>
      <c r="W1595" s="15">
        <f t="shared" si="9"/>
        <v>8</v>
      </c>
      <c r="X1595" s="15">
        <f t="shared" si="10"/>
        <v>2025</v>
      </c>
    </row>
    <row r="1596">
      <c r="A1596" s="9">
        <v>45873.0</v>
      </c>
      <c r="B1596" s="10"/>
      <c r="C1596" s="9">
        <f t="shared" si="90"/>
        <v>45873</v>
      </c>
      <c r="D1596" s="11" t="s">
        <v>44</v>
      </c>
      <c r="E1596" s="11" t="s">
        <v>25</v>
      </c>
      <c r="F1596" s="11" t="s">
        <v>45</v>
      </c>
      <c r="G1596" s="11" t="s">
        <v>27</v>
      </c>
      <c r="H1596" s="11" t="s">
        <v>651</v>
      </c>
      <c r="I1596" s="12">
        <v>3267.62</v>
      </c>
      <c r="J1596" s="13"/>
      <c r="K1596" s="13">
        <f t="shared" si="96"/>
        <v>3267.62</v>
      </c>
      <c r="L1596" s="11" t="s">
        <v>53</v>
      </c>
      <c r="M1596" s="16" t="s">
        <v>895</v>
      </c>
      <c r="N1596" s="11" t="s">
        <v>73</v>
      </c>
      <c r="O1596" s="10" t="str">
        <f t="shared" si="79"/>
        <v>08/2025</v>
      </c>
      <c r="P1596" s="10" t="str">
        <f t="shared" si="81"/>
        <v>08/2025</v>
      </c>
      <c r="Q1596" s="15" t="str">
        <f t="array" ref="Q1596">IFERROR(XLOOKUP(N1596,'Classificação'!A:A,'Classificação'!B:B),"")</f>
        <v>DESPESAS NÃO OPERACIONAIS</v>
      </c>
      <c r="R1596" s="15" t="str">
        <f t="array" ref="R1596">IFERROR(XLOOKUP(Q1596,'Classificação'!B:B,'Classificação'!C:C),"")</f>
        <v>RESULTADO NÃO OPERACIONAL (+/-)</v>
      </c>
      <c r="S1596" s="15">
        <f t="shared" si="91"/>
        <v>4</v>
      </c>
      <c r="T1596" s="15">
        <f t="shared" si="6"/>
        <v>8</v>
      </c>
      <c r="U1596" s="15">
        <f t="shared" si="7"/>
        <v>2025</v>
      </c>
      <c r="V1596" s="15">
        <f t="shared" si="8"/>
        <v>4</v>
      </c>
      <c r="W1596" s="15">
        <f t="shared" si="9"/>
        <v>8</v>
      </c>
      <c r="X1596" s="15">
        <f t="shared" si="10"/>
        <v>2025</v>
      </c>
    </row>
    <row r="1597">
      <c r="A1597" s="9">
        <v>45873.0</v>
      </c>
      <c r="B1597" s="10"/>
      <c r="C1597" s="9">
        <f t="shared" si="90"/>
        <v>45873</v>
      </c>
      <c r="D1597" s="11" t="s">
        <v>36</v>
      </c>
      <c r="E1597" s="11" t="s">
        <v>25</v>
      </c>
      <c r="F1597" s="11" t="s">
        <v>32</v>
      </c>
      <c r="G1597" s="11" t="s">
        <v>27</v>
      </c>
      <c r="I1597" s="12">
        <v>5424.18</v>
      </c>
      <c r="J1597" s="13"/>
      <c r="K1597" s="13">
        <f t="shared" si="96"/>
        <v>5424.18</v>
      </c>
      <c r="L1597" s="11" t="s">
        <v>29</v>
      </c>
      <c r="M1597" s="14"/>
      <c r="N1597" s="11" t="s">
        <v>38</v>
      </c>
      <c r="O1597" s="10" t="str">
        <f t="shared" si="79"/>
        <v>08/2025</v>
      </c>
      <c r="P1597" s="10" t="str">
        <f t="shared" si="81"/>
        <v>08/2025</v>
      </c>
      <c r="Q1597" s="15" t="str">
        <f t="array" ref="Q1597">IFERROR(XLOOKUP(N1597,'Classificação'!A:A,'Classificação'!B:B),"")</f>
        <v>DESPESAS COM PESSOAL</v>
      </c>
      <c r="R1597" s="15" t="str">
        <f t="array" ref="R1597">IFERROR(XLOOKUP(Q1597,'Classificação'!B:B,'Classificação'!C:C),"")</f>
        <v>DESPESAS FIXAS (-)</v>
      </c>
      <c r="S1597" s="15">
        <f t="shared" si="91"/>
        <v>4</v>
      </c>
      <c r="T1597" s="15">
        <f t="shared" si="6"/>
        <v>8</v>
      </c>
      <c r="U1597" s="15">
        <f t="shared" si="7"/>
        <v>2025</v>
      </c>
      <c r="V1597" s="15">
        <f t="shared" si="8"/>
        <v>4</v>
      </c>
      <c r="W1597" s="15">
        <f t="shared" si="9"/>
        <v>8</v>
      </c>
      <c r="X1597" s="15">
        <f t="shared" si="10"/>
        <v>2025</v>
      </c>
    </row>
    <row r="1598">
      <c r="A1598" s="9">
        <v>45873.0</v>
      </c>
      <c r="B1598" s="10"/>
      <c r="C1598" s="9">
        <f t="shared" si="90"/>
        <v>45873</v>
      </c>
      <c r="D1598" s="11" t="s">
        <v>43</v>
      </c>
      <c r="E1598" s="11" t="s">
        <v>25</v>
      </c>
      <c r="F1598" s="11" t="s">
        <v>32</v>
      </c>
      <c r="G1598" s="11" t="s">
        <v>27</v>
      </c>
      <c r="I1598" s="12">
        <v>5425.18</v>
      </c>
      <c r="J1598" s="13"/>
      <c r="K1598" s="13">
        <f t="shared" si="96"/>
        <v>5425.18</v>
      </c>
      <c r="L1598" s="11" t="s">
        <v>29</v>
      </c>
      <c r="M1598" s="14"/>
      <c r="N1598" s="11" t="s">
        <v>38</v>
      </c>
      <c r="O1598" s="10" t="str">
        <f t="shared" si="79"/>
        <v>08/2025</v>
      </c>
      <c r="P1598" s="10" t="str">
        <f t="shared" si="81"/>
        <v>08/2025</v>
      </c>
      <c r="Q1598" s="15" t="str">
        <f t="array" ref="Q1598">IFERROR(XLOOKUP(N1598,'Classificação'!A:A,'Classificação'!B:B),"")</f>
        <v>DESPESAS COM PESSOAL</v>
      </c>
      <c r="R1598" s="15" t="str">
        <f t="array" ref="R1598">IFERROR(XLOOKUP(Q1598,'Classificação'!B:B,'Classificação'!C:C),"")</f>
        <v>DESPESAS FIXAS (-)</v>
      </c>
      <c r="S1598" s="15">
        <f t="shared" si="91"/>
        <v>4</v>
      </c>
      <c r="T1598" s="15">
        <f t="shared" si="6"/>
        <v>8</v>
      </c>
      <c r="U1598" s="15">
        <f t="shared" si="7"/>
        <v>2025</v>
      </c>
      <c r="V1598" s="15">
        <f t="shared" si="8"/>
        <v>4</v>
      </c>
      <c r="W1598" s="15">
        <f t="shared" si="9"/>
        <v>8</v>
      </c>
      <c r="X1598" s="15">
        <f t="shared" si="10"/>
        <v>2025</v>
      </c>
    </row>
    <row r="1599">
      <c r="A1599" s="9">
        <v>45873.0</v>
      </c>
      <c r="B1599" s="10"/>
      <c r="C1599" s="9">
        <f t="shared" si="90"/>
        <v>45873</v>
      </c>
      <c r="D1599" s="11" t="s">
        <v>473</v>
      </c>
      <c r="E1599" s="11" t="s">
        <v>25</v>
      </c>
      <c r="F1599" s="11" t="s">
        <v>40</v>
      </c>
      <c r="G1599" s="11" t="s">
        <v>27</v>
      </c>
      <c r="H1599" s="11" t="s">
        <v>896</v>
      </c>
      <c r="I1599" s="12">
        <v>167.74</v>
      </c>
      <c r="J1599" s="13"/>
      <c r="K1599" s="13">
        <f t="shared" si="96"/>
        <v>167.74</v>
      </c>
      <c r="L1599" s="11" t="s">
        <v>34</v>
      </c>
      <c r="M1599" s="14"/>
      <c r="N1599" s="11" t="s">
        <v>233</v>
      </c>
      <c r="O1599" s="10" t="str">
        <f t="shared" si="79"/>
        <v>08/2025</v>
      </c>
      <c r="P1599" s="10" t="str">
        <f t="shared" si="81"/>
        <v>08/2025</v>
      </c>
      <c r="Q1599" s="15" t="str">
        <f t="array" ref="Q1599">IFERROR(XLOOKUP(N1599,'Classificação'!A:A,'Classificação'!B:B),"")</f>
        <v>DESPESAS COM VEICULOS</v>
      </c>
      <c r="R1599" s="15" t="str">
        <f t="array" ref="R1599">IFERROR(XLOOKUP(Q1599,'Classificação'!B:B,'Classificação'!C:C),"")</f>
        <v>DESPESAS FIXAS (-)</v>
      </c>
      <c r="S1599" s="15">
        <f t="shared" si="91"/>
        <v>4</v>
      </c>
      <c r="T1599" s="15">
        <f t="shared" si="6"/>
        <v>8</v>
      </c>
      <c r="U1599" s="15">
        <f t="shared" si="7"/>
        <v>2025</v>
      </c>
      <c r="V1599" s="15">
        <f t="shared" si="8"/>
        <v>4</v>
      </c>
      <c r="W1599" s="15">
        <f t="shared" si="9"/>
        <v>8</v>
      </c>
      <c r="X1599" s="15">
        <f t="shared" si="10"/>
        <v>2025</v>
      </c>
    </row>
    <row r="1600">
      <c r="A1600" s="9">
        <v>45873.0</v>
      </c>
      <c r="B1600" s="10"/>
      <c r="C1600" s="9">
        <f t="shared" si="90"/>
        <v>45873</v>
      </c>
      <c r="D1600" s="11" t="s">
        <v>43</v>
      </c>
      <c r="E1600" s="11" t="s">
        <v>25</v>
      </c>
      <c r="F1600" s="29" t="s">
        <v>26</v>
      </c>
      <c r="G1600" s="28" t="s">
        <v>27</v>
      </c>
      <c r="H1600" s="11" t="s">
        <v>460</v>
      </c>
      <c r="I1600" s="12">
        <v>69.3</v>
      </c>
      <c r="J1600" s="13"/>
      <c r="K1600" s="13">
        <f t="shared" si="96"/>
        <v>69.3</v>
      </c>
      <c r="L1600" s="28" t="s">
        <v>53</v>
      </c>
      <c r="M1600" s="17">
        <v>45636.0</v>
      </c>
      <c r="N1600" s="11" t="s">
        <v>105</v>
      </c>
      <c r="O1600" s="10" t="str">
        <f t="shared" si="79"/>
        <v>08/2025</v>
      </c>
      <c r="P1600" s="10" t="str">
        <f t="shared" si="81"/>
        <v>08/2025</v>
      </c>
      <c r="Q1600" s="15" t="str">
        <f t="array" ref="Q1600">IFERROR(XLOOKUP(N1600,'Classificação'!A:A,'Classificação'!B:B),"")</f>
        <v>DESPESAS ADMINISTRATIVAS</v>
      </c>
      <c r="R1600" s="15" t="str">
        <f t="array" ref="R1600">IFERROR(XLOOKUP(Q1600,'Classificação'!B:B,'Classificação'!C:C),"")</f>
        <v>DESPESAS FIXAS (-)</v>
      </c>
      <c r="S1600" s="15">
        <f t="shared" si="91"/>
        <v>4</v>
      </c>
      <c r="T1600" s="15">
        <f t="shared" si="6"/>
        <v>8</v>
      </c>
      <c r="U1600" s="15">
        <f t="shared" si="7"/>
        <v>2025</v>
      </c>
      <c r="V1600" s="15">
        <f t="shared" si="8"/>
        <v>4</v>
      </c>
      <c r="W1600" s="15">
        <f t="shared" si="9"/>
        <v>8</v>
      </c>
      <c r="X1600" s="15">
        <f t="shared" si="10"/>
        <v>2025</v>
      </c>
    </row>
    <row r="1601">
      <c r="A1601" s="9">
        <v>45873.0</v>
      </c>
      <c r="B1601" s="39">
        <v>45611.0</v>
      </c>
      <c r="C1601" s="9">
        <f t="shared" si="90"/>
        <v>45873</v>
      </c>
      <c r="D1601" s="28" t="s">
        <v>361</v>
      </c>
      <c r="E1601" s="29" t="s">
        <v>25</v>
      </c>
      <c r="F1601" s="28" t="s">
        <v>26</v>
      </c>
      <c r="G1601" s="29" t="s">
        <v>27</v>
      </c>
      <c r="H1601" s="29" t="s">
        <v>535</v>
      </c>
      <c r="I1601" s="24">
        <v>282.34</v>
      </c>
      <c r="J1601" s="13"/>
      <c r="K1601" s="13">
        <f t="shared" si="96"/>
        <v>282.34</v>
      </c>
      <c r="L1601" s="28" t="s">
        <v>53</v>
      </c>
      <c r="M1601" s="17">
        <v>46000.0</v>
      </c>
      <c r="N1601" s="28" t="s">
        <v>363</v>
      </c>
      <c r="O1601" s="10" t="str">
        <f t="shared" si="79"/>
        <v>08/2025</v>
      </c>
      <c r="P1601" s="10" t="str">
        <f t="shared" si="81"/>
        <v>08/2025</v>
      </c>
      <c r="Q1601" s="15" t="str">
        <f t="array" ref="Q1601">IFERROR(XLOOKUP(N1601,'Classificação'!A:A,'Classificação'!B:B),"")</f>
        <v>DESPESAS NÃO OPERACIONAIS</v>
      </c>
      <c r="R1601" s="15" t="str">
        <f t="array" ref="R1601">IFERROR(XLOOKUP(Q1601,'Classificação'!B:B,'Classificação'!C:C),"")</f>
        <v>RESULTADO NÃO OPERACIONAL (+/-)</v>
      </c>
      <c r="S1601" s="15">
        <f t="shared" si="91"/>
        <v>4</v>
      </c>
      <c r="T1601" s="15">
        <f t="shared" si="6"/>
        <v>8</v>
      </c>
      <c r="U1601" s="15">
        <f t="shared" si="7"/>
        <v>2025</v>
      </c>
      <c r="V1601" s="15">
        <f t="shared" si="8"/>
        <v>4</v>
      </c>
      <c r="W1601" s="15">
        <f t="shared" si="9"/>
        <v>8</v>
      </c>
      <c r="X1601" s="15">
        <f t="shared" si="10"/>
        <v>2025</v>
      </c>
    </row>
    <row r="1602">
      <c r="A1602" s="9">
        <v>45874.0</v>
      </c>
      <c r="B1602" s="10"/>
      <c r="C1602" s="9">
        <f t="shared" si="90"/>
        <v>45874</v>
      </c>
      <c r="D1602" s="28" t="s">
        <v>76</v>
      </c>
      <c r="E1602" s="29" t="s">
        <v>25</v>
      </c>
      <c r="F1602" s="28" t="s">
        <v>26</v>
      </c>
      <c r="G1602" s="28" t="s">
        <v>27</v>
      </c>
      <c r="H1602" s="28" t="s">
        <v>84</v>
      </c>
      <c r="I1602" s="24">
        <v>1214.27</v>
      </c>
      <c r="J1602" s="13"/>
      <c r="K1602" s="13">
        <f t="shared" si="96"/>
        <v>1214.27</v>
      </c>
      <c r="L1602" s="28" t="s">
        <v>53</v>
      </c>
      <c r="M1602" s="16" t="s">
        <v>897</v>
      </c>
      <c r="N1602" s="28" t="s">
        <v>85</v>
      </c>
      <c r="O1602" s="10" t="str">
        <f t="shared" si="79"/>
        <v>08/2025</v>
      </c>
      <c r="P1602" s="10" t="str">
        <f t="shared" si="81"/>
        <v>08/2025</v>
      </c>
      <c r="Q1602" s="15" t="str">
        <f t="array" ref="Q1602">IFERROR(XLOOKUP(N1602,'Classificação'!A:A,'Classificação'!B:B),"")</f>
        <v>DESPESAS NÃO OPERACIONAIS</v>
      </c>
      <c r="R1602" s="15" t="str">
        <f t="array" ref="R1602">IFERROR(XLOOKUP(Q1602,'Classificação'!B:B,'Classificação'!C:C),"")</f>
        <v>RESULTADO NÃO OPERACIONAL (+/-)</v>
      </c>
      <c r="S1602" s="15">
        <f t="shared" si="91"/>
        <v>5</v>
      </c>
      <c r="T1602" s="15">
        <f t="shared" si="6"/>
        <v>8</v>
      </c>
      <c r="U1602" s="15">
        <f t="shared" si="7"/>
        <v>2025</v>
      </c>
      <c r="V1602" s="15">
        <f t="shared" si="8"/>
        <v>5</v>
      </c>
      <c r="W1602" s="15">
        <f t="shared" si="9"/>
        <v>8</v>
      </c>
      <c r="X1602" s="15">
        <f t="shared" si="10"/>
        <v>2025</v>
      </c>
    </row>
    <row r="1603">
      <c r="A1603" s="9">
        <v>45874.0</v>
      </c>
      <c r="B1603" s="10"/>
      <c r="C1603" s="9">
        <f t="shared" si="90"/>
        <v>45874</v>
      </c>
      <c r="D1603" s="11" t="s">
        <v>782</v>
      </c>
      <c r="E1603" s="11" t="s">
        <v>25</v>
      </c>
      <c r="F1603" s="11" t="s">
        <v>32</v>
      </c>
      <c r="G1603" s="11" t="s">
        <v>37</v>
      </c>
      <c r="H1603" s="11" t="s">
        <v>898</v>
      </c>
      <c r="I1603" s="12">
        <v>47149.03</v>
      </c>
      <c r="J1603" s="13"/>
      <c r="K1603" s="13">
        <f t="shared" si="96"/>
        <v>47149.03</v>
      </c>
      <c r="L1603" s="11" t="s">
        <v>34</v>
      </c>
      <c r="M1603" s="14"/>
      <c r="N1603" s="11" t="s">
        <v>35</v>
      </c>
      <c r="O1603" s="10" t="str">
        <f t="shared" si="79"/>
        <v>08/2025</v>
      </c>
      <c r="P1603" s="10" t="str">
        <f t="shared" si="81"/>
        <v>08/2025</v>
      </c>
      <c r="Q1603" s="15" t="str">
        <f t="array" ref="Q1603">IFERROR(XLOOKUP(N1603,'Classificação'!A:A,'Classificação'!B:B),"")</f>
        <v>COMPRA DE MERCADORIA</v>
      </c>
      <c r="R1603" s="15" t="str">
        <f t="array" ref="R1603">IFERROR(XLOOKUP(Q1603,'Classificação'!B:B,'Classificação'!C:C),"")</f>
        <v>CUSTOS VARIÁVEIS</v>
      </c>
      <c r="S1603" s="15">
        <f t="shared" si="91"/>
        <v>5</v>
      </c>
      <c r="T1603" s="15">
        <f t="shared" si="6"/>
        <v>8</v>
      </c>
      <c r="U1603" s="15">
        <f t="shared" si="7"/>
        <v>2025</v>
      </c>
      <c r="V1603" s="15">
        <f t="shared" si="8"/>
        <v>5</v>
      </c>
      <c r="W1603" s="15">
        <f t="shared" si="9"/>
        <v>8</v>
      </c>
      <c r="X1603" s="15">
        <f t="shared" si="10"/>
        <v>2025</v>
      </c>
    </row>
    <row r="1604">
      <c r="A1604" s="9">
        <v>45877.0</v>
      </c>
      <c r="B1604" s="9">
        <v>45819.0</v>
      </c>
      <c r="C1604" s="9">
        <f t="shared" si="90"/>
        <v>45877</v>
      </c>
      <c r="D1604" s="11" t="s">
        <v>86</v>
      </c>
      <c r="E1604" s="11" t="s">
        <v>25</v>
      </c>
      <c r="F1604" s="11" t="s">
        <v>87</v>
      </c>
      <c r="G1604" s="11" t="s">
        <v>27</v>
      </c>
      <c r="H1604" s="11" t="s">
        <v>899</v>
      </c>
      <c r="I1604" s="12">
        <v>1400.0</v>
      </c>
      <c r="J1604" s="13"/>
      <c r="K1604" s="13">
        <f t="shared" si="96"/>
        <v>1400</v>
      </c>
      <c r="L1604" s="11" t="s">
        <v>53</v>
      </c>
      <c r="M1604" s="17">
        <v>45749.0</v>
      </c>
      <c r="N1604" s="11" t="s">
        <v>35</v>
      </c>
      <c r="O1604" s="10" t="str">
        <f t="shared" si="79"/>
        <v>08/2025</v>
      </c>
      <c r="P1604" s="10" t="str">
        <f t="shared" si="81"/>
        <v>08/2025</v>
      </c>
      <c r="Q1604" s="15" t="str">
        <f t="array" ref="Q1604">IFERROR(XLOOKUP(N1604,'Classificação'!A:A,'Classificação'!B:B),"")</f>
        <v>COMPRA DE MERCADORIA</v>
      </c>
      <c r="R1604" s="15" t="str">
        <f t="array" ref="R1604">IFERROR(XLOOKUP(Q1604,'Classificação'!B:B,'Classificação'!C:C),"")</f>
        <v>CUSTOS VARIÁVEIS</v>
      </c>
      <c r="S1604" s="15">
        <f t="shared" si="91"/>
        <v>8</v>
      </c>
      <c r="T1604" s="15">
        <f t="shared" si="6"/>
        <v>8</v>
      </c>
      <c r="U1604" s="15">
        <f t="shared" si="7"/>
        <v>2025</v>
      </c>
      <c r="V1604" s="15">
        <f t="shared" si="8"/>
        <v>8</v>
      </c>
      <c r="W1604" s="15">
        <f t="shared" si="9"/>
        <v>8</v>
      </c>
      <c r="X1604" s="15">
        <f t="shared" si="10"/>
        <v>2025</v>
      </c>
    </row>
    <row r="1605">
      <c r="A1605" s="26">
        <v>45877.0</v>
      </c>
      <c r="B1605" s="30"/>
      <c r="C1605" s="27">
        <f t="shared" si="90"/>
        <v>45877</v>
      </c>
      <c r="D1605" s="28" t="s">
        <v>782</v>
      </c>
      <c r="E1605" s="28" t="s">
        <v>25</v>
      </c>
      <c r="F1605" s="28" t="s">
        <v>26</v>
      </c>
      <c r="G1605" s="28" t="s">
        <v>37</v>
      </c>
      <c r="H1605" s="28" t="s">
        <v>796</v>
      </c>
      <c r="I1605" s="24">
        <v>2000.0</v>
      </c>
      <c r="J1605" s="34"/>
      <c r="K1605" s="13">
        <f t="shared" si="96"/>
        <v>2000</v>
      </c>
      <c r="L1605" s="28" t="s">
        <v>34</v>
      </c>
      <c r="M1605" s="28"/>
      <c r="N1605" s="28" t="s">
        <v>35</v>
      </c>
      <c r="O1605" s="10" t="str">
        <f t="shared" si="79"/>
        <v>08/2025</v>
      </c>
      <c r="P1605" s="10" t="str">
        <f t="shared" si="81"/>
        <v>08/2025</v>
      </c>
      <c r="Q1605" s="15" t="str">
        <f t="array" ref="Q1605">IFERROR(XLOOKUP(N1605,'Classificação'!A:A,'Classificação'!B:B),"")</f>
        <v>COMPRA DE MERCADORIA</v>
      </c>
      <c r="R1605" s="15" t="str">
        <f t="array" ref="R1605">IFERROR(XLOOKUP(Q1605,'Classificação'!B:B,'Classificação'!C:C),"")</f>
        <v>CUSTOS VARIÁVEIS</v>
      </c>
      <c r="S1605" s="15">
        <f t="shared" si="91"/>
        <v>8</v>
      </c>
      <c r="T1605" s="15">
        <f t="shared" si="6"/>
        <v>8</v>
      </c>
      <c r="U1605" s="15">
        <f t="shared" si="7"/>
        <v>2025</v>
      </c>
      <c r="V1605" s="15">
        <f t="shared" si="8"/>
        <v>8</v>
      </c>
      <c r="W1605" s="15">
        <f t="shared" si="9"/>
        <v>8</v>
      </c>
      <c r="X1605" s="15">
        <f t="shared" si="10"/>
        <v>2025</v>
      </c>
    </row>
    <row r="1606">
      <c r="A1606" s="26">
        <v>45877.0</v>
      </c>
      <c r="B1606" s="30"/>
      <c r="C1606" s="27">
        <f t="shared" si="90"/>
        <v>45877</v>
      </c>
      <c r="D1606" s="28" t="s">
        <v>782</v>
      </c>
      <c r="E1606" s="28" t="s">
        <v>25</v>
      </c>
      <c r="F1606" s="28" t="s">
        <v>26</v>
      </c>
      <c r="G1606" s="28" t="s">
        <v>37</v>
      </c>
      <c r="H1606" s="28" t="s">
        <v>797</v>
      </c>
      <c r="I1606" s="24">
        <v>2000.0</v>
      </c>
      <c r="J1606" s="34"/>
      <c r="K1606" s="13">
        <f t="shared" si="96"/>
        <v>2000</v>
      </c>
      <c r="L1606" s="28" t="s">
        <v>34</v>
      </c>
      <c r="M1606" s="28"/>
      <c r="N1606" s="28" t="s">
        <v>35</v>
      </c>
      <c r="O1606" s="10" t="str">
        <f t="shared" si="79"/>
        <v>08/2025</v>
      </c>
      <c r="P1606" s="10" t="str">
        <f t="shared" si="81"/>
        <v>08/2025</v>
      </c>
      <c r="Q1606" s="15" t="str">
        <f t="array" ref="Q1606">IFERROR(XLOOKUP(N1606,'Classificação'!A:A,'Classificação'!B:B),"")</f>
        <v>COMPRA DE MERCADORIA</v>
      </c>
      <c r="R1606" s="15" t="str">
        <f t="array" ref="R1606">IFERROR(XLOOKUP(Q1606,'Classificação'!B:B,'Classificação'!C:C),"")</f>
        <v>CUSTOS VARIÁVEIS</v>
      </c>
      <c r="S1606" s="15">
        <f t="shared" si="91"/>
        <v>8</v>
      </c>
      <c r="T1606" s="15">
        <f t="shared" si="6"/>
        <v>8</v>
      </c>
      <c r="U1606" s="15">
        <f t="shared" si="7"/>
        <v>2025</v>
      </c>
      <c r="V1606" s="15">
        <f t="shared" si="8"/>
        <v>8</v>
      </c>
      <c r="W1606" s="15">
        <f t="shared" si="9"/>
        <v>8</v>
      </c>
      <c r="X1606" s="15">
        <f t="shared" si="10"/>
        <v>2025</v>
      </c>
    </row>
    <row r="1607">
      <c r="A1607" s="9">
        <v>45880.0</v>
      </c>
      <c r="B1607" s="10"/>
      <c r="C1607" s="9">
        <f t="shared" si="90"/>
        <v>45880</v>
      </c>
      <c r="D1607" s="11" t="s">
        <v>48</v>
      </c>
      <c r="E1607" s="11" t="s">
        <v>25</v>
      </c>
      <c r="F1607" s="11" t="s">
        <v>40</v>
      </c>
      <c r="G1607" s="11" t="s">
        <v>27</v>
      </c>
      <c r="I1607" s="12">
        <v>1469.38</v>
      </c>
      <c r="J1607" s="13"/>
      <c r="K1607" s="13">
        <f t="shared" si="96"/>
        <v>1469.38</v>
      </c>
      <c r="L1607" s="11" t="s">
        <v>29</v>
      </c>
      <c r="M1607" s="14"/>
      <c r="N1607" s="11" t="s">
        <v>49</v>
      </c>
      <c r="O1607" s="10" t="str">
        <f t="shared" si="79"/>
        <v>08/2025</v>
      </c>
      <c r="P1607" s="10" t="str">
        <f t="shared" si="81"/>
        <v>08/2025</v>
      </c>
      <c r="Q1607" s="15" t="str">
        <f t="array" ref="Q1607">IFERROR(XLOOKUP(N1607,'Classificação'!A:A,'Classificação'!B:B),"")</f>
        <v>DESPESAS COM PESSOAL</v>
      </c>
      <c r="R1607" s="15" t="str">
        <f t="array" ref="R1607">IFERROR(XLOOKUP(Q1607,'Classificação'!B:B,'Classificação'!C:C),"")</f>
        <v>DESPESAS FIXAS (-)</v>
      </c>
      <c r="S1607" s="15">
        <f t="shared" si="91"/>
        <v>11</v>
      </c>
      <c r="T1607" s="15">
        <f t="shared" si="6"/>
        <v>8</v>
      </c>
      <c r="U1607" s="15">
        <f t="shared" si="7"/>
        <v>2025</v>
      </c>
      <c r="V1607" s="15">
        <f t="shared" si="8"/>
        <v>11</v>
      </c>
      <c r="W1607" s="15">
        <f t="shared" si="9"/>
        <v>8</v>
      </c>
      <c r="X1607" s="15">
        <f t="shared" si="10"/>
        <v>2025</v>
      </c>
    </row>
    <row r="1608">
      <c r="A1608" s="9">
        <v>45880.0</v>
      </c>
      <c r="B1608" s="10"/>
      <c r="C1608" s="9">
        <f t="shared" si="90"/>
        <v>45880</v>
      </c>
      <c r="D1608" s="11" t="s">
        <v>50</v>
      </c>
      <c r="E1608" s="11" t="s">
        <v>25</v>
      </c>
      <c r="F1608" s="11" t="s">
        <v>40</v>
      </c>
      <c r="G1608" s="11" t="s">
        <v>27</v>
      </c>
      <c r="H1608" s="11" t="s">
        <v>51</v>
      </c>
      <c r="I1608" s="12">
        <v>139.99</v>
      </c>
      <c r="J1608" s="13"/>
      <c r="K1608" s="13">
        <f t="shared" si="96"/>
        <v>139.99</v>
      </c>
      <c r="L1608" s="11" t="s">
        <v>29</v>
      </c>
      <c r="M1608" s="14"/>
      <c r="N1608" s="11" t="s">
        <v>51</v>
      </c>
      <c r="O1608" s="10" t="str">
        <f t="shared" si="79"/>
        <v>08/2025</v>
      </c>
      <c r="P1608" s="10" t="str">
        <f t="shared" si="81"/>
        <v>08/2025</v>
      </c>
      <c r="Q1608" s="15" t="str">
        <f t="array" ref="Q1608">IFERROR(XLOOKUP(N1608,'Classificação'!A:A,'Classificação'!B:B),"")</f>
        <v>DESPESAS COM OCUPAÇÃO</v>
      </c>
      <c r="R1608" s="15" t="str">
        <f t="array" ref="R1608">IFERROR(XLOOKUP(Q1608,'Classificação'!B:B,'Classificação'!C:C),"")</f>
        <v>DESPESAS FIXAS (-)</v>
      </c>
      <c r="S1608" s="15">
        <f t="shared" si="91"/>
        <v>11</v>
      </c>
      <c r="T1608" s="15">
        <f t="shared" si="6"/>
        <v>8</v>
      </c>
      <c r="U1608" s="15">
        <f t="shared" si="7"/>
        <v>2025</v>
      </c>
      <c r="V1608" s="15">
        <f t="shared" si="8"/>
        <v>11</v>
      </c>
      <c r="W1608" s="15">
        <f t="shared" si="9"/>
        <v>8</v>
      </c>
      <c r="X1608" s="15">
        <f t="shared" si="10"/>
        <v>2025</v>
      </c>
    </row>
    <row r="1609">
      <c r="A1609" s="9">
        <v>45880.0</v>
      </c>
      <c r="B1609" s="10"/>
      <c r="C1609" s="9">
        <f t="shared" si="90"/>
        <v>45880</v>
      </c>
      <c r="D1609" s="11" t="s">
        <v>59</v>
      </c>
      <c r="E1609" s="11" t="s">
        <v>25</v>
      </c>
      <c r="F1609" s="11" t="s">
        <v>40</v>
      </c>
      <c r="G1609" s="11" t="s">
        <v>37</v>
      </c>
      <c r="H1609" s="11" t="s">
        <v>60</v>
      </c>
      <c r="I1609" s="12">
        <v>397.0</v>
      </c>
      <c r="J1609" s="13"/>
      <c r="K1609" s="13">
        <f t="shared" si="96"/>
        <v>397</v>
      </c>
      <c r="L1609" s="11" t="s">
        <v>29</v>
      </c>
      <c r="M1609" s="14"/>
      <c r="N1609" s="11" t="s">
        <v>61</v>
      </c>
      <c r="O1609" s="10" t="str">
        <f t="shared" si="79"/>
        <v>08/2025</v>
      </c>
      <c r="P1609" s="10" t="str">
        <f t="shared" si="81"/>
        <v>08/2025</v>
      </c>
      <c r="Q1609" s="15" t="str">
        <f t="array" ref="Q1609">IFERROR(XLOOKUP(N1609,'Classificação'!A:A,'Classificação'!B:B),"")</f>
        <v>DESPESAS ADMINISTRATIVAS</v>
      </c>
      <c r="R1609" s="15" t="str">
        <f t="array" ref="R1609">IFERROR(XLOOKUP(Q1609,'Classificação'!B:B,'Classificação'!C:C),"")</f>
        <v>DESPESAS FIXAS (-)</v>
      </c>
      <c r="S1609" s="15">
        <f t="shared" si="91"/>
        <v>11</v>
      </c>
      <c r="T1609" s="15">
        <f t="shared" si="6"/>
        <v>8</v>
      </c>
      <c r="U1609" s="15">
        <f t="shared" si="7"/>
        <v>2025</v>
      </c>
      <c r="V1609" s="15">
        <f t="shared" si="8"/>
        <v>11</v>
      </c>
      <c r="W1609" s="15">
        <f t="shared" si="9"/>
        <v>8</v>
      </c>
      <c r="X1609" s="15">
        <f t="shared" si="10"/>
        <v>2025</v>
      </c>
    </row>
    <row r="1610">
      <c r="A1610" s="9">
        <v>45880.0</v>
      </c>
      <c r="B1610" s="10"/>
      <c r="C1610" s="9">
        <f t="shared" si="90"/>
        <v>45880</v>
      </c>
      <c r="D1610" s="11" t="s">
        <v>104</v>
      </c>
      <c r="E1610" s="11" t="s">
        <v>25</v>
      </c>
      <c r="F1610" s="11" t="s">
        <v>40</v>
      </c>
      <c r="G1610" s="11" t="s">
        <v>37</v>
      </c>
      <c r="H1610" s="11" t="s">
        <v>413</v>
      </c>
      <c r="I1610" s="12">
        <v>27.5</v>
      </c>
      <c r="J1610" s="13"/>
      <c r="K1610" s="13">
        <f t="shared" si="96"/>
        <v>27.5</v>
      </c>
      <c r="L1610" s="11" t="s">
        <v>29</v>
      </c>
      <c r="M1610" s="14"/>
      <c r="N1610" s="11" t="s">
        <v>105</v>
      </c>
      <c r="O1610" s="10" t="str">
        <f t="shared" si="79"/>
        <v>08/2025</v>
      </c>
      <c r="P1610" s="10" t="str">
        <f t="shared" si="81"/>
        <v>08/2025</v>
      </c>
      <c r="Q1610" s="15" t="str">
        <f t="array" ref="Q1610">IFERROR(XLOOKUP(N1610,'Classificação'!A:A,'Classificação'!B:B),"")</f>
        <v>DESPESAS ADMINISTRATIVAS</v>
      </c>
      <c r="R1610" s="15" t="str">
        <f t="array" ref="R1610">IFERROR(XLOOKUP(Q1610,'Classificação'!B:B,'Classificação'!C:C),"")</f>
        <v>DESPESAS FIXAS (-)</v>
      </c>
      <c r="S1610" s="15">
        <f t="shared" si="91"/>
        <v>11</v>
      </c>
      <c r="T1610" s="15">
        <f t="shared" si="6"/>
        <v>8</v>
      </c>
      <c r="U1610" s="15">
        <f t="shared" si="7"/>
        <v>2025</v>
      </c>
      <c r="V1610" s="15">
        <f t="shared" si="8"/>
        <v>11</v>
      </c>
      <c r="W1610" s="15">
        <f t="shared" si="9"/>
        <v>8</v>
      </c>
      <c r="X1610" s="15">
        <f t="shared" si="10"/>
        <v>2025</v>
      </c>
    </row>
    <row r="1611">
      <c r="A1611" s="9">
        <v>45880.0</v>
      </c>
      <c r="B1611" s="10"/>
      <c r="C1611" s="9">
        <f t="shared" si="90"/>
        <v>45880</v>
      </c>
      <c r="D1611" s="11" t="s">
        <v>44</v>
      </c>
      <c r="E1611" s="11" t="s">
        <v>25</v>
      </c>
      <c r="F1611" s="11" t="s">
        <v>45</v>
      </c>
      <c r="G1611" s="11" t="s">
        <v>27</v>
      </c>
      <c r="H1611" s="11" t="s">
        <v>52</v>
      </c>
      <c r="I1611" s="12">
        <v>480.32</v>
      </c>
      <c r="J1611" s="13"/>
      <c r="K1611" s="13">
        <f t="shared" si="96"/>
        <v>480.32</v>
      </c>
      <c r="L1611" s="11" t="s">
        <v>53</v>
      </c>
      <c r="M1611" s="16" t="s">
        <v>900</v>
      </c>
      <c r="N1611" s="11" t="s">
        <v>55</v>
      </c>
      <c r="O1611" s="10" t="str">
        <f t="shared" si="79"/>
        <v>08/2025</v>
      </c>
      <c r="P1611" s="10" t="str">
        <f t="shared" si="81"/>
        <v>08/2025</v>
      </c>
      <c r="Q1611" s="15" t="str">
        <f t="array" ref="Q1611">IFERROR(XLOOKUP(N1611,'Classificação'!A:A,'Classificação'!B:B),"")</f>
        <v>DESPESAS NÃO OPERACIONAIS</v>
      </c>
      <c r="R1611" s="15" t="str">
        <f t="array" ref="R1611">IFERROR(XLOOKUP(Q1611,'Classificação'!B:B,'Classificação'!C:C),"")</f>
        <v>RESULTADO NÃO OPERACIONAL (+/-)</v>
      </c>
      <c r="S1611" s="15">
        <f t="shared" si="91"/>
        <v>11</v>
      </c>
      <c r="T1611" s="15">
        <f t="shared" si="6"/>
        <v>8</v>
      </c>
      <c r="U1611" s="15">
        <f t="shared" si="7"/>
        <v>2025</v>
      </c>
      <c r="V1611" s="15">
        <f t="shared" si="8"/>
        <v>11</v>
      </c>
      <c r="W1611" s="15">
        <f t="shared" si="9"/>
        <v>8</v>
      </c>
      <c r="X1611" s="15">
        <f t="shared" si="10"/>
        <v>2025</v>
      </c>
    </row>
    <row r="1612">
      <c r="A1612" s="9">
        <v>45880.0</v>
      </c>
      <c r="B1612" s="10"/>
      <c r="C1612" s="9">
        <f t="shared" si="90"/>
        <v>45880</v>
      </c>
      <c r="D1612" s="11" t="s">
        <v>65</v>
      </c>
      <c r="E1612" s="11" t="s">
        <v>25</v>
      </c>
      <c r="F1612" s="11" t="s">
        <v>45</v>
      </c>
      <c r="G1612" s="11" t="s">
        <v>66</v>
      </c>
      <c r="H1612" s="11" t="s">
        <v>67</v>
      </c>
      <c r="I1612" s="12">
        <v>616.04</v>
      </c>
      <c r="J1612" s="13"/>
      <c r="K1612" s="13">
        <f t="shared" si="96"/>
        <v>616.04</v>
      </c>
      <c r="L1612" s="11" t="s">
        <v>29</v>
      </c>
      <c r="M1612" s="14"/>
      <c r="N1612" s="11" t="s">
        <v>68</v>
      </c>
      <c r="O1612" s="10" t="str">
        <f t="shared" si="79"/>
        <v>08/2025</v>
      </c>
      <c r="P1612" s="10" t="str">
        <f t="shared" si="81"/>
        <v>08/2025</v>
      </c>
      <c r="Q1612" s="15" t="str">
        <f t="array" ref="Q1612">IFERROR(XLOOKUP(N1612,'Classificação'!A:A,'Classificação'!B:B),"")</f>
        <v>FRETE DE VENDAS</v>
      </c>
      <c r="R1612" s="15" t="str">
        <f t="array" ref="R1612">IFERROR(XLOOKUP(Q1612,'Classificação'!B:B,'Classificação'!C:C),"")</f>
        <v>CUSTOS VARIÁVEIS</v>
      </c>
      <c r="S1612" s="15">
        <f t="shared" si="91"/>
        <v>11</v>
      </c>
      <c r="T1612" s="15">
        <f t="shared" si="6"/>
        <v>8</v>
      </c>
      <c r="U1612" s="15">
        <f t="shared" si="7"/>
        <v>2025</v>
      </c>
      <c r="V1612" s="15">
        <f t="shared" si="8"/>
        <v>11</v>
      </c>
      <c r="W1612" s="15">
        <f t="shared" si="9"/>
        <v>8</v>
      </c>
      <c r="X1612" s="15">
        <f t="shared" si="10"/>
        <v>2025</v>
      </c>
    </row>
    <row r="1613">
      <c r="A1613" s="26">
        <v>45880.0</v>
      </c>
      <c r="B1613" s="30"/>
      <c r="C1613" s="27">
        <f t="shared" si="90"/>
        <v>45880</v>
      </c>
      <c r="D1613" s="28" t="s">
        <v>36</v>
      </c>
      <c r="E1613" s="29" t="s">
        <v>25</v>
      </c>
      <c r="F1613" s="28" t="s">
        <v>32</v>
      </c>
      <c r="G1613" s="28" t="s">
        <v>37</v>
      </c>
      <c r="H1613" s="28"/>
      <c r="I1613" s="24">
        <v>1780.0</v>
      </c>
      <c r="J1613" s="34"/>
      <c r="K1613" s="37">
        <f t="shared" ref="K1613:K1617" si="97">IF(E1613="pago",(I1613-J1613),"")</f>
        <v>1780</v>
      </c>
      <c r="L1613" s="28" t="s">
        <v>29</v>
      </c>
      <c r="M1613" s="28"/>
      <c r="N1613" s="28" t="s">
        <v>38</v>
      </c>
      <c r="O1613" s="10" t="str">
        <f t="shared" si="79"/>
        <v>08/2025</v>
      </c>
      <c r="P1613" s="10" t="str">
        <f t="shared" si="81"/>
        <v>08/2025</v>
      </c>
      <c r="Q1613" s="15" t="str">
        <f t="array" ref="Q1613">IFERROR(XLOOKUP(N1613,'Classificação'!A:A,'Classificação'!B:B),"")</f>
        <v>DESPESAS COM PESSOAL</v>
      </c>
      <c r="R1613" s="15" t="str">
        <f t="array" ref="R1613">IFERROR(XLOOKUP(Q1613,'Classificação'!B:B,'Classificação'!C:C),"")</f>
        <v>DESPESAS FIXAS (-)</v>
      </c>
      <c r="S1613" s="15">
        <f t="shared" si="91"/>
        <v>11</v>
      </c>
      <c r="T1613" s="15">
        <f t="shared" si="6"/>
        <v>8</v>
      </c>
      <c r="U1613" s="15">
        <f t="shared" si="7"/>
        <v>2025</v>
      </c>
      <c r="V1613" s="15">
        <f t="shared" si="8"/>
        <v>11</v>
      </c>
      <c r="W1613" s="15">
        <f t="shared" si="9"/>
        <v>8</v>
      </c>
      <c r="X1613" s="15">
        <f t="shared" si="10"/>
        <v>2025</v>
      </c>
    </row>
    <row r="1614">
      <c r="A1614" s="26">
        <v>45880.0</v>
      </c>
      <c r="B1614" s="30"/>
      <c r="C1614" s="27">
        <f t="shared" si="90"/>
        <v>45880</v>
      </c>
      <c r="D1614" s="28" t="s">
        <v>43</v>
      </c>
      <c r="E1614" s="29" t="s">
        <v>25</v>
      </c>
      <c r="F1614" s="28" t="s">
        <v>32</v>
      </c>
      <c r="G1614" s="28" t="s">
        <v>37</v>
      </c>
      <c r="H1614" s="28"/>
      <c r="I1614" s="24">
        <v>1780.0</v>
      </c>
      <c r="J1614" s="34"/>
      <c r="K1614" s="37">
        <f t="shared" si="97"/>
        <v>1780</v>
      </c>
      <c r="L1614" s="28" t="s">
        <v>29</v>
      </c>
      <c r="M1614" s="28"/>
      <c r="N1614" s="28" t="s">
        <v>38</v>
      </c>
      <c r="O1614" s="10" t="str">
        <f t="shared" si="79"/>
        <v>08/2025</v>
      </c>
      <c r="P1614" s="10" t="str">
        <f t="shared" si="81"/>
        <v>08/2025</v>
      </c>
      <c r="Q1614" s="15" t="str">
        <f t="array" ref="Q1614">IFERROR(XLOOKUP(N1614,'Classificação'!A:A,'Classificação'!B:B),"")</f>
        <v>DESPESAS COM PESSOAL</v>
      </c>
      <c r="R1614" s="15" t="str">
        <f t="array" ref="R1614">IFERROR(XLOOKUP(Q1614,'Classificação'!B:B,'Classificação'!C:C),"")</f>
        <v>DESPESAS FIXAS (-)</v>
      </c>
      <c r="S1614" s="15">
        <f t="shared" si="91"/>
        <v>11</v>
      </c>
      <c r="T1614" s="15">
        <f t="shared" si="6"/>
        <v>8</v>
      </c>
      <c r="U1614" s="15">
        <f t="shared" si="7"/>
        <v>2025</v>
      </c>
      <c r="V1614" s="15">
        <f t="shared" si="8"/>
        <v>11</v>
      </c>
      <c r="W1614" s="15">
        <f t="shared" si="9"/>
        <v>8</v>
      </c>
      <c r="X1614" s="15">
        <f t="shared" si="10"/>
        <v>2025</v>
      </c>
    </row>
    <row r="1615">
      <c r="A1615" s="9">
        <v>45880.0</v>
      </c>
      <c r="B1615" s="9">
        <v>45680.0</v>
      </c>
      <c r="C1615" s="9">
        <f t="shared" si="90"/>
        <v>45880</v>
      </c>
      <c r="D1615" s="11" t="s">
        <v>544</v>
      </c>
      <c r="E1615" s="11" t="s">
        <v>25</v>
      </c>
      <c r="F1615" s="11" t="s">
        <v>26</v>
      </c>
      <c r="G1615" s="11" t="s">
        <v>37</v>
      </c>
      <c r="H1615" s="11" t="s">
        <v>545</v>
      </c>
      <c r="I1615" s="12">
        <v>766.46</v>
      </c>
      <c r="J1615" s="13"/>
      <c r="K1615" s="37">
        <f t="shared" si="97"/>
        <v>766.46</v>
      </c>
      <c r="L1615" s="11" t="s">
        <v>53</v>
      </c>
      <c r="M1615" s="17">
        <v>45998.0</v>
      </c>
      <c r="N1615" s="11" t="s">
        <v>95</v>
      </c>
      <c r="O1615" s="10" t="str">
        <f t="shared" si="79"/>
        <v>08/2025</v>
      </c>
      <c r="P1615" s="10" t="str">
        <f t="shared" si="81"/>
        <v>08/2025</v>
      </c>
      <c r="Q1615" s="15" t="str">
        <f t="array" ref="Q1615">IFERROR(XLOOKUP(N1615,'Classificação'!A:A,'Classificação'!B:B),"")</f>
        <v>DESPESAS NÃO OPERACIONAIS</v>
      </c>
      <c r="R1615" s="15" t="str">
        <f t="array" ref="R1615">IFERROR(XLOOKUP(Q1615,'Classificação'!B:B,'Classificação'!C:C),"")</f>
        <v>RESULTADO NÃO OPERACIONAL (+/-)</v>
      </c>
      <c r="S1615" s="15">
        <f t="shared" si="91"/>
        <v>11</v>
      </c>
      <c r="T1615" s="15">
        <f t="shared" si="6"/>
        <v>8</v>
      </c>
      <c r="U1615" s="15">
        <f t="shared" si="7"/>
        <v>2025</v>
      </c>
      <c r="V1615" s="15">
        <f t="shared" si="8"/>
        <v>11</v>
      </c>
      <c r="W1615" s="15">
        <f t="shared" si="9"/>
        <v>8</v>
      </c>
      <c r="X1615" s="15">
        <f t="shared" si="10"/>
        <v>2025</v>
      </c>
    </row>
    <row r="1616">
      <c r="A1616" s="9">
        <v>45880.0</v>
      </c>
      <c r="B1616" s="9">
        <v>45798.0</v>
      </c>
      <c r="C1616" s="9">
        <f t="shared" si="90"/>
        <v>45880</v>
      </c>
      <c r="D1616" s="11" t="s">
        <v>86</v>
      </c>
      <c r="E1616" s="11" t="s">
        <v>25</v>
      </c>
      <c r="F1616" s="11" t="s">
        <v>87</v>
      </c>
      <c r="G1616" s="11" t="s">
        <v>27</v>
      </c>
      <c r="H1616" s="11" t="s">
        <v>901</v>
      </c>
      <c r="I1616" s="12">
        <v>1960.0</v>
      </c>
      <c r="J1616" s="13"/>
      <c r="K1616" s="37">
        <f t="shared" si="97"/>
        <v>1960</v>
      </c>
      <c r="L1616" s="11" t="s">
        <v>53</v>
      </c>
      <c r="M1616" s="17">
        <v>45750.0</v>
      </c>
      <c r="N1616" s="11" t="s">
        <v>35</v>
      </c>
      <c r="O1616" s="10" t="str">
        <f t="shared" si="79"/>
        <v>08/2025</v>
      </c>
      <c r="P1616" s="10" t="str">
        <f t="shared" si="81"/>
        <v>08/2025</v>
      </c>
      <c r="Q1616" s="15" t="str">
        <f t="array" ref="Q1616">IFERROR(XLOOKUP(N1616,'Classificação'!A:A,'Classificação'!B:B),"")</f>
        <v>COMPRA DE MERCADORIA</v>
      </c>
      <c r="R1616" s="15" t="str">
        <f t="array" ref="R1616">IFERROR(XLOOKUP(Q1616,'Classificação'!B:B,'Classificação'!C:C),"")</f>
        <v>CUSTOS VARIÁVEIS</v>
      </c>
      <c r="S1616" s="15">
        <f t="shared" si="91"/>
        <v>11</v>
      </c>
      <c r="T1616" s="15">
        <f t="shared" si="6"/>
        <v>8</v>
      </c>
      <c r="U1616" s="15">
        <f t="shared" si="7"/>
        <v>2025</v>
      </c>
      <c r="V1616" s="15">
        <f t="shared" si="8"/>
        <v>11</v>
      </c>
      <c r="W1616" s="15">
        <f t="shared" si="9"/>
        <v>8</v>
      </c>
      <c r="X1616" s="15">
        <f t="shared" si="10"/>
        <v>2025</v>
      </c>
    </row>
    <row r="1617">
      <c r="A1617" s="9">
        <v>45881.0</v>
      </c>
      <c r="B1617" s="10"/>
      <c r="C1617" s="9">
        <f t="shared" si="90"/>
        <v>45881</v>
      </c>
      <c r="D1617" s="11" t="s">
        <v>56</v>
      </c>
      <c r="E1617" s="11" t="s">
        <v>25</v>
      </c>
      <c r="F1617" s="11" t="s">
        <v>26</v>
      </c>
      <c r="G1617" s="11" t="s">
        <v>37</v>
      </c>
      <c r="H1617" s="11" t="s">
        <v>57</v>
      </c>
      <c r="I1617" s="12">
        <v>50.0</v>
      </c>
      <c r="J1617" s="13"/>
      <c r="K1617" s="37">
        <f t="shared" si="97"/>
        <v>50</v>
      </c>
      <c r="L1617" s="11" t="s">
        <v>29</v>
      </c>
      <c r="M1617" s="14"/>
      <c r="N1617" s="11" t="s">
        <v>58</v>
      </c>
      <c r="O1617" s="10" t="str">
        <f t="shared" si="79"/>
        <v>08/2025</v>
      </c>
      <c r="P1617" s="10" t="str">
        <f t="shared" si="81"/>
        <v>08/2025</v>
      </c>
      <c r="Q1617" s="15" t="str">
        <f t="array" ref="Q1617">IFERROR(XLOOKUP(N1617,'Classificação'!A:A,'Classificação'!B:B),"")</f>
        <v>DESPESAS ADMINISTRATIVAS</v>
      </c>
      <c r="R1617" s="15" t="str">
        <f t="array" ref="R1617">IFERROR(XLOOKUP(Q1617,'Classificação'!B:B,'Classificação'!C:C),"")</f>
        <v>DESPESAS FIXAS (-)</v>
      </c>
      <c r="S1617" s="15">
        <f t="shared" si="91"/>
        <v>12</v>
      </c>
      <c r="T1617" s="15">
        <f t="shared" si="6"/>
        <v>8</v>
      </c>
      <c r="U1617" s="15">
        <f t="shared" si="7"/>
        <v>2025</v>
      </c>
      <c r="V1617" s="15">
        <f t="shared" si="8"/>
        <v>12</v>
      </c>
      <c r="W1617" s="15">
        <f t="shared" si="9"/>
        <v>8</v>
      </c>
      <c r="X1617" s="15">
        <f t="shared" si="10"/>
        <v>2025</v>
      </c>
    </row>
    <row r="1618">
      <c r="A1618" s="9">
        <v>45881.0</v>
      </c>
      <c r="B1618" s="10"/>
      <c r="C1618" s="9">
        <f t="shared" si="90"/>
        <v>45881</v>
      </c>
      <c r="D1618" s="11" t="s">
        <v>127</v>
      </c>
      <c r="E1618" s="11" t="s">
        <v>25</v>
      </c>
      <c r="F1618" s="11" t="s">
        <v>26</v>
      </c>
      <c r="G1618" s="11" t="s">
        <v>37</v>
      </c>
      <c r="H1618" s="11" t="s">
        <v>902</v>
      </c>
      <c r="I1618" s="12">
        <v>587.56</v>
      </c>
      <c r="J1618" s="13"/>
      <c r="K1618" s="13">
        <f t="shared" ref="K1618:K1706" si="98">if(E1618="pago",(I1618-J1618),"")</f>
        <v>587.56</v>
      </c>
      <c r="L1618" s="11" t="s">
        <v>29</v>
      </c>
      <c r="M1618" s="14"/>
      <c r="N1618" s="11" t="s">
        <v>58</v>
      </c>
      <c r="O1618" s="10" t="str">
        <f t="shared" si="79"/>
        <v>08/2025</v>
      </c>
      <c r="P1618" s="10" t="str">
        <f t="shared" si="81"/>
        <v>08/2025</v>
      </c>
      <c r="Q1618" s="15" t="str">
        <f t="array" ref="Q1618">IFERROR(XLOOKUP(N1618,'Classificação'!A:A,'Classificação'!B:B),"")</f>
        <v>DESPESAS ADMINISTRATIVAS</v>
      </c>
      <c r="R1618" s="15" t="str">
        <f t="array" ref="R1618">IFERROR(XLOOKUP(Q1618,'Classificação'!B:B,'Classificação'!C:C),"")</f>
        <v>DESPESAS FIXAS (-)</v>
      </c>
      <c r="S1618" s="15">
        <f t="shared" si="91"/>
        <v>12</v>
      </c>
      <c r="T1618" s="15">
        <f t="shared" si="6"/>
        <v>8</v>
      </c>
      <c r="U1618" s="15">
        <f t="shared" si="7"/>
        <v>2025</v>
      </c>
      <c r="V1618" s="15">
        <f t="shared" si="8"/>
        <v>12</v>
      </c>
      <c r="W1618" s="15">
        <f t="shared" si="9"/>
        <v>8</v>
      </c>
      <c r="X1618" s="15">
        <f t="shared" si="10"/>
        <v>2025</v>
      </c>
    </row>
    <row r="1619">
      <c r="A1619" s="9">
        <v>45883.0</v>
      </c>
      <c r="B1619" s="10"/>
      <c r="C1619" s="9">
        <f t="shared" si="90"/>
        <v>45883</v>
      </c>
      <c r="D1619" s="11" t="s">
        <v>44</v>
      </c>
      <c r="E1619" s="11" t="s">
        <v>25</v>
      </c>
      <c r="F1619" s="11" t="s">
        <v>45</v>
      </c>
      <c r="G1619" s="11" t="s">
        <v>27</v>
      </c>
      <c r="H1619" s="11" t="s">
        <v>476</v>
      </c>
      <c r="I1619" s="12">
        <v>5612.85</v>
      </c>
      <c r="J1619" s="13"/>
      <c r="K1619" s="13">
        <f t="shared" si="98"/>
        <v>5612.85</v>
      </c>
      <c r="L1619" s="11" t="s">
        <v>53</v>
      </c>
      <c r="M1619" s="16" t="s">
        <v>903</v>
      </c>
      <c r="N1619" s="11" t="s">
        <v>73</v>
      </c>
      <c r="O1619" s="10" t="str">
        <f t="shared" si="79"/>
        <v>08/2025</v>
      </c>
      <c r="P1619" s="10" t="str">
        <f t="shared" si="81"/>
        <v>08/2025</v>
      </c>
      <c r="Q1619" s="15" t="str">
        <f t="array" ref="Q1619">IFERROR(XLOOKUP(N1619,'Classificação'!A:A,'Classificação'!B:B),"")</f>
        <v>DESPESAS NÃO OPERACIONAIS</v>
      </c>
      <c r="R1619" s="15" t="str">
        <f t="array" ref="R1619">IFERROR(XLOOKUP(Q1619,'Classificação'!B:B,'Classificação'!C:C),"")</f>
        <v>RESULTADO NÃO OPERACIONAL (+/-)</v>
      </c>
      <c r="S1619" s="15">
        <f t="shared" si="91"/>
        <v>14</v>
      </c>
      <c r="T1619" s="15">
        <f t="shared" si="6"/>
        <v>8</v>
      </c>
      <c r="U1619" s="15">
        <f t="shared" si="7"/>
        <v>2025</v>
      </c>
      <c r="V1619" s="15">
        <f t="shared" si="8"/>
        <v>14</v>
      </c>
      <c r="W1619" s="15">
        <f t="shared" si="9"/>
        <v>8</v>
      </c>
      <c r="X1619" s="15">
        <f t="shared" si="10"/>
        <v>2025</v>
      </c>
    </row>
    <row r="1620">
      <c r="A1620" s="9">
        <v>45884.0</v>
      </c>
      <c r="B1620" s="10"/>
      <c r="C1620" s="9">
        <f t="shared" si="90"/>
        <v>45884</v>
      </c>
      <c r="D1620" s="11" t="s">
        <v>80</v>
      </c>
      <c r="E1620" s="11" t="s">
        <v>25</v>
      </c>
      <c r="F1620" s="11" t="s">
        <v>32</v>
      </c>
      <c r="G1620" s="11" t="s">
        <v>27</v>
      </c>
      <c r="I1620" s="12">
        <v>780.0</v>
      </c>
      <c r="J1620" s="13"/>
      <c r="K1620" s="13">
        <f t="shared" si="98"/>
        <v>780</v>
      </c>
      <c r="L1620" s="11" t="s">
        <v>29</v>
      </c>
      <c r="M1620" s="14"/>
      <c r="N1620" s="11" t="s">
        <v>75</v>
      </c>
      <c r="O1620" s="10" t="str">
        <f t="shared" si="79"/>
        <v>08/2025</v>
      </c>
      <c r="P1620" s="10" t="str">
        <f t="shared" si="81"/>
        <v>08/2025</v>
      </c>
      <c r="Q1620" s="15" t="str">
        <f t="array" ref="Q1620">IFERROR(XLOOKUP(N1620,'Classificação'!A:A,'Classificação'!B:B),"")</f>
        <v>DESPESAS COM PESSOAL</v>
      </c>
      <c r="R1620" s="15" t="str">
        <f t="array" ref="R1620">IFERROR(XLOOKUP(Q1620,'Classificação'!B:B,'Classificação'!C:C),"")</f>
        <v>DESPESAS FIXAS (-)</v>
      </c>
      <c r="S1620" s="15">
        <f t="shared" si="91"/>
        <v>15</v>
      </c>
      <c r="T1620" s="15">
        <f t="shared" si="6"/>
        <v>8</v>
      </c>
      <c r="U1620" s="15">
        <f t="shared" si="7"/>
        <v>2025</v>
      </c>
      <c r="V1620" s="15">
        <f t="shared" si="8"/>
        <v>15</v>
      </c>
      <c r="W1620" s="15">
        <f t="shared" si="9"/>
        <v>8</v>
      </c>
      <c r="X1620" s="15">
        <f t="shared" si="10"/>
        <v>2025</v>
      </c>
    </row>
    <row r="1621">
      <c r="A1621" s="9">
        <v>45884.0</v>
      </c>
      <c r="B1621" s="10"/>
      <c r="C1621" s="9">
        <f t="shared" si="90"/>
        <v>45884</v>
      </c>
      <c r="D1621" s="11" t="s">
        <v>83</v>
      </c>
      <c r="E1621" s="11" t="s">
        <v>25</v>
      </c>
      <c r="F1621" s="11" t="s">
        <v>32</v>
      </c>
      <c r="G1621" s="11" t="s">
        <v>27</v>
      </c>
      <c r="I1621" s="12">
        <v>800.0</v>
      </c>
      <c r="J1621" s="13"/>
      <c r="K1621" s="13">
        <f t="shared" si="98"/>
        <v>800</v>
      </c>
      <c r="L1621" s="11" t="s">
        <v>29</v>
      </c>
      <c r="M1621" s="14"/>
      <c r="N1621" s="11" t="s">
        <v>75</v>
      </c>
      <c r="O1621" s="10" t="str">
        <f t="shared" si="79"/>
        <v>08/2025</v>
      </c>
      <c r="P1621" s="10" t="str">
        <f t="shared" si="81"/>
        <v>08/2025</v>
      </c>
      <c r="Q1621" s="15" t="str">
        <f t="array" ref="Q1621">IFERROR(XLOOKUP(N1621,'Classificação'!A:A,'Classificação'!B:B),"")</f>
        <v>DESPESAS COM PESSOAL</v>
      </c>
      <c r="R1621" s="15" t="str">
        <f t="array" ref="R1621">IFERROR(XLOOKUP(Q1621,'Classificação'!B:B,'Classificação'!C:C),"")</f>
        <v>DESPESAS FIXAS (-)</v>
      </c>
      <c r="S1621" s="15">
        <f t="shared" si="91"/>
        <v>15</v>
      </c>
      <c r="T1621" s="15">
        <f t="shared" si="6"/>
        <v>8</v>
      </c>
      <c r="U1621" s="15">
        <f t="shared" si="7"/>
        <v>2025</v>
      </c>
      <c r="V1621" s="15">
        <f t="shared" si="8"/>
        <v>15</v>
      </c>
      <c r="W1621" s="15">
        <f t="shared" si="9"/>
        <v>8</v>
      </c>
      <c r="X1621" s="15">
        <f t="shared" si="10"/>
        <v>2025</v>
      </c>
    </row>
    <row r="1622">
      <c r="A1622" s="9">
        <v>45884.0</v>
      </c>
      <c r="B1622" s="10"/>
      <c r="C1622" s="9">
        <f t="shared" si="90"/>
        <v>45884</v>
      </c>
      <c r="D1622" s="11" t="s">
        <v>79</v>
      </c>
      <c r="E1622" s="11" t="s">
        <v>25</v>
      </c>
      <c r="F1622" s="11" t="s">
        <v>26</v>
      </c>
      <c r="G1622" s="11" t="s">
        <v>37</v>
      </c>
      <c r="I1622" s="12">
        <v>500.0</v>
      </c>
      <c r="J1622" s="13"/>
      <c r="K1622" s="13">
        <f t="shared" si="98"/>
        <v>500</v>
      </c>
      <c r="L1622" s="11" t="s">
        <v>29</v>
      </c>
      <c r="M1622" s="14"/>
      <c r="N1622" s="11" t="s">
        <v>38</v>
      </c>
      <c r="O1622" s="10" t="str">
        <f t="shared" si="79"/>
        <v>08/2025</v>
      </c>
      <c r="P1622" s="10" t="str">
        <f t="shared" si="81"/>
        <v>08/2025</v>
      </c>
      <c r="Q1622" s="15" t="str">
        <f t="array" ref="Q1622">IFERROR(XLOOKUP(N1622,'Classificação'!A:A,'Classificação'!B:B),"")</f>
        <v>DESPESAS COM PESSOAL</v>
      </c>
      <c r="R1622" s="15" t="str">
        <f t="array" ref="R1622">IFERROR(XLOOKUP(Q1622,'Classificação'!B:B,'Classificação'!C:C),"")</f>
        <v>DESPESAS FIXAS (-)</v>
      </c>
      <c r="S1622" s="15">
        <f t="shared" si="91"/>
        <v>15</v>
      </c>
      <c r="T1622" s="15">
        <f t="shared" si="6"/>
        <v>8</v>
      </c>
      <c r="U1622" s="15">
        <f t="shared" si="7"/>
        <v>2025</v>
      </c>
      <c r="V1622" s="15">
        <f t="shared" si="8"/>
        <v>15</v>
      </c>
      <c r="W1622" s="15">
        <f t="shared" si="9"/>
        <v>8</v>
      </c>
      <c r="X1622" s="15">
        <f t="shared" si="10"/>
        <v>2025</v>
      </c>
    </row>
    <row r="1623">
      <c r="A1623" s="9">
        <v>45884.0</v>
      </c>
      <c r="B1623" s="10"/>
      <c r="C1623" s="9">
        <f t="shared" si="90"/>
        <v>45884</v>
      </c>
      <c r="D1623" s="11" t="s">
        <v>217</v>
      </c>
      <c r="E1623" s="11" t="s">
        <v>25</v>
      </c>
      <c r="F1623" s="11" t="s">
        <v>26</v>
      </c>
      <c r="G1623" s="11" t="s">
        <v>37</v>
      </c>
      <c r="H1623" s="11" t="s">
        <v>904</v>
      </c>
      <c r="I1623" s="12">
        <v>200.0</v>
      </c>
      <c r="J1623" s="13"/>
      <c r="K1623" s="13">
        <f t="shared" si="98"/>
        <v>200</v>
      </c>
      <c r="L1623" s="11" t="s">
        <v>34</v>
      </c>
      <c r="M1623" s="14"/>
      <c r="N1623" s="11" t="s">
        <v>218</v>
      </c>
      <c r="O1623" s="10" t="str">
        <f t="shared" si="79"/>
        <v>08/2025</v>
      </c>
      <c r="P1623" s="10" t="str">
        <f t="shared" si="81"/>
        <v>08/2025</v>
      </c>
      <c r="Q1623" s="15" t="str">
        <f t="array" ref="Q1623">IFERROR(XLOOKUP(N1623,'Classificação'!A:A,'Classificação'!B:B),"")</f>
        <v>DESPESAS COM VIAGENS</v>
      </c>
      <c r="R1623" s="15" t="str">
        <f t="array" ref="R1623">IFERROR(XLOOKUP(Q1623,'Classificação'!B:B,'Classificação'!C:C),"")</f>
        <v>DESPESAS FIXAS (-)</v>
      </c>
      <c r="S1623" s="15">
        <f t="shared" si="91"/>
        <v>15</v>
      </c>
      <c r="T1623" s="15">
        <f t="shared" si="6"/>
        <v>8</v>
      </c>
      <c r="U1623" s="15">
        <f t="shared" si="7"/>
        <v>2025</v>
      </c>
      <c r="V1623" s="15">
        <f t="shared" si="8"/>
        <v>15</v>
      </c>
      <c r="W1623" s="15">
        <f t="shared" si="9"/>
        <v>8</v>
      </c>
      <c r="X1623" s="15">
        <f t="shared" si="10"/>
        <v>2025</v>
      </c>
    </row>
    <row r="1624">
      <c r="A1624" s="9">
        <v>45885.0</v>
      </c>
      <c r="B1624" s="10"/>
      <c r="C1624" s="9">
        <f t="shared" si="90"/>
        <v>45885</v>
      </c>
      <c r="D1624" s="11" t="s">
        <v>36</v>
      </c>
      <c r="E1624" s="11" t="s">
        <v>25</v>
      </c>
      <c r="F1624" s="11" t="s">
        <v>26</v>
      </c>
      <c r="G1624" s="11" t="s">
        <v>37</v>
      </c>
      <c r="I1624" s="12">
        <v>1500.0</v>
      </c>
      <c r="J1624" s="13"/>
      <c r="K1624" s="13">
        <f t="shared" si="98"/>
        <v>1500</v>
      </c>
      <c r="L1624" s="11" t="s">
        <v>29</v>
      </c>
      <c r="M1624" s="14"/>
      <c r="N1624" s="11" t="s">
        <v>38</v>
      </c>
      <c r="O1624" s="10" t="str">
        <f t="shared" si="79"/>
        <v>08/2025</v>
      </c>
      <c r="P1624" s="10" t="str">
        <f t="shared" si="81"/>
        <v>08/2025</v>
      </c>
      <c r="Q1624" s="15" t="str">
        <f t="array" ref="Q1624">IFERROR(XLOOKUP(N1624,'Classificação'!A:A,'Classificação'!B:B),"")</f>
        <v>DESPESAS COM PESSOAL</v>
      </c>
      <c r="R1624" s="15" t="str">
        <f t="array" ref="R1624">IFERROR(XLOOKUP(Q1624,'Classificação'!B:B,'Classificação'!C:C),"")</f>
        <v>DESPESAS FIXAS (-)</v>
      </c>
      <c r="S1624" s="15">
        <f t="shared" si="91"/>
        <v>16</v>
      </c>
      <c r="T1624" s="15">
        <f t="shared" si="6"/>
        <v>8</v>
      </c>
      <c r="U1624" s="15">
        <f t="shared" si="7"/>
        <v>2025</v>
      </c>
      <c r="V1624" s="15">
        <f t="shared" si="8"/>
        <v>16</v>
      </c>
      <c r="W1624" s="15">
        <f t="shared" si="9"/>
        <v>8</v>
      </c>
      <c r="X1624" s="15">
        <f t="shared" si="10"/>
        <v>2025</v>
      </c>
    </row>
    <row r="1625">
      <c r="A1625" s="9">
        <v>45885.0</v>
      </c>
      <c r="B1625" s="10"/>
      <c r="C1625" s="9">
        <f t="shared" si="90"/>
        <v>45885</v>
      </c>
      <c r="D1625" s="11" t="s">
        <v>43</v>
      </c>
      <c r="E1625" s="11" t="s">
        <v>25</v>
      </c>
      <c r="F1625" s="11" t="s">
        <v>26</v>
      </c>
      <c r="G1625" s="11" t="s">
        <v>37</v>
      </c>
      <c r="I1625" s="12">
        <v>1500.0</v>
      </c>
      <c r="J1625" s="13"/>
      <c r="K1625" s="13">
        <f t="shared" si="98"/>
        <v>1500</v>
      </c>
      <c r="L1625" s="11" t="s">
        <v>29</v>
      </c>
      <c r="M1625" s="14"/>
      <c r="N1625" s="11" t="s">
        <v>38</v>
      </c>
      <c r="O1625" s="10" t="str">
        <f t="shared" si="79"/>
        <v>08/2025</v>
      </c>
      <c r="P1625" s="10" t="str">
        <f t="shared" si="81"/>
        <v>08/2025</v>
      </c>
      <c r="Q1625" s="15" t="str">
        <f t="array" ref="Q1625">IFERROR(XLOOKUP(N1625,'Classificação'!A:A,'Classificação'!B:B),"")</f>
        <v>DESPESAS COM PESSOAL</v>
      </c>
      <c r="R1625" s="15" t="str">
        <f t="array" ref="R1625">IFERROR(XLOOKUP(Q1625,'Classificação'!B:B,'Classificação'!C:C),"")</f>
        <v>DESPESAS FIXAS (-)</v>
      </c>
      <c r="S1625" s="15">
        <f t="shared" si="91"/>
        <v>16</v>
      </c>
      <c r="T1625" s="15">
        <f t="shared" si="6"/>
        <v>8</v>
      </c>
      <c r="U1625" s="15">
        <f t="shared" si="7"/>
        <v>2025</v>
      </c>
      <c r="V1625" s="15">
        <f t="shared" si="8"/>
        <v>16</v>
      </c>
      <c r="W1625" s="15">
        <f t="shared" si="9"/>
        <v>8</v>
      </c>
      <c r="X1625" s="15">
        <f t="shared" si="10"/>
        <v>2025</v>
      </c>
    </row>
    <row r="1626">
      <c r="A1626" s="9">
        <v>45887.0</v>
      </c>
      <c r="B1626" s="10"/>
      <c r="C1626" s="9">
        <f t="shared" si="90"/>
        <v>45887</v>
      </c>
      <c r="D1626" s="11" t="s">
        <v>44</v>
      </c>
      <c r="E1626" s="11" t="s">
        <v>25</v>
      </c>
      <c r="F1626" s="11" t="s">
        <v>45</v>
      </c>
      <c r="G1626" s="11" t="s">
        <v>27</v>
      </c>
      <c r="H1626" s="11" t="s">
        <v>703</v>
      </c>
      <c r="I1626" s="12">
        <v>3192.97</v>
      </c>
      <c r="J1626" s="13"/>
      <c r="K1626" s="13">
        <f t="shared" si="98"/>
        <v>3192.97</v>
      </c>
      <c r="L1626" s="11" t="s">
        <v>53</v>
      </c>
      <c r="M1626" s="16" t="s">
        <v>905</v>
      </c>
      <c r="N1626" s="11" t="s">
        <v>73</v>
      </c>
      <c r="O1626" s="10" t="str">
        <f t="shared" si="79"/>
        <v>08/2025</v>
      </c>
      <c r="P1626" s="10" t="str">
        <f t="shared" si="81"/>
        <v>08/2025</v>
      </c>
      <c r="Q1626" s="15" t="str">
        <f t="array" ref="Q1626">IFERROR(XLOOKUP(N1626,'Classificação'!A:A,'Classificação'!B:B),"")</f>
        <v>DESPESAS NÃO OPERACIONAIS</v>
      </c>
      <c r="R1626" s="15" t="str">
        <f t="array" ref="R1626">IFERROR(XLOOKUP(Q1626,'Classificação'!B:B,'Classificação'!C:C),"")</f>
        <v>RESULTADO NÃO OPERACIONAL (+/-)</v>
      </c>
      <c r="S1626" s="15">
        <f t="shared" si="91"/>
        <v>18</v>
      </c>
      <c r="T1626" s="15">
        <f t="shared" si="6"/>
        <v>8</v>
      </c>
      <c r="U1626" s="15">
        <f t="shared" si="7"/>
        <v>2025</v>
      </c>
      <c r="V1626" s="15">
        <f t="shared" si="8"/>
        <v>18</v>
      </c>
      <c r="W1626" s="15">
        <f t="shared" si="9"/>
        <v>8</v>
      </c>
      <c r="X1626" s="15">
        <f t="shared" si="10"/>
        <v>2025</v>
      </c>
    </row>
    <row r="1627">
      <c r="A1627" s="9">
        <v>45887.0</v>
      </c>
      <c r="B1627" s="10"/>
      <c r="C1627" s="9">
        <f t="shared" si="90"/>
        <v>45887</v>
      </c>
      <c r="D1627" s="11" t="s">
        <v>65</v>
      </c>
      <c r="E1627" s="11" t="s">
        <v>25</v>
      </c>
      <c r="F1627" s="11" t="s">
        <v>45</v>
      </c>
      <c r="G1627" s="11" t="s">
        <v>37</v>
      </c>
      <c r="H1627" s="11" t="s">
        <v>103</v>
      </c>
      <c r="I1627" s="12">
        <v>977.37</v>
      </c>
      <c r="J1627" s="13"/>
      <c r="K1627" s="13">
        <f t="shared" si="98"/>
        <v>977.37</v>
      </c>
      <c r="L1627" s="11" t="s">
        <v>29</v>
      </c>
      <c r="M1627" s="14"/>
      <c r="N1627" s="11" t="s">
        <v>68</v>
      </c>
      <c r="O1627" s="10" t="str">
        <f t="shared" si="79"/>
        <v>08/2025</v>
      </c>
      <c r="P1627" s="10" t="str">
        <f t="shared" si="81"/>
        <v>08/2025</v>
      </c>
      <c r="Q1627" s="15" t="str">
        <f t="array" ref="Q1627">IFERROR(XLOOKUP(N1627,'Classificação'!A:A,'Classificação'!B:B),"")</f>
        <v>FRETE DE VENDAS</v>
      </c>
      <c r="R1627" s="15" t="str">
        <f t="array" ref="R1627">IFERROR(XLOOKUP(Q1627,'Classificação'!B:B,'Classificação'!C:C),"")</f>
        <v>CUSTOS VARIÁVEIS</v>
      </c>
      <c r="S1627" s="15">
        <f t="shared" si="91"/>
        <v>18</v>
      </c>
      <c r="T1627" s="15">
        <f t="shared" si="6"/>
        <v>8</v>
      </c>
      <c r="U1627" s="15">
        <f t="shared" si="7"/>
        <v>2025</v>
      </c>
      <c r="V1627" s="15">
        <f t="shared" si="8"/>
        <v>18</v>
      </c>
      <c r="W1627" s="15">
        <f t="shared" si="9"/>
        <v>8</v>
      </c>
      <c r="X1627" s="15">
        <f t="shared" si="10"/>
        <v>2025</v>
      </c>
    </row>
    <row r="1628">
      <c r="A1628" s="9">
        <v>45888.0</v>
      </c>
      <c r="B1628" s="10"/>
      <c r="C1628" s="9">
        <f t="shared" si="90"/>
        <v>45888</v>
      </c>
      <c r="D1628" s="11" t="s">
        <v>90</v>
      </c>
      <c r="E1628" s="11" t="s">
        <v>25</v>
      </c>
      <c r="F1628" s="11" t="s">
        <v>40</v>
      </c>
      <c r="G1628" s="11" t="s">
        <v>27</v>
      </c>
      <c r="H1628" s="11" t="s">
        <v>91</v>
      </c>
      <c r="I1628" s="12">
        <v>324.41</v>
      </c>
      <c r="J1628" s="13"/>
      <c r="K1628" s="13">
        <f t="shared" si="98"/>
        <v>324.41</v>
      </c>
      <c r="L1628" s="11" t="s">
        <v>29</v>
      </c>
      <c r="M1628" s="14"/>
      <c r="N1628" s="11" t="s">
        <v>92</v>
      </c>
      <c r="O1628" s="10" t="str">
        <f t="shared" si="79"/>
        <v>08/2025</v>
      </c>
      <c r="P1628" s="10" t="str">
        <f t="shared" si="81"/>
        <v>08/2025</v>
      </c>
      <c r="Q1628" s="15" t="str">
        <f t="array" ref="Q1628">IFERROR(XLOOKUP(N1628,'Classificação'!A:A,'Classificação'!B:B),"")</f>
        <v>DESPESAS COM OCUPAÇÃO</v>
      </c>
      <c r="R1628" s="15" t="str">
        <f t="array" ref="R1628">IFERROR(XLOOKUP(Q1628,'Classificação'!B:B,'Classificação'!C:C),"")</f>
        <v>DESPESAS FIXAS (-)</v>
      </c>
      <c r="S1628" s="15">
        <f t="shared" si="91"/>
        <v>19</v>
      </c>
      <c r="T1628" s="15">
        <f t="shared" si="6"/>
        <v>8</v>
      </c>
      <c r="U1628" s="15">
        <f t="shared" si="7"/>
        <v>2025</v>
      </c>
      <c r="V1628" s="15">
        <f t="shared" si="8"/>
        <v>19</v>
      </c>
      <c r="W1628" s="15">
        <f t="shared" si="9"/>
        <v>8</v>
      </c>
      <c r="X1628" s="15">
        <f t="shared" si="10"/>
        <v>2025</v>
      </c>
    </row>
    <row r="1629">
      <c r="A1629" s="9">
        <v>45889.0</v>
      </c>
      <c r="B1629" s="9">
        <v>45814.0</v>
      </c>
      <c r="C1629" s="9">
        <f t="shared" si="90"/>
        <v>45889</v>
      </c>
      <c r="D1629" s="11" t="s">
        <v>861</v>
      </c>
      <c r="E1629" s="11" t="s">
        <v>25</v>
      </c>
      <c r="F1629" s="11" t="s">
        <v>110</v>
      </c>
      <c r="G1629" s="11" t="s">
        <v>27</v>
      </c>
      <c r="H1629" s="11" t="s">
        <v>862</v>
      </c>
      <c r="I1629" s="31">
        <v>58.66</v>
      </c>
      <c r="J1629" s="13"/>
      <c r="K1629" s="13">
        <f t="shared" si="98"/>
        <v>58.66</v>
      </c>
      <c r="L1629" s="11" t="s">
        <v>53</v>
      </c>
      <c r="M1629" s="17">
        <v>45810.0</v>
      </c>
      <c r="N1629" s="11" t="s">
        <v>394</v>
      </c>
      <c r="O1629" s="10" t="str">
        <f t="shared" si="79"/>
        <v>08/2025</v>
      </c>
      <c r="P1629" s="10" t="str">
        <f t="shared" si="81"/>
        <v>08/2025</v>
      </c>
      <c r="Q1629" s="15" t="str">
        <f t="array" ref="Q1629">IFERROR(XLOOKUP(N1629,'Classificação'!A:A,'Classificação'!B:B),"")</f>
        <v>DESPESAS NÃO OPERACIONAIS</v>
      </c>
      <c r="R1629" s="15" t="str">
        <f t="array" ref="R1629">IFERROR(XLOOKUP(Q1629,'Classificação'!B:B,'Classificação'!C:C),"")</f>
        <v>RESULTADO NÃO OPERACIONAL (+/-)</v>
      </c>
      <c r="S1629" s="15">
        <f t="shared" si="91"/>
        <v>20</v>
      </c>
      <c r="T1629" s="15">
        <f t="shared" si="6"/>
        <v>8</v>
      </c>
      <c r="U1629" s="15">
        <f t="shared" si="7"/>
        <v>2025</v>
      </c>
      <c r="V1629" s="15">
        <f t="shared" si="8"/>
        <v>20</v>
      </c>
      <c r="W1629" s="15">
        <f t="shared" si="9"/>
        <v>8</v>
      </c>
      <c r="X1629" s="15">
        <f t="shared" si="10"/>
        <v>2025</v>
      </c>
    </row>
    <row r="1630">
      <c r="A1630" s="9">
        <v>45889.0</v>
      </c>
      <c r="B1630" s="10"/>
      <c r="C1630" s="9">
        <f t="shared" si="90"/>
        <v>45889</v>
      </c>
      <c r="D1630" s="11" t="s">
        <v>104</v>
      </c>
      <c r="E1630" s="11" t="s">
        <v>25</v>
      </c>
      <c r="F1630" s="11" t="s">
        <v>40</v>
      </c>
      <c r="G1630" s="11" t="s">
        <v>27</v>
      </c>
      <c r="I1630" s="12">
        <v>450.0</v>
      </c>
      <c r="J1630" s="13"/>
      <c r="K1630" s="13">
        <f t="shared" si="98"/>
        <v>450</v>
      </c>
      <c r="L1630" s="11" t="s">
        <v>29</v>
      </c>
      <c r="M1630" s="14"/>
      <c r="N1630" s="11" t="s">
        <v>105</v>
      </c>
      <c r="O1630" s="10" t="str">
        <f t="shared" si="79"/>
        <v>08/2025</v>
      </c>
      <c r="P1630" s="10" t="str">
        <f t="shared" si="81"/>
        <v>08/2025</v>
      </c>
      <c r="Q1630" s="15" t="str">
        <f t="array" ref="Q1630">IFERROR(XLOOKUP(N1630,'Classificação'!A:A,'Classificação'!B:B),"")</f>
        <v>DESPESAS ADMINISTRATIVAS</v>
      </c>
      <c r="R1630" s="15" t="str">
        <f t="array" ref="R1630">IFERROR(XLOOKUP(Q1630,'Classificação'!B:B,'Classificação'!C:C),"")</f>
        <v>DESPESAS FIXAS (-)</v>
      </c>
      <c r="S1630" s="15">
        <f t="shared" si="91"/>
        <v>20</v>
      </c>
      <c r="T1630" s="15">
        <f t="shared" si="6"/>
        <v>8</v>
      </c>
      <c r="U1630" s="15">
        <f t="shared" si="7"/>
        <v>2025</v>
      </c>
      <c r="V1630" s="15">
        <f t="shared" si="8"/>
        <v>20</v>
      </c>
      <c r="W1630" s="15">
        <f t="shared" si="9"/>
        <v>8</v>
      </c>
      <c r="X1630" s="15">
        <f t="shared" si="10"/>
        <v>2025</v>
      </c>
    </row>
    <row r="1631">
      <c r="A1631" s="9">
        <v>45889.0</v>
      </c>
      <c r="B1631" s="10"/>
      <c r="C1631" s="9">
        <f t="shared" si="90"/>
        <v>45889</v>
      </c>
      <c r="D1631" s="11" t="s">
        <v>100</v>
      </c>
      <c r="E1631" s="11" t="s">
        <v>25</v>
      </c>
      <c r="F1631" s="11" t="s">
        <v>40</v>
      </c>
      <c r="G1631" s="11" t="s">
        <v>27</v>
      </c>
      <c r="H1631" s="11" t="s">
        <v>243</v>
      </c>
      <c r="I1631" s="12">
        <v>11364.9</v>
      </c>
      <c r="J1631" s="13"/>
      <c r="K1631" s="13">
        <f t="shared" si="98"/>
        <v>11364.9</v>
      </c>
      <c r="L1631" s="11" t="s">
        <v>29</v>
      </c>
      <c r="M1631" s="14"/>
      <c r="N1631" s="11" t="s">
        <v>101</v>
      </c>
      <c r="O1631" s="10" t="str">
        <f t="shared" si="79"/>
        <v>08/2025</v>
      </c>
      <c r="P1631" s="10" t="str">
        <f t="shared" si="81"/>
        <v>08/2025</v>
      </c>
      <c r="Q1631" s="15" t="str">
        <f t="array" ref="Q1631">IFERROR(XLOOKUP(N1631,'Classificação'!A:A,'Classificação'!B:B),"")</f>
        <v>IMPOSTO DE RENDA - DAS</v>
      </c>
      <c r="R1631" s="15" t="str">
        <f t="array" ref="R1631">IFERROR(XLOOKUP(Q1631,'Classificação'!B:B,'Classificação'!C:C),"")</f>
        <v>DEDUÇÕES DA RECEITA BRUTA (-)</v>
      </c>
      <c r="S1631" s="15">
        <f t="shared" si="91"/>
        <v>20</v>
      </c>
      <c r="T1631" s="15">
        <f t="shared" si="6"/>
        <v>8</v>
      </c>
      <c r="U1631" s="15">
        <f t="shared" si="7"/>
        <v>2025</v>
      </c>
      <c r="V1631" s="15">
        <f t="shared" si="8"/>
        <v>20</v>
      </c>
      <c r="W1631" s="15">
        <f t="shared" si="9"/>
        <v>8</v>
      </c>
      <c r="X1631" s="15">
        <f t="shared" si="10"/>
        <v>2025</v>
      </c>
    </row>
    <row r="1632">
      <c r="A1632" s="9">
        <v>45889.0</v>
      </c>
      <c r="B1632" s="10"/>
      <c r="C1632" s="9">
        <f t="shared" si="90"/>
        <v>45889</v>
      </c>
      <c r="D1632" s="11" t="s">
        <v>123</v>
      </c>
      <c r="E1632" s="11" t="s">
        <v>25</v>
      </c>
      <c r="F1632" s="11" t="s">
        <v>40</v>
      </c>
      <c r="G1632" s="11" t="s">
        <v>27</v>
      </c>
      <c r="H1632" s="11" t="s">
        <v>611</v>
      </c>
      <c r="I1632" s="12">
        <v>358.0</v>
      </c>
      <c r="J1632" s="13"/>
      <c r="K1632" s="13">
        <f t="shared" si="98"/>
        <v>358</v>
      </c>
      <c r="L1632" s="11" t="s">
        <v>29</v>
      </c>
      <c r="M1632" s="14"/>
      <c r="N1632" s="11" t="s">
        <v>123</v>
      </c>
      <c r="O1632" s="10" t="str">
        <f t="shared" si="79"/>
        <v>08/2025</v>
      </c>
      <c r="P1632" s="10" t="str">
        <f t="shared" si="81"/>
        <v>08/2025</v>
      </c>
      <c r="Q1632" s="15" t="str">
        <f t="array" ref="Q1632">IFERROR(XLOOKUP(N1632,'Classificação'!A:A,'Classificação'!B:B),"")</f>
        <v>DESPESAS COM PESSOAL</v>
      </c>
      <c r="R1632" s="15" t="str">
        <f t="array" ref="R1632">IFERROR(XLOOKUP(Q1632,'Classificação'!B:B,'Classificação'!C:C),"")</f>
        <v>DESPESAS FIXAS (-)</v>
      </c>
      <c r="S1632" s="15">
        <f t="shared" si="91"/>
        <v>20</v>
      </c>
      <c r="T1632" s="15">
        <f t="shared" si="6"/>
        <v>8</v>
      </c>
      <c r="U1632" s="15">
        <f t="shared" si="7"/>
        <v>2025</v>
      </c>
      <c r="V1632" s="15">
        <f t="shared" si="8"/>
        <v>20</v>
      </c>
      <c r="W1632" s="15">
        <f t="shared" si="9"/>
        <v>8</v>
      </c>
      <c r="X1632" s="15">
        <f t="shared" si="10"/>
        <v>2025</v>
      </c>
    </row>
    <row r="1633">
      <c r="A1633" s="9">
        <v>45889.0</v>
      </c>
      <c r="B1633" s="10"/>
      <c r="C1633" s="9">
        <f t="shared" si="90"/>
        <v>45889</v>
      </c>
      <c r="D1633" s="11" t="s">
        <v>126</v>
      </c>
      <c r="E1633" s="11" t="s">
        <v>25</v>
      </c>
      <c r="F1633" s="11" t="s">
        <v>40</v>
      </c>
      <c r="G1633" s="11" t="s">
        <v>27</v>
      </c>
      <c r="H1633" s="11" t="s">
        <v>611</v>
      </c>
      <c r="I1633" s="12">
        <v>691.17</v>
      </c>
      <c r="J1633" s="13"/>
      <c r="K1633" s="13">
        <f t="shared" si="98"/>
        <v>691.17</v>
      </c>
      <c r="L1633" s="11" t="s">
        <v>29</v>
      </c>
      <c r="M1633" s="14"/>
      <c r="N1633" s="11" t="s">
        <v>126</v>
      </c>
      <c r="O1633" s="10" t="str">
        <f t="shared" si="79"/>
        <v>08/2025</v>
      </c>
      <c r="P1633" s="10" t="str">
        <f t="shared" si="81"/>
        <v>08/2025</v>
      </c>
      <c r="Q1633" s="15" t="str">
        <f t="array" ref="Q1633">IFERROR(XLOOKUP(N1633,'Classificação'!A:A,'Classificação'!B:B),"")</f>
        <v>DESPESAS COM PESSOAL</v>
      </c>
      <c r="R1633" s="15" t="str">
        <f t="array" ref="R1633">IFERROR(XLOOKUP(Q1633,'Classificação'!B:B,'Classificação'!C:C),"")</f>
        <v>DESPESAS FIXAS (-)</v>
      </c>
      <c r="S1633" s="15">
        <f t="shared" si="91"/>
        <v>20</v>
      </c>
      <c r="T1633" s="15">
        <f t="shared" si="6"/>
        <v>8</v>
      </c>
      <c r="U1633" s="15">
        <f t="shared" si="7"/>
        <v>2025</v>
      </c>
      <c r="V1633" s="15">
        <f t="shared" si="8"/>
        <v>20</v>
      </c>
      <c r="W1633" s="15">
        <f t="shared" si="9"/>
        <v>8</v>
      </c>
      <c r="X1633" s="15">
        <f t="shared" si="10"/>
        <v>2025</v>
      </c>
    </row>
    <row r="1634">
      <c r="A1634" s="9">
        <v>45889.0</v>
      </c>
      <c r="B1634" s="10"/>
      <c r="C1634" s="9">
        <f t="shared" si="90"/>
        <v>45889</v>
      </c>
      <c r="D1634" s="11" t="s">
        <v>171</v>
      </c>
      <c r="E1634" s="11" t="s">
        <v>25</v>
      </c>
      <c r="F1634" s="11" t="s">
        <v>40</v>
      </c>
      <c r="G1634" s="11" t="s">
        <v>27</v>
      </c>
      <c r="I1634" s="12">
        <v>107.64</v>
      </c>
      <c r="J1634" s="13"/>
      <c r="K1634" s="13">
        <f t="shared" si="98"/>
        <v>107.64</v>
      </c>
      <c r="L1634" s="11" t="s">
        <v>29</v>
      </c>
      <c r="M1634" s="14"/>
      <c r="N1634" s="11" t="s">
        <v>172</v>
      </c>
      <c r="O1634" s="10" t="str">
        <f t="shared" si="79"/>
        <v>08/2025</v>
      </c>
      <c r="P1634" s="10" t="str">
        <f t="shared" si="81"/>
        <v>08/2025</v>
      </c>
      <c r="Q1634" s="15" t="str">
        <f t="array" ref="Q1634">IFERROR(XLOOKUP(N1634,'Classificação'!A:A,'Classificação'!B:B),"")</f>
        <v>DESPESAS COM OCUPAÇÃO</v>
      </c>
      <c r="R1634" s="15" t="str">
        <f t="array" ref="R1634">IFERROR(XLOOKUP(Q1634,'Classificação'!B:B,'Classificação'!C:C),"")</f>
        <v>DESPESAS FIXAS (-)</v>
      </c>
      <c r="S1634" s="15">
        <f t="shared" si="91"/>
        <v>20</v>
      </c>
      <c r="T1634" s="15">
        <f t="shared" si="6"/>
        <v>8</v>
      </c>
      <c r="U1634" s="15">
        <f t="shared" si="7"/>
        <v>2025</v>
      </c>
      <c r="V1634" s="15">
        <f t="shared" si="8"/>
        <v>20</v>
      </c>
      <c r="W1634" s="15">
        <f t="shared" si="9"/>
        <v>8</v>
      </c>
      <c r="X1634" s="15">
        <f t="shared" si="10"/>
        <v>2025</v>
      </c>
    </row>
    <row r="1635">
      <c r="A1635" s="9">
        <v>45889.0</v>
      </c>
      <c r="B1635" s="9">
        <v>45848.0</v>
      </c>
      <c r="C1635" s="9">
        <f t="shared" si="90"/>
        <v>45889</v>
      </c>
      <c r="D1635" s="11" t="s">
        <v>182</v>
      </c>
      <c r="E1635" s="11" t="s">
        <v>25</v>
      </c>
      <c r="F1635" s="11" t="s">
        <v>107</v>
      </c>
      <c r="G1635" s="11" t="s">
        <v>27</v>
      </c>
      <c r="H1635" s="11" t="s">
        <v>906</v>
      </c>
      <c r="I1635" s="31">
        <v>10.96</v>
      </c>
      <c r="J1635" s="13"/>
      <c r="K1635" s="13">
        <f t="shared" si="98"/>
        <v>10.96</v>
      </c>
      <c r="L1635" s="11" t="s">
        <v>34</v>
      </c>
      <c r="M1635" s="14"/>
      <c r="N1635" s="11" t="s">
        <v>68</v>
      </c>
      <c r="O1635" s="10" t="str">
        <f t="shared" si="79"/>
        <v>08/2025</v>
      </c>
      <c r="P1635" s="10" t="str">
        <f t="shared" si="81"/>
        <v>08/2025</v>
      </c>
      <c r="Q1635" s="15" t="str">
        <f t="array" ref="Q1635">IFERROR(XLOOKUP(N1635,'Classificação'!A:A,'Classificação'!B:B),"")</f>
        <v>FRETE DE VENDAS</v>
      </c>
      <c r="R1635" s="15" t="str">
        <f t="array" ref="R1635">IFERROR(XLOOKUP(Q1635,'Classificação'!B:B,'Classificação'!C:C),"")</f>
        <v>CUSTOS VARIÁVEIS</v>
      </c>
      <c r="S1635" s="15">
        <f t="shared" si="91"/>
        <v>20</v>
      </c>
      <c r="T1635" s="15">
        <f t="shared" si="6"/>
        <v>8</v>
      </c>
      <c r="U1635" s="15">
        <f t="shared" si="7"/>
        <v>2025</v>
      </c>
      <c r="V1635" s="15">
        <f t="shared" si="8"/>
        <v>20</v>
      </c>
      <c r="W1635" s="15">
        <f t="shared" si="9"/>
        <v>8</v>
      </c>
      <c r="X1635" s="15">
        <f t="shared" si="10"/>
        <v>2025</v>
      </c>
    </row>
    <row r="1636">
      <c r="A1636" s="9">
        <v>45889.0</v>
      </c>
      <c r="B1636" s="9">
        <v>45818.0</v>
      </c>
      <c r="C1636" s="9">
        <f t="shared" si="90"/>
        <v>45889</v>
      </c>
      <c r="D1636" s="11" t="s">
        <v>65</v>
      </c>
      <c r="E1636" s="11" t="s">
        <v>25</v>
      </c>
      <c r="F1636" s="11" t="s">
        <v>107</v>
      </c>
      <c r="G1636" s="11" t="s">
        <v>27</v>
      </c>
      <c r="H1636" s="11" t="s">
        <v>677</v>
      </c>
      <c r="I1636" s="31">
        <v>250.8</v>
      </c>
      <c r="J1636" s="13"/>
      <c r="K1636" s="13">
        <f t="shared" si="98"/>
        <v>250.8</v>
      </c>
      <c r="L1636" s="11" t="s">
        <v>53</v>
      </c>
      <c r="M1636" s="17">
        <v>45718.0</v>
      </c>
      <c r="N1636" s="11" t="s">
        <v>143</v>
      </c>
      <c r="O1636" s="10" t="str">
        <f t="shared" si="79"/>
        <v>08/2025</v>
      </c>
      <c r="P1636" s="10" t="str">
        <f t="shared" si="81"/>
        <v>08/2025</v>
      </c>
      <c r="Q1636" s="15" t="str">
        <f t="array" ref="Q1636">IFERROR(XLOOKUP(N1636,'Classificação'!A:A,'Classificação'!B:B),"")</f>
        <v>EMBALAGENS/FITAS/GERAL</v>
      </c>
      <c r="R1636" s="15" t="str">
        <f t="array" ref="R1636">IFERROR(XLOOKUP(Q1636,'Classificação'!B:B,'Classificação'!C:C),"")</f>
        <v>CUSTOS VARIÁVEIS</v>
      </c>
      <c r="S1636" s="15">
        <f t="shared" si="91"/>
        <v>20</v>
      </c>
      <c r="T1636" s="15">
        <f t="shared" si="6"/>
        <v>8</v>
      </c>
      <c r="U1636" s="15">
        <f t="shared" si="7"/>
        <v>2025</v>
      </c>
      <c r="V1636" s="15">
        <f t="shared" si="8"/>
        <v>20</v>
      </c>
      <c r="W1636" s="15">
        <f t="shared" si="9"/>
        <v>8</v>
      </c>
      <c r="X1636" s="15">
        <f t="shared" si="10"/>
        <v>2025</v>
      </c>
    </row>
    <row r="1637">
      <c r="A1637" s="9">
        <v>45889.0</v>
      </c>
      <c r="B1637" s="10"/>
      <c r="C1637" s="9">
        <f t="shared" si="90"/>
        <v>45889</v>
      </c>
      <c r="D1637" s="11" t="s">
        <v>100</v>
      </c>
      <c r="E1637" s="11" t="s">
        <v>25</v>
      </c>
      <c r="F1637" s="11" t="s">
        <v>40</v>
      </c>
      <c r="G1637" s="11" t="s">
        <v>37</v>
      </c>
      <c r="H1637" s="11" t="s">
        <v>243</v>
      </c>
      <c r="I1637" s="12">
        <v>7084.68</v>
      </c>
      <c r="J1637" s="13"/>
      <c r="K1637" s="13">
        <f t="shared" si="98"/>
        <v>7084.68</v>
      </c>
      <c r="L1637" s="11" t="s">
        <v>29</v>
      </c>
      <c r="M1637" s="14"/>
      <c r="N1637" s="11" t="s">
        <v>101</v>
      </c>
      <c r="O1637" s="10" t="str">
        <f t="shared" si="79"/>
        <v>08/2025</v>
      </c>
      <c r="P1637" s="10" t="str">
        <f t="shared" si="81"/>
        <v>08/2025</v>
      </c>
      <c r="Q1637" s="15" t="str">
        <f t="array" ref="Q1637">IFERROR(XLOOKUP(N1637,'Classificação'!A:A,'Classificação'!B:B),"")</f>
        <v>IMPOSTO DE RENDA - DAS</v>
      </c>
      <c r="R1637" s="15" t="str">
        <f t="array" ref="R1637">IFERROR(XLOOKUP(Q1637,'Classificação'!B:B,'Classificação'!C:C),"")</f>
        <v>DEDUÇÕES DA RECEITA BRUTA (-)</v>
      </c>
      <c r="S1637" s="15">
        <f t="shared" si="91"/>
        <v>20</v>
      </c>
      <c r="T1637" s="15">
        <f t="shared" si="6"/>
        <v>8</v>
      </c>
      <c r="U1637" s="15">
        <f t="shared" si="7"/>
        <v>2025</v>
      </c>
      <c r="V1637" s="15">
        <f t="shared" si="8"/>
        <v>20</v>
      </c>
      <c r="W1637" s="15">
        <f t="shared" si="9"/>
        <v>8</v>
      </c>
      <c r="X1637" s="15">
        <f t="shared" si="10"/>
        <v>2025</v>
      </c>
    </row>
    <row r="1638">
      <c r="A1638" s="9">
        <v>45889.0</v>
      </c>
      <c r="B1638" s="9">
        <v>45818.0</v>
      </c>
      <c r="C1638" s="9">
        <f t="shared" si="90"/>
        <v>45889</v>
      </c>
      <c r="D1638" s="11" t="s">
        <v>65</v>
      </c>
      <c r="E1638" s="11" t="s">
        <v>25</v>
      </c>
      <c r="F1638" s="11" t="s">
        <v>107</v>
      </c>
      <c r="G1638" s="11" t="s">
        <v>27</v>
      </c>
      <c r="H1638" s="11" t="s">
        <v>870</v>
      </c>
      <c r="I1638" s="31">
        <v>110.81</v>
      </c>
      <c r="J1638" s="13"/>
      <c r="K1638" s="13">
        <f t="shared" si="98"/>
        <v>110.81</v>
      </c>
      <c r="L1638" s="11" t="s">
        <v>53</v>
      </c>
      <c r="M1638" s="17">
        <v>45718.0</v>
      </c>
      <c r="N1638" s="11" t="s">
        <v>143</v>
      </c>
      <c r="O1638" s="10" t="str">
        <f t="shared" si="79"/>
        <v>08/2025</v>
      </c>
      <c r="P1638" s="10" t="str">
        <f t="shared" si="81"/>
        <v>08/2025</v>
      </c>
      <c r="Q1638" s="15" t="str">
        <f t="array" ref="Q1638">IFERROR(XLOOKUP(N1638,'Classificação'!A:A,'Classificação'!B:B),"")</f>
        <v>EMBALAGENS/FITAS/GERAL</v>
      </c>
      <c r="R1638" s="15" t="str">
        <f t="array" ref="R1638">IFERROR(XLOOKUP(Q1638,'Classificação'!B:B,'Classificação'!C:C),"")</f>
        <v>CUSTOS VARIÁVEIS</v>
      </c>
      <c r="S1638" s="15">
        <f t="shared" si="91"/>
        <v>20</v>
      </c>
      <c r="T1638" s="15">
        <f t="shared" si="6"/>
        <v>8</v>
      </c>
      <c r="U1638" s="15">
        <f t="shared" si="7"/>
        <v>2025</v>
      </c>
      <c r="V1638" s="15">
        <f t="shared" si="8"/>
        <v>20</v>
      </c>
      <c r="W1638" s="15">
        <f t="shared" si="9"/>
        <v>8</v>
      </c>
      <c r="X1638" s="15">
        <f t="shared" si="10"/>
        <v>2025</v>
      </c>
    </row>
    <row r="1639">
      <c r="A1639" s="9">
        <v>45889.0</v>
      </c>
      <c r="B1639" s="9">
        <v>45523.0</v>
      </c>
      <c r="C1639" s="9">
        <f t="shared" si="90"/>
        <v>45889</v>
      </c>
      <c r="D1639" s="11" t="s">
        <v>65</v>
      </c>
      <c r="E1639" s="11" t="s">
        <v>25</v>
      </c>
      <c r="F1639" s="11" t="s">
        <v>107</v>
      </c>
      <c r="G1639" s="11" t="s">
        <v>27</v>
      </c>
      <c r="H1639" s="11" t="s">
        <v>263</v>
      </c>
      <c r="I1639" s="31">
        <v>102.67</v>
      </c>
      <c r="J1639" s="13"/>
      <c r="K1639" s="13">
        <f t="shared" si="98"/>
        <v>102.67</v>
      </c>
      <c r="L1639" s="11" t="s">
        <v>53</v>
      </c>
      <c r="M1639" s="17">
        <v>45638.0</v>
      </c>
      <c r="N1639" s="11" t="s">
        <v>95</v>
      </c>
      <c r="O1639" s="10" t="str">
        <f t="shared" si="79"/>
        <v>08/2025</v>
      </c>
      <c r="P1639" s="10" t="str">
        <f t="shared" si="81"/>
        <v>08/2025</v>
      </c>
      <c r="Q1639" s="15" t="str">
        <f t="array" ref="Q1639">IFERROR(XLOOKUP(N1639,'Classificação'!A:A,'Classificação'!B:B),"")</f>
        <v>DESPESAS NÃO OPERACIONAIS</v>
      </c>
      <c r="R1639" s="15" t="str">
        <f t="array" ref="R1639">IFERROR(XLOOKUP(Q1639,'Classificação'!B:B,'Classificação'!C:C),"")</f>
        <v>RESULTADO NÃO OPERACIONAL (+/-)</v>
      </c>
      <c r="S1639" s="15">
        <f t="shared" si="91"/>
        <v>20</v>
      </c>
      <c r="T1639" s="15">
        <f t="shared" si="6"/>
        <v>8</v>
      </c>
      <c r="U1639" s="15">
        <f t="shared" si="7"/>
        <v>2025</v>
      </c>
      <c r="V1639" s="15">
        <f t="shared" si="8"/>
        <v>20</v>
      </c>
      <c r="W1639" s="15">
        <f t="shared" si="9"/>
        <v>8</v>
      </c>
      <c r="X1639" s="15">
        <f t="shared" si="10"/>
        <v>2025</v>
      </c>
    </row>
    <row r="1640">
      <c r="A1640" s="9">
        <v>45889.0</v>
      </c>
      <c r="B1640" s="9">
        <v>45553.0</v>
      </c>
      <c r="C1640" s="9">
        <f t="shared" si="90"/>
        <v>45889</v>
      </c>
      <c r="D1640" s="11" t="s">
        <v>313</v>
      </c>
      <c r="E1640" s="11" t="s">
        <v>25</v>
      </c>
      <c r="F1640" s="11" t="s">
        <v>107</v>
      </c>
      <c r="G1640" s="11" t="s">
        <v>27</v>
      </c>
      <c r="H1640" s="11" t="s">
        <v>314</v>
      </c>
      <c r="I1640" s="31">
        <v>287.13</v>
      </c>
      <c r="J1640" s="13"/>
      <c r="K1640" s="13">
        <f t="shared" si="98"/>
        <v>287.13</v>
      </c>
      <c r="L1640" s="11" t="s">
        <v>53</v>
      </c>
      <c r="M1640" s="17">
        <v>45637.0</v>
      </c>
      <c r="N1640" s="11" t="s">
        <v>95</v>
      </c>
      <c r="O1640" s="10" t="str">
        <f t="shared" si="79"/>
        <v>08/2025</v>
      </c>
      <c r="P1640" s="10" t="str">
        <f t="shared" si="81"/>
        <v>08/2025</v>
      </c>
      <c r="Q1640" s="15" t="str">
        <f t="array" ref="Q1640">IFERROR(XLOOKUP(N1640,'Classificação'!A:A,'Classificação'!B:B),"")</f>
        <v>DESPESAS NÃO OPERACIONAIS</v>
      </c>
      <c r="R1640" s="15" t="str">
        <f t="array" ref="R1640">IFERROR(XLOOKUP(Q1640,'Classificação'!B:B,'Classificação'!C:C),"")</f>
        <v>RESULTADO NÃO OPERACIONAL (+/-)</v>
      </c>
      <c r="S1640" s="15">
        <f t="shared" si="91"/>
        <v>20</v>
      </c>
      <c r="T1640" s="15">
        <f t="shared" si="6"/>
        <v>8</v>
      </c>
      <c r="U1640" s="15">
        <f t="shared" si="7"/>
        <v>2025</v>
      </c>
      <c r="V1640" s="15">
        <f t="shared" si="8"/>
        <v>20</v>
      </c>
      <c r="W1640" s="15">
        <f t="shared" si="9"/>
        <v>8</v>
      </c>
      <c r="X1640" s="15">
        <f t="shared" si="10"/>
        <v>2025</v>
      </c>
    </row>
    <row r="1641">
      <c r="A1641" s="9">
        <v>45889.0</v>
      </c>
      <c r="B1641" s="32">
        <v>45669.0</v>
      </c>
      <c r="C1641" s="9">
        <f t="shared" si="90"/>
        <v>45889</v>
      </c>
      <c r="D1641" s="11" t="s">
        <v>65</v>
      </c>
      <c r="E1641" s="11" t="s">
        <v>25</v>
      </c>
      <c r="F1641" s="11" t="s">
        <v>107</v>
      </c>
      <c r="G1641" s="11" t="s">
        <v>27</v>
      </c>
      <c r="H1641" s="11" t="s">
        <v>612</v>
      </c>
      <c r="I1641" s="31">
        <v>8.9</v>
      </c>
      <c r="J1641" s="13"/>
      <c r="K1641" s="13">
        <f t="shared" si="98"/>
        <v>8.9</v>
      </c>
      <c r="L1641" s="11" t="s">
        <v>29</v>
      </c>
      <c r="M1641" s="14"/>
      <c r="N1641" s="11" t="s">
        <v>105</v>
      </c>
      <c r="O1641" s="10" t="str">
        <f t="shared" si="79"/>
        <v>08/2025</v>
      </c>
      <c r="P1641" s="10" t="str">
        <f t="shared" si="81"/>
        <v>08/2025</v>
      </c>
      <c r="Q1641" s="15" t="str">
        <f t="array" ref="Q1641">IFERROR(XLOOKUP(N1641,'Classificação'!A:A,'Classificação'!B:B),"")</f>
        <v>DESPESAS ADMINISTRATIVAS</v>
      </c>
      <c r="R1641" s="15" t="str">
        <f t="array" ref="R1641">IFERROR(XLOOKUP(Q1641,'Classificação'!B:B,'Classificação'!C:C),"")</f>
        <v>DESPESAS FIXAS (-)</v>
      </c>
      <c r="S1641" s="15">
        <f t="shared" si="91"/>
        <v>20</v>
      </c>
      <c r="T1641" s="15">
        <f t="shared" si="6"/>
        <v>8</v>
      </c>
      <c r="U1641" s="15">
        <f t="shared" si="7"/>
        <v>2025</v>
      </c>
      <c r="V1641" s="15">
        <f t="shared" si="8"/>
        <v>20</v>
      </c>
      <c r="W1641" s="15">
        <f t="shared" si="9"/>
        <v>8</v>
      </c>
      <c r="X1641" s="15">
        <f t="shared" si="10"/>
        <v>2025</v>
      </c>
    </row>
    <row r="1642">
      <c r="A1642" s="9">
        <v>45889.0</v>
      </c>
      <c r="B1642" s="9">
        <v>45737.0</v>
      </c>
      <c r="C1642" s="9">
        <f t="shared" si="90"/>
        <v>45889</v>
      </c>
      <c r="D1642" s="11" t="s">
        <v>65</v>
      </c>
      <c r="E1642" s="11" t="s">
        <v>25</v>
      </c>
      <c r="F1642" s="11" t="s">
        <v>110</v>
      </c>
      <c r="G1642" s="11" t="s">
        <v>27</v>
      </c>
      <c r="H1642" s="11" t="s">
        <v>681</v>
      </c>
      <c r="I1642" s="31">
        <v>47.2</v>
      </c>
      <c r="J1642" s="13"/>
      <c r="K1642" s="13">
        <f t="shared" si="98"/>
        <v>47.2</v>
      </c>
      <c r="L1642" s="11" t="s">
        <v>53</v>
      </c>
      <c r="M1642" s="17">
        <v>45996.0</v>
      </c>
      <c r="N1642" s="11" t="s">
        <v>95</v>
      </c>
      <c r="O1642" s="10" t="str">
        <f t="shared" si="79"/>
        <v>08/2025</v>
      </c>
      <c r="P1642" s="10" t="str">
        <f t="shared" si="81"/>
        <v>08/2025</v>
      </c>
      <c r="Q1642" s="15" t="str">
        <f t="array" ref="Q1642">IFERROR(XLOOKUP(N1642,'Classificação'!A:A,'Classificação'!B:B),"")</f>
        <v>DESPESAS NÃO OPERACIONAIS</v>
      </c>
      <c r="R1642" s="15" t="str">
        <f t="array" ref="R1642">IFERROR(XLOOKUP(Q1642,'Classificação'!B:B,'Classificação'!C:C),"")</f>
        <v>RESULTADO NÃO OPERACIONAL (+/-)</v>
      </c>
      <c r="S1642" s="15">
        <f t="shared" si="91"/>
        <v>20</v>
      </c>
      <c r="T1642" s="15">
        <f t="shared" si="6"/>
        <v>8</v>
      </c>
      <c r="U1642" s="15">
        <f t="shared" si="7"/>
        <v>2025</v>
      </c>
      <c r="V1642" s="15">
        <f t="shared" si="8"/>
        <v>20</v>
      </c>
      <c r="W1642" s="15">
        <f t="shared" si="9"/>
        <v>8</v>
      </c>
      <c r="X1642" s="15">
        <f t="shared" si="10"/>
        <v>2025</v>
      </c>
    </row>
    <row r="1643">
      <c r="A1643" s="9">
        <v>45889.0</v>
      </c>
      <c r="B1643" s="9">
        <v>45737.0</v>
      </c>
      <c r="C1643" s="9">
        <f t="shared" si="90"/>
        <v>45889</v>
      </c>
      <c r="D1643" s="11" t="s">
        <v>65</v>
      </c>
      <c r="E1643" s="11" t="s">
        <v>25</v>
      </c>
      <c r="F1643" s="11" t="s">
        <v>110</v>
      </c>
      <c r="G1643" s="11" t="s">
        <v>27</v>
      </c>
      <c r="H1643" s="11" t="s">
        <v>682</v>
      </c>
      <c r="I1643" s="31">
        <v>82.27</v>
      </c>
      <c r="J1643" s="13"/>
      <c r="K1643" s="13">
        <f t="shared" si="98"/>
        <v>82.27</v>
      </c>
      <c r="L1643" s="11" t="s">
        <v>53</v>
      </c>
      <c r="M1643" s="17">
        <v>45935.0</v>
      </c>
      <c r="N1643" s="11" t="s">
        <v>95</v>
      </c>
      <c r="O1643" s="10" t="str">
        <f t="shared" si="79"/>
        <v>08/2025</v>
      </c>
      <c r="P1643" s="10" t="str">
        <f t="shared" si="81"/>
        <v>08/2025</v>
      </c>
      <c r="Q1643" s="15" t="str">
        <f t="array" ref="Q1643">IFERROR(XLOOKUP(N1643,'Classificação'!A:A,'Classificação'!B:B),"")</f>
        <v>DESPESAS NÃO OPERACIONAIS</v>
      </c>
      <c r="R1643" s="15" t="str">
        <f t="array" ref="R1643">IFERROR(XLOOKUP(Q1643,'Classificação'!B:B,'Classificação'!C:C),"")</f>
        <v>RESULTADO NÃO OPERACIONAL (+/-)</v>
      </c>
      <c r="S1643" s="15">
        <f t="shared" si="91"/>
        <v>20</v>
      </c>
      <c r="T1643" s="15">
        <f t="shared" si="6"/>
        <v>8</v>
      </c>
      <c r="U1643" s="15">
        <f t="shared" si="7"/>
        <v>2025</v>
      </c>
      <c r="V1643" s="15">
        <f t="shared" si="8"/>
        <v>20</v>
      </c>
      <c r="W1643" s="15">
        <f t="shared" si="9"/>
        <v>8</v>
      </c>
      <c r="X1643" s="15">
        <f t="shared" si="10"/>
        <v>2025</v>
      </c>
    </row>
    <row r="1644">
      <c r="A1644" s="9">
        <v>45889.0</v>
      </c>
      <c r="B1644" s="10"/>
      <c r="C1644" s="9">
        <f t="shared" si="90"/>
        <v>45889</v>
      </c>
      <c r="D1644" s="11" t="s">
        <v>637</v>
      </c>
      <c r="E1644" s="11" t="s">
        <v>25</v>
      </c>
      <c r="F1644" s="11" t="s">
        <v>40</v>
      </c>
      <c r="G1644" s="11" t="s">
        <v>27</v>
      </c>
      <c r="I1644" s="12">
        <v>170.0</v>
      </c>
      <c r="J1644" s="13"/>
      <c r="K1644" s="13">
        <f t="shared" si="98"/>
        <v>170</v>
      </c>
      <c r="L1644" s="11" t="s">
        <v>29</v>
      </c>
      <c r="M1644" s="14"/>
      <c r="N1644" s="11" t="s">
        <v>201</v>
      </c>
      <c r="O1644" s="10" t="str">
        <f t="shared" si="79"/>
        <v>08/2025</v>
      </c>
      <c r="P1644" s="10" t="str">
        <f t="shared" si="81"/>
        <v>08/2025</v>
      </c>
      <c r="Q1644" s="15" t="str">
        <f t="array" ref="Q1644">IFERROR(XLOOKUP(N1644,'Classificação'!A:A,'Classificação'!B:B),"")</f>
        <v>DESPESAS COM OCUPAÇÃO</v>
      </c>
      <c r="R1644" s="15" t="str">
        <f t="array" ref="R1644">IFERROR(XLOOKUP(Q1644,'Classificação'!B:B,'Classificação'!C:C),"")</f>
        <v>DESPESAS FIXAS (-)</v>
      </c>
      <c r="S1644" s="15">
        <f t="shared" si="91"/>
        <v>20</v>
      </c>
      <c r="T1644" s="15">
        <f t="shared" si="6"/>
        <v>8</v>
      </c>
      <c r="U1644" s="15">
        <f t="shared" si="7"/>
        <v>2025</v>
      </c>
      <c r="V1644" s="15">
        <f t="shared" si="8"/>
        <v>20</v>
      </c>
      <c r="W1644" s="15">
        <f t="shared" si="9"/>
        <v>8</v>
      </c>
      <c r="X1644" s="15">
        <f t="shared" si="10"/>
        <v>2025</v>
      </c>
    </row>
    <row r="1645">
      <c r="A1645" s="9">
        <v>45889.0</v>
      </c>
      <c r="B1645" s="9">
        <v>45741.0</v>
      </c>
      <c r="C1645" s="9">
        <f t="shared" si="90"/>
        <v>45889</v>
      </c>
      <c r="D1645" s="11" t="s">
        <v>685</v>
      </c>
      <c r="E1645" s="11" t="s">
        <v>25</v>
      </c>
      <c r="F1645" s="11" t="s">
        <v>110</v>
      </c>
      <c r="G1645" s="11" t="s">
        <v>27</v>
      </c>
      <c r="H1645" s="11" t="s">
        <v>686</v>
      </c>
      <c r="I1645" s="31">
        <v>121.04</v>
      </c>
      <c r="J1645" s="13"/>
      <c r="K1645" s="13">
        <f t="shared" si="98"/>
        <v>121.04</v>
      </c>
      <c r="L1645" s="11" t="s">
        <v>53</v>
      </c>
      <c r="M1645" s="17">
        <v>45813.0</v>
      </c>
      <c r="N1645" s="11" t="s">
        <v>95</v>
      </c>
      <c r="O1645" s="10" t="str">
        <f t="shared" si="79"/>
        <v>08/2025</v>
      </c>
      <c r="P1645" s="10" t="str">
        <f t="shared" si="81"/>
        <v>08/2025</v>
      </c>
      <c r="Q1645" s="15" t="str">
        <f t="array" ref="Q1645">IFERROR(XLOOKUP(N1645,'Classificação'!A:A,'Classificação'!B:B),"")</f>
        <v>DESPESAS NÃO OPERACIONAIS</v>
      </c>
      <c r="R1645" s="15" t="str">
        <f t="array" ref="R1645">IFERROR(XLOOKUP(Q1645,'Classificação'!B:B,'Classificação'!C:C),"")</f>
        <v>RESULTADO NÃO OPERACIONAL (+/-)</v>
      </c>
      <c r="S1645" s="15">
        <f t="shared" si="91"/>
        <v>20</v>
      </c>
      <c r="T1645" s="15">
        <f t="shared" si="6"/>
        <v>8</v>
      </c>
      <c r="U1645" s="15">
        <f t="shared" si="7"/>
        <v>2025</v>
      </c>
      <c r="V1645" s="15">
        <f t="shared" si="8"/>
        <v>20</v>
      </c>
      <c r="W1645" s="15">
        <f t="shared" si="9"/>
        <v>8</v>
      </c>
      <c r="X1645" s="15">
        <f t="shared" si="10"/>
        <v>2025</v>
      </c>
    </row>
    <row r="1646">
      <c r="A1646" s="9">
        <v>45889.0</v>
      </c>
      <c r="B1646" s="10"/>
      <c r="C1646" s="9">
        <f t="shared" si="90"/>
        <v>45889</v>
      </c>
      <c r="D1646" s="11" t="s">
        <v>631</v>
      </c>
      <c r="E1646" s="11" t="s">
        <v>25</v>
      </c>
      <c r="F1646" s="11" t="s">
        <v>107</v>
      </c>
      <c r="G1646" s="11" t="s">
        <v>27</v>
      </c>
      <c r="H1646" s="11" t="s">
        <v>632</v>
      </c>
      <c r="I1646" s="31">
        <v>110.87</v>
      </c>
      <c r="J1646" s="13"/>
      <c r="K1646" s="13">
        <f t="shared" si="98"/>
        <v>110.87</v>
      </c>
      <c r="L1646" s="11" t="s">
        <v>53</v>
      </c>
      <c r="M1646" s="17">
        <v>45844.0</v>
      </c>
      <c r="N1646" s="11" t="s">
        <v>178</v>
      </c>
      <c r="O1646" s="10" t="str">
        <f t="shared" si="79"/>
        <v>08/2025</v>
      </c>
      <c r="P1646" s="10" t="str">
        <f t="shared" si="81"/>
        <v>08/2025</v>
      </c>
      <c r="Q1646" s="15" t="str">
        <f t="array" ref="Q1646">IFERROR(XLOOKUP(N1646,'Classificação'!A:A,'Classificação'!B:B),"")</f>
        <v>DESPESAS COM OCUPAÇÃO</v>
      </c>
      <c r="R1646" s="15" t="str">
        <f t="array" ref="R1646">IFERROR(XLOOKUP(Q1646,'Classificação'!B:B,'Classificação'!C:C),"")</f>
        <v>DESPESAS FIXAS (-)</v>
      </c>
      <c r="S1646" s="15">
        <f t="shared" si="91"/>
        <v>20</v>
      </c>
      <c r="T1646" s="15">
        <f t="shared" si="6"/>
        <v>8</v>
      </c>
      <c r="U1646" s="15">
        <f t="shared" si="7"/>
        <v>2025</v>
      </c>
      <c r="V1646" s="15">
        <f t="shared" si="8"/>
        <v>20</v>
      </c>
      <c r="W1646" s="15">
        <f t="shared" si="9"/>
        <v>8</v>
      </c>
      <c r="X1646" s="15">
        <f t="shared" si="10"/>
        <v>2025</v>
      </c>
    </row>
    <row r="1647">
      <c r="A1647" s="9">
        <v>45889.0</v>
      </c>
      <c r="B1647" s="19">
        <v>45747.0</v>
      </c>
      <c r="C1647" s="9">
        <f t="shared" si="90"/>
        <v>45889</v>
      </c>
      <c r="D1647" s="11" t="s">
        <v>691</v>
      </c>
      <c r="E1647" s="11" t="s">
        <v>25</v>
      </c>
      <c r="F1647" s="11" t="s">
        <v>107</v>
      </c>
      <c r="G1647" s="11" t="s">
        <v>27</v>
      </c>
      <c r="H1647" s="11" t="s">
        <v>692</v>
      </c>
      <c r="I1647" s="31">
        <v>98.93</v>
      </c>
      <c r="J1647" s="13"/>
      <c r="K1647" s="13">
        <f t="shared" si="98"/>
        <v>98.93</v>
      </c>
      <c r="L1647" s="11" t="s">
        <v>53</v>
      </c>
      <c r="M1647" s="17">
        <v>45996.0</v>
      </c>
      <c r="N1647" s="11" t="s">
        <v>693</v>
      </c>
      <c r="O1647" s="10" t="str">
        <f t="shared" si="79"/>
        <v>08/2025</v>
      </c>
      <c r="P1647" s="10" t="str">
        <f t="shared" si="81"/>
        <v>08/2025</v>
      </c>
      <c r="Q1647" s="15" t="str">
        <f t="array" ref="Q1647">IFERROR(XLOOKUP(N1647,'Classificação'!A:A,'Classificação'!B:B),"")</f>
        <v>DESPESAS COM OCUPAÇÃO</v>
      </c>
      <c r="R1647" s="15" t="str">
        <f t="array" ref="R1647">IFERROR(XLOOKUP(Q1647,'Classificação'!B:B,'Classificação'!C:C),"")</f>
        <v>DESPESAS FIXAS (-)</v>
      </c>
      <c r="S1647" s="15">
        <f t="shared" si="91"/>
        <v>20</v>
      </c>
      <c r="T1647" s="15">
        <f t="shared" si="6"/>
        <v>8</v>
      </c>
      <c r="U1647" s="15">
        <f t="shared" si="7"/>
        <v>2025</v>
      </c>
      <c r="V1647" s="15">
        <f t="shared" si="8"/>
        <v>20</v>
      </c>
      <c r="W1647" s="15">
        <f t="shared" si="9"/>
        <v>8</v>
      </c>
      <c r="X1647" s="15">
        <f t="shared" si="10"/>
        <v>2025</v>
      </c>
    </row>
    <row r="1648">
      <c r="A1648" s="9">
        <v>45889.0</v>
      </c>
      <c r="B1648" s="9">
        <v>45754.0</v>
      </c>
      <c r="C1648" s="9">
        <f t="shared" si="90"/>
        <v>45889</v>
      </c>
      <c r="D1648" s="11" t="s">
        <v>699</v>
      </c>
      <c r="E1648" s="11" t="s">
        <v>25</v>
      </c>
      <c r="F1648" s="11" t="s">
        <v>107</v>
      </c>
      <c r="G1648" s="11" t="s">
        <v>27</v>
      </c>
      <c r="H1648" s="11" t="s">
        <v>700</v>
      </c>
      <c r="I1648" s="31">
        <v>57.0</v>
      </c>
      <c r="J1648" s="13"/>
      <c r="K1648" s="13">
        <f t="shared" si="98"/>
        <v>57</v>
      </c>
      <c r="L1648" s="11" t="s">
        <v>53</v>
      </c>
      <c r="M1648" s="17">
        <v>45934.0</v>
      </c>
      <c r="N1648" s="11" t="s">
        <v>95</v>
      </c>
      <c r="O1648" s="10" t="str">
        <f t="shared" si="79"/>
        <v>08/2025</v>
      </c>
      <c r="P1648" s="10" t="str">
        <f t="shared" si="81"/>
        <v>08/2025</v>
      </c>
      <c r="Q1648" s="15" t="str">
        <f t="array" ref="Q1648">IFERROR(XLOOKUP(N1648,'Classificação'!A:A,'Classificação'!B:B),"")</f>
        <v>DESPESAS NÃO OPERACIONAIS</v>
      </c>
      <c r="R1648" s="15" t="str">
        <f t="array" ref="R1648">IFERROR(XLOOKUP(Q1648,'Classificação'!B:B,'Classificação'!C:C),"")</f>
        <v>RESULTADO NÃO OPERACIONAL (+/-)</v>
      </c>
      <c r="S1648" s="15">
        <f t="shared" si="91"/>
        <v>20</v>
      </c>
      <c r="T1648" s="15">
        <f t="shared" si="6"/>
        <v>8</v>
      </c>
      <c r="U1648" s="15">
        <f t="shared" si="7"/>
        <v>2025</v>
      </c>
      <c r="V1648" s="15">
        <f t="shared" si="8"/>
        <v>20</v>
      </c>
      <c r="W1648" s="15">
        <f t="shared" si="9"/>
        <v>8</v>
      </c>
      <c r="X1648" s="15">
        <f t="shared" si="10"/>
        <v>2025</v>
      </c>
    </row>
    <row r="1649">
      <c r="A1649" s="9">
        <v>45889.0</v>
      </c>
      <c r="B1649" s="9">
        <v>45757.0</v>
      </c>
      <c r="C1649" s="9">
        <f t="shared" si="90"/>
        <v>45889</v>
      </c>
      <c r="D1649" s="11" t="s">
        <v>65</v>
      </c>
      <c r="E1649" s="11" t="s">
        <v>25</v>
      </c>
      <c r="F1649" s="11" t="s">
        <v>107</v>
      </c>
      <c r="G1649" s="11" t="s">
        <v>27</v>
      </c>
      <c r="H1649" s="11" t="s">
        <v>681</v>
      </c>
      <c r="I1649" s="31">
        <v>47.73</v>
      </c>
      <c r="J1649" s="13"/>
      <c r="K1649" s="13">
        <f t="shared" si="98"/>
        <v>47.73</v>
      </c>
      <c r="L1649" s="11" t="s">
        <v>53</v>
      </c>
      <c r="M1649" s="17">
        <v>45995.0</v>
      </c>
      <c r="N1649" s="11" t="s">
        <v>95</v>
      </c>
      <c r="O1649" s="10" t="str">
        <f t="shared" si="79"/>
        <v>08/2025</v>
      </c>
      <c r="P1649" s="10" t="str">
        <f t="shared" si="81"/>
        <v>08/2025</v>
      </c>
      <c r="Q1649" s="15" t="str">
        <f t="array" ref="Q1649">IFERROR(XLOOKUP(N1649,'Classificação'!A:A,'Classificação'!B:B),"")</f>
        <v>DESPESAS NÃO OPERACIONAIS</v>
      </c>
      <c r="R1649" s="15" t="str">
        <f t="array" ref="R1649">IFERROR(XLOOKUP(Q1649,'Classificação'!B:B,'Classificação'!C:C),"")</f>
        <v>RESULTADO NÃO OPERACIONAL (+/-)</v>
      </c>
      <c r="S1649" s="15">
        <f t="shared" si="91"/>
        <v>20</v>
      </c>
      <c r="T1649" s="15">
        <f t="shared" si="6"/>
        <v>8</v>
      </c>
      <c r="U1649" s="15">
        <f t="shared" si="7"/>
        <v>2025</v>
      </c>
      <c r="V1649" s="15">
        <f t="shared" si="8"/>
        <v>20</v>
      </c>
      <c r="W1649" s="15">
        <f t="shared" si="9"/>
        <v>8</v>
      </c>
      <c r="X1649" s="15">
        <f t="shared" si="10"/>
        <v>2025</v>
      </c>
    </row>
    <row r="1650">
      <c r="A1650" s="9">
        <v>45889.0</v>
      </c>
      <c r="B1650" s="9">
        <v>45776.0</v>
      </c>
      <c r="C1650" s="9">
        <f t="shared" si="90"/>
        <v>45889</v>
      </c>
      <c r="D1650" s="11" t="s">
        <v>65</v>
      </c>
      <c r="E1650" s="11" t="s">
        <v>25</v>
      </c>
      <c r="F1650" s="11" t="s">
        <v>110</v>
      </c>
      <c r="G1650" s="11" t="s">
        <v>27</v>
      </c>
      <c r="H1650" s="11" t="s">
        <v>752</v>
      </c>
      <c r="I1650" s="31">
        <v>98.4</v>
      </c>
      <c r="J1650" s="13"/>
      <c r="K1650" s="13">
        <f t="shared" si="98"/>
        <v>98.4</v>
      </c>
      <c r="L1650" s="11" t="s">
        <v>53</v>
      </c>
      <c r="M1650" s="17">
        <v>45934.0</v>
      </c>
      <c r="N1650" s="11" t="s">
        <v>58</v>
      </c>
      <c r="O1650" s="10" t="str">
        <f t="shared" si="79"/>
        <v>08/2025</v>
      </c>
      <c r="P1650" s="10" t="str">
        <f t="shared" si="81"/>
        <v>08/2025</v>
      </c>
      <c r="Q1650" s="15" t="str">
        <f t="array" ref="Q1650">IFERROR(XLOOKUP(N1650,'Classificação'!A:A,'Classificação'!B:B),"")</f>
        <v>DESPESAS ADMINISTRATIVAS</v>
      </c>
      <c r="R1650" s="15" t="str">
        <f t="array" ref="R1650">IFERROR(XLOOKUP(Q1650,'Classificação'!B:B,'Classificação'!C:C),"")</f>
        <v>DESPESAS FIXAS (-)</v>
      </c>
      <c r="S1650" s="15">
        <f t="shared" si="91"/>
        <v>20</v>
      </c>
      <c r="T1650" s="15">
        <f t="shared" si="6"/>
        <v>8</v>
      </c>
      <c r="U1650" s="15">
        <f t="shared" si="7"/>
        <v>2025</v>
      </c>
      <c r="V1650" s="15">
        <f t="shared" si="8"/>
        <v>20</v>
      </c>
      <c r="W1650" s="15">
        <f t="shared" si="9"/>
        <v>8</v>
      </c>
      <c r="X1650" s="15">
        <f t="shared" si="10"/>
        <v>2025</v>
      </c>
    </row>
    <row r="1651">
      <c r="A1651" s="27">
        <v>45889.0</v>
      </c>
      <c r="B1651" s="9">
        <v>45757.0</v>
      </c>
      <c r="C1651" s="9">
        <f t="shared" si="90"/>
        <v>45889</v>
      </c>
      <c r="D1651" s="11" t="s">
        <v>65</v>
      </c>
      <c r="E1651" s="11" t="s">
        <v>25</v>
      </c>
      <c r="F1651" s="11" t="s">
        <v>107</v>
      </c>
      <c r="G1651" s="11" t="s">
        <v>27</v>
      </c>
      <c r="H1651" s="11" t="s">
        <v>739</v>
      </c>
      <c r="I1651" s="31">
        <v>48.17</v>
      </c>
      <c r="J1651" s="13"/>
      <c r="K1651" s="13">
        <f t="shared" si="98"/>
        <v>48.17</v>
      </c>
      <c r="L1651" s="11" t="s">
        <v>53</v>
      </c>
      <c r="M1651" s="17">
        <v>45965.0</v>
      </c>
      <c r="N1651" s="11" t="s">
        <v>95</v>
      </c>
      <c r="O1651" s="10" t="str">
        <f t="shared" si="79"/>
        <v>08/2025</v>
      </c>
      <c r="P1651" s="10" t="str">
        <f t="shared" si="81"/>
        <v>08/2025</v>
      </c>
      <c r="Q1651" s="15" t="str">
        <f t="array" ref="Q1651">IFERROR(XLOOKUP(N1651,'Classificação'!A:A,'Classificação'!B:B),"")</f>
        <v>DESPESAS NÃO OPERACIONAIS</v>
      </c>
      <c r="R1651" s="15" t="str">
        <f t="array" ref="R1651">IFERROR(XLOOKUP(Q1651,'Classificação'!B:B,'Classificação'!C:C),"")</f>
        <v>RESULTADO NÃO OPERACIONAL (+/-)</v>
      </c>
      <c r="S1651" s="15">
        <f t="shared" si="91"/>
        <v>20</v>
      </c>
      <c r="T1651" s="15">
        <f t="shared" si="6"/>
        <v>8</v>
      </c>
      <c r="U1651" s="15">
        <f t="shared" si="7"/>
        <v>2025</v>
      </c>
      <c r="V1651" s="15">
        <f t="shared" si="8"/>
        <v>20</v>
      </c>
      <c r="W1651" s="15">
        <f t="shared" si="9"/>
        <v>8</v>
      </c>
      <c r="X1651" s="15">
        <f t="shared" si="10"/>
        <v>2025</v>
      </c>
    </row>
    <row r="1652">
      <c r="A1652" s="26">
        <v>45889.0</v>
      </c>
      <c r="B1652" s="27">
        <v>45686.0</v>
      </c>
      <c r="C1652" s="27">
        <f t="shared" si="90"/>
        <v>45889</v>
      </c>
      <c r="D1652" s="28" t="s">
        <v>65</v>
      </c>
      <c r="E1652" s="11" t="s">
        <v>25</v>
      </c>
      <c r="F1652" s="28" t="s">
        <v>107</v>
      </c>
      <c r="G1652" s="28" t="s">
        <v>27</v>
      </c>
      <c r="H1652" s="28" t="s">
        <v>566</v>
      </c>
      <c r="I1652" s="33">
        <v>47.02</v>
      </c>
      <c r="J1652" s="34"/>
      <c r="K1652" s="13">
        <f t="shared" si="98"/>
        <v>47.02</v>
      </c>
      <c r="L1652" s="28" t="s">
        <v>53</v>
      </c>
      <c r="M1652" s="35">
        <v>45814.0</v>
      </c>
      <c r="N1652" s="28" t="s">
        <v>95</v>
      </c>
      <c r="O1652" s="10" t="str">
        <f t="shared" si="79"/>
        <v>08/2025</v>
      </c>
      <c r="P1652" s="10" t="str">
        <f t="shared" si="81"/>
        <v>08/2025</v>
      </c>
      <c r="Q1652" s="15" t="str">
        <f t="array" ref="Q1652">IFERROR(XLOOKUP(N1652,'Classificação'!A:A,'Classificação'!B:B),"")</f>
        <v>DESPESAS NÃO OPERACIONAIS</v>
      </c>
      <c r="R1652" s="15" t="str">
        <f t="array" ref="R1652">IFERROR(XLOOKUP(Q1652,'Classificação'!B:B,'Classificação'!C:C),"")</f>
        <v>RESULTADO NÃO OPERACIONAL (+/-)</v>
      </c>
      <c r="S1652" s="15">
        <f t="shared" si="91"/>
        <v>20</v>
      </c>
      <c r="T1652" s="15">
        <f t="shared" si="6"/>
        <v>8</v>
      </c>
      <c r="U1652" s="15">
        <f t="shared" si="7"/>
        <v>2025</v>
      </c>
      <c r="V1652" s="15">
        <f t="shared" si="8"/>
        <v>20</v>
      </c>
      <c r="W1652" s="15">
        <f t="shared" si="9"/>
        <v>8</v>
      </c>
      <c r="X1652" s="15">
        <f t="shared" si="10"/>
        <v>2025</v>
      </c>
    </row>
    <row r="1653" ht="17.25" customHeight="1">
      <c r="A1653" s="9">
        <v>45889.0</v>
      </c>
      <c r="B1653" s="9">
        <v>45805.0</v>
      </c>
      <c r="C1653" s="9">
        <f t="shared" si="90"/>
        <v>45889</v>
      </c>
      <c r="D1653" s="11" t="s">
        <v>80</v>
      </c>
      <c r="E1653" s="11" t="s">
        <v>25</v>
      </c>
      <c r="F1653" s="11" t="s">
        <v>107</v>
      </c>
      <c r="G1653" s="11" t="s">
        <v>27</v>
      </c>
      <c r="H1653" s="11" t="s">
        <v>815</v>
      </c>
      <c r="I1653" s="31">
        <v>162.5</v>
      </c>
      <c r="J1653" s="13"/>
      <c r="K1653" s="13">
        <f t="shared" si="98"/>
        <v>162.5</v>
      </c>
      <c r="L1653" s="11" t="s">
        <v>53</v>
      </c>
      <c r="M1653" s="17">
        <v>45750.0</v>
      </c>
      <c r="N1653" s="11" t="s">
        <v>75</v>
      </c>
      <c r="O1653" s="10" t="str">
        <f t="shared" si="79"/>
        <v>08/2025</v>
      </c>
      <c r="P1653" s="10" t="str">
        <f t="shared" si="81"/>
        <v>08/2025</v>
      </c>
      <c r="Q1653" s="15" t="str">
        <f t="array" ref="Q1653">IFERROR(XLOOKUP(N1653,'Classificação'!A:A,'Classificação'!B:B),"")</f>
        <v>DESPESAS COM PESSOAL</v>
      </c>
      <c r="R1653" s="15" t="str">
        <f t="array" ref="R1653">IFERROR(XLOOKUP(Q1653,'Classificação'!B:B,'Classificação'!C:C),"")</f>
        <v>DESPESAS FIXAS (-)</v>
      </c>
      <c r="S1653" s="15">
        <f t="shared" si="91"/>
        <v>20</v>
      </c>
      <c r="T1653" s="15">
        <f t="shared" si="6"/>
        <v>8</v>
      </c>
      <c r="U1653" s="15">
        <f t="shared" si="7"/>
        <v>2025</v>
      </c>
      <c r="V1653" s="15">
        <f t="shared" si="8"/>
        <v>20</v>
      </c>
      <c r="W1653" s="15">
        <f t="shared" si="9"/>
        <v>8</v>
      </c>
      <c r="X1653" s="15">
        <f t="shared" si="10"/>
        <v>2025</v>
      </c>
    </row>
    <row r="1654">
      <c r="A1654" s="9">
        <v>45889.0</v>
      </c>
      <c r="B1654" s="10"/>
      <c r="C1654" s="9">
        <f t="shared" si="90"/>
        <v>45889</v>
      </c>
      <c r="D1654" s="11" t="s">
        <v>131</v>
      </c>
      <c r="E1654" s="11" t="s">
        <v>25</v>
      </c>
      <c r="F1654" s="28" t="s">
        <v>107</v>
      </c>
      <c r="G1654" s="28" t="s">
        <v>27</v>
      </c>
      <c r="H1654" s="11" t="s">
        <v>822</v>
      </c>
      <c r="I1654" s="31">
        <v>221.74</v>
      </c>
      <c r="J1654" s="13"/>
      <c r="K1654" s="13">
        <f t="shared" si="98"/>
        <v>221.74</v>
      </c>
      <c r="L1654" s="28" t="s">
        <v>53</v>
      </c>
      <c r="M1654" s="17">
        <v>45994.0</v>
      </c>
      <c r="N1654" s="11" t="s">
        <v>133</v>
      </c>
      <c r="O1654" s="10" t="str">
        <f t="shared" si="79"/>
        <v>08/2025</v>
      </c>
      <c r="P1654" s="10" t="str">
        <f t="shared" si="81"/>
        <v>08/2025</v>
      </c>
      <c r="Q1654" s="15" t="str">
        <f t="array" ref="Q1654">IFERROR(XLOOKUP(N1654,'Classificação'!A:A,'Classificação'!B:B),"")</f>
        <v>DESPESAS COM VEICULOS</v>
      </c>
      <c r="R1654" s="15" t="str">
        <f t="array" ref="R1654">IFERROR(XLOOKUP(Q1654,'Classificação'!B:B,'Classificação'!C:C),"")</f>
        <v>DESPESAS FIXAS (-)</v>
      </c>
      <c r="S1654" s="15">
        <f t="shared" si="91"/>
        <v>20</v>
      </c>
      <c r="T1654" s="15">
        <f t="shared" si="6"/>
        <v>8</v>
      </c>
      <c r="U1654" s="15">
        <f t="shared" si="7"/>
        <v>2025</v>
      </c>
      <c r="V1654" s="15">
        <f t="shared" si="8"/>
        <v>20</v>
      </c>
      <c r="W1654" s="15">
        <f t="shared" si="9"/>
        <v>8</v>
      </c>
      <c r="X1654" s="15">
        <f t="shared" si="10"/>
        <v>2025</v>
      </c>
    </row>
    <row r="1655">
      <c r="A1655" s="9">
        <v>45889.0</v>
      </c>
      <c r="B1655" s="9">
        <v>45837.0</v>
      </c>
      <c r="C1655" s="9">
        <f t="shared" si="90"/>
        <v>45889</v>
      </c>
      <c r="D1655" s="11" t="s">
        <v>65</v>
      </c>
      <c r="E1655" s="11" t="s">
        <v>25</v>
      </c>
      <c r="F1655" s="11" t="s">
        <v>107</v>
      </c>
      <c r="G1655" s="11" t="s">
        <v>27</v>
      </c>
      <c r="H1655" s="11" t="s">
        <v>874</v>
      </c>
      <c r="I1655" s="31">
        <v>51.06</v>
      </c>
      <c r="J1655" s="13"/>
      <c r="K1655" s="13">
        <f t="shared" si="98"/>
        <v>51.06</v>
      </c>
      <c r="L1655" s="11" t="s">
        <v>53</v>
      </c>
      <c r="M1655" s="17">
        <v>45993.0</v>
      </c>
      <c r="N1655" s="11" t="s">
        <v>95</v>
      </c>
      <c r="O1655" s="10" t="str">
        <f t="shared" si="79"/>
        <v>08/2025</v>
      </c>
      <c r="P1655" s="10" t="str">
        <f t="shared" si="81"/>
        <v>08/2025</v>
      </c>
      <c r="Q1655" s="15" t="str">
        <f t="array" ref="Q1655">IFERROR(XLOOKUP(N1655,'Classificação'!A:A,'Classificação'!B:B),"")</f>
        <v>DESPESAS NÃO OPERACIONAIS</v>
      </c>
      <c r="R1655" s="15" t="str">
        <f t="array" ref="R1655">IFERROR(XLOOKUP(Q1655,'Classificação'!B:B,'Classificação'!C:C),"")</f>
        <v>RESULTADO NÃO OPERACIONAL (+/-)</v>
      </c>
      <c r="S1655" s="15">
        <f t="shared" si="91"/>
        <v>20</v>
      </c>
      <c r="T1655" s="15">
        <f t="shared" si="6"/>
        <v>8</v>
      </c>
      <c r="U1655" s="15">
        <f t="shared" si="7"/>
        <v>2025</v>
      </c>
      <c r="V1655" s="15">
        <f t="shared" si="8"/>
        <v>20</v>
      </c>
      <c r="W1655" s="15">
        <f t="shared" si="9"/>
        <v>8</v>
      </c>
      <c r="X1655" s="15">
        <f t="shared" si="10"/>
        <v>2025</v>
      </c>
    </row>
    <row r="1656">
      <c r="A1656" s="9">
        <v>45889.0</v>
      </c>
      <c r="B1656" s="9">
        <v>45842.0</v>
      </c>
      <c r="C1656" s="9">
        <f t="shared" si="90"/>
        <v>45889</v>
      </c>
      <c r="D1656" s="11" t="s">
        <v>877</v>
      </c>
      <c r="E1656" s="11" t="s">
        <v>25</v>
      </c>
      <c r="F1656" s="11" t="s">
        <v>107</v>
      </c>
      <c r="G1656" s="11" t="s">
        <v>27</v>
      </c>
      <c r="H1656" s="11" t="s">
        <v>878</v>
      </c>
      <c r="I1656" s="31">
        <v>200.0</v>
      </c>
      <c r="J1656" s="13"/>
      <c r="K1656" s="13">
        <f t="shared" si="98"/>
        <v>200</v>
      </c>
      <c r="L1656" s="11" t="s">
        <v>53</v>
      </c>
      <c r="M1656" s="17">
        <v>45932.0</v>
      </c>
      <c r="N1656" s="11" t="s">
        <v>175</v>
      </c>
      <c r="O1656" s="10" t="str">
        <f t="shared" si="79"/>
        <v>08/2025</v>
      </c>
      <c r="P1656" s="10" t="str">
        <f t="shared" si="81"/>
        <v>08/2025</v>
      </c>
      <c r="Q1656" s="15" t="str">
        <f t="array" ref="Q1656">IFERROR(XLOOKUP(N1656,'Classificação'!A:A,'Classificação'!B:B),"")</f>
        <v>DESPESAS COM VEICULOS</v>
      </c>
      <c r="R1656" s="15" t="str">
        <f t="array" ref="R1656">IFERROR(XLOOKUP(Q1656,'Classificação'!B:B,'Classificação'!C:C),"")</f>
        <v>DESPESAS FIXAS (-)</v>
      </c>
      <c r="S1656" s="15">
        <f t="shared" si="91"/>
        <v>20</v>
      </c>
      <c r="T1656" s="15">
        <f t="shared" si="6"/>
        <v>8</v>
      </c>
      <c r="U1656" s="15">
        <f t="shared" si="7"/>
        <v>2025</v>
      </c>
      <c r="V1656" s="15">
        <f t="shared" si="8"/>
        <v>20</v>
      </c>
      <c r="W1656" s="15">
        <f t="shared" si="9"/>
        <v>8</v>
      </c>
      <c r="X1656" s="15">
        <f t="shared" si="10"/>
        <v>2025</v>
      </c>
    </row>
    <row r="1657">
      <c r="A1657" s="9">
        <v>45889.0</v>
      </c>
      <c r="B1657" s="9">
        <v>45842.0</v>
      </c>
      <c r="C1657" s="9">
        <f t="shared" si="90"/>
        <v>45889</v>
      </c>
      <c r="D1657" s="11" t="s">
        <v>877</v>
      </c>
      <c r="E1657" s="11" t="s">
        <v>25</v>
      </c>
      <c r="F1657" s="11" t="s">
        <v>107</v>
      </c>
      <c r="G1657" s="11" t="s">
        <v>27</v>
      </c>
      <c r="H1657" s="11" t="s">
        <v>878</v>
      </c>
      <c r="I1657" s="31">
        <v>338.3</v>
      </c>
      <c r="J1657" s="13"/>
      <c r="K1657" s="13">
        <f t="shared" si="98"/>
        <v>338.3</v>
      </c>
      <c r="L1657" s="11" t="s">
        <v>53</v>
      </c>
      <c r="M1657" s="17">
        <v>45932.0</v>
      </c>
      <c r="N1657" s="11" t="s">
        <v>175</v>
      </c>
      <c r="O1657" s="10" t="str">
        <f t="shared" si="79"/>
        <v>08/2025</v>
      </c>
      <c r="P1657" s="10" t="str">
        <f t="shared" si="81"/>
        <v>08/2025</v>
      </c>
      <c r="Q1657" s="15" t="str">
        <f t="array" ref="Q1657">IFERROR(XLOOKUP(N1657,'Classificação'!A:A,'Classificação'!B:B),"")</f>
        <v>DESPESAS COM VEICULOS</v>
      </c>
      <c r="R1657" s="15" t="str">
        <f t="array" ref="R1657">IFERROR(XLOOKUP(Q1657,'Classificação'!B:B,'Classificação'!C:C),"")</f>
        <v>DESPESAS FIXAS (-)</v>
      </c>
      <c r="S1657" s="15">
        <f t="shared" si="91"/>
        <v>20</v>
      </c>
      <c r="T1657" s="15">
        <f t="shared" si="6"/>
        <v>8</v>
      </c>
      <c r="U1657" s="15">
        <f t="shared" si="7"/>
        <v>2025</v>
      </c>
      <c r="V1657" s="15">
        <f t="shared" si="8"/>
        <v>20</v>
      </c>
      <c r="W1657" s="15">
        <f t="shared" si="9"/>
        <v>8</v>
      </c>
      <c r="X1657" s="15">
        <f t="shared" si="10"/>
        <v>2025</v>
      </c>
    </row>
    <row r="1658">
      <c r="A1658" s="9">
        <v>45889.0</v>
      </c>
      <c r="B1658" s="9">
        <v>45847.0</v>
      </c>
      <c r="C1658" s="9">
        <f t="shared" si="90"/>
        <v>45889</v>
      </c>
      <c r="D1658" s="11" t="s">
        <v>179</v>
      </c>
      <c r="E1658" s="11" t="s">
        <v>25</v>
      </c>
      <c r="F1658" s="11" t="s">
        <v>107</v>
      </c>
      <c r="G1658" s="11" t="s">
        <v>27</v>
      </c>
      <c r="H1658" s="11" t="s">
        <v>497</v>
      </c>
      <c r="I1658" s="31">
        <v>217.26</v>
      </c>
      <c r="J1658" s="13"/>
      <c r="K1658" s="13">
        <f t="shared" si="98"/>
        <v>217.26</v>
      </c>
      <c r="L1658" s="11" t="s">
        <v>34</v>
      </c>
      <c r="M1658" s="14"/>
      <c r="N1658" s="11" t="s">
        <v>181</v>
      </c>
      <c r="O1658" s="10" t="str">
        <f t="shared" si="79"/>
        <v>08/2025</v>
      </c>
      <c r="P1658" s="10" t="str">
        <f t="shared" si="81"/>
        <v>08/2025</v>
      </c>
      <c r="Q1658" s="15" t="str">
        <f t="array" ref="Q1658">IFERROR(XLOOKUP(N1658,'Classificação'!A:A,'Classificação'!B:B),"")</f>
        <v>DESPESAS COM VEICULOS</v>
      </c>
      <c r="R1658" s="15" t="str">
        <f t="array" ref="R1658">IFERROR(XLOOKUP(Q1658,'Classificação'!B:B,'Classificação'!C:C),"")</f>
        <v>DESPESAS FIXAS (-)</v>
      </c>
      <c r="S1658" s="15">
        <f t="shared" si="91"/>
        <v>20</v>
      </c>
      <c r="T1658" s="15">
        <f t="shared" si="6"/>
        <v>8</v>
      </c>
      <c r="U1658" s="15">
        <f t="shared" si="7"/>
        <v>2025</v>
      </c>
      <c r="V1658" s="15">
        <f t="shared" si="8"/>
        <v>20</v>
      </c>
      <c r="W1658" s="15">
        <f t="shared" si="9"/>
        <v>8</v>
      </c>
      <c r="X1658" s="15">
        <f t="shared" si="10"/>
        <v>2025</v>
      </c>
    </row>
    <row r="1659">
      <c r="A1659" s="9">
        <v>45889.0</v>
      </c>
      <c r="B1659" s="9">
        <v>45848.0</v>
      </c>
      <c r="C1659" s="9">
        <f t="shared" si="90"/>
        <v>45889</v>
      </c>
      <c r="D1659" s="11" t="s">
        <v>114</v>
      </c>
      <c r="E1659" s="11" t="s">
        <v>25</v>
      </c>
      <c r="F1659" s="11" t="s">
        <v>107</v>
      </c>
      <c r="G1659" s="11" t="s">
        <v>27</v>
      </c>
      <c r="H1659" s="11" t="s">
        <v>907</v>
      </c>
      <c r="I1659" s="31">
        <v>379.43</v>
      </c>
      <c r="J1659" s="13"/>
      <c r="K1659" s="13">
        <f t="shared" si="98"/>
        <v>379.43</v>
      </c>
      <c r="L1659" s="11" t="s">
        <v>34</v>
      </c>
      <c r="M1659" s="14"/>
      <c r="N1659" s="11" t="s">
        <v>143</v>
      </c>
      <c r="O1659" s="10" t="str">
        <f t="shared" si="79"/>
        <v>08/2025</v>
      </c>
      <c r="P1659" s="10" t="str">
        <f t="shared" si="81"/>
        <v>08/2025</v>
      </c>
      <c r="Q1659" s="15" t="str">
        <f t="array" ref="Q1659">IFERROR(XLOOKUP(N1659,'Classificação'!A:A,'Classificação'!B:B),"")</f>
        <v>EMBALAGENS/FITAS/GERAL</v>
      </c>
      <c r="R1659" s="15" t="str">
        <f t="array" ref="R1659">IFERROR(XLOOKUP(Q1659,'Classificação'!B:B,'Classificação'!C:C),"")</f>
        <v>CUSTOS VARIÁVEIS</v>
      </c>
      <c r="S1659" s="15">
        <f t="shared" si="91"/>
        <v>20</v>
      </c>
      <c r="T1659" s="15">
        <f t="shared" si="6"/>
        <v>8</v>
      </c>
      <c r="U1659" s="15">
        <f t="shared" si="7"/>
        <v>2025</v>
      </c>
      <c r="V1659" s="15">
        <f t="shared" si="8"/>
        <v>20</v>
      </c>
      <c r="W1659" s="15">
        <f t="shared" si="9"/>
        <v>8</v>
      </c>
      <c r="X1659" s="15">
        <f t="shared" si="10"/>
        <v>2025</v>
      </c>
    </row>
    <row r="1660">
      <c r="A1660" s="9">
        <v>45889.0</v>
      </c>
      <c r="B1660" s="9">
        <v>45848.0</v>
      </c>
      <c r="C1660" s="9">
        <f t="shared" si="90"/>
        <v>45889</v>
      </c>
      <c r="D1660" s="11" t="s">
        <v>81</v>
      </c>
      <c r="E1660" s="11" t="s">
        <v>25</v>
      </c>
      <c r="F1660" s="11" t="s">
        <v>107</v>
      </c>
      <c r="G1660" s="11" t="s">
        <v>27</v>
      </c>
      <c r="H1660" s="11" t="s">
        <v>908</v>
      </c>
      <c r="I1660" s="31">
        <v>515.17</v>
      </c>
      <c r="J1660" s="13"/>
      <c r="K1660" s="13">
        <f t="shared" si="98"/>
        <v>515.17</v>
      </c>
      <c r="L1660" s="11" t="s">
        <v>34</v>
      </c>
      <c r="M1660" s="14"/>
      <c r="N1660" s="11" t="s">
        <v>71</v>
      </c>
      <c r="O1660" s="10" t="str">
        <f t="shared" si="79"/>
        <v>08/2025</v>
      </c>
      <c r="P1660" s="10" t="str">
        <f t="shared" si="81"/>
        <v>08/2025</v>
      </c>
      <c r="Q1660" s="15" t="str">
        <f t="array" ref="Q1660">IFERROR(XLOOKUP(N1660,'Classificação'!A:A,'Classificação'!B:B),"")</f>
        <v>DESPESAS DIVERSAS</v>
      </c>
      <c r="R1660" s="15" t="str">
        <f t="array" ref="R1660">IFERROR(XLOOKUP(Q1660,'Classificação'!B:B,'Classificação'!C:C),"")</f>
        <v>DESPESAS FIXAS (-)</v>
      </c>
      <c r="S1660" s="15">
        <f t="shared" si="91"/>
        <v>20</v>
      </c>
      <c r="T1660" s="15">
        <f t="shared" si="6"/>
        <v>8</v>
      </c>
      <c r="U1660" s="15">
        <f t="shared" si="7"/>
        <v>2025</v>
      </c>
      <c r="V1660" s="15">
        <f t="shared" si="8"/>
        <v>20</v>
      </c>
      <c r="W1660" s="15">
        <f t="shared" si="9"/>
        <v>8</v>
      </c>
      <c r="X1660" s="15">
        <f t="shared" si="10"/>
        <v>2025</v>
      </c>
    </row>
    <row r="1661">
      <c r="A1661" s="9">
        <v>45889.0</v>
      </c>
      <c r="B1661" s="9">
        <v>45848.0</v>
      </c>
      <c r="C1661" s="9">
        <f t="shared" si="90"/>
        <v>45889</v>
      </c>
      <c r="D1661" s="11" t="s">
        <v>65</v>
      </c>
      <c r="E1661" s="11" t="s">
        <v>25</v>
      </c>
      <c r="F1661" s="11" t="s">
        <v>107</v>
      </c>
      <c r="G1661" s="11" t="s">
        <v>27</v>
      </c>
      <c r="H1661" s="11" t="s">
        <v>909</v>
      </c>
      <c r="I1661" s="31">
        <v>52.25</v>
      </c>
      <c r="J1661" s="13"/>
      <c r="K1661" s="13">
        <f t="shared" si="98"/>
        <v>52.25</v>
      </c>
      <c r="L1661" s="11" t="s">
        <v>53</v>
      </c>
      <c r="M1661" s="17">
        <v>45689.0</v>
      </c>
      <c r="N1661" s="11" t="s">
        <v>143</v>
      </c>
      <c r="O1661" s="10" t="str">
        <f t="shared" si="79"/>
        <v>08/2025</v>
      </c>
      <c r="P1661" s="10" t="str">
        <f t="shared" si="81"/>
        <v>08/2025</v>
      </c>
      <c r="Q1661" s="15" t="str">
        <f t="array" ref="Q1661">IFERROR(XLOOKUP(N1661,'Classificação'!A:A,'Classificação'!B:B),"")</f>
        <v>EMBALAGENS/FITAS/GERAL</v>
      </c>
      <c r="R1661" s="15" t="str">
        <f t="array" ref="R1661">IFERROR(XLOOKUP(Q1661,'Classificação'!B:B,'Classificação'!C:C),"")</f>
        <v>CUSTOS VARIÁVEIS</v>
      </c>
      <c r="S1661" s="15">
        <f t="shared" si="91"/>
        <v>20</v>
      </c>
      <c r="T1661" s="15">
        <f t="shared" si="6"/>
        <v>8</v>
      </c>
      <c r="U1661" s="15">
        <f t="shared" si="7"/>
        <v>2025</v>
      </c>
      <c r="V1661" s="15">
        <f t="shared" si="8"/>
        <v>20</v>
      </c>
      <c r="W1661" s="15">
        <f t="shared" si="9"/>
        <v>8</v>
      </c>
      <c r="X1661" s="15">
        <f t="shared" si="10"/>
        <v>2025</v>
      </c>
    </row>
    <row r="1662">
      <c r="A1662" s="9">
        <v>45889.0</v>
      </c>
      <c r="B1662" s="9">
        <v>45848.0</v>
      </c>
      <c r="C1662" s="9">
        <f t="shared" si="90"/>
        <v>45889</v>
      </c>
      <c r="D1662" s="11" t="s">
        <v>65</v>
      </c>
      <c r="E1662" s="11" t="s">
        <v>25</v>
      </c>
      <c r="F1662" s="11" t="s">
        <v>107</v>
      </c>
      <c r="G1662" s="11" t="s">
        <v>27</v>
      </c>
      <c r="H1662" s="11" t="s">
        <v>909</v>
      </c>
      <c r="I1662" s="31">
        <v>291.08</v>
      </c>
      <c r="J1662" s="13"/>
      <c r="K1662" s="13">
        <f t="shared" si="98"/>
        <v>291.08</v>
      </c>
      <c r="L1662" s="11" t="s">
        <v>34</v>
      </c>
      <c r="M1662" s="17"/>
      <c r="N1662" s="11" t="s">
        <v>143</v>
      </c>
      <c r="O1662" s="10" t="str">
        <f t="shared" si="79"/>
        <v>08/2025</v>
      </c>
      <c r="P1662" s="10" t="str">
        <f t="shared" si="81"/>
        <v>08/2025</v>
      </c>
      <c r="Q1662" s="15" t="str">
        <f t="array" ref="Q1662">IFERROR(XLOOKUP(N1662,'Classificação'!A:A,'Classificação'!B:B),"")</f>
        <v>EMBALAGENS/FITAS/GERAL</v>
      </c>
      <c r="R1662" s="15" t="str">
        <f t="array" ref="R1662">IFERROR(XLOOKUP(Q1662,'Classificação'!B:B,'Classificação'!C:C),"")</f>
        <v>CUSTOS VARIÁVEIS</v>
      </c>
      <c r="S1662" s="15">
        <f t="shared" si="91"/>
        <v>20</v>
      </c>
      <c r="T1662" s="15">
        <f t="shared" si="6"/>
        <v>8</v>
      </c>
      <c r="U1662" s="15">
        <f t="shared" si="7"/>
        <v>2025</v>
      </c>
      <c r="V1662" s="15">
        <f t="shared" si="8"/>
        <v>20</v>
      </c>
      <c r="W1662" s="15">
        <f t="shared" si="9"/>
        <v>8</v>
      </c>
      <c r="X1662" s="15">
        <f t="shared" si="10"/>
        <v>2025</v>
      </c>
    </row>
    <row r="1663">
      <c r="A1663" s="9">
        <v>45889.0</v>
      </c>
      <c r="B1663" s="9">
        <v>45853.0</v>
      </c>
      <c r="C1663" s="9">
        <f t="shared" si="90"/>
        <v>45889</v>
      </c>
      <c r="D1663" s="11" t="s">
        <v>137</v>
      </c>
      <c r="E1663" s="11" t="s">
        <v>25</v>
      </c>
      <c r="F1663" s="11" t="s">
        <v>107</v>
      </c>
      <c r="G1663" s="11" t="s">
        <v>27</v>
      </c>
      <c r="H1663" s="11" t="s">
        <v>910</v>
      </c>
      <c r="I1663" s="31">
        <v>53.25</v>
      </c>
      <c r="J1663" s="13"/>
      <c r="K1663" s="13">
        <f t="shared" si="98"/>
        <v>53.25</v>
      </c>
      <c r="L1663" s="11" t="s">
        <v>34</v>
      </c>
      <c r="M1663" s="14"/>
      <c r="N1663" s="11" t="s">
        <v>68</v>
      </c>
      <c r="O1663" s="10" t="str">
        <f t="shared" si="79"/>
        <v>08/2025</v>
      </c>
      <c r="P1663" s="10" t="str">
        <f t="shared" si="81"/>
        <v>08/2025</v>
      </c>
      <c r="Q1663" s="15" t="str">
        <f t="array" ref="Q1663">IFERROR(XLOOKUP(N1663,'Classificação'!A:A,'Classificação'!B:B),"")</f>
        <v>FRETE DE VENDAS</v>
      </c>
      <c r="R1663" s="15" t="str">
        <f t="array" ref="R1663">IFERROR(XLOOKUP(Q1663,'Classificação'!B:B,'Classificação'!C:C),"")</f>
        <v>CUSTOS VARIÁVEIS</v>
      </c>
      <c r="S1663" s="15">
        <f t="shared" si="91"/>
        <v>20</v>
      </c>
      <c r="T1663" s="15">
        <f t="shared" si="6"/>
        <v>8</v>
      </c>
      <c r="U1663" s="15">
        <f t="shared" si="7"/>
        <v>2025</v>
      </c>
      <c r="V1663" s="15">
        <f t="shared" si="8"/>
        <v>20</v>
      </c>
      <c r="W1663" s="15">
        <f t="shared" si="9"/>
        <v>8</v>
      </c>
      <c r="X1663" s="15">
        <f t="shared" si="10"/>
        <v>2025</v>
      </c>
    </row>
    <row r="1664">
      <c r="A1664" s="26">
        <v>45889.0</v>
      </c>
      <c r="B1664" s="26">
        <v>45867.0</v>
      </c>
      <c r="C1664" s="27">
        <f t="shared" si="90"/>
        <v>45889</v>
      </c>
      <c r="D1664" s="28" t="s">
        <v>109</v>
      </c>
      <c r="E1664" s="11" t="s">
        <v>25</v>
      </c>
      <c r="F1664" s="29" t="s">
        <v>107</v>
      </c>
      <c r="G1664" s="28" t="s">
        <v>27</v>
      </c>
      <c r="H1664" s="29" t="s">
        <v>911</v>
      </c>
      <c r="I1664" s="33">
        <v>24.25</v>
      </c>
      <c r="J1664" s="34"/>
      <c r="K1664" s="13">
        <f t="shared" si="98"/>
        <v>24.25</v>
      </c>
      <c r="L1664" s="11" t="s">
        <v>53</v>
      </c>
      <c r="M1664" s="35">
        <v>45992.0</v>
      </c>
      <c r="N1664" s="28" t="s">
        <v>105</v>
      </c>
      <c r="O1664" s="10" t="str">
        <f t="shared" si="79"/>
        <v>08/2025</v>
      </c>
      <c r="P1664" s="10" t="str">
        <f t="shared" si="81"/>
        <v>08/2025</v>
      </c>
      <c r="Q1664" s="15" t="str">
        <f t="array" ref="Q1664">IFERROR(XLOOKUP(N1664,'Classificação'!A:A,'Classificação'!B:B),"")</f>
        <v>DESPESAS ADMINISTRATIVAS</v>
      </c>
      <c r="R1664" s="15" t="str">
        <f t="array" ref="R1664">IFERROR(XLOOKUP(Q1664,'Classificação'!B:B,'Classificação'!C:C),"")</f>
        <v>DESPESAS FIXAS (-)</v>
      </c>
      <c r="S1664" s="15">
        <f t="shared" si="91"/>
        <v>20</v>
      </c>
      <c r="T1664" s="15">
        <f t="shared" si="6"/>
        <v>8</v>
      </c>
      <c r="U1664" s="15">
        <f t="shared" si="7"/>
        <v>2025</v>
      </c>
      <c r="V1664" s="15">
        <f t="shared" si="8"/>
        <v>20</v>
      </c>
      <c r="W1664" s="15">
        <f t="shared" si="9"/>
        <v>8</v>
      </c>
      <c r="X1664" s="15">
        <f t="shared" si="10"/>
        <v>2025</v>
      </c>
    </row>
    <row r="1665">
      <c r="A1665" s="9">
        <v>45889.0</v>
      </c>
      <c r="B1665" s="10"/>
      <c r="C1665" s="9">
        <f t="shared" si="90"/>
        <v>45889</v>
      </c>
      <c r="D1665" s="11" t="s">
        <v>121</v>
      </c>
      <c r="E1665" s="11" t="s">
        <v>25</v>
      </c>
      <c r="F1665" s="11" t="s">
        <v>107</v>
      </c>
      <c r="G1665" s="11" t="s">
        <v>27</v>
      </c>
      <c r="H1665" s="11" t="s">
        <v>865</v>
      </c>
      <c r="I1665" s="31">
        <v>29.9</v>
      </c>
      <c r="J1665" s="13"/>
      <c r="K1665" s="13">
        <f t="shared" si="98"/>
        <v>29.9</v>
      </c>
      <c r="L1665" s="11" t="s">
        <v>29</v>
      </c>
      <c r="M1665" s="14"/>
      <c r="N1665" s="11" t="s">
        <v>105</v>
      </c>
      <c r="O1665" s="10" t="str">
        <f t="shared" si="79"/>
        <v>08/2025</v>
      </c>
      <c r="P1665" s="10" t="str">
        <f t="shared" si="81"/>
        <v>08/2025</v>
      </c>
      <c r="Q1665" s="15" t="str">
        <f t="array" ref="Q1665">IFERROR(XLOOKUP(N1665,'Classificação'!A:A,'Classificação'!B:B),"")</f>
        <v>DESPESAS ADMINISTRATIVAS</v>
      </c>
      <c r="R1665" s="15" t="str">
        <f t="array" ref="R1665">IFERROR(XLOOKUP(Q1665,'Classificação'!B:B,'Classificação'!C:C),"")</f>
        <v>DESPESAS FIXAS (-)</v>
      </c>
      <c r="S1665" s="15">
        <f t="shared" si="91"/>
        <v>20</v>
      </c>
      <c r="T1665" s="15">
        <f t="shared" si="6"/>
        <v>8</v>
      </c>
      <c r="U1665" s="15">
        <f t="shared" si="7"/>
        <v>2025</v>
      </c>
      <c r="V1665" s="15">
        <f t="shared" si="8"/>
        <v>20</v>
      </c>
      <c r="W1665" s="15">
        <f t="shared" si="9"/>
        <v>8</v>
      </c>
      <c r="X1665" s="15">
        <f t="shared" si="10"/>
        <v>2025</v>
      </c>
    </row>
    <row r="1666">
      <c r="A1666" s="9">
        <v>45889.0</v>
      </c>
      <c r="B1666" s="9">
        <v>45854.0</v>
      </c>
      <c r="C1666" s="9">
        <f t="shared" si="90"/>
        <v>45889</v>
      </c>
      <c r="D1666" s="11" t="s">
        <v>65</v>
      </c>
      <c r="E1666" s="11" t="s">
        <v>25</v>
      </c>
      <c r="F1666" s="11" t="s">
        <v>107</v>
      </c>
      <c r="G1666" s="11" t="s">
        <v>27</v>
      </c>
      <c r="H1666" s="11" t="s">
        <v>912</v>
      </c>
      <c r="I1666" s="31">
        <v>59.89</v>
      </c>
      <c r="J1666" s="13"/>
      <c r="K1666" s="13">
        <f t="shared" si="98"/>
        <v>59.89</v>
      </c>
      <c r="L1666" s="11" t="s">
        <v>34</v>
      </c>
      <c r="M1666" s="17"/>
      <c r="N1666" s="11" t="s">
        <v>143</v>
      </c>
      <c r="O1666" s="10" t="str">
        <f t="shared" si="79"/>
        <v>08/2025</v>
      </c>
      <c r="P1666" s="10" t="str">
        <f t="shared" si="81"/>
        <v>08/2025</v>
      </c>
      <c r="Q1666" s="15" t="str">
        <f t="array" ref="Q1666">IFERROR(XLOOKUP(N1666,'Classificação'!A:A,'Classificação'!B:B),"")</f>
        <v>EMBALAGENS/FITAS/GERAL</v>
      </c>
      <c r="R1666" s="15" t="str">
        <f t="array" ref="R1666">IFERROR(XLOOKUP(Q1666,'Classificação'!B:B,'Classificação'!C:C),"")</f>
        <v>CUSTOS VARIÁVEIS</v>
      </c>
      <c r="S1666" s="15">
        <f t="shared" si="91"/>
        <v>20</v>
      </c>
      <c r="T1666" s="15">
        <f t="shared" si="6"/>
        <v>8</v>
      </c>
      <c r="U1666" s="15">
        <f t="shared" si="7"/>
        <v>2025</v>
      </c>
      <c r="V1666" s="15">
        <f t="shared" si="8"/>
        <v>20</v>
      </c>
      <c r="W1666" s="15">
        <f t="shared" si="9"/>
        <v>8</v>
      </c>
      <c r="X1666" s="15">
        <f t="shared" si="10"/>
        <v>2025</v>
      </c>
    </row>
    <row r="1667">
      <c r="A1667" s="9">
        <v>45889.0</v>
      </c>
      <c r="B1667" s="9">
        <v>45852.0</v>
      </c>
      <c r="C1667" s="9">
        <f t="shared" si="90"/>
        <v>45889</v>
      </c>
      <c r="D1667" s="11" t="s">
        <v>167</v>
      </c>
      <c r="E1667" s="11" t="s">
        <v>25</v>
      </c>
      <c r="F1667" s="11" t="s">
        <v>107</v>
      </c>
      <c r="G1667" s="11" t="s">
        <v>27</v>
      </c>
      <c r="H1667" s="11" t="s">
        <v>876</v>
      </c>
      <c r="I1667" s="31">
        <v>28.0</v>
      </c>
      <c r="J1667" s="13"/>
      <c r="K1667" s="13">
        <f t="shared" si="98"/>
        <v>28</v>
      </c>
      <c r="L1667" s="11" t="s">
        <v>34</v>
      </c>
      <c r="M1667" s="14"/>
      <c r="N1667" s="11" t="s">
        <v>78</v>
      </c>
      <c r="O1667" s="10" t="str">
        <f t="shared" si="79"/>
        <v>08/2025</v>
      </c>
      <c r="P1667" s="10" t="str">
        <f t="shared" si="81"/>
        <v>08/2025</v>
      </c>
      <c r="Q1667" s="15" t="str">
        <f t="array" ref="Q1667">IFERROR(XLOOKUP(N1667,'Classificação'!A:A,'Classificação'!B:B),"")</f>
        <v>DESPESAS COM PESSOAL</v>
      </c>
      <c r="R1667" s="15" t="str">
        <f t="array" ref="R1667">IFERROR(XLOOKUP(Q1667,'Classificação'!B:B,'Classificação'!C:C),"")</f>
        <v>DESPESAS FIXAS (-)</v>
      </c>
      <c r="S1667" s="15">
        <f t="shared" si="91"/>
        <v>20</v>
      </c>
      <c r="T1667" s="15">
        <f t="shared" si="6"/>
        <v>8</v>
      </c>
      <c r="U1667" s="15">
        <f t="shared" si="7"/>
        <v>2025</v>
      </c>
      <c r="V1667" s="15">
        <f t="shared" si="8"/>
        <v>20</v>
      </c>
      <c r="W1667" s="15">
        <f t="shared" si="9"/>
        <v>8</v>
      </c>
      <c r="X1667" s="15">
        <f t="shared" si="10"/>
        <v>2025</v>
      </c>
    </row>
    <row r="1668">
      <c r="A1668" s="9">
        <v>45889.0</v>
      </c>
      <c r="B1668" s="9">
        <v>45861.0</v>
      </c>
      <c r="C1668" s="9">
        <f t="shared" si="90"/>
        <v>45889</v>
      </c>
      <c r="D1668" s="11" t="s">
        <v>167</v>
      </c>
      <c r="E1668" s="11" t="s">
        <v>25</v>
      </c>
      <c r="F1668" s="11" t="s">
        <v>107</v>
      </c>
      <c r="G1668" s="11" t="s">
        <v>27</v>
      </c>
      <c r="H1668" s="11" t="s">
        <v>519</v>
      </c>
      <c r="I1668" s="31">
        <v>28.0</v>
      </c>
      <c r="J1668" s="13"/>
      <c r="K1668" s="13">
        <f t="shared" si="98"/>
        <v>28</v>
      </c>
      <c r="L1668" s="11" t="s">
        <v>34</v>
      </c>
      <c r="M1668" s="14"/>
      <c r="N1668" s="11" t="s">
        <v>78</v>
      </c>
      <c r="O1668" s="10" t="str">
        <f t="shared" si="79"/>
        <v>08/2025</v>
      </c>
      <c r="P1668" s="10" t="str">
        <f t="shared" si="81"/>
        <v>08/2025</v>
      </c>
      <c r="Q1668" s="15" t="str">
        <f t="array" ref="Q1668">IFERROR(XLOOKUP(N1668,'Classificação'!A:A,'Classificação'!B:B),"")</f>
        <v>DESPESAS COM PESSOAL</v>
      </c>
      <c r="R1668" s="15" t="str">
        <f t="array" ref="R1668">IFERROR(XLOOKUP(Q1668,'Classificação'!B:B,'Classificação'!C:C),"")</f>
        <v>DESPESAS FIXAS (-)</v>
      </c>
      <c r="S1668" s="15">
        <f t="shared" si="91"/>
        <v>20</v>
      </c>
      <c r="T1668" s="15">
        <f t="shared" si="6"/>
        <v>8</v>
      </c>
      <c r="U1668" s="15">
        <f t="shared" si="7"/>
        <v>2025</v>
      </c>
      <c r="V1668" s="15">
        <f t="shared" si="8"/>
        <v>20</v>
      </c>
      <c r="W1668" s="15">
        <f t="shared" si="9"/>
        <v>8</v>
      </c>
      <c r="X1668" s="15">
        <f t="shared" si="10"/>
        <v>2025</v>
      </c>
    </row>
    <row r="1669">
      <c r="A1669" s="9">
        <v>45889.0</v>
      </c>
      <c r="B1669" s="9">
        <v>45859.0</v>
      </c>
      <c r="C1669" s="9">
        <f t="shared" si="90"/>
        <v>45889</v>
      </c>
      <c r="D1669" s="11" t="s">
        <v>179</v>
      </c>
      <c r="E1669" s="11" t="s">
        <v>25</v>
      </c>
      <c r="F1669" s="11" t="s">
        <v>107</v>
      </c>
      <c r="G1669" s="11" t="s">
        <v>27</v>
      </c>
      <c r="H1669" s="11" t="s">
        <v>497</v>
      </c>
      <c r="I1669" s="31">
        <v>50.0</v>
      </c>
      <c r="J1669" s="13"/>
      <c r="K1669" s="13">
        <f t="shared" si="98"/>
        <v>50</v>
      </c>
      <c r="L1669" s="11" t="s">
        <v>34</v>
      </c>
      <c r="M1669" s="14"/>
      <c r="N1669" s="11" t="s">
        <v>181</v>
      </c>
      <c r="O1669" s="10" t="str">
        <f t="shared" si="79"/>
        <v>08/2025</v>
      </c>
      <c r="P1669" s="10" t="str">
        <f t="shared" si="81"/>
        <v>08/2025</v>
      </c>
      <c r="Q1669" s="15" t="str">
        <f t="array" ref="Q1669">IFERROR(XLOOKUP(N1669,'Classificação'!A:A,'Classificação'!B:B),"")</f>
        <v>DESPESAS COM VEICULOS</v>
      </c>
      <c r="R1669" s="15" t="str">
        <f t="array" ref="R1669">IFERROR(XLOOKUP(Q1669,'Classificação'!B:B,'Classificação'!C:C),"")</f>
        <v>DESPESAS FIXAS (-)</v>
      </c>
      <c r="S1669" s="15">
        <f t="shared" si="91"/>
        <v>20</v>
      </c>
      <c r="T1669" s="15">
        <f t="shared" si="6"/>
        <v>8</v>
      </c>
      <c r="U1669" s="15">
        <f t="shared" si="7"/>
        <v>2025</v>
      </c>
      <c r="V1669" s="15">
        <f t="shared" si="8"/>
        <v>20</v>
      </c>
      <c r="W1669" s="15">
        <f t="shared" si="9"/>
        <v>8</v>
      </c>
      <c r="X1669" s="15">
        <f t="shared" si="10"/>
        <v>2025</v>
      </c>
    </row>
    <row r="1670">
      <c r="A1670" s="9">
        <v>45889.0</v>
      </c>
      <c r="B1670" s="9">
        <v>45859.0</v>
      </c>
      <c r="C1670" s="9">
        <f t="shared" si="90"/>
        <v>45889</v>
      </c>
      <c r="D1670" s="11" t="s">
        <v>167</v>
      </c>
      <c r="E1670" s="11" t="s">
        <v>25</v>
      </c>
      <c r="F1670" s="11" t="s">
        <v>107</v>
      </c>
      <c r="G1670" s="11" t="s">
        <v>27</v>
      </c>
      <c r="H1670" s="11" t="s">
        <v>519</v>
      </c>
      <c r="I1670" s="31">
        <v>26.0</v>
      </c>
      <c r="J1670" s="13"/>
      <c r="K1670" s="13">
        <f t="shared" si="98"/>
        <v>26</v>
      </c>
      <c r="L1670" s="11" t="s">
        <v>34</v>
      </c>
      <c r="M1670" s="14"/>
      <c r="N1670" s="11" t="s">
        <v>78</v>
      </c>
      <c r="O1670" s="10" t="str">
        <f t="shared" si="79"/>
        <v>08/2025</v>
      </c>
      <c r="P1670" s="10" t="str">
        <f t="shared" si="81"/>
        <v>08/2025</v>
      </c>
      <c r="Q1670" s="15" t="str">
        <f t="array" ref="Q1670">IFERROR(XLOOKUP(N1670,'Classificação'!A:A,'Classificação'!B:B),"")</f>
        <v>DESPESAS COM PESSOAL</v>
      </c>
      <c r="R1670" s="15" t="str">
        <f t="array" ref="R1670">IFERROR(XLOOKUP(Q1670,'Classificação'!B:B,'Classificação'!C:C),"")</f>
        <v>DESPESAS FIXAS (-)</v>
      </c>
      <c r="S1670" s="15">
        <f t="shared" si="91"/>
        <v>20</v>
      </c>
      <c r="T1670" s="15">
        <f t="shared" si="6"/>
        <v>8</v>
      </c>
      <c r="U1670" s="15">
        <f t="shared" si="7"/>
        <v>2025</v>
      </c>
      <c r="V1670" s="15">
        <f t="shared" si="8"/>
        <v>20</v>
      </c>
      <c r="W1670" s="15">
        <f t="shared" si="9"/>
        <v>8</v>
      </c>
      <c r="X1670" s="15">
        <f t="shared" si="10"/>
        <v>2025</v>
      </c>
    </row>
    <row r="1671">
      <c r="A1671" s="9">
        <v>45889.0</v>
      </c>
      <c r="B1671" s="9">
        <v>45861.0</v>
      </c>
      <c r="C1671" s="9">
        <f t="shared" si="90"/>
        <v>45889</v>
      </c>
      <c r="D1671" s="11" t="s">
        <v>65</v>
      </c>
      <c r="E1671" s="11" t="s">
        <v>25</v>
      </c>
      <c r="F1671" s="11" t="s">
        <v>107</v>
      </c>
      <c r="G1671" s="11" t="s">
        <v>27</v>
      </c>
      <c r="H1671" s="11" t="s">
        <v>913</v>
      </c>
      <c r="I1671" s="31">
        <v>220.0</v>
      </c>
      <c r="J1671" s="13"/>
      <c r="K1671" s="13">
        <f t="shared" si="98"/>
        <v>220</v>
      </c>
      <c r="L1671" s="11" t="s">
        <v>53</v>
      </c>
      <c r="M1671" s="17">
        <v>45717.0</v>
      </c>
      <c r="N1671" s="11" t="s">
        <v>143</v>
      </c>
      <c r="O1671" s="10" t="str">
        <f t="shared" si="79"/>
        <v>08/2025</v>
      </c>
      <c r="P1671" s="10" t="str">
        <f t="shared" si="81"/>
        <v>08/2025</v>
      </c>
      <c r="Q1671" s="15" t="str">
        <f t="array" ref="Q1671">IFERROR(XLOOKUP(N1671,'Classificação'!A:A,'Classificação'!B:B),"")</f>
        <v>EMBALAGENS/FITAS/GERAL</v>
      </c>
      <c r="R1671" s="15" t="str">
        <f t="array" ref="R1671">IFERROR(XLOOKUP(Q1671,'Classificação'!B:B,'Classificação'!C:C),"")</f>
        <v>CUSTOS VARIÁVEIS</v>
      </c>
      <c r="S1671" s="15">
        <f t="shared" si="91"/>
        <v>20</v>
      </c>
      <c r="T1671" s="15">
        <f t="shared" si="6"/>
        <v>8</v>
      </c>
      <c r="U1671" s="15">
        <f t="shared" si="7"/>
        <v>2025</v>
      </c>
      <c r="V1671" s="15">
        <f t="shared" si="8"/>
        <v>20</v>
      </c>
      <c r="W1671" s="15">
        <f t="shared" si="9"/>
        <v>8</v>
      </c>
      <c r="X1671" s="15">
        <f t="shared" si="10"/>
        <v>2025</v>
      </c>
    </row>
    <row r="1672">
      <c r="A1672" s="9">
        <v>45889.0</v>
      </c>
      <c r="B1672" s="9">
        <v>45861.0</v>
      </c>
      <c r="C1672" s="9">
        <f t="shared" si="90"/>
        <v>45889</v>
      </c>
      <c r="D1672" s="11" t="s">
        <v>179</v>
      </c>
      <c r="E1672" s="11" t="s">
        <v>25</v>
      </c>
      <c r="F1672" s="11" t="s">
        <v>107</v>
      </c>
      <c r="G1672" s="11" t="s">
        <v>27</v>
      </c>
      <c r="H1672" s="11" t="s">
        <v>312</v>
      </c>
      <c r="I1672" s="31">
        <v>227.22</v>
      </c>
      <c r="J1672" s="13"/>
      <c r="K1672" s="13">
        <f t="shared" si="98"/>
        <v>227.22</v>
      </c>
      <c r="L1672" s="11" t="s">
        <v>34</v>
      </c>
      <c r="M1672" s="14"/>
      <c r="N1672" s="11" t="s">
        <v>181</v>
      </c>
      <c r="O1672" s="10" t="str">
        <f t="shared" si="79"/>
        <v>08/2025</v>
      </c>
      <c r="P1672" s="10" t="str">
        <f t="shared" si="81"/>
        <v>08/2025</v>
      </c>
      <c r="Q1672" s="15" t="str">
        <f t="array" ref="Q1672">IFERROR(XLOOKUP(N1672,'Classificação'!A:A,'Classificação'!B:B),"")</f>
        <v>DESPESAS COM VEICULOS</v>
      </c>
      <c r="R1672" s="15" t="str">
        <f t="array" ref="R1672">IFERROR(XLOOKUP(Q1672,'Classificação'!B:B,'Classificação'!C:C),"")</f>
        <v>DESPESAS FIXAS (-)</v>
      </c>
      <c r="S1672" s="15">
        <f t="shared" si="91"/>
        <v>20</v>
      </c>
      <c r="T1672" s="15">
        <f t="shared" si="6"/>
        <v>8</v>
      </c>
      <c r="U1672" s="15">
        <f t="shared" si="7"/>
        <v>2025</v>
      </c>
      <c r="V1672" s="15">
        <f t="shared" si="8"/>
        <v>20</v>
      </c>
      <c r="W1672" s="15">
        <f t="shared" si="9"/>
        <v>8</v>
      </c>
      <c r="X1672" s="15">
        <f t="shared" si="10"/>
        <v>2025</v>
      </c>
    </row>
    <row r="1673">
      <c r="A1673" s="9">
        <v>45889.0</v>
      </c>
      <c r="B1673" s="9">
        <v>45862.0</v>
      </c>
      <c r="C1673" s="9">
        <f t="shared" si="90"/>
        <v>45889</v>
      </c>
      <c r="D1673" s="11" t="s">
        <v>114</v>
      </c>
      <c r="E1673" s="11" t="s">
        <v>25</v>
      </c>
      <c r="F1673" s="11" t="s">
        <v>107</v>
      </c>
      <c r="G1673" s="11" t="s">
        <v>27</v>
      </c>
      <c r="H1673" s="11" t="s">
        <v>914</v>
      </c>
      <c r="I1673" s="31">
        <v>47.9</v>
      </c>
      <c r="J1673" s="13"/>
      <c r="K1673" s="13">
        <f t="shared" si="98"/>
        <v>47.9</v>
      </c>
      <c r="L1673" s="11" t="s">
        <v>34</v>
      </c>
      <c r="M1673" s="14"/>
      <c r="N1673" s="11" t="s">
        <v>143</v>
      </c>
      <c r="O1673" s="10" t="str">
        <f t="shared" si="79"/>
        <v>08/2025</v>
      </c>
      <c r="P1673" s="10" t="str">
        <f t="shared" si="81"/>
        <v>08/2025</v>
      </c>
      <c r="Q1673" s="15" t="str">
        <f t="array" ref="Q1673">IFERROR(XLOOKUP(N1673,'Classificação'!A:A,'Classificação'!B:B),"")</f>
        <v>EMBALAGENS/FITAS/GERAL</v>
      </c>
      <c r="R1673" s="15" t="str">
        <f t="array" ref="R1673">IFERROR(XLOOKUP(Q1673,'Classificação'!B:B,'Classificação'!C:C),"")</f>
        <v>CUSTOS VARIÁVEIS</v>
      </c>
      <c r="S1673" s="15">
        <f t="shared" si="91"/>
        <v>20</v>
      </c>
      <c r="T1673" s="15">
        <f t="shared" si="6"/>
        <v>8</v>
      </c>
      <c r="U1673" s="15">
        <f t="shared" si="7"/>
        <v>2025</v>
      </c>
      <c r="V1673" s="15">
        <f t="shared" si="8"/>
        <v>20</v>
      </c>
      <c r="W1673" s="15">
        <f t="shared" si="9"/>
        <v>8</v>
      </c>
      <c r="X1673" s="15">
        <f t="shared" si="10"/>
        <v>2025</v>
      </c>
    </row>
    <row r="1674">
      <c r="A1674" s="9">
        <v>45889.0</v>
      </c>
      <c r="B1674" s="9">
        <v>45863.0</v>
      </c>
      <c r="C1674" s="9">
        <f t="shared" si="90"/>
        <v>45889</v>
      </c>
      <c r="D1674" s="11" t="s">
        <v>65</v>
      </c>
      <c r="E1674" s="11" t="s">
        <v>25</v>
      </c>
      <c r="F1674" s="11" t="s">
        <v>107</v>
      </c>
      <c r="G1674" s="11" t="s">
        <v>27</v>
      </c>
      <c r="H1674" s="11" t="s">
        <v>915</v>
      </c>
      <c r="I1674" s="31">
        <v>185.24</v>
      </c>
      <c r="J1674" s="13"/>
      <c r="K1674" s="13">
        <f t="shared" si="98"/>
        <v>185.24</v>
      </c>
      <c r="L1674" s="11" t="s">
        <v>53</v>
      </c>
      <c r="M1674" s="17">
        <v>45992.0</v>
      </c>
      <c r="N1674" s="11" t="s">
        <v>95</v>
      </c>
      <c r="O1674" s="10" t="str">
        <f t="shared" si="79"/>
        <v>08/2025</v>
      </c>
      <c r="P1674" s="10" t="str">
        <f t="shared" si="81"/>
        <v>08/2025</v>
      </c>
      <c r="Q1674" s="15" t="str">
        <f t="array" ref="Q1674">IFERROR(XLOOKUP(N1674,'Classificação'!A:A,'Classificação'!B:B),"")</f>
        <v>DESPESAS NÃO OPERACIONAIS</v>
      </c>
      <c r="R1674" s="15" t="str">
        <f t="array" ref="R1674">IFERROR(XLOOKUP(Q1674,'Classificação'!B:B,'Classificação'!C:C),"")</f>
        <v>RESULTADO NÃO OPERACIONAL (+/-)</v>
      </c>
      <c r="S1674" s="15">
        <f t="shared" si="91"/>
        <v>20</v>
      </c>
      <c r="T1674" s="15">
        <f t="shared" si="6"/>
        <v>8</v>
      </c>
      <c r="U1674" s="15">
        <f t="shared" si="7"/>
        <v>2025</v>
      </c>
      <c r="V1674" s="15">
        <f t="shared" si="8"/>
        <v>20</v>
      </c>
      <c r="W1674" s="15">
        <f t="shared" si="9"/>
        <v>8</v>
      </c>
      <c r="X1674" s="15">
        <f t="shared" si="10"/>
        <v>2025</v>
      </c>
    </row>
    <row r="1675">
      <c r="A1675" s="9">
        <v>45889.0</v>
      </c>
      <c r="B1675" s="9">
        <v>45866.0</v>
      </c>
      <c r="C1675" s="9">
        <f t="shared" si="90"/>
        <v>45889</v>
      </c>
      <c r="D1675" s="11" t="s">
        <v>167</v>
      </c>
      <c r="E1675" s="11" t="s">
        <v>25</v>
      </c>
      <c r="F1675" s="11" t="s">
        <v>110</v>
      </c>
      <c r="G1675" s="11" t="s">
        <v>27</v>
      </c>
      <c r="H1675" s="11" t="s">
        <v>670</v>
      </c>
      <c r="I1675" s="31">
        <v>26.0</v>
      </c>
      <c r="J1675" s="13"/>
      <c r="K1675" s="13">
        <f t="shared" si="98"/>
        <v>26</v>
      </c>
      <c r="L1675" s="11" t="s">
        <v>34</v>
      </c>
      <c r="M1675" s="14"/>
      <c r="N1675" s="11" t="s">
        <v>78</v>
      </c>
      <c r="O1675" s="10" t="str">
        <f t="shared" si="79"/>
        <v>08/2025</v>
      </c>
      <c r="P1675" s="10" t="str">
        <f t="shared" si="81"/>
        <v>08/2025</v>
      </c>
      <c r="Q1675" s="15" t="str">
        <f t="array" ref="Q1675">IFERROR(XLOOKUP(N1675,'Classificação'!A:A,'Classificação'!B:B),"")</f>
        <v>DESPESAS COM PESSOAL</v>
      </c>
      <c r="R1675" s="15" t="str">
        <f t="array" ref="R1675">IFERROR(XLOOKUP(Q1675,'Classificação'!B:B,'Classificação'!C:C),"")</f>
        <v>DESPESAS FIXAS (-)</v>
      </c>
      <c r="S1675" s="15">
        <f t="shared" si="91"/>
        <v>20</v>
      </c>
      <c r="T1675" s="15">
        <f t="shared" si="6"/>
        <v>8</v>
      </c>
      <c r="U1675" s="15">
        <f t="shared" si="7"/>
        <v>2025</v>
      </c>
      <c r="V1675" s="15">
        <f t="shared" si="8"/>
        <v>20</v>
      </c>
      <c r="W1675" s="15">
        <f t="shared" si="9"/>
        <v>8</v>
      </c>
      <c r="X1675" s="15">
        <f t="shared" si="10"/>
        <v>2025</v>
      </c>
    </row>
    <row r="1676">
      <c r="A1676" s="9">
        <v>45889.0</v>
      </c>
      <c r="B1676" s="9">
        <v>45856.0</v>
      </c>
      <c r="C1676" s="9">
        <f t="shared" si="90"/>
        <v>45889</v>
      </c>
      <c r="D1676" s="11" t="s">
        <v>167</v>
      </c>
      <c r="E1676" s="11" t="s">
        <v>25</v>
      </c>
      <c r="F1676" s="11" t="s">
        <v>107</v>
      </c>
      <c r="G1676" s="11" t="s">
        <v>27</v>
      </c>
      <c r="H1676" s="11" t="s">
        <v>670</v>
      </c>
      <c r="I1676" s="31">
        <v>28.0</v>
      </c>
      <c r="J1676" s="13"/>
      <c r="K1676" s="13">
        <f t="shared" si="98"/>
        <v>28</v>
      </c>
      <c r="L1676" s="11" t="s">
        <v>34</v>
      </c>
      <c r="M1676" s="14"/>
      <c r="N1676" s="11" t="s">
        <v>78</v>
      </c>
      <c r="O1676" s="10" t="str">
        <f t="shared" si="79"/>
        <v>08/2025</v>
      </c>
      <c r="P1676" s="10" t="str">
        <f t="shared" si="81"/>
        <v>08/2025</v>
      </c>
      <c r="Q1676" s="15" t="str">
        <f t="array" ref="Q1676">IFERROR(XLOOKUP(N1676,'Classificação'!A:A,'Classificação'!B:B),"")</f>
        <v>DESPESAS COM PESSOAL</v>
      </c>
      <c r="R1676" s="15" t="str">
        <f t="array" ref="R1676">IFERROR(XLOOKUP(Q1676,'Classificação'!B:B,'Classificação'!C:C),"")</f>
        <v>DESPESAS FIXAS (-)</v>
      </c>
      <c r="S1676" s="15">
        <f t="shared" si="91"/>
        <v>20</v>
      </c>
      <c r="T1676" s="15">
        <f t="shared" si="6"/>
        <v>8</v>
      </c>
      <c r="U1676" s="15">
        <f t="shared" si="7"/>
        <v>2025</v>
      </c>
      <c r="V1676" s="15">
        <f t="shared" si="8"/>
        <v>20</v>
      </c>
      <c r="W1676" s="15">
        <f t="shared" si="9"/>
        <v>8</v>
      </c>
      <c r="X1676" s="15">
        <f t="shared" si="10"/>
        <v>2025</v>
      </c>
    </row>
    <row r="1677">
      <c r="A1677" s="9">
        <v>45889.0</v>
      </c>
      <c r="B1677" s="9">
        <v>45868.0</v>
      </c>
      <c r="C1677" s="9">
        <f t="shared" si="90"/>
        <v>45889</v>
      </c>
      <c r="D1677" s="11" t="s">
        <v>179</v>
      </c>
      <c r="E1677" s="11" t="s">
        <v>25</v>
      </c>
      <c r="F1677" s="11" t="s">
        <v>107</v>
      </c>
      <c r="G1677" s="11" t="s">
        <v>27</v>
      </c>
      <c r="I1677" s="31">
        <v>249.16</v>
      </c>
      <c r="J1677" s="13"/>
      <c r="K1677" s="13">
        <f t="shared" si="98"/>
        <v>249.16</v>
      </c>
      <c r="L1677" s="11" t="s">
        <v>34</v>
      </c>
      <c r="M1677" s="14"/>
      <c r="N1677" s="11" t="s">
        <v>181</v>
      </c>
      <c r="O1677" s="10" t="str">
        <f t="shared" si="79"/>
        <v>08/2025</v>
      </c>
      <c r="P1677" s="10" t="str">
        <f t="shared" si="81"/>
        <v>08/2025</v>
      </c>
      <c r="Q1677" s="15" t="str">
        <f t="array" ref="Q1677">IFERROR(XLOOKUP(N1677,'Classificação'!A:A,'Classificação'!B:B),"")</f>
        <v>DESPESAS COM VEICULOS</v>
      </c>
      <c r="R1677" s="15" t="str">
        <f t="array" ref="R1677">IFERROR(XLOOKUP(Q1677,'Classificação'!B:B,'Classificação'!C:C),"")</f>
        <v>DESPESAS FIXAS (-)</v>
      </c>
      <c r="S1677" s="15">
        <f t="shared" si="91"/>
        <v>20</v>
      </c>
      <c r="T1677" s="15">
        <f t="shared" si="6"/>
        <v>8</v>
      </c>
      <c r="U1677" s="15">
        <f t="shared" si="7"/>
        <v>2025</v>
      </c>
      <c r="V1677" s="15">
        <f t="shared" si="8"/>
        <v>20</v>
      </c>
      <c r="W1677" s="15">
        <f t="shared" si="9"/>
        <v>8</v>
      </c>
      <c r="X1677" s="15">
        <f t="shared" si="10"/>
        <v>2025</v>
      </c>
    </row>
    <row r="1678">
      <c r="A1678" s="9">
        <v>45889.0</v>
      </c>
      <c r="B1678" s="9">
        <v>45855.0</v>
      </c>
      <c r="C1678" s="9">
        <f t="shared" si="90"/>
        <v>45889</v>
      </c>
      <c r="D1678" s="11" t="s">
        <v>182</v>
      </c>
      <c r="E1678" s="11" t="s">
        <v>25</v>
      </c>
      <c r="F1678" s="11" t="s">
        <v>107</v>
      </c>
      <c r="G1678" s="11" t="s">
        <v>27</v>
      </c>
      <c r="H1678" s="11" t="s">
        <v>916</v>
      </c>
      <c r="I1678" s="31">
        <v>10.97</v>
      </c>
      <c r="J1678" s="13"/>
      <c r="K1678" s="13">
        <f t="shared" si="98"/>
        <v>10.97</v>
      </c>
      <c r="L1678" s="11" t="s">
        <v>34</v>
      </c>
      <c r="M1678" s="14"/>
      <c r="N1678" s="11" t="s">
        <v>184</v>
      </c>
      <c r="O1678" s="10" t="str">
        <f t="shared" si="79"/>
        <v>08/2025</v>
      </c>
      <c r="P1678" s="10" t="str">
        <f t="shared" si="81"/>
        <v>08/2025</v>
      </c>
      <c r="Q1678" s="15" t="str">
        <f t="array" ref="Q1678">IFERROR(XLOOKUP(N1678,'Classificação'!A:A,'Classificação'!B:B),"")</f>
        <v>DESPESAS ADMINISTRATIVAS</v>
      </c>
      <c r="R1678" s="15" t="str">
        <f t="array" ref="R1678">IFERROR(XLOOKUP(Q1678,'Classificação'!B:B,'Classificação'!C:C),"")</f>
        <v>DESPESAS FIXAS (-)</v>
      </c>
      <c r="S1678" s="15">
        <f t="shared" si="91"/>
        <v>20</v>
      </c>
      <c r="T1678" s="15">
        <f t="shared" si="6"/>
        <v>8</v>
      </c>
      <c r="U1678" s="15">
        <f t="shared" si="7"/>
        <v>2025</v>
      </c>
      <c r="V1678" s="15">
        <f t="shared" si="8"/>
        <v>20</v>
      </c>
      <c r="W1678" s="15">
        <f t="shared" si="9"/>
        <v>8</v>
      </c>
      <c r="X1678" s="15">
        <f t="shared" si="10"/>
        <v>2025</v>
      </c>
    </row>
    <row r="1679">
      <c r="A1679" s="9">
        <v>45889.0</v>
      </c>
      <c r="B1679" s="9">
        <v>45866.0</v>
      </c>
      <c r="C1679" s="9">
        <f t="shared" si="90"/>
        <v>45889</v>
      </c>
      <c r="D1679" s="11" t="s">
        <v>182</v>
      </c>
      <c r="E1679" s="11" t="s">
        <v>25</v>
      </c>
      <c r="F1679" s="11" t="s">
        <v>107</v>
      </c>
      <c r="G1679" s="11" t="s">
        <v>27</v>
      </c>
      <c r="H1679" s="11" t="s">
        <v>916</v>
      </c>
      <c r="I1679" s="31">
        <v>10.99</v>
      </c>
      <c r="J1679" s="13"/>
      <c r="K1679" s="13">
        <f t="shared" si="98"/>
        <v>10.99</v>
      </c>
      <c r="L1679" s="11" t="s">
        <v>34</v>
      </c>
      <c r="M1679" s="14"/>
      <c r="N1679" s="11" t="s">
        <v>184</v>
      </c>
      <c r="O1679" s="10" t="str">
        <f t="shared" si="79"/>
        <v>08/2025</v>
      </c>
      <c r="P1679" s="10" t="str">
        <f t="shared" si="81"/>
        <v>08/2025</v>
      </c>
      <c r="Q1679" s="15" t="str">
        <f t="array" ref="Q1679">IFERROR(XLOOKUP(N1679,'Classificação'!A:A,'Classificação'!B:B),"")</f>
        <v>DESPESAS ADMINISTRATIVAS</v>
      </c>
      <c r="R1679" s="15" t="str">
        <f t="array" ref="R1679">IFERROR(XLOOKUP(Q1679,'Classificação'!B:B,'Classificação'!C:C),"")</f>
        <v>DESPESAS FIXAS (-)</v>
      </c>
      <c r="S1679" s="15">
        <f t="shared" si="91"/>
        <v>20</v>
      </c>
      <c r="T1679" s="15">
        <f t="shared" si="6"/>
        <v>8</v>
      </c>
      <c r="U1679" s="15">
        <f t="shared" si="7"/>
        <v>2025</v>
      </c>
      <c r="V1679" s="15">
        <f t="shared" si="8"/>
        <v>20</v>
      </c>
      <c r="W1679" s="15">
        <f t="shared" si="9"/>
        <v>8</v>
      </c>
      <c r="X1679" s="15">
        <f t="shared" si="10"/>
        <v>2025</v>
      </c>
    </row>
    <row r="1680">
      <c r="A1680" s="9">
        <v>45889.0</v>
      </c>
      <c r="B1680" s="9">
        <v>45866.0</v>
      </c>
      <c r="C1680" s="9">
        <f t="shared" si="90"/>
        <v>45889</v>
      </c>
      <c r="D1680" s="11" t="s">
        <v>65</v>
      </c>
      <c r="E1680" s="11" t="s">
        <v>25</v>
      </c>
      <c r="F1680" s="11" t="s">
        <v>107</v>
      </c>
      <c r="G1680" s="11" t="s">
        <v>27</v>
      </c>
      <c r="H1680" s="11" t="s">
        <v>677</v>
      </c>
      <c r="I1680" s="31">
        <v>160.93</v>
      </c>
      <c r="J1680" s="13"/>
      <c r="K1680" s="13">
        <f t="shared" si="98"/>
        <v>160.93</v>
      </c>
      <c r="L1680" s="11" t="s">
        <v>53</v>
      </c>
      <c r="M1680" s="17">
        <v>45717.0</v>
      </c>
      <c r="N1680" s="11" t="s">
        <v>143</v>
      </c>
      <c r="O1680" s="10" t="str">
        <f t="shared" si="79"/>
        <v>08/2025</v>
      </c>
      <c r="P1680" s="10" t="str">
        <f t="shared" si="81"/>
        <v>08/2025</v>
      </c>
      <c r="Q1680" s="15" t="str">
        <f t="array" ref="Q1680">IFERROR(XLOOKUP(N1680,'Classificação'!A:A,'Classificação'!B:B),"")</f>
        <v>EMBALAGENS/FITAS/GERAL</v>
      </c>
      <c r="R1680" s="15" t="str">
        <f t="array" ref="R1680">IFERROR(XLOOKUP(Q1680,'Classificação'!B:B,'Classificação'!C:C),"")</f>
        <v>CUSTOS VARIÁVEIS</v>
      </c>
      <c r="S1680" s="15">
        <f t="shared" si="91"/>
        <v>20</v>
      </c>
      <c r="T1680" s="15">
        <f t="shared" si="6"/>
        <v>8</v>
      </c>
      <c r="U1680" s="15">
        <f t="shared" si="7"/>
        <v>2025</v>
      </c>
      <c r="V1680" s="15">
        <f t="shared" si="8"/>
        <v>20</v>
      </c>
      <c r="W1680" s="15">
        <f t="shared" si="9"/>
        <v>8</v>
      </c>
      <c r="X1680" s="15">
        <f t="shared" si="10"/>
        <v>2025</v>
      </c>
    </row>
    <row r="1681">
      <c r="A1681" s="9">
        <v>45889.0</v>
      </c>
      <c r="B1681" s="9">
        <v>45854.0</v>
      </c>
      <c r="C1681" s="9">
        <f t="shared" si="90"/>
        <v>45889</v>
      </c>
      <c r="D1681" s="11" t="s">
        <v>65</v>
      </c>
      <c r="E1681" s="11" t="s">
        <v>25</v>
      </c>
      <c r="F1681" s="11" t="s">
        <v>107</v>
      </c>
      <c r="G1681" s="11" t="s">
        <v>27</v>
      </c>
      <c r="H1681" s="11" t="s">
        <v>677</v>
      </c>
      <c r="I1681" s="12">
        <v>147.25</v>
      </c>
      <c r="J1681" s="13"/>
      <c r="K1681" s="13">
        <f t="shared" si="98"/>
        <v>147.25</v>
      </c>
      <c r="L1681" s="11" t="s">
        <v>53</v>
      </c>
      <c r="M1681" s="17">
        <v>45689.0</v>
      </c>
      <c r="N1681" s="11" t="s">
        <v>143</v>
      </c>
      <c r="O1681" s="10" t="str">
        <f t="shared" si="79"/>
        <v>08/2025</v>
      </c>
      <c r="P1681" s="10" t="str">
        <f t="shared" si="81"/>
        <v>08/2025</v>
      </c>
      <c r="Q1681" s="15" t="str">
        <f t="array" ref="Q1681">IFERROR(XLOOKUP(N1681,'Classificação'!A:A,'Classificação'!B:B),"")</f>
        <v>EMBALAGENS/FITAS/GERAL</v>
      </c>
      <c r="R1681" s="15" t="str">
        <f t="array" ref="R1681">IFERROR(XLOOKUP(Q1681,'Classificação'!B:B,'Classificação'!C:C),"")</f>
        <v>CUSTOS VARIÁVEIS</v>
      </c>
      <c r="S1681" s="15">
        <f t="shared" si="91"/>
        <v>20</v>
      </c>
      <c r="T1681" s="15">
        <f t="shared" si="6"/>
        <v>8</v>
      </c>
      <c r="U1681" s="15">
        <f t="shared" si="7"/>
        <v>2025</v>
      </c>
      <c r="V1681" s="15">
        <f t="shared" si="8"/>
        <v>20</v>
      </c>
      <c r="W1681" s="15">
        <f t="shared" si="9"/>
        <v>8</v>
      </c>
      <c r="X1681" s="15">
        <f t="shared" si="10"/>
        <v>2025</v>
      </c>
    </row>
    <row r="1682">
      <c r="A1682" s="9">
        <v>45890.0</v>
      </c>
      <c r="B1682" s="10"/>
      <c r="C1682" s="9">
        <f t="shared" si="90"/>
        <v>45890</v>
      </c>
      <c r="D1682" s="11" t="s">
        <v>86</v>
      </c>
      <c r="E1682" s="11" t="s">
        <v>25</v>
      </c>
      <c r="F1682" s="11" t="s">
        <v>87</v>
      </c>
      <c r="G1682" s="11" t="s">
        <v>27</v>
      </c>
      <c r="H1682" s="11" t="s">
        <v>917</v>
      </c>
      <c r="I1682" s="12">
        <v>6270.0</v>
      </c>
      <c r="J1682" s="13"/>
      <c r="K1682" s="13">
        <f t="shared" si="98"/>
        <v>6270</v>
      </c>
      <c r="L1682" s="11" t="s">
        <v>53</v>
      </c>
      <c r="M1682" s="17">
        <v>45748.0</v>
      </c>
      <c r="N1682" s="11" t="s">
        <v>35</v>
      </c>
      <c r="O1682" s="10" t="str">
        <f t="shared" si="79"/>
        <v>08/2025</v>
      </c>
      <c r="P1682" s="10" t="str">
        <f t="shared" si="81"/>
        <v>08/2025</v>
      </c>
      <c r="Q1682" s="15" t="str">
        <f t="array" ref="Q1682">IFERROR(XLOOKUP(N1682,'Classificação'!A:A,'Classificação'!B:B),"")</f>
        <v>COMPRA DE MERCADORIA</v>
      </c>
      <c r="R1682" s="15" t="str">
        <f t="array" ref="R1682">IFERROR(XLOOKUP(Q1682,'Classificação'!B:B,'Classificação'!C:C),"")</f>
        <v>CUSTOS VARIÁVEIS</v>
      </c>
      <c r="S1682" s="15">
        <f t="shared" si="91"/>
        <v>21</v>
      </c>
      <c r="T1682" s="15">
        <f t="shared" si="6"/>
        <v>8</v>
      </c>
      <c r="U1682" s="15">
        <f t="shared" si="7"/>
        <v>2025</v>
      </c>
      <c r="V1682" s="15">
        <f t="shared" si="8"/>
        <v>21</v>
      </c>
      <c r="W1682" s="15">
        <f t="shared" si="9"/>
        <v>8</v>
      </c>
      <c r="X1682" s="15">
        <f t="shared" si="10"/>
        <v>2025</v>
      </c>
    </row>
    <row r="1683">
      <c r="A1683" s="9">
        <v>45891.0</v>
      </c>
      <c r="B1683" s="9">
        <v>45755.0</v>
      </c>
      <c r="C1683" s="9">
        <f t="shared" si="90"/>
        <v>45891</v>
      </c>
      <c r="D1683" s="11" t="s">
        <v>86</v>
      </c>
      <c r="E1683" s="11" t="s">
        <v>25</v>
      </c>
      <c r="F1683" s="11" t="s">
        <v>87</v>
      </c>
      <c r="G1683" s="11" t="s">
        <v>27</v>
      </c>
      <c r="H1683" s="11" t="s">
        <v>918</v>
      </c>
      <c r="I1683" s="12">
        <v>1300.0</v>
      </c>
      <c r="J1683" s="13"/>
      <c r="K1683" s="13">
        <f t="shared" si="98"/>
        <v>1300</v>
      </c>
      <c r="L1683" s="11" t="s">
        <v>53</v>
      </c>
      <c r="M1683" s="17">
        <v>45751.0</v>
      </c>
      <c r="N1683" s="11" t="s">
        <v>35</v>
      </c>
      <c r="O1683" s="10" t="str">
        <f t="shared" si="79"/>
        <v>08/2025</v>
      </c>
      <c r="P1683" s="10" t="str">
        <f t="shared" si="81"/>
        <v>08/2025</v>
      </c>
      <c r="Q1683" s="15" t="str">
        <f t="array" ref="Q1683">IFERROR(XLOOKUP(N1683,'Classificação'!A:A,'Classificação'!B:B),"")</f>
        <v>COMPRA DE MERCADORIA</v>
      </c>
      <c r="R1683" s="15" t="str">
        <f t="array" ref="R1683">IFERROR(XLOOKUP(Q1683,'Classificação'!B:B,'Classificação'!C:C),"")</f>
        <v>CUSTOS VARIÁVEIS</v>
      </c>
      <c r="S1683" s="15">
        <f t="shared" si="91"/>
        <v>22</v>
      </c>
      <c r="T1683" s="15">
        <f t="shared" si="6"/>
        <v>8</v>
      </c>
      <c r="U1683" s="15">
        <f t="shared" si="7"/>
        <v>2025</v>
      </c>
      <c r="V1683" s="15">
        <f t="shared" si="8"/>
        <v>22</v>
      </c>
      <c r="W1683" s="15">
        <f t="shared" si="9"/>
        <v>8</v>
      </c>
      <c r="X1683" s="15">
        <f t="shared" si="10"/>
        <v>2025</v>
      </c>
    </row>
    <row r="1684">
      <c r="A1684" s="9">
        <v>45891.0</v>
      </c>
      <c r="B1684" s="9">
        <v>45786.0</v>
      </c>
      <c r="C1684" s="9">
        <f t="shared" si="90"/>
        <v>45891</v>
      </c>
      <c r="D1684" s="11" t="s">
        <v>86</v>
      </c>
      <c r="E1684" s="11" t="s">
        <v>25</v>
      </c>
      <c r="F1684" s="11" t="s">
        <v>87</v>
      </c>
      <c r="G1684" s="11" t="s">
        <v>27</v>
      </c>
      <c r="H1684" s="11" t="s">
        <v>919</v>
      </c>
      <c r="I1684" s="12">
        <v>1770.0</v>
      </c>
      <c r="J1684" s="13"/>
      <c r="K1684" s="13">
        <f t="shared" si="98"/>
        <v>1770</v>
      </c>
      <c r="L1684" s="11" t="s">
        <v>53</v>
      </c>
      <c r="M1684" s="17">
        <v>45750.0</v>
      </c>
      <c r="N1684" s="11" t="s">
        <v>35</v>
      </c>
      <c r="O1684" s="10" t="str">
        <f t="shared" si="79"/>
        <v>08/2025</v>
      </c>
      <c r="P1684" s="10" t="str">
        <f t="shared" si="81"/>
        <v>08/2025</v>
      </c>
      <c r="Q1684" s="15" t="str">
        <f t="array" ref="Q1684">IFERROR(XLOOKUP(N1684,'Classificação'!A:A,'Classificação'!B:B),"")</f>
        <v>COMPRA DE MERCADORIA</v>
      </c>
      <c r="R1684" s="15" t="str">
        <f t="array" ref="R1684">IFERROR(XLOOKUP(Q1684,'Classificação'!B:B,'Classificação'!C:C),"")</f>
        <v>CUSTOS VARIÁVEIS</v>
      </c>
      <c r="S1684" s="15">
        <f t="shared" si="91"/>
        <v>22</v>
      </c>
      <c r="T1684" s="15">
        <f t="shared" si="6"/>
        <v>8</v>
      </c>
      <c r="U1684" s="15">
        <f t="shared" si="7"/>
        <v>2025</v>
      </c>
      <c r="V1684" s="15">
        <f t="shared" si="8"/>
        <v>22</v>
      </c>
      <c r="W1684" s="15">
        <f t="shared" si="9"/>
        <v>8</v>
      </c>
      <c r="X1684" s="15">
        <f t="shared" si="10"/>
        <v>2025</v>
      </c>
    </row>
    <row r="1685">
      <c r="A1685" s="9">
        <v>45891.0</v>
      </c>
      <c r="B1685" s="10"/>
      <c r="C1685" s="9">
        <f t="shared" si="90"/>
        <v>45891</v>
      </c>
      <c r="D1685" s="11" t="s">
        <v>36</v>
      </c>
      <c r="E1685" s="11" t="s">
        <v>25</v>
      </c>
      <c r="F1685" s="11" t="s">
        <v>32</v>
      </c>
      <c r="G1685" s="11" t="s">
        <v>37</v>
      </c>
      <c r="I1685" s="12">
        <v>4950.0</v>
      </c>
      <c r="J1685" s="13"/>
      <c r="K1685" s="13">
        <f t="shared" si="98"/>
        <v>4950</v>
      </c>
      <c r="L1685" s="11" t="s">
        <v>29</v>
      </c>
      <c r="M1685" s="14"/>
      <c r="N1685" s="11" t="s">
        <v>38</v>
      </c>
      <c r="O1685" s="10" t="str">
        <f t="shared" si="79"/>
        <v>08/2025</v>
      </c>
      <c r="P1685" s="10" t="str">
        <f t="shared" si="81"/>
        <v>08/2025</v>
      </c>
      <c r="Q1685" s="15" t="str">
        <f t="array" ref="Q1685">IFERROR(XLOOKUP(N1685,'Classificação'!A:A,'Classificação'!B:B),"")</f>
        <v>DESPESAS COM PESSOAL</v>
      </c>
      <c r="R1685" s="15" t="str">
        <f t="array" ref="R1685">IFERROR(XLOOKUP(Q1685,'Classificação'!B:B,'Classificação'!C:C),"")</f>
        <v>DESPESAS FIXAS (-)</v>
      </c>
      <c r="S1685" s="15">
        <f t="shared" si="91"/>
        <v>22</v>
      </c>
      <c r="T1685" s="15">
        <f t="shared" si="6"/>
        <v>8</v>
      </c>
      <c r="U1685" s="15">
        <f t="shared" si="7"/>
        <v>2025</v>
      </c>
      <c r="V1685" s="15">
        <f t="shared" si="8"/>
        <v>22</v>
      </c>
      <c r="W1685" s="15">
        <f t="shared" si="9"/>
        <v>8</v>
      </c>
      <c r="X1685" s="15">
        <f t="shared" si="10"/>
        <v>2025</v>
      </c>
    </row>
    <row r="1686">
      <c r="A1686" s="9">
        <v>45891.0</v>
      </c>
      <c r="B1686" s="10"/>
      <c r="C1686" s="9">
        <f t="shared" si="90"/>
        <v>45891</v>
      </c>
      <c r="D1686" s="11" t="s">
        <v>43</v>
      </c>
      <c r="E1686" s="11" t="s">
        <v>25</v>
      </c>
      <c r="F1686" s="11" t="s">
        <v>32</v>
      </c>
      <c r="G1686" s="11" t="s">
        <v>37</v>
      </c>
      <c r="I1686" s="12">
        <v>4950.0</v>
      </c>
      <c r="J1686" s="13"/>
      <c r="K1686" s="13">
        <f t="shared" si="98"/>
        <v>4950</v>
      </c>
      <c r="L1686" s="11" t="s">
        <v>29</v>
      </c>
      <c r="M1686" s="14"/>
      <c r="N1686" s="11" t="s">
        <v>38</v>
      </c>
      <c r="O1686" s="10" t="str">
        <f t="shared" si="79"/>
        <v>08/2025</v>
      </c>
      <c r="P1686" s="10" t="str">
        <f t="shared" si="81"/>
        <v>08/2025</v>
      </c>
      <c r="Q1686" s="15" t="str">
        <f t="array" ref="Q1686">IFERROR(XLOOKUP(N1686,'Classificação'!A:A,'Classificação'!B:B),"")</f>
        <v>DESPESAS COM PESSOAL</v>
      </c>
      <c r="R1686" s="15" t="str">
        <f t="array" ref="R1686">IFERROR(XLOOKUP(Q1686,'Classificação'!B:B,'Classificação'!C:C),"")</f>
        <v>DESPESAS FIXAS (-)</v>
      </c>
      <c r="S1686" s="15">
        <f t="shared" si="91"/>
        <v>22</v>
      </c>
      <c r="T1686" s="15">
        <f t="shared" si="6"/>
        <v>8</v>
      </c>
      <c r="U1686" s="15">
        <f t="shared" si="7"/>
        <v>2025</v>
      </c>
      <c r="V1686" s="15">
        <f t="shared" si="8"/>
        <v>22</v>
      </c>
      <c r="W1686" s="15">
        <f t="shared" si="9"/>
        <v>8</v>
      </c>
      <c r="X1686" s="15">
        <f t="shared" si="10"/>
        <v>2025</v>
      </c>
    </row>
    <row r="1687">
      <c r="A1687" s="9">
        <v>45891.0</v>
      </c>
      <c r="B1687" s="9">
        <v>45553.0</v>
      </c>
      <c r="C1687" s="9">
        <f t="shared" si="90"/>
        <v>45891</v>
      </c>
      <c r="D1687" s="11" t="s">
        <v>313</v>
      </c>
      <c r="E1687" s="11" t="s">
        <v>25</v>
      </c>
      <c r="F1687" s="11" t="s">
        <v>26</v>
      </c>
      <c r="G1687" s="11" t="s">
        <v>37</v>
      </c>
      <c r="H1687" s="11" t="s">
        <v>327</v>
      </c>
      <c r="I1687" s="12">
        <v>250.0</v>
      </c>
      <c r="J1687" s="13"/>
      <c r="K1687" s="13">
        <f t="shared" si="98"/>
        <v>250</v>
      </c>
      <c r="L1687" s="11" t="s">
        <v>53</v>
      </c>
      <c r="M1687" s="17">
        <v>45637.0</v>
      </c>
      <c r="N1687" s="11" t="s">
        <v>95</v>
      </c>
      <c r="O1687" s="10" t="str">
        <f t="shared" si="79"/>
        <v>08/2025</v>
      </c>
      <c r="P1687" s="10" t="str">
        <f t="shared" si="81"/>
        <v>08/2025</v>
      </c>
      <c r="Q1687" s="15" t="str">
        <f t="array" ref="Q1687">IFERROR(XLOOKUP(N1687,'Classificação'!A:A,'Classificação'!B:B),"")</f>
        <v>DESPESAS NÃO OPERACIONAIS</v>
      </c>
      <c r="R1687" s="15" t="str">
        <f t="array" ref="R1687">IFERROR(XLOOKUP(Q1687,'Classificação'!B:B,'Classificação'!C:C),"")</f>
        <v>RESULTADO NÃO OPERACIONAL (+/-)</v>
      </c>
      <c r="S1687" s="15">
        <f t="shared" si="91"/>
        <v>22</v>
      </c>
      <c r="T1687" s="15">
        <f t="shared" si="6"/>
        <v>8</v>
      </c>
      <c r="U1687" s="15">
        <f t="shared" si="7"/>
        <v>2025</v>
      </c>
      <c r="V1687" s="15">
        <f t="shared" si="8"/>
        <v>22</v>
      </c>
      <c r="W1687" s="15">
        <f t="shared" si="9"/>
        <v>8</v>
      </c>
      <c r="X1687" s="15">
        <f t="shared" si="10"/>
        <v>2025</v>
      </c>
    </row>
    <row r="1688">
      <c r="A1688" s="9">
        <v>45891.0</v>
      </c>
      <c r="B1688" s="32">
        <v>45611.0</v>
      </c>
      <c r="C1688" s="9">
        <f t="shared" si="90"/>
        <v>45891</v>
      </c>
      <c r="D1688" s="11" t="s">
        <v>361</v>
      </c>
      <c r="E1688" s="11" t="s">
        <v>25</v>
      </c>
      <c r="F1688" s="29" t="s">
        <v>26</v>
      </c>
      <c r="G1688" s="11" t="s">
        <v>37</v>
      </c>
      <c r="H1688" s="11" t="s">
        <v>362</v>
      </c>
      <c r="I1688" s="12">
        <v>180.07</v>
      </c>
      <c r="J1688" s="13"/>
      <c r="K1688" s="13">
        <f t="shared" si="98"/>
        <v>180.07</v>
      </c>
      <c r="L1688" s="11" t="s">
        <v>53</v>
      </c>
      <c r="M1688" s="17">
        <v>45636.0</v>
      </c>
      <c r="N1688" s="11" t="s">
        <v>61</v>
      </c>
      <c r="O1688" s="10" t="str">
        <f t="shared" si="79"/>
        <v>08/2025</v>
      </c>
      <c r="P1688" s="10" t="str">
        <f t="shared" si="81"/>
        <v>08/2025</v>
      </c>
      <c r="Q1688" s="15" t="str">
        <f t="array" ref="Q1688">IFERROR(XLOOKUP(N1688,'Classificação'!A:A,'Classificação'!B:B),"")</f>
        <v>DESPESAS ADMINISTRATIVAS</v>
      </c>
      <c r="R1688" s="15" t="str">
        <f t="array" ref="R1688">IFERROR(XLOOKUP(Q1688,'Classificação'!B:B,'Classificação'!C:C),"")</f>
        <v>DESPESAS FIXAS (-)</v>
      </c>
      <c r="S1688" s="15">
        <f t="shared" si="91"/>
        <v>22</v>
      </c>
      <c r="T1688" s="15">
        <f t="shared" si="6"/>
        <v>8</v>
      </c>
      <c r="U1688" s="15">
        <f t="shared" si="7"/>
        <v>2025</v>
      </c>
      <c r="V1688" s="15">
        <f t="shared" si="8"/>
        <v>22</v>
      </c>
      <c r="W1688" s="15">
        <f t="shared" si="9"/>
        <v>8</v>
      </c>
      <c r="X1688" s="15">
        <f t="shared" si="10"/>
        <v>2025</v>
      </c>
    </row>
    <row r="1689">
      <c r="A1689" s="9">
        <v>45891.0</v>
      </c>
      <c r="B1689" s="9">
        <v>45834.0</v>
      </c>
      <c r="C1689" s="9">
        <f t="shared" si="90"/>
        <v>45891</v>
      </c>
      <c r="D1689" s="11" t="s">
        <v>691</v>
      </c>
      <c r="E1689" s="11" t="s">
        <v>25</v>
      </c>
      <c r="F1689" s="11" t="s">
        <v>26</v>
      </c>
      <c r="G1689" s="11" t="s">
        <v>37</v>
      </c>
      <c r="H1689" s="11" t="s">
        <v>920</v>
      </c>
      <c r="I1689" s="12">
        <v>196.53</v>
      </c>
      <c r="J1689" s="13"/>
      <c r="K1689" s="13">
        <f t="shared" si="98"/>
        <v>196.53</v>
      </c>
      <c r="L1689" s="11" t="s">
        <v>53</v>
      </c>
      <c r="M1689" s="17">
        <v>45810.0</v>
      </c>
      <c r="N1689" s="11" t="s">
        <v>61</v>
      </c>
      <c r="O1689" s="10" t="str">
        <f t="shared" si="79"/>
        <v>08/2025</v>
      </c>
      <c r="P1689" s="10" t="str">
        <f t="shared" si="81"/>
        <v>08/2025</v>
      </c>
      <c r="Q1689" s="15" t="str">
        <f t="array" ref="Q1689">IFERROR(XLOOKUP(N1689,'Classificação'!A:A,'Classificação'!B:B),"")</f>
        <v>DESPESAS ADMINISTRATIVAS</v>
      </c>
      <c r="R1689" s="15" t="str">
        <f t="array" ref="R1689">IFERROR(XLOOKUP(Q1689,'Classificação'!B:B,'Classificação'!C:C),"")</f>
        <v>DESPESAS FIXAS (-)</v>
      </c>
      <c r="S1689" s="15">
        <f t="shared" si="91"/>
        <v>22</v>
      </c>
      <c r="T1689" s="15">
        <f t="shared" si="6"/>
        <v>8</v>
      </c>
      <c r="U1689" s="15">
        <f t="shared" si="7"/>
        <v>2025</v>
      </c>
      <c r="V1689" s="15">
        <f t="shared" si="8"/>
        <v>22</v>
      </c>
      <c r="W1689" s="15">
        <f t="shared" si="9"/>
        <v>8</v>
      </c>
      <c r="X1689" s="15">
        <f t="shared" si="10"/>
        <v>2025</v>
      </c>
    </row>
    <row r="1690">
      <c r="A1690" s="9">
        <v>45891.0</v>
      </c>
      <c r="B1690" s="10"/>
      <c r="C1690" s="9">
        <f t="shared" si="90"/>
        <v>45891</v>
      </c>
      <c r="D1690" s="11" t="s">
        <v>570</v>
      </c>
      <c r="E1690" s="11" t="s">
        <v>25</v>
      </c>
      <c r="F1690" s="11" t="s">
        <v>26</v>
      </c>
      <c r="G1690" s="11" t="s">
        <v>37</v>
      </c>
      <c r="H1690" s="11" t="s">
        <v>921</v>
      </c>
      <c r="I1690" s="12">
        <v>29.69</v>
      </c>
      <c r="J1690" s="13"/>
      <c r="K1690" s="13">
        <f t="shared" si="98"/>
        <v>29.69</v>
      </c>
      <c r="L1690" s="11" t="s">
        <v>34</v>
      </c>
      <c r="M1690" s="14"/>
      <c r="N1690" s="11" t="s">
        <v>105</v>
      </c>
      <c r="O1690" s="10" t="str">
        <f t="shared" si="79"/>
        <v>08/2025</v>
      </c>
      <c r="P1690" s="10" t="str">
        <f t="shared" si="81"/>
        <v>08/2025</v>
      </c>
      <c r="Q1690" s="15" t="str">
        <f t="array" ref="Q1690">IFERROR(XLOOKUP(N1690,'Classificação'!A:A,'Classificação'!B:B),"")</f>
        <v>DESPESAS ADMINISTRATIVAS</v>
      </c>
      <c r="R1690" s="15" t="str">
        <f t="array" ref="R1690">IFERROR(XLOOKUP(Q1690,'Classificação'!B:B,'Classificação'!C:C),"")</f>
        <v>DESPESAS FIXAS (-)</v>
      </c>
      <c r="S1690" s="15">
        <f t="shared" si="91"/>
        <v>22</v>
      </c>
      <c r="T1690" s="15">
        <f t="shared" si="6"/>
        <v>8</v>
      </c>
      <c r="U1690" s="15">
        <f t="shared" si="7"/>
        <v>2025</v>
      </c>
      <c r="V1690" s="15">
        <f t="shared" si="8"/>
        <v>22</v>
      </c>
      <c r="W1690" s="15">
        <f t="shared" si="9"/>
        <v>8</v>
      </c>
      <c r="X1690" s="15">
        <f t="shared" si="10"/>
        <v>2025</v>
      </c>
    </row>
    <row r="1691">
      <c r="A1691" s="9">
        <v>45891.0</v>
      </c>
      <c r="B1691" s="10"/>
      <c r="C1691" s="9">
        <f t="shared" si="90"/>
        <v>45891</v>
      </c>
      <c r="D1691" s="11" t="s">
        <v>828</v>
      </c>
      <c r="E1691" s="11" t="s">
        <v>25</v>
      </c>
      <c r="F1691" s="11" t="s">
        <v>26</v>
      </c>
      <c r="G1691" s="11" t="s">
        <v>37</v>
      </c>
      <c r="H1691" s="11" t="s">
        <v>922</v>
      </c>
      <c r="I1691" s="12">
        <v>114.07</v>
      </c>
      <c r="J1691" s="13"/>
      <c r="K1691" s="13">
        <f t="shared" si="98"/>
        <v>114.07</v>
      </c>
      <c r="L1691" s="11" t="s">
        <v>34</v>
      </c>
      <c r="M1691" s="14"/>
      <c r="N1691" s="11" t="s">
        <v>105</v>
      </c>
      <c r="O1691" s="10" t="str">
        <f t="shared" si="79"/>
        <v>08/2025</v>
      </c>
      <c r="P1691" s="10" t="str">
        <f t="shared" si="81"/>
        <v>08/2025</v>
      </c>
      <c r="Q1691" s="15" t="str">
        <f t="array" ref="Q1691">IFERROR(XLOOKUP(N1691,'Classificação'!A:A,'Classificação'!B:B),"")</f>
        <v>DESPESAS ADMINISTRATIVAS</v>
      </c>
      <c r="R1691" s="15" t="str">
        <f t="array" ref="R1691">IFERROR(XLOOKUP(Q1691,'Classificação'!B:B,'Classificação'!C:C),"")</f>
        <v>DESPESAS FIXAS (-)</v>
      </c>
      <c r="S1691" s="15">
        <f t="shared" si="91"/>
        <v>22</v>
      </c>
      <c r="T1691" s="15">
        <f t="shared" si="6"/>
        <v>8</v>
      </c>
      <c r="U1691" s="15">
        <f t="shared" si="7"/>
        <v>2025</v>
      </c>
      <c r="V1691" s="15">
        <f t="shared" si="8"/>
        <v>22</v>
      </c>
      <c r="W1691" s="15">
        <f t="shared" si="9"/>
        <v>8</v>
      </c>
      <c r="X1691" s="15">
        <f t="shared" si="10"/>
        <v>2025</v>
      </c>
    </row>
    <row r="1692">
      <c r="A1692" s="9">
        <v>45891.0</v>
      </c>
      <c r="B1692" s="10"/>
      <c r="C1692" s="9">
        <f t="shared" si="90"/>
        <v>45891</v>
      </c>
      <c r="D1692" s="11" t="s">
        <v>179</v>
      </c>
      <c r="E1692" s="11" t="s">
        <v>25</v>
      </c>
      <c r="F1692" s="11" t="s">
        <v>26</v>
      </c>
      <c r="G1692" s="11" t="s">
        <v>37</v>
      </c>
      <c r="H1692" s="11" t="s">
        <v>923</v>
      </c>
      <c r="I1692" s="12">
        <v>246.79</v>
      </c>
      <c r="J1692" s="13"/>
      <c r="K1692" s="13">
        <f t="shared" si="98"/>
        <v>246.79</v>
      </c>
      <c r="L1692" s="11" t="s">
        <v>34</v>
      </c>
      <c r="M1692" s="14"/>
      <c r="N1692" s="11" t="s">
        <v>181</v>
      </c>
      <c r="O1692" s="10" t="str">
        <f t="shared" si="79"/>
        <v>08/2025</v>
      </c>
      <c r="P1692" s="10" t="str">
        <f t="shared" si="81"/>
        <v>08/2025</v>
      </c>
      <c r="Q1692" s="15" t="str">
        <f t="array" ref="Q1692">IFERROR(XLOOKUP(N1692,'Classificação'!A:A,'Classificação'!B:B),"")</f>
        <v>DESPESAS COM VEICULOS</v>
      </c>
      <c r="R1692" s="15" t="str">
        <f t="array" ref="R1692">IFERROR(XLOOKUP(Q1692,'Classificação'!B:B,'Classificação'!C:C),"")</f>
        <v>DESPESAS FIXAS (-)</v>
      </c>
      <c r="S1692" s="15">
        <f t="shared" si="91"/>
        <v>22</v>
      </c>
      <c r="T1692" s="15">
        <f t="shared" si="6"/>
        <v>8</v>
      </c>
      <c r="U1692" s="15">
        <f t="shared" si="7"/>
        <v>2025</v>
      </c>
      <c r="V1692" s="15">
        <f t="shared" si="8"/>
        <v>22</v>
      </c>
      <c r="W1692" s="15">
        <f t="shared" si="9"/>
        <v>8</v>
      </c>
      <c r="X1692" s="15">
        <f t="shared" si="10"/>
        <v>2025</v>
      </c>
    </row>
    <row r="1693">
      <c r="A1693" s="9">
        <v>45894.0</v>
      </c>
      <c r="B1693" s="10"/>
      <c r="C1693" s="9">
        <f t="shared" si="90"/>
        <v>45894</v>
      </c>
      <c r="D1693" s="11" t="s">
        <v>39</v>
      </c>
      <c r="E1693" s="11" t="s">
        <v>25</v>
      </c>
      <c r="F1693" s="11" t="s">
        <v>40</v>
      </c>
      <c r="G1693" s="11" t="s">
        <v>27</v>
      </c>
      <c r="H1693" s="11" t="s">
        <v>640</v>
      </c>
      <c r="I1693" s="12">
        <v>142.68</v>
      </c>
      <c r="J1693" s="13"/>
      <c r="K1693" s="13">
        <f t="shared" si="98"/>
        <v>142.68</v>
      </c>
      <c r="L1693" s="11" t="s">
        <v>53</v>
      </c>
      <c r="M1693" s="17">
        <v>45936.0</v>
      </c>
      <c r="N1693" s="11" t="s">
        <v>355</v>
      </c>
      <c r="O1693" s="10" t="str">
        <f t="shared" si="79"/>
        <v>08/2025</v>
      </c>
      <c r="P1693" s="10" t="str">
        <f t="shared" si="81"/>
        <v>08/2025</v>
      </c>
      <c r="Q1693" s="15" t="str">
        <f t="array" ref="Q1693">IFERROR(XLOOKUP(N1693,'Classificação'!A:A,'Classificação'!B:B),"")</f>
        <v>IMPOSTOS E TAXAS DIVERSAS</v>
      </c>
      <c r="R1693" s="15" t="str">
        <f t="array" ref="R1693">IFERROR(XLOOKUP(Q1693,'Classificação'!B:B,'Classificação'!C:C),"")</f>
        <v>DESPESAS FIXAS (-)</v>
      </c>
      <c r="S1693" s="15">
        <f t="shared" si="91"/>
        <v>25</v>
      </c>
      <c r="T1693" s="15">
        <f t="shared" si="6"/>
        <v>8</v>
      </c>
      <c r="U1693" s="15">
        <f t="shared" si="7"/>
        <v>2025</v>
      </c>
      <c r="V1693" s="15">
        <f t="shared" si="8"/>
        <v>25</v>
      </c>
      <c r="W1693" s="15">
        <f t="shared" si="9"/>
        <v>8</v>
      </c>
      <c r="X1693" s="15">
        <f t="shared" si="10"/>
        <v>2025</v>
      </c>
    </row>
    <row r="1694">
      <c r="A1694" s="9">
        <v>45894.0</v>
      </c>
      <c r="B1694" s="10"/>
      <c r="C1694" s="9">
        <f t="shared" si="90"/>
        <v>45894</v>
      </c>
      <c r="D1694" s="11" t="s">
        <v>208</v>
      </c>
      <c r="E1694" s="11" t="s">
        <v>25</v>
      </c>
      <c r="F1694" s="11" t="s">
        <v>40</v>
      </c>
      <c r="G1694" s="11" t="s">
        <v>37</v>
      </c>
      <c r="H1694" s="11" t="s">
        <v>924</v>
      </c>
      <c r="I1694" s="12">
        <v>218.65</v>
      </c>
      <c r="J1694" s="13"/>
      <c r="K1694" s="13">
        <f t="shared" si="98"/>
        <v>218.65</v>
      </c>
      <c r="L1694" s="11" t="s">
        <v>29</v>
      </c>
      <c r="M1694" s="14"/>
      <c r="N1694" s="11" t="s">
        <v>210</v>
      </c>
      <c r="O1694" s="10" t="str">
        <f t="shared" si="79"/>
        <v>08/2025</v>
      </c>
      <c r="P1694" s="10" t="str">
        <f t="shared" si="81"/>
        <v>08/2025</v>
      </c>
      <c r="Q1694" s="15" t="str">
        <f t="array" ref="Q1694">IFERROR(XLOOKUP(N1694,'Classificação'!A:A,'Classificação'!B:B),"")</f>
        <v>DESPESAS COM OCUPAÇÃO</v>
      </c>
      <c r="R1694" s="15" t="str">
        <f t="array" ref="R1694">IFERROR(XLOOKUP(Q1694,'Classificação'!B:B,'Classificação'!C:C),"")</f>
        <v>DESPESAS FIXAS (-)</v>
      </c>
      <c r="S1694" s="15">
        <f t="shared" si="91"/>
        <v>25</v>
      </c>
      <c r="T1694" s="15">
        <f t="shared" si="6"/>
        <v>8</v>
      </c>
      <c r="U1694" s="15">
        <f t="shared" si="7"/>
        <v>2025</v>
      </c>
      <c r="V1694" s="15">
        <f t="shared" si="8"/>
        <v>25</v>
      </c>
      <c r="W1694" s="15">
        <f t="shared" si="9"/>
        <v>8</v>
      </c>
      <c r="X1694" s="15">
        <f t="shared" si="10"/>
        <v>2025</v>
      </c>
    </row>
    <row r="1695">
      <c r="A1695" s="9">
        <v>45894.0</v>
      </c>
      <c r="B1695" s="10"/>
      <c r="C1695" s="9">
        <f t="shared" si="90"/>
        <v>45894</v>
      </c>
      <c r="D1695" s="28" t="s">
        <v>76</v>
      </c>
      <c r="E1695" s="29" t="s">
        <v>25</v>
      </c>
      <c r="F1695" s="28" t="s">
        <v>26</v>
      </c>
      <c r="G1695" s="29" t="s">
        <v>37</v>
      </c>
      <c r="H1695" s="28" t="s">
        <v>84</v>
      </c>
      <c r="I1695" s="24">
        <v>1214.27</v>
      </c>
      <c r="J1695" s="13"/>
      <c r="K1695" s="13">
        <f t="shared" si="98"/>
        <v>1214.27</v>
      </c>
      <c r="L1695" s="28" t="s">
        <v>53</v>
      </c>
      <c r="M1695" s="16" t="s">
        <v>897</v>
      </c>
      <c r="N1695" s="28" t="s">
        <v>85</v>
      </c>
      <c r="O1695" s="10" t="str">
        <f t="shared" si="79"/>
        <v>08/2025</v>
      </c>
      <c r="P1695" s="10" t="str">
        <f t="shared" si="81"/>
        <v>08/2025</v>
      </c>
      <c r="Q1695" s="15" t="str">
        <f t="array" ref="Q1695">IFERROR(XLOOKUP(N1695,'Classificação'!A:A,'Classificação'!B:B),"")</f>
        <v>DESPESAS NÃO OPERACIONAIS</v>
      </c>
      <c r="R1695" s="15" t="str">
        <f t="array" ref="R1695">IFERROR(XLOOKUP(Q1695,'Classificação'!B:B,'Classificação'!C:C),"")</f>
        <v>RESULTADO NÃO OPERACIONAL (+/-)</v>
      </c>
      <c r="S1695" s="15">
        <f t="shared" si="91"/>
        <v>25</v>
      </c>
      <c r="T1695" s="15">
        <f t="shared" si="6"/>
        <v>8</v>
      </c>
      <c r="U1695" s="15">
        <f t="shared" si="7"/>
        <v>2025</v>
      </c>
      <c r="V1695" s="15">
        <f t="shared" si="8"/>
        <v>25</v>
      </c>
      <c r="W1695" s="15">
        <f t="shared" si="9"/>
        <v>8</v>
      </c>
      <c r="X1695" s="15">
        <f t="shared" si="10"/>
        <v>2025</v>
      </c>
    </row>
    <row r="1696">
      <c r="A1696" s="9">
        <v>45895.0</v>
      </c>
      <c r="B1696" s="10"/>
      <c r="C1696" s="9">
        <f t="shared" si="90"/>
        <v>45895</v>
      </c>
      <c r="D1696" s="11" t="s">
        <v>44</v>
      </c>
      <c r="E1696" s="11" t="s">
        <v>25</v>
      </c>
      <c r="F1696" s="11" t="s">
        <v>45</v>
      </c>
      <c r="G1696" s="11" t="s">
        <v>27</v>
      </c>
      <c r="H1696" s="11" t="s">
        <v>925</v>
      </c>
      <c r="I1696" s="12">
        <v>74.64</v>
      </c>
      <c r="J1696" s="13"/>
      <c r="K1696" s="13">
        <f t="shared" si="98"/>
        <v>74.64</v>
      </c>
      <c r="L1696" s="11" t="s">
        <v>29</v>
      </c>
      <c r="M1696" s="14"/>
      <c r="N1696" s="11" t="s">
        <v>47</v>
      </c>
      <c r="O1696" s="10" t="str">
        <f t="shared" si="79"/>
        <v>08/2025</v>
      </c>
      <c r="P1696" s="10" t="str">
        <f t="shared" si="81"/>
        <v>08/2025</v>
      </c>
      <c r="Q1696" s="15" t="str">
        <f t="array" ref="Q1696">IFERROR(XLOOKUP(N1696,'Classificação'!A:A,'Classificação'!B:B),"")</f>
        <v>DESPESAS NÃO OPERACIONAIS</v>
      </c>
      <c r="R1696" s="15" t="str">
        <f t="array" ref="R1696">IFERROR(XLOOKUP(Q1696,'Classificação'!B:B,'Classificação'!C:C),"")</f>
        <v>RESULTADO NÃO OPERACIONAL (+/-)</v>
      </c>
      <c r="S1696" s="15">
        <f t="shared" si="91"/>
        <v>26</v>
      </c>
      <c r="T1696" s="15">
        <f t="shared" si="6"/>
        <v>8</v>
      </c>
      <c r="U1696" s="15">
        <f t="shared" si="7"/>
        <v>2025</v>
      </c>
      <c r="V1696" s="15">
        <f t="shared" si="8"/>
        <v>26</v>
      </c>
      <c r="W1696" s="15">
        <f t="shared" si="9"/>
        <v>8</v>
      </c>
      <c r="X1696" s="15">
        <f t="shared" si="10"/>
        <v>2025</v>
      </c>
    </row>
    <row r="1697">
      <c r="A1697" s="9">
        <v>45895.0</v>
      </c>
      <c r="B1697" s="10"/>
      <c r="C1697" s="9">
        <f t="shared" si="90"/>
        <v>45895</v>
      </c>
      <c r="D1697" s="11" t="s">
        <v>44</v>
      </c>
      <c r="E1697" s="11" t="s">
        <v>25</v>
      </c>
      <c r="F1697" s="11" t="s">
        <v>45</v>
      </c>
      <c r="G1697" s="11" t="s">
        <v>27</v>
      </c>
      <c r="H1697" s="11" t="s">
        <v>926</v>
      </c>
      <c r="I1697" s="12">
        <v>27.07</v>
      </c>
      <c r="J1697" s="13"/>
      <c r="K1697" s="13">
        <f t="shared" si="98"/>
        <v>27.07</v>
      </c>
      <c r="L1697" s="11" t="s">
        <v>34</v>
      </c>
      <c r="M1697" s="14"/>
      <c r="N1697" s="11" t="s">
        <v>47</v>
      </c>
      <c r="O1697" s="10" t="str">
        <f t="shared" si="79"/>
        <v>08/2025</v>
      </c>
      <c r="P1697" s="10" t="str">
        <f t="shared" si="81"/>
        <v>08/2025</v>
      </c>
      <c r="Q1697" s="15" t="str">
        <f t="array" ref="Q1697">IFERROR(XLOOKUP(N1697,'Classificação'!A:A,'Classificação'!B:B),"")</f>
        <v>DESPESAS NÃO OPERACIONAIS</v>
      </c>
      <c r="R1697" s="15" t="str">
        <f t="array" ref="R1697">IFERROR(XLOOKUP(Q1697,'Classificação'!B:B,'Classificação'!C:C),"")</f>
        <v>RESULTADO NÃO OPERACIONAL (+/-)</v>
      </c>
      <c r="S1697" s="15">
        <f t="shared" si="91"/>
        <v>26</v>
      </c>
      <c r="T1697" s="15">
        <f t="shared" si="6"/>
        <v>8</v>
      </c>
      <c r="U1697" s="15">
        <f t="shared" si="7"/>
        <v>2025</v>
      </c>
      <c r="V1697" s="15">
        <f t="shared" si="8"/>
        <v>26</v>
      </c>
      <c r="W1697" s="15">
        <f t="shared" si="9"/>
        <v>8</v>
      </c>
      <c r="X1697" s="15">
        <f t="shared" si="10"/>
        <v>2025</v>
      </c>
    </row>
    <row r="1698">
      <c r="A1698" s="9">
        <v>45898.0</v>
      </c>
      <c r="B1698" s="10"/>
      <c r="C1698" s="9">
        <f t="shared" si="90"/>
        <v>45898</v>
      </c>
      <c r="D1698" s="11" t="s">
        <v>83</v>
      </c>
      <c r="E1698" s="11" t="s">
        <v>25</v>
      </c>
      <c r="F1698" s="11" t="s">
        <v>87</v>
      </c>
      <c r="G1698" s="11" t="s">
        <v>27</v>
      </c>
      <c r="H1698" s="11" t="s">
        <v>927</v>
      </c>
      <c r="I1698" s="12">
        <v>2654.77</v>
      </c>
      <c r="J1698" s="13"/>
      <c r="K1698" s="13">
        <f t="shared" si="98"/>
        <v>2654.77</v>
      </c>
      <c r="L1698" s="11" t="s">
        <v>34</v>
      </c>
      <c r="M1698" s="14"/>
      <c r="N1698" s="11" t="s">
        <v>856</v>
      </c>
      <c r="O1698" s="10" t="str">
        <f t="shared" si="79"/>
        <v>08/2025</v>
      </c>
      <c r="P1698" s="10" t="str">
        <f t="shared" si="81"/>
        <v>08/2025</v>
      </c>
      <c r="Q1698" s="15" t="str">
        <f t="array" ref="Q1698">IFERROR(XLOOKUP(N1698,'Classificação'!A:A,'Classificação'!B:B),"")</f>
        <v>DESPESAS COM PESSOAL</v>
      </c>
      <c r="R1698" s="15" t="str">
        <f t="array" ref="R1698">IFERROR(XLOOKUP(Q1698,'Classificação'!B:B,'Classificação'!C:C),"")</f>
        <v>DESPESAS FIXAS (-)</v>
      </c>
      <c r="S1698" s="15">
        <f t="shared" si="91"/>
        <v>29</v>
      </c>
      <c r="T1698" s="15">
        <f t="shared" si="6"/>
        <v>8</v>
      </c>
      <c r="U1698" s="15">
        <f t="shared" si="7"/>
        <v>2025</v>
      </c>
      <c r="V1698" s="15">
        <f t="shared" si="8"/>
        <v>29</v>
      </c>
      <c r="W1698" s="15">
        <f t="shared" si="9"/>
        <v>8</v>
      </c>
      <c r="X1698" s="15">
        <f t="shared" si="10"/>
        <v>2025</v>
      </c>
    </row>
    <row r="1699">
      <c r="A1699" s="9">
        <v>45898.0</v>
      </c>
      <c r="B1699" s="10"/>
      <c r="C1699" s="9">
        <f t="shared" si="90"/>
        <v>45898</v>
      </c>
      <c r="D1699" s="11" t="s">
        <v>223</v>
      </c>
      <c r="E1699" s="11" t="s">
        <v>25</v>
      </c>
      <c r="F1699" s="11" t="s">
        <v>32</v>
      </c>
      <c r="G1699" s="11" t="s">
        <v>37</v>
      </c>
      <c r="I1699" s="12">
        <v>150.0</v>
      </c>
      <c r="J1699" s="13"/>
      <c r="K1699" s="13">
        <f t="shared" si="98"/>
        <v>150</v>
      </c>
      <c r="L1699" s="11" t="s">
        <v>29</v>
      </c>
      <c r="M1699" s="14"/>
      <c r="N1699" s="11" t="s">
        <v>224</v>
      </c>
      <c r="O1699" s="10" t="str">
        <f t="shared" si="79"/>
        <v>08/2025</v>
      </c>
      <c r="P1699" s="10" t="str">
        <f t="shared" si="81"/>
        <v>08/2025</v>
      </c>
      <c r="Q1699" s="15" t="str">
        <f t="array" ref="Q1699">IFERROR(XLOOKUP(N1699,'Classificação'!A:A,'Classificação'!B:B),"")</f>
        <v>DESPESAS ADMINISTRATIVAS</v>
      </c>
      <c r="R1699" s="15" t="str">
        <f t="array" ref="R1699">IFERROR(XLOOKUP(Q1699,'Classificação'!B:B,'Classificação'!C:C),"")</f>
        <v>DESPESAS FIXAS (-)</v>
      </c>
      <c r="S1699" s="15">
        <f t="shared" si="91"/>
        <v>29</v>
      </c>
      <c r="T1699" s="15">
        <f t="shared" si="6"/>
        <v>8</v>
      </c>
      <c r="U1699" s="15">
        <f t="shared" si="7"/>
        <v>2025</v>
      </c>
      <c r="V1699" s="15">
        <f t="shared" si="8"/>
        <v>29</v>
      </c>
      <c r="W1699" s="15">
        <f t="shared" si="9"/>
        <v>8</v>
      </c>
      <c r="X1699" s="15">
        <f t="shared" si="10"/>
        <v>2025</v>
      </c>
    </row>
    <row r="1700">
      <c r="A1700" s="9">
        <v>45898.0</v>
      </c>
      <c r="B1700" s="10"/>
      <c r="C1700" s="9">
        <f t="shared" si="90"/>
        <v>45898</v>
      </c>
      <c r="D1700" s="11" t="s">
        <v>221</v>
      </c>
      <c r="E1700" s="11" t="s">
        <v>25</v>
      </c>
      <c r="F1700" s="11" t="s">
        <v>32</v>
      </c>
      <c r="G1700" s="11" t="s">
        <v>27</v>
      </c>
      <c r="H1700" s="11" t="s">
        <v>222</v>
      </c>
      <c r="I1700" s="12">
        <v>360.54</v>
      </c>
      <c r="J1700" s="13"/>
      <c r="K1700" s="13">
        <f t="shared" si="98"/>
        <v>360.54</v>
      </c>
      <c r="L1700" s="11" t="s">
        <v>29</v>
      </c>
      <c r="M1700" s="14"/>
      <c r="N1700" s="11" t="s">
        <v>61</v>
      </c>
      <c r="O1700" s="10" t="str">
        <f t="shared" si="79"/>
        <v>08/2025</v>
      </c>
      <c r="P1700" s="10" t="str">
        <f t="shared" si="81"/>
        <v>08/2025</v>
      </c>
      <c r="Q1700" s="15" t="str">
        <f t="array" ref="Q1700">IFERROR(XLOOKUP(N1700,'Classificação'!A:A,'Classificação'!B:B),"")</f>
        <v>DESPESAS ADMINISTRATIVAS</v>
      </c>
      <c r="R1700" s="15" t="str">
        <f t="array" ref="R1700">IFERROR(XLOOKUP(Q1700,'Classificação'!B:B,'Classificação'!C:C),"")</f>
        <v>DESPESAS FIXAS (-)</v>
      </c>
      <c r="S1700" s="15">
        <f t="shared" si="91"/>
        <v>29</v>
      </c>
      <c r="T1700" s="15">
        <f t="shared" si="6"/>
        <v>8</v>
      </c>
      <c r="U1700" s="15">
        <f t="shared" si="7"/>
        <v>2025</v>
      </c>
      <c r="V1700" s="15">
        <f t="shared" si="8"/>
        <v>29</v>
      </c>
      <c r="W1700" s="15">
        <f t="shared" si="9"/>
        <v>8</v>
      </c>
      <c r="X1700" s="15">
        <f t="shared" si="10"/>
        <v>2025</v>
      </c>
    </row>
    <row r="1701">
      <c r="A1701" s="9">
        <v>45898.0</v>
      </c>
      <c r="B1701" s="10"/>
      <c r="C1701" s="9">
        <f t="shared" si="90"/>
        <v>45898</v>
      </c>
      <c r="D1701" s="11" t="s">
        <v>80</v>
      </c>
      <c r="E1701" s="11" t="s">
        <v>25</v>
      </c>
      <c r="F1701" s="11" t="s">
        <v>32</v>
      </c>
      <c r="G1701" s="11" t="s">
        <v>27</v>
      </c>
      <c r="H1701" s="11" t="s">
        <v>225</v>
      </c>
      <c r="I1701" s="12">
        <v>1017.27</v>
      </c>
      <c r="J1701" s="13"/>
      <c r="K1701" s="13">
        <f t="shared" si="98"/>
        <v>1017.27</v>
      </c>
      <c r="L1701" s="11" t="s">
        <v>29</v>
      </c>
      <c r="M1701" s="14"/>
      <c r="N1701" s="11" t="s">
        <v>38</v>
      </c>
      <c r="O1701" s="10" t="str">
        <f t="shared" si="79"/>
        <v>08/2025</v>
      </c>
      <c r="P1701" s="10" t="str">
        <f t="shared" si="81"/>
        <v>08/2025</v>
      </c>
      <c r="Q1701" s="15" t="str">
        <f t="array" ref="Q1701">IFERROR(XLOOKUP(N1701,'Classificação'!A:A,'Classificação'!B:B),"")</f>
        <v>DESPESAS COM PESSOAL</v>
      </c>
      <c r="R1701" s="15" t="str">
        <f t="array" ref="R1701">IFERROR(XLOOKUP(Q1701,'Classificação'!B:B,'Classificação'!C:C),"")</f>
        <v>DESPESAS FIXAS (-)</v>
      </c>
      <c r="S1701" s="15">
        <f t="shared" si="91"/>
        <v>29</v>
      </c>
      <c r="T1701" s="15">
        <f t="shared" si="6"/>
        <v>8</v>
      </c>
      <c r="U1701" s="15">
        <f t="shared" si="7"/>
        <v>2025</v>
      </c>
      <c r="V1701" s="15">
        <f t="shared" si="8"/>
        <v>29</v>
      </c>
      <c r="W1701" s="15">
        <f t="shared" si="9"/>
        <v>8</v>
      </c>
      <c r="X1701" s="15">
        <f t="shared" si="10"/>
        <v>2025</v>
      </c>
    </row>
    <row r="1702">
      <c r="A1702" s="9">
        <v>45898.0</v>
      </c>
      <c r="B1702" s="10"/>
      <c r="C1702" s="9">
        <f t="shared" si="90"/>
        <v>45898</v>
      </c>
      <c r="D1702" s="11" t="s">
        <v>83</v>
      </c>
      <c r="E1702" s="11" t="s">
        <v>25</v>
      </c>
      <c r="F1702" s="11" t="s">
        <v>40</v>
      </c>
      <c r="G1702" s="11" t="s">
        <v>27</v>
      </c>
      <c r="I1702" s="12">
        <v>550.0</v>
      </c>
      <c r="J1702" s="13"/>
      <c r="K1702" s="13">
        <f t="shared" si="98"/>
        <v>550</v>
      </c>
      <c r="L1702" s="11" t="s">
        <v>29</v>
      </c>
      <c r="M1702" s="14"/>
      <c r="N1702" s="11" t="s">
        <v>204</v>
      </c>
      <c r="O1702" s="10" t="str">
        <f t="shared" si="79"/>
        <v>08/2025</v>
      </c>
      <c r="P1702" s="10" t="str">
        <f t="shared" si="81"/>
        <v>08/2025</v>
      </c>
      <c r="Q1702" s="15" t="str">
        <f t="array" ref="Q1702">IFERROR(XLOOKUP(N1702,'Classificação'!A:A,'Classificação'!B:B),"")</f>
        <v>DESPESAS COM PESSOAL</v>
      </c>
      <c r="R1702" s="15" t="str">
        <f t="array" ref="R1702">IFERROR(XLOOKUP(Q1702,'Classificação'!B:B,'Classificação'!C:C),"")</f>
        <v>DESPESAS FIXAS (-)</v>
      </c>
      <c r="S1702" s="15">
        <f t="shared" si="91"/>
        <v>29</v>
      </c>
      <c r="T1702" s="15">
        <f t="shared" si="6"/>
        <v>8</v>
      </c>
      <c r="U1702" s="15">
        <f t="shared" si="7"/>
        <v>2025</v>
      </c>
      <c r="V1702" s="15">
        <f t="shared" si="8"/>
        <v>29</v>
      </c>
      <c r="W1702" s="15">
        <f t="shared" si="9"/>
        <v>8</v>
      </c>
      <c r="X1702" s="15">
        <f t="shared" si="10"/>
        <v>2025</v>
      </c>
    </row>
    <row r="1703">
      <c r="A1703" s="9">
        <v>45898.0</v>
      </c>
      <c r="B1703" s="10"/>
      <c r="C1703" s="9">
        <f t="shared" si="90"/>
        <v>45898</v>
      </c>
      <c r="D1703" s="11" t="s">
        <v>80</v>
      </c>
      <c r="E1703" s="11" t="s">
        <v>25</v>
      </c>
      <c r="F1703" s="11" t="s">
        <v>40</v>
      </c>
      <c r="G1703" s="11" t="s">
        <v>27</v>
      </c>
      <c r="I1703" s="12">
        <v>550.0</v>
      </c>
      <c r="J1703" s="13"/>
      <c r="K1703" s="13">
        <f t="shared" si="98"/>
        <v>550</v>
      </c>
      <c r="L1703" s="11" t="s">
        <v>29</v>
      </c>
      <c r="M1703" s="14"/>
      <c r="N1703" s="11" t="s">
        <v>204</v>
      </c>
      <c r="O1703" s="10" t="str">
        <f t="shared" si="79"/>
        <v>08/2025</v>
      </c>
      <c r="P1703" s="10" t="str">
        <f t="shared" si="81"/>
        <v>08/2025</v>
      </c>
      <c r="Q1703" s="15" t="str">
        <f t="array" ref="Q1703">IFERROR(XLOOKUP(N1703,'Classificação'!A:A,'Classificação'!B:B),"")</f>
        <v>DESPESAS COM PESSOAL</v>
      </c>
      <c r="R1703" s="15" t="str">
        <f t="array" ref="R1703">IFERROR(XLOOKUP(Q1703,'Classificação'!B:B,'Classificação'!C:C),"")</f>
        <v>DESPESAS FIXAS (-)</v>
      </c>
      <c r="S1703" s="15">
        <f t="shared" si="91"/>
        <v>29</v>
      </c>
      <c r="T1703" s="15">
        <f t="shared" si="6"/>
        <v>8</v>
      </c>
      <c r="U1703" s="15">
        <f t="shared" si="7"/>
        <v>2025</v>
      </c>
      <c r="V1703" s="15">
        <f t="shared" si="8"/>
        <v>29</v>
      </c>
      <c r="W1703" s="15">
        <f t="shared" si="9"/>
        <v>8</v>
      </c>
      <c r="X1703" s="15">
        <f t="shared" si="10"/>
        <v>2025</v>
      </c>
    </row>
    <row r="1704">
      <c r="A1704" s="9">
        <v>45901.0</v>
      </c>
      <c r="B1704" s="10"/>
      <c r="C1704" s="9">
        <f t="shared" si="90"/>
        <v>45901</v>
      </c>
      <c r="D1704" s="11" t="s">
        <v>24</v>
      </c>
      <c r="E1704" s="11" t="s">
        <v>25</v>
      </c>
      <c r="F1704" s="11" t="s">
        <v>26</v>
      </c>
      <c r="G1704" s="11" t="s">
        <v>37</v>
      </c>
      <c r="H1704" s="11" t="s">
        <v>28</v>
      </c>
      <c r="I1704" s="12">
        <v>6385.68</v>
      </c>
      <c r="J1704" s="13"/>
      <c r="K1704" s="13">
        <f t="shared" si="98"/>
        <v>6385.68</v>
      </c>
      <c r="L1704" s="11" t="s">
        <v>29</v>
      </c>
      <c r="M1704" s="14"/>
      <c r="N1704" s="11" t="s">
        <v>30</v>
      </c>
      <c r="O1704" s="10" t="str">
        <f t="shared" si="79"/>
        <v>09/2025</v>
      </c>
      <c r="P1704" s="10" t="str">
        <f t="shared" si="81"/>
        <v>09/2025</v>
      </c>
      <c r="Q1704" s="15" t="str">
        <f t="array" ref="Q1704">IFERROR(XLOOKUP(N1704,'Classificação'!A:A,'Classificação'!B:B),"")</f>
        <v>DESPESAS COM OCUPAÇÃO</v>
      </c>
      <c r="R1704" s="15" t="str">
        <f t="array" ref="R1704">IFERROR(XLOOKUP(Q1704,'Classificação'!B:B,'Classificação'!C:C),"")</f>
        <v>DESPESAS FIXAS (-)</v>
      </c>
      <c r="S1704" s="15">
        <f t="shared" si="91"/>
        <v>1</v>
      </c>
      <c r="T1704" s="15">
        <f t="shared" si="6"/>
        <v>9</v>
      </c>
      <c r="U1704" s="15">
        <f t="shared" si="7"/>
        <v>2025</v>
      </c>
      <c r="V1704" s="15">
        <f t="shared" si="8"/>
        <v>1</v>
      </c>
      <c r="W1704" s="15">
        <f t="shared" si="9"/>
        <v>9</v>
      </c>
      <c r="X1704" s="15">
        <f t="shared" si="10"/>
        <v>2025</v>
      </c>
    </row>
    <row r="1705">
      <c r="A1705" s="9">
        <v>45901.0</v>
      </c>
      <c r="B1705" s="10"/>
      <c r="C1705" s="9">
        <f t="shared" si="90"/>
        <v>45901</v>
      </c>
      <c r="D1705" s="11" t="s">
        <v>288</v>
      </c>
      <c r="E1705" s="11" t="s">
        <v>25</v>
      </c>
      <c r="F1705" s="11" t="s">
        <v>26</v>
      </c>
      <c r="G1705" s="11" t="s">
        <v>37</v>
      </c>
      <c r="H1705" s="11" t="s">
        <v>289</v>
      </c>
      <c r="I1705" s="12">
        <v>98.18</v>
      </c>
      <c r="J1705" s="13"/>
      <c r="K1705" s="13">
        <f t="shared" si="98"/>
        <v>98.18</v>
      </c>
      <c r="L1705" s="11" t="s">
        <v>29</v>
      </c>
      <c r="M1705" s="16"/>
      <c r="N1705" s="11" t="s">
        <v>105</v>
      </c>
      <c r="O1705" s="10" t="str">
        <f t="shared" si="79"/>
        <v>09/2025</v>
      </c>
      <c r="P1705" s="10" t="str">
        <f t="shared" si="81"/>
        <v>09/2025</v>
      </c>
      <c r="Q1705" s="15" t="str">
        <f t="array" ref="Q1705">IFERROR(XLOOKUP(N1705,'Classificação'!A:A,'Classificação'!B:B),"")</f>
        <v>DESPESAS ADMINISTRATIVAS</v>
      </c>
      <c r="R1705" s="15" t="str">
        <f t="array" ref="R1705">IFERROR(XLOOKUP(Q1705,'Classificação'!B:B,'Classificação'!C:C),"")</f>
        <v>DESPESAS FIXAS (-)</v>
      </c>
      <c r="S1705" s="15">
        <f t="shared" si="91"/>
        <v>1</v>
      </c>
      <c r="T1705" s="15">
        <f t="shared" si="6"/>
        <v>9</v>
      </c>
      <c r="U1705" s="15">
        <f t="shared" si="7"/>
        <v>2025</v>
      </c>
      <c r="V1705" s="15">
        <f t="shared" si="8"/>
        <v>1</v>
      </c>
      <c r="W1705" s="15">
        <f t="shared" si="9"/>
        <v>9</v>
      </c>
      <c r="X1705" s="15">
        <f t="shared" si="10"/>
        <v>2025</v>
      </c>
    </row>
    <row r="1706">
      <c r="A1706" s="9">
        <v>45901.0</v>
      </c>
      <c r="B1706" s="10"/>
      <c r="C1706" s="9">
        <f t="shared" si="90"/>
        <v>45901</v>
      </c>
      <c r="D1706" s="11" t="s">
        <v>322</v>
      </c>
      <c r="E1706" s="11" t="s">
        <v>25</v>
      </c>
      <c r="F1706" s="11" t="s">
        <v>40</v>
      </c>
      <c r="G1706" s="11" t="s">
        <v>37</v>
      </c>
      <c r="H1706" s="11" t="s">
        <v>928</v>
      </c>
      <c r="I1706" s="12">
        <v>46.2</v>
      </c>
      <c r="J1706" s="13"/>
      <c r="K1706" s="13">
        <f t="shared" si="98"/>
        <v>46.2</v>
      </c>
      <c r="L1706" s="11" t="s">
        <v>29</v>
      </c>
      <c r="M1706" s="17">
        <v>45638.0</v>
      </c>
      <c r="N1706" s="11" t="s">
        <v>105</v>
      </c>
      <c r="O1706" s="10" t="str">
        <f t="shared" si="79"/>
        <v>09/2025</v>
      </c>
      <c r="P1706" s="10" t="str">
        <f t="shared" si="81"/>
        <v>09/2025</v>
      </c>
      <c r="Q1706" s="15" t="str">
        <f t="array" ref="Q1706">IFERROR(XLOOKUP(N1706,'Classificação'!A:A,'Classificação'!B:B),"")</f>
        <v>DESPESAS ADMINISTRATIVAS</v>
      </c>
      <c r="R1706" s="15" t="str">
        <f t="array" ref="R1706">IFERROR(XLOOKUP(Q1706,'Classificação'!B:B,'Classificação'!C:C),"")</f>
        <v>DESPESAS FIXAS (-)</v>
      </c>
      <c r="S1706" s="15">
        <f t="shared" si="91"/>
        <v>1</v>
      </c>
      <c r="T1706" s="15">
        <f t="shared" si="6"/>
        <v>9</v>
      </c>
      <c r="U1706" s="15">
        <f t="shared" si="7"/>
        <v>2025</v>
      </c>
      <c r="V1706" s="15">
        <f t="shared" si="8"/>
        <v>1</v>
      </c>
      <c r="W1706" s="15">
        <f t="shared" si="9"/>
        <v>9</v>
      </c>
      <c r="X1706" s="15">
        <f t="shared" si="10"/>
        <v>2025</v>
      </c>
    </row>
    <row r="1707">
      <c r="A1707" s="9">
        <v>45901.0</v>
      </c>
      <c r="B1707" s="10"/>
      <c r="C1707" s="9">
        <f t="shared" si="90"/>
        <v>45901</v>
      </c>
      <c r="D1707" s="11" t="s">
        <v>528</v>
      </c>
      <c r="E1707" s="11" t="s">
        <v>25</v>
      </c>
      <c r="F1707" s="11" t="s">
        <v>40</v>
      </c>
      <c r="G1707" s="11" t="s">
        <v>27</v>
      </c>
      <c r="H1707" s="11" t="s">
        <v>929</v>
      </c>
      <c r="I1707" s="12">
        <v>13.64</v>
      </c>
      <c r="J1707" s="13"/>
      <c r="K1707" s="37">
        <f>IF(E1707="pago",(I1707-J1707),"")</f>
        <v>13.64</v>
      </c>
      <c r="L1707" s="11" t="s">
        <v>34</v>
      </c>
      <c r="M1707" s="14"/>
      <c r="N1707" s="11" t="s">
        <v>355</v>
      </c>
      <c r="O1707" s="10" t="str">
        <f t="shared" si="79"/>
        <v>09/2025</v>
      </c>
      <c r="P1707" s="10" t="str">
        <f t="shared" si="81"/>
        <v>09/2025</v>
      </c>
      <c r="Q1707" s="15" t="str">
        <f t="array" ref="Q1707">IFERROR(XLOOKUP(N1707,'Classificação'!A:A,'Classificação'!B:B),"")</f>
        <v>IMPOSTOS E TAXAS DIVERSAS</v>
      </c>
      <c r="R1707" s="15" t="str">
        <f t="array" ref="R1707">IFERROR(XLOOKUP(Q1707,'Classificação'!B:B,'Classificação'!C:C),"")</f>
        <v>DESPESAS FIXAS (-)</v>
      </c>
      <c r="S1707" s="15">
        <f t="shared" si="91"/>
        <v>1</v>
      </c>
      <c r="T1707" s="15">
        <f t="shared" si="6"/>
        <v>9</v>
      </c>
      <c r="U1707" s="15">
        <f t="shared" si="7"/>
        <v>2025</v>
      </c>
      <c r="V1707" s="15">
        <f t="shared" si="8"/>
        <v>1</v>
      </c>
      <c r="W1707" s="15">
        <f t="shared" si="9"/>
        <v>9</v>
      </c>
      <c r="X1707" s="15">
        <f t="shared" si="10"/>
        <v>2025</v>
      </c>
    </row>
    <row r="1708">
      <c r="A1708" s="9">
        <v>45901.0</v>
      </c>
      <c r="B1708" s="10"/>
      <c r="C1708" s="9">
        <f t="shared" si="90"/>
        <v>45901</v>
      </c>
      <c r="D1708" s="11" t="s">
        <v>36</v>
      </c>
      <c r="E1708" s="11" t="s">
        <v>25</v>
      </c>
      <c r="F1708" s="11" t="s">
        <v>32</v>
      </c>
      <c r="G1708" s="11" t="s">
        <v>27</v>
      </c>
      <c r="I1708" s="12">
        <v>4001.0</v>
      </c>
      <c r="J1708" s="13"/>
      <c r="K1708" s="13">
        <f t="shared" ref="K1708:K1811" si="99">if(E1708="pago",(I1708-J1708),"")</f>
        <v>4001</v>
      </c>
      <c r="L1708" s="11" t="s">
        <v>29</v>
      </c>
      <c r="M1708" s="14"/>
      <c r="N1708" s="11" t="s">
        <v>38</v>
      </c>
      <c r="O1708" s="10" t="str">
        <f t="shared" si="79"/>
        <v>09/2025</v>
      </c>
      <c r="P1708" s="10" t="str">
        <f t="shared" si="81"/>
        <v>09/2025</v>
      </c>
      <c r="Q1708" s="15" t="str">
        <f t="array" ref="Q1708">IFERROR(XLOOKUP(N1708,'Classificação'!A:A,'Classificação'!B:B),"")</f>
        <v>DESPESAS COM PESSOAL</v>
      </c>
      <c r="R1708" s="15" t="str">
        <f t="array" ref="R1708">IFERROR(XLOOKUP(Q1708,'Classificação'!B:B,'Classificação'!C:C),"")</f>
        <v>DESPESAS FIXAS (-)</v>
      </c>
      <c r="S1708" s="15">
        <f t="shared" si="91"/>
        <v>1</v>
      </c>
      <c r="T1708" s="15">
        <f t="shared" si="6"/>
        <v>9</v>
      </c>
      <c r="U1708" s="15">
        <f t="shared" si="7"/>
        <v>2025</v>
      </c>
      <c r="V1708" s="15">
        <f t="shared" si="8"/>
        <v>1</v>
      </c>
      <c r="W1708" s="15">
        <f t="shared" si="9"/>
        <v>9</v>
      </c>
      <c r="X1708" s="15">
        <f t="shared" si="10"/>
        <v>2025</v>
      </c>
    </row>
    <row r="1709">
      <c r="A1709" s="9">
        <v>45901.0</v>
      </c>
      <c r="B1709" s="10"/>
      <c r="C1709" s="9">
        <f t="shared" si="90"/>
        <v>45901</v>
      </c>
      <c r="D1709" s="11" t="s">
        <v>43</v>
      </c>
      <c r="E1709" s="11" t="s">
        <v>25</v>
      </c>
      <c r="F1709" s="11" t="s">
        <v>32</v>
      </c>
      <c r="G1709" s="11" t="s">
        <v>27</v>
      </c>
      <c r="I1709" s="12">
        <v>4000.0</v>
      </c>
      <c r="J1709" s="13"/>
      <c r="K1709" s="13">
        <f t="shared" si="99"/>
        <v>4000</v>
      </c>
      <c r="L1709" s="11" t="s">
        <v>29</v>
      </c>
      <c r="M1709" s="14"/>
      <c r="N1709" s="11" t="s">
        <v>38</v>
      </c>
      <c r="O1709" s="10" t="str">
        <f t="shared" si="79"/>
        <v>09/2025</v>
      </c>
      <c r="P1709" s="10" t="str">
        <f t="shared" si="81"/>
        <v>09/2025</v>
      </c>
      <c r="Q1709" s="15" t="str">
        <f t="array" ref="Q1709">IFERROR(XLOOKUP(N1709,'Classificação'!A:A,'Classificação'!B:B),"")</f>
        <v>DESPESAS COM PESSOAL</v>
      </c>
      <c r="R1709" s="15" t="str">
        <f t="array" ref="R1709">IFERROR(XLOOKUP(Q1709,'Classificação'!B:B,'Classificação'!C:C),"")</f>
        <v>DESPESAS FIXAS (-)</v>
      </c>
      <c r="S1709" s="15">
        <f t="shared" si="91"/>
        <v>1</v>
      </c>
      <c r="T1709" s="15">
        <f t="shared" si="6"/>
        <v>9</v>
      </c>
      <c r="U1709" s="15">
        <f t="shared" si="7"/>
        <v>2025</v>
      </c>
      <c r="V1709" s="15">
        <f t="shared" si="8"/>
        <v>1</v>
      </c>
      <c r="W1709" s="15">
        <f t="shared" si="9"/>
        <v>9</v>
      </c>
      <c r="X1709" s="15">
        <f t="shared" si="10"/>
        <v>2025</v>
      </c>
    </row>
    <row r="1710">
      <c r="A1710" s="9">
        <v>45901.0</v>
      </c>
      <c r="B1710" s="10"/>
      <c r="C1710" s="9">
        <f t="shared" si="90"/>
        <v>45901</v>
      </c>
      <c r="D1710" s="11" t="s">
        <v>473</v>
      </c>
      <c r="E1710" s="11" t="s">
        <v>25</v>
      </c>
      <c r="F1710" s="11" t="s">
        <v>45</v>
      </c>
      <c r="G1710" s="11" t="s">
        <v>27</v>
      </c>
      <c r="H1710" s="11" t="s">
        <v>930</v>
      </c>
      <c r="I1710" s="12">
        <v>167.74</v>
      </c>
      <c r="J1710" s="13"/>
      <c r="K1710" s="13">
        <f t="shared" si="99"/>
        <v>167.74</v>
      </c>
      <c r="L1710" s="11" t="s">
        <v>34</v>
      </c>
      <c r="M1710" s="14"/>
      <c r="N1710" s="11" t="s">
        <v>233</v>
      </c>
      <c r="O1710" s="10" t="str">
        <f t="shared" si="79"/>
        <v>09/2025</v>
      </c>
      <c r="P1710" s="10" t="str">
        <f t="shared" si="81"/>
        <v>09/2025</v>
      </c>
      <c r="Q1710" s="15" t="str">
        <f t="array" ref="Q1710">IFERROR(XLOOKUP(N1710,'Classificação'!A:A,'Classificação'!B:B),"")</f>
        <v>DESPESAS COM VEICULOS</v>
      </c>
      <c r="R1710" s="15" t="str">
        <f t="array" ref="R1710">IFERROR(XLOOKUP(Q1710,'Classificação'!B:B,'Classificação'!C:C),"")</f>
        <v>DESPESAS FIXAS (-)</v>
      </c>
      <c r="S1710" s="15">
        <f t="shared" si="91"/>
        <v>1</v>
      </c>
      <c r="T1710" s="15">
        <f t="shared" si="6"/>
        <v>9</v>
      </c>
      <c r="U1710" s="15">
        <f t="shared" si="7"/>
        <v>2025</v>
      </c>
      <c r="V1710" s="15">
        <f t="shared" si="8"/>
        <v>1</v>
      </c>
      <c r="W1710" s="15">
        <f t="shared" si="9"/>
        <v>9</v>
      </c>
      <c r="X1710" s="15">
        <f t="shared" si="10"/>
        <v>2025</v>
      </c>
    </row>
    <row r="1711">
      <c r="A1711" s="9">
        <v>45902.0</v>
      </c>
      <c r="B1711" s="48">
        <v>45883.0</v>
      </c>
      <c r="C1711" s="9">
        <f t="shared" si="90"/>
        <v>45902</v>
      </c>
      <c r="D1711" s="11" t="s">
        <v>86</v>
      </c>
      <c r="E1711" s="11" t="s">
        <v>25</v>
      </c>
      <c r="F1711" s="11" t="s">
        <v>26</v>
      </c>
      <c r="G1711" s="11" t="s">
        <v>37</v>
      </c>
      <c r="H1711" s="11" t="s">
        <v>931</v>
      </c>
      <c r="I1711" s="12">
        <v>2040.0</v>
      </c>
      <c r="J1711" s="13"/>
      <c r="K1711" s="13">
        <f t="shared" si="99"/>
        <v>2040</v>
      </c>
      <c r="L1711" s="11" t="s">
        <v>53</v>
      </c>
      <c r="M1711" s="17">
        <v>45748.0</v>
      </c>
      <c r="N1711" s="11" t="s">
        <v>35</v>
      </c>
      <c r="O1711" s="10" t="str">
        <f t="shared" si="79"/>
        <v>09/2025</v>
      </c>
      <c r="P1711" s="10" t="str">
        <f t="shared" si="81"/>
        <v>09/2025</v>
      </c>
      <c r="Q1711" s="15" t="str">
        <f t="array" ref="Q1711">IFERROR(XLOOKUP(N1711,'Classificação'!A:A,'Classificação'!B:B),"")</f>
        <v>COMPRA DE MERCADORIA</v>
      </c>
      <c r="R1711" s="15" t="str">
        <f t="array" ref="R1711">IFERROR(XLOOKUP(Q1711,'Classificação'!B:B,'Classificação'!C:C),"")</f>
        <v>CUSTOS VARIÁVEIS</v>
      </c>
      <c r="S1711" s="15">
        <f t="shared" si="91"/>
        <v>2</v>
      </c>
      <c r="T1711" s="15">
        <f t="shared" si="6"/>
        <v>9</v>
      </c>
      <c r="U1711" s="15">
        <f t="shared" si="7"/>
        <v>2025</v>
      </c>
      <c r="V1711" s="15">
        <f t="shared" si="8"/>
        <v>2</v>
      </c>
      <c r="W1711" s="15">
        <f t="shared" si="9"/>
        <v>9</v>
      </c>
      <c r="X1711" s="15">
        <f t="shared" si="10"/>
        <v>2025</v>
      </c>
    </row>
    <row r="1712">
      <c r="A1712" s="9">
        <v>45903.0</v>
      </c>
      <c r="B1712" s="10"/>
      <c r="C1712" s="9">
        <f t="shared" si="90"/>
        <v>45903</v>
      </c>
      <c r="D1712" s="11" t="s">
        <v>44</v>
      </c>
      <c r="E1712" s="11" t="s">
        <v>25</v>
      </c>
      <c r="F1712" s="11" t="s">
        <v>45</v>
      </c>
      <c r="G1712" s="11" t="s">
        <v>27</v>
      </c>
      <c r="H1712" s="11" t="s">
        <v>651</v>
      </c>
      <c r="I1712" s="12">
        <v>3229.46</v>
      </c>
      <c r="J1712" s="13"/>
      <c r="K1712" s="13">
        <f t="shared" si="99"/>
        <v>3229.46</v>
      </c>
      <c r="L1712" s="11" t="s">
        <v>53</v>
      </c>
      <c r="M1712" s="16" t="s">
        <v>932</v>
      </c>
      <c r="N1712" s="11" t="s">
        <v>73</v>
      </c>
      <c r="O1712" s="10" t="str">
        <f t="shared" si="79"/>
        <v>09/2025</v>
      </c>
      <c r="P1712" s="10" t="str">
        <f t="shared" si="81"/>
        <v>09/2025</v>
      </c>
      <c r="Q1712" s="15" t="str">
        <f t="array" ref="Q1712">IFERROR(XLOOKUP(N1712,'Classificação'!A:A,'Classificação'!B:B),"")</f>
        <v>DESPESAS NÃO OPERACIONAIS</v>
      </c>
      <c r="R1712" s="15" t="str">
        <f t="array" ref="R1712">IFERROR(XLOOKUP(Q1712,'Classificação'!B:B,'Classificação'!C:C),"")</f>
        <v>RESULTADO NÃO OPERACIONAL (+/-)</v>
      </c>
      <c r="S1712" s="15">
        <f t="shared" si="91"/>
        <v>3</v>
      </c>
      <c r="T1712" s="15">
        <f t="shared" si="6"/>
        <v>9</v>
      </c>
      <c r="U1712" s="15">
        <f t="shared" si="7"/>
        <v>2025</v>
      </c>
      <c r="V1712" s="15">
        <f t="shared" si="8"/>
        <v>3</v>
      </c>
      <c r="W1712" s="15">
        <f t="shared" si="9"/>
        <v>9</v>
      </c>
      <c r="X1712" s="15">
        <f t="shared" si="10"/>
        <v>2025</v>
      </c>
    </row>
    <row r="1713">
      <c r="A1713" s="9">
        <v>45905.0</v>
      </c>
      <c r="B1713" s="10"/>
      <c r="C1713" s="9">
        <f t="shared" si="90"/>
        <v>45905</v>
      </c>
      <c r="D1713" s="11" t="s">
        <v>83</v>
      </c>
      <c r="E1713" s="11" t="s">
        <v>25</v>
      </c>
      <c r="F1713" s="11" t="s">
        <v>87</v>
      </c>
      <c r="G1713" s="11" t="s">
        <v>27</v>
      </c>
      <c r="H1713" s="11" t="s">
        <v>933</v>
      </c>
      <c r="I1713" s="12">
        <v>1179.3</v>
      </c>
      <c r="J1713" s="13"/>
      <c r="K1713" s="13">
        <f t="shared" si="99"/>
        <v>1179.3</v>
      </c>
      <c r="L1713" s="11" t="s">
        <v>29</v>
      </c>
      <c r="M1713" s="14"/>
      <c r="N1713" s="11" t="s">
        <v>38</v>
      </c>
      <c r="O1713" s="10" t="str">
        <f t="shared" si="79"/>
        <v>09/2025</v>
      </c>
      <c r="P1713" s="10" t="str">
        <f t="shared" si="81"/>
        <v>09/2025</v>
      </c>
      <c r="Q1713" s="15" t="str">
        <f t="array" ref="Q1713">IFERROR(XLOOKUP(N1713,'Classificação'!A:A,'Classificação'!B:B),"")</f>
        <v>DESPESAS COM PESSOAL</v>
      </c>
      <c r="R1713" s="15" t="str">
        <f t="array" ref="R1713">IFERROR(XLOOKUP(Q1713,'Classificação'!B:B,'Classificação'!C:C),"")</f>
        <v>DESPESAS FIXAS (-)</v>
      </c>
      <c r="S1713" s="15">
        <f t="shared" si="91"/>
        <v>5</v>
      </c>
      <c r="T1713" s="15">
        <f t="shared" si="6"/>
        <v>9</v>
      </c>
      <c r="U1713" s="15">
        <f t="shared" si="7"/>
        <v>2025</v>
      </c>
      <c r="V1713" s="15">
        <f t="shared" si="8"/>
        <v>5</v>
      </c>
      <c r="W1713" s="15">
        <f t="shared" si="9"/>
        <v>9</v>
      </c>
      <c r="X1713" s="15">
        <f t="shared" si="10"/>
        <v>2025</v>
      </c>
    </row>
    <row r="1714">
      <c r="A1714" s="9">
        <v>45905.0</v>
      </c>
      <c r="B1714" s="10"/>
      <c r="C1714" s="9">
        <f t="shared" si="90"/>
        <v>45905</v>
      </c>
      <c r="D1714" s="28" t="s">
        <v>76</v>
      </c>
      <c r="E1714" s="29" t="s">
        <v>25</v>
      </c>
      <c r="F1714" s="28" t="s">
        <v>26</v>
      </c>
      <c r="G1714" s="28" t="s">
        <v>27</v>
      </c>
      <c r="H1714" s="28" t="s">
        <v>84</v>
      </c>
      <c r="I1714" s="24">
        <v>1214.27</v>
      </c>
      <c r="J1714" s="13"/>
      <c r="K1714" s="13">
        <f t="shared" si="99"/>
        <v>1214.27</v>
      </c>
      <c r="L1714" s="28" t="s">
        <v>53</v>
      </c>
      <c r="M1714" s="16" t="s">
        <v>934</v>
      </c>
      <c r="N1714" s="28" t="s">
        <v>85</v>
      </c>
      <c r="O1714" s="10" t="str">
        <f t="shared" si="79"/>
        <v>09/2025</v>
      </c>
      <c r="P1714" s="10" t="str">
        <f t="shared" si="81"/>
        <v>09/2025</v>
      </c>
      <c r="Q1714" s="15" t="str">
        <f t="array" ref="Q1714">IFERROR(XLOOKUP(N1714,'Classificação'!A:A,'Classificação'!B:B),"")</f>
        <v>DESPESAS NÃO OPERACIONAIS</v>
      </c>
      <c r="R1714" s="15" t="str">
        <f t="array" ref="R1714">IFERROR(XLOOKUP(Q1714,'Classificação'!B:B,'Classificação'!C:C),"")</f>
        <v>RESULTADO NÃO OPERACIONAL (+/-)</v>
      </c>
      <c r="S1714" s="15">
        <f t="shared" si="91"/>
        <v>5</v>
      </c>
      <c r="T1714" s="15">
        <f t="shared" si="6"/>
        <v>9</v>
      </c>
      <c r="U1714" s="15">
        <f t="shared" si="7"/>
        <v>2025</v>
      </c>
      <c r="V1714" s="15">
        <f t="shared" si="8"/>
        <v>5</v>
      </c>
      <c r="W1714" s="15">
        <f t="shared" si="9"/>
        <v>9</v>
      </c>
      <c r="X1714" s="15">
        <f t="shared" si="10"/>
        <v>2025</v>
      </c>
    </row>
    <row r="1715">
      <c r="A1715" s="9">
        <v>45905.0</v>
      </c>
      <c r="B1715" s="10"/>
      <c r="C1715" s="9">
        <f t="shared" si="90"/>
        <v>45905</v>
      </c>
      <c r="D1715" s="11" t="s">
        <v>44</v>
      </c>
      <c r="E1715" s="11" t="s">
        <v>25</v>
      </c>
      <c r="F1715" s="11" t="s">
        <v>45</v>
      </c>
      <c r="G1715" s="11" t="s">
        <v>27</v>
      </c>
      <c r="H1715" s="11" t="s">
        <v>935</v>
      </c>
      <c r="I1715" s="12">
        <v>19.1</v>
      </c>
      <c r="J1715" s="13"/>
      <c r="K1715" s="13">
        <f t="shared" si="99"/>
        <v>19.1</v>
      </c>
      <c r="L1715" s="11" t="s">
        <v>34</v>
      </c>
      <c r="M1715" s="14"/>
      <c r="N1715" s="11" t="s">
        <v>47</v>
      </c>
      <c r="O1715" s="10" t="str">
        <f t="shared" si="79"/>
        <v>09/2025</v>
      </c>
      <c r="P1715" s="10" t="str">
        <f t="shared" si="81"/>
        <v>09/2025</v>
      </c>
      <c r="Q1715" s="15" t="str">
        <f t="array" ref="Q1715">IFERROR(XLOOKUP(N1715,'Classificação'!A:A,'Classificação'!B:B),"")</f>
        <v>DESPESAS NÃO OPERACIONAIS</v>
      </c>
      <c r="R1715" s="15" t="str">
        <f t="array" ref="R1715">IFERROR(XLOOKUP(Q1715,'Classificação'!B:B,'Classificação'!C:C),"")</f>
        <v>RESULTADO NÃO OPERACIONAL (+/-)</v>
      </c>
      <c r="S1715" s="15">
        <f t="shared" si="91"/>
        <v>5</v>
      </c>
      <c r="T1715" s="15">
        <f t="shared" si="6"/>
        <v>9</v>
      </c>
      <c r="U1715" s="15">
        <f t="shared" si="7"/>
        <v>2025</v>
      </c>
      <c r="V1715" s="15">
        <f t="shared" si="8"/>
        <v>5</v>
      </c>
      <c r="W1715" s="15">
        <f t="shared" si="9"/>
        <v>9</v>
      </c>
      <c r="X1715" s="15">
        <f t="shared" si="10"/>
        <v>2025</v>
      </c>
    </row>
    <row r="1716">
      <c r="A1716" s="9">
        <v>45908.0</v>
      </c>
      <c r="B1716" s="10"/>
      <c r="C1716" s="9">
        <f t="shared" si="90"/>
        <v>45908</v>
      </c>
      <c r="D1716" s="11" t="s">
        <v>36</v>
      </c>
      <c r="E1716" s="11" t="s">
        <v>25</v>
      </c>
      <c r="F1716" s="11" t="s">
        <v>32</v>
      </c>
      <c r="G1716" s="11" t="s">
        <v>37</v>
      </c>
      <c r="I1716" s="12">
        <v>1108.83</v>
      </c>
      <c r="J1716" s="13"/>
      <c r="K1716" s="13">
        <f t="shared" si="99"/>
        <v>1108.83</v>
      </c>
      <c r="L1716" s="11" t="s">
        <v>29</v>
      </c>
      <c r="M1716" s="14"/>
      <c r="N1716" s="11" t="s">
        <v>38</v>
      </c>
      <c r="O1716" s="10" t="str">
        <f t="shared" si="79"/>
        <v>09/2025</v>
      </c>
      <c r="P1716" s="10" t="str">
        <f t="shared" si="81"/>
        <v>09/2025</v>
      </c>
      <c r="Q1716" s="15" t="str">
        <f t="array" ref="Q1716">IFERROR(XLOOKUP(N1716,'Classificação'!A:A,'Classificação'!B:B),"")</f>
        <v>DESPESAS COM PESSOAL</v>
      </c>
      <c r="R1716" s="15" t="str">
        <f t="array" ref="R1716">IFERROR(XLOOKUP(Q1716,'Classificação'!B:B,'Classificação'!C:C),"")</f>
        <v>DESPESAS FIXAS (-)</v>
      </c>
      <c r="S1716" s="15">
        <f t="shared" si="91"/>
        <v>8</v>
      </c>
      <c r="T1716" s="15">
        <f t="shared" si="6"/>
        <v>9</v>
      </c>
      <c r="U1716" s="15">
        <f t="shared" si="7"/>
        <v>2025</v>
      </c>
      <c r="V1716" s="15">
        <f t="shared" si="8"/>
        <v>8</v>
      </c>
      <c r="W1716" s="15">
        <f t="shared" si="9"/>
        <v>9</v>
      </c>
      <c r="X1716" s="15">
        <f t="shared" si="10"/>
        <v>2025</v>
      </c>
    </row>
    <row r="1717">
      <c r="A1717" s="9">
        <v>45908.0</v>
      </c>
      <c r="B1717" s="10"/>
      <c r="C1717" s="9">
        <f t="shared" si="90"/>
        <v>45908</v>
      </c>
      <c r="D1717" s="11" t="s">
        <v>43</v>
      </c>
      <c r="E1717" s="11" t="s">
        <v>25</v>
      </c>
      <c r="F1717" s="11" t="s">
        <v>32</v>
      </c>
      <c r="G1717" s="11" t="s">
        <v>37</v>
      </c>
      <c r="I1717" s="12">
        <v>1108.83</v>
      </c>
      <c r="J1717" s="13"/>
      <c r="K1717" s="13">
        <f t="shared" si="99"/>
        <v>1108.83</v>
      </c>
      <c r="L1717" s="11" t="s">
        <v>29</v>
      </c>
      <c r="M1717" s="14"/>
      <c r="N1717" s="11" t="s">
        <v>38</v>
      </c>
      <c r="O1717" s="10" t="str">
        <f t="shared" si="79"/>
        <v>09/2025</v>
      </c>
      <c r="P1717" s="10" t="str">
        <f t="shared" si="81"/>
        <v>09/2025</v>
      </c>
      <c r="Q1717" s="15" t="str">
        <f t="array" ref="Q1717">IFERROR(XLOOKUP(N1717,'Classificação'!A:A,'Classificação'!B:B),"")</f>
        <v>DESPESAS COM PESSOAL</v>
      </c>
      <c r="R1717" s="15" t="str">
        <f t="array" ref="R1717">IFERROR(XLOOKUP(Q1717,'Classificação'!B:B,'Classificação'!C:C),"")</f>
        <v>DESPESAS FIXAS (-)</v>
      </c>
      <c r="S1717" s="15">
        <f t="shared" si="91"/>
        <v>8</v>
      </c>
      <c r="T1717" s="15">
        <f t="shared" si="6"/>
        <v>9</v>
      </c>
      <c r="U1717" s="15">
        <f t="shared" si="7"/>
        <v>2025</v>
      </c>
      <c r="V1717" s="15">
        <f t="shared" si="8"/>
        <v>8</v>
      </c>
      <c r="W1717" s="15">
        <f t="shared" si="9"/>
        <v>9</v>
      </c>
      <c r="X1717" s="15">
        <f t="shared" si="10"/>
        <v>2025</v>
      </c>
    </row>
    <row r="1718">
      <c r="A1718" s="26">
        <v>45908.0</v>
      </c>
      <c r="B1718" s="10"/>
      <c r="C1718" s="9">
        <f t="shared" si="90"/>
        <v>45908</v>
      </c>
      <c r="D1718" s="11" t="s">
        <v>846</v>
      </c>
      <c r="E1718" s="11" t="s">
        <v>25</v>
      </c>
      <c r="F1718" s="29" t="s">
        <v>26</v>
      </c>
      <c r="G1718" s="29" t="s">
        <v>37</v>
      </c>
      <c r="H1718" s="11" t="s">
        <v>936</v>
      </c>
      <c r="I1718" s="12">
        <v>69.3</v>
      </c>
      <c r="J1718" s="13"/>
      <c r="K1718" s="13">
        <f t="shared" si="99"/>
        <v>69.3</v>
      </c>
      <c r="L1718" s="28" t="s">
        <v>53</v>
      </c>
      <c r="M1718" s="17">
        <v>45637.0</v>
      </c>
      <c r="N1718" s="11" t="s">
        <v>105</v>
      </c>
      <c r="O1718" s="10" t="str">
        <f t="shared" si="79"/>
        <v>09/2025</v>
      </c>
      <c r="P1718" s="10" t="str">
        <f t="shared" si="81"/>
        <v>09/2025</v>
      </c>
      <c r="Q1718" s="15" t="str">
        <f t="array" ref="Q1718">IFERROR(XLOOKUP(N1718,'Classificação'!A:A,'Classificação'!B:B),"")</f>
        <v>DESPESAS ADMINISTRATIVAS</v>
      </c>
      <c r="R1718" s="15" t="str">
        <f t="array" ref="R1718">IFERROR(XLOOKUP(Q1718,'Classificação'!B:B,'Classificação'!C:C),"")</f>
        <v>DESPESAS FIXAS (-)</v>
      </c>
      <c r="S1718" s="15">
        <f t="shared" si="91"/>
        <v>8</v>
      </c>
      <c r="T1718" s="15">
        <f t="shared" si="6"/>
        <v>9</v>
      </c>
      <c r="U1718" s="15">
        <f t="shared" si="7"/>
        <v>2025</v>
      </c>
      <c r="V1718" s="15">
        <f t="shared" si="8"/>
        <v>8</v>
      </c>
      <c r="W1718" s="15">
        <f t="shared" si="9"/>
        <v>9</v>
      </c>
      <c r="X1718" s="15">
        <f t="shared" si="10"/>
        <v>2025</v>
      </c>
    </row>
    <row r="1719">
      <c r="A1719" s="26">
        <v>45908.0</v>
      </c>
      <c r="B1719" s="39">
        <v>45611.0</v>
      </c>
      <c r="C1719" s="9">
        <f t="shared" si="90"/>
        <v>45908</v>
      </c>
      <c r="D1719" s="28" t="s">
        <v>361</v>
      </c>
      <c r="E1719" s="29" t="s">
        <v>25</v>
      </c>
      <c r="F1719" s="28" t="s">
        <v>26</v>
      </c>
      <c r="G1719" s="28" t="s">
        <v>37</v>
      </c>
      <c r="H1719" s="29" t="s">
        <v>535</v>
      </c>
      <c r="I1719" s="24">
        <v>282.35</v>
      </c>
      <c r="J1719" s="13"/>
      <c r="K1719" s="13">
        <f t="shared" si="99"/>
        <v>282.35</v>
      </c>
      <c r="L1719" s="28" t="s">
        <v>53</v>
      </c>
      <c r="M1719" s="17">
        <v>46001.0</v>
      </c>
      <c r="N1719" s="28" t="s">
        <v>363</v>
      </c>
      <c r="O1719" s="10" t="str">
        <f t="shared" si="79"/>
        <v>09/2025</v>
      </c>
      <c r="P1719" s="10" t="str">
        <f t="shared" si="81"/>
        <v>09/2025</v>
      </c>
      <c r="Q1719" s="15" t="str">
        <f t="array" ref="Q1719">IFERROR(XLOOKUP(N1719,'Classificação'!A:A,'Classificação'!B:B),"")</f>
        <v>DESPESAS NÃO OPERACIONAIS</v>
      </c>
      <c r="R1719" s="15" t="str">
        <f t="array" ref="R1719">IFERROR(XLOOKUP(Q1719,'Classificação'!B:B,'Classificação'!C:C),"")</f>
        <v>RESULTADO NÃO OPERACIONAL (+/-)</v>
      </c>
      <c r="S1719" s="15">
        <f t="shared" si="91"/>
        <v>8</v>
      </c>
      <c r="T1719" s="15">
        <f t="shared" si="6"/>
        <v>9</v>
      </c>
      <c r="U1719" s="15">
        <f t="shared" si="7"/>
        <v>2025</v>
      </c>
      <c r="V1719" s="15">
        <f t="shared" si="8"/>
        <v>8</v>
      </c>
      <c r="W1719" s="15">
        <f t="shared" si="9"/>
        <v>9</v>
      </c>
      <c r="X1719" s="15">
        <f t="shared" si="10"/>
        <v>2025</v>
      </c>
    </row>
    <row r="1720">
      <c r="A1720" s="9">
        <v>45908.0</v>
      </c>
      <c r="B1720" s="10"/>
      <c r="C1720" s="9">
        <f t="shared" si="90"/>
        <v>45908</v>
      </c>
      <c r="D1720" s="11" t="s">
        <v>44</v>
      </c>
      <c r="E1720" s="11" t="s">
        <v>25</v>
      </c>
      <c r="F1720" s="11" t="s">
        <v>45</v>
      </c>
      <c r="G1720" s="11" t="s">
        <v>27</v>
      </c>
      <c r="I1720" s="12">
        <v>62.45</v>
      </c>
      <c r="J1720" s="13"/>
      <c r="K1720" s="13">
        <f t="shared" si="99"/>
        <v>62.45</v>
      </c>
      <c r="L1720" s="11" t="s">
        <v>29</v>
      </c>
      <c r="M1720" s="14"/>
      <c r="N1720" s="11" t="s">
        <v>47</v>
      </c>
      <c r="O1720" s="10" t="str">
        <f t="shared" si="79"/>
        <v>09/2025</v>
      </c>
      <c r="P1720" s="10" t="str">
        <f t="shared" si="81"/>
        <v>09/2025</v>
      </c>
      <c r="Q1720" s="15" t="str">
        <f t="array" ref="Q1720">IFERROR(XLOOKUP(N1720,'Classificação'!A:A,'Classificação'!B:B),"")</f>
        <v>DESPESAS NÃO OPERACIONAIS</v>
      </c>
      <c r="R1720" s="15" t="str">
        <f t="array" ref="R1720">IFERROR(XLOOKUP(Q1720,'Classificação'!B:B,'Classificação'!C:C),"")</f>
        <v>RESULTADO NÃO OPERACIONAL (+/-)</v>
      </c>
      <c r="S1720" s="15">
        <f t="shared" si="91"/>
        <v>8</v>
      </c>
      <c r="T1720" s="15">
        <f t="shared" si="6"/>
        <v>9</v>
      </c>
      <c r="U1720" s="15">
        <f t="shared" si="7"/>
        <v>2025</v>
      </c>
      <c r="V1720" s="15">
        <f t="shared" si="8"/>
        <v>8</v>
      </c>
      <c r="W1720" s="15">
        <f t="shared" si="9"/>
        <v>9</v>
      </c>
      <c r="X1720" s="15">
        <f t="shared" si="10"/>
        <v>2025</v>
      </c>
    </row>
    <row r="1721">
      <c r="A1721" s="9">
        <v>45910.0</v>
      </c>
      <c r="B1721" s="9">
        <v>45786.0</v>
      </c>
      <c r="C1721" s="9">
        <f t="shared" si="90"/>
        <v>45910</v>
      </c>
      <c r="D1721" s="11" t="s">
        <v>86</v>
      </c>
      <c r="E1721" s="11" t="s">
        <v>25</v>
      </c>
      <c r="F1721" s="11" t="s">
        <v>87</v>
      </c>
      <c r="G1721" s="11" t="s">
        <v>27</v>
      </c>
      <c r="H1721" s="11" t="s">
        <v>937</v>
      </c>
      <c r="I1721" s="12">
        <v>1770.0</v>
      </c>
      <c r="J1721" s="13"/>
      <c r="K1721" s="13">
        <f t="shared" si="99"/>
        <v>1770</v>
      </c>
      <c r="L1721" s="11" t="s">
        <v>53</v>
      </c>
      <c r="M1721" s="17">
        <v>45751.0</v>
      </c>
      <c r="N1721" s="11" t="s">
        <v>35</v>
      </c>
      <c r="O1721" s="10" t="str">
        <f t="shared" si="79"/>
        <v>09/2025</v>
      </c>
      <c r="P1721" s="10" t="str">
        <f t="shared" si="81"/>
        <v>09/2025</v>
      </c>
      <c r="Q1721" s="15" t="str">
        <f t="array" ref="Q1721">IFERROR(XLOOKUP(N1721,'Classificação'!A:A,'Classificação'!B:B),"")</f>
        <v>COMPRA DE MERCADORIA</v>
      </c>
      <c r="R1721" s="15" t="str">
        <f t="array" ref="R1721">IFERROR(XLOOKUP(Q1721,'Classificação'!B:B,'Classificação'!C:C),"")</f>
        <v>CUSTOS VARIÁVEIS</v>
      </c>
      <c r="S1721" s="15">
        <f t="shared" si="91"/>
        <v>10</v>
      </c>
      <c r="T1721" s="15">
        <f t="shared" si="6"/>
        <v>9</v>
      </c>
      <c r="U1721" s="15">
        <f t="shared" si="7"/>
        <v>2025</v>
      </c>
      <c r="V1721" s="15">
        <f t="shared" si="8"/>
        <v>10</v>
      </c>
      <c r="W1721" s="15">
        <f t="shared" si="9"/>
        <v>9</v>
      </c>
      <c r="X1721" s="15">
        <f t="shared" si="10"/>
        <v>2025</v>
      </c>
    </row>
    <row r="1722">
      <c r="A1722" s="9">
        <v>45910.0</v>
      </c>
      <c r="B1722" s="10"/>
      <c r="C1722" s="9">
        <f t="shared" si="90"/>
        <v>45910</v>
      </c>
      <c r="D1722" s="11" t="s">
        <v>48</v>
      </c>
      <c r="E1722" s="11" t="s">
        <v>25</v>
      </c>
      <c r="F1722" s="11" t="s">
        <v>40</v>
      </c>
      <c r="G1722" s="11" t="s">
        <v>27</v>
      </c>
      <c r="I1722" s="12">
        <v>1778.61</v>
      </c>
      <c r="J1722" s="13"/>
      <c r="K1722" s="13">
        <f t="shared" si="99"/>
        <v>1778.61</v>
      </c>
      <c r="L1722" s="11" t="s">
        <v>29</v>
      </c>
      <c r="M1722" s="14"/>
      <c r="N1722" s="11" t="s">
        <v>49</v>
      </c>
      <c r="O1722" s="10" t="str">
        <f t="shared" si="79"/>
        <v>09/2025</v>
      </c>
      <c r="P1722" s="10" t="str">
        <f t="shared" si="81"/>
        <v>09/2025</v>
      </c>
      <c r="Q1722" s="15" t="str">
        <f t="array" ref="Q1722">IFERROR(XLOOKUP(N1722,'Classificação'!A:A,'Classificação'!B:B),"")</f>
        <v>DESPESAS COM PESSOAL</v>
      </c>
      <c r="R1722" s="15" t="str">
        <f t="array" ref="R1722">IFERROR(XLOOKUP(Q1722,'Classificação'!B:B,'Classificação'!C:C),"")</f>
        <v>DESPESAS FIXAS (-)</v>
      </c>
      <c r="S1722" s="15">
        <f t="shared" si="91"/>
        <v>10</v>
      </c>
      <c r="T1722" s="15">
        <f t="shared" si="6"/>
        <v>9</v>
      </c>
      <c r="U1722" s="15">
        <f t="shared" si="7"/>
        <v>2025</v>
      </c>
      <c r="V1722" s="15">
        <f t="shared" si="8"/>
        <v>10</v>
      </c>
      <c r="W1722" s="15">
        <f t="shared" si="9"/>
        <v>9</v>
      </c>
      <c r="X1722" s="15">
        <f t="shared" si="10"/>
        <v>2025</v>
      </c>
    </row>
    <row r="1723">
      <c r="A1723" s="9">
        <v>45910.0</v>
      </c>
      <c r="B1723" s="10"/>
      <c r="C1723" s="9">
        <f t="shared" si="90"/>
        <v>45910</v>
      </c>
      <c r="D1723" s="11" t="s">
        <v>50</v>
      </c>
      <c r="E1723" s="11" t="s">
        <v>25</v>
      </c>
      <c r="F1723" s="11" t="s">
        <v>40</v>
      </c>
      <c r="G1723" s="11" t="s">
        <v>27</v>
      </c>
      <c r="H1723" s="11" t="s">
        <v>51</v>
      </c>
      <c r="I1723" s="12">
        <v>139.99</v>
      </c>
      <c r="J1723" s="13"/>
      <c r="K1723" s="13">
        <f t="shared" si="99"/>
        <v>139.99</v>
      </c>
      <c r="L1723" s="11" t="s">
        <v>29</v>
      </c>
      <c r="M1723" s="14"/>
      <c r="N1723" s="11" t="s">
        <v>51</v>
      </c>
      <c r="O1723" s="10" t="str">
        <f t="shared" si="79"/>
        <v>09/2025</v>
      </c>
      <c r="P1723" s="10" t="str">
        <f t="shared" si="81"/>
        <v>09/2025</v>
      </c>
      <c r="Q1723" s="15" t="str">
        <f t="array" ref="Q1723">IFERROR(XLOOKUP(N1723,'Classificação'!A:A,'Classificação'!B:B),"")</f>
        <v>DESPESAS COM OCUPAÇÃO</v>
      </c>
      <c r="R1723" s="15" t="str">
        <f t="array" ref="R1723">IFERROR(XLOOKUP(Q1723,'Classificação'!B:B,'Classificação'!C:C),"")</f>
        <v>DESPESAS FIXAS (-)</v>
      </c>
      <c r="S1723" s="15">
        <f t="shared" si="91"/>
        <v>10</v>
      </c>
      <c r="T1723" s="15">
        <f t="shared" si="6"/>
        <v>9</v>
      </c>
      <c r="U1723" s="15">
        <f t="shared" si="7"/>
        <v>2025</v>
      </c>
      <c r="V1723" s="15">
        <f t="shared" si="8"/>
        <v>10</v>
      </c>
      <c r="W1723" s="15">
        <f t="shared" si="9"/>
        <v>9</v>
      </c>
      <c r="X1723" s="15">
        <f t="shared" si="10"/>
        <v>2025</v>
      </c>
    </row>
    <row r="1724">
      <c r="A1724" s="9">
        <v>45910.0</v>
      </c>
      <c r="B1724" s="10"/>
      <c r="C1724" s="9">
        <f t="shared" si="90"/>
        <v>45910</v>
      </c>
      <c r="D1724" s="11" t="s">
        <v>59</v>
      </c>
      <c r="E1724" s="11" t="s">
        <v>25</v>
      </c>
      <c r="F1724" s="11" t="s">
        <v>40</v>
      </c>
      <c r="G1724" s="11" t="s">
        <v>37</v>
      </c>
      <c r="H1724" s="11" t="s">
        <v>60</v>
      </c>
      <c r="I1724" s="12">
        <v>397.0</v>
      </c>
      <c r="J1724" s="13"/>
      <c r="K1724" s="13">
        <f t="shared" si="99"/>
        <v>397</v>
      </c>
      <c r="L1724" s="11" t="s">
        <v>29</v>
      </c>
      <c r="M1724" s="14"/>
      <c r="N1724" s="11" t="s">
        <v>61</v>
      </c>
      <c r="O1724" s="10" t="str">
        <f t="shared" si="79"/>
        <v>09/2025</v>
      </c>
      <c r="P1724" s="10" t="str">
        <f t="shared" si="81"/>
        <v>09/2025</v>
      </c>
      <c r="Q1724" s="15" t="str">
        <f t="array" ref="Q1724">IFERROR(XLOOKUP(N1724,'Classificação'!A:A,'Classificação'!B:B),"")</f>
        <v>DESPESAS ADMINISTRATIVAS</v>
      </c>
      <c r="R1724" s="15" t="str">
        <f t="array" ref="R1724">IFERROR(XLOOKUP(Q1724,'Classificação'!B:B,'Classificação'!C:C),"")</f>
        <v>DESPESAS FIXAS (-)</v>
      </c>
      <c r="S1724" s="15">
        <f t="shared" si="91"/>
        <v>10</v>
      </c>
      <c r="T1724" s="15">
        <f t="shared" si="6"/>
        <v>9</v>
      </c>
      <c r="U1724" s="15">
        <f t="shared" si="7"/>
        <v>2025</v>
      </c>
      <c r="V1724" s="15">
        <f t="shared" si="8"/>
        <v>10</v>
      </c>
      <c r="W1724" s="15">
        <f t="shared" si="9"/>
        <v>9</v>
      </c>
      <c r="X1724" s="15">
        <f t="shared" si="10"/>
        <v>2025</v>
      </c>
    </row>
    <row r="1725">
      <c r="A1725" s="9">
        <v>45910.0</v>
      </c>
      <c r="B1725" s="10"/>
      <c r="C1725" s="9">
        <f t="shared" si="90"/>
        <v>45910</v>
      </c>
      <c r="D1725" s="11" t="s">
        <v>104</v>
      </c>
      <c r="E1725" s="11" t="s">
        <v>25</v>
      </c>
      <c r="F1725" s="11" t="s">
        <v>40</v>
      </c>
      <c r="G1725" s="11" t="s">
        <v>37</v>
      </c>
      <c r="H1725" s="11" t="s">
        <v>413</v>
      </c>
      <c r="I1725" s="12">
        <v>27.5</v>
      </c>
      <c r="J1725" s="13"/>
      <c r="K1725" s="13">
        <f t="shared" si="99"/>
        <v>27.5</v>
      </c>
      <c r="L1725" s="11" t="s">
        <v>29</v>
      </c>
      <c r="M1725" s="14"/>
      <c r="N1725" s="11" t="s">
        <v>105</v>
      </c>
      <c r="O1725" s="10" t="str">
        <f t="shared" si="79"/>
        <v>09/2025</v>
      </c>
      <c r="P1725" s="10" t="str">
        <f t="shared" si="81"/>
        <v>09/2025</v>
      </c>
      <c r="Q1725" s="15" t="str">
        <f t="array" ref="Q1725">IFERROR(XLOOKUP(N1725,'Classificação'!A:A,'Classificação'!B:B),"")</f>
        <v>DESPESAS ADMINISTRATIVAS</v>
      </c>
      <c r="R1725" s="15" t="str">
        <f t="array" ref="R1725">IFERROR(XLOOKUP(Q1725,'Classificação'!B:B,'Classificação'!C:C),"")</f>
        <v>DESPESAS FIXAS (-)</v>
      </c>
      <c r="S1725" s="15">
        <f t="shared" si="91"/>
        <v>10</v>
      </c>
      <c r="T1725" s="15">
        <f t="shared" si="6"/>
        <v>9</v>
      </c>
      <c r="U1725" s="15">
        <f t="shared" si="7"/>
        <v>2025</v>
      </c>
      <c r="V1725" s="15">
        <f t="shared" si="8"/>
        <v>10</v>
      </c>
      <c r="W1725" s="15">
        <f t="shared" si="9"/>
        <v>9</v>
      </c>
      <c r="X1725" s="15">
        <f t="shared" si="10"/>
        <v>2025</v>
      </c>
    </row>
    <row r="1726">
      <c r="A1726" s="9">
        <v>45910.0</v>
      </c>
      <c r="B1726" s="10"/>
      <c r="C1726" s="9">
        <f t="shared" si="90"/>
        <v>45910</v>
      </c>
      <c r="D1726" s="11" t="s">
        <v>44</v>
      </c>
      <c r="E1726" s="11" t="s">
        <v>25</v>
      </c>
      <c r="F1726" s="11" t="s">
        <v>45</v>
      </c>
      <c r="G1726" s="11" t="s">
        <v>27</v>
      </c>
      <c r="H1726" s="11" t="s">
        <v>52</v>
      </c>
      <c r="I1726" s="12">
        <v>480.32</v>
      </c>
      <c r="J1726" s="13"/>
      <c r="K1726" s="13">
        <f t="shared" si="99"/>
        <v>480.32</v>
      </c>
      <c r="L1726" s="11" t="s">
        <v>53</v>
      </c>
      <c r="M1726" s="16" t="s">
        <v>938</v>
      </c>
      <c r="N1726" s="11" t="s">
        <v>55</v>
      </c>
      <c r="O1726" s="10" t="str">
        <f t="shared" si="79"/>
        <v>09/2025</v>
      </c>
      <c r="P1726" s="10" t="str">
        <f t="shared" si="81"/>
        <v>09/2025</v>
      </c>
      <c r="Q1726" s="15" t="str">
        <f t="array" ref="Q1726">IFERROR(XLOOKUP(N1726,'Classificação'!A:A,'Classificação'!B:B),"")</f>
        <v>DESPESAS NÃO OPERACIONAIS</v>
      </c>
      <c r="R1726" s="15" t="str">
        <f t="array" ref="R1726">IFERROR(XLOOKUP(Q1726,'Classificação'!B:B,'Classificação'!C:C),"")</f>
        <v>RESULTADO NÃO OPERACIONAL (+/-)</v>
      </c>
      <c r="S1726" s="15">
        <f t="shared" si="91"/>
        <v>10</v>
      </c>
      <c r="T1726" s="15">
        <f t="shared" si="6"/>
        <v>9</v>
      </c>
      <c r="U1726" s="15">
        <f t="shared" si="7"/>
        <v>2025</v>
      </c>
      <c r="V1726" s="15">
        <f t="shared" si="8"/>
        <v>10</v>
      </c>
      <c r="W1726" s="15">
        <f t="shared" si="9"/>
        <v>9</v>
      </c>
      <c r="X1726" s="15">
        <f t="shared" si="10"/>
        <v>2025</v>
      </c>
    </row>
    <row r="1727">
      <c r="A1727" s="9">
        <v>45911.0</v>
      </c>
      <c r="B1727" s="10"/>
      <c r="C1727" s="9">
        <f t="shared" si="90"/>
        <v>45911</v>
      </c>
      <c r="D1727" s="11" t="s">
        <v>65</v>
      </c>
      <c r="E1727" s="11" t="s">
        <v>25</v>
      </c>
      <c r="F1727" s="11" t="s">
        <v>45</v>
      </c>
      <c r="G1727" s="11" t="s">
        <v>66</v>
      </c>
      <c r="H1727" s="11" t="s">
        <v>67</v>
      </c>
      <c r="I1727" s="12">
        <v>280.48</v>
      </c>
      <c r="J1727" s="13"/>
      <c r="K1727" s="13">
        <f t="shared" si="99"/>
        <v>280.48</v>
      </c>
      <c r="L1727" s="11" t="s">
        <v>29</v>
      </c>
      <c r="M1727" s="14"/>
      <c r="N1727" s="11" t="s">
        <v>68</v>
      </c>
      <c r="O1727" s="10" t="str">
        <f t="shared" si="79"/>
        <v>09/2025</v>
      </c>
      <c r="P1727" s="10" t="str">
        <f t="shared" si="81"/>
        <v>09/2025</v>
      </c>
      <c r="Q1727" s="15" t="str">
        <f t="array" ref="Q1727">IFERROR(XLOOKUP(N1727,'Classificação'!A:A,'Classificação'!B:B),"")</f>
        <v>FRETE DE VENDAS</v>
      </c>
      <c r="R1727" s="15" t="str">
        <f t="array" ref="R1727">IFERROR(XLOOKUP(Q1727,'Classificação'!B:B,'Classificação'!C:C),"")</f>
        <v>CUSTOS VARIÁVEIS</v>
      </c>
      <c r="S1727" s="15">
        <f t="shared" si="91"/>
        <v>11</v>
      </c>
      <c r="T1727" s="15">
        <f t="shared" si="6"/>
        <v>9</v>
      </c>
      <c r="U1727" s="15">
        <f t="shared" si="7"/>
        <v>2025</v>
      </c>
      <c r="V1727" s="15">
        <f t="shared" si="8"/>
        <v>11</v>
      </c>
      <c r="W1727" s="15">
        <f t="shared" si="9"/>
        <v>9</v>
      </c>
      <c r="X1727" s="15">
        <f t="shared" si="10"/>
        <v>2025</v>
      </c>
    </row>
    <row r="1728">
      <c r="A1728" s="9">
        <v>45912.0</v>
      </c>
      <c r="B1728" s="10"/>
      <c r="C1728" s="9">
        <f t="shared" si="90"/>
        <v>45912</v>
      </c>
      <c r="D1728" s="11" t="s">
        <v>56</v>
      </c>
      <c r="E1728" s="11" t="s">
        <v>25</v>
      </c>
      <c r="F1728" s="11" t="s">
        <v>26</v>
      </c>
      <c r="G1728" s="11" t="s">
        <v>37</v>
      </c>
      <c r="H1728" s="11" t="s">
        <v>57</v>
      </c>
      <c r="I1728" s="12">
        <v>50.0</v>
      </c>
      <c r="J1728" s="13"/>
      <c r="K1728" s="13">
        <f t="shared" si="99"/>
        <v>50</v>
      </c>
      <c r="L1728" s="11" t="s">
        <v>29</v>
      </c>
      <c r="M1728" s="14"/>
      <c r="N1728" s="11" t="s">
        <v>58</v>
      </c>
      <c r="O1728" s="10" t="str">
        <f t="shared" si="79"/>
        <v>09/2025</v>
      </c>
      <c r="P1728" s="10" t="str">
        <f t="shared" si="81"/>
        <v>09/2025</v>
      </c>
      <c r="Q1728" s="15" t="str">
        <f t="array" ref="Q1728">IFERROR(XLOOKUP(N1728,'Classificação'!A:A,'Classificação'!B:B),"")</f>
        <v>DESPESAS ADMINISTRATIVAS</v>
      </c>
      <c r="R1728" s="15" t="str">
        <f t="array" ref="R1728">IFERROR(XLOOKUP(Q1728,'Classificação'!B:B,'Classificação'!C:C),"")</f>
        <v>DESPESAS FIXAS (-)</v>
      </c>
      <c r="S1728" s="15">
        <f t="shared" si="91"/>
        <v>12</v>
      </c>
      <c r="T1728" s="15">
        <f t="shared" si="6"/>
        <v>9</v>
      </c>
      <c r="U1728" s="15">
        <f t="shared" si="7"/>
        <v>2025</v>
      </c>
      <c r="V1728" s="15">
        <f t="shared" si="8"/>
        <v>12</v>
      </c>
      <c r="W1728" s="15">
        <f t="shared" si="9"/>
        <v>9</v>
      </c>
      <c r="X1728" s="15">
        <f t="shared" si="10"/>
        <v>2025</v>
      </c>
    </row>
    <row r="1729">
      <c r="A1729" s="9">
        <v>45912.0</v>
      </c>
      <c r="B1729" s="9">
        <v>45680.0</v>
      </c>
      <c r="C1729" s="9">
        <f t="shared" si="90"/>
        <v>45912</v>
      </c>
      <c r="D1729" s="11" t="s">
        <v>544</v>
      </c>
      <c r="E1729" s="11" t="s">
        <v>25</v>
      </c>
      <c r="F1729" s="11" t="s">
        <v>26</v>
      </c>
      <c r="G1729" s="11" t="s">
        <v>37</v>
      </c>
      <c r="H1729" s="11" t="s">
        <v>939</v>
      </c>
      <c r="I1729" s="12">
        <v>846.46</v>
      </c>
      <c r="J1729" s="13"/>
      <c r="K1729" s="13">
        <f t="shared" si="99"/>
        <v>846.46</v>
      </c>
      <c r="L1729" s="11" t="s">
        <v>53</v>
      </c>
      <c r="M1729" s="17">
        <v>45999.0</v>
      </c>
      <c r="N1729" s="11" t="s">
        <v>95</v>
      </c>
      <c r="O1729" s="10" t="str">
        <f t="shared" si="79"/>
        <v>09/2025</v>
      </c>
      <c r="P1729" s="10" t="str">
        <f t="shared" si="81"/>
        <v>09/2025</v>
      </c>
      <c r="Q1729" s="15" t="str">
        <f t="array" ref="Q1729">IFERROR(XLOOKUP(N1729,'Classificação'!A:A,'Classificação'!B:B),"")</f>
        <v>DESPESAS NÃO OPERACIONAIS</v>
      </c>
      <c r="R1729" s="15" t="str">
        <f t="array" ref="R1729">IFERROR(XLOOKUP(Q1729,'Classificação'!B:B,'Classificação'!C:C),"")</f>
        <v>RESULTADO NÃO OPERACIONAL (+/-)</v>
      </c>
      <c r="S1729" s="15">
        <f t="shared" si="91"/>
        <v>12</v>
      </c>
      <c r="T1729" s="15">
        <f t="shared" si="6"/>
        <v>9</v>
      </c>
      <c r="U1729" s="15">
        <f t="shared" si="7"/>
        <v>2025</v>
      </c>
      <c r="V1729" s="15">
        <f t="shared" si="8"/>
        <v>12</v>
      </c>
      <c r="W1729" s="15">
        <f t="shared" si="9"/>
        <v>9</v>
      </c>
      <c r="X1729" s="15">
        <f t="shared" si="10"/>
        <v>2025</v>
      </c>
    </row>
    <row r="1730">
      <c r="A1730" s="9">
        <v>45912.0</v>
      </c>
      <c r="B1730" s="10"/>
      <c r="C1730" s="9">
        <f t="shared" si="90"/>
        <v>45912</v>
      </c>
      <c r="D1730" s="11" t="s">
        <v>940</v>
      </c>
      <c r="E1730" s="11" t="s">
        <v>25</v>
      </c>
      <c r="F1730" s="11" t="s">
        <v>26</v>
      </c>
      <c r="G1730" s="11" t="s">
        <v>27</v>
      </c>
      <c r="H1730" s="11" t="s">
        <v>941</v>
      </c>
      <c r="I1730" s="12">
        <v>12.0</v>
      </c>
      <c r="J1730" s="13"/>
      <c r="K1730" s="13">
        <f t="shared" si="99"/>
        <v>12</v>
      </c>
      <c r="L1730" s="11" t="s">
        <v>34</v>
      </c>
      <c r="M1730" s="14"/>
      <c r="N1730" s="11" t="s">
        <v>394</v>
      </c>
      <c r="O1730" s="10" t="str">
        <f t="shared" si="79"/>
        <v>09/2025</v>
      </c>
      <c r="P1730" s="10" t="str">
        <f t="shared" si="81"/>
        <v>09/2025</v>
      </c>
      <c r="Q1730" s="15" t="str">
        <f t="array" ref="Q1730">IFERROR(XLOOKUP(N1730,'Classificação'!A:A,'Classificação'!B:B),"")</f>
        <v>DESPESAS NÃO OPERACIONAIS</v>
      </c>
      <c r="R1730" s="15" t="str">
        <f t="array" ref="R1730">IFERROR(XLOOKUP(Q1730,'Classificação'!B:B,'Classificação'!C:C),"")</f>
        <v>RESULTADO NÃO OPERACIONAL (+/-)</v>
      </c>
      <c r="S1730" s="15">
        <f t="shared" si="91"/>
        <v>12</v>
      </c>
      <c r="T1730" s="15">
        <f t="shared" si="6"/>
        <v>9</v>
      </c>
      <c r="U1730" s="15">
        <f t="shared" si="7"/>
        <v>2025</v>
      </c>
      <c r="V1730" s="15">
        <f t="shared" si="8"/>
        <v>12</v>
      </c>
      <c r="W1730" s="15">
        <f t="shared" si="9"/>
        <v>9</v>
      </c>
      <c r="X1730" s="15">
        <f t="shared" si="10"/>
        <v>2025</v>
      </c>
    </row>
    <row r="1731">
      <c r="A1731" s="9">
        <v>45915.0</v>
      </c>
      <c r="B1731" s="10"/>
      <c r="C1731" s="9">
        <f t="shared" si="90"/>
        <v>45915</v>
      </c>
      <c r="D1731" s="11" t="s">
        <v>44</v>
      </c>
      <c r="E1731" s="11" t="s">
        <v>25</v>
      </c>
      <c r="F1731" s="11" t="s">
        <v>45</v>
      </c>
      <c r="G1731" s="11" t="s">
        <v>27</v>
      </c>
      <c r="H1731" s="11" t="s">
        <v>476</v>
      </c>
      <c r="I1731" s="12">
        <v>5417.28</v>
      </c>
      <c r="J1731" s="13"/>
      <c r="K1731" s="13">
        <f t="shared" si="99"/>
        <v>5417.28</v>
      </c>
      <c r="L1731" s="11" t="s">
        <v>53</v>
      </c>
      <c r="M1731" s="16" t="s">
        <v>54</v>
      </c>
      <c r="N1731" s="11" t="s">
        <v>73</v>
      </c>
      <c r="O1731" s="10" t="str">
        <f t="shared" si="79"/>
        <v>09/2025</v>
      </c>
      <c r="P1731" s="10" t="str">
        <f t="shared" si="81"/>
        <v>09/2025</v>
      </c>
      <c r="Q1731" s="15" t="str">
        <f t="array" ref="Q1731">IFERROR(XLOOKUP(N1731,'Classificação'!A:A,'Classificação'!B:B),"")</f>
        <v>DESPESAS NÃO OPERACIONAIS</v>
      </c>
      <c r="R1731" s="15" t="str">
        <f t="array" ref="R1731">IFERROR(XLOOKUP(Q1731,'Classificação'!B:B,'Classificação'!C:C),"")</f>
        <v>RESULTADO NÃO OPERACIONAL (+/-)</v>
      </c>
      <c r="S1731" s="15">
        <f t="shared" si="91"/>
        <v>15</v>
      </c>
      <c r="T1731" s="15">
        <f t="shared" si="6"/>
        <v>9</v>
      </c>
      <c r="U1731" s="15">
        <f t="shared" si="7"/>
        <v>2025</v>
      </c>
      <c r="V1731" s="15">
        <f t="shared" si="8"/>
        <v>15</v>
      </c>
      <c r="W1731" s="15">
        <f t="shared" si="9"/>
        <v>9</v>
      </c>
      <c r="X1731" s="15">
        <f t="shared" si="10"/>
        <v>2025</v>
      </c>
    </row>
    <row r="1732">
      <c r="A1732" s="9">
        <v>45915.0</v>
      </c>
      <c r="B1732" s="10"/>
      <c r="C1732" s="9">
        <f t="shared" si="90"/>
        <v>45915</v>
      </c>
      <c r="D1732" s="11" t="s">
        <v>79</v>
      </c>
      <c r="E1732" s="11" t="s">
        <v>25</v>
      </c>
      <c r="F1732" s="11" t="s">
        <v>26</v>
      </c>
      <c r="G1732" s="11" t="s">
        <v>37</v>
      </c>
      <c r="I1732" s="12">
        <v>500.0</v>
      </c>
      <c r="J1732" s="13"/>
      <c r="K1732" s="13">
        <f t="shared" si="99"/>
        <v>500</v>
      </c>
      <c r="L1732" s="11" t="s">
        <v>29</v>
      </c>
      <c r="M1732" s="14"/>
      <c r="N1732" s="11" t="s">
        <v>38</v>
      </c>
      <c r="O1732" s="10" t="str">
        <f t="shared" si="79"/>
        <v>09/2025</v>
      </c>
      <c r="P1732" s="10" t="str">
        <f t="shared" si="81"/>
        <v>09/2025</v>
      </c>
      <c r="Q1732" s="15" t="str">
        <f t="array" ref="Q1732">IFERROR(XLOOKUP(N1732,'Classificação'!A:A,'Classificação'!B:B),"")</f>
        <v>DESPESAS COM PESSOAL</v>
      </c>
      <c r="R1732" s="15" t="str">
        <f t="array" ref="R1732">IFERROR(XLOOKUP(Q1732,'Classificação'!B:B,'Classificação'!C:C),"")</f>
        <v>DESPESAS FIXAS (-)</v>
      </c>
      <c r="S1732" s="15">
        <f t="shared" si="91"/>
        <v>15</v>
      </c>
      <c r="T1732" s="15">
        <f t="shared" si="6"/>
        <v>9</v>
      </c>
      <c r="U1732" s="15">
        <f t="shared" si="7"/>
        <v>2025</v>
      </c>
      <c r="V1732" s="15">
        <f t="shared" si="8"/>
        <v>15</v>
      </c>
      <c r="W1732" s="15">
        <f t="shared" si="9"/>
        <v>9</v>
      </c>
      <c r="X1732" s="15">
        <f t="shared" si="10"/>
        <v>2025</v>
      </c>
    </row>
    <row r="1733">
      <c r="A1733" s="9">
        <v>45915.0</v>
      </c>
      <c r="B1733" s="10"/>
      <c r="C1733" s="9">
        <f t="shared" si="90"/>
        <v>45915</v>
      </c>
      <c r="D1733" s="11" t="s">
        <v>80</v>
      </c>
      <c r="E1733" s="11" t="s">
        <v>25</v>
      </c>
      <c r="F1733" s="11" t="s">
        <v>32</v>
      </c>
      <c r="G1733" s="11" t="s">
        <v>27</v>
      </c>
      <c r="I1733" s="12">
        <v>780.0</v>
      </c>
      <c r="J1733" s="13"/>
      <c r="K1733" s="13">
        <f t="shared" si="99"/>
        <v>780</v>
      </c>
      <c r="L1733" s="11" t="s">
        <v>29</v>
      </c>
      <c r="M1733" s="14"/>
      <c r="N1733" s="11" t="s">
        <v>75</v>
      </c>
      <c r="O1733" s="10" t="str">
        <f t="shared" si="79"/>
        <v>09/2025</v>
      </c>
      <c r="P1733" s="10" t="str">
        <f t="shared" si="81"/>
        <v>09/2025</v>
      </c>
      <c r="Q1733" s="15" t="str">
        <f t="array" ref="Q1733">IFERROR(XLOOKUP(N1733,'Classificação'!A:A,'Classificação'!B:B),"")</f>
        <v>DESPESAS COM PESSOAL</v>
      </c>
      <c r="R1733" s="15" t="str">
        <f t="array" ref="R1733">IFERROR(XLOOKUP(Q1733,'Classificação'!B:B,'Classificação'!C:C),"")</f>
        <v>DESPESAS FIXAS (-)</v>
      </c>
      <c r="S1733" s="15">
        <f t="shared" si="91"/>
        <v>15</v>
      </c>
      <c r="T1733" s="15">
        <f t="shared" si="6"/>
        <v>9</v>
      </c>
      <c r="U1733" s="15">
        <f t="shared" si="7"/>
        <v>2025</v>
      </c>
      <c r="V1733" s="15">
        <f t="shared" si="8"/>
        <v>15</v>
      </c>
      <c r="W1733" s="15">
        <f t="shared" si="9"/>
        <v>9</v>
      </c>
      <c r="X1733" s="15">
        <f t="shared" si="10"/>
        <v>2025</v>
      </c>
    </row>
    <row r="1734">
      <c r="A1734" s="26">
        <v>45915.0</v>
      </c>
      <c r="B1734" s="30"/>
      <c r="C1734" s="27">
        <f t="shared" si="90"/>
        <v>45915</v>
      </c>
      <c r="D1734" s="28" t="s">
        <v>36</v>
      </c>
      <c r="E1734" s="29" t="s">
        <v>25</v>
      </c>
      <c r="F1734" s="28" t="s">
        <v>32</v>
      </c>
      <c r="G1734" s="28" t="s">
        <v>37</v>
      </c>
      <c r="H1734" s="28"/>
      <c r="I1734" s="24">
        <v>2890.0</v>
      </c>
      <c r="J1734" s="13"/>
      <c r="K1734" s="13">
        <f t="shared" si="99"/>
        <v>2890</v>
      </c>
      <c r="L1734" s="28" t="s">
        <v>29</v>
      </c>
      <c r="M1734" s="14"/>
      <c r="N1734" s="28" t="s">
        <v>38</v>
      </c>
      <c r="O1734" s="10" t="str">
        <f t="shared" si="79"/>
        <v>09/2025</v>
      </c>
      <c r="P1734" s="10" t="str">
        <f t="shared" si="81"/>
        <v>09/2025</v>
      </c>
      <c r="Q1734" s="15" t="str">
        <f t="array" ref="Q1734">IFERROR(XLOOKUP(N1734,'Classificação'!A:A,'Classificação'!B:B),"")</f>
        <v>DESPESAS COM PESSOAL</v>
      </c>
      <c r="R1734" s="15" t="str">
        <f t="array" ref="R1734">IFERROR(XLOOKUP(Q1734,'Classificação'!B:B,'Classificação'!C:C),"")</f>
        <v>DESPESAS FIXAS (-)</v>
      </c>
      <c r="S1734" s="15">
        <f t="shared" si="91"/>
        <v>15</v>
      </c>
      <c r="T1734" s="15">
        <f t="shared" si="6"/>
        <v>9</v>
      </c>
      <c r="U1734" s="15">
        <f t="shared" si="7"/>
        <v>2025</v>
      </c>
      <c r="V1734" s="15">
        <f t="shared" si="8"/>
        <v>15</v>
      </c>
      <c r="W1734" s="15">
        <f t="shared" si="9"/>
        <v>9</v>
      </c>
      <c r="X1734" s="15">
        <f t="shared" si="10"/>
        <v>2025</v>
      </c>
    </row>
    <row r="1735">
      <c r="A1735" s="26">
        <v>45915.0</v>
      </c>
      <c r="B1735" s="30"/>
      <c r="C1735" s="27">
        <f t="shared" si="90"/>
        <v>45915</v>
      </c>
      <c r="D1735" s="28" t="s">
        <v>43</v>
      </c>
      <c r="E1735" s="29" t="s">
        <v>25</v>
      </c>
      <c r="F1735" s="28" t="s">
        <v>32</v>
      </c>
      <c r="G1735" s="28" t="s">
        <v>37</v>
      </c>
      <c r="H1735" s="28"/>
      <c r="I1735" s="24">
        <v>2890.0</v>
      </c>
      <c r="J1735" s="13"/>
      <c r="K1735" s="13">
        <f t="shared" si="99"/>
        <v>2890</v>
      </c>
      <c r="L1735" s="28" t="s">
        <v>29</v>
      </c>
      <c r="M1735" s="14"/>
      <c r="N1735" s="28" t="s">
        <v>38</v>
      </c>
      <c r="O1735" s="10" t="str">
        <f t="shared" si="79"/>
        <v>09/2025</v>
      </c>
      <c r="P1735" s="10" t="str">
        <f t="shared" si="81"/>
        <v>09/2025</v>
      </c>
      <c r="Q1735" s="15" t="str">
        <f t="array" ref="Q1735">IFERROR(XLOOKUP(N1735,'Classificação'!A:A,'Classificação'!B:B),"")</f>
        <v>DESPESAS COM PESSOAL</v>
      </c>
      <c r="R1735" s="15" t="str">
        <f t="array" ref="R1735">IFERROR(XLOOKUP(Q1735,'Classificação'!B:B,'Classificação'!C:C),"")</f>
        <v>DESPESAS FIXAS (-)</v>
      </c>
      <c r="S1735" s="15">
        <f t="shared" si="91"/>
        <v>15</v>
      </c>
      <c r="T1735" s="15">
        <f t="shared" si="6"/>
        <v>9</v>
      </c>
      <c r="U1735" s="15">
        <f t="shared" si="7"/>
        <v>2025</v>
      </c>
      <c r="V1735" s="15">
        <f t="shared" si="8"/>
        <v>15</v>
      </c>
      <c r="W1735" s="15">
        <f t="shared" si="9"/>
        <v>9</v>
      </c>
      <c r="X1735" s="15">
        <f t="shared" si="10"/>
        <v>2025</v>
      </c>
    </row>
    <row r="1736">
      <c r="A1736" s="9">
        <v>45915.0</v>
      </c>
      <c r="B1736" s="10"/>
      <c r="C1736" s="9">
        <f t="shared" si="90"/>
        <v>45915</v>
      </c>
      <c r="D1736" s="11" t="s">
        <v>83</v>
      </c>
      <c r="E1736" s="11" t="s">
        <v>25</v>
      </c>
      <c r="F1736" s="11" t="s">
        <v>942</v>
      </c>
      <c r="G1736" s="11" t="s">
        <v>37</v>
      </c>
      <c r="H1736" s="11" t="s">
        <v>943</v>
      </c>
      <c r="I1736" s="12">
        <v>366.67</v>
      </c>
      <c r="J1736" s="13"/>
      <c r="K1736" s="13">
        <f t="shared" si="99"/>
        <v>366.67</v>
      </c>
      <c r="L1736" s="11" t="s">
        <v>29</v>
      </c>
      <c r="M1736" s="14"/>
      <c r="N1736" s="11" t="s">
        <v>58</v>
      </c>
      <c r="O1736" s="10" t="str">
        <f t="shared" si="79"/>
        <v>09/2025</v>
      </c>
      <c r="P1736" s="10" t="str">
        <f t="shared" si="81"/>
        <v>09/2025</v>
      </c>
      <c r="Q1736" s="15" t="str">
        <f t="array" ref="Q1736">IFERROR(XLOOKUP(N1736,'Classificação'!A:A,'Classificação'!B:B),"")</f>
        <v>DESPESAS ADMINISTRATIVAS</v>
      </c>
      <c r="R1736" s="15" t="str">
        <f t="array" ref="R1736">IFERROR(XLOOKUP(Q1736,'Classificação'!B:B,'Classificação'!C:C),"")</f>
        <v>DESPESAS FIXAS (-)</v>
      </c>
      <c r="S1736" s="15">
        <f t="shared" si="91"/>
        <v>15</v>
      </c>
      <c r="T1736" s="15">
        <f t="shared" si="6"/>
        <v>9</v>
      </c>
      <c r="U1736" s="15">
        <f t="shared" si="7"/>
        <v>2025</v>
      </c>
      <c r="V1736" s="15">
        <f t="shared" si="8"/>
        <v>15</v>
      </c>
      <c r="W1736" s="15">
        <f t="shared" si="9"/>
        <v>9</v>
      </c>
      <c r="X1736" s="15">
        <f t="shared" si="10"/>
        <v>2025</v>
      </c>
    </row>
    <row r="1737">
      <c r="A1737" s="9">
        <v>45916.0</v>
      </c>
      <c r="B1737" s="10"/>
      <c r="C1737" s="9">
        <f t="shared" si="90"/>
        <v>45916</v>
      </c>
      <c r="D1737" s="11" t="s">
        <v>223</v>
      </c>
      <c r="E1737" s="11" t="s">
        <v>25</v>
      </c>
      <c r="F1737" s="11" t="s">
        <v>32</v>
      </c>
      <c r="G1737" s="11" t="s">
        <v>37</v>
      </c>
      <c r="I1737" s="12">
        <v>150.0</v>
      </c>
      <c r="J1737" s="13"/>
      <c r="K1737" s="13">
        <f t="shared" si="99"/>
        <v>150</v>
      </c>
      <c r="L1737" s="11" t="s">
        <v>29</v>
      </c>
      <c r="M1737" s="14"/>
      <c r="N1737" s="11" t="s">
        <v>224</v>
      </c>
      <c r="O1737" s="10" t="str">
        <f t="shared" si="79"/>
        <v>09/2025</v>
      </c>
      <c r="P1737" s="10" t="str">
        <f t="shared" si="81"/>
        <v>09/2025</v>
      </c>
      <c r="Q1737" s="15" t="str">
        <f t="array" ref="Q1737">IFERROR(XLOOKUP(N1737,'Classificação'!A:A,'Classificação'!B:B),"")</f>
        <v>DESPESAS ADMINISTRATIVAS</v>
      </c>
      <c r="R1737" s="15" t="str">
        <f t="array" ref="R1737">IFERROR(XLOOKUP(Q1737,'Classificação'!B:B,'Classificação'!C:C),"")</f>
        <v>DESPESAS FIXAS (-)</v>
      </c>
      <c r="S1737" s="15">
        <f t="shared" si="91"/>
        <v>16</v>
      </c>
      <c r="T1737" s="15">
        <f t="shared" si="6"/>
        <v>9</v>
      </c>
      <c r="U1737" s="15">
        <f t="shared" si="7"/>
        <v>2025</v>
      </c>
      <c r="V1737" s="15">
        <f t="shared" si="8"/>
        <v>16</v>
      </c>
      <c r="W1737" s="15">
        <f t="shared" si="9"/>
        <v>9</v>
      </c>
      <c r="X1737" s="15">
        <f t="shared" si="10"/>
        <v>2025</v>
      </c>
    </row>
    <row r="1738">
      <c r="A1738" s="9">
        <v>45918.0</v>
      </c>
      <c r="B1738" s="10"/>
      <c r="C1738" s="9">
        <f t="shared" si="90"/>
        <v>45918</v>
      </c>
      <c r="D1738" s="11" t="s">
        <v>44</v>
      </c>
      <c r="E1738" s="11" t="s">
        <v>25</v>
      </c>
      <c r="F1738" s="11" t="s">
        <v>45</v>
      </c>
      <c r="G1738" s="11" t="s">
        <v>27</v>
      </c>
      <c r="H1738" s="11" t="s">
        <v>703</v>
      </c>
      <c r="I1738" s="12">
        <v>3207.61</v>
      </c>
      <c r="J1738" s="13"/>
      <c r="K1738" s="13">
        <f t="shared" si="99"/>
        <v>3207.61</v>
      </c>
      <c r="L1738" s="11" t="s">
        <v>53</v>
      </c>
      <c r="M1738" s="16" t="s">
        <v>944</v>
      </c>
      <c r="N1738" s="11" t="s">
        <v>73</v>
      </c>
      <c r="O1738" s="10" t="str">
        <f t="shared" si="79"/>
        <v>09/2025</v>
      </c>
      <c r="P1738" s="10" t="str">
        <f t="shared" si="81"/>
        <v>09/2025</v>
      </c>
      <c r="Q1738" s="15" t="str">
        <f t="array" ref="Q1738">IFERROR(XLOOKUP(N1738,'Classificação'!A:A,'Classificação'!B:B),"")</f>
        <v>DESPESAS NÃO OPERACIONAIS</v>
      </c>
      <c r="R1738" s="15" t="str">
        <f t="array" ref="R1738">IFERROR(XLOOKUP(Q1738,'Classificação'!B:B,'Classificação'!C:C),"")</f>
        <v>RESULTADO NÃO OPERACIONAL (+/-)</v>
      </c>
      <c r="S1738" s="15">
        <f t="shared" si="91"/>
        <v>18</v>
      </c>
      <c r="T1738" s="15">
        <f t="shared" si="6"/>
        <v>9</v>
      </c>
      <c r="U1738" s="15">
        <f t="shared" si="7"/>
        <v>2025</v>
      </c>
      <c r="V1738" s="15">
        <f t="shared" si="8"/>
        <v>18</v>
      </c>
      <c r="W1738" s="15">
        <f t="shared" si="9"/>
        <v>9</v>
      </c>
      <c r="X1738" s="15">
        <f t="shared" si="10"/>
        <v>2025</v>
      </c>
    </row>
    <row r="1739">
      <c r="A1739" s="9">
        <v>45918.0</v>
      </c>
      <c r="B1739" s="10"/>
      <c r="C1739" s="9">
        <f t="shared" si="90"/>
        <v>45918</v>
      </c>
      <c r="D1739" s="11" t="s">
        <v>65</v>
      </c>
      <c r="E1739" s="11" t="s">
        <v>25</v>
      </c>
      <c r="F1739" s="11" t="s">
        <v>45</v>
      </c>
      <c r="G1739" s="11" t="s">
        <v>37</v>
      </c>
      <c r="H1739" s="11" t="s">
        <v>103</v>
      </c>
      <c r="I1739" s="12">
        <v>518.06</v>
      </c>
      <c r="J1739" s="13"/>
      <c r="K1739" s="13">
        <f t="shared" si="99"/>
        <v>518.06</v>
      </c>
      <c r="L1739" s="11" t="s">
        <v>29</v>
      </c>
      <c r="M1739" s="14"/>
      <c r="N1739" s="11" t="s">
        <v>68</v>
      </c>
      <c r="O1739" s="10" t="str">
        <f t="shared" si="79"/>
        <v>09/2025</v>
      </c>
      <c r="P1739" s="10" t="str">
        <f t="shared" si="81"/>
        <v>09/2025</v>
      </c>
      <c r="Q1739" s="15" t="str">
        <f t="array" ref="Q1739">IFERROR(XLOOKUP(N1739,'Classificação'!A:A,'Classificação'!B:B),"")</f>
        <v>FRETE DE VENDAS</v>
      </c>
      <c r="R1739" s="15" t="str">
        <f t="array" ref="R1739">IFERROR(XLOOKUP(Q1739,'Classificação'!B:B,'Classificação'!C:C),"")</f>
        <v>CUSTOS VARIÁVEIS</v>
      </c>
      <c r="S1739" s="15">
        <f t="shared" si="91"/>
        <v>18</v>
      </c>
      <c r="T1739" s="15">
        <f t="shared" si="6"/>
        <v>9</v>
      </c>
      <c r="U1739" s="15">
        <f t="shared" si="7"/>
        <v>2025</v>
      </c>
      <c r="V1739" s="15">
        <f t="shared" si="8"/>
        <v>18</v>
      </c>
      <c r="W1739" s="15">
        <f t="shared" si="9"/>
        <v>9</v>
      </c>
      <c r="X1739" s="15">
        <f t="shared" si="10"/>
        <v>2025</v>
      </c>
    </row>
    <row r="1740">
      <c r="A1740" s="26">
        <v>45918.0</v>
      </c>
      <c r="B1740" s="49">
        <v>45903.0</v>
      </c>
      <c r="C1740" s="27">
        <f t="shared" si="90"/>
        <v>45918</v>
      </c>
      <c r="D1740" s="28" t="s">
        <v>86</v>
      </c>
      <c r="E1740" s="29" t="s">
        <v>25</v>
      </c>
      <c r="F1740" s="28" t="s">
        <v>26</v>
      </c>
      <c r="G1740" s="28" t="s">
        <v>37</v>
      </c>
      <c r="H1740" s="29" t="s">
        <v>945</v>
      </c>
      <c r="I1740" s="24">
        <v>2760.0</v>
      </c>
      <c r="J1740" s="34"/>
      <c r="K1740" s="13">
        <f t="shared" si="99"/>
        <v>2760</v>
      </c>
      <c r="L1740" s="28" t="s">
        <v>53</v>
      </c>
      <c r="M1740" s="40">
        <v>45748.0</v>
      </c>
      <c r="N1740" s="28" t="s">
        <v>35</v>
      </c>
      <c r="O1740" s="10" t="str">
        <f t="shared" si="79"/>
        <v>09/2025</v>
      </c>
      <c r="P1740" s="10" t="str">
        <f t="shared" si="81"/>
        <v>09/2025</v>
      </c>
      <c r="Q1740" s="15" t="str">
        <f t="array" ref="Q1740">IFERROR(XLOOKUP(N1740,'Classificação'!A:A,'Classificação'!B:B),"")</f>
        <v>COMPRA DE MERCADORIA</v>
      </c>
      <c r="R1740" s="15" t="str">
        <f t="array" ref="R1740">IFERROR(XLOOKUP(Q1740,'Classificação'!B:B,'Classificação'!C:C),"")</f>
        <v>CUSTOS VARIÁVEIS</v>
      </c>
      <c r="S1740" s="15">
        <f t="shared" si="91"/>
        <v>18</v>
      </c>
      <c r="T1740" s="15">
        <f t="shared" si="6"/>
        <v>9</v>
      </c>
      <c r="U1740" s="15">
        <f t="shared" si="7"/>
        <v>2025</v>
      </c>
      <c r="V1740" s="15">
        <f t="shared" si="8"/>
        <v>18</v>
      </c>
      <c r="W1740" s="15">
        <f t="shared" si="9"/>
        <v>9</v>
      </c>
      <c r="X1740" s="15">
        <f t="shared" si="10"/>
        <v>2025</v>
      </c>
    </row>
    <row r="1741">
      <c r="A1741" s="9">
        <v>45919.0</v>
      </c>
      <c r="B1741" s="10"/>
      <c r="C1741" s="9">
        <f t="shared" si="90"/>
        <v>45919</v>
      </c>
      <c r="D1741" s="11" t="s">
        <v>90</v>
      </c>
      <c r="E1741" s="11" t="s">
        <v>25</v>
      </c>
      <c r="F1741" s="11" t="s">
        <v>40</v>
      </c>
      <c r="G1741" s="11" t="s">
        <v>37</v>
      </c>
      <c r="H1741" s="11" t="s">
        <v>91</v>
      </c>
      <c r="I1741" s="12">
        <v>375.6</v>
      </c>
      <c r="J1741" s="13"/>
      <c r="K1741" s="13">
        <f t="shared" si="99"/>
        <v>375.6</v>
      </c>
      <c r="L1741" s="11" t="s">
        <v>29</v>
      </c>
      <c r="M1741" s="14"/>
      <c r="N1741" s="11" t="s">
        <v>92</v>
      </c>
      <c r="O1741" s="10" t="str">
        <f t="shared" si="79"/>
        <v>09/2025</v>
      </c>
      <c r="P1741" s="10" t="str">
        <f t="shared" si="81"/>
        <v>09/2025</v>
      </c>
      <c r="Q1741" s="15" t="str">
        <f t="array" ref="Q1741">IFERROR(XLOOKUP(N1741,'Classificação'!A:A,'Classificação'!B:B),"")</f>
        <v>DESPESAS COM OCUPAÇÃO</v>
      </c>
      <c r="R1741" s="15" t="str">
        <f t="array" ref="R1741">IFERROR(XLOOKUP(Q1741,'Classificação'!B:B,'Classificação'!C:C),"")</f>
        <v>DESPESAS FIXAS (-)</v>
      </c>
      <c r="S1741" s="15">
        <f t="shared" si="91"/>
        <v>19</v>
      </c>
      <c r="T1741" s="15">
        <f t="shared" si="6"/>
        <v>9</v>
      </c>
      <c r="U1741" s="15">
        <f t="shared" si="7"/>
        <v>2025</v>
      </c>
      <c r="V1741" s="15">
        <f t="shared" si="8"/>
        <v>19</v>
      </c>
      <c r="W1741" s="15">
        <f t="shared" si="9"/>
        <v>9</v>
      </c>
      <c r="X1741" s="15">
        <f t="shared" si="10"/>
        <v>2025</v>
      </c>
    </row>
    <row r="1742">
      <c r="A1742" s="9">
        <v>45919.0</v>
      </c>
      <c r="B1742" s="10"/>
      <c r="C1742" s="9">
        <f t="shared" si="90"/>
        <v>45919</v>
      </c>
      <c r="D1742" s="11" t="s">
        <v>123</v>
      </c>
      <c r="E1742" s="11" t="s">
        <v>25</v>
      </c>
      <c r="F1742" s="11" t="s">
        <v>40</v>
      </c>
      <c r="G1742" s="11" t="s">
        <v>27</v>
      </c>
      <c r="I1742" s="12">
        <v>332.0</v>
      </c>
      <c r="J1742" s="13"/>
      <c r="K1742" s="13">
        <f t="shared" si="99"/>
        <v>332</v>
      </c>
      <c r="L1742" s="11" t="s">
        <v>29</v>
      </c>
      <c r="M1742" s="14"/>
      <c r="N1742" s="11" t="s">
        <v>123</v>
      </c>
      <c r="O1742" s="10" t="str">
        <f t="shared" si="79"/>
        <v>09/2025</v>
      </c>
      <c r="P1742" s="10" t="str">
        <f t="shared" si="81"/>
        <v>09/2025</v>
      </c>
      <c r="Q1742" s="15" t="str">
        <f t="array" ref="Q1742">IFERROR(XLOOKUP(N1742,'Classificação'!A:A,'Classificação'!B:B),"")</f>
        <v>DESPESAS COM PESSOAL</v>
      </c>
      <c r="R1742" s="15" t="str">
        <f t="array" ref="R1742">IFERROR(XLOOKUP(Q1742,'Classificação'!B:B,'Classificação'!C:C),"")</f>
        <v>DESPESAS FIXAS (-)</v>
      </c>
      <c r="S1742" s="15">
        <f t="shared" si="91"/>
        <v>19</v>
      </c>
      <c r="T1742" s="15">
        <f t="shared" si="6"/>
        <v>9</v>
      </c>
      <c r="U1742" s="15">
        <f t="shared" si="7"/>
        <v>2025</v>
      </c>
      <c r="V1742" s="15">
        <f t="shared" si="8"/>
        <v>19</v>
      </c>
      <c r="W1742" s="15">
        <f t="shared" si="9"/>
        <v>9</v>
      </c>
      <c r="X1742" s="15">
        <f t="shared" si="10"/>
        <v>2025</v>
      </c>
    </row>
    <row r="1743">
      <c r="A1743" s="9">
        <v>45919.0</v>
      </c>
      <c r="B1743" s="10"/>
      <c r="C1743" s="9">
        <f t="shared" si="90"/>
        <v>45919</v>
      </c>
      <c r="D1743" s="11" t="s">
        <v>126</v>
      </c>
      <c r="E1743" s="11" t="s">
        <v>25</v>
      </c>
      <c r="F1743" s="11" t="s">
        <v>40</v>
      </c>
      <c r="G1743" s="11" t="s">
        <v>27</v>
      </c>
      <c r="I1743" s="12">
        <v>661.92</v>
      </c>
      <c r="J1743" s="13"/>
      <c r="K1743" s="13">
        <f t="shared" si="99"/>
        <v>661.92</v>
      </c>
      <c r="L1743" s="11" t="s">
        <v>29</v>
      </c>
      <c r="M1743" s="14"/>
      <c r="N1743" s="11" t="s">
        <v>126</v>
      </c>
      <c r="O1743" s="10" t="str">
        <f t="shared" si="79"/>
        <v>09/2025</v>
      </c>
      <c r="P1743" s="10" t="str">
        <f t="shared" si="81"/>
        <v>09/2025</v>
      </c>
      <c r="Q1743" s="15" t="str">
        <f t="array" ref="Q1743">IFERROR(XLOOKUP(N1743,'Classificação'!A:A,'Classificação'!B:B),"")</f>
        <v>DESPESAS COM PESSOAL</v>
      </c>
      <c r="R1743" s="15" t="str">
        <f t="array" ref="R1743">IFERROR(XLOOKUP(Q1743,'Classificação'!B:B,'Classificação'!C:C),"")</f>
        <v>DESPESAS FIXAS (-)</v>
      </c>
      <c r="S1743" s="15">
        <f t="shared" si="91"/>
        <v>19</v>
      </c>
      <c r="T1743" s="15">
        <f t="shared" si="6"/>
        <v>9</v>
      </c>
      <c r="U1743" s="15">
        <f t="shared" si="7"/>
        <v>2025</v>
      </c>
      <c r="V1743" s="15">
        <f t="shared" si="8"/>
        <v>19</v>
      </c>
      <c r="W1743" s="15">
        <f t="shared" si="9"/>
        <v>9</v>
      </c>
      <c r="X1743" s="15">
        <f t="shared" si="10"/>
        <v>2025</v>
      </c>
    </row>
    <row r="1744">
      <c r="A1744" s="9">
        <v>45922.0</v>
      </c>
      <c r="B1744" s="9">
        <v>45814.0</v>
      </c>
      <c r="C1744" s="9">
        <f t="shared" si="90"/>
        <v>45922</v>
      </c>
      <c r="D1744" s="11" t="s">
        <v>861</v>
      </c>
      <c r="E1744" s="11" t="s">
        <v>25</v>
      </c>
      <c r="F1744" s="11" t="s">
        <v>110</v>
      </c>
      <c r="G1744" s="11" t="s">
        <v>27</v>
      </c>
      <c r="H1744" s="11" t="s">
        <v>862</v>
      </c>
      <c r="I1744" s="12">
        <v>58.66</v>
      </c>
      <c r="J1744" s="13"/>
      <c r="K1744" s="13">
        <f t="shared" si="99"/>
        <v>58.66</v>
      </c>
      <c r="L1744" s="11" t="s">
        <v>53</v>
      </c>
      <c r="M1744" s="17">
        <v>45811.0</v>
      </c>
      <c r="N1744" s="11" t="s">
        <v>394</v>
      </c>
      <c r="O1744" s="10" t="str">
        <f t="shared" si="79"/>
        <v>09/2025</v>
      </c>
      <c r="P1744" s="10" t="str">
        <f t="shared" si="81"/>
        <v>09/2025</v>
      </c>
      <c r="Q1744" s="15" t="str">
        <f t="array" ref="Q1744">IFERROR(XLOOKUP(N1744,'Classificação'!A:A,'Classificação'!B:B),"")</f>
        <v>DESPESAS NÃO OPERACIONAIS</v>
      </c>
      <c r="R1744" s="15" t="str">
        <f t="array" ref="R1744">IFERROR(XLOOKUP(Q1744,'Classificação'!B:B,'Classificação'!C:C),"")</f>
        <v>RESULTADO NÃO OPERACIONAL (+/-)</v>
      </c>
      <c r="S1744" s="15">
        <f t="shared" si="91"/>
        <v>22</v>
      </c>
      <c r="T1744" s="15">
        <f t="shared" si="6"/>
        <v>9</v>
      </c>
      <c r="U1744" s="15">
        <f t="shared" si="7"/>
        <v>2025</v>
      </c>
      <c r="V1744" s="15">
        <f t="shared" si="8"/>
        <v>22</v>
      </c>
      <c r="W1744" s="15">
        <f t="shared" si="9"/>
        <v>9</v>
      </c>
      <c r="X1744" s="15">
        <f t="shared" si="10"/>
        <v>2025</v>
      </c>
    </row>
    <row r="1745">
      <c r="A1745" s="9">
        <v>45922.0</v>
      </c>
      <c r="B1745" s="9">
        <v>45737.0</v>
      </c>
      <c r="C1745" s="9">
        <f t="shared" si="90"/>
        <v>45922</v>
      </c>
      <c r="D1745" s="11" t="s">
        <v>65</v>
      </c>
      <c r="E1745" s="11" t="s">
        <v>25</v>
      </c>
      <c r="F1745" s="11" t="s">
        <v>110</v>
      </c>
      <c r="G1745" s="11" t="s">
        <v>27</v>
      </c>
      <c r="H1745" s="11" t="s">
        <v>681</v>
      </c>
      <c r="I1745" s="12">
        <v>47.2</v>
      </c>
      <c r="J1745" s="13"/>
      <c r="K1745" s="13">
        <f t="shared" si="99"/>
        <v>47.2</v>
      </c>
      <c r="L1745" s="11" t="s">
        <v>53</v>
      </c>
      <c r="M1745" s="17">
        <v>45997.0</v>
      </c>
      <c r="N1745" s="11" t="s">
        <v>95</v>
      </c>
      <c r="O1745" s="10" t="str">
        <f t="shared" si="79"/>
        <v>09/2025</v>
      </c>
      <c r="P1745" s="10" t="str">
        <f t="shared" si="81"/>
        <v>09/2025</v>
      </c>
      <c r="Q1745" s="15" t="str">
        <f t="array" ref="Q1745">IFERROR(XLOOKUP(N1745,'Classificação'!A:A,'Classificação'!B:B),"")</f>
        <v>DESPESAS NÃO OPERACIONAIS</v>
      </c>
      <c r="R1745" s="15" t="str">
        <f t="array" ref="R1745">IFERROR(XLOOKUP(Q1745,'Classificação'!B:B,'Classificação'!C:C),"")</f>
        <v>RESULTADO NÃO OPERACIONAL (+/-)</v>
      </c>
      <c r="S1745" s="15">
        <f t="shared" si="91"/>
        <v>22</v>
      </c>
      <c r="T1745" s="15">
        <f t="shared" si="6"/>
        <v>9</v>
      </c>
      <c r="U1745" s="15">
        <f t="shared" si="7"/>
        <v>2025</v>
      </c>
      <c r="V1745" s="15">
        <f t="shared" si="8"/>
        <v>22</v>
      </c>
      <c r="W1745" s="15">
        <f t="shared" si="9"/>
        <v>9</v>
      </c>
      <c r="X1745" s="15">
        <f t="shared" si="10"/>
        <v>2025</v>
      </c>
    </row>
    <row r="1746">
      <c r="A1746" s="9">
        <v>45922.0</v>
      </c>
      <c r="B1746" s="9">
        <v>45737.0</v>
      </c>
      <c r="C1746" s="9">
        <f t="shared" si="90"/>
        <v>45922</v>
      </c>
      <c r="D1746" s="11" t="s">
        <v>65</v>
      </c>
      <c r="E1746" s="11" t="s">
        <v>25</v>
      </c>
      <c r="F1746" s="11" t="s">
        <v>110</v>
      </c>
      <c r="G1746" s="11" t="s">
        <v>27</v>
      </c>
      <c r="H1746" s="11" t="s">
        <v>682</v>
      </c>
      <c r="I1746" s="12">
        <v>82.27</v>
      </c>
      <c r="J1746" s="13"/>
      <c r="K1746" s="13">
        <f t="shared" si="99"/>
        <v>82.27</v>
      </c>
      <c r="L1746" s="11" t="s">
        <v>53</v>
      </c>
      <c r="M1746" s="17">
        <v>45936.0</v>
      </c>
      <c r="N1746" s="11" t="s">
        <v>95</v>
      </c>
      <c r="O1746" s="10" t="str">
        <f t="shared" si="79"/>
        <v>09/2025</v>
      </c>
      <c r="P1746" s="10" t="str">
        <f t="shared" si="81"/>
        <v>09/2025</v>
      </c>
      <c r="Q1746" s="15" t="str">
        <f t="array" ref="Q1746">IFERROR(XLOOKUP(N1746,'Classificação'!A:A,'Classificação'!B:B),"")</f>
        <v>DESPESAS NÃO OPERACIONAIS</v>
      </c>
      <c r="R1746" s="15" t="str">
        <f t="array" ref="R1746">IFERROR(XLOOKUP(Q1746,'Classificação'!B:B,'Classificação'!C:C),"")</f>
        <v>RESULTADO NÃO OPERACIONAL (+/-)</v>
      </c>
      <c r="S1746" s="15">
        <f t="shared" si="91"/>
        <v>22</v>
      </c>
      <c r="T1746" s="15">
        <f t="shared" si="6"/>
        <v>9</v>
      </c>
      <c r="U1746" s="15">
        <f t="shared" si="7"/>
        <v>2025</v>
      </c>
      <c r="V1746" s="15">
        <f t="shared" si="8"/>
        <v>22</v>
      </c>
      <c r="W1746" s="15">
        <f t="shared" si="9"/>
        <v>9</v>
      </c>
      <c r="X1746" s="15">
        <f t="shared" si="10"/>
        <v>2025</v>
      </c>
    </row>
    <row r="1747">
      <c r="A1747" s="9">
        <v>45922.0</v>
      </c>
      <c r="B1747" s="9">
        <v>45741.0</v>
      </c>
      <c r="C1747" s="9">
        <f t="shared" si="90"/>
        <v>45922</v>
      </c>
      <c r="D1747" s="11" t="s">
        <v>685</v>
      </c>
      <c r="E1747" s="11" t="s">
        <v>25</v>
      </c>
      <c r="F1747" s="11" t="s">
        <v>110</v>
      </c>
      <c r="G1747" s="11" t="s">
        <v>27</v>
      </c>
      <c r="H1747" s="11" t="s">
        <v>686</v>
      </c>
      <c r="I1747" s="12">
        <v>121.04</v>
      </c>
      <c r="J1747" s="13"/>
      <c r="K1747" s="13">
        <f t="shared" si="99"/>
        <v>121.04</v>
      </c>
      <c r="L1747" s="11" t="s">
        <v>53</v>
      </c>
      <c r="M1747" s="17">
        <v>45814.0</v>
      </c>
      <c r="N1747" s="11" t="s">
        <v>95</v>
      </c>
      <c r="O1747" s="10" t="str">
        <f t="shared" si="79"/>
        <v>09/2025</v>
      </c>
      <c r="P1747" s="10" t="str">
        <f t="shared" si="81"/>
        <v>09/2025</v>
      </c>
      <c r="Q1747" s="15" t="str">
        <f t="array" ref="Q1747">IFERROR(XLOOKUP(N1747,'Classificação'!A:A,'Classificação'!B:B),"")</f>
        <v>DESPESAS NÃO OPERACIONAIS</v>
      </c>
      <c r="R1747" s="15" t="str">
        <f t="array" ref="R1747">IFERROR(XLOOKUP(Q1747,'Classificação'!B:B,'Classificação'!C:C),"")</f>
        <v>RESULTADO NÃO OPERACIONAL (+/-)</v>
      </c>
      <c r="S1747" s="15">
        <f t="shared" si="91"/>
        <v>22</v>
      </c>
      <c r="T1747" s="15">
        <f t="shared" si="6"/>
        <v>9</v>
      </c>
      <c r="U1747" s="15">
        <f t="shared" si="7"/>
        <v>2025</v>
      </c>
      <c r="V1747" s="15">
        <f t="shared" si="8"/>
        <v>22</v>
      </c>
      <c r="W1747" s="15">
        <f t="shared" si="9"/>
        <v>9</v>
      </c>
      <c r="X1747" s="15">
        <f t="shared" si="10"/>
        <v>2025</v>
      </c>
    </row>
    <row r="1748">
      <c r="A1748" s="9">
        <v>45922.0</v>
      </c>
      <c r="B1748" s="9">
        <v>45776.0</v>
      </c>
      <c r="C1748" s="9">
        <f t="shared" si="90"/>
        <v>45922</v>
      </c>
      <c r="D1748" s="11" t="s">
        <v>65</v>
      </c>
      <c r="E1748" s="11" t="s">
        <v>25</v>
      </c>
      <c r="F1748" s="11" t="s">
        <v>110</v>
      </c>
      <c r="G1748" s="11" t="s">
        <v>27</v>
      </c>
      <c r="H1748" s="11" t="s">
        <v>752</v>
      </c>
      <c r="I1748" s="12">
        <v>98.4</v>
      </c>
      <c r="J1748" s="13"/>
      <c r="K1748" s="13">
        <f t="shared" si="99"/>
        <v>98.4</v>
      </c>
      <c r="L1748" s="11" t="s">
        <v>53</v>
      </c>
      <c r="M1748" s="17">
        <v>45935.0</v>
      </c>
      <c r="N1748" s="11" t="s">
        <v>58</v>
      </c>
      <c r="O1748" s="10" t="str">
        <f t="shared" si="79"/>
        <v>09/2025</v>
      </c>
      <c r="P1748" s="10" t="str">
        <f t="shared" si="81"/>
        <v>09/2025</v>
      </c>
      <c r="Q1748" s="15" t="str">
        <f t="array" ref="Q1748">IFERROR(XLOOKUP(N1748,'Classificação'!A:A,'Classificação'!B:B),"")</f>
        <v>DESPESAS ADMINISTRATIVAS</v>
      </c>
      <c r="R1748" s="15" t="str">
        <f t="array" ref="R1748">IFERROR(XLOOKUP(Q1748,'Classificação'!B:B,'Classificação'!C:C),"")</f>
        <v>DESPESAS FIXAS (-)</v>
      </c>
      <c r="S1748" s="15">
        <f t="shared" si="91"/>
        <v>22</v>
      </c>
      <c r="T1748" s="15">
        <f t="shared" si="6"/>
        <v>9</v>
      </c>
      <c r="U1748" s="15">
        <f t="shared" si="7"/>
        <v>2025</v>
      </c>
      <c r="V1748" s="15">
        <f t="shared" si="8"/>
        <v>22</v>
      </c>
      <c r="W1748" s="15">
        <f t="shared" si="9"/>
        <v>9</v>
      </c>
      <c r="X1748" s="15">
        <f t="shared" si="10"/>
        <v>2025</v>
      </c>
    </row>
    <row r="1749">
      <c r="A1749" s="9">
        <v>45922.0</v>
      </c>
      <c r="B1749" s="9">
        <v>45891.0</v>
      </c>
      <c r="C1749" s="9">
        <f t="shared" si="90"/>
        <v>45922</v>
      </c>
      <c r="D1749" s="11" t="s">
        <v>182</v>
      </c>
      <c r="E1749" s="11" t="s">
        <v>25</v>
      </c>
      <c r="F1749" s="11" t="s">
        <v>107</v>
      </c>
      <c r="G1749" s="11" t="s">
        <v>27</v>
      </c>
      <c r="H1749" s="11" t="s">
        <v>946</v>
      </c>
      <c r="I1749" s="31">
        <v>11.07</v>
      </c>
      <c r="J1749" s="13"/>
      <c r="K1749" s="13">
        <f t="shared" si="99"/>
        <v>11.07</v>
      </c>
      <c r="L1749" s="11" t="s">
        <v>34</v>
      </c>
      <c r="M1749" s="14"/>
      <c r="N1749" s="11" t="s">
        <v>184</v>
      </c>
      <c r="O1749" s="10" t="str">
        <f t="shared" si="79"/>
        <v>09/2025</v>
      </c>
      <c r="P1749" s="10" t="str">
        <f t="shared" si="81"/>
        <v>09/2025</v>
      </c>
      <c r="Q1749" s="15" t="str">
        <f t="array" ref="Q1749">IFERROR(XLOOKUP(N1749,'Classificação'!A:A,'Classificação'!B:B),"")</f>
        <v>DESPESAS ADMINISTRATIVAS</v>
      </c>
      <c r="R1749" s="15" t="str">
        <f t="array" ref="R1749">IFERROR(XLOOKUP(Q1749,'Classificação'!B:B,'Classificação'!C:C),"")</f>
        <v>DESPESAS FIXAS (-)</v>
      </c>
      <c r="S1749" s="15">
        <f t="shared" si="91"/>
        <v>22</v>
      </c>
      <c r="T1749" s="15">
        <f t="shared" si="6"/>
        <v>9</v>
      </c>
      <c r="U1749" s="15">
        <f t="shared" si="7"/>
        <v>2025</v>
      </c>
      <c r="V1749" s="15">
        <f t="shared" si="8"/>
        <v>22</v>
      </c>
      <c r="W1749" s="15">
        <f t="shared" si="9"/>
        <v>9</v>
      </c>
      <c r="X1749" s="15">
        <f t="shared" si="10"/>
        <v>2025</v>
      </c>
    </row>
    <row r="1750">
      <c r="A1750" s="9">
        <v>45922.0</v>
      </c>
      <c r="B1750" s="9">
        <v>45848.0</v>
      </c>
      <c r="C1750" s="9">
        <f t="shared" si="90"/>
        <v>45922</v>
      </c>
      <c r="D1750" s="11" t="s">
        <v>65</v>
      </c>
      <c r="E1750" s="11" t="s">
        <v>25</v>
      </c>
      <c r="F1750" s="11" t="s">
        <v>107</v>
      </c>
      <c r="G1750" s="11" t="s">
        <v>27</v>
      </c>
      <c r="H1750" s="11" t="s">
        <v>909</v>
      </c>
      <c r="I1750" s="31">
        <v>52.25</v>
      </c>
      <c r="J1750" s="13"/>
      <c r="K1750" s="13">
        <f t="shared" si="99"/>
        <v>52.25</v>
      </c>
      <c r="L1750" s="11" t="s">
        <v>53</v>
      </c>
      <c r="M1750" s="17">
        <v>45690.0</v>
      </c>
      <c r="N1750" s="11" t="s">
        <v>143</v>
      </c>
      <c r="O1750" s="10" t="str">
        <f t="shared" si="79"/>
        <v>09/2025</v>
      </c>
      <c r="P1750" s="10" t="str">
        <f t="shared" si="81"/>
        <v>09/2025</v>
      </c>
      <c r="Q1750" s="15" t="str">
        <f t="array" ref="Q1750">IFERROR(XLOOKUP(N1750,'Classificação'!A:A,'Classificação'!B:B),"")</f>
        <v>EMBALAGENS/FITAS/GERAL</v>
      </c>
      <c r="R1750" s="15" t="str">
        <f t="array" ref="R1750">IFERROR(XLOOKUP(Q1750,'Classificação'!B:B,'Classificação'!C:C),"")</f>
        <v>CUSTOS VARIÁVEIS</v>
      </c>
      <c r="S1750" s="15">
        <f t="shared" si="91"/>
        <v>22</v>
      </c>
      <c r="T1750" s="15">
        <f t="shared" si="6"/>
        <v>9</v>
      </c>
      <c r="U1750" s="15">
        <f t="shared" si="7"/>
        <v>2025</v>
      </c>
      <c r="V1750" s="15">
        <f t="shared" si="8"/>
        <v>22</v>
      </c>
      <c r="W1750" s="15">
        <f t="shared" si="9"/>
        <v>9</v>
      </c>
      <c r="X1750" s="15">
        <f t="shared" si="10"/>
        <v>2025</v>
      </c>
    </row>
    <row r="1751">
      <c r="A1751" s="9">
        <v>45922.0</v>
      </c>
      <c r="B1751" s="9">
        <v>45818.0</v>
      </c>
      <c r="C1751" s="9">
        <f t="shared" si="90"/>
        <v>45922</v>
      </c>
      <c r="D1751" s="11" t="s">
        <v>65</v>
      </c>
      <c r="E1751" s="11" t="s">
        <v>25</v>
      </c>
      <c r="F1751" s="11" t="s">
        <v>107</v>
      </c>
      <c r="G1751" s="11" t="s">
        <v>27</v>
      </c>
      <c r="H1751" s="11" t="s">
        <v>677</v>
      </c>
      <c r="I1751" s="31">
        <v>250.8</v>
      </c>
      <c r="J1751" s="13"/>
      <c r="K1751" s="13">
        <f t="shared" si="99"/>
        <v>250.8</v>
      </c>
      <c r="L1751" s="11" t="s">
        <v>53</v>
      </c>
      <c r="M1751" s="17">
        <v>45719.0</v>
      </c>
      <c r="N1751" s="11" t="s">
        <v>143</v>
      </c>
      <c r="O1751" s="10" t="str">
        <f t="shared" si="79"/>
        <v>09/2025</v>
      </c>
      <c r="P1751" s="10" t="str">
        <f t="shared" si="81"/>
        <v>09/2025</v>
      </c>
      <c r="Q1751" s="15" t="str">
        <f t="array" ref="Q1751">IFERROR(XLOOKUP(N1751,'Classificação'!A:A,'Classificação'!B:B),"")</f>
        <v>EMBALAGENS/FITAS/GERAL</v>
      </c>
      <c r="R1751" s="15" t="str">
        <f t="array" ref="R1751">IFERROR(XLOOKUP(Q1751,'Classificação'!B:B,'Classificação'!C:C),"")</f>
        <v>CUSTOS VARIÁVEIS</v>
      </c>
      <c r="S1751" s="15">
        <f t="shared" si="91"/>
        <v>22</v>
      </c>
      <c r="T1751" s="15">
        <f t="shared" si="6"/>
        <v>9</v>
      </c>
      <c r="U1751" s="15">
        <f t="shared" si="7"/>
        <v>2025</v>
      </c>
      <c r="V1751" s="15">
        <f t="shared" si="8"/>
        <v>22</v>
      </c>
      <c r="W1751" s="15">
        <f t="shared" si="9"/>
        <v>9</v>
      </c>
      <c r="X1751" s="15">
        <f t="shared" si="10"/>
        <v>2025</v>
      </c>
    </row>
    <row r="1752">
      <c r="A1752" s="9">
        <v>45922.0</v>
      </c>
      <c r="B1752" s="9">
        <v>45818.0</v>
      </c>
      <c r="C1752" s="9">
        <f t="shared" si="90"/>
        <v>45922</v>
      </c>
      <c r="D1752" s="11" t="s">
        <v>65</v>
      </c>
      <c r="E1752" s="11" t="s">
        <v>25</v>
      </c>
      <c r="F1752" s="11" t="s">
        <v>107</v>
      </c>
      <c r="G1752" s="11" t="s">
        <v>27</v>
      </c>
      <c r="H1752" s="11" t="s">
        <v>870</v>
      </c>
      <c r="I1752" s="31">
        <v>110.82</v>
      </c>
      <c r="J1752" s="13"/>
      <c r="K1752" s="13">
        <f t="shared" si="99"/>
        <v>110.82</v>
      </c>
      <c r="L1752" s="11" t="s">
        <v>53</v>
      </c>
      <c r="M1752" s="17">
        <v>45719.0</v>
      </c>
      <c r="N1752" s="11" t="s">
        <v>143</v>
      </c>
      <c r="O1752" s="10" t="str">
        <f t="shared" si="79"/>
        <v>09/2025</v>
      </c>
      <c r="P1752" s="10" t="str">
        <f t="shared" si="81"/>
        <v>09/2025</v>
      </c>
      <c r="Q1752" s="15" t="str">
        <f t="array" ref="Q1752">IFERROR(XLOOKUP(N1752,'Classificação'!A:A,'Classificação'!B:B),"")</f>
        <v>EMBALAGENS/FITAS/GERAL</v>
      </c>
      <c r="R1752" s="15" t="str">
        <f t="array" ref="R1752">IFERROR(XLOOKUP(Q1752,'Classificação'!B:B,'Classificação'!C:C),"")</f>
        <v>CUSTOS VARIÁVEIS</v>
      </c>
      <c r="S1752" s="15">
        <f t="shared" si="91"/>
        <v>22</v>
      </c>
      <c r="T1752" s="15">
        <f t="shared" si="6"/>
        <v>9</v>
      </c>
      <c r="U1752" s="15">
        <f t="shared" si="7"/>
        <v>2025</v>
      </c>
      <c r="V1752" s="15">
        <f t="shared" si="8"/>
        <v>22</v>
      </c>
      <c r="W1752" s="15">
        <f t="shared" si="9"/>
        <v>9</v>
      </c>
      <c r="X1752" s="15">
        <f t="shared" si="10"/>
        <v>2025</v>
      </c>
    </row>
    <row r="1753">
      <c r="A1753" s="9">
        <v>45922.0</v>
      </c>
      <c r="B1753" s="9">
        <v>45775.0</v>
      </c>
      <c r="C1753" s="9">
        <f t="shared" si="90"/>
        <v>45922</v>
      </c>
      <c r="D1753" s="11" t="s">
        <v>65</v>
      </c>
      <c r="E1753" s="11" t="s">
        <v>25</v>
      </c>
      <c r="F1753" s="11" t="s">
        <v>107</v>
      </c>
      <c r="G1753" s="11" t="s">
        <v>27</v>
      </c>
      <c r="H1753" s="11" t="s">
        <v>947</v>
      </c>
      <c r="I1753" s="31">
        <v>50.64</v>
      </c>
      <c r="J1753" s="13"/>
      <c r="K1753" s="13">
        <f t="shared" si="99"/>
        <v>50.64</v>
      </c>
      <c r="L1753" s="11" t="s">
        <v>53</v>
      </c>
      <c r="M1753" s="17">
        <v>45812.0</v>
      </c>
      <c r="N1753" s="11" t="s">
        <v>175</v>
      </c>
      <c r="O1753" s="10" t="str">
        <f t="shared" si="79"/>
        <v>09/2025</v>
      </c>
      <c r="P1753" s="10" t="str">
        <f t="shared" si="81"/>
        <v>09/2025</v>
      </c>
      <c r="Q1753" s="15" t="str">
        <f t="array" ref="Q1753">IFERROR(XLOOKUP(N1753,'Classificação'!A:A,'Classificação'!B:B),"")</f>
        <v>DESPESAS COM VEICULOS</v>
      </c>
      <c r="R1753" s="15" t="str">
        <f t="array" ref="R1753">IFERROR(XLOOKUP(Q1753,'Classificação'!B:B,'Classificação'!C:C),"")</f>
        <v>DESPESAS FIXAS (-)</v>
      </c>
      <c r="S1753" s="15">
        <f t="shared" si="91"/>
        <v>22</v>
      </c>
      <c r="T1753" s="15">
        <f t="shared" si="6"/>
        <v>9</v>
      </c>
      <c r="U1753" s="15">
        <f t="shared" si="7"/>
        <v>2025</v>
      </c>
      <c r="V1753" s="15">
        <f t="shared" si="8"/>
        <v>22</v>
      </c>
      <c r="W1753" s="15">
        <f t="shared" si="9"/>
        <v>9</v>
      </c>
      <c r="X1753" s="15">
        <f t="shared" si="10"/>
        <v>2025</v>
      </c>
    </row>
    <row r="1754">
      <c r="A1754" s="9">
        <v>45922.0</v>
      </c>
      <c r="B1754" s="9">
        <v>45553.0</v>
      </c>
      <c r="C1754" s="9">
        <f t="shared" si="90"/>
        <v>45922</v>
      </c>
      <c r="D1754" s="11" t="s">
        <v>313</v>
      </c>
      <c r="E1754" s="11" t="s">
        <v>25</v>
      </c>
      <c r="F1754" s="11" t="s">
        <v>107</v>
      </c>
      <c r="G1754" s="11" t="s">
        <v>27</v>
      </c>
      <c r="H1754" s="11" t="s">
        <v>314</v>
      </c>
      <c r="I1754" s="31">
        <v>287.13</v>
      </c>
      <c r="J1754" s="13"/>
      <c r="K1754" s="13">
        <f t="shared" si="99"/>
        <v>287.13</v>
      </c>
      <c r="L1754" s="11" t="s">
        <v>53</v>
      </c>
      <c r="M1754" s="17">
        <v>45638.0</v>
      </c>
      <c r="N1754" s="11" t="s">
        <v>95</v>
      </c>
      <c r="O1754" s="10" t="str">
        <f t="shared" si="79"/>
        <v>09/2025</v>
      </c>
      <c r="P1754" s="10" t="str">
        <f t="shared" si="81"/>
        <v>09/2025</v>
      </c>
      <c r="Q1754" s="15" t="str">
        <f t="array" ref="Q1754">IFERROR(XLOOKUP(N1754,'Classificação'!A:A,'Classificação'!B:B),"")</f>
        <v>DESPESAS NÃO OPERACIONAIS</v>
      </c>
      <c r="R1754" s="15" t="str">
        <f t="array" ref="R1754">IFERROR(XLOOKUP(Q1754,'Classificação'!B:B,'Classificação'!C:C),"")</f>
        <v>RESULTADO NÃO OPERACIONAL (+/-)</v>
      </c>
      <c r="S1754" s="15">
        <f t="shared" si="91"/>
        <v>22</v>
      </c>
      <c r="T1754" s="15">
        <f t="shared" si="6"/>
        <v>9</v>
      </c>
      <c r="U1754" s="15">
        <f t="shared" si="7"/>
        <v>2025</v>
      </c>
      <c r="V1754" s="15">
        <f t="shared" si="8"/>
        <v>22</v>
      </c>
      <c r="W1754" s="15">
        <f t="shared" si="9"/>
        <v>9</v>
      </c>
      <c r="X1754" s="15">
        <f t="shared" si="10"/>
        <v>2025</v>
      </c>
    </row>
    <row r="1755">
      <c r="A1755" s="9">
        <v>45922.0</v>
      </c>
      <c r="B1755" s="32">
        <v>45669.0</v>
      </c>
      <c r="C1755" s="9">
        <f t="shared" si="90"/>
        <v>45922</v>
      </c>
      <c r="D1755" s="11" t="s">
        <v>65</v>
      </c>
      <c r="E1755" s="11" t="s">
        <v>25</v>
      </c>
      <c r="F1755" s="11" t="s">
        <v>107</v>
      </c>
      <c r="G1755" s="11" t="s">
        <v>27</v>
      </c>
      <c r="H1755" s="11" t="s">
        <v>612</v>
      </c>
      <c r="I1755" s="31">
        <v>8.9</v>
      </c>
      <c r="J1755" s="13"/>
      <c r="K1755" s="13">
        <f t="shared" si="99"/>
        <v>8.9</v>
      </c>
      <c r="L1755" s="11" t="s">
        <v>29</v>
      </c>
      <c r="M1755" s="14"/>
      <c r="N1755" s="11" t="s">
        <v>105</v>
      </c>
      <c r="O1755" s="10" t="str">
        <f t="shared" si="79"/>
        <v>09/2025</v>
      </c>
      <c r="P1755" s="10" t="str">
        <f t="shared" si="81"/>
        <v>09/2025</v>
      </c>
      <c r="Q1755" s="15" t="str">
        <f t="array" ref="Q1755">IFERROR(XLOOKUP(N1755,'Classificação'!A:A,'Classificação'!B:B),"")</f>
        <v>DESPESAS ADMINISTRATIVAS</v>
      </c>
      <c r="R1755" s="15" t="str">
        <f t="array" ref="R1755">IFERROR(XLOOKUP(Q1755,'Classificação'!B:B,'Classificação'!C:C),"")</f>
        <v>DESPESAS FIXAS (-)</v>
      </c>
      <c r="S1755" s="15">
        <f t="shared" si="91"/>
        <v>22</v>
      </c>
      <c r="T1755" s="15">
        <f t="shared" si="6"/>
        <v>9</v>
      </c>
      <c r="U1755" s="15">
        <f t="shared" si="7"/>
        <v>2025</v>
      </c>
      <c r="V1755" s="15">
        <f t="shared" si="8"/>
        <v>22</v>
      </c>
      <c r="W1755" s="15">
        <f t="shared" si="9"/>
        <v>9</v>
      </c>
      <c r="X1755" s="15">
        <f t="shared" si="10"/>
        <v>2025</v>
      </c>
    </row>
    <row r="1756">
      <c r="A1756" s="9">
        <v>45922.0</v>
      </c>
      <c r="B1756" s="10"/>
      <c r="C1756" s="9">
        <f t="shared" si="90"/>
        <v>45922</v>
      </c>
      <c r="D1756" s="11" t="s">
        <v>631</v>
      </c>
      <c r="E1756" s="11" t="s">
        <v>25</v>
      </c>
      <c r="F1756" s="11" t="s">
        <v>107</v>
      </c>
      <c r="G1756" s="11" t="s">
        <v>27</v>
      </c>
      <c r="H1756" s="11" t="s">
        <v>632</v>
      </c>
      <c r="I1756" s="31">
        <v>110.82</v>
      </c>
      <c r="J1756" s="13"/>
      <c r="K1756" s="13">
        <f t="shared" si="99"/>
        <v>110.82</v>
      </c>
      <c r="L1756" s="11" t="s">
        <v>53</v>
      </c>
      <c r="M1756" s="17">
        <v>45845.0</v>
      </c>
      <c r="N1756" s="11" t="s">
        <v>178</v>
      </c>
      <c r="O1756" s="10" t="str">
        <f t="shared" si="79"/>
        <v>09/2025</v>
      </c>
      <c r="P1756" s="10" t="str">
        <f t="shared" si="81"/>
        <v>09/2025</v>
      </c>
      <c r="Q1756" s="15" t="str">
        <f t="array" ref="Q1756">IFERROR(XLOOKUP(N1756,'Classificação'!A:A,'Classificação'!B:B),"")</f>
        <v>DESPESAS COM OCUPAÇÃO</v>
      </c>
      <c r="R1756" s="15" t="str">
        <f t="array" ref="R1756">IFERROR(XLOOKUP(Q1756,'Classificação'!B:B,'Classificação'!C:C),"")</f>
        <v>DESPESAS FIXAS (-)</v>
      </c>
      <c r="S1756" s="15">
        <f t="shared" si="91"/>
        <v>22</v>
      </c>
      <c r="T1756" s="15">
        <f t="shared" si="6"/>
        <v>9</v>
      </c>
      <c r="U1756" s="15">
        <f t="shared" si="7"/>
        <v>2025</v>
      </c>
      <c r="V1756" s="15">
        <f t="shared" si="8"/>
        <v>22</v>
      </c>
      <c r="W1756" s="15">
        <f t="shared" si="9"/>
        <v>9</v>
      </c>
      <c r="X1756" s="15">
        <f t="shared" si="10"/>
        <v>2025</v>
      </c>
    </row>
    <row r="1757">
      <c r="A1757" s="9">
        <v>45922.0</v>
      </c>
      <c r="B1757" s="19">
        <v>45747.0</v>
      </c>
      <c r="C1757" s="9">
        <f t="shared" si="90"/>
        <v>45922</v>
      </c>
      <c r="D1757" s="11" t="s">
        <v>691</v>
      </c>
      <c r="E1757" s="11" t="s">
        <v>25</v>
      </c>
      <c r="F1757" s="11" t="s">
        <v>107</v>
      </c>
      <c r="G1757" s="11" t="s">
        <v>27</v>
      </c>
      <c r="H1757" s="11" t="s">
        <v>692</v>
      </c>
      <c r="I1757" s="31">
        <v>98.93</v>
      </c>
      <c r="J1757" s="13"/>
      <c r="K1757" s="13">
        <f t="shared" si="99"/>
        <v>98.93</v>
      </c>
      <c r="L1757" s="11" t="s">
        <v>53</v>
      </c>
      <c r="M1757" s="17">
        <v>45997.0</v>
      </c>
      <c r="N1757" s="11" t="s">
        <v>693</v>
      </c>
      <c r="O1757" s="10" t="str">
        <f t="shared" si="79"/>
        <v>09/2025</v>
      </c>
      <c r="P1757" s="10" t="str">
        <f t="shared" si="81"/>
        <v>09/2025</v>
      </c>
      <c r="Q1757" s="15" t="str">
        <f t="array" ref="Q1757">IFERROR(XLOOKUP(N1757,'Classificação'!A:A,'Classificação'!B:B),"")</f>
        <v>DESPESAS COM OCUPAÇÃO</v>
      </c>
      <c r="R1757" s="15" t="str">
        <f t="array" ref="R1757">IFERROR(XLOOKUP(Q1757,'Classificação'!B:B,'Classificação'!C:C),"")</f>
        <v>DESPESAS FIXAS (-)</v>
      </c>
      <c r="S1757" s="15">
        <f t="shared" si="91"/>
        <v>22</v>
      </c>
      <c r="T1757" s="15">
        <f t="shared" si="6"/>
        <v>9</v>
      </c>
      <c r="U1757" s="15">
        <f t="shared" si="7"/>
        <v>2025</v>
      </c>
      <c r="V1757" s="15">
        <f t="shared" si="8"/>
        <v>22</v>
      </c>
      <c r="W1757" s="15">
        <f t="shared" si="9"/>
        <v>9</v>
      </c>
      <c r="X1757" s="15">
        <f t="shared" si="10"/>
        <v>2025</v>
      </c>
    </row>
    <row r="1758">
      <c r="A1758" s="9">
        <v>45922.0</v>
      </c>
      <c r="B1758" s="9">
        <v>45754.0</v>
      </c>
      <c r="C1758" s="9">
        <f t="shared" si="90"/>
        <v>45922</v>
      </c>
      <c r="D1758" s="11" t="s">
        <v>699</v>
      </c>
      <c r="E1758" s="11" t="s">
        <v>25</v>
      </c>
      <c r="F1758" s="11" t="s">
        <v>107</v>
      </c>
      <c r="G1758" s="11" t="s">
        <v>27</v>
      </c>
      <c r="H1758" s="11" t="s">
        <v>700</v>
      </c>
      <c r="I1758" s="31">
        <v>57.0</v>
      </c>
      <c r="J1758" s="13"/>
      <c r="K1758" s="13">
        <f t="shared" si="99"/>
        <v>57</v>
      </c>
      <c r="L1758" s="11" t="s">
        <v>53</v>
      </c>
      <c r="M1758" s="17">
        <v>45935.0</v>
      </c>
      <c r="N1758" s="11" t="s">
        <v>95</v>
      </c>
      <c r="O1758" s="10" t="str">
        <f t="shared" si="79"/>
        <v>09/2025</v>
      </c>
      <c r="P1758" s="10" t="str">
        <f t="shared" si="81"/>
        <v>09/2025</v>
      </c>
      <c r="Q1758" s="15" t="str">
        <f t="array" ref="Q1758">IFERROR(XLOOKUP(N1758,'Classificação'!A:A,'Classificação'!B:B),"")</f>
        <v>DESPESAS NÃO OPERACIONAIS</v>
      </c>
      <c r="R1758" s="15" t="str">
        <f t="array" ref="R1758">IFERROR(XLOOKUP(Q1758,'Classificação'!B:B,'Classificação'!C:C),"")</f>
        <v>RESULTADO NÃO OPERACIONAL (+/-)</v>
      </c>
      <c r="S1758" s="15">
        <f t="shared" si="91"/>
        <v>22</v>
      </c>
      <c r="T1758" s="15">
        <f t="shared" si="6"/>
        <v>9</v>
      </c>
      <c r="U1758" s="15">
        <f t="shared" si="7"/>
        <v>2025</v>
      </c>
      <c r="V1758" s="15">
        <f t="shared" si="8"/>
        <v>22</v>
      </c>
      <c r="W1758" s="15">
        <f t="shared" si="9"/>
        <v>9</v>
      </c>
      <c r="X1758" s="15">
        <f t="shared" si="10"/>
        <v>2025</v>
      </c>
    </row>
    <row r="1759">
      <c r="A1759" s="9">
        <v>45922.0</v>
      </c>
      <c r="B1759" s="9">
        <v>45757.0</v>
      </c>
      <c r="C1759" s="9">
        <f t="shared" si="90"/>
        <v>45922</v>
      </c>
      <c r="D1759" s="11" t="s">
        <v>65</v>
      </c>
      <c r="E1759" s="11" t="s">
        <v>25</v>
      </c>
      <c r="F1759" s="11" t="s">
        <v>107</v>
      </c>
      <c r="G1759" s="11" t="s">
        <v>27</v>
      </c>
      <c r="H1759" s="11" t="s">
        <v>681</v>
      </c>
      <c r="I1759" s="31">
        <v>47.73</v>
      </c>
      <c r="J1759" s="13"/>
      <c r="K1759" s="13">
        <f t="shared" si="99"/>
        <v>47.73</v>
      </c>
      <c r="L1759" s="11" t="s">
        <v>53</v>
      </c>
      <c r="M1759" s="17">
        <v>45996.0</v>
      </c>
      <c r="N1759" s="11" t="s">
        <v>95</v>
      </c>
      <c r="O1759" s="10" t="str">
        <f t="shared" si="79"/>
        <v>09/2025</v>
      </c>
      <c r="P1759" s="10" t="str">
        <f t="shared" si="81"/>
        <v>09/2025</v>
      </c>
      <c r="Q1759" s="15" t="str">
        <f t="array" ref="Q1759">IFERROR(XLOOKUP(N1759,'Classificação'!A:A,'Classificação'!B:B),"")</f>
        <v>DESPESAS NÃO OPERACIONAIS</v>
      </c>
      <c r="R1759" s="15" t="str">
        <f t="array" ref="R1759">IFERROR(XLOOKUP(Q1759,'Classificação'!B:B,'Classificação'!C:C),"")</f>
        <v>RESULTADO NÃO OPERACIONAL (+/-)</v>
      </c>
      <c r="S1759" s="15">
        <f t="shared" si="91"/>
        <v>22</v>
      </c>
      <c r="T1759" s="15">
        <f t="shared" si="6"/>
        <v>9</v>
      </c>
      <c r="U1759" s="15">
        <f t="shared" si="7"/>
        <v>2025</v>
      </c>
      <c r="V1759" s="15">
        <f t="shared" si="8"/>
        <v>22</v>
      </c>
      <c r="W1759" s="15">
        <f t="shared" si="9"/>
        <v>9</v>
      </c>
      <c r="X1759" s="15">
        <f t="shared" si="10"/>
        <v>2025</v>
      </c>
    </row>
    <row r="1760">
      <c r="A1760" s="26">
        <v>45922.0</v>
      </c>
      <c r="B1760" s="9">
        <v>45757.0</v>
      </c>
      <c r="C1760" s="9">
        <f t="shared" si="90"/>
        <v>45922</v>
      </c>
      <c r="D1760" s="11" t="s">
        <v>65</v>
      </c>
      <c r="E1760" s="11" t="s">
        <v>25</v>
      </c>
      <c r="F1760" s="11" t="s">
        <v>107</v>
      </c>
      <c r="G1760" s="11" t="s">
        <v>27</v>
      </c>
      <c r="H1760" s="11" t="s">
        <v>739</v>
      </c>
      <c r="I1760" s="31">
        <v>48.17</v>
      </c>
      <c r="J1760" s="13"/>
      <c r="K1760" s="13">
        <f t="shared" si="99"/>
        <v>48.17</v>
      </c>
      <c r="L1760" s="11" t="s">
        <v>53</v>
      </c>
      <c r="M1760" s="17">
        <v>45966.0</v>
      </c>
      <c r="N1760" s="11" t="s">
        <v>95</v>
      </c>
      <c r="O1760" s="10" t="str">
        <f t="shared" si="79"/>
        <v>09/2025</v>
      </c>
      <c r="P1760" s="10" t="str">
        <f t="shared" si="81"/>
        <v>09/2025</v>
      </c>
      <c r="Q1760" s="15" t="str">
        <f t="array" ref="Q1760">IFERROR(XLOOKUP(N1760,'Classificação'!A:A,'Classificação'!B:B),"")</f>
        <v>DESPESAS NÃO OPERACIONAIS</v>
      </c>
      <c r="R1760" s="15" t="str">
        <f t="array" ref="R1760">IFERROR(XLOOKUP(Q1760,'Classificação'!B:B,'Classificação'!C:C),"")</f>
        <v>RESULTADO NÃO OPERACIONAL (+/-)</v>
      </c>
      <c r="S1760" s="15">
        <f t="shared" si="91"/>
        <v>22</v>
      </c>
      <c r="T1760" s="15">
        <f t="shared" si="6"/>
        <v>9</v>
      </c>
      <c r="U1760" s="15">
        <f t="shared" si="7"/>
        <v>2025</v>
      </c>
      <c r="V1760" s="15">
        <f t="shared" si="8"/>
        <v>22</v>
      </c>
      <c r="W1760" s="15">
        <f t="shared" si="9"/>
        <v>9</v>
      </c>
      <c r="X1760" s="15">
        <f t="shared" si="10"/>
        <v>2025</v>
      </c>
    </row>
    <row r="1761">
      <c r="A1761" s="9">
        <v>45922.0</v>
      </c>
      <c r="B1761" s="9">
        <v>45805.0</v>
      </c>
      <c r="C1761" s="9">
        <f t="shared" si="90"/>
        <v>45922</v>
      </c>
      <c r="D1761" s="11" t="s">
        <v>80</v>
      </c>
      <c r="E1761" s="11" t="s">
        <v>25</v>
      </c>
      <c r="F1761" s="11" t="s">
        <v>107</v>
      </c>
      <c r="G1761" s="11" t="s">
        <v>27</v>
      </c>
      <c r="H1761" s="11" t="s">
        <v>815</v>
      </c>
      <c r="I1761" s="31">
        <v>162.5</v>
      </c>
      <c r="J1761" s="13"/>
      <c r="K1761" s="13">
        <f t="shared" si="99"/>
        <v>162.5</v>
      </c>
      <c r="L1761" s="11" t="s">
        <v>53</v>
      </c>
      <c r="M1761" s="17">
        <v>45751.0</v>
      </c>
      <c r="N1761" s="11" t="s">
        <v>75</v>
      </c>
      <c r="O1761" s="10" t="str">
        <f t="shared" si="79"/>
        <v>09/2025</v>
      </c>
      <c r="P1761" s="10" t="str">
        <f t="shared" si="81"/>
        <v>09/2025</v>
      </c>
      <c r="Q1761" s="15" t="str">
        <f t="array" ref="Q1761">IFERROR(XLOOKUP(N1761,'Classificação'!A:A,'Classificação'!B:B),"")</f>
        <v>DESPESAS COM PESSOAL</v>
      </c>
      <c r="R1761" s="15" t="str">
        <f t="array" ref="R1761">IFERROR(XLOOKUP(Q1761,'Classificação'!B:B,'Classificação'!C:C),"")</f>
        <v>DESPESAS FIXAS (-)</v>
      </c>
      <c r="S1761" s="15">
        <f t="shared" si="91"/>
        <v>22</v>
      </c>
      <c r="T1761" s="15">
        <f t="shared" si="6"/>
        <v>9</v>
      </c>
      <c r="U1761" s="15">
        <f t="shared" si="7"/>
        <v>2025</v>
      </c>
      <c r="V1761" s="15">
        <f t="shared" si="8"/>
        <v>22</v>
      </c>
      <c r="W1761" s="15">
        <f t="shared" si="9"/>
        <v>9</v>
      </c>
      <c r="X1761" s="15">
        <f t="shared" si="10"/>
        <v>2025</v>
      </c>
    </row>
    <row r="1762">
      <c r="A1762" s="9">
        <v>45922.0</v>
      </c>
      <c r="B1762" s="10"/>
      <c r="C1762" s="9">
        <f t="shared" si="90"/>
        <v>45922</v>
      </c>
      <c r="D1762" s="11" t="s">
        <v>131</v>
      </c>
      <c r="E1762" s="11" t="s">
        <v>25</v>
      </c>
      <c r="F1762" s="28" t="s">
        <v>107</v>
      </c>
      <c r="G1762" s="28" t="s">
        <v>27</v>
      </c>
      <c r="H1762" s="11" t="s">
        <v>822</v>
      </c>
      <c r="I1762" s="31">
        <v>221.74</v>
      </c>
      <c r="J1762" s="13"/>
      <c r="K1762" s="13">
        <f t="shared" si="99"/>
        <v>221.74</v>
      </c>
      <c r="L1762" s="28" t="s">
        <v>53</v>
      </c>
      <c r="M1762" s="17">
        <v>45995.0</v>
      </c>
      <c r="N1762" s="11" t="s">
        <v>133</v>
      </c>
      <c r="O1762" s="10" t="str">
        <f t="shared" si="79"/>
        <v>09/2025</v>
      </c>
      <c r="P1762" s="10" t="str">
        <f t="shared" si="81"/>
        <v>09/2025</v>
      </c>
      <c r="Q1762" s="15" t="str">
        <f t="array" ref="Q1762">IFERROR(XLOOKUP(N1762,'Classificação'!A:A,'Classificação'!B:B),"")</f>
        <v>DESPESAS COM VEICULOS</v>
      </c>
      <c r="R1762" s="15" t="str">
        <f t="array" ref="R1762">IFERROR(XLOOKUP(Q1762,'Classificação'!B:B,'Classificação'!C:C),"")</f>
        <v>DESPESAS FIXAS (-)</v>
      </c>
      <c r="S1762" s="15">
        <f t="shared" si="91"/>
        <v>22</v>
      </c>
      <c r="T1762" s="15">
        <f t="shared" si="6"/>
        <v>9</v>
      </c>
      <c r="U1762" s="15">
        <f t="shared" si="7"/>
        <v>2025</v>
      </c>
      <c r="V1762" s="15">
        <f t="shared" si="8"/>
        <v>22</v>
      </c>
      <c r="W1762" s="15">
        <f t="shared" si="9"/>
        <v>9</v>
      </c>
      <c r="X1762" s="15">
        <f t="shared" si="10"/>
        <v>2025</v>
      </c>
    </row>
    <row r="1763">
      <c r="A1763" s="9">
        <v>45922.0</v>
      </c>
      <c r="B1763" s="9">
        <v>45837.0</v>
      </c>
      <c r="C1763" s="9">
        <f t="shared" si="90"/>
        <v>45922</v>
      </c>
      <c r="D1763" s="11" t="s">
        <v>65</v>
      </c>
      <c r="E1763" s="11" t="s">
        <v>25</v>
      </c>
      <c r="F1763" s="11" t="s">
        <v>107</v>
      </c>
      <c r="G1763" s="11" t="s">
        <v>27</v>
      </c>
      <c r="H1763" s="11" t="s">
        <v>874</v>
      </c>
      <c r="I1763" s="31">
        <v>51.06</v>
      </c>
      <c r="J1763" s="13"/>
      <c r="K1763" s="13">
        <f t="shared" si="99"/>
        <v>51.06</v>
      </c>
      <c r="L1763" s="11" t="s">
        <v>53</v>
      </c>
      <c r="M1763" s="17">
        <v>45994.0</v>
      </c>
      <c r="N1763" s="11" t="s">
        <v>95</v>
      </c>
      <c r="O1763" s="10" t="str">
        <f t="shared" si="79"/>
        <v>09/2025</v>
      </c>
      <c r="P1763" s="10" t="str">
        <f t="shared" si="81"/>
        <v>09/2025</v>
      </c>
      <c r="Q1763" s="15" t="str">
        <f t="array" ref="Q1763">IFERROR(XLOOKUP(N1763,'Classificação'!A:A,'Classificação'!B:B),"")</f>
        <v>DESPESAS NÃO OPERACIONAIS</v>
      </c>
      <c r="R1763" s="15" t="str">
        <f t="array" ref="R1763">IFERROR(XLOOKUP(Q1763,'Classificação'!B:B,'Classificação'!C:C),"")</f>
        <v>RESULTADO NÃO OPERACIONAL (+/-)</v>
      </c>
      <c r="S1763" s="15">
        <f t="shared" si="91"/>
        <v>22</v>
      </c>
      <c r="T1763" s="15">
        <f t="shared" si="6"/>
        <v>9</v>
      </c>
      <c r="U1763" s="15">
        <f t="shared" si="7"/>
        <v>2025</v>
      </c>
      <c r="V1763" s="15">
        <f t="shared" si="8"/>
        <v>22</v>
      </c>
      <c r="W1763" s="15">
        <f t="shared" si="9"/>
        <v>9</v>
      </c>
      <c r="X1763" s="15">
        <f t="shared" si="10"/>
        <v>2025</v>
      </c>
    </row>
    <row r="1764">
      <c r="A1764" s="9">
        <v>45922.0</v>
      </c>
      <c r="B1764" s="9">
        <v>45842.0</v>
      </c>
      <c r="C1764" s="9">
        <f t="shared" si="90"/>
        <v>45922</v>
      </c>
      <c r="D1764" s="11" t="s">
        <v>877</v>
      </c>
      <c r="E1764" s="11" t="s">
        <v>25</v>
      </c>
      <c r="F1764" s="11" t="s">
        <v>107</v>
      </c>
      <c r="G1764" s="11" t="s">
        <v>27</v>
      </c>
      <c r="H1764" s="11" t="s">
        <v>878</v>
      </c>
      <c r="I1764" s="31">
        <v>200.0</v>
      </c>
      <c r="J1764" s="13"/>
      <c r="K1764" s="13">
        <f t="shared" si="99"/>
        <v>200</v>
      </c>
      <c r="L1764" s="11" t="s">
        <v>53</v>
      </c>
      <c r="M1764" s="17">
        <v>45933.0</v>
      </c>
      <c r="N1764" s="11" t="s">
        <v>175</v>
      </c>
      <c r="O1764" s="10" t="str">
        <f t="shared" si="79"/>
        <v>09/2025</v>
      </c>
      <c r="P1764" s="10" t="str">
        <f t="shared" si="81"/>
        <v>09/2025</v>
      </c>
      <c r="Q1764" s="15" t="str">
        <f t="array" ref="Q1764">IFERROR(XLOOKUP(N1764,'Classificação'!A:A,'Classificação'!B:B),"")</f>
        <v>DESPESAS COM VEICULOS</v>
      </c>
      <c r="R1764" s="15" t="str">
        <f t="array" ref="R1764">IFERROR(XLOOKUP(Q1764,'Classificação'!B:B,'Classificação'!C:C),"")</f>
        <v>DESPESAS FIXAS (-)</v>
      </c>
      <c r="S1764" s="15">
        <f t="shared" si="91"/>
        <v>22</v>
      </c>
      <c r="T1764" s="15">
        <f t="shared" si="6"/>
        <v>9</v>
      </c>
      <c r="U1764" s="15">
        <f t="shared" si="7"/>
        <v>2025</v>
      </c>
      <c r="V1764" s="15">
        <f t="shared" si="8"/>
        <v>22</v>
      </c>
      <c r="W1764" s="15">
        <f t="shared" si="9"/>
        <v>9</v>
      </c>
      <c r="X1764" s="15">
        <f t="shared" si="10"/>
        <v>2025</v>
      </c>
    </row>
    <row r="1765">
      <c r="A1765" s="9">
        <v>45922.0</v>
      </c>
      <c r="B1765" s="9">
        <v>45842.0</v>
      </c>
      <c r="C1765" s="9">
        <f t="shared" si="90"/>
        <v>45922</v>
      </c>
      <c r="D1765" s="11" t="s">
        <v>877</v>
      </c>
      <c r="E1765" s="11" t="s">
        <v>25</v>
      </c>
      <c r="F1765" s="11" t="s">
        <v>107</v>
      </c>
      <c r="G1765" s="11" t="s">
        <v>27</v>
      </c>
      <c r="H1765" s="11" t="s">
        <v>878</v>
      </c>
      <c r="I1765" s="31">
        <v>338.3</v>
      </c>
      <c r="J1765" s="13"/>
      <c r="K1765" s="13">
        <f t="shared" si="99"/>
        <v>338.3</v>
      </c>
      <c r="L1765" s="11" t="s">
        <v>53</v>
      </c>
      <c r="M1765" s="17">
        <v>45933.0</v>
      </c>
      <c r="N1765" s="11" t="s">
        <v>175</v>
      </c>
      <c r="O1765" s="10" t="str">
        <f t="shared" si="79"/>
        <v>09/2025</v>
      </c>
      <c r="P1765" s="10" t="str">
        <f t="shared" si="81"/>
        <v>09/2025</v>
      </c>
      <c r="Q1765" s="15" t="str">
        <f t="array" ref="Q1765">IFERROR(XLOOKUP(N1765,'Classificação'!A:A,'Classificação'!B:B),"")</f>
        <v>DESPESAS COM VEICULOS</v>
      </c>
      <c r="R1765" s="15" t="str">
        <f t="array" ref="R1765">IFERROR(XLOOKUP(Q1765,'Classificação'!B:B,'Classificação'!C:C),"")</f>
        <v>DESPESAS FIXAS (-)</v>
      </c>
      <c r="S1765" s="15">
        <f t="shared" si="91"/>
        <v>22</v>
      </c>
      <c r="T1765" s="15">
        <f t="shared" si="6"/>
        <v>9</v>
      </c>
      <c r="U1765" s="15">
        <f t="shared" si="7"/>
        <v>2025</v>
      </c>
      <c r="V1765" s="15">
        <f t="shared" si="8"/>
        <v>22</v>
      </c>
      <c r="W1765" s="15">
        <f t="shared" si="9"/>
        <v>9</v>
      </c>
      <c r="X1765" s="15">
        <f t="shared" si="10"/>
        <v>2025</v>
      </c>
    </row>
    <row r="1766">
      <c r="A1766" s="26">
        <v>45922.0</v>
      </c>
      <c r="B1766" s="26">
        <v>45867.0</v>
      </c>
      <c r="C1766" s="9">
        <f t="shared" si="90"/>
        <v>45922</v>
      </c>
      <c r="D1766" s="28" t="s">
        <v>109</v>
      </c>
      <c r="E1766" s="11" t="s">
        <v>25</v>
      </c>
      <c r="F1766" s="29" t="s">
        <v>107</v>
      </c>
      <c r="G1766" s="28" t="s">
        <v>27</v>
      </c>
      <c r="H1766" s="11" t="s">
        <v>911</v>
      </c>
      <c r="I1766" s="33">
        <v>24.15</v>
      </c>
      <c r="J1766" s="13"/>
      <c r="K1766" s="13">
        <f t="shared" si="99"/>
        <v>24.15</v>
      </c>
      <c r="L1766" s="11" t="s">
        <v>53</v>
      </c>
      <c r="M1766" s="17">
        <v>45993.0</v>
      </c>
      <c r="N1766" s="28" t="s">
        <v>105</v>
      </c>
      <c r="O1766" s="10" t="str">
        <f t="shared" si="79"/>
        <v>09/2025</v>
      </c>
      <c r="P1766" s="10" t="str">
        <f t="shared" si="81"/>
        <v>09/2025</v>
      </c>
      <c r="Q1766" s="15" t="str">
        <f t="array" ref="Q1766">IFERROR(XLOOKUP(N1766,'Classificação'!A:A,'Classificação'!B:B),"")</f>
        <v>DESPESAS ADMINISTRATIVAS</v>
      </c>
      <c r="R1766" s="15" t="str">
        <f t="array" ref="R1766">IFERROR(XLOOKUP(Q1766,'Classificação'!B:B,'Classificação'!C:C),"")</f>
        <v>DESPESAS FIXAS (-)</v>
      </c>
      <c r="S1766" s="15">
        <f t="shared" si="91"/>
        <v>22</v>
      </c>
      <c r="T1766" s="15">
        <f t="shared" si="6"/>
        <v>9</v>
      </c>
      <c r="U1766" s="15">
        <f t="shared" si="7"/>
        <v>2025</v>
      </c>
      <c r="V1766" s="15">
        <f t="shared" si="8"/>
        <v>22</v>
      </c>
      <c r="W1766" s="15">
        <f t="shared" si="9"/>
        <v>9</v>
      </c>
      <c r="X1766" s="15">
        <f t="shared" si="10"/>
        <v>2025</v>
      </c>
    </row>
    <row r="1767">
      <c r="A1767" s="9">
        <v>45922.0</v>
      </c>
      <c r="B1767" s="10"/>
      <c r="C1767" s="9">
        <f t="shared" si="90"/>
        <v>45922</v>
      </c>
      <c r="D1767" s="11" t="s">
        <v>121</v>
      </c>
      <c r="E1767" s="11" t="s">
        <v>25</v>
      </c>
      <c r="F1767" s="11" t="s">
        <v>107</v>
      </c>
      <c r="G1767" s="11" t="s">
        <v>27</v>
      </c>
      <c r="H1767" s="11" t="s">
        <v>865</v>
      </c>
      <c r="I1767" s="31">
        <v>29.9</v>
      </c>
      <c r="J1767" s="13"/>
      <c r="K1767" s="13">
        <f t="shared" si="99"/>
        <v>29.9</v>
      </c>
      <c r="L1767" s="11" t="s">
        <v>29</v>
      </c>
      <c r="M1767" s="14"/>
      <c r="N1767" s="11" t="s">
        <v>105</v>
      </c>
      <c r="O1767" s="10" t="str">
        <f t="shared" si="79"/>
        <v>09/2025</v>
      </c>
      <c r="P1767" s="10" t="str">
        <f t="shared" si="81"/>
        <v>09/2025</v>
      </c>
      <c r="Q1767" s="15" t="str">
        <f t="array" ref="Q1767">IFERROR(XLOOKUP(N1767,'Classificação'!A:A,'Classificação'!B:B),"")</f>
        <v>DESPESAS ADMINISTRATIVAS</v>
      </c>
      <c r="R1767" s="15" t="str">
        <f t="array" ref="R1767">IFERROR(XLOOKUP(Q1767,'Classificação'!B:B,'Classificação'!C:C),"")</f>
        <v>DESPESAS FIXAS (-)</v>
      </c>
      <c r="S1767" s="15">
        <f t="shared" si="91"/>
        <v>22</v>
      </c>
      <c r="T1767" s="15">
        <f t="shared" si="6"/>
        <v>9</v>
      </c>
      <c r="U1767" s="15">
        <f t="shared" si="7"/>
        <v>2025</v>
      </c>
      <c r="V1767" s="15">
        <f t="shared" si="8"/>
        <v>22</v>
      </c>
      <c r="W1767" s="15">
        <f t="shared" si="9"/>
        <v>9</v>
      </c>
      <c r="X1767" s="15">
        <f t="shared" si="10"/>
        <v>2025</v>
      </c>
    </row>
    <row r="1768">
      <c r="A1768" s="9">
        <v>45922.0</v>
      </c>
      <c r="B1768" s="9">
        <v>45861.0</v>
      </c>
      <c r="C1768" s="9">
        <f t="shared" si="90"/>
        <v>45922</v>
      </c>
      <c r="D1768" s="11" t="s">
        <v>65</v>
      </c>
      <c r="E1768" s="11" t="s">
        <v>25</v>
      </c>
      <c r="F1768" s="11" t="s">
        <v>107</v>
      </c>
      <c r="G1768" s="11" t="s">
        <v>27</v>
      </c>
      <c r="H1768" s="11" t="s">
        <v>913</v>
      </c>
      <c r="I1768" s="31">
        <v>220.0</v>
      </c>
      <c r="J1768" s="13"/>
      <c r="K1768" s="13">
        <f t="shared" si="99"/>
        <v>220</v>
      </c>
      <c r="L1768" s="11" t="s">
        <v>53</v>
      </c>
      <c r="M1768" s="17">
        <v>45718.0</v>
      </c>
      <c r="N1768" s="11" t="s">
        <v>143</v>
      </c>
      <c r="O1768" s="10" t="str">
        <f t="shared" si="79"/>
        <v>09/2025</v>
      </c>
      <c r="P1768" s="10" t="str">
        <f t="shared" si="81"/>
        <v>09/2025</v>
      </c>
      <c r="Q1768" s="15" t="str">
        <f t="array" ref="Q1768">IFERROR(XLOOKUP(N1768,'Classificação'!A:A,'Classificação'!B:B),"")</f>
        <v>EMBALAGENS/FITAS/GERAL</v>
      </c>
      <c r="R1768" s="15" t="str">
        <f t="array" ref="R1768">IFERROR(XLOOKUP(Q1768,'Classificação'!B:B,'Classificação'!C:C),"")</f>
        <v>CUSTOS VARIÁVEIS</v>
      </c>
      <c r="S1768" s="15">
        <f t="shared" si="91"/>
        <v>22</v>
      </c>
      <c r="T1768" s="15">
        <f t="shared" si="6"/>
        <v>9</v>
      </c>
      <c r="U1768" s="15">
        <f t="shared" si="7"/>
        <v>2025</v>
      </c>
      <c r="V1768" s="15">
        <f t="shared" si="8"/>
        <v>22</v>
      </c>
      <c r="W1768" s="15">
        <f t="shared" si="9"/>
        <v>9</v>
      </c>
      <c r="X1768" s="15">
        <f t="shared" si="10"/>
        <v>2025</v>
      </c>
    </row>
    <row r="1769">
      <c r="A1769" s="9">
        <v>45922.0</v>
      </c>
      <c r="B1769" s="9">
        <v>45863.0</v>
      </c>
      <c r="C1769" s="9">
        <f t="shared" si="90"/>
        <v>45922</v>
      </c>
      <c r="D1769" s="11" t="s">
        <v>65</v>
      </c>
      <c r="E1769" s="11" t="s">
        <v>25</v>
      </c>
      <c r="F1769" s="11" t="s">
        <v>107</v>
      </c>
      <c r="G1769" s="11" t="s">
        <v>27</v>
      </c>
      <c r="H1769" s="11" t="s">
        <v>915</v>
      </c>
      <c r="I1769" s="31">
        <v>185.16</v>
      </c>
      <c r="J1769" s="13"/>
      <c r="K1769" s="13">
        <f t="shared" si="99"/>
        <v>185.16</v>
      </c>
      <c r="L1769" s="11" t="s">
        <v>53</v>
      </c>
      <c r="M1769" s="17">
        <v>45993.0</v>
      </c>
      <c r="N1769" s="11" t="s">
        <v>95</v>
      </c>
      <c r="O1769" s="10" t="str">
        <f t="shared" si="79"/>
        <v>09/2025</v>
      </c>
      <c r="P1769" s="10" t="str">
        <f t="shared" si="81"/>
        <v>09/2025</v>
      </c>
      <c r="Q1769" s="15" t="str">
        <f t="array" ref="Q1769">IFERROR(XLOOKUP(N1769,'Classificação'!A:A,'Classificação'!B:B),"")</f>
        <v>DESPESAS NÃO OPERACIONAIS</v>
      </c>
      <c r="R1769" s="15" t="str">
        <f t="array" ref="R1769">IFERROR(XLOOKUP(Q1769,'Classificação'!B:B,'Classificação'!C:C),"")</f>
        <v>RESULTADO NÃO OPERACIONAL (+/-)</v>
      </c>
      <c r="S1769" s="15">
        <f t="shared" si="91"/>
        <v>22</v>
      </c>
      <c r="T1769" s="15">
        <f t="shared" si="6"/>
        <v>9</v>
      </c>
      <c r="U1769" s="15">
        <f t="shared" si="7"/>
        <v>2025</v>
      </c>
      <c r="V1769" s="15">
        <f t="shared" si="8"/>
        <v>22</v>
      </c>
      <c r="W1769" s="15">
        <f t="shared" si="9"/>
        <v>9</v>
      </c>
      <c r="X1769" s="15">
        <f t="shared" si="10"/>
        <v>2025</v>
      </c>
    </row>
    <row r="1770">
      <c r="A1770" s="9">
        <v>45922.0</v>
      </c>
      <c r="B1770" s="9">
        <v>45878.0</v>
      </c>
      <c r="C1770" s="9">
        <f t="shared" si="90"/>
        <v>45922</v>
      </c>
      <c r="D1770" s="11" t="s">
        <v>179</v>
      </c>
      <c r="E1770" s="11" t="s">
        <v>25</v>
      </c>
      <c r="F1770" s="11" t="s">
        <v>107</v>
      </c>
      <c r="G1770" s="11" t="s">
        <v>27</v>
      </c>
      <c r="I1770" s="31">
        <v>221.71</v>
      </c>
      <c r="J1770" s="13"/>
      <c r="K1770" s="13">
        <f t="shared" si="99"/>
        <v>221.71</v>
      </c>
      <c r="L1770" s="11" t="s">
        <v>34</v>
      </c>
      <c r="M1770" s="14"/>
      <c r="N1770" s="11" t="s">
        <v>181</v>
      </c>
      <c r="O1770" s="10" t="str">
        <f t="shared" si="79"/>
        <v>09/2025</v>
      </c>
      <c r="P1770" s="10" t="str">
        <f t="shared" si="81"/>
        <v>09/2025</v>
      </c>
      <c r="Q1770" s="15" t="str">
        <f t="array" ref="Q1770">IFERROR(XLOOKUP(N1770,'Classificação'!A:A,'Classificação'!B:B),"")</f>
        <v>DESPESAS COM VEICULOS</v>
      </c>
      <c r="R1770" s="15" t="str">
        <f t="array" ref="R1770">IFERROR(XLOOKUP(Q1770,'Classificação'!B:B,'Classificação'!C:C),"")</f>
        <v>DESPESAS FIXAS (-)</v>
      </c>
      <c r="S1770" s="15">
        <f t="shared" si="91"/>
        <v>22</v>
      </c>
      <c r="T1770" s="15">
        <f t="shared" si="6"/>
        <v>9</v>
      </c>
      <c r="U1770" s="15">
        <f t="shared" si="7"/>
        <v>2025</v>
      </c>
      <c r="V1770" s="15">
        <f t="shared" si="8"/>
        <v>22</v>
      </c>
      <c r="W1770" s="15">
        <f t="shared" si="9"/>
        <v>9</v>
      </c>
      <c r="X1770" s="15">
        <f t="shared" si="10"/>
        <v>2025</v>
      </c>
    </row>
    <row r="1771">
      <c r="A1771" s="9">
        <v>45922.0</v>
      </c>
      <c r="B1771" s="9">
        <v>45878.0</v>
      </c>
      <c r="C1771" s="9">
        <f t="shared" si="90"/>
        <v>45922</v>
      </c>
      <c r="D1771" s="11" t="s">
        <v>81</v>
      </c>
      <c r="E1771" s="11" t="s">
        <v>25</v>
      </c>
      <c r="F1771" s="11" t="s">
        <v>107</v>
      </c>
      <c r="G1771" s="11" t="s">
        <v>27</v>
      </c>
      <c r="H1771" s="11" t="s">
        <v>948</v>
      </c>
      <c r="I1771" s="31">
        <v>459.09</v>
      </c>
      <c r="J1771" s="13"/>
      <c r="K1771" s="13">
        <f t="shared" si="99"/>
        <v>459.09</v>
      </c>
      <c r="L1771" s="11" t="s">
        <v>34</v>
      </c>
      <c r="M1771" s="14"/>
      <c r="N1771" s="11" t="s">
        <v>71</v>
      </c>
      <c r="O1771" s="10" t="str">
        <f t="shared" si="79"/>
        <v>09/2025</v>
      </c>
      <c r="P1771" s="10" t="str">
        <f t="shared" si="81"/>
        <v>09/2025</v>
      </c>
      <c r="Q1771" s="15" t="str">
        <f t="array" ref="Q1771">IFERROR(XLOOKUP(N1771,'Classificação'!A:A,'Classificação'!B:B),"")</f>
        <v>DESPESAS DIVERSAS</v>
      </c>
      <c r="R1771" s="15" t="str">
        <f t="array" ref="R1771">IFERROR(XLOOKUP(Q1771,'Classificação'!B:B,'Classificação'!C:C),"")</f>
        <v>DESPESAS FIXAS (-)</v>
      </c>
      <c r="S1771" s="15">
        <f t="shared" si="91"/>
        <v>22</v>
      </c>
      <c r="T1771" s="15">
        <f t="shared" si="6"/>
        <v>9</v>
      </c>
      <c r="U1771" s="15">
        <f t="shared" si="7"/>
        <v>2025</v>
      </c>
      <c r="V1771" s="15">
        <f t="shared" si="8"/>
        <v>22</v>
      </c>
      <c r="W1771" s="15">
        <f t="shared" si="9"/>
        <v>9</v>
      </c>
      <c r="X1771" s="15">
        <f t="shared" si="10"/>
        <v>2025</v>
      </c>
    </row>
    <row r="1772">
      <c r="A1772" s="9">
        <v>45922.0</v>
      </c>
      <c r="B1772" s="9">
        <v>45880.0</v>
      </c>
      <c r="C1772" s="9">
        <f t="shared" si="90"/>
        <v>45922</v>
      </c>
      <c r="D1772" s="11" t="s">
        <v>65</v>
      </c>
      <c r="E1772" s="11" t="s">
        <v>25</v>
      </c>
      <c r="F1772" s="11" t="s">
        <v>107</v>
      </c>
      <c r="G1772" s="11" t="s">
        <v>27</v>
      </c>
      <c r="H1772" s="11" t="s">
        <v>949</v>
      </c>
      <c r="I1772" s="31">
        <v>350.67</v>
      </c>
      <c r="J1772" s="13"/>
      <c r="K1772" s="13">
        <f t="shared" si="99"/>
        <v>350.67</v>
      </c>
      <c r="L1772" s="11" t="s">
        <v>53</v>
      </c>
      <c r="M1772" s="17">
        <v>45689.0</v>
      </c>
      <c r="N1772" s="11" t="s">
        <v>143</v>
      </c>
      <c r="O1772" s="10" t="str">
        <f t="shared" si="79"/>
        <v>09/2025</v>
      </c>
      <c r="P1772" s="10" t="str">
        <f t="shared" si="81"/>
        <v>09/2025</v>
      </c>
      <c r="Q1772" s="15" t="str">
        <f t="array" ref="Q1772">IFERROR(XLOOKUP(N1772,'Classificação'!A:A,'Classificação'!B:B),"")</f>
        <v>EMBALAGENS/FITAS/GERAL</v>
      </c>
      <c r="R1772" s="15" t="str">
        <f t="array" ref="R1772">IFERROR(XLOOKUP(Q1772,'Classificação'!B:B,'Classificação'!C:C),"")</f>
        <v>CUSTOS VARIÁVEIS</v>
      </c>
      <c r="S1772" s="15">
        <f t="shared" si="91"/>
        <v>22</v>
      </c>
      <c r="T1772" s="15">
        <f t="shared" si="6"/>
        <v>9</v>
      </c>
      <c r="U1772" s="15">
        <f t="shared" si="7"/>
        <v>2025</v>
      </c>
      <c r="V1772" s="15">
        <f t="shared" si="8"/>
        <v>22</v>
      </c>
      <c r="W1772" s="15">
        <f t="shared" si="9"/>
        <v>9</v>
      </c>
      <c r="X1772" s="15">
        <f t="shared" si="10"/>
        <v>2025</v>
      </c>
    </row>
    <row r="1773">
      <c r="A1773" s="9">
        <v>45922.0</v>
      </c>
      <c r="B1773" s="9">
        <v>45880.0</v>
      </c>
      <c r="C1773" s="9">
        <f t="shared" si="90"/>
        <v>45922</v>
      </c>
      <c r="D1773" s="11" t="s">
        <v>65</v>
      </c>
      <c r="E1773" s="11" t="s">
        <v>25</v>
      </c>
      <c r="F1773" s="11" t="s">
        <v>107</v>
      </c>
      <c r="G1773" s="11" t="s">
        <v>27</v>
      </c>
      <c r="H1773" s="11" t="s">
        <v>949</v>
      </c>
      <c r="I1773" s="31">
        <v>132.99</v>
      </c>
      <c r="J1773" s="13"/>
      <c r="K1773" s="13">
        <f t="shared" si="99"/>
        <v>132.99</v>
      </c>
      <c r="L1773" s="11" t="s">
        <v>53</v>
      </c>
      <c r="M1773" s="17">
        <v>45748.0</v>
      </c>
      <c r="N1773" s="11" t="s">
        <v>143</v>
      </c>
      <c r="O1773" s="10" t="str">
        <f t="shared" si="79"/>
        <v>09/2025</v>
      </c>
      <c r="P1773" s="10" t="str">
        <f t="shared" si="81"/>
        <v>09/2025</v>
      </c>
      <c r="Q1773" s="15" t="str">
        <f t="array" ref="Q1773">IFERROR(XLOOKUP(N1773,'Classificação'!A:A,'Classificação'!B:B),"")</f>
        <v>EMBALAGENS/FITAS/GERAL</v>
      </c>
      <c r="R1773" s="15" t="str">
        <f t="array" ref="R1773">IFERROR(XLOOKUP(Q1773,'Classificação'!B:B,'Classificação'!C:C),"")</f>
        <v>CUSTOS VARIÁVEIS</v>
      </c>
      <c r="S1773" s="15">
        <f t="shared" si="91"/>
        <v>22</v>
      </c>
      <c r="T1773" s="15">
        <f t="shared" si="6"/>
        <v>9</v>
      </c>
      <c r="U1773" s="15">
        <f t="shared" si="7"/>
        <v>2025</v>
      </c>
      <c r="V1773" s="15">
        <f t="shared" si="8"/>
        <v>22</v>
      </c>
      <c r="W1773" s="15">
        <f t="shared" si="9"/>
        <v>9</v>
      </c>
      <c r="X1773" s="15">
        <f t="shared" si="10"/>
        <v>2025</v>
      </c>
    </row>
    <row r="1774">
      <c r="A1774" s="9">
        <v>45922.0</v>
      </c>
      <c r="B1774" s="9">
        <v>45866.0</v>
      </c>
      <c r="C1774" s="9">
        <f t="shared" si="90"/>
        <v>45922</v>
      </c>
      <c r="D1774" s="11" t="s">
        <v>65</v>
      </c>
      <c r="E1774" s="11" t="s">
        <v>25</v>
      </c>
      <c r="F1774" s="11" t="s">
        <v>107</v>
      </c>
      <c r="G1774" s="11" t="s">
        <v>27</v>
      </c>
      <c r="H1774" s="11" t="s">
        <v>677</v>
      </c>
      <c r="I1774" s="31">
        <v>160.93</v>
      </c>
      <c r="J1774" s="13"/>
      <c r="K1774" s="13">
        <f t="shared" si="99"/>
        <v>160.93</v>
      </c>
      <c r="L1774" s="11" t="s">
        <v>53</v>
      </c>
      <c r="M1774" s="17">
        <v>45718.0</v>
      </c>
      <c r="N1774" s="11" t="s">
        <v>143</v>
      </c>
      <c r="O1774" s="10" t="str">
        <f t="shared" si="79"/>
        <v>09/2025</v>
      </c>
      <c r="P1774" s="10" t="str">
        <f t="shared" si="81"/>
        <v>09/2025</v>
      </c>
      <c r="Q1774" s="15" t="str">
        <f t="array" ref="Q1774">IFERROR(XLOOKUP(N1774,'Classificação'!A:A,'Classificação'!B:B),"")</f>
        <v>EMBALAGENS/FITAS/GERAL</v>
      </c>
      <c r="R1774" s="15" t="str">
        <f t="array" ref="R1774">IFERROR(XLOOKUP(Q1774,'Classificação'!B:B,'Classificação'!C:C),"")</f>
        <v>CUSTOS VARIÁVEIS</v>
      </c>
      <c r="S1774" s="15">
        <f t="shared" si="91"/>
        <v>22</v>
      </c>
      <c r="T1774" s="15">
        <f t="shared" si="6"/>
        <v>9</v>
      </c>
      <c r="U1774" s="15">
        <f t="shared" si="7"/>
        <v>2025</v>
      </c>
      <c r="V1774" s="15">
        <f t="shared" si="8"/>
        <v>22</v>
      </c>
      <c r="W1774" s="15">
        <f t="shared" si="9"/>
        <v>9</v>
      </c>
      <c r="X1774" s="15">
        <f t="shared" si="10"/>
        <v>2025</v>
      </c>
    </row>
    <row r="1775">
      <c r="A1775" s="9">
        <v>45922.0</v>
      </c>
      <c r="B1775" s="9">
        <v>45854.0</v>
      </c>
      <c r="C1775" s="9">
        <f t="shared" si="90"/>
        <v>45922</v>
      </c>
      <c r="D1775" s="11" t="s">
        <v>65</v>
      </c>
      <c r="E1775" s="11" t="s">
        <v>25</v>
      </c>
      <c r="F1775" s="11" t="s">
        <v>107</v>
      </c>
      <c r="G1775" s="11" t="s">
        <v>27</v>
      </c>
      <c r="H1775" s="11" t="s">
        <v>677</v>
      </c>
      <c r="I1775" s="31">
        <v>147.25</v>
      </c>
      <c r="J1775" s="13"/>
      <c r="K1775" s="13">
        <f t="shared" si="99"/>
        <v>147.25</v>
      </c>
      <c r="L1775" s="11" t="s">
        <v>53</v>
      </c>
      <c r="M1775" s="17">
        <v>45690.0</v>
      </c>
      <c r="N1775" s="11" t="s">
        <v>143</v>
      </c>
      <c r="O1775" s="10" t="str">
        <f t="shared" si="79"/>
        <v>09/2025</v>
      </c>
      <c r="P1775" s="10" t="str">
        <f t="shared" si="81"/>
        <v>09/2025</v>
      </c>
      <c r="Q1775" s="15" t="str">
        <f t="array" ref="Q1775">IFERROR(XLOOKUP(N1775,'Classificação'!A:A,'Classificação'!B:B),"")</f>
        <v>EMBALAGENS/FITAS/GERAL</v>
      </c>
      <c r="R1775" s="15" t="str">
        <f t="array" ref="R1775">IFERROR(XLOOKUP(Q1775,'Classificação'!B:B,'Classificação'!C:C),"")</f>
        <v>CUSTOS VARIÁVEIS</v>
      </c>
      <c r="S1775" s="15">
        <f t="shared" si="91"/>
        <v>22</v>
      </c>
      <c r="T1775" s="15">
        <f t="shared" si="6"/>
        <v>9</v>
      </c>
      <c r="U1775" s="15">
        <f t="shared" si="7"/>
        <v>2025</v>
      </c>
      <c r="V1775" s="15">
        <f t="shared" si="8"/>
        <v>22</v>
      </c>
      <c r="W1775" s="15">
        <f t="shared" si="9"/>
        <v>9</v>
      </c>
      <c r="X1775" s="15">
        <f t="shared" si="10"/>
        <v>2025</v>
      </c>
    </row>
    <row r="1776">
      <c r="A1776" s="9">
        <v>45922.0</v>
      </c>
      <c r="B1776" s="9">
        <v>45888.0</v>
      </c>
      <c r="C1776" s="9">
        <f t="shared" si="90"/>
        <v>45922</v>
      </c>
      <c r="D1776" s="11" t="s">
        <v>182</v>
      </c>
      <c r="E1776" s="11" t="s">
        <v>25</v>
      </c>
      <c r="F1776" s="11" t="s">
        <v>107</v>
      </c>
      <c r="G1776" s="11" t="s">
        <v>27</v>
      </c>
      <c r="H1776" s="11" t="s">
        <v>946</v>
      </c>
      <c r="I1776" s="31">
        <v>12.95</v>
      </c>
      <c r="J1776" s="13"/>
      <c r="K1776" s="13">
        <f t="shared" si="99"/>
        <v>12.95</v>
      </c>
      <c r="L1776" s="11" t="s">
        <v>34</v>
      </c>
      <c r="M1776" s="14"/>
      <c r="N1776" s="11" t="s">
        <v>184</v>
      </c>
      <c r="O1776" s="10" t="str">
        <f t="shared" si="79"/>
        <v>09/2025</v>
      </c>
      <c r="P1776" s="10" t="str">
        <f t="shared" si="81"/>
        <v>09/2025</v>
      </c>
      <c r="Q1776" s="15" t="str">
        <f t="array" ref="Q1776">IFERROR(XLOOKUP(N1776,'Classificação'!A:A,'Classificação'!B:B),"")</f>
        <v>DESPESAS ADMINISTRATIVAS</v>
      </c>
      <c r="R1776" s="15" t="str">
        <f t="array" ref="R1776">IFERROR(XLOOKUP(Q1776,'Classificação'!B:B,'Classificação'!C:C),"")</f>
        <v>DESPESAS FIXAS (-)</v>
      </c>
      <c r="S1776" s="15">
        <f t="shared" si="91"/>
        <v>22</v>
      </c>
      <c r="T1776" s="15">
        <f t="shared" si="6"/>
        <v>9</v>
      </c>
      <c r="U1776" s="15">
        <f t="shared" si="7"/>
        <v>2025</v>
      </c>
      <c r="V1776" s="15">
        <f t="shared" si="8"/>
        <v>22</v>
      </c>
      <c r="W1776" s="15">
        <f t="shared" si="9"/>
        <v>9</v>
      </c>
      <c r="X1776" s="15">
        <f t="shared" si="10"/>
        <v>2025</v>
      </c>
    </row>
    <row r="1777">
      <c r="A1777" s="9">
        <v>45922.0</v>
      </c>
      <c r="B1777" s="9">
        <v>45889.0</v>
      </c>
      <c r="C1777" s="9">
        <f t="shared" si="90"/>
        <v>45922</v>
      </c>
      <c r="D1777" s="11" t="s">
        <v>182</v>
      </c>
      <c r="E1777" s="11" t="s">
        <v>25</v>
      </c>
      <c r="F1777" s="11" t="s">
        <v>107</v>
      </c>
      <c r="G1777" s="11" t="s">
        <v>27</v>
      </c>
      <c r="H1777" s="11" t="s">
        <v>946</v>
      </c>
      <c r="I1777" s="31">
        <v>10.94</v>
      </c>
      <c r="J1777" s="13"/>
      <c r="K1777" s="13">
        <f t="shared" si="99"/>
        <v>10.94</v>
      </c>
      <c r="L1777" s="11" t="s">
        <v>34</v>
      </c>
      <c r="M1777" s="14"/>
      <c r="N1777" s="11" t="s">
        <v>184</v>
      </c>
      <c r="O1777" s="10" t="str">
        <f t="shared" si="79"/>
        <v>09/2025</v>
      </c>
      <c r="P1777" s="10" t="str">
        <f t="shared" si="81"/>
        <v>09/2025</v>
      </c>
      <c r="Q1777" s="15" t="str">
        <f t="array" ref="Q1777">IFERROR(XLOOKUP(N1777,'Classificação'!A:A,'Classificação'!B:B),"")</f>
        <v>DESPESAS ADMINISTRATIVAS</v>
      </c>
      <c r="R1777" s="15" t="str">
        <f t="array" ref="R1777">IFERROR(XLOOKUP(Q1777,'Classificação'!B:B,'Classificação'!C:C),"")</f>
        <v>DESPESAS FIXAS (-)</v>
      </c>
      <c r="S1777" s="15">
        <f t="shared" si="91"/>
        <v>22</v>
      </c>
      <c r="T1777" s="15">
        <f t="shared" si="6"/>
        <v>9</v>
      </c>
      <c r="U1777" s="15">
        <f t="shared" si="7"/>
        <v>2025</v>
      </c>
      <c r="V1777" s="15">
        <f t="shared" si="8"/>
        <v>22</v>
      </c>
      <c r="W1777" s="15">
        <f t="shared" si="9"/>
        <v>9</v>
      </c>
      <c r="X1777" s="15">
        <f t="shared" si="10"/>
        <v>2025</v>
      </c>
    </row>
    <row r="1778">
      <c r="A1778" s="9">
        <v>45922.0</v>
      </c>
      <c r="B1778" s="9">
        <v>45890.0</v>
      </c>
      <c r="C1778" s="9">
        <f t="shared" si="90"/>
        <v>45922</v>
      </c>
      <c r="D1778" s="11" t="s">
        <v>182</v>
      </c>
      <c r="E1778" s="11" t="s">
        <v>25</v>
      </c>
      <c r="F1778" s="11" t="s">
        <v>107</v>
      </c>
      <c r="G1778" s="11" t="s">
        <v>27</v>
      </c>
      <c r="H1778" s="11" t="s">
        <v>946</v>
      </c>
      <c r="I1778" s="31">
        <v>11.0</v>
      </c>
      <c r="J1778" s="13"/>
      <c r="K1778" s="13">
        <f t="shared" si="99"/>
        <v>11</v>
      </c>
      <c r="L1778" s="11" t="s">
        <v>34</v>
      </c>
      <c r="M1778" s="14"/>
      <c r="N1778" s="11" t="s">
        <v>184</v>
      </c>
      <c r="O1778" s="10" t="str">
        <f t="shared" si="79"/>
        <v>09/2025</v>
      </c>
      <c r="P1778" s="10" t="str">
        <f t="shared" si="81"/>
        <v>09/2025</v>
      </c>
      <c r="Q1778" s="15" t="str">
        <f t="array" ref="Q1778">IFERROR(XLOOKUP(N1778,'Classificação'!A:A,'Classificação'!B:B),"")</f>
        <v>DESPESAS ADMINISTRATIVAS</v>
      </c>
      <c r="R1778" s="15" t="str">
        <f t="array" ref="R1778">IFERROR(XLOOKUP(Q1778,'Classificação'!B:B,'Classificação'!C:C),"")</f>
        <v>DESPESAS FIXAS (-)</v>
      </c>
      <c r="S1778" s="15">
        <f t="shared" si="91"/>
        <v>22</v>
      </c>
      <c r="T1778" s="15">
        <f t="shared" si="6"/>
        <v>9</v>
      </c>
      <c r="U1778" s="15">
        <f t="shared" si="7"/>
        <v>2025</v>
      </c>
      <c r="V1778" s="15">
        <f t="shared" si="8"/>
        <v>22</v>
      </c>
      <c r="W1778" s="15">
        <f t="shared" si="9"/>
        <v>9</v>
      </c>
      <c r="X1778" s="15">
        <f t="shared" si="10"/>
        <v>2025</v>
      </c>
    </row>
    <row r="1779">
      <c r="A1779" s="9">
        <v>45922.0</v>
      </c>
      <c r="B1779" s="9">
        <v>45885.0</v>
      </c>
      <c r="C1779" s="9">
        <f t="shared" si="90"/>
        <v>45922</v>
      </c>
      <c r="D1779" s="11" t="s">
        <v>179</v>
      </c>
      <c r="E1779" s="11" t="s">
        <v>25</v>
      </c>
      <c r="F1779" s="11" t="s">
        <v>107</v>
      </c>
      <c r="G1779" s="11" t="s">
        <v>27</v>
      </c>
      <c r="H1779" s="11" t="s">
        <v>950</v>
      </c>
      <c r="I1779" s="31">
        <v>100.0</v>
      </c>
      <c r="J1779" s="13"/>
      <c r="K1779" s="13">
        <f t="shared" si="99"/>
        <v>100</v>
      </c>
      <c r="L1779" s="11" t="s">
        <v>34</v>
      </c>
      <c r="M1779" s="14"/>
      <c r="N1779" s="11" t="s">
        <v>181</v>
      </c>
      <c r="O1779" s="10" t="str">
        <f t="shared" si="79"/>
        <v>09/2025</v>
      </c>
      <c r="P1779" s="10" t="str">
        <f t="shared" si="81"/>
        <v>09/2025</v>
      </c>
      <c r="Q1779" s="15" t="str">
        <f t="array" ref="Q1779">IFERROR(XLOOKUP(N1779,'Classificação'!A:A,'Classificação'!B:B),"")</f>
        <v>DESPESAS COM VEICULOS</v>
      </c>
      <c r="R1779" s="15" t="str">
        <f t="array" ref="R1779">IFERROR(XLOOKUP(Q1779,'Classificação'!B:B,'Classificação'!C:C),"")</f>
        <v>DESPESAS FIXAS (-)</v>
      </c>
      <c r="S1779" s="15">
        <f t="shared" si="91"/>
        <v>22</v>
      </c>
      <c r="T1779" s="15">
        <f t="shared" si="6"/>
        <v>9</v>
      </c>
      <c r="U1779" s="15">
        <f t="shared" si="7"/>
        <v>2025</v>
      </c>
      <c r="V1779" s="15">
        <f t="shared" si="8"/>
        <v>22</v>
      </c>
      <c r="W1779" s="15">
        <f t="shared" si="9"/>
        <v>9</v>
      </c>
      <c r="X1779" s="15">
        <f t="shared" si="10"/>
        <v>2025</v>
      </c>
    </row>
    <row r="1780">
      <c r="A1780" s="9">
        <v>45922.0</v>
      </c>
      <c r="B1780" s="9">
        <v>45883.0</v>
      </c>
      <c r="C1780" s="9">
        <f t="shared" si="90"/>
        <v>45922</v>
      </c>
      <c r="D1780" s="11" t="s">
        <v>114</v>
      </c>
      <c r="E1780" s="11" t="s">
        <v>25</v>
      </c>
      <c r="F1780" s="11" t="s">
        <v>107</v>
      </c>
      <c r="G1780" s="11" t="s">
        <v>27</v>
      </c>
      <c r="H1780" s="11" t="s">
        <v>951</v>
      </c>
      <c r="I1780" s="31">
        <v>284.52</v>
      </c>
      <c r="J1780" s="13"/>
      <c r="K1780" s="13">
        <f t="shared" si="99"/>
        <v>284.52</v>
      </c>
      <c r="L1780" s="11" t="s">
        <v>34</v>
      </c>
      <c r="M1780" s="14"/>
      <c r="N1780" s="11" t="s">
        <v>143</v>
      </c>
      <c r="O1780" s="10" t="str">
        <f t="shared" si="79"/>
        <v>09/2025</v>
      </c>
      <c r="P1780" s="10" t="str">
        <f t="shared" si="81"/>
        <v>09/2025</v>
      </c>
      <c r="Q1780" s="15" t="str">
        <f t="array" ref="Q1780">IFERROR(XLOOKUP(N1780,'Classificação'!A:A,'Classificação'!B:B),"")</f>
        <v>EMBALAGENS/FITAS/GERAL</v>
      </c>
      <c r="R1780" s="15" t="str">
        <f t="array" ref="R1780">IFERROR(XLOOKUP(Q1780,'Classificação'!B:B,'Classificação'!C:C),"")</f>
        <v>CUSTOS VARIÁVEIS</v>
      </c>
      <c r="S1780" s="15">
        <f t="shared" si="91"/>
        <v>22</v>
      </c>
      <c r="T1780" s="15">
        <f t="shared" si="6"/>
        <v>9</v>
      </c>
      <c r="U1780" s="15">
        <f t="shared" si="7"/>
        <v>2025</v>
      </c>
      <c r="V1780" s="15">
        <f t="shared" si="8"/>
        <v>22</v>
      </c>
      <c r="W1780" s="15">
        <f t="shared" si="9"/>
        <v>9</v>
      </c>
      <c r="X1780" s="15">
        <f t="shared" si="10"/>
        <v>2025</v>
      </c>
    </row>
    <row r="1781">
      <c r="A1781" s="9">
        <v>45922.0</v>
      </c>
      <c r="B1781" s="9">
        <v>45884.0</v>
      </c>
      <c r="C1781" s="9">
        <f t="shared" si="90"/>
        <v>45922</v>
      </c>
      <c r="D1781" s="11" t="s">
        <v>264</v>
      </c>
      <c r="E1781" s="11" t="s">
        <v>25</v>
      </c>
      <c r="F1781" s="11" t="s">
        <v>107</v>
      </c>
      <c r="G1781" s="11" t="s">
        <v>27</v>
      </c>
      <c r="H1781" s="11" t="s">
        <v>952</v>
      </c>
      <c r="I1781" s="31">
        <v>75.0</v>
      </c>
      <c r="J1781" s="13"/>
      <c r="K1781" s="13">
        <f t="shared" si="99"/>
        <v>75</v>
      </c>
      <c r="L1781" s="11" t="s">
        <v>34</v>
      </c>
      <c r="M1781" s="14"/>
      <c r="N1781" s="11" t="s">
        <v>266</v>
      </c>
      <c r="O1781" s="10" t="str">
        <f t="shared" si="79"/>
        <v>09/2025</v>
      </c>
      <c r="P1781" s="10" t="str">
        <f t="shared" si="81"/>
        <v>09/2025</v>
      </c>
      <c r="Q1781" s="15" t="str">
        <f t="array" ref="Q1781">IFERROR(XLOOKUP(N1781,'Classificação'!A:A,'Classificação'!B:B),"")</f>
        <v>DESPESAS COM VIAGENS</v>
      </c>
      <c r="R1781" s="15" t="str">
        <f t="array" ref="R1781">IFERROR(XLOOKUP(Q1781,'Classificação'!B:B,'Classificação'!C:C),"")</f>
        <v>DESPESAS FIXAS (-)</v>
      </c>
      <c r="S1781" s="15">
        <f t="shared" si="91"/>
        <v>22</v>
      </c>
      <c r="T1781" s="15">
        <f t="shared" si="6"/>
        <v>9</v>
      </c>
      <c r="U1781" s="15">
        <f t="shared" si="7"/>
        <v>2025</v>
      </c>
      <c r="V1781" s="15">
        <f t="shared" si="8"/>
        <v>22</v>
      </c>
      <c r="W1781" s="15">
        <f t="shared" si="9"/>
        <v>9</v>
      </c>
      <c r="X1781" s="15">
        <f t="shared" si="10"/>
        <v>2025</v>
      </c>
    </row>
    <row r="1782">
      <c r="A1782" s="9">
        <v>45922.0</v>
      </c>
      <c r="B1782" s="9">
        <v>45885.0</v>
      </c>
      <c r="C1782" s="9">
        <f t="shared" si="90"/>
        <v>45922</v>
      </c>
      <c r="D1782" s="11" t="s">
        <v>953</v>
      </c>
      <c r="E1782" s="11" t="s">
        <v>25</v>
      </c>
      <c r="F1782" s="11" t="s">
        <v>107</v>
      </c>
      <c r="G1782" s="11" t="s">
        <v>27</v>
      </c>
      <c r="H1782" s="11" t="s">
        <v>954</v>
      </c>
      <c r="I1782" s="31">
        <v>35.0</v>
      </c>
      <c r="J1782" s="13"/>
      <c r="K1782" s="13">
        <f t="shared" si="99"/>
        <v>35</v>
      </c>
      <c r="L1782" s="11" t="s">
        <v>34</v>
      </c>
      <c r="M1782" s="14"/>
      <c r="N1782" s="11" t="s">
        <v>266</v>
      </c>
      <c r="O1782" s="10" t="str">
        <f t="shared" si="79"/>
        <v>09/2025</v>
      </c>
      <c r="P1782" s="10" t="str">
        <f t="shared" si="81"/>
        <v>09/2025</v>
      </c>
      <c r="Q1782" s="15" t="str">
        <f t="array" ref="Q1782">IFERROR(XLOOKUP(N1782,'Classificação'!A:A,'Classificação'!B:B),"")</f>
        <v>DESPESAS COM VIAGENS</v>
      </c>
      <c r="R1782" s="15" t="str">
        <f t="array" ref="R1782">IFERROR(XLOOKUP(Q1782,'Classificação'!B:B,'Classificação'!C:C),"")</f>
        <v>DESPESAS FIXAS (-)</v>
      </c>
      <c r="S1782" s="15">
        <f t="shared" si="91"/>
        <v>22</v>
      </c>
      <c r="T1782" s="15">
        <f t="shared" si="6"/>
        <v>9</v>
      </c>
      <c r="U1782" s="15">
        <f t="shared" si="7"/>
        <v>2025</v>
      </c>
      <c r="V1782" s="15">
        <f t="shared" si="8"/>
        <v>22</v>
      </c>
      <c r="W1782" s="15">
        <f t="shared" si="9"/>
        <v>9</v>
      </c>
      <c r="X1782" s="15">
        <f t="shared" si="10"/>
        <v>2025</v>
      </c>
    </row>
    <row r="1783">
      <c r="A1783" s="9">
        <v>45922.0</v>
      </c>
      <c r="B1783" s="9">
        <v>45885.0</v>
      </c>
      <c r="C1783" s="9">
        <f t="shared" si="90"/>
        <v>45922</v>
      </c>
      <c r="D1783" s="11" t="s">
        <v>320</v>
      </c>
      <c r="E1783" s="11" t="s">
        <v>25</v>
      </c>
      <c r="F1783" s="11" t="s">
        <v>107</v>
      </c>
      <c r="G1783" s="11" t="s">
        <v>27</v>
      </c>
      <c r="H1783" s="11" t="s">
        <v>955</v>
      </c>
      <c r="I1783" s="31">
        <v>150.78</v>
      </c>
      <c r="J1783" s="13"/>
      <c r="K1783" s="13">
        <f t="shared" si="99"/>
        <v>150.78</v>
      </c>
      <c r="L1783" s="11" t="s">
        <v>34</v>
      </c>
      <c r="M1783" s="14"/>
      <c r="N1783" s="11" t="s">
        <v>272</v>
      </c>
      <c r="O1783" s="10" t="str">
        <f t="shared" si="79"/>
        <v>09/2025</v>
      </c>
      <c r="P1783" s="10" t="str">
        <f t="shared" si="81"/>
        <v>09/2025</v>
      </c>
      <c r="Q1783" s="15" t="str">
        <f t="array" ref="Q1783">IFERROR(XLOOKUP(N1783,'Classificação'!A:A,'Classificação'!B:B),"")</f>
        <v>DESPESAS COM VIAGENS</v>
      </c>
      <c r="R1783" s="15" t="str">
        <f t="array" ref="R1783">IFERROR(XLOOKUP(Q1783,'Classificação'!B:B,'Classificação'!C:C),"")</f>
        <v>DESPESAS FIXAS (-)</v>
      </c>
      <c r="S1783" s="15">
        <f t="shared" si="91"/>
        <v>22</v>
      </c>
      <c r="T1783" s="15">
        <f t="shared" si="6"/>
        <v>9</v>
      </c>
      <c r="U1783" s="15">
        <f t="shared" si="7"/>
        <v>2025</v>
      </c>
      <c r="V1783" s="15">
        <f t="shared" si="8"/>
        <v>22</v>
      </c>
      <c r="W1783" s="15">
        <f t="shared" si="9"/>
        <v>9</v>
      </c>
      <c r="X1783" s="15">
        <f t="shared" si="10"/>
        <v>2025</v>
      </c>
    </row>
    <row r="1784">
      <c r="A1784" s="9">
        <v>45922.0</v>
      </c>
      <c r="B1784" s="9">
        <v>45884.0</v>
      </c>
      <c r="C1784" s="9">
        <f t="shared" si="90"/>
        <v>45922</v>
      </c>
      <c r="D1784" s="11" t="s">
        <v>264</v>
      </c>
      <c r="E1784" s="11" t="s">
        <v>25</v>
      </c>
      <c r="F1784" s="11" t="s">
        <v>107</v>
      </c>
      <c r="G1784" s="11" t="s">
        <v>27</v>
      </c>
      <c r="H1784" s="11" t="s">
        <v>956</v>
      </c>
      <c r="I1784" s="31">
        <v>20.0</v>
      </c>
      <c r="J1784" s="13"/>
      <c r="K1784" s="13">
        <f t="shared" si="99"/>
        <v>20</v>
      </c>
      <c r="L1784" s="11" t="s">
        <v>34</v>
      </c>
      <c r="M1784" s="14"/>
      <c r="N1784" s="11" t="s">
        <v>266</v>
      </c>
      <c r="O1784" s="10" t="str">
        <f t="shared" si="79"/>
        <v>09/2025</v>
      </c>
      <c r="P1784" s="10" t="str">
        <f t="shared" si="81"/>
        <v>09/2025</v>
      </c>
      <c r="Q1784" s="15" t="str">
        <f t="array" ref="Q1784">IFERROR(XLOOKUP(N1784,'Classificação'!A:A,'Classificação'!B:B),"")</f>
        <v>DESPESAS COM VIAGENS</v>
      </c>
      <c r="R1784" s="15" t="str">
        <f t="array" ref="R1784">IFERROR(XLOOKUP(Q1784,'Classificação'!B:B,'Classificação'!C:C),"")</f>
        <v>DESPESAS FIXAS (-)</v>
      </c>
      <c r="S1784" s="15">
        <f t="shared" si="91"/>
        <v>22</v>
      </c>
      <c r="T1784" s="15">
        <f t="shared" si="6"/>
        <v>9</v>
      </c>
      <c r="U1784" s="15">
        <f t="shared" si="7"/>
        <v>2025</v>
      </c>
      <c r="V1784" s="15">
        <f t="shared" si="8"/>
        <v>22</v>
      </c>
      <c r="W1784" s="15">
        <f t="shared" si="9"/>
        <v>9</v>
      </c>
      <c r="X1784" s="15">
        <f t="shared" si="10"/>
        <v>2025</v>
      </c>
    </row>
    <row r="1785">
      <c r="A1785" s="9">
        <v>45922.0</v>
      </c>
      <c r="B1785" s="9">
        <v>45884.0</v>
      </c>
      <c r="C1785" s="9">
        <f t="shared" si="90"/>
        <v>45922</v>
      </c>
      <c r="D1785" s="11" t="s">
        <v>320</v>
      </c>
      <c r="E1785" s="11" t="s">
        <v>25</v>
      </c>
      <c r="F1785" s="11" t="s">
        <v>107</v>
      </c>
      <c r="G1785" s="11" t="s">
        <v>27</v>
      </c>
      <c r="H1785" s="11" t="s">
        <v>955</v>
      </c>
      <c r="I1785" s="31">
        <v>278.74</v>
      </c>
      <c r="J1785" s="13"/>
      <c r="K1785" s="13">
        <f t="shared" si="99"/>
        <v>278.74</v>
      </c>
      <c r="L1785" s="11" t="s">
        <v>34</v>
      </c>
      <c r="M1785" s="14"/>
      <c r="N1785" s="11" t="s">
        <v>272</v>
      </c>
      <c r="O1785" s="10" t="str">
        <f t="shared" si="79"/>
        <v>09/2025</v>
      </c>
      <c r="P1785" s="10" t="str">
        <f t="shared" si="81"/>
        <v>09/2025</v>
      </c>
      <c r="Q1785" s="15" t="str">
        <f t="array" ref="Q1785">IFERROR(XLOOKUP(N1785,'Classificação'!A:A,'Classificação'!B:B),"")</f>
        <v>DESPESAS COM VIAGENS</v>
      </c>
      <c r="R1785" s="15" t="str">
        <f t="array" ref="R1785">IFERROR(XLOOKUP(Q1785,'Classificação'!B:B,'Classificação'!C:C),"")</f>
        <v>DESPESAS FIXAS (-)</v>
      </c>
      <c r="S1785" s="15">
        <f t="shared" si="91"/>
        <v>22</v>
      </c>
      <c r="T1785" s="15">
        <f t="shared" si="6"/>
        <v>9</v>
      </c>
      <c r="U1785" s="15">
        <f t="shared" si="7"/>
        <v>2025</v>
      </c>
      <c r="V1785" s="15">
        <f t="shared" si="8"/>
        <v>22</v>
      </c>
      <c r="W1785" s="15">
        <f t="shared" si="9"/>
        <v>9</v>
      </c>
      <c r="X1785" s="15">
        <f t="shared" si="10"/>
        <v>2025</v>
      </c>
    </row>
    <row r="1786">
      <c r="A1786" s="9">
        <v>45922.0</v>
      </c>
      <c r="B1786" s="9">
        <v>45884.0</v>
      </c>
      <c r="C1786" s="9">
        <f t="shared" si="90"/>
        <v>45922</v>
      </c>
      <c r="D1786" s="11" t="s">
        <v>953</v>
      </c>
      <c r="E1786" s="11" t="s">
        <v>25</v>
      </c>
      <c r="F1786" s="11" t="s">
        <v>107</v>
      </c>
      <c r="G1786" s="11" t="s">
        <v>27</v>
      </c>
      <c r="H1786" s="11" t="s">
        <v>957</v>
      </c>
      <c r="I1786" s="31">
        <v>133.66</v>
      </c>
      <c r="J1786" s="13"/>
      <c r="K1786" s="13">
        <f t="shared" si="99"/>
        <v>133.66</v>
      </c>
      <c r="L1786" s="11" t="s">
        <v>53</v>
      </c>
      <c r="M1786" s="17">
        <v>45717.0</v>
      </c>
      <c r="N1786" s="11" t="s">
        <v>331</v>
      </c>
      <c r="O1786" s="10" t="str">
        <f t="shared" si="79"/>
        <v>09/2025</v>
      </c>
      <c r="P1786" s="10" t="str">
        <f t="shared" si="81"/>
        <v>09/2025</v>
      </c>
      <c r="Q1786" s="15" t="str">
        <f t="array" ref="Q1786">IFERROR(XLOOKUP(N1786,'Classificação'!A:A,'Classificação'!B:B),"")</f>
        <v>DESPESAS COM VIAGENS</v>
      </c>
      <c r="R1786" s="15" t="str">
        <f t="array" ref="R1786">IFERROR(XLOOKUP(Q1786,'Classificação'!B:B,'Classificação'!C:C),"")</f>
        <v>DESPESAS FIXAS (-)</v>
      </c>
      <c r="S1786" s="15">
        <f t="shared" si="91"/>
        <v>22</v>
      </c>
      <c r="T1786" s="15">
        <f t="shared" si="6"/>
        <v>9</v>
      </c>
      <c r="U1786" s="15">
        <f t="shared" si="7"/>
        <v>2025</v>
      </c>
      <c r="V1786" s="15">
        <f t="shared" si="8"/>
        <v>22</v>
      </c>
      <c r="W1786" s="15">
        <f t="shared" si="9"/>
        <v>9</v>
      </c>
      <c r="X1786" s="15">
        <f t="shared" si="10"/>
        <v>2025</v>
      </c>
    </row>
    <row r="1787">
      <c r="A1787" s="9">
        <v>45922.0</v>
      </c>
      <c r="B1787" s="9">
        <v>45895.0</v>
      </c>
      <c r="C1787" s="9">
        <f t="shared" si="90"/>
        <v>45922</v>
      </c>
      <c r="D1787" s="11" t="s">
        <v>65</v>
      </c>
      <c r="E1787" s="11" t="s">
        <v>25</v>
      </c>
      <c r="F1787" s="11" t="s">
        <v>107</v>
      </c>
      <c r="G1787" s="11" t="s">
        <v>27</v>
      </c>
      <c r="H1787" s="11" t="s">
        <v>958</v>
      </c>
      <c r="I1787" s="31">
        <v>146.68</v>
      </c>
      <c r="J1787" s="13"/>
      <c r="K1787" s="13">
        <f t="shared" si="99"/>
        <v>146.68</v>
      </c>
      <c r="L1787" s="11" t="s">
        <v>53</v>
      </c>
      <c r="M1787" s="17">
        <v>45717.0</v>
      </c>
      <c r="N1787" s="11" t="s">
        <v>143</v>
      </c>
      <c r="O1787" s="10" t="str">
        <f t="shared" si="79"/>
        <v>09/2025</v>
      </c>
      <c r="P1787" s="10" t="str">
        <f t="shared" si="81"/>
        <v>09/2025</v>
      </c>
      <c r="Q1787" s="15" t="str">
        <f t="array" ref="Q1787">IFERROR(XLOOKUP(N1787,'Classificação'!A:A,'Classificação'!B:B),"")</f>
        <v>EMBALAGENS/FITAS/GERAL</v>
      </c>
      <c r="R1787" s="15" t="str">
        <f t="array" ref="R1787">IFERROR(XLOOKUP(Q1787,'Classificação'!B:B,'Classificação'!C:C),"")</f>
        <v>CUSTOS VARIÁVEIS</v>
      </c>
      <c r="S1787" s="15">
        <f t="shared" si="91"/>
        <v>22</v>
      </c>
      <c r="T1787" s="15">
        <f t="shared" si="6"/>
        <v>9</v>
      </c>
      <c r="U1787" s="15">
        <f t="shared" si="7"/>
        <v>2025</v>
      </c>
      <c r="V1787" s="15">
        <f t="shared" si="8"/>
        <v>22</v>
      </c>
      <c r="W1787" s="15">
        <f t="shared" si="9"/>
        <v>9</v>
      </c>
      <c r="X1787" s="15">
        <f t="shared" si="10"/>
        <v>2025</v>
      </c>
    </row>
    <row r="1788">
      <c r="A1788" s="9">
        <v>45922.0</v>
      </c>
      <c r="B1788" s="9">
        <v>45885.0</v>
      </c>
      <c r="C1788" s="9">
        <f t="shared" si="90"/>
        <v>45922</v>
      </c>
      <c r="D1788" s="11" t="s">
        <v>959</v>
      </c>
      <c r="E1788" s="11" t="s">
        <v>25</v>
      </c>
      <c r="F1788" s="11" t="s">
        <v>107</v>
      </c>
      <c r="G1788" s="11" t="s">
        <v>27</v>
      </c>
      <c r="H1788" s="11" t="s">
        <v>960</v>
      </c>
      <c r="I1788" s="31">
        <v>259.76</v>
      </c>
      <c r="J1788" s="13"/>
      <c r="K1788" s="13">
        <f t="shared" si="99"/>
        <v>259.76</v>
      </c>
      <c r="L1788" s="11" t="s">
        <v>53</v>
      </c>
      <c r="M1788" s="17">
        <v>45778.0</v>
      </c>
      <c r="N1788" s="11" t="s">
        <v>95</v>
      </c>
      <c r="O1788" s="10" t="str">
        <f t="shared" si="79"/>
        <v>09/2025</v>
      </c>
      <c r="P1788" s="10" t="str">
        <f t="shared" si="81"/>
        <v>09/2025</v>
      </c>
      <c r="Q1788" s="15" t="str">
        <f t="array" ref="Q1788">IFERROR(XLOOKUP(N1788,'Classificação'!A:A,'Classificação'!B:B),"")</f>
        <v>DESPESAS NÃO OPERACIONAIS</v>
      </c>
      <c r="R1788" s="15" t="str">
        <f t="array" ref="R1788">IFERROR(XLOOKUP(Q1788,'Classificação'!B:B,'Classificação'!C:C),"")</f>
        <v>RESULTADO NÃO OPERACIONAL (+/-)</v>
      </c>
      <c r="S1788" s="15">
        <f t="shared" si="91"/>
        <v>22</v>
      </c>
      <c r="T1788" s="15">
        <f t="shared" si="6"/>
        <v>9</v>
      </c>
      <c r="U1788" s="15">
        <f t="shared" si="7"/>
        <v>2025</v>
      </c>
      <c r="V1788" s="15">
        <f t="shared" si="8"/>
        <v>22</v>
      </c>
      <c r="W1788" s="15">
        <f t="shared" si="9"/>
        <v>9</v>
      </c>
      <c r="X1788" s="15">
        <f t="shared" si="10"/>
        <v>2025</v>
      </c>
    </row>
    <row r="1789">
      <c r="A1789" s="26">
        <v>45922.0</v>
      </c>
      <c r="B1789" s="27">
        <v>45884.0</v>
      </c>
      <c r="C1789" s="27">
        <f t="shared" si="90"/>
        <v>45922</v>
      </c>
      <c r="D1789" s="28" t="s">
        <v>320</v>
      </c>
      <c r="E1789" s="11" t="s">
        <v>25</v>
      </c>
      <c r="F1789" s="28" t="s">
        <v>107</v>
      </c>
      <c r="G1789" s="28" t="s">
        <v>27</v>
      </c>
      <c r="H1789" s="28" t="s">
        <v>955</v>
      </c>
      <c r="I1789" s="33">
        <v>136.0</v>
      </c>
      <c r="J1789" s="34"/>
      <c r="K1789" s="13">
        <f t="shared" si="99"/>
        <v>136</v>
      </c>
      <c r="L1789" s="42" t="s">
        <v>34</v>
      </c>
      <c r="M1789" s="28"/>
      <c r="N1789" s="42" t="s">
        <v>272</v>
      </c>
      <c r="O1789" s="10" t="str">
        <f t="shared" si="79"/>
        <v>09/2025</v>
      </c>
      <c r="P1789" s="10" t="str">
        <f t="shared" si="81"/>
        <v>09/2025</v>
      </c>
      <c r="Q1789" s="15" t="str">
        <f t="array" ref="Q1789">IFERROR(XLOOKUP(N1789,'Classificação'!A:A,'Classificação'!B:B),"")</f>
        <v>DESPESAS COM VIAGENS</v>
      </c>
      <c r="R1789" s="15" t="str">
        <f t="array" ref="R1789">IFERROR(XLOOKUP(Q1789,'Classificação'!B:B,'Classificação'!C:C),"")</f>
        <v>DESPESAS FIXAS (-)</v>
      </c>
      <c r="S1789" s="15">
        <f t="shared" si="91"/>
        <v>22</v>
      </c>
      <c r="T1789" s="15">
        <f t="shared" si="6"/>
        <v>9</v>
      </c>
      <c r="U1789" s="15">
        <f t="shared" si="7"/>
        <v>2025</v>
      </c>
      <c r="V1789" s="15">
        <f t="shared" si="8"/>
        <v>22</v>
      </c>
      <c r="W1789" s="15">
        <f t="shared" si="9"/>
        <v>9</v>
      </c>
      <c r="X1789" s="15">
        <f t="shared" si="10"/>
        <v>2025</v>
      </c>
    </row>
    <row r="1790">
      <c r="A1790" s="9">
        <v>45922.0</v>
      </c>
      <c r="B1790" s="9">
        <v>45884.0</v>
      </c>
      <c r="C1790" s="9">
        <f t="shared" si="90"/>
        <v>45922</v>
      </c>
      <c r="D1790" s="11" t="s">
        <v>182</v>
      </c>
      <c r="E1790" s="11" t="s">
        <v>25</v>
      </c>
      <c r="F1790" s="11" t="s">
        <v>107</v>
      </c>
      <c r="G1790" s="11" t="s">
        <v>27</v>
      </c>
      <c r="H1790" s="11" t="s">
        <v>961</v>
      </c>
      <c r="I1790" s="31">
        <v>12.95</v>
      </c>
      <c r="J1790" s="13"/>
      <c r="K1790" s="13">
        <f t="shared" si="99"/>
        <v>12.95</v>
      </c>
      <c r="L1790" s="11" t="s">
        <v>34</v>
      </c>
      <c r="M1790" s="16"/>
      <c r="N1790" s="11" t="s">
        <v>184</v>
      </c>
      <c r="O1790" s="10" t="str">
        <f t="shared" si="79"/>
        <v>09/2025</v>
      </c>
      <c r="P1790" s="10" t="str">
        <f t="shared" si="81"/>
        <v>09/2025</v>
      </c>
      <c r="Q1790" s="15" t="str">
        <f t="array" ref="Q1790">IFERROR(XLOOKUP(N1790,'Classificação'!A:A,'Classificação'!B:B),"")</f>
        <v>DESPESAS ADMINISTRATIVAS</v>
      </c>
      <c r="R1790" s="15" t="str">
        <f t="array" ref="R1790">IFERROR(XLOOKUP(Q1790,'Classificação'!B:B,'Classificação'!C:C),"")</f>
        <v>DESPESAS FIXAS (-)</v>
      </c>
      <c r="S1790" s="15">
        <f t="shared" si="91"/>
        <v>22</v>
      </c>
      <c r="T1790" s="15">
        <f t="shared" si="6"/>
        <v>9</v>
      </c>
      <c r="U1790" s="15">
        <f t="shared" si="7"/>
        <v>2025</v>
      </c>
      <c r="V1790" s="15">
        <f t="shared" si="8"/>
        <v>22</v>
      </c>
      <c r="W1790" s="15">
        <f t="shared" si="9"/>
        <v>9</v>
      </c>
      <c r="X1790" s="15">
        <f t="shared" si="10"/>
        <v>2025</v>
      </c>
    </row>
    <row r="1791">
      <c r="A1791" s="9">
        <v>45922.0</v>
      </c>
      <c r="B1791" s="9">
        <v>45887.0</v>
      </c>
      <c r="C1791" s="9">
        <f t="shared" si="90"/>
        <v>45922</v>
      </c>
      <c r="D1791" s="11" t="s">
        <v>182</v>
      </c>
      <c r="E1791" s="11" t="s">
        <v>25</v>
      </c>
      <c r="F1791" s="11" t="s">
        <v>107</v>
      </c>
      <c r="G1791" s="11" t="s">
        <v>27</v>
      </c>
      <c r="H1791" s="11" t="s">
        <v>961</v>
      </c>
      <c r="I1791" s="31">
        <v>9.92</v>
      </c>
      <c r="J1791" s="13"/>
      <c r="K1791" s="13">
        <f t="shared" si="99"/>
        <v>9.92</v>
      </c>
      <c r="L1791" s="11" t="s">
        <v>34</v>
      </c>
      <c r="M1791" s="14"/>
      <c r="N1791" s="11" t="s">
        <v>184</v>
      </c>
      <c r="O1791" s="10" t="str">
        <f t="shared" si="79"/>
        <v>09/2025</v>
      </c>
      <c r="P1791" s="10" t="str">
        <f t="shared" si="81"/>
        <v>09/2025</v>
      </c>
      <c r="Q1791" s="15" t="str">
        <f t="array" ref="Q1791">IFERROR(XLOOKUP(N1791,'Classificação'!A:A,'Classificação'!B:B),"")</f>
        <v>DESPESAS ADMINISTRATIVAS</v>
      </c>
      <c r="R1791" s="15" t="str">
        <f t="array" ref="R1791">IFERROR(XLOOKUP(Q1791,'Classificação'!B:B,'Classificação'!C:C),"")</f>
        <v>DESPESAS FIXAS (-)</v>
      </c>
      <c r="S1791" s="15">
        <f t="shared" si="91"/>
        <v>22</v>
      </c>
      <c r="T1791" s="15">
        <f t="shared" si="6"/>
        <v>9</v>
      </c>
      <c r="U1791" s="15">
        <f t="shared" si="7"/>
        <v>2025</v>
      </c>
      <c r="V1791" s="15">
        <f t="shared" si="8"/>
        <v>22</v>
      </c>
      <c r="W1791" s="15">
        <f t="shared" si="9"/>
        <v>9</v>
      </c>
      <c r="X1791" s="15">
        <f t="shared" si="10"/>
        <v>2025</v>
      </c>
    </row>
    <row r="1792">
      <c r="A1792" s="9">
        <v>45922.0</v>
      </c>
      <c r="B1792" s="9">
        <v>45887.0</v>
      </c>
      <c r="C1792" s="9">
        <f t="shared" si="90"/>
        <v>45922</v>
      </c>
      <c r="D1792" s="11" t="s">
        <v>182</v>
      </c>
      <c r="E1792" s="11" t="s">
        <v>25</v>
      </c>
      <c r="F1792" s="11" t="s">
        <v>107</v>
      </c>
      <c r="G1792" s="11" t="s">
        <v>27</v>
      </c>
      <c r="H1792" s="11" t="s">
        <v>961</v>
      </c>
      <c r="I1792" s="31">
        <v>10.91</v>
      </c>
      <c r="J1792" s="13"/>
      <c r="K1792" s="13">
        <f t="shared" si="99"/>
        <v>10.91</v>
      </c>
      <c r="L1792" s="11" t="s">
        <v>34</v>
      </c>
      <c r="M1792" s="14"/>
      <c r="N1792" s="11" t="s">
        <v>184</v>
      </c>
      <c r="O1792" s="10" t="str">
        <f t="shared" si="79"/>
        <v>09/2025</v>
      </c>
      <c r="P1792" s="10" t="str">
        <f t="shared" si="81"/>
        <v>09/2025</v>
      </c>
      <c r="Q1792" s="15" t="str">
        <f t="array" ref="Q1792">IFERROR(XLOOKUP(N1792,'Classificação'!A:A,'Classificação'!B:B),"")</f>
        <v>DESPESAS ADMINISTRATIVAS</v>
      </c>
      <c r="R1792" s="15" t="str">
        <f t="array" ref="R1792">IFERROR(XLOOKUP(Q1792,'Classificação'!B:B,'Classificação'!C:C),"")</f>
        <v>DESPESAS FIXAS (-)</v>
      </c>
      <c r="S1792" s="15">
        <f t="shared" si="91"/>
        <v>22</v>
      </c>
      <c r="T1792" s="15">
        <f t="shared" si="6"/>
        <v>9</v>
      </c>
      <c r="U1792" s="15">
        <f t="shared" si="7"/>
        <v>2025</v>
      </c>
      <c r="V1792" s="15">
        <f t="shared" si="8"/>
        <v>22</v>
      </c>
      <c r="W1792" s="15">
        <f t="shared" si="9"/>
        <v>9</v>
      </c>
      <c r="X1792" s="15">
        <f t="shared" si="10"/>
        <v>2025</v>
      </c>
    </row>
    <row r="1793">
      <c r="A1793" s="9">
        <v>45922.0</v>
      </c>
      <c r="B1793" s="9">
        <v>45884.0</v>
      </c>
      <c r="C1793" s="9">
        <f t="shared" si="90"/>
        <v>45922</v>
      </c>
      <c r="D1793" s="11" t="s">
        <v>953</v>
      </c>
      <c r="E1793" s="11" t="s">
        <v>25</v>
      </c>
      <c r="F1793" s="11" t="s">
        <v>107</v>
      </c>
      <c r="G1793" s="11" t="s">
        <v>27</v>
      </c>
      <c r="H1793" s="11" t="s">
        <v>614</v>
      </c>
      <c r="I1793" s="31">
        <v>19.8</v>
      </c>
      <c r="J1793" s="13"/>
      <c r="K1793" s="13">
        <f t="shared" si="99"/>
        <v>19.8</v>
      </c>
      <c r="L1793" s="11" t="s">
        <v>34</v>
      </c>
      <c r="M1793" s="14"/>
      <c r="N1793" s="11" t="s">
        <v>394</v>
      </c>
      <c r="O1793" s="10" t="str">
        <f t="shared" si="79"/>
        <v>09/2025</v>
      </c>
      <c r="P1793" s="10" t="str">
        <f t="shared" si="81"/>
        <v>09/2025</v>
      </c>
      <c r="Q1793" s="15" t="str">
        <f t="array" ref="Q1793">IFERROR(XLOOKUP(N1793,'Classificação'!A:A,'Classificação'!B:B),"")</f>
        <v>DESPESAS NÃO OPERACIONAIS</v>
      </c>
      <c r="R1793" s="15" t="str">
        <f t="array" ref="R1793">IFERROR(XLOOKUP(Q1793,'Classificação'!B:B,'Classificação'!C:C),"")</f>
        <v>RESULTADO NÃO OPERACIONAL (+/-)</v>
      </c>
      <c r="S1793" s="15">
        <f t="shared" si="91"/>
        <v>22</v>
      </c>
      <c r="T1793" s="15">
        <f t="shared" si="6"/>
        <v>9</v>
      </c>
      <c r="U1793" s="15">
        <f t="shared" si="7"/>
        <v>2025</v>
      </c>
      <c r="V1793" s="15">
        <f t="shared" si="8"/>
        <v>22</v>
      </c>
      <c r="W1793" s="15">
        <f t="shared" si="9"/>
        <v>9</v>
      </c>
      <c r="X1793" s="15">
        <f t="shared" si="10"/>
        <v>2025</v>
      </c>
    </row>
    <row r="1794">
      <c r="A1794" s="9">
        <v>45922.0</v>
      </c>
      <c r="B1794" s="9">
        <v>45894.0</v>
      </c>
      <c r="C1794" s="9">
        <f t="shared" si="90"/>
        <v>45922</v>
      </c>
      <c r="D1794" s="11" t="s">
        <v>65</v>
      </c>
      <c r="E1794" s="11" t="s">
        <v>25</v>
      </c>
      <c r="F1794" s="11" t="s">
        <v>107</v>
      </c>
      <c r="G1794" s="11" t="s">
        <v>27</v>
      </c>
      <c r="H1794" s="11" t="s">
        <v>962</v>
      </c>
      <c r="I1794" s="31">
        <v>59.26</v>
      </c>
      <c r="J1794" s="13"/>
      <c r="K1794" s="13">
        <f t="shared" si="99"/>
        <v>59.26</v>
      </c>
      <c r="L1794" s="11" t="s">
        <v>34</v>
      </c>
      <c r="M1794" s="14"/>
      <c r="N1794" s="11" t="s">
        <v>143</v>
      </c>
      <c r="O1794" s="10" t="str">
        <f t="shared" si="79"/>
        <v>09/2025</v>
      </c>
      <c r="P1794" s="10" t="str">
        <f t="shared" si="81"/>
        <v>09/2025</v>
      </c>
      <c r="Q1794" s="15" t="str">
        <f t="array" ref="Q1794">IFERROR(XLOOKUP(N1794,'Classificação'!A:A,'Classificação'!B:B),"")</f>
        <v>EMBALAGENS/FITAS/GERAL</v>
      </c>
      <c r="R1794" s="15" t="str">
        <f t="array" ref="R1794">IFERROR(XLOOKUP(Q1794,'Classificação'!B:B,'Classificação'!C:C),"")</f>
        <v>CUSTOS VARIÁVEIS</v>
      </c>
      <c r="S1794" s="15">
        <f t="shared" si="91"/>
        <v>22</v>
      </c>
      <c r="T1794" s="15">
        <f t="shared" si="6"/>
        <v>9</v>
      </c>
      <c r="U1794" s="15">
        <f t="shared" si="7"/>
        <v>2025</v>
      </c>
      <c r="V1794" s="15">
        <f t="shared" si="8"/>
        <v>22</v>
      </c>
      <c r="W1794" s="15">
        <f t="shared" si="9"/>
        <v>9</v>
      </c>
      <c r="X1794" s="15">
        <f t="shared" si="10"/>
        <v>2025</v>
      </c>
    </row>
    <row r="1795">
      <c r="A1795" s="9">
        <v>45922.0</v>
      </c>
      <c r="B1795" s="9">
        <v>45890.0</v>
      </c>
      <c r="C1795" s="9">
        <f t="shared" si="90"/>
        <v>45922</v>
      </c>
      <c r="D1795" s="11" t="s">
        <v>65</v>
      </c>
      <c r="E1795" s="11" t="s">
        <v>25</v>
      </c>
      <c r="F1795" s="11" t="s">
        <v>107</v>
      </c>
      <c r="G1795" s="11" t="s">
        <v>27</v>
      </c>
      <c r="H1795" s="11" t="s">
        <v>963</v>
      </c>
      <c r="I1795" s="31">
        <v>128.5</v>
      </c>
      <c r="J1795" s="13"/>
      <c r="K1795" s="13">
        <f t="shared" si="99"/>
        <v>128.5</v>
      </c>
      <c r="L1795" s="11" t="s">
        <v>34</v>
      </c>
      <c r="M1795" s="14"/>
      <c r="N1795" s="11" t="s">
        <v>143</v>
      </c>
      <c r="O1795" s="10" t="str">
        <f t="shared" si="79"/>
        <v>09/2025</v>
      </c>
      <c r="P1795" s="10" t="str">
        <f t="shared" si="81"/>
        <v>09/2025</v>
      </c>
      <c r="Q1795" s="15" t="str">
        <f t="array" ref="Q1795">IFERROR(XLOOKUP(N1795,'Classificação'!A:A,'Classificação'!B:B),"")</f>
        <v>EMBALAGENS/FITAS/GERAL</v>
      </c>
      <c r="R1795" s="15" t="str">
        <f t="array" ref="R1795">IFERROR(XLOOKUP(Q1795,'Classificação'!B:B,'Classificação'!C:C),"")</f>
        <v>CUSTOS VARIÁVEIS</v>
      </c>
      <c r="S1795" s="15">
        <f t="shared" si="91"/>
        <v>22</v>
      </c>
      <c r="T1795" s="15">
        <f t="shared" si="6"/>
        <v>9</v>
      </c>
      <c r="U1795" s="15">
        <f t="shared" si="7"/>
        <v>2025</v>
      </c>
      <c r="V1795" s="15">
        <f t="shared" si="8"/>
        <v>22</v>
      </c>
      <c r="W1795" s="15">
        <f t="shared" si="9"/>
        <v>9</v>
      </c>
      <c r="X1795" s="15">
        <f t="shared" si="10"/>
        <v>2025</v>
      </c>
    </row>
    <row r="1796">
      <c r="A1796" s="9">
        <v>45922.0</v>
      </c>
      <c r="B1796" s="9">
        <v>45881.0</v>
      </c>
      <c r="C1796" s="9">
        <f t="shared" si="90"/>
        <v>45922</v>
      </c>
      <c r="D1796" s="11" t="s">
        <v>877</v>
      </c>
      <c r="E1796" s="11" t="s">
        <v>25</v>
      </c>
      <c r="F1796" s="11" t="s">
        <v>107</v>
      </c>
      <c r="G1796" s="11" t="s">
        <v>27</v>
      </c>
      <c r="H1796" s="11" t="s">
        <v>878</v>
      </c>
      <c r="I1796" s="31">
        <v>114.49</v>
      </c>
      <c r="J1796" s="13"/>
      <c r="K1796" s="13">
        <f t="shared" si="99"/>
        <v>114.49</v>
      </c>
      <c r="L1796" s="11" t="s">
        <v>53</v>
      </c>
      <c r="M1796" s="17">
        <v>45778.0</v>
      </c>
      <c r="N1796" s="11" t="s">
        <v>175</v>
      </c>
      <c r="O1796" s="10" t="str">
        <f t="shared" si="79"/>
        <v>09/2025</v>
      </c>
      <c r="P1796" s="10" t="str">
        <f t="shared" si="81"/>
        <v>09/2025</v>
      </c>
      <c r="Q1796" s="15" t="str">
        <f t="array" ref="Q1796">IFERROR(XLOOKUP(N1796,'Classificação'!A:A,'Classificação'!B:B),"")</f>
        <v>DESPESAS COM VEICULOS</v>
      </c>
      <c r="R1796" s="15" t="str">
        <f t="array" ref="R1796">IFERROR(XLOOKUP(Q1796,'Classificação'!B:B,'Classificação'!C:C),"")</f>
        <v>DESPESAS FIXAS (-)</v>
      </c>
      <c r="S1796" s="15">
        <f t="shared" si="91"/>
        <v>22</v>
      </c>
      <c r="T1796" s="15">
        <f t="shared" si="6"/>
        <v>9</v>
      </c>
      <c r="U1796" s="15">
        <f t="shared" si="7"/>
        <v>2025</v>
      </c>
      <c r="V1796" s="15">
        <f t="shared" si="8"/>
        <v>22</v>
      </c>
      <c r="W1796" s="15">
        <f t="shared" si="9"/>
        <v>9</v>
      </c>
      <c r="X1796" s="15">
        <f t="shared" si="10"/>
        <v>2025</v>
      </c>
    </row>
    <row r="1797">
      <c r="A1797" s="9">
        <v>45922.0</v>
      </c>
      <c r="B1797" s="10"/>
      <c r="C1797" s="9">
        <f t="shared" si="90"/>
        <v>45922</v>
      </c>
      <c r="D1797" s="11" t="s">
        <v>65</v>
      </c>
      <c r="E1797" s="11" t="s">
        <v>25</v>
      </c>
      <c r="F1797" s="11" t="s">
        <v>107</v>
      </c>
      <c r="G1797" s="11" t="s">
        <v>27</v>
      </c>
      <c r="H1797" s="11" t="s">
        <v>964</v>
      </c>
      <c r="I1797" s="31">
        <v>-279.0</v>
      </c>
      <c r="J1797" s="13"/>
      <c r="K1797" s="13">
        <f t="shared" si="99"/>
        <v>-279</v>
      </c>
      <c r="L1797" s="11" t="s">
        <v>34</v>
      </c>
      <c r="M1797" s="14"/>
      <c r="N1797" s="11" t="s">
        <v>143</v>
      </c>
      <c r="O1797" s="10" t="str">
        <f t="shared" si="79"/>
        <v>09/2025</v>
      </c>
      <c r="P1797" s="10" t="str">
        <f t="shared" si="81"/>
        <v>09/2025</v>
      </c>
      <c r="Q1797" s="15" t="str">
        <f t="array" ref="Q1797">IFERROR(XLOOKUP(N1797,'Classificação'!A:A,'Classificação'!B:B),"")</f>
        <v>EMBALAGENS/FITAS/GERAL</v>
      </c>
      <c r="R1797" s="15" t="str">
        <f t="array" ref="R1797">IFERROR(XLOOKUP(Q1797,'Classificação'!B:B,'Classificação'!C:C),"")</f>
        <v>CUSTOS VARIÁVEIS</v>
      </c>
      <c r="S1797" s="15">
        <f t="shared" si="91"/>
        <v>22</v>
      </c>
      <c r="T1797" s="15">
        <f t="shared" si="6"/>
        <v>9</v>
      </c>
      <c r="U1797" s="15">
        <f t="shared" si="7"/>
        <v>2025</v>
      </c>
      <c r="V1797" s="15">
        <f t="shared" si="8"/>
        <v>22</v>
      </c>
      <c r="W1797" s="15">
        <f t="shared" si="9"/>
        <v>9</v>
      </c>
      <c r="X1797" s="15">
        <f t="shared" si="10"/>
        <v>2025</v>
      </c>
    </row>
    <row r="1798">
      <c r="A1798" s="9">
        <v>45922.0</v>
      </c>
      <c r="B1798" s="10"/>
      <c r="C1798" s="9">
        <f t="shared" si="90"/>
        <v>45922</v>
      </c>
      <c r="D1798" s="11" t="s">
        <v>104</v>
      </c>
      <c r="E1798" s="11" t="s">
        <v>25</v>
      </c>
      <c r="F1798" s="11" t="s">
        <v>40</v>
      </c>
      <c r="G1798" s="11" t="s">
        <v>27</v>
      </c>
      <c r="I1798" s="12">
        <v>450.0</v>
      </c>
      <c r="J1798" s="13"/>
      <c r="K1798" s="13">
        <f t="shared" si="99"/>
        <v>450</v>
      </c>
      <c r="L1798" s="11" t="s">
        <v>29</v>
      </c>
      <c r="M1798" s="14"/>
      <c r="N1798" s="11" t="s">
        <v>105</v>
      </c>
      <c r="O1798" s="10" t="str">
        <f t="shared" si="79"/>
        <v>09/2025</v>
      </c>
      <c r="P1798" s="10" t="str">
        <f t="shared" si="81"/>
        <v>09/2025</v>
      </c>
      <c r="Q1798" s="15" t="str">
        <f t="array" ref="Q1798">IFERROR(XLOOKUP(N1798,'Classificação'!A:A,'Classificação'!B:B),"")</f>
        <v>DESPESAS ADMINISTRATIVAS</v>
      </c>
      <c r="R1798" s="15" t="str">
        <f t="array" ref="R1798">IFERROR(XLOOKUP(Q1798,'Classificação'!B:B,'Classificação'!C:C),"")</f>
        <v>DESPESAS FIXAS (-)</v>
      </c>
      <c r="S1798" s="15">
        <f t="shared" si="91"/>
        <v>22</v>
      </c>
      <c r="T1798" s="15">
        <f t="shared" si="6"/>
        <v>9</v>
      </c>
      <c r="U1798" s="15">
        <f t="shared" si="7"/>
        <v>2025</v>
      </c>
      <c r="V1798" s="15">
        <f t="shared" si="8"/>
        <v>22</v>
      </c>
      <c r="W1798" s="15">
        <f t="shared" si="9"/>
        <v>9</v>
      </c>
      <c r="X1798" s="15">
        <f t="shared" si="10"/>
        <v>2025</v>
      </c>
    </row>
    <row r="1799">
      <c r="A1799" s="9">
        <v>45922.0</v>
      </c>
      <c r="B1799" s="10"/>
      <c r="C1799" s="9">
        <f t="shared" si="90"/>
        <v>45922</v>
      </c>
      <c r="D1799" s="11" t="s">
        <v>100</v>
      </c>
      <c r="E1799" s="11" t="s">
        <v>25</v>
      </c>
      <c r="F1799" s="11" t="s">
        <v>40</v>
      </c>
      <c r="G1799" s="11" t="s">
        <v>27</v>
      </c>
      <c r="H1799" s="11" t="s">
        <v>965</v>
      </c>
      <c r="I1799" s="12">
        <v>9836.65</v>
      </c>
      <c r="J1799" s="13"/>
      <c r="K1799" s="13">
        <f t="shared" si="99"/>
        <v>9836.65</v>
      </c>
      <c r="L1799" s="11" t="s">
        <v>29</v>
      </c>
      <c r="M1799" s="14"/>
      <c r="N1799" s="11" t="s">
        <v>101</v>
      </c>
      <c r="O1799" s="10" t="str">
        <f t="shared" si="79"/>
        <v>09/2025</v>
      </c>
      <c r="P1799" s="10" t="str">
        <f t="shared" si="81"/>
        <v>09/2025</v>
      </c>
      <c r="Q1799" s="15" t="str">
        <f t="array" ref="Q1799">IFERROR(XLOOKUP(N1799,'Classificação'!A:A,'Classificação'!B:B),"")</f>
        <v>IMPOSTO DE RENDA - DAS</v>
      </c>
      <c r="R1799" s="15" t="str">
        <f t="array" ref="R1799">IFERROR(XLOOKUP(Q1799,'Classificação'!B:B,'Classificação'!C:C),"")</f>
        <v>DEDUÇÕES DA RECEITA BRUTA (-)</v>
      </c>
      <c r="S1799" s="15">
        <f t="shared" si="91"/>
        <v>22</v>
      </c>
      <c r="T1799" s="15">
        <f t="shared" si="6"/>
        <v>9</v>
      </c>
      <c r="U1799" s="15">
        <f t="shared" si="7"/>
        <v>2025</v>
      </c>
      <c r="V1799" s="15">
        <f t="shared" si="8"/>
        <v>22</v>
      </c>
      <c r="W1799" s="15">
        <f t="shared" si="9"/>
        <v>9</v>
      </c>
      <c r="X1799" s="15">
        <f t="shared" si="10"/>
        <v>2025</v>
      </c>
    </row>
    <row r="1800">
      <c r="A1800" s="9">
        <v>45922.0</v>
      </c>
      <c r="B1800" s="10"/>
      <c r="C1800" s="9">
        <f t="shared" si="90"/>
        <v>45922</v>
      </c>
      <c r="D1800" s="11" t="s">
        <v>100</v>
      </c>
      <c r="E1800" s="11" t="s">
        <v>25</v>
      </c>
      <c r="F1800" s="11" t="s">
        <v>40</v>
      </c>
      <c r="G1800" s="11" t="s">
        <v>37</v>
      </c>
      <c r="H1800" s="11" t="s">
        <v>966</v>
      </c>
      <c r="I1800" s="12">
        <v>5196.47</v>
      </c>
      <c r="J1800" s="13"/>
      <c r="K1800" s="13">
        <f t="shared" si="99"/>
        <v>5196.47</v>
      </c>
      <c r="L1800" s="11" t="s">
        <v>29</v>
      </c>
      <c r="M1800" s="14"/>
      <c r="N1800" s="11" t="s">
        <v>101</v>
      </c>
      <c r="O1800" s="10" t="str">
        <f t="shared" si="79"/>
        <v>09/2025</v>
      </c>
      <c r="P1800" s="10" t="str">
        <f t="shared" si="81"/>
        <v>09/2025</v>
      </c>
      <c r="Q1800" s="15" t="str">
        <f t="array" ref="Q1800">IFERROR(XLOOKUP(N1800,'Classificação'!A:A,'Classificação'!B:B),"")</f>
        <v>IMPOSTO DE RENDA - DAS</v>
      </c>
      <c r="R1800" s="15" t="str">
        <f t="array" ref="R1800">IFERROR(XLOOKUP(Q1800,'Classificação'!B:B,'Classificação'!C:C),"")</f>
        <v>DEDUÇÕES DA RECEITA BRUTA (-)</v>
      </c>
      <c r="S1800" s="15">
        <f t="shared" si="91"/>
        <v>22</v>
      </c>
      <c r="T1800" s="15">
        <f t="shared" si="6"/>
        <v>9</v>
      </c>
      <c r="U1800" s="15">
        <f t="shared" si="7"/>
        <v>2025</v>
      </c>
      <c r="V1800" s="15">
        <f t="shared" si="8"/>
        <v>22</v>
      </c>
      <c r="W1800" s="15">
        <f t="shared" si="9"/>
        <v>9</v>
      </c>
      <c r="X1800" s="15">
        <f t="shared" si="10"/>
        <v>2025</v>
      </c>
    </row>
    <row r="1801">
      <c r="A1801" s="9">
        <v>45922.0</v>
      </c>
      <c r="B1801" s="10"/>
      <c r="C1801" s="9">
        <f t="shared" si="90"/>
        <v>45922</v>
      </c>
      <c r="D1801" s="11" t="s">
        <v>171</v>
      </c>
      <c r="E1801" s="11" t="s">
        <v>25</v>
      </c>
      <c r="F1801" s="11" t="s">
        <v>40</v>
      </c>
      <c r="G1801" s="11" t="s">
        <v>37</v>
      </c>
      <c r="I1801" s="12">
        <v>107.64</v>
      </c>
      <c r="J1801" s="13"/>
      <c r="K1801" s="13">
        <f t="shared" si="99"/>
        <v>107.64</v>
      </c>
      <c r="L1801" s="11" t="s">
        <v>29</v>
      </c>
      <c r="M1801" s="14"/>
      <c r="N1801" s="11" t="s">
        <v>172</v>
      </c>
      <c r="O1801" s="10" t="str">
        <f t="shared" si="79"/>
        <v>09/2025</v>
      </c>
      <c r="P1801" s="10" t="str">
        <f t="shared" si="81"/>
        <v>09/2025</v>
      </c>
      <c r="Q1801" s="15" t="str">
        <f t="array" ref="Q1801">IFERROR(XLOOKUP(N1801,'Classificação'!A:A,'Classificação'!B:B),"")</f>
        <v>DESPESAS COM OCUPAÇÃO</v>
      </c>
      <c r="R1801" s="15" t="str">
        <f t="array" ref="R1801">IFERROR(XLOOKUP(Q1801,'Classificação'!B:B,'Classificação'!C:C),"")</f>
        <v>DESPESAS FIXAS (-)</v>
      </c>
      <c r="S1801" s="15">
        <f t="shared" si="91"/>
        <v>22</v>
      </c>
      <c r="T1801" s="15">
        <f t="shared" si="6"/>
        <v>9</v>
      </c>
      <c r="U1801" s="15">
        <f t="shared" si="7"/>
        <v>2025</v>
      </c>
      <c r="V1801" s="15">
        <f t="shared" si="8"/>
        <v>22</v>
      </c>
      <c r="W1801" s="15">
        <f t="shared" si="9"/>
        <v>9</v>
      </c>
      <c r="X1801" s="15">
        <f t="shared" si="10"/>
        <v>2025</v>
      </c>
    </row>
    <row r="1802">
      <c r="A1802" s="9">
        <v>45922.0</v>
      </c>
      <c r="B1802" s="9">
        <v>45798.0</v>
      </c>
      <c r="C1802" s="9">
        <f t="shared" si="90"/>
        <v>45922</v>
      </c>
      <c r="D1802" s="11" t="s">
        <v>86</v>
      </c>
      <c r="E1802" s="11" t="s">
        <v>25</v>
      </c>
      <c r="F1802" s="11" t="s">
        <v>87</v>
      </c>
      <c r="G1802" s="11" t="s">
        <v>27</v>
      </c>
      <c r="H1802" s="11" t="s">
        <v>967</v>
      </c>
      <c r="I1802" s="12">
        <v>1960.0</v>
      </c>
      <c r="J1802" s="13"/>
      <c r="K1802" s="13">
        <f t="shared" si="99"/>
        <v>1960</v>
      </c>
      <c r="L1802" s="11" t="s">
        <v>53</v>
      </c>
      <c r="M1802" s="17">
        <v>45751.0</v>
      </c>
      <c r="N1802" s="11" t="s">
        <v>35</v>
      </c>
      <c r="O1802" s="10" t="str">
        <f t="shared" si="79"/>
        <v>09/2025</v>
      </c>
      <c r="P1802" s="10" t="str">
        <f t="shared" si="81"/>
        <v>09/2025</v>
      </c>
      <c r="Q1802" s="15" t="str">
        <f t="array" ref="Q1802">IFERROR(XLOOKUP(N1802,'Classificação'!A:A,'Classificação'!B:B),"")</f>
        <v>COMPRA DE MERCADORIA</v>
      </c>
      <c r="R1802" s="15" t="str">
        <f t="array" ref="R1802">IFERROR(XLOOKUP(Q1802,'Classificação'!B:B,'Classificação'!C:C),"")</f>
        <v>CUSTOS VARIÁVEIS</v>
      </c>
      <c r="S1802" s="15">
        <f t="shared" si="91"/>
        <v>22</v>
      </c>
      <c r="T1802" s="15">
        <f t="shared" si="6"/>
        <v>9</v>
      </c>
      <c r="U1802" s="15">
        <f t="shared" si="7"/>
        <v>2025</v>
      </c>
      <c r="V1802" s="15">
        <f t="shared" si="8"/>
        <v>22</v>
      </c>
      <c r="W1802" s="15">
        <f t="shared" si="9"/>
        <v>9</v>
      </c>
      <c r="X1802" s="15">
        <f t="shared" si="10"/>
        <v>2025</v>
      </c>
    </row>
    <row r="1803">
      <c r="A1803" s="9">
        <v>45922.0</v>
      </c>
      <c r="B1803" s="10"/>
      <c r="C1803" s="9">
        <f t="shared" si="90"/>
        <v>45922</v>
      </c>
      <c r="D1803" s="11" t="s">
        <v>44</v>
      </c>
      <c r="E1803" s="11" t="s">
        <v>25</v>
      </c>
      <c r="F1803" s="11" t="s">
        <v>45</v>
      </c>
      <c r="G1803" s="11" t="s">
        <v>27</v>
      </c>
      <c r="H1803" s="11" t="s">
        <v>968</v>
      </c>
      <c r="I1803" s="12">
        <v>1956.82</v>
      </c>
      <c r="J1803" s="13"/>
      <c r="K1803" s="13">
        <f t="shared" si="99"/>
        <v>1956.82</v>
      </c>
      <c r="L1803" s="11" t="s">
        <v>34</v>
      </c>
      <c r="M1803" s="14"/>
      <c r="N1803" s="11" t="s">
        <v>574</v>
      </c>
      <c r="O1803" s="10" t="str">
        <f t="shared" si="79"/>
        <v>09/2025</v>
      </c>
      <c r="P1803" s="10" t="str">
        <f t="shared" si="81"/>
        <v>09/2025</v>
      </c>
      <c r="Q1803" s="15" t="str">
        <f t="array" ref="Q1803">IFERROR(XLOOKUP(N1803,'Classificação'!A:A,'Classificação'!B:B),"")</f>
        <v>TARIFAS FINANCEIRAS DIVERSAS</v>
      </c>
      <c r="R1803" s="15" t="str">
        <f t="array" ref="R1803">IFERROR(XLOOKUP(Q1803,'Classificação'!B:B,'Classificação'!C:C),"")</f>
        <v>(+/-) RESULTADO FINANCEIRO LÍQUIDO</v>
      </c>
      <c r="S1803" s="15">
        <f t="shared" si="91"/>
        <v>22</v>
      </c>
      <c r="T1803" s="15">
        <f t="shared" si="6"/>
        <v>9</v>
      </c>
      <c r="U1803" s="15">
        <f t="shared" si="7"/>
        <v>2025</v>
      </c>
      <c r="V1803" s="15">
        <f t="shared" si="8"/>
        <v>22</v>
      </c>
      <c r="W1803" s="15">
        <f t="shared" si="9"/>
        <v>9</v>
      </c>
      <c r="X1803" s="15">
        <f t="shared" si="10"/>
        <v>2025</v>
      </c>
    </row>
    <row r="1804">
      <c r="A1804" s="9">
        <v>45922.0</v>
      </c>
      <c r="B1804" s="10"/>
      <c r="C1804" s="9">
        <f t="shared" si="90"/>
        <v>45922</v>
      </c>
      <c r="D1804" s="11" t="s">
        <v>44</v>
      </c>
      <c r="E1804" s="11" t="s">
        <v>25</v>
      </c>
      <c r="F1804" s="11" t="s">
        <v>45</v>
      </c>
      <c r="G1804" s="11" t="s">
        <v>27</v>
      </c>
      <c r="H1804" s="11" t="s">
        <v>969</v>
      </c>
      <c r="I1804" s="12">
        <v>550.0</v>
      </c>
      <c r="J1804" s="13"/>
      <c r="K1804" s="13">
        <f t="shared" si="99"/>
        <v>550</v>
      </c>
      <c r="L1804" s="11" t="s">
        <v>34</v>
      </c>
      <c r="M1804" s="14"/>
      <c r="N1804" s="11" t="s">
        <v>574</v>
      </c>
      <c r="O1804" s="10" t="str">
        <f t="shared" si="79"/>
        <v>09/2025</v>
      </c>
      <c r="P1804" s="10" t="str">
        <f t="shared" si="81"/>
        <v>09/2025</v>
      </c>
      <c r="Q1804" s="15" t="str">
        <f t="array" ref="Q1804">IFERROR(XLOOKUP(N1804,'Classificação'!A:A,'Classificação'!B:B),"")</f>
        <v>TARIFAS FINANCEIRAS DIVERSAS</v>
      </c>
      <c r="R1804" s="15" t="str">
        <f t="array" ref="R1804">IFERROR(XLOOKUP(Q1804,'Classificação'!B:B,'Classificação'!C:C),"")</f>
        <v>(+/-) RESULTADO FINANCEIRO LÍQUIDO</v>
      </c>
      <c r="S1804" s="15">
        <f t="shared" si="91"/>
        <v>22</v>
      </c>
      <c r="T1804" s="15">
        <f t="shared" si="6"/>
        <v>9</v>
      </c>
      <c r="U1804" s="15">
        <f t="shared" si="7"/>
        <v>2025</v>
      </c>
      <c r="V1804" s="15">
        <f t="shared" si="8"/>
        <v>22</v>
      </c>
      <c r="W1804" s="15">
        <f t="shared" si="9"/>
        <v>9</v>
      </c>
      <c r="X1804" s="15">
        <f t="shared" si="10"/>
        <v>2025</v>
      </c>
    </row>
    <row r="1805">
      <c r="A1805" s="9">
        <v>45922.0</v>
      </c>
      <c r="B1805" s="10"/>
      <c r="C1805" s="9">
        <f t="shared" si="90"/>
        <v>45922</v>
      </c>
      <c r="D1805" s="11" t="s">
        <v>44</v>
      </c>
      <c r="E1805" s="11" t="s">
        <v>25</v>
      </c>
      <c r="F1805" s="11" t="s">
        <v>45</v>
      </c>
      <c r="G1805" s="11" t="s">
        <v>27</v>
      </c>
      <c r="H1805" s="11" t="s">
        <v>970</v>
      </c>
      <c r="I1805" s="12">
        <v>244.6</v>
      </c>
      <c r="J1805" s="13"/>
      <c r="K1805" s="13">
        <f t="shared" si="99"/>
        <v>244.6</v>
      </c>
      <c r="L1805" s="11" t="s">
        <v>34</v>
      </c>
      <c r="M1805" s="14"/>
      <c r="N1805" s="11" t="s">
        <v>574</v>
      </c>
      <c r="O1805" s="10" t="str">
        <f t="shared" si="79"/>
        <v>09/2025</v>
      </c>
      <c r="P1805" s="10" t="str">
        <f t="shared" si="81"/>
        <v>09/2025</v>
      </c>
      <c r="Q1805" s="15" t="str">
        <f t="array" ref="Q1805">IFERROR(XLOOKUP(N1805,'Classificação'!A:A,'Classificação'!B:B),"")</f>
        <v>TARIFAS FINANCEIRAS DIVERSAS</v>
      </c>
      <c r="R1805" s="15" t="str">
        <f t="array" ref="R1805">IFERROR(XLOOKUP(Q1805,'Classificação'!B:B,'Classificação'!C:C),"")</f>
        <v>(+/-) RESULTADO FINANCEIRO LÍQUIDO</v>
      </c>
      <c r="S1805" s="15">
        <f t="shared" si="91"/>
        <v>22</v>
      </c>
      <c r="T1805" s="15">
        <f t="shared" si="6"/>
        <v>9</v>
      </c>
      <c r="U1805" s="15">
        <f t="shared" si="7"/>
        <v>2025</v>
      </c>
      <c r="V1805" s="15">
        <f t="shared" si="8"/>
        <v>22</v>
      </c>
      <c r="W1805" s="15">
        <f t="shared" si="9"/>
        <v>9</v>
      </c>
      <c r="X1805" s="15">
        <f t="shared" si="10"/>
        <v>2025</v>
      </c>
    </row>
    <row r="1806">
      <c r="A1806" s="9">
        <v>45923.0</v>
      </c>
      <c r="B1806" s="10"/>
      <c r="C1806" s="9">
        <f t="shared" si="90"/>
        <v>45923</v>
      </c>
      <c r="D1806" s="11" t="s">
        <v>637</v>
      </c>
      <c r="E1806" s="11" t="s">
        <v>25</v>
      </c>
      <c r="F1806" s="11" t="s">
        <v>40</v>
      </c>
      <c r="G1806" s="11" t="s">
        <v>27</v>
      </c>
      <c r="I1806" s="12">
        <v>170.0</v>
      </c>
      <c r="J1806" s="13"/>
      <c r="K1806" s="13">
        <f t="shared" si="99"/>
        <v>170</v>
      </c>
      <c r="L1806" s="11" t="s">
        <v>29</v>
      </c>
      <c r="M1806" s="14"/>
      <c r="N1806" s="11" t="s">
        <v>201</v>
      </c>
      <c r="O1806" s="10" t="str">
        <f t="shared" si="79"/>
        <v>09/2025</v>
      </c>
      <c r="P1806" s="10" t="str">
        <f t="shared" si="81"/>
        <v>09/2025</v>
      </c>
      <c r="Q1806" s="15" t="str">
        <f t="array" ref="Q1806">IFERROR(XLOOKUP(N1806,'Classificação'!A:A,'Classificação'!B:B),"")</f>
        <v>DESPESAS COM OCUPAÇÃO</v>
      </c>
      <c r="R1806" s="15" t="str">
        <f t="array" ref="R1806">IFERROR(XLOOKUP(Q1806,'Classificação'!B:B,'Classificação'!C:C),"")</f>
        <v>DESPESAS FIXAS (-)</v>
      </c>
      <c r="S1806" s="15">
        <f t="shared" si="91"/>
        <v>23</v>
      </c>
      <c r="T1806" s="15">
        <f t="shared" si="6"/>
        <v>9</v>
      </c>
      <c r="U1806" s="15">
        <f t="shared" si="7"/>
        <v>2025</v>
      </c>
      <c r="V1806" s="15">
        <f t="shared" si="8"/>
        <v>23</v>
      </c>
      <c r="W1806" s="15">
        <f t="shared" si="9"/>
        <v>9</v>
      </c>
      <c r="X1806" s="15">
        <f t="shared" si="10"/>
        <v>2025</v>
      </c>
    </row>
    <row r="1807">
      <c r="A1807" s="9">
        <v>45923.0</v>
      </c>
      <c r="B1807" s="9">
        <v>45819.0</v>
      </c>
      <c r="C1807" s="9">
        <f t="shared" si="90"/>
        <v>45923</v>
      </c>
      <c r="D1807" s="11" t="s">
        <v>86</v>
      </c>
      <c r="E1807" s="11" t="s">
        <v>25</v>
      </c>
      <c r="F1807" s="11" t="s">
        <v>87</v>
      </c>
      <c r="G1807" s="11" t="s">
        <v>27</v>
      </c>
      <c r="H1807" s="11" t="s">
        <v>971</v>
      </c>
      <c r="I1807" s="12">
        <v>1400.0</v>
      </c>
      <c r="J1807" s="13"/>
      <c r="K1807" s="13">
        <f t="shared" si="99"/>
        <v>1400</v>
      </c>
      <c r="L1807" s="11" t="s">
        <v>53</v>
      </c>
      <c r="M1807" s="17">
        <v>45750.0</v>
      </c>
      <c r="N1807" s="11" t="s">
        <v>35</v>
      </c>
      <c r="O1807" s="10" t="str">
        <f t="shared" si="79"/>
        <v>09/2025</v>
      </c>
      <c r="P1807" s="10" t="str">
        <f t="shared" si="81"/>
        <v>09/2025</v>
      </c>
      <c r="Q1807" s="15" t="str">
        <f t="array" ref="Q1807">IFERROR(XLOOKUP(N1807,'Classificação'!A:A,'Classificação'!B:B),"")</f>
        <v>COMPRA DE MERCADORIA</v>
      </c>
      <c r="R1807" s="15" t="str">
        <f t="array" ref="R1807">IFERROR(XLOOKUP(Q1807,'Classificação'!B:B,'Classificação'!C:C),"")</f>
        <v>CUSTOS VARIÁVEIS</v>
      </c>
      <c r="S1807" s="15">
        <f t="shared" si="91"/>
        <v>23</v>
      </c>
      <c r="T1807" s="15">
        <f t="shared" si="6"/>
        <v>9</v>
      </c>
      <c r="U1807" s="15">
        <f t="shared" si="7"/>
        <v>2025</v>
      </c>
      <c r="V1807" s="15">
        <f t="shared" si="8"/>
        <v>23</v>
      </c>
      <c r="W1807" s="15">
        <f t="shared" si="9"/>
        <v>9</v>
      </c>
      <c r="X1807" s="15">
        <f t="shared" si="10"/>
        <v>2025</v>
      </c>
    </row>
    <row r="1808">
      <c r="A1808" s="9">
        <v>45923.0</v>
      </c>
      <c r="B1808" s="10"/>
      <c r="C1808" s="9">
        <f t="shared" si="90"/>
        <v>45923</v>
      </c>
      <c r="D1808" s="28" t="s">
        <v>76</v>
      </c>
      <c r="E1808" s="29" t="s">
        <v>25</v>
      </c>
      <c r="F1808" s="28" t="s">
        <v>26</v>
      </c>
      <c r="G1808" s="29" t="s">
        <v>37</v>
      </c>
      <c r="H1808" s="28" t="s">
        <v>84</v>
      </c>
      <c r="I1808" s="24">
        <v>1214.27</v>
      </c>
      <c r="J1808" s="13"/>
      <c r="K1808" s="13">
        <f t="shared" si="99"/>
        <v>1214.27</v>
      </c>
      <c r="L1808" s="28" t="s">
        <v>53</v>
      </c>
      <c r="M1808" s="16" t="s">
        <v>934</v>
      </c>
      <c r="N1808" s="28" t="s">
        <v>85</v>
      </c>
      <c r="O1808" s="10" t="str">
        <f t="shared" si="79"/>
        <v>09/2025</v>
      </c>
      <c r="P1808" s="10" t="str">
        <f t="shared" si="81"/>
        <v>09/2025</v>
      </c>
      <c r="Q1808" s="15" t="str">
        <f t="array" ref="Q1808">IFERROR(XLOOKUP(N1808,'Classificação'!A:A,'Classificação'!B:B),"")</f>
        <v>DESPESAS NÃO OPERACIONAIS</v>
      </c>
      <c r="R1808" s="15" t="str">
        <f t="array" ref="R1808">IFERROR(XLOOKUP(Q1808,'Classificação'!B:B,'Classificação'!C:C),"")</f>
        <v>RESULTADO NÃO OPERACIONAL (+/-)</v>
      </c>
      <c r="S1808" s="15">
        <f t="shared" si="91"/>
        <v>23</v>
      </c>
      <c r="T1808" s="15">
        <f t="shared" si="6"/>
        <v>9</v>
      </c>
      <c r="U1808" s="15">
        <f t="shared" si="7"/>
        <v>2025</v>
      </c>
      <c r="V1808" s="15">
        <f t="shared" si="8"/>
        <v>23</v>
      </c>
      <c r="W1808" s="15">
        <f t="shared" si="9"/>
        <v>9</v>
      </c>
      <c r="X1808" s="15">
        <f t="shared" si="10"/>
        <v>2025</v>
      </c>
    </row>
    <row r="1809">
      <c r="A1809" s="26">
        <v>45923.0</v>
      </c>
      <c r="B1809" s="30"/>
      <c r="C1809" s="27">
        <f t="shared" si="90"/>
        <v>45923</v>
      </c>
      <c r="D1809" s="28" t="s">
        <v>36</v>
      </c>
      <c r="E1809" s="29" t="s">
        <v>25</v>
      </c>
      <c r="F1809" s="28" t="s">
        <v>32</v>
      </c>
      <c r="G1809" s="28" t="s">
        <v>37</v>
      </c>
      <c r="H1809" s="28"/>
      <c r="I1809" s="24">
        <v>3850.0</v>
      </c>
      <c r="J1809" s="13"/>
      <c r="K1809" s="13">
        <f t="shared" si="99"/>
        <v>3850</v>
      </c>
      <c r="L1809" s="28" t="s">
        <v>29</v>
      </c>
      <c r="M1809" s="14"/>
      <c r="N1809" s="28" t="s">
        <v>38</v>
      </c>
      <c r="O1809" s="10" t="str">
        <f t="shared" si="79"/>
        <v>09/2025</v>
      </c>
      <c r="P1809" s="10" t="str">
        <f t="shared" si="81"/>
        <v>09/2025</v>
      </c>
      <c r="Q1809" s="15" t="str">
        <f t="array" ref="Q1809">IFERROR(XLOOKUP(N1809,'Classificação'!A:A,'Classificação'!B:B),"")</f>
        <v>DESPESAS COM PESSOAL</v>
      </c>
      <c r="R1809" s="15" t="str">
        <f t="array" ref="R1809">IFERROR(XLOOKUP(Q1809,'Classificação'!B:B,'Classificação'!C:C),"")</f>
        <v>DESPESAS FIXAS (-)</v>
      </c>
      <c r="S1809" s="15">
        <f t="shared" si="91"/>
        <v>23</v>
      </c>
      <c r="T1809" s="15">
        <f t="shared" si="6"/>
        <v>9</v>
      </c>
      <c r="U1809" s="15">
        <f t="shared" si="7"/>
        <v>2025</v>
      </c>
      <c r="V1809" s="15">
        <f t="shared" si="8"/>
        <v>23</v>
      </c>
      <c r="W1809" s="15">
        <f t="shared" si="9"/>
        <v>9</v>
      </c>
      <c r="X1809" s="15">
        <f t="shared" si="10"/>
        <v>2025</v>
      </c>
    </row>
    <row r="1810">
      <c r="A1810" s="26">
        <v>45923.0</v>
      </c>
      <c r="B1810" s="30"/>
      <c r="C1810" s="27">
        <f t="shared" si="90"/>
        <v>45923</v>
      </c>
      <c r="D1810" s="28" t="s">
        <v>43</v>
      </c>
      <c r="E1810" s="29" t="s">
        <v>25</v>
      </c>
      <c r="F1810" s="28" t="s">
        <v>32</v>
      </c>
      <c r="G1810" s="28" t="s">
        <v>37</v>
      </c>
      <c r="H1810" s="28"/>
      <c r="I1810" s="24">
        <v>3850.0</v>
      </c>
      <c r="J1810" s="13"/>
      <c r="K1810" s="13">
        <f t="shared" si="99"/>
        <v>3850</v>
      </c>
      <c r="L1810" s="28" t="s">
        <v>29</v>
      </c>
      <c r="M1810" s="14"/>
      <c r="N1810" s="28" t="s">
        <v>38</v>
      </c>
      <c r="O1810" s="10" t="str">
        <f t="shared" si="79"/>
        <v>09/2025</v>
      </c>
      <c r="P1810" s="10" t="str">
        <f t="shared" si="81"/>
        <v>09/2025</v>
      </c>
      <c r="Q1810" s="15" t="str">
        <f t="array" ref="Q1810">IFERROR(XLOOKUP(N1810,'Classificação'!A:A,'Classificação'!B:B),"")</f>
        <v>DESPESAS COM PESSOAL</v>
      </c>
      <c r="R1810" s="15" t="str">
        <f t="array" ref="R1810">IFERROR(XLOOKUP(Q1810,'Classificação'!B:B,'Classificação'!C:C),"")</f>
        <v>DESPESAS FIXAS (-)</v>
      </c>
      <c r="S1810" s="15">
        <f t="shared" si="91"/>
        <v>23</v>
      </c>
      <c r="T1810" s="15">
        <f t="shared" si="6"/>
        <v>9</v>
      </c>
      <c r="U1810" s="15">
        <f t="shared" si="7"/>
        <v>2025</v>
      </c>
      <c r="V1810" s="15">
        <f t="shared" si="8"/>
        <v>23</v>
      </c>
      <c r="W1810" s="15">
        <f t="shared" si="9"/>
        <v>9</v>
      </c>
      <c r="X1810" s="15">
        <f t="shared" si="10"/>
        <v>2025</v>
      </c>
    </row>
    <row r="1811">
      <c r="A1811" s="9">
        <v>45923.0</v>
      </c>
      <c r="B1811" s="10"/>
      <c r="C1811" s="9">
        <f t="shared" si="90"/>
        <v>45923</v>
      </c>
      <c r="D1811" s="11" t="s">
        <v>127</v>
      </c>
      <c r="E1811" s="11" t="s">
        <v>25</v>
      </c>
      <c r="F1811" s="11" t="s">
        <v>26</v>
      </c>
      <c r="G1811" s="11" t="s">
        <v>37</v>
      </c>
      <c r="H1811" s="11" t="s">
        <v>972</v>
      </c>
      <c r="I1811" s="12">
        <v>600.46</v>
      </c>
      <c r="J1811" s="13"/>
      <c r="K1811" s="13">
        <f t="shared" si="99"/>
        <v>600.46</v>
      </c>
      <c r="L1811" s="11" t="s">
        <v>29</v>
      </c>
      <c r="M1811" s="14"/>
      <c r="N1811" s="11" t="s">
        <v>58</v>
      </c>
      <c r="O1811" s="10" t="str">
        <f t="shared" si="79"/>
        <v>09/2025</v>
      </c>
      <c r="P1811" s="10" t="str">
        <f t="shared" si="81"/>
        <v>09/2025</v>
      </c>
      <c r="Q1811" s="15" t="str">
        <f t="array" ref="Q1811">IFERROR(XLOOKUP(N1811,'Classificação'!A:A,'Classificação'!B:B),"")</f>
        <v>DESPESAS ADMINISTRATIVAS</v>
      </c>
      <c r="R1811" s="15" t="str">
        <f t="array" ref="R1811">IFERROR(XLOOKUP(Q1811,'Classificação'!B:B,'Classificação'!C:C),"")</f>
        <v>DESPESAS FIXAS (-)</v>
      </c>
      <c r="S1811" s="15">
        <f t="shared" si="91"/>
        <v>23</v>
      </c>
      <c r="T1811" s="15">
        <f t="shared" si="6"/>
        <v>9</v>
      </c>
      <c r="U1811" s="15">
        <f t="shared" si="7"/>
        <v>2025</v>
      </c>
      <c r="V1811" s="15">
        <f t="shared" si="8"/>
        <v>23</v>
      </c>
      <c r="W1811" s="15">
        <f t="shared" si="9"/>
        <v>9</v>
      </c>
      <c r="X1811" s="15">
        <f t="shared" si="10"/>
        <v>2025</v>
      </c>
    </row>
    <row r="1812">
      <c r="A1812" s="27">
        <v>45923.0</v>
      </c>
      <c r="B1812" s="30"/>
      <c r="C1812" s="27">
        <f t="shared" si="90"/>
        <v>45923</v>
      </c>
      <c r="D1812" s="28" t="s">
        <v>36</v>
      </c>
      <c r="E1812" s="29" t="s">
        <v>25</v>
      </c>
      <c r="F1812" s="28" t="s">
        <v>32</v>
      </c>
      <c r="G1812" s="29" t="s">
        <v>27</v>
      </c>
      <c r="H1812" s="28"/>
      <c r="I1812" s="37">
        <v>3850.0</v>
      </c>
      <c r="J1812" s="34"/>
      <c r="K1812" s="37">
        <f t="shared" ref="K1812:K1813" si="100">IF(E1812="pago",(I1812-J1812),"")</f>
        <v>3850</v>
      </c>
      <c r="L1812" s="28" t="s">
        <v>29</v>
      </c>
      <c r="M1812" s="28"/>
      <c r="N1812" s="28" t="s">
        <v>38</v>
      </c>
      <c r="O1812" s="10" t="str">
        <f t="shared" si="79"/>
        <v>09/2025</v>
      </c>
      <c r="P1812" s="10" t="str">
        <f t="shared" si="81"/>
        <v>09/2025</v>
      </c>
      <c r="Q1812" s="15" t="str">
        <f t="array" ref="Q1812">IFERROR(XLOOKUP(N1812,'Classificação'!A:A,'Classificação'!B:B),"")</f>
        <v>DESPESAS COM PESSOAL</v>
      </c>
      <c r="R1812" s="15" t="str">
        <f t="array" ref="R1812">IFERROR(XLOOKUP(Q1812,'Classificação'!B:B,'Classificação'!C:C),"")</f>
        <v>DESPESAS FIXAS (-)</v>
      </c>
      <c r="S1812" s="15">
        <f t="shared" si="91"/>
        <v>23</v>
      </c>
      <c r="T1812" s="15">
        <f t="shared" si="6"/>
        <v>9</v>
      </c>
      <c r="U1812" s="15">
        <f t="shared" si="7"/>
        <v>2025</v>
      </c>
      <c r="V1812" s="15">
        <f t="shared" si="8"/>
        <v>23</v>
      </c>
      <c r="W1812" s="15">
        <f t="shared" si="9"/>
        <v>9</v>
      </c>
      <c r="X1812" s="15">
        <f t="shared" si="10"/>
        <v>2025</v>
      </c>
    </row>
    <row r="1813">
      <c r="A1813" s="27">
        <v>45923.0</v>
      </c>
      <c r="B1813" s="30"/>
      <c r="C1813" s="27">
        <f t="shared" si="90"/>
        <v>45923</v>
      </c>
      <c r="D1813" s="28" t="s">
        <v>43</v>
      </c>
      <c r="E1813" s="29" t="s">
        <v>25</v>
      </c>
      <c r="F1813" s="28" t="s">
        <v>32</v>
      </c>
      <c r="G1813" s="29" t="s">
        <v>27</v>
      </c>
      <c r="H1813" s="28"/>
      <c r="I1813" s="24">
        <v>3851.0</v>
      </c>
      <c r="J1813" s="34"/>
      <c r="K1813" s="37">
        <f t="shared" si="100"/>
        <v>3851</v>
      </c>
      <c r="L1813" s="28" t="s">
        <v>29</v>
      </c>
      <c r="M1813" s="28"/>
      <c r="N1813" s="28" t="s">
        <v>38</v>
      </c>
      <c r="O1813" s="10" t="str">
        <f t="shared" si="79"/>
        <v>09/2025</v>
      </c>
      <c r="P1813" s="10" t="str">
        <f t="shared" si="81"/>
        <v>09/2025</v>
      </c>
      <c r="Q1813" s="15" t="str">
        <f t="array" ref="Q1813">IFERROR(XLOOKUP(N1813,'Classificação'!A:A,'Classificação'!B:B),"")</f>
        <v>DESPESAS COM PESSOAL</v>
      </c>
      <c r="R1813" s="15" t="str">
        <f t="array" ref="R1813">IFERROR(XLOOKUP(Q1813,'Classificação'!B:B,'Classificação'!C:C),"")</f>
        <v>DESPESAS FIXAS (-)</v>
      </c>
      <c r="S1813" s="15">
        <f t="shared" si="91"/>
        <v>23</v>
      </c>
      <c r="T1813" s="15">
        <f t="shared" si="6"/>
        <v>9</v>
      </c>
      <c r="U1813" s="15">
        <f t="shared" si="7"/>
        <v>2025</v>
      </c>
      <c r="V1813" s="15">
        <f t="shared" si="8"/>
        <v>23</v>
      </c>
      <c r="W1813" s="15">
        <f t="shared" si="9"/>
        <v>9</v>
      </c>
      <c r="X1813" s="15">
        <f t="shared" si="10"/>
        <v>2025</v>
      </c>
    </row>
    <row r="1814">
      <c r="A1814" s="9">
        <v>45923.0</v>
      </c>
      <c r="B1814" s="9">
        <v>45553.0</v>
      </c>
      <c r="C1814" s="9">
        <f t="shared" si="90"/>
        <v>45923</v>
      </c>
      <c r="D1814" s="11" t="s">
        <v>313</v>
      </c>
      <c r="E1814" s="11" t="s">
        <v>25</v>
      </c>
      <c r="F1814" s="11" t="s">
        <v>26</v>
      </c>
      <c r="G1814" s="11" t="s">
        <v>37</v>
      </c>
      <c r="H1814" s="11" t="s">
        <v>327</v>
      </c>
      <c r="I1814" s="31">
        <v>250.0</v>
      </c>
      <c r="J1814" s="13"/>
      <c r="K1814" s="13">
        <f t="shared" ref="K1814:K1821" si="101">if(E1814="pago",(I1814-J1814),"")</f>
        <v>250</v>
      </c>
      <c r="L1814" s="11" t="s">
        <v>53</v>
      </c>
      <c r="M1814" s="17">
        <v>45638.0</v>
      </c>
      <c r="N1814" s="11" t="s">
        <v>95</v>
      </c>
      <c r="O1814" s="10" t="str">
        <f t="shared" si="79"/>
        <v>09/2025</v>
      </c>
      <c r="P1814" s="10" t="str">
        <f t="shared" si="81"/>
        <v>09/2025</v>
      </c>
      <c r="Q1814" s="15" t="str">
        <f t="array" ref="Q1814">IFERROR(XLOOKUP(N1814,'Classificação'!A:A,'Classificação'!B:B),"")</f>
        <v>DESPESAS NÃO OPERACIONAIS</v>
      </c>
      <c r="R1814" s="15" t="str">
        <f t="array" ref="R1814">IFERROR(XLOOKUP(Q1814,'Classificação'!B:B,'Classificação'!C:C),"")</f>
        <v>RESULTADO NÃO OPERACIONAL (+/-)</v>
      </c>
      <c r="S1814" s="15">
        <f t="shared" si="91"/>
        <v>23</v>
      </c>
      <c r="T1814" s="15">
        <f t="shared" si="6"/>
        <v>9</v>
      </c>
      <c r="U1814" s="15">
        <f t="shared" si="7"/>
        <v>2025</v>
      </c>
      <c r="V1814" s="15">
        <f t="shared" si="8"/>
        <v>23</v>
      </c>
      <c r="W1814" s="15">
        <f t="shared" si="9"/>
        <v>9</v>
      </c>
      <c r="X1814" s="15">
        <f t="shared" si="10"/>
        <v>2025</v>
      </c>
    </row>
    <row r="1815">
      <c r="A1815" s="26">
        <v>45923.0</v>
      </c>
      <c r="B1815" s="32">
        <v>45611.0</v>
      </c>
      <c r="C1815" s="9">
        <f t="shared" si="90"/>
        <v>45923</v>
      </c>
      <c r="D1815" s="11" t="s">
        <v>361</v>
      </c>
      <c r="E1815" s="11" t="s">
        <v>25</v>
      </c>
      <c r="F1815" s="29" t="s">
        <v>26</v>
      </c>
      <c r="G1815" s="11" t="s">
        <v>37</v>
      </c>
      <c r="H1815" s="11" t="s">
        <v>362</v>
      </c>
      <c r="I1815" s="31">
        <v>180.07</v>
      </c>
      <c r="J1815" s="13"/>
      <c r="K1815" s="13">
        <f t="shared" si="101"/>
        <v>180.07</v>
      </c>
      <c r="L1815" s="11" t="s">
        <v>53</v>
      </c>
      <c r="M1815" s="17">
        <v>45637.0</v>
      </c>
      <c r="N1815" s="11" t="s">
        <v>363</v>
      </c>
      <c r="O1815" s="10" t="str">
        <f t="shared" si="79"/>
        <v>09/2025</v>
      </c>
      <c r="P1815" s="10" t="str">
        <f t="shared" si="81"/>
        <v>09/2025</v>
      </c>
      <c r="Q1815" s="15" t="str">
        <f t="array" ref="Q1815">IFERROR(XLOOKUP(N1815,'Classificação'!A:A,'Classificação'!B:B),"")</f>
        <v>DESPESAS NÃO OPERACIONAIS</v>
      </c>
      <c r="R1815" s="15" t="str">
        <f t="array" ref="R1815">IFERROR(XLOOKUP(Q1815,'Classificação'!B:B,'Classificação'!C:C),"")</f>
        <v>RESULTADO NÃO OPERACIONAL (+/-)</v>
      </c>
      <c r="S1815" s="15">
        <f t="shared" si="91"/>
        <v>23</v>
      </c>
      <c r="T1815" s="15">
        <f t="shared" si="6"/>
        <v>9</v>
      </c>
      <c r="U1815" s="15">
        <f t="shared" si="7"/>
        <v>2025</v>
      </c>
      <c r="V1815" s="15">
        <f t="shared" si="8"/>
        <v>23</v>
      </c>
      <c r="W1815" s="15">
        <f t="shared" si="9"/>
        <v>9</v>
      </c>
      <c r="X1815" s="15">
        <f t="shared" si="10"/>
        <v>2025</v>
      </c>
    </row>
    <row r="1816">
      <c r="A1816" s="9">
        <v>45923.0</v>
      </c>
      <c r="B1816" s="9">
        <v>45834.0</v>
      </c>
      <c r="C1816" s="9">
        <f t="shared" si="90"/>
        <v>45923</v>
      </c>
      <c r="D1816" s="11" t="s">
        <v>691</v>
      </c>
      <c r="E1816" s="11" t="s">
        <v>25</v>
      </c>
      <c r="F1816" s="11" t="s">
        <v>26</v>
      </c>
      <c r="G1816" s="11" t="s">
        <v>37</v>
      </c>
      <c r="H1816" s="11" t="s">
        <v>973</v>
      </c>
      <c r="I1816" s="31">
        <v>196.53</v>
      </c>
      <c r="J1816" s="13"/>
      <c r="K1816" s="13">
        <f t="shared" si="101"/>
        <v>196.53</v>
      </c>
      <c r="L1816" s="11" t="s">
        <v>53</v>
      </c>
      <c r="M1816" s="17">
        <v>45811.0</v>
      </c>
      <c r="N1816" s="11" t="s">
        <v>61</v>
      </c>
      <c r="O1816" s="10" t="str">
        <f t="shared" si="79"/>
        <v>09/2025</v>
      </c>
      <c r="P1816" s="10" t="str">
        <f t="shared" si="81"/>
        <v>09/2025</v>
      </c>
      <c r="Q1816" s="15" t="str">
        <f t="array" ref="Q1816">IFERROR(XLOOKUP(N1816,'Classificação'!A:A,'Classificação'!B:B),"")</f>
        <v>DESPESAS ADMINISTRATIVAS</v>
      </c>
      <c r="R1816" s="15" t="str">
        <f t="array" ref="R1816">IFERROR(XLOOKUP(Q1816,'Classificação'!B:B,'Classificação'!C:C),"")</f>
        <v>DESPESAS FIXAS (-)</v>
      </c>
      <c r="S1816" s="15">
        <f t="shared" si="91"/>
        <v>23</v>
      </c>
      <c r="T1816" s="15">
        <f t="shared" si="6"/>
        <v>9</v>
      </c>
      <c r="U1816" s="15">
        <f t="shared" si="7"/>
        <v>2025</v>
      </c>
      <c r="V1816" s="15">
        <f t="shared" si="8"/>
        <v>23</v>
      </c>
      <c r="W1816" s="15">
        <f t="shared" si="9"/>
        <v>9</v>
      </c>
      <c r="X1816" s="15">
        <f t="shared" si="10"/>
        <v>2025</v>
      </c>
    </row>
    <row r="1817">
      <c r="A1817" s="9">
        <v>45923.0</v>
      </c>
      <c r="B1817" s="9">
        <v>45890.0</v>
      </c>
      <c r="C1817" s="9">
        <f t="shared" si="90"/>
        <v>45923</v>
      </c>
      <c r="D1817" s="11" t="s">
        <v>974</v>
      </c>
      <c r="E1817" s="11" t="s">
        <v>25</v>
      </c>
      <c r="F1817" s="11" t="s">
        <v>26</v>
      </c>
      <c r="G1817" s="11" t="s">
        <v>37</v>
      </c>
      <c r="H1817" s="11" t="s">
        <v>975</v>
      </c>
      <c r="I1817" s="12">
        <v>200.0</v>
      </c>
      <c r="J1817" s="13"/>
      <c r="K1817" s="13">
        <f t="shared" si="101"/>
        <v>200</v>
      </c>
      <c r="L1817" s="11" t="s">
        <v>53</v>
      </c>
      <c r="M1817" s="17">
        <v>45717.0</v>
      </c>
      <c r="N1817" s="11" t="s">
        <v>175</v>
      </c>
      <c r="O1817" s="10" t="str">
        <f t="shared" si="79"/>
        <v>09/2025</v>
      </c>
      <c r="P1817" s="10" t="str">
        <f t="shared" si="81"/>
        <v>09/2025</v>
      </c>
      <c r="Q1817" s="15" t="str">
        <f t="array" ref="Q1817">IFERROR(XLOOKUP(N1817,'Classificação'!A:A,'Classificação'!B:B),"")</f>
        <v>DESPESAS COM VEICULOS</v>
      </c>
      <c r="R1817" s="15" t="str">
        <f t="array" ref="R1817">IFERROR(XLOOKUP(Q1817,'Classificação'!B:B,'Classificação'!C:C),"")</f>
        <v>DESPESAS FIXAS (-)</v>
      </c>
      <c r="S1817" s="15">
        <f t="shared" si="91"/>
        <v>23</v>
      </c>
      <c r="T1817" s="15">
        <f t="shared" si="6"/>
        <v>9</v>
      </c>
      <c r="U1817" s="15">
        <f t="shared" si="7"/>
        <v>2025</v>
      </c>
      <c r="V1817" s="15">
        <f t="shared" si="8"/>
        <v>23</v>
      </c>
      <c r="W1817" s="15">
        <f t="shared" si="9"/>
        <v>9</v>
      </c>
      <c r="X1817" s="15">
        <f t="shared" si="10"/>
        <v>2025</v>
      </c>
    </row>
    <row r="1818">
      <c r="A1818" s="9">
        <v>45923.0</v>
      </c>
      <c r="B1818" s="10"/>
      <c r="C1818" s="9">
        <f t="shared" si="90"/>
        <v>45923</v>
      </c>
      <c r="D1818" s="11" t="s">
        <v>828</v>
      </c>
      <c r="E1818" s="11" t="s">
        <v>25</v>
      </c>
      <c r="F1818" s="11" t="s">
        <v>26</v>
      </c>
      <c r="G1818" s="11" t="s">
        <v>37</v>
      </c>
      <c r="H1818" s="11" t="s">
        <v>976</v>
      </c>
      <c r="I1818" s="12">
        <v>112.97</v>
      </c>
      <c r="J1818" s="13"/>
      <c r="K1818" s="13">
        <f t="shared" si="101"/>
        <v>112.97</v>
      </c>
      <c r="L1818" s="11" t="s">
        <v>34</v>
      </c>
      <c r="M1818" s="14"/>
      <c r="N1818" s="11" t="s">
        <v>105</v>
      </c>
      <c r="O1818" s="10" t="str">
        <f t="shared" si="79"/>
        <v>09/2025</v>
      </c>
      <c r="P1818" s="10" t="str">
        <f t="shared" si="81"/>
        <v>09/2025</v>
      </c>
      <c r="Q1818" s="15" t="str">
        <f t="array" ref="Q1818">IFERROR(XLOOKUP(N1818,'Classificação'!A:A,'Classificação'!B:B),"")</f>
        <v>DESPESAS ADMINISTRATIVAS</v>
      </c>
      <c r="R1818" s="15" t="str">
        <f t="array" ref="R1818">IFERROR(XLOOKUP(Q1818,'Classificação'!B:B,'Classificação'!C:C),"")</f>
        <v>DESPESAS FIXAS (-)</v>
      </c>
      <c r="S1818" s="15">
        <f t="shared" si="91"/>
        <v>23</v>
      </c>
      <c r="T1818" s="15">
        <f t="shared" si="6"/>
        <v>9</v>
      </c>
      <c r="U1818" s="15">
        <f t="shared" si="7"/>
        <v>2025</v>
      </c>
      <c r="V1818" s="15">
        <f t="shared" si="8"/>
        <v>23</v>
      </c>
      <c r="W1818" s="15">
        <f t="shared" si="9"/>
        <v>9</v>
      </c>
      <c r="X1818" s="15">
        <f t="shared" si="10"/>
        <v>2025</v>
      </c>
    </row>
    <row r="1819">
      <c r="A1819" s="9">
        <v>45923.0</v>
      </c>
      <c r="B1819" s="10"/>
      <c r="C1819" s="9">
        <f t="shared" si="90"/>
        <v>45923</v>
      </c>
      <c r="D1819" s="11" t="s">
        <v>570</v>
      </c>
      <c r="E1819" s="11" t="s">
        <v>25</v>
      </c>
      <c r="F1819" s="11" t="s">
        <v>26</v>
      </c>
      <c r="G1819" s="11" t="s">
        <v>37</v>
      </c>
      <c r="H1819" s="11" t="s">
        <v>977</v>
      </c>
      <c r="I1819" s="12">
        <v>29.5</v>
      </c>
      <c r="J1819" s="13"/>
      <c r="K1819" s="13">
        <f t="shared" si="101"/>
        <v>29.5</v>
      </c>
      <c r="L1819" s="11" t="s">
        <v>34</v>
      </c>
      <c r="M1819" s="14"/>
      <c r="N1819" s="11" t="s">
        <v>105</v>
      </c>
      <c r="O1819" s="10" t="str">
        <f t="shared" si="79"/>
        <v>09/2025</v>
      </c>
      <c r="P1819" s="10" t="str">
        <f t="shared" si="81"/>
        <v>09/2025</v>
      </c>
      <c r="Q1819" s="15" t="str">
        <f t="array" ref="Q1819">IFERROR(XLOOKUP(N1819,'Classificação'!A:A,'Classificação'!B:B),"")</f>
        <v>DESPESAS ADMINISTRATIVAS</v>
      </c>
      <c r="R1819" s="15" t="str">
        <f t="array" ref="R1819">IFERROR(XLOOKUP(Q1819,'Classificação'!B:B,'Classificação'!C:C),"")</f>
        <v>DESPESAS FIXAS (-)</v>
      </c>
      <c r="S1819" s="15">
        <f t="shared" si="91"/>
        <v>23</v>
      </c>
      <c r="T1819" s="15">
        <f t="shared" si="6"/>
        <v>9</v>
      </c>
      <c r="U1819" s="15">
        <f t="shared" si="7"/>
        <v>2025</v>
      </c>
      <c r="V1819" s="15">
        <f t="shared" si="8"/>
        <v>23</v>
      </c>
      <c r="W1819" s="15">
        <f t="shared" si="9"/>
        <v>9</v>
      </c>
      <c r="X1819" s="15">
        <f t="shared" si="10"/>
        <v>2025</v>
      </c>
    </row>
    <row r="1820">
      <c r="A1820" s="9">
        <v>45923.0</v>
      </c>
      <c r="B1820" s="10"/>
      <c r="C1820" s="9">
        <f t="shared" si="90"/>
        <v>45923</v>
      </c>
      <c r="D1820" s="11" t="s">
        <v>83</v>
      </c>
      <c r="E1820" s="29" t="s">
        <v>25</v>
      </c>
      <c r="F1820" s="11" t="s">
        <v>26</v>
      </c>
      <c r="G1820" s="11" t="s">
        <v>37</v>
      </c>
      <c r="H1820" s="11" t="s">
        <v>409</v>
      </c>
      <c r="I1820" s="12">
        <v>130.0</v>
      </c>
      <c r="J1820" s="13"/>
      <c r="K1820" s="13">
        <f t="shared" si="101"/>
        <v>130</v>
      </c>
      <c r="L1820" s="11" t="s">
        <v>34</v>
      </c>
      <c r="M1820" s="14"/>
      <c r="N1820" s="11" t="s">
        <v>58</v>
      </c>
      <c r="O1820" s="10" t="str">
        <f t="shared" si="79"/>
        <v>09/2025</v>
      </c>
      <c r="P1820" s="10" t="str">
        <f t="shared" si="81"/>
        <v>09/2025</v>
      </c>
      <c r="Q1820" s="15" t="str">
        <f t="array" ref="Q1820">IFERROR(XLOOKUP(N1820,'Classificação'!A:A,'Classificação'!B:B),"")</f>
        <v>DESPESAS ADMINISTRATIVAS</v>
      </c>
      <c r="R1820" s="15" t="str">
        <f t="array" ref="R1820">IFERROR(XLOOKUP(Q1820,'Classificação'!B:B,'Classificação'!C:C),"")</f>
        <v>DESPESAS FIXAS (-)</v>
      </c>
      <c r="S1820" s="15">
        <f t="shared" si="91"/>
        <v>23</v>
      </c>
      <c r="T1820" s="15">
        <f t="shared" si="6"/>
        <v>9</v>
      </c>
      <c r="U1820" s="15">
        <f t="shared" si="7"/>
        <v>2025</v>
      </c>
      <c r="V1820" s="15">
        <f t="shared" si="8"/>
        <v>23</v>
      </c>
      <c r="W1820" s="15">
        <f t="shared" si="9"/>
        <v>9</v>
      </c>
      <c r="X1820" s="15">
        <f t="shared" si="10"/>
        <v>2025</v>
      </c>
    </row>
    <row r="1821">
      <c r="A1821" s="9">
        <v>45923.0</v>
      </c>
      <c r="B1821" s="10"/>
      <c r="C1821" s="9">
        <f t="shared" si="90"/>
        <v>45923</v>
      </c>
      <c r="D1821" s="11" t="s">
        <v>217</v>
      </c>
      <c r="E1821" s="29" t="s">
        <v>25</v>
      </c>
      <c r="F1821" s="11" t="s">
        <v>26</v>
      </c>
      <c r="G1821" s="11" t="s">
        <v>37</v>
      </c>
      <c r="H1821" s="11" t="s">
        <v>978</v>
      </c>
      <c r="I1821" s="12">
        <v>150.0</v>
      </c>
      <c r="J1821" s="13"/>
      <c r="K1821" s="13">
        <f t="shared" si="101"/>
        <v>150</v>
      </c>
      <c r="L1821" s="11" t="s">
        <v>34</v>
      </c>
      <c r="M1821" s="14"/>
      <c r="N1821" s="11" t="s">
        <v>218</v>
      </c>
      <c r="O1821" s="10" t="str">
        <f t="shared" si="79"/>
        <v>09/2025</v>
      </c>
      <c r="P1821" s="10" t="str">
        <f t="shared" si="81"/>
        <v>09/2025</v>
      </c>
      <c r="Q1821" s="15" t="str">
        <f t="array" ref="Q1821">IFERROR(XLOOKUP(N1821,'Classificação'!A:A,'Classificação'!B:B),"")</f>
        <v>DESPESAS COM VIAGENS</v>
      </c>
      <c r="R1821" s="15" t="str">
        <f t="array" ref="R1821">IFERROR(XLOOKUP(Q1821,'Classificação'!B:B,'Classificação'!C:C),"")</f>
        <v>DESPESAS FIXAS (-)</v>
      </c>
      <c r="S1821" s="15">
        <f t="shared" si="91"/>
        <v>23</v>
      </c>
      <c r="T1821" s="15">
        <f t="shared" si="6"/>
        <v>9</v>
      </c>
      <c r="U1821" s="15">
        <f t="shared" si="7"/>
        <v>2025</v>
      </c>
      <c r="V1821" s="15">
        <f t="shared" si="8"/>
        <v>23</v>
      </c>
      <c r="W1821" s="15">
        <f t="shared" si="9"/>
        <v>9</v>
      </c>
      <c r="X1821" s="15">
        <f t="shared" si="10"/>
        <v>2025</v>
      </c>
    </row>
    <row r="1822">
      <c r="A1822" s="9">
        <v>45924.0</v>
      </c>
      <c r="B1822" s="10"/>
      <c r="C1822" s="9">
        <f t="shared" si="90"/>
        <v>45924</v>
      </c>
      <c r="D1822" s="11" t="s">
        <v>39</v>
      </c>
      <c r="E1822" s="11" t="s">
        <v>25</v>
      </c>
      <c r="F1822" s="11" t="s">
        <v>40</v>
      </c>
      <c r="G1822" s="11" t="s">
        <v>27</v>
      </c>
      <c r="H1822" s="11" t="s">
        <v>640</v>
      </c>
      <c r="I1822" s="12">
        <v>142.68</v>
      </c>
      <c r="J1822" s="13"/>
      <c r="K1822" s="37">
        <f>IF(E1822="pago",(I1822-J1822),"")</f>
        <v>142.68</v>
      </c>
      <c r="L1822" s="11" t="s">
        <v>53</v>
      </c>
      <c r="M1822" s="17">
        <v>45937.0</v>
      </c>
      <c r="N1822" s="11" t="s">
        <v>355</v>
      </c>
      <c r="O1822" s="10" t="str">
        <f t="shared" si="79"/>
        <v>09/2025</v>
      </c>
      <c r="P1822" s="10" t="str">
        <f t="shared" si="81"/>
        <v>09/2025</v>
      </c>
      <c r="Q1822" s="15" t="str">
        <f t="array" ref="Q1822">IFERROR(XLOOKUP(N1822,'Classificação'!A:A,'Classificação'!B:B),"")</f>
        <v>IMPOSTOS E TAXAS DIVERSAS</v>
      </c>
      <c r="R1822" s="15" t="str">
        <f t="array" ref="R1822">IFERROR(XLOOKUP(Q1822,'Classificação'!B:B,'Classificação'!C:C),"")</f>
        <v>DESPESAS FIXAS (-)</v>
      </c>
      <c r="S1822" s="15">
        <f t="shared" si="91"/>
        <v>24</v>
      </c>
      <c r="T1822" s="15">
        <f t="shared" si="6"/>
        <v>9</v>
      </c>
      <c r="U1822" s="15">
        <f t="shared" si="7"/>
        <v>2025</v>
      </c>
      <c r="V1822" s="15">
        <f t="shared" si="8"/>
        <v>24</v>
      </c>
      <c r="W1822" s="15">
        <f t="shared" si="9"/>
        <v>9</v>
      </c>
      <c r="X1822" s="15">
        <f t="shared" si="10"/>
        <v>2025</v>
      </c>
    </row>
    <row r="1823">
      <c r="A1823" s="9">
        <v>45925.0</v>
      </c>
      <c r="B1823" s="10"/>
      <c r="C1823" s="9">
        <f t="shared" si="90"/>
        <v>45925</v>
      </c>
      <c r="D1823" s="11" t="s">
        <v>208</v>
      </c>
      <c r="E1823" s="11" t="s">
        <v>25</v>
      </c>
      <c r="F1823" s="11" t="s">
        <v>40</v>
      </c>
      <c r="G1823" s="11" t="s">
        <v>37</v>
      </c>
      <c r="H1823" s="11" t="s">
        <v>979</v>
      </c>
      <c r="I1823" s="12">
        <v>205.92</v>
      </c>
      <c r="J1823" s="13"/>
      <c r="K1823" s="13">
        <f t="shared" ref="K1823:K1839" si="102">if(E1823="pago",(I1823-J1823),"")</f>
        <v>205.92</v>
      </c>
      <c r="L1823" s="11" t="s">
        <v>29</v>
      </c>
      <c r="M1823" s="14"/>
      <c r="N1823" s="11" t="s">
        <v>210</v>
      </c>
      <c r="O1823" s="10" t="str">
        <f t="shared" si="79"/>
        <v>09/2025</v>
      </c>
      <c r="P1823" s="10" t="str">
        <f t="shared" si="81"/>
        <v>09/2025</v>
      </c>
      <c r="Q1823" s="15" t="str">
        <f t="array" ref="Q1823">IFERROR(XLOOKUP(N1823,'Classificação'!A:A,'Classificação'!B:B),"")</f>
        <v>DESPESAS COM OCUPAÇÃO</v>
      </c>
      <c r="R1823" s="15" t="str">
        <f t="array" ref="R1823">IFERROR(XLOOKUP(Q1823,'Classificação'!B:B,'Classificação'!C:C),"")</f>
        <v>DESPESAS FIXAS (-)</v>
      </c>
      <c r="S1823" s="15">
        <f t="shared" si="91"/>
        <v>25</v>
      </c>
      <c r="T1823" s="15">
        <f t="shared" si="6"/>
        <v>9</v>
      </c>
      <c r="U1823" s="15">
        <f t="shared" si="7"/>
        <v>2025</v>
      </c>
      <c r="V1823" s="15">
        <f t="shared" si="8"/>
        <v>25</v>
      </c>
      <c r="W1823" s="15">
        <f t="shared" si="9"/>
        <v>9</v>
      </c>
      <c r="X1823" s="15">
        <f t="shared" si="10"/>
        <v>2025</v>
      </c>
    </row>
    <row r="1824">
      <c r="A1824" s="9">
        <v>45925.0</v>
      </c>
      <c r="B1824" s="10"/>
      <c r="C1824" s="9">
        <f t="shared" si="90"/>
        <v>45925</v>
      </c>
      <c r="D1824" s="11" t="s">
        <v>980</v>
      </c>
      <c r="E1824" s="29" t="s">
        <v>25</v>
      </c>
      <c r="F1824" s="11" t="s">
        <v>26</v>
      </c>
      <c r="G1824" s="11" t="s">
        <v>37</v>
      </c>
      <c r="H1824" s="11" t="s">
        <v>981</v>
      </c>
      <c r="I1824" s="12">
        <v>170.0</v>
      </c>
      <c r="J1824" s="13"/>
      <c r="K1824" s="13">
        <f t="shared" si="102"/>
        <v>170</v>
      </c>
      <c r="L1824" s="11" t="s">
        <v>34</v>
      </c>
      <c r="M1824" s="14"/>
      <c r="N1824" s="11" t="s">
        <v>120</v>
      </c>
      <c r="O1824" s="10" t="str">
        <f t="shared" si="79"/>
        <v>09/2025</v>
      </c>
      <c r="P1824" s="10" t="str">
        <f t="shared" si="81"/>
        <v>09/2025</v>
      </c>
      <c r="Q1824" s="15" t="str">
        <f t="array" ref="Q1824">IFERROR(XLOOKUP(N1824,'Classificação'!A:A,'Classificação'!B:B),"")</f>
        <v>DESPESAS ADMINISTRATIVAS</v>
      </c>
      <c r="R1824" s="15" t="str">
        <f t="array" ref="R1824">IFERROR(XLOOKUP(Q1824,'Classificação'!B:B,'Classificação'!C:C),"")</f>
        <v>DESPESAS FIXAS (-)</v>
      </c>
      <c r="S1824" s="15">
        <f t="shared" si="91"/>
        <v>25</v>
      </c>
      <c r="T1824" s="15">
        <f t="shared" si="6"/>
        <v>9</v>
      </c>
      <c r="U1824" s="15">
        <f t="shared" si="7"/>
        <v>2025</v>
      </c>
      <c r="V1824" s="15">
        <f t="shared" si="8"/>
        <v>25</v>
      </c>
      <c r="W1824" s="15">
        <f t="shared" si="9"/>
        <v>9</v>
      </c>
      <c r="X1824" s="15">
        <f t="shared" si="10"/>
        <v>2025</v>
      </c>
    </row>
    <row r="1825">
      <c r="A1825" s="9">
        <v>45926.0</v>
      </c>
      <c r="B1825" s="9">
        <v>45819.0</v>
      </c>
      <c r="C1825" s="9">
        <f t="shared" si="90"/>
        <v>45926</v>
      </c>
      <c r="D1825" s="11" t="s">
        <v>86</v>
      </c>
      <c r="E1825" s="11" t="s">
        <v>25</v>
      </c>
      <c r="F1825" s="11" t="s">
        <v>87</v>
      </c>
      <c r="G1825" s="11" t="s">
        <v>27</v>
      </c>
      <c r="H1825" s="11" t="s">
        <v>982</v>
      </c>
      <c r="I1825" s="12">
        <v>1400.0</v>
      </c>
      <c r="J1825" s="13"/>
      <c r="K1825" s="13">
        <f t="shared" si="102"/>
        <v>1400</v>
      </c>
      <c r="L1825" s="11" t="s">
        <v>53</v>
      </c>
      <c r="M1825" s="17">
        <v>45751.0</v>
      </c>
      <c r="N1825" s="11" t="s">
        <v>35</v>
      </c>
      <c r="O1825" s="10" t="str">
        <f t="shared" si="79"/>
        <v>09/2025</v>
      </c>
      <c r="P1825" s="10" t="str">
        <f t="shared" si="81"/>
        <v>09/2025</v>
      </c>
      <c r="Q1825" s="15" t="str">
        <f t="array" ref="Q1825">IFERROR(XLOOKUP(N1825,'Classificação'!A:A,'Classificação'!B:B),"")</f>
        <v>COMPRA DE MERCADORIA</v>
      </c>
      <c r="R1825" s="15" t="str">
        <f t="array" ref="R1825">IFERROR(XLOOKUP(Q1825,'Classificação'!B:B,'Classificação'!C:C),"")</f>
        <v>CUSTOS VARIÁVEIS</v>
      </c>
      <c r="S1825" s="15">
        <f t="shared" si="91"/>
        <v>26</v>
      </c>
      <c r="T1825" s="15">
        <f t="shared" si="6"/>
        <v>9</v>
      </c>
      <c r="U1825" s="15">
        <f t="shared" si="7"/>
        <v>2025</v>
      </c>
      <c r="V1825" s="15">
        <f t="shared" si="8"/>
        <v>26</v>
      </c>
      <c r="W1825" s="15">
        <f t="shared" si="9"/>
        <v>9</v>
      </c>
      <c r="X1825" s="15">
        <f t="shared" si="10"/>
        <v>2025</v>
      </c>
    </row>
    <row r="1826">
      <c r="A1826" s="9">
        <v>45926.0</v>
      </c>
      <c r="B1826" s="10"/>
      <c r="C1826" s="9">
        <f t="shared" si="90"/>
        <v>45926</v>
      </c>
      <c r="D1826" s="28" t="s">
        <v>44</v>
      </c>
      <c r="E1826" s="29" t="s">
        <v>25</v>
      </c>
      <c r="F1826" s="28" t="s">
        <v>45</v>
      </c>
      <c r="G1826" s="28" t="s">
        <v>27</v>
      </c>
      <c r="H1826" s="11" t="s">
        <v>983</v>
      </c>
      <c r="I1826" s="12">
        <v>2146.88</v>
      </c>
      <c r="J1826" s="13"/>
      <c r="K1826" s="13">
        <f t="shared" si="102"/>
        <v>2146.88</v>
      </c>
      <c r="L1826" s="11" t="s">
        <v>34</v>
      </c>
      <c r="M1826" s="14"/>
      <c r="N1826" s="11" t="s">
        <v>35</v>
      </c>
      <c r="O1826" s="10" t="str">
        <f t="shared" si="79"/>
        <v>09/2025</v>
      </c>
      <c r="P1826" s="10" t="str">
        <f t="shared" si="81"/>
        <v>09/2025</v>
      </c>
      <c r="Q1826" s="15" t="str">
        <f t="array" ref="Q1826">IFERROR(XLOOKUP(N1826,'Classificação'!A:A,'Classificação'!B:B),"")</f>
        <v>COMPRA DE MERCADORIA</v>
      </c>
      <c r="R1826" s="15" t="str">
        <f t="array" ref="R1826">IFERROR(XLOOKUP(Q1826,'Classificação'!B:B,'Classificação'!C:C),"")</f>
        <v>CUSTOS VARIÁVEIS</v>
      </c>
      <c r="S1826" s="15">
        <f t="shared" si="91"/>
        <v>26</v>
      </c>
      <c r="T1826" s="15">
        <f t="shared" si="6"/>
        <v>9</v>
      </c>
      <c r="U1826" s="15">
        <f t="shared" si="7"/>
        <v>2025</v>
      </c>
      <c r="V1826" s="15">
        <f t="shared" si="8"/>
        <v>26</v>
      </c>
      <c r="W1826" s="15">
        <f t="shared" si="9"/>
        <v>9</v>
      </c>
      <c r="X1826" s="15">
        <f t="shared" si="10"/>
        <v>2025</v>
      </c>
    </row>
    <row r="1827">
      <c r="A1827" s="9">
        <v>45926.0</v>
      </c>
      <c r="B1827" s="10"/>
      <c r="C1827" s="9">
        <f t="shared" si="90"/>
        <v>45926</v>
      </c>
      <c r="D1827" s="28" t="s">
        <v>44</v>
      </c>
      <c r="E1827" s="29" t="s">
        <v>25</v>
      </c>
      <c r="F1827" s="28" t="s">
        <v>45</v>
      </c>
      <c r="G1827" s="28" t="s">
        <v>27</v>
      </c>
      <c r="H1827" s="11" t="s">
        <v>984</v>
      </c>
      <c r="I1827" s="12">
        <v>200.02</v>
      </c>
      <c r="J1827" s="13"/>
      <c r="K1827" s="13">
        <f t="shared" si="102"/>
        <v>200.02</v>
      </c>
      <c r="L1827" s="11" t="s">
        <v>34</v>
      </c>
      <c r="M1827" s="14"/>
      <c r="N1827" s="11" t="s">
        <v>574</v>
      </c>
      <c r="O1827" s="10" t="str">
        <f t="shared" si="79"/>
        <v>09/2025</v>
      </c>
      <c r="P1827" s="10" t="str">
        <f t="shared" si="81"/>
        <v>09/2025</v>
      </c>
      <c r="Q1827" s="15" t="str">
        <f t="array" ref="Q1827">IFERROR(XLOOKUP(N1827,'Classificação'!A:A,'Classificação'!B:B),"")</f>
        <v>TARIFAS FINANCEIRAS DIVERSAS</v>
      </c>
      <c r="R1827" s="15" t="str">
        <f t="array" ref="R1827">IFERROR(XLOOKUP(Q1827,'Classificação'!B:B,'Classificação'!C:C),"")</f>
        <v>(+/-) RESULTADO FINANCEIRO LÍQUIDO</v>
      </c>
      <c r="S1827" s="15">
        <f t="shared" si="91"/>
        <v>26</v>
      </c>
      <c r="T1827" s="15">
        <f t="shared" si="6"/>
        <v>9</v>
      </c>
      <c r="U1827" s="15">
        <f t="shared" si="7"/>
        <v>2025</v>
      </c>
      <c r="V1827" s="15">
        <f t="shared" si="8"/>
        <v>26</v>
      </c>
      <c r="W1827" s="15">
        <f t="shared" si="9"/>
        <v>9</v>
      </c>
      <c r="X1827" s="15">
        <f t="shared" si="10"/>
        <v>2025</v>
      </c>
    </row>
    <row r="1828">
      <c r="A1828" s="9">
        <v>45926.0</v>
      </c>
      <c r="B1828" s="10"/>
      <c r="C1828" s="9">
        <f t="shared" si="90"/>
        <v>45926</v>
      </c>
      <c r="D1828" s="28" t="s">
        <v>44</v>
      </c>
      <c r="E1828" s="29" t="s">
        <v>25</v>
      </c>
      <c r="F1828" s="28" t="s">
        <v>45</v>
      </c>
      <c r="G1828" s="28" t="s">
        <v>27</v>
      </c>
      <c r="H1828" s="11" t="s">
        <v>984</v>
      </c>
      <c r="I1828" s="12">
        <v>107.33</v>
      </c>
      <c r="J1828" s="13"/>
      <c r="K1828" s="13">
        <f t="shared" si="102"/>
        <v>107.33</v>
      </c>
      <c r="L1828" s="11" t="s">
        <v>34</v>
      </c>
      <c r="M1828" s="14"/>
      <c r="N1828" s="11" t="s">
        <v>574</v>
      </c>
      <c r="O1828" s="10" t="str">
        <f t="shared" si="79"/>
        <v>09/2025</v>
      </c>
      <c r="P1828" s="10" t="str">
        <f t="shared" si="81"/>
        <v>09/2025</v>
      </c>
      <c r="Q1828" s="15" t="str">
        <f t="array" ref="Q1828">IFERROR(XLOOKUP(N1828,'Classificação'!A:A,'Classificação'!B:B),"")</f>
        <v>TARIFAS FINANCEIRAS DIVERSAS</v>
      </c>
      <c r="R1828" s="15" t="str">
        <f t="array" ref="R1828">IFERROR(XLOOKUP(Q1828,'Classificação'!B:B,'Classificação'!C:C),"")</f>
        <v>(+/-) RESULTADO FINANCEIRO LÍQUIDO</v>
      </c>
      <c r="S1828" s="15">
        <f t="shared" si="91"/>
        <v>26</v>
      </c>
      <c r="T1828" s="15">
        <f t="shared" si="6"/>
        <v>9</v>
      </c>
      <c r="U1828" s="15">
        <f t="shared" si="7"/>
        <v>2025</v>
      </c>
      <c r="V1828" s="15">
        <f t="shared" si="8"/>
        <v>26</v>
      </c>
      <c r="W1828" s="15">
        <f t="shared" si="9"/>
        <v>9</v>
      </c>
      <c r="X1828" s="15">
        <f t="shared" si="10"/>
        <v>2025</v>
      </c>
    </row>
    <row r="1829">
      <c r="A1829" s="9">
        <v>45929.0</v>
      </c>
      <c r="B1829" s="10"/>
      <c r="C1829" s="9">
        <f t="shared" si="90"/>
        <v>45929</v>
      </c>
      <c r="D1829" s="11" t="s">
        <v>221</v>
      </c>
      <c r="E1829" s="11" t="s">
        <v>25</v>
      </c>
      <c r="F1829" s="11" t="s">
        <v>32</v>
      </c>
      <c r="G1829" s="11" t="s">
        <v>27</v>
      </c>
      <c r="H1829" s="11" t="s">
        <v>222</v>
      </c>
      <c r="I1829" s="12">
        <v>360.54</v>
      </c>
      <c r="J1829" s="13"/>
      <c r="K1829" s="13">
        <f t="shared" si="102"/>
        <v>360.54</v>
      </c>
      <c r="L1829" s="11" t="s">
        <v>29</v>
      </c>
      <c r="M1829" s="14"/>
      <c r="N1829" s="11" t="s">
        <v>61</v>
      </c>
      <c r="O1829" s="10" t="str">
        <f t="shared" si="79"/>
        <v>09/2025</v>
      </c>
      <c r="P1829" s="10" t="str">
        <f t="shared" si="81"/>
        <v>09/2025</v>
      </c>
      <c r="Q1829" s="15" t="str">
        <f t="array" ref="Q1829">IFERROR(XLOOKUP(N1829,'Classificação'!A:A,'Classificação'!B:B),"")</f>
        <v>DESPESAS ADMINISTRATIVAS</v>
      </c>
      <c r="R1829" s="15" t="str">
        <f t="array" ref="R1829">IFERROR(XLOOKUP(Q1829,'Classificação'!B:B,'Classificação'!C:C),"")</f>
        <v>DESPESAS FIXAS (-)</v>
      </c>
      <c r="S1829" s="15">
        <f t="shared" si="91"/>
        <v>29</v>
      </c>
      <c r="T1829" s="15">
        <f t="shared" si="6"/>
        <v>9</v>
      </c>
      <c r="U1829" s="15">
        <f t="shared" si="7"/>
        <v>2025</v>
      </c>
      <c r="V1829" s="15">
        <f t="shared" si="8"/>
        <v>29</v>
      </c>
      <c r="W1829" s="15">
        <f t="shared" si="9"/>
        <v>9</v>
      </c>
      <c r="X1829" s="15">
        <f t="shared" si="10"/>
        <v>2025</v>
      </c>
    </row>
    <row r="1830">
      <c r="A1830" s="9">
        <v>45929.0</v>
      </c>
      <c r="B1830" s="10"/>
      <c r="C1830" s="9">
        <f t="shared" si="90"/>
        <v>45929</v>
      </c>
      <c r="D1830" s="11" t="s">
        <v>221</v>
      </c>
      <c r="E1830" s="11" t="s">
        <v>25</v>
      </c>
      <c r="F1830" s="11" t="s">
        <v>26</v>
      </c>
      <c r="G1830" s="11" t="s">
        <v>27</v>
      </c>
      <c r="H1830" s="11" t="s">
        <v>985</v>
      </c>
      <c r="I1830" s="12">
        <v>100.0</v>
      </c>
      <c r="J1830" s="13"/>
      <c r="K1830" s="13">
        <f t="shared" si="102"/>
        <v>100</v>
      </c>
      <c r="L1830" s="11" t="s">
        <v>34</v>
      </c>
      <c r="M1830" s="14"/>
      <c r="N1830" s="11" t="s">
        <v>105</v>
      </c>
      <c r="O1830" s="10" t="str">
        <f t="shared" si="79"/>
        <v>09/2025</v>
      </c>
      <c r="P1830" s="10" t="str">
        <f t="shared" si="81"/>
        <v>09/2025</v>
      </c>
      <c r="Q1830" s="15" t="str">
        <f t="array" ref="Q1830">IFERROR(XLOOKUP(N1830,'Classificação'!A:A,'Classificação'!B:B),"")</f>
        <v>DESPESAS ADMINISTRATIVAS</v>
      </c>
      <c r="R1830" s="15" t="str">
        <f t="array" ref="R1830">IFERROR(XLOOKUP(Q1830,'Classificação'!B:B,'Classificação'!C:C),"")</f>
        <v>DESPESAS FIXAS (-)</v>
      </c>
      <c r="S1830" s="15">
        <f t="shared" si="91"/>
        <v>29</v>
      </c>
      <c r="T1830" s="15">
        <f t="shared" si="6"/>
        <v>9</v>
      </c>
      <c r="U1830" s="15">
        <f t="shared" si="7"/>
        <v>2025</v>
      </c>
      <c r="V1830" s="15">
        <f t="shared" si="8"/>
        <v>29</v>
      </c>
      <c r="W1830" s="15">
        <f t="shared" si="9"/>
        <v>9</v>
      </c>
      <c r="X1830" s="15">
        <f t="shared" si="10"/>
        <v>2025</v>
      </c>
    </row>
    <row r="1831">
      <c r="A1831" s="9">
        <v>45930.0</v>
      </c>
      <c r="B1831" s="10"/>
      <c r="C1831" s="9">
        <f t="shared" si="90"/>
        <v>45930</v>
      </c>
      <c r="D1831" s="11" t="s">
        <v>80</v>
      </c>
      <c r="E1831" s="11" t="s">
        <v>25</v>
      </c>
      <c r="F1831" s="11" t="s">
        <v>32</v>
      </c>
      <c r="G1831" s="11" t="s">
        <v>27</v>
      </c>
      <c r="H1831" s="11" t="s">
        <v>225</v>
      </c>
      <c r="I1831" s="12">
        <v>988.64</v>
      </c>
      <c r="J1831" s="13"/>
      <c r="K1831" s="13">
        <f t="shared" si="102"/>
        <v>988.64</v>
      </c>
      <c r="L1831" s="11" t="s">
        <v>29</v>
      </c>
      <c r="M1831" s="14"/>
      <c r="N1831" s="11" t="s">
        <v>38</v>
      </c>
      <c r="O1831" s="10" t="str">
        <f t="shared" si="79"/>
        <v>09/2025</v>
      </c>
      <c r="P1831" s="10" t="str">
        <f t="shared" si="81"/>
        <v>09/2025</v>
      </c>
      <c r="Q1831" s="15" t="str">
        <f t="array" ref="Q1831">IFERROR(XLOOKUP(N1831,'Classificação'!A:A,'Classificação'!B:B),"")</f>
        <v>DESPESAS COM PESSOAL</v>
      </c>
      <c r="R1831" s="15" t="str">
        <f t="array" ref="R1831">IFERROR(XLOOKUP(Q1831,'Classificação'!B:B,'Classificação'!C:C),"")</f>
        <v>DESPESAS FIXAS (-)</v>
      </c>
      <c r="S1831" s="15">
        <f t="shared" si="91"/>
        <v>30</v>
      </c>
      <c r="T1831" s="15">
        <f t="shared" si="6"/>
        <v>9</v>
      </c>
      <c r="U1831" s="15">
        <f t="shared" si="7"/>
        <v>2025</v>
      </c>
      <c r="V1831" s="15">
        <f t="shared" si="8"/>
        <v>30</v>
      </c>
      <c r="W1831" s="15">
        <f t="shared" si="9"/>
        <v>9</v>
      </c>
      <c r="X1831" s="15">
        <f t="shared" si="10"/>
        <v>2025</v>
      </c>
    </row>
    <row r="1832">
      <c r="A1832" s="9">
        <v>45930.0</v>
      </c>
      <c r="B1832" s="10"/>
      <c r="C1832" s="9">
        <f t="shared" si="90"/>
        <v>45930</v>
      </c>
      <c r="D1832" s="11" t="s">
        <v>83</v>
      </c>
      <c r="E1832" s="11" t="s">
        <v>25</v>
      </c>
      <c r="F1832" s="11" t="s">
        <v>40</v>
      </c>
      <c r="G1832" s="11" t="s">
        <v>27</v>
      </c>
      <c r="I1832" s="12">
        <v>550.0</v>
      </c>
      <c r="J1832" s="13"/>
      <c r="K1832" s="13">
        <f t="shared" si="102"/>
        <v>550</v>
      </c>
      <c r="L1832" s="11" t="s">
        <v>29</v>
      </c>
      <c r="M1832" s="14"/>
      <c r="N1832" s="11" t="s">
        <v>204</v>
      </c>
      <c r="O1832" s="10" t="str">
        <f t="shared" si="79"/>
        <v>09/2025</v>
      </c>
      <c r="P1832" s="10" t="str">
        <f t="shared" si="81"/>
        <v>09/2025</v>
      </c>
      <c r="Q1832" s="15" t="str">
        <f t="array" ref="Q1832">IFERROR(XLOOKUP(N1832,'Classificação'!A:A,'Classificação'!B:B),"")</f>
        <v>DESPESAS COM PESSOAL</v>
      </c>
      <c r="R1832" s="15" t="str">
        <f t="array" ref="R1832">IFERROR(XLOOKUP(Q1832,'Classificação'!B:B,'Classificação'!C:C),"")</f>
        <v>DESPESAS FIXAS (-)</v>
      </c>
      <c r="S1832" s="15">
        <f t="shared" si="91"/>
        <v>30</v>
      </c>
      <c r="T1832" s="15">
        <f t="shared" si="6"/>
        <v>9</v>
      </c>
      <c r="U1832" s="15">
        <f t="shared" si="7"/>
        <v>2025</v>
      </c>
      <c r="V1832" s="15">
        <f t="shared" si="8"/>
        <v>30</v>
      </c>
      <c r="W1832" s="15">
        <f t="shared" si="9"/>
        <v>9</v>
      </c>
      <c r="X1832" s="15">
        <f t="shared" si="10"/>
        <v>2025</v>
      </c>
    </row>
    <row r="1833">
      <c r="A1833" s="9">
        <v>45930.0</v>
      </c>
      <c r="B1833" s="10"/>
      <c r="C1833" s="9">
        <f t="shared" si="90"/>
        <v>45930</v>
      </c>
      <c r="D1833" s="11" t="s">
        <v>83</v>
      </c>
      <c r="E1833" s="11" t="s">
        <v>25</v>
      </c>
      <c r="F1833" s="11" t="s">
        <v>40</v>
      </c>
      <c r="G1833" s="11" t="s">
        <v>27</v>
      </c>
      <c r="I1833" s="12">
        <v>760.77</v>
      </c>
      <c r="J1833" s="13"/>
      <c r="K1833" s="13">
        <f t="shared" si="102"/>
        <v>760.77</v>
      </c>
      <c r="L1833" s="11" t="s">
        <v>29</v>
      </c>
      <c r="M1833" s="14"/>
      <c r="N1833" s="11" t="s">
        <v>38</v>
      </c>
      <c r="O1833" s="10" t="str">
        <f t="shared" si="79"/>
        <v>09/2025</v>
      </c>
      <c r="P1833" s="10" t="str">
        <f t="shared" si="81"/>
        <v>09/2025</v>
      </c>
      <c r="Q1833" s="15" t="str">
        <f t="array" ref="Q1833">IFERROR(XLOOKUP(N1833,'Classificação'!A:A,'Classificação'!B:B),"")</f>
        <v>DESPESAS COM PESSOAL</v>
      </c>
      <c r="R1833" s="15" t="str">
        <f t="array" ref="R1833">IFERROR(XLOOKUP(Q1833,'Classificação'!B:B,'Classificação'!C:C),"")</f>
        <v>DESPESAS FIXAS (-)</v>
      </c>
      <c r="S1833" s="15">
        <f t="shared" si="91"/>
        <v>30</v>
      </c>
      <c r="T1833" s="15">
        <f t="shared" si="6"/>
        <v>9</v>
      </c>
      <c r="U1833" s="15">
        <f t="shared" si="7"/>
        <v>2025</v>
      </c>
      <c r="V1833" s="15">
        <f t="shared" si="8"/>
        <v>30</v>
      </c>
      <c r="W1833" s="15">
        <f t="shared" si="9"/>
        <v>9</v>
      </c>
      <c r="X1833" s="15">
        <f t="shared" si="10"/>
        <v>2025</v>
      </c>
    </row>
    <row r="1834">
      <c r="A1834" s="9">
        <v>45930.0</v>
      </c>
      <c r="B1834" s="10"/>
      <c r="C1834" s="9">
        <f t="shared" si="90"/>
        <v>45930</v>
      </c>
      <c r="D1834" s="11" t="s">
        <v>80</v>
      </c>
      <c r="E1834" s="11" t="s">
        <v>25</v>
      </c>
      <c r="F1834" s="11" t="s">
        <v>40</v>
      </c>
      <c r="G1834" s="11" t="s">
        <v>27</v>
      </c>
      <c r="I1834" s="12">
        <v>550.0</v>
      </c>
      <c r="J1834" s="13"/>
      <c r="K1834" s="13">
        <f t="shared" si="102"/>
        <v>550</v>
      </c>
      <c r="L1834" s="11" t="s">
        <v>29</v>
      </c>
      <c r="M1834" s="14"/>
      <c r="N1834" s="11" t="s">
        <v>204</v>
      </c>
      <c r="O1834" s="10" t="str">
        <f t="shared" si="79"/>
        <v>09/2025</v>
      </c>
      <c r="P1834" s="10" t="str">
        <f t="shared" si="81"/>
        <v>09/2025</v>
      </c>
      <c r="Q1834" s="15" t="str">
        <f t="array" ref="Q1834">IFERROR(XLOOKUP(N1834,'Classificação'!A:A,'Classificação'!B:B),"")</f>
        <v>DESPESAS COM PESSOAL</v>
      </c>
      <c r="R1834" s="15" t="str">
        <f t="array" ref="R1834">IFERROR(XLOOKUP(Q1834,'Classificação'!B:B,'Classificação'!C:C),"")</f>
        <v>DESPESAS FIXAS (-)</v>
      </c>
      <c r="S1834" s="15">
        <f t="shared" si="91"/>
        <v>30</v>
      </c>
      <c r="T1834" s="15">
        <f t="shared" si="6"/>
        <v>9</v>
      </c>
      <c r="U1834" s="15">
        <f t="shared" si="7"/>
        <v>2025</v>
      </c>
      <c r="V1834" s="15">
        <f t="shared" si="8"/>
        <v>30</v>
      </c>
      <c r="W1834" s="15">
        <f t="shared" si="9"/>
        <v>9</v>
      </c>
      <c r="X1834" s="15">
        <f t="shared" si="10"/>
        <v>2025</v>
      </c>
    </row>
    <row r="1835">
      <c r="A1835" s="9">
        <v>45930.0</v>
      </c>
      <c r="B1835" s="10"/>
      <c r="C1835" s="9">
        <f t="shared" si="90"/>
        <v>45930</v>
      </c>
      <c r="D1835" s="28" t="s">
        <v>44</v>
      </c>
      <c r="E1835" s="11" t="s">
        <v>25</v>
      </c>
      <c r="F1835" s="28" t="s">
        <v>45</v>
      </c>
      <c r="G1835" s="28" t="s">
        <v>27</v>
      </c>
      <c r="H1835" s="11" t="s">
        <v>986</v>
      </c>
      <c r="I1835" s="12">
        <v>1953.84</v>
      </c>
      <c r="J1835" s="13"/>
      <c r="K1835" s="13">
        <f t="shared" si="102"/>
        <v>1953.84</v>
      </c>
      <c r="L1835" s="11" t="s">
        <v>34</v>
      </c>
      <c r="M1835" s="14"/>
      <c r="N1835" s="11" t="s">
        <v>574</v>
      </c>
      <c r="O1835" s="10" t="str">
        <f t="shared" si="79"/>
        <v>09/2025</v>
      </c>
      <c r="P1835" s="10" t="str">
        <f t="shared" si="81"/>
        <v>09/2025</v>
      </c>
      <c r="Q1835" s="15" t="str">
        <f t="array" ref="Q1835">IFERROR(XLOOKUP(N1835,'Classificação'!A:A,'Classificação'!B:B),"")</f>
        <v>TARIFAS FINANCEIRAS DIVERSAS</v>
      </c>
      <c r="R1835" s="15" t="str">
        <f t="array" ref="R1835">IFERROR(XLOOKUP(Q1835,'Classificação'!B:B,'Classificação'!C:C),"")</f>
        <v>(+/-) RESULTADO FINANCEIRO LÍQUIDO</v>
      </c>
      <c r="S1835" s="15">
        <f t="shared" si="91"/>
        <v>30</v>
      </c>
      <c r="T1835" s="15">
        <f t="shared" si="6"/>
        <v>9</v>
      </c>
      <c r="U1835" s="15">
        <f t="shared" si="7"/>
        <v>2025</v>
      </c>
      <c r="V1835" s="15">
        <f t="shared" si="8"/>
        <v>30</v>
      </c>
      <c r="W1835" s="15">
        <f t="shared" si="9"/>
        <v>9</v>
      </c>
      <c r="X1835" s="15">
        <f t="shared" si="10"/>
        <v>2025</v>
      </c>
    </row>
    <row r="1836">
      <c r="A1836" s="9">
        <v>45931.0</v>
      </c>
      <c r="B1836" s="10"/>
      <c r="C1836" s="9">
        <f t="shared" si="90"/>
        <v>45931</v>
      </c>
      <c r="D1836" s="11" t="s">
        <v>24</v>
      </c>
      <c r="E1836" s="11" t="s">
        <v>25</v>
      </c>
      <c r="F1836" s="11" t="s">
        <v>26</v>
      </c>
      <c r="G1836" s="11" t="s">
        <v>37</v>
      </c>
      <c r="H1836" s="11" t="s">
        <v>28</v>
      </c>
      <c r="I1836" s="12">
        <v>6385.68</v>
      </c>
      <c r="J1836" s="13"/>
      <c r="K1836" s="13">
        <f t="shared" si="102"/>
        <v>6385.68</v>
      </c>
      <c r="L1836" s="11" t="s">
        <v>29</v>
      </c>
      <c r="M1836" s="14"/>
      <c r="N1836" s="11" t="s">
        <v>30</v>
      </c>
      <c r="O1836" s="10" t="str">
        <f t="shared" si="79"/>
        <v>10/2025</v>
      </c>
      <c r="P1836" s="10" t="str">
        <f t="shared" si="81"/>
        <v>10/2025</v>
      </c>
      <c r="Q1836" s="15" t="str">
        <f t="array" ref="Q1836">IFERROR(XLOOKUP(N1836,'Classificação'!A:A,'Classificação'!B:B),"")</f>
        <v>DESPESAS COM OCUPAÇÃO</v>
      </c>
      <c r="R1836" s="15" t="str">
        <f t="array" ref="R1836">IFERROR(XLOOKUP(Q1836,'Classificação'!B:B,'Classificação'!C:C),"")</f>
        <v>DESPESAS FIXAS (-)</v>
      </c>
      <c r="S1836" s="15">
        <f t="shared" si="91"/>
        <v>1</v>
      </c>
      <c r="T1836" s="15">
        <f t="shared" si="6"/>
        <v>10</v>
      </c>
      <c r="U1836" s="15">
        <f t="shared" si="7"/>
        <v>2025</v>
      </c>
      <c r="V1836" s="15">
        <f t="shared" si="8"/>
        <v>1</v>
      </c>
      <c r="W1836" s="15">
        <f t="shared" si="9"/>
        <v>10</v>
      </c>
      <c r="X1836" s="15">
        <f t="shared" si="10"/>
        <v>2025</v>
      </c>
    </row>
    <row r="1837">
      <c r="A1837" s="9">
        <v>45931.0</v>
      </c>
      <c r="B1837" s="10"/>
      <c r="C1837" s="9">
        <f t="shared" si="90"/>
        <v>45931</v>
      </c>
      <c r="D1837" s="11" t="s">
        <v>288</v>
      </c>
      <c r="E1837" s="11" t="s">
        <v>25</v>
      </c>
      <c r="F1837" s="11" t="s">
        <v>26</v>
      </c>
      <c r="G1837" s="11" t="s">
        <v>37</v>
      </c>
      <c r="H1837" s="11" t="s">
        <v>289</v>
      </c>
      <c r="I1837" s="12">
        <v>98.18</v>
      </c>
      <c r="J1837" s="13"/>
      <c r="K1837" s="13">
        <f t="shared" si="102"/>
        <v>98.18</v>
      </c>
      <c r="L1837" s="11" t="s">
        <v>29</v>
      </c>
      <c r="M1837" s="16"/>
      <c r="N1837" s="11" t="s">
        <v>105</v>
      </c>
      <c r="O1837" s="10" t="str">
        <f t="shared" si="79"/>
        <v>10/2025</v>
      </c>
      <c r="P1837" s="10" t="str">
        <f t="shared" si="81"/>
        <v>10/2025</v>
      </c>
      <c r="Q1837" s="15" t="str">
        <f t="array" ref="Q1837">IFERROR(XLOOKUP(N1837,'Classificação'!A:A,'Classificação'!B:B),"")</f>
        <v>DESPESAS ADMINISTRATIVAS</v>
      </c>
      <c r="R1837" s="15" t="str">
        <f t="array" ref="R1837">IFERROR(XLOOKUP(Q1837,'Classificação'!B:B,'Classificação'!C:C),"")</f>
        <v>DESPESAS FIXAS (-)</v>
      </c>
      <c r="S1837" s="15">
        <f t="shared" si="91"/>
        <v>1</v>
      </c>
      <c r="T1837" s="15">
        <f t="shared" si="6"/>
        <v>10</v>
      </c>
      <c r="U1837" s="15">
        <f t="shared" si="7"/>
        <v>2025</v>
      </c>
      <c r="V1837" s="15">
        <f t="shared" si="8"/>
        <v>1</v>
      </c>
      <c r="W1837" s="15">
        <f t="shared" si="9"/>
        <v>10</v>
      </c>
      <c r="X1837" s="15">
        <f t="shared" si="10"/>
        <v>2025</v>
      </c>
    </row>
    <row r="1838">
      <c r="A1838" s="9">
        <v>45931.0</v>
      </c>
      <c r="B1838" s="10"/>
      <c r="C1838" s="9">
        <f t="shared" si="90"/>
        <v>45931</v>
      </c>
      <c r="D1838" s="11" t="s">
        <v>36</v>
      </c>
      <c r="E1838" s="11" t="s">
        <v>25</v>
      </c>
      <c r="F1838" s="11" t="s">
        <v>32</v>
      </c>
      <c r="G1838" s="11" t="s">
        <v>37</v>
      </c>
      <c r="I1838" s="12">
        <v>3500.0</v>
      </c>
      <c r="J1838" s="13"/>
      <c r="K1838" s="13">
        <f t="shared" si="102"/>
        <v>3500</v>
      </c>
      <c r="L1838" s="11" t="s">
        <v>29</v>
      </c>
      <c r="M1838" s="14"/>
      <c r="N1838" s="11" t="s">
        <v>38</v>
      </c>
      <c r="O1838" s="10" t="str">
        <f t="shared" si="79"/>
        <v>10/2025</v>
      </c>
      <c r="P1838" s="10" t="str">
        <f t="shared" si="81"/>
        <v>10/2025</v>
      </c>
      <c r="Q1838" s="15" t="str">
        <f t="array" ref="Q1838">IFERROR(XLOOKUP(N1838,'Classificação'!A:A,'Classificação'!B:B),"")</f>
        <v>DESPESAS COM PESSOAL</v>
      </c>
      <c r="R1838" s="15" t="str">
        <f t="array" ref="R1838">IFERROR(XLOOKUP(Q1838,'Classificação'!B:B,'Classificação'!C:C),"")</f>
        <v>DESPESAS FIXAS (-)</v>
      </c>
      <c r="S1838" s="15">
        <f t="shared" si="91"/>
        <v>1</v>
      </c>
      <c r="T1838" s="15">
        <f t="shared" si="6"/>
        <v>10</v>
      </c>
      <c r="U1838" s="15">
        <f t="shared" si="7"/>
        <v>2025</v>
      </c>
      <c r="V1838" s="15">
        <f t="shared" si="8"/>
        <v>1</v>
      </c>
      <c r="W1838" s="15">
        <f t="shared" si="9"/>
        <v>10</v>
      </c>
      <c r="X1838" s="15">
        <f t="shared" si="10"/>
        <v>2025</v>
      </c>
    </row>
    <row r="1839">
      <c r="A1839" s="9">
        <v>45931.0</v>
      </c>
      <c r="B1839" s="10"/>
      <c r="C1839" s="9">
        <f t="shared" si="90"/>
        <v>45931</v>
      </c>
      <c r="D1839" s="11" t="s">
        <v>43</v>
      </c>
      <c r="E1839" s="11" t="s">
        <v>25</v>
      </c>
      <c r="F1839" s="11" t="s">
        <v>32</v>
      </c>
      <c r="G1839" s="11" t="s">
        <v>37</v>
      </c>
      <c r="I1839" s="12">
        <v>3500.0</v>
      </c>
      <c r="J1839" s="13"/>
      <c r="K1839" s="13">
        <f t="shared" si="102"/>
        <v>3500</v>
      </c>
      <c r="L1839" s="11" t="s">
        <v>29</v>
      </c>
      <c r="M1839" s="14"/>
      <c r="N1839" s="11" t="s">
        <v>38</v>
      </c>
      <c r="O1839" s="10" t="str">
        <f t="shared" si="79"/>
        <v>10/2025</v>
      </c>
      <c r="P1839" s="10" t="str">
        <f t="shared" si="81"/>
        <v>10/2025</v>
      </c>
      <c r="Q1839" s="15" t="str">
        <f t="array" ref="Q1839">IFERROR(XLOOKUP(N1839,'Classificação'!A:A,'Classificação'!B:B),"")</f>
        <v>DESPESAS COM PESSOAL</v>
      </c>
      <c r="R1839" s="15" t="str">
        <f t="array" ref="R1839">IFERROR(XLOOKUP(Q1839,'Classificação'!B:B,'Classificação'!C:C),"")</f>
        <v>DESPESAS FIXAS (-)</v>
      </c>
      <c r="S1839" s="15">
        <f t="shared" si="91"/>
        <v>1</v>
      </c>
      <c r="T1839" s="15">
        <f t="shared" si="6"/>
        <v>10</v>
      </c>
      <c r="U1839" s="15">
        <f t="shared" si="7"/>
        <v>2025</v>
      </c>
      <c r="V1839" s="15">
        <f t="shared" si="8"/>
        <v>1</v>
      </c>
      <c r="W1839" s="15">
        <f t="shared" si="9"/>
        <v>10</v>
      </c>
      <c r="X1839" s="15">
        <f t="shared" si="10"/>
        <v>2025</v>
      </c>
    </row>
    <row r="1840">
      <c r="A1840" s="26">
        <v>45931.0</v>
      </c>
      <c r="B1840" s="30"/>
      <c r="C1840" s="27">
        <f t="shared" si="90"/>
        <v>45931</v>
      </c>
      <c r="D1840" s="28" t="s">
        <v>322</v>
      </c>
      <c r="E1840" s="29" t="s">
        <v>25</v>
      </c>
      <c r="F1840" s="28" t="s">
        <v>40</v>
      </c>
      <c r="G1840" s="28" t="s">
        <v>37</v>
      </c>
      <c r="H1840" s="29" t="s">
        <v>778</v>
      </c>
      <c r="I1840" s="37">
        <v>46.2</v>
      </c>
      <c r="J1840" s="34"/>
      <c r="K1840" s="37">
        <f t="shared" ref="K1840:K1841" si="103">IF(E1840="pago",(I1840-J1840),"")</f>
        <v>46.2</v>
      </c>
      <c r="L1840" s="28" t="s">
        <v>29</v>
      </c>
      <c r="M1840" s="41"/>
      <c r="N1840" s="28" t="s">
        <v>105</v>
      </c>
      <c r="O1840" s="10" t="str">
        <f t="shared" si="79"/>
        <v>10/2025</v>
      </c>
      <c r="P1840" s="10" t="str">
        <f t="shared" si="81"/>
        <v>10/2025</v>
      </c>
      <c r="Q1840" s="15" t="str">
        <f t="array" ref="Q1840">IFERROR(XLOOKUP(N1840,'Classificação'!A:A,'Classificação'!B:B),"")</f>
        <v>DESPESAS ADMINISTRATIVAS</v>
      </c>
      <c r="R1840" s="15" t="str">
        <f t="array" ref="R1840">IFERROR(XLOOKUP(Q1840,'Classificação'!B:B,'Classificação'!C:C),"")</f>
        <v>DESPESAS FIXAS (-)</v>
      </c>
      <c r="S1840" s="15">
        <f t="shared" si="91"/>
        <v>1</v>
      </c>
      <c r="T1840" s="15">
        <f t="shared" si="6"/>
        <v>10</v>
      </c>
      <c r="U1840" s="15">
        <f t="shared" si="7"/>
        <v>2025</v>
      </c>
      <c r="V1840" s="15">
        <f t="shared" si="8"/>
        <v>1</v>
      </c>
      <c r="W1840" s="15">
        <f t="shared" si="9"/>
        <v>10</v>
      </c>
      <c r="X1840" s="15">
        <f t="shared" si="10"/>
        <v>2025</v>
      </c>
    </row>
    <row r="1841">
      <c r="A1841" s="9">
        <v>45931.0</v>
      </c>
      <c r="B1841" s="10"/>
      <c r="C1841" s="9">
        <f t="shared" si="90"/>
        <v>45931</v>
      </c>
      <c r="D1841" s="11" t="s">
        <v>44</v>
      </c>
      <c r="E1841" s="11" t="s">
        <v>25</v>
      </c>
      <c r="F1841" s="11" t="s">
        <v>45</v>
      </c>
      <c r="G1841" s="11" t="s">
        <v>27</v>
      </c>
      <c r="H1841" s="11" t="s">
        <v>987</v>
      </c>
      <c r="I1841" s="12">
        <v>38667.76</v>
      </c>
      <c r="J1841" s="13"/>
      <c r="K1841" s="37">
        <f t="shared" si="103"/>
        <v>38667.76</v>
      </c>
      <c r="L1841" s="11" t="s">
        <v>34</v>
      </c>
      <c r="M1841" s="14"/>
      <c r="N1841" s="11" t="s">
        <v>35</v>
      </c>
      <c r="O1841" s="10" t="str">
        <f t="shared" si="79"/>
        <v>10/2025</v>
      </c>
      <c r="P1841" s="10" t="str">
        <f t="shared" si="81"/>
        <v>10/2025</v>
      </c>
      <c r="Q1841" s="15" t="str">
        <f t="array" ref="Q1841">IFERROR(XLOOKUP(N1841,'Classificação'!A:A,'Classificação'!B:B),"")</f>
        <v>COMPRA DE MERCADORIA</v>
      </c>
      <c r="R1841" s="15" t="str">
        <f t="array" ref="R1841">IFERROR(XLOOKUP(Q1841,'Classificação'!B:B,'Classificação'!C:C),"")</f>
        <v>CUSTOS VARIÁVEIS</v>
      </c>
      <c r="S1841" s="15">
        <f t="shared" si="91"/>
        <v>1</v>
      </c>
      <c r="T1841" s="15">
        <f t="shared" si="6"/>
        <v>10</v>
      </c>
      <c r="U1841" s="15">
        <f t="shared" si="7"/>
        <v>2025</v>
      </c>
      <c r="V1841" s="15">
        <f t="shared" si="8"/>
        <v>1</v>
      </c>
      <c r="W1841" s="15">
        <f t="shared" si="9"/>
        <v>10</v>
      </c>
      <c r="X1841" s="15">
        <f t="shared" si="10"/>
        <v>2025</v>
      </c>
    </row>
    <row r="1842">
      <c r="A1842" s="9">
        <v>45931.0</v>
      </c>
      <c r="B1842" s="10"/>
      <c r="C1842" s="9">
        <f t="shared" si="90"/>
        <v>45931</v>
      </c>
      <c r="D1842" s="28" t="s">
        <v>44</v>
      </c>
      <c r="E1842" s="29" t="s">
        <v>25</v>
      </c>
      <c r="F1842" s="28" t="s">
        <v>45</v>
      </c>
      <c r="G1842" s="28" t="s">
        <v>27</v>
      </c>
      <c r="H1842" s="11" t="s">
        <v>988</v>
      </c>
      <c r="I1842" s="12">
        <v>3609.17</v>
      </c>
      <c r="J1842" s="13"/>
      <c r="K1842" s="13">
        <f t="shared" ref="K1842:K1851" si="104">if(E1842="pago",(I1842-J1842),"")</f>
        <v>3609.17</v>
      </c>
      <c r="L1842" s="11" t="s">
        <v>34</v>
      </c>
      <c r="M1842" s="14"/>
      <c r="N1842" s="11" t="s">
        <v>574</v>
      </c>
      <c r="O1842" s="10" t="str">
        <f t="shared" si="79"/>
        <v>10/2025</v>
      </c>
      <c r="P1842" s="10" t="str">
        <f t="shared" si="81"/>
        <v>10/2025</v>
      </c>
      <c r="Q1842" s="15" t="str">
        <f t="array" ref="Q1842">IFERROR(XLOOKUP(N1842,'Classificação'!A:A,'Classificação'!B:B),"")</f>
        <v>TARIFAS FINANCEIRAS DIVERSAS</v>
      </c>
      <c r="R1842" s="15" t="str">
        <f t="array" ref="R1842">IFERROR(XLOOKUP(Q1842,'Classificação'!B:B,'Classificação'!C:C),"")</f>
        <v>(+/-) RESULTADO FINANCEIRO LÍQUIDO</v>
      </c>
      <c r="S1842" s="15">
        <f t="shared" si="91"/>
        <v>1</v>
      </c>
      <c r="T1842" s="15">
        <f t="shared" si="6"/>
        <v>10</v>
      </c>
      <c r="U1842" s="15">
        <f t="shared" si="7"/>
        <v>2025</v>
      </c>
      <c r="V1842" s="15">
        <f t="shared" si="8"/>
        <v>1</v>
      </c>
      <c r="W1842" s="15">
        <f t="shared" si="9"/>
        <v>10</v>
      </c>
      <c r="X1842" s="15">
        <f t="shared" si="10"/>
        <v>2025</v>
      </c>
    </row>
    <row r="1843">
      <c r="A1843" s="9">
        <v>45931.0</v>
      </c>
      <c r="B1843" s="10"/>
      <c r="C1843" s="9">
        <f t="shared" si="90"/>
        <v>45931</v>
      </c>
      <c r="D1843" s="28" t="s">
        <v>44</v>
      </c>
      <c r="E1843" s="29" t="s">
        <v>25</v>
      </c>
      <c r="F1843" s="28" t="s">
        <v>45</v>
      </c>
      <c r="G1843" s="28" t="s">
        <v>27</v>
      </c>
      <c r="H1843" s="11" t="s">
        <v>989</v>
      </c>
      <c r="I1843" s="12">
        <v>550.0</v>
      </c>
      <c r="J1843" s="13"/>
      <c r="K1843" s="13">
        <f t="shared" si="104"/>
        <v>550</v>
      </c>
      <c r="L1843" s="11" t="s">
        <v>34</v>
      </c>
      <c r="M1843" s="14"/>
      <c r="N1843" s="11" t="s">
        <v>574</v>
      </c>
      <c r="O1843" s="10" t="str">
        <f t="shared" si="79"/>
        <v>10/2025</v>
      </c>
      <c r="P1843" s="10" t="str">
        <f t="shared" si="81"/>
        <v>10/2025</v>
      </c>
      <c r="Q1843" s="15" t="str">
        <f t="array" ref="Q1843">IFERROR(XLOOKUP(N1843,'Classificação'!A:A,'Classificação'!B:B),"")</f>
        <v>TARIFAS FINANCEIRAS DIVERSAS</v>
      </c>
      <c r="R1843" s="15" t="str">
        <f t="array" ref="R1843">IFERROR(XLOOKUP(Q1843,'Classificação'!B:B,'Classificação'!C:C),"")</f>
        <v>(+/-) RESULTADO FINANCEIRO LÍQUIDO</v>
      </c>
      <c r="S1843" s="15">
        <f t="shared" si="91"/>
        <v>1</v>
      </c>
      <c r="T1843" s="15">
        <f t="shared" si="6"/>
        <v>10</v>
      </c>
      <c r="U1843" s="15">
        <f t="shared" si="7"/>
        <v>2025</v>
      </c>
      <c r="V1843" s="15">
        <f t="shared" si="8"/>
        <v>1</v>
      </c>
      <c r="W1843" s="15">
        <f t="shared" si="9"/>
        <v>10</v>
      </c>
      <c r="X1843" s="15">
        <f t="shared" si="10"/>
        <v>2025</v>
      </c>
    </row>
    <row r="1844">
      <c r="A1844" s="9">
        <v>45931.0</v>
      </c>
      <c r="B1844" s="10"/>
      <c r="C1844" s="9">
        <f t="shared" si="90"/>
        <v>45931</v>
      </c>
      <c r="D1844" s="28" t="s">
        <v>44</v>
      </c>
      <c r="E1844" s="29" t="s">
        <v>25</v>
      </c>
      <c r="F1844" s="28" t="s">
        <v>45</v>
      </c>
      <c r="G1844" s="28" t="s">
        <v>27</v>
      </c>
      <c r="H1844" s="11" t="s">
        <v>990</v>
      </c>
      <c r="I1844" s="12">
        <v>550.0</v>
      </c>
      <c r="J1844" s="13"/>
      <c r="K1844" s="13">
        <f t="shared" si="104"/>
        <v>550</v>
      </c>
      <c r="L1844" s="11" t="s">
        <v>34</v>
      </c>
      <c r="M1844" s="14"/>
      <c r="N1844" s="11" t="s">
        <v>574</v>
      </c>
      <c r="O1844" s="10" t="str">
        <f t="shared" si="79"/>
        <v>10/2025</v>
      </c>
      <c r="P1844" s="10" t="str">
        <f t="shared" si="81"/>
        <v>10/2025</v>
      </c>
      <c r="Q1844" s="15" t="str">
        <f t="array" ref="Q1844">IFERROR(XLOOKUP(N1844,'Classificação'!A:A,'Classificação'!B:B),"")</f>
        <v>TARIFAS FINANCEIRAS DIVERSAS</v>
      </c>
      <c r="R1844" s="15" t="str">
        <f t="array" ref="R1844">IFERROR(XLOOKUP(Q1844,'Classificação'!B:B,'Classificação'!C:C),"")</f>
        <v>(+/-) RESULTADO FINANCEIRO LÍQUIDO</v>
      </c>
      <c r="S1844" s="15">
        <f t="shared" si="91"/>
        <v>1</v>
      </c>
      <c r="T1844" s="15">
        <f t="shared" si="6"/>
        <v>10</v>
      </c>
      <c r="U1844" s="15">
        <f t="shared" si="7"/>
        <v>2025</v>
      </c>
      <c r="V1844" s="15">
        <f t="shared" si="8"/>
        <v>1</v>
      </c>
      <c r="W1844" s="15">
        <f t="shared" si="9"/>
        <v>10</v>
      </c>
      <c r="X1844" s="15">
        <f t="shared" si="10"/>
        <v>2025</v>
      </c>
    </row>
    <row r="1845">
      <c r="A1845" s="9">
        <v>45931.0</v>
      </c>
      <c r="B1845" s="10"/>
      <c r="C1845" s="9">
        <f t="shared" si="90"/>
        <v>45931</v>
      </c>
      <c r="D1845" s="28" t="s">
        <v>44</v>
      </c>
      <c r="E1845" s="29" t="s">
        <v>25</v>
      </c>
      <c r="F1845" s="28" t="s">
        <v>45</v>
      </c>
      <c r="G1845" s="28" t="s">
        <v>27</v>
      </c>
      <c r="H1845" s="11" t="s">
        <v>991</v>
      </c>
      <c r="I1845" s="12">
        <v>451.15</v>
      </c>
      <c r="J1845" s="13"/>
      <c r="K1845" s="13">
        <f t="shared" si="104"/>
        <v>451.15</v>
      </c>
      <c r="L1845" s="11" t="s">
        <v>34</v>
      </c>
      <c r="M1845" s="14"/>
      <c r="N1845" s="11" t="s">
        <v>574</v>
      </c>
      <c r="O1845" s="10" t="str">
        <f t="shared" si="79"/>
        <v>10/2025</v>
      </c>
      <c r="P1845" s="10" t="str">
        <f t="shared" si="81"/>
        <v>10/2025</v>
      </c>
      <c r="Q1845" s="15" t="str">
        <f t="array" ref="Q1845">IFERROR(XLOOKUP(N1845,'Classificação'!A:A,'Classificação'!B:B),"")</f>
        <v>TARIFAS FINANCEIRAS DIVERSAS</v>
      </c>
      <c r="R1845" s="15" t="str">
        <f t="array" ref="R1845">IFERROR(XLOOKUP(Q1845,'Classificação'!B:B,'Classificação'!C:C),"")</f>
        <v>(+/-) RESULTADO FINANCEIRO LÍQUIDO</v>
      </c>
      <c r="S1845" s="15">
        <f t="shared" si="91"/>
        <v>1</v>
      </c>
      <c r="T1845" s="15">
        <f t="shared" si="6"/>
        <v>10</v>
      </c>
      <c r="U1845" s="15">
        <f t="shared" si="7"/>
        <v>2025</v>
      </c>
      <c r="V1845" s="15">
        <f t="shared" si="8"/>
        <v>1</v>
      </c>
      <c r="W1845" s="15">
        <f t="shared" si="9"/>
        <v>10</v>
      </c>
      <c r="X1845" s="15">
        <f t="shared" si="10"/>
        <v>2025</v>
      </c>
    </row>
    <row r="1846">
      <c r="A1846" s="9">
        <v>45933.0</v>
      </c>
      <c r="B1846" s="10"/>
      <c r="C1846" s="9">
        <f t="shared" si="90"/>
        <v>45933</v>
      </c>
      <c r="D1846" s="11" t="s">
        <v>44</v>
      </c>
      <c r="E1846" s="11" t="s">
        <v>25</v>
      </c>
      <c r="F1846" s="11" t="s">
        <v>45</v>
      </c>
      <c r="G1846" s="11" t="s">
        <v>27</v>
      </c>
      <c r="H1846" s="11" t="s">
        <v>651</v>
      </c>
      <c r="I1846" s="12">
        <v>3191.27</v>
      </c>
      <c r="J1846" s="13"/>
      <c r="K1846" s="13">
        <f t="shared" si="104"/>
        <v>3191.27</v>
      </c>
      <c r="L1846" s="11" t="s">
        <v>53</v>
      </c>
      <c r="M1846" s="16" t="s">
        <v>992</v>
      </c>
      <c r="N1846" s="11" t="s">
        <v>73</v>
      </c>
      <c r="O1846" s="10" t="str">
        <f t="shared" si="79"/>
        <v>10/2025</v>
      </c>
      <c r="P1846" s="10" t="str">
        <f t="shared" si="81"/>
        <v>10/2025</v>
      </c>
      <c r="Q1846" s="15" t="str">
        <f t="array" ref="Q1846">IFERROR(XLOOKUP(N1846,'Classificação'!A:A,'Classificação'!B:B),"")</f>
        <v>DESPESAS NÃO OPERACIONAIS</v>
      </c>
      <c r="R1846" s="15" t="str">
        <f t="array" ref="R1846">IFERROR(XLOOKUP(Q1846,'Classificação'!B:B,'Classificação'!C:C),"")</f>
        <v>RESULTADO NÃO OPERACIONAL (+/-)</v>
      </c>
      <c r="S1846" s="15">
        <f t="shared" si="91"/>
        <v>3</v>
      </c>
      <c r="T1846" s="15">
        <f t="shared" si="6"/>
        <v>10</v>
      </c>
      <c r="U1846" s="15">
        <f t="shared" si="7"/>
        <v>2025</v>
      </c>
      <c r="V1846" s="15">
        <f t="shared" si="8"/>
        <v>3</v>
      </c>
      <c r="W1846" s="15">
        <f t="shared" si="9"/>
        <v>10</v>
      </c>
      <c r="X1846" s="15">
        <f t="shared" si="10"/>
        <v>2025</v>
      </c>
    </row>
    <row r="1847">
      <c r="A1847" s="9">
        <v>45933.0</v>
      </c>
      <c r="B1847" s="10"/>
      <c r="C1847" s="9">
        <f t="shared" si="90"/>
        <v>45933</v>
      </c>
      <c r="D1847" s="28" t="s">
        <v>44</v>
      </c>
      <c r="E1847" s="29" t="s">
        <v>25</v>
      </c>
      <c r="F1847" s="28" t="s">
        <v>45</v>
      </c>
      <c r="G1847" s="28" t="s">
        <v>27</v>
      </c>
      <c r="H1847" s="11" t="s">
        <v>993</v>
      </c>
      <c r="I1847" s="12">
        <v>6422.06</v>
      </c>
      <c r="J1847" s="13"/>
      <c r="K1847" s="13">
        <f t="shared" si="104"/>
        <v>6422.06</v>
      </c>
      <c r="L1847" s="11" t="s">
        <v>34</v>
      </c>
      <c r="M1847" s="14"/>
      <c r="N1847" s="11" t="s">
        <v>574</v>
      </c>
      <c r="O1847" s="10" t="str">
        <f t="shared" si="79"/>
        <v>10/2025</v>
      </c>
      <c r="P1847" s="10" t="str">
        <f t="shared" si="81"/>
        <v>10/2025</v>
      </c>
      <c r="Q1847" s="15" t="str">
        <f t="array" ref="Q1847">IFERROR(XLOOKUP(N1847,'Classificação'!A:A,'Classificação'!B:B),"")</f>
        <v>TARIFAS FINANCEIRAS DIVERSAS</v>
      </c>
      <c r="R1847" s="15" t="str">
        <f t="array" ref="R1847">IFERROR(XLOOKUP(Q1847,'Classificação'!B:B,'Classificação'!C:C),"")</f>
        <v>(+/-) RESULTADO FINANCEIRO LÍQUIDO</v>
      </c>
      <c r="S1847" s="15">
        <f t="shared" si="91"/>
        <v>3</v>
      </c>
      <c r="T1847" s="15">
        <f t="shared" si="6"/>
        <v>10</v>
      </c>
      <c r="U1847" s="15">
        <f t="shared" si="7"/>
        <v>2025</v>
      </c>
      <c r="V1847" s="15">
        <f t="shared" si="8"/>
        <v>3</v>
      </c>
      <c r="W1847" s="15">
        <f t="shared" si="9"/>
        <v>10</v>
      </c>
      <c r="X1847" s="15">
        <f t="shared" si="10"/>
        <v>2025</v>
      </c>
    </row>
    <row r="1848">
      <c r="A1848" s="9">
        <v>45933.0</v>
      </c>
      <c r="B1848" s="10"/>
      <c r="C1848" s="9">
        <f t="shared" si="90"/>
        <v>45933</v>
      </c>
      <c r="D1848" s="11" t="s">
        <v>127</v>
      </c>
      <c r="E1848" s="29" t="s">
        <v>25</v>
      </c>
      <c r="F1848" s="11" t="s">
        <v>26</v>
      </c>
      <c r="G1848" s="11" t="s">
        <v>37</v>
      </c>
      <c r="H1848" s="11" t="s">
        <v>994</v>
      </c>
      <c r="I1848" s="12">
        <v>14.5</v>
      </c>
      <c r="J1848" s="13"/>
      <c r="K1848" s="13">
        <f t="shared" si="104"/>
        <v>14.5</v>
      </c>
      <c r="L1848" s="11" t="s">
        <v>34</v>
      </c>
      <c r="M1848" s="14"/>
      <c r="N1848" s="11" t="s">
        <v>136</v>
      </c>
      <c r="O1848" s="10" t="str">
        <f t="shared" si="79"/>
        <v>10/2025</v>
      </c>
      <c r="P1848" s="10" t="str">
        <f t="shared" si="81"/>
        <v>10/2025</v>
      </c>
      <c r="Q1848" s="15" t="str">
        <f t="array" ref="Q1848">IFERROR(XLOOKUP(N1848,'Classificação'!A:A,'Classificação'!B:B),"")</f>
        <v>DESPESAS COM OCUPAÇÃO</v>
      </c>
      <c r="R1848" s="15" t="str">
        <f t="array" ref="R1848">IFERROR(XLOOKUP(Q1848,'Classificação'!B:B,'Classificação'!C:C),"")</f>
        <v>DESPESAS FIXAS (-)</v>
      </c>
      <c r="S1848" s="15">
        <f t="shared" si="91"/>
        <v>3</v>
      </c>
      <c r="T1848" s="15">
        <f t="shared" si="6"/>
        <v>10</v>
      </c>
      <c r="U1848" s="15">
        <f t="shared" si="7"/>
        <v>2025</v>
      </c>
      <c r="V1848" s="15">
        <f t="shared" si="8"/>
        <v>3</v>
      </c>
      <c r="W1848" s="15">
        <f t="shared" si="9"/>
        <v>10</v>
      </c>
      <c r="X1848" s="15">
        <f t="shared" si="10"/>
        <v>2025</v>
      </c>
    </row>
    <row r="1849">
      <c r="A1849" s="26">
        <v>45936.0</v>
      </c>
      <c r="B1849" s="30"/>
      <c r="C1849" s="27">
        <f t="shared" si="90"/>
        <v>45936</v>
      </c>
      <c r="D1849" s="11" t="s">
        <v>31</v>
      </c>
      <c r="E1849" s="29" t="s">
        <v>25</v>
      </c>
      <c r="F1849" s="28" t="s">
        <v>32</v>
      </c>
      <c r="G1849" s="28" t="s">
        <v>37</v>
      </c>
      <c r="H1849" s="29" t="s">
        <v>995</v>
      </c>
      <c r="I1849" s="24">
        <v>91520.0</v>
      </c>
      <c r="J1849" s="34"/>
      <c r="K1849" s="13">
        <f t="shared" si="104"/>
        <v>91520</v>
      </c>
      <c r="L1849" s="28" t="s">
        <v>34</v>
      </c>
      <c r="M1849" s="28"/>
      <c r="N1849" s="28" t="s">
        <v>35</v>
      </c>
      <c r="O1849" s="10" t="str">
        <f t="shared" si="79"/>
        <v>10/2025</v>
      </c>
      <c r="P1849" s="10" t="str">
        <f t="shared" si="81"/>
        <v>10/2025</v>
      </c>
      <c r="Q1849" s="15" t="str">
        <f t="array" ref="Q1849">IFERROR(XLOOKUP(N1849,'Classificação'!A:A,'Classificação'!B:B),"")</f>
        <v>COMPRA DE MERCADORIA</v>
      </c>
      <c r="R1849" s="15" t="str">
        <f t="array" ref="R1849">IFERROR(XLOOKUP(Q1849,'Classificação'!B:B,'Classificação'!C:C),"")</f>
        <v>CUSTOS VARIÁVEIS</v>
      </c>
      <c r="S1849" s="15">
        <f t="shared" si="91"/>
        <v>6</v>
      </c>
      <c r="T1849" s="15">
        <f t="shared" si="6"/>
        <v>10</v>
      </c>
      <c r="U1849" s="15">
        <f t="shared" si="7"/>
        <v>2025</v>
      </c>
      <c r="V1849" s="15">
        <f t="shared" si="8"/>
        <v>6</v>
      </c>
      <c r="W1849" s="15">
        <f t="shared" si="9"/>
        <v>10</v>
      </c>
      <c r="X1849" s="15">
        <f t="shared" si="10"/>
        <v>2025</v>
      </c>
    </row>
    <row r="1850">
      <c r="A1850" s="9">
        <v>45936.0</v>
      </c>
      <c r="B1850" s="10"/>
      <c r="C1850" s="9">
        <f t="shared" si="90"/>
        <v>45936</v>
      </c>
      <c r="D1850" s="29" t="s">
        <v>213</v>
      </c>
      <c r="E1850" s="29" t="s">
        <v>25</v>
      </c>
      <c r="F1850" s="11" t="s">
        <v>26</v>
      </c>
      <c r="G1850" s="28" t="s">
        <v>27</v>
      </c>
      <c r="H1850" s="11" t="s">
        <v>996</v>
      </c>
      <c r="I1850" s="12">
        <v>33700.0</v>
      </c>
      <c r="J1850" s="13"/>
      <c r="K1850" s="13">
        <f t="shared" si="104"/>
        <v>33700</v>
      </c>
      <c r="L1850" s="11" t="s">
        <v>34</v>
      </c>
      <c r="M1850" s="14"/>
      <c r="N1850" s="11" t="s">
        <v>85</v>
      </c>
      <c r="O1850" s="10" t="str">
        <f t="shared" si="79"/>
        <v>10/2025</v>
      </c>
      <c r="P1850" s="10" t="str">
        <f t="shared" si="81"/>
        <v>10/2025</v>
      </c>
      <c r="Q1850" s="15" t="str">
        <f t="array" ref="Q1850">IFERROR(XLOOKUP(N1850,'Classificação'!A:A,'Classificação'!B:B),"")</f>
        <v>DESPESAS NÃO OPERACIONAIS</v>
      </c>
      <c r="R1850" s="15" t="str">
        <f t="array" ref="R1850">IFERROR(XLOOKUP(Q1850,'Classificação'!B:B,'Classificação'!C:C),"")</f>
        <v>RESULTADO NÃO OPERACIONAL (+/-)</v>
      </c>
      <c r="S1850" s="15">
        <f t="shared" si="91"/>
        <v>6</v>
      </c>
      <c r="T1850" s="15">
        <f t="shared" si="6"/>
        <v>10</v>
      </c>
      <c r="U1850" s="15">
        <f t="shared" si="7"/>
        <v>2025</v>
      </c>
      <c r="V1850" s="15">
        <f t="shared" si="8"/>
        <v>6</v>
      </c>
      <c r="W1850" s="15">
        <f t="shared" si="9"/>
        <v>10</v>
      </c>
      <c r="X1850" s="15">
        <f t="shared" si="10"/>
        <v>2025</v>
      </c>
    </row>
    <row r="1851">
      <c r="A1851" s="9">
        <v>45937.0</v>
      </c>
      <c r="B1851" s="10"/>
      <c r="C1851" s="9">
        <f t="shared" si="90"/>
        <v>45937</v>
      </c>
      <c r="D1851" s="11" t="s">
        <v>86</v>
      </c>
      <c r="E1851" s="11" t="s">
        <v>25</v>
      </c>
      <c r="F1851" s="11" t="s">
        <v>87</v>
      </c>
      <c r="G1851" s="11" t="s">
        <v>27</v>
      </c>
      <c r="H1851" s="11" t="s">
        <v>997</v>
      </c>
      <c r="I1851" s="12">
        <v>3470.0</v>
      </c>
      <c r="J1851" s="13"/>
      <c r="K1851" s="13">
        <f t="shared" si="104"/>
        <v>3470</v>
      </c>
      <c r="L1851" s="11" t="s">
        <v>53</v>
      </c>
      <c r="M1851" s="17">
        <v>45749.0</v>
      </c>
      <c r="N1851" s="11" t="s">
        <v>35</v>
      </c>
      <c r="O1851" s="10" t="str">
        <f t="shared" si="79"/>
        <v>10/2025</v>
      </c>
      <c r="P1851" s="10" t="str">
        <f t="shared" si="81"/>
        <v>10/2025</v>
      </c>
      <c r="Q1851" s="15" t="str">
        <f t="array" ref="Q1851">IFERROR(XLOOKUP(N1851,'Classificação'!A:A,'Classificação'!B:B),"")</f>
        <v>COMPRA DE MERCADORIA</v>
      </c>
      <c r="R1851" s="15" t="str">
        <f t="array" ref="R1851">IFERROR(XLOOKUP(Q1851,'Classificação'!B:B,'Classificação'!C:C),"")</f>
        <v>CUSTOS VARIÁVEIS</v>
      </c>
      <c r="S1851" s="15">
        <f t="shared" si="91"/>
        <v>7</v>
      </c>
      <c r="T1851" s="15">
        <f t="shared" si="6"/>
        <v>10</v>
      </c>
      <c r="U1851" s="15">
        <f t="shared" si="7"/>
        <v>2025</v>
      </c>
      <c r="V1851" s="15">
        <f t="shared" si="8"/>
        <v>7</v>
      </c>
      <c r="W1851" s="15">
        <f t="shared" si="9"/>
        <v>10</v>
      </c>
      <c r="X1851" s="15">
        <f t="shared" si="10"/>
        <v>2025</v>
      </c>
    </row>
    <row r="1852">
      <c r="A1852" s="26">
        <v>45937.0</v>
      </c>
      <c r="B1852" s="30"/>
      <c r="C1852" s="27">
        <f t="shared" si="90"/>
        <v>45937</v>
      </c>
      <c r="D1852" s="28" t="s">
        <v>36</v>
      </c>
      <c r="E1852" s="29" t="s">
        <v>25</v>
      </c>
      <c r="F1852" s="28" t="s">
        <v>32</v>
      </c>
      <c r="G1852" s="29" t="s">
        <v>27</v>
      </c>
      <c r="H1852" s="28"/>
      <c r="I1852" s="24">
        <v>1065.0</v>
      </c>
      <c r="J1852" s="34"/>
      <c r="K1852" s="37">
        <f t="shared" ref="K1852:K1862" si="105">IF(E1852="pago",(I1852-J1852),"")</f>
        <v>1065</v>
      </c>
      <c r="L1852" s="28" t="s">
        <v>29</v>
      </c>
      <c r="M1852" s="28"/>
      <c r="N1852" s="28" t="s">
        <v>38</v>
      </c>
      <c r="O1852" s="10" t="str">
        <f t="shared" si="79"/>
        <v>10/2025</v>
      </c>
      <c r="P1852" s="10" t="str">
        <f t="shared" si="81"/>
        <v>10/2025</v>
      </c>
      <c r="Q1852" s="15" t="str">
        <f t="array" ref="Q1852">IFERROR(XLOOKUP(N1852,'Classificação'!A:A,'Classificação'!B:B),"")</f>
        <v>DESPESAS COM PESSOAL</v>
      </c>
      <c r="R1852" s="15" t="str">
        <f t="array" ref="R1852">IFERROR(XLOOKUP(Q1852,'Classificação'!B:B,'Classificação'!C:C),"")</f>
        <v>DESPESAS FIXAS (-)</v>
      </c>
      <c r="S1852" s="15">
        <f t="shared" si="91"/>
        <v>7</v>
      </c>
      <c r="T1852" s="15">
        <f t="shared" si="6"/>
        <v>10</v>
      </c>
      <c r="U1852" s="15">
        <f t="shared" si="7"/>
        <v>2025</v>
      </c>
      <c r="V1852" s="15">
        <f t="shared" si="8"/>
        <v>7</v>
      </c>
      <c r="W1852" s="15">
        <f t="shared" si="9"/>
        <v>10</v>
      </c>
      <c r="X1852" s="15">
        <f t="shared" si="10"/>
        <v>2025</v>
      </c>
    </row>
    <row r="1853">
      <c r="A1853" s="26">
        <v>45937.0</v>
      </c>
      <c r="B1853" s="30"/>
      <c r="C1853" s="27">
        <f t="shared" si="90"/>
        <v>45937</v>
      </c>
      <c r="D1853" s="28" t="s">
        <v>43</v>
      </c>
      <c r="E1853" s="29" t="s">
        <v>25</v>
      </c>
      <c r="F1853" s="28" t="s">
        <v>32</v>
      </c>
      <c r="G1853" s="29" t="s">
        <v>27</v>
      </c>
      <c r="H1853" s="28"/>
      <c r="I1853" s="24">
        <v>1064.18</v>
      </c>
      <c r="J1853" s="34"/>
      <c r="K1853" s="37">
        <f t="shared" si="105"/>
        <v>1064.18</v>
      </c>
      <c r="L1853" s="28" t="s">
        <v>29</v>
      </c>
      <c r="M1853" s="28"/>
      <c r="N1853" s="28" t="s">
        <v>38</v>
      </c>
      <c r="O1853" s="10" t="str">
        <f t="shared" si="79"/>
        <v>10/2025</v>
      </c>
      <c r="P1853" s="10" t="str">
        <f t="shared" si="81"/>
        <v>10/2025</v>
      </c>
      <c r="Q1853" s="15" t="str">
        <f t="array" ref="Q1853">IFERROR(XLOOKUP(N1853,'Classificação'!A:A,'Classificação'!B:B),"")</f>
        <v>DESPESAS COM PESSOAL</v>
      </c>
      <c r="R1853" s="15" t="str">
        <f t="array" ref="R1853">IFERROR(XLOOKUP(Q1853,'Classificação'!B:B,'Classificação'!C:C),"")</f>
        <v>DESPESAS FIXAS (-)</v>
      </c>
      <c r="S1853" s="15">
        <f t="shared" si="91"/>
        <v>7</v>
      </c>
      <c r="T1853" s="15">
        <f t="shared" si="6"/>
        <v>10</v>
      </c>
      <c r="U1853" s="15">
        <f t="shared" si="7"/>
        <v>2025</v>
      </c>
      <c r="V1853" s="15">
        <f t="shared" si="8"/>
        <v>7</v>
      </c>
      <c r="W1853" s="15">
        <f t="shared" si="9"/>
        <v>10</v>
      </c>
      <c r="X1853" s="15">
        <f t="shared" si="10"/>
        <v>2025</v>
      </c>
    </row>
    <row r="1854">
      <c r="A1854" s="26">
        <v>45937.0</v>
      </c>
      <c r="B1854" s="10"/>
      <c r="C1854" s="9">
        <f t="shared" si="90"/>
        <v>45937</v>
      </c>
      <c r="D1854" s="11" t="s">
        <v>846</v>
      </c>
      <c r="E1854" s="29" t="s">
        <v>25</v>
      </c>
      <c r="F1854" s="29" t="s">
        <v>26</v>
      </c>
      <c r="G1854" s="28" t="s">
        <v>27</v>
      </c>
      <c r="H1854" s="11" t="s">
        <v>460</v>
      </c>
      <c r="I1854" s="12">
        <v>69.47</v>
      </c>
      <c r="J1854" s="13"/>
      <c r="K1854" s="37">
        <f t="shared" si="105"/>
        <v>69.47</v>
      </c>
      <c r="L1854" s="28" t="s">
        <v>53</v>
      </c>
      <c r="M1854" s="17">
        <v>45638.0</v>
      </c>
      <c r="N1854" s="11" t="s">
        <v>105</v>
      </c>
      <c r="O1854" s="10" t="str">
        <f t="shared" si="79"/>
        <v>10/2025</v>
      </c>
      <c r="P1854" s="10" t="str">
        <f t="shared" si="81"/>
        <v>10/2025</v>
      </c>
      <c r="Q1854" s="15" t="str">
        <f t="array" ref="Q1854">IFERROR(XLOOKUP(N1854,'Classificação'!A:A,'Classificação'!B:B),"")</f>
        <v>DESPESAS ADMINISTRATIVAS</v>
      </c>
      <c r="R1854" s="15" t="str">
        <f t="array" ref="R1854">IFERROR(XLOOKUP(Q1854,'Classificação'!B:B,'Classificação'!C:C),"")</f>
        <v>DESPESAS FIXAS (-)</v>
      </c>
      <c r="S1854" s="15">
        <f t="shared" si="91"/>
        <v>7</v>
      </c>
      <c r="T1854" s="15">
        <f t="shared" si="6"/>
        <v>10</v>
      </c>
      <c r="U1854" s="15">
        <f t="shared" si="7"/>
        <v>2025</v>
      </c>
      <c r="V1854" s="15">
        <f t="shared" si="8"/>
        <v>7</v>
      </c>
      <c r="W1854" s="15">
        <f t="shared" si="9"/>
        <v>10</v>
      </c>
      <c r="X1854" s="15">
        <f t="shared" si="10"/>
        <v>2025</v>
      </c>
    </row>
    <row r="1855">
      <c r="A1855" s="26">
        <v>45937.0</v>
      </c>
      <c r="B1855" s="39">
        <v>45611.0</v>
      </c>
      <c r="C1855" s="9">
        <f t="shared" si="90"/>
        <v>45937</v>
      </c>
      <c r="D1855" s="28" t="s">
        <v>361</v>
      </c>
      <c r="E1855" s="29" t="s">
        <v>25</v>
      </c>
      <c r="F1855" s="28" t="s">
        <v>26</v>
      </c>
      <c r="G1855" s="29" t="s">
        <v>27</v>
      </c>
      <c r="H1855" s="29" t="s">
        <v>535</v>
      </c>
      <c r="I1855" s="24">
        <v>282.35</v>
      </c>
      <c r="J1855" s="13"/>
      <c r="K1855" s="37">
        <f t="shared" si="105"/>
        <v>282.35</v>
      </c>
      <c r="L1855" s="28" t="s">
        <v>53</v>
      </c>
      <c r="M1855" s="17">
        <v>46002.0</v>
      </c>
      <c r="N1855" s="28" t="s">
        <v>363</v>
      </c>
      <c r="O1855" s="10" t="str">
        <f t="shared" si="79"/>
        <v>10/2025</v>
      </c>
      <c r="P1855" s="10" t="str">
        <f t="shared" si="81"/>
        <v>10/2025</v>
      </c>
      <c r="Q1855" s="15" t="str">
        <f t="array" ref="Q1855">IFERROR(XLOOKUP(N1855,'Classificação'!A:A,'Classificação'!B:B),"")</f>
        <v>DESPESAS NÃO OPERACIONAIS</v>
      </c>
      <c r="R1855" s="15" t="str">
        <f t="array" ref="R1855">IFERROR(XLOOKUP(Q1855,'Classificação'!B:B,'Classificação'!C:C),"")</f>
        <v>RESULTADO NÃO OPERACIONAL (+/-)</v>
      </c>
      <c r="S1855" s="15">
        <f t="shared" si="91"/>
        <v>7</v>
      </c>
      <c r="T1855" s="15">
        <f t="shared" si="6"/>
        <v>10</v>
      </c>
      <c r="U1855" s="15">
        <f t="shared" si="7"/>
        <v>2025</v>
      </c>
      <c r="V1855" s="15">
        <f t="shared" si="8"/>
        <v>7</v>
      </c>
      <c r="W1855" s="15">
        <f t="shared" si="9"/>
        <v>10</v>
      </c>
      <c r="X1855" s="15">
        <f t="shared" si="10"/>
        <v>2025</v>
      </c>
    </row>
    <row r="1856">
      <c r="A1856" s="9">
        <v>45938.0</v>
      </c>
      <c r="B1856" s="48">
        <v>45883.0</v>
      </c>
      <c r="C1856" s="9">
        <f t="shared" si="90"/>
        <v>45938</v>
      </c>
      <c r="D1856" s="11" t="s">
        <v>86</v>
      </c>
      <c r="E1856" s="11" t="s">
        <v>25</v>
      </c>
      <c r="F1856" s="11" t="s">
        <v>87</v>
      </c>
      <c r="G1856" s="11" t="s">
        <v>27</v>
      </c>
      <c r="H1856" s="11" t="s">
        <v>998</v>
      </c>
      <c r="I1856" s="12">
        <v>680.0</v>
      </c>
      <c r="J1856" s="13"/>
      <c r="K1856" s="37">
        <f t="shared" si="105"/>
        <v>680</v>
      </c>
      <c r="L1856" s="11" t="s">
        <v>53</v>
      </c>
      <c r="M1856" s="17">
        <v>45749.0</v>
      </c>
      <c r="N1856" s="11" t="s">
        <v>35</v>
      </c>
      <c r="O1856" s="10" t="str">
        <f t="shared" si="79"/>
        <v>10/2025</v>
      </c>
      <c r="P1856" s="10" t="str">
        <f t="shared" si="81"/>
        <v>10/2025</v>
      </c>
      <c r="Q1856" s="15" t="str">
        <f t="array" ref="Q1856">IFERROR(XLOOKUP(N1856,'Classificação'!A:A,'Classificação'!B:B),"")</f>
        <v>COMPRA DE MERCADORIA</v>
      </c>
      <c r="R1856" s="15" t="str">
        <f t="array" ref="R1856">IFERROR(XLOOKUP(Q1856,'Classificação'!B:B,'Classificação'!C:C),"")</f>
        <v>CUSTOS VARIÁVEIS</v>
      </c>
      <c r="S1856" s="15">
        <f t="shared" si="91"/>
        <v>8</v>
      </c>
      <c r="T1856" s="15">
        <f t="shared" si="6"/>
        <v>10</v>
      </c>
      <c r="U1856" s="15">
        <f t="shared" si="7"/>
        <v>2025</v>
      </c>
      <c r="V1856" s="15">
        <f t="shared" si="8"/>
        <v>8</v>
      </c>
      <c r="W1856" s="15">
        <f t="shared" si="9"/>
        <v>10</v>
      </c>
      <c r="X1856" s="15">
        <f t="shared" si="10"/>
        <v>2025</v>
      </c>
    </row>
    <row r="1857">
      <c r="A1857" s="9">
        <v>45940.0</v>
      </c>
      <c r="B1857" s="10"/>
      <c r="C1857" s="9">
        <f t="shared" si="90"/>
        <v>45940</v>
      </c>
      <c r="D1857" s="11" t="s">
        <v>48</v>
      </c>
      <c r="E1857" s="11" t="s">
        <v>25</v>
      </c>
      <c r="F1857" s="11" t="s">
        <v>40</v>
      </c>
      <c r="G1857" s="11" t="s">
        <v>27</v>
      </c>
      <c r="I1857" s="12">
        <v>1968.18</v>
      </c>
      <c r="J1857" s="13"/>
      <c r="K1857" s="37">
        <f t="shared" si="105"/>
        <v>1968.18</v>
      </c>
      <c r="L1857" s="11" t="s">
        <v>29</v>
      </c>
      <c r="M1857" s="14"/>
      <c r="N1857" s="11" t="s">
        <v>49</v>
      </c>
      <c r="O1857" s="10" t="str">
        <f t="shared" si="79"/>
        <v>10/2025</v>
      </c>
      <c r="P1857" s="10" t="str">
        <f t="shared" si="81"/>
        <v>10/2025</v>
      </c>
      <c r="Q1857" s="15" t="str">
        <f t="array" ref="Q1857">IFERROR(XLOOKUP(N1857,'Classificação'!A:A,'Classificação'!B:B),"")</f>
        <v>DESPESAS COM PESSOAL</v>
      </c>
      <c r="R1857" s="15" t="str">
        <f t="array" ref="R1857">IFERROR(XLOOKUP(Q1857,'Classificação'!B:B,'Classificação'!C:C),"")</f>
        <v>DESPESAS FIXAS (-)</v>
      </c>
      <c r="S1857" s="15">
        <f t="shared" si="91"/>
        <v>10</v>
      </c>
      <c r="T1857" s="15">
        <f t="shared" si="6"/>
        <v>10</v>
      </c>
      <c r="U1857" s="15">
        <f t="shared" si="7"/>
        <v>2025</v>
      </c>
      <c r="V1857" s="15">
        <f t="shared" si="8"/>
        <v>10</v>
      </c>
      <c r="W1857" s="15">
        <f t="shared" si="9"/>
        <v>10</v>
      </c>
      <c r="X1857" s="15">
        <f t="shared" si="10"/>
        <v>2025</v>
      </c>
    </row>
    <row r="1858">
      <c r="A1858" s="32">
        <v>45940.0</v>
      </c>
      <c r="B1858" s="10"/>
      <c r="C1858" s="9">
        <f t="shared" si="90"/>
        <v>45940</v>
      </c>
      <c r="D1858" s="11" t="s">
        <v>50</v>
      </c>
      <c r="E1858" s="11" t="s">
        <v>25</v>
      </c>
      <c r="F1858" s="11" t="s">
        <v>40</v>
      </c>
      <c r="G1858" s="11" t="s">
        <v>27</v>
      </c>
      <c r="H1858" s="11" t="s">
        <v>51</v>
      </c>
      <c r="I1858" s="12">
        <v>139.99</v>
      </c>
      <c r="J1858" s="13"/>
      <c r="K1858" s="37">
        <f t="shared" si="105"/>
        <v>139.99</v>
      </c>
      <c r="L1858" s="11" t="s">
        <v>29</v>
      </c>
      <c r="M1858" s="14"/>
      <c r="N1858" s="11" t="s">
        <v>51</v>
      </c>
      <c r="O1858" s="10" t="str">
        <f t="shared" si="79"/>
        <v>10/2025</v>
      </c>
      <c r="P1858" s="10" t="str">
        <f t="shared" si="81"/>
        <v>10/2025</v>
      </c>
      <c r="Q1858" s="15" t="str">
        <f t="array" ref="Q1858">IFERROR(XLOOKUP(N1858,'Classificação'!A:A,'Classificação'!B:B),"")</f>
        <v>DESPESAS COM OCUPAÇÃO</v>
      </c>
      <c r="R1858" s="15" t="str">
        <f t="array" ref="R1858">IFERROR(XLOOKUP(Q1858,'Classificação'!B:B,'Classificação'!C:C),"")</f>
        <v>DESPESAS FIXAS (-)</v>
      </c>
      <c r="S1858" s="15">
        <f t="shared" si="91"/>
        <v>10</v>
      </c>
      <c r="T1858" s="15">
        <f t="shared" si="6"/>
        <v>10</v>
      </c>
      <c r="U1858" s="15">
        <f t="shared" si="7"/>
        <v>2025</v>
      </c>
      <c r="V1858" s="15">
        <f t="shared" si="8"/>
        <v>10</v>
      </c>
      <c r="W1858" s="15">
        <f t="shared" si="9"/>
        <v>10</v>
      </c>
      <c r="X1858" s="15">
        <f t="shared" si="10"/>
        <v>2025</v>
      </c>
    </row>
    <row r="1859">
      <c r="A1859" s="9">
        <v>45940.0</v>
      </c>
      <c r="B1859" s="10"/>
      <c r="C1859" s="9">
        <f t="shared" si="90"/>
        <v>45940</v>
      </c>
      <c r="D1859" s="11" t="s">
        <v>59</v>
      </c>
      <c r="E1859" s="11" t="s">
        <v>25</v>
      </c>
      <c r="F1859" s="11" t="s">
        <v>40</v>
      </c>
      <c r="G1859" s="11" t="s">
        <v>37</v>
      </c>
      <c r="H1859" s="11" t="s">
        <v>60</v>
      </c>
      <c r="I1859" s="12">
        <v>397.0</v>
      </c>
      <c r="J1859" s="13"/>
      <c r="K1859" s="37">
        <f t="shared" si="105"/>
        <v>397</v>
      </c>
      <c r="L1859" s="11" t="s">
        <v>29</v>
      </c>
      <c r="M1859" s="14"/>
      <c r="N1859" s="11" t="s">
        <v>61</v>
      </c>
      <c r="O1859" s="10" t="str">
        <f t="shared" si="79"/>
        <v>10/2025</v>
      </c>
      <c r="P1859" s="10" t="str">
        <f t="shared" si="81"/>
        <v>10/2025</v>
      </c>
      <c r="Q1859" s="15" t="str">
        <f t="array" ref="Q1859">IFERROR(XLOOKUP(N1859,'Classificação'!A:A,'Classificação'!B:B),"")</f>
        <v>DESPESAS ADMINISTRATIVAS</v>
      </c>
      <c r="R1859" s="15" t="str">
        <f t="array" ref="R1859">IFERROR(XLOOKUP(Q1859,'Classificação'!B:B,'Classificação'!C:C),"")</f>
        <v>DESPESAS FIXAS (-)</v>
      </c>
      <c r="S1859" s="15">
        <f t="shared" si="91"/>
        <v>10</v>
      </c>
      <c r="T1859" s="15">
        <f t="shared" si="6"/>
        <v>10</v>
      </c>
      <c r="U1859" s="15">
        <f t="shared" si="7"/>
        <v>2025</v>
      </c>
      <c r="V1859" s="15">
        <f t="shared" si="8"/>
        <v>10</v>
      </c>
      <c r="W1859" s="15">
        <f t="shared" si="9"/>
        <v>10</v>
      </c>
      <c r="X1859" s="15">
        <f t="shared" si="10"/>
        <v>2025</v>
      </c>
    </row>
    <row r="1860">
      <c r="A1860" s="9">
        <v>45940.0</v>
      </c>
      <c r="B1860" s="10"/>
      <c r="C1860" s="9">
        <f t="shared" si="90"/>
        <v>45940</v>
      </c>
      <c r="D1860" s="11" t="s">
        <v>104</v>
      </c>
      <c r="E1860" s="11" t="s">
        <v>25</v>
      </c>
      <c r="F1860" s="11" t="s">
        <v>40</v>
      </c>
      <c r="G1860" s="11" t="s">
        <v>37</v>
      </c>
      <c r="H1860" s="11" t="s">
        <v>413</v>
      </c>
      <c r="I1860" s="12">
        <v>27.5</v>
      </c>
      <c r="J1860" s="13"/>
      <c r="K1860" s="37">
        <f t="shared" si="105"/>
        <v>27.5</v>
      </c>
      <c r="L1860" s="11" t="s">
        <v>29</v>
      </c>
      <c r="M1860" s="14"/>
      <c r="N1860" s="11" t="s">
        <v>105</v>
      </c>
      <c r="O1860" s="10" t="str">
        <f t="shared" si="79"/>
        <v>10/2025</v>
      </c>
      <c r="P1860" s="10" t="str">
        <f t="shared" si="81"/>
        <v>10/2025</v>
      </c>
      <c r="Q1860" s="15" t="str">
        <f t="array" ref="Q1860">IFERROR(XLOOKUP(N1860,'Classificação'!A:A,'Classificação'!B:B),"")</f>
        <v>DESPESAS ADMINISTRATIVAS</v>
      </c>
      <c r="R1860" s="15" t="str">
        <f t="array" ref="R1860">IFERROR(XLOOKUP(Q1860,'Classificação'!B:B,'Classificação'!C:C),"")</f>
        <v>DESPESAS FIXAS (-)</v>
      </c>
      <c r="S1860" s="15">
        <f t="shared" si="91"/>
        <v>10</v>
      </c>
      <c r="T1860" s="15">
        <f t="shared" si="6"/>
        <v>10</v>
      </c>
      <c r="U1860" s="15">
        <f t="shared" si="7"/>
        <v>2025</v>
      </c>
      <c r="V1860" s="15">
        <f t="shared" si="8"/>
        <v>10</v>
      </c>
      <c r="W1860" s="15">
        <f t="shared" si="9"/>
        <v>10</v>
      </c>
      <c r="X1860" s="15">
        <f t="shared" si="10"/>
        <v>2025</v>
      </c>
    </row>
    <row r="1861">
      <c r="A1861" s="9">
        <v>45940.0</v>
      </c>
      <c r="B1861" s="10"/>
      <c r="C1861" s="9">
        <f t="shared" si="90"/>
        <v>45940</v>
      </c>
      <c r="D1861" s="11" t="s">
        <v>44</v>
      </c>
      <c r="E1861" s="11" t="s">
        <v>25</v>
      </c>
      <c r="F1861" s="11" t="s">
        <v>45</v>
      </c>
      <c r="G1861" s="11" t="s">
        <v>27</v>
      </c>
      <c r="H1861" s="11" t="s">
        <v>52</v>
      </c>
      <c r="I1861" s="12">
        <v>480.32</v>
      </c>
      <c r="J1861" s="13"/>
      <c r="K1861" s="37">
        <f t="shared" si="105"/>
        <v>480.32</v>
      </c>
      <c r="L1861" s="11" t="s">
        <v>53</v>
      </c>
      <c r="M1861" s="16" t="s">
        <v>999</v>
      </c>
      <c r="N1861" s="11" t="s">
        <v>55</v>
      </c>
      <c r="O1861" s="10" t="str">
        <f t="shared" si="79"/>
        <v>10/2025</v>
      </c>
      <c r="P1861" s="10" t="str">
        <f t="shared" si="81"/>
        <v>10/2025</v>
      </c>
      <c r="Q1861" s="15" t="str">
        <f t="array" ref="Q1861">IFERROR(XLOOKUP(N1861,'Classificação'!A:A,'Classificação'!B:B),"")</f>
        <v>DESPESAS NÃO OPERACIONAIS</v>
      </c>
      <c r="R1861" s="15" t="str">
        <f t="array" ref="R1861">IFERROR(XLOOKUP(Q1861,'Classificação'!B:B,'Classificação'!C:C),"")</f>
        <v>RESULTADO NÃO OPERACIONAL (+/-)</v>
      </c>
      <c r="S1861" s="15">
        <f t="shared" si="91"/>
        <v>10</v>
      </c>
      <c r="T1861" s="15">
        <f t="shared" si="6"/>
        <v>10</v>
      </c>
      <c r="U1861" s="15">
        <f t="shared" si="7"/>
        <v>2025</v>
      </c>
      <c r="V1861" s="15">
        <f t="shared" si="8"/>
        <v>10</v>
      </c>
      <c r="W1861" s="15">
        <f t="shared" si="9"/>
        <v>10</v>
      </c>
      <c r="X1861" s="15">
        <f t="shared" si="10"/>
        <v>2025</v>
      </c>
    </row>
    <row r="1862">
      <c r="A1862" s="9">
        <v>45940.0</v>
      </c>
      <c r="B1862" s="10"/>
      <c r="C1862" s="9">
        <f t="shared" si="90"/>
        <v>45940</v>
      </c>
      <c r="D1862" s="11" t="s">
        <v>56</v>
      </c>
      <c r="E1862" s="11" t="s">
        <v>25</v>
      </c>
      <c r="F1862" s="11" t="s">
        <v>26</v>
      </c>
      <c r="G1862" s="11" t="s">
        <v>37</v>
      </c>
      <c r="H1862" s="11" t="s">
        <v>57</v>
      </c>
      <c r="I1862" s="12">
        <v>50.0</v>
      </c>
      <c r="J1862" s="13"/>
      <c r="K1862" s="37">
        <f t="shared" si="105"/>
        <v>50</v>
      </c>
      <c r="L1862" s="11" t="s">
        <v>29</v>
      </c>
      <c r="M1862" s="14"/>
      <c r="N1862" s="11" t="s">
        <v>58</v>
      </c>
      <c r="O1862" s="10" t="str">
        <f t="shared" si="79"/>
        <v>10/2025</v>
      </c>
      <c r="P1862" s="10" t="str">
        <f t="shared" si="81"/>
        <v>10/2025</v>
      </c>
      <c r="Q1862" s="15" t="str">
        <f t="array" ref="Q1862">IFERROR(XLOOKUP(N1862,'Classificação'!A:A,'Classificação'!B:B),"")</f>
        <v>DESPESAS ADMINISTRATIVAS</v>
      </c>
      <c r="R1862" s="15" t="str">
        <f t="array" ref="R1862">IFERROR(XLOOKUP(Q1862,'Classificação'!B:B,'Classificação'!C:C),"")</f>
        <v>DESPESAS FIXAS (-)</v>
      </c>
      <c r="S1862" s="15">
        <f t="shared" si="91"/>
        <v>10</v>
      </c>
      <c r="T1862" s="15">
        <f t="shared" si="6"/>
        <v>10</v>
      </c>
      <c r="U1862" s="15">
        <f t="shared" si="7"/>
        <v>2025</v>
      </c>
      <c r="V1862" s="15">
        <f t="shared" si="8"/>
        <v>10</v>
      </c>
      <c r="W1862" s="15">
        <f t="shared" si="9"/>
        <v>10</v>
      </c>
      <c r="X1862" s="15">
        <f t="shared" si="10"/>
        <v>2025</v>
      </c>
    </row>
    <row r="1863">
      <c r="A1863" s="9">
        <v>45942.0</v>
      </c>
      <c r="B1863" s="10"/>
      <c r="C1863" s="9">
        <f t="shared" si="90"/>
        <v>45942</v>
      </c>
      <c r="D1863" s="11" t="s">
        <v>65</v>
      </c>
      <c r="E1863" s="11" t="s">
        <v>25</v>
      </c>
      <c r="F1863" s="11" t="s">
        <v>45</v>
      </c>
      <c r="G1863" s="11" t="s">
        <v>66</v>
      </c>
      <c r="H1863" s="11" t="s">
        <v>67</v>
      </c>
      <c r="I1863" s="12">
        <v>216.55</v>
      </c>
      <c r="J1863" s="13"/>
      <c r="K1863" s="13">
        <f t="shared" ref="K1863:K1867" si="106">if(E1863="pago",(I1863-J1863),"")</f>
        <v>216.55</v>
      </c>
      <c r="L1863" s="11" t="s">
        <v>29</v>
      </c>
      <c r="M1863" s="14"/>
      <c r="N1863" s="11" t="s">
        <v>68</v>
      </c>
      <c r="O1863" s="10" t="str">
        <f t="shared" si="79"/>
        <v>10/2025</v>
      </c>
      <c r="P1863" s="10" t="str">
        <f t="shared" si="81"/>
        <v>10/2025</v>
      </c>
      <c r="Q1863" s="15" t="str">
        <f t="array" ref="Q1863">IFERROR(XLOOKUP(N1863,'Classificação'!A:A,'Classificação'!B:B),"")</f>
        <v>FRETE DE VENDAS</v>
      </c>
      <c r="R1863" s="15" t="str">
        <f t="array" ref="R1863">IFERROR(XLOOKUP(Q1863,'Classificação'!B:B,'Classificação'!C:C),"")</f>
        <v>CUSTOS VARIÁVEIS</v>
      </c>
      <c r="S1863" s="15">
        <f t="shared" si="91"/>
        <v>12</v>
      </c>
      <c r="T1863" s="15">
        <f t="shared" si="6"/>
        <v>10</v>
      </c>
      <c r="U1863" s="15">
        <f t="shared" si="7"/>
        <v>2025</v>
      </c>
      <c r="V1863" s="15">
        <f t="shared" si="8"/>
        <v>12</v>
      </c>
      <c r="W1863" s="15">
        <f t="shared" si="9"/>
        <v>10</v>
      </c>
      <c r="X1863" s="15">
        <f t="shared" si="10"/>
        <v>2025</v>
      </c>
    </row>
    <row r="1864">
      <c r="A1864" s="32">
        <v>45943.0</v>
      </c>
      <c r="B1864" s="10"/>
      <c r="C1864" s="9">
        <f t="shared" si="90"/>
        <v>45943</v>
      </c>
      <c r="D1864" s="11" t="s">
        <v>1000</v>
      </c>
      <c r="E1864" s="11" t="s">
        <v>25</v>
      </c>
      <c r="F1864" s="11" t="s">
        <v>26</v>
      </c>
      <c r="G1864" s="11" t="s">
        <v>37</v>
      </c>
      <c r="H1864" s="11" t="s">
        <v>1001</v>
      </c>
      <c r="I1864" s="12">
        <v>100.0</v>
      </c>
      <c r="J1864" s="13"/>
      <c r="K1864" s="13">
        <f t="shared" si="106"/>
        <v>100</v>
      </c>
      <c r="L1864" s="11" t="s">
        <v>34</v>
      </c>
      <c r="M1864" s="14"/>
      <c r="N1864" s="11" t="s">
        <v>58</v>
      </c>
      <c r="O1864" s="10" t="str">
        <f t="shared" si="79"/>
        <v>10/2025</v>
      </c>
      <c r="P1864" s="10" t="str">
        <f t="shared" si="81"/>
        <v>10/2025</v>
      </c>
      <c r="Q1864" s="15" t="str">
        <f t="array" ref="Q1864">IFERROR(XLOOKUP(N1864,'Classificação'!A:A,'Classificação'!B:B),"")</f>
        <v>DESPESAS ADMINISTRATIVAS</v>
      </c>
      <c r="R1864" s="15" t="str">
        <f t="array" ref="R1864">IFERROR(XLOOKUP(Q1864,'Classificação'!B:B,'Classificação'!C:C),"")</f>
        <v>DESPESAS FIXAS (-)</v>
      </c>
      <c r="S1864" s="15">
        <f t="shared" si="91"/>
        <v>13</v>
      </c>
      <c r="T1864" s="15">
        <f t="shared" si="6"/>
        <v>10</v>
      </c>
      <c r="U1864" s="15">
        <f t="shared" si="7"/>
        <v>2025</v>
      </c>
      <c r="V1864" s="15">
        <f t="shared" si="8"/>
        <v>13</v>
      </c>
      <c r="W1864" s="15">
        <f t="shared" si="9"/>
        <v>10</v>
      </c>
      <c r="X1864" s="15">
        <f t="shared" si="10"/>
        <v>2025</v>
      </c>
    </row>
    <row r="1865">
      <c r="A1865" s="32">
        <v>45943.0</v>
      </c>
      <c r="B1865" s="10"/>
      <c r="C1865" s="9">
        <f t="shared" si="90"/>
        <v>45943</v>
      </c>
      <c r="D1865" s="11" t="s">
        <v>1002</v>
      </c>
      <c r="E1865" s="11" t="s">
        <v>25</v>
      </c>
      <c r="F1865" s="11" t="s">
        <v>26</v>
      </c>
      <c r="G1865" s="11" t="s">
        <v>37</v>
      </c>
      <c r="H1865" s="11" t="s">
        <v>1001</v>
      </c>
      <c r="I1865" s="12">
        <v>100.0</v>
      </c>
      <c r="J1865" s="13"/>
      <c r="K1865" s="13">
        <f t="shared" si="106"/>
        <v>100</v>
      </c>
      <c r="L1865" s="11" t="s">
        <v>34</v>
      </c>
      <c r="M1865" s="14"/>
      <c r="N1865" s="11" t="s">
        <v>58</v>
      </c>
      <c r="O1865" s="10" t="str">
        <f t="shared" si="79"/>
        <v>10/2025</v>
      </c>
      <c r="P1865" s="10" t="str">
        <f t="shared" si="81"/>
        <v>10/2025</v>
      </c>
      <c r="Q1865" s="15" t="str">
        <f t="array" ref="Q1865">IFERROR(XLOOKUP(N1865,'Classificação'!A:A,'Classificação'!B:B),"")</f>
        <v>DESPESAS ADMINISTRATIVAS</v>
      </c>
      <c r="R1865" s="15" t="str">
        <f t="array" ref="R1865">IFERROR(XLOOKUP(Q1865,'Classificação'!B:B,'Classificação'!C:C),"")</f>
        <v>DESPESAS FIXAS (-)</v>
      </c>
      <c r="S1865" s="15">
        <f t="shared" si="91"/>
        <v>13</v>
      </c>
      <c r="T1865" s="15">
        <f t="shared" si="6"/>
        <v>10</v>
      </c>
      <c r="U1865" s="15">
        <f t="shared" si="7"/>
        <v>2025</v>
      </c>
      <c r="V1865" s="15">
        <f t="shared" si="8"/>
        <v>13</v>
      </c>
      <c r="W1865" s="15">
        <f t="shared" si="9"/>
        <v>10</v>
      </c>
      <c r="X1865" s="15">
        <f t="shared" si="10"/>
        <v>2025</v>
      </c>
    </row>
    <row r="1866">
      <c r="A1866" s="32">
        <v>45943.0</v>
      </c>
      <c r="B1866" s="10"/>
      <c r="C1866" s="9">
        <f t="shared" si="90"/>
        <v>45943</v>
      </c>
      <c r="D1866" s="11" t="s">
        <v>1003</v>
      </c>
      <c r="E1866" s="11" t="s">
        <v>25</v>
      </c>
      <c r="F1866" s="11" t="s">
        <v>26</v>
      </c>
      <c r="G1866" s="11" t="s">
        <v>37</v>
      </c>
      <c r="H1866" s="11" t="s">
        <v>1001</v>
      </c>
      <c r="I1866" s="12">
        <v>100.0</v>
      </c>
      <c r="J1866" s="13"/>
      <c r="K1866" s="13">
        <f t="shared" si="106"/>
        <v>100</v>
      </c>
      <c r="L1866" s="11" t="s">
        <v>34</v>
      </c>
      <c r="M1866" s="14"/>
      <c r="N1866" s="11" t="s">
        <v>58</v>
      </c>
      <c r="O1866" s="10" t="str">
        <f t="shared" si="79"/>
        <v>10/2025</v>
      </c>
      <c r="P1866" s="10" t="str">
        <f t="shared" si="81"/>
        <v>10/2025</v>
      </c>
      <c r="Q1866" s="15" t="str">
        <f t="array" ref="Q1866">IFERROR(XLOOKUP(N1866,'Classificação'!A:A,'Classificação'!B:B),"")</f>
        <v>DESPESAS ADMINISTRATIVAS</v>
      </c>
      <c r="R1866" s="15" t="str">
        <f t="array" ref="R1866">IFERROR(XLOOKUP(Q1866,'Classificação'!B:B,'Classificação'!C:C),"")</f>
        <v>DESPESAS FIXAS (-)</v>
      </c>
      <c r="S1866" s="15">
        <f t="shared" si="91"/>
        <v>13</v>
      </c>
      <c r="T1866" s="15">
        <f t="shared" si="6"/>
        <v>10</v>
      </c>
      <c r="U1866" s="15">
        <f t="shared" si="7"/>
        <v>2025</v>
      </c>
      <c r="V1866" s="15">
        <f t="shared" si="8"/>
        <v>13</v>
      </c>
      <c r="W1866" s="15">
        <f t="shared" si="9"/>
        <v>10</v>
      </c>
      <c r="X1866" s="15">
        <f t="shared" si="10"/>
        <v>2025</v>
      </c>
    </row>
    <row r="1867">
      <c r="A1867" s="32">
        <v>45943.0</v>
      </c>
      <c r="B1867" s="10"/>
      <c r="C1867" s="9">
        <f t="shared" si="90"/>
        <v>45943</v>
      </c>
      <c r="D1867" s="11" t="s">
        <v>1004</v>
      </c>
      <c r="E1867" s="29" t="s">
        <v>25</v>
      </c>
      <c r="F1867" s="11" t="s">
        <v>26</v>
      </c>
      <c r="G1867" s="11" t="s">
        <v>37</v>
      </c>
      <c r="H1867" s="11" t="s">
        <v>409</v>
      </c>
      <c r="I1867" s="12">
        <v>130.0</v>
      </c>
      <c r="J1867" s="13"/>
      <c r="K1867" s="13">
        <f t="shared" si="106"/>
        <v>130</v>
      </c>
      <c r="L1867" s="11" t="s">
        <v>34</v>
      </c>
      <c r="M1867" s="14"/>
      <c r="N1867" s="11" t="s">
        <v>58</v>
      </c>
      <c r="O1867" s="10" t="str">
        <f t="shared" si="79"/>
        <v>10/2025</v>
      </c>
      <c r="P1867" s="10" t="str">
        <f t="shared" si="81"/>
        <v>10/2025</v>
      </c>
      <c r="Q1867" s="15" t="str">
        <f t="array" ref="Q1867">IFERROR(XLOOKUP(N1867,'Classificação'!A:A,'Classificação'!B:B),"")</f>
        <v>DESPESAS ADMINISTRATIVAS</v>
      </c>
      <c r="R1867" s="15" t="str">
        <f t="array" ref="R1867">IFERROR(XLOOKUP(Q1867,'Classificação'!B:B,'Classificação'!C:C),"")</f>
        <v>DESPESAS FIXAS (-)</v>
      </c>
      <c r="S1867" s="15">
        <f t="shared" si="91"/>
        <v>13</v>
      </c>
      <c r="T1867" s="15">
        <f t="shared" si="6"/>
        <v>10</v>
      </c>
      <c r="U1867" s="15">
        <f t="shared" si="7"/>
        <v>2025</v>
      </c>
      <c r="V1867" s="15">
        <f t="shared" si="8"/>
        <v>13</v>
      </c>
      <c r="W1867" s="15">
        <f t="shared" si="9"/>
        <v>10</v>
      </c>
      <c r="X1867" s="15">
        <f t="shared" si="10"/>
        <v>2025</v>
      </c>
    </row>
    <row r="1868">
      <c r="A1868" s="26">
        <v>45943.0</v>
      </c>
      <c r="B1868" s="30"/>
      <c r="C1868" s="27">
        <f t="shared" si="90"/>
        <v>45943</v>
      </c>
      <c r="D1868" s="28" t="s">
        <v>36</v>
      </c>
      <c r="E1868" s="29" t="s">
        <v>25</v>
      </c>
      <c r="F1868" s="28" t="s">
        <v>32</v>
      </c>
      <c r="G1868" s="29" t="s">
        <v>27</v>
      </c>
      <c r="H1868" s="28"/>
      <c r="I1868" s="33">
        <v>1701.0</v>
      </c>
      <c r="J1868" s="34"/>
      <c r="K1868" s="37">
        <f t="shared" ref="K1868:K1870" si="107">IF(E1868="pago",(I1868-J1868),"")</f>
        <v>1701</v>
      </c>
      <c r="L1868" s="28" t="s">
        <v>29</v>
      </c>
      <c r="M1868" s="28"/>
      <c r="N1868" s="28" t="s">
        <v>38</v>
      </c>
      <c r="O1868" s="10" t="str">
        <f t="shared" si="79"/>
        <v>10/2025</v>
      </c>
      <c r="P1868" s="10" t="str">
        <f t="shared" si="81"/>
        <v>10/2025</v>
      </c>
      <c r="Q1868" s="15" t="str">
        <f t="array" ref="Q1868">IFERROR(XLOOKUP(N1868,'Classificação'!A:A,'Classificação'!B:B),"")</f>
        <v>DESPESAS COM PESSOAL</v>
      </c>
      <c r="R1868" s="15" t="str">
        <f t="array" ref="R1868">IFERROR(XLOOKUP(Q1868,'Classificação'!B:B,'Classificação'!C:C),"")</f>
        <v>DESPESAS FIXAS (-)</v>
      </c>
      <c r="S1868" s="15">
        <f t="shared" si="91"/>
        <v>13</v>
      </c>
      <c r="T1868" s="15">
        <f t="shared" si="6"/>
        <v>10</v>
      </c>
      <c r="U1868" s="15">
        <f t="shared" si="7"/>
        <v>2025</v>
      </c>
      <c r="V1868" s="15">
        <f t="shared" si="8"/>
        <v>13</v>
      </c>
      <c r="W1868" s="15">
        <f t="shared" si="9"/>
        <v>10</v>
      </c>
      <c r="X1868" s="15">
        <f t="shared" si="10"/>
        <v>2025</v>
      </c>
    </row>
    <row r="1869">
      <c r="A1869" s="26">
        <v>45943.0</v>
      </c>
      <c r="B1869" s="30"/>
      <c r="C1869" s="27">
        <f t="shared" si="90"/>
        <v>45943</v>
      </c>
      <c r="D1869" s="28" t="s">
        <v>43</v>
      </c>
      <c r="E1869" s="29" t="s">
        <v>25</v>
      </c>
      <c r="F1869" s="28" t="s">
        <v>32</v>
      </c>
      <c r="G1869" s="29" t="s">
        <v>27</v>
      </c>
      <c r="H1869" s="28"/>
      <c r="I1869" s="33">
        <v>1700.0</v>
      </c>
      <c r="J1869" s="34"/>
      <c r="K1869" s="37">
        <f t="shared" si="107"/>
        <v>1700</v>
      </c>
      <c r="L1869" s="28" t="s">
        <v>29</v>
      </c>
      <c r="M1869" s="28"/>
      <c r="N1869" s="28" t="s">
        <v>38</v>
      </c>
      <c r="O1869" s="10" t="str">
        <f t="shared" si="79"/>
        <v>10/2025</v>
      </c>
      <c r="P1869" s="10" t="str">
        <f t="shared" si="81"/>
        <v>10/2025</v>
      </c>
      <c r="Q1869" s="15" t="str">
        <f t="array" ref="Q1869">IFERROR(XLOOKUP(N1869,'Classificação'!A:A,'Classificação'!B:B),"")</f>
        <v>DESPESAS COM PESSOAL</v>
      </c>
      <c r="R1869" s="15" t="str">
        <f t="array" ref="R1869">IFERROR(XLOOKUP(Q1869,'Classificação'!B:B,'Classificação'!C:C),"")</f>
        <v>DESPESAS FIXAS (-)</v>
      </c>
      <c r="S1869" s="15">
        <f t="shared" si="91"/>
        <v>13</v>
      </c>
      <c r="T1869" s="15">
        <f t="shared" si="6"/>
        <v>10</v>
      </c>
      <c r="U1869" s="15">
        <f t="shared" si="7"/>
        <v>2025</v>
      </c>
      <c r="V1869" s="15">
        <f t="shared" si="8"/>
        <v>13</v>
      </c>
      <c r="W1869" s="15">
        <f t="shared" si="9"/>
        <v>10</v>
      </c>
      <c r="X1869" s="15">
        <f t="shared" si="10"/>
        <v>2025</v>
      </c>
    </row>
    <row r="1870">
      <c r="A1870" s="9">
        <v>45943.0</v>
      </c>
      <c r="B1870" s="9">
        <v>45680.0</v>
      </c>
      <c r="C1870" s="9">
        <f t="shared" si="90"/>
        <v>45943</v>
      </c>
      <c r="D1870" s="11" t="s">
        <v>544</v>
      </c>
      <c r="E1870" s="11" t="s">
        <v>25</v>
      </c>
      <c r="F1870" s="11" t="s">
        <v>26</v>
      </c>
      <c r="G1870" s="11" t="s">
        <v>37</v>
      </c>
      <c r="H1870" s="11" t="s">
        <v>545</v>
      </c>
      <c r="I1870" s="31">
        <v>906.46</v>
      </c>
      <c r="J1870" s="13"/>
      <c r="K1870" s="37">
        <f t="shared" si="107"/>
        <v>906.46</v>
      </c>
      <c r="L1870" s="11" t="s">
        <v>53</v>
      </c>
      <c r="M1870" s="17">
        <v>46000.0</v>
      </c>
      <c r="N1870" s="11" t="s">
        <v>95</v>
      </c>
      <c r="O1870" s="10" t="str">
        <f t="shared" si="79"/>
        <v>10/2025</v>
      </c>
      <c r="P1870" s="10" t="str">
        <f t="shared" si="81"/>
        <v>10/2025</v>
      </c>
      <c r="Q1870" s="15" t="str">
        <f t="array" ref="Q1870">IFERROR(XLOOKUP(N1870,'Classificação'!A:A,'Classificação'!B:B),"")</f>
        <v>DESPESAS NÃO OPERACIONAIS</v>
      </c>
      <c r="R1870" s="15" t="str">
        <f t="array" ref="R1870">IFERROR(XLOOKUP(Q1870,'Classificação'!B:B,'Classificação'!C:C),"")</f>
        <v>RESULTADO NÃO OPERACIONAL (+/-)</v>
      </c>
      <c r="S1870" s="15">
        <f t="shared" si="91"/>
        <v>13</v>
      </c>
      <c r="T1870" s="15">
        <f t="shared" si="6"/>
        <v>10</v>
      </c>
      <c r="U1870" s="15">
        <f t="shared" si="7"/>
        <v>2025</v>
      </c>
      <c r="V1870" s="15">
        <f t="shared" si="8"/>
        <v>13</v>
      </c>
      <c r="W1870" s="15">
        <f t="shared" si="9"/>
        <v>10</v>
      </c>
      <c r="X1870" s="15">
        <f t="shared" si="10"/>
        <v>2025</v>
      </c>
    </row>
    <row r="1871">
      <c r="A1871" s="9">
        <v>45944.0</v>
      </c>
      <c r="B1871" s="10"/>
      <c r="C1871" s="9">
        <f t="shared" si="90"/>
        <v>45944</v>
      </c>
      <c r="D1871" s="11" t="s">
        <v>44</v>
      </c>
      <c r="E1871" s="11" t="s">
        <v>25</v>
      </c>
      <c r="F1871" s="11" t="s">
        <v>45</v>
      </c>
      <c r="G1871" s="11" t="s">
        <v>27</v>
      </c>
      <c r="H1871" s="11" t="s">
        <v>476</v>
      </c>
      <c r="I1871" s="31">
        <v>5228.08</v>
      </c>
      <c r="J1871" s="13"/>
      <c r="K1871" s="13">
        <f t="shared" ref="K1871:K1877" si="108">if(E1871="pago",(I1871-J1871),"")</f>
        <v>5228.08</v>
      </c>
      <c r="L1871" s="11" t="s">
        <v>53</v>
      </c>
      <c r="M1871" s="16" t="s">
        <v>234</v>
      </c>
      <c r="N1871" s="11" t="s">
        <v>73</v>
      </c>
      <c r="O1871" s="10" t="str">
        <f t="shared" si="79"/>
        <v>10/2025</v>
      </c>
      <c r="P1871" s="10" t="str">
        <f t="shared" si="81"/>
        <v>10/2025</v>
      </c>
      <c r="Q1871" s="15" t="str">
        <f t="array" ref="Q1871">IFERROR(XLOOKUP(N1871,'Classificação'!A:A,'Classificação'!B:B),"")</f>
        <v>DESPESAS NÃO OPERACIONAIS</v>
      </c>
      <c r="R1871" s="15" t="str">
        <f t="array" ref="R1871">IFERROR(XLOOKUP(Q1871,'Classificação'!B:B,'Classificação'!C:C),"")</f>
        <v>RESULTADO NÃO OPERACIONAL (+/-)</v>
      </c>
      <c r="S1871" s="15">
        <f t="shared" si="91"/>
        <v>14</v>
      </c>
      <c r="T1871" s="15">
        <f t="shared" si="6"/>
        <v>10</v>
      </c>
      <c r="U1871" s="15">
        <f t="shared" si="7"/>
        <v>2025</v>
      </c>
      <c r="V1871" s="15">
        <f t="shared" si="8"/>
        <v>14</v>
      </c>
      <c r="W1871" s="15">
        <f t="shared" si="9"/>
        <v>10</v>
      </c>
      <c r="X1871" s="15">
        <f t="shared" si="10"/>
        <v>2025</v>
      </c>
    </row>
    <row r="1872">
      <c r="A1872" s="32">
        <v>45944.0</v>
      </c>
      <c r="B1872" s="10"/>
      <c r="C1872" s="9">
        <f t="shared" si="90"/>
        <v>45944</v>
      </c>
      <c r="D1872" s="11" t="s">
        <v>1005</v>
      </c>
      <c r="E1872" s="29" t="s">
        <v>25</v>
      </c>
      <c r="F1872" s="11" t="s">
        <v>26</v>
      </c>
      <c r="G1872" s="11" t="s">
        <v>37</v>
      </c>
      <c r="H1872" s="11" t="s">
        <v>1006</v>
      </c>
      <c r="I1872" s="31">
        <v>130.0</v>
      </c>
      <c r="J1872" s="13"/>
      <c r="K1872" s="13">
        <f t="shared" si="108"/>
        <v>130</v>
      </c>
      <c r="L1872" s="11" t="s">
        <v>34</v>
      </c>
      <c r="M1872" s="14"/>
      <c r="N1872" s="11" t="s">
        <v>58</v>
      </c>
      <c r="O1872" s="10" t="str">
        <f t="shared" si="79"/>
        <v>10/2025</v>
      </c>
      <c r="P1872" s="10" t="str">
        <f t="shared" si="81"/>
        <v>10/2025</v>
      </c>
      <c r="Q1872" s="15" t="str">
        <f t="array" ref="Q1872">IFERROR(XLOOKUP(N1872,'Classificação'!A:A,'Classificação'!B:B),"")</f>
        <v>DESPESAS ADMINISTRATIVAS</v>
      </c>
      <c r="R1872" s="15" t="str">
        <f t="array" ref="R1872">IFERROR(XLOOKUP(Q1872,'Classificação'!B:B,'Classificação'!C:C),"")</f>
        <v>DESPESAS FIXAS (-)</v>
      </c>
      <c r="S1872" s="15">
        <f t="shared" si="91"/>
        <v>14</v>
      </c>
      <c r="T1872" s="15">
        <f t="shared" si="6"/>
        <v>10</v>
      </c>
      <c r="U1872" s="15">
        <f t="shared" si="7"/>
        <v>2025</v>
      </c>
      <c r="V1872" s="15">
        <f t="shared" si="8"/>
        <v>14</v>
      </c>
      <c r="W1872" s="15">
        <f t="shared" si="9"/>
        <v>10</v>
      </c>
      <c r="X1872" s="15">
        <f t="shared" si="10"/>
        <v>2025</v>
      </c>
    </row>
    <row r="1873">
      <c r="A1873" s="32">
        <v>45944.0</v>
      </c>
      <c r="B1873" s="10"/>
      <c r="C1873" s="9">
        <f t="shared" si="90"/>
        <v>45944</v>
      </c>
      <c r="D1873" s="11" t="s">
        <v>1007</v>
      </c>
      <c r="E1873" s="29" t="s">
        <v>25</v>
      </c>
      <c r="F1873" s="11" t="s">
        <v>26</v>
      </c>
      <c r="G1873" s="11" t="s">
        <v>37</v>
      </c>
      <c r="H1873" s="11" t="s">
        <v>1006</v>
      </c>
      <c r="I1873" s="31">
        <v>130.0</v>
      </c>
      <c r="J1873" s="13"/>
      <c r="K1873" s="13">
        <f t="shared" si="108"/>
        <v>130</v>
      </c>
      <c r="L1873" s="11" t="s">
        <v>34</v>
      </c>
      <c r="M1873" s="14"/>
      <c r="N1873" s="11" t="s">
        <v>58</v>
      </c>
      <c r="O1873" s="10" t="str">
        <f t="shared" si="79"/>
        <v>10/2025</v>
      </c>
      <c r="P1873" s="10" t="str">
        <f t="shared" si="81"/>
        <v>10/2025</v>
      </c>
      <c r="Q1873" s="15" t="str">
        <f t="array" ref="Q1873">IFERROR(XLOOKUP(N1873,'Classificação'!A:A,'Classificação'!B:B),"")</f>
        <v>DESPESAS ADMINISTRATIVAS</v>
      </c>
      <c r="R1873" s="15" t="str">
        <f t="array" ref="R1873">IFERROR(XLOOKUP(Q1873,'Classificação'!B:B,'Classificação'!C:C),"")</f>
        <v>DESPESAS FIXAS (-)</v>
      </c>
      <c r="S1873" s="15">
        <f t="shared" si="91"/>
        <v>14</v>
      </c>
      <c r="T1873" s="15">
        <f t="shared" si="6"/>
        <v>10</v>
      </c>
      <c r="U1873" s="15">
        <f t="shared" si="7"/>
        <v>2025</v>
      </c>
      <c r="V1873" s="15">
        <f t="shared" si="8"/>
        <v>14</v>
      </c>
      <c r="W1873" s="15">
        <f t="shared" si="9"/>
        <v>10</v>
      </c>
      <c r="X1873" s="15">
        <f t="shared" si="10"/>
        <v>2025</v>
      </c>
    </row>
    <row r="1874">
      <c r="A1874" s="9">
        <v>45945.0</v>
      </c>
      <c r="B1874" s="10"/>
      <c r="C1874" s="9">
        <f t="shared" si="90"/>
        <v>45945</v>
      </c>
      <c r="D1874" s="11" t="s">
        <v>79</v>
      </c>
      <c r="E1874" s="11" t="s">
        <v>25</v>
      </c>
      <c r="F1874" s="11" t="s">
        <v>26</v>
      </c>
      <c r="G1874" s="11" t="s">
        <v>37</v>
      </c>
      <c r="I1874" s="31">
        <v>500.0</v>
      </c>
      <c r="J1874" s="13"/>
      <c r="K1874" s="13">
        <f t="shared" si="108"/>
        <v>500</v>
      </c>
      <c r="L1874" s="11" t="s">
        <v>29</v>
      </c>
      <c r="M1874" s="14"/>
      <c r="N1874" s="11" t="s">
        <v>38</v>
      </c>
      <c r="O1874" s="10" t="str">
        <f t="shared" si="79"/>
        <v>10/2025</v>
      </c>
      <c r="P1874" s="10" t="str">
        <f t="shared" si="81"/>
        <v>10/2025</v>
      </c>
      <c r="Q1874" s="15" t="str">
        <f t="array" ref="Q1874">IFERROR(XLOOKUP(N1874,'Classificação'!A:A,'Classificação'!B:B),"")</f>
        <v>DESPESAS COM PESSOAL</v>
      </c>
      <c r="R1874" s="15" t="str">
        <f t="array" ref="R1874">IFERROR(XLOOKUP(Q1874,'Classificação'!B:B,'Classificação'!C:C),"")</f>
        <v>DESPESAS FIXAS (-)</v>
      </c>
      <c r="S1874" s="15">
        <f t="shared" si="91"/>
        <v>15</v>
      </c>
      <c r="T1874" s="15">
        <f t="shared" si="6"/>
        <v>10</v>
      </c>
      <c r="U1874" s="15">
        <f t="shared" si="7"/>
        <v>2025</v>
      </c>
      <c r="V1874" s="15">
        <f t="shared" si="8"/>
        <v>15</v>
      </c>
      <c r="W1874" s="15">
        <f t="shared" si="9"/>
        <v>10</v>
      </c>
      <c r="X1874" s="15">
        <f t="shared" si="10"/>
        <v>2025</v>
      </c>
    </row>
    <row r="1875">
      <c r="A1875" s="9">
        <v>45945.0</v>
      </c>
      <c r="B1875" s="10"/>
      <c r="C1875" s="9">
        <f t="shared" si="90"/>
        <v>45945</v>
      </c>
      <c r="D1875" s="11" t="s">
        <v>80</v>
      </c>
      <c r="E1875" s="11" t="s">
        <v>25</v>
      </c>
      <c r="F1875" s="11" t="s">
        <v>32</v>
      </c>
      <c r="G1875" s="11" t="s">
        <v>27</v>
      </c>
      <c r="I1875" s="31">
        <v>780.0</v>
      </c>
      <c r="J1875" s="13"/>
      <c r="K1875" s="13">
        <f t="shared" si="108"/>
        <v>780</v>
      </c>
      <c r="L1875" s="11" t="s">
        <v>29</v>
      </c>
      <c r="M1875" s="14"/>
      <c r="N1875" s="11" t="s">
        <v>75</v>
      </c>
      <c r="O1875" s="10" t="str">
        <f t="shared" si="79"/>
        <v>10/2025</v>
      </c>
      <c r="P1875" s="10" t="str">
        <f t="shared" si="81"/>
        <v>10/2025</v>
      </c>
      <c r="Q1875" s="15" t="str">
        <f t="array" ref="Q1875">IFERROR(XLOOKUP(N1875,'Classificação'!A:A,'Classificação'!B:B),"")</f>
        <v>DESPESAS COM PESSOAL</v>
      </c>
      <c r="R1875" s="15" t="str">
        <f t="array" ref="R1875">IFERROR(XLOOKUP(Q1875,'Classificação'!B:B,'Classificação'!C:C),"")</f>
        <v>DESPESAS FIXAS (-)</v>
      </c>
      <c r="S1875" s="15">
        <f t="shared" si="91"/>
        <v>15</v>
      </c>
      <c r="T1875" s="15">
        <f t="shared" si="6"/>
        <v>10</v>
      </c>
      <c r="U1875" s="15">
        <f t="shared" si="7"/>
        <v>2025</v>
      </c>
      <c r="V1875" s="15">
        <f t="shared" si="8"/>
        <v>15</v>
      </c>
      <c r="W1875" s="15">
        <f t="shared" si="9"/>
        <v>10</v>
      </c>
      <c r="X1875" s="15">
        <f t="shared" si="10"/>
        <v>2025</v>
      </c>
    </row>
    <row r="1876">
      <c r="A1876" s="9">
        <v>45945.0</v>
      </c>
      <c r="B1876" s="10"/>
      <c r="C1876" s="9">
        <f t="shared" si="90"/>
        <v>45945</v>
      </c>
      <c r="D1876" s="11" t="s">
        <v>83</v>
      </c>
      <c r="E1876" s="11" t="s">
        <v>25</v>
      </c>
      <c r="F1876" s="11" t="s">
        <v>32</v>
      </c>
      <c r="G1876" s="11" t="s">
        <v>27</v>
      </c>
      <c r="I1876" s="31">
        <v>800.0</v>
      </c>
      <c r="J1876" s="13"/>
      <c r="K1876" s="13">
        <f t="shared" si="108"/>
        <v>800</v>
      </c>
      <c r="L1876" s="11" t="s">
        <v>29</v>
      </c>
      <c r="M1876" s="14"/>
      <c r="N1876" s="11" t="s">
        <v>75</v>
      </c>
      <c r="O1876" s="10" t="str">
        <f t="shared" si="79"/>
        <v>10/2025</v>
      </c>
      <c r="P1876" s="10" t="str">
        <f t="shared" si="81"/>
        <v>10/2025</v>
      </c>
      <c r="Q1876" s="15" t="str">
        <f t="array" ref="Q1876">IFERROR(XLOOKUP(N1876,'Classificação'!A:A,'Classificação'!B:B),"")</f>
        <v>DESPESAS COM PESSOAL</v>
      </c>
      <c r="R1876" s="15" t="str">
        <f t="array" ref="R1876">IFERROR(XLOOKUP(Q1876,'Classificação'!B:B,'Classificação'!C:C),"")</f>
        <v>DESPESAS FIXAS (-)</v>
      </c>
      <c r="S1876" s="15">
        <f t="shared" si="91"/>
        <v>15</v>
      </c>
      <c r="T1876" s="15">
        <f t="shared" si="6"/>
        <v>10</v>
      </c>
      <c r="U1876" s="15">
        <f t="shared" si="7"/>
        <v>2025</v>
      </c>
      <c r="V1876" s="15">
        <f t="shared" si="8"/>
        <v>15</v>
      </c>
      <c r="W1876" s="15">
        <f t="shared" si="9"/>
        <v>10</v>
      </c>
      <c r="X1876" s="15">
        <f t="shared" si="10"/>
        <v>2025</v>
      </c>
    </row>
    <row r="1877">
      <c r="A1877" s="32">
        <v>45945.0</v>
      </c>
      <c r="B1877" s="10"/>
      <c r="C1877" s="9">
        <f t="shared" si="90"/>
        <v>45945</v>
      </c>
      <c r="D1877" s="11" t="s">
        <v>1008</v>
      </c>
      <c r="E1877" s="11" t="s">
        <v>25</v>
      </c>
      <c r="F1877" s="11" t="s">
        <v>26</v>
      </c>
      <c r="G1877" s="11" t="s">
        <v>37</v>
      </c>
      <c r="H1877" s="11" t="s">
        <v>1009</v>
      </c>
      <c r="I1877" s="12">
        <v>260.0</v>
      </c>
      <c r="J1877" s="13"/>
      <c r="K1877" s="13">
        <f t="shared" si="108"/>
        <v>260</v>
      </c>
      <c r="L1877" s="11" t="s">
        <v>34</v>
      </c>
      <c r="M1877" s="14"/>
      <c r="N1877" s="11" t="s">
        <v>58</v>
      </c>
      <c r="O1877" s="10" t="str">
        <f t="shared" si="79"/>
        <v>10/2025</v>
      </c>
      <c r="P1877" s="10" t="str">
        <f t="shared" si="81"/>
        <v>10/2025</v>
      </c>
      <c r="Q1877" s="15" t="str">
        <f t="array" ref="Q1877">IFERROR(XLOOKUP(N1877,'Classificação'!A:A,'Classificação'!B:B),"")</f>
        <v>DESPESAS ADMINISTRATIVAS</v>
      </c>
      <c r="R1877" s="15" t="str">
        <f t="array" ref="R1877">IFERROR(XLOOKUP(Q1877,'Classificação'!B:B,'Classificação'!C:C),"")</f>
        <v>DESPESAS FIXAS (-)</v>
      </c>
      <c r="S1877" s="15">
        <f t="shared" si="91"/>
        <v>15</v>
      </c>
      <c r="T1877" s="15">
        <f t="shared" si="6"/>
        <v>10</v>
      </c>
      <c r="U1877" s="15">
        <f t="shared" si="7"/>
        <v>2025</v>
      </c>
      <c r="V1877" s="15">
        <f t="shared" si="8"/>
        <v>15</v>
      </c>
      <c r="W1877" s="15">
        <f t="shared" si="9"/>
        <v>10</v>
      </c>
      <c r="X1877" s="15">
        <f t="shared" si="10"/>
        <v>2025</v>
      </c>
    </row>
    <row r="1878">
      <c r="A1878" s="39">
        <v>45945.0</v>
      </c>
      <c r="B1878" s="30"/>
      <c r="C1878" s="27">
        <f t="shared" si="90"/>
        <v>45945</v>
      </c>
      <c r="D1878" s="29" t="s">
        <v>1005</v>
      </c>
      <c r="E1878" s="28" t="s">
        <v>25</v>
      </c>
      <c r="F1878" s="28" t="s">
        <v>26</v>
      </c>
      <c r="G1878" s="28" t="s">
        <v>37</v>
      </c>
      <c r="H1878" s="29" t="s">
        <v>409</v>
      </c>
      <c r="I1878" s="24">
        <v>130.0</v>
      </c>
      <c r="J1878" s="34"/>
      <c r="K1878" s="37">
        <f>IF(E1878="pago",(I1878-J1878),"")</f>
        <v>130</v>
      </c>
      <c r="L1878" s="28" t="s">
        <v>34</v>
      </c>
      <c r="M1878" s="28"/>
      <c r="N1878" s="28" t="s">
        <v>58</v>
      </c>
      <c r="O1878" s="10" t="str">
        <f t="shared" si="79"/>
        <v>10/2025</v>
      </c>
      <c r="P1878" s="10" t="str">
        <f t="shared" si="81"/>
        <v>10/2025</v>
      </c>
      <c r="Q1878" s="15" t="str">
        <f t="array" ref="Q1878">IFERROR(XLOOKUP(N1878,'Classificação'!A:A,'Classificação'!B:B),"")</f>
        <v>DESPESAS ADMINISTRATIVAS</v>
      </c>
      <c r="R1878" s="15" t="str">
        <f t="array" ref="R1878">IFERROR(XLOOKUP(Q1878,'Classificação'!B:B,'Classificação'!C:C),"")</f>
        <v>DESPESAS FIXAS (-)</v>
      </c>
      <c r="S1878" s="15">
        <f t="shared" si="91"/>
        <v>15</v>
      </c>
      <c r="T1878" s="15">
        <f t="shared" si="6"/>
        <v>10</v>
      </c>
      <c r="U1878" s="15">
        <f t="shared" si="7"/>
        <v>2025</v>
      </c>
      <c r="V1878" s="15">
        <f t="shared" si="8"/>
        <v>15</v>
      </c>
      <c r="W1878" s="15">
        <f t="shared" si="9"/>
        <v>10</v>
      </c>
      <c r="X1878" s="15">
        <f t="shared" si="10"/>
        <v>2025</v>
      </c>
    </row>
    <row r="1879">
      <c r="A1879" s="32">
        <v>45945.0</v>
      </c>
      <c r="B1879" s="10"/>
      <c r="C1879" s="9">
        <f t="shared" si="90"/>
        <v>45945</v>
      </c>
      <c r="D1879" s="28" t="s">
        <v>44</v>
      </c>
      <c r="E1879" s="29" t="s">
        <v>25</v>
      </c>
      <c r="F1879" s="11" t="s">
        <v>45</v>
      </c>
      <c r="G1879" s="28" t="s">
        <v>27</v>
      </c>
      <c r="H1879" s="11" t="s">
        <v>1010</v>
      </c>
      <c r="I1879" s="12">
        <v>88.51</v>
      </c>
      <c r="J1879" s="13"/>
      <c r="K1879" s="13">
        <f t="shared" ref="K1879:K1931" si="109">if(E1879="pago",(I1879-J1879),"")</f>
        <v>88.51</v>
      </c>
      <c r="L1879" s="11" t="s">
        <v>34</v>
      </c>
      <c r="M1879" s="14"/>
      <c r="N1879" s="11" t="s">
        <v>47</v>
      </c>
      <c r="O1879" s="10" t="str">
        <f t="shared" si="79"/>
        <v>10/2025</v>
      </c>
      <c r="P1879" s="10" t="str">
        <f t="shared" si="81"/>
        <v>10/2025</v>
      </c>
      <c r="Q1879" s="15" t="str">
        <f t="array" ref="Q1879">IFERROR(XLOOKUP(N1879,'Classificação'!A:A,'Classificação'!B:B),"")</f>
        <v>DESPESAS NÃO OPERACIONAIS</v>
      </c>
      <c r="R1879" s="15" t="str">
        <f t="array" ref="R1879">IFERROR(XLOOKUP(Q1879,'Classificação'!B:B,'Classificação'!C:C),"")</f>
        <v>RESULTADO NÃO OPERACIONAL (+/-)</v>
      </c>
      <c r="S1879" s="15">
        <f t="shared" si="91"/>
        <v>15</v>
      </c>
      <c r="T1879" s="15">
        <f t="shared" si="6"/>
        <v>10</v>
      </c>
      <c r="U1879" s="15">
        <f t="shared" si="7"/>
        <v>2025</v>
      </c>
      <c r="V1879" s="15">
        <f t="shared" si="8"/>
        <v>15</v>
      </c>
      <c r="W1879" s="15">
        <f t="shared" si="9"/>
        <v>10</v>
      </c>
      <c r="X1879" s="15">
        <f t="shared" si="10"/>
        <v>2025</v>
      </c>
    </row>
    <row r="1880">
      <c r="A1880" s="32">
        <v>45946.0</v>
      </c>
      <c r="B1880" s="10"/>
      <c r="C1880" s="9">
        <f t="shared" si="90"/>
        <v>45946</v>
      </c>
      <c r="D1880" s="11" t="s">
        <v>1005</v>
      </c>
      <c r="E1880" s="29" t="s">
        <v>25</v>
      </c>
      <c r="F1880" s="11" t="s">
        <v>26</v>
      </c>
      <c r="G1880" s="11" t="s">
        <v>37</v>
      </c>
      <c r="H1880" s="11" t="s">
        <v>1011</v>
      </c>
      <c r="I1880" s="12">
        <v>130.0</v>
      </c>
      <c r="J1880" s="13"/>
      <c r="K1880" s="13">
        <f t="shared" si="109"/>
        <v>130</v>
      </c>
      <c r="L1880" s="11" t="s">
        <v>34</v>
      </c>
      <c r="M1880" s="14"/>
      <c r="N1880" s="11" t="s">
        <v>58</v>
      </c>
      <c r="O1880" s="10" t="str">
        <f t="shared" si="79"/>
        <v>10/2025</v>
      </c>
      <c r="P1880" s="10" t="str">
        <f t="shared" si="81"/>
        <v>10/2025</v>
      </c>
      <c r="Q1880" s="15" t="str">
        <f t="array" ref="Q1880">IFERROR(XLOOKUP(N1880,'Classificação'!A:A,'Classificação'!B:B),"")</f>
        <v>DESPESAS ADMINISTRATIVAS</v>
      </c>
      <c r="R1880" s="15" t="str">
        <f t="array" ref="R1880">IFERROR(XLOOKUP(Q1880,'Classificação'!B:B,'Classificação'!C:C),"")</f>
        <v>DESPESAS FIXAS (-)</v>
      </c>
      <c r="S1880" s="15">
        <f t="shared" si="91"/>
        <v>16</v>
      </c>
      <c r="T1880" s="15">
        <f t="shared" si="6"/>
        <v>10</v>
      </c>
      <c r="U1880" s="15">
        <f t="shared" si="7"/>
        <v>2025</v>
      </c>
      <c r="V1880" s="15">
        <f t="shared" si="8"/>
        <v>16</v>
      </c>
      <c r="W1880" s="15">
        <f t="shared" si="9"/>
        <v>10</v>
      </c>
      <c r="X1880" s="15">
        <f t="shared" si="10"/>
        <v>2025</v>
      </c>
    </row>
    <row r="1881">
      <c r="A1881" s="32">
        <v>45948.0</v>
      </c>
      <c r="B1881" s="10"/>
      <c r="C1881" s="9">
        <f t="shared" si="90"/>
        <v>45948</v>
      </c>
      <c r="D1881" s="11" t="s">
        <v>1005</v>
      </c>
      <c r="E1881" s="29" t="s">
        <v>25</v>
      </c>
      <c r="F1881" s="11" t="s">
        <v>26</v>
      </c>
      <c r="G1881" s="11" t="s">
        <v>37</v>
      </c>
      <c r="H1881" s="11" t="s">
        <v>1012</v>
      </c>
      <c r="I1881" s="12">
        <v>130.0</v>
      </c>
      <c r="J1881" s="13"/>
      <c r="K1881" s="13">
        <f t="shared" si="109"/>
        <v>130</v>
      </c>
      <c r="L1881" s="11" t="s">
        <v>34</v>
      </c>
      <c r="M1881" s="14"/>
      <c r="N1881" s="11" t="s">
        <v>58</v>
      </c>
      <c r="O1881" s="10" t="str">
        <f t="shared" si="79"/>
        <v>10/2025</v>
      </c>
      <c r="P1881" s="10" t="str">
        <f t="shared" si="81"/>
        <v>10/2025</v>
      </c>
      <c r="Q1881" s="15" t="str">
        <f t="array" ref="Q1881">IFERROR(XLOOKUP(N1881,'Classificação'!A:A,'Classificação'!B:B),"")</f>
        <v>DESPESAS ADMINISTRATIVAS</v>
      </c>
      <c r="R1881" s="15" t="str">
        <f t="array" ref="R1881">IFERROR(XLOOKUP(Q1881,'Classificação'!B:B,'Classificação'!C:C),"")</f>
        <v>DESPESAS FIXAS (-)</v>
      </c>
      <c r="S1881" s="15">
        <f t="shared" si="91"/>
        <v>18</v>
      </c>
      <c r="T1881" s="15">
        <f t="shared" si="6"/>
        <v>10</v>
      </c>
      <c r="U1881" s="15">
        <f t="shared" si="7"/>
        <v>2025</v>
      </c>
      <c r="V1881" s="15">
        <f t="shared" si="8"/>
        <v>18</v>
      </c>
      <c r="W1881" s="15">
        <f t="shared" si="9"/>
        <v>10</v>
      </c>
      <c r="X1881" s="15">
        <f t="shared" si="10"/>
        <v>2025</v>
      </c>
    </row>
    <row r="1882">
      <c r="A1882" s="9">
        <v>45950.0</v>
      </c>
      <c r="B1882" s="10"/>
      <c r="C1882" s="9">
        <f t="shared" si="90"/>
        <v>45950</v>
      </c>
      <c r="D1882" s="11" t="s">
        <v>90</v>
      </c>
      <c r="E1882" s="11" t="s">
        <v>25</v>
      </c>
      <c r="F1882" s="11" t="s">
        <v>40</v>
      </c>
      <c r="G1882" s="11" t="s">
        <v>27</v>
      </c>
      <c r="H1882" s="11" t="s">
        <v>1013</v>
      </c>
      <c r="I1882" s="31">
        <v>480.39</v>
      </c>
      <c r="J1882" s="13"/>
      <c r="K1882" s="13">
        <f t="shared" si="109"/>
        <v>480.39</v>
      </c>
      <c r="L1882" s="11" t="s">
        <v>29</v>
      </c>
      <c r="M1882" s="14"/>
      <c r="N1882" s="11" t="s">
        <v>92</v>
      </c>
      <c r="O1882" s="10" t="str">
        <f t="shared" si="79"/>
        <v>10/2025</v>
      </c>
      <c r="P1882" s="10" t="str">
        <f t="shared" si="81"/>
        <v>10/2025</v>
      </c>
      <c r="Q1882" s="15" t="str">
        <f t="array" ref="Q1882">IFERROR(XLOOKUP(N1882,'Classificação'!A:A,'Classificação'!B:B),"")</f>
        <v>DESPESAS COM OCUPAÇÃO</v>
      </c>
      <c r="R1882" s="15" t="str">
        <f t="array" ref="R1882">IFERROR(XLOOKUP(Q1882,'Classificação'!B:B,'Classificação'!C:C),"")</f>
        <v>DESPESAS FIXAS (-)</v>
      </c>
      <c r="S1882" s="15">
        <f t="shared" si="91"/>
        <v>20</v>
      </c>
      <c r="T1882" s="15">
        <f t="shared" si="6"/>
        <v>10</v>
      </c>
      <c r="U1882" s="15">
        <f t="shared" si="7"/>
        <v>2025</v>
      </c>
      <c r="V1882" s="15">
        <f t="shared" si="8"/>
        <v>20</v>
      </c>
      <c r="W1882" s="15">
        <f t="shared" si="9"/>
        <v>10</v>
      </c>
      <c r="X1882" s="15">
        <f t="shared" si="10"/>
        <v>2025</v>
      </c>
    </row>
    <row r="1883">
      <c r="A1883" s="9">
        <v>45950.0</v>
      </c>
      <c r="B1883" s="10"/>
      <c r="C1883" s="9">
        <f t="shared" si="90"/>
        <v>45950</v>
      </c>
      <c r="D1883" s="11" t="s">
        <v>65</v>
      </c>
      <c r="E1883" s="11" t="s">
        <v>25</v>
      </c>
      <c r="F1883" s="11" t="s">
        <v>45</v>
      </c>
      <c r="G1883" s="11" t="s">
        <v>37</v>
      </c>
      <c r="H1883" s="11" t="s">
        <v>103</v>
      </c>
      <c r="I1883" s="31">
        <v>520.56</v>
      </c>
      <c r="J1883" s="13"/>
      <c r="K1883" s="13">
        <f t="shared" si="109"/>
        <v>520.56</v>
      </c>
      <c r="L1883" s="11" t="s">
        <v>29</v>
      </c>
      <c r="M1883" s="14"/>
      <c r="N1883" s="11" t="s">
        <v>68</v>
      </c>
      <c r="O1883" s="10" t="str">
        <f t="shared" si="79"/>
        <v>10/2025</v>
      </c>
      <c r="P1883" s="10" t="str">
        <f t="shared" si="81"/>
        <v>10/2025</v>
      </c>
      <c r="Q1883" s="15" t="str">
        <f t="array" ref="Q1883">IFERROR(XLOOKUP(N1883,'Classificação'!A:A,'Classificação'!B:B),"")</f>
        <v>FRETE DE VENDAS</v>
      </c>
      <c r="R1883" s="15" t="str">
        <f t="array" ref="R1883">IFERROR(XLOOKUP(Q1883,'Classificação'!B:B,'Classificação'!C:C),"")</f>
        <v>CUSTOS VARIÁVEIS</v>
      </c>
      <c r="S1883" s="15">
        <f t="shared" si="91"/>
        <v>20</v>
      </c>
      <c r="T1883" s="15">
        <f t="shared" si="6"/>
        <v>10</v>
      </c>
      <c r="U1883" s="15">
        <f t="shared" si="7"/>
        <v>2025</v>
      </c>
      <c r="V1883" s="15">
        <f t="shared" si="8"/>
        <v>20</v>
      </c>
      <c r="W1883" s="15">
        <f t="shared" si="9"/>
        <v>10</v>
      </c>
      <c r="X1883" s="15">
        <f t="shared" si="10"/>
        <v>2025</v>
      </c>
    </row>
    <row r="1884">
      <c r="A1884" s="9">
        <v>45950.0</v>
      </c>
      <c r="B1884" s="10"/>
      <c r="C1884" s="9">
        <f t="shared" si="90"/>
        <v>45950</v>
      </c>
      <c r="D1884" s="11" t="s">
        <v>44</v>
      </c>
      <c r="E1884" s="11" t="s">
        <v>25</v>
      </c>
      <c r="F1884" s="11" t="s">
        <v>45</v>
      </c>
      <c r="G1884" s="11" t="s">
        <v>27</v>
      </c>
      <c r="H1884" s="11" t="s">
        <v>703</v>
      </c>
      <c r="I1884" s="31">
        <v>3134.69</v>
      </c>
      <c r="J1884" s="13"/>
      <c r="K1884" s="13">
        <f t="shared" si="109"/>
        <v>3134.69</v>
      </c>
      <c r="L1884" s="11" t="s">
        <v>53</v>
      </c>
      <c r="M1884" s="16" t="s">
        <v>1014</v>
      </c>
      <c r="N1884" s="11" t="s">
        <v>73</v>
      </c>
      <c r="O1884" s="10" t="str">
        <f t="shared" si="79"/>
        <v>10/2025</v>
      </c>
      <c r="P1884" s="10" t="str">
        <f t="shared" si="81"/>
        <v>10/2025</v>
      </c>
      <c r="Q1884" s="15" t="str">
        <f t="array" ref="Q1884">IFERROR(XLOOKUP(N1884,'Classificação'!A:A,'Classificação'!B:B),"")</f>
        <v>DESPESAS NÃO OPERACIONAIS</v>
      </c>
      <c r="R1884" s="15" t="str">
        <f t="array" ref="R1884">IFERROR(XLOOKUP(Q1884,'Classificação'!B:B,'Classificação'!C:C),"")</f>
        <v>RESULTADO NÃO OPERACIONAL (+/-)</v>
      </c>
      <c r="S1884" s="15">
        <f t="shared" si="91"/>
        <v>20</v>
      </c>
      <c r="T1884" s="15">
        <f t="shared" si="6"/>
        <v>10</v>
      </c>
      <c r="U1884" s="15">
        <f t="shared" si="7"/>
        <v>2025</v>
      </c>
      <c r="V1884" s="15">
        <f t="shared" si="8"/>
        <v>20</v>
      </c>
      <c r="W1884" s="15">
        <f t="shared" si="9"/>
        <v>10</v>
      </c>
      <c r="X1884" s="15">
        <f t="shared" si="10"/>
        <v>2025</v>
      </c>
    </row>
    <row r="1885">
      <c r="A1885" s="9">
        <v>45950.0</v>
      </c>
      <c r="B1885" s="9">
        <v>45814.0</v>
      </c>
      <c r="C1885" s="9">
        <f t="shared" si="90"/>
        <v>45950</v>
      </c>
      <c r="D1885" s="11" t="s">
        <v>861</v>
      </c>
      <c r="E1885" s="11" t="s">
        <v>25</v>
      </c>
      <c r="F1885" s="11" t="s">
        <v>110</v>
      </c>
      <c r="G1885" s="11" t="s">
        <v>27</v>
      </c>
      <c r="H1885" s="11" t="s">
        <v>862</v>
      </c>
      <c r="I1885" s="31">
        <v>58.66</v>
      </c>
      <c r="J1885" s="13"/>
      <c r="K1885" s="13">
        <f t="shared" si="109"/>
        <v>58.66</v>
      </c>
      <c r="L1885" s="11" t="s">
        <v>53</v>
      </c>
      <c r="M1885" s="17">
        <v>45812.0</v>
      </c>
      <c r="N1885" s="11" t="s">
        <v>394</v>
      </c>
      <c r="O1885" s="10" t="str">
        <f t="shared" si="79"/>
        <v>10/2025</v>
      </c>
      <c r="P1885" s="10" t="str">
        <f t="shared" si="81"/>
        <v>10/2025</v>
      </c>
      <c r="Q1885" s="15" t="str">
        <f t="array" ref="Q1885">IFERROR(XLOOKUP(N1885,'Classificação'!A:A,'Classificação'!B:B),"")</f>
        <v>DESPESAS NÃO OPERACIONAIS</v>
      </c>
      <c r="R1885" s="15" t="str">
        <f t="array" ref="R1885">IFERROR(XLOOKUP(Q1885,'Classificação'!B:B,'Classificação'!C:C),"")</f>
        <v>RESULTADO NÃO OPERACIONAL (+/-)</v>
      </c>
      <c r="S1885" s="15">
        <f t="shared" si="91"/>
        <v>20</v>
      </c>
      <c r="T1885" s="15">
        <f t="shared" si="6"/>
        <v>10</v>
      </c>
      <c r="U1885" s="15">
        <f t="shared" si="7"/>
        <v>2025</v>
      </c>
      <c r="V1885" s="15">
        <f t="shared" si="8"/>
        <v>20</v>
      </c>
      <c r="W1885" s="15">
        <f t="shared" si="9"/>
        <v>10</v>
      </c>
      <c r="X1885" s="15">
        <f t="shared" si="10"/>
        <v>2025</v>
      </c>
    </row>
    <row r="1886">
      <c r="A1886" s="9">
        <v>45950.0</v>
      </c>
      <c r="B1886" s="9">
        <v>45775.0</v>
      </c>
      <c r="C1886" s="9">
        <f t="shared" si="90"/>
        <v>45950</v>
      </c>
      <c r="D1886" s="11" t="s">
        <v>65</v>
      </c>
      <c r="E1886" s="11" t="s">
        <v>25</v>
      </c>
      <c r="F1886" s="11" t="s">
        <v>107</v>
      </c>
      <c r="G1886" s="11" t="s">
        <v>27</v>
      </c>
      <c r="H1886" s="11" t="s">
        <v>749</v>
      </c>
      <c r="I1886" s="31">
        <v>50.64</v>
      </c>
      <c r="J1886" s="13"/>
      <c r="K1886" s="13">
        <f t="shared" si="109"/>
        <v>50.64</v>
      </c>
      <c r="L1886" s="11" t="s">
        <v>53</v>
      </c>
      <c r="M1886" s="17">
        <v>45813.0</v>
      </c>
      <c r="N1886" s="11" t="s">
        <v>175</v>
      </c>
      <c r="O1886" s="10" t="str">
        <f t="shared" si="79"/>
        <v>10/2025</v>
      </c>
      <c r="P1886" s="10" t="str">
        <f t="shared" si="81"/>
        <v>10/2025</v>
      </c>
      <c r="Q1886" s="15" t="str">
        <f t="array" ref="Q1886">IFERROR(XLOOKUP(N1886,'Classificação'!A:A,'Classificação'!B:B),"")</f>
        <v>DESPESAS COM VEICULOS</v>
      </c>
      <c r="R1886" s="15" t="str">
        <f t="array" ref="R1886">IFERROR(XLOOKUP(Q1886,'Classificação'!B:B,'Classificação'!C:C),"")</f>
        <v>DESPESAS FIXAS (-)</v>
      </c>
      <c r="S1886" s="15">
        <f t="shared" si="91"/>
        <v>20</v>
      </c>
      <c r="T1886" s="15">
        <f t="shared" si="6"/>
        <v>10</v>
      </c>
      <c r="U1886" s="15">
        <f t="shared" si="7"/>
        <v>2025</v>
      </c>
      <c r="V1886" s="15">
        <f t="shared" si="8"/>
        <v>20</v>
      </c>
      <c r="W1886" s="15">
        <f t="shared" si="9"/>
        <v>10</v>
      </c>
      <c r="X1886" s="15">
        <f t="shared" si="10"/>
        <v>2025</v>
      </c>
    </row>
    <row r="1887">
      <c r="A1887" s="9">
        <v>45950.0</v>
      </c>
      <c r="B1887" s="10"/>
      <c r="C1887" s="9">
        <f t="shared" si="90"/>
        <v>45950</v>
      </c>
      <c r="D1887" s="11" t="s">
        <v>100</v>
      </c>
      <c r="E1887" s="11" t="s">
        <v>25</v>
      </c>
      <c r="F1887" s="11" t="s">
        <v>40</v>
      </c>
      <c r="G1887" s="11" t="s">
        <v>27</v>
      </c>
      <c r="H1887" s="11" t="s">
        <v>1015</v>
      </c>
      <c r="I1887" s="31">
        <v>7640.35</v>
      </c>
      <c r="J1887" s="13"/>
      <c r="K1887" s="13">
        <f t="shared" si="109"/>
        <v>7640.35</v>
      </c>
      <c r="L1887" s="11" t="s">
        <v>29</v>
      </c>
      <c r="M1887" s="14"/>
      <c r="N1887" s="11" t="s">
        <v>101</v>
      </c>
      <c r="O1887" s="10" t="str">
        <f t="shared" si="79"/>
        <v>10/2025</v>
      </c>
      <c r="P1887" s="10" t="str">
        <f t="shared" si="81"/>
        <v>10/2025</v>
      </c>
      <c r="Q1887" s="15" t="str">
        <f t="array" ref="Q1887">IFERROR(XLOOKUP(N1887,'Classificação'!A:A,'Classificação'!B:B),"")</f>
        <v>IMPOSTO DE RENDA - DAS</v>
      </c>
      <c r="R1887" s="15" t="str">
        <f t="array" ref="R1887">IFERROR(XLOOKUP(Q1887,'Classificação'!B:B,'Classificação'!C:C),"")</f>
        <v>DEDUÇÕES DA RECEITA BRUTA (-)</v>
      </c>
      <c r="S1887" s="15">
        <f t="shared" si="91"/>
        <v>20</v>
      </c>
      <c r="T1887" s="15">
        <f t="shared" si="6"/>
        <v>10</v>
      </c>
      <c r="U1887" s="15">
        <f t="shared" si="7"/>
        <v>2025</v>
      </c>
      <c r="V1887" s="15">
        <f t="shared" si="8"/>
        <v>20</v>
      </c>
      <c r="W1887" s="15">
        <f t="shared" si="9"/>
        <v>10</v>
      </c>
      <c r="X1887" s="15">
        <f t="shared" si="10"/>
        <v>2025</v>
      </c>
    </row>
    <row r="1888">
      <c r="A1888" s="9">
        <v>45950.0</v>
      </c>
      <c r="B1888" s="10"/>
      <c r="C1888" s="9">
        <f t="shared" si="90"/>
        <v>45950</v>
      </c>
      <c r="D1888" s="11" t="s">
        <v>100</v>
      </c>
      <c r="E1888" s="11" t="s">
        <v>25</v>
      </c>
      <c r="F1888" s="11" t="s">
        <v>40</v>
      </c>
      <c r="G1888" s="11" t="s">
        <v>37</v>
      </c>
      <c r="H1888" s="11" t="s">
        <v>1016</v>
      </c>
      <c r="I1888" s="31">
        <v>5102.05</v>
      </c>
      <c r="J1888" s="13"/>
      <c r="K1888" s="13">
        <f t="shared" si="109"/>
        <v>5102.05</v>
      </c>
      <c r="L1888" s="11" t="s">
        <v>29</v>
      </c>
      <c r="M1888" s="14"/>
      <c r="N1888" s="11" t="s">
        <v>101</v>
      </c>
      <c r="O1888" s="10" t="str">
        <f t="shared" si="79"/>
        <v>10/2025</v>
      </c>
      <c r="P1888" s="10" t="str">
        <f t="shared" si="81"/>
        <v>10/2025</v>
      </c>
      <c r="Q1888" s="15" t="str">
        <f t="array" ref="Q1888">IFERROR(XLOOKUP(N1888,'Classificação'!A:A,'Classificação'!B:B),"")</f>
        <v>IMPOSTO DE RENDA - DAS</v>
      </c>
      <c r="R1888" s="15" t="str">
        <f t="array" ref="R1888">IFERROR(XLOOKUP(Q1888,'Classificação'!B:B,'Classificação'!C:C),"")</f>
        <v>DEDUÇÕES DA RECEITA BRUTA (-)</v>
      </c>
      <c r="S1888" s="15">
        <f t="shared" si="91"/>
        <v>20</v>
      </c>
      <c r="T1888" s="15">
        <f t="shared" si="6"/>
        <v>10</v>
      </c>
      <c r="U1888" s="15">
        <f t="shared" si="7"/>
        <v>2025</v>
      </c>
      <c r="V1888" s="15">
        <f t="shared" si="8"/>
        <v>20</v>
      </c>
      <c r="W1888" s="15">
        <f t="shared" si="9"/>
        <v>10</v>
      </c>
      <c r="X1888" s="15">
        <f t="shared" si="10"/>
        <v>2025</v>
      </c>
    </row>
    <row r="1889">
      <c r="A1889" s="9">
        <v>45950.0</v>
      </c>
      <c r="B1889" s="10"/>
      <c r="C1889" s="9">
        <f t="shared" si="90"/>
        <v>45950</v>
      </c>
      <c r="D1889" s="11" t="s">
        <v>123</v>
      </c>
      <c r="E1889" s="11" t="s">
        <v>25</v>
      </c>
      <c r="F1889" s="11" t="s">
        <v>40</v>
      </c>
      <c r="G1889" s="11" t="s">
        <v>27</v>
      </c>
      <c r="I1889" s="31">
        <v>374.66</v>
      </c>
      <c r="J1889" s="13"/>
      <c r="K1889" s="13">
        <f t="shared" si="109"/>
        <v>374.66</v>
      </c>
      <c r="L1889" s="11" t="s">
        <v>29</v>
      </c>
      <c r="M1889" s="14"/>
      <c r="N1889" s="11" t="s">
        <v>123</v>
      </c>
      <c r="O1889" s="10" t="str">
        <f t="shared" si="79"/>
        <v>10/2025</v>
      </c>
      <c r="P1889" s="10" t="str">
        <f t="shared" si="81"/>
        <v>10/2025</v>
      </c>
      <c r="Q1889" s="15" t="str">
        <f t="array" ref="Q1889">IFERROR(XLOOKUP(N1889,'Classificação'!A:A,'Classificação'!B:B),"")</f>
        <v>DESPESAS COM PESSOAL</v>
      </c>
      <c r="R1889" s="15" t="str">
        <f t="array" ref="R1889">IFERROR(XLOOKUP(Q1889,'Classificação'!B:B,'Classificação'!C:C),"")</f>
        <v>DESPESAS FIXAS (-)</v>
      </c>
      <c r="S1889" s="15">
        <f t="shared" si="91"/>
        <v>20</v>
      </c>
      <c r="T1889" s="15">
        <f t="shared" si="6"/>
        <v>10</v>
      </c>
      <c r="U1889" s="15">
        <f t="shared" si="7"/>
        <v>2025</v>
      </c>
      <c r="V1889" s="15">
        <f t="shared" si="8"/>
        <v>20</v>
      </c>
      <c r="W1889" s="15">
        <f t="shared" si="9"/>
        <v>10</v>
      </c>
      <c r="X1889" s="15">
        <f t="shared" si="10"/>
        <v>2025</v>
      </c>
    </row>
    <row r="1890">
      <c r="A1890" s="9">
        <v>45950.0</v>
      </c>
      <c r="B1890" s="10"/>
      <c r="C1890" s="9">
        <f t="shared" si="90"/>
        <v>45950</v>
      </c>
      <c r="D1890" s="11" t="s">
        <v>126</v>
      </c>
      <c r="E1890" s="11" t="s">
        <v>25</v>
      </c>
      <c r="F1890" s="11" t="s">
        <v>40</v>
      </c>
      <c r="G1890" s="11" t="s">
        <v>27</v>
      </c>
      <c r="I1890" s="31">
        <v>709.92</v>
      </c>
      <c r="J1890" s="13"/>
      <c r="K1890" s="13">
        <f t="shared" si="109"/>
        <v>709.92</v>
      </c>
      <c r="L1890" s="11" t="s">
        <v>29</v>
      </c>
      <c r="M1890" s="14"/>
      <c r="N1890" s="11" t="s">
        <v>126</v>
      </c>
      <c r="O1890" s="10" t="str">
        <f t="shared" si="79"/>
        <v>10/2025</v>
      </c>
      <c r="P1890" s="10" t="str">
        <f t="shared" si="81"/>
        <v>10/2025</v>
      </c>
      <c r="Q1890" s="15" t="str">
        <f t="array" ref="Q1890">IFERROR(XLOOKUP(N1890,'Classificação'!A:A,'Classificação'!B:B),"")</f>
        <v>DESPESAS COM PESSOAL</v>
      </c>
      <c r="R1890" s="15" t="str">
        <f t="array" ref="R1890">IFERROR(XLOOKUP(Q1890,'Classificação'!B:B,'Classificação'!C:C),"")</f>
        <v>DESPESAS FIXAS (-)</v>
      </c>
      <c r="S1890" s="15">
        <f t="shared" si="91"/>
        <v>20</v>
      </c>
      <c r="T1890" s="15">
        <f t="shared" si="6"/>
        <v>10</v>
      </c>
      <c r="U1890" s="15">
        <f t="shared" si="7"/>
        <v>2025</v>
      </c>
      <c r="V1890" s="15">
        <f t="shared" si="8"/>
        <v>20</v>
      </c>
      <c r="W1890" s="15">
        <f t="shared" si="9"/>
        <v>10</v>
      </c>
      <c r="X1890" s="15">
        <f t="shared" si="10"/>
        <v>2025</v>
      </c>
    </row>
    <row r="1891">
      <c r="A1891" s="9">
        <v>45950.0</v>
      </c>
      <c r="B1891" s="10"/>
      <c r="C1891" s="9">
        <f t="shared" si="90"/>
        <v>45950</v>
      </c>
      <c r="D1891" s="11" t="s">
        <v>171</v>
      </c>
      <c r="E1891" s="11" t="s">
        <v>25</v>
      </c>
      <c r="F1891" s="11" t="s">
        <v>40</v>
      </c>
      <c r="G1891" s="11" t="s">
        <v>27</v>
      </c>
      <c r="I1891" s="31">
        <v>107.64</v>
      </c>
      <c r="J1891" s="13"/>
      <c r="K1891" s="13">
        <f t="shared" si="109"/>
        <v>107.64</v>
      </c>
      <c r="L1891" s="11" t="s">
        <v>29</v>
      </c>
      <c r="M1891" s="14"/>
      <c r="N1891" s="11" t="s">
        <v>172</v>
      </c>
      <c r="O1891" s="10" t="str">
        <f t="shared" si="79"/>
        <v>10/2025</v>
      </c>
      <c r="P1891" s="10" t="str">
        <f t="shared" si="81"/>
        <v>10/2025</v>
      </c>
      <c r="Q1891" s="15" t="str">
        <f t="array" ref="Q1891">IFERROR(XLOOKUP(N1891,'Classificação'!A:A,'Classificação'!B:B),"")</f>
        <v>DESPESAS COM OCUPAÇÃO</v>
      </c>
      <c r="R1891" s="15" t="str">
        <f t="array" ref="R1891">IFERROR(XLOOKUP(Q1891,'Classificação'!B:B,'Classificação'!C:C),"")</f>
        <v>DESPESAS FIXAS (-)</v>
      </c>
      <c r="S1891" s="15">
        <f t="shared" si="91"/>
        <v>20</v>
      </c>
      <c r="T1891" s="15">
        <f t="shared" si="6"/>
        <v>10</v>
      </c>
      <c r="U1891" s="15">
        <f t="shared" si="7"/>
        <v>2025</v>
      </c>
      <c r="V1891" s="15">
        <f t="shared" si="8"/>
        <v>20</v>
      </c>
      <c r="W1891" s="15">
        <f t="shared" si="9"/>
        <v>10</v>
      </c>
      <c r="X1891" s="15">
        <f t="shared" si="10"/>
        <v>2025</v>
      </c>
    </row>
    <row r="1892">
      <c r="A1892" s="32">
        <v>45950.0</v>
      </c>
      <c r="B1892" s="9">
        <v>45925.0</v>
      </c>
      <c r="C1892" s="9">
        <f t="shared" si="90"/>
        <v>45950</v>
      </c>
      <c r="D1892" s="11" t="s">
        <v>320</v>
      </c>
      <c r="E1892" s="11" t="s">
        <v>25</v>
      </c>
      <c r="F1892" s="11" t="s">
        <v>107</v>
      </c>
      <c r="G1892" s="11" t="s">
        <v>27</v>
      </c>
      <c r="H1892" s="11" t="s">
        <v>1017</v>
      </c>
      <c r="I1892" s="31">
        <v>53.0</v>
      </c>
      <c r="J1892" s="13"/>
      <c r="K1892" s="13">
        <f t="shared" si="109"/>
        <v>53</v>
      </c>
      <c r="L1892" s="11" t="s">
        <v>34</v>
      </c>
      <c r="M1892" s="16"/>
      <c r="N1892" s="11" t="s">
        <v>272</v>
      </c>
      <c r="O1892" s="10" t="str">
        <f t="shared" si="79"/>
        <v>10/2025</v>
      </c>
      <c r="P1892" s="10" t="str">
        <f t="shared" si="81"/>
        <v>10/2025</v>
      </c>
      <c r="Q1892" s="15" t="str">
        <f t="array" ref="Q1892">IFERROR(XLOOKUP(N1892,'Classificação'!A:A,'Classificação'!B:B),"")</f>
        <v>DESPESAS COM VIAGENS</v>
      </c>
      <c r="R1892" s="15" t="str">
        <f t="array" ref="R1892">IFERROR(XLOOKUP(Q1892,'Classificação'!B:B,'Classificação'!C:C),"")</f>
        <v>DESPESAS FIXAS (-)</v>
      </c>
      <c r="S1892" s="15">
        <f t="shared" si="91"/>
        <v>20</v>
      </c>
      <c r="T1892" s="15">
        <f t="shared" si="6"/>
        <v>10</v>
      </c>
      <c r="U1892" s="15">
        <f t="shared" si="7"/>
        <v>2025</v>
      </c>
      <c r="V1892" s="15">
        <f t="shared" si="8"/>
        <v>20</v>
      </c>
      <c r="W1892" s="15">
        <f t="shared" si="9"/>
        <v>10</v>
      </c>
      <c r="X1892" s="15">
        <f t="shared" si="10"/>
        <v>2025</v>
      </c>
    </row>
    <row r="1893">
      <c r="A1893" s="32">
        <v>45950.0</v>
      </c>
      <c r="B1893" s="9">
        <v>45925.0</v>
      </c>
      <c r="C1893" s="9">
        <f t="shared" si="90"/>
        <v>45950</v>
      </c>
      <c r="D1893" s="11" t="s">
        <v>320</v>
      </c>
      <c r="E1893" s="11" t="s">
        <v>25</v>
      </c>
      <c r="F1893" s="11" t="s">
        <v>107</v>
      </c>
      <c r="G1893" s="11" t="s">
        <v>27</v>
      </c>
      <c r="H1893" s="11" t="s">
        <v>1017</v>
      </c>
      <c r="I1893" s="31">
        <v>45.0</v>
      </c>
      <c r="J1893" s="13"/>
      <c r="K1893" s="13">
        <f t="shared" si="109"/>
        <v>45</v>
      </c>
      <c r="L1893" s="11" t="s">
        <v>34</v>
      </c>
      <c r="M1893" s="16"/>
      <c r="N1893" s="11" t="s">
        <v>272</v>
      </c>
      <c r="O1893" s="10" t="str">
        <f t="shared" si="79"/>
        <v>10/2025</v>
      </c>
      <c r="P1893" s="10" t="str">
        <f t="shared" si="81"/>
        <v>10/2025</v>
      </c>
      <c r="Q1893" s="15" t="str">
        <f t="array" ref="Q1893">IFERROR(XLOOKUP(N1893,'Classificação'!A:A,'Classificação'!B:B),"")</f>
        <v>DESPESAS COM VIAGENS</v>
      </c>
      <c r="R1893" s="15" t="str">
        <f t="array" ref="R1893">IFERROR(XLOOKUP(Q1893,'Classificação'!B:B,'Classificação'!C:C),"")</f>
        <v>DESPESAS FIXAS (-)</v>
      </c>
      <c r="S1893" s="15">
        <f t="shared" si="91"/>
        <v>20</v>
      </c>
      <c r="T1893" s="15">
        <f t="shared" si="6"/>
        <v>10</v>
      </c>
      <c r="U1893" s="15">
        <f t="shared" si="7"/>
        <v>2025</v>
      </c>
      <c r="V1893" s="15">
        <f t="shared" si="8"/>
        <v>20</v>
      </c>
      <c r="W1893" s="15">
        <f t="shared" si="9"/>
        <v>10</v>
      </c>
      <c r="X1893" s="15">
        <f t="shared" si="10"/>
        <v>2025</v>
      </c>
    </row>
    <row r="1894">
      <c r="A1894" s="9">
        <v>45950.0</v>
      </c>
      <c r="B1894" s="32">
        <v>45669.0</v>
      </c>
      <c r="C1894" s="9">
        <f t="shared" si="90"/>
        <v>45950</v>
      </c>
      <c r="D1894" s="11" t="s">
        <v>65</v>
      </c>
      <c r="E1894" s="11" t="s">
        <v>25</v>
      </c>
      <c r="F1894" s="11" t="s">
        <v>107</v>
      </c>
      <c r="G1894" s="11" t="s">
        <v>27</v>
      </c>
      <c r="H1894" s="11" t="s">
        <v>612</v>
      </c>
      <c r="I1894" s="31">
        <v>8.9</v>
      </c>
      <c r="J1894" s="13"/>
      <c r="K1894" s="13">
        <f t="shared" si="109"/>
        <v>8.9</v>
      </c>
      <c r="L1894" s="11" t="s">
        <v>29</v>
      </c>
      <c r="M1894" s="14"/>
      <c r="N1894" s="11" t="s">
        <v>105</v>
      </c>
      <c r="O1894" s="10" t="str">
        <f t="shared" si="79"/>
        <v>10/2025</v>
      </c>
      <c r="P1894" s="10" t="str">
        <f t="shared" si="81"/>
        <v>10/2025</v>
      </c>
      <c r="Q1894" s="15" t="str">
        <f t="array" ref="Q1894">IFERROR(XLOOKUP(N1894,'Classificação'!A:A,'Classificação'!B:B),"")</f>
        <v>DESPESAS ADMINISTRATIVAS</v>
      </c>
      <c r="R1894" s="15" t="str">
        <f t="array" ref="R1894">IFERROR(XLOOKUP(Q1894,'Classificação'!B:B,'Classificação'!C:C),"")</f>
        <v>DESPESAS FIXAS (-)</v>
      </c>
      <c r="S1894" s="15">
        <f t="shared" si="91"/>
        <v>20</v>
      </c>
      <c r="T1894" s="15">
        <f t="shared" si="6"/>
        <v>10</v>
      </c>
      <c r="U1894" s="15">
        <f t="shared" si="7"/>
        <v>2025</v>
      </c>
      <c r="V1894" s="15">
        <f t="shared" si="8"/>
        <v>20</v>
      </c>
      <c r="W1894" s="15">
        <f t="shared" si="9"/>
        <v>10</v>
      </c>
      <c r="X1894" s="15">
        <f t="shared" si="10"/>
        <v>2025</v>
      </c>
    </row>
    <row r="1895">
      <c r="A1895" s="9">
        <v>45950.0</v>
      </c>
      <c r="B1895" s="9">
        <v>45737.0</v>
      </c>
      <c r="C1895" s="9">
        <f t="shared" si="90"/>
        <v>45950</v>
      </c>
      <c r="D1895" s="11" t="s">
        <v>65</v>
      </c>
      <c r="E1895" s="11" t="s">
        <v>25</v>
      </c>
      <c r="F1895" s="11" t="s">
        <v>110</v>
      </c>
      <c r="G1895" s="11" t="s">
        <v>27</v>
      </c>
      <c r="H1895" s="11" t="s">
        <v>681</v>
      </c>
      <c r="I1895" s="31">
        <v>47.2</v>
      </c>
      <c r="J1895" s="13"/>
      <c r="K1895" s="13">
        <f t="shared" si="109"/>
        <v>47.2</v>
      </c>
      <c r="L1895" s="11" t="s">
        <v>53</v>
      </c>
      <c r="M1895" s="17">
        <v>45998.0</v>
      </c>
      <c r="N1895" s="11" t="s">
        <v>95</v>
      </c>
      <c r="O1895" s="10" t="str">
        <f t="shared" si="79"/>
        <v>10/2025</v>
      </c>
      <c r="P1895" s="10" t="str">
        <f t="shared" si="81"/>
        <v>10/2025</v>
      </c>
      <c r="Q1895" s="15" t="str">
        <f t="array" ref="Q1895">IFERROR(XLOOKUP(N1895,'Classificação'!A:A,'Classificação'!B:B),"")</f>
        <v>DESPESAS NÃO OPERACIONAIS</v>
      </c>
      <c r="R1895" s="15" t="str">
        <f t="array" ref="R1895">IFERROR(XLOOKUP(Q1895,'Classificação'!B:B,'Classificação'!C:C),"")</f>
        <v>RESULTADO NÃO OPERACIONAL (+/-)</v>
      </c>
      <c r="S1895" s="15">
        <f t="shared" si="91"/>
        <v>20</v>
      </c>
      <c r="T1895" s="15">
        <f t="shared" si="6"/>
        <v>10</v>
      </c>
      <c r="U1895" s="15">
        <f t="shared" si="7"/>
        <v>2025</v>
      </c>
      <c r="V1895" s="15">
        <f t="shared" si="8"/>
        <v>20</v>
      </c>
      <c r="W1895" s="15">
        <f t="shared" si="9"/>
        <v>10</v>
      </c>
      <c r="X1895" s="15">
        <f t="shared" si="10"/>
        <v>2025</v>
      </c>
    </row>
    <row r="1896">
      <c r="A1896" s="9">
        <v>45950.0</v>
      </c>
      <c r="B1896" s="9">
        <v>45737.0</v>
      </c>
      <c r="C1896" s="9">
        <f t="shared" si="90"/>
        <v>45950</v>
      </c>
      <c r="D1896" s="11" t="s">
        <v>65</v>
      </c>
      <c r="E1896" s="11" t="s">
        <v>25</v>
      </c>
      <c r="F1896" s="11" t="s">
        <v>110</v>
      </c>
      <c r="G1896" s="11" t="s">
        <v>27</v>
      </c>
      <c r="H1896" s="11" t="s">
        <v>682</v>
      </c>
      <c r="I1896" s="31">
        <v>82.27</v>
      </c>
      <c r="J1896" s="13"/>
      <c r="K1896" s="13">
        <f t="shared" si="109"/>
        <v>82.27</v>
      </c>
      <c r="L1896" s="11" t="s">
        <v>53</v>
      </c>
      <c r="M1896" s="17">
        <v>45937.0</v>
      </c>
      <c r="N1896" s="11" t="s">
        <v>95</v>
      </c>
      <c r="O1896" s="10" t="str">
        <f t="shared" si="79"/>
        <v>10/2025</v>
      </c>
      <c r="P1896" s="10" t="str">
        <f t="shared" si="81"/>
        <v>10/2025</v>
      </c>
      <c r="Q1896" s="15" t="str">
        <f t="array" ref="Q1896">IFERROR(XLOOKUP(N1896,'Classificação'!A:A,'Classificação'!B:B),"")</f>
        <v>DESPESAS NÃO OPERACIONAIS</v>
      </c>
      <c r="R1896" s="15" t="str">
        <f t="array" ref="R1896">IFERROR(XLOOKUP(Q1896,'Classificação'!B:B,'Classificação'!C:C),"")</f>
        <v>RESULTADO NÃO OPERACIONAL (+/-)</v>
      </c>
      <c r="S1896" s="15">
        <f t="shared" si="91"/>
        <v>20</v>
      </c>
      <c r="T1896" s="15">
        <f t="shared" si="6"/>
        <v>10</v>
      </c>
      <c r="U1896" s="15">
        <f t="shared" si="7"/>
        <v>2025</v>
      </c>
      <c r="V1896" s="15">
        <f t="shared" si="8"/>
        <v>20</v>
      </c>
      <c r="W1896" s="15">
        <f t="shared" si="9"/>
        <v>10</v>
      </c>
      <c r="X1896" s="15">
        <f t="shared" si="10"/>
        <v>2025</v>
      </c>
    </row>
    <row r="1897">
      <c r="A1897" s="9">
        <v>45950.0</v>
      </c>
      <c r="B1897" s="10"/>
      <c r="C1897" s="9">
        <f t="shared" si="90"/>
        <v>45950</v>
      </c>
      <c r="D1897" s="11" t="s">
        <v>637</v>
      </c>
      <c r="E1897" s="11" t="s">
        <v>25</v>
      </c>
      <c r="F1897" s="11" t="s">
        <v>40</v>
      </c>
      <c r="G1897" s="11" t="s">
        <v>27</v>
      </c>
      <c r="I1897" s="31">
        <v>170.0</v>
      </c>
      <c r="J1897" s="13"/>
      <c r="K1897" s="13">
        <f t="shared" si="109"/>
        <v>170</v>
      </c>
      <c r="L1897" s="11" t="s">
        <v>29</v>
      </c>
      <c r="M1897" s="14"/>
      <c r="N1897" s="11" t="s">
        <v>201</v>
      </c>
      <c r="O1897" s="10" t="str">
        <f t="shared" si="79"/>
        <v>10/2025</v>
      </c>
      <c r="P1897" s="10" t="str">
        <f t="shared" si="81"/>
        <v>10/2025</v>
      </c>
      <c r="Q1897" s="15" t="str">
        <f t="array" ref="Q1897">IFERROR(XLOOKUP(N1897,'Classificação'!A:A,'Classificação'!B:B),"")</f>
        <v>DESPESAS COM OCUPAÇÃO</v>
      </c>
      <c r="R1897" s="15" t="str">
        <f t="array" ref="R1897">IFERROR(XLOOKUP(Q1897,'Classificação'!B:B,'Classificação'!C:C),"")</f>
        <v>DESPESAS FIXAS (-)</v>
      </c>
      <c r="S1897" s="15">
        <f t="shared" si="91"/>
        <v>20</v>
      </c>
      <c r="T1897" s="15">
        <f t="shared" si="6"/>
        <v>10</v>
      </c>
      <c r="U1897" s="15">
        <f t="shared" si="7"/>
        <v>2025</v>
      </c>
      <c r="V1897" s="15">
        <f t="shared" si="8"/>
        <v>20</v>
      </c>
      <c r="W1897" s="15">
        <f t="shared" si="9"/>
        <v>10</v>
      </c>
      <c r="X1897" s="15">
        <f t="shared" si="10"/>
        <v>2025</v>
      </c>
    </row>
    <row r="1898">
      <c r="A1898" s="9">
        <v>45950.0</v>
      </c>
      <c r="B1898" s="19">
        <v>45747.0</v>
      </c>
      <c r="C1898" s="9">
        <f t="shared" si="90"/>
        <v>45950</v>
      </c>
      <c r="D1898" s="11" t="s">
        <v>691</v>
      </c>
      <c r="E1898" s="11" t="s">
        <v>25</v>
      </c>
      <c r="F1898" s="11" t="s">
        <v>107</v>
      </c>
      <c r="G1898" s="11" t="s">
        <v>27</v>
      </c>
      <c r="H1898" s="11" t="s">
        <v>692</v>
      </c>
      <c r="I1898" s="31">
        <v>98.93</v>
      </c>
      <c r="J1898" s="13"/>
      <c r="K1898" s="13">
        <f t="shared" si="109"/>
        <v>98.93</v>
      </c>
      <c r="L1898" s="11" t="s">
        <v>53</v>
      </c>
      <c r="M1898" s="17">
        <v>45998.0</v>
      </c>
      <c r="N1898" s="11" t="s">
        <v>693</v>
      </c>
      <c r="O1898" s="10" t="str">
        <f t="shared" si="79"/>
        <v>10/2025</v>
      </c>
      <c r="P1898" s="10" t="str">
        <f t="shared" si="81"/>
        <v>10/2025</v>
      </c>
      <c r="Q1898" s="15" t="str">
        <f t="array" ref="Q1898">IFERROR(XLOOKUP(N1898,'Classificação'!A:A,'Classificação'!B:B),"")</f>
        <v>DESPESAS COM OCUPAÇÃO</v>
      </c>
      <c r="R1898" s="15" t="str">
        <f t="array" ref="R1898">IFERROR(XLOOKUP(Q1898,'Classificação'!B:B,'Classificação'!C:C),"")</f>
        <v>DESPESAS FIXAS (-)</v>
      </c>
      <c r="S1898" s="15">
        <f t="shared" si="91"/>
        <v>20</v>
      </c>
      <c r="T1898" s="15">
        <f t="shared" si="6"/>
        <v>10</v>
      </c>
      <c r="U1898" s="15">
        <f t="shared" si="7"/>
        <v>2025</v>
      </c>
      <c r="V1898" s="15">
        <f t="shared" si="8"/>
        <v>20</v>
      </c>
      <c r="W1898" s="15">
        <f t="shared" si="9"/>
        <v>10</v>
      </c>
      <c r="X1898" s="15">
        <f t="shared" si="10"/>
        <v>2025</v>
      </c>
    </row>
    <row r="1899">
      <c r="A1899" s="9">
        <v>45950.0</v>
      </c>
      <c r="B1899" s="9">
        <v>45754.0</v>
      </c>
      <c r="C1899" s="9">
        <f t="shared" si="90"/>
        <v>45950</v>
      </c>
      <c r="D1899" s="11" t="s">
        <v>699</v>
      </c>
      <c r="E1899" s="11" t="s">
        <v>25</v>
      </c>
      <c r="F1899" s="11" t="s">
        <v>107</v>
      </c>
      <c r="G1899" s="11" t="s">
        <v>27</v>
      </c>
      <c r="H1899" s="11" t="s">
        <v>700</v>
      </c>
      <c r="I1899" s="31">
        <v>57.0</v>
      </c>
      <c r="J1899" s="13"/>
      <c r="K1899" s="13">
        <f t="shared" si="109"/>
        <v>57</v>
      </c>
      <c r="L1899" s="11" t="s">
        <v>53</v>
      </c>
      <c r="M1899" s="17">
        <v>45936.0</v>
      </c>
      <c r="N1899" s="11" t="s">
        <v>95</v>
      </c>
      <c r="O1899" s="10" t="str">
        <f t="shared" si="79"/>
        <v>10/2025</v>
      </c>
      <c r="P1899" s="10" t="str">
        <f t="shared" si="81"/>
        <v>10/2025</v>
      </c>
      <c r="Q1899" s="15" t="str">
        <f t="array" ref="Q1899">IFERROR(XLOOKUP(N1899,'Classificação'!A:A,'Classificação'!B:B),"")</f>
        <v>DESPESAS NÃO OPERACIONAIS</v>
      </c>
      <c r="R1899" s="15" t="str">
        <f t="array" ref="R1899">IFERROR(XLOOKUP(Q1899,'Classificação'!B:B,'Classificação'!C:C),"")</f>
        <v>RESULTADO NÃO OPERACIONAL (+/-)</v>
      </c>
      <c r="S1899" s="15">
        <f t="shared" si="91"/>
        <v>20</v>
      </c>
      <c r="T1899" s="15">
        <f t="shared" si="6"/>
        <v>10</v>
      </c>
      <c r="U1899" s="15">
        <f t="shared" si="7"/>
        <v>2025</v>
      </c>
      <c r="V1899" s="15">
        <f t="shared" si="8"/>
        <v>20</v>
      </c>
      <c r="W1899" s="15">
        <f t="shared" si="9"/>
        <v>10</v>
      </c>
      <c r="X1899" s="15">
        <f t="shared" si="10"/>
        <v>2025</v>
      </c>
    </row>
    <row r="1900">
      <c r="A1900" s="9">
        <v>45950.0</v>
      </c>
      <c r="B1900" s="9">
        <v>45757.0</v>
      </c>
      <c r="C1900" s="9">
        <f t="shared" si="90"/>
        <v>45950</v>
      </c>
      <c r="D1900" s="11" t="s">
        <v>65</v>
      </c>
      <c r="E1900" s="11" t="s">
        <v>25</v>
      </c>
      <c r="F1900" s="11" t="s">
        <v>107</v>
      </c>
      <c r="G1900" s="11" t="s">
        <v>27</v>
      </c>
      <c r="H1900" s="11" t="s">
        <v>681</v>
      </c>
      <c r="I1900" s="31">
        <v>47.73</v>
      </c>
      <c r="J1900" s="13"/>
      <c r="K1900" s="13">
        <f t="shared" si="109"/>
        <v>47.73</v>
      </c>
      <c r="L1900" s="11" t="s">
        <v>53</v>
      </c>
      <c r="M1900" s="17">
        <v>45997.0</v>
      </c>
      <c r="N1900" s="11" t="s">
        <v>95</v>
      </c>
      <c r="O1900" s="10" t="str">
        <f t="shared" si="79"/>
        <v>10/2025</v>
      </c>
      <c r="P1900" s="10" t="str">
        <f t="shared" si="81"/>
        <v>10/2025</v>
      </c>
      <c r="Q1900" s="15" t="str">
        <f t="array" ref="Q1900">IFERROR(XLOOKUP(N1900,'Classificação'!A:A,'Classificação'!B:B),"")</f>
        <v>DESPESAS NÃO OPERACIONAIS</v>
      </c>
      <c r="R1900" s="15" t="str">
        <f t="array" ref="R1900">IFERROR(XLOOKUP(Q1900,'Classificação'!B:B,'Classificação'!C:C),"")</f>
        <v>RESULTADO NÃO OPERACIONAL (+/-)</v>
      </c>
      <c r="S1900" s="15">
        <f t="shared" si="91"/>
        <v>20</v>
      </c>
      <c r="T1900" s="15">
        <f t="shared" si="6"/>
        <v>10</v>
      </c>
      <c r="U1900" s="15">
        <f t="shared" si="7"/>
        <v>2025</v>
      </c>
      <c r="V1900" s="15">
        <f t="shared" si="8"/>
        <v>20</v>
      </c>
      <c r="W1900" s="15">
        <f t="shared" si="9"/>
        <v>10</v>
      </c>
      <c r="X1900" s="15">
        <f t="shared" si="10"/>
        <v>2025</v>
      </c>
    </row>
    <row r="1901">
      <c r="A1901" s="27">
        <v>45950.0</v>
      </c>
      <c r="B1901" s="9">
        <v>45757.0</v>
      </c>
      <c r="C1901" s="9">
        <f t="shared" si="90"/>
        <v>45950</v>
      </c>
      <c r="D1901" s="11" t="s">
        <v>65</v>
      </c>
      <c r="E1901" s="11" t="s">
        <v>25</v>
      </c>
      <c r="F1901" s="11" t="s">
        <v>107</v>
      </c>
      <c r="G1901" s="11" t="s">
        <v>27</v>
      </c>
      <c r="H1901" s="11" t="s">
        <v>739</v>
      </c>
      <c r="I1901" s="31">
        <v>48.17</v>
      </c>
      <c r="J1901" s="13"/>
      <c r="K1901" s="13">
        <f t="shared" si="109"/>
        <v>48.17</v>
      </c>
      <c r="L1901" s="11" t="s">
        <v>53</v>
      </c>
      <c r="M1901" s="17">
        <v>45967.0</v>
      </c>
      <c r="N1901" s="11" t="s">
        <v>95</v>
      </c>
      <c r="O1901" s="10" t="str">
        <f t="shared" si="79"/>
        <v>10/2025</v>
      </c>
      <c r="P1901" s="10" t="str">
        <f t="shared" si="81"/>
        <v>10/2025</v>
      </c>
      <c r="Q1901" s="15" t="str">
        <f t="array" ref="Q1901">IFERROR(XLOOKUP(N1901,'Classificação'!A:A,'Classificação'!B:B),"")</f>
        <v>DESPESAS NÃO OPERACIONAIS</v>
      </c>
      <c r="R1901" s="15" t="str">
        <f t="array" ref="R1901">IFERROR(XLOOKUP(Q1901,'Classificação'!B:B,'Classificação'!C:C),"")</f>
        <v>RESULTADO NÃO OPERACIONAL (+/-)</v>
      </c>
      <c r="S1901" s="15">
        <f t="shared" si="91"/>
        <v>20</v>
      </c>
      <c r="T1901" s="15">
        <f t="shared" si="6"/>
        <v>10</v>
      </c>
      <c r="U1901" s="15">
        <f t="shared" si="7"/>
        <v>2025</v>
      </c>
      <c r="V1901" s="15">
        <f t="shared" si="8"/>
        <v>20</v>
      </c>
      <c r="W1901" s="15">
        <f t="shared" si="9"/>
        <v>10</v>
      </c>
      <c r="X1901" s="15">
        <f t="shared" si="10"/>
        <v>2025</v>
      </c>
    </row>
    <row r="1902">
      <c r="A1902" s="9">
        <v>45950.0</v>
      </c>
      <c r="B1902" s="9">
        <v>45776.0</v>
      </c>
      <c r="C1902" s="9">
        <f t="shared" si="90"/>
        <v>45950</v>
      </c>
      <c r="D1902" s="11" t="s">
        <v>65</v>
      </c>
      <c r="E1902" s="11" t="s">
        <v>25</v>
      </c>
      <c r="F1902" s="11" t="s">
        <v>110</v>
      </c>
      <c r="G1902" s="11" t="s">
        <v>27</v>
      </c>
      <c r="H1902" s="11" t="s">
        <v>752</v>
      </c>
      <c r="I1902" s="31">
        <v>98.4</v>
      </c>
      <c r="J1902" s="13"/>
      <c r="K1902" s="13">
        <f t="shared" si="109"/>
        <v>98.4</v>
      </c>
      <c r="L1902" s="11" t="s">
        <v>53</v>
      </c>
      <c r="M1902" s="17">
        <v>45936.0</v>
      </c>
      <c r="N1902" s="11" t="s">
        <v>58</v>
      </c>
      <c r="O1902" s="10" t="str">
        <f t="shared" si="79"/>
        <v>10/2025</v>
      </c>
      <c r="P1902" s="10" t="str">
        <f t="shared" si="81"/>
        <v>10/2025</v>
      </c>
      <c r="Q1902" s="15" t="str">
        <f t="array" ref="Q1902">IFERROR(XLOOKUP(N1902,'Classificação'!A:A,'Classificação'!B:B),"")</f>
        <v>DESPESAS ADMINISTRATIVAS</v>
      </c>
      <c r="R1902" s="15" t="str">
        <f t="array" ref="R1902">IFERROR(XLOOKUP(Q1902,'Classificação'!B:B,'Classificação'!C:C),"")</f>
        <v>DESPESAS FIXAS (-)</v>
      </c>
      <c r="S1902" s="15">
        <f t="shared" si="91"/>
        <v>20</v>
      </c>
      <c r="T1902" s="15">
        <f t="shared" si="6"/>
        <v>10</v>
      </c>
      <c r="U1902" s="15">
        <f t="shared" si="7"/>
        <v>2025</v>
      </c>
      <c r="V1902" s="15">
        <f t="shared" si="8"/>
        <v>20</v>
      </c>
      <c r="W1902" s="15">
        <f t="shared" si="9"/>
        <v>10</v>
      </c>
      <c r="X1902" s="15">
        <f t="shared" si="10"/>
        <v>2025</v>
      </c>
    </row>
    <row r="1903">
      <c r="A1903" s="9">
        <v>45950.0</v>
      </c>
      <c r="B1903" s="10"/>
      <c r="C1903" s="9">
        <f t="shared" si="90"/>
        <v>45950</v>
      </c>
      <c r="D1903" s="11" t="s">
        <v>131</v>
      </c>
      <c r="E1903" s="11" t="s">
        <v>25</v>
      </c>
      <c r="F1903" s="28" t="s">
        <v>107</v>
      </c>
      <c r="G1903" s="28" t="s">
        <v>27</v>
      </c>
      <c r="H1903" s="11" t="s">
        <v>822</v>
      </c>
      <c r="I1903" s="31">
        <v>221.74</v>
      </c>
      <c r="J1903" s="13"/>
      <c r="K1903" s="13">
        <f t="shared" si="109"/>
        <v>221.74</v>
      </c>
      <c r="L1903" s="28" t="s">
        <v>53</v>
      </c>
      <c r="M1903" s="17">
        <v>45996.0</v>
      </c>
      <c r="N1903" s="11" t="s">
        <v>133</v>
      </c>
      <c r="O1903" s="10" t="str">
        <f t="shared" si="79"/>
        <v>10/2025</v>
      </c>
      <c r="P1903" s="10" t="str">
        <f t="shared" si="81"/>
        <v>10/2025</v>
      </c>
      <c r="Q1903" s="15" t="str">
        <f t="array" ref="Q1903">IFERROR(XLOOKUP(N1903,'Classificação'!A:A,'Classificação'!B:B),"")</f>
        <v>DESPESAS COM VEICULOS</v>
      </c>
      <c r="R1903" s="15" t="str">
        <f t="array" ref="R1903">IFERROR(XLOOKUP(Q1903,'Classificação'!B:B,'Classificação'!C:C),"")</f>
        <v>DESPESAS FIXAS (-)</v>
      </c>
      <c r="S1903" s="15">
        <f t="shared" si="91"/>
        <v>20</v>
      </c>
      <c r="T1903" s="15">
        <f t="shared" si="6"/>
        <v>10</v>
      </c>
      <c r="U1903" s="15">
        <f t="shared" si="7"/>
        <v>2025</v>
      </c>
      <c r="V1903" s="15">
        <f t="shared" si="8"/>
        <v>20</v>
      </c>
      <c r="W1903" s="15">
        <f t="shared" si="9"/>
        <v>10</v>
      </c>
      <c r="X1903" s="15">
        <f t="shared" si="10"/>
        <v>2025</v>
      </c>
    </row>
    <row r="1904">
      <c r="A1904" s="9">
        <v>45950.0</v>
      </c>
      <c r="B1904" s="9">
        <v>45837.0</v>
      </c>
      <c r="C1904" s="9">
        <f t="shared" si="90"/>
        <v>45950</v>
      </c>
      <c r="D1904" s="11" t="s">
        <v>65</v>
      </c>
      <c r="E1904" s="11" t="s">
        <v>25</v>
      </c>
      <c r="F1904" s="11" t="s">
        <v>107</v>
      </c>
      <c r="G1904" s="11" t="s">
        <v>27</v>
      </c>
      <c r="H1904" s="11" t="s">
        <v>874</v>
      </c>
      <c r="I1904" s="31">
        <v>51.06</v>
      </c>
      <c r="J1904" s="13"/>
      <c r="K1904" s="13">
        <f t="shared" si="109"/>
        <v>51.06</v>
      </c>
      <c r="L1904" s="11" t="s">
        <v>53</v>
      </c>
      <c r="M1904" s="17">
        <v>45995.0</v>
      </c>
      <c r="N1904" s="11" t="s">
        <v>95</v>
      </c>
      <c r="O1904" s="10" t="str">
        <f t="shared" si="79"/>
        <v>10/2025</v>
      </c>
      <c r="P1904" s="10" t="str">
        <f t="shared" si="81"/>
        <v>10/2025</v>
      </c>
      <c r="Q1904" s="15" t="str">
        <f t="array" ref="Q1904">IFERROR(XLOOKUP(N1904,'Classificação'!A:A,'Classificação'!B:B),"")</f>
        <v>DESPESAS NÃO OPERACIONAIS</v>
      </c>
      <c r="R1904" s="15" t="str">
        <f t="array" ref="R1904">IFERROR(XLOOKUP(Q1904,'Classificação'!B:B,'Classificação'!C:C),"")</f>
        <v>RESULTADO NÃO OPERACIONAL (+/-)</v>
      </c>
      <c r="S1904" s="15">
        <f t="shared" si="91"/>
        <v>20</v>
      </c>
      <c r="T1904" s="15">
        <f t="shared" si="6"/>
        <v>10</v>
      </c>
      <c r="U1904" s="15">
        <f t="shared" si="7"/>
        <v>2025</v>
      </c>
      <c r="V1904" s="15">
        <f t="shared" si="8"/>
        <v>20</v>
      </c>
      <c r="W1904" s="15">
        <f t="shared" si="9"/>
        <v>10</v>
      </c>
      <c r="X1904" s="15">
        <f t="shared" si="10"/>
        <v>2025</v>
      </c>
    </row>
    <row r="1905">
      <c r="A1905" s="32">
        <v>45950.0</v>
      </c>
      <c r="B1905" s="9">
        <v>45842.0</v>
      </c>
      <c r="C1905" s="9">
        <f t="shared" si="90"/>
        <v>45950</v>
      </c>
      <c r="D1905" s="11" t="s">
        <v>877</v>
      </c>
      <c r="E1905" s="11" t="s">
        <v>25</v>
      </c>
      <c r="F1905" s="11" t="s">
        <v>107</v>
      </c>
      <c r="G1905" s="11" t="s">
        <v>27</v>
      </c>
      <c r="H1905" s="11" t="s">
        <v>878</v>
      </c>
      <c r="I1905" s="31">
        <v>200.0</v>
      </c>
      <c r="J1905" s="13"/>
      <c r="K1905" s="13">
        <f t="shared" si="109"/>
        <v>200</v>
      </c>
      <c r="L1905" s="11" t="s">
        <v>53</v>
      </c>
      <c r="M1905" s="17">
        <v>45934.0</v>
      </c>
      <c r="N1905" s="11" t="s">
        <v>175</v>
      </c>
      <c r="O1905" s="10" t="str">
        <f t="shared" si="79"/>
        <v>10/2025</v>
      </c>
      <c r="P1905" s="10" t="str">
        <f t="shared" si="81"/>
        <v>10/2025</v>
      </c>
      <c r="Q1905" s="15" t="str">
        <f t="array" ref="Q1905">IFERROR(XLOOKUP(N1905,'Classificação'!A:A,'Classificação'!B:B),"")</f>
        <v>DESPESAS COM VEICULOS</v>
      </c>
      <c r="R1905" s="15" t="str">
        <f t="array" ref="R1905">IFERROR(XLOOKUP(Q1905,'Classificação'!B:B,'Classificação'!C:C),"")</f>
        <v>DESPESAS FIXAS (-)</v>
      </c>
      <c r="S1905" s="15">
        <f t="shared" si="91"/>
        <v>20</v>
      </c>
      <c r="T1905" s="15">
        <f t="shared" si="6"/>
        <v>10</v>
      </c>
      <c r="U1905" s="15">
        <f t="shared" si="7"/>
        <v>2025</v>
      </c>
      <c r="V1905" s="15">
        <f t="shared" si="8"/>
        <v>20</v>
      </c>
      <c r="W1905" s="15">
        <f t="shared" si="9"/>
        <v>10</v>
      </c>
      <c r="X1905" s="15">
        <f t="shared" si="10"/>
        <v>2025</v>
      </c>
    </row>
    <row r="1906">
      <c r="A1906" s="32">
        <v>45950.0</v>
      </c>
      <c r="B1906" s="9">
        <v>45842.0</v>
      </c>
      <c r="C1906" s="9">
        <f t="shared" si="90"/>
        <v>45950</v>
      </c>
      <c r="D1906" s="11" t="s">
        <v>877</v>
      </c>
      <c r="E1906" s="11" t="s">
        <v>25</v>
      </c>
      <c r="F1906" s="11" t="s">
        <v>107</v>
      </c>
      <c r="G1906" s="11" t="s">
        <v>27</v>
      </c>
      <c r="H1906" s="11" t="s">
        <v>878</v>
      </c>
      <c r="I1906" s="31">
        <v>338.3</v>
      </c>
      <c r="J1906" s="13"/>
      <c r="K1906" s="13">
        <f t="shared" si="109"/>
        <v>338.3</v>
      </c>
      <c r="L1906" s="11" t="s">
        <v>53</v>
      </c>
      <c r="M1906" s="17">
        <v>45934.0</v>
      </c>
      <c r="N1906" s="11" t="s">
        <v>175</v>
      </c>
      <c r="O1906" s="10" t="str">
        <f t="shared" si="79"/>
        <v>10/2025</v>
      </c>
      <c r="P1906" s="10" t="str">
        <f t="shared" si="81"/>
        <v>10/2025</v>
      </c>
      <c r="Q1906" s="15" t="str">
        <f t="array" ref="Q1906">IFERROR(XLOOKUP(N1906,'Classificação'!A:A,'Classificação'!B:B),"")</f>
        <v>DESPESAS COM VEICULOS</v>
      </c>
      <c r="R1906" s="15" t="str">
        <f t="array" ref="R1906">IFERROR(XLOOKUP(Q1906,'Classificação'!B:B,'Classificação'!C:C),"")</f>
        <v>DESPESAS FIXAS (-)</v>
      </c>
      <c r="S1906" s="15">
        <f t="shared" si="91"/>
        <v>20</v>
      </c>
      <c r="T1906" s="15">
        <f t="shared" si="6"/>
        <v>10</v>
      </c>
      <c r="U1906" s="15">
        <f t="shared" si="7"/>
        <v>2025</v>
      </c>
      <c r="V1906" s="15">
        <f t="shared" si="8"/>
        <v>20</v>
      </c>
      <c r="W1906" s="15">
        <f t="shared" si="9"/>
        <v>10</v>
      </c>
      <c r="X1906" s="15">
        <f t="shared" si="10"/>
        <v>2025</v>
      </c>
    </row>
    <row r="1907">
      <c r="A1907" s="26">
        <v>45950.0</v>
      </c>
      <c r="B1907" s="26">
        <v>45867.0</v>
      </c>
      <c r="C1907" s="9">
        <f t="shared" si="90"/>
        <v>45950</v>
      </c>
      <c r="D1907" s="28" t="s">
        <v>109</v>
      </c>
      <c r="E1907" s="11" t="s">
        <v>25</v>
      </c>
      <c r="F1907" s="29" t="s">
        <v>107</v>
      </c>
      <c r="G1907" s="28" t="s">
        <v>27</v>
      </c>
      <c r="H1907" s="11" t="s">
        <v>911</v>
      </c>
      <c r="I1907" s="33">
        <v>24.15</v>
      </c>
      <c r="J1907" s="13"/>
      <c r="K1907" s="13">
        <f t="shared" si="109"/>
        <v>24.15</v>
      </c>
      <c r="L1907" s="11" t="s">
        <v>53</v>
      </c>
      <c r="M1907" s="17">
        <v>45994.0</v>
      </c>
      <c r="N1907" s="28" t="s">
        <v>105</v>
      </c>
      <c r="O1907" s="10" t="str">
        <f t="shared" si="79"/>
        <v>10/2025</v>
      </c>
      <c r="P1907" s="10" t="str">
        <f t="shared" si="81"/>
        <v>10/2025</v>
      </c>
      <c r="Q1907" s="15" t="str">
        <f t="array" ref="Q1907">IFERROR(XLOOKUP(N1907,'Classificação'!A:A,'Classificação'!B:B),"")</f>
        <v>DESPESAS ADMINISTRATIVAS</v>
      </c>
      <c r="R1907" s="15" t="str">
        <f t="array" ref="R1907">IFERROR(XLOOKUP(Q1907,'Classificação'!B:B,'Classificação'!C:C),"")</f>
        <v>DESPESAS FIXAS (-)</v>
      </c>
      <c r="S1907" s="15">
        <f t="shared" si="91"/>
        <v>20</v>
      </c>
      <c r="T1907" s="15">
        <f t="shared" si="6"/>
        <v>10</v>
      </c>
      <c r="U1907" s="15">
        <f t="shared" si="7"/>
        <v>2025</v>
      </c>
      <c r="V1907" s="15">
        <f t="shared" si="8"/>
        <v>20</v>
      </c>
      <c r="W1907" s="15">
        <f t="shared" si="9"/>
        <v>10</v>
      </c>
      <c r="X1907" s="15">
        <f t="shared" si="10"/>
        <v>2025</v>
      </c>
    </row>
    <row r="1908">
      <c r="A1908" s="9">
        <v>45950.0</v>
      </c>
      <c r="B1908" s="10"/>
      <c r="C1908" s="9">
        <f t="shared" si="90"/>
        <v>45950</v>
      </c>
      <c r="D1908" s="11" t="s">
        <v>121</v>
      </c>
      <c r="E1908" s="11" t="s">
        <v>25</v>
      </c>
      <c r="F1908" s="11" t="s">
        <v>107</v>
      </c>
      <c r="G1908" s="11" t="s">
        <v>27</v>
      </c>
      <c r="H1908" s="11" t="s">
        <v>865</v>
      </c>
      <c r="I1908" s="31">
        <v>29.9</v>
      </c>
      <c r="J1908" s="13"/>
      <c r="K1908" s="13">
        <f t="shared" si="109"/>
        <v>29.9</v>
      </c>
      <c r="L1908" s="11" t="s">
        <v>29</v>
      </c>
      <c r="M1908" s="14"/>
      <c r="N1908" s="11" t="s">
        <v>105</v>
      </c>
      <c r="O1908" s="10" t="str">
        <f t="shared" si="79"/>
        <v>10/2025</v>
      </c>
      <c r="P1908" s="10" t="str">
        <f t="shared" si="81"/>
        <v>10/2025</v>
      </c>
      <c r="Q1908" s="15" t="str">
        <f t="array" ref="Q1908">IFERROR(XLOOKUP(N1908,'Classificação'!A:A,'Classificação'!B:B),"")</f>
        <v>DESPESAS ADMINISTRATIVAS</v>
      </c>
      <c r="R1908" s="15" t="str">
        <f t="array" ref="R1908">IFERROR(XLOOKUP(Q1908,'Classificação'!B:B,'Classificação'!C:C),"")</f>
        <v>DESPESAS FIXAS (-)</v>
      </c>
      <c r="S1908" s="15">
        <f t="shared" si="91"/>
        <v>20</v>
      </c>
      <c r="T1908" s="15">
        <f t="shared" si="6"/>
        <v>10</v>
      </c>
      <c r="U1908" s="15">
        <f t="shared" si="7"/>
        <v>2025</v>
      </c>
      <c r="V1908" s="15">
        <f t="shared" si="8"/>
        <v>20</v>
      </c>
      <c r="W1908" s="15">
        <f t="shared" si="9"/>
        <v>10</v>
      </c>
      <c r="X1908" s="15">
        <f t="shared" si="10"/>
        <v>2025</v>
      </c>
    </row>
    <row r="1909">
      <c r="A1909" s="32">
        <v>45950.0</v>
      </c>
      <c r="B1909" s="9">
        <v>45861.0</v>
      </c>
      <c r="C1909" s="9">
        <f t="shared" si="90"/>
        <v>45950</v>
      </c>
      <c r="D1909" s="11" t="s">
        <v>65</v>
      </c>
      <c r="E1909" s="11" t="s">
        <v>25</v>
      </c>
      <c r="F1909" s="11" t="s">
        <v>107</v>
      </c>
      <c r="G1909" s="11" t="s">
        <v>27</v>
      </c>
      <c r="H1909" s="11" t="s">
        <v>913</v>
      </c>
      <c r="I1909" s="31">
        <v>220.0</v>
      </c>
      <c r="J1909" s="13"/>
      <c r="K1909" s="13">
        <f t="shared" si="109"/>
        <v>220</v>
      </c>
      <c r="L1909" s="11" t="s">
        <v>53</v>
      </c>
      <c r="M1909" s="17">
        <v>45719.0</v>
      </c>
      <c r="N1909" s="11" t="s">
        <v>143</v>
      </c>
      <c r="O1909" s="10" t="str">
        <f t="shared" si="79"/>
        <v>10/2025</v>
      </c>
      <c r="P1909" s="10" t="str">
        <f t="shared" si="81"/>
        <v>10/2025</v>
      </c>
      <c r="Q1909" s="15" t="str">
        <f t="array" ref="Q1909">IFERROR(XLOOKUP(N1909,'Classificação'!A:A,'Classificação'!B:B),"")</f>
        <v>EMBALAGENS/FITAS/GERAL</v>
      </c>
      <c r="R1909" s="15" t="str">
        <f t="array" ref="R1909">IFERROR(XLOOKUP(Q1909,'Classificação'!B:B,'Classificação'!C:C),"")</f>
        <v>CUSTOS VARIÁVEIS</v>
      </c>
      <c r="S1909" s="15">
        <f t="shared" si="91"/>
        <v>20</v>
      </c>
      <c r="T1909" s="15">
        <f t="shared" si="6"/>
        <v>10</v>
      </c>
      <c r="U1909" s="15">
        <f t="shared" si="7"/>
        <v>2025</v>
      </c>
      <c r="V1909" s="15">
        <f t="shared" si="8"/>
        <v>20</v>
      </c>
      <c r="W1909" s="15">
        <f t="shared" si="9"/>
        <v>10</v>
      </c>
      <c r="X1909" s="15">
        <f t="shared" si="10"/>
        <v>2025</v>
      </c>
    </row>
    <row r="1910">
      <c r="A1910" s="32">
        <v>45950.0</v>
      </c>
      <c r="B1910" s="9">
        <v>45863.0</v>
      </c>
      <c r="C1910" s="9">
        <f t="shared" si="90"/>
        <v>45950</v>
      </c>
      <c r="D1910" s="11" t="s">
        <v>65</v>
      </c>
      <c r="E1910" s="11" t="s">
        <v>25</v>
      </c>
      <c r="F1910" s="11" t="s">
        <v>107</v>
      </c>
      <c r="G1910" s="11" t="s">
        <v>27</v>
      </c>
      <c r="H1910" s="11" t="s">
        <v>915</v>
      </c>
      <c r="I1910" s="31">
        <v>185.16</v>
      </c>
      <c r="J1910" s="13"/>
      <c r="K1910" s="13">
        <f t="shared" si="109"/>
        <v>185.16</v>
      </c>
      <c r="L1910" s="11" t="s">
        <v>53</v>
      </c>
      <c r="M1910" s="17">
        <v>45994.0</v>
      </c>
      <c r="N1910" s="11" t="s">
        <v>95</v>
      </c>
      <c r="O1910" s="10" t="str">
        <f t="shared" si="79"/>
        <v>10/2025</v>
      </c>
      <c r="P1910" s="10" t="str">
        <f t="shared" si="81"/>
        <v>10/2025</v>
      </c>
      <c r="Q1910" s="15" t="str">
        <f t="array" ref="Q1910">IFERROR(XLOOKUP(N1910,'Classificação'!A:A,'Classificação'!B:B),"")</f>
        <v>DESPESAS NÃO OPERACIONAIS</v>
      </c>
      <c r="R1910" s="15" t="str">
        <f t="array" ref="R1910">IFERROR(XLOOKUP(Q1910,'Classificação'!B:B,'Classificação'!C:C),"")</f>
        <v>RESULTADO NÃO OPERACIONAL (+/-)</v>
      </c>
      <c r="S1910" s="15">
        <f t="shared" si="91"/>
        <v>20</v>
      </c>
      <c r="T1910" s="15">
        <f t="shared" si="6"/>
        <v>10</v>
      </c>
      <c r="U1910" s="15">
        <f t="shared" si="7"/>
        <v>2025</v>
      </c>
      <c r="V1910" s="15">
        <f t="shared" si="8"/>
        <v>20</v>
      </c>
      <c r="W1910" s="15">
        <f t="shared" si="9"/>
        <v>10</v>
      </c>
      <c r="X1910" s="15">
        <f t="shared" si="10"/>
        <v>2025</v>
      </c>
    </row>
    <row r="1911">
      <c r="A1911" s="9">
        <v>45950.0</v>
      </c>
      <c r="B1911" s="9">
        <v>45880.0</v>
      </c>
      <c r="C1911" s="9">
        <f t="shared" si="90"/>
        <v>45950</v>
      </c>
      <c r="D1911" s="11" t="s">
        <v>65</v>
      </c>
      <c r="E1911" s="11" t="s">
        <v>25</v>
      </c>
      <c r="F1911" s="11" t="s">
        <v>107</v>
      </c>
      <c r="G1911" s="11" t="s">
        <v>27</v>
      </c>
      <c r="H1911" s="11" t="s">
        <v>949</v>
      </c>
      <c r="I1911" s="31">
        <v>350.66</v>
      </c>
      <c r="J1911" s="13"/>
      <c r="K1911" s="13">
        <f t="shared" si="109"/>
        <v>350.66</v>
      </c>
      <c r="L1911" s="11" t="s">
        <v>53</v>
      </c>
      <c r="M1911" s="17">
        <v>45690.0</v>
      </c>
      <c r="N1911" s="11" t="s">
        <v>143</v>
      </c>
      <c r="O1911" s="10" t="str">
        <f t="shared" si="79"/>
        <v>10/2025</v>
      </c>
      <c r="P1911" s="10" t="str">
        <f t="shared" si="81"/>
        <v>10/2025</v>
      </c>
      <c r="Q1911" s="15" t="str">
        <f t="array" ref="Q1911">IFERROR(XLOOKUP(N1911,'Classificação'!A:A,'Classificação'!B:B),"")</f>
        <v>EMBALAGENS/FITAS/GERAL</v>
      </c>
      <c r="R1911" s="15" t="str">
        <f t="array" ref="R1911">IFERROR(XLOOKUP(Q1911,'Classificação'!B:B,'Classificação'!C:C),"")</f>
        <v>CUSTOS VARIÁVEIS</v>
      </c>
      <c r="S1911" s="15">
        <f t="shared" si="91"/>
        <v>20</v>
      </c>
      <c r="T1911" s="15">
        <f t="shared" si="6"/>
        <v>10</v>
      </c>
      <c r="U1911" s="15">
        <f t="shared" si="7"/>
        <v>2025</v>
      </c>
      <c r="V1911" s="15">
        <f t="shared" si="8"/>
        <v>20</v>
      </c>
      <c r="W1911" s="15">
        <f t="shared" si="9"/>
        <v>10</v>
      </c>
      <c r="X1911" s="15">
        <f t="shared" si="10"/>
        <v>2025</v>
      </c>
    </row>
    <row r="1912">
      <c r="A1912" s="9">
        <v>45950.0</v>
      </c>
      <c r="B1912" s="9">
        <v>45880.0</v>
      </c>
      <c r="C1912" s="9">
        <f t="shared" si="90"/>
        <v>45950</v>
      </c>
      <c r="D1912" s="11" t="s">
        <v>65</v>
      </c>
      <c r="E1912" s="11" t="s">
        <v>25</v>
      </c>
      <c r="F1912" s="11" t="s">
        <v>107</v>
      </c>
      <c r="G1912" s="11" t="s">
        <v>27</v>
      </c>
      <c r="H1912" s="11" t="s">
        <v>949</v>
      </c>
      <c r="I1912" s="31">
        <v>132.99</v>
      </c>
      <c r="J1912" s="13"/>
      <c r="K1912" s="13">
        <f t="shared" si="109"/>
        <v>132.99</v>
      </c>
      <c r="L1912" s="11" t="s">
        <v>53</v>
      </c>
      <c r="M1912" s="17">
        <v>45749.0</v>
      </c>
      <c r="N1912" s="11" t="s">
        <v>143</v>
      </c>
      <c r="O1912" s="10" t="str">
        <f t="shared" si="79"/>
        <v>10/2025</v>
      </c>
      <c r="P1912" s="10" t="str">
        <f t="shared" si="81"/>
        <v>10/2025</v>
      </c>
      <c r="Q1912" s="15" t="str">
        <f t="array" ref="Q1912">IFERROR(XLOOKUP(N1912,'Classificação'!A:A,'Classificação'!B:B),"")</f>
        <v>EMBALAGENS/FITAS/GERAL</v>
      </c>
      <c r="R1912" s="15" t="str">
        <f t="array" ref="R1912">IFERROR(XLOOKUP(Q1912,'Classificação'!B:B,'Classificação'!C:C),"")</f>
        <v>CUSTOS VARIÁVEIS</v>
      </c>
      <c r="S1912" s="15">
        <f t="shared" si="91"/>
        <v>20</v>
      </c>
      <c r="T1912" s="15">
        <f t="shared" si="6"/>
        <v>10</v>
      </c>
      <c r="U1912" s="15">
        <f t="shared" si="7"/>
        <v>2025</v>
      </c>
      <c r="V1912" s="15">
        <f t="shared" si="8"/>
        <v>20</v>
      </c>
      <c r="W1912" s="15">
        <f t="shared" si="9"/>
        <v>10</v>
      </c>
      <c r="X1912" s="15">
        <f t="shared" si="10"/>
        <v>2025</v>
      </c>
    </row>
    <row r="1913">
      <c r="A1913" s="9">
        <v>45950.0</v>
      </c>
      <c r="B1913" s="9">
        <v>45866.0</v>
      </c>
      <c r="C1913" s="9">
        <f t="shared" si="90"/>
        <v>45950</v>
      </c>
      <c r="D1913" s="11" t="s">
        <v>65</v>
      </c>
      <c r="E1913" s="11" t="s">
        <v>25</v>
      </c>
      <c r="F1913" s="11" t="s">
        <v>107</v>
      </c>
      <c r="G1913" s="11" t="s">
        <v>27</v>
      </c>
      <c r="H1913" s="11" t="s">
        <v>677</v>
      </c>
      <c r="I1913" s="31">
        <v>160.93</v>
      </c>
      <c r="J1913" s="13"/>
      <c r="K1913" s="13">
        <f t="shared" si="109"/>
        <v>160.93</v>
      </c>
      <c r="L1913" s="11" t="s">
        <v>53</v>
      </c>
      <c r="M1913" s="17">
        <v>45719.0</v>
      </c>
      <c r="N1913" s="11" t="s">
        <v>143</v>
      </c>
      <c r="O1913" s="10" t="str">
        <f t="shared" si="79"/>
        <v>10/2025</v>
      </c>
      <c r="P1913" s="10" t="str">
        <f t="shared" si="81"/>
        <v>10/2025</v>
      </c>
      <c r="Q1913" s="15" t="str">
        <f t="array" ref="Q1913">IFERROR(XLOOKUP(N1913,'Classificação'!A:A,'Classificação'!B:B),"")</f>
        <v>EMBALAGENS/FITAS/GERAL</v>
      </c>
      <c r="R1913" s="15" t="str">
        <f t="array" ref="R1913">IFERROR(XLOOKUP(Q1913,'Classificação'!B:B,'Classificação'!C:C),"")</f>
        <v>CUSTOS VARIÁVEIS</v>
      </c>
      <c r="S1913" s="15">
        <f t="shared" si="91"/>
        <v>20</v>
      </c>
      <c r="T1913" s="15">
        <f t="shared" si="6"/>
        <v>10</v>
      </c>
      <c r="U1913" s="15">
        <f t="shared" si="7"/>
        <v>2025</v>
      </c>
      <c r="V1913" s="15">
        <f t="shared" si="8"/>
        <v>20</v>
      </c>
      <c r="W1913" s="15">
        <f t="shared" si="9"/>
        <v>10</v>
      </c>
      <c r="X1913" s="15">
        <f t="shared" si="10"/>
        <v>2025</v>
      </c>
    </row>
    <row r="1914">
      <c r="A1914" s="9">
        <v>45950.0</v>
      </c>
      <c r="B1914" s="9">
        <v>45881.0</v>
      </c>
      <c r="C1914" s="9">
        <f t="shared" si="90"/>
        <v>45950</v>
      </c>
      <c r="D1914" s="11" t="s">
        <v>877</v>
      </c>
      <c r="E1914" s="11" t="s">
        <v>25</v>
      </c>
      <c r="F1914" s="11" t="s">
        <v>107</v>
      </c>
      <c r="G1914" s="11" t="s">
        <v>27</v>
      </c>
      <c r="H1914" s="11" t="s">
        <v>878</v>
      </c>
      <c r="I1914" s="31">
        <v>114.49</v>
      </c>
      <c r="J1914" s="13"/>
      <c r="K1914" s="13">
        <f t="shared" si="109"/>
        <v>114.49</v>
      </c>
      <c r="L1914" s="11" t="s">
        <v>53</v>
      </c>
      <c r="M1914" s="17">
        <v>45779.0</v>
      </c>
      <c r="N1914" s="11" t="s">
        <v>175</v>
      </c>
      <c r="O1914" s="10" t="str">
        <f t="shared" si="79"/>
        <v>10/2025</v>
      </c>
      <c r="P1914" s="10" t="str">
        <f t="shared" si="81"/>
        <v>10/2025</v>
      </c>
      <c r="Q1914" s="15" t="str">
        <f t="array" ref="Q1914">IFERROR(XLOOKUP(N1914,'Classificação'!A:A,'Classificação'!B:B),"")</f>
        <v>DESPESAS COM VEICULOS</v>
      </c>
      <c r="R1914" s="15" t="str">
        <f t="array" ref="R1914">IFERROR(XLOOKUP(Q1914,'Classificação'!B:B,'Classificação'!C:C),"")</f>
        <v>DESPESAS FIXAS (-)</v>
      </c>
      <c r="S1914" s="15">
        <f t="shared" si="91"/>
        <v>20</v>
      </c>
      <c r="T1914" s="15">
        <f t="shared" si="6"/>
        <v>10</v>
      </c>
      <c r="U1914" s="15">
        <f t="shared" si="7"/>
        <v>2025</v>
      </c>
      <c r="V1914" s="15">
        <f t="shared" si="8"/>
        <v>20</v>
      </c>
      <c r="W1914" s="15">
        <f t="shared" si="9"/>
        <v>10</v>
      </c>
      <c r="X1914" s="15">
        <f t="shared" si="10"/>
        <v>2025</v>
      </c>
    </row>
    <row r="1915">
      <c r="A1915" s="9">
        <v>45950.0</v>
      </c>
      <c r="B1915" s="9">
        <v>45884.0</v>
      </c>
      <c r="C1915" s="9">
        <f t="shared" si="90"/>
        <v>45950</v>
      </c>
      <c r="D1915" s="11" t="s">
        <v>953</v>
      </c>
      <c r="E1915" s="11" t="s">
        <v>25</v>
      </c>
      <c r="F1915" s="11" t="s">
        <v>107</v>
      </c>
      <c r="G1915" s="11" t="s">
        <v>27</v>
      </c>
      <c r="H1915" s="11" t="s">
        <v>957</v>
      </c>
      <c r="I1915" s="31">
        <v>133.64</v>
      </c>
      <c r="J1915" s="13"/>
      <c r="K1915" s="13">
        <f t="shared" si="109"/>
        <v>133.64</v>
      </c>
      <c r="L1915" s="11" t="s">
        <v>53</v>
      </c>
      <c r="M1915" s="17">
        <v>45718.0</v>
      </c>
      <c r="N1915" s="11" t="s">
        <v>331</v>
      </c>
      <c r="O1915" s="10" t="str">
        <f t="shared" si="79"/>
        <v>10/2025</v>
      </c>
      <c r="P1915" s="10" t="str">
        <f t="shared" si="81"/>
        <v>10/2025</v>
      </c>
      <c r="Q1915" s="15" t="str">
        <f t="array" ref="Q1915">IFERROR(XLOOKUP(N1914,'Classificação'!A:A,'Classificação'!B:B),"")</f>
        <v>DESPESAS COM VEICULOS</v>
      </c>
      <c r="R1915" s="15" t="str">
        <f t="array" ref="R1915">IFERROR(XLOOKUP(Q1915,'Classificação'!B:B,'Classificação'!C:C),"")</f>
        <v>DESPESAS FIXAS (-)</v>
      </c>
      <c r="S1915" s="15">
        <f t="shared" si="91"/>
        <v>20</v>
      </c>
      <c r="T1915" s="15">
        <f t="shared" si="6"/>
        <v>10</v>
      </c>
      <c r="U1915" s="15">
        <f t="shared" si="7"/>
        <v>2025</v>
      </c>
      <c r="V1915" s="15">
        <f t="shared" si="8"/>
        <v>20</v>
      </c>
      <c r="W1915" s="15">
        <f t="shared" si="9"/>
        <v>10</v>
      </c>
      <c r="X1915" s="15">
        <f t="shared" si="10"/>
        <v>2025</v>
      </c>
    </row>
    <row r="1916">
      <c r="A1916" s="32">
        <v>45950.0</v>
      </c>
      <c r="B1916" s="9">
        <v>45895.0</v>
      </c>
      <c r="C1916" s="9">
        <f t="shared" si="90"/>
        <v>45950</v>
      </c>
      <c r="D1916" s="11" t="s">
        <v>65</v>
      </c>
      <c r="E1916" s="11" t="s">
        <v>25</v>
      </c>
      <c r="F1916" s="11" t="s">
        <v>107</v>
      </c>
      <c r="G1916" s="11" t="s">
        <v>27</v>
      </c>
      <c r="H1916" s="11" t="s">
        <v>958</v>
      </c>
      <c r="I1916" s="31">
        <v>146.67</v>
      </c>
      <c r="J1916" s="13"/>
      <c r="K1916" s="13">
        <f t="shared" si="109"/>
        <v>146.67</v>
      </c>
      <c r="L1916" s="11" t="s">
        <v>53</v>
      </c>
      <c r="M1916" s="17">
        <v>45718.0</v>
      </c>
      <c r="N1916" s="11" t="s">
        <v>143</v>
      </c>
      <c r="O1916" s="10" t="str">
        <f t="shared" si="79"/>
        <v>10/2025</v>
      </c>
      <c r="P1916" s="10" t="str">
        <f t="shared" si="81"/>
        <v>10/2025</v>
      </c>
      <c r="Q1916" s="15" t="str">
        <f t="array" ref="Q1916">IFERROR(XLOOKUP(N1916,'Classificação'!A:A,'Classificação'!B:B),"")</f>
        <v>EMBALAGENS/FITAS/GERAL</v>
      </c>
      <c r="R1916" s="15" t="str">
        <f t="array" ref="R1916">IFERROR(XLOOKUP(Q1916,'Classificação'!B:B,'Classificação'!C:C),"")</f>
        <v>CUSTOS VARIÁVEIS</v>
      </c>
      <c r="S1916" s="15">
        <f t="shared" si="91"/>
        <v>20</v>
      </c>
      <c r="T1916" s="15">
        <f t="shared" si="6"/>
        <v>10</v>
      </c>
      <c r="U1916" s="15">
        <f t="shared" si="7"/>
        <v>2025</v>
      </c>
      <c r="V1916" s="15">
        <f t="shared" si="8"/>
        <v>20</v>
      </c>
      <c r="W1916" s="15">
        <f t="shared" si="9"/>
        <v>10</v>
      </c>
      <c r="X1916" s="15">
        <f t="shared" si="10"/>
        <v>2025</v>
      </c>
    </row>
    <row r="1917">
      <c r="A1917" s="9">
        <v>45950.0</v>
      </c>
      <c r="B1917" s="9">
        <v>45885.0</v>
      </c>
      <c r="C1917" s="9">
        <f t="shared" si="90"/>
        <v>45950</v>
      </c>
      <c r="D1917" s="11" t="s">
        <v>959</v>
      </c>
      <c r="E1917" s="11" t="s">
        <v>25</v>
      </c>
      <c r="F1917" s="11" t="s">
        <v>107</v>
      </c>
      <c r="G1917" s="11" t="s">
        <v>27</v>
      </c>
      <c r="H1917" s="11" t="s">
        <v>960</v>
      </c>
      <c r="I1917" s="31">
        <v>259.76</v>
      </c>
      <c r="J1917" s="13"/>
      <c r="K1917" s="13">
        <f t="shared" si="109"/>
        <v>259.76</v>
      </c>
      <c r="L1917" s="11" t="s">
        <v>53</v>
      </c>
      <c r="M1917" s="17">
        <v>45779.0</v>
      </c>
      <c r="N1917" s="11" t="s">
        <v>95</v>
      </c>
      <c r="O1917" s="10" t="str">
        <f t="shared" si="79"/>
        <v>10/2025</v>
      </c>
      <c r="P1917" s="10" t="str">
        <f t="shared" si="81"/>
        <v>10/2025</v>
      </c>
      <c r="Q1917" s="15" t="str">
        <f t="array" ref="Q1917">IFERROR(XLOOKUP(N1917,'Classificação'!A:A,'Classificação'!B:B),"")</f>
        <v>DESPESAS NÃO OPERACIONAIS</v>
      </c>
      <c r="R1917" s="15" t="str">
        <f t="array" ref="R1917">IFERROR(XLOOKUP(Q1917,'Classificação'!B:B,'Classificação'!C:C),"")</f>
        <v>RESULTADO NÃO OPERACIONAL (+/-)</v>
      </c>
      <c r="S1917" s="15">
        <f t="shared" si="91"/>
        <v>20</v>
      </c>
      <c r="T1917" s="15">
        <f t="shared" si="6"/>
        <v>10</v>
      </c>
      <c r="U1917" s="15">
        <f t="shared" si="7"/>
        <v>2025</v>
      </c>
      <c r="V1917" s="15">
        <f t="shared" si="8"/>
        <v>20</v>
      </c>
      <c r="W1917" s="15">
        <f t="shared" si="9"/>
        <v>10</v>
      </c>
      <c r="X1917" s="15">
        <f t="shared" si="10"/>
        <v>2025</v>
      </c>
    </row>
    <row r="1918">
      <c r="A1918" s="9">
        <v>45950.0</v>
      </c>
      <c r="B1918" s="9">
        <v>45914.0</v>
      </c>
      <c r="C1918" s="9">
        <f t="shared" si="90"/>
        <v>45950</v>
      </c>
      <c r="D1918" s="11" t="s">
        <v>179</v>
      </c>
      <c r="E1918" s="11" t="s">
        <v>25</v>
      </c>
      <c r="F1918" s="11" t="s">
        <v>107</v>
      </c>
      <c r="G1918" s="11" t="s">
        <v>27</v>
      </c>
      <c r="H1918" s="11" t="s">
        <v>312</v>
      </c>
      <c r="I1918" s="31">
        <v>222.55</v>
      </c>
      <c r="J1918" s="13"/>
      <c r="K1918" s="13">
        <f t="shared" si="109"/>
        <v>222.55</v>
      </c>
      <c r="L1918" s="11" t="s">
        <v>34</v>
      </c>
      <c r="M1918" s="14"/>
      <c r="N1918" s="11" t="s">
        <v>181</v>
      </c>
      <c r="O1918" s="10" t="str">
        <f t="shared" si="79"/>
        <v>10/2025</v>
      </c>
      <c r="P1918" s="10" t="str">
        <f t="shared" si="81"/>
        <v>10/2025</v>
      </c>
      <c r="Q1918" s="15" t="str">
        <f t="array" ref="Q1918">IFERROR(XLOOKUP(N1918,'Classificação'!A:A,'Classificação'!B:B),"")</f>
        <v>DESPESAS COM VEICULOS</v>
      </c>
      <c r="R1918" s="15" t="str">
        <f t="array" ref="R1918">IFERROR(XLOOKUP(Q1918,'Classificação'!B:B,'Classificação'!C:C),"")</f>
        <v>DESPESAS FIXAS (-)</v>
      </c>
      <c r="S1918" s="15">
        <f t="shared" si="91"/>
        <v>20</v>
      </c>
      <c r="T1918" s="15">
        <f t="shared" si="6"/>
        <v>10</v>
      </c>
      <c r="U1918" s="15">
        <f t="shared" si="7"/>
        <v>2025</v>
      </c>
      <c r="V1918" s="15">
        <f t="shared" si="8"/>
        <v>20</v>
      </c>
      <c r="W1918" s="15">
        <f t="shared" si="9"/>
        <v>10</v>
      </c>
      <c r="X1918" s="15">
        <f t="shared" si="10"/>
        <v>2025</v>
      </c>
    </row>
    <row r="1919">
      <c r="A1919" s="9">
        <v>45950.0</v>
      </c>
      <c r="B1919" s="9">
        <v>45916.0</v>
      </c>
      <c r="C1919" s="9">
        <f t="shared" si="90"/>
        <v>45950</v>
      </c>
      <c r="D1919" s="11" t="s">
        <v>114</v>
      </c>
      <c r="E1919" s="11" t="s">
        <v>25</v>
      </c>
      <c r="F1919" s="11" t="s">
        <v>107</v>
      </c>
      <c r="G1919" s="11" t="s">
        <v>27</v>
      </c>
      <c r="H1919" s="11" t="s">
        <v>1018</v>
      </c>
      <c r="I1919" s="31">
        <v>497.6</v>
      </c>
      <c r="J1919" s="13"/>
      <c r="K1919" s="13">
        <f t="shared" si="109"/>
        <v>497.6</v>
      </c>
      <c r="L1919" s="11" t="s">
        <v>34</v>
      </c>
      <c r="M1919" s="14"/>
      <c r="N1919" s="11" t="s">
        <v>136</v>
      </c>
      <c r="O1919" s="10" t="str">
        <f t="shared" si="79"/>
        <v>10/2025</v>
      </c>
      <c r="P1919" s="10" t="str">
        <f t="shared" si="81"/>
        <v>10/2025</v>
      </c>
      <c r="Q1919" s="15" t="str">
        <f t="array" ref="Q1919">IFERROR(XLOOKUP(N1919,'Classificação'!A:A,'Classificação'!B:B),"")</f>
        <v>DESPESAS COM OCUPAÇÃO</v>
      </c>
      <c r="R1919" s="15" t="str">
        <f t="array" ref="R1919">IFERROR(XLOOKUP(Q1919,'Classificação'!B:B,'Classificação'!C:C),"")</f>
        <v>DESPESAS FIXAS (-)</v>
      </c>
      <c r="S1919" s="15">
        <f t="shared" si="91"/>
        <v>20</v>
      </c>
      <c r="T1919" s="15">
        <f t="shared" si="6"/>
        <v>10</v>
      </c>
      <c r="U1919" s="15">
        <f t="shared" si="7"/>
        <v>2025</v>
      </c>
      <c r="V1919" s="15">
        <f t="shared" si="8"/>
        <v>20</v>
      </c>
      <c r="W1919" s="15">
        <f t="shared" si="9"/>
        <v>10</v>
      </c>
      <c r="X1919" s="15">
        <f t="shared" si="10"/>
        <v>2025</v>
      </c>
    </row>
    <row r="1920">
      <c r="A1920" s="32">
        <v>45950.0</v>
      </c>
      <c r="B1920" s="9">
        <v>45916.0</v>
      </c>
      <c r="C1920" s="9">
        <f t="shared" si="90"/>
        <v>45950</v>
      </c>
      <c r="D1920" s="11" t="s">
        <v>81</v>
      </c>
      <c r="E1920" s="11" t="s">
        <v>25</v>
      </c>
      <c r="F1920" s="11" t="s">
        <v>107</v>
      </c>
      <c r="G1920" s="11" t="s">
        <v>27</v>
      </c>
      <c r="H1920" s="11" t="s">
        <v>1019</v>
      </c>
      <c r="I1920" s="31">
        <v>259.65</v>
      </c>
      <c r="J1920" s="13"/>
      <c r="K1920" s="13">
        <f t="shared" si="109"/>
        <v>259.65</v>
      </c>
      <c r="L1920" s="11" t="s">
        <v>34</v>
      </c>
      <c r="M1920" s="14"/>
      <c r="N1920" s="11" t="s">
        <v>71</v>
      </c>
      <c r="O1920" s="10" t="str">
        <f t="shared" si="79"/>
        <v>10/2025</v>
      </c>
      <c r="P1920" s="10" t="str">
        <f t="shared" si="81"/>
        <v>10/2025</v>
      </c>
      <c r="Q1920" s="15" t="str">
        <f t="array" ref="Q1920">IFERROR(XLOOKUP(N1920,'Classificação'!A:A,'Classificação'!B:B),"")</f>
        <v>DESPESAS DIVERSAS</v>
      </c>
      <c r="R1920" s="15" t="str">
        <f t="array" ref="R1920">IFERROR(XLOOKUP(Q1920,'Classificação'!B:B,'Classificação'!C:C),"")</f>
        <v>DESPESAS FIXAS (-)</v>
      </c>
      <c r="S1920" s="15">
        <f t="shared" si="91"/>
        <v>20</v>
      </c>
      <c r="T1920" s="15">
        <f t="shared" si="6"/>
        <v>10</v>
      </c>
      <c r="U1920" s="15">
        <f t="shared" si="7"/>
        <v>2025</v>
      </c>
      <c r="V1920" s="15">
        <f t="shared" si="8"/>
        <v>20</v>
      </c>
      <c r="W1920" s="15">
        <f t="shared" si="9"/>
        <v>10</v>
      </c>
      <c r="X1920" s="15">
        <f t="shared" si="10"/>
        <v>2025</v>
      </c>
    </row>
    <row r="1921">
      <c r="A1921" s="32">
        <v>45950.0</v>
      </c>
      <c r="B1921" s="9">
        <v>45924.0</v>
      </c>
      <c r="C1921" s="9">
        <f t="shared" si="90"/>
        <v>45950</v>
      </c>
      <c r="D1921" s="11" t="s">
        <v>320</v>
      </c>
      <c r="E1921" s="11" t="s">
        <v>25</v>
      </c>
      <c r="F1921" s="11" t="s">
        <v>107</v>
      </c>
      <c r="G1921" s="11" t="s">
        <v>27</v>
      </c>
      <c r="H1921" s="11" t="s">
        <v>1020</v>
      </c>
      <c r="I1921" s="31">
        <v>139.63</v>
      </c>
      <c r="J1921" s="13"/>
      <c r="K1921" s="13">
        <f t="shared" si="109"/>
        <v>139.63</v>
      </c>
      <c r="L1921" s="11" t="s">
        <v>34</v>
      </c>
      <c r="M1921" s="14"/>
      <c r="N1921" s="11" t="s">
        <v>272</v>
      </c>
      <c r="O1921" s="10" t="str">
        <f t="shared" si="79"/>
        <v>10/2025</v>
      </c>
      <c r="P1921" s="10" t="str">
        <f t="shared" si="81"/>
        <v>10/2025</v>
      </c>
      <c r="Q1921" s="15" t="str">
        <f t="array" ref="Q1921">IFERROR(XLOOKUP(N1921,'Classificação'!A:A,'Classificação'!B:B),"")</f>
        <v>DESPESAS COM VIAGENS</v>
      </c>
      <c r="R1921" s="15" t="str">
        <f t="array" ref="R1921">IFERROR(XLOOKUP(Q1921,'Classificação'!B:B,'Classificação'!C:C),"")</f>
        <v>DESPESAS FIXAS (-)</v>
      </c>
      <c r="S1921" s="15">
        <f t="shared" si="91"/>
        <v>20</v>
      </c>
      <c r="T1921" s="15">
        <f t="shared" si="6"/>
        <v>10</v>
      </c>
      <c r="U1921" s="15">
        <f t="shared" si="7"/>
        <v>2025</v>
      </c>
      <c r="V1921" s="15">
        <f t="shared" si="8"/>
        <v>20</v>
      </c>
      <c r="W1921" s="15">
        <f t="shared" si="9"/>
        <v>10</v>
      </c>
      <c r="X1921" s="15">
        <f t="shared" si="10"/>
        <v>2025</v>
      </c>
    </row>
    <row r="1922">
      <c r="A1922" s="32">
        <v>45950.0</v>
      </c>
      <c r="B1922" s="9">
        <v>45925.0</v>
      </c>
      <c r="C1922" s="9">
        <f t="shared" si="90"/>
        <v>45950</v>
      </c>
      <c r="D1922" s="11" t="s">
        <v>264</v>
      </c>
      <c r="E1922" s="11" t="s">
        <v>25</v>
      </c>
      <c r="F1922" s="11" t="s">
        <v>107</v>
      </c>
      <c r="G1922" s="11" t="s">
        <v>27</v>
      </c>
      <c r="H1922" s="11" t="s">
        <v>1021</v>
      </c>
      <c r="I1922" s="31">
        <v>80.0</v>
      </c>
      <c r="J1922" s="13"/>
      <c r="K1922" s="13">
        <f t="shared" si="109"/>
        <v>80</v>
      </c>
      <c r="L1922" s="11" t="s">
        <v>34</v>
      </c>
      <c r="M1922" s="14"/>
      <c r="N1922" s="11" t="s">
        <v>266</v>
      </c>
      <c r="O1922" s="10" t="str">
        <f t="shared" si="79"/>
        <v>10/2025</v>
      </c>
      <c r="P1922" s="10" t="str">
        <f t="shared" si="81"/>
        <v>10/2025</v>
      </c>
      <c r="Q1922" s="15" t="str">
        <f t="array" ref="Q1922">IFERROR(XLOOKUP(N1922,'Classificação'!A:A,'Classificação'!B:B),"")</f>
        <v>DESPESAS COM VIAGENS</v>
      </c>
      <c r="R1922" s="15" t="str">
        <f t="array" ref="R1922">IFERROR(XLOOKUP(Q1922,'Classificação'!B:B,'Classificação'!C:C),"")</f>
        <v>DESPESAS FIXAS (-)</v>
      </c>
      <c r="S1922" s="15">
        <f t="shared" si="91"/>
        <v>20</v>
      </c>
      <c r="T1922" s="15">
        <f t="shared" si="6"/>
        <v>10</v>
      </c>
      <c r="U1922" s="15">
        <f t="shared" si="7"/>
        <v>2025</v>
      </c>
      <c r="V1922" s="15">
        <f t="shared" si="8"/>
        <v>20</v>
      </c>
      <c r="W1922" s="15">
        <f t="shared" si="9"/>
        <v>10</v>
      </c>
      <c r="X1922" s="15">
        <f t="shared" si="10"/>
        <v>2025</v>
      </c>
    </row>
    <row r="1923">
      <c r="A1923" s="32">
        <v>45950.0</v>
      </c>
      <c r="B1923" s="9">
        <v>45924.0</v>
      </c>
      <c r="C1923" s="9">
        <f t="shared" si="90"/>
        <v>45950</v>
      </c>
      <c r="D1923" s="11" t="s">
        <v>179</v>
      </c>
      <c r="E1923" s="11" t="s">
        <v>25</v>
      </c>
      <c r="F1923" s="11" t="s">
        <v>107</v>
      </c>
      <c r="G1923" s="11" t="s">
        <v>27</v>
      </c>
      <c r="H1923" s="11" t="s">
        <v>1022</v>
      </c>
      <c r="I1923" s="31">
        <v>162.0</v>
      </c>
      <c r="J1923" s="13"/>
      <c r="K1923" s="13">
        <f t="shared" si="109"/>
        <v>162</v>
      </c>
      <c r="L1923" s="11" t="s">
        <v>34</v>
      </c>
      <c r="M1923" s="14"/>
      <c r="N1923" s="11" t="s">
        <v>181</v>
      </c>
      <c r="O1923" s="10" t="str">
        <f t="shared" si="79"/>
        <v>10/2025</v>
      </c>
      <c r="P1923" s="10" t="str">
        <f t="shared" si="81"/>
        <v>10/2025</v>
      </c>
      <c r="Q1923" s="15" t="str">
        <f t="array" ref="Q1923">IFERROR(XLOOKUP(N1923,'Classificação'!A:A,'Classificação'!B:B),"")</f>
        <v>DESPESAS COM VEICULOS</v>
      </c>
      <c r="R1923" s="15" t="str">
        <f t="array" ref="R1923">IFERROR(XLOOKUP(Q1923,'Classificação'!B:B,'Classificação'!C:C),"")</f>
        <v>DESPESAS FIXAS (-)</v>
      </c>
      <c r="S1923" s="15">
        <f t="shared" si="91"/>
        <v>20</v>
      </c>
      <c r="T1923" s="15">
        <f t="shared" si="6"/>
        <v>10</v>
      </c>
      <c r="U1923" s="15">
        <f t="shared" si="7"/>
        <v>2025</v>
      </c>
      <c r="V1923" s="15">
        <f t="shared" si="8"/>
        <v>20</v>
      </c>
      <c r="W1923" s="15">
        <f t="shared" si="9"/>
        <v>10</v>
      </c>
      <c r="X1923" s="15">
        <f t="shared" si="10"/>
        <v>2025</v>
      </c>
    </row>
    <row r="1924">
      <c r="A1924" s="32">
        <v>45950.0</v>
      </c>
      <c r="B1924" s="9">
        <v>45924.0</v>
      </c>
      <c r="C1924" s="9">
        <f t="shared" si="90"/>
        <v>45950</v>
      </c>
      <c r="D1924" s="11" t="s">
        <v>320</v>
      </c>
      <c r="E1924" s="11" t="s">
        <v>25</v>
      </c>
      <c r="F1924" s="11" t="s">
        <v>107</v>
      </c>
      <c r="G1924" s="11" t="s">
        <v>27</v>
      </c>
      <c r="H1924" s="11" t="s">
        <v>1020</v>
      </c>
      <c r="I1924" s="31">
        <v>79.43</v>
      </c>
      <c r="J1924" s="13"/>
      <c r="K1924" s="13">
        <f t="shared" si="109"/>
        <v>79.43</v>
      </c>
      <c r="L1924" s="11" t="s">
        <v>34</v>
      </c>
      <c r="M1924" s="14"/>
      <c r="N1924" s="11" t="s">
        <v>272</v>
      </c>
      <c r="O1924" s="10" t="str">
        <f t="shared" si="79"/>
        <v>10/2025</v>
      </c>
      <c r="P1924" s="10" t="str">
        <f t="shared" si="81"/>
        <v>10/2025</v>
      </c>
      <c r="Q1924" s="15" t="str">
        <f t="array" ref="Q1924">IFERROR(XLOOKUP(N1924,'Classificação'!A:A,'Classificação'!B:B),"")</f>
        <v>DESPESAS COM VIAGENS</v>
      </c>
      <c r="R1924" s="15" t="str">
        <f t="array" ref="R1924">IFERROR(XLOOKUP(Q1924,'Classificação'!B:B,'Classificação'!C:C),"")</f>
        <v>DESPESAS FIXAS (-)</v>
      </c>
      <c r="S1924" s="15">
        <f t="shared" si="91"/>
        <v>20</v>
      </c>
      <c r="T1924" s="15">
        <f t="shared" si="6"/>
        <v>10</v>
      </c>
      <c r="U1924" s="15">
        <f t="shared" si="7"/>
        <v>2025</v>
      </c>
      <c r="V1924" s="15">
        <f t="shared" si="8"/>
        <v>20</v>
      </c>
      <c r="W1924" s="15">
        <f t="shared" si="9"/>
        <v>10</v>
      </c>
      <c r="X1924" s="15">
        <f t="shared" si="10"/>
        <v>2025</v>
      </c>
    </row>
    <row r="1925">
      <c r="A1925" s="32">
        <v>45950.0</v>
      </c>
      <c r="B1925" s="9">
        <v>45925.0</v>
      </c>
      <c r="C1925" s="9">
        <f t="shared" si="90"/>
        <v>45950</v>
      </c>
      <c r="D1925" s="11" t="s">
        <v>320</v>
      </c>
      <c r="E1925" s="11" t="s">
        <v>25</v>
      </c>
      <c r="F1925" s="11" t="s">
        <v>107</v>
      </c>
      <c r="G1925" s="11" t="s">
        <v>27</v>
      </c>
      <c r="H1925" s="11" t="s">
        <v>1020</v>
      </c>
      <c r="I1925" s="31">
        <v>64.0</v>
      </c>
      <c r="J1925" s="13"/>
      <c r="K1925" s="13">
        <f t="shared" si="109"/>
        <v>64</v>
      </c>
      <c r="L1925" s="11" t="s">
        <v>34</v>
      </c>
      <c r="M1925" s="14"/>
      <c r="N1925" s="11" t="s">
        <v>272</v>
      </c>
      <c r="O1925" s="10" t="str">
        <f t="shared" si="79"/>
        <v>10/2025</v>
      </c>
      <c r="P1925" s="10" t="str">
        <f t="shared" si="81"/>
        <v>10/2025</v>
      </c>
      <c r="Q1925" s="15" t="str">
        <f t="array" ref="Q1925">IFERROR(XLOOKUP(N1925,'Classificação'!A:A,'Classificação'!B:B),"")</f>
        <v>DESPESAS COM VIAGENS</v>
      </c>
      <c r="R1925" s="15" t="str">
        <f t="array" ref="R1925">IFERROR(XLOOKUP(Q1925,'Classificação'!B:B,'Classificação'!C:C),"")</f>
        <v>DESPESAS FIXAS (-)</v>
      </c>
      <c r="S1925" s="15">
        <f t="shared" si="91"/>
        <v>20</v>
      </c>
      <c r="T1925" s="15">
        <f t="shared" si="6"/>
        <v>10</v>
      </c>
      <c r="U1925" s="15">
        <f t="shared" si="7"/>
        <v>2025</v>
      </c>
      <c r="V1925" s="15">
        <f t="shared" si="8"/>
        <v>20</v>
      </c>
      <c r="W1925" s="15">
        <f t="shared" si="9"/>
        <v>10</v>
      </c>
      <c r="X1925" s="15">
        <f t="shared" si="10"/>
        <v>2025</v>
      </c>
    </row>
    <row r="1926">
      <c r="A1926" s="32">
        <v>45950.0</v>
      </c>
      <c r="B1926" s="9">
        <v>45931.0</v>
      </c>
      <c r="C1926" s="9">
        <f t="shared" si="90"/>
        <v>45950</v>
      </c>
      <c r="D1926" s="11" t="s">
        <v>179</v>
      </c>
      <c r="E1926" s="11" t="s">
        <v>25</v>
      </c>
      <c r="F1926" s="11" t="s">
        <v>107</v>
      </c>
      <c r="G1926" s="28" t="s">
        <v>27</v>
      </c>
      <c r="H1926" s="11" t="s">
        <v>312</v>
      </c>
      <c r="I1926" s="31">
        <v>210.46</v>
      </c>
      <c r="J1926" s="13"/>
      <c r="K1926" s="13">
        <f t="shared" si="109"/>
        <v>210.46</v>
      </c>
      <c r="L1926" s="11" t="s">
        <v>34</v>
      </c>
      <c r="M1926" s="14"/>
      <c r="N1926" s="11" t="s">
        <v>181</v>
      </c>
      <c r="O1926" s="10" t="str">
        <f t="shared" si="79"/>
        <v>10/2025</v>
      </c>
      <c r="P1926" s="10" t="str">
        <f t="shared" si="81"/>
        <v>10/2025</v>
      </c>
      <c r="Q1926" s="15" t="str">
        <f t="array" ref="Q1926">IFERROR(XLOOKUP(N1926,'Classificação'!A:A,'Classificação'!B:B),"")</f>
        <v>DESPESAS COM VEICULOS</v>
      </c>
      <c r="R1926" s="15" t="str">
        <f t="array" ref="R1926">IFERROR(XLOOKUP(Q1926,'Classificação'!B:B,'Classificação'!C:C),"")</f>
        <v>DESPESAS FIXAS (-)</v>
      </c>
      <c r="S1926" s="15">
        <f t="shared" si="91"/>
        <v>20</v>
      </c>
      <c r="T1926" s="15">
        <f t="shared" si="6"/>
        <v>10</v>
      </c>
      <c r="U1926" s="15">
        <f t="shared" si="7"/>
        <v>2025</v>
      </c>
      <c r="V1926" s="15">
        <f t="shared" si="8"/>
        <v>20</v>
      </c>
      <c r="W1926" s="15">
        <f t="shared" si="9"/>
        <v>10</v>
      </c>
      <c r="X1926" s="15">
        <f t="shared" si="10"/>
        <v>2025</v>
      </c>
    </row>
    <row r="1927">
      <c r="A1927" s="32">
        <v>45950.0</v>
      </c>
      <c r="B1927" s="9">
        <v>45937.0</v>
      </c>
      <c r="C1927" s="9">
        <f t="shared" si="90"/>
        <v>45950</v>
      </c>
      <c r="D1927" s="11" t="s">
        <v>1023</v>
      </c>
      <c r="E1927" s="11" t="s">
        <v>25</v>
      </c>
      <c r="F1927" s="11" t="s">
        <v>107</v>
      </c>
      <c r="G1927" s="28" t="s">
        <v>27</v>
      </c>
      <c r="H1927" s="11" t="s">
        <v>1024</v>
      </c>
      <c r="I1927" s="31">
        <v>231.45</v>
      </c>
      <c r="J1927" s="13"/>
      <c r="K1927" s="13">
        <f t="shared" si="109"/>
        <v>231.45</v>
      </c>
      <c r="L1927" s="28" t="s">
        <v>53</v>
      </c>
      <c r="M1927" s="17">
        <v>45689.0</v>
      </c>
      <c r="N1927" s="11" t="s">
        <v>392</v>
      </c>
      <c r="O1927" s="10" t="str">
        <f t="shared" si="79"/>
        <v>10/2025</v>
      </c>
      <c r="P1927" s="10" t="str">
        <f t="shared" si="81"/>
        <v>10/2025</v>
      </c>
      <c r="Q1927" s="15" t="str">
        <f t="array" ref="Q1927">IFERROR(XLOOKUP(N1927,'Classificação'!A:A,'Classificação'!B:B),"")</f>
        <v>DESPESAS COM OCUPAÇÃO</v>
      </c>
      <c r="R1927" s="15" t="str">
        <f t="array" ref="R1927">IFERROR(XLOOKUP(Q1927,'Classificação'!B:B,'Classificação'!C:C),"")</f>
        <v>DESPESAS FIXAS (-)</v>
      </c>
      <c r="S1927" s="15">
        <f t="shared" si="91"/>
        <v>20</v>
      </c>
      <c r="T1927" s="15">
        <f t="shared" si="6"/>
        <v>10</v>
      </c>
      <c r="U1927" s="15">
        <f t="shared" si="7"/>
        <v>2025</v>
      </c>
      <c r="V1927" s="15">
        <f t="shared" si="8"/>
        <v>20</v>
      </c>
      <c r="W1927" s="15">
        <f t="shared" si="9"/>
        <v>10</v>
      </c>
      <c r="X1927" s="15">
        <f t="shared" si="10"/>
        <v>2025</v>
      </c>
    </row>
    <row r="1928">
      <c r="A1928" s="32">
        <v>45950.0</v>
      </c>
      <c r="B1928" s="9">
        <v>45930.0</v>
      </c>
      <c r="C1928" s="9">
        <f t="shared" si="90"/>
        <v>45950</v>
      </c>
      <c r="D1928" s="11" t="s">
        <v>65</v>
      </c>
      <c r="E1928" s="11" t="s">
        <v>25</v>
      </c>
      <c r="F1928" s="11" t="s">
        <v>107</v>
      </c>
      <c r="G1928" s="28" t="s">
        <v>27</v>
      </c>
      <c r="H1928" s="11" t="s">
        <v>1025</v>
      </c>
      <c r="I1928" s="31">
        <v>33.0</v>
      </c>
      <c r="J1928" s="13"/>
      <c r="K1928" s="13">
        <f t="shared" si="109"/>
        <v>33</v>
      </c>
      <c r="L1928" s="28" t="s">
        <v>53</v>
      </c>
      <c r="M1928" s="17">
        <v>45717.0</v>
      </c>
      <c r="N1928" s="11" t="s">
        <v>105</v>
      </c>
      <c r="O1928" s="10" t="str">
        <f t="shared" si="79"/>
        <v>10/2025</v>
      </c>
      <c r="P1928" s="10" t="str">
        <f t="shared" si="81"/>
        <v>10/2025</v>
      </c>
      <c r="Q1928" s="15" t="str">
        <f t="array" ref="Q1928">IFERROR(XLOOKUP(N1928,'Classificação'!A:A,'Classificação'!B:B),"")</f>
        <v>DESPESAS ADMINISTRATIVAS</v>
      </c>
      <c r="R1928" s="15" t="str">
        <f t="array" ref="R1928">IFERROR(XLOOKUP(Q1928,'Classificação'!B:B,'Classificação'!C:C),"")</f>
        <v>DESPESAS FIXAS (-)</v>
      </c>
      <c r="S1928" s="15">
        <f t="shared" si="91"/>
        <v>20</v>
      </c>
      <c r="T1928" s="15">
        <f t="shared" si="6"/>
        <v>10</v>
      </c>
      <c r="U1928" s="15">
        <f t="shared" si="7"/>
        <v>2025</v>
      </c>
      <c r="V1928" s="15">
        <f t="shared" si="8"/>
        <v>20</v>
      </c>
      <c r="W1928" s="15">
        <f t="shared" si="9"/>
        <v>10</v>
      </c>
      <c r="X1928" s="15">
        <f t="shared" si="10"/>
        <v>2025</v>
      </c>
    </row>
    <row r="1929">
      <c r="A1929" s="32">
        <v>45950.0</v>
      </c>
      <c r="B1929" s="9">
        <v>45933.0</v>
      </c>
      <c r="C1929" s="9">
        <f t="shared" si="90"/>
        <v>45950</v>
      </c>
      <c r="D1929" s="11" t="s">
        <v>65</v>
      </c>
      <c r="E1929" s="11" t="s">
        <v>25</v>
      </c>
      <c r="F1929" s="11" t="s">
        <v>107</v>
      </c>
      <c r="G1929" s="28" t="s">
        <v>27</v>
      </c>
      <c r="H1929" s="11" t="s">
        <v>1026</v>
      </c>
      <c r="I1929" s="31">
        <v>29.09</v>
      </c>
      <c r="J1929" s="13"/>
      <c r="K1929" s="13">
        <f t="shared" si="109"/>
        <v>29.09</v>
      </c>
      <c r="L1929" s="11" t="s">
        <v>34</v>
      </c>
      <c r="M1929" s="14"/>
      <c r="N1929" s="11" t="s">
        <v>143</v>
      </c>
      <c r="O1929" s="10" t="str">
        <f t="shared" si="79"/>
        <v>10/2025</v>
      </c>
      <c r="P1929" s="10" t="str">
        <f t="shared" si="81"/>
        <v>10/2025</v>
      </c>
      <c r="Q1929" s="15" t="str">
        <f t="array" ref="Q1929">IFERROR(XLOOKUP(N1929,'Classificação'!A:A,'Classificação'!B:B),"")</f>
        <v>EMBALAGENS/FITAS/GERAL</v>
      </c>
      <c r="R1929" s="15" t="str">
        <f t="array" ref="R1929">IFERROR(XLOOKUP(Q1929,'Classificação'!B:B,'Classificação'!C:C),"")</f>
        <v>CUSTOS VARIÁVEIS</v>
      </c>
      <c r="S1929" s="15">
        <f t="shared" si="91"/>
        <v>20</v>
      </c>
      <c r="T1929" s="15">
        <f t="shared" si="6"/>
        <v>10</v>
      </c>
      <c r="U1929" s="15">
        <f t="shared" si="7"/>
        <v>2025</v>
      </c>
      <c r="V1929" s="15">
        <f t="shared" si="8"/>
        <v>20</v>
      </c>
      <c r="W1929" s="15">
        <f t="shared" si="9"/>
        <v>10</v>
      </c>
      <c r="X1929" s="15">
        <f t="shared" si="10"/>
        <v>2025</v>
      </c>
    </row>
    <row r="1930">
      <c r="A1930" s="32">
        <v>45950.0</v>
      </c>
      <c r="B1930" s="9">
        <v>45933.0</v>
      </c>
      <c r="C1930" s="9">
        <f t="shared" si="90"/>
        <v>45950</v>
      </c>
      <c r="D1930" s="11" t="s">
        <v>65</v>
      </c>
      <c r="E1930" s="11" t="s">
        <v>25</v>
      </c>
      <c r="F1930" s="11" t="s">
        <v>107</v>
      </c>
      <c r="G1930" s="28" t="s">
        <v>27</v>
      </c>
      <c r="H1930" s="11" t="s">
        <v>1027</v>
      </c>
      <c r="I1930" s="31">
        <v>36.99</v>
      </c>
      <c r="J1930" s="13"/>
      <c r="K1930" s="13">
        <f t="shared" si="109"/>
        <v>36.99</v>
      </c>
      <c r="L1930" s="28" t="s">
        <v>53</v>
      </c>
      <c r="M1930" s="17">
        <v>45689.0</v>
      </c>
      <c r="N1930" s="11" t="s">
        <v>143</v>
      </c>
      <c r="O1930" s="10" t="str">
        <f t="shared" si="79"/>
        <v>10/2025</v>
      </c>
      <c r="P1930" s="10" t="str">
        <f t="shared" si="81"/>
        <v>10/2025</v>
      </c>
      <c r="Q1930" s="15" t="str">
        <f t="array" ref="Q1930">IFERROR(XLOOKUP(N1930,'Classificação'!A:A,'Classificação'!B:B),"")</f>
        <v>EMBALAGENS/FITAS/GERAL</v>
      </c>
      <c r="R1930" s="15" t="str">
        <f t="array" ref="R1930">IFERROR(XLOOKUP(Q1930,'Classificação'!B:B,'Classificação'!C:C),"")</f>
        <v>CUSTOS VARIÁVEIS</v>
      </c>
      <c r="S1930" s="15">
        <f t="shared" si="91"/>
        <v>20</v>
      </c>
      <c r="T1930" s="15">
        <f t="shared" si="6"/>
        <v>10</v>
      </c>
      <c r="U1930" s="15">
        <f t="shared" si="7"/>
        <v>2025</v>
      </c>
      <c r="V1930" s="15">
        <f t="shared" si="8"/>
        <v>20</v>
      </c>
      <c r="W1930" s="15">
        <f t="shared" si="9"/>
        <v>10</v>
      </c>
      <c r="X1930" s="15">
        <f t="shared" si="10"/>
        <v>2025</v>
      </c>
    </row>
    <row r="1931">
      <c r="A1931" s="26">
        <v>45950.0</v>
      </c>
      <c r="B1931" s="49">
        <v>45903.0</v>
      </c>
      <c r="C1931" s="27">
        <f t="shared" si="90"/>
        <v>45950</v>
      </c>
      <c r="D1931" s="28" t="s">
        <v>86</v>
      </c>
      <c r="E1931" s="29" t="s">
        <v>25</v>
      </c>
      <c r="F1931" s="29" t="s">
        <v>26</v>
      </c>
      <c r="G1931" s="11" t="s">
        <v>37</v>
      </c>
      <c r="H1931" s="29" t="s">
        <v>1028</v>
      </c>
      <c r="I1931" s="24">
        <v>920.0</v>
      </c>
      <c r="J1931" s="34"/>
      <c r="K1931" s="13">
        <f t="shared" si="109"/>
        <v>920</v>
      </c>
      <c r="L1931" s="28" t="s">
        <v>53</v>
      </c>
      <c r="M1931" s="40">
        <v>45748.0</v>
      </c>
      <c r="N1931" s="28" t="s">
        <v>35</v>
      </c>
      <c r="O1931" s="10" t="str">
        <f t="shared" si="79"/>
        <v>10/2025</v>
      </c>
      <c r="P1931" s="10" t="str">
        <f t="shared" si="81"/>
        <v>10/2025</v>
      </c>
      <c r="Q1931" s="15" t="str">
        <f t="array" ref="Q1931">IFERROR(XLOOKUP(N1931,'Classificação'!A:A,'Classificação'!B:B),"")</f>
        <v>COMPRA DE MERCADORIA</v>
      </c>
      <c r="R1931" s="15" t="str">
        <f t="array" ref="R1931">IFERROR(XLOOKUP(Q1931,'Classificação'!B:B,'Classificação'!C:C),"")</f>
        <v>CUSTOS VARIÁVEIS</v>
      </c>
      <c r="S1931" s="15">
        <f t="shared" si="91"/>
        <v>20</v>
      </c>
      <c r="T1931" s="15">
        <f t="shared" si="6"/>
        <v>10</v>
      </c>
      <c r="U1931" s="15">
        <f t="shared" si="7"/>
        <v>2025</v>
      </c>
      <c r="V1931" s="15">
        <f t="shared" si="8"/>
        <v>20</v>
      </c>
      <c r="W1931" s="15">
        <f t="shared" si="9"/>
        <v>10</v>
      </c>
      <c r="X1931" s="15">
        <f t="shared" si="10"/>
        <v>2025</v>
      </c>
    </row>
    <row r="1932">
      <c r="A1932" s="26">
        <v>45950.0</v>
      </c>
      <c r="B1932" s="30"/>
      <c r="C1932" s="27">
        <f t="shared" si="90"/>
        <v>45950</v>
      </c>
      <c r="D1932" s="28" t="s">
        <v>36</v>
      </c>
      <c r="E1932" s="29" t="s">
        <v>25</v>
      </c>
      <c r="F1932" s="29" t="s">
        <v>26</v>
      </c>
      <c r="G1932" s="29" t="s">
        <v>37</v>
      </c>
      <c r="H1932" s="28"/>
      <c r="I1932" s="24">
        <v>1500.0</v>
      </c>
      <c r="J1932" s="34"/>
      <c r="K1932" s="37">
        <f t="shared" ref="K1932:K1933" si="110">IF(E1932="pago",(I1932-J1932),"")</f>
        <v>1500</v>
      </c>
      <c r="L1932" s="28" t="s">
        <v>29</v>
      </c>
      <c r="M1932" s="28"/>
      <c r="N1932" s="28" t="s">
        <v>38</v>
      </c>
      <c r="O1932" s="10" t="str">
        <f t="shared" si="79"/>
        <v>10/2025</v>
      </c>
      <c r="P1932" s="10" t="str">
        <f t="shared" si="81"/>
        <v>10/2025</v>
      </c>
      <c r="Q1932" s="15" t="str">
        <f t="array" ref="Q1932">IFERROR(XLOOKUP(N1932,'Classificação'!A:A,'Classificação'!B:B),"")</f>
        <v>DESPESAS COM PESSOAL</v>
      </c>
      <c r="R1932" s="15" t="str">
        <f t="array" ref="R1932">IFERROR(XLOOKUP(Q1932,'Classificação'!B:B,'Classificação'!C:C),"")</f>
        <v>DESPESAS FIXAS (-)</v>
      </c>
      <c r="S1932" s="15">
        <f t="shared" si="91"/>
        <v>20</v>
      </c>
      <c r="T1932" s="15">
        <f t="shared" si="6"/>
        <v>10</v>
      </c>
      <c r="U1932" s="15">
        <f t="shared" si="7"/>
        <v>2025</v>
      </c>
      <c r="V1932" s="15">
        <f t="shared" si="8"/>
        <v>20</v>
      </c>
      <c r="W1932" s="15">
        <f t="shared" si="9"/>
        <v>10</v>
      </c>
      <c r="X1932" s="15">
        <f t="shared" si="10"/>
        <v>2025</v>
      </c>
    </row>
    <row r="1933">
      <c r="A1933" s="26">
        <v>45950.0</v>
      </c>
      <c r="B1933" s="30"/>
      <c r="C1933" s="27">
        <f t="shared" si="90"/>
        <v>45950</v>
      </c>
      <c r="D1933" s="28" t="s">
        <v>43</v>
      </c>
      <c r="E1933" s="29" t="s">
        <v>25</v>
      </c>
      <c r="F1933" s="29" t="s">
        <v>26</v>
      </c>
      <c r="G1933" s="29" t="s">
        <v>37</v>
      </c>
      <c r="H1933" s="28"/>
      <c r="I1933" s="24">
        <v>1500.0</v>
      </c>
      <c r="J1933" s="34"/>
      <c r="K1933" s="37">
        <f t="shared" si="110"/>
        <v>1500</v>
      </c>
      <c r="L1933" s="28" t="s">
        <v>29</v>
      </c>
      <c r="M1933" s="28"/>
      <c r="N1933" s="28" t="s">
        <v>38</v>
      </c>
      <c r="O1933" s="10" t="str">
        <f t="shared" si="79"/>
        <v>10/2025</v>
      </c>
      <c r="P1933" s="10" t="str">
        <f t="shared" si="81"/>
        <v>10/2025</v>
      </c>
      <c r="Q1933" s="15" t="str">
        <f t="array" ref="Q1933">IFERROR(XLOOKUP(N1933,'Classificação'!A:A,'Classificação'!B:B),"")</f>
        <v>DESPESAS COM PESSOAL</v>
      </c>
      <c r="R1933" s="15" t="str">
        <f t="array" ref="R1933">IFERROR(XLOOKUP(Q1933,'Classificação'!B:B,'Classificação'!C:C),"")</f>
        <v>DESPESAS FIXAS (-)</v>
      </c>
      <c r="S1933" s="15">
        <f t="shared" si="91"/>
        <v>20</v>
      </c>
      <c r="T1933" s="15">
        <f t="shared" si="6"/>
        <v>10</v>
      </c>
      <c r="U1933" s="15">
        <f t="shared" si="7"/>
        <v>2025</v>
      </c>
      <c r="V1933" s="15">
        <f t="shared" si="8"/>
        <v>20</v>
      </c>
      <c r="W1933" s="15">
        <f t="shared" si="9"/>
        <v>10</v>
      </c>
      <c r="X1933" s="15">
        <f t="shared" si="10"/>
        <v>2025</v>
      </c>
    </row>
    <row r="1934">
      <c r="A1934" s="9">
        <v>45950.0</v>
      </c>
      <c r="B1934" s="10"/>
      <c r="C1934" s="9">
        <f t="shared" si="90"/>
        <v>45950</v>
      </c>
      <c r="D1934" s="11" t="s">
        <v>104</v>
      </c>
      <c r="E1934" s="11" t="s">
        <v>25</v>
      </c>
      <c r="F1934" s="11" t="s">
        <v>40</v>
      </c>
      <c r="G1934" s="11" t="s">
        <v>27</v>
      </c>
      <c r="I1934" s="31">
        <v>450.0</v>
      </c>
      <c r="J1934" s="13"/>
      <c r="K1934" s="13">
        <f t="shared" ref="K1934:K1957" si="111">if(E1934="pago",(I1934-J1934),"")</f>
        <v>450</v>
      </c>
      <c r="L1934" s="11" t="s">
        <v>29</v>
      </c>
      <c r="M1934" s="14"/>
      <c r="N1934" s="11" t="s">
        <v>105</v>
      </c>
      <c r="O1934" s="10" t="str">
        <f t="shared" si="79"/>
        <v>10/2025</v>
      </c>
      <c r="P1934" s="10" t="str">
        <f t="shared" si="81"/>
        <v>10/2025</v>
      </c>
      <c r="Q1934" s="15" t="str">
        <f t="array" ref="Q1934">IFERROR(XLOOKUP(N1934,'Classificação'!A:A,'Classificação'!B:B),"")</f>
        <v>DESPESAS ADMINISTRATIVAS</v>
      </c>
      <c r="R1934" s="15" t="str">
        <f t="array" ref="R1934">IFERROR(XLOOKUP(Q1934,'Classificação'!B:B,'Classificação'!C:C),"")</f>
        <v>DESPESAS FIXAS (-)</v>
      </c>
      <c r="S1934" s="15">
        <f t="shared" si="91"/>
        <v>20</v>
      </c>
      <c r="T1934" s="15">
        <f t="shared" si="6"/>
        <v>10</v>
      </c>
      <c r="U1934" s="15">
        <f t="shared" si="7"/>
        <v>2025</v>
      </c>
      <c r="V1934" s="15">
        <f t="shared" si="8"/>
        <v>20</v>
      </c>
      <c r="W1934" s="15">
        <f t="shared" si="9"/>
        <v>10</v>
      </c>
      <c r="X1934" s="15">
        <f t="shared" si="10"/>
        <v>2025</v>
      </c>
    </row>
    <row r="1935">
      <c r="A1935" s="32">
        <v>45950.0</v>
      </c>
      <c r="B1935" s="9">
        <v>45935.0</v>
      </c>
      <c r="C1935" s="9">
        <f t="shared" si="90"/>
        <v>45950</v>
      </c>
      <c r="D1935" s="11" t="s">
        <v>828</v>
      </c>
      <c r="E1935" s="29" t="s">
        <v>25</v>
      </c>
      <c r="F1935" s="11" t="s">
        <v>26</v>
      </c>
      <c r="G1935" s="11" t="s">
        <v>37</v>
      </c>
      <c r="H1935" s="11" t="s">
        <v>1029</v>
      </c>
      <c r="I1935" s="12">
        <v>110.71</v>
      </c>
      <c r="J1935" s="13"/>
      <c r="K1935" s="13">
        <f t="shared" si="111"/>
        <v>110.71</v>
      </c>
      <c r="L1935" s="11" t="s">
        <v>34</v>
      </c>
      <c r="M1935" s="14"/>
      <c r="N1935" s="11" t="s">
        <v>105</v>
      </c>
      <c r="O1935" s="10" t="str">
        <f t="shared" si="79"/>
        <v>10/2025</v>
      </c>
      <c r="P1935" s="10" t="str">
        <f t="shared" si="81"/>
        <v>10/2025</v>
      </c>
      <c r="Q1935" s="15" t="str">
        <f t="array" ref="Q1935">IFERROR(XLOOKUP(N1935,'Classificação'!A:A,'Classificação'!B:B),"")</f>
        <v>DESPESAS ADMINISTRATIVAS</v>
      </c>
      <c r="R1935" s="15" t="str">
        <f t="array" ref="R1935">IFERROR(XLOOKUP(Q1935,'Classificação'!B:B,'Classificação'!C:C),"")</f>
        <v>DESPESAS FIXAS (-)</v>
      </c>
      <c r="S1935" s="15">
        <f t="shared" si="91"/>
        <v>20</v>
      </c>
      <c r="T1935" s="15">
        <f t="shared" si="6"/>
        <v>10</v>
      </c>
      <c r="U1935" s="15">
        <f t="shared" si="7"/>
        <v>2025</v>
      </c>
      <c r="V1935" s="15">
        <f t="shared" si="8"/>
        <v>20</v>
      </c>
      <c r="W1935" s="15">
        <f t="shared" si="9"/>
        <v>10</v>
      </c>
      <c r="X1935" s="15">
        <f t="shared" si="10"/>
        <v>2025</v>
      </c>
    </row>
    <row r="1936">
      <c r="A1936" s="32">
        <v>45950.0</v>
      </c>
      <c r="B1936" s="9">
        <v>45926.0</v>
      </c>
      <c r="C1936" s="9">
        <f t="shared" si="90"/>
        <v>45950</v>
      </c>
      <c r="D1936" s="11" t="s">
        <v>570</v>
      </c>
      <c r="E1936" s="29" t="s">
        <v>25</v>
      </c>
      <c r="F1936" s="11" t="s">
        <v>26</v>
      </c>
      <c r="G1936" s="11" t="s">
        <v>37</v>
      </c>
      <c r="H1936" s="11" t="s">
        <v>1030</v>
      </c>
      <c r="I1936" s="12">
        <v>667.8</v>
      </c>
      <c r="J1936" s="13"/>
      <c r="K1936" s="13">
        <f t="shared" si="111"/>
        <v>667.8</v>
      </c>
      <c r="L1936" s="11" t="s">
        <v>34</v>
      </c>
      <c r="M1936" s="14"/>
      <c r="N1936" s="11" t="s">
        <v>448</v>
      </c>
      <c r="O1936" s="10" t="str">
        <f t="shared" si="79"/>
        <v>10/2025</v>
      </c>
      <c r="P1936" s="10" t="str">
        <f t="shared" si="81"/>
        <v>10/2025</v>
      </c>
      <c r="Q1936" s="15" t="str">
        <f t="array" ref="Q1936">IFERROR(XLOOKUP(N1936,'Classificação'!A:A,'Classificação'!B:B),"")</f>
        <v>DESPESAS ADMINISTRATIVAS</v>
      </c>
      <c r="R1936" s="15" t="str">
        <f t="array" ref="R1936">IFERROR(XLOOKUP(Q1936,'Classificação'!B:B,'Classificação'!C:C),"")</f>
        <v>DESPESAS FIXAS (-)</v>
      </c>
      <c r="S1936" s="15">
        <f t="shared" si="91"/>
        <v>20</v>
      </c>
      <c r="T1936" s="15">
        <f t="shared" si="6"/>
        <v>10</v>
      </c>
      <c r="U1936" s="15">
        <f t="shared" si="7"/>
        <v>2025</v>
      </c>
      <c r="V1936" s="15">
        <f t="shared" si="8"/>
        <v>20</v>
      </c>
      <c r="W1936" s="15">
        <f t="shared" si="9"/>
        <v>10</v>
      </c>
      <c r="X1936" s="15">
        <f t="shared" si="10"/>
        <v>2025</v>
      </c>
    </row>
    <row r="1937">
      <c r="A1937" s="9">
        <v>45950.0</v>
      </c>
      <c r="B1937" s="10"/>
      <c r="C1937" s="9">
        <f t="shared" si="90"/>
        <v>45950</v>
      </c>
      <c r="D1937" s="11" t="s">
        <v>86</v>
      </c>
      <c r="E1937" s="11" t="s">
        <v>25</v>
      </c>
      <c r="F1937" s="11" t="s">
        <v>87</v>
      </c>
      <c r="G1937" s="11" t="s">
        <v>27</v>
      </c>
      <c r="H1937" s="11" t="s">
        <v>1031</v>
      </c>
      <c r="I1937" s="31">
        <v>3470.0</v>
      </c>
      <c r="J1937" s="13"/>
      <c r="K1937" s="13">
        <f t="shared" si="111"/>
        <v>3470</v>
      </c>
      <c r="L1937" s="11" t="s">
        <v>53</v>
      </c>
      <c r="M1937" s="17">
        <v>45750.0</v>
      </c>
      <c r="N1937" s="11" t="s">
        <v>35</v>
      </c>
      <c r="O1937" s="10" t="str">
        <f t="shared" si="79"/>
        <v>10/2025</v>
      </c>
      <c r="P1937" s="10" t="str">
        <f t="shared" si="81"/>
        <v>10/2025</v>
      </c>
      <c r="Q1937" s="15" t="str">
        <f t="array" ref="Q1937">IFERROR(XLOOKUP(N1937,'Classificação'!A:A,'Classificação'!B:B),"")</f>
        <v>COMPRA DE MERCADORIA</v>
      </c>
      <c r="R1937" s="15" t="str">
        <f t="array" ref="R1937">IFERROR(XLOOKUP(Q1937,'Classificação'!B:B,'Classificação'!C:C),"")</f>
        <v>CUSTOS VARIÁVEIS</v>
      </c>
      <c r="S1937" s="15">
        <f t="shared" si="91"/>
        <v>20</v>
      </c>
      <c r="T1937" s="15">
        <f t="shared" si="6"/>
        <v>10</v>
      </c>
      <c r="U1937" s="15">
        <f t="shared" si="7"/>
        <v>2025</v>
      </c>
      <c r="V1937" s="15">
        <f t="shared" si="8"/>
        <v>20</v>
      </c>
      <c r="W1937" s="15">
        <f t="shared" si="9"/>
        <v>10</v>
      </c>
      <c r="X1937" s="15">
        <f t="shared" si="10"/>
        <v>2025</v>
      </c>
    </row>
    <row r="1938">
      <c r="A1938" s="32">
        <v>45951.0</v>
      </c>
      <c r="B1938" s="10"/>
      <c r="C1938" s="9">
        <f t="shared" si="90"/>
        <v>45951</v>
      </c>
      <c r="D1938" s="11" t="s">
        <v>1005</v>
      </c>
      <c r="E1938" s="29" t="s">
        <v>25</v>
      </c>
      <c r="F1938" s="11" t="s">
        <v>26</v>
      </c>
      <c r="G1938" s="11" t="s">
        <v>37</v>
      </c>
      <c r="H1938" s="11" t="s">
        <v>1032</v>
      </c>
      <c r="I1938" s="12">
        <v>260.0</v>
      </c>
      <c r="J1938" s="13"/>
      <c r="K1938" s="13">
        <f t="shared" si="111"/>
        <v>260</v>
      </c>
      <c r="L1938" s="11" t="s">
        <v>34</v>
      </c>
      <c r="M1938" s="14"/>
      <c r="N1938" s="11" t="s">
        <v>58</v>
      </c>
      <c r="O1938" s="10" t="str">
        <f t="shared" si="79"/>
        <v>10/2025</v>
      </c>
      <c r="P1938" s="10" t="str">
        <f t="shared" si="81"/>
        <v>10/2025</v>
      </c>
      <c r="Q1938" s="15" t="str">
        <f t="array" ref="Q1938">IFERROR(XLOOKUP(N1938,'Classificação'!A:A,'Classificação'!B:B),"")</f>
        <v>DESPESAS ADMINISTRATIVAS</v>
      </c>
      <c r="R1938" s="15" t="str">
        <f t="array" ref="R1938">IFERROR(XLOOKUP(Q1938,'Classificação'!B:B,'Classificação'!C:C),"")</f>
        <v>DESPESAS FIXAS (-)</v>
      </c>
      <c r="S1938" s="15">
        <f t="shared" si="91"/>
        <v>21</v>
      </c>
      <c r="T1938" s="15">
        <f t="shared" si="6"/>
        <v>10</v>
      </c>
      <c r="U1938" s="15">
        <f t="shared" si="7"/>
        <v>2025</v>
      </c>
      <c r="V1938" s="15">
        <f t="shared" si="8"/>
        <v>21</v>
      </c>
      <c r="W1938" s="15">
        <f t="shared" si="9"/>
        <v>10</v>
      </c>
      <c r="X1938" s="15">
        <f t="shared" si="10"/>
        <v>2025</v>
      </c>
    </row>
    <row r="1939">
      <c r="A1939" s="9">
        <v>45951.0</v>
      </c>
      <c r="B1939" s="10"/>
      <c r="C1939" s="9">
        <f t="shared" si="90"/>
        <v>45951</v>
      </c>
      <c r="D1939" s="28" t="s">
        <v>76</v>
      </c>
      <c r="E1939" s="29" t="s">
        <v>25</v>
      </c>
      <c r="F1939" s="28" t="s">
        <v>26</v>
      </c>
      <c r="G1939" s="29" t="s">
        <v>37</v>
      </c>
      <c r="H1939" s="28" t="s">
        <v>84</v>
      </c>
      <c r="I1939" s="24">
        <v>1214.27</v>
      </c>
      <c r="J1939" s="13"/>
      <c r="K1939" s="13">
        <f t="shared" si="111"/>
        <v>1214.27</v>
      </c>
      <c r="L1939" s="28" t="s">
        <v>53</v>
      </c>
      <c r="M1939" s="16" t="s">
        <v>1033</v>
      </c>
      <c r="N1939" s="28" t="s">
        <v>85</v>
      </c>
      <c r="O1939" s="10" t="str">
        <f t="shared" si="79"/>
        <v>10/2025</v>
      </c>
      <c r="P1939" s="10" t="str">
        <f t="shared" si="81"/>
        <v>10/2025</v>
      </c>
      <c r="Q1939" s="15" t="str">
        <f t="array" ref="Q1939">IFERROR(XLOOKUP(N1939,'Classificação'!A:A,'Classificação'!B:B),"")</f>
        <v>DESPESAS NÃO OPERACIONAIS</v>
      </c>
      <c r="R1939" s="15" t="str">
        <f t="array" ref="R1939">IFERROR(XLOOKUP(Q1939,'Classificação'!B:B,'Classificação'!C:C),"")</f>
        <v>RESULTADO NÃO OPERACIONAL (+/-)</v>
      </c>
      <c r="S1939" s="15">
        <f t="shared" si="91"/>
        <v>21</v>
      </c>
      <c r="T1939" s="15">
        <f t="shared" si="6"/>
        <v>10</v>
      </c>
      <c r="U1939" s="15">
        <f t="shared" si="7"/>
        <v>2025</v>
      </c>
      <c r="V1939" s="15">
        <f t="shared" si="8"/>
        <v>21</v>
      </c>
      <c r="W1939" s="15">
        <f t="shared" si="9"/>
        <v>10</v>
      </c>
      <c r="X1939" s="15">
        <f t="shared" si="10"/>
        <v>2025</v>
      </c>
    </row>
    <row r="1940">
      <c r="A1940" s="9">
        <v>45952.0</v>
      </c>
      <c r="B1940" s="10"/>
      <c r="C1940" s="9">
        <f t="shared" si="90"/>
        <v>45952</v>
      </c>
      <c r="D1940" s="28" t="s">
        <v>76</v>
      </c>
      <c r="E1940" s="29" t="s">
        <v>25</v>
      </c>
      <c r="F1940" s="28" t="s">
        <v>26</v>
      </c>
      <c r="G1940" s="29" t="s">
        <v>37</v>
      </c>
      <c r="H1940" s="28" t="s">
        <v>84</v>
      </c>
      <c r="I1940" s="24">
        <v>1214.27</v>
      </c>
      <c r="J1940" s="13"/>
      <c r="K1940" s="13">
        <f t="shared" si="111"/>
        <v>1214.27</v>
      </c>
      <c r="L1940" s="28" t="s">
        <v>53</v>
      </c>
      <c r="M1940" s="16" t="s">
        <v>1033</v>
      </c>
      <c r="N1940" s="28" t="s">
        <v>85</v>
      </c>
      <c r="O1940" s="10" t="str">
        <f t="shared" si="79"/>
        <v>10/2025</v>
      </c>
      <c r="P1940" s="10" t="str">
        <f t="shared" si="81"/>
        <v>10/2025</v>
      </c>
      <c r="Q1940" s="15" t="str">
        <f t="array" ref="Q1940">IFERROR(XLOOKUP(N1940,'Classificação'!A:A,'Classificação'!B:B),"")</f>
        <v>DESPESAS NÃO OPERACIONAIS</v>
      </c>
      <c r="R1940" s="15" t="str">
        <f t="array" ref="R1940">IFERROR(XLOOKUP(Q1940,'Classificação'!B:B,'Classificação'!C:C),"")</f>
        <v>RESULTADO NÃO OPERACIONAL (+/-)</v>
      </c>
      <c r="S1940" s="15">
        <f t="shared" si="91"/>
        <v>22</v>
      </c>
      <c r="T1940" s="15">
        <f t="shared" si="6"/>
        <v>10</v>
      </c>
      <c r="U1940" s="15">
        <f t="shared" si="7"/>
        <v>2025</v>
      </c>
      <c r="V1940" s="15">
        <f t="shared" si="8"/>
        <v>22</v>
      </c>
      <c r="W1940" s="15">
        <f t="shared" si="9"/>
        <v>10</v>
      </c>
      <c r="X1940" s="15">
        <f t="shared" si="10"/>
        <v>2025</v>
      </c>
    </row>
    <row r="1941">
      <c r="A1941" s="9">
        <v>45953.0</v>
      </c>
      <c r="B1941" s="10"/>
      <c r="C1941" s="9">
        <f t="shared" si="90"/>
        <v>45953</v>
      </c>
      <c r="D1941" s="11" t="s">
        <v>36</v>
      </c>
      <c r="E1941" s="11" t="s">
        <v>25</v>
      </c>
      <c r="F1941" s="29" t="s">
        <v>26</v>
      </c>
      <c r="G1941" s="11" t="s">
        <v>27</v>
      </c>
      <c r="I1941" s="12">
        <v>950.0</v>
      </c>
      <c r="J1941" s="13"/>
      <c r="K1941" s="13">
        <f t="shared" si="111"/>
        <v>950</v>
      </c>
      <c r="L1941" s="11" t="s">
        <v>29</v>
      </c>
      <c r="M1941" s="14"/>
      <c r="N1941" s="11" t="s">
        <v>38</v>
      </c>
      <c r="O1941" s="10" t="str">
        <f t="shared" si="79"/>
        <v>10/2025</v>
      </c>
      <c r="P1941" s="10" t="str">
        <f t="shared" si="81"/>
        <v>10/2025</v>
      </c>
      <c r="Q1941" s="15" t="str">
        <f t="array" ref="Q1941">IFERROR(XLOOKUP(N1941,'Classificação'!A:A,'Classificação'!B:B),"")</f>
        <v>DESPESAS COM PESSOAL</v>
      </c>
      <c r="R1941" s="15" t="str">
        <f t="array" ref="R1941">IFERROR(XLOOKUP(Q1941,'Classificação'!B:B,'Classificação'!C:C),"")</f>
        <v>DESPESAS FIXAS (-)</v>
      </c>
      <c r="S1941" s="15">
        <f t="shared" si="91"/>
        <v>23</v>
      </c>
      <c r="T1941" s="15">
        <f t="shared" si="6"/>
        <v>10</v>
      </c>
      <c r="U1941" s="15">
        <f t="shared" si="7"/>
        <v>2025</v>
      </c>
      <c r="V1941" s="15">
        <f t="shared" si="8"/>
        <v>23</v>
      </c>
      <c r="W1941" s="15">
        <f t="shared" si="9"/>
        <v>10</v>
      </c>
      <c r="X1941" s="15">
        <f t="shared" si="10"/>
        <v>2025</v>
      </c>
    </row>
    <row r="1942">
      <c r="A1942" s="9">
        <v>45953.0</v>
      </c>
      <c r="B1942" s="10"/>
      <c r="C1942" s="9">
        <f t="shared" si="90"/>
        <v>45953</v>
      </c>
      <c r="D1942" s="11" t="s">
        <v>43</v>
      </c>
      <c r="E1942" s="11" t="s">
        <v>25</v>
      </c>
      <c r="F1942" s="11" t="s">
        <v>32</v>
      </c>
      <c r="G1942" s="11" t="s">
        <v>27</v>
      </c>
      <c r="I1942" s="12">
        <v>951.0</v>
      </c>
      <c r="J1942" s="13"/>
      <c r="K1942" s="13">
        <f t="shared" si="111"/>
        <v>951</v>
      </c>
      <c r="L1942" s="11" t="s">
        <v>29</v>
      </c>
      <c r="M1942" s="14"/>
      <c r="N1942" s="11" t="s">
        <v>38</v>
      </c>
      <c r="O1942" s="10" t="str">
        <f t="shared" si="79"/>
        <v>10/2025</v>
      </c>
      <c r="P1942" s="10" t="str">
        <f t="shared" si="81"/>
        <v>10/2025</v>
      </c>
      <c r="Q1942" s="15" t="str">
        <f t="array" ref="Q1942">IFERROR(XLOOKUP(N1942,'Classificação'!A:A,'Classificação'!B:B),"")</f>
        <v>DESPESAS COM PESSOAL</v>
      </c>
      <c r="R1942" s="15" t="str">
        <f t="array" ref="R1942">IFERROR(XLOOKUP(Q1942,'Classificação'!B:B,'Classificação'!C:C),"")</f>
        <v>DESPESAS FIXAS (-)</v>
      </c>
      <c r="S1942" s="15">
        <f t="shared" si="91"/>
        <v>23</v>
      </c>
      <c r="T1942" s="15">
        <f t="shared" si="6"/>
        <v>10</v>
      </c>
      <c r="U1942" s="15">
        <f t="shared" si="7"/>
        <v>2025</v>
      </c>
      <c r="V1942" s="15">
        <f t="shared" si="8"/>
        <v>23</v>
      </c>
      <c r="W1942" s="15">
        <f t="shared" si="9"/>
        <v>10</v>
      </c>
      <c r="X1942" s="15">
        <f t="shared" si="10"/>
        <v>2025</v>
      </c>
    </row>
    <row r="1943">
      <c r="A1943" s="9">
        <v>45953.0</v>
      </c>
      <c r="B1943" s="10"/>
      <c r="C1943" s="9">
        <f t="shared" si="90"/>
        <v>45953</v>
      </c>
      <c r="D1943" s="11" t="s">
        <v>127</v>
      </c>
      <c r="E1943" s="11" t="s">
        <v>25</v>
      </c>
      <c r="F1943" s="11" t="s">
        <v>26</v>
      </c>
      <c r="G1943" s="11" t="s">
        <v>37</v>
      </c>
      <c r="H1943" s="11" t="s">
        <v>1034</v>
      </c>
      <c r="I1943" s="12">
        <v>600.46</v>
      </c>
      <c r="J1943" s="13"/>
      <c r="K1943" s="13">
        <f t="shared" si="111"/>
        <v>600.46</v>
      </c>
      <c r="L1943" s="11" t="s">
        <v>29</v>
      </c>
      <c r="M1943" s="14"/>
      <c r="N1943" s="11" t="s">
        <v>58</v>
      </c>
      <c r="O1943" s="10" t="str">
        <f t="shared" si="79"/>
        <v>10/2025</v>
      </c>
      <c r="P1943" s="10" t="str">
        <f t="shared" si="81"/>
        <v>10/2025</v>
      </c>
      <c r="Q1943" s="15" t="str">
        <f t="array" ref="Q1943">IFERROR(XLOOKUP(N1943,'Classificação'!A:A,'Classificação'!B:B),"")</f>
        <v>DESPESAS ADMINISTRATIVAS</v>
      </c>
      <c r="R1943" s="15" t="str">
        <f t="array" ref="R1943">IFERROR(XLOOKUP(Q1943,'Classificação'!B:B,'Classificação'!C:C),"")</f>
        <v>DESPESAS FIXAS (-)</v>
      </c>
      <c r="S1943" s="15">
        <f t="shared" si="91"/>
        <v>23</v>
      </c>
      <c r="T1943" s="15">
        <f t="shared" si="6"/>
        <v>10</v>
      </c>
      <c r="U1943" s="15">
        <f t="shared" si="7"/>
        <v>2025</v>
      </c>
      <c r="V1943" s="15">
        <f t="shared" si="8"/>
        <v>23</v>
      </c>
      <c r="W1943" s="15">
        <f t="shared" si="9"/>
        <v>10</v>
      </c>
      <c r="X1943" s="15">
        <f t="shared" si="10"/>
        <v>2025</v>
      </c>
    </row>
    <row r="1944">
      <c r="A1944" s="26">
        <v>45954.0</v>
      </c>
      <c r="B1944" s="30"/>
      <c r="C1944" s="27">
        <f t="shared" si="90"/>
        <v>45954</v>
      </c>
      <c r="D1944" s="28" t="s">
        <v>36</v>
      </c>
      <c r="E1944" s="29" t="s">
        <v>25</v>
      </c>
      <c r="F1944" s="29" t="s">
        <v>26</v>
      </c>
      <c r="G1944" s="29" t="s">
        <v>37</v>
      </c>
      <c r="H1944" s="28"/>
      <c r="I1944" s="24">
        <v>1661.0</v>
      </c>
      <c r="J1944" s="34"/>
      <c r="K1944" s="13">
        <f t="shared" si="111"/>
        <v>1661</v>
      </c>
      <c r="L1944" s="28" t="s">
        <v>29</v>
      </c>
      <c r="M1944" s="28"/>
      <c r="N1944" s="28" t="s">
        <v>38</v>
      </c>
      <c r="O1944" s="10" t="str">
        <f t="shared" si="79"/>
        <v>10/2025</v>
      </c>
      <c r="P1944" s="10" t="str">
        <f t="shared" si="81"/>
        <v>10/2025</v>
      </c>
      <c r="Q1944" s="15" t="str">
        <f t="array" ref="Q1944">IFERROR(XLOOKUP(N1944,'Classificação'!A:A,'Classificação'!B:B),"")</f>
        <v>DESPESAS COM PESSOAL</v>
      </c>
      <c r="R1944" s="15" t="str">
        <f t="array" ref="R1944">IFERROR(XLOOKUP(Q1944,'Classificação'!B:B,'Classificação'!C:C),"")</f>
        <v>DESPESAS FIXAS (-)</v>
      </c>
      <c r="S1944" s="15">
        <f t="shared" si="91"/>
        <v>24</v>
      </c>
      <c r="T1944" s="15">
        <f t="shared" si="6"/>
        <v>10</v>
      </c>
      <c r="U1944" s="15">
        <f t="shared" si="7"/>
        <v>2025</v>
      </c>
      <c r="V1944" s="15">
        <f t="shared" si="8"/>
        <v>24</v>
      </c>
      <c r="W1944" s="15">
        <f t="shared" si="9"/>
        <v>10</v>
      </c>
      <c r="X1944" s="15">
        <f t="shared" si="10"/>
        <v>2025</v>
      </c>
    </row>
    <row r="1945">
      <c r="A1945" s="26">
        <v>45954.0</v>
      </c>
      <c r="B1945" s="30"/>
      <c r="C1945" s="27">
        <f t="shared" si="90"/>
        <v>45954</v>
      </c>
      <c r="D1945" s="28" t="s">
        <v>43</v>
      </c>
      <c r="E1945" s="29" t="s">
        <v>25</v>
      </c>
      <c r="F1945" s="29" t="s">
        <v>26</v>
      </c>
      <c r="G1945" s="29" t="s">
        <v>37</v>
      </c>
      <c r="H1945" s="28"/>
      <c r="I1945" s="24">
        <v>1661.0</v>
      </c>
      <c r="J1945" s="34"/>
      <c r="K1945" s="13">
        <f t="shared" si="111"/>
        <v>1661</v>
      </c>
      <c r="L1945" s="28" t="s">
        <v>29</v>
      </c>
      <c r="M1945" s="28"/>
      <c r="N1945" s="28" t="s">
        <v>38</v>
      </c>
      <c r="O1945" s="10" t="str">
        <f t="shared" si="79"/>
        <v>10/2025</v>
      </c>
      <c r="P1945" s="10" t="str">
        <f t="shared" si="81"/>
        <v>10/2025</v>
      </c>
      <c r="Q1945" s="15" t="str">
        <f t="array" ref="Q1945">IFERROR(XLOOKUP(N1945,'Classificação'!A:A,'Classificação'!B:B),"")</f>
        <v>DESPESAS COM PESSOAL</v>
      </c>
      <c r="R1945" s="15" t="str">
        <f t="array" ref="R1945">IFERROR(XLOOKUP(Q1945,'Classificação'!B:B,'Classificação'!C:C),"")</f>
        <v>DESPESAS FIXAS (-)</v>
      </c>
      <c r="S1945" s="15">
        <f t="shared" si="91"/>
        <v>24</v>
      </c>
      <c r="T1945" s="15">
        <f t="shared" si="6"/>
        <v>10</v>
      </c>
      <c r="U1945" s="15">
        <f t="shared" si="7"/>
        <v>2025</v>
      </c>
      <c r="V1945" s="15">
        <f t="shared" si="8"/>
        <v>24</v>
      </c>
      <c r="W1945" s="15">
        <f t="shared" si="9"/>
        <v>10</v>
      </c>
      <c r="X1945" s="15">
        <f t="shared" si="10"/>
        <v>2025</v>
      </c>
    </row>
    <row r="1946">
      <c r="A1946" s="9">
        <v>45954.0</v>
      </c>
      <c r="B1946" s="10"/>
      <c r="C1946" s="9">
        <f t="shared" si="90"/>
        <v>45954</v>
      </c>
      <c r="D1946" s="11" t="s">
        <v>39</v>
      </c>
      <c r="E1946" s="11" t="s">
        <v>25</v>
      </c>
      <c r="F1946" s="11" t="s">
        <v>40</v>
      </c>
      <c r="G1946" s="11" t="s">
        <v>27</v>
      </c>
      <c r="H1946" s="11" t="s">
        <v>640</v>
      </c>
      <c r="I1946" s="12">
        <v>142.68</v>
      </c>
      <c r="J1946" s="13"/>
      <c r="K1946" s="13">
        <f t="shared" si="111"/>
        <v>142.68</v>
      </c>
      <c r="L1946" s="11" t="s">
        <v>53</v>
      </c>
      <c r="M1946" s="17">
        <v>45938.0</v>
      </c>
      <c r="N1946" s="11" t="s">
        <v>355</v>
      </c>
      <c r="O1946" s="10" t="str">
        <f t="shared" si="79"/>
        <v>10/2025</v>
      </c>
      <c r="P1946" s="10" t="str">
        <f t="shared" si="81"/>
        <v>10/2025</v>
      </c>
      <c r="Q1946" s="15" t="str">
        <f t="array" ref="Q1946">IFERROR(XLOOKUP(N1946,'Classificação'!A:A,'Classificação'!B:B),"")</f>
        <v>IMPOSTOS E TAXAS DIVERSAS</v>
      </c>
      <c r="R1946" s="15" t="str">
        <f t="array" ref="R1946">IFERROR(XLOOKUP(Q1946,'Classificação'!B:B,'Classificação'!C:C),"")</f>
        <v>DESPESAS FIXAS (-)</v>
      </c>
      <c r="S1946" s="15">
        <f t="shared" si="91"/>
        <v>24</v>
      </c>
      <c r="T1946" s="15">
        <f t="shared" si="6"/>
        <v>10</v>
      </c>
      <c r="U1946" s="15">
        <f t="shared" si="7"/>
        <v>2025</v>
      </c>
      <c r="V1946" s="15">
        <f t="shared" si="8"/>
        <v>24</v>
      </c>
      <c r="W1946" s="15">
        <f t="shared" si="9"/>
        <v>10</v>
      </c>
      <c r="X1946" s="15">
        <f t="shared" si="10"/>
        <v>2025</v>
      </c>
    </row>
    <row r="1947">
      <c r="A1947" s="32">
        <v>45957.0</v>
      </c>
      <c r="B1947" s="9">
        <v>45925.0</v>
      </c>
      <c r="C1947" s="9">
        <f t="shared" si="90"/>
        <v>45957</v>
      </c>
      <c r="D1947" s="11" t="s">
        <v>1035</v>
      </c>
      <c r="E1947" s="29" t="s">
        <v>25</v>
      </c>
      <c r="F1947" s="11" t="s">
        <v>26</v>
      </c>
      <c r="G1947" s="11" t="s">
        <v>37</v>
      </c>
      <c r="H1947" s="11" t="s">
        <v>1036</v>
      </c>
      <c r="I1947" s="31">
        <v>39.26</v>
      </c>
      <c r="J1947" s="13"/>
      <c r="K1947" s="13">
        <f t="shared" si="111"/>
        <v>39.26</v>
      </c>
      <c r="L1947" s="11" t="s">
        <v>34</v>
      </c>
      <c r="M1947" s="14"/>
      <c r="N1947" s="11" t="s">
        <v>272</v>
      </c>
      <c r="O1947" s="10" t="str">
        <f t="shared" si="79"/>
        <v>10/2025</v>
      </c>
      <c r="P1947" s="10" t="str">
        <f t="shared" si="81"/>
        <v>10/2025</v>
      </c>
      <c r="Q1947" s="15" t="str">
        <f t="array" ref="Q1947">IFERROR(XLOOKUP(N1947,'Classificação'!A:A,'Classificação'!B:B),"")</f>
        <v>DESPESAS COM VIAGENS</v>
      </c>
      <c r="R1947" s="15" t="str">
        <f t="array" ref="R1947">IFERROR(XLOOKUP(Q1947,'Classificação'!B:B,'Classificação'!C:C),"")</f>
        <v>DESPESAS FIXAS (-)</v>
      </c>
      <c r="S1947" s="15">
        <f t="shared" si="91"/>
        <v>27</v>
      </c>
      <c r="T1947" s="15">
        <f t="shared" si="6"/>
        <v>10</v>
      </c>
      <c r="U1947" s="15">
        <f t="shared" si="7"/>
        <v>2025</v>
      </c>
      <c r="V1947" s="15">
        <f t="shared" si="8"/>
        <v>27</v>
      </c>
      <c r="W1947" s="15">
        <f t="shared" si="9"/>
        <v>10</v>
      </c>
      <c r="X1947" s="15">
        <f t="shared" si="10"/>
        <v>2025</v>
      </c>
    </row>
    <row r="1948">
      <c r="A1948" s="32">
        <v>45957.0</v>
      </c>
      <c r="B1948" s="32">
        <v>45611.0</v>
      </c>
      <c r="C1948" s="9">
        <f t="shared" si="90"/>
        <v>45957</v>
      </c>
      <c r="D1948" s="11" t="s">
        <v>361</v>
      </c>
      <c r="E1948" s="29" t="s">
        <v>25</v>
      </c>
      <c r="F1948" s="29" t="s">
        <v>26</v>
      </c>
      <c r="G1948" s="11" t="s">
        <v>37</v>
      </c>
      <c r="H1948" s="11" t="s">
        <v>362</v>
      </c>
      <c r="I1948" s="12">
        <v>180.11</v>
      </c>
      <c r="J1948" s="13"/>
      <c r="K1948" s="13">
        <f t="shared" si="111"/>
        <v>180.11</v>
      </c>
      <c r="L1948" s="11" t="s">
        <v>53</v>
      </c>
      <c r="M1948" s="17">
        <v>45638.0</v>
      </c>
      <c r="N1948" s="11" t="s">
        <v>363</v>
      </c>
      <c r="O1948" s="10" t="str">
        <f t="shared" si="79"/>
        <v>10/2025</v>
      </c>
      <c r="P1948" s="10" t="str">
        <f t="shared" si="81"/>
        <v>10/2025</v>
      </c>
      <c r="Q1948" s="15" t="str">
        <f t="array" ref="Q1948">IFERROR(XLOOKUP(N1948,'Classificação'!A:A,'Classificação'!B:B),"")</f>
        <v>DESPESAS NÃO OPERACIONAIS</v>
      </c>
      <c r="R1948" s="15" t="str">
        <f t="array" ref="R1948">IFERROR(XLOOKUP(Q1948,'Classificação'!B:B,'Classificação'!C:C),"")</f>
        <v>RESULTADO NÃO OPERACIONAL (+/-)</v>
      </c>
      <c r="S1948" s="15">
        <f t="shared" si="91"/>
        <v>27</v>
      </c>
      <c r="T1948" s="15">
        <f t="shared" si="6"/>
        <v>10</v>
      </c>
      <c r="U1948" s="15">
        <f t="shared" si="7"/>
        <v>2025</v>
      </c>
      <c r="V1948" s="15">
        <f t="shared" si="8"/>
        <v>27</v>
      </c>
      <c r="W1948" s="15">
        <f t="shared" si="9"/>
        <v>10</v>
      </c>
      <c r="X1948" s="15">
        <f t="shared" si="10"/>
        <v>2025</v>
      </c>
    </row>
    <row r="1949">
      <c r="A1949" s="32">
        <v>45957.0</v>
      </c>
      <c r="B1949" s="9">
        <v>45834.0</v>
      </c>
      <c r="C1949" s="9">
        <f t="shared" si="90"/>
        <v>45957</v>
      </c>
      <c r="D1949" s="11" t="s">
        <v>691</v>
      </c>
      <c r="E1949" s="29" t="s">
        <v>25</v>
      </c>
      <c r="F1949" s="11" t="s">
        <v>26</v>
      </c>
      <c r="G1949" s="11" t="s">
        <v>37</v>
      </c>
      <c r="H1949" s="11" t="s">
        <v>973</v>
      </c>
      <c r="I1949" s="12">
        <v>196.53</v>
      </c>
      <c r="J1949" s="13"/>
      <c r="K1949" s="13">
        <f t="shared" si="111"/>
        <v>196.53</v>
      </c>
      <c r="L1949" s="11" t="s">
        <v>53</v>
      </c>
      <c r="M1949" s="17">
        <v>45812.0</v>
      </c>
      <c r="N1949" s="11" t="s">
        <v>61</v>
      </c>
      <c r="O1949" s="10" t="str">
        <f t="shared" si="79"/>
        <v>10/2025</v>
      </c>
      <c r="P1949" s="10" t="str">
        <f t="shared" si="81"/>
        <v>10/2025</v>
      </c>
      <c r="Q1949" s="15" t="str">
        <f t="array" ref="Q1949">IFERROR(XLOOKUP(N1949,'Classificação'!A:A,'Classificação'!B:B),"")</f>
        <v>DESPESAS ADMINISTRATIVAS</v>
      </c>
      <c r="R1949" s="15" t="str">
        <f t="array" ref="R1949">IFERROR(XLOOKUP(Q1949,'Classificação'!B:B,'Classificação'!C:C),"")</f>
        <v>DESPESAS FIXAS (-)</v>
      </c>
      <c r="S1949" s="15">
        <f t="shared" si="91"/>
        <v>27</v>
      </c>
      <c r="T1949" s="15">
        <f t="shared" si="6"/>
        <v>10</v>
      </c>
      <c r="U1949" s="15">
        <f t="shared" si="7"/>
        <v>2025</v>
      </c>
      <c r="V1949" s="15">
        <f t="shared" si="8"/>
        <v>27</v>
      </c>
      <c r="W1949" s="15">
        <f t="shared" si="9"/>
        <v>10</v>
      </c>
      <c r="X1949" s="15">
        <f t="shared" si="10"/>
        <v>2025</v>
      </c>
    </row>
    <row r="1950">
      <c r="A1950" s="32">
        <v>45957.0</v>
      </c>
      <c r="B1950" s="9">
        <v>45890.0</v>
      </c>
      <c r="C1950" s="9">
        <f t="shared" si="90"/>
        <v>45957</v>
      </c>
      <c r="D1950" s="11" t="s">
        <v>974</v>
      </c>
      <c r="E1950" s="29" t="s">
        <v>25</v>
      </c>
      <c r="F1950" s="11" t="s">
        <v>26</v>
      </c>
      <c r="G1950" s="11" t="s">
        <v>37</v>
      </c>
      <c r="H1950" s="11" t="s">
        <v>975</v>
      </c>
      <c r="I1950" s="12">
        <v>200.0</v>
      </c>
      <c r="J1950" s="13"/>
      <c r="K1950" s="13">
        <f t="shared" si="111"/>
        <v>200</v>
      </c>
      <c r="L1950" s="11" t="s">
        <v>53</v>
      </c>
      <c r="M1950" s="17">
        <v>45718.0</v>
      </c>
      <c r="N1950" s="11" t="s">
        <v>175</v>
      </c>
      <c r="O1950" s="10" t="str">
        <f t="shared" si="79"/>
        <v>10/2025</v>
      </c>
      <c r="P1950" s="10" t="str">
        <f t="shared" si="81"/>
        <v>10/2025</v>
      </c>
      <c r="Q1950" s="15" t="str">
        <f t="array" ref="Q1950">IFERROR(XLOOKUP(N1950,'Classificação'!A:A,'Classificação'!B:B),"")</f>
        <v>DESPESAS COM VEICULOS</v>
      </c>
      <c r="R1950" s="15" t="str">
        <f t="array" ref="R1950">IFERROR(XLOOKUP(Q1950,'Classificação'!B:B,'Classificação'!C:C),"")</f>
        <v>DESPESAS FIXAS (-)</v>
      </c>
      <c r="S1950" s="15">
        <f t="shared" si="91"/>
        <v>27</v>
      </c>
      <c r="T1950" s="15">
        <f t="shared" si="6"/>
        <v>10</v>
      </c>
      <c r="U1950" s="15">
        <f t="shared" si="7"/>
        <v>2025</v>
      </c>
      <c r="V1950" s="15">
        <f t="shared" si="8"/>
        <v>27</v>
      </c>
      <c r="W1950" s="15">
        <f t="shared" si="9"/>
        <v>10</v>
      </c>
      <c r="X1950" s="15">
        <f t="shared" si="10"/>
        <v>2025</v>
      </c>
    </row>
    <row r="1951">
      <c r="A1951" s="32">
        <v>45957.0</v>
      </c>
      <c r="B1951" s="9">
        <v>45910.0</v>
      </c>
      <c r="C1951" s="9">
        <f t="shared" si="90"/>
        <v>45957</v>
      </c>
      <c r="D1951" s="11" t="s">
        <v>329</v>
      </c>
      <c r="E1951" s="29" t="s">
        <v>25</v>
      </c>
      <c r="F1951" s="11" t="s">
        <v>26</v>
      </c>
      <c r="G1951" s="11" t="s">
        <v>37</v>
      </c>
      <c r="H1951" s="11" t="s">
        <v>1037</v>
      </c>
      <c r="I1951" s="12">
        <v>294.98</v>
      </c>
      <c r="J1951" s="13"/>
      <c r="K1951" s="13">
        <f t="shared" si="111"/>
        <v>294.98</v>
      </c>
      <c r="L1951" s="11" t="s">
        <v>34</v>
      </c>
      <c r="M1951" s="14"/>
      <c r="N1951" s="11" t="s">
        <v>331</v>
      </c>
      <c r="O1951" s="10" t="str">
        <f t="shared" si="79"/>
        <v>10/2025</v>
      </c>
      <c r="P1951" s="10" t="str">
        <f t="shared" si="81"/>
        <v>10/2025</v>
      </c>
      <c r="Q1951" s="15" t="str">
        <f t="array" ref="Q1951">IFERROR(XLOOKUP(N1951,'Classificação'!A:A,'Classificação'!B:B),"")</f>
        <v>DESPESAS COM VIAGENS</v>
      </c>
      <c r="R1951" s="15" t="str">
        <f t="array" ref="R1951">IFERROR(XLOOKUP(Q1951,'Classificação'!B:B,'Classificação'!C:C),"")</f>
        <v>DESPESAS FIXAS (-)</v>
      </c>
      <c r="S1951" s="15">
        <f t="shared" si="91"/>
        <v>27</v>
      </c>
      <c r="T1951" s="15">
        <f t="shared" si="6"/>
        <v>10</v>
      </c>
      <c r="U1951" s="15">
        <f t="shared" si="7"/>
        <v>2025</v>
      </c>
      <c r="V1951" s="15">
        <f t="shared" si="8"/>
        <v>27</v>
      </c>
      <c r="W1951" s="15">
        <f t="shared" si="9"/>
        <v>10</v>
      </c>
      <c r="X1951" s="15">
        <f t="shared" si="10"/>
        <v>2025</v>
      </c>
    </row>
    <row r="1952">
      <c r="A1952" s="32">
        <v>45957.0</v>
      </c>
      <c r="B1952" s="9">
        <v>45924.0</v>
      </c>
      <c r="C1952" s="9">
        <f t="shared" si="90"/>
        <v>45957</v>
      </c>
      <c r="D1952" s="11" t="s">
        <v>182</v>
      </c>
      <c r="E1952" s="29" t="s">
        <v>25</v>
      </c>
      <c r="F1952" s="11" t="s">
        <v>26</v>
      </c>
      <c r="G1952" s="11" t="s">
        <v>37</v>
      </c>
      <c r="H1952" s="11" t="s">
        <v>1038</v>
      </c>
      <c r="I1952" s="12">
        <v>53.75</v>
      </c>
      <c r="J1952" s="13"/>
      <c r="K1952" s="13">
        <f t="shared" si="111"/>
        <v>53.75</v>
      </c>
      <c r="L1952" s="11" t="s">
        <v>34</v>
      </c>
      <c r="M1952" s="14"/>
      <c r="N1952" s="11" t="s">
        <v>184</v>
      </c>
      <c r="O1952" s="10" t="str">
        <f t="shared" si="79"/>
        <v>10/2025</v>
      </c>
      <c r="P1952" s="10" t="str">
        <f t="shared" si="81"/>
        <v>10/2025</v>
      </c>
      <c r="Q1952" s="15" t="str">
        <f t="array" ref="Q1952">IFERROR(XLOOKUP(N1952,'Classificação'!A:A,'Classificação'!B:B),"")</f>
        <v>DESPESAS ADMINISTRATIVAS</v>
      </c>
      <c r="R1952" s="15" t="str">
        <f t="array" ref="R1952">IFERROR(XLOOKUP(Q1952,'Classificação'!B:B,'Classificação'!C:C),"")</f>
        <v>DESPESAS FIXAS (-)</v>
      </c>
      <c r="S1952" s="15">
        <f t="shared" si="91"/>
        <v>27</v>
      </c>
      <c r="T1952" s="15">
        <f t="shared" si="6"/>
        <v>10</v>
      </c>
      <c r="U1952" s="15">
        <f t="shared" si="7"/>
        <v>2025</v>
      </c>
      <c r="V1952" s="15">
        <f t="shared" si="8"/>
        <v>27</v>
      </c>
      <c r="W1952" s="15">
        <f t="shared" si="9"/>
        <v>10</v>
      </c>
      <c r="X1952" s="15">
        <f t="shared" si="10"/>
        <v>2025</v>
      </c>
    </row>
    <row r="1953">
      <c r="A1953" s="32">
        <v>45957.0</v>
      </c>
      <c r="B1953" s="9">
        <v>45924.0</v>
      </c>
      <c r="C1953" s="9">
        <f t="shared" si="90"/>
        <v>45957</v>
      </c>
      <c r="D1953" s="11" t="s">
        <v>182</v>
      </c>
      <c r="E1953" s="29" t="s">
        <v>25</v>
      </c>
      <c r="F1953" s="11" t="s">
        <v>26</v>
      </c>
      <c r="G1953" s="11" t="s">
        <v>37</v>
      </c>
      <c r="H1953" s="11" t="s">
        <v>1038</v>
      </c>
      <c r="I1953" s="12">
        <v>16.36</v>
      </c>
      <c r="J1953" s="13"/>
      <c r="K1953" s="13">
        <f t="shared" si="111"/>
        <v>16.36</v>
      </c>
      <c r="L1953" s="11" t="s">
        <v>34</v>
      </c>
      <c r="M1953" s="14"/>
      <c r="N1953" s="11" t="s">
        <v>184</v>
      </c>
      <c r="O1953" s="10" t="str">
        <f t="shared" si="79"/>
        <v>10/2025</v>
      </c>
      <c r="P1953" s="10" t="str">
        <f t="shared" si="81"/>
        <v>10/2025</v>
      </c>
      <c r="Q1953" s="15" t="str">
        <f t="array" ref="Q1953">IFERROR(XLOOKUP(N1953,'Classificação'!A:A,'Classificação'!B:B),"")</f>
        <v>DESPESAS ADMINISTRATIVAS</v>
      </c>
      <c r="R1953" s="15" t="str">
        <f t="array" ref="R1953">IFERROR(XLOOKUP(Q1953,'Classificação'!B:B,'Classificação'!C:C),"")</f>
        <v>DESPESAS FIXAS (-)</v>
      </c>
      <c r="S1953" s="15">
        <f t="shared" si="91"/>
        <v>27</v>
      </c>
      <c r="T1953" s="15">
        <f t="shared" si="6"/>
        <v>10</v>
      </c>
      <c r="U1953" s="15">
        <f t="shared" si="7"/>
        <v>2025</v>
      </c>
      <c r="V1953" s="15">
        <f t="shared" si="8"/>
        <v>27</v>
      </c>
      <c r="W1953" s="15">
        <f t="shared" si="9"/>
        <v>10</v>
      </c>
      <c r="X1953" s="15">
        <f t="shared" si="10"/>
        <v>2025</v>
      </c>
    </row>
    <row r="1954">
      <c r="A1954" s="32">
        <v>45957.0</v>
      </c>
      <c r="B1954" s="32">
        <v>45940.0</v>
      </c>
      <c r="C1954" s="9">
        <f t="shared" si="90"/>
        <v>45957</v>
      </c>
      <c r="D1954" s="11" t="s">
        <v>570</v>
      </c>
      <c r="E1954" s="29" t="s">
        <v>25</v>
      </c>
      <c r="F1954" s="11" t="s">
        <v>26</v>
      </c>
      <c r="G1954" s="11" t="s">
        <v>37</v>
      </c>
      <c r="H1954" s="11" t="s">
        <v>1039</v>
      </c>
      <c r="I1954" s="12">
        <v>29.09</v>
      </c>
      <c r="J1954" s="13"/>
      <c r="K1954" s="13">
        <f t="shared" si="111"/>
        <v>29.09</v>
      </c>
      <c r="L1954" s="11" t="s">
        <v>34</v>
      </c>
      <c r="M1954" s="14"/>
      <c r="N1954" s="11" t="s">
        <v>105</v>
      </c>
      <c r="O1954" s="10" t="str">
        <f t="shared" si="79"/>
        <v>10/2025</v>
      </c>
      <c r="P1954" s="10" t="str">
        <f t="shared" si="81"/>
        <v>10/2025</v>
      </c>
      <c r="Q1954" s="15" t="str">
        <f t="array" ref="Q1954">IFERROR(XLOOKUP(N1954,'Classificação'!A:A,'Classificação'!B:B),"")</f>
        <v>DESPESAS ADMINISTRATIVAS</v>
      </c>
      <c r="R1954" s="15" t="str">
        <f t="array" ref="R1954">IFERROR(XLOOKUP(Q1954,'Classificação'!B:B,'Classificação'!C:C),"")</f>
        <v>DESPESAS FIXAS (-)</v>
      </c>
      <c r="S1954" s="15">
        <f t="shared" si="91"/>
        <v>27</v>
      </c>
      <c r="T1954" s="15">
        <f t="shared" si="6"/>
        <v>10</v>
      </c>
      <c r="U1954" s="15">
        <f t="shared" si="7"/>
        <v>2025</v>
      </c>
      <c r="V1954" s="15">
        <f t="shared" si="8"/>
        <v>27</v>
      </c>
      <c r="W1954" s="15">
        <f t="shared" si="9"/>
        <v>10</v>
      </c>
      <c r="X1954" s="15">
        <f t="shared" si="10"/>
        <v>2025</v>
      </c>
    </row>
    <row r="1955">
      <c r="A1955" s="32">
        <v>45957.0</v>
      </c>
      <c r="B1955" s="32">
        <v>45940.0</v>
      </c>
      <c r="C1955" s="9">
        <f t="shared" si="90"/>
        <v>45957</v>
      </c>
      <c r="D1955" s="11" t="s">
        <v>570</v>
      </c>
      <c r="E1955" s="29" t="s">
        <v>25</v>
      </c>
      <c r="F1955" s="11" t="s">
        <v>26</v>
      </c>
      <c r="G1955" s="11" t="s">
        <v>37</v>
      </c>
      <c r="H1955" s="11" t="s">
        <v>1030</v>
      </c>
      <c r="I1955" s="12">
        <v>847.42</v>
      </c>
      <c r="J1955" s="13"/>
      <c r="K1955" s="13">
        <f t="shared" si="111"/>
        <v>847.42</v>
      </c>
      <c r="L1955" s="11" t="s">
        <v>34</v>
      </c>
      <c r="M1955" s="14"/>
      <c r="N1955" s="11" t="s">
        <v>448</v>
      </c>
      <c r="O1955" s="10" t="str">
        <f t="shared" si="79"/>
        <v>10/2025</v>
      </c>
      <c r="P1955" s="10" t="str">
        <f t="shared" si="81"/>
        <v>10/2025</v>
      </c>
      <c r="Q1955" s="15" t="str">
        <f t="array" ref="Q1955">IFERROR(XLOOKUP(N1955,'Classificação'!A:A,'Classificação'!B:B),"")</f>
        <v>DESPESAS ADMINISTRATIVAS</v>
      </c>
      <c r="R1955" s="15" t="str">
        <f t="array" ref="R1955">IFERROR(XLOOKUP(Q1955,'Classificação'!B:B,'Classificação'!C:C),"")</f>
        <v>DESPESAS FIXAS (-)</v>
      </c>
      <c r="S1955" s="15">
        <f t="shared" si="91"/>
        <v>27</v>
      </c>
      <c r="T1955" s="15">
        <f t="shared" si="6"/>
        <v>10</v>
      </c>
      <c r="U1955" s="15">
        <f t="shared" si="7"/>
        <v>2025</v>
      </c>
      <c r="V1955" s="15">
        <f t="shared" si="8"/>
        <v>27</v>
      </c>
      <c r="W1955" s="15">
        <f t="shared" si="9"/>
        <v>10</v>
      </c>
      <c r="X1955" s="15">
        <f t="shared" si="10"/>
        <v>2025</v>
      </c>
    </row>
    <row r="1956">
      <c r="A1956" s="9">
        <v>45957.0</v>
      </c>
      <c r="B1956" s="10"/>
      <c r="C1956" s="9">
        <f t="shared" si="90"/>
        <v>45957</v>
      </c>
      <c r="D1956" s="11" t="s">
        <v>208</v>
      </c>
      <c r="E1956" s="11" t="s">
        <v>25</v>
      </c>
      <c r="F1956" s="11" t="s">
        <v>40</v>
      </c>
      <c r="G1956" s="11" t="s">
        <v>27</v>
      </c>
      <c r="H1956" s="11" t="s">
        <v>1040</v>
      </c>
      <c r="I1956" s="31">
        <v>204.96</v>
      </c>
      <c r="J1956" s="13"/>
      <c r="K1956" s="13">
        <f t="shared" si="111"/>
        <v>204.96</v>
      </c>
      <c r="L1956" s="11" t="s">
        <v>29</v>
      </c>
      <c r="M1956" s="14"/>
      <c r="N1956" s="11" t="s">
        <v>210</v>
      </c>
      <c r="O1956" s="10" t="str">
        <f t="shared" si="79"/>
        <v>10/2025</v>
      </c>
      <c r="P1956" s="10" t="str">
        <f t="shared" si="81"/>
        <v>10/2025</v>
      </c>
      <c r="Q1956" s="15" t="str">
        <f t="array" ref="Q1956">IFERROR(XLOOKUP(N1956,'Classificação'!A:A,'Classificação'!B:B),"")</f>
        <v>DESPESAS COM OCUPAÇÃO</v>
      </c>
      <c r="R1956" s="15" t="str">
        <f t="array" ref="R1956">IFERROR(XLOOKUP(Q1956,'Classificação'!B:B,'Classificação'!C:C),"")</f>
        <v>DESPESAS FIXAS (-)</v>
      </c>
      <c r="S1956" s="15">
        <f t="shared" si="91"/>
        <v>27</v>
      </c>
      <c r="T1956" s="15">
        <f t="shared" si="6"/>
        <v>10</v>
      </c>
      <c r="U1956" s="15">
        <f t="shared" si="7"/>
        <v>2025</v>
      </c>
      <c r="V1956" s="15">
        <f t="shared" si="8"/>
        <v>27</v>
      </c>
      <c r="W1956" s="15">
        <f t="shared" si="9"/>
        <v>10</v>
      </c>
      <c r="X1956" s="15">
        <f t="shared" si="10"/>
        <v>2025</v>
      </c>
    </row>
    <row r="1957">
      <c r="A1957" s="32">
        <v>45957.0</v>
      </c>
      <c r="B1957" s="10"/>
      <c r="C1957" s="9">
        <f t="shared" si="90"/>
        <v>45957</v>
      </c>
      <c r="D1957" s="11" t="s">
        <v>1041</v>
      </c>
      <c r="E1957" s="29" t="s">
        <v>25</v>
      </c>
      <c r="F1957" s="11" t="s">
        <v>40</v>
      </c>
      <c r="G1957" s="29" t="s">
        <v>37</v>
      </c>
      <c r="H1957" s="11" t="s">
        <v>1042</v>
      </c>
      <c r="I1957" s="12">
        <v>26245.4</v>
      </c>
      <c r="J1957" s="13"/>
      <c r="K1957" s="13">
        <f t="shared" si="111"/>
        <v>26245.4</v>
      </c>
      <c r="L1957" s="11" t="s">
        <v>34</v>
      </c>
      <c r="M1957" s="14"/>
      <c r="N1957" s="11" t="s">
        <v>35</v>
      </c>
      <c r="O1957" s="10" t="str">
        <f t="shared" si="79"/>
        <v>10/2025</v>
      </c>
      <c r="P1957" s="10" t="str">
        <f t="shared" si="81"/>
        <v>10/2025</v>
      </c>
      <c r="Q1957" s="15" t="str">
        <f t="array" ref="Q1957">IFERROR(XLOOKUP(N1957,'Classificação'!A:A,'Classificação'!B:B),"")</f>
        <v>COMPRA DE MERCADORIA</v>
      </c>
      <c r="R1957" s="15" t="str">
        <f t="array" ref="R1957">IFERROR(XLOOKUP(Q1957,'Classificação'!B:B,'Classificação'!C:C),"")</f>
        <v>CUSTOS VARIÁVEIS</v>
      </c>
      <c r="S1957" s="15">
        <f t="shared" si="91"/>
        <v>27</v>
      </c>
      <c r="T1957" s="15">
        <f t="shared" si="6"/>
        <v>10</v>
      </c>
      <c r="U1957" s="15">
        <f t="shared" si="7"/>
        <v>2025</v>
      </c>
      <c r="V1957" s="15">
        <f t="shared" si="8"/>
        <v>27</v>
      </c>
      <c r="W1957" s="15">
        <f t="shared" si="9"/>
        <v>10</v>
      </c>
      <c r="X1957" s="15">
        <f t="shared" si="10"/>
        <v>2025</v>
      </c>
    </row>
    <row r="1958">
      <c r="A1958" s="26">
        <v>45957.0</v>
      </c>
      <c r="B1958" s="30"/>
      <c r="C1958" s="27">
        <f t="shared" si="90"/>
        <v>45957</v>
      </c>
      <c r="D1958" s="28" t="s">
        <v>36</v>
      </c>
      <c r="E1958" s="29" t="s">
        <v>25</v>
      </c>
      <c r="F1958" s="29" t="s">
        <v>26</v>
      </c>
      <c r="G1958" s="11" t="s">
        <v>27</v>
      </c>
      <c r="H1958" s="28"/>
      <c r="I1958" s="24">
        <v>2410.0</v>
      </c>
      <c r="J1958" s="34"/>
      <c r="K1958" s="37">
        <f t="shared" ref="K1958:K1959" si="112">IF(E1958="pago",(I1958-J1958),"")</f>
        <v>2410</v>
      </c>
      <c r="L1958" s="28" t="s">
        <v>29</v>
      </c>
      <c r="M1958" s="28"/>
      <c r="N1958" s="28" t="s">
        <v>38</v>
      </c>
      <c r="O1958" s="10" t="str">
        <f t="shared" si="79"/>
        <v>10/2025</v>
      </c>
      <c r="P1958" s="10" t="str">
        <f t="shared" si="81"/>
        <v>10/2025</v>
      </c>
      <c r="Q1958" s="15" t="str">
        <f t="array" ref="Q1958">IFERROR(XLOOKUP(N1958,'Classificação'!A:A,'Classificação'!B:B),"")</f>
        <v>DESPESAS COM PESSOAL</v>
      </c>
      <c r="R1958" s="15" t="str">
        <f t="array" ref="R1958">IFERROR(XLOOKUP(Q1958,'Classificação'!B:B,'Classificação'!C:C),"")</f>
        <v>DESPESAS FIXAS (-)</v>
      </c>
      <c r="S1958" s="15">
        <f t="shared" si="91"/>
        <v>27</v>
      </c>
      <c r="T1958" s="15">
        <f t="shared" si="6"/>
        <v>10</v>
      </c>
      <c r="U1958" s="15">
        <f t="shared" si="7"/>
        <v>2025</v>
      </c>
      <c r="V1958" s="15">
        <f t="shared" si="8"/>
        <v>27</v>
      </c>
      <c r="W1958" s="15">
        <f t="shared" si="9"/>
        <v>10</v>
      </c>
      <c r="X1958" s="15">
        <f t="shared" si="10"/>
        <v>2025</v>
      </c>
    </row>
    <row r="1959">
      <c r="A1959" s="26">
        <v>45957.0</v>
      </c>
      <c r="B1959" s="30"/>
      <c r="C1959" s="27">
        <f t="shared" si="90"/>
        <v>45957</v>
      </c>
      <c r="D1959" s="28" t="s">
        <v>43</v>
      </c>
      <c r="E1959" s="29" t="s">
        <v>25</v>
      </c>
      <c r="F1959" s="29" t="s">
        <v>26</v>
      </c>
      <c r="G1959" s="11" t="s">
        <v>27</v>
      </c>
      <c r="H1959" s="28"/>
      <c r="I1959" s="24">
        <v>2409.0</v>
      </c>
      <c r="J1959" s="34"/>
      <c r="K1959" s="37">
        <f t="shared" si="112"/>
        <v>2409</v>
      </c>
      <c r="L1959" s="28" t="s">
        <v>29</v>
      </c>
      <c r="M1959" s="28"/>
      <c r="N1959" s="28" t="s">
        <v>38</v>
      </c>
      <c r="O1959" s="10" t="str">
        <f t="shared" si="79"/>
        <v>10/2025</v>
      </c>
      <c r="P1959" s="10" t="str">
        <f t="shared" si="81"/>
        <v>10/2025</v>
      </c>
      <c r="Q1959" s="15" t="str">
        <f t="array" ref="Q1959">IFERROR(XLOOKUP(N1959,'Classificação'!A:A,'Classificação'!B:B),"")</f>
        <v>DESPESAS COM PESSOAL</v>
      </c>
      <c r="R1959" s="15" t="str">
        <f t="array" ref="R1959">IFERROR(XLOOKUP(Q1959,'Classificação'!B:B,'Classificação'!C:C),"")</f>
        <v>DESPESAS FIXAS (-)</v>
      </c>
      <c r="S1959" s="15">
        <f t="shared" si="91"/>
        <v>27</v>
      </c>
      <c r="T1959" s="15">
        <f t="shared" si="6"/>
        <v>10</v>
      </c>
      <c r="U1959" s="15">
        <f t="shared" si="7"/>
        <v>2025</v>
      </c>
      <c r="V1959" s="15">
        <f t="shared" si="8"/>
        <v>27</v>
      </c>
      <c r="W1959" s="15">
        <f t="shared" si="9"/>
        <v>10</v>
      </c>
      <c r="X1959" s="15">
        <f t="shared" si="10"/>
        <v>2025</v>
      </c>
    </row>
    <row r="1960">
      <c r="A1960" s="32">
        <v>45957.0</v>
      </c>
      <c r="B1960" s="9"/>
      <c r="C1960" s="9">
        <f t="shared" si="90"/>
        <v>45957</v>
      </c>
      <c r="D1960" s="11" t="s">
        <v>1043</v>
      </c>
      <c r="E1960" s="29" t="s">
        <v>25</v>
      </c>
      <c r="F1960" s="11" t="s">
        <v>26</v>
      </c>
      <c r="G1960" s="28" t="s">
        <v>27</v>
      </c>
      <c r="H1960" s="11" t="s">
        <v>1044</v>
      </c>
      <c r="I1960" s="12">
        <v>15900.0</v>
      </c>
      <c r="J1960" s="13"/>
      <c r="K1960" s="13">
        <f t="shared" ref="K1960:K1970" si="113">if(E1960="pago",(I1960-J1960),"")</f>
        <v>15900</v>
      </c>
      <c r="L1960" s="11" t="s">
        <v>34</v>
      </c>
      <c r="M1960" s="14"/>
      <c r="N1960" s="11" t="s">
        <v>35</v>
      </c>
      <c r="O1960" s="10" t="str">
        <f t="shared" si="79"/>
        <v>10/2025</v>
      </c>
      <c r="P1960" s="10" t="str">
        <f t="shared" si="81"/>
        <v>10/2025</v>
      </c>
      <c r="Q1960" s="15" t="str">
        <f t="array" ref="Q1960">IFERROR(XLOOKUP(N1960,'Classificação'!A:A,'Classificação'!B:B),"")</f>
        <v>COMPRA DE MERCADORIA</v>
      </c>
      <c r="R1960" s="15" t="str">
        <f t="array" ref="R1960">IFERROR(XLOOKUP(Q1960,'Classificação'!B:B,'Classificação'!C:C),"")</f>
        <v>CUSTOS VARIÁVEIS</v>
      </c>
      <c r="S1960" s="15">
        <f t="shared" si="91"/>
        <v>27</v>
      </c>
      <c r="T1960" s="15">
        <f t="shared" si="6"/>
        <v>10</v>
      </c>
      <c r="U1960" s="15">
        <f t="shared" si="7"/>
        <v>2025</v>
      </c>
      <c r="V1960" s="15">
        <f t="shared" si="8"/>
        <v>27</v>
      </c>
      <c r="W1960" s="15">
        <f t="shared" si="9"/>
        <v>10</v>
      </c>
      <c r="X1960" s="15">
        <f t="shared" si="10"/>
        <v>2025</v>
      </c>
    </row>
    <row r="1961">
      <c r="A1961" s="32">
        <v>45958.0</v>
      </c>
      <c r="B1961" s="10"/>
      <c r="C1961" s="9">
        <f t="shared" si="90"/>
        <v>45958</v>
      </c>
      <c r="D1961" s="11" t="s">
        <v>1005</v>
      </c>
      <c r="E1961" s="29" t="s">
        <v>25</v>
      </c>
      <c r="F1961" s="11" t="s">
        <v>26</v>
      </c>
      <c r="G1961" s="11" t="s">
        <v>37</v>
      </c>
      <c r="H1961" s="11" t="s">
        <v>1032</v>
      </c>
      <c r="I1961" s="12">
        <v>260.0</v>
      </c>
      <c r="J1961" s="13"/>
      <c r="K1961" s="13">
        <f t="shared" si="113"/>
        <v>260</v>
      </c>
      <c r="L1961" s="11" t="s">
        <v>34</v>
      </c>
      <c r="M1961" s="14"/>
      <c r="N1961" s="11" t="s">
        <v>58</v>
      </c>
      <c r="O1961" s="10" t="str">
        <f t="shared" si="79"/>
        <v>10/2025</v>
      </c>
      <c r="P1961" s="10" t="str">
        <f t="shared" si="81"/>
        <v>10/2025</v>
      </c>
      <c r="Q1961" s="15" t="str">
        <f t="array" ref="Q1961">IFERROR(XLOOKUP(N1961,'Classificação'!A:A,'Classificação'!B:B),"")</f>
        <v>DESPESAS ADMINISTRATIVAS</v>
      </c>
      <c r="R1961" s="15" t="str">
        <f t="array" ref="R1961">IFERROR(XLOOKUP(Q1961,'Classificação'!B:B,'Classificação'!C:C),"")</f>
        <v>DESPESAS FIXAS (-)</v>
      </c>
      <c r="S1961" s="15">
        <f t="shared" si="91"/>
        <v>28</v>
      </c>
      <c r="T1961" s="15">
        <f t="shared" si="6"/>
        <v>10</v>
      </c>
      <c r="U1961" s="15">
        <f t="shared" si="7"/>
        <v>2025</v>
      </c>
      <c r="V1961" s="15">
        <f t="shared" si="8"/>
        <v>28</v>
      </c>
      <c r="W1961" s="15">
        <f t="shared" si="9"/>
        <v>10</v>
      </c>
      <c r="X1961" s="15">
        <f t="shared" si="10"/>
        <v>2025</v>
      </c>
    </row>
    <row r="1962">
      <c r="A1962" s="26">
        <v>45958.0</v>
      </c>
      <c r="B1962" s="30"/>
      <c r="C1962" s="27">
        <f t="shared" si="90"/>
        <v>45958</v>
      </c>
      <c r="D1962" s="28" t="s">
        <v>36</v>
      </c>
      <c r="E1962" s="29" t="s">
        <v>25</v>
      </c>
      <c r="F1962" s="29" t="s">
        <v>26</v>
      </c>
      <c r="G1962" s="29" t="s">
        <v>27</v>
      </c>
      <c r="H1962" s="28"/>
      <c r="I1962" s="24">
        <v>435.0</v>
      </c>
      <c r="J1962" s="34"/>
      <c r="K1962" s="13">
        <f t="shared" si="113"/>
        <v>435</v>
      </c>
      <c r="L1962" s="28" t="s">
        <v>29</v>
      </c>
      <c r="M1962" s="28"/>
      <c r="N1962" s="28" t="s">
        <v>38</v>
      </c>
      <c r="O1962" s="10" t="str">
        <f t="shared" si="79"/>
        <v>10/2025</v>
      </c>
      <c r="P1962" s="10" t="str">
        <f t="shared" si="81"/>
        <v>10/2025</v>
      </c>
      <c r="Q1962" s="15" t="str">
        <f t="array" ref="Q1962">IFERROR(XLOOKUP(N1962,'Classificação'!A:A,'Classificação'!B:B),"")</f>
        <v>DESPESAS COM PESSOAL</v>
      </c>
      <c r="R1962" s="15" t="str">
        <f t="array" ref="R1962">IFERROR(XLOOKUP(Q1962,'Classificação'!B:B,'Classificação'!C:C),"")</f>
        <v>DESPESAS FIXAS (-)</v>
      </c>
      <c r="S1962" s="15">
        <f t="shared" si="91"/>
        <v>28</v>
      </c>
      <c r="T1962" s="15">
        <f t="shared" si="6"/>
        <v>10</v>
      </c>
      <c r="U1962" s="15">
        <f t="shared" si="7"/>
        <v>2025</v>
      </c>
      <c r="V1962" s="15">
        <f t="shared" si="8"/>
        <v>28</v>
      </c>
      <c r="W1962" s="15">
        <f t="shared" si="9"/>
        <v>10</v>
      </c>
      <c r="X1962" s="15">
        <f t="shared" si="10"/>
        <v>2025</v>
      </c>
    </row>
    <row r="1963">
      <c r="A1963" s="26">
        <v>45958.0</v>
      </c>
      <c r="B1963" s="30"/>
      <c r="C1963" s="27">
        <f t="shared" si="90"/>
        <v>45958</v>
      </c>
      <c r="D1963" s="28" t="s">
        <v>43</v>
      </c>
      <c r="E1963" s="29" t="s">
        <v>25</v>
      </c>
      <c r="F1963" s="29" t="s">
        <v>26</v>
      </c>
      <c r="G1963" s="29" t="s">
        <v>27</v>
      </c>
      <c r="H1963" s="28"/>
      <c r="I1963" s="24">
        <v>434.0</v>
      </c>
      <c r="J1963" s="34"/>
      <c r="K1963" s="13">
        <f t="shared" si="113"/>
        <v>434</v>
      </c>
      <c r="L1963" s="28" t="s">
        <v>29</v>
      </c>
      <c r="M1963" s="28"/>
      <c r="N1963" s="28" t="s">
        <v>38</v>
      </c>
      <c r="O1963" s="10" t="str">
        <f t="shared" si="79"/>
        <v>10/2025</v>
      </c>
      <c r="P1963" s="10" t="str">
        <f t="shared" si="81"/>
        <v>10/2025</v>
      </c>
      <c r="Q1963" s="15" t="str">
        <f t="array" ref="Q1963">IFERROR(XLOOKUP(N1963,'Classificação'!A:A,'Classificação'!B:B),"")</f>
        <v>DESPESAS COM PESSOAL</v>
      </c>
      <c r="R1963" s="15" t="str">
        <f t="array" ref="R1963">IFERROR(XLOOKUP(Q1963,'Classificação'!B:B,'Classificação'!C:C),"")</f>
        <v>DESPESAS FIXAS (-)</v>
      </c>
      <c r="S1963" s="15">
        <f t="shared" si="91"/>
        <v>28</v>
      </c>
      <c r="T1963" s="15">
        <f t="shared" si="6"/>
        <v>10</v>
      </c>
      <c r="U1963" s="15">
        <f t="shared" si="7"/>
        <v>2025</v>
      </c>
      <c r="V1963" s="15">
        <f t="shared" si="8"/>
        <v>28</v>
      </c>
      <c r="W1963" s="15">
        <f t="shared" si="9"/>
        <v>10</v>
      </c>
      <c r="X1963" s="15">
        <f t="shared" si="10"/>
        <v>2025</v>
      </c>
    </row>
    <row r="1964">
      <c r="A1964" s="32">
        <v>45959.0</v>
      </c>
      <c r="B1964" s="48">
        <v>45883.0</v>
      </c>
      <c r="C1964" s="9">
        <f t="shared" si="90"/>
        <v>45959</v>
      </c>
      <c r="D1964" s="11" t="s">
        <v>86</v>
      </c>
      <c r="E1964" s="11" t="s">
        <v>25</v>
      </c>
      <c r="F1964" s="11" t="s">
        <v>87</v>
      </c>
      <c r="G1964" s="11" t="s">
        <v>27</v>
      </c>
      <c r="H1964" s="11" t="s">
        <v>1045</v>
      </c>
      <c r="I1964" s="12">
        <v>680.0</v>
      </c>
      <c r="J1964" s="13"/>
      <c r="K1964" s="13">
        <f t="shared" si="113"/>
        <v>680</v>
      </c>
      <c r="L1964" s="11" t="s">
        <v>53</v>
      </c>
      <c r="M1964" s="17">
        <v>45750.0</v>
      </c>
      <c r="N1964" s="11" t="s">
        <v>35</v>
      </c>
      <c r="O1964" s="10" t="str">
        <f t="shared" si="79"/>
        <v>10/2025</v>
      </c>
      <c r="P1964" s="10" t="str">
        <f t="shared" si="81"/>
        <v>10/2025</v>
      </c>
      <c r="Q1964" s="15" t="str">
        <f t="array" ref="Q1964">IFERROR(XLOOKUP(N1964,'Classificação'!A:A,'Classificação'!B:B),"")</f>
        <v>COMPRA DE MERCADORIA</v>
      </c>
      <c r="R1964" s="15" t="str">
        <f t="array" ref="R1964">IFERROR(XLOOKUP(Q1964,'Classificação'!B:B,'Classificação'!C:C),"")</f>
        <v>CUSTOS VARIÁVEIS</v>
      </c>
      <c r="S1964" s="15">
        <f t="shared" si="91"/>
        <v>29</v>
      </c>
      <c r="T1964" s="15">
        <f t="shared" si="6"/>
        <v>10</v>
      </c>
      <c r="U1964" s="15">
        <f t="shared" si="7"/>
        <v>2025</v>
      </c>
      <c r="V1964" s="15">
        <f t="shared" si="8"/>
        <v>29</v>
      </c>
      <c r="W1964" s="15">
        <f t="shared" si="9"/>
        <v>10</v>
      </c>
      <c r="X1964" s="15">
        <f t="shared" si="10"/>
        <v>2025</v>
      </c>
    </row>
    <row r="1965">
      <c r="A1965" s="9">
        <v>45960.0</v>
      </c>
      <c r="B1965" s="10"/>
      <c r="C1965" s="9">
        <f t="shared" si="90"/>
        <v>45960</v>
      </c>
      <c r="D1965" s="11" t="s">
        <v>221</v>
      </c>
      <c r="E1965" s="11" t="s">
        <v>25</v>
      </c>
      <c r="F1965" s="11" t="s">
        <v>32</v>
      </c>
      <c r="G1965" s="11" t="s">
        <v>27</v>
      </c>
      <c r="H1965" s="11" t="s">
        <v>222</v>
      </c>
      <c r="I1965" s="12">
        <v>360.54</v>
      </c>
      <c r="J1965" s="13"/>
      <c r="K1965" s="13">
        <f t="shared" si="113"/>
        <v>360.54</v>
      </c>
      <c r="L1965" s="11" t="s">
        <v>29</v>
      </c>
      <c r="M1965" s="14"/>
      <c r="N1965" s="11" t="s">
        <v>61</v>
      </c>
      <c r="O1965" s="10" t="str">
        <f t="shared" si="79"/>
        <v>10/2025</v>
      </c>
      <c r="P1965" s="10" t="str">
        <f t="shared" si="81"/>
        <v>10/2025</v>
      </c>
      <c r="Q1965" s="15" t="str">
        <f t="array" ref="Q1965">IFERROR(XLOOKUP(N1965,'Classificação'!A:A,'Classificação'!B:B),"")</f>
        <v>DESPESAS ADMINISTRATIVAS</v>
      </c>
      <c r="R1965" s="15" t="str">
        <f t="array" ref="R1965">IFERROR(XLOOKUP(Q1965,'Classificação'!B:B,'Classificação'!C:C),"")</f>
        <v>DESPESAS FIXAS (-)</v>
      </c>
      <c r="S1965" s="15">
        <f t="shared" si="91"/>
        <v>30</v>
      </c>
      <c r="T1965" s="15">
        <f t="shared" si="6"/>
        <v>10</v>
      </c>
      <c r="U1965" s="15">
        <f t="shared" si="7"/>
        <v>2025</v>
      </c>
      <c r="V1965" s="15">
        <f t="shared" si="8"/>
        <v>30</v>
      </c>
      <c r="W1965" s="15">
        <f t="shared" si="9"/>
        <v>10</v>
      </c>
      <c r="X1965" s="15">
        <f t="shared" si="10"/>
        <v>2025</v>
      </c>
    </row>
    <row r="1966">
      <c r="A1966" s="9">
        <v>45960.0</v>
      </c>
      <c r="B1966" s="10"/>
      <c r="C1966" s="9">
        <f t="shared" si="90"/>
        <v>45960</v>
      </c>
      <c r="D1966" s="11" t="s">
        <v>83</v>
      </c>
      <c r="E1966" s="11" t="s">
        <v>25</v>
      </c>
      <c r="F1966" s="11" t="s">
        <v>40</v>
      </c>
      <c r="G1966" s="11" t="s">
        <v>27</v>
      </c>
      <c r="I1966" s="12">
        <v>550.0</v>
      </c>
      <c r="J1966" s="13"/>
      <c r="K1966" s="13">
        <f t="shared" si="113"/>
        <v>550</v>
      </c>
      <c r="L1966" s="11" t="s">
        <v>29</v>
      </c>
      <c r="M1966" s="14"/>
      <c r="N1966" s="11" t="s">
        <v>204</v>
      </c>
      <c r="O1966" s="10" t="str">
        <f t="shared" si="79"/>
        <v>10/2025</v>
      </c>
      <c r="P1966" s="10" t="str">
        <f t="shared" si="81"/>
        <v>10/2025</v>
      </c>
      <c r="Q1966" s="15" t="str">
        <f t="array" ref="Q1966">IFERROR(XLOOKUP(N1966,'Classificação'!A:A,'Classificação'!B:B),"")</f>
        <v>DESPESAS COM PESSOAL</v>
      </c>
      <c r="R1966" s="15" t="str">
        <f t="array" ref="R1966">IFERROR(XLOOKUP(Q1966,'Classificação'!B:B,'Classificação'!C:C),"")</f>
        <v>DESPESAS FIXAS (-)</v>
      </c>
      <c r="S1966" s="15">
        <f t="shared" si="91"/>
        <v>30</v>
      </c>
      <c r="T1966" s="15">
        <f t="shared" si="6"/>
        <v>10</v>
      </c>
      <c r="U1966" s="15">
        <f t="shared" si="7"/>
        <v>2025</v>
      </c>
      <c r="V1966" s="15">
        <f t="shared" si="8"/>
        <v>30</v>
      </c>
      <c r="W1966" s="15">
        <f t="shared" si="9"/>
        <v>10</v>
      </c>
      <c r="X1966" s="15">
        <f t="shared" si="10"/>
        <v>2025</v>
      </c>
    </row>
    <row r="1967">
      <c r="A1967" s="9">
        <v>45960.0</v>
      </c>
      <c r="B1967" s="10"/>
      <c r="C1967" s="9">
        <f t="shared" si="90"/>
        <v>45960</v>
      </c>
      <c r="D1967" s="11" t="s">
        <v>80</v>
      </c>
      <c r="E1967" s="11" t="s">
        <v>25</v>
      </c>
      <c r="F1967" s="11" t="s">
        <v>32</v>
      </c>
      <c r="G1967" s="11" t="s">
        <v>27</v>
      </c>
      <c r="H1967" s="11" t="s">
        <v>225</v>
      </c>
      <c r="I1967" s="12">
        <v>960.62</v>
      </c>
      <c r="J1967" s="13"/>
      <c r="K1967" s="13">
        <f t="shared" si="113"/>
        <v>960.62</v>
      </c>
      <c r="L1967" s="11" t="s">
        <v>29</v>
      </c>
      <c r="M1967" s="14"/>
      <c r="N1967" s="11" t="s">
        <v>38</v>
      </c>
      <c r="O1967" s="10" t="str">
        <f t="shared" si="79"/>
        <v>10/2025</v>
      </c>
      <c r="P1967" s="10" t="str">
        <f t="shared" si="81"/>
        <v>10/2025</v>
      </c>
      <c r="Q1967" s="15" t="str">
        <f t="array" ref="Q1967">IFERROR(XLOOKUP(N1967,'Classificação'!A:A,'Classificação'!B:B),"")</f>
        <v>DESPESAS COM PESSOAL</v>
      </c>
      <c r="R1967" s="15" t="str">
        <f t="array" ref="R1967">IFERROR(XLOOKUP(Q1967,'Classificação'!B:B,'Classificação'!C:C),"")</f>
        <v>DESPESAS FIXAS (-)</v>
      </c>
      <c r="S1967" s="15">
        <f t="shared" si="91"/>
        <v>30</v>
      </c>
      <c r="T1967" s="15">
        <f t="shared" si="6"/>
        <v>10</v>
      </c>
      <c r="U1967" s="15">
        <f t="shared" si="7"/>
        <v>2025</v>
      </c>
      <c r="V1967" s="15">
        <f t="shared" si="8"/>
        <v>30</v>
      </c>
      <c r="W1967" s="15">
        <f t="shared" si="9"/>
        <v>10</v>
      </c>
      <c r="X1967" s="15">
        <f t="shared" si="10"/>
        <v>2025</v>
      </c>
    </row>
    <row r="1968">
      <c r="A1968" s="9">
        <v>45960.0</v>
      </c>
      <c r="B1968" s="10"/>
      <c r="C1968" s="9">
        <f t="shared" si="90"/>
        <v>45960</v>
      </c>
      <c r="D1968" s="11" t="s">
        <v>80</v>
      </c>
      <c r="E1968" s="11" t="s">
        <v>25</v>
      </c>
      <c r="F1968" s="11" t="s">
        <v>40</v>
      </c>
      <c r="G1968" s="11" t="s">
        <v>27</v>
      </c>
      <c r="I1968" s="12">
        <v>550.0</v>
      </c>
      <c r="J1968" s="13"/>
      <c r="K1968" s="13">
        <f t="shared" si="113"/>
        <v>550</v>
      </c>
      <c r="L1968" s="11" t="s">
        <v>29</v>
      </c>
      <c r="M1968" s="14"/>
      <c r="N1968" s="11" t="s">
        <v>204</v>
      </c>
      <c r="O1968" s="10" t="str">
        <f t="shared" si="79"/>
        <v>10/2025</v>
      </c>
      <c r="P1968" s="10" t="str">
        <f t="shared" si="81"/>
        <v>10/2025</v>
      </c>
      <c r="Q1968" s="15" t="str">
        <f t="array" ref="Q1968">IFERROR(XLOOKUP(N1968,'Classificação'!A:A,'Classificação'!B:B),"")</f>
        <v>DESPESAS COM PESSOAL</v>
      </c>
      <c r="R1968" s="15" t="str">
        <f t="array" ref="R1968">IFERROR(XLOOKUP(Q1968,'Classificação'!B:B,'Classificação'!C:C),"")</f>
        <v>DESPESAS FIXAS (-)</v>
      </c>
      <c r="S1968" s="15">
        <f t="shared" si="91"/>
        <v>30</v>
      </c>
      <c r="T1968" s="15">
        <f t="shared" si="6"/>
        <v>10</v>
      </c>
      <c r="U1968" s="15">
        <f t="shared" si="7"/>
        <v>2025</v>
      </c>
      <c r="V1968" s="15">
        <f t="shared" si="8"/>
        <v>30</v>
      </c>
      <c r="W1968" s="15">
        <f t="shared" si="9"/>
        <v>10</v>
      </c>
      <c r="X1968" s="15">
        <f t="shared" si="10"/>
        <v>2025</v>
      </c>
    </row>
    <row r="1969">
      <c r="A1969" s="9">
        <v>45960.0</v>
      </c>
      <c r="B1969" s="10"/>
      <c r="C1969" s="9">
        <f t="shared" si="90"/>
        <v>45960</v>
      </c>
      <c r="D1969" s="11" t="s">
        <v>83</v>
      </c>
      <c r="E1969" s="11" t="s">
        <v>25</v>
      </c>
      <c r="F1969" s="11" t="s">
        <v>40</v>
      </c>
      <c r="G1969" s="11" t="s">
        <v>27</v>
      </c>
      <c r="I1969" s="12">
        <v>1224.77</v>
      </c>
      <c r="J1969" s="13"/>
      <c r="K1969" s="13">
        <f t="shared" si="113"/>
        <v>1224.77</v>
      </c>
      <c r="L1969" s="11" t="s">
        <v>29</v>
      </c>
      <c r="M1969" s="14"/>
      <c r="N1969" s="11" t="s">
        <v>38</v>
      </c>
      <c r="O1969" s="10" t="str">
        <f t="shared" si="79"/>
        <v>10/2025</v>
      </c>
      <c r="P1969" s="10" t="str">
        <f t="shared" si="81"/>
        <v>10/2025</v>
      </c>
      <c r="Q1969" s="15" t="str">
        <f t="array" ref="Q1969">IFERROR(XLOOKUP(N1969,'Classificação'!A:A,'Classificação'!B:B),"")</f>
        <v>DESPESAS COM PESSOAL</v>
      </c>
      <c r="R1969" s="15" t="str">
        <f t="array" ref="R1969">IFERROR(XLOOKUP(Q1969,'Classificação'!B:B,'Classificação'!C:C),"")</f>
        <v>DESPESAS FIXAS (-)</v>
      </c>
      <c r="S1969" s="15">
        <f t="shared" si="91"/>
        <v>30</v>
      </c>
      <c r="T1969" s="15">
        <f t="shared" si="6"/>
        <v>10</v>
      </c>
      <c r="U1969" s="15">
        <f t="shared" si="7"/>
        <v>2025</v>
      </c>
      <c r="V1969" s="15">
        <f t="shared" si="8"/>
        <v>30</v>
      </c>
      <c r="W1969" s="15">
        <f t="shared" si="9"/>
        <v>10</v>
      </c>
      <c r="X1969" s="15">
        <f t="shared" si="10"/>
        <v>2025</v>
      </c>
    </row>
    <row r="1970">
      <c r="A1970" s="9">
        <v>45961.0</v>
      </c>
      <c r="B1970" s="10"/>
      <c r="C1970" s="9">
        <f t="shared" si="90"/>
        <v>45961</v>
      </c>
      <c r="D1970" s="11" t="s">
        <v>1046</v>
      </c>
      <c r="E1970" s="11" t="s">
        <v>25</v>
      </c>
      <c r="F1970" s="11" t="s">
        <v>32</v>
      </c>
      <c r="G1970" s="11" t="s">
        <v>37</v>
      </c>
      <c r="I1970" s="12">
        <v>150.0</v>
      </c>
      <c r="J1970" s="13"/>
      <c r="K1970" s="13">
        <f t="shared" si="113"/>
        <v>150</v>
      </c>
      <c r="L1970" s="11" t="s">
        <v>29</v>
      </c>
      <c r="M1970" s="14"/>
      <c r="N1970" s="11" t="s">
        <v>224</v>
      </c>
      <c r="O1970" s="10" t="str">
        <f t="shared" si="79"/>
        <v>10/2025</v>
      </c>
      <c r="P1970" s="10" t="str">
        <f t="shared" si="81"/>
        <v>10/2025</v>
      </c>
      <c r="Q1970" s="15" t="str">
        <f t="array" ref="Q1970">IFERROR(XLOOKUP(N1970,'Classificação'!A:A,'Classificação'!B:B),"")</f>
        <v>DESPESAS ADMINISTRATIVAS</v>
      </c>
      <c r="R1970" s="15" t="str">
        <f t="array" ref="R1970">IFERROR(XLOOKUP(Q1970,'Classificação'!B:B,'Classificação'!C:C),"")</f>
        <v>DESPESAS FIXAS (-)</v>
      </c>
      <c r="S1970" s="15">
        <f t="shared" si="91"/>
        <v>31</v>
      </c>
      <c r="T1970" s="15">
        <f t="shared" si="6"/>
        <v>10</v>
      </c>
      <c r="U1970" s="15">
        <f t="shared" si="7"/>
        <v>2025</v>
      </c>
      <c r="V1970" s="15">
        <f t="shared" si="8"/>
        <v>31</v>
      </c>
      <c r="W1970" s="15">
        <f t="shared" si="9"/>
        <v>10</v>
      </c>
      <c r="X1970" s="15">
        <f t="shared" si="10"/>
        <v>2025</v>
      </c>
    </row>
    <row r="1971">
      <c r="A1971" s="26">
        <v>45961.0</v>
      </c>
      <c r="B1971" s="28"/>
      <c r="C1971" s="27">
        <f t="shared" si="90"/>
        <v>45961</v>
      </c>
      <c r="D1971" s="28" t="s">
        <v>36</v>
      </c>
      <c r="E1971" s="29" t="s">
        <v>25</v>
      </c>
      <c r="F1971" s="28" t="s">
        <v>26</v>
      </c>
      <c r="G1971" s="28" t="s">
        <v>37</v>
      </c>
      <c r="H1971" s="28"/>
      <c r="I1971" s="24">
        <v>300.0</v>
      </c>
      <c r="J1971" s="34"/>
      <c r="K1971" s="37">
        <f t="shared" ref="K1971:K1972" si="114">IF(E1971="pago",(I1971-J1971),"")</f>
        <v>300</v>
      </c>
      <c r="L1971" s="28" t="s">
        <v>29</v>
      </c>
      <c r="M1971" s="28"/>
      <c r="N1971" s="28" t="s">
        <v>38</v>
      </c>
      <c r="O1971" s="10" t="str">
        <f t="shared" si="79"/>
        <v>10/2025</v>
      </c>
      <c r="P1971" s="10" t="str">
        <f t="shared" si="81"/>
        <v>10/2025</v>
      </c>
      <c r="Q1971" s="15" t="str">
        <f t="array" ref="Q1971">IFERROR(XLOOKUP(N1971,'Classificação'!A:A,'Classificação'!B:B),"")</f>
        <v>DESPESAS COM PESSOAL</v>
      </c>
      <c r="R1971" s="15" t="str">
        <f t="array" ref="R1971">IFERROR(XLOOKUP(Q1971,'Classificação'!B:B,'Classificação'!C:C),"")</f>
        <v>DESPESAS FIXAS (-)</v>
      </c>
      <c r="S1971" s="15">
        <f t="shared" si="91"/>
        <v>31</v>
      </c>
      <c r="T1971" s="15">
        <f t="shared" si="6"/>
        <v>10</v>
      </c>
      <c r="U1971" s="15">
        <f t="shared" si="7"/>
        <v>2025</v>
      </c>
      <c r="V1971" s="15">
        <f t="shared" si="8"/>
        <v>31</v>
      </c>
      <c r="W1971" s="15">
        <f t="shared" si="9"/>
        <v>10</v>
      </c>
      <c r="X1971" s="15">
        <f t="shared" si="10"/>
        <v>2025</v>
      </c>
    </row>
    <row r="1972">
      <c r="A1972" s="26">
        <v>45961.0</v>
      </c>
      <c r="B1972" s="28"/>
      <c r="C1972" s="27">
        <f t="shared" si="90"/>
        <v>45961</v>
      </c>
      <c r="D1972" s="28" t="s">
        <v>43</v>
      </c>
      <c r="E1972" s="29" t="s">
        <v>25</v>
      </c>
      <c r="F1972" s="28" t="s">
        <v>26</v>
      </c>
      <c r="G1972" s="28" t="s">
        <v>37</v>
      </c>
      <c r="H1972" s="28"/>
      <c r="I1972" s="24">
        <v>300.0</v>
      </c>
      <c r="J1972" s="34"/>
      <c r="K1972" s="37">
        <f t="shared" si="114"/>
        <v>300</v>
      </c>
      <c r="L1972" s="28" t="s">
        <v>29</v>
      </c>
      <c r="M1972" s="28"/>
      <c r="N1972" s="28" t="s">
        <v>38</v>
      </c>
      <c r="O1972" s="10" t="str">
        <f t="shared" si="79"/>
        <v>10/2025</v>
      </c>
      <c r="P1972" s="10" t="str">
        <f t="shared" si="81"/>
        <v>10/2025</v>
      </c>
      <c r="Q1972" s="15" t="str">
        <f t="array" ref="Q1972">IFERROR(XLOOKUP(N1972,'Classificação'!A:A,'Classificação'!B:B),"")</f>
        <v>DESPESAS COM PESSOAL</v>
      </c>
      <c r="R1972" s="15" t="str">
        <f t="array" ref="R1972">IFERROR(XLOOKUP(Q1972,'Classificação'!B:B,'Classificação'!C:C),"")</f>
        <v>DESPESAS FIXAS (-)</v>
      </c>
      <c r="S1972" s="15">
        <f t="shared" si="91"/>
        <v>31</v>
      </c>
      <c r="T1972" s="15">
        <f t="shared" si="6"/>
        <v>10</v>
      </c>
      <c r="U1972" s="15">
        <f t="shared" si="7"/>
        <v>2025</v>
      </c>
      <c r="V1972" s="15">
        <f t="shared" si="8"/>
        <v>31</v>
      </c>
      <c r="W1972" s="15">
        <f t="shared" si="9"/>
        <v>10</v>
      </c>
      <c r="X1972" s="15">
        <f t="shared" si="10"/>
        <v>2025</v>
      </c>
    </row>
    <row r="1973">
      <c r="A1973" s="9">
        <v>45964.0</v>
      </c>
      <c r="B1973" s="10"/>
      <c r="C1973" s="9">
        <f t="shared" si="90"/>
        <v>45964</v>
      </c>
      <c r="D1973" s="11" t="s">
        <v>288</v>
      </c>
      <c r="E1973" s="11" t="s">
        <v>25</v>
      </c>
      <c r="F1973" s="11" t="s">
        <v>26</v>
      </c>
      <c r="G1973" s="11" t="s">
        <v>37</v>
      </c>
      <c r="H1973" s="11" t="s">
        <v>289</v>
      </c>
      <c r="I1973" s="12">
        <v>98.18</v>
      </c>
      <c r="J1973" s="13"/>
      <c r="K1973" s="13">
        <f t="shared" ref="K1973:K1989" si="115">if(E1973="pago",(I1973-J1973),"")</f>
        <v>98.18</v>
      </c>
      <c r="L1973" s="11" t="s">
        <v>29</v>
      </c>
      <c r="M1973" s="16"/>
      <c r="N1973" s="11" t="s">
        <v>105</v>
      </c>
      <c r="O1973" s="10" t="str">
        <f t="shared" si="79"/>
        <v>11/2025</v>
      </c>
      <c r="P1973" s="10" t="str">
        <f t="shared" si="81"/>
        <v>11/2025</v>
      </c>
      <c r="Q1973" s="15" t="str">
        <f t="array" ref="Q1973">IFERROR(XLOOKUP(N1973,'Classificação'!A:A,'Classificação'!B:B),"")</f>
        <v>DESPESAS ADMINISTRATIVAS</v>
      </c>
      <c r="R1973" s="15" t="str">
        <f t="array" ref="R1973">IFERROR(XLOOKUP(Q1973,'Classificação'!B:B,'Classificação'!C:C),"")</f>
        <v>DESPESAS FIXAS (-)</v>
      </c>
      <c r="S1973" s="15">
        <f t="shared" si="91"/>
        <v>3</v>
      </c>
      <c r="T1973" s="15">
        <f t="shared" si="6"/>
        <v>11</v>
      </c>
      <c r="U1973" s="15">
        <f t="shared" si="7"/>
        <v>2025</v>
      </c>
      <c r="V1973" s="15">
        <f t="shared" si="8"/>
        <v>3</v>
      </c>
      <c r="W1973" s="15">
        <f t="shared" si="9"/>
        <v>11</v>
      </c>
      <c r="X1973" s="15">
        <f t="shared" si="10"/>
        <v>2025</v>
      </c>
    </row>
    <row r="1974">
      <c r="A1974" s="26">
        <v>45964.0</v>
      </c>
      <c r="B1974" s="10"/>
      <c r="C1974" s="9">
        <f t="shared" si="90"/>
        <v>45964</v>
      </c>
      <c r="D1974" s="28" t="s">
        <v>322</v>
      </c>
      <c r="E1974" s="29" t="s">
        <v>25</v>
      </c>
      <c r="F1974" s="15" t="s">
        <v>40</v>
      </c>
      <c r="G1974" s="28" t="s">
        <v>37</v>
      </c>
      <c r="H1974" s="29" t="s">
        <v>778</v>
      </c>
      <c r="I1974" s="37">
        <v>46.2</v>
      </c>
      <c r="J1974" s="13"/>
      <c r="K1974" s="13">
        <f t="shared" si="115"/>
        <v>46.2</v>
      </c>
      <c r="L1974" s="15" t="s">
        <v>29</v>
      </c>
      <c r="M1974" s="14"/>
      <c r="N1974" s="28" t="s">
        <v>105</v>
      </c>
      <c r="O1974" s="10" t="str">
        <f t="shared" si="79"/>
        <v>11/2025</v>
      </c>
      <c r="P1974" s="10" t="str">
        <f t="shared" si="81"/>
        <v>11/2025</v>
      </c>
      <c r="Q1974" s="15" t="str">
        <f t="array" ref="Q1974">IFERROR(XLOOKUP(N1974,'Classificação'!A:A,'Classificação'!B:B),"")</f>
        <v>DESPESAS ADMINISTRATIVAS</v>
      </c>
      <c r="R1974" s="15" t="str">
        <f t="array" ref="R1974">IFERROR(XLOOKUP(Q1974,'Classificação'!B:B,'Classificação'!C:C),"")</f>
        <v>DESPESAS FIXAS (-)</v>
      </c>
      <c r="S1974" s="15">
        <f t="shared" si="91"/>
        <v>3</v>
      </c>
      <c r="T1974" s="15">
        <f t="shared" si="6"/>
        <v>11</v>
      </c>
      <c r="U1974" s="15">
        <f t="shared" si="7"/>
        <v>2025</v>
      </c>
      <c r="V1974" s="15">
        <f t="shared" si="8"/>
        <v>3</v>
      </c>
      <c r="W1974" s="15">
        <f t="shared" si="9"/>
        <v>11</v>
      </c>
      <c r="X1974" s="15">
        <f t="shared" si="10"/>
        <v>2025</v>
      </c>
    </row>
    <row r="1975">
      <c r="A1975" s="9">
        <v>45964.0</v>
      </c>
      <c r="B1975" s="10"/>
      <c r="C1975" s="9">
        <f t="shared" si="90"/>
        <v>45964</v>
      </c>
      <c r="D1975" s="11" t="s">
        <v>24</v>
      </c>
      <c r="E1975" s="11" t="s">
        <v>25</v>
      </c>
      <c r="F1975" s="11" t="s">
        <v>26</v>
      </c>
      <c r="G1975" s="11" t="s">
        <v>37</v>
      </c>
      <c r="H1975" s="11" t="s">
        <v>28</v>
      </c>
      <c r="I1975" s="12">
        <v>5922.79</v>
      </c>
      <c r="J1975" s="13"/>
      <c r="K1975" s="13">
        <f t="shared" si="115"/>
        <v>5922.79</v>
      </c>
      <c r="L1975" s="11" t="s">
        <v>29</v>
      </c>
      <c r="M1975" s="14"/>
      <c r="N1975" s="11" t="s">
        <v>30</v>
      </c>
      <c r="O1975" s="10" t="str">
        <f t="shared" si="79"/>
        <v>11/2025</v>
      </c>
      <c r="P1975" s="10" t="str">
        <f t="shared" si="81"/>
        <v>11/2025</v>
      </c>
      <c r="Q1975" s="15" t="str">
        <f t="array" ref="Q1975">IFERROR(XLOOKUP(N1975,'Classificação'!A:A,'Classificação'!B:B),"")</f>
        <v>DESPESAS COM OCUPAÇÃO</v>
      </c>
      <c r="R1975" s="15" t="str">
        <f t="array" ref="R1975">IFERROR(XLOOKUP(Q1975,'Classificação'!B:B,'Classificação'!C:C),"")</f>
        <v>DESPESAS FIXAS (-)</v>
      </c>
      <c r="S1975" s="15">
        <f t="shared" si="91"/>
        <v>3</v>
      </c>
      <c r="T1975" s="15">
        <f t="shared" si="6"/>
        <v>11</v>
      </c>
      <c r="U1975" s="15">
        <f t="shared" si="7"/>
        <v>2025</v>
      </c>
      <c r="V1975" s="15">
        <f t="shared" si="8"/>
        <v>3</v>
      </c>
      <c r="W1975" s="15">
        <f t="shared" si="9"/>
        <v>11</v>
      </c>
      <c r="X1975" s="15">
        <f t="shared" si="10"/>
        <v>2025</v>
      </c>
    </row>
    <row r="1976">
      <c r="A1976" s="9">
        <v>45964.0</v>
      </c>
      <c r="B1976" s="10"/>
      <c r="C1976" s="9">
        <f t="shared" si="90"/>
        <v>45964</v>
      </c>
      <c r="D1976" s="11" t="s">
        <v>44</v>
      </c>
      <c r="E1976" s="11" t="s">
        <v>25</v>
      </c>
      <c r="F1976" s="11" t="s">
        <v>45</v>
      </c>
      <c r="G1976" s="11" t="s">
        <v>27</v>
      </c>
      <c r="H1976" s="11" t="s">
        <v>651</v>
      </c>
      <c r="I1976" s="12">
        <v>3109.37</v>
      </c>
      <c r="J1976" s="13"/>
      <c r="K1976" s="13">
        <f t="shared" si="115"/>
        <v>3109.37</v>
      </c>
      <c r="L1976" s="11" t="s">
        <v>53</v>
      </c>
      <c r="M1976" s="16" t="s">
        <v>1047</v>
      </c>
      <c r="N1976" s="11" t="s">
        <v>73</v>
      </c>
      <c r="O1976" s="10" t="str">
        <f t="shared" si="79"/>
        <v>11/2025</v>
      </c>
      <c r="P1976" s="10" t="str">
        <f t="shared" si="81"/>
        <v>11/2025</v>
      </c>
      <c r="Q1976" s="15" t="str">
        <f t="array" ref="Q1976">IFERROR(XLOOKUP(N1976,'Classificação'!A:A,'Classificação'!B:B),"")</f>
        <v>DESPESAS NÃO OPERACIONAIS</v>
      </c>
      <c r="R1976" s="15" t="str">
        <f t="array" ref="R1976">IFERROR(XLOOKUP(Q1976,'Classificação'!B:B,'Classificação'!C:C),"")</f>
        <v>RESULTADO NÃO OPERACIONAL (+/-)</v>
      </c>
      <c r="S1976" s="15">
        <f t="shared" si="91"/>
        <v>3</v>
      </c>
      <c r="T1976" s="15">
        <f t="shared" si="6"/>
        <v>11</v>
      </c>
      <c r="U1976" s="15">
        <f t="shared" si="7"/>
        <v>2025</v>
      </c>
      <c r="V1976" s="15">
        <f t="shared" si="8"/>
        <v>3</v>
      </c>
      <c r="W1976" s="15">
        <f t="shared" si="9"/>
        <v>11</v>
      </c>
      <c r="X1976" s="15">
        <f t="shared" si="10"/>
        <v>2025</v>
      </c>
    </row>
    <row r="1977">
      <c r="A1977" s="9">
        <v>45964.0</v>
      </c>
      <c r="B1977" s="10"/>
      <c r="C1977" s="9">
        <f t="shared" si="90"/>
        <v>45964</v>
      </c>
      <c r="D1977" s="11" t="s">
        <v>86</v>
      </c>
      <c r="E1977" s="11" t="s">
        <v>25</v>
      </c>
      <c r="F1977" s="11" t="s">
        <v>87</v>
      </c>
      <c r="G1977" s="11" t="s">
        <v>27</v>
      </c>
      <c r="H1977" s="11" t="s">
        <v>1048</v>
      </c>
      <c r="I1977" s="12">
        <v>3470.0</v>
      </c>
      <c r="J1977" s="13"/>
      <c r="K1977" s="13">
        <f t="shared" si="115"/>
        <v>3470</v>
      </c>
      <c r="L1977" s="11" t="s">
        <v>53</v>
      </c>
      <c r="M1977" s="17">
        <v>45751.0</v>
      </c>
      <c r="N1977" s="11" t="s">
        <v>35</v>
      </c>
      <c r="O1977" s="10" t="str">
        <f t="shared" si="79"/>
        <v>11/2025</v>
      </c>
      <c r="P1977" s="10" t="str">
        <f t="shared" si="81"/>
        <v>11/2025</v>
      </c>
      <c r="Q1977" s="15" t="str">
        <f t="array" ref="Q1977">IFERROR(XLOOKUP(N1977,'Classificação'!A:A,'Classificação'!B:B),"")</f>
        <v>COMPRA DE MERCADORIA</v>
      </c>
      <c r="R1977" s="15" t="str">
        <f t="array" ref="R1977">IFERROR(XLOOKUP(Q1977,'Classificação'!B:B,'Classificação'!C:C),"")</f>
        <v>CUSTOS VARIÁVEIS</v>
      </c>
      <c r="S1977" s="15">
        <f t="shared" si="91"/>
        <v>3</v>
      </c>
      <c r="T1977" s="15">
        <f t="shared" si="6"/>
        <v>11</v>
      </c>
      <c r="U1977" s="15">
        <f t="shared" si="7"/>
        <v>2025</v>
      </c>
      <c r="V1977" s="15">
        <f t="shared" si="8"/>
        <v>3</v>
      </c>
      <c r="W1977" s="15">
        <f t="shared" si="9"/>
        <v>11</v>
      </c>
      <c r="X1977" s="15">
        <f t="shared" si="10"/>
        <v>2025</v>
      </c>
    </row>
    <row r="1978">
      <c r="A1978" s="9">
        <v>45964.0</v>
      </c>
      <c r="B1978" s="10"/>
      <c r="C1978" s="9">
        <f t="shared" si="90"/>
        <v>45964</v>
      </c>
      <c r="D1978" s="11" t="s">
        <v>36</v>
      </c>
      <c r="E1978" s="11" t="s">
        <v>25</v>
      </c>
      <c r="F1978" s="29" t="s">
        <v>26</v>
      </c>
      <c r="G1978" s="11" t="s">
        <v>27</v>
      </c>
      <c r="I1978" s="12">
        <v>275.0</v>
      </c>
      <c r="J1978" s="13"/>
      <c r="K1978" s="13">
        <f t="shared" si="115"/>
        <v>275</v>
      </c>
      <c r="L1978" s="11" t="s">
        <v>29</v>
      </c>
      <c r="M1978" s="14"/>
      <c r="N1978" s="11" t="s">
        <v>38</v>
      </c>
      <c r="O1978" s="10" t="str">
        <f t="shared" si="79"/>
        <v>11/2025</v>
      </c>
      <c r="P1978" s="10" t="str">
        <f t="shared" si="81"/>
        <v>11/2025</v>
      </c>
      <c r="Q1978" s="15" t="str">
        <f t="array" ref="Q1978">IFERROR(XLOOKUP(N1978,'Classificação'!A:A,'Classificação'!B:B),"")</f>
        <v>DESPESAS COM PESSOAL</v>
      </c>
      <c r="R1978" s="15" t="str">
        <f t="array" ref="R1978">IFERROR(XLOOKUP(Q1978,'Classificação'!B:B,'Classificação'!C:C),"")</f>
        <v>DESPESAS FIXAS (-)</v>
      </c>
      <c r="S1978" s="15">
        <f t="shared" si="91"/>
        <v>3</v>
      </c>
      <c r="T1978" s="15">
        <f t="shared" si="6"/>
        <v>11</v>
      </c>
      <c r="U1978" s="15">
        <f t="shared" si="7"/>
        <v>2025</v>
      </c>
      <c r="V1978" s="15">
        <f t="shared" si="8"/>
        <v>3</v>
      </c>
      <c r="W1978" s="15">
        <f t="shared" si="9"/>
        <v>11</v>
      </c>
      <c r="X1978" s="15">
        <f t="shared" si="10"/>
        <v>2025</v>
      </c>
    </row>
    <row r="1979">
      <c r="A1979" s="9">
        <v>45964.0</v>
      </c>
      <c r="B1979" s="10"/>
      <c r="C1979" s="9">
        <f t="shared" si="90"/>
        <v>45964</v>
      </c>
      <c r="D1979" s="11" t="s">
        <v>43</v>
      </c>
      <c r="E1979" s="11" t="s">
        <v>25</v>
      </c>
      <c r="F1979" s="11" t="s">
        <v>32</v>
      </c>
      <c r="G1979" s="11" t="s">
        <v>27</v>
      </c>
      <c r="I1979" s="12">
        <v>275.0</v>
      </c>
      <c r="J1979" s="13"/>
      <c r="K1979" s="13">
        <f t="shared" si="115"/>
        <v>275</v>
      </c>
      <c r="L1979" s="11" t="s">
        <v>29</v>
      </c>
      <c r="M1979" s="14"/>
      <c r="N1979" s="11" t="s">
        <v>38</v>
      </c>
      <c r="O1979" s="10" t="str">
        <f t="shared" si="79"/>
        <v>11/2025</v>
      </c>
      <c r="P1979" s="10" t="str">
        <f t="shared" si="81"/>
        <v>11/2025</v>
      </c>
      <c r="Q1979" s="15" t="str">
        <f t="array" ref="Q1979">IFERROR(XLOOKUP(N1979,'Classificação'!A:A,'Classificação'!B:B),"")</f>
        <v>DESPESAS COM PESSOAL</v>
      </c>
      <c r="R1979" s="15" t="str">
        <f t="array" ref="R1979">IFERROR(XLOOKUP(Q1979,'Classificação'!B:B,'Classificação'!C:C),"")</f>
        <v>DESPESAS FIXAS (-)</v>
      </c>
      <c r="S1979" s="15">
        <f t="shared" si="91"/>
        <v>3</v>
      </c>
      <c r="T1979" s="15">
        <f t="shared" si="6"/>
        <v>11</v>
      </c>
      <c r="U1979" s="15">
        <f t="shared" si="7"/>
        <v>2025</v>
      </c>
      <c r="V1979" s="15">
        <f t="shared" si="8"/>
        <v>3</v>
      </c>
      <c r="W1979" s="15">
        <f t="shared" si="9"/>
        <v>11</v>
      </c>
      <c r="X1979" s="15">
        <f t="shared" si="10"/>
        <v>2025</v>
      </c>
    </row>
    <row r="1980">
      <c r="A1980" s="9">
        <v>45965.0</v>
      </c>
      <c r="B1980" s="10"/>
      <c r="C1980" s="9">
        <f t="shared" si="90"/>
        <v>45965</v>
      </c>
      <c r="D1980" s="11" t="s">
        <v>1041</v>
      </c>
      <c r="E1980" s="29" t="s">
        <v>25</v>
      </c>
      <c r="F1980" s="11" t="s">
        <v>40</v>
      </c>
      <c r="G1980" s="29" t="s">
        <v>37</v>
      </c>
      <c r="H1980" s="11" t="s">
        <v>1049</v>
      </c>
      <c r="I1980" s="12">
        <v>5643.44</v>
      </c>
      <c r="J1980" s="13"/>
      <c r="K1980" s="13">
        <f t="shared" si="115"/>
        <v>5643.44</v>
      </c>
      <c r="L1980" s="11" t="s">
        <v>34</v>
      </c>
      <c r="M1980" s="14"/>
      <c r="N1980" s="11" t="s">
        <v>35</v>
      </c>
      <c r="O1980" s="10" t="str">
        <f t="shared" si="79"/>
        <v>11/2025</v>
      </c>
      <c r="P1980" s="10" t="str">
        <f t="shared" si="81"/>
        <v>11/2025</v>
      </c>
      <c r="Q1980" s="15" t="str">
        <f t="array" ref="Q1980">IFERROR(XLOOKUP(N1980,'Classificação'!A:A,'Classificação'!B:B),"")</f>
        <v>COMPRA DE MERCADORIA</v>
      </c>
      <c r="R1980" s="15" t="str">
        <f t="array" ref="R1980">IFERROR(XLOOKUP(Q1980,'Classificação'!B:B,'Classificação'!C:C),"")</f>
        <v>CUSTOS VARIÁVEIS</v>
      </c>
      <c r="S1980" s="15">
        <f t="shared" si="91"/>
        <v>4</v>
      </c>
      <c r="T1980" s="15">
        <f t="shared" si="6"/>
        <v>11</v>
      </c>
      <c r="U1980" s="15">
        <f t="shared" si="7"/>
        <v>2025</v>
      </c>
      <c r="V1980" s="15">
        <f t="shared" si="8"/>
        <v>4</v>
      </c>
      <c r="W1980" s="15">
        <f t="shared" si="9"/>
        <v>11</v>
      </c>
      <c r="X1980" s="15">
        <f t="shared" si="10"/>
        <v>2025</v>
      </c>
    </row>
    <row r="1981">
      <c r="A1981" s="9">
        <v>45968.0</v>
      </c>
      <c r="B1981" s="10"/>
      <c r="C1981" s="9">
        <f t="shared" si="90"/>
        <v>45968</v>
      </c>
      <c r="D1981" s="11" t="s">
        <v>36</v>
      </c>
      <c r="E1981" s="11" t="s">
        <v>25</v>
      </c>
      <c r="F1981" s="29" t="s">
        <v>26</v>
      </c>
      <c r="G1981" s="11" t="s">
        <v>27</v>
      </c>
      <c r="I1981" s="12">
        <v>3701.0</v>
      </c>
      <c r="J1981" s="13"/>
      <c r="K1981" s="13">
        <f t="shared" si="115"/>
        <v>3701</v>
      </c>
      <c r="L1981" s="11" t="s">
        <v>29</v>
      </c>
      <c r="M1981" s="14"/>
      <c r="N1981" s="11" t="s">
        <v>38</v>
      </c>
      <c r="O1981" s="10" t="str">
        <f t="shared" si="79"/>
        <v>11/2025</v>
      </c>
      <c r="P1981" s="10" t="str">
        <f t="shared" si="81"/>
        <v>11/2025</v>
      </c>
      <c r="Q1981" s="15" t="str">
        <f t="array" ref="Q1981">IFERROR(XLOOKUP(N1981,'Classificação'!A:A,'Classificação'!B:B),"")</f>
        <v>DESPESAS COM PESSOAL</v>
      </c>
      <c r="R1981" s="15" t="str">
        <f t="array" ref="R1981">IFERROR(XLOOKUP(Q1981,'Classificação'!B:B,'Classificação'!C:C),"")</f>
        <v>DESPESAS FIXAS (-)</v>
      </c>
      <c r="S1981" s="15">
        <f t="shared" si="91"/>
        <v>7</v>
      </c>
      <c r="T1981" s="15">
        <f t="shared" si="6"/>
        <v>11</v>
      </c>
      <c r="U1981" s="15">
        <f t="shared" si="7"/>
        <v>2025</v>
      </c>
      <c r="V1981" s="15">
        <f t="shared" si="8"/>
        <v>7</v>
      </c>
      <c r="W1981" s="15">
        <f t="shared" si="9"/>
        <v>11</v>
      </c>
      <c r="X1981" s="15">
        <f t="shared" si="10"/>
        <v>2025</v>
      </c>
    </row>
    <row r="1982">
      <c r="A1982" s="9">
        <v>45968.0</v>
      </c>
      <c r="B1982" s="10"/>
      <c r="C1982" s="9">
        <f t="shared" si="90"/>
        <v>45968</v>
      </c>
      <c r="D1982" s="11" t="s">
        <v>43</v>
      </c>
      <c r="E1982" s="11" t="s">
        <v>25</v>
      </c>
      <c r="F1982" s="11" t="s">
        <v>32</v>
      </c>
      <c r="G1982" s="11" t="s">
        <v>27</v>
      </c>
      <c r="I1982" s="12">
        <v>3700.0</v>
      </c>
      <c r="J1982" s="13"/>
      <c r="K1982" s="13">
        <f t="shared" si="115"/>
        <v>3700</v>
      </c>
      <c r="L1982" s="11" t="s">
        <v>29</v>
      </c>
      <c r="M1982" s="14"/>
      <c r="N1982" s="11" t="s">
        <v>38</v>
      </c>
      <c r="O1982" s="10" t="str">
        <f t="shared" si="79"/>
        <v>11/2025</v>
      </c>
      <c r="P1982" s="10" t="str">
        <f t="shared" si="81"/>
        <v>11/2025</v>
      </c>
      <c r="Q1982" s="15" t="str">
        <f t="array" ref="Q1982">IFERROR(XLOOKUP(N1982,'Classificação'!A:A,'Classificação'!B:B),"")</f>
        <v>DESPESAS COM PESSOAL</v>
      </c>
      <c r="R1982" s="15" t="str">
        <f t="array" ref="R1982">IFERROR(XLOOKUP(Q1982,'Classificação'!B:B,'Classificação'!C:C),"")</f>
        <v>DESPESAS FIXAS (-)</v>
      </c>
      <c r="S1982" s="15">
        <f t="shared" si="91"/>
        <v>7</v>
      </c>
      <c r="T1982" s="15">
        <f t="shared" si="6"/>
        <v>11</v>
      </c>
      <c r="U1982" s="15">
        <f t="shared" si="7"/>
        <v>2025</v>
      </c>
      <c r="V1982" s="15">
        <f t="shared" si="8"/>
        <v>7</v>
      </c>
      <c r="W1982" s="15">
        <f t="shared" si="9"/>
        <v>11</v>
      </c>
      <c r="X1982" s="15">
        <f t="shared" si="10"/>
        <v>2025</v>
      </c>
    </row>
    <row r="1983">
      <c r="A1983" s="32">
        <v>45971.0</v>
      </c>
      <c r="B1983" s="32">
        <v>45947.0</v>
      </c>
      <c r="C1983" s="9">
        <f t="shared" si="90"/>
        <v>45971</v>
      </c>
      <c r="D1983" s="11" t="s">
        <v>86</v>
      </c>
      <c r="E1983" s="29" t="s">
        <v>25</v>
      </c>
      <c r="F1983" s="11" t="s">
        <v>87</v>
      </c>
      <c r="G1983" s="28" t="s">
        <v>27</v>
      </c>
      <c r="H1983" s="11" t="s">
        <v>1050</v>
      </c>
      <c r="I1983" s="12">
        <v>3810.0</v>
      </c>
      <c r="J1983" s="13"/>
      <c r="K1983" s="13">
        <f t="shared" si="115"/>
        <v>3810</v>
      </c>
      <c r="L1983" s="11" t="s">
        <v>53</v>
      </c>
      <c r="M1983" s="17">
        <v>45748.0</v>
      </c>
      <c r="N1983" s="11" t="s">
        <v>35</v>
      </c>
      <c r="O1983" s="10" t="str">
        <f t="shared" si="79"/>
        <v>11/2025</v>
      </c>
      <c r="P1983" s="10" t="str">
        <f t="shared" si="81"/>
        <v>11/2025</v>
      </c>
      <c r="Q1983" s="15" t="str">
        <f t="array" ref="Q1983">IFERROR(XLOOKUP(N1983,'Classificação'!A:A,'Classificação'!B:B),"")</f>
        <v>COMPRA DE MERCADORIA</v>
      </c>
      <c r="R1983" s="15" t="str">
        <f t="array" ref="R1983">IFERROR(XLOOKUP(Q1983,'Classificação'!B:B,'Classificação'!C:C),"")</f>
        <v>CUSTOS VARIÁVEIS</v>
      </c>
      <c r="S1983" s="15">
        <f t="shared" si="91"/>
        <v>10</v>
      </c>
      <c r="T1983" s="15">
        <f t="shared" si="6"/>
        <v>11</v>
      </c>
      <c r="U1983" s="15">
        <f t="shared" si="7"/>
        <v>2025</v>
      </c>
      <c r="V1983" s="15">
        <f t="shared" si="8"/>
        <v>10</v>
      </c>
      <c r="W1983" s="15">
        <f t="shared" si="9"/>
        <v>11</v>
      </c>
      <c r="X1983" s="15">
        <f t="shared" si="10"/>
        <v>2025</v>
      </c>
    </row>
    <row r="1984">
      <c r="A1984" s="9">
        <v>45971.0</v>
      </c>
      <c r="B1984" s="10"/>
      <c r="C1984" s="9">
        <f t="shared" si="90"/>
        <v>45971</v>
      </c>
      <c r="D1984" s="11" t="s">
        <v>48</v>
      </c>
      <c r="E1984" s="11" t="s">
        <v>25</v>
      </c>
      <c r="F1984" s="11" t="s">
        <v>40</v>
      </c>
      <c r="G1984" s="11" t="s">
        <v>27</v>
      </c>
      <c r="I1984" s="12">
        <v>1804.49</v>
      </c>
      <c r="J1984" s="13"/>
      <c r="K1984" s="13">
        <f t="shared" si="115"/>
        <v>1804.49</v>
      </c>
      <c r="L1984" s="11" t="s">
        <v>29</v>
      </c>
      <c r="M1984" s="14"/>
      <c r="N1984" s="11" t="s">
        <v>49</v>
      </c>
      <c r="O1984" s="10" t="str">
        <f t="shared" si="79"/>
        <v>11/2025</v>
      </c>
      <c r="P1984" s="10" t="str">
        <f t="shared" si="81"/>
        <v>11/2025</v>
      </c>
      <c r="Q1984" s="15" t="str">
        <f t="array" ref="Q1984">IFERROR(XLOOKUP(N1984,'Classificação'!A:A,'Classificação'!B:B),"")</f>
        <v>DESPESAS COM PESSOAL</v>
      </c>
      <c r="R1984" s="15" t="str">
        <f t="array" ref="R1984">IFERROR(XLOOKUP(Q1984,'Classificação'!B:B,'Classificação'!C:C),"")</f>
        <v>DESPESAS FIXAS (-)</v>
      </c>
      <c r="S1984" s="15">
        <f t="shared" si="91"/>
        <v>10</v>
      </c>
      <c r="T1984" s="15">
        <f t="shared" si="6"/>
        <v>11</v>
      </c>
      <c r="U1984" s="15">
        <f t="shared" si="7"/>
        <v>2025</v>
      </c>
      <c r="V1984" s="15">
        <f t="shared" si="8"/>
        <v>10</v>
      </c>
      <c r="W1984" s="15">
        <f t="shared" si="9"/>
        <v>11</v>
      </c>
      <c r="X1984" s="15">
        <f t="shared" si="10"/>
        <v>2025</v>
      </c>
    </row>
    <row r="1985">
      <c r="A1985" s="32">
        <v>45971.0</v>
      </c>
      <c r="B1985" s="10"/>
      <c r="C1985" s="9">
        <f t="shared" si="90"/>
        <v>45971</v>
      </c>
      <c r="D1985" s="11" t="s">
        <v>50</v>
      </c>
      <c r="E1985" s="11" t="s">
        <v>25</v>
      </c>
      <c r="F1985" s="11" t="s">
        <v>40</v>
      </c>
      <c r="G1985" s="11" t="s">
        <v>37</v>
      </c>
      <c r="H1985" s="11" t="s">
        <v>51</v>
      </c>
      <c r="I1985" s="12">
        <v>139.99</v>
      </c>
      <c r="J1985" s="13"/>
      <c r="K1985" s="13">
        <f t="shared" si="115"/>
        <v>139.99</v>
      </c>
      <c r="L1985" s="11" t="s">
        <v>29</v>
      </c>
      <c r="M1985" s="14"/>
      <c r="N1985" s="11" t="s">
        <v>51</v>
      </c>
      <c r="O1985" s="10" t="str">
        <f t="shared" si="79"/>
        <v>11/2025</v>
      </c>
      <c r="P1985" s="10" t="str">
        <f t="shared" si="81"/>
        <v>11/2025</v>
      </c>
      <c r="Q1985" s="15" t="str">
        <f t="array" ref="Q1985">IFERROR(XLOOKUP(N1985,'Classificação'!A:A,'Classificação'!B:B),"")</f>
        <v>DESPESAS COM OCUPAÇÃO</v>
      </c>
      <c r="R1985" s="15" t="str">
        <f t="array" ref="R1985">IFERROR(XLOOKUP(Q1985,'Classificação'!B:B,'Classificação'!C:C),"")</f>
        <v>DESPESAS FIXAS (-)</v>
      </c>
      <c r="S1985" s="15">
        <f t="shared" si="91"/>
        <v>10</v>
      </c>
      <c r="T1985" s="15">
        <f t="shared" si="6"/>
        <v>11</v>
      </c>
      <c r="U1985" s="15">
        <f t="shared" si="7"/>
        <v>2025</v>
      </c>
      <c r="V1985" s="15">
        <f t="shared" si="8"/>
        <v>10</v>
      </c>
      <c r="W1985" s="15">
        <f t="shared" si="9"/>
        <v>11</v>
      </c>
      <c r="X1985" s="15">
        <f t="shared" si="10"/>
        <v>2025</v>
      </c>
    </row>
    <row r="1986">
      <c r="A1986" s="9">
        <v>45971.0</v>
      </c>
      <c r="B1986" s="10"/>
      <c r="C1986" s="9">
        <f t="shared" si="90"/>
        <v>45971</v>
      </c>
      <c r="D1986" s="11" t="s">
        <v>59</v>
      </c>
      <c r="E1986" s="11" t="s">
        <v>25</v>
      </c>
      <c r="F1986" s="11" t="s">
        <v>40</v>
      </c>
      <c r="G1986" s="11" t="s">
        <v>37</v>
      </c>
      <c r="H1986" s="11" t="s">
        <v>60</v>
      </c>
      <c r="I1986" s="12">
        <v>397.0</v>
      </c>
      <c r="J1986" s="13"/>
      <c r="K1986" s="13">
        <f t="shared" si="115"/>
        <v>397</v>
      </c>
      <c r="L1986" s="11" t="s">
        <v>29</v>
      </c>
      <c r="M1986" s="14"/>
      <c r="N1986" s="11" t="s">
        <v>61</v>
      </c>
      <c r="O1986" s="10" t="str">
        <f t="shared" si="79"/>
        <v>11/2025</v>
      </c>
      <c r="P1986" s="10" t="str">
        <f t="shared" si="81"/>
        <v>11/2025</v>
      </c>
      <c r="Q1986" s="15" t="str">
        <f t="array" ref="Q1986">IFERROR(XLOOKUP(N1986,'Classificação'!A:A,'Classificação'!B:B),"")</f>
        <v>DESPESAS ADMINISTRATIVAS</v>
      </c>
      <c r="R1986" s="15" t="str">
        <f t="array" ref="R1986">IFERROR(XLOOKUP(Q1986,'Classificação'!B:B,'Classificação'!C:C),"")</f>
        <v>DESPESAS FIXAS (-)</v>
      </c>
      <c r="S1986" s="15">
        <f t="shared" si="91"/>
        <v>10</v>
      </c>
      <c r="T1986" s="15">
        <f t="shared" si="6"/>
        <v>11</v>
      </c>
      <c r="U1986" s="15">
        <f t="shared" si="7"/>
        <v>2025</v>
      </c>
      <c r="V1986" s="15">
        <f t="shared" si="8"/>
        <v>10</v>
      </c>
      <c r="W1986" s="15">
        <f t="shared" si="9"/>
        <v>11</v>
      </c>
      <c r="X1986" s="15">
        <f t="shared" si="10"/>
        <v>2025</v>
      </c>
    </row>
    <row r="1987">
      <c r="A1987" s="9">
        <v>45971.0</v>
      </c>
      <c r="B1987" s="10"/>
      <c r="C1987" s="9">
        <f t="shared" si="90"/>
        <v>45971</v>
      </c>
      <c r="D1987" s="11" t="s">
        <v>104</v>
      </c>
      <c r="E1987" s="11" t="s">
        <v>25</v>
      </c>
      <c r="F1987" s="11" t="s">
        <v>40</v>
      </c>
      <c r="G1987" s="11" t="s">
        <v>37</v>
      </c>
      <c r="H1987" s="11" t="s">
        <v>413</v>
      </c>
      <c r="I1987" s="12">
        <v>27.5</v>
      </c>
      <c r="J1987" s="13"/>
      <c r="K1987" s="13">
        <f t="shared" si="115"/>
        <v>27.5</v>
      </c>
      <c r="L1987" s="11" t="s">
        <v>29</v>
      </c>
      <c r="M1987" s="14"/>
      <c r="N1987" s="11" t="s">
        <v>105</v>
      </c>
      <c r="O1987" s="10" t="str">
        <f t="shared" si="79"/>
        <v>11/2025</v>
      </c>
      <c r="P1987" s="10" t="str">
        <f t="shared" si="81"/>
        <v>11/2025</v>
      </c>
      <c r="Q1987" s="15" t="str">
        <f t="array" ref="Q1987">IFERROR(XLOOKUP(N1987,'Classificação'!A:A,'Classificação'!B:B),"")</f>
        <v>DESPESAS ADMINISTRATIVAS</v>
      </c>
      <c r="R1987" s="15" t="str">
        <f t="array" ref="R1987">IFERROR(XLOOKUP(Q1987,'Classificação'!B:B,'Classificação'!C:C),"")</f>
        <v>DESPESAS FIXAS (-)</v>
      </c>
      <c r="S1987" s="15">
        <f t="shared" si="91"/>
        <v>10</v>
      </c>
      <c r="T1987" s="15">
        <f t="shared" si="6"/>
        <v>11</v>
      </c>
      <c r="U1987" s="15">
        <f t="shared" si="7"/>
        <v>2025</v>
      </c>
      <c r="V1987" s="15">
        <f t="shared" si="8"/>
        <v>10</v>
      </c>
      <c r="W1987" s="15">
        <f t="shared" si="9"/>
        <v>11</v>
      </c>
      <c r="X1987" s="15">
        <f t="shared" si="10"/>
        <v>2025</v>
      </c>
    </row>
    <row r="1988">
      <c r="A1988" s="26">
        <v>45971.0</v>
      </c>
      <c r="B1988" s="39">
        <v>45611.0</v>
      </c>
      <c r="C1988" s="9">
        <f t="shared" si="90"/>
        <v>45971</v>
      </c>
      <c r="D1988" s="28" t="s">
        <v>361</v>
      </c>
      <c r="E1988" s="29" t="s">
        <v>25</v>
      </c>
      <c r="F1988" s="28" t="s">
        <v>26</v>
      </c>
      <c r="G1988" s="28" t="s">
        <v>37</v>
      </c>
      <c r="H1988" s="29" t="s">
        <v>535</v>
      </c>
      <c r="I1988" s="24">
        <v>284.0</v>
      </c>
      <c r="J1988" s="13"/>
      <c r="K1988" s="13">
        <f t="shared" si="115"/>
        <v>284</v>
      </c>
      <c r="L1988" s="28" t="s">
        <v>53</v>
      </c>
      <c r="M1988" s="17">
        <v>46003.0</v>
      </c>
      <c r="N1988" s="28" t="s">
        <v>363</v>
      </c>
      <c r="O1988" s="10" t="str">
        <f t="shared" si="79"/>
        <v>11/2025</v>
      </c>
      <c r="P1988" s="10" t="str">
        <f t="shared" si="81"/>
        <v>11/2025</v>
      </c>
      <c r="Q1988" s="15" t="str">
        <f t="array" ref="Q1988">IFERROR(XLOOKUP(N1988,'Classificação'!A:A,'Classificação'!B:B),"")</f>
        <v>DESPESAS NÃO OPERACIONAIS</v>
      </c>
      <c r="R1988" s="15" t="str">
        <f t="array" ref="R1988">IFERROR(XLOOKUP(Q1988,'Classificação'!B:B,'Classificação'!C:C),"")</f>
        <v>RESULTADO NÃO OPERACIONAL (+/-)</v>
      </c>
      <c r="S1988" s="15">
        <f t="shared" si="91"/>
        <v>10</v>
      </c>
      <c r="T1988" s="15">
        <f t="shared" si="6"/>
        <v>11</v>
      </c>
      <c r="U1988" s="15">
        <f t="shared" si="7"/>
        <v>2025</v>
      </c>
      <c r="V1988" s="15">
        <f t="shared" si="8"/>
        <v>10</v>
      </c>
      <c r="W1988" s="15">
        <f t="shared" si="9"/>
        <v>11</v>
      </c>
      <c r="X1988" s="15">
        <f t="shared" si="10"/>
        <v>2025</v>
      </c>
    </row>
    <row r="1989">
      <c r="A1989" s="32">
        <v>45971.0</v>
      </c>
      <c r="B1989" s="10"/>
      <c r="C1989" s="9">
        <f t="shared" si="90"/>
        <v>45971</v>
      </c>
      <c r="D1989" s="11" t="s">
        <v>1051</v>
      </c>
      <c r="E1989" s="29" t="s">
        <v>25</v>
      </c>
      <c r="F1989" s="11" t="s">
        <v>40</v>
      </c>
      <c r="G1989" s="28" t="s">
        <v>27</v>
      </c>
      <c r="H1989" s="11" t="s">
        <v>1052</v>
      </c>
      <c r="I1989" s="12">
        <v>28.0</v>
      </c>
      <c r="J1989" s="13"/>
      <c r="K1989" s="13">
        <f t="shared" si="115"/>
        <v>28</v>
      </c>
      <c r="L1989" s="11" t="s">
        <v>29</v>
      </c>
      <c r="M1989" s="14"/>
      <c r="N1989" s="11" t="s">
        <v>1053</v>
      </c>
      <c r="O1989" s="10" t="str">
        <f t="shared" si="79"/>
        <v>11/2025</v>
      </c>
      <c r="P1989" s="10" t="str">
        <f t="shared" si="81"/>
        <v>11/2025</v>
      </c>
      <c r="Q1989" s="15" t="str">
        <f t="array" ref="Q1989">IFERROR(XLOOKUP(N1989,'Classificação'!A:A,'Classificação'!B:B),"")</f>
        <v>DESPESAS COM PESSOAL</v>
      </c>
      <c r="R1989" s="15" t="str">
        <f t="array" ref="R1989">IFERROR(XLOOKUP(Q1989,'Classificação'!B:B,'Classificação'!C:C),"")</f>
        <v>DESPESAS FIXAS (-)</v>
      </c>
      <c r="S1989" s="15">
        <f t="shared" si="91"/>
        <v>10</v>
      </c>
      <c r="T1989" s="15">
        <f t="shared" si="6"/>
        <v>11</v>
      </c>
      <c r="U1989" s="15">
        <f t="shared" si="7"/>
        <v>2025</v>
      </c>
      <c r="V1989" s="15">
        <f t="shared" si="8"/>
        <v>10</v>
      </c>
      <c r="W1989" s="15">
        <f t="shared" si="9"/>
        <v>11</v>
      </c>
      <c r="X1989" s="15">
        <f t="shared" si="10"/>
        <v>2025</v>
      </c>
    </row>
    <row r="1990">
      <c r="A1990" s="26">
        <v>45971.0</v>
      </c>
      <c r="B1990" s="28"/>
      <c r="C1990" s="27">
        <f t="shared" si="90"/>
        <v>45971</v>
      </c>
      <c r="D1990" s="28" t="s">
        <v>36</v>
      </c>
      <c r="E1990" s="29" t="s">
        <v>25</v>
      </c>
      <c r="F1990" s="28" t="s">
        <v>26</v>
      </c>
      <c r="G1990" s="28" t="s">
        <v>37</v>
      </c>
      <c r="H1990" s="28"/>
      <c r="I1990" s="24">
        <v>1318.0</v>
      </c>
      <c r="J1990" s="34"/>
      <c r="K1990" s="37">
        <f t="shared" ref="K1990:K1991" si="116">IF(E1990="pago",(I1990-J1990),"")</f>
        <v>1318</v>
      </c>
      <c r="L1990" s="28" t="s">
        <v>29</v>
      </c>
      <c r="M1990" s="28"/>
      <c r="N1990" s="28" t="s">
        <v>38</v>
      </c>
      <c r="O1990" s="10" t="str">
        <f t="shared" si="79"/>
        <v>11/2025</v>
      </c>
      <c r="P1990" s="10" t="str">
        <f t="shared" si="81"/>
        <v>11/2025</v>
      </c>
      <c r="Q1990" s="15" t="str">
        <f t="array" ref="Q1990">IFERROR(XLOOKUP(N1990,'Classificação'!A:A,'Classificação'!B:B),"")</f>
        <v>DESPESAS COM PESSOAL</v>
      </c>
      <c r="R1990" s="15" t="str">
        <f t="array" ref="R1990">IFERROR(XLOOKUP(Q1990,'Classificação'!B:B,'Classificação'!C:C),"")</f>
        <v>DESPESAS FIXAS (-)</v>
      </c>
      <c r="S1990" s="15">
        <f t="shared" si="91"/>
        <v>10</v>
      </c>
      <c r="T1990" s="15">
        <f t="shared" si="6"/>
        <v>11</v>
      </c>
      <c r="U1990" s="15">
        <f t="shared" si="7"/>
        <v>2025</v>
      </c>
      <c r="V1990" s="15">
        <f t="shared" si="8"/>
        <v>10</v>
      </c>
      <c r="W1990" s="15">
        <f t="shared" si="9"/>
        <v>11</v>
      </c>
      <c r="X1990" s="15">
        <f t="shared" si="10"/>
        <v>2025</v>
      </c>
    </row>
    <row r="1991">
      <c r="A1991" s="26">
        <v>45971.0</v>
      </c>
      <c r="B1991" s="28"/>
      <c r="C1991" s="27">
        <f t="shared" si="90"/>
        <v>45971</v>
      </c>
      <c r="D1991" s="28" t="s">
        <v>43</v>
      </c>
      <c r="E1991" s="29" t="s">
        <v>25</v>
      </c>
      <c r="F1991" s="28" t="s">
        <v>32</v>
      </c>
      <c r="G1991" s="28" t="s">
        <v>37</v>
      </c>
      <c r="H1991" s="28"/>
      <c r="I1991" s="24">
        <v>1318.0</v>
      </c>
      <c r="J1991" s="34"/>
      <c r="K1991" s="37">
        <f t="shared" si="116"/>
        <v>1318</v>
      </c>
      <c r="L1991" s="28" t="s">
        <v>29</v>
      </c>
      <c r="M1991" s="28"/>
      <c r="N1991" s="28" t="s">
        <v>38</v>
      </c>
      <c r="O1991" s="10" t="str">
        <f t="shared" si="79"/>
        <v>11/2025</v>
      </c>
      <c r="P1991" s="10" t="str">
        <f t="shared" si="81"/>
        <v>11/2025</v>
      </c>
      <c r="Q1991" s="15" t="str">
        <f t="array" ref="Q1991">IFERROR(XLOOKUP(N1991,'Classificação'!A:A,'Classificação'!B:B),"")</f>
        <v>DESPESAS COM PESSOAL</v>
      </c>
      <c r="R1991" s="15" t="str">
        <f t="array" ref="R1991">IFERROR(XLOOKUP(Q1991,'Classificação'!B:B,'Classificação'!C:C),"")</f>
        <v>DESPESAS FIXAS (-)</v>
      </c>
      <c r="S1991" s="15">
        <f t="shared" si="91"/>
        <v>10</v>
      </c>
      <c r="T1991" s="15">
        <f t="shared" si="6"/>
        <v>11</v>
      </c>
      <c r="U1991" s="15">
        <f t="shared" si="7"/>
        <v>2025</v>
      </c>
      <c r="V1991" s="15">
        <f t="shared" si="8"/>
        <v>10</v>
      </c>
      <c r="W1991" s="15">
        <f t="shared" si="9"/>
        <v>11</v>
      </c>
      <c r="X1991" s="15">
        <f t="shared" si="10"/>
        <v>2025</v>
      </c>
    </row>
    <row r="1992">
      <c r="A1992" s="9">
        <v>45971.0</v>
      </c>
      <c r="B1992" s="10"/>
      <c r="C1992" s="9">
        <f t="shared" si="90"/>
        <v>45971</v>
      </c>
      <c r="D1992" s="11" t="s">
        <v>44</v>
      </c>
      <c r="E1992" s="11" t="s">
        <v>25</v>
      </c>
      <c r="F1992" s="11" t="s">
        <v>45</v>
      </c>
      <c r="G1992" s="11" t="s">
        <v>27</v>
      </c>
      <c r="H1992" s="11" t="s">
        <v>52</v>
      </c>
      <c r="I1992" s="12">
        <v>480.32</v>
      </c>
      <c r="J1992" s="13"/>
      <c r="K1992" s="13">
        <f t="shared" ref="K1992:K2000" si="117">if(E1992="pago",(I1992-J1992),"")</f>
        <v>480.32</v>
      </c>
      <c r="L1992" s="11" t="s">
        <v>53</v>
      </c>
      <c r="M1992" s="16" t="s">
        <v>1054</v>
      </c>
      <c r="N1992" s="11" t="s">
        <v>55</v>
      </c>
      <c r="O1992" s="10" t="str">
        <f t="shared" si="79"/>
        <v>11/2025</v>
      </c>
      <c r="P1992" s="10" t="str">
        <f t="shared" si="81"/>
        <v>11/2025</v>
      </c>
      <c r="Q1992" s="15" t="str">
        <f t="array" ref="Q1992">IFERROR(XLOOKUP(N1992,'Classificação'!A:A,'Classificação'!B:B),"")</f>
        <v>DESPESAS NÃO OPERACIONAIS</v>
      </c>
      <c r="R1992" s="15" t="str">
        <f t="array" ref="R1992">IFERROR(XLOOKUP(Q1992,'Classificação'!B:B,'Classificação'!C:C),"")</f>
        <v>RESULTADO NÃO OPERACIONAL (+/-)</v>
      </c>
      <c r="S1992" s="15">
        <f t="shared" si="91"/>
        <v>10</v>
      </c>
      <c r="T1992" s="15">
        <f t="shared" si="6"/>
        <v>11</v>
      </c>
      <c r="U1992" s="15">
        <f t="shared" si="7"/>
        <v>2025</v>
      </c>
      <c r="V1992" s="15">
        <f t="shared" si="8"/>
        <v>10</v>
      </c>
      <c r="W1992" s="15">
        <f t="shared" si="9"/>
        <v>11</v>
      </c>
      <c r="X1992" s="15">
        <f t="shared" si="10"/>
        <v>2025</v>
      </c>
    </row>
    <row r="1993">
      <c r="A1993" s="9">
        <v>45971.0</v>
      </c>
      <c r="B1993" s="10"/>
      <c r="C1993" s="9">
        <f t="shared" si="90"/>
        <v>45971</v>
      </c>
      <c r="D1993" s="11" t="s">
        <v>56</v>
      </c>
      <c r="E1993" s="11" t="s">
        <v>25</v>
      </c>
      <c r="F1993" s="11" t="s">
        <v>26</v>
      </c>
      <c r="G1993" s="11" t="s">
        <v>37</v>
      </c>
      <c r="H1993" s="11" t="s">
        <v>57</v>
      </c>
      <c r="I1993" s="12">
        <v>50.0</v>
      </c>
      <c r="J1993" s="13"/>
      <c r="K1993" s="13">
        <f t="shared" si="117"/>
        <v>50</v>
      </c>
      <c r="L1993" s="11" t="s">
        <v>29</v>
      </c>
      <c r="M1993" s="14"/>
      <c r="N1993" s="11" t="s">
        <v>58</v>
      </c>
      <c r="O1993" s="10" t="str">
        <f t="shared" si="79"/>
        <v>11/2025</v>
      </c>
      <c r="P1993" s="10" t="str">
        <f t="shared" si="81"/>
        <v>11/2025</v>
      </c>
      <c r="Q1993" s="15" t="str">
        <f t="array" ref="Q1993">IFERROR(XLOOKUP(N1993,'Classificação'!A:A,'Classificação'!B:B),"")</f>
        <v>DESPESAS ADMINISTRATIVAS</v>
      </c>
      <c r="R1993" s="15" t="str">
        <f t="array" ref="R1993">IFERROR(XLOOKUP(Q1993,'Classificação'!B:B,'Classificação'!C:C),"")</f>
        <v>DESPESAS FIXAS (-)</v>
      </c>
      <c r="S1993" s="15">
        <f t="shared" si="91"/>
        <v>10</v>
      </c>
      <c r="T1993" s="15">
        <f t="shared" si="6"/>
        <v>11</v>
      </c>
      <c r="U1993" s="15">
        <f t="shared" si="7"/>
        <v>2025</v>
      </c>
      <c r="V1993" s="15">
        <f t="shared" si="8"/>
        <v>10</v>
      </c>
      <c r="W1993" s="15">
        <f t="shared" si="9"/>
        <v>11</v>
      </c>
      <c r="X1993" s="15">
        <f t="shared" si="10"/>
        <v>2025</v>
      </c>
    </row>
    <row r="1994">
      <c r="A1994" s="32">
        <v>45971.0</v>
      </c>
      <c r="B1994" s="9">
        <v>45680.0</v>
      </c>
      <c r="C1994" s="9">
        <f t="shared" si="90"/>
        <v>45971</v>
      </c>
      <c r="D1994" s="11" t="s">
        <v>544</v>
      </c>
      <c r="E1994" s="11" t="s">
        <v>25</v>
      </c>
      <c r="F1994" s="11" t="s">
        <v>26</v>
      </c>
      <c r="G1994" s="11" t="s">
        <v>37</v>
      </c>
      <c r="H1994" s="11" t="s">
        <v>545</v>
      </c>
      <c r="I1994" s="12">
        <v>866.46</v>
      </c>
      <c r="J1994" s="13"/>
      <c r="K1994" s="13">
        <f t="shared" si="117"/>
        <v>866.46</v>
      </c>
      <c r="L1994" s="11" t="s">
        <v>53</v>
      </c>
      <c r="M1994" s="17">
        <v>46001.0</v>
      </c>
      <c r="N1994" s="11" t="s">
        <v>95</v>
      </c>
      <c r="O1994" s="10" t="str">
        <f t="shared" si="79"/>
        <v>11/2025</v>
      </c>
      <c r="P1994" s="10" t="str">
        <f t="shared" si="81"/>
        <v>11/2025</v>
      </c>
      <c r="Q1994" s="15" t="str">
        <f t="array" ref="Q1994">IFERROR(XLOOKUP(N1994,'Classificação'!A:A,'Classificação'!B:B),"")</f>
        <v>DESPESAS NÃO OPERACIONAIS</v>
      </c>
      <c r="R1994" s="15" t="str">
        <f t="array" ref="R1994">IFERROR(XLOOKUP(Q1994,'Classificação'!B:B,'Classificação'!C:C),"")</f>
        <v>RESULTADO NÃO OPERACIONAL (+/-)</v>
      </c>
      <c r="S1994" s="15">
        <f t="shared" si="91"/>
        <v>10</v>
      </c>
      <c r="T1994" s="15">
        <f t="shared" si="6"/>
        <v>11</v>
      </c>
      <c r="U1994" s="15">
        <f t="shared" si="7"/>
        <v>2025</v>
      </c>
      <c r="V1994" s="15">
        <f t="shared" si="8"/>
        <v>10</v>
      </c>
      <c r="W1994" s="15">
        <f t="shared" si="9"/>
        <v>11</v>
      </c>
      <c r="X1994" s="15">
        <f t="shared" si="10"/>
        <v>2025</v>
      </c>
    </row>
    <row r="1995">
      <c r="A1995" s="9">
        <v>45971.0</v>
      </c>
      <c r="B1995" s="10"/>
      <c r="C1995" s="9">
        <f t="shared" si="90"/>
        <v>45971</v>
      </c>
      <c r="D1995" s="11" t="s">
        <v>79</v>
      </c>
      <c r="E1995" s="11" t="s">
        <v>25</v>
      </c>
      <c r="F1995" s="11" t="s">
        <v>26</v>
      </c>
      <c r="G1995" s="11" t="s">
        <v>37</v>
      </c>
      <c r="I1995" s="12">
        <v>500.0</v>
      </c>
      <c r="J1995" s="13"/>
      <c r="K1995" s="13">
        <f t="shared" si="117"/>
        <v>500</v>
      </c>
      <c r="L1995" s="11" t="s">
        <v>29</v>
      </c>
      <c r="M1995" s="14"/>
      <c r="N1995" s="11" t="s">
        <v>58</v>
      </c>
      <c r="O1995" s="10" t="str">
        <f t="shared" si="79"/>
        <v>11/2025</v>
      </c>
      <c r="P1995" s="10" t="str">
        <f t="shared" si="81"/>
        <v>11/2025</v>
      </c>
      <c r="Q1995" s="15" t="str">
        <f t="array" ref="Q1995">IFERROR(XLOOKUP(N1995,'Classificação'!A:A,'Classificação'!B:B),"")</f>
        <v>DESPESAS ADMINISTRATIVAS</v>
      </c>
      <c r="R1995" s="15" t="str">
        <f t="array" ref="R1995">IFERROR(XLOOKUP(Q1995,'Classificação'!B:B,'Classificação'!C:C),"")</f>
        <v>DESPESAS FIXAS (-)</v>
      </c>
      <c r="S1995" s="15">
        <f t="shared" si="91"/>
        <v>10</v>
      </c>
      <c r="T1995" s="15">
        <f t="shared" si="6"/>
        <v>11</v>
      </c>
      <c r="U1995" s="15">
        <f t="shared" si="7"/>
        <v>2025</v>
      </c>
      <c r="V1995" s="15">
        <f t="shared" si="8"/>
        <v>10</v>
      </c>
      <c r="W1995" s="15">
        <f t="shared" si="9"/>
        <v>11</v>
      </c>
      <c r="X1995" s="15">
        <f t="shared" si="10"/>
        <v>2025</v>
      </c>
    </row>
    <row r="1996">
      <c r="A1996" s="9">
        <v>45972.0</v>
      </c>
      <c r="B1996" s="10"/>
      <c r="C1996" s="9">
        <f t="shared" si="90"/>
        <v>45972</v>
      </c>
      <c r="D1996" s="11" t="s">
        <v>65</v>
      </c>
      <c r="E1996" s="11" t="s">
        <v>25</v>
      </c>
      <c r="F1996" s="11" t="s">
        <v>45</v>
      </c>
      <c r="G1996" s="11" t="s">
        <v>66</v>
      </c>
      <c r="H1996" s="11" t="s">
        <v>67</v>
      </c>
      <c r="I1996" s="12">
        <v>319.81</v>
      </c>
      <c r="J1996" s="13"/>
      <c r="K1996" s="13">
        <f t="shared" si="117"/>
        <v>319.81</v>
      </c>
      <c r="L1996" s="11" t="s">
        <v>29</v>
      </c>
      <c r="M1996" s="14"/>
      <c r="N1996" s="11" t="s">
        <v>68</v>
      </c>
      <c r="O1996" s="10" t="str">
        <f t="shared" si="79"/>
        <v>11/2025</v>
      </c>
      <c r="P1996" s="10" t="str">
        <f t="shared" si="81"/>
        <v>11/2025</v>
      </c>
      <c r="Q1996" s="15" t="str">
        <f t="array" ref="Q1996">IFERROR(XLOOKUP(N1996,'Classificação'!A:A,'Classificação'!B:B),"")</f>
        <v>FRETE DE VENDAS</v>
      </c>
      <c r="R1996" s="15" t="str">
        <f t="array" ref="R1996">IFERROR(XLOOKUP(Q1996,'Classificação'!B:B,'Classificação'!C:C),"")</f>
        <v>CUSTOS VARIÁVEIS</v>
      </c>
      <c r="S1996" s="15">
        <f t="shared" si="91"/>
        <v>11</v>
      </c>
      <c r="T1996" s="15">
        <f t="shared" si="6"/>
        <v>11</v>
      </c>
      <c r="U1996" s="15">
        <f t="shared" si="7"/>
        <v>2025</v>
      </c>
      <c r="V1996" s="15">
        <f t="shared" si="8"/>
        <v>11</v>
      </c>
      <c r="W1996" s="15">
        <f t="shared" si="9"/>
        <v>11</v>
      </c>
      <c r="X1996" s="15">
        <f t="shared" si="10"/>
        <v>2025</v>
      </c>
    </row>
    <row r="1997">
      <c r="A1997" s="32">
        <v>45974.0</v>
      </c>
      <c r="B1997" s="10"/>
      <c r="C1997" s="9">
        <f t="shared" si="90"/>
        <v>45974</v>
      </c>
      <c r="D1997" s="11" t="s">
        <v>940</v>
      </c>
      <c r="E1997" s="29" t="s">
        <v>25</v>
      </c>
      <c r="F1997" s="11" t="s">
        <v>26</v>
      </c>
      <c r="G1997" s="29" t="s">
        <v>37</v>
      </c>
      <c r="H1997" s="11" t="s">
        <v>1055</v>
      </c>
      <c r="I1997" s="12">
        <v>180.0</v>
      </c>
      <c r="J1997" s="13"/>
      <c r="K1997" s="13">
        <f t="shared" si="117"/>
        <v>180</v>
      </c>
      <c r="L1997" s="11" t="s">
        <v>34</v>
      </c>
      <c r="M1997" s="14"/>
      <c r="N1997" s="11" t="s">
        <v>448</v>
      </c>
      <c r="O1997" s="10" t="str">
        <f t="shared" si="79"/>
        <v>11/2025</v>
      </c>
      <c r="P1997" s="10" t="str">
        <f t="shared" si="81"/>
        <v>11/2025</v>
      </c>
      <c r="Q1997" s="15" t="str">
        <f t="array" ref="Q1997">IFERROR(XLOOKUP(N1997,'Classificação'!A:A,'Classificação'!B:B),"")</f>
        <v>DESPESAS ADMINISTRATIVAS</v>
      </c>
      <c r="R1997" s="15" t="str">
        <f t="array" ref="R1997">IFERROR(XLOOKUP(Q1997,'Classificação'!B:B,'Classificação'!C:C),"")</f>
        <v>DESPESAS FIXAS (-)</v>
      </c>
      <c r="S1997" s="15">
        <f t="shared" si="91"/>
        <v>13</v>
      </c>
      <c r="T1997" s="15">
        <f t="shared" si="6"/>
        <v>11</v>
      </c>
      <c r="U1997" s="15">
        <f t="shared" si="7"/>
        <v>2025</v>
      </c>
      <c r="V1997" s="15">
        <f t="shared" si="8"/>
        <v>13</v>
      </c>
      <c r="W1997" s="15">
        <f t="shared" si="9"/>
        <v>11</v>
      </c>
      <c r="X1997" s="15">
        <f t="shared" si="10"/>
        <v>2025</v>
      </c>
    </row>
    <row r="1998">
      <c r="A1998" s="9">
        <v>45975.0</v>
      </c>
      <c r="B1998" s="10"/>
      <c r="C1998" s="9">
        <f t="shared" si="90"/>
        <v>45975</v>
      </c>
      <c r="D1998" s="11" t="s">
        <v>44</v>
      </c>
      <c r="E1998" s="11" t="s">
        <v>25</v>
      </c>
      <c r="F1998" s="11" t="s">
        <v>45</v>
      </c>
      <c r="G1998" s="11" t="s">
        <v>27</v>
      </c>
      <c r="H1998" s="11" t="s">
        <v>476</v>
      </c>
      <c r="I1998" s="12">
        <v>5400.32</v>
      </c>
      <c r="J1998" s="13"/>
      <c r="K1998" s="13">
        <f t="shared" si="117"/>
        <v>5400.32</v>
      </c>
      <c r="L1998" s="11" t="s">
        <v>53</v>
      </c>
      <c r="M1998" s="16" t="s">
        <v>302</v>
      </c>
      <c r="N1998" s="11" t="s">
        <v>73</v>
      </c>
      <c r="O1998" s="10" t="str">
        <f t="shared" si="79"/>
        <v>11/2025</v>
      </c>
      <c r="P1998" s="10" t="str">
        <f t="shared" si="81"/>
        <v>11/2025</v>
      </c>
      <c r="Q1998" s="15" t="str">
        <f t="array" ref="Q1998">IFERROR(XLOOKUP(N1998,'Classificação'!A:A,'Classificação'!B:B),"")</f>
        <v>DESPESAS NÃO OPERACIONAIS</v>
      </c>
      <c r="R1998" s="15" t="str">
        <f t="array" ref="R1998">IFERROR(XLOOKUP(Q1998,'Classificação'!B:B,'Classificação'!C:C),"")</f>
        <v>RESULTADO NÃO OPERACIONAL (+/-)</v>
      </c>
      <c r="S1998" s="15">
        <f t="shared" si="91"/>
        <v>14</v>
      </c>
      <c r="T1998" s="15">
        <f t="shared" si="6"/>
        <v>11</v>
      </c>
      <c r="U1998" s="15">
        <f t="shared" si="7"/>
        <v>2025</v>
      </c>
      <c r="V1998" s="15">
        <f t="shared" si="8"/>
        <v>14</v>
      </c>
      <c r="W1998" s="15">
        <f t="shared" si="9"/>
        <v>11</v>
      </c>
      <c r="X1998" s="15">
        <f t="shared" si="10"/>
        <v>2025</v>
      </c>
    </row>
    <row r="1999">
      <c r="A1999" s="9">
        <v>45975.0</v>
      </c>
      <c r="B1999" s="10"/>
      <c r="C1999" s="9">
        <f t="shared" si="90"/>
        <v>45975</v>
      </c>
      <c r="D1999" s="11" t="s">
        <v>80</v>
      </c>
      <c r="E1999" s="11" t="s">
        <v>25</v>
      </c>
      <c r="F1999" s="11" t="s">
        <v>32</v>
      </c>
      <c r="G1999" s="11" t="s">
        <v>27</v>
      </c>
      <c r="I1999" s="12">
        <v>826.8</v>
      </c>
      <c r="J1999" s="13"/>
      <c r="K1999" s="13">
        <f t="shared" si="117"/>
        <v>826.8</v>
      </c>
      <c r="L1999" s="11" t="s">
        <v>29</v>
      </c>
      <c r="M1999" s="14"/>
      <c r="N1999" s="11" t="s">
        <v>75</v>
      </c>
      <c r="O1999" s="10" t="str">
        <f t="shared" si="79"/>
        <v>11/2025</v>
      </c>
      <c r="P1999" s="10" t="str">
        <f t="shared" si="81"/>
        <v>11/2025</v>
      </c>
      <c r="Q1999" s="15" t="str">
        <f t="array" ref="Q1999">IFERROR(XLOOKUP(N1999,'Classificação'!A:A,'Classificação'!B:B),"")</f>
        <v>DESPESAS COM PESSOAL</v>
      </c>
      <c r="R1999" s="15" t="str">
        <f t="array" ref="R1999">IFERROR(XLOOKUP(Q1999,'Classificação'!B:B,'Classificação'!C:C),"")</f>
        <v>DESPESAS FIXAS (-)</v>
      </c>
      <c r="S1999" s="15">
        <f t="shared" si="91"/>
        <v>14</v>
      </c>
      <c r="T1999" s="15">
        <f t="shared" si="6"/>
        <v>11</v>
      </c>
      <c r="U1999" s="15">
        <f t="shared" si="7"/>
        <v>2025</v>
      </c>
      <c r="V1999" s="15">
        <f t="shared" si="8"/>
        <v>14</v>
      </c>
      <c r="W1999" s="15">
        <f t="shared" si="9"/>
        <v>11</v>
      </c>
      <c r="X1999" s="15">
        <f t="shared" si="10"/>
        <v>2025</v>
      </c>
    </row>
    <row r="2000">
      <c r="A2000" s="9">
        <v>45975.0</v>
      </c>
      <c r="B2000" s="10"/>
      <c r="C2000" s="9">
        <f t="shared" si="90"/>
        <v>45975</v>
      </c>
      <c r="D2000" s="11" t="s">
        <v>83</v>
      </c>
      <c r="E2000" s="11" t="s">
        <v>25</v>
      </c>
      <c r="F2000" s="11" t="s">
        <v>32</v>
      </c>
      <c r="G2000" s="11" t="s">
        <v>27</v>
      </c>
      <c r="I2000" s="12">
        <v>848.0</v>
      </c>
      <c r="J2000" s="13"/>
      <c r="K2000" s="13">
        <f t="shared" si="117"/>
        <v>848</v>
      </c>
      <c r="L2000" s="11" t="s">
        <v>29</v>
      </c>
      <c r="M2000" s="14"/>
      <c r="N2000" s="11" t="s">
        <v>75</v>
      </c>
      <c r="O2000" s="10" t="str">
        <f t="shared" si="79"/>
        <v>11/2025</v>
      </c>
      <c r="P2000" s="10" t="str">
        <f t="shared" si="81"/>
        <v>11/2025</v>
      </c>
      <c r="Q2000" s="15" t="str">
        <f t="array" ref="Q2000">IFERROR(XLOOKUP(N2000,'Classificação'!A:A,'Classificação'!B:B),"")</f>
        <v>DESPESAS COM PESSOAL</v>
      </c>
      <c r="R2000" s="15" t="str">
        <f t="array" ref="R2000">IFERROR(XLOOKUP(Q2000,'Classificação'!B:B,'Classificação'!C:C),"")</f>
        <v>DESPESAS FIXAS (-)</v>
      </c>
      <c r="S2000" s="15">
        <f t="shared" si="91"/>
        <v>14</v>
      </c>
      <c r="T2000" s="15">
        <f t="shared" si="6"/>
        <v>11</v>
      </c>
      <c r="U2000" s="15">
        <f t="shared" si="7"/>
        <v>2025</v>
      </c>
      <c r="V2000" s="15">
        <f t="shared" si="8"/>
        <v>14</v>
      </c>
      <c r="W2000" s="15">
        <f t="shared" si="9"/>
        <v>11</v>
      </c>
      <c r="X2000" s="15">
        <f t="shared" si="10"/>
        <v>2025</v>
      </c>
    </row>
    <row r="2001">
      <c r="A2001" s="26">
        <v>45975.0</v>
      </c>
      <c r="B2001" s="28"/>
      <c r="C2001" s="27">
        <f t="shared" si="90"/>
        <v>45975</v>
      </c>
      <c r="D2001" s="28" t="s">
        <v>36</v>
      </c>
      <c r="E2001" s="29" t="s">
        <v>25</v>
      </c>
      <c r="F2001" s="28" t="s">
        <v>26</v>
      </c>
      <c r="G2001" s="28" t="s">
        <v>37</v>
      </c>
      <c r="H2001" s="28"/>
      <c r="I2001" s="24">
        <v>1215.0</v>
      </c>
      <c r="J2001" s="34"/>
      <c r="K2001" s="37">
        <f t="shared" ref="K2001:K2002" si="118">IF(E2001="pago",(I2001-J2001),"")</f>
        <v>1215</v>
      </c>
      <c r="L2001" s="28" t="s">
        <v>29</v>
      </c>
      <c r="M2001" s="28"/>
      <c r="N2001" s="28" t="s">
        <v>38</v>
      </c>
      <c r="O2001" s="10" t="str">
        <f t="shared" si="79"/>
        <v>11/2025</v>
      </c>
      <c r="P2001" s="10" t="str">
        <f t="shared" si="81"/>
        <v>11/2025</v>
      </c>
      <c r="Q2001" s="15" t="str">
        <f t="array" ref="Q2001">IFERROR(XLOOKUP(N2001,'Classificação'!A:A,'Classificação'!B:B),"")</f>
        <v>DESPESAS COM PESSOAL</v>
      </c>
      <c r="R2001" s="15" t="str">
        <f t="array" ref="R2001">IFERROR(XLOOKUP(Q2001,'Classificação'!B:B,'Classificação'!C:C),"")</f>
        <v>DESPESAS FIXAS (-)</v>
      </c>
      <c r="S2001" s="15">
        <f t="shared" si="91"/>
        <v>14</v>
      </c>
      <c r="T2001" s="15">
        <f t="shared" si="6"/>
        <v>11</v>
      </c>
      <c r="U2001" s="15">
        <f t="shared" si="7"/>
        <v>2025</v>
      </c>
      <c r="V2001" s="15">
        <f t="shared" si="8"/>
        <v>14</v>
      </c>
      <c r="W2001" s="15">
        <f t="shared" si="9"/>
        <v>11</v>
      </c>
      <c r="X2001" s="15">
        <f t="shared" si="10"/>
        <v>2025</v>
      </c>
    </row>
    <row r="2002">
      <c r="A2002" s="26">
        <v>45975.0</v>
      </c>
      <c r="B2002" s="28"/>
      <c r="C2002" s="27">
        <f t="shared" si="90"/>
        <v>45975</v>
      </c>
      <c r="D2002" s="28" t="s">
        <v>43</v>
      </c>
      <c r="E2002" s="29" t="s">
        <v>25</v>
      </c>
      <c r="F2002" s="28" t="s">
        <v>32</v>
      </c>
      <c r="G2002" s="28" t="s">
        <v>37</v>
      </c>
      <c r="H2002" s="28"/>
      <c r="I2002" s="24">
        <v>1215.0</v>
      </c>
      <c r="J2002" s="34"/>
      <c r="K2002" s="37">
        <f t="shared" si="118"/>
        <v>1215</v>
      </c>
      <c r="L2002" s="28" t="s">
        <v>29</v>
      </c>
      <c r="M2002" s="28"/>
      <c r="N2002" s="28" t="s">
        <v>38</v>
      </c>
      <c r="O2002" s="10" t="str">
        <f t="shared" si="79"/>
        <v>11/2025</v>
      </c>
      <c r="P2002" s="10" t="str">
        <f t="shared" si="81"/>
        <v>11/2025</v>
      </c>
      <c r="Q2002" s="15" t="str">
        <f t="array" ref="Q2002">IFERROR(XLOOKUP(N2002,'Classificação'!A:A,'Classificação'!B:B),"")</f>
        <v>DESPESAS COM PESSOAL</v>
      </c>
      <c r="R2002" s="15" t="str">
        <f t="array" ref="R2002">IFERROR(XLOOKUP(Q2002,'Classificação'!B:B,'Classificação'!C:C),"")</f>
        <v>DESPESAS FIXAS (-)</v>
      </c>
      <c r="S2002" s="15">
        <f t="shared" si="91"/>
        <v>14</v>
      </c>
      <c r="T2002" s="15">
        <f t="shared" si="6"/>
        <v>11</v>
      </c>
      <c r="U2002" s="15">
        <f t="shared" si="7"/>
        <v>2025</v>
      </c>
      <c r="V2002" s="15">
        <f t="shared" si="8"/>
        <v>14</v>
      </c>
      <c r="W2002" s="15">
        <f t="shared" si="9"/>
        <v>11</v>
      </c>
      <c r="X2002" s="15">
        <f t="shared" si="10"/>
        <v>2025</v>
      </c>
    </row>
    <row r="2003">
      <c r="A2003" s="9">
        <v>45976.0</v>
      </c>
      <c r="B2003" s="10"/>
      <c r="C2003" s="9">
        <f t="shared" si="90"/>
        <v>45976</v>
      </c>
      <c r="D2003" s="11" t="s">
        <v>1056</v>
      </c>
      <c r="E2003" s="29" t="s">
        <v>25</v>
      </c>
      <c r="F2003" s="11" t="s">
        <v>26</v>
      </c>
      <c r="G2003" s="29" t="s">
        <v>37</v>
      </c>
      <c r="H2003" s="11" t="s">
        <v>1057</v>
      </c>
      <c r="I2003" s="12">
        <v>260.0</v>
      </c>
      <c r="J2003" s="13"/>
      <c r="K2003" s="13">
        <f>if(E2003="pago",(I2003-J2003),"")</f>
        <v>260</v>
      </c>
      <c r="L2003" s="11" t="s">
        <v>34</v>
      </c>
      <c r="M2003" s="14"/>
      <c r="N2003" s="11" t="s">
        <v>58</v>
      </c>
      <c r="O2003" s="10" t="str">
        <f t="shared" si="79"/>
        <v>11/2025</v>
      </c>
      <c r="P2003" s="10" t="str">
        <f t="shared" si="81"/>
        <v>11/2025</v>
      </c>
      <c r="Q2003" s="15" t="str">
        <f t="array" ref="Q2003">IFERROR(XLOOKUP(N2003,'Classificação'!A:A,'Classificação'!B:B),"")</f>
        <v>DESPESAS ADMINISTRATIVAS</v>
      </c>
      <c r="R2003" s="15" t="str">
        <f t="array" ref="R2003">IFERROR(XLOOKUP(Q2003,'Classificação'!B:B,'Classificação'!C:C),"")</f>
        <v>DESPESAS FIXAS (-)</v>
      </c>
      <c r="S2003" s="15">
        <f t="shared" si="91"/>
        <v>15</v>
      </c>
      <c r="T2003" s="15">
        <f t="shared" si="6"/>
        <v>11</v>
      </c>
      <c r="U2003" s="15">
        <f t="shared" si="7"/>
        <v>2025</v>
      </c>
      <c r="V2003" s="15">
        <f t="shared" si="8"/>
        <v>15</v>
      </c>
      <c r="W2003" s="15">
        <f t="shared" si="9"/>
        <v>11</v>
      </c>
      <c r="X2003" s="15">
        <f t="shared" si="10"/>
        <v>2025</v>
      </c>
    </row>
    <row r="2004">
      <c r="A2004" s="27">
        <v>45978.0</v>
      </c>
      <c r="B2004" s="28"/>
      <c r="C2004" s="27">
        <f t="shared" si="90"/>
        <v>45978</v>
      </c>
      <c r="D2004" s="28" t="s">
        <v>36</v>
      </c>
      <c r="E2004" s="29" t="s">
        <v>25</v>
      </c>
      <c r="F2004" s="28" t="s">
        <v>26</v>
      </c>
      <c r="G2004" s="28" t="s">
        <v>37</v>
      </c>
      <c r="H2004" s="28"/>
      <c r="I2004" s="37">
        <v>2135.0</v>
      </c>
      <c r="J2004" s="34"/>
      <c r="K2004" s="37">
        <f t="shared" ref="K2004:K2005" si="119">IF(E2004="pago",(I2004-J2004),"")</f>
        <v>2135</v>
      </c>
      <c r="L2004" s="28" t="s">
        <v>29</v>
      </c>
      <c r="M2004" s="28"/>
      <c r="N2004" s="28" t="s">
        <v>38</v>
      </c>
      <c r="O2004" s="10" t="str">
        <f t="shared" si="79"/>
        <v>11/2025</v>
      </c>
      <c r="P2004" s="10" t="str">
        <f t="shared" si="81"/>
        <v>11/2025</v>
      </c>
      <c r="Q2004" s="15" t="str">
        <f t="array" ref="Q2004">IFERROR(XLOOKUP(N2004,'Classificação'!A:A,'Classificação'!B:B),"")</f>
        <v>DESPESAS COM PESSOAL</v>
      </c>
      <c r="R2004" s="15" t="str">
        <f t="array" ref="R2004">IFERROR(XLOOKUP(Q2004,'Classificação'!B:B,'Classificação'!C:C),"")</f>
        <v>DESPESAS FIXAS (-)</v>
      </c>
      <c r="S2004" s="15">
        <f t="shared" si="91"/>
        <v>17</v>
      </c>
      <c r="T2004" s="15">
        <f t="shared" si="6"/>
        <v>11</v>
      </c>
      <c r="U2004" s="15">
        <f t="shared" si="7"/>
        <v>2025</v>
      </c>
      <c r="V2004" s="15">
        <f t="shared" si="8"/>
        <v>17</v>
      </c>
      <c r="W2004" s="15">
        <f t="shared" si="9"/>
        <v>11</v>
      </c>
      <c r="X2004" s="15">
        <f t="shared" si="10"/>
        <v>2025</v>
      </c>
    </row>
    <row r="2005">
      <c r="A2005" s="27">
        <v>45978.0</v>
      </c>
      <c r="B2005" s="28"/>
      <c r="C2005" s="27">
        <f t="shared" si="90"/>
        <v>45978</v>
      </c>
      <c r="D2005" s="28" t="s">
        <v>43</v>
      </c>
      <c r="E2005" s="29" t="s">
        <v>25</v>
      </c>
      <c r="F2005" s="28" t="s">
        <v>32</v>
      </c>
      <c r="G2005" s="28" t="s">
        <v>37</v>
      </c>
      <c r="H2005" s="28"/>
      <c r="I2005" s="37">
        <v>2135.0</v>
      </c>
      <c r="J2005" s="34"/>
      <c r="K2005" s="37">
        <f t="shared" si="119"/>
        <v>2135</v>
      </c>
      <c r="L2005" s="28" t="s">
        <v>29</v>
      </c>
      <c r="M2005" s="28"/>
      <c r="N2005" s="28" t="s">
        <v>38</v>
      </c>
      <c r="O2005" s="10" t="str">
        <f t="shared" si="79"/>
        <v>11/2025</v>
      </c>
      <c r="P2005" s="10" t="str">
        <f t="shared" si="81"/>
        <v>11/2025</v>
      </c>
      <c r="Q2005" s="15" t="str">
        <f t="array" ref="Q2005">IFERROR(XLOOKUP(N2005,'Classificação'!A:A,'Classificação'!B:B),"")</f>
        <v>DESPESAS COM PESSOAL</v>
      </c>
      <c r="R2005" s="15" t="str">
        <f t="array" ref="R2005">IFERROR(XLOOKUP(Q2005,'Classificação'!B:B,'Classificação'!C:C),"")</f>
        <v>DESPESAS FIXAS (-)</v>
      </c>
      <c r="S2005" s="15">
        <f t="shared" si="91"/>
        <v>17</v>
      </c>
      <c r="T2005" s="15">
        <f t="shared" si="6"/>
        <v>11</v>
      </c>
      <c r="U2005" s="15">
        <f t="shared" si="7"/>
        <v>2025</v>
      </c>
      <c r="V2005" s="15">
        <f t="shared" si="8"/>
        <v>17</v>
      </c>
      <c r="W2005" s="15">
        <f t="shared" si="9"/>
        <v>11</v>
      </c>
      <c r="X2005" s="15">
        <f t="shared" si="10"/>
        <v>2025</v>
      </c>
    </row>
    <row r="2006">
      <c r="A2006" s="9">
        <v>45978.0</v>
      </c>
      <c r="B2006" s="10"/>
      <c r="C2006" s="9">
        <f t="shared" si="90"/>
        <v>45978</v>
      </c>
      <c r="D2006" s="11" t="s">
        <v>100</v>
      </c>
      <c r="E2006" s="29" t="s">
        <v>25</v>
      </c>
      <c r="F2006" s="11" t="s">
        <v>40</v>
      </c>
      <c r="G2006" s="29" t="s">
        <v>37</v>
      </c>
      <c r="I2006" s="12">
        <v>35.61</v>
      </c>
      <c r="J2006" s="13"/>
      <c r="K2006" s="13">
        <f t="shared" ref="K2006:K2067" si="120">if(E2006="pago",(I2006-J2006),"")</f>
        <v>35.61</v>
      </c>
      <c r="L2006" s="11" t="s">
        <v>34</v>
      </c>
      <c r="M2006" s="14"/>
      <c r="N2006" s="11" t="s">
        <v>101</v>
      </c>
      <c r="O2006" s="10" t="str">
        <f t="shared" si="79"/>
        <v>11/2025</v>
      </c>
      <c r="P2006" s="10" t="str">
        <f t="shared" si="81"/>
        <v>11/2025</v>
      </c>
      <c r="Q2006" s="15" t="str">
        <f t="array" ref="Q2006">IFERROR(XLOOKUP(N2006,'Classificação'!A:A,'Classificação'!B:B),"")</f>
        <v>IMPOSTO DE RENDA - DAS</v>
      </c>
      <c r="R2006" s="15" t="str">
        <f t="array" ref="R2006">IFERROR(XLOOKUP(Q2006,'Classificação'!B:B,'Classificação'!C:C),"")</f>
        <v>DEDUÇÕES DA RECEITA BRUTA (-)</v>
      </c>
      <c r="S2006" s="15">
        <f t="shared" si="91"/>
        <v>17</v>
      </c>
      <c r="T2006" s="15">
        <f t="shared" si="6"/>
        <v>11</v>
      </c>
      <c r="U2006" s="15">
        <f t="shared" si="7"/>
        <v>2025</v>
      </c>
      <c r="V2006" s="15">
        <f t="shared" si="8"/>
        <v>17</v>
      </c>
      <c r="W2006" s="15">
        <f t="shared" si="9"/>
        <v>11</v>
      </c>
      <c r="X2006" s="15">
        <f t="shared" si="10"/>
        <v>2025</v>
      </c>
    </row>
    <row r="2007">
      <c r="A2007" s="9">
        <v>45978.0</v>
      </c>
      <c r="B2007" s="10"/>
      <c r="C2007" s="9">
        <f t="shared" si="90"/>
        <v>45978</v>
      </c>
      <c r="D2007" s="11" t="s">
        <v>39</v>
      </c>
      <c r="E2007" s="11" t="s">
        <v>25</v>
      </c>
      <c r="F2007" s="11" t="s">
        <v>40</v>
      </c>
      <c r="G2007" s="11" t="s">
        <v>27</v>
      </c>
      <c r="H2007" s="11" t="s">
        <v>640</v>
      </c>
      <c r="I2007" s="12">
        <v>142.68</v>
      </c>
      <c r="J2007" s="13"/>
      <c r="K2007" s="13">
        <f t="shared" si="120"/>
        <v>142.68</v>
      </c>
      <c r="L2007" s="11" t="s">
        <v>53</v>
      </c>
      <c r="M2007" s="17">
        <v>45939.0</v>
      </c>
      <c r="N2007" s="11" t="s">
        <v>355</v>
      </c>
      <c r="O2007" s="10" t="str">
        <f t="shared" si="79"/>
        <v>11/2025</v>
      </c>
      <c r="P2007" s="10" t="str">
        <f t="shared" si="81"/>
        <v>11/2025</v>
      </c>
      <c r="Q2007" s="15" t="str">
        <f t="array" ref="Q2007">IFERROR(XLOOKUP(N2007,'Classificação'!A:A,'Classificação'!B:B),"")</f>
        <v>IMPOSTOS E TAXAS DIVERSAS</v>
      </c>
      <c r="R2007" s="15" t="str">
        <f t="array" ref="R2007">IFERROR(XLOOKUP(Q2007,'Classificação'!B:B,'Classificação'!C:C),"")</f>
        <v>DESPESAS FIXAS (-)</v>
      </c>
      <c r="S2007" s="15">
        <f t="shared" si="91"/>
        <v>17</v>
      </c>
      <c r="T2007" s="15">
        <f t="shared" si="6"/>
        <v>11</v>
      </c>
      <c r="U2007" s="15">
        <f t="shared" si="7"/>
        <v>2025</v>
      </c>
      <c r="V2007" s="15">
        <f t="shared" si="8"/>
        <v>17</v>
      </c>
      <c r="W2007" s="15">
        <f t="shared" si="9"/>
        <v>11</v>
      </c>
      <c r="X2007" s="15">
        <f t="shared" si="10"/>
        <v>2025</v>
      </c>
    </row>
    <row r="2008">
      <c r="A2008" s="9">
        <v>45979.0</v>
      </c>
      <c r="B2008" s="10"/>
      <c r="C2008" s="9">
        <f t="shared" si="90"/>
        <v>45979</v>
      </c>
      <c r="D2008" s="11" t="s">
        <v>90</v>
      </c>
      <c r="E2008" s="11" t="s">
        <v>25</v>
      </c>
      <c r="F2008" s="11" t="s">
        <v>40</v>
      </c>
      <c r="G2008" s="11" t="s">
        <v>27</v>
      </c>
      <c r="H2008" s="11" t="s">
        <v>367</v>
      </c>
      <c r="I2008" s="12">
        <v>409.86</v>
      </c>
      <c r="J2008" s="13"/>
      <c r="K2008" s="13">
        <f t="shared" si="120"/>
        <v>409.86</v>
      </c>
      <c r="L2008" s="11" t="s">
        <v>29</v>
      </c>
      <c r="M2008" s="14"/>
      <c r="N2008" s="11" t="s">
        <v>92</v>
      </c>
      <c r="O2008" s="10" t="str">
        <f t="shared" si="79"/>
        <v>11/2025</v>
      </c>
      <c r="P2008" s="10" t="str">
        <f t="shared" si="81"/>
        <v>11/2025</v>
      </c>
      <c r="Q2008" s="15" t="str">
        <f t="array" ref="Q2008">IFERROR(XLOOKUP(N2008,'Classificação'!A:A,'Classificação'!B:B),"")</f>
        <v>DESPESAS COM OCUPAÇÃO</v>
      </c>
      <c r="R2008" s="15" t="str">
        <f t="array" ref="R2008">IFERROR(XLOOKUP(Q2008,'Classificação'!B:B,'Classificação'!C:C),"")</f>
        <v>DESPESAS FIXAS (-)</v>
      </c>
      <c r="S2008" s="15">
        <f t="shared" si="91"/>
        <v>18</v>
      </c>
      <c r="T2008" s="15">
        <f t="shared" si="6"/>
        <v>11</v>
      </c>
      <c r="U2008" s="15">
        <f t="shared" si="7"/>
        <v>2025</v>
      </c>
      <c r="V2008" s="15">
        <f t="shared" si="8"/>
        <v>18</v>
      </c>
      <c r="W2008" s="15">
        <f t="shared" si="9"/>
        <v>11</v>
      </c>
      <c r="X2008" s="15">
        <f t="shared" si="10"/>
        <v>2025</v>
      </c>
    </row>
    <row r="2009">
      <c r="A2009" s="9">
        <v>45979.0</v>
      </c>
      <c r="B2009" s="10"/>
      <c r="C2009" s="9">
        <f t="shared" si="90"/>
        <v>45979</v>
      </c>
      <c r="D2009" s="11" t="s">
        <v>44</v>
      </c>
      <c r="E2009" s="11" t="s">
        <v>25</v>
      </c>
      <c r="F2009" s="11" t="s">
        <v>45</v>
      </c>
      <c r="G2009" s="11" t="s">
        <v>27</v>
      </c>
      <c r="H2009" s="11" t="s">
        <v>703</v>
      </c>
      <c r="I2009" s="12">
        <v>3065.88</v>
      </c>
      <c r="J2009" s="13"/>
      <c r="K2009" s="13">
        <f t="shared" si="120"/>
        <v>3065.88</v>
      </c>
      <c r="L2009" s="11" t="s">
        <v>53</v>
      </c>
      <c r="M2009" s="16" t="s">
        <v>1058</v>
      </c>
      <c r="N2009" s="11" t="s">
        <v>73</v>
      </c>
      <c r="O2009" s="10" t="str">
        <f t="shared" si="79"/>
        <v>11/2025</v>
      </c>
      <c r="P2009" s="10" t="str">
        <f t="shared" si="81"/>
        <v>11/2025</v>
      </c>
      <c r="Q2009" s="15" t="str">
        <f t="array" ref="Q2009">IFERROR(XLOOKUP(N2009,'Classificação'!A:A,'Classificação'!B:B),"")</f>
        <v>DESPESAS NÃO OPERACIONAIS</v>
      </c>
      <c r="R2009" s="15" t="str">
        <f t="array" ref="R2009">IFERROR(XLOOKUP(Q2009,'Classificação'!B:B,'Classificação'!C:C),"")</f>
        <v>RESULTADO NÃO OPERACIONAL (+/-)</v>
      </c>
      <c r="S2009" s="15">
        <f t="shared" si="91"/>
        <v>18</v>
      </c>
      <c r="T2009" s="15">
        <f t="shared" si="6"/>
        <v>11</v>
      </c>
      <c r="U2009" s="15">
        <f t="shared" si="7"/>
        <v>2025</v>
      </c>
      <c r="V2009" s="15">
        <f t="shared" si="8"/>
        <v>18</v>
      </c>
      <c r="W2009" s="15">
        <f t="shared" si="9"/>
        <v>11</v>
      </c>
      <c r="X2009" s="15">
        <f t="shared" si="10"/>
        <v>2025</v>
      </c>
    </row>
    <row r="2010">
      <c r="A2010" s="9">
        <v>45979.0</v>
      </c>
      <c r="B2010" s="10"/>
      <c r="C2010" s="9">
        <f t="shared" si="90"/>
        <v>45979</v>
      </c>
      <c r="D2010" s="11" t="s">
        <v>65</v>
      </c>
      <c r="E2010" s="11" t="s">
        <v>25</v>
      </c>
      <c r="F2010" s="11" t="s">
        <v>45</v>
      </c>
      <c r="G2010" s="11" t="s">
        <v>37</v>
      </c>
      <c r="H2010" s="11" t="s">
        <v>103</v>
      </c>
      <c r="I2010" s="12">
        <v>582.73</v>
      </c>
      <c r="J2010" s="13"/>
      <c r="K2010" s="13">
        <f t="shared" si="120"/>
        <v>582.73</v>
      </c>
      <c r="L2010" s="11" t="s">
        <v>29</v>
      </c>
      <c r="M2010" s="14"/>
      <c r="N2010" s="11" t="s">
        <v>68</v>
      </c>
      <c r="O2010" s="10" t="str">
        <f t="shared" si="79"/>
        <v>11/2025</v>
      </c>
      <c r="P2010" s="10" t="str">
        <f t="shared" si="81"/>
        <v>11/2025</v>
      </c>
      <c r="Q2010" s="15" t="str">
        <f t="array" ref="Q2010">IFERROR(XLOOKUP(N2010,'Classificação'!A:A,'Classificação'!B:B),"")</f>
        <v>FRETE DE VENDAS</v>
      </c>
      <c r="R2010" s="15" t="str">
        <f t="array" ref="R2010">IFERROR(XLOOKUP(Q2010,'Classificação'!B:B,'Classificação'!C:C),"")</f>
        <v>CUSTOS VARIÁVEIS</v>
      </c>
      <c r="S2010" s="15">
        <f t="shared" si="91"/>
        <v>18</v>
      </c>
      <c r="T2010" s="15">
        <f t="shared" si="6"/>
        <v>11</v>
      </c>
      <c r="U2010" s="15">
        <f t="shared" si="7"/>
        <v>2025</v>
      </c>
      <c r="V2010" s="15">
        <f t="shared" si="8"/>
        <v>18</v>
      </c>
      <c r="W2010" s="15">
        <f t="shared" si="9"/>
        <v>11</v>
      </c>
      <c r="X2010" s="15">
        <f t="shared" si="10"/>
        <v>2025</v>
      </c>
    </row>
    <row r="2011">
      <c r="A2011" s="26">
        <v>45980.0</v>
      </c>
      <c r="B2011" s="49">
        <v>45903.0</v>
      </c>
      <c r="C2011" s="27">
        <f t="shared" si="90"/>
        <v>45980</v>
      </c>
      <c r="D2011" s="28" t="s">
        <v>86</v>
      </c>
      <c r="E2011" s="29" t="s">
        <v>25</v>
      </c>
      <c r="F2011" s="29" t="s">
        <v>87</v>
      </c>
      <c r="G2011" s="29" t="s">
        <v>27</v>
      </c>
      <c r="H2011" s="29" t="s">
        <v>1059</v>
      </c>
      <c r="I2011" s="24">
        <v>920.0</v>
      </c>
      <c r="J2011" s="34"/>
      <c r="K2011" s="13">
        <f t="shared" si="120"/>
        <v>920</v>
      </c>
      <c r="L2011" s="28" t="s">
        <v>53</v>
      </c>
      <c r="M2011" s="40">
        <v>45748.0</v>
      </c>
      <c r="N2011" s="28" t="s">
        <v>35</v>
      </c>
      <c r="O2011" s="10" t="str">
        <f t="shared" si="79"/>
        <v>11/2025</v>
      </c>
      <c r="P2011" s="10" t="str">
        <f t="shared" si="81"/>
        <v>11/2025</v>
      </c>
      <c r="Q2011" s="15" t="str">
        <f t="array" ref="Q2011">IFERROR(XLOOKUP(N2011,'Classificação'!A:A,'Classificação'!B:B),"")</f>
        <v>COMPRA DE MERCADORIA</v>
      </c>
      <c r="R2011" s="15" t="str">
        <f t="array" ref="R2011">IFERROR(XLOOKUP(Q2011,'Classificação'!B:B,'Classificação'!C:C),"")</f>
        <v>CUSTOS VARIÁVEIS</v>
      </c>
      <c r="S2011" s="15">
        <f t="shared" si="91"/>
        <v>19</v>
      </c>
      <c r="T2011" s="15">
        <f t="shared" si="6"/>
        <v>11</v>
      </c>
      <c r="U2011" s="15">
        <f t="shared" si="7"/>
        <v>2025</v>
      </c>
      <c r="V2011" s="15">
        <f t="shared" si="8"/>
        <v>19</v>
      </c>
      <c r="W2011" s="15">
        <f t="shared" si="9"/>
        <v>11</v>
      </c>
      <c r="X2011" s="15">
        <f t="shared" si="10"/>
        <v>2025</v>
      </c>
    </row>
    <row r="2012">
      <c r="A2012" s="9">
        <v>45980.0</v>
      </c>
      <c r="B2012" s="10"/>
      <c r="C2012" s="9">
        <f t="shared" si="90"/>
        <v>45980</v>
      </c>
      <c r="D2012" s="11" t="s">
        <v>123</v>
      </c>
      <c r="E2012" s="11" t="s">
        <v>25</v>
      </c>
      <c r="F2012" s="11" t="s">
        <v>40</v>
      </c>
      <c r="G2012" s="11" t="s">
        <v>27</v>
      </c>
      <c r="H2012" s="11" t="s">
        <v>1060</v>
      </c>
      <c r="I2012" s="12">
        <v>332.0</v>
      </c>
      <c r="J2012" s="13"/>
      <c r="K2012" s="13">
        <f t="shared" si="120"/>
        <v>332</v>
      </c>
      <c r="L2012" s="11" t="s">
        <v>29</v>
      </c>
      <c r="M2012" s="14"/>
      <c r="N2012" s="11" t="s">
        <v>123</v>
      </c>
      <c r="O2012" s="10" t="str">
        <f t="shared" si="79"/>
        <v>11/2025</v>
      </c>
      <c r="P2012" s="10" t="str">
        <f t="shared" si="81"/>
        <v>11/2025</v>
      </c>
      <c r="Q2012" s="15" t="str">
        <f t="array" ref="Q2012">IFERROR(XLOOKUP(N2012,'Classificação'!A:A,'Classificação'!B:B),"")</f>
        <v>DESPESAS COM PESSOAL</v>
      </c>
      <c r="R2012" s="15" t="str">
        <f t="array" ref="R2012">IFERROR(XLOOKUP(Q2012,'Classificação'!B:B,'Classificação'!C:C),"")</f>
        <v>DESPESAS FIXAS (-)</v>
      </c>
      <c r="S2012" s="15">
        <f t="shared" si="91"/>
        <v>19</v>
      </c>
      <c r="T2012" s="15">
        <f t="shared" si="6"/>
        <v>11</v>
      </c>
      <c r="U2012" s="15">
        <f t="shared" si="7"/>
        <v>2025</v>
      </c>
      <c r="V2012" s="15">
        <f t="shared" si="8"/>
        <v>19</v>
      </c>
      <c r="W2012" s="15">
        <f t="shared" si="9"/>
        <v>11</v>
      </c>
      <c r="X2012" s="15">
        <f t="shared" si="10"/>
        <v>2025</v>
      </c>
    </row>
    <row r="2013">
      <c r="A2013" s="9">
        <v>45980.0</v>
      </c>
      <c r="B2013" s="10"/>
      <c r="C2013" s="9">
        <f t="shared" si="90"/>
        <v>45980</v>
      </c>
      <c r="D2013" s="11" t="s">
        <v>126</v>
      </c>
      <c r="E2013" s="11" t="s">
        <v>25</v>
      </c>
      <c r="F2013" s="11" t="s">
        <v>40</v>
      </c>
      <c r="G2013" s="11" t="s">
        <v>27</v>
      </c>
      <c r="H2013" s="11" t="s">
        <v>1060</v>
      </c>
      <c r="I2013" s="12">
        <v>661.92</v>
      </c>
      <c r="J2013" s="13"/>
      <c r="K2013" s="13">
        <f t="shared" si="120"/>
        <v>661.92</v>
      </c>
      <c r="L2013" s="11" t="s">
        <v>29</v>
      </c>
      <c r="M2013" s="14"/>
      <c r="N2013" s="11" t="s">
        <v>126</v>
      </c>
      <c r="O2013" s="10" t="str">
        <f t="shared" si="79"/>
        <v>11/2025</v>
      </c>
      <c r="P2013" s="10" t="str">
        <f t="shared" si="81"/>
        <v>11/2025</v>
      </c>
      <c r="Q2013" s="15" t="str">
        <f t="array" ref="Q2013">IFERROR(XLOOKUP(N2013,'Classificação'!A:A,'Classificação'!B:B),"")</f>
        <v>DESPESAS COM PESSOAL</v>
      </c>
      <c r="R2013" s="15" t="str">
        <f t="array" ref="R2013">IFERROR(XLOOKUP(Q2013,'Classificação'!B:B,'Classificação'!C:C),"")</f>
        <v>DESPESAS FIXAS (-)</v>
      </c>
      <c r="S2013" s="15">
        <f t="shared" si="91"/>
        <v>19</v>
      </c>
      <c r="T2013" s="15">
        <f t="shared" si="6"/>
        <v>11</v>
      </c>
      <c r="U2013" s="15">
        <f t="shared" si="7"/>
        <v>2025</v>
      </c>
      <c r="V2013" s="15">
        <f t="shared" si="8"/>
        <v>19</v>
      </c>
      <c r="W2013" s="15">
        <f t="shared" si="9"/>
        <v>11</v>
      </c>
      <c r="X2013" s="15">
        <f t="shared" si="10"/>
        <v>2025</v>
      </c>
    </row>
    <row r="2014">
      <c r="A2014" s="9">
        <v>45982.0</v>
      </c>
      <c r="B2014" s="10"/>
      <c r="C2014" s="9">
        <f t="shared" si="90"/>
        <v>45982</v>
      </c>
      <c r="D2014" s="11" t="s">
        <v>171</v>
      </c>
      <c r="E2014" s="11" t="s">
        <v>25</v>
      </c>
      <c r="F2014" s="11" t="s">
        <v>40</v>
      </c>
      <c r="G2014" s="11" t="s">
        <v>27</v>
      </c>
      <c r="I2014" s="12">
        <v>107.64</v>
      </c>
      <c r="J2014" s="13"/>
      <c r="K2014" s="13">
        <f t="shared" si="120"/>
        <v>107.64</v>
      </c>
      <c r="L2014" s="11" t="s">
        <v>29</v>
      </c>
      <c r="M2014" s="14"/>
      <c r="N2014" s="11" t="s">
        <v>172</v>
      </c>
      <c r="O2014" s="10" t="str">
        <f t="shared" si="79"/>
        <v>11/2025</v>
      </c>
      <c r="P2014" s="10" t="str">
        <f t="shared" si="81"/>
        <v>11/2025</v>
      </c>
      <c r="Q2014" s="15" t="str">
        <f t="array" ref="Q2014">IFERROR(XLOOKUP(N2014,'Classificação'!A:A,'Classificação'!B:B),"")</f>
        <v>DESPESAS COM OCUPAÇÃO</v>
      </c>
      <c r="R2014" s="15" t="str">
        <f t="array" ref="R2014">IFERROR(XLOOKUP(Q2014,'Classificação'!B:B,'Classificação'!C:C),"")</f>
        <v>DESPESAS FIXAS (-)</v>
      </c>
      <c r="S2014" s="15">
        <f t="shared" si="91"/>
        <v>21</v>
      </c>
      <c r="T2014" s="15">
        <f t="shared" si="6"/>
        <v>11</v>
      </c>
      <c r="U2014" s="15">
        <f t="shared" si="7"/>
        <v>2025</v>
      </c>
      <c r="V2014" s="15">
        <f t="shared" si="8"/>
        <v>21</v>
      </c>
      <c r="W2014" s="15">
        <f t="shared" si="9"/>
        <v>11</v>
      </c>
      <c r="X2014" s="15">
        <f t="shared" si="10"/>
        <v>2025</v>
      </c>
    </row>
    <row r="2015">
      <c r="A2015" s="9">
        <v>45982.0</v>
      </c>
      <c r="B2015" s="10"/>
      <c r="C2015" s="9">
        <f t="shared" si="90"/>
        <v>45982</v>
      </c>
      <c r="D2015" s="11" t="s">
        <v>100</v>
      </c>
      <c r="E2015" s="11" t="s">
        <v>25</v>
      </c>
      <c r="F2015" s="11" t="s">
        <v>40</v>
      </c>
      <c r="G2015" s="11" t="s">
        <v>37</v>
      </c>
      <c r="H2015" s="11" t="s">
        <v>1061</v>
      </c>
      <c r="I2015" s="12">
        <v>6078.84</v>
      </c>
      <c r="J2015" s="13"/>
      <c r="K2015" s="13">
        <f t="shared" si="120"/>
        <v>6078.84</v>
      </c>
      <c r="L2015" s="11" t="s">
        <v>29</v>
      </c>
      <c r="M2015" s="14"/>
      <c r="N2015" s="11" t="s">
        <v>101</v>
      </c>
      <c r="O2015" s="10" t="str">
        <f t="shared" si="79"/>
        <v>11/2025</v>
      </c>
      <c r="P2015" s="10" t="str">
        <f t="shared" si="81"/>
        <v>11/2025</v>
      </c>
      <c r="Q2015" s="15" t="str">
        <f t="array" ref="Q2015">IFERROR(XLOOKUP(N2015,'Classificação'!A:A,'Classificação'!B:B),"")</f>
        <v>IMPOSTO DE RENDA - DAS</v>
      </c>
      <c r="R2015" s="15" t="str">
        <f t="array" ref="R2015">IFERROR(XLOOKUP(Q2015,'Classificação'!B:B,'Classificação'!C:C),"")</f>
        <v>DEDUÇÕES DA RECEITA BRUTA (-)</v>
      </c>
      <c r="S2015" s="15">
        <f t="shared" si="91"/>
        <v>21</v>
      </c>
      <c r="T2015" s="15">
        <f t="shared" si="6"/>
        <v>11</v>
      </c>
      <c r="U2015" s="15">
        <f t="shared" si="7"/>
        <v>2025</v>
      </c>
      <c r="V2015" s="15">
        <f t="shared" si="8"/>
        <v>21</v>
      </c>
      <c r="W2015" s="15">
        <f t="shared" si="9"/>
        <v>11</v>
      </c>
      <c r="X2015" s="15">
        <f t="shared" si="10"/>
        <v>2025</v>
      </c>
    </row>
    <row r="2016">
      <c r="A2016" s="9">
        <v>45982.0</v>
      </c>
      <c r="B2016" s="10"/>
      <c r="C2016" s="9">
        <f t="shared" si="90"/>
        <v>45982</v>
      </c>
      <c r="D2016" s="11" t="s">
        <v>100</v>
      </c>
      <c r="E2016" s="11" t="s">
        <v>25</v>
      </c>
      <c r="F2016" s="11" t="s">
        <v>40</v>
      </c>
      <c r="G2016" s="11" t="s">
        <v>27</v>
      </c>
      <c r="H2016" s="11" t="s">
        <v>1062</v>
      </c>
      <c r="I2016" s="12">
        <v>10955.05</v>
      </c>
      <c r="J2016" s="13"/>
      <c r="K2016" s="13">
        <f t="shared" si="120"/>
        <v>10955.05</v>
      </c>
      <c r="L2016" s="11" t="s">
        <v>29</v>
      </c>
      <c r="M2016" s="14"/>
      <c r="N2016" s="11" t="s">
        <v>101</v>
      </c>
      <c r="O2016" s="10" t="str">
        <f t="shared" si="79"/>
        <v>11/2025</v>
      </c>
      <c r="P2016" s="10" t="str">
        <f t="shared" si="81"/>
        <v>11/2025</v>
      </c>
      <c r="Q2016" s="15" t="str">
        <f t="array" ref="Q2016">IFERROR(XLOOKUP(N2016,'Classificação'!A:A,'Classificação'!B:B),"")</f>
        <v>IMPOSTO DE RENDA - DAS</v>
      </c>
      <c r="R2016" s="15" t="str">
        <f t="array" ref="R2016">IFERROR(XLOOKUP(Q2016,'Classificação'!B:B,'Classificação'!C:C),"")</f>
        <v>DEDUÇÕES DA RECEITA BRUTA (-)</v>
      </c>
      <c r="S2016" s="15">
        <f t="shared" si="91"/>
        <v>21</v>
      </c>
      <c r="T2016" s="15">
        <f t="shared" si="6"/>
        <v>11</v>
      </c>
      <c r="U2016" s="15">
        <f t="shared" si="7"/>
        <v>2025</v>
      </c>
      <c r="V2016" s="15">
        <f t="shared" si="8"/>
        <v>21</v>
      </c>
      <c r="W2016" s="15">
        <f t="shared" si="9"/>
        <v>11</v>
      </c>
      <c r="X2016" s="15">
        <f t="shared" si="10"/>
        <v>2025</v>
      </c>
    </row>
    <row r="2017">
      <c r="A2017" s="32">
        <v>45982.0</v>
      </c>
      <c r="B2017" s="10"/>
      <c r="C2017" s="9">
        <f t="shared" si="90"/>
        <v>45982</v>
      </c>
      <c r="D2017" s="11" t="s">
        <v>369</v>
      </c>
      <c r="E2017" s="11" t="s">
        <v>25</v>
      </c>
      <c r="F2017" s="11" t="s">
        <v>107</v>
      </c>
      <c r="G2017" s="11" t="s">
        <v>27</v>
      </c>
      <c r="H2017" s="11" t="s">
        <v>486</v>
      </c>
      <c r="I2017" s="31">
        <v>29.9</v>
      </c>
      <c r="J2017" s="13"/>
      <c r="K2017" s="13">
        <f t="shared" si="120"/>
        <v>29.9</v>
      </c>
      <c r="L2017" s="11" t="s">
        <v>53</v>
      </c>
      <c r="M2017" s="16" t="s">
        <v>1063</v>
      </c>
      <c r="N2017" s="11" t="s">
        <v>105</v>
      </c>
      <c r="O2017" s="10" t="str">
        <f t="shared" si="79"/>
        <v>11/2025</v>
      </c>
      <c r="P2017" s="10" t="str">
        <f t="shared" si="81"/>
        <v>11/2025</v>
      </c>
      <c r="Q2017" s="15" t="str">
        <f t="array" ref="Q2017">IFERROR(XLOOKUP(N2017,'Classificação'!A:A,'Classificação'!B:B),"")</f>
        <v>DESPESAS ADMINISTRATIVAS</v>
      </c>
      <c r="R2017" s="15" t="str">
        <f t="array" ref="R2017">IFERROR(XLOOKUP(Q2017,'Classificação'!B:B,'Classificação'!C:C),"")</f>
        <v>DESPESAS FIXAS (-)</v>
      </c>
      <c r="S2017" s="15">
        <f t="shared" si="91"/>
        <v>21</v>
      </c>
      <c r="T2017" s="15">
        <f t="shared" si="6"/>
        <v>11</v>
      </c>
      <c r="U2017" s="15">
        <f t="shared" si="7"/>
        <v>2025</v>
      </c>
      <c r="V2017" s="15">
        <f t="shared" si="8"/>
        <v>21</v>
      </c>
      <c r="W2017" s="15">
        <f t="shared" si="9"/>
        <v>11</v>
      </c>
      <c r="X2017" s="15">
        <f t="shared" si="10"/>
        <v>2025</v>
      </c>
    </row>
    <row r="2018">
      <c r="A2018" s="32">
        <v>45982.0</v>
      </c>
      <c r="B2018" s="9">
        <v>45970.0</v>
      </c>
      <c r="C2018" s="9">
        <f t="shared" si="90"/>
        <v>45982</v>
      </c>
      <c r="D2018" s="11" t="s">
        <v>179</v>
      </c>
      <c r="E2018" s="11" t="s">
        <v>25</v>
      </c>
      <c r="F2018" s="11" t="s">
        <v>107</v>
      </c>
      <c r="G2018" s="28" t="s">
        <v>27</v>
      </c>
      <c r="H2018" s="11" t="s">
        <v>312</v>
      </c>
      <c r="I2018" s="31">
        <v>150.0</v>
      </c>
      <c r="J2018" s="13"/>
      <c r="K2018" s="13">
        <f t="shared" si="120"/>
        <v>150</v>
      </c>
      <c r="L2018" s="11" t="s">
        <v>34</v>
      </c>
      <c r="M2018" s="14"/>
      <c r="N2018" s="11" t="s">
        <v>181</v>
      </c>
      <c r="O2018" s="10" t="str">
        <f t="shared" si="79"/>
        <v>11/2025</v>
      </c>
      <c r="P2018" s="10" t="str">
        <f t="shared" si="81"/>
        <v>11/2025</v>
      </c>
      <c r="Q2018" s="15" t="str">
        <f t="array" ref="Q2018">IFERROR(XLOOKUP(N2018,'Classificação'!A:A,'Classificação'!B:B),"")</f>
        <v>DESPESAS COM VEICULOS</v>
      </c>
      <c r="R2018" s="15" t="str">
        <f t="array" ref="R2018">IFERROR(XLOOKUP(Q2018,'Classificação'!B:B,'Classificação'!C:C),"")</f>
        <v>DESPESAS FIXAS (-)</v>
      </c>
      <c r="S2018" s="15">
        <f t="shared" si="91"/>
        <v>21</v>
      </c>
      <c r="T2018" s="15">
        <f t="shared" si="6"/>
        <v>11</v>
      </c>
      <c r="U2018" s="15">
        <f t="shared" si="7"/>
        <v>2025</v>
      </c>
      <c r="V2018" s="15">
        <f t="shared" si="8"/>
        <v>21</v>
      </c>
      <c r="W2018" s="15">
        <f t="shared" si="9"/>
        <v>11</v>
      </c>
      <c r="X2018" s="15">
        <f t="shared" si="10"/>
        <v>2025</v>
      </c>
    </row>
    <row r="2019">
      <c r="A2019" s="32">
        <v>45982.0</v>
      </c>
      <c r="B2019" s="9">
        <v>45814.0</v>
      </c>
      <c r="C2019" s="9">
        <f t="shared" si="90"/>
        <v>45982</v>
      </c>
      <c r="D2019" s="11" t="s">
        <v>861</v>
      </c>
      <c r="E2019" s="11" t="s">
        <v>25</v>
      </c>
      <c r="F2019" s="11" t="s">
        <v>110</v>
      </c>
      <c r="G2019" s="11" t="s">
        <v>27</v>
      </c>
      <c r="H2019" s="11" t="s">
        <v>862</v>
      </c>
      <c r="I2019" s="31">
        <v>58.66</v>
      </c>
      <c r="J2019" s="13"/>
      <c r="K2019" s="13">
        <f t="shared" si="120"/>
        <v>58.66</v>
      </c>
      <c r="L2019" s="11" t="s">
        <v>53</v>
      </c>
      <c r="M2019" s="17">
        <v>45813.0</v>
      </c>
      <c r="N2019" s="11" t="s">
        <v>394</v>
      </c>
      <c r="O2019" s="10" t="str">
        <f t="shared" si="79"/>
        <v>11/2025</v>
      </c>
      <c r="P2019" s="10" t="str">
        <f t="shared" si="81"/>
        <v>11/2025</v>
      </c>
      <c r="Q2019" s="15" t="str">
        <f t="array" ref="Q2019">IFERROR(XLOOKUP(N2019,'Classificação'!A:A,'Classificação'!B:B),"")</f>
        <v>DESPESAS NÃO OPERACIONAIS</v>
      </c>
      <c r="R2019" s="15" t="str">
        <f t="array" ref="R2019">IFERROR(XLOOKUP(Q2019,'Classificação'!B:B,'Classificação'!C:C),"")</f>
        <v>RESULTADO NÃO OPERACIONAL (+/-)</v>
      </c>
      <c r="S2019" s="15">
        <f t="shared" si="91"/>
        <v>21</v>
      </c>
      <c r="T2019" s="15">
        <f t="shared" si="6"/>
        <v>11</v>
      </c>
      <c r="U2019" s="15">
        <f t="shared" si="7"/>
        <v>2025</v>
      </c>
      <c r="V2019" s="15">
        <f t="shared" si="8"/>
        <v>21</v>
      </c>
      <c r="W2019" s="15">
        <f t="shared" si="9"/>
        <v>11</v>
      </c>
      <c r="X2019" s="15">
        <f t="shared" si="10"/>
        <v>2025</v>
      </c>
    </row>
    <row r="2020">
      <c r="A2020" s="9">
        <v>45982.0</v>
      </c>
      <c r="B2020" s="10"/>
      <c r="C2020" s="9">
        <f t="shared" si="90"/>
        <v>45982</v>
      </c>
      <c r="D2020" s="11" t="s">
        <v>104</v>
      </c>
      <c r="E2020" s="11" t="s">
        <v>25</v>
      </c>
      <c r="F2020" s="11" t="s">
        <v>40</v>
      </c>
      <c r="G2020" s="11" t="s">
        <v>27</v>
      </c>
      <c r="I2020" s="12">
        <v>450.0</v>
      </c>
      <c r="J2020" s="13"/>
      <c r="K2020" s="13">
        <f t="shared" si="120"/>
        <v>450</v>
      </c>
      <c r="L2020" s="11" t="s">
        <v>29</v>
      </c>
      <c r="M2020" s="14"/>
      <c r="N2020" s="11" t="s">
        <v>105</v>
      </c>
      <c r="O2020" s="10" t="str">
        <f t="shared" si="79"/>
        <v>11/2025</v>
      </c>
      <c r="P2020" s="10" t="str">
        <f t="shared" si="81"/>
        <v>11/2025</v>
      </c>
      <c r="Q2020" s="15" t="str">
        <f t="array" ref="Q2020">IFERROR(XLOOKUP(N2020,'Classificação'!A:A,'Classificação'!B:B),"")</f>
        <v>DESPESAS ADMINISTRATIVAS</v>
      </c>
      <c r="R2020" s="15" t="str">
        <f t="array" ref="R2020">IFERROR(XLOOKUP(Q2020,'Classificação'!B:B,'Classificação'!C:C),"")</f>
        <v>DESPESAS FIXAS (-)</v>
      </c>
      <c r="S2020" s="15">
        <f t="shared" si="91"/>
        <v>21</v>
      </c>
      <c r="T2020" s="15">
        <f t="shared" si="6"/>
        <v>11</v>
      </c>
      <c r="U2020" s="15">
        <f t="shared" si="7"/>
        <v>2025</v>
      </c>
      <c r="V2020" s="15">
        <f t="shared" si="8"/>
        <v>21</v>
      </c>
      <c r="W2020" s="15">
        <f t="shared" si="9"/>
        <v>11</v>
      </c>
      <c r="X2020" s="15">
        <f t="shared" si="10"/>
        <v>2025</v>
      </c>
    </row>
    <row r="2021">
      <c r="A2021" s="32">
        <v>45982.0</v>
      </c>
      <c r="B2021" s="9">
        <v>45938.0</v>
      </c>
      <c r="C2021" s="9">
        <f t="shared" si="90"/>
        <v>45982</v>
      </c>
      <c r="D2021" s="11" t="s">
        <v>508</v>
      </c>
      <c r="E2021" s="11" t="s">
        <v>25</v>
      </c>
      <c r="F2021" s="11" t="s">
        <v>107</v>
      </c>
      <c r="G2021" s="28" t="s">
        <v>27</v>
      </c>
      <c r="H2021" s="11" t="s">
        <v>1064</v>
      </c>
      <c r="I2021" s="31">
        <v>9.9</v>
      </c>
      <c r="J2021" s="13"/>
      <c r="K2021" s="13">
        <f t="shared" si="120"/>
        <v>9.9</v>
      </c>
      <c r="L2021" s="11" t="s">
        <v>34</v>
      </c>
      <c r="M2021" s="14"/>
      <c r="N2021" s="11" t="s">
        <v>347</v>
      </c>
      <c r="O2021" s="10" t="str">
        <f t="shared" si="79"/>
        <v>11/2025</v>
      </c>
      <c r="P2021" s="10" t="str">
        <f t="shared" si="81"/>
        <v>11/2025</v>
      </c>
      <c r="Q2021" s="15" t="str">
        <f t="array" ref="Q2021">IFERROR(XLOOKUP(N2021,'Classificação'!A:A,'Classificação'!B:B),"")</f>
        <v>DESPESAS ADMINISTRATIVAS</v>
      </c>
      <c r="R2021" s="15" t="str">
        <f t="array" ref="R2021">IFERROR(XLOOKUP(Q2021,'Classificação'!B:B,'Classificação'!C:C),"")</f>
        <v>DESPESAS FIXAS (-)</v>
      </c>
      <c r="S2021" s="15">
        <f t="shared" si="91"/>
        <v>21</v>
      </c>
      <c r="T2021" s="15">
        <f t="shared" si="6"/>
        <v>11</v>
      </c>
      <c r="U2021" s="15">
        <f t="shared" si="7"/>
        <v>2025</v>
      </c>
      <c r="V2021" s="15">
        <f t="shared" si="8"/>
        <v>21</v>
      </c>
      <c r="W2021" s="15">
        <f t="shared" si="9"/>
        <v>11</v>
      </c>
      <c r="X2021" s="15">
        <f t="shared" si="10"/>
        <v>2025</v>
      </c>
    </row>
    <row r="2022">
      <c r="A2022" s="32">
        <v>45982.0</v>
      </c>
      <c r="B2022" s="9">
        <v>45775.0</v>
      </c>
      <c r="C2022" s="9">
        <f t="shared" si="90"/>
        <v>45982</v>
      </c>
      <c r="D2022" s="11" t="s">
        <v>65</v>
      </c>
      <c r="E2022" s="11" t="s">
        <v>25</v>
      </c>
      <c r="F2022" s="11" t="s">
        <v>107</v>
      </c>
      <c r="G2022" s="11" t="s">
        <v>27</v>
      </c>
      <c r="H2022" s="11" t="s">
        <v>749</v>
      </c>
      <c r="I2022" s="31">
        <v>50.64</v>
      </c>
      <c r="J2022" s="13"/>
      <c r="K2022" s="13">
        <f t="shared" si="120"/>
        <v>50.64</v>
      </c>
      <c r="L2022" s="11" t="s">
        <v>53</v>
      </c>
      <c r="M2022" s="17">
        <v>45814.0</v>
      </c>
      <c r="N2022" s="11" t="s">
        <v>175</v>
      </c>
      <c r="O2022" s="10" t="str">
        <f t="shared" si="79"/>
        <v>11/2025</v>
      </c>
      <c r="P2022" s="10" t="str">
        <f t="shared" si="81"/>
        <v>11/2025</v>
      </c>
      <c r="Q2022" s="15" t="str">
        <f t="array" ref="Q2022">IFERROR(XLOOKUP(N2022,'Classificação'!A:A,'Classificação'!B:B),"")</f>
        <v>DESPESAS COM VEICULOS</v>
      </c>
      <c r="R2022" s="15" t="str">
        <f t="array" ref="R2022">IFERROR(XLOOKUP(Q2022,'Classificação'!B:B,'Classificação'!C:C),"")</f>
        <v>DESPESAS FIXAS (-)</v>
      </c>
      <c r="S2022" s="15">
        <f t="shared" si="91"/>
        <v>21</v>
      </c>
      <c r="T2022" s="15">
        <f t="shared" si="6"/>
        <v>11</v>
      </c>
      <c r="U2022" s="15">
        <f t="shared" si="7"/>
        <v>2025</v>
      </c>
      <c r="V2022" s="15">
        <f t="shared" si="8"/>
        <v>21</v>
      </c>
      <c r="W2022" s="15">
        <f t="shared" si="9"/>
        <v>11</v>
      </c>
      <c r="X2022" s="15">
        <f t="shared" si="10"/>
        <v>2025</v>
      </c>
    </row>
    <row r="2023">
      <c r="A2023" s="32">
        <v>45982.0</v>
      </c>
      <c r="B2023" s="32">
        <v>45940.0</v>
      </c>
      <c r="C2023" s="9">
        <f t="shared" si="90"/>
        <v>45982</v>
      </c>
      <c r="D2023" s="11" t="s">
        <v>65</v>
      </c>
      <c r="E2023" s="11" t="s">
        <v>25</v>
      </c>
      <c r="F2023" s="11" t="s">
        <v>107</v>
      </c>
      <c r="G2023" s="11" t="s">
        <v>27</v>
      </c>
      <c r="H2023" s="11" t="s">
        <v>612</v>
      </c>
      <c r="I2023" s="31">
        <v>8.9</v>
      </c>
      <c r="J2023" s="13"/>
      <c r="K2023" s="13">
        <f t="shared" si="120"/>
        <v>8.9</v>
      </c>
      <c r="L2023" s="11" t="s">
        <v>29</v>
      </c>
      <c r="M2023" s="14"/>
      <c r="N2023" s="11" t="s">
        <v>105</v>
      </c>
      <c r="O2023" s="10" t="str">
        <f t="shared" si="79"/>
        <v>11/2025</v>
      </c>
      <c r="P2023" s="10" t="str">
        <f t="shared" si="81"/>
        <v>11/2025</v>
      </c>
      <c r="Q2023" s="15" t="str">
        <f t="array" ref="Q2023">IFERROR(XLOOKUP(N2023,'Classificação'!A:A,'Classificação'!B:B),"")</f>
        <v>DESPESAS ADMINISTRATIVAS</v>
      </c>
      <c r="R2023" s="15" t="str">
        <f t="array" ref="R2023">IFERROR(XLOOKUP(Q2023,'Classificação'!B:B,'Classificação'!C:C),"")</f>
        <v>DESPESAS FIXAS (-)</v>
      </c>
      <c r="S2023" s="15">
        <f t="shared" si="91"/>
        <v>21</v>
      </c>
      <c r="T2023" s="15">
        <f t="shared" si="6"/>
        <v>11</v>
      </c>
      <c r="U2023" s="15">
        <f t="shared" si="7"/>
        <v>2025</v>
      </c>
      <c r="V2023" s="15">
        <f t="shared" si="8"/>
        <v>21</v>
      </c>
      <c r="W2023" s="15">
        <f t="shared" si="9"/>
        <v>11</v>
      </c>
      <c r="X2023" s="15">
        <f t="shared" si="10"/>
        <v>2025</v>
      </c>
    </row>
    <row r="2024">
      <c r="A2024" s="32">
        <v>45982.0</v>
      </c>
      <c r="B2024" s="9">
        <v>45737.0</v>
      </c>
      <c r="C2024" s="9">
        <f t="shared" si="90"/>
        <v>45982</v>
      </c>
      <c r="D2024" s="11" t="s">
        <v>65</v>
      </c>
      <c r="E2024" s="11" t="s">
        <v>25</v>
      </c>
      <c r="F2024" s="11" t="s">
        <v>110</v>
      </c>
      <c r="G2024" s="11" t="s">
        <v>27</v>
      </c>
      <c r="H2024" s="11" t="s">
        <v>681</v>
      </c>
      <c r="I2024" s="31">
        <v>47.2</v>
      </c>
      <c r="J2024" s="13"/>
      <c r="K2024" s="13">
        <f t="shared" si="120"/>
        <v>47.2</v>
      </c>
      <c r="L2024" s="11" t="s">
        <v>53</v>
      </c>
      <c r="M2024" s="17">
        <v>45999.0</v>
      </c>
      <c r="N2024" s="11" t="s">
        <v>95</v>
      </c>
      <c r="O2024" s="10" t="str">
        <f t="shared" si="79"/>
        <v>11/2025</v>
      </c>
      <c r="P2024" s="10" t="str">
        <f t="shared" si="81"/>
        <v>11/2025</v>
      </c>
      <c r="Q2024" s="15" t="str">
        <f t="array" ref="Q2024">IFERROR(XLOOKUP(N2024,'Classificação'!A:A,'Classificação'!B:B),"")</f>
        <v>DESPESAS NÃO OPERACIONAIS</v>
      </c>
      <c r="R2024" s="15" t="str">
        <f t="array" ref="R2024">IFERROR(XLOOKUP(Q2024,'Classificação'!B:B,'Classificação'!C:C),"")</f>
        <v>RESULTADO NÃO OPERACIONAL (+/-)</v>
      </c>
      <c r="S2024" s="15">
        <f t="shared" si="91"/>
        <v>21</v>
      </c>
      <c r="T2024" s="15">
        <f t="shared" si="6"/>
        <v>11</v>
      </c>
      <c r="U2024" s="15">
        <f t="shared" si="7"/>
        <v>2025</v>
      </c>
      <c r="V2024" s="15">
        <f t="shared" si="8"/>
        <v>21</v>
      </c>
      <c r="W2024" s="15">
        <f t="shared" si="9"/>
        <v>11</v>
      </c>
      <c r="X2024" s="15">
        <f t="shared" si="10"/>
        <v>2025</v>
      </c>
    </row>
    <row r="2025">
      <c r="A2025" s="32">
        <v>45982.0</v>
      </c>
      <c r="B2025" s="9">
        <v>45737.0</v>
      </c>
      <c r="C2025" s="9">
        <f t="shared" si="90"/>
        <v>45982</v>
      </c>
      <c r="D2025" s="11" t="s">
        <v>65</v>
      </c>
      <c r="E2025" s="11" t="s">
        <v>25</v>
      </c>
      <c r="F2025" s="11" t="s">
        <v>110</v>
      </c>
      <c r="G2025" s="11" t="s">
        <v>27</v>
      </c>
      <c r="H2025" s="11" t="s">
        <v>682</v>
      </c>
      <c r="I2025" s="31">
        <v>82.27</v>
      </c>
      <c r="J2025" s="13"/>
      <c r="K2025" s="13">
        <f t="shared" si="120"/>
        <v>82.27</v>
      </c>
      <c r="L2025" s="11" t="s">
        <v>53</v>
      </c>
      <c r="M2025" s="17">
        <v>45938.0</v>
      </c>
      <c r="N2025" s="11" t="s">
        <v>95</v>
      </c>
      <c r="O2025" s="10" t="str">
        <f t="shared" si="79"/>
        <v>11/2025</v>
      </c>
      <c r="P2025" s="10" t="str">
        <f t="shared" si="81"/>
        <v>11/2025</v>
      </c>
      <c r="Q2025" s="15" t="str">
        <f t="array" ref="Q2025">IFERROR(XLOOKUP(N2025,'Classificação'!A:A,'Classificação'!B:B),"")</f>
        <v>DESPESAS NÃO OPERACIONAIS</v>
      </c>
      <c r="R2025" s="15" t="str">
        <f t="array" ref="R2025">IFERROR(XLOOKUP(Q2025,'Classificação'!B:B,'Classificação'!C:C),"")</f>
        <v>RESULTADO NÃO OPERACIONAL (+/-)</v>
      </c>
      <c r="S2025" s="15">
        <f t="shared" si="91"/>
        <v>21</v>
      </c>
      <c r="T2025" s="15">
        <f t="shared" si="6"/>
        <v>11</v>
      </c>
      <c r="U2025" s="15">
        <f t="shared" si="7"/>
        <v>2025</v>
      </c>
      <c r="V2025" s="15">
        <f t="shared" si="8"/>
        <v>21</v>
      </c>
      <c r="W2025" s="15">
        <f t="shared" si="9"/>
        <v>11</v>
      </c>
      <c r="X2025" s="15">
        <f t="shared" si="10"/>
        <v>2025</v>
      </c>
    </row>
    <row r="2026">
      <c r="A2026" s="9">
        <v>45982.0</v>
      </c>
      <c r="B2026" s="10"/>
      <c r="C2026" s="9">
        <f t="shared" si="90"/>
        <v>45982</v>
      </c>
      <c r="D2026" s="11" t="s">
        <v>637</v>
      </c>
      <c r="E2026" s="11" t="s">
        <v>25</v>
      </c>
      <c r="F2026" s="11" t="s">
        <v>40</v>
      </c>
      <c r="G2026" s="11" t="s">
        <v>37</v>
      </c>
      <c r="I2026" s="12">
        <v>170.0</v>
      </c>
      <c r="J2026" s="13"/>
      <c r="K2026" s="13">
        <f t="shared" si="120"/>
        <v>170</v>
      </c>
      <c r="L2026" s="11" t="s">
        <v>29</v>
      </c>
      <c r="M2026" s="14"/>
      <c r="N2026" s="11" t="s">
        <v>201</v>
      </c>
      <c r="O2026" s="10" t="str">
        <f t="shared" si="79"/>
        <v>11/2025</v>
      </c>
      <c r="P2026" s="10" t="str">
        <f t="shared" si="81"/>
        <v>11/2025</v>
      </c>
      <c r="Q2026" s="15" t="str">
        <f t="array" ref="Q2026">IFERROR(XLOOKUP(N2026,'Classificação'!A:A,'Classificação'!B:B),"")</f>
        <v>DESPESAS COM OCUPAÇÃO</v>
      </c>
      <c r="R2026" s="15" t="str">
        <f t="array" ref="R2026">IFERROR(XLOOKUP(Q2026,'Classificação'!B:B,'Classificação'!C:C),"")</f>
        <v>DESPESAS FIXAS (-)</v>
      </c>
      <c r="S2026" s="15">
        <f t="shared" si="91"/>
        <v>21</v>
      </c>
      <c r="T2026" s="15">
        <f t="shared" si="6"/>
        <v>11</v>
      </c>
      <c r="U2026" s="15">
        <f t="shared" si="7"/>
        <v>2025</v>
      </c>
      <c r="V2026" s="15">
        <f t="shared" si="8"/>
        <v>21</v>
      </c>
      <c r="W2026" s="15">
        <f t="shared" si="9"/>
        <v>11</v>
      </c>
      <c r="X2026" s="15">
        <f t="shared" si="10"/>
        <v>2025</v>
      </c>
    </row>
    <row r="2027">
      <c r="A2027" s="32">
        <v>45982.0</v>
      </c>
      <c r="B2027" s="19">
        <v>45747.0</v>
      </c>
      <c r="C2027" s="9">
        <f t="shared" si="90"/>
        <v>45982</v>
      </c>
      <c r="D2027" s="11" t="s">
        <v>691</v>
      </c>
      <c r="E2027" s="11" t="s">
        <v>25</v>
      </c>
      <c r="F2027" s="11" t="s">
        <v>107</v>
      </c>
      <c r="G2027" s="11" t="s">
        <v>27</v>
      </c>
      <c r="H2027" s="11" t="s">
        <v>692</v>
      </c>
      <c r="I2027" s="31">
        <v>98.93</v>
      </c>
      <c r="J2027" s="13"/>
      <c r="K2027" s="13">
        <f t="shared" si="120"/>
        <v>98.93</v>
      </c>
      <c r="L2027" s="11" t="s">
        <v>53</v>
      </c>
      <c r="M2027" s="17">
        <v>45999.0</v>
      </c>
      <c r="N2027" s="11" t="s">
        <v>693</v>
      </c>
      <c r="O2027" s="10" t="str">
        <f t="shared" si="79"/>
        <v>11/2025</v>
      </c>
      <c r="P2027" s="10" t="str">
        <f t="shared" si="81"/>
        <v>11/2025</v>
      </c>
      <c r="Q2027" s="15" t="str">
        <f t="array" ref="Q2027">IFERROR(XLOOKUP(N2027,'Classificação'!A:A,'Classificação'!B:B),"")</f>
        <v>DESPESAS COM OCUPAÇÃO</v>
      </c>
      <c r="R2027" s="15" t="str">
        <f t="array" ref="R2027">IFERROR(XLOOKUP(Q2027,'Classificação'!B:B,'Classificação'!C:C),"")</f>
        <v>DESPESAS FIXAS (-)</v>
      </c>
      <c r="S2027" s="15">
        <f t="shared" si="91"/>
        <v>21</v>
      </c>
      <c r="T2027" s="15">
        <f t="shared" si="6"/>
        <v>11</v>
      </c>
      <c r="U2027" s="15">
        <f t="shared" si="7"/>
        <v>2025</v>
      </c>
      <c r="V2027" s="15">
        <f t="shared" si="8"/>
        <v>21</v>
      </c>
      <c r="W2027" s="15">
        <f t="shared" si="9"/>
        <v>11</v>
      </c>
      <c r="X2027" s="15">
        <f t="shared" si="10"/>
        <v>2025</v>
      </c>
    </row>
    <row r="2028">
      <c r="A2028" s="32">
        <v>45982.0</v>
      </c>
      <c r="B2028" s="9">
        <v>45754.0</v>
      </c>
      <c r="C2028" s="9">
        <f t="shared" si="90"/>
        <v>45982</v>
      </c>
      <c r="D2028" s="11" t="s">
        <v>699</v>
      </c>
      <c r="E2028" s="11" t="s">
        <v>25</v>
      </c>
      <c r="F2028" s="11" t="s">
        <v>107</v>
      </c>
      <c r="G2028" s="11" t="s">
        <v>27</v>
      </c>
      <c r="H2028" s="11" t="s">
        <v>700</v>
      </c>
      <c r="I2028" s="31">
        <v>57.0</v>
      </c>
      <c r="J2028" s="13"/>
      <c r="K2028" s="13">
        <f t="shared" si="120"/>
        <v>57</v>
      </c>
      <c r="L2028" s="11" t="s">
        <v>53</v>
      </c>
      <c r="M2028" s="17">
        <v>45937.0</v>
      </c>
      <c r="N2028" s="11" t="s">
        <v>95</v>
      </c>
      <c r="O2028" s="10" t="str">
        <f t="shared" si="79"/>
        <v>11/2025</v>
      </c>
      <c r="P2028" s="10" t="str">
        <f t="shared" si="81"/>
        <v>11/2025</v>
      </c>
      <c r="Q2028" s="15" t="str">
        <f t="array" ref="Q2028">IFERROR(XLOOKUP(N2028,'Classificação'!A:A,'Classificação'!B:B),"")</f>
        <v>DESPESAS NÃO OPERACIONAIS</v>
      </c>
      <c r="R2028" s="15" t="str">
        <f t="array" ref="R2028">IFERROR(XLOOKUP(Q2028,'Classificação'!B:B,'Classificação'!C:C),"")</f>
        <v>RESULTADO NÃO OPERACIONAL (+/-)</v>
      </c>
      <c r="S2028" s="15">
        <f t="shared" si="91"/>
        <v>21</v>
      </c>
      <c r="T2028" s="15">
        <f t="shared" si="6"/>
        <v>11</v>
      </c>
      <c r="U2028" s="15">
        <f t="shared" si="7"/>
        <v>2025</v>
      </c>
      <c r="V2028" s="15">
        <f t="shared" si="8"/>
        <v>21</v>
      </c>
      <c r="W2028" s="15">
        <f t="shared" si="9"/>
        <v>11</v>
      </c>
      <c r="X2028" s="15">
        <f t="shared" si="10"/>
        <v>2025</v>
      </c>
    </row>
    <row r="2029">
      <c r="A2029" s="32">
        <v>45982.0</v>
      </c>
      <c r="B2029" s="9">
        <v>45757.0</v>
      </c>
      <c r="C2029" s="9">
        <f t="shared" si="90"/>
        <v>45982</v>
      </c>
      <c r="D2029" s="11" t="s">
        <v>65</v>
      </c>
      <c r="E2029" s="11" t="s">
        <v>25</v>
      </c>
      <c r="F2029" s="11" t="s">
        <v>107</v>
      </c>
      <c r="G2029" s="11" t="s">
        <v>27</v>
      </c>
      <c r="H2029" s="11" t="s">
        <v>681</v>
      </c>
      <c r="I2029" s="31">
        <v>47.74</v>
      </c>
      <c r="J2029" s="13"/>
      <c r="K2029" s="13">
        <f t="shared" si="120"/>
        <v>47.74</v>
      </c>
      <c r="L2029" s="11" t="s">
        <v>53</v>
      </c>
      <c r="M2029" s="17">
        <v>45998.0</v>
      </c>
      <c r="N2029" s="11" t="s">
        <v>95</v>
      </c>
      <c r="O2029" s="10" t="str">
        <f t="shared" si="79"/>
        <v>11/2025</v>
      </c>
      <c r="P2029" s="10" t="str">
        <f t="shared" si="81"/>
        <v>11/2025</v>
      </c>
      <c r="Q2029" s="15" t="str">
        <f t="array" ref="Q2029">IFERROR(XLOOKUP(N2029,'Classificação'!A:A,'Classificação'!B:B),"")</f>
        <v>DESPESAS NÃO OPERACIONAIS</v>
      </c>
      <c r="R2029" s="15" t="str">
        <f t="array" ref="R2029">IFERROR(XLOOKUP(Q2029,'Classificação'!B:B,'Classificação'!C:C),"")</f>
        <v>RESULTADO NÃO OPERACIONAL (+/-)</v>
      </c>
      <c r="S2029" s="15">
        <f t="shared" si="91"/>
        <v>21</v>
      </c>
      <c r="T2029" s="15">
        <f t="shared" si="6"/>
        <v>11</v>
      </c>
      <c r="U2029" s="15">
        <f t="shared" si="7"/>
        <v>2025</v>
      </c>
      <c r="V2029" s="15">
        <f t="shared" si="8"/>
        <v>21</v>
      </c>
      <c r="W2029" s="15">
        <f t="shared" si="9"/>
        <v>11</v>
      </c>
      <c r="X2029" s="15">
        <f t="shared" si="10"/>
        <v>2025</v>
      </c>
    </row>
    <row r="2030">
      <c r="A2030" s="32">
        <v>45982.0</v>
      </c>
      <c r="B2030" s="9">
        <v>45757.0</v>
      </c>
      <c r="C2030" s="9">
        <f t="shared" si="90"/>
        <v>45982</v>
      </c>
      <c r="D2030" s="11" t="s">
        <v>65</v>
      </c>
      <c r="E2030" s="11" t="s">
        <v>25</v>
      </c>
      <c r="F2030" s="11" t="s">
        <v>107</v>
      </c>
      <c r="G2030" s="11" t="s">
        <v>27</v>
      </c>
      <c r="H2030" s="11" t="s">
        <v>739</v>
      </c>
      <c r="I2030" s="31">
        <v>48.17</v>
      </c>
      <c r="J2030" s="13"/>
      <c r="K2030" s="13">
        <f t="shared" si="120"/>
        <v>48.17</v>
      </c>
      <c r="L2030" s="11" t="s">
        <v>53</v>
      </c>
      <c r="M2030" s="17">
        <v>45968.0</v>
      </c>
      <c r="N2030" s="11" t="s">
        <v>95</v>
      </c>
      <c r="O2030" s="10" t="str">
        <f t="shared" si="79"/>
        <v>11/2025</v>
      </c>
      <c r="P2030" s="10" t="str">
        <f t="shared" si="81"/>
        <v>11/2025</v>
      </c>
      <c r="Q2030" s="15" t="str">
        <f t="array" ref="Q2030">IFERROR(XLOOKUP(N2030,'Classificação'!A:A,'Classificação'!B:B),"")</f>
        <v>DESPESAS NÃO OPERACIONAIS</v>
      </c>
      <c r="R2030" s="15" t="str">
        <f t="array" ref="R2030">IFERROR(XLOOKUP(Q2030,'Classificação'!B:B,'Classificação'!C:C),"")</f>
        <v>RESULTADO NÃO OPERACIONAL (+/-)</v>
      </c>
      <c r="S2030" s="15">
        <f t="shared" si="91"/>
        <v>21</v>
      </c>
      <c r="T2030" s="15">
        <f t="shared" si="6"/>
        <v>11</v>
      </c>
      <c r="U2030" s="15">
        <f t="shared" si="7"/>
        <v>2025</v>
      </c>
      <c r="V2030" s="15">
        <f t="shared" si="8"/>
        <v>21</v>
      </c>
      <c r="W2030" s="15">
        <f t="shared" si="9"/>
        <v>11</v>
      </c>
      <c r="X2030" s="15">
        <f t="shared" si="10"/>
        <v>2025</v>
      </c>
    </row>
    <row r="2031">
      <c r="A2031" s="32">
        <v>45982.0</v>
      </c>
      <c r="B2031" s="9">
        <v>45776.0</v>
      </c>
      <c r="C2031" s="9">
        <f t="shared" si="90"/>
        <v>45982</v>
      </c>
      <c r="D2031" s="11" t="s">
        <v>65</v>
      </c>
      <c r="E2031" s="11" t="s">
        <v>25</v>
      </c>
      <c r="F2031" s="11" t="s">
        <v>110</v>
      </c>
      <c r="G2031" s="11" t="s">
        <v>27</v>
      </c>
      <c r="H2031" s="11" t="s">
        <v>752</v>
      </c>
      <c r="I2031" s="31">
        <v>98.4</v>
      </c>
      <c r="J2031" s="13"/>
      <c r="K2031" s="13">
        <f t="shared" si="120"/>
        <v>98.4</v>
      </c>
      <c r="L2031" s="11" t="s">
        <v>53</v>
      </c>
      <c r="M2031" s="17">
        <v>45937.0</v>
      </c>
      <c r="N2031" s="11" t="s">
        <v>58</v>
      </c>
      <c r="O2031" s="10" t="str">
        <f t="shared" si="79"/>
        <v>11/2025</v>
      </c>
      <c r="P2031" s="10" t="str">
        <f t="shared" si="81"/>
        <v>11/2025</v>
      </c>
      <c r="Q2031" s="15" t="str">
        <f t="array" ref="Q2031">IFERROR(XLOOKUP(N2031,'Classificação'!A:A,'Classificação'!B:B),"")</f>
        <v>DESPESAS ADMINISTRATIVAS</v>
      </c>
      <c r="R2031" s="15" t="str">
        <f t="array" ref="R2031">IFERROR(XLOOKUP(Q2031,'Classificação'!B:B,'Classificação'!C:C),"")</f>
        <v>DESPESAS FIXAS (-)</v>
      </c>
      <c r="S2031" s="15">
        <f t="shared" si="91"/>
        <v>21</v>
      </c>
      <c r="T2031" s="15">
        <f t="shared" si="6"/>
        <v>11</v>
      </c>
      <c r="U2031" s="15">
        <f t="shared" si="7"/>
        <v>2025</v>
      </c>
      <c r="V2031" s="15">
        <f t="shared" si="8"/>
        <v>21</v>
      </c>
      <c r="W2031" s="15">
        <f t="shared" si="9"/>
        <v>11</v>
      </c>
      <c r="X2031" s="15">
        <f t="shared" si="10"/>
        <v>2025</v>
      </c>
    </row>
    <row r="2032">
      <c r="A2032" s="32">
        <v>45982.0</v>
      </c>
      <c r="B2032" s="10"/>
      <c r="C2032" s="9">
        <f t="shared" si="90"/>
        <v>45982</v>
      </c>
      <c r="D2032" s="11" t="s">
        <v>131</v>
      </c>
      <c r="E2032" s="11" t="s">
        <v>25</v>
      </c>
      <c r="F2032" s="28" t="s">
        <v>107</v>
      </c>
      <c r="G2032" s="28" t="s">
        <v>27</v>
      </c>
      <c r="H2032" s="11" t="s">
        <v>822</v>
      </c>
      <c r="I2032" s="31">
        <v>221.74</v>
      </c>
      <c r="J2032" s="13"/>
      <c r="K2032" s="13">
        <f t="shared" si="120"/>
        <v>221.74</v>
      </c>
      <c r="L2032" s="28" t="s">
        <v>53</v>
      </c>
      <c r="M2032" s="17">
        <v>45997.0</v>
      </c>
      <c r="N2032" s="11" t="s">
        <v>133</v>
      </c>
      <c r="O2032" s="10" t="str">
        <f t="shared" si="79"/>
        <v>11/2025</v>
      </c>
      <c r="P2032" s="10" t="str">
        <f t="shared" si="81"/>
        <v>11/2025</v>
      </c>
      <c r="Q2032" s="15" t="str">
        <f t="array" ref="Q2032">IFERROR(XLOOKUP(N2032,'Classificação'!A:A,'Classificação'!B:B),"")</f>
        <v>DESPESAS COM VEICULOS</v>
      </c>
      <c r="R2032" s="15" t="str">
        <f t="array" ref="R2032">IFERROR(XLOOKUP(Q2032,'Classificação'!B:B,'Classificação'!C:C),"")</f>
        <v>DESPESAS FIXAS (-)</v>
      </c>
      <c r="S2032" s="15">
        <f t="shared" si="91"/>
        <v>21</v>
      </c>
      <c r="T2032" s="15">
        <f t="shared" si="6"/>
        <v>11</v>
      </c>
      <c r="U2032" s="15">
        <f t="shared" si="7"/>
        <v>2025</v>
      </c>
      <c r="V2032" s="15">
        <f t="shared" si="8"/>
        <v>21</v>
      </c>
      <c r="W2032" s="15">
        <f t="shared" si="9"/>
        <v>11</v>
      </c>
      <c r="X2032" s="15">
        <f t="shared" si="10"/>
        <v>2025</v>
      </c>
    </row>
    <row r="2033">
      <c r="A2033" s="32">
        <v>45982.0</v>
      </c>
      <c r="B2033" s="9">
        <v>45837.0</v>
      </c>
      <c r="C2033" s="9">
        <f t="shared" si="90"/>
        <v>45982</v>
      </c>
      <c r="D2033" s="11" t="s">
        <v>65</v>
      </c>
      <c r="E2033" s="11" t="s">
        <v>25</v>
      </c>
      <c r="F2033" s="11" t="s">
        <v>107</v>
      </c>
      <c r="G2033" s="11" t="s">
        <v>27</v>
      </c>
      <c r="H2033" s="11" t="s">
        <v>874</v>
      </c>
      <c r="I2033" s="31">
        <v>51.06</v>
      </c>
      <c r="J2033" s="13"/>
      <c r="K2033" s="13">
        <f t="shared" si="120"/>
        <v>51.06</v>
      </c>
      <c r="L2033" s="11" t="s">
        <v>53</v>
      </c>
      <c r="M2033" s="17">
        <v>45996.0</v>
      </c>
      <c r="N2033" s="11" t="s">
        <v>95</v>
      </c>
      <c r="O2033" s="10" t="str">
        <f t="shared" si="79"/>
        <v>11/2025</v>
      </c>
      <c r="P2033" s="10" t="str">
        <f t="shared" si="81"/>
        <v>11/2025</v>
      </c>
      <c r="Q2033" s="15" t="str">
        <f t="array" ref="Q2033">IFERROR(XLOOKUP(N2033,'Classificação'!A:A,'Classificação'!B:B),"")</f>
        <v>DESPESAS NÃO OPERACIONAIS</v>
      </c>
      <c r="R2033" s="15" t="str">
        <f t="array" ref="R2033">IFERROR(XLOOKUP(Q2033,'Classificação'!B:B,'Classificação'!C:C),"")</f>
        <v>RESULTADO NÃO OPERACIONAL (+/-)</v>
      </c>
      <c r="S2033" s="15">
        <f t="shared" si="91"/>
        <v>21</v>
      </c>
      <c r="T2033" s="15">
        <f t="shared" si="6"/>
        <v>11</v>
      </c>
      <c r="U2033" s="15">
        <f t="shared" si="7"/>
        <v>2025</v>
      </c>
      <c r="V2033" s="15">
        <f t="shared" si="8"/>
        <v>21</v>
      </c>
      <c r="W2033" s="15">
        <f t="shared" si="9"/>
        <v>11</v>
      </c>
      <c r="X2033" s="15">
        <f t="shared" si="10"/>
        <v>2025</v>
      </c>
    </row>
    <row r="2034">
      <c r="A2034" s="32">
        <v>45982.0</v>
      </c>
      <c r="B2034" s="9">
        <v>45842.0</v>
      </c>
      <c r="C2034" s="9">
        <f t="shared" si="90"/>
        <v>45982</v>
      </c>
      <c r="D2034" s="11" t="s">
        <v>877</v>
      </c>
      <c r="E2034" s="11" t="s">
        <v>25</v>
      </c>
      <c r="F2034" s="11" t="s">
        <v>107</v>
      </c>
      <c r="G2034" s="11" t="s">
        <v>27</v>
      </c>
      <c r="H2034" s="11" t="s">
        <v>878</v>
      </c>
      <c r="I2034" s="31">
        <v>200.0</v>
      </c>
      <c r="J2034" s="13"/>
      <c r="K2034" s="13">
        <f t="shared" si="120"/>
        <v>200</v>
      </c>
      <c r="L2034" s="11" t="s">
        <v>53</v>
      </c>
      <c r="M2034" s="17">
        <v>45935.0</v>
      </c>
      <c r="N2034" s="11" t="s">
        <v>175</v>
      </c>
      <c r="O2034" s="10" t="str">
        <f t="shared" si="79"/>
        <v>11/2025</v>
      </c>
      <c r="P2034" s="10" t="str">
        <f t="shared" si="81"/>
        <v>11/2025</v>
      </c>
      <c r="Q2034" s="15" t="str">
        <f t="array" ref="Q2034">IFERROR(XLOOKUP(N2034,'Classificação'!A:A,'Classificação'!B:B),"")</f>
        <v>DESPESAS COM VEICULOS</v>
      </c>
      <c r="R2034" s="15" t="str">
        <f t="array" ref="R2034">IFERROR(XLOOKUP(Q2034,'Classificação'!B:B,'Classificação'!C:C),"")</f>
        <v>DESPESAS FIXAS (-)</v>
      </c>
      <c r="S2034" s="15">
        <f t="shared" si="91"/>
        <v>21</v>
      </c>
      <c r="T2034" s="15">
        <f t="shared" si="6"/>
        <v>11</v>
      </c>
      <c r="U2034" s="15">
        <f t="shared" si="7"/>
        <v>2025</v>
      </c>
      <c r="V2034" s="15">
        <f t="shared" si="8"/>
        <v>21</v>
      </c>
      <c r="W2034" s="15">
        <f t="shared" si="9"/>
        <v>11</v>
      </c>
      <c r="X2034" s="15">
        <f t="shared" si="10"/>
        <v>2025</v>
      </c>
    </row>
    <row r="2035">
      <c r="A2035" s="32">
        <v>45982.0</v>
      </c>
      <c r="B2035" s="9">
        <v>45842.0</v>
      </c>
      <c r="C2035" s="9">
        <f t="shared" si="90"/>
        <v>45982</v>
      </c>
      <c r="D2035" s="11" t="s">
        <v>877</v>
      </c>
      <c r="E2035" s="11" t="s">
        <v>25</v>
      </c>
      <c r="F2035" s="11" t="s">
        <v>107</v>
      </c>
      <c r="G2035" s="11" t="s">
        <v>27</v>
      </c>
      <c r="H2035" s="11" t="s">
        <v>878</v>
      </c>
      <c r="I2035" s="31">
        <v>338.3</v>
      </c>
      <c r="J2035" s="13"/>
      <c r="K2035" s="13">
        <f t="shared" si="120"/>
        <v>338.3</v>
      </c>
      <c r="L2035" s="11" t="s">
        <v>53</v>
      </c>
      <c r="M2035" s="17">
        <v>45935.0</v>
      </c>
      <c r="N2035" s="11" t="s">
        <v>175</v>
      </c>
      <c r="O2035" s="10" t="str">
        <f t="shared" si="79"/>
        <v>11/2025</v>
      </c>
      <c r="P2035" s="10" t="str">
        <f t="shared" si="81"/>
        <v>11/2025</v>
      </c>
      <c r="Q2035" s="15" t="str">
        <f t="array" ref="Q2035">IFERROR(XLOOKUP(N2035,'Classificação'!A:A,'Classificação'!B:B),"")</f>
        <v>DESPESAS COM VEICULOS</v>
      </c>
      <c r="R2035" s="15" t="str">
        <f t="array" ref="R2035">IFERROR(XLOOKUP(Q2035,'Classificação'!B:B,'Classificação'!C:C),"")</f>
        <v>DESPESAS FIXAS (-)</v>
      </c>
      <c r="S2035" s="15">
        <f t="shared" si="91"/>
        <v>21</v>
      </c>
      <c r="T2035" s="15">
        <f t="shared" si="6"/>
        <v>11</v>
      </c>
      <c r="U2035" s="15">
        <f t="shared" si="7"/>
        <v>2025</v>
      </c>
      <c r="V2035" s="15">
        <f t="shared" si="8"/>
        <v>21</v>
      </c>
      <c r="W2035" s="15">
        <f t="shared" si="9"/>
        <v>11</v>
      </c>
      <c r="X2035" s="15">
        <f t="shared" si="10"/>
        <v>2025</v>
      </c>
    </row>
    <row r="2036">
      <c r="A2036" s="32">
        <v>45982.0</v>
      </c>
      <c r="B2036" s="26">
        <v>45867.0</v>
      </c>
      <c r="C2036" s="9">
        <f t="shared" si="90"/>
        <v>45982</v>
      </c>
      <c r="D2036" s="28" t="s">
        <v>109</v>
      </c>
      <c r="E2036" s="11" t="s">
        <v>25</v>
      </c>
      <c r="F2036" s="29" t="s">
        <v>107</v>
      </c>
      <c r="G2036" s="28" t="s">
        <v>27</v>
      </c>
      <c r="H2036" s="11" t="s">
        <v>911</v>
      </c>
      <c r="I2036" s="33">
        <v>24.15</v>
      </c>
      <c r="J2036" s="13"/>
      <c r="K2036" s="13">
        <f t="shared" si="120"/>
        <v>24.15</v>
      </c>
      <c r="L2036" s="11" t="s">
        <v>53</v>
      </c>
      <c r="M2036" s="17">
        <v>45995.0</v>
      </c>
      <c r="N2036" s="28" t="s">
        <v>105</v>
      </c>
      <c r="O2036" s="10" t="str">
        <f t="shared" si="79"/>
        <v>11/2025</v>
      </c>
      <c r="P2036" s="10" t="str">
        <f t="shared" si="81"/>
        <v>11/2025</v>
      </c>
      <c r="Q2036" s="15" t="str">
        <f t="array" ref="Q2036">IFERROR(XLOOKUP(N2036,'Classificação'!A:A,'Classificação'!B:B),"")</f>
        <v>DESPESAS ADMINISTRATIVAS</v>
      </c>
      <c r="R2036" s="15" t="str">
        <f t="array" ref="R2036">IFERROR(XLOOKUP(Q2036,'Classificação'!B:B,'Classificação'!C:C),"")</f>
        <v>DESPESAS FIXAS (-)</v>
      </c>
      <c r="S2036" s="15">
        <f t="shared" si="91"/>
        <v>21</v>
      </c>
      <c r="T2036" s="15">
        <f t="shared" si="6"/>
        <v>11</v>
      </c>
      <c r="U2036" s="15">
        <f t="shared" si="7"/>
        <v>2025</v>
      </c>
      <c r="V2036" s="15">
        <f t="shared" si="8"/>
        <v>21</v>
      </c>
      <c r="W2036" s="15">
        <f t="shared" si="9"/>
        <v>11</v>
      </c>
      <c r="X2036" s="15">
        <f t="shared" si="10"/>
        <v>2025</v>
      </c>
    </row>
    <row r="2037">
      <c r="A2037" s="32">
        <v>45982.0</v>
      </c>
      <c r="B2037" s="10"/>
      <c r="C2037" s="9">
        <f t="shared" si="90"/>
        <v>45982</v>
      </c>
      <c r="D2037" s="11" t="s">
        <v>121</v>
      </c>
      <c r="E2037" s="11" t="s">
        <v>25</v>
      </c>
      <c r="F2037" s="11" t="s">
        <v>107</v>
      </c>
      <c r="G2037" s="11" t="s">
        <v>27</v>
      </c>
      <c r="I2037" s="31">
        <v>29.9</v>
      </c>
      <c r="J2037" s="13"/>
      <c r="K2037" s="13">
        <f t="shared" si="120"/>
        <v>29.9</v>
      </c>
      <c r="L2037" s="11" t="s">
        <v>29</v>
      </c>
      <c r="M2037" s="14"/>
      <c r="N2037" s="11" t="s">
        <v>105</v>
      </c>
      <c r="O2037" s="10" t="str">
        <f t="shared" si="79"/>
        <v>11/2025</v>
      </c>
      <c r="P2037" s="10" t="str">
        <f t="shared" si="81"/>
        <v>11/2025</v>
      </c>
      <c r="Q2037" s="15" t="str">
        <f t="array" ref="Q2037">IFERROR(XLOOKUP(N2037,'Classificação'!A:A,'Classificação'!B:B),"")</f>
        <v>DESPESAS ADMINISTRATIVAS</v>
      </c>
      <c r="R2037" s="15" t="str">
        <f t="array" ref="R2037">IFERROR(XLOOKUP(Q2037,'Classificação'!B:B,'Classificação'!C:C),"")</f>
        <v>DESPESAS FIXAS (-)</v>
      </c>
      <c r="S2037" s="15">
        <f t="shared" si="91"/>
        <v>21</v>
      </c>
      <c r="T2037" s="15">
        <f t="shared" si="6"/>
        <v>11</v>
      </c>
      <c r="U2037" s="15">
        <f t="shared" si="7"/>
        <v>2025</v>
      </c>
      <c r="V2037" s="15">
        <f t="shared" si="8"/>
        <v>21</v>
      </c>
      <c r="W2037" s="15">
        <f t="shared" si="9"/>
        <v>11</v>
      </c>
      <c r="X2037" s="15">
        <f t="shared" si="10"/>
        <v>2025</v>
      </c>
    </row>
    <row r="2038">
      <c r="A2038" s="32">
        <v>45982.0</v>
      </c>
      <c r="B2038" s="9">
        <v>45863.0</v>
      </c>
      <c r="C2038" s="9">
        <f t="shared" si="90"/>
        <v>45982</v>
      </c>
      <c r="D2038" s="11" t="s">
        <v>65</v>
      </c>
      <c r="E2038" s="11" t="s">
        <v>25</v>
      </c>
      <c r="F2038" s="11" t="s">
        <v>107</v>
      </c>
      <c r="G2038" s="11" t="s">
        <v>27</v>
      </c>
      <c r="H2038" s="11" t="s">
        <v>915</v>
      </c>
      <c r="I2038" s="31">
        <v>185.16</v>
      </c>
      <c r="J2038" s="13"/>
      <c r="K2038" s="13">
        <f t="shared" si="120"/>
        <v>185.16</v>
      </c>
      <c r="L2038" s="11" t="s">
        <v>53</v>
      </c>
      <c r="M2038" s="17">
        <v>45995.0</v>
      </c>
      <c r="N2038" s="11" t="s">
        <v>95</v>
      </c>
      <c r="O2038" s="10" t="str">
        <f t="shared" si="79"/>
        <v>11/2025</v>
      </c>
      <c r="P2038" s="10" t="str">
        <f t="shared" si="81"/>
        <v>11/2025</v>
      </c>
      <c r="Q2038" s="15" t="str">
        <f t="array" ref="Q2038">IFERROR(XLOOKUP(N2038,'Classificação'!A:A,'Classificação'!B:B),"")</f>
        <v>DESPESAS NÃO OPERACIONAIS</v>
      </c>
      <c r="R2038" s="15" t="str">
        <f t="array" ref="R2038">IFERROR(XLOOKUP(Q2038,'Classificação'!B:B,'Classificação'!C:C),"")</f>
        <v>RESULTADO NÃO OPERACIONAL (+/-)</v>
      </c>
      <c r="S2038" s="15">
        <f t="shared" si="91"/>
        <v>21</v>
      </c>
      <c r="T2038" s="15">
        <f t="shared" si="6"/>
        <v>11</v>
      </c>
      <c r="U2038" s="15">
        <f t="shared" si="7"/>
        <v>2025</v>
      </c>
      <c r="V2038" s="15">
        <f t="shared" si="8"/>
        <v>21</v>
      </c>
      <c r="W2038" s="15">
        <f t="shared" si="9"/>
        <v>11</v>
      </c>
      <c r="X2038" s="15">
        <f t="shared" si="10"/>
        <v>2025</v>
      </c>
    </row>
    <row r="2039">
      <c r="A2039" s="32">
        <v>45982.0</v>
      </c>
      <c r="B2039" s="9">
        <v>45880.0</v>
      </c>
      <c r="C2039" s="9">
        <f t="shared" si="90"/>
        <v>45982</v>
      </c>
      <c r="D2039" s="11" t="s">
        <v>65</v>
      </c>
      <c r="E2039" s="11" t="s">
        <v>25</v>
      </c>
      <c r="F2039" s="11" t="s">
        <v>107</v>
      </c>
      <c r="G2039" s="11" t="s">
        <v>27</v>
      </c>
      <c r="H2039" s="11" t="s">
        <v>949</v>
      </c>
      <c r="I2039" s="31">
        <v>132.99</v>
      </c>
      <c r="J2039" s="13"/>
      <c r="K2039" s="13">
        <f t="shared" si="120"/>
        <v>132.99</v>
      </c>
      <c r="L2039" s="11" t="s">
        <v>53</v>
      </c>
      <c r="M2039" s="17">
        <v>45750.0</v>
      </c>
      <c r="N2039" s="11" t="s">
        <v>143</v>
      </c>
      <c r="O2039" s="10" t="str">
        <f t="shared" si="79"/>
        <v>11/2025</v>
      </c>
      <c r="P2039" s="10" t="str">
        <f t="shared" si="81"/>
        <v>11/2025</v>
      </c>
      <c r="Q2039" s="15" t="str">
        <f t="array" ref="Q2039">IFERROR(XLOOKUP(N2039,'Classificação'!A:A,'Classificação'!B:B),"")</f>
        <v>EMBALAGENS/FITAS/GERAL</v>
      </c>
      <c r="R2039" s="15" t="str">
        <f t="array" ref="R2039">IFERROR(XLOOKUP(Q2039,'Classificação'!B:B,'Classificação'!C:C),"")</f>
        <v>CUSTOS VARIÁVEIS</v>
      </c>
      <c r="S2039" s="15">
        <f t="shared" si="91"/>
        <v>21</v>
      </c>
      <c r="T2039" s="15">
        <f t="shared" si="6"/>
        <v>11</v>
      </c>
      <c r="U2039" s="15">
        <f t="shared" si="7"/>
        <v>2025</v>
      </c>
      <c r="V2039" s="15">
        <f t="shared" si="8"/>
        <v>21</v>
      </c>
      <c r="W2039" s="15">
        <f t="shared" si="9"/>
        <v>11</v>
      </c>
      <c r="X2039" s="15">
        <f t="shared" si="10"/>
        <v>2025</v>
      </c>
    </row>
    <row r="2040">
      <c r="A2040" s="32">
        <v>45982.0</v>
      </c>
      <c r="B2040" s="9">
        <v>45881.0</v>
      </c>
      <c r="C2040" s="9">
        <f t="shared" si="90"/>
        <v>45982</v>
      </c>
      <c r="D2040" s="11" t="s">
        <v>877</v>
      </c>
      <c r="E2040" s="11" t="s">
        <v>25</v>
      </c>
      <c r="F2040" s="11" t="s">
        <v>107</v>
      </c>
      <c r="G2040" s="11" t="s">
        <v>27</v>
      </c>
      <c r="H2040" s="11" t="s">
        <v>878</v>
      </c>
      <c r="I2040" s="31">
        <v>114.49</v>
      </c>
      <c r="J2040" s="13"/>
      <c r="K2040" s="13">
        <f t="shared" si="120"/>
        <v>114.49</v>
      </c>
      <c r="L2040" s="11" t="s">
        <v>53</v>
      </c>
      <c r="M2040" s="17">
        <v>45780.0</v>
      </c>
      <c r="N2040" s="11" t="s">
        <v>175</v>
      </c>
      <c r="O2040" s="10" t="str">
        <f t="shared" si="79"/>
        <v>11/2025</v>
      </c>
      <c r="P2040" s="10" t="str">
        <f t="shared" si="81"/>
        <v>11/2025</v>
      </c>
      <c r="Q2040" s="15" t="str">
        <f t="array" ref="Q2040">IFERROR(XLOOKUP(N2040,'Classificação'!A:A,'Classificação'!B:B),"")</f>
        <v>DESPESAS COM VEICULOS</v>
      </c>
      <c r="R2040" s="15" t="str">
        <f t="array" ref="R2040">IFERROR(XLOOKUP(Q2040,'Classificação'!B:B,'Classificação'!C:C),"")</f>
        <v>DESPESAS FIXAS (-)</v>
      </c>
      <c r="S2040" s="15">
        <f t="shared" si="91"/>
        <v>21</v>
      </c>
      <c r="T2040" s="15">
        <f t="shared" si="6"/>
        <v>11</v>
      </c>
      <c r="U2040" s="15">
        <f t="shared" si="7"/>
        <v>2025</v>
      </c>
      <c r="V2040" s="15">
        <f t="shared" si="8"/>
        <v>21</v>
      </c>
      <c r="W2040" s="15">
        <f t="shared" si="9"/>
        <v>11</v>
      </c>
      <c r="X2040" s="15">
        <f t="shared" si="10"/>
        <v>2025</v>
      </c>
    </row>
    <row r="2041">
      <c r="A2041" s="32">
        <v>45982.0</v>
      </c>
      <c r="B2041" s="9">
        <v>45884.0</v>
      </c>
      <c r="C2041" s="9">
        <f t="shared" si="90"/>
        <v>45982</v>
      </c>
      <c r="D2041" s="11" t="s">
        <v>953</v>
      </c>
      <c r="E2041" s="11" t="s">
        <v>25</v>
      </c>
      <c r="F2041" s="11" t="s">
        <v>107</v>
      </c>
      <c r="G2041" s="11" t="s">
        <v>27</v>
      </c>
      <c r="H2041" s="11" t="s">
        <v>957</v>
      </c>
      <c r="I2041" s="31">
        <v>133.65</v>
      </c>
      <c r="J2041" s="13"/>
      <c r="K2041" s="13">
        <f t="shared" si="120"/>
        <v>133.65</v>
      </c>
      <c r="L2041" s="11" t="s">
        <v>53</v>
      </c>
      <c r="M2041" s="17">
        <v>45719.0</v>
      </c>
      <c r="N2041" s="11" t="s">
        <v>331</v>
      </c>
      <c r="O2041" s="10" t="str">
        <f t="shared" si="79"/>
        <v>11/2025</v>
      </c>
      <c r="P2041" s="10" t="str">
        <f t="shared" si="81"/>
        <v>11/2025</v>
      </c>
      <c r="Q2041" s="15" t="str">
        <f t="array" ref="Q2041">IFERROR(XLOOKUP(N2040,'Classificação'!A:A,'Classificação'!B:B),"")</f>
        <v>DESPESAS COM VEICULOS</v>
      </c>
      <c r="R2041" s="15" t="str">
        <f t="array" ref="R2041">IFERROR(XLOOKUP(Q2041,'Classificação'!B:B,'Classificação'!C:C),"")</f>
        <v>DESPESAS FIXAS (-)</v>
      </c>
      <c r="S2041" s="15">
        <f t="shared" si="91"/>
        <v>21</v>
      </c>
      <c r="T2041" s="15">
        <f t="shared" si="6"/>
        <v>11</v>
      </c>
      <c r="U2041" s="15">
        <f t="shared" si="7"/>
        <v>2025</v>
      </c>
      <c r="V2041" s="15">
        <f t="shared" si="8"/>
        <v>21</v>
      </c>
      <c r="W2041" s="15">
        <f t="shared" si="9"/>
        <v>11</v>
      </c>
      <c r="X2041" s="15">
        <f t="shared" si="10"/>
        <v>2025</v>
      </c>
    </row>
    <row r="2042">
      <c r="A2042" s="32">
        <v>45982.0</v>
      </c>
      <c r="B2042" s="9">
        <v>45895.0</v>
      </c>
      <c r="C2042" s="9">
        <f t="shared" si="90"/>
        <v>45982</v>
      </c>
      <c r="D2042" s="11" t="s">
        <v>65</v>
      </c>
      <c r="E2042" s="11" t="s">
        <v>25</v>
      </c>
      <c r="F2042" s="11" t="s">
        <v>107</v>
      </c>
      <c r="G2042" s="11" t="s">
        <v>27</v>
      </c>
      <c r="H2042" s="11" t="s">
        <v>958</v>
      </c>
      <c r="I2042" s="31">
        <v>146.67</v>
      </c>
      <c r="J2042" s="13"/>
      <c r="K2042" s="13">
        <f t="shared" si="120"/>
        <v>146.67</v>
      </c>
      <c r="L2042" s="11" t="s">
        <v>53</v>
      </c>
      <c r="M2042" s="17">
        <v>45719.0</v>
      </c>
      <c r="N2042" s="11" t="s">
        <v>143</v>
      </c>
      <c r="O2042" s="10" t="str">
        <f t="shared" si="79"/>
        <v>11/2025</v>
      </c>
      <c r="P2042" s="10" t="str">
        <f>if(C2041="","", TEXT(C2041,"mm/yyyy"))</f>
        <v>11/2025</v>
      </c>
      <c r="Q2042" s="15" t="str">
        <f t="array" ref="Q2042">IFERROR(XLOOKUP(N2042,'Classificação'!A:A,'Classificação'!B:B),"")</f>
        <v>EMBALAGENS/FITAS/GERAL</v>
      </c>
      <c r="R2042" s="15" t="str">
        <f t="array" ref="R2042">IFERROR(XLOOKUP(Q2042,'Classificação'!B:B,'Classificação'!C:C),"")</f>
        <v>CUSTOS VARIÁVEIS</v>
      </c>
      <c r="S2042" s="15">
        <f t="shared" si="91"/>
        <v>21</v>
      </c>
      <c r="T2042" s="15">
        <f t="shared" si="6"/>
        <v>11</v>
      </c>
      <c r="U2042" s="15">
        <f t="shared" si="7"/>
        <v>2025</v>
      </c>
      <c r="V2042" s="15">
        <f t="shared" si="8"/>
        <v>21</v>
      </c>
      <c r="W2042" s="15">
        <f t="shared" si="9"/>
        <v>11</v>
      </c>
      <c r="X2042" s="15">
        <f t="shared" si="10"/>
        <v>2025</v>
      </c>
    </row>
    <row r="2043">
      <c r="A2043" s="32">
        <v>45982.0</v>
      </c>
      <c r="B2043" s="9">
        <v>45885.0</v>
      </c>
      <c r="C2043" s="9">
        <f t="shared" si="90"/>
        <v>45982</v>
      </c>
      <c r="D2043" s="11" t="s">
        <v>959</v>
      </c>
      <c r="E2043" s="11" t="s">
        <v>25</v>
      </c>
      <c r="F2043" s="11" t="s">
        <v>107</v>
      </c>
      <c r="G2043" s="11" t="s">
        <v>27</v>
      </c>
      <c r="H2043" s="11" t="s">
        <v>960</v>
      </c>
      <c r="I2043" s="31">
        <v>259.76</v>
      </c>
      <c r="J2043" s="13"/>
      <c r="K2043" s="13">
        <f t="shared" si="120"/>
        <v>259.76</v>
      </c>
      <c r="L2043" s="11" t="s">
        <v>53</v>
      </c>
      <c r="M2043" s="17">
        <v>45780.0</v>
      </c>
      <c r="N2043" s="11" t="s">
        <v>95</v>
      </c>
      <c r="O2043" s="10" t="str">
        <f t="shared" si="79"/>
        <v>11/2025</v>
      </c>
      <c r="P2043" s="10" t="str">
        <f t="shared" ref="P2043:P2465" si="121">if(C2043="","", TEXT(C2043,"mm/yyyy"))</f>
        <v>11/2025</v>
      </c>
      <c r="Q2043" s="15" t="str">
        <f t="array" ref="Q2043">IFERROR(XLOOKUP(N2043,'Classificação'!A:A,'Classificação'!B:B),"")</f>
        <v>DESPESAS NÃO OPERACIONAIS</v>
      </c>
      <c r="R2043" s="15" t="str">
        <f t="array" ref="R2043">IFERROR(XLOOKUP(Q2043,'Classificação'!B:B,'Classificação'!C:C),"")</f>
        <v>RESULTADO NÃO OPERACIONAL (+/-)</v>
      </c>
      <c r="S2043" s="15">
        <f t="shared" si="91"/>
        <v>21</v>
      </c>
      <c r="T2043" s="15">
        <f t="shared" si="6"/>
        <v>11</v>
      </c>
      <c r="U2043" s="15">
        <f t="shared" si="7"/>
        <v>2025</v>
      </c>
      <c r="V2043" s="15">
        <f t="shared" si="8"/>
        <v>21</v>
      </c>
      <c r="W2043" s="15">
        <f t="shared" si="9"/>
        <v>11</v>
      </c>
      <c r="X2043" s="15">
        <f t="shared" si="10"/>
        <v>2025</v>
      </c>
    </row>
    <row r="2044">
      <c r="A2044" s="32">
        <v>45982.0</v>
      </c>
      <c r="B2044" s="9">
        <v>45937.0</v>
      </c>
      <c r="C2044" s="9">
        <f t="shared" si="90"/>
        <v>45982</v>
      </c>
      <c r="D2044" s="11" t="s">
        <v>1023</v>
      </c>
      <c r="E2044" s="11" t="s">
        <v>25</v>
      </c>
      <c r="F2044" s="11" t="s">
        <v>107</v>
      </c>
      <c r="G2044" s="28" t="s">
        <v>27</v>
      </c>
      <c r="H2044" s="11" t="s">
        <v>1024</v>
      </c>
      <c r="I2044" s="31">
        <v>231.45</v>
      </c>
      <c r="J2044" s="13"/>
      <c r="K2044" s="13">
        <f t="shared" si="120"/>
        <v>231.45</v>
      </c>
      <c r="L2044" s="28" t="s">
        <v>53</v>
      </c>
      <c r="M2044" s="17">
        <v>45690.0</v>
      </c>
      <c r="N2044" s="11" t="s">
        <v>392</v>
      </c>
      <c r="O2044" s="10" t="str">
        <f t="shared" si="79"/>
        <v>11/2025</v>
      </c>
      <c r="P2044" s="10" t="str">
        <f t="shared" si="121"/>
        <v>11/2025</v>
      </c>
      <c r="Q2044" s="15" t="str">
        <f t="array" ref="Q2044">IFERROR(XLOOKUP(N2044,'Classificação'!A:A,'Classificação'!B:B),"")</f>
        <v>DESPESAS COM OCUPAÇÃO</v>
      </c>
      <c r="R2044" s="15" t="str">
        <f t="array" ref="R2044">IFERROR(XLOOKUP(Q2044,'Classificação'!B:B,'Classificação'!C:C),"")</f>
        <v>DESPESAS FIXAS (-)</v>
      </c>
      <c r="S2044" s="15">
        <f t="shared" si="91"/>
        <v>21</v>
      </c>
      <c r="T2044" s="15">
        <f t="shared" si="6"/>
        <v>11</v>
      </c>
      <c r="U2044" s="15">
        <f t="shared" si="7"/>
        <v>2025</v>
      </c>
      <c r="V2044" s="15">
        <f t="shared" si="8"/>
        <v>21</v>
      </c>
      <c r="W2044" s="15">
        <f t="shared" si="9"/>
        <v>11</v>
      </c>
      <c r="X2044" s="15">
        <f t="shared" si="10"/>
        <v>2025</v>
      </c>
    </row>
    <row r="2045">
      <c r="A2045" s="32">
        <v>45982.0</v>
      </c>
      <c r="B2045" s="9">
        <v>45930.0</v>
      </c>
      <c r="C2045" s="9">
        <f t="shared" si="90"/>
        <v>45982</v>
      </c>
      <c r="D2045" s="11" t="s">
        <v>65</v>
      </c>
      <c r="E2045" s="11" t="s">
        <v>25</v>
      </c>
      <c r="F2045" s="11" t="s">
        <v>107</v>
      </c>
      <c r="G2045" s="28" t="s">
        <v>27</v>
      </c>
      <c r="H2045" s="11" t="s">
        <v>1025</v>
      </c>
      <c r="I2045" s="31">
        <v>33.0</v>
      </c>
      <c r="J2045" s="13"/>
      <c r="K2045" s="13">
        <f t="shared" si="120"/>
        <v>33</v>
      </c>
      <c r="L2045" s="28" t="s">
        <v>53</v>
      </c>
      <c r="M2045" s="17">
        <v>45718.0</v>
      </c>
      <c r="N2045" s="11" t="s">
        <v>105</v>
      </c>
      <c r="O2045" s="10" t="str">
        <f t="shared" si="79"/>
        <v>11/2025</v>
      </c>
      <c r="P2045" s="10" t="str">
        <f t="shared" si="121"/>
        <v>11/2025</v>
      </c>
      <c r="Q2045" s="15" t="str">
        <f t="array" ref="Q2045">IFERROR(XLOOKUP(N2045,'Classificação'!A:A,'Classificação'!B:B),"")</f>
        <v>DESPESAS ADMINISTRATIVAS</v>
      </c>
      <c r="R2045" s="15" t="str">
        <f t="array" ref="R2045">IFERROR(XLOOKUP(Q2045,'Classificação'!B:B,'Classificação'!C:C),"")</f>
        <v>DESPESAS FIXAS (-)</v>
      </c>
      <c r="S2045" s="15">
        <f t="shared" si="91"/>
        <v>21</v>
      </c>
      <c r="T2045" s="15">
        <f t="shared" si="6"/>
        <v>11</v>
      </c>
      <c r="U2045" s="15">
        <f t="shared" si="7"/>
        <v>2025</v>
      </c>
      <c r="V2045" s="15">
        <f t="shared" si="8"/>
        <v>21</v>
      </c>
      <c r="W2045" s="15">
        <f t="shared" si="9"/>
        <v>11</v>
      </c>
      <c r="X2045" s="15">
        <f t="shared" si="10"/>
        <v>2025</v>
      </c>
    </row>
    <row r="2046">
      <c r="A2046" s="32">
        <v>45982.0</v>
      </c>
      <c r="B2046" s="9">
        <v>45933.0</v>
      </c>
      <c r="C2046" s="9">
        <f t="shared" si="90"/>
        <v>45982</v>
      </c>
      <c r="D2046" s="11" t="s">
        <v>65</v>
      </c>
      <c r="E2046" s="11" t="s">
        <v>25</v>
      </c>
      <c r="F2046" s="11" t="s">
        <v>107</v>
      </c>
      <c r="G2046" s="28" t="s">
        <v>27</v>
      </c>
      <c r="H2046" s="11" t="s">
        <v>1027</v>
      </c>
      <c r="I2046" s="31">
        <v>36.99</v>
      </c>
      <c r="J2046" s="13"/>
      <c r="K2046" s="13">
        <f t="shared" si="120"/>
        <v>36.99</v>
      </c>
      <c r="L2046" s="28" t="s">
        <v>53</v>
      </c>
      <c r="M2046" s="17">
        <v>45690.0</v>
      </c>
      <c r="N2046" s="11" t="s">
        <v>143</v>
      </c>
      <c r="O2046" s="10" t="str">
        <f t="shared" si="79"/>
        <v>11/2025</v>
      </c>
      <c r="P2046" s="10" t="str">
        <f t="shared" si="121"/>
        <v>11/2025</v>
      </c>
      <c r="Q2046" s="15" t="str">
        <f t="array" ref="Q2046">IFERROR(XLOOKUP(N2046,'Classificação'!A:A,'Classificação'!B:B),"")</f>
        <v>EMBALAGENS/FITAS/GERAL</v>
      </c>
      <c r="R2046" s="15" t="str">
        <f t="array" ref="R2046">IFERROR(XLOOKUP(Q2046,'Classificação'!B:B,'Classificação'!C:C),"")</f>
        <v>CUSTOS VARIÁVEIS</v>
      </c>
      <c r="S2046" s="15">
        <f t="shared" si="91"/>
        <v>21</v>
      </c>
      <c r="T2046" s="15">
        <f t="shared" si="6"/>
        <v>11</v>
      </c>
      <c r="U2046" s="15">
        <f t="shared" si="7"/>
        <v>2025</v>
      </c>
      <c r="V2046" s="15">
        <f t="shared" si="8"/>
        <v>21</v>
      </c>
      <c r="W2046" s="15">
        <f t="shared" si="9"/>
        <v>11</v>
      </c>
      <c r="X2046" s="15">
        <f t="shared" si="10"/>
        <v>2025</v>
      </c>
    </row>
    <row r="2047">
      <c r="A2047" s="32">
        <v>45982.0</v>
      </c>
      <c r="B2047" s="32">
        <v>45940.0</v>
      </c>
      <c r="C2047" s="9">
        <f t="shared" si="90"/>
        <v>45982</v>
      </c>
      <c r="D2047" s="11" t="s">
        <v>65</v>
      </c>
      <c r="E2047" s="11" t="s">
        <v>25</v>
      </c>
      <c r="F2047" s="11" t="s">
        <v>107</v>
      </c>
      <c r="G2047" s="28" t="s">
        <v>27</v>
      </c>
      <c r="H2047" s="11" t="s">
        <v>259</v>
      </c>
      <c r="I2047" s="31">
        <v>425.02</v>
      </c>
      <c r="J2047" s="13"/>
      <c r="K2047" s="13">
        <f t="shared" si="120"/>
        <v>425.02</v>
      </c>
      <c r="L2047" s="11" t="s">
        <v>53</v>
      </c>
      <c r="M2047" s="17">
        <v>45717.0</v>
      </c>
      <c r="N2047" s="11" t="s">
        <v>143</v>
      </c>
      <c r="O2047" s="10" t="str">
        <f t="shared" si="79"/>
        <v>11/2025</v>
      </c>
      <c r="P2047" s="10" t="str">
        <f t="shared" si="121"/>
        <v>11/2025</v>
      </c>
      <c r="Q2047" s="15" t="str">
        <f t="array" ref="Q2047">IFERROR(XLOOKUP(N2047,'Classificação'!A:A,'Classificação'!B:B),"")</f>
        <v>EMBALAGENS/FITAS/GERAL</v>
      </c>
      <c r="R2047" s="15" t="str">
        <f t="array" ref="R2047">IFERROR(XLOOKUP(Q2047,'Classificação'!B:B,'Classificação'!C:C),"")</f>
        <v>CUSTOS VARIÁVEIS</v>
      </c>
      <c r="S2047" s="15">
        <f t="shared" si="91"/>
        <v>21</v>
      </c>
      <c r="T2047" s="15">
        <f t="shared" si="6"/>
        <v>11</v>
      </c>
      <c r="U2047" s="15">
        <f t="shared" si="7"/>
        <v>2025</v>
      </c>
      <c r="V2047" s="15">
        <f t="shared" si="8"/>
        <v>21</v>
      </c>
      <c r="W2047" s="15">
        <f t="shared" si="9"/>
        <v>11</v>
      </c>
      <c r="X2047" s="15">
        <f t="shared" si="10"/>
        <v>2025</v>
      </c>
    </row>
    <row r="2048">
      <c r="A2048" s="32">
        <v>45982.0</v>
      </c>
      <c r="B2048" s="32">
        <v>45940.0</v>
      </c>
      <c r="C2048" s="9">
        <f t="shared" si="90"/>
        <v>45982</v>
      </c>
      <c r="D2048" s="11" t="s">
        <v>65</v>
      </c>
      <c r="E2048" s="11" t="s">
        <v>25</v>
      </c>
      <c r="F2048" s="11" t="s">
        <v>107</v>
      </c>
      <c r="G2048" s="28" t="s">
        <v>27</v>
      </c>
      <c r="H2048" s="11" t="s">
        <v>259</v>
      </c>
      <c r="I2048" s="31">
        <v>419.41</v>
      </c>
      <c r="J2048" s="13"/>
      <c r="K2048" s="13">
        <f t="shared" si="120"/>
        <v>419.41</v>
      </c>
      <c r="L2048" s="11" t="s">
        <v>53</v>
      </c>
      <c r="M2048" s="17">
        <v>45717.0</v>
      </c>
      <c r="N2048" s="11" t="s">
        <v>143</v>
      </c>
      <c r="O2048" s="10" t="str">
        <f t="shared" si="79"/>
        <v>11/2025</v>
      </c>
      <c r="P2048" s="10" t="str">
        <f t="shared" si="121"/>
        <v>11/2025</v>
      </c>
      <c r="Q2048" s="15" t="str">
        <f t="array" ref="Q2048">IFERROR(XLOOKUP(N2048,'Classificação'!A:A,'Classificação'!B:B),"")</f>
        <v>EMBALAGENS/FITAS/GERAL</v>
      </c>
      <c r="R2048" s="15" t="str">
        <f t="array" ref="R2048">IFERROR(XLOOKUP(Q2048,'Classificação'!B:B,'Classificação'!C:C),"")</f>
        <v>CUSTOS VARIÁVEIS</v>
      </c>
      <c r="S2048" s="15">
        <f t="shared" si="91"/>
        <v>21</v>
      </c>
      <c r="T2048" s="15">
        <f t="shared" si="6"/>
        <v>11</v>
      </c>
      <c r="U2048" s="15">
        <f t="shared" si="7"/>
        <v>2025</v>
      </c>
      <c r="V2048" s="15">
        <f t="shared" si="8"/>
        <v>21</v>
      </c>
      <c r="W2048" s="15">
        <f t="shared" si="9"/>
        <v>11</v>
      </c>
      <c r="X2048" s="15">
        <f t="shared" si="10"/>
        <v>2025</v>
      </c>
    </row>
    <row r="2049">
      <c r="A2049" s="32">
        <v>45982.0</v>
      </c>
      <c r="B2049" s="32">
        <v>45943.0</v>
      </c>
      <c r="C2049" s="9">
        <f t="shared" si="90"/>
        <v>45982</v>
      </c>
      <c r="D2049" s="11" t="s">
        <v>1065</v>
      </c>
      <c r="E2049" s="11" t="s">
        <v>25</v>
      </c>
      <c r="F2049" s="11" t="s">
        <v>107</v>
      </c>
      <c r="G2049" s="28" t="s">
        <v>27</v>
      </c>
      <c r="H2049" s="11" t="s">
        <v>1066</v>
      </c>
      <c r="I2049" s="31">
        <v>49.3</v>
      </c>
      <c r="J2049" s="13"/>
      <c r="K2049" s="13">
        <f t="shared" si="120"/>
        <v>49.3</v>
      </c>
      <c r="L2049" s="11" t="s">
        <v>34</v>
      </c>
      <c r="M2049" s="14"/>
      <c r="N2049" s="11" t="s">
        <v>71</v>
      </c>
      <c r="O2049" s="10" t="str">
        <f t="shared" si="79"/>
        <v>11/2025</v>
      </c>
      <c r="P2049" s="10" t="str">
        <f t="shared" si="121"/>
        <v>11/2025</v>
      </c>
      <c r="Q2049" s="15" t="str">
        <f t="array" ref="Q2049">IFERROR(XLOOKUP(N2049,'Classificação'!A:A,'Classificação'!B:B),"")</f>
        <v>DESPESAS DIVERSAS</v>
      </c>
      <c r="R2049" s="15" t="str">
        <f t="array" ref="R2049">IFERROR(XLOOKUP(Q2049,'Classificação'!B:B,'Classificação'!C:C),"")</f>
        <v>DESPESAS FIXAS (-)</v>
      </c>
      <c r="S2049" s="15">
        <f t="shared" si="91"/>
        <v>21</v>
      </c>
      <c r="T2049" s="15">
        <f t="shared" si="6"/>
        <v>11</v>
      </c>
      <c r="U2049" s="15">
        <f t="shared" si="7"/>
        <v>2025</v>
      </c>
      <c r="V2049" s="15">
        <f t="shared" si="8"/>
        <v>21</v>
      </c>
      <c r="W2049" s="15">
        <f t="shared" si="9"/>
        <v>11</v>
      </c>
      <c r="X2049" s="15">
        <f t="shared" si="10"/>
        <v>2025</v>
      </c>
    </row>
    <row r="2050">
      <c r="A2050" s="32">
        <v>45982.0</v>
      </c>
      <c r="B2050" s="32">
        <v>45944.0</v>
      </c>
      <c r="C2050" s="9">
        <f t="shared" si="90"/>
        <v>45982</v>
      </c>
      <c r="D2050" s="11" t="s">
        <v>65</v>
      </c>
      <c r="E2050" s="11" t="s">
        <v>25</v>
      </c>
      <c r="F2050" s="11" t="s">
        <v>107</v>
      </c>
      <c r="G2050" s="28" t="s">
        <v>27</v>
      </c>
      <c r="H2050" s="11" t="s">
        <v>1067</v>
      </c>
      <c r="I2050" s="31">
        <v>45.0</v>
      </c>
      <c r="J2050" s="13"/>
      <c r="K2050" s="13">
        <f t="shared" si="120"/>
        <v>45</v>
      </c>
      <c r="L2050" s="11" t="s">
        <v>53</v>
      </c>
      <c r="M2050" s="17">
        <v>45748.0</v>
      </c>
      <c r="N2050" s="11" t="s">
        <v>95</v>
      </c>
      <c r="O2050" s="10" t="str">
        <f t="shared" si="79"/>
        <v>11/2025</v>
      </c>
      <c r="P2050" s="10" t="str">
        <f t="shared" si="121"/>
        <v>11/2025</v>
      </c>
      <c r="Q2050" s="15" t="str">
        <f t="array" ref="Q2050">IFERROR(XLOOKUP(N2050,'Classificação'!A:A,'Classificação'!B:B),"")</f>
        <v>DESPESAS NÃO OPERACIONAIS</v>
      </c>
      <c r="R2050" s="15" t="str">
        <f t="array" ref="R2050">IFERROR(XLOOKUP(Q2050,'Classificação'!B:B,'Classificação'!C:C),"")</f>
        <v>RESULTADO NÃO OPERACIONAL (+/-)</v>
      </c>
      <c r="S2050" s="15">
        <f t="shared" si="91"/>
        <v>21</v>
      </c>
      <c r="T2050" s="15">
        <f t="shared" si="6"/>
        <v>11</v>
      </c>
      <c r="U2050" s="15">
        <f t="shared" si="7"/>
        <v>2025</v>
      </c>
      <c r="V2050" s="15">
        <f t="shared" si="8"/>
        <v>21</v>
      </c>
      <c r="W2050" s="15">
        <f t="shared" si="9"/>
        <v>11</v>
      </c>
      <c r="X2050" s="15">
        <f t="shared" si="10"/>
        <v>2025</v>
      </c>
    </row>
    <row r="2051">
      <c r="A2051" s="32">
        <v>45982.0</v>
      </c>
      <c r="B2051" s="32">
        <v>45947.0</v>
      </c>
      <c r="C2051" s="9">
        <f t="shared" si="90"/>
        <v>45982</v>
      </c>
      <c r="D2051" s="11" t="s">
        <v>65</v>
      </c>
      <c r="E2051" s="11" t="s">
        <v>25</v>
      </c>
      <c r="F2051" s="11" t="s">
        <v>107</v>
      </c>
      <c r="G2051" s="11" t="s">
        <v>27</v>
      </c>
      <c r="H2051" s="11" t="s">
        <v>1068</v>
      </c>
      <c r="I2051" s="31">
        <v>115.71</v>
      </c>
      <c r="J2051" s="13"/>
      <c r="K2051" s="13">
        <f t="shared" si="120"/>
        <v>115.71</v>
      </c>
      <c r="L2051" s="11" t="s">
        <v>53</v>
      </c>
      <c r="M2051" s="17">
        <v>45717.0</v>
      </c>
      <c r="N2051" s="11" t="s">
        <v>145</v>
      </c>
      <c r="O2051" s="10" t="str">
        <f t="shared" si="79"/>
        <v>11/2025</v>
      </c>
      <c r="P2051" s="10" t="str">
        <f t="shared" si="121"/>
        <v>11/2025</v>
      </c>
      <c r="Q2051" s="15" t="str">
        <f t="array" ref="Q2051">IFERROR(XLOOKUP(N2051,'Classificação'!A:A,'Classificação'!B:B),"")</f>
        <v>DESPESAS ADMINISTRATIVAS</v>
      </c>
      <c r="R2051" s="15" t="str">
        <f t="array" ref="R2051">IFERROR(XLOOKUP(Q2051,'Classificação'!B:B,'Classificação'!C:C),"")</f>
        <v>DESPESAS FIXAS (-)</v>
      </c>
      <c r="S2051" s="15">
        <f t="shared" si="91"/>
        <v>21</v>
      </c>
      <c r="T2051" s="15">
        <f t="shared" si="6"/>
        <v>11</v>
      </c>
      <c r="U2051" s="15">
        <f t="shared" si="7"/>
        <v>2025</v>
      </c>
      <c r="V2051" s="15">
        <f t="shared" si="8"/>
        <v>21</v>
      </c>
      <c r="W2051" s="15">
        <f t="shared" si="9"/>
        <v>11</v>
      </c>
      <c r="X2051" s="15">
        <f t="shared" si="10"/>
        <v>2025</v>
      </c>
    </row>
    <row r="2052">
      <c r="A2052" s="32">
        <v>45982.0</v>
      </c>
      <c r="B2052" s="32">
        <v>45950.0</v>
      </c>
      <c r="C2052" s="9">
        <f t="shared" si="90"/>
        <v>45982</v>
      </c>
      <c r="D2052" s="11" t="s">
        <v>1069</v>
      </c>
      <c r="E2052" s="11" t="s">
        <v>25</v>
      </c>
      <c r="F2052" s="11" t="s">
        <v>107</v>
      </c>
      <c r="G2052" s="11" t="s">
        <v>27</v>
      </c>
      <c r="H2052" s="11" t="s">
        <v>1070</v>
      </c>
      <c r="I2052" s="31">
        <v>114.21</v>
      </c>
      <c r="J2052" s="13"/>
      <c r="K2052" s="13">
        <f t="shared" si="120"/>
        <v>114.21</v>
      </c>
      <c r="L2052" s="11" t="s">
        <v>34</v>
      </c>
      <c r="M2052" s="14"/>
      <c r="N2052" s="11" t="s">
        <v>71</v>
      </c>
      <c r="O2052" s="10" t="str">
        <f t="shared" si="79"/>
        <v>11/2025</v>
      </c>
      <c r="P2052" s="10" t="str">
        <f t="shared" si="121"/>
        <v>11/2025</v>
      </c>
      <c r="Q2052" s="15" t="str">
        <f t="array" ref="Q2052">IFERROR(XLOOKUP(N2052,'Classificação'!A:A,'Classificação'!B:B),"")</f>
        <v>DESPESAS DIVERSAS</v>
      </c>
      <c r="R2052" s="15" t="str">
        <f t="array" ref="R2052">IFERROR(XLOOKUP(Q2052,'Classificação'!B:B,'Classificação'!C:C),"")</f>
        <v>DESPESAS FIXAS (-)</v>
      </c>
      <c r="S2052" s="15">
        <f t="shared" si="91"/>
        <v>21</v>
      </c>
      <c r="T2052" s="15">
        <f t="shared" si="6"/>
        <v>11</v>
      </c>
      <c r="U2052" s="15">
        <f t="shared" si="7"/>
        <v>2025</v>
      </c>
      <c r="V2052" s="15">
        <f t="shared" si="8"/>
        <v>21</v>
      </c>
      <c r="W2052" s="15">
        <f t="shared" si="9"/>
        <v>11</v>
      </c>
      <c r="X2052" s="15">
        <f t="shared" si="10"/>
        <v>2025</v>
      </c>
    </row>
    <row r="2053">
      <c r="A2053" s="32">
        <v>45982.0</v>
      </c>
      <c r="B2053" s="32">
        <v>45946.0</v>
      </c>
      <c r="C2053" s="9">
        <f t="shared" si="90"/>
        <v>45982</v>
      </c>
      <c r="D2053" s="11" t="s">
        <v>179</v>
      </c>
      <c r="E2053" s="11" t="s">
        <v>25</v>
      </c>
      <c r="F2053" s="11" t="s">
        <v>107</v>
      </c>
      <c r="G2053" s="11" t="s">
        <v>27</v>
      </c>
      <c r="H2053" s="11" t="s">
        <v>312</v>
      </c>
      <c r="I2053" s="31">
        <v>236.99</v>
      </c>
      <c r="J2053" s="13"/>
      <c r="K2053" s="13">
        <f t="shared" si="120"/>
        <v>236.99</v>
      </c>
      <c r="L2053" s="11" t="s">
        <v>34</v>
      </c>
      <c r="M2053" s="14"/>
      <c r="N2053" s="11" t="s">
        <v>181</v>
      </c>
      <c r="O2053" s="10" t="str">
        <f t="shared" si="79"/>
        <v>11/2025</v>
      </c>
      <c r="P2053" s="10" t="str">
        <f t="shared" si="121"/>
        <v>11/2025</v>
      </c>
      <c r="Q2053" s="15" t="str">
        <f t="array" ref="Q2053">IFERROR(XLOOKUP(N2053,'Classificação'!A:A,'Classificação'!B:B),"")</f>
        <v>DESPESAS COM VEICULOS</v>
      </c>
      <c r="R2053" s="15" t="str">
        <f t="array" ref="R2053">IFERROR(XLOOKUP(Q2053,'Classificação'!B:B,'Classificação'!C:C),"")</f>
        <v>DESPESAS FIXAS (-)</v>
      </c>
      <c r="S2053" s="15">
        <f t="shared" si="91"/>
        <v>21</v>
      </c>
      <c r="T2053" s="15">
        <f t="shared" si="6"/>
        <v>11</v>
      </c>
      <c r="U2053" s="15">
        <f t="shared" si="7"/>
        <v>2025</v>
      </c>
      <c r="V2053" s="15">
        <f t="shared" si="8"/>
        <v>21</v>
      </c>
      <c r="W2053" s="15">
        <f t="shared" si="9"/>
        <v>11</v>
      </c>
      <c r="X2053" s="15">
        <f t="shared" si="10"/>
        <v>2025</v>
      </c>
    </row>
    <row r="2054">
      <c r="A2054" s="32">
        <v>45982.0</v>
      </c>
      <c r="B2054" s="32">
        <v>45950.0</v>
      </c>
      <c r="C2054" s="9">
        <f t="shared" si="90"/>
        <v>45982</v>
      </c>
      <c r="D2054" s="11" t="s">
        <v>114</v>
      </c>
      <c r="E2054" s="11" t="s">
        <v>25</v>
      </c>
      <c r="F2054" s="11" t="s">
        <v>107</v>
      </c>
      <c r="G2054" s="11" t="s">
        <v>27</v>
      </c>
      <c r="H2054" s="11" t="s">
        <v>1071</v>
      </c>
      <c r="I2054" s="31">
        <v>442.12</v>
      </c>
      <c r="J2054" s="13"/>
      <c r="K2054" s="13">
        <f t="shared" si="120"/>
        <v>442.12</v>
      </c>
      <c r="L2054" s="11" t="s">
        <v>34</v>
      </c>
      <c r="M2054" s="14"/>
      <c r="N2054" s="11" t="s">
        <v>143</v>
      </c>
      <c r="O2054" s="10" t="str">
        <f t="shared" si="79"/>
        <v>11/2025</v>
      </c>
      <c r="P2054" s="10" t="str">
        <f t="shared" si="121"/>
        <v>11/2025</v>
      </c>
      <c r="Q2054" s="15" t="str">
        <f t="array" ref="Q2054">IFERROR(XLOOKUP(N2054,'Classificação'!A:A,'Classificação'!B:B),"")</f>
        <v>EMBALAGENS/FITAS/GERAL</v>
      </c>
      <c r="R2054" s="15" t="str">
        <f t="array" ref="R2054">IFERROR(XLOOKUP(Q2054,'Classificação'!B:B,'Classificação'!C:C),"")</f>
        <v>CUSTOS VARIÁVEIS</v>
      </c>
      <c r="S2054" s="15">
        <f t="shared" si="91"/>
        <v>21</v>
      </c>
      <c r="T2054" s="15">
        <f t="shared" si="6"/>
        <v>11</v>
      </c>
      <c r="U2054" s="15">
        <f t="shared" si="7"/>
        <v>2025</v>
      </c>
      <c r="V2054" s="15">
        <f t="shared" si="8"/>
        <v>21</v>
      </c>
      <c r="W2054" s="15">
        <f t="shared" si="9"/>
        <v>11</v>
      </c>
      <c r="X2054" s="15">
        <f t="shared" si="10"/>
        <v>2025</v>
      </c>
    </row>
    <row r="2055">
      <c r="A2055" s="32">
        <v>45982.0</v>
      </c>
      <c r="B2055" s="32">
        <v>45952.0</v>
      </c>
      <c r="C2055" s="9">
        <f t="shared" si="90"/>
        <v>45982</v>
      </c>
      <c r="D2055" s="11" t="s">
        <v>65</v>
      </c>
      <c r="E2055" s="11" t="s">
        <v>25</v>
      </c>
      <c r="F2055" s="11" t="s">
        <v>107</v>
      </c>
      <c r="G2055" s="28" t="s">
        <v>27</v>
      </c>
      <c r="H2055" s="11" t="s">
        <v>1068</v>
      </c>
      <c r="I2055" s="31">
        <v>114.21</v>
      </c>
      <c r="J2055" s="13"/>
      <c r="K2055" s="13">
        <f t="shared" si="120"/>
        <v>114.21</v>
      </c>
      <c r="L2055" s="11" t="s">
        <v>53</v>
      </c>
      <c r="M2055" s="17">
        <v>45748.0</v>
      </c>
      <c r="N2055" s="11" t="s">
        <v>95</v>
      </c>
      <c r="O2055" s="10" t="str">
        <f t="shared" si="79"/>
        <v>11/2025</v>
      </c>
      <c r="P2055" s="10" t="str">
        <f t="shared" si="121"/>
        <v>11/2025</v>
      </c>
      <c r="Q2055" s="15" t="str">
        <f t="array" ref="Q2055">IFERROR(XLOOKUP(N2055,'Classificação'!A:A,'Classificação'!B:B),"")</f>
        <v>DESPESAS NÃO OPERACIONAIS</v>
      </c>
      <c r="R2055" s="15" t="str">
        <f t="array" ref="R2055">IFERROR(XLOOKUP(Q2055,'Classificação'!B:B,'Classificação'!C:C),"")</f>
        <v>RESULTADO NÃO OPERACIONAL (+/-)</v>
      </c>
      <c r="S2055" s="15">
        <f t="shared" si="91"/>
        <v>21</v>
      </c>
      <c r="T2055" s="15">
        <f t="shared" si="6"/>
        <v>11</v>
      </c>
      <c r="U2055" s="15">
        <f t="shared" si="7"/>
        <v>2025</v>
      </c>
      <c r="V2055" s="15">
        <f t="shared" si="8"/>
        <v>21</v>
      </c>
      <c r="W2055" s="15">
        <f t="shared" si="9"/>
        <v>11</v>
      </c>
      <c r="X2055" s="15">
        <f t="shared" si="10"/>
        <v>2025</v>
      </c>
    </row>
    <row r="2056">
      <c r="A2056" s="32">
        <v>45982.0</v>
      </c>
      <c r="B2056" s="32">
        <v>45958.0</v>
      </c>
      <c r="C2056" s="9">
        <f t="shared" si="90"/>
        <v>45982</v>
      </c>
      <c r="D2056" s="11" t="s">
        <v>179</v>
      </c>
      <c r="E2056" s="11" t="s">
        <v>25</v>
      </c>
      <c r="F2056" s="11" t="s">
        <v>107</v>
      </c>
      <c r="G2056" s="28" t="s">
        <v>27</v>
      </c>
      <c r="H2056" s="11" t="s">
        <v>312</v>
      </c>
      <c r="I2056" s="31">
        <v>100.0</v>
      </c>
      <c r="J2056" s="13"/>
      <c r="K2056" s="13">
        <f t="shared" si="120"/>
        <v>100</v>
      </c>
      <c r="L2056" s="11" t="s">
        <v>34</v>
      </c>
      <c r="M2056" s="14"/>
      <c r="N2056" s="11" t="s">
        <v>181</v>
      </c>
      <c r="O2056" s="10" t="str">
        <f t="shared" si="79"/>
        <v>11/2025</v>
      </c>
      <c r="P2056" s="10" t="str">
        <f t="shared" si="121"/>
        <v>11/2025</v>
      </c>
      <c r="Q2056" s="15" t="str">
        <f t="array" ref="Q2056">IFERROR(XLOOKUP(N2056,'Classificação'!A:A,'Classificação'!B:B),"")</f>
        <v>DESPESAS COM VEICULOS</v>
      </c>
      <c r="R2056" s="15" t="str">
        <f t="array" ref="R2056">IFERROR(XLOOKUP(Q2056,'Classificação'!B:B,'Classificação'!C:C),"")</f>
        <v>DESPESAS FIXAS (-)</v>
      </c>
      <c r="S2056" s="15">
        <f t="shared" si="91"/>
        <v>21</v>
      </c>
      <c r="T2056" s="15">
        <f t="shared" si="6"/>
        <v>11</v>
      </c>
      <c r="U2056" s="15">
        <f t="shared" si="7"/>
        <v>2025</v>
      </c>
      <c r="V2056" s="15">
        <f t="shared" si="8"/>
        <v>21</v>
      </c>
      <c r="W2056" s="15">
        <f t="shared" si="9"/>
        <v>11</v>
      </c>
      <c r="X2056" s="15">
        <f t="shared" si="10"/>
        <v>2025</v>
      </c>
    </row>
    <row r="2057">
      <c r="A2057" s="32">
        <v>45982.0</v>
      </c>
      <c r="B2057" s="32">
        <v>45958.0</v>
      </c>
      <c r="C2057" s="9">
        <f t="shared" si="90"/>
        <v>45982</v>
      </c>
      <c r="D2057" s="11" t="s">
        <v>1072</v>
      </c>
      <c r="E2057" s="11" t="s">
        <v>25</v>
      </c>
      <c r="F2057" s="11" t="s">
        <v>110</v>
      </c>
      <c r="G2057" s="28" t="s">
        <v>27</v>
      </c>
      <c r="H2057" s="11" t="s">
        <v>1073</v>
      </c>
      <c r="I2057" s="31">
        <v>119.68</v>
      </c>
      <c r="J2057" s="13"/>
      <c r="K2057" s="13">
        <f t="shared" si="120"/>
        <v>119.68</v>
      </c>
      <c r="L2057" s="11" t="s">
        <v>53</v>
      </c>
      <c r="M2057" s="17">
        <v>45717.0</v>
      </c>
      <c r="N2057" s="11" t="s">
        <v>175</v>
      </c>
      <c r="O2057" s="10" t="str">
        <f t="shared" si="79"/>
        <v>11/2025</v>
      </c>
      <c r="P2057" s="10" t="str">
        <f t="shared" si="121"/>
        <v>11/2025</v>
      </c>
      <c r="Q2057" s="15" t="str">
        <f t="array" ref="Q2057">IFERROR(XLOOKUP(N2057,'Classificação'!A:A,'Classificação'!B:B),"")</f>
        <v>DESPESAS COM VEICULOS</v>
      </c>
      <c r="R2057" s="15" t="str">
        <f t="array" ref="R2057">IFERROR(XLOOKUP(Q2057,'Classificação'!B:B,'Classificação'!C:C),"")</f>
        <v>DESPESAS FIXAS (-)</v>
      </c>
      <c r="S2057" s="15">
        <f t="shared" si="91"/>
        <v>21</v>
      </c>
      <c r="T2057" s="15">
        <f t="shared" si="6"/>
        <v>11</v>
      </c>
      <c r="U2057" s="15">
        <f t="shared" si="7"/>
        <v>2025</v>
      </c>
      <c r="V2057" s="15">
        <f t="shared" si="8"/>
        <v>21</v>
      </c>
      <c r="W2057" s="15">
        <f t="shared" si="9"/>
        <v>11</v>
      </c>
      <c r="X2057" s="15">
        <f t="shared" si="10"/>
        <v>2025</v>
      </c>
    </row>
    <row r="2058">
      <c r="A2058" s="32">
        <v>45982.0</v>
      </c>
      <c r="B2058" s="32">
        <v>45959.0</v>
      </c>
      <c r="C2058" s="9">
        <f t="shared" si="90"/>
        <v>45982</v>
      </c>
      <c r="D2058" s="11" t="s">
        <v>65</v>
      </c>
      <c r="E2058" s="11" t="s">
        <v>25</v>
      </c>
      <c r="F2058" s="11" t="s">
        <v>107</v>
      </c>
      <c r="G2058" s="28" t="s">
        <v>27</v>
      </c>
      <c r="H2058" s="11" t="s">
        <v>677</v>
      </c>
      <c r="I2058" s="31">
        <v>267.8</v>
      </c>
      <c r="J2058" s="13"/>
      <c r="K2058" s="13">
        <f t="shared" si="120"/>
        <v>267.8</v>
      </c>
      <c r="L2058" s="11" t="s">
        <v>53</v>
      </c>
      <c r="M2058" s="17">
        <v>45689.0</v>
      </c>
      <c r="N2058" s="11" t="s">
        <v>143</v>
      </c>
      <c r="O2058" s="10" t="str">
        <f t="shared" si="79"/>
        <v>11/2025</v>
      </c>
      <c r="P2058" s="10" t="str">
        <f t="shared" si="121"/>
        <v>11/2025</v>
      </c>
      <c r="Q2058" s="15" t="str">
        <f t="array" ref="Q2058">IFERROR(XLOOKUP(N2058,'Classificação'!A:A,'Classificação'!B:B),"")</f>
        <v>EMBALAGENS/FITAS/GERAL</v>
      </c>
      <c r="R2058" s="15" t="str">
        <f t="array" ref="R2058">IFERROR(XLOOKUP(Q2058,'Classificação'!B:B,'Classificação'!C:C),"")</f>
        <v>CUSTOS VARIÁVEIS</v>
      </c>
      <c r="S2058" s="15">
        <f t="shared" si="91"/>
        <v>21</v>
      </c>
      <c r="T2058" s="15">
        <f t="shared" si="6"/>
        <v>11</v>
      </c>
      <c r="U2058" s="15">
        <f t="shared" si="7"/>
        <v>2025</v>
      </c>
      <c r="V2058" s="15">
        <f t="shared" si="8"/>
        <v>21</v>
      </c>
      <c r="W2058" s="15">
        <f t="shared" si="9"/>
        <v>11</v>
      </c>
      <c r="X2058" s="15">
        <f t="shared" si="10"/>
        <v>2025</v>
      </c>
    </row>
    <row r="2059">
      <c r="A2059" s="32">
        <v>45982.0</v>
      </c>
      <c r="B2059" s="32">
        <v>45959.0</v>
      </c>
      <c r="C2059" s="9">
        <f t="shared" si="90"/>
        <v>45982</v>
      </c>
      <c r="D2059" s="11" t="s">
        <v>65</v>
      </c>
      <c r="E2059" s="11" t="s">
        <v>25</v>
      </c>
      <c r="F2059" s="11" t="s">
        <v>107</v>
      </c>
      <c r="G2059" s="28" t="s">
        <v>27</v>
      </c>
      <c r="H2059" s="11" t="s">
        <v>1074</v>
      </c>
      <c r="I2059" s="31">
        <v>56.7</v>
      </c>
      <c r="J2059" s="13"/>
      <c r="K2059" s="13">
        <f t="shared" si="120"/>
        <v>56.7</v>
      </c>
      <c r="L2059" s="11" t="s">
        <v>34</v>
      </c>
      <c r="M2059" s="14"/>
      <c r="N2059" s="11" t="s">
        <v>145</v>
      </c>
      <c r="O2059" s="10" t="str">
        <f t="shared" si="79"/>
        <v>11/2025</v>
      </c>
      <c r="P2059" s="10" t="str">
        <f t="shared" si="121"/>
        <v>11/2025</v>
      </c>
      <c r="Q2059" s="15" t="str">
        <f t="array" ref="Q2059">IFERROR(XLOOKUP(N2059,'Classificação'!A:A,'Classificação'!B:B),"")</f>
        <v>DESPESAS ADMINISTRATIVAS</v>
      </c>
      <c r="R2059" s="15" t="str">
        <f t="array" ref="R2059">IFERROR(XLOOKUP(Q2059,'Classificação'!B:B,'Classificação'!C:C),"")</f>
        <v>DESPESAS FIXAS (-)</v>
      </c>
      <c r="S2059" s="15">
        <f t="shared" si="91"/>
        <v>21</v>
      </c>
      <c r="T2059" s="15">
        <f t="shared" si="6"/>
        <v>11</v>
      </c>
      <c r="U2059" s="15">
        <f t="shared" si="7"/>
        <v>2025</v>
      </c>
      <c r="V2059" s="15">
        <f t="shared" si="8"/>
        <v>21</v>
      </c>
      <c r="W2059" s="15">
        <f t="shared" si="9"/>
        <v>11</v>
      </c>
      <c r="X2059" s="15">
        <f t="shared" si="10"/>
        <v>2025</v>
      </c>
    </row>
    <row r="2060">
      <c r="A2060" s="32">
        <v>45982.0</v>
      </c>
      <c r="B2060" s="32">
        <v>45961.0</v>
      </c>
      <c r="C2060" s="9">
        <f t="shared" si="90"/>
        <v>45982</v>
      </c>
      <c r="D2060" s="11" t="s">
        <v>114</v>
      </c>
      <c r="E2060" s="11" t="s">
        <v>25</v>
      </c>
      <c r="F2060" s="11" t="s">
        <v>107</v>
      </c>
      <c r="G2060" s="28" t="s">
        <v>27</v>
      </c>
      <c r="H2060" s="11" t="s">
        <v>1075</v>
      </c>
      <c r="I2060" s="31">
        <v>222.83</v>
      </c>
      <c r="J2060" s="13"/>
      <c r="K2060" s="13">
        <f t="shared" si="120"/>
        <v>222.83</v>
      </c>
      <c r="L2060" s="11" t="s">
        <v>34</v>
      </c>
      <c r="M2060" s="14"/>
      <c r="N2060" s="11" t="s">
        <v>143</v>
      </c>
      <c r="O2060" s="10" t="str">
        <f t="shared" si="79"/>
        <v>11/2025</v>
      </c>
      <c r="P2060" s="10" t="str">
        <f t="shared" si="121"/>
        <v>11/2025</v>
      </c>
      <c r="Q2060" s="15" t="str">
        <f t="array" ref="Q2060">IFERROR(XLOOKUP(N2060,'Classificação'!A:A,'Classificação'!B:B),"")</f>
        <v>EMBALAGENS/FITAS/GERAL</v>
      </c>
      <c r="R2060" s="15" t="str">
        <f t="array" ref="R2060">IFERROR(XLOOKUP(Q2060,'Classificação'!B:B,'Classificação'!C:C),"")</f>
        <v>CUSTOS VARIÁVEIS</v>
      </c>
      <c r="S2060" s="15">
        <f t="shared" si="91"/>
        <v>21</v>
      </c>
      <c r="T2060" s="15">
        <f t="shared" si="6"/>
        <v>11</v>
      </c>
      <c r="U2060" s="15">
        <f t="shared" si="7"/>
        <v>2025</v>
      </c>
      <c r="V2060" s="15">
        <f t="shared" si="8"/>
        <v>21</v>
      </c>
      <c r="W2060" s="15">
        <f t="shared" si="9"/>
        <v>11</v>
      </c>
      <c r="X2060" s="15">
        <f t="shared" si="10"/>
        <v>2025</v>
      </c>
    </row>
    <row r="2061">
      <c r="A2061" s="32">
        <v>45982.0</v>
      </c>
      <c r="B2061" s="9">
        <v>45965.0</v>
      </c>
      <c r="C2061" s="9">
        <f t="shared" si="90"/>
        <v>45982</v>
      </c>
      <c r="D2061" s="11" t="s">
        <v>65</v>
      </c>
      <c r="E2061" s="11" t="s">
        <v>25</v>
      </c>
      <c r="F2061" s="11" t="s">
        <v>107</v>
      </c>
      <c r="G2061" s="28" t="s">
        <v>27</v>
      </c>
      <c r="H2061" s="11" t="s">
        <v>1076</v>
      </c>
      <c r="I2061" s="31">
        <v>211.85</v>
      </c>
      <c r="J2061" s="13"/>
      <c r="K2061" s="13">
        <f t="shared" si="120"/>
        <v>211.85</v>
      </c>
      <c r="L2061" s="11" t="s">
        <v>34</v>
      </c>
      <c r="M2061" s="14"/>
      <c r="N2061" s="11" t="s">
        <v>95</v>
      </c>
      <c r="O2061" s="10" t="str">
        <f t="shared" si="79"/>
        <v>11/2025</v>
      </c>
      <c r="P2061" s="10" t="str">
        <f t="shared" si="121"/>
        <v>11/2025</v>
      </c>
      <c r="Q2061" s="15" t="str">
        <f t="array" ref="Q2061">IFERROR(XLOOKUP(N2061,'Classificação'!A:A,'Classificação'!B:B),"")</f>
        <v>DESPESAS NÃO OPERACIONAIS</v>
      </c>
      <c r="R2061" s="15" t="str">
        <f t="array" ref="R2061">IFERROR(XLOOKUP(Q2061,'Classificação'!B:B,'Classificação'!C:C),"")</f>
        <v>RESULTADO NÃO OPERACIONAL (+/-)</v>
      </c>
      <c r="S2061" s="15">
        <f t="shared" si="91"/>
        <v>21</v>
      </c>
      <c r="T2061" s="15">
        <f t="shared" si="6"/>
        <v>11</v>
      </c>
      <c r="U2061" s="15">
        <f t="shared" si="7"/>
        <v>2025</v>
      </c>
      <c r="V2061" s="15">
        <f t="shared" si="8"/>
        <v>21</v>
      </c>
      <c r="W2061" s="15">
        <f t="shared" si="9"/>
        <v>11</v>
      </c>
      <c r="X2061" s="15">
        <f t="shared" si="10"/>
        <v>2025</v>
      </c>
    </row>
    <row r="2062">
      <c r="A2062" s="9">
        <v>45982.0</v>
      </c>
      <c r="B2062" s="10"/>
      <c r="C2062" s="9">
        <f t="shared" si="90"/>
        <v>45982</v>
      </c>
      <c r="D2062" s="11" t="s">
        <v>127</v>
      </c>
      <c r="E2062" s="11" t="s">
        <v>25</v>
      </c>
      <c r="F2062" s="11" t="s">
        <v>26</v>
      </c>
      <c r="G2062" s="11" t="s">
        <v>37</v>
      </c>
      <c r="H2062" s="11" t="s">
        <v>1077</v>
      </c>
      <c r="I2062" s="12">
        <v>600.46</v>
      </c>
      <c r="J2062" s="13"/>
      <c r="K2062" s="13">
        <f t="shared" si="120"/>
        <v>600.46</v>
      </c>
      <c r="L2062" s="11" t="s">
        <v>29</v>
      </c>
      <c r="M2062" s="14"/>
      <c r="N2062" s="11" t="s">
        <v>58</v>
      </c>
      <c r="O2062" s="10" t="str">
        <f t="shared" si="79"/>
        <v>11/2025</v>
      </c>
      <c r="P2062" s="10" t="str">
        <f t="shared" si="121"/>
        <v>11/2025</v>
      </c>
      <c r="Q2062" s="15" t="str">
        <f t="array" ref="Q2062">IFERROR(XLOOKUP(N2062,'Classificação'!A:A,'Classificação'!B:B),"")</f>
        <v>DESPESAS ADMINISTRATIVAS</v>
      </c>
      <c r="R2062" s="15" t="str">
        <f t="array" ref="R2062">IFERROR(XLOOKUP(Q2062,'Classificação'!B:B,'Classificação'!C:C),"")</f>
        <v>DESPESAS FIXAS (-)</v>
      </c>
      <c r="S2062" s="15">
        <f t="shared" si="91"/>
        <v>21</v>
      </c>
      <c r="T2062" s="15">
        <f t="shared" si="6"/>
        <v>11</v>
      </c>
      <c r="U2062" s="15">
        <f t="shared" si="7"/>
        <v>2025</v>
      </c>
      <c r="V2062" s="15">
        <f t="shared" si="8"/>
        <v>21</v>
      </c>
      <c r="W2062" s="15">
        <f t="shared" si="9"/>
        <v>11</v>
      </c>
      <c r="X2062" s="15">
        <f t="shared" si="10"/>
        <v>2025</v>
      </c>
    </row>
    <row r="2063">
      <c r="A2063" s="9">
        <v>45982.0</v>
      </c>
      <c r="B2063" s="10"/>
      <c r="C2063" s="9">
        <f t="shared" si="90"/>
        <v>45982</v>
      </c>
      <c r="D2063" s="11" t="s">
        <v>1056</v>
      </c>
      <c r="E2063" s="29" t="s">
        <v>25</v>
      </c>
      <c r="F2063" s="11" t="s">
        <v>26</v>
      </c>
      <c r="G2063" s="29" t="s">
        <v>37</v>
      </c>
      <c r="H2063" s="11" t="s">
        <v>1078</v>
      </c>
      <c r="I2063" s="12">
        <v>390.0</v>
      </c>
      <c r="J2063" s="13"/>
      <c r="K2063" s="13">
        <f t="shared" si="120"/>
        <v>390</v>
      </c>
      <c r="L2063" s="11" t="s">
        <v>34</v>
      </c>
      <c r="M2063" s="14"/>
      <c r="N2063" s="11" t="s">
        <v>58</v>
      </c>
      <c r="O2063" s="10" t="str">
        <f t="shared" si="79"/>
        <v>11/2025</v>
      </c>
      <c r="P2063" s="10" t="str">
        <f t="shared" si="121"/>
        <v>11/2025</v>
      </c>
      <c r="Q2063" s="15" t="str">
        <f t="array" ref="Q2063">IFERROR(XLOOKUP(N2063,'Classificação'!A:A,'Classificação'!B:B),"")</f>
        <v>DESPESAS ADMINISTRATIVAS</v>
      </c>
      <c r="R2063" s="15" t="str">
        <f t="array" ref="R2063">IFERROR(XLOOKUP(Q2063,'Classificação'!B:B,'Classificação'!C:C),"")</f>
        <v>DESPESAS FIXAS (-)</v>
      </c>
      <c r="S2063" s="15">
        <f t="shared" si="91"/>
        <v>21</v>
      </c>
      <c r="T2063" s="15">
        <f t="shared" si="6"/>
        <v>11</v>
      </c>
      <c r="U2063" s="15">
        <f t="shared" si="7"/>
        <v>2025</v>
      </c>
      <c r="V2063" s="15">
        <f t="shared" si="8"/>
        <v>21</v>
      </c>
      <c r="W2063" s="15">
        <f t="shared" si="9"/>
        <v>11</v>
      </c>
      <c r="X2063" s="15">
        <f t="shared" si="10"/>
        <v>2025</v>
      </c>
    </row>
    <row r="2064">
      <c r="A2064" s="9">
        <v>45982.0</v>
      </c>
      <c r="B2064" s="32">
        <v>45949.0</v>
      </c>
      <c r="C2064" s="9">
        <f t="shared" si="90"/>
        <v>45982</v>
      </c>
      <c r="D2064" s="11" t="s">
        <v>65</v>
      </c>
      <c r="E2064" s="11" t="s">
        <v>25</v>
      </c>
      <c r="F2064" s="11" t="s">
        <v>107</v>
      </c>
      <c r="G2064" s="28" t="s">
        <v>27</v>
      </c>
      <c r="H2064" s="11" t="s">
        <v>1079</v>
      </c>
      <c r="I2064" s="31">
        <v>117.71</v>
      </c>
      <c r="J2064" s="13"/>
      <c r="K2064" s="13">
        <f t="shared" si="120"/>
        <v>117.71</v>
      </c>
      <c r="L2064" s="11" t="s">
        <v>34</v>
      </c>
      <c r="M2064" s="14"/>
      <c r="N2064" s="11" t="s">
        <v>259</v>
      </c>
      <c r="O2064" s="10" t="str">
        <f t="shared" si="79"/>
        <v>11/2025</v>
      </c>
      <c r="P2064" s="10" t="str">
        <f t="shared" si="121"/>
        <v>11/2025</v>
      </c>
      <c r="Q2064" s="15" t="str">
        <f t="array" ref="Q2064">IFERROR(XLOOKUP(N2064,'Classificação'!A:A,'Classificação'!B:B),"")</f>
        <v>DESPESAS ADMINISTRATIVAS</v>
      </c>
      <c r="R2064" s="15" t="str">
        <f t="array" ref="R2064">IFERROR(XLOOKUP(Q2064,'Classificação'!B:B,'Classificação'!C:C),"")</f>
        <v>DESPESAS FIXAS (-)</v>
      </c>
      <c r="S2064" s="15">
        <f t="shared" si="91"/>
        <v>21</v>
      </c>
      <c r="T2064" s="15">
        <f t="shared" si="6"/>
        <v>11</v>
      </c>
      <c r="U2064" s="15">
        <f t="shared" si="7"/>
        <v>2025</v>
      </c>
      <c r="V2064" s="15">
        <f t="shared" si="8"/>
        <v>21</v>
      </c>
      <c r="W2064" s="15">
        <f t="shared" si="9"/>
        <v>11</v>
      </c>
      <c r="X2064" s="15">
        <f t="shared" si="10"/>
        <v>2025</v>
      </c>
    </row>
    <row r="2065">
      <c r="A2065" s="9">
        <v>45982.0</v>
      </c>
      <c r="B2065" s="9">
        <v>45964.0</v>
      </c>
      <c r="C2065" s="9">
        <f t="shared" si="90"/>
        <v>45982</v>
      </c>
      <c r="D2065" s="11" t="s">
        <v>508</v>
      </c>
      <c r="E2065" s="11" t="s">
        <v>25</v>
      </c>
      <c r="F2065" s="11" t="s">
        <v>107</v>
      </c>
      <c r="G2065" s="28" t="s">
        <v>27</v>
      </c>
      <c r="H2065" s="11" t="s">
        <v>1080</v>
      </c>
      <c r="I2065" s="31">
        <v>70.76</v>
      </c>
      <c r="J2065" s="13"/>
      <c r="K2065" s="13">
        <f t="shared" si="120"/>
        <v>70.76</v>
      </c>
      <c r="L2065" s="11" t="s">
        <v>34</v>
      </c>
      <c r="M2065" s="14"/>
      <c r="N2065" s="11" t="s">
        <v>145</v>
      </c>
      <c r="O2065" s="10" t="str">
        <f t="shared" si="79"/>
        <v>11/2025</v>
      </c>
      <c r="P2065" s="10" t="str">
        <f t="shared" si="121"/>
        <v>11/2025</v>
      </c>
      <c r="Q2065" s="15" t="str">
        <f t="array" ref="Q2065">IFERROR(XLOOKUP(N2065,'Classificação'!A:A,'Classificação'!B:B),"")</f>
        <v>DESPESAS ADMINISTRATIVAS</v>
      </c>
      <c r="R2065" s="15" t="str">
        <f t="array" ref="R2065">IFERROR(XLOOKUP(Q2065,'Classificação'!B:B,'Classificação'!C:C),"")</f>
        <v>DESPESAS FIXAS (-)</v>
      </c>
      <c r="S2065" s="15">
        <f t="shared" si="91"/>
        <v>21</v>
      </c>
      <c r="T2065" s="15">
        <f t="shared" si="6"/>
        <v>11</v>
      </c>
      <c r="U2065" s="15">
        <f t="shared" si="7"/>
        <v>2025</v>
      </c>
      <c r="V2065" s="15">
        <f t="shared" si="8"/>
        <v>21</v>
      </c>
      <c r="W2065" s="15">
        <f t="shared" si="9"/>
        <v>11</v>
      </c>
      <c r="X2065" s="15">
        <f t="shared" si="10"/>
        <v>2025</v>
      </c>
    </row>
    <row r="2066">
      <c r="A2066" s="9">
        <v>45982.0</v>
      </c>
      <c r="B2066" s="9">
        <v>45970.0</v>
      </c>
      <c r="C2066" s="9">
        <f t="shared" si="90"/>
        <v>45982</v>
      </c>
      <c r="D2066" s="11" t="s">
        <v>65</v>
      </c>
      <c r="E2066" s="11" t="s">
        <v>25</v>
      </c>
      <c r="F2066" s="11" t="s">
        <v>107</v>
      </c>
      <c r="G2066" s="11" t="s">
        <v>27</v>
      </c>
      <c r="H2066" s="11" t="s">
        <v>1081</v>
      </c>
      <c r="I2066" s="31">
        <v>8.9</v>
      </c>
      <c r="J2066" s="13"/>
      <c r="K2066" s="13">
        <f t="shared" si="120"/>
        <v>8.9</v>
      </c>
      <c r="L2066" s="11" t="s">
        <v>34</v>
      </c>
      <c r="M2066" s="14"/>
      <c r="N2066" s="11" t="s">
        <v>105</v>
      </c>
      <c r="O2066" s="10" t="str">
        <f t="shared" si="79"/>
        <v>11/2025</v>
      </c>
      <c r="P2066" s="10" t="str">
        <f t="shared" si="121"/>
        <v>11/2025</v>
      </c>
      <c r="Q2066" s="15" t="str">
        <f t="array" ref="Q2066">IFERROR(XLOOKUP(N2066,'Classificação'!A:A,'Classificação'!B:B),"")</f>
        <v>DESPESAS ADMINISTRATIVAS</v>
      </c>
      <c r="R2066" s="15" t="str">
        <f t="array" ref="R2066">IFERROR(XLOOKUP(Q2066,'Classificação'!B:B,'Classificação'!C:C),"")</f>
        <v>DESPESAS FIXAS (-)</v>
      </c>
      <c r="S2066" s="15">
        <f t="shared" si="91"/>
        <v>21</v>
      </c>
      <c r="T2066" s="15">
        <f t="shared" si="6"/>
        <v>11</v>
      </c>
      <c r="U2066" s="15">
        <f t="shared" si="7"/>
        <v>2025</v>
      </c>
      <c r="V2066" s="15">
        <f t="shared" si="8"/>
        <v>21</v>
      </c>
      <c r="W2066" s="15">
        <f t="shared" si="9"/>
        <v>11</v>
      </c>
      <c r="X2066" s="15">
        <f t="shared" si="10"/>
        <v>2025</v>
      </c>
    </row>
    <row r="2067">
      <c r="A2067" s="9">
        <v>45985.0</v>
      </c>
      <c r="B2067" s="10"/>
      <c r="C2067" s="9">
        <f t="shared" si="90"/>
        <v>45985</v>
      </c>
      <c r="D2067" s="28" t="s">
        <v>76</v>
      </c>
      <c r="E2067" s="29" t="s">
        <v>25</v>
      </c>
      <c r="F2067" s="28" t="s">
        <v>26</v>
      </c>
      <c r="G2067" s="29" t="s">
        <v>37</v>
      </c>
      <c r="H2067" s="28" t="s">
        <v>84</v>
      </c>
      <c r="I2067" s="24">
        <v>2428.54</v>
      </c>
      <c r="J2067" s="13"/>
      <c r="K2067" s="13">
        <f t="shared" si="120"/>
        <v>2428.54</v>
      </c>
      <c r="L2067" s="28" t="s">
        <v>53</v>
      </c>
      <c r="M2067" s="16" t="s">
        <v>1082</v>
      </c>
      <c r="N2067" s="28" t="s">
        <v>85</v>
      </c>
      <c r="O2067" s="10" t="str">
        <f t="shared" si="79"/>
        <v>11/2025</v>
      </c>
      <c r="P2067" s="10" t="str">
        <f t="shared" si="121"/>
        <v>11/2025</v>
      </c>
      <c r="Q2067" s="15" t="str">
        <f t="array" ref="Q2067">IFERROR(XLOOKUP(N2067,'Classificação'!A:A,'Classificação'!B:B),"")</f>
        <v>DESPESAS NÃO OPERACIONAIS</v>
      </c>
      <c r="R2067" s="15" t="str">
        <f t="array" ref="R2067">IFERROR(XLOOKUP(Q2067,'Classificação'!B:B,'Classificação'!C:C),"")</f>
        <v>RESULTADO NÃO OPERACIONAL (+/-)</v>
      </c>
      <c r="S2067" s="15">
        <f t="shared" si="91"/>
        <v>24</v>
      </c>
      <c r="T2067" s="15">
        <f t="shared" si="6"/>
        <v>11</v>
      </c>
      <c r="U2067" s="15">
        <f t="shared" si="7"/>
        <v>2025</v>
      </c>
      <c r="V2067" s="15">
        <f t="shared" si="8"/>
        <v>24</v>
      </c>
      <c r="W2067" s="15">
        <f t="shared" si="9"/>
        <v>11</v>
      </c>
      <c r="X2067" s="15">
        <f t="shared" si="10"/>
        <v>2025</v>
      </c>
    </row>
    <row r="2068">
      <c r="A2068" s="26">
        <v>45985.0</v>
      </c>
      <c r="B2068" s="28"/>
      <c r="C2068" s="27">
        <f t="shared" si="90"/>
        <v>45985</v>
      </c>
      <c r="D2068" s="28" t="s">
        <v>36</v>
      </c>
      <c r="E2068" s="29" t="s">
        <v>25</v>
      </c>
      <c r="F2068" s="28" t="s">
        <v>26</v>
      </c>
      <c r="G2068" s="28" t="s">
        <v>37</v>
      </c>
      <c r="H2068" s="28"/>
      <c r="I2068" s="24">
        <v>5700.0</v>
      </c>
      <c r="J2068" s="34"/>
      <c r="K2068" s="37">
        <f t="shared" ref="K2068:K2069" si="122">IF(E2068="pago",(I2068-J2068),"")</f>
        <v>5700</v>
      </c>
      <c r="L2068" s="28" t="s">
        <v>29</v>
      </c>
      <c r="M2068" s="28"/>
      <c r="N2068" s="28" t="s">
        <v>38</v>
      </c>
      <c r="O2068" s="10" t="str">
        <f t="shared" si="79"/>
        <v>11/2025</v>
      </c>
      <c r="P2068" s="10" t="str">
        <f t="shared" si="121"/>
        <v>11/2025</v>
      </c>
      <c r="Q2068" s="15" t="str">
        <f t="array" ref="Q2068">IFERROR(XLOOKUP(N2068,'Classificação'!A:A,'Classificação'!B:B),"")</f>
        <v>DESPESAS COM PESSOAL</v>
      </c>
      <c r="R2068" s="15" t="str">
        <f t="array" ref="R2068">IFERROR(XLOOKUP(Q2068,'Classificação'!B:B,'Classificação'!C:C),"")</f>
        <v>DESPESAS FIXAS (-)</v>
      </c>
      <c r="S2068" s="15">
        <f t="shared" si="91"/>
        <v>24</v>
      </c>
      <c r="T2068" s="15">
        <f t="shared" si="6"/>
        <v>11</v>
      </c>
      <c r="U2068" s="15">
        <f t="shared" si="7"/>
        <v>2025</v>
      </c>
      <c r="V2068" s="15">
        <f t="shared" si="8"/>
        <v>24</v>
      </c>
      <c r="W2068" s="15">
        <f t="shared" si="9"/>
        <v>11</v>
      </c>
      <c r="X2068" s="15">
        <f t="shared" si="10"/>
        <v>2025</v>
      </c>
    </row>
    <row r="2069">
      <c r="A2069" s="26">
        <v>45985.0</v>
      </c>
      <c r="B2069" s="28"/>
      <c r="C2069" s="27">
        <f t="shared" si="90"/>
        <v>45985</v>
      </c>
      <c r="D2069" s="28" t="s">
        <v>43</v>
      </c>
      <c r="E2069" s="29" t="s">
        <v>25</v>
      </c>
      <c r="F2069" s="28" t="s">
        <v>26</v>
      </c>
      <c r="G2069" s="28" t="s">
        <v>37</v>
      </c>
      <c r="H2069" s="28"/>
      <c r="I2069" s="24">
        <v>5700.0</v>
      </c>
      <c r="J2069" s="34"/>
      <c r="K2069" s="37">
        <f t="shared" si="122"/>
        <v>5700</v>
      </c>
      <c r="L2069" s="28" t="s">
        <v>29</v>
      </c>
      <c r="M2069" s="28"/>
      <c r="N2069" s="28" t="s">
        <v>38</v>
      </c>
      <c r="O2069" s="10" t="str">
        <f t="shared" si="79"/>
        <v>11/2025</v>
      </c>
      <c r="P2069" s="10" t="str">
        <f t="shared" si="121"/>
        <v>11/2025</v>
      </c>
      <c r="Q2069" s="15" t="str">
        <f t="array" ref="Q2069">IFERROR(XLOOKUP(N2069,'Classificação'!A:A,'Classificação'!B:B),"")</f>
        <v>DESPESAS COM PESSOAL</v>
      </c>
      <c r="R2069" s="15" t="str">
        <f t="array" ref="R2069">IFERROR(XLOOKUP(Q2069,'Classificação'!B:B,'Classificação'!C:C),"")</f>
        <v>DESPESAS FIXAS (-)</v>
      </c>
      <c r="S2069" s="15">
        <f t="shared" si="91"/>
        <v>24</v>
      </c>
      <c r="T2069" s="15">
        <f t="shared" si="6"/>
        <v>11</v>
      </c>
      <c r="U2069" s="15">
        <f t="shared" si="7"/>
        <v>2025</v>
      </c>
      <c r="V2069" s="15">
        <f t="shared" si="8"/>
        <v>24</v>
      </c>
      <c r="W2069" s="15">
        <f t="shared" si="9"/>
        <v>11</v>
      </c>
      <c r="X2069" s="15">
        <f t="shared" si="10"/>
        <v>2025</v>
      </c>
    </row>
    <row r="2070">
      <c r="A2070" s="9">
        <v>45985.0</v>
      </c>
      <c r="B2070" s="9">
        <v>45834.0</v>
      </c>
      <c r="C2070" s="9">
        <f t="shared" si="90"/>
        <v>45985</v>
      </c>
      <c r="D2070" s="11" t="s">
        <v>691</v>
      </c>
      <c r="E2070" s="11" t="s">
        <v>25</v>
      </c>
      <c r="F2070" s="11" t="s">
        <v>26</v>
      </c>
      <c r="G2070" s="11" t="s">
        <v>37</v>
      </c>
      <c r="H2070" s="11" t="s">
        <v>1083</v>
      </c>
      <c r="I2070" s="31">
        <v>196.53</v>
      </c>
      <c r="J2070" s="13"/>
      <c r="K2070" s="13">
        <f t="shared" ref="K2070:K2121" si="123">if(E2070="pago",(I2070-J2070),"")</f>
        <v>196.53</v>
      </c>
      <c r="L2070" s="11" t="s">
        <v>53</v>
      </c>
      <c r="M2070" s="17">
        <v>45813.0</v>
      </c>
      <c r="N2070" s="11" t="s">
        <v>61</v>
      </c>
      <c r="O2070" s="10" t="str">
        <f t="shared" si="79"/>
        <v>11/2025</v>
      </c>
      <c r="P2070" s="10" t="str">
        <f t="shared" si="121"/>
        <v>11/2025</v>
      </c>
      <c r="Q2070" s="15" t="str">
        <f t="array" ref="Q2070">IFERROR(XLOOKUP(N2070,'Classificação'!A:A,'Classificação'!B:B),"")</f>
        <v>DESPESAS ADMINISTRATIVAS</v>
      </c>
      <c r="R2070" s="15" t="str">
        <f t="array" ref="R2070">IFERROR(XLOOKUP(Q2070,'Classificação'!B:B,'Classificação'!C:C),"")</f>
        <v>DESPESAS FIXAS (-)</v>
      </c>
      <c r="S2070" s="15">
        <f t="shared" si="91"/>
        <v>24</v>
      </c>
      <c r="T2070" s="15">
        <f t="shared" si="6"/>
        <v>11</v>
      </c>
      <c r="U2070" s="15">
        <f t="shared" si="7"/>
        <v>2025</v>
      </c>
      <c r="V2070" s="15">
        <f t="shared" si="8"/>
        <v>24</v>
      </c>
      <c r="W2070" s="15">
        <f t="shared" si="9"/>
        <v>11</v>
      </c>
      <c r="X2070" s="15">
        <f t="shared" si="10"/>
        <v>2025</v>
      </c>
    </row>
    <row r="2071">
      <c r="A2071" s="9">
        <v>45985.0</v>
      </c>
      <c r="B2071" s="9">
        <v>45890.0</v>
      </c>
      <c r="C2071" s="9">
        <f t="shared" si="90"/>
        <v>45985</v>
      </c>
      <c r="D2071" s="11" t="s">
        <v>974</v>
      </c>
      <c r="E2071" s="11" t="s">
        <v>25</v>
      </c>
      <c r="F2071" s="11" t="s">
        <v>26</v>
      </c>
      <c r="G2071" s="11" t="s">
        <v>37</v>
      </c>
      <c r="H2071" s="11" t="s">
        <v>975</v>
      </c>
      <c r="I2071" s="31">
        <v>200.0</v>
      </c>
      <c r="J2071" s="13"/>
      <c r="K2071" s="13">
        <f t="shared" si="123"/>
        <v>200</v>
      </c>
      <c r="L2071" s="11" t="s">
        <v>53</v>
      </c>
      <c r="M2071" s="17">
        <v>45719.0</v>
      </c>
      <c r="N2071" s="11" t="s">
        <v>175</v>
      </c>
      <c r="O2071" s="10" t="str">
        <f t="shared" si="79"/>
        <v>11/2025</v>
      </c>
      <c r="P2071" s="10" t="str">
        <f t="shared" si="121"/>
        <v>11/2025</v>
      </c>
      <c r="Q2071" s="15" t="str">
        <f t="array" ref="Q2071">IFERROR(XLOOKUP(N2071,'Classificação'!A:A,'Classificação'!B:B),"")</f>
        <v>DESPESAS COM VEICULOS</v>
      </c>
      <c r="R2071" s="15" t="str">
        <f t="array" ref="R2071">IFERROR(XLOOKUP(Q2071,'Classificação'!B:B,'Classificação'!C:C),"")</f>
        <v>DESPESAS FIXAS (-)</v>
      </c>
      <c r="S2071" s="15">
        <f t="shared" si="91"/>
        <v>24</v>
      </c>
      <c r="T2071" s="15">
        <f t="shared" si="6"/>
        <v>11</v>
      </c>
      <c r="U2071" s="15">
        <f t="shared" si="7"/>
        <v>2025</v>
      </c>
      <c r="V2071" s="15">
        <f t="shared" si="8"/>
        <v>24</v>
      </c>
      <c r="W2071" s="15">
        <f t="shared" si="9"/>
        <v>11</v>
      </c>
      <c r="X2071" s="15">
        <f t="shared" si="10"/>
        <v>2025</v>
      </c>
    </row>
    <row r="2072">
      <c r="A2072" s="9">
        <v>45985.0</v>
      </c>
      <c r="B2072" s="32">
        <v>45948.0</v>
      </c>
      <c r="C2072" s="9">
        <f t="shared" si="90"/>
        <v>45985</v>
      </c>
      <c r="D2072" s="11" t="s">
        <v>81</v>
      </c>
      <c r="E2072" s="11" t="s">
        <v>25</v>
      </c>
      <c r="F2072" s="11" t="s">
        <v>26</v>
      </c>
      <c r="G2072" s="11" t="s">
        <v>37</v>
      </c>
      <c r="H2072" s="11" t="s">
        <v>1084</v>
      </c>
      <c r="I2072" s="31">
        <v>389.61</v>
      </c>
      <c r="J2072" s="13"/>
      <c r="K2072" s="13">
        <f t="shared" si="123"/>
        <v>389.61</v>
      </c>
      <c r="L2072" s="11" t="s">
        <v>34</v>
      </c>
      <c r="M2072" s="14"/>
      <c r="N2072" s="11" t="s">
        <v>71</v>
      </c>
      <c r="O2072" s="10" t="str">
        <f t="shared" si="79"/>
        <v>11/2025</v>
      </c>
      <c r="P2072" s="10" t="str">
        <f t="shared" si="121"/>
        <v>11/2025</v>
      </c>
      <c r="Q2072" s="15" t="str">
        <f t="array" ref="Q2072">IFERROR(XLOOKUP(N2072,'Classificação'!A:A,'Classificação'!B:B),"")</f>
        <v>DESPESAS DIVERSAS</v>
      </c>
      <c r="R2072" s="15" t="str">
        <f t="array" ref="R2072">IFERROR(XLOOKUP(Q2072,'Classificação'!B:B,'Classificação'!C:C),"")</f>
        <v>DESPESAS FIXAS (-)</v>
      </c>
      <c r="S2072" s="15">
        <f t="shared" si="91"/>
        <v>24</v>
      </c>
      <c r="T2072" s="15">
        <f t="shared" si="6"/>
        <v>11</v>
      </c>
      <c r="U2072" s="15">
        <f t="shared" si="7"/>
        <v>2025</v>
      </c>
      <c r="V2072" s="15">
        <f t="shared" si="8"/>
        <v>24</v>
      </c>
      <c r="W2072" s="15">
        <f t="shared" si="9"/>
        <v>11</v>
      </c>
      <c r="X2072" s="15">
        <f t="shared" si="10"/>
        <v>2025</v>
      </c>
    </row>
    <row r="2073">
      <c r="A2073" s="9">
        <v>45985.0</v>
      </c>
      <c r="B2073" s="9">
        <v>45962.0</v>
      </c>
      <c r="C2073" s="9">
        <f t="shared" si="90"/>
        <v>45985</v>
      </c>
      <c r="D2073" s="11" t="s">
        <v>1085</v>
      </c>
      <c r="E2073" s="11" t="s">
        <v>25</v>
      </c>
      <c r="F2073" s="11" t="s">
        <v>26</v>
      </c>
      <c r="G2073" s="11" t="s">
        <v>37</v>
      </c>
      <c r="H2073" s="11" t="s">
        <v>1086</v>
      </c>
      <c r="I2073" s="31">
        <v>47.48</v>
      </c>
      <c r="J2073" s="13"/>
      <c r="K2073" s="13">
        <f t="shared" si="123"/>
        <v>47.48</v>
      </c>
      <c r="L2073" s="11" t="s">
        <v>53</v>
      </c>
      <c r="M2073" s="17">
        <v>45689.0</v>
      </c>
      <c r="N2073" s="11" t="s">
        <v>259</v>
      </c>
      <c r="O2073" s="10" t="str">
        <f t="shared" si="79"/>
        <v>11/2025</v>
      </c>
      <c r="P2073" s="10" t="str">
        <f t="shared" si="121"/>
        <v>11/2025</v>
      </c>
      <c r="Q2073" s="15" t="str">
        <f t="array" ref="Q2073">IFERROR(XLOOKUP(N2073,'Classificação'!A:A,'Classificação'!B:B),"")</f>
        <v>DESPESAS ADMINISTRATIVAS</v>
      </c>
      <c r="R2073" s="15" t="str">
        <f t="array" ref="R2073">IFERROR(XLOOKUP(Q2073,'Classificação'!B:B,'Classificação'!C:C),"")</f>
        <v>DESPESAS FIXAS (-)</v>
      </c>
      <c r="S2073" s="15">
        <f t="shared" si="91"/>
        <v>24</v>
      </c>
      <c r="T2073" s="15">
        <f t="shared" si="6"/>
        <v>11</v>
      </c>
      <c r="U2073" s="15">
        <f t="shared" si="7"/>
        <v>2025</v>
      </c>
      <c r="V2073" s="15">
        <f t="shared" si="8"/>
        <v>24</v>
      </c>
      <c r="W2073" s="15">
        <f t="shared" si="9"/>
        <v>11</v>
      </c>
      <c r="X2073" s="15">
        <f t="shared" si="10"/>
        <v>2025</v>
      </c>
    </row>
    <row r="2074">
      <c r="A2074" s="9">
        <v>45985.0</v>
      </c>
      <c r="B2074" s="32">
        <v>45978.0</v>
      </c>
      <c r="C2074" s="9">
        <f t="shared" si="90"/>
        <v>45985</v>
      </c>
      <c r="D2074" s="11" t="s">
        <v>182</v>
      </c>
      <c r="E2074" s="11" t="s">
        <v>25</v>
      </c>
      <c r="F2074" s="11" t="s">
        <v>26</v>
      </c>
      <c r="G2074" s="29" t="s">
        <v>37</v>
      </c>
      <c r="H2074" s="11" t="s">
        <v>1087</v>
      </c>
      <c r="I2074" s="12">
        <v>11.94</v>
      </c>
      <c r="J2074" s="13"/>
      <c r="K2074" s="13">
        <f t="shared" si="123"/>
        <v>11.94</v>
      </c>
      <c r="L2074" s="11" t="s">
        <v>34</v>
      </c>
      <c r="M2074" s="14"/>
      <c r="N2074" s="11" t="s">
        <v>184</v>
      </c>
      <c r="O2074" s="10" t="str">
        <f t="shared" si="79"/>
        <v>11/2025</v>
      </c>
      <c r="P2074" s="10" t="str">
        <f t="shared" si="121"/>
        <v>11/2025</v>
      </c>
      <c r="Q2074" s="15" t="str">
        <f t="array" ref="Q2074">IFERROR(XLOOKUP(N2074,'Classificação'!A:A,'Classificação'!B:B),"")</f>
        <v>DESPESAS ADMINISTRATIVAS</v>
      </c>
      <c r="R2074" s="15" t="str">
        <f t="array" ref="R2074">IFERROR(XLOOKUP(Q2074,'Classificação'!B:B,'Classificação'!C:C),"")</f>
        <v>DESPESAS FIXAS (-)</v>
      </c>
      <c r="S2074" s="15">
        <f t="shared" si="91"/>
        <v>24</v>
      </c>
      <c r="T2074" s="15">
        <f t="shared" si="6"/>
        <v>11</v>
      </c>
      <c r="U2074" s="15">
        <f t="shared" si="7"/>
        <v>2025</v>
      </c>
      <c r="V2074" s="15">
        <f t="shared" si="8"/>
        <v>24</v>
      </c>
      <c r="W2074" s="15">
        <f t="shared" si="9"/>
        <v>11</v>
      </c>
      <c r="X2074" s="15">
        <f t="shared" si="10"/>
        <v>2025</v>
      </c>
    </row>
    <row r="2075">
      <c r="A2075" s="9">
        <v>45985.0</v>
      </c>
      <c r="B2075" s="10"/>
      <c r="C2075" s="9">
        <f t="shared" si="90"/>
        <v>45985</v>
      </c>
      <c r="D2075" s="11" t="s">
        <v>570</v>
      </c>
      <c r="E2075" s="11" t="s">
        <v>25</v>
      </c>
      <c r="F2075" s="11" t="s">
        <v>26</v>
      </c>
      <c r="G2075" s="29" t="s">
        <v>37</v>
      </c>
      <c r="H2075" s="11" t="s">
        <v>1088</v>
      </c>
      <c r="I2075" s="12">
        <v>2983.95</v>
      </c>
      <c r="J2075" s="13"/>
      <c r="K2075" s="13">
        <f t="shared" si="123"/>
        <v>2983.95</v>
      </c>
      <c r="L2075" s="11" t="s">
        <v>34</v>
      </c>
      <c r="M2075" s="14"/>
      <c r="N2075" s="11" t="s">
        <v>448</v>
      </c>
      <c r="O2075" s="10" t="str">
        <f t="shared" si="79"/>
        <v>11/2025</v>
      </c>
      <c r="P2075" s="10" t="str">
        <f t="shared" si="121"/>
        <v>11/2025</v>
      </c>
      <c r="Q2075" s="15" t="str">
        <f t="array" ref="Q2075">IFERROR(XLOOKUP(N2075,'Classificação'!A:A,'Classificação'!B:B),"")</f>
        <v>DESPESAS ADMINISTRATIVAS</v>
      </c>
      <c r="R2075" s="15" t="str">
        <f t="array" ref="R2075">IFERROR(XLOOKUP(Q2075,'Classificação'!B:B,'Classificação'!C:C),"")</f>
        <v>DESPESAS FIXAS (-)</v>
      </c>
      <c r="S2075" s="15">
        <f t="shared" si="91"/>
        <v>24</v>
      </c>
      <c r="T2075" s="15">
        <f t="shared" si="6"/>
        <v>11</v>
      </c>
      <c r="U2075" s="15">
        <f t="shared" si="7"/>
        <v>2025</v>
      </c>
      <c r="V2075" s="15">
        <f t="shared" si="8"/>
        <v>24</v>
      </c>
      <c r="W2075" s="15">
        <f t="shared" si="9"/>
        <v>11</v>
      </c>
      <c r="X2075" s="15">
        <f t="shared" si="10"/>
        <v>2025</v>
      </c>
    </row>
    <row r="2076">
      <c r="A2076" s="9">
        <v>45985.0</v>
      </c>
      <c r="B2076" s="10"/>
      <c r="C2076" s="9">
        <f t="shared" si="90"/>
        <v>45985</v>
      </c>
      <c r="D2076" s="11" t="s">
        <v>828</v>
      </c>
      <c r="E2076" s="11" t="s">
        <v>25</v>
      </c>
      <c r="F2076" s="11" t="s">
        <v>26</v>
      </c>
      <c r="G2076" s="29" t="s">
        <v>37</v>
      </c>
      <c r="H2076" s="11" t="s">
        <v>1029</v>
      </c>
      <c r="I2076" s="12">
        <v>111.33</v>
      </c>
      <c r="J2076" s="13"/>
      <c r="K2076" s="13">
        <f t="shared" si="123"/>
        <v>111.33</v>
      </c>
      <c r="L2076" s="11" t="s">
        <v>34</v>
      </c>
      <c r="M2076" s="14"/>
      <c r="N2076" s="11" t="s">
        <v>105</v>
      </c>
      <c r="O2076" s="10" t="str">
        <f t="shared" si="79"/>
        <v>11/2025</v>
      </c>
      <c r="P2076" s="10" t="str">
        <f t="shared" si="121"/>
        <v>11/2025</v>
      </c>
      <c r="Q2076" s="15" t="str">
        <f t="array" ref="Q2076">IFERROR(XLOOKUP(N2076,'Classificação'!A:A,'Classificação'!B:B),"")</f>
        <v>DESPESAS ADMINISTRATIVAS</v>
      </c>
      <c r="R2076" s="15" t="str">
        <f t="array" ref="R2076">IFERROR(XLOOKUP(Q2076,'Classificação'!B:B,'Classificação'!C:C),"")</f>
        <v>DESPESAS FIXAS (-)</v>
      </c>
      <c r="S2076" s="15">
        <f t="shared" si="91"/>
        <v>24</v>
      </c>
      <c r="T2076" s="15">
        <f t="shared" si="6"/>
        <v>11</v>
      </c>
      <c r="U2076" s="15">
        <f t="shared" si="7"/>
        <v>2025</v>
      </c>
      <c r="V2076" s="15">
        <f t="shared" si="8"/>
        <v>24</v>
      </c>
      <c r="W2076" s="15">
        <f t="shared" si="9"/>
        <v>11</v>
      </c>
      <c r="X2076" s="15">
        <f t="shared" si="10"/>
        <v>2025</v>
      </c>
    </row>
    <row r="2077">
      <c r="A2077" s="9">
        <v>45985.0</v>
      </c>
      <c r="B2077" s="32">
        <v>45960.0</v>
      </c>
      <c r="C2077" s="9">
        <f t="shared" si="90"/>
        <v>45985</v>
      </c>
      <c r="D2077" s="11" t="s">
        <v>558</v>
      </c>
      <c r="E2077" s="11" t="s">
        <v>25</v>
      </c>
      <c r="F2077" s="11" t="s">
        <v>26</v>
      </c>
      <c r="G2077" s="29" t="s">
        <v>37</v>
      </c>
      <c r="H2077" s="11" t="s">
        <v>1089</v>
      </c>
      <c r="I2077" s="12">
        <v>285.09</v>
      </c>
      <c r="J2077" s="13"/>
      <c r="K2077" s="13">
        <f t="shared" si="123"/>
        <v>285.09</v>
      </c>
      <c r="L2077" s="11" t="s">
        <v>34</v>
      </c>
      <c r="M2077" s="14"/>
      <c r="N2077" s="11" t="s">
        <v>105</v>
      </c>
      <c r="O2077" s="10" t="str">
        <f t="shared" si="79"/>
        <v>11/2025</v>
      </c>
      <c r="P2077" s="10" t="str">
        <f t="shared" si="121"/>
        <v>11/2025</v>
      </c>
      <c r="Q2077" s="15" t="str">
        <f t="array" ref="Q2077">IFERROR(XLOOKUP(N2077,'Classificação'!A:A,'Classificação'!B:B),"")</f>
        <v>DESPESAS ADMINISTRATIVAS</v>
      </c>
      <c r="R2077" s="15" t="str">
        <f t="array" ref="R2077">IFERROR(XLOOKUP(Q2077,'Classificação'!B:B,'Classificação'!C:C),"")</f>
        <v>DESPESAS FIXAS (-)</v>
      </c>
      <c r="S2077" s="15">
        <f t="shared" si="91"/>
        <v>24</v>
      </c>
      <c r="T2077" s="15">
        <f t="shared" si="6"/>
        <v>11</v>
      </c>
      <c r="U2077" s="15">
        <f t="shared" si="7"/>
        <v>2025</v>
      </c>
      <c r="V2077" s="15">
        <f t="shared" si="8"/>
        <v>24</v>
      </c>
      <c r="W2077" s="15">
        <f t="shared" si="9"/>
        <v>11</v>
      </c>
      <c r="X2077" s="15">
        <f t="shared" si="10"/>
        <v>2025</v>
      </c>
    </row>
    <row r="2078">
      <c r="A2078" s="9">
        <v>45986.0</v>
      </c>
      <c r="B2078" s="10"/>
      <c r="C2078" s="9">
        <f t="shared" si="90"/>
        <v>45986</v>
      </c>
      <c r="D2078" s="11" t="s">
        <v>208</v>
      </c>
      <c r="E2078" s="11" t="s">
        <v>25</v>
      </c>
      <c r="F2078" s="11" t="s">
        <v>40</v>
      </c>
      <c r="G2078" s="11" t="s">
        <v>37</v>
      </c>
      <c r="H2078" s="11" t="s">
        <v>209</v>
      </c>
      <c r="I2078" s="12">
        <v>204.96</v>
      </c>
      <c r="J2078" s="13"/>
      <c r="K2078" s="13">
        <f t="shared" si="123"/>
        <v>204.96</v>
      </c>
      <c r="L2078" s="11" t="s">
        <v>29</v>
      </c>
      <c r="M2078" s="14"/>
      <c r="N2078" s="11" t="s">
        <v>210</v>
      </c>
      <c r="O2078" s="10" t="str">
        <f t="shared" si="79"/>
        <v>11/2025</v>
      </c>
      <c r="P2078" s="10" t="str">
        <f t="shared" si="121"/>
        <v>11/2025</v>
      </c>
      <c r="Q2078" s="15" t="str">
        <f t="array" ref="Q2078">IFERROR(XLOOKUP(N2078,'Classificação'!A:A,'Classificação'!B:B),"")</f>
        <v>DESPESAS COM OCUPAÇÃO</v>
      </c>
      <c r="R2078" s="15" t="str">
        <f t="array" ref="R2078">IFERROR(XLOOKUP(Q2078,'Classificação'!B:B,'Classificação'!C:C),"")</f>
        <v>DESPESAS FIXAS (-)</v>
      </c>
      <c r="S2078" s="15">
        <f t="shared" si="91"/>
        <v>25</v>
      </c>
      <c r="T2078" s="15">
        <f t="shared" si="6"/>
        <v>11</v>
      </c>
      <c r="U2078" s="15">
        <f t="shared" si="7"/>
        <v>2025</v>
      </c>
      <c r="V2078" s="15">
        <f t="shared" si="8"/>
        <v>25</v>
      </c>
      <c r="W2078" s="15">
        <f t="shared" si="9"/>
        <v>11</v>
      </c>
      <c r="X2078" s="15">
        <f t="shared" si="10"/>
        <v>2025</v>
      </c>
    </row>
    <row r="2079">
      <c r="A2079" s="32">
        <v>45986.0</v>
      </c>
      <c r="B2079" s="10"/>
      <c r="C2079" s="9">
        <f t="shared" si="90"/>
        <v>45986</v>
      </c>
      <c r="D2079" s="11" t="s">
        <v>43</v>
      </c>
      <c r="E2079" s="11" t="s">
        <v>25</v>
      </c>
      <c r="F2079" s="11" t="s">
        <v>26</v>
      </c>
      <c r="G2079" s="11" t="s">
        <v>27</v>
      </c>
      <c r="H2079" s="11" t="s">
        <v>1090</v>
      </c>
      <c r="I2079" s="12">
        <v>3000.01</v>
      </c>
      <c r="J2079" s="13"/>
      <c r="K2079" s="13">
        <f t="shared" si="123"/>
        <v>3000.01</v>
      </c>
      <c r="L2079" s="11" t="s">
        <v>34</v>
      </c>
      <c r="M2079" s="14"/>
      <c r="N2079" s="11" t="s">
        <v>35</v>
      </c>
      <c r="O2079" s="10" t="str">
        <f t="shared" si="79"/>
        <v>11/2025</v>
      </c>
      <c r="P2079" s="10" t="str">
        <f t="shared" si="121"/>
        <v>11/2025</v>
      </c>
      <c r="Q2079" s="15" t="str">
        <f t="array" ref="Q2079">IFERROR(XLOOKUP(N2079,'Classificação'!A:A,'Classificação'!B:B),"")</f>
        <v>COMPRA DE MERCADORIA</v>
      </c>
      <c r="R2079" s="15" t="str">
        <f t="array" ref="R2079">IFERROR(XLOOKUP(Q2079,'Classificação'!B:B,'Classificação'!C:C),"")</f>
        <v>CUSTOS VARIÁVEIS</v>
      </c>
      <c r="S2079" s="15">
        <f t="shared" si="91"/>
        <v>25</v>
      </c>
      <c r="T2079" s="15">
        <f t="shared" si="6"/>
        <v>11</v>
      </c>
      <c r="U2079" s="15">
        <f t="shared" si="7"/>
        <v>2025</v>
      </c>
      <c r="V2079" s="15">
        <f t="shared" si="8"/>
        <v>25</v>
      </c>
      <c r="W2079" s="15">
        <f t="shared" si="9"/>
        <v>11</v>
      </c>
      <c r="X2079" s="15">
        <f t="shared" si="10"/>
        <v>2025</v>
      </c>
    </row>
    <row r="2080">
      <c r="A2080" s="32">
        <v>45986.0</v>
      </c>
      <c r="B2080" s="10"/>
      <c r="C2080" s="9">
        <f t="shared" si="90"/>
        <v>45986</v>
      </c>
      <c r="D2080" s="11" t="s">
        <v>36</v>
      </c>
      <c r="E2080" s="11" t="s">
        <v>25</v>
      </c>
      <c r="F2080" s="11" t="s">
        <v>26</v>
      </c>
      <c r="G2080" s="11" t="s">
        <v>27</v>
      </c>
      <c r="H2080" s="11" t="s">
        <v>1090</v>
      </c>
      <c r="I2080" s="12">
        <v>3000.0</v>
      </c>
      <c r="J2080" s="13"/>
      <c r="K2080" s="13">
        <f t="shared" si="123"/>
        <v>3000</v>
      </c>
      <c r="L2080" s="11" t="s">
        <v>34</v>
      </c>
      <c r="M2080" s="14"/>
      <c r="N2080" s="11" t="s">
        <v>35</v>
      </c>
      <c r="O2080" s="10" t="str">
        <f t="shared" si="79"/>
        <v>11/2025</v>
      </c>
      <c r="P2080" s="10" t="str">
        <f t="shared" si="121"/>
        <v>11/2025</v>
      </c>
      <c r="Q2080" s="15" t="str">
        <f t="array" ref="Q2080">IFERROR(XLOOKUP(N2080,'Classificação'!A:A,'Classificação'!B:B),"")</f>
        <v>COMPRA DE MERCADORIA</v>
      </c>
      <c r="R2080" s="15" t="str">
        <f t="array" ref="R2080">IFERROR(XLOOKUP(Q2080,'Classificação'!B:B,'Classificação'!C:C),"")</f>
        <v>CUSTOS VARIÁVEIS</v>
      </c>
      <c r="S2080" s="15">
        <f t="shared" si="91"/>
        <v>25</v>
      </c>
      <c r="T2080" s="15">
        <f t="shared" si="6"/>
        <v>11</v>
      </c>
      <c r="U2080" s="15">
        <f t="shared" si="7"/>
        <v>2025</v>
      </c>
      <c r="V2080" s="15">
        <f t="shared" si="8"/>
        <v>25</v>
      </c>
      <c r="W2080" s="15">
        <f t="shared" si="9"/>
        <v>11</v>
      </c>
      <c r="X2080" s="15">
        <f t="shared" si="10"/>
        <v>2025</v>
      </c>
    </row>
    <row r="2081">
      <c r="A2081" s="32">
        <v>45986.0</v>
      </c>
      <c r="B2081" s="10"/>
      <c r="C2081" s="9">
        <f t="shared" si="90"/>
        <v>45986</v>
      </c>
      <c r="D2081" s="11" t="s">
        <v>43</v>
      </c>
      <c r="E2081" s="11" t="s">
        <v>25</v>
      </c>
      <c r="F2081" s="11" t="s">
        <v>26</v>
      </c>
      <c r="G2081" s="11" t="s">
        <v>37</v>
      </c>
      <c r="H2081" s="11" t="s">
        <v>1090</v>
      </c>
      <c r="I2081" s="12">
        <v>3000.0</v>
      </c>
      <c r="J2081" s="13"/>
      <c r="K2081" s="13">
        <f t="shared" si="123"/>
        <v>3000</v>
      </c>
      <c r="L2081" s="11" t="s">
        <v>34</v>
      </c>
      <c r="M2081" s="14"/>
      <c r="N2081" s="11" t="s">
        <v>35</v>
      </c>
      <c r="O2081" s="10" t="str">
        <f t="shared" si="79"/>
        <v>11/2025</v>
      </c>
      <c r="P2081" s="10" t="str">
        <f t="shared" si="121"/>
        <v>11/2025</v>
      </c>
      <c r="Q2081" s="15" t="str">
        <f t="array" ref="Q2081">IFERROR(XLOOKUP(N2081,'Classificação'!A:A,'Classificação'!B:B),"")</f>
        <v>COMPRA DE MERCADORIA</v>
      </c>
      <c r="R2081" s="15" t="str">
        <f t="array" ref="R2081">IFERROR(XLOOKUP(Q2081,'Classificação'!B:B,'Classificação'!C:C),"")</f>
        <v>CUSTOS VARIÁVEIS</v>
      </c>
      <c r="S2081" s="15">
        <f t="shared" si="91"/>
        <v>25</v>
      </c>
      <c r="T2081" s="15">
        <f t="shared" si="6"/>
        <v>11</v>
      </c>
      <c r="U2081" s="15">
        <f t="shared" si="7"/>
        <v>2025</v>
      </c>
      <c r="V2081" s="15">
        <f t="shared" si="8"/>
        <v>25</v>
      </c>
      <c r="W2081" s="15">
        <f t="shared" si="9"/>
        <v>11</v>
      </c>
      <c r="X2081" s="15">
        <f t="shared" si="10"/>
        <v>2025</v>
      </c>
    </row>
    <row r="2082">
      <c r="A2082" s="32">
        <v>45986.0</v>
      </c>
      <c r="B2082" s="10"/>
      <c r="C2082" s="9">
        <f t="shared" si="90"/>
        <v>45986</v>
      </c>
      <c r="D2082" s="11" t="s">
        <v>36</v>
      </c>
      <c r="E2082" s="11" t="s">
        <v>25</v>
      </c>
      <c r="F2082" s="11" t="s">
        <v>26</v>
      </c>
      <c r="G2082" s="11" t="s">
        <v>37</v>
      </c>
      <c r="H2082" s="11" t="s">
        <v>1090</v>
      </c>
      <c r="I2082" s="12">
        <v>3000.0</v>
      </c>
      <c r="J2082" s="13"/>
      <c r="K2082" s="13">
        <f t="shared" si="123"/>
        <v>3000</v>
      </c>
      <c r="L2082" s="11" t="s">
        <v>34</v>
      </c>
      <c r="M2082" s="14"/>
      <c r="N2082" s="11" t="s">
        <v>35</v>
      </c>
      <c r="O2082" s="10" t="str">
        <f t="shared" si="79"/>
        <v>11/2025</v>
      </c>
      <c r="P2082" s="10" t="str">
        <f t="shared" si="121"/>
        <v>11/2025</v>
      </c>
      <c r="Q2082" s="15" t="str">
        <f t="array" ref="Q2082">IFERROR(XLOOKUP(N2082,'Classificação'!A:A,'Classificação'!B:B),"")</f>
        <v>COMPRA DE MERCADORIA</v>
      </c>
      <c r="R2082" s="15" t="str">
        <f t="array" ref="R2082">IFERROR(XLOOKUP(Q2082,'Classificação'!B:B,'Classificação'!C:C),"")</f>
        <v>CUSTOS VARIÁVEIS</v>
      </c>
      <c r="S2082" s="15">
        <f t="shared" si="91"/>
        <v>25</v>
      </c>
      <c r="T2082" s="15">
        <f t="shared" si="6"/>
        <v>11</v>
      </c>
      <c r="U2082" s="15">
        <f t="shared" si="7"/>
        <v>2025</v>
      </c>
      <c r="V2082" s="15">
        <f t="shared" si="8"/>
        <v>25</v>
      </c>
      <c r="W2082" s="15">
        <f t="shared" si="9"/>
        <v>11</v>
      </c>
      <c r="X2082" s="15">
        <f t="shared" si="10"/>
        <v>2025</v>
      </c>
    </row>
    <row r="2083">
      <c r="A2083" s="32">
        <v>45986.0</v>
      </c>
      <c r="B2083" s="10"/>
      <c r="C2083" s="9">
        <f t="shared" si="90"/>
        <v>45986</v>
      </c>
      <c r="D2083" s="11" t="s">
        <v>62</v>
      </c>
      <c r="E2083" s="29" t="s">
        <v>25</v>
      </c>
      <c r="F2083" s="11" t="s">
        <v>26</v>
      </c>
      <c r="G2083" s="29" t="s">
        <v>37</v>
      </c>
      <c r="H2083" s="11" t="s">
        <v>1091</v>
      </c>
      <c r="I2083" s="12">
        <v>67.5</v>
      </c>
      <c r="J2083" s="13"/>
      <c r="K2083" s="13">
        <f t="shared" si="123"/>
        <v>67.5</v>
      </c>
      <c r="L2083" s="11" t="s">
        <v>34</v>
      </c>
      <c r="M2083" s="14"/>
      <c r="N2083" s="11" t="s">
        <v>595</v>
      </c>
      <c r="O2083" s="10" t="str">
        <f t="shared" si="79"/>
        <v>11/2025</v>
      </c>
      <c r="P2083" s="10" t="str">
        <f t="shared" si="121"/>
        <v>11/2025</v>
      </c>
      <c r="Q2083" s="15" t="str">
        <f t="array" ref="Q2083">IFERROR(XLOOKUP(N2083,'Classificação'!A:A,'Classificação'!B:B),"")</f>
        <v>DESPESAS COM PESSOAL</v>
      </c>
      <c r="R2083" s="15" t="str">
        <f t="array" ref="R2083">IFERROR(XLOOKUP(Q2083,'Classificação'!B:B,'Classificação'!C:C),"")</f>
        <v>DESPESAS FIXAS (-)</v>
      </c>
      <c r="S2083" s="15">
        <f t="shared" si="91"/>
        <v>25</v>
      </c>
      <c r="T2083" s="15">
        <f t="shared" si="6"/>
        <v>11</v>
      </c>
      <c r="U2083" s="15">
        <f t="shared" si="7"/>
        <v>2025</v>
      </c>
      <c r="V2083" s="15">
        <f t="shared" si="8"/>
        <v>25</v>
      </c>
      <c r="W2083" s="15">
        <f t="shared" si="9"/>
        <v>11</v>
      </c>
      <c r="X2083" s="15">
        <f t="shared" si="10"/>
        <v>2025</v>
      </c>
    </row>
    <row r="2084">
      <c r="A2084" s="32">
        <v>45989.0</v>
      </c>
      <c r="B2084" s="10"/>
      <c r="C2084" s="9">
        <f t="shared" si="90"/>
        <v>45989</v>
      </c>
      <c r="D2084" s="11" t="s">
        <v>782</v>
      </c>
      <c r="E2084" s="29" t="s">
        <v>25</v>
      </c>
      <c r="F2084" s="11" t="s">
        <v>40</v>
      </c>
      <c r="G2084" s="28" t="s">
        <v>27</v>
      </c>
      <c r="H2084" s="11" t="s">
        <v>1092</v>
      </c>
      <c r="I2084" s="12">
        <v>5409.0</v>
      </c>
      <c r="J2084" s="13"/>
      <c r="K2084" s="13">
        <f t="shared" si="123"/>
        <v>5409</v>
      </c>
      <c r="L2084" s="11" t="s">
        <v>34</v>
      </c>
      <c r="M2084" s="14"/>
      <c r="N2084" s="11" t="s">
        <v>35</v>
      </c>
      <c r="O2084" s="10" t="str">
        <f t="shared" si="79"/>
        <v>11/2025</v>
      </c>
      <c r="P2084" s="10" t="str">
        <f t="shared" si="121"/>
        <v>11/2025</v>
      </c>
      <c r="Q2084" s="15" t="str">
        <f t="array" ref="Q2084">IFERROR(XLOOKUP(N2084,'Classificação'!A:A,'Classificação'!B:B),"")</f>
        <v>COMPRA DE MERCADORIA</v>
      </c>
      <c r="R2084" s="15" t="str">
        <f t="array" ref="R2084">IFERROR(XLOOKUP(Q2084,'Classificação'!B:B,'Classificação'!C:C),"")</f>
        <v>CUSTOS VARIÁVEIS</v>
      </c>
      <c r="S2084" s="15">
        <f t="shared" si="91"/>
        <v>28</v>
      </c>
      <c r="T2084" s="15">
        <f t="shared" si="6"/>
        <v>11</v>
      </c>
      <c r="U2084" s="15">
        <f t="shared" si="7"/>
        <v>2025</v>
      </c>
      <c r="V2084" s="15">
        <f t="shared" si="8"/>
        <v>28</v>
      </c>
      <c r="W2084" s="15">
        <f t="shared" si="9"/>
        <v>11</v>
      </c>
      <c r="X2084" s="15">
        <f t="shared" si="10"/>
        <v>2025</v>
      </c>
    </row>
    <row r="2085">
      <c r="A2085" s="32">
        <v>45989.0</v>
      </c>
      <c r="B2085" s="10"/>
      <c r="C2085" s="9">
        <f t="shared" si="90"/>
        <v>45989</v>
      </c>
      <c r="D2085" s="29" t="s">
        <v>80</v>
      </c>
      <c r="E2085" s="29" t="s">
        <v>25</v>
      </c>
      <c r="F2085" s="11" t="s">
        <v>26</v>
      </c>
      <c r="G2085" s="28" t="s">
        <v>27</v>
      </c>
      <c r="H2085" s="11" t="s">
        <v>1093</v>
      </c>
      <c r="I2085" s="12">
        <v>1033.5</v>
      </c>
      <c r="J2085" s="13"/>
      <c r="K2085" s="13">
        <f t="shared" si="123"/>
        <v>1033.5</v>
      </c>
      <c r="L2085" s="11" t="s">
        <v>53</v>
      </c>
      <c r="M2085" s="17">
        <v>45689.0</v>
      </c>
      <c r="N2085" s="11" t="s">
        <v>405</v>
      </c>
      <c r="O2085" s="10" t="str">
        <f t="shared" si="79"/>
        <v>11/2025</v>
      </c>
      <c r="P2085" s="10" t="str">
        <f t="shared" si="121"/>
        <v>11/2025</v>
      </c>
      <c r="Q2085" s="15" t="str">
        <f t="array" ref="Q2085">IFERROR(XLOOKUP(N2085,'Classificação'!A:A,'Classificação'!B:B),"")</f>
        <v>DESPESAS COM PESSOAL</v>
      </c>
      <c r="R2085" s="15" t="str">
        <f t="array" ref="R2085">IFERROR(XLOOKUP(Q2085,'Classificação'!B:B,'Classificação'!C:C),"")</f>
        <v>DESPESAS FIXAS (-)</v>
      </c>
      <c r="S2085" s="15">
        <f t="shared" si="91"/>
        <v>28</v>
      </c>
      <c r="T2085" s="15">
        <f t="shared" si="6"/>
        <v>11</v>
      </c>
      <c r="U2085" s="15">
        <f t="shared" si="7"/>
        <v>2025</v>
      </c>
      <c r="V2085" s="15">
        <f t="shared" si="8"/>
        <v>28</v>
      </c>
      <c r="W2085" s="15">
        <f t="shared" si="9"/>
        <v>11</v>
      </c>
      <c r="X2085" s="15">
        <f t="shared" si="10"/>
        <v>2025</v>
      </c>
    </row>
    <row r="2086">
      <c r="A2086" s="32">
        <v>45989.0</v>
      </c>
      <c r="B2086" s="10"/>
      <c r="C2086" s="9">
        <f t="shared" si="90"/>
        <v>45989</v>
      </c>
      <c r="D2086" s="29" t="s">
        <v>83</v>
      </c>
      <c r="E2086" s="29" t="s">
        <v>25</v>
      </c>
      <c r="F2086" s="11" t="s">
        <v>26</v>
      </c>
      <c r="G2086" s="28" t="s">
        <v>27</v>
      </c>
      <c r="H2086" s="11" t="s">
        <v>1093</v>
      </c>
      <c r="I2086" s="12">
        <v>1166.0</v>
      </c>
      <c r="J2086" s="13"/>
      <c r="K2086" s="13">
        <f t="shared" si="123"/>
        <v>1166</v>
      </c>
      <c r="L2086" s="11" t="s">
        <v>53</v>
      </c>
      <c r="M2086" s="17">
        <v>45689.0</v>
      </c>
      <c r="N2086" s="11" t="s">
        <v>405</v>
      </c>
      <c r="O2086" s="10" t="str">
        <f t="shared" si="79"/>
        <v>11/2025</v>
      </c>
      <c r="P2086" s="10" t="str">
        <f t="shared" si="121"/>
        <v>11/2025</v>
      </c>
      <c r="Q2086" s="15" t="str">
        <f t="array" ref="Q2086">IFERROR(XLOOKUP(N2086,'Classificação'!A:A,'Classificação'!B:B),"")</f>
        <v>DESPESAS COM PESSOAL</v>
      </c>
      <c r="R2086" s="15" t="str">
        <f t="array" ref="R2086">IFERROR(XLOOKUP(Q2086,'Classificação'!B:B,'Classificação'!C:C),"")</f>
        <v>DESPESAS FIXAS (-)</v>
      </c>
      <c r="S2086" s="15">
        <f t="shared" si="91"/>
        <v>28</v>
      </c>
      <c r="T2086" s="15">
        <f t="shared" si="6"/>
        <v>11</v>
      </c>
      <c r="U2086" s="15">
        <f t="shared" si="7"/>
        <v>2025</v>
      </c>
      <c r="V2086" s="15">
        <f t="shared" si="8"/>
        <v>28</v>
      </c>
      <c r="W2086" s="15">
        <f t="shared" si="9"/>
        <v>11</v>
      </c>
      <c r="X2086" s="15">
        <f t="shared" si="10"/>
        <v>2025</v>
      </c>
    </row>
    <row r="2087">
      <c r="A2087" s="32">
        <v>45989.0</v>
      </c>
      <c r="B2087" s="10"/>
      <c r="C2087" s="9">
        <f t="shared" si="90"/>
        <v>45989</v>
      </c>
      <c r="D2087" s="11" t="s">
        <v>80</v>
      </c>
      <c r="E2087" s="11" t="s">
        <v>25</v>
      </c>
      <c r="F2087" s="11" t="s">
        <v>32</v>
      </c>
      <c r="G2087" s="11" t="s">
        <v>27</v>
      </c>
      <c r="I2087" s="12">
        <v>1233.23</v>
      </c>
      <c r="J2087" s="13"/>
      <c r="K2087" s="13">
        <f t="shared" si="123"/>
        <v>1233.23</v>
      </c>
      <c r="L2087" s="11" t="s">
        <v>29</v>
      </c>
      <c r="M2087" s="14"/>
      <c r="N2087" s="11" t="s">
        <v>38</v>
      </c>
      <c r="O2087" s="10" t="str">
        <f t="shared" si="79"/>
        <v>11/2025</v>
      </c>
      <c r="P2087" s="10" t="str">
        <f t="shared" si="121"/>
        <v>11/2025</v>
      </c>
      <c r="Q2087" s="15" t="str">
        <f t="array" ref="Q2087">IFERROR(XLOOKUP(N2087,'Classificação'!A:A,'Classificação'!B:B),"")</f>
        <v>DESPESAS COM PESSOAL</v>
      </c>
      <c r="R2087" s="15" t="str">
        <f t="array" ref="R2087">IFERROR(XLOOKUP(Q2087,'Classificação'!B:B,'Classificação'!C:C),"")</f>
        <v>DESPESAS FIXAS (-)</v>
      </c>
      <c r="S2087" s="15">
        <f t="shared" si="91"/>
        <v>28</v>
      </c>
      <c r="T2087" s="15">
        <f t="shared" si="6"/>
        <v>11</v>
      </c>
      <c r="U2087" s="15">
        <f t="shared" si="7"/>
        <v>2025</v>
      </c>
      <c r="V2087" s="15">
        <f t="shared" si="8"/>
        <v>28</v>
      </c>
      <c r="W2087" s="15">
        <f t="shared" si="9"/>
        <v>11</v>
      </c>
      <c r="X2087" s="15">
        <f t="shared" si="10"/>
        <v>2025</v>
      </c>
    </row>
    <row r="2088">
      <c r="A2088" s="32">
        <v>45989.0</v>
      </c>
      <c r="B2088" s="10"/>
      <c r="C2088" s="9">
        <f t="shared" si="90"/>
        <v>45989</v>
      </c>
      <c r="D2088" s="11" t="s">
        <v>83</v>
      </c>
      <c r="E2088" s="11" t="s">
        <v>25</v>
      </c>
      <c r="F2088" s="11" t="s">
        <v>40</v>
      </c>
      <c r="G2088" s="11" t="s">
        <v>27</v>
      </c>
      <c r="I2088" s="12">
        <v>550.0</v>
      </c>
      <c r="J2088" s="13"/>
      <c r="K2088" s="13">
        <f t="shared" si="123"/>
        <v>550</v>
      </c>
      <c r="L2088" s="11" t="s">
        <v>29</v>
      </c>
      <c r="M2088" s="14"/>
      <c r="N2088" s="11" t="s">
        <v>204</v>
      </c>
      <c r="O2088" s="10" t="str">
        <f t="shared" si="79"/>
        <v>11/2025</v>
      </c>
      <c r="P2088" s="10" t="str">
        <f t="shared" si="121"/>
        <v>11/2025</v>
      </c>
      <c r="Q2088" s="15" t="str">
        <f t="array" ref="Q2088">IFERROR(XLOOKUP(N2088,'Classificação'!A:A,'Classificação'!B:B),"")</f>
        <v>DESPESAS COM PESSOAL</v>
      </c>
      <c r="R2088" s="15" t="str">
        <f t="array" ref="R2088">IFERROR(XLOOKUP(Q2088,'Classificação'!B:B,'Classificação'!C:C),"")</f>
        <v>DESPESAS FIXAS (-)</v>
      </c>
      <c r="S2088" s="15">
        <f t="shared" si="91"/>
        <v>28</v>
      </c>
      <c r="T2088" s="15">
        <f t="shared" si="6"/>
        <v>11</v>
      </c>
      <c r="U2088" s="15">
        <f t="shared" si="7"/>
        <v>2025</v>
      </c>
      <c r="V2088" s="15">
        <f t="shared" si="8"/>
        <v>28</v>
      </c>
      <c r="W2088" s="15">
        <f t="shared" si="9"/>
        <v>11</v>
      </c>
      <c r="X2088" s="15">
        <f t="shared" si="10"/>
        <v>2025</v>
      </c>
    </row>
    <row r="2089">
      <c r="A2089" s="32">
        <v>45989.0</v>
      </c>
      <c r="B2089" s="10"/>
      <c r="C2089" s="9">
        <f t="shared" si="90"/>
        <v>45989</v>
      </c>
      <c r="D2089" s="11" t="s">
        <v>83</v>
      </c>
      <c r="E2089" s="11" t="s">
        <v>25</v>
      </c>
      <c r="F2089" s="11" t="s">
        <v>40</v>
      </c>
      <c r="G2089" s="11" t="s">
        <v>27</v>
      </c>
      <c r="I2089" s="12">
        <v>1582.25</v>
      </c>
      <c r="J2089" s="13"/>
      <c r="K2089" s="13">
        <f t="shared" si="123"/>
        <v>1582.25</v>
      </c>
      <c r="L2089" s="11" t="s">
        <v>29</v>
      </c>
      <c r="M2089" s="14"/>
      <c r="N2089" s="11" t="s">
        <v>38</v>
      </c>
      <c r="O2089" s="10" t="str">
        <f t="shared" si="79"/>
        <v>11/2025</v>
      </c>
      <c r="P2089" s="10" t="str">
        <f t="shared" si="121"/>
        <v>11/2025</v>
      </c>
      <c r="Q2089" s="15" t="str">
        <f t="array" ref="Q2089">IFERROR(XLOOKUP(N2089,'Classificação'!A:A,'Classificação'!B:B),"")</f>
        <v>DESPESAS COM PESSOAL</v>
      </c>
      <c r="R2089" s="15" t="str">
        <f t="array" ref="R2089">IFERROR(XLOOKUP(Q2089,'Classificação'!B:B,'Classificação'!C:C),"")</f>
        <v>DESPESAS FIXAS (-)</v>
      </c>
      <c r="S2089" s="15">
        <f t="shared" si="91"/>
        <v>28</v>
      </c>
      <c r="T2089" s="15">
        <f t="shared" si="6"/>
        <v>11</v>
      </c>
      <c r="U2089" s="15">
        <f t="shared" si="7"/>
        <v>2025</v>
      </c>
      <c r="V2089" s="15">
        <f t="shared" si="8"/>
        <v>28</v>
      </c>
      <c r="W2089" s="15">
        <f t="shared" si="9"/>
        <v>11</v>
      </c>
      <c r="X2089" s="15">
        <f t="shared" si="10"/>
        <v>2025</v>
      </c>
    </row>
    <row r="2090">
      <c r="A2090" s="32">
        <v>45989.0</v>
      </c>
      <c r="B2090" s="10"/>
      <c r="C2090" s="9">
        <f t="shared" si="90"/>
        <v>45989</v>
      </c>
      <c r="D2090" s="11" t="s">
        <v>80</v>
      </c>
      <c r="E2090" s="11" t="s">
        <v>25</v>
      </c>
      <c r="F2090" s="11" t="s">
        <v>40</v>
      </c>
      <c r="G2090" s="11" t="s">
        <v>27</v>
      </c>
      <c r="I2090" s="12">
        <v>550.0</v>
      </c>
      <c r="J2090" s="13"/>
      <c r="K2090" s="13">
        <f t="shared" si="123"/>
        <v>550</v>
      </c>
      <c r="L2090" s="11" t="s">
        <v>29</v>
      </c>
      <c r="M2090" s="14"/>
      <c r="N2090" s="11" t="s">
        <v>204</v>
      </c>
      <c r="O2090" s="10" t="str">
        <f t="shared" si="79"/>
        <v>11/2025</v>
      </c>
      <c r="P2090" s="10" t="str">
        <f t="shared" si="121"/>
        <v>11/2025</v>
      </c>
      <c r="Q2090" s="15" t="str">
        <f t="array" ref="Q2090">IFERROR(XLOOKUP(N2090,'Classificação'!A:A,'Classificação'!B:B),"")</f>
        <v>DESPESAS COM PESSOAL</v>
      </c>
      <c r="R2090" s="15" t="str">
        <f t="array" ref="R2090">IFERROR(XLOOKUP(Q2090,'Classificação'!B:B,'Classificação'!C:C),"")</f>
        <v>DESPESAS FIXAS (-)</v>
      </c>
      <c r="S2090" s="15">
        <f t="shared" si="91"/>
        <v>28</v>
      </c>
      <c r="T2090" s="15">
        <f t="shared" si="6"/>
        <v>11</v>
      </c>
      <c r="U2090" s="15">
        <f t="shared" si="7"/>
        <v>2025</v>
      </c>
      <c r="V2090" s="15">
        <f t="shared" si="8"/>
        <v>28</v>
      </c>
      <c r="W2090" s="15">
        <f t="shared" si="9"/>
        <v>11</v>
      </c>
      <c r="X2090" s="15">
        <f t="shared" si="10"/>
        <v>2025</v>
      </c>
    </row>
    <row r="2091">
      <c r="A2091" s="9">
        <v>45989.0</v>
      </c>
      <c r="B2091" s="10"/>
      <c r="C2091" s="9">
        <f t="shared" si="90"/>
        <v>45989</v>
      </c>
      <c r="D2091" s="11" t="s">
        <v>1046</v>
      </c>
      <c r="E2091" s="11" t="s">
        <v>25</v>
      </c>
      <c r="F2091" s="11" t="s">
        <v>32</v>
      </c>
      <c r="G2091" s="11" t="s">
        <v>37</v>
      </c>
      <c r="I2091" s="12">
        <v>150.0</v>
      </c>
      <c r="J2091" s="13"/>
      <c r="K2091" s="13">
        <f t="shared" si="123"/>
        <v>150</v>
      </c>
      <c r="L2091" s="11" t="s">
        <v>29</v>
      </c>
      <c r="M2091" s="14"/>
      <c r="N2091" s="11" t="s">
        <v>224</v>
      </c>
      <c r="O2091" s="10" t="str">
        <f t="shared" si="79"/>
        <v>11/2025</v>
      </c>
      <c r="P2091" s="10" t="str">
        <f t="shared" si="121"/>
        <v>11/2025</v>
      </c>
      <c r="Q2091" s="15" t="str">
        <f t="array" ref="Q2091">IFERROR(XLOOKUP(N2091,'Classificação'!A:A,'Classificação'!B:B),"")</f>
        <v>DESPESAS ADMINISTRATIVAS</v>
      </c>
      <c r="R2091" s="15" t="str">
        <f t="array" ref="R2091">IFERROR(XLOOKUP(Q2091,'Classificação'!B:B,'Classificação'!C:C),"")</f>
        <v>DESPESAS FIXAS (-)</v>
      </c>
      <c r="S2091" s="15">
        <f t="shared" si="91"/>
        <v>28</v>
      </c>
      <c r="T2091" s="15">
        <f t="shared" si="6"/>
        <v>11</v>
      </c>
      <c r="U2091" s="15">
        <f t="shared" si="7"/>
        <v>2025</v>
      </c>
      <c r="V2091" s="15">
        <f t="shared" si="8"/>
        <v>28</v>
      </c>
      <c r="W2091" s="15">
        <f t="shared" si="9"/>
        <v>11</v>
      </c>
      <c r="X2091" s="15">
        <f t="shared" si="10"/>
        <v>2025</v>
      </c>
    </row>
    <row r="2092">
      <c r="A2092" s="32">
        <v>45989.0</v>
      </c>
      <c r="B2092" s="10"/>
      <c r="C2092" s="9">
        <f t="shared" si="90"/>
        <v>45989</v>
      </c>
      <c r="D2092" s="11" t="s">
        <v>1094</v>
      </c>
      <c r="E2092" s="29" t="s">
        <v>25</v>
      </c>
      <c r="F2092" s="11" t="s">
        <v>40</v>
      </c>
      <c r="G2092" s="11" t="s">
        <v>37</v>
      </c>
      <c r="H2092" s="11" t="s">
        <v>1095</v>
      </c>
      <c r="I2092" s="12">
        <v>167.5</v>
      </c>
      <c r="J2092" s="13"/>
      <c r="K2092" s="13">
        <f t="shared" si="123"/>
        <v>167.5</v>
      </c>
      <c r="L2092" s="11" t="s">
        <v>29</v>
      </c>
      <c r="M2092" s="14"/>
      <c r="N2092" s="11" t="s">
        <v>1095</v>
      </c>
      <c r="O2092" s="10" t="str">
        <f t="shared" si="79"/>
        <v>11/2025</v>
      </c>
      <c r="P2092" s="10" t="str">
        <f t="shared" si="121"/>
        <v>11/2025</v>
      </c>
      <c r="Q2092" s="15" t="str">
        <f t="array" ref="Q2092">IFERROR(XLOOKUP(N2092,'Classificação'!A:A,'Classificação'!B:B),"")</f>
        <v>DESPESAS COM PESSOAL</v>
      </c>
      <c r="R2092" s="15" t="str">
        <f t="array" ref="R2092">IFERROR(XLOOKUP(Q2092,'Classificação'!B:B,'Classificação'!C:C),"")</f>
        <v>DESPESAS FIXAS (-)</v>
      </c>
      <c r="S2092" s="15">
        <f t="shared" si="91"/>
        <v>28</v>
      </c>
      <c r="T2092" s="15">
        <f t="shared" si="6"/>
        <v>11</v>
      </c>
      <c r="U2092" s="15">
        <f t="shared" si="7"/>
        <v>2025</v>
      </c>
      <c r="V2092" s="15">
        <f t="shared" si="8"/>
        <v>28</v>
      </c>
      <c r="W2092" s="15">
        <f t="shared" si="9"/>
        <v>11</v>
      </c>
      <c r="X2092" s="15">
        <f t="shared" si="10"/>
        <v>2025</v>
      </c>
    </row>
    <row r="2093">
      <c r="A2093" s="32">
        <v>45989.0</v>
      </c>
      <c r="B2093" s="10"/>
      <c r="C2093" s="9">
        <f t="shared" si="90"/>
        <v>45989</v>
      </c>
      <c r="D2093" s="11" t="s">
        <v>81</v>
      </c>
      <c r="E2093" s="29" t="s">
        <v>25</v>
      </c>
      <c r="F2093" s="11" t="s">
        <v>26</v>
      </c>
      <c r="G2093" s="11" t="s">
        <v>37</v>
      </c>
      <c r="H2093" s="11" t="s">
        <v>1096</v>
      </c>
      <c r="I2093" s="12">
        <v>300.0</v>
      </c>
      <c r="J2093" s="13"/>
      <c r="K2093" s="13">
        <f t="shared" si="123"/>
        <v>300</v>
      </c>
      <c r="L2093" s="11" t="s">
        <v>34</v>
      </c>
      <c r="M2093" s="14"/>
      <c r="N2093" s="11" t="s">
        <v>71</v>
      </c>
      <c r="O2093" s="10" t="str">
        <f t="shared" si="79"/>
        <v>11/2025</v>
      </c>
      <c r="P2093" s="10" t="str">
        <f t="shared" si="121"/>
        <v>11/2025</v>
      </c>
      <c r="Q2093" s="15" t="str">
        <f t="array" ref="Q2093">IFERROR(XLOOKUP(N2093,'Classificação'!A:A,'Classificação'!B:B),"")</f>
        <v>DESPESAS DIVERSAS</v>
      </c>
      <c r="R2093" s="15" t="str">
        <f t="array" ref="R2093">IFERROR(XLOOKUP(Q2093,'Classificação'!B:B,'Classificação'!C:C),"")</f>
        <v>DESPESAS FIXAS (-)</v>
      </c>
      <c r="S2093" s="15">
        <f t="shared" si="91"/>
        <v>28</v>
      </c>
      <c r="T2093" s="15">
        <f t="shared" si="6"/>
        <v>11</v>
      </c>
      <c r="U2093" s="15">
        <f t="shared" si="7"/>
        <v>2025</v>
      </c>
      <c r="V2093" s="15">
        <f t="shared" si="8"/>
        <v>28</v>
      </c>
      <c r="W2093" s="15">
        <f t="shared" si="9"/>
        <v>11</v>
      </c>
      <c r="X2093" s="15">
        <f t="shared" si="10"/>
        <v>2025</v>
      </c>
    </row>
    <row r="2094">
      <c r="A2094" s="9">
        <v>45989.0</v>
      </c>
      <c r="B2094" s="10"/>
      <c r="C2094" s="9">
        <f t="shared" si="90"/>
        <v>45989</v>
      </c>
      <c r="D2094" s="11" t="s">
        <v>1097</v>
      </c>
      <c r="E2094" s="29" t="s">
        <v>25</v>
      </c>
      <c r="F2094" s="11" t="s">
        <v>26</v>
      </c>
      <c r="G2094" s="11" t="s">
        <v>37</v>
      </c>
      <c r="H2094" s="11" t="s">
        <v>1098</v>
      </c>
      <c r="I2094" s="12">
        <v>130.0</v>
      </c>
      <c r="J2094" s="13"/>
      <c r="K2094" s="13">
        <f t="shared" si="123"/>
        <v>130</v>
      </c>
      <c r="L2094" s="11" t="s">
        <v>34</v>
      </c>
      <c r="M2094" s="14"/>
      <c r="N2094" s="11" t="s">
        <v>58</v>
      </c>
      <c r="O2094" s="10" t="str">
        <f t="shared" si="79"/>
        <v>11/2025</v>
      </c>
      <c r="P2094" s="10" t="str">
        <f t="shared" si="121"/>
        <v>11/2025</v>
      </c>
      <c r="Q2094" s="15" t="str">
        <f t="array" ref="Q2094">IFERROR(XLOOKUP(N2094,'Classificação'!A:A,'Classificação'!B:B),"")</f>
        <v>DESPESAS ADMINISTRATIVAS</v>
      </c>
      <c r="R2094" s="15" t="str">
        <f t="array" ref="R2094">IFERROR(XLOOKUP(Q2094,'Classificação'!B:B,'Classificação'!C:C),"")</f>
        <v>DESPESAS FIXAS (-)</v>
      </c>
      <c r="S2094" s="15">
        <f t="shared" si="91"/>
        <v>28</v>
      </c>
      <c r="T2094" s="15">
        <f t="shared" si="6"/>
        <v>11</v>
      </c>
      <c r="U2094" s="15">
        <f t="shared" si="7"/>
        <v>2025</v>
      </c>
      <c r="V2094" s="15">
        <f t="shared" si="8"/>
        <v>28</v>
      </c>
      <c r="W2094" s="15">
        <f t="shared" si="9"/>
        <v>11</v>
      </c>
      <c r="X2094" s="15">
        <f t="shared" si="10"/>
        <v>2025</v>
      </c>
    </row>
    <row r="2095">
      <c r="A2095" s="9">
        <v>45992.0</v>
      </c>
      <c r="B2095" s="10"/>
      <c r="C2095" s="9">
        <f t="shared" si="90"/>
        <v>45992</v>
      </c>
      <c r="D2095" s="11" t="s">
        <v>221</v>
      </c>
      <c r="E2095" s="11" t="s">
        <v>25</v>
      </c>
      <c r="F2095" s="11" t="s">
        <v>32</v>
      </c>
      <c r="G2095" s="11" t="s">
        <v>27</v>
      </c>
      <c r="H2095" s="11" t="s">
        <v>222</v>
      </c>
      <c r="I2095" s="12">
        <v>360.54</v>
      </c>
      <c r="J2095" s="13"/>
      <c r="K2095" s="13">
        <f t="shared" si="123"/>
        <v>360.54</v>
      </c>
      <c r="L2095" s="11" t="s">
        <v>29</v>
      </c>
      <c r="M2095" s="14"/>
      <c r="N2095" s="11" t="s">
        <v>61</v>
      </c>
      <c r="O2095" s="10" t="str">
        <f t="shared" si="79"/>
        <v>12/2025</v>
      </c>
      <c r="P2095" s="10" t="str">
        <f t="shared" si="121"/>
        <v>12/2025</v>
      </c>
      <c r="Q2095" s="15" t="str">
        <f t="array" ref="Q2095">IFERROR(XLOOKUP(N2095,'Classificação'!A:A,'Classificação'!B:B),"")</f>
        <v>DESPESAS ADMINISTRATIVAS</v>
      </c>
      <c r="R2095" s="15" t="str">
        <f t="array" ref="R2095">IFERROR(XLOOKUP(Q2095,'Classificação'!B:B,'Classificação'!C:C),"")</f>
        <v>DESPESAS FIXAS (-)</v>
      </c>
      <c r="S2095" s="15">
        <f t="shared" si="91"/>
        <v>1</v>
      </c>
      <c r="T2095" s="15">
        <f t="shared" si="6"/>
        <v>12</v>
      </c>
      <c r="U2095" s="15">
        <f t="shared" si="7"/>
        <v>2025</v>
      </c>
      <c r="V2095" s="15">
        <f t="shared" si="8"/>
        <v>1</v>
      </c>
      <c r="W2095" s="15">
        <f t="shared" si="9"/>
        <v>12</v>
      </c>
      <c r="X2095" s="15">
        <f t="shared" si="10"/>
        <v>2025</v>
      </c>
    </row>
    <row r="2096">
      <c r="A2096" s="9">
        <v>45992.0</v>
      </c>
      <c r="B2096" s="10"/>
      <c r="C2096" s="9">
        <f t="shared" si="90"/>
        <v>45992</v>
      </c>
      <c r="D2096" s="11" t="s">
        <v>24</v>
      </c>
      <c r="E2096" s="11" t="s">
        <v>25</v>
      </c>
      <c r="F2096" s="11" t="s">
        <v>26</v>
      </c>
      <c r="G2096" s="11" t="s">
        <v>37</v>
      </c>
      <c r="H2096" s="11" t="s">
        <v>28</v>
      </c>
      <c r="I2096" s="12">
        <v>6385.68</v>
      </c>
      <c r="J2096" s="13"/>
      <c r="K2096" s="13">
        <f t="shared" si="123"/>
        <v>6385.68</v>
      </c>
      <c r="L2096" s="11" t="s">
        <v>29</v>
      </c>
      <c r="M2096" s="14"/>
      <c r="N2096" s="11" t="s">
        <v>30</v>
      </c>
      <c r="O2096" s="10" t="str">
        <f t="shared" si="79"/>
        <v>12/2025</v>
      </c>
      <c r="P2096" s="10" t="str">
        <f t="shared" si="121"/>
        <v>12/2025</v>
      </c>
      <c r="Q2096" s="15" t="str">
        <f t="array" ref="Q2096">IFERROR(XLOOKUP(N2096,'Classificação'!A:A,'Classificação'!B:B),"")</f>
        <v>DESPESAS COM OCUPAÇÃO</v>
      </c>
      <c r="R2096" s="15" t="str">
        <f t="array" ref="R2096">IFERROR(XLOOKUP(Q2096,'Classificação'!B:B,'Classificação'!C:C),"")</f>
        <v>DESPESAS FIXAS (-)</v>
      </c>
      <c r="S2096" s="15">
        <f t="shared" si="91"/>
        <v>1</v>
      </c>
      <c r="T2096" s="15">
        <f t="shared" si="6"/>
        <v>12</v>
      </c>
      <c r="U2096" s="15">
        <f t="shared" si="7"/>
        <v>2025</v>
      </c>
      <c r="V2096" s="15">
        <f t="shared" si="8"/>
        <v>1</v>
      </c>
      <c r="W2096" s="15">
        <f t="shared" si="9"/>
        <v>12</v>
      </c>
      <c r="X2096" s="15">
        <f t="shared" si="10"/>
        <v>2025</v>
      </c>
    </row>
    <row r="2097">
      <c r="A2097" s="9">
        <v>45992.0</v>
      </c>
      <c r="B2097" s="10"/>
      <c r="C2097" s="9">
        <f t="shared" si="90"/>
        <v>45992</v>
      </c>
      <c r="D2097" s="11" t="s">
        <v>288</v>
      </c>
      <c r="E2097" s="11" t="s">
        <v>25</v>
      </c>
      <c r="F2097" s="11" t="s">
        <v>26</v>
      </c>
      <c r="G2097" s="11" t="s">
        <v>37</v>
      </c>
      <c r="H2097" s="11" t="s">
        <v>289</v>
      </c>
      <c r="I2097" s="12">
        <v>98.18</v>
      </c>
      <c r="J2097" s="13"/>
      <c r="K2097" s="13">
        <f t="shared" si="123"/>
        <v>98.18</v>
      </c>
      <c r="L2097" s="11" t="s">
        <v>29</v>
      </c>
      <c r="M2097" s="16"/>
      <c r="N2097" s="11" t="s">
        <v>105</v>
      </c>
      <c r="O2097" s="10" t="str">
        <f t="shared" si="79"/>
        <v>12/2025</v>
      </c>
      <c r="P2097" s="10" t="str">
        <f t="shared" si="121"/>
        <v>12/2025</v>
      </c>
      <c r="Q2097" s="15" t="str">
        <f t="array" ref="Q2097">IFERROR(XLOOKUP(N2097,'Classificação'!A:A,'Classificação'!B:B),"")</f>
        <v>DESPESAS ADMINISTRATIVAS</v>
      </c>
      <c r="R2097" s="15" t="str">
        <f t="array" ref="R2097">IFERROR(XLOOKUP(Q2097,'Classificação'!B:B,'Classificação'!C:C),"")</f>
        <v>DESPESAS FIXAS (-)</v>
      </c>
      <c r="S2097" s="15">
        <f t="shared" si="91"/>
        <v>1</v>
      </c>
      <c r="T2097" s="15">
        <f t="shared" si="6"/>
        <v>12</v>
      </c>
      <c r="U2097" s="15">
        <f t="shared" si="7"/>
        <v>2025</v>
      </c>
      <c r="V2097" s="15">
        <f t="shared" si="8"/>
        <v>1</v>
      </c>
      <c r="W2097" s="15">
        <f t="shared" si="9"/>
        <v>12</v>
      </c>
      <c r="X2097" s="15">
        <f t="shared" si="10"/>
        <v>2025</v>
      </c>
    </row>
    <row r="2098">
      <c r="A2098" s="26">
        <v>45992.0</v>
      </c>
      <c r="B2098" s="10"/>
      <c r="C2098" s="9">
        <f t="shared" si="90"/>
        <v>45992</v>
      </c>
      <c r="D2098" s="28" t="s">
        <v>322</v>
      </c>
      <c r="E2098" s="29" t="s">
        <v>25</v>
      </c>
      <c r="F2098" s="15" t="s">
        <v>40</v>
      </c>
      <c r="G2098" s="28" t="s">
        <v>37</v>
      </c>
      <c r="H2098" s="29" t="s">
        <v>778</v>
      </c>
      <c r="I2098" s="24">
        <v>48.59</v>
      </c>
      <c r="J2098" s="13"/>
      <c r="K2098" s="13">
        <f t="shared" si="123"/>
        <v>48.59</v>
      </c>
      <c r="L2098" s="15" t="s">
        <v>29</v>
      </c>
      <c r="M2098" s="14"/>
      <c r="N2098" s="28" t="s">
        <v>105</v>
      </c>
      <c r="O2098" s="10" t="str">
        <f t="shared" si="79"/>
        <v>12/2025</v>
      </c>
      <c r="P2098" s="10" t="str">
        <f t="shared" si="121"/>
        <v>12/2025</v>
      </c>
      <c r="Q2098" s="15" t="str">
        <f t="array" ref="Q2098">IFERROR(XLOOKUP(N2098,'Classificação'!A:A,'Classificação'!B:B),"")</f>
        <v>DESPESAS ADMINISTRATIVAS</v>
      </c>
      <c r="R2098" s="15" t="str">
        <f t="array" ref="R2098">IFERROR(XLOOKUP(Q2098,'Classificação'!B:B,'Classificação'!C:C),"")</f>
        <v>DESPESAS FIXAS (-)</v>
      </c>
      <c r="S2098" s="15">
        <f t="shared" si="91"/>
        <v>1</v>
      </c>
      <c r="T2098" s="15">
        <f t="shared" si="6"/>
        <v>12</v>
      </c>
      <c r="U2098" s="15">
        <f t="shared" si="7"/>
        <v>2025</v>
      </c>
      <c r="V2098" s="15">
        <f t="shared" si="8"/>
        <v>1</v>
      </c>
      <c r="W2098" s="15">
        <f t="shared" si="9"/>
        <v>12</v>
      </c>
      <c r="X2098" s="15">
        <f t="shared" si="10"/>
        <v>2025</v>
      </c>
    </row>
    <row r="2099">
      <c r="A2099" s="9">
        <v>45992.0</v>
      </c>
      <c r="B2099" s="48">
        <v>45883.0</v>
      </c>
      <c r="C2099" s="9">
        <f t="shared" si="90"/>
        <v>45992</v>
      </c>
      <c r="D2099" s="11" t="s">
        <v>86</v>
      </c>
      <c r="E2099" s="11" t="s">
        <v>25</v>
      </c>
      <c r="F2099" s="11" t="s">
        <v>87</v>
      </c>
      <c r="G2099" s="11" t="s">
        <v>27</v>
      </c>
      <c r="H2099" s="11" t="s">
        <v>1099</v>
      </c>
      <c r="I2099" s="12">
        <v>680.0</v>
      </c>
      <c r="J2099" s="13"/>
      <c r="K2099" s="13">
        <f t="shared" si="123"/>
        <v>680</v>
      </c>
      <c r="L2099" s="11" t="s">
        <v>53</v>
      </c>
      <c r="M2099" s="17">
        <v>45751.0</v>
      </c>
      <c r="N2099" s="11" t="s">
        <v>35</v>
      </c>
      <c r="O2099" s="10" t="str">
        <f t="shared" si="79"/>
        <v>12/2025</v>
      </c>
      <c r="P2099" s="10" t="str">
        <f t="shared" si="121"/>
        <v>12/2025</v>
      </c>
      <c r="Q2099" s="15" t="str">
        <f t="array" ref="Q2099">IFERROR(XLOOKUP(N2099,'Classificação'!A:A,'Classificação'!B:B),"")</f>
        <v>COMPRA DE MERCADORIA</v>
      </c>
      <c r="R2099" s="15" t="str">
        <f t="array" ref="R2099">IFERROR(XLOOKUP(Q2099,'Classificação'!B:B,'Classificação'!C:C),"")</f>
        <v>CUSTOS VARIÁVEIS</v>
      </c>
      <c r="S2099" s="15">
        <f t="shared" si="91"/>
        <v>1</v>
      </c>
      <c r="T2099" s="15">
        <f t="shared" si="6"/>
        <v>12</v>
      </c>
      <c r="U2099" s="15">
        <f t="shared" si="7"/>
        <v>2025</v>
      </c>
      <c r="V2099" s="15">
        <f t="shared" si="8"/>
        <v>1</v>
      </c>
      <c r="W2099" s="15">
        <f t="shared" si="9"/>
        <v>12</v>
      </c>
      <c r="X2099" s="15">
        <f t="shared" si="10"/>
        <v>2025</v>
      </c>
    </row>
    <row r="2100">
      <c r="A2100" s="9">
        <v>45993.0</v>
      </c>
      <c r="B2100" s="10"/>
      <c r="C2100" s="9">
        <f t="shared" si="90"/>
        <v>45993</v>
      </c>
      <c r="D2100" s="11" t="s">
        <v>36</v>
      </c>
      <c r="E2100" s="11" t="s">
        <v>25</v>
      </c>
      <c r="F2100" s="29" t="s">
        <v>26</v>
      </c>
      <c r="G2100" s="11" t="s">
        <v>27</v>
      </c>
      <c r="I2100" s="12">
        <v>6701.0</v>
      </c>
      <c r="J2100" s="13"/>
      <c r="K2100" s="13">
        <f t="shared" si="123"/>
        <v>6701</v>
      </c>
      <c r="L2100" s="11" t="s">
        <v>29</v>
      </c>
      <c r="M2100" s="14"/>
      <c r="N2100" s="11" t="s">
        <v>38</v>
      </c>
      <c r="O2100" s="10" t="str">
        <f t="shared" si="79"/>
        <v>12/2025</v>
      </c>
      <c r="P2100" s="10" t="str">
        <f t="shared" si="121"/>
        <v>12/2025</v>
      </c>
      <c r="Q2100" s="15" t="str">
        <f t="array" ref="Q2100">IFERROR(XLOOKUP(N2100,'Classificação'!A:A,'Classificação'!B:B),"")</f>
        <v>DESPESAS COM PESSOAL</v>
      </c>
      <c r="R2100" s="15" t="str">
        <f t="array" ref="R2100">IFERROR(XLOOKUP(Q2100,'Classificação'!B:B,'Classificação'!C:C),"")</f>
        <v>DESPESAS FIXAS (-)</v>
      </c>
      <c r="S2100" s="15">
        <f t="shared" si="91"/>
        <v>2</v>
      </c>
      <c r="T2100" s="15">
        <f t="shared" si="6"/>
        <v>12</v>
      </c>
      <c r="U2100" s="15">
        <f t="shared" si="7"/>
        <v>2025</v>
      </c>
      <c r="V2100" s="15">
        <f t="shared" si="8"/>
        <v>2</v>
      </c>
      <c r="W2100" s="15">
        <f t="shared" si="9"/>
        <v>12</v>
      </c>
      <c r="X2100" s="15">
        <f t="shared" si="10"/>
        <v>2025</v>
      </c>
    </row>
    <row r="2101">
      <c r="A2101" s="9">
        <v>45993.0</v>
      </c>
      <c r="B2101" s="10"/>
      <c r="C2101" s="9">
        <f t="shared" si="90"/>
        <v>45993</v>
      </c>
      <c r="D2101" s="11" t="s">
        <v>43</v>
      </c>
      <c r="E2101" s="11" t="s">
        <v>25</v>
      </c>
      <c r="F2101" s="11" t="s">
        <v>32</v>
      </c>
      <c r="G2101" s="11" t="s">
        <v>27</v>
      </c>
      <c r="I2101" s="12">
        <v>6700.0</v>
      </c>
      <c r="J2101" s="13"/>
      <c r="K2101" s="13">
        <f t="shared" si="123"/>
        <v>6700</v>
      </c>
      <c r="L2101" s="11" t="s">
        <v>29</v>
      </c>
      <c r="M2101" s="14"/>
      <c r="N2101" s="11" t="s">
        <v>38</v>
      </c>
      <c r="O2101" s="10" t="str">
        <f t="shared" si="79"/>
        <v>12/2025</v>
      </c>
      <c r="P2101" s="10" t="str">
        <f t="shared" si="121"/>
        <v>12/2025</v>
      </c>
      <c r="Q2101" s="15" t="str">
        <f t="array" ref="Q2101">IFERROR(XLOOKUP(N2101,'Classificação'!A:A,'Classificação'!B:B),"")</f>
        <v>DESPESAS COM PESSOAL</v>
      </c>
      <c r="R2101" s="15" t="str">
        <f t="array" ref="R2101">IFERROR(XLOOKUP(Q2101,'Classificação'!B:B,'Classificação'!C:C),"")</f>
        <v>DESPESAS FIXAS (-)</v>
      </c>
      <c r="S2101" s="15">
        <f t="shared" si="91"/>
        <v>2</v>
      </c>
      <c r="T2101" s="15">
        <f t="shared" si="6"/>
        <v>12</v>
      </c>
      <c r="U2101" s="15">
        <f t="shared" si="7"/>
        <v>2025</v>
      </c>
      <c r="V2101" s="15">
        <f t="shared" si="8"/>
        <v>2</v>
      </c>
      <c r="W2101" s="15">
        <f t="shared" si="9"/>
        <v>12</v>
      </c>
      <c r="X2101" s="15">
        <f t="shared" si="10"/>
        <v>2025</v>
      </c>
    </row>
    <row r="2102">
      <c r="A2102" s="9">
        <v>45994.0</v>
      </c>
      <c r="B2102" s="10"/>
      <c r="C2102" s="9">
        <f t="shared" si="90"/>
        <v>45994</v>
      </c>
      <c r="D2102" s="11" t="s">
        <v>1094</v>
      </c>
      <c r="E2102" s="29" t="s">
        <v>25</v>
      </c>
      <c r="F2102" s="11" t="s">
        <v>40</v>
      </c>
      <c r="G2102" s="11" t="s">
        <v>37</v>
      </c>
      <c r="H2102" s="11" t="s">
        <v>1100</v>
      </c>
      <c r="I2102" s="12">
        <v>550.0</v>
      </c>
      <c r="J2102" s="13"/>
      <c r="K2102" s="13">
        <f t="shared" si="123"/>
        <v>550</v>
      </c>
      <c r="L2102" s="11" t="s">
        <v>34</v>
      </c>
      <c r="M2102" s="14"/>
      <c r="N2102" s="11" t="s">
        <v>204</v>
      </c>
      <c r="O2102" s="10" t="str">
        <f t="shared" si="79"/>
        <v>12/2025</v>
      </c>
      <c r="P2102" s="10" t="str">
        <f t="shared" si="121"/>
        <v>12/2025</v>
      </c>
      <c r="Q2102" s="15" t="str">
        <f t="array" ref="Q2102">IFERROR(XLOOKUP(N2102,'Classificação'!A:A,'Classificação'!B:B),"")</f>
        <v>DESPESAS COM PESSOAL</v>
      </c>
      <c r="R2102" s="15" t="str">
        <f t="array" ref="R2102">IFERROR(XLOOKUP(Q2102,'Classificação'!B:B,'Classificação'!C:C),"")</f>
        <v>DESPESAS FIXAS (-)</v>
      </c>
      <c r="S2102" s="15">
        <f t="shared" si="91"/>
        <v>3</v>
      </c>
      <c r="T2102" s="15">
        <f t="shared" si="6"/>
        <v>12</v>
      </c>
      <c r="U2102" s="15">
        <f t="shared" si="7"/>
        <v>2025</v>
      </c>
      <c r="V2102" s="15">
        <f t="shared" si="8"/>
        <v>3</v>
      </c>
      <c r="W2102" s="15">
        <f t="shared" si="9"/>
        <v>12</v>
      </c>
      <c r="X2102" s="15">
        <f t="shared" si="10"/>
        <v>2025</v>
      </c>
    </row>
    <row r="2103">
      <c r="A2103" s="9">
        <v>45994.0</v>
      </c>
      <c r="B2103" s="10"/>
      <c r="C2103" s="9">
        <f t="shared" si="90"/>
        <v>45994</v>
      </c>
      <c r="D2103" s="11" t="s">
        <v>1097</v>
      </c>
      <c r="E2103" s="29" t="s">
        <v>25</v>
      </c>
      <c r="F2103" s="11" t="s">
        <v>26</v>
      </c>
      <c r="G2103" s="11" t="s">
        <v>37</v>
      </c>
      <c r="H2103" s="11" t="s">
        <v>1101</v>
      </c>
      <c r="I2103" s="12">
        <v>390.0</v>
      </c>
      <c r="J2103" s="13"/>
      <c r="K2103" s="13">
        <f t="shared" si="123"/>
        <v>390</v>
      </c>
      <c r="L2103" s="11" t="s">
        <v>34</v>
      </c>
      <c r="M2103" s="14"/>
      <c r="N2103" s="11" t="s">
        <v>58</v>
      </c>
      <c r="O2103" s="10" t="str">
        <f t="shared" si="79"/>
        <v>12/2025</v>
      </c>
      <c r="P2103" s="10" t="str">
        <f t="shared" si="121"/>
        <v>12/2025</v>
      </c>
      <c r="Q2103" s="15" t="str">
        <f t="array" ref="Q2103">IFERROR(XLOOKUP(N2103,'Classificação'!A:A,'Classificação'!B:B),"")</f>
        <v>DESPESAS ADMINISTRATIVAS</v>
      </c>
      <c r="R2103" s="15" t="str">
        <f t="array" ref="R2103">IFERROR(XLOOKUP(Q2103,'Classificação'!B:B,'Classificação'!C:C),"")</f>
        <v>DESPESAS FIXAS (-)</v>
      </c>
      <c r="S2103" s="15">
        <f t="shared" si="91"/>
        <v>3</v>
      </c>
      <c r="T2103" s="15">
        <f t="shared" si="6"/>
        <v>12</v>
      </c>
      <c r="U2103" s="15">
        <f t="shared" si="7"/>
        <v>2025</v>
      </c>
      <c r="V2103" s="15">
        <f t="shared" si="8"/>
        <v>3</v>
      </c>
      <c r="W2103" s="15">
        <f t="shared" si="9"/>
        <v>12</v>
      </c>
      <c r="X2103" s="15">
        <f t="shared" si="10"/>
        <v>2025</v>
      </c>
    </row>
    <row r="2104">
      <c r="A2104" s="9">
        <v>45994.0</v>
      </c>
      <c r="B2104" s="10"/>
      <c r="C2104" s="9">
        <f t="shared" si="90"/>
        <v>45994</v>
      </c>
      <c r="D2104" s="11" t="s">
        <v>44</v>
      </c>
      <c r="E2104" s="11" t="s">
        <v>25</v>
      </c>
      <c r="F2104" s="11" t="s">
        <v>45</v>
      </c>
      <c r="G2104" s="11" t="s">
        <v>27</v>
      </c>
      <c r="H2104" s="11" t="s">
        <v>651</v>
      </c>
      <c r="I2104" s="12">
        <v>3072.94</v>
      </c>
      <c r="J2104" s="13"/>
      <c r="K2104" s="13">
        <f t="shared" si="123"/>
        <v>3072.94</v>
      </c>
      <c r="L2104" s="11" t="s">
        <v>53</v>
      </c>
      <c r="M2104" s="16" t="s">
        <v>1102</v>
      </c>
      <c r="N2104" s="11" t="s">
        <v>73</v>
      </c>
      <c r="O2104" s="10" t="str">
        <f t="shared" si="79"/>
        <v>12/2025</v>
      </c>
      <c r="P2104" s="10" t="str">
        <f t="shared" si="121"/>
        <v>12/2025</v>
      </c>
      <c r="Q2104" s="15" t="str">
        <f t="array" ref="Q2104">IFERROR(XLOOKUP(N2104,'Classificação'!A:A,'Classificação'!B:B),"")</f>
        <v>DESPESAS NÃO OPERACIONAIS</v>
      </c>
      <c r="R2104" s="15" t="str">
        <f t="array" ref="R2104">IFERROR(XLOOKUP(Q2104,'Classificação'!B:B,'Classificação'!C:C),"")</f>
        <v>RESULTADO NÃO OPERACIONAL (+/-)</v>
      </c>
      <c r="S2104" s="15">
        <f t="shared" si="91"/>
        <v>3</v>
      </c>
      <c r="T2104" s="15">
        <f t="shared" si="6"/>
        <v>12</v>
      </c>
      <c r="U2104" s="15">
        <f t="shared" si="7"/>
        <v>2025</v>
      </c>
      <c r="V2104" s="15">
        <f t="shared" si="8"/>
        <v>3</v>
      </c>
      <c r="W2104" s="15">
        <f t="shared" si="9"/>
        <v>12</v>
      </c>
      <c r="X2104" s="15">
        <f t="shared" si="10"/>
        <v>2025</v>
      </c>
    </row>
    <row r="2105">
      <c r="A2105" s="26">
        <v>45999.0</v>
      </c>
      <c r="B2105" s="28"/>
      <c r="C2105" s="27">
        <f t="shared" si="90"/>
        <v>45999</v>
      </c>
      <c r="D2105" s="28" t="s">
        <v>36</v>
      </c>
      <c r="E2105" s="29" t="s">
        <v>25</v>
      </c>
      <c r="F2105" s="28" t="s">
        <v>26</v>
      </c>
      <c r="G2105" s="28" t="s">
        <v>37</v>
      </c>
      <c r="H2105" s="28"/>
      <c r="I2105" s="24">
        <v>5230.0</v>
      </c>
      <c r="J2105" s="13"/>
      <c r="K2105" s="13">
        <f t="shared" si="123"/>
        <v>5230</v>
      </c>
      <c r="L2105" s="11" t="s">
        <v>29</v>
      </c>
      <c r="M2105" s="14"/>
      <c r="N2105" s="11" t="s">
        <v>38</v>
      </c>
      <c r="O2105" s="10" t="str">
        <f t="shared" si="79"/>
        <v>12/2025</v>
      </c>
      <c r="P2105" s="10" t="str">
        <f t="shared" si="121"/>
        <v>12/2025</v>
      </c>
      <c r="Q2105" s="15" t="str">
        <f t="array" ref="Q2105">IFERROR(XLOOKUP(N2105,'Classificação'!A:A,'Classificação'!B:B),"")</f>
        <v>DESPESAS COM PESSOAL</v>
      </c>
      <c r="R2105" s="15" t="str">
        <f t="array" ref="R2105">IFERROR(XLOOKUP(Q2105,'Classificação'!B:B,'Classificação'!C:C),"")</f>
        <v>DESPESAS FIXAS (-)</v>
      </c>
      <c r="S2105" s="15">
        <f t="shared" si="91"/>
        <v>8</v>
      </c>
      <c r="T2105" s="15">
        <f t="shared" si="6"/>
        <v>12</v>
      </c>
      <c r="U2105" s="15">
        <f t="shared" si="7"/>
        <v>2025</v>
      </c>
      <c r="V2105" s="15">
        <f t="shared" si="8"/>
        <v>8</v>
      </c>
      <c r="W2105" s="15">
        <f t="shared" si="9"/>
        <v>12</v>
      </c>
      <c r="X2105" s="15">
        <f t="shared" si="10"/>
        <v>2025</v>
      </c>
    </row>
    <row r="2106">
      <c r="A2106" s="26">
        <v>45999.0</v>
      </c>
      <c r="B2106" s="28"/>
      <c r="C2106" s="27">
        <f t="shared" si="90"/>
        <v>45999</v>
      </c>
      <c r="D2106" s="28" t="s">
        <v>43</v>
      </c>
      <c r="E2106" s="29" t="s">
        <v>25</v>
      </c>
      <c r="F2106" s="28" t="s">
        <v>26</v>
      </c>
      <c r="G2106" s="28" t="s">
        <v>37</v>
      </c>
      <c r="H2106" s="28"/>
      <c r="I2106" s="24">
        <v>5230.0</v>
      </c>
      <c r="J2106" s="13"/>
      <c r="K2106" s="13">
        <f t="shared" si="123"/>
        <v>5230</v>
      </c>
      <c r="L2106" s="11" t="s">
        <v>29</v>
      </c>
      <c r="M2106" s="14"/>
      <c r="N2106" s="11" t="s">
        <v>38</v>
      </c>
      <c r="O2106" s="10" t="str">
        <f t="shared" si="79"/>
        <v>12/2025</v>
      </c>
      <c r="P2106" s="10" t="str">
        <f t="shared" si="121"/>
        <v>12/2025</v>
      </c>
      <c r="Q2106" s="15" t="str">
        <f t="array" ref="Q2106">IFERROR(XLOOKUP(N2106,'Classificação'!A:A,'Classificação'!B:B),"")</f>
        <v>DESPESAS COM PESSOAL</v>
      </c>
      <c r="R2106" s="15" t="str">
        <f t="array" ref="R2106">IFERROR(XLOOKUP(Q2106,'Classificação'!B:B,'Classificação'!C:C),"")</f>
        <v>DESPESAS FIXAS (-)</v>
      </c>
      <c r="S2106" s="15">
        <f t="shared" si="91"/>
        <v>8</v>
      </c>
      <c r="T2106" s="15">
        <f t="shared" si="6"/>
        <v>12</v>
      </c>
      <c r="U2106" s="15">
        <f t="shared" si="7"/>
        <v>2025</v>
      </c>
      <c r="V2106" s="15">
        <f t="shared" si="8"/>
        <v>8</v>
      </c>
      <c r="W2106" s="15">
        <f t="shared" si="9"/>
        <v>12</v>
      </c>
      <c r="X2106" s="15">
        <f t="shared" si="10"/>
        <v>2025</v>
      </c>
    </row>
    <row r="2107">
      <c r="A2107" s="9">
        <v>46001.0</v>
      </c>
      <c r="B2107" s="10"/>
      <c r="C2107" s="9">
        <f t="shared" si="90"/>
        <v>46001</v>
      </c>
      <c r="D2107" s="11" t="s">
        <v>48</v>
      </c>
      <c r="E2107" s="11" t="s">
        <v>25</v>
      </c>
      <c r="F2107" s="11" t="s">
        <v>40</v>
      </c>
      <c r="G2107" s="11" t="s">
        <v>37</v>
      </c>
      <c r="I2107" s="12">
        <v>1564.58</v>
      </c>
      <c r="J2107" s="13"/>
      <c r="K2107" s="13">
        <f t="shared" si="123"/>
        <v>1564.58</v>
      </c>
      <c r="L2107" s="11" t="s">
        <v>29</v>
      </c>
      <c r="M2107" s="14"/>
      <c r="N2107" s="11" t="s">
        <v>49</v>
      </c>
      <c r="O2107" s="10" t="str">
        <f t="shared" si="79"/>
        <v>12/2025</v>
      </c>
      <c r="P2107" s="10" t="str">
        <f t="shared" si="121"/>
        <v>12/2025</v>
      </c>
      <c r="Q2107" s="15" t="str">
        <f t="array" ref="Q2107">IFERROR(XLOOKUP(N2107,'Classificação'!A:A,'Classificação'!B:B),"")</f>
        <v>DESPESAS COM PESSOAL</v>
      </c>
      <c r="R2107" s="15" t="str">
        <f t="array" ref="R2107">IFERROR(XLOOKUP(Q2107,'Classificação'!B:B,'Classificação'!C:C),"")</f>
        <v>DESPESAS FIXAS (-)</v>
      </c>
      <c r="S2107" s="15">
        <f t="shared" si="91"/>
        <v>10</v>
      </c>
      <c r="T2107" s="15">
        <f t="shared" si="6"/>
        <v>12</v>
      </c>
      <c r="U2107" s="15">
        <f t="shared" si="7"/>
        <v>2025</v>
      </c>
      <c r="V2107" s="15">
        <f t="shared" si="8"/>
        <v>10</v>
      </c>
      <c r="W2107" s="15">
        <f t="shared" si="9"/>
        <v>12</v>
      </c>
      <c r="X2107" s="15">
        <f t="shared" si="10"/>
        <v>2025</v>
      </c>
    </row>
    <row r="2108">
      <c r="A2108" s="32">
        <v>46001.0</v>
      </c>
      <c r="B2108" s="10"/>
      <c r="C2108" s="9">
        <f t="shared" si="90"/>
        <v>46001</v>
      </c>
      <c r="D2108" s="11" t="s">
        <v>50</v>
      </c>
      <c r="E2108" s="11" t="s">
        <v>25</v>
      </c>
      <c r="F2108" s="11" t="s">
        <v>40</v>
      </c>
      <c r="G2108" s="11" t="s">
        <v>37</v>
      </c>
      <c r="H2108" s="11" t="s">
        <v>51</v>
      </c>
      <c r="I2108" s="12">
        <v>139.99</v>
      </c>
      <c r="J2108" s="13"/>
      <c r="K2108" s="13">
        <f t="shared" si="123"/>
        <v>139.99</v>
      </c>
      <c r="L2108" s="11" t="s">
        <v>29</v>
      </c>
      <c r="M2108" s="14"/>
      <c r="N2108" s="11" t="s">
        <v>51</v>
      </c>
      <c r="O2108" s="10" t="str">
        <f t="shared" si="79"/>
        <v>12/2025</v>
      </c>
      <c r="P2108" s="10" t="str">
        <f t="shared" si="121"/>
        <v>12/2025</v>
      </c>
      <c r="Q2108" s="15" t="str">
        <f t="array" ref="Q2108">IFERROR(XLOOKUP(N2108,'Classificação'!A:A,'Classificação'!B:B),"")</f>
        <v>DESPESAS COM OCUPAÇÃO</v>
      </c>
      <c r="R2108" s="15" t="str">
        <f t="array" ref="R2108">IFERROR(XLOOKUP(Q2108,'Classificação'!B:B,'Classificação'!C:C),"")</f>
        <v>DESPESAS FIXAS (-)</v>
      </c>
      <c r="S2108" s="15">
        <f t="shared" si="91"/>
        <v>10</v>
      </c>
      <c r="T2108" s="15">
        <f t="shared" si="6"/>
        <v>12</v>
      </c>
      <c r="U2108" s="15">
        <f t="shared" si="7"/>
        <v>2025</v>
      </c>
      <c r="V2108" s="15">
        <f t="shared" si="8"/>
        <v>10</v>
      </c>
      <c r="W2108" s="15">
        <f t="shared" si="9"/>
        <v>12</v>
      </c>
      <c r="X2108" s="15">
        <f t="shared" si="10"/>
        <v>2025</v>
      </c>
    </row>
    <row r="2109">
      <c r="A2109" s="9">
        <v>46001.0</v>
      </c>
      <c r="B2109" s="10"/>
      <c r="C2109" s="9">
        <f t="shared" si="90"/>
        <v>46001</v>
      </c>
      <c r="D2109" s="11" t="s">
        <v>59</v>
      </c>
      <c r="E2109" s="11" t="s">
        <v>25</v>
      </c>
      <c r="F2109" s="11" t="s">
        <v>40</v>
      </c>
      <c r="G2109" s="11" t="s">
        <v>37</v>
      </c>
      <c r="H2109" s="11" t="s">
        <v>60</v>
      </c>
      <c r="I2109" s="12">
        <v>397.0</v>
      </c>
      <c r="J2109" s="13"/>
      <c r="K2109" s="13">
        <f t="shared" si="123"/>
        <v>397</v>
      </c>
      <c r="L2109" s="11" t="s">
        <v>29</v>
      </c>
      <c r="M2109" s="14"/>
      <c r="N2109" s="11" t="s">
        <v>61</v>
      </c>
      <c r="O2109" s="10" t="str">
        <f t="shared" si="79"/>
        <v>12/2025</v>
      </c>
      <c r="P2109" s="10" t="str">
        <f t="shared" si="121"/>
        <v>12/2025</v>
      </c>
      <c r="Q2109" s="15" t="str">
        <f t="array" ref="Q2109">IFERROR(XLOOKUP(N2109,'Classificação'!A:A,'Classificação'!B:B),"")</f>
        <v>DESPESAS ADMINISTRATIVAS</v>
      </c>
      <c r="R2109" s="15" t="str">
        <f t="array" ref="R2109">IFERROR(XLOOKUP(Q2109,'Classificação'!B:B,'Classificação'!C:C),"")</f>
        <v>DESPESAS FIXAS (-)</v>
      </c>
      <c r="S2109" s="15">
        <f t="shared" si="91"/>
        <v>10</v>
      </c>
      <c r="T2109" s="15">
        <f t="shared" si="6"/>
        <v>12</v>
      </c>
      <c r="U2109" s="15">
        <f t="shared" si="7"/>
        <v>2025</v>
      </c>
      <c r="V2109" s="15">
        <f t="shared" si="8"/>
        <v>10</v>
      </c>
      <c r="W2109" s="15">
        <f t="shared" si="9"/>
        <v>12</v>
      </c>
      <c r="X2109" s="15">
        <f t="shared" si="10"/>
        <v>2025</v>
      </c>
    </row>
    <row r="2110">
      <c r="A2110" s="9">
        <v>46001.0</v>
      </c>
      <c r="B2110" s="10"/>
      <c r="C2110" s="9">
        <f t="shared" si="90"/>
        <v>46001</v>
      </c>
      <c r="D2110" s="11" t="s">
        <v>104</v>
      </c>
      <c r="E2110" s="11" t="s">
        <v>25</v>
      </c>
      <c r="F2110" s="11" t="s">
        <v>40</v>
      </c>
      <c r="G2110" s="11" t="s">
        <v>37</v>
      </c>
      <c r="H2110" s="11" t="s">
        <v>413</v>
      </c>
      <c r="I2110" s="12">
        <v>27.5</v>
      </c>
      <c r="J2110" s="13"/>
      <c r="K2110" s="13">
        <f t="shared" si="123"/>
        <v>27.5</v>
      </c>
      <c r="L2110" s="11" t="s">
        <v>29</v>
      </c>
      <c r="M2110" s="14"/>
      <c r="N2110" s="11" t="s">
        <v>105</v>
      </c>
      <c r="O2110" s="10" t="str">
        <f t="shared" si="79"/>
        <v>12/2025</v>
      </c>
      <c r="P2110" s="10" t="str">
        <f t="shared" si="121"/>
        <v>12/2025</v>
      </c>
      <c r="Q2110" s="15" t="str">
        <f t="array" ref="Q2110">IFERROR(XLOOKUP(N2110,'Classificação'!A:A,'Classificação'!B:B),"")</f>
        <v>DESPESAS ADMINISTRATIVAS</v>
      </c>
      <c r="R2110" s="15" t="str">
        <f t="array" ref="R2110">IFERROR(XLOOKUP(Q2110,'Classificação'!B:B,'Classificação'!C:C),"")</f>
        <v>DESPESAS FIXAS (-)</v>
      </c>
      <c r="S2110" s="15">
        <f t="shared" si="91"/>
        <v>10</v>
      </c>
      <c r="T2110" s="15">
        <f t="shared" si="6"/>
        <v>12</v>
      </c>
      <c r="U2110" s="15">
        <f t="shared" si="7"/>
        <v>2025</v>
      </c>
      <c r="V2110" s="15">
        <f t="shared" si="8"/>
        <v>10</v>
      </c>
      <c r="W2110" s="15">
        <f t="shared" si="9"/>
        <v>12</v>
      </c>
      <c r="X2110" s="15">
        <f t="shared" si="10"/>
        <v>2025</v>
      </c>
    </row>
    <row r="2111">
      <c r="A2111" s="32">
        <v>46001.0</v>
      </c>
      <c r="B2111" s="10"/>
      <c r="C2111" s="9">
        <f t="shared" si="90"/>
        <v>46001</v>
      </c>
      <c r="D2111" s="11" t="s">
        <v>1051</v>
      </c>
      <c r="E2111" s="29" t="s">
        <v>25</v>
      </c>
      <c r="F2111" s="11" t="s">
        <v>40</v>
      </c>
      <c r="G2111" s="28" t="s">
        <v>27</v>
      </c>
      <c r="H2111" s="11" t="s">
        <v>1052</v>
      </c>
      <c r="I2111" s="12">
        <v>28.0</v>
      </c>
      <c r="J2111" s="13"/>
      <c r="K2111" s="13">
        <f t="shared" si="123"/>
        <v>28</v>
      </c>
      <c r="L2111" s="11" t="s">
        <v>29</v>
      </c>
      <c r="M2111" s="14"/>
      <c r="N2111" s="11" t="s">
        <v>1053</v>
      </c>
      <c r="O2111" s="10" t="str">
        <f t="shared" si="79"/>
        <v>12/2025</v>
      </c>
      <c r="P2111" s="10" t="str">
        <f t="shared" si="121"/>
        <v>12/2025</v>
      </c>
      <c r="Q2111" s="15" t="str">
        <f t="array" ref="Q2111">IFERROR(XLOOKUP(N2111,'Classificação'!A:A,'Classificação'!B:B),"")</f>
        <v>DESPESAS COM PESSOAL</v>
      </c>
      <c r="R2111" s="15" t="str">
        <f t="array" ref="R2111">IFERROR(XLOOKUP(Q2111,'Classificação'!B:B,'Classificação'!C:C),"")</f>
        <v>DESPESAS FIXAS (-)</v>
      </c>
      <c r="S2111" s="15">
        <f t="shared" si="91"/>
        <v>10</v>
      </c>
      <c r="T2111" s="15">
        <f t="shared" si="6"/>
        <v>12</v>
      </c>
      <c r="U2111" s="15">
        <f t="shared" si="7"/>
        <v>2025</v>
      </c>
      <c r="V2111" s="15">
        <f t="shared" si="8"/>
        <v>10</v>
      </c>
      <c r="W2111" s="15">
        <f t="shared" si="9"/>
        <v>12</v>
      </c>
      <c r="X2111" s="15">
        <f t="shared" si="10"/>
        <v>2025</v>
      </c>
    </row>
    <row r="2112">
      <c r="A2112" s="9">
        <v>46001.0</v>
      </c>
      <c r="B2112" s="10"/>
      <c r="C2112" s="9">
        <f t="shared" si="90"/>
        <v>46001</v>
      </c>
      <c r="D2112" s="11" t="s">
        <v>44</v>
      </c>
      <c r="E2112" s="11" t="s">
        <v>25</v>
      </c>
      <c r="F2112" s="11" t="s">
        <v>45</v>
      </c>
      <c r="G2112" s="11" t="s">
        <v>27</v>
      </c>
      <c r="H2112" s="11" t="s">
        <v>52</v>
      </c>
      <c r="I2112" s="12">
        <v>502.8</v>
      </c>
      <c r="J2112" s="13"/>
      <c r="K2112" s="13">
        <f t="shared" si="123"/>
        <v>502.8</v>
      </c>
      <c r="L2112" s="11" t="s">
        <v>53</v>
      </c>
      <c r="M2112" s="16" t="s">
        <v>1103</v>
      </c>
      <c r="N2112" s="11" t="s">
        <v>55</v>
      </c>
      <c r="O2112" s="10" t="str">
        <f t="shared" si="79"/>
        <v>12/2025</v>
      </c>
      <c r="P2112" s="10" t="str">
        <f t="shared" si="121"/>
        <v>12/2025</v>
      </c>
      <c r="Q2112" s="15" t="str">
        <f t="array" ref="Q2112">IFERROR(XLOOKUP(N2112,'Classificação'!A:A,'Classificação'!B:B),"")</f>
        <v>DESPESAS NÃO OPERACIONAIS</v>
      </c>
      <c r="R2112" s="15" t="str">
        <f t="array" ref="R2112">IFERROR(XLOOKUP(Q2112,'Classificação'!B:B,'Classificação'!C:C),"")</f>
        <v>RESULTADO NÃO OPERACIONAL (+/-)</v>
      </c>
      <c r="S2112" s="15">
        <f t="shared" si="91"/>
        <v>10</v>
      </c>
      <c r="T2112" s="15">
        <f t="shared" si="6"/>
        <v>12</v>
      </c>
      <c r="U2112" s="15">
        <f t="shared" si="7"/>
        <v>2025</v>
      </c>
      <c r="V2112" s="15">
        <f t="shared" si="8"/>
        <v>10</v>
      </c>
      <c r="W2112" s="15">
        <f t="shared" si="9"/>
        <v>12</v>
      </c>
      <c r="X2112" s="15">
        <f t="shared" si="10"/>
        <v>2025</v>
      </c>
    </row>
    <row r="2113">
      <c r="A2113" s="32">
        <v>46001.0</v>
      </c>
      <c r="B2113" s="10"/>
      <c r="C2113" s="9">
        <f t="shared" si="90"/>
        <v>46001</v>
      </c>
      <c r="D2113" s="11" t="s">
        <v>1104</v>
      </c>
      <c r="E2113" s="29" t="s">
        <v>25</v>
      </c>
      <c r="F2113" s="11" t="s">
        <v>40</v>
      </c>
      <c r="G2113" s="11" t="s">
        <v>37</v>
      </c>
      <c r="H2113" s="11" t="s">
        <v>1105</v>
      </c>
      <c r="I2113" s="12">
        <v>873.82</v>
      </c>
      <c r="J2113" s="13"/>
      <c r="K2113" s="13">
        <f t="shared" si="123"/>
        <v>873.82</v>
      </c>
      <c r="L2113" s="11" t="s">
        <v>53</v>
      </c>
      <c r="M2113" s="16" t="s">
        <v>1106</v>
      </c>
      <c r="N2113" s="11" t="s">
        <v>73</v>
      </c>
      <c r="O2113" s="10" t="str">
        <f t="shared" si="79"/>
        <v>12/2025</v>
      </c>
      <c r="P2113" s="10" t="str">
        <f t="shared" si="121"/>
        <v>12/2025</v>
      </c>
      <c r="Q2113" s="15" t="str">
        <f t="array" ref="Q2113">IFERROR(XLOOKUP(N2113,'Classificação'!A:A,'Classificação'!B:B),"")</f>
        <v>DESPESAS NÃO OPERACIONAIS</v>
      </c>
      <c r="R2113" s="15" t="str">
        <f t="array" ref="R2113">IFERROR(XLOOKUP(Q2113,'Classificação'!B:B,'Classificação'!C:C),"")</f>
        <v>RESULTADO NÃO OPERACIONAL (+/-)</v>
      </c>
      <c r="S2113" s="15">
        <f t="shared" si="91"/>
        <v>10</v>
      </c>
      <c r="T2113" s="15">
        <f t="shared" si="6"/>
        <v>12</v>
      </c>
      <c r="U2113" s="15">
        <f t="shared" si="7"/>
        <v>2025</v>
      </c>
      <c r="V2113" s="15">
        <f t="shared" si="8"/>
        <v>10</v>
      </c>
      <c r="W2113" s="15">
        <f t="shared" si="9"/>
        <v>12</v>
      </c>
      <c r="X2113" s="15">
        <f t="shared" si="10"/>
        <v>2025</v>
      </c>
    </row>
    <row r="2114">
      <c r="A2114" s="9">
        <v>46002.0</v>
      </c>
      <c r="B2114" s="10"/>
      <c r="C2114" s="9">
        <f t="shared" si="90"/>
        <v>46002</v>
      </c>
      <c r="D2114" s="11" t="s">
        <v>65</v>
      </c>
      <c r="E2114" s="11" t="s">
        <v>25</v>
      </c>
      <c r="F2114" s="11" t="s">
        <v>45</v>
      </c>
      <c r="G2114" s="11" t="s">
        <v>66</v>
      </c>
      <c r="H2114" s="11" t="s">
        <v>67</v>
      </c>
      <c r="I2114" s="12">
        <v>247.19</v>
      </c>
      <c r="J2114" s="13"/>
      <c r="K2114" s="13">
        <f t="shared" si="123"/>
        <v>247.19</v>
      </c>
      <c r="L2114" s="11" t="s">
        <v>29</v>
      </c>
      <c r="M2114" s="14"/>
      <c r="N2114" s="11" t="s">
        <v>68</v>
      </c>
      <c r="O2114" s="10" t="str">
        <f t="shared" si="79"/>
        <v>12/2025</v>
      </c>
      <c r="P2114" s="10" t="str">
        <f t="shared" si="121"/>
        <v>12/2025</v>
      </c>
      <c r="Q2114" s="15" t="str">
        <f t="array" ref="Q2114">IFERROR(XLOOKUP(N2114,'Classificação'!A:A,'Classificação'!B:B),"")</f>
        <v>FRETE DE VENDAS</v>
      </c>
      <c r="R2114" s="15" t="str">
        <f t="array" ref="R2114">IFERROR(XLOOKUP(Q2114,'Classificação'!B:B,'Classificação'!C:C),"")</f>
        <v>CUSTOS VARIÁVEIS</v>
      </c>
      <c r="S2114" s="15">
        <f t="shared" si="91"/>
        <v>11</v>
      </c>
      <c r="T2114" s="15">
        <f t="shared" si="6"/>
        <v>12</v>
      </c>
      <c r="U2114" s="15">
        <f t="shared" si="7"/>
        <v>2025</v>
      </c>
      <c r="V2114" s="15">
        <f t="shared" si="8"/>
        <v>11</v>
      </c>
      <c r="W2114" s="15">
        <f t="shared" si="9"/>
        <v>12</v>
      </c>
      <c r="X2114" s="15">
        <f t="shared" si="10"/>
        <v>2025</v>
      </c>
    </row>
    <row r="2115">
      <c r="A2115" s="9">
        <v>46003.0</v>
      </c>
      <c r="B2115" s="10"/>
      <c r="C2115" s="9">
        <f t="shared" si="90"/>
        <v>46003</v>
      </c>
      <c r="D2115" s="11" t="s">
        <v>56</v>
      </c>
      <c r="E2115" s="11" t="s">
        <v>25</v>
      </c>
      <c r="F2115" s="11" t="s">
        <v>26</v>
      </c>
      <c r="G2115" s="11" t="s">
        <v>37</v>
      </c>
      <c r="H2115" s="11" t="s">
        <v>57</v>
      </c>
      <c r="I2115" s="12">
        <v>50.0</v>
      </c>
      <c r="J2115" s="13"/>
      <c r="K2115" s="13">
        <f t="shared" si="123"/>
        <v>50</v>
      </c>
      <c r="L2115" s="11" t="s">
        <v>29</v>
      </c>
      <c r="M2115" s="14"/>
      <c r="N2115" s="11" t="s">
        <v>58</v>
      </c>
      <c r="O2115" s="10" t="str">
        <f t="shared" si="79"/>
        <v>12/2025</v>
      </c>
      <c r="P2115" s="10" t="str">
        <f t="shared" si="121"/>
        <v>12/2025</v>
      </c>
      <c r="Q2115" s="15" t="str">
        <f t="array" ref="Q2115">IFERROR(XLOOKUP(N2115,'Classificação'!A:A,'Classificação'!B:B),"")</f>
        <v>DESPESAS ADMINISTRATIVAS</v>
      </c>
      <c r="R2115" s="15" t="str">
        <f t="array" ref="R2115">IFERROR(XLOOKUP(Q2115,'Classificação'!B:B,'Classificação'!C:C),"")</f>
        <v>DESPESAS FIXAS (-)</v>
      </c>
      <c r="S2115" s="15">
        <f t="shared" si="91"/>
        <v>12</v>
      </c>
      <c r="T2115" s="15">
        <f t="shared" si="6"/>
        <v>12</v>
      </c>
      <c r="U2115" s="15">
        <f t="shared" si="7"/>
        <v>2025</v>
      </c>
      <c r="V2115" s="15">
        <f t="shared" si="8"/>
        <v>12</v>
      </c>
      <c r="W2115" s="15">
        <f t="shared" si="9"/>
        <v>12</v>
      </c>
      <c r="X2115" s="15">
        <f t="shared" si="10"/>
        <v>2025</v>
      </c>
    </row>
    <row r="2116">
      <c r="A2116" s="32">
        <v>46003.0</v>
      </c>
      <c r="B2116" s="9">
        <v>45680.0</v>
      </c>
      <c r="C2116" s="9">
        <f t="shared" si="90"/>
        <v>46003</v>
      </c>
      <c r="D2116" s="11" t="s">
        <v>544</v>
      </c>
      <c r="E2116" s="11" t="s">
        <v>25</v>
      </c>
      <c r="F2116" s="11" t="s">
        <v>26</v>
      </c>
      <c r="G2116" s="11" t="s">
        <v>37</v>
      </c>
      <c r="H2116" s="11" t="s">
        <v>545</v>
      </c>
      <c r="I2116" s="12">
        <v>846.46</v>
      </c>
      <c r="J2116" s="13"/>
      <c r="K2116" s="13">
        <f t="shared" si="123"/>
        <v>846.46</v>
      </c>
      <c r="L2116" s="11" t="s">
        <v>53</v>
      </c>
      <c r="M2116" s="17">
        <v>46002.0</v>
      </c>
      <c r="N2116" s="11" t="s">
        <v>95</v>
      </c>
      <c r="O2116" s="10" t="str">
        <f t="shared" si="79"/>
        <v>12/2025</v>
      </c>
      <c r="P2116" s="10" t="str">
        <f t="shared" si="121"/>
        <v>12/2025</v>
      </c>
      <c r="Q2116" s="15" t="str">
        <f t="array" ref="Q2116">IFERROR(XLOOKUP(N2116,'Classificação'!A:A,'Classificação'!B:B),"")</f>
        <v>DESPESAS NÃO OPERACIONAIS</v>
      </c>
      <c r="R2116" s="15" t="str">
        <f t="array" ref="R2116">IFERROR(XLOOKUP(Q2116,'Classificação'!B:B,'Classificação'!C:C),"")</f>
        <v>RESULTADO NÃO OPERACIONAL (+/-)</v>
      </c>
      <c r="S2116" s="15">
        <f t="shared" si="91"/>
        <v>12</v>
      </c>
      <c r="T2116" s="15">
        <f t="shared" si="6"/>
        <v>12</v>
      </c>
      <c r="U2116" s="15">
        <f t="shared" si="7"/>
        <v>2025</v>
      </c>
      <c r="V2116" s="15">
        <f t="shared" si="8"/>
        <v>12</v>
      </c>
      <c r="W2116" s="15">
        <f t="shared" si="9"/>
        <v>12</v>
      </c>
      <c r="X2116" s="15">
        <f t="shared" si="10"/>
        <v>2025</v>
      </c>
    </row>
    <row r="2117">
      <c r="A2117" s="9">
        <v>46006.0</v>
      </c>
      <c r="B2117" s="10"/>
      <c r="C2117" s="9">
        <f t="shared" si="90"/>
        <v>46006</v>
      </c>
      <c r="D2117" s="11" t="s">
        <v>80</v>
      </c>
      <c r="E2117" s="11" t="s">
        <v>25</v>
      </c>
      <c r="F2117" s="11" t="s">
        <v>32</v>
      </c>
      <c r="G2117" s="11" t="s">
        <v>27</v>
      </c>
      <c r="H2117" s="11" t="s">
        <v>855</v>
      </c>
      <c r="I2117" s="12">
        <v>1274.65</v>
      </c>
      <c r="J2117" s="13"/>
      <c r="K2117" s="13">
        <f t="shared" si="123"/>
        <v>1274.65</v>
      </c>
      <c r="L2117" s="11" t="s">
        <v>34</v>
      </c>
      <c r="M2117" s="14"/>
      <c r="N2117" s="11" t="s">
        <v>856</v>
      </c>
      <c r="O2117" s="10" t="str">
        <f t="shared" si="79"/>
        <v>12/2025</v>
      </c>
      <c r="P2117" s="10" t="str">
        <f t="shared" si="121"/>
        <v>12/2025</v>
      </c>
      <c r="Q2117" s="15" t="str">
        <f t="array" ref="Q2117">IFERROR(XLOOKUP(N2117,'Classificação'!A:A,'Classificação'!B:B),"")</f>
        <v>DESPESAS COM PESSOAL</v>
      </c>
      <c r="R2117" s="15" t="str">
        <f t="array" ref="R2117">IFERROR(XLOOKUP(Q2117,'Classificação'!B:B,'Classificação'!C:C),"")</f>
        <v>DESPESAS FIXAS (-)</v>
      </c>
      <c r="S2117" s="15">
        <f t="shared" si="91"/>
        <v>15</v>
      </c>
      <c r="T2117" s="15">
        <f t="shared" si="6"/>
        <v>12</v>
      </c>
      <c r="U2117" s="15">
        <f t="shared" si="7"/>
        <v>2025</v>
      </c>
      <c r="V2117" s="15">
        <f t="shared" si="8"/>
        <v>15</v>
      </c>
      <c r="W2117" s="15">
        <f t="shared" si="9"/>
        <v>12</v>
      </c>
      <c r="X2117" s="15">
        <f t="shared" si="10"/>
        <v>2025</v>
      </c>
    </row>
    <row r="2118">
      <c r="A2118" s="9">
        <v>46006.0</v>
      </c>
      <c r="B2118" s="10"/>
      <c r="C2118" s="9">
        <f t="shared" si="90"/>
        <v>46006</v>
      </c>
      <c r="D2118" s="11" t="s">
        <v>44</v>
      </c>
      <c r="E2118" s="11" t="s">
        <v>25</v>
      </c>
      <c r="F2118" s="11" t="s">
        <v>45</v>
      </c>
      <c r="G2118" s="11" t="s">
        <v>27</v>
      </c>
      <c r="H2118" s="11" t="s">
        <v>476</v>
      </c>
      <c r="I2118" s="12">
        <v>4983.74</v>
      </c>
      <c r="J2118" s="13"/>
      <c r="K2118" s="13">
        <f t="shared" si="123"/>
        <v>4983.74</v>
      </c>
      <c r="L2118" s="11" t="s">
        <v>53</v>
      </c>
      <c r="M2118" s="16" t="s">
        <v>352</v>
      </c>
      <c r="N2118" s="11" t="s">
        <v>73</v>
      </c>
      <c r="O2118" s="10" t="str">
        <f t="shared" si="79"/>
        <v>12/2025</v>
      </c>
      <c r="P2118" s="10" t="str">
        <f t="shared" si="121"/>
        <v>12/2025</v>
      </c>
      <c r="Q2118" s="15" t="str">
        <f t="array" ref="Q2118">IFERROR(XLOOKUP(N2118,'Classificação'!A:A,'Classificação'!B:B),"")</f>
        <v>DESPESAS NÃO OPERACIONAIS</v>
      </c>
      <c r="R2118" s="15" t="str">
        <f t="array" ref="R2118">IFERROR(XLOOKUP(Q2118,'Classificação'!B:B,'Classificação'!C:C),"")</f>
        <v>RESULTADO NÃO OPERACIONAL (+/-)</v>
      </c>
      <c r="S2118" s="15">
        <f t="shared" si="91"/>
        <v>15</v>
      </c>
      <c r="T2118" s="15">
        <f t="shared" si="6"/>
        <v>12</v>
      </c>
      <c r="U2118" s="15">
        <f t="shared" si="7"/>
        <v>2025</v>
      </c>
      <c r="V2118" s="15">
        <f t="shared" si="8"/>
        <v>15</v>
      </c>
      <c r="W2118" s="15">
        <f t="shared" si="9"/>
        <v>12</v>
      </c>
      <c r="X2118" s="15">
        <f t="shared" si="10"/>
        <v>2025</v>
      </c>
    </row>
    <row r="2119">
      <c r="A2119" s="9">
        <v>46006.0</v>
      </c>
      <c r="B2119" s="10"/>
      <c r="C2119" s="9">
        <f t="shared" si="90"/>
        <v>46006</v>
      </c>
      <c r="D2119" s="11" t="s">
        <v>79</v>
      </c>
      <c r="E2119" s="11" t="s">
        <v>25</v>
      </c>
      <c r="F2119" s="11" t="s">
        <v>26</v>
      </c>
      <c r="G2119" s="11" t="s">
        <v>37</v>
      </c>
      <c r="I2119" s="12">
        <v>500.0</v>
      </c>
      <c r="J2119" s="13"/>
      <c r="K2119" s="13">
        <f t="shared" si="123"/>
        <v>500</v>
      </c>
      <c r="L2119" s="11" t="s">
        <v>29</v>
      </c>
      <c r="M2119" s="14"/>
      <c r="N2119" s="11" t="s">
        <v>58</v>
      </c>
      <c r="O2119" s="10" t="str">
        <f t="shared" si="79"/>
        <v>12/2025</v>
      </c>
      <c r="P2119" s="10" t="str">
        <f t="shared" si="121"/>
        <v>12/2025</v>
      </c>
      <c r="Q2119" s="15" t="str">
        <f t="array" ref="Q2119">IFERROR(XLOOKUP(N2119,'Classificação'!A:A,'Classificação'!B:B),"")</f>
        <v>DESPESAS ADMINISTRATIVAS</v>
      </c>
      <c r="R2119" s="15" t="str">
        <f t="array" ref="R2119">IFERROR(XLOOKUP(Q2119,'Classificação'!B:B,'Classificação'!C:C),"")</f>
        <v>DESPESAS FIXAS (-)</v>
      </c>
      <c r="S2119" s="15">
        <f t="shared" si="91"/>
        <v>15</v>
      </c>
      <c r="T2119" s="15">
        <f t="shared" si="6"/>
        <v>12</v>
      </c>
      <c r="U2119" s="15">
        <f t="shared" si="7"/>
        <v>2025</v>
      </c>
      <c r="V2119" s="15">
        <f t="shared" si="8"/>
        <v>15</v>
      </c>
      <c r="W2119" s="15">
        <f t="shared" si="9"/>
        <v>12</v>
      </c>
      <c r="X2119" s="15">
        <f t="shared" si="10"/>
        <v>2025</v>
      </c>
    </row>
    <row r="2120">
      <c r="A2120" s="9">
        <v>46006.0</v>
      </c>
      <c r="B2120" s="10"/>
      <c r="C2120" s="9">
        <f t="shared" si="90"/>
        <v>46006</v>
      </c>
      <c r="D2120" s="11" t="s">
        <v>80</v>
      </c>
      <c r="E2120" s="11" t="s">
        <v>25</v>
      </c>
      <c r="F2120" s="11" t="s">
        <v>32</v>
      </c>
      <c r="G2120" s="11" t="s">
        <v>27</v>
      </c>
      <c r="I2120" s="12">
        <v>826.0</v>
      </c>
      <c r="J2120" s="13"/>
      <c r="K2120" s="13">
        <f t="shared" si="123"/>
        <v>826</v>
      </c>
      <c r="L2120" s="11" t="s">
        <v>29</v>
      </c>
      <c r="M2120" s="14"/>
      <c r="N2120" s="11" t="s">
        <v>75</v>
      </c>
      <c r="O2120" s="10" t="str">
        <f t="shared" si="79"/>
        <v>12/2025</v>
      </c>
      <c r="P2120" s="10" t="str">
        <f t="shared" si="121"/>
        <v>12/2025</v>
      </c>
      <c r="Q2120" s="15" t="str">
        <f t="array" ref="Q2120">IFERROR(XLOOKUP(N2120,'Classificação'!A:A,'Classificação'!B:B),"")</f>
        <v>DESPESAS COM PESSOAL</v>
      </c>
      <c r="R2120" s="15" t="str">
        <f t="array" ref="R2120">IFERROR(XLOOKUP(Q2120,'Classificação'!B:B,'Classificação'!C:C),"")</f>
        <v>DESPESAS FIXAS (-)</v>
      </c>
      <c r="S2120" s="15">
        <f t="shared" si="91"/>
        <v>15</v>
      </c>
      <c r="T2120" s="15">
        <f t="shared" si="6"/>
        <v>12</v>
      </c>
      <c r="U2120" s="15">
        <f t="shared" si="7"/>
        <v>2025</v>
      </c>
      <c r="V2120" s="15">
        <f t="shared" si="8"/>
        <v>15</v>
      </c>
      <c r="W2120" s="15">
        <f t="shared" si="9"/>
        <v>12</v>
      </c>
      <c r="X2120" s="15">
        <f t="shared" si="10"/>
        <v>2025</v>
      </c>
    </row>
    <row r="2121">
      <c r="A2121" s="9">
        <v>46006.0</v>
      </c>
      <c r="B2121" s="10"/>
      <c r="C2121" s="9">
        <f t="shared" si="90"/>
        <v>46006</v>
      </c>
      <c r="D2121" s="11" t="s">
        <v>83</v>
      </c>
      <c r="E2121" s="11" t="s">
        <v>25</v>
      </c>
      <c r="F2121" s="11" t="s">
        <v>32</v>
      </c>
      <c r="G2121" s="11" t="s">
        <v>27</v>
      </c>
      <c r="I2121" s="12">
        <v>848.0</v>
      </c>
      <c r="J2121" s="13"/>
      <c r="K2121" s="13">
        <f t="shared" si="123"/>
        <v>848</v>
      </c>
      <c r="L2121" s="11" t="s">
        <v>29</v>
      </c>
      <c r="M2121" s="14"/>
      <c r="N2121" s="11" t="s">
        <v>75</v>
      </c>
      <c r="O2121" s="10" t="str">
        <f t="shared" si="79"/>
        <v>12/2025</v>
      </c>
      <c r="P2121" s="10" t="str">
        <f t="shared" si="121"/>
        <v>12/2025</v>
      </c>
      <c r="Q2121" s="15" t="str">
        <f t="array" ref="Q2121">IFERROR(XLOOKUP(N2121,'Classificação'!A:A,'Classificação'!B:B),"")</f>
        <v>DESPESAS COM PESSOAL</v>
      </c>
      <c r="R2121" s="15" t="str">
        <f t="array" ref="R2121">IFERROR(XLOOKUP(Q2121,'Classificação'!B:B,'Classificação'!C:C),"")</f>
        <v>DESPESAS FIXAS (-)</v>
      </c>
      <c r="S2121" s="15">
        <f t="shared" si="91"/>
        <v>15</v>
      </c>
      <c r="T2121" s="15">
        <f t="shared" si="6"/>
        <v>12</v>
      </c>
      <c r="U2121" s="15">
        <f t="shared" si="7"/>
        <v>2025</v>
      </c>
      <c r="V2121" s="15">
        <f t="shared" si="8"/>
        <v>15</v>
      </c>
      <c r="W2121" s="15">
        <f t="shared" si="9"/>
        <v>12</v>
      </c>
      <c r="X2121" s="15">
        <f t="shared" si="10"/>
        <v>2025</v>
      </c>
    </row>
    <row r="2122">
      <c r="A2122" s="26">
        <v>46006.0</v>
      </c>
      <c r="B2122" s="28"/>
      <c r="C2122" s="27">
        <f t="shared" si="90"/>
        <v>46006</v>
      </c>
      <c r="D2122" s="29" t="s">
        <v>1094</v>
      </c>
      <c r="E2122" s="29" t="s">
        <v>25</v>
      </c>
      <c r="F2122" s="29" t="s">
        <v>26</v>
      </c>
      <c r="G2122" s="29" t="s">
        <v>37</v>
      </c>
      <c r="H2122" s="28" t="s">
        <v>606</v>
      </c>
      <c r="I2122" s="24">
        <v>1000.0</v>
      </c>
      <c r="J2122" s="34"/>
      <c r="K2122" s="37">
        <f t="shared" ref="K2122:K2123" si="124">IF(E2122="pago",(I2122-J2122),"")</f>
        <v>1000</v>
      </c>
      <c r="L2122" s="28" t="s">
        <v>29</v>
      </c>
      <c r="M2122" s="28"/>
      <c r="N2122" s="28" t="s">
        <v>75</v>
      </c>
      <c r="O2122" s="10" t="str">
        <f t="shared" si="79"/>
        <v>12/2025</v>
      </c>
      <c r="P2122" s="10" t="str">
        <f t="shared" si="121"/>
        <v>12/2025</v>
      </c>
      <c r="Q2122" s="15" t="str">
        <f t="array" ref="Q2122">IFERROR(XLOOKUP(N2122,'Classificação'!A:A,'Classificação'!B:B),"")</f>
        <v>DESPESAS COM PESSOAL</v>
      </c>
      <c r="R2122" s="15" t="str">
        <f t="array" ref="R2122">IFERROR(XLOOKUP(Q2122,'Classificação'!B:B,'Classificação'!C:C),"")</f>
        <v>DESPESAS FIXAS (-)</v>
      </c>
      <c r="S2122" s="15">
        <f t="shared" si="91"/>
        <v>15</v>
      </c>
      <c r="T2122" s="15">
        <f t="shared" si="6"/>
        <v>12</v>
      </c>
      <c r="U2122" s="15">
        <f t="shared" si="7"/>
        <v>2025</v>
      </c>
      <c r="V2122" s="15">
        <f t="shared" si="8"/>
        <v>15</v>
      </c>
      <c r="W2122" s="15">
        <f t="shared" si="9"/>
        <v>12</v>
      </c>
      <c r="X2122" s="15">
        <f t="shared" si="10"/>
        <v>2025</v>
      </c>
    </row>
    <row r="2123">
      <c r="A2123" s="9">
        <v>46006.0</v>
      </c>
      <c r="B2123" s="32">
        <v>45642.0</v>
      </c>
      <c r="C2123" s="9">
        <f t="shared" si="90"/>
        <v>46006</v>
      </c>
      <c r="D2123" s="11" t="s">
        <v>44</v>
      </c>
      <c r="E2123" s="11" t="s">
        <v>25</v>
      </c>
      <c r="F2123" s="11" t="s">
        <v>45</v>
      </c>
      <c r="G2123" s="11" t="s">
        <v>27</v>
      </c>
      <c r="H2123" s="50" t="s">
        <v>1107</v>
      </c>
      <c r="I2123" s="12">
        <v>39320.81</v>
      </c>
      <c r="J2123" s="13"/>
      <c r="K2123" s="37">
        <f t="shared" si="124"/>
        <v>39320.81</v>
      </c>
      <c r="L2123" s="11" t="s">
        <v>34</v>
      </c>
      <c r="M2123" s="14"/>
      <c r="N2123" s="11" t="s">
        <v>35</v>
      </c>
      <c r="O2123" s="10" t="str">
        <f t="shared" si="79"/>
        <v>12/2025</v>
      </c>
      <c r="P2123" s="10" t="str">
        <f t="shared" si="121"/>
        <v>12/2025</v>
      </c>
      <c r="Q2123" s="15" t="str">
        <f t="array" ref="Q2123">IFERROR(XLOOKUP(N2123,'Classificação'!A:A,'Classificação'!B:B),"")</f>
        <v>COMPRA DE MERCADORIA</v>
      </c>
      <c r="R2123" s="15" t="str">
        <f t="array" ref="R2123">IFERROR(XLOOKUP(Q2123,'Classificação'!B:B,'Classificação'!C:C),"")</f>
        <v>CUSTOS VARIÁVEIS</v>
      </c>
      <c r="S2123" s="15">
        <f t="shared" si="91"/>
        <v>15</v>
      </c>
      <c r="T2123" s="15">
        <f t="shared" si="6"/>
        <v>12</v>
      </c>
      <c r="U2123" s="15">
        <f t="shared" si="7"/>
        <v>2025</v>
      </c>
      <c r="V2123" s="15">
        <f t="shared" si="8"/>
        <v>15</v>
      </c>
      <c r="W2123" s="15">
        <f t="shared" si="9"/>
        <v>12</v>
      </c>
      <c r="X2123" s="15">
        <f t="shared" si="10"/>
        <v>2025</v>
      </c>
    </row>
    <row r="2124">
      <c r="A2124" s="32">
        <v>46006.0</v>
      </c>
      <c r="B2124" s="10"/>
      <c r="C2124" s="9">
        <f t="shared" si="90"/>
        <v>46006</v>
      </c>
      <c r="D2124" s="28" t="s">
        <v>44</v>
      </c>
      <c r="E2124" s="29" t="s">
        <v>25</v>
      </c>
      <c r="F2124" s="11" t="s">
        <v>45</v>
      </c>
      <c r="G2124" s="28" t="s">
        <v>27</v>
      </c>
      <c r="H2124" s="11" t="s">
        <v>1108</v>
      </c>
      <c r="I2124" s="12">
        <v>3061.9</v>
      </c>
      <c r="J2124" s="13"/>
      <c r="K2124" s="13">
        <f t="shared" ref="K2124:K2212" si="125">if(E2124="pago",(I2124-J2124),"")</f>
        <v>3061.9</v>
      </c>
      <c r="L2124" s="11" t="s">
        <v>34</v>
      </c>
      <c r="M2124" s="14"/>
      <c r="N2124" s="11" t="s">
        <v>448</v>
      </c>
      <c r="O2124" s="10" t="str">
        <f t="shared" si="79"/>
        <v>12/2025</v>
      </c>
      <c r="P2124" s="10" t="str">
        <f t="shared" si="121"/>
        <v>12/2025</v>
      </c>
      <c r="Q2124" s="15" t="str">
        <f t="array" ref="Q2124">IFERROR(XLOOKUP(N2124,'Classificação'!A:A,'Classificação'!B:B),"")</f>
        <v>DESPESAS ADMINISTRATIVAS</v>
      </c>
      <c r="R2124" s="15" t="str">
        <f t="array" ref="R2124">IFERROR(XLOOKUP(Q2124,'Classificação'!B:B,'Classificação'!C:C),"")</f>
        <v>DESPESAS FIXAS (-)</v>
      </c>
      <c r="S2124" s="15">
        <f t="shared" si="91"/>
        <v>15</v>
      </c>
      <c r="T2124" s="15">
        <f t="shared" si="6"/>
        <v>12</v>
      </c>
      <c r="U2124" s="15">
        <f t="shared" si="7"/>
        <v>2025</v>
      </c>
      <c r="V2124" s="15">
        <f t="shared" si="8"/>
        <v>15</v>
      </c>
      <c r="W2124" s="15">
        <f t="shared" si="9"/>
        <v>12</v>
      </c>
      <c r="X2124" s="15">
        <f t="shared" si="10"/>
        <v>2025</v>
      </c>
    </row>
    <row r="2125">
      <c r="A2125" s="32">
        <v>46006.0</v>
      </c>
      <c r="B2125" s="32">
        <v>45947.0</v>
      </c>
      <c r="C2125" s="9">
        <f t="shared" si="90"/>
        <v>46006</v>
      </c>
      <c r="D2125" s="11" t="s">
        <v>86</v>
      </c>
      <c r="E2125" s="29" t="s">
        <v>25</v>
      </c>
      <c r="F2125" s="11" t="s">
        <v>87</v>
      </c>
      <c r="G2125" s="28" t="s">
        <v>27</v>
      </c>
      <c r="H2125" s="11" t="s">
        <v>1109</v>
      </c>
      <c r="I2125" s="12">
        <v>1270.0</v>
      </c>
      <c r="J2125" s="13"/>
      <c r="K2125" s="13">
        <f t="shared" si="125"/>
        <v>1270</v>
      </c>
      <c r="L2125" s="11" t="s">
        <v>53</v>
      </c>
      <c r="M2125" s="17">
        <v>45749.0</v>
      </c>
      <c r="N2125" s="11" t="s">
        <v>35</v>
      </c>
      <c r="O2125" s="10" t="str">
        <f t="shared" si="79"/>
        <v>12/2025</v>
      </c>
      <c r="P2125" s="10" t="str">
        <f t="shared" si="121"/>
        <v>12/2025</v>
      </c>
      <c r="Q2125" s="15" t="str">
        <f t="array" ref="Q2125">IFERROR(XLOOKUP(N2125,'Classificação'!A:A,'Classificação'!B:B),"")</f>
        <v>COMPRA DE MERCADORIA</v>
      </c>
      <c r="R2125" s="15" t="str">
        <f t="array" ref="R2125">IFERROR(XLOOKUP(Q2125,'Classificação'!B:B,'Classificação'!C:C),"")</f>
        <v>CUSTOS VARIÁVEIS</v>
      </c>
      <c r="S2125" s="15">
        <f t="shared" si="91"/>
        <v>15</v>
      </c>
      <c r="T2125" s="15">
        <f t="shared" si="6"/>
        <v>12</v>
      </c>
      <c r="U2125" s="15">
        <f t="shared" si="7"/>
        <v>2025</v>
      </c>
      <c r="V2125" s="15">
        <f t="shared" si="8"/>
        <v>15</v>
      </c>
      <c r="W2125" s="15">
        <f t="shared" si="9"/>
        <v>12</v>
      </c>
      <c r="X2125" s="15">
        <f t="shared" si="10"/>
        <v>2025</v>
      </c>
    </row>
    <row r="2126">
      <c r="A2126" s="32">
        <v>46006.0</v>
      </c>
      <c r="B2126" s="10"/>
      <c r="C2126" s="9">
        <f t="shared" si="90"/>
        <v>46006</v>
      </c>
      <c r="D2126" s="28" t="s">
        <v>44</v>
      </c>
      <c r="E2126" s="29" t="s">
        <v>25</v>
      </c>
      <c r="F2126" s="11" t="s">
        <v>45</v>
      </c>
      <c r="G2126" s="28" t="s">
        <v>27</v>
      </c>
      <c r="H2126" s="11" t="s">
        <v>1110</v>
      </c>
      <c r="I2126" s="31">
        <v>275.0</v>
      </c>
      <c r="J2126" s="13"/>
      <c r="K2126" s="13">
        <f t="shared" si="125"/>
        <v>275</v>
      </c>
      <c r="L2126" s="11" t="s">
        <v>34</v>
      </c>
      <c r="M2126" s="14"/>
      <c r="N2126" s="11" t="s">
        <v>47</v>
      </c>
      <c r="O2126" s="10" t="str">
        <f t="shared" si="79"/>
        <v>12/2025</v>
      </c>
      <c r="P2126" s="10" t="str">
        <f t="shared" si="121"/>
        <v>12/2025</v>
      </c>
      <c r="Q2126" s="15" t="str">
        <f t="array" ref="Q2126">IFERROR(XLOOKUP(N2126,'Classificação'!A:A,'Classificação'!B:B),"")</f>
        <v>DESPESAS NÃO OPERACIONAIS</v>
      </c>
      <c r="R2126" s="15" t="str">
        <f t="array" ref="R2126">IFERROR(XLOOKUP(Q2126,'Classificação'!B:B,'Classificação'!C:C),"")</f>
        <v>RESULTADO NÃO OPERACIONAL (+/-)</v>
      </c>
      <c r="S2126" s="15">
        <f t="shared" si="91"/>
        <v>15</v>
      </c>
      <c r="T2126" s="15">
        <f t="shared" si="6"/>
        <v>12</v>
      </c>
      <c r="U2126" s="15">
        <f t="shared" si="7"/>
        <v>2025</v>
      </c>
      <c r="V2126" s="15">
        <f t="shared" si="8"/>
        <v>15</v>
      </c>
      <c r="W2126" s="15">
        <f t="shared" si="9"/>
        <v>12</v>
      </c>
      <c r="X2126" s="15">
        <f t="shared" si="10"/>
        <v>2025</v>
      </c>
    </row>
    <row r="2127">
      <c r="A2127" s="32">
        <v>46006.0</v>
      </c>
      <c r="B2127" s="10"/>
      <c r="C2127" s="9">
        <f t="shared" si="90"/>
        <v>46006</v>
      </c>
      <c r="D2127" s="28" t="s">
        <v>44</v>
      </c>
      <c r="E2127" s="29" t="s">
        <v>25</v>
      </c>
      <c r="F2127" s="11" t="s">
        <v>45</v>
      </c>
      <c r="G2127" s="28" t="s">
        <v>27</v>
      </c>
      <c r="H2127" s="11" t="s">
        <v>1110</v>
      </c>
      <c r="I2127" s="31">
        <v>275.0</v>
      </c>
      <c r="J2127" s="13"/>
      <c r="K2127" s="13">
        <f t="shared" si="125"/>
        <v>275</v>
      </c>
      <c r="L2127" s="11" t="s">
        <v>34</v>
      </c>
      <c r="M2127" s="14"/>
      <c r="N2127" s="11" t="s">
        <v>47</v>
      </c>
      <c r="O2127" s="10" t="str">
        <f t="shared" si="79"/>
        <v>12/2025</v>
      </c>
      <c r="P2127" s="10" t="str">
        <f t="shared" si="121"/>
        <v>12/2025</v>
      </c>
      <c r="Q2127" s="15" t="str">
        <f t="array" ref="Q2127">IFERROR(XLOOKUP(N2127,'Classificação'!A:A,'Classificação'!B:B),"")</f>
        <v>DESPESAS NÃO OPERACIONAIS</v>
      </c>
      <c r="R2127" s="15" t="str">
        <f t="array" ref="R2127">IFERROR(XLOOKUP(Q2127,'Classificação'!B:B,'Classificação'!C:C),"")</f>
        <v>RESULTADO NÃO OPERACIONAL (+/-)</v>
      </c>
      <c r="S2127" s="15">
        <f t="shared" si="91"/>
        <v>15</v>
      </c>
      <c r="T2127" s="15">
        <f t="shared" si="6"/>
        <v>12</v>
      </c>
      <c r="U2127" s="15">
        <f t="shared" si="7"/>
        <v>2025</v>
      </c>
      <c r="V2127" s="15">
        <f t="shared" si="8"/>
        <v>15</v>
      </c>
      <c r="W2127" s="15">
        <f t="shared" si="9"/>
        <v>12</v>
      </c>
      <c r="X2127" s="15">
        <f t="shared" si="10"/>
        <v>2025</v>
      </c>
    </row>
    <row r="2128">
      <c r="A2128" s="32">
        <v>46006.0</v>
      </c>
      <c r="B2128" s="10"/>
      <c r="C2128" s="9">
        <f t="shared" si="90"/>
        <v>46006</v>
      </c>
      <c r="D2128" s="28" t="s">
        <v>44</v>
      </c>
      <c r="E2128" s="29" t="s">
        <v>25</v>
      </c>
      <c r="F2128" s="11" t="s">
        <v>45</v>
      </c>
      <c r="G2128" s="28" t="s">
        <v>27</v>
      </c>
      <c r="H2128" s="11" t="s">
        <v>1111</v>
      </c>
      <c r="I2128" s="31">
        <v>383.07</v>
      </c>
      <c r="J2128" s="13"/>
      <c r="K2128" s="13">
        <f t="shared" si="125"/>
        <v>383.07</v>
      </c>
      <c r="L2128" s="11" t="s">
        <v>34</v>
      </c>
      <c r="M2128" s="14"/>
      <c r="N2128" s="11" t="s">
        <v>47</v>
      </c>
      <c r="O2128" s="10" t="str">
        <f t="shared" si="79"/>
        <v>12/2025</v>
      </c>
      <c r="P2128" s="10" t="str">
        <f t="shared" si="121"/>
        <v>12/2025</v>
      </c>
      <c r="Q2128" s="15" t="str">
        <f t="array" ref="Q2128">IFERROR(XLOOKUP(N2128,'Classificação'!A:A,'Classificação'!B:B),"")</f>
        <v>DESPESAS NÃO OPERACIONAIS</v>
      </c>
      <c r="R2128" s="15" t="str">
        <f t="array" ref="R2128">IFERROR(XLOOKUP(Q2128,'Classificação'!B:B,'Classificação'!C:C),"")</f>
        <v>RESULTADO NÃO OPERACIONAL (+/-)</v>
      </c>
      <c r="S2128" s="15">
        <f t="shared" si="91"/>
        <v>15</v>
      </c>
      <c r="T2128" s="15">
        <f t="shared" si="6"/>
        <v>12</v>
      </c>
      <c r="U2128" s="15">
        <f t="shared" si="7"/>
        <v>2025</v>
      </c>
      <c r="V2128" s="15">
        <f t="shared" si="8"/>
        <v>15</v>
      </c>
      <c r="W2128" s="15">
        <f t="shared" si="9"/>
        <v>12</v>
      </c>
      <c r="X2128" s="15">
        <f t="shared" si="10"/>
        <v>2025</v>
      </c>
    </row>
    <row r="2129">
      <c r="A2129" s="26">
        <v>46007.0</v>
      </c>
      <c r="B2129" s="28"/>
      <c r="C2129" s="27">
        <f t="shared" si="90"/>
        <v>46007</v>
      </c>
      <c r="D2129" s="28" t="s">
        <v>36</v>
      </c>
      <c r="E2129" s="29" t="s">
        <v>25</v>
      </c>
      <c r="F2129" s="28" t="s">
        <v>26</v>
      </c>
      <c r="G2129" s="28" t="s">
        <v>37</v>
      </c>
      <c r="H2129" s="28"/>
      <c r="I2129" s="24">
        <v>3180.0</v>
      </c>
      <c r="J2129" s="13"/>
      <c r="K2129" s="13">
        <f t="shared" si="125"/>
        <v>3180</v>
      </c>
      <c r="L2129" s="11" t="s">
        <v>29</v>
      </c>
      <c r="M2129" s="14"/>
      <c r="N2129" s="11" t="s">
        <v>448</v>
      </c>
      <c r="O2129" s="10" t="str">
        <f t="shared" si="79"/>
        <v>12/2025</v>
      </c>
      <c r="P2129" s="10" t="str">
        <f t="shared" si="121"/>
        <v>12/2025</v>
      </c>
      <c r="Q2129" s="15" t="str">
        <f t="array" ref="Q2129">IFERROR(XLOOKUP(N2129,'Classificação'!A:A,'Classificação'!B:B),"")</f>
        <v>DESPESAS ADMINISTRATIVAS</v>
      </c>
      <c r="R2129" s="15" t="str">
        <f t="array" ref="R2129">IFERROR(XLOOKUP(Q2129,'Classificação'!B:B,'Classificação'!C:C),"")</f>
        <v>DESPESAS FIXAS (-)</v>
      </c>
      <c r="S2129" s="15">
        <f t="shared" si="91"/>
        <v>16</v>
      </c>
      <c r="T2129" s="15">
        <f t="shared" si="6"/>
        <v>12</v>
      </c>
      <c r="U2129" s="15">
        <f t="shared" si="7"/>
        <v>2025</v>
      </c>
      <c r="V2129" s="15">
        <f t="shared" si="8"/>
        <v>16</v>
      </c>
      <c r="W2129" s="15">
        <f t="shared" si="9"/>
        <v>12</v>
      </c>
      <c r="X2129" s="15">
        <f t="shared" si="10"/>
        <v>2025</v>
      </c>
    </row>
    <row r="2130">
      <c r="A2130" s="26">
        <v>46007.0</v>
      </c>
      <c r="B2130" s="28"/>
      <c r="C2130" s="27">
        <f t="shared" si="90"/>
        <v>46007</v>
      </c>
      <c r="D2130" s="28" t="s">
        <v>43</v>
      </c>
      <c r="E2130" s="29" t="s">
        <v>25</v>
      </c>
      <c r="F2130" s="28" t="s">
        <v>26</v>
      </c>
      <c r="G2130" s="28" t="s">
        <v>37</v>
      </c>
      <c r="H2130" s="28"/>
      <c r="I2130" s="24">
        <v>3180.0</v>
      </c>
      <c r="J2130" s="13"/>
      <c r="K2130" s="13">
        <f t="shared" si="125"/>
        <v>3180</v>
      </c>
      <c r="L2130" s="11" t="s">
        <v>29</v>
      </c>
      <c r="M2130" s="14"/>
      <c r="N2130" s="11" t="s">
        <v>448</v>
      </c>
      <c r="O2130" s="10" t="str">
        <f t="shared" si="79"/>
        <v>12/2025</v>
      </c>
      <c r="P2130" s="10" t="str">
        <f t="shared" si="121"/>
        <v>12/2025</v>
      </c>
      <c r="Q2130" s="15" t="str">
        <f t="array" ref="Q2130">IFERROR(XLOOKUP(N2130,'Classificação'!A:A,'Classificação'!B:B),"")</f>
        <v>DESPESAS ADMINISTRATIVAS</v>
      </c>
      <c r="R2130" s="15" t="str">
        <f t="array" ref="R2130">IFERROR(XLOOKUP(Q2130,'Classificação'!B:B,'Classificação'!C:C),"")</f>
        <v>DESPESAS FIXAS (-)</v>
      </c>
      <c r="S2130" s="15">
        <f t="shared" si="91"/>
        <v>16</v>
      </c>
      <c r="T2130" s="15">
        <f t="shared" si="6"/>
        <v>12</v>
      </c>
      <c r="U2130" s="15">
        <f t="shared" si="7"/>
        <v>2025</v>
      </c>
      <c r="V2130" s="15">
        <f t="shared" si="8"/>
        <v>16</v>
      </c>
      <c r="W2130" s="15">
        <f t="shared" si="9"/>
        <v>12</v>
      </c>
      <c r="X2130" s="15">
        <f t="shared" si="10"/>
        <v>2025</v>
      </c>
    </row>
    <row r="2131">
      <c r="A2131" s="32">
        <v>46009.0</v>
      </c>
      <c r="B2131" s="10"/>
      <c r="C2131" s="9">
        <f t="shared" si="90"/>
        <v>46009</v>
      </c>
      <c r="D2131" s="28" t="s">
        <v>44</v>
      </c>
      <c r="E2131" s="29" t="s">
        <v>25</v>
      </c>
      <c r="F2131" s="11" t="s">
        <v>45</v>
      </c>
      <c r="G2131" s="28" t="s">
        <v>27</v>
      </c>
      <c r="H2131" s="11" t="s">
        <v>1112</v>
      </c>
      <c r="I2131" s="12">
        <v>2002.68</v>
      </c>
      <c r="J2131" s="13"/>
      <c r="K2131" s="13">
        <f t="shared" si="125"/>
        <v>2002.68</v>
      </c>
      <c r="L2131" s="11" t="s">
        <v>34</v>
      </c>
      <c r="M2131" s="14"/>
      <c r="N2131" s="11" t="s">
        <v>47</v>
      </c>
      <c r="O2131" s="10" t="str">
        <f t="shared" si="79"/>
        <v>12/2025</v>
      </c>
      <c r="P2131" s="10" t="str">
        <f t="shared" si="121"/>
        <v>12/2025</v>
      </c>
      <c r="Q2131" s="15" t="str">
        <f t="array" ref="Q2131">IFERROR(XLOOKUP(N2131,'Classificação'!A:A,'Classificação'!B:B),"")</f>
        <v>DESPESAS NÃO OPERACIONAIS</v>
      </c>
      <c r="R2131" s="15" t="str">
        <f t="array" ref="R2131">IFERROR(XLOOKUP(Q2131,'Classificação'!B:B,'Classificação'!C:C),"")</f>
        <v>RESULTADO NÃO OPERACIONAL (+/-)</v>
      </c>
      <c r="S2131" s="15">
        <f t="shared" si="91"/>
        <v>18</v>
      </c>
      <c r="T2131" s="15">
        <f t="shared" si="6"/>
        <v>12</v>
      </c>
      <c r="U2131" s="15">
        <f t="shared" si="7"/>
        <v>2025</v>
      </c>
      <c r="V2131" s="15">
        <f t="shared" si="8"/>
        <v>18</v>
      </c>
      <c r="W2131" s="15">
        <f t="shared" si="9"/>
        <v>12</v>
      </c>
      <c r="X2131" s="15">
        <f t="shared" si="10"/>
        <v>2025</v>
      </c>
    </row>
    <row r="2132">
      <c r="A2132" s="9">
        <v>46009.0</v>
      </c>
      <c r="B2132" s="10"/>
      <c r="C2132" s="9">
        <f t="shared" si="90"/>
        <v>46009</v>
      </c>
      <c r="D2132" s="11" t="s">
        <v>44</v>
      </c>
      <c r="E2132" s="11" t="s">
        <v>25</v>
      </c>
      <c r="F2132" s="11" t="s">
        <v>45</v>
      </c>
      <c r="G2132" s="11" t="s">
        <v>27</v>
      </c>
      <c r="H2132" s="11" t="s">
        <v>703</v>
      </c>
      <c r="I2132" s="12">
        <v>3023.51</v>
      </c>
      <c r="J2132" s="13"/>
      <c r="K2132" s="13">
        <f t="shared" si="125"/>
        <v>3023.51</v>
      </c>
      <c r="L2132" s="11" t="s">
        <v>53</v>
      </c>
      <c r="M2132" s="16" t="s">
        <v>1113</v>
      </c>
      <c r="N2132" s="11" t="s">
        <v>73</v>
      </c>
      <c r="O2132" s="10" t="str">
        <f t="shared" si="79"/>
        <v>12/2025</v>
      </c>
      <c r="P2132" s="10" t="str">
        <f t="shared" si="121"/>
        <v>12/2025</v>
      </c>
      <c r="Q2132" s="15" t="str">
        <f t="array" ref="Q2132">IFERROR(XLOOKUP(N2132,'Classificação'!A:A,'Classificação'!B:B),"")</f>
        <v>DESPESAS NÃO OPERACIONAIS</v>
      </c>
      <c r="R2132" s="15" t="str">
        <f t="array" ref="R2132">IFERROR(XLOOKUP(Q2132,'Classificação'!B:B,'Classificação'!C:C),"")</f>
        <v>RESULTADO NÃO OPERACIONAL (+/-)</v>
      </c>
      <c r="S2132" s="15">
        <f t="shared" si="91"/>
        <v>18</v>
      </c>
      <c r="T2132" s="15">
        <f t="shared" si="6"/>
        <v>12</v>
      </c>
      <c r="U2132" s="15">
        <f t="shared" si="7"/>
        <v>2025</v>
      </c>
      <c r="V2132" s="15">
        <f t="shared" si="8"/>
        <v>18</v>
      </c>
      <c r="W2132" s="15">
        <f t="shared" si="9"/>
        <v>12</v>
      </c>
      <c r="X2132" s="15">
        <f t="shared" si="10"/>
        <v>2025</v>
      </c>
    </row>
    <row r="2133">
      <c r="A2133" s="9">
        <v>46009.0</v>
      </c>
      <c r="B2133" s="10"/>
      <c r="C2133" s="9">
        <f t="shared" si="90"/>
        <v>46009</v>
      </c>
      <c r="D2133" s="11" t="s">
        <v>65</v>
      </c>
      <c r="E2133" s="11" t="s">
        <v>25</v>
      </c>
      <c r="F2133" s="11" t="s">
        <v>45</v>
      </c>
      <c r="G2133" s="11" t="s">
        <v>37</v>
      </c>
      <c r="H2133" s="11" t="s">
        <v>1114</v>
      </c>
      <c r="I2133" s="12">
        <v>1140.96</v>
      </c>
      <c r="J2133" s="13"/>
      <c r="K2133" s="13">
        <f t="shared" si="125"/>
        <v>1140.96</v>
      </c>
      <c r="L2133" s="11" t="s">
        <v>29</v>
      </c>
      <c r="M2133" s="14"/>
      <c r="N2133" s="11" t="s">
        <v>68</v>
      </c>
      <c r="O2133" s="10" t="str">
        <f t="shared" si="79"/>
        <v>12/2025</v>
      </c>
      <c r="P2133" s="10" t="str">
        <f t="shared" si="121"/>
        <v>12/2025</v>
      </c>
      <c r="Q2133" s="15" t="str">
        <f t="array" ref="Q2133">IFERROR(XLOOKUP(N2133,'Classificação'!A:A,'Classificação'!B:B),"")</f>
        <v>FRETE DE VENDAS</v>
      </c>
      <c r="R2133" s="15" t="str">
        <f t="array" ref="R2133">IFERROR(XLOOKUP(Q2133,'Classificação'!B:B,'Classificação'!C:C),"")</f>
        <v>CUSTOS VARIÁVEIS</v>
      </c>
      <c r="S2133" s="15">
        <f t="shared" si="91"/>
        <v>18</v>
      </c>
      <c r="T2133" s="15">
        <f t="shared" si="6"/>
        <v>12</v>
      </c>
      <c r="U2133" s="15">
        <f t="shared" si="7"/>
        <v>2025</v>
      </c>
      <c r="V2133" s="15">
        <f t="shared" si="8"/>
        <v>18</v>
      </c>
      <c r="W2133" s="15">
        <f t="shared" si="9"/>
        <v>12</v>
      </c>
      <c r="X2133" s="15">
        <f t="shared" si="10"/>
        <v>2025</v>
      </c>
    </row>
    <row r="2134">
      <c r="A2134" s="26">
        <v>46009.0</v>
      </c>
      <c r="B2134" s="49">
        <v>45903.0</v>
      </c>
      <c r="C2134" s="27">
        <f t="shared" si="90"/>
        <v>46009</v>
      </c>
      <c r="D2134" s="28" t="s">
        <v>86</v>
      </c>
      <c r="E2134" s="29" t="s">
        <v>25</v>
      </c>
      <c r="F2134" s="29" t="s">
        <v>87</v>
      </c>
      <c r="G2134" s="29" t="s">
        <v>27</v>
      </c>
      <c r="H2134" s="29" t="s">
        <v>1115</v>
      </c>
      <c r="I2134" s="24">
        <v>920.0</v>
      </c>
      <c r="J2134" s="34"/>
      <c r="K2134" s="13">
        <f t="shared" si="125"/>
        <v>920</v>
      </c>
      <c r="L2134" s="28" t="s">
        <v>53</v>
      </c>
      <c r="M2134" s="40">
        <v>45748.0</v>
      </c>
      <c r="N2134" s="28" t="s">
        <v>35</v>
      </c>
      <c r="O2134" s="10" t="str">
        <f t="shared" si="79"/>
        <v>12/2025</v>
      </c>
      <c r="P2134" s="10" t="str">
        <f t="shared" si="121"/>
        <v>12/2025</v>
      </c>
      <c r="Q2134" s="15" t="str">
        <f t="array" ref="Q2134">IFERROR(XLOOKUP(N2134,'Classificação'!A:A,'Classificação'!B:B),"")</f>
        <v>COMPRA DE MERCADORIA</v>
      </c>
      <c r="R2134" s="15" t="str">
        <f t="array" ref="R2134">IFERROR(XLOOKUP(Q2134,'Classificação'!B:B,'Classificação'!C:C),"")</f>
        <v>CUSTOS VARIÁVEIS</v>
      </c>
      <c r="S2134" s="15">
        <f t="shared" si="91"/>
        <v>18</v>
      </c>
      <c r="T2134" s="15">
        <f t="shared" si="6"/>
        <v>12</v>
      </c>
      <c r="U2134" s="15">
        <f t="shared" si="7"/>
        <v>2025</v>
      </c>
      <c r="V2134" s="15">
        <f t="shared" si="8"/>
        <v>18</v>
      </c>
      <c r="W2134" s="15">
        <f t="shared" si="9"/>
        <v>12</v>
      </c>
      <c r="X2134" s="15">
        <f t="shared" si="10"/>
        <v>2025</v>
      </c>
    </row>
    <row r="2135">
      <c r="A2135" s="32">
        <v>46009.0</v>
      </c>
      <c r="B2135" s="10"/>
      <c r="C2135" s="9">
        <f t="shared" si="90"/>
        <v>46009</v>
      </c>
      <c r="D2135" s="28" t="s">
        <v>44</v>
      </c>
      <c r="E2135" s="29" t="s">
        <v>25</v>
      </c>
      <c r="F2135" s="28" t="s">
        <v>45</v>
      </c>
      <c r="G2135" s="28" t="s">
        <v>27</v>
      </c>
      <c r="H2135" s="11" t="s">
        <v>1116</v>
      </c>
      <c r="I2135" s="31">
        <v>199.99</v>
      </c>
      <c r="J2135" s="13"/>
      <c r="K2135" s="13">
        <f t="shared" si="125"/>
        <v>199.99</v>
      </c>
      <c r="L2135" s="11" t="s">
        <v>34</v>
      </c>
      <c r="M2135" s="14"/>
      <c r="N2135" s="11" t="s">
        <v>47</v>
      </c>
      <c r="O2135" s="10" t="str">
        <f t="shared" si="79"/>
        <v>12/2025</v>
      </c>
      <c r="P2135" s="10" t="str">
        <f t="shared" si="121"/>
        <v>12/2025</v>
      </c>
      <c r="Q2135" s="15" t="str">
        <f t="array" ref="Q2135">IFERROR(XLOOKUP(N2135,'Classificação'!A:A,'Classificação'!B:B),"")</f>
        <v>DESPESAS NÃO OPERACIONAIS</v>
      </c>
      <c r="R2135" s="15" t="str">
        <f t="array" ref="R2135">IFERROR(XLOOKUP(Q2135,'Classificação'!B:B,'Classificação'!C:C),"")</f>
        <v>RESULTADO NÃO OPERACIONAL (+/-)</v>
      </c>
      <c r="S2135" s="15">
        <f t="shared" si="91"/>
        <v>18</v>
      </c>
      <c r="T2135" s="15">
        <f t="shared" si="6"/>
        <v>12</v>
      </c>
      <c r="U2135" s="15">
        <f t="shared" si="7"/>
        <v>2025</v>
      </c>
      <c r="V2135" s="15">
        <f t="shared" si="8"/>
        <v>18</v>
      </c>
      <c r="W2135" s="15">
        <f t="shared" si="9"/>
        <v>12</v>
      </c>
      <c r="X2135" s="15">
        <f t="shared" si="10"/>
        <v>2025</v>
      </c>
    </row>
    <row r="2136">
      <c r="A2136" s="32">
        <v>46009.0</v>
      </c>
      <c r="B2136" s="10"/>
      <c r="C2136" s="9">
        <f t="shared" si="90"/>
        <v>46009</v>
      </c>
      <c r="D2136" s="28" t="s">
        <v>44</v>
      </c>
      <c r="E2136" s="29" t="s">
        <v>25</v>
      </c>
      <c r="F2136" s="28" t="s">
        <v>45</v>
      </c>
      <c r="G2136" s="28" t="s">
        <v>27</v>
      </c>
      <c r="H2136" s="11" t="s">
        <v>1116</v>
      </c>
      <c r="I2136" s="31">
        <v>100.16</v>
      </c>
      <c r="J2136" s="13"/>
      <c r="K2136" s="13">
        <f t="shared" si="125"/>
        <v>100.16</v>
      </c>
      <c r="L2136" s="11" t="s">
        <v>34</v>
      </c>
      <c r="M2136" s="14"/>
      <c r="N2136" s="11" t="s">
        <v>47</v>
      </c>
      <c r="O2136" s="10" t="str">
        <f t="shared" si="79"/>
        <v>12/2025</v>
      </c>
      <c r="P2136" s="10" t="str">
        <f t="shared" si="121"/>
        <v>12/2025</v>
      </c>
      <c r="Q2136" s="15" t="str">
        <f t="array" ref="Q2136">IFERROR(XLOOKUP(N2136,'Classificação'!A:A,'Classificação'!B:B),"")</f>
        <v>DESPESAS NÃO OPERACIONAIS</v>
      </c>
      <c r="R2136" s="15" t="str">
        <f t="array" ref="R2136">IFERROR(XLOOKUP(Q2136,'Classificação'!B:B,'Classificação'!C:C),"")</f>
        <v>RESULTADO NÃO OPERACIONAL (+/-)</v>
      </c>
      <c r="S2136" s="15">
        <f t="shared" si="91"/>
        <v>18</v>
      </c>
      <c r="T2136" s="15">
        <f t="shared" si="6"/>
        <v>12</v>
      </c>
      <c r="U2136" s="15">
        <f t="shared" si="7"/>
        <v>2025</v>
      </c>
      <c r="V2136" s="15">
        <f t="shared" si="8"/>
        <v>18</v>
      </c>
      <c r="W2136" s="15">
        <f t="shared" si="9"/>
        <v>12</v>
      </c>
      <c r="X2136" s="15">
        <f t="shared" si="10"/>
        <v>2025</v>
      </c>
    </row>
    <row r="2137">
      <c r="A2137" s="32">
        <v>46010.0</v>
      </c>
      <c r="B2137" s="10"/>
      <c r="C2137" s="9">
        <f t="shared" si="90"/>
        <v>46010</v>
      </c>
      <c r="D2137" s="11" t="s">
        <v>86</v>
      </c>
      <c r="E2137" s="29" t="s">
        <v>25</v>
      </c>
      <c r="F2137" s="11" t="s">
        <v>87</v>
      </c>
      <c r="G2137" s="28" t="s">
        <v>27</v>
      </c>
      <c r="H2137" s="11" t="s">
        <v>1117</v>
      </c>
      <c r="I2137" s="12">
        <v>11490.0</v>
      </c>
      <c r="J2137" s="13"/>
      <c r="K2137" s="13">
        <f t="shared" si="125"/>
        <v>11490</v>
      </c>
      <c r="L2137" s="11" t="s">
        <v>53</v>
      </c>
      <c r="M2137" s="17">
        <v>45748.0</v>
      </c>
      <c r="N2137" s="11" t="s">
        <v>35</v>
      </c>
      <c r="O2137" s="10" t="str">
        <f t="shared" si="79"/>
        <v>12/2025</v>
      </c>
      <c r="P2137" s="10" t="str">
        <f t="shared" si="121"/>
        <v>12/2025</v>
      </c>
      <c r="Q2137" s="15" t="str">
        <f t="array" ref="Q2137">IFERROR(XLOOKUP(N2137,'Classificação'!A:A,'Classificação'!B:B),"")</f>
        <v>COMPRA DE MERCADORIA</v>
      </c>
      <c r="R2137" s="15" t="str">
        <f t="array" ref="R2137">IFERROR(XLOOKUP(Q2137,'Classificação'!B:B,'Classificação'!C:C),"")</f>
        <v>CUSTOS VARIÁVEIS</v>
      </c>
      <c r="S2137" s="15">
        <f t="shared" si="91"/>
        <v>19</v>
      </c>
      <c r="T2137" s="15">
        <f t="shared" si="6"/>
        <v>12</v>
      </c>
      <c r="U2137" s="15">
        <f t="shared" si="7"/>
        <v>2025</v>
      </c>
      <c r="V2137" s="15">
        <f t="shared" si="8"/>
        <v>19</v>
      </c>
      <c r="W2137" s="15">
        <f t="shared" si="9"/>
        <v>12</v>
      </c>
      <c r="X2137" s="15">
        <f t="shared" si="10"/>
        <v>2025</v>
      </c>
    </row>
    <row r="2138">
      <c r="A2138" s="9">
        <v>46010.0</v>
      </c>
      <c r="B2138" s="10"/>
      <c r="C2138" s="9">
        <f t="shared" si="90"/>
        <v>46010</v>
      </c>
      <c r="D2138" s="11" t="s">
        <v>90</v>
      </c>
      <c r="E2138" s="11" t="s">
        <v>25</v>
      </c>
      <c r="F2138" s="11" t="s">
        <v>40</v>
      </c>
      <c r="G2138" s="11" t="s">
        <v>37</v>
      </c>
      <c r="I2138" s="12">
        <v>523.05</v>
      </c>
      <c r="J2138" s="13"/>
      <c r="K2138" s="13">
        <f t="shared" si="125"/>
        <v>523.05</v>
      </c>
      <c r="L2138" s="11" t="s">
        <v>29</v>
      </c>
      <c r="M2138" s="14"/>
      <c r="N2138" s="11" t="s">
        <v>92</v>
      </c>
      <c r="O2138" s="10" t="str">
        <f t="shared" si="79"/>
        <v>12/2025</v>
      </c>
      <c r="P2138" s="10" t="str">
        <f t="shared" si="121"/>
        <v>12/2025</v>
      </c>
      <c r="Q2138" s="15" t="str">
        <f t="array" ref="Q2138">IFERROR(XLOOKUP(N2138,'Classificação'!A:A,'Classificação'!B:B),"")</f>
        <v>DESPESAS COM OCUPAÇÃO</v>
      </c>
      <c r="R2138" s="15" t="str">
        <f t="array" ref="R2138">IFERROR(XLOOKUP(Q2138,'Classificação'!B:B,'Classificação'!C:C),"")</f>
        <v>DESPESAS FIXAS (-)</v>
      </c>
      <c r="S2138" s="15">
        <f t="shared" si="91"/>
        <v>19</v>
      </c>
      <c r="T2138" s="15">
        <f t="shared" si="6"/>
        <v>12</v>
      </c>
      <c r="U2138" s="15">
        <f t="shared" si="7"/>
        <v>2025</v>
      </c>
      <c r="V2138" s="15">
        <f t="shared" si="8"/>
        <v>19</v>
      </c>
      <c r="W2138" s="15">
        <f t="shared" si="9"/>
        <v>12</v>
      </c>
      <c r="X2138" s="15">
        <f t="shared" si="10"/>
        <v>2025</v>
      </c>
    </row>
    <row r="2139">
      <c r="A2139" s="32">
        <v>46010.0</v>
      </c>
      <c r="B2139" s="10"/>
      <c r="C2139" s="9">
        <f t="shared" si="90"/>
        <v>46010</v>
      </c>
      <c r="D2139" s="29" t="s">
        <v>80</v>
      </c>
      <c r="E2139" s="29" t="s">
        <v>25</v>
      </c>
      <c r="F2139" s="11" t="s">
        <v>26</v>
      </c>
      <c r="G2139" s="28" t="s">
        <v>27</v>
      </c>
      <c r="H2139" s="11" t="s">
        <v>1118</v>
      </c>
      <c r="I2139" s="12">
        <v>870.24</v>
      </c>
      <c r="J2139" s="13"/>
      <c r="K2139" s="13">
        <f t="shared" si="125"/>
        <v>870.24</v>
      </c>
      <c r="L2139" s="11" t="s">
        <v>53</v>
      </c>
      <c r="M2139" s="17">
        <v>45690.0</v>
      </c>
      <c r="N2139" s="11" t="s">
        <v>405</v>
      </c>
      <c r="O2139" s="10" t="str">
        <f t="shared" si="79"/>
        <v>12/2025</v>
      </c>
      <c r="P2139" s="10" t="str">
        <f t="shared" si="121"/>
        <v>12/2025</v>
      </c>
      <c r="Q2139" s="15" t="str">
        <f t="array" ref="Q2139">IFERROR(XLOOKUP(N2139,'Classificação'!A:A,'Classificação'!B:B),"")</f>
        <v>DESPESAS COM PESSOAL</v>
      </c>
      <c r="R2139" s="15" t="str">
        <f t="array" ref="R2139">IFERROR(XLOOKUP(Q2139,'Classificação'!B:B,'Classificação'!C:C),"")</f>
        <v>DESPESAS FIXAS (-)</v>
      </c>
      <c r="S2139" s="15">
        <f t="shared" si="91"/>
        <v>19</v>
      </c>
      <c r="T2139" s="15">
        <f t="shared" si="6"/>
        <v>12</v>
      </c>
      <c r="U2139" s="15">
        <f t="shared" si="7"/>
        <v>2025</v>
      </c>
      <c r="V2139" s="15">
        <f t="shared" si="8"/>
        <v>19</v>
      </c>
      <c r="W2139" s="15">
        <f t="shared" si="9"/>
        <v>12</v>
      </c>
      <c r="X2139" s="15">
        <f t="shared" si="10"/>
        <v>2025</v>
      </c>
    </row>
    <row r="2140">
      <c r="A2140" s="32">
        <v>46010.0</v>
      </c>
      <c r="B2140" s="10"/>
      <c r="C2140" s="9">
        <f t="shared" si="90"/>
        <v>46010</v>
      </c>
      <c r="D2140" s="29" t="s">
        <v>83</v>
      </c>
      <c r="E2140" s="29" t="s">
        <v>25</v>
      </c>
      <c r="F2140" s="11" t="s">
        <v>26</v>
      </c>
      <c r="G2140" s="28" t="s">
        <v>27</v>
      </c>
      <c r="H2140" s="11" t="s">
        <v>1118</v>
      </c>
      <c r="I2140" s="12">
        <v>978.89</v>
      </c>
      <c r="J2140" s="13"/>
      <c r="K2140" s="13">
        <f t="shared" si="125"/>
        <v>978.89</v>
      </c>
      <c r="L2140" s="11" t="s">
        <v>53</v>
      </c>
      <c r="M2140" s="17">
        <v>45690.0</v>
      </c>
      <c r="N2140" s="11" t="s">
        <v>405</v>
      </c>
      <c r="O2140" s="10" t="str">
        <f t="shared" si="79"/>
        <v>12/2025</v>
      </c>
      <c r="P2140" s="10" t="str">
        <f t="shared" si="121"/>
        <v>12/2025</v>
      </c>
      <c r="Q2140" s="15" t="str">
        <f t="array" ref="Q2140">IFERROR(XLOOKUP(N2140,'Classificação'!A:A,'Classificação'!B:B),"")</f>
        <v>DESPESAS COM PESSOAL</v>
      </c>
      <c r="R2140" s="15" t="str">
        <f t="array" ref="R2140">IFERROR(XLOOKUP(Q2140,'Classificação'!B:B,'Classificação'!C:C),"")</f>
        <v>DESPESAS FIXAS (-)</v>
      </c>
      <c r="S2140" s="15">
        <f t="shared" si="91"/>
        <v>19</v>
      </c>
      <c r="T2140" s="15">
        <f t="shared" si="6"/>
        <v>12</v>
      </c>
      <c r="U2140" s="15">
        <f t="shared" si="7"/>
        <v>2025</v>
      </c>
      <c r="V2140" s="15">
        <f t="shared" si="8"/>
        <v>19</v>
      </c>
      <c r="W2140" s="15">
        <f t="shared" si="9"/>
        <v>12</v>
      </c>
      <c r="X2140" s="15">
        <f t="shared" si="10"/>
        <v>2025</v>
      </c>
    </row>
    <row r="2141">
      <c r="A2141" s="9">
        <v>46010.0</v>
      </c>
      <c r="B2141" s="10"/>
      <c r="C2141" s="9">
        <f t="shared" si="90"/>
        <v>46010</v>
      </c>
      <c r="D2141" s="11" t="s">
        <v>123</v>
      </c>
      <c r="E2141" s="11" t="s">
        <v>25</v>
      </c>
      <c r="F2141" s="11" t="s">
        <v>40</v>
      </c>
      <c r="G2141" s="11" t="s">
        <v>27</v>
      </c>
      <c r="I2141" s="12">
        <v>570.28</v>
      </c>
      <c r="J2141" s="13"/>
      <c r="K2141" s="13">
        <f t="shared" si="125"/>
        <v>570.28</v>
      </c>
      <c r="L2141" s="11" t="s">
        <v>29</v>
      </c>
      <c r="M2141" s="14"/>
      <c r="N2141" s="11" t="s">
        <v>123</v>
      </c>
      <c r="O2141" s="10" t="str">
        <f t="shared" si="79"/>
        <v>12/2025</v>
      </c>
      <c r="P2141" s="10" t="str">
        <f t="shared" si="121"/>
        <v>12/2025</v>
      </c>
      <c r="Q2141" s="15" t="str">
        <f t="array" ref="Q2141">IFERROR(XLOOKUP(N2141,'Classificação'!A:A,'Classificação'!B:B),"")</f>
        <v>DESPESAS COM PESSOAL</v>
      </c>
      <c r="R2141" s="15" t="str">
        <f t="array" ref="R2141">IFERROR(XLOOKUP(Q2141,'Classificação'!B:B,'Classificação'!C:C),"")</f>
        <v>DESPESAS FIXAS (-)</v>
      </c>
      <c r="S2141" s="15">
        <f t="shared" si="91"/>
        <v>19</v>
      </c>
      <c r="T2141" s="15">
        <f t="shared" si="6"/>
        <v>12</v>
      </c>
      <c r="U2141" s="15">
        <f t="shared" si="7"/>
        <v>2025</v>
      </c>
      <c r="V2141" s="15">
        <f t="shared" si="8"/>
        <v>19</v>
      </c>
      <c r="W2141" s="15">
        <f t="shared" si="9"/>
        <v>12</v>
      </c>
      <c r="X2141" s="15">
        <f t="shared" si="10"/>
        <v>2025</v>
      </c>
    </row>
    <row r="2142">
      <c r="A2142" s="9">
        <v>46010.0</v>
      </c>
      <c r="B2142" s="10"/>
      <c r="C2142" s="9">
        <f t="shared" si="90"/>
        <v>46010</v>
      </c>
      <c r="D2142" s="11" t="s">
        <v>126</v>
      </c>
      <c r="E2142" s="11" t="s">
        <v>25</v>
      </c>
      <c r="F2142" s="11" t="s">
        <v>40</v>
      </c>
      <c r="G2142" s="11" t="s">
        <v>27</v>
      </c>
      <c r="I2142" s="12">
        <v>565.05</v>
      </c>
      <c r="J2142" s="13"/>
      <c r="K2142" s="13">
        <f t="shared" si="125"/>
        <v>565.05</v>
      </c>
      <c r="L2142" s="11" t="s">
        <v>29</v>
      </c>
      <c r="M2142" s="14"/>
      <c r="N2142" s="11" t="s">
        <v>126</v>
      </c>
      <c r="O2142" s="10" t="str">
        <f t="shared" si="79"/>
        <v>12/2025</v>
      </c>
      <c r="P2142" s="10" t="str">
        <f t="shared" si="121"/>
        <v>12/2025</v>
      </c>
      <c r="Q2142" s="15" t="str">
        <f t="array" ref="Q2142">IFERROR(XLOOKUP(N2142,'Classificação'!A:A,'Classificação'!B:B),"")</f>
        <v>DESPESAS COM PESSOAL</v>
      </c>
      <c r="R2142" s="15" t="str">
        <f t="array" ref="R2142">IFERROR(XLOOKUP(Q2142,'Classificação'!B:B,'Classificação'!C:C),"")</f>
        <v>DESPESAS FIXAS (-)</v>
      </c>
      <c r="S2142" s="15">
        <f t="shared" si="91"/>
        <v>19</v>
      </c>
      <c r="T2142" s="15">
        <f t="shared" si="6"/>
        <v>12</v>
      </c>
      <c r="U2142" s="15">
        <f t="shared" si="7"/>
        <v>2025</v>
      </c>
      <c r="V2142" s="15">
        <f t="shared" si="8"/>
        <v>19</v>
      </c>
      <c r="W2142" s="15">
        <f t="shared" si="9"/>
        <v>12</v>
      </c>
      <c r="X2142" s="15">
        <f t="shared" si="10"/>
        <v>2025</v>
      </c>
    </row>
    <row r="2143">
      <c r="A2143" s="32">
        <v>46010.0</v>
      </c>
      <c r="B2143" s="10"/>
      <c r="C2143" s="9">
        <f t="shared" si="90"/>
        <v>46010</v>
      </c>
      <c r="D2143" s="11" t="s">
        <v>126</v>
      </c>
      <c r="E2143" s="29" t="s">
        <v>25</v>
      </c>
      <c r="F2143" s="11" t="s">
        <v>40</v>
      </c>
      <c r="G2143" s="11" t="s">
        <v>27</v>
      </c>
      <c r="H2143" s="11" t="s">
        <v>1119</v>
      </c>
      <c r="I2143" s="12">
        <v>350.37</v>
      </c>
      <c r="J2143" s="13"/>
      <c r="K2143" s="13">
        <f t="shared" si="125"/>
        <v>350.37</v>
      </c>
      <c r="L2143" s="11" t="s">
        <v>34</v>
      </c>
      <c r="M2143" s="14"/>
      <c r="N2143" s="11" t="s">
        <v>126</v>
      </c>
      <c r="O2143" s="10" t="str">
        <f t="shared" si="79"/>
        <v>12/2025</v>
      </c>
      <c r="P2143" s="10" t="str">
        <f t="shared" si="121"/>
        <v>12/2025</v>
      </c>
      <c r="Q2143" s="15" t="str">
        <f t="array" ref="Q2143">IFERROR(XLOOKUP(N2143,'Classificação'!A:A,'Classificação'!B:B),"")</f>
        <v>DESPESAS COM PESSOAL</v>
      </c>
      <c r="R2143" s="15" t="str">
        <f t="array" ref="R2143">IFERROR(XLOOKUP(Q2143,'Classificação'!B:B,'Classificação'!C:C),"")</f>
        <v>DESPESAS FIXAS (-)</v>
      </c>
      <c r="S2143" s="15">
        <f t="shared" si="91"/>
        <v>19</v>
      </c>
      <c r="T2143" s="15">
        <f t="shared" si="6"/>
        <v>12</v>
      </c>
      <c r="U2143" s="15">
        <f t="shared" si="7"/>
        <v>2025</v>
      </c>
      <c r="V2143" s="15">
        <f t="shared" si="8"/>
        <v>19</v>
      </c>
      <c r="W2143" s="15">
        <f t="shared" si="9"/>
        <v>12</v>
      </c>
      <c r="X2143" s="15">
        <f t="shared" si="10"/>
        <v>2025</v>
      </c>
    </row>
    <row r="2144">
      <c r="A2144" s="32">
        <v>46010.0</v>
      </c>
      <c r="B2144" s="10"/>
      <c r="C2144" s="9">
        <f t="shared" si="90"/>
        <v>46010</v>
      </c>
      <c r="D2144" s="11" t="s">
        <v>1094</v>
      </c>
      <c r="E2144" s="29" t="s">
        <v>25</v>
      </c>
      <c r="F2144" s="11" t="s">
        <v>26</v>
      </c>
      <c r="G2144" s="11" t="s">
        <v>37</v>
      </c>
      <c r="H2144" s="11" t="s">
        <v>1120</v>
      </c>
      <c r="I2144" s="12">
        <v>192.71</v>
      </c>
      <c r="J2144" s="13"/>
      <c r="K2144" s="13">
        <f t="shared" si="125"/>
        <v>192.71</v>
      </c>
      <c r="L2144" s="11" t="s">
        <v>34</v>
      </c>
      <c r="M2144" s="14"/>
      <c r="N2144" s="11" t="s">
        <v>405</v>
      </c>
      <c r="O2144" s="10" t="str">
        <f t="shared" si="79"/>
        <v>12/2025</v>
      </c>
      <c r="P2144" s="10" t="str">
        <f t="shared" si="121"/>
        <v>12/2025</v>
      </c>
      <c r="Q2144" s="15" t="str">
        <f t="array" ref="Q2144">IFERROR(XLOOKUP(N2144,'Classificação'!A:A,'Classificação'!B:B),"")</f>
        <v>DESPESAS COM PESSOAL</v>
      </c>
      <c r="R2144" s="15" t="str">
        <f t="array" ref="R2144">IFERROR(XLOOKUP(Q2144,'Classificação'!B:B,'Classificação'!C:C),"")</f>
        <v>DESPESAS FIXAS (-)</v>
      </c>
      <c r="S2144" s="15">
        <f t="shared" si="91"/>
        <v>19</v>
      </c>
      <c r="T2144" s="15">
        <f t="shared" si="6"/>
        <v>12</v>
      </c>
      <c r="U2144" s="15">
        <f t="shared" si="7"/>
        <v>2025</v>
      </c>
      <c r="V2144" s="15">
        <f t="shared" si="8"/>
        <v>19</v>
      </c>
      <c r="W2144" s="15">
        <f t="shared" si="9"/>
        <v>12</v>
      </c>
      <c r="X2144" s="15">
        <f t="shared" si="10"/>
        <v>2025</v>
      </c>
    </row>
    <row r="2145">
      <c r="A2145" s="32">
        <v>46010.0</v>
      </c>
      <c r="B2145" s="10"/>
      <c r="C2145" s="9">
        <f t="shared" si="90"/>
        <v>46010</v>
      </c>
      <c r="D2145" s="11" t="s">
        <v>126</v>
      </c>
      <c r="E2145" s="11" t="s">
        <v>25</v>
      </c>
      <c r="F2145" s="11" t="s">
        <v>40</v>
      </c>
      <c r="G2145" s="11" t="s">
        <v>37</v>
      </c>
      <c r="H2145" s="11" t="s">
        <v>1121</v>
      </c>
      <c r="I2145" s="12">
        <v>15.62</v>
      </c>
      <c r="J2145" s="13"/>
      <c r="K2145" s="13">
        <f t="shared" si="125"/>
        <v>15.62</v>
      </c>
      <c r="L2145" s="11" t="s">
        <v>34</v>
      </c>
      <c r="M2145" s="14"/>
      <c r="N2145" s="11" t="s">
        <v>126</v>
      </c>
      <c r="O2145" s="10" t="str">
        <f t="shared" si="79"/>
        <v>12/2025</v>
      </c>
      <c r="P2145" s="10" t="str">
        <f t="shared" si="121"/>
        <v>12/2025</v>
      </c>
      <c r="Q2145" s="15" t="str">
        <f t="array" ref="Q2145">IFERROR(XLOOKUP(N2145,'Classificação'!A:A,'Classificação'!B:B),"")</f>
        <v>DESPESAS COM PESSOAL</v>
      </c>
      <c r="R2145" s="15" t="str">
        <f t="array" ref="R2145">IFERROR(XLOOKUP(Q2145,'Classificação'!B:B,'Classificação'!C:C),"")</f>
        <v>DESPESAS FIXAS (-)</v>
      </c>
      <c r="S2145" s="15">
        <f t="shared" si="91"/>
        <v>19</v>
      </c>
      <c r="T2145" s="15">
        <f t="shared" si="6"/>
        <v>12</v>
      </c>
      <c r="U2145" s="15">
        <f t="shared" si="7"/>
        <v>2025</v>
      </c>
      <c r="V2145" s="15">
        <f t="shared" si="8"/>
        <v>19</v>
      </c>
      <c r="W2145" s="15">
        <f t="shared" si="9"/>
        <v>12</v>
      </c>
      <c r="X2145" s="15">
        <f t="shared" si="10"/>
        <v>2025</v>
      </c>
    </row>
    <row r="2146">
      <c r="A2146" s="32">
        <v>46010.0</v>
      </c>
      <c r="B2146" s="10"/>
      <c r="C2146" s="9">
        <f t="shared" si="90"/>
        <v>46010</v>
      </c>
      <c r="D2146" s="11" t="s">
        <v>1122</v>
      </c>
      <c r="E2146" s="29" t="s">
        <v>25</v>
      </c>
      <c r="F2146" s="11" t="s">
        <v>26</v>
      </c>
      <c r="G2146" s="28" t="s">
        <v>27</v>
      </c>
      <c r="H2146" s="11" t="s">
        <v>1123</v>
      </c>
      <c r="I2146" s="12">
        <v>400.0</v>
      </c>
      <c r="J2146" s="13"/>
      <c r="K2146" s="13">
        <f t="shared" si="125"/>
        <v>400</v>
      </c>
      <c r="L2146" s="11" t="s">
        <v>53</v>
      </c>
      <c r="M2146" s="17">
        <v>45689.0</v>
      </c>
      <c r="N2146" s="11" t="s">
        <v>64</v>
      </c>
      <c r="O2146" s="10" t="str">
        <f t="shared" si="79"/>
        <v>12/2025</v>
      </c>
      <c r="P2146" s="10" t="str">
        <f t="shared" si="121"/>
        <v>12/2025</v>
      </c>
      <c r="Q2146" s="15" t="str">
        <f t="array" ref="Q2146">IFERROR(XLOOKUP(N2146,'Classificação'!A:A,'Classificação'!B:B),"")</f>
        <v>DESPESAS COM PESSOAL</v>
      </c>
      <c r="R2146" s="15" t="str">
        <f t="array" ref="R2146">IFERROR(XLOOKUP(Q2146,'Classificação'!B:B,'Classificação'!C:C),"")</f>
        <v>DESPESAS FIXAS (-)</v>
      </c>
      <c r="S2146" s="15">
        <f t="shared" si="91"/>
        <v>19</v>
      </c>
      <c r="T2146" s="15">
        <f t="shared" si="6"/>
        <v>12</v>
      </c>
      <c r="U2146" s="15">
        <f t="shared" si="7"/>
        <v>2025</v>
      </c>
      <c r="V2146" s="15">
        <f t="shared" si="8"/>
        <v>19</v>
      </c>
      <c r="W2146" s="15">
        <f t="shared" si="9"/>
        <v>12</v>
      </c>
      <c r="X2146" s="15">
        <f t="shared" si="10"/>
        <v>2025</v>
      </c>
    </row>
    <row r="2147">
      <c r="A2147" s="32">
        <v>46010.0</v>
      </c>
      <c r="B2147" s="10"/>
      <c r="C2147" s="9">
        <f t="shared" si="90"/>
        <v>46010</v>
      </c>
      <c r="D2147" s="11" t="s">
        <v>1122</v>
      </c>
      <c r="E2147" s="29" t="s">
        <v>25</v>
      </c>
      <c r="F2147" s="11" t="s">
        <v>26</v>
      </c>
      <c r="G2147" s="29" t="s">
        <v>37</v>
      </c>
      <c r="H2147" s="11" t="s">
        <v>1124</v>
      </c>
      <c r="I2147" s="12">
        <v>450.0</v>
      </c>
      <c r="J2147" s="13"/>
      <c r="K2147" s="13">
        <f t="shared" si="125"/>
        <v>450</v>
      </c>
      <c r="L2147" s="11" t="s">
        <v>53</v>
      </c>
      <c r="M2147" s="17">
        <v>45689.0</v>
      </c>
      <c r="N2147" s="11" t="s">
        <v>64</v>
      </c>
      <c r="O2147" s="10" t="str">
        <f t="shared" si="79"/>
        <v>12/2025</v>
      </c>
      <c r="P2147" s="10" t="str">
        <f t="shared" si="121"/>
        <v>12/2025</v>
      </c>
      <c r="Q2147" s="15" t="str">
        <f t="array" ref="Q2147">IFERROR(XLOOKUP(N2147,'Classificação'!A:A,'Classificação'!B:B),"")</f>
        <v>DESPESAS COM PESSOAL</v>
      </c>
      <c r="R2147" s="15" t="str">
        <f t="array" ref="R2147">IFERROR(XLOOKUP(Q2147,'Classificação'!B:B,'Classificação'!C:C),"")</f>
        <v>DESPESAS FIXAS (-)</v>
      </c>
      <c r="S2147" s="15">
        <f t="shared" si="91"/>
        <v>19</v>
      </c>
      <c r="T2147" s="15">
        <f t="shared" si="6"/>
        <v>12</v>
      </c>
      <c r="U2147" s="15">
        <f t="shared" si="7"/>
        <v>2025</v>
      </c>
      <c r="V2147" s="15">
        <f t="shared" si="8"/>
        <v>19</v>
      </c>
      <c r="W2147" s="15">
        <f t="shared" si="9"/>
        <v>12</v>
      </c>
      <c r="X2147" s="15">
        <f t="shared" si="10"/>
        <v>2025</v>
      </c>
    </row>
    <row r="2148">
      <c r="A2148" s="9">
        <v>46011.0</v>
      </c>
      <c r="B2148" s="10"/>
      <c r="C2148" s="9">
        <f t="shared" si="90"/>
        <v>46011</v>
      </c>
      <c r="D2148" s="11" t="s">
        <v>171</v>
      </c>
      <c r="E2148" s="11" t="s">
        <v>25</v>
      </c>
      <c r="F2148" s="11" t="s">
        <v>40</v>
      </c>
      <c r="G2148" s="11" t="s">
        <v>37</v>
      </c>
      <c r="I2148" s="12">
        <v>107.64</v>
      </c>
      <c r="J2148" s="13"/>
      <c r="K2148" s="13">
        <f t="shared" si="125"/>
        <v>107.64</v>
      </c>
      <c r="L2148" s="11" t="s">
        <v>29</v>
      </c>
      <c r="M2148" s="14"/>
      <c r="N2148" s="11" t="s">
        <v>172</v>
      </c>
      <c r="O2148" s="10" t="str">
        <f t="shared" si="79"/>
        <v>12/2025</v>
      </c>
      <c r="P2148" s="10" t="str">
        <f t="shared" si="121"/>
        <v>12/2025</v>
      </c>
      <c r="Q2148" s="15" t="str">
        <f t="array" ref="Q2148">IFERROR(XLOOKUP(N2148,'Classificação'!A:A,'Classificação'!B:B),"")</f>
        <v>DESPESAS COM OCUPAÇÃO</v>
      </c>
      <c r="R2148" s="15" t="str">
        <f t="array" ref="R2148">IFERROR(XLOOKUP(Q2148,'Classificação'!B:B,'Classificação'!C:C),"")</f>
        <v>DESPESAS FIXAS (-)</v>
      </c>
      <c r="S2148" s="15">
        <f t="shared" si="91"/>
        <v>20</v>
      </c>
      <c r="T2148" s="15">
        <f t="shared" si="6"/>
        <v>12</v>
      </c>
      <c r="U2148" s="15">
        <f t="shared" si="7"/>
        <v>2025</v>
      </c>
      <c r="V2148" s="15">
        <f t="shared" si="8"/>
        <v>20</v>
      </c>
      <c r="W2148" s="15">
        <f t="shared" si="9"/>
        <v>12</v>
      </c>
      <c r="X2148" s="15">
        <f t="shared" si="10"/>
        <v>2025</v>
      </c>
    </row>
    <row r="2149">
      <c r="A2149" s="32">
        <v>46013.0</v>
      </c>
      <c r="B2149" s="32">
        <v>45944.0</v>
      </c>
      <c r="C2149" s="9">
        <f t="shared" si="90"/>
        <v>46013</v>
      </c>
      <c r="D2149" s="11" t="s">
        <v>65</v>
      </c>
      <c r="E2149" s="29" t="s">
        <v>25</v>
      </c>
      <c r="F2149" s="11" t="s">
        <v>107</v>
      </c>
      <c r="G2149" s="28" t="s">
        <v>27</v>
      </c>
      <c r="H2149" s="11" t="s">
        <v>1067</v>
      </c>
      <c r="I2149" s="31">
        <v>45.0</v>
      </c>
      <c r="J2149" s="13"/>
      <c r="K2149" s="13">
        <f t="shared" si="125"/>
        <v>45</v>
      </c>
      <c r="L2149" s="11" t="s">
        <v>53</v>
      </c>
      <c r="M2149" s="17">
        <v>45749.0</v>
      </c>
      <c r="N2149" s="11" t="s">
        <v>95</v>
      </c>
      <c r="O2149" s="10" t="str">
        <f t="shared" si="79"/>
        <v>12/2025</v>
      </c>
      <c r="P2149" s="10" t="str">
        <f t="shared" si="121"/>
        <v>12/2025</v>
      </c>
      <c r="Q2149" s="15" t="str">
        <f t="array" ref="Q2149">IFERROR(XLOOKUP(N2149,'Classificação'!A:A,'Classificação'!B:B),"")</f>
        <v>DESPESAS NÃO OPERACIONAIS</v>
      </c>
      <c r="R2149" s="15" t="str">
        <f t="array" ref="R2149">IFERROR(XLOOKUP(Q2149,'Classificação'!B:B,'Classificação'!C:C),"")</f>
        <v>RESULTADO NÃO OPERACIONAL (+/-)</v>
      </c>
      <c r="S2149" s="15">
        <f t="shared" si="91"/>
        <v>22</v>
      </c>
      <c r="T2149" s="15">
        <f t="shared" si="6"/>
        <v>12</v>
      </c>
      <c r="U2149" s="15">
        <f t="shared" si="7"/>
        <v>2025</v>
      </c>
      <c r="V2149" s="15">
        <f t="shared" si="8"/>
        <v>22</v>
      </c>
      <c r="W2149" s="15">
        <f t="shared" si="9"/>
        <v>12</v>
      </c>
      <c r="X2149" s="15">
        <f t="shared" si="10"/>
        <v>2025</v>
      </c>
    </row>
    <row r="2150">
      <c r="A2150" s="32">
        <v>46013.0</v>
      </c>
      <c r="B2150" s="9">
        <v>45814.0</v>
      </c>
      <c r="C2150" s="9">
        <f t="shared" si="90"/>
        <v>46013</v>
      </c>
      <c r="D2150" s="11" t="s">
        <v>861</v>
      </c>
      <c r="E2150" s="29" t="s">
        <v>25</v>
      </c>
      <c r="F2150" s="11" t="s">
        <v>110</v>
      </c>
      <c r="G2150" s="11" t="s">
        <v>27</v>
      </c>
      <c r="H2150" s="11" t="s">
        <v>862</v>
      </c>
      <c r="I2150" s="12">
        <v>58.66</v>
      </c>
      <c r="J2150" s="13"/>
      <c r="K2150" s="13">
        <f t="shared" si="125"/>
        <v>58.66</v>
      </c>
      <c r="L2150" s="11" t="s">
        <v>53</v>
      </c>
      <c r="M2150" s="17">
        <v>45814.0</v>
      </c>
      <c r="N2150" s="11" t="s">
        <v>394</v>
      </c>
      <c r="O2150" s="10" t="str">
        <f t="shared" si="79"/>
        <v>12/2025</v>
      </c>
      <c r="P2150" s="10" t="str">
        <f t="shared" si="121"/>
        <v>12/2025</v>
      </c>
      <c r="Q2150" s="15" t="str">
        <f t="array" ref="Q2150">IFERROR(XLOOKUP(N2150,'Classificação'!A:A,'Classificação'!B:B),"")</f>
        <v>DESPESAS NÃO OPERACIONAIS</v>
      </c>
      <c r="R2150" s="15" t="str">
        <f t="array" ref="R2150">IFERROR(XLOOKUP(Q2150,'Classificação'!B:B,'Classificação'!C:C),"")</f>
        <v>RESULTADO NÃO OPERACIONAL (+/-)</v>
      </c>
      <c r="S2150" s="15">
        <f t="shared" si="91"/>
        <v>22</v>
      </c>
      <c r="T2150" s="15">
        <f t="shared" si="6"/>
        <v>12</v>
      </c>
      <c r="U2150" s="15">
        <f t="shared" si="7"/>
        <v>2025</v>
      </c>
      <c r="V2150" s="15">
        <f t="shared" si="8"/>
        <v>22</v>
      </c>
      <c r="W2150" s="15">
        <f t="shared" si="9"/>
        <v>12</v>
      </c>
      <c r="X2150" s="15">
        <f t="shared" si="10"/>
        <v>2025</v>
      </c>
    </row>
    <row r="2151">
      <c r="A2151" s="9">
        <v>46013.0</v>
      </c>
      <c r="B2151" s="10"/>
      <c r="C2151" s="9">
        <f t="shared" si="90"/>
        <v>46013</v>
      </c>
      <c r="D2151" s="11" t="s">
        <v>104</v>
      </c>
      <c r="E2151" s="11" t="s">
        <v>25</v>
      </c>
      <c r="F2151" s="11" t="s">
        <v>40</v>
      </c>
      <c r="G2151" s="11" t="s">
        <v>27</v>
      </c>
      <c r="I2151" s="12">
        <v>450.0</v>
      </c>
      <c r="J2151" s="13"/>
      <c r="K2151" s="13">
        <f t="shared" si="125"/>
        <v>450</v>
      </c>
      <c r="L2151" s="11" t="s">
        <v>29</v>
      </c>
      <c r="M2151" s="14"/>
      <c r="N2151" s="11" t="s">
        <v>105</v>
      </c>
      <c r="O2151" s="10" t="str">
        <f t="shared" si="79"/>
        <v>12/2025</v>
      </c>
      <c r="P2151" s="10" t="str">
        <f t="shared" si="121"/>
        <v>12/2025</v>
      </c>
      <c r="Q2151" s="15" t="str">
        <f t="array" ref="Q2151">IFERROR(XLOOKUP(N2151,'Classificação'!A:A,'Classificação'!B:B),"")</f>
        <v>DESPESAS ADMINISTRATIVAS</v>
      </c>
      <c r="R2151" s="15" t="str">
        <f t="array" ref="R2151">IFERROR(XLOOKUP(Q2151,'Classificação'!B:B,'Classificação'!C:C),"")</f>
        <v>DESPESAS FIXAS (-)</v>
      </c>
      <c r="S2151" s="15">
        <f t="shared" si="91"/>
        <v>22</v>
      </c>
      <c r="T2151" s="15">
        <f t="shared" si="6"/>
        <v>12</v>
      </c>
      <c r="U2151" s="15">
        <f t="shared" si="7"/>
        <v>2025</v>
      </c>
      <c r="V2151" s="15">
        <f t="shared" si="8"/>
        <v>22</v>
      </c>
      <c r="W2151" s="15">
        <f t="shared" si="9"/>
        <v>12</v>
      </c>
      <c r="X2151" s="15">
        <f t="shared" si="10"/>
        <v>2025</v>
      </c>
    </row>
    <row r="2152">
      <c r="A2152" s="9">
        <v>46013.0</v>
      </c>
      <c r="B2152" s="10"/>
      <c r="C2152" s="9">
        <f t="shared" si="90"/>
        <v>46013</v>
      </c>
      <c r="D2152" s="11" t="s">
        <v>100</v>
      </c>
      <c r="E2152" s="11" t="s">
        <v>25</v>
      </c>
      <c r="F2152" s="11" t="s">
        <v>40</v>
      </c>
      <c r="G2152" s="11" t="s">
        <v>27</v>
      </c>
      <c r="H2152" s="11" t="s">
        <v>243</v>
      </c>
      <c r="I2152" s="12">
        <v>17888.0</v>
      </c>
      <c r="J2152" s="13"/>
      <c r="K2152" s="13">
        <f t="shared" si="125"/>
        <v>17888</v>
      </c>
      <c r="L2152" s="11" t="s">
        <v>29</v>
      </c>
      <c r="M2152" s="14"/>
      <c r="N2152" s="11" t="s">
        <v>101</v>
      </c>
      <c r="O2152" s="10" t="str">
        <f t="shared" si="79"/>
        <v>12/2025</v>
      </c>
      <c r="P2152" s="10" t="str">
        <f t="shared" si="121"/>
        <v>12/2025</v>
      </c>
      <c r="Q2152" s="15" t="str">
        <f t="array" ref="Q2152">IFERROR(XLOOKUP(N2152,'Classificação'!A:A,'Classificação'!B:B),"")</f>
        <v>IMPOSTO DE RENDA - DAS</v>
      </c>
      <c r="R2152" s="15" t="str">
        <f t="array" ref="R2152">IFERROR(XLOOKUP(Q2152,'Classificação'!B:B,'Classificação'!C:C),"")</f>
        <v>DEDUÇÕES DA RECEITA BRUTA (-)</v>
      </c>
      <c r="S2152" s="15">
        <f t="shared" si="91"/>
        <v>22</v>
      </c>
      <c r="T2152" s="15">
        <f t="shared" si="6"/>
        <v>12</v>
      </c>
      <c r="U2152" s="15">
        <f t="shared" si="7"/>
        <v>2025</v>
      </c>
      <c r="V2152" s="15">
        <f t="shared" si="8"/>
        <v>22</v>
      </c>
      <c r="W2152" s="15">
        <f t="shared" si="9"/>
        <v>12</v>
      </c>
      <c r="X2152" s="15">
        <f t="shared" si="10"/>
        <v>2025</v>
      </c>
    </row>
    <row r="2153">
      <c r="A2153" s="32">
        <v>46013.0</v>
      </c>
      <c r="B2153" s="10"/>
      <c r="C2153" s="9">
        <f t="shared" si="90"/>
        <v>46013</v>
      </c>
      <c r="D2153" s="11" t="s">
        <v>121</v>
      </c>
      <c r="E2153" s="29" t="s">
        <v>25</v>
      </c>
      <c r="F2153" s="11" t="s">
        <v>107</v>
      </c>
      <c r="G2153" s="11" t="s">
        <v>27</v>
      </c>
      <c r="I2153" s="31">
        <v>29.9</v>
      </c>
      <c r="J2153" s="13"/>
      <c r="K2153" s="13">
        <f t="shared" si="125"/>
        <v>29.9</v>
      </c>
      <c r="L2153" s="11" t="s">
        <v>29</v>
      </c>
      <c r="M2153" s="14"/>
      <c r="N2153" s="11" t="s">
        <v>105</v>
      </c>
      <c r="O2153" s="10" t="str">
        <f t="shared" si="79"/>
        <v>12/2025</v>
      </c>
      <c r="P2153" s="10" t="str">
        <f t="shared" si="121"/>
        <v>12/2025</v>
      </c>
      <c r="Q2153" s="15" t="str">
        <f t="array" ref="Q2153">IFERROR(XLOOKUP(N2153,'Classificação'!A:A,'Classificação'!B:B),"")</f>
        <v>DESPESAS ADMINISTRATIVAS</v>
      </c>
      <c r="R2153" s="15" t="str">
        <f t="array" ref="R2153">IFERROR(XLOOKUP(Q2153,'Classificação'!B:B,'Classificação'!C:C),"")</f>
        <v>DESPESAS FIXAS (-)</v>
      </c>
      <c r="S2153" s="15">
        <f t="shared" si="91"/>
        <v>22</v>
      </c>
      <c r="T2153" s="15">
        <f t="shared" si="6"/>
        <v>12</v>
      </c>
      <c r="U2153" s="15">
        <f t="shared" si="7"/>
        <v>2025</v>
      </c>
      <c r="V2153" s="15">
        <f t="shared" si="8"/>
        <v>22</v>
      </c>
      <c r="W2153" s="15">
        <f t="shared" si="9"/>
        <v>12</v>
      </c>
      <c r="X2153" s="15">
        <f t="shared" si="10"/>
        <v>2025</v>
      </c>
    </row>
    <row r="2154">
      <c r="A2154" s="32">
        <v>46013.0</v>
      </c>
      <c r="B2154" s="10"/>
      <c r="C2154" s="9">
        <f t="shared" si="90"/>
        <v>46013</v>
      </c>
      <c r="D2154" s="11" t="s">
        <v>369</v>
      </c>
      <c r="E2154" s="29" t="s">
        <v>25</v>
      </c>
      <c r="F2154" s="11" t="s">
        <v>107</v>
      </c>
      <c r="G2154" s="11" t="s">
        <v>27</v>
      </c>
      <c r="H2154" s="11" t="s">
        <v>486</v>
      </c>
      <c r="I2154" s="31">
        <v>29.9</v>
      </c>
      <c r="J2154" s="13"/>
      <c r="K2154" s="13">
        <f t="shared" si="125"/>
        <v>29.9</v>
      </c>
      <c r="L2154" s="11" t="s">
        <v>53</v>
      </c>
      <c r="M2154" s="16" t="s">
        <v>1125</v>
      </c>
      <c r="N2154" s="11" t="s">
        <v>105</v>
      </c>
      <c r="O2154" s="10" t="str">
        <f t="shared" si="79"/>
        <v>12/2025</v>
      </c>
      <c r="P2154" s="10" t="str">
        <f t="shared" si="121"/>
        <v>12/2025</v>
      </c>
      <c r="Q2154" s="15" t="str">
        <f t="array" ref="Q2154">IFERROR(XLOOKUP(N2154,'Classificação'!A:A,'Classificação'!B:B),"")</f>
        <v>DESPESAS ADMINISTRATIVAS</v>
      </c>
      <c r="R2154" s="15" t="str">
        <f t="array" ref="R2154">IFERROR(XLOOKUP(Q2154,'Classificação'!B:B,'Classificação'!C:C),"")</f>
        <v>DESPESAS FIXAS (-)</v>
      </c>
      <c r="S2154" s="15">
        <f t="shared" si="91"/>
        <v>22</v>
      </c>
      <c r="T2154" s="15">
        <f t="shared" si="6"/>
        <v>12</v>
      </c>
      <c r="U2154" s="15">
        <f t="shared" si="7"/>
        <v>2025</v>
      </c>
      <c r="V2154" s="15">
        <f t="shared" si="8"/>
        <v>22</v>
      </c>
      <c r="W2154" s="15">
        <f t="shared" si="9"/>
        <v>12</v>
      </c>
      <c r="X2154" s="15">
        <f t="shared" si="10"/>
        <v>2025</v>
      </c>
    </row>
    <row r="2155">
      <c r="A2155" s="32">
        <v>46013.0</v>
      </c>
      <c r="B2155" s="9">
        <v>45737.0</v>
      </c>
      <c r="C2155" s="9">
        <f t="shared" si="90"/>
        <v>46013</v>
      </c>
      <c r="D2155" s="11" t="s">
        <v>65</v>
      </c>
      <c r="E2155" s="29" t="s">
        <v>25</v>
      </c>
      <c r="F2155" s="11" t="s">
        <v>110</v>
      </c>
      <c r="G2155" s="11" t="s">
        <v>27</v>
      </c>
      <c r="H2155" s="11" t="s">
        <v>681</v>
      </c>
      <c r="I2155" s="12">
        <v>47.2</v>
      </c>
      <c r="J2155" s="13"/>
      <c r="K2155" s="13">
        <f t="shared" si="125"/>
        <v>47.2</v>
      </c>
      <c r="L2155" s="11" t="s">
        <v>53</v>
      </c>
      <c r="M2155" s="17">
        <v>46000.0</v>
      </c>
      <c r="N2155" s="11" t="s">
        <v>95</v>
      </c>
      <c r="O2155" s="10" t="str">
        <f t="shared" si="79"/>
        <v>12/2025</v>
      </c>
      <c r="P2155" s="10" t="str">
        <f t="shared" si="121"/>
        <v>12/2025</v>
      </c>
      <c r="Q2155" s="15" t="str">
        <f t="array" ref="Q2155">IFERROR(XLOOKUP(N2155,'Classificação'!A:A,'Classificação'!B:B),"")</f>
        <v>DESPESAS NÃO OPERACIONAIS</v>
      </c>
      <c r="R2155" s="15" t="str">
        <f t="array" ref="R2155">IFERROR(XLOOKUP(Q2155,'Classificação'!B:B,'Classificação'!C:C),"")</f>
        <v>RESULTADO NÃO OPERACIONAL (+/-)</v>
      </c>
      <c r="S2155" s="15">
        <f t="shared" si="91"/>
        <v>22</v>
      </c>
      <c r="T2155" s="15">
        <f t="shared" si="6"/>
        <v>12</v>
      </c>
      <c r="U2155" s="15">
        <f t="shared" si="7"/>
        <v>2025</v>
      </c>
      <c r="V2155" s="15">
        <f t="shared" si="8"/>
        <v>22</v>
      </c>
      <c r="W2155" s="15">
        <f t="shared" si="9"/>
        <v>12</v>
      </c>
      <c r="X2155" s="15">
        <f t="shared" si="10"/>
        <v>2025</v>
      </c>
    </row>
    <row r="2156">
      <c r="A2156" s="32">
        <v>46013.0</v>
      </c>
      <c r="B2156" s="9">
        <v>45737.0</v>
      </c>
      <c r="C2156" s="9">
        <f t="shared" si="90"/>
        <v>46013</v>
      </c>
      <c r="D2156" s="11" t="s">
        <v>65</v>
      </c>
      <c r="E2156" s="29" t="s">
        <v>25</v>
      </c>
      <c r="F2156" s="11" t="s">
        <v>110</v>
      </c>
      <c r="G2156" s="11" t="s">
        <v>27</v>
      </c>
      <c r="H2156" s="11" t="s">
        <v>682</v>
      </c>
      <c r="I2156" s="12">
        <v>82.27</v>
      </c>
      <c r="J2156" s="13"/>
      <c r="K2156" s="13">
        <f t="shared" si="125"/>
        <v>82.27</v>
      </c>
      <c r="L2156" s="11" t="s">
        <v>53</v>
      </c>
      <c r="M2156" s="17">
        <v>45939.0</v>
      </c>
      <c r="N2156" s="11" t="s">
        <v>95</v>
      </c>
      <c r="O2156" s="10" t="str">
        <f t="shared" si="79"/>
        <v>12/2025</v>
      </c>
      <c r="P2156" s="10" t="str">
        <f t="shared" si="121"/>
        <v>12/2025</v>
      </c>
      <c r="Q2156" s="15" t="str">
        <f t="array" ref="Q2156">IFERROR(XLOOKUP(N2156,'Classificação'!A:A,'Classificação'!B:B),"")</f>
        <v>DESPESAS NÃO OPERACIONAIS</v>
      </c>
      <c r="R2156" s="15" t="str">
        <f t="array" ref="R2156">IFERROR(XLOOKUP(Q2156,'Classificação'!B:B,'Classificação'!C:C),"")</f>
        <v>RESULTADO NÃO OPERACIONAL (+/-)</v>
      </c>
      <c r="S2156" s="15">
        <f t="shared" si="91"/>
        <v>22</v>
      </c>
      <c r="T2156" s="15">
        <f t="shared" si="6"/>
        <v>12</v>
      </c>
      <c r="U2156" s="15">
        <f t="shared" si="7"/>
        <v>2025</v>
      </c>
      <c r="V2156" s="15">
        <f t="shared" si="8"/>
        <v>22</v>
      </c>
      <c r="W2156" s="15">
        <f t="shared" si="9"/>
        <v>12</v>
      </c>
      <c r="X2156" s="15">
        <f t="shared" si="10"/>
        <v>2025</v>
      </c>
    </row>
    <row r="2157">
      <c r="A2157" s="9">
        <v>46013.0</v>
      </c>
      <c r="B2157" s="10"/>
      <c r="C2157" s="9">
        <f t="shared" si="90"/>
        <v>46013</v>
      </c>
      <c r="D2157" s="11" t="s">
        <v>637</v>
      </c>
      <c r="E2157" s="11" t="s">
        <v>25</v>
      </c>
      <c r="F2157" s="11" t="s">
        <v>40</v>
      </c>
      <c r="G2157" s="11" t="s">
        <v>37</v>
      </c>
      <c r="I2157" s="12">
        <v>170.0</v>
      </c>
      <c r="J2157" s="13"/>
      <c r="K2157" s="13">
        <f t="shared" si="125"/>
        <v>170</v>
      </c>
      <c r="L2157" s="11" t="s">
        <v>29</v>
      </c>
      <c r="M2157" s="14"/>
      <c r="N2157" s="11" t="s">
        <v>201</v>
      </c>
      <c r="O2157" s="10" t="str">
        <f t="shared" si="79"/>
        <v>12/2025</v>
      </c>
      <c r="P2157" s="10" t="str">
        <f t="shared" si="121"/>
        <v>12/2025</v>
      </c>
      <c r="Q2157" s="15" t="str">
        <f t="array" ref="Q2157">IFERROR(XLOOKUP(N2157,'Classificação'!A:A,'Classificação'!B:B),"")</f>
        <v>DESPESAS COM OCUPAÇÃO</v>
      </c>
      <c r="R2157" s="15" t="str">
        <f t="array" ref="R2157">IFERROR(XLOOKUP(Q2157,'Classificação'!B:B,'Classificação'!C:C),"")</f>
        <v>DESPESAS FIXAS (-)</v>
      </c>
      <c r="S2157" s="15">
        <f t="shared" si="91"/>
        <v>22</v>
      </c>
      <c r="T2157" s="15">
        <f t="shared" si="6"/>
        <v>12</v>
      </c>
      <c r="U2157" s="15">
        <f t="shared" si="7"/>
        <v>2025</v>
      </c>
      <c r="V2157" s="15">
        <f t="shared" si="8"/>
        <v>22</v>
      </c>
      <c r="W2157" s="15">
        <f t="shared" si="9"/>
        <v>12</v>
      </c>
      <c r="X2157" s="15">
        <f t="shared" si="10"/>
        <v>2025</v>
      </c>
    </row>
    <row r="2158">
      <c r="A2158" s="32">
        <v>46013.0</v>
      </c>
      <c r="B2158" s="19">
        <v>45747.0</v>
      </c>
      <c r="C2158" s="9">
        <f t="shared" si="90"/>
        <v>46013</v>
      </c>
      <c r="D2158" s="11" t="s">
        <v>691</v>
      </c>
      <c r="E2158" s="29" t="s">
        <v>25</v>
      </c>
      <c r="F2158" s="11" t="s">
        <v>107</v>
      </c>
      <c r="G2158" s="11" t="s">
        <v>27</v>
      </c>
      <c r="H2158" s="11" t="s">
        <v>692</v>
      </c>
      <c r="I2158" s="31">
        <v>98.93</v>
      </c>
      <c r="J2158" s="13"/>
      <c r="K2158" s="13">
        <f t="shared" si="125"/>
        <v>98.93</v>
      </c>
      <c r="L2158" s="11" t="s">
        <v>53</v>
      </c>
      <c r="M2158" s="17">
        <v>46000.0</v>
      </c>
      <c r="N2158" s="11" t="s">
        <v>693</v>
      </c>
      <c r="O2158" s="10" t="str">
        <f t="shared" si="79"/>
        <v>12/2025</v>
      </c>
      <c r="P2158" s="10" t="str">
        <f t="shared" si="121"/>
        <v>12/2025</v>
      </c>
      <c r="Q2158" s="15" t="str">
        <f t="array" ref="Q2158">IFERROR(XLOOKUP(N2158,'Classificação'!A:A,'Classificação'!B:B),"")</f>
        <v>DESPESAS COM OCUPAÇÃO</v>
      </c>
      <c r="R2158" s="15" t="str">
        <f t="array" ref="R2158">IFERROR(XLOOKUP(Q2158,'Classificação'!B:B,'Classificação'!C:C),"")</f>
        <v>DESPESAS FIXAS (-)</v>
      </c>
      <c r="S2158" s="15">
        <f t="shared" si="91"/>
        <v>22</v>
      </c>
      <c r="T2158" s="15">
        <f t="shared" si="6"/>
        <v>12</v>
      </c>
      <c r="U2158" s="15">
        <f t="shared" si="7"/>
        <v>2025</v>
      </c>
      <c r="V2158" s="15">
        <f t="shared" si="8"/>
        <v>22</v>
      </c>
      <c r="W2158" s="15">
        <f t="shared" si="9"/>
        <v>12</v>
      </c>
      <c r="X2158" s="15">
        <f t="shared" si="10"/>
        <v>2025</v>
      </c>
    </row>
    <row r="2159">
      <c r="A2159" s="32">
        <v>46013.0</v>
      </c>
      <c r="B2159" s="9">
        <v>45754.0</v>
      </c>
      <c r="C2159" s="9">
        <f t="shared" si="90"/>
        <v>46013</v>
      </c>
      <c r="D2159" s="11" t="s">
        <v>699</v>
      </c>
      <c r="E2159" s="29" t="s">
        <v>25</v>
      </c>
      <c r="F2159" s="11" t="s">
        <v>107</v>
      </c>
      <c r="G2159" s="11" t="s">
        <v>27</v>
      </c>
      <c r="H2159" s="11" t="s">
        <v>700</v>
      </c>
      <c r="I2159" s="31">
        <v>57.0</v>
      </c>
      <c r="J2159" s="13"/>
      <c r="K2159" s="13">
        <f t="shared" si="125"/>
        <v>57</v>
      </c>
      <c r="L2159" s="11" t="s">
        <v>53</v>
      </c>
      <c r="M2159" s="17">
        <v>45938.0</v>
      </c>
      <c r="N2159" s="11" t="s">
        <v>95</v>
      </c>
      <c r="O2159" s="10" t="str">
        <f t="shared" si="79"/>
        <v>12/2025</v>
      </c>
      <c r="P2159" s="10" t="str">
        <f t="shared" si="121"/>
        <v>12/2025</v>
      </c>
      <c r="Q2159" s="15" t="str">
        <f t="array" ref="Q2159">IFERROR(XLOOKUP(N2159,'Classificação'!A:A,'Classificação'!B:B),"")</f>
        <v>DESPESAS NÃO OPERACIONAIS</v>
      </c>
      <c r="R2159" s="15" t="str">
        <f t="array" ref="R2159">IFERROR(XLOOKUP(Q2159,'Classificação'!B:B,'Classificação'!C:C),"")</f>
        <v>RESULTADO NÃO OPERACIONAL (+/-)</v>
      </c>
      <c r="S2159" s="15">
        <f t="shared" si="91"/>
        <v>22</v>
      </c>
      <c r="T2159" s="15">
        <f t="shared" si="6"/>
        <v>12</v>
      </c>
      <c r="U2159" s="15">
        <f t="shared" si="7"/>
        <v>2025</v>
      </c>
      <c r="V2159" s="15">
        <f t="shared" si="8"/>
        <v>22</v>
      </c>
      <c r="W2159" s="15">
        <f t="shared" si="9"/>
        <v>12</v>
      </c>
      <c r="X2159" s="15">
        <f t="shared" si="10"/>
        <v>2025</v>
      </c>
    </row>
    <row r="2160">
      <c r="A2160" s="32">
        <v>46013.0</v>
      </c>
      <c r="B2160" s="9">
        <v>45757.0</v>
      </c>
      <c r="C2160" s="9">
        <f t="shared" si="90"/>
        <v>46013</v>
      </c>
      <c r="D2160" s="11" t="s">
        <v>65</v>
      </c>
      <c r="E2160" s="29" t="s">
        <v>25</v>
      </c>
      <c r="F2160" s="11" t="s">
        <v>107</v>
      </c>
      <c r="G2160" s="11" t="s">
        <v>27</v>
      </c>
      <c r="H2160" s="11" t="s">
        <v>681</v>
      </c>
      <c r="I2160" s="31">
        <v>47.73</v>
      </c>
      <c r="J2160" s="13"/>
      <c r="K2160" s="13">
        <f t="shared" si="125"/>
        <v>47.73</v>
      </c>
      <c r="L2160" s="11" t="s">
        <v>53</v>
      </c>
      <c r="M2160" s="17">
        <v>45999.0</v>
      </c>
      <c r="N2160" s="11" t="s">
        <v>95</v>
      </c>
      <c r="O2160" s="10" t="str">
        <f t="shared" si="79"/>
        <v>12/2025</v>
      </c>
      <c r="P2160" s="10" t="str">
        <f t="shared" si="121"/>
        <v>12/2025</v>
      </c>
      <c r="Q2160" s="15" t="str">
        <f t="array" ref="Q2160">IFERROR(XLOOKUP(N2160,'Classificação'!A:A,'Classificação'!B:B),"")</f>
        <v>DESPESAS NÃO OPERACIONAIS</v>
      </c>
      <c r="R2160" s="15" t="str">
        <f t="array" ref="R2160">IFERROR(XLOOKUP(Q2160,'Classificação'!B:B,'Classificação'!C:C),"")</f>
        <v>RESULTADO NÃO OPERACIONAL (+/-)</v>
      </c>
      <c r="S2160" s="15">
        <f t="shared" si="91"/>
        <v>22</v>
      </c>
      <c r="T2160" s="15">
        <f t="shared" si="6"/>
        <v>12</v>
      </c>
      <c r="U2160" s="15">
        <f t="shared" si="7"/>
        <v>2025</v>
      </c>
      <c r="V2160" s="15">
        <f t="shared" si="8"/>
        <v>22</v>
      </c>
      <c r="W2160" s="15">
        <f t="shared" si="9"/>
        <v>12</v>
      </c>
      <c r="X2160" s="15">
        <f t="shared" si="10"/>
        <v>2025</v>
      </c>
    </row>
    <row r="2161">
      <c r="A2161" s="32">
        <v>46013.0</v>
      </c>
      <c r="B2161" s="9">
        <v>45757.0</v>
      </c>
      <c r="C2161" s="9">
        <f t="shared" si="90"/>
        <v>46013</v>
      </c>
      <c r="D2161" s="11" t="s">
        <v>65</v>
      </c>
      <c r="E2161" s="29" t="s">
        <v>25</v>
      </c>
      <c r="F2161" s="11" t="s">
        <v>107</v>
      </c>
      <c r="G2161" s="11" t="s">
        <v>27</v>
      </c>
      <c r="H2161" s="11" t="s">
        <v>739</v>
      </c>
      <c r="I2161" s="31">
        <v>48.17</v>
      </c>
      <c r="J2161" s="13"/>
      <c r="K2161" s="13">
        <f t="shared" si="125"/>
        <v>48.17</v>
      </c>
      <c r="L2161" s="11" t="s">
        <v>53</v>
      </c>
      <c r="M2161" s="17">
        <v>45969.0</v>
      </c>
      <c r="N2161" s="11" t="s">
        <v>95</v>
      </c>
      <c r="O2161" s="10" t="str">
        <f t="shared" si="79"/>
        <v>12/2025</v>
      </c>
      <c r="P2161" s="10" t="str">
        <f t="shared" si="121"/>
        <v>12/2025</v>
      </c>
      <c r="Q2161" s="15" t="str">
        <f t="array" ref="Q2161">IFERROR(XLOOKUP(N2161,'Classificação'!A:A,'Classificação'!B:B),"")</f>
        <v>DESPESAS NÃO OPERACIONAIS</v>
      </c>
      <c r="R2161" s="15" t="str">
        <f t="array" ref="R2161">IFERROR(XLOOKUP(Q2161,'Classificação'!B:B,'Classificação'!C:C),"")</f>
        <v>RESULTADO NÃO OPERACIONAL (+/-)</v>
      </c>
      <c r="S2161" s="15">
        <f t="shared" si="91"/>
        <v>22</v>
      </c>
      <c r="T2161" s="15">
        <f t="shared" si="6"/>
        <v>12</v>
      </c>
      <c r="U2161" s="15">
        <f t="shared" si="7"/>
        <v>2025</v>
      </c>
      <c r="V2161" s="15">
        <f t="shared" si="8"/>
        <v>22</v>
      </c>
      <c r="W2161" s="15">
        <f t="shared" si="9"/>
        <v>12</v>
      </c>
      <c r="X2161" s="15">
        <f t="shared" si="10"/>
        <v>2025</v>
      </c>
    </row>
    <row r="2162">
      <c r="A2162" s="32">
        <v>46013.0</v>
      </c>
      <c r="B2162" s="9">
        <v>45776.0</v>
      </c>
      <c r="C2162" s="9">
        <f t="shared" si="90"/>
        <v>46013</v>
      </c>
      <c r="D2162" s="11" t="s">
        <v>65</v>
      </c>
      <c r="E2162" s="29" t="s">
        <v>25</v>
      </c>
      <c r="F2162" s="11" t="s">
        <v>110</v>
      </c>
      <c r="G2162" s="11" t="s">
        <v>27</v>
      </c>
      <c r="H2162" s="11" t="s">
        <v>752</v>
      </c>
      <c r="I2162" s="12">
        <v>98.4</v>
      </c>
      <c r="J2162" s="13"/>
      <c r="K2162" s="13">
        <f t="shared" si="125"/>
        <v>98.4</v>
      </c>
      <c r="L2162" s="11" t="s">
        <v>53</v>
      </c>
      <c r="M2162" s="17">
        <v>45938.0</v>
      </c>
      <c r="N2162" s="11" t="s">
        <v>58</v>
      </c>
      <c r="O2162" s="10" t="str">
        <f t="shared" si="79"/>
        <v>12/2025</v>
      </c>
      <c r="P2162" s="10" t="str">
        <f t="shared" si="121"/>
        <v>12/2025</v>
      </c>
      <c r="Q2162" s="15" t="str">
        <f t="array" ref="Q2162">IFERROR(XLOOKUP(N2162,'Classificação'!A:A,'Classificação'!B:B),"")</f>
        <v>DESPESAS ADMINISTRATIVAS</v>
      </c>
      <c r="R2162" s="15" t="str">
        <f t="array" ref="R2162">IFERROR(XLOOKUP(Q2162,'Classificação'!B:B,'Classificação'!C:C),"")</f>
        <v>DESPESAS FIXAS (-)</v>
      </c>
      <c r="S2162" s="15">
        <f t="shared" si="91"/>
        <v>22</v>
      </c>
      <c r="T2162" s="15">
        <f t="shared" si="6"/>
        <v>12</v>
      </c>
      <c r="U2162" s="15">
        <f t="shared" si="7"/>
        <v>2025</v>
      </c>
      <c r="V2162" s="15">
        <f t="shared" si="8"/>
        <v>22</v>
      </c>
      <c r="W2162" s="15">
        <f t="shared" si="9"/>
        <v>12</v>
      </c>
      <c r="X2162" s="15">
        <f t="shared" si="10"/>
        <v>2025</v>
      </c>
    </row>
    <row r="2163">
      <c r="A2163" s="32">
        <v>46013.0</v>
      </c>
      <c r="B2163" s="10"/>
      <c r="C2163" s="9">
        <f t="shared" si="90"/>
        <v>46013</v>
      </c>
      <c r="D2163" s="11" t="s">
        <v>131</v>
      </c>
      <c r="E2163" s="29" t="s">
        <v>25</v>
      </c>
      <c r="F2163" s="28" t="s">
        <v>107</v>
      </c>
      <c r="G2163" s="28" t="s">
        <v>27</v>
      </c>
      <c r="H2163" s="11" t="s">
        <v>822</v>
      </c>
      <c r="I2163" s="31">
        <v>221.74</v>
      </c>
      <c r="J2163" s="13"/>
      <c r="K2163" s="13">
        <f t="shared" si="125"/>
        <v>221.74</v>
      </c>
      <c r="L2163" s="28" t="s">
        <v>53</v>
      </c>
      <c r="M2163" s="17">
        <v>45998.0</v>
      </c>
      <c r="N2163" s="11" t="s">
        <v>133</v>
      </c>
      <c r="O2163" s="10" t="str">
        <f t="shared" si="79"/>
        <v>12/2025</v>
      </c>
      <c r="P2163" s="10" t="str">
        <f t="shared" si="121"/>
        <v>12/2025</v>
      </c>
      <c r="Q2163" s="15" t="str">
        <f t="array" ref="Q2163">IFERROR(XLOOKUP(N2163,'Classificação'!A:A,'Classificação'!B:B),"")</f>
        <v>DESPESAS COM VEICULOS</v>
      </c>
      <c r="R2163" s="15" t="str">
        <f t="array" ref="R2163">IFERROR(XLOOKUP(Q2163,'Classificação'!B:B,'Classificação'!C:C),"")</f>
        <v>DESPESAS FIXAS (-)</v>
      </c>
      <c r="S2163" s="15">
        <f t="shared" si="91"/>
        <v>22</v>
      </c>
      <c r="T2163" s="15">
        <f t="shared" si="6"/>
        <v>12</v>
      </c>
      <c r="U2163" s="15">
        <f t="shared" si="7"/>
        <v>2025</v>
      </c>
      <c r="V2163" s="15">
        <f t="shared" si="8"/>
        <v>22</v>
      </c>
      <c r="W2163" s="15">
        <f t="shared" si="9"/>
        <v>12</v>
      </c>
      <c r="X2163" s="15">
        <f t="shared" si="10"/>
        <v>2025</v>
      </c>
    </row>
    <row r="2164">
      <c r="A2164" s="32">
        <v>46013.0</v>
      </c>
      <c r="B2164" s="9">
        <v>45837.0</v>
      </c>
      <c r="C2164" s="9">
        <f t="shared" si="90"/>
        <v>46013</v>
      </c>
      <c r="D2164" s="11" t="s">
        <v>65</v>
      </c>
      <c r="E2164" s="29" t="s">
        <v>25</v>
      </c>
      <c r="F2164" s="11" t="s">
        <v>107</v>
      </c>
      <c r="G2164" s="11" t="s">
        <v>27</v>
      </c>
      <c r="H2164" s="11" t="s">
        <v>874</v>
      </c>
      <c r="I2164" s="31">
        <v>51.06</v>
      </c>
      <c r="J2164" s="13"/>
      <c r="K2164" s="13">
        <f t="shared" si="125"/>
        <v>51.06</v>
      </c>
      <c r="L2164" s="11" t="s">
        <v>53</v>
      </c>
      <c r="M2164" s="17">
        <v>45997.0</v>
      </c>
      <c r="N2164" s="11" t="s">
        <v>95</v>
      </c>
      <c r="O2164" s="10" t="str">
        <f t="shared" si="79"/>
        <v>12/2025</v>
      </c>
      <c r="P2164" s="10" t="str">
        <f t="shared" si="121"/>
        <v>12/2025</v>
      </c>
      <c r="Q2164" s="15" t="str">
        <f t="array" ref="Q2164">IFERROR(XLOOKUP(N2164,'Classificação'!A:A,'Classificação'!B:B),"")</f>
        <v>DESPESAS NÃO OPERACIONAIS</v>
      </c>
      <c r="R2164" s="15" t="str">
        <f t="array" ref="R2164">IFERROR(XLOOKUP(Q2164,'Classificação'!B:B,'Classificação'!C:C),"")</f>
        <v>RESULTADO NÃO OPERACIONAL (+/-)</v>
      </c>
      <c r="S2164" s="15">
        <f t="shared" si="91"/>
        <v>22</v>
      </c>
      <c r="T2164" s="15">
        <f t="shared" si="6"/>
        <v>12</v>
      </c>
      <c r="U2164" s="15">
        <f t="shared" si="7"/>
        <v>2025</v>
      </c>
      <c r="V2164" s="15">
        <f t="shared" si="8"/>
        <v>22</v>
      </c>
      <c r="W2164" s="15">
        <f t="shared" si="9"/>
        <v>12</v>
      </c>
      <c r="X2164" s="15">
        <f t="shared" si="10"/>
        <v>2025</v>
      </c>
    </row>
    <row r="2165">
      <c r="A2165" s="32">
        <v>46013.0</v>
      </c>
      <c r="B2165" s="9">
        <v>45842.0</v>
      </c>
      <c r="C2165" s="9">
        <f t="shared" si="90"/>
        <v>46013</v>
      </c>
      <c r="D2165" s="11" t="s">
        <v>877</v>
      </c>
      <c r="E2165" s="29" t="s">
        <v>25</v>
      </c>
      <c r="F2165" s="11" t="s">
        <v>107</v>
      </c>
      <c r="G2165" s="11" t="s">
        <v>27</v>
      </c>
      <c r="H2165" s="11" t="s">
        <v>878</v>
      </c>
      <c r="I2165" s="31">
        <v>200.0</v>
      </c>
      <c r="J2165" s="13"/>
      <c r="K2165" s="13">
        <f t="shared" si="125"/>
        <v>200</v>
      </c>
      <c r="L2165" s="11" t="s">
        <v>53</v>
      </c>
      <c r="M2165" s="17">
        <v>45936.0</v>
      </c>
      <c r="N2165" s="11" t="s">
        <v>175</v>
      </c>
      <c r="O2165" s="10" t="str">
        <f t="shared" si="79"/>
        <v>12/2025</v>
      </c>
      <c r="P2165" s="10" t="str">
        <f t="shared" si="121"/>
        <v>12/2025</v>
      </c>
      <c r="Q2165" s="15" t="str">
        <f t="array" ref="Q2165">IFERROR(XLOOKUP(N2165,'Classificação'!A:A,'Classificação'!B:B),"")</f>
        <v>DESPESAS COM VEICULOS</v>
      </c>
      <c r="R2165" s="15" t="str">
        <f t="array" ref="R2165">IFERROR(XLOOKUP(Q2165,'Classificação'!B:B,'Classificação'!C:C),"")</f>
        <v>DESPESAS FIXAS (-)</v>
      </c>
      <c r="S2165" s="15">
        <f t="shared" si="91"/>
        <v>22</v>
      </c>
      <c r="T2165" s="15">
        <f t="shared" si="6"/>
        <v>12</v>
      </c>
      <c r="U2165" s="15">
        <f t="shared" si="7"/>
        <v>2025</v>
      </c>
      <c r="V2165" s="15">
        <f t="shared" si="8"/>
        <v>22</v>
      </c>
      <c r="W2165" s="15">
        <f t="shared" si="9"/>
        <v>12</v>
      </c>
      <c r="X2165" s="15">
        <f t="shared" si="10"/>
        <v>2025</v>
      </c>
    </row>
    <row r="2166">
      <c r="A2166" s="32">
        <v>46013.0</v>
      </c>
      <c r="B2166" s="9">
        <v>45842.0</v>
      </c>
      <c r="C2166" s="9">
        <f t="shared" si="90"/>
        <v>46013</v>
      </c>
      <c r="D2166" s="11" t="s">
        <v>877</v>
      </c>
      <c r="E2166" s="29" t="s">
        <v>25</v>
      </c>
      <c r="F2166" s="11" t="s">
        <v>107</v>
      </c>
      <c r="G2166" s="11" t="s">
        <v>27</v>
      </c>
      <c r="H2166" s="11" t="s">
        <v>878</v>
      </c>
      <c r="I2166" s="31">
        <v>338.3</v>
      </c>
      <c r="J2166" s="13"/>
      <c r="K2166" s="13">
        <f t="shared" si="125"/>
        <v>338.3</v>
      </c>
      <c r="L2166" s="11" t="s">
        <v>53</v>
      </c>
      <c r="M2166" s="17">
        <v>45936.0</v>
      </c>
      <c r="N2166" s="11" t="s">
        <v>175</v>
      </c>
      <c r="O2166" s="10" t="str">
        <f t="shared" si="79"/>
        <v>12/2025</v>
      </c>
      <c r="P2166" s="10" t="str">
        <f t="shared" si="121"/>
        <v>12/2025</v>
      </c>
      <c r="Q2166" s="15" t="str">
        <f t="array" ref="Q2166">IFERROR(XLOOKUP(N2166,'Classificação'!A:A,'Classificação'!B:B),"")</f>
        <v>DESPESAS COM VEICULOS</v>
      </c>
      <c r="R2166" s="15" t="str">
        <f t="array" ref="R2166">IFERROR(XLOOKUP(Q2166,'Classificação'!B:B,'Classificação'!C:C),"")</f>
        <v>DESPESAS FIXAS (-)</v>
      </c>
      <c r="S2166" s="15">
        <f t="shared" si="91"/>
        <v>22</v>
      </c>
      <c r="T2166" s="15">
        <f t="shared" si="6"/>
        <v>12</v>
      </c>
      <c r="U2166" s="15">
        <f t="shared" si="7"/>
        <v>2025</v>
      </c>
      <c r="V2166" s="15">
        <f t="shared" si="8"/>
        <v>22</v>
      </c>
      <c r="W2166" s="15">
        <f t="shared" si="9"/>
        <v>12</v>
      </c>
      <c r="X2166" s="15">
        <f t="shared" si="10"/>
        <v>2025</v>
      </c>
    </row>
    <row r="2167">
      <c r="A2167" s="32">
        <v>46013.0</v>
      </c>
      <c r="B2167" s="26">
        <v>45867.0</v>
      </c>
      <c r="C2167" s="9">
        <f t="shared" si="90"/>
        <v>46013</v>
      </c>
      <c r="D2167" s="28" t="s">
        <v>109</v>
      </c>
      <c r="E2167" s="29" t="s">
        <v>25</v>
      </c>
      <c r="F2167" s="29" t="s">
        <v>107</v>
      </c>
      <c r="G2167" s="28" t="s">
        <v>27</v>
      </c>
      <c r="H2167" s="11" t="s">
        <v>911</v>
      </c>
      <c r="I2167" s="33">
        <v>24.15</v>
      </c>
      <c r="J2167" s="13"/>
      <c r="K2167" s="13">
        <f t="shared" si="125"/>
        <v>24.15</v>
      </c>
      <c r="L2167" s="11" t="s">
        <v>53</v>
      </c>
      <c r="M2167" s="17">
        <v>45996.0</v>
      </c>
      <c r="N2167" s="28" t="s">
        <v>105</v>
      </c>
      <c r="O2167" s="10" t="str">
        <f t="shared" si="79"/>
        <v>12/2025</v>
      </c>
      <c r="P2167" s="10" t="str">
        <f t="shared" si="121"/>
        <v>12/2025</v>
      </c>
      <c r="Q2167" s="15" t="str">
        <f t="array" ref="Q2167">IFERROR(XLOOKUP(N2167,'Classificação'!A:A,'Classificação'!B:B),"")</f>
        <v>DESPESAS ADMINISTRATIVAS</v>
      </c>
      <c r="R2167" s="15" t="str">
        <f t="array" ref="R2167">IFERROR(XLOOKUP(Q2167,'Classificação'!B:B,'Classificação'!C:C),"")</f>
        <v>DESPESAS FIXAS (-)</v>
      </c>
      <c r="S2167" s="15">
        <f t="shared" si="91"/>
        <v>22</v>
      </c>
      <c r="T2167" s="15">
        <f t="shared" si="6"/>
        <v>12</v>
      </c>
      <c r="U2167" s="15">
        <f t="shared" si="7"/>
        <v>2025</v>
      </c>
      <c r="V2167" s="15">
        <f t="shared" si="8"/>
        <v>22</v>
      </c>
      <c r="W2167" s="15">
        <f t="shared" si="9"/>
        <v>12</v>
      </c>
      <c r="X2167" s="15">
        <f t="shared" si="10"/>
        <v>2025</v>
      </c>
    </row>
    <row r="2168">
      <c r="A2168" s="32">
        <v>46013.0</v>
      </c>
      <c r="B2168" s="9">
        <v>45863.0</v>
      </c>
      <c r="C2168" s="9">
        <f t="shared" si="90"/>
        <v>46013</v>
      </c>
      <c r="D2168" s="11" t="s">
        <v>65</v>
      </c>
      <c r="E2168" s="29" t="s">
        <v>25</v>
      </c>
      <c r="F2168" s="11" t="s">
        <v>107</v>
      </c>
      <c r="G2168" s="11" t="s">
        <v>27</v>
      </c>
      <c r="H2168" s="11" t="s">
        <v>915</v>
      </c>
      <c r="I2168" s="31">
        <v>185.16</v>
      </c>
      <c r="J2168" s="13"/>
      <c r="K2168" s="13">
        <f t="shared" si="125"/>
        <v>185.16</v>
      </c>
      <c r="L2168" s="11" t="s">
        <v>53</v>
      </c>
      <c r="M2168" s="17">
        <v>45996.0</v>
      </c>
      <c r="N2168" s="11" t="s">
        <v>95</v>
      </c>
      <c r="O2168" s="10" t="str">
        <f t="shared" si="79"/>
        <v>12/2025</v>
      </c>
      <c r="P2168" s="10" t="str">
        <f t="shared" si="121"/>
        <v>12/2025</v>
      </c>
      <c r="Q2168" s="15" t="str">
        <f t="array" ref="Q2168">IFERROR(XLOOKUP(N2168,'Classificação'!A:A,'Classificação'!B:B),"")</f>
        <v>DESPESAS NÃO OPERACIONAIS</v>
      </c>
      <c r="R2168" s="15" t="str">
        <f t="array" ref="R2168">IFERROR(XLOOKUP(Q2168,'Classificação'!B:B,'Classificação'!C:C),"")</f>
        <v>RESULTADO NÃO OPERACIONAL (+/-)</v>
      </c>
      <c r="S2168" s="15">
        <f t="shared" si="91"/>
        <v>22</v>
      </c>
      <c r="T2168" s="15">
        <f t="shared" si="6"/>
        <v>12</v>
      </c>
      <c r="U2168" s="15">
        <f t="shared" si="7"/>
        <v>2025</v>
      </c>
      <c r="V2168" s="15">
        <f t="shared" si="8"/>
        <v>22</v>
      </c>
      <c r="W2168" s="15">
        <f t="shared" si="9"/>
        <v>12</v>
      </c>
      <c r="X2168" s="15">
        <f t="shared" si="10"/>
        <v>2025</v>
      </c>
    </row>
    <row r="2169">
      <c r="A2169" s="32">
        <v>46013.0</v>
      </c>
      <c r="B2169" s="9">
        <v>45880.0</v>
      </c>
      <c r="C2169" s="9">
        <f t="shared" si="90"/>
        <v>46013</v>
      </c>
      <c r="D2169" s="11" t="s">
        <v>65</v>
      </c>
      <c r="E2169" s="29" t="s">
        <v>25</v>
      </c>
      <c r="F2169" s="11" t="s">
        <v>107</v>
      </c>
      <c r="G2169" s="11" t="s">
        <v>27</v>
      </c>
      <c r="H2169" s="11" t="s">
        <v>949</v>
      </c>
      <c r="I2169" s="31">
        <v>132.99</v>
      </c>
      <c r="J2169" s="13"/>
      <c r="K2169" s="13">
        <f t="shared" si="125"/>
        <v>132.99</v>
      </c>
      <c r="L2169" s="11" t="s">
        <v>53</v>
      </c>
      <c r="M2169" s="17">
        <v>45751.0</v>
      </c>
      <c r="N2169" s="11" t="s">
        <v>143</v>
      </c>
      <c r="O2169" s="10" t="str">
        <f t="shared" si="79"/>
        <v>12/2025</v>
      </c>
      <c r="P2169" s="10" t="str">
        <f t="shared" si="121"/>
        <v>12/2025</v>
      </c>
      <c r="Q2169" s="15" t="str">
        <f t="array" ref="Q2169">IFERROR(XLOOKUP(N2169,'Classificação'!A:A,'Classificação'!B:B),"")</f>
        <v>EMBALAGENS/FITAS/GERAL</v>
      </c>
      <c r="R2169" s="15" t="str">
        <f t="array" ref="R2169">IFERROR(XLOOKUP(Q2169,'Classificação'!B:B,'Classificação'!C:C),"")</f>
        <v>CUSTOS VARIÁVEIS</v>
      </c>
      <c r="S2169" s="15">
        <f t="shared" si="91"/>
        <v>22</v>
      </c>
      <c r="T2169" s="15">
        <f t="shared" si="6"/>
        <v>12</v>
      </c>
      <c r="U2169" s="15">
        <f t="shared" si="7"/>
        <v>2025</v>
      </c>
      <c r="V2169" s="15">
        <f t="shared" si="8"/>
        <v>22</v>
      </c>
      <c r="W2169" s="15">
        <f t="shared" si="9"/>
        <v>12</v>
      </c>
      <c r="X2169" s="15">
        <f t="shared" si="10"/>
        <v>2025</v>
      </c>
    </row>
    <row r="2170">
      <c r="A2170" s="32">
        <v>46013.0</v>
      </c>
      <c r="B2170" s="9">
        <v>45881.0</v>
      </c>
      <c r="C2170" s="9">
        <f t="shared" si="90"/>
        <v>46013</v>
      </c>
      <c r="D2170" s="11" t="s">
        <v>877</v>
      </c>
      <c r="E2170" s="29" t="s">
        <v>25</v>
      </c>
      <c r="F2170" s="11" t="s">
        <v>107</v>
      </c>
      <c r="G2170" s="11" t="s">
        <v>27</v>
      </c>
      <c r="H2170" s="11" t="s">
        <v>878</v>
      </c>
      <c r="I2170" s="31">
        <v>114.49</v>
      </c>
      <c r="J2170" s="13"/>
      <c r="K2170" s="13">
        <f t="shared" si="125"/>
        <v>114.49</v>
      </c>
      <c r="L2170" s="11" t="s">
        <v>53</v>
      </c>
      <c r="M2170" s="17">
        <v>45781.0</v>
      </c>
      <c r="N2170" s="11" t="s">
        <v>175</v>
      </c>
      <c r="O2170" s="10" t="str">
        <f t="shared" si="79"/>
        <v>12/2025</v>
      </c>
      <c r="P2170" s="10" t="str">
        <f t="shared" si="121"/>
        <v>12/2025</v>
      </c>
      <c r="Q2170" s="15" t="str">
        <f t="array" ref="Q2170">IFERROR(XLOOKUP(N2170,'Classificação'!A:A,'Classificação'!B:B),"")</f>
        <v>DESPESAS COM VEICULOS</v>
      </c>
      <c r="R2170" s="15" t="str">
        <f t="array" ref="R2170">IFERROR(XLOOKUP(Q2170,'Classificação'!B:B,'Classificação'!C:C),"")</f>
        <v>DESPESAS FIXAS (-)</v>
      </c>
      <c r="S2170" s="15">
        <f t="shared" si="91"/>
        <v>22</v>
      </c>
      <c r="T2170" s="15">
        <f t="shared" si="6"/>
        <v>12</v>
      </c>
      <c r="U2170" s="15">
        <f t="shared" si="7"/>
        <v>2025</v>
      </c>
      <c r="V2170" s="15">
        <f t="shared" si="8"/>
        <v>22</v>
      </c>
      <c r="W2170" s="15">
        <f t="shared" si="9"/>
        <v>12</v>
      </c>
      <c r="X2170" s="15">
        <f t="shared" si="10"/>
        <v>2025</v>
      </c>
    </row>
    <row r="2171">
      <c r="A2171" s="32">
        <v>46013.0</v>
      </c>
      <c r="B2171" s="9">
        <v>45885.0</v>
      </c>
      <c r="C2171" s="9">
        <f t="shared" si="90"/>
        <v>46013</v>
      </c>
      <c r="D2171" s="11" t="s">
        <v>959</v>
      </c>
      <c r="E2171" s="29" t="s">
        <v>25</v>
      </c>
      <c r="F2171" s="11" t="s">
        <v>107</v>
      </c>
      <c r="G2171" s="11" t="s">
        <v>27</v>
      </c>
      <c r="H2171" s="11" t="s">
        <v>960</v>
      </c>
      <c r="I2171" s="31">
        <v>259.76</v>
      </c>
      <c r="J2171" s="13"/>
      <c r="K2171" s="13">
        <f t="shared" si="125"/>
        <v>259.76</v>
      </c>
      <c r="L2171" s="11" t="s">
        <v>53</v>
      </c>
      <c r="M2171" s="17">
        <v>45781.0</v>
      </c>
      <c r="N2171" s="11" t="s">
        <v>95</v>
      </c>
      <c r="O2171" s="10" t="str">
        <f t="shared" si="79"/>
        <v>12/2025</v>
      </c>
      <c r="P2171" s="10" t="str">
        <f t="shared" si="121"/>
        <v>12/2025</v>
      </c>
      <c r="Q2171" s="15" t="str">
        <f t="array" ref="Q2171">IFERROR(XLOOKUP(N2171,'Classificação'!A:A,'Classificação'!B:B),"")</f>
        <v>DESPESAS NÃO OPERACIONAIS</v>
      </c>
      <c r="R2171" s="15" t="str">
        <f t="array" ref="R2171">IFERROR(XLOOKUP(Q2171,'Classificação'!B:B,'Classificação'!C:C),"")</f>
        <v>RESULTADO NÃO OPERACIONAL (+/-)</v>
      </c>
      <c r="S2171" s="15">
        <f t="shared" si="91"/>
        <v>22</v>
      </c>
      <c r="T2171" s="15">
        <f t="shared" si="6"/>
        <v>12</v>
      </c>
      <c r="U2171" s="15">
        <f t="shared" si="7"/>
        <v>2025</v>
      </c>
      <c r="V2171" s="15">
        <f t="shared" si="8"/>
        <v>22</v>
      </c>
      <c r="W2171" s="15">
        <f t="shared" si="9"/>
        <v>12</v>
      </c>
      <c r="X2171" s="15">
        <f t="shared" si="10"/>
        <v>2025</v>
      </c>
    </row>
    <row r="2172">
      <c r="A2172" s="32">
        <v>46013.0</v>
      </c>
      <c r="B2172" s="9">
        <v>45930.0</v>
      </c>
      <c r="C2172" s="9">
        <f t="shared" si="90"/>
        <v>46013</v>
      </c>
      <c r="D2172" s="11" t="s">
        <v>65</v>
      </c>
      <c r="E2172" s="29" t="s">
        <v>25</v>
      </c>
      <c r="F2172" s="11" t="s">
        <v>107</v>
      </c>
      <c r="G2172" s="28" t="s">
        <v>27</v>
      </c>
      <c r="H2172" s="11" t="s">
        <v>1025</v>
      </c>
      <c r="I2172" s="31">
        <v>33.0</v>
      </c>
      <c r="J2172" s="13"/>
      <c r="K2172" s="13">
        <f t="shared" si="125"/>
        <v>33</v>
      </c>
      <c r="L2172" s="28" t="s">
        <v>53</v>
      </c>
      <c r="M2172" s="17">
        <v>45719.0</v>
      </c>
      <c r="N2172" s="11" t="s">
        <v>105</v>
      </c>
      <c r="O2172" s="10" t="str">
        <f t="shared" si="79"/>
        <v>12/2025</v>
      </c>
      <c r="P2172" s="10" t="str">
        <f t="shared" si="121"/>
        <v>12/2025</v>
      </c>
      <c r="Q2172" s="15" t="str">
        <f t="array" ref="Q2172">IFERROR(XLOOKUP(N2172,'Classificação'!A:A,'Classificação'!B:B),"")</f>
        <v>DESPESAS ADMINISTRATIVAS</v>
      </c>
      <c r="R2172" s="15" t="str">
        <f t="array" ref="R2172">IFERROR(XLOOKUP(Q2172,'Classificação'!B:B,'Classificação'!C:C),"")</f>
        <v>DESPESAS FIXAS (-)</v>
      </c>
      <c r="S2172" s="15">
        <f t="shared" si="91"/>
        <v>22</v>
      </c>
      <c r="T2172" s="15">
        <f t="shared" si="6"/>
        <v>12</v>
      </c>
      <c r="U2172" s="15">
        <f t="shared" si="7"/>
        <v>2025</v>
      </c>
      <c r="V2172" s="15">
        <f t="shared" si="8"/>
        <v>22</v>
      </c>
      <c r="W2172" s="15">
        <f t="shared" si="9"/>
        <v>12</v>
      </c>
      <c r="X2172" s="15">
        <f t="shared" si="10"/>
        <v>2025</v>
      </c>
    </row>
    <row r="2173">
      <c r="A2173" s="32">
        <v>46013.0</v>
      </c>
      <c r="B2173" s="32">
        <v>45940.0</v>
      </c>
      <c r="C2173" s="9">
        <f t="shared" si="90"/>
        <v>46013</v>
      </c>
      <c r="D2173" s="11" t="s">
        <v>65</v>
      </c>
      <c r="E2173" s="29" t="s">
        <v>25</v>
      </c>
      <c r="F2173" s="11" t="s">
        <v>107</v>
      </c>
      <c r="G2173" s="28" t="s">
        <v>27</v>
      </c>
      <c r="H2173" s="11" t="s">
        <v>259</v>
      </c>
      <c r="I2173" s="31">
        <v>425.02</v>
      </c>
      <c r="J2173" s="13"/>
      <c r="K2173" s="13">
        <f t="shared" si="125"/>
        <v>425.02</v>
      </c>
      <c r="L2173" s="11" t="s">
        <v>53</v>
      </c>
      <c r="M2173" s="17">
        <v>45718.0</v>
      </c>
      <c r="N2173" s="11" t="s">
        <v>143</v>
      </c>
      <c r="O2173" s="10" t="str">
        <f t="shared" si="79"/>
        <v>12/2025</v>
      </c>
      <c r="P2173" s="10" t="str">
        <f t="shared" si="121"/>
        <v>12/2025</v>
      </c>
      <c r="Q2173" s="15" t="str">
        <f t="array" ref="Q2173">IFERROR(XLOOKUP(N2173,'Classificação'!A:A,'Classificação'!B:B),"")</f>
        <v>EMBALAGENS/FITAS/GERAL</v>
      </c>
      <c r="R2173" s="15" t="str">
        <f t="array" ref="R2173">IFERROR(XLOOKUP(Q2173,'Classificação'!B:B,'Classificação'!C:C),"")</f>
        <v>CUSTOS VARIÁVEIS</v>
      </c>
      <c r="S2173" s="15">
        <f t="shared" si="91"/>
        <v>22</v>
      </c>
      <c r="T2173" s="15">
        <f t="shared" si="6"/>
        <v>12</v>
      </c>
      <c r="U2173" s="15">
        <f t="shared" si="7"/>
        <v>2025</v>
      </c>
      <c r="V2173" s="15">
        <f t="shared" si="8"/>
        <v>22</v>
      </c>
      <c r="W2173" s="15">
        <f t="shared" si="9"/>
        <v>12</v>
      </c>
      <c r="X2173" s="15">
        <f t="shared" si="10"/>
        <v>2025</v>
      </c>
    </row>
    <row r="2174">
      <c r="A2174" s="32">
        <v>46013.0</v>
      </c>
      <c r="B2174" s="32">
        <v>45940.0</v>
      </c>
      <c r="C2174" s="9">
        <f t="shared" si="90"/>
        <v>46013</v>
      </c>
      <c r="D2174" s="11" t="s">
        <v>65</v>
      </c>
      <c r="E2174" s="29" t="s">
        <v>25</v>
      </c>
      <c r="F2174" s="11" t="s">
        <v>107</v>
      </c>
      <c r="G2174" s="28" t="s">
        <v>27</v>
      </c>
      <c r="H2174" s="11" t="s">
        <v>259</v>
      </c>
      <c r="I2174" s="31">
        <v>419.4</v>
      </c>
      <c r="J2174" s="13"/>
      <c r="K2174" s="13">
        <f t="shared" si="125"/>
        <v>419.4</v>
      </c>
      <c r="L2174" s="11" t="s">
        <v>53</v>
      </c>
      <c r="M2174" s="17">
        <v>45718.0</v>
      </c>
      <c r="N2174" s="11" t="s">
        <v>143</v>
      </c>
      <c r="O2174" s="10" t="str">
        <f t="shared" si="79"/>
        <v>12/2025</v>
      </c>
      <c r="P2174" s="10" t="str">
        <f t="shared" si="121"/>
        <v>12/2025</v>
      </c>
      <c r="Q2174" s="15" t="str">
        <f t="array" ref="Q2174">IFERROR(XLOOKUP(N2174,'Classificação'!A:A,'Classificação'!B:B),"")</f>
        <v>EMBALAGENS/FITAS/GERAL</v>
      </c>
      <c r="R2174" s="15" t="str">
        <f t="array" ref="R2174">IFERROR(XLOOKUP(Q2174,'Classificação'!B:B,'Classificação'!C:C),"")</f>
        <v>CUSTOS VARIÁVEIS</v>
      </c>
      <c r="S2174" s="15">
        <f t="shared" si="91"/>
        <v>22</v>
      </c>
      <c r="T2174" s="15">
        <f t="shared" si="6"/>
        <v>12</v>
      </c>
      <c r="U2174" s="15">
        <f t="shared" si="7"/>
        <v>2025</v>
      </c>
      <c r="V2174" s="15">
        <f t="shared" si="8"/>
        <v>22</v>
      </c>
      <c r="W2174" s="15">
        <f t="shared" si="9"/>
        <v>12</v>
      </c>
      <c r="X2174" s="15">
        <f t="shared" si="10"/>
        <v>2025</v>
      </c>
    </row>
    <row r="2175">
      <c r="A2175" s="32">
        <v>46013.0</v>
      </c>
      <c r="B2175" s="32">
        <v>45947.0</v>
      </c>
      <c r="C2175" s="9">
        <f t="shared" si="90"/>
        <v>46013</v>
      </c>
      <c r="D2175" s="11" t="s">
        <v>65</v>
      </c>
      <c r="E2175" s="29" t="s">
        <v>25</v>
      </c>
      <c r="F2175" s="11" t="s">
        <v>107</v>
      </c>
      <c r="G2175" s="11" t="s">
        <v>27</v>
      </c>
      <c r="H2175" s="11" t="s">
        <v>1068</v>
      </c>
      <c r="I2175" s="31">
        <v>115.71</v>
      </c>
      <c r="J2175" s="13"/>
      <c r="K2175" s="13">
        <f t="shared" si="125"/>
        <v>115.71</v>
      </c>
      <c r="L2175" s="11" t="s">
        <v>53</v>
      </c>
      <c r="M2175" s="17">
        <v>45718.0</v>
      </c>
      <c r="N2175" s="11" t="s">
        <v>145</v>
      </c>
      <c r="O2175" s="10" t="str">
        <f t="shared" si="79"/>
        <v>12/2025</v>
      </c>
      <c r="P2175" s="10" t="str">
        <f t="shared" si="121"/>
        <v>12/2025</v>
      </c>
      <c r="Q2175" s="15" t="str">
        <f t="array" ref="Q2175">IFERROR(XLOOKUP(N2175,'Classificação'!A:A,'Classificação'!B:B),"")</f>
        <v>DESPESAS ADMINISTRATIVAS</v>
      </c>
      <c r="R2175" s="15" t="str">
        <f t="array" ref="R2175">IFERROR(XLOOKUP(Q2175,'Classificação'!B:B,'Classificação'!C:C),"")</f>
        <v>DESPESAS FIXAS (-)</v>
      </c>
      <c r="S2175" s="15">
        <f t="shared" si="91"/>
        <v>22</v>
      </c>
      <c r="T2175" s="15">
        <f t="shared" si="6"/>
        <v>12</v>
      </c>
      <c r="U2175" s="15">
        <f t="shared" si="7"/>
        <v>2025</v>
      </c>
      <c r="V2175" s="15">
        <f t="shared" si="8"/>
        <v>22</v>
      </c>
      <c r="W2175" s="15">
        <f t="shared" si="9"/>
        <v>12</v>
      </c>
      <c r="X2175" s="15">
        <f t="shared" si="10"/>
        <v>2025</v>
      </c>
    </row>
    <row r="2176">
      <c r="A2176" s="32">
        <v>46013.0</v>
      </c>
      <c r="B2176" s="32">
        <v>45669.0</v>
      </c>
      <c r="C2176" s="9">
        <f t="shared" si="90"/>
        <v>46013</v>
      </c>
      <c r="D2176" s="11" t="s">
        <v>65</v>
      </c>
      <c r="E2176" s="29" t="s">
        <v>25</v>
      </c>
      <c r="F2176" s="11" t="s">
        <v>107</v>
      </c>
      <c r="G2176" s="11" t="s">
        <v>27</v>
      </c>
      <c r="H2176" s="11" t="s">
        <v>612</v>
      </c>
      <c r="I2176" s="31">
        <v>8.9</v>
      </c>
      <c r="J2176" s="13"/>
      <c r="K2176" s="13">
        <f t="shared" si="125"/>
        <v>8.9</v>
      </c>
      <c r="L2176" s="11" t="s">
        <v>29</v>
      </c>
      <c r="M2176" s="14"/>
      <c r="N2176" s="11" t="s">
        <v>105</v>
      </c>
      <c r="O2176" s="10" t="str">
        <f t="shared" si="79"/>
        <v>12/2025</v>
      </c>
      <c r="P2176" s="10" t="str">
        <f t="shared" si="121"/>
        <v>12/2025</v>
      </c>
      <c r="Q2176" s="15" t="str">
        <f t="array" ref="Q2176">IFERROR(XLOOKUP(N2176,'Classificação'!A:A,'Classificação'!B:B),"")</f>
        <v>DESPESAS ADMINISTRATIVAS</v>
      </c>
      <c r="R2176" s="15" t="str">
        <f t="array" ref="R2176">IFERROR(XLOOKUP(Q2176,'Classificação'!B:B,'Classificação'!C:C),"")</f>
        <v>DESPESAS FIXAS (-)</v>
      </c>
      <c r="S2176" s="15">
        <f t="shared" si="91"/>
        <v>22</v>
      </c>
      <c r="T2176" s="15">
        <f t="shared" si="6"/>
        <v>12</v>
      </c>
      <c r="U2176" s="15">
        <f t="shared" si="7"/>
        <v>2025</v>
      </c>
      <c r="V2176" s="15">
        <f t="shared" si="8"/>
        <v>22</v>
      </c>
      <c r="W2176" s="15">
        <f t="shared" si="9"/>
        <v>12</v>
      </c>
      <c r="X2176" s="15">
        <f t="shared" si="10"/>
        <v>2025</v>
      </c>
    </row>
    <row r="2177">
      <c r="A2177" s="32">
        <v>46013.0</v>
      </c>
      <c r="B2177" s="32">
        <v>45952.0</v>
      </c>
      <c r="C2177" s="9">
        <f t="shared" si="90"/>
        <v>46013</v>
      </c>
      <c r="D2177" s="11" t="s">
        <v>65</v>
      </c>
      <c r="E2177" s="29" t="s">
        <v>25</v>
      </c>
      <c r="F2177" s="11" t="s">
        <v>107</v>
      </c>
      <c r="G2177" s="28" t="s">
        <v>27</v>
      </c>
      <c r="H2177" s="11" t="s">
        <v>1068</v>
      </c>
      <c r="I2177" s="31">
        <v>114.19</v>
      </c>
      <c r="J2177" s="13"/>
      <c r="K2177" s="13">
        <f t="shared" si="125"/>
        <v>114.19</v>
      </c>
      <c r="L2177" s="11" t="s">
        <v>53</v>
      </c>
      <c r="M2177" s="17">
        <v>45749.0</v>
      </c>
      <c r="N2177" s="11" t="s">
        <v>95</v>
      </c>
      <c r="O2177" s="10" t="str">
        <f t="shared" si="79"/>
        <v>12/2025</v>
      </c>
      <c r="P2177" s="10" t="str">
        <f t="shared" si="121"/>
        <v>12/2025</v>
      </c>
      <c r="Q2177" s="15" t="str">
        <f t="array" ref="Q2177">IFERROR(XLOOKUP(N2177,'Classificação'!A:A,'Classificação'!B:B),"")</f>
        <v>DESPESAS NÃO OPERACIONAIS</v>
      </c>
      <c r="R2177" s="15" t="str">
        <f t="array" ref="R2177">IFERROR(XLOOKUP(Q2177,'Classificação'!B:B,'Classificação'!C:C),"")</f>
        <v>RESULTADO NÃO OPERACIONAL (+/-)</v>
      </c>
      <c r="S2177" s="15">
        <f t="shared" si="91"/>
        <v>22</v>
      </c>
      <c r="T2177" s="15">
        <f t="shared" si="6"/>
        <v>12</v>
      </c>
      <c r="U2177" s="15">
        <f t="shared" si="7"/>
        <v>2025</v>
      </c>
      <c r="V2177" s="15">
        <f t="shared" si="8"/>
        <v>22</v>
      </c>
      <c r="W2177" s="15">
        <f t="shared" si="9"/>
        <v>12</v>
      </c>
      <c r="X2177" s="15">
        <f t="shared" si="10"/>
        <v>2025</v>
      </c>
    </row>
    <row r="2178">
      <c r="A2178" s="32">
        <v>46013.0</v>
      </c>
      <c r="B2178" s="32">
        <v>45958.0</v>
      </c>
      <c r="C2178" s="9">
        <f t="shared" si="90"/>
        <v>46013</v>
      </c>
      <c r="D2178" s="11" t="s">
        <v>1072</v>
      </c>
      <c r="E2178" s="29" t="s">
        <v>25</v>
      </c>
      <c r="F2178" s="11" t="s">
        <v>110</v>
      </c>
      <c r="G2178" s="28" t="s">
        <v>27</v>
      </c>
      <c r="H2178" s="11" t="s">
        <v>1073</v>
      </c>
      <c r="I2178" s="12">
        <v>119.66</v>
      </c>
      <c r="J2178" s="13"/>
      <c r="K2178" s="13">
        <f t="shared" si="125"/>
        <v>119.66</v>
      </c>
      <c r="L2178" s="11" t="s">
        <v>53</v>
      </c>
      <c r="M2178" s="17">
        <v>45718.0</v>
      </c>
      <c r="N2178" s="11" t="s">
        <v>175</v>
      </c>
      <c r="O2178" s="10" t="str">
        <f t="shared" si="79"/>
        <v>12/2025</v>
      </c>
      <c r="P2178" s="10" t="str">
        <f t="shared" si="121"/>
        <v>12/2025</v>
      </c>
      <c r="Q2178" s="15" t="str">
        <f t="array" ref="Q2178">IFERROR(XLOOKUP(N2178,'Classificação'!A:A,'Classificação'!B:B),"")</f>
        <v>DESPESAS COM VEICULOS</v>
      </c>
      <c r="R2178" s="15" t="str">
        <f t="array" ref="R2178">IFERROR(XLOOKUP(Q2178,'Classificação'!B:B,'Classificação'!C:C),"")</f>
        <v>DESPESAS FIXAS (-)</v>
      </c>
      <c r="S2178" s="15">
        <f t="shared" si="91"/>
        <v>22</v>
      </c>
      <c r="T2178" s="15">
        <f t="shared" si="6"/>
        <v>12</v>
      </c>
      <c r="U2178" s="15">
        <f t="shared" si="7"/>
        <v>2025</v>
      </c>
      <c r="V2178" s="15">
        <f t="shared" si="8"/>
        <v>22</v>
      </c>
      <c r="W2178" s="15">
        <f t="shared" si="9"/>
        <v>12</v>
      </c>
      <c r="X2178" s="15">
        <f t="shared" si="10"/>
        <v>2025</v>
      </c>
    </row>
    <row r="2179">
      <c r="A2179" s="32">
        <v>46013.0</v>
      </c>
      <c r="B2179" s="32">
        <v>45959.0</v>
      </c>
      <c r="C2179" s="9">
        <f t="shared" si="90"/>
        <v>46013</v>
      </c>
      <c r="D2179" s="11" t="s">
        <v>65</v>
      </c>
      <c r="E2179" s="29" t="s">
        <v>25</v>
      </c>
      <c r="F2179" s="11" t="s">
        <v>107</v>
      </c>
      <c r="G2179" s="28" t="s">
        <v>27</v>
      </c>
      <c r="H2179" s="11" t="s">
        <v>677</v>
      </c>
      <c r="I2179" s="31">
        <v>267.8</v>
      </c>
      <c r="J2179" s="13"/>
      <c r="K2179" s="13">
        <f t="shared" si="125"/>
        <v>267.8</v>
      </c>
      <c r="L2179" s="11" t="s">
        <v>53</v>
      </c>
      <c r="M2179" s="17">
        <v>45690.0</v>
      </c>
      <c r="N2179" s="11" t="s">
        <v>143</v>
      </c>
      <c r="O2179" s="10" t="str">
        <f t="shared" si="79"/>
        <v>12/2025</v>
      </c>
      <c r="P2179" s="10" t="str">
        <f t="shared" si="121"/>
        <v>12/2025</v>
      </c>
      <c r="Q2179" s="15" t="str">
        <f t="array" ref="Q2179">IFERROR(XLOOKUP(N2179,'Classificação'!A:A,'Classificação'!B:B),"")</f>
        <v>EMBALAGENS/FITAS/GERAL</v>
      </c>
      <c r="R2179" s="15" t="str">
        <f t="array" ref="R2179">IFERROR(XLOOKUP(Q2179,'Classificação'!B:B,'Classificação'!C:C),"")</f>
        <v>CUSTOS VARIÁVEIS</v>
      </c>
      <c r="S2179" s="15">
        <f t="shared" si="91"/>
        <v>22</v>
      </c>
      <c r="T2179" s="15">
        <f t="shared" si="6"/>
        <v>12</v>
      </c>
      <c r="U2179" s="15">
        <f t="shared" si="7"/>
        <v>2025</v>
      </c>
      <c r="V2179" s="15">
        <f t="shared" si="8"/>
        <v>22</v>
      </c>
      <c r="W2179" s="15">
        <f t="shared" si="9"/>
        <v>12</v>
      </c>
      <c r="X2179" s="15">
        <f t="shared" si="10"/>
        <v>2025</v>
      </c>
    </row>
    <row r="2180">
      <c r="A2180" s="32">
        <v>46013.0</v>
      </c>
      <c r="B2180" s="32">
        <v>45973.0</v>
      </c>
      <c r="C2180" s="9">
        <f t="shared" si="90"/>
        <v>46013</v>
      </c>
      <c r="D2180" s="11" t="s">
        <v>114</v>
      </c>
      <c r="E2180" s="29" t="s">
        <v>25</v>
      </c>
      <c r="F2180" s="11" t="s">
        <v>107</v>
      </c>
      <c r="G2180" s="28" t="s">
        <v>27</v>
      </c>
      <c r="H2180" s="11" t="s">
        <v>1126</v>
      </c>
      <c r="I2180" s="31">
        <v>525.09</v>
      </c>
      <c r="J2180" s="13"/>
      <c r="K2180" s="13">
        <f t="shared" si="125"/>
        <v>525.09</v>
      </c>
      <c r="L2180" s="11" t="s">
        <v>34</v>
      </c>
      <c r="M2180" s="14"/>
      <c r="N2180" s="11" t="s">
        <v>259</v>
      </c>
      <c r="O2180" s="10" t="str">
        <f t="shared" si="79"/>
        <v>12/2025</v>
      </c>
      <c r="P2180" s="10" t="str">
        <f t="shared" si="121"/>
        <v>12/2025</v>
      </c>
      <c r="Q2180" s="15" t="str">
        <f t="array" ref="Q2180">IFERROR(XLOOKUP(N2180,'Classificação'!A:A,'Classificação'!B:B),"")</f>
        <v>DESPESAS ADMINISTRATIVAS</v>
      </c>
      <c r="R2180" s="15" t="str">
        <f t="array" ref="R2180">IFERROR(XLOOKUP(Q2180,'Classificação'!B:B,'Classificação'!C:C),"")</f>
        <v>DESPESAS FIXAS (-)</v>
      </c>
      <c r="S2180" s="15">
        <f t="shared" si="91"/>
        <v>22</v>
      </c>
      <c r="T2180" s="15">
        <f t="shared" si="6"/>
        <v>12</v>
      </c>
      <c r="U2180" s="15">
        <f t="shared" si="7"/>
        <v>2025</v>
      </c>
      <c r="V2180" s="15">
        <f t="shared" si="8"/>
        <v>22</v>
      </c>
      <c r="W2180" s="15">
        <f t="shared" si="9"/>
        <v>12</v>
      </c>
      <c r="X2180" s="15">
        <f t="shared" si="10"/>
        <v>2025</v>
      </c>
    </row>
    <row r="2181">
      <c r="A2181" s="32">
        <v>46013.0</v>
      </c>
      <c r="B2181" s="32">
        <v>45978.0</v>
      </c>
      <c r="C2181" s="9">
        <f t="shared" si="90"/>
        <v>46013</v>
      </c>
      <c r="D2181" s="11" t="s">
        <v>167</v>
      </c>
      <c r="E2181" s="29" t="s">
        <v>25</v>
      </c>
      <c r="F2181" s="11" t="s">
        <v>107</v>
      </c>
      <c r="G2181" s="28" t="s">
        <v>27</v>
      </c>
      <c r="H2181" s="11" t="s">
        <v>1127</v>
      </c>
      <c r="I2181" s="31">
        <v>93.27</v>
      </c>
      <c r="J2181" s="13"/>
      <c r="K2181" s="13">
        <f t="shared" si="125"/>
        <v>93.27</v>
      </c>
      <c r="L2181" s="11" t="s">
        <v>34</v>
      </c>
      <c r="M2181" s="14"/>
      <c r="N2181" s="11" t="s">
        <v>78</v>
      </c>
      <c r="O2181" s="10" t="str">
        <f t="shared" si="79"/>
        <v>12/2025</v>
      </c>
      <c r="P2181" s="10" t="str">
        <f t="shared" si="121"/>
        <v>12/2025</v>
      </c>
      <c r="Q2181" s="15" t="str">
        <f t="array" ref="Q2181">IFERROR(XLOOKUP(N2181,'Classificação'!A:A,'Classificação'!B:B),"")</f>
        <v>DESPESAS COM PESSOAL</v>
      </c>
      <c r="R2181" s="15" t="str">
        <f t="array" ref="R2181">IFERROR(XLOOKUP(Q2181,'Classificação'!B:B,'Classificação'!C:C),"")</f>
        <v>DESPESAS FIXAS (-)</v>
      </c>
      <c r="S2181" s="15">
        <f t="shared" si="91"/>
        <v>22</v>
      </c>
      <c r="T2181" s="15">
        <f t="shared" si="6"/>
        <v>12</v>
      </c>
      <c r="U2181" s="15">
        <f t="shared" si="7"/>
        <v>2025</v>
      </c>
      <c r="V2181" s="15">
        <f t="shared" si="8"/>
        <v>22</v>
      </c>
      <c r="W2181" s="15">
        <f t="shared" si="9"/>
        <v>12</v>
      </c>
      <c r="X2181" s="15">
        <f t="shared" si="10"/>
        <v>2025</v>
      </c>
    </row>
    <row r="2182">
      <c r="A2182" s="32">
        <v>46013.0</v>
      </c>
      <c r="B2182" s="32">
        <v>45978.0</v>
      </c>
      <c r="C2182" s="9">
        <f t="shared" si="90"/>
        <v>46013</v>
      </c>
      <c r="D2182" s="11" t="s">
        <v>264</v>
      </c>
      <c r="E2182" s="29" t="s">
        <v>25</v>
      </c>
      <c r="F2182" s="11" t="s">
        <v>107</v>
      </c>
      <c r="G2182" s="28" t="s">
        <v>27</v>
      </c>
      <c r="H2182" s="11" t="s">
        <v>266</v>
      </c>
      <c r="I2182" s="31">
        <v>10.0</v>
      </c>
      <c r="J2182" s="13"/>
      <c r="K2182" s="13">
        <f t="shared" si="125"/>
        <v>10</v>
      </c>
      <c r="L2182" s="11" t="s">
        <v>34</v>
      </c>
      <c r="M2182" s="14"/>
      <c r="N2182" s="11" t="s">
        <v>266</v>
      </c>
      <c r="O2182" s="10" t="str">
        <f t="shared" si="79"/>
        <v>12/2025</v>
      </c>
      <c r="P2182" s="10" t="str">
        <f t="shared" si="121"/>
        <v>12/2025</v>
      </c>
      <c r="Q2182" s="15" t="str">
        <f t="array" ref="Q2182">IFERROR(XLOOKUP(N2182,'Classificação'!A:A,'Classificação'!B:B),"")</f>
        <v>DESPESAS COM VIAGENS</v>
      </c>
      <c r="R2182" s="15" t="str">
        <f t="array" ref="R2182">IFERROR(XLOOKUP(Q2182,'Classificação'!B:B,'Classificação'!C:C),"")</f>
        <v>DESPESAS FIXAS (-)</v>
      </c>
      <c r="S2182" s="15">
        <f t="shared" si="91"/>
        <v>22</v>
      </c>
      <c r="T2182" s="15">
        <f t="shared" si="6"/>
        <v>12</v>
      </c>
      <c r="U2182" s="15">
        <f t="shared" si="7"/>
        <v>2025</v>
      </c>
      <c r="V2182" s="15">
        <f t="shared" si="8"/>
        <v>22</v>
      </c>
      <c r="W2182" s="15">
        <f t="shared" si="9"/>
        <v>12</v>
      </c>
      <c r="X2182" s="15">
        <f t="shared" si="10"/>
        <v>2025</v>
      </c>
    </row>
    <row r="2183">
      <c r="A2183" s="32">
        <v>46013.0</v>
      </c>
      <c r="B2183" s="32">
        <v>45985.0</v>
      </c>
      <c r="C2183" s="9">
        <f t="shared" si="90"/>
        <v>46013</v>
      </c>
      <c r="D2183" s="29" t="s">
        <v>81</v>
      </c>
      <c r="E2183" s="29" t="s">
        <v>25</v>
      </c>
      <c r="F2183" s="29" t="s">
        <v>107</v>
      </c>
      <c r="G2183" s="28" t="s">
        <v>27</v>
      </c>
      <c r="H2183" s="29" t="s">
        <v>1128</v>
      </c>
      <c r="I2183" s="33">
        <v>471.76</v>
      </c>
      <c r="J2183" s="13"/>
      <c r="K2183" s="13">
        <f t="shared" si="125"/>
        <v>471.76</v>
      </c>
      <c r="L2183" s="29" t="s">
        <v>34</v>
      </c>
      <c r="M2183" s="16"/>
      <c r="N2183" s="29" t="s">
        <v>71</v>
      </c>
      <c r="O2183" s="10" t="str">
        <f t="shared" si="79"/>
        <v>12/2025</v>
      </c>
      <c r="P2183" s="10" t="str">
        <f t="shared" si="121"/>
        <v>12/2025</v>
      </c>
      <c r="Q2183" s="15" t="str">
        <f t="array" ref="Q2183">IFERROR(XLOOKUP(N2183,'Classificação'!A:A,'Classificação'!B:B),"")</f>
        <v>DESPESAS DIVERSAS</v>
      </c>
      <c r="R2183" s="15" t="str">
        <f t="array" ref="R2183">IFERROR(XLOOKUP(Q2183,'Classificação'!B:B,'Classificação'!C:C),"")</f>
        <v>DESPESAS FIXAS (-)</v>
      </c>
      <c r="S2183" s="15">
        <f t="shared" si="91"/>
        <v>22</v>
      </c>
      <c r="T2183" s="15">
        <f t="shared" si="6"/>
        <v>12</v>
      </c>
      <c r="U2183" s="15">
        <f t="shared" si="7"/>
        <v>2025</v>
      </c>
      <c r="V2183" s="15">
        <f t="shared" si="8"/>
        <v>22</v>
      </c>
      <c r="W2183" s="15">
        <f t="shared" si="9"/>
        <v>12</v>
      </c>
      <c r="X2183" s="15">
        <f t="shared" si="10"/>
        <v>2025</v>
      </c>
    </row>
    <row r="2184">
      <c r="A2184" s="32">
        <v>46013.0</v>
      </c>
      <c r="B2184" s="32">
        <v>45983.0</v>
      </c>
      <c r="C2184" s="9">
        <f t="shared" si="90"/>
        <v>46013</v>
      </c>
      <c r="D2184" s="11" t="s">
        <v>179</v>
      </c>
      <c r="E2184" s="29" t="s">
        <v>25</v>
      </c>
      <c r="F2184" s="29" t="s">
        <v>107</v>
      </c>
      <c r="G2184" s="28" t="s">
        <v>27</v>
      </c>
      <c r="H2184" s="11" t="s">
        <v>497</v>
      </c>
      <c r="I2184" s="31">
        <v>207.54</v>
      </c>
      <c r="J2184" s="13"/>
      <c r="K2184" s="13">
        <f t="shared" si="125"/>
        <v>207.54</v>
      </c>
      <c r="L2184" s="29" t="s">
        <v>34</v>
      </c>
      <c r="M2184" s="14"/>
      <c r="N2184" s="11" t="s">
        <v>181</v>
      </c>
      <c r="O2184" s="10" t="str">
        <f t="shared" si="79"/>
        <v>12/2025</v>
      </c>
      <c r="P2184" s="10" t="str">
        <f t="shared" si="121"/>
        <v>12/2025</v>
      </c>
      <c r="Q2184" s="15" t="str">
        <f t="array" ref="Q2184">IFERROR(XLOOKUP(N2184,'Classificação'!A:A,'Classificação'!B:B),"")</f>
        <v>DESPESAS COM VEICULOS</v>
      </c>
      <c r="R2184" s="15" t="str">
        <f t="array" ref="R2184">IFERROR(XLOOKUP(Q2184,'Classificação'!B:B,'Classificação'!C:C),"")</f>
        <v>DESPESAS FIXAS (-)</v>
      </c>
      <c r="S2184" s="15">
        <f t="shared" si="91"/>
        <v>22</v>
      </c>
      <c r="T2184" s="15">
        <f t="shared" si="6"/>
        <v>12</v>
      </c>
      <c r="U2184" s="15">
        <f t="shared" si="7"/>
        <v>2025</v>
      </c>
      <c r="V2184" s="15">
        <f t="shared" si="8"/>
        <v>22</v>
      </c>
      <c r="W2184" s="15">
        <f t="shared" si="9"/>
        <v>12</v>
      </c>
      <c r="X2184" s="15">
        <f t="shared" si="10"/>
        <v>2025</v>
      </c>
    </row>
    <row r="2185">
      <c r="A2185" s="32">
        <v>46013.0</v>
      </c>
      <c r="B2185" s="9">
        <v>45993.0</v>
      </c>
      <c r="C2185" s="9">
        <f t="shared" si="90"/>
        <v>46013</v>
      </c>
      <c r="D2185" s="11" t="s">
        <v>114</v>
      </c>
      <c r="E2185" s="29" t="s">
        <v>25</v>
      </c>
      <c r="F2185" s="11" t="s">
        <v>107</v>
      </c>
      <c r="G2185" s="28" t="s">
        <v>27</v>
      </c>
      <c r="H2185" s="11" t="s">
        <v>1129</v>
      </c>
      <c r="I2185" s="31">
        <v>148.7</v>
      </c>
      <c r="J2185" s="13"/>
      <c r="K2185" s="13">
        <f t="shared" si="125"/>
        <v>148.7</v>
      </c>
      <c r="L2185" s="11" t="s">
        <v>34</v>
      </c>
      <c r="M2185" s="14"/>
      <c r="N2185" s="11" t="s">
        <v>143</v>
      </c>
      <c r="O2185" s="10" t="str">
        <f t="shared" si="79"/>
        <v>12/2025</v>
      </c>
      <c r="P2185" s="10" t="str">
        <f t="shared" si="121"/>
        <v>12/2025</v>
      </c>
      <c r="Q2185" s="15" t="str">
        <f t="array" ref="Q2185">IFERROR(XLOOKUP(N2185,'Classificação'!A:A,'Classificação'!B:B),"")</f>
        <v>EMBALAGENS/FITAS/GERAL</v>
      </c>
      <c r="R2185" s="15" t="str">
        <f t="array" ref="R2185">IFERROR(XLOOKUP(Q2185,'Classificação'!B:B,'Classificação'!C:C),"")</f>
        <v>CUSTOS VARIÁVEIS</v>
      </c>
      <c r="S2185" s="15">
        <f t="shared" si="91"/>
        <v>22</v>
      </c>
      <c r="T2185" s="15">
        <f t="shared" si="6"/>
        <v>12</v>
      </c>
      <c r="U2185" s="15">
        <f t="shared" si="7"/>
        <v>2025</v>
      </c>
      <c r="V2185" s="15">
        <f t="shared" si="8"/>
        <v>22</v>
      </c>
      <c r="W2185" s="15">
        <f t="shared" si="9"/>
        <v>12</v>
      </c>
      <c r="X2185" s="15">
        <f t="shared" si="10"/>
        <v>2025</v>
      </c>
    </row>
    <row r="2186">
      <c r="A2186" s="32">
        <v>46013.0</v>
      </c>
      <c r="B2186" s="32">
        <v>45989.0</v>
      </c>
      <c r="C2186" s="9">
        <f t="shared" si="90"/>
        <v>46013</v>
      </c>
      <c r="D2186" s="11" t="s">
        <v>179</v>
      </c>
      <c r="E2186" s="29" t="s">
        <v>25</v>
      </c>
      <c r="F2186" s="11" t="s">
        <v>107</v>
      </c>
      <c r="G2186" s="28" t="s">
        <v>27</v>
      </c>
      <c r="H2186" s="11" t="s">
        <v>1130</v>
      </c>
      <c r="I2186" s="31">
        <v>128.0</v>
      </c>
      <c r="J2186" s="13"/>
      <c r="K2186" s="13">
        <f t="shared" si="125"/>
        <v>128</v>
      </c>
      <c r="L2186" s="11" t="s">
        <v>34</v>
      </c>
      <c r="M2186" s="14"/>
      <c r="N2186" s="11" t="s">
        <v>143</v>
      </c>
      <c r="O2186" s="10" t="str">
        <f t="shared" si="79"/>
        <v>12/2025</v>
      </c>
      <c r="P2186" s="10" t="str">
        <f t="shared" si="121"/>
        <v>12/2025</v>
      </c>
      <c r="Q2186" s="15" t="str">
        <f t="array" ref="Q2186">IFERROR(XLOOKUP(N2186,'Classificação'!A:A,'Classificação'!B:B),"")</f>
        <v>EMBALAGENS/FITAS/GERAL</v>
      </c>
      <c r="R2186" s="15" t="str">
        <f t="array" ref="R2186">IFERROR(XLOOKUP(Q2186,'Classificação'!B:B,'Classificação'!C:C),"")</f>
        <v>CUSTOS VARIÁVEIS</v>
      </c>
      <c r="S2186" s="15">
        <f t="shared" si="91"/>
        <v>22</v>
      </c>
      <c r="T2186" s="15">
        <f t="shared" si="6"/>
        <v>12</v>
      </c>
      <c r="U2186" s="15">
        <f t="shared" si="7"/>
        <v>2025</v>
      </c>
      <c r="V2186" s="15">
        <f t="shared" si="8"/>
        <v>22</v>
      </c>
      <c r="W2186" s="15">
        <f t="shared" si="9"/>
        <v>12</v>
      </c>
      <c r="X2186" s="15">
        <f t="shared" si="10"/>
        <v>2025</v>
      </c>
    </row>
    <row r="2187">
      <c r="A2187" s="32">
        <v>46013.0</v>
      </c>
      <c r="B2187" s="32">
        <v>45989.0</v>
      </c>
      <c r="C2187" s="9">
        <f t="shared" si="90"/>
        <v>46013</v>
      </c>
      <c r="D2187" s="11" t="s">
        <v>499</v>
      </c>
      <c r="E2187" s="29" t="s">
        <v>25</v>
      </c>
      <c r="F2187" s="11" t="s">
        <v>107</v>
      </c>
      <c r="G2187" s="28" t="s">
        <v>27</v>
      </c>
      <c r="H2187" s="11" t="s">
        <v>1131</v>
      </c>
      <c r="I2187" s="31">
        <v>24.0</v>
      </c>
      <c r="J2187" s="13"/>
      <c r="K2187" s="13">
        <f t="shared" si="125"/>
        <v>24</v>
      </c>
      <c r="L2187" s="11" t="s">
        <v>34</v>
      </c>
      <c r="M2187" s="14"/>
      <c r="N2187" s="11" t="s">
        <v>448</v>
      </c>
      <c r="O2187" s="10" t="str">
        <f t="shared" si="79"/>
        <v>12/2025</v>
      </c>
      <c r="P2187" s="10" t="str">
        <f t="shared" si="121"/>
        <v>12/2025</v>
      </c>
      <c r="Q2187" s="15" t="str">
        <f t="array" ref="Q2187">IFERROR(XLOOKUP(N2187,'Classificação'!A:A,'Classificação'!B:B),"")</f>
        <v>DESPESAS ADMINISTRATIVAS</v>
      </c>
      <c r="R2187" s="15" t="str">
        <f t="array" ref="R2187">IFERROR(XLOOKUP(Q2187,'Classificação'!B:B,'Classificação'!C:C),"")</f>
        <v>DESPESAS FIXAS (-)</v>
      </c>
      <c r="S2187" s="15">
        <f t="shared" si="91"/>
        <v>22</v>
      </c>
      <c r="T2187" s="15">
        <f t="shared" si="6"/>
        <v>12</v>
      </c>
      <c r="U2187" s="15">
        <f t="shared" si="7"/>
        <v>2025</v>
      </c>
      <c r="V2187" s="15">
        <f t="shared" si="8"/>
        <v>22</v>
      </c>
      <c r="W2187" s="15">
        <f t="shared" si="9"/>
        <v>12</v>
      </c>
      <c r="X2187" s="15">
        <f t="shared" si="10"/>
        <v>2025</v>
      </c>
    </row>
    <row r="2188">
      <c r="A2188" s="9">
        <v>46013.0</v>
      </c>
      <c r="B2188" s="10"/>
      <c r="C2188" s="9">
        <f t="shared" si="90"/>
        <v>46013</v>
      </c>
      <c r="D2188" s="28" t="s">
        <v>76</v>
      </c>
      <c r="E2188" s="29" t="s">
        <v>25</v>
      </c>
      <c r="F2188" s="28" t="s">
        <v>26</v>
      </c>
      <c r="G2188" s="29" t="s">
        <v>37</v>
      </c>
      <c r="H2188" s="28" t="s">
        <v>84</v>
      </c>
      <c r="I2188" s="24">
        <v>2428.54</v>
      </c>
      <c r="J2188" s="13"/>
      <c r="K2188" s="13">
        <f t="shared" si="125"/>
        <v>2428.54</v>
      </c>
      <c r="L2188" s="28" t="s">
        <v>53</v>
      </c>
      <c r="M2188" s="16" t="s">
        <v>1132</v>
      </c>
      <c r="N2188" s="28" t="s">
        <v>85</v>
      </c>
      <c r="O2188" s="10" t="str">
        <f t="shared" si="79"/>
        <v>12/2025</v>
      </c>
      <c r="P2188" s="10" t="str">
        <f t="shared" si="121"/>
        <v>12/2025</v>
      </c>
      <c r="Q2188" s="15" t="str">
        <f t="array" ref="Q2188">IFERROR(XLOOKUP(N2188,'Classificação'!A:A,'Classificação'!B:B),"")</f>
        <v>DESPESAS NÃO OPERACIONAIS</v>
      </c>
      <c r="R2188" s="15" t="str">
        <f t="array" ref="R2188">IFERROR(XLOOKUP(Q2188,'Classificação'!B:B,'Classificação'!C:C),"")</f>
        <v>RESULTADO NÃO OPERACIONAL (+/-)</v>
      </c>
      <c r="S2188" s="15">
        <f t="shared" si="91"/>
        <v>22</v>
      </c>
      <c r="T2188" s="15">
        <f t="shared" si="6"/>
        <v>12</v>
      </c>
      <c r="U2188" s="15">
        <f t="shared" si="7"/>
        <v>2025</v>
      </c>
      <c r="V2188" s="15">
        <f t="shared" si="8"/>
        <v>22</v>
      </c>
      <c r="W2188" s="15">
        <f t="shared" si="9"/>
        <v>12</v>
      </c>
      <c r="X2188" s="15">
        <f t="shared" si="10"/>
        <v>2025</v>
      </c>
    </row>
    <row r="2189">
      <c r="A2189" s="32">
        <v>46013.0</v>
      </c>
      <c r="B2189" s="9">
        <v>45996.0</v>
      </c>
      <c r="C2189" s="9">
        <f t="shared" si="90"/>
        <v>46013</v>
      </c>
      <c r="D2189" s="11" t="s">
        <v>182</v>
      </c>
      <c r="E2189" s="29" t="s">
        <v>25</v>
      </c>
      <c r="F2189" s="11" t="s">
        <v>107</v>
      </c>
      <c r="G2189" s="28" t="s">
        <v>27</v>
      </c>
      <c r="H2189" s="11" t="s">
        <v>1133</v>
      </c>
      <c r="I2189" s="31">
        <v>23.93</v>
      </c>
      <c r="J2189" s="13"/>
      <c r="K2189" s="13">
        <f t="shared" si="125"/>
        <v>23.93</v>
      </c>
      <c r="L2189" s="11" t="s">
        <v>34</v>
      </c>
      <c r="M2189" s="14"/>
      <c r="N2189" s="11" t="s">
        <v>184</v>
      </c>
      <c r="O2189" s="10" t="str">
        <f t="shared" si="79"/>
        <v>12/2025</v>
      </c>
      <c r="P2189" s="10" t="str">
        <f t="shared" si="121"/>
        <v>12/2025</v>
      </c>
      <c r="Q2189" s="15" t="str">
        <f t="array" ref="Q2189">IFERROR(XLOOKUP(N2189,'Classificação'!A:A,'Classificação'!B:B),"")</f>
        <v>DESPESAS ADMINISTRATIVAS</v>
      </c>
      <c r="R2189" s="15" t="str">
        <f t="array" ref="R2189">IFERROR(XLOOKUP(Q2189,'Classificação'!B:B,'Classificação'!C:C),"")</f>
        <v>DESPESAS FIXAS (-)</v>
      </c>
      <c r="S2189" s="15">
        <f t="shared" si="91"/>
        <v>22</v>
      </c>
      <c r="T2189" s="15">
        <f t="shared" si="6"/>
        <v>12</v>
      </c>
      <c r="U2189" s="15">
        <f t="shared" si="7"/>
        <v>2025</v>
      </c>
      <c r="V2189" s="15">
        <f t="shared" si="8"/>
        <v>22</v>
      </c>
      <c r="W2189" s="15">
        <f t="shared" si="9"/>
        <v>12</v>
      </c>
      <c r="X2189" s="15">
        <f t="shared" si="10"/>
        <v>2025</v>
      </c>
    </row>
    <row r="2190">
      <c r="A2190" s="32">
        <v>46013.0</v>
      </c>
      <c r="B2190" s="9">
        <v>45996.0</v>
      </c>
      <c r="C2190" s="9">
        <f t="shared" si="90"/>
        <v>46013</v>
      </c>
      <c r="D2190" s="11" t="s">
        <v>182</v>
      </c>
      <c r="E2190" s="29" t="s">
        <v>25</v>
      </c>
      <c r="F2190" s="11" t="s">
        <v>107</v>
      </c>
      <c r="G2190" s="28" t="s">
        <v>27</v>
      </c>
      <c r="H2190" s="11" t="s">
        <v>1133</v>
      </c>
      <c r="I2190" s="31">
        <v>22.94</v>
      </c>
      <c r="J2190" s="13"/>
      <c r="K2190" s="13">
        <f t="shared" si="125"/>
        <v>22.94</v>
      </c>
      <c r="L2190" s="11" t="s">
        <v>34</v>
      </c>
      <c r="M2190" s="14"/>
      <c r="N2190" s="11" t="s">
        <v>184</v>
      </c>
      <c r="O2190" s="10" t="str">
        <f t="shared" si="79"/>
        <v>12/2025</v>
      </c>
      <c r="P2190" s="10" t="str">
        <f t="shared" si="121"/>
        <v>12/2025</v>
      </c>
      <c r="Q2190" s="15" t="str">
        <f t="array" ref="Q2190">IFERROR(XLOOKUP(N2190,'Classificação'!A:A,'Classificação'!B:B),"")</f>
        <v>DESPESAS ADMINISTRATIVAS</v>
      </c>
      <c r="R2190" s="15" t="str">
        <f t="array" ref="R2190">IFERROR(XLOOKUP(Q2190,'Classificação'!B:B,'Classificação'!C:C),"")</f>
        <v>DESPESAS FIXAS (-)</v>
      </c>
      <c r="S2190" s="15">
        <f t="shared" si="91"/>
        <v>22</v>
      </c>
      <c r="T2190" s="15">
        <f t="shared" si="6"/>
        <v>12</v>
      </c>
      <c r="U2190" s="15">
        <f t="shared" si="7"/>
        <v>2025</v>
      </c>
      <c r="V2190" s="15">
        <f t="shared" si="8"/>
        <v>22</v>
      </c>
      <c r="W2190" s="15">
        <f t="shared" si="9"/>
        <v>12</v>
      </c>
      <c r="X2190" s="15">
        <f t="shared" si="10"/>
        <v>2025</v>
      </c>
    </row>
    <row r="2191">
      <c r="A2191" s="32">
        <v>46013.0</v>
      </c>
      <c r="B2191" s="32">
        <v>45975.0</v>
      </c>
      <c r="C2191" s="9">
        <f t="shared" si="90"/>
        <v>46013</v>
      </c>
      <c r="D2191" s="11" t="s">
        <v>167</v>
      </c>
      <c r="E2191" s="29" t="s">
        <v>25</v>
      </c>
      <c r="F2191" s="11" t="s">
        <v>107</v>
      </c>
      <c r="G2191" s="28" t="s">
        <v>27</v>
      </c>
      <c r="H2191" s="11" t="s">
        <v>1134</v>
      </c>
      <c r="I2191" s="31">
        <v>76.0</v>
      </c>
      <c r="J2191" s="13"/>
      <c r="K2191" s="13">
        <f t="shared" si="125"/>
        <v>76</v>
      </c>
      <c r="L2191" s="11" t="s">
        <v>34</v>
      </c>
      <c r="M2191" s="14"/>
      <c r="N2191" s="11" t="s">
        <v>78</v>
      </c>
      <c r="O2191" s="10" t="str">
        <f t="shared" si="79"/>
        <v>12/2025</v>
      </c>
      <c r="P2191" s="10" t="str">
        <f t="shared" si="121"/>
        <v>12/2025</v>
      </c>
      <c r="Q2191" s="15" t="str">
        <f t="array" ref="Q2191">IFERROR(XLOOKUP(N2191,'Classificação'!A:A,'Classificação'!B:B),"")</f>
        <v>DESPESAS COM PESSOAL</v>
      </c>
      <c r="R2191" s="15" t="str">
        <f t="array" ref="R2191">IFERROR(XLOOKUP(Q2191,'Classificação'!B:B,'Classificação'!C:C),"")</f>
        <v>DESPESAS FIXAS (-)</v>
      </c>
      <c r="S2191" s="15">
        <f t="shared" si="91"/>
        <v>22</v>
      </c>
      <c r="T2191" s="15">
        <f t="shared" si="6"/>
        <v>12</v>
      </c>
      <c r="U2191" s="15">
        <f t="shared" si="7"/>
        <v>2025</v>
      </c>
      <c r="V2191" s="15">
        <f t="shared" si="8"/>
        <v>22</v>
      </c>
      <c r="W2191" s="15">
        <f t="shared" si="9"/>
        <v>12</v>
      </c>
      <c r="X2191" s="15">
        <f t="shared" si="10"/>
        <v>2025</v>
      </c>
    </row>
    <row r="2192">
      <c r="A2192" s="32">
        <v>46013.0</v>
      </c>
      <c r="B2192" s="32">
        <v>45982.0</v>
      </c>
      <c r="C2192" s="9">
        <f t="shared" si="90"/>
        <v>46013</v>
      </c>
      <c r="D2192" s="11" t="s">
        <v>167</v>
      </c>
      <c r="E2192" s="29" t="s">
        <v>25</v>
      </c>
      <c r="F2192" s="11" t="s">
        <v>107</v>
      </c>
      <c r="G2192" s="28" t="s">
        <v>27</v>
      </c>
      <c r="H2192" s="11" t="s">
        <v>1134</v>
      </c>
      <c r="I2192" s="31">
        <v>34.0</v>
      </c>
      <c r="J2192" s="13"/>
      <c r="K2192" s="13">
        <f t="shared" si="125"/>
        <v>34</v>
      </c>
      <c r="L2192" s="11" t="s">
        <v>34</v>
      </c>
      <c r="M2192" s="14"/>
      <c r="N2192" s="11" t="s">
        <v>78</v>
      </c>
      <c r="O2192" s="10" t="str">
        <f t="shared" si="79"/>
        <v>12/2025</v>
      </c>
      <c r="P2192" s="10" t="str">
        <f t="shared" si="121"/>
        <v>12/2025</v>
      </c>
      <c r="Q2192" s="15" t="str">
        <f t="array" ref="Q2192">IFERROR(XLOOKUP(N2192,'Classificação'!A:A,'Classificação'!B:B),"")</f>
        <v>DESPESAS COM PESSOAL</v>
      </c>
      <c r="R2192" s="15" t="str">
        <f t="array" ref="R2192">IFERROR(XLOOKUP(Q2192,'Classificação'!B:B,'Classificação'!C:C),"")</f>
        <v>DESPESAS FIXAS (-)</v>
      </c>
      <c r="S2192" s="15">
        <f t="shared" si="91"/>
        <v>22</v>
      </c>
      <c r="T2192" s="15">
        <f t="shared" si="6"/>
        <v>12</v>
      </c>
      <c r="U2192" s="15">
        <f t="shared" si="7"/>
        <v>2025</v>
      </c>
      <c r="V2192" s="15">
        <f t="shared" si="8"/>
        <v>22</v>
      </c>
      <c r="W2192" s="15">
        <f t="shared" si="9"/>
        <v>12</v>
      </c>
      <c r="X2192" s="15">
        <f t="shared" si="10"/>
        <v>2025</v>
      </c>
    </row>
    <row r="2193">
      <c r="A2193" s="32">
        <v>46013.0</v>
      </c>
      <c r="B2193" s="9">
        <v>45995.0</v>
      </c>
      <c r="C2193" s="9">
        <f t="shared" si="90"/>
        <v>46013</v>
      </c>
      <c r="D2193" s="11" t="s">
        <v>65</v>
      </c>
      <c r="E2193" s="29" t="s">
        <v>25</v>
      </c>
      <c r="F2193" s="11" t="s">
        <v>107</v>
      </c>
      <c r="G2193" s="28" t="s">
        <v>27</v>
      </c>
      <c r="H2193" s="11" t="s">
        <v>1135</v>
      </c>
      <c r="I2193" s="31">
        <v>757.72</v>
      </c>
      <c r="J2193" s="13"/>
      <c r="K2193" s="13">
        <f t="shared" si="125"/>
        <v>757.72</v>
      </c>
      <c r="L2193" s="11" t="s">
        <v>53</v>
      </c>
      <c r="M2193" s="17">
        <v>45689.0</v>
      </c>
      <c r="N2193" s="11" t="s">
        <v>143</v>
      </c>
      <c r="O2193" s="10" t="str">
        <f t="shared" si="79"/>
        <v>12/2025</v>
      </c>
      <c r="P2193" s="10" t="str">
        <f t="shared" si="121"/>
        <v>12/2025</v>
      </c>
      <c r="Q2193" s="15" t="str">
        <f t="array" ref="Q2193">IFERROR(XLOOKUP(N2193,'Classificação'!A:A,'Classificação'!B:B),"")</f>
        <v>EMBALAGENS/FITAS/GERAL</v>
      </c>
      <c r="R2193" s="15" t="str">
        <f t="array" ref="R2193">IFERROR(XLOOKUP(Q2193,'Classificação'!B:B,'Classificação'!C:C),"")</f>
        <v>CUSTOS VARIÁVEIS</v>
      </c>
      <c r="S2193" s="15">
        <f t="shared" si="91"/>
        <v>22</v>
      </c>
      <c r="T2193" s="15">
        <f t="shared" si="6"/>
        <v>12</v>
      </c>
      <c r="U2193" s="15">
        <f t="shared" si="7"/>
        <v>2025</v>
      </c>
      <c r="V2193" s="15">
        <f t="shared" si="8"/>
        <v>22</v>
      </c>
      <c r="W2193" s="15">
        <f t="shared" si="9"/>
        <v>12</v>
      </c>
      <c r="X2193" s="15">
        <f t="shared" si="10"/>
        <v>2025</v>
      </c>
    </row>
    <row r="2194">
      <c r="A2194" s="32">
        <v>46013.0</v>
      </c>
      <c r="B2194" s="10"/>
      <c r="C2194" s="9">
        <f t="shared" si="90"/>
        <v>46013</v>
      </c>
      <c r="D2194" s="11" t="s">
        <v>1136</v>
      </c>
      <c r="E2194" s="29" t="s">
        <v>25</v>
      </c>
      <c r="F2194" s="11" t="s">
        <v>40</v>
      </c>
      <c r="G2194" s="28" t="s">
        <v>27</v>
      </c>
      <c r="H2194" s="11" t="s">
        <v>1137</v>
      </c>
      <c r="I2194" s="12">
        <v>220.64</v>
      </c>
      <c r="J2194" s="13"/>
      <c r="K2194" s="13">
        <f t="shared" si="125"/>
        <v>220.64</v>
      </c>
      <c r="L2194" s="11" t="s">
        <v>34</v>
      </c>
      <c r="M2194" s="14"/>
      <c r="N2194" s="11" t="s">
        <v>178</v>
      </c>
      <c r="O2194" s="10" t="str">
        <f t="shared" si="79"/>
        <v>12/2025</v>
      </c>
      <c r="P2194" s="10" t="str">
        <f t="shared" si="121"/>
        <v>12/2025</v>
      </c>
      <c r="Q2194" s="15" t="str">
        <f t="array" ref="Q2194">IFERROR(XLOOKUP(N2194,'Classificação'!A:A,'Classificação'!B:B),"")</f>
        <v>DESPESAS COM OCUPAÇÃO</v>
      </c>
      <c r="R2194" s="15" t="str">
        <f t="array" ref="R2194">IFERROR(XLOOKUP(Q2194,'Classificação'!B:B,'Classificação'!C:C),"")</f>
        <v>DESPESAS FIXAS (-)</v>
      </c>
      <c r="S2194" s="15">
        <f t="shared" si="91"/>
        <v>22</v>
      </c>
      <c r="T2194" s="15">
        <f t="shared" si="6"/>
        <v>12</v>
      </c>
      <c r="U2194" s="15">
        <f t="shared" si="7"/>
        <v>2025</v>
      </c>
      <c r="V2194" s="15">
        <f t="shared" si="8"/>
        <v>22</v>
      </c>
      <c r="W2194" s="15">
        <f t="shared" si="9"/>
        <v>12</v>
      </c>
      <c r="X2194" s="15">
        <f t="shared" si="10"/>
        <v>2025</v>
      </c>
    </row>
    <row r="2195">
      <c r="A2195" s="9">
        <v>46013.0</v>
      </c>
      <c r="B2195" s="10"/>
      <c r="C2195" s="9">
        <f t="shared" si="90"/>
        <v>46013</v>
      </c>
      <c r="D2195" s="11" t="s">
        <v>36</v>
      </c>
      <c r="E2195" s="11" t="s">
        <v>25</v>
      </c>
      <c r="F2195" s="29" t="s">
        <v>26</v>
      </c>
      <c r="G2195" s="11" t="s">
        <v>37</v>
      </c>
      <c r="I2195" s="12">
        <v>6550.0</v>
      </c>
      <c r="J2195" s="13"/>
      <c r="K2195" s="13">
        <f t="shared" si="125"/>
        <v>6550</v>
      </c>
      <c r="L2195" s="11" t="s">
        <v>29</v>
      </c>
      <c r="M2195" s="14"/>
      <c r="N2195" s="11" t="s">
        <v>38</v>
      </c>
      <c r="O2195" s="10" t="str">
        <f t="shared" si="79"/>
        <v>12/2025</v>
      </c>
      <c r="P2195" s="10" t="str">
        <f t="shared" si="121"/>
        <v>12/2025</v>
      </c>
      <c r="Q2195" s="15" t="str">
        <f t="array" ref="Q2195">IFERROR(XLOOKUP(N2195,'Classificação'!A:A,'Classificação'!B:B),"")</f>
        <v>DESPESAS COM PESSOAL</v>
      </c>
      <c r="R2195" s="15" t="str">
        <f t="array" ref="R2195">IFERROR(XLOOKUP(Q2195,'Classificação'!B:B,'Classificação'!C:C),"")</f>
        <v>DESPESAS FIXAS (-)</v>
      </c>
      <c r="S2195" s="15">
        <f t="shared" si="91"/>
        <v>22</v>
      </c>
      <c r="T2195" s="15">
        <f t="shared" si="6"/>
        <v>12</v>
      </c>
      <c r="U2195" s="15">
        <f t="shared" si="7"/>
        <v>2025</v>
      </c>
      <c r="V2195" s="15">
        <f t="shared" si="8"/>
        <v>22</v>
      </c>
      <c r="W2195" s="15">
        <f t="shared" si="9"/>
        <v>12</v>
      </c>
      <c r="X2195" s="15">
        <f t="shared" si="10"/>
        <v>2025</v>
      </c>
    </row>
    <row r="2196">
      <c r="A2196" s="9">
        <v>46013.0</v>
      </c>
      <c r="B2196" s="10"/>
      <c r="C2196" s="9">
        <f t="shared" si="90"/>
        <v>46013</v>
      </c>
      <c r="D2196" s="11" t="s">
        <v>43</v>
      </c>
      <c r="E2196" s="11" t="s">
        <v>25</v>
      </c>
      <c r="F2196" s="11" t="s">
        <v>26</v>
      </c>
      <c r="G2196" s="11" t="s">
        <v>37</v>
      </c>
      <c r="I2196" s="12">
        <v>6550.0</v>
      </c>
      <c r="J2196" s="13"/>
      <c r="K2196" s="13">
        <f t="shared" si="125"/>
        <v>6550</v>
      </c>
      <c r="L2196" s="11" t="s">
        <v>29</v>
      </c>
      <c r="M2196" s="14"/>
      <c r="N2196" s="11" t="s">
        <v>38</v>
      </c>
      <c r="O2196" s="10" t="str">
        <f t="shared" si="79"/>
        <v>12/2025</v>
      </c>
      <c r="P2196" s="10" t="str">
        <f t="shared" si="121"/>
        <v>12/2025</v>
      </c>
      <c r="Q2196" s="15" t="str">
        <f t="array" ref="Q2196">IFERROR(XLOOKUP(N2196,'Classificação'!A:A,'Classificação'!B:B),"")</f>
        <v>DESPESAS COM PESSOAL</v>
      </c>
      <c r="R2196" s="15" t="str">
        <f t="array" ref="R2196">IFERROR(XLOOKUP(Q2196,'Classificação'!B:B,'Classificação'!C:C),"")</f>
        <v>DESPESAS FIXAS (-)</v>
      </c>
      <c r="S2196" s="15">
        <f t="shared" si="91"/>
        <v>22</v>
      </c>
      <c r="T2196" s="15">
        <f t="shared" si="6"/>
        <v>12</v>
      </c>
      <c r="U2196" s="15">
        <f t="shared" si="7"/>
        <v>2025</v>
      </c>
      <c r="V2196" s="15">
        <f t="shared" si="8"/>
        <v>22</v>
      </c>
      <c r="W2196" s="15">
        <f t="shared" si="9"/>
        <v>12</v>
      </c>
      <c r="X2196" s="15">
        <f t="shared" si="10"/>
        <v>2025</v>
      </c>
    </row>
    <row r="2197">
      <c r="A2197" s="32">
        <v>46013.0</v>
      </c>
      <c r="B2197" s="10"/>
      <c r="C2197" s="9">
        <f t="shared" si="90"/>
        <v>46013</v>
      </c>
      <c r="D2197" s="28" t="s">
        <v>44</v>
      </c>
      <c r="E2197" s="11" t="s">
        <v>25</v>
      </c>
      <c r="F2197" s="28" t="s">
        <v>45</v>
      </c>
      <c r="G2197" s="28" t="s">
        <v>27</v>
      </c>
      <c r="H2197" s="11" t="s">
        <v>1138</v>
      </c>
      <c r="I2197" s="31">
        <v>13.78</v>
      </c>
      <c r="J2197" s="13"/>
      <c r="K2197" s="13">
        <f t="shared" si="125"/>
        <v>13.78</v>
      </c>
      <c r="L2197" s="11" t="s">
        <v>34</v>
      </c>
      <c r="M2197" s="14"/>
      <c r="N2197" s="11" t="s">
        <v>47</v>
      </c>
      <c r="O2197" s="10" t="str">
        <f t="shared" si="79"/>
        <v>12/2025</v>
      </c>
      <c r="P2197" s="10" t="str">
        <f t="shared" si="121"/>
        <v>12/2025</v>
      </c>
      <c r="Q2197" s="15" t="str">
        <f t="array" ref="Q2197">IFERROR(XLOOKUP(N2197,'Classificação'!A:A,'Classificação'!B:B),"")</f>
        <v>DESPESAS NÃO OPERACIONAIS</v>
      </c>
      <c r="R2197" s="15" t="str">
        <f t="array" ref="R2197">IFERROR(XLOOKUP(Q2197,'Classificação'!B:B,'Classificação'!C:C),"")</f>
        <v>RESULTADO NÃO OPERACIONAL (+/-)</v>
      </c>
      <c r="S2197" s="15">
        <f t="shared" si="91"/>
        <v>22</v>
      </c>
      <c r="T2197" s="15">
        <f t="shared" si="6"/>
        <v>12</v>
      </c>
      <c r="U2197" s="15">
        <f t="shared" si="7"/>
        <v>2025</v>
      </c>
      <c r="V2197" s="15">
        <f t="shared" si="8"/>
        <v>22</v>
      </c>
      <c r="W2197" s="15">
        <f t="shared" si="9"/>
        <v>12</v>
      </c>
      <c r="X2197" s="15">
        <f t="shared" si="10"/>
        <v>2025</v>
      </c>
    </row>
    <row r="2198">
      <c r="A2198" s="9">
        <v>46014.0</v>
      </c>
      <c r="B2198" s="10"/>
      <c r="C2198" s="9">
        <f t="shared" si="90"/>
        <v>46014</v>
      </c>
      <c r="D2198" s="11" t="s">
        <v>127</v>
      </c>
      <c r="E2198" s="11" t="s">
        <v>25</v>
      </c>
      <c r="F2198" s="11" t="s">
        <v>26</v>
      </c>
      <c r="G2198" s="11" t="s">
        <v>37</v>
      </c>
      <c r="H2198" s="11" t="s">
        <v>1139</v>
      </c>
      <c r="I2198" s="12">
        <v>611.1</v>
      </c>
      <c r="J2198" s="13"/>
      <c r="K2198" s="13">
        <f t="shared" si="125"/>
        <v>611.1</v>
      </c>
      <c r="L2198" s="11" t="s">
        <v>29</v>
      </c>
      <c r="M2198" s="14"/>
      <c r="N2198" s="11" t="s">
        <v>58</v>
      </c>
      <c r="O2198" s="10" t="str">
        <f t="shared" si="79"/>
        <v>12/2025</v>
      </c>
      <c r="P2198" s="10" t="str">
        <f t="shared" si="121"/>
        <v>12/2025</v>
      </c>
      <c r="Q2198" s="15" t="str">
        <f t="array" ref="Q2198">IFERROR(XLOOKUP(N2198,'Classificação'!A:A,'Classificação'!B:B),"")</f>
        <v>DESPESAS ADMINISTRATIVAS</v>
      </c>
      <c r="R2198" s="15" t="str">
        <f t="array" ref="R2198">IFERROR(XLOOKUP(Q2198,'Classificação'!B:B,'Classificação'!C:C),"")</f>
        <v>DESPESAS FIXAS (-)</v>
      </c>
      <c r="S2198" s="15">
        <f t="shared" si="91"/>
        <v>23</v>
      </c>
      <c r="T2198" s="15">
        <f t="shared" si="6"/>
        <v>12</v>
      </c>
      <c r="U2198" s="15">
        <f t="shared" si="7"/>
        <v>2025</v>
      </c>
      <c r="V2198" s="15">
        <f t="shared" si="8"/>
        <v>23</v>
      </c>
      <c r="W2198" s="15">
        <f t="shared" si="9"/>
        <v>12</v>
      </c>
      <c r="X2198" s="15">
        <f t="shared" si="10"/>
        <v>2025</v>
      </c>
    </row>
    <row r="2199">
      <c r="A2199" s="32">
        <v>46014.0</v>
      </c>
      <c r="B2199" s="32">
        <v>45982.0</v>
      </c>
      <c r="C2199" s="9">
        <f t="shared" si="90"/>
        <v>46014</v>
      </c>
      <c r="D2199" s="11" t="s">
        <v>114</v>
      </c>
      <c r="E2199" s="29" t="s">
        <v>25</v>
      </c>
      <c r="F2199" s="11" t="s">
        <v>26</v>
      </c>
      <c r="G2199" s="29" t="s">
        <v>37</v>
      </c>
      <c r="H2199" s="11" t="s">
        <v>1140</v>
      </c>
      <c r="I2199" s="31">
        <v>353.9</v>
      </c>
      <c r="J2199" s="13"/>
      <c r="K2199" s="13">
        <f t="shared" si="125"/>
        <v>353.9</v>
      </c>
      <c r="L2199" s="29" t="s">
        <v>34</v>
      </c>
      <c r="M2199" s="14"/>
      <c r="N2199" s="11" t="s">
        <v>259</v>
      </c>
      <c r="O2199" s="10" t="str">
        <f t="shared" si="79"/>
        <v>12/2025</v>
      </c>
      <c r="P2199" s="10" t="str">
        <f t="shared" si="121"/>
        <v>12/2025</v>
      </c>
      <c r="Q2199" s="15" t="str">
        <f t="array" ref="Q2199">IFERROR(XLOOKUP(N2199,'Classificação'!A:A,'Classificação'!B:B),"")</f>
        <v>DESPESAS ADMINISTRATIVAS</v>
      </c>
      <c r="R2199" s="15" t="str">
        <f t="array" ref="R2199">IFERROR(XLOOKUP(Q2199,'Classificação'!B:B,'Classificação'!C:C),"")</f>
        <v>DESPESAS FIXAS (-)</v>
      </c>
      <c r="S2199" s="15">
        <f t="shared" si="91"/>
        <v>23</v>
      </c>
      <c r="T2199" s="15">
        <f t="shared" si="6"/>
        <v>12</v>
      </c>
      <c r="U2199" s="15">
        <f t="shared" si="7"/>
        <v>2025</v>
      </c>
      <c r="V2199" s="15">
        <f t="shared" si="8"/>
        <v>23</v>
      </c>
      <c r="W2199" s="15">
        <f t="shared" si="9"/>
        <v>12</v>
      </c>
      <c r="X2199" s="15">
        <f t="shared" si="10"/>
        <v>2025</v>
      </c>
    </row>
    <row r="2200">
      <c r="A2200" s="9">
        <v>46014.0</v>
      </c>
      <c r="B2200" s="10"/>
      <c r="C2200" s="9">
        <f t="shared" si="90"/>
        <v>46014</v>
      </c>
      <c r="D2200" s="11" t="s">
        <v>208</v>
      </c>
      <c r="E2200" s="11" t="s">
        <v>25</v>
      </c>
      <c r="F2200" s="11" t="s">
        <v>40</v>
      </c>
      <c r="G2200" s="11" t="s">
        <v>37</v>
      </c>
      <c r="H2200" s="11" t="s">
        <v>209</v>
      </c>
      <c r="I2200" s="12">
        <v>204.96</v>
      </c>
      <c r="J2200" s="13"/>
      <c r="K2200" s="13">
        <f t="shared" si="125"/>
        <v>204.96</v>
      </c>
      <c r="L2200" s="11" t="s">
        <v>29</v>
      </c>
      <c r="M2200" s="14"/>
      <c r="N2200" s="11" t="s">
        <v>210</v>
      </c>
      <c r="O2200" s="10" t="str">
        <f t="shared" si="79"/>
        <v>12/2025</v>
      </c>
      <c r="P2200" s="10" t="str">
        <f t="shared" si="121"/>
        <v>12/2025</v>
      </c>
      <c r="Q2200" s="15" t="str">
        <f t="array" ref="Q2200">IFERROR(XLOOKUP(N2200,'Classificação'!A:A,'Classificação'!B:B),"")</f>
        <v>DESPESAS COM OCUPAÇÃO</v>
      </c>
      <c r="R2200" s="15" t="str">
        <f t="array" ref="R2200">IFERROR(XLOOKUP(Q2200,'Classificação'!B:B,'Classificação'!C:C),"")</f>
        <v>DESPESAS FIXAS (-)</v>
      </c>
      <c r="S2200" s="15">
        <f t="shared" si="91"/>
        <v>23</v>
      </c>
      <c r="T2200" s="15">
        <f t="shared" si="6"/>
        <v>12</v>
      </c>
      <c r="U2200" s="15">
        <f t="shared" si="7"/>
        <v>2025</v>
      </c>
      <c r="V2200" s="15">
        <f t="shared" si="8"/>
        <v>23</v>
      </c>
      <c r="W2200" s="15">
        <f t="shared" si="9"/>
        <v>12</v>
      </c>
      <c r="X2200" s="15">
        <f t="shared" si="10"/>
        <v>2025</v>
      </c>
    </row>
    <row r="2201">
      <c r="A2201" s="32">
        <v>46014.0</v>
      </c>
      <c r="B2201" s="9">
        <v>45834.0</v>
      </c>
      <c r="C2201" s="9">
        <f t="shared" si="90"/>
        <v>46014</v>
      </c>
      <c r="D2201" s="11" t="s">
        <v>691</v>
      </c>
      <c r="E2201" s="29" t="s">
        <v>25</v>
      </c>
      <c r="F2201" s="11" t="s">
        <v>26</v>
      </c>
      <c r="G2201" s="11" t="s">
        <v>37</v>
      </c>
      <c r="H2201" s="11" t="s">
        <v>1083</v>
      </c>
      <c r="I2201" s="31">
        <v>196.53</v>
      </c>
      <c r="J2201" s="13"/>
      <c r="K2201" s="13">
        <f t="shared" si="125"/>
        <v>196.53</v>
      </c>
      <c r="L2201" s="11" t="s">
        <v>53</v>
      </c>
      <c r="M2201" s="17">
        <v>45814.0</v>
      </c>
      <c r="N2201" s="11" t="s">
        <v>61</v>
      </c>
      <c r="O2201" s="10" t="str">
        <f t="shared" si="79"/>
        <v>12/2025</v>
      </c>
      <c r="P2201" s="10" t="str">
        <f t="shared" si="121"/>
        <v>12/2025</v>
      </c>
      <c r="Q2201" s="15" t="str">
        <f t="array" ref="Q2201">IFERROR(XLOOKUP(N2201,'Classificação'!A:A,'Classificação'!B:B),"")</f>
        <v>DESPESAS ADMINISTRATIVAS</v>
      </c>
      <c r="R2201" s="15" t="str">
        <f t="array" ref="R2201">IFERROR(XLOOKUP(Q2201,'Classificação'!B:B,'Classificação'!C:C),"")</f>
        <v>DESPESAS FIXAS (-)</v>
      </c>
      <c r="S2201" s="15">
        <f t="shared" si="91"/>
        <v>23</v>
      </c>
      <c r="T2201" s="15">
        <f t="shared" si="6"/>
        <v>12</v>
      </c>
      <c r="U2201" s="15">
        <f t="shared" si="7"/>
        <v>2025</v>
      </c>
      <c r="V2201" s="15">
        <f t="shared" si="8"/>
        <v>23</v>
      </c>
      <c r="W2201" s="15">
        <f t="shared" si="9"/>
        <v>12</v>
      </c>
      <c r="X2201" s="15">
        <f t="shared" si="10"/>
        <v>2025</v>
      </c>
    </row>
    <row r="2202">
      <c r="A2202" s="32">
        <v>46014.0</v>
      </c>
      <c r="B2202" s="9">
        <v>45962.0</v>
      </c>
      <c r="C2202" s="9">
        <f t="shared" si="90"/>
        <v>46014</v>
      </c>
      <c r="D2202" s="11" t="s">
        <v>1085</v>
      </c>
      <c r="E2202" s="29" t="s">
        <v>25</v>
      </c>
      <c r="F2202" s="11" t="s">
        <v>26</v>
      </c>
      <c r="G2202" s="11" t="s">
        <v>37</v>
      </c>
      <c r="H2202" s="11" t="s">
        <v>1086</v>
      </c>
      <c r="I2202" s="31">
        <v>47.47</v>
      </c>
      <c r="J2202" s="13"/>
      <c r="K2202" s="13">
        <f t="shared" si="125"/>
        <v>47.47</v>
      </c>
      <c r="L2202" s="11" t="s">
        <v>53</v>
      </c>
      <c r="M2202" s="17">
        <v>45690.0</v>
      </c>
      <c r="N2202" s="11" t="s">
        <v>259</v>
      </c>
      <c r="O2202" s="10" t="str">
        <f t="shared" si="79"/>
        <v>12/2025</v>
      </c>
      <c r="P2202" s="10" t="str">
        <f t="shared" si="121"/>
        <v>12/2025</v>
      </c>
      <c r="Q2202" s="15" t="str">
        <f t="array" ref="Q2202">IFERROR(XLOOKUP(N2202,'Classificação'!A:A,'Classificação'!B:B),"")</f>
        <v>DESPESAS ADMINISTRATIVAS</v>
      </c>
      <c r="R2202" s="15" t="str">
        <f t="array" ref="R2202">IFERROR(XLOOKUP(Q2202,'Classificação'!B:B,'Classificação'!C:C),"")</f>
        <v>DESPESAS FIXAS (-)</v>
      </c>
      <c r="S2202" s="15">
        <f t="shared" si="91"/>
        <v>23</v>
      </c>
      <c r="T2202" s="15">
        <f t="shared" si="6"/>
        <v>12</v>
      </c>
      <c r="U2202" s="15">
        <f t="shared" si="7"/>
        <v>2025</v>
      </c>
      <c r="V2202" s="15">
        <f t="shared" si="8"/>
        <v>23</v>
      </c>
      <c r="W2202" s="15">
        <f t="shared" si="9"/>
        <v>12</v>
      </c>
      <c r="X2202" s="15">
        <f t="shared" si="10"/>
        <v>2025</v>
      </c>
    </row>
    <row r="2203">
      <c r="A2203" s="32">
        <v>46014.0</v>
      </c>
      <c r="B2203" s="32">
        <v>45979.0</v>
      </c>
      <c r="C2203" s="9">
        <f t="shared" si="90"/>
        <v>46014</v>
      </c>
      <c r="D2203" s="11" t="s">
        <v>182</v>
      </c>
      <c r="E2203" s="29" t="s">
        <v>25</v>
      </c>
      <c r="F2203" s="11" t="s">
        <v>26</v>
      </c>
      <c r="G2203" s="11" t="s">
        <v>37</v>
      </c>
      <c r="H2203" s="11" t="s">
        <v>1141</v>
      </c>
      <c r="I2203" s="31">
        <v>11.94</v>
      </c>
      <c r="J2203" s="13"/>
      <c r="K2203" s="13">
        <f t="shared" si="125"/>
        <v>11.94</v>
      </c>
      <c r="L2203" s="11" t="s">
        <v>34</v>
      </c>
      <c r="M2203" s="14"/>
      <c r="N2203" s="11" t="s">
        <v>184</v>
      </c>
      <c r="O2203" s="10" t="str">
        <f t="shared" si="79"/>
        <v>12/2025</v>
      </c>
      <c r="P2203" s="10" t="str">
        <f t="shared" si="121"/>
        <v>12/2025</v>
      </c>
      <c r="Q2203" s="15" t="str">
        <f t="array" ref="Q2203">IFERROR(XLOOKUP(N2203,'Classificação'!A:A,'Classificação'!B:B),"")</f>
        <v>DESPESAS ADMINISTRATIVAS</v>
      </c>
      <c r="R2203" s="15" t="str">
        <f t="array" ref="R2203">IFERROR(XLOOKUP(Q2203,'Classificação'!B:B,'Classificação'!C:C),"")</f>
        <v>DESPESAS FIXAS (-)</v>
      </c>
      <c r="S2203" s="15">
        <f t="shared" si="91"/>
        <v>23</v>
      </c>
      <c r="T2203" s="15">
        <f t="shared" si="6"/>
        <v>12</v>
      </c>
      <c r="U2203" s="15">
        <f t="shared" si="7"/>
        <v>2025</v>
      </c>
      <c r="V2203" s="15">
        <f t="shared" si="8"/>
        <v>23</v>
      </c>
      <c r="W2203" s="15">
        <f t="shared" si="9"/>
        <v>12</v>
      </c>
      <c r="X2203" s="15">
        <f t="shared" si="10"/>
        <v>2025</v>
      </c>
    </row>
    <row r="2204">
      <c r="A2204" s="32">
        <v>46014.0</v>
      </c>
      <c r="B2204" s="32">
        <v>45982.0</v>
      </c>
      <c r="C2204" s="9">
        <f t="shared" si="90"/>
        <v>46014</v>
      </c>
      <c r="D2204" s="11" t="s">
        <v>570</v>
      </c>
      <c r="E2204" s="29" t="s">
        <v>25</v>
      </c>
      <c r="F2204" s="11" t="s">
        <v>26</v>
      </c>
      <c r="G2204" s="11" t="s">
        <v>37</v>
      </c>
      <c r="H2204" s="11" t="s">
        <v>1142</v>
      </c>
      <c r="I2204" s="31">
        <v>2196.45</v>
      </c>
      <c r="J2204" s="13"/>
      <c r="K2204" s="13">
        <f t="shared" si="125"/>
        <v>2196.45</v>
      </c>
      <c r="L2204" s="11" t="s">
        <v>34</v>
      </c>
      <c r="M2204" s="14"/>
      <c r="N2204" s="11" t="s">
        <v>448</v>
      </c>
      <c r="O2204" s="10" t="str">
        <f t="shared" si="79"/>
        <v>12/2025</v>
      </c>
      <c r="P2204" s="10" t="str">
        <f t="shared" si="121"/>
        <v>12/2025</v>
      </c>
      <c r="Q2204" s="15" t="str">
        <f t="array" ref="Q2204">IFERROR(XLOOKUP(N2204,'Classificação'!A:A,'Classificação'!B:B),"")</f>
        <v>DESPESAS ADMINISTRATIVAS</v>
      </c>
      <c r="R2204" s="15" t="str">
        <f t="array" ref="R2204">IFERROR(XLOOKUP(Q2204,'Classificação'!B:B,'Classificação'!C:C),"")</f>
        <v>DESPESAS FIXAS (-)</v>
      </c>
      <c r="S2204" s="15">
        <f t="shared" si="91"/>
        <v>23</v>
      </c>
      <c r="T2204" s="15">
        <f t="shared" si="6"/>
        <v>12</v>
      </c>
      <c r="U2204" s="15">
        <f t="shared" si="7"/>
        <v>2025</v>
      </c>
      <c r="V2204" s="15">
        <f t="shared" si="8"/>
        <v>23</v>
      </c>
      <c r="W2204" s="15">
        <f t="shared" si="9"/>
        <v>12</v>
      </c>
      <c r="X2204" s="15">
        <f t="shared" si="10"/>
        <v>2025</v>
      </c>
    </row>
    <row r="2205">
      <c r="A2205" s="32">
        <v>46014.0</v>
      </c>
      <c r="B2205" s="10"/>
      <c r="C2205" s="9">
        <f t="shared" si="90"/>
        <v>46014</v>
      </c>
      <c r="D2205" s="11" t="s">
        <v>828</v>
      </c>
      <c r="E2205" s="29" t="s">
        <v>25</v>
      </c>
      <c r="F2205" s="11" t="s">
        <v>26</v>
      </c>
      <c r="G2205" s="11" t="s">
        <v>37</v>
      </c>
      <c r="H2205" s="11" t="s">
        <v>1029</v>
      </c>
      <c r="I2205" s="12">
        <v>109.59</v>
      </c>
      <c r="J2205" s="13"/>
      <c r="K2205" s="13">
        <f t="shared" si="125"/>
        <v>109.59</v>
      </c>
      <c r="L2205" s="11" t="s">
        <v>34</v>
      </c>
      <c r="M2205" s="14"/>
      <c r="N2205" s="11" t="s">
        <v>105</v>
      </c>
      <c r="O2205" s="10" t="str">
        <f t="shared" si="79"/>
        <v>12/2025</v>
      </c>
      <c r="P2205" s="10" t="str">
        <f t="shared" si="121"/>
        <v>12/2025</v>
      </c>
      <c r="Q2205" s="15" t="str">
        <f t="array" ref="Q2205">IFERROR(XLOOKUP(N2205,'Classificação'!A:A,'Classificação'!B:B),"")</f>
        <v>DESPESAS ADMINISTRATIVAS</v>
      </c>
      <c r="R2205" s="15" t="str">
        <f t="array" ref="R2205">IFERROR(XLOOKUP(Q2205,'Classificação'!B:B,'Classificação'!C:C),"")</f>
        <v>DESPESAS FIXAS (-)</v>
      </c>
      <c r="S2205" s="15">
        <f t="shared" si="91"/>
        <v>23</v>
      </c>
      <c r="T2205" s="15">
        <f t="shared" si="6"/>
        <v>12</v>
      </c>
      <c r="U2205" s="15">
        <f t="shared" si="7"/>
        <v>2025</v>
      </c>
      <c r="V2205" s="15">
        <f t="shared" si="8"/>
        <v>23</v>
      </c>
      <c r="W2205" s="15">
        <f t="shared" si="9"/>
        <v>12</v>
      </c>
      <c r="X2205" s="15">
        <f t="shared" si="10"/>
        <v>2025</v>
      </c>
    </row>
    <row r="2206">
      <c r="A2206" s="32">
        <v>46014.0</v>
      </c>
      <c r="B2206" s="10"/>
      <c r="C2206" s="9">
        <f t="shared" si="90"/>
        <v>46014</v>
      </c>
      <c r="D2206" s="11" t="s">
        <v>570</v>
      </c>
      <c r="E2206" s="29" t="s">
        <v>25</v>
      </c>
      <c r="F2206" s="11" t="s">
        <v>26</v>
      </c>
      <c r="G2206" s="11" t="s">
        <v>37</v>
      </c>
      <c r="H2206" s="11" t="s">
        <v>1143</v>
      </c>
      <c r="I2206" s="12">
        <v>68.66</v>
      </c>
      <c r="J2206" s="13"/>
      <c r="K2206" s="13">
        <f t="shared" si="125"/>
        <v>68.66</v>
      </c>
      <c r="L2206" s="11" t="s">
        <v>34</v>
      </c>
      <c r="M2206" s="14"/>
      <c r="N2206" s="11" t="s">
        <v>120</v>
      </c>
      <c r="O2206" s="10" t="str">
        <f t="shared" si="79"/>
        <v>12/2025</v>
      </c>
      <c r="P2206" s="10" t="str">
        <f t="shared" si="121"/>
        <v>12/2025</v>
      </c>
      <c r="Q2206" s="15" t="str">
        <f t="array" ref="Q2206">IFERROR(XLOOKUP(N2206,'Classificação'!A:A,'Classificação'!B:B),"")</f>
        <v>DESPESAS ADMINISTRATIVAS</v>
      </c>
      <c r="R2206" s="15" t="str">
        <f t="array" ref="R2206">IFERROR(XLOOKUP(Q2206,'Classificação'!B:B,'Classificação'!C:C),"")</f>
        <v>DESPESAS FIXAS (-)</v>
      </c>
      <c r="S2206" s="15">
        <f t="shared" si="91"/>
        <v>23</v>
      </c>
      <c r="T2206" s="15">
        <f t="shared" si="6"/>
        <v>12</v>
      </c>
      <c r="U2206" s="15">
        <f t="shared" si="7"/>
        <v>2025</v>
      </c>
      <c r="V2206" s="15">
        <f t="shared" si="8"/>
        <v>23</v>
      </c>
      <c r="W2206" s="15">
        <f t="shared" si="9"/>
        <v>12</v>
      </c>
      <c r="X2206" s="15">
        <f t="shared" si="10"/>
        <v>2025</v>
      </c>
    </row>
    <row r="2207">
      <c r="A2207" s="32">
        <v>46014.0</v>
      </c>
      <c r="B2207" s="10"/>
      <c r="C2207" s="9">
        <f t="shared" si="90"/>
        <v>46014</v>
      </c>
      <c r="D2207" s="11" t="s">
        <v>558</v>
      </c>
      <c r="E2207" s="29" t="s">
        <v>25</v>
      </c>
      <c r="F2207" s="11" t="s">
        <v>26</v>
      </c>
      <c r="G2207" s="11" t="s">
        <v>37</v>
      </c>
      <c r="H2207" s="11" t="s">
        <v>1144</v>
      </c>
      <c r="I2207" s="12">
        <v>285.48</v>
      </c>
      <c r="J2207" s="13"/>
      <c r="K2207" s="13">
        <f t="shared" si="125"/>
        <v>285.48</v>
      </c>
      <c r="L2207" s="11" t="s">
        <v>34</v>
      </c>
      <c r="M2207" s="14"/>
      <c r="N2207" s="11" t="s">
        <v>105</v>
      </c>
      <c r="O2207" s="10" t="str">
        <f t="shared" si="79"/>
        <v>12/2025</v>
      </c>
      <c r="P2207" s="10" t="str">
        <f t="shared" si="121"/>
        <v>12/2025</v>
      </c>
      <c r="Q2207" s="15" t="str">
        <f t="array" ref="Q2207">IFERROR(XLOOKUP(N2207,'Classificação'!A:A,'Classificação'!B:B),"")</f>
        <v>DESPESAS ADMINISTRATIVAS</v>
      </c>
      <c r="R2207" s="15" t="str">
        <f t="array" ref="R2207">IFERROR(XLOOKUP(Q2207,'Classificação'!B:B,'Classificação'!C:C),"")</f>
        <v>DESPESAS FIXAS (-)</v>
      </c>
      <c r="S2207" s="15">
        <f t="shared" si="91"/>
        <v>23</v>
      </c>
      <c r="T2207" s="15">
        <f t="shared" si="6"/>
        <v>12</v>
      </c>
      <c r="U2207" s="15">
        <f t="shared" si="7"/>
        <v>2025</v>
      </c>
      <c r="V2207" s="15">
        <f t="shared" si="8"/>
        <v>23</v>
      </c>
      <c r="W2207" s="15">
        <f t="shared" si="9"/>
        <v>12</v>
      </c>
      <c r="X2207" s="15">
        <f t="shared" si="10"/>
        <v>2025</v>
      </c>
    </row>
    <row r="2208">
      <c r="A2208" s="32">
        <v>46014.0</v>
      </c>
      <c r="B2208" s="10"/>
      <c r="C2208" s="9">
        <f t="shared" si="90"/>
        <v>46014</v>
      </c>
      <c r="D2208" s="11" t="s">
        <v>570</v>
      </c>
      <c r="E2208" s="29" t="s">
        <v>25</v>
      </c>
      <c r="F2208" s="11" t="s">
        <v>26</v>
      </c>
      <c r="G2208" s="11" t="s">
        <v>37</v>
      </c>
      <c r="H2208" s="11" t="s">
        <v>1143</v>
      </c>
      <c r="I2208" s="12">
        <v>296.96</v>
      </c>
      <c r="J2208" s="13"/>
      <c r="K2208" s="13">
        <f t="shared" si="125"/>
        <v>296.96</v>
      </c>
      <c r="L2208" s="11" t="s">
        <v>34</v>
      </c>
      <c r="M2208" s="14"/>
      <c r="N2208" s="11" t="s">
        <v>120</v>
      </c>
      <c r="O2208" s="10" t="str">
        <f t="shared" si="79"/>
        <v>12/2025</v>
      </c>
      <c r="P2208" s="10" t="str">
        <f t="shared" si="121"/>
        <v>12/2025</v>
      </c>
      <c r="Q2208" s="15" t="str">
        <f t="array" ref="Q2208">IFERROR(XLOOKUP(N2208,'Classificação'!A:A,'Classificação'!B:B),"")</f>
        <v>DESPESAS ADMINISTRATIVAS</v>
      </c>
      <c r="R2208" s="15" t="str">
        <f t="array" ref="R2208">IFERROR(XLOOKUP(Q2208,'Classificação'!B:B,'Classificação'!C:C),"")</f>
        <v>DESPESAS FIXAS (-)</v>
      </c>
      <c r="S2208" s="15">
        <f t="shared" si="91"/>
        <v>23</v>
      </c>
      <c r="T2208" s="15">
        <f t="shared" si="6"/>
        <v>12</v>
      </c>
      <c r="U2208" s="15">
        <f t="shared" si="7"/>
        <v>2025</v>
      </c>
      <c r="V2208" s="15">
        <f t="shared" si="8"/>
        <v>23</v>
      </c>
      <c r="W2208" s="15">
        <f t="shared" si="9"/>
        <v>12</v>
      </c>
      <c r="X2208" s="15">
        <f t="shared" si="10"/>
        <v>2025</v>
      </c>
    </row>
    <row r="2209">
      <c r="A2209" s="32">
        <v>46014.0</v>
      </c>
      <c r="B2209" s="10"/>
      <c r="C2209" s="9">
        <f t="shared" si="90"/>
        <v>46014</v>
      </c>
      <c r="D2209" s="11" t="s">
        <v>570</v>
      </c>
      <c r="E2209" s="29" t="s">
        <v>25</v>
      </c>
      <c r="F2209" s="11" t="s">
        <v>26</v>
      </c>
      <c r="G2209" s="11" t="s">
        <v>37</v>
      </c>
      <c r="H2209" s="11" t="s">
        <v>1145</v>
      </c>
      <c r="I2209" s="12">
        <v>4274.78</v>
      </c>
      <c r="J2209" s="13"/>
      <c r="K2209" s="13">
        <f t="shared" si="125"/>
        <v>4274.78</v>
      </c>
      <c r="L2209" s="11" t="s">
        <v>34</v>
      </c>
      <c r="M2209" s="14"/>
      <c r="N2209" s="11" t="s">
        <v>120</v>
      </c>
      <c r="O2209" s="10" t="str">
        <f t="shared" si="79"/>
        <v>12/2025</v>
      </c>
      <c r="P2209" s="10" t="str">
        <f t="shared" si="121"/>
        <v>12/2025</v>
      </c>
      <c r="Q2209" s="15" t="str">
        <f t="array" ref="Q2209">IFERROR(XLOOKUP(N2209,'Classificação'!A:A,'Classificação'!B:B),"")</f>
        <v>DESPESAS ADMINISTRATIVAS</v>
      </c>
      <c r="R2209" s="15" t="str">
        <f t="array" ref="R2209">IFERROR(XLOOKUP(Q2209,'Classificação'!B:B,'Classificação'!C:C),"")</f>
        <v>DESPESAS FIXAS (-)</v>
      </c>
      <c r="S2209" s="15">
        <f t="shared" si="91"/>
        <v>23</v>
      </c>
      <c r="T2209" s="15">
        <f t="shared" si="6"/>
        <v>12</v>
      </c>
      <c r="U2209" s="15">
        <f t="shared" si="7"/>
        <v>2025</v>
      </c>
      <c r="V2209" s="15">
        <f t="shared" si="8"/>
        <v>23</v>
      </c>
      <c r="W2209" s="15">
        <f t="shared" si="9"/>
        <v>12</v>
      </c>
      <c r="X2209" s="15">
        <f t="shared" si="10"/>
        <v>2025</v>
      </c>
    </row>
    <row r="2210">
      <c r="A2210" s="9">
        <v>46015.0</v>
      </c>
      <c r="B2210" s="10"/>
      <c r="C2210" s="9">
        <f t="shared" si="90"/>
        <v>46015</v>
      </c>
      <c r="D2210" s="11" t="s">
        <v>39</v>
      </c>
      <c r="E2210" s="11" t="s">
        <v>25</v>
      </c>
      <c r="F2210" s="11" t="s">
        <v>40</v>
      </c>
      <c r="G2210" s="11" t="s">
        <v>27</v>
      </c>
      <c r="H2210" s="11" t="s">
        <v>640</v>
      </c>
      <c r="I2210" s="12">
        <v>142.68</v>
      </c>
      <c r="J2210" s="13"/>
      <c r="K2210" s="13">
        <f t="shared" si="125"/>
        <v>142.68</v>
      </c>
      <c r="L2210" s="11" t="s">
        <v>53</v>
      </c>
      <c r="M2210" s="17">
        <v>45940.0</v>
      </c>
      <c r="N2210" s="11" t="s">
        <v>355</v>
      </c>
      <c r="O2210" s="10" t="str">
        <f t="shared" si="79"/>
        <v>12/2025</v>
      </c>
      <c r="P2210" s="10" t="str">
        <f t="shared" si="121"/>
        <v>12/2025</v>
      </c>
      <c r="Q2210" s="15" t="str">
        <f t="array" ref="Q2210">IFERROR(XLOOKUP(N2210,'Classificação'!A:A,'Classificação'!B:B),"")</f>
        <v>IMPOSTOS E TAXAS DIVERSAS</v>
      </c>
      <c r="R2210" s="15" t="str">
        <f t="array" ref="R2210">IFERROR(XLOOKUP(Q2210,'Classificação'!B:B,'Classificação'!C:C),"")</f>
        <v>DESPESAS FIXAS (-)</v>
      </c>
      <c r="S2210" s="15">
        <f t="shared" si="91"/>
        <v>24</v>
      </c>
      <c r="T2210" s="15">
        <f t="shared" si="6"/>
        <v>12</v>
      </c>
      <c r="U2210" s="15">
        <f t="shared" si="7"/>
        <v>2025</v>
      </c>
      <c r="V2210" s="15">
        <f t="shared" si="8"/>
        <v>24</v>
      </c>
      <c r="W2210" s="15">
        <f t="shared" si="9"/>
        <v>12</v>
      </c>
      <c r="X2210" s="15">
        <f t="shared" si="10"/>
        <v>2025</v>
      </c>
    </row>
    <row r="2211">
      <c r="A2211" s="32">
        <v>46015.0</v>
      </c>
      <c r="B2211" s="10"/>
      <c r="C2211" s="9">
        <f t="shared" si="90"/>
        <v>46015</v>
      </c>
      <c r="D2211" s="28" t="s">
        <v>44</v>
      </c>
      <c r="E2211" s="29" t="s">
        <v>25</v>
      </c>
      <c r="F2211" s="11" t="s">
        <v>45</v>
      </c>
      <c r="G2211" s="28" t="s">
        <v>27</v>
      </c>
      <c r="H2211" s="11" t="s">
        <v>1146</v>
      </c>
      <c r="I2211" s="31">
        <v>166.93</v>
      </c>
      <c r="J2211" s="13"/>
      <c r="K2211" s="13">
        <f t="shared" si="125"/>
        <v>166.93</v>
      </c>
      <c r="L2211" s="11" t="s">
        <v>34</v>
      </c>
      <c r="M2211" s="14"/>
      <c r="N2211" s="11" t="s">
        <v>47</v>
      </c>
      <c r="O2211" s="10" t="str">
        <f t="shared" si="79"/>
        <v>12/2025</v>
      </c>
      <c r="P2211" s="10" t="str">
        <f t="shared" si="121"/>
        <v>12/2025</v>
      </c>
      <c r="Q2211" s="15" t="str">
        <f t="array" ref="Q2211">IFERROR(XLOOKUP(N2211,'Classificação'!A:A,'Classificação'!B:B),"")</f>
        <v>DESPESAS NÃO OPERACIONAIS</v>
      </c>
      <c r="R2211" s="15" t="str">
        <f t="array" ref="R2211">IFERROR(XLOOKUP(Q2211,'Classificação'!B:B,'Classificação'!C:C),"")</f>
        <v>RESULTADO NÃO OPERACIONAL (+/-)</v>
      </c>
      <c r="S2211" s="15">
        <f t="shared" si="91"/>
        <v>24</v>
      </c>
      <c r="T2211" s="15">
        <f t="shared" si="6"/>
        <v>12</v>
      </c>
      <c r="U2211" s="15">
        <f t="shared" si="7"/>
        <v>2025</v>
      </c>
      <c r="V2211" s="15">
        <f t="shared" si="8"/>
        <v>24</v>
      </c>
      <c r="W2211" s="15">
        <f t="shared" si="9"/>
        <v>12</v>
      </c>
      <c r="X2211" s="15">
        <f t="shared" si="10"/>
        <v>2025</v>
      </c>
    </row>
    <row r="2212">
      <c r="A2212" s="32">
        <v>46015.0</v>
      </c>
      <c r="B2212" s="10"/>
      <c r="C2212" s="9">
        <f t="shared" si="90"/>
        <v>46015</v>
      </c>
      <c r="D2212" s="28" t="s">
        <v>44</v>
      </c>
      <c r="E2212" s="29" t="s">
        <v>25</v>
      </c>
      <c r="F2212" s="11" t="s">
        <v>45</v>
      </c>
      <c r="G2212" s="28" t="s">
        <v>27</v>
      </c>
      <c r="H2212" s="11" t="s">
        <v>1147</v>
      </c>
      <c r="I2212" s="31">
        <v>55.64</v>
      </c>
      <c r="J2212" s="13"/>
      <c r="K2212" s="13">
        <f t="shared" si="125"/>
        <v>55.64</v>
      </c>
      <c r="L2212" s="11" t="s">
        <v>34</v>
      </c>
      <c r="M2212" s="14"/>
      <c r="N2212" s="11" t="s">
        <v>47</v>
      </c>
      <c r="O2212" s="10" t="str">
        <f t="shared" si="79"/>
        <v>12/2025</v>
      </c>
      <c r="P2212" s="10" t="str">
        <f t="shared" si="121"/>
        <v>12/2025</v>
      </c>
      <c r="Q2212" s="15" t="str">
        <f t="array" ref="Q2212">IFERROR(XLOOKUP(N2212,'Classificação'!A:A,'Classificação'!B:B),"")</f>
        <v>DESPESAS NÃO OPERACIONAIS</v>
      </c>
      <c r="R2212" s="15" t="str">
        <f t="array" ref="R2212">IFERROR(XLOOKUP(Q2212,'Classificação'!B:B,'Classificação'!C:C),"")</f>
        <v>RESULTADO NÃO OPERACIONAL (+/-)</v>
      </c>
      <c r="S2212" s="15">
        <f t="shared" si="91"/>
        <v>24</v>
      </c>
      <c r="T2212" s="15">
        <f t="shared" si="6"/>
        <v>12</v>
      </c>
      <c r="U2212" s="15">
        <f t="shared" si="7"/>
        <v>2025</v>
      </c>
      <c r="V2212" s="15">
        <f t="shared" si="8"/>
        <v>24</v>
      </c>
      <c r="W2212" s="15">
        <f t="shared" si="9"/>
        <v>12</v>
      </c>
      <c r="X2212" s="15">
        <f t="shared" si="10"/>
        <v>2025</v>
      </c>
    </row>
    <row r="2213">
      <c r="A2213" s="26">
        <v>46017.0</v>
      </c>
      <c r="B2213" s="28"/>
      <c r="C2213" s="27">
        <f t="shared" si="90"/>
        <v>46017</v>
      </c>
      <c r="D2213" s="28" t="s">
        <v>177</v>
      </c>
      <c r="E2213" s="29" t="s">
        <v>25</v>
      </c>
      <c r="F2213" s="28" t="s">
        <v>40</v>
      </c>
      <c r="G2213" s="29" t="s">
        <v>37</v>
      </c>
      <c r="H2213" s="29" t="s">
        <v>1148</v>
      </c>
      <c r="I2213" s="24">
        <v>162.39</v>
      </c>
      <c r="J2213" s="34"/>
      <c r="K2213" s="37">
        <f t="shared" ref="K2213:K2214" si="126">IF(E2213="pago",(I2213-J2213),"")</f>
        <v>162.39</v>
      </c>
      <c r="L2213" s="28" t="s">
        <v>53</v>
      </c>
      <c r="M2213" s="35">
        <v>45839.0</v>
      </c>
      <c r="N2213" s="28" t="s">
        <v>178</v>
      </c>
      <c r="O2213" s="10" t="str">
        <f t="shared" si="79"/>
        <v>12/2025</v>
      </c>
      <c r="P2213" s="10" t="str">
        <f t="shared" si="121"/>
        <v>12/2025</v>
      </c>
      <c r="Q2213" s="15" t="str">
        <f t="array" ref="Q2213">IFERROR(XLOOKUP(N2213,'Classificação'!A:A,'Classificação'!B:B),"")</f>
        <v>DESPESAS COM OCUPAÇÃO</v>
      </c>
      <c r="R2213" s="15" t="str">
        <f t="array" ref="R2213">IFERROR(XLOOKUP(Q2213,'Classificação'!B:B,'Classificação'!C:C),"")</f>
        <v>DESPESAS FIXAS (-)</v>
      </c>
      <c r="S2213" s="15">
        <f t="shared" si="91"/>
        <v>26</v>
      </c>
      <c r="T2213" s="15">
        <f t="shared" si="6"/>
        <v>12</v>
      </c>
      <c r="U2213" s="15">
        <f t="shared" si="7"/>
        <v>2025</v>
      </c>
      <c r="V2213" s="15">
        <f t="shared" si="8"/>
        <v>26</v>
      </c>
      <c r="W2213" s="15">
        <f t="shared" si="9"/>
        <v>12</v>
      </c>
      <c r="X2213" s="15">
        <f t="shared" si="10"/>
        <v>2025</v>
      </c>
    </row>
    <row r="2214">
      <c r="A2214" s="26">
        <v>46020.0</v>
      </c>
      <c r="B2214" s="28"/>
      <c r="C2214" s="27">
        <f t="shared" si="90"/>
        <v>46020</v>
      </c>
      <c r="D2214" s="29" t="s">
        <v>1094</v>
      </c>
      <c r="E2214" s="29" t="s">
        <v>25</v>
      </c>
      <c r="F2214" s="28" t="s">
        <v>40</v>
      </c>
      <c r="G2214" s="29" t="s">
        <v>37</v>
      </c>
      <c r="H2214" s="28" t="s">
        <v>1100</v>
      </c>
      <c r="I2214" s="37">
        <v>550.0</v>
      </c>
      <c r="J2214" s="34"/>
      <c r="K2214" s="37">
        <f t="shared" si="126"/>
        <v>550</v>
      </c>
      <c r="L2214" s="28" t="s">
        <v>29</v>
      </c>
      <c r="M2214" s="28"/>
      <c r="N2214" s="28" t="s">
        <v>204</v>
      </c>
      <c r="O2214" s="10" t="str">
        <f t="shared" si="79"/>
        <v>12/2025</v>
      </c>
      <c r="P2214" s="10" t="str">
        <f t="shared" si="121"/>
        <v>12/2025</v>
      </c>
      <c r="Q2214" s="15" t="str">
        <f t="array" ref="Q2214">IFERROR(XLOOKUP(N2214,'Classificação'!A:A,'Classificação'!B:B),"")</f>
        <v>DESPESAS COM PESSOAL</v>
      </c>
      <c r="R2214" s="15" t="str">
        <f t="array" ref="R2214">IFERROR(XLOOKUP(Q2214,'Classificação'!B:B,'Classificação'!C:C),"")</f>
        <v>DESPESAS FIXAS (-)</v>
      </c>
      <c r="S2214" s="15">
        <f t="shared" si="91"/>
        <v>29</v>
      </c>
      <c r="T2214" s="15">
        <f t="shared" si="6"/>
        <v>12</v>
      </c>
      <c r="U2214" s="15">
        <f t="shared" si="7"/>
        <v>2025</v>
      </c>
      <c r="V2214" s="15">
        <f t="shared" si="8"/>
        <v>29</v>
      </c>
      <c r="W2214" s="15">
        <f t="shared" si="9"/>
        <v>12</v>
      </c>
      <c r="X2214" s="15">
        <f t="shared" si="10"/>
        <v>2025</v>
      </c>
    </row>
    <row r="2215">
      <c r="A2215" s="9">
        <v>46020.0</v>
      </c>
      <c r="B2215" s="10"/>
      <c r="C2215" s="9">
        <f t="shared" si="90"/>
        <v>46020</v>
      </c>
      <c r="D2215" s="11" t="s">
        <v>83</v>
      </c>
      <c r="E2215" s="11" t="s">
        <v>25</v>
      </c>
      <c r="F2215" s="11" t="s">
        <v>40</v>
      </c>
      <c r="G2215" s="11" t="s">
        <v>27</v>
      </c>
      <c r="I2215" s="12">
        <v>550.0</v>
      </c>
      <c r="J2215" s="13"/>
      <c r="K2215" s="13">
        <f t="shared" ref="K2215:K2221" si="127">if(E2215="pago",(I2215-J2215),"")</f>
        <v>550</v>
      </c>
      <c r="L2215" s="11" t="s">
        <v>29</v>
      </c>
      <c r="M2215" s="14"/>
      <c r="N2215" s="11" t="s">
        <v>204</v>
      </c>
      <c r="O2215" s="10" t="str">
        <f t="shared" si="79"/>
        <v>12/2025</v>
      </c>
      <c r="P2215" s="10" t="str">
        <f t="shared" si="121"/>
        <v>12/2025</v>
      </c>
      <c r="Q2215" s="15" t="str">
        <f t="array" ref="Q2215">IFERROR(XLOOKUP(N2215,'Classificação'!A:A,'Classificação'!B:B),"")</f>
        <v>DESPESAS COM PESSOAL</v>
      </c>
      <c r="R2215" s="15" t="str">
        <f t="array" ref="R2215">IFERROR(XLOOKUP(Q2215,'Classificação'!B:B,'Classificação'!C:C),"")</f>
        <v>DESPESAS FIXAS (-)</v>
      </c>
      <c r="S2215" s="15">
        <f t="shared" si="91"/>
        <v>29</v>
      </c>
      <c r="T2215" s="15">
        <f t="shared" si="6"/>
        <v>12</v>
      </c>
      <c r="U2215" s="15">
        <f t="shared" si="7"/>
        <v>2025</v>
      </c>
      <c r="V2215" s="15">
        <f t="shared" si="8"/>
        <v>29</v>
      </c>
      <c r="W2215" s="15">
        <f t="shared" si="9"/>
        <v>12</v>
      </c>
      <c r="X2215" s="15">
        <f t="shared" si="10"/>
        <v>2025</v>
      </c>
    </row>
    <row r="2216">
      <c r="A2216" s="9">
        <v>46020.0</v>
      </c>
      <c r="B2216" s="10"/>
      <c r="C2216" s="9">
        <f t="shared" si="90"/>
        <v>46020</v>
      </c>
      <c r="D2216" s="11" t="s">
        <v>80</v>
      </c>
      <c r="E2216" s="11" t="s">
        <v>25</v>
      </c>
      <c r="F2216" s="11" t="s">
        <v>40</v>
      </c>
      <c r="G2216" s="11" t="s">
        <v>27</v>
      </c>
      <c r="H2216" s="11" t="s">
        <v>611</v>
      </c>
      <c r="I2216" s="12">
        <v>275.0</v>
      </c>
      <c r="J2216" s="13"/>
      <c r="K2216" s="13">
        <f t="shared" si="127"/>
        <v>275</v>
      </c>
      <c r="L2216" s="11" t="s">
        <v>29</v>
      </c>
      <c r="M2216" s="14"/>
      <c r="N2216" s="11" t="s">
        <v>204</v>
      </c>
      <c r="O2216" s="10" t="str">
        <f t="shared" si="79"/>
        <v>12/2025</v>
      </c>
      <c r="P2216" s="10" t="str">
        <f t="shared" si="121"/>
        <v>12/2025</v>
      </c>
      <c r="Q2216" s="15" t="str">
        <f t="array" ref="Q2216">IFERROR(XLOOKUP(N2216,'Classificação'!A:A,'Classificação'!B:B),"")</f>
        <v>DESPESAS COM PESSOAL</v>
      </c>
      <c r="R2216" s="15" t="str">
        <f t="array" ref="R2216">IFERROR(XLOOKUP(Q2216,'Classificação'!B:B,'Classificação'!C:C),"")</f>
        <v>DESPESAS FIXAS (-)</v>
      </c>
      <c r="S2216" s="15">
        <f t="shared" si="91"/>
        <v>29</v>
      </c>
      <c r="T2216" s="15">
        <f t="shared" si="6"/>
        <v>12</v>
      </c>
      <c r="U2216" s="15">
        <f t="shared" si="7"/>
        <v>2025</v>
      </c>
      <c r="V2216" s="15">
        <f t="shared" si="8"/>
        <v>29</v>
      </c>
      <c r="W2216" s="15">
        <f t="shared" si="9"/>
        <v>12</v>
      </c>
      <c r="X2216" s="15">
        <f t="shared" si="10"/>
        <v>2025</v>
      </c>
    </row>
    <row r="2217">
      <c r="A2217" s="9">
        <v>46020.0</v>
      </c>
      <c r="B2217" s="10"/>
      <c r="C2217" s="9">
        <f t="shared" si="90"/>
        <v>46020</v>
      </c>
      <c r="D2217" s="11" t="s">
        <v>221</v>
      </c>
      <c r="E2217" s="11" t="s">
        <v>25</v>
      </c>
      <c r="F2217" s="11" t="s">
        <v>32</v>
      </c>
      <c r="G2217" s="11" t="s">
        <v>27</v>
      </c>
      <c r="H2217" s="11" t="s">
        <v>222</v>
      </c>
      <c r="I2217" s="12">
        <v>380.54</v>
      </c>
      <c r="J2217" s="13"/>
      <c r="K2217" s="13">
        <f t="shared" si="127"/>
        <v>380.54</v>
      </c>
      <c r="L2217" s="11" t="s">
        <v>29</v>
      </c>
      <c r="M2217" s="14"/>
      <c r="N2217" s="11" t="s">
        <v>61</v>
      </c>
      <c r="O2217" s="10" t="str">
        <f t="shared" si="79"/>
        <v>12/2025</v>
      </c>
      <c r="P2217" s="10" t="str">
        <f t="shared" si="121"/>
        <v>12/2025</v>
      </c>
      <c r="Q2217" s="15" t="str">
        <f t="array" ref="Q2217">IFERROR(XLOOKUP(N2217,'Classificação'!A:A,'Classificação'!B:B),"")</f>
        <v>DESPESAS ADMINISTRATIVAS</v>
      </c>
      <c r="R2217" s="15" t="str">
        <f t="array" ref="R2217">IFERROR(XLOOKUP(Q2217,'Classificação'!B:B,'Classificação'!C:C),"")</f>
        <v>DESPESAS FIXAS (-)</v>
      </c>
      <c r="S2217" s="15">
        <f t="shared" si="91"/>
        <v>29</v>
      </c>
      <c r="T2217" s="15">
        <f t="shared" si="6"/>
        <v>12</v>
      </c>
      <c r="U2217" s="15">
        <f t="shared" si="7"/>
        <v>2025</v>
      </c>
      <c r="V2217" s="15">
        <f t="shared" si="8"/>
        <v>29</v>
      </c>
      <c r="W2217" s="15">
        <f t="shared" si="9"/>
        <v>12</v>
      </c>
      <c r="X2217" s="15">
        <f t="shared" si="10"/>
        <v>2025</v>
      </c>
    </row>
    <row r="2218">
      <c r="A2218" s="9">
        <v>46020.0</v>
      </c>
      <c r="B2218" s="10"/>
      <c r="C2218" s="9">
        <f t="shared" si="90"/>
        <v>46020</v>
      </c>
      <c r="D2218" s="11" t="s">
        <v>100</v>
      </c>
      <c r="E2218" s="11" t="s">
        <v>25</v>
      </c>
      <c r="F2218" s="11" t="s">
        <v>40</v>
      </c>
      <c r="G2218" s="11" t="s">
        <v>37</v>
      </c>
      <c r="H2218" s="11" t="s">
        <v>243</v>
      </c>
      <c r="I2218" s="12">
        <v>10544.17</v>
      </c>
      <c r="J2218" s="13"/>
      <c r="K2218" s="13">
        <f t="shared" si="127"/>
        <v>10544.17</v>
      </c>
      <c r="L2218" s="11" t="s">
        <v>29</v>
      </c>
      <c r="M2218" s="14"/>
      <c r="N2218" s="11" t="s">
        <v>101</v>
      </c>
      <c r="O2218" s="10" t="str">
        <f t="shared" si="79"/>
        <v>12/2025</v>
      </c>
      <c r="P2218" s="10" t="str">
        <f t="shared" si="121"/>
        <v>12/2025</v>
      </c>
      <c r="Q2218" s="15" t="str">
        <f t="array" ref="Q2218">IFERROR(XLOOKUP(N2218,'Classificação'!A:A,'Classificação'!B:B),"")</f>
        <v>IMPOSTO DE RENDA - DAS</v>
      </c>
      <c r="R2218" s="15" t="str">
        <f t="array" ref="R2218">IFERROR(XLOOKUP(Q2218,'Classificação'!B:B,'Classificação'!C:C),"")</f>
        <v>DEDUÇÕES DA RECEITA BRUTA (-)</v>
      </c>
      <c r="S2218" s="15">
        <f t="shared" si="91"/>
        <v>29</v>
      </c>
      <c r="T2218" s="15">
        <f>IFERROR(MONTH(O2218),"")</f>
        <v>12</v>
      </c>
      <c r="U2218" s="15">
        <f>IFERROR(YEAR(O2218),"")</f>
        <v>2025</v>
      </c>
      <c r="V2218" s="15">
        <f t="shared" si="8"/>
        <v>29</v>
      </c>
      <c r="W2218" s="15">
        <f t="shared" si="9"/>
        <v>12</v>
      </c>
      <c r="X2218" s="15">
        <f t="shared" si="10"/>
        <v>2025</v>
      </c>
    </row>
    <row r="2219">
      <c r="A2219" s="9">
        <v>46021.0</v>
      </c>
      <c r="B2219" s="10"/>
      <c r="C2219" s="9">
        <f t="shared" si="90"/>
        <v>46021</v>
      </c>
      <c r="D2219" s="11" t="s">
        <v>1046</v>
      </c>
      <c r="E2219" s="11" t="s">
        <v>25</v>
      </c>
      <c r="F2219" s="11" t="s">
        <v>32</v>
      </c>
      <c r="G2219" s="11" t="s">
        <v>37</v>
      </c>
      <c r="I2219" s="12">
        <v>150.0</v>
      </c>
      <c r="J2219" s="13"/>
      <c r="K2219" s="13">
        <f t="shared" si="127"/>
        <v>150</v>
      </c>
      <c r="L2219" s="11" t="s">
        <v>29</v>
      </c>
      <c r="M2219" s="14"/>
      <c r="N2219" s="11" t="s">
        <v>224</v>
      </c>
      <c r="O2219" s="10" t="str">
        <f t="shared" si="79"/>
        <v>12/2025</v>
      </c>
      <c r="P2219" s="10" t="str">
        <f t="shared" si="121"/>
        <v>12/2025</v>
      </c>
      <c r="Q2219" s="15" t="str">
        <f t="array" ref="Q2219">IFERROR(XLOOKUP(N2219,'Classificação'!A:A,'Classificação'!B:B),"")</f>
        <v>DESPESAS ADMINISTRATIVAS</v>
      </c>
      <c r="R2219" s="15" t="str">
        <f t="array" ref="R2219">IFERROR(XLOOKUP(Q2219,'Classificação'!B:B,'Classificação'!C:C),"")</f>
        <v>DESPESAS FIXAS (-)</v>
      </c>
      <c r="S2219" s="15">
        <f t="shared" si="91"/>
        <v>30</v>
      </c>
      <c r="T2219" s="15">
        <f t="shared" ref="T2219:T3371" si="128">iferror(MONTH(O2219),"")</f>
        <v>12</v>
      </c>
      <c r="U2219" s="15">
        <f t="shared" ref="U2219:U3371" si="129">iferror(YEAR(O2219),"")</f>
        <v>2025</v>
      </c>
      <c r="V2219" s="15">
        <f t="shared" si="8"/>
        <v>30</v>
      </c>
      <c r="W2219" s="15">
        <f t="shared" si="9"/>
        <v>12</v>
      </c>
      <c r="X2219" s="15">
        <f t="shared" si="10"/>
        <v>2025</v>
      </c>
    </row>
    <row r="2220">
      <c r="A2220" s="9">
        <v>46021.0</v>
      </c>
      <c r="B2220" s="10"/>
      <c r="C2220" s="9">
        <f t="shared" si="90"/>
        <v>46021</v>
      </c>
      <c r="D2220" s="11" t="s">
        <v>80</v>
      </c>
      <c r="E2220" s="11" t="s">
        <v>25</v>
      </c>
      <c r="F2220" s="11" t="s">
        <v>26</v>
      </c>
      <c r="G2220" s="11" t="s">
        <v>27</v>
      </c>
      <c r="H2220" s="11" t="s">
        <v>1149</v>
      </c>
      <c r="I2220" s="12">
        <v>90.63</v>
      </c>
      <c r="J2220" s="13"/>
      <c r="K2220" s="13">
        <f t="shared" si="127"/>
        <v>90.63</v>
      </c>
      <c r="L2220" s="11" t="s">
        <v>29</v>
      </c>
      <c r="M2220" s="14"/>
      <c r="N2220" s="11" t="s">
        <v>38</v>
      </c>
      <c r="O2220" s="10" t="str">
        <f t="shared" si="79"/>
        <v>12/2025</v>
      </c>
      <c r="P2220" s="10" t="str">
        <f t="shared" si="121"/>
        <v>12/2025</v>
      </c>
      <c r="Q2220" s="15" t="str">
        <f t="array" ref="Q2220">IFERROR(XLOOKUP(N2220,'Classificação'!A:A,'Classificação'!B:B),"")</f>
        <v>DESPESAS COM PESSOAL</v>
      </c>
      <c r="R2220" s="15" t="str">
        <f t="array" ref="R2220">IFERROR(XLOOKUP(Q2220,'Classificação'!B:B,'Classificação'!C:C),"")</f>
        <v>DESPESAS FIXAS (-)</v>
      </c>
      <c r="S2220" s="15">
        <f t="shared" si="91"/>
        <v>30</v>
      </c>
      <c r="T2220" s="15">
        <f t="shared" si="128"/>
        <v>12</v>
      </c>
      <c r="U2220" s="15">
        <f t="shared" si="129"/>
        <v>2025</v>
      </c>
      <c r="V2220" s="15">
        <f t="shared" si="8"/>
        <v>30</v>
      </c>
      <c r="W2220" s="15">
        <f t="shared" si="9"/>
        <v>12</v>
      </c>
      <c r="X2220" s="15">
        <f t="shared" si="10"/>
        <v>2025</v>
      </c>
    </row>
    <row r="2221">
      <c r="A2221" s="9">
        <v>46021.0</v>
      </c>
      <c r="B2221" s="10"/>
      <c r="C2221" s="9">
        <f t="shared" si="90"/>
        <v>46021</v>
      </c>
      <c r="D2221" s="11" t="s">
        <v>83</v>
      </c>
      <c r="E2221" s="11" t="s">
        <v>25</v>
      </c>
      <c r="F2221" s="11" t="s">
        <v>40</v>
      </c>
      <c r="G2221" s="11" t="s">
        <v>27</v>
      </c>
      <c r="H2221" s="11" t="s">
        <v>1149</v>
      </c>
      <c r="I2221" s="12">
        <v>1242.95</v>
      </c>
      <c r="J2221" s="13"/>
      <c r="K2221" s="13">
        <f t="shared" si="127"/>
        <v>1242.95</v>
      </c>
      <c r="L2221" s="11" t="s">
        <v>29</v>
      </c>
      <c r="M2221" s="14"/>
      <c r="N2221" s="11" t="s">
        <v>38</v>
      </c>
      <c r="O2221" s="10" t="str">
        <f t="shared" si="79"/>
        <v>12/2025</v>
      </c>
      <c r="P2221" s="10" t="str">
        <f t="shared" si="121"/>
        <v>12/2025</v>
      </c>
      <c r="Q2221" s="15" t="str">
        <f t="array" ref="Q2221">IFERROR(XLOOKUP(N2221,'Classificação'!A:A,'Classificação'!B:B),"")</f>
        <v>DESPESAS COM PESSOAL</v>
      </c>
      <c r="R2221" s="15" t="str">
        <f t="array" ref="R2221">IFERROR(XLOOKUP(Q2221,'Classificação'!B:B,'Classificação'!C:C),"")</f>
        <v>DESPESAS FIXAS (-)</v>
      </c>
      <c r="S2221" s="15">
        <f t="shared" si="91"/>
        <v>30</v>
      </c>
      <c r="T2221" s="15">
        <f t="shared" si="128"/>
        <v>12</v>
      </c>
      <c r="U2221" s="15">
        <f t="shared" si="129"/>
        <v>2025</v>
      </c>
      <c r="V2221" s="15">
        <f t="shared" si="8"/>
        <v>30</v>
      </c>
      <c r="W2221" s="15">
        <f t="shared" si="9"/>
        <v>12</v>
      </c>
      <c r="X2221" s="15">
        <f t="shared" si="10"/>
        <v>2025</v>
      </c>
    </row>
    <row r="2222">
      <c r="A2222" s="26">
        <v>46021.0</v>
      </c>
      <c r="B2222" s="28"/>
      <c r="C2222" s="27">
        <f t="shared" si="90"/>
        <v>46021</v>
      </c>
      <c r="D2222" s="29" t="s">
        <v>1094</v>
      </c>
      <c r="E2222" s="29" t="s">
        <v>25</v>
      </c>
      <c r="F2222" s="29" t="s">
        <v>26</v>
      </c>
      <c r="G2222" s="29" t="s">
        <v>37</v>
      </c>
      <c r="H2222" s="28" t="s">
        <v>1150</v>
      </c>
      <c r="I2222" s="24">
        <v>1147.77</v>
      </c>
      <c r="J2222" s="34"/>
      <c r="K2222" s="37">
        <f>IF(E2222="pago",(I2222-J2222),"")</f>
        <v>1147.77</v>
      </c>
      <c r="L2222" s="28" t="s">
        <v>29</v>
      </c>
      <c r="M2222" s="28"/>
      <c r="N2222" s="28" t="s">
        <v>38</v>
      </c>
      <c r="O2222" s="10" t="str">
        <f t="shared" si="79"/>
        <v>12/2025</v>
      </c>
      <c r="P2222" s="10" t="str">
        <f t="shared" si="121"/>
        <v>12/2025</v>
      </c>
      <c r="Q2222" s="15" t="str">
        <f t="array" ref="Q2222">IFERROR(XLOOKUP(N2222,'Classificação'!A:A,'Classificação'!B:B),"")</f>
        <v>DESPESAS COM PESSOAL</v>
      </c>
      <c r="R2222" s="15" t="str">
        <f t="array" ref="R2222">IFERROR(XLOOKUP(Q2222,'Classificação'!B:B,'Classificação'!C:C),"")</f>
        <v>DESPESAS FIXAS (-)</v>
      </c>
      <c r="S2222" s="15">
        <f t="shared" si="91"/>
        <v>30</v>
      </c>
      <c r="T2222" s="15">
        <f t="shared" si="128"/>
        <v>12</v>
      </c>
      <c r="U2222" s="15">
        <f t="shared" si="129"/>
        <v>2025</v>
      </c>
      <c r="V2222" s="15">
        <f t="shared" si="8"/>
        <v>30</v>
      </c>
      <c r="W2222" s="15">
        <f t="shared" si="9"/>
        <v>12</v>
      </c>
      <c r="X2222" s="15">
        <f t="shared" si="10"/>
        <v>2025</v>
      </c>
    </row>
    <row r="2223">
      <c r="A2223" s="32">
        <v>46021.0</v>
      </c>
      <c r="B2223" s="10"/>
      <c r="C2223" s="9">
        <f t="shared" si="90"/>
        <v>46021</v>
      </c>
      <c r="D2223" s="11" t="s">
        <v>528</v>
      </c>
      <c r="E2223" s="29" t="s">
        <v>25</v>
      </c>
      <c r="F2223" s="11" t="s">
        <v>40</v>
      </c>
      <c r="G2223" s="28" t="s">
        <v>27</v>
      </c>
      <c r="H2223" s="11" t="s">
        <v>775</v>
      </c>
      <c r="I2223" s="12">
        <v>3.4</v>
      </c>
      <c r="J2223" s="13"/>
      <c r="K2223" s="13">
        <f>if(E2223="pago",(I2223-J2223),"")</f>
        <v>3.4</v>
      </c>
      <c r="L2223" s="11" t="s">
        <v>34</v>
      </c>
      <c r="M2223" s="14"/>
      <c r="N2223" s="11" t="s">
        <v>355</v>
      </c>
      <c r="O2223" s="10" t="str">
        <f t="shared" si="79"/>
        <v>12/2025</v>
      </c>
      <c r="P2223" s="10" t="str">
        <f t="shared" si="121"/>
        <v>12/2025</v>
      </c>
      <c r="Q2223" s="15" t="str">
        <f t="array" ref="Q2223">IFERROR(XLOOKUP(N2223,'Classificação'!A:A,'Classificação'!B:B),"")</f>
        <v>IMPOSTOS E TAXAS DIVERSAS</v>
      </c>
      <c r="R2223" s="15" t="str">
        <f t="array" ref="R2223">IFERROR(XLOOKUP(Q2223,'Classificação'!B:B,'Classificação'!C:C),"")</f>
        <v>DESPESAS FIXAS (-)</v>
      </c>
      <c r="S2223" s="15">
        <f t="shared" si="91"/>
        <v>30</v>
      </c>
      <c r="T2223" s="15">
        <f t="shared" si="128"/>
        <v>12</v>
      </c>
      <c r="U2223" s="15">
        <f t="shared" si="129"/>
        <v>2025</v>
      </c>
      <c r="V2223" s="15">
        <f t="shared" si="8"/>
        <v>30</v>
      </c>
      <c r="W2223" s="15">
        <f t="shared" si="9"/>
        <v>12</v>
      </c>
      <c r="X2223" s="15">
        <f t="shared" si="10"/>
        <v>2025</v>
      </c>
    </row>
    <row r="2224">
      <c r="A2224" s="26">
        <v>46021.0</v>
      </c>
      <c r="B2224" s="28"/>
      <c r="C2224" s="27">
        <f t="shared" si="90"/>
        <v>46021</v>
      </c>
      <c r="D2224" s="28" t="s">
        <v>36</v>
      </c>
      <c r="E2224" s="29" t="s">
        <v>25</v>
      </c>
      <c r="F2224" s="28" t="s">
        <v>26</v>
      </c>
      <c r="G2224" s="28" t="s">
        <v>27</v>
      </c>
      <c r="H2224" s="28"/>
      <c r="I2224" s="24">
        <v>501.0</v>
      </c>
      <c r="J2224" s="34"/>
      <c r="K2224" s="37">
        <f t="shared" ref="K2224:K2225" si="130">IF(E2224="pago",(I2224-J2224),"")</f>
        <v>501</v>
      </c>
      <c r="L2224" s="28" t="s">
        <v>29</v>
      </c>
      <c r="M2224" s="28"/>
      <c r="N2224" s="28" t="s">
        <v>38</v>
      </c>
      <c r="O2224" s="10" t="str">
        <f t="shared" si="79"/>
        <v>12/2025</v>
      </c>
      <c r="P2224" s="10" t="str">
        <f t="shared" si="121"/>
        <v>12/2025</v>
      </c>
      <c r="Q2224" s="15" t="str">
        <f t="array" ref="Q2224">IFERROR(XLOOKUP(N2224,'Classificação'!A:A,'Classificação'!B:B),"")</f>
        <v>DESPESAS COM PESSOAL</v>
      </c>
      <c r="R2224" s="15" t="str">
        <f t="array" ref="R2224">IFERROR(XLOOKUP(Q2224,'Classificação'!B:B,'Classificação'!C:C),"")</f>
        <v>DESPESAS FIXAS (-)</v>
      </c>
      <c r="S2224" s="15">
        <f>iferror(DAY(A2223),"")</f>
        <v>30</v>
      </c>
      <c r="T2224" s="15">
        <f t="shared" si="128"/>
        <v>12</v>
      </c>
      <c r="U2224" s="15">
        <f t="shared" si="129"/>
        <v>2025</v>
      </c>
      <c r="V2224" s="15">
        <f t="shared" si="8"/>
        <v>30</v>
      </c>
      <c r="W2224" s="15">
        <f t="shared" si="9"/>
        <v>12</v>
      </c>
      <c r="X2224" s="15">
        <f t="shared" si="10"/>
        <v>2025</v>
      </c>
    </row>
    <row r="2225">
      <c r="A2225" s="26">
        <v>46021.0</v>
      </c>
      <c r="B2225" s="28"/>
      <c r="C2225" s="27">
        <f t="shared" si="90"/>
        <v>46021</v>
      </c>
      <c r="D2225" s="28" t="s">
        <v>43</v>
      </c>
      <c r="E2225" s="29" t="s">
        <v>25</v>
      </c>
      <c r="F2225" s="28" t="s">
        <v>26</v>
      </c>
      <c r="G2225" s="28" t="s">
        <v>27</v>
      </c>
      <c r="H2225" s="28"/>
      <c r="I2225" s="24">
        <v>500.0</v>
      </c>
      <c r="J2225" s="34"/>
      <c r="K2225" s="37">
        <f t="shared" si="130"/>
        <v>500</v>
      </c>
      <c r="L2225" s="28" t="s">
        <v>29</v>
      </c>
      <c r="M2225" s="28"/>
      <c r="N2225" s="28" t="s">
        <v>38</v>
      </c>
      <c r="O2225" s="10" t="str">
        <f t="shared" si="79"/>
        <v>12/2025</v>
      </c>
      <c r="P2225" s="10" t="str">
        <f t="shared" si="121"/>
        <v>12/2025</v>
      </c>
      <c r="Q2225" s="15" t="str">
        <f t="array" ref="Q2225">IFERROR(XLOOKUP(N2225,'Classificação'!A:A,'Classificação'!B:B),"")</f>
        <v>DESPESAS COM PESSOAL</v>
      </c>
      <c r="R2225" s="15" t="str">
        <f t="array" ref="R2225">IFERROR(XLOOKUP(Q2225,'Classificação'!B:B,'Classificação'!C:C),"")</f>
        <v>DESPESAS FIXAS (-)</v>
      </c>
      <c r="S2225" s="15">
        <f t="shared" ref="S2225:S2694" si="131">iferror(DAY(A2225),"")</f>
        <v>30</v>
      </c>
      <c r="T2225" s="15">
        <f t="shared" si="128"/>
        <v>12</v>
      </c>
      <c r="U2225" s="15">
        <f t="shared" si="129"/>
        <v>2025</v>
      </c>
      <c r="V2225" s="15">
        <f t="shared" si="8"/>
        <v>30</v>
      </c>
      <c r="W2225" s="15">
        <f t="shared" si="9"/>
        <v>12</v>
      </c>
      <c r="X2225" s="15">
        <f t="shared" si="10"/>
        <v>2025</v>
      </c>
    </row>
    <row r="2226">
      <c r="A2226" s="26">
        <v>46023.0</v>
      </c>
      <c r="B2226" s="30"/>
      <c r="C2226" s="27">
        <f t="shared" si="90"/>
        <v>46023</v>
      </c>
      <c r="D2226" s="28" t="s">
        <v>288</v>
      </c>
      <c r="E2226" s="29" t="s">
        <v>25</v>
      </c>
      <c r="F2226" s="28" t="s">
        <v>26</v>
      </c>
      <c r="G2226" s="28" t="s">
        <v>37</v>
      </c>
      <c r="H2226" s="29" t="s">
        <v>289</v>
      </c>
      <c r="I2226" s="37">
        <v>98.18</v>
      </c>
      <c r="J2226" s="34"/>
      <c r="K2226" s="13">
        <f>if(E2226="pago",(I2226-J2226),"")</f>
        <v>98.18</v>
      </c>
      <c r="L2226" s="28" t="s">
        <v>29</v>
      </c>
      <c r="M2226" s="28"/>
      <c r="N2226" s="28" t="s">
        <v>105</v>
      </c>
      <c r="O2226" s="10" t="str">
        <f t="shared" si="79"/>
        <v>01/2026</v>
      </c>
      <c r="P2226" s="10" t="str">
        <f t="shared" si="121"/>
        <v>01/2026</v>
      </c>
      <c r="Q2226" s="15" t="str">
        <f t="array" ref="Q2226">IFERROR(XLOOKUP(N2226,'Classificação'!A:A,'Classificação'!B:B),"")</f>
        <v>DESPESAS ADMINISTRATIVAS</v>
      </c>
      <c r="R2226" s="15" t="str">
        <f t="array" ref="R2226">IFERROR(XLOOKUP(Q2226,'Classificação'!B:B,'Classificação'!C:C),"")</f>
        <v>DESPESAS FIXAS (-)</v>
      </c>
      <c r="S2226" s="15">
        <f t="shared" si="131"/>
        <v>1</v>
      </c>
      <c r="T2226" s="15">
        <f t="shared" si="128"/>
        <v>1</v>
      </c>
      <c r="U2226" s="15">
        <f t="shared" si="129"/>
        <v>2026</v>
      </c>
      <c r="V2226" s="15">
        <f t="shared" si="8"/>
        <v>1</v>
      </c>
      <c r="W2226" s="15">
        <f t="shared" si="9"/>
        <v>1</v>
      </c>
      <c r="X2226" s="15">
        <f t="shared" si="10"/>
        <v>2026</v>
      </c>
    </row>
    <row r="2227">
      <c r="A2227" s="26">
        <v>46024.0</v>
      </c>
      <c r="B2227" s="30"/>
      <c r="C2227" s="27">
        <f t="shared" si="90"/>
        <v>46024</v>
      </c>
      <c r="D2227" s="28" t="s">
        <v>24</v>
      </c>
      <c r="E2227" s="29" t="s">
        <v>25</v>
      </c>
      <c r="F2227" s="28" t="s">
        <v>26</v>
      </c>
      <c r="G2227" s="28" t="s">
        <v>37</v>
      </c>
      <c r="H2227" s="28" t="s">
        <v>28</v>
      </c>
      <c r="I2227" s="24">
        <v>5966.24</v>
      </c>
      <c r="J2227" s="34"/>
      <c r="K2227" s="37">
        <f>IF(E2227="pago",(I2227-J2227),"")</f>
        <v>5966.24</v>
      </c>
      <c r="L2227" s="28" t="s">
        <v>29</v>
      </c>
      <c r="M2227" s="28"/>
      <c r="N2227" s="28" t="s">
        <v>30</v>
      </c>
      <c r="O2227" s="10" t="str">
        <f t="shared" si="79"/>
        <v>01/2026</v>
      </c>
      <c r="P2227" s="10" t="str">
        <f t="shared" si="121"/>
        <v>01/2026</v>
      </c>
      <c r="Q2227" s="15" t="str">
        <f t="array" ref="Q2227">IFERROR(XLOOKUP(N2227,'Classificação'!A:A,'Classificação'!B:B),"")</f>
        <v>DESPESAS COM OCUPAÇÃO</v>
      </c>
      <c r="R2227" s="15" t="str">
        <f t="array" ref="R2227">IFERROR(XLOOKUP(Q2227,'Classificação'!B:B,'Classificação'!C:C),"")</f>
        <v>DESPESAS FIXAS (-)</v>
      </c>
      <c r="S2227" s="15">
        <f t="shared" si="131"/>
        <v>2</v>
      </c>
      <c r="T2227" s="15">
        <f t="shared" si="128"/>
        <v>1</v>
      </c>
      <c r="U2227" s="15">
        <f t="shared" si="129"/>
        <v>2026</v>
      </c>
      <c r="V2227" s="15">
        <f t="shared" si="8"/>
        <v>2</v>
      </c>
      <c r="W2227" s="15">
        <f t="shared" si="9"/>
        <v>1</v>
      </c>
      <c r="X2227" s="15">
        <f t="shared" si="10"/>
        <v>2026</v>
      </c>
    </row>
    <row r="2228">
      <c r="A2228" s="26">
        <v>46024.0</v>
      </c>
      <c r="B2228" s="10"/>
      <c r="C2228" s="9">
        <f t="shared" si="90"/>
        <v>46024</v>
      </c>
      <c r="D2228" s="28" t="s">
        <v>322</v>
      </c>
      <c r="E2228" s="29" t="s">
        <v>25</v>
      </c>
      <c r="F2228" s="15" t="s">
        <v>40</v>
      </c>
      <c r="G2228" s="28" t="s">
        <v>37</v>
      </c>
      <c r="H2228" s="29" t="s">
        <v>778</v>
      </c>
      <c r="I2228" s="24">
        <v>48.59</v>
      </c>
      <c r="J2228" s="13"/>
      <c r="K2228" s="13">
        <f t="shared" ref="K2228:K2229" si="132">if(E2228="pago",(I2228-J2228),"")</f>
        <v>48.59</v>
      </c>
      <c r="L2228" s="15" t="s">
        <v>29</v>
      </c>
      <c r="M2228" s="14"/>
      <c r="N2228" s="28" t="s">
        <v>105</v>
      </c>
      <c r="O2228" s="10" t="str">
        <f t="shared" si="79"/>
        <v>01/2026</v>
      </c>
      <c r="P2228" s="10" t="str">
        <f t="shared" si="121"/>
        <v>01/2026</v>
      </c>
      <c r="Q2228" s="15" t="str">
        <f t="array" ref="Q2228">IFERROR(XLOOKUP(N2228,'Classificação'!A:A,'Classificação'!B:B),"")</f>
        <v>DESPESAS ADMINISTRATIVAS</v>
      </c>
      <c r="R2228" s="15" t="str">
        <f t="array" ref="R2228">IFERROR(XLOOKUP(Q2228,'Classificação'!B:B,'Classificação'!C:C),"")</f>
        <v>DESPESAS FIXAS (-)</v>
      </c>
      <c r="S2228" s="15">
        <f t="shared" si="131"/>
        <v>2</v>
      </c>
      <c r="T2228" s="15">
        <f t="shared" si="128"/>
        <v>1</v>
      </c>
      <c r="U2228" s="15">
        <f t="shared" si="129"/>
        <v>2026</v>
      </c>
      <c r="V2228" s="15">
        <f t="shared" si="8"/>
        <v>2</v>
      </c>
      <c r="W2228" s="15">
        <f t="shared" si="9"/>
        <v>1</v>
      </c>
      <c r="X2228" s="15">
        <f t="shared" si="10"/>
        <v>2026</v>
      </c>
    </row>
    <row r="2229">
      <c r="A2229" s="9">
        <v>46027.0</v>
      </c>
      <c r="B2229" s="10"/>
      <c r="C2229" s="9">
        <f t="shared" si="90"/>
        <v>46027</v>
      </c>
      <c r="D2229" s="11" t="s">
        <v>44</v>
      </c>
      <c r="E2229" s="11" t="s">
        <v>25</v>
      </c>
      <c r="F2229" s="11" t="s">
        <v>45</v>
      </c>
      <c r="G2229" s="11" t="s">
        <v>27</v>
      </c>
      <c r="H2229" s="11" t="s">
        <v>651</v>
      </c>
      <c r="I2229" s="12">
        <v>3036.53</v>
      </c>
      <c r="J2229" s="13"/>
      <c r="K2229" s="13">
        <f t="shared" si="132"/>
        <v>3036.53</v>
      </c>
      <c r="L2229" s="11" t="s">
        <v>53</v>
      </c>
      <c r="M2229" s="16" t="s">
        <v>1151</v>
      </c>
      <c r="N2229" s="11" t="s">
        <v>73</v>
      </c>
      <c r="O2229" s="10" t="str">
        <f t="shared" si="79"/>
        <v>01/2026</v>
      </c>
      <c r="P2229" s="10" t="str">
        <f t="shared" si="121"/>
        <v>01/2026</v>
      </c>
      <c r="Q2229" s="15" t="str">
        <f t="array" ref="Q2229">IFERROR(XLOOKUP(N2229,'Classificação'!A:A,'Classificação'!B:B),"")</f>
        <v>DESPESAS NÃO OPERACIONAIS</v>
      </c>
      <c r="R2229" s="15" t="str">
        <f t="array" ref="R2229">IFERROR(XLOOKUP(Q2229,'Classificação'!B:B,'Classificação'!C:C),"")</f>
        <v>RESULTADO NÃO OPERACIONAL (+/-)</v>
      </c>
      <c r="S2229" s="15">
        <f t="shared" si="131"/>
        <v>5</v>
      </c>
      <c r="T2229" s="15">
        <f t="shared" si="128"/>
        <v>1</v>
      </c>
      <c r="U2229" s="15">
        <f t="shared" si="129"/>
        <v>2026</v>
      </c>
      <c r="V2229" s="15">
        <f t="shared" si="8"/>
        <v>5</v>
      </c>
      <c r="W2229" s="15">
        <f t="shared" si="9"/>
        <v>1</v>
      </c>
      <c r="X2229" s="15">
        <f t="shared" si="10"/>
        <v>2026</v>
      </c>
    </row>
    <row r="2230">
      <c r="A2230" s="26">
        <v>46027.0</v>
      </c>
      <c r="B2230" s="30"/>
      <c r="C2230" s="27">
        <f t="shared" si="90"/>
        <v>46027</v>
      </c>
      <c r="D2230" s="28" t="s">
        <v>36</v>
      </c>
      <c r="E2230" s="29" t="s">
        <v>25</v>
      </c>
      <c r="F2230" s="28" t="s">
        <v>26</v>
      </c>
      <c r="G2230" s="29" t="s">
        <v>37</v>
      </c>
      <c r="H2230" s="28"/>
      <c r="I2230" s="24">
        <v>5000.0</v>
      </c>
      <c r="J2230" s="34"/>
      <c r="K2230" s="37">
        <f t="shared" ref="K2230:K2231" si="133">IF(E2230="pago",(I2230-J2230),"")</f>
        <v>5000</v>
      </c>
      <c r="L2230" s="28" t="s">
        <v>29</v>
      </c>
      <c r="M2230" s="28"/>
      <c r="N2230" s="28" t="s">
        <v>38</v>
      </c>
      <c r="O2230" s="10" t="str">
        <f t="shared" si="79"/>
        <v>01/2026</v>
      </c>
      <c r="P2230" s="10" t="str">
        <f t="shared" si="121"/>
        <v>01/2026</v>
      </c>
      <c r="Q2230" s="15" t="str">
        <f t="array" ref="Q2230">IFERROR(XLOOKUP(N2230,'Classificação'!A:A,'Classificação'!B:B),"")</f>
        <v>DESPESAS COM PESSOAL</v>
      </c>
      <c r="R2230" s="15" t="str">
        <f t="array" ref="R2230">IFERROR(XLOOKUP(Q2230,'Classificação'!B:B,'Classificação'!C:C),"")</f>
        <v>DESPESAS FIXAS (-)</v>
      </c>
      <c r="S2230" s="15">
        <f t="shared" si="131"/>
        <v>5</v>
      </c>
      <c r="T2230" s="15">
        <f t="shared" si="128"/>
        <v>1</v>
      </c>
      <c r="U2230" s="15">
        <f t="shared" si="129"/>
        <v>2026</v>
      </c>
      <c r="V2230" s="15">
        <f t="shared" si="8"/>
        <v>5</v>
      </c>
      <c r="W2230" s="15">
        <f t="shared" si="9"/>
        <v>1</v>
      </c>
      <c r="X2230" s="15">
        <f t="shared" si="10"/>
        <v>2026</v>
      </c>
    </row>
    <row r="2231">
      <c r="A2231" s="26">
        <v>46027.0</v>
      </c>
      <c r="B2231" s="30"/>
      <c r="C2231" s="27">
        <f t="shared" si="90"/>
        <v>46027</v>
      </c>
      <c r="D2231" s="28" t="s">
        <v>43</v>
      </c>
      <c r="E2231" s="29" t="s">
        <v>25</v>
      </c>
      <c r="F2231" s="29" t="s">
        <v>26</v>
      </c>
      <c r="G2231" s="29" t="s">
        <v>37</v>
      </c>
      <c r="H2231" s="28"/>
      <c r="I2231" s="24">
        <v>5000.0</v>
      </c>
      <c r="J2231" s="34"/>
      <c r="K2231" s="37">
        <f t="shared" si="133"/>
        <v>5000</v>
      </c>
      <c r="L2231" s="28" t="s">
        <v>29</v>
      </c>
      <c r="M2231" s="28"/>
      <c r="N2231" s="28" t="s">
        <v>38</v>
      </c>
      <c r="O2231" s="10" t="str">
        <f t="shared" si="79"/>
        <v>01/2026</v>
      </c>
      <c r="P2231" s="10" t="str">
        <f t="shared" si="121"/>
        <v>01/2026</v>
      </c>
      <c r="Q2231" s="15" t="str">
        <f t="array" ref="Q2231">IFERROR(XLOOKUP(N2231,'Classificação'!A:A,'Classificação'!B:B),"")</f>
        <v>DESPESAS COM PESSOAL</v>
      </c>
      <c r="R2231" s="15" t="str">
        <f t="array" ref="R2231">IFERROR(XLOOKUP(Q2231,'Classificação'!B:B,'Classificação'!C:C),"")</f>
        <v>DESPESAS FIXAS (-)</v>
      </c>
      <c r="S2231" s="15">
        <f t="shared" si="131"/>
        <v>5</v>
      </c>
      <c r="T2231" s="15">
        <f t="shared" si="128"/>
        <v>1</v>
      </c>
      <c r="U2231" s="15">
        <f t="shared" si="129"/>
        <v>2026</v>
      </c>
      <c r="V2231" s="15">
        <f t="shared" si="8"/>
        <v>5</v>
      </c>
      <c r="W2231" s="15">
        <f t="shared" si="9"/>
        <v>1</v>
      </c>
      <c r="X2231" s="15">
        <f t="shared" si="10"/>
        <v>2026</v>
      </c>
    </row>
    <row r="2232">
      <c r="A2232" s="9">
        <v>46027.0</v>
      </c>
      <c r="B2232" s="9">
        <v>45994.0</v>
      </c>
      <c r="C2232" s="9">
        <f t="shared" si="90"/>
        <v>46027</v>
      </c>
      <c r="D2232" s="11" t="s">
        <v>167</v>
      </c>
      <c r="E2232" s="29" t="s">
        <v>25</v>
      </c>
      <c r="F2232" s="11" t="s">
        <v>26</v>
      </c>
      <c r="G2232" s="11" t="s">
        <v>37</v>
      </c>
      <c r="H2232" s="11" t="s">
        <v>1152</v>
      </c>
      <c r="I2232" s="12">
        <v>739.01</v>
      </c>
      <c r="J2232" s="13"/>
      <c r="K2232" s="13">
        <f t="shared" ref="K2232:K2243" si="134">if(E2232="pago",(I2232-J2232),"")</f>
        <v>739.01</v>
      </c>
      <c r="L2232" s="11" t="s">
        <v>34</v>
      </c>
      <c r="M2232" s="14"/>
      <c r="N2232" s="11" t="s">
        <v>78</v>
      </c>
      <c r="O2232" s="10" t="str">
        <f t="shared" si="79"/>
        <v>01/2026</v>
      </c>
      <c r="P2232" s="10" t="str">
        <f t="shared" si="121"/>
        <v>01/2026</v>
      </c>
      <c r="Q2232" s="15" t="str">
        <f t="array" ref="Q2232">IFERROR(XLOOKUP(N2232,'Classificação'!A:A,'Classificação'!B:B),"")</f>
        <v>DESPESAS COM PESSOAL</v>
      </c>
      <c r="R2232" s="15" t="str">
        <f t="array" ref="R2232">IFERROR(XLOOKUP(Q2232,'Classificação'!B:B,'Classificação'!C:C),"")</f>
        <v>DESPESAS FIXAS (-)</v>
      </c>
      <c r="S2232" s="15">
        <f t="shared" si="131"/>
        <v>5</v>
      </c>
      <c r="T2232" s="15">
        <f t="shared" si="128"/>
        <v>1</v>
      </c>
      <c r="U2232" s="15">
        <f t="shared" si="129"/>
        <v>2026</v>
      </c>
      <c r="V2232" s="15">
        <f t="shared" si="8"/>
        <v>5</v>
      </c>
      <c r="W2232" s="15">
        <f t="shared" si="9"/>
        <v>1</v>
      </c>
      <c r="X2232" s="15">
        <f t="shared" si="10"/>
        <v>2026</v>
      </c>
    </row>
    <row r="2233">
      <c r="A2233" s="9">
        <v>46028.0</v>
      </c>
      <c r="B2233" s="10"/>
      <c r="C2233" s="9">
        <f t="shared" si="90"/>
        <v>46028</v>
      </c>
      <c r="D2233" s="11" t="s">
        <v>1097</v>
      </c>
      <c r="E2233" s="11" t="s">
        <v>25</v>
      </c>
      <c r="F2233" s="11" t="s">
        <v>26</v>
      </c>
      <c r="G2233" s="11" t="s">
        <v>37</v>
      </c>
      <c r="H2233" s="11" t="s">
        <v>1153</v>
      </c>
      <c r="I2233" s="31">
        <v>130.0</v>
      </c>
      <c r="J2233" s="13"/>
      <c r="K2233" s="13">
        <f t="shared" si="134"/>
        <v>130</v>
      </c>
      <c r="L2233" s="11" t="s">
        <v>34</v>
      </c>
      <c r="M2233" s="14"/>
      <c r="N2233" s="11" t="s">
        <v>58</v>
      </c>
      <c r="O2233" s="10" t="str">
        <f t="shared" si="79"/>
        <v>01/2026</v>
      </c>
      <c r="P2233" s="10" t="str">
        <f t="shared" si="121"/>
        <v>01/2026</v>
      </c>
      <c r="Q2233" s="15" t="str">
        <f t="array" ref="Q2233">IFERROR(XLOOKUP(N2233,'Classificação'!A:A,'Classificação'!B:B),"")</f>
        <v>DESPESAS ADMINISTRATIVAS</v>
      </c>
      <c r="R2233" s="15" t="str">
        <f t="array" ref="R2233">IFERROR(XLOOKUP(Q2233,'Classificação'!B:B,'Classificação'!C:C),"")</f>
        <v>DESPESAS FIXAS (-)</v>
      </c>
      <c r="S2233" s="15">
        <f t="shared" si="131"/>
        <v>6</v>
      </c>
      <c r="T2233" s="15">
        <f t="shared" si="128"/>
        <v>1</v>
      </c>
      <c r="U2233" s="15">
        <f t="shared" si="129"/>
        <v>2026</v>
      </c>
      <c r="V2233" s="15">
        <f t="shared" si="8"/>
        <v>6</v>
      </c>
      <c r="W2233" s="15">
        <f t="shared" si="9"/>
        <v>1</v>
      </c>
      <c r="X2233" s="15">
        <f t="shared" si="10"/>
        <v>2026</v>
      </c>
    </row>
    <row r="2234">
      <c r="A2234" s="9">
        <v>46029.0</v>
      </c>
      <c r="B2234" s="32">
        <v>46008.0</v>
      </c>
      <c r="C2234" s="9">
        <f t="shared" si="90"/>
        <v>46029</v>
      </c>
      <c r="D2234" s="11" t="s">
        <v>114</v>
      </c>
      <c r="E2234" s="29" t="s">
        <v>25</v>
      </c>
      <c r="F2234" s="11" t="s">
        <v>40</v>
      </c>
      <c r="G2234" s="11" t="s">
        <v>37</v>
      </c>
      <c r="H2234" s="11" t="s">
        <v>1154</v>
      </c>
      <c r="I2234" s="12">
        <v>462.86</v>
      </c>
      <c r="J2234" s="13"/>
      <c r="K2234" s="13">
        <f t="shared" si="134"/>
        <v>462.86</v>
      </c>
      <c r="L2234" s="11" t="s">
        <v>34</v>
      </c>
      <c r="M2234" s="14"/>
      <c r="N2234" s="11" t="s">
        <v>143</v>
      </c>
      <c r="O2234" s="10" t="str">
        <f t="shared" si="79"/>
        <v>01/2026</v>
      </c>
      <c r="P2234" s="10" t="str">
        <f t="shared" si="121"/>
        <v>01/2026</v>
      </c>
      <c r="Q2234" s="15" t="str">
        <f t="array" ref="Q2234">IFERROR(XLOOKUP(N2234,'Classificação'!A:A,'Classificação'!B:B),"")</f>
        <v>EMBALAGENS/FITAS/GERAL</v>
      </c>
      <c r="R2234" s="15" t="str">
        <f t="array" ref="R2234">IFERROR(XLOOKUP(Q2234,'Classificação'!B:B,'Classificação'!C:C),"")</f>
        <v>CUSTOS VARIÁVEIS</v>
      </c>
      <c r="S2234" s="15">
        <f t="shared" si="131"/>
        <v>7</v>
      </c>
      <c r="T2234" s="15">
        <f t="shared" si="128"/>
        <v>1</v>
      </c>
      <c r="U2234" s="15">
        <f t="shared" si="129"/>
        <v>2026</v>
      </c>
      <c r="V2234" s="15">
        <f t="shared" si="8"/>
        <v>7</v>
      </c>
      <c r="W2234" s="15">
        <f t="shared" si="9"/>
        <v>1</v>
      </c>
      <c r="X2234" s="15">
        <f t="shared" si="10"/>
        <v>2026</v>
      </c>
    </row>
    <row r="2235">
      <c r="A2235" s="9">
        <v>46029.0</v>
      </c>
      <c r="B2235" s="10"/>
      <c r="C2235" s="9">
        <f t="shared" si="90"/>
        <v>46029</v>
      </c>
      <c r="D2235" s="11" t="s">
        <v>31</v>
      </c>
      <c r="E2235" s="11" t="s">
        <v>25</v>
      </c>
      <c r="F2235" s="11" t="s">
        <v>26</v>
      </c>
      <c r="G2235" s="28" t="s">
        <v>27</v>
      </c>
      <c r="H2235" s="11" t="s">
        <v>1155</v>
      </c>
      <c r="I2235" s="31">
        <v>77400.0</v>
      </c>
      <c r="J2235" s="13"/>
      <c r="K2235" s="13">
        <f t="shared" si="134"/>
        <v>77400</v>
      </c>
      <c r="L2235" s="11" t="s">
        <v>34</v>
      </c>
      <c r="M2235" s="14"/>
      <c r="N2235" s="11" t="s">
        <v>35</v>
      </c>
      <c r="O2235" s="10" t="str">
        <f t="shared" si="79"/>
        <v>01/2026</v>
      </c>
      <c r="P2235" s="10" t="str">
        <f t="shared" si="121"/>
        <v>01/2026</v>
      </c>
      <c r="Q2235" s="15" t="str">
        <f t="array" ref="Q2235">IFERROR(XLOOKUP(N2235,'Classificação'!A:A,'Classificação'!B:B),"")</f>
        <v>COMPRA DE MERCADORIA</v>
      </c>
      <c r="R2235" s="15" t="str">
        <f t="array" ref="R2235">IFERROR(XLOOKUP(Q2235,'Classificação'!B:B,'Classificação'!C:C),"")</f>
        <v>CUSTOS VARIÁVEIS</v>
      </c>
      <c r="S2235" s="15">
        <f t="shared" si="131"/>
        <v>7</v>
      </c>
      <c r="T2235" s="15">
        <f t="shared" si="128"/>
        <v>1</v>
      </c>
      <c r="U2235" s="15">
        <f t="shared" si="129"/>
        <v>2026</v>
      </c>
      <c r="V2235" s="15">
        <f t="shared" si="8"/>
        <v>7</v>
      </c>
      <c r="W2235" s="15">
        <f t="shared" si="9"/>
        <v>1</v>
      </c>
      <c r="X2235" s="15">
        <f t="shared" si="10"/>
        <v>2026</v>
      </c>
    </row>
    <row r="2236">
      <c r="A2236" s="9">
        <v>46029.0</v>
      </c>
      <c r="B2236" s="10"/>
      <c r="C2236" s="9">
        <f t="shared" si="90"/>
        <v>46029</v>
      </c>
      <c r="D2236" s="11" t="s">
        <v>773</v>
      </c>
      <c r="E2236" s="11" t="s">
        <v>25</v>
      </c>
      <c r="F2236" s="11" t="s">
        <v>26</v>
      </c>
      <c r="G2236" s="11" t="s">
        <v>37</v>
      </c>
      <c r="H2236" s="11" t="s">
        <v>1156</v>
      </c>
      <c r="I2236" s="31">
        <v>200.0</v>
      </c>
      <c r="J2236" s="13"/>
      <c r="K2236" s="13">
        <f t="shared" si="134"/>
        <v>200</v>
      </c>
      <c r="L2236" s="11" t="s">
        <v>34</v>
      </c>
      <c r="M2236" s="14"/>
      <c r="N2236" s="11" t="s">
        <v>58</v>
      </c>
      <c r="O2236" s="10" t="str">
        <f t="shared" si="79"/>
        <v>01/2026</v>
      </c>
      <c r="P2236" s="10" t="str">
        <f t="shared" si="121"/>
        <v>01/2026</v>
      </c>
      <c r="Q2236" s="15" t="str">
        <f t="array" ref="Q2236">IFERROR(XLOOKUP(N2236,'Classificação'!A:A,'Classificação'!B:B),"")</f>
        <v>DESPESAS ADMINISTRATIVAS</v>
      </c>
      <c r="R2236" s="15" t="str">
        <f t="array" ref="R2236">IFERROR(XLOOKUP(Q2236,'Classificação'!B:B,'Classificação'!C:C),"")</f>
        <v>DESPESAS FIXAS (-)</v>
      </c>
      <c r="S2236" s="15">
        <f t="shared" si="131"/>
        <v>7</v>
      </c>
      <c r="T2236" s="15">
        <f t="shared" si="128"/>
        <v>1</v>
      </c>
      <c r="U2236" s="15">
        <f t="shared" si="129"/>
        <v>2026</v>
      </c>
      <c r="V2236" s="15">
        <f t="shared" si="8"/>
        <v>7</v>
      </c>
      <c r="W2236" s="15">
        <f t="shared" si="9"/>
        <v>1</v>
      </c>
      <c r="X2236" s="15">
        <f t="shared" si="10"/>
        <v>2026</v>
      </c>
    </row>
    <row r="2237">
      <c r="A2237" s="9">
        <v>46030.0</v>
      </c>
      <c r="B2237" s="10"/>
      <c r="C2237" s="9">
        <f t="shared" si="90"/>
        <v>46030</v>
      </c>
      <c r="D2237" s="11" t="s">
        <v>137</v>
      </c>
      <c r="E2237" s="11" t="s">
        <v>25</v>
      </c>
      <c r="F2237" s="11" t="s">
        <v>26</v>
      </c>
      <c r="G2237" s="11" t="s">
        <v>37</v>
      </c>
      <c r="H2237" s="11" t="s">
        <v>1157</v>
      </c>
      <c r="I2237" s="31">
        <v>14.11</v>
      </c>
      <c r="J2237" s="13"/>
      <c r="K2237" s="13">
        <f t="shared" si="134"/>
        <v>14.11</v>
      </c>
      <c r="L2237" s="11" t="s">
        <v>34</v>
      </c>
      <c r="M2237" s="14"/>
      <c r="N2237" s="11" t="s">
        <v>68</v>
      </c>
      <c r="O2237" s="10" t="str">
        <f t="shared" si="79"/>
        <v>01/2026</v>
      </c>
      <c r="P2237" s="10" t="str">
        <f t="shared" si="121"/>
        <v>01/2026</v>
      </c>
      <c r="Q2237" s="15" t="str">
        <f t="array" ref="Q2237">IFERROR(XLOOKUP(N2237,'Classificação'!A:A,'Classificação'!B:B),"")</f>
        <v>FRETE DE VENDAS</v>
      </c>
      <c r="R2237" s="15" t="str">
        <f t="array" ref="R2237">IFERROR(XLOOKUP(Q2237,'Classificação'!B:B,'Classificação'!C:C),"")</f>
        <v>CUSTOS VARIÁVEIS</v>
      </c>
      <c r="S2237" s="15">
        <f t="shared" si="131"/>
        <v>8</v>
      </c>
      <c r="T2237" s="15">
        <f t="shared" si="128"/>
        <v>1</v>
      </c>
      <c r="U2237" s="15">
        <f t="shared" si="129"/>
        <v>2026</v>
      </c>
      <c r="V2237" s="15">
        <f t="shared" si="8"/>
        <v>8</v>
      </c>
      <c r="W2237" s="15">
        <f t="shared" si="9"/>
        <v>1</v>
      </c>
      <c r="X2237" s="15">
        <f t="shared" si="10"/>
        <v>2026</v>
      </c>
    </row>
    <row r="2238">
      <c r="A2238" s="9">
        <v>46030.0</v>
      </c>
      <c r="B2238" s="10"/>
      <c r="C2238" s="9">
        <f t="shared" si="90"/>
        <v>46030</v>
      </c>
      <c r="D2238" s="11" t="s">
        <v>137</v>
      </c>
      <c r="E2238" s="11" t="s">
        <v>25</v>
      </c>
      <c r="F2238" s="11" t="s">
        <v>26</v>
      </c>
      <c r="G2238" s="11" t="s">
        <v>37</v>
      </c>
      <c r="H2238" s="11" t="s">
        <v>1158</v>
      </c>
      <c r="I2238" s="31">
        <v>50.0</v>
      </c>
      <c r="J2238" s="13"/>
      <c r="K2238" s="13">
        <f t="shared" si="134"/>
        <v>50</v>
      </c>
      <c r="L2238" s="11" t="s">
        <v>34</v>
      </c>
      <c r="M2238" s="14"/>
      <c r="N2238" s="11" t="s">
        <v>68</v>
      </c>
      <c r="O2238" s="10" t="str">
        <f t="shared" si="79"/>
        <v>01/2026</v>
      </c>
      <c r="P2238" s="10" t="str">
        <f t="shared" si="121"/>
        <v>01/2026</v>
      </c>
      <c r="Q2238" s="15" t="str">
        <f t="array" ref="Q2238">IFERROR(XLOOKUP(N2238,'Classificação'!A:A,'Classificação'!B:B),"")</f>
        <v>FRETE DE VENDAS</v>
      </c>
      <c r="R2238" s="15" t="str">
        <f t="array" ref="R2238">IFERROR(XLOOKUP(Q2238,'Classificação'!B:B,'Classificação'!C:C),"")</f>
        <v>CUSTOS VARIÁVEIS</v>
      </c>
      <c r="S2238" s="15">
        <f t="shared" si="131"/>
        <v>8</v>
      </c>
      <c r="T2238" s="15">
        <f t="shared" si="128"/>
        <v>1</v>
      </c>
      <c r="U2238" s="15">
        <f t="shared" si="129"/>
        <v>2026</v>
      </c>
      <c r="V2238" s="15">
        <f t="shared" si="8"/>
        <v>8</v>
      </c>
      <c r="W2238" s="15">
        <f t="shared" si="9"/>
        <v>1</v>
      </c>
      <c r="X2238" s="15">
        <f t="shared" si="10"/>
        <v>2026</v>
      </c>
    </row>
    <row r="2239">
      <c r="A2239" s="9">
        <v>46031.0</v>
      </c>
      <c r="B2239" s="32">
        <v>46011.0</v>
      </c>
      <c r="C2239" s="9">
        <f t="shared" si="90"/>
        <v>46031</v>
      </c>
      <c r="D2239" s="11" t="s">
        <v>65</v>
      </c>
      <c r="E2239" s="29" t="s">
        <v>25</v>
      </c>
      <c r="F2239" s="11" t="s">
        <v>26</v>
      </c>
      <c r="G2239" s="29" t="s">
        <v>37</v>
      </c>
      <c r="H2239" s="11" t="s">
        <v>1159</v>
      </c>
      <c r="I2239" s="31">
        <v>54.99</v>
      </c>
      <c r="J2239" s="13"/>
      <c r="K2239" s="13">
        <f t="shared" si="134"/>
        <v>54.99</v>
      </c>
      <c r="L2239" s="11" t="s">
        <v>53</v>
      </c>
      <c r="M2239" s="16" t="s">
        <v>1160</v>
      </c>
      <c r="N2239" s="11" t="s">
        <v>95</v>
      </c>
      <c r="O2239" s="10" t="str">
        <f t="shared" si="79"/>
        <v>01/2026</v>
      </c>
      <c r="P2239" s="10" t="str">
        <f t="shared" si="121"/>
        <v>01/2026</v>
      </c>
      <c r="Q2239" s="15" t="str">
        <f t="array" ref="Q2239">IFERROR(XLOOKUP(N2239,'Classificação'!A:A,'Classificação'!B:B),"")</f>
        <v>DESPESAS NÃO OPERACIONAIS</v>
      </c>
      <c r="R2239" s="15" t="str">
        <f t="array" ref="R2239">IFERROR(XLOOKUP(Q2239,'Classificação'!B:B,'Classificação'!C:C),"")</f>
        <v>RESULTADO NÃO OPERACIONAL (+/-)</v>
      </c>
      <c r="S2239" s="15">
        <f t="shared" si="131"/>
        <v>9</v>
      </c>
      <c r="T2239" s="15">
        <f t="shared" si="128"/>
        <v>1</v>
      </c>
      <c r="U2239" s="15">
        <f t="shared" si="129"/>
        <v>2026</v>
      </c>
      <c r="V2239" s="15">
        <f t="shared" si="8"/>
        <v>9</v>
      </c>
      <c r="W2239" s="15">
        <f t="shared" si="9"/>
        <v>1</v>
      </c>
      <c r="X2239" s="15">
        <f t="shared" si="10"/>
        <v>2026</v>
      </c>
    </row>
    <row r="2240">
      <c r="A2240" s="9">
        <v>46031.0</v>
      </c>
      <c r="B2240" s="10"/>
      <c r="C2240" s="9">
        <f t="shared" si="90"/>
        <v>46031</v>
      </c>
      <c r="D2240" s="11" t="s">
        <v>1161</v>
      </c>
      <c r="E2240" s="11" t="s">
        <v>25</v>
      </c>
      <c r="F2240" s="11" t="s">
        <v>26</v>
      </c>
      <c r="G2240" s="11" t="s">
        <v>37</v>
      </c>
      <c r="H2240" s="11" t="s">
        <v>1162</v>
      </c>
      <c r="I2240" s="31">
        <v>130.0</v>
      </c>
      <c r="J2240" s="13"/>
      <c r="K2240" s="13">
        <f t="shared" si="134"/>
        <v>130</v>
      </c>
      <c r="L2240" s="11" t="s">
        <v>34</v>
      </c>
      <c r="M2240" s="14"/>
      <c r="N2240" s="11" t="s">
        <v>58</v>
      </c>
      <c r="O2240" s="10" t="str">
        <f t="shared" si="79"/>
        <v>01/2026</v>
      </c>
      <c r="P2240" s="10" t="str">
        <f t="shared" si="121"/>
        <v>01/2026</v>
      </c>
      <c r="Q2240" s="15" t="str">
        <f t="array" ref="Q2240">IFERROR(XLOOKUP(N2240,'Classificação'!A:A,'Classificação'!B:B),"")</f>
        <v>DESPESAS ADMINISTRATIVAS</v>
      </c>
      <c r="R2240" s="15" t="str">
        <f t="array" ref="R2240">IFERROR(XLOOKUP(Q2240,'Classificação'!B:B,'Classificação'!C:C),"")</f>
        <v>DESPESAS FIXAS (-)</v>
      </c>
      <c r="S2240" s="15">
        <f t="shared" si="131"/>
        <v>9</v>
      </c>
      <c r="T2240" s="15">
        <f t="shared" si="128"/>
        <v>1</v>
      </c>
      <c r="U2240" s="15">
        <f t="shared" si="129"/>
        <v>2026</v>
      </c>
      <c r="V2240" s="15">
        <f t="shared" si="8"/>
        <v>9</v>
      </c>
      <c r="W2240" s="15">
        <f t="shared" si="9"/>
        <v>1</v>
      </c>
      <c r="X2240" s="15">
        <f t="shared" si="10"/>
        <v>2026</v>
      </c>
    </row>
    <row r="2241">
      <c r="A2241" s="9">
        <v>46031.0</v>
      </c>
      <c r="B2241" s="10"/>
      <c r="C2241" s="9">
        <f t="shared" si="90"/>
        <v>46031</v>
      </c>
      <c r="D2241" s="11" t="s">
        <v>1163</v>
      </c>
      <c r="E2241" s="11" t="s">
        <v>25</v>
      </c>
      <c r="F2241" s="11" t="s">
        <v>26</v>
      </c>
      <c r="G2241" s="11" t="s">
        <v>37</v>
      </c>
      <c r="H2241" s="11" t="s">
        <v>1162</v>
      </c>
      <c r="I2241" s="31">
        <v>130.0</v>
      </c>
      <c r="J2241" s="13"/>
      <c r="K2241" s="13">
        <f t="shared" si="134"/>
        <v>130</v>
      </c>
      <c r="L2241" s="11" t="s">
        <v>34</v>
      </c>
      <c r="M2241" s="14"/>
      <c r="N2241" s="11" t="s">
        <v>58</v>
      </c>
      <c r="O2241" s="10" t="str">
        <f t="shared" si="79"/>
        <v>01/2026</v>
      </c>
      <c r="P2241" s="10" t="str">
        <f t="shared" si="121"/>
        <v>01/2026</v>
      </c>
      <c r="Q2241" s="15" t="str">
        <f t="array" ref="Q2241">IFERROR(XLOOKUP(N2241,'Classificação'!A:A,'Classificação'!B:B),"")</f>
        <v>DESPESAS ADMINISTRATIVAS</v>
      </c>
      <c r="R2241" s="15" t="str">
        <f t="array" ref="R2241">IFERROR(XLOOKUP(Q2241,'Classificação'!B:B,'Classificação'!C:C),"")</f>
        <v>DESPESAS FIXAS (-)</v>
      </c>
      <c r="S2241" s="15">
        <f t="shared" si="131"/>
        <v>9</v>
      </c>
      <c r="T2241" s="15">
        <f t="shared" si="128"/>
        <v>1</v>
      </c>
      <c r="U2241" s="15">
        <f t="shared" si="129"/>
        <v>2026</v>
      </c>
      <c r="V2241" s="15">
        <f t="shared" si="8"/>
        <v>9</v>
      </c>
      <c r="W2241" s="15">
        <f t="shared" si="9"/>
        <v>1</v>
      </c>
      <c r="X2241" s="15">
        <f t="shared" si="10"/>
        <v>2026</v>
      </c>
    </row>
    <row r="2242">
      <c r="A2242" s="9">
        <v>46034.0</v>
      </c>
      <c r="B2242" s="10"/>
      <c r="C2242" s="9">
        <f t="shared" si="90"/>
        <v>46034</v>
      </c>
      <c r="D2242" s="11" t="s">
        <v>44</v>
      </c>
      <c r="E2242" s="11" t="s">
        <v>25</v>
      </c>
      <c r="F2242" s="11" t="s">
        <v>45</v>
      </c>
      <c r="G2242" s="11" t="s">
        <v>27</v>
      </c>
      <c r="H2242" s="11" t="s">
        <v>52</v>
      </c>
      <c r="I2242" s="12">
        <v>502.8</v>
      </c>
      <c r="J2242" s="13"/>
      <c r="K2242" s="13">
        <f t="shared" si="134"/>
        <v>502.8</v>
      </c>
      <c r="L2242" s="11" t="s">
        <v>53</v>
      </c>
      <c r="M2242" s="16" t="s">
        <v>1164</v>
      </c>
      <c r="N2242" s="11" t="s">
        <v>55</v>
      </c>
      <c r="O2242" s="10" t="str">
        <f t="shared" si="79"/>
        <v>01/2026</v>
      </c>
      <c r="P2242" s="10" t="str">
        <f t="shared" si="121"/>
        <v>01/2026</v>
      </c>
      <c r="Q2242" s="15" t="str">
        <f t="array" ref="Q2242">IFERROR(XLOOKUP(N2242,'Classificação'!A:A,'Classificação'!B:B),"")</f>
        <v>DESPESAS NÃO OPERACIONAIS</v>
      </c>
      <c r="R2242" s="15" t="str">
        <f t="array" ref="R2242">IFERROR(XLOOKUP(Q2242,'Classificação'!B:B,'Classificação'!C:C),"")</f>
        <v>RESULTADO NÃO OPERACIONAL (+/-)</v>
      </c>
      <c r="S2242" s="15">
        <f t="shared" si="131"/>
        <v>12</v>
      </c>
      <c r="T2242" s="15">
        <f t="shared" si="128"/>
        <v>1</v>
      </c>
      <c r="U2242" s="15">
        <f t="shared" si="129"/>
        <v>2026</v>
      </c>
      <c r="V2242" s="15">
        <f t="shared" si="8"/>
        <v>12</v>
      </c>
      <c r="W2242" s="15">
        <f t="shared" si="9"/>
        <v>1</v>
      </c>
      <c r="X2242" s="15">
        <f t="shared" si="10"/>
        <v>2026</v>
      </c>
    </row>
    <row r="2243">
      <c r="A2243" s="9">
        <v>46034.0</v>
      </c>
      <c r="B2243" s="10"/>
      <c r="C2243" s="9">
        <f t="shared" si="90"/>
        <v>46034</v>
      </c>
      <c r="D2243" s="11" t="s">
        <v>1051</v>
      </c>
      <c r="E2243" s="29" t="s">
        <v>25</v>
      </c>
      <c r="F2243" s="11" t="s">
        <v>40</v>
      </c>
      <c r="G2243" s="28" t="s">
        <v>27</v>
      </c>
      <c r="H2243" s="11" t="s">
        <v>1052</v>
      </c>
      <c r="I2243" s="12">
        <v>28.0</v>
      </c>
      <c r="J2243" s="13"/>
      <c r="K2243" s="13">
        <f t="shared" si="134"/>
        <v>28</v>
      </c>
      <c r="L2243" s="11" t="s">
        <v>29</v>
      </c>
      <c r="M2243" s="14"/>
      <c r="N2243" s="11" t="s">
        <v>1053</v>
      </c>
      <c r="O2243" s="10" t="str">
        <f t="shared" si="79"/>
        <v>01/2026</v>
      </c>
      <c r="P2243" s="10" t="str">
        <f t="shared" si="121"/>
        <v>01/2026</v>
      </c>
      <c r="Q2243" s="15" t="str">
        <f t="array" ref="Q2243">IFERROR(XLOOKUP(N2243,'Classificação'!A:A,'Classificação'!B:B),"")</f>
        <v>DESPESAS COM PESSOAL</v>
      </c>
      <c r="R2243" s="15" t="str">
        <f t="array" ref="R2243">IFERROR(XLOOKUP(Q2243,'Classificação'!B:B,'Classificação'!C:C),"")</f>
        <v>DESPESAS FIXAS (-)</v>
      </c>
      <c r="S2243" s="15">
        <f t="shared" si="131"/>
        <v>12</v>
      </c>
      <c r="T2243" s="15">
        <f t="shared" si="128"/>
        <v>1</v>
      </c>
      <c r="U2243" s="15">
        <f t="shared" si="129"/>
        <v>2026</v>
      </c>
      <c r="V2243" s="15">
        <f t="shared" si="8"/>
        <v>12</v>
      </c>
      <c r="W2243" s="15">
        <f t="shared" si="9"/>
        <v>1</v>
      </c>
      <c r="X2243" s="15">
        <f t="shared" si="10"/>
        <v>2026</v>
      </c>
    </row>
    <row r="2244">
      <c r="A2244" s="26">
        <v>46034.0</v>
      </c>
      <c r="B2244" s="30"/>
      <c r="C2244" s="27">
        <f t="shared" si="90"/>
        <v>46034</v>
      </c>
      <c r="D2244" s="28" t="s">
        <v>48</v>
      </c>
      <c r="E2244" s="29" t="s">
        <v>25</v>
      </c>
      <c r="F2244" s="28" t="s">
        <v>40</v>
      </c>
      <c r="G2244" s="29" t="s">
        <v>37</v>
      </c>
      <c r="H2244" s="28"/>
      <c r="I2244" s="24">
        <v>1760.67</v>
      </c>
      <c r="J2244" s="34"/>
      <c r="K2244" s="37">
        <f t="shared" ref="K2244:K2247" si="135">IF(E2244="pago",(I2244-J2244),"")</f>
        <v>1760.67</v>
      </c>
      <c r="L2244" s="28" t="s">
        <v>29</v>
      </c>
      <c r="M2244" s="28"/>
      <c r="N2244" s="28" t="s">
        <v>49</v>
      </c>
      <c r="O2244" s="10" t="str">
        <f t="shared" si="79"/>
        <v>01/2026</v>
      </c>
      <c r="P2244" s="10" t="str">
        <f t="shared" si="121"/>
        <v>01/2026</v>
      </c>
      <c r="Q2244" s="15" t="str">
        <f t="array" ref="Q2244">IFERROR(XLOOKUP(N2244,'Classificação'!A:A,'Classificação'!B:B),"")</f>
        <v>DESPESAS COM PESSOAL</v>
      </c>
      <c r="R2244" s="15" t="str">
        <f t="array" ref="R2244">IFERROR(XLOOKUP(Q2244,'Classificação'!B:B,'Classificação'!C:C),"")</f>
        <v>DESPESAS FIXAS (-)</v>
      </c>
      <c r="S2244" s="15">
        <f t="shared" si="131"/>
        <v>12</v>
      </c>
      <c r="T2244" s="15">
        <f t="shared" si="128"/>
        <v>1</v>
      </c>
      <c r="U2244" s="15">
        <f t="shared" si="129"/>
        <v>2026</v>
      </c>
      <c r="V2244" s="15">
        <f t="shared" si="8"/>
        <v>12</v>
      </c>
      <c r="W2244" s="15">
        <f t="shared" si="9"/>
        <v>1</v>
      </c>
      <c r="X2244" s="15">
        <f t="shared" si="10"/>
        <v>2026</v>
      </c>
    </row>
    <row r="2245">
      <c r="A2245" s="9">
        <v>46034.0</v>
      </c>
      <c r="B2245" s="30"/>
      <c r="C2245" s="27">
        <f t="shared" si="90"/>
        <v>46034</v>
      </c>
      <c r="D2245" s="28" t="s">
        <v>50</v>
      </c>
      <c r="E2245" s="29" t="s">
        <v>25</v>
      </c>
      <c r="F2245" s="28" t="s">
        <v>40</v>
      </c>
      <c r="G2245" s="29" t="s">
        <v>37</v>
      </c>
      <c r="H2245" s="28" t="s">
        <v>51</v>
      </c>
      <c r="I2245" s="37">
        <v>139.99</v>
      </c>
      <c r="J2245" s="34"/>
      <c r="K2245" s="37">
        <f t="shared" si="135"/>
        <v>139.99</v>
      </c>
      <c r="L2245" s="28" t="s">
        <v>29</v>
      </c>
      <c r="M2245" s="28"/>
      <c r="N2245" s="28" t="s">
        <v>51</v>
      </c>
      <c r="O2245" s="10" t="str">
        <f t="shared" si="79"/>
        <v>01/2026</v>
      </c>
      <c r="P2245" s="10" t="str">
        <f t="shared" si="121"/>
        <v>01/2026</v>
      </c>
      <c r="Q2245" s="15" t="str">
        <f t="array" ref="Q2245">IFERROR(XLOOKUP(N2245,'Classificação'!A:A,'Classificação'!B:B),"")</f>
        <v>DESPESAS COM OCUPAÇÃO</v>
      </c>
      <c r="R2245" s="15" t="str">
        <f t="array" ref="R2245">IFERROR(XLOOKUP(Q2245,'Classificação'!B:B,'Classificação'!C:C),"")</f>
        <v>DESPESAS FIXAS (-)</v>
      </c>
      <c r="S2245" s="15">
        <f t="shared" si="131"/>
        <v>12</v>
      </c>
      <c r="T2245" s="15">
        <f t="shared" si="128"/>
        <v>1</v>
      </c>
      <c r="U2245" s="15">
        <f t="shared" si="129"/>
        <v>2026</v>
      </c>
      <c r="V2245" s="15">
        <f t="shared" si="8"/>
        <v>12</v>
      </c>
      <c r="W2245" s="15">
        <f t="shared" si="9"/>
        <v>1</v>
      </c>
      <c r="X2245" s="15">
        <f t="shared" si="10"/>
        <v>2026</v>
      </c>
    </row>
    <row r="2246">
      <c r="A2246" s="26">
        <v>46034.0</v>
      </c>
      <c r="B2246" s="30"/>
      <c r="C2246" s="27">
        <f t="shared" si="90"/>
        <v>46034</v>
      </c>
      <c r="D2246" s="28" t="s">
        <v>59</v>
      </c>
      <c r="E2246" s="29" t="s">
        <v>25</v>
      </c>
      <c r="F2246" s="28" t="s">
        <v>40</v>
      </c>
      <c r="G2246" s="28" t="s">
        <v>37</v>
      </c>
      <c r="H2246" s="28" t="s">
        <v>60</v>
      </c>
      <c r="I2246" s="37">
        <v>397.0</v>
      </c>
      <c r="J2246" s="34"/>
      <c r="K2246" s="37">
        <f t="shared" si="135"/>
        <v>397</v>
      </c>
      <c r="L2246" s="28" t="s">
        <v>29</v>
      </c>
      <c r="M2246" s="28"/>
      <c r="N2246" s="28" t="s">
        <v>61</v>
      </c>
      <c r="O2246" s="10" t="str">
        <f t="shared" si="79"/>
        <v>01/2026</v>
      </c>
      <c r="P2246" s="10" t="str">
        <f t="shared" si="121"/>
        <v>01/2026</v>
      </c>
      <c r="Q2246" s="15" t="str">
        <f t="array" ref="Q2246">IFERROR(XLOOKUP(N2246,'Classificação'!A:A,'Classificação'!B:B),"")</f>
        <v>DESPESAS ADMINISTRATIVAS</v>
      </c>
      <c r="R2246" s="15" t="str">
        <f t="array" ref="R2246">IFERROR(XLOOKUP(Q2246,'Classificação'!B:B,'Classificação'!C:C),"")</f>
        <v>DESPESAS FIXAS (-)</v>
      </c>
      <c r="S2246" s="15">
        <f t="shared" si="131"/>
        <v>12</v>
      </c>
      <c r="T2246" s="15">
        <f t="shared" si="128"/>
        <v>1</v>
      </c>
      <c r="U2246" s="15">
        <f t="shared" si="129"/>
        <v>2026</v>
      </c>
      <c r="V2246" s="15">
        <f t="shared" si="8"/>
        <v>12</v>
      </c>
      <c r="W2246" s="15">
        <f t="shared" si="9"/>
        <v>1</v>
      </c>
      <c r="X2246" s="15">
        <f t="shared" si="10"/>
        <v>2026</v>
      </c>
    </row>
    <row r="2247">
      <c r="A2247" s="26">
        <v>46034.0</v>
      </c>
      <c r="B2247" s="30"/>
      <c r="C2247" s="27">
        <f t="shared" si="90"/>
        <v>46034</v>
      </c>
      <c r="D2247" s="28" t="s">
        <v>104</v>
      </c>
      <c r="E2247" s="29" t="s">
        <v>25</v>
      </c>
      <c r="F2247" s="28" t="s">
        <v>40</v>
      </c>
      <c r="G2247" s="28" t="s">
        <v>37</v>
      </c>
      <c r="H2247" s="28" t="s">
        <v>413</v>
      </c>
      <c r="I2247" s="37">
        <v>27.5</v>
      </c>
      <c r="J2247" s="34"/>
      <c r="K2247" s="37">
        <f t="shared" si="135"/>
        <v>27.5</v>
      </c>
      <c r="L2247" s="28" t="s">
        <v>29</v>
      </c>
      <c r="M2247" s="28"/>
      <c r="N2247" s="28" t="s">
        <v>105</v>
      </c>
      <c r="O2247" s="10" t="str">
        <f t="shared" si="79"/>
        <v>01/2026</v>
      </c>
      <c r="P2247" s="10" t="str">
        <f t="shared" si="121"/>
        <v>01/2026</v>
      </c>
      <c r="Q2247" s="15" t="str">
        <f t="array" ref="Q2247">IFERROR(XLOOKUP(N2247,'Classificação'!A:A,'Classificação'!B:B),"")</f>
        <v>DESPESAS ADMINISTRATIVAS</v>
      </c>
      <c r="R2247" s="15" t="str">
        <f t="array" ref="R2247">IFERROR(XLOOKUP(Q2247,'Classificação'!B:B,'Classificação'!C:C),"")</f>
        <v>DESPESAS FIXAS (-)</v>
      </c>
      <c r="S2247" s="15">
        <f t="shared" si="131"/>
        <v>12</v>
      </c>
      <c r="T2247" s="15">
        <f t="shared" si="128"/>
        <v>1</v>
      </c>
      <c r="U2247" s="15">
        <f t="shared" si="129"/>
        <v>2026</v>
      </c>
      <c r="V2247" s="15">
        <f t="shared" si="8"/>
        <v>12</v>
      </c>
      <c r="W2247" s="15">
        <f t="shared" si="9"/>
        <v>1</v>
      </c>
      <c r="X2247" s="15">
        <f t="shared" si="10"/>
        <v>2026</v>
      </c>
    </row>
    <row r="2248">
      <c r="A2248" s="9">
        <v>46034.0</v>
      </c>
      <c r="B2248" s="10"/>
      <c r="C2248" s="9">
        <f t="shared" si="90"/>
        <v>46034</v>
      </c>
      <c r="D2248" s="11" t="s">
        <v>1104</v>
      </c>
      <c r="E2248" s="29" t="s">
        <v>25</v>
      </c>
      <c r="F2248" s="11" t="s">
        <v>40</v>
      </c>
      <c r="G2248" s="11" t="s">
        <v>37</v>
      </c>
      <c r="H2248" s="11" t="s">
        <v>1105</v>
      </c>
      <c r="I2248" s="12">
        <v>873.82</v>
      </c>
      <c r="J2248" s="13"/>
      <c r="K2248" s="13">
        <f t="shared" ref="K2248:K2249" si="136">if(E2248="pago",(I2248-J2248),"")</f>
        <v>873.82</v>
      </c>
      <c r="L2248" s="11" t="s">
        <v>53</v>
      </c>
      <c r="M2248" s="16" t="s">
        <v>1165</v>
      </c>
      <c r="N2248" s="11" t="s">
        <v>73</v>
      </c>
      <c r="O2248" s="10" t="str">
        <f t="shared" si="79"/>
        <v>01/2026</v>
      </c>
      <c r="P2248" s="10" t="str">
        <f t="shared" si="121"/>
        <v>01/2026</v>
      </c>
      <c r="Q2248" s="15" t="str">
        <f t="array" ref="Q2248">IFERROR(XLOOKUP(N2248,'Classificação'!A:A,'Classificação'!B:B),"")</f>
        <v>DESPESAS NÃO OPERACIONAIS</v>
      </c>
      <c r="R2248" s="15" t="str">
        <f t="array" ref="R2248">IFERROR(XLOOKUP(Q2248,'Classificação'!B:B,'Classificação'!C:C),"")</f>
        <v>RESULTADO NÃO OPERACIONAL (+/-)</v>
      </c>
      <c r="S2248" s="15">
        <f t="shared" si="131"/>
        <v>12</v>
      </c>
      <c r="T2248" s="15">
        <f t="shared" si="128"/>
        <v>1</v>
      </c>
      <c r="U2248" s="15">
        <f t="shared" si="129"/>
        <v>2026</v>
      </c>
      <c r="V2248" s="15">
        <f t="shared" si="8"/>
        <v>12</v>
      </c>
      <c r="W2248" s="15">
        <f t="shared" si="9"/>
        <v>1</v>
      </c>
      <c r="X2248" s="15">
        <f t="shared" si="10"/>
        <v>2026</v>
      </c>
    </row>
    <row r="2249">
      <c r="A2249" s="26">
        <v>46034.0</v>
      </c>
      <c r="B2249" s="30"/>
      <c r="C2249" s="27">
        <f t="shared" si="90"/>
        <v>46034</v>
      </c>
      <c r="D2249" s="28" t="s">
        <v>56</v>
      </c>
      <c r="E2249" s="29" t="s">
        <v>25</v>
      </c>
      <c r="F2249" s="28" t="s">
        <v>26</v>
      </c>
      <c r="G2249" s="28" t="s">
        <v>37</v>
      </c>
      <c r="H2249" s="28" t="s">
        <v>57</v>
      </c>
      <c r="I2249" s="37">
        <v>50.0</v>
      </c>
      <c r="J2249" s="34"/>
      <c r="K2249" s="13">
        <f t="shared" si="136"/>
        <v>50</v>
      </c>
      <c r="L2249" s="28" t="s">
        <v>29</v>
      </c>
      <c r="M2249" s="28"/>
      <c r="N2249" s="28" t="s">
        <v>58</v>
      </c>
      <c r="O2249" s="10" t="str">
        <f t="shared" si="79"/>
        <v>01/2026</v>
      </c>
      <c r="P2249" s="10" t="str">
        <f t="shared" si="121"/>
        <v>01/2026</v>
      </c>
      <c r="Q2249" s="15" t="str">
        <f t="array" ref="Q2249">IFERROR(XLOOKUP(N2249,'Classificação'!A:A,'Classificação'!B:B),"")</f>
        <v>DESPESAS ADMINISTRATIVAS</v>
      </c>
      <c r="R2249" s="15" t="str">
        <f t="array" ref="R2249">IFERROR(XLOOKUP(Q2249,'Classificação'!B:B,'Classificação'!C:C),"")</f>
        <v>DESPESAS FIXAS (-)</v>
      </c>
      <c r="S2249" s="15">
        <f t="shared" si="131"/>
        <v>12</v>
      </c>
      <c r="T2249" s="15">
        <f t="shared" si="128"/>
        <v>1</v>
      </c>
      <c r="U2249" s="15">
        <f t="shared" si="129"/>
        <v>2026</v>
      </c>
      <c r="V2249" s="15">
        <f t="shared" si="8"/>
        <v>12</v>
      </c>
      <c r="W2249" s="15">
        <f t="shared" si="9"/>
        <v>1</v>
      </c>
      <c r="X2249" s="15">
        <f t="shared" si="10"/>
        <v>2026</v>
      </c>
    </row>
    <row r="2250">
      <c r="A2250" s="26">
        <v>46034.0</v>
      </c>
      <c r="B2250" s="30"/>
      <c r="C2250" s="27">
        <f t="shared" si="90"/>
        <v>46034</v>
      </c>
      <c r="D2250" s="28" t="s">
        <v>65</v>
      </c>
      <c r="E2250" s="29" t="s">
        <v>25</v>
      </c>
      <c r="F2250" s="28" t="s">
        <v>45</v>
      </c>
      <c r="G2250" s="28" t="s">
        <v>66</v>
      </c>
      <c r="H2250" s="28" t="s">
        <v>67</v>
      </c>
      <c r="I2250" s="24">
        <v>189.75</v>
      </c>
      <c r="J2250" s="34"/>
      <c r="K2250" s="37">
        <f>IF(E2250="pago",(I2250-J2250),"")</f>
        <v>189.75</v>
      </c>
      <c r="L2250" s="28" t="s">
        <v>29</v>
      </c>
      <c r="M2250" s="28"/>
      <c r="N2250" s="28" t="s">
        <v>68</v>
      </c>
      <c r="O2250" s="10" t="str">
        <f t="shared" si="79"/>
        <v>01/2026</v>
      </c>
      <c r="P2250" s="10" t="str">
        <f t="shared" si="121"/>
        <v>01/2026</v>
      </c>
      <c r="Q2250" s="15" t="str">
        <f t="array" ref="Q2250">IFERROR(XLOOKUP(N2250,'Classificação'!A:A,'Classificação'!B:B),"")</f>
        <v>FRETE DE VENDAS</v>
      </c>
      <c r="R2250" s="15" t="str">
        <f t="array" ref="R2250">IFERROR(XLOOKUP(Q2250,'Classificação'!B:B,'Classificação'!C:C),"")</f>
        <v>CUSTOS VARIÁVEIS</v>
      </c>
      <c r="S2250" s="15">
        <f t="shared" si="131"/>
        <v>12</v>
      </c>
      <c r="T2250" s="15">
        <f t="shared" si="128"/>
        <v>1</v>
      </c>
      <c r="U2250" s="15">
        <f t="shared" si="129"/>
        <v>2026</v>
      </c>
      <c r="V2250" s="15">
        <f t="shared" si="8"/>
        <v>12</v>
      </c>
      <c r="W2250" s="15">
        <f t="shared" si="9"/>
        <v>1</v>
      </c>
      <c r="X2250" s="15">
        <f t="shared" si="10"/>
        <v>2026</v>
      </c>
    </row>
    <row r="2251">
      <c r="A2251" s="9">
        <v>46034.0</v>
      </c>
      <c r="B2251" s="10"/>
      <c r="C2251" s="9">
        <f t="shared" si="90"/>
        <v>46034</v>
      </c>
      <c r="D2251" s="11" t="s">
        <v>1166</v>
      </c>
      <c r="E2251" s="29" t="s">
        <v>25</v>
      </c>
      <c r="F2251" s="11" t="s">
        <v>26</v>
      </c>
      <c r="G2251" s="11" t="s">
        <v>37</v>
      </c>
      <c r="H2251" s="11" t="s">
        <v>1167</v>
      </c>
      <c r="I2251" s="31">
        <v>300.0</v>
      </c>
      <c r="J2251" s="13"/>
      <c r="K2251" s="13">
        <f t="shared" ref="K2251:K2255" si="137">if(E2251="pago",(I2251-J2251),"")</f>
        <v>300</v>
      </c>
      <c r="L2251" s="11" t="s">
        <v>34</v>
      </c>
      <c r="M2251" s="14"/>
      <c r="N2251" s="11" t="s">
        <v>392</v>
      </c>
      <c r="O2251" s="10" t="str">
        <f t="shared" si="79"/>
        <v>01/2026</v>
      </c>
      <c r="P2251" s="10" t="str">
        <f t="shared" si="121"/>
        <v>01/2026</v>
      </c>
      <c r="Q2251" s="15" t="str">
        <f t="array" ref="Q2251">IFERROR(XLOOKUP(N2251,'Classificação'!A:A,'Classificação'!B:B),"")</f>
        <v>DESPESAS COM OCUPAÇÃO</v>
      </c>
      <c r="R2251" s="15" t="str">
        <f t="array" ref="R2251">IFERROR(XLOOKUP(Q2251,'Classificação'!B:B,'Classificação'!C:C),"")</f>
        <v>DESPESAS FIXAS (-)</v>
      </c>
      <c r="S2251" s="15">
        <f t="shared" si="131"/>
        <v>12</v>
      </c>
      <c r="T2251" s="15">
        <f t="shared" si="128"/>
        <v>1</v>
      </c>
      <c r="U2251" s="15">
        <f t="shared" si="129"/>
        <v>2026</v>
      </c>
      <c r="V2251" s="15">
        <f t="shared" si="8"/>
        <v>12</v>
      </c>
      <c r="W2251" s="15">
        <f t="shared" si="9"/>
        <v>1</v>
      </c>
      <c r="X2251" s="15">
        <f t="shared" si="10"/>
        <v>2026</v>
      </c>
    </row>
    <row r="2252">
      <c r="A2252" s="9">
        <v>46034.0</v>
      </c>
      <c r="B2252" s="10"/>
      <c r="C2252" s="9">
        <f t="shared" si="90"/>
        <v>46034</v>
      </c>
      <c r="D2252" s="11" t="s">
        <v>1168</v>
      </c>
      <c r="E2252" s="29" t="s">
        <v>25</v>
      </c>
      <c r="F2252" s="11" t="s">
        <v>26</v>
      </c>
      <c r="G2252" s="11" t="s">
        <v>37</v>
      </c>
      <c r="H2252" s="11" t="s">
        <v>1169</v>
      </c>
      <c r="I2252" s="31">
        <v>110.0</v>
      </c>
      <c r="J2252" s="13"/>
      <c r="K2252" s="13">
        <f t="shared" si="137"/>
        <v>110</v>
      </c>
      <c r="L2252" s="11" t="s">
        <v>34</v>
      </c>
      <c r="M2252" s="14"/>
      <c r="N2252" s="11" t="s">
        <v>58</v>
      </c>
      <c r="O2252" s="10" t="str">
        <f t="shared" si="79"/>
        <v>01/2026</v>
      </c>
      <c r="P2252" s="10" t="str">
        <f t="shared" si="121"/>
        <v>01/2026</v>
      </c>
      <c r="Q2252" s="15" t="str">
        <f t="array" ref="Q2252">IFERROR(XLOOKUP(N2252,'Classificação'!A:A,'Classificação'!B:B),"")</f>
        <v>DESPESAS ADMINISTRATIVAS</v>
      </c>
      <c r="R2252" s="15" t="str">
        <f t="array" ref="R2252">IFERROR(XLOOKUP(Q2252,'Classificação'!B:B,'Classificação'!C:C),"")</f>
        <v>DESPESAS FIXAS (-)</v>
      </c>
      <c r="S2252" s="15">
        <f t="shared" si="131"/>
        <v>12</v>
      </c>
      <c r="T2252" s="15">
        <f t="shared" si="128"/>
        <v>1</v>
      </c>
      <c r="U2252" s="15">
        <f t="shared" si="129"/>
        <v>2026</v>
      </c>
      <c r="V2252" s="15">
        <f t="shared" si="8"/>
        <v>12</v>
      </c>
      <c r="W2252" s="15">
        <f t="shared" si="9"/>
        <v>1</v>
      </c>
      <c r="X2252" s="15">
        <f t="shared" si="10"/>
        <v>2026</v>
      </c>
    </row>
    <row r="2253">
      <c r="A2253" s="9">
        <v>46034.0</v>
      </c>
      <c r="B2253" s="10"/>
      <c r="C2253" s="9">
        <f t="shared" si="90"/>
        <v>46034</v>
      </c>
      <c r="D2253" s="11" t="s">
        <v>408</v>
      </c>
      <c r="E2253" s="29" t="s">
        <v>25</v>
      </c>
      <c r="F2253" s="11" t="s">
        <v>26</v>
      </c>
      <c r="G2253" s="11" t="s">
        <v>37</v>
      </c>
      <c r="H2253" s="11" t="s">
        <v>1169</v>
      </c>
      <c r="I2253" s="31">
        <v>110.0</v>
      </c>
      <c r="J2253" s="13"/>
      <c r="K2253" s="13">
        <f t="shared" si="137"/>
        <v>110</v>
      </c>
      <c r="L2253" s="11" t="s">
        <v>34</v>
      </c>
      <c r="M2253" s="14"/>
      <c r="N2253" s="11" t="s">
        <v>58</v>
      </c>
      <c r="O2253" s="10" t="str">
        <f t="shared" si="79"/>
        <v>01/2026</v>
      </c>
      <c r="P2253" s="10" t="str">
        <f t="shared" si="121"/>
        <v>01/2026</v>
      </c>
      <c r="Q2253" s="15" t="str">
        <f t="array" ref="Q2253">IFERROR(XLOOKUP(N2253,'Classificação'!A:A,'Classificação'!B:B),"")</f>
        <v>DESPESAS ADMINISTRATIVAS</v>
      </c>
      <c r="R2253" s="15" t="str">
        <f t="array" ref="R2253">IFERROR(XLOOKUP(Q2253,'Classificação'!B:B,'Classificação'!C:C),"")</f>
        <v>DESPESAS FIXAS (-)</v>
      </c>
      <c r="S2253" s="15">
        <f t="shared" si="131"/>
        <v>12</v>
      </c>
      <c r="T2253" s="15">
        <f t="shared" si="128"/>
        <v>1</v>
      </c>
      <c r="U2253" s="15">
        <f t="shared" si="129"/>
        <v>2026</v>
      </c>
      <c r="V2253" s="15">
        <f t="shared" si="8"/>
        <v>12</v>
      </c>
      <c r="W2253" s="15">
        <f t="shared" si="9"/>
        <v>1</v>
      </c>
      <c r="X2253" s="15">
        <f t="shared" si="10"/>
        <v>2026</v>
      </c>
    </row>
    <row r="2254">
      <c r="A2254" s="9">
        <v>46035.0</v>
      </c>
      <c r="B2254" s="32">
        <v>45947.0</v>
      </c>
      <c r="C2254" s="9">
        <f t="shared" si="90"/>
        <v>46035</v>
      </c>
      <c r="D2254" s="11" t="s">
        <v>86</v>
      </c>
      <c r="E2254" s="29" t="s">
        <v>25</v>
      </c>
      <c r="F2254" s="11" t="s">
        <v>87</v>
      </c>
      <c r="G2254" s="28" t="s">
        <v>27</v>
      </c>
      <c r="H2254" s="11" t="s">
        <v>1170</v>
      </c>
      <c r="I2254" s="12">
        <v>1270.0</v>
      </c>
      <c r="J2254" s="13"/>
      <c r="K2254" s="13">
        <f t="shared" si="137"/>
        <v>1270</v>
      </c>
      <c r="L2254" s="11" t="s">
        <v>53</v>
      </c>
      <c r="M2254" s="17">
        <v>45750.0</v>
      </c>
      <c r="N2254" s="11" t="s">
        <v>35</v>
      </c>
      <c r="O2254" s="10" t="str">
        <f t="shared" si="79"/>
        <v>01/2026</v>
      </c>
      <c r="P2254" s="10" t="str">
        <f t="shared" si="121"/>
        <v>01/2026</v>
      </c>
      <c r="Q2254" s="15" t="str">
        <f t="array" ref="Q2254">IFERROR(XLOOKUP(N2254,'Classificação'!A:A,'Classificação'!B:B),"")</f>
        <v>COMPRA DE MERCADORIA</v>
      </c>
      <c r="R2254" s="15" t="str">
        <f t="array" ref="R2254">IFERROR(XLOOKUP(Q2254,'Classificação'!B:B,'Classificação'!C:C),"")</f>
        <v>CUSTOS VARIÁVEIS</v>
      </c>
      <c r="S2254" s="15">
        <f t="shared" si="131"/>
        <v>13</v>
      </c>
      <c r="T2254" s="15">
        <f t="shared" si="128"/>
        <v>1</v>
      </c>
      <c r="U2254" s="15">
        <f t="shared" si="129"/>
        <v>2026</v>
      </c>
      <c r="V2254" s="15">
        <f t="shared" si="8"/>
        <v>13</v>
      </c>
      <c r="W2254" s="15">
        <f t="shared" si="9"/>
        <v>1</v>
      </c>
      <c r="X2254" s="15">
        <f t="shared" si="10"/>
        <v>2026</v>
      </c>
    </row>
    <row r="2255">
      <c r="A2255" s="9">
        <v>46035.0</v>
      </c>
      <c r="B2255" s="10"/>
      <c r="C2255" s="9">
        <f t="shared" si="90"/>
        <v>46035</v>
      </c>
      <c r="D2255" s="11" t="s">
        <v>86</v>
      </c>
      <c r="E2255" s="29" t="s">
        <v>25</v>
      </c>
      <c r="F2255" s="11" t="s">
        <v>87</v>
      </c>
      <c r="G2255" s="28" t="s">
        <v>27</v>
      </c>
      <c r="H2255" s="11" t="s">
        <v>1171</v>
      </c>
      <c r="I2255" s="12">
        <v>3830.0</v>
      </c>
      <c r="J2255" s="13"/>
      <c r="K2255" s="13">
        <f t="shared" si="137"/>
        <v>3830</v>
      </c>
      <c r="L2255" s="11" t="s">
        <v>53</v>
      </c>
      <c r="M2255" s="17">
        <v>45749.0</v>
      </c>
      <c r="N2255" s="11" t="s">
        <v>35</v>
      </c>
      <c r="O2255" s="10" t="str">
        <f t="shared" si="79"/>
        <v>01/2026</v>
      </c>
      <c r="P2255" s="10" t="str">
        <f t="shared" si="121"/>
        <v>01/2026</v>
      </c>
      <c r="Q2255" s="15" t="str">
        <f t="array" ref="Q2255">IFERROR(XLOOKUP(N2255,'Classificação'!A:A,'Classificação'!B:B),"")</f>
        <v>COMPRA DE MERCADORIA</v>
      </c>
      <c r="R2255" s="15" t="str">
        <f t="array" ref="R2255">IFERROR(XLOOKUP(Q2255,'Classificação'!B:B,'Classificação'!C:C),"")</f>
        <v>CUSTOS VARIÁVEIS</v>
      </c>
      <c r="S2255" s="15">
        <f t="shared" si="131"/>
        <v>13</v>
      </c>
      <c r="T2255" s="15">
        <f t="shared" si="128"/>
        <v>1</v>
      </c>
      <c r="U2255" s="15">
        <f t="shared" si="129"/>
        <v>2026</v>
      </c>
      <c r="V2255" s="15">
        <f t="shared" si="8"/>
        <v>13</v>
      </c>
      <c r="W2255" s="15">
        <f t="shared" si="9"/>
        <v>1</v>
      </c>
      <c r="X2255" s="15">
        <f t="shared" si="10"/>
        <v>2026</v>
      </c>
    </row>
    <row r="2256">
      <c r="A2256" s="26">
        <v>46035.0</v>
      </c>
      <c r="B2256" s="30"/>
      <c r="C2256" s="27">
        <f t="shared" si="90"/>
        <v>46035</v>
      </c>
      <c r="D2256" s="28" t="s">
        <v>36</v>
      </c>
      <c r="E2256" s="29" t="s">
        <v>25</v>
      </c>
      <c r="F2256" s="28" t="s">
        <v>26</v>
      </c>
      <c r="G2256" s="28" t="s">
        <v>37</v>
      </c>
      <c r="H2256" s="28"/>
      <c r="I2256" s="24">
        <v>1700.0</v>
      </c>
      <c r="J2256" s="34"/>
      <c r="K2256" s="37">
        <f t="shared" ref="K2256:K2261" si="138">IF(E2256="pago",(I2256-J2256),"")</f>
        <v>1700</v>
      </c>
      <c r="L2256" s="28" t="s">
        <v>29</v>
      </c>
      <c r="M2256" s="28"/>
      <c r="N2256" s="28" t="s">
        <v>38</v>
      </c>
      <c r="O2256" s="10" t="str">
        <f t="shared" si="79"/>
        <v>01/2026</v>
      </c>
      <c r="P2256" s="10" t="str">
        <f t="shared" si="121"/>
        <v>01/2026</v>
      </c>
      <c r="Q2256" s="15" t="str">
        <f t="array" ref="Q2256">IFERROR(XLOOKUP(N2256,'Classificação'!A:A,'Classificação'!B:B),"")</f>
        <v>DESPESAS COM PESSOAL</v>
      </c>
      <c r="R2256" s="15" t="str">
        <f t="array" ref="R2256">IFERROR(XLOOKUP(Q2256,'Classificação'!B:B,'Classificação'!C:C),"")</f>
        <v>DESPESAS FIXAS (-)</v>
      </c>
      <c r="S2256" s="15">
        <f t="shared" si="131"/>
        <v>13</v>
      </c>
      <c r="T2256" s="15">
        <f t="shared" si="128"/>
        <v>1</v>
      </c>
      <c r="U2256" s="15">
        <f t="shared" si="129"/>
        <v>2026</v>
      </c>
      <c r="V2256" s="15">
        <f t="shared" si="8"/>
        <v>13</v>
      </c>
      <c r="W2256" s="15">
        <f t="shared" si="9"/>
        <v>1</v>
      </c>
      <c r="X2256" s="15">
        <f t="shared" si="10"/>
        <v>2026</v>
      </c>
    </row>
    <row r="2257">
      <c r="A2257" s="26">
        <v>46035.0</v>
      </c>
      <c r="B2257" s="30"/>
      <c r="C2257" s="27">
        <f t="shared" si="90"/>
        <v>46035</v>
      </c>
      <c r="D2257" s="28" t="s">
        <v>43</v>
      </c>
      <c r="E2257" s="29" t="s">
        <v>25</v>
      </c>
      <c r="F2257" s="29" t="s">
        <v>26</v>
      </c>
      <c r="G2257" s="28" t="s">
        <v>37</v>
      </c>
      <c r="H2257" s="28"/>
      <c r="I2257" s="24">
        <v>1700.0</v>
      </c>
      <c r="J2257" s="34"/>
      <c r="K2257" s="37">
        <f t="shared" si="138"/>
        <v>1700</v>
      </c>
      <c r="L2257" s="28" t="s">
        <v>29</v>
      </c>
      <c r="M2257" s="28"/>
      <c r="N2257" s="28" t="s">
        <v>38</v>
      </c>
      <c r="O2257" s="10" t="str">
        <f t="shared" si="79"/>
        <v>01/2026</v>
      </c>
      <c r="P2257" s="10" t="str">
        <f t="shared" si="121"/>
        <v>01/2026</v>
      </c>
      <c r="Q2257" s="15" t="str">
        <f t="array" ref="Q2257">IFERROR(XLOOKUP(N2257,'Classificação'!A:A,'Classificação'!B:B),"")</f>
        <v>DESPESAS COM PESSOAL</v>
      </c>
      <c r="R2257" s="15" t="str">
        <f t="array" ref="R2257">IFERROR(XLOOKUP(Q2257,'Classificação'!B:B,'Classificação'!C:C),"")</f>
        <v>DESPESAS FIXAS (-)</v>
      </c>
      <c r="S2257" s="15">
        <f t="shared" si="131"/>
        <v>13</v>
      </c>
      <c r="T2257" s="15">
        <f t="shared" si="128"/>
        <v>1</v>
      </c>
      <c r="U2257" s="15">
        <f t="shared" si="129"/>
        <v>2026</v>
      </c>
      <c r="V2257" s="15">
        <f t="shared" si="8"/>
        <v>13</v>
      </c>
      <c r="W2257" s="15">
        <f t="shared" si="9"/>
        <v>1</v>
      </c>
      <c r="X2257" s="15">
        <f t="shared" si="10"/>
        <v>2026</v>
      </c>
    </row>
    <row r="2258">
      <c r="A2258" s="9">
        <v>46035.0</v>
      </c>
      <c r="B2258" s="9">
        <v>45680.0</v>
      </c>
      <c r="C2258" s="9">
        <f t="shared" si="90"/>
        <v>46035</v>
      </c>
      <c r="D2258" s="11" t="s">
        <v>544</v>
      </c>
      <c r="E2258" s="11" t="s">
        <v>25</v>
      </c>
      <c r="F2258" s="11" t="s">
        <v>26</v>
      </c>
      <c r="G2258" s="11" t="s">
        <v>37</v>
      </c>
      <c r="H2258" s="11" t="s">
        <v>545</v>
      </c>
      <c r="I2258" s="12">
        <v>896.46</v>
      </c>
      <c r="J2258" s="13"/>
      <c r="K2258" s="37">
        <f t="shared" si="138"/>
        <v>896.46</v>
      </c>
      <c r="L2258" s="11" t="s">
        <v>53</v>
      </c>
      <c r="M2258" s="17">
        <v>46003.0</v>
      </c>
      <c r="N2258" s="11" t="s">
        <v>95</v>
      </c>
      <c r="O2258" s="10" t="str">
        <f t="shared" si="79"/>
        <v>01/2026</v>
      </c>
      <c r="P2258" s="10" t="str">
        <f t="shared" si="121"/>
        <v>01/2026</v>
      </c>
      <c r="Q2258" s="15" t="str">
        <f t="array" ref="Q2258">IFERROR(XLOOKUP(N2258,'Classificação'!A:A,'Classificação'!B:B),"")</f>
        <v>DESPESAS NÃO OPERACIONAIS</v>
      </c>
      <c r="R2258" s="15" t="str">
        <f t="array" ref="R2258">IFERROR(XLOOKUP(Q2258,'Classificação'!B:B,'Classificação'!C:C),"")</f>
        <v>RESULTADO NÃO OPERACIONAL (+/-)</v>
      </c>
      <c r="S2258" s="15">
        <f t="shared" si="131"/>
        <v>13</v>
      </c>
      <c r="T2258" s="15">
        <f t="shared" si="128"/>
        <v>1</v>
      </c>
      <c r="U2258" s="15">
        <f t="shared" si="129"/>
        <v>2026</v>
      </c>
      <c r="V2258" s="15">
        <f t="shared" si="8"/>
        <v>13</v>
      </c>
      <c r="W2258" s="15">
        <f t="shared" si="9"/>
        <v>1</v>
      </c>
      <c r="X2258" s="15">
        <f t="shared" si="10"/>
        <v>2026</v>
      </c>
    </row>
    <row r="2259">
      <c r="A2259" s="9">
        <v>46035.0</v>
      </c>
      <c r="B2259" s="10"/>
      <c r="C2259" s="9">
        <f t="shared" si="90"/>
        <v>46035</v>
      </c>
      <c r="D2259" s="11" t="s">
        <v>473</v>
      </c>
      <c r="E2259" s="29" t="s">
        <v>25</v>
      </c>
      <c r="F2259" s="28" t="s">
        <v>45</v>
      </c>
      <c r="G2259" s="28" t="s">
        <v>27</v>
      </c>
      <c r="H2259" s="11" t="s">
        <v>1172</v>
      </c>
      <c r="I2259" s="31">
        <v>516.57</v>
      </c>
      <c r="J2259" s="13"/>
      <c r="K2259" s="37">
        <f t="shared" si="138"/>
        <v>516.57</v>
      </c>
      <c r="L2259" s="28" t="s">
        <v>53</v>
      </c>
      <c r="M2259" s="17">
        <v>46143.0</v>
      </c>
      <c r="N2259" s="11" t="s">
        <v>233</v>
      </c>
      <c r="O2259" s="10" t="str">
        <f t="shared" si="79"/>
        <v>01/2026</v>
      </c>
      <c r="P2259" s="10" t="str">
        <f t="shared" si="121"/>
        <v>01/2026</v>
      </c>
      <c r="Q2259" s="15" t="str">
        <f t="array" ref="Q2259">IFERROR(XLOOKUP(N2259,'Classificação'!A:A,'Classificação'!B:B),"")</f>
        <v>DESPESAS COM VEICULOS</v>
      </c>
      <c r="S2259" s="15">
        <f t="shared" si="131"/>
        <v>13</v>
      </c>
      <c r="T2259" s="15">
        <f t="shared" si="128"/>
        <v>1</v>
      </c>
      <c r="U2259" s="15">
        <f t="shared" si="129"/>
        <v>2026</v>
      </c>
      <c r="V2259" s="15">
        <f t="shared" si="8"/>
        <v>13</v>
      </c>
      <c r="W2259" s="15">
        <f t="shared" si="9"/>
        <v>1</v>
      </c>
      <c r="X2259" s="15">
        <f t="shared" si="10"/>
        <v>2026</v>
      </c>
    </row>
    <row r="2260">
      <c r="A2260" s="9">
        <v>46035.0</v>
      </c>
      <c r="B2260" s="10"/>
      <c r="C2260" s="9">
        <f t="shared" si="90"/>
        <v>46035</v>
      </c>
      <c r="D2260" s="11" t="s">
        <v>473</v>
      </c>
      <c r="E2260" s="29" t="s">
        <v>25</v>
      </c>
      <c r="F2260" s="28" t="s">
        <v>45</v>
      </c>
      <c r="G2260" s="28" t="s">
        <v>27</v>
      </c>
      <c r="H2260" s="11" t="s">
        <v>1173</v>
      </c>
      <c r="I2260" s="31">
        <v>118.2</v>
      </c>
      <c r="J2260" s="13"/>
      <c r="K2260" s="37">
        <f t="shared" si="138"/>
        <v>118.2</v>
      </c>
      <c r="L2260" s="29" t="s">
        <v>34</v>
      </c>
      <c r="M2260" s="17"/>
      <c r="N2260" s="11" t="s">
        <v>233</v>
      </c>
      <c r="O2260" s="10" t="str">
        <f t="shared" si="79"/>
        <v>01/2026</v>
      </c>
      <c r="P2260" s="10" t="str">
        <f t="shared" si="121"/>
        <v>01/2026</v>
      </c>
      <c r="Q2260" s="15" t="str">
        <f t="array" ref="Q2260">IFERROR(XLOOKUP(N2260,'Classificação'!A:A,'Classificação'!B:B),"")</f>
        <v>DESPESAS COM VEICULOS</v>
      </c>
      <c r="S2260" s="15">
        <f t="shared" si="131"/>
        <v>13</v>
      </c>
      <c r="T2260" s="15">
        <f t="shared" si="128"/>
        <v>1</v>
      </c>
      <c r="U2260" s="15">
        <f t="shared" si="129"/>
        <v>2026</v>
      </c>
      <c r="V2260" s="15">
        <f t="shared" si="8"/>
        <v>13</v>
      </c>
      <c r="W2260" s="15">
        <f t="shared" si="9"/>
        <v>1</v>
      </c>
      <c r="X2260" s="15">
        <f t="shared" si="10"/>
        <v>2026</v>
      </c>
    </row>
    <row r="2261">
      <c r="A2261" s="9">
        <v>46035.0</v>
      </c>
      <c r="B2261" s="10"/>
      <c r="C2261" s="9">
        <f t="shared" si="90"/>
        <v>46035</v>
      </c>
      <c r="D2261" s="11" t="s">
        <v>1168</v>
      </c>
      <c r="E2261" s="29" t="s">
        <v>25</v>
      </c>
      <c r="F2261" s="11" t="s">
        <v>26</v>
      </c>
      <c r="G2261" s="11" t="s">
        <v>37</v>
      </c>
      <c r="H2261" s="11" t="s">
        <v>1174</v>
      </c>
      <c r="I2261" s="31">
        <v>122.93</v>
      </c>
      <c r="J2261" s="13"/>
      <c r="K2261" s="37">
        <f t="shared" si="138"/>
        <v>122.93</v>
      </c>
      <c r="L2261" s="11" t="s">
        <v>34</v>
      </c>
      <c r="M2261" s="14"/>
      <c r="N2261" s="11" t="s">
        <v>58</v>
      </c>
      <c r="O2261" s="10" t="str">
        <f t="shared" si="79"/>
        <v>01/2026</v>
      </c>
      <c r="P2261" s="10" t="str">
        <f t="shared" si="121"/>
        <v>01/2026</v>
      </c>
      <c r="Q2261" s="15" t="str">
        <f t="array" ref="Q2261">IFERROR(XLOOKUP(N2261,'Classificação'!A:A,'Classificação'!B:B),"")</f>
        <v>DESPESAS ADMINISTRATIVAS</v>
      </c>
      <c r="S2261" s="15">
        <f t="shared" si="131"/>
        <v>13</v>
      </c>
      <c r="T2261" s="15">
        <f t="shared" si="128"/>
        <v>1</v>
      </c>
      <c r="U2261" s="15">
        <f t="shared" si="129"/>
        <v>2026</v>
      </c>
      <c r="V2261" s="15">
        <f t="shared" si="8"/>
        <v>13</v>
      </c>
      <c r="W2261" s="15">
        <f t="shared" si="9"/>
        <v>1</v>
      </c>
      <c r="X2261" s="15">
        <f t="shared" si="10"/>
        <v>2026</v>
      </c>
    </row>
    <row r="2262">
      <c r="A2262" s="9">
        <v>46036.0</v>
      </c>
      <c r="B2262" s="10"/>
      <c r="C2262" s="9">
        <f t="shared" si="90"/>
        <v>46036</v>
      </c>
      <c r="D2262" s="11" t="s">
        <v>44</v>
      </c>
      <c r="E2262" s="11" t="s">
        <v>25</v>
      </c>
      <c r="F2262" s="11" t="s">
        <v>45</v>
      </c>
      <c r="G2262" s="11" t="s">
        <v>27</v>
      </c>
      <c r="H2262" s="11" t="s">
        <v>476</v>
      </c>
      <c r="I2262" s="12">
        <v>4922.24</v>
      </c>
      <c r="J2262" s="13"/>
      <c r="K2262" s="13">
        <f>if(E2262="pago",(I2262-J2262),"")</f>
        <v>4922.24</v>
      </c>
      <c r="L2262" s="11" t="s">
        <v>53</v>
      </c>
      <c r="M2262" s="16" t="s">
        <v>414</v>
      </c>
      <c r="N2262" s="11" t="s">
        <v>73</v>
      </c>
      <c r="O2262" s="10" t="str">
        <f t="shared" si="79"/>
        <v>01/2026</v>
      </c>
      <c r="P2262" s="10" t="str">
        <f t="shared" si="121"/>
        <v>01/2026</v>
      </c>
      <c r="Q2262" s="15" t="str">
        <f t="array" ref="Q2262">IFERROR(XLOOKUP(N2262,'Classificação'!A:A,'Classificação'!B:B),"")</f>
        <v>DESPESAS NÃO OPERACIONAIS</v>
      </c>
      <c r="R2262" s="15" t="str">
        <f t="array" ref="R2262">IFERROR(XLOOKUP(Q2262,'Classificação'!B:B,'Classificação'!C:C),"")</f>
        <v>RESULTADO NÃO OPERACIONAL (+/-)</v>
      </c>
      <c r="S2262" s="15">
        <f t="shared" si="131"/>
        <v>14</v>
      </c>
      <c r="T2262" s="15">
        <f t="shared" si="128"/>
        <v>1</v>
      </c>
      <c r="U2262" s="15">
        <f t="shared" si="129"/>
        <v>2026</v>
      </c>
      <c r="V2262" s="15">
        <f t="shared" si="8"/>
        <v>14</v>
      </c>
      <c r="W2262" s="15">
        <f t="shared" si="9"/>
        <v>1</v>
      </c>
      <c r="X2262" s="15">
        <f t="shared" si="10"/>
        <v>2026</v>
      </c>
    </row>
    <row r="2263">
      <c r="A2263" s="9">
        <v>46036.0</v>
      </c>
      <c r="B2263" s="10"/>
      <c r="C2263" s="9">
        <f t="shared" si="90"/>
        <v>46036</v>
      </c>
      <c r="D2263" s="11" t="s">
        <v>1097</v>
      </c>
      <c r="E2263" s="29" t="s">
        <v>25</v>
      </c>
      <c r="F2263" s="11" t="s">
        <v>26</v>
      </c>
      <c r="G2263" s="28" t="s">
        <v>37</v>
      </c>
      <c r="H2263" s="28" t="s">
        <v>1174</v>
      </c>
      <c r="I2263" s="31">
        <v>110.0</v>
      </c>
      <c r="J2263" s="13"/>
      <c r="K2263" s="37">
        <f t="shared" ref="K2263:K2271" si="139">IF(E2263="pago",(I2263-J2263),"")</f>
        <v>110</v>
      </c>
      <c r="L2263" s="11" t="s">
        <v>34</v>
      </c>
      <c r="M2263" s="14"/>
      <c r="N2263" s="11" t="s">
        <v>58</v>
      </c>
      <c r="O2263" s="10" t="str">
        <f t="shared" si="79"/>
        <v>01/2026</v>
      </c>
      <c r="P2263" s="10" t="str">
        <f t="shared" si="121"/>
        <v>01/2026</v>
      </c>
      <c r="Q2263" s="15" t="str">
        <f t="array" ref="Q2263">IFERROR(XLOOKUP(N2263,'Classificação'!A:A,'Classificação'!B:B),"")</f>
        <v>DESPESAS ADMINISTRATIVAS</v>
      </c>
      <c r="S2263" s="15">
        <f t="shared" si="131"/>
        <v>14</v>
      </c>
      <c r="T2263" s="15">
        <f t="shared" si="128"/>
        <v>1</v>
      </c>
      <c r="U2263" s="15">
        <f t="shared" si="129"/>
        <v>2026</v>
      </c>
      <c r="V2263" s="15">
        <f t="shared" si="8"/>
        <v>14</v>
      </c>
      <c r="W2263" s="15">
        <f t="shared" si="9"/>
        <v>1</v>
      </c>
      <c r="X2263" s="15">
        <f t="shared" si="10"/>
        <v>2026</v>
      </c>
    </row>
    <row r="2264">
      <c r="A2264" s="9">
        <v>46036.0</v>
      </c>
      <c r="B2264" s="10"/>
      <c r="C2264" s="9">
        <f t="shared" si="90"/>
        <v>46036</v>
      </c>
      <c r="D2264" s="11" t="s">
        <v>80</v>
      </c>
      <c r="E2264" s="29" t="s">
        <v>25</v>
      </c>
      <c r="F2264" s="11" t="s">
        <v>26</v>
      </c>
      <c r="G2264" s="28" t="s">
        <v>37</v>
      </c>
      <c r="H2264" s="28" t="s">
        <v>1174</v>
      </c>
      <c r="I2264" s="31">
        <v>110.0</v>
      </c>
      <c r="J2264" s="13"/>
      <c r="K2264" s="37">
        <f t="shared" si="139"/>
        <v>110</v>
      </c>
      <c r="L2264" s="11" t="s">
        <v>34</v>
      </c>
      <c r="M2264" s="14"/>
      <c r="N2264" s="11" t="s">
        <v>58</v>
      </c>
      <c r="O2264" s="10" t="str">
        <f t="shared" si="79"/>
        <v>01/2026</v>
      </c>
      <c r="P2264" s="10" t="str">
        <f t="shared" si="121"/>
        <v>01/2026</v>
      </c>
      <c r="Q2264" s="15" t="str">
        <f t="array" ref="Q2264">IFERROR(XLOOKUP(N2264,'Classificação'!A:A,'Classificação'!B:B),"")</f>
        <v>DESPESAS ADMINISTRATIVAS</v>
      </c>
      <c r="S2264" s="15">
        <f t="shared" si="131"/>
        <v>14</v>
      </c>
      <c r="T2264" s="15">
        <f t="shared" si="128"/>
        <v>1</v>
      </c>
      <c r="U2264" s="15">
        <f t="shared" si="129"/>
        <v>2026</v>
      </c>
      <c r="V2264" s="15">
        <f t="shared" si="8"/>
        <v>14</v>
      </c>
      <c r="W2264" s="15">
        <f t="shared" si="9"/>
        <v>1</v>
      </c>
      <c r="X2264" s="15">
        <f t="shared" si="10"/>
        <v>2026</v>
      </c>
    </row>
    <row r="2265">
      <c r="A2265" s="9">
        <v>46037.0</v>
      </c>
      <c r="B2265" s="10"/>
      <c r="C2265" s="9">
        <f t="shared" si="90"/>
        <v>46037</v>
      </c>
      <c r="D2265" s="11" t="s">
        <v>1097</v>
      </c>
      <c r="E2265" s="29" t="s">
        <v>25</v>
      </c>
      <c r="F2265" s="11" t="s">
        <v>26</v>
      </c>
      <c r="G2265" s="11" t="s">
        <v>37</v>
      </c>
      <c r="H2265" s="11" t="s">
        <v>1174</v>
      </c>
      <c r="I2265" s="31">
        <v>110.0</v>
      </c>
      <c r="J2265" s="13"/>
      <c r="K2265" s="37">
        <f t="shared" si="139"/>
        <v>110</v>
      </c>
      <c r="L2265" s="11" t="s">
        <v>34</v>
      </c>
      <c r="M2265" s="14"/>
      <c r="N2265" s="11" t="s">
        <v>58</v>
      </c>
      <c r="O2265" s="10" t="str">
        <f t="shared" si="79"/>
        <v>01/2026</v>
      </c>
      <c r="P2265" s="10" t="str">
        <f t="shared" si="121"/>
        <v>01/2026</v>
      </c>
      <c r="Q2265" s="15" t="str">
        <f t="array" ref="Q2265">IFERROR(XLOOKUP(N2265,'Classificação'!A:A,'Classificação'!B:B),"")</f>
        <v>DESPESAS ADMINISTRATIVAS</v>
      </c>
      <c r="S2265" s="15">
        <f t="shared" si="131"/>
        <v>15</v>
      </c>
      <c r="T2265" s="15">
        <f t="shared" si="128"/>
        <v>1</v>
      </c>
      <c r="U2265" s="15">
        <f t="shared" si="129"/>
        <v>2026</v>
      </c>
      <c r="V2265" s="15">
        <f t="shared" si="8"/>
        <v>15</v>
      </c>
      <c r="W2265" s="15">
        <f t="shared" si="9"/>
        <v>1</v>
      </c>
      <c r="X2265" s="15">
        <f t="shared" si="10"/>
        <v>2026</v>
      </c>
    </row>
    <row r="2266">
      <c r="A2266" s="26">
        <v>46037.0</v>
      </c>
      <c r="B2266" s="30"/>
      <c r="C2266" s="27">
        <f t="shared" si="90"/>
        <v>46037</v>
      </c>
      <c r="D2266" s="28" t="s">
        <v>79</v>
      </c>
      <c r="E2266" s="29" t="s">
        <v>25</v>
      </c>
      <c r="F2266" s="28" t="s">
        <v>26</v>
      </c>
      <c r="G2266" s="28" t="s">
        <v>37</v>
      </c>
      <c r="H2266" s="28"/>
      <c r="I2266" s="24">
        <v>550.0</v>
      </c>
      <c r="J2266" s="34"/>
      <c r="K2266" s="37">
        <f t="shared" si="139"/>
        <v>550</v>
      </c>
      <c r="L2266" s="28" t="s">
        <v>29</v>
      </c>
      <c r="M2266" s="28"/>
      <c r="N2266" s="28" t="s">
        <v>58</v>
      </c>
      <c r="O2266" s="10" t="str">
        <f t="shared" si="79"/>
        <v>01/2026</v>
      </c>
      <c r="P2266" s="10" t="str">
        <f t="shared" si="121"/>
        <v>01/2026</v>
      </c>
      <c r="Q2266" s="15" t="str">
        <f t="array" ref="Q2266">IFERROR(XLOOKUP(N2266,'Classificação'!A:A,'Classificação'!B:B),"")</f>
        <v>DESPESAS ADMINISTRATIVAS</v>
      </c>
      <c r="S2266" s="15">
        <f t="shared" si="131"/>
        <v>15</v>
      </c>
      <c r="T2266" s="15">
        <f t="shared" si="128"/>
        <v>1</v>
      </c>
      <c r="U2266" s="15">
        <f t="shared" si="129"/>
        <v>2026</v>
      </c>
      <c r="V2266" s="15">
        <f t="shared" si="8"/>
        <v>15</v>
      </c>
      <c r="W2266" s="15">
        <f t="shared" si="9"/>
        <v>1</v>
      </c>
      <c r="X2266" s="15">
        <f t="shared" si="10"/>
        <v>2026</v>
      </c>
    </row>
    <row r="2267">
      <c r="A2267" s="26">
        <v>46037.0</v>
      </c>
      <c r="B2267" s="30"/>
      <c r="C2267" s="27">
        <f t="shared" si="90"/>
        <v>46037</v>
      </c>
      <c r="D2267" s="28" t="s">
        <v>80</v>
      </c>
      <c r="E2267" s="29" t="s">
        <v>25</v>
      </c>
      <c r="F2267" s="28" t="s">
        <v>32</v>
      </c>
      <c r="G2267" s="28" t="s">
        <v>27</v>
      </c>
      <c r="H2267" s="29" t="s">
        <v>606</v>
      </c>
      <c r="I2267" s="24">
        <v>826.8</v>
      </c>
      <c r="J2267" s="34"/>
      <c r="K2267" s="37">
        <f t="shared" si="139"/>
        <v>826.8</v>
      </c>
      <c r="L2267" s="28" t="s">
        <v>29</v>
      </c>
      <c r="M2267" s="28"/>
      <c r="N2267" s="28" t="s">
        <v>75</v>
      </c>
      <c r="O2267" s="10" t="str">
        <f t="shared" si="79"/>
        <v>01/2026</v>
      </c>
      <c r="P2267" s="10" t="str">
        <f t="shared" si="121"/>
        <v>01/2026</v>
      </c>
      <c r="Q2267" s="15" t="str">
        <f t="array" ref="Q2267">IFERROR(XLOOKUP(N2267,'Classificação'!A:A,'Classificação'!B:B),"")</f>
        <v>DESPESAS COM PESSOAL</v>
      </c>
      <c r="R2267" s="15" t="str">
        <f t="array" ref="R2267">IFERROR(XLOOKUP(Q2267,'Classificação'!B:B,'Classificação'!C:C),"")</f>
        <v>DESPESAS FIXAS (-)</v>
      </c>
      <c r="S2267" s="15">
        <f t="shared" si="131"/>
        <v>15</v>
      </c>
      <c r="T2267" s="15">
        <f t="shared" si="128"/>
        <v>1</v>
      </c>
      <c r="U2267" s="15">
        <f t="shared" si="129"/>
        <v>2026</v>
      </c>
      <c r="V2267" s="15">
        <f t="shared" si="8"/>
        <v>15</v>
      </c>
      <c r="W2267" s="15">
        <f t="shared" si="9"/>
        <v>1</v>
      </c>
      <c r="X2267" s="15">
        <f t="shared" si="10"/>
        <v>2026</v>
      </c>
    </row>
    <row r="2268">
      <c r="A2268" s="26">
        <v>46037.0</v>
      </c>
      <c r="B2268" s="30"/>
      <c r="C2268" s="27">
        <f t="shared" si="90"/>
        <v>46037</v>
      </c>
      <c r="D2268" s="28" t="s">
        <v>83</v>
      </c>
      <c r="E2268" s="29" t="s">
        <v>25</v>
      </c>
      <c r="F2268" s="28" t="s">
        <v>32</v>
      </c>
      <c r="G2268" s="28" t="s">
        <v>27</v>
      </c>
      <c r="H2268" s="29" t="s">
        <v>606</v>
      </c>
      <c r="I2268" s="24">
        <v>848.0</v>
      </c>
      <c r="J2268" s="34"/>
      <c r="K2268" s="37">
        <f t="shared" si="139"/>
        <v>848</v>
      </c>
      <c r="L2268" s="28" t="s">
        <v>29</v>
      </c>
      <c r="M2268" s="28"/>
      <c r="N2268" s="28" t="s">
        <v>75</v>
      </c>
      <c r="O2268" s="10" t="str">
        <f t="shared" si="79"/>
        <v>01/2026</v>
      </c>
      <c r="P2268" s="10" t="str">
        <f t="shared" si="121"/>
        <v>01/2026</v>
      </c>
      <c r="Q2268" s="15" t="str">
        <f t="array" ref="Q2268">IFERROR(XLOOKUP(N2268,'Classificação'!A:A,'Classificação'!B:B),"")</f>
        <v>DESPESAS COM PESSOAL</v>
      </c>
      <c r="R2268" s="15" t="str">
        <f t="array" ref="R2268">IFERROR(XLOOKUP(Q2268,'Classificação'!B:B,'Classificação'!C:C),"")</f>
        <v>DESPESAS FIXAS (-)</v>
      </c>
      <c r="S2268" s="15">
        <f t="shared" si="131"/>
        <v>15</v>
      </c>
      <c r="T2268" s="15">
        <f t="shared" si="128"/>
        <v>1</v>
      </c>
      <c r="U2268" s="15">
        <f t="shared" si="129"/>
        <v>2026</v>
      </c>
      <c r="V2268" s="15">
        <f t="shared" si="8"/>
        <v>15</v>
      </c>
      <c r="W2268" s="15">
        <f t="shared" si="9"/>
        <v>1</v>
      </c>
      <c r="X2268" s="15">
        <f t="shared" si="10"/>
        <v>2026</v>
      </c>
    </row>
    <row r="2269">
      <c r="A2269" s="26">
        <v>46037.0</v>
      </c>
      <c r="B2269" s="28"/>
      <c r="C2269" s="27">
        <f t="shared" si="90"/>
        <v>46037</v>
      </c>
      <c r="D2269" s="29" t="s">
        <v>1094</v>
      </c>
      <c r="E2269" s="29" t="s">
        <v>25</v>
      </c>
      <c r="F2269" s="29" t="s">
        <v>26</v>
      </c>
      <c r="G2269" s="29" t="s">
        <v>37</v>
      </c>
      <c r="H2269" s="28" t="s">
        <v>606</v>
      </c>
      <c r="I2269" s="24">
        <v>1000.0</v>
      </c>
      <c r="J2269" s="34"/>
      <c r="K2269" s="37">
        <f t="shared" si="139"/>
        <v>1000</v>
      </c>
      <c r="L2269" s="28" t="s">
        <v>29</v>
      </c>
      <c r="M2269" s="28"/>
      <c r="N2269" s="28" t="s">
        <v>75</v>
      </c>
      <c r="O2269" s="10" t="str">
        <f t="shared" si="79"/>
        <v>01/2026</v>
      </c>
      <c r="P2269" s="10" t="str">
        <f t="shared" si="121"/>
        <v>01/2026</v>
      </c>
      <c r="Q2269" s="15" t="str">
        <f t="array" ref="Q2269">IFERROR(XLOOKUP(N2269,'Classificação'!A:A,'Classificação'!B:B),"")</f>
        <v>DESPESAS COM PESSOAL</v>
      </c>
      <c r="R2269" s="15" t="str">
        <f t="array" ref="R2269">IFERROR(XLOOKUP(Q2269,'Classificação'!B:B,'Classificação'!C:C),"")</f>
        <v>DESPESAS FIXAS (-)</v>
      </c>
      <c r="S2269" s="15">
        <f t="shared" si="131"/>
        <v>15</v>
      </c>
      <c r="T2269" s="15">
        <f t="shared" si="128"/>
        <v>1</v>
      </c>
      <c r="U2269" s="15">
        <f t="shared" si="129"/>
        <v>2026</v>
      </c>
      <c r="V2269" s="15">
        <f t="shared" si="8"/>
        <v>15</v>
      </c>
      <c r="W2269" s="15">
        <f t="shared" si="9"/>
        <v>1</v>
      </c>
      <c r="X2269" s="15">
        <f t="shared" si="10"/>
        <v>2026</v>
      </c>
    </row>
    <row r="2270">
      <c r="A2270" s="9">
        <v>46037.0</v>
      </c>
      <c r="B2270" s="10"/>
      <c r="C2270" s="9">
        <f t="shared" si="90"/>
        <v>46037</v>
      </c>
      <c r="D2270" s="11" t="s">
        <v>1175</v>
      </c>
      <c r="E2270" s="29" t="s">
        <v>25</v>
      </c>
      <c r="F2270" s="11" t="s">
        <v>26</v>
      </c>
      <c r="G2270" s="11" t="s">
        <v>37</v>
      </c>
      <c r="H2270" s="11" t="s">
        <v>1176</v>
      </c>
      <c r="I2270" s="31">
        <v>110.0</v>
      </c>
      <c r="J2270" s="13"/>
      <c r="K2270" s="37">
        <f t="shared" si="139"/>
        <v>110</v>
      </c>
      <c r="L2270" s="11" t="s">
        <v>34</v>
      </c>
      <c r="M2270" s="14"/>
      <c r="N2270" s="11" t="s">
        <v>58</v>
      </c>
      <c r="O2270" s="10" t="str">
        <f t="shared" si="79"/>
        <v>01/2026</v>
      </c>
      <c r="P2270" s="10" t="str">
        <f t="shared" si="121"/>
        <v>01/2026</v>
      </c>
      <c r="Q2270" s="15" t="str">
        <f t="array" ref="Q2270">IFERROR(XLOOKUP(N2270,'Classificação'!A:A,'Classificação'!B:B),"")</f>
        <v>DESPESAS ADMINISTRATIVAS</v>
      </c>
      <c r="R2270" s="15" t="str">
        <f t="array" ref="R2270">IFERROR(XLOOKUP(Q2270,'Classificação'!B:B,'Classificação'!C:C),"")</f>
        <v>DESPESAS FIXAS (-)</v>
      </c>
      <c r="S2270" s="15">
        <f t="shared" si="131"/>
        <v>15</v>
      </c>
      <c r="T2270" s="15">
        <f t="shared" si="128"/>
        <v>1</v>
      </c>
      <c r="U2270" s="15">
        <f t="shared" si="129"/>
        <v>2026</v>
      </c>
      <c r="V2270" s="15">
        <f t="shared" si="8"/>
        <v>15</v>
      </c>
      <c r="W2270" s="15">
        <f t="shared" si="9"/>
        <v>1</v>
      </c>
      <c r="X2270" s="15">
        <f t="shared" si="10"/>
        <v>2026</v>
      </c>
    </row>
    <row r="2271">
      <c r="A2271" s="9">
        <v>46038.0</v>
      </c>
      <c r="B2271" s="10"/>
      <c r="C2271" s="9">
        <f t="shared" si="90"/>
        <v>46038</v>
      </c>
      <c r="D2271" s="11" t="s">
        <v>1175</v>
      </c>
      <c r="E2271" s="29" t="s">
        <v>25</v>
      </c>
      <c r="F2271" s="11" t="s">
        <v>26</v>
      </c>
      <c r="G2271" s="11" t="s">
        <v>37</v>
      </c>
      <c r="H2271" s="11" t="s">
        <v>1176</v>
      </c>
      <c r="I2271" s="31">
        <v>110.0</v>
      </c>
      <c r="J2271" s="13"/>
      <c r="K2271" s="37">
        <f t="shared" si="139"/>
        <v>110</v>
      </c>
      <c r="L2271" s="11" t="s">
        <v>34</v>
      </c>
      <c r="M2271" s="14"/>
      <c r="N2271" s="11" t="s">
        <v>58</v>
      </c>
      <c r="O2271" s="10" t="str">
        <f t="shared" si="79"/>
        <v>01/2026</v>
      </c>
      <c r="P2271" s="10" t="str">
        <f t="shared" si="121"/>
        <v>01/2026</v>
      </c>
      <c r="Q2271" s="15" t="str">
        <f t="array" ref="Q2271">IFERROR(XLOOKUP(N2271,'Classificação'!A:A,'Classificação'!B:B),"")</f>
        <v>DESPESAS ADMINISTRATIVAS</v>
      </c>
      <c r="R2271" s="15" t="str">
        <f t="array" ref="R2271">IFERROR(XLOOKUP(Q2271,'Classificação'!B:B,'Classificação'!C:C),"")</f>
        <v>DESPESAS FIXAS (-)</v>
      </c>
      <c r="S2271" s="15">
        <f t="shared" si="131"/>
        <v>16</v>
      </c>
      <c r="T2271" s="15">
        <f t="shared" si="128"/>
        <v>1</v>
      </c>
      <c r="U2271" s="15">
        <f t="shared" si="129"/>
        <v>2026</v>
      </c>
      <c r="V2271" s="15">
        <f t="shared" si="8"/>
        <v>16</v>
      </c>
      <c r="W2271" s="15">
        <f t="shared" si="9"/>
        <v>1</v>
      </c>
      <c r="X2271" s="15">
        <f t="shared" si="10"/>
        <v>2026</v>
      </c>
    </row>
    <row r="2272">
      <c r="A2272" s="9">
        <v>46041.0</v>
      </c>
      <c r="B2272" s="10"/>
      <c r="C2272" s="9">
        <f t="shared" si="90"/>
        <v>46041</v>
      </c>
      <c r="D2272" s="11" t="s">
        <v>44</v>
      </c>
      <c r="E2272" s="11" t="s">
        <v>25</v>
      </c>
      <c r="F2272" s="11" t="s">
        <v>45</v>
      </c>
      <c r="G2272" s="11" t="s">
        <v>27</v>
      </c>
      <c r="H2272" s="11" t="s">
        <v>703</v>
      </c>
      <c r="I2272" s="12">
        <v>2960.82</v>
      </c>
      <c r="J2272" s="13"/>
      <c r="K2272" s="13">
        <f t="shared" ref="K2272:K2273" si="140">if(E2272="pago",(I2272-J2272),"")</f>
        <v>2960.82</v>
      </c>
      <c r="L2272" s="11" t="s">
        <v>53</v>
      </c>
      <c r="M2272" s="16" t="s">
        <v>1177</v>
      </c>
      <c r="N2272" s="11" t="s">
        <v>73</v>
      </c>
      <c r="O2272" s="10" t="str">
        <f t="shared" si="79"/>
        <v>01/2026</v>
      </c>
      <c r="P2272" s="10" t="str">
        <f t="shared" si="121"/>
        <v>01/2026</v>
      </c>
      <c r="Q2272" s="15" t="str">
        <f t="array" ref="Q2272">IFERROR(XLOOKUP(N2272,'Classificação'!A:A,'Classificação'!B:B),"")</f>
        <v>DESPESAS NÃO OPERACIONAIS</v>
      </c>
      <c r="R2272" s="15" t="str">
        <f t="array" ref="R2272">IFERROR(XLOOKUP(Q2272,'Classificação'!B:B,'Classificação'!C:C),"")</f>
        <v>RESULTADO NÃO OPERACIONAL (+/-)</v>
      </c>
      <c r="S2272" s="15">
        <f t="shared" si="131"/>
        <v>19</v>
      </c>
      <c r="T2272" s="15">
        <f t="shared" si="128"/>
        <v>1</v>
      </c>
      <c r="U2272" s="15">
        <f t="shared" si="129"/>
        <v>2026</v>
      </c>
      <c r="V2272" s="15">
        <f t="shared" si="8"/>
        <v>19</v>
      </c>
      <c r="W2272" s="15">
        <f t="shared" si="9"/>
        <v>1</v>
      </c>
      <c r="X2272" s="15">
        <f t="shared" si="10"/>
        <v>2026</v>
      </c>
    </row>
    <row r="2273">
      <c r="A2273" s="26">
        <v>46041.0</v>
      </c>
      <c r="B2273" s="30"/>
      <c r="C2273" s="27">
        <f t="shared" si="90"/>
        <v>46041</v>
      </c>
      <c r="D2273" s="28" t="s">
        <v>90</v>
      </c>
      <c r="E2273" s="29" t="s">
        <v>25</v>
      </c>
      <c r="F2273" s="28" t="s">
        <v>40</v>
      </c>
      <c r="G2273" s="29" t="s">
        <v>37</v>
      </c>
      <c r="H2273" s="29" t="s">
        <v>1178</v>
      </c>
      <c r="I2273" s="24">
        <v>403.88</v>
      </c>
      <c r="J2273" s="34"/>
      <c r="K2273" s="13">
        <f t="shared" si="140"/>
        <v>403.88</v>
      </c>
      <c r="L2273" s="28" t="s">
        <v>29</v>
      </c>
      <c r="M2273" s="28"/>
      <c r="N2273" s="28" t="s">
        <v>92</v>
      </c>
      <c r="O2273" s="10" t="str">
        <f t="shared" si="79"/>
        <v>01/2026</v>
      </c>
      <c r="P2273" s="10" t="str">
        <f t="shared" si="121"/>
        <v>01/2026</v>
      </c>
      <c r="Q2273" s="15" t="str">
        <f t="array" ref="Q2273">IFERROR(XLOOKUP(N2273,'Classificação'!A:A,'Classificação'!B:B),"")</f>
        <v>DESPESAS COM OCUPAÇÃO</v>
      </c>
      <c r="R2273" s="15" t="str">
        <f t="array" ref="R2273">IFERROR(XLOOKUP(Q2273,'Classificação'!B:B,'Classificação'!C:C),"")</f>
        <v>DESPESAS FIXAS (-)</v>
      </c>
      <c r="S2273" s="15">
        <f t="shared" si="131"/>
        <v>19</v>
      </c>
      <c r="T2273" s="15">
        <f t="shared" si="128"/>
        <v>1</v>
      </c>
      <c r="U2273" s="15">
        <f t="shared" si="129"/>
        <v>2026</v>
      </c>
      <c r="V2273" s="15">
        <f t="shared" si="8"/>
        <v>19</v>
      </c>
      <c r="W2273" s="15">
        <f t="shared" si="9"/>
        <v>1</v>
      </c>
      <c r="X2273" s="15">
        <f t="shared" si="10"/>
        <v>2026</v>
      </c>
    </row>
    <row r="2274">
      <c r="A2274" s="26">
        <v>46041.0</v>
      </c>
      <c r="B2274" s="30"/>
      <c r="C2274" s="27">
        <f t="shared" si="90"/>
        <v>46041</v>
      </c>
      <c r="D2274" s="28" t="s">
        <v>65</v>
      </c>
      <c r="E2274" s="29" t="s">
        <v>25</v>
      </c>
      <c r="F2274" s="28" t="s">
        <v>45</v>
      </c>
      <c r="G2274" s="28" t="s">
        <v>37</v>
      </c>
      <c r="H2274" s="28" t="s">
        <v>1114</v>
      </c>
      <c r="I2274" s="24">
        <v>410.76</v>
      </c>
      <c r="J2274" s="34"/>
      <c r="K2274" s="37">
        <f>IF(E2274="pago",(I2274-J2274),"")</f>
        <v>410.76</v>
      </c>
      <c r="L2274" s="28" t="s">
        <v>29</v>
      </c>
      <c r="M2274" s="28"/>
      <c r="N2274" s="28" t="s">
        <v>68</v>
      </c>
      <c r="O2274" s="10" t="str">
        <f t="shared" si="79"/>
        <v>01/2026</v>
      </c>
      <c r="P2274" s="10" t="str">
        <f t="shared" si="121"/>
        <v>01/2026</v>
      </c>
      <c r="Q2274" s="15" t="str">
        <f t="array" ref="Q2274">IFERROR(XLOOKUP(N2274,'Classificação'!A:A,'Classificação'!B:B),"")</f>
        <v>FRETE DE VENDAS</v>
      </c>
      <c r="R2274" s="15" t="str">
        <f t="array" ref="R2274">IFERROR(XLOOKUP(Q2274,'Classificação'!B:B,'Classificação'!C:C),"")</f>
        <v>CUSTOS VARIÁVEIS</v>
      </c>
      <c r="S2274" s="15">
        <f t="shared" si="131"/>
        <v>19</v>
      </c>
      <c r="T2274" s="15">
        <f t="shared" si="128"/>
        <v>1</v>
      </c>
      <c r="U2274" s="15">
        <f t="shared" si="129"/>
        <v>2026</v>
      </c>
      <c r="V2274" s="15">
        <f t="shared" si="8"/>
        <v>19</v>
      </c>
      <c r="W2274" s="15">
        <f t="shared" si="9"/>
        <v>1</v>
      </c>
      <c r="X2274" s="15">
        <f t="shared" si="10"/>
        <v>2026</v>
      </c>
    </row>
    <row r="2275">
      <c r="A2275" s="9">
        <v>46041.0</v>
      </c>
      <c r="B2275" s="10"/>
      <c r="C2275" s="9">
        <f t="shared" si="90"/>
        <v>46041</v>
      </c>
      <c r="D2275" s="11" t="s">
        <v>1122</v>
      </c>
      <c r="E2275" s="29" t="s">
        <v>25</v>
      </c>
      <c r="F2275" s="11" t="s">
        <v>26</v>
      </c>
      <c r="G2275" s="28" t="s">
        <v>27</v>
      </c>
      <c r="H2275" s="11" t="s">
        <v>1123</v>
      </c>
      <c r="I2275" s="12">
        <v>400.0</v>
      </c>
      <c r="J2275" s="13"/>
      <c r="K2275" s="13">
        <f t="shared" ref="K2275:K2276" si="141">if(E2275="pago",(I2275-J2275),"")</f>
        <v>400</v>
      </c>
      <c r="L2275" s="11" t="s">
        <v>53</v>
      </c>
      <c r="M2275" s="17">
        <v>45690.0</v>
      </c>
      <c r="N2275" s="11" t="s">
        <v>64</v>
      </c>
      <c r="O2275" s="10" t="str">
        <f t="shared" si="79"/>
        <v>01/2026</v>
      </c>
      <c r="P2275" s="10" t="str">
        <f t="shared" si="121"/>
        <v>01/2026</v>
      </c>
      <c r="Q2275" s="15" t="str">
        <f t="array" ref="Q2275">IFERROR(XLOOKUP(N2275,'Classificação'!A:A,'Classificação'!B:B),"")</f>
        <v>DESPESAS COM PESSOAL</v>
      </c>
      <c r="R2275" s="15" t="str">
        <f t="array" ref="R2275">IFERROR(XLOOKUP(Q2275,'Classificação'!B:B,'Classificação'!C:C),"")</f>
        <v>DESPESAS FIXAS (-)</v>
      </c>
      <c r="S2275" s="15">
        <f t="shared" si="131"/>
        <v>19</v>
      </c>
      <c r="T2275" s="15">
        <f t="shared" si="128"/>
        <v>1</v>
      </c>
      <c r="U2275" s="15">
        <f t="shared" si="129"/>
        <v>2026</v>
      </c>
      <c r="V2275" s="15">
        <f t="shared" si="8"/>
        <v>19</v>
      </c>
      <c r="W2275" s="15">
        <f t="shared" si="9"/>
        <v>1</v>
      </c>
      <c r="X2275" s="15">
        <f t="shared" si="10"/>
        <v>2026</v>
      </c>
    </row>
    <row r="2276">
      <c r="A2276" s="9">
        <v>46041.0</v>
      </c>
      <c r="B2276" s="10"/>
      <c r="C2276" s="9">
        <f t="shared" si="90"/>
        <v>46041</v>
      </c>
      <c r="D2276" s="11" t="s">
        <v>1122</v>
      </c>
      <c r="E2276" s="29" t="s">
        <v>25</v>
      </c>
      <c r="F2276" s="11" t="s">
        <v>26</v>
      </c>
      <c r="G2276" s="29" t="s">
        <v>37</v>
      </c>
      <c r="H2276" s="11" t="s">
        <v>1124</v>
      </c>
      <c r="I2276" s="12">
        <v>450.0</v>
      </c>
      <c r="J2276" s="13"/>
      <c r="K2276" s="13">
        <f t="shared" si="141"/>
        <v>450</v>
      </c>
      <c r="L2276" s="11" t="s">
        <v>53</v>
      </c>
      <c r="M2276" s="17">
        <v>45690.0</v>
      </c>
      <c r="N2276" s="11" t="s">
        <v>64</v>
      </c>
      <c r="O2276" s="10" t="str">
        <f t="shared" si="79"/>
        <v>01/2026</v>
      </c>
      <c r="P2276" s="10" t="str">
        <f t="shared" si="121"/>
        <v>01/2026</v>
      </c>
      <c r="Q2276" s="15" t="str">
        <f t="array" ref="Q2276">IFERROR(XLOOKUP(N2276,'Classificação'!A:A,'Classificação'!B:B),"")</f>
        <v>DESPESAS COM PESSOAL</v>
      </c>
      <c r="R2276" s="15" t="str">
        <f t="array" ref="R2276">IFERROR(XLOOKUP(Q2276,'Classificação'!B:B,'Classificação'!C:C),"")</f>
        <v>DESPESAS FIXAS (-)</v>
      </c>
      <c r="S2276" s="15">
        <f t="shared" si="131"/>
        <v>19</v>
      </c>
      <c r="T2276" s="15">
        <f t="shared" si="128"/>
        <v>1</v>
      </c>
      <c r="U2276" s="15">
        <f t="shared" si="129"/>
        <v>2026</v>
      </c>
      <c r="V2276" s="15">
        <f t="shared" si="8"/>
        <v>19</v>
      </c>
      <c r="W2276" s="15">
        <f t="shared" si="9"/>
        <v>1</v>
      </c>
      <c r="X2276" s="15">
        <f t="shared" si="10"/>
        <v>2026</v>
      </c>
    </row>
    <row r="2277">
      <c r="A2277" s="26">
        <v>46041.0</v>
      </c>
      <c r="B2277" s="28"/>
      <c r="C2277" s="27">
        <f t="shared" si="90"/>
        <v>46041</v>
      </c>
      <c r="D2277" s="28" t="s">
        <v>31</v>
      </c>
      <c r="E2277" s="29" t="s">
        <v>25</v>
      </c>
      <c r="F2277" s="28" t="s">
        <v>26</v>
      </c>
      <c r="G2277" s="29" t="s">
        <v>27</v>
      </c>
      <c r="H2277" s="28" t="s">
        <v>1179</v>
      </c>
      <c r="I2277" s="33">
        <v>22835.1</v>
      </c>
      <c r="J2277" s="34"/>
      <c r="K2277" s="34">
        <f t="shared" ref="K2277:K2280" si="142">IF(E2277="pago",(I2277-J2277),"")</f>
        <v>22835.1</v>
      </c>
      <c r="L2277" s="28" t="s">
        <v>34</v>
      </c>
      <c r="M2277" s="28"/>
      <c r="N2277" s="28" t="s">
        <v>35</v>
      </c>
      <c r="O2277" s="10" t="str">
        <f t="shared" si="79"/>
        <v>01/2026</v>
      </c>
      <c r="P2277" s="10" t="str">
        <f t="shared" si="121"/>
        <v>01/2026</v>
      </c>
      <c r="Q2277" s="15" t="str">
        <f t="array" ref="Q2277">IFERROR(XLOOKUP(N2277,'Classificação'!A:A,'Classificação'!B:B),"")</f>
        <v>COMPRA DE MERCADORIA</v>
      </c>
      <c r="R2277" s="15" t="str">
        <f t="array" ref="R2277">IFERROR(XLOOKUP(Q2277,'Classificação'!B:B,'Classificação'!C:C),"")</f>
        <v>CUSTOS VARIÁVEIS</v>
      </c>
      <c r="S2277" s="15">
        <f t="shared" si="131"/>
        <v>19</v>
      </c>
      <c r="T2277" s="15">
        <f t="shared" si="128"/>
        <v>1</v>
      </c>
      <c r="U2277" s="15">
        <f t="shared" si="129"/>
        <v>2026</v>
      </c>
      <c r="V2277" s="15">
        <f t="shared" si="8"/>
        <v>19</v>
      </c>
      <c r="W2277" s="15">
        <f t="shared" si="9"/>
        <v>1</v>
      </c>
      <c r="X2277" s="15">
        <f t="shared" si="10"/>
        <v>2026</v>
      </c>
    </row>
    <row r="2278">
      <c r="A2278" s="26">
        <v>46041.0</v>
      </c>
      <c r="B2278" s="28"/>
      <c r="C2278" s="27">
        <f t="shared" si="90"/>
        <v>46041</v>
      </c>
      <c r="D2278" s="28" t="s">
        <v>123</v>
      </c>
      <c r="E2278" s="29" t="s">
        <v>25</v>
      </c>
      <c r="F2278" s="28" t="s">
        <v>40</v>
      </c>
      <c r="G2278" s="29" t="s">
        <v>37</v>
      </c>
      <c r="H2278" s="29" t="s">
        <v>1180</v>
      </c>
      <c r="I2278" s="24">
        <v>216.66</v>
      </c>
      <c r="J2278" s="34"/>
      <c r="K2278" s="37">
        <f t="shared" si="142"/>
        <v>216.66</v>
      </c>
      <c r="L2278" s="28" t="s">
        <v>29</v>
      </c>
      <c r="M2278" s="28"/>
      <c r="N2278" s="28" t="s">
        <v>123</v>
      </c>
      <c r="O2278" s="10" t="str">
        <f t="shared" si="79"/>
        <v>01/2026</v>
      </c>
      <c r="P2278" s="10" t="str">
        <f t="shared" si="121"/>
        <v>01/2026</v>
      </c>
      <c r="Q2278" s="15" t="str">
        <f t="array" ref="Q2278">IFERROR(XLOOKUP(N2278,'Classificação'!A:A,'Classificação'!B:B),"")</f>
        <v>DESPESAS COM PESSOAL</v>
      </c>
      <c r="R2278" s="15" t="str">
        <f t="array" ref="R2278">IFERROR(XLOOKUP(Q2278,'Classificação'!B:B,'Classificação'!C:C),"")</f>
        <v>DESPESAS FIXAS (-)</v>
      </c>
      <c r="S2278" s="15">
        <f t="shared" si="131"/>
        <v>19</v>
      </c>
      <c r="T2278" s="15">
        <f t="shared" si="128"/>
        <v>1</v>
      </c>
      <c r="U2278" s="15">
        <f t="shared" si="129"/>
        <v>2026</v>
      </c>
      <c r="V2278" s="15">
        <f t="shared" si="8"/>
        <v>19</v>
      </c>
      <c r="W2278" s="15">
        <f t="shared" si="9"/>
        <v>1</v>
      </c>
      <c r="X2278" s="15">
        <f t="shared" si="10"/>
        <v>2026</v>
      </c>
    </row>
    <row r="2279">
      <c r="A2279" s="26">
        <v>46041.0</v>
      </c>
      <c r="B2279" s="28"/>
      <c r="C2279" s="27">
        <f t="shared" si="90"/>
        <v>46041</v>
      </c>
      <c r="D2279" s="28" t="s">
        <v>36</v>
      </c>
      <c r="E2279" s="29" t="s">
        <v>25</v>
      </c>
      <c r="F2279" s="28" t="s">
        <v>26</v>
      </c>
      <c r="G2279" s="28" t="s">
        <v>37</v>
      </c>
      <c r="H2279" s="28"/>
      <c r="I2279" s="24">
        <v>5450.0</v>
      </c>
      <c r="J2279" s="34"/>
      <c r="K2279" s="37">
        <f t="shared" si="142"/>
        <v>5450</v>
      </c>
      <c r="L2279" s="28" t="s">
        <v>29</v>
      </c>
      <c r="M2279" s="28"/>
      <c r="N2279" s="28" t="s">
        <v>38</v>
      </c>
      <c r="O2279" s="10" t="str">
        <f t="shared" si="79"/>
        <v>01/2026</v>
      </c>
      <c r="P2279" s="10" t="str">
        <f t="shared" si="121"/>
        <v>01/2026</v>
      </c>
      <c r="Q2279" s="15" t="str">
        <f t="array" ref="Q2279">IFERROR(XLOOKUP(N2279,'Classificação'!A:A,'Classificação'!B:B),"")</f>
        <v>DESPESAS COM PESSOAL</v>
      </c>
      <c r="R2279" s="15" t="str">
        <f t="array" ref="R2279">IFERROR(XLOOKUP(Q2279,'Classificação'!B:B,'Classificação'!C:C),"")</f>
        <v>DESPESAS FIXAS (-)</v>
      </c>
      <c r="S2279" s="15">
        <f t="shared" si="131"/>
        <v>19</v>
      </c>
      <c r="T2279" s="15">
        <f t="shared" si="128"/>
        <v>1</v>
      </c>
      <c r="U2279" s="15">
        <f t="shared" si="129"/>
        <v>2026</v>
      </c>
      <c r="V2279" s="15">
        <f t="shared" si="8"/>
        <v>19</v>
      </c>
      <c r="W2279" s="15">
        <f t="shared" si="9"/>
        <v>1</v>
      </c>
      <c r="X2279" s="15">
        <f t="shared" si="10"/>
        <v>2026</v>
      </c>
    </row>
    <row r="2280">
      <c r="A2280" s="26">
        <v>46041.0</v>
      </c>
      <c r="B2280" s="28"/>
      <c r="C2280" s="27">
        <f t="shared" si="90"/>
        <v>46041</v>
      </c>
      <c r="D2280" s="28" t="s">
        <v>43</v>
      </c>
      <c r="E2280" s="29" t="s">
        <v>25</v>
      </c>
      <c r="F2280" s="28" t="s">
        <v>26</v>
      </c>
      <c r="G2280" s="28" t="s">
        <v>37</v>
      </c>
      <c r="H2280" s="28"/>
      <c r="I2280" s="24">
        <v>5450.0</v>
      </c>
      <c r="J2280" s="34"/>
      <c r="K2280" s="37">
        <f t="shared" si="142"/>
        <v>5450</v>
      </c>
      <c r="L2280" s="28" t="s">
        <v>29</v>
      </c>
      <c r="M2280" s="41"/>
      <c r="N2280" s="28" t="s">
        <v>38</v>
      </c>
      <c r="O2280" s="10" t="str">
        <f t="shared" si="79"/>
        <v>01/2026</v>
      </c>
      <c r="P2280" s="10" t="str">
        <f t="shared" si="121"/>
        <v>01/2026</v>
      </c>
      <c r="Q2280" s="15" t="str">
        <f t="array" ref="Q2280">IFERROR(XLOOKUP(N2280,'Classificação'!A:A,'Classificação'!B:B),"")</f>
        <v>DESPESAS COM PESSOAL</v>
      </c>
      <c r="R2280" s="15" t="str">
        <f t="array" ref="R2280">IFERROR(XLOOKUP(Q2280,'Classificação'!B:B,'Classificação'!C:C),"")</f>
        <v>DESPESAS FIXAS (-)</v>
      </c>
      <c r="S2280" s="15">
        <f t="shared" si="131"/>
        <v>19</v>
      </c>
      <c r="T2280" s="15">
        <f t="shared" si="128"/>
        <v>1</v>
      </c>
      <c r="U2280" s="15">
        <f t="shared" si="129"/>
        <v>2026</v>
      </c>
      <c r="V2280" s="15">
        <f t="shared" si="8"/>
        <v>19</v>
      </c>
      <c r="W2280" s="15">
        <f t="shared" si="9"/>
        <v>1</v>
      </c>
      <c r="X2280" s="15">
        <f t="shared" si="10"/>
        <v>2026</v>
      </c>
    </row>
    <row r="2281">
      <c r="A2281" s="9">
        <v>46042.0</v>
      </c>
      <c r="B2281" s="9">
        <v>45837.0</v>
      </c>
      <c r="C2281" s="9">
        <f t="shared" si="90"/>
        <v>46042</v>
      </c>
      <c r="D2281" s="11" t="s">
        <v>65</v>
      </c>
      <c r="E2281" s="11" t="s">
        <v>25</v>
      </c>
      <c r="F2281" s="11" t="s">
        <v>107</v>
      </c>
      <c r="G2281" s="11" t="s">
        <v>27</v>
      </c>
      <c r="H2281" s="11" t="s">
        <v>874</v>
      </c>
      <c r="I2281" s="31">
        <v>51.06</v>
      </c>
      <c r="J2281" s="13"/>
      <c r="K2281" s="13">
        <f t="shared" ref="K2281:K2296" si="143">if(E2281="pago",(I2281-J2281),"")</f>
        <v>51.06</v>
      </c>
      <c r="L2281" s="11" t="s">
        <v>53</v>
      </c>
      <c r="M2281" s="17">
        <v>45998.0</v>
      </c>
      <c r="N2281" s="11" t="s">
        <v>95</v>
      </c>
      <c r="O2281" s="10" t="str">
        <f t="shared" si="79"/>
        <v>01/2026</v>
      </c>
      <c r="P2281" s="10" t="str">
        <f t="shared" si="121"/>
        <v>01/2026</v>
      </c>
      <c r="Q2281" s="15" t="str">
        <f t="array" ref="Q2281">IFERROR(XLOOKUP(N2281,'Classificação'!A:A,'Classificação'!B:B),"")</f>
        <v>DESPESAS NÃO OPERACIONAIS</v>
      </c>
      <c r="R2281" s="15" t="str">
        <f t="array" ref="R2281">IFERROR(XLOOKUP(Q2281,'Classificação'!B:B,'Classificação'!C:C),"")</f>
        <v>RESULTADO NÃO OPERACIONAL (+/-)</v>
      </c>
      <c r="S2281" s="15">
        <f t="shared" si="131"/>
        <v>20</v>
      </c>
      <c r="T2281" s="15">
        <f t="shared" si="128"/>
        <v>1</v>
      </c>
      <c r="U2281" s="15">
        <f t="shared" si="129"/>
        <v>2026</v>
      </c>
      <c r="V2281" s="15">
        <f t="shared" si="8"/>
        <v>20</v>
      </c>
      <c r="W2281" s="15">
        <f t="shared" si="9"/>
        <v>1</v>
      </c>
      <c r="X2281" s="15">
        <f t="shared" si="10"/>
        <v>2026</v>
      </c>
    </row>
    <row r="2282">
      <c r="A2282" s="9">
        <v>46042.0</v>
      </c>
      <c r="B2282" s="32">
        <v>46007.0</v>
      </c>
      <c r="C2282" s="9">
        <f t="shared" si="90"/>
        <v>46042</v>
      </c>
      <c r="D2282" s="11" t="s">
        <v>1181</v>
      </c>
      <c r="E2282" s="11" t="s">
        <v>25</v>
      </c>
      <c r="F2282" s="11" t="s">
        <v>107</v>
      </c>
      <c r="G2282" s="28" t="s">
        <v>27</v>
      </c>
      <c r="H2282" s="11" t="s">
        <v>1182</v>
      </c>
      <c r="I2282" s="31">
        <v>40.41</v>
      </c>
      <c r="J2282" s="13"/>
      <c r="K2282" s="13">
        <f t="shared" si="143"/>
        <v>40.41</v>
      </c>
      <c r="L2282" s="11" t="s">
        <v>29</v>
      </c>
      <c r="M2282" s="14"/>
      <c r="N2282" s="11" t="s">
        <v>105</v>
      </c>
      <c r="O2282" s="10" t="str">
        <f t="shared" si="79"/>
        <v>01/2026</v>
      </c>
      <c r="P2282" s="10" t="str">
        <f t="shared" si="121"/>
        <v>01/2026</v>
      </c>
      <c r="Q2282" s="15" t="str">
        <f t="array" ref="Q2282">IFERROR(XLOOKUP(N2282,'Classificação'!A:A,'Classificação'!B:B),"")</f>
        <v>DESPESAS ADMINISTRATIVAS</v>
      </c>
      <c r="R2282" s="15" t="str">
        <f t="array" ref="R2282">IFERROR(XLOOKUP(Q2282,'Classificação'!B:B,'Classificação'!C:C),"")</f>
        <v>DESPESAS FIXAS (-)</v>
      </c>
      <c r="S2282" s="15">
        <f t="shared" si="131"/>
        <v>20</v>
      </c>
      <c r="T2282" s="15">
        <f t="shared" si="128"/>
        <v>1</v>
      </c>
      <c r="U2282" s="15">
        <f t="shared" si="129"/>
        <v>2026</v>
      </c>
      <c r="V2282" s="15">
        <f t="shared" si="8"/>
        <v>20</v>
      </c>
      <c r="W2282" s="15">
        <f t="shared" si="9"/>
        <v>1</v>
      </c>
      <c r="X2282" s="15">
        <f t="shared" si="10"/>
        <v>2026</v>
      </c>
    </row>
    <row r="2283">
      <c r="A2283" s="9">
        <v>46042.0</v>
      </c>
      <c r="B2283" s="9">
        <v>45737.0</v>
      </c>
      <c r="C2283" s="9">
        <f t="shared" si="90"/>
        <v>46042</v>
      </c>
      <c r="D2283" s="11" t="s">
        <v>65</v>
      </c>
      <c r="E2283" s="11" t="s">
        <v>25</v>
      </c>
      <c r="F2283" s="11" t="s">
        <v>110</v>
      </c>
      <c r="G2283" s="11" t="s">
        <v>27</v>
      </c>
      <c r="H2283" s="11" t="s">
        <v>681</v>
      </c>
      <c r="I2283" s="12">
        <v>47.2</v>
      </c>
      <c r="J2283" s="13"/>
      <c r="K2283" s="13">
        <f t="shared" si="143"/>
        <v>47.2</v>
      </c>
      <c r="L2283" s="11" t="s">
        <v>53</v>
      </c>
      <c r="M2283" s="17">
        <v>46001.0</v>
      </c>
      <c r="N2283" s="11" t="s">
        <v>95</v>
      </c>
      <c r="O2283" s="10" t="str">
        <f t="shared" si="79"/>
        <v>01/2026</v>
      </c>
      <c r="P2283" s="10" t="str">
        <f t="shared" si="121"/>
        <v>01/2026</v>
      </c>
      <c r="Q2283" s="15" t="str">
        <f t="array" ref="Q2283">IFERROR(XLOOKUP(N2283,'Classificação'!A:A,'Classificação'!B:B),"")</f>
        <v>DESPESAS NÃO OPERACIONAIS</v>
      </c>
      <c r="R2283" s="15" t="str">
        <f t="array" ref="R2283">IFERROR(XLOOKUP(Q2283,'Classificação'!B:B,'Classificação'!C:C),"")</f>
        <v>RESULTADO NÃO OPERACIONAL (+/-)</v>
      </c>
      <c r="S2283" s="15">
        <f t="shared" si="131"/>
        <v>20</v>
      </c>
      <c r="T2283" s="15">
        <f t="shared" si="128"/>
        <v>1</v>
      </c>
      <c r="U2283" s="15">
        <f t="shared" si="129"/>
        <v>2026</v>
      </c>
      <c r="V2283" s="15">
        <f t="shared" si="8"/>
        <v>20</v>
      </c>
      <c r="W2283" s="15">
        <f t="shared" si="9"/>
        <v>1</v>
      </c>
      <c r="X2283" s="15">
        <f t="shared" si="10"/>
        <v>2026</v>
      </c>
    </row>
    <row r="2284">
      <c r="A2284" s="9">
        <v>46042.0</v>
      </c>
      <c r="B2284" s="9">
        <v>45737.0</v>
      </c>
      <c r="C2284" s="9">
        <f t="shared" si="90"/>
        <v>46042</v>
      </c>
      <c r="D2284" s="11" t="s">
        <v>65</v>
      </c>
      <c r="E2284" s="11" t="s">
        <v>25</v>
      </c>
      <c r="F2284" s="11" t="s">
        <v>110</v>
      </c>
      <c r="G2284" s="11" t="s">
        <v>27</v>
      </c>
      <c r="H2284" s="11" t="s">
        <v>682</v>
      </c>
      <c r="I2284" s="12">
        <v>82.27</v>
      </c>
      <c r="J2284" s="13"/>
      <c r="K2284" s="13">
        <f t="shared" si="143"/>
        <v>82.27</v>
      </c>
      <c r="L2284" s="11" t="s">
        <v>53</v>
      </c>
      <c r="M2284" s="17">
        <v>45940.0</v>
      </c>
      <c r="N2284" s="11" t="s">
        <v>95</v>
      </c>
      <c r="O2284" s="10" t="str">
        <f t="shared" si="79"/>
        <v>01/2026</v>
      </c>
      <c r="P2284" s="10" t="str">
        <f t="shared" si="121"/>
        <v>01/2026</v>
      </c>
      <c r="Q2284" s="15" t="str">
        <f t="array" ref="Q2284">IFERROR(XLOOKUP(N2284,'Classificação'!A:A,'Classificação'!B:B),"")</f>
        <v>DESPESAS NÃO OPERACIONAIS</v>
      </c>
      <c r="R2284" s="15" t="str">
        <f t="array" ref="R2284">IFERROR(XLOOKUP(Q2284,'Classificação'!B:B,'Classificação'!C:C),"")</f>
        <v>RESULTADO NÃO OPERACIONAL (+/-)</v>
      </c>
      <c r="S2284" s="15">
        <f t="shared" si="131"/>
        <v>20</v>
      </c>
      <c r="T2284" s="15">
        <f t="shared" si="128"/>
        <v>1</v>
      </c>
      <c r="U2284" s="15">
        <f t="shared" si="129"/>
        <v>2026</v>
      </c>
      <c r="V2284" s="15">
        <f t="shared" si="8"/>
        <v>20</v>
      </c>
      <c r="W2284" s="15">
        <f t="shared" si="9"/>
        <v>1</v>
      </c>
      <c r="X2284" s="15">
        <f t="shared" si="10"/>
        <v>2026</v>
      </c>
    </row>
    <row r="2285">
      <c r="A2285" s="9">
        <v>46042.0</v>
      </c>
      <c r="B2285" s="32">
        <v>45940.0</v>
      </c>
      <c r="C2285" s="9">
        <f t="shared" si="90"/>
        <v>46042</v>
      </c>
      <c r="D2285" s="11" t="s">
        <v>65</v>
      </c>
      <c r="E2285" s="11" t="s">
        <v>25</v>
      </c>
      <c r="F2285" s="11" t="s">
        <v>107</v>
      </c>
      <c r="G2285" s="28" t="s">
        <v>27</v>
      </c>
      <c r="H2285" s="11" t="s">
        <v>259</v>
      </c>
      <c r="I2285" s="31">
        <v>425.02</v>
      </c>
      <c r="J2285" s="13"/>
      <c r="K2285" s="13">
        <f t="shared" si="143"/>
        <v>425.02</v>
      </c>
      <c r="L2285" s="11" t="s">
        <v>53</v>
      </c>
      <c r="M2285" s="17">
        <v>45719.0</v>
      </c>
      <c r="N2285" s="11" t="s">
        <v>143</v>
      </c>
      <c r="O2285" s="10" t="str">
        <f t="shared" si="79"/>
        <v>01/2026</v>
      </c>
      <c r="P2285" s="10" t="str">
        <f t="shared" si="121"/>
        <v>01/2026</v>
      </c>
      <c r="Q2285" s="15" t="str">
        <f t="array" ref="Q2285">IFERROR(XLOOKUP(N2285,'Classificação'!A:A,'Classificação'!B:B),"")</f>
        <v>EMBALAGENS/FITAS/GERAL</v>
      </c>
      <c r="R2285" s="15" t="str">
        <f t="array" ref="R2285">IFERROR(XLOOKUP(Q2285,'Classificação'!B:B,'Classificação'!C:C),"")</f>
        <v>CUSTOS VARIÁVEIS</v>
      </c>
      <c r="S2285" s="15">
        <f t="shared" si="131"/>
        <v>20</v>
      </c>
      <c r="T2285" s="15">
        <f t="shared" si="128"/>
        <v>1</v>
      </c>
      <c r="U2285" s="15">
        <f t="shared" si="129"/>
        <v>2026</v>
      </c>
      <c r="V2285" s="15">
        <f t="shared" si="8"/>
        <v>20</v>
      </c>
      <c r="W2285" s="15">
        <f t="shared" si="9"/>
        <v>1</v>
      </c>
      <c r="X2285" s="15">
        <f t="shared" si="10"/>
        <v>2026</v>
      </c>
    </row>
    <row r="2286">
      <c r="A2286" s="9">
        <v>46042.0</v>
      </c>
      <c r="B2286" s="32">
        <v>45940.0</v>
      </c>
      <c r="C2286" s="9">
        <f t="shared" si="90"/>
        <v>46042</v>
      </c>
      <c r="D2286" s="11" t="s">
        <v>65</v>
      </c>
      <c r="E2286" s="11" t="s">
        <v>25</v>
      </c>
      <c r="F2286" s="11" t="s">
        <v>107</v>
      </c>
      <c r="G2286" s="28" t="s">
        <v>27</v>
      </c>
      <c r="H2286" s="11" t="s">
        <v>259</v>
      </c>
      <c r="I2286" s="31">
        <v>419.4</v>
      </c>
      <c r="J2286" s="13"/>
      <c r="K2286" s="13">
        <f t="shared" si="143"/>
        <v>419.4</v>
      </c>
      <c r="L2286" s="11" t="s">
        <v>53</v>
      </c>
      <c r="M2286" s="17">
        <v>45719.0</v>
      </c>
      <c r="N2286" s="11" t="s">
        <v>143</v>
      </c>
      <c r="O2286" s="10" t="str">
        <f t="shared" si="79"/>
        <v>01/2026</v>
      </c>
      <c r="P2286" s="10" t="str">
        <f t="shared" si="121"/>
        <v>01/2026</v>
      </c>
      <c r="Q2286" s="15" t="str">
        <f t="array" ref="Q2286">IFERROR(XLOOKUP(N2286,'Classificação'!A:A,'Classificação'!B:B),"")</f>
        <v>EMBALAGENS/FITAS/GERAL</v>
      </c>
      <c r="R2286" s="15" t="str">
        <f t="array" ref="R2286">IFERROR(XLOOKUP(Q2286,'Classificação'!B:B,'Classificação'!C:C),"")</f>
        <v>CUSTOS VARIÁVEIS</v>
      </c>
      <c r="S2286" s="15">
        <f t="shared" si="131"/>
        <v>20</v>
      </c>
      <c r="T2286" s="15">
        <f t="shared" si="128"/>
        <v>1</v>
      </c>
      <c r="U2286" s="15">
        <f t="shared" si="129"/>
        <v>2026</v>
      </c>
      <c r="V2286" s="15">
        <f t="shared" si="8"/>
        <v>20</v>
      </c>
      <c r="W2286" s="15">
        <f t="shared" si="9"/>
        <v>1</v>
      </c>
      <c r="X2286" s="15">
        <f t="shared" si="10"/>
        <v>2026</v>
      </c>
    </row>
    <row r="2287">
      <c r="A2287" s="9">
        <v>46042.0</v>
      </c>
      <c r="B2287" s="9">
        <v>45776.0</v>
      </c>
      <c r="C2287" s="9">
        <f t="shared" si="90"/>
        <v>46042</v>
      </c>
      <c r="D2287" s="11" t="s">
        <v>65</v>
      </c>
      <c r="E2287" s="11" t="s">
        <v>25</v>
      </c>
      <c r="F2287" s="11" t="s">
        <v>110</v>
      </c>
      <c r="G2287" s="11" t="s">
        <v>27</v>
      </c>
      <c r="H2287" s="11" t="s">
        <v>752</v>
      </c>
      <c r="I2287" s="12">
        <v>98.4</v>
      </c>
      <c r="J2287" s="13"/>
      <c r="K2287" s="13">
        <f t="shared" si="143"/>
        <v>98.4</v>
      </c>
      <c r="L2287" s="11" t="s">
        <v>53</v>
      </c>
      <c r="M2287" s="17">
        <v>45939.0</v>
      </c>
      <c r="N2287" s="11" t="s">
        <v>58</v>
      </c>
      <c r="O2287" s="10" t="str">
        <f t="shared" si="79"/>
        <v>01/2026</v>
      </c>
      <c r="P2287" s="10" t="str">
        <f t="shared" si="121"/>
        <v>01/2026</v>
      </c>
      <c r="Q2287" s="15" t="str">
        <f t="array" ref="Q2287">IFERROR(XLOOKUP(N2287,'Classificação'!A:A,'Classificação'!B:B),"")</f>
        <v>DESPESAS ADMINISTRATIVAS</v>
      </c>
      <c r="R2287" s="15" t="str">
        <f t="array" ref="R2287">IFERROR(XLOOKUP(Q2287,'Classificação'!B:B,'Classificação'!C:C),"")</f>
        <v>DESPESAS FIXAS (-)</v>
      </c>
      <c r="S2287" s="15">
        <f t="shared" si="131"/>
        <v>20</v>
      </c>
      <c r="T2287" s="15">
        <f t="shared" si="128"/>
        <v>1</v>
      </c>
      <c r="U2287" s="15">
        <f t="shared" si="129"/>
        <v>2026</v>
      </c>
      <c r="V2287" s="15">
        <f t="shared" si="8"/>
        <v>20</v>
      </c>
      <c r="W2287" s="15">
        <f t="shared" si="9"/>
        <v>1</v>
      </c>
      <c r="X2287" s="15">
        <f t="shared" si="10"/>
        <v>2026</v>
      </c>
    </row>
    <row r="2288">
      <c r="A2288" s="9">
        <v>46042.0</v>
      </c>
      <c r="B2288" s="27">
        <v>45995.0</v>
      </c>
      <c r="C2288" s="9">
        <f t="shared" si="90"/>
        <v>46042</v>
      </c>
      <c r="D2288" s="11" t="s">
        <v>65</v>
      </c>
      <c r="E2288" s="11" t="s">
        <v>25</v>
      </c>
      <c r="F2288" s="11" t="s">
        <v>107</v>
      </c>
      <c r="G2288" s="28" t="s">
        <v>27</v>
      </c>
      <c r="H2288" s="11" t="s">
        <v>1135</v>
      </c>
      <c r="I2288" s="31">
        <v>757.72</v>
      </c>
      <c r="J2288" s="13"/>
      <c r="K2288" s="13">
        <f t="shared" si="143"/>
        <v>757.72</v>
      </c>
      <c r="L2288" s="11" t="s">
        <v>53</v>
      </c>
      <c r="M2288" s="17">
        <v>45690.0</v>
      </c>
      <c r="N2288" s="11" t="s">
        <v>143</v>
      </c>
      <c r="O2288" s="10" t="str">
        <f t="shared" si="79"/>
        <v>01/2026</v>
      </c>
      <c r="P2288" s="10" t="str">
        <f t="shared" si="121"/>
        <v>01/2026</v>
      </c>
      <c r="Q2288" s="15" t="str">
        <f t="array" ref="Q2288">IFERROR(XLOOKUP(N2288,'Classificação'!A:A,'Classificação'!B:B),"")</f>
        <v>EMBALAGENS/FITAS/GERAL</v>
      </c>
      <c r="R2288" s="15" t="str">
        <f t="array" ref="R2288">IFERROR(XLOOKUP(Q2288,'Classificação'!B:B,'Classificação'!C:C),"")</f>
        <v>CUSTOS VARIÁVEIS</v>
      </c>
      <c r="S2288" s="15">
        <f t="shared" si="131"/>
        <v>20</v>
      </c>
      <c r="T2288" s="15">
        <f t="shared" si="128"/>
        <v>1</v>
      </c>
      <c r="U2288" s="15">
        <f t="shared" si="129"/>
        <v>2026</v>
      </c>
      <c r="V2288" s="15">
        <f t="shared" si="8"/>
        <v>20</v>
      </c>
      <c r="W2288" s="15">
        <f t="shared" si="9"/>
        <v>1</v>
      </c>
      <c r="X2288" s="15">
        <f t="shared" si="10"/>
        <v>2026</v>
      </c>
    </row>
    <row r="2289">
      <c r="A2289" s="9">
        <v>46042.0</v>
      </c>
      <c r="B2289" s="32">
        <v>46004.0</v>
      </c>
      <c r="C2289" s="9">
        <f t="shared" si="90"/>
        <v>46042</v>
      </c>
      <c r="D2289" s="11" t="s">
        <v>65</v>
      </c>
      <c r="E2289" s="11" t="s">
        <v>25</v>
      </c>
      <c r="F2289" s="11" t="s">
        <v>107</v>
      </c>
      <c r="G2289" s="28" t="s">
        <v>27</v>
      </c>
      <c r="H2289" s="11" t="s">
        <v>1183</v>
      </c>
      <c r="I2289" s="31">
        <v>212.27</v>
      </c>
      <c r="J2289" s="13"/>
      <c r="K2289" s="13">
        <f t="shared" si="143"/>
        <v>212.27</v>
      </c>
      <c r="L2289" s="11" t="s">
        <v>34</v>
      </c>
      <c r="M2289" s="14"/>
      <c r="N2289" s="11" t="s">
        <v>259</v>
      </c>
      <c r="O2289" s="10" t="str">
        <f t="shared" si="79"/>
        <v>01/2026</v>
      </c>
      <c r="P2289" s="10" t="str">
        <f t="shared" si="121"/>
        <v>01/2026</v>
      </c>
      <c r="Q2289" s="15" t="str">
        <f t="array" ref="Q2289">IFERROR(XLOOKUP(N2289,'Classificação'!A:A,'Classificação'!B:B),"")</f>
        <v>DESPESAS ADMINISTRATIVAS</v>
      </c>
      <c r="R2289" s="15" t="str">
        <f t="array" ref="R2289">IFERROR(XLOOKUP(Q2289,'Classificação'!B:B,'Classificação'!C:C),"")</f>
        <v>DESPESAS FIXAS (-)</v>
      </c>
      <c r="S2289" s="15">
        <f t="shared" si="131"/>
        <v>20</v>
      </c>
      <c r="T2289" s="15">
        <f t="shared" si="128"/>
        <v>1</v>
      </c>
      <c r="U2289" s="15">
        <f t="shared" si="129"/>
        <v>2026</v>
      </c>
      <c r="V2289" s="15">
        <f t="shared" si="8"/>
        <v>20</v>
      </c>
      <c r="W2289" s="15">
        <f t="shared" si="9"/>
        <v>1</v>
      </c>
      <c r="X2289" s="15">
        <f t="shared" si="10"/>
        <v>2026</v>
      </c>
    </row>
    <row r="2290">
      <c r="A2290" s="9">
        <v>46042.0</v>
      </c>
      <c r="B2290" s="32">
        <v>45944.0</v>
      </c>
      <c r="C2290" s="9">
        <f t="shared" si="90"/>
        <v>46042</v>
      </c>
      <c r="D2290" s="11" t="s">
        <v>65</v>
      </c>
      <c r="E2290" s="11" t="s">
        <v>25</v>
      </c>
      <c r="F2290" s="11" t="s">
        <v>107</v>
      </c>
      <c r="G2290" s="28" t="s">
        <v>27</v>
      </c>
      <c r="H2290" s="11" t="s">
        <v>1067</v>
      </c>
      <c r="I2290" s="31">
        <v>45.0</v>
      </c>
      <c r="J2290" s="13"/>
      <c r="K2290" s="13">
        <f t="shared" si="143"/>
        <v>45</v>
      </c>
      <c r="L2290" s="11" t="s">
        <v>53</v>
      </c>
      <c r="M2290" s="17">
        <v>45750.0</v>
      </c>
      <c r="N2290" s="11" t="s">
        <v>95</v>
      </c>
      <c r="O2290" s="10" t="str">
        <f t="shared" si="79"/>
        <v>01/2026</v>
      </c>
      <c r="P2290" s="10" t="str">
        <f t="shared" si="121"/>
        <v>01/2026</v>
      </c>
      <c r="Q2290" s="15" t="str">
        <f t="array" ref="Q2290">IFERROR(XLOOKUP(N2290,'Classificação'!A:A,'Classificação'!B:B),"")</f>
        <v>DESPESAS NÃO OPERACIONAIS</v>
      </c>
      <c r="R2290" s="15" t="str">
        <f t="array" ref="R2290">IFERROR(XLOOKUP(Q2290,'Classificação'!B:B,'Classificação'!C:C),"")</f>
        <v>RESULTADO NÃO OPERACIONAL (+/-)</v>
      </c>
      <c r="S2290" s="15">
        <f t="shared" si="131"/>
        <v>20</v>
      </c>
      <c r="T2290" s="15">
        <f t="shared" si="128"/>
        <v>1</v>
      </c>
      <c r="U2290" s="15">
        <f t="shared" si="129"/>
        <v>2026</v>
      </c>
      <c r="V2290" s="15">
        <f t="shared" si="8"/>
        <v>20</v>
      </c>
      <c r="W2290" s="15">
        <f t="shared" si="9"/>
        <v>1</v>
      </c>
      <c r="X2290" s="15">
        <f t="shared" si="10"/>
        <v>2026</v>
      </c>
    </row>
    <row r="2291">
      <c r="A2291" s="9">
        <v>46042.0</v>
      </c>
      <c r="B2291" s="9">
        <v>45747.0</v>
      </c>
      <c r="C2291" s="9">
        <f t="shared" si="90"/>
        <v>46042</v>
      </c>
      <c r="D2291" s="11" t="s">
        <v>691</v>
      </c>
      <c r="E2291" s="11" t="s">
        <v>25</v>
      </c>
      <c r="F2291" s="11" t="s">
        <v>107</v>
      </c>
      <c r="G2291" s="11" t="s">
        <v>27</v>
      </c>
      <c r="H2291" s="11" t="s">
        <v>692</v>
      </c>
      <c r="I2291" s="31">
        <v>98.93</v>
      </c>
      <c r="J2291" s="13"/>
      <c r="K2291" s="13">
        <f t="shared" si="143"/>
        <v>98.93</v>
      </c>
      <c r="L2291" s="11" t="s">
        <v>53</v>
      </c>
      <c r="M2291" s="17">
        <v>46001.0</v>
      </c>
      <c r="N2291" s="11" t="s">
        <v>693</v>
      </c>
      <c r="O2291" s="10" t="str">
        <f t="shared" si="79"/>
        <v>01/2026</v>
      </c>
      <c r="P2291" s="10" t="str">
        <f t="shared" si="121"/>
        <v>01/2026</v>
      </c>
      <c r="Q2291" s="15" t="str">
        <f t="array" ref="Q2291">IFERROR(XLOOKUP(N2291,'Classificação'!A:A,'Classificação'!B:B),"")</f>
        <v>DESPESAS COM OCUPAÇÃO</v>
      </c>
      <c r="R2291" s="15" t="str">
        <f t="array" ref="R2291">IFERROR(XLOOKUP(Q2291,'Classificação'!B:B,'Classificação'!C:C),"")</f>
        <v>DESPESAS FIXAS (-)</v>
      </c>
      <c r="S2291" s="15">
        <f t="shared" si="131"/>
        <v>20</v>
      </c>
      <c r="T2291" s="15">
        <f t="shared" si="128"/>
        <v>1</v>
      </c>
      <c r="U2291" s="15">
        <f t="shared" si="129"/>
        <v>2026</v>
      </c>
      <c r="V2291" s="15">
        <f t="shared" si="8"/>
        <v>20</v>
      </c>
      <c r="W2291" s="15">
        <f t="shared" si="9"/>
        <v>1</v>
      </c>
      <c r="X2291" s="15">
        <f t="shared" si="10"/>
        <v>2026</v>
      </c>
    </row>
    <row r="2292">
      <c r="A2292" s="9">
        <v>46042.0</v>
      </c>
      <c r="B2292" s="9">
        <v>45754.0</v>
      </c>
      <c r="C2292" s="9">
        <f t="shared" si="90"/>
        <v>46042</v>
      </c>
      <c r="D2292" s="11" t="s">
        <v>699</v>
      </c>
      <c r="E2292" s="11" t="s">
        <v>25</v>
      </c>
      <c r="F2292" s="11" t="s">
        <v>107</v>
      </c>
      <c r="G2292" s="11" t="s">
        <v>27</v>
      </c>
      <c r="H2292" s="11" t="s">
        <v>700</v>
      </c>
      <c r="I2292" s="31">
        <v>57.0</v>
      </c>
      <c r="J2292" s="13"/>
      <c r="K2292" s="13">
        <f t="shared" si="143"/>
        <v>57</v>
      </c>
      <c r="L2292" s="11" t="s">
        <v>53</v>
      </c>
      <c r="M2292" s="17">
        <v>45939.0</v>
      </c>
      <c r="N2292" s="11" t="s">
        <v>95</v>
      </c>
      <c r="O2292" s="10" t="str">
        <f t="shared" si="79"/>
        <v>01/2026</v>
      </c>
      <c r="P2292" s="10" t="str">
        <f t="shared" si="121"/>
        <v>01/2026</v>
      </c>
      <c r="Q2292" s="15" t="str">
        <f t="array" ref="Q2292">IFERROR(XLOOKUP(N2292,'Classificação'!A:A,'Classificação'!B:B),"")</f>
        <v>DESPESAS NÃO OPERACIONAIS</v>
      </c>
      <c r="R2292" s="15" t="str">
        <f t="array" ref="R2292">IFERROR(XLOOKUP(Q2292,'Classificação'!B:B,'Classificação'!C:C),"")</f>
        <v>RESULTADO NÃO OPERACIONAL (+/-)</v>
      </c>
      <c r="S2292" s="15">
        <f t="shared" si="131"/>
        <v>20</v>
      </c>
      <c r="T2292" s="15">
        <f t="shared" si="128"/>
        <v>1</v>
      </c>
      <c r="U2292" s="15">
        <f t="shared" si="129"/>
        <v>2026</v>
      </c>
      <c r="V2292" s="15">
        <f t="shared" si="8"/>
        <v>20</v>
      </c>
      <c r="W2292" s="15">
        <f t="shared" si="9"/>
        <v>1</v>
      </c>
      <c r="X2292" s="15">
        <f t="shared" si="10"/>
        <v>2026</v>
      </c>
    </row>
    <row r="2293">
      <c r="A2293" s="9">
        <v>46042.0</v>
      </c>
      <c r="B2293" s="9">
        <v>45757.0</v>
      </c>
      <c r="C2293" s="9">
        <f t="shared" si="90"/>
        <v>46042</v>
      </c>
      <c r="D2293" s="11" t="s">
        <v>65</v>
      </c>
      <c r="E2293" s="11" t="s">
        <v>25</v>
      </c>
      <c r="F2293" s="11" t="s">
        <v>107</v>
      </c>
      <c r="G2293" s="11" t="s">
        <v>27</v>
      </c>
      <c r="H2293" s="11" t="s">
        <v>681</v>
      </c>
      <c r="I2293" s="31">
        <v>47.73</v>
      </c>
      <c r="J2293" s="13"/>
      <c r="K2293" s="13">
        <f t="shared" si="143"/>
        <v>47.73</v>
      </c>
      <c r="L2293" s="11" t="s">
        <v>53</v>
      </c>
      <c r="M2293" s="17">
        <v>46000.0</v>
      </c>
      <c r="N2293" s="11" t="s">
        <v>95</v>
      </c>
      <c r="O2293" s="10" t="str">
        <f t="shared" si="79"/>
        <v>01/2026</v>
      </c>
      <c r="P2293" s="10" t="str">
        <f t="shared" si="121"/>
        <v>01/2026</v>
      </c>
      <c r="Q2293" s="15" t="str">
        <f t="array" ref="Q2293">IFERROR(XLOOKUP(N2293,'Classificação'!A:A,'Classificação'!B:B),"")</f>
        <v>DESPESAS NÃO OPERACIONAIS</v>
      </c>
      <c r="R2293" s="15" t="str">
        <f t="array" ref="R2293">IFERROR(XLOOKUP(Q2293,'Classificação'!B:B,'Classificação'!C:C),"")</f>
        <v>RESULTADO NÃO OPERACIONAL (+/-)</v>
      </c>
      <c r="S2293" s="15">
        <f t="shared" si="131"/>
        <v>20</v>
      </c>
      <c r="T2293" s="15">
        <f t="shared" si="128"/>
        <v>1</v>
      </c>
      <c r="U2293" s="15">
        <f t="shared" si="129"/>
        <v>2026</v>
      </c>
      <c r="V2293" s="15">
        <f t="shared" si="8"/>
        <v>20</v>
      </c>
      <c r="W2293" s="15">
        <f t="shared" si="9"/>
        <v>1</v>
      </c>
      <c r="X2293" s="15">
        <f t="shared" si="10"/>
        <v>2026</v>
      </c>
    </row>
    <row r="2294">
      <c r="A2294" s="27">
        <v>46042.0</v>
      </c>
      <c r="B2294" s="9">
        <v>45757.0</v>
      </c>
      <c r="C2294" s="9">
        <f t="shared" si="90"/>
        <v>46042</v>
      </c>
      <c r="D2294" s="11" t="s">
        <v>65</v>
      </c>
      <c r="E2294" s="11" t="s">
        <v>25</v>
      </c>
      <c r="F2294" s="11" t="s">
        <v>107</v>
      </c>
      <c r="G2294" s="11" t="s">
        <v>27</v>
      </c>
      <c r="H2294" s="11" t="s">
        <v>739</v>
      </c>
      <c r="I2294" s="31">
        <v>48.17</v>
      </c>
      <c r="J2294" s="13"/>
      <c r="K2294" s="13">
        <f t="shared" si="143"/>
        <v>48.17</v>
      </c>
      <c r="L2294" s="11" t="s">
        <v>53</v>
      </c>
      <c r="M2294" s="17">
        <v>45970.0</v>
      </c>
      <c r="N2294" s="11" t="s">
        <v>95</v>
      </c>
      <c r="O2294" s="10" t="str">
        <f t="shared" si="79"/>
        <v>01/2026</v>
      </c>
      <c r="P2294" s="10" t="str">
        <f t="shared" si="121"/>
        <v>01/2026</v>
      </c>
      <c r="Q2294" s="15" t="str">
        <f t="array" ref="Q2294">IFERROR(XLOOKUP(N2294,'Classificação'!A:A,'Classificação'!B:B),"")</f>
        <v>DESPESAS NÃO OPERACIONAIS</v>
      </c>
      <c r="R2294" s="15" t="str">
        <f t="array" ref="R2294">IFERROR(XLOOKUP(Q2294,'Classificação'!B:B,'Classificação'!C:C),"")</f>
        <v>RESULTADO NÃO OPERACIONAL (+/-)</v>
      </c>
      <c r="S2294" s="15">
        <f t="shared" si="131"/>
        <v>20</v>
      </c>
      <c r="T2294" s="15">
        <f t="shared" si="128"/>
        <v>1</v>
      </c>
      <c r="U2294" s="15">
        <f t="shared" si="129"/>
        <v>2026</v>
      </c>
      <c r="V2294" s="15">
        <f t="shared" si="8"/>
        <v>20</v>
      </c>
      <c r="W2294" s="15">
        <f t="shared" si="9"/>
        <v>1</v>
      </c>
      <c r="X2294" s="15">
        <f t="shared" si="10"/>
        <v>2026</v>
      </c>
    </row>
    <row r="2295">
      <c r="A2295" s="9">
        <v>46042.0</v>
      </c>
      <c r="B2295" s="10"/>
      <c r="C2295" s="9">
        <f t="shared" si="90"/>
        <v>46042</v>
      </c>
      <c r="D2295" s="11" t="s">
        <v>131</v>
      </c>
      <c r="E2295" s="11" t="s">
        <v>25</v>
      </c>
      <c r="F2295" s="28" t="s">
        <v>107</v>
      </c>
      <c r="G2295" s="28" t="s">
        <v>27</v>
      </c>
      <c r="H2295" s="11" t="s">
        <v>822</v>
      </c>
      <c r="I2295" s="31">
        <v>221.74</v>
      </c>
      <c r="J2295" s="13"/>
      <c r="K2295" s="13">
        <f t="shared" si="143"/>
        <v>221.74</v>
      </c>
      <c r="L2295" s="28" t="s">
        <v>53</v>
      </c>
      <c r="M2295" s="17">
        <v>45999.0</v>
      </c>
      <c r="N2295" s="11" t="s">
        <v>133</v>
      </c>
      <c r="O2295" s="10" t="str">
        <f t="shared" si="79"/>
        <v>01/2026</v>
      </c>
      <c r="P2295" s="10" t="str">
        <f t="shared" si="121"/>
        <v>01/2026</v>
      </c>
      <c r="Q2295" s="15" t="str">
        <f t="array" ref="Q2295">IFERROR(XLOOKUP(N2295,'Classificação'!A:A,'Classificação'!B:B),"")</f>
        <v>DESPESAS COM VEICULOS</v>
      </c>
      <c r="R2295" s="15" t="str">
        <f t="array" ref="R2295">IFERROR(XLOOKUP(Q2295,'Classificação'!B:B,'Classificação'!C:C),"")</f>
        <v>DESPESAS FIXAS (-)</v>
      </c>
      <c r="S2295" s="15">
        <f t="shared" si="131"/>
        <v>20</v>
      </c>
      <c r="T2295" s="15">
        <f t="shared" si="128"/>
        <v>1</v>
      </c>
      <c r="U2295" s="15">
        <f t="shared" si="129"/>
        <v>2026</v>
      </c>
      <c r="V2295" s="15">
        <f t="shared" si="8"/>
        <v>20</v>
      </c>
      <c r="W2295" s="15">
        <f t="shared" si="9"/>
        <v>1</v>
      </c>
      <c r="X2295" s="15">
        <f t="shared" si="10"/>
        <v>2026</v>
      </c>
    </row>
    <row r="2296">
      <c r="A2296" s="9">
        <v>46042.0</v>
      </c>
      <c r="B2296" s="9">
        <v>45842.0</v>
      </c>
      <c r="C2296" s="9">
        <f t="shared" si="90"/>
        <v>46042</v>
      </c>
      <c r="D2296" s="11" t="s">
        <v>877</v>
      </c>
      <c r="E2296" s="11" t="s">
        <v>25</v>
      </c>
      <c r="F2296" s="11" t="s">
        <v>107</v>
      </c>
      <c r="G2296" s="11" t="s">
        <v>27</v>
      </c>
      <c r="H2296" s="11" t="s">
        <v>878</v>
      </c>
      <c r="I2296" s="31">
        <v>200.0</v>
      </c>
      <c r="J2296" s="13"/>
      <c r="K2296" s="13">
        <f t="shared" si="143"/>
        <v>200</v>
      </c>
      <c r="L2296" s="11" t="s">
        <v>53</v>
      </c>
      <c r="M2296" s="17">
        <v>45937.0</v>
      </c>
      <c r="N2296" s="11" t="s">
        <v>175</v>
      </c>
      <c r="O2296" s="10" t="str">
        <f t="shared" si="79"/>
        <v>01/2026</v>
      </c>
      <c r="P2296" s="10" t="str">
        <f t="shared" si="121"/>
        <v>01/2026</v>
      </c>
      <c r="Q2296" s="15" t="str">
        <f t="array" ref="Q2296">IFERROR(XLOOKUP(N2296,'Classificação'!A:A,'Classificação'!B:B),"")</f>
        <v>DESPESAS COM VEICULOS</v>
      </c>
      <c r="R2296" s="15" t="str">
        <f t="array" ref="R2296">IFERROR(XLOOKUP(Q2296,'Classificação'!B:B,'Classificação'!C:C),"")</f>
        <v>DESPESAS FIXAS (-)</v>
      </c>
      <c r="S2296" s="15">
        <f t="shared" si="131"/>
        <v>20</v>
      </c>
      <c r="T2296" s="15">
        <f t="shared" si="128"/>
        <v>1</v>
      </c>
      <c r="U2296" s="15">
        <f t="shared" si="129"/>
        <v>2026</v>
      </c>
      <c r="V2296" s="15">
        <f t="shared" si="8"/>
        <v>20</v>
      </c>
      <c r="W2296" s="15">
        <f t="shared" si="9"/>
        <v>1</v>
      </c>
      <c r="X2296" s="15">
        <f t="shared" si="10"/>
        <v>2026</v>
      </c>
    </row>
    <row r="2297">
      <c r="A2297" s="26">
        <v>46042.0</v>
      </c>
      <c r="B2297" s="30"/>
      <c r="C2297" s="27">
        <f t="shared" si="90"/>
        <v>46042</v>
      </c>
      <c r="D2297" s="28" t="s">
        <v>100</v>
      </c>
      <c r="E2297" s="29" t="s">
        <v>25</v>
      </c>
      <c r="F2297" s="28" t="s">
        <v>40</v>
      </c>
      <c r="G2297" s="28" t="s">
        <v>27</v>
      </c>
      <c r="H2297" s="29" t="s">
        <v>1015</v>
      </c>
      <c r="I2297" s="24">
        <v>12581.62</v>
      </c>
      <c r="J2297" s="34"/>
      <c r="K2297" s="37">
        <f t="shared" ref="K2297:K2299" si="144">IF(E2297="pago",(I2297-J2297),"")</f>
        <v>12581.62</v>
      </c>
      <c r="L2297" s="28" t="s">
        <v>29</v>
      </c>
      <c r="M2297" s="28"/>
      <c r="N2297" s="28" t="s">
        <v>101</v>
      </c>
      <c r="O2297" s="10" t="str">
        <f t="shared" si="79"/>
        <v>01/2026</v>
      </c>
      <c r="P2297" s="10" t="str">
        <f t="shared" si="121"/>
        <v>01/2026</v>
      </c>
      <c r="Q2297" s="15" t="str">
        <f t="array" ref="Q2297">IFERROR(XLOOKUP(N2297,'Classificação'!A:A,'Classificação'!B:B),"")</f>
        <v>IMPOSTO DE RENDA - DAS</v>
      </c>
      <c r="R2297" s="15" t="str">
        <f t="array" ref="R2297">IFERROR(XLOOKUP(Q2297,'Classificação'!B:B,'Classificação'!C:C),"")</f>
        <v>DEDUÇÕES DA RECEITA BRUTA (-)</v>
      </c>
      <c r="S2297" s="15">
        <f t="shared" si="131"/>
        <v>20</v>
      </c>
      <c r="T2297" s="15">
        <f t="shared" si="128"/>
        <v>1</v>
      </c>
      <c r="U2297" s="15">
        <f t="shared" si="129"/>
        <v>2026</v>
      </c>
      <c r="V2297" s="15">
        <f t="shared" si="8"/>
        <v>20</v>
      </c>
      <c r="W2297" s="15">
        <f t="shared" si="9"/>
        <v>1</v>
      </c>
      <c r="X2297" s="15">
        <f t="shared" si="10"/>
        <v>2026</v>
      </c>
    </row>
    <row r="2298">
      <c r="A2298" s="26">
        <v>46042.0</v>
      </c>
      <c r="B2298" s="28"/>
      <c r="C2298" s="27">
        <f t="shared" si="90"/>
        <v>46042</v>
      </c>
      <c r="D2298" s="28" t="s">
        <v>123</v>
      </c>
      <c r="E2298" s="29" t="s">
        <v>25</v>
      </c>
      <c r="F2298" s="28" t="s">
        <v>40</v>
      </c>
      <c r="G2298" s="28" t="s">
        <v>27</v>
      </c>
      <c r="H2298" s="29" t="s">
        <v>1184</v>
      </c>
      <c r="I2298" s="24">
        <v>553.6</v>
      </c>
      <c r="J2298" s="34"/>
      <c r="K2298" s="37">
        <f t="shared" si="144"/>
        <v>553.6</v>
      </c>
      <c r="L2298" s="28" t="s">
        <v>29</v>
      </c>
      <c r="M2298" s="28"/>
      <c r="N2298" s="28" t="s">
        <v>123</v>
      </c>
      <c r="O2298" s="10" t="str">
        <f t="shared" si="79"/>
        <v>01/2026</v>
      </c>
      <c r="P2298" s="10" t="str">
        <f t="shared" si="121"/>
        <v>01/2026</v>
      </c>
      <c r="Q2298" s="15" t="str">
        <f t="array" ref="Q2298">IFERROR(XLOOKUP(N2298,'Classificação'!A:A,'Classificação'!B:B),"")</f>
        <v>DESPESAS COM PESSOAL</v>
      </c>
      <c r="R2298" s="15" t="str">
        <f t="array" ref="R2298">IFERROR(XLOOKUP(Q2298,'Classificação'!B:B,'Classificação'!C:C),"")</f>
        <v>DESPESAS FIXAS (-)</v>
      </c>
      <c r="S2298" s="15">
        <f t="shared" si="131"/>
        <v>20</v>
      </c>
      <c r="T2298" s="15">
        <f t="shared" si="128"/>
        <v>1</v>
      </c>
      <c r="U2298" s="15">
        <f t="shared" si="129"/>
        <v>2026</v>
      </c>
      <c r="V2298" s="15">
        <f t="shared" si="8"/>
        <v>20</v>
      </c>
      <c r="W2298" s="15">
        <f t="shared" si="9"/>
        <v>1</v>
      </c>
      <c r="X2298" s="15">
        <f t="shared" si="10"/>
        <v>2026</v>
      </c>
    </row>
    <row r="2299">
      <c r="A2299" s="26">
        <v>46042.0</v>
      </c>
      <c r="B2299" s="28"/>
      <c r="C2299" s="27">
        <f t="shared" si="90"/>
        <v>46042</v>
      </c>
      <c r="D2299" s="28" t="s">
        <v>126</v>
      </c>
      <c r="E2299" s="29" t="s">
        <v>25</v>
      </c>
      <c r="F2299" s="28" t="s">
        <v>40</v>
      </c>
      <c r="G2299" s="28" t="s">
        <v>27</v>
      </c>
      <c r="H2299" s="29" t="s">
        <v>1185</v>
      </c>
      <c r="I2299" s="24">
        <v>713.26</v>
      </c>
      <c r="J2299" s="34"/>
      <c r="K2299" s="37">
        <f t="shared" si="144"/>
        <v>713.26</v>
      </c>
      <c r="L2299" s="28" t="s">
        <v>29</v>
      </c>
      <c r="M2299" s="28"/>
      <c r="N2299" s="28" t="s">
        <v>126</v>
      </c>
      <c r="O2299" s="10" t="str">
        <f t="shared" si="79"/>
        <v>01/2026</v>
      </c>
      <c r="P2299" s="10" t="str">
        <f t="shared" si="121"/>
        <v>01/2026</v>
      </c>
      <c r="Q2299" s="15" t="str">
        <f t="array" ref="Q2299">IFERROR(XLOOKUP(N2299,'Classificação'!A:A,'Classificação'!B:B),"")</f>
        <v>DESPESAS COM PESSOAL</v>
      </c>
      <c r="R2299" s="15" t="str">
        <f t="array" ref="R2299">IFERROR(XLOOKUP(Q2299,'Classificação'!B:B,'Classificação'!C:C),"")</f>
        <v>DESPESAS FIXAS (-)</v>
      </c>
      <c r="S2299" s="15">
        <f t="shared" si="131"/>
        <v>20</v>
      </c>
      <c r="T2299" s="15">
        <f t="shared" si="128"/>
        <v>1</v>
      </c>
      <c r="U2299" s="15">
        <f t="shared" si="129"/>
        <v>2026</v>
      </c>
      <c r="V2299" s="15">
        <f t="shared" si="8"/>
        <v>20</v>
      </c>
      <c r="W2299" s="15">
        <f t="shared" si="9"/>
        <v>1</v>
      </c>
      <c r="X2299" s="15">
        <f t="shared" si="10"/>
        <v>2026</v>
      </c>
    </row>
    <row r="2300">
      <c r="A2300" s="9">
        <v>46042.0</v>
      </c>
      <c r="B2300" s="9">
        <v>45842.0</v>
      </c>
      <c r="C2300" s="9">
        <f t="shared" si="90"/>
        <v>46042</v>
      </c>
      <c r="D2300" s="11" t="s">
        <v>877</v>
      </c>
      <c r="E2300" s="11" t="s">
        <v>25</v>
      </c>
      <c r="F2300" s="11" t="s">
        <v>107</v>
      </c>
      <c r="G2300" s="11" t="s">
        <v>27</v>
      </c>
      <c r="H2300" s="11" t="s">
        <v>878</v>
      </c>
      <c r="I2300" s="31">
        <v>338.3</v>
      </c>
      <c r="J2300" s="13"/>
      <c r="K2300" s="13">
        <f>if(E2300="pago",(I2300-J2300),"")</f>
        <v>338.3</v>
      </c>
      <c r="L2300" s="11" t="s">
        <v>53</v>
      </c>
      <c r="M2300" s="17">
        <v>45937.0</v>
      </c>
      <c r="N2300" s="11" t="s">
        <v>175</v>
      </c>
      <c r="O2300" s="10" t="str">
        <f t="shared" si="79"/>
        <v>01/2026</v>
      </c>
      <c r="P2300" s="10" t="str">
        <f t="shared" si="121"/>
        <v>01/2026</v>
      </c>
      <c r="Q2300" s="15" t="str">
        <f t="array" ref="Q2300">IFERROR(XLOOKUP(N2300,'Classificação'!A:A,'Classificação'!B:B),"")</f>
        <v>DESPESAS COM VEICULOS</v>
      </c>
      <c r="R2300" s="15" t="str">
        <f t="array" ref="R2300">IFERROR(XLOOKUP(Q2300,'Classificação'!B:B,'Classificação'!C:C),"")</f>
        <v>DESPESAS FIXAS (-)</v>
      </c>
      <c r="S2300" s="15">
        <f t="shared" si="131"/>
        <v>20</v>
      </c>
      <c r="T2300" s="15">
        <f t="shared" si="128"/>
        <v>1</v>
      </c>
      <c r="U2300" s="15">
        <f t="shared" si="129"/>
        <v>2026</v>
      </c>
      <c r="V2300" s="15">
        <f t="shared" si="8"/>
        <v>20</v>
      </c>
      <c r="W2300" s="15">
        <f t="shared" si="9"/>
        <v>1</v>
      </c>
      <c r="X2300" s="15">
        <f t="shared" si="10"/>
        <v>2026</v>
      </c>
    </row>
    <row r="2301">
      <c r="A2301" s="26">
        <v>46042.0</v>
      </c>
      <c r="B2301" s="30"/>
      <c r="C2301" s="27">
        <f t="shared" si="90"/>
        <v>46042</v>
      </c>
      <c r="D2301" s="28" t="s">
        <v>100</v>
      </c>
      <c r="E2301" s="29" t="s">
        <v>25</v>
      </c>
      <c r="F2301" s="28" t="s">
        <v>40</v>
      </c>
      <c r="G2301" s="28" t="s">
        <v>37</v>
      </c>
      <c r="H2301" s="29" t="s">
        <v>1016</v>
      </c>
      <c r="I2301" s="24">
        <v>8074.26</v>
      </c>
      <c r="J2301" s="34"/>
      <c r="K2301" s="37">
        <f>IF(E2301="pago",(I2301-J2301),"")</f>
        <v>8074.26</v>
      </c>
      <c r="L2301" s="28" t="s">
        <v>29</v>
      </c>
      <c r="M2301" s="28"/>
      <c r="N2301" s="28" t="s">
        <v>101</v>
      </c>
      <c r="O2301" s="10" t="str">
        <f t="shared" si="79"/>
        <v>01/2026</v>
      </c>
      <c r="P2301" s="10" t="str">
        <f t="shared" si="121"/>
        <v>01/2026</v>
      </c>
      <c r="Q2301" s="15" t="str">
        <f t="array" ref="Q2301">IFERROR(XLOOKUP(N2301,'Classificação'!A:A,'Classificação'!B:B),"")</f>
        <v>IMPOSTO DE RENDA - DAS</v>
      </c>
      <c r="R2301" s="15" t="str">
        <f t="array" ref="R2301">IFERROR(XLOOKUP(Q2301,'Classificação'!B:B,'Classificação'!C:C),"")</f>
        <v>DEDUÇÕES DA RECEITA BRUTA (-)</v>
      </c>
      <c r="S2301" s="15">
        <f t="shared" si="131"/>
        <v>20</v>
      </c>
      <c r="T2301" s="15">
        <f t="shared" si="128"/>
        <v>1</v>
      </c>
      <c r="U2301" s="15">
        <f t="shared" si="129"/>
        <v>2026</v>
      </c>
      <c r="V2301" s="15">
        <f t="shared" si="8"/>
        <v>20</v>
      </c>
      <c r="W2301" s="15">
        <f t="shared" si="9"/>
        <v>1</v>
      </c>
      <c r="X2301" s="15">
        <f t="shared" si="10"/>
        <v>2026</v>
      </c>
    </row>
    <row r="2302">
      <c r="A2302" s="26">
        <v>46042.0</v>
      </c>
      <c r="B2302" s="26">
        <v>45867.0</v>
      </c>
      <c r="C2302" s="9">
        <f t="shared" si="90"/>
        <v>46042</v>
      </c>
      <c r="D2302" s="28" t="s">
        <v>109</v>
      </c>
      <c r="E2302" s="11" t="s">
        <v>25</v>
      </c>
      <c r="F2302" s="29" t="s">
        <v>107</v>
      </c>
      <c r="G2302" s="28" t="s">
        <v>27</v>
      </c>
      <c r="H2302" s="11" t="s">
        <v>911</v>
      </c>
      <c r="I2302" s="33">
        <v>24.15</v>
      </c>
      <c r="J2302" s="13"/>
      <c r="K2302" s="13">
        <f>if(E2302="pago",(I2302-J2302),"")</f>
        <v>24.15</v>
      </c>
      <c r="L2302" s="11" t="s">
        <v>53</v>
      </c>
      <c r="M2302" s="17">
        <v>45997.0</v>
      </c>
      <c r="N2302" s="28" t="s">
        <v>105</v>
      </c>
      <c r="O2302" s="10" t="str">
        <f t="shared" si="79"/>
        <v>01/2026</v>
      </c>
      <c r="P2302" s="10" t="str">
        <f t="shared" si="121"/>
        <v>01/2026</v>
      </c>
      <c r="Q2302" s="15" t="str">
        <f t="array" ref="Q2302">IFERROR(XLOOKUP(N2302,'Classificação'!A:A,'Classificação'!B:B),"")</f>
        <v>DESPESAS ADMINISTRATIVAS</v>
      </c>
      <c r="R2302" s="15" t="str">
        <f t="array" ref="R2302">IFERROR(XLOOKUP(Q2302,'Classificação'!B:B,'Classificação'!C:C),"")</f>
        <v>DESPESAS FIXAS (-)</v>
      </c>
      <c r="S2302" s="15">
        <f t="shared" si="131"/>
        <v>20</v>
      </c>
      <c r="T2302" s="15">
        <f t="shared" si="128"/>
        <v>1</v>
      </c>
      <c r="U2302" s="15">
        <f t="shared" si="129"/>
        <v>2026</v>
      </c>
      <c r="V2302" s="15">
        <f t="shared" si="8"/>
        <v>20</v>
      </c>
      <c r="W2302" s="15">
        <f t="shared" si="9"/>
        <v>1</v>
      </c>
      <c r="X2302" s="15">
        <f t="shared" si="10"/>
        <v>2026</v>
      </c>
    </row>
    <row r="2303">
      <c r="A2303" s="26">
        <v>46042.0</v>
      </c>
      <c r="B2303" s="28"/>
      <c r="C2303" s="27">
        <f t="shared" si="90"/>
        <v>46042</v>
      </c>
      <c r="D2303" s="28" t="s">
        <v>104</v>
      </c>
      <c r="E2303" s="29" t="s">
        <v>25</v>
      </c>
      <c r="F2303" s="28" t="s">
        <v>40</v>
      </c>
      <c r="G2303" s="28" t="s">
        <v>27</v>
      </c>
      <c r="H2303" s="29" t="s">
        <v>1186</v>
      </c>
      <c r="I2303" s="37">
        <v>450.0</v>
      </c>
      <c r="J2303" s="34"/>
      <c r="K2303" s="37">
        <f>IF(E2303="pago",(I2303-J2303),"")</f>
        <v>450</v>
      </c>
      <c r="L2303" s="28" t="s">
        <v>29</v>
      </c>
      <c r="M2303" s="28"/>
      <c r="N2303" s="28" t="s">
        <v>105</v>
      </c>
      <c r="O2303" s="10" t="str">
        <f t="shared" si="79"/>
        <v>01/2026</v>
      </c>
      <c r="P2303" s="10" t="str">
        <f t="shared" si="121"/>
        <v>01/2026</v>
      </c>
      <c r="Q2303" s="15" t="str">
        <f t="array" ref="Q2303">IFERROR(XLOOKUP(N2303,'Classificação'!A:A,'Classificação'!B:B),"")</f>
        <v>DESPESAS ADMINISTRATIVAS</v>
      </c>
      <c r="R2303" s="15" t="str">
        <f t="array" ref="R2303">IFERROR(XLOOKUP(Q2303,'Classificação'!B:B,'Classificação'!C:C),"")</f>
        <v>DESPESAS FIXAS (-)</v>
      </c>
      <c r="S2303" s="15">
        <f t="shared" si="131"/>
        <v>20</v>
      </c>
      <c r="T2303" s="15">
        <f t="shared" si="128"/>
        <v>1</v>
      </c>
      <c r="U2303" s="15">
        <f t="shared" si="129"/>
        <v>2026</v>
      </c>
      <c r="V2303" s="15">
        <f t="shared" si="8"/>
        <v>20</v>
      </c>
      <c r="W2303" s="15">
        <f t="shared" si="9"/>
        <v>1</v>
      </c>
      <c r="X2303" s="15">
        <f t="shared" si="10"/>
        <v>2026</v>
      </c>
    </row>
    <row r="2304">
      <c r="A2304" s="9">
        <v>46042.0</v>
      </c>
      <c r="B2304" s="9">
        <v>45863.0</v>
      </c>
      <c r="C2304" s="9">
        <f t="shared" si="90"/>
        <v>46042</v>
      </c>
      <c r="D2304" s="11" t="s">
        <v>65</v>
      </c>
      <c r="E2304" s="11" t="s">
        <v>25</v>
      </c>
      <c r="F2304" s="11" t="s">
        <v>107</v>
      </c>
      <c r="G2304" s="11" t="s">
        <v>27</v>
      </c>
      <c r="H2304" s="11" t="s">
        <v>915</v>
      </c>
      <c r="I2304" s="31">
        <v>185.16</v>
      </c>
      <c r="J2304" s="13"/>
      <c r="K2304" s="13">
        <f t="shared" ref="K2304:K2314" si="145">if(E2304="pago",(I2304-J2304),"")</f>
        <v>185.16</v>
      </c>
      <c r="L2304" s="11" t="s">
        <v>53</v>
      </c>
      <c r="M2304" s="17">
        <v>45997.0</v>
      </c>
      <c r="N2304" s="11" t="s">
        <v>95</v>
      </c>
      <c r="O2304" s="10" t="str">
        <f t="shared" si="79"/>
        <v>01/2026</v>
      </c>
      <c r="P2304" s="10" t="str">
        <f t="shared" si="121"/>
        <v>01/2026</v>
      </c>
      <c r="Q2304" s="15" t="str">
        <f t="array" ref="Q2304">IFERROR(XLOOKUP(N2304,'Classificação'!A:A,'Classificação'!B:B),"")</f>
        <v>DESPESAS NÃO OPERACIONAIS</v>
      </c>
      <c r="R2304" s="15" t="str">
        <f t="array" ref="R2304">IFERROR(XLOOKUP(Q2304,'Classificação'!B:B,'Classificação'!C:C),"")</f>
        <v>RESULTADO NÃO OPERACIONAL (+/-)</v>
      </c>
      <c r="S2304" s="15">
        <f t="shared" si="131"/>
        <v>20</v>
      </c>
      <c r="T2304" s="15">
        <f t="shared" si="128"/>
        <v>1</v>
      </c>
      <c r="U2304" s="15">
        <f t="shared" si="129"/>
        <v>2026</v>
      </c>
      <c r="V2304" s="15">
        <f t="shared" si="8"/>
        <v>20</v>
      </c>
      <c r="W2304" s="15">
        <f t="shared" si="9"/>
        <v>1</v>
      </c>
      <c r="X2304" s="15">
        <f t="shared" si="10"/>
        <v>2026</v>
      </c>
    </row>
    <row r="2305">
      <c r="A2305" s="9">
        <v>46042.0</v>
      </c>
      <c r="B2305" s="32">
        <v>45958.0</v>
      </c>
      <c r="C2305" s="9">
        <f t="shared" si="90"/>
        <v>46042</v>
      </c>
      <c r="D2305" s="11" t="s">
        <v>1072</v>
      </c>
      <c r="E2305" s="11" t="s">
        <v>25</v>
      </c>
      <c r="F2305" s="11" t="s">
        <v>110</v>
      </c>
      <c r="G2305" s="28" t="s">
        <v>27</v>
      </c>
      <c r="H2305" s="11" t="s">
        <v>1073</v>
      </c>
      <c r="I2305" s="12">
        <v>119.66</v>
      </c>
      <c r="J2305" s="13"/>
      <c r="K2305" s="13">
        <f t="shared" si="145"/>
        <v>119.66</v>
      </c>
      <c r="L2305" s="11" t="s">
        <v>53</v>
      </c>
      <c r="M2305" s="17">
        <v>45719.0</v>
      </c>
      <c r="N2305" s="11" t="s">
        <v>175</v>
      </c>
      <c r="O2305" s="10" t="str">
        <f t="shared" si="79"/>
        <v>01/2026</v>
      </c>
      <c r="P2305" s="10" t="str">
        <f t="shared" si="121"/>
        <v>01/2026</v>
      </c>
      <c r="Q2305" s="15" t="str">
        <f t="array" ref="Q2305">IFERROR(XLOOKUP(N2305,'Classificação'!A:A,'Classificação'!B:B),"")</f>
        <v>DESPESAS COM VEICULOS</v>
      </c>
      <c r="R2305" s="15" t="str">
        <f t="array" ref="R2305">IFERROR(XLOOKUP(Q2305,'Classificação'!B:B,'Classificação'!C:C),"")</f>
        <v>DESPESAS FIXAS (-)</v>
      </c>
      <c r="S2305" s="15">
        <f t="shared" si="131"/>
        <v>20</v>
      </c>
      <c r="T2305" s="15">
        <f t="shared" si="128"/>
        <v>1</v>
      </c>
      <c r="U2305" s="15">
        <f t="shared" si="129"/>
        <v>2026</v>
      </c>
      <c r="V2305" s="15">
        <f t="shared" si="8"/>
        <v>20</v>
      </c>
      <c r="W2305" s="15">
        <f t="shared" si="9"/>
        <v>1</v>
      </c>
      <c r="X2305" s="15">
        <f t="shared" si="10"/>
        <v>2026</v>
      </c>
    </row>
    <row r="2306">
      <c r="A2306" s="9">
        <v>46042.0</v>
      </c>
      <c r="B2306" s="9">
        <v>45881.0</v>
      </c>
      <c r="C2306" s="9">
        <f t="shared" si="90"/>
        <v>46042</v>
      </c>
      <c r="D2306" s="11" t="s">
        <v>877</v>
      </c>
      <c r="E2306" s="11" t="s">
        <v>25</v>
      </c>
      <c r="F2306" s="11" t="s">
        <v>107</v>
      </c>
      <c r="G2306" s="11" t="s">
        <v>27</v>
      </c>
      <c r="H2306" s="11" t="s">
        <v>878</v>
      </c>
      <c r="I2306" s="31">
        <v>114.49</v>
      </c>
      <c r="J2306" s="13"/>
      <c r="K2306" s="13">
        <f t="shared" si="145"/>
        <v>114.49</v>
      </c>
      <c r="L2306" s="11" t="s">
        <v>53</v>
      </c>
      <c r="M2306" s="17">
        <v>45782.0</v>
      </c>
      <c r="N2306" s="11" t="s">
        <v>175</v>
      </c>
      <c r="O2306" s="10" t="str">
        <f t="shared" si="79"/>
        <v>01/2026</v>
      </c>
      <c r="P2306" s="10" t="str">
        <f t="shared" si="121"/>
        <v>01/2026</v>
      </c>
      <c r="Q2306" s="15" t="str">
        <f t="array" ref="Q2306">IFERROR(XLOOKUP(N2306,'Classificação'!A:A,'Classificação'!B:B),"")</f>
        <v>DESPESAS COM VEICULOS</v>
      </c>
      <c r="R2306" s="15" t="str">
        <f t="array" ref="R2306">IFERROR(XLOOKUP(Q2306,'Classificação'!B:B,'Classificação'!C:C),"")</f>
        <v>DESPESAS FIXAS (-)</v>
      </c>
      <c r="S2306" s="15">
        <f t="shared" si="131"/>
        <v>20</v>
      </c>
      <c r="T2306" s="15">
        <f t="shared" si="128"/>
        <v>1</v>
      </c>
      <c r="U2306" s="15">
        <f t="shared" si="129"/>
        <v>2026</v>
      </c>
      <c r="V2306" s="15">
        <f t="shared" si="8"/>
        <v>20</v>
      </c>
      <c r="W2306" s="15">
        <f t="shared" si="9"/>
        <v>1</v>
      </c>
      <c r="X2306" s="15">
        <f t="shared" si="10"/>
        <v>2026</v>
      </c>
    </row>
    <row r="2307">
      <c r="A2307" s="9">
        <v>46042.0</v>
      </c>
      <c r="B2307" s="9">
        <v>45885.0</v>
      </c>
      <c r="C2307" s="9">
        <f t="shared" si="90"/>
        <v>46042</v>
      </c>
      <c r="D2307" s="11" t="s">
        <v>959</v>
      </c>
      <c r="E2307" s="11" t="s">
        <v>25</v>
      </c>
      <c r="F2307" s="11" t="s">
        <v>107</v>
      </c>
      <c r="G2307" s="11" t="s">
        <v>27</v>
      </c>
      <c r="H2307" s="11" t="s">
        <v>960</v>
      </c>
      <c r="I2307" s="31">
        <v>259.76</v>
      </c>
      <c r="J2307" s="13"/>
      <c r="K2307" s="13">
        <f t="shared" si="145"/>
        <v>259.76</v>
      </c>
      <c r="L2307" s="11" t="s">
        <v>53</v>
      </c>
      <c r="M2307" s="17">
        <v>45782.0</v>
      </c>
      <c r="N2307" s="11" t="s">
        <v>95</v>
      </c>
      <c r="O2307" s="10" t="str">
        <f t="shared" si="79"/>
        <v>01/2026</v>
      </c>
      <c r="P2307" s="10" t="str">
        <f t="shared" si="121"/>
        <v>01/2026</v>
      </c>
      <c r="Q2307" s="15" t="str">
        <f t="array" ref="Q2307">IFERROR(XLOOKUP(N2307,'Classificação'!A:A,'Classificação'!B:B),"")</f>
        <v>DESPESAS NÃO OPERACIONAIS</v>
      </c>
      <c r="R2307" s="15" t="str">
        <f t="array" ref="R2307">IFERROR(XLOOKUP(Q2307,'Classificação'!B:B,'Classificação'!C:C),"")</f>
        <v>RESULTADO NÃO OPERACIONAL (+/-)</v>
      </c>
      <c r="S2307" s="15">
        <f t="shared" si="131"/>
        <v>20</v>
      </c>
      <c r="T2307" s="15">
        <f t="shared" si="128"/>
        <v>1</v>
      </c>
      <c r="U2307" s="15">
        <f t="shared" si="129"/>
        <v>2026</v>
      </c>
      <c r="V2307" s="15">
        <f t="shared" si="8"/>
        <v>20</v>
      </c>
      <c r="W2307" s="15">
        <f t="shared" si="9"/>
        <v>1</v>
      </c>
      <c r="X2307" s="15">
        <f t="shared" si="10"/>
        <v>2026</v>
      </c>
    </row>
    <row r="2308">
      <c r="A2308" s="9">
        <v>46042.0</v>
      </c>
      <c r="B2308" s="32">
        <v>45947.0</v>
      </c>
      <c r="C2308" s="9">
        <f t="shared" si="90"/>
        <v>46042</v>
      </c>
      <c r="D2308" s="11" t="s">
        <v>65</v>
      </c>
      <c r="E2308" s="11" t="s">
        <v>25</v>
      </c>
      <c r="F2308" s="11" t="s">
        <v>107</v>
      </c>
      <c r="G2308" s="11" t="s">
        <v>27</v>
      </c>
      <c r="H2308" s="11" t="s">
        <v>1068</v>
      </c>
      <c r="I2308" s="31">
        <v>115.71</v>
      </c>
      <c r="J2308" s="13"/>
      <c r="K2308" s="13">
        <f t="shared" si="145"/>
        <v>115.71</v>
      </c>
      <c r="L2308" s="11" t="s">
        <v>53</v>
      </c>
      <c r="M2308" s="17">
        <v>45719.0</v>
      </c>
      <c r="N2308" s="11" t="s">
        <v>145</v>
      </c>
      <c r="O2308" s="10" t="str">
        <f t="shared" si="79"/>
        <v>01/2026</v>
      </c>
      <c r="P2308" s="10" t="str">
        <f t="shared" si="121"/>
        <v>01/2026</v>
      </c>
      <c r="Q2308" s="15" t="str">
        <f t="array" ref="Q2308">IFERROR(XLOOKUP(N2308,'Classificação'!A:A,'Classificação'!B:B),"")</f>
        <v>DESPESAS ADMINISTRATIVAS</v>
      </c>
      <c r="R2308" s="15" t="str">
        <f t="array" ref="R2308">IFERROR(XLOOKUP(Q2308,'Classificação'!B:B,'Classificação'!C:C),"")</f>
        <v>DESPESAS FIXAS (-)</v>
      </c>
      <c r="S2308" s="15">
        <f t="shared" si="131"/>
        <v>20</v>
      </c>
      <c r="T2308" s="15">
        <f t="shared" si="128"/>
        <v>1</v>
      </c>
      <c r="U2308" s="15">
        <f t="shared" si="129"/>
        <v>2026</v>
      </c>
      <c r="V2308" s="15">
        <f t="shared" si="8"/>
        <v>20</v>
      </c>
      <c r="W2308" s="15">
        <f t="shared" si="9"/>
        <v>1</v>
      </c>
      <c r="X2308" s="15">
        <f t="shared" si="10"/>
        <v>2026</v>
      </c>
    </row>
    <row r="2309">
      <c r="A2309" s="26">
        <v>46042.0</v>
      </c>
      <c r="B2309" s="28"/>
      <c r="C2309" s="27">
        <f t="shared" si="90"/>
        <v>46042</v>
      </c>
      <c r="D2309" s="28" t="s">
        <v>121</v>
      </c>
      <c r="E2309" s="11" t="s">
        <v>25</v>
      </c>
      <c r="F2309" s="28" t="s">
        <v>107</v>
      </c>
      <c r="G2309" s="28" t="s">
        <v>27</v>
      </c>
      <c r="H2309" s="28"/>
      <c r="I2309" s="38">
        <v>29.9</v>
      </c>
      <c r="J2309" s="34"/>
      <c r="K2309" s="13">
        <f t="shared" si="145"/>
        <v>29.9</v>
      </c>
      <c r="L2309" s="28" t="s">
        <v>29</v>
      </c>
      <c r="M2309" s="28"/>
      <c r="N2309" s="28" t="s">
        <v>105</v>
      </c>
      <c r="O2309" s="10" t="str">
        <f t="shared" si="79"/>
        <v>01/2026</v>
      </c>
      <c r="P2309" s="10" t="str">
        <f t="shared" si="121"/>
        <v>01/2026</v>
      </c>
      <c r="Q2309" s="15" t="str">
        <f t="array" ref="Q2309">IFERROR(XLOOKUP(N2309,'Classificação'!A:A,'Classificação'!B:B),"")</f>
        <v>DESPESAS ADMINISTRATIVAS</v>
      </c>
      <c r="R2309" s="15" t="str">
        <f t="array" ref="R2309">IFERROR(XLOOKUP(Q2309,'Classificação'!B:B,'Classificação'!C:C),"")</f>
        <v>DESPESAS FIXAS (-)</v>
      </c>
      <c r="S2309" s="15">
        <f t="shared" si="131"/>
        <v>20</v>
      </c>
      <c r="T2309" s="15">
        <f t="shared" si="128"/>
        <v>1</v>
      </c>
      <c r="U2309" s="15">
        <f t="shared" si="129"/>
        <v>2026</v>
      </c>
      <c r="V2309" s="15">
        <f t="shared" si="8"/>
        <v>20</v>
      </c>
      <c r="W2309" s="15">
        <f t="shared" si="9"/>
        <v>1</v>
      </c>
      <c r="X2309" s="15">
        <f t="shared" si="10"/>
        <v>2026</v>
      </c>
    </row>
    <row r="2310">
      <c r="A2310" s="9">
        <v>46042.0</v>
      </c>
      <c r="B2310" s="32">
        <v>45952.0</v>
      </c>
      <c r="C2310" s="9">
        <f t="shared" si="90"/>
        <v>46042</v>
      </c>
      <c r="D2310" s="11" t="s">
        <v>65</v>
      </c>
      <c r="E2310" s="11" t="s">
        <v>25</v>
      </c>
      <c r="F2310" s="11" t="s">
        <v>107</v>
      </c>
      <c r="G2310" s="28" t="s">
        <v>27</v>
      </c>
      <c r="H2310" s="11" t="s">
        <v>1068</v>
      </c>
      <c r="I2310" s="31">
        <v>114.18</v>
      </c>
      <c r="J2310" s="13"/>
      <c r="K2310" s="13">
        <f t="shared" si="145"/>
        <v>114.18</v>
      </c>
      <c r="L2310" s="11" t="s">
        <v>53</v>
      </c>
      <c r="M2310" s="17">
        <v>45750.0</v>
      </c>
      <c r="N2310" s="11" t="s">
        <v>95</v>
      </c>
      <c r="O2310" s="10" t="str">
        <f t="shared" si="79"/>
        <v>01/2026</v>
      </c>
      <c r="P2310" s="10" t="str">
        <f t="shared" si="121"/>
        <v>01/2026</v>
      </c>
      <c r="Q2310" s="15" t="str">
        <f t="array" ref="Q2310">IFERROR(XLOOKUP(N2310,'Classificação'!A:A,'Classificação'!B:B),"")</f>
        <v>DESPESAS NÃO OPERACIONAIS</v>
      </c>
      <c r="R2310" s="15" t="str">
        <f t="array" ref="R2310">IFERROR(XLOOKUP(Q2310,'Classificação'!B:B,'Classificação'!C:C),"")</f>
        <v>RESULTADO NÃO OPERACIONAL (+/-)</v>
      </c>
      <c r="S2310" s="15">
        <f t="shared" si="131"/>
        <v>20</v>
      </c>
      <c r="T2310" s="15">
        <f t="shared" si="128"/>
        <v>1</v>
      </c>
      <c r="U2310" s="15">
        <f t="shared" si="129"/>
        <v>2026</v>
      </c>
      <c r="V2310" s="15">
        <f t="shared" si="8"/>
        <v>20</v>
      </c>
      <c r="W2310" s="15">
        <f t="shared" si="9"/>
        <v>1</v>
      </c>
      <c r="X2310" s="15">
        <f t="shared" si="10"/>
        <v>2026</v>
      </c>
    </row>
    <row r="2311">
      <c r="A2311" s="9">
        <v>46042.0</v>
      </c>
      <c r="B2311" s="32">
        <v>46002.0</v>
      </c>
      <c r="C2311" s="9">
        <f t="shared" si="90"/>
        <v>46042</v>
      </c>
      <c r="D2311" s="11" t="s">
        <v>179</v>
      </c>
      <c r="E2311" s="11" t="s">
        <v>25</v>
      </c>
      <c r="F2311" s="11" t="s">
        <v>107</v>
      </c>
      <c r="G2311" s="28" t="s">
        <v>27</v>
      </c>
      <c r="H2311" s="11" t="s">
        <v>312</v>
      </c>
      <c r="I2311" s="31">
        <v>100.0</v>
      </c>
      <c r="J2311" s="13"/>
      <c r="K2311" s="13">
        <f t="shared" si="145"/>
        <v>100</v>
      </c>
      <c r="L2311" s="11" t="s">
        <v>34</v>
      </c>
      <c r="M2311" s="14"/>
      <c r="N2311" s="11" t="s">
        <v>181</v>
      </c>
      <c r="O2311" s="10" t="str">
        <f t="shared" si="79"/>
        <v>01/2026</v>
      </c>
      <c r="P2311" s="10" t="str">
        <f t="shared" si="121"/>
        <v>01/2026</v>
      </c>
      <c r="Q2311" s="15" t="str">
        <f t="array" ref="Q2311">IFERROR(XLOOKUP(N2311,'Classificação'!A:A,'Classificação'!B:B),"")</f>
        <v>DESPESAS COM VEICULOS</v>
      </c>
      <c r="R2311" s="15" t="str">
        <f t="array" ref="R2311">IFERROR(XLOOKUP(Q2311,'Classificação'!B:B,'Classificação'!C:C),"")</f>
        <v>DESPESAS FIXAS (-)</v>
      </c>
      <c r="S2311" s="15">
        <f t="shared" si="131"/>
        <v>20</v>
      </c>
      <c r="T2311" s="15">
        <f t="shared" si="128"/>
        <v>1</v>
      </c>
      <c r="U2311" s="15">
        <f t="shared" si="129"/>
        <v>2026</v>
      </c>
      <c r="V2311" s="15">
        <f t="shared" si="8"/>
        <v>20</v>
      </c>
      <c r="W2311" s="15">
        <f t="shared" si="9"/>
        <v>1</v>
      </c>
      <c r="X2311" s="15">
        <f t="shared" si="10"/>
        <v>2026</v>
      </c>
    </row>
    <row r="2312">
      <c r="A2312" s="9">
        <v>46042.0</v>
      </c>
      <c r="B2312" s="32">
        <v>46004.0</v>
      </c>
      <c r="C2312" s="9">
        <f t="shared" si="90"/>
        <v>46042</v>
      </c>
      <c r="D2312" s="29" t="s">
        <v>179</v>
      </c>
      <c r="E2312" s="11" t="s">
        <v>25</v>
      </c>
      <c r="F2312" s="11" t="s">
        <v>107</v>
      </c>
      <c r="G2312" s="28" t="s">
        <v>27</v>
      </c>
      <c r="H2312" s="11" t="s">
        <v>497</v>
      </c>
      <c r="I2312" s="31">
        <v>177.17</v>
      </c>
      <c r="J2312" s="13"/>
      <c r="K2312" s="13">
        <f t="shared" si="145"/>
        <v>177.17</v>
      </c>
      <c r="L2312" s="11" t="s">
        <v>34</v>
      </c>
      <c r="M2312" s="14"/>
      <c r="N2312" s="11" t="s">
        <v>181</v>
      </c>
      <c r="O2312" s="10" t="str">
        <f t="shared" si="79"/>
        <v>01/2026</v>
      </c>
      <c r="P2312" s="10" t="str">
        <f t="shared" si="121"/>
        <v>01/2026</v>
      </c>
      <c r="Q2312" s="15" t="str">
        <f t="array" ref="Q2312">IFERROR(XLOOKUP(N2312,'Classificação'!A:A,'Classificação'!B:B),"")</f>
        <v>DESPESAS COM VEICULOS</v>
      </c>
      <c r="R2312" s="15" t="str">
        <f t="array" ref="R2312">IFERROR(XLOOKUP(Q2312,'Classificação'!B:B,'Classificação'!C:C),"")</f>
        <v>DESPESAS FIXAS (-)</v>
      </c>
      <c r="S2312" s="15">
        <f t="shared" si="131"/>
        <v>20</v>
      </c>
      <c r="T2312" s="15">
        <f t="shared" si="128"/>
        <v>1</v>
      </c>
      <c r="U2312" s="15">
        <f t="shared" si="129"/>
        <v>2026</v>
      </c>
      <c r="V2312" s="15">
        <f t="shared" si="8"/>
        <v>20</v>
      </c>
      <c r="W2312" s="15">
        <f t="shared" si="9"/>
        <v>1</v>
      </c>
      <c r="X2312" s="15">
        <f t="shared" si="10"/>
        <v>2026</v>
      </c>
    </row>
    <row r="2313">
      <c r="A2313" s="9">
        <v>46042.0</v>
      </c>
      <c r="B2313" s="32">
        <v>46004.0</v>
      </c>
      <c r="C2313" s="9">
        <f t="shared" si="90"/>
        <v>46042</v>
      </c>
      <c r="D2313" s="11" t="s">
        <v>1187</v>
      </c>
      <c r="E2313" s="11" t="s">
        <v>25</v>
      </c>
      <c r="F2313" s="11" t="s">
        <v>107</v>
      </c>
      <c r="G2313" s="28" t="s">
        <v>27</v>
      </c>
      <c r="H2313" s="11" t="s">
        <v>1188</v>
      </c>
      <c r="I2313" s="31">
        <v>976.78</v>
      </c>
      <c r="J2313" s="13"/>
      <c r="K2313" s="13">
        <f t="shared" si="145"/>
        <v>976.78</v>
      </c>
      <c r="L2313" s="11" t="s">
        <v>34</v>
      </c>
      <c r="M2313" s="14"/>
      <c r="N2313" s="11" t="s">
        <v>448</v>
      </c>
      <c r="O2313" s="10" t="str">
        <f t="shared" si="79"/>
        <v>01/2026</v>
      </c>
      <c r="P2313" s="10" t="str">
        <f t="shared" si="121"/>
        <v>01/2026</v>
      </c>
      <c r="Q2313" s="15" t="str">
        <f t="array" ref="Q2313">IFERROR(XLOOKUP(N2313,'Classificação'!A:A,'Classificação'!B:B),"")</f>
        <v>DESPESAS ADMINISTRATIVAS</v>
      </c>
      <c r="R2313" s="15" t="str">
        <f t="array" ref="R2313">IFERROR(XLOOKUP(Q2313,'Classificação'!B:B,'Classificação'!C:C),"")</f>
        <v>DESPESAS FIXAS (-)</v>
      </c>
      <c r="S2313" s="15">
        <f t="shared" si="131"/>
        <v>20</v>
      </c>
      <c r="T2313" s="15">
        <f t="shared" si="128"/>
        <v>1</v>
      </c>
      <c r="U2313" s="15">
        <f t="shared" si="129"/>
        <v>2026</v>
      </c>
      <c r="V2313" s="15">
        <f t="shared" si="8"/>
        <v>20</v>
      </c>
      <c r="W2313" s="15">
        <f t="shared" si="9"/>
        <v>1</v>
      </c>
      <c r="X2313" s="15">
        <f t="shared" si="10"/>
        <v>2026</v>
      </c>
    </row>
    <row r="2314">
      <c r="A2314" s="9">
        <v>46042.0</v>
      </c>
      <c r="B2314" s="32">
        <v>46006.0</v>
      </c>
      <c r="C2314" s="9">
        <f t="shared" si="90"/>
        <v>46042</v>
      </c>
      <c r="D2314" s="11" t="s">
        <v>1085</v>
      </c>
      <c r="E2314" s="11" t="s">
        <v>25</v>
      </c>
      <c r="F2314" s="11" t="s">
        <v>107</v>
      </c>
      <c r="G2314" s="28" t="s">
        <v>27</v>
      </c>
      <c r="H2314" s="11" t="s">
        <v>1189</v>
      </c>
      <c r="I2314" s="31">
        <v>71.95</v>
      </c>
      <c r="J2314" s="13"/>
      <c r="K2314" s="13">
        <f t="shared" si="145"/>
        <v>71.95</v>
      </c>
      <c r="L2314" s="28" t="s">
        <v>53</v>
      </c>
      <c r="M2314" s="17">
        <v>45689.0</v>
      </c>
      <c r="N2314" s="11" t="s">
        <v>448</v>
      </c>
      <c r="O2314" s="10" t="str">
        <f t="shared" si="79"/>
        <v>01/2026</v>
      </c>
      <c r="P2314" s="10" t="str">
        <f t="shared" si="121"/>
        <v>01/2026</v>
      </c>
      <c r="Q2314" s="15" t="str">
        <f t="array" ref="Q2314">IFERROR(XLOOKUP(N2314,'Classificação'!A:A,'Classificação'!B:B),"")</f>
        <v>DESPESAS ADMINISTRATIVAS</v>
      </c>
      <c r="R2314" s="15" t="str">
        <f t="array" ref="R2314">IFERROR(XLOOKUP(Q2314,'Classificação'!B:B,'Classificação'!C:C),"")</f>
        <v>DESPESAS FIXAS (-)</v>
      </c>
      <c r="S2314" s="15">
        <f t="shared" si="131"/>
        <v>20</v>
      </c>
      <c r="T2314" s="15">
        <f t="shared" si="128"/>
        <v>1</v>
      </c>
      <c r="U2314" s="15">
        <f t="shared" si="129"/>
        <v>2026</v>
      </c>
      <c r="V2314" s="15">
        <f t="shared" si="8"/>
        <v>20</v>
      </c>
      <c r="W2314" s="15">
        <f t="shared" si="9"/>
        <v>1</v>
      </c>
      <c r="X2314" s="15">
        <f t="shared" si="10"/>
        <v>2026</v>
      </c>
    </row>
    <row r="2315">
      <c r="A2315" s="26">
        <v>46042.0</v>
      </c>
      <c r="B2315" s="28"/>
      <c r="C2315" s="27">
        <f t="shared" si="90"/>
        <v>46042</v>
      </c>
      <c r="D2315" s="28" t="s">
        <v>171</v>
      </c>
      <c r="E2315" s="29" t="s">
        <v>25</v>
      </c>
      <c r="F2315" s="28" t="s">
        <v>40</v>
      </c>
      <c r="G2315" s="29" t="s">
        <v>37</v>
      </c>
      <c r="H2315" s="28"/>
      <c r="I2315" s="24">
        <v>107.64</v>
      </c>
      <c r="J2315" s="34"/>
      <c r="K2315" s="37">
        <f t="shared" ref="K2315:K2316" si="146">IF(E2315="pago",(I2315-J2315),"")</f>
        <v>107.64</v>
      </c>
      <c r="L2315" s="28" t="s">
        <v>29</v>
      </c>
      <c r="M2315" s="28"/>
      <c r="N2315" s="28" t="s">
        <v>172</v>
      </c>
      <c r="O2315" s="10" t="str">
        <f t="shared" si="79"/>
        <v>01/2026</v>
      </c>
      <c r="P2315" s="10" t="str">
        <f t="shared" si="121"/>
        <v>01/2026</v>
      </c>
      <c r="Q2315" s="15" t="str">
        <f t="array" ref="Q2315">IFERROR(XLOOKUP(N2315,'Classificação'!A:A,'Classificação'!B:B),"")</f>
        <v>DESPESAS COM OCUPAÇÃO</v>
      </c>
      <c r="R2315" s="15" t="str">
        <f t="array" ref="R2315">IFERROR(XLOOKUP(Q2315,'Classificação'!B:B,'Classificação'!C:C),"")</f>
        <v>DESPESAS FIXAS (-)</v>
      </c>
      <c r="S2315" s="15">
        <f t="shared" si="131"/>
        <v>20</v>
      </c>
      <c r="T2315" s="15">
        <f t="shared" si="128"/>
        <v>1</v>
      </c>
      <c r="U2315" s="15">
        <f t="shared" si="129"/>
        <v>2026</v>
      </c>
      <c r="V2315" s="15">
        <f t="shared" si="8"/>
        <v>20</v>
      </c>
      <c r="W2315" s="15">
        <f t="shared" si="9"/>
        <v>1</v>
      </c>
      <c r="X2315" s="15">
        <f t="shared" si="10"/>
        <v>2026</v>
      </c>
    </row>
    <row r="2316">
      <c r="A2316" s="26">
        <v>46042.0</v>
      </c>
      <c r="B2316" s="28"/>
      <c r="C2316" s="27">
        <f t="shared" si="90"/>
        <v>46042</v>
      </c>
      <c r="D2316" s="28" t="s">
        <v>637</v>
      </c>
      <c r="E2316" s="29" t="s">
        <v>25</v>
      </c>
      <c r="F2316" s="28" t="s">
        <v>40</v>
      </c>
      <c r="G2316" s="29" t="s">
        <v>37</v>
      </c>
      <c r="H2316" s="28"/>
      <c r="I2316" s="37">
        <v>170.0</v>
      </c>
      <c r="J2316" s="34"/>
      <c r="K2316" s="37">
        <f t="shared" si="146"/>
        <v>170</v>
      </c>
      <c r="L2316" s="28" t="s">
        <v>29</v>
      </c>
      <c r="M2316" s="28"/>
      <c r="N2316" s="28" t="s">
        <v>201</v>
      </c>
      <c r="O2316" s="10" t="str">
        <f t="shared" si="79"/>
        <v>01/2026</v>
      </c>
      <c r="P2316" s="10" t="str">
        <f t="shared" si="121"/>
        <v>01/2026</v>
      </c>
      <c r="Q2316" s="15" t="str">
        <f t="array" ref="Q2316">IFERROR(XLOOKUP(N2316,'Classificação'!A:A,'Classificação'!B:B),"")</f>
        <v>DESPESAS COM OCUPAÇÃO</v>
      </c>
      <c r="R2316" s="15" t="str">
        <f t="array" ref="R2316">IFERROR(XLOOKUP(Q2316,'Classificação'!B:B,'Classificação'!C:C),"")</f>
        <v>DESPESAS FIXAS (-)</v>
      </c>
      <c r="S2316" s="15">
        <f t="shared" si="131"/>
        <v>20</v>
      </c>
      <c r="T2316" s="15">
        <f t="shared" si="128"/>
        <v>1</v>
      </c>
      <c r="U2316" s="15">
        <f t="shared" si="129"/>
        <v>2026</v>
      </c>
      <c r="V2316" s="15">
        <f t="shared" si="8"/>
        <v>20</v>
      </c>
      <c r="W2316" s="15">
        <f t="shared" si="9"/>
        <v>1</v>
      </c>
      <c r="X2316" s="15">
        <f t="shared" si="10"/>
        <v>2026</v>
      </c>
    </row>
    <row r="2317">
      <c r="A2317" s="9">
        <v>46042.0</v>
      </c>
      <c r="B2317" s="32">
        <v>46008.0</v>
      </c>
      <c r="C2317" s="9">
        <f t="shared" si="90"/>
        <v>46042</v>
      </c>
      <c r="D2317" s="11" t="s">
        <v>1190</v>
      </c>
      <c r="E2317" s="11" t="s">
        <v>25</v>
      </c>
      <c r="F2317" s="11" t="s">
        <v>107</v>
      </c>
      <c r="G2317" s="28" t="s">
        <v>27</v>
      </c>
      <c r="H2317" s="11" t="s">
        <v>1191</v>
      </c>
      <c r="I2317" s="31">
        <v>245.0</v>
      </c>
      <c r="J2317" s="13"/>
      <c r="K2317" s="13">
        <f t="shared" ref="K2317:K2337" si="147">if(E2317="pago",(I2317-J2317),"")</f>
        <v>245</v>
      </c>
      <c r="L2317" s="28" t="s">
        <v>53</v>
      </c>
      <c r="M2317" s="17">
        <v>45717.0</v>
      </c>
      <c r="N2317" s="11" t="s">
        <v>392</v>
      </c>
      <c r="O2317" s="10" t="str">
        <f t="shared" si="79"/>
        <v>01/2026</v>
      </c>
      <c r="P2317" s="10" t="str">
        <f t="shared" si="121"/>
        <v>01/2026</v>
      </c>
      <c r="Q2317" s="15" t="str">
        <f t="array" ref="Q2317">IFERROR(XLOOKUP(N2317,'Classificação'!A:A,'Classificação'!B:B),"")</f>
        <v>DESPESAS COM OCUPAÇÃO</v>
      </c>
      <c r="R2317" s="15" t="str">
        <f t="array" ref="R2317">IFERROR(XLOOKUP(Q2317,'Classificação'!B:B,'Classificação'!C:C),"")</f>
        <v>DESPESAS FIXAS (-)</v>
      </c>
      <c r="S2317" s="15">
        <f t="shared" si="131"/>
        <v>20</v>
      </c>
      <c r="T2317" s="15">
        <f t="shared" si="128"/>
        <v>1</v>
      </c>
      <c r="U2317" s="15">
        <f t="shared" si="129"/>
        <v>2026</v>
      </c>
      <c r="V2317" s="15">
        <f t="shared" si="8"/>
        <v>20</v>
      </c>
      <c r="W2317" s="15">
        <f t="shared" si="9"/>
        <v>1</v>
      </c>
      <c r="X2317" s="15">
        <f t="shared" si="10"/>
        <v>2026</v>
      </c>
    </row>
    <row r="2318">
      <c r="A2318" s="9">
        <v>46042.0</v>
      </c>
      <c r="B2318" s="32">
        <v>46007.0</v>
      </c>
      <c r="C2318" s="9">
        <f t="shared" si="90"/>
        <v>46042</v>
      </c>
      <c r="D2318" s="11" t="s">
        <v>65</v>
      </c>
      <c r="E2318" s="11" t="s">
        <v>25</v>
      </c>
      <c r="F2318" s="11" t="s">
        <v>107</v>
      </c>
      <c r="G2318" s="28" t="s">
        <v>27</v>
      </c>
      <c r="H2318" s="11" t="s">
        <v>1192</v>
      </c>
      <c r="I2318" s="31">
        <v>391.78</v>
      </c>
      <c r="J2318" s="13"/>
      <c r="K2318" s="13">
        <f t="shared" si="147"/>
        <v>391.78</v>
      </c>
      <c r="L2318" s="11" t="s">
        <v>53</v>
      </c>
      <c r="M2318" s="17">
        <v>45717.0</v>
      </c>
      <c r="N2318" s="11" t="s">
        <v>64</v>
      </c>
      <c r="O2318" s="10" t="str">
        <f t="shared" si="79"/>
        <v>01/2026</v>
      </c>
      <c r="P2318" s="10" t="str">
        <f t="shared" si="121"/>
        <v>01/2026</v>
      </c>
      <c r="Q2318" s="15" t="str">
        <f t="array" ref="Q2318">IFERROR(XLOOKUP(N2318,'Classificação'!A:A,'Classificação'!B:B),"")</f>
        <v>DESPESAS COM PESSOAL</v>
      </c>
      <c r="R2318" s="15" t="str">
        <f t="array" ref="R2318">IFERROR(XLOOKUP(Q2318,'Classificação'!B:B,'Classificação'!C:C),"")</f>
        <v>DESPESAS FIXAS (-)</v>
      </c>
      <c r="S2318" s="15">
        <f t="shared" si="131"/>
        <v>20</v>
      </c>
      <c r="T2318" s="15">
        <f t="shared" si="128"/>
        <v>1</v>
      </c>
      <c r="U2318" s="15">
        <f t="shared" si="129"/>
        <v>2026</v>
      </c>
      <c r="V2318" s="15">
        <f t="shared" si="8"/>
        <v>20</v>
      </c>
      <c r="W2318" s="15">
        <f t="shared" si="9"/>
        <v>1</v>
      </c>
      <c r="X2318" s="15">
        <f t="shared" si="10"/>
        <v>2026</v>
      </c>
    </row>
    <row r="2319">
      <c r="A2319" s="9">
        <v>46042.0</v>
      </c>
      <c r="B2319" s="32">
        <v>46007.0</v>
      </c>
      <c r="C2319" s="9">
        <f t="shared" si="90"/>
        <v>46042</v>
      </c>
      <c r="D2319" s="11" t="s">
        <v>65</v>
      </c>
      <c r="E2319" s="11" t="s">
        <v>25</v>
      </c>
      <c r="F2319" s="11" t="s">
        <v>107</v>
      </c>
      <c r="G2319" s="28" t="s">
        <v>27</v>
      </c>
      <c r="H2319" s="11" t="s">
        <v>1192</v>
      </c>
      <c r="I2319" s="31">
        <v>134.75</v>
      </c>
      <c r="J2319" s="13"/>
      <c r="K2319" s="13">
        <f t="shared" si="147"/>
        <v>134.75</v>
      </c>
      <c r="L2319" s="11" t="s">
        <v>53</v>
      </c>
      <c r="M2319" s="17">
        <v>45748.0</v>
      </c>
      <c r="N2319" s="11" t="s">
        <v>64</v>
      </c>
      <c r="O2319" s="10" t="str">
        <f t="shared" si="79"/>
        <v>01/2026</v>
      </c>
      <c r="P2319" s="10" t="str">
        <f t="shared" si="121"/>
        <v>01/2026</v>
      </c>
      <c r="Q2319" s="15" t="str">
        <f t="array" ref="Q2319">IFERROR(XLOOKUP(N2319,'Classificação'!A:A,'Classificação'!B:B),"")</f>
        <v>DESPESAS COM PESSOAL</v>
      </c>
      <c r="R2319" s="15" t="str">
        <f t="array" ref="R2319">IFERROR(XLOOKUP(Q2319,'Classificação'!B:B,'Classificação'!C:C),"")</f>
        <v>DESPESAS FIXAS (-)</v>
      </c>
      <c r="S2319" s="15">
        <f t="shared" si="131"/>
        <v>20</v>
      </c>
      <c r="T2319" s="15">
        <f t="shared" si="128"/>
        <v>1</v>
      </c>
      <c r="U2319" s="15">
        <f t="shared" si="129"/>
        <v>2026</v>
      </c>
      <c r="V2319" s="15">
        <f t="shared" si="8"/>
        <v>20</v>
      </c>
      <c r="W2319" s="15">
        <f t="shared" si="9"/>
        <v>1</v>
      </c>
      <c r="X2319" s="15">
        <f t="shared" si="10"/>
        <v>2026</v>
      </c>
    </row>
    <row r="2320">
      <c r="A2320" s="9">
        <v>46042.0</v>
      </c>
      <c r="B2320" s="32">
        <v>46010.0</v>
      </c>
      <c r="C2320" s="9">
        <f t="shared" si="90"/>
        <v>46042</v>
      </c>
      <c r="D2320" s="29" t="s">
        <v>1193</v>
      </c>
      <c r="E2320" s="11" t="s">
        <v>25</v>
      </c>
      <c r="F2320" s="11" t="s">
        <v>107</v>
      </c>
      <c r="G2320" s="28" t="s">
        <v>27</v>
      </c>
      <c r="H2320" s="11" t="s">
        <v>1194</v>
      </c>
      <c r="I2320" s="31">
        <v>246.7</v>
      </c>
      <c r="J2320" s="13"/>
      <c r="K2320" s="13">
        <f t="shared" si="147"/>
        <v>246.7</v>
      </c>
      <c r="L2320" s="28" t="s">
        <v>53</v>
      </c>
      <c r="M2320" s="17">
        <v>45809.0</v>
      </c>
      <c r="N2320" s="11" t="s">
        <v>95</v>
      </c>
      <c r="O2320" s="10" t="str">
        <f t="shared" si="79"/>
        <v>01/2026</v>
      </c>
      <c r="P2320" s="10" t="str">
        <f t="shared" si="121"/>
        <v>01/2026</v>
      </c>
      <c r="Q2320" s="15" t="str">
        <f t="array" ref="Q2320">IFERROR(XLOOKUP(N2320,'Classificação'!A:A,'Classificação'!B:B),"")</f>
        <v>DESPESAS NÃO OPERACIONAIS</v>
      </c>
      <c r="R2320" s="15" t="str">
        <f t="array" ref="R2320">IFERROR(XLOOKUP(Q2320,'Classificação'!B:B,'Classificação'!C:C),"")</f>
        <v>RESULTADO NÃO OPERACIONAL (+/-)</v>
      </c>
      <c r="S2320" s="15">
        <f t="shared" si="131"/>
        <v>20</v>
      </c>
      <c r="T2320" s="15">
        <f t="shared" si="128"/>
        <v>1</v>
      </c>
      <c r="U2320" s="15">
        <f t="shared" si="129"/>
        <v>2026</v>
      </c>
      <c r="V2320" s="15">
        <f t="shared" si="8"/>
        <v>20</v>
      </c>
      <c r="W2320" s="15">
        <f t="shared" si="9"/>
        <v>1</v>
      </c>
      <c r="X2320" s="15">
        <f t="shared" si="10"/>
        <v>2026</v>
      </c>
    </row>
    <row r="2321">
      <c r="A2321" s="9">
        <v>46042.0</v>
      </c>
      <c r="B2321" s="9">
        <v>46024.0</v>
      </c>
      <c r="C2321" s="9">
        <f t="shared" si="90"/>
        <v>46042</v>
      </c>
      <c r="D2321" s="29" t="s">
        <v>1195</v>
      </c>
      <c r="E2321" s="11" t="s">
        <v>25</v>
      </c>
      <c r="F2321" s="11" t="s">
        <v>107</v>
      </c>
      <c r="G2321" s="28" t="s">
        <v>27</v>
      </c>
      <c r="H2321" s="11" t="s">
        <v>1196</v>
      </c>
      <c r="I2321" s="31">
        <v>283.71</v>
      </c>
      <c r="J2321" s="13"/>
      <c r="K2321" s="13">
        <f t="shared" si="147"/>
        <v>283.71</v>
      </c>
      <c r="L2321" s="28" t="s">
        <v>53</v>
      </c>
      <c r="M2321" s="17">
        <v>46082.0</v>
      </c>
      <c r="N2321" s="11" t="s">
        <v>392</v>
      </c>
      <c r="O2321" s="10" t="str">
        <f t="shared" si="79"/>
        <v>01/2026</v>
      </c>
      <c r="P2321" s="10" t="str">
        <f t="shared" si="121"/>
        <v>01/2026</v>
      </c>
      <c r="Q2321" s="15" t="str">
        <f t="array" ref="Q2321">IFERROR(XLOOKUP(N2321,'Classificação'!A:A,'Classificação'!B:B),"")</f>
        <v>DESPESAS COM OCUPAÇÃO</v>
      </c>
      <c r="R2321" s="15" t="str">
        <f t="array" ref="R2321">IFERROR(XLOOKUP(Q2321,'Classificação'!B:B,'Classificação'!C:C),"")</f>
        <v>DESPESAS FIXAS (-)</v>
      </c>
      <c r="S2321" s="15">
        <f t="shared" si="131"/>
        <v>20</v>
      </c>
      <c r="T2321" s="15">
        <f t="shared" si="128"/>
        <v>1</v>
      </c>
      <c r="U2321" s="15">
        <f t="shared" si="129"/>
        <v>2026</v>
      </c>
      <c r="V2321" s="15">
        <f t="shared" si="8"/>
        <v>20</v>
      </c>
      <c r="W2321" s="15">
        <f t="shared" si="9"/>
        <v>1</v>
      </c>
      <c r="X2321" s="15">
        <f t="shared" si="10"/>
        <v>2026</v>
      </c>
    </row>
    <row r="2322">
      <c r="A2322" s="9">
        <v>46042.0</v>
      </c>
      <c r="B2322" s="32">
        <v>46014.0</v>
      </c>
      <c r="C2322" s="9">
        <f t="shared" si="90"/>
        <v>46042</v>
      </c>
      <c r="D2322" s="11" t="s">
        <v>65</v>
      </c>
      <c r="E2322" s="11" t="s">
        <v>25</v>
      </c>
      <c r="F2322" s="11" t="s">
        <v>107</v>
      </c>
      <c r="G2322" s="11" t="s">
        <v>27</v>
      </c>
      <c r="H2322" s="11" t="s">
        <v>1197</v>
      </c>
      <c r="I2322" s="31">
        <v>119.38</v>
      </c>
      <c r="J2322" s="13"/>
      <c r="K2322" s="13">
        <f t="shared" si="147"/>
        <v>119.38</v>
      </c>
      <c r="L2322" s="11" t="s">
        <v>53</v>
      </c>
      <c r="M2322" s="17">
        <v>46143.0</v>
      </c>
      <c r="N2322" s="11" t="s">
        <v>95</v>
      </c>
      <c r="O2322" s="10" t="str">
        <f t="shared" si="79"/>
        <v>01/2026</v>
      </c>
      <c r="P2322" s="10" t="str">
        <f t="shared" si="121"/>
        <v>01/2026</v>
      </c>
      <c r="Q2322" s="15" t="str">
        <f t="array" ref="Q2322">IFERROR(XLOOKUP(N2322,'Classificação'!A:A,'Classificação'!B:B),"")</f>
        <v>DESPESAS NÃO OPERACIONAIS</v>
      </c>
      <c r="R2322" s="15" t="str">
        <f t="array" ref="R2322">IFERROR(XLOOKUP(Q2322,'Classificação'!B:B,'Classificação'!C:C),"")</f>
        <v>RESULTADO NÃO OPERACIONAL (+/-)</v>
      </c>
      <c r="S2322" s="15">
        <f t="shared" si="131"/>
        <v>20</v>
      </c>
      <c r="T2322" s="15">
        <f t="shared" si="128"/>
        <v>1</v>
      </c>
      <c r="U2322" s="15">
        <f t="shared" si="129"/>
        <v>2026</v>
      </c>
      <c r="V2322" s="15">
        <f t="shared" si="8"/>
        <v>20</v>
      </c>
      <c r="W2322" s="15">
        <f t="shared" si="9"/>
        <v>1</v>
      </c>
      <c r="X2322" s="15">
        <f t="shared" si="10"/>
        <v>2026</v>
      </c>
    </row>
    <row r="2323">
      <c r="A2323" s="9">
        <v>46042.0</v>
      </c>
      <c r="B2323" s="32">
        <v>46382.0</v>
      </c>
      <c r="C2323" s="9">
        <f t="shared" si="90"/>
        <v>46042</v>
      </c>
      <c r="D2323" s="11" t="s">
        <v>65</v>
      </c>
      <c r="E2323" s="11" t="s">
        <v>25</v>
      </c>
      <c r="F2323" s="11" t="s">
        <v>107</v>
      </c>
      <c r="G2323" s="11" t="s">
        <v>27</v>
      </c>
      <c r="H2323" s="11" t="s">
        <v>1198</v>
      </c>
      <c r="I2323" s="31">
        <v>146.82</v>
      </c>
      <c r="J2323" s="13"/>
      <c r="K2323" s="13">
        <f t="shared" si="147"/>
        <v>146.82</v>
      </c>
      <c r="L2323" s="11" t="s">
        <v>53</v>
      </c>
      <c r="M2323" s="17">
        <v>46082.0</v>
      </c>
      <c r="N2323" s="11" t="s">
        <v>95</v>
      </c>
      <c r="O2323" s="10" t="str">
        <f t="shared" si="79"/>
        <v>01/2026</v>
      </c>
      <c r="P2323" s="10" t="str">
        <f t="shared" si="121"/>
        <v>01/2026</v>
      </c>
      <c r="Q2323" s="15" t="str">
        <f t="array" ref="Q2323">IFERROR(XLOOKUP(N2323,'Classificação'!A:A,'Classificação'!B:B),"")</f>
        <v>DESPESAS NÃO OPERACIONAIS</v>
      </c>
      <c r="R2323" s="15" t="str">
        <f t="array" ref="R2323">IFERROR(XLOOKUP(Q2323,'Classificação'!B:B,'Classificação'!C:C),"")</f>
        <v>RESULTADO NÃO OPERACIONAL (+/-)</v>
      </c>
      <c r="S2323" s="15">
        <f t="shared" si="131"/>
        <v>20</v>
      </c>
      <c r="T2323" s="15">
        <f t="shared" si="128"/>
        <v>1</v>
      </c>
      <c r="U2323" s="15">
        <f t="shared" si="129"/>
        <v>2026</v>
      </c>
      <c r="V2323" s="15">
        <f t="shared" si="8"/>
        <v>20</v>
      </c>
      <c r="W2323" s="15">
        <f t="shared" si="9"/>
        <v>1</v>
      </c>
      <c r="X2323" s="15">
        <f t="shared" si="10"/>
        <v>2026</v>
      </c>
    </row>
    <row r="2324">
      <c r="A2324" s="9">
        <v>46042.0</v>
      </c>
      <c r="B2324" s="32">
        <v>46385.0</v>
      </c>
      <c r="C2324" s="9">
        <f t="shared" si="90"/>
        <v>46042</v>
      </c>
      <c r="D2324" s="11" t="s">
        <v>65</v>
      </c>
      <c r="E2324" s="11" t="s">
        <v>25</v>
      </c>
      <c r="F2324" s="11" t="s">
        <v>107</v>
      </c>
      <c r="G2324" s="11" t="s">
        <v>27</v>
      </c>
      <c r="H2324" s="11" t="s">
        <v>1199</v>
      </c>
      <c r="I2324" s="31">
        <v>106.94</v>
      </c>
      <c r="J2324" s="13"/>
      <c r="K2324" s="13">
        <f t="shared" si="147"/>
        <v>106.94</v>
      </c>
      <c r="L2324" s="11" t="s">
        <v>34</v>
      </c>
      <c r="M2324" s="14"/>
      <c r="N2324" s="11" t="s">
        <v>95</v>
      </c>
      <c r="O2324" s="10" t="str">
        <f t="shared" si="79"/>
        <v>01/2026</v>
      </c>
      <c r="P2324" s="10" t="str">
        <f t="shared" si="121"/>
        <v>01/2026</v>
      </c>
      <c r="Q2324" s="15" t="str">
        <f t="array" ref="Q2324">IFERROR(XLOOKUP(N2324,'Classificação'!A:A,'Classificação'!B:B),"")</f>
        <v>DESPESAS NÃO OPERACIONAIS</v>
      </c>
      <c r="R2324" s="15" t="str">
        <f t="array" ref="R2324">IFERROR(XLOOKUP(Q2324,'Classificação'!B:B,'Classificação'!C:C),"")</f>
        <v>RESULTADO NÃO OPERACIONAL (+/-)</v>
      </c>
      <c r="S2324" s="15">
        <f t="shared" si="131"/>
        <v>20</v>
      </c>
      <c r="T2324" s="15">
        <f t="shared" si="128"/>
        <v>1</v>
      </c>
      <c r="U2324" s="15">
        <f t="shared" si="129"/>
        <v>2026</v>
      </c>
      <c r="V2324" s="15">
        <f t="shared" si="8"/>
        <v>20</v>
      </c>
      <c r="W2324" s="15">
        <f t="shared" si="9"/>
        <v>1</v>
      </c>
      <c r="X2324" s="15">
        <f t="shared" si="10"/>
        <v>2026</v>
      </c>
    </row>
    <row r="2325">
      <c r="A2325" s="9">
        <v>46042.0</v>
      </c>
      <c r="B2325" s="9">
        <v>46028.0</v>
      </c>
      <c r="C2325" s="9">
        <f t="shared" si="90"/>
        <v>46042</v>
      </c>
      <c r="D2325" s="11" t="s">
        <v>508</v>
      </c>
      <c r="E2325" s="11" t="s">
        <v>25</v>
      </c>
      <c r="F2325" s="11" t="s">
        <v>107</v>
      </c>
      <c r="G2325" s="28" t="s">
        <v>27</v>
      </c>
      <c r="H2325" s="11" t="s">
        <v>1200</v>
      </c>
      <c r="I2325" s="31">
        <v>8.5</v>
      </c>
      <c r="J2325" s="13"/>
      <c r="K2325" s="13">
        <f t="shared" si="147"/>
        <v>8.5</v>
      </c>
      <c r="L2325" s="11" t="s">
        <v>34</v>
      </c>
      <c r="M2325" s="14"/>
      <c r="N2325" s="11" t="s">
        <v>392</v>
      </c>
      <c r="O2325" s="10" t="str">
        <f t="shared" si="79"/>
        <v>01/2026</v>
      </c>
      <c r="P2325" s="10" t="str">
        <f t="shared" si="121"/>
        <v>01/2026</v>
      </c>
      <c r="Q2325" s="15" t="str">
        <f t="array" ref="Q2325">IFERROR(XLOOKUP(N2325,'Classificação'!A:A,'Classificação'!B:B),"")</f>
        <v>DESPESAS COM OCUPAÇÃO</v>
      </c>
      <c r="R2325" s="15" t="str">
        <f t="array" ref="R2325">IFERROR(XLOOKUP(Q2325,'Classificação'!B:B,'Classificação'!C:C),"")</f>
        <v>DESPESAS FIXAS (-)</v>
      </c>
      <c r="S2325" s="15">
        <f t="shared" si="131"/>
        <v>20</v>
      </c>
      <c r="T2325" s="15">
        <f t="shared" si="128"/>
        <v>1</v>
      </c>
      <c r="U2325" s="15">
        <f t="shared" si="129"/>
        <v>2026</v>
      </c>
      <c r="V2325" s="15">
        <f t="shared" si="8"/>
        <v>20</v>
      </c>
      <c r="W2325" s="15">
        <f t="shared" si="9"/>
        <v>1</v>
      </c>
      <c r="X2325" s="15">
        <f t="shared" si="10"/>
        <v>2026</v>
      </c>
    </row>
    <row r="2326">
      <c r="A2326" s="9">
        <v>46042.0</v>
      </c>
      <c r="B2326" s="9">
        <v>46028.0</v>
      </c>
      <c r="C2326" s="9">
        <f t="shared" si="90"/>
        <v>46042</v>
      </c>
      <c r="D2326" s="11" t="s">
        <v>861</v>
      </c>
      <c r="E2326" s="11" t="s">
        <v>25</v>
      </c>
      <c r="F2326" s="11" t="s">
        <v>107</v>
      </c>
      <c r="G2326" s="28" t="s">
        <v>27</v>
      </c>
      <c r="H2326" s="11" t="s">
        <v>1201</v>
      </c>
      <c r="I2326" s="31">
        <v>197.0</v>
      </c>
      <c r="J2326" s="13"/>
      <c r="K2326" s="13">
        <f t="shared" si="147"/>
        <v>197</v>
      </c>
      <c r="L2326" s="11" t="s">
        <v>34</v>
      </c>
      <c r="M2326" s="14"/>
      <c r="N2326" s="11" t="s">
        <v>392</v>
      </c>
      <c r="O2326" s="10" t="str">
        <f t="shared" si="79"/>
        <v>01/2026</v>
      </c>
      <c r="P2326" s="10" t="str">
        <f t="shared" si="121"/>
        <v>01/2026</v>
      </c>
      <c r="Q2326" s="15" t="str">
        <f t="array" ref="Q2326">IFERROR(XLOOKUP(N2326,'Classificação'!A:A,'Classificação'!B:B),"")</f>
        <v>DESPESAS COM OCUPAÇÃO</v>
      </c>
      <c r="R2326" s="15" t="str">
        <f t="array" ref="R2326">IFERROR(XLOOKUP(Q2326,'Classificação'!B:B,'Classificação'!C:C),"")</f>
        <v>DESPESAS FIXAS (-)</v>
      </c>
      <c r="S2326" s="15">
        <f t="shared" si="131"/>
        <v>20</v>
      </c>
      <c r="T2326" s="15">
        <f t="shared" si="128"/>
        <v>1</v>
      </c>
      <c r="U2326" s="15">
        <f t="shared" si="129"/>
        <v>2026</v>
      </c>
      <c r="V2326" s="15">
        <f t="shared" si="8"/>
        <v>20</v>
      </c>
      <c r="W2326" s="15">
        <f t="shared" si="9"/>
        <v>1</v>
      </c>
      <c r="X2326" s="15">
        <f t="shared" si="10"/>
        <v>2026</v>
      </c>
    </row>
    <row r="2327">
      <c r="A2327" s="9">
        <v>46042.0</v>
      </c>
      <c r="B2327" s="9">
        <v>46028.0</v>
      </c>
      <c r="C2327" s="9">
        <f t="shared" si="90"/>
        <v>46042</v>
      </c>
      <c r="D2327" s="11" t="s">
        <v>861</v>
      </c>
      <c r="E2327" s="11" t="s">
        <v>25</v>
      </c>
      <c r="F2327" s="11" t="s">
        <v>107</v>
      </c>
      <c r="G2327" s="28" t="s">
        <v>27</v>
      </c>
      <c r="H2327" s="11" t="s">
        <v>1201</v>
      </c>
      <c r="I2327" s="31">
        <v>10.0</v>
      </c>
      <c r="J2327" s="13"/>
      <c r="K2327" s="13">
        <f t="shared" si="147"/>
        <v>10</v>
      </c>
      <c r="L2327" s="11" t="s">
        <v>34</v>
      </c>
      <c r="M2327" s="14"/>
      <c r="N2327" s="11" t="s">
        <v>392</v>
      </c>
      <c r="O2327" s="10" t="str">
        <f t="shared" si="79"/>
        <v>01/2026</v>
      </c>
      <c r="P2327" s="10" t="str">
        <f t="shared" si="121"/>
        <v>01/2026</v>
      </c>
      <c r="Q2327" s="15" t="str">
        <f t="array" ref="Q2327">IFERROR(XLOOKUP(N2327,'Classificação'!A:A,'Classificação'!B:B),"")</f>
        <v>DESPESAS COM OCUPAÇÃO</v>
      </c>
      <c r="S2327" s="15">
        <f t="shared" si="131"/>
        <v>20</v>
      </c>
      <c r="T2327" s="15">
        <f t="shared" si="128"/>
        <v>1</v>
      </c>
      <c r="U2327" s="15">
        <f t="shared" si="129"/>
        <v>2026</v>
      </c>
      <c r="V2327" s="15">
        <f t="shared" si="8"/>
        <v>20</v>
      </c>
      <c r="W2327" s="15">
        <f t="shared" si="9"/>
        <v>1</v>
      </c>
      <c r="X2327" s="15">
        <f t="shared" si="10"/>
        <v>2026</v>
      </c>
    </row>
    <row r="2328">
      <c r="A2328" s="9">
        <v>46042.0</v>
      </c>
      <c r="B2328" s="32">
        <v>46009.0</v>
      </c>
      <c r="C2328" s="9">
        <f t="shared" si="90"/>
        <v>46042</v>
      </c>
      <c r="D2328" s="29" t="s">
        <v>499</v>
      </c>
      <c r="E2328" s="11" t="s">
        <v>25</v>
      </c>
      <c r="F2328" s="11" t="s">
        <v>110</v>
      </c>
      <c r="G2328" s="28" t="s">
        <v>27</v>
      </c>
      <c r="H2328" s="11" t="s">
        <v>1202</v>
      </c>
      <c r="I2328" s="31">
        <v>46.1</v>
      </c>
      <c r="J2328" s="13"/>
      <c r="K2328" s="13">
        <f t="shared" si="147"/>
        <v>46.1</v>
      </c>
      <c r="L2328" s="11" t="s">
        <v>34</v>
      </c>
      <c r="M2328" s="14"/>
      <c r="N2328" s="11" t="s">
        <v>394</v>
      </c>
      <c r="O2328" s="10" t="str">
        <f t="shared" si="79"/>
        <v>01/2026</v>
      </c>
      <c r="P2328" s="10" t="str">
        <f t="shared" si="121"/>
        <v>01/2026</v>
      </c>
      <c r="Q2328" s="15" t="str">
        <f t="array" ref="Q2328">IFERROR(XLOOKUP(N2328,'Classificação'!A:A,'Classificação'!B:B),"")</f>
        <v>DESPESAS NÃO OPERACIONAIS</v>
      </c>
      <c r="S2328" s="15">
        <f t="shared" si="131"/>
        <v>20</v>
      </c>
      <c r="T2328" s="15">
        <f t="shared" si="128"/>
        <v>1</v>
      </c>
      <c r="U2328" s="15">
        <f t="shared" si="129"/>
        <v>2026</v>
      </c>
      <c r="V2328" s="15">
        <f t="shared" si="8"/>
        <v>20</v>
      </c>
      <c r="W2328" s="15">
        <f t="shared" si="9"/>
        <v>1</v>
      </c>
      <c r="X2328" s="15">
        <f t="shared" si="10"/>
        <v>2026</v>
      </c>
    </row>
    <row r="2329">
      <c r="A2329" s="9">
        <v>46042.0</v>
      </c>
      <c r="B2329" s="9">
        <v>46028.0</v>
      </c>
      <c r="C2329" s="9">
        <f t="shared" si="90"/>
        <v>46042</v>
      </c>
      <c r="D2329" s="11" t="s">
        <v>508</v>
      </c>
      <c r="E2329" s="11" t="s">
        <v>25</v>
      </c>
      <c r="F2329" s="11" t="s">
        <v>107</v>
      </c>
      <c r="G2329" s="28" t="s">
        <v>27</v>
      </c>
      <c r="H2329" s="11" t="s">
        <v>1201</v>
      </c>
      <c r="I2329" s="31">
        <v>7.5</v>
      </c>
      <c r="J2329" s="13"/>
      <c r="K2329" s="13">
        <f t="shared" si="147"/>
        <v>7.5</v>
      </c>
      <c r="L2329" s="11" t="s">
        <v>34</v>
      </c>
      <c r="M2329" s="14"/>
      <c r="N2329" s="11" t="s">
        <v>392</v>
      </c>
      <c r="O2329" s="10" t="str">
        <f t="shared" si="79"/>
        <v>01/2026</v>
      </c>
      <c r="P2329" s="10" t="str">
        <f t="shared" si="121"/>
        <v>01/2026</v>
      </c>
      <c r="Q2329" s="15" t="str">
        <f t="array" ref="Q2329">IFERROR(XLOOKUP(N2329,'Classificação'!A:A,'Classificação'!B:B),"")</f>
        <v>DESPESAS COM OCUPAÇÃO</v>
      </c>
      <c r="S2329" s="15">
        <f t="shared" si="131"/>
        <v>20</v>
      </c>
      <c r="T2329" s="15">
        <f t="shared" si="128"/>
        <v>1</v>
      </c>
      <c r="U2329" s="15">
        <f t="shared" si="129"/>
        <v>2026</v>
      </c>
      <c r="V2329" s="15">
        <f t="shared" si="8"/>
        <v>20</v>
      </c>
      <c r="W2329" s="15">
        <f t="shared" si="9"/>
        <v>1</v>
      </c>
      <c r="X2329" s="15">
        <f t="shared" si="10"/>
        <v>2026</v>
      </c>
    </row>
    <row r="2330">
      <c r="A2330" s="9">
        <v>46042.0</v>
      </c>
      <c r="B2330" s="32">
        <v>46010.0</v>
      </c>
      <c r="C2330" s="9">
        <f t="shared" si="90"/>
        <v>46042</v>
      </c>
      <c r="D2330" s="11" t="s">
        <v>65</v>
      </c>
      <c r="E2330" s="11" t="s">
        <v>25</v>
      </c>
      <c r="F2330" s="11" t="s">
        <v>107</v>
      </c>
      <c r="G2330" s="28" t="s">
        <v>27</v>
      </c>
      <c r="H2330" s="11" t="s">
        <v>1203</v>
      </c>
      <c r="I2330" s="31">
        <v>209.93</v>
      </c>
      <c r="J2330" s="13"/>
      <c r="K2330" s="13">
        <f t="shared" si="147"/>
        <v>209.93</v>
      </c>
      <c r="L2330" s="11" t="s">
        <v>34</v>
      </c>
      <c r="M2330" s="14"/>
      <c r="N2330" s="11" t="s">
        <v>259</v>
      </c>
      <c r="O2330" s="10" t="str">
        <f t="shared" si="79"/>
        <v>01/2026</v>
      </c>
      <c r="P2330" s="10" t="str">
        <f t="shared" si="121"/>
        <v>01/2026</v>
      </c>
      <c r="Q2330" s="15" t="str">
        <f t="array" ref="Q2330">IFERROR(XLOOKUP(N2330,'Classificação'!A:A,'Classificação'!B:B),"")</f>
        <v>DESPESAS ADMINISTRATIVAS</v>
      </c>
      <c r="R2330" s="15" t="str">
        <f t="array" ref="R2330">IFERROR(XLOOKUP(Q2330,'Classificação'!B:B,'Classificação'!C:C),"")</f>
        <v>DESPESAS FIXAS (-)</v>
      </c>
      <c r="S2330" s="15">
        <f t="shared" si="131"/>
        <v>20</v>
      </c>
      <c r="T2330" s="15">
        <f t="shared" si="128"/>
        <v>1</v>
      </c>
      <c r="U2330" s="15">
        <f t="shared" si="129"/>
        <v>2026</v>
      </c>
      <c r="V2330" s="15">
        <f t="shared" si="8"/>
        <v>20</v>
      </c>
      <c r="W2330" s="15">
        <f t="shared" si="9"/>
        <v>1</v>
      </c>
      <c r="X2330" s="15">
        <f t="shared" si="10"/>
        <v>2026</v>
      </c>
    </row>
    <row r="2331">
      <c r="A2331" s="9">
        <v>46042.0</v>
      </c>
      <c r="B2331" s="32">
        <v>46011.0</v>
      </c>
      <c r="C2331" s="9">
        <f t="shared" si="90"/>
        <v>46042</v>
      </c>
      <c r="D2331" s="11" t="s">
        <v>65</v>
      </c>
      <c r="E2331" s="11" t="s">
        <v>25</v>
      </c>
      <c r="F2331" s="11" t="s">
        <v>107</v>
      </c>
      <c r="G2331" s="28" t="s">
        <v>27</v>
      </c>
      <c r="H2331" s="11" t="s">
        <v>1204</v>
      </c>
      <c r="I2331" s="31">
        <v>216.58</v>
      </c>
      <c r="J2331" s="13"/>
      <c r="K2331" s="13">
        <f t="shared" si="147"/>
        <v>216.58</v>
      </c>
      <c r="L2331" s="11" t="s">
        <v>53</v>
      </c>
      <c r="M2331" s="17">
        <v>46082.0</v>
      </c>
      <c r="N2331" s="11" t="s">
        <v>116</v>
      </c>
      <c r="O2331" s="10" t="str">
        <f t="shared" si="79"/>
        <v>01/2026</v>
      </c>
      <c r="P2331" s="10" t="str">
        <f t="shared" si="121"/>
        <v>01/2026</v>
      </c>
      <c r="Q2331" s="15" t="str">
        <f t="array" ref="Q2331">IFERROR(XLOOKUP(N2331,'Classificação'!A:A,'Classificação'!B:B),"")</f>
        <v>DESPESAS COM OCUPAÇÃO</v>
      </c>
      <c r="R2331" s="15" t="str">
        <f t="array" ref="R2331">IFERROR(XLOOKUP(Q2331,'Classificação'!B:B,'Classificação'!C:C),"")</f>
        <v>DESPESAS FIXAS (-)</v>
      </c>
      <c r="S2331" s="15">
        <f t="shared" si="131"/>
        <v>20</v>
      </c>
      <c r="T2331" s="15">
        <f t="shared" si="128"/>
        <v>1</v>
      </c>
      <c r="U2331" s="15">
        <f t="shared" si="129"/>
        <v>2026</v>
      </c>
      <c r="V2331" s="15">
        <f t="shared" si="8"/>
        <v>20</v>
      </c>
      <c r="W2331" s="15">
        <f t="shared" si="9"/>
        <v>1</v>
      </c>
      <c r="X2331" s="15">
        <f t="shared" si="10"/>
        <v>2026</v>
      </c>
    </row>
    <row r="2332">
      <c r="A2332" s="9">
        <v>46042.0</v>
      </c>
      <c r="B2332" s="32">
        <v>46011.0</v>
      </c>
      <c r="C2332" s="9">
        <f t="shared" si="90"/>
        <v>46042</v>
      </c>
      <c r="D2332" s="11" t="s">
        <v>65</v>
      </c>
      <c r="E2332" s="11" t="s">
        <v>25</v>
      </c>
      <c r="F2332" s="11" t="s">
        <v>107</v>
      </c>
      <c r="G2332" s="28" t="s">
        <v>27</v>
      </c>
      <c r="H2332" s="11" t="s">
        <v>1204</v>
      </c>
      <c r="I2332" s="31">
        <v>19.15</v>
      </c>
      <c r="J2332" s="13"/>
      <c r="K2332" s="13">
        <f t="shared" si="147"/>
        <v>19.15</v>
      </c>
      <c r="L2332" s="11" t="s">
        <v>34</v>
      </c>
      <c r="M2332" s="14"/>
      <c r="N2332" s="11" t="s">
        <v>116</v>
      </c>
      <c r="O2332" s="10" t="str">
        <f t="shared" si="79"/>
        <v>01/2026</v>
      </c>
      <c r="P2332" s="10" t="str">
        <f t="shared" si="121"/>
        <v>01/2026</v>
      </c>
      <c r="Q2332" s="15" t="str">
        <f t="array" ref="Q2332">IFERROR(XLOOKUP(N2332,'Classificação'!A:A,'Classificação'!B:B),"")</f>
        <v>DESPESAS COM OCUPAÇÃO</v>
      </c>
      <c r="R2332" s="15" t="str">
        <f t="array" ref="R2332">IFERROR(XLOOKUP(Q2332,'Classificação'!B:B,'Classificação'!C:C),"")</f>
        <v>DESPESAS FIXAS (-)</v>
      </c>
      <c r="S2332" s="15">
        <f t="shared" si="131"/>
        <v>20</v>
      </c>
      <c r="T2332" s="15">
        <f t="shared" si="128"/>
        <v>1</v>
      </c>
      <c r="U2332" s="15">
        <f t="shared" si="129"/>
        <v>2026</v>
      </c>
      <c r="V2332" s="15">
        <f t="shared" si="8"/>
        <v>20</v>
      </c>
      <c r="W2332" s="15">
        <f t="shared" si="9"/>
        <v>1</v>
      </c>
      <c r="X2332" s="15">
        <f t="shared" si="10"/>
        <v>2026</v>
      </c>
    </row>
    <row r="2333">
      <c r="A2333" s="9">
        <v>46042.0</v>
      </c>
      <c r="B2333" s="32">
        <v>46013.0</v>
      </c>
      <c r="C2333" s="9">
        <f t="shared" si="90"/>
        <v>46042</v>
      </c>
      <c r="D2333" s="11" t="s">
        <v>1205</v>
      </c>
      <c r="E2333" s="11" t="s">
        <v>25</v>
      </c>
      <c r="F2333" s="11" t="s">
        <v>107</v>
      </c>
      <c r="G2333" s="28" t="s">
        <v>27</v>
      </c>
      <c r="H2333" s="11" t="s">
        <v>1206</v>
      </c>
      <c r="I2333" s="31">
        <v>108.87</v>
      </c>
      <c r="J2333" s="13"/>
      <c r="K2333" s="13">
        <f t="shared" si="147"/>
        <v>108.87</v>
      </c>
      <c r="L2333" s="11" t="s">
        <v>53</v>
      </c>
      <c r="M2333" s="17">
        <v>45748.0</v>
      </c>
      <c r="N2333" s="11" t="s">
        <v>175</v>
      </c>
      <c r="O2333" s="10" t="str">
        <f t="shared" si="79"/>
        <v>01/2026</v>
      </c>
      <c r="P2333" s="10" t="str">
        <f t="shared" si="121"/>
        <v>01/2026</v>
      </c>
      <c r="Q2333" s="15" t="str">
        <f t="array" ref="Q2333">IFERROR(XLOOKUP(N2333,'Classificação'!A:A,'Classificação'!B:B),"")</f>
        <v>DESPESAS COM VEICULOS</v>
      </c>
      <c r="R2333" s="15" t="str">
        <f t="array" ref="R2333">IFERROR(XLOOKUP(Q2333,'Classificação'!B:B,'Classificação'!C:C),"")</f>
        <v>DESPESAS FIXAS (-)</v>
      </c>
      <c r="S2333" s="15">
        <f t="shared" si="131"/>
        <v>20</v>
      </c>
      <c r="T2333" s="15">
        <f t="shared" si="128"/>
        <v>1</v>
      </c>
      <c r="U2333" s="15">
        <f t="shared" si="129"/>
        <v>2026</v>
      </c>
      <c r="V2333" s="15">
        <f t="shared" si="8"/>
        <v>20</v>
      </c>
      <c r="W2333" s="15">
        <f t="shared" si="9"/>
        <v>1</v>
      </c>
      <c r="X2333" s="15">
        <f t="shared" si="10"/>
        <v>2026</v>
      </c>
    </row>
    <row r="2334">
      <c r="A2334" s="9">
        <v>46042.0</v>
      </c>
      <c r="B2334" s="32">
        <v>46011.0</v>
      </c>
      <c r="C2334" s="9">
        <f t="shared" si="90"/>
        <v>46042</v>
      </c>
      <c r="D2334" s="11" t="s">
        <v>1207</v>
      </c>
      <c r="E2334" s="11" t="s">
        <v>25</v>
      </c>
      <c r="F2334" s="11" t="s">
        <v>107</v>
      </c>
      <c r="G2334" s="28" t="s">
        <v>27</v>
      </c>
      <c r="H2334" s="11" t="s">
        <v>1204</v>
      </c>
      <c r="I2334" s="31">
        <v>70.15</v>
      </c>
      <c r="J2334" s="13"/>
      <c r="K2334" s="13">
        <f t="shared" si="147"/>
        <v>70.15</v>
      </c>
      <c r="L2334" s="11" t="s">
        <v>53</v>
      </c>
      <c r="M2334" s="17">
        <v>45809.0</v>
      </c>
      <c r="N2334" s="11" t="s">
        <v>116</v>
      </c>
      <c r="O2334" s="10" t="str">
        <f t="shared" si="79"/>
        <v>01/2026</v>
      </c>
      <c r="P2334" s="10" t="str">
        <f t="shared" si="121"/>
        <v>01/2026</v>
      </c>
      <c r="Q2334" s="15" t="str">
        <f t="array" ref="Q2334">IFERROR(XLOOKUP(N2334,'Classificação'!A:A,'Classificação'!B:B),"")</f>
        <v>DESPESAS COM OCUPAÇÃO</v>
      </c>
      <c r="R2334" s="15" t="str">
        <f t="array" ref="R2334">IFERROR(XLOOKUP(Q2334,'Classificação'!B:B,'Classificação'!C:C),"")</f>
        <v>DESPESAS FIXAS (-)</v>
      </c>
      <c r="S2334" s="15">
        <f t="shared" si="131"/>
        <v>20</v>
      </c>
      <c r="T2334" s="15">
        <f t="shared" si="128"/>
        <v>1</v>
      </c>
      <c r="U2334" s="15">
        <f t="shared" si="129"/>
        <v>2026</v>
      </c>
      <c r="V2334" s="15">
        <f t="shared" si="8"/>
        <v>20</v>
      </c>
      <c r="W2334" s="15">
        <f t="shared" si="9"/>
        <v>1</v>
      </c>
      <c r="X2334" s="15">
        <f t="shared" si="10"/>
        <v>2026</v>
      </c>
    </row>
    <row r="2335">
      <c r="A2335" s="9">
        <v>46042.0</v>
      </c>
      <c r="B2335" s="32">
        <v>46020.0</v>
      </c>
      <c r="C2335" s="9">
        <f t="shared" si="90"/>
        <v>46042</v>
      </c>
      <c r="D2335" s="11" t="s">
        <v>179</v>
      </c>
      <c r="E2335" s="11" t="s">
        <v>25</v>
      </c>
      <c r="F2335" s="11" t="s">
        <v>107</v>
      </c>
      <c r="G2335" s="28" t="s">
        <v>27</v>
      </c>
      <c r="H2335" s="11" t="s">
        <v>312</v>
      </c>
      <c r="I2335" s="31">
        <v>227.63</v>
      </c>
      <c r="J2335" s="13"/>
      <c r="K2335" s="13">
        <f t="shared" si="147"/>
        <v>227.63</v>
      </c>
      <c r="L2335" s="11" t="s">
        <v>34</v>
      </c>
      <c r="M2335" s="14"/>
      <c r="N2335" s="11" t="s">
        <v>181</v>
      </c>
      <c r="O2335" s="10" t="str">
        <f t="shared" si="79"/>
        <v>01/2026</v>
      </c>
      <c r="P2335" s="10" t="str">
        <f t="shared" si="121"/>
        <v>01/2026</v>
      </c>
      <c r="Q2335" s="15" t="str">
        <f t="array" ref="Q2335">IFERROR(XLOOKUP(N2335,'Classificação'!A:A,'Classificação'!B:B),"")</f>
        <v>DESPESAS COM VEICULOS</v>
      </c>
      <c r="R2335" s="15" t="str">
        <f t="array" ref="R2335">IFERROR(XLOOKUP(Q2335,'Classificação'!B:B,'Classificação'!C:C),"")</f>
        <v>DESPESAS FIXAS (-)</v>
      </c>
      <c r="S2335" s="15">
        <f t="shared" si="131"/>
        <v>20</v>
      </c>
      <c r="T2335" s="15">
        <f t="shared" si="128"/>
        <v>1</v>
      </c>
      <c r="U2335" s="15">
        <f t="shared" si="129"/>
        <v>2026</v>
      </c>
      <c r="V2335" s="15">
        <f t="shared" si="8"/>
        <v>20</v>
      </c>
      <c r="W2335" s="15">
        <f t="shared" si="9"/>
        <v>1</v>
      </c>
      <c r="X2335" s="15">
        <f t="shared" si="10"/>
        <v>2026</v>
      </c>
    </row>
    <row r="2336">
      <c r="A2336" s="9">
        <v>46042.0</v>
      </c>
      <c r="B2336" s="32">
        <v>46020.0</v>
      </c>
      <c r="C2336" s="9">
        <f t="shared" si="90"/>
        <v>46042</v>
      </c>
      <c r="D2336" s="11" t="s">
        <v>511</v>
      </c>
      <c r="E2336" s="11" t="s">
        <v>25</v>
      </c>
      <c r="F2336" s="11" t="s">
        <v>107</v>
      </c>
      <c r="G2336" s="28" t="s">
        <v>27</v>
      </c>
      <c r="H2336" s="11" t="s">
        <v>1208</v>
      </c>
      <c r="I2336" s="31">
        <v>470.94</v>
      </c>
      <c r="J2336" s="13"/>
      <c r="K2336" s="13">
        <f t="shared" si="147"/>
        <v>470.94</v>
      </c>
      <c r="L2336" s="11" t="s">
        <v>34</v>
      </c>
      <c r="M2336" s="14"/>
      <c r="N2336" s="11" t="s">
        <v>120</v>
      </c>
      <c r="O2336" s="10" t="str">
        <f t="shared" si="79"/>
        <v>01/2026</v>
      </c>
      <c r="P2336" s="10" t="str">
        <f t="shared" si="121"/>
        <v>01/2026</v>
      </c>
      <c r="Q2336" s="15" t="str">
        <f t="array" ref="Q2336">IFERROR(XLOOKUP(N2336,'Classificação'!A:A,'Classificação'!B:B),"")</f>
        <v>DESPESAS ADMINISTRATIVAS</v>
      </c>
      <c r="R2336" s="15" t="str">
        <f t="array" ref="R2336">IFERROR(XLOOKUP(Q2336,'Classificação'!B:B,'Classificação'!C:C),"")</f>
        <v>DESPESAS FIXAS (-)</v>
      </c>
      <c r="S2336" s="15">
        <f t="shared" si="131"/>
        <v>20</v>
      </c>
      <c r="T2336" s="15">
        <f t="shared" si="128"/>
        <v>1</v>
      </c>
      <c r="U2336" s="15">
        <f t="shared" si="129"/>
        <v>2026</v>
      </c>
      <c r="V2336" s="15">
        <f t="shared" si="8"/>
        <v>20</v>
      </c>
      <c r="W2336" s="15">
        <f t="shared" si="9"/>
        <v>1</v>
      </c>
      <c r="X2336" s="15">
        <f t="shared" si="10"/>
        <v>2026</v>
      </c>
    </row>
    <row r="2337">
      <c r="A2337" s="9">
        <v>46042.0</v>
      </c>
      <c r="B2337" s="32">
        <v>46021.0</v>
      </c>
      <c r="C2337" s="9">
        <f t="shared" si="90"/>
        <v>46042</v>
      </c>
      <c r="D2337" s="11" t="s">
        <v>691</v>
      </c>
      <c r="E2337" s="11" t="s">
        <v>25</v>
      </c>
      <c r="F2337" s="11" t="s">
        <v>107</v>
      </c>
      <c r="G2337" s="28" t="s">
        <v>27</v>
      </c>
      <c r="H2337" s="11" t="s">
        <v>1209</v>
      </c>
      <c r="I2337" s="31">
        <v>1313.49</v>
      </c>
      <c r="J2337" s="13"/>
      <c r="K2337" s="13">
        <f t="shared" si="147"/>
        <v>1313.49</v>
      </c>
      <c r="L2337" s="11" t="s">
        <v>53</v>
      </c>
      <c r="M2337" s="17">
        <v>45809.0</v>
      </c>
      <c r="N2337" s="11" t="s">
        <v>61</v>
      </c>
      <c r="O2337" s="10" t="str">
        <f t="shared" si="79"/>
        <v>01/2026</v>
      </c>
      <c r="P2337" s="10" t="str">
        <f t="shared" si="121"/>
        <v>01/2026</v>
      </c>
      <c r="Q2337" s="15" t="str">
        <f t="array" ref="Q2337">IFERROR(XLOOKUP(N2337,'Classificação'!A:A,'Classificação'!B:B),"")</f>
        <v>DESPESAS ADMINISTRATIVAS</v>
      </c>
      <c r="R2337" s="15" t="str">
        <f t="array" ref="R2337">IFERROR(XLOOKUP(Q2337,'Classificação'!B:B,'Classificação'!C:C),"")</f>
        <v>DESPESAS FIXAS (-)</v>
      </c>
      <c r="S2337" s="15">
        <f t="shared" si="131"/>
        <v>20</v>
      </c>
      <c r="T2337" s="15">
        <f t="shared" si="128"/>
        <v>1</v>
      </c>
      <c r="U2337" s="15">
        <f t="shared" si="129"/>
        <v>2026</v>
      </c>
      <c r="V2337" s="15">
        <f t="shared" si="8"/>
        <v>20</v>
      </c>
      <c r="W2337" s="15">
        <f t="shared" si="9"/>
        <v>1</v>
      </c>
      <c r="X2337" s="15">
        <f t="shared" si="10"/>
        <v>2026</v>
      </c>
    </row>
    <row r="2338">
      <c r="A2338" s="27">
        <v>46042.0</v>
      </c>
      <c r="B2338" s="28"/>
      <c r="C2338" s="27">
        <f t="shared" si="90"/>
        <v>46042</v>
      </c>
      <c r="D2338" s="28" t="s">
        <v>126</v>
      </c>
      <c r="E2338" s="29" t="s">
        <v>25</v>
      </c>
      <c r="F2338" s="28" t="s">
        <v>40</v>
      </c>
      <c r="G2338" s="29" t="s">
        <v>37</v>
      </c>
      <c r="H2338" s="29" t="s">
        <v>1210</v>
      </c>
      <c r="I2338" s="24">
        <v>202.23</v>
      </c>
      <c r="J2338" s="34"/>
      <c r="K2338" s="37">
        <f>IF(E2338="pago",(I2338-J2338),"")</f>
        <v>202.23</v>
      </c>
      <c r="L2338" s="28" t="s">
        <v>29</v>
      </c>
      <c r="M2338" s="28"/>
      <c r="N2338" s="28" t="s">
        <v>126</v>
      </c>
      <c r="O2338" s="10" t="str">
        <f t="shared" si="79"/>
        <v>01/2026</v>
      </c>
      <c r="P2338" s="10" t="str">
        <f t="shared" si="121"/>
        <v>01/2026</v>
      </c>
      <c r="Q2338" s="15" t="str">
        <f t="array" ref="Q2338">IFERROR(XLOOKUP(N2338,'Classificação'!A:A,'Classificação'!B:B),"")</f>
        <v>DESPESAS COM PESSOAL</v>
      </c>
      <c r="R2338" s="15" t="str">
        <f t="array" ref="R2338">IFERROR(XLOOKUP(Q2338,'Classificação'!B:B,'Classificação'!C:C),"")</f>
        <v>DESPESAS FIXAS (-)</v>
      </c>
      <c r="S2338" s="15">
        <f t="shared" si="131"/>
        <v>20</v>
      </c>
      <c r="T2338" s="15">
        <f t="shared" si="128"/>
        <v>1</v>
      </c>
      <c r="U2338" s="15">
        <f t="shared" si="129"/>
        <v>2026</v>
      </c>
      <c r="V2338" s="15">
        <f t="shared" si="8"/>
        <v>20</v>
      </c>
      <c r="W2338" s="15">
        <f t="shared" si="9"/>
        <v>1</v>
      </c>
      <c r="X2338" s="15">
        <f t="shared" si="10"/>
        <v>2026</v>
      </c>
    </row>
    <row r="2339">
      <c r="A2339" s="26">
        <v>46042.0</v>
      </c>
      <c r="B2339" s="32">
        <v>46001.0</v>
      </c>
      <c r="C2339" s="9">
        <f t="shared" si="90"/>
        <v>46042</v>
      </c>
      <c r="D2339" s="11" t="s">
        <v>114</v>
      </c>
      <c r="E2339" s="11" t="s">
        <v>25</v>
      </c>
      <c r="F2339" s="11" t="s">
        <v>107</v>
      </c>
      <c r="G2339" s="28" t="s">
        <v>27</v>
      </c>
      <c r="H2339" s="11" t="s">
        <v>1211</v>
      </c>
      <c r="I2339" s="31">
        <v>108.09</v>
      </c>
      <c r="J2339" s="13"/>
      <c r="K2339" s="13">
        <f>if(E2339="pago",(I2339-J2339),"")</f>
        <v>108.09</v>
      </c>
      <c r="L2339" s="11" t="s">
        <v>34</v>
      </c>
      <c r="M2339" s="14"/>
      <c r="N2339" s="11" t="s">
        <v>143</v>
      </c>
      <c r="O2339" s="10" t="str">
        <f t="shared" si="79"/>
        <v>01/2026</v>
      </c>
      <c r="P2339" s="10" t="str">
        <f t="shared" si="121"/>
        <v>01/2026</v>
      </c>
      <c r="Q2339" s="15" t="str">
        <f t="array" ref="Q2339">IFERROR(XLOOKUP(N2339,'Classificação'!A:A,'Classificação'!B:B),"")</f>
        <v>EMBALAGENS/FITAS/GERAL</v>
      </c>
      <c r="R2339" s="15" t="str">
        <f t="array" ref="R2339">IFERROR(XLOOKUP(Q2339,'Classificação'!B:B,'Classificação'!C:C),"")</f>
        <v>CUSTOS VARIÁVEIS</v>
      </c>
      <c r="S2339" s="15">
        <f t="shared" si="131"/>
        <v>20</v>
      </c>
      <c r="T2339" s="15">
        <f t="shared" si="128"/>
        <v>1</v>
      </c>
      <c r="U2339" s="15">
        <f t="shared" si="129"/>
        <v>2026</v>
      </c>
      <c r="V2339" s="15">
        <f t="shared" si="8"/>
        <v>20</v>
      </c>
      <c r="W2339" s="15">
        <f t="shared" si="9"/>
        <v>1</v>
      </c>
      <c r="X2339" s="15">
        <f t="shared" si="10"/>
        <v>2026</v>
      </c>
    </row>
    <row r="2340">
      <c r="A2340" s="9">
        <v>46042.0</v>
      </c>
      <c r="B2340" s="51"/>
      <c r="C2340" s="27">
        <f t="shared" si="90"/>
        <v>46042</v>
      </c>
      <c r="D2340" s="28" t="s">
        <v>369</v>
      </c>
      <c r="E2340" s="11" t="s">
        <v>25</v>
      </c>
      <c r="F2340" s="28" t="s">
        <v>107</v>
      </c>
      <c r="G2340" s="28" t="s">
        <v>27</v>
      </c>
      <c r="H2340" s="28" t="s">
        <v>486</v>
      </c>
      <c r="I2340" s="38">
        <v>29.9</v>
      </c>
      <c r="J2340" s="34"/>
      <c r="K2340" s="37">
        <f>IF(E2340="pago",(I2340-J2340),"")</f>
        <v>29.9</v>
      </c>
      <c r="L2340" s="29" t="s">
        <v>29</v>
      </c>
      <c r="M2340" s="28"/>
      <c r="N2340" s="29" t="s">
        <v>105</v>
      </c>
      <c r="O2340" s="10" t="str">
        <f t="shared" si="79"/>
        <v>01/2026</v>
      </c>
      <c r="P2340" s="10" t="str">
        <f t="shared" si="121"/>
        <v>01/2026</v>
      </c>
      <c r="Q2340" s="15" t="str">
        <f t="array" ref="Q2340">IFERROR(XLOOKUP(N2340,'Classificação'!A:A,'Classificação'!B:B),"")</f>
        <v>DESPESAS ADMINISTRATIVAS</v>
      </c>
      <c r="R2340" s="15" t="str">
        <f t="array" ref="R2340">IFERROR(XLOOKUP(Q2340,'Classificação'!B:B,'Classificação'!C:C),"")</f>
        <v>DESPESAS FIXAS (-)</v>
      </c>
      <c r="S2340" s="15">
        <f t="shared" si="131"/>
        <v>20</v>
      </c>
      <c r="T2340" s="15">
        <f t="shared" si="128"/>
        <v>1</v>
      </c>
      <c r="U2340" s="15">
        <f t="shared" si="129"/>
        <v>2026</v>
      </c>
      <c r="V2340" s="15">
        <f t="shared" si="8"/>
        <v>20</v>
      </c>
      <c r="W2340" s="15">
        <f t="shared" si="9"/>
        <v>1</v>
      </c>
      <c r="X2340" s="15">
        <f t="shared" si="10"/>
        <v>2026</v>
      </c>
    </row>
    <row r="2341">
      <c r="A2341" s="9">
        <v>46042.0</v>
      </c>
      <c r="B2341" s="32">
        <v>46010.0</v>
      </c>
      <c r="C2341" s="9">
        <f t="shared" si="90"/>
        <v>46042</v>
      </c>
      <c r="D2341" s="11" t="s">
        <v>182</v>
      </c>
      <c r="E2341" s="11" t="s">
        <v>25</v>
      </c>
      <c r="F2341" s="11" t="s">
        <v>107</v>
      </c>
      <c r="G2341" s="28" t="s">
        <v>27</v>
      </c>
      <c r="H2341" s="11" t="s">
        <v>751</v>
      </c>
      <c r="I2341" s="31">
        <v>20.94</v>
      </c>
      <c r="J2341" s="13"/>
      <c r="K2341" s="13">
        <f t="shared" ref="K2341:K2354" si="148">if(E2341="pago",(I2341-J2341),"")</f>
        <v>20.94</v>
      </c>
      <c r="L2341" s="11" t="s">
        <v>34</v>
      </c>
      <c r="M2341" s="14"/>
      <c r="N2341" s="11" t="s">
        <v>184</v>
      </c>
      <c r="O2341" s="10" t="str">
        <f t="shared" si="79"/>
        <v>01/2026</v>
      </c>
      <c r="P2341" s="10" t="str">
        <f t="shared" si="121"/>
        <v>01/2026</v>
      </c>
      <c r="Q2341" s="15" t="str">
        <f t="array" ref="Q2341">IFERROR(XLOOKUP(N2341,'Classificação'!A:A,'Classificação'!B:B),"")</f>
        <v>DESPESAS ADMINISTRATIVAS</v>
      </c>
      <c r="R2341" s="15" t="str">
        <f t="array" ref="R2341">IFERROR(XLOOKUP(Q2341,'Classificação'!B:B,'Classificação'!C:C),"")</f>
        <v>DESPESAS FIXAS (-)</v>
      </c>
      <c r="S2341" s="15">
        <f t="shared" si="131"/>
        <v>20</v>
      </c>
      <c r="T2341" s="15">
        <f t="shared" si="128"/>
        <v>1</v>
      </c>
      <c r="U2341" s="15">
        <f t="shared" si="129"/>
        <v>2026</v>
      </c>
      <c r="V2341" s="15">
        <f t="shared" si="8"/>
        <v>20</v>
      </c>
      <c r="W2341" s="15">
        <f t="shared" si="9"/>
        <v>1</v>
      </c>
      <c r="X2341" s="15">
        <f t="shared" si="10"/>
        <v>2026</v>
      </c>
    </row>
    <row r="2342">
      <c r="A2342" s="9">
        <v>46042.0</v>
      </c>
      <c r="B2342" s="32">
        <v>46010.0</v>
      </c>
      <c r="C2342" s="9">
        <f t="shared" si="90"/>
        <v>46042</v>
      </c>
      <c r="D2342" s="11" t="s">
        <v>182</v>
      </c>
      <c r="E2342" s="11" t="s">
        <v>25</v>
      </c>
      <c r="F2342" s="11" t="s">
        <v>107</v>
      </c>
      <c r="G2342" s="28" t="s">
        <v>27</v>
      </c>
      <c r="H2342" s="11" t="s">
        <v>751</v>
      </c>
      <c r="I2342" s="31">
        <v>9.94</v>
      </c>
      <c r="J2342" s="13"/>
      <c r="K2342" s="13">
        <f t="shared" si="148"/>
        <v>9.94</v>
      </c>
      <c r="L2342" s="11" t="s">
        <v>34</v>
      </c>
      <c r="M2342" s="14"/>
      <c r="N2342" s="11" t="s">
        <v>184</v>
      </c>
      <c r="O2342" s="10" t="str">
        <f t="shared" si="79"/>
        <v>01/2026</v>
      </c>
      <c r="P2342" s="10" t="str">
        <f t="shared" si="121"/>
        <v>01/2026</v>
      </c>
      <c r="Q2342" s="15" t="str">
        <f t="array" ref="Q2342">IFERROR(XLOOKUP(N2342,'Classificação'!A:A,'Classificação'!B:B),"")</f>
        <v>DESPESAS ADMINISTRATIVAS</v>
      </c>
      <c r="R2342" s="15" t="str">
        <f t="array" ref="R2342">IFERROR(XLOOKUP(Q2342,'Classificação'!B:B,'Classificação'!C:C),"")</f>
        <v>DESPESAS FIXAS (-)</v>
      </c>
      <c r="S2342" s="15">
        <f t="shared" si="131"/>
        <v>20</v>
      </c>
      <c r="T2342" s="15">
        <f t="shared" si="128"/>
        <v>1</v>
      </c>
      <c r="U2342" s="15">
        <f t="shared" si="129"/>
        <v>2026</v>
      </c>
      <c r="V2342" s="15">
        <f t="shared" si="8"/>
        <v>20</v>
      </c>
      <c r="W2342" s="15">
        <f t="shared" si="9"/>
        <v>1</v>
      </c>
      <c r="X2342" s="15">
        <f t="shared" si="10"/>
        <v>2026</v>
      </c>
    </row>
    <row r="2343">
      <c r="A2343" s="9">
        <v>46042.0</v>
      </c>
      <c r="B2343" s="32">
        <v>46021.0</v>
      </c>
      <c r="C2343" s="9">
        <f t="shared" si="90"/>
        <v>46042</v>
      </c>
      <c r="D2343" s="11" t="s">
        <v>182</v>
      </c>
      <c r="E2343" s="11" t="s">
        <v>25</v>
      </c>
      <c r="F2343" s="11" t="s">
        <v>107</v>
      </c>
      <c r="G2343" s="28" t="s">
        <v>27</v>
      </c>
      <c r="H2343" s="11" t="s">
        <v>751</v>
      </c>
      <c r="I2343" s="31">
        <v>15.96</v>
      </c>
      <c r="J2343" s="13"/>
      <c r="K2343" s="13">
        <f t="shared" si="148"/>
        <v>15.96</v>
      </c>
      <c r="L2343" s="11" t="s">
        <v>34</v>
      </c>
      <c r="M2343" s="14"/>
      <c r="N2343" s="11" t="s">
        <v>184</v>
      </c>
      <c r="O2343" s="10" t="str">
        <f t="shared" si="79"/>
        <v>01/2026</v>
      </c>
      <c r="P2343" s="10" t="str">
        <f t="shared" si="121"/>
        <v>01/2026</v>
      </c>
      <c r="Q2343" s="15" t="str">
        <f t="array" ref="Q2343">IFERROR(XLOOKUP(N2343,'Classificação'!A:A,'Classificação'!B:B),"")</f>
        <v>DESPESAS ADMINISTRATIVAS</v>
      </c>
      <c r="R2343" s="15" t="str">
        <f t="array" ref="R2343">IFERROR(XLOOKUP(Q2343,'Classificação'!B:B,'Classificação'!C:C),"")</f>
        <v>DESPESAS FIXAS (-)</v>
      </c>
      <c r="S2343" s="15">
        <f t="shared" si="131"/>
        <v>20</v>
      </c>
      <c r="T2343" s="15">
        <f t="shared" si="128"/>
        <v>1</v>
      </c>
      <c r="U2343" s="15">
        <f t="shared" si="129"/>
        <v>2026</v>
      </c>
      <c r="V2343" s="15">
        <f t="shared" si="8"/>
        <v>20</v>
      </c>
      <c r="W2343" s="15">
        <f t="shared" si="9"/>
        <v>1</v>
      </c>
      <c r="X2343" s="15">
        <f t="shared" si="10"/>
        <v>2026</v>
      </c>
    </row>
    <row r="2344">
      <c r="A2344" s="9">
        <v>46042.0</v>
      </c>
      <c r="B2344" s="32">
        <v>46021.0</v>
      </c>
      <c r="C2344" s="9">
        <f t="shared" si="90"/>
        <v>46042</v>
      </c>
      <c r="D2344" s="11" t="s">
        <v>182</v>
      </c>
      <c r="E2344" s="11" t="s">
        <v>25</v>
      </c>
      <c r="F2344" s="11" t="s">
        <v>107</v>
      </c>
      <c r="G2344" s="28" t="s">
        <v>27</v>
      </c>
      <c r="H2344" s="11" t="s">
        <v>751</v>
      </c>
      <c r="I2344" s="31">
        <v>8.94</v>
      </c>
      <c r="J2344" s="13"/>
      <c r="K2344" s="13">
        <f t="shared" si="148"/>
        <v>8.94</v>
      </c>
      <c r="L2344" s="11" t="s">
        <v>34</v>
      </c>
      <c r="M2344" s="14"/>
      <c r="N2344" s="11" t="s">
        <v>184</v>
      </c>
      <c r="O2344" s="10" t="str">
        <f t="shared" si="79"/>
        <v>01/2026</v>
      </c>
      <c r="P2344" s="10" t="str">
        <f t="shared" si="121"/>
        <v>01/2026</v>
      </c>
      <c r="Q2344" s="15" t="str">
        <f t="array" ref="Q2344">IFERROR(XLOOKUP(N2344,'Classificação'!A:A,'Classificação'!B:B),"")</f>
        <v>DESPESAS ADMINISTRATIVAS</v>
      </c>
      <c r="R2344" s="15" t="str">
        <f t="array" ref="R2344">IFERROR(XLOOKUP(Q2344,'Classificação'!B:B,'Classificação'!C:C),"")</f>
        <v>DESPESAS FIXAS (-)</v>
      </c>
      <c r="S2344" s="15">
        <f t="shared" si="131"/>
        <v>20</v>
      </c>
      <c r="T2344" s="15">
        <f t="shared" si="128"/>
        <v>1</v>
      </c>
      <c r="U2344" s="15">
        <f t="shared" si="129"/>
        <v>2026</v>
      </c>
      <c r="V2344" s="15">
        <f t="shared" si="8"/>
        <v>20</v>
      </c>
      <c r="W2344" s="15">
        <f t="shared" si="9"/>
        <v>1</v>
      </c>
      <c r="X2344" s="15">
        <f t="shared" si="10"/>
        <v>2026</v>
      </c>
    </row>
    <row r="2345">
      <c r="A2345" s="9">
        <v>46042.0</v>
      </c>
      <c r="B2345" s="32">
        <v>46021.0</v>
      </c>
      <c r="C2345" s="9">
        <f t="shared" si="90"/>
        <v>46042</v>
      </c>
      <c r="D2345" s="11" t="s">
        <v>182</v>
      </c>
      <c r="E2345" s="11" t="s">
        <v>25</v>
      </c>
      <c r="F2345" s="11" t="s">
        <v>107</v>
      </c>
      <c r="G2345" s="28" t="s">
        <v>27</v>
      </c>
      <c r="H2345" s="11" t="s">
        <v>751</v>
      </c>
      <c r="I2345" s="31">
        <v>8.94</v>
      </c>
      <c r="J2345" s="13"/>
      <c r="K2345" s="13">
        <f t="shared" si="148"/>
        <v>8.94</v>
      </c>
      <c r="L2345" s="11" t="s">
        <v>34</v>
      </c>
      <c r="M2345" s="14"/>
      <c r="N2345" s="11" t="s">
        <v>184</v>
      </c>
      <c r="O2345" s="10" t="str">
        <f t="shared" si="79"/>
        <v>01/2026</v>
      </c>
      <c r="P2345" s="10" t="str">
        <f t="shared" si="121"/>
        <v>01/2026</v>
      </c>
      <c r="Q2345" s="15" t="str">
        <f t="array" ref="Q2345">IFERROR(XLOOKUP(N2345,'Classificação'!A:A,'Classificação'!B:B),"")</f>
        <v>DESPESAS ADMINISTRATIVAS</v>
      </c>
      <c r="R2345" s="15" t="str">
        <f t="array" ref="R2345">IFERROR(XLOOKUP(Q2345,'Classificação'!B:B,'Classificação'!C:C),"")</f>
        <v>DESPESAS FIXAS (-)</v>
      </c>
      <c r="S2345" s="15">
        <f t="shared" si="131"/>
        <v>20</v>
      </c>
      <c r="T2345" s="15">
        <f t="shared" si="128"/>
        <v>1</v>
      </c>
      <c r="U2345" s="15">
        <f t="shared" si="129"/>
        <v>2026</v>
      </c>
      <c r="V2345" s="15">
        <f t="shared" si="8"/>
        <v>20</v>
      </c>
      <c r="W2345" s="15">
        <f t="shared" si="9"/>
        <v>1</v>
      </c>
      <c r="X2345" s="15">
        <f t="shared" si="10"/>
        <v>2026</v>
      </c>
    </row>
    <row r="2346">
      <c r="A2346" s="9">
        <v>46042.0</v>
      </c>
      <c r="B2346" s="32">
        <v>46007.0</v>
      </c>
      <c r="C2346" s="9">
        <f t="shared" si="90"/>
        <v>46042</v>
      </c>
      <c r="D2346" s="11" t="s">
        <v>114</v>
      </c>
      <c r="E2346" s="11" t="s">
        <v>25</v>
      </c>
      <c r="F2346" s="11" t="s">
        <v>107</v>
      </c>
      <c r="G2346" s="28" t="s">
        <v>27</v>
      </c>
      <c r="H2346" s="44" t="s">
        <v>1212</v>
      </c>
      <c r="I2346" s="31">
        <v>189.67</v>
      </c>
      <c r="J2346" s="13"/>
      <c r="K2346" s="13">
        <f t="shared" si="148"/>
        <v>189.67</v>
      </c>
      <c r="L2346" s="11" t="s">
        <v>34</v>
      </c>
      <c r="M2346" s="14"/>
      <c r="N2346" s="11" t="s">
        <v>143</v>
      </c>
      <c r="O2346" s="10" t="str">
        <f t="shared" si="79"/>
        <v>01/2026</v>
      </c>
      <c r="P2346" s="10" t="str">
        <f t="shared" si="121"/>
        <v>01/2026</v>
      </c>
      <c r="Q2346" s="15" t="str">
        <f t="array" ref="Q2346">IFERROR(XLOOKUP(N2346,'Classificação'!A:A,'Classificação'!B:B),"")</f>
        <v>EMBALAGENS/FITAS/GERAL</v>
      </c>
      <c r="R2346" s="15" t="str">
        <f t="array" ref="R2346">IFERROR(XLOOKUP(Q2346,'Classificação'!B:B,'Classificação'!C:C),"")</f>
        <v>CUSTOS VARIÁVEIS</v>
      </c>
      <c r="S2346" s="15">
        <f t="shared" si="131"/>
        <v>20</v>
      </c>
      <c r="T2346" s="15">
        <f t="shared" si="128"/>
        <v>1</v>
      </c>
      <c r="U2346" s="15">
        <f t="shared" si="129"/>
        <v>2026</v>
      </c>
      <c r="V2346" s="15">
        <f t="shared" si="8"/>
        <v>20</v>
      </c>
      <c r="W2346" s="15">
        <f t="shared" si="9"/>
        <v>1</v>
      </c>
      <c r="X2346" s="15">
        <f t="shared" si="10"/>
        <v>2026</v>
      </c>
    </row>
    <row r="2347">
      <c r="A2347" s="9">
        <v>46042.0</v>
      </c>
      <c r="B2347" s="32">
        <v>46009.0</v>
      </c>
      <c r="C2347" s="9">
        <f t="shared" ref="C2347:C2348" si="149">IF(E2348="pago",A2347,"")</f>
        <v>46042</v>
      </c>
      <c r="D2347" s="11" t="s">
        <v>1213</v>
      </c>
      <c r="E2347" s="11" t="s">
        <v>25</v>
      </c>
      <c r="F2347" s="11" t="s">
        <v>107</v>
      </c>
      <c r="G2347" s="28" t="s">
        <v>27</v>
      </c>
      <c r="H2347" s="11" t="s">
        <v>1214</v>
      </c>
      <c r="I2347" s="31">
        <v>105.45</v>
      </c>
      <c r="J2347" s="13"/>
      <c r="K2347" s="13">
        <f t="shared" si="148"/>
        <v>105.45</v>
      </c>
      <c r="L2347" s="11" t="s">
        <v>53</v>
      </c>
      <c r="M2347" s="17">
        <v>46143.0</v>
      </c>
      <c r="N2347" s="11" t="s">
        <v>95</v>
      </c>
      <c r="O2347" s="10" t="str">
        <f t="shared" si="79"/>
        <v>01/2026</v>
      </c>
      <c r="P2347" s="10" t="str">
        <f t="shared" si="121"/>
        <v>01/2026</v>
      </c>
      <c r="Q2347" s="15" t="str">
        <f t="array" ref="Q2347">IFERROR(XLOOKUP(N2347,'Classificação'!A:A,'Classificação'!B:B),"")</f>
        <v>DESPESAS NÃO OPERACIONAIS</v>
      </c>
      <c r="R2347" s="15" t="str">
        <f t="array" ref="R2347">IFERROR(XLOOKUP(Q2347,'Classificação'!B:B,'Classificação'!C:C),"")</f>
        <v>RESULTADO NÃO OPERACIONAL (+/-)</v>
      </c>
      <c r="S2347" s="15">
        <f t="shared" si="131"/>
        <v>20</v>
      </c>
      <c r="T2347" s="15">
        <f t="shared" si="128"/>
        <v>1</v>
      </c>
      <c r="U2347" s="15">
        <f t="shared" si="129"/>
        <v>2026</v>
      </c>
      <c r="V2347" s="15">
        <f t="shared" si="8"/>
        <v>20</v>
      </c>
      <c r="W2347" s="15">
        <f t="shared" si="9"/>
        <v>1</v>
      </c>
      <c r="X2347" s="15">
        <f t="shared" si="10"/>
        <v>2026</v>
      </c>
    </row>
    <row r="2348">
      <c r="A2348" s="9">
        <v>46042.0</v>
      </c>
      <c r="B2348" s="32">
        <v>46014.0</v>
      </c>
      <c r="C2348" s="9">
        <f t="shared" si="149"/>
        <v>46042</v>
      </c>
      <c r="D2348" s="11" t="s">
        <v>1215</v>
      </c>
      <c r="E2348" s="11" t="s">
        <v>25</v>
      </c>
      <c r="F2348" s="11" t="s">
        <v>107</v>
      </c>
      <c r="G2348" s="28" t="s">
        <v>27</v>
      </c>
      <c r="H2348" s="11" t="s">
        <v>1216</v>
      </c>
      <c r="I2348" s="31">
        <v>146.68</v>
      </c>
      <c r="J2348" s="13"/>
      <c r="K2348" s="13">
        <f t="shared" si="148"/>
        <v>146.68</v>
      </c>
      <c r="L2348" s="11" t="s">
        <v>53</v>
      </c>
      <c r="M2348" s="17">
        <v>46082.0</v>
      </c>
      <c r="N2348" s="11" t="s">
        <v>394</v>
      </c>
      <c r="O2348" s="10" t="str">
        <f t="shared" si="79"/>
        <v>01/2026</v>
      </c>
      <c r="P2348" s="10" t="str">
        <f t="shared" si="121"/>
        <v>01/2026</v>
      </c>
      <c r="Q2348" s="15" t="str">
        <f t="array" ref="Q2348">IFERROR(XLOOKUP(N2348,'Classificação'!A:A,'Classificação'!B:B),"")</f>
        <v>DESPESAS NÃO OPERACIONAIS</v>
      </c>
      <c r="R2348" s="15" t="str">
        <f t="array" ref="R2348">IFERROR(XLOOKUP(Q2348,'Classificação'!B:B,'Classificação'!C:C),"")</f>
        <v>RESULTADO NÃO OPERACIONAL (+/-)</v>
      </c>
      <c r="S2348" s="15">
        <f t="shared" si="131"/>
        <v>20</v>
      </c>
      <c r="T2348" s="15">
        <f t="shared" si="128"/>
        <v>1</v>
      </c>
      <c r="U2348" s="15">
        <f t="shared" si="129"/>
        <v>2026</v>
      </c>
      <c r="V2348" s="15">
        <f t="shared" si="8"/>
        <v>20</v>
      </c>
      <c r="W2348" s="15">
        <f t="shared" si="9"/>
        <v>1</v>
      </c>
      <c r="X2348" s="15">
        <f t="shared" si="10"/>
        <v>2026</v>
      </c>
    </row>
    <row r="2349">
      <c r="A2349" s="9">
        <v>46042.0</v>
      </c>
      <c r="B2349" s="32"/>
      <c r="C2349" s="9">
        <f t="shared" ref="C2349:C2451" si="150">IF(E2349="pago",A2349,"")</f>
        <v>46042</v>
      </c>
      <c r="D2349" s="11" t="s">
        <v>65</v>
      </c>
      <c r="E2349" s="11" t="s">
        <v>25</v>
      </c>
      <c r="F2349" s="11" t="s">
        <v>107</v>
      </c>
      <c r="G2349" s="28" t="s">
        <v>27</v>
      </c>
      <c r="I2349" s="31">
        <v>-210.86</v>
      </c>
      <c r="J2349" s="13"/>
      <c r="K2349" s="13">
        <f t="shared" si="148"/>
        <v>-210.86</v>
      </c>
      <c r="L2349" s="11" t="s">
        <v>34</v>
      </c>
      <c r="M2349" s="17"/>
      <c r="N2349" s="11" t="s">
        <v>394</v>
      </c>
      <c r="O2349" s="10" t="str">
        <f t="shared" si="79"/>
        <v>01/2026</v>
      </c>
      <c r="P2349" s="10" t="str">
        <f t="shared" si="121"/>
        <v>01/2026</v>
      </c>
      <c r="Q2349" s="15" t="str">
        <f t="array" ref="Q2349">IFERROR(XLOOKUP(N2349,'Classificação'!A:A,'Classificação'!B:B),"")</f>
        <v>DESPESAS NÃO OPERACIONAIS</v>
      </c>
      <c r="R2349" s="15" t="str">
        <f t="array" ref="R2349">IFERROR(XLOOKUP(Q2349,'Classificação'!B:B,'Classificação'!C:C),"")</f>
        <v>RESULTADO NÃO OPERACIONAL (+/-)</v>
      </c>
      <c r="S2349" s="15">
        <f t="shared" si="131"/>
        <v>20</v>
      </c>
      <c r="T2349" s="15">
        <f t="shared" si="128"/>
        <v>1</v>
      </c>
      <c r="U2349" s="15">
        <f t="shared" si="129"/>
        <v>2026</v>
      </c>
      <c r="V2349" s="15">
        <f t="shared" si="8"/>
        <v>20</v>
      </c>
      <c r="W2349" s="15">
        <f t="shared" si="9"/>
        <v>1</v>
      </c>
      <c r="X2349" s="15">
        <f t="shared" si="10"/>
        <v>2026</v>
      </c>
    </row>
    <row r="2350">
      <c r="A2350" s="9">
        <v>46044.0</v>
      </c>
      <c r="B2350" s="10"/>
      <c r="C2350" s="9">
        <f t="shared" si="150"/>
        <v>46044</v>
      </c>
      <c r="D2350" s="28" t="s">
        <v>76</v>
      </c>
      <c r="E2350" s="29" t="s">
        <v>25</v>
      </c>
      <c r="F2350" s="28" t="s">
        <v>26</v>
      </c>
      <c r="G2350" s="29" t="s">
        <v>37</v>
      </c>
      <c r="H2350" s="28" t="s">
        <v>84</v>
      </c>
      <c r="I2350" s="24">
        <v>2428.54</v>
      </c>
      <c r="J2350" s="13"/>
      <c r="K2350" s="13">
        <f t="shared" si="148"/>
        <v>2428.54</v>
      </c>
      <c r="L2350" s="28" t="s">
        <v>53</v>
      </c>
      <c r="M2350" s="16" t="s">
        <v>1217</v>
      </c>
      <c r="N2350" s="28" t="s">
        <v>85</v>
      </c>
      <c r="O2350" s="10" t="str">
        <f t="shared" si="79"/>
        <v>01/2026</v>
      </c>
      <c r="P2350" s="10" t="str">
        <f t="shared" si="121"/>
        <v>01/2026</v>
      </c>
      <c r="Q2350" s="15" t="str">
        <f t="array" ref="Q2350">IFERROR(XLOOKUP(N2350,'Classificação'!A:A,'Classificação'!B:B),"")</f>
        <v>DESPESAS NÃO OPERACIONAIS</v>
      </c>
      <c r="R2350" s="15" t="str">
        <f t="array" ref="R2350">IFERROR(XLOOKUP(Q2350,'Classificação'!B:B,'Classificação'!C:C),"")</f>
        <v>RESULTADO NÃO OPERACIONAL (+/-)</v>
      </c>
      <c r="S2350" s="15">
        <f t="shared" si="131"/>
        <v>22</v>
      </c>
      <c r="T2350" s="15">
        <f t="shared" si="128"/>
        <v>1</v>
      </c>
      <c r="U2350" s="15">
        <f t="shared" si="129"/>
        <v>2026</v>
      </c>
      <c r="V2350" s="15">
        <f t="shared" si="8"/>
        <v>22</v>
      </c>
      <c r="W2350" s="15">
        <f t="shared" si="9"/>
        <v>1</v>
      </c>
      <c r="X2350" s="15">
        <f t="shared" si="10"/>
        <v>2026</v>
      </c>
    </row>
    <row r="2351">
      <c r="A2351" s="26">
        <v>46044.0</v>
      </c>
      <c r="B2351" s="28"/>
      <c r="C2351" s="27">
        <f t="shared" si="150"/>
        <v>46044</v>
      </c>
      <c r="D2351" s="29" t="s">
        <v>177</v>
      </c>
      <c r="E2351" s="29" t="s">
        <v>25</v>
      </c>
      <c r="F2351" s="29" t="s">
        <v>40</v>
      </c>
      <c r="G2351" s="28" t="s">
        <v>37</v>
      </c>
      <c r="H2351" s="29" t="s">
        <v>1218</v>
      </c>
      <c r="I2351" s="24">
        <v>158.5</v>
      </c>
      <c r="J2351" s="13"/>
      <c r="K2351" s="13">
        <f t="shared" si="148"/>
        <v>158.5</v>
      </c>
      <c r="L2351" s="11" t="s">
        <v>53</v>
      </c>
      <c r="M2351" s="17">
        <v>45840.0</v>
      </c>
      <c r="N2351" s="11" t="s">
        <v>178</v>
      </c>
      <c r="O2351" s="10" t="str">
        <f t="shared" si="79"/>
        <v>01/2026</v>
      </c>
      <c r="P2351" s="10" t="str">
        <f t="shared" si="121"/>
        <v>01/2026</v>
      </c>
      <c r="Q2351" s="15" t="str">
        <f t="array" ref="Q2351">IFERROR(XLOOKUP(N2351,'Classificação'!A:A,'Classificação'!B:B),"")</f>
        <v>DESPESAS COM OCUPAÇÃO</v>
      </c>
      <c r="R2351" s="15" t="str">
        <f t="array" ref="R2351">IFERROR(XLOOKUP(Q2351,'Classificação'!B:B,'Classificação'!C:C),"")</f>
        <v>DESPESAS FIXAS (-)</v>
      </c>
      <c r="S2351" s="15">
        <f t="shared" si="131"/>
        <v>22</v>
      </c>
      <c r="T2351" s="15">
        <f t="shared" si="128"/>
        <v>1</v>
      </c>
      <c r="U2351" s="15">
        <f t="shared" si="129"/>
        <v>2026</v>
      </c>
      <c r="V2351" s="15">
        <f t="shared" si="8"/>
        <v>22</v>
      </c>
      <c r="W2351" s="15">
        <f t="shared" si="9"/>
        <v>1</v>
      </c>
      <c r="X2351" s="15">
        <f t="shared" si="10"/>
        <v>2026</v>
      </c>
    </row>
    <row r="2352">
      <c r="A2352" s="9">
        <v>46044.0</v>
      </c>
      <c r="B2352" s="10"/>
      <c r="C2352" s="9">
        <f t="shared" si="150"/>
        <v>46044</v>
      </c>
      <c r="D2352" s="11" t="s">
        <v>570</v>
      </c>
      <c r="E2352" s="29" t="s">
        <v>25</v>
      </c>
      <c r="F2352" s="11" t="s">
        <v>26</v>
      </c>
      <c r="G2352" s="11" t="s">
        <v>37</v>
      </c>
      <c r="H2352" s="11" t="s">
        <v>1219</v>
      </c>
      <c r="I2352" s="31">
        <v>4522.51</v>
      </c>
      <c r="J2352" s="13"/>
      <c r="K2352" s="13">
        <f t="shared" si="148"/>
        <v>4522.51</v>
      </c>
      <c r="L2352" s="11" t="s">
        <v>34</v>
      </c>
      <c r="M2352" s="14"/>
      <c r="N2352" s="11" t="s">
        <v>120</v>
      </c>
      <c r="O2352" s="10" t="str">
        <f t="shared" si="79"/>
        <v>01/2026</v>
      </c>
      <c r="P2352" s="10" t="str">
        <f t="shared" si="121"/>
        <v>01/2026</v>
      </c>
      <c r="Q2352" s="15" t="str">
        <f t="array" ref="Q2352">IFERROR(XLOOKUP(N2352,'Classificação'!A:A,'Classificação'!B:B),"")</f>
        <v>DESPESAS ADMINISTRATIVAS</v>
      </c>
      <c r="R2352" s="15" t="str">
        <f t="array" ref="R2352">IFERROR(XLOOKUP(Q2352,'Classificação'!B:B,'Classificação'!C:C),"")</f>
        <v>DESPESAS FIXAS (-)</v>
      </c>
      <c r="S2352" s="15">
        <f t="shared" si="131"/>
        <v>22</v>
      </c>
      <c r="T2352" s="15">
        <f t="shared" si="128"/>
        <v>1</v>
      </c>
      <c r="U2352" s="15">
        <f t="shared" si="129"/>
        <v>2026</v>
      </c>
      <c r="V2352" s="15">
        <f t="shared" si="8"/>
        <v>22</v>
      </c>
      <c r="W2352" s="15">
        <f t="shared" si="9"/>
        <v>1</v>
      </c>
      <c r="X2352" s="15">
        <f t="shared" si="10"/>
        <v>2026</v>
      </c>
    </row>
    <row r="2353">
      <c r="A2353" s="9">
        <v>46044.0</v>
      </c>
      <c r="B2353" s="10"/>
      <c r="C2353" s="9">
        <f t="shared" si="150"/>
        <v>46044</v>
      </c>
      <c r="D2353" s="11" t="s">
        <v>828</v>
      </c>
      <c r="E2353" s="29" t="s">
        <v>25</v>
      </c>
      <c r="F2353" s="11" t="s">
        <v>26</v>
      </c>
      <c r="G2353" s="11" t="s">
        <v>37</v>
      </c>
      <c r="H2353" s="11" t="s">
        <v>1220</v>
      </c>
      <c r="I2353" s="31">
        <v>112.53</v>
      </c>
      <c r="J2353" s="13"/>
      <c r="K2353" s="13">
        <f t="shared" si="148"/>
        <v>112.53</v>
      </c>
      <c r="L2353" s="11" t="s">
        <v>34</v>
      </c>
      <c r="M2353" s="14"/>
      <c r="N2353" s="11" t="s">
        <v>105</v>
      </c>
      <c r="O2353" s="10" t="str">
        <f t="shared" si="79"/>
        <v>01/2026</v>
      </c>
      <c r="P2353" s="10" t="str">
        <f t="shared" si="121"/>
        <v>01/2026</v>
      </c>
      <c r="Q2353" s="15" t="str">
        <f t="array" ref="Q2353">IFERROR(XLOOKUP(N2353,'Classificação'!A:A,'Classificação'!B:B),"")</f>
        <v>DESPESAS ADMINISTRATIVAS</v>
      </c>
      <c r="R2353" s="15" t="str">
        <f t="array" ref="R2353">IFERROR(XLOOKUP(Q2353,'Classificação'!B:B,'Classificação'!C:C),"")</f>
        <v>DESPESAS FIXAS (-)</v>
      </c>
      <c r="S2353" s="15">
        <f t="shared" si="131"/>
        <v>22</v>
      </c>
      <c r="T2353" s="15">
        <f t="shared" si="128"/>
        <v>1</v>
      </c>
      <c r="U2353" s="15">
        <f t="shared" si="129"/>
        <v>2026</v>
      </c>
      <c r="V2353" s="15">
        <f t="shared" si="8"/>
        <v>22</v>
      </c>
      <c r="W2353" s="15">
        <f t="shared" si="9"/>
        <v>1</v>
      </c>
      <c r="X2353" s="15">
        <f t="shared" si="10"/>
        <v>2026</v>
      </c>
    </row>
    <row r="2354">
      <c r="A2354" s="9">
        <v>46044.0</v>
      </c>
      <c r="B2354" s="10"/>
      <c r="C2354" s="9">
        <f t="shared" si="150"/>
        <v>46044</v>
      </c>
      <c r="D2354" s="11" t="s">
        <v>558</v>
      </c>
      <c r="E2354" s="29" t="s">
        <v>25</v>
      </c>
      <c r="F2354" s="11" t="s">
        <v>26</v>
      </c>
      <c r="G2354" s="28" t="s">
        <v>37</v>
      </c>
      <c r="H2354" s="11" t="s">
        <v>1221</v>
      </c>
      <c r="I2354" s="31">
        <v>297.49</v>
      </c>
      <c r="J2354" s="13"/>
      <c r="K2354" s="13">
        <f t="shared" si="148"/>
        <v>297.49</v>
      </c>
      <c r="L2354" s="11" t="s">
        <v>34</v>
      </c>
      <c r="M2354" s="14"/>
      <c r="N2354" s="11" t="s">
        <v>105</v>
      </c>
      <c r="O2354" s="10" t="str">
        <f t="shared" si="79"/>
        <v>01/2026</v>
      </c>
      <c r="P2354" s="10" t="str">
        <f t="shared" si="121"/>
        <v>01/2026</v>
      </c>
      <c r="Q2354" s="15" t="str">
        <f t="array" ref="Q2354">IFERROR(XLOOKUP(N2354,'Classificação'!A:A,'Classificação'!B:B),"")</f>
        <v>DESPESAS ADMINISTRATIVAS</v>
      </c>
      <c r="R2354" s="15" t="str">
        <f t="array" ref="R2354">IFERROR(XLOOKUP(Q2354,'Classificação'!B:B,'Classificação'!C:C),"")</f>
        <v>DESPESAS FIXAS (-)</v>
      </c>
      <c r="S2354" s="15">
        <f t="shared" si="131"/>
        <v>22</v>
      </c>
      <c r="T2354" s="15">
        <f t="shared" si="128"/>
        <v>1</v>
      </c>
      <c r="U2354" s="15">
        <f t="shared" si="129"/>
        <v>2026</v>
      </c>
      <c r="V2354" s="15">
        <f t="shared" si="8"/>
        <v>22</v>
      </c>
      <c r="W2354" s="15">
        <f t="shared" si="9"/>
        <v>1</v>
      </c>
      <c r="X2354" s="15">
        <f t="shared" si="10"/>
        <v>2026</v>
      </c>
    </row>
    <row r="2355">
      <c r="A2355" s="26">
        <v>46044.0</v>
      </c>
      <c r="B2355" s="28"/>
      <c r="C2355" s="27">
        <f t="shared" si="150"/>
        <v>46044</v>
      </c>
      <c r="D2355" s="28" t="s">
        <v>127</v>
      </c>
      <c r="E2355" s="29" t="s">
        <v>25</v>
      </c>
      <c r="F2355" s="28" t="s">
        <v>26</v>
      </c>
      <c r="G2355" s="28" t="s">
        <v>37</v>
      </c>
      <c r="H2355" s="29" t="s">
        <v>1222</v>
      </c>
      <c r="I2355" s="24">
        <v>626.1</v>
      </c>
      <c r="J2355" s="34"/>
      <c r="K2355" s="37">
        <f>IF(E2355="pago",(I2355-J2355),"")</f>
        <v>626.1</v>
      </c>
      <c r="L2355" s="28" t="s">
        <v>29</v>
      </c>
      <c r="M2355" s="28"/>
      <c r="N2355" s="28" t="s">
        <v>58</v>
      </c>
      <c r="O2355" s="10" t="str">
        <f t="shared" si="79"/>
        <v>01/2026</v>
      </c>
      <c r="P2355" s="10" t="str">
        <f t="shared" si="121"/>
        <v>01/2026</v>
      </c>
      <c r="Q2355" s="15" t="str">
        <f t="array" ref="Q2355">IFERROR(XLOOKUP(N2355,'Classificação'!A:A,'Classificação'!B:B),"")</f>
        <v>DESPESAS ADMINISTRATIVAS</v>
      </c>
      <c r="R2355" s="15" t="str">
        <f t="array" ref="R2355">IFERROR(XLOOKUP(Q2355,'Classificação'!B:B,'Classificação'!C:C),"")</f>
        <v>DESPESAS FIXAS (-)</v>
      </c>
      <c r="S2355" s="15">
        <f t="shared" si="131"/>
        <v>22</v>
      </c>
      <c r="T2355" s="15">
        <f t="shared" si="128"/>
        <v>1</v>
      </c>
      <c r="U2355" s="15">
        <f t="shared" si="129"/>
        <v>2026</v>
      </c>
      <c r="V2355" s="15">
        <f t="shared" si="8"/>
        <v>22</v>
      </c>
      <c r="W2355" s="15">
        <f t="shared" si="9"/>
        <v>1</v>
      </c>
      <c r="X2355" s="15">
        <f t="shared" si="10"/>
        <v>2026</v>
      </c>
    </row>
    <row r="2356">
      <c r="A2356" s="26">
        <v>46045.0</v>
      </c>
      <c r="B2356" s="30"/>
      <c r="C2356" s="27">
        <f t="shared" si="150"/>
        <v>46045</v>
      </c>
      <c r="D2356" s="29" t="s">
        <v>62</v>
      </c>
      <c r="E2356" s="29" t="s">
        <v>25</v>
      </c>
      <c r="F2356" s="29" t="s">
        <v>26</v>
      </c>
      <c r="G2356" s="29" t="s">
        <v>37</v>
      </c>
      <c r="H2356" s="29" t="s">
        <v>1223</v>
      </c>
      <c r="I2356" s="24">
        <v>78.0</v>
      </c>
      <c r="J2356" s="34"/>
      <c r="K2356" s="13">
        <f t="shared" ref="K2356:K2357" si="151">if(E2356="pago",(I2356-J2356),"")</f>
        <v>78</v>
      </c>
      <c r="L2356" s="29" t="s">
        <v>34</v>
      </c>
      <c r="M2356" s="28"/>
      <c r="N2356" s="29" t="s">
        <v>595</v>
      </c>
      <c r="O2356" s="10" t="str">
        <f t="shared" si="79"/>
        <v>01/2026</v>
      </c>
      <c r="P2356" s="10" t="str">
        <f t="shared" si="121"/>
        <v>01/2026</v>
      </c>
      <c r="Q2356" s="15" t="str">
        <f t="array" ref="Q2356">IFERROR(XLOOKUP(N2356,'Classificação'!A:A,'Classificação'!B:B),"")</f>
        <v>DESPESAS COM PESSOAL</v>
      </c>
      <c r="R2356" s="15" t="str">
        <f t="array" ref="R2356">IFERROR(XLOOKUP(Q2356,'Classificação'!B:B,'Classificação'!C:C),"")</f>
        <v>DESPESAS FIXAS (-)</v>
      </c>
      <c r="S2356" s="15">
        <f t="shared" si="131"/>
        <v>23</v>
      </c>
      <c r="T2356" s="15">
        <f t="shared" si="128"/>
        <v>1</v>
      </c>
      <c r="U2356" s="15">
        <f t="shared" si="129"/>
        <v>2026</v>
      </c>
      <c r="V2356" s="15">
        <f t="shared" si="8"/>
        <v>23</v>
      </c>
      <c r="W2356" s="15">
        <f t="shared" si="9"/>
        <v>1</v>
      </c>
      <c r="X2356" s="15">
        <f t="shared" si="10"/>
        <v>2026</v>
      </c>
    </row>
    <row r="2357">
      <c r="A2357" s="9">
        <v>46045.0</v>
      </c>
      <c r="B2357" s="10"/>
      <c r="C2357" s="9">
        <f t="shared" si="150"/>
        <v>46045</v>
      </c>
      <c r="D2357" s="11" t="s">
        <v>450</v>
      </c>
      <c r="E2357" s="29" t="s">
        <v>25</v>
      </c>
      <c r="F2357" s="11" t="s">
        <v>26</v>
      </c>
      <c r="G2357" s="11" t="s">
        <v>37</v>
      </c>
      <c r="H2357" s="11" t="s">
        <v>1176</v>
      </c>
      <c r="I2357" s="31">
        <v>110.0</v>
      </c>
      <c r="J2357" s="13"/>
      <c r="K2357" s="13">
        <f t="shared" si="151"/>
        <v>110</v>
      </c>
      <c r="L2357" s="11" t="s">
        <v>34</v>
      </c>
      <c r="M2357" s="14"/>
      <c r="N2357" s="11" t="s">
        <v>58</v>
      </c>
      <c r="O2357" s="10" t="str">
        <f t="shared" si="79"/>
        <v>01/2026</v>
      </c>
      <c r="P2357" s="10" t="str">
        <f t="shared" si="121"/>
        <v>01/2026</v>
      </c>
      <c r="Q2357" s="15" t="str">
        <f t="array" ref="Q2357">IFERROR(XLOOKUP(N2357,'Classificação'!A:A,'Classificação'!B:B),"")</f>
        <v>DESPESAS ADMINISTRATIVAS</v>
      </c>
      <c r="R2357" s="15" t="str">
        <f t="array" ref="R2357">IFERROR(XLOOKUP(Q2357,'Classificação'!B:B,'Classificação'!C:C),"")</f>
        <v>DESPESAS FIXAS (-)</v>
      </c>
      <c r="S2357" s="15">
        <f t="shared" si="131"/>
        <v>23</v>
      </c>
      <c r="T2357" s="15">
        <f t="shared" si="128"/>
        <v>1</v>
      </c>
      <c r="U2357" s="15">
        <f t="shared" si="129"/>
        <v>2026</v>
      </c>
      <c r="V2357" s="15">
        <f t="shared" si="8"/>
        <v>23</v>
      </c>
      <c r="W2357" s="15">
        <f t="shared" si="9"/>
        <v>1</v>
      </c>
      <c r="X2357" s="15">
        <f t="shared" si="10"/>
        <v>2026</v>
      </c>
    </row>
    <row r="2358">
      <c r="A2358" s="26">
        <v>46048.0</v>
      </c>
      <c r="B2358" s="28"/>
      <c r="C2358" s="27">
        <f t="shared" si="150"/>
        <v>46048</v>
      </c>
      <c r="D2358" s="28" t="s">
        <v>208</v>
      </c>
      <c r="E2358" s="29" t="s">
        <v>25</v>
      </c>
      <c r="F2358" s="28" t="s">
        <v>40</v>
      </c>
      <c r="G2358" s="28" t="s">
        <v>37</v>
      </c>
      <c r="H2358" s="28" t="s">
        <v>209</v>
      </c>
      <c r="I2358" s="37">
        <v>204.96</v>
      </c>
      <c r="J2358" s="34"/>
      <c r="K2358" s="37">
        <f t="shared" ref="K2358:K2360" si="152">IF(E2358="pago",(I2358-J2358),"")</f>
        <v>204.96</v>
      </c>
      <c r="L2358" s="28" t="s">
        <v>29</v>
      </c>
      <c r="M2358" s="28"/>
      <c r="N2358" s="28" t="s">
        <v>210</v>
      </c>
      <c r="O2358" s="10" t="str">
        <f t="shared" si="79"/>
        <v>01/2026</v>
      </c>
      <c r="P2358" s="10" t="str">
        <f t="shared" si="121"/>
        <v>01/2026</v>
      </c>
      <c r="Q2358" s="15" t="str">
        <f t="array" ref="Q2358">IFERROR(XLOOKUP(N2358,'Classificação'!A:A,'Classificação'!B:B),"")</f>
        <v>DESPESAS COM OCUPAÇÃO</v>
      </c>
      <c r="R2358" s="15" t="str">
        <f t="array" ref="R2358">IFERROR(XLOOKUP(Q2358,'Classificação'!B:B,'Classificação'!C:C),"")</f>
        <v>DESPESAS FIXAS (-)</v>
      </c>
      <c r="S2358" s="15">
        <f t="shared" si="131"/>
        <v>26</v>
      </c>
      <c r="T2358" s="15">
        <f t="shared" si="128"/>
        <v>1</v>
      </c>
      <c r="U2358" s="15">
        <f t="shared" si="129"/>
        <v>2026</v>
      </c>
      <c r="V2358" s="15">
        <f t="shared" si="8"/>
        <v>26</v>
      </c>
      <c r="W2358" s="15">
        <f t="shared" si="9"/>
        <v>1</v>
      </c>
      <c r="X2358" s="15">
        <f t="shared" si="10"/>
        <v>2026</v>
      </c>
    </row>
    <row r="2359">
      <c r="A2359" s="26">
        <v>46048.0</v>
      </c>
      <c r="B2359" s="28"/>
      <c r="C2359" s="27">
        <f t="shared" si="150"/>
        <v>46048</v>
      </c>
      <c r="D2359" s="28" t="s">
        <v>36</v>
      </c>
      <c r="E2359" s="29" t="s">
        <v>25</v>
      </c>
      <c r="F2359" s="28" t="s">
        <v>26</v>
      </c>
      <c r="G2359" s="29" t="s">
        <v>37</v>
      </c>
      <c r="H2359" s="28"/>
      <c r="I2359" s="24">
        <v>2150.0</v>
      </c>
      <c r="J2359" s="34"/>
      <c r="K2359" s="37">
        <f t="shared" si="152"/>
        <v>2150</v>
      </c>
      <c r="L2359" s="28" t="s">
        <v>29</v>
      </c>
      <c r="M2359" s="28"/>
      <c r="N2359" s="28" t="s">
        <v>38</v>
      </c>
      <c r="O2359" s="10" t="str">
        <f t="shared" si="79"/>
        <v>01/2026</v>
      </c>
      <c r="P2359" s="10" t="str">
        <f t="shared" si="121"/>
        <v>01/2026</v>
      </c>
      <c r="Q2359" s="15" t="str">
        <f t="array" ref="Q2359">IFERROR(XLOOKUP(N2359,'Classificação'!A:A,'Classificação'!B:B),"")</f>
        <v>DESPESAS COM PESSOAL</v>
      </c>
      <c r="R2359" s="15" t="str">
        <f t="array" ref="R2359">IFERROR(XLOOKUP(Q2359,'Classificação'!B:B,'Classificação'!C:C),"")</f>
        <v>DESPESAS FIXAS (-)</v>
      </c>
      <c r="S2359" s="15">
        <f t="shared" si="131"/>
        <v>26</v>
      </c>
      <c r="T2359" s="15">
        <f t="shared" si="128"/>
        <v>1</v>
      </c>
      <c r="U2359" s="15">
        <f t="shared" si="129"/>
        <v>2026</v>
      </c>
      <c r="V2359" s="15">
        <f t="shared" si="8"/>
        <v>26</v>
      </c>
      <c r="W2359" s="15">
        <f t="shared" si="9"/>
        <v>1</v>
      </c>
      <c r="X2359" s="15">
        <f t="shared" si="10"/>
        <v>2026</v>
      </c>
    </row>
    <row r="2360">
      <c r="A2360" s="26">
        <v>46048.0</v>
      </c>
      <c r="B2360" s="28"/>
      <c r="C2360" s="27">
        <f t="shared" si="150"/>
        <v>46048</v>
      </c>
      <c r="D2360" s="28" t="s">
        <v>43</v>
      </c>
      <c r="E2360" s="29" t="s">
        <v>25</v>
      </c>
      <c r="F2360" s="28" t="s">
        <v>26</v>
      </c>
      <c r="G2360" s="29" t="s">
        <v>37</v>
      </c>
      <c r="H2360" s="28"/>
      <c r="I2360" s="24">
        <v>2150.0</v>
      </c>
      <c r="J2360" s="34"/>
      <c r="K2360" s="37">
        <f t="shared" si="152"/>
        <v>2150</v>
      </c>
      <c r="L2360" s="28" t="s">
        <v>29</v>
      </c>
      <c r="M2360" s="28"/>
      <c r="N2360" s="28" t="s">
        <v>38</v>
      </c>
      <c r="O2360" s="10" t="str">
        <f t="shared" si="79"/>
        <v>01/2026</v>
      </c>
      <c r="P2360" s="10" t="str">
        <f t="shared" si="121"/>
        <v>01/2026</v>
      </c>
      <c r="Q2360" s="15" t="str">
        <f t="array" ref="Q2360">IFERROR(XLOOKUP(N2360,'Classificação'!A:A,'Classificação'!B:B),"")</f>
        <v>DESPESAS COM PESSOAL</v>
      </c>
      <c r="R2360" s="15" t="str">
        <f t="array" ref="R2360">IFERROR(XLOOKUP(Q2360,'Classificação'!B:B,'Classificação'!C:C),"")</f>
        <v>DESPESAS FIXAS (-)</v>
      </c>
      <c r="S2360" s="15">
        <f t="shared" si="131"/>
        <v>26</v>
      </c>
      <c r="T2360" s="15">
        <f t="shared" si="128"/>
        <v>1</v>
      </c>
      <c r="U2360" s="15">
        <f t="shared" si="129"/>
        <v>2026</v>
      </c>
      <c r="V2360" s="15">
        <f t="shared" si="8"/>
        <v>26</v>
      </c>
      <c r="W2360" s="15">
        <f t="shared" si="9"/>
        <v>1</v>
      </c>
      <c r="X2360" s="15">
        <f t="shared" si="10"/>
        <v>2026</v>
      </c>
    </row>
    <row r="2361">
      <c r="A2361" s="26">
        <v>46049.0</v>
      </c>
      <c r="B2361" s="30"/>
      <c r="C2361" s="27">
        <f t="shared" si="150"/>
        <v>46049</v>
      </c>
      <c r="D2361" s="28" t="s">
        <v>44</v>
      </c>
      <c r="E2361" s="29" t="s">
        <v>25</v>
      </c>
      <c r="F2361" s="28" t="s">
        <v>45</v>
      </c>
      <c r="G2361" s="28" t="s">
        <v>27</v>
      </c>
      <c r="H2361" s="29" t="s">
        <v>1224</v>
      </c>
      <c r="I2361" s="24">
        <v>12027.05</v>
      </c>
      <c r="J2361" s="34"/>
      <c r="K2361" s="13">
        <f t="shared" ref="K2361:K2362" si="153">if(E2361="pago",(I2361-J2361),"")</f>
        <v>12027.05</v>
      </c>
      <c r="L2361" s="29" t="s">
        <v>34</v>
      </c>
      <c r="M2361" s="28"/>
      <c r="N2361" s="29" t="s">
        <v>448</v>
      </c>
      <c r="O2361" s="10" t="str">
        <f t="shared" si="79"/>
        <v>01/2026</v>
      </c>
      <c r="P2361" s="10" t="str">
        <f t="shared" si="121"/>
        <v>01/2026</v>
      </c>
      <c r="Q2361" s="15" t="str">
        <f t="array" ref="Q2361">IFERROR(XLOOKUP(N2361,'Classificação'!A:A,'Classificação'!B:B),"")</f>
        <v>DESPESAS ADMINISTRATIVAS</v>
      </c>
      <c r="R2361" s="15" t="str">
        <f t="array" ref="R2361">IFERROR(XLOOKUP(Q2361,'Classificação'!B:B,'Classificação'!C:C),"")</f>
        <v>DESPESAS FIXAS (-)</v>
      </c>
      <c r="S2361" s="15">
        <f t="shared" si="131"/>
        <v>27</v>
      </c>
      <c r="T2361" s="15">
        <f t="shared" si="128"/>
        <v>1</v>
      </c>
      <c r="U2361" s="15">
        <f t="shared" si="129"/>
        <v>2026</v>
      </c>
      <c r="V2361" s="15">
        <f t="shared" si="8"/>
        <v>27</v>
      </c>
      <c r="W2361" s="15">
        <f t="shared" si="9"/>
        <v>1</v>
      </c>
      <c r="X2361" s="15">
        <f t="shared" si="10"/>
        <v>2026</v>
      </c>
    </row>
    <row r="2362">
      <c r="A2362" s="26">
        <v>46049.0</v>
      </c>
      <c r="B2362" s="30"/>
      <c r="C2362" s="27">
        <f t="shared" si="150"/>
        <v>46049</v>
      </c>
      <c r="D2362" s="29" t="s">
        <v>1043</v>
      </c>
      <c r="E2362" s="29" t="s">
        <v>25</v>
      </c>
      <c r="F2362" s="29" t="s">
        <v>26</v>
      </c>
      <c r="G2362" s="29" t="s">
        <v>37</v>
      </c>
      <c r="H2362" s="29" t="s">
        <v>1225</v>
      </c>
      <c r="I2362" s="24">
        <v>37700.0</v>
      </c>
      <c r="J2362" s="34"/>
      <c r="K2362" s="13">
        <f t="shared" si="153"/>
        <v>37700</v>
      </c>
      <c r="L2362" s="29" t="s">
        <v>34</v>
      </c>
      <c r="M2362" s="28"/>
      <c r="N2362" s="29" t="s">
        <v>85</v>
      </c>
      <c r="O2362" s="10" t="str">
        <f t="shared" si="79"/>
        <v>01/2026</v>
      </c>
      <c r="P2362" s="10" t="str">
        <f t="shared" si="121"/>
        <v>01/2026</v>
      </c>
      <c r="Q2362" s="15" t="str">
        <f t="array" ref="Q2362">IFERROR(XLOOKUP(N2362,'Classificação'!A:A,'Classificação'!B:B),"")</f>
        <v>DESPESAS NÃO OPERACIONAIS</v>
      </c>
      <c r="R2362" s="15" t="str">
        <f t="array" ref="R2362">IFERROR(XLOOKUP(Q2362,'Classificação'!B:B,'Classificação'!C:C),"")</f>
        <v>RESULTADO NÃO OPERACIONAL (+/-)</v>
      </c>
      <c r="S2362" s="15">
        <f t="shared" si="131"/>
        <v>27</v>
      </c>
      <c r="T2362" s="15">
        <f t="shared" si="128"/>
        <v>1</v>
      </c>
      <c r="U2362" s="15">
        <f t="shared" si="129"/>
        <v>2026</v>
      </c>
      <c r="V2362" s="15">
        <f t="shared" si="8"/>
        <v>27</v>
      </c>
      <c r="W2362" s="15">
        <f t="shared" si="9"/>
        <v>1</v>
      </c>
      <c r="X2362" s="15">
        <f t="shared" si="10"/>
        <v>2026</v>
      </c>
    </row>
    <row r="2363">
      <c r="A2363" s="26">
        <v>46050.0</v>
      </c>
      <c r="B2363" s="28"/>
      <c r="C2363" s="27">
        <f t="shared" si="150"/>
        <v>46050</v>
      </c>
      <c r="D2363" s="28" t="s">
        <v>31</v>
      </c>
      <c r="E2363" s="29" t="s">
        <v>25</v>
      </c>
      <c r="F2363" s="28" t="s">
        <v>26</v>
      </c>
      <c r="G2363" s="29" t="s">
        <v>37</v>
      </c>
      <c r="H2363" s="29" t="s">
        <v>1179</v>
      </c>
      <c r="I2363" s="33">
        <v>1022.75</v>
      </c>
      <c r="J2363" s="34"/>
      <c r="K2363" s="37">
        <f t="shared" ref="K2363:K2364" si="154">IF(E2363="pago",(I2363-J2363),"")</f>
        <v>1022.75</v>
      </c>
      <c r="L2363" s="28" t="s">
        <v>34</v>
      </c>
      <c r="M2363" s="28"/>
      <c r="N2363" s="28" t="s">
        <v>35</v>
      </c>
      <c r="O2363" s="10" t="str">
        <f t="shared" si="79"/>
        <v>01/2026</v>
      </c>
      <c r="P2363" s="10" t="str">
        <f t="shared" si="121"/>
        <v>01/2026</v>
      </c>
      <c r="Q2363" s="15" t="str">
        <f t="array" ref="Q2363">IFERROR(XLOOKUP(N2363,'Classificação'!A:A,'Classificação'!B:B),"")</f>
        <v>COMPRA DE MERCADORIA</v>
      </c>
      <c r="R2363" s="15" t="str">
        <f t="array" ref="R2363">IFERROR(XLOOKUP(Q2363,'Classificação'!B:B,'Classificação'!C:C),"")</f>
        <v>CUSTOS VARIÁVEIS</v>
      </c>
      <c r="S2363" s="15">
        <f t="shared" si="131"/>
        <v>28</v>
      </c>
      <c r="T2363" s="15">
        <f t="shared" si="128"/>
        <v>1</v>
      </c>
      <c r="U2363" s="15">
        <f t="shared" si="129"/>
        <v>2026</v>
      </c>
      <c r="V2363" s="15">
        <f t="shared" si="8"/>
        <v>28</v>
      </c>
      <c r="W2363" s="15">
        <f t="shared" si="9"/>
        <v>1</v>
      </c>
      <c r="X2363" s="15">
        <f t="shared" si="10"/>
        <v>2026</v>
      </c>
    </row>
    <row r="2364">
      <c r="A2364" s="26">
        <v>46050.0</v>
      </c>
      <c r="B2364" s="28"/>
      <c r="C2364" s="27">
        <f t="shared" si="150"/>
        <v>46050</v>
      </c>
      <c r="D2364" s="28" t="s">
        <v>36</v>
      </c>
      <c r="E2364" s="29" t="s">
        <v>25</v>
      </c>
      <c r="F2364" s="28" t="s">
        <v>26</v>
      </c>
      <c r="G2364" s="29" t="s">
        <v>37</v>
      </c>
      <c r="H2364" s="28"/>
      <c r="I2364" s="24">
        <v>1030.0</v>
      </c>
      <c r="J2364" s="34"/>
      <c r="K2364" s="37">
        <f t="shared" si="154"/>
        <v>1030</v>
      </c>
      <c r="L2364" s="29" t="s">
        <v>29</v>
      </c>
      <c r="M2364" s="28"/>
      <c r="N2364" s="29" t="s">
        <v>38</v>
      </c>
      <c r="O2364" s="10" t="str">
        <f t="shared" si="79"/>
        <v>01/2026</v>
      </c>
      <c r="P2364" s="10" t="str">
        <f t="shared" si="121"/>
        <v>01/2026</v>
      </c>
      <c r="Q2364" s="15" t="str">
        <f t="array" ref="Q2364">IFERROR(XLOOKUP(N2364,'Classificação'!A:A,'Classificação'!B:B),"")</f>
        <v>DESPESAS COM PESSOAL</v>
      </c>
      <c r="R2364" s="15" t="str">
        <f t="array" ref="R2364">IFERROR(XLOOKUP(Q2364,'Classificação'!B:B,'Classificação'!C:C),"")</f>
        <v>DESPESAS FIXAS (-)</v>
      </c>
      <c r="S2364" s="15">
        <f t="shared" si="131"/>
        <v>28</v>
      </c>
      <c r="T2364" s="15">
        <f t="shared" si="128"/>
        <v>1</v>
      </c>
      <c r="U2364" s="15">
        <f t="shared" si="129"/>
        <v>2026</v>
      </c>
      <c r="V2364" s="15">
        <f t="shared" si="8"/>
        <v>28</v>
      </c>
      <c r="W2364" s="15">
        <f t="shared" si="9"/>
        <v>1</v>
      </c>
      <c r="X2364" s="15">
        <f t="shared" si="10"/>
        <v>2026</v>
      </c>
    </row>
    <row r="2365">
      <c r="A2365" s="26">
        <v>46050.0</v>
      </c>
      <c r="B2365" s="28"/>
      <c r="C2365" s="27">
        <f t="shared" si="150"/>
        <v>46050</v>
      </c>
      <c r="D2365" s="28" t="s">
        <v>43</v>
      </c>
      <c r="E2365" s="29" t="s">
        <v>25</v>
      </c>
      <c r="F2365" s="28" t="s">
        <v>26</v>
      </c>
      <c r="G2365" s="29" t="s">
        <v>37</v>
      </c>
      <c r="H2365" s="42"/>
      <c r="I2365" s="24">
        <v>1030.0</v>
      </c>
      <c r="J2365" s="34"/>
      <c r="K2365" s="13">
        <f>if(E2365="pago",(I2365-J2365),"")</f>
        <v>1030</v>
      </c>
      <c r="L2365" s="29" t="s">
        <v>29</v>
      </c>
      <c r="M2365" s="28"/>
      <c r="N2365" s="29" t="s">
        <v>38</v>
      </c>
      <c r="O2365" s="10" t="str">
        <f t="shared" si="79"/>
        <v>01/2026</v>
      </c>
      <c r="P2365" s="10" t="str">
        <f t="shared" si="121"/>
        <v>01/2026</v>
      </c>
      <c r="Q2365" s="15" t="str">
        <f t="array" ref="Q2365">IFERROR(XLOOKUP(N2365,'Classificação'!A:A,'Classificação'!B:B),"")</f>
        <v>DESPESAS COM PESSOAL</v>
      </c>
      <c r="R2365" s="15" t="str">
        <f t="array" ref="R2365">IFERROR(XLOOKUP(Q2365,'Classificação'!B:B,'Classificação'!C:C),"")</f>
        <v>DESPESAS FIXAS (-)</v>
      </c>
      <c r="S2365" s="15">
        <f t="shared" si="131"/>
        <v>28</v>
      </c>
      <c r="T2365" s="15">
        <f t="shared" si="128"/>
        <v>1</v>
      </c>
      <c r="U2365" s="15">
        <f t="shared" si="129"/>
        <v>2026</v>
      </c>
      <c r="V2365" s="15">
        <f t="shared" si="8"/>
        <v>28</v>
      </c>
      <c r="W2365" s="15">
        <f t="shared" si="9"/>
        <v>1</v>
      </c>
      <c r="X2365" s="15">
        <f t="shared" si="10"/>
        <v>2026</v>
      </c>
    </row>
    <row r="2366">
      <c r="A2366" s="27">
        <v>46050.0</v>
      </c>
      <c r="B2366" s="28"/>
      <c r="C2366" s="27">
        <f t="shared" si="150"/>
        <v>46050</v>
      </c>
      <c r="D2366" s="28" t="s">
        <v>31</v>
      </c>
      <c r="E2366" s="28" t="s">
        <v>25</v>
      </c>
      <c r="F2366" s="28" t="s">
        <v>26</v>
      </c>
      <c r="G2366" s="28" t="s">
        <v>37</v>
      </c>
      <c r="H2366" s="29" t="s">
        <v>1226</v>
      </c>
      <c r="I2366" s="38">
        <v>1022.75</v>
      </c>
      <c r="J2366" s="34"/>
      <c r="K2366" s="37">
        <f>IF(E2366="pago",(I2366-J2366),"")</f>
        <v>1022.75</v>
      </c>
      <c r="L2366" s="28" t="s">
        <v>34</v>
      </c>
      <c r="M2366" s="28"/>
      <c r="N2366" s="28" t="s">
        <v>35</v>
      </c>
      <c r="O2366" s="10" t="str">
        <f t="shared" si="79"/>
        <v>01/2026</v>
      </c>
      <c r="P2366" s="10" t="str">
        <f t="shared" si="121"/>
        <v>01/2026</v>
      </c>
      <c r="Q2366" s="15" t="str">
        <f t="array" ref="Q2366">IFERROR(XLOOKUP(N2366,'Classificação'!A:A,'Classificação'!B:B),"")</f>
        <v>COMPRA DE MERCADORIA</v>
      </c>
      <c r="R2366" s="15" t="str">
        <f t="array" ref="R2366">IFERROR(XLOOKUP(Q2366,'Classificação'!B:B,'Classificação'!C:C),"")</f>
        <v>CUSTOS VARIÁVEIS</v>
      </c>
      <c r="S2366" s="15">
        <f t="shared" si="131"/>
        <v>28</v>
      </c>
      <c r="T2366" s="15">
        <f t="shared" si="128"/>
        <v>1</v>
      </c>
      <c r="U2366" s="15">
        <f t="shared" si="129"/>
        <v>2026</v>
      </c>
      <c r="V2366" s="15">
        <f t="shared" si="8"/>
        <v>28</v>
      </c>
      <c r="W2366" s="15">
        <f t="shared" si="9"/>
        <v>1</v>
      </c>
      <c r="X2366" s="15">
        <f t="shared" si="10"/>
        <v>2026</v>
      </c>
    </row>
    <row r="2367">
      <c r="A2367" s="9">
        <v>46051.0</v>
      </c>
      <c r="B2367" s="9">
        <v>45686.0</v>
      </c>
      <c r="C2367" s="9">
        <f t="shared" si="150"/>
        <v>46051</v>
      </c>
      <c r="D2367" s="11" t="s">
        <v>44</v>
      </c>
      <c r="E2367" s="11" t="s">
        <v>25</v>
      </c>
      <c r="F2367" s="11" t="s">
        <v>45</v>
      </c>
      <c r="G2367" s="11" t="s">
        <v>27</v>
      </c>
      <c r="H2367" s="11" t="s">
        <v>1227</v>
      </c>
      <c r="I2367" s="12">
        <v>117145.27</v>
      </c>
      <c r="J2367" s="13"/>
      <c r="K2367" s="13">
        <f>if(E2367="pago",(I2367-J2367),"")</f>
        <v>117145.27</v>
      </c>
      <c r="L2367" s="11" t="s">
        <v>34</v>
      </c>
      <c r="M2367" s="14"/>
      <c r="N2367" s="11" t="s">
        <v>35</v>
      </c>
      <c r="O2367" s="10" t="str">
        <f t="shared" si="79"/>
        <v>01/2026</v>
      </c>
      <c r="P2367" s="10" t="str">
        <f t="shared" si="121"/>
        <v>01/2026</v>
      </c>
      <c r="Q2367" s="15" t="str">
        <f t="array" ref="Q2367">IFERROR(XLOOKUP(N2367,'Classificação'!A:A,'Classificação'!B:B),"")</f>
        <v>COMPRA DE MERCADORIA</v>
      </c>
      <c r="R2367" s="15" t="str">
        <f t="array" ref="R2367">IFERROR(XLOOKUP(Q2367,'Classificação'!B:B,'Classificação'!C:C),"")</f>
        <v>CUSTOS VARIÁVEIS</v>
      </c>
      <c r="S2367" s="15">
        <f t="shared" si="131"/>
        <v>29</v>
      </c>
      <c r="T2367" s="15">
        <f t="shared" si="128"/>
        <v>1</v>
      </c>
      <c r="U2367" s="15">
        <f t="shared" si="129"/>
        <v>2026</v>
      </c>
      <c r="V2367" s="15">
        <f t="shared" si="8"/>
        <v>29</v>
      </c>
      <c r="W2367" s="15">
        <f t="shared" si="9"/>
        <v>1</v>
      </c>
      <c r="X2367" s="15">
        <f t="shared" si="10"/>
        <v>2026</v>
      </c>
    </row>
    <row r="2368">
      <c r="A2368" s="26">
        <v>46051.0</v>
      </c>
      <c r="B2368" s="30"/>
      <c r="C2368" s="27">
        <f t="shared" si="150"/>
        <v>46051</v>
      </c>
      <c r="D2368" s="28" t="s">
        <v>80</v>
      </c>
      <c r="E2368" s="29" t="s">
        <v>25</v>
      </c>
      <c r="F2368" s="28" t="s">
        <v>40</v>
      </c>
      <c r="G2368" s="28" t="s">
        <v>27</v>
      </c>
      <c r="H2368" s="29" t="s">
        <v>1100</v>
      </c>
      <c r="I2368" s="37">
        <v>550.0</v>
      </c>
      <c r="J2368" s="34"/>
      <c r="K2368" s="37">
        <f t="shared" ref="K2368:K2370" si="155">IF(E2368="pago",(I2368-J2368),"")</f>
        <v>550</v>
      </c>
      <c r="L2368" s="28" t="s">
        <v>29</v>
      </c>
      <c r="M2368" s="28"/>
      <c r="N2368" s="28" t="s">
        <v>204</v>
      </c>
      <c r="O2368" s="10" t="str">
        <f t="shared" si="79"/>
        <v>01/2026</v>
      </c>
      <c r="P2368" s="10" t="str">
        <f t="shared" si="121"/>
        <v>01/2026</v>
      </c>
      <c r="Q2368" s="15" t="str">
        <f t="array" ref="Q2368">IFERROR(XLOOKUP(N2368,'Classificação'!A:A,'Classificação'!B:B),"")</f>
        <v>DESPESAS COM PESSOAL</v>
      </c>
      <c r="R2368" s="15" t="str">
        <f t="array" ref="R2368">IFERROR(XLOOKUP(Q2368,'Classificação'!B:B,'Classificação'!C:C),"")</f>
        <v>DESPESAS FIXAS (-)</v>
      </c>
      <c r="S2368" s="15">
        <f t="shared" si="131"/>
        <v>29</v>
      </c>
      <c r="T2368" s="15">
        <f t="shared" si="128"/>
        <v>1</v>
      </c>
      <c r="U2368" s="15">
        <f t="shared" si="129"/>
        <v>2026</v>
      </c>
      <c r="V2368" s="15">
        <f t="shared" si="8"/>
        <v>29</v>
      </c>
      <c r="W2368" s="15">
        <f t="shared" si="9"/>
        <v>1</v>
      </c>
      <c r="X2368" s="15">
        <f t="shared" si="10"/>
        <v>2026</v>
      </c>
    </row>
    <row r="2369">
      <c r="A2369" s="26">
        <v>46051.0</v>
      </c>
      <c r="B2369" s="28"/>
      <c r="C2369" s="27">
        <f t="shared" si="150"/>
        <v>46051</v>
      </c>
      <c r="D2369" s="29" t="s">
        <v>1094</v>
      </c>
      <c r="E2369" s="29" t="s">
        <v>25</v>
      </c>
      <c r="F2369" s="28" t="s">
        <v>40</v>
      </c>
      <c r="G2369" s="29" t="s">
        <v>37</v>
      </c>
      <c r="H2369" s="28" t="s">
        <v>1100</v>
      </c>
      <c r="I2369" s="37">
        <v>550.0</v>
      </c>
      <c r="J2369" s="34"/>
      <c r="K2369" s="37">
        <f t="shared" si="155"/>
        <v>550</v>
      </c>
      <c r="L2369" s="28" t="s">
        <v>29</v>
      </c>
      <c r="M2369" s="28"/>
      <c r="N2369" s="28" t="s">
        <v>204</v>
      </c>
      <c r="O2369" s="10" t="str">
        <f t="shared" si="79"/>
        <v>01/2026</v>
      </c>
      <c r="P2369" s="10" t="str">
        <f t="shared" si="121"/>
        <v>01/2026</v>
      </c>
      <c r="Q2369" s="15" t="str">
        <f t="array" ref="Q2369">IFERROR(XLOOKUP(N2369,'Classificação'!A:A,'Classificação'!B:B),"")</f>
        <v>DESPESAS COM PESSOAL</v>
      </c>
      <c r="R2369" s="15" t="str">
        <f t="array" ref="R2369">IFERROR(XLOOKUP(Q2369,'Classificação'!B:B,'Classificação'!C:C),"")</f>
        <v>DESPESAS FIXAS (-)</v>
      </c>
      <c r="S2369" s="15">
        <f t="shared" si="131"/>
        <v>29</v>
      </c>
      <c r="T2369" s="15">
        <f t="shared" si="128"/>
        <v>1</v>
      </c>
      <c r="U2369" s="15">
        <f t="shared" si="129"/>
        <v>2026</v>
      </c>
      <c r="V2369" s="15">
        <f t="shared" si="8"/>
        <v>29</v>
      </c>
      <c r="W2369" s="15">
        <f t="shared" si="9"/>
        <v>1</v>
      </c>
      <c r="X2369" s="15">
        <f t="shared" si="10"/>
        <v>2026</v>
      </c>
    </row>
    <row r="2370">
      <c r="A2370" s="26">
        <v>46051.0</v>
      </c>
      <c r="B2370" s="28"/>
      <c r="C2370" s="27">
        <f t="shared" si="150"/>
        <v>46051</v>
      </c>
      <c r="D2370" s="28" t="s">
        <v>221</v>
      </c>
      <c r="E2370" s="29" t="s">
        <v>25</v>
      </c>
      <c r="F2370" s="28" t="s">
        <v>32</v>
      </c>
      <c r="G2370" s="28" t="s">
        <v>27</v>
      </c>
      <c r="H2370" s="28" t="s">
        <v>222</v>
      </c>
      <c r="I2370" s="24">
        <v>360.54</v>
      </c>
      <c r="J2370" s="34"/>
      <c r="K2370" s="37">
        <f t="shared" si="155"/>
        <v>360.54</v>
      </c>
      <c r="L2370" s="28" t="s">
        <v>29</v>
      </c>
      <c r="M2370" s="14"/>
      <c r="N2370" s="11" t="s">
        <v>61</v>
      </c>
      <c r="O2370" s="10" t="str">
        <f t="shared" si="79"/>
        <v>01/2026</v>
      </c>
      <c r="P2370" s="10" t="str">
        <f t="shared" si="121"/>
        <v>01/2026</v>
      </c>
      <c r="Q2370" s="15" t="str">
        <f t="array" ref="Q2370">IFERROR(XLOOKUP(N2370,'Classificação'!A:A,'Classificação'!B:B),"")</f>
        <v>DESPESAS ADMINISTRATIVAS</v>
      </c>
      <c r="R2370" s="15" t="str">
        <f t="array" ref="R2370">IFERROR(XLOOKUP(Q2370,'Classificação'!B:B,'Classificação'!C:C),"")</f>
        <v>DESPESAS FIXAS (-)</v>
      </c>
      <c r="S2370" s="15">
        <f t="shared" si="131"/>
        <v>29</v>
      </c>
      <c r="T2370" s="15">
        <f t="shared" si="128"/>
        <v>1</v>
      </c>
      <c r="U2370" s="15">
        <f t="shared" si="129"/>
        <v>2026</v>
      </c>
      <c r="V2370" s="15">
        <f t="shared" si="8"/>
        <v>29</v>
      </c>
      <c r="W2370" s="15">
        <f t="shared" si="9"/>
        <v>1</v>
      </c>
      <c r="X2370" s="15">
        <f t="shared" si="10"/>
        <v>2026</v>
      </c>
    </row>
    <row r="2371">
      <c r="A2371" s="26">
        <v>46051.0</v>
      </c>
      <c r="B2371" s="30"/>
      <c r="C2371" s="27">
        <f t="shared" si="150"/>
        <v>46051</v>
      </c>
      <c r="D2371" s="29" t="s">
        <v>44</v>
      </c>
      <c r="E2371" s="29" t="s">
        <v>25</v>
      </c>
      <c r="F2371" s="28" t="s">
        <v>45</v>
      </c>
      <c r="G2371" s="28" t="s">
        <v>27</v>
      </c>
      <c r="H2371" s="29" t="s">
        <v>1228</v>
      </c>
      <c r="I2371" s="24">
        <v>275.0</v>
      </c>
      <c r="J2371" s="34"/>
      <c r="K2371" s="13">
        <f>if(E2371="pago",(I2371-J2371),"")</f>
        <v>275</v>
      </c>
      <c r="L2371" s="29" t="s">
        <v>34</v>
      </c>
      <c r="M2371" s="28"/>
      <c r="N2371" s="29" t="s">
        <v>47</v>
      </c>
      <c r="O2371" s="10" t="str">
        <f t="shared" si="79"/>
        <v>01/2026</v>
      </c>
      <c r="P2371" s="10" t="str">
        <f t="shared" si="121"/>
        <v>01/2026</v>
      </c>
      <c r="Q2371" s="15" t="str">
        <f t="array" ref="Q2371">IFERROR(XLOOKUP(N2371,'Classificação'!A:A,'Classificação'!B:B),"")</f>
        <v>DESPESAS NÃO OPERACIONAIS</v>
      </c>
      <c r="R2371" s="15" t="str">
        <f t="array" ref="R2371">IFERROR(XLOOKUP(Q2371,'Classificação'!B:B,'Classificação'!C:C),"")</f>
        <v>RESULTADO NÃO OPERACIONAL (+/-)</v>
      </c>
      <c r="S2371" s="15">
        <f t="shared" si="131"/>
        <v>29</v>
      </c>
      <c r="T2371" s="15">
        <f t="shared" si="128"/>
        <v>1</v>
      </c>
      <c r="U2371" s="15">
        <f t="shared" si="129"/>
        <v>2026</v>
      </c>
      <c r="V2371" s="15">
        <f t="shared" si="8"/>
        <v>29</v>
      </c>
      <c r="W2371" s="15">
        <f t="shared" si="9"/>
        <v>1</v>
      </c>
      <c r="X2371" s="15">
        <f t="shared" si="10"/>
        <v>2026</v>
      </c>
    </row>
    <row r="2372">
      <c r="A2372" s="26">
        <v>46052.0</v>
      </c>
      <c r="B2372" s="30"/>
      <c r="C2372" s="27">
        <f t="shared" si="150"/>
        <v>46052</v>
      </c>
      <c r="D2372" s="28" t="s">
        <v>80</v>
      </c>
      <c r="E2372" s="29" t="s">
        <v>25</v>
      </c>
      <c r="F2372" s="28" t="s">
        <v>32</v>
      </c>
      <c r="G2372" s="28" t="s">
        <v>27</v>
      </c>
      <c r="H2372" s="29" t="s">
        <v>1150</v>
      </c>
      <c r="I2372" s="24">
        <v>935.73</v>
      </c>
      <c r="J2372" s="34"/>
      <c r="K2372" s="37">
        <f t="shared" ref="K2372:K2374" si="156">IF(E2372="pago",(I2372-J2372),"")</f>
        <v>935.73</v>
      </c>
      <c r="L2372" s="28" t="s">
        <v>29</v>
      </c>
      <c r="M2372" s="28"/>
      <c r="N2372" s="28" t="s">
        <v>38</v>
      </c>
      <c r="O2372" s="10" t="str">
        <f t="shared" si="79"/>
        <v>01/2026</v>
      </c>
      <c r="P2372" s="10" t="str">
        <f t="shared" si="121"/>
        <v>01/2026</v>
      </c>
      <c r="Q2372" s="15" t="str">
        <f t="array" ref="Q2372">IFERROR(XLOOKUP(N2372,'Classificação'!A:A,'Classificação'!B:B),"")</f>
        <v>DESPESAS COM PESSOAL</v>
      </c>
      <c r="R2372" s="15" t="str">
        <f t="array" ref="R2372">IFERROR(XLOOKUP(Q2372,'Classificação'!B:B,'Classificação'!C:C),"")</f>
        <v>DESPESAS FIXAS (-)</v>
      </c>
      <c r="S2372" s="15">
        <f t="shared" si="131"/>
        <v>30</v>
      </c>
      <c r="T2372" s="15">
        <f t="shared" si="128"/>
        <v>1</v>
      </c>
      <c r="U2372" s="15">
        <f t="shared" si="129"/>
        <v>2026</v>
      </c>
      <c r="V2372" s="15">
        <f t="shared" si="8"/>
        <v>30</v>
      </c>
      <c r="W2372" s="15">
        <f t="shared" si="9"/>
        <v>1</v>
      </c>
      <c r="X2372" s="15">
        <f t="shared" si="10"/>
        <v>2026</v>
      </c>
    </row>
    <row r="2373">
      <c r="A2373" s="26">
        <v>46052.0</v>
      </c>
      <c r="B2373" s="30"/>
      <c r="C2373" s="27">
        <f t="shared" si="150"/>
        <v>46052</v>
      </c>
      <c r="D2373" s="28" t="s">
        <v>83</v>
      </c>
      <c r="E2373" s="29" t="s">
        <v>25</v>
      </c>
      <c r="F2373" s="28" t="s">
        <v>40</v>
      </c>
      <c r="G2373" s="28" t="s">
        <v>27</v>
      </c>
      <c r="H2373" s="29" t="s">
        <v>1150</v>
      </c>
      <c r="I2373" s="24">
        <v>2891.37</v>
      </c>
      <c r="J2373" s="34"/>
      <c r="K2373" s="37">
        <f t="shared" si="156"/>
        <v>2891.37</v>
      </c>
      <c r="L2373" s="28" t="s">
        <v>29</v>
      </c>
      <c r="M2373" s="28"/>
      <c r="N2373" s="28" t="s">
        <v>38</v>
      </c>
      <c r="O2373" s="10" t="str">
        <f t="shared" si="79"/>
        <v>01/2026</v>
      </c>
      <c r="P2373" s="10" t="str">
        <f t="shared" si="121"/>
        <v>01/2026</v>
      </c>
      <c r="Q2373" s="15" t="str">
        <f t="array" ref="Q2373">IFERROR(XLOOKUP(N2373,'Classificação'!A:A,'Classificação'!B:B),"")</f>
        <v>DESPESAS COM PESSOAL</v>
      </c>
      <c r="R2373" s="15" t="str">
        <f t="array" ref="R2373">IFERROR(XLOOKUP(Q2373,'Classificação'!B:B,'Classificação'!C:C),"")</f>
        <v>DESPESAS FIXAS (-)</v>
      </c>
      <c r="S2373" s="15">
        <f t="shared" si="131"/>
        <v>30</v>
      </c>
      <c r="T2373" s="15">
        <f t="shared" si="128"/>
        <v>1</v>
      </c>
      <c r="U2373" s="15">
        <f t="shared" si="129"/>
        <v>2026</v>
      </c>
      <c r="V2373" s="15">
        <f t="shared" si="8"/>
        <v>30</v>
      </c>
      <c r="W2373" s="15">
        <f t="shared" si="9"/>
        <v>1</v>
      </c>
      <c r="X2373" s="15">
        <f t="shared" si="10"/>
        <v>2026</v>
      </c>
    </row>
    <row r="2374">
      <c r="A2374" s="26">
        <v>46052.0</v>
      </c>
      <c r="B2374" s="28"/>
      <c r="C2374" s="27">
        <f t="shared" si="150"/>
        <v>46052</v>
      </c>
      <c r="D2374" s="29" t="s">
        <v>1094</v>
      </c>
      <c r="E2374" s="29" t="s">
        <v>25</v>
      </c>
      <c r="F2374" s="29" t="s">
        <v>26</v>
      </c>
      <c r="G2374" s="29" t="s">
        <v>37</v>
      </c>
      <c r="H2374" s="28" t="s">
        <v>1150</v>
      </c>
      <c r="I2374" s="24">
        <v>1288.52</v>
      </c>
      <c r="J2374" s="34"/>
      <c r="K2374" s="37">
        <f t="shared" si="156"/>
        <v>1288.52</v>
      </c>
      <c r="L2374" s="28" t="s">
        <v>29</v>
      </c>
      <c r="M2374" s="28"/>
      <c r="N2374" s="28" t="s">
        <v>38</v>
      </c>
      <c r="O2374" s="10" t="str">
        <f t="shared" si="79"/>
        <v>01/2026</v>
      </c>
      <c r="P2374" s="10" t="str">
        <f t="shared" si="121"/>
        <v>01/2026</v>
      </c>
      <c r="Q2374" s="15" t="str">
        <f t="array" ref="Q2374">IFERROR(XLOOKUP(N2374,'Classificação'!A:A,'Classificação'!B:B),"")</f>
        <v>DESPESAS COM PESSOAL</v>
      </c>
      <c r="R2374" s="15" t="str">
        <f t="array" ref="R2374">IFERROR(XLOOKUP(Q2374,'Classificação'!B:B,'Classificação'!C:C),"")</f>
        <v>DESPESAS FIXAS (-)</v>
      </c>
      <c r="S2374" s="15">
        <f t="shared" si="131"/>
        <v>30</v>
      </c>
      <c r="T2374" s="15">
        <f t="shared" si="128"/>
        <v>1</v>
      </c>
      <c r="U2374" s="15">
        <f t="shared" si="129"/>
        <v>2026</v>
      </c>
      <c r="V2374" s="15">
        <f t="shared" si="8"/>
        <v>30</v>
      </c>
      <c r="W2374" s="15">
        <f t="shared" si="9"/>
        <v>1</v>
      </c>
      <c r="X2374" s="15">
        <f t="shared" si="10"/>
        <v>2026</v>
      </c>
    </row>
    <row r="2375">
      <c r="A2375" s="9">
        <v>46052.0</v>
      </c>
      <c r="B2375" s="10"/>
      <c r="C2375" s="9">
        <f t="shared" si="150"/>
        <v>46052</v>
      </c>
      <c r="D2375" s="11" t="s">
        <v>1229</v>
      </c>
      <c r="E2375" s="29" t="s">
        <v>25</v>
      </c>
      <c r="F2375" s="11" t="s">
        <v>26</v>
      </c>
      <c r="G2375" s="11" t="s">
        <v>37</v>
      </c>
      <c r="H2375" s="11" t="s">
        <v>1230</v>
      </c>
      <c r="I2375" s="31">
        <v>1260.0</v>
      </c>
      <c r="J2375" s="13"/>
      <c r="K2375" s="13">
        <f>if(E2375="pago",(I2375-J2375),"")</f>
        <v>1260</v>
      </c>
      <c r="L2375" s="11" t="s">
        <v>29</v>
      </c>
      <c r="M2375" s="14"/>
      <c r="N2375" s="11" t="s">
        <v>58</v>
      </c>
      <c r="O2375" s="10" t="str">
        <f t="shared" si="79"/>
        <v>01/2026</v>
      </c>
      <c r="P2375" s="10" t="str">
        <f t="shared" si="121"/>
        <v>01/2026</v>
      </c>
      <c r="Q2375" s="15" t="str">
        <f t="array" ref="Q2375">IFERROR(XLOOKUP(N2375,'Classificação'!A:A,'Classificação'!B:B),"")</f>
        <v>DESPESAS ADMINISTRATIVAS</v>
      </c>
      <c r="R2375" s="15" t="str">
        <f t="array" ref="R2375">IFERROR(XLOOKUP(Q2375,'Classificação'!B:B,'Classificação'!C:C),"")</f>
        <v>DESPESAS FIXAS (-)</v>
      </c>
      <c r="S2375" s="15">
        <f t="shared" si="131"/>
        <v>30</v>
      </c>
      <c r="T2375" s="15">
        <f t="shared" si="128"/>
        <v>1</v>
      </c>
      <c r="U2375" s="15">
        <f t="shared" si="129"/>
        <v>2026</v>
      </c>
      <c r="V2375" s="15">
        <f t="shared" si="8"/>
        <v>30</v>
      </c>
      <c r="W2375" s="15">
        <f t="shared" si="9"/>
        <v>1</v>
      </c>
      <c r="X2375" s="15">
        <f t="shared" si="10"/>
        <v>2026</v>
      </c>
    </row>
    <row r="2376">
      <c r="A2376" s="26">
        <v>46053.0</v>
      </c>
      <c r="B2376" s="28"/>
      <c r="C2376" s="27">
        <f t="shared" si="150"/>
        <v>46053</v>
      </c>
      <c r="D2376" s="29" t="s">
        <v>1046</v>
      </c>
      <c r="E2376" s="29" t="s">
        <v>25</v>
      </c>
      <c r="F2376" s="28" t="s">
        <v>32</v>
      </c>
      <c r="G2376" s="29" t="s">
        <v>37</v>
      </c>
      <c r="H2376" s="29" t="s">
        <v>1231</v>
      </c>
      <c r="I2376" s="24">
        <v>150.0</v>
      </c>
      <c r="J2376" s="34"/>
      <c r="K2376" s="37">
        <f>IF(E2376="pago",(I2376-J2376),"")</f>
        <v>150</v>
      </c>
      <c r="L2376" s="28" t="s">
        <v>29</v>
      </c>
      <c r="M2376" s="28"/>
      <c r="N2376" s="28" t="s">
        <v>224</v>
      </c>
      <c r="O2376" s="10" t="str">
        <f t="shared" si="79"/>
        <v>01/2026</v>
      </c>
      <c r="P2376" s="10" t="str">
        <f t="shared" si="121"/>
        <v>01/2026</v>
      </c>
      <c r="Q2376" s="15" t="str">
        <f t="array" ref="Q2376">IFERROR(XLOOKUP(N2376,'Classificação'!A:A,'Classificação'!B:B),"")</f>
        <v>DESPESAS ADMINISTRATIVAS</v>
      </c>
      <c r="R2376" s="15" t="str">
        <f t="array" ref="R2376">IFERROR(XLOOKUP(Q2376,'Classificação'!B:B,'Classificação'!C:C),"")</f>
        <v>DESPESAS FIXAS (-)</v>
      </c>
      <c r="S2376" s="15">
        <f t="shared" si="131"/>
        <v>31</v>
      </c>
      <c r="T2376" s="15">
        <f t="shared" si="128"/>
        <v>1</v>
      </c>
      <c r="U2376" s="15">
        <f t="shared" si="129"/>
        <v>2026</v>
      </c>
      <c r="V2376" s="15">
        <f t="shared" si="8"/>
        <v>31</v>
      </c>
      <c r="W2376" s="15">
        <f t="shared" si="9"/>
        <v>1</v>
      </c>
      <c r="X2376" s="15">
        <f t="shared" si="10"/>
        <v>2026</v>
      </c>
    </row>
    <row r="2377">
      <c r="A2377" s="26">
        <v>46054.0</v>
      </c>
      <c r="B2377" s="10"/>
      <c r="C2377" s="9">
        <f t="shared" si="150"/>
        <v>46054</v>
      </c>
      <c r="D2377" s="28" t="s">
        <v>322</v>
      </c>
      <c r="E2377" s="29" t="s">
        <v>25</v>
      </c>
      <c r="F2377" s="15" t="s">
        <v>40</v>
      </c>
      <c r="G2377" s="28" t="s">
        <v>37</v>
      </c>
      <c r="H2377" s="29" t="s">
        <v>778</v>
      </c>
      <c r="I2377" s="24">
        <v>48.59</v>
      </c>
      <c r="J2377" s="13"/>
      <c r="K2377" s="13">
        <f>if(E2377="pago",(I2377-J2377),"")</f>
        <v>48.59</v>
      </c>
      <c r="L2377" s="15" t="s">
        <v>29</v>
      </c>
      <c r="M2377" s="14"/>
      <c r="N2377" s="28" t="s">
        <v>105</v>
      </c>
      <c r="O2377" s="10" t="str">
        <f t="shared" si="79"/>
        <v>02/2026</v>
      </c>
      <c r="P2377" s="10" t="str">
        <f t="shared" si="121"/>
        <v>02/2026</v>
      </c>
      <c r="Q2377" s="15" t="str">
        <f t="array" ref="Q2377">IFERROR(XLOOKUP(N2377,'Classificação'!A:A,'Classificação'!B:B),"")</f>
        <v>DESPESAS ADMINISTRATIVAS</v>
      </c>
      <c r="R2377" s="15" t="str">
        <f t="array" ref="R2377">IFERROR(XLOOKUP(Q2377,'Classificação'!B:B,'Classificação'!C:C),"")</f>
        <v>DESPESAS FIXAS (-)</v>
      </c>
      <c r="S2377" s="15">
        <f t="shared" si="131"/>
        <v>1</v>
      </c>
      <c r="T2377" s="15">
        <f t="shared" si="128"/>
        <v>2</v>
      </c>
      <c r="U2377" s="15">
        <f t="shared" si="129"/>
        <v>2026</v>
      </c>
      <c r="V2377" s="15">
        <f t="shared" si="8"/>
        <v>1</v>
      </c>
      <c r="W2377" s="15">
        <f t="shared" si="9"/>
        <v>2</v>
      </c>
      <c r="X2377" s="15">
        <f t="shared" si="10"/>
        <v>2026</v>
      </c>
    </row>
    <row r="2378">
      <c r="A2378" s="9">
        <v>46054.0</v>
      </c>
      <c r="B2378" s="10"/>
      <c r="C2378" s="9">
        <f t="shared" si="150"/>
        <v>46054</v>
      </c>
      <c r="D2378" s="28" t="s">
        <v>24</v>
      </c>
      <c r="E2378" s="29" t="s">
        <v>25</v>
      </c>
      <c r="F2378" s="28" t="s">
        <v>26</v>
      </c>
      <c r="G2378" s="29" t="s">
        <v>37</v>
      </c>
      <c r="H2378" s="28" t="s">
        <v>28</v>
      </c>
      <c r="I2378" s="24">
        <v>6127.21</v>
      </c>
      <c r="J2378" s="34"/>
      <c r="K2378" s="37">
        <f>IF(E2378="pago",(I2378-J2378),"")</f>
        <v>6127.21</v>
      </c>
      <c r="L2378" s="28" t="s">
        <v>29</v>
      </c>
      <c r="M2378" s="28"/>
      <c r="N2378" s="28" t="s">
        <v>30</v>
      </c>
      <c r="O2378" s="10" t="str">
        <f t="shared" si="79"/>
        <v>02/2026</v>
      </c>
      <c r="P2378" s="10" t="str">
        <f t="shared" si="121"/>
        <v>02/2026</v>
      </c>
      <c r="Q2378" s="15" t="str">
        <f t="array" ref="Q2378">IFERROR(XLOOKUP(N2378,'Classificação'!A:A,'Classificação'!B:B),"")</f>
        <v>DESPESAS COM OCUPAÇÃO</v>
      </c>
      <c r="R2378" s="15" t="str">
        <f t="array" ref="R2378">IFERROR(XLOOKUP(Q2378,'Classificação'!B:B,'Classificação'!C:C),"")</f>
        <v>DESPESAS FIXAS (-)</v>
      </c>
      <c r="S2378" s="15">
        <f t="shared" si="131"/>
        <v>1</v>
      </c>
      <c r="T2378" s="15">
        <f t="shared" si="128"/>
        <v>2</v>
      </c>
      <c r="U2378" s="15">
        <f t="shared" si="129"/>
        <v>2026</v>
      </c>
      <c r="V2378" s="15">
        <f t="shared" si="8"/>
        <v>1</v>
      </c>
      <c r="W2378" s="15">
        <f t="shared" si="9"/>
        <v>2</v>
      </c>
      <c r="X2378" s="15">
        <f t="shared" si="10"/>
        <v>2026</v>
      </c>
    </row>
    <row r="2379">
      <c r="A2379" s="26">
        <v>46055.0</v>
      </c>
      <c r="B2379" s="10"/>
      <c r="C2379" s="9">
        <f t="shared" si="150"/>
        <v>46055</v>
      </c>
      <c r="D2379" s="28" t="s">
        <v>36</v>
      </c>
      <c r="E2379" s="29" t="s">
        <v>25</v>
      </c>
      <c r="F2379" s="28" t="s">
        <v>26</v>
      </c>
      <c r="G2379" s="29" t="s">
        <v>27</v>
      </c>
      <c r="I2379" s="24">
        <v>3695.0</v>
      </c>
      <c r="J2379" s="13"/>
      <c r="K2379" s="13">
        <f t="shared" ref="K2379:K2381" si="157">if(E2379="pago",(I2379-J2379),"")</f>
        <v>3695</v>
      </c>
      <c r="L2379" s="28" t="s">
        <v>29</v>
      </c>
      <c r="M2379" s="14"/>
      <c r="N2379" s="28" t="s">
        <v>38</v>
      </c>
      <c r="O2379" s="10" t="str">
        <f t="shared" si="79"/>
        <v>02/2026</v>
      </c>
      <c r="P2379" s="10" t="str">
        <f t="shared" si="121"/>
        <v>02/2026</v>
      </c>
      <c r="Q2379" s="15" t="str">
        <f t="array" ref="Q2379">IFERROR(XLOOKUP(N2379,'Classificação'!A:A,'Classificação'!B:B),"")</f>
        <v>DESPESAS COM PESSOAL</v>
      </c>
      <c r="R2379" s="15" t="str">
        <f t="array" ref="R2379">IFERROR(XLOOKUP(Q2379,'Classificação'!B:B,'Classificação'!C:C),"")</f>
        <v>DESPESAS FIXAS (-)</v>
      </c>
      <c r="S2379" s="15">
        <f t="shared" si="131"/>
        <v>2</v>
      </c>
      <c r="T2379" s="15">
        <f t="shared" si="128"/>
        <v>2</v>
      </c>
      <c r="U2379" s="15">
        <f t="shared" si="129"/>
        <v>2026</v>
      </c>
      <c r="V2379" s="15">
        <f t="shared" si="8"/>
        <v>2</v>
      </c>
      <c r="W2379" s="15">
        <f t="shared" si="9"/>
        <v>2</v>
      </c>
      <c r="X2379" s="15">
        <f t="shared" si="10"/>
        <v>2026</v>
      </c>
    </row>
    <row r="2380">
      <c r="A2380" s="26">
        <v>46055.0</v>
      </c>
      <c r="B2380" s="10"/>
      <c r="C2380" s="9">
        <f t="shared" si="150"/>
        <v>46055</v>
      </c>
      <c r="D2380" s="28" t="s">
        <v>43</v>
      </c>
      <c r="E2380" s="29" t="s">
        <v>25</v>
      </c>
      <c r="F2380" s="29" t="s">
        <v>26</v>
      </c>
      <c r="G2380" s="29" t="s">
        <v>27</v>
      </c>
      <c r="I2380" s="24">
        <v>3695.0</v>
      </c>
      <c r="J2380" s="13"/>
      <c r="K2380" s="13">
        <f t="shared" si="157"/>
        <v>3695</v>
      </c>
      <c r="L2380" s="28" t="s">
        <v>29</v>
      </c>
      <c r="M2380" s="14"/>
      <c r="N2380" s="28" t="s">
        <v>38</v>
      </c>
      <c r="O2380" s="10" t="str">
        <f t="shared" si="79"/>
        <v>02/2026</v>
      </c>
      <c r="P2380" s="10" t="str">
        <f t="shared" si="121"/>
        <v>02/2026</v>
      </c>
      <c r="Q2380" s="15" t="str">
        <f t="array" ref="Q2380">IFERROR(XLOOKUP(N2380,'Classificação'!A:A,'Classificação'!B:B),"")</f>
        <v>DESPESAS COM PESSOAL</v>
      </c>
      <c r="R2380" s="15" t="str">
        <f t="array" ref="R2380">IFERROR(XLOOKUP(Q2380,'Classificação'!B:B,'Classificação'!C:C),"")</f>
        <v>DESPESAS FIXAS (-)</v>
      </c>
      <c r="S2380" s="15">
        <f t="shared" si="131"/>
        <v>2</v>
      </c>
      <c r="T2380" s="15">
        <f t="shared" si="128"/>
        <v>2</v>
      </c>
      <c r="U2380" s="15">
        <f t="shared" si="129"/>
        <v>2026</v>
      </c>
      <c r="V2380" s="15">
        <f t="shared" si="8"/>
        <v>2</v>
      </c>
      <c r="W2380" s="15">
        <f t="shared" si="9"/>
        <v>2</v>
      </c>
      <c r="X2380" s="15">
        <f t="shared" si="10"/>
        <v>2026</v>
      </c>
    </row>
    <row r="2381">
      <c r="A2381" s="9">
        <v>46055.0</v>
      </c>
      <c r="B2381" s="10"/>
      <c r="C2381" s="9">
        <f t="shared" si="150"/>
        <v>46055</v>
      </c>
      <c r="D2381" s="28" t="s">
        <v>288</v>
      </c>
      <c r="E2381" s="29" t="s">
        <v>25</v>
      </c>
      <c r="F2381" s="28" t="s">
        <v>26</v>
      </c>
      <c r="G2381" s="29" t="s">
        <v>37</v>
      </c>
      <c r="H2381" s="29" t="s">
        <v>289</v>
      </c>
      <c r="I2381" s="37">
        <v>98.18</v>
      </c>
      <c r="J2381" s="34"/>
      <c r="K2381" s="13">
        <f t="shared" si="157"/>
        <v>98.18</v>
      </c>
      <c r="L2381" s="28" t="s">
        <v>29</v>
      </c>
      <c r="M2381" s="28"/>
      <c r="N2381" s="28" t="s">
        <v>105</v>
      </c>
      <c r="O2381" s="10" t="str">
        <f t="shared" si="79"/>
        <v>02/2026</v>
      </c>
      <c r="P2381" s="10" t="str">
        <f t="shared" si="121"/>
        <v>02/2026</v>
      </c>
      <c r="Q2381" s="15" t="str">
        <f t="array" ref="Q2381">IFERROR(XLOOKUP(N2381,'Classificação'!A:A,'Classificação'!B:B),"")</f>
        <v>DESPESAS ADMINISTRATIVAS</v>
      </c>
      <c r="R2381" s="15" t="str">
        <f t="array" ref="R2381">IFERROR(XLOOKUP(Q2381,'Classificação'!B:B,'Classificação'!C:C),"")</f>
        <v>DESPESAS FIXAS (-)</v>
      </c>
      <c r="S2381" s="15">
        <f t="shared" si="131"/>
        <v>2</v>
      </c>
      <c r="T2381" s="15">
        <f t="shared" si="128"/>
        <v>2</v>
      </c>
      <c r="U2381" s="15">
        <f t="shared" si="129"/>
        <v>2026</v>
      </c>
      <c r="V2381" s="15">
        <f t="shared" si="8"/>
        <v>2</v>
      </c>
      <c r="W2381" s="15">
        <f t="shared" si="9"/>
        <v>2</v>
      </c>
      <c r="X2381" s="15">
        <f t="shared" si="10"/>
        <v>2026</v>
      </c>
    </row>
    <row r="2382">
      <c r="A2382" s="26">
        <v>46055.0</v>
      </c>
      <c r="B2382" s="28"/>
      <c r="C2382" s="27">
        <f t="shared" si="150"/>
        <v>46055</v>
      </c>
      <c r="D2382" s="28" t="s">
        <v>44</v>
      </c>
      <c r="E2382" s="29" t="s">
        <v>25</v>
      </c>
      <c r="F2382" s="28" t="s">
        <v>45</v>
      </c>
      <c r="G2382" s="28" t="s">
        <v>27</v>
      </c>
      <c r="H2382" s="29" t="s">
        <v>1146</v>
      </c>
      <c r="I2382" s="24">
        <v>313.81</v>
      </c>
      <c r="J2382" s="34"/>
      <c r="K2382" s="37">
        <f t="shared" ref="K2382:K2383" si="158">IF(E2382="pago",(I2382-J2382),"")</f>
        <v>313.81</v>
      </c>
      <c r="L2382" s="29" t="s">
        <v>34</v>
      </c>
      <c r="M2382" s="28"/>
      <c r="N2382" s="29" t="s">
        <v>47</v>
      </c>
      <c r="O2382" s="10" t="str">
        <f t="shared" si="79"/>
        <v>02/2026</v>
      </c>
      <c r="P2382" s="10" t="str">
        <f t="shared" si="121"/>
        <v>02/2026</v>
      </c>
      <c r="Q2382" s="15" t="str">
        <f t="array" ref="Q2382">IFERROR(XLOOKUP(N2382,'Classificação'!A:A,'Classificação'!B:B),"")</f>
        <v>DESPESAS NÃO OPERACIONAIS</v>
      </c>
      <c r="R2382" s="15" t="str">
        <f t="array" ref="R2382">IFERROR(XLOOKUP(Q2382,'Classificação'!B:B,'Classificação'!C:C),"")</f>
        <v>RESULTADO NÃO OPERACIONAL (+/-)</v>
      </c>
      <c r="S2382" s="15">
        <f t="shared" si="131"/>
        <v>2</v>
      </c>
      <c r="T2382" s="15">
        <f t="shared" si="128"/>
        <v>2</v>
      </c>
      <c r="U2382" s="15">
        <f t="shared" si="129"/>
        <v>2026</v>
      </c>
      <c r="V2382" s="15">
        <f t="shared" si="8"/>
        <v>2</v>
      </c>
      <c r="W2382" s="15">
        <f t="shared" si="9"/>
        <v>2</v>
      </c>
      <c r="X2382" s="15">
        <f t="shared" si="10"/>
        <v>2026</v>
      </c>
    </row>
    <row r="2383">
      <c r="A2383" s="26">
        <v>46055.0</v>
      </c>
      <c r="B2383" s="28"/>
      <c r="C2383" s="27">
        <f t="shared" si="150"/>
        <v>46055</v>
      </c>
      <c r="D2383" s="28" t="s">
        <v>44</v>
      </c>
      <c r="E2383" s="29" t="s">
        <v>25</v>
      </c>
      <c r="F2383" s="28" t="s">
        <v>45</v>
      </c>
      <c r="G2383" s="28" t="s">
        <v>27</v>
      </c>
      <c r="H2383" s="29" t="s">
        <v>1232</v>
      </c>
      <c r="I2383" s="24">
        <v>104.6</v>
      </c>
      <c r="J2383" s="34"/>
      <c r="K2383" s="37">
        <f t="shared" si="158"/>
        <v>104.6</v>
      </c>
      <c r="L2383" s="29" t="s">
        <v>34</v>
      </c>
      <c r="M2383" s="28"/>
      <c r="N2383" s="29" t="s">
        <v>47</v>
      </c>
      <c r="O2383" s="10" t="str">
        <f t="shared" si="79"/>
        <v>02/2026</v>
      </c>
      <c r="P2383" s="10" t="str">
        <f t="shared" si="121"/>
        <v>02/2026</v>
      </c>
      <c r="Q2383" s="15" t="str">
        <f t="array" ref="Q2383">IFERROR(XLOOKUP(N2383,'Classificação'!A:A,'Classificação'!B:B),"")</f>
        <v>DESPESAS NÃO OPERACIONAIS</v>
      </c>
      <c r="R2383" s="15" t="str">
        <f t="array" ref="R2383">IFERROR(XLOOKUP(Q2383,'Classificação'!B:B,'Classificação'!C:C),"")</f>
        <v>RESULTADO NÃO OPERACIONAL (+/-)</v>
      </c>
      <c r="S2383" s="15">
        <f t="shared" si="131"/>
        <v>2</v>
      </c>
      <c r="T2383" s="15">
        <f t="shared" si="128"/>
        <v>2</v>
      </c>
      <c r="U2383" s="15">
        <f t="shared" si="129"/>
        <v>2026</v>
      </c>
      <c r="V2383" s="15">
        <f t="shared" si="8"/>
        <v>2</v>
      </c>
      <c r="W2383" s="15">
        <f t="shared" si="9"/>
        <v>2</v>
      </c>
      <c r="X2383" s="15">
        <f t="shared" si="10"/>
        <v>2026</v>
      </c>
    </row>
    <row r="2384">
      <c r="A2384" s="9">
        <v>46056.0</v>
      </c>
      <c r="B2384" s="10"/>
      <c r="C2384" s="9">
        <f t="shared" si="150"/>
        <v>46056</v>
      </c>
      <c r="D2384" s="11" t="s">
        <v>44</v>
      </c>
      <c r="E2384" s="11" t="s">
        <v>25</v>
      </c>
      <c r="F2384" s="11" t="s">
        <v>45</v>
      </c>
      <c r="G2384" s="11" t="s">
        <v>27</v>
      </c>
      <c r="H2384" s="11" t="s">
        <v>651</v>
      </c>
      <c r="I2384" s="12">
        <v>3000.09</v>
      </c>
      <c r="J2384" s="13"/>
      <c r="K2384" s="13">
        <f t="shared" ref="K2384:K2385" si="159">if(E2384="pago",(I2384-J2384),"")</f>
        <v>3000.09</v>
      </c>
      <c r="L2384" s="11" t="s">
        <v>53</v>
      </c>
      <c r="M2384" s="16" t="s">
        <v>1233</v>
      </c>
      <c r="N2384" s="11" t="s">
        <v>73</v>
      </c>
      <c r="O2384" s="10" t="str">
        <f t="shared" si="79"/>
        <v>02/2026</v>
      </c>
      <c r="P2384" s="10" t="str">
        <f t="shared" si="121"/>
        <v>02/2026</v>
      </c>
      <c r="Q2384" s="15" t="str">
        <f t="array" ref="Q2384">IFERROR(XLOOKUP(N2384,'Classificação'!A:A,'Classificação'!B:B),"")</f>
        <v>DESPESAS NÃO OPERACIONAIS</v>
      </c>
      <c r="R2384" s="15" t="str">
        <f t="array" ref="R2384">IFERROR(XLOOKUP(Q2384,'Classificação'!B:B,'Classificação'!C:C),"")</f>
        <v>RESULTADO NÃO OPERACIONAL (+/-)</v>
      </c>
      <c r="S2384" s="15">
        <f t="shared" si="131"/>
        <v>3</v>
      </c>
      <c r="T2384" s="15">
        <f t="shared" si="128"/>
        <v>2</v>
      </c>
      <c r="U2384" s="15">
        <f t="shared" si="129"/>
        <v>2026</v>
      </c>
      <c r="V2384" s="15">
        <f t="shared" si="8"/>
        <v>3</v>
      </c>
      <c r="W2384" s="15">
        <f t="shared" si="9"/>
        <v>2</v>
      </c>
      <c r="X2384" s="15">
        <f t="shared" si="10"/>
        <v>2026</v>
      </c>
    </row>
    <row r="2385">
      <c r="A2385" s="26">
        <v>46062.0</v>
      </c>
      <c r="B2385" s="30"/>
      <c r="C2385" s="27">
        <f t="shared" si="150"/>
        <v>46062</v>
      </c>
      <c r="D2385" s="29" t="s">
        <v>631</v>
      </c>
      <c r="E2385" s="29" t="s">
        <v>25</v>
      </c>
      <c r="F2385" s="29" t="s">
        <v>40</v>
      </c>
      <c r="G2385" s="29" t="s">
        <v>37</v>
      </c>
      <c r="H2385" s="29" t="s">
        <v>1234</v>
      </c>
      <c r="I2385" s="24">
        <v>120.93</v>
      </c>
      <c r="J2385" s="34"/>
      <c r="K2385" s="13">
        <f t="shared" si="159"/>
        <v>120.93</v>
      </c>
      <c r="L2385" s="28" t="s">
        <v>53</v>
      </c>
      <c r="M2385" s="35">
        <v>46204.0</v>
      </c>
      <c r="N2385" s="29" t="s">
        <v>178</v>
      </c>
      <c r="O2385" s="10" t="str">
        <f t="shared" si="79"/>
        <v>02/2026</v>
      </c>
      <c r="P2385" s="10" t="str">
        <f t="shared" si="121"/>
        <v>02/2026</v>
      </c>
      <c r="Q2385" s="15" t="str">
        <f t="array" ref="Q2385">IFERROR(XLOOKUP(N2385,'Classificação'!A:A,'Classificação'!B:B),"")</f>
        <v>DESPESAS COM OCUPAÇÃO</v>
      </c>
      <c r="R2385" s="15" t="str">
        <f t="array" ref="R2385">IFERROR(XLOOKUP(Q2385,'Classificação'!B:B,'Classificação'!C:C),"")</f>
        <v>DESPESAS FIXAS (-)</v>
      </c>
      <c r="S2385" s="15">
        <f t="shared" si="131"/>
        <v>9</v>
      </c>
      <c r="T2385" s="15">
        <f t="shared" si="128"/>
        <v>2</v>
      </c>
      <c r="U2385" s="15">
        <f t="shared" si="129"/>
        <v>2026</v>
      </c>
      <c r="V2385" s="15">
        <f t="shared" si="8"/>
        <v>9</v>
      </c>
      <c r="W2385" s="15">
        <f t="shared" si="9"/>
        <v>2</v>
      </c>
      <c r="X2385" s="15">
        <f t="shared" si="10"/>
        <v>2026</v>
      </c>
    </row>
    <row r="2386">
      <c r="A2386" s="9">
        <v>46062.0</v>
      </c>
      <c r="B2386" s="30"/>
      <c r="C2386" s="27">
        <f t="shared" si="150"/>
        <v>46062</v>
      </c>
      <c r="D2386" s="28" t="s">
        <v>50</v>
      </c>
      <c r="E2386" s="29" t="s">
        <v>25</v>
      </c>
      <c r="F2386" s="28" t="s">
        <v>40</v>
      </c>
      <c r="G2386" s="29" t="s">
        <v>37</v>
      </c>
      <c r="H2386" s="28" t="s">
        <v>51</v>
      </c>
      <c r="I2386" s="24">
        <v>144.99</v>
      </c>
      <c r="J2386" s="34"/>
      <c r="K2386" s="37">
        <f t="shared" ref="K2386:K2388" si="160">IF(E2386="pago",(I2386-J2386),"")</f>
        <v>144.99</v>
      </c>
      <c r="L2386" s="28" t="s">
        <v>29</v>
      </c>
      <c r="M2386" s="28"/>
      <c r="N2386" s="28" t="s">
        <v>51</v>
      </c>
      <c r="O2386" s="10" t="str">
        <f t="shared" si="79"/>
        <v>02/2026</v>
      </c>
      <c r="P2386" s="10" t="str">
        <f t="shared" si="121"/>
        <v>02/2026</v>
      </c>
      <c r="Q2386" s="15" t="str">
        <f t="array" ref="Q2386">IFERROR(XLOOKUP(N2386,'Classificação'!A:A,'Classificação'!B:B),"")</f>
        <v>DESPESAS COM OCUPAÇÃO</v>
      </c>
      <c r="R2386" s="15" t="str">
        <f t="array" ref="R2386">IFERROR(XLOOKUP(Q2386,'Classificação'!B:B,'Classificação'!C:C),"")</f>
        <v>DESPESAS FIXAS (-)</v>
      </c>
      <c r="S2386" s="15">
        <f t="shared" si="131"/>
        <v>9</v>
      </c>
      <c r="T2386" s="15">
        <f t="shared" si="128"/>
        <v>2</v>
      </c>
      <c r="U2386" s="15">
        <f t="shared" si="129"/>
        <v>2026</v>
      </c>
      <c r="V2386" s="15">
        <f t="shared" si="8"/>
        <v>9</v>
      </c>
      <c r="W2386" s="15">
        <f t="shared" si="9"/>
        <v>2</v>
      </c>
      <c r="X2386" s="15">
        <f t="shared" si="10"/>
        <v>2026</v>
      </c>
    </row>
    <row r="2387">
      <c r="A2387" s="26">
        <v>46062.0</v>
      </c>
      <c r="B2387" s="28"/>
      <c r="C2387" s="27">
        <f t="shared" si="150"/>
        <v>46062</v>
      </c>
      <c r="D2387" s="28" t="s">
        <v>36</v>
      </c>
      <c r="E2387" s="29" t="s">
        <v>25</v>
      </c>
      <c r="F2387" s="28" t="s">
        <v>26</v>
      </c>
      <c r="G2387" s="28" t="s">
        <v>37</v>
      </c>
      <c r="H2387" s="42"/>
      <c r="I2387" s="24">
        <v>275.0</v>
      </c>
      <c r="J2387" s="34"/>
      <c r="K2387" s="37">
        <f t="shared" si="160"/>
        <v>275</v>
      </c>
      <c r="L2387" s="28" t="s">
        <v>29</v>
      </c>
      <c r="M2387" s="28"/>
      <c r="N2387" s="28" t="s">
        <v>38</v>
      </c>
      <c r="O2387" s="10" t="str">
        <f t="shared" si="79"/>
        <v>02/2026</v>
      </c>
      <c r="P2387" s="10" t="str">
        <f t="shared" si="121"/>
        <v>02/2026</v>
      </c>
      <c r="Q2387" s="15" t="str">
        <f t="array" ref="Q2387">IFERROR(XLOOKUP(N2387,'Classificação'!A:A,'Classificação'!B:B),"")</f>
        <v>DESPESAS COM PESSOAL</v>
      </c>
      <c r="R2387" s="15" t="str">
        <f t="array" ref="R2387">IFERROR(XLOOKUP(Q2387,'Classificação'!B:B,'Classificação'!C:C),"")</f>
        <v>DESPESAS FIXAS (-)</v>
      </c>
      <c r="S2387" s="15">
        <f t="shared" si="131"/>
        <v>9</v>
      </c>
      <c r="T2387" s="15">
        <f t="shared" si="128"/>
        <v>2</v>
      </c>
      <c r="U2387" s="15">
        <f t="shared" si="129"/>
        <v>2026</v>
      </c>
      <c r="V2387" s="15">
        <f t="shared" si="8"/>
        <v>9</v>
      </c>
      <c r="W2387" s="15">
        <f t="shared" si="9"/>
        <v>2</v>
      </c>
      <c r="X2387" s="15">
        <f t="shared" si="10"/>
        <v>2026</v>
      </c>
    </row>
    <row r="2388">
      <c r="A2388" s="26">
        <v>46062.0</v>
      </c>
      <c r="B2388" s="28"/>
      <c r="C2388" s="27">
        <f t="shared" si="150"/>
        <v>46062</v>
      </c>
      <c r="D2388" s="28" t="s">
        <v>43</v>
      </c>
      <c r="E2388" s="29" t="s">
        <v>25</v>
      </c>
      <c r="F2388" s="28" t="s">
        <v>26</v>
      </c>
      <c r="G2388" s="28" t="s">
        <v>37</v>
      </c>
      <c r="H2388" s="42"/>
      <c r="I2388" s="24">
        <v>275.0</v>
      </c>
      <c r="J2388" s="34"/>
      <c r="K2388" s="37">
        <f t="shared" si="160"/>
        <v>275</v>
      </c>
      <c r="L2388" s="28" t="s">
        <v>29</v>
      </c>
      <c r="M2388" s="28"/>
      <c r="N2388" s="28" t="s">
        <v>38</v>
      </c>
      <c r="O2388" s="10" t="str">
        <f t="shared" si="79"/>
        <v>02/2026</v>
      </c>
      <c r="P2388" s="10" t="str">
        <f t="shared" si="121"/>
        <v>02/2026</v>
      </c>
      <c r="Q2388" s="15" t="str">
        <f t="array" ref="Q2388">IFERROR(XLOOKUP(N2388,'Classificação'!A:A,'Classificação'!B:B),"")</f>
        <v>DESPESAS COM PESSOAL</v>
      </c>
      <c r="R2388" s="15" t="str">
        <f t="array" ref="R2388">IFERROR(XLOOKUP(Q2388,'Classificação'!B:B,'Classificação'!C:C),"")</f>
        <v>DESPESAS FIXAS (-)</v>
      </c>
      <c r="S2388" s="15">
        <f t="shared" si="131"/>
        <v>9</v>
      </c>
      <c r="T2388" s="15">
        <f t="shared" si="128"/>
        <v>2</v>
      </c>
      <c r="U2388" s="15">
        <f t="shared" si="129"/>
        <v>2026</v>
      </c>
      <c r="V2388" s="15">
        <f t="shared" si="8"/>
        <v>9</v>
      </c>
      <c r="W2388" s="15">
        <f t="shared" si="9"/>
        <v>2</v>
      </c>
      <c r="X2388" s="15">
        <f t="shared" si="10"/>
        <v>2026</v>
      </c>
    </row>
    <row r="2389">
      <c r="A2389" s="9">
        <v>46062.0</v>
      </c>
      <c r="B2389" s="32">
        <v>46011.0</v>
      </c>
      <c r="C2389" s="9">
        <f t="shared" si="150"/>
        <v>46062</v>
      </c>
      <c r="D2389" s="11" t="s">
        <v>65</v>
      </c>
      <c r="E2389" s="29" t="s">
        <v>25</v>
      </c>
      <c r="F2389" s="11" t="s">
        <v>26</v>
      </c>
      <c r="G2389" s="29" t="s">
        <v>37</v>
      </c>
      <c r="H2389" s="11" t="s">
        <v>1159</v>
      </c>
      <c r="I2389" s="31">
        <v>54.99</v>
      </c>
      <c r="J2389" s="13"/>
      <c r="K2389" s="13">
        <f t="shared" ref="K2389:K2390" si="161">if(E2389="pago",(I2389-J2389),"")</f>
        <v>54.99</v>
      </c>
      <c r="L2389" s="11" t="s">
        <v>53</v>
      </c>
      <c r="M2389" s="16" t="s">
        <v>1235</v>
      </c>
      <c r="N2389" s="11" t="s">
        <v>95</v>
      </c>
      <c r="O2389" s="10" t="str">
        <f t="shared" si="79"/>
        <v>02/2026</v>
      </c>
      <c r="P2389" s="10" t="str">
        <f t="shared" si="121"/>
        <v>02/2026</v>
      </c>
      <c r="Q2389" s="15" t="str">
        <f t="array" ref="Q2389">IFERROR(XLOOKUP(N2389,'Classificação'!A:A,'Classificação'!B:B),"")</f>
        <v>DESPESAS NÃO OPERACIONAIS</v>
      </c>
      <c r="R2389" s="15" t="str">
        <f t="array" ref="R2389">IFERROR(XLOOKUP(Q2389,'Classificação'!B:B,'Classificação'!C:C),"")</f>
        <v>RESULTADO NÃO OPERACIONAL (+/-)</v>
      </c>
      <c r="S2389" s="15">
        <f t="shared" si="131"/>
        <v>9</v>
      </c>
      <c r="T2389" s="15">
        <f t="shared" si="128"/>
        <v>2</v>
      </c>
      <c r="U2389" s="15">
        <f t="shared" si="129"/>
        <v>2026</v>
      </c>
      <c r="V2389" s="15">
        <f t="shared" si="8"/>
        <v>9</v>
      </c>
      <c r="W2389" s="15">
        <f t="shared" si="9"/>
        <v>2</v>
      </c>
      <c r="X2389" s="15">
        <f t="shared" si="10"/>
        <v>2026</v>
      </c>
    </row>
    <row r="2390">
      <c r="A2390" s="9">
        <v>46063.0</v>
      </c>
      <c r="B2390" s="10"/>
      <c r="C2390" s="9">
        <f t="shared" si="150"/>
        <v>46063</v>
      </c>
      <c r="D2390" s="11" t="s">
        <v>1051</v>
      </c>
      <c r="E2390" s="29" t="s">
        <v>25</v>
      </c>
      <c r="F2390" s="11" t="s">
        <v>40</v>
      </c>
      <c r="G2390" s="29" t="s">
        <v>37</v>
      </c>
      <c r="H2390" s="11" t="s">
        <v>1052</v>
      </c>
      <c r="I2390" s="12">
        <v>32.0</v>
      </c>
      <c r="J2390" s="13"/>
      <c r="K2390" s="13">
        <f t="shared" si="161"/>
        <v>32</v>
      </c>
      <c r="L2390" s="11" t="s">
        <v>29</v>
      </c>
      <c r="M2390" s="14"/>
      <c r="N2390" s="11" t="s">
        <v>1053</v>
      </c>
      <c r="O2390" s="10" t="str">
        <f t="shared" si="79"/>
        <v>02/2026</v>
      </c>
      <c r="P2390" s="10" t="str">
        <f t="shared" si="121"/>
        <v>02/2026</v>
      </c>
      <c r="Q2390" s="15" t="str">
        <f t="array" ref="Q2390">IFERROR(XLOOKUP(N2390,'Classificação'!A:A,'Classificação'!B:B),"")</f>
        <v>DESPESAS COM PESSOAL</v>
      </c>
      <c r="R2390" s="15" t="str">
        <f t="array" ref="R2390">IFERROR(XLOOKUP(Q2390,'Classificação'!B:B,'Classificação'!C:C),"")</f>
        <v>DESPESAS FIXAS (-)</v>
      </c>
      <c r="S2390" s="15">
        <f t="shared" si="131"/>
        <v>10</v>
      </c>
      <c r="T2390" s="15">
        <f t="shared" si="128"/>
        <v>2</v>
      </c>
      <c r="U2390" s="15">
        <f t="shared" si="129"/>
        <v>2026</v>
      </c>
      <c r="V2390" s="15">
        <f t="shared" si="8"/>
        <v>10</v>
      </c>
      <c r="W2390" s="15">
        <f t="shared" si="9"/>
        <v>2</v>
      </c>
      <c r="X2390" s="15">
        <f t="shared" si="10"/>
        <v>2026</v>
      </c>
    </row>
    <row r="2391">
      <c r="A2391" s="26">
        <v>46063.0</v>
      </c>
      <c r="B2391" s="30"/>
      <c r="C2391" s="27">
        <f t="shared" si="150"/>
        <v>46063</v>
      </c>
      <c r="D2391" s="28" t="s">
        <v>48</v>
      </c>
      <c r="E2391" s="29" t="s">
        <v>25</v>
      </c>
      <c r="F2391" s="28" t="s">
        <v>40</v>
      </c>
      <c r="G2391" s="29" t="s">
        <v>37</v>
      </c>
      <c r="H2391" s="28"/>
      <c r="I2391" s="24">
        <v>1472.06</v>
      </c>
      <c r="J2391" s="34"/>
      <c r="K2391" s="37">
        <f t="shared" ref="K2391:K2393" si="162">IF(E2391="pago",(I2391-J2391),"")</f>
        <v>1472.06</v>
      </c>
      <c r="L2391" s="28" t="s">
        <v>29</v>
      </c>
      <c r="M2391" s="28"/>
      <c r="N2391" s="28" t="s">
        <v>49</v>
      </c>
      <c r="O2391" s="10" t="str">
        <f t="shared" si="79"/>
        <v>02/2026</v>
      </c>
      <c r="P2391" s="10" t="str">
        <f t="shared" si="121"/>
        <v>02/2026</v>
      </c>
      <c r="Q2391" s="15" t="str">
        <f t="array" ref="Q2391">IFERROR(XLOOKUP(N2391,'Classificação'!A:A,'Classificação'!B:B),"")</f>
        <v>DESPESAS COM PESSOAL</v>
      </c>
      <c r="R2391" s="15" t="str">
        <f t="array" ref="R2391">IFERROR(XLOOKUP(Q2391,'Classificação'!B:B,'Classificação'!C:C),"")</f>
        <v>DESPESAS FIXAS (-)</v>
      </c>
      <c r="S2391" s="15">
        <f t="shared" si="131"/>
        <v>10</v>
      </c>
      <c r="T2391" s="15">
        <f t="shared" si="128"/>
        <v>2</v>
      </c>
      <c r="U2391" s="15">
        <f t="shared" si="129"/>
        <v>2026</v>
      </c>
      <c r="V2391" s="15">
        <f t="shared" si="8"/>
        <v>10</v>
      </c>
      <c r="W2391" s="15">
        <f t="shared" si="9"/>
        <v>2</v>
      </c>
      <c r="X2391" s="15">
        <f t="shared" si="10"/>
        <v>2026</v>
      </c>
    </row>
    <row r="2392">
      <c r="A2392" s="26">
        <v>46063.0</v>
      </c>
      <c r="B2392" s="30"/>
      <c r="C2392" s="27">
        <f t="shared" si="150"/>
        <v>46063</v>
      </c>
      <c r="D2392" s="28" t="s">
        <v>59</v>
      </c>
      <c r="E2392" s="29" t="s">
        <v>25</v>
      </c>
      <c r="F2392" s="28" t="s">
        <v>40</v>
      </c>
      <c r="G2392" s="28" t="s">
        <v>37</v>
      </c>
      <c r="H2392" s="28" t="s">
        <v>60</v>
      </c>
      <c r="I2392" s="24">
        <v>447.0</v>
      </c>
      <c r="J2392" s="34"/>
      <c r="K2392" s="37">
        <f t="shared" si="162"/>
        <v>447</v>
      </c>
      <c r="L2392" s="28" t="s">
        <v>29</v>
      </c>
      <c r="M2392" s="28"/>
      <c r="N2392" s="28" t="s">
        <v>61</v>
      </c>
      <c r="O2392" s="10" t="str">
        <f t="shared" si="79"/>
        <v>02/2026</v>
      </c>
      <c r="P2392" s="10" t="str">
        <f t="shared" si="121"/>
        <v>02/2026</v>
      </c>
      <c r="Q2392" s="15" t="str">
        <f t="array" ref="Q2392">IFERROR(XLOOKUP(N2392,'Classificação'!A:A,'Classificação'!B:B),"")</f>
        <v>DESPESAS ADMINISTRATIVAS</v>
      </c>
      <c r="R2392" s="15" t="str">
        <f t="array" ref="R2392">IFERROR(XLOOKUP(Q2392,'Classificação'!B:B,'Classificação'!C:C),"")</f>
        <v>DESPESAS FIXAS (-)</v>
      </c>
      <c r="S2392" s="15">
        <f t="shared" si="131"/>
        <v>10</v>
      </c>
      <c r="T2392" s="15">
        <f t="shared" si="128"/>
        <v>2</v>
      </c>
      <c r="U2392" s="15">
        <f t="shared" si="129"/>
        <v>2026</v>
      </c>
      <c r="V2392" s="15">
        <f t="shared" si="8"/>
        <v>10</v>
      </c>
      <c r="W2392" s="15">
        <f t="shared" si="9"/>
        <v>2</v>
      </c>
      <c r="X2392" s="15">
        <f t="shared" si="10"/>
        <v>2026</v>
      </c>
    </row>
    <row r="2393">
      <c r="A2393" s="26">
        <v>46063.0</v>
      </c>
      <c r="B2393" s="30"/>
      <c r="C2393" s="27">
        <f t="shared" si="150"/>
        <v>46063</v>
      </c>
      <c r="D2393" s="28" t="s">
        <v>104</v>
      </c>
      <c r="E2393" s="29" t="s">
        <v>25</v>
      </c>
      <c r="F2393" s="28" t="s">
        <v>40</v>
      </c>
      <c r="G2393" s="28" t="s">
        <v>37</v>
      </c>
      <c r="H2393" s="28" t="s">
        <v>413</v>
      </c>
      <c r="I2393" s="37">
        <v>27.5</v>
      </c>
      <c r="J2393" s="34"/>
      <c r="K2393" s="37">
        <f t="shared" si="162"/>
        <v>27.5</v>
      </c>
      <c r="L2393" s="28" t="s">
        <v>29</v>
      </c>
      <c r="M2393" s="28"/>
      <c r="N2393" s="28" t="s">
        <v>105</v>
      </c>
      <c r="O2393" s="10" t="str">
        <f t="shared" si="79"/>
        <v>02/2026</v>
      </c>
      <c r="P2393" s="10" t="str">
        <f t="shared" si="121"/>
        <v>02/2026</v>
      </c>
      <c r="Q2393" s="15" t="str">
        <f t="array" ref="Q2393">IFERROR(XLOOKUP(N2393,'Classificação'!A:A,'Classificação'!B:B),"")</f>
        <v>DESPESAS ADMINISTRATIVAS</v>
      </c>
      <c r="R2393" s="15" t="str">
        <f t="array" ref="R2393">IFERROR(XLOOKUP(Q2393,'Classificação'!B:B,'Classificação'!C:C),"")</f>
        <v>DESPESAS FIXAS (-)</v>
      </c>
      <c r="S2393" s="15">
        <f t="shared" si="131"/>
        <v>10</v>
      </c>
      <c r="T2393" s="15">
        <f t="shared" si="128"/>
        <v>2</v>
      </c>
      <c r="U2393" s="15">
        <f t="shared" si="129"/>
        <v>2026</v>
      </c>
      <c r="V2393" s="15">
        <f t="shared" si="8"/>
        <v>10</v>
      </c>
      <c r="W2393" s="15">
        <f t="shared" si="9"/>
        <v>2</v>
      </c>
      <c r="X2393" s="15">
        <f t="shared" si="10"/>
        <v>2026</v>
      </c>
    </row>
    <row r="2394">
      <c r="A2394" s="9">
        <v>46063.0</v>
      </c>
      <c r="B2394" s="10"/>
      <c r="C2394" s="9">
        <f t="shared" si="150"/>
        <v>46063</v>
      </c>
      <c r="D2394" s="11" t="s">
        <v>44</v>
      </c>
      <c r="E2394" s="11" t="s">
        <v>25</v>
      </c>
      <c r="F2394" s="11" t="s">
        <v>45</v>
      </c>
      <c r="G2394" s="11" t="s">
        <v>27</v>
      </c>
      <c r="H2394" s="11" t="s">
        <v>52</v>
      </c>
      <c r="I2394" s="12">
        <v>502.8</v>
      </c>
      <c r="J2394" s="13"/>
      <c r="K2394" s="13">
        <f t="shared" ref="K2394:K2395" si="163">if(E2394="pago",(I2394-J2394),"")</f>
        <v>502.8</v>
      </c>
      <c r="L2394" s="11" t="s">
        <v>53</v>
      </c>
      <c r="M2394" s="16" t="s">
        <v>1236</v>
      </c>
      <c r="N2394" s="11" t="s">
        <v>55</v>
      </c>
      <c r="O2394" s="10" t="str">
        <f t="shared" si="79"/>
        <v>02/2026</v>
      </c>
      <c r="P2394" s="10" t="str">
        <f t="shared" si="121"/>
        <v>02/2026</v>
      </c>
      <c r="Q2394" s="15" t="str">
        <f t="array" ref="Q2394">IFERROR(XLOOKUP(N2394,'Classificação'!A:A,'Classificação'!B:B),"")</f>
        <v>DESPESAS NÃO OPERACIONAIS</v>
      </c>
      <c r="R2394" s="15" t="str">
        <f t="array" ref="R2394">IFERROR(XLOOKUP(Q2394,'Classificação'!B:B,'Classificação'!C:C),"")</f>
        <v>RESULTADO NÃO OPERACIONAL (+/-)</v>
      </c>
      <c r="S2394" s="15">
        <f t="shared" si="131"/>
        <v>10</v>
      </c>
      <c r="T2394" s="15">
        <f t="shared" si="128"/>
        <v>2</v>
      </c>
      <c r="U2394" s="15">
        <f t="shared" si="129"/>
        <v>2026</v>
      </c>
      <c r="V2394" s="15">
        <f t="shared" si="8"/>
        <v>10</v>
      </c>
      <c r="W2394" s="15">
        <f t="shared" si="9"/>
        <v>2</v>
      </c>
      <c r="X2394" s="15">
        <f t="shared" si="10"/>
        <v>2026</v>
      </c>
    </row>
    <row r="2395">
      <c r="A2395" s="9">
        <v>46063.0</v>
      </c>
      <c r="B2395" s="10"/>
      <c r="C2395" s="9">
        <f t="shared" si="150"/>
        <v>46063</v>
      </c>
      <c r="D2395" s="11" t="s">
        <v>1104</v>
      </c>
      <c r="E2395" s="29" t="s">
        <v>25</v>
      </c>
      <c r="F2395" s="11" t="s">
        <v>40</v>
      </c>
      <c r="G2395" s="11" t="s">
        <v>37</v>
      </c>
      <c r="H2395" s="11" t="s">
        <v>1105</v>
      </c>
      <c r="I2395" s="12">
        <v>873.82</v>
      </c>
      <c r="J2395" s="13"/>
      <c r="K2395" s="13">
        <f t="shared" si="163"/>
        <v>873.82</v>
      </c>
      <c r="L2395" s="11" t="s">
        <v>53</v>
      </c>
      <c r="M2395" s="16" t="s">
        <v>1237</v>
      </c>
      <c r="N2395" s="11" t="s">
        <v>73</v>
      </c>
      <c r="O2395" s="10" t="str">
        <f t="shared" si="79"/>
        <v>02/2026</v>
      </c>
      <c r="P2395" s="10" t="str">
        <f t="shared" si="121"/>
        <v>02/2026</v>
      </c>
      <c r="Q2395" s="15" t="str">
        <f t="array" ref="Q2395">IFERROR(XLOOKUP(N2395,'Classificação'!A:A,'Classificação'!B:B),"")</f>
        <v>DESPESAS NÃO OPERACIONAIS</v>
      </c>
      <c r="R2395" s="15" t="str">
        <f t="array" ref="R2395">IFERROR(XLOOKUP(Q2395,'Classificação'!B:B,'Classificação'!C:C),"")</f>
        <v>RESULTADO NÃO OPERACIONAL (+/-)</v>
      </c>
      <c r="S2395" s="15">
        <f t="shared" si="131"/>
        <v>10</v>
      </c>
      <c r="T2395" s="15">
        <f t="shared" si="128"/>
        <v>2</v>
      </c>
      <c r="U2395" s="15">
        <f t="shared" si="129"/>
        <v>2026</v>
      </c>
      <c r="V2395" s="15">
        <f t="shared" si="8"/>
        <v>10</v>
      </c>
      <c r="W2395" s="15">
        <f t="shared" si="9"/>
        <v>2</v>
      </c>
      <c r="X2395" s="15">
        <f t="shared" si="10"/>
        <v>2026</v>
      </c>
    </row>
    <row r="2396">
      <c r="A2396" s="26">
        <v>46064.0</v>
      </c>
      <c r="B2396" s="30"/>
      <c r="C2396" s="27">
        <f t="shared" si="150"/>
        <v>46064</v>
      </c>
      <c r="D2396" s="28" t="s">
        <v>65</v>
      </c>
      <c r="E2396" s="29" t="s">
        <v>25</v>
      </c>
      <c r="F2396" s="28" t="s">
        <v>45</v>
      </c>
      <c r="G2396" s="28" t="s">
        <v>66</v>
      </c>
      <c r="H2396" s="28" t="s">
        <v>67</v>
      </c>
      <c r="I2396" s="24">
        <v>462.1</v>
      </c>
      <c r="J2396" s="34"/>
      <c r="K2396" s="37">
        <f>IF(E2396="pago",(I2396-J2396),"")</f>
        <v>462.1</v>
      </c>
      <c r="L2396" s="28" t="s">
        <v>29</v>
      </c>
      <c r="M2396" s="28"/>
      <c r="N2396" s="28" t="s">
        <v>68</v>
      </c>
      <c r="O2396" s="10" t="str">
        <f t="shared" si="79"/>
        <v>02/2026</v>
      </c>
      <c r="P2396" s="10" t="str">
        <f t="shared" si="121"/>
        <v>02/2026</v>
      </c>
      <c r="Q2396" s="15" t="str">
        <f t="array" ref="Q2396">IFERROR(XLOOKUP(N2396,'Classificação'!A:A,'Classificação'!B:B),"")</f>
        <v>FRETE DE VENDAS</v>
      </c>
      <c r="R2396" s="15" t="str">
        <f t="array" ref="R2396">IFERROR(XLOOKUP(Q2396,'Classificação'!B:B,'Classificação'!C:C),"")</f>
        <v>CUSTOS VARIÁVEIS</v>
      </c>
      <c r="S2396" s="15">
        <f t="shared" si="131"/>
        <v>11</v>
      </c>
      <c r="T2396" s="15">
        <f t="shared" si="128"/>
        <v>2</v>
      </c>
      <c r="U2396" s="15">
        <f t="shared" si="129"/>
        <v>2026</v>
      </c>
      <c r="V2396" s="15">
        <f t="shared" si="8"/>
        <v>11</v>
      </c>
      <c r="W2396" s="15">
        <f t="shared" si="9"/>
        <v>2</v>
      </c>
      <c r="X2396" s="15">
        <f t="shared" si="10"/>
        <v>2026</v>
      </c>
    </row>
    <row r="2397">
      <c r="A2397" s="26">
        <v>46065.0</v>
      </c>
      <c r="B2397" s="30"/>
      <c r="C2397" s="27">
        <f t="shared" si="150"/>
        <v>46065</v>
      </c>
      <c r="D2397" s="28" t="s">
        <v>56</v>
      </c>
      <c r="E2397" s="29" t="s">
        <v>25</v>
      </c>
      <c r="F2397" s="28" t="s">
        <v>26</v>
      </c>
      <c r="G2397" s="28" t="s">
        <v>37</v>
      </c>
      <c r="H2397" s="28" t="s">
        <v>57</v>
      </c>
      <c r="I2397" s="24">
        <v>60.0</v>
      </c>
      <c r="J2397" s="34"/>
      <c r="K2397" s="13">
        <f>if(E2397="pago",(I2397-J2397),"")</f>
        <v>60</v>
      </c>
      <c r="L2397" s="28" t="s">
        <v>29</v>
      </c>
      <c r="M2397" s="28"/>
      <c r="N2397" s="28" t="s">
        <v>58</v>
      </c>
      <c r="O2397" s="10" t="str">
        <f t="shared" si="79"/>
        <v>02/2026</v>
      </c>
      <c r="P2397" s="10" t="str">
        <f t="shared" si="121"/>
        <v>02/2026</v>
      </c>
      <c r="Q2397" s="15" t="str">
        <f t="array" ref="Q2397">IFERROR(XLOOKUP(N2397,'Classificação'!A:A,'Classificação'!B:B),"")</f>
        <v>DESPESAS ADMINISTRATIVAS</v>
      </c>
      <c r="R2397" s="15" t="str">
        <f t="array" ref="R2397">IFERROR(XLOOKUP(Q2397,'Classificação'!B:B,'Classificação'!C:C),"")</f>
        <v>DESPESAS FIXAS (-)</v>
      </c>
      <c r="S2397" s="15">
        <f t="shared" si="131"/>
        <v>12</v>
      </c>
      <c r="T2397" s="15">
        <f t="shared" si="128"/>
        <v>2</v>
      </c>
      <c r="U2397" s="15">
        <f t="shared" si="129"/>
        <v>2026</v>
      </c>
      <c r="V2397" s="15">
        <f t="shared" si="8"/>
        <v>12</v>
      </c>
      <c r="W2397" s="15">
        <f t="shared" si="9"/>
        <v>2</v>
      </c>
      <c r="X2397" s="15">
        <f t="shared" si="10"/>
        <v>2026</v>
      </c>
    </row>
    <row r="2398">
      <c r="A2398" s="26">
        <v>46066.0</v>
      </c>
      <c r="B2398" s="30"/>
      <c r="C2398" s="27">
        <f t="shared" si="150"/>
        <v>46066</v>
      </c>
      <c r="D2398" s="28" t="s">
        <v>79</v>
      </c>
      <c r="E2398" s="29" t="s">
        <v>25</v>
      </c>
      <c r="F2398" s="28" t="s">
        <v>26</v>
      </c>
      <c r="G2398" s="28" t="s">
        <v>37</v>
      </c>
      <c r="H2398" s="28"/>
      <c r="I2398" s="24">
        <v>550.0</v>
      </c>
      <c r="J2398" s="34"/>
      <c r="K2398" s="37">
        <f t="shared" ref="K2398:K2400" si="164">IF(E2398="pago",(I2398-J2398),"")</f>
        <v>550</v>
      </c>
      <c r="L2398" s="28" t="s">
        <v>29</v>
      </c>
      <c r="M2398" s="28"/>
      <c r="N2398" s="28" t="s">
        <v>58</v>
      </c>
      <c r="O2398" s="10" t="str">
        <f t="shared" si="79"/>
        <v>02/2026</v>
      </c>
      <c r="P2398" s="10" t="str">
        <f t="shared" si="121"/>
        <v>02/2026</v>
      </c>
      <c r="Q2398" s="15" t="str">
        <f t="array" ref="Q2398">IFERROR(XLOOKUP(N2398,'Classificação'!A:A,'Classificação'!B:B),"")</f>
        <v>DESPESAS ADMINISTRATIVAS</v>
      </c>
      <c r="R2398" s="15" t="str">
        <f t="array" ref="R2398">IFERROR(XLOOKUP(Q2398,'Classificação'!B:B,'Classificação'!C:C),"")</f>
        <v>DESPESAS FIXAS (-)</v>
      </c>
      <c r="S2398" s="15">
        <f t="shared" si="131"/>
        <v>13</v>
      </c>
      <c r="T2398" s="15">
        <f t="shared" si="128"/>
        <v>2</v>
      </c>
      <c r="U2398" s="15">
        <f t="shared" si="129"/>
        <v>2026</v>
      </c>
      <c r="V2398" s="15">
        <f t="shared" si="8"/>
        <v>13</v>
      </c>
      <c r="W2398" s="15">
        <f t="shared" si="9"/>
        <v>2</v>
      </c>
      <c r="X2398" s="15">
        <f t="shared" si="10"/>
        <v>2026</v>
      </c>
    </row>
    <row r="2399">
      <c r="A2399" s="26">
        <v>46066.0</v>
      </c>
      <c r="B2399" s="30"/>
      <c r="C2399" s="27">
        <f t="shared" si="150"/>
        <v>46066</v>
      </c>
      <c r="D2399" s="28" t="s">
        <v>80</v>
      </c>
      <c r="E2399" s="29" t="s">
        <v>25</v>
      </c>
      <c r="F2399" s="28" t="s">
        <v>32</v>
      </c>
      <c r="G2399" s="28" t="s">
        <v>27</v>
      </c>
      <c r="H2399" s="29" t="s">
        <v>606</v>
      </c>
      <c r="I2399" s="24">
        <v>826.8</v>
      </c>
      <c r="J2399" s="34"/>
      <c r="K2399" s="37">
        <f t="shared" si="164"/>
        <v>826.8</v>
      </c>
      <c r="L2399" s="28" t="s">
        <v>29</v>
      </c>
      <c r="M2399" s="28"/>
      <c r="N2399" s="28" t="s">
        <v>75</v>
      </c>
      <c r="O2399" s="10" t="str">
        <f t="shared" si="79"/>
        <v>02/2026</v>
      </c>
      <c r="P2399" s="10" t="str">
        <f t="shared" si="121"/>
        <v>02/2026</v>
      </c>
      <c r="Q2399" s="15" t="str">
        <f t="array" ref="Q2399">IFERROR(XLOOKUP(N2399,'Classificação'!A:A,'Classificação'!B:B),"")</f>
        <v>DESPESAS COM PESSOAL</v>
      </c>
      <c r="R2399" s="15" t="str">
        <f t="array" ref="R2399">IFERROR(XLOOKUP(Q2399,'Classificação'!B:B,'Classificação'!C:C),"")</f>
        <v>DESPESAS FIXAS (-)</v>
      </c>
      <c r="S2399" s="15">
        <f t="shared" si="131"/>
        <v>13</v>
      </c>
      <c r="T2399" s="15">
        <f t="shared" si="128"/>
        <v>2</v>
      </c>
      <c r="U2399" s="15">
        <f t="shared" si="129"/>
        <v>2026</v>
      </c>
      <c r="V2399" s="15">
        <f t="shared" si="8"/>
        <v>13</v>
      </c>
      <c r="W2399" s="15">
        <f t="shared" si="9"/>
        <v>2</v>
      </c>
      <c r="X2399" s="15">
        <f t="shared" si="10"/>
        <v>2026</v>
      </c>
    </row>
    <row r="2400">
      <c r="A2400" s="26">
        <v>46066.0</v>
      </c>
      <c r="B2400" s="28"/>
      <c r="C2400" s="27">
        <f t="shared" si="150"/>
        <v>46066</v>
      </c>
      <c r="D2400" s="29" t="s">
        <v>1094</v>
      </c>
      <c r="E2400" s="29" t="s">
        <v>25</v>
      </c>
      <c r="F2400" s="29" t="s">
        <v>26</v>
      </c>
      <c r="G2400" s="29" t="s">
        <v>37</v>
      </c>
      <c r="H2400" s="28" t="s">
        <v>606</v>
      </c>
      <c r="I2400" s="24">
        <v>1000.0</v>
      </c>
      <c r="J2400" s="34"/>
      <c r="K2400" s="37">
        <f t="shared" si="164"/>
        <v>1000</v>
      </c>
      <c r="L2400" s="28" t="s">
        <v>29</v>
      </c>
      <c r="M2400" s="28"/>
      <c r="N2400" s="28" t="s">
        <v>75</v>
      </c>
      <c r="O2400" s="10" t="str">
        <f t="shared" si="79"/>
        <v>02/2026</v>
      </c>
      <c r="P2400" s="10" t="str">
        <f t="shared" si="121"/>
        <v>02/2026</v>
      </c>
      <c r="Q2400" s="15" t="str">
        <f t="array" ref="Q2400">IFERROR(XLOOKUP(N2400,'Classificação'!A:A,'Classificação'!B:B),"")</f>
        <v>DESPESAS COM PESSOAL</v>
      </c>
      <c r="R2400" s="15" t="str">
        <f t="array" ref="R2400">IFERROR(XLOOKUP(Q2400,'Classificação'!B:B,'Classificação'!C:C),"")</f>
        <v>DESPESAS FIXAS (-)</v>
      </c>
      <c r="S2400" s="15">
        <f t="shared" si="131"/>
        <v>13</v>
      </c>
      <c r="T2400" s="15">
        <f t="shared" si="128"/>
        <v>2</v>
      </c>
      <c r="U2400" s="15">
        <f t="shared" si="129"/>
        <v>2026</v>
      </c>
      <c r="V2400" s="15">
        <f t="shared" si="8"/>
        <v>13</v>
      </c>
      <c r="W2400" s="15">
        <f t="shared" si="9"/>
        <v>2</v>
      </c>
      <c r="X2400" s="15">
        <f t="shared" si="10"/>
        <v>2026</v>
      </c>
    </row>
    <row r="2401">
      <c r="A2401" s="9">
        <v>46066.0</v>
      </c>
      <c r="B2401" s="10"/>
      <c r="C2401" s="9">
        <f t="shared" si="150"/>
        <v>46066</v>
      </c>
      <c r="D2401" s="11" t="s">
        <v>1229</v>
      </c>
      <c r="E2401" s="29" t="s">
        <v>25</v>
      </c>
      <c r="F2401" s="11" t="s">
        <v>26</v>
      </c>
      <c r="G2401" s="11" t="s">
        <v>37</v>
      </c>
      <c r="H2401" s="11" t="s">
        <v>1230</v>
      </c>
      <c r="I2401" s="31">
        <v>840.0</v>
      </c>
      <c r="J2401" s="13"/>
      <c r="K2401" s="13">
        <f t="shared" ref="K2401:K2408" si="165">if(E2401="pago",(I2401-J2401),"")</f>
        <v>840</v>
      </c>
      <c r="L2401" s="11" t="s">
        <v>29</v>
      </c>
      <c r="M2401" s="14"/>
      <c r="N2401" s="11" t="s">
        <v>58</v>
      </c>
      <c r="O2401" s="10" t="str">
        <f t="shared" si="79"/>
        <v>02/2026</v>
      </c>
      <c r="P2401" s="10" t="str">
        <f t="shared" si="121"/>
        <v>02/2026</v>
      </c>
      <c r="Q2401" s="15" t="str">
        <f t="array" ref="Q2401">IFERROR(XLOOKUP(N2401,'Classificação'!A:A,'Classificação'!B:B),"")</f>
        <v>DESPESAS ADMINISTRATIVAS</v>
      </c>
      <c r="R2401" s="15" t="str">
        <f t="array" ref="R2401">IFERROR(XLOOKUP(Q2401,'Classificação'!B:B,'Classificação'!C:C),"")</f>
        <v>DESPESAS FIXAS (-)</v>
      </c>
      <c r="S2401" s="15">
        <f t="shared" si="131"/>
        <v>13</v>
      </c>
      <c r="T2401" s="15">
        <f t="shared" si="128"/>
        <v>2</v>
      </c>
      <c r="U2401" s="15">
        <f t="shared" si="129"/>
        <v>2026</v>
      </c>
      <c r="V2401" s="15">
        <f t="shared" si="8"/>
        <v>13</v>
      </c>
      <c r="W2401" s="15">
        <f t="shared" si="9"/>
        <v>2</v>
      </c>
      <c r="X2401" s="15">
        <f t="shared" si="10"/>
        <v>2026</v>
      </c>
    </row>
    <row r="2402">
      <c r="A2402" s="27">
        <v>46069.0</v>
      </c>
      <c r="B2402" s="28"/>
      <c r="C2402" s="27">
        <f t="shared" si="150"/>
        <v>46069</v>
      </c>
      <c r="D2402" s="28" t="s">
        <v>36</v>
      </c>
      <c r="E2402" s="29" t="s">
        <v>25</v>
      </c>
      <c r="F2402" s="28" t="s">
        <v>26</v>
      </c>
      <c r="G2402" s="28" t="s">
        <v>37</v>
      </c>
      <c r="H2402" s="42"/>
      <c r="I2402" s="24">
        <v>2850.0</v>
      </c>
      <c r="J2402" s="34"/>
      <c r="K2402" s="13">
        <f t="shared" si="165"/>
        <v>2850</v>
      </c>
      <c r="L2402" s="28" t="s">
        <v>29</v>
      </c>
      <c r="M2402" s="28"/>
      <c r="N2402" s="28" t="s">
        <v>38</v>
      </c>
      <c r="O2402" s="10" t="str">
        <f t="shared" si="79"/>
        <v>02/2026</v>
      </c>
      <c r="P2402" s="10" t="str">
        <f t="shared" si="121"/>
        <v>02/2026</v>
      </c>
      <c r="Q2402" s="15" t="str">
        <f t="array" ref="Q2402">IFERROR(XLOOKUP(N2402,'Classificação'!A:A,'Classificação'!B:B),"")</f>
        <v>DESPESAS COM PESSOAL</v>
      </c>
      <c r="R2402" s="15" t="str">
        <f t="array" ref="R2402">IFERROR(XLOOKUP(Q2402,'Classificação'!B:B,'Classificação'!C:C),"")</f>
        <v>DESPESAS FIXAS (-)</v>
      </c>
      <c r="S2402" s="15">
        <f t="shared" si="131"/>
        <v>16</v>
      </c>
      <c r="T2402" s="15">
        <f t="shared" si="128"/>
        <v>2</v>
      </c>
      <c r="U2402" s="15">
        <f t="shared" si="129"/>
        <v>2026</v>
      </c>
      <c r="V2402" s="15">
        <f t="shared" si="8"/>
        <v>16</v>
      </c>
      <c r="W2402" s="15">
        <f t="shared" si="9"/>
        <v>2</v>
      </c>
      <c r="X2402" s="15">
        <f t="shared" si="10"/>
        <v>2026</v>
      </c>
    </row>
    <row r="2403">
      <c r="A2403" s="27">
        <v>46069.0</v>
      </c>
      <c r="B2403" s="28"/>
      <c r="C2403" s="27">
        <f t="shared" si="150"/>
        <v>46069</v>
      </c>
      <c r="D2403" s="28" t="s">
        <v>43</v>
      </c>
      <c r="E2403" s="29" t="s">
        <v>25</v>
      </c>
      <c r="F2403" s="28" t="s">
        <v>26</v>
      </c>
      <c r="G2403" s="28" t="s">
        <v>37</v>
      </c>
      <c r="H2403" s="42"/>
      <c r="I2403" s="24">
        <v>2850.0</v>
      </c>
      <c r="J2403" s="34"/>
      <c r="K2403" s="13">
        <f t="shared" si="165"/>
        <v>2850</v>
      </c>
      <c r="L2403" s="28" t="s">
        <v>29</v>
      </c>
      <c r="M2403" s="28"/>
      <c r="N2403" s="28" t="s">
        <v>38</v>
      </c>
      <c r="O2403" s="10" t="str">
        <f t="shared" si="79"/>
        <v>02/2026</v>
      </c>
      <c r="P2403" s="10" t="str">
        <f t="shared" si="121"/>
        <v>02/2026</v>
      </c>
      <c r="Q2403" s="15" t="str">
        <f t="array" ref="Q2403">IFERROR(XLOOKUP(N2403,'Classificação'!A:A,'Classificação'!B:B),"")</f>
        <v>DESPESAS COM PESSOAL</v>
      </c>
      <c r="R2403" s="15" t="str">
        <f t="array" ref="R2403">IFERROR(XLOOKUP(Q2403,'Classificação'!B:B,'Classificação'!C:C),"")</f>
        <v>DESPESAS FIXAS (-)</v>
      </c>
      <c r="S2403" s="15">
        <f t="shared" si="131"/>
        <v>16</v>
      </c>
      <c r="T2403" s="15">
        <f t="shared" si="128"/>
        <v>2</v>
      </c>
      <c r="U2403" s="15">
        <f t="shared" si="129"/>
        <v>2026</v>
      </c>
      <c r="V2403" s="15">
        <f t="shared" si="8"/>
        <v>16</v>
      </c>
      <c r="W2403" s="15">
        <f t="shared" si="9"/>
        <v>2</v>
      </c>
      <c r="X2403" s="15">
        <f t="shared" si="10"/>
        <v>2026</v>
      </c>
    </row>
    <row r="2404">
      <c r="A2404" s="9">
        <v>46069.0</v>
      </c>
      <c r="B2404" s="10"/>
      <c r="C2404" s="9">
        <f t="shared" si="150"/>
        <v>46069</v>
      </c>
      <c r="D2404" s="11" t="s">
        <v>473</v>
      </c>
      <c r="E2404" s="29" t="s">
        <v>25</v>
      </c>
      <c r="F2404" s="28" t="s">
        <v>45</v>
      </c>
      <c r="G2404" s="29" t="s">
        <v>27</v>
      </c>
      <c r="H2404" s="11" t="s">
        <v>1172</v>
      </c>
      <c r="I2404" s="31">
        <v>516.57</v>
      </c>
      <c r="J2404" s="13"/>
      <c r="K2404" s="13">
        <f t="shared" si="165"/>
        <v>516.57</v>
      </c>
      <c r="L2404" s="28" t="s">
        <v>53</v>
      </c>
      <c r="M2404" s="17">
        <v>46144.0</v>
      </c>
      <c r="N2404" s="11" t="s">
        <v>233</v>
      </c>
      <c r="O2404" s="10" t="str">
        <f t="shared" si="79"/>
        <v>02/2026</v>
      </c>
      <c r="P2404" s="10" t="str">
        <f t="shared" si="121"/>
        <v>02/2026</v>
      </c>
      <c r="Q2404" s="15" t="str">
        <f t="array" ref="Q2404">IFERROR(XLOOKUP(N2404,'Classificação'!A:A,'Classificação'!B:B),"")</f>
        <v>DESPESAS COM VEICULOS</v>
      </c>
      <c r="R2404" s="15" t="str">
        <f t="array" ref="R2404">IFERROR(XLOOKUP(Q2404,'Classificação'!B:B,'Classificação'!C:C),"")</f>
        <v>DESPESAS FIXAS (-)</v>
      </c>
      <c r="S2404" s="15">
        <f t="shared" si="131"/>
        <v>16</v>
      </c>
      <c r="T2404" s="15">
        <f t="shared" si="128"/>
        <v>2</v>
      </c>
      <c r="U2404" s="15">
        <f t="shared" si="129"/>
        <v>2026</v>
      </c>
      <c r="V2404" s="15">
        <f t="shared" si="8"/>
        <v>16</v>
      </c>
      <c r="W2404" s="15">
        <f t="shared" si="9"/>
        <v>2</v>
      </c>
      <c r="X2404" s="15">
        <f t="shared" si="10"/>
        <v>2026</v>
      </c>
    </row>
    <row r="2405">
      <c r="A2405" s="9">
        <v>46069.0</v>
      </c>
      <c r="B2405" s="10"/>
      <c r="C2405" s="9">
        <f t="shared" si="150"/>
        <v>46069</v>
      </c>
      <c r="D2405" s="11" t="s">
        <v>65</v>
      </c>
      <c r="E2405" s="29" t="s">
        <v>25</v>
      </c>
      <c r="F2405" s="11" t="s">
        <v>26</v>
      </c>
      <c r="G2405" s="11" t="s">
        <v>37</v>
      </c>
      <c r="H2405" s="11" t="s">
        <v>1238</v>
      </c>
      <c r="I2405" s="31">
        <v>483.26</v>
      </c>
      <c r="J2405" s="13"/>
      <c r="K2405" s="13">
        <f t="shared" si="165"/>
        <v>483.26</v>
      </c>
      <c r="L2405" s="28" t="s">
        <v>53</v>
      </c>
      <c r="M2405" s="17">
        <v>46204.0</v>
      </c>
      <c r="N2405" s="11" t="s">
        <v>64</v>
      </c>
      <c r="O2405" s="10" t="str">
        <f t="shared" si="79"/>
        <v>02/2026</v>
      </c>
      <c r="P2405" s="10" t="str">
        <f t="shared" si="121"/>
        <v>02/2026</v>
      </c>
      <c r="Q2405" s="15" t="str">
        <f t="array" ref="Q2405">IFERROR(XLOOKUP(N2405,'Classificação'!A:A,'Classificação'!B:B),"")</f>
        <v>DESPESAS COM PESSOAL</v>
      </c>
      <c r="R2405" s="15" t="str">
        <f t="array" ref="R2405">IFERROR(XLOOKUP(Q2405,'Classificação'!B:B,'Classificação'!C:C),"")</f>
        <v>DESPESAS FIXAS (-)</v>
      </c>
      <c r="S2405" s="15">
        <f t="shared" si="131"/>
        <v>16</v>
      </c>
      <c r="T2405" s="15">
        <f t="shared" si="128"/>
        <v>2</v>
      </c>
      <c r="U2405" s="15">
        <f t="shared" si="129"/>
        <v>2026</v>
      </c>
      <c r="V2405" s="15">
        <f t="shared" si="8"/>
        <v>16</v>
      </c>
      <c r="W2405" s="15">
        <f t="shared" si="9"/>
        <v>2</v>
      </c>
      <c r="X2405" s="15">
        <f t="shared" si="10"/>
        <v>2026</v>
      </c>
    </row>
    <row r="2406">
      <c r="A2406" s="9">
        <v>46071.0</v>
      </c>
      <c r="B2406" s="10"/>
      <c r="C2406" s="9">
        <f t="shared" si="150"/>
        <v>46071</v>
      </c>
      <c r="D2406" s="11" t="s">
        <v>44</v>
      </c>
      <c r="E2406" s="11" t="s">
        <v>25</v>
      </c>
      <c r="F2406" s="11" t="s">
        <v>45</v>
      </c>
      <c r="G2406" s="11" t="s">
        <v>27</v>
      </c>
      <c r="H2406" s="11" t="s">
        <v>476</v>
      </c>
      <c r="I2406" s="12">
        <v>5187.8</v>
      </c>
      <c r="J2406" s="13"/>
      <c r="K2406" s="13">
        <f t="shared" si="165"/>
        <v>5187.8</v>
      </c>
      <c r="L2406" s="11" t="s">
        <v>53</v>
      </c>
      <c r="M2406" s="16" t="s">
        <v>471</v>
      </c>
      <c r="N2406" s="11" t="s">
        <v>73</v>
      </c>
      <c r="O2406" s="10" t="str">
        <f t="shared" si="79"/>
        <v>02/2026</v>
      </c>
      <c r="P2406" s="10" t="str">
        <f t="shared" si="121"/>
        <v>02/2026</v>
      </c>
      <c r="Q2406" s="15" t="str">
        <f t="array" ref="Q2406">IFERROR(XLOOKUP(N2406,'Classificação'!A:A,'Classificação'!B:B),"")</f>
        <v>DESPESAS NÃO OPERACIONAIS</v>
      </c>
      <c r="R2406" s="15" t="str">
        <f t="array" ref="R2406">IFERROR(XLOOKUP(Q2406,'Classificação'!B:B,'Classificação'!C:C),"")</f>
        <v>RESULTADO NÃO OPERACIONAL (+/-)</v>
      </c>
      <c r="S2406" s="15">
        <f t="shared" si="131"/>
        <v>18</v>
      </c>
      <c r="T2406" s="15">
        <f t="shared" si="128"/>
        <v>2</v>
      </c>
      <c r="U2406" s="15">
        <f t="shared" si="129"/>
        <v>2026</v>
      </c>
      <c r="V2406" s="15">
        <f t="shared" si="8"/>
        <v>18</v>
      </c>
      <c r="W2406" s="15">
        <f t="shared" si="9"/>
        <v>2</v>
      </c>
      <c r="X2406" s="15">
        <f t="shared" si="10"/>
        <v>2026</v>
      </c>
    </row>
    <row r="2407">
      <c r="A2407" s="26">
        <v>46071.0</v>
      </c>
      <c r="B2407" s="30"/>
      <c r="C2407" s="27">
        <f t="shared" si="150"/>
        <v>46071</v>
      </c>
      <c r="D2407" s="28" t="s">
        <v>90</v>
      </c>
      <c r="E2407" s="29" t="s">
        <v>25</v>
      </c>
      <c r="F2407" s="28" t="s">
        <v>40</v>
      </c>
      <c r="G2407" s="29" t="s">
        <v>37</v>
      </c>
      <c r="H2407" s="29" t="s">
        <v>1178</v>
      </c>
      <c r="I2407" s="24">
        <v>367.78</v>
      </c>
      <c r="J2407" s="34"/>
      <c r="K2407" s="13">
        <f t="shared" si="165"/>
        <v>367.78</v>
      </c>
      <c r="L2407" s="28" t="s">
        <v>29</v>
      </c>
      <c r="M2407" s="28"/>
      <c r="N2407" s="28" t="s">
        <v>92</v>
      </c>
      <c r="O2407" s="10" t="str">
        <f t="shared" si="79"/>
        <v>02/2026</v>
      </c>
      <c r="P2407" s="10" t="str">
        <f t="shared" si="121"/>
        <v>02/2026</v>
      </c>
      <c r="Q2407" s="15" t="str">
        <f t="array" ref="Q2407">IFERROR(XLOOKUP(N2407,'Classificação'!A:A,'Classificação'!B:B),"")</f>
        <v>DESPESAS COM OCUPAÇÃO</v>
      </c>
      <c r="R2407" s="15" t="str">
        <f t="array" ref="R2407">IFERROR(XLOOKUP(Q2407,'Classificação'!B:B,'Classificação'!C:C),"")</f>
        <v>DESPESAS FIXAS (-)</v>
      </c>
      <c r="S2407" s="15">
        <f t="shared" si="131"/>
        <v>18</v>
      </c>
      <c r="T2407" s="15">
        <f t="shared" si="128"/>
        <v>2</v>
      </c>
      <c r="U2407" s="15">
        <f t="shared" si="129"/>
        <v>2026</v>
      </c>
      <c r="V2407" s="15">
        <f t="shared" si="8"/>
        <v>18</v>
      </c>
      <c r="W2407" s="15">
        <f t="shared" si="9"/>
        <v>2</v>
      </c>
      <c r="X2407" s="15">
        <f t="shared" si="10"/>
        <v>2026</v>
      </c>
    </row>
    <row r="2408">
      <c r="A2408" s="9">
        <v>46071.0</v>
      </c>
      <c r="B2408" s="10"/>
      <c r="C2408" s="9">
        <f t="shared" si="150"/>
        <v>46071</v>
      </c>
      <c r="D2408" s="11" t="s">
        <v>44</v>
      </c>
      <c r="E2408" s="11" t="s">
        <v>25</v>
      </c>
      <c r="F2408" s="11" t="s">
        <v>45</v>
      </c>
      <c r="G2408" s="11" t="s">
        <v>27</v>
      </c>
      <c r="H2408" s="11" t="s">
        <v>703</v>
      </c>
      <c r="I2408" s="12">
        <v>2920.47</v>
      </c>
      <c r="J2408" s="13"/>
      <c r="K2408" s="13">
        <f t="shared" si="165"/>
        <v>2920.47</v>
      </c>
      <c r="L2408" s="11" t="s">
        <v>53</v>
      </c>
      <c r="M2408" s="16" t="s">
        <v>1239</v>
      </c>
      <c r="N2408" s="11" t="s">
        <v>73</v>
      </c>
      <c r="O2408" s="10" t="str">
        <f t="shared" si="79"/>
        <v>02/2026</v>
      </c>
      <c r="P2408" s="10" t="str">
        <f t="shared" si="121"/>
        <v>02/2026</v>
      </c>
      <c r="Q2408" s="15" t="str">
        <f t="array" ref="Q2408">IFERROR(XLOOKUP(N2408,'Classificação'!A:A,'Classificação'!B:B),"")</f>
        <v>DESPESAS NÃO OPERACIONAIS</v>
      </c>
      <c r="R2408" s="15" t="str">
        <f t="array" ref="R2408">IFERROR(XLOOKUP(Q2408,'Classificação'!B:B,'Classificação'!C:C),"")</f>
        <v>RESULTADO NÃO OPERACIONAL (+/-)</v>
      </c>
      <c r="S2408" s="15">
        <f t="shared" si="131"/>
        <v>18</v>
      </c>
      <c r="T2408" s="15">
        <f t="shared" si="128"/>
        <v>2</v>
      </c>
      <c r="U2408" s="15">
        <f t="shared" si="129"/>
        <v>2026</v>
      </c>
      <c r="V2408" s="15">
        <f t="shared" si="8"/>
        <v>18</v>
      </c>
      <c r="W2408" s="15">
        <f t="shared" si="9"/>
        <v>2</v>
      </c>
      <c r="X2408" s="15">
        <f t="shared" si="10"/>
        <v>2026</v>
      </c>
    </row>
    <row r="2409">
      <c r="A2409" s="26">
        <v>46071.0</v>
      </c>
      <c r="B2409" s="30"/>
      <c r="C2409" s="27">
        <f t="shared" si="150"/>
        <v>46071</v>
      </c>
      <c r="D2409" s="28" t="s">
        <v>65</v>
      </c>
      <c r="E2409" s="29" t="s">
        <v>25</v>
      </c>
      <c r="F2409" s="28" t="s">
        <v>45</v>
      </c>
      <c r="G2409" s="28" t="s">
        <v>37</v>
      </c>
      <c r="H2409" s="28" t="s">
        <v>1114</v>
      </c>
      <c r="I2409" s="24">
        <v>893.96</v>
      </c>
      <c r="J2409" s="34"/>
      <c r="K2409" s="37">
        <f t="shared" ref="K2409:K2413" si="166">IF(E2409="pago",(I2409-J2409),"")</f>
        <v>893.96</v>
      </c>
      <c r="L2409" s="28" t="s">
        <v>29</v>
      </c>
      <c r="M2409" s="28"/>
      <c r="N2409" s="28" t="s">
        <v>68</v>
      </c>
      <c r="O2409" s="10" t="str">
        <f t="shared" si="79"/>
        <v>02/2026</v>
      </c>
      <c r="P2409" s="10" t="str">
        <f t="shared" si="121"/>
        <v>02/2026</v>
      </c>
      <c r="Q2409" s="15" t="str">
        <f t="array" ref="Q2409">IFERROR(XLOOKUP(N2409,'Classificação'!A:A,'Classificação'!B:B),"")</f>
        <v>FRETE DE VENDAS</v>
      </c>
      <c r="R2409" s="15" t="str">
        <f t="array" ref="R2409">IFERROR(XLOOKUP(Q2409,'Classificação'!B:B,'Classificação'!C:C),"")</f>
        <v>CUSTOS VARIÁVEIS</v>
      </c>
      <c r="S2409" s="15">
        <f t="shared" si="131"/>
        <v>18</v>
      </c>
      <c r="T2409" s="15">
        <f t="shared" si="128"/>
        <v>2</v>
      </c>
      <c r="U2409" s="15">
        <f t="shared" si="129"/>
        <v>2026</v>
      </c>
      <c r="V2409" s="15">
        <f t="shared" si="8"/>
        <v>18</v>
      </c>
      <c r="W2409" s="15">
        <f t="shared" si="9"/>
        <v>2</v>
      </c>
      <c r="X2409" s="15">
        <f t="shared" si="10"/>
        <v>2026</v>
      </c>
    </row>
    <row r="2410">
      <c r="A2410" s="26">
        <v>46072.0</v>
      </c>
      <c r="B2410" s="28"/>
      <c r="C2410" s="27">
        <f t="shared" si="150"/>
        <v>46072</v>
      </c>
      <c r="D2410" s="28" t="s">
        <v>123</v>
      </c>
      <c r="E2410" s="29" t="s">
        <v>25</v>
      </c>
      <c r="F2410" s="29" t="s">
        <v>26</v>
      </c>
      <c r="G2410" s="28" t="s">
        <v>27</v>
      </c>
      <c r="H2410" s="29" t="s">
        <v>1184</v>
      </c>
      <c r="I2410" s="24">
        <v>232.19</v>
      </c>
      <c r="J2410" s="34"/>
      <c r="K2410" s="37">
        <f t="shared" si="166"/>
        <v>232.19</v>
      </c>
      <c r="L2410" s="28" t="s">
        <v>29</v>
      </c>
      <c r="M2410" s="28"/>
      <c r="N2410" s="28" t="s">
        <v>123</v>
      </c>
      <c r="O2410" s="10" t="str">
        <f t="shared" si="79"/>
        <v>02/2026</v>
      </c>
      <c r="P2410" s="10" t="str">
        <f t="shared" si="121"/>
        <v>02/2026</v>
      </c>
      <c r="Q2410" s="15" t="str">
        <f t="array" ref="Q2410">IFERROR(XLOOKUP(N2410,'Classificação'!A:A,'Classificação'!B:B),"")</f>
        <v>DESPESAS COM PESSOAL</v>
      </c>
      <c r="R2410" s="15" t="str">
        <f t="array" ref="R2410">IFERROR(XLOOKUP(Q2410,'Classificação'!B:B,'Classificação'!C:C),"")</f>
        <v>DESPESAS FIXAS (-)</v>
      </c>
      <c r="S2410" s="15">
        <f t="shared" si="131"/>
        <v>19</v>
      </c>
      <c r="T2410" s="15">
        <f t="shared" si="128"/>
        <v>2</v>
      </c>
      <c r="U2410" s="15">
        <f t="shared" si="129"/>
        <v>2026</v>
      </c>
      <c r="V2410" s="15">
        <f t="shared" si="8"/>
        <v>19</v>
      </c>
      <c r="W2410" s="15">
        <f t="shared" si="9"/>
        <v>2</v>
      </c>
      <c r="X2410" s="15">
        <f t="shared" si="10"/>
        <v>2026</v>
      </c>
    </row>
    <row r="2411">
      <c r="A2411" s="26">
        <v>46072.0</v>
      </c>
      <c r="B2411" s="28"/>
      <c r="C2411" s="27">
        <f t="shared" si="150"/>
        <v>46072</v>
      </c>
      <c r="D2411" s="28" t="s">
        <v>123</v>
      </c>
      <c r="E2411" s="29" t="s">
        <v>25</v>
      </c>
      <c r="F2411" s="29" t="s">
        <v>26</v>
      </c>
      <c r="G2411" s="29" t="s">
        <v>37</v>
      </c>
      <c r="H2411" s="29" t="s">
        <v>1180</v>
      </c>
      <c r="I2411" s="24">
        <v>200.0</v>
      </c>
      <c r="J2411" s="34"/>
      <c r="K2411" s="37">
        <f t="shared" si="166"/>
        <v>200</v>
      </c>
      <c r="L2411" s="28" t="s">
        <v>29</v>
      </c>
      <c r="M2411" s="28"/>
      <c r="N2411" s="28" t="s">
        <v>123</v>
      </c>
      <c r="O2411" s="10" t="str">
        <f t="shared" si="79"/>
        <v>02/2026</v>
      </c>
      <c r="P2411" s="10" t="str">
        <f t="shared" si="121"/>
        <v>02/2026</v>
      </c>
      <c r="Q2411" s="15" t="str">
        <f t="array" ref="Q2411">IFERROR(XLOOKUP(N2411,'Classificação'!A:A,'Classificação'!B:B),"")</f>
        <v>DESPESAS COM PESSOAL</v>
      </c>
      <c r="R2411" s="15" t="str">
        <f t="array" ref="R2411">IFERROR(XLOOKUP(Q2411,'Classificação'!B:B,'Classificação'!C:C),"")</f>
        <v>DESPESAS FIXAS (-)</v>
      </c>
      <c r="S2411" s="15">
        <f t="shared" si="131"/>
        <v>19</v>
      </c>
      <c r="T2411" s="15">
        <f t="shared" si="128"/>
        <v>2</v>
      </c>
      <c r="U2411" s="15">
        <f t="shared" si="129"/>
        <v>2026</v>
      </c>
      <c r="V2411" s="15">
        <f t="shared" si="8"/>
        <v>19</v>
      </c>
      <c r="W2411" s="15">
        <f t="shared" si="9"/>
        <v>2</v>
      </c>
      <c r="X2411" s="15">
        <f t="shared" si="10"/>
        <v>2026</v>
      </c>
    </row>
    <row r="2412">
      <c r="A2412" s="26">
        <v>46072.0</v>
      </c>
      <c r="B2412" s="28"/>
      <c r="C2412" s="27">
        <f t="shared" si="150"/>
        <v>46072</v>
      </c>
      <c r="D2412" s="28" t="s">
        <v>44</v>
      </c>
      <c r="E2412" s="29" t="s">
        <v>25</v>
      </c>
      <c r="F2412" s="28" t="s">
        <v>45</v>
      </c>
      <c r="G2412" s="28" t="s">
        <v>27</v>
      </c>
      <c r="H2412" s="29" t="s">
        <v>1240</v>
      </c>
      <c r="I2412" s="24">
        <v>200.03</v>
      </c>
      <c r="J2412" s="34"/>
      <c r="K2412" s="37">
        <f t="shared" si="166"/>
        <v>200.03</v>
      </c>
      <c r="L2412" s="29" t="s">
        <v>34</v>
      </c>
      <c r="M2412" s="28"/>
      <c r="N2412" s="28" t="s">
        <v>123</v>
      </c>
      <c r="O2412" s="10" t="str">
        <f t="shared" si="79"/>
        <v>02/2026</v>
      </c>
      <c r="P2412" s="10" t="str">
        <f t="shared" si="121"/>
        <v>02/2026</v>
      </c>
      <c r="Q2412" s="15" t="str">
        <f t="array" ref="Q2412">IFERROR(XLOOKUP(N2412,'Classificação'!A:A,'Classificação'!B:B),"")</f>
        <v>DESPESAS COM PESSOAL</v>
      </c>
      <c r="R2412" s="15" t="str">
        <f t="array" ref="R2412">IFERROR(XLOOKUP(Q2412,'Classificação'!B:B,'Classificação'!C:C),"")</f>
        <v>DESPESAS FIXAS (-)</v>
      </c>
      <c r="S2412" s="15">
        <f t="shared" si="131"/>
        <v>19</v>
      </c>
      <c r="T2412" s="15">
        <f t="shared" si="128"/>
        <v>2</v>
      </c>
      <c r="U2412" s="15">
        <f t="shared" si="129"/>
        <v>2026</v>
      </c>
      <c r="V2412" s="15">
        <f t="shared" si="8"/>
        <v>19</v>
      </c>
      <c r="W2412" s="15">
        <f t="shared" si="9"/>
        <v>2</v>
      </c>
      <c r="X2412" s="15">
        <f t="shared" si="10"/>
        <v>2026</v>
      </c>
    </row>
    <row r="2413">
      <c r="A2413" s="26">
        <v>46072.0</v>
      </c>
      <c r="B2413" s="28"/>
      <c r="C2413" s="27">
        <f t="shared" si="150"/>
        <v>46072</v>
      </c>
      <c r="D2413" s="28" t="s">
        <v>44</v>
      </c>
      <c r="E2413" s="29" t="s">
        <v>25</v>
      </c>
      <c r="F2413" s="28" t="s">
        <v>45</v>
      </c>
      <c r="G2413" s="28" t="s">
        <v>27</v>
      </c>
      <c r="H2413" s="29" t="s">
        <v>1240</v>
      </c>
      <c r="I2413" s="24">
        <v>101.45</v>
      </c>
      <c r="J2413" s="34"/>
      <c r="K2413" s="37">
        <f t="shared" si="166"/>
        <v>101.45</v>
      </c>
      <c r="L2413" s="29" t="s">
        <v>34</v>
      </c>
      <c r="M2413" s="28"/>
      <c r="N2413" s="28" t="s">
        <v>123</v>
      </c>
      <c r="O2413" s="10" t="str">
        <f t="shared" si="79"/>
        <v>02/2026</v>
      </c>
      <c r="P2413" s="10" t="str">
        <f t="shared" si="121"/>
        <v>02/2026</v>
      </c>
      <c r="Q2413" s="15" t="str">
        <f t="array" ref="Q2413">IFERROR(XLOOKUP(N2413,'Classificação'!A:A,'Classificação'!B:B),"")</f>
        <v>DESPESAS COM PESSOAL</v>
      </c>
      <c r="R2413" s="15" t="str">
        <f t="array" ref="R2413">IFERROR(XLOOKUP(Q2413,'Classificação'!B:B,'Classificação'!C:C),"")</f>
        <v>DESPESAS FIXAS (-)</v>
      </c>
      <c r="S2413" s="15">
        <f t="shared" si="131"/>
        <v>19</v>
      </c>
      <c r="T2413" s="15">
        <f t="shared" si="128"/>
        <v>2</v>
      </c>
      <c r="U2413" s="15">
        <f t="shared" si="129"/>
        <v>2026</v>
      </c>
      <c r="V2413" s="15">
        <f t="shared" si="8"/>
        <v>19</v>
      </c>
      <c r="W2413" s="15">
        <f t="shared" si="9"/>
        <v>2</v>
      </c>
      <c r="X2413" s="15">
        <f t="shared" si="10"/>
        <v>2026</v>
      </c>
    </row>
    <row r="2414">
      <c r="A2414" s="26">
        <v>46072.0</v>
      </c>
      <c r="B2414" s="30"/>
      <c r="C2414" s="27">
        <f t="shared" si="150"/>
        <v>46072</v>
      </c>
      <c r="D2414" s="28" t="s">
        <v>44</v>
      </c>
      <c r="E2414" s="29" t="s">
        <v>25</v>
      </c>
      <c r="F2414" s="28" t="s">
        <v>45</v>
      </c>
      <c r="G2414" s="28" t="s">
        <v>27</v>
      </c>
      <c r="H2414" s="43" t="s">
        <v>1241</v>
      </c>
      <c r="I2414" s="24">
        <v>2028.99</v>
      </c>
      <c r="J2414" s="34"/>
      <c r="K2414" s="13">
        <f t="shared" ref="K2414:K2428" si="167">if(E2414="pago",(I2414-J2414),"")</f>
        <v>2028.99</v>
      </c>
      <c r="L2414" s="29" t="s">
        <v>34</v>
      </c>
      <c r="M2414" s="28"/>
      <c r="N2414" s="28" t="s">
        <v>123</v>
      </c>
      <c r="O2414" s="10" t="str">
        <f t="shared" si="79"/>
        <v>02/2026</v>
      </c>
      <c r="P2414" s="10" t="str">
        <f t="shared" si="121"/>
        <v>02/2026</v>
      </c>
      <c r="Q2414" s="15" t="str">
        <f t="array" ref="Q2414">IFERROR(XLOOKUP(N2414,'Classificação'!A:A,'Classificação'!B:B),"")</f>
        <v>DESPESAS COM PESSOAL</v>
      </c>
      <c r="R2414" s="15" t="str">
        <f t="array" ref="R2414">IFERROR(XLOOKUP(Q2414,'Classificação'!B:B,'Classificação'!C:C),"")</f>
        <v>DESPESAS FIXAS (-)</v>
      </c>
      <c r="S2414" s="15">
        <f t="shared" si="131"/>
        <v>19</v>
      </c>
      <c r="T2414" s="15">
        <f t="shared" si="128"/>
        <v>2</v>
      </c>
      <c r="U2414" s="15">
        <f t="shared" si="129"/>
        <v>2026</v>
      </c>
      <c r="V2414" s="15">
        <f t="shared" si="8"/>
        <v>19</v>
      </c>
      <c r="W2414" s="15">
        <f t="shared" si="9"/>
        <v>2</v>
      </c>
      <c r="X2414" s="15">
        <f t="shared" si="10"/>
        <v>2026</v>
      </c>
    </row>
    <row r="2415">
      <c r="A2415" s="9">
        <v>46073.0</v>
      </c>
      <c r="B2415" s="9">
        <v>46031.0</v>
      </c>
      <c r="C2415" s="9">
        <f t="shared" si="150"/>
        <v>46073</v>
      </c>
      <c r="D2415" s="11" t="s">
        <v>114</v>
      </c>
      <c r="E2415" s="11" t="s">
        <v>25</v>
      </c>
      <c r="F2415" s="11" t="s">
        <v>107</v>
      </c>
      <c r="G2415" s="11" t="s">
        <v>27</v>
      </c>
      <c r="H2415" s="11" t="s">
        <v>1242</v>
      </c>
      <c r="I2415" s="31">
        <v>102.94</v>
      </c>
      <c r="J2415" s="13"/>
      <c r="K2415" s="13">
        <f t="shared" si="167"/>
        <v>102.94</v>
      </c>
      <c r="L2415" s="11" t="s">
        <v>34</v>
      </c>
      <c r="M2415" s="14"/>
      <c r="N2415" s="11" t="s">
        <v>259</v>
      </c>
      <c r="O2415" s="10" t="str">
        <f t="shared" si="79"/>
        <v>02/2026</v>
      </c>
      <c r="P2415" s="10" t="str">
        <f t="shared" si="121"/>
        <v>02/2026</v>
      </c>
      <c r="Q2415" s="15" t="str">
        <f t="array" ref="Q2415">IFERROR(XLOOKUP(N2415,'Classificação'!A:A,'Classificação'!B:B),"")</f>
        <v>DESPESAS ADMINISTRATIVAS</v>
      </c>
      <c r="R2415" s="15" t="str">
        <f t="array" ref="R2415">IFERROR(XLOOKUP(Q2415,'Classificação'!B:B,'Classificação'!C:C),"")</f>
        <v>DESPESAS FIXAS (-)</v>
      </c>
      <c r="S2415" s="15">
        <f t="shared" si="131"/>
        <v>20</v>
      </c>
      <c r="T2415" s="15">
        <f t="shared" si="128"/>
        <v>2</v>
      </c>
      <c r="U2415" s="15">
        <f t="shared" si="129"/>
        <v>2026</v>
      </c>
      <c r="V2415" s="15">
        <f t="shared" si="8"/>
        <v>20</v>
      </c>
      <c r="W2415" s="15">
        <f t="shared" si="9"/>
        <v>2</v>
      </c>
      <c r="X2415" s="15">
        <f t="shared" si="10"/>
        <v>2026</v>
      </c>
    </row>
    <row r="2416">
      <c r="A2416" s="9">
        <v>46073.0</v>
      </c>
      <c r="B2416" s="32">
        <v>45944.0</v>
      </c>
      <c r="C2416" s="9">
        <f t="shared" si="150"/>
        <v>46073</v>
      </c>
      <c r="D2416" s="11" t="s">
        <v>65</v>
      </c>
      <c r="E2416" s="11" t="s">
        <v>25</v>
      </c>
      <c r="F2416" s="11" t="s">
        <v>107</v>
      </c>
      <c r="G2416" s="28" t="s">
        <v>27</v>
      </c>
      <c r="H2416" s="11" t="s">
        <v>1067</v>
      </c>
      <c r="I2416" s="31">
        <v>45.0</v>
      </c>
      <c r="J2416" s="13"/>
      <c r="K2416" s="13">
        <f t="shared" si="167"/>
        <v>45</v>
      </c>
      <c r="L2416" s="11" t="s">
        <v>53</v>
      </c>
      <c r="M2416" s="17">
        <v>45751.0</v>
      </c>
      <c r="N2416" s="11" t="s">
        <v>95</v>
      </c>
      <c r="O2416" s="10" t="str">
        <f t="shared" si="79"/>
        <v>02/2026</v>
      </c>
      <c r="P2416" s="10" t="str">
        <f t="shared" si="121"/>
        <v>02/2026</v>
      </c>
      <c r="Q2416" s="15" t="str">
        <f t="array" ref="Q2416">IFERROR(XLOOKUP(N2416,'Classificação'!A:A,'Classificação'!B:B),"")</f>
        <v>DESPESAS NÃO OPERACIONAIS</v>
      </c>
      <c r="R2416" s="15" t="str">
        <f t="array" ref="R2416">IFERROR(XLOOKUP(Q2416,'Classificação'!B:B,'Classificação'!C:C),"")</f>
        <v>RESULTADO NÃO OPERACIONAL (+/-)</v>
      </c>
      <c r="S2416" s="15">
        <f t="shared" si="131"/>
        <v>20</v>
      </c>
      <c r="T2416" s="15">
        <f t="shared" si="128"/>
        <v>2</v>
      </c>
      <c r="U2416" s="15">
        <f t="shared" si="129"/>
        <v>2026</v>
      </c>
      <c r="V2416" s="15">
        <f t="shared" si="8"/>
        <v>20</v>
      </c>
      <c r="W2416" s="15">
        <f t="shared" si="9"/>
        <v>2</v>
      </c>
      <c r="X2416" s="15">
        <f t="shared" si="10"/>
        <v>2026</v>
      </c>
    </row>
    <row r="2417">
      <c r="A2417" s="9">
        <v>46073.0</v>
      </c>
      <c r="B2417" s="9">
        <v>45737.0</v>
      </c>
      <c r="C2417" s="9">
        <f t="shared" si="150"/>
        <v>46073</v>
      </c>
      <c r="D2417" s="11" t="s">
        <v>65</v>
      </c>
      <c r="E2417" s="11" t="s">
        <v>25</v>
      </c>
      <c r="F2417" s="11" t="s">
        <v>110</v>
      </c>
      <c r="G2417" s="11" t="s">
        <v>27</v>
      </c>
      <c r="H2417" s="11" t="s">
        <v>681</v>
      </c>
      <c r="I2417" s="31">
        <v>47.2</v>
      </c>
      <c r="J2417" s="13"/>
      <c r="K2417" s="13">
        <f t="shared" si="167"/>
        <v>47.2</v>
      </c>
      <c r="L2417" s="11" t="s">
        <v>53</v>
      </c>
      <c r="M2417" s="17">
        <v>46002.0</v>
      </c>
      <c r="N2417" s="11" t="s">
        <v>95</v>
      </c>
      <c r="O2417" s="10" t="str">
        <f t="shared" si="79"/>
        <v>02/2026</v>
      </c>
      <c r="P2417" s="10" t="str">
        <f t="shared" si="121"/>
        <v>02/2026</v>
      </c>
      <c r="Q2417" s="15" t="str">
        <f t="array" ref="Q2417">IFERROR(XLOOKUP(N2417,'Classificação'!A:A,'Classificação'!B:B),"")</f>
        <v>DESPESAS NÃO OPERACIONAIS</v>
      </c>
      <c r="R2417" s="15" t="str">
        <f t="array" ref="R2417">IFERROR(XLOOKUP(Q2417,'Classificação'!B:B,'Classificação'!C:C),"")</f>
        <v>RESULTADO NÃO OPERACIONAL (+/-)</v>
      </c>
      <c r="S2417" s="15">
        <f t="shared" si="131"/>
        <v>20</v>
      </c>
      <c r="T2417" s="15">
        <f t="shared" si="128"/>
        <v>2</v>
      </c>
      <c r="U2417" s="15">
        <f t="shared" si="129"/>
        <v>2026</v>
      </c>
      <c r="V2417" s="15">
        <f t="shared" si="8"/>
        <v>20</v>
      </c>
      <c r="W2417" s="15">
        <f t="shared" si="9"/>
        <v>2</v>
      </c>
      <c r="X2417" s="15">
        <f t="shared" si="10"/>
        <v>2026</v>
      </c>
    </row>
    <row r="2418">
      <c r="A2418" s="9">
        <v>46073.0</v>
      </c>
      <c r="B2418" s="19">
        <v>45747.0</v>
      </c>
      <c r="C2418" s="9">
        <f t="shared" si="150"/>
        <v>46073</v>
      </c>
      <c r="D2418" s="11" t="s">
        <v>691</v>
      </c>
      <c r="E2418" s="11" t="s">
        <v>25</v>
      </c>
      <c r="F2418" s="11" t="s">
        <v>107</v>
      </c>
      <c r="G2418" s="11" t="s">
        <v>27</v>
      </c>
      <c r="H2418" s="44" t="s">
        <v>692</v>
      </c>
      <c r="I2418" s="31">
        <v>98.93</v>
      </c>
      <c r="J2418" s="13"/>
      <c r="K2418" s="13">
        <f t="shared" si="167"/>
        <v>98.93</v>
      </c>
      <c r="L2418" s="11" t="s">
        <v>53</v>
      </c>
      <c r="M2418" s="17">
        <v>46002.0</v>
      </c>
      <c r="N2418" s="11" t="s">
        <v>693</v>
      </c>
      <c r="O2418" s="10" t="str">
        <f t="shared" si="79"/>
        <v>02/2026</v>
      </c>
      <c r="P2418" s="10" t="str">
        <f t="shared" si="121"/>
        <v>02/2026</v>
      </c>
      <c r="Q2418" s="15" t="str">
        <f t="array" ref="Q2418">IFERROR(XLOOKUP(N2418,'Classificação'!A:A,'Classificação'!B:B),"")</f>
        <v>DESPESAS COM OCUPAÇÃO</v>
      </c>
      <c r="R2418" s="15" t="str">
        <f t="array" ref="R2418">IFERROR(XLOOKUP(Q2418,'Classificação'!B:B,'Classificação'!C:C),"")</f>
        <v>DESPESAS FIXAS (-)</v>
      </c>
      <c r="S2418" s="15">
        <f t="shared" si="131"/>
        <v>20</v>
      </c>
      <c r="T2418" s="15">
        <f t="shared" si="128"/>
        <v>2</v>
      </c>
      <c r="U2418" s="15">
        <f t="shared" si="129"/>
        <v>2026</v>
      </c>
      <c r="V2418" s="15">
        <f t="shared" si="8"/>
        <v>20</v>
      </c>
      <c r="W2418" s="15">
        <f t="shared" si="9"/>
        <v>2</v>
      </c>
      <c r="X2418" s="15">
        <f t="shared" si="10"/>
        <v>2026</v>
      </c>
    </row>
    <row r="2419">
      <c r="A2419" s="9">
        <v>46073.0</v>
      </c>
      <c r="B2419" s="9">
        <v>45757.0</v>
      </c>
      <c r="C2419" s="9">
        <f t="shared" si="150"/>
        <v>46073</v>
      </c>
      <c r="D2419" s="11" t="s">
        <v>65</v>
      </c>
      <c r="E2419" s="11" t="s">
        <v>25</v>
      </c>
      <c r="F2419" s="11" t="s">
        <v>107</v>
      </c>
      <c r="G2419" s="11" t="s">
        <v>27</v>
      </c>
      <c r="H2419" s="11" t="s">
        <v>681</v>
      </c>
      <c r="I2419" s="31">
        <v>47.73</v>
      </c>
      <c r="J2419" s="13"/>
      <c r="K2419" s="13">
        <f t="shared" si="167"/>
        <v>47.73</v>
      </c>
      <c r="L2419" s="11" t="s">
        <v>53</v>
      </c>
      <c r="M2419" s="17">
        <v>46001.0</v>
      </c>
      <c r="N2419" s="11" t="s">
        <v>95</v>
      </c>
      <c r="O2419" s="10" t="str">
        <f t="shared" si="79"/>
        <v>02/2026</v>
      </c>
      <c r="P2419" s="10" t="str">
        <f t="shared" si="121"/>
        <v>02/2026</v>
      </c>
      <c r="Q2419" s="15" t="str">
        <f t="array" ref="Q2419">IFERROR(XLOOKUP(N2419,'Classificação'!A:A,'Classificação'!B:B),"")</f>
        <v>DESPESAS NÃO OPERACIONAIS</v>
      </c>
      <c r="R2419" s="15" t="str">
        <f t="array" ref="R2419">IFERROR(XLOOKUP(Q2419,'Classificação'!B:B,'Classificação'!C:C),"")</f>
        <v>RESULTADO NÃO OPERACIONAL (+/-)</v>
      </c>
      <c r="S2419" s="15">
        <f t="shared" si="131"/>
        <v>20</v>
      </c>
      <c r="T2419" s="15">
        <f t="shared" si="128"/>
        <v>2</v>
      </c>
      <c r="U2419" s="15">
        <f t="shared" si="129"/>
        <v>2026</v>
      </c>
      <c r="V2419" s="15">
        <f t="shared" si="8"/>
        <v>20</v>
      </c>
      <c r="W2419" s="15">
        <f t="shared" si="9"/>
        <v>2</v>
      </c>
      <c r="X2419" s="15">
        <f t="shared" si="10"/>
        <v>2026</v>
      </c>
    </row>
    <row r="2420">
      <c r="A2420" s="27">
        <v>46073.0</v>
      </c>
      <c r="B2420" s="9">
        <v>45757.0</v>
      </c>
      <c r="C2420" s="9">
        <f t="shared" si="150"/>
        <v>46073</v>
      </c>
      <c r="D2420" s="11" t="s">
        <v>65</v>
      </c>
      <c r="E2420" s="11" t="s">
        <v>25</v>
      </c>
      <c r="F2420" s="11" t="s">
        <v>107</v>
      </c>
      <c r="G2420" s="11" t="s">
        <v>27</v>
      </c>
      <c r="H2420" s="11" t="s">
        <v>739</v>
      </c>
      <c r="I2420" s="31">
        <v>48.17</v>
      </c>
      <c r="J2420" s="13"/>
      <c r="K2420" s="13">
        <f t="shared" si="167"/>
        <v>48.17</v>
      </c>
      <c r="L2420" s="11" t="s">
        <v>53</v>
      </c>
      <c r="M2420" s="17">
        <v>45971.0</v>
      </c>
      <c r="N2420" s="11" t="s">
        <v>95</v>
      </c>
      <c r="O2420" s="10" t="str">
        <f t="shared" si="79"/>
        <v>02/2026</v>
      </c>
      <c r="P2420" s="10" t="str">
        <f t="shared" si="121"/>
        <v>02/2026</v>
      </c>
      <c r="Q2420" s="15" t="str">
        <f t="array" ref="Q2420">IFERROR(XLOOKUP(N2420,'Classificação'!A:A,'Classificação'!B:B),"")</f>
        <v>DESPESAS NÃO OPERACIONAIS</v>
      </c>
      <c r="R2420" s="15" t="str">
        <f t="array" ref="R2420">IFERROR(XLOOKUP(Q2420,'Classificação'!B:B,'Classificação'!C:C),"")</f>
        <v>RESULTADO NÃO OPERACIONAL (+/-)</v>
      </c>
      <c r="S2420" s="15">
        <f t="shared" si="131"/>
        <v>20</v>
      </c>
      <c r="T2420" s="15">
        <f t="shared" si="128"/>
        <v>2</v>
      </c>
      <c r="U2420" s="15">
        <f t="shared" si="129"/>
        <v>2026</v>
      </c>
      <c r="V2420" s="15">
        <f t="shared" si="8"/>
        <v>20</v>
      </c>
      <c r="W2420" s="15">
        <f t="shared" si="9"/>
        <v>2</v>
      </c>
      <c r="X2420" s="15">
        <f t="shared" si="10"/>
        <v>2026</v>
      </c>
    </row>
    <row r="2421">
      <c r="A2421" s="9">
        <v>46073.0</v>
      </c>
      <c r="B2421" s="9">
        <v>45776.0</v>
      </c>
      <c r="C2421" s="9">
        <f t="shared" si="150"/>
        <v>46073</v>
      </c>
      <c r="D2421" s="11" t="s">
        <v>65</v>
      </c>
      <c r="E2421" s="11" t="s">
        <v>25</v>
      </c>
      <c r="F2421" s="11" t="s">
        <v>110</v>
      </c>
      <c r="G2421" s="11" t="s">
        <v>27</v>
      </c>
      <c r="H2421" s="11" t="s">
        <v>752</v>
      </c>
      <c r="I2421" s="31">
        <v>98.4</v>
      </c>
      <c r="J2421" s="13"/>
      <c r="K2421" s="13">
        <f t="shared" si="167"/>
        <v>98.4</v>
      </c>
      <c r="L2421" s="11" t="s">
        <v>53</v>
      </c>
      <c r="M2421" s="17">
        <v>45940.0</v>
      </c>
      <c r="N2421" s="11" t="s">
        <v>58</v>
      </c>
      <c r="O2421" s="10" t="str">
        <f t="shared" si="79"/>
        <v>02/2026</v>
      </c>
      <c r="P2421" s="10" t="str">
        <f t="shared" si="121"/>
        <v>02/2026</v>
      </c>
      <c r="Q2421" s="15" t="str">
        <f t="array" ref="Q2421">IFERROR(XLOOKUP(N2421,'Classificação'!A:A,'Classificação'!B:B),"")</f>
        <v>DESPESAS ADMINISTRATIVAS</v>
      </c>
      <c r="R2421" s="15" t="str">
        <f t="array" ref="R2421">IFERROR(XLOOKUP(Q2421,'Classificação'!B:B,'Classificação'!C:C),"")</f>
        <v>DESPESAS FIXAS (-)</v>
      </c>
      <c r="S2421" s="15">
        <f t="shared" si="131"/>
        <v>20</v>
      </c>
      <c r="T2421" s="15">
        <f t="shared" si="128"/>
        <v>2</v>
      </c>
      <c r="U2421" s="15">
        <f t="shared" si="129"/>
        <v>2026</v>
      </c>
      <c r="V2421" s="15">
        <f t="shared" si="8"/>
        <v>20</v>
      </c>
      <c r="W2421" s="15">
        <f t="shared" si="9"/>
        <v>2</v>
      </c>
      <c r="X2421" s="15">
        <f t="shared" si="10"/>
        <v>2026</v>
      </c>
    </row>
    <row r="2422">
      <c r="A2422" s="26">
        <v>46073.0</v>
      </c>
      <c r="B2422" s="27">
        <v>45754.0</v>
      </c>
      <c r="C2422" s="27">
        <f t="shared" si="150"/>
        <v>46073</v>
      </c>
      <c r="D2422" s="28" t="s">
        <v>699</v>
      </c>
      <c r="E2422" s="11" t="s">
        <v>25</v>
      </c>
      <c r="F2422" s="28" t="s">
        <v>107</v>
      </c>
      <c r="G2422" s="28" t="s">
        <v>27</v>
      </c>
      <c r="H2422" s="28" t="s">
        <v>700</v>
      </c>
      <c r="I2422" s="38">
        <v>57.0</v>
      </c>
      <c r="J2422" s="34"/>
      <c r="K2422" s="13">
        <f t="shared" si="167"/>
        <v>57</v>
      </c>
      <c r="L2422" s="28" t="s">
        <v>53</v>
      </c>
      <c r="M2422" s="35">
        <v>45940.0</v>
      </c>
      <c r="N2422" s="28" t="s">
        <v>95</v>
      </c>
      <c r="O2422" s="10" t="str">
        <f t="shared" si="79"/>
        <v>02/2026</v>
      </c>
      <c r="P2422" s="10" t="str">
        <f t="shared" si="121"/>
        <v>02/2026</v>
      </c>
      <c r="Q2422" s="15" t="str">
        <f t="array" ref="Q2422">IFERROR(XLOOKUP(N2422,'Classificação'!A:A,'Classificação'!B:B),"")</f>
        <v>DESPESAS NÃO OPERACIONAIS</v>
      </c>
      <c r="R2422" s="15" t="str">
        <f t="array" ref="R2422">IFERROR(XLOOKUP(Q2422,'Classificação'!B:B,'Classificação'!C:C),"")</f>
        <v>RESULTADO NÃO OPERACIONAL (+/-)</v>
      </c>
      <c r="S2422" s="15">
        <f t="shared" si="131"/>
        <v>20</v>
      </c>
      <c r="T2422" s="15">
        <f t="shared" si="128"/>
        <v>2</v>
      </c>
      <c r="U2422" s="15">
        <f t="shared" si="129"/>
        <v>2026</v>
      </c>
      <c r="V2422" s="15">
        <f t="shared" si="8"/>
        <v>20</v>
      </c>
      <c r="W2422" s="15">
        <f t="shared" si="9"/>
        <v>2</v>
      </c>
      <c r="X2422" s="15">
        <f t="shared" si="10"/>
        <v>2026</v>
      </c>
    </row>
    <row r="2423">
      <c r="A2423" s="9">
        <v>46073.0</v>
      </c>
      <c r="B2423" s="10"/>
      <c r="C2423" s="9">
        <f t="shared" si="150"/>
        <v>46073</v>
      </c>
      <c r="D2423" s="11" t="s">
        <v>131</v>
      </c>
      <c r="E2423" s="11" t="s">
        <v>25</v>
      </c>
      <c r="F2423" s="28" t="s">
        <v>107</v>
      </c>
      <c r="G2423" s="28" t="s">
        <v>27</v>
      </c>
      <c r="H2423" s="11" t="s">
        <v>822</v>
      </c>
      <c r="I2423" s="31">
        <v>221.74</v>
      </c>
      <c r="J2423" s="13"/>
      <c r="K2423" s="13">
        <f t="shared" si="167"/>
        <v>221.74</v>
      </c>
      <c r="L2423" s="28" t="s">
        <v>53</v>
      </c>
      <c r="M2423" s="17">
        <v>46000.0</v>
      </c>
      <c r="N2423" s="11" t="s">
        <v>133</v>
      </c>
      <c r="O2423" s="10" t="str">
        <f t="shared" si="79"/>
        <v>02/2026</v>
      </c>
      <c r="P2423" s="10" t="str">
        <f t="shared" si="121"/>
        <v>02/2026</v>
      </c>
      <c r="Q2423" s="15" t="str">
        <f t="array" ref="Q2423">IFERROR(XLOOKUP(N2423,'Classificação'!A:A,'Classificação'!B:B),"")</f>
        <v>DESPESAS COM VEICULOS</v>
      </c>
      <c r="R2423" s="15" t="str">
        <f t="array" ref="R2423">IFERROR(XLOOKUP(Q2423,'Classificação'!B:B,'Classificação'!C:C),"")</f>
        <v>DESPESAS FIXAS (-)</v>
      </c>
      <c r="S2423" s="15">
        <f t="shared" si="131"/>
        <v>20</v>
      </c>
      <c r="T2423" s="15">
        <f t="shared" si="128"/>
        <v>2</v>
      </c>
      <c r="U2423" s="15">
        <f t="shared" si="129"/>
        <v>2026</v>
      </c>
      <c r="V2423" s="15">
        <f t="shared" si="8"/>
        <v>20</v>
      </c>
      <c r="W2423" s="15">
        <f t="shared" si="9"/>
        <v>2</v>
      </c>
      <c r="X2423" s="15">
        <f t="shared" si="10"/>
        <v>2026</v>
      </c>
    </row>
    <row r="2424">
      <c r="A2424" s="9">
        <v>46073.0</v>
      </c>
      <c r="B2424" s="9">
        <v>45837.0</v>
      </c>
      <c r="C2424" s="9">
        <f t="shared" si="150"/>
        <v>46073</v>
      </c>
      <c r="D2424" s="11" t="s">
        <v>65</v>
      </c>
      <c r="E2424" s="11" t="s">
        <v>25</v>
      </c>
      <c r="F2424" s="11" t="s">
        <v>107</v>
      </c>
      <c r="G2424" s="11" t="s">
        <v>27</v>
      </c>
      <c r="H2424" s="44" t="s">
        <v>874</v>
      </c>
      <c r="I2424" s="31">
        <v>51.06</v>
      </c>
      <c r="J2424" s="13"/>
      <c r="K2424" s="13">
        <f t="shared" si="167"/>
        <v>51.06</v>
      </c>
      <c r="L2424" s="11" t="s">
        <v>53</v>
      </c>
      <c r="M2424" s="17">
        <v>45999.0</v>
      </c>
      <c r="N2424" s="11" t="s">
        <v>95</v>
      </c>
      <c r="O2424" s="10" t="str">
        <f t="shared" si="79"/>
        <v>02/2026</v>
      </c>
      <c r="P2424" s="10" t="str">
        <f t="shared" si="121"/>
        <v>02/2026</v>
      </c>
      <c r="Q2424" s="15" t="str">
        <f t="array" ref="Q2424">IFERROR(XLOOKUP(N2424,'Classificação'!A:A,'Classificação'!B:B),"")</f>
        <v>DESPESAS NÃO OPERACIONAIS</v>
      </c>
      <c r="R2424" s="15" t="str">
        <f t="array" ref="R2424">IFERROR(XLOOKUP(Q2424,'Classificação'!B:B,'Classificação'!C:C),"")</f>
        <v>RESULTADO NÃO OPERACIONAL (+/-)</v>
      </c>
      <c r="S2424" s="15">
        <f t="shared" si="131"/>
        <v>20</v>
      </c>
      <c r="T2424" s="15">
        <f t="shared" si="128"/>
        <v>2</v>
      </c>
      <c r="U2424" s="15">
        <f t="shared" si="129"/>
        <v>2026</v>
      </c>
      <c r="V2424" s="15">
        <f t="shared" si="8"/>
        <v>20</v>
      </c>
      <c r="W2424" s="15">
        <f t="shared" si="9"/>
        <v>2</v>
      </c>
      <c r="X2424" s="15">
        <f t="shared" si="10"/>
        <v>2026</v>
      </c>
    </row>
    <row r="2425">
      <c r="A2425" s="9">
        <v>46073.0</v>
      </c>
      <c r="B2425" s="9">
        <v>45842.0</v>
      </c>
      <c r="C2425" s="9">
        <f t="shared" si="150"/>
        <v>46073</v>
      </c>
      <c r="D2425" s="11" t="s">
        <v>877</v>
      </c>
      <c r="E2425" s="11" t="s">
        <v>25</v>
      </c>
      <c r="F2425" s="11" t="s">
        <v>107</v>
      </c>
      <c r="G2425" s="11" t="s">
        <v>27</v>
      </c>
      <c r="H2425" s="11" t="s">
        <v>878</v>
      </c>
      <c r="I2425" s="31">
        <v>200.0</v>
      </c>
      <c r="J2425" s="13"/>
      <c r="K2425" s="13">
        <f t="shared" si="167"/>
        <v>200</v>
      </c>
      <c r="L2425" s="11" t="s">
        <v>53</v>
      </c>
      <c r="M2425" s="17">
        <v>45938.0</v>
      </c>
      <c r="N2425" s="11" t="s">
        <v>175</v>
      </c>
      <c r="O2425" s="10" t="str">
        <f t="shared" si="79"/>
        <v>02/2026</v>
      </c>
      <c r="P2425" s="10" t="str">
        <f t="shared" si="121"/>
        <v>02/2026</v>
      </c>
      <c r="Q2425" s="15" t="str">
        <f t="array" ref="Q2425">IFERROR(XLOOKUP(N2425,'Classificação'!A:A,'Classificação'!B:B),"")</f>
        <v>DESPESAS COM VEICULOS</v>
      </c>
      <c r="R2425" s="15" t="str">
        <f t="array" ref="R2425">IFERROR(XLOOKUP(Q2425,'Classificação'!B:B,'Classificação'!C:C),"")</f>
        <v>DESPESAS FIXAS (-)</v>
      </c>
      <c r="S2425" s="15">
        <f t="shared" si="131"/>
        <v>20</v>
      </c>
      <c r="T2425" s="15">
        <f t="shared" si="128"/>
        <v>2</v>
      </c>
      <c r="U2425" s="15">
        <f t="shared" si="129"/>
        <v>2026</v>
      </c>
      <c r="V2425" s="15">
        <f t="shared" si="8"/>
        <v>20</v>
      </c>
      <c r="W2425" s="15">
        <f t="shared" si="9"/>
        <v>2</v>
      </c>
      <c r="X2425" s="15">
        <f t="shared" si="10"/>
        <v>2026</v>
      </c>
    </row>
    <row r="2426">
      <c r="A2426" s="9">
        <v>46073.0</v>
      </c>
      <c r="B2426" s="9">
        <v>45842.0</v>
      </c>
      <c r="C2426" s="9">
        <f t="shared" si="150"/>
        <v>46073</v>
      </c>
      <c r="D2426" s="11" t="s">
        <v>877</v>
      </c>
      <c r="E2426" s="11" t="s">
        <v>25</v>
      </c>
      <c r="F2426" s="11" t="s">
        <v>107</v>
      </c>
      <c r="G2426" s="11" t="s">
        <v>27</v>
      </c>
      <c r="H2426" s="11" t="s">
        <v>878</v>
      </c>
      <c r="I2426" s="31">
        <v>338.3</v>
      </c>
      <c r="J2426" s="13"/>
      <c r="K2426" s="13">
        <f t="shared" si="167"/>
        <v>338.3</v>
      </c>
      <c r="L2426" s="11" t="s">
        <v>53</v>
      </c>
      <c r="M2426" s="17">
        <v>45938.0</v>
      </c>
      <c r="N2426" s="11" t="s">
        <v>175</v>
      </c>
      <c r="O2426" s="10" t="str">
        <f t="shared" si="79"/>
        <v>02/2026</v>
      </c>
      <c r="P2426" s="10" t="str">
        <f t="shared" si="121"/>
        <v>02/2026</v>
      </c>
      <c r="Q2426" s="15" t="str">
        <f t="array" ref="Q2426">IFERROR(XLOOKUP(N2426,'Classificação'!A:A,'Classificação'!B:B),"")</f>
        <v>DESPESAS COM VEICULOS</v>
      </c>
      <c r="R2426" s="15" t="str">
        <f t="array" ref="R2426">IFERROR(XLOOKUP(Q2426,'Classificação'!B:B,'Classificação'!C:C),"")</f>
        <v>DESPESAS FIXAS (-)</v>
      </c>
      <c r="S2426" s="15">
        <f t="shared" si="131"/>
        <v>20</v>
      </c>
      <c r="T2426" s="15">
        <f t="shared" si="128"/>
        <v>2</v>
      </c>
      <c r="U2426" s="15">
        <f t="shared" si="129"/>
        <v>2026</v>
      </c>
      <c r="V2426" s="15">
        <f t="shared" si="8"/>
        <v>20</v>
      </c>
      <c r="W2426" s="15">
        <f t="shared" si="9"/>
        <v>2</v>
      </c>
      <c r="X2426" s="15">
        <f t="shared" si="10"/>
        <v>2026</v>
      </c>
    </row>
    <row r="2427">
      <c r="A2427" s="26">
        <v>46073.0</v>
      </c>
      <c r="B2427" s="26">
        <v>45867.0</v>
      </c>
      <c r="C2427" s="9">
        <f t="shared" si="150"/>
        <v>46073</v>
      </c>
      <c r="D2427" s="28" t="s">
        <v>109</v>
      </c>
      <c r="E2427" s="11" t="s">
        <v>25</v>
      </c>
      <c r="F2427" s="29" t="s">
        <v>107</v>
      </c>
      <c r="G2427" s="28" t="s">
        <v>27</v>
      </c>
      <c r="H2427" s="11" t="s">
        <v>911</v>
      </c>
      <c r="I2427" s="33">
        <v>24.15</v>
      </c>
      <c r="J2427" s="13"/>
      <c r="K2427" s="13">
        <f t="shared" si="167"/>
        <v>24.15</v>
      </c>
      <c r="L2427" s="11" t="s">
        <v>53</v>
      </c>
      <c r="M2427" s="17">
        <v>45998.0</v>
      </c>
      <c r="N2427" s="28" t="s">
        <v>105</v>
      </c>
      <c r="O2427" s="10" t="str">
        <f t="shared" si="79"/>
        <v>02/2026</v>
      </c>
      <c r="P2427" s="10" t="str">
        <f t="shared" si="121"/>
        <v>02/2026</v>
      </c>
      <c r="Q2427" s="15" t="str">
        <f t="array" ref="Q2427">IFERROR(XLOOKUP(N2427,'Classificação'!A:A,'Classificação'!B:B),"")</f>
        <v>DESPESAS ADMINISTRATIVAS</v>
      </c>
      <c r="R2427" s="15" t="str">
        <f t="array" ref="R2427">IFERROR(XLOOKUP(Q2427,'Classificação'!B:B,'Classificação'!C:C),"")</f>
        <v>DESPESAS FIXAS (-)</v>
      </c>
      <c r="S2427" s="15">
        <f t="shared" si="131"/>
        <v>20</v>
      </c>
      <c r="T2427" s="15">
        <f t="shared" si="128"/>
        <v>2</v>
      </c>
      <c r="U2427" s="15">
        <f t="shared" si="129"/>
        <v>2026</v>
      </c>
      <c r="V2427" s="15">
        <f t="shared" si="8"/>
        <v>20</v>
      </c>
      <c r="W2427" s="15">
        <f t="shared" si="9"/>
        <v>2</v>
      </c>
      <c r="X2427" s="15">
        <f t="shared" si="10"/>
        <v>2026</v>
      </c>
    </row>
    <row r="2428">
      <c r="A2428" s="9">
        <v>46073.0</v>
      </c>
      <c r="B2428" s="9">
        <v>45863.0</v>
      </c>
      <c r="C2428" s="9">
        <f t="shared" si="150"/>
        <v>46073</v>
      </c>
      <c r="D2428" s="11" t="s">
        <v>65</v>
      </c>
      <c r="E2428" s="11" t="s">
        <v>25</v>
      </c>
      <c r="F2428" s="11" t="s">
        <v>107</v>
      </c>
      <c r="G2428" s="11" t="s">
        <v>27</v>
      </c>
      <c r="H2428" s="11" t="s">
        <v>915</v>
      </c>
      <c r="I2428" s="31">
        <v>185.16</v>
      </c>
      <c r="J2428" s="13"/>
      <c r="K2428" s="13">
        <f t="shared" si="167"/>
        <v>185.16</v>
      </c>
      <c r="L2428" s="11" t="s">
        <v>53</v>
      </c>
      <c r="M2428" s="17">
        <v>45998.0</v>
      </c>
      <c r="N2428" s="11" t="s">
        <v>95</v>
      </c>
      <c r="O2428" s="10" t="str">
        <f t="shared" si="79"/>
        <v>02/2026</v>
      </c>
      <c r="P2428" s="10" t="str">
        <f t="shared" si="121"/>
        <v>02/2026</v>
      </c>
      <c r="Q2428" s="15" t="str">
        <f t="array" ref="Q2428">IFERROR(XLOOKUP(N2428,'Classificação'!A:A,'Classificação'!B:B),"")</f>
        <v>DESPESAS NÃO OPERACIONAIS</v>
      </c>
      <c r="R2428" s="15" t="str">
        <f t="array" ref="R2428">IFERROR(XLOOKUP(Q2428,'Classificação'!B:B,'Classificação'!C:C),"")</f>
        <v>RESULTADO NÃO OPERACIONAL (+/-)</v>
      </c>
      <c r="S2428" s="15">
        <f t="shared" si="131"/>
        <v>20</v>
      </c>
      <c r="T2428" s="15">
        <f t="shared" si="128"/>
        <v>2</v>
      </c>
      <c r="U2428" s="15">
        <f t="shared" si="129"/>
        <v>2026</v>
      </c>
      <c r="V2428" s="15">
        <f t="shared" si="8"/>
        <v>20</v>
      </c>
      <c r="W2428" s="15">
        <f t="shared" si="9"/>
        <v>2</v>
      </c>
      <c r="X2428" s="15">
        <f t="shared" si="10"/>
        <v>2026</v>
      </c>
    </row>
    <row r="2429">
      <c r="A2429" s="26">
        <v>46073.0</v>
      </c>
      <c r="B2429" s="30"/>
      <c r="C2429" s="27">
        <f t="shared" si="150"/>
        <v>46073</v>
      </c>
      <c r="D2429" s="28" t="s">
        <v>100</v>
      </c>
      <c r="E2429" s="29" t="s">
        <v>25</v>
      </c>
      <c r="F2429" s="28" t="s">
        <v>40</v>
      </c>
      <c r="G2429" s="28" t="s">
        <v>27</v>
      </c>
      <c r="H2429" s="29" t="s">
        <v>1015</v>
      </c>
      <c r="I2429" s="24">
        <v>15531.62</v>
      </c>
      <c r="J2429" s="34"/>
      <c r="K2429" s="37">
        <f t="shared" ref="K2429:K2432" si="168">IF(E2429="pago",(I2429-J2429),"")</f>
        <v>15531.62</v>
      </c>
      <c r="L2429" s="28" t="s">
        <v>29</v>
      </c>
      <c r="M2429" s="28"/>
      <c r="N2429" s="28" t="s">
        <v>101</v>
      </c>
      <c r="O2429" s="10" t="str">
        <f t="shared" si="79"/>
        <v>02/2026</v>
      </c>
      <c r="P2429" s="10" t="str">
        <f t="shared" si="121"/>
        <v>02/2026</v>
      </c>
      <c r="Q2429" s="15" t="str">
        <f t="array" ref="Q2429">IFERROR(XLOOKUP(N2429,'Classificação'!A:A,'Classificação'!B:B),"")</f>
        <v>IMPOSTO DE RENDA - DAS</v>
      </c>
      <c r="R2429" s="15" t="str">
        <f t="array" ref="R2429">IFERROR(XLOOKUP(Q2429,'Classificação'!B:B,'Classificação'!C:C),"")</f>
        <v>DEDUÇÕES DA RECEITA BRUTA (-)</v>
      </c>
      <c r="S2429" s="15">
        <f t="shared" si="131"/>
        <v>20</v>
      </c>
      <c r="T2429" s="15">
        <f t="shared" si="128"/>
        <v>2</v>
      </c>
      <c r="U2429" s="15">
        <f t="shared" si="129"/>
        <v>2026</v>
      </c>
      <c r="V2429" s="15">
        <f t="shared" si="8"/>
        <v>20</v>
      </c>
      <c r="W2429" s="15">
        <f t="shared" si="9"/>
        <v>2</v>
      </c>
      <c r="X2429" s="15">
        <f t="shared" si="10"/>
        <v>2026</v>
      </c>
    </row>
    <row r="2430">
      <c r="A2430" s="26">
        <v>46073.0</v>
      </c>
      <c r="B2430" s="30"/>
      <c r="C2430" s="27">
        <f t="shared" si="150"/>
        <v>46073</v>
      </c>
      <c r="D2430" s="28" t="s">
        <v>100</v>
      </c>
      <c r="E2430" s="29" t="s">
        <v>25</v>
      </c>
      <c r="F2430" s="28" t="s">
        <v>40</v>
      </c>
      <c r="G2430" s="28" t="s">
        <v>37</v>
      </c>
      <c r="H2430" s="29" t="s">
        <v>1016</v>
      </c>
      <c r="I2430" s="24">
        <v>7997.01</v>
      </c>
      <c r="J2430" s="34"/>
      <c r="K2430" s="37">
        <f t="shared" si="168"/>
        <v>7997.01</v>
      </c>
      <c r="L2430" s="28" t="s">
        <v>29</v>
      </c>
      <c r="M2430" s="28"/>
      <c r="N2430" s="28" t="s">
        <v>101</v>
      </c>
      <c r="O2430" s="10" t="str">
        <f t="shared" si="79"/>
        <v>02/2026</v>
      </c>
      <c r="P2430" s="10" t="str">
        <f t="shared" si="121"/>
        <v>02/2026</v>
      </c>
      <c r="Q2430" s="15" t="str">
        <f t="array" ref="Q2430">IFERROR(XLOOKUP(N2430,'Classificação'!A:A,'Classificação'!B:B),"")</f>
        <v>IMPOSTO DE RENDA - DAS</v>
      </c>
      <c r="R2430" s="15" t="str">
        <f t="array" ref="R2430">IFERROR(XLOOKUP(Q2430,'Classificação'!B:B,'Classificação'!C:C),"")</f>
        <v>DEDUÇÕES DA RECEITA BRUTA (-)</v>
      </c>
      <c r="S2430" s="15">
        <f t="shared" si="131"/>
        <v>20</v>
      </c>
      <c r="T2430" s="15">
        <f t="shared" si="128"/>
        <v>2</v>
      </c>
      <c r="U2430" s="15">
        <f t="shared" si="129"/>
        <v>2026</v>
      </c>
      <c r="V2430" s="15">
        <f t="shared" si="8"/>
        <v>20</v>
      </c>
      <c r="W2430" s="15">
        <f t="shared" si="9"/>
        <v>2</v>
      </c>
      <c r="X2430" s="15">
        <f t="shared" si="10"/>
        <v>2026</v>
      </c>
    </row>
    <row r="2431">
      <c r="A2431" s="26">
        <v>46073.0</v>
      </c>
      <c r="B2431" s="28"/>
      <c r="C2431" s="27">
        <f t="shared" si="150"/>
        <v>46073</v>
      </c>
      <c r="D2431" s="28" t="s">
        <v>126</v>
      </c>
      <c r="E2431" s="29" t="s">
        <v>25</v>
      </c>
      <c r="F2431" s="28" t="s">
        <v>40</v>
      </c>
      <c r="G2431" s="28" t="s">
        <v>27</v>
      </c>
      <c r="H2431" s="29" t="s">
        <v>1185</v>
      </c>
      <c r="I2431" s="24">
        <v>581.33</v>
      </c>
      <c r="J2431" s="34"/>
      <c r="K2431" s="37">
        <f t="shared" si="168"/>
        <v>581.33</v>
      </c>
      <c r="L2431" s="28" t="s">
        <v>29</v>
      </c>
      <c r="M2431" s="28"/>
      <c r="N2431" s="28" t="s">
        <v>126</v>
      </c>
      <c r="O2431" s="10" t="str">
        <f t="shared" si="79"/>
        <v>02/2026</v>
      </c>
      <c r="P2431" s="10" t="str">
        <f t="shared" si="121"/>
        <v>02/2026</v>
      </c>
      <c r="Q2431" s="15" t="str">
        <f t="array" ref="Q2431">IFERROR(XLOOKUP(N2431,'Classificação'!A:A,'Classificação'!B:B),"")</f>
        <v>DESPESAS COM PESSOAL</v>
      </c>
      <c r="R2431" s="15" t="str">
        <f t="array" ref="R2431">IFERROR(XLOOKUP(Q2431,'Classificação'!B:B,'Classificação'!C:C),"")</f>
        <v>DESPESAS FIXAS (-)</v>
      </c>
      <c r="S2431" s="15">
        <f t="shared" si="131"/>
        <v>20</v>
      </c>
      <c r="T2431" s="15">
        <f t="shared" si="128"/>
        <v>2</v>
      </c>
      <c r="U2431" s="15">
        <f t="shared" si="129"/>
        <v>2026</v>
      </c>
      <c r="V2431" s="15">
        <f t="shared" si="8"/>
        <v>20</v>
      </c>
      <c r="W2431" s="15">
        <f t="shared" si="9"/>
        <v>2</v>
      </c>
      <c r="X2431" s="15">
        <f t="shared" si="10"/>
        <v>2026</v>
      </c>
    </row>
    <row r="2432">
      <c r="A2432" s="26">
        <v>46073.0</v>
      </c>
      <c r="B2432" s="28"/>
      <c r="C2432" s="27">
        <f t="shared" si="150"/>
        <v>46073</v>
      </c>
      <c r="D2432" s="28" t="s">
        <v>171</v>
      </c>
      <c r="E2432" s="29" t="s">
        <v>25</v>
      </c>
      <c r="F2432" s="28" t="s">
        <v>40</v>
      </c>
      <c r="G2432" s="29" t="s">
        <v>37</v>
      </c>
      <c r="H2432" s="28"/>
      <c r="I2432" s="24">
        <v>107.64</v>
      </c>
      <c r="J2432" s="34"/>
      <c r="K2432" s="37">
        <f t="shared" si="168"/>
        <v>107.64</v>
      </c>
      <c r="L2432" s="28" t="s">
        <v>29</v>
      </c>
      <c r="M2432" s="28"/>
      <c r="N2432" s="28" t="s">
        <v>172</v>
      </c>
      <c r="O2432" s="10" t="str">
        <f t="shared" si="79"/>
        <v>02/2026</v>
      </c>
      <c r="P2432" s="10" t="str">
        <f t="shared" si="121"/>
        <v>02/2026</v>
      </c>
      <c r="Q2432" s="15" t="str">
        <f t="array" ref="Q2432">IFERROR(XLOOKUP(N2432,'Classificação'!A:A,'Classificação'!B:B),"")</f>
        <v>DESPESAS COM OCUPAÇÃO</v>
      </c>
      <c r="R2432" s="15" t="str">
        <f t="array" ref="R2432">IFERROR(XLOOKUP(Q2432,'Classificação'!B:B,'Classificação'!C:C),"")</f>
        <v>DESPESAS FIXAS (-)</v>
      </c>
      <c r="S2432" s="15">
        <f t="shared" si="131"/>
        <v>20</v>
      </c>
      <c r="T2432" s="15">
        <f t="shared" si="128"/>
        <v>2</v>
      </c>
      <c r="U2432" s="15">
        <f t="shared" si="129"/>
        <v>2026</v>
      </c>
      <c r="V2432" s="15">
        <f t="shared" si="8"/>
        <v>20</v>
      </c>
      <c r="W2432" s="15">
        <f t="shared" si="9"/>
        <v>2</v>
      </c>
      <c r="X2432" s="15">
        <f t="shared" si="10"/>
        <v>2026</v>
      </c>
    </row>
    <row r="2433">
      <c r="A2433" s="26">
        <v>46073.0</v>
      </c>
      <c r="B2433" s="39"/>
      <c r="C2433" s="9">
        <f t="shared" si="150"/>
        <v>46073</v>
      </c>
      <c r="D2433" s="28" t="s">
        <v>65</v>
      </c>
      <c r="E2433" s="11" t="s">
        <v>25</v>
      </c>
      <c r="F2433" s="28" t="s">
        <v>107</v>
      </c>
      <c r="G2433" s="28" t="s">
        <v>27</v>
      </c>
      <c r="H2433" s="28" t="s">
        <v>612</v>
      </c>
      <c r="I2433" s="33">
        <v>8.9</v>
      </c>
      <c r="J2433" s="34"/>
      <c r="K2433" s="13">
        <f>if(E2433="pago",(I2433-J2433),"")</f>
        <v>8.9</v>
      </c>
      <c r="L2433" s="28" t="s">
        <v>29</v>
      </c>
      <c r="M2433" s="28"/>
      <c r="N2433" s="28" t="s">
        <v>105</v>
      </c>
      <c r="O2433" s="10" t="str">
        <f t="shared" si="79"/>
        <v>02/2026</v>
      </c>
      <c r="P2433" s="10" t="str">
        <f t="shared" si="121"/>
        <v>02/2026</v>
      </c>
      <c r="Q2433" s="15" t="str">
        <f t="array" ref="Q2433">IFERROR(XLOOKUP(N2433,'Classificação'!A:A,'Classificação'!B:B),"")</f>
        <v>DESPESAS ADMINISTRATIVAS</v>
      </c>
      <c r="R2433" s="15" t="str">
        <f t="array" ref="R2433">IFERROR(XLOOKUP(Q2433,'Classificação'!B:B,'Classificação'!C:C),"")</f>
        <v>DESPESAS FIXAS (-)</v>
      </c>
      <c r="S2433" s="15">
        <f t="shared" si="131"/>
        <v>20</v>
      </c>
      <c r="T2433" s="15">
        <f t="shared" si="128"/>
        <v>2</v>
      </c>
      <c r="U2433" s="15">
        <f t="shared" si="129"/>
        <v>2026</v>
      </c>
      <c r="V2433" s="15">
        <f t="shared" si="8"/>
        <v>20</v>
      </c>
      <c r="W2433" s="15">
        <f t="shared" si="9"/>
        <v>2</v>
      </c>
      <c r="X2433" s="15">
        <f t="shared" si="10"/>
        <v>2026</v>
      </c>
    </row>
    <row r="2434">
      <c r="A2434" s="26">
        <v>46073.0</v>
      </c>
      <c r="B2434" s="28"/>
      <c r="C2434" s="27">
        <f t="shared" si="150"/>
        <v>46073</v>
      </c>
      <c r="D2434" s="28" t="s">
        <v>637</v>
      </c>
      <c r="E2434" s="29" t="s">
        <v>25</v>
      </c>
      <c r="F2434" s="28" t="s">
        <v>40</v>
      </c>
      <c r="G2434" s="29" t="s">
        <v>37</v>
      </c>
      <c r="H2434" s="28"/>
      <c r="I2434" s="24">
        <v>179.13</v>
      </c>
      <c r="J2434" s="34"/>
      <c r="K2434" s="37">
        <f t="shared" ref="K2434:K2437" si="169">IF(E2434="pago",(I2434-J2434),"")</f>
        <v>179.13</v>
      </c>
      <c r="L2434" s="28" t="s">
        <v>29</v>
      </c>
      <c r="M2434" s="28"/>
      <c r="N2434" s="28" t="s">
        <v>201</v>
      </c>
      <c r="O2434" s="10" t="str">
        <f t="shared" si="79"/>
        <v>02/2026</v>
      </c>
      <c r="P2434" s="10" t="str">
        <f t="shared" si="121"/>
        <v>02/2026</v>
      </c>
      <c r="Q2434" s="15" t="str">
        <f t="array" ref="Q2434">IFERROR(XLOOKUP(N2434,'Classificação'!A:A,'Classificação'!B:B),"")</f>
        <v>DESPESAS COM OCUPAÇÃO</v>
      </c>
      <c r="R2434" s="15" t="str">
        <f t="array" ref="R2434">IFERROR(XLOOKUP(Q2434,'Classificação'!B:B,'Classificação'!C:C),"")</f>
        <v>DESPESAS FIXAS (-)</v>
      </c>
      <c r="S2434" s="15">
        <f t="shared" si="131"/>
        <v>20</v>
      </c>
      <c r="T2434" s="15">
        <f t="shared" si="128"/>
        <v>2</v>
      </c>
      <c r="U2434" s="15">
        <f t="shared" si="129"/>
        <v>2026</v>
      </c>
      <c r="V2434" s="15">
        <f t="shared" si="8"/>
        <v>20</v>
      </c>
      <c r="W2434" s="15">
        <f t="shared" si="9"/>
        <v>2</v>
      </c>
      <c r="X2434" s="15">
        <f t="shared" si="10"/>
        <v>2026</v>
      </c>
    </row>
    <row r="2435">
      <c r="A2435" s="26">
        <v>46073.0</v>
      </c>
      <c r="B2435" s="28"/>
      <c r="C2435" s="27">
        <f t="shared" si="150"/>
        <v>46073</v>
      </c>
      <c r="D2435" s="28" t="s">
        <v>121</v>
      </c>
      <c r="E2435" s="11" t="s">
        <v>25</v>
      </c>
      <c r="F2435" s="28" t="s">
        <v>107</v>
      </c>
      <c r="G2435" s="28" t="s">
        <v>27</v>
      </c>
      <c r="H2435" s="28"/>
      <c r="I2435" s="38">
        <v>29.9</v>
      </c>
      <c r="J2435" s="34"/>
      <c r="K2435" s="37">
        <f t="shared" si="169"/>
        <v>29.9</v>
      </c>
      <c r="L2435" s="28" t="s">
        <v>29</v>
      </c>
      <c r="M2435" s="28"/>
      <c r="N2435" s="28" t="s">
        <v>105</v>
      </c>
      <c r="O2435" s="10" t="str">
        <f t="shared" si="79"/>
        <v>02/2026</v>
      </c>
      <c r="P2435" s="10" t="str">
        <f t="shared" si="121"/>
        <v>02/2026</v>
      </c>
      <c r="Q2435" s="15" t="str">
        <f t="array" ref="Q2435">IFERROR(XLOOKUP(N2435,'Classificação'!A:A,'Classificação'!B:B),"")</f>
        <v>DESPESAS ADMINISTRATIVAS</v>
      </c>
      <c r="R2435" s="15" t="str">
        <f t="array" ref="R2435">IFERROR(XLOOKUP(Q2435,'Classificação'!B:B,'Classificação'!C:C),"")</f>
        <v>DESPESAS FIXAS (-)</v>
      </c>
      <c r="S2435" s="15">
        <f t="shared" si="131"/>
        <v>20</v>
      </c>
      <c r="T2435" s="15">
        <f t="shared" si="128"/>
        <v>2</v>
      </c>
      <c r="U2435" s="15">
        <f t="shared" si="129"/>
        <v>2026</v>
      </c>
      <c r="V2435" s="15">
        <f t="shared" si="8"/>
        <v>20</v>
      </c>
      <c r="W2435" s="15">
        <f t="shared" si="9"/>
        <v>2</v>
      </c>
      <c r="X2435" s="15">
        <f t="shared" si="10"/>
        <v>2026</v>
      </c>
    </row>
    <row r="2436">
      <c r="A2436" s="26">
        <v>46073.0</v>
      </c>
      <c r="B2436" s="28"/>
      <c r="C2436" s="27">
        <f t="shared" si="150"/>
        <v>46073</v>
      </c>
      <c r="D2436" s="28" t="s">
        <v>104</v>
      </c>
      <c r="E2436" s="29" t="s">
        <v>25</v>
      </c>
      <c r="F2436" s="28" t="s">
        <v>40</v>
      </c>
      <c r="G2436" s="28" t="s">
        <v>27</v>
      </c>
      <c r="H2436" s="29" t="s">
        <v>1186</v>
      </c>
      <c r="I2436" s="37">
        <v>450.0</v>
      </c>
      <c r="J2436" s="34"/>
      <c r="K2436" s="37">
        <f t="shared" si="169"/>
        <v>450</v>
      </c>
      <c r="L2436" s="28" t="s">
        <v>29</v>
      </c>
      <c r="M2436" s="28"/>
      <c r="N2436" s="28" t="s">
        <v>105</v>
      </c>
      <c r="O2436" s="10" t="str">
        <f t="shared" si="79"/>
        <v>02/2026</v>
      </c>
      <c r="P2436" s="10" t="str">
        <f t="shared" si="121"/>
        <v>02/2026</v>
      </c>
      <c r="Q2436" s="15" t="str">
        <f t="array" ref="Q2436">IFERROR(XLOOKUP(N2436,'Classificação'!A:A,'Classificação'!B:B),"")</f>
        <v>DESPESAS ADMINISTRATIVAS</v>
      </c>
      <c r="R2436" s="15" t="str">
        <f t="array" ref="R2436">IFERROR(XLOOKUP(Q2436,'Classificação'!B:B,'Classificação'!C:C),"")</f>
        <v>DESPESAS FIXAS (-)</v>
      </c>
      <c r="S2436" s="15">
        <f t="shared" si="131"/>
        <v>20</v>
      </c>
      <c r="T2436" s="15">
        <f t="shared" si="128"/>
        <v>2</v>
      </c>
      <c r="U2436" s="15">
        <f t="shared" si="129"/>
        <v>2026</v>
      </c>
      <c r="V2436" s="15">
        <f t="shared" si="8"/>
        <v>20</v>
      </c>
      <c r="W2436" s="15">
        <f t="shared" si="9"/>
        <v>2</v>
      </c>
      <c r="X2436" s="15">
        <f t="shared" si="10"/>
        <v>2026</v>
      </c>
    </row>
    <row r="2437">
      <c r="A2437" s="9">
        <v>46073.0</v>
      </c>
      <c r="B2437" s="32">
        <v>45952.0</v>
      </c>
      <c r="C2437" s="9">
        <f t="shared" si="150"/>
        <v>46073</v>
      </c>
      <c r="D2437" s="11" t="s">
        <v>65</v>
      </c>
      <c r="E2437" s="11" t="s">
        <v>25</v>
      </c>
      <c r="F2437" s="11" t="s">
        <v>107</v>
      </c>
      <c r="G2437" s="28" t="s">
        <v>27</v>
      </c>
      <c r="H2437" s="11" t="s">
        <v>1068</v>
      </c>
      <c r="I2437" s="31">
        <v>114.18</v>
      </c>
      <c r="J2437" s="13"/>
      <c r="K2437" s="37">
        <f t="shared" si="169"/>
        <v>114.18</v>
      </c>
      <c r="L2437" s="11" t="s">
        <v>53</v>
      </c>
      <c r="M2437" s="17">
        <v>45751.0</v>
      </c>
      <c r="N2437" s="11" t="s">
        <v>95</v>
      </c>
      <c r="O2437" s="10" t="str">
        <f t="shared" si="79"/>
        <v>02/2026</v>
      </c>
      <c r="P2437" s="10" t="str">
        <f t="shared" si="121"/>
        <v>02/2026</v>
      </c>
      <c r="Q2437" s="15" t="str">
        <f t="array" ref="Q2437">IFERROR(XLOOKUP(N2437,'Classificação'!A:A,'Classificação'!B:B),"")</f>
        <v>DESPESAS NÃO OPERACIONAIS</v>
      </c>
      <c r="R2437" s="15" t="str">
        <f t="array" ref="R2437">IFERROR(XLOOKUP(Q2437,'Classificação'!B:B,'Classificação'!C:C),"")</f>
        <v>RESULTADO NÃO OPERACIONAL (+/-)</v>
      </c>
      <c r="S2437" s="15">
        <f t="shared" si="131"/>
        <v>20</v>
      </c>
      <c r="T2437" s="15">
        <f t="shared" si="128"/>
        <v>2</v>
      </c>
      <c r="U2437" s="15">
        <f t="shared" si="129"/>
        <v>2026</v>
      </c>
      <c r="V2437" s="15">
        <f t="shared" si="8"/>
        <v>20</v>
      </c>
      <c r="W2437" s="15">
        <f t="shared" si="9"/>
        <v>2</v>
      </c>
      <c r="X2437" s="15">
        <f t="shared" si="10"/>
        <v>2026</v>
      </c>
    </row>
    <row r="2438">
      <c r="A2438" s="9">
        <v>46073.0</v>
      </c>
      <c r="B2438" s="32">
        <v>46006.0</v>
      </c>
      <c r="C2438" s="9">
        <f t="shared" si="150"/>
        <v>46073</v>
      </c>
      <c r="D2438" s="11" t="s">
        <v>1085</v>
      </c>
      <c r="E2438" s="11" t="s">
        <v>25</v>
      </c>
      <c r="F2438" s="11" t="s">
        <v>107</v>
      </c>
      <c r="G2438" s="28" t="s">
        <v>27</v>
      </c>
      <c r="H2438" s="11" t="s">
        <v>1189</v>
      </c>
      <c r="I2438" s="31">
        <v>71.94</v>
      </c>
      <c r="J2438" s="13"/>
      <c r="K2438" s="13">
        <f t="shared" ref="K2438:K2449" si="170">if(E2438="pago",(I2438-J2438),"")</f>
        <v>71.94</v>
      </c>
      <c r="L2438" s="28" t="s">
        <v>53</v>
      </c>
      <c r="M2438" s="17">
        <v>45690.0</v>
      </c>
      <c r="N2438" s="11" t="s">
        <v>448</v>
      </c>
      <c r="O2438" s="10" t="str">
        <f t="shared" si="79"/>
        <v>02/2026</v>
      </c>
      <c r="P2438" s="10" t="str">
        <f t="shared" si="121"/>
        <v>02/2026</v>
      </c>
      <c r="Q2438" s="15" t="str">
        <f t="array" ref="Q2438">IFERROR(XLOOKUP(N2438,'Classificação'!A:A,'Classificação'!B:B),"")</f>
        <v>DESPESAS ADMINISTRATIVAS</v>
      </c>
      <c r="R2438" s="15" t="str">
        <f t="array" ref="R2438">IFERROR(XLOOKUP(Q2438,'Classificação'!B:B,'Classificação'!C:C),"")</f>
        <v>DESPESAS FIXAS (-)</v>
      </c>
      <c r="S2438" s="15">
        <f t="shared" si="131"/>
        <v>20</v>
      </c>
      <c r="T2438" s="15">
        <f t="shared" si="128"/>
        <v>2</v>
      </c>
      <c r="U2438" s="15">
        <f t="shared" si="129"/>
        <v>2026</v>
      </c>
      <c r="V2438" s="15">
        <f t="shared" si="8"/>
        <v>20</v>
      </c>
      <c r="W2438" s="15">
        <f t="shared" si="9"/>
        <v>2</v>
      </c>
      <c r="X2438" s="15">
        <f t="shared" si="10"/>
        <v>2026</v>
      </c>
    </row>
    <row r="2439">
      <c r="A2439" s="9">
        <v>46073.0</v>
      </c>
      <c r="B2439" s="32">
        <v>46008.0</v>
      </c>
      <c r="C2439" s="9">
        <f t="shared" si="150"/>
        <v>46073</v>
      </c>
      <c r="D2439" s="11" t="s">
        <v>1190</v>
      </c>
      <c r="E2439" s="11" t="s">
        <v>25</v>
      </c>
      <c r="F2439" s="11" t="s">
        <v>107</v>
      </c>
      <c r="G2439" s="28" t="s">
        <v>27</v>
      </c>
      <c r="H2439" s="11" t="s">
        <v>1191</v>
      </c>
      <c r="I2439" s="31">
        <v>245.0</v>
      </c>
      <c r="J2439" s="13"/>
      <c r="K2439" s="13">
        <f t="shared" si="170"/>
        <v>245</v>
      </c>
      <c r="L2439" s="28" t="s">
        <v>53</v>
      </c>
      <c r="M2439" s="17">
        <v>45718.0</v>
      </c>
      <c r="N2439" s="11" t="s">
        <v>392</v>
      </c>
      <c r="O2439" s="10" t="str">
        <f t="shared" si="79"/>
        <v>02/2026</v>
      </c>
      <c r="P2439" s="10" t="str">
        <f t="shared" si="121"/>
        <v>02/2026</v>
      </c>
      <c r="Q2439" s="15" t="str">
        <f t="array" ref="Q2439">IFERROR(XLOOKUP(N2439,'Classificação'!A:A,'Classificação'!B:B),"")</f>
        <v>DESPESAS COM OCUPAÇÃO</v>
      </c>
      <c r="R2439" s="15" t="str">
        <f t="array" ref="R2439">IFERROR(XLOOKUP(Q2439,'Classificação'!B:B,'Classificação'!C:C),"")</f>
        <v>DESPESAS FIXAS (-)</v>
      </c>
      <c r="S2439" s="15">
        <f t="shared" si="131"/>
        <v>20</v>
      </c>
      <c r="T2439" s="15">
        <f t="shared" si="128"/>
        <v>2</v>
      </c>
      <c r="U2439" s="15">
        <f t="shared" si="129"/>
        <v>2026</v>
      </c>
      <c r="V2439" s="15">
        <f t="shared" si="8"/>
        <v>20</v>
      </c>
      <c r="W2439" s="15">
        <f t="shared" si="9"/>
        <v>2</v>
      </c>
      <c r="X2439" s="15">
        <f t="shared" si="10"/>
        <v>2026</v>
      </c>
    </row>
    <row r="2440">
      <c r="A2440" s="9">
        <v>46073.0</v>
      </c>
      <c r="B2440" s="32">
        <v>46007.0</v>
      </c>
      <c r="C2440" s="9">
        <f t="shared" si="150"/>
        <v>46073</v>
      </c>
      <c r="D2440" s="11" t="s">
        <v>65</v>
      </c>
      <c r="E2440" s="11" t="s">
        <v>25</v>
      </c>
      <c r="F2440" s="11" t="s">
        <v>107</v>
      </c>
      <c r="G2440" s="28" t="s">
        <v>27</v>
      </c>
      <c r="H2440" s="11" t="s">
        <v>1192</v>
      </c>
      <c r="I2440" s="31">
        <v>391.78</v>
      </c>
      <c r="J2440" s="13"/>
      <c r="K2440" s="13">
        <f t="shared" si="170"/>
        <v>391.78</v>
      </c>
      <c r="L2440" s="11" t="s">
        <v>53</v>
      </c>
      <c r="M2440" s="17">
        <v>45718.0</v>
      </c>
      <c r="N2440" s="11" t="s">
        <v>64</v>
      </c>
      <c r="O2440" s="10" t="str">
        <f t="shared" si="79"/>
        <v>02/2026</v>
      </c>
      <c r="P2440" s="10" t="str">
        <f t="shared" si="121"/>
        <v>02/2026</v>
      </c>
      <c r="Q2440" s="15" t="str">
        <f t="array" ref="Q2440">IFERROR(XLOOKUP(N2440,'Classificação'!A:A,'Classificação'!B:B),"")</f>
        <v>DESPESAS COM PESSOAL</v>
      </c>
      <c r="R2440" s="15" t="str">
        <f t="array" ref="R2440">IFERROR(XLOOKUP(Q2440,'Classificação'!B:B,'Classificação'!C:C),"")</f>
        <v>DESPESAS FIXAS (-)</v>
      </c>
      <c r="S2440" s="15">
        <f t="shared" si="131"/>
        <v>20</v>
      </c>
      <c r="T2440" s="15">
        <f t="shared" si="128"/>
        <v>2</v>
      </c>
      <c r="U2440" s="15">
        <f t="shared" si="129"/>
        <v>2026</v>
      </c>
      <c r="V2440" s="15">
        <f t="shared" si="8"/>
        <v>20</v>
      </c>
      <c r="W2440" s="15">
        <f t="shared" si="9"/>
        <v>2</v>
      </c>
      <c r="X2440" s="15">
        <f t="shared" si="10"/>
        <v>2026</v>
      </c>
    </row>
    <row r="2441">
      <c r="A2441" s="9">
        <v>46073.0</v>
      </c>
      <c r="B2441" s="32">
        <v>46007.0</v>
      </c>
      <c r="C2441" s="9">
        <f t="shared" si="150"/>
        <v>46073</v>
      </c>
      <c r="D2441" s="11" t="s">
        <v>65</v>
      </c>
      <c r="E2441" s="11" t="s">
        <v>25</v>
      </c>
      <c r="F2441" s="11" t="s">
        <v>107</v>
      </c>
      <c r="G2441" s="28" t="s">
        <v>27</v>
      </c>
      <c r="H2441" s="11" t="s">
        <v>1192</v>
      </c>
      <c r="I2441" s="31">
        <v>134.75</v>
      </c>
      <c r="J2441" s="13"/>
      <c r="K2441" s="13">
        <f t="shared" si="170"/>
        <v>134.75</v>
      </c>
      <c r="L2441" s="11" t="s">
        <v>53</v>
      </c>
      <c r="M2441" s="17">
        <v>45749.0</v>
      </c>
      <c r="N2441" s="11" t="s">
        <v>64</v>
      </c>
      <c r="O2441" s="10" t="str">
        <f t="shared" si="79"/>
        <v>02/2026</v>
      </c>
      <c r="P2441" s="10" t="str">
        <f t="shared" si="121"/>
        <v>02/2026</v>
      </c>
      <c r="Q2441" s="15" t="str">
        <f t="array" ref="Q2441">IFERROR(XLOOKUP(N2441,'Classificação'!A:A,'Classificação'!B:B),"")</f>
        <v>DESPESAS COM PESSOAL</v>
      </c>
      <c r="R2441" s="15" t="str">
        <f t="array" ref="R2441">IFERROR(XLOOKUP(Q2441,'Classificação'!B:B,'Classificação'!C:C),"")</f>
        <v>DESPESAS FIXAS (-)</v>
      </c>
      <c r="S2441" s="15">
        <f t="shared" si="131"/>
        <v>20</v>
      </c>
      <c r="T2441" s="15">
        <f t="shared" si="128"/>
        <v>2</v>
      </c>
      <c r="U2441" s="15">
        <f t="shared" si="129"/>
        <v>2026</v>
      </c>
      <c r="V2441" s="15">
        <f t="shared" si="8"/>
        <v>20</v>
      </c>
      <c r="W2441" s="15">
        <f t="shared" si="9"/>
        <v>2</v>
      </c>
      <c r="X2441" s="15">
        <f t="shared" si="10"/>
        <v>2026</v>
      </c>
    </row>
    <row r="2442">
      <c r="A2442" s="9">
        <v>46073.0</v>
      </c>
      <c r="B2442" s="9">
        <v>46039.0</v>
      </c>
      <c r="C2442" s="9">
        <f t="shared" si="150"/>
        <v>46073</v>
      </c>
      <c r="D2442" s="11" t="s">
        <v>1181</v>
      </c>
      <c r="E2442" s="11" t="s">
        <v>25</v>
      </c>
      <c r="F2442" s="11" t="s">
        <v>107</v>
      </c>
      <c r="G2442" s="28" t="s">
        <v>27</v>
      </c>
      <c r="H2442" s="11" t="s">
        <v>1182</v>
      </c>
      <c r="I2442" s="31">
        <v>40.06</v>
      </c>
      <c r="J2442" s="13"/>
      <c r="K2442" s="13">
        <f t="shared" si="170"/>
        <v>40.06</v>
      </c>
      <c r="L2442" s="11" t="s">
        <v>29</v>
      </c>
      <c r="M2442" s="14"/>
      <c r="N2442" s="11" t="s">
        <v>105</v>
      </c>
      <c r="O2442" s="10" t="str">
        <f t="shared" si="79"/>
        <v>02/2026</v>
      </c>
      <c r="P2442" s="10" t="str">
        <f t="shared" si="121"/>
        <v>02/2026</v>
      </c>
      <c r="Q2442" s="15" t="str">
        <f t="array" ref="Q2442">IFERROR(XLOOKUP(N2442,'Classificação'!A:A,'Classificação'!B:B),"")</f>
        <v>DESPESAS ADMINISTRATIVAS</v>
      </c>
      <c r="R2442" s="15" t="str">
        <f t="array" ref="R2442">IFERROR(XLOOKUP(Q2442,'Classificação'!B:B,'Classificação'!C:C),"")</f>
        <v>DESPESAS FIXAS (-)</v>
      </c>
      <c r="S2442" s="15">
        <f t="shared" si="131"/>
        <v>20</v>
      </c>
      <c r="T2442" s="15">
        <f t="shared" si="128"/>
        <v>2</v>
      </c>
      <c r="U2442" s="15">
        <f t="shared" si="129"/>
        <v>2026</v>
      </c>
      <c r="V2442" s="15">
        <f t="shared" si="8"/>
        <v>20</v>
      </c>
      <c r="W2442" s="15">
        <f t="shared" si="9"/>
        <v>2</v>
      </c>
      <c r="X2442" s="15">
        <f t="shared" si="10"/>
        <v>2026</v>
      </c>
    </row>
    <row r="2443">
      <c r="A2443" s="9">
        <v>46073.0</v>
      </c>
      <c r="B2443" s="32">
        <v>46010.0</v>
      </c>
      <c r="C2443" s="9">
        <f t="shared" si="150"/>
        <v>46073</v>
      </c>
      <c r="D2443" s="29" t="s">
        <v>1193</v>
      </c>
      <c r="E2443" s="11" t="s">
        <v>25</v>
      </c>
      <c r="F2443" s="11" t="s">
        <v>107</v>
      </c>
      <c r="G2443" s="28" t="s">
        <v>27</v>
      </c>
      <c r="H2443" s="11" t="s">
        <v>1194</v>
      </c>
      <c r="I2443" s="31">
        <v>246.66</v>
      </c>
      <c r="J2443" s="13"/>
      <c r="K2443" s="13">
        <f t="shared" si="170"/>
        <v>246.66</v>
      </c>
      <c r="L2443" s="28" t="s">
        <v>53</v>
      </c>
      <c r="M2443" s="17">
        <v>45810.0</v>
      </c>
      <c r="N2443" s="11" t="s">
        <v>95</v>
      </c>
      <c r="O2443" s="10" t="str">
        <f t="shared" si="79"/>
        <v>02/2026</v>
      </c>
      <c r="P2443" s="10" t="str">
        <f t="shared" si="121"/>
        <v>02/2026</v>
      </c>
      <c r="Q2443" s="15" t="str">
        <f t="array" ref="Q2443">IFERROR(XLOOKUP(N2443,'Classificação'!A:A,'Classificação'!B:B),"")</f>
        <v>DESPESAS NÃO OPERACIONAIS</v>
      </c>
      <c r="R2443" s="15" t="str">
        <f t="array" ref="R2443">IFERROR(XLOOKUP(Q2443,'Classificação'!B:B,'Classificação'!C:C),"")</f>
        <v>RESULTADO NÃO OPERACIONAL (+/-)</v>
      </c>
      <c r="S2443" s="15">
        <f t="shared" si="131"/>
        <v>20</v>
      </c>
      <c r="T2443" s="15">
        <f t="shared" si="128"/>
        <v>2</v>
      </c>
      <c r="U2443" s="15">
        <f t="shared" si="129"/>
        <v>2026</v>
      </c>
      <c r="V2443" s="15">
        <f t="shared" si="8"/>
        <v>20</v>
      </c>
      <c r="W2443" s="15">
        <f t="shared" si="9"/>
        <v>2</v>
      </c>
      <c r="X2443" s="15">
        <f t="shared" si="10"/>
        <v>2026</v>
      </c>
    </row>
    <row r="2444">
      <c r="A2444" s="9">
        <v>46073.0</v>
      </c>
      <c r="B2444" s="9">
        <v>46024.0</v>
      </c>
      <c r="C2444" s="9">
        <f t="shared" si="150"/>
        <v>46073</v>
      </c>
      <c r="D2444" s="29" t="s">
        <v>1195</v>
      </c>
      <c r="E2444" s="11" t="s">
        <v>25</v>
      </c>
      <c r="F2444" s="11" t="s">
        <v>107</v>
      </c>
      <c r="G2444" s="28" t="s">
        <v>27</v>
      </c>
      <c r="H2444" s="11" t="s">
        <v>1196</v>
      </c>
      <c r="I2444" s="31">
        <v>283.71</v>
      </c>
      <c r="J2444" s="13"/>
      <c r="K2444" s="13">
        <f t="shared" si="170"/>
        <v>283.71</v>
      </c>
      <c r="L2444" s="28" t="s">
        <v>53</v>
      </c>
      <c r="M2444" s="17">
        <v>46083.0</v>
      </c>
      <c r="N2444" s="11" t="s">
        <v>392</v>
      </c>
      <c r="O2444" s="10" t="str">
        <f t="shared" si="79"/>
        <v>02/2026</v>
      </c>
      <c r="P2444" s="10" t="str">
        <f t="shared" si="121"/>
        <v>02/2026</v>
      </c>
      <c r="Q2444" s="15" t="str">
        <f t="array" ref="Q2444">IFERROR(XLOOKUP(N2444,'Classificação'!A:A,'Classificação'!B:B),"")</f>
        <v>DESPESAS COM OCUPAÇÃO</v>
      </c>
      <c r="R2444" s="15" t="str">
        <f t="array" ref="R2444">IFERROR(XLOOKUP(Q2444,'Classificação'!B:B,'Classificação'!C:C),"")</f>
        <v>DESPESAS FIXAS (-)</v>
      </c>
      <c r="S2444" s="15">
        <f t="shared" si="131"/>
        <v>20</v>
      </c>
      <c r="T2444" s="15">
        <f t="shared" si="128"/>
        <v>2</v>
      </c>
      <c r="U2444" s="15">
        <f t="shared" si="129"/>
        <v>2026</v>
      </c>
      <c r="V2444" s="15">
        <f t="shared" si="8"/>
        <v>20</v>
      </c>
      <c r="W2444" s="15">
        <f t="shared" si="9"/>
        <v>2</v>
      </c>
      <c r="X2444" s="15">
        <f t="shared" si="10"/>
        <v>2026</v>
      </c>
    </row>
    <row r="2445">
      <c r="A2445" s="9">
        <v>46073.0</v>
      </c>
      <c r="B2445" s="32">
        <v>46014.0</v>
      </c>
      <c r="C2445" s="9">
        <f t="shared" si="150"/>
        <v>46073</v>
      </c>
      <c r="D2445" s="11" t="s">
        <v>65</v>
      </c>
      <c r="E2445" s="11" t="s">
        <v>25</v>
      </c>
      <c r="F2445" s="11" t="s">
        <v>107</v>
      </c>
      <c r="G2445" s="11" t="s">
        <v>27</v>
      </c>
      <c r="H2445" s="11" t="s">
        <v>1197</v>
      </c>
      <c r="I2445" s="31">
        <v>119.38</v>
      </c>
      <c r="J2445" s="13"/>
      <c r="K2445" s="13">
        <f t="shared" si="170"/>
        <v>119.38</v>
      </c>
      <c r="L2445" s="11" t="s">
        <v>53</v>
      </c>
      <c r="M2445" s="17">
        <v>46144.0</v>
      </c>
      <c r="N2445" s="11" t="s">
        <v>95</v>
      </c>
      <c r="O2445" s="10" t="str">
        <f t="shared" si="79"/>
        <v>02/2026</v>
      </c>
      <c r="P2445" s="10" t="str">
        <f t="shared" si="121"/>
        <v>02/2026</v>
      </c>
      <c r="Q2445" s="15" t="str">
        <f t="array" ref="Q2445">IFERROR(XLOOKUP(N2445,'Classificação'!A:A,'Classificação'!B:B),"")</f>
        <v>DESPESAS NÃO OPERACIONAIS</v>
      </c>
      <c r="R2445" s="15" t="str">
        <f t="array" ref="R2445">IFERROR(XLOOKUP(Q2445,'Classificação'!B:B,'Classificação'!C:C),"")</f>
        <v>RESULTADO NÃO OPERACIONAL (+/-)</v>
      </c>
      <c r="S2445" s="15">
        <f t="shared" si="131"/>
        <v>20</v>
      </c>
      <c r="T2445" s="15">
        <f t="shared" si="128"/>
        <v>2</v>
      </c>
      <c r="U2445" s="15">
        <f t="shared" si="129"/>
        <v>2026</v>
      </c>
      <c r="V2445" s="15">
        <f t="shared" si="8"/>
        <v>20</v>
      </c>
      <c r="W2445" s="15">
        <f t="shared" si="9"/>
        <v>2</v>
      </c>
      <c r="X2445" s="15">
        <f t="shared" si="10"/>
        <v>2026</v>
      </c>
    </row>
    <row r="2446">
      <c r="A2446" s="9">
        <v>46073.0</v>
      </c>
      <c r="B2446" s="32">
        <v>46382.0</v>
      </c>
      <c r="C2446" s="9">
        <f t="shared" si="150"/>
        <v>46073</v>
      </c>
      <c r="D2446" s="11" t="s">
        <v>65</v>
      </c>
      <c r="E2446" s="11" t="s">
        <v>25</v>
      </c>
      <c r="F2446" s="11" t="s">
        <v>107</v>
      </c>
      <c r="G2446" s="11" t="s">
        <v>27</v>
      </c>
      <c r="H2446" s="11" t="s">
        <v>1198</v>
      </c>
      <c r="I2446" s="31">
        <v>146.81</v>
      </c>
      <c r="J2446" s="13"/>
      <c r="K2446" s="13">
        <f t="shared" si="170"/>
        <v>146.81</v>
      </c>
      <c r="L2446" s="11" t="s">
        <v>53</v>
      </c>
      <c r="M2446" s="17">
        <v>46083.0</v>
      </c>
      <c r="N2446" s="11" t="s">
        <v>95</v>
      </c>
      <c r="O2446" s="10" t="str">
        <f t="shared" si="79"/>
        <v>02/2026</v>
      </c>
      <c r="P2446" s="10" t="str">
        <f t="shared" si="121"/>
        <v>02/2026</v>
      </c>
      <c r="Q2446" s="15" t="str">
        <f t="array" ref="Q2446">IFERROR(XLOOKUP(N2446,'Classificação'!A:A,'Classificação'!B:B),"")</f>
        <v>DESPESAS NÃO OPERACIONAIS</v>
      </c>
      <c r="R2446" s="15" t="str">
        <f t="array" ref="R2446">IFERROR(XLOOKUP(Q2446,'Classificação'!B:B,'Classificação'!C:C),"")</f>
        <v>RESULTADO NÃO OPERACIONAL (+/-)</v>
      </c>
      <c r="S2446" s="15">
        <f t="shared" si="131"/>
        <v>20</v>
      </c>
      <c r="T2446" s="15">
        <f t="shared" si="128"/>
        <v>2</v>
      </c>
      <c r="U2446" s="15">
        <f t="shared" si="129"/>
        <v>2026</v>
      </c>
      <c r="V2446" s="15">
        <f t="shared" si="8"/>
        <v>20</v>
      </c>
      <c r="W2446" s="15">
        <f t="shared" si="9"/>
        <v>2</v>
      </c>
      <c r="X2446" s="15">
        <f t="shared" si="10"/>
        <v>2026</v>
      </c>
    </row>
    <row r="2447">
      <c r="A2447" s="9">
        <v>46073.0</v>
      </c>
      <c r="B2447" s="9">
        <v>46035.0</v>
      </c>
      <c r="C2447" s="9">
        <f t="shared" si="150"/>
        <v>46073</v>
      </c>
      <c r="D2447" s="11" t="s">
        <v>1243</v>
      </c>
      <c r="E2447" s="11" t="s">
        <v>25</v>
      </c>
      <c r="F2447" s="11" t="s">
        <v>107</v>
      </c>
      <c r="G2447" s="28" t="s">
        <v>27</v>
      </c>
      <c r="H2447" s="11" t="s">
        <v>1244</v>
      </c>
      <c r="I2447" s="31">
        <v>220.0</v>
      </c>
      <c r="J2447" s="13"/>
      <c r="K2447" s="13">
        <f t="shared" si="170"/>
        <v>220</v>
      </c>
      <c r="L2447" s="28" t="s">
        <v>53</v>
      </c>
      <c r="M2447" s="17">
        <v>46082.0</v>
      </c>
      <c r="N2447" s="11" t="s">
        <v>347</v>
      </c>
      <c r="O2447" s="10" t="str">
        <f t="shared" si="79"/>
        <v>02/2026</v>
      </c>
      <c r="P2447" s="10" t="str">
        <f t="shared" si="121"/>
        <v>02/2026</v>
      </c>
      <c r="Q2447" s="15" t="str">
        <f t="array" ref="Q2447">IFERROR(XLOOKUP(N2447,'Classificação'!A:A,'Classificação'!B:B),"")</f>
        <v>DESPESAS ADMINISTRATIVAS</v>
      </c>
      <c r="R2447" s="15" t="str">
        <f t="array" ref="R2447">IFERROR(XLOOKUP(Q2447,'Classificação'!B:B,'Classificação'!C:C),"")</f>
        <v>DESPESAS FIXAS (-)</v>
      </c>
      <c r="S2447" s="15">
        <f t="shared" si="131"/>
        <v>20</v>
      </c>
      <c r="T2447" s="15">
        <f t="shared" si="128"/>
        <v>2</v>
      </c>
      <c r="U2447" s="15">
        <f t="shared" si="129"/>
        <v>2026</v>
      </c>
      <c r="V2447" s="15">
        <f t="shared" si="8"/>
        <v>20</v>
      </c>
      <c r="W2447" s="15">
        <f t="shared" si="9"/>
        <v>2</v>
      </c>
      <c r="X2447" s="15">
        <f t="shared" si="10"/>
        <v>2026</v>
      </c>
    </row>
    <row r="2448">
      <c r="A2448" s="9">
        <v>46073.0</v>
      </c>
      <c r="B2448" s="9">
        <v>46037.0</v>
      </c>
      <c r="C2448" s="9">
        <f t="shared" si="150"/>
        <v>46073</v>
      </c>
      <c r="D2448" s="11" t="s">
        <v>345</v>
      </c>
      <c r="E2448" s="11" t="s">
        <v>25</v>
      </c>
      <c r="F2448" s="11" t="s">
        <v>107</v>
      </c>
      <c r="G2448" s="11" t="s">
        <v>27</v>
      </c>
      <c r="H2448" s="11" t="s">
        <v>1245</v>
      </c>
      <c r="I2448" s="31">
        <v>45.0</v>
      </c>
      <c r="J2448" s="13"/>
      <c r="K2448" s="13">
        <f t="shared" si="170"/>
        <v>45</v>
      </c>
      <c r="L2448" s="11" t="s">
        <v>34</v>
      </c>
      <c r="M2448" s="14"/>
      <c r="N2448" s="11" t="s">
        <v>392</v>
      </c>
      <c r="O2448" s="10" t="str">
        <f t="shared" si="79"/>
        <v>02/2026</v>
      </c>
      <c r="P2448" s="10" t="str">
        <f t="shared" si="121"/>
        <v>02/2026</v>
      </c>
      <c r="Q2448" s="15" t="str">
        <f t="array" ref="Q2448">IFERROR(XLOOKUP(N2448,'Classificação'!A:A,'Classificação'!B:B),"")</f>
        <v>DESPESAS COM OCUPAÇÃO</v>
      </c>
      <c r="R2448" s="15" t="str">
        <f t="array" ref="R2448">IFERROR(XLOOKUP(Q2448,'Classificação'!B:B,'Classificação'!C:C),"")</f>
        <v>DESPESAS FIXAS (-)</v>
      </c>
      <c r="S2448" s="15">
        <f t="shared" si="131"/>
        <v>20</v>
      </c>
      <c r="T2448" s="15">
        <f t="shared" si="128"/>
        <v>2</v>
      </c>
      <c r="U2448" s="15">
        <f t="shared" si="129"/>
        <v>2026</v>
      </c>
      <c r="V2448" s="15">
        <f t="shared" si="8"/>
        <v>20</v>
      </c>
      <c r="W2448" s="15">
        <f t="shared" si="9"/>
        <v>2</v>
      </c>
      <c r="X2448" s="15">
        <f t="shared" si="10"/>
        <v>2026</v>
      </c>
    </row>
    <row r="2449">
      <c r="A2449" s="9">
        <v>46073.0</v>
      </c>
      <c r="B2449" s="9">
        <v>46038.0</v>
      </c>
      <c r="C2449" s="9">
        <f t="shared" si="150"/>
        <v>46073</v>
      </c>
      <c r="D2449" s="11" t="s">
        <v>114</v>
      </c>
      <c r="E2449" s="11" t="s">
        <v>25</v>
      </c>
      <c r="F2449" s="11" t="s">
        <v>107</v>
      </c>
      <c r="G2449" s="11" t="s">
        <v>27</v>
      </c>
      <c r="H2449" s="11" t="s">
        <v>1246</v>
      </c>
      <c r="I2449" s="31">
        <v>98.36</v>
      </c>
      <c r="J2449" s="13"/>
      <c r="K2449" s="13">
        <f t="shared" si="170"/>
        <v>98.36</v>
      </c>
      <c r="L2449" s="11" t="s">
        <v>34</v>
      </c>
      <c r="M2449" s="14"/>
      <c r="N2449" s="11" t="s">
        <v>136</v>
      </c>
      <c r="O2449" s="10" t="str">
        <f t="shared" si="79"/>
        <v>02/2026</v>
      </c>
      <c r="P2449" s="10" t="str">
        <f t="shared" si="121"/>
        <v>02/2026</v>
      </c>
      <c r="Q2449" s="15" t="str">
        <f t="array" ref="Q2449">IFERROR(XLOOKUP(N2449,'Classificação'!A:A,'Classificação'!B:B),"")</f>
        <v>DESPESAS COM OCUPAÇÃO</v>
      </c>
      <c r="R2449" s="15" t="str">
        <f t="array" ref="R2449">IFERROR(XLOOKUP(Q2449,'Classificação'!B:B,'Classificação'!C:C),"")</f>
        <v>DESPESAS FIXAS (-)</v>
      </c>
      <c r="S2449" s="15">
        <f t="shared" si="131"/>
        <v>20</v>
      </c>
      <c r="T2449" s="15">
        <f t="shared" si="128"/>
        <v>2</v>
      </c>
      <c r="U2449" s="15">
        <f t="shared" si="129"/>
        <v>2026</v>
      </c>
      <c r="V2449" s="15">
        <f t="shared" si="8"/>
        <v>20</v>
      </c>
      <c r="W2449" s="15">
        <f t="shared" si="9"/>
        <v>2</v>
      </c>
      <c r="X2449" s="15">
        <f t="shared" si="10"/>
        <v>2026</v>
      </c>
    </row>
    <row r="2450">
      <c r="A2450" s="27">
        <v>46073.0</v>
      </c>
      <c r="B2450" s="28"/>
      <c r="C2450" s="27">
        <f t="shared" si="150"/>
        <v>46073</v>
      </c>
      <c r="D2450" s="28" t="s">
        <v>126</v>
      </c>
      <c r="E2450" s="29" t="s">
        <v>25</v>
      </c>
      <c r="F2450" s="28" t="s">
        <v>40</v>
      </c>
      <c r="G2450" s="29" t="s">
        <v>37</v>
      </c>
      <c r="H2450" s="29" t="s">
        <v>1210</v>
      </c>
      <c r="I2450" s="24">
        <v>200.68</v>
      </c>
      <c r="J2450" s="34"/>
      <c r="K2450" s="37">
        <f>IF(E2450="pago",(I2450-J2450),"")</f>
        <v>200.68</v>
      </c>
      <c r="L2450" s="28" t="s">
        <v>29</v>
      </c>
      <c r="M2450" s="28"/>
      <c r="N2450" s="28" t="s">
        <v>126</v>
      </c>
      <c r="O2450" s="10" t="str">
        <f t="shared" si="79"/>
        <v>02/2026</v>
      </c>
      <c r="P2450" s="10" t="str">
        <f t="shared" si="121"/>
        <v>02/2026</v>
      </c>
      <c r="Q2450" s="15" t="str">
        <f t="array" ref="Q2450">IFERROR(XLOOKUP(N2450,'Classificação'!A:A,'Classificação'!B:B),"")</f>
        <v>DESPESAS COM PESSOAL</v>
      </c>
      <c r="R2450" s="15" t="str">
        <f t="array" ref="R2450">IFERROR(XLOOKUP(Q2450,'Classificação'!B:B,'Classificação'!C:C),"")</f>
        <v>DESPESAS FIXAS (-)</v>
      </c>
      <c r="S2450" s="15">
        <f t="shared" si="131"/>
        <v>20</v>
      </c>
      <c r="T2450" s="15">
        <f t="shared" si="128"/>
        <v>2</v>
      </c>
      <c r="U2450" s="15">
        <f t="shared" si="129"/>
        <v>2026</v>
      </c>
      <c r="V2450" s="15">
        <f t="shared" si="8"/>
        <v>20</v>
      </c>
      <c r="W2450" s="15">
        <f t="shared" si="9"/>
        <v>2</v>
      </c>
      <c r="X2450" s="15">
        <f t="shared" si="10"/>
        <v>2026</v>
      </c>
    </row>
    <row r="2451">
      <c r="A2451" s="9">
        <v>46073.0</v>
      </c>
      <c r="B2451" s="9"/>
      <c r="C2451" s="9">
        <f t="shared" si="150"/>
        <v>46073</v>
      </c>
      <c r="D2451" s="28" t="s">
        <v>369</v>
      </c>
      <c r="E2451" s="11" t="s">
        <v>25</v>
      </c>
      <c r="F2451" s="28" t="s">
        <v>107</v>
      </c>
      <c r="G2451" s="28" t="s">
        <v>27</v>
      </c>
      <c r="H2451" s="11" t="s">
        <v>1247</v>
      </c>
      <c r="I2451" s="38">
        <v>29.9</v>
      </c>
      <c r="J2451" s="13"/>
      <c r="K2451" s="13">
        <f t="shared" ref="K2451:K2464" si="171">if(E2451="pago",(I2451-J2451),"")</f>
        <v>29.9</v>
      </c>
      <c r="L2451" s="29" t="s">
        <v>29</v>
      </c>
      <c r="M2451" s="14"/>
      <c r="N2451" s="29" t="s">
        <v>105</v>
      </c>
      <c r="O2451" s="10" t="str">
        <f t="shared" si="79"/>
        <v>02/2026</v>
      </c>
      <c r="P2451" s="10" t="str">
        <f t="shared" si="121"/>
        <v>02/2026</v>
      </c>
      <c r="Q2451" s="15" t="str">
        <f t="array" ref="Q2451">IFERROR(XLOOKUP(N2451,'Classificação'!A:A,'Classificação'!B:B),"")</f>
        <v>DESPESAS ADMINISTRATIVAS</v>
      </c>
      <c r="R2451" s="15" t="str">
        <f t="array" ref="R2451">IFERROR(XLOOKUP(Q2451,'Classificação'!B:B,'Classificação'!C:C),"")</f>
        <v>DESPESAS FIXAS (-)</v>
      </c>
      <c r="S2451" s="15">
        <f t="shared" si="131"/>
        <v>20</v>
      </c>
      <c r="T2451" s="15">
        <f t="shared" si="128"/>
        <v>2</v>
      </c>
      <c r="U2451" s="15">
        <f t="shared" si="129"/>
        <v>2026</v>
      </c>
      <c r="V2451" s="15">
        <f t="shared" si="8"/>
        <v>20</v>
      </c>
      <c r="W2451" s="15">
        <f t="shared" si="9"/>
        <v>2</v>
      </c>
      <c r="X2451" s="15">
        <f t="shared" si="10"/>
        <v>2026</v>
      </c>
    </row>
    <row r="2452">
      <c r="A2452" s="9">
        <v>46073.0</v>
      </c>
      <c r="B2452" s="32">
        <v>46009.0</v>
      </c>
      <c r="C2452" s="9">
        <f t="shared" ref="C2452:C2455" si="172">IF(E2453="pago",A2452,"")</f>
        <v>46073</v>
      </c>
      <c r="D2452" s="11" t="s">
        <v>1213</v>
      </c>
      <c r="E2452" s="11" t="s">
        <v>25</v>
      </c>
      <c r="F2452" s="11" t="s">
        <v>107</v>
      </c>
      <c r="G2452" s="28" t="s">
        <v>27</v>
      </c>
      <c r="H2452" s="11" t="s">
        <v>1214</v>
      </c>
      <c r="I2452" s="31">
        <v>105.43</v>
      </c>
      <c r="J2452" s="13"/>
      <c r="K2452" s="13">
        <f t="shared" si="171"/>
        <v>105.43</v>
      </c>
      <c r="L2452" s="11" t="s">
        <v>53</v>
      </c>
      <c r="M2452" s="17">
        <v>46144.0</v>
      </c>
      <c r="N2452" s="11" t="s">
        <v>95</v>
      </c>
      <c r="O2452" s="10" t="str">
        <f t="shared" si="79"/>
        <v>02/2026</v>
      </c>
      <c r="P2452" s="10" t="str">
        <f t="shared" si="121"/>
        <v>02/2026</v>
      </c>
      <c r="Q2452" s="15" t="str">
        <f t="array" ref="Q2452">IFERROR(XLOOKUP(N2452,'Classificação'!A:A,'Classificação'!B:B),"")</f>
        <v>DESPESAS NÃO OPERACIONAIS</v>
      </c>
      <c r="R2452" s="15" t="str">
        <f t="array" ref="R2452">IFERROR(XLOOKUP(Q2452,'Classificação'!B:B,'Classificação'!C:C),"")</f>
        <v>RESULTADO NÃO OPERACIONAL (+/-)</v>
      </c>
      <c r="S2452" s="15">
        <f t="shared" si="131"/>
        <v>20</v>
      </c>
      <c r="T2452" s="15">
        <f t="shared" si="128"/>
        <v>2</v>
      </c>
      <c r="U2452" s="15">
        <f t="shared" si="129"/>
        <v>2026</v>
      </c>
      <c r="V2452" s="15">
        <f t="shared" si="8"/>
        <v>20</v>
      </c>
      <c r="W2452" s="15">
        <f t="shared" si="9"/>
        <v>2</v>
      </c>
      <c r="X2452" s="15">
        <f t="shared" si="10"/>
        <v>2026</v>
      </c>
    </row>
    <row r="2453">
      <c r="A2453" s="9">
        <v>46073.0</v>
      </c>
      <c r="B2453" s="32">
        <v>46014.0</v>
      </c>
      <c r="C2453" s="9">
        <f t="shared" si="172"/>
        <v>46073</v>
      </c>
      <c r="D2453" s="11" t="s">
        <v>1215</v>
      </c>
      <c r="E2453" s="11" t="s">
        <v>25</v>
      </c>
      <c r="F2453" s="11" t="s">
        <v>107</v>
      </c>
      <c r="G2453" s="28" t="s">
        <v>27</v>
      </c>
      <c r="H2453" s="11" t="s">
        <v>1216</v>
      </c>
      <c r="I2453" s="31">
        <v>146.66</v>
      </c>
      <c r="J2453" s="13"/>
      <c r="K2453" s="13">
        <f t="shared" si="171"/>
        <v>146.66</v>
      </c>
      <c r="L2453" s="11" t="s">
        <v>53</v>
      </c>
      <c r="M2453" s="17">
        <v>46083.0</v>
      </c>
      <c r="N2453" s="11" t="s">
        <v>394</v>
      </c>
      <c r="O2453" s="10" t="str">
        <f t="shared" si="79"/>
        <v>02/2026</v>
      </c>
      <c r="P2453" s="10" t="str">
        <f t="shared" si="121"/>
        <v>02/2026</v>
      </c>
      <c r="Q2453" s="15" t="str">
        <f t="array" ref="Q2453">IFERROR(XLOOKUP(N2453,'Classificação'!A:A,'Classificação'!B:B),"")</f>
        <v>DESPESAS NÃO OPERACIONAIS</v>
      </c>
      <c r="R2453" s="15" t="str">
        <f t="array" ref="R2453">IFERROR(XLOOKUP(Q2453,'Classificação'!B:B,'Classificação'!C:C),"")</f>
        <v>RESULTADO NÃO OPERACIONAL (+/-)</v>
      </c>
      <c r="S2453" s="15">
        <f t="shared" si="131"/>
        <v>20</v>
      </c>
      <c r="T2453" s="15">
        <f t="shared" si="128"/>
        <v>2</v>
      </c>
      <c r="U2453" s="15">
        <f t="shared" si="129"/>
        <v>2026</v>
      </c>
      <c r="V2453" s="15">
        <f t="shared" si="8"/>
        <v>20</v>
      </c>
      <c r="W2453" s="15">
        <f t="shared" si="9"/>
        <v>2</v>
      </c>
      <c r="X2453" s="15">
        <f t="shared" si="10"/>
        <v>2026</v>
      </c>
    </row>
    <row r="2454">
      <c r="A2454" s="9">
        <v>46073.0</v>
      </c>
      <c r="B2454" s="9">
        <v>46043.0</v>
      </c>
      <c r="C2454" s="9">
        <f t="shared" si="172"/>
        <v>46073</v>
      </c>
      <c r="D2454" s="11" t="s">
        <v>65</v>
      </c>
      <c r="E2454" s="11" t="s">
        <v>25</v>
      </c>
      <c r="F2454" s="11" t="s">
        <v>107</v>
      </c>
      <c r="G2454" s="28" t="s">
        <v>27</v>
      </c>
      <c r="H2454" s="11" t="s">
        <v>1248</v>
      </c>
      <c r="I2454" s="31">
        <v>274.0</v>
      </c>
      <c r="J2454" s="13"/>
      <c r="K2454" s="13">
        <f t="shared" si="171"/>
        <v>274</v>
      </c>
      <c r="L2454" s="28" t="s">
        <v>53</v>
      </c>
      <c r="M2454" s="17">
        <v>46082.0</v>
      </c>
      <c r="N2454" s="11" t="s">
        <v>143</v>
      </c>
      <c r="O2454" s="10" t="str">
        <f t="shared" si="79"/>
        <v>02/2026</v>
      </c>
      <c r="P2454" s="10" t="str">
        <f t="shared" si="121"/>
        <v>02/2026</v>
      </c>
      <c r="Q2454" s="15" t="str">
        <f t="array" ref="Q2454">IFERROR(XLOOKUP(N2454,'Classificação'!A:A,'Classificação'!B:B),"")</f>
        <v>EMBALAGENS/FITAS/GERAL</v>
      </c>
      <c r="R2454" s="15" t="str">
        <f t="array" ref="R2454">IFERROR(XLOOKUP(Q2454,'Classificação'!B:B,'Classificação'!C:C),"")</f>
        <v>CUSTOS VARIÁVEIS</v>
      </c>
      <c r="S2454" s="15">
        <f t="shared" si="131"/>
        <v>20</v>
      </c>
      <c r="T2454" s="15">
        <f t="shared" si="128"/>
        <v>2</v>
      </c>
      <c r="U2454" s="15">
        <f t="shared" si="129"/>
        <v>2026</v>
      </c>
      <c r="V2454" s="15">
        <f t="shared" si="8"/>
        <v>20</v>
      </c>
      <c r="W2454" s="15">
        <f t="shared" si="9"/>
        <v>2</v>
      </c>
      <c r="X2454" s="15">
        <f t="shared" si="10"/>
        <v>2026</v>
      </c>
    </row>
    <row r="2455">
      <c r="A2455" s="9">
        <v>46073.0</v>
      </c>
      <c r="B2455" s="9">
        <v>46043.0</v>
      </c>
      <c r="C2455" s="9">
        <f t="shared" si="172"/>
        <v>46073</v>
      </c>
      <c r="D2455" s="11" t="s">
        <v>65</v>
      </c>
      <c r="E2455" s="11" t="s">
        <v>25</v>
      </c>
      <c r="F2455" s="11" t="s">
        <v>107</v>
      </c>
      <c r="G2455" s="28" t="s">
        <v>27</v>
      </c>
      <c r="H2455" s="11" t="s">
        <v>1248</v>
      </c>
      <c r="I2455" s="31">
        <v>231.33</v>
      </c>
      <c r="J2455" s="13"/>
      <c r="K2455" s="13">
        <f t="shared" si="171"/>
        <v>231.33</v>
      </c>
      <c r="L2455" s="28" t="s">
        <v>53</v>
      </c>
      <c r="M2455" s="17">
        <v>46082.0</v>
      </c>
      <c r="N2455" s="11" t="s">
        <v>143</v>
      </c>
      <c r="O2455" s="10" t="str">
        <f t="shared" si="79"/>
        <v>02/2026</v>
      </c>
      <c r="P2455" s="10" t="str">
        <f t="shared" si="121"/>
        <v>02/2026</v>
      </c>
      <c r="Q2455" s="15" t="str">
        <f t="array" ref="Q2455">IFERROR(XLOOKUP(N2455,'Classificação'!A:A,'Classificação'!B:B),"")</f>
        <v>EMBALAGENS/FITAS/GERAL</v>
      </c>
      <c r="R2455" s="15" t="str">
        <f t="array" ref="R2455">IFERROR(XLOOKUP(Q2455,'Classificação'!B:B,'Classificação'!C:C),"")</f>
        <v>CUSTOS VARIÁVEIS</v>
      </c>
      <c r="S2455" s="15">
        <f t="shared" si="131"/>
        <v>20</v>
      </c>
      <c r="T2455" s="15">
        <f t="shared" si="128"/>
        <v>2</v>
      </c>
      <c r="U2455" s="15">
        <f t="shared" si="129"/>
        <v>2026</v>
      </c>
      <c r="V2455" s="15">
        <f t="shared" si="8"/>
        <v>20</v>
      </c>
      <c r="W2455" s="15">
        <f t="shared" si="9"/>
        <v>2</v>
      </c>
      <c r="X2455" s="15">
        <f t="shared" si="10"/>
        <v>2026</v>
      </c>
    </row>
    <row r="2456">
      <c r="A2456" s="9">
        <v>46073.0</v>
      </c>
      <c r="B2456" s="9">
        <v>46043.0</v>
      </c>
      <c r="C2456" s="27">
        <f t="shared" ref="C2456:C2546" si="173">IF(E2456="pago",A2456,"")</f>
        <v>46073</v>
      </c>
      <c r="D2456" s="11" t="s">
        <v>65</v>
      </c>
      <c r="E2456" s="11" t="s">
        <v>25</v>
      </c>
      <c r="F2456" s="11" t="s">
        <v>107</v>
      </c>
      <c r="G2456" s="28" t="s">
        <v>27</v>
      </c>
      <c r="H2456" s="29" t="s">
        <v>1249</v>
      </c>
      <c r="I2456" s="33">
        <v>35.99</v>
      </c>
      <c r="J2456" s="34"/>
      <c r="K2456" s="13">
        <f t="shared" si="171"/>
        <v>35.99</v>
      </c>
      <c r="L2456" s="29" t="s">
        <v>34</v>
      </c>
      <c r="M2456" s="28"/>
      <c r="N2456" s="29" t="s">
        <v>143</v>
      </c>
      <c r="O2456" s="10" t="str">
        <f t="shared" si="79"/>
        <v>02/2026</v>
      </c>
      <c r="P2456" s="10" t="str">
        <f t="shared" si="121"/>
        <v>02/2026</v>
      </c>
      <c r="Q2456" s="15" t="str">
        <f t="array" ref="Q2456">IFERROR(XLOOKUP(N2456,'Classificação'!A:A,'Classificação'!B:B),"")</f>
        <v>EMBALAGENS/FITAS/GERAL</v>
      </c>
      <c r="R2456" s="15" t="str">
        <f t="array" ref="R2456">IFERROR(XLOOKUP(Q2456,'Classificação'!B:B,'Classificação'!C:C),"")</f>
        <v>CUSTOS VARIÁVEIS</v>
      </c>
      <c r="S2456" s="15">
        <f t="shared" si="131"/>
        <v>20</v>
      </c>
      <c r="T2456" s="15">
        <f t="shared" si="128"/>
        <v>2</v>
      </c>
      <c r="U2456" s="15">
        <f t="shared" si="129"/>
        <v>2026</v>
      </c>
      <c r="V2456" s="15">
        <f t="shared" si="8"/>
        <v>20</v>
      </c>
      <c r="W2456" s="15">
        <f t="shared" si="9"/>
        <v>2</v>
      </c>
      <c r="X2456" s="15">
        <f t="shared" si="10"/>
        <v>2026</v>
      </c>
    </row>
    <row r="2457">
      <c r="A2457" s="26">
        <v>46073.0</v>
      </c>
      <c r="B2457" s="26">
        <v>46044.0</v>
      </c>
      <c r="C2457" s="27">
        <f t="shared" si="173"/>
        <v>46073</v>
      </c>
      <c r="D2457" s="29" t="s">
        <v>81</v>
      </c>
      <c r="E2457" s="11" t="s">
        <v>25</v>
      </c>
      <c r="F2457" s="29" t="s">
        <v>107</v>
      </c>
      <c r="G2457" s="28" t="s">
        <v>27</v>
      </c>
      <c r="H2457" s="29" t="s">
        <v>1250</v>
      </c>
      <c r="I2457" s="33">
        <v>293.87</v>
      </c>
      <c r="J2457" s="34"/>
      <c r="K2457" s="13">
        <f t="shared" si="171"/>
        <v>293.87</v>
      </c>
      <c r="L2457" s="29" t="s">
        <v>34</v>
      </c>
      <c r="M2457" s="28"/>
      <c r="N2457" s="29" t="s">
        <v>71</v>
      </c>
      <c r="O2457" s="10" t="str">
        <f t="shared" si="79"/>
        <v>02/2026</v>
      </c>
      <c r="P2457" s="10" t="str">
        <f t="shared" si="121"/>
        <v>02/2026</v>
      </c>
      <c r="Q2457" s="15" t="str">
        <f t="array" ref="Q2457">IFERROR(XLOOKUP(N2457,'Classificação'!A:A,'Classificação'!B:B),"")</f>
        <v>DESPESAS DIVERSAS</v>
      </c>
      <c r="R2457" s="15" t="str">
        <f t="array" ref="R2457">IFERROR(XLOOKUP(Q2457,'Classificação'!B:B,'Classificação'!C:C),"")</f>
        <v>DESPESAS FIXAS (-)</v>
      </c>
      <c r="S2457" s="15">
        <f t="shared" si="131"/>
        <v>20</v>
      </c>
      <c r="T2457" s="15">
        <f t="shared" si="128"/>
        <v>2</v>
      </c>
      <c r="U2457" s="15">
        <f t="shared" si="129"/>
        <v>2026</v>
      </c>
      <c r="V2457" s="15">
        <f t="shared" si="8"/>
        <v>20</v>
      </c>
      <c r="W2457" s="15">
        <f t="shared" si="9"/>
        <v>2</v>
      </c>
      <c r="X2457" s="15">
        <f t="shared" si="10"/>
        <v>2026</v>
      </c>
    </row>
    <row r="2458">
      <c r="A2458" s="26">
        <v>46073.0</v>
      </c>
      <c r="B2458" s="26">
        <v>46044.0</v>
      </c>
      <c r="C2458" s="27">
        <f t="shared" si="173"/>
        <v>46073</v>
      </c>
      <c r="D2458" s="29" t="s">
        <v>179</v>
      </c>
      <c r="E2458" s="11" t="s">
        <v>25</v>
      </c>
      <c r="F2458" s="29" t="s">
        <v>107</v>
      </c>
      <c r="G2458" s="28" t="s">
        <v>27</v>
      </c>
      <c r="H2458" s="29" t="s">
        <v>312</v>
      </c>
      <c r="I2458" s="33">
        <v>100.0</v>
      </c>
      <c r="J2458" s="34"/>
      <c r="K2458" s="13">
        <f t="shared" si="171"/>
        <v>100</v>
      </c>
      <c r="L2458" s="29" t="s">
        <v>34</v>
      </c>
      <c r="M2458" s="28"/>
      <c r="N2458" s="29" t="s">
        <v>181</v>
      </c>
      <c r="O2458" s="10" t="str">
        <f t="shared" si="79"/>
        <v>02/2026</v>
      </c>
      <c r="P2458" s="10" t="str">
        <f t="shared" si="121"/>
        <v>02/2026</v>
      </c>
      <c r="Q2458" s="15" t="str">
        <f t="array" ref="Q2458">IFERROR(XLOOKUP(N2458,'Classificação'!A:A,'Classificação'!B:B),"")</f>
        <v>DESPESAS COM VEICULOS</v>
      </c>
      <c r="R2458" s="15" t="str">
        <f t="array" ref="R2458">IFERROR(XLOOKUP(Q2458,'Classificação'!B:B,'Classificação'!C:C),"")</f>
        <v>DESPESAS FIXAS (-)</v>
      </c>
      <c r="S2458" s="15">
        <f t="shared" si="131"/>
        <v>20</v>
      </c>
      <c r="T2458" s="15">
        <f t="shared" si="128"/>
        <v>2</v>
      </c>
      <c r="U2458" s="15">
        <f t="shared" si="129"/>
        <v>2026</v>
      </c>
      <c r="V2458" s="15">
        <f t="shared" si="8"/>
        <v>20</v>
      </c>
      <c r="W2458" s="15">
        <f t="shared" si="9"/>
        <v>2</v>
      </c>
      <c r="X2458" s="15">
        <f t="shared" si="10"/>
        <v>2026</v>
      </c>
    </row>
    <row r="2459">
      <c r="A2459" s="26">
        <v>46073.0</v>
      </c>
      <c r="B2459" s="26">
        <v>46044.0</v>
      </c>
      <c r="C2459" s="27">
        <f t="shared" si="173"/>
        <v>46073</v>
      </c>
      <c r="D2459" s="29" t="s">
        <v>114</v>
      </c>
      <c r="E2459" s="11" t="s">
        <v>25</v>
      </c>
      <c r="F2459" s="29" t="s">
        <v>107</v>
      </c>
      <c r="G2459" s="28" t="s">
        <v>27</v>
      </c>
      <c r="H2459" s="29" t="s">
        <v>1251</v>
      </c>
      <c r="I2459" s="33">
        <v>482.32</v>
      </c>
      <c r="J2459" s="34"/>
      <c r="K2459" s="13">
        <f t="shared" si="171"/>
        <v>482.32</v>
      </c>
      <c r="L2459" s="29" t="s">
        <v>34</v>
      </c>
      <c r="M2459" s="28"/>
      <c r="N2459" s="29" t="s">
        <v>143</v>
      </c>
      <c r="O2459" s="10" t="str">
        <f t="shared" si="79"/>
        <v>02/2026</v>
      </c>
      <c r="P2459" s="10" t="str">
        <f t="shared" si="121"/>
        <v>02/2026</v>
      </c>
      <c r="Q2459" s="15" t="str">
        <f t="array" ref="Q2459">IFERROR(XLOOKUP(N2459,'Classificação'!A:A,'Classificação'!B:B),"")</f>
        <v>EMBALAGENS/FITAS/GERAL</v>
      </c>
      <c r="R2459" s="15" t="str">
        <f t="array" ref="R2459">IFERROR(XLOOKUP(Q2459,'Classificação'!B:B,'Classificação'!C:C),"")</f>
        <v>CUSTOS VARIÁVEIS</v>
      </c>
      <c r="S2459" s="15">
        <f t="shared" si="131"/>
        <v>20</v>
      </c>
      <c r="T2459" s="15">
        <f t="shared" si="128"/>
        <v>2</v>
      </c>
      <c r="U2459" s="15">
        <f t="shared" si="129"/>
        <v>2026</v>
      </c>
      <c r="V2459" s="15">
        <f t="shared" si="8"/>
        <v>20</v>
      </c>
      <c r="W2459" s="15">
        <f t="shared" si="9"/>
        <v>2</v>
      </c>
      <c r="X2459" s="15">
        <f t="shared" si="10"/>
        <v>2026</v>
      </c>
    </row>
    <row r="2460">
      <c r="A2460" s="27">
        <v>46073.0</v>
      </c>
      <c r="B2460" s="26">
        <v>46030.0</v>
      </c>
      <c r="C2460" s="27">
        <f t="shared" si="173"/>
        <v>46073</v>
      </c>
      <c r="D2460" s="29" t="s">
        <v>1252</v>
      </c>
      <c r="E2460" s="11" t="s">
        <v>25</v>
      </c>
      <c r="F2460" s="29" t="s">
        <v>107</v>
      </c>
      <c r="G2460" s="28" t="s">
        <v>27</v>
      </c>
      <c r="H2460" s="29" t="s">
        <v>1253</v>
      </c>
      <c r="I2460" s="33">
        <v>130.0</v>
      </c>
      <c r="J2460" s="34"/>
      <c r="K2460" s="13">
        <f t="shared" si="171"/>
        <v>130</v>
      </c>
      <c r="L2460" s="29" t="s">
        <v>34</v>
      </c>
      <c r="M2460" s="40"/>
      <c r="N2460" s="28" t="s">
        <v>95</v>
      </c>
      <c r="O2460" s="10" t="str">
        <f t="shared" si="79"/>
        <v>02/2026</v>
      </c>
      <c r="P2460" s="10" t="str">
        <f t="shared" si="121"/>
        <v>02/2026</v>
      </c>
      <c r="Q2460" s="15" t="str">
        <f t="array" ref="Q2460">IFERROR(XLOOKUP(N2460,'Classificação'!A:A,'Classificação'!B:B),"")</f>
        <v>DESPESAS NÃO OPERACIONAIS</v>
      </c>
      <c r="R2460" s="15" t="str">
        <f t="array" ref="R2460">IFERROR(XLOOKUP(Q2460,'Classificação'!B:B,'Classificação'!C:C),"")</f>
        <v>RESULTADO NÃO OPERACIONAL (+/-)</v>
      </c>
      <c r="S2460" s="15">
        <f t="shared" si="131"/>
        <v>20</v>
      </c>
      <c r="T2460" s="15">
        <f t="shared" si="128"/>
        <v>2</v>
      </c>
      <c r="U2460" s="15">
        <f t="shared" si="129"/>
        <v>2026</v>
      </c>
      <c r="V2460" s="15">
        <f t="shared" si="8"/>
        <v>20</v>
      </c>
      <c r="W2460" s="15">
        <f t="shared" si="9"/>
        <v>2</v>
      </c>
      <c r="X2460" s="15">
        <f t="shared" si="10"/>
        <v>2026</v>
      </c>
    </row>
    <row r="2461">
      <c r="A2461" s="9">
        <v>46073.0</v>
      </c>
      <c r="B2461" s="32">
        <v>46011.0</v>
      </c>
      <c r="C2461" s="9">
        <f t="shared" si="173"/>
        <v>46073</v>
      </c>
      <c r="D2461" s="11" t="s">
        <v>65</v>
      </c>
      <c r="E2461" s="11" t="s">
        <v>25</v>
      </c>
      <c r="F2461" s="11" t="s">
        <v>107</v>
      </c>
      <c r="G2461" s="28" t="s">
        <v>27</v>
      </c>
      <c r="H2461" s="11" t="s">
        <v>1204</v>
      </c>
      <c r="I2461" s="31">
        <v>216.58</v>
      </c>
      <c r="J2461" s="13"/>
      <c r="K2461" s="13">
        <f t="shared" si="171"/>
        <v>216.58</v>
      </c>
      <c r="L2461" s="11" t="s">
        <v>53</v>
      </c>
      <c r="M2461" s="17">
        <v>46083.0</v>
      </c>
      <c r="N2461" s="11" t="s">
        <v>116</v>
      </c>
      <c r="O2461" s="10" t="str">
        <f t="shared" si="79"/>
        <v>02/2026</v>
      </c>
      <c r="P2461" s="10" t="str">
        <f t="shared" si="121"/>
        <v>02/2026</v>
      </c>
      <c r="Q2461" s="15" t="str">
        <f t="array" ref="Q2461">IFERROR(XLOOKUP(N2461,'Classificação'!A:A,'Classificação'!B:B),"")</f>
        <v>DESPESAS COM OCUPAÇÃO</v>
      </c>
      <c r="R2461" s="15" t="str">
        <f t="array" ref="R2461">IFERROR(XLOOKUP(Q2461,'Classificação'!B:B,'Classificação'!C:C),"")</f>
        <v>DESPESAS FIXAS (-)</v>
      </c>
      <c r="S2461" s="15">
        <f t="shared" si="131"/>
        <v>20</v>
      </c>
      <c r="T2461" s="15">
        <f t="shared" si="128"/>
        <v>2</v>
      </c>
      <c r="U2461" s="15">
        <f t="shared" si="129"/>
        <v>2026</v>
      </c>
      <c r="V2461" s="15">
        <f t="shared" si="8"/>
        <v>20</v>
      </c>
      <c r="W2461" s="15">
        <f t="shared" si="9"/>
        <v>2</v>
      </c>
      <c r="X2461" s="15">
        <f t="shared" si="10"/>
        <v>2026</v>
      </c>
    </row>
    <row r="2462">
      <c r="A2462" s="9">
        <v>46073.0</v>
      </c>
      <c r="B2462" s="32">
        <v>46013.0</v>
      </c>
      <c r="C2462" s="9">
        <f t="shared" si="173"/>
        <v>46073</v>
      </c>
      <c r="D2462" s="11" t="s">
        <v>1205</v>
      </c>
      <c r="E2462" s="11" t="s">
        <v>25</v>
      </c>
      <c r="F2462" s="11" t="s">
        <v>107</v>
      </c>
      <c r="G2462" s="28" t="s">
        <v>27</v>
      </c>
      <c r="H2462" s="11" t="s">
        <v>1206</v>
      </c>
      <c r="I2462" s="31">
        <v>108.87</v>
      </c>
      <c r="J2462" s="13"/>
      <c r="K2462" s="13">
        <f t="shared" si="171"/>
        <v>108.87</v>
      </c>
      <c r="L2462" s="11" t="s">
        <v>53</v>
      </c>
      <c r="M2462" s="17">
        <v>45749.0</v>
      </c>
      <c r="N2462" s="11" t="s">
        <v>175</v>
      </c>
      <c r="O2462" s="10" t="str">
        <f t="shared" si="79"/>
        <v>02/2026</v>
      </c>
      <c r="P2462" s="10" t="str">
        <f t="shared" si="121"/>
        <v>02/2026</v>
      </c>
      <c r="Q2462" s="15" t="str">
        <f t="array" ref="Q2462">IFERROR(XLOOKUP(N2462,'Classificação'!A:A,'Classificação'!B:B),"")</f>
        <v>DESPESAS COM VEICULOS</v>
      </c>
      <c r="R2462" s="15" t="str">
        <f t="array" ref="R2462">IFERROR(XLOOKUP(Q2462,'Classificação'!B:B,'Classificação'!C:C),"")</f>
        <v>DESPESAS FIXAS (-)</v>
      </c>
      <c r="S2462" s="15">
        <f t="shared" si="131"/>
        <v>20</v>
      </c>
      <c r="T2462" s="15">
        <f t="shared" si="128"/>
        <v>2</v>
      </c>
      <c r="U2462" s="15">
        <f t="shared" si="129"/>
        <v>2026</v>
      </c>
      <c r="V2462" s="15">
        <f t="shared" si="8"/>
        <v>20</v>
      </c>
      <c r="W2462" s="15">
        <f t="shared" si="9"/>
        <v>2</v>
      </c>
      <c r="X2462" s="15">
        <f t="shared" si="10"/>
        <v>2026</v>
      </c>
    </row>
    <row r="2463">
      <c r="A2463" s="9">
        <v>46073.0</v>
      </c>
      <c r="B2463" s="32">
        <v>46011.0</v>
      </c>
      <c r="C2463" s="9">
        <f t="shared" si="173"/>
        <v>46073</v>
      </c>
      <c r="D2463" s="11" t="s">
        <v>1207</v>
      </c>
      <c r="E2463" s="11" t="s">
        <v>25</v>
      </c>
      <c r="F2463" s="11" t="s">
        <v>107</v>
      </c>
      <c r="G2463" s="28" t="s">
        <v>27</v>
      </c>
      <c r="H2463" s="11" t="s">
        <v>1204</v>
      </c>
      <c r="I2463" s="31">
        <v>70.12</v>
      </c>
      <c r="J2463" s="13"/>
      <c r="K2463" s="13">
        <f t="shared" si="171"/>
        <v>70.12</v>
      </c>
      <c r="L2463" s="11" t="s">
        <v>53</v>
      </c>
      <c r="M2463" s="17">
        <v>45810.0</v>
      </c>
      <c r="N2463" s="11" t="s">
        <v>116</v>
      </c>
      <c r="O2463" s="10" t="str">
        <f t="shared" si="79"/>
        <v>02/2026</v>
      </c>
      <c r="P2463" s="10" t="str">
        <f t="shared" si="121"/>
        <v>02/2026</v>
      </c>
      <c r="Q2463" s="15" t="str">
        <f t="array" ref="Q2463">IFERROR(XLOOKUP(N2463,'Classificação'!A:A,'Classificação'!B:B),"")</f>
        <v>DESPESAS COM OCUPAÇÃO</v>
      </c>
      <c r="R2463" s="15" t="str">
        <f t="array" ref="R2463">IFERROR(XLOOKUP(Q2463,'Classificação'!B:B,'Classificação'!C:C),"")</f>
        <v>DESPESAS FIXAS (-)</v>
      </c>
      <c r="S2463" s="15">
        <f t="shared" si="131"/>
        <v>20</v>
      </c>
      <c r="T2463" s="15">
        <f t="shared" si="128"/>
        <v>2</v>
      </c>
      <c r="U2463" s="15">
        <f t="shared" si="129"/>
        <v>2026</v>
      </c>
      <c r="V2463" s="15">
        <f t="shared" si="8"/>
        <v>20</v>
      </c>
      <c r="W2463" s="15">
        <f t="shared" si="9"/>
        <v>2</v>
      </c>
      <c r="X2463" s="15">
        <f t="shared" si="10"/>
        <v>2026</v>
      </c>
    </row>
    <row r="2464">
      <c r="A2464" s="9">
        <v>46073.0</v>
      </c>
      <c r="B2464" s="32">
        <v>46021.0</v>
      </c>
      <c r="C2464" s="9">
        <f t="shared" si="173"/>
        <v>46073</v>
      </c>
      <c r="D2464" s="11" t="s">
        <v>691</v>
      </c>
      <c r="E2464" s="11" t="s">
        <v>25</v>
      </c>
      <c r="F2464" s="11" t="s">
        <v>107</v>
      </c>
      <c r="G2464" s="28" t="s">
        <v>27</v>
      </c>
      <c r="H2464" s="44" t="s">
        <v>1209</v>
      </c>
      <c r="I2464" s="31">
        <v>1313.49</v>
      </c>
      <c r="J2464" s="13"/>
      <c r="K2464" s="13">
        <f t="shared" si="171"/>
        <v>1313.49</v>
      </c>
      <c r="L2464" s="11" t="s">
        <v>53</v>
      </c>
      <c r="M2464" s="17">
        <v>45810.0</v>
      </c>
      <c r="N2464" s="11" t="s">
        <v>61</v>
      </c>
      <c r="O2464" s="10" t="str">
        <f t="shared" si="79"/>
        <v>02/2026</v>
      </c>
      <c r="P2464" s="10" t="str">
        <f t="shared" si="121"/>
        <v>02/2026</v>
      </c>
      <c r="Q2464" s="15" t="str">
        <f t="array" ref="Q2464">IFERROR(XLOOKUP(N2464,'Classificação'!A:A,'Classificação'!B:B),"")</f>
        <v>DESPESAS ADMINISTRATIVAS</v>
      </c>
      <c r="R2464" s="15" t="str">
        <f t="array" ref="R2464">IFERROR(XLOOKUP(Q2464,'Classificação'!B:B,'Classificação'!C:C),"")</f>
        <v>DESPESAS FIXAS (-)</v>
      </c>
      <c r="S2464" s="15">
        <f t="shared" si="131"/>
        <v>20</v>
      </c>
      <c r="T2464" s="15">
        <f t="shared" si="128"/>
        <v>2</v>
      </c>
      <c r="U2464" s="15">
        <f t="shared" si="129"/>
        <v>2026</v>
      </c>
      <c r="V2464" s="15">
        <f t="shared" si="8"/>
        <v>20</v>
      </c>
      <c r="W2464" s="15">
        <f t="shared" si="9"/>
        <v>2</v>
      </c>
      <c r="X2464" s="15">
        <f t="shared" si="10"/>
        <v>2026</v>
      </c>
    </row>
    <row r="2465">
      <c r="A2465" s="9">
        <v>46073.0</v>
      </c>
      <c r="B2465" s="9">
        <v>46030.0</v>
      </c>
      <c r="C2465" s="27">
        <f t="shared" si="173"/>
        <v>46073</v>
      </c>
      <c r="D2465" s="29" t="s">
        <v>65</v>
      </c>
      <c r="E2465" s="11" t="s">
        <v>25</v>
      </c>
      <c r="F2465" s="28" t="s">
        <v>107</v>
      </c>
      <c r="G2465" s="28" t="s">
        <v>27</v>
      </c>
      <c r="H2465" s="29" t="s">
        <v>1254</v>
      </c>
      <c r="I2465" s="33">
        <v>20.9</v>
      </c>
      <c r="J2465" s="34"/>
      <c r="K2465" s="37">
        <f t="shared" ref="K2465:K2466" si="174">IF(E2465="pago",(I2465-J2465),"")</f>
        <v>20.9</v>
      </c>
      <c r="L2465" s="29" t="s">
        <v>34</v>
      </c>
      <c r="M2465" s="40"/>
      <c r="N2465" s="28" t="s">
        <v>61</v>
      </c>
      <c r="O2465" s="10" t="str">
        <f t="shared" si="79"/>
        <v>02/2026</v>
      </c>
      <c r="P2465" s="10" t="str">
        <f t="shared" si="121"/>
        <v>02/2026</v>
      </c>
      <c r="Q2465" s="15" t="str">
        <f t="array" ref="Q2465">IFERROR(XLOOKUP(N2465,'Classificação'!A:A,'Classificação'!B:B),"")</f>
        <v>DESPESAS ADMINISTRATIVAS</v>
      </c>
      <c r="R2465" s="15" t="str">
        <f t="array" ref="R2465">IFERROR(XLOOKUP(Q2465,'Classificação'!B:B,'Classificação'!C:C),"")</f>
        <v>DESPESAS FIXAS (-)</v>
      </c>
      <c r="S2465" s="15">
        <f t="shared" si="131"/>
        <v>20</v>
      </c>
      <c r="T2465" s="15">
        <f t="shared" si="128"/>
        <v>2</v>
      </c>
      <c r="U2465" s="15">
        <f t="shared" si="129"/>
        <v>2026</v>
      </c>
      <c r="V2465" s="15">
        <f t="shared" si="8"/>
        <v>20</v>
      </c>
      <c r="W2465" s="15">
        <f t="shared" si="9"/>
        <v>2</v>
      </c>
      <c r="X2465" s="15">
        <f t="shared" si="10"/>
        <v>2026</v>
      </c>
    </row>
    <row r="2466">
      <c r="A2466" s="26">
        <v>46073.0</v>
      </c>
      <c r="B2466" s="26">
        <v>46059.0</v>
      </c>
      <c r="C2466" s="27">
        <f t="shared" si="173"/>
        <v>46073</v>
      </c>
      <c r="D2466" s="29" t="s">
        <v>114</v>
      </c>
      <c r="E2466" s="11" t="s">
        <v>25</v>
      </c>
      <c r="F2466" s="29" t="s">
        <v>110</v>
      </c>
      <c r="G2466" s="28" t="s">
        <v>27</v>
      </c>
      <c r="H2466" s="29" t="s">
        <v>1255</v>
      </c>
      <c r="I2466" s="33">
        <v>164.34</v>
      </c>
      <c r="J2466" s="34"/>
      <c r="K2466" s="37">
        <f t="shared" si="174"/>
        <v>164.34</v>
      </c>
      <c r="L2466" s="29" t="s">
        <v>34</v>
      </c>
      <c r="M2466" s="28"/>
      <c r="N2466" s="29" t="s">
        <v>143</v>
      </c>
      <c r="O2466" s="10" t="str">
        <f t="shared" si="79"/>
        <v>02/2026</v>
      </c>
      <c r="P2466" s="10" t="str">
        <f>if(B2466="","", TEXT(B2466,"mm/yyyy"))</f>
        <v>02/2026</v>
      </c>
      <c r="Q2466" s="15" t="str">
        <f t="array" ref="Q2466">IFERROR(XLOOKUP(N2466,'Classificação'!A:A,'Classificação'!B:B),"")</f>
        <v>EMBALAGENS/FITAS/GERAL</v>
      </c>
      <c r="R2466" s="15" t="str">
        <f t="array" ref="R2466">IFERROR(XLOOKUP(Q2466,'Classificação'!B:B,'Classificação'!C:C),"")</f>
        <v>CUSTOS VARIÁVEIS</v>
      </c>
      <c r="S2466" s="15">
        <f t="shared" si="131"/>
        <v>20</v>
      </c>
      <c r="T2466" s="15">
        <f t="shared" si="128"/>
        <v>2</v>
      </c>
      <c r="U2466" s="15">
        <f t="shared" si="129"/>
        <v>2026</v>
      </c>
      <c r="V2466" s="15">
        <f t="shared" si="8"/>
        <v>20</v>
      </c>
      <c r="W2466" s="15">
        <f t="shared" si="9"/>
        <v>2</v>
      </c>
      <c r="X2466" s="15">
        <f t="shared" si="10"/>
        <v>2026</v>
      </c>
    </row>
    <row r="2467">
      <c r="A2467" s="9">
        <v>46073.0</v>
      </c>
      <c r="B2467" s="9">
        <v>46032.0</v>
      </c>
      <c r="C2467" s="9">
        <f t="shared" si="173"/>
        <v>46073</v>
      </c>
      <c r="D2467" s="11" t="s">
        <v>1085</v>
      </c>
      <c r="E2467" s="29" t="s">
        <v>25</v>
      </c>
      <c r="F2467" s="11" t="s">
        <v>110</v>
      </c>
      <c r="G2467" s="28" t="s">
        <v>27</v>
      </c>
      <c r="H2467" s="11" t="s">
        <v>1256</v>
      </c>
      <c r="I2467" s="31">
        <v>105.45</v>
      </c>
      <c r="J2467" s="13"/>
      <c r="K2467" s="13">
        <f t="shared" ref="K2467:K2483" si="175">if(E2467="pago",(I2467-J2467),"")</f>
        <v>105.45</v>
      </c>
      <c r="L2467" s="28" t="s">
        <v>53</v>
      </c>
      <c r="M2467" s="17">
        <v>46054.0</v>
      </c>
      <c r="N2467" s="11" t="s">
        <v>394</v>
      </c>
      <c r="O2467" s="10" t="str">
        <f t="shared" si="79"/>
        <v>02/2026</v>
      </c>
      <c r="P2467" s="10" t="str">
        <f t="shared" ref="P2467:P2495" si="176">if(C2467="","", TEXT(C2467,"mm/yyyy"))</f>
        <v>02/2026</v>
      </c>
      <c r="Q2467" s="15" t="str">
        <f t="array" ref="Q2467">IFERROR(XLOOKUP(N2467,'Classificação'!A:A,'Classificação'!B:B),"")</f>
        <v>DESPESAS NÃO OPERACIONAIS</v>
      </c>
      <c r="R2467" s="15" t="str">
        <f t="array" ref="R2467">IFERROR(XLOOKUP(Q2467,'Classificação'!B:B,'Classificação'!C:C),"")</f>
        <v>RESULTADO NÃO OPERACIONAL (+/-)</v>
      </c>
      <c r="S2467" s="15">
        <f t="shared" si="131"/>
        <v>20</v>
      </c>
      <c r="T2467" s="15">
        <f t="shared" si="128"/>
        <v>2</v>
      </c>
      <c r="U2467" s="15">
        <f t="shared" si="129"/>
        <v>2026</v>
      </c>
      <c r="V2467" s="15">
        <f t="shared" si="8"/>
        <v>20</v>
      </c>
      <c r="W2467" s="15">
        <f t="shared" si="9"/>
        <v>2</v>
      </c>
      <c r="X2467" s="15">
        <f t="shared" si="10"/>
        <v>2026</v>
      </c>
    </row>
    <row r="2468">
      <c r="A2468" s="9">
        <v>46073.0</v>
      </c>
      <c r="B2468" s="9">
        <v>46031.0</v>
      </c>
      <c r="C2468" s="9">
        <f t="shared" si="173"/>
        <v>46073</v>
      </c>
      <c r="D2468" s="11" t="s">
        <v>179</v>
      </c>
      <c r="E2468" s="29" t="s">
        <v>25</v>
      </c>
      <c r="F2468" s="11" t="s">
        <v>107</v>
      </c>
      <c r="G2468" s="28" t="s">
        <v>27</v>
      </c>
      <c r="H2468" s="11" t="s">
        <v>312</v>
      </c>
      <c r="I2468" s="31">
        <v>100.0</v>
      </c>
      <c r="J2468" s="13"/>
      <c r="K2468" s="13">
        <f t="shared" si="175"/>
        <v>100</v>
      </c>
      <c r="L2468" s="11" t="s">
        <v>34</v>
      </c>
      <c r="M2468" s="14"/>
      <c r="N2468" s="11" t="s">
        <v>181</v>
      </c>
      <c r="O2468" s="10" t="str">
        <f t="shared" si="79"/>
        <v>02/2026</v>
      </c>
      <c r="P2468" s="10" t="str">
        <f t="shared" si="176"/>
        <v>02/2026</v>
      </c>
      <c r="Q2468" s="15" t="str">
        <f t="array" ref="Q2468">IFERROR(XLOOKUP(N2468,'Classificação'!A:A,'Classificação'!B:B),"")</f>
        <v>DESPESAS COM VEICULOS</v>
      </c>
      <c r="R2468" s="15" t="str">
        <f t="array" ref="R2468">IFERROR(XLOOKUP(Q2468,'Classificação'!B:B,'Classificação'!C:C),"")</f>
        <v>DESPESAS FIXAS (-)</v>
      </c>
      <c r="S2468" s="15">
        <f t="shared" si="131"/>
        <v>20</v>
      </c>
      <c r="T2468" s="15">
        <f t="shared" si="128"/>
        <v>2</v>
      </c>
      <c r="U2468" s="15">
        <f t="shared" si="129"/>
        <v>2026</v>
      </c>
      <c r="V2468" s="15">
        <f t="shared" si="8"/>
        <v>20</v>
      </c>
      <c r="W2468" s="15">
        <f t="shared" si="9"/>
        <v>2</v>
      </c>
      <c r="X2468" s="15">
        <f t="shared" si="10"/>
        <v>2026</v>
      </c>
    </row>
    <row r="2469">
      <c r="A2469" s="9">
        <v>46073.0</v>
      </c>
      <c r="B2469" s="9">
        <v>46030.0</v>
      </c>
      <c r="C2469" s="9">
        <f t="shared" si="173"/>
        <v>46073</v>
      </c>
      <c r="D2469" s="11" t="s">
        <v>137</v>
      </c>
      <c r="E2469" s="29" t="s">
        <v>25</v>
      </c>
      <c r="F2469" s="11" t="s">
        <v>107</v>
      </c>
      <c r="G2469" s="28" t="s">
        <v>27</v>
      </c>
      <c r="H2469" s="11" t="s">
        <v>1257</v>
      </c>
      <c r="I2469" s="31">
        <v>53.25</v>
      </c>
      <c r="J2469" s="13"/>
      <c r="K2469" s="13">
        <f t="shared" si="175"/>
        <v>53.25</v>
      </c>
      <c r="L2469" s="11" t="s">
        <v>34</v>
      </c>
      <c r="M2469" s="14"/>
      <c r="N2469" s="11" t="s">
        <v>68</v>
      </c>
      <c r="O2469" s="10" t="str">
        <f t="shared" si="79"/>
        <v>02/2026</v>
      </c>
      <c r="P2469" s="10" t="str">
        <f t="shared" si="176"/>
        <v>02/2026</v>
      </c>
      <c r="Q2469" s="15" t="str">
        <f t="array" ref="Q2469">IFERROR(XLOOKUP(N2469,'Classificação'!A:A,'Classificação'!B:B),"")</f>
        <v>FRETE DE VENDAS</v>
      </c>
      <c r="R2469" s="15" t="str">
        <f t="array" ref="R2469">IFERROR(XLOOKUP(Q2469,'Classificação'!B:B,'Classificação'!C:C),"")</f>
        <v>CUSTOS VARIÁVEIS</v>
      </c>
      <c r="S2469" s="15">
        <f t="shared" si="131"/>
        <v>20</v>
      </c>
      <c r="T2469" s="15">
        <f t="shared" si="128"/>
        <v>2</v>
      </c>
      <c r="U2469" s="15">
        <f t="shared" si="129"/>
        <v>2026</v>
      </c>
      <c r="V2469" s="15">
        <f t="shared" si="8"/>
        <v>20</v>
      </c>
      <c r="W2469" s="15">
        <f t="shared" si="9"/>
        <v>2</v>
      </c>
      <c r="X2469" s="15">
        <f t="shared" si="10"/>
        <v>2026</v>
      </c>
    </row>
    <row r="2470">
      <c r="A2470" s="9">
        <v>46073.0</v>
      </c>
      <c r="B2470" s="9">
        <v>46042.0</v>
      </c>
      <c r="C2470" s="9">
        <f t="shared" si="173"/>
        <v>46073</v>
      </c>
      <c r="D2470" s="11" t="s">
        <v>65</v>
      </c>
      <c r="E2470" s="29" t="s">
        <v>25</v>
      </c>
      <c r="F2470" s="11" t="s">
        <v>107</v>
      </c>
      <c r="G2470" s="28" t="s">
        <v>27</v>
      </c>
      <c r="H2470" s="11" t="s">
        <v>1258</v>
      </c>
      <c r="I2470" s="31">
        <v>115.0</v>
      </c>
      <c r="J2470" s="13"/>
      <c r="K2470" s="13">
        <f t="shared" si="175"/>
        <v>115</v>
      </c>
      <c r="L2470" s="11" t="s">
        <v>34</v>
      </c>
      <c r="M2470" s="14"/>
      <c r="N2470" s="11" t="s">
        <v>394</v>
      </c>
      <c r="O2470" s="10" t="str">
        <f t="shared" si="79"/>
        <v>02/2026</v>
      </c>
      <c r="P2470" s="10" t="str">
        <f t="shared" si="176"/>
        <v>02/2026</v>
      </c>
      <c r="Q2470" s="15" t="str">
        <f t="array" ref="Q2470">IFERROR(XLOOKUP(N2470,'Classificação'!A:A,'Classificação'!B:B),"")</f>
        <v>DESPESAS NÃO OPERACIONAIS</v>
      </c>
      <c r="R2470" s="15" t="str">
        <f t="array" ref="R2470">IFERROR(XLOOKUP(Q2470,'Classificação'!B:B,'Classificação'!C:C),"")</f>
        <v>RESULTADO NÃO OPERACIONAL (+/-)</v>
      </c>
      <c r="S2470" s="15">
        <f t="shared" si="131"/>
        <v>20</v>
      </c>
      <c r="T2470" s="15">
        <f t="shared" si="128"/>
        <v>2</v>
      </c>
      <c r="U2470" s="15">
        <f t="shared" si="129"/>
        <v>2026</v>
      </c>
      <c r="V2470" s="15">
        <f t="shared" si="8"/>
        <v>20</v>
      </c>
      <c r="W2470" s="15">
        <f t="shared" si="9"/>
        <v>2</v>
      </c>
      <c r="X2470" s="15">
        <f t="shared" si="10"/>
        <v>2026</v>
      </c>
    </row>
    <row r="2471">
      <c r="A2471" s="9">
        <v>46073.0</v>
      </c>
      <c r="B2471" s="19">
        <v>46030.0</v>
      </c>
      <c r="C2471" s="9">
        <f t="shared" si="173"/>
        <v>46073</v>
      </c>
      <c r="D2471" s="11" t="s">
        <v>65</v>
      </c>
      <c r="E2471" s="29" t="s">
        <v>25</v>
      </c>
      <c r="F2471" s="11" t="s">
        <v>107</v>
      </c>
      <c r="G2471" s="28" t="s">
        <v>27</v>
      </c>
      <c r="H2471" s="11" t="s">
        <v>1259</v>
      </c>
      <c r="I2471" s="31">
        <v>102.13</v>
      </c>
      <c r="J2471" s="13"/>
      <c r="K2471" s="13">
        <f t="shared" si="175"/>
        <v>102.13</v>
      </c>
      <c r="L2471" s="11" t="s">
        <v>34</v>
      </c>
      <c r="M2471" s="14"/>
      <c r="N2471" s="11" t="s">
        <v>394</v>
      </c>
      <c r="O2471" s="10" t="str">
        <f t="shared" si="79"/>
        <v>02/2026</v>
      </c>
      <c r="P2471" s="10" t="str">
        <f t="shared" si="176"/>
        <v>02/2026</v>
      </c>
      <c r="Q2471" s="15" t="str">
        <f t="array" ref="Q2471">IFERROR(XLOOKUP(N2471,'Classificação'!A:A,'Classificação'!B:B),"")</f>
        <v>DESPESAS NÃO OPERACIONAIS</v>
      </c>
      <c r="R2471" s="15" t="str">
        <f t="array" ref="R2471">IFERROR(XLOOKUP(Q2471,'Classificação'!B:B,'Classificação'!C:C),"")</f>
        <v>RESULTADO NÃO OPERACIONAL (+/-)</v>
      </c>
      <c r="S2471" s="15">
        <f t="shared" si="131"/>
        <v>20</v>
      </c>
      <c r="T2471" s="15">
        <f t="shared" si="128"/>
        <v>2</v>
      </c>
      <c r="U2471" s="15">
        <f t="shared" si="129"/>
        <v>2026</v>
      </c>
      <c r="V2471" s="15">
        <f t="shared" si="8"/>
        <v>20</v>
      </c>
      <c r="W2471" s="15">
        <f t="shared" si="9"/>
        <v>2</v>
      </c>
      <c r="X2471" s="15">
        <f t="shared" si="10"/>
        <v>2026</v>
      </c>
    </row>
    <row r="2472">
      <c r="A2472" s="9">
        <v>46073.0</v>
      </c>
      <c r="B2472" s="10"/>
      <c r="C2472" s="9">
        <f t="shared" si="173"/>
        <v>46073</v>
      </c>
      <c r="D2472" s="11" t="s">
        <v>65</v>
      </c>
      <c r="E2472" s="29" t="s">
        <v>25</v>
      </c>
      <c r="F2472" s="11" t="s">
        <v>107</v>
      </c>
      <c r="G2472" s="28" t="s">
        <v>27</v>
      </c>
      <c r="H2472" s="11" t="s">
        <v>1260</v>
      </c>
      <c r="I2472" s="31">
        <v>9.9</v>
      </c>
      <c r="J2472" s="13"/>
      <c r="K2472" s="13">
        <f t="shared" si="175"/>
        <v>9.9</v>
      </c>
      <c r="L2472" s="11" t="s">
        <v>29</v>
      </c>
      <c r="M2472" s="14"/>
      <c r="N2472" s="11" t="s">
        <v>105</v>
      </c>
      <c r="O2472" s="10" t="str">
        <f t="shared" si="79"/>
        <v>02/2026</v>
      </c>
      <c r="P2472" s="10" t="str">
        <f t="shared" si="176"/>
        <v>02/2026</v>
      </c>
      <c r="Q2472" s="15" t="str">
        <f t="array" ref="Q2472">IFERROR(XLOOKUP(N2472,'Classificação'!A:A,'Classificação'!B:B),"")</f>
        <v>DESPESAS ADMINISTRATIVAS</v>
      </c>
      <c r="R2472" s="15" t="str">
        <f t="array" ref="R2472">IFERROR(XLOOKUP(Q2472,'Classificação'!B:B,'Classificação'!C:C),"")</f>
        <v>DESPESAS FIXAS (-)</v>
      </c>
      <c r="S2472" s="15">
        <f t="shared" si="131"/>
        <v>20</v>
      </c>
      <c r="T2472" s="15">
        <f t="shared" si="128"/>
        <v>2</v>
      </c>
      <c r="U2472" s="15">
        <f t="shared" si="129"/>
        <v>2026</v>
      </c>
      <c r="V2472" s="15">
        <f t="shared" si="8"/>
        <v>20</v>
      </c>
      <c r="W2472" s="15">
        <f t="shared" si="9"/>
        <v>2</v>
      </c>
      <c r="X2472" s="15">
        <f t="shared" si="10"/>
        <v>2026</v>
      </c>
    </row>
    <row r="2473">
      <c r="A2473" s="9">
        <v>46073.0</v>
      </c>
      <c r="B2473" s="10"/>
      <c r="C2473" s="9">
        <f t="shared" si="173"/>
        <v>46073</v>
      </c>
      <c r="D2473" s="28" t="s">
        <v>44</v>
      </c>
      <c r="E2473" s="29" t="s">
        <v>25</v>
      </c>
      <c r="F2473" s="11" t="s">
        <v>107</v>
      </c>
      <c r="G2473" s="28" t="s">
        <v>27</v>
      </c>
      <c r="H2473" s="11" t="s">
        <v>1261</v>
      </c>
      <c r="I2473" s="31">
        <v>1.4</v>
      </c>
      <c r="J2473" s="13"/>
      <c r="K2473" s="13">
        <f t="shared" si="175"/>
        <v>1.4</v>
      </c>
      <c r="L2473" s="11" t="s">
        <v>34</v>
      </c>
      <c r="M2473" s="14"/>
      <c r="N2473" s="11" t="s">
        <v>574</v>
      </c>
      <c r="O2473" s="10" t="str">
        <f t="shared" si="79"/>
        <v>02/2026</v>
      </c>
      <c r="P2473" s="10" t="str">
        <f t="shared" si="176"/>
        <v>02/2026</v>
      </c>
      <c r="Q2473" s="15" t="str">
        <f t="array" ref="Q2473">IFERROR(XLOOKUP(N2473,'Classificação'!A:A,'Classificação'!B:B),"")</f>
        <v>TARIFAS FINANCEIRAS DIVERSAS</v>
      </c>
      <c r="R2473" s="15" t="str">
        <f t="array" ref="R2473">IFERROR(XLOOKUP(Q2473,'Classificação'!B:B,'Classificação'!C:C),"")</f>
        <v>(+/-) RESULTADO FINANCEIRO LÍQUIDO</v>
      </c>
      <c r="S2473" s="15">
        <f t="shared" si="131"/>
        <v>20</v>
      </c>
      <c r="T2473" s="15">
        <f t="shared" si="128"/>
        <v>2</v>
      </c>
      <c r="U2473" s="15">
        <f t="shared" si="129"/>
        <v>2026</v>
      </c>
      <c r="V2473" s="15">
        <f t="shared" si="8"/>
        <v>20</v>
      </c>
      <c r="W2473" s="15">
        <f t="shared" si="9"/>
        <v>2</v>
      </c>
      <c r="X2473" s="15">
        <f t="shared" si="10"/>
        <v>2026</v>
      </c>
    </row>
    <row r="2474">
      <c r="A2474" s="26">
        <v>46076.0</v>
      </c>
      <c r="B2474" s="28"/>
      <c r="C2474" s="27">
        <f t="shared" si="173"/>
        <v>46076</v>
      </c>
      <c r="D2474" s="29" t="s">
        <v>177</v>
      </c>
      <c r="E2474" s="29" t="s">
        <v>25</v>
      </c>
      <c r="F2474" s="29" t="s">
        <v>40</v>
      </c>
      <c r="G2474" s="29" t="s">
        <v>37</v>
      </c>
      <c r="H2474" s="29" t="s">
        <v>1218</v>
      </c>
      <c r="I2474" s="24">
        <v>158.5</v>
      </c>
      <c r="J2474" s="13"/>
      <c r="K2474" s="13">
        <f t="shared" si="175"/>
        <v>158.5</v>
      </c>
      <c r="L2474" s="11" t="s">
        <v>53</v>
      </c>
      <c r="M2474" s="17">
        <v>45841.0</v>
      </c>
      <c r="N2474" s="11" t="s">
        <v>178</v>
      </c>
      <c r="O2474" s="10" t="str">
        <f t="shared" si="79"/>
        <v>02/2026</v>
      </c>
      <c r="P2474" s="10" t="str">
        <f t="shared" si="176"/>
        <v>02/2026</v>
      </c>
      <c r="Q2474" s="15" t="str">
        <f t="array" ref="Q2474">IFERROR(XLOOKUP(N2474,'Classificação'!A:A,'Classificação'!B:B),"")</f>
        <v>DESPESAS COM OCUPAÇÃO</v>
      </c>
      <c r="R2474" s="15" t="str">
        <f t="array" ref="R2474">IFERROR(XLOOKUP(Q2474,'Classificação'!B:B,'Classificação'!C:C),"")</f>
        <v>DESPESAS FIXAS (-)</v>
      </c>
      <c r="S2474" s="15">
        <f t="shared" si="131"/>
        <v>23</v>
      </c>
      <c r="T2474" s="15">
        <f t="shared" si="128"/>
        <v>2</v>
      </c>
      <c r="U2474" s="15">
        <f t="shared" si="129"/>
        <v>2026</v>
      </c>
      <c r="V2474" s="15">
        <f t="shared" si="8"/>
        <v>23</v>
      </c>
      <c r="W2474" s="15">
        <f t="shared" si="9"/>
        <v>2</v>
      </c>
      <c r="X2474" s="15">
        <f t="shared" si="10"/>
        <v>2026</v>
      </c>
    </row>
    <row r="2475">
      <c r="A2475" s="26">
        <v>46076.0</v>
      </c>
      <c r="B2475" s="10"/>
      <c r="C2475" s="9">
        <f t="shared" si="173"/>
        <v>46076</v>
      </c>
      <c r="D2475" s="28" t="s">
        <v>36</v>
      </c>
      <c r="E2475" s="29" t="s">
        <v>25</v>
      </c>
      <c r="F2475" s="28" t="s">
        <v>26</v>
      </c>
      <c r="G2475" s="28" t="s">
        <v>37</v>
      </c>
      <c r="I2475" s="24">
        <v>7000.0</v>
      </c>
      <c r="J2475" s="13"/>
      <c r="K2475" s="13">
        <f t="shared" si="175"/>
        <v>7000</v>
      </c>
      <c r="L2475" s="28" t="s">
        <v>29</v>
      </c>
      <c r="M2475" s="14"/>
      <c r="N2475" s="28" t="s">
        <v>38</v>
      </c>
      <c r="O2475" s="10" t="str">
        <f t="shared" si="79"/>
        <v>02/2026</v>
      </c>
      <c r="P2475" s="10" t="str">
        <f t="shared" si="176"/>
        <v>02/2026</v>
      </c>
      <c r="Q2475" s="15" t="str">
        <f t="array" ref="Q2475">IFERROR(XLOOKUP(N2475,'Classificação'!A:A,'Classificação'!B:B),"")</f>
        <v>DESPESAS COM PESSOAL</v>
      </c>
      <c r="R2475" s="15" t="str">
        <f t="array" ref="R2475">IFERROR(XLOOKUP(Q2475,'Classificação'!B:B,'Classificação'!C:C),"")</f>
        <v>DESPESAS FIXAS (-)</v>
      </c>
      <c r="S2475" s="15">
        <f t="shared" si="131"/>
        <v>23</v>
      </c>
      <c r="T2475" s="15">
        <f t="shared" si="128"/>
        <v>2</v>
      </c>
      <c r="U2475" s="15">
        <f t="shared" si="129"/>
        <v>2026</v>
      </c>
      <c r="V2475" s="15">
        <f t="shared" si="8"/>
        <v>23</v>
      </c>
      <c r="W2475" s="15">
        <f t="shared" si="9"/>
        <v>2</v>
      </c>
      <c r="X2475" s="15">
        <f t="shared" si="10"/>
        <v>2026</v>
      </c>
    </row>
    <row r="2476">
      <c r="A2476" s="26">
        <v>46076.0</v>
      </c>
      <c r="B2476" s="10"/>
      <c r="C2476" s="9">
        <f t="shared" si="173"/>
        <v>46076</v>
      </c>
      <c r="D2476" s="28" t="s">
        <v>43</v>
      </c>
      <c r="E2476" s="29" t="s">
        <v>25</v>
      </c>
      <c r="F2476" s="29" t="s">
        <v>26</v>
      </c>
      <c r="G2476" s="28" t="s">
        <v>37</v>
      </c>
      <c r="I2476" s="24">
        <v>7000.0</v>
      </c>
      <c r="J2476" s="13"/>
      <c r="K2476" s="13">
        <f t="shared" si="175"/>
        <v>7000</v>
      </c>
      <c r="L2476" s="28" t="s">
        <v>29</v>
      </c>
      <c r="M2476" s="14"/>
      <c r="N2476" s="28" t="s">
        <v>38</v>
      </c>
      <c r="O2476" s="10" t="str">
        <f t="shared" si="79"/>
        <v>02/2026</v>
      </c>
      <c r="P2476" s="10" t="str">
        <f t="shared" si="176"/>
        <v>02/2026</v>
      </c>
      <c r="Q2476" s="15" t="str">
        <f t="array" ref="Q2476">IFERROR(XLOOKUP(N2476,'Classificação'!A:A,'Classificação'!B:B),"")</f>
        <v>DESPESAS COM PESSOAL</v>
      </c>
      <c r="R2476" s="15" t="str">
        <f t="array" ref="R2476">IFERROR(XLOOKUP(Q2476,'Classificação'!B:B,'Classificação'!C:C),"")</f>
        <v>DESPESAS FIXAS (-)</v>
      </c>
      <c r="S2476" s="15">
        <f t="shared" si="131"/>
        <v>23</v>
      </c>
      <c r="T2476" s="15">
        <f t="shared" si="128"/>
        <v>2</v>
      </c>
      <c r="U2476" s="15">
        <f t="shared" si="129"/>
        <v>2026</v>
      </c>
      <c r="V2476" s="15">
        <f t="shared" si="8"/>
        <v>23</v>
      </c>
      <c r="W2476" s="15">
        <f t="shared" si="9"/>
        <v>2</v>
      </c>
      <c r="X2476" s="15">
        <f t="shared" si="10"/>
        <v>2026</v>
      </c>
    </row>
    <row r="2477">
      <c r="A2477" s="9">
        <v>46076.0</v>
      </c>
      <c r="B2477" s="10"/>
      <c r="C2477" s="9">
        <f t="shared" si="173"/>
        <v>46076</v>
      </c>
      <c r="D2477" s="28" t="s">
        <v>76</v>
      </c>
      <c r="E2477" s="29" t="s">
        <v>25</v>
      </c>
      <c r="F2477" s="28" t="s">
        <v>26</v>
      </c>
      <c r="G2477" s="29" t="s">
        <v>37</v>
      </c>
      <c r="H2477" s="28" t="s">
        <v>84</v>
      </c>
      <c r="I2477" s="24">
        <v>2429.4</v>
      </c>
      <c r="J2477" s="13"/>
      <c r="K2477" s="13">
        <f t="shared" si="175"/>
        <v>2429.4</v>
      </c>
      <c r="L2477" s="28" t="s">
        <v>53</v>
      </c>
      <c r="M2477" s="16" t="s">
        <v>1262</v>
      </c>
      <c r="N2477" s="28" t="s">
        <v>85</v>
      </c>
      <c r="O2477" s="10" t="str">
        <f t="shared" si="79"/>
        <v>02/2026</v>
      </c>
      <c r="P2477" s="10" t="str">
        <f t="shared" si="176"/>
        <v>02/2026</v>
      </c>
      <c r="Q2477" s="15" t="str">
        <f t="array" ref="Q2477">IFERROR(XLOOKUP(N2477,'Classificação'!A:A,'Classificação'!B:B),"")</f>
        <v>DESPESAS NÃO OPERACIONAIS</v>
      </c>
      <c r="R2477" s="15" t="str">
        <f t="array" ref="R2477">IFERROR(XLOOKUP(Q2477,'Classificação'!B:B,'Classificação'!C:C),"")</f>
        <v>RESULTADO NÃO OPERACIONAL (+/-)</v>
      </c>
      <c r="S2477" s="15">
        <f t="shared" si="131"/>
        <v>23</v>
      </c>
      <c r="T2477" s="15">
        <f t="shared" si="128"/>
        <v>2</v>
      </c>
      <c r="U2477" s="15">
        <f t="shared" si="129"/>
        <v>2026</v>
      </c>
      <c r="V2477" s="15">
        <f t="shared" si="8"/>
        <v>23</v>
      </c>
      <c r="W2477" s="15">
        <f t="shared" si="9"/>
        <v>2</v>
      </c>
      <c r="X2477" s="15">
        <f t="shared" si="10"/>
        <v>2026</v>
      </c>
    </row>
    <row r="2478">
      <c r="A2478" s="26">
        <v>46076.0</v>
      </c>
      <c r="B2478" s="30"/>
      <c r="C2478" s="27">
        <f t="shared" si="173"/>
        <v>46076</v>
      </c>
      <c r="D2478" s="29" t="s">
        <v>782</v>
      </c>
      <c r="E2478" s="29" t="s">
        <v>25</v>
      </c>
      <c r="F2478" s="29" t="s">
        <v>26</v>
      </c>
      <c r="G2478" s="29" t="s">
        <v>37</v>
      </c>
      <c r="H2478" s="29" t="s">
        <v>1263</v>
      </c>
      <c r="I2478" s="24">
        <v>1224.35</v>
      </c>
      <c r="J2478" s="34"/>
      <c r="K2478" s="13">
        <f t="shared" si="175"/>
        <v>1224.35</v>
      </c>
      <c r="L2478" s="29" t="s">
        <v>34</v>
      </c>
      <c r="M2478" s="28"/>
      <c r="N2478" s="29" t="s">
        <v>35</v>
      </c>
      <c r="O2478" s="10" t="str">
        <f t="shared" si="79"/>
        <v>02/2026</v>
      </c>
      <c r="P2478" s="10" t="str">
        <f t="shared" si="176"/>
        <v>02/2026</v>
      </c>
      <c r="Q2478" s="15" t="str">
        <f t="array" ref="Q2478">IFERROR(XLOOKUP(N2478,'Classificação'!A:A,'Classificação'!B:B),"")</f>
        <v>COMPRA DE MERCADORIA</v>
      </c>
      <c r="R2478" s="15" t="str">
        <f t="array" ref="R2478">IFERROR(XLOOKUP(Q2478,'Classificação'!B:B,'Classificação'!C:C),"")</f>
        <v>CUSTOS VARIÁVEIS</v>
      </c>
      <c r="S2478" s="15">
        <f t="shared" si="131"/>
        <v>23</v>
      </c>
      <c r="T2478" s="15">
        <f t="shared" si="128"/>
        <v>2</v>
      </c>
      <c r="U2478" s="15">
        <f t="shared" si="129"/>
        <v>2026</v>
      </c>
      <c r="V2478" s="15">
        <f t="shared" si="8"/>
        <v>23</v>
      </c>
      <c r="W2478" s="15">
        <f t="shared" si="9"/>
        <v>2</v>
      </c>
      <c r="X2478" s="15">
        <f t="shared" si="10"/>
        <v>2026</v>
      </c>
    </row>
    <row r="2479">
      <c r="A2479" s="9">
        <v>46076.0</v>
      </c>
      <c r="B2479" s="10"/>
      <c r="C2479" s="9">
        <f t="shared" si="173"/>
        <v>46076</v>
      </c>
      <c r="D2479" s="29" t="s">
        <v>558</v>
      </c>
      <c r="E2479" s="29" t="s">
        <v>25</v>
      </c>
      <c r="F2479" s="29" t="s">
        <v>26</v>
      </c>
      <c r="G2479" s="29" t="s">
        <v>37</v>
      </c>
      <c r="H2479" s="43" t="s">
        <v>1264</v>
      </c>
      <c r="I2479" s="24">
        <v>277.3</v>
      </c>
      <c r="J2479" s="13"/>
      <c r="K2479" s="13">
        <f t="shared" si="175"/>
        <v>277.3</v>
      </c>
      <c r="L2479" s="29" t="s">
        <v>34</v>
      </c>
      <c r="M2479" s="16"/>
      <c r="N2479" s="29" t="s">
        <v>105</v>
      </c>
      <c r="O2479" s="10" t="str">
        <f t="shared" si="79"/>
        <v>02/2026</v>
      </c>
      <c r="P2479" s="10" t="str">
        <f t="shared" si="176"/>
        <v>02/2026</v>
      </c>
      <c r="Q2479" s="15" t="str">
        <f t="array" ref="Q2479">IFERROR(XLOOKUP(N2479,'Classificação'!A:A,'Classificação'!B:B),"")</f>
        <v>DESPESAS ADMINISTRATIVAS</v>
      </c>
      <c r="R2479" s="15" t="str">
        <f t="array" ref="R2479">IFERROR(XLOOKUP(Q2479,'Classificação'!B:B,'Classificação'!C:C),"")</f>
        <v>DESPESAS FIXAS (-)</v>
      </c>
      <c r="S2479" s="15">
        <f t="shared" si="131"/>
        <v>23</v>
      </c>
      <c r="T2479" s="15">
        <f t="shared" si="128"/>
        <v>2</v>
      </c>
      <c r="U2479" s="15">
        <f t="shared" si="129"/>
        <v>2026</v>
      </c>
      <c r="V2479" s="15">
        <f t="shared" si="8"/>
        <v>23</v>
      </c>
      <c r="W2479" s="15">
        <f t="shared" si="9"/>
        <v>2</v>
      </c>
      <c r="X2479" s="15">
        <f t="shared" si="10"/>
        <v>2026</v>
      </c>
    </row>
    <row r="2480">
      <c r="A2480" s="9">
        <v>46076.0</v>
      </c>
      <c r="B2480" s="10"/>
      <c r="C2480" s="9">
        <f t="shared" si="173"/>
        <v>46076</v>
      </c>
      <c r="D2480" s="29" t="s">
        <v>558</v>
      </c>
      <c r="E2480" s="29" t="s">
        <v>25</v>
      </c>
      <c r="F2480" s="29" t="s">
        <v>26</v>
      </c>
      <c r="G2480" s="29" t="s">
        <v>37</v>
      </c>
      <c r="H2480" s="11" t="s">
        <v>1265</v>
      </c>
      <c r="I2480" s="31">
        <v>108.35</v>
      </c>
      <c r="J2480" s="13"/>
      <c r="K2480" s="13">
        <f t="shared" si="175"/>
        <v>108.35</v>
      </c>
      <c r="L2480" s="29" t="s">
        <v>34</v>
      </c>
      <c r="M2480" s="14"/>
      <c r="N2480" s="29" t="s">
        <v>105</v>
      </c>
      <c r="O2480" s="10" t="str">
        <f t="shared" si="79"/>
        <v>02/2026</v>
      </c>
      <c r="P2480" s="10" t="str">
        <f t="shared" si="176"/>
        <v>02/2026</v>
      </c>
      <c r="Q2480" s="15" t="str">
        <f t="array" ref="Q2480">IFERROR(XLOOKUP(N2480,'Classificação'!A:A,'Classificação'!B:B),"")</f>
        <v>DESPESAS ADMINISTRATIVAS</v>
      </c>
      <c r="R2480" s="15" t="str">
        <f t="array" ref="R2480">IFERROR(XLOOKUP(Q2480,'Classificação'!B:B,'Classificação'!C:C),"")</f>
        <v>DESPESAS FIXAS (-)</v>
      </c>
      <c r="S2480" s="15">
        <f t="shared" si="131"/>
        <v>23</v>
      </c>
      <c r="T2480" s="15">
        <f t="shared" si="128"/>
        <v>2</v>
      </c>
      <c r="U2480" s="15">
        <f t="shared" si="129"/>
        <v>2026</v>
      </c>
      <c r="V2480" s="15">
        <f t="shared" si="8"/>
        <v>23</v>
      </c>
      <c r="W2480" s="15">
        <f t="shared" si="9"/>
        <v>2</v>
      </c>
      <c r="X2480" s="15">
        <f t="shared" si="10"/>
        <v>2026</v>
      </c>
    </row>
    <row r="2481">
      <c r="A2481" s="9">
        <v>46076.0</v>
      </c>
      <c r="B2481" s="10"/>
      <c r="C2481" s="9">
        <f t="shared" si="173"/>
        <v>46076</v>
      </c>
      <c r="D2481" s="11" t="s">
        <v>570</v>
      </c>
      <c r="E2481" s="29" t="s">
        <v>25</v>
      </c>
      <c r="F2481" s="11" t="s">
        <v>26</v>
      </c>
      <c r="G2481" s="11" t="s">
        <v>37</v>
      </c>
      <c r="H2481" s="44" t="s">
        <v>1266</v>
      </c>
      <c r="I2481" s="31">
        <v>5017.49</v>
      </c>
      <c r="J2481" s="13"/>
      <c r="K2481" s="13">
        <f t="shared" si="175"/>
        <v>5017.49</v>
      </c>
      <c r="L2481" s="11" t="s">
        <v>34</v>
      </c>
      <c r="M2481" s="14"/>
      <c r="N2481" s="11" t="s">
        <v>448</v>
      </c>
      <c r="O2481" s="10" t="str">
        <f t="shared" si="79"/>
        <v>02/2026</v>
      </c>
      <c r="P2481" s="10" t="str">
        <f t="shared" si="176"/>
        <v>02/2026</v>
      </c>
      <c r="Q2481" s="15" t="str">
        <f t="array" ref="Q2481">IFERROR(XLOOKUP(N2481,'Classificação'!A:A,'Classificação'!B:B),"")</f>
        <v>DESPESAS ADMINISTRATIVAS</v>
      </c>
      <c r="R2481" s="15" t="str">
        <f t="array" ref="R2481">IFERROR(XLOOKUP(Q2481,'Classificação'!B:B,'Classificação'!C:C),"")</f>
        <v>DESPESAS FIXAS (-)</v>
      </c>
      <c r="S2481" s="15">
        <f t="shared" si="131"/>
        <v>23</v>
      </c>
      <c r="T2481" s="15">
        <f t="shared" si="128"/>
        <v>2</v>
      </c>
      <c r="U2481" s="15">
        <f t="shared" si="129"/>
        <v>2026</v>
      </c>
      <c r="V2481" s="15">
        <f t="shared" si="8"/>
        <v>23</v>
      </c>
      <c r="W2481" s="15">
        <f t="shared" si="9"/>
        <v>2</v>
      </c>
      <c r="X2481" s="15">
        <f t="shared" si="10"/>
        <v>2026</v>
      </c>
    </row>
    <row r="2482">
      <c r="A2482" s="9">
        <v>46076.0</v>
      </c>
      <c r="B2482" s="9">
        <v>46039.0</v>
      </c>
      <c r="C2482" s="9">
        <f t="shared" si="173"/>
        <v>46076</v>
      </c>
      <c r="D2482" s="11" t="s">
        <v>179</v>
      </c>
      <c r="E2482" s="29" t="s">
        <v>25</v>
      </c>
      <c r="F2482" s="11" t="s">
        <v>26</v>
      </c>
      <c r="G2482" s="11" t="s">
        <v>37</v>
      </c>
      <c r="H2482" s="11" t="s">
        <v>1267</v>
      </c>
      <c r="I2482" s="31">
        <v>313.91</v>
      </c>
      <c r="J2482" s="13"/>
      <c r="K2482" s="13">
        <f t="shared" si="175"/>
        <v>313.91</v>
      </c>
      <c r="L2482" s="11" t="s">
        <v>34</v>
      </c>
      <c r="M2482" s="14"/>
      <c r="N2482" s="11" t="s">
        <v>181</v>
      </c>
      <c r="O2482" s="10" t="str">
        <f t="shared" si="79"/>
        <v>02/2026</v>
      </c>
      <c r="P2482" s="10" t="str">
        <f t="shared" si="176"/>
        <v>02/2026</v>
      </c>
      <c r="Q2482" s="15" t="str">
        <f t="array" ref="Q2482">IFERROR(XLOOKUP(N2482,'Classificação'!A:A,'Classificação'!B:B),"")</f>
        <v>DESPESAS COM VEICULOS</v>
      </c>
      <c r="R2482" s="15" t="str">
        <f t="array" ref="R2482">IFERROR(XLOOKUP(Q2482,'Classificação'!B:B,'Classificação'!C:C),"")</f>
        <v>DESPESAS FIXAS (-)</v>
      </c>
      <c r="S2482" s="15">
        <f t="shared" si="131"/>
        <v>23</v>
      </c>
      <c r="T2482" s="15">
        <f t="shared" si="128"/>
        <v>2</v>
      </c>
      <c r="U2482" s="15">
        <f t="shared" si="129"/>
        <v>2026</v>
      </c>
      <c r="V2482" s="15">
        <f t="shared" si="8"/>
        <v>23</v>
      </c>
      <c r="W2482" s="15">
        <f t="shared" si="9"/>
        <v>2</v>
      </c>
      <c r="X2482" s="15">
        <f t="shared" si="10"/>
        <v>2026</v>
      </c>
    </row>
    <row r="2483">
      <c r="A2483" s="9">
        <v>46077.0</v>
      </c>
      <c r="B2483" s="10"/>
      <c r="C2483" s="9">
        <f t="shared" si="173"/>
        <v>46077</v>
      </c>
      <c r="D2483" s="11" t="s">
        <v>86</v>
      </c>
      <c r="E2483" s="29" t="s">
        <v>25</v>
      </c>
      <c r="F2483" s="11" t="s">
        <v>87</v>
      </c>
      <c r="G2483" s="28" t="s">
        <v>27</v>
      </c>
      <c r="H2483" s="11" t="s">
        <v>1268</v>
      </c>
      <c r="I2483" s="12">
        <v>3830.0</v>
      </c>
      <c r="J2483" s="13"/>
      <c r="K2483" s="13">
        <f t="shared" si="175"/>
        <v>3830</v>
      </c>
      <c r="L2483" s="11" t="s">
        <v>53</v>
      </c>
      <c r="M2483" s="17">
        <v>45750.0</v>
      </c>
      <c r="N2483" s="11" t="s">
        <v>35</v>
      </c>
      <c r="O2483" s="10" t="str">
        <f t="shared" si="79"/>
        <v>02/2026</v>
      </c>
      <c r="P2483" s="10" t="str">
        <f t="shared" si="176"/>
        <v>02/2026</v>
      </c>
      <c r="Q2483" s="15" t="str">
        <f t="array" ref="Q2483">IFERROR(XLOOKUP(N2483,'Classificação'!A:A,'Classificação'!B:B),"")</f>
        <v>COMPRA DE MERCADORIA</v>
      </c>
      <c r="R2483" s="15" t="str">
        <f t="array" ref="R2483">IFERROR(XLOOKUP(Q2483,'Classificação'!B:B,'Classificação'!C:C),"")</f>
        <v>CUSTOS VARIÁVEIS</v>
      </c>
      <c r="S2483" s="15">
        <f t="shared" si="131"/>
        <v>24</v>
      </c>
      <c r="T2483" s="15">
        <f t="shared" si="128"/>
        <v>2</v>
      </c>
      <c r="U2483" s="15">
        <f t="shared" si="129"/>
        <v>2026</v>
      </c>
      <c r="V2483" s="15">
        <f t="shared" si="8"/>
        <v>24</v>
      </c>
      <c r="W2483" s="15">
        <f t="shared" si="9"/>
        <v>2</v>
      </c>
      <c r="X2483" s="15">
        <f t="shared" si="10"/>
        <v>2026</v>
      </c>
    </row>
    <row r="2484">
      <c r="A2484" s="26">
        <v>46078.0</v>
      </c>
      <c r="B2484" s="28"/>
      <c r="C2484" s="27">
        <f t="shared" si="173"/>
        <v>46078</v>
      </c>
      <c r="D2484" s="28" t="s">
        <v>208</v>
      </c>
      <c r="E2484" s="29" t="s">
        <v>25</v>
      </c>
      <c r="F2484" s="28" t="s">
        <v>40</v>
      </c>
      <c r="G2484" s="29" t="s">
        <v>37</v>
      </c>
      <c r="H2484" s="28" t="s">
        <v>209</v>
      </c>
      <c r="I2484" s="37">
        <v>204.96</v>
      </c>
      <c r="J2484" s="34"/>
      <c r="K2484" s="37">
        <f t="shared" ref="K2484:K2488" si="177">IF(E2484="pago",(I2484-J2484),"")</f>
        <v>204.96</v>
      </c>
      <c r="L2484" s="28" t="s">
        <v>29</v>
      </c>
      <c r="M2484" s="28"/>
      <c r="N2484" s="28" t="s">
        <v>210</v>
      </c>
      <c r="O2484" s="10" t="str">
        <f t="shared" si="79"/>
        <v>02/2026</v>
      </c>
      <c r="P2484" s="10" t="str">
        <f t="shared" si="176"/>
        <v>02/2026</v>
      </c>
      <c r="Q2484" s="15" t="str">
        <f t="array" ref="Q2484">IFERROR(XLOOKUP(N2484,'Classificação'!A:A,'Classificação'!B:B),"")</f>
        <v>DESPESAS COM OCUPAÇÃO</v>
      </c>
      <c r="R2484" s="15" t="str">
        <f t="array" ref="R2484">IFERROR(XLOOKUP(Q2484,'Classificação'!B:B,'Classificação'!C:C),"")</f>
        <v>DESPESAS FIXAS (-)</v>
      </c>
      <c r="S2484" s="15">
        <f t="shared" si="131"/>
        <v>25</v>
      </c>
      <c r="T2484" s="15">
        <f t="shared" si="128"/>
        <v>2</v>
      </c>
      <c r="U2484" s="15">
        <f t="shared" si="129"/>
        <v>2026</v>
      </c>
      <c r="V2484" s="15">
        <f t="shared" si="8"/>
        <v>25</v>
      </c>
      <c r="W2484" s="15">
        <f t="shared" si="9"/>
        <v>2</v>
      </c>
      <c r="X2484" s="15">
        <f t="shared" si="10"/>
        <v>2026</v>
      </c>
    </row>
    <row r="2485">
      <c r="A2485" s="26">
        <v>46079.0</v>
      </c>
      <c r="B2485" s="30"/>
      <c r="C2485" s="27">
        <f t="shared" si="173"/>
        <v>46079</v>
      </c>
      <c r="D2485" s="28" t="s">
        <v>80</v>
      </c>
      <c r="E2485" s="29" t="s">
        <v>25</v>
      </c>
      <c r="F2485" s="28" t="s">
        <v>40</v>
      </c>
      <c r="G2485" s="28" t="s">
        <v>27</v>
      </c>
      <c r="H2485" s="29" t="s">
        <v>1100</v>
      </c>
      <c r="I2485" s="37">
        <v>550.0</v>
      </c>
      <c r="J2485" s="34"/>
      <c r="K2485" s="37">
        <f t="shared" si="177"/>
        <v>550</v>
      </c>
      <c r="L2485" s="28" t="s">
        <v>29</v>
      </c>
      <c r="M2485" s="28"/>
      <c r="N2485" s="28" t="s">
        <v>204</v>
      </c>
      <c r="O2485" s="10" t="str">
        <f t="shared" si="79"/>
        <v>02/2026</v>
      </c>
      <c r="P2485" s="10" t="str">
        <f t="shared" si="176"/>
        <v>02/2026</v>
      </c>
      <c r="Q2485" s="15" t="str">
        <f t="array" ref="Q2485">IFERROR(XLOOKUP(N2485,'Classificação'!A:A,'Classificação'!B:B),"")</f>
        <v>DESPESAS COM PESSOAL</v>
      </c>
      <c r="R2485" s="15" t="str">
        <f t="array" ref="R2485">IFERROR(XLOOKUP(Q2485,'Classificação'!B:B,'Classificação'!C:C),"")</f>
        <v>DESPESAS FIXAS (-)</v>
      </c>
      <c r="S2485" s="15">
        <f t="shared" si="131"/>
        <v>26</v>
      </c>
      <c r="T2485" s="15">
        <f t="shared" si="128"/>
        <v>2</v>
      </c>
      <c r="U2485" s="15">
        <f t="shared" si="129"/>
        <v>2026</v>
      </c>
      <c r="V2485" s="15">
        <f t="shared" si="8"/>
        <v>26</v>
      </c>
      <c r="W2485" s="15">
        <f t="shared" si="9"/>
        <v>2</v>
      </c>
      <c r="X2485" s="15">
        <f t="shared" si="10"/>
        <v>2026</v>
      </c>
    </row>
    <row r="2486">
      <c r="A2486" s="26">
        <v>46079.0</v>
      </c>
      <c r="B2486" s="28"/>
      <c r="C2486" s="27">
        <f t="shared" si="173"/>
        <v>46079</v>
      </c>
      <c r="D2486" s="29" t="s">
        <v>1094</v>
      </c>
      <c r="E2486" s="29" t="s">
        <v>25</v>
      </c>
      <c r="F2486" s="28" t="s">
        <v>40</v>
      </c>
      <c r="G2486" s="29" t="s">
        <v>37</v>
      </c>
      <c r="H2486" s="28" t="s">
        <v>1100</v>
      </c>
      <c r="I2486" s="37">
        <v>550.0</v>
      </c>
      <c r="J2486" s="34"/>
      <c r="K2486" s="37">
        <f t="shared" si="177"/>
        <v>550</v>
      </c>
      <c r="L2486" s="28" t="s">
        <v>29</v>
      </c>
      <c r="M2486" s="28"/>
      <c r="N2486" s="28" t="s">
        <v>204</v>
      </c>
      <c r="O2486" s="10" t="str">
        <f t="shared" si="79"/>
        <v>02/2026</v>
      </c>
      <c r="P2486" s="10" t="str">
        <f t="shared" si="176"/>
        <v>02/2026</v>
      </c>
      <c r="Q2486" s="15" t="str">
        <f t="array" ref="Q2486">IFERROR(XLOOKUP(N2486,'Classificação'!A:A,'Classificação'!B:B),"")</f>
        <v>DESPESAS COM PESSOAL</v>
      </c>
      <c r="R2486" s="15" t="str">
        <f t="array" ref="R2486">IFERROR(XLOOKUP(Q2486,'Classificação'!B:B,'Classificação'!C:C),"")</f>
        <v>DESPESAS FIXAS (-)</v>
      </c>
      <c r="S2486" s="15">
        <f t="shared" si="131"/>
        <v>26</v>
      </c>
      <c r="T2486" s="15">
        <f t="shared" si="128"/>
        <v>2</v>
      </c>
      <c r="U2486" s="15">
        <f t="shared" si="129"/>
        <v>2026</v>
      </c>
      <c r="V2486" s="15">
        <f t="shared" si="8"/>
        <v>26</v>
      </c>
      <c r="W2486" s="15">
        <f t="shared" si="9"/>
        <v>2</v>
      </c>
      <c r="X2486" s="15">
        <f t="shared" si="10"/>
        <v>2026</v>
      </c>
    </row>
    <row r="2487">
      <c r="A2487" s="26">
        <v>46080.0</v>
      </c>
      <c r="B2487" s="28"/>
      <c r="C2487" s="27">
        <f t="shared" si="173"/>
        <v>46080</v>
      </c>
      <c r="D2487" s="29" t="s">
        <v>1094</v>
      </c>
      <c r="E2487" s="29" t="s">
        <v>25</v>
      </c>
      <c r="F2487" s="29" t="s">
        <v>26</v>
      </c>
      <c r="G2487" s="29" t="s">
        <v>37</v>
      </c>
      <c r="H2487" s="28" t="s">
        <v>1150</v>
      </c>
      <c r="I2487" s="24">
        <v>1226.57</v>
      </c>
      <c r="J2487" s="34"/>
      <c r="K2487" s="37">
        <f t="shared" si="177"/>
        <v>1226.57</v>
      </c>
      <c r="L2487" s="28" t="s">
        <v>29</v>
      </c>
      <c r="M2487" s="28"/>
      <c r="N2487" s="28" t="s">
        <v>38</v>
      </c>
      <c r="O2487" s="10" t="str">
        <f t="shared" si="79"/>
        <v>02/2026</v>
      </c>
      <c r="P2487" s="10" t="str">
        <f t="shared" si="176"/>
        <v>02/2026</v>
      </c>
      <c r="Q2487" s="15" t="str">
        <f t="array" ref="Q2487">IFERROR(XLOOKUP(N2487,'Classificação'!A:A,'Classificação'!B:B),"")</f>
        <v>DESPESAS COM PESSOAL</v>
      </c>
      <c r="R2487" s="15" t="str">
        <f t="array" ref="R2487">IFERROR(XLOOKUP(Q2487,'Classificação'!B:B,'Classificação'!C:C),"")</f>
        <v>DESPESAS FIXAS (-)</v>
      </c>
      <c r="S2487" s="15">
        <f t="shared" si="131"/>
        <v>27</v>
      </c>
      <c r="T2487" s="15">
        <f t="shared" si="128"/>
        <v>2</v>
      </c>
      <c r="U2487" s="15">
        <f t="shared" si="129"/>
        <v>2026</v>
      </c>
      <c r="V2487" s="15">
        <f t="shared" si="8"/>
        <v>27</v>
      </c>
      <c r="W2487" s="15">
        <f t="shared" si="9"/>
        <v>2</v>
      </c>
      <c r="X2487" s="15">
        <f t="shared" si="10"/>
        <v>2026</v>
      </c>
    </row>
    <row r="2488">
      <c r="A2488" s="26">
        <v>46080.0</v>
      </c>
      <c r="B2488" s="30"/>
      <c r="C2488" s="27">
        <f t="shared" si="173"/>
        <v>46080</v>
      </c>
      <c r="D2488" s="28" t="s">
        <v>80</v>
      </c>
      <c r="E2488" s="29" t="s">
        <v>25</v>
      </c>
      <c r="F2488" s="28" t="s">
        <v>32</v>
      </c>
      <c r="G2488" s="28" t="s">
        <v>27</v>
      </c>
      <c r="H2488" s="29" t="s">
        <v>1150</v>
      </c>
      <c r="I2488" s="24">
        <v>978.38</v>
      </c>
      <c r="J2488" s="34"/>
      <c r="K2488" s="37">
        <f t="shared" si="177"/>
        <v>978.38</v>
      </c>
      <c r="L2488" s="28" t="s">
        <v>29</v>
      </c>
      <c r="M2488" s="28"/>
      <c r="N2488" s="28" t="s">
        <v>38</v>
      </c>
      <c r="O2488" s="10" t="str">
        <f t="shared" si="79"/>
        <v>02/2026</v>
      </c>
      <c r="P2488" s="10" t="str">
        <f t="shared" si="176"/>
        <v>02/2026</v>
      </c>
      <c r="Q2488" s="15" t="str">
        <f t="array" ref="Q2488">IFERROR(XLOOKUP(N2488,'Classificação'!A:A,'Classificação'!B:B),"")</f>
        <v>DESPESAS COM PESSOAL</v>
      </c>
      <c r="R2488" s="15" t="str">
        <f t="array" ref="R2488">IFERROR(XLOOKUP(Q2488,'Classificação'!B:B,'Classificação'!C:C),"")</f>
        <v>DESPESAS FIXAS (-)</v>
      </c>
      <c r="S2488" s="15">
        <f t="shared" si="131"/>
        <v>27</v>
      </c>
      <c r="T2488" s="15">
        <f t="shared" si="128"/>
        <v>2</v>
      </c>
      <c r="U2488" s="15">
        <f t="shared" si="129"/>
        <v>2026</v>
      </c>
      <c r="V2488" s="15">
        <f t="shared" si="8"/>
        <v>27</v>
      </c>
      <c r="W2488" s="15">
        <f t="shared" si="9"/>
        <v>2</v>
      </c>
      <c r="X2488" s="15">
        <f t="shared" si="10"/>
        <v>2026</v>
      </c>
    </row>
    <row r="2489">
      <c r="A2489" s="9">
        <v>46080.0</v>
      </c>
      <c r="B2489" s="10"/>
      <c r="C2489" s="9">
        <f t="shared" si="173"/>
        <v>46080</v>
      </c>
      <c r="D2489" s="11" t="s">
        <v>1229</v>
      </c>
      <c r="E2489" s="29" t="s">
        <v>25</v>
      </c>
      <c r="F2489" s="11" t="s">
        <v>26</v>
      </c>
      <c r="G2489" s="11" t="s">
        <v>37</v>
      </c>
      <c r="H2489" s="11" t="s">
        <v>1230</v>
      </c>
      <c r="I2489" s="31">
        <v>1260.0</v>
      </c>
      <c r="J2489" s="13"/>
      <c r="K2489" s="13">
        <f>if(E2489="pago",(I2489-J2489),"")</f>
        <v>1260</v>
      </c>
      <c r="L2489" s="11" t="s">
        <v>29</v>
      </c>
      <c r="M2489" s="14"/>
      <c r="N2489" s="11" t="s">
        <v>58</v>
      </c>
      <c r="O2489" s="10" t="str">
        <f t="shared" si="79"/>
        <v>02/2026</v>
      </c>
      <c r="P2489" s="10" t="str">
        <f t="shared" si="176"/>
        <v>02/2026</v>
      </c>
      <c r="Q2489" s="15" t="str">
        <f t="array" ref="Q2489">IFERROR(XLOOKUP(N2489,'Classificação'!A:A,'Classificação'!B:B),"")</f>
        <v>DESPESAS ADMINISTRATIVAS</v>
      </c>
      <c r="R2489" s="15" t="str">
        <f t="array" ref="R2489">IFERROR(XLOOKUP(Q2489,'Classificação'!B:B,'Classificação'!C:C),"")</f>
        <v>DESPESAS FIXAS (-)</v>
      </c>
      <c r="S2489" s="15">
        <f t="shared" si="131"/>
        <v>27</v>
      </c>
      <c r="T2489" s="15">
        <f t="shared" si="128"/>
        <v>2</v>
      </c>
      <c r="U2489" s="15">
        <f t="shared" si="129"/>
        <v>2026</v>
      </c>
      <c r="V2489" s="15">
        <f t="shared" si="8"/>
        <v>27</v>
      </c>
      <c r="W2489" s="15">
        <f t="shared" si="9"/>
        <v>2</v>
      </c>
      <c r="X2489" s="15">
        <f t="shared" si="10"/>
        <v>2026</v>
      </c>
    </row>
    <row r="2490">
      <c r="A2490" s="26">
        <v>46080.0</v>
      </c>
      <c r="B2490" s="28"/>
      <c r="C2490" s="27">
        <f t="shared" si="173"/>
        <v>46080</v>
      </c>
      <c r="D2490" s="29" t="s">
        <v>1046</v>
      </c>
      <c r="E2490" s="29" t="s">
        <v>25</v>
      </c>
      <c r="F2490" s="29" t="s">
        <v>26</v>
      </c>
      <c r="G2490" s="29" t="s">
        <v>37</v>
      </c>
      <c r="H2490" s="29" t="s">
        <v>1231</v>
      </c>
      <c r="I2490" s="24">
        <v>150.0</v>
      </c>
      <c r="J2490" s="34"/>
      <c r="K2490" s="37">
        <f t="shared" ref="K2490:K2492" si="178">IF(E2490="pago",(I2490-J2490),"")</f>
        <v>150</v>
      </c>
      <c r="L2490" s="28" t="s">
        <v>29</v>
      </c>
      <c r="M2490" s="28"/>
      <c r="N2490" s="28" t="s">
        <v>224</v>
      </c>
      <c r="O2490" s="10" t="str">
        <f t="shared" si="79"/>
        <v>02/2026</v>
      </c>
      <c r="P2490" s="10" t="str">
        <f t="shared" si="176"/>
        <v>02/2026</v>
      </c>
      <c r="Q2490" s="15" t="str">
        <f t="array" ref="Q2490">IFERROR(XLOOKUP(N2490,'Classificação'!A:A,'Classificação'!B:B),"")</f>
        <v>DESPESAS ADMINISTRATIVAS</v>
      </c>
      <c r="R2490" s="15" t="str">
        <f t="array" ref="R2490">IFERROR(XLOOKUP(Q2490,'Classificação'!B:B,'Classificação'!C:C),"")</f>
        <v>DESPESAS FIXAS (-)</v>
      </c>
      <c r="S2490" s="15">
        <f t="shared" si="131"/>
        <v>27</v>
      </c>
      <c r="T2490" s="15">
        <f t="shared" si="128"/>
        <v>2</v>
      </c>
      <c r="U2490" s="15">
        <f t="shared" si="129"/>
        <v>2026</v>
      </c>
      <c r="V2490" s="15">
        <f t="shared" si="8"/>
        <v>27</v>
      </c>
      <c r="W2490" s="15">
        <f t="shared" si="9"/>
        <v>2</v>
      </c>
      <c r="X2490" s="15">
        <f t="shared" si="10"/>
        <v>2026</v>
      </c>
    </row>
    <row r="2491">
      <c r="A2491" s="26">
        <v>46083.0</v>
      </c>
      <c r="B2491" s="28"/>
      <c r="C2491" s="27">
        <f t="shared" si="173"/>
        <v>46083</v>
      </c>
      <c r="D2491" s="28" t="s">
        <v>221</v>
      </c>
      <c r="E2491" s="29" t="s">
        <v>25</v>
      </c>
      <c r="F2491" s="28" t="s">
        <v>32</v>
      </c>
      <c r="G2491" s="28" t="s">
        <v>27</v>
      </c>
      <c r="H2491" s="28" t="s">
        <v>222</v>
      </c>
      <c r="I2491" s="24">
        <v>408.0</v>
      </c>
      <c r="J2491" s="34"/>
      <c r="K2491" s="37">
        <f t="shared" si="178"/>
        <v>408</v>
      </c>
      <c r="L2491" s="28" t="s">
        <v>29</v>
      </c>
      <c r="M2491" s="14"/>
      <c r="N2491" s="11" t="s">
        <v>61</v>
      </c>
      <c r="O2491" s="10" t="str">
        <f t="shared" si="79"/>
        <v>03/2026</v>
      </c>
      <c r="P2491" s="10" t="str">
        <f t="shared" si="176"/>
        <v>03/2026</v>
      </c>
      <c r="Q2491" s="15" t="str">
        <f t="array" ref="Q2491">IFERROR(XLOOKUP(N2491,'Classificação'!A:A,'Classificação'!B:B),"")</f>
        <v>DESPESAS ADMINISTRATIVAS</v>
      </c>
      <c r="R2491" s="15" t="str">
        <f t="array" ref="R2491">IFERROR(XLOOKUP(Q2491,'Classificação'!B:B,'Classificação'!C:C),"")</f>
        <v>DESPESAS FIXAS (-)</v>
      </c>
      <c r="S2491" s="15">
        <f t="shared" si="131"/>
        <v>2</v>
      </c>
      <c r="T2491" s="15">
        <f t="shared" si="128"/>
        <v>3</v>
      </c>
      <c r="U2491" s="15">
        <f t="shared" si="129"/>
        <v>2026</v>
      </c>
      <c r="V2491" s="15">
        <f t="shared" si="8"/>
        <v>2</v>
      </c>
      <c r="W2491" s="15">
        <f t="shared" si="9"/>
        <v>3</v>
      </c>
      <c r="X2491" s="15">
        <f t="shared" si="10"/>
        <v>2026</v>
      </c>
    </row>
    <row r="2492">
      <c r="A2492" s="9">
        <v>46083.0</v>
      </c>
      <c r="B2492" s="10"/>
      <c r="C2492" s="9">
        <f t="shared" si="173"/>
        <v>46083</v>
      </c>
      <c r="D2492" s="28" t="s">
        <v>24</v>
      </c>
      <c r="E2492" s="29" t="s">
        <v>25</v>
      </c>
      <c r="F2492" s="28" t="s">
        <v>26</v>
      </c>
      <c r="G2492" s="28" t="s">
        <v>27</v>
      </c>
      <c r="H2492" s="28" t="s">
        <v>28</v>
      </c>
      <c r="I2492" s="24">
        <v>6655.71</v>
      </c>
      <c r="J2492" s="34"/>
      <c r="K2492" s="37">
        <f t="shared" si="178"/>
        <v>6655.71</v>
      </c>
      <c r="L2492" s="28" t="s">
        <v>29</v>
      </c>
      <c r="M2492" s="28"/>
      <c r="N2492" s="28" t="s">
        <v>30</v>
      </c>
      <c r="O2492" s="10" t="str">
        <f t="shared" si="79"/>
        <v>03/2026</v>
      </c>
      <c r="P2492" s="10" t="str">
        <f t="shared" si="176"/>
        <v>03/2026</v>
      </c>
      <c r="Q2492" s="15" t="str">
        <f t="array" ref="Q2492">IFERROR(XLOOKUP(N2492,'Classificação'!A:A,'Classificação'!B:B),"")</f>
        <v>DESPESAS COM OCUPAÇÃO</v>
      </c>
      <c r="R2492" s="15" t="str">
        <f t="array" ref="R2492">IFERROR(XLOOKUP(Q2492,'Classificação'!B:B,'Classificação'!C:C),"")</f>
        <v>DESPESAS FIXAS (-)</v>
      </c>
      <c r="S2492" s="15">
        <f t="shared" si="131"/>
        <v>2</v>
      </c>
      <c r="T2492" s="15">
        <f t="shared" si="128"/>
        <v>3</v>
      </c>
      <c r="U2492" s="15">
        <f t="shared" si="129"/>
        <v>2026</v>
      </c>
      <c r="V2492" s="15">
        <f t="shared" si="8"/>
        <v>2</v>
      </c>
      <c r="W2492" s="15">
        <f t="shared" si="9"/>
        <v>3</v>
      </c>
      <c r="X2492" s="15">
        <f t="shared" si="10"/>
        <v>2026</v>
      </c>
    </row>
    <row r="2493">
      <c r="A2493" s="26">
        <v>46083.0</v>
      </c>
      <c r="B2493" s="10"/>
      <c r="C2493" s="9">
        <f t="shared" si="173"/>
        <v>46083</v>
      </c>
      <c r="D2493" s="28" t="s">
        <v>322</v>
      </c>
      <c r="E2493" s="29" t="s">
        <v>25</v>
      </c>
      <c r="F2493" s="15" t="s">
        <v>40</v>
      </c>
      <c r="G2493" s="28" t="s">
        <v>37</v>
      </c>
      <c r="H2493" s="29" t="s">
        <v>778</v>
      </c>
      <c r="I2493" s="24">
        <v>113.49</v>
      </c>
      <c r="J2493" s="13"/>
      <c r="K2493" s="13">
        <f t="shared" ref="K2493:K2495" si="179">if(E2493="pago",(I2493-J2493),"")</f>
        <v>113.49</v>
      </c>
      <c r="L2493" s="15" t="s">
        <v>29</v>
      </c>
      <c r="M2493" s="14"/>
      <c r="N2493" s="28" t="s">
        <v>105</v>
      </c>
      <c r="O2493" s="10" t="str">
        <f t="shared" si="79"/>
        <v>03/2026</v>
      </c>
      <c r="P2493" s="10" t="str">
        <f t="shared" si="176"/>
        <v>03/2026</v>
      </c>
      <c r="Q2493" s="15" t="str">
        <f t="array" ref="Q2493">IFERROR(XLOOKUP(N2493,'Classificação'!A:A,'Classificação'!B:B),"")</f>
        <v>DESPESAS ADMINISTRATIVAS</v>
      </c>
      <c r="R2493" s="15" t="str">
        <f t="array" ref="R2493">IFERROR(XLOOKUP(Q2493,'Classificação'!B:B,'Classificação'!C:C),"")</f>
        <v>DESPESAS FIXAS (-)</v>
      </c>
      <c r="S2493" s="15">
        <f t="shared" si="131"/>
        <v>2</v>
      </c>
      <c r="T2493" s="15">
        <f t="shared" si="128"/>
        <v>3</v>
      </c>
      <c r="U2493" s="15">
        <f t="shared" si="129"/>
        <v>2026</v>
      </c>
      <c r="V2493" s="15">
        <f t="shared" si="8"/>
        <v>2</v>
      </c>
      <c r="W2493" s="15">
        <f t="shared" si="9"/>
        <v>3</v>
      </c>
      <c r="X2493" s="15">
        <f t="shared" si="10"/>
        <v>2026</v>
      </c>
    </row>
    <row r="2494">
      <c r="A2494" s="9">
        <v>46083.0</v>
      </c>
      <c r="B2494" s="10"/>
      <c r="C2494" s="9">
        <f t="shared" si="173"/>
        <v>46083</v>
      </c>
      <c r="D2494" s="28" t="s">
        <v>288</v>
      </c>
      <c r="E2494" s="29" t="s">
        <v>25</v>
      </c>
      <c r="F2494" s="28" t="s">
        <v>26</v>
      </c>
      <c r="G2494" s="29" t="s">
        <v>37</v>
      </c>
      <c r="H2494" s="29" t="s">
        <v>289</v>
      </c>
      <c r="I2494" s="37">
        <v>98.18</v>
      </c>
      <c r="J2494" s="34"/>
      <c r="K2494" s="13">
        <f t="shared" si="179"/>
        <v>98.18</v>
      </c>
      <c r="L2494" s="28" t="s">
        <v>29</v>
      </c>
      <c r="M2494" s="28"/>
      <c r="N2494" s="28" t="s">
        <v>105</v>
      </c>
      <c r="O2494" s="10" t="str">
        <f t="shared" si="79"/>
        <v>03/2026</v>
      </c>
      <c r="P2494" s="10" t="str">
        <f t="shared" si="176"/>
        <v>03/2026</v>
      </c>
      <c r="Q2494" s="15" t="str">
        <f t="array" ref="Q2494">IFERROR(XLOOKUP(N2494,'Classificação'!A:A,'Classificação'!B:B),"")</f>
        <v>DESPESAS ADMINISTRATIVAS</v>
      </c>
      <c r="R2494" s="15" t="str">
        <f t="array" ref="R2494">IFERROR(XLOOKUP(Q2494,'Classificação'!B:B,'Classificação'!C:C),"")</f>
        <v>DESPESAS FIXAS (-)</v>
      </c>
      <c r="S2494" s="15">
        <f t="shared" si="131"/>
        <v>2</v>
      </c>
      <c r="T2494" s="15">
        <f t="shared" si="128"/>
        <v>3</v>
      </c>
      <c r="U2494" s="15">
        <f t="shared" si="129"/>
        <v>2026</v>
      </c>
      <c r="V2494" s="15">
        <f t="shared" si="8"/>
        <v>2</v>
      </c>
      <c r="W2494" s="15">
        <f t="shared" si="9"/>
        <v>3</v>
      </c>
      <c r="X2494" s="15">
        <f t="shared" si="10"/>
        <v>2026</v>
      </c>
    </row>
    <row r="2495">
      <c r="A2495" s="9">
        <v>46083.0</v>
      </c>
      <c r="B2495" s="10"/>
      <c r="C2495" s="9">
        <f t="shared" si="173"/>
        <v>46083</v>
      </c>
      <c r="D2495" s="11" t="s">
        <v>940</v>
      </c>
      <c r="E2495" s="29" t="s">
        <v>25</v>
      </c>
      <c r="F2495" s="11" t="s">
        <v>26</v>
      </c>
      <c r="G2495" s="28" t="s">
        <v>27</v>
      </c>
      <c r="H2495" s="11" t="s">
        <v>1269</v>
      </c>
      <c r="I2495" s="31">
        <v>8.04</v>
      </c>
      <c r="J2495" s="13"/>
      <c r="K2495" s="13">
        <f t="shared" si="179"/>
        <v>8.04</v>
      </c>
      <c r="L2495" s="11" t="s">
        <v>34</v>
      </c>
      <c r="M2495" s="14"/>
      <c r="N2495" s="11" t="s">
        <v>574</v>
      </c>
      <c r="O2495" s="10" t="str">
        <f t="shared" si="79"/>
        <v>03/2026</v>
      </c>
      <c r="P2495" s="10" t="str">
        <f t="shared" si="176"/>
        <v>03/2026</v>
      </c>
      <c r="Q2495" s="15" t="str">
        <f t="array" ref="Q2495">IFERROR(XLOOKUP(N2495,'Classificação'!A:A,'Classificação'!B:B),"")</f>
        <v>TARIFAS FINANCEIRAS DIVERSAS</v>
      </c>
      <c r="R2495" s="15" t="str">
        <f t="array" ref="R2495">IFERROR(XLOOKUP(Q2495,'Classificação'!B:B,'Classificação'!C:C),"")</f>
        <v>(+/-) RESULTADO FINANCEIRO LÍQUIDO</v>
      </c>
      <c r="S2495" s="15">
        <f t="shared" si="131"/>
        <v>2</v>
      </c>
      <c r="T2495" s="15">
        <f t="shared" si="128"/>
        <v>3</v>
      </c>
      <c r="U2495" s="15">
        <f t="shared" si="129"/>
        <v>2026</v>
      </c>
      <c r="V2495" s="15">
        <f t="shared" si="8"/>
        <v>2</v>
      </c>
      <c r="W2495" s="15">
        <f t="shared" si="9"/>
        <v>3</v>
      </c>
      <c r="X2495" s="15">
        <f t="shared" si="10"/>
        <v>2026</v>
      </c>
    </row>
    <row r="2496">
      <c r="A2496" s="26">
        <v>46084.0</v>
      </c>
      <c r="B2496" s="28"/>
      <c r="C2496" s="27">
        <f t="shared" si="173"/>
        <v>46084</v>
      </c>
      <c r="D2496" s="28" t="s">
        <v>36</v>
      </c>
      <c r="E2496" s="29" t="s">
        <v>25</v>
      </c>
      <c r="F2496" s="28" t="s">
        <v>26</v>
      </c>
      <c r="G2496" s="29" t="s">
        <v>37</v>
      </c>
      <c r="H2496" s="28"/>
      <c r="I2496" s="24">
        <v>3750.0</v>
      </c>
      <c r="J2496" s="34"/>
      <c r="K2496" s="37">
        <f t="shared" ref="K2496:K2497" si="180">IF(E2496="pago",(I2496-J2496),"")</f>
        <v>3750</v>
      </c>
      <c r="L2496" s="28" t="s">
        <v>29</v>
      </c>
      <c r="M2496" s="28"/>
      <c r="N2496" s="28" t="s">
        <v>38</v>
      </c>
      <c r="O2496" s="10" t="str">
        <f t="shared" si="79"/>
        <v>03/2026</v>
      </c>
      <c r="P2496" s="10" t="str">
        <f>IF(C2496="","", TEXT(C2496,"mm/yyyy"))</f>
        <v>03/2026</v>
      </c>
      <c r="Q2496" s="15" t="str">
        <f t="array" ref="Q2496">IFERROR(XLOOKUP(N2496,'Classificação'!A:A,'Classificação'!B:B),"")</f>
        <v>DESPESAS COM PESSOAL</v>
      </c>
      <c r="R2496" s="15" t="str">
        <f t="array" ref="R2496">IFERROR(XLOOKUP(Q2496,'Classificação'!B:B,'Classificação'!C:C),"")</f>
        <v>DESPESAS FIXAS (-)</v>
      </c>
      <c r="S2496" s="15">
        <f t="shared" si="131"/>
        <v>3</v>
      </c>
      <c r="T2496" s="15">
        <f t="shared" si="128"/>
        <v>3</v>
      </c>
      <c r="U2496" s="15">
        <f t="shared" si="129"/>
        <v>2026</v>
      </c>
      <c r="V2496" s="15">
        <f t="shared" si="8"/>
        <v>3</v>
      </c>
      <c r="W2496" s="15">
        <f t="shared" si="9"/>
        <v>3</v>
      </c>
      <c r="X2496" s="15">
        <f t="shared" si="10"/>
        <v>2026</v>
      </c>
    </row>
    <row r="2497">
      <c r="A2497" s="26">
        <v>46084.0</v>
      </c>
      <c r="B2497" s="28"/>
      <c r="C2497" s="27">
        <f t="shared" si="173"/>
        <v>46084</v>
      </c>
      <c r="D2497" s="28" t="s">
        <v>43</v>
      </c>
      <c r="E2497" s="29" t="s">
        <v>25</v>
      </c>
      <c r="F2497" s="28" t="s">
        <v>26</v>
      </c>
      <c r="G2497" s="29" t="s">
        <v>37</v>
      </c>
      <c r="H2497" s="28"/>
      <c r="I2497" s="24">
        <v>3750.0</v>
      </c>
      <c r="J2497" s="34"/>
      <c r="K2497" s="37">
        <f t="shared" si="180"/>
        <v>3750</v>
      </c>
      <c r="L2497" s="28" t="s">
        <v>29</v>
      </c>
      <c r="M2497" s="28"/>
      <c r="N2497" s="28" t="s">
        <v>38</v>
      </c>
      <c r="O2497" s="10" t="str">
        <f t="shared" si="79"/>
        <v>03/2026</v>
      </c>
      <c r="P2497" s="10" t="str">
        <f t="shared" ref="P2497:P2607" si="181">if(C2497="","", TEXT(C2497,"mm/yyyy"))</f>
        <v>03/2026</v>
      </c>
      <c r="Q2497" s="15" t="str">
        <f t="array" ref="Q2497">IFERROR(XLOOKUP(N2497,'Classificação'!A:A,'Classificação'!B:B),"")</f>
        <v>DESPESAS COM PESSOAL</v>
      </c>
      <c r="R2497" s="15" t="str">
        <f t="array" ref="R2497">IFERROR(XLOOKUP(Q2497,'Classificação'!B:B,'Classificação'!C:C),"")</f>
        <v>DESPESAS FIXAS (-)</v>
      </c>
      <c r="S2497" s="15">
        <f t="shared" si="131"/>
        <v>3</v>
      </c>
      <c r="T2497" s="15">
        <f t="shared" si="128"/>
        <v>3</v>
      </c>
      <c r="U2497" s="15">
        <f t="shared" si="129"/>
        <v>2026</v>
      </c>
      <c r="V2497" s="15">
        <f t="shared" si="8"/>
        <v>3</v>
      </c>
      <c r="W2497" s="15">
        <f t="shared" si="9"/>
        <v>3</v>
      </c>
      <c r="X2497" s="15">
        <f t="shared" si="10"/>
        <v>2026</v>
      </c>
    </row>
    <row r="2498">
      <c r="A2498" s="9">
        <v>46084.0</v>
      </c>
      <c r="B2498" s="10"/>
      <c r="C2498" s="9">
        <f t="shared" si="173"/>
        <v>46084</v>
      </c>
      <c r="D2498" s="11" t="s">
        <v>44</v>
      </c>
      <c r="E2498" s="11" t="s">
        <v>25</v>
      </c>
      <c r="F2498" s="11" t="s">
        <v>45</v>
      </c>
      <c r="G2498" s="11" t="s">
        <v>27</v>
      </c>
      <c r="H2498" s="11" t="s">
        <v>651</v>
      </c>
      <c r="I2498" s="12">
        <v>2853.63</v>
      </c>
      <c r="J2498" s="13"/>
      <c r="K2498" s="13">
        <f t="shared" ref="K2498:K2509" si="182">if(E2498="pago",(I2498-J2498),"")</f>
        <v>2853.63</v>
      </c>
      <c r="L2498" s="11" t="s">
        <v>53</v>
      </c>
      <c r="M2498" s="16" t="s">
        <v>1270</v>
      </c>
      <c r="N2498" s="11" t="s">
        <v>73</v>
      </c>
      <c r="O2498" s="10" t="str">
        <f t="shared" si="79"/>
        <v>03/2026</v>
      </c>
      <c r="P2498" s="10" t="str">
        <f t="shared" si="181"/>
        <v>03/2026</v>
      </c>
      <c r="Q2498" s="15" t="str">
        <f t="array" ref="Q2498">IFERROR(XLOOKUP(N2498,'Classificação'!A:A,'Classificação'!B:B),"")</f>
        <v>DESPESAS NÃO OPERACIONAIS</v>
      </c>
      <c r="R2498" s="15" t="str">
        <f t="array" ref="R2498">IFERROR(XLOOKUP(Q2498,'Classificação'!B:B,'Classificação'!C:C),"")</f>
        <v>RESULTADO NÃO OPERACIONAL (+/-)</v>
      </c>
      <c r="S2498" s="15">
        <f t="shared" si="131"/>
        <v>3</v>
      </c>
      <c r="T2498" s="15">
        <f t="shared" si="128"/>
        <v>3</v>
      </c>
      <c r="U2498" s="15">
        <f t="shared" si="129"/>
        <v>2026</v>
      </c>
      <c r="V2498" s="15">
        <f t="shared" si="8"/>
        <v>3</v>
      </c>
      <c r="W2498" s="15">
        <f t="shared" si="9"/>
        <v>3</v>
      </c>
      <c r="X2498" s="15">
        <f t="shared" si="10"/>
        <v>2026</v>
      </c>
    </row>
    <row r="2499">
      <c r="A2499" s="9">
        <v>46084.0</v>
      </c>
      <c r="B2499" s="10"/>
      <c r="C2499" s="9">
        <f t="shared" si="173"/>
        <v>46084</v>
      </c>
      <c r="D2499" s="29" t="s">
        <v>450</v>
      </c>
      <c r="E2499" s="29" t="s">
        <v>25</v>
      </c>
      <c r="F2499" s="11" t="s">
        <v>26</v>
      </c>
      <c r="G2499" s="11" t="s">
        <v>37</v>
      </c>
      <c r="H2499" s="11" t="s">
        <v>1271</v>
      </c>
      <c r="I2499" s="31">
        <v>55.0</v>
      </c>
      <c r="J2499" s="13"/>
      <c r="K2499" s="13">
        <f t="shared" si="182"/>
        <v>55</v>
      </c>
      <c r="L2499" s="11" t="s">
        <v>34</v>
      </c>
      <c r="M2499" s="14"/>
      <c r="N2499" s="11" t="s">
        <v>58</v>
      </c>
      <c r="O2499" s="10" t="str">
        <f t="shared" si="79"/>
        <v>03/2026</v>
      </c>
      <c r="P2499" s="10" t="str">
        <f t="shared" si="181"/>
        <v>03/2026</v>
      </c>
      <c r="Q2499" s="15" t="str">
        <f t="array" ref="Q2499">IFERROR(XLOOKUP(N2499,'Classificação'!A:A,'Classificação'!B:B),"")</f>
        <v>DESPESAS ADMINISTRATIVAS</v>
      </c>
      <c r="R2499" s="15" t="str">
        <f t="array" ref="R2499">IFERROR(XLOOKUP(Q2499,'Classificação'!B:B,'Classificação'!C:C),"")</f>
        <v>DESPESAS FIXAS (-)</v>
      </c>
      <c r="S2499" s="15">
        <f t="shared" si="131"/>
        <v>3</v>
      </c>
      <c r="T2499" s="15">
        <f t="shared" si="128"/>
        <v>3</v>
      </c>
      <c r="U2499" s="15">
        <f t="shared" si="129"/>
        <v>2026</v>
      </c>
      <c r="V2499" s="15">
        <f t="shared" si="8"/>
        <v>3</v>
      </c>
      <c r="W2499" s="15">
        <f t="shared" si="9"/>
        <v>3</v>
      </c>
      <c r="X2499" s="15">
        <f t="shared" si="10"/>
        <v>2026</v>
      </c>
    </row>
    <row r="2500">
      <c r="A2500" s="9">
        <v>46090.0</v>
      </c>
      <c r="B2500" s="10"/>
      <c r="C2500" s="9">
        <f t="shared" si="173"/>
        <v>46090</v>
      </c>
      <c r="D2500" s="29" t="s">
        <v>1272</v>
      </c>
      <c r="E2500" s="29" t="s">
        <v>25</v>
      </c>
      <c r="F2500" s="29" t="s">
        <v>26</v>
      </c>
      <c r="G2500" s="29" t="s">
        <v>37</v>
      </c>
      <c r="H2500" s="29" t="s">
        <v>1273</v>
      </c>
      <c r="I2500" s="24">
        <v>490.0</v>
      </c>
      <c r="J2500" s="13"/>
      <c r="K2500" s="13">
        <f t="shared" si="182"/>
        <v>490</v>
      </c>
      <c r="L2500" s="29" t="s">
        <v>34</v>
      </c>
      <c r="M2500" s="16"/>
      <c r="N2500" s="29" t="s">
        <v>448</v>
      </c>
      <c r="O2500" s="10" t="str">
        <f t="shared" si="79"/>
        <v>03/2026</v>
      </c>
      <c r="P2500" s="10" t="str">
        <f t="shared" si="181"/>
        <v>03/2026</v>
      </c>
      <c r="Q2500" s="15" t="str">
        <f t="array" ref="Q2500">IFERROR(XLOOKUP(N2500,'Classificação'!A:A,'Classificação'!B:B),"")</f>
        <v>DESPESAS ADMINISTRATIVAS</v>
      </c>
      <c r="R2500" s="15" t="str">
        <f t="array" ref="R2500">IFERROR(XLOOKUP(Q2500,'Classificação'!B:B,'Classificação'!C:C),"")</f>
        <v>DESPESAS FIXAS (-)</v>
      </c>
      <c r="S2500" s="15">
        <f t="shared" si="131"/>
        <v>9</v>
      </c>
      <c r="T2500" s="15">
        <f t="shared" si="128"/>
        <v>3</v>
      </c>
      <c r="U2500" s="15">
        <f t="shared" si="129"/>
        <v>2026</v>
      </c>
      <c r="V2500" s="15">
        <f t="shared" si="8"/>
        <v>9</v>
      </c>
      <c r="W2500" s="15">
        <f t="shared" si="9"/>
        <v>3</v>
      </c>
      <c r="X2500" s="15">
        <f t="shared" si="10"/>
        <v>2026</v>
      </c>
    </row>
    <row r="2501">
      <c r="A2501" s="9">
        <v>46090.0</v>
      </c>
      <c r="B2501" s="10"/>
      <c r="C2501" s="9">
        <f t="shared" si="173"/>
        <v>46090</v>
      </c>
      <c r="D2501" s="28" t="s">
        <v>44</v>
      </c>
      <c r="E2501" s="11" t="s">
        <v>25</v>
      </c>
      <c r="F2501" s="28" t="s">
        <v>45</v>
      </c>
      <c r="G2501" s="28" t="s">
        <v>27</v>
      </c>
      <c r="H2501" s="11" t="s">
        <v>1274</v>
      </c>
      <c r="I2501" s="31">
        <v>317.27</v>
      </c>
      <c r="J2501" s="13"/>
      <c r="K2501" s="13">
        <f t="shared" si="182"/>
        <v>317.27</v>
      </c>
      <c r="L2501" s="11" t="s">
        <v>34</v>
      </c>
      <c r="M2501" s="14"/>
      <c r="N2501" s="11" t="s">
        <v>47</v>
      </c>
      <c r="O2501" s="10" t="str">
        <f t="shared" si="79"/>
        <v>03/2026</v>
      </c>
      <c r="P2501" s="10" t="str">
        <f t="shared" si="181"/>
        <v>03/2026</v>
      </c>
      <c r="Q2501" s="15" t="str">
        <f t="array" ref="Q2501">IFERROR(XLOOKUP(N2501,'Classificação'!A:A,'Classificação'!B:B),"")</f>
        <v>DESPESAS NÃO OPERACIONAIS</v>
      </c>
      <c r="R2501" s="15" t="str">
        <f t="array" ref="R2501">IFERROR(XLOOKUP(Q2501,'Classificação'!B:B,'Classificação'!C:C),"")</f>
        <v>RESULTADO NÃO OPERACIONAL (+/-)</v>
      </c>
      <c r="S2501" s="15">
        <f t="shared" si="131"/>
        <v>9</v>
      </c>
      <c r="T2501" s="15">
        <f t="shared" si="128"/>
        <v>3</v>
      </c>
      <c r="U2501" s="15">
        <f t="shared" si="129"/>
        <v>2026</v>
      </c>
      <c r="V2501" s="15">
        <f t="shared" si="8"/>
        <v>9</v>
      </c>
      <c r="W2501" s="15">
        <f t="shared" si="9"/>
        <v>3</v>
      </c>
      <c r="X2501" s="15">
        <f t="shared" si="10"/>
        <v>2026</v>
      </c>
    </row>
    <row r="2502">
      <c r="A2502" s="9">
        <v>46090.0</v>
      </c>
      <c r="B2502" s="10"/>
      <c r="C2502" s="9">
        <f t="shared" si="173"/>
        <v>46090</v>
      </c>
      <c r="D2502" s="28" t="s">
        <v>44</v>
      </c>
      <c r="E2502" s="11" t="s">
        <v>25</v>
      </c>
      <c r="F2502" s="28" t="s">
        <v>45</v>
      </c>
      <c r="G2502" s="28" t="s">
        <v>27</v>
      </c>
      <c r="H2502" s="11" t="s">
        <v>1274</v>
      </c>
      <c r="I2502" s="31">
        <v>105.76</v>
      </c>
      <c r="J2502" s="13"/>
      <c r="K2502" s="13">
        <f t="shared" si="182"/>
        <v>105.76</v>
      </c>
      <c r="L2502" s="11" t="s">
        <v>34</v>
      </c>
      <c r="M2502" s="14"/>
      <c r="N2502" s="11" t="s">
        <v>47</v>
      </c>
      <c r="O2502" s="10" t="str">
        <f t="shared" si="79"/>
        <v>03/2026</v>
      </c>
      <c r="P2502" s="10" t="str">
        <f t="shared" si="181"/>
        <v>03/2026</v>
      </c>
      <c r="Q2502" s="15" t="str">
        <f t="array" ref="Q2502">IFERROR(XLOOKUP(N2502,'Classificação'!A:A,'Classificação'!B:B),"")</f>
        <v>DESPESAS NÃO OPERACIONAIS</v>
      </c>
      <c r="R2502" s="15" t="str">
        <f t="array" ref="R2502">IFERROR(XLOOKUP(Q2502,'Classificação'!B:B,'Classificação'!C:C),"")</f>
        <v>RESULTADO NÃO OPERACIONAL (+/-)</v>
      </c>
      <c r="S2502" s="15">
        <f t="shared" si="131"/>
        <v>9</v>
      </c>
      <c r="T2502" s="15">
        <f t="shared" si="128"/>
        <v>3</v>
      </c>
      <c r="U2502" s="15">
        <f t="shared" si="129"/>
        <v>2026</v>
      </c>
      <c r="V2502" s="15">
        <f t="shared" si="8"/>
        <v>9</v>
      </c>
      <c r="W2502" s="15">
        <f t="shared" si="9"/>
        <v>3</v>
      </c>
      <c r="X2502" s="15">
        <f t="shared" si="10"/>
        <v>2026</v>
      </c>
    </row>
    <row r="2503">
      <c r="A2503" s="26">
        <v>46090.0</v>
      </c>
      <c r="B2503" s="10"/>
      <c r="C2503" s="9">
        <f t="shared" si="173"/>
        <v>46090</v>
      </c>
      <c r="D2503" s="28" t="s">
        <v>36</v>
      </c>
      <c r="E2503" s="29" t="s">
        <v>25</v>
      </c>
      <c r="F2503" s="28" t="s">
        <v>26</v>
      </c>
      <c r="G2503" s="28" t="s">
        <v>27</v>
      </c>
      <c r="I2503" s="24">
        <v>800.0</v>
      </c>
      <c r="J2503" s="13"/>
      <c r="K2503" s="13">
        <f t="shared" si="182"/>
        <v>800</v>
      </c>
      <c r="L2503" s="28" t="s">
        <v>29</v>
      </c>
      <c r="M2503" s="14"/>
      <c r="N2503" s="28" t="s">
        <v>38</v>
      </c>
      <c r="O2503" s="10" t="str">
        <f t="shared" si="79"/>
        <v>03/2026</v>
      </c>
      <c r="P2503" s="10" t="str">
        <f t="shared" si="181"/>
        <v>03/2026</v>
      </c>
      <c r="Q2503" s="15" t="str">
        <f t="array" ref="Q2503">IFERROR(XLOOKUP(N2503,'Classificação'!A:A,'Classificação'!B:B),"")</f>
        <v>DESPESAS COM PESSOAL</v>
      </c>
      <c r="R2503" s="15" t="str">
        <f t="array" ref="R2503">IFERROR(XLOOKUP(Q2503,'Classificação'!B:B,'Classificação'!C:C),"")</f>
        <v>DESPESAS FIXAS (-)</v>
      </c>
      <c r="S2503" s="15">
        <f t="shared" si="131"/>
        <v>9</v>
      </c>
      <c r="T2503" s="15">
        <f t="shared" si="128"/>
        <v>3</v>
      </c>
      <c r="U2503" s="15">
        <f t="shared" si="129"/>
        <v>2026</v>
      </c>
      <c r="V2503" s="15">
        <f t="shared" si="8"/>
        <v>9</v>
      </c>
      <c r="W2503" s="15">
        <f t="shared" si="9"/>
        <v>3</v>
      </c>
      <c r="X2503" s="15">
        <f t="shared" si="10"/>
        <v>2026</v>
      </c>
    </row>
    <row r="2504">
      <c r="A2504" s="26">
        <v>46090.0</v>
      </c>
      <c r="B2504" s="10"/>
      <c r="C2504" s="9">
        <f t="shared" si="173"/>
        <v>46090</v>
      </c>
      <c r="D2504" s="28" t="s">
        <v>43</v>
      </c>
      <c r="E2504" s="29" t="s">
        <v>25</v>
      </c>
      <c r="F2504" s="29" t="s">
        <v>26</v>
      </c>
      <c r="G2504" s="28" t="s">
        <v>27</v>
      </c>
      <c r="I2504" s="24">
        <v>800.0</v>
      </c>
      <c r="J2504" s="13"/>
      <c r="K2504" s="13">
        <f t="shared" si="182"/>
        <v>800</v>
      </c>
      <c r="L2504" s="28" t="s">
        <v>29</v>
      </c>
      <c r="M2504" s="14"/>
      <c r="N2504" s="28" t="s">
        <v>38</v>
      </c>
      <c r="O2504" s="10" t="str">
        <f t="shared" si="79"/>
        <v>03/2026</v>
      </c>
      <c r="P2504" s="10" t="str">
        <f t="shared" si="181"/>
        <v>03/2026</v>
      </c>
      <c r="Q2504" s="15" t="str">
        <f t="array" ref="Q2504">IFERROR(XLOOKUP(N2504,'Classificação'!A:A,'Classificação'!B:B),"")</f>
        <v>DESPESAS COM PESSOAL</v>
      </c>
      <c r="R2504" s="15" t="str">
        <f t="array" ref="R2504">IFERROR(XLOOKUP(Q2504,'Classificação'!B:B,'Classificação'!C:C),"")</f>
        <v>DESPESAS FIXAS (-)</v>
      </c>
      <c r="S2504" s="15">
        <f t="shared" si="131"/>
        <v>9</v>
      </c>
      <c r="T2504" s="15">
        <f t="shared" si="128"/>
        <v>3</v>
      </c>
      <c r="U2504" s="15">
        <f t="shared" si="129"/>
        <v>2026</v>
      </c>
      <c r="V2504" s="15">
        <f t="shared" si="8"/>
        <v>9</v>
      </c>
      <c r="W2504" s="15">
        <f t="shared" si="9"/>
        <v>3</v>
      </c>
      <c r="X2504" s="15">
        <f t="shared" si="10"/>
        <v>2026</v>
      </c>
    </row>
    <row r="2505">
      <c r="A2505" s="9">
        <v>46090.0</v>
      </c>
      <c r="B2505" s="32">
        <v>46011.0</v>
      </c>
      <c r="C2505" s="9">
        <f t="shared" si="173"/>
        <v>46090</v>
      </c>
      <c r="D2505" s="11" t="s">
        <v>65</v>
      </c>
      <c r="E2505" s="29" t="s">
        <v>25</v>
      </c>
      <c r="F2505" s="11" t="s">
        <v>26</v>
      </c>
      <c r="G2505" s="29" t="s">
        <v>37</v>
      </c>
      <c r="H2505" s="11" t="s">
        <v>1159</v>
      </c>
      <c r="I2505" s="31">
        <v>54.99</v>
      </c>
      <c r="J2505" s="13"/>
      <c r="K2505" s="13">
        <f t="shared" si="182"/>
        <v>54.99</v>
      </c>
      <c r="L2505" s="11" t="s">
        <v>53</v>
      </c>
      <c r="M2505" s="16" t="s">
        <v>1275</v>
      </c>
      <c r="N2505" s="11" t="s">
        <v>95</v>
      </c>
      <c r="O2505" s="10" t="str">
        <f t="shared" si="79"/>
        <v>03/2026</v>
      </c>
      <c r="P2505" s="10" t="str">
        <f t="shared" si="181"/>
        <v>03/2026</v>
      </c>
      <c r="Q2505" s="15" t="str">
        <f t="array" ref="Q2505">IFERROR(XLOOKUP(N2505,'Classificação'!A:A,'Classificação'!B:B),"")</f>
        <v>DESPESAS NÃO OPERACIONAIS</v>
      </c>
      <c r="R2505" s="15" t="str">
        <f t="array" ref="R2505">IFERROR(XLOOKUP(Q2505,'Classificação'!B:B,'Classificação'!C:C),"")</f>
        <v>RESULTADO NÃO OPERACIONAL (+/-)</v>
      </c>
      <c r="S2505" s="15">
        <f t="shared" si="131"/>
        <v>9</v>
      </c>
      <c r="T2505" s="15">
        <f t="shared" si="128"/>
        <v>3</v>
      </c>
      <c r="U2505" s="15">
        <f t="shared" si="129"/>
        <v>2026</v>
      </c>
      <c r="V2505" s="15">
        <f t="shared" si="8"/>
        <v>9</v>
      </c>
      <c r="W2505" s="15">
        <f t="shared" si="9"/>
        <v>3</v>
      </c>
      <c r="X2505" s="15">
        <f t="shared" si="10"/>
        <v>2026</v>
      </c>
    </row>
    <row r="2506">
      <c r="A2506" s="9">
        <v>46090.0</v>
      </c>
      <c r="B2506" s="10"/>
      <c r="C2506" s="9">
        <f t="shared" si="173"/>
        <v>46090</v>
      </c>
      <c r="D2506" s="11" t="s">
        <v>473</v>
      </c>
      <c r="E2506" s="29" t="s">
        <v>25</v>
      </c>
      <c r="F2506" s="28" t="s">
        <v>45</v>
      </c>
      <c r="G2506" s="28" t="s">
        <v>27</v>
      </c>
      <c r="H2506" s="11" t="s">
        <v>1172</v>
      </c>
      <c r="I2506" s="31">
        <v>516.57</v>
      </c>
      <c r="J2506" s="13"/>
      <c r="K2506" s="13">
        <f t="shared" si="182"/>
        <v>516.57</v>
      </c>
      <c r="L2506" s="28" t="s">
        <v>53</v>
      </c>
      <c r="M2506" s="17">
        <v>46145.0</v>
      </c>
      <c r="N2506" s="11" t="s">
        <v>233</v>
      </c>
      <c r="O2506" s="10" t="str">
        <f t="shared" si="79"/>
        <v>03/2026</v>
      </c>
      <c r="P2506" s="10" t="str">
        <f t="shared" si="181"/>
        <v>03/2026</v>
      </c>
      <c r="Q2506" s="15" t="str">
        <f t="array" ref="Q2506">IFERROR(XLOOKUP(N2506,'Classificação'!A:A,'Classificação'!B:B),"")</f>
        <v>DESPESAS COM VEICULOS</v>
      </c>
      <c r="S2506" s="15">
        <f t="shared" si="131"/>
        <v>9</v>
      </c>
      <c r="T2506" s="15">
        <f t="shared" si="128"/>
        <v>3</v>
      </c>
      <c r="U2506" s="15">
        <f t="shared" si="129"/>
        <v>2026</v>
      </c>
      <c r="V2506" s="15">
        <f t="shared" si="8"/>
        <v>9</v>
      </c>
      <c r="W2506" s="15">
        <f t="shared" si="9"/>
        <v>3</v>
      </c>
      <c r="X2506" s="15">
        <f t="shared" si="10"/>
        <v>2026</v>
      </c>
    </row>
    <row r="2507">
      <c r="A2507" s="9">
        <v>46091.0</v>
      </c>
      <c r="B2507" s="32">
        <v>45947.0</v>
      </c>
      <c r="C2507" s="9">
        <f t="shared" si="173"/>
        <v>46091</v>
      </c>
      <c r="D2507" s="11" t="s">
        <v>86</v>
      </c>
      <c r="E2507" s="29" t="s">
        <v>25</v>
      </c>
      <c r="F2507" s="11" t="s">
        <v>87</v>
      </c>
      <c r="G2507" s="28" t="s">
        <v>27</v>
      </c>
      <c r="H2507" s="11" t="s">
        <v>1276</v>
      </c>
      <c r="I2507" s="12">
        <v>1270.0</v>
      </c>
      <c r="J2507" s="13"/>
      <c r="K2507" s="13">
        <f t="shared" si="182"/>
        <v>1270</v>
      </c>
      <c r="L2507" s="11" t="s">
        <v>53</v>
      </c>
      <c r="M2507" s="17">
        <v>45751.0</v>
      </c>
      <c r="N2507" s="11" t="s">
        <v>35</v>
      </c>
      <c r="O2507" s="10" t="str">
        <f t="shared" si="79"/>
        <v>03/2026</v>
      </c>
      <c r="P2507" s="10" t="str">
        <f t="shared" si="181"/>
        <v>03/2026</v>
      </c>
      <c r="Q2507" s="15" t="str">
        <f t="array" ref="Q2507">IFERROR(XLOOKUP(N2507,'Classificação'!A:A,'Classificação'!B:B),"")</f>
        <v>COMPRA DE MERCADORIA</v>
      </c>
      <c r="R2507" s="15" t="str">
        <f t="array" ref="R2507">IFERROR(XLOOKUP(Q2507,'Classificação'!B:B,'Classificação'!C:C),"")</f>
        <v>CUSTOS VARIÁVEIS</v>
      </c>
      <c r="S2507" s="15">
        <f t="shared" si="131"/>
        <v>10</v>
      </c>
      <c r="T2507" s="15">
        <f t="shared" si="128"/>
        <v>3</v>
      </c>
      <c r="U2507" s="15">
        <f t="shared" si="129"/>
        <v>2026</v>
      </c>
      <c r="V2507" s="15">
        <f t="shared" si="8"/>
        <v>10</v>
      </c>
      <c r="W2507" s="15">
        <f t="shared" si="9"/>
        <v>3</v>
      </c>
      <c r="X2507" s="15">
        <f t="shared" si="10"/>
        <v>2026</v>
      </c>
    </row>
    <row r="2508">
      <c r="A2508" s="9">
        <v>46091.0</v>
      </c>
      <c r="B2508" s="9">
        <v>46043.0</v>
      </c>
      <c r="C2508" s="9">
        <f t="shared" si="173"/>
        <v>46091</v>
      </c>
      <c r="D2508" s="11" t="s">
        <v>86</v>
      </c>
      <c r="E2508" s="29" t="s">
        <v>25</v>
      </c>
      <c r="F2508" s="11" t="s">
        <v>87</v>
      </c>
      <c r="G2508" s="28" t="s">
        <v>27</v>
      </c>
      <c r="H2508" s="11" t="s">
        <v>1277</v>
      </c>
      <c r="I2508" s="31">
        <v>2640.0</v>
      </c>
      <c r="J2508" s="13"/>
      <c r="K2508" s="13">
        <f t="shared" si="182"/>
        <v>2640</v>
      </c>
      <c r="L2508" s="28" t="s">
        <v>53</v>
      </c>
      <c r="M2508" s="17">
        <v>46113.0</v>
      </c>
      <c r="N2508" s="11" t="s">
        <v>35</v>
      </c>
      <c r="O2508" s="10" t="str">
        <f t="shared" si="79"/>
        <v>03/2026</v>
      </c>
      <c r="P2508" s="10" t="str">
        <f t="shared" si="181"/>
        <v>03/2026</v>
      </c>
      <c r="Q2508" s="15" t="str">
        <f t="array" ref="Q2508">IFERROR(XLOOKUP(N2508,'Classificação'!A:A,'Classificação'!B:B),"")</f>
        <v>COMPRA DE MERCADORIA</v>
      </c>
      <c r="R2508" s="15" t="str">
        <f t="array" ref="R2508">IFERROR(XLOOKUP(Q2508,'Classificação'!B:B,'Classificação'!C:C),"")</f>
        <v>CUSTOS VARIÁVEIS</v>
      </c>
      <c r="S2508" s="15">
        <f t="shared" si="131"/>
        <v>10</v>
      </c>
      <c r="T2508" s="15">
        <f t="shared" si="128"/>
        <v>3</v>
      </c>
      <c r="U2508" s="15">
        <f t="shared" si="129"/>
        <v>2026</v>
      </c>
      <c r="V2508" s="15">
        <f t="shared" si="8"/>
        <v>10</v>
      </c>
      <c r="W2508" s="15">
        <f t="shared" si="9"/>
        <v>3</v>
      </c>
      <c r="X2508" s="15">
        <f t="shared" si="10"/>
        <v>2026</v>
      </c>
    </row>
    <row r="2509">
      <c r="A2509" s="9">
        <v>46091.0</v>
      </c>
      <c r="B2509" s="10"/>
      <c r="C2509" s="9">
        <f t="shared" si="173"/>
        <v>46091</v>
      </c>
      <c r="D2509" s="11" t="s">
        <v>1051</v>
      </c>
      <c r="E2509" s="29" t="s">
        <v>25</v>
      </c>
      <c r="F2509" s="11" t="s">
        <v>40</v>
      </c>
      <c r="G2509" s="28" t="s">
        <v>27</v>
      </c>
      <c r="H2509" s="11" t="s">
        <v>1052</v>
      </c>
      <c r="I2509" s="12">
        <v>32.0</v>
      </c>
      <c r="J2509" s="13"/>
      <c r="K2509" s="13">
        <f t="shared" si="182"/>
        <v>32</v>
      </c>
      <c r="L2509" s="11" t="s">
        <v>29</v>
      </c>
      <c r="M2509" s="14"/>
      <c r="N2509" s="11" t="s">
        <v>1053</v>
      </c>
      <c r="O2509" s="10" t="str">
        <f t="shared" si="79"/>
        <v>03/2026</v>
      </c>
      <c r="P2509" s="10" t="str">
        <f t="shared" si="181"/>
        <v>03/2026</v>
      </c>
      <c r="Q2509" s="15" t="str">
        <f t="array" ref="Q2509">IFERROR(XLOOKUP(N2509,'Classificação'!A:A,'Classificação'!B:B),"")</f>
        <v>DESPESAS COM PESSOAL</v>
      </c>
      <c r="R2509" s="15" t="str">
        <f t="array" ref="R2509">IFERROR(XLOOKUP(Q2509,'Classificação'!B:B,'Classificação'!C:C),"")</f>
        <v>DESPESAS FIXAS (-)</v>
      </c>
      <c r="S2509" s="15">
        <f t="shared" si="131"/>
        <v>10</v>
      </c>
      <c r="T2509" s="15">
        <f t="shared" si="128"/>
        <v>3</v>
      </c>
      <c r="U2509" s="15">
        <f t="shared" si="129"/>
        <v>2026</v>
      </c>
      <c r="V2509" s="15">
        <f t="shared" si="8"/>
        <v>10</v>
      </c>
      <c r="W2509" s="15">
        <f t="shared" si="9"/>
        <v>3</v>
      </c>
      <c r="X2509" s="15">
        <f t="shared" si="10"/>
        <v>2026</v>
      </c>
    </row>
    <row r="2510">
      <c r="A2510" s="26">
        <v>46091.0</v>
      </c>
      <c r="B2510" s="30"/>
      <c r="C2510" s="27">
        <f t="shared" si="173"/>
        <v>46091</v>
      </c>
      <c r="D2510" s="28" t="s">
        <v>48</v>
      </c>
      <c r="E2510" s="29" t="s">
        <v>25</v>
      </c>
      <c r="F2510" s="28" t="s">
        <v>40</v>
      </c>
      <c r="G2510" s="29" t="s">
        <v>37</v>
      </c>
      <c r="H2510" s="28"/>
      <c r="I2510" s="24">
        <v>1533.05</v>
      </c>
      <c r="J2510" s="34"/>
      <c r="K2510" s="37">
        <f t="shared" ref="K2510:K2513" si="183">IF(E2510="pago",(I2510-J2510),"")</f>
        <v>1533.05</v>
      </c>
      <c r="L2510" s="28" t="s">
        <v>29</v>
      </c>
      <c r="M2510" s="28"/>
      <c r="N2510" s="28" t="s">
        <v>49</v>
      </c>
      <c r="O2510" s="10" t="str">
        <f t="shared" si="79"/>
        <v>03/2026</v>
      </c>
      <c r="P2510" s="10" t="str">
        <f t="shared" si="181"/>
        <v>03/2026</v>
      </c>
      <c r="Q2510" s="15" t="str">
        <f t="array" ref="Q2510">IFERROR(XLOOKUP(N2510,'Classificação'!A:A,'Classificação'!B:B),"")</f>
        <v>DESPESAS COM PESSOAL</v>
      </c>
      <c r="R2510" s="15" t="str">
        <f t="array" ref="R2510">IFERROR(XLOOKUP(Q2510,'Classificação'!B:B,'Classificação'!C:C),"")</f>
        <v>DESPESAS FIXAS (-)</v>
      </c>
      <c r="S2510" s="15">
        <f t="shared" si="131"/>
        <v>10</v>
      </c>
      <c r="T2510" s="15">
        <f t="shared" si="128"/>
        <v>3</v>
      </c>
      <c r="U2510" s="15">
        <f t="shared" si="129"/>
        <v>2026</v>
      </c>
      <c r="V2510" s="15">
        <f t="shared" si="8"/>
        <v>10</v>
      </c>
      <c r="W2510" s="15">
        <f t="shared" si="9"/>
        <v>3</v>
      </c>
      <c r="X2510" s="15">
        <f t="shared" si="10"/>
        <v>2026</v>
      </c>
    </row>
    <row r="2511">
      <c r="A2511" s="9">
        <v>46091.0</v>
      </c>
      <c r="B2511" s="30"/>
      <c r="C2511" s="27">
        <f t="shared" si="173"/>
        <v>46091</v>
      </c>
      <c r="D2511" s="28" t="s">
        <v>50</v>
      </c>
      <c r="E2511" s="29" t="s">
        <v>25</v>
      </c>
      <c r="F2511" s="28" t="s">
        <v>40</v>
      </c>
      <c r="G2511" s="29" t="s">
        <v>37</v>
      </c>
      <c r="H2511" s="28" t="s">
        <v>51</v>
      </c>
      <c r="I2511" s="24">
        <v>144.99</v>
      </c>
      <c r="J2511" s="34"/>
      <c r="K2511" s="37">
        <f t="shared" si="183"/>
        <v>144.99</v>
      </c>
      <c r="L2511" s="28" t="s">
        <v>29</v>
      </c>
      <c r="M2511" s="28"/>
      <c r="N2511" s="28" t="s">
        <v>51</v>
      </c>
      <c r="O2511" s="10" t="str">
        <f t="shared" si="79"/>
        <v>03/2026</v>
      </c>
      <c r="P2511" s="10" t="str">
        <f t="shared" si="181"/>
        <v>03/2026</v>
      </c>
      <c r="Q2511" s="15" t="str">
        <f t="array" ref="Q2511">IFERROR(XLOOKUP(N2511,'Classificação'!A:A,'Classificação'!B:B),"")</f>
        <v>DESPESAS COM OCUPAÇÃO</v>
      </c>
      <c r="R2511" s="15" t="str">
        <f t="array" ref="R2511">IFERROR(XLOOKUP(Q2511,'Classificação'!B:B,'Classificação'!C:C),"")</f>
        <v>DESPESAS FIXAS (-)</v>
      </c>
      <c r="S2511" s="15">
        <f t="shared" si="131"/>
        <v>10</v>
      </c>
      <c r="T2511" s="15">
        <f t="shared" si="128"/>
        <v>3</v>
      </c>
      <c r="U2511" s="15">
        <f t="shared" si="129"/>
        <v>2026</v>
      </c>
      <c r="V2511" s="15">
        <f t="shared" si="8"/>
        <v>10</v>
      </c>
      <c r="W2511" s="15">
        <f t="shared" si="9"/>
        <v>3</v>
      </c>
      <c r="X2511" s="15">
        <f t="shared" si="10"/>
        <v>2026</v>
      </c>
    </row>
    <row r="2512">
      <c r="A2512" s="26">
        <v>46091.0</v>
      </c>
      <c r="B2512" s="30"/>
      <c r="C2512" s="27">
        <f t="shared" si="173"/>
        <v>46091</v>
      </c>
      <c r="D2512" s="28" t="s">
        <v>59</v>
      </c>
      <c r="E2512" s="29" t="s">
        <v>25</v>
      </c>
      <c r="F2512" s="28" t="s">
        <v>40</v>
      </c>
      <c r="G2512" s="28" t="s">
        <v>37</v>
      </c>
      <c r="H2512" s="28" t="s">
        <v>60</v>
      </c>
      <c r="I2512" s="24">
        <v>447.0</v>
      </c>
      <c r="J2512" s="34"/>
      <c r="K2512" s="37">
        <f t="shared" si="183"/>
        <v>447</v>
      </c>
      <c r="L2512" s="28" t="s">
        <v>29</v>
      </c>
      <c r="M2512" s="28"/>
      <c r="N2512" s="28" t="s">
        <v>61</v>
      </c>
      <c r="O2512" s="10" t="str">
        <f t="shared" si="79"/>
        <v>03/2026</v>
      </c>
      <c r="P2512" s="10" t="str">
        <f t="shared" si="181"/>
        <v>03/2026</v>
      </c>
      <c r="Q2512" s="15" t="str">
        <f t="array" ref="Q2512">IFERROR(XLOOKUP(N2512,'Classificação'!A:A,'Classificação'!B:B),"")</f>
        <v>DESPESAS ADMINISTRATIVAS</v>
      </c>
      <c r="R2512" s="15" t="str">
        <f t="array" ref="R2512">IFERROR(XLOOKUP(Q2512,'Classificação'!B:B,'Classificação'!C:C),"")</f>
        <v>DESPESAS FIXAS (-)</v>
      </c>
      <c r="S2512" s="15">
        <f t="shared" si="131"/>
        <v>10</v>
      </c>
      <c r="T2512" s="15">
        <f t="shared" si="128"/>
        <v>3</v>
      </c>
      <c r="U2512" s="15">
        <f t="shared" si="129"/>
        <v>2026</v>
      </c>
      <c r="V2512" s="15">
        <f t="shared" si="8"/>
        <v>10</v>
      </c>
      <c r="W2512" s="15">
        <f t="shared" si="9"/>
        <v>3</v>
      </c>
      <c r="X2512" s="15">
        <f t="shared" si="10"/>
        <v>2026</v>
      </c>
    </row>
    <row r="2513">
      <c r="A2513" s="26">
        <v>46091.0</v>
      </c>
      <c r="B2513" s="30"/>
      <c r="C2513" s="27">
        <f t="shared" si="173"/>
        <v>46091</v>
      </c>
      <c r="D2513" s="28" t="s">
        <v>104</v>
      </c>
      <c r="E2513" s="29" t="s">
        <v>25</v>
      </c>
      <c r="F2513" s="28" t="s">
        <v>40</v>
      </c>
      <c r="G2513" s="28" t="s">
        <v>37</v>
      </c>
      <c r="H2513" s="28" t="s">
        <v>413</v>
      </c>
      <c r="I2513" s="37">
        <v>27.5</v>
      </c>
      <c r="J2513" s="34"/>
      <c r="K2513" s="37">
        <f t="shared" si="183"/>
        <v>27.5</v>
      </c>
      <c r="L2513" s="28" t="s">
        <v>29</v>
      </c>
      <c r="M2513" s="28"/>
      <c r="N2513" s="28" t="s">
        <v>105</v>
      </c>
      <c r="O2513" s="10" t="str">
        <f t="shared" si="79"/>
        <v>03/2026</v>
      </c>
      <c r="P2513" s="10" t="str">
        <f t="shared" si="181"/>
        <v>03/2026</v>
      </c>
      <c r="Q2513" s="15" t="str">
        <f t="array" ref="Q2513">IFERROR(XLOOKUP(N2513,'Classificação'!A:A,'Classificação'!B:B),"")</f>
        <v>DESPESAS ADMINISTRATIVAS</v>
      </c>
      <c r="R2513" s="15" t="str">
        <f t="array" ref="R2513">IFERROR(XLOOKUP(Q2513,'Classificação'!B:B,'Classificação'!C:C),"")</f>
        <v>DESPESAS FIXAS (-)</v>
      </c>
      <c r="S2513" s="15">
        <f t="shared" si="131"/>
        <v>10</v>
      </c>
      <c r="T2513" s="15">
        <f t="shared" si="128"/>
        <v>3</v>
      </c>
      <c r="U2513" s="15">
        <f t="shared" si="129"/>
        <v>2026</v>
      </c>
      <c r="V2513" s="15">
        <f t="shared" si="8"/>
        <v>10</v>
      </c>
      <c r="W2513" s="15">
        <f t="shared" si="9"/>
        <v>3</v>
      </c>
      <c r="X2513" s="15">
        <f t="shared" si="10"/>
        <v>2026</v>
      </c>
    </row>
    <row r="2514">
      <c r="A2514" s="9">
        <v>46091.0</v>
      </c>
      <c r="B2514" s="10"/>
      <c r="C2514" s="9">
        <f t="shared" si="173"/>
        <v>46091</v>
      </c>
      <c r="D2514" s="11" t="s">
        <v>44</v>
      </c>
      <c r="E2514" s="11" t="s">
        <v>25</v>
      </c>
      <c r="F2514" s="11" t="s">
        <v>45</v>
      </c>
      <c r="G2514" s="11" t="s">
        <v>27</v>
      </c>
      <c r="H2514" s="11" t="s">
        <v>52</v>
      </c>
      <c r="I2514" s="12">
        <v>502.8</v>
      </c>
      <c r="J2514" s="13"/>
      <c r="K2514" s="13">
        <f t="shared" ref="K2514:K2516" si="184">if(E2514="pago",(I2514-J2514),"")</f>
        <v>502.8</v>
      </c>
      <c r="L2514" s="11" t="s">
        <v>53</v>
      </c>
      <c r="M2514" s="16" t="s">
        <v>1278</v>
      </c>
      <c r="N2514" s="11" t="s">
        <v>55</v>
      </c>
      <c r="O2514" s="10" t="str">
        <f t="shared" si="79"/>
        <v>03/2026</v>
      </c>
      <c r="P2514" s="10" t="str">
        <f t="shared" si="181"/>
        <v>03/2026</v>
      </c>
      <c r="Q2514" s="15" t="str">
        <f t="array" ref="Q2514">IFERROR(XLOOKUP(N2514,'Classificação'!A:A,'Classificação'!B:B),"")</f>
        <v>DESPESAS NÃO OPERACIONAIS</v>
      </c>
      <c r="R2514" s="15" t="str">
        <f t="array" ref="R2514">IFERROR(XLOOKUP(Q2514,'Classificação'!B:B,'Classificação'!C:C),"")</f>
        <v>RESULTADO NÃO OPERACIONAL (+/-)</v>
      </c>
      <c r="S2514" s="15">
        <f t="shared" si="131"/>
        <v>10</v>
      </c>
      <c r="T2514" s="15">
        <f t="shared" si="128"/>
        <v>3</v>
      </c>
      <c r="U2514" s="15">
        <f t="shared" si="129"/>
        <v>2026</v>
      </c>
      <c r="V2514" s="15">
        <f t="shared" si="8"/>
        <v>10</v>
      </c>
      <c r="W2514" s="15">
        <f t="shared" si="9"/>
        <v>3</v>
      </c>
      <c r="X2514" s="15">
        <f t="shared" si="10"/>
        <v>2026</v>
      </c>
    </row>
    <row r="2515">
      <c r="A2515" s="9">
        <v>46091.0</v>
      </c>
      <c r="B2515" s="10"/>
      <c r="C2515" s="9">
        <f t="shared" si="173"/>
        <v>46091</v>
      </c>
      <c r="D2515" s="11" t="s">
        <v>1104</v>
      </c>
      <c r="E2515" s="29" t="s">
        <v>25</v>
      </c>
      <c r="F2515" s="11" t="s">
        <v>40</v>
      </c>
      <c r="G2515" s="11" t="s">
        <v>37</v>
      </c>
      <c r="H2515" s="11" t="s">
        <v>1105</v>
      </c>
      <c r="I2515" s="12">
        <v>873.82</v>
      </c>
      <c r="J2515" s="13"/>
      <c r="K2515" s="13">
        <f t="shared" si="184"/>
        <v>873.82</v>
      </c>
      <c r="L2515" s="11" t="s">
        <v>53</v>
      </c>
      <c r="M2515" s="16" t="s">
        <v>1279</v>
      </c>
      <c r="N2515" s="11" t="s">
        <v>73</v>
      </c>
      <c r="O2515" s="10" t="str">
        <f t="shared" si="79"/>
        <v>03/2026</v>
      </c>
      <c r="P2515" s="10" t="str">
        <f t="shared" si="181"/>
        <v>03/2026</v>
      </c>
      <c r="Q2515" s="15" t="str">
        <f t="array" ref="Q2515">IFERROR(XLOOKUP(N2515,'Classificação'!A:A,'Classificação'!B:B),"")</f>
        <v>DESPESAS NÃO OPERACIONAIS</v>
      </c>
      <c r="R2515" s="15" t="str">
        <f t="array" ref="R2515">IFERROR(XLOOKUP(Q2515,'Classificação'!B:B,'Classificação'!C:C),"")</f>
        <v>RESULTADO NÃO OPERACIONAL (+/-)</v>
      </c>
      <c r="S2515" s="15">
        <f t="shared" si="131"/>
        <v>10</v>
      </c>
      <c r="T2515" s="15">
        <f t="shared" si="128"/>
        <v>3</v>
      </c>
      <c r="U2515" s="15">
        <f t="shared" si="129"/>
        <v>2026</v>
      </c>
      <c r="V2515" s="15">
        <f t="shared" si="8"/>
        <v>10</v>
      </c>
      <c r="W2515" s="15">
        <f t="shared" si="9"/>
        <v>3</v>
      </c>
      <c r="X2515" s="15">
        <f t="shared" si="10"/>
        <v>2026</v>
      </c>
    </row>
    <row r="2516">
      <c r="A2516" s="26">
        <v>46091.0</v>
      </c>
      <c r="B2516" s="30"/>
      <c r="C2516" s="27">
        <f t="shared" si="173"/>
        <v>46091</v>
      </c>
      <c r="D2516" s="29" t="s">
        <v>631</v>
      </c>
      <c r="E2516" s="29" t="s">
        <v>25</v>
      </c>
      <c r="F2516" s="29" t="s">
        <v>40</v>
      </c>
      <c r="G2516" s="29" t="s">
        <v>37</v>
      </c>
      <c r="H2516" s="29" t="s">
        <v>1234</v>
      </c>
      <c r="I2516" s="24">
        <v>120.93</v>
      </c>
      <c r="J2516" s="34"/>
      <c r="K2516" s="13">
        <f t="shared" si="184"/>
        <v>120.93</v>
      </c>
      <c r="L2516" s="28" t="s">
        <v>53</v>
      </c>
      <c r="M2516" s="35">
        <v>46205.0</v>
      </c>
      <c r="N2516" s="29" t="s">
        <v>178</v>
      </c>
      <c r="O2516" s="10" t="str">
        <f t="shared" si="79"/>
        <v>03/2026</v>
      </c>
      <c r="P2516" s="10" t="str">
        <f t="shared" si="181"/>
        <v>03/2026</v>
      </c>
      <c r="Q2516" s="15" t="str">
        <f t="array" ref="Q2516">IFERROR(XLOOKUP(N2516,'Classificação'!A:A,'Classificação'!B:B),"")</f>
        <v>DESPESAS COM OCUPAÇÃO</v>
      </c>
      <c r="R2516" s="15" t="str">
        <f t="array" ref="R2516">IFERROR(XLOOKUP(Q2516,'Classificação'!B:B,'Classificação'!C:C),"")</f>
        <v>DESPESAS FIXAS (-)</v>
      </c>
      <c r="S2516" s="15">
        <f t="shared" si="131"/>
        <v>10</v>
      </c>
      <c r="T2516" s="15">
        <f t="shared" si="128"/>
        <v>3</v>
      </c>
      <c r="U2516" s="15">
        <f t="shared" si="129"/>
        <v>2026</v>
      </c>
      <c r="V2516" s="15">
        <f t="shared" si="8"/>
        <v>10</v>
      </c>
      <c r="W2516" s="15">
        <f t="shared" si="9"/>
        <v>3</v>
      </c>
      <c r="X2516" s="15">
        <f t="shared" si="10"/>
        <v>2026</v>
      </c>
    </row>
    <row r="2517">
      <c r="A2517" s="26">
        <v>46092.0</v>
      </c>
      <c r="B2517" s="30"/>
      <c r="C2517" s="27">
        <f t="shared" si="173"/>
        <v>46092</v>
      </c>
      <c r="D2517" s="28" t="s">
        <v>65</v>
      </c>
      <c r="E2517" s="29" t="s">
        <v>25</v>
      </c>
      <c r="F2517" s="28" t="s">
        <v>45</v>
      </c>
      <c r="G2517" s="28" t="s">
        <v>66</v>
      </c>
      <c r="H2517" s="28" t="s">
        <v>67</v>
      </c>
      <c r="I2517" s="24">
        <v>385.15</v>
      </c>
      <c r="J2517" s="34"/>
      <c r="K2517" s="37">
        <f>IF(E2517="pago",(I2517-J2517),"")</f>
        <v>385.15</v>
      </c>
      <c r="L2517" s="28" t="s">
        <v>29</v>
      </c>
      <c r="M2517" s="28"/>
      <c r="N2517" s="28" t="s">
        <v>68</v>
      </c>
      <c r="O2517" s="10" t="str">
        <f t="shared" si="79"/>
        <v>03/2026</v>
      </c>
      <c r="P2517" s="10" t="str">
        <f t="shared" si="181"/>
        <v>03/2026</v>
      </c>
      <c r="Q2517" s="15" t="str">
        <f t="array" ref="Q2517">IFERROR(XLOOKUP(N2517,'Classificação'!A:A,'Classificação'!B:B),"")</f>
        <v>FRETE DE VENDAS</v>
      </c>
      <c r="R2517" s="15" t="str">
        <f t="array" ref="R2517">IFERROR(XLOOKUP(Q2517,'Classificação'!B:B,'Classificação'!C:C),"")</f>
        <v>CUSTOS VARIÁVEIS</v>
      </c>
      <c r="S2517" s="15">
        <f t="shared" si="131"/>
        <v>11</v>
      </c>
      <c r="T2517" s="15">
        <f t="shared" si="128"/>
        <v>3</v>
      </c>
      <c r="U2517" s="15">
        <f t="shared" si="129"/>
        <v>2026</v>
      </c>
      <c r="V2517" s="15">
        <f t="shared" si="8"/>
        <v>11</v>
      </c>
      <c r="W2517" s="15">
        <f t="shared" si="9"/>
        <v>3</v>
      </c>
      <c r="X2517" s="15">
        <f t="shared" si="10"/>
        <v>2026</v>
      </c>
    </row>
    <row r="2518">
      <c r="A2518" s="9">
        <v>46092.0</v>
      </c>
      <c r="B2518" s="10"/>
      <c r="C2518" s="9">
        <f t="shared" si="173"/>
        <v>46092</v>
      </c>
      <c r="D2518" s="11" t="s">
        <v>1280</v>
      </c>
      <c r="E2518" s="29" t="s">
        <v>25</v>
      </c>
      <c r="F2518" s="11" t="s">
        <v>26</v>
      </c>
      <c r="G2518" s="11" t="s">
        <v>37</v>
      </c>
      <c r="H2518" s="11" t="s">
        <v>1281</v>
      </c>
      <c r="I2518" s="31">
        <v>650.0</v>
      </c>
      <c r="J2518" s="13"/>
      <c r="K2518" s="13">
        <f t="shared" ref="K2518:K2520" si="185">if(E2518="pago",(I2518-J2518),"")</f>
        <v>650</v>
      </c>
      <c r="L2518" s="11" t="s">
        <v>34</v>
      </c>
      <c r="M2518" s="14"/>
      <c r="N2518" s="11" t="s">
        <v>392</v>
      </c>
      <c r="O2518" s="10" t="str">
        <f t="shared" si="79"/>
        <v>03/2026</v>
      </c>
      <c r="P2518" s="10" t="str">
        <f t="shared" si="181"/>
        <v>03/2026</v>
      </c>
      <c r="Q2518" s="15" t="str">
        <f t="array" ref="Q2518">IFERROR(XLOOKUP(N2518,'Classificação'!A:A,'Classificação'!B:B),"")</f>
        <v>DESPESAS COM OCUPAÇÃO</v>
      </c>
      <c r="R2518" s="15" t="str">
        <f t="array" ref="R2518">IFERROR(XLOOKUP(Q2518,'Classificação'!B:B,'Classificação'!C:C),"")</f>
        <v>DESPESAS FIXAS (-)</v>
      </c>
      <c r="S2518" s="15">
        <f t="shared" si="131"/>
        <v>11</v>
      </c>
      <c r="T2518" s="15">
        <f t="shared" si="128"/>
        <v>3</v>
      </c>
      <c r="U2518" s="15">
        <f t="shared" si="129"/>
        <v>2026</v>
      </c>
      <c r="V2518" s="15">
        <f t="shared" si="8"/>
        <v>11</v>
      </c>
      <c r="W2518" s="15">
        <f t="shared" si="9"/>
        <v>3</v>
      </c>
      <c r="X2518" s="15">
        <f t="shared" si="10"/>
        <v>2026</v>
      </c>
    </row>
    <row r="2519">
      <c r="A2519" s="26">
        <v>46093.0</v>
      </c>
      <c r="B2519" s="30"/>
      <c r="C2519" s="27">
        <f t="shared" si="173"/>
        <v>46093</v>
      </c>
      <c r="D2519" s="28" t="s">
        <v>56</v>
      </c>
      <c r="E2519" s="29" t="s">
        <v>25</v>
      </c>
      <c r="F2519" s="28" t="s">
        <v>26</v>
      </c>
      <c r="G2519" s="28" t="s">
        <v>37</v>
      </c>
      <c r="H2519" s="28" t="s">
        <v>57</v>
      </c>
      <c r="I2519" s="24">
        <v>60.0</v>
      </c>
      <c r="J2519" s="34"/>
      <c r="K2519" s="13">
        <f t="shared" si="185"/>
        <v>60</v>
      </c>
      <c r="L2519" s="28" t="s">
        <v>29</v>
      </c>
      <c r="M2519" s="28"/>
      <c r="N2519" s="28" t="s">
        <v>58</v>
      </c>
      <c r="O2519" s="10" t="str">
        <f t="shared" si="79"/>
        <v>03/2026</v>
      </c>
      <c r="P2519" s="10" t="str">
        <f t="shared" si="181"/>
        <v>03/2026</v>
      </c>
      <c r="Q2519" s="15" t="str">
        <f t="array" ref="Q2519">IFERROR(XLOOKUP(N2519,'Classificação'!A:A,'Classificação'!B:B),"")</f>
        <v>DESPESAS ADMINISTRATIVAS</v>
      </c>
      <c r="R2519" s="15" t="str">
        <f t="array" ref="R2519">IFERROR(XLOOKUP(Q2519,'Classificação'!B:B,'Classificação'!C:C),"")</f>
        <v>DESPESAS FIXAS (-)</v>
      </c>
      <c r="S2519" s="15">
        <f t="shared" si="131"/>
        <v>12</v>
      </c>
      <c r="T2519" s="15">
        <f t="shared" si="128"/>
        <v>3</v>
      </c>
      <c r="U2519" s="15">
        <f t="shared" si="129"/>
        <v>2026</v>
      </c>
      <c r="V2519" s="15">
        <f t="shared" si="8"/>
        <v>12</v>
      </c>
      <c r="W2519" s="15">
        <f t="shared" si="9"/>
        <v>3</v>
      </c>
      <c r="X2519" s="15">
        <f t="shared" si="10"/>
        <v>2026</v>
      </c>
    </row>
    <row r="2520">
      <c r="A2520" s="9">
        <v>46094.0</v>
      </c>
      <c r="B2520" s="10"/>
      <c r="C2520" s="9">
        <f t="shared" si="173"/>
        <v>46094</v>
      </c>
      <c r="D2520" s="11" t="s">
        <v>86</v>
      </c>
      <c r="E2520" s="29" t="s">
        <v>25</v>
      </c>
      <c r="F2520" s="11" t="s">
        <v>87</v>
      </c>
      <c r="G2520" s="28" t="s">
        <v>27</v>
      </c>
      <c r="H2520" s="11" t="s">
        <v>1282</v>
      </c>
      <c r="I2520" s="12">
        <v>3830.0</v>
      </c>
      <c r="J2520" s="13"/>
      <c r="K2520" s="13">
        <f t="shared" si="185"/>
        <v>3830</v>
      </c>
      <c r="L2520" s="11" t="s">
        <v>53</v>
      </c>
      <c r="M2520" s="17">
        <v>45751.0</v>
      </c>
      <c r="N2520" s="11" t="s">
        <v>35</v>
      </c>
      <c r="O2520" s="10" t="str">
        <f t="shared" si="79"/>
        <v>03/2026</v>
      </c>
      <c r="P2520" s="10" t="str">
        <f t="shared" si="181"/>
        <v>03/2026</v>
      </c>
      <c r="Q2520" s="15" t="str">
        <f t="array" ref="Q2520">IFERROR(XLOOKUP(N2520,'Classificação'!A:A,'Classificação'!B:B),"")</f>
        <v>COMPRA DE MERCADORIA</v>
      </c>
      <c r="R2520" s="15" t="str">
        <f t="array" ref="R2520">IFERROR(XLOOKUP(Q2520,'Classificação'!B:B,'Classificação'!C:C),"")</f>
        <v>CUSTOS VARIÁVEIS</v>
      </c>
      <c r="S2520" s="15">
        <f t="shared" si="131"/>
        <v>13</v>
      </c>
      <c r="T2520" s="15">
        <f t="shared" si="128"/>
        <v>3</v>
      </c>
      <c r="U2520" s="15">
        <f t="shared" si="129"/>
        <v>2026</v>
      </c>
      <c r="V2520" s="15">
        <f t="shared" si="8"/>
        <v>13</v>
      </c>
      <c r="W2520" s="15">
        <f t="shared" si="9"/>
        <v>3</v>
      </c>
      <c r="X2520" s="15">
        <f t="shared" si="10"/>
        <v>2026</v>
      </c>
    </row>
    <row r="2521">
      <c r="A2521" s="26">
        <v>46094.0</v>
      </c>
      <c r="B2521" s="30"/>
      <c r="C2521" s="27">
        <f t="shared" si="173"/>
        <v>46094</v>
      </c>
      <c r="D2521" s="28" t="s">
        <v>79</v>
      </c>
      <c r="E2521" s="29" t="s">
        <v>25</v>
      </c>
      <c r="F2521" s="28" t="s">
        <v>26</v>
      </c>
      <c r="G2521" s="28" t="s">
        <v>37</v>
      </c>
      <c r="H2521" s="28"/>
      <c r="I2521" s="24">
        <v>550.0</v>
      </c>
      <c r="J2521" s="34"/>
      <c r="K2521" s="37">
        <f t="shared" ref="K2521:K2523" si="186">IF(E2521="pago",(I2521-J2521),"")</f>
        <v>550</v>
      </c>
      <c r="L2521" s="28" t="s">
        <v>29</v>
      </c>
      <c r="M2521" s="28"/>
      <c r="N2521" s="28" t="s">
        <v>58</v>
      </c>
      <c r="O2521" s="10" t="str">
        <f t="shared" si="79"/>
        <v>03/2026</v>
      </c>
      <c r="P2521" s="10" t="str">
        <f t="shared" si="181"/>
        <v>03/2026</v>
      </c>
      <c r="Q2521" s="15" t="str">
        <f t="array" ref="Q2521">IFERROR(XLOOKUP(N2521,'Classificação'!A:A,'Classificação'!B:B),"")</f>
        <v>DESPESAS ADMINISTRATIVAS</v>
      </c>
      <c r="S2521" s="15">
        <f t="shared" si="131"/>
        <v>13</v>
      </c>
      <c r="T2521" s="15">
        <f t="shared" si="128"/>
        <v>3</v>
      </c>
      <c r="U2521" s="15">
        <f t="shared" si="129"/>
        <v>2026</v>
      </c>
      <c r="V2521" s="15">
        <f t="shared" si="8"/>
        <v>13</v>
      </c>
      <c r="W2521" s="15">
        <f t="shared" si="9"/>
        <v>3</v>
      </c>
      <c r="X2521" s="15">
        <f t="shared" si="10"/>
        <v>2026</v>
      </c>
    </row>
    <row r="2522">
      <c r="A2522" s="26">
        <v>46094.0</v>
      </c>
      <c r="B2522" s="30"/>
      <c r="C2522" s="27">
        <f t="shared" si="173"/>
        <v>46094</v>
      </c>
      <c r="D2522" s="28" t="s">
        <v>80</v>
      </c>
      <c r="E2522" s="29" t="s">
        <v>25</v>
      </c>
      <c r="F2522" s="28" t="s">
        <v>32</v>
      </c>
      <c r="G2522" s="28" t="s">
        <v>27</v>
      </c>
      <c r="H2522" s="29" t="s">
        <v>606</v>
      </c>
      <c r="I2522" s="24">
        <v>826.8</v>
      </c>
      <c r="J2522" s="34"/>
      <c r="K2522" s="37">
        <f t="shared" si="186"/>
        <v>826.8</v>
      </c>
      <c r="L2522" s="28" t="s">
        <v>29</v>
      </c>
      <c r="M2522" s="28"/>
      <c r="N2522" s="28" t="s">
        <v>75</v>
      </c>
      <c r="O2522" s="10" t="str">
        <f t="shared" si="79"/>
        <v>03/2026</v>
      </c>
      <c r="P2522" s="10" t="str">
        <f t="shared" si="181"/>
        <v>03/2026</v>
      </c>
      <c r="Q2522" s="15" t="str">
        <f t="array" ref="Q2522">IFERROR(XLOOKUP(N2522,'Classificação'!A:A,'Classificação'!B:B),"")</f>
        <v>DESPESAS COM PESSOAL</v>
      </c>
      <c r="R2522" s="15" t="str">
        <f t="array" ref="R2522">IFERROR(XLOOKUP(Q2522,'Classificação'!B:B,'Classificação'!C:C),"")</f>
        <v>DESPESAS FIXAS (-)</v>
      </c>
      <c r="S2522" s="15">
        <f t="shared" si="131"/>
        <v>13</v>
      </c>
      <c r="T2522" s="15">
        <f t="shared" si="128"/>
        <v>3</v>
      </c>
      <c r="U2522" s="15">
        <f t="shared" si="129"/>
        <v>2026</v>
      </c>
      <c r="V2522" s="15">
        <f t="shared" si="8"/>
        <v>13</v>
      </c>
      <c r="W2522" s="15">
        <f t="shared" si="9"/>
        <v>3</v>
      </c>
      <c r="X2522" s="15">
        <f t="shared" si="10"/>
        <v>2026</v>
      </c>
    </row>
    <row r="2523">
      <c r="A2523" s="26">
        <v>46094.0</v>
      </c>
      <c r="B2523" s="28"/>
      <c r="C2523" s="27">
        <f t="shared" si="173"/>
        <v>46094</v>
      </c>
      <c r="D2523" s="29" t="s">
        <v>1094</v>
      </c>
      <c r="E2523" s="29" t="s">
        <v>25</v>
      </c>
      <c r="F2523" s="29" t="s">
        <v>26</v>
      </c>
      <c r="G2523" s="29" t="s">
        <v>37</v>
      </c>
      <c r="H2523" s="28" t="s">
        <v>606</v>
      </c>
      <c r="I2523" s="24">
        <v>1000.0</v>
      </c>
      <c r="J2523" s="34"/>
      <c r="K2523" s="37">
        <f t="shared" si="186"/>
        <v>1000</v>
      </c>
      <c r="L2523" s="28" t="s">
        <v>29</v>
      </c>
      <c r="M2523" s="28"/>
      <c r="N2523" s="28" t="s">
        <v>75</v>
      </c>
      <c r="O2523" s="10" t="str">
        <f t="shared" si="79"/>
        <v>03/2026</v>
      </c>
      <c r="P2523" s="10" t="str">
        <f t="shared" si="181"/>
        <v>03/2026</v>
      </c>
      <c r="Q2523" s="15" t="str">
        <f t="array" ref="Q2523">IFERROR(XLOOKUP(N2523,'Classificação'!A:A,'Classificação'!B:B),"")</f>
        <v>DESPESAS COM PESSOAL</v>
      </c>
      <c r="R2523" s="15" t="str">
        <f t="array" ref="R2523">IFERROR(XLOOKUP(Q2523,'Classificação'!B:B,'Classificação'!C:C),"")</f>
        <v>DESPESAS FIXAS (-)</v>
      </c>
      <c r="S2523" s="15">
        <f t="shared" si="131"/>
        <v>13</v>
      </c>
      <c r="T2523" s="15">
        <f t="shared" si="128"/>
        <v>3</v>
      </c>
      <c r="U2523" s="15">
        <f t="shared" si="129"/>
        <v>2026</v>
      </c>
      <c r="V2523" s="15">
        <f t="shared" si="8"/>
        <v>13</v>
      </c>
      <c r="W2523" s="15">
        <f t="shared" si="9"/>
        <v>3</v>
      </c>
      <c r="X2523" s="15">
        <f t="shared" si="10"/>
        <v>2026</v>
      </c>
    </row>
    <row r="2524">
      <c r="A2524" s="9">
        <v>46094.0</v>
      </c>
      <c r="B2524" s="10"/>
      <c r="C2524" s="9">
        <f t="shared" si="173"/>
        <v>46094</v>
      </c>
      <c r="D2524" s="11" t="s">
        <v>1229</v>
      </c>
      <c r="E2524" s="29" t="s">
        <v>25</v>
      </c>
      <c r="F2524" s="11" t="s">
        <v>26</v>
      </c>
      <c r="G2524" s="11" t="s">
        <v>37</v>
      </c>
      <c r="H2524" s="11" t="s">
        <v>1230</v>
      </c>
      <c r="I2524" s="31">
        <v>840.0</v>
      </c>
      <c r="J2524" s="13"/>
      <c r="K2524" s="13">
        <f t="shared" ref="K2524:K2531" si="187">if(E2524="pago",(I2524-J2524),"")</f>
        <v>840</v>
      </c>
      <c r="L2524" s="11" t="s">
        <v>29</v>
      </c>
      <c r="M2524" s="14"/>
      <c r="N2524" s="11" t="s">
        <v>58</v>
      </c>
      <c r="O2524" s="10" t="str">
        <f t="shared" si="79"/>
        <v>03/2026</v>
      </c>
      <c r="P2524" s="10" t="str">
        <f t="shared" si="181"/>
        <v>03/2026</v>
      </c>
      <c r="Q2524" s="15" t="str">
        <f t="array" ref="Q2524">IFERROR(XLOOKUP(N2524,'Classificação'!A:A,'Classificação'!B:B),"")</f>
        <v>DESPESAS ADMINISTRATIVAS</v>
      </c>
      <c r="R2524" s="15" t="str">
        <f t="array" ref="R2524">IFERROR(XLOOKUP(Q2524,'Classificação'!B:B,'Classificação'!C:C),"")</f>
        <v>DESPESAS FIXAS (-)</v>
      </c>
      <c r="S2524" s="15">
        <f t="shared" si="131"/>
        <v>13</v>
      </c>
      <c r="T2524" s="15">
        <f t="shared" si="128"/>
        <v>3</v>
      </c>
      <c r="U2524" s="15">
        <f t="shared" si="129"/>
        <v>2026</v>
      </c>
      <c r="V2524" s="15">
        <f t="shared" si="8"/>
        <v>13</v>
      </c>
      <c r="W2524" s="15">
        <f t="shared" si="9"/>
        <v>3</v>
      </c>
      <c r="X2524" s="15">
        <f t="shared" si="10"/>
        <v>2026</v>
      </c>
    </row>
    <row r="2525">
      <c r="A2525" s="9">
        <v>46094.0</v>
      </c>
      <c r="B2525" s="10"/>
      <c r="C2525" s="9">
        <f t="shared" si="173"/>
        <v>46094</v>
      </c>
      <c r="D2525" s="28" t="s">
        <v>44</v>
      </c>
      <c r="E2525" s="29" t="s">
        <v>25</v>
      </c>
      <c r="F2525" s="28" t="s">
        <v>45</v>
      </c>
      <c r="G2525" s="28" t="s">
        <v>27</v>
      </c>
      <c r="H2525" s="11" t="s">
        <v>1283</v>
      </c>
      <c r="I2525" s="31">
        <v>104.1</v>
      </c>
      <c r="J2525" s="13"/>
      <c r="K2525" s="13">
        <f t="shared" si="187"/>
        <v>104.1</v>
      </c>
      <c r="L2525" s="11" t="s">
        <v>34</v>
      </c>
      <c r="M2525" s="14"/>
      <c r="N2525" s="11" t="s">
        <v>47</v>
      </c>
      <c r="O2525" s="10" t="str">
        <f t="shared" si="79"/>
        <v>03/2026</v>
      </c>
      <c r="P2525" s="10" t="str">
        <f t="shared" si="181"/>
        <v>03/2026</v>
      </c>
      <c r="Q2525" s="15" t="str">
        <f t="array" ref="Q2525">IFERROR(XLOOKUP(N2525,'Classificação'!A:A,'Classificação'!B:B),"")</f>
        <v>DESPESAS NÃO OPERACIONAIS</v>
      </c>
      <c r="R2525" s="15" t="str">
        <f t="array" ref="R2525">IFERROR(XLOOKUP(Q2525,'Classificação'!B:B,'Classificação'!C:C),"")</f>
        <v>RESULTADO NÃO OPERACIONAL (+/-)</v>
      </c>
      <c r="S2525" s="15">
        <f t="shared" si="131"/>
        <v>13</v>
      </c>
      <c r="T2525" s="15">
        <f t="shared" si="128"/>
        <v>3</v>
      </c>
      <c r="U2525" s="15">
        <f t="shared" si="129"/>
        <v>2026</v>
      </c>
      <c r="V2525" s="15">
        <f t="shared" si="8"/>
        <v>13</v>
      </c>
      <c r="W2525" s="15">
        <f t="shared" si="9"/>
        <v>3</v>
      </c>
      <c r="X2525" s="15">
        <f t="shared" si="10"/>
        <v>2026</v>
      </c>
    </row>
    <row r="2526">
      <c r="A2526" s="9">
        <v>46094.0</v>
      </c>
      <c r="B2526" s="10"/>
      <c r="C2526" s="9">
        <f t="shared" si="173"/>
        <v>46094</v>
      </c>
      <c r="D2526" s="28" t="s">
        <v>44</v>
      </c>
      <c r="E2526" s="29" t="s">
        <v>25</v>
      </c>
      <c r="F2526" s="28" t="s">
        <v>45</v>
      </c>
      <c r="G2526" s="28" t="s">
        <v>27</v>
      </c>
      <c r="H2526" s="11" t="s">
        <v>1146</v>
      </c>
      <c r="I2526" s="31">
        <v>312.31</v>
      </c>
      <c r="J2526" s="13"/>
      <c r="K2526" s="13">
        <f t="shared" si="187"/>
        <v>312.31</v>
      </c>
      <c r="L2526" s="11" t="s">
        <v>34</v>
      </c>
      <c r="M2526" s="14"/>
      <c r="N2526" s="11" t="s">
        <v>47</v>
      </c>
      <c r="O2526" s="10" t="str">
        <f t="shared" si="79"/>
        <v>03/2026</v>
      </c>
      <c r="P2526" s="10" t="str">
        <f t="shared" si="181"/>
        <v>03/2026</v>
      </c>
      <c r="Q2526" s="15" t="str">
        <f t="array" ref="Q2526">IFERROR(XLOOKUP(N2526,'Classificação'!A:A,'Classificação'!B:B),"")</f>
        <v>DESPESAS NÃO OPERACIONAIS</v>
      </c>
      <c r="R2526" s="15" t="str">
        <f t="array" ref="R2526">IFERROR(XLOOKUP(Q2526,'Classificação'!B:B,'Classificação'!C:C),"")</f>
        <v>RESULTADO NÃO OPERACIONAL (+/-)</v>
      </c>
      <c r="S2526" s="15">
        <f t="shared" si="131"/>
        <v>13</v>
      </c>
      <c r="T2526" s="15">
        <f t="shared" si="128"/>
        <v>3</v>
      </c>
      <c r="U2526" s="15">
        <f t="shared" si="129"/>
        <v>2026</v>
      </c>
      <c r="V2526" s="15">
        <f t="shared" si="8"/>
        <v>13</v>
      </c>
      <c r="W2526" s="15">
        <f t="shared" si="9"/>
        <v>3</v>
      </c>
      <c r="X2526" s="15">
        <f t="shared" si="10"/>
        <v>2026</v>
      </c>
    </row>
    <row r="2527">
      <c r="A2527" s="9">
        <v>46094.0</v>
      </c>
      <c r="B2527" s="10"/>
      <c r="C2527" s="9">
        <f t="shared" si="173"/>
        <v>46094</v>
      </c>
      <c r="D2527" s="28" t="s">
        <v>44</v>
      </c>
      <c r="E2527" s="29" t="s">
        <v>25</v>
      </c>
      <c r="F2527" s="28" t="s">
        <v>45</v>
      </c>
      <c r="G2527" s="28" t="s">
        <v>27</v>
      </c>
      <c r="H2527" s="11" t="s">
        <v>1283</v>
      </c>
      <c r="I2527" s="31">
        <v>312.25</v>
      </c>
      <c r="J2527" s="13"/>
      <c r="K2527" s="13">
        <f t="shared" si="187"/>
        <v>312.25</v>
      </c>
      <c r="L2527" s="11" t="s">
        <v>34</v>
      </c>
      <c r="M2527" s="14"/>
      <c r="N2527" s="11" t="s">
        <v>47</v>
      </c>
      <c r="O2527" s="10" t="str">
        <f t="shared" si="79"/>
        <v>03/2026</v>
      </c>
      <c r="P2527" s="10" t="str">
        <f t="shared" si="181"/>
        <v>03/2026</v>
      </c>
      <c r="Q2527" s="15" t="str">
        <f t="array" ref="Q2527">IFERROR(XLOOKUP(N2527,'Classificação'!A:A,'Classificação'!B:B),"")</f>
        <v>DESPESAS NÃO OPERACIONAIS</v>
      </c>
      <c r="R2527" s="15" t="str">
        <f t="array" ref="R2527">IFERROR(XLOOKUP(Q2527,'Classificação'!B:B,'Classificação'!C:C),"")</f>
        <v>RESULTADO NÃO OPERACIONAL (+/-)</v>
      </c>
      <c r="S2527" s="15">
        <f t="shared" si="131"/>
        <v>13</v>
      </c>
      <c r="T2527" s="15">
        <f t="shared" si="128"/>
        <v>3</v>
      </c>
      <c r="U2527" s="15">
        <f t="shared" si="129"/>
        <v>2026</v>
      </c>
      <c r="V2527" s="15">
        <f t="shared" si="8"/>
        <v>13</v>
      </c>
      <c r="W2527" s="15">
        <f t="shared" si="9"/>
        <v>3</v>
      </c>
      <c r="X2527" s="15">
        <f t="shared" si="10"/>
        <v>2026</v>
      </c>
    </row>
    <row r="2528">
      <c r="A2528" s="9">
        <v>46094.0</v>
      </c>
      <c r="B2528" s="10"/>
      <c r="C2528" s="9">
        <f t="shared" si="173"/>
        <v>46094</v>
      </c>
      <c r="D2528" s="28" t="s">
        <v>44</v>
      </c>
      <c r="E2528" s="29" t="s">
        <v>25</v>
      </c>
      <c r="F2528" s="28" t="s">
        <v>45</v>
      </c>
      <c r="G2528" s="28" t="s">
        <v>27</v>
      </c>
      <c r="H2528" s="11" t="s">
        <v>1146</v>
      </c>
      <c r="I2528" s="31">
        <v>936.92</v>
      </c>
      <c r="J2528" s="13"/>
      <c r="K2528" s="13">
        <f t="shared" si="187"/>
        <v>936.92</v>
      </c>
      <c r="L2528" s="11" t="s">
        <v>34</v>
      </c>
      <c r="M2528" s="14"/>
      <c r="N2528" s="11" t="s">
        <v>47</v>
      </c>
      <c r="O2528" s="10" t="str">
        <f t="shared" si="79"/>
        <v>03/2026</v>
      </c>
      <c r="P2528" s="10" t="str">
        <f t="shared" si="181"/>
        <v>03/2026</v>
      </c>
      <c r="Q2528" s="15" t="str">
        <f t="array" ref="Q2528">IFERROR(XLOOKUP(N2528,'Classificação'!A:A,'Classificação'!B:B),"")</f>
        <v>DESPESAS NÃO OPERACIONAIS</v>
      </c>
      <c r="R2528" s="15" t="str">
        <f t="array" ref="R2528">IFERROR(XLOOKUP(Q2528,'Classificação'!B:B,'Classificação'!C:C),"")</f>
        <v>RESULTADO NÃO OPERACIONAL (+/-)</v>
      </c>
      <c r="S2528" s="15">
        <f t="shared" si="131"/>
        <v>13</v>
      </c>
      <c r="T2528" s="15">
        <f t="shared" si="128"/>
        <v>3</v>
      </c>
      <c r="U2528" s="15">
        <f t="shared" si="129"/>
        <v>2026</v>
      </c>
      <c r="V2528" s="15">
        <f t="shared" si="8"/>
        <v>13</v>
      </c>
      <c r="W2528" s="15">
        <f t="shared" si="9"/>
        <v>3</v>
      </c>
      <c r="X2528" s="15">
        <f t="shared" si="10"/>
        <v>2026</v>
      </c>
    </row>
    <row r="2529">
      <c r="A2529" s="9">
        <v>46095.0</v>
      </c>
      <c r="B2529" s="10"/>
      <c r="C2529" s="9">
        <f t="shared" si="173"/>
        <v>46095</v>
      </c>
      <c r="D2529" s="11" t="s">
        <v>44</v>
      </c>
      <c r="E2529" s="11" t="s">
        <v>25</v>
      </c>
      <c r="F2529" s="11" t="s">
        <v>45</v>
      </c>
      <c r="G2529" s="11" t="s">
        <v>27</v>
      </c>
      <c r="H2529" s="11" t="s">
        <v>476</v>
      </c>
      <c r="I2529" s="12">
        <v>4588.04</v>
      </c>
      <c r="J2529" s="13"/>
      <c r="K2529" s="13">
        <f t="shared" si="187"/>
        <v>4588.04</v>
      </c>
      <c r="L2529" s="11" t="s">
        <v>53</v>
      </c>
      <c r="M2529" s="16" t="s">
        <v>542</v>
      </c>
      <c r="N2529" s="11" t="s">
        <v>73</v>
      </c>
      <c r="O2529" s="10" t="str">
        <f t="shared" si="79"/>
        <v>03/2026</v>
      </c>
      <c r="P2529" s="10" t="str">
        <f t="shared" si="181"/>
        <v>03/2026</v>
      </c>
      <c r="Q2529" s="15" t="str">
        <f t="array" ref="Q2529">IFERROR(XLOOKUP(N2529,'Classificação'!A:A,'Classificação'!B:B),"")</f>
        <v>DESPESAS NÃO OPERACIONAIS</v>
      </c>
      <c r="R2529" s="15" t="str">
        <f t="array" ref="R2529">IFERROR(XLOOKUP(Q2529,'Classificação'!B:B,'Classificação'!C:C),"")</f>
        <v>RESULTADO NÃO OPERACIONAL (+/-)</v>
      </c>
      <c r="S2529" s="15">
        <f t="shared" si="131"/>
        <v>14</v>
      </c>
      <c r="T2529" s="15">
        <f t="shared" si="128"/>
        <v>3</v>
      </c>
      <c r="U2529" s="15">
        <f t="shared" si="129"/>
        <v>2026</v>
      </c>
      <c r="V2529" s="15">
        <f t="shared" si="8"/>
        <v>14</v>
      </c>
      <c r="W2529" s="15">
        <f t="shared" si="9"/>
        <v>3</v>
      </c>
      <c r="X2529" s="15">
        <f t="shared" si="10"/>
        <v>2026</v>
      </c>
    </row>
    <row r="2530">
      <c r="A2530" s="9">
        <v>46097.0</v>
      </c>
      <c r="B2530" s="10"/>
      <c r="C2530" s="9">
        <f t="shared" si="173"/>
        <v>46097</v>
      </c>
      <c r="D2530" s="11" t="s">
        <v>1094</v>
      </c>
      <c r="E2530" s="29" t="s">
        <v>25</v>
      </c>
      <c r="F2530" s="11" t="s">
        <v>26</v>
      </c>
      <c r="G2530" s="28" t="s">
        <v>27</v>
      </c>
      <c r="H2530" s="11" t="s">
        <v>409</v>
      </c>
      <c r="I2530" s="31">
        <v>100.0</v>
      </c>
      <c r="J2530" s="13"/>
      <c r="K2530" s="13">
        <f t="shared" si="187"/>
        <v>100</v>
      </c>
      <c r="L2530" s="11" t="s">
        <v>34</v>
      </c>
      <c r="M2530" s="14"/>
      <c r="N2530" s="11" t="s">
        <v>58</v>
      </c>
      <c r="O2530" s="10" t="str">
        <f t="shared" si="79"/>
        <v>03/2026</v>
      </c>
      <c r="P2530" s="10" t="str">
        <f t="shared" si="181"/>
        <v>03/2026</v>
      </c>
      <c r="Q2530" s="15" t="str">
        <f t="array" ref="Q2530">IFERROR(XLOOKUP(N2530,'Classificação'!A:A,'Classificação'!B:B),"")</f>
        <v>DESPESAS ADMINISTRATIVAS</v>
      </c>
      <c r="R2530" s="15" t="str">
        <f t="array" ref="R2530">IFERROR(XLOOKUP(Q2530,'Classificação'!B:B,'Classificação'!C:C),"")</f>
        <v>DESPESAS FIXAS (-)</v>
      </c>
      <c r="S2530" s="15">
        <f t="shared" si="131"/>
        <v>16</v>
      </c>
      <c r="T2530" s="15">
        <f t="shared" si="128"/>
        <v>3</v>
      </c>
      <c r="U2530" s="15">
        <f t="shared" si="129"/>
        <v>2026</v>
      </c>
      <c r="V2530" s="15">
        <f t="shared" si="8"/>
        <v>16</v>
      </c>
      <c r="W2530" s="15">
        <f t="shared" si="9"/>
        <v>3</v>
      </c>
      <c r="X2530" s="15">
        <f t="shared" si="10"/>
        <v>2026</v>
      </c>
    </row>
    <row r="2531">
      <c r="A2531" s="9">
        <v>46097.0</v>
      </c>
      <c r="B2531" s="10"/>
      <c r="C2531" s="9">
        <f t="shared" si="173"/>
        <v>46097</v>
      </c>
      <c r="D2531" s="11" t="s">
        <v>65</v>
      </c>
      <c r="E2531" s="29" t="s">
        <v>25</v>
      </c>
      <c r="F2531" s="11" t="s">
        <v>26</v>
      </c>
      <c r="G2531" s="11" t="s">
        <v>37</v>
      </c>
      <c r="H2531" s="11" t="s">
        <v>1238</v>
      </c>
      <c r="I2531" s="31">
        <v>483.26</v>
      </c>
      <c r="J2531" s="13"/>
      <c r="K2531" s="13">
        <f t="shared" si="187"/>
        <v>483.26</v>
      </c>
      <c r="L2531" s="28" t="s">
        <v>53</v>
      </c>
      <c r="M2531" s="17">
        <v>46205.0</v>
      </c>
      <c r="N2531" s="11" t="s">
        <v>64</v>
      </c>
      <c r="O2531" s="10" t="str">
        <f t="shared" si="79"/>
        <v>03/2026</v>
      </c>
      <c r="P2531" s="10" t="str">
        <f t="shared" si="181"/>
        <v>03/2026</v>
      </c>
      <c r="Q2531" s="15" t="str">
        <f t="array" ref="Q2531">IFERROR(XLOOKUP(N2531,'Classificação'!A:A,'Classificação'!B:B),"")</f>
        <v>DESPESAS COM PESSOAL</v>
      </c>
      <c r="S2531" s="15">
        <f t="shared" si="131"/>
        <v>16</v>
      </c>
      <c r="T2531" s="15">
        <f t="shared" si="128"/>
        <v>3</v>
      </c>
      <c r="U2531" s="15">
        <f t="shared" si="129"/>
        <v>2026</v>
      </c>
      <c r="V2531" s="15">
        <f t="shared" si="8"/>
        <v>16</v>
      </c>
      <c r="W2531" s="15">
        <f t="shared" si="9"/>
        <v>3</v>
      </c>
      <c r="X2531" s="15">
        <f t="shared" si="10"/>
        <v>2026</v>
      </c>
    </row>
    <row r="2532">
      <c r="A2532" s="26">
        <v>46097.0</v>
      </c>
      <c r="B2532" s="28"/>
      <c r="C2532" s="27">
        <f t="shared" si="173"/>
        <v>46097</v>
      </c>
      <c r="D2532" s="28" t="s">
        <v>123</v>
      </c>
      <c r="E2532" s="29" t="s">
        <v>25</v>
      </c>
      <c r="F2532" s="28" t="s">
        <v>40</v>
      </c>
      <c r="G2532" s="29" t="s">
        <v>37</v>
      </c>
      <c r="H2532" s="29" t="s">
        <v>1180</v>
      </c>
      <c r="I2532" s="24">
        <v>200.0</v>
      </c>
      <c r="J2532" s="34"/>
      <c r="K2532" s="37">
        <f>IF(E2532="pago",(I2532-J2532),"")</f>
        <v>200</v>
      </c>
      <c r="L2532" s="28" t="s">
        <v>29</v>
      </c>
      <c r="M2532" s="28"/>
      <c r="N2532" s="28" t="s">
        <v>123</v>
      </c>
      <c r="O2532" s="10" t="str">
        <f t="shared" si="79"/>
        <v>03/2026</v>
      </c>
      <c r="P2532" s="10" t="str">
        <f t="shared" si="181"/>
        <v>03/2026</v>
      </c>
      <c r="Q2532" s="15" t="str">
        <f t="array" ref="Q2532">IFERROR(XLOOKUP(N2532,'Classificação'!A:A,'Classificação'!B:B),"")</f>
        <v>DESPESAS COM PESSOAL</v>
      </c>
      <c r="R2532" s="15" t="str">
        <f t="array" ref="R2532">IFERROR(XLOOKUP(Q2532,'Classificação'!B:B,'Classificação'!C:C),"")</f>
        <v>DESPESAS FIXAS (-)</v>
      </c>
      <c r="S2532" s="15">
        <f t="shared" si="131"/>
        <v>16</v>
      </c>
      <c r="T2532" s="15">
        <f t="shared" si="128"/>
        <v>3</v>
      </c>
      <c r="U2532" s="15">
        <f t="shared" si="129"/>
        <v>2026</v>
      </c>
      <c r="V2532" s="15">
        <f t="shared" si="8"/>
        <v>16</v>
      </c>
      <c r="W2532" s="15">
        <f t="shared" si="9"/>
        <v>3</v>
      </c>
      <c r="X2532" s="15">
        <f t="shared" si="10"/>
        <v>2026</v>
      </c>
    </row>
    <row r="2533">
      <c r="A2533" s="26">
        <v>46098.0</v>
      </c>
      <c r="B2533" s="10"/>
      <c r="C2533" s="9">
        <f t="shared" si="173"/>
        <v>46098</v>
      </c>
      <c r="D2533" s="28" t="s">
        <v>36</v>
      </c>
      <c r="E2533" s="29" t="s">
        <v>25</v>
      </c>
      <c r="F2533" s="28" t="s">
        <v>26</v>
      </c>
      <c r="G2533" s="28" t="s">
        <v>37</v>
      </c>
      <c r="I2533" s="24">
        <v>2000.0</v>
      </c>
      <c r="J2533" s="13"/>
      <c r="K2533" s="13">
        <f t="shared" ref="K2533:K2535" si="188">if(E2533="pago",(I2533-J2533),"")</f>
        <v>2000</v>
      </c>
      <c r="L2533" s="28" t="s">
        <v>29</v>
      </c>
      <c r="M2533" s="14"/>
      <c r="N2533" s="28" t="s">
        <v>38</v>
      </c>
      <c r="O2533" s="10" t="str">
        <f t="shared" si="79"/>
        <v>03/2026</v>
      </c>
      <c r="P2533" s="10" t="str">
        <f t="shared" si="181"/>
        <v>03/2026</v>
      </c>
      <c r="Q2533" s="15" t="str">
        <f t="array" ref="Q2533">IFERROR(XLOOKUP(N2533,'Classificação'!A:A,'Classificação'!B:B),"")</f>
        <v>DESPESAS COM PESSOAL</v>
      </c>
      <c r="R2533" s="15" t="str">
        <f t="array" ref="R2533">IFERROR(XLOOKUP(Q2533,'Classificação'!B:B,'Classificação'!C:C),"")</f>
        <v>DESPESAS FIXAS (-)</v>
      </c>
      <c r="S2533" s="15">
        <f t="shared" si="131"/>
        <v>17</v>
      </c>
      <c r="T2533" s="15">
        <f t="shared" si="128"/>
        <v>3</v>
      </c>
      <c r="U2533" s="15">
        <f t="shared" si="129"/>
        <v>2026</v>
      </c>
      <c r="V2533" s="15">
        <f t="shared" si="8"/>
        <v>17</v>
      </c>
      <c r="W2533" s="15">
        <f t="shared" si="9"/>
        <v>3</v>
      </c>
      <c r="X2533" s="15">
        <f t="shared" si="10"/>
        <v>2026</v>
      </c>
    </row>
    <row r="2534">
      <c r="A2534" s="26">
        <v>46098.0</v>
      </c>
      <c r="B2534" s="10"/>
      <c r="C2534" s="9">
        <f t="shared" si="173"/>
        <v>46098</v>
      </c>
      <c r="D2534" s="28" t="s">
        <v>43</v>
      </c>
      <c r="E2534" s="29" t="s">
        <v>25</v>
      </c>
      <c r="F2534" s="29" t="s">
        <v>26</v>
      </c>
      <c r="G2534" s="28" t="s">
        <v>37</v>
      </c>
      <c r="I2534" s="24">
        <v>2000.0</v>
      </c>
      <c r="J2534" s="13"/>
      <c r="K2534" s="13">
        <f t="shared" si="188"/>
        <v>2000</v>
      </c>
      <c r="L2534" s="28" t="s">
        <v>29</v>
      </c>
      <c r="M2534" s="14"/>
      <c r="N2534" s="28" t="s">
        <v>38</v>
      </c>
      <c r="O2534" s="10" t="str">
        <f t="shared" si="79"/>
        <v>03/2026</v>
      </c>
      <c r="P2534" s="10" t="str">
        <f t="shared" si="181"/>
        <v>03/2026</v>
      </c>
      <c r="Q2534" s="15" t="str">
        <f t="array" ref="Q2534">IFERROR(XLOOKUP(N2534,'Classificação'!A:A,'Classificação'!B:B),"")</f>
        <v>DESPESAS COM PESSOAL</v>
      </c>
      <c r="R2534" s="15" t="str">
        <f t="array" ref="R2534">IFERROR(XLOOKUP(Q2534,'Classificação'!B:B,'Classificação'!C:C),"")</f>
        <v>DESPESAS FIXAS (-)</v>
      </c>
      <c r="S2534" s="15">
        <f t="shared" si="131"/>
        <v>17</v>
      </c>
      <c r="T2534" s="15">
        <f t="shared" si="128"/>
        <v>3</v>
      </c>
      <c r="U2534" s="15">
        <f t="shared" si="129"/>
        <v>2026</v>
      </c>
      <c r="V2534" s="15">
        <f t="shared" si="8"/>
        <v>17</v>
      </c>
      <c r="W2534" s="15">
        <f t="shared" si="9"/>
        <v>3</v>
      </c>
      <c r="X2534" s="15">
        <f t="shared" si="10"/>
        <v>2026</v>
      </c>
    </row>
    <row r="2535">
      <c r="A2535" s="26">
        <v>46099.0</v>
      </c>
      <c r="B2535" s="30"/>
      <c r="C2535" s="27">
        <f t="shared" si="173"/>
        <v>46099</v>
      </c>
      <c r="D2535" s="28" t="s">
        <v>90</v>
      </c>
      <c r="E2535" s="29" t="s">
        <v>25</v>
      </c>
      <c r="F2535" s="28" t="s">
        <v>40</v>
      </c>
      <c r="G2535" s="29" t="s">
        <v>37</v>
      </c>
      <c r="H2535" s="29" t="s">
        <v>1178</v>
      </c>
      <c r="I2535" s="24">
        <v>437.68</v>
      </c>
      <c r="J2535" s="34"/>
      <c r="K2535" s="13">
        <f t="shared" si="188"/>
        <v>437.68</v>
      </c>
      <c r="L2535" s="28" t="s">
        <v>29</v>
      </c>
      <c r="M2535" s="28"/>
      <c r="N2535" s="28" t="s">
        <v>92</v>
      </c>
      <c r="O2535" s="10" t="str">
        <f t="shared" si="79"/>
        <v>03/2026</v>
      </c>
      <c r="P2535" s="10" t="str">
        <f t="shared" si="181"/>
        <v>03/2026</v>
      </c>
      <c r="Q2535" s="15" t="str">
        <f t="array" ref="Q2535">IFERROR(XLOOKUP(N2535,'Classificação'!A:A,'Classificação'!B:B),"")</f>
        <v>DESPESAS COM OCUPAÇÃO</v>
      </c>
      <c r="R2535" s="15" t="str">
        <f t="array" ref="R2535">IFERROR(XLOOKUP(Q2535,'Classificação'!B:B,'Classificação'!C:C),"")</f>
        <v>DESPESAS FIXAS (-)</v>
      </c>
      <c r="S2535" s="15">
        <f t="shared" si="131"/>
        <v>18</v>
      </c>
      <c r="T2535" s="15">
        <f t="shared" si="128"/>
        <v>3</v>
      </c>
      <c r="U2535" s="15">
        <f t="shared" si="129"/>
        <v>2026</v>
      </c>
      <c r="V2535" s="15">
        <f t="shared" si="8"/>
        <v>18</v>
      </c>
      <c r="W2535" s="15">
        <f t="shared" si="9"/>
        <v>3</v>
      </c>
      <c r="X2535" s="15">
        <f t="shared" si="10"/>
        <v>2026</v>
      </c>
    </row>
    <row r="2536">
      <c r="A2536" s="26">
        <v>46099.0</v>
      </c>
      <c r="B2536" s="30"/>
      <c r="C2536" s="27">
        <f t="shared" si="173"/>
        <v>46099</v>
      </c>
      <c r="D2536" s="28" t="s">
        <v>65</v>
      </c>
      <c r="E2536" s="29" t="s">
        <v>25</v>
      </c>
      <c r="F2536" s="28" t="s">
        <v>45</v>
      </c>
      <c r="G2536" s="28" t="s">
        <v>37</v>
      </c>
      <c r="H2536" s="28" t="s">
        <v>1114</v>
      </c>
      <c r="I2536" s="24">
        <v>324.83</v>
      </c>
      <c r="J2536" s="34"/>
      <c r="K2536" s="37">
        <f>IF(E2536="pago",(I2536-J2536),"")</f>
        <v>324.83</v>
      </c>
      <c r="L2536" s="28" t="s">
        <v>29</v>
      </c>
      <c r="M2536" s="28"/>
      <c r="N2536" s="28" t="s">
        <v>68</v>
      </c>
      <c r="O2536" s="10" t="str">
        <f t="shared" si="79"/>
        <v>03/2026</v>
      </c>
      <c r="P2536" s="10" t="str">
        <f t="shared" si="181"/>
        <v>03/2026</v>
      </c>
      <c r="Q2536" s="15" t="str">
        <f t="array" ref="Q2536">IFERROR(XLOOKUP(N2536,'Classificação'!A:A,'Classificação'!B:B),"")</f>
        <v>FRETE DE VENDAS</v>
      </c>
      <c r="R2536" s="15" t="str">
        <f t="array" ref="R2536">IFERROR(XLOOKUP(Q2536,'Classificação'!B:B,'Classificação'!C:C),"")</f>
        <v>CUSTOS VARIÁVEIS</v>
      </c>
      <c r="S2536" s="15">
        <f t="shared" si="131"/>
        <v>18</v>
      </c>
      <c r="T2536" s="15">
        <f t="shared" si="128"/>
        <v>3</v>
      </c>
      <c r="U2536" s="15">
        <f t="shared" si="129"/>
        <v>2026</v>
      </c>
      <c r="V2536" s="15">
        <f t="shared" si="8"/>
        <v>18</v>
      </c>
      <c r="W2536" s="15">
        <f t="shared" si="9"/>
        <v>3</v>
      </c>
      <c r="X2536" s="15">
        <f t="shared" si="10"/>
        <v>2026</v>
      </c>
    </row>
    <row r="2537">
      <c r="A2537" s="9">
        <v>46099.0</v>
      </c>
      <c r="B2537" s="10"/>
      <c r="C2537" s="9">
        <f t="shared" si="173"/>
        <v>46099</v>
      </c>
      <c r="D2537" s="11" t="s">
        <v>44</v>
      </c>
      <c r="E2537" s="11" t="s">
        <v>25</v>
      </c>
      <c r="F2537" s="11" t="s">
        <v>45</v>
      </c>
      <c r="G2537" s="11" t="s">
        <v>27</v>
      </c>
      <c r="H2537" s="11" t="s">
        <v>703</v>
      </c>
      <c r="I2537" s="12">
        <v>2880.15</v>
      </c>
      <c r="J2537" s="13"/>
      <c r="K2537" s="13">
        <f t="shared" ref="K2537:K2539" si="189">if(E2537="pago",(I2537-J2537),"")</f>
        <v>2880.15</v>
      </c>
      <c r="L2537" s="11" t="s">
        <v>53</v>
      </c>
      <c r="M2537" s="16" t="s">
        <v>1284</v>
      </c>
      <c r="N2537" s="11" t="s">
        <v>73</v>
      </c>
      <c r="O2537" s="10" t="str">
        <f t="shared" si="79"/>
        <v>03/2026</v>
      </c>
      <c r="P2537" s="10" t="str">
        <f t="shared" si="181"/>
        <v>03/2026</v>
      </c>
      <c r="Q2537" s="15" t="str">
        <f t="array" ref="Q2537">IFERROR(XLOOKUP(N2537,'Classificação'!A:A,'Classificação'!B:B),"")</f>
        <v>DESPESAS NÃO OPERACIONAIS</v>
      </c>
      <c r="R2537" s="15" t="str">
        <f t="array" ref="R2537">IFERROR(XLOOKUP(Q2537,'Classificação'!B:B,'Classificação'!C:C),"")</f>
        <v>RESULTADO NÃO OPERACIONAL (+/-)</v>
      </c>
      <c r="S2537" s="15">
        <f t="shared" si="131"/>
        <v>18</v>
      </c>
      <c r="T2537" s="15">
        <f t="shared" si="128"/>
        <v>3</v>
      </c>
      <c r="U2537" s="15">
        <f t="shared" si="129"/>
        <v>2026</v>
      </c>
      <c r="V2537" s="15">
        <f t="shared" si="8"/>
        <v>18</v>
      </c>
      <c r="W2537" s="15">
        <f t="shared" si="9"/>
        <v>3</v>
      </c>
      <c r="X2537" s="15">
        <f t="shared" si="10"/>
        <v>2026</v>
      </c>
    </row>
    <row r="2538">
      <c r="A2538" s="9">
        <v>46099.0</v>
      </c>
      <c r="B2538" s="10"/>
      <c r="C2538" s="9">
        <f t="shared" si="173"/>
        <v>46099</v>
      </c>
      <c r="D2538" s="11" t="s">
        <v>379</v>
      </c>
      <c r="E2538" s="29" t="s">
        <v>25</v>
      </c>
      <c r="F2538" s="11" t="s">
        <v>26</v>
      </c>
      <c r="G2538" s="11" t="s">
        <v>37</v>
      </c>
      <c r="H2538" s="11" t="s">
        <v>1285</v>
      </c>
      <c r="I2538" s="31">
        <v>100.0</v>
      </c>
      <c r="J2538" s="13"/>
      <c r="K2538" s="13">
        <f t="shared" si="189"/>
        <v>100</v>
      </c>
      <c r="L2538" s="11" t="s">
        <v>34</v>
      </c>
      <c r="M2538" s="14"/>
      <c r="N2538" s="11" t="s">
        <v>68</v>
      </c>
      <c r="O2538" s="10" t="str">
        <f t="shared" si="79"/>
        <v>03/2026</v>
      </c>
      <c r="P2538" s="10" t="str">
        <f t="shared" si="181"/>
        <v>03/2026</v>
      </c>
      <c r="Q2538" s="15" t="str">
        <f t="array" ref="Q2538">IFERROR(XLOOKUP(N2538,'Classificação'!A:A,'Classificação'!B:B),"")</f>
        <v>FRETE DE VENDAS</v>
      </c>
      <c r="R2538" s="15" t="str">
        <f t="array" ref="R2538">IFERROR(XLOOKUP(Q2538,'Classificação'!B:B,'Classificação'!C:C),"")</f>
        <v>CUSTOS VARIÁVEIS</v>
      </c>
      <c r="S2538" s="15">
        <f t="shared" si="131"/>
        <v>18</v>
      </c>
      <c r="T2538" s="15">
        <f t="shared" si="128"/>
        <v>3</v>
      </c>
      <c r="U2538" s="15">
        <f t="shared" si="129"/>
        <v>2026</v>
      </c>
      <c r="V2538" s="15">
        <f t="shared" si="8"/>
        <v>18</v>
      </c>
      <c r="W2538" s="15">
        <f t="shared" si="9"/>
        <v>3</v>
      </c>
      <c r="X2538" s="15">
        <f t="shared" si="10"/>
        <v>2026</v>
      </c>
    </row>
    <row r="2539">
      <c r="A2539" s="9">
        <v>46100.0</v>
      </c>
      <c r="B2539" s="10"/>
      <c r="C2539" s="9">
        <f t="shared" si="173"/>
        <v>46100</v>
      </c>
      <c r="D2539" s="11" t="s">
        <v>654</v>
      </c>
      <c r="E2539" s="11" t="s">
        <v>25</v>
      </c>
      <c r="F2539" s="11" t="s">
        <v>40</v>
      </c>
      <c r="G2539" s="11" t="s">
        <v>37</v>
      </c>
      <c r="H2539" s="11" t="s">
        <v>1286</v>
      </c>
      <c r="I2539" s="31">
        <v>160.0</v>
      </c>
      <c r="J2539" s="13"/>
      <c r="K2539" s="13">
        <f t="shared" si="189"/>
        <v>160</v>
      </c>
      <c r="L2539" s="11" t="s">
        <v>34</v>
      </c>
      <c r="M2539" s="14"/>
      <c r="N2539" s="11" t="s">
        <v>392</v>
      </c>
      <c r="O2539" s="10" t="str">
        <f t="shared" si="79"/>
        <v>03/2026</v>
      </c>
      <c r="P2539" s="10" t="str">
        <f t="shared" si="181"/>
        <v>03/2026</v>
      </c>
      <c r="Q2539" s="15" t="str">
        <f t="array" ref="Q2539">IFERROR(XLOOKUP(N2539,'Classificação'!A:A,'Classificação'!B:B),"")</f>
        <v>DESPESAS COM OCUPAÇÃO</v>
      </c>
      <c r="R2539" s="15" t="str">
        <f t="array" ref="R2539">IFERROR(XLOOKUP(Q2539,'Classificação'!B:B,'Classificação'!C:C),"")</f>
        <v>DESPESAS FIXAS (-)</v>
      </c>
      <c r="S2539" s="15">
        <f t="shared" si="131"/>
        <v>19</v>
      </c>
      <c r="T2539" s="15">
        <f t="shared" si="128"/>
        <v>3</v>
      </c>
      <c r="U2539" s="15">
        <f t="shared" si="129"/>
        <v>2026</v>
      </c>
      <c r="V2539" s="15">
        <f t="shared" si="8"/>
        <v>19</v>
      </c>
      <c r="W2539" s="15">
        <f t="shared" si="9"/>
        <v>3</v>
      </c>
      <c r="X2539" s="15">
        <f t="shared" si="10"/>
        <v>2026</v>
      </c>
    </row>
    <row r="2540">
      <c r="A2540" s="26">
        <v>46101.0</v>
      </c>
      <c r="B2540" s="30"/>
      <c r="C2540" s="27">
        <f t="shared" si="173"/>
        <v>46101</v>
      </c>
      <c r="D2540" s="28" t="s">
        <v>100</v>
      </c>
      <c r="E2540" s="29" t="s">
        <v>25</v>
      </c>
      <c r="F2540" s="28" t="s">
        <v>40</v>
      </c>
      <c r="G2540" s="28" t="s">
        <v>37</v>
      </c>
      <c r="H2540" s="29" t="s">
        <v>1016</v>
      </c>
      <c r="I2540" s="24">
        <v>10415.15</v>
      </c>
      <c r="J2540" s="34"/>
      <c r="K2540" s="37">
        <f t="shared" ref="K2540:K2543" si="190">IF(E2540="pago",(I2540-J2540),"")</f>
        <v>10415.15</v>
      </c>
      <c r="L2540" s="28" t="s">
        <v>29</v>
      </c>
      <c r="M2540" s="28"/>
      <c r="N2540" s="28" t="s">
        <v>101</v>
      </c>
      <c r="O2540" s="10" t="str">
        <f t="shared" si="79"/>
        <v>03/2026</v>
      </c>
      <c r="P2540" s="10" t="str">
        <f t="shared" si="181"/>
        <v>03/2026</v>
      </c>
      <c r="Q2540" s="15" t="str">
        <f t="array" ref="Q2540">IFERROR(XLOOKUP(N2540,'Classificação'!A:A,'Classificação'!B:B),"")</f>
        <v>IMPOSTO DE RENDA - DAS</v>
      </c>
      <c r="R2540" s="15" t="str">
        <f t="array" ref="R2540">IFERROR(XLOOKUP(Q2540,'Classificação'!B:B,'Classificação'!C:C),"")</f>
        <v>DEDUÇÕES DA RECEITA BRUTA (-)</v>
      </c>
      <c r="S2540" s="15">
        <f t="shared" si="131"/>
        <v>20</v>
      </c>
      <c r="T2540" s="15">
        <f t="shared" si="128"/>
        <v>3</v>
      </c>
      <c r="U2540" s="15">
        <f t="shared" si="129"/>
        <v>2026</v>
      </c>
      <c r="V2540" s="15">
        <f t="shared" si="8"/>
        <v>20</v>
      </c>
      <c r="W2540" s="15">
        <f t="shared" si="9"/>
        <v>3</v>
      </c>
      <c r="X2540" s="15">
        <f t="shared" si="10"/>
        <v>2026</v>
      </c>
    </row>
    <row r="2541">
      <c r="A2541" s="26">
        <v>46101.0</v>
      </c>
      <c r="B2541" s="26">
        <v>46065.0</v>
      </c>
      <c r="C2541" s="27">
        <f t="shared" si="173"/>
        <v>46101</v>
      </c>
      <c r="D2541" s="29" t="s">
        <v>560</v>
      </c>
      <c r="E2541" s="11" t="s">
        <v>25</v>
      </c>
      <c r="F2541" s="29" t="s">
        <v>107</v>
      </c>
      <c r="G2541" s="28" t="s">
        <v>27</v>
      </c>
      <c r="H2541" s="29" t="s">
        <v>1287</v>
      </c>
      <c r="I2541" s="33">
        <v>260.75</v>
      </c>
      <c r="J2541" s="34"/>
      <c r="K2541" s="37">
        <f t="shared" si="190"/>
        <v>260.75</v>
      </c>
      <c r="L2541" s="29" t="s">
        <v>53</v>
      </c>
      <c r="M2541" s="35">
        <v>46113.0</v>
      </c>
      <c r="N2541" s="29" t="s">
        <v>175</v>
      </c>
      <c r="O2541" s="10" t="str">
        <f t="shared" si="79"/>
        <v>03/2026</v>
      </c>
      <c r="P2541" s="10" t="str">
        <f t="shared" si="181"/>
        <v>03/2026</v>
      </c>
      <c r="Q2541" s="15" t="str">
        <f t="array" ref="Q2541">IFERROR(XLOOKUP(N2541,'Classificação'!A:A,'Classificação'!B:B),"")</f>
        <v>DESPESAS COM VEICULOS</v>
      </c>
      <c r="R2541" s="15" t="str">
        <f t="array" ref="R2541">IFERROR(XLOOKUP(Q2541,'Classificação'!B:B,'Classificação'!C:C),"")</f>
        <v>DESPESAS FIXAS (-)</v>
      </c>
      <c r="S2541" s="15">
        <f t="shared" si="131"/>
        <v>20</v>
      </c>
      <c r="T2541" s="15">
        <f t="shared" si="128"/>
        <v>3</v>
      </c>
      <c r="U2541" s="15">
        <f t="shared" si="129"/>
        <v>2026</v>
      </c>
      <c r="V2541" s="15">
        <f t="shared" si="8"/>
        <v>20</v>
      </c>
      <c r="W2541" s="15">
        <f t="shared" si="9"/>
        <v>3</v>
      </c>
      <c r="X2541" s="15">
        <f t="shared" si="10"/>
        <v>2026</v>
      </c>
    </row>
    <row r="2542">
      <c r="A2542" s="26">
        <v>46101.0</v>
      </c>
      <c r="B2542" s="26">
        <v>46064.0</v>
      </c>
      <c r="C2542" s="27">
        <f t="shared" si="173"/>
        <v>46101</v>
      </c>
      <c r="D2542" s="29" t="s">
        <v>179</v>
      </c>
      <c r="E2542" s="11" t="s">
        <v>25</v>
      </c>
      <c r="F2542" s="29" t="s">
        <v>110</v>
      </c>
      <c r="G2542" s="28" t="s">
        <v>27</v>
      </c>
      <c r="H2542" s="29" t="s">
        <v>312</v>
      </c>
      <c r="I2542" s="24">
        <v>119.99</v>
      </c>
      <c r="J2542" s="34"/>
      <c r="K2542" s="37">
        <f t="shared" si="190"/>
        <v>119.99</v>
      </c>
      <c r="L2542" s="29" t="s">
        <v>34</v>
      </c>
      <c r="M2542" s="28"/>
      <c r="N2542" s="29" t="s">
        <v>181</v>
      </c>
      <c r="O2542" s="10" t="str">
        <f t="shared" si="79"/>
        <v>03/2026</v>
      </c>
      <c r="P2542" s="10" t="str">
        <f t="shared" si="181"/>
        <v>03/2026</v>
      </c>
      <c r="Q2542" s="15" t="str">
        <f t="array" ref="Q2542">IFERROR(XLOOKUP(N2542,'Classificação'!A:A,'Classificação'!B:B),"")</f>
        <v>DESPESAS COM VEICULOS</v>
      </c>
      <c r="R2542" s="15" t="str">
        <f t="array" ref="R2542">IFERROR(XLOOKUP(Q2542,'Classificação'!B:B,'Classificação'!C:C),"")</f>
        <v>DESPESAS FIXAS (-)</v>
      </c>
      <c r="S2542" s="15">
        <f t="shared" si="131"/>
        <v>20</v>
      </c>
      <c r="T2542" s="15">
        <f t="shared" si="128"/>
        <v>3</v>
      </c>
      <c r="U2542" s="15">
        <f t="shared" si="129"/>
        <v>2026</v>
      </c>
      <c r="V2542" s="15">
        <f t="shared" si="8"/>
        <v>20</v>
      </c>
      <c r="W2542" s="15">
        <f t="shared" si="9"/>
        <v>3</v>
      </c>
      <c r="X2542" s="15">
        <f t="shared" si="10"/>
        <v>2026</v>
      </c>
    </row>
    <row r="2543">
      <c r="A2543" s="9">
        <v>46101.0</v>
      </c>
      <c r="B2543" s="9">
        <v>45737.0</v>
      </c>
      <c r="C2543" s="9">
        <f t="shared" si="173"/>
        <v>46101</v>
      </c>
      <c r="D2543" s="11" t="s">
        <v>65</v>
      </c>
      <c r="E2543" s="11" t="s">
        <v>25</v>
      </c>
      <c r="F2543" s="11" t="s">
        <v>110</v>
      </c>
      <c r="G2543" s="11" t="s">
        <v>27</v>
      </c>
      <c r="H2543" s="11" t="s">
        <v>681</v>
      </c>
      <c r="I2543" s="12">
        <v>47.2</v>
      </c>
      <c r="J2543" s="13"/>
      <c r="K2543" s="37">
        <f t="shared" si="190"/>
        <v>47.2</v>
      </c>
      <c r="L2543" s="11" t="s">
        <v>53</v>
      </c>
      <c r="M2543" s="17">
        <v>46003.0</v>
      </c>
      <c r="N2543" s="11" t="s">
        <v>95</v>
      </c>
      <c r="O2543" s="10" t="str">
        <f t="shared" si="79"/>
        <v>03/2026</v>
      </c>
      <c r="P2543" s="10" t="str">
        <f t="shared" si="181"/>
        <v>03/2026</v>
      </c>
      <c r="Q2543" s="15" t="str">
        <f t="array" ref="Q2543">IFERROR(XLOOKUP(N2543,'Classificação'!A:A,'Classificação'!B:B),"")</f>
        <v>DESPESAS NÃO OPERACIONAIS</v>
      </c>
      <c r="R2543" s="15" t="str">
        <f t="array" ref="R2543">IFERROR(XLOOKUP(Q2543,'Classificação'!B:B,'Classificação'!C:C),"")</f>
        <v>RESULTADO NÃO OPERACIONAL (+/-)</v>
      </c>
      <c r="S2543" s="15">
        <f t="shared" si="131"/>
        <v>20</v>
      </c>
      <c r="T2543" s="15">
        <f t="shared" si="128"/>
        <v>3</v>
      </c>
      <c r="U2543" s="15">
        <f t="shared" si="129"/>
        <v>2026</v>
      </c>
      <c r="V2543" s="15">
        <f t="shared" si="8"/>
        <v>20</v>
      </c>
      <c r="W2543" s="15">
        <f t="shared" si="9"/>
        <v>3</v>
      </c>
      <c r="X2543" s="15">
        <f t="shared" si="10"/>
        <v>2026</v>
      </c>
    </row>
    <row r="2544">
      <c r="A2544" s="26">
        <v>46101.0</v>
      </c>
      <c r="B2544" s="39"/>
      <c r="C2544" s="9">
        <f t="shared" si="173"/>
        <v>46101</v>
      </c>
      <c r="D2544" s="28" t="s">
        <v>65</v>
      </c>
      <c r="E2544" s="11" t="s">
        <v>25</v>
      </c>
      <c r="F2544" s="28" t="s">
        <v>107</v>
      </c>
      <c r="G2544" s="28" t="s">
        <v>27</v>
      </c>
      <c r="H2544" s="28" t="s">
        <v>612</v>
      </c>
      <c r="I2544" s="33">
        <v>9.9</v>
      </c>
      <c r="J2544" s="34"/>
      <c r="K2544" s="13">
        <f>if(E2544="pago",(I2544-J2544),"")</f>
        <v>9.9</v>
      </c>
      <c r="L2544" s="28" t="s">
        <v>29</v>
      </c>
      <c r="M2544" s="28"/>
      <c r="N2544" s="28" t="s">
        <v>105</v>
      </c>
      <c r="O2544" s="10" t="str">
        <f t="shared" si="79"/>
        <v>03/2026</v>
      </c>
      <c r="P2544" s="10" t="str">
        <f t="shared" si="181"/>
        <v>03/2026</v>
      </c>
      <c r="Q2544" s="15" t="str">
        <f t="array" ref="Q2544">IFERROR(XLOOKUP(N2544,'Classificação'!A:A,'Classificação'!B:B),"")</f>
        <v>DESPESAS ADMINISTRATIVAS</v>
      </c>
      <c r="R2544" s="15" t="str">
        <f t="array" ref="R2544">IFERROR(XLOOKUP(Q2544,'Classificação'!B:B,'Classificação'!C:C),"")</f>
        <v>DESPESAS FIXAS (-)</v>
      </c>
      <c r="S2544" s="15">
        <f t="shared" si="131"/>
        <v>20</v>
      </c>
      <c r="T2544" s="15">
        <f t="shared" si="128"/>
        <v>3</v>
      </c>
      <c r="U2544" s="15">
        <f t="shared" si="129"/>
        <v>2026</v>
      </c>
      <c r="V2544" s="15">
        <f t="shared" si="8"/>
        <v>20</v>
      </c>
      <c r="W2544" s="15">
        <f t="shared" si="9"/>
        <v>3</v>
      </c>
      <c r="X2544" s="15">
        <f t="shared" si="10"/>
        <v>2026</v>
      </c>
    </row>
    <row r="2545">
      <c r="A2545" s="26">
        <v>46101.0</v>
      </c>
      <c r="B2545" s="28"/>
      <c r="C2545" s="27">
        <f t="shared" si="173"/>
        <v>46101</v>
      </c>
      <c r="D2545" s="28" t="s">
        <v>121</v>
      </c>
      <c r="E2545" s="11" t="s">
        <v>25</v>
      </c>
      <c r="F2545" s="28" t="s">
        <v>107</v>
      </c>
      <c r="G2545" s="28" t="s">
        <v>27</v>
      </c>
      <c r="H2545" s="28"/>
      <c r="I2545" s="33">
        <v>29.9</v>
      </c>
      <c r="J2545" s="34"/>
      <c r="K2545" s="37">
        <f>IF(E2545="pago",(I2545-J2545),"")</f>
        <v>29.9</v>
      </c>
      <c r="L2545" s="28" t="s">
        <v>29</v>
      </c>
      <c r="M2545" s="28"/>
      <c r="N2545" s="28" t="s">
        <v>105</v>
      </c>
      <c r="O2545" s="10" t="str">
        <f t="shared" si="79"/>
        <v>03/2026</v>
      </c>
      <c r="P2545" s="10" t="str">
        <f t="shared" si="181"/>
        <v>03/2026</v>
      </c>
      <c r="Q2545" s="15" t="str">
        <f t="array" ref="Q2545">IFERROR(XLOOKUP(N2545,'Classificação'!A:A,'Classificação'!B:B),"")</f>
        <v>DESPESAS ADMINISTRATIVAS</v>
      </c>
      <c r="R2545" s="15" t="str">
        <f t="array" ref="R2545">IFERROR(XLOOKUP(Q2545,'Classificação'!B:B,'Classificação'!C:C),"")</f>
        <v>DESPESAS FIXAS (-)</v>
      </c>
      <c r="S2545" s="15">
        <f t="shared" si="131"/>
        <v>20</v>
      </c>
      <c r="T2545" s="15">
        <f t="shared" si="128"/>
        <v>3</v>
      </c>
      <c r="U2545" s="15">
        <f t="shared" si="129"/>
        <v>2026</v>
      </c>
      <c r="V2545" s="15">
        <f t="shared" si="8"/>
        <v>20</v>
      </c>
      <c r="W2545" s="15">
        <f t="shared" si="9"/>
        <v>3</v>
      </c>
      <c r="X2545" s="15">
        <f t="shared" si="10"/>
        <v>2026</v>
      </c>
    </row>
    <row r="2546">
      <c r="A2546" s="9">
        <v>46101.0</v>
      </c>
      <c r="B2546" s="32">
        <v>46008.0</v>
      </c>
      <c r="C2546" s="9">
        <f t="shared" si="173"/>
        <v>46101</v>
      </c>
      <c r="D2546" s="11" t="s">
        <v>1190</v>
      </c>
      <c r="E2546" s="11" t="s">
        <v>25</v>
      </c>
      <c r="F2546" s="11" t="s">
        <v>107</v>
      </c>
      <c r="G2546" s="28" t="s">
        <v>27</v>
      </c>
      <c r="H2546" s="11" t="s">
        <v>1191</v>
      </c>
      <c r="I2546" s="31">
        <v>245.0</v>
      </c>
      <c r="J2546" s="13"/>
      <c r="K2546" s="13">
        <f t="shared" ref="K2546:K2551" si="191">if(E2546="pago",(I2546-J2546),"")</f>
        <v>245</v>
      </c>
      <c r="L2546" s="28" t="s">
        <v>53</v>
      </c>
      <c r="M2546" s="17">
        <v>45719.0</v>
      </c>
      <c r="N2546" s="11" t="s">
        <v>392</v>
      </c>
      <c r="O2546" s="10" t="str">
        <f t="shared" si="79"/>
        <v>03/2026</v>
      </c>
      <c r="P2546" s="10" t="str">
        <f t="shared" si="181"/>
        <v>03/2026</v>
      </c>
      <c r="Q2546" s="15" t="str">
        <f t="array" ref="Q2546">IFERROR(XLOOKUP(N2546,'Classificação'!A:A,'Classificação'!B:B),"")</f>
        <v>DESPESAS COM OCUPAÇÃO</v>
      </c>
      <c r="R2546" s="15" t="str">
        <f t="array" ref="R2546">IFERROR(XLOOKUP(Q2546,'Classificação'!B:B,'Classificação'!C:C),"")</f>
        <v>DESPESAS FIXAS (-)</v>
      </c>
      <c r="S2546" s="15">
        <f t="shared" si="131"/>
        <v>20</v>
      </c>
      <c r="T2546" s="15">
        <f t="shared" si="128"/>
        <v>3</v>
      </c>
      <c r="U2546" s="15">
        <f t="shared" si="129"/>
        <v>2026</v>
      </c>
      <c r="V2546" s="15">
        <f t="shared" si="8"/>
        <v>20</v>
      </c>
      <c r="W2546" s="15">
        <f t="shared" si="9"/>
        <v>3</v>
      </c>
      <c r="X2546" s="15">
        <f t="shared" si="10"/>
        <v>2026</v>
      </c>
    </row>
    <row r="2547">
      <c r="A2547" s="9">
        <v>46101.0</v>
      </c>
      <c r="B2547" s="32">
        <v>46009.0</v>
      </c>
      <c r="C2547" s="9">
        <f>IF(E2548="pago",A2547,"")</f>
        <v>46101</v>
      </c>
      <c r="D2547" s="11" t="s">
        <v>1213</v>
      </c>
      <c r="E2547" s="11" t="s">
        <v>25</v>
      </c>
      <c r="F2547" s="11" t="s">
        <v>107</v>
      </c>
      <c r="G2547" s="28" t="s">
        <v>27</v>
      </c>
      <c r="H2547" s="11" t="s">
        <v>1214</v>
      </c>
      <c r="I2547" s="31">
        <v>105.45</v>
      </c>
      <c r="J2547" s="13"/>
      <c r="K2547" s="13">
        <f t="shared" si="191"/>
        <v>105.45</v>
      </c>
      <c r="L2547" s="11" t="s">
        <v>53</v>
      </c>
      <c r="M2547" s="17">
        <v>46145.0</v>
      </c>
      <c r="N2547" s="11" t="s">
        <v>95</v>
      </c>
      <c r="O2547" s="10" t="str">
        <f t="shared" si="79"/>
        <v>03/2026</v>
      </c>
      <c r="P2547" s="10" t="str">
        <f t="shared" si="181"/>
        <v>03/2026</v>
      </c>
      <c r="Q2547" s="15" t="str">
        <f t="array" ref="Q2547">IFERROR(XLOOKUP(N2547,'Classificação'!A:A,'Classificação'!B:B),"")</f>
        <v>DESPESAS NÃO OPERACIONAIS</v>
      </c>
      <c r="R2547" s="15" t="str">
        <f t="array" ref="R2547">IFERROR(XLOOKUP(Q2547,'Classificação'!B:B,'Classificação'!C:C),"")</f>
        <v>RESULTADO NÃO OPERACIONAL (+/-)</v>
      </c>
      <c r="S2547" s="15">
        <f t="shared" si="131"/>
        <v>20</v>
      </c>
      <c r="T2547" s="15">
        <f t="shared" si="128"/>
        <v>3</v>
      </c>
      <c r="U2547" s="15">
        <f t="shared" si="129"/>
        <v>2026</v>
      </c>
      <c r="V2547" s="15">
        <f t="shared" si="8"/>
        <v>20</v>
      </c>
      <c r="W2547" s="15">
        <f t="shared" si="9"/>
        <v>3</v>
      </c>
      <c r="X2547" s="15">
        <f t="shared" si="10"/>
        <v>2026</v>
      </c>
    </row>
    <row r="2548">
      <c r="A2548" s="9">
        <v>46101.0</v>
      </c>
      <c r="B2548" s="19">
        <v>45747.0</v>
      </c>
      <c r="C2548" s="9">
        <f t="shared" ref="C2548:C2674" si="192">IF(E2548="pago",A2548,"")</f>
        <v>46101</v>
      </c>
      <c r="D2548" s="11" t="s">
        <v>691</v>
      </c>
      <c r="E2548" s="11" t="s">
        <v>25</v>
      </c>
      <c r="F2548" s="11" t="s">
        <v>107</v>
      </c>
      <c r="G2548" s="11" t="s">
        <v>27</v>
      </c>
      <c r="H2548" s="11" t="s">
        <v>692</v>
      </c>
      <c r="I2548" s="31">
        <v>98.93</v>
      </c>
      <c r="J2548" s="13"/>
      <c r="K2548" s="13">
        <f t="shared" si="191"/>
        <v>98.93</v>
      </c>
      <c r="L2548" s="11" t="s">
        <v>53</v>
      </c>
      <c r="M2548" s="17">
        <v>46003.0</v>
      </c>
      <c r="N2548" s="11" t="s">
        <v>693</v>
      </c>
      <c r="O2548" s="10" t="str">
        <f t="shared" si="79"/>
        <v>03/2026</v>
      </c>
      <c r="P2548" s="10" t="str">
        <f t="shared" si="181"/>
        <v>03/2026</v>
      </c>
      <c r="Q2548" s="15" t="str">
        <f t="array" ref="Q2548">IFERROR(XLOOKUP(N2548,'Classificação'!A:A,'Classificação'!B:B),"")</f>
        <v>DESPESAS COM OCUPAÇÃO</v>
      </c>
      <c r="R2548" s="15" t="str">
        <f t="array" ref="R2548">IFERROR(XLOOKUP(Q2548,'Classificação'!B:B,'Classificação'!C:C),"")</f>
        <v>DESPESAS FIXAS (-)</v>
      </c>
      <c r="S2548" s="15">
        <f t="shared" si="131"/>
        <v>20</v>
      </c>
      <c r="T2548" s="15">
        <f t="shared" si="128"/>
        <v>3</v>
      </c>
      <c r="U2548" s="15">
        <f t="shared" si="129"/>
        <v>2026</v>
      </c>
      <c r="V2548" s="15">
        <f t="shared" si="8"/>
        <v>20</v>
      </c>
      <c r="W2548" s="15">
        <f t="shared" si="9"/>
        <v>3</v>
      </c>
      <c r="X2548" s="15">
        <f t="shared" si="10"/>
        <v>2026</v>
      </c>
    </row>
    <row r="2549">
      <c r="A2549" s="9">
        <v>46101.0</v>
      </c>
      <c r="B2549" s="9">
        <v>45757.0</v>
      </c>
      <c r="C2549" s="9">
        <f t="shared" si="192"/>
        <v>46101</v>
      </c>
      <c r="D2549" s="11" t="s">
        <v>65</v>
      </c>
      <c r="E2549" s="11" t="s">
        <v>25</v>
      </c>
      <c r="F2549" s="11" t="s">
        <v>107</v>
      </c>
      <c r="G2549" s="11" t="s">
        <v>27</v>
      </c>
      <c r="H2549" s="11" t="s">
        <v>681</v>
      </c>
      <c r="I2549" s="31">
        <v>47.73</v>
      </c>
      <c r="J2549" s="13"/>
      <c r="K2549" s="13">
        <f t="shared" si="191"/>
        <v>47.73</v>
      </c>
      <c r="L2549" s="11" t="s">
        <v>53</v>
      </c>
      <c r="M2549" s="17">
        <v>46002.0</v>
      </c>
      <c r="N2549" s="11" t="s">
        <v>95</v>
      </c>
      <c r="O2549" s="10" t="str">
        <f t="shared" si="79"/>
        <v>03/2026</v>
      </c>
      <c r="P2549" s="10" t="str">
        <f t="shared" si="181"/>
        <v>03/2026</v>
      </c>
      <c r="Q2549" s="15" t="str">
        <f t="array" ref="Q2549">IFERROR(XLOOKUP(N2549,'Classificação'!A:A,'Classificação'!B:B),"")</f>
        <v>DESPESAS NÃO OPERACIONAIS</v>
      </c>
      <c r="R2549" s="15" t="str">
        <f t="array" ref="R2549">IFERROR(XLOOKUP(Q2549,'Classificação'!B:B,'Classificação'!C:C),"")</f>
        <v>RESULTADO NÃO OPERACIONAL (+/-)</v>
      </c>
      <c r="S2549" s="15">
        <f t="shared" si="131"/>
        <v>20</v>
      </c>
      <c r="T2549" s="15">
        <f t="shared" si="128"/>
        <v>3</v>
      </c>
      <c r="U2549" s="15">
        <f t="shared" si="129"/>
        <v>2026</v>
      </c>
      <c r="V2549" s="15">
        <f t="shared" si="8"/>
        <v>20</v>
      </c>
      <c r="W2549" s="15">
        <f t="shared" si="9"/>
        <v>3</v>
      </c>
      <c r="X2549" s="15">
        <f t="shared" si="10"/>
        <v>2026</v>
      </c>
    </row>
    <row r="2550">
      <c r="A2550" s="27">
        <v>46101.0</v>
      </c>
      <c r="B2550" s="9">
        <v>45757.0</v>
      </c>
      <c r="C2550" s="9">
        <f t="shared" si="192"/>
        <v>46101</v>
      </c>
      <c r="D2550" s="11" t="s">
        <v>65</v>
      </c>
      <c r="E2550" s="11" t="s">
        <v>25</v>
      </c>
      <c r="F2550" s="11" t="s">
        <v>107</v>
      </c>
      <c r="G2550" s="11" t="s">
        <v>27</v>
      </c>
      <c r="H2550" s="11" t="s">
        <v>739</v>
      </c>
      <c r="I2550" s="31">
        <v>48.17</v>
      </c>
      <c r="J2550" s="13"/>
      <c r="K2550" s="13">
        <f t="shared" si="191"/>
        <v>48.17</v>
      </c>
      <c r="L2550" s="11" t="s">
        <v>53</v>
      </c>
      <c r="M2550" s="17">
        <v>45972.0</v>
      </c>
      <c r="N2550" s="11" t="s">
        <v>95</v>
      </c>
      <c r="O2550" s="10" t="str">
        <f t="shared" si="79"/>
        <v>03/2026</v>
      </c>
      <c r="P2550" s="10" t="str">
        <f t="shared" si="181"/>
        <v>03/2026</v>
      </c>
      <c r="Q2550" s="15" t="str">
        <f t="array" ref="Q2550">IFERROR(XLOOKUP(N2550,'Classificação'!A:A,'Classificação'!B:B),"")</f>
        <v>DESPESAS NÃO OPERACIONAIS</v>
      </c>
      <c r="R2550" s="15" t="str">
        <f t="array" ref="R2550">IFERROR(XLOOKUP(Q2550,'Classificação'!B:B,'Classificação'!C:C),"")</f>
        <v>RESULTADO NÃO OPERACIONAL (+/-)</v>
      </c>
      <c r="S2550" s="15">
        <f t="shared" si="131"/>
        <v>20</v>
      </c>
      <c r="T2550" s="15">
        <f t="shared" si="128"/>
        <v>3</v>
      </c>
      <c r="U2550" s="15">
        <f t="shared" si="129"/>
        <v>2026</v>
      </c>
      <c r="V2550" s="15">
        <f t="shared" si="8"/>
        <v>20</v>
      </c>
      <c r="W2550" s="15">
        <f t="shared" si="9"/>
        <v>3</v>
      </c>
      <c r="X2550" s="15">
        <f t="shared" si="10"/>
        <v>2026</v>
      </c>
    </row>
    <row r="2551">
      <c r="A2551" s="9">
        <v>46101.0</v>
      </c>
      <c r="B2551" s="10"/>
      <c r="C2551" s="9">
        <f t="shared" si="192"/>
        <v>46101</v>
      </c>
      <c r="D2551" s="11" t="s">
        <v>131</v>
      </c>
      <c r="E2551" s="11" t="s">
        <v>25</v>
      </c>
      <c r="F2551" s="28" t="s">
        <v>107</v>
      </c>
      <c r="G2551" s="28" t="s">
        <v>27</v>
      </c>
      <c r="H2551" s="11" t="s">
        <v>822</v>
      </c>
      <c r="I2551" s="31">
        <v>221.74</v>
      </c>
      <c r="J2551" s="13"/>
      <c r="K2551" s="13">
        <f t="shared" si="191"/>
        <v>221.74</v>
      </c>
      <c r="L2551" s="28" t="s">
        <v>53</v>
      </c>
      <c r="M2551" s="17">
        <v>46001.0</v>
      </c>
      <c r="N2551" s="11" t="s">
        <v>133</v>
      </c>
      <c r="O2551" s="10" t="str">
        <f t="shared" si="79"/>
        <v>03/2026</v>
      </c>
      <c r="P2551" s="10" t="str">
        <f t="shared" si="181"/>
        <v>03/2026</v>
      </c>
      <c r="Q2551" s="15" t="str">
        <f t="array" ref="Q2551">IFERROR(XLOOKUP(N2551,'Classificação'!A:A,'Classificação'!B:B),"")</f>
        <v>DESPESAS COM VEICULOS</v>
      </c>
      <c r="R2551" s="15" t="str">
        <f t="array" ref="R2551">IFERROR(XLOOKUP(Q2551,'Classificação'!B:B,'Classificação'!C:C),"")</f>
        <v>DESPESAS FIXAS (-)</v>
      </c>
      <c r="S2551" s="15">
        <f t="shared" si="131"/>
        <v>20</v>
      </c>
      <c r="T2551" s="15">
        <f t="shared" si="128"/>
        <v>3</v>
      </c>
      <c r="U2551" s="15">
        <f t="shared" si="129"/>
        <v>2026</v>
      </c>
      <c r="V2551" s="15">
        <f t="shared" si="8"/>
        <v>20</v>
      </c>
      <c r="W2551" s="15">
        <f t="shared" si="9"/>
        <v>3</v>
      </c>
      <c r="X2551" s="15">
        <f t="shared" si="10"/>
        <v>2026</v>
      </c>
    </row>
    <row r="2552">
      <c r="A2552" s="26">
        <v>46101.0</v>
      </c>
      <c r="B2552" s="30"/>
      <c r="C2552" s="27">
        <f t="shared" si="192"/>
        <v>46101</v>
      </c>
      <c r="D2552" s="28" t="s">
        <v>100</v>
      </c>
      <c r="E2552" s="29" t="s">
        <v>25</v>
      </c>
      <c r="F2552" s="28" t="s">
        <v>40</v>
      </c>
      <c r="G2552" s="28" t="s">
        <v>27</v>
      </c>
      <c r="H2552" s="29" t="s">
        <v>1015</v>
      </c>
      <c r="I2552" s="24">
        <v>19583.94</v>
      </c>
      <c r="J2552" s="34"/>
      <c r="K2552" s="37">
        <f t="shared" ref="K2552:K2556" si="193">IF(E2552="pago",(I2552-J2552),"")</f>
        <v>19583.94</v>
      </c>
      <c r="L2552" s="28" t="s">
        <v>29</v>
      </c>
      <c r="M2552" s="28"/>
      <c r="N2552" s="28" t="s">
        <v>101</v>
      </c>
      <c r="O2552" s="10" t="str">
        <f t="shared" si="79"/>
        <v>03/2026</v>
      </c>
      <c r="P2552" s="10" t="str">
        <f t="shared" si="181"/>
        <v>03/2026</v>
      </c>
      <c r="Q2552" s="15" t="str">
        <f t="array" ref="Q2552">IFERROR(XLOOKUP(N2552,'Classificação'!A:A,'Classificação'!B:B),"")</f>
        <v>IMPOSTO DE RENDA - DAS</v>
      </c>
      <c r="R2552" s="15" t="str">
        <f t="array" ref="R2552">IFERROR(XLOOKUP(Q2552,'Classificação'!B:B,'Classificação'!C:C),"")</f>
        <v>DEDUÇÕES DA RECEITA BRUTA (-)</v>
      </c>
      <c r="S2552" s="15">
        <f t="shared" si="131"/>
        <v>20</v>
      </c>
      <c r="T2552" s="15">
        <f t="shared" si="128"/>
        <v>3</v>
      </c>
      <c r="U2552" s="15">
        <f t="shared" si="129"/>
        <v>2026</v>
      </c>
      <c r="V2552" s="15">
        <f t="shared" si="8"/>
        <v>20</v>
      </c>
      <c r="W2552" s="15">
        <f t="shared" si="9"/>
        <v>3</v>
      </c>
      <c r="X2552" s="15">
        <f t="shared" si="10"/>
        <v>2026</v>
      </c>
    </row>
    <row r="2553">
      <c r="A2553" s="26">
        <v>46101.0</v>
      </c>
      <c r="B2553" s="28"/>
      <c r="C2553" s="27">
        <f t="shared" si="192"/>
        <v>46101</v>
      </c>
      <c r="D2553" s="28" t="s">
        <v>171</v>
      </c>
      <c r="E2553" s="29" t="s">
        <v>25</v>
      </c>
      <c r="F2553" s="28" t="s">
        <v>40</v>
      </c>
      <c r="G2553" s="29" t="s">
        <v>37</v>
      </c>
      <c r="H2553" s="28"/>
      <c r="I2553" s="24">
        <v>107.64</v>
      </c>
      <c r="J2553" s="34"/>
      <c r="K2553" s="37">
        <f t="shared" si="193"/>
        <v>107.64</v>
      </c>
      <c r="L2553" s="28" t="s">
        <v>29</v>
      </c>
      <c r="M2553" s="28"/>
      <c r="N2553" s="28" t="s">
        <v>172</v>
      </c>
      <c r="O2553" s="10" t="str">
        <f t="shared" si="79"/>
        <v>03/2026</v>
      </c>
      <c r="P2553" s="10" t="str">
        <f t="shared" si="181"/>
        <v>03/2026</v>
      </c>
      <c r="Q2553" s="15" t="str">
        <f t="array" ref="Q2553">IFERROR(XLOOKUP(N2553,'Classificação'!A:A,'Classificação'!B:B),"")</f>
        <v>DESPESAS COM OCUPAÇÃO</v>
      </c>
      <c r="R2553" s="15" t="str">
        <f t="array" ref="R2553">IFERROR(XLOOKUP(Q2553,'Classificação'!B:B,'Classificação'!C:C),"")</f>
        <v>DESPESAS FIXAS (-)</v>
      </c>
      <c r="S2553" s="15">
        <f t="shared" si="131"/>
        <v>20</v>
      </c>
      <c r="T2553" s="15">
        <f t="shared" si="128"/>
        <v>3</v>
      </c>
      <c r="U2553" s="15">
        <f t="shared" si="129"/>
        <v>2026</v>
      </c>
      <c r="V2553" s="15">
        <f t="shared" si="8"/>
        <v>20</v>
      </c>
      <c r="W2553" s="15">
        <f t="shared" si="9"/>
        <v>3</v>
      </c>
      <c r="X2553" s="15">
        <f t="shared" si="10"/>
        <v>2026</v>
      </c>
    </row>
    <row r="2554">
      <c r="A2554" s="26">
        <v>46101.0</v>
      </c>
      <c r="B2554" s="28"/>
      <c r="C2554" s="27">
        <f t="shared" si="192"/>
        <v>46101</v>
      </c>
      <c r="D2554" s="28" t="s">
        <v>123</v>
      </c>
      <c r="E2554" s="29" t="s">
        <v>25</v>
      </c>
      <c r="F2554" s="28" t="s">
        <v>40</v>
      </c>
      <c r="G2554" s="28" t="s">
        <v>27</v>
      </c>
      <c r="H2554" s="29" t="s">
        <v>1184</v>
      </c>
      <c r="I2554" s="24">
        <v>165.36</v>
      </c>
      <c r="J2554" s="34"/>
      <c r="K2554" s="37">
        <f t="shared" si="193"/>
        <v>165.36</v>
      </c>
      <c r="L2554" s="28" t="s">
        <v>29</v>
      </c>
      <c r="M2554" s="28"/>
      <c r="N2554" s="28" t="s">
        <v>123</v>
      </c>
      <c r="O2554" s="10" t="str">
        <f t="shared" si="79"/>
        <v>03/2026</v>
      </c>
      <c r="P2554" s="10" t="str">
        <f t="shared" si="181"/>
        <v>03/2026</v>
      </c>
      <c r="Q2554" s="15" t="str">
        <f t="array" ref="Q2554">IFERROR(XLOOKUP(N2554,'Classificação'!A:A,'Classificação'!B:B),"")</f>
        <v>DESPESAS COM PESSOAL</v>
      </c>
      <c r="R2554" s="15" t="str">
        <f t="array" ref="R2554">IFERROR(XLOOKUP(Q2554,'Classificação'!B:B,'Classificação'!C:C),"")</f>
        <v>DESPESAS FIXAS (-)</v>
      </c>
      <c r="S2554" s="15">
        <f t="shared" si="131"/>
        <v>20</v>
      </c>
      <c r="T2554" s="15">
        <f t="shared" si="128"/>
        <v>3</v>
      </c>
      <c r="U2554" s="15">
        <f t="shared" si="129"/>
        <v>2026</v>
      </c>
      <c r="V2554" s="15">
        <f t="shared" si="8"/>
        <v>20</v>
      </c>
      <c r="W2554" s="15">
        <f t="shared" si="9"/>
        <v>3</v>
      </c>
      <c r="X2554" s="15">
        <f t="shared" si="10"/>
        <v>2026</v>
      </c>
    </row>
    <row r="2555">
      <c r="A2555" s="26">
        <v>46101.0</v>
      </c>
      <c r="B2555" s="28"/>
      <c r="C2555" s="27">
        <f t="shared" si="192"/>
        <v>46101</v>
      </c>
      <c r="D2555" s="28" t="s">
        <v>126</v>
      </c>
      <c r="E2555" s="29" t="s">
        <v>25</v>
      </c>
      <c r="F2555" s="28" t="s">
        <v>40</v>
      </c>
      <c r="G2555" s="28" t="s">
        <v>27</v>
      </c>
      <c r="H2555" s="29" t="s">
        <v>1185</v>
      </c>
      <c r="I2555" s="24">
        <v>518.33</v>
      </c>
      <c r="J2555" s="34"/>
      <c r="K2555" s="37">
        <f t="shared" si="193"/>
        <v>518.33</v>
      </c>
      <c r="L2555" s="28" t="s">
        <v>29</v>
      </c>
      <c r="M2555" s="28"/>
      <c r="N2555" s="28" t="s">
        <v>126</v>
      </c>
      <c r="O2555" s="10" t="str">
        <f t="shared" si="79"/>
        <v>03/2026</v>
      </c>
      <c r="P2555" s="10" t="str">
        <f t="shared" si="181"/>
        <v>03/2026</v>
      </c>
      <c r="Q2555" s="15" t="str">
        <f t="array" ref="Q2555">IFERROR(XLOOKUP(N2555,'Classificação'!A:A,'Classificação'!B:B),"")</f>
        <v>DESPESAS COM PESSOAL</v>
      </c>
      <c r="R2555" s="15" t="str">
        <f t="array" ref="R2555">IFERROR(XLOOKUP(Q2555,'Classificação'!B:B,'Classificação'!C:C),"")</f>
        <v>DESPESAS FIXAS (-)</v>
      </c>
      <c r="S2555" s="15">
        <f t="shared" si="131"/>
        <v>20</v>
      </c>
      <c r="T2555" s="15">
        <f t="shared" si="128"/>
        <v>3</v>
      </c>
      <c r="U2555" s="15">
        <f t="shared" si="129"/>
        <v>2026</v>
      </c>
      <c r="V2555" s="15">
        <f t="shared" si="8"/>
        <v>20</v>
      </c>
      <c r="W2555" s="15">
        <f t="shared" si="9"/>
        <v>3</v>
      </c>
      <c r="X2555" s="15">
        <f t="shared" si="10"/>
        <v>2026</v>
      </c>
    </row>
    <row r="2556">
      <c r="A2556" s="26">
        <v>46101.0</v>
      </c>
      <c r="B2556" s="28"/>
      <c r="C2556" s="27">
        <f t="shared" si="192"/>
        <v>46101</v>
      </c>
      <c r="D2556" s="28" t="s">
        <v>637</v>
      </c>
      <c r="E2556" s="29" t="s">
        <v>25</v>
      </c>
      <c r="F2556" s="28" t="s">
        <v>40</v>
      </c>
      <c r="G2556" s="29" t="s">
        <v>37</v>
      </c>
      <c r="H2556" s="28"/>
      <c r="I2556" s="24">
        <v>179.13</v>
      </c>
      <c r="J2556" s="34"/>
      <c r="K2556" s="37">
        <f t="shared" si="193"/>
        <v>179.13</v>
      </c>
      <c r="L2556" s="28" t="s">
        <v>29</v>
      </c>
      <c r="M2556" s="28"/>
      <c r="N2556" s="28" t="s">
        <v>201</v>
      </c>
      <c r="O2556" s="10" t="str">
        <f t="shared" si="79"/>
        <v>03/2026</v>
      </c>
      <c r="P2556" s="10" t="str">
        <f t="shared" si="181"/>
        <v>03/2026</v>
      </c>
      <c r="Q2556" s="15" t="str">
        <f t="array" ref="Q2556">IFERROR(XLOOKUP(N2556,'Classificação'!A:A,'Classificação'!B:B),"")</f>
        <v>DESPESAS COM OCUPAÇÃO</v>
      </c>
      <c r="R2556" s="15" t="str">
        <f t="array" ref="R2556">IFERROR(XLOOKUP(Q2556,'Classificação'!B:B,'Classificação'!C:C),"")</f>
        <v>DESPESAS FIXAS (-)</v>
      </c>
      <c r="S2556" s="15">
        <f t="shared" si="131"/>
        <v>20</v>
      </c>
      <c r="T2556" s="15">
        <f t="shared" si="128"/>
        <v>3</v>
      </c>
      <c r="U2556" s="15">
        <f t="shared" si="129"/>
        <v>2026</v>
      </c>
      <c r="V2556" s="15">
        <f t="shared" si="8"/>
        <v>20</v>
      </c>
      <c r="W2556" s="15">
        <f t="shared" si="9"/>
        <v>3</v>
      </c>
      <c r="X2556" s="15">
        <f t="shared" si="10"/>
        <v>2026</v>
      </c>
    </row>
    <row r="2557">
      <c r="A2557" s="9">
        <v>46101.0</v>
      </c>
      <c r="B2557" s="9">
        <v>45837.0</v>
      </c>
      <c r="C2557" s="9">
        <f t="shared" si="192"/>
        <v>46101</v>
      </c>
      <c r="D2557" s="11" t="s">
        <v>65</v>
      </c>
      <c r="E2557" s="11" t="s">
        <v>25</v>
      </c>
      <c r="F2557" s="11" t="s">
        <v>107</v>
      </c>
      <c r="G2557" s="11" t="s">
        <v>27</v>
      </c>
      <c r="H2557" s="11" t="s">
        <v>874</v>
      </c>
      <c r="I2557" s="31">
        <v>51.07</v>
      </c>
      <c r="J2557" s="13"/>
      <c r="K2557" s="13">
        <f>if(E2557="pago",(I2557-J2557),"")</f>
        <v>51.07</v>
      </c>
      <c r="L2557" s="11" t="s">
        <v>53</v>
      </c>
      <c r="M2557" s="17">
        <v>46000.0</v>
      </c>
      <c r="N2557" s="11" t="s">
        <v>95</v>
      </c>
      <c r="O2557" s="10" t="str">
        <f t="shared" si="79"/>
        <v>03/2026</v>
      </c>
      <c r="P2557" s="10" t="str">
        <f t="shared" si="181"/>
        <v>03/2026</v>
      </c>
      <c r="Q2557" s="15" t="str">
        <f t="array" ref="Q2557">IFERROR(XLOOKUP(N2557,'Classificação'!A:A,'Classificação'!B:B),"")</f>
        <v>DESPESAS NÃO OPERACIONAIS</v>
      </c>
      <c r="R2557" s="15" t="str">
        <f t="array" ref="R2557">IFERROR(XLOOKUP(Q2557,'Classificação'!B:B,'Classificação'!C:C),"")</f>
        <v>RESULTADO NÃO OPERACIONAL (+/-)</v>
      </c>
      <c r="S2557" s="15">
        <f t="shared" si="131"/>
        <v>20</v>
      </c>
      <c r="T2557" s="15">
        <f t="shared" si="128"/>
        <v>3</v>
      </c>
      <c r="U2557" s="15">
        <f t="shared" si="129"/>
        <v>2026</v>
      </c>
      <c r="V2557" s="15">
        <f t="shared" si="8"/>
        <v>20</v>
      </c>
      <c r="W2557" s="15">
        <f t="shared" si="9"/>
        <v>3</v>
      </c>
      <c r="X2557" s="15">
        <f t="shared" si="10"/>
        <v>2026</v>
      </c>
    </row>
    <row r="2558">
      <c r="A2558" s="27">
        <v>46101.0</v>
      </c>
      <c r="B2558" s="28"/>
      <c r="C2558" s="27">
        <f t="shared" si="192"/>
        <v>46101</v>
      </c>
      <c r="D2558" s="28" t="s">
        <v>126</v>
      </c>
      <c r="E2558" s="29" t="s">
        <v>25</v>
      </c>
      <c r="F2558" s="28" t="s">
        <v>40</v>
      </c>
      <c r="G2558" s="29" t="s">
        <v>37</v>
      </c>
      <c r="H2558" s="29" t="s">
        <v>1210</v>
      </c>
      <c r="I2558" s="24">
        <v>200.68</v>
      </c>
      <c r="J2558" s="34"/>
      <c r="K2558" s="37">
        <f>IF(E2558="pago",(I2558-J2558),"")</f>
        <v>200.68</v>
      </c>
      <c r="L2558" s="28" t="s">
        <v>29</v>
      </c>
      <c r="M2558" s="28"/>
      <c r="N2558" s="28" t="s">
        <v>126</v>
      </c>
      <c r="O2558" s="10" t="str">
        <f t="shared" si="79"/>
        <v>03/2026</v>
      </c>
      <c r="P2558" s="10" t="str">
        <f t="shared" si="181"/>
        <v>03/2026</v>
      </c>
      <c r="Q2558" s="15" t="str">
        <f t="array" ref="Q2558">IFERROR(XLOOKUP(N2558,'Classificação'!A:A,'Classificação'!B:B),"")</f>
        <v>DESPESAS COM PESSOAL</v>
      </c>
      <c r="R2558" s="15" t="str">
        <f t="array" ref="R2558">IFERROR(XLOOKUP(Q2558,'Classificação'!B:B,'Classificação'!C:C),"")</f>
        <v>DESPESAS FIXAS (-)</v>
      </c>
      <c r="S2558" s="15">
        <f t="shared" si="131"/>
        <v>20</v>
      </c>
      <c r="T2558" s="15">
        <f t="shared" si="128"/>
        <v>3</v>
      </c>
      <c r="U2558" s="15">
        <f t="shared" si="129"/>
        <v>2026</v>
      </c>
      <c r="V2558" s="15">
        <f t="shared" si="8"/>
        <v>20</v>
      </c>
      <c r="W2558" s="15">
        <f t="shared" si="9"/>
        <v>3</v>
      </c>
      <c r="X2558" s="15">
        <f t="shared" si="10"/>
        <v>2026</v>
      </c>
    </row>
    <row r="2559">
      <c r="A2559" s="9">
        <v>46101.0</v>
      </c>
      <c r="B2559" s="9">
        <v>45842.0</v>
      </c>
      <c r="C2559" s="9">
        <f t="shared" si="192"/>
        <v>46101</v>
      </c>
      <c r="D2559" s="11" t="s">
        <v>877</v>
      </c>
      <c r="E2559" s="11" t="s">
        <v>25</v>
      </c>
      <c r="F2559" s="11" t="s">
        <v>107</v>
      </c>
      <c r="G2559" s="11" t="s">
        <v>27</v>
      </c>
      <c r="H2559" s="11" t="s">
        <v>878</v>
      </c>
      <c r="I2559" s="31">
        <v>200.0</v>
      </c>
      <c r="J2559" s="13"/>
      <c r="K2559" s="13">
        <f>if(E2559="pago",(I2559-J2559),"")</f>
        <v>200</v>
      </c>
      <c r="L2559" s="11" t="s">
        <v>53</v>
      </c>
      <c r="M2559" s="17">
        <v>45939.0</v>
      </c>
      <c r="N2559" s="11" t="s">
        <v>175</v>
      </c>
      <c r="O2559" s="10" t="str">
        <f t="shared" si="79"/>
        <v>03/2026</v>
      </c>
      <c r="P2559" s="10" t="str">
        <f t="shared" si="181"/>
        <v>03/2026</v>
      </c>
      <c r="Q2559" s="15" t="str">
        <f t="array" ref="Q2559">IFERROR(XLOOKUP(N2559,'Classificação'!A:A,'Classificação'!B:B),"")</f>
        <v>DESPESAS COM VEICULOS</v>
      </c>
      <c r="R2559" s="15" t="str">
        <f t="array" ref="R2559">IFERROR(XLOOKUP(Q2559,'Classificação'!B:B,'Classificação'!C:C),"")</f>
        <v>DESPESAS FIXAS (-)</v>
      </c>
      <c r="S2559" s="15">
        <f t="shared" si="131"/>
        <v>20</v>
      </c>
      <c r="T2559" s="15">
        <f t="shared" si="128"/>
        <v>3</v>
      </c>
      <c r="U2559" s="15">
        <f t="shared" si="129"/>
        <v>2026</v>
      </c>
      <c r="V2559" s="15">
        <f t="shared" si="8"/>
        <v>20</v>
      </c>
      <c r="W2559" s="15">
        <f t="shared" si="9"/>
        <v>3</v>
      </c>
      <c r="X2559" s="15">
        <f t="shared" si="10"/>
        <v>2026</v>
      </c>
    </row>
    <row r="2560">
      <c r="A2560" s="26">
        <v>46101.0</v>
      </c>
      <c r="B2560" s="28"/>
      <c r="C2560" s="27">
        <f t="shared" si="192"/>
        <v>46101</v>
      </c>
      <c r="D2560" s="28" t="s">
        <v>104</v>
      </c>
      <c r="E2560" s="29" t="s">
        <v>25</v>
      </c>
      <c r="F2560" s="28" t="s">
        <v>40</v>
      </c>
      <c r="G2560" s="29" t="s">
        <v>27</v>
      </c>
      <c r="H2560" s="29" t="s">
        <v>1186</v>
      </c>
      <c r="I2560" s="37">
        <v>450.0</v>
      </c>
      <c r="J2560" s="34"/>
      <c r="K2560" s="37">
        <f>IF(E2560="pago",(I2560-J2560),"")</f>
        <v>450</v>
      </c>
      <c r="L2560" s="28" t="s">
        <v>29</v>
      </c>
      <c r="M2560" s="28"/>
      <c r="N2560" s="28" t="s">
        <v>105</v>
      </c>
      <c r="O2560" s="10" t="str">
        <f t="shared" si="79"/>
        <v>03/2026</v>
      </c>
      <c r="P2560" s="10" t="str">
        <f t="shared" si="181"/>
        <v>03/2026</v>
      </c>
      <c r="Q2560" s="15" t="str">
        <f t="array" ref="Q2560">IFERROR(XLOOKUP(N2560,'Classificação'!A:A,'Classificação'!B:B),"")</f>
        <v>DESPESAS ADMINISTRATIVAS</v>
      </c>
      <c r="R2560" s="15" t="str">
        <f t="array" ref="R2560">IFERROR(XLOOKUP(Q2560,'Classificação'!B:B,'Classificação'!C:C),"")</f>
        <v>DESPESAS FIXAS (-)</v>
      </c>
      <c r="S2560" s="15">
        <f t="shared" si="131"/>
        <v>20</v>
      </c>
      <c r="T2560" s="15">
        <f t="shared" si="128"/>
        <v>3</v>
      </c>
      <c r="U2560" s="15">
        <f t="shared" si="129"/>
        <v>2026</v>
      </c>
      <c r="V2560" s="15">
        <f t="shared" si="8"/>
        <v>20</v>
      </c>
      <c r="W2560" s="15">
        <f t="shared" si="9"/>
        <v>3</v>
      </c>
      <c r="X2560" s="15">
        <f t="shared" si="10"/>
        <v>2026</v>
      </c>
    </row>
    <row r="2561">
      <c r="A2561" s="9">
        <v>46101.0</v>
      </c>
      <c r="B2561" s="9">
        <v>45842.0</v>
      </c>
      <c r="C2561" s="9">
        <f t="shared" si="192"/>
        <v>46101</v>
      </c>
      <c r="D2561" s="11" t="s">
        <v>877</v>
      </c>
      <c r="E2561" s="11" t="s">
        <v>25</v>
      </c>
      <c r="F2561" s="11" t="s">
        <v>107</v>
      </c>
      <c r="G2561" s="11" t="s">
        <v>27</v>
      </c>
      <c r="H2561" s="11" t="s">
        <v>878</v>
      </c>
      <c r="I2561" s="31">
        <v>338.3</v>
      </c>
      <c r="J2561" s="13"/>
      <c r="K2561" s="13">
        <f t="shared" ref="K2561:K2575" si="194">if(E2561="pago",(I2561-J2561),"")</f>
        <v>338.3</v>
      </c>
      <c r="L2561" s="11" t="s">
        <v>53</v>
      </c>
      <c r="M2561" s="17">
        <v>45939.0</v>
      </c>
      <c r="N2561" s="11" t="s">
        <v>175</v>
      </c>
      <c r="O2561" s="10" t="str">
        <f t="shared" si="79"/>
        <v>03/2026</v>
      </c>
      <c r="P2561" s="10" t="str">
        <f t="shared" si="181"/>
        <v>03/2026</v>
      </c>
      <c r="Q2561" s="15" t="str">
        <f t="array" ref="Q2561">IFERROR(XLOOKUP(N2561,'Classificação'!A:A,'Classificação'!B:B),"")</f>
        <v>DESPESAS COM VEICULOS</v>
      </c>
      <c r="R2561" s="15" t="str">
        <f t="array" ref="R2561">IFERROR(XLOOKUP(Q2561,'Classificação'!B:B,'Classificação'!C:C),"")</f>
        <v>DESPESAS FIXAS (-)</v>
      </c>
      <c r="S2561" s="15">
        <f t="shared" si="131"/>
        <v>20</v>
      </c>
      <c r="T2561" s="15">
        <f t="shared" si="128"/>
        <v>3</v>
      </c>
      <c r="U2561" s="15">
        <f t="shared" si="129"/>
        <v>2026</v>
      </c>
      <c r="V2561" s="15">
        <f t="shared" si="8"/>
        <v>20</v>
      </c>
      <c r="W2561" s="15">
        <f t="shared" si="9"/>
        <v>3</v>
      </c>
      <c r="X2561" s="15">
        <f t="shared" si="10"/>
        <v>2026</v>
      </c>
    </row>
    <row r="2562">
      <c r="A2562" s="26">
        <v>46101.0</v>
      </c>
      <c r="B2562" s="26">
        <v>45867.0</v>
      </c>
      <c r="C2562" s="9">
        <f t="shared" si="192"/>
        <v>46101</v>
      </c>
      <c r="D2562" s="28" t="s">
        <v>109</v>
      </c>
      <c r="E2562" s="11" t="s">
        <v>25</v>
      </c>
      <c r="F2562" s="29" t="s">
        <v>107</v>
      </c>
      <c r="G2562" s="28" t="s">
        <v>27</v>
      </c>
      <c r="H2562" s="11" t="s">
        <v>911</v>
      </c>
      <c r="I2562" s="33">
        <v>24.15</v>
      </c>
      <c r="J2562" s="13"/>
      <c r="K2562" s="13">
        <f t="shared" si="194"/>
        <v>24.15</v>
      </c>
      <c r="L2562" s="11" t="s">
        <v>53</v>
      </c>
      <c r="M2562" s="17">
        <v>45999.0</v>
      </c>
      <c r="N2562" s="28" t="s">
        <v>105</v>
      </c>
      <c r="O2562" s="10" t="str">
        <f t="shared" si="79"/>
        <v>03/2026</v>
      </c>
      <c r="P2562" s="10" t="str">
        <f t="shared" si="181"/>
        <v>03/2026</v>
      </c>
      <c r="Q2562" s="15" t="str">
        <f t="array" ref="Q2562">IFERROR(XLOOKUP(N2562,'Classificação'!A:A,'Classificação'!B:B),"")</f>
        <v>DESPESAS ADMINISTRATIVAS</v>
      </c>
      <c r="R2562" s="15" t="str">
        <f t="array" ref="R2562">IFERROR(XLOOKUP(Q2562,'Classificação'!B:B,'Classificação'!C:C),"")</f>
        <v>DESPESAS FIXAS (-)</v>
      </c>
      <c r="S2562" s="15">
        <f t="shared" si="131"/>
        <v>20</v>
      </c>
      <c r="T2562" s="15">
        <f t="shared" si="128"/>
        <v>3</v>
      </c>
      <c r="U2562" s="15">
        <f t="shared" si="129"/>
        <v>2026</v>
      </c>
      <c r="V2562" s="15">
        <f t="shared" si="8"/>
        <v>20</v>
      </c>
      <c r="W2562" s="15">
        <f t="shared" si="9"/>
        <v>3</v>
      </c>
      <c r="X2562" s="15">
        <f t="shared" si="10"/>
        <v>2026</v>
      </c>
    </row>
    <row r="2563">
      <c r="A2563" s="9">
        <v>46101.0</v>
      </c>
      <c r="B2563" s="9">
        <v>45863.0</v>
      </c>
      <c r="C2563" s="9">
        <f t="shared" si="192"/>
        <v>46101</v>
      </c>
      <c r="D2563" s="11" t="s">
        <v>65</v>
      </c>
      <c r="E2563" s="11" t="s">
        <v>25</v>
      </c>
      <c r="F2563" s="11" t="s">
        <v>107</v>
      </c>
      <c r="G2563" s="11" t="s">
        <v>27</v>
      </c>
      <c r="H2563" s="11" t="s">
        <v>915</v>
      </c>
      <c r="I2563" s="31">
        <v>185.16</v>
      </c>
      <c r="J2563" s="13"/>
      <c r="K2563" s="13">
        <f t="shared" si="194"/>
        <v>185.16</v>
      </c>
      <c r="L2563" s="11" t="s">
        <v>53</v>
      </c>
      <c r="M2563" s="17">
        <v>45999.0</v>
      </c>
      <c r="N2563" s="11" t="s">
        <v>95</v>
      </c>
      <c r="O2563" s="10" t="str">
        <f t="shared" si="79"/>
        <v>03/2026</v>
      </c>
      <c r="P2563" s="10" t="str">
        <f t="shared" si="181"/>
        <v>03/2026</v>
      </c>
      <c r="Q2563" s="15" t="str">
        <f t="array" ref="Q2563">IFERROR(XLOOKUP(N2563,'Classificação'!A:A,'Classificação'!B:B),"")</f>
        <v>DESPESAS NÃO OPERACIONAIS</v>
      </c>
      <c r="R2563" s="15" t="str">
        <f t="array" ref="R2563">IFERROR(XLOOKUP(Q2563,'Classificação'!B:B,'Classificação'!C:C),"")</f>
        <v>RESULTADO NÃO OPERACIONAL (+/-)</v>
      </c>
      <c r="S2563" s="15">
        <f t="shared" si="131"/>
        <v>20</v>
      </c>
      <c r="T2563" s="15">
        <f t="shared" si="128"/>
        <v>3</v>
      </c>
      <c r="U2563" s="15">
        <f t="shared" si="129"/>
        <v>2026</v>
      </c>
      <c r="V2563" s="15">
        <f t="shared" si="8"/>
        <v>20</v>
      </c>
      <c r="W2563" s="15">
        <f t="shared" si="9"/>
        <v>3</v>
      </c>
      <c r="X2563" s="15">
        <f t="shared" si="10"/>
        <v>2026</v>
      </c>
    </row>
    <row r="2564">
      <c r="A2564" s="9">
        <v>46101.0</v>
      </c>
      <c r="B2564" s="32">
        <v>46007.0</v>
      </c>
      <c r="C2564" s="9">
        <f t="shared" si="192"/>
        <v>46101</v>
      </c>
      <c r="D2564" s="11" t="s">
        <v>65</v>
      </c>
      <c r="E2564" s="11" t="s">
        <v>25</v>
      </c>
      <c r="F2564" s="11" t="s">
        <v>107</v>
      </c>
      <c r="G2564" s="28" t="s">
        <v>27</v>
      </c>
      <c r="H2564" s="11" t="s">
        <v>1192</v>
      </c>
      <c r="I2564" s="31">
        <v>391.78</v>
      </c>
      <c r="J2564" s="13"/>
      <c r="K2564" s="13">
        <f t="shared" si="194"/>
        <v>391.78</v>
      </c>
      <c r="L2564" s="11" t="s">
        <v>53</v>
      </c>
      <c r="M2564" s="17">
        <v>45719.0</v>
      </c>
      <c r="N2564" s="11" t="s">
        <v>64</v>
      </c>
      <c r="O2564" s="10" t="str">
        <f t="shared" si="79"/>
        <v>03/2026</v>
      </c>
      <c r="P2564" s="10" t="str">
        <f t="shared" si="181"/>
        <v>03/2026</v>
      </c>
      <c r="Q2564" s="15" t="str">
        <f t="array" ref="Q2564">IFERROR(XLOOKUP(N2564,'Classificação'!A:A,'Classificação'!B:B),"")</f>
        <v>DESPESAS COM PESSOAL</v>
      </c>
      <c r="R2564" s="15" t="str">
        <f t="array" ref="R2564">IFERROR(XLOOKUP(Q2564,'Classificação'!B:B,'Classificação'!C:C),"")</f>
        <v>DESPESAS FIXAS (-)</v>
      </c>
      <c r="S2564" s="15">
        <f t="shared" si="131"/>
        <v>20</v>
      </c>
      <c r="T2564" s="15">
        <f t="shared" si="128"/>
        <v>3</v>
      </c>
      <c r="U2564" s="15">
        <f t="shared" si="129"/>
        <v>2026</v>
      </c>
      <c r="V2564" s="15">
        <f t="shared" si="8"/>
        <v>20</v>
      </c>
      <c r="W2564" s="15">
        <f t="shared" si="9"/>
        <v>3</v>
      </c>
      <c r="X2564" s="15">
        <f t="shared" si="10"/>
        <v>2026</v>
      </c>
    </row>
    <row r="2565">
      <c r="A2565" s="9">
        <v>46101.0</v>
      </c>
      <c r="B2565" s="32">
        <v>46007.0</v>
      </c>
      <c r="C2565" s="9">
        <f t="shared" si="192"/>
        <v>46101</v>
      </c>
      <c r="D2565" s="11" t="s">
        <v>65</v>
      </c>
      <c r="E2565" s="11" t="s">
        <v>25</v>
      </c>
      <c r="F2565" s="11" t="s">
        <v>107</v>
      </c>
      <c r="G2565" s="28" t="s">
        <v>27</v>
      </c>
      <c r="H2565" s="11" t="s">
        <v>1192</v>
      </c>
      <c r="I2565" s="31">
        <v>134.75</v>
      </c>
      <c r="J2565" s="13"/>
      <c r="K2565" s="13">
        <f t="shared" si="194"/>
        <v>134.75</v>
      </c>
      <c r="L2565" s="11" t="s">
        <v>53</v>
      </c>
      <c r="M2565" s="17">
        <v>45750.0</v>
      </c>
      <c r="N2565" s="11" t="s">
        <v>64</v>
      </c>
      <c r="O2565" s="10" t="str">
        <f t="shared" si="79"/>
        <v>03/2026</v>
      </c>
      <c r="P2565" s="10" t="str">
        <f t="shared" si="181"/>
        <v>03/2026</v>
      </c>
      <c r="Q2565" s="15" t="str">
        <f t="array" ref="Q2565">IFERROR(XLOOKUP(N2565,'Classificação'!A:A,'Classificação'!B:B),"")</f>
        <v>DESPESAS COM PESSOAL</v>
      </c>
      <c r="R2565" s="15" t="str">
        <f t="array" ref="R2565">IFERROR(XLOOKUP(Q2565,'Classificação'!B:B,'Classificação'!C:C),"")</f>
        <v>DESPESAS FIXAS (-)</v>
      </c>
      <c r="S2565" s="15">
        <f t="shared" si="131"/>
        <v>20</v>
      </c>
      <c r="T2565" s="15">
        <f t="shared" si="128"/>
        <v>3</v>
      </c>
      <c r="U2565" s="15">
        <f t="shared" si="129"/>
        <v>2026</v>
      </c>
      <c r="V2565" s="15">
        <f t="shared" si="8"/>
        <v>20</v>
      </c>
      <c r="W2565" s="15">
        <f t="shared" si="9"/>
        <v>3</v>
      </c>
      <c r="X2565" s="15">
        <f t="shared" si="10"/>
        <v>2026</v>
      </c>
    </row>
    <row r="2566">
      <c r="A2566" s="9">
        <v>46101.0</v>
      </c>
      <c r="B2566" s="9">
        <v>46070.0</v>
      </c>
      <c r="C2566" s="9">
        <f t="shared" si="192"/>
        <v>46101</v>
      </c>
      <c r="D2566" s="11" t="s">
        <v>1181</v>
      </c>
      <c r="E2566" s="11" t="s">
        <v>25</v>
      </c>
      <c r="F2566" s="11" t="s">
        <v>107</v>
      </c>
      <c r="G2566" s="28" t="s">
        <v>27</v>
      </c>
      <c r="H2566" s="11" t="s">
        <v>1182</v>
      </c>
      <c r="I2566" s="31">
        <v>39.96</v>
      </c>
      <c r="J2566" s="13"/>
      <c r="K2566" s="13">
        <f t="shared" si="194"/>
        <v>39.96</v>
      </c>
      <c r="L2566" s="11" t="s">
        <v>29</v>
      </c>
      <c r="M2566" s="14"/>
      <c r="N2566" s="11" t="s">
        <v>105</v>
      </c>
      <c r="O2566" s="10" t="str">
        <f t="shared" si="79"/>
        <v>03/2026</v>
      </c>
      <c r="P2566" s="10" t="str">
        <f t="shared" si="181"/>
        <v>03/2026</v>
      </c>
      <c r="Q2566" s="15" t="str">
        <f t="array" ref="Q2566">IFERROR(XLOOKUP(N2566,'Classificação'!A:A,'Classificação'!B:B),"")</f>
        <v>DESPESAS ADMINISTRATIVAS</v>
      </c>
      <c r="R2566" s="15" t="str">
        <f t="array" ref="R2566">IFERROR(XLOOKUP(Q2566,'Classificação'!B:B,'Classificação'!C:C),"")</f>
        <v>DESPESAS FIXAS (-)</v>
      </c>
      <c r="S2566" s="15">
        <f t="shared" si="131"/>
        <v>20</v>
      </c>
      <c r="T2566" s="15">
        <f t="shared" si="128"/>
        <v>3</v>
      </c>
      <c r="U2566" s="15">
        <f t="shared" si="129"/>
        <v>2026</v>
      </c>
      <c r="V2566" s="15">
        <f t="shared" si="8"/>
        <v>20</v>
      </c>
      <c r="W2566" s="15">
        <f t="shared" si="9"/>
        <v>3</v>
      </c>
      <c r="X2566" s="15">
        <f t="shared" si="10"/>
        <v>2026</v>
      </c>
    </row>
    <row r="2567">
      <c r="A2567" s="9">
        <v>46101.0</v>
      </c>
      <c r="B2567" s="32">
        <v>46010.0</v>
      </c>
      <c r="C2567" s="9">
        <f t="shared" si="192"/>
        <v>46101</v>
      </c>
      <c r="D2567" s="29" t="s">
        <v>1193</v>
      </c>
      <c r="E2567" s="11" t="s">
        <v>25</v>
      </c>
      <c r="F2567" s="11" t="s">
        <v>107</v>
      </c>
      <c r="G2567" s="28" t="s">
        <v>27</v>
      </c>
      <c r="H2567" s="11" t="s">
        <v>1194</v>
      </c>
      <c r="I2567" s="31">
        <v>246.66</v>
      </c>
      <c r="J2567" s="12"/>
      <c r="K2567" s="13">
        <f t="shared" si="194"/>
        <v>246.66</v>
      </c>
      <c r="L2567" s="28" t="s">
        <v>53</v>
      </c>
      <c r="M2567" s="17">
        <v>45811.0</v>
      </c>
      <c r="N2567" s="11" t="s">
        <v>95</v>
      </c>
      <c r="O2567" s="10" t="str">
        <f t="shared" si="79"/>
        <v>03/2026</v>
      </c>
      <c r="P2567" s="10" t="str">
        <f t="shared" si="181"/>
        <v>03/2026</v>
      </c>
      <c r="Q2567" s="15" t="str">
        <f t="array" ref="Q2567">IFERROR(XLOOKUP(N2567,'Classificação'!A:A,'Classificação'!B:B),"")</f>
        <v>DESPESAS NÃO OPERACIONAIS</v>
      </c>
      <c r="R2567" s="15" t="str">
        <f t="array" ref="R2567">IFERROR(XLOOKUP(Q2567,'Classificação'!B:B,'Classificação'!C:C),"")</f>
        <v>RESULTADO NÃO OPERACIONAL (+/-)</v>
      </c>
      <c r="S2567" s="15">
        <f t="shared" si="131"/>
        <v>20</v>
      </c>
      <c r="T2567" s="15">
        <f t="shared" si="128"/>
        <v>3</v>
      </c>
      <c r="U2567" s="15">
        <f t="shared" si="129"/>
        <v>2026</v>
      </c>
      <c r="V2567" s="15">
        <f t="shared" si="8"/>
        <v>20</v>
      </c>
      <c r="W2567" s="15">
        <f t="shared" si="9"/>
        <v>3</v>
      </c>
      <c r="X2567" s="15">
        <f t="shared" si="10"/>
        <v>2026</v>
      </c>
    </row>
    <row r="2568">
      <c r="A2568" s="9">
        <v>46101.0</v>
      </c>
      <c r="B2568" s="9">
        <v>46024.0</v>
      </c>
      <c r="C2568" s="9">
        <f t="shared" si="192"/>
        <v>46101</v>
      </c>
      <c r="D2568" s="29" t="s">
        <v>1195</v>
      </c>
      <c r="E2568" s="11" t="s">
        <v>25</v>
      </c>
      <c r="F2568" s="11" t="s">
        <v>107</v>
      </c>
      <c r="G2568" s="28" t="s">
        <v>27</v>
      </c>
      <c r="H2568" s="11" t="s">
        <v>1196</v>
      </c>
      <c r="I2568" s="31">
        <v>283.71</v>
      </c>
      <c r="J2568" s="13"/>
      <c r="K2568" s="13">
        <f t="shared" si="194"/>
        <v>283.71</v>
      </c>
      <c r="L2568" s="28" t="s">
        <v>53</v>
      </c>
      <c r="M2568" s="17">
        <v>46084.0</v>
      </c>
      <c r="N2568" s="11" t="s">
        <v>392</v>
      </c>
      <c r="O2568" s="10" t="str">
        <f t="shared" si="79"/>
        <v>03/2026</v>
      </c>
      <c r="P2568" s="10" t="str">
        <f t="shared" si="181"/>
        <v>03/2026</v>
      </c>
      <c r="Q2568" s="15" t="str">
        <f t="array" ref="Q2568">IFERROR(XLOOKUP(N2568,'Classificação'!A:A,'Classificação'!B:B),"")</f>
        <v>DESPESAS COM OCUPAÇÃO</v>
      </c>
      <c r="R2568" s="15" t="str">
        <f t="array" ref="R2568">IFERROR(XLOOKUP(Q2568,'Classificação'!B:B,'Classificação'!C:C),"")</f>
        <v>DESPESAS FIXAS (-)</v>
      </c>
      <c r="S2568" s="15">
        <f t="shared" si="131"/>
        <v>20</v>
      </c>
      <c r="T2568" s="15">
        <f t="shared" si="128"/>
        <v>3</v>
      </c>
      <c r="U2568" s="15">
        <f t="shared" si="129"/>
        <v>2026</v>
      </c>
      <c r="V2568" s="15">
        <f t="shared" si="8"/>
        <v>20</v>
      </c>
      <c r="W2568" s="15">
        <f t="shared" si="9"/>
        <v>3</v>
      </c>
      <c r="X2568" s="15">
        <f t="shared" si="10"/>
        <v>2026</v>
      </c>
    </row>
    <row r="2569">
      <c r="A2569" s="9">
        <v>46101.0</v>
      </c>
      <c r="B2569" s="32">
        <v>46014.0</v>
      </c>
      <c r="C2569" s="9">
        <f t="shared" si="192"/>
        <v>46101</v>
      </c>
      <c r="D2569" s="11" t="s">
        <v>65</v>
      </c>
      <c r="E2569" s="11" t="s">
        <v>25</v>
      </c>
      <c r="F2569" s="11" t="s">
        <v>107</v>
      </c>
      <c r="G2569" s="11" t="s">
        <v>27</v>
      </c>
      <c r="H2569" s="11" t="s">
        <v>1197</v>
      </c>
      <c r="I2569" s="31">
        <v>119.38</v>
      </c>
      <c r="J2569" s="13"/>
      <c r="K2569" s="13">
        <f t="shared" si="194"/>
        <v>119.38</v>
      </c>
      <c r="L2569" s="11" t="s">
        <v>53</v>
      </c>
      <c r="M2569" s="17">
        <v>46145.0</v>
      </c>
      <c r="N2569" s="11" t="s">
        <v>95</v>
      </c>
      <c r="O2569" s="10" t="str">
        <f t="shared" si="79"/>
        <v>03/2026</v>
      </c>
      <c r="P2569" s="10" t="str">
        <f t="shared" si="181"/>
        <v>03/2026</v>
      </c>
      <c r="Q2569" s="15" t="str">
        <f t="array" ref="Q2569">IFERROR(XLOOKUP(N2569,'Classificação'!A:A,'Classificação'!B:B),"")</f>
        <v>DESPESAS NÃO OPERACIONAIS</v>
      </c>
      <c r="R2569" s="15" t="str">
        <f t="array" ref="R2569">IFERROR(XLOOKUP(Q2569,'Classificação'!B:B,'Classificação'!C:C),"")</f>
        <v>RESULTADO NÃO OPERACIONAL (+/-)</v>
      </c>
      <c r="S2569" s="15">
        <f t="shared" si="131"/>
        <v>20</v>
      </c>
      <c r="T2569" s="15">
        <f t="shared" si="128"/>
        <v>3</v>
      </c>
      <c r="U2569" s="15">
        <f t="shared" si="129"/>
        <v>2026</v>
      </c>
      <c r="V2569" s="15">
        <f t="shared" si="8"/>
        <v>20</v>
      </c>
      <c r="W2569" s="15">
        <f t="shared" si="9"/>
        <v>3</v>
      </c>
      <c r="X2569" s="15">
        <f t="shared" si="10"/>
        <v>2026</v>
      </c>
    </row>
    <row r="2570">
      <c r="A2570" s="9">
        <v>46101.0</v>
      </c>
      <c r="B2570" s="32">
        <v>46382.0</v>
      </c>
      <c r="C2570" s="9">
        <f t="shared" si="192"/>
        <v>46101</v>
      </c>
      <c r="D2570" s="11" t="s">
        <v>65</v>
      </c>
      <c r="E2570" s="11" t="s">
        <v>25</v>
      </c>
      <c r="F2570" s="11" t="s">
        <v>107</v>
      </c>
      <c r="G2570" s="11" t="s">
        <v>27</v>
      </c>
      <c r="H2570" s="11" t="s">
        <v>1198</v>
      </c>
      <c r="I2570" s="31">
        <v>146.81</v>
      </c>
      <c r="J2570" s="13"/>
      <c r="K2570" s="13">
        <f t="shared" si="194"/>
        <v>146.81</v>
      </c>
      <c r="L2570" s="11" t="s">
        <v>53</v>
      </c>
      <c r="M2570" s="17">
        <v>46084.0</v>
      </c>
      <c r="N2570" s="11" t="s">
        <v>95</v>
      </c>
      <c r="O2570" s="10" t="str">
        <f t="shared" si="79"/>
        <v>03/2026</v>
      </c>
      <c r="P2570" s="10" t="str">
        <f t="shared" si="181"/>
        <v>03/2026</v>
      </c>
      <c r="Q2570" s="15" t="str">
        <f t="array" ref="Q2570">IFERROR(XLOOKUP(N2570,'Classificação'!A:A,'Classificação'!B:B),"")</f>
        <v>DESPESAS NÃO OPERACIONAIS</v>
      </c>
      <c r="R2570" s="15" t="str">
        <f t="array" ref="R2570">IFERROR(XLOOKUP(Q2570,'Classificação'!B:B,'Classificação'!C:C),"")</f>
        <v>RESULTADO NÃO OPERACIONAL (+/-)</v>
      </c>
      <c r="S2570" s="15">
        <f t="shared" si="131"/>
        <v>20</v>
      </c>
      <c r="T2570" s="15">
        <f t="shared" si="128"/>
        <v>3</v>
      </c>
      <c r="U2570" s="15">
        <f t="shared" si="129"/>
        <v>2026</v>
      </c>
      <c r="V2570" s="15">
        <f t="shared" si="8"/>
        <v>20</v>
      </c>
      <c r="W2570" s="15">
        <f t="shared" si="9"/>
        <v>3</v>
      </c>
      <c r="X2570" s="15">
        <f t="shared" si="10"/>
        <v>2026</v>
      </c>
    </row>
    <row r="2571">
      <c r="A2571" s="9">
        <v>46101.0</v>
      </c>
      <c r="B2571" s="9">
        <v>46035.0</v>
      </c>
      <c r="C2571" s="9">
        <f t="shared" si="192"/>
        <v>46101</v>
      </c>
      <c r="D2571" s="11" t="s">
        <v>1243</v>
      </c>
      <c r="E2571" s="11" t="s">
        <v>25</v>
      </c>
      <c r="F2571" s="11" t="s">
        <v>107</v>
      </c>
      <c r="G2571" s="28" t="s">
        <v>27</v>
      </c>
      <c r="H2571" s="11" t="s">
        <v>1244</v>
      </c>
      <c r="I2571" s="31">
        <v>220.0</v>
      </c>
      <c r="J2571" s="13"/>
      <c r="K2571" s="13">
        <f t="shared" si="194"/>
        <v>220</v>
      </c>
      <c r="L2571" s="28" t="s">
        <v>53</v>
      </c>
      <c r="M2571" s="17">
        <v>46083.0</v>
      </c>
      <c r="N2571" s="11" t="s">
        <v>347</v>
      </c>
      <c r="O2571" s="10" t="str">
        <f t="shared" si="79"/>
        <v>03/2026</v>
      </c>
      <c r="P2571" s="10" t="str">
        <f t="shared" si="181"/>
        <v>03/2026</v>
      </c>
      <c r="Q2571" s="15" t="str">
        <f t="array" ref="Q2571">IFERROR(XLOOKUP(N2571,'Classificação'!A:A,'Classificação'!B:B),"")</f>
        <v>DESPESAS ADMINISTRATIVAS</v>
      </c>
      <c r="R2571" s="15" t="str">
        <f t="array" ref="R2571">IFERROR(XLOOKUP(Q2571,'Classificação'!B:B,'Classificação'!C:C),"")</f>
        <v>DESPESAS FIXAS (-)</v>
      </c>
      <c r="S2571" s="15">
        <f t="shared" si="131"/>
        <v>20</v>
      </c>
      <c r="T2571" s="15">
        <f t="shared" si="128"/>
        <v>3</v>
      </c>
      <c r="U2571" s="15">
        <f t="shared" si="129"/>
        <v>2026</v>
      </c>
      <c r="V2571" s="15">
        <f t="shared" si="8"/>
        <v>20</v>
      </c>
      <c r="W2571" s="15">
        <f t="shared" si="9"/>
        <v>3</v>
      </c>
      <c r="X2571" s="15">
        <f t="shared" si="10"/>
        <v>2026</v>
      </c>
    </row>
    <row r="2572">
      <c r="A2572" s="9">
        <v>46101.0</v>
      </c>
      <c r="B2572" s="9"/>
      <c r="C2572" s="9">
        <f t="shared" si="192"/>
        <v>46101</v>
      </c>
      <c r="D2572" s="28" t="s">
        <v>369</v>
      </c>
      <c r="E2572" s="11" t="s">
        <v>25</v>
      </c>
      <c r="F2572" s="28" t="s">
        <v>107</v>
      </c>
      <c r="G2572" s="28" t="s">
        <v>27</v>
      </c>
      <c r="H2572" s="11" t="s">
        <v>1247</v>
      </c>
      <c r="I2572" s="38">
        <v>29.9</v>
      </c>
      <c r="J2572" s="13"/>
      <c r="K2572" s="13">
        <f t="shared" si="194"/>
        <v>29.9</v>
      </c>
      <c r="L2572" s="29" t="s">
        <v>29</v>
      </c>
      <c r="M2572" s="14"/>
      <c r="N2572" s="29" t="s">
        <v>105</v>
      </c>
      <c r="O2572" s="10" t="str">
        <f t="shared" si="79"/>
        <v>03/2026</v>
      </c>
      <c r="P2572" s="10" t="str">
        <f t="shared" si="181"/>
        <v>03/2026</v>
      </c>
      <c r="Q2572" s="15" t="str">
        <f t="array" ref="Q2572">IFERROR(XLOOKUP(N2572,'Classificação'!A:A,'Classificação'!B:B),"")</f>
        <v>DESPESAS ADMINISTRATIVAS</v>
      </c>
      <c r="R2572" s="15" t="str">
        <f t="array" ref="R2572">IFERROR(XLOOKUP(Q2572,'Classificação'!B:B,'Classificação'!C:C),"")</f>
        <v>DESPESAS FIXAS (-)</v>
      </c>
      <c r="S2572" s="15">
        <f t="shared" si="131"/>
        <v>20</v>
      </c>
      <c r="T2572" s="15">
        <f t="shared" si="128"/>
        <v>3</v>
      </c>
      <c r="U2572" s="15">
        <f t="shared" si="129"/>
        <v>2026</v>
      </c>
      <c r="V2572" s="15">
        <f t="shared" si="8"/>
        <v>20</v>
      </c>
      <c r="W2572" s="15">
        <f t="shared" si="9"/>
        <v>3</v>
      </c>
      <c r="X2572" s="15">
        <f t="shared" si="10"/>
        <v>2026</v>
      </c>
    </row>
    <row r="2573">
      <c r="A2573" s="9">
        <v>46101.0</v>
      </c>
      <c r="B2573" s="32">
        <v>46014.0</v>
      </c>
      <c r="C2573" s="9">
        <f t="shared" si="192"/>
        <v>46101</v>
      </c>
      <c r="D2573" s="11" t="s">
        <v>1215</v>
      </c>
      <c r="E2573" s="11" t="s">
        <v>25</v>
      </c>
      <c r="F2573" s="11" t="s">
        <v>107</v>
      </c>
      <c r="G2573" s="28" t="s">
        <v>27</v>
      </c>
      <c r="H2573" s="11" t="s">
        <v>1216</v>
      </c>
      <c r="I2573" s="31">
        <v>146.66</v>
      </c>
      <c r="J2573" s="13"/>
      <c r="K2573" s="13">
        <f t="shared" si="194"/>
        <v>146.66</v>
      </c>
      <c r="L2573" s="11" t="s">
        <v>53</v>
      </c>
      <c r="M2573" s="17">
        <v>46084.0</v>
      </c>
      <c r="N2573" s="11" t="s">
        <v>394</v>
      </c>
      <c r="O2573" s="10" t="str">
        <f t="shared" si="79"/>
        <v>03/2026</v>
      </c>
      <c r="P2573" s="10" t="str">
        <f t="shared" si="181"/>
        <v>03/2026</v>
      </c>
      <c r="Q2573" s="15" t="str">
        <f t="array" ref="Q2573">IFERROR(XLOOKUP(N2573,'Classificação'!A:A,'Classificação'!B:B),"")</f>
        <v>DESPESAS NÃO OPERACIONAIS</v>
      </c>
      <c r="R2573" s="15" t="str">
        <f t="array" ref="R2573">IFERROR(XLOOKUP(Q2573,'Classificação'!B:B,'Classificação'!C:C),"")</f>
        <v>RESULTADO NÃO OPERACIONAL (+/-)</v>
      </c>
      <c r="S2573" s="15">
        <f t="shared" si="131"/>
        <v>20</v>
      </c>
      <c r="T2573" s="15">
        <f t="shared" si="128"/>
        <v>3</v>
      </c>
      <c r="U2573" s="15">
        <f t="shared" si="129"/>
        <v>2026</v>
      </c>
      <c r="V2573" s="15">
        <f t="shared" si="8"/>
        <v>20</v>
      </c>
      <c r="W2573" s="15">
        <f t="shared" si="9"/>
        <v>3</v>
      </c>
      <c r="X2573" s="15">
        <f t="shared" si="10"/>
        <v>2026</v>
      </c>
    </row>
    <row r="2574">
      <c r="A2574" s="9">
        <v>46101.0</v>
      </c>
      <c r="B2574" s="9">
        <v>46043.0</v>
      </c>
      <c r="C2574" s="9">
        <f t="shared" si="192"/>
        <v>46101</v>
      </c>
      <c r="D2574" s="11" t="s">
        <v>65</v>
      </c>
      <c r="E2574" s="11" t="s">
        <v>25</v>
      </c>
      <c r="F2574" s="11" t="s">
        <v>107</v>
      </c>
      <c r="G2574" s="28" t="s">
        <v>27</v>
      </c>
      <c r="H2574" s="11" t="s">
        <v>1248</v>
      </c>
      <c r="I2574" s="31">
        <v>273.98</v>
      </c>
      <c r="J2574" s="13"/>
      <c r="K2574" s="13">
        <f t="shared" si="194"/>
        <v>273.98</v>
      </c>
      <c r="L2574" s="28" t="s">
        <v>53</v>
      </c>
      <c r="M2574" s="17">
        <v>46083.0</v>
      </c>
      <c r="N2574" s="11" t="s">
        <v>143</v>
      </c>
      <c r="O2574" s="10" t="str">
        <f t="shared" si="79"/>
        <v>03/2026</v>
      </c>
      <c r="P2574" s="10" t="str">
        <f t="shared" si="181"/>
        <v>03/2026</v>
      </c>
      <c r="Q2574" s="15" t="str">
        <f t="array" ref="Q2574">IFERROR(XLOOKUP(N2574,'Classificação'!A:A,'Classificação'!B:B),"")</f>
        <v>EMBALAGENS/FITAS/GERAL</v>
      </c>
      <c r="R2574" s="15" t="str">
        <f t="array" ref="R2574">IFERROR(XLOOKUP(Q2574,'Classificação'!B:B,'Classificação'!C:C),"")</f>
        <v>CUSTOS VARIÁVEIS</v>
      </c>
      <c r="S2574" s="15">
        <f t="shared" si="131"/>
        <v>20</v>
      </c>
      <c r="T2574" s="15">
        <f t="shared" si="128"/>
        <v>3</v>
      </c>
      <c r="U2574" s="15">
        <f t="shared" si="129"/>
        <v>2026</v>
      </c>
      <c r="V2574" s="15">
        <f t="shared" si="8"/>
        <v>20</v>
      </c>
      <c r="W2574" s="15">
        <f t="shared" si="9"/>
        <v>3</v>
      </c>
      <c r="X2574" s="15">
        <f t="shared" si="10"/>
        <v>2026</v>
      </c>
    </row>
    <row r="2575">
      <c r="A2575" s="9">
        <v>46101.0</v>
      </c>
      <c r="B2575" s="9">
        <v>46043.0</v>
      </c>
      <c r="C2575" s="9">
        <f t="shared" si="192"/>
        <v>46101</v>
      </c>
      <c r="D2575" s="11" t="s">
        <v>65</v>
      </c>
      <c r="E2575" s="11" t="s">
        <v>25</v>
      </c>
      <c r="F2575" s="11" t="s">
        <v>107</v>
      </c>
      <c r="G2575" s="28" t="s">
        <v>27</v>
      </c>
      <c r="H2575" s="11" t="s">
        <v>1248</v>
      </c>
      <c r="I2575" s="31">
        <v>231.32</v>
      </c>
      <c r="J2575" s="34"/>
      <c r="K2575" s="13">
        <f t="shared" si="194"/>
        <v>231.32</v>
      </c>
      <c r="L2575" s="28" t="s">
        <v>53</v>
      </c>
      <c r="M2575" s="17">
        <v>46083.0</v>
      </c>
      <c r="N2575" s="11" t="s">
        <v>143</v>
      </c>
      <c r="O2575" s="10" t="str">
        <f t="shared" si="79"/>
        <v>03/2026</v>
      </c>
      <c r="P2575" s="10" t="str">
        <f t="shared" si="181"/>
        <v>03/2026</v>
      </c>
      <c r="Q2575" s="15" t="str">
        <f t="array" ref="Q2575">IFERROR(XLOOKUP(N2575,'Classificação'!A:A,'Classificação'!B:B),"")</f>
        <v>EMBALAGENS/FITAS/GERAL</v>
      </c>
      <c r="R2575" s="15" t="str">
        <f t="array" ref="R2575">IFERROR(XLOOKUP(Q2575,'Classificação'!B:B,'Classificação'!C:C),"")</f>
        <v>CUSTOS VARIÁVEIS</v>
      </c>
      <c r="S2575" s="15">
        <f t="shared" si="131"/>
        <v>20</v>
      </c>
      <c r="T2575" s="15">
        <f t="shared" si="128"/>
        <v>3</v>
      </c>
      <c r="U2575" s="15">
        <f t="shared" si="129"/>
        <v>2026</v>
      </c>
      <c r="V2575" s="15">
        <f t="shared" si="8"/>
        <v>20</v>
      </c>
      <c r="W2575" s="15">
        <f t="shared" si="9"/>
        <v>3</v>
      </c>
      <c r="X2575" s="15">
        <f t="shared" si="10"/>
        <v>2026</v>
      </c>
    </row>
    <row r="2576">
      <c r="A2576" s="26">
        <v>46101.0</v>
      </c>
      <c r="B2576" s="26">
        <v>46071.0</v>
      </c>
      <c r="C2576" s="27">
        <f t="shared" si="192"/>
        <v>46101</v>
      </c>
      <c r="D2576" s="29" t="s">
        <v>179</v>
      </c>
      <c r="E2576" s="11" t="s">
        <v>25</v>
      </c>
      <c r="F2576" s="29" t="s">
        <v>107</v>
      </c>
      <c r="G2576" s="28" t="s">
        <v>27</v>
      </c>
      <c r="H2576" s="43" t="s">
        <v>497</v>
      </c>
      <c r="I2576" s="33">
        <v>218.0</v>
      </c>
      <c r="J2576" s="34"/>
      <c r="K2576" s="37">
        <f>IF(E2576="pago",(I2576-J2576),"")</f>
        <v>218</v>
      </c>
      <c r="L2576" s="29" t="s">
        <v>34</v>
      </c>
      <c r="M2576" s="28"/>
      <c r="N2576" s="29" t="s">
        <v>181</v>
      </c>
      <c r="O2576" s="10" t="str">
        <f t="shared" si="79"/>
        <v>03/2026</v>
      </c>
      <c r="P2576" s="10" t="str">
        <f t="shared" si="181"/>
        <v>03/2026</v>
      </c>
      <c r="Q2576" s="15" t="str">
        <f t="array" ref="Q2576">IFERROR(XLOOKUP(N2576,'Classificação'!A:A,'Classificação'!B:B),"")</f>
        <v>DESPESAS COM VEICULOS</v>
      </c>
      <c r="R2576" s="15" t="str">
        <f t="array" ref="R2576">IFERROR(XLOOKUP(Q2576,'Classificação'!B:B,'Classificação'!C:C),"")</f>
        <v>DESPESAS FIXAS (-)</v>
      </c>
      <c r="S2576" s="15">
        <f t="shared" si="131"/>
        <v>20</v>
      </c>
      <c r="T2576" s="15">
        <f t="shared" si="128"/>
        <v>3</v>
      </c>
      <c r="U2576" s="15">
        <f t="shared" si="129"/>
        <v>2026</v>
      </c>
      <c r="V2576" s="15">
        <f t="shared" si="8"/>
        <v>20</v>
      </c>
      <c r="W2576" s="15">
        <f t="shared" si="9"/>
        <v>3</v>
      </c>
      <c r="X2576" s="15">
        <f t="shared" si="10"/>
        <v>2026</v>
      </c>
    </row>
    <row r="2577">
      <c r="A2577" s="26">
        <v>46101.0</v>
      </c>
      <c r="B2577" s="26">
        <v>46076.0</v>
      </c>
      <c r="C2577" s="27">
        <f t="shared" si="192"/>
        <v>46101</v>
      </c>
      <c r="D2577" s="29" t="s">
        <v>114</v>
      </c>
      <c r="E2577" s="11" t="s">
        <v>25</v>
      </c>
      <c r="F2577" s="29" t="s">
        <v>107</v>
      </c>
      <c r="G2577" s="28" t="s">
        <v>27</v>
      </c>
      <c r="H2577" s="43" t="s">
        <v>1288</v>
      </c>
      <c r="I2577" s="33">
        <v>430.02</v>
      </c>
      <c r="J2577" s="34"/>
      <c r="K2577" s="13">
        <f t="shared" ref="K2577:K2599" si="195">if(E2577="pago",(I2577-J2577),"")</f>
        <v>430.02</v>
      </c>
      <c r="L2577" s="29" t="s">
        <v>34</v>
      </c>
      <c r="M2577" s="28"/>
      <c r="N2577" s="29" t="s">
        <v>143</v>
      </c>
      <c r="O2577" s="10" t="str">
        <f t="shared" si="79"/>
        <v>03/2026</v>
      </c>
      <c r="P2577" s="10" t="str">
        <f t="shared" si="181"/>
        <v>03/2026</v>
      </c>
      <c r="Q2577" s="15" t="str">
        <f t="array" ref="Q2577">IFERROR(XLOOKUP(N2577,'Classificação'!A:A,'Classificação'!B:B),"")</f>
        <v>EMBALAGENS/FITAS/GERAL</v>
      </c>
      <c r="R2577" s="15" t="str">
        <f t="array" ref="R2577">IFERROR(XLOOKUP(Q2577,'Classificação'!B:B,'Classificação'!C:C),"")</f>
        <v>CUSTOS VARIÁVEIS</v>
      </c>
      <c r="S2577" s="15">
        <f t="shared" si="131"/>
        <v>20</v>
      </c>
      <c r="T2577" s="15">
        <f t="shared" si="128"/>
        <v>3</v>
      </c>
      <c r="U2577" s="15">
        <f t="shared" si="129"/>
        <v>2026</v>
      </c>
      <c r="V2577" s="15">
        <f t="shared" si="8"/>
        <v>20</v>
      </c>
      <c r="W2577" s="15">
        <f t="shared" si="9"/>
        <v>3</v>
      </c>
      <c r="X2577" s="15">
        <f t="shared" si="10"/>
        <v>2026</v>
      </c>
    </row>
    <row r="2578">
      <c r="A2578" s="9">
        <v>46101.0</v>
      </c>
      <c r="B2578" s="9">
        <v>46076.0</v>
      </c>
      <c r="C2578" s="9">
        <f t="shared" si="192"/>
        <v>46101</v>
      </c>
      <c r="D2578" s="29" t="s">
        <v>65</v>
      </c>
      <c r="E2578" s="11" t="s">
        <v>25</v>
      </c>
      <c r="F2578" s="11" t="s">
        <v>107</v>
      </c>
      <c r="G2578" s="28" t="s">
        <v>27</v>
      </c>
      <c r="H2578" s="11" t="s">
        <v>1289</v>
      </c>
      <c r="I2578" s="31">
        <v>175.0</v>
      </c>
      <c r="J2578" s="13"/>
      <c r="K2578" s="13">
        <f t="shared" si="195"/>
        <v>175</v>
      </c>
      <c r="L2578" s="11" t="s">
        <v>53</v>
      </c>
      <c r="M2578" s="17">
        <v>46054.0</v>
      </c>
      <c r="N2578" s="11" t="s">
        <v>143</v>
      </c>
      <c r="O2578" s="10" t="str">
        <f t="shared" si="79"/>
        <v>03/2026</v>
      </c>
      <c r="P2578" s="10" t="str">
        <f t="shared" si="181"/>
        <v>03/2026</v>
      </c>
      <c r="Q2578" s="15" t="str">
        <f t="array" ref="Q2578">IFERROR(XLOOKUP(N2578,'Classificação'!A:A,'Classificação'!B:B),"")</f>
        <v>EMBALAGENS/FITAS/GERAL</v>
      </c>
      <c r="R2578" s="15" t="str">
        <f t="array" ref="R2578">IFERROR(XLOOKUP(Q2578,'Classificação'!B:B,'Classificação'!C:C),"")</f>
        <v>CUSTOS VARIÁVEIS</v>
      </c>
      <c r="S2578" s="15">
        <f t="shared" si="131"/>
        <v>20</v>
      </c>
      <c r="T2578" s="15">
        <f t="shared" si="128"/>
        <v>3</v>
      </c>
      <c r="U2578" s="15">
        <f t="shared" si="129"/>
        <v>2026</v>
      </c>
      <c r="V2578" s="15">
        <f t="shared" si="8"/>
        <v>20</v>
      </c>
      <c r="W2578" s="15">
        <f t="shared" si="9"/>
        <v>3</v>
      </c>
      <c r="X2578" s="15">
        <f t="shared" si="10"/>
        <v>2026</v>
      </c>
    </row>
    <row r="2579">
      <c r="A2579" s="9">
        <v>46101.0</v>
      </c>
      <c r="B2579" s="9">
        <v>46076.0</v>
      </c>
      <c r="C2579" s="9">
        <f t="shared" si="192"/>
        <v>46101</v>
      </c>
      <c r="D2579" s="29" t="s">
        <v>65</v>
      </c>
      <c r="E2579" s="11" t="s">
        <v>25</v>
      </c>
      <c r="F2579" s="11" t="s">
        <v>107</v>
      </c>
      <c r="G2579" s="28" t="s">
        <v>27</v>
      </c>
      <c r="H2579" s="11" t="s">
        <v>1289</v>
      </c>
      <c r="I2579" s="31">
        <v>354.16</v>
      </c>
      <c r="J2579" s="13"/>
      <c r="K2579" s="13">
        <f t="shared" si="195"/>
        <v>354.16</v>
      </c>
      <c r="L2579" s="11" t="s">
        <v>53</v>
      </c>
      <c r="M2579" s="17">
        <v>46054.0</v>
      </c>
      <c r="N2579" s="11" t="s">
        <v>143</v>
      </c>
      <c r="O2579" s="10" t="str">
        <f t="shared" si="79"/>
        <v>03/2026</v>
      </c>
      <c r="P2579" s="10" t="str">
        <f t="shared" si="181"/>
        <v>03/2026</v>
      </c>
      <c r="Q2579" s="15" t="str">
        <f t="array" ref="Q2579">IFERROR(XLOOKUP(N2579,'Classificação'!A:A,'Classificação'!B:B),"")</f>
        <v>EMBALAGENS/FITAS/GERAL</v>
      </c>
      <c r="R2579" s="15" t="str">
        <f t="array" ref="R2579">IFERROR(XLOOKUP(Q2579,'Classificação'!B:B,'Classificação'!C:C),"")</f>
        <v>CUSTOS VARIÁVEIS</v>
      </c>
      <c r="S2579" s="15">
        <f t="shared" si="131"/>
        <v>20</v>
      </c>
      <c r="T2579" s="15">
        <f t="shared" si="128"/>
        <v>3</v>
      </c>
      <c r="U2579" s="15">
        <f t="shared" si="129"/>
        <v>2026</v>
      </c>
      <c r="V2579" s="15">
        <f t="shared" si="8"/>
        <v>20</v>
      </c>
      <c r="W2579" s="15">
        <f t="shared" si="9"/>
        <v>3</v>
      </c>
      <c r="X2579" s="15">
        <f t="shared" si="10"/>
        <v>2026</v>
      </c>
    </row>
    <row r="2580">
      <c r="A2580" s="9">
        <v>46101.0</v>
      </c>
      <c r="B2580" s="9">
        <v>46072.0</v>
      </c>
      <c r="C2580" s="9">
        <f t="shared" si="192"/>
        <v>46101</v>
      </c>
      <c r="D2580" s="29" t="s">
        <v>1290</v>
      </c>
      <c r="E2580" s="11" t="s">
        <v>25</v>
      </c>
      <c r="F2580" s="11" t="s">
        <v>107</v>
      </c>
      <c r="G2580" s="28" t="s">
        <v>27</v>
      </c>
      <c r="H2580" s="11" t="s">
        <v>1291</v>
      </c>
      <c r="I2580" s="31">
        <v>73.34</v>
      </c>
      <c r="J2580" s="13"/>
      <c r="K2580" s="13">
        <f t="shared" si="195"/>
        <v>73.34</v>
      </c>
      <c r="L2580" s="11" t="s">
        <v>53</v>
      </c>
      <c r="M2580" s="17">
        <v>46082.0</v>
      </c>
      <c r="N2580" s="11" t="s">
        <v>175</v>
      </c>
      <c r="O2580" s="10" t="str">
        <f t="shared" si="79"/>
        <v>03/2026</v>
      </c>
      <c r="P2580" s="10" t="str">
        <f t="shared" si="181"/>
        <v>03/2026</v>
      </c>
      <c r="Q2580" s="15" t="str">
        <f t="array" ref="Q2580">IFERROR(XLOOKUP(N2580,'Classificação'!A:A,'Classificação'!B:B),"")</f>
        <v>DESPESAS COM VEICULOS</v>
      </c>
      <c r="R2580" s="15" t="str">
        <f t="array" ref="R2580">IFERROR(XLOOKUP(Q2580,'Classificação'!B:B,'Classificação'!C:C),"")</f>
        <v>DESPESAS FIXAS (-)</v>
      </c>
      <c r="S2580" s="15">
        <f t="shared" si="131"/>
        <v>20</v>
      </c>
      <c r="T2580" s="15">
        <f t="shared" si="128"/>
        <v>3</v>
      </c>
      <c r="U2580" s="15">
        <f t="shared" si="129"/>
        <v>2026</v>
      </c>
      <c r="V2580" s="15">
        <f t="shared" si="8"/>
        <v>20</v>
      </c>
      <c r="W2580" s="15">
        <f t="shared" si="9"/>
        <v>3</v>
      </c>
      <c r="X2580" s="15">
        <f t="shared" si="10"/>
        <v>2026</v>
      </c>
    </row>
    <row r="2581">
      <c r="A2581" s="9">
        <v>46101.0</v>
      </c>
      <c r="B2581" s="9">
        <v>46078.0</v>
      </c>
      <c r="C2581" s="9">
        <f t="shared" si="192"/>
        <v>46101</v>
      </c>
      <c r="D2581" s="11" t="s">
        <v>179</v>
      </c>
      <c r="E2581" s="11" t="s">
        <v>25</v>
      </c>
      <c r="F2581" s="11" t="s">
        <v>107</v>
      </c>
      <c r="G2581" s="11" t="s">
        <v>27</v>
      </c>
      <c r="H2581" s="11" t="s">
        <v>497</v>
      </c>
      <c r="I2581" s="31">
        <v>226.0</v>
      </c>
      <c r="J2581" s="13"/>
      <c r="K2581" s="13">
        <f t="shared" si="195"/>
        <v>226</v>
      </c>
      <c r="L2581" s="11" t="s">
        <v>34</v>
      </c>
      <c r="M2581" s="14"/>
      <c r="N2581" s="11" t="s">
        <v>181</v>
      </c>
      <c r="O2581" s="10" t="str">
        <f t="shared" si="79"/>
        <v>03/2026</v>
      </c>
      <c r="P2581" s="10" t="str">
        <f t="shared" si="181"/>
        <v>03/2026</v>
      </c>
      <c r="Q2581" s="15" t="str">
        <f t="array" ref="Q2581">IFERROR(XLOOKUP(N2581,'Classificação'!A:A,'Classificação'!B:B),"")</f>
        <v>DESPESAS COM VEICULOS</v>
      </c>
      <c r="R2581" s="15" t="str">
        <f t="array" ref="R2581">IFERROR(XLOOKUP(Q2581,'Classificação'!B:B,'Classificação'!C:C),"")</f>
        <v>DESPESAS FIXAS (-)</v>
      </c>
      <c r="S2581" s="15">
        <f t="shared" si="131"/>
        <v>20</v>
      </c>
      <c r="T2581" s="15">
        <f t="shared" si="128"/>
        <v>3</v>
      </c>
      <c r="U2581" s="15">
        <f t="shared" si="129"/>
        <v>2026</v>
      </c>
      <c r="V2581" s="15">
        <f t="shared" si="8"/>
        <v>20</v>
      </c>
      <c r="W2581" s="15">
        <f t="shared" si="9"/>
        <v>3</v>
      </c>
      <c r="X2581" s="15">
        <f t="shared" si="10"/>
        <v>2026</v>
      </c>
    </row>
    <row r="2582">
      <c r="A2582" s="9">
        <v>46101.0</v>
      </c>
      <c r="B2582" s="9">
        <v>46079.0</v>
      </c>
      <c r="C2582" s="9">
        <f t="shared" si="192"/>
        <v>46101</v>
      </c>
      <c r="D2582" s="11" t="s">
        <v>1065</v>
      </c>
      <c r="E2582" s="11" t="s">
        <v>25</v>
      </c>
      <c r="F2582" s="11" t="s">
        <v>107</v>
      </c>
      <c r="G2582" s="11" t="s">
        <v>27</v>
      </c>
      <c r="H2582" s="11" t="s">
        <v>1292</v>
      </c>
      <c r="I2582" s="31">
        <v>38.43</v>
      </c>
      <c r="J2582" s="13"/>
      <c r="K2582" s="13">
        <f t="shared" si="195"/>
        <v>38.43</v>
      </c>
      <c r="L2582" s="11" t="s">
        <v>34</v>
      </c>
      <c r="M2582" s="14"/>
      <c r="N2582" s="11" t="s">
        <v>71</v>
      </c>
      <c r="O2582" s="10" t="str">
        <f t="shared" si="79"/>
        <v>03/2026</v>
      </c>
      <c r="P2582" s="10" t="str">
        <f t="shared" si="181"/>
        <v>03/2026</v>
      </c>
      <c r="Q2582" s="15" t="str">
        <f t="array" ref="Q2582">IFERROR(XLOOKUP(N2582,'Classificação'!A:A,'Classificação'!B:B),"")</f>
        <v>DESPESAS DIVERSAS</v>
      </c>
      <c r="R2582" s="15" t="str">
        <f t="array" ref="R2582">IFERROR(XLOOKUP(Q2582,'Classificação'!B:B,'Classificação'!C:C),"")</f>
        <v>DESPESAS FIXAS (-)</v>
      </c>
      <c r="S2582" s="15">
        <f t="shared" si="131"/>
        <v>20</v>
      </c>
      <c r="T2582" s="15">
        <f t="shared" si="128"/>
        <v>3</v>
      </c>
      <c r="U2582" s="15">
        <f t="shared" si="129"/>
        <v>2026</v>
      </c>
      <c r="V2582" s="15">
        <f t="shared" si="8"/>
        <v>20</v>
      </c>
      <c r="W2582" s="15">
        <f t="shared" si="9"/>
        <v>3</v>
      </c>
      <c r="X2582" s="15">
        <f t="shared" si="10"/>
        <v>2026</v>
      </c>
    </row>
    <row r="2583">
      <c r="A2583" s="9">
        <v>46101.0</v>
      </c>
      <c r="B2583" s="9">
        <v>46081.0</v>
      </c>
      <c r="C2583" s="9">
        <f t="shared" si="192"/>
        <v>46101</v>
      </c>
      <c r="D2583" s="11" t="s">
        <v>65</v>
      </c>
      <c r="E2583" s="11" t="s">
        <v>25</v>
      </c>
      <c r="F2583" s="11" t="s">
        <v>107</v>
      </c>
      <c r="G2583" s="11" t="s">
        <v>27</v>
      </c>
      <c r="H2583" s="11" t="s">
        <v>1293</v>
      </c>
      <c r="I2583" s="31">
        <v>127.93</v>
      </c>
      <c r="J2583" s="13"/>
      <c r="K2583" s="13">
        <f t="shared" si="195"/>
        <v>127.93</v>
      </c>
      <c r="L2583" s="11" t="s">
        <v>53</v>
      </c>
      <c r="M2583" s="17">
        <v>46357.0</v>
      </c>
      <c r="N2583" s="11" t="s">
        <v>95</v>
      </c>
      <c r="O2583" s="10" t="str">
        <f t="shared" si="79"/>
        <v>03/2026</v>
      </c>
      <c r="P2583" s="10" t="str">
        <f t="shared" si="181"/>
        <v>03/2026</v>
      </c>
      <c r="Q2583" s="15" t="str">
        <f t="array" ref="Q2583">IFERROR(XLOOKUP(N2583,'Classificação'!A:A,'Classificação'!B:B),"")</f>
        <v>DESPESAS NÃO OPERACIONAIS</v>
      </c>
      <c r="R2583" s="15" t="str">
        <f t="array" ref="R2583">IFERROR(XLOOKUP(Q2583,'Classificação'!B:B,'Classificação'!C:C),"")</f>
        <v>RESULTADO NÃO OPERACIONAL (+/-)</v>
      </c>
      <c r="S2583" s="15">
        <f t="shared" si="131"/>
        <v>20</v>
      </c>
      <c r="T2583" s="15">
        <f t="shared" si="128"/>
        <v>3</v>
      </c>
      <c r="U2583" s="15">
        <f t="shared" si="129"/>
        <v>2026</v>
      </c>
      <c r="V2583" s="15">
        <f t="shared" si="8"/>
        <v>20</v>
      </c>
      <c r="W2583" s="15">
        <f t="shared" si="9"/>
        <v>3</v>
      </c>
      <c r="X2583" s="15">
        <f t="shared" si="10"/>
        <v>2026</v>
      </c>
    </row>
    <row r="2584">
      <c r="A2584" s="9">
        <v>46101.0</v>
      </c>
      <c r="B2584" s="9">
        <v>46032.0</v>
      </c>
      <c r="C2584" s="9">
        <f t="shared" si="192"/>
        <v>46101</v>
      </c>
      <c r="D2584" s="11" t="s">
        <v>1085</v>
      </c>
      <c r="E2584" s="11" t="s">
        <v>25</v>
      </c>
      <c r="F2584" s="11" t="s">
        <v>110</v>
      </c>
      <c r="G2584" s="28" t="s">
        <v>27</v>
      </c>
      <c r="H2584" s="11" t="s">
        <v>1256</v>
      </c>
      <c r="I2584" s="31">
        <v>105.44</v>
      </c>
      <c r="J2584" s="13"/>
      <c r="K2584" s="13">
        <f t="shared" si="195"/>
        <v>105.44</v>
      </c>
      <c r="L2584" s="28" t="s">
        <v>53</v>
      </c>
      <c r="M2584" s="17">
        <v>46055.0</v>
      </c>
      <c r="N2584" s="11" t="s">
        <v>394</v>
      </c>
      <c r="O2584" s="10" t="str">
        <f t="shared" si="79"/>
        <v>03/2026</v>
      </c>
      <c r="P2584" s="10" t="str">
        <f t="shared" si="181"/>
        <v>03/2026</v>
      </c>
      <c r="Q2584" s="15" t="str">
        <f t="array" ref="Q2584">IFERROR(XLOOKUP(N2584,'Classificação'!A:A,'Classificação'!B:B),"")</f>
        <v>DESPESAS NÃO OPERACIONAIS</v>
      </c>
      <c r="R2584" s="15" t="str">
        <f t="array" ref="R2584">IFERROR(XLOOKUP(Q2584,'Classificação'!B:B,'Classificação'!C:C),"")</f>
        <v>RESULTADO NÃO OPERACIONAL (+/-)</v>
      </c>
      <c r="S2584" s="15">
        <f t="shared" si="131"/>
        <v>20</v>
      </c>
      <c r="T2584" s="15">
        <f t="shared" si="128"/>
        <v>3</v>
      </c>
      <c r="U2584" s="15">
        <f t="shared" si="129"/>
        <v>2026</v>
      </c>
      <c r="V2584" s="15">
        <f t="shared" si="8"/>
        <v>20</v>
      </c>
      <c r="W2584" s="15">
        <f t="shared" si="9"/>
        <v>3</v>
      </c>
      <c r="X2584" s="15">
        <f t="shared" si="10"/>
        <v>2026</v>
      </c>
    </row>
    <row r="2585">
      <c r="A2585" s="9">
        <v>46101.0</v>
      </c>
      <c r="B2585" s="9">
        <v>46077.0</v>
      </c>
      <c r="C2585" s="9">
        <f t="shared" si="192"/>
        <v>46101</v>
      </c>
      <c r="D2585" s="11" t="s">
        <v>1294</v>
      </c>
      <c r="E2585" s="11" t="s">
        <v>25</v>
      </c>
      <c r="F2585" s="11" t="s">
        <v>107</v>
      </c>
      <c r="G2585" s="28" t="s">
        <v>27</v>
      </c>
      <c r="H2585" s="11" t="s">
        <v>1295</v>
      </c>
      <c r="I2585" s="31">
        <v>185.2</v>
      </c>
      <c r="J2585" s="13"/>
      <c r="K2585" s="13">
        <f t="shared" si="195"/>
        <v>185.2</v>
      </c>
      <c r="L2585" s="28" t="s">
        <v>53</v>
      </c>
      <c r="M2585" s="17">
        <v>46357.0</v>
      </c>
      <c r="N2585" s="11" t="s">
        <v>64</v>
      </c>
      <c r="O2585" s="10" t="str">
        <f t="shared" si="79"/>
        <v>03/2026</v>
      </c>
      <c r="P2585" s="10" t="str">
        <f t="shared" si="181"/>
        <v>03/2026</v>
      </c>
      <c r="Q2585" s="15" t="str">
        <f t="array" ref="Q2585">IFERROR(XLOOKUP(N2585,'Classificação'!A:A,'Classificação'!B:B),"")</f>
        <v>DESPESAS COM PESSOAL</v>
      </c>
      <c r="R2585" s="15" t="str">
        <f t="array" ref="R2585">IFERROR(XLOOKUP(Q2585,'Classificação'!B:B,'Classificação'!C:C),"")</f>
        <v>DESPESAS FIXAS (-)</v>
      </c>
      <c r="S2585" s="15">
        <f t="shared" si="131"/>
        <v>20</v>
      </c>
      <c r="T2585" s="15">
        <f t="shared" si="128"/>
        <v>3</v>
      </c>
      <c r="U2585" s="15">
        <f t="shared" si="129"/>
        <v>2026</v>
      </c>
      <c r="V2585" s="15">
        <f t="shared" si="8"/>
        <v>20</v>
      </c>
      <c r="W2585" s="15">
        <f t="shared" si="9"/>
        <v>3</v>
      </c>
      <c r="X2585" s="15">
        <f t="shared" si="10"/>
        <v>2026</v>
      </c>
    </row>
    <row r="2586">
      <c r="A2586" s="27">
        <v>46101.0</v>
      </c>
      <c r="B2586" s="26">
        <v>45721.0</v>
      </c>
      <c r="C2586" s="27">
        <f t="shared" si="192"/>
        <v>46101</v>
      </c>
      <c r="D2586" s="29" t="s">
        <v>1065</v>
      </c>
      <c r="E2586" s="11" t="s">
        <v>25</v>
      </c>
      <c r="F2586" s="28" t="s">
        <v>110</v>
      </c>
      <c r="G2586" s="28" t="s">
        <v>27</v>
      </c>
      <c r="H2586" s="29" t="s">
        <v>1296</v>
      </c>
      <c r="I2586" s="24">
        <v>23.09</v>
      </c>
      <c r="J2586" s="13"/>
      <c r="K2586" s="13">
        <f t="shared" si="195"/>
        <v>23.09</v>
      </c>
      <c r="L2586" s="11" t="s">
        <v>34</v>
      </c>
      <c r="M2586" s="14"/>
      <c r="N2586" s="11" t="s">
        <v>71</v>
      </c>
      <c r="O2586" s="10" t="str">
        <f t="shared" si="79"/>
        <v>03/2026</v>
      </c>
      <c r="P2586" s="10" t="str">
        <f t="shared" si="181"/>
        <v>03/2026</v>
      </c>
      <c r="Q2586" s="15" t="str">
        <f t="array" ref="Q2586">IFERROR(XLOOKUP(N2586,'Classificação'!A:A,'Classificação'!B:B),"")</f>
        <v>DESPESAS DIVERSAS</v>
      </c>
      <c r="R2586" s="15" t="str">
        <f t="array" ref="R2586">IFERROR(XLOOKUP(Q2586,'Classificação'!B:B,'Classificação'!C:C),"")</f>
        <v>DESPESAS FIXAS (-)</v>
      </c>
      <c r="S2586" s="15">
        <f t="shared" si="131"/>
        <v>20</v>
      </c>
      <c r="T2586" s="15">
        <f t="shared" si="128"/>
        <v>3</v>
      </c>
      <c r="U2586" s="15">
        <f t="shared" si="129"/>
        <v>2026</v>
      </c>
      <c r="V2586" s="15">
        <f t="shared" si="8"/>
        <v>20</v>
      </c>
      <c r="W2586" s="15">
        <f t="shared" si="9"/>
        <v>3</v>
      </c>
      <c r="X2586" s="15">
        <f t="shared" si="10"/>
        <v>2026</v>
      </c>
    </row>
    <row r="2587">
      <c r="A2587" s="26">
        <v>46101.0</v>
      </c>
      <c r="B2587" s="26">
        <v>46085.0</v>
      </c>
      <c r="C2587" s="27">
        <f t="shared" si="192"/>
        <v>46101</v>
      </c>
      <c r="D2587" s="29" t="s">
        <v>179</v>
      </c>
      <c r="E2587" s="11" t="s">
        <v>25</v>
      </c>
      <c r="F2587" s="29" t="s">
        <v>107</v>
      </c>
      <c r="G2587" s="28" t="s">
        <v>27</v>
      </c>
      <c r="H2587" s="29" t="s">
        <v>1130</v>
      </c>
      <c r="I2587" s="33">
        <v>239.91</v>
      </c>
      <c r="J2587" s="13"/>
      <c r="K2587" s="13">
        <f t="shared" si="195"/>
        <v>239.91</v>
      </c>
      <c r="L2587" s="11" t="s">
        <v>34</v>
      </c>
      <c r="M2587" s="14"/>
      <c r="N2587" s="11" t="s">
        <v>181</v>
      </c>
      <c r="O2587" s="10" t="str">
        <f t="shared" si="79"/>
        <v>03/2026</v>
      </c>
      <c r="P2587" s="10" t="str">
        <f t="shared" si="181"/>
        <v>03/2026</v>
      </c>
      <c r="Q2587" s="15" t="str">
        <f t="array" ref="Q2587">IFERROR(XLOOKUP(N2587,'Classificação'!A:A,'Classificação'!B:B),"")</f>
        <v>DESPESAS COM VEICULOS</v>
      </c>
      <c r="R2587" s="15" t="str">
        <f t="array" ref="R2587">IFERROR(XLOOKUP(Q2587,'Classificação'!B:B,'Classificação'!C:C),"")</f>
        <v>DESPESAS FIXAS (-)</v>
      </c>
      <c r="S2587" s="15">
        <f t="shared" si="131"/>
        <v>20</v>
      </c>
      <c r="T2587" s="15">
        <f t="shared" si="128"/>
        <v>3</v>
      </c>
      <c r="U2587" s="15">
        <f t="shared" si="129"/>
        <v>2026</v>
      </c>
      <c r="V2587" s="15">
        <f t="shared" si="8"/>
        <v>20</v>
      </c>
      <c r="W2587" s="15">
        <f t="shared" si="9"/>
        <v>3</v>
      </c>
      <c r="X2587" s="15">
        <f t="shared" si="10"/>
        <v>2026</v>
      </c>
    </row>
    <row r="2588">
      <c r="A2588" s="9">
        <v>46101.0</v>
      </c>
      <c r="B2588" s="9">
        <v>46074.0</v>
      </c>
      <c r="C2588" s="9">
        <f t="shared" si="192"/>
        <v>46101</v>
      </c>
      <c r="D2588" s="11" t="s">
        <v>81</v>
      </c>
      <c r="E2588" s="11" t="s">
        <v>25</v>
      </c>
      <c r="F2588" s="11" t="s">
        <v>107</v>
      </c>
      <c r="G2588" s="28" t="s">
        <v>27</v>
      </c>
      <c r="H2588" s="11" t="s">
        <v>1297</v>
      </c>
      <c r="I2588" s="31">
        <v>175.26</v>
      </c>
      <c r="J2588" s="13"/>
      <c r="K2588" s="13">
        <f t="shared" si="195"/>
        <v>175.26</v>
      </c>
      <c r="L2588" s="11" t="s">
        <v>34</v>
      </c>
      <c r="M2588" s="14"/>
      <c r="N2588" s="11" t="s">
        <v>71</v>
      </c>
      <c r="O2588" s="10" t="str">
        <f t="shared" si="79"/>
        <v>03/2026</v>
      </c>
      <c r="P2588" s="10" t="str">
        <f t="shared" si="181"/>
        <v>03/2026</v>
      </c>
      <c r="Q2588" s="15" t="str">
        <f t="array" ref="Q2588">IFERROR(XLOOKUP(N2588,'Classificação'!A:A,'Classificação'!B:B),"")</f>
        <v>DESPESAS DIVERSAS</v>
      </c>
      <c r="R2588" s="15" t="str">
        <f t="array" ref="R2588">IFERROR(XLOOKUP(Q2588,'Classificação'!B:B,'Classificação'!C:C),"")</f>
        <v>DESPESAS FIXAS (-)</v>
      </c>
      <c r="S2588" s="15">
        <f t="shared" si="131"/>
        <v>20</v>
      </c>
      <c r="T2588" s="15">
        <f t="shared" si="128"/>
        <v>3</v>
      </c>
      <c r="U2588" s="15">
        <f t="shared" si="129"/>
        <v>2026</v>
      </c>
      <c r="V2588" s="15">
        <f t="shared" si="8"/>
        <v>20</v>
      </c>
      <c r="W2588" s="15">
        <f t="shared" si="9"/>
        <v>3</v>
      </c>
      <c r="X2588" s="15">
        <f t="shared" si="10"/>
        <v>2026</v>
      </c>
    </row>
    <row r="2589">
      <c r="A2589" s="9">
        <v>46101.0</v>
      </c>
      <c r="B2589" s="9">
        <v>46073.0</v>
      </c>
      <c r="C2589" s="9">
        <f t="shared" si="192"/>
        <v>46101</v>
      </c>
      <c r="D2589" s="11" t="s">
        <v>182</v>
      </c>
      <c r="E2589" s="11" t="s">
        <v>25</v>
      </c>
      <c r="F2589" s="11" t="s">
        <v>107</v>
      </c>
      <c r="G2589" s="28" t="s">
        <v>27</v>
      </c>
      <c r="H2589" s="11" t="s">
        <v>1298</v>
      </c>
      <c r="I2589" s="31">
        <v>10.94</v>
      </c>
      <c r="J2589" s="13"/>
      <c r="K2589" s="13">
        <f t="shared" si="195"/>
        <v>10.94</v>
      </c>
      <c r="L2589" s="11" t="s">
        <v>34</v>
      </c>
      <c r="M2589" s="14"/>
      <c r="N2589" s="11" t="s">
        <v>184</v>
      </c>
      <c r="O2589" s="10" t="str">
        <f t="shared" si="79"/>
        <v>03/2026</v>
      </c>
      <c r="P2589" s="10" t="str">
        <f t="shared" si="181"/>
        <v>03/2026</v>
      </c>
      <c r="Q2589" s="15" t="str">
        <f t="array" ref="Q2589">IFERROR(XLOOKUP(N2589,'Classificação'!A:A,'Classificação'!B:B),"")</f>
        <v>DESPESAS ADMINISTRATIVAS</v>
      </c>
      <c r="R2589" s="15" t="str">
        <f t="array" ref="R2589">IFERROR(XLOOKUP(Q2589,'Classificação'!B:B,'Classificação'!C:C),"")</f>
        <v>DESPESAS FIXAS (-)</v>
      </c>
      <c r="S2589" s="15">
        <f t="shared" si="131"/>
        <v>20</v>
      </c>
      <c r="T2589" s="15">
        <f t="shared" si="128"/>
        <v>3</v>
      </c>
      <c r="U2589" s="15">
        <f t="shared" si="129"/>
        <v>2026</v>
      </c>
      <c r="V2589" s="15">
        <f t="shared" si="8"/>
        <v>20</v>
      </c>
      <c r="W2589" s="15">
        <f t="shared" si="9"/>
        <v>3</v>
      </c>
      <c r="X2589" s="15">
        <f t="shared" si="10"/>
        <v>2026</v>
      </c>
    </row>
    <row r="2590">
      <c r="A2590" s="9">
        <v>46101.0</v>
      </c>
      <c r="B2590" s="9">
        <v>46073.0</v>
      </c>
      <c r="C2590" s="9">
        <f t="shared" si="192"/>
        <v>46101</v>
      </c>
      <c r="D2590" s="11" t="s">
        <v>182</v>
      </c>
      <c r="E2590" s="11" t="s">
        <v>25</v>
      </c>
      <c r="F2590" s="11" t="s">
        <v>107</v>
      </c>
      <c r="G2590" s="28" t="s">
        <v>27</v>
      </c>
      <c r="H2590" s="11" t="s">
        <v>1298</v>
      </c>
      <c r="I2590" s="31">
        <v>8.94</v>
      </c>
      <c r="J2590" s="13"/>
      <c r="K2590" s="13">
        <f t="shared" si="195"/>
        <v>8.94</v>
      </c>
      <c r="L2590" s="11" t="s">
        <v>34</v>
      </c>
      <c r="M2590" s="14"/>
      <c r="N2590" s="11" t="s">
        <v>184</v>
      </c>
      <c r="O2590" s="10" t="str">
        <f t="shared" si="79"/>
        <v>03/2026</v>
      </c>
      <c r="P2590" s="10" t="str">
        <f t="shared" si="181"/>
        <v>03/2026</v>
      </c>
      <c r="Q2590" s="15" t="str">
        <f t="array" ref="Q2590">IFERROR(XLOOKUP(N2590,'Classificação'!A:A,'Classificação'!B:B),"")</f>
        <v>DESPESAS ADMINISTRATIVAS</v>
      </c>
      <c r="R2590" s="15" t="str">
        <f t="array" ref="R2590">IFERROR(XLOOKUP(Q2590,'Classificação'!B:B,'Classificação'!C:C),"")</f>
        <v>DESPESAS FIXAS (-)</v>
      </c>
      <c r="S2590" s="15">
        <f t="shared" si="131"/>
        <v>20</v>
      </c>
      <c r="T2590" s="15">
        <f t="shared" si="128"/>
        <v>3</v>
      </c>
      <c r="U2590" s="15">
        <f t="shared" si="129"/>
        <v>2026</v>
      </c>
      <c r="V2590" s="15">
        <f t="shared" si="8"/>
        <v>20</v>
      </c>
      <c r="W2590" s="15">
        <f t="shared" si="9"/>
        <v>3</v>
      </c>
      <c r="X2590" s="15">
        <f t="shared" si="10"/>
        <v>2026</v>
      </c>
    </row>
    <row r="2591">
      <c r="A2591" s="9">
        <v>46101.0</v>
      </c>
      <c r="B2591" s="9">
        <v>46071.0</v>
      </c>
      <c r="C2591" s="9">
        <f t="shared" si="192"/>
        <v>46101</v>
      </c>
      <c r="D2591" s="11" t="s">
        <v>44</v>
      </c>
      <c r="E2591" s="11" t="s">
        <v>25</v>
      </c>
      <c r="F2591" s="11" t="s">
        <v>107</v>
      </c>
      <c r="G2591" s="28" t="s">
        <v>27</v>
      </c>
      <c r="H2591" s="11" t="s">
        <v>1299</v>
      </c>
      <c r="I2591" s="31">
        <v>1.36</v>
      </c>
      <c r="J2591" s="13"/>
      <c r="K2591" s="13">
        <f t="shared" si="195"/>
        <v>1.36</v>
      </c>
      <c r="L2591" s="11" t="s">
        <v>34</v>
      </c>
      <c r="M2591" s="14"/>
      <c r="N2591" s="11" t="s">
        <v>574</v>
      </c>
      <c r="O2591" s="10" t="str">
        <f t="shared" si="79"/>
        <v>03/2026</v>
      </c>
      <c r="P2591" s="10" t="str">
        <f t="shared" si="181"/>
        <v>03/2026</v>
      </c>
      <c r="Q2591" s="15" t="str">
        <f t="array" ref="Q2591">IFERROR(XLOOKUP(N2591,'Classificação'!A:A,'Classificação'!B:B),"")</f>
        <v>TARIFAS FINANCEIRAS DIVERSAS</v>
      </c>
      <c r="R2591" s="15" t="str">
        <f t="array" ref="R2591">IFERROR(XLOOKUP(Q2591,'Classificação'!B:B,'Classificação'!C:C),"")</f>
        <v>(+/-) RESULTADO FINANCEIRO LÍQUIDO</v>
      </c>
      <c r="S2591" s="15">
        <f t="shared" si="131"/>
        <v>20</v>
      </c>
      <c r="T2591" s="15">
        <f t="shared" si="128"/>
        <v>3</v>
      </c>
      <c r="U2591" s="15">
        <f t="shared" si="129"/>
        <v>2026</v>
      </c>
      <c r="V2591" s="15">
        <f t="shared" si="8"/>
        <v>20</v>
      </c>
      <c r="W2591" s="15">
        <f t="shared" si="9"/>
        <v>3</v>
      </c>
      <c r="X2591" s="15">
        <f t="shared" si="10"/>
        <v>2026</v>
      </c>
    </row>
    <row r="2592">
      <c r="A2592" s="9">
        <v>46101.0</v>
      </c>
      <c r="B2592" s="32">
        <v>46011.0</v>
      </c>
      <c r="C2592" s="9">
        <f t="shared" si="192"/>
        <v>46101</v>
      </c>
      <c r="D2592" s="11" t="s">
        <v>65</v>
      </c>
      <c r="E2592" s="11" t="s">
        <v>25</v>
      </c>
      <c r="F2592" s="11" t="s">
        <v>107</v>
      </c>
      <c r="G2592" s="28" t="s">
        <v>27</v>
      </c>
      <c r="H2592" s="11" t="s">
        <v>1204</v>
      </c>
      <c r="I2592" s="31">
        <v>216.58</v>
      </c>
      <c r="J2592" s="13"/>
      <c r="K2592" s="13">
        <f t="shared" si="195"/>
        <v>216.58</v>
      </c>
      <c r="L2592" s="11" t="s">
        <v>53</v>
      </c>
      <c r="M2592" s="17">
        <v>46084.0</v>
      </c>
      <c r="N2592" s="11" t="s">
        <v>116</v>
      </c>
      <c r="O2592" s="10" t="str">
        <f t="shared" si="79"/>
        <v>03/2026</v>
      </c>
      <c r="P2592" s="10" t="str">
        <f t="shared" si="181"/>
        <v>03/2026</v>
      </c>
      <c r="Q2592" s="15" t="str">
        <f t="array" ref="Q2592">IFERROR(XLOOKUP(N2592,'Classificação'!A:A,'Classificação'!B:B),"")</f>
        <v>DESPESAS COM OCUPAÇÃO</v>
      </c>
      <c r="R2592" s="15" t="str">
        <f t="array" ref="R2592">IFERROR(XLOOKUP(Q2592,'Classificação'!B:B,'Classificação'!C:C),"")</f>
        <v>DESPESAS FIXAS (-)</v>
      </c>
      <c r="S2592" s="15">
        <f t="shared" si="131"/>
        <v>20</v>
      </c>
      <c r="T2592" s="15">
        <f t="shared" si="128"/>
        <v>3</v>
      </c>
      <c r="U2592" s="15">
        <f t="shared" si="129"/>
        <v>2026</v>
      </c>
      <c r="V2592" s="15">
        <f t="shared" si="8"/>
        <v>20</v>
      </c>
      <c r="W2592" s="15">
        <f t="shared" si="9"/>
        <v>3</v>
      </c>
      <c r="X2592" s="15">
        <f t="shared" si="10"/>
        <v>2026</v>
      </c>
    </row>
    <row r="2593">
      <c r="A2593" s="9">
        <v>46101.0</v>
      </c>
      <c r="B2593" s="32">
        <v>46013.0</v>
      </c>
      <c r="C2593" s="9">
        <f t="shared" si="192"/>
        <v>46101</v>
      </c>
      <c r="D2593" s="11" t="s">
        <v>1205</v>
      </c>
      <c r="E2593" s="11" t="s">
        <v>25</v>
      </c>
      <c r="F2593" s="11" t="s">
        <v>107</v>
      </c>
      <c r="G2593" s="28" t="s">
        <v>27</v>
      </c>
      <c r="H2593" s="11" t="s">
        <v>1206</v>
      </c>
      <c r="I2593" s="31">
        <v>108.87</v>
      </c>
      <c r="J2593" s="13"/>
      <c r="K2593" s="13">
        <f t="shared" si="195"/>
        <v>108.87</v>
      </c>
      <c r="L2593" s="11" t="s">
        <v>53</v>
      </c>
      <c r="M2593" s="17">
        <v>45750.0</v>
      </c>
      <c r="N2593" s="11" t="s">
        <v>175</v>
      </c>
      <c r="O2593" s="10" t="str">
        <f t="shared" si="79"/>
        <v>03/2026</v>
      </c>
      <c r="P2593" s="10" t="str">
        <f t="shared" si="181"/>
        <v>03/2026</v>
      </c>
      <c r="Q2593" s="15" t="str">
        <f t="array" ref="Q2593">IFERROR(XLOOKUP(N2593,'Classificação'!A:A,'Classificação'!B:B),"")</f>
        <v>DESPESAS COM VEICULOS</v>
      </c>
      <c r="R2593" s="15" t="str">
        <f t="array" ref="R2593">IFERROR(XLOOKUP(Q2593,'Classificação'!B:B,'Classificação'!C:C),"")</f>
        <v>DESPESAS FIXAS (-)</v>
      </c>
      <c r="S2593" s="15">
        <f t="shared" si="131"/>
        <v>20</v>
      </c>
      <c r="T2593" s="15">
        <f t="shared" si="128"/>
        <v>3</v>
      </c>
      <c r="U2593" s="15">
        <f t="shared" si="129"/>
        <v>2026</v>
      </c>
      <c r="V2593" s="15">
        <f t="shared" si="8"/>
        <v>20</v>
      </c>
      <c r="W2593" s="15">
        <f t="shared" si="9"/>
        <v>3</v>
      </c>
      <c r="X2593" s="15">
        <f t="shared" si="10"/>
        <v>2026</v>
      </c>
    </row>
    <row r="2594">
      <c r="A2594" s="9">
        <v>46101.0</v>
      </c>
      <c r="B2594" s="32">
        <v>46011.0</v>
      </c>
      <c r="C2594" s="9">
        <f t="shared" si="192"/>
        <v>46101</v>
      </c>
      <c r="D2594" s="11" t="s">
        <v>1207</v>
      </c>
      <c r="E2594" s="11" t="s">
        <v>25</v>
      </c>
      <c r="F2594" s="11" t="s">
        <v>107</v>
      </c>
      <c r="G2594" s="28" t="s">
        <v>27</v>
      </c>
      <c r="H2594" s="11" t="s">
        <v>1204</v>
      </c>
      <c r="I2594" s="31">
        <v>70.12</v>
      </c>
      <c r="J2594" s="13"/>
      <c r="K2594" s="13">
        <f t="shared" si="195"/>
        <v>70.12</v>
      </c>
      <c r="L2594" s="11" t="s">
        <v>53</v>
      </c>
      <c r="M2594" s="17">
        <v>45811.0</v>
      </c>
      <c r="N2594" s="11" t="s">
        <v>116</v>
      </c>
      <c r="O2594" s="10" t="str">
        <f t="shared" si="79"/>
        <v>03/2026</v>
      </c>
      <c r="P2594" s="10" t="str">
        <f t="shared" si="181"/>
        <v>03/2026</v>
      </c>
      <c r="Q2594" s="15" t="str">
        <f t="array" ref="Q2594">IFERROR(XLOOKUP(N2594,'Classificação'!A:A,'Classificação'!B:B),"")</f>
        <v>DESPESAS COM OCUPAÇÃO</v>
      </c>
      <c r="R2594" s="15" t="str">
        <f t="array" ref="R2594">IFERROR(XLOOKUP(Q2594,'Classificação'!B:B,'Classificação'!C:C),"")</f>
        <v>DESPESAS FIXAS (-)</v>
      </c>
      <c r="S2594" s="15">
        <f t="shared" si="131"/>
        <v>20</v>
      </c>
      <c r="T2594" s="15">
        <f t="shared" si="128"/>
        <v>3</v>
      </c>
      <c r="U2594" s="15">
        <f t="shared" si="129"/>
        <v>2026</v>
      </c>
      <c r="V2594" s="15">
        <f t="shared" si="8"/>
        <v>20</v>
      </c>
      <c r="W2594" s="15">
        <f t="shared" si="9"/>
        <v>3</v>
      </c>
      <c r="X2594" s="15">
        <f t="shared" si="10"/>
        <v>2026</v>
      </c>
    </row>
    <row r="2595">
      <c r="A2595" s="9">
        <v>46101.0</v>
      </c>
      <c r="B2595" s="32">
        <v>46021.0</v>
      </c>
      <c r="C2595" s="9">
        <f t="shared" si="192"/>
        <v>46101</v>
      </c>
      <c r="D2595" s="11" t="s">
        <v>691</v>
      </c>
      <c r="E2595" s="11" t="s">
        <v>25</v>
      </c>
      <c r="F2595" s="11" t="s">
        <v>107</v>
      </c>
      <c r="G2595" s="28" t="s">
        <v>27</v>
      </c>
      <c r="H2595" s="11" t="s">
        <v>1209</v>
      </c>
      <c r="I2595" s="31">
        <v>1313.49</v>
      </c>
      <c r="J2595" s="13"/>
      <c r="K2595" s="13">
        <f t="shared" si="195"/>
        <v>1313.49</v>
      </c>
      <c r="L2595" s="11" t="s">
        <v>53</v>
      </c>
      <c r="M2595" s="17">
        <v>45811.0</v>
      </c>
      <c r="N2595" s="11" t="s">
        <v>61</v>
      </c>
      <c r="O2595" s="10" t="str">
        <f t="shared" si="79"/>
        <v>03/2026</v>
      </c>
      <c r="P2595" s="10" t="str">
        <f t="shared" si="181"/>
        <v>03/2026</v>
      </c>
      <c r="Q2595" s="15" t="str">
        <f t="array" ref="Q2595">IFERROR(XLOOKUP(N2595,'Classificação'!A:A,'Classificação'!B:B),"")</f>
        <v>DESPESAS ADMINISTRATIVAS</v>
      </c>
      <c r="R2595" s="15" t="str">
        <f t="array" ref="R2595">IFERROR(XLOOKUP(Q2595,'Classificação'!B:B,'Classificação'!C:C),"")</f>
        <v>DESPESAS FIXAS (-)</v>
      </c>
      <c r="S2595" s="15">
        <f t="shared" si="131"/>
        <v>20</v>
      </c>
      <c r="T2595" s="15">
        <f t="shared" si="128"/>
        <v>3</v>
      </c>
      <c r="U2595" s="15">
        <f t="shared" si="129"/>
        <v>2026</v>
      </c>
      <c r="V2595" s="15">
        <f t="shared" si="8"/>
        <v>20</v>
      </c>
      <c r="W2595" s="15">
        <f t="shared" si="9"/>
        <v>3</v>
      </c>
      <c r="X2595" s="15">
        <f t="shared" si="10"/>
        <v>2026</v>
      </c>
    </row>
    <row r="2596">
      <c r="A2596" s="9">
        <v>46104.0</v>
      </c>
      <c r="B2596" s="10"/>
      <c r="C2596" s="9">
        <f t="shared" si="192"/>
        <v>46104</v>
      </c>
      <c r="D2596" s="28" t="s">
        <v>76</v>
      </c>
      <c r="E2596" s="29" t="s">
        <v>25</v>
      </c>
      <c r="F2596" s="28" t="s">
        <v>26</v>
      </c>
      <c r="G2596" s="29" t="s">
        <v>37</v>
      </c>
      <c r="H2596" s="28" t="s">
        <v>84</v>
      </c>
      <c r="I2596" s="24">
        <v>2428.54</v>
      </c>
      <c r="J2596" s="13"/>
      <c r="K2596" s="13">
        <f t="shared" si="195"/>
        <v>2428.54</v>
      </c>
      <c r="L2596" s="28" t="s">
        <v>53</v>
      </c>
      <c r="M2596" s="16" t="s">
        <v>1300</v>
      </c>
      <c r="N2596" s="28" t="s">
        <v>85</v>
      </c>
      <c r="O2596" s="10" t="str">
        <f t="shared" si="79"/>
        <v>03/2026</v>
      </c>
      <c r="P2596" s="10" t="str">
        <f t="shared" si="181"/>
        <v>03/2026</v>
      </c>
      <c r="Q2596" s="15" t="str">
        <f t="array" ref="Q2596">IFERROR(XLOOKUP(N2596,'Classificação'!A:A,'Classificação'!B:B),"")</f>
        <v>DESPESAS NÃO OPERACIONAIS</v>
      </c>
      <c r="R2596" s="15" t="str">
        <f t="array" ref="R2596">IFERROR(XLOOKUP(Q2596,'Classificação'!B:B,'Classificação'!C:C),"")</f>
        <v>RESULTADO NÃO OPERACIONAL (+/-)</v>
      </c>
      <c r="S2596" s="15">
        <f t="shared" si="131"/>
        <v>23</v>
      </c>
      <c r="T2596" s="15">
        <f t="shared" si="128"/>
        <v>3</v>
      </c>
      <c r="U2596" s="15">
        <f t="shared" si="129"/>
        <v>2026</v>
      </c>
      <c r="V2596" s="15">
        <f t="shared" si="8"/>
        <v>23</v>
      </c>
      <c r="W2596" s="15">
        <f t="shared" si="9"/>
        <v>3</v>
      </c>
      <c r="X2596" s="15">
        <f t="shared" si="10"/>
        <v>2026</v>
      </c>
    </row>
    <row r="2597">
      <c r="A2597" s="9">
        <v>46104.0</v>
      </c>
      <c r="B2597" s="9">
        <v>46043.0</v>
      </c>
      <c r="C2597" s="9" t="str">
        <f t="shared" si="192"/>
        <v/>
      </c>
      <c r="D2597" s="11" t="s">
        <v>86</v>
      </c>
      <c r="E2597" s="29" t="s">
        <v>1301</v>
      </c>
      <c r="F2597" s="11" t="s">
        <v>87</v>
      </c>
      <c r="G2597" s="28" t="s">
        <v>27</v>
      </c>
      <c r="H2597" s="11" t="s">
        <v>1302</v>
      </c>
      <c r="I2597" s="31">
        <v>2640.0</v>
      </c>
      <c r="J2597" s="13"/>
      <c r="K2597" s="13" t="str">
        <f t="shared" si="195"/>
        <v/>
      </c>
      <c r="L2597" s="28" t="s">
        <v>53</v>
      </c>
      <c r="M2597" s="17">
        <v>46114.0</v>
      </c>
      <c r="N2597" s="11" t="s">
        <v>35</v>
      </c>
      <c r="O2597" s="10" t="str">
        <f t="shared" si="79"/>
        <v>03/2026</v>
      </c>
      <c r="P2597" s="10" t="str">
        <f t="shared" si="181"/>
        <v/>
      </c>
      <c r="Q2597" s="15" t="str">
        <f t="array" ref="Q2597">IFERROR(XLOOKUP(N2597,'Classificação'!A:A,'Classificação'!B:B),"")</f>
        <v>COMPRA DE MERCADORIA</v>
      </c>
      <c r="R2597" s="15" t="str">
        <f t="array" ref="R2597">IFERROR(XLOOKUP(Q2597,'Classificação'!B:B,'Classificação'!C:C),"")</f>
        <v>CUSTOS VARIÁVEIS</v>
      </c>
      <c r="S2597" s="15">
        <f t="shared" si="131"/>
        <v>23</v>
      </c>
      <c r="T2597" s="15">
        <f t="shared" si="128"/>
        <v>3</v>
      </c>
      <c r="U2597" s="15">
        <f t="shared" si="129"/>
        <v>2026</v>
      </c>
      <c r="V2597" s="15" t="str">
        <f t="shared" si="8"/>
        <v/>
      </c>
      <c r="W2597" s="15" t="str">
        <f t="shared" si="9"/>
        <v/>
      </c>
      <c r="X2597" s="15" t="str">
        <f t="shared" si="10"/>
        <v/>
      </c>
    </row>
    <row r="2598">
      <c r="A2598" s="9">
        <v>46104.0</v>
      </c>
      <c r="B2598" s="10"/>
      <c r="C2598" s="9">
        <f t="shared" si="192"/>
        <v>46104</v>
      </c>
      <c r="D2598" s="29" t="s">
        <v>177</v>
      </c>
      <c r="E2598" s="29" t="s">
        <v>25</v>
      </c>
      <c r="F2598" s="29" t="s">
        <v>40</v>
      </c>
      <c r="G2598" s="29" t="s">
        <v>37</v>
      </c>
      <c r="H2598" s="29" t="s">
        <v>1218</v>
      </c>
      <c r="I2598" s="24">
        <v>158.5</v>
      </c>
      <c r="J2598" s="13"/>
      <c r="K2598" s="13">
        <f t="shared" si="195"/>
        <v>158.5</v>
      </c>
      <c r="L2598" s="11" t="s">
        <v>53</v>
      </c>
      <c r="M2598" s="17">
        <v>45842.0</v>
      </c>
      <c r="N2598" s="11" t="s">
        <v>178</v>
      </c>
      <c r="O2598" s="10" t="str">
        <f t="shared" si="79"/>
        <v>03/2026</v>
      </c>
      <c r="P2598" s="10" t="str">
        <f t="shared" si="181"/>
        <v>03/2026</v>
      </c>
      <c r="Q2598" s="15" t="str">
        <f t="array" ref="Q2598">IFERROR(XLOOKUP(N2598,'Classificação'!A:A,'Classificação'!B:B),"")</f>
        <v>DESPESAS COM OCUPAÇÃO</v>
      </c>
      <c r="R2598" s="15" t="str">
        <f t="array" ref="R2598">IFERROR(XLOOKUP(Q2598,'Classificação'!B:B,'Classificação'!C:C),"")</f>
        <v>DESPESAS FIXAS (-)</v>
      </c>
      <c r="S2598" s="15">
        <f t="shared" si="131"/>
        <v>23</v>
      </c>
      <c r="T2598" s="15">
        <f t="shared" si="128"/>
        <v>3</v>
      </c>
      <c r="U2598" s="15">
        <f t="shared" si="129"/>
        <v>2026</v>
      </c>
      <c r="V2598" s="15">
        <f t="shared" si="8"/>
        <v>23</v>
      </c>
      <c r="W2598" s="15">
        <f t="shared" si="9"/>
        <v>3</v>
      </c>
      <c r="X2598" s="15">
        <f t="shared" si="10"/>
        <v>2026</v>
      </c>
    </row>
    <row r="2599">
      <c r="A2599" s="9">
        <v>46104.0</v>
      </c>
      <c r="B2599" s="10"/>
      <c r="C2599" s="9">
        <f t="shared" si="192"/>
        <v>46104</v>
      </c>
      <c r="D2599" s="11" t="s">
        <v>86</v>
      </c>
      <c r="E2599" s="29" t="s">
        <v>25</v>
      </c>
      <c r="F2599" s="11" t="s">
        <v>26</v>
      </c>
      <c r="G2599" s="11" t="s">
        <v>37</v>
      </c>
      <c r="H2599" s="11" t="s">
        <v>1303</v>
      </c>
      <c r="I2599" s="31">
        <v>325.0</v>
      </c>
      <c r="J2599" s="13"/>
      <c r="K2599" s="13">
        <f t="shared" si="195"/>
        <v>325</v>
      </c>
      <c r="L2599" s="11" t="s">
        <v>34</v>
      </c>
      <c r="M2599" s="14"/>
      <c r="N2599" s="11" t="s">
        <v>35</v>
      </c>
      <c r="O2599" s="10" t="str">
        <f t="shared" si="79"/>
        <v>03/2026</v>
      </c>
      <c r="P2599" s="10" t="str">
        <f t="shared" si="181"/>
        <v>03/2026</v>
      </c>
      <c r="Q2599" s="15" t="str">
        <f t="array" ref="Q2599">IFERROR(XLOOKUP(N2599,'Classificação'!A:A,'Classificação'!B:B),"")</f>
        <v>COMPRA DE MERCADORIA</v>
      </c>
      <c r="S2599" s="15">
        <f t="shared" si="131"/>
        <v>23</v>
      </c>
      <c r="T2599" s="15">
        <f t="shared" si="128"/>
        <v>3</v>
      </c>
      <c r="U2599" s="15">
        <f t="shared" si="129"/>
        <v>2026</v>
      </c>
      <c r="V2599" s="15">
        <f t="shared" si="8"/>
        <v>23</v>
      </c>
      <c r="W2599" s="15">
        <f t="shared" si="9"/>
        <v>3</v>
      </c>
      <c r="X2599" s="15">
        <f t="shared" si="10"/>
        <v>2026</v>
      </c>
    </row>
    <row r="2600">
      <c r="A2600" s="26">
        <v>46104.0</v>
      </c>
      <c r="B2600" s="28"/>
      <c r="C2600" s="52">
        <f t="shared" si="192"/>
        <v>46104</v>
      </c>
      <c r="D2600" s="28" t="s">
        <v>36</v>
      </c>
      <c r="E2600" s="29" t="s">
        <v>25</v>
      </c>
      <c r="F2600" s="28" t="s">
        <v>26</v>
      </c>
      <c r="G2600" s="29" t="s">
        <v>37</v>
      </c>
      <c r="H2600" s="28"/>
      <c r="I2600" s="24">
        <v>5150.0</v>
      </c>
      <c r="J2600" s="34"/>
      <c r="K2600" s="34">
        <f t="shared" ref="K2600:K2601" si="196">IF(E2600="pago",(I2600-J2600),"")</f>
        <v>5150</v>
      </c>
      <c r="L2600" s="28" t="s">
        <v>29</v>
      </c>
      <c r="M2600" s="28"/>
      <c r="N2600" s="28" t="s">
        <v>38</v>
      </c>
      <c r="O2600" s="10" t="str">
        <f t="shared" si="79"/>
        <v>03/2026</v>
      </c>
      <c r="P2600" s="10" t="str">
        <f t="shared" si="181"/>
        <v>03/2026</v>
      </c>
      <c r="Q2600" s="15" t="str">
        <f t="array" ref="Q2600">IFERROR(XLOOKUP(N2600,'Classificação'!A:A,'Classificação'!B:B),"")</f>
        <v>DESPESAS COM PESSOAL</v>
      </c>
      <c r="R2600" s="15" t="str">
        <f t="array" ref="R2600">IFERROR(XLOOKUP(Q2600,'Classificação'!B:B,'Classificação'!C:C),"")</f>
        <v>DESPESAS FIXAS (-)</v>
      </c>
      <c r="S2600" s="15">
        <f t="shared" si="131"/>
        <v>23</v>
      </c>
      <c r="T2600" s="15">
        <f t="shared" si="128"/>
        <v>3</v>
      </c>
      <c r="U2600" s="15">
        <f t="shared" si="129"/>
        <v>2026</v>
      </c>
      <c r="V2600" s="15">
        <f t="shared" si="8"/>
        <v>23</v>
      </c>
      <c r="W2600" s="15">
        <f t="shared" si="9"/>
        <v>3</v>
      </c>
      <c r="X2600" s="15">
        <f t="shared" si="10"/>
        <v>2026</v>
      </c>
    </row>
    <row r="2601">
      <c r="A2601" s="26">
        <v>46104.0</v>
      </c>
      <c r="B2601" s="28"/>
      <c r="C2601" s="52">
        <f t="shared" si="192"/>
        <v>46104</v>
      </c>
      <c r="D2601" s="28" t="s">
        <v>43</v>
      </c>
      <c r="E2601" s="29" t="s">
        <v>25</v>
      </c>
      <c r="F2601" s="28" t="s">
        <v>26</v>
      </c>
      <c r="G2601" s="29" t="s">
        <v>37</v>
      </c>
      <c r="H2601" s="28"/>
      <c r="I2601" s="24">
        <v>5150.0</v>
      </c>
      <c r="J2601" s="34"/>
      <c r="K2601" s="34">
        <f t="shared" si="196"/>
        <v>5150</v>
      </c>
      <c r="L2601" s="28" t="s">
        <v>29</v>
      </c>
      <c r="M2601" s="28"/>
      <c r="N2601" s="28" t="s">
        <v>38</v>
      </c>
      <c r="O2601" s="10" t="str">
        <f t="shared" si="79"/>
        <v>03/2026</v>
      </c>
      <c r="P2601" s="10" t="str">
        <f t="shared" si="181"/>
        <v>03/2026</v>
      </c>
      <c r="Q2601" s="15" t="str">
        <f t="array" ref="Q2601">IFERROR(XLOOKUP(N2601,'Classificação'!A:A,'Classificação'!B:B),"")</f>
        <v>DESPESAS COM PESSOAL</v>
      </c>
      <c r="R2601" s="15" t="str">
        <f t="array" ref="R2601">IFERROR(XLOOKUP(Q2601,'Classificação'!B:B,'Classificação'!C:C),"")</f>
        <v>DESPESAS FIXAS (-)</v>
      </c>
      <c r="S2601" s="15">
        <f t="shared" si="131"/>
        <v>23</v>
      </c>
      <c r="T2601" s="15">
        <f t="shared" si="128"/>
        <v>3</v>
      </c>
      <c r="U2601" s="15">
        <f t="shared" si="129"/>
        <v>2026</v>
      </c>
      <c r="V2601" s="15">
        <f t="shared" si="8"/>
        <v>23</v>
      </c>
      <c r="W2601" s="15">
        <f t="shared" si="9"/>
        <v>3</v>
      </c>
      <c r="X2601" s="15">
        <f t="shared" si="10"/>
        <v>2026</v>
      </c>
    </row>
    <row r="2602">
      <c r="A2602" s="9">
        <v>46104.0</v>
      </c>
      <c r="B2602" s="10"/>
      <c r="C2602" s="9">
        <f t="shared" si="192"/>
        <v>46104</v>
      </c>
      <c r="D2602" s="29" t="s">
        <v>570</v>
      </c>
      <c r="E2602" s="29" t="s">
        <v>25</v>
      </c>
      <c r="F2602" s="29" t="s">
        <v>26</v>
      </c>
      <c r="G2602" s="29" t="s">
        <v>37</v>
      </c>
      <c r="H2602" s="29" t="s">
        <v>1304</v>
      </c>
      <c r="I2602" s="24">
        <v>993.83</v>
      </c>
      <c r="J2602" s="13"/>
      <c r="K2602" s="13">
        <f>if(E2602="pago",(I2602-J2602),"")</f>
        <v>993.83</v>
      </c>
      <c r="L2602" s="29" t="s">
        <v>34</v>
      </c>
      <c r="M2602" s="16"/>
      <c r="N2602" s="29" t="s">
        <v>120</v>
      </c>
      <c r="O2602" s="10" t="str">
        <f t="shared" si="79"/>
        <v>03/2026</v>
      </c>
      <c r="P2602" s="10" t="str">
        <f t="shared" si="181"/>
        <v>03/2026</v>
      </c>
      <c r="Q2602" s="15" t="str">
        <f t="array" ref="Q2602">IFERROR(XLOOKUP(N2602,'Classificação'!A:A,'Classificação'!B:B),"")</f>
        <v>DESPESAS ADMINISTRATIVAS</v>
      </c>
      <c r="R2602" s="15" t="str">
        <f t="array" ref="R2602">IFERROR(XLOOKUP(Q2602,'Classificação'!B:B,'Classificação'!C:C),"")</f>
        <v>DESPESAS FIXAS (-)</v>
      </c>
      <c r="S2602" s="15">
        <f t="shared" si="131"/>
        <v>23</v>
      </c>
      <c r="T2602" s="15">
        <f t="shared" si="128"/>
        <v>3</v>
      </c>
      <c r="U2602" s="15">
        <f t="shared" si="129"/>
        <v>2026</v>
      </c>
      <c r="V2602" s="15">
        <f t="shared" si="8"/>
        <v>23</v>
      </c>
      <c r="W2602" s="15">
        <f t="shared" si="9"/>
        <v>3</v>
      </c>
      <c r="X2602" s="15">
        <f t="shared" si="10"/>
        <v>2026</v>
      </c>
    </row>
    <row r="2603">
      <c r="A2603" s="9">
        <v>46104.0</v>
      </c>
      <c r="B2603" s="28"/>
      <c r="C2603" s="27">
        <f t="shared" si="192"/>
        <v>46104</v>
      </c>
      <c r="D2603" s="28" t="s">
        <v>828</v>
      </c>
      <c r="E2603" s="29" t="s">
        <v>25</v>
      </c>
      <c r="F2603" s="28" t="s">
        <v>26</v>
      </c>
      <c r="G2603" s="28" t="s">
        <v>37</v>
      </c>
      <c r="H2603" s="28" t="s">
        <v>1220</v>
      </c>
      <c r="I2603" s="33">
        <v>107.81</v>
      </c>
      <c r="J2603" s="34"/>
      <c r="K2603" s="37">
        <f>IF(E2603="pago",(I2603-J2603),"")</f>
        <v>107.81</v>
      </c>
      <c r="L2603" s="28" t="s">
        <v>34</v>
      </c>
      <c r="M2603" s="28"/>
      <c r="N2603" s="28" t="s">
        <v>105</v>
      </c>
      <c r="O2603" s="10" t="str">
        <f t="shared" si="79"/>
        <v>03/2026</v>
      </c>
      <c r="P2603" s="10" t="str">
        <f t="shared" si="181"/>
        <v>03/2026</v>
      </c>
      <c r="Q2603" s="15" t="str">
        <f t="array" ref="Q2603">IFERROR(XLOOKUP(N2603,'Classificação'!A:A,'Classificação'!B:B),"")</f>
        <v>DESPESAS ADMINISTRATIVAS</v>
      </c>
      <c r="R2603" s="15" t="str">
        <f t="array" ref="R2603">IFERROR(XLOOKUP(Q2603,'Classificação'!B:B,'Classificação'!C:C),"")</f>
        <v>DESPESAS FIXAS (-)</v>
      </c>
      <c r="S2603" s="15">
        <f t="shared" si="131"/>
        <v>23</v>
      </c>
      <c r="T2603" s="15">
        <f t="shared" si="128"/>
        <v>3</v>
      </c>
      <c r="U2603" s="15">
        <f t="shared" si="129"/>
        <v>2026</v>
      </c>
      <c r="V2603" s="15">
        <f t="shared" si="8"/>
        <v>23</v>
      </c>
      <c r="W2603" s="15">
        <f t="shared" si="9"/>
        <v>3</v>
      </c>
      <c r="X2603" s="15">
        <f t="shared" si="10"/>
        <v>2026</v>
      </c>
    </row>
    <row r="2604">
      <c r="A2604" s="9">
        <v>46104.0</v>
      </c>
      <c r="B2604" s="10"/>
      <c r="C2604" s="9">
        <f t="shared" si="192"/>
        <v>46104</v>
      </c>
      <c r="D2604" s="11" t="s">
        <v>558</v>
      </c>
      <c r="E2604" s="29" t="s">
        <v>25</v>
      </c>
      <c r="F2604" s="28" t="s">
        <v>26</v>
      </c>
      <c r="G2604" s="28" t="s">
        <v>37</v>
      </c>
      <c r="H2604" s="11" t="s">
        <v>1089</v>
      </c>
      <c r="I2604" s="31">
        <v>275.19</v>
      </c>
      <c r="J2604" s="13"/>
      <c r="K2604" s="13">
        <f>if(E2604="pago",(I2604-J2604),"")</f>
        <v>275.19</v>
      </c>
      <c r="L2604" s="28" t="s">
        <v>34</v>
      </c>
      <c r="M2604" s="14"/>
      <c r="N2604" s="28" t="s">
        <v>105</v>
      </c>
      <c r="O2604" s="10" t="str">
        <f t="shared" si="79"/>
        <v>03/2026</v>
      </c>
      <c r="P2604" s="10" t="str">
        <f t="shared" si="181"/>
        <v>03/2026</v>
      </c>
      <c r="Q2604" s="15" t="str">
        <f t="array" ref="Q2604">IFERROR(XLOOKUP(N2604,'Classificação'!A:A,'Classificação'!B:B),"")</f>
        <v>DESPESAS ADMINISTRATIVAS</v>
      </c>
      <c r="R2604" s="15" t="str">
        <f t="array" ref="R2604">IFERROR(XLOOKUP(Q2604,'Classificação'!B:B,'Classificação'!C:C),"")</f>
        <v>DESPESAS FIXAS (-)</v>
      </c>
      <c r="S2604" s="15">
        <f t="shared" si="131"/>
        <v>23</v>
      </c>
      <c r="T2604" s="15">
        <f t="shared" si="128"/>
        <v>3</v>
      </c>
      <c r="U2604" s="15">
        <f t="shared" si="129"/>
        <v>2026</v>
      </c>
      <c r="V2604" s="15">
        <f t="shared" si="8"/>
        <v>23</v>
      </c>
      <c r="W2604" s="15">
        <f t="shared" si="9"/>
        <v>3</v>
      </c>
      <c r="X2604" s="15">
        <f t="shared" si="10"/>
        <v>2026</v>
      </c>
    </row>
    <row r="2605">
      <c r="A2605" s="9">
        <v>46105.0</v>
      </c>
      <c r="B2605" s="10"/>
      <c r="C2605" s="9" t="str">
        <f t="shared" si="192"/>
        <v/>
      </c>
      <c r="D2605" s="11" t="s">
        <v>782</v>
      </c>
      <c r="E2605" s="28" t="s">
        <v>1305</v>
      </c>
      <c r="F2605" s="28" t="s">
        <v>26</v>
      </c>
      <c r="G2605" s="29" t="s">
        <v>37</v>
      </c>
      <c r="H2605" s="11" t="s">
        <v>1306</v>
      </c>
      <c r="I2605" s="31">
        <v>5080.0</v>
      </c>
      <c r="J2605" s="13"/>
      <c r="K2605" s="13"/>
      <c r="L2605" s="28" t="s">
        <v>34</v>
      </c>
      <c r="M2605" s="14"/>
      <c r="N2605" s="28" t="s">
        <v>35</v>
      </c>
      <c r="O2605" s="10" t="str">
        <f t="shared" si="79"/>
        <v>03/2026</v>
      </c>
      <c r="P2605" s="10" t="str">
        <f t="shared" si="181"/>
        <v/>
      </c>
      <c r="Q2605" s="15" t="str">
        <f t="array" ref="Q2605">IFERROR(XLOOKUP(N2605,'Classificação'!A:A,'Classificação'!B:B),"")</f>
        <v>COMPRA DE MERCADORIA</v>
      </c>
      <c r="R2605" s="15" t="str">
        <f t="array" ref="R2605">IFERROR(XLOOKUP(Q2605,'Classificação'!B:B,'Classificação'!C:C),"")</f>
        <v>CUSTOS VARIÁVEIS</v>
      </c>
      <c r="S2605" s="15">
        <f t="shared" si="131"/>
        <v>24</v>
      </c>
      <c r="T2605" s="15">
        <f t="shared" si="128"/>
        <v>3</v>
      </c>
      <c r="U2605" s="15">
        <f t="shared" si="129"/>
        <v>2026</v>
      </c>
      <c r="V2605" s="15" t="str">
        <f t="shared" si="8"/>
        <v/>
      </c>
      <c r="W2605" s="15" t="str">
        <f t="shared" si="9"/>
        <v/>
      </c>
      <c r="X2605" s="15" t="str">
        <f t="shared" si="10"/>
        <v/>
      </c>
    </row>
    <row r="2606">
      <c r="A2606" s="9">
        <v>46105.0</v>
      </c>
      <c r="B2606" s="10"/>
      <c r="C2606" s="9" t="str">
        <f t="shared" si="192"/>
        <v/>
      </c>
      <c r="D2606" s="28" t="s">
        <v>39</v>
      </c>
      <c r="E2606" s="29" t="s">
        <v>1301</v>
      </c>
      <c r="F2606" s="28" t="s">
        <v>40</v>
      </c>
      <c r="G2606" s="28" t="s">
        <v>37</v>
      </c>
      <c r="H2606" s="28" t="s">
        <v>640</v>
      </c>
      <c r="I2606" s="24">
        <v>148.07</v>
      </c>
      <c r="J2606" s="34"/>
      <c r="K2606" s="37" t="str">
        <f>IF(E2606="pago",(I2606-J2606),"")</f>
        <v/>
      </c>
      <c r="L2606" s="28" t="s">
        <v>53</v>
      </c>
      <c r="M2606" s="40">
        <v>45931.0</v>
      </c>
      <c r="N2606" s="28" t="s">
        <v>355</v>
      </c>
      <c r="O2606" s="10" t="str">
        <f t="shared" si="79"/>
        <v>03/2026</v>
      </c>
      <c r="P2606" s="10" t="str">
        <f t="shared" si="181"/>
        <v/>
      </c>
      <c r="Q2606" s="15" t="str">
        <f t="array" ref="Q2606">IFERROR(XLOOKUP(N2606,'Classificação'!A:A,'Classificação'!B:B),"")</f>
        <v>IMPOSTOS E TAXAS DIVERSAS</v>
      </c>
      <c r="R2606" s="15" t="str">
        <f t="array" ref="R2606">IFERROR(XLOOKUP(Q2606,'Classificação'!B:B,'Classificação'!C:C),"")</f>
        <v>DESPESAS FIXAS (-)</v>
      </c>
      <c r="S2606" s="15">
        <f t="shared" si="131"/>
        <v>24</v>
      </c>
      <c r="T2606" s="15">
        <f t="shared" si="128"/>
        <v>3</v>
      </c>
      <c r="U2606" s="15">
        <f t="shared" si="129"/>
        <v>2026</v>
      </c>
      <c r="V2606" s="15" t="str">
        <f t="shared" si="8"/>
        <v/>
      </c>
      <c r="W2606" s="15" t="str">
        <f t="shared" si="9"/>
        <v/>
      </c>
      <c r="X2606" s="15" t="str">
        <f t="shared" si="10"/>
        <v/>
      </c>
    </row>
    <row r="2607">
      <c r="A2607" s="9">
        <v>46106.0</v>
      </c>
      <c r="B2607" s="10"/>
      <c r="C2607" s="9" t="str">
        <f t="shared" si="192"/>
        <v/>
      </c>
      <c r="D2607" s="11" t="s">
        <v>782</v>
      </c>
      <c r="E2607" s="28" t="s">
        <v>1305</v>
      </c>
      <c r="F2607" s="11" t="s">
        <v>26</v>
      </c>
      <c r="G2607" s="11" t="s">
        <v>37</v>
      </c>
      <c r="H2607" s="11" t="s">
        <v>1307</v>
      </c>
      <c r="I2607" s="31">
        <v>12900.0</v>
      </c>
      <c r="J2607" s="13"/>
      <c r="K2607" s="13" t="str">
        <f>if(E2607="pago",(I2607-J2607),"")</f>
        <v/>
      </c>
      <c r="L2607" s="11" t="s">
        <v>34</v>
      </c>
      <c r="M2607" s="14"/>
      <c r="N2607" s="11" t="s">
        <v>35</v>
      </c>
      <c r="O2607" s="10" t="str">
        <f t="shared" si="79"/>
        <v>03/2026</v>
      </c>
      <c r="P2607" s="10" t="str">
        <f t="shared" si="181"/>
        <v/>
      </c>
      <c r="Q2607" s="15" t="str">
        <f t="array" ref="Q2607">IFERROR(XLOOKUP(N2607,'Classificação'!A:A,'Classificação'!B:B),"")</f>
        <v>COMPRA DE MERCADORIA</v>
      </c>
      <c r="R2607" s="15" t="str">
        <f t="array" ref="R2607">IFERROR(XLOOKUP(Q2607,'Classificação'!B:B,'Classificação'!C:C),"")</f>
        <v>CUSTOS VARIÁVEIS</v>
      </c>
      <c r="S2607" s="15">
        <f t="shared" si="131"/>
        <v>25</v>
      </c>
      <c r="T2607" s="15">
        <f t="shared" si="128"/>
        <v>3</v>
      </c>
      <c r="U2607" s="15">
        <f t="shared" si="129"/>
        <v>2026</v>
      </c>
      <c r="V2607" s="15" t="str">
        <f t="shared" si="8"/>
        <v/>
      </c>
      <c r="W2607" s="15" t="str">
        <f t="shared" si="9"/>
        <v/>
      </c>
      <c r="X2607" s="15" t="str">
        <f t="shared" si="10"/>
        <v/>
      </c>
    </row>
    <row r="2608">
      <c r="A2608" s="26">
        <v>46106.0</v>
      </c>
      <c r="B2608" s="28"/>
      <c r="C2608" s="27" t="str">
        <f t="shared" si="192"/>
        <v/>
      </c>
      <c r="D2608" s="28" t="s">
        <v>44</v>
      </c>
      <c r="E2608" s="29" t="s">
        <v>1301</v>
      </c>
      <c r="F2608" s="28" t="s">
        <v>45</v>
      </c>
      <c r="G2608" s="28" t="s">
        <v>27</v>
      </c>
      <c r="H2608" s="28" t="s">
        <v>1308</v>
      </c>
      <c r="I2608" s="37">
        <v>125.0</v>
      </c>
      <c r="J2608" s="34"/>
      <c r="K2608" s="34" t="str">
        <f t="shared" ref="K2608:K2610" si="197">IF(E2608="pago",(I2608-J2608),"")</f>
        <v/>
      </c>
      <c r="L2608" s="28" t="s">
        <v>29</v>
      </c>
      <c r="M2608" s="28"/>
      <c r="N2608" s="28" t="s">
        <v>47</v>
      </c>
      <c r="O2608" s="10" t="str">
        <f t="shared" si="79"/>
        <v>03/2026</v>
      </c>
      <c r="P2608" s="10" t="str">
        <f>if(B2608="","", TEXT(B2608,"mm/yyyy"))</f>
        <v/>
      </c>
      <c r="Q2608" s="15" t="str">
        <f t="array" ref="Q2608">IFERROR(XLOOKUP(N2608,'Classificação'!A:A,'Classificação'!B:B),"")</f>
        <v>DESPESAS NÃO OPERACIONAIS</v>
      </c>
      <c r="R2608" s="15" t="str">
        <f t="array" ref="R2608">IFERROR(XLOOKUP(Q2608,'Classificação'!B:B,'Classificação'!C:C),"")</f>
        <v>RESULTADO NÃO OPERACIONAL (+/-)</v>
      </c>
      <c r="S2608" s="15">
        <f t="shared" si="131"/>
        <v>25</v>
      </c>
      <c r="T2608" s="15">
        <f t="shared" si="128"/>
        <v>3</v>
      </c>
      <c r="U2608" s="15">
        <f t="shared" si="129"/>
        <v>2026</v>
      </c>
      <c r="V2608" s="15" t="str">
        <f t="shared" si="8"/>
        <v/>
      </c>
      <c r="W2608" s="15" t="str">
        <f t="shared" si="9"/>
        <v/>
      </c>
      <c r="X2608" s="15" t="str">
        <f t="shared" si="10"/>
        <v/>
      </c>
    </row>
    <row r="2609">
      <c r="A2609" s="26">
        <v>46106.0</v>
      </c>
      <c r="B2609" s="26">
        <v>45744.0</v>
      </c>
      <c r="C2609" s="27" t="str">
        <f t="shared" si="192"/>
        <v/>
      </c>
      <c r="D2609" s="11" t="s">
        <v>44</v>
      </c>
      <c r="E2609" s="11" t="s">
        <v>1305</v>
      </c>
      <c r="F2609" s="11" t="s">
        <v>45</v>
      </c>
      <c r="G2609" s="11" t="s">
        <v>27</v>
      </c>
      <c r="H2609" s="43" t="s">
        <v>1309</v>
      </c>
      <c r="I2609" s="24">
        <v>120000.0</v>
      </c>
      <c r="J2609" s="34"/>
      <c r="K2609" s="37" t="str">
        <f t="shared" si="197"/>
        <v/>
      </c>
      <c r="L2609" s="29" t="s">
        <v>34</v>
      </c>
      <c r="M2609" s="28"/>
      <c r="N2609" s="29" t="s">
        <v>35</v>
      </c>
      <c r="O2609" s="10" t="str">
        <f t="shared" si="79"/>
        <v>03/2026</v>
      </c>
      <c r="P2609" s="10" t="str">
        <f>if(C2609="","", TEXT(C2609,"mm/yyyy"))</f>
        <v/>
      </c>
      <c r="Q2609" s="15" t="str">
        <f t="array" ref="Q2609">IFERROR(XLOOKUP(N2609,'Classificação'!A:A,'Classificação'!B:B),"")</f>
        <v>COMPRA DE MERCADORIA</v>
      </c>
      <c r="R2609" s="15" t="str">
        <f t="array" ref="R2609">IFERROR(XLOOKUP(Q2609,'Classificação'!B:B,'Classificação'!C:C),"")</f>
        <v>CUSTOS VARIÁVEIS</v>
      </c>
      <c r="S2609" s="15">
        <f t="shared" si="131"/>
        <v>25</v>
      </c>
      <c r="T2609" s="15">
        <f t="shared" si="128"/>
        <v>3</v>
      </c>
      <c r="U2609" s="15">
        <f t="shared" si="129"/>
        <v>2026</v>
      </c>
      <c r="V2609" s="15" t="str">
        <f t="shared" si="8"/>
        <v/>
      </c>
      <c r="W2609" s="15" t="str">
        <f t="shared" si="9"/>
        <v/>
      </c>
      <c r="X2609" s="15" t="str">
        <f t="shared" si="10"/>
        <v/>
      </c>
    </row>
    <row r="2610">
      <c r="A2610" s="26">
        <v>46106.0</v>
      </c>
      <c r="B2610" s="28"/>
      <c r="C2610" s="27" t="str">
        <f t="shared" si="192"/>
        <v/>
      </c>
      <c r="D2610" s="28" t="s">
        <v>208</v>
      </c>
      <c r="E2610" s="29" t="s">
        <v>1301</v>
      </c>
      <c r="F2610" s="28" t="s">
        <v>40</v>
      </c>
      <c r="G2610" s="29" t="s">
        <v>37</v>
      </c>
      <c r="H2610" s="28" t="s">
        <v>209</v>
      </c>
      <c r="I2610" s="24">
        <v>284.94</v>
      </c>
      <c r="J2610" s="34"/>
      <c r="K2610" s="34" t="str">
        <f t="shared" si="197"/>
        <v/>
      </c>
      <c r="L2610" s="28" t="s">
        <v>29</v>
      </c>
      <c r="M2610" s="28"/>
      <c r="N2610" s="28" t="s">
        <v>210</v>
      </c>
      <c r="O2610" s="10" t="str">
        <f t="shared" si="79"/>
        <v>03/2026</v>
      </c>
      <c r="P2610" s="10" t="str">
        <f>if(B2610="","", TEXT(B2610,"mm/yyyy"))</f>
        <v/>
      </c>
      <c r="Q2610" s="15" t="str">
        <f t="array" ref="Q2610">IFERROR(XLOOKUP(N2610,'Classificação'!A:A,'Classificação'!B:B),"")</f>
        <v>DESPESAS COM OCUPAÇÃO</v>
      </c>
      <c r="R2610" s="15" t="str">
        <f t="array" ref="R2610">IFERROR(XLOOKUP(Q2610,'Classificação'!B:B,'Classificação'!C:C),"")</f>
        <v>DESPESAS FIXAS (-)</v>
      </c>
      <c r="S2610" s="15">
        <f t="shared" si="131"/>
        <v>25</v>
      </c>
      <c r="T2610" s="15">
        <f t="shared" si="128"/>
        <v>3</v>
      </c>
      <c r="U2610" s="15">
        <f t="shared" si="129"/>
        <v>2026</v>
      </c>
      <c r="V2610" s="15" t="str">
        <f t="shared" si="8"/>
        <v/>
      </c>
      <c r="W2610" s="15" t="str">
        <f t="shared" si="9"/>
        <v/>
      </c>
      <c r="X2610" s="15" t="str">
        <f t="shared" si="10"/>
        <v/>
      </c>
    </row>
    <row r="2611">
      <c r="A2611" s="9">
        <v>46107.0</v>
      </c>
      <c r="B2611" s="10"/>
      <c r="C2611" s="9" t="str">
        <f t="shared" si="192"/>
        <v/>
      </c>
      <c r="D2611" s="11" t="s">
        <v>782</v>
      </c>
      <c r="E2611" s="28" t="s">
        <v>1305</v>
      </c>
      <c r="F2611" s="11" t="s">
        <v>26</v>
      </c>
      <c r="G2611" s="11" t="s">
        <v>37</v>
      </c>
      <c r="H2611" s="11" t="s">
        <v>1310</v>
      </c>
      <c r="I2611" s="31">
        <v>9500.0</v>
      </c>
      <c r="J2611" s="13"/>
      <c r="K2611" s="13" t="str">
        <f t="shared" ref="K2611:K2612" si="198">if(E2611="pago",(I2611-J2611),"")</f>
        <v/>
      </c>
      <c r="L2611" s="11" t="s">
        <v>34</v>
      </c>
      <c r="M2611" s="14"/>
      <c r="N2611" s="11" t="s">
        <v>35</v>
      </c>
      <c r="O2611" s="10" t="str">
        <f t="shared" si="79"/>
        <v>03/2026</v>
      </c>
      <c r="P2611" s="10" t="str">
        <f t="shared" ref="P2611:P2612" si="199">if(C2611="","", TEXT(C2611,"mm/yyyy"))</f>
        <v/>
      </c>
      <c r="Q2611" s="15" t="str">
        <f t="array" ref="Q2611">IFERROR(XLOOKUP(N2611,'Classificação'!A:A,'Classificação'!B:B),"")</f>
        <v>COMPRA DE MERCADORIA</v>
      </c>
      <c r="R2611" s="15" t="str">
        <f t="array" ref="R2611">IFERROR(XLOOKUP(Q2611,'Classificação'!B:B,'Classificação'!C:C),"")</f>
        <v>CUSTOS VARIÁVEIS</v>
      </c>
      <c r="S2611" s="15">
        <f t="shared" si="131"/>
        <v>26</v>
      </c>
      <c r="T2611" s="15">
        <f t="shared" si="128"/>
        <v>3</v>
      </c>
      <c r="U2611" s="15">
        <f t="shared" si="129"/>
        <v>2026</v>
      </c>
      <c r="V2611" s="15" t="str">
        <f t="shared" si="8"/>
        <v/>
      </c>
      <c r="W2611" s="15" t="str">
        <f t="shared" si="9"/>
        <v/>
      </c>
      <c r="X2611" s="15" t="str">
        <f t="shared" si="10"/>
        <v/>
      </c>
    </row>
    <row r="2612">
      <c r="A2612" s="9">
        <v>46108.0</v>
      </c>
      <c r="B2612" s="10"/>
      <c r="C2612" s="9" t="str">
        <f t="shared" si="192"/>
        <v/>
      </c>
      <c r="D2612" s="11" t="s">
        <v>782</v>
      </c>
      <c r="E2612" s="28" t="s">
        <v>1305</v>
      </c>
      <c r="F2612" s="11" t="s">
        <v>26</v>
      </c>
      <c r="G2612" s="11" t="s">
        <v>37</v>
      </c>
      <c r="H2612" s="11" t="s">
        <v>1311</v>
      </c>
      <c r="I2612" s="31">
        <v>6000.0</v>
      </c>
      <c r="J2612" s="13"/>
      <c r="K2612" s="13" t="str">
        <f t="shared" si="198"/>
        <v/>
      </c>
      <c r="L2612" s="11" t="s">
        <v>34</v>
      </c>
      <c r="M2612" s="14"/>
      <c r="N2612" s="11" t="s">
        <v>35</v>
      </c>
      <c r="O2612" s="10" t="str">
        <f t="shared" si="79"/>
        <v>03/2026</v>
      </c>
      <c r="P2612" s="10" t="str">
        <f t="shared" si="199"/>
        <v/>
      </c>
      <c r="Q2612" s="15" t="str">
        <f t="array" ref="Q2612">IFERROR(XLOOKUP(N2612,'Classificação'!A:A,'Classificação'!B:B),"")</f>
        <v>COMPRA DE MERCADORIA</v>
      </c>
      <c r="S2612" s="15">
        <f t="shared" si="131"/>
        <v>27</v>
      </c>
      <c r="T2612" s="15">
        <f t="shared" si="128"/>
        <v>3</v>
      </c>
      <c r="U2612" s="15">
        <f t="shared" si="129"/>
        <v>2026</v>
      </c>
      <c r="V2612" s="15" t="str">
        <f t="shared" si="8"/>
        <v/>
      </c>
      <c r="W2612" s="15" t="str">
        <f t="shared" si="9"/>
        <v/>
      </c>
      <c r="X2612" s="15" t="str">
        <f t="shared" si="10"/>
        <v/>
      </c>
    </row>
    <row r="2613">
      <c r="A2613" s="26">
        <v>46111.0</v>
      </c>
      <c r="B2613" s="28"/>
      <c r="C2613" s="27" t="str">
        <f t="shared" si="192"/>
        <v/>
      </c>
      <c r="D2613" s="28" t="s">
        <v>221</v>
      </c>
      <c r="E2613" s="28" t="s">
        <v>1305</v>
      </c>
      <c r="F2613" s="28" t="s">
        <v>32</v>
      </c>
      <c r="G2613" s="28" t="s">
        <v>27</v>
      </c>
      <c r="H2613" s="28" t="s">
        <v>222</v>
      </c>
      <c r="I2613" s="24">
        <v>406.0</v>
      </c>
      <c r="J2613" s="34"/>
      <c r="K2613" s="34" t="str">
        <f t="shared" ref="K2613:K2617" si="200">IF(E2613="pago",(I2613-J2613),"")</f>
        <v/>
      </c>
      <c r="L2613" s="28" t="s">
        <v>29</v>
      </c>
      <c r="M2613" s="14"/>
      <c r="N2613" s="11" t="s">
        <v>61</v>
      </c>
      <c r="O2613" s="10" t="str">
        <f t="shared" si="79"/>
        <v>03/2026</v>
      </c>
      <c r="P2613" s="10" t="str">
        <f>if(B2613="","", TEXT(B2613,"mm/yyyy"))</f>
        <v/>
      </c>
      <c r="Q2613" s="15" t="str">
        <f t="array" ref="Q2613">IFERROR(XLOOKUP(N2613,'Classificação'!A:A,'Classificação'!B:B),"")</f>
        <v>DESPESAS ADMINISTRATIVAS</v>
      </c>
      <c r="R2613" s="15" t="str">
        <f t="array" ref="R2613">IFERROR(XLOOKUP(Q2613,'Classificação'!B:B,'Classificação'!C:C),"")</f>
        <v>DESPESAS FIXAS (-)</v>
      </c>
      <c r="S2613" s="15">
        <f t="shared" si="131"/>
        <v>30</v>
      </c>
      <c r="T2613" s="15">
        <f t="shared" si="128"/>
        <v>3</v>
      </c>
      <c r="U2613" s="15">
        <f t="shared" si="129"/>
        <v>2026</v>
      </c>
      <c r="V2613" s="15" t="str">
        <f t="shared" si="8"/>
        <v/>
      </c>
      <c r="W2613" s="15" t="str">
        <f t="shared" si="9"/>
        <v/>
      </c>
      <c r="X2613" s="15" t="str">
        <f t="shared" si="10"/>
        <v/>
      </c>
    </row>
    <row r="2614">
      <c r="A2614" s="26">
        <v>46111.0</v>
      </c>
      <c r="B2614" s="30"/>
      <c r="C2614" s="27" t="str">
        <f t="shared" si="192"/>
        <v/>
      </c>
      <c r="D2614" s="28" t="s">
        <v>80</v>
      </c>
      <c r="E2614" s="28" t="s">
        <v>1305</v>
      </c>
      <c r="F2614" s="28" t="s">
        <v>32</v>
      </c>
      <c r="G2614" s="28" t="s">
        <v>27</v>
      </c>
      <c r="H2614" s="29" t="s">
        <v>1150</v>
      </c>
      <c r="I2614" s="37">
        <v>1040.0</v>
      </c>
      <c r="J2614" s="34"/>
      <c r="K2614" s="34" t="str">
        <f t="shared" si="200"/>
        <v/>
      </c>
      <c r="L2614" s="28" t="s">
        <v>29</v>
      </c>
      <c r="M2614" s="28"/>
      <c r="N2614" s="28" t="s">
        <v>38</v>
      </c>
      <c r="O2614" s="10" t="str">
        <f t="shared" si="79"/>
        <v>03/2026</v>
      </c>
      <c r="P2614" s="10" t="str">
        <f t="shared" ref="P2614:P2618" si="201">if(C2614="","", TEXT(C2614,"mm/yyyy"))</f>
        <v/>
      </c>
      <c r="Q2614" s="15" t="str">
        <f t="array" ref="Q2614">IFERROR(XLOOKUP(N2614,'Classificação'!A:A,'Classificação'!B:B),"")</f>
        <v>DESPESAS COM PESSOAL</v>
      </c>
      <c r="R2614" s="15" t="str">
        <f t="array" ref="R2614">IFERROR(XLOOKUP(Q2614,'Classificação'!B:B,'Classificação'!C:C),"")</f>
        <v>DESPESAS FIXAS (-)</v>
      </c>
      <c r="S2614" s="15">
        <f t="shared" si="131"/>
        <v>30</v>
      </c>
      <c r="T2614" s="15">
        <f t="shared" si="128"/>
        <v>3</v>
      </c>
      <c r="U2614" s="15">
        <f t="shared" si="129"/>
        <v>2026</v>
      </c>
      <c r="V2614" s="15" t="str">
        <f t="shared" si="8"/>
        <v/>
      </c>
      <c r="W2614" s="15" t="str">
        <f t="shared" si="9"/>
        <v/>
      </c>
      <c r="X2614" s="15" t="str">
        <f t="shared" si="10"/>
        <v/>
      </c>
    </row>
    <row r="2615">
      <c r="A2615" s="26">
        <v>46111.0</v>
      </c>
      <c r="B2615" s="30"/>
      <c r="C2615" s="27" t="str">
        <f t="shared" si="192"/>
        <v/>
      </c>
      <c r="D2615" s="28" t="s">
        <v>80</v>
      </c>
      <c r="E2615" s="28" t="s">
        <v>1305</v>
      </c>
      <c r="F2615" s="28" t="s">
        <v>40</v>
      </c>
      <c r="G2615" s="28" t="s">
        <v>27</v>
      </c>
      <c r="H2615" s="29" t="s">
        <v>1100</v>
      </c>
      <c r="I2615" s="37">
        <v>550.0</v>
      </c>
      <c r="J2615" s="34"/>
      <c r="K2615" s="34" t="str">
        <f t="shared" si="200"/>
        <v/>
      </c>
      <c r="L2615" s="28" t="s">
        <v>29</v>
      </c>
      <c r="M2615" s="28"/>
      <c r="N2615" s="28" t="s">
        <v>204</v>
      </c>
      <c r="O2615" s="10" t="str">
        <f t="shared" si="79"/>
        <v>03/2026</v>
      </c>
      <c r="P2615" s="10" t="str">
        <f t="shared" si="201"/>
        <v/>
      </c>
      <c r="Q2615" s="15" t="str">
        <f t="array" ref="Q2615">IFERROR(XLOOKUP(N2615,'Classificação'!A:A,'Classificação'!B:B),"")</f>
        <v>DESPESAS COM PESSOAL</v>
      </c>
      <c r="R2615" s="15" t="str">
        <f t="array" ref="R2615">IFERROR(XLOOKUP(Q2615,'Classificação'!B:B,'Classificação'!C:C),"")</f>
        <v>DESPESAS FIXAS (-)</v>
      </c>
      <c r="S2615" s="15">
        <f t="shared" si="131"/>
        <v>30</v>
      </c>
      <c r="T2615" s="15">
        <f t="shared" si="128"/>
        <v>3</v>
      </c>
      <c r="U2615" s="15">
        <f t="shared" si="129"/>
        <v>2026</v>
      </c>
      <c r="V2615" s="15" t="str">
        <f t="shared" si="8"/>
        <v/>
      </c>
      <c r="W2615" s="15" t="str">
        <f t="shared" si="9"/>
        <v/>
      </c>
      <c r="X2615" s="15" t="str">
        <f t="shared" si="10"/>
        <v/>
      </c>
    </row>
    <row r="2616">
      <c r="A2616" s="26">
        <v>46111.0</v>
      </c>
      <c r="B2616" s="28"/>
      <c r="C2616" s="27" t="str">
        <f t="shared" si="192"/>
        <v/>
      </c>
      <c r="D2616" s="29" t="s">
        <v>1094</v>
      </c>
      <c r="E2616" s="28" t="s">
        <v>1305</v>
      </c>
      <c r="F2616" s="29" t="s">
        <v>26</v>
      </c>
      <c r="G2616" s="29" t="s">
        <v>37</v>
      </c>
      <c r="H2616" s="29" t="s">
        <v>1312</v>
      </c>
      <c r="I2616" s="24">
        <v>2380.0</v>
      </c>
      <c r="J2616" s="34"/>
      <c r="K2616" s="34" t="str">
        <f t="shared" si="200"/>
        <v/>
      </c>
      <c r="L2616" s="28" t="s">
        <v>29</v>
      </c>
      <c r="M2616" s="28"/>
      <c r="N2616" s="28" t="s">
        <v>38</v>
      </c>
      <c r="O2616" s="10" t="str">
        <f t="shared" si="79"/>
        <v>03/2026</v>
      </c>
      <c r="P2616" s="10" t="str">
        <f t="shared" si="201"/>
        <v/>
      </c>
      <c r="Q2616" s="15" t="str">
        <f t="array" ref="Q2616">IFERROR(XLOOKUP(N2616,'Classificação'!A:A,'Classificação'!B:B),"")</f>
        <v>DESPESAS COM PESSOAL</v>
      </c>
      <c r="R2616" s="15" t="str">
        <f t="array" ref="R2616">IFERROR(XLOOKUP(Q2616,'Classificação'!B:B,'Classificação'!C:C),"")</f>
        <v>DESPESAS FIXAS (-)</v>
      </c>
      <c r="S2616" s="15">
        <f t="shared" si="131"/>
        <v>30</v>
      </c>
      <c r="T2616" s="15">
        <f t="shared" si="128"/>
        <v>3</v>
      </c>
      <c r="U2616" s="15">
        <f t="shared" si="129"/>
        <v>2026</v>
      </c>
      <c r="V2616" s="15" t="str">
        <f t="shared" si="8"/>
        <v/>
      </c>
      <c r="W2616" s="15" t="str">
        <f t="shared" si="9"/>
        <v/>
      </c>
      <c r="X2616" s="15" t="str">
        <f t="shared" si="10"/>
        <v/>
      </c>
    </row>
    <row r="2617">
      <c r="A2617" s="26">
        <v>46111.0</v>
      </c>
      <c r="B2617" s="28"/>
      <c r="C2617" s="27" t="str">
        <f t="shared" si="192"/>
        <v/>
      </c>
      <c r="D2617" s="29" t="s">
        <v>1094</v>
      </c>
      <c r="E2617" s="28" t="s">
        <v>1305</v>
      </c>
      <c r="F2617" s="28" t="s">
        <v>40</v>
      </c>
      <c r="G2617" s="29" t="s">
        <v>37</v>
      </c>
      <c r="H2617" s="28" t="s">
        <v>1100</v>
      </c>
      <c r="I2617" s="37">
        <v>550.0</v>
      </c>
      <c r="J2617" s="34"/>
      <c r="K2617" s="34" t="str">
        <f t="shared" si="200"/>
        <v/>
      </c>
      <c r="L2617" s="28" t="s">
        <v>29</v>
      </c>
      <c r="M2617" s="28"/>
      <c r="N2617" s="28" t="s">
        <v>204</v>
      </c>
      <c r="O2617" s="10" t="str">
        <f t="shared" si="79"/>
        <v>03/2026</v>
      </c>
      <c r="P2617" s="10" t="str">
        <f t="shared" si="201"/>
        <v/>
      </c>
      <c r="Q2617" s="15" t="str">
        <f t="array" ref="Q2617">IFERROR(XLOOKUP(N2617,'Classificação'!A:A,'Classificação'!B:B),"")</f>
        <v>DESPESAS COM PESSOAL</v>
      </c>
      <c r="R2617" s="15" t="str">
        <f t="array" ref="R2617">IFERROR(XLOOKUP(Q2617,'Classificação'!B:B,'Classificação'!C:C),"")</f>
        <v>DESPESAS FIXAS (-)</v>
      </c>
      <c r="S2617" s="15">
        <f t="shared" si="131"/>
        <v>30</v>
      </c>
      <c r="T2617" s="15">
        <f t="shared" si="128"/>
        <v>3</v>
      </c>
      <c r="U2617" s="15">
        <f t="shared" si="129"/>
        <v>2026</v>
      </c>
      <c r="V2617" s="15" t="str">
        <f t="shared" si="8"/>
        <v/>
      </c>
      <c r="W2617" s="15" t="str">
        <f t="shared" si="9"/>
        <v/>
      </c>
      <c r="X2617" s="15" t="str">
        <f t="shared" si="10"/>
        <v/>
      </c>
    </row>
    <row r="2618">
      <c r="A2618" s="9">
        <v>46111.0</v>
      </c>
      <c r="B2618" s="10"/>
      <c r="C2618" s="9" t="str">
        <f t="shared" si="192"/>
        <v/>
      </c>
      <c r="D2618" s="11" t="s">
        <v>1229</v>
      </c>
      <c r="E2618" s="29" t="s">
        <v>1301</v>
      </c>
      <c r="F2618" s="11" t="s">
        <v>26</v>
      </c>
      <c r="G2618" s="11" t="s">
        <v>37</v>
      </c>
      <c r="H2618" s="11" t="s">
        <v>1230</v>
      </c>
      <c r="I2618" s="31">
        <v>1260.0</v>
      </c>
      <c r="J2618" s="13"/>
      <c r="K2618" s="13" t="str">
        <f>if(E2618="pago",(I2618-J2618),"")</f>
        <v/>
      </c>
      <c r="L2618" s="11" t="s">
        <v>29</v>
      </c>
      <c r="M2618" s="14"/>
      <c r="N2618" s="11" t="s">
        <v>58</v>
      </c>
      <c r="O2618" s="10" t="str">
        <f t="shared" si="79"/>
        <v>03/2026</v>
      </c>
      <c r="P2618" s="10" t="str">
        <f t="shared" si="201"/>
        <v/>
      </c>
      <c r="Q2618" s="15" t="str">
        <f t="array" ref="Q2618">IFERROR(XLOOKUP(N2618,'Classificação'!A:A,'Classificação'!B:B),"")</f>
        <v>DESPESAS ADMINISTRATIVAS</v>
      </c>
      <c r="R2618" s="15" t="str">
        <f t="array" ref="R2618">IFERROR(XLOOKUP(Q2618,'Classificação'!B:B,'Classificação'!C:C),"")</f>
        <v>DESPESAS FIXAS (-)</v>
      </c>
      <c r="S2618" s="15">
        <f t="shared" si="131"/>
        <v>30</v>
      </c>
      <c r="T2618" s="15">
        <f t="shared" si="128"/>
        <v>3</v>
      </c>
      <c r="U2618" s="15">
        <f t="shared" si="129"/>
        <v>2026</v>
      </c>
      <c r="V2618" s="15" t="str">
        <f t="shared" si="8"/>
        <v/>
      </c>
      <c r="W2618" s="15" t="str">
        <f t="shared" si="9"/>
        <v/>
      </c>
      <c r="X2618" s="15" t="str">
        <f t="shared" si="10"/>
        <v/>
      </c>
    </row>
    <row r="2619">
      <c r="A2619" s="26">
        <v>46112.0</v>
      </c>
      <c r="B2619" s="28"/>
      <c r="C2619" s="27" t="str">
        <f t="shared" si="192"/>
        <v/>
      </c>
      <c r="D2619" s="28" t="s">
        <v>223</v>
      </c>
      <c r="E2619" s="28" t="s">
        <v>1305</v>
      </c>
      <c r="F2619" s="28" t="s">
        <v>32</v>
      </c>
      <c r="G2619" s="29" t="s">
        <v>37</v>
      </c>
      <c r="H2619" s="29" t="s">
        <v>1231</v>
      </c>
      <c r="I2619" s="37">
        <v>100.0</v>
      </c>
      <c r="J2619" s="34"/>
      <c r="K2619" s="34" t="str">
        <f>IF(E2619="pago",(I2619-J2619),"")</f>
        <v/>
      </c>
      <c r="L2619" s="28" t="s">
        <v>29</v>
      </c>
      <c r="M2619" s="28"/>
      <c r="N2619" s="28" t="s">
        <v>224</v>
      </c>
      <c r="O2619" s="10" t="str">
        <f t="shared" si="79"/>
        <v>03/2026</v>
      </c>
      <c r="P2619" s="10" t="str">
        <f>if(B2619="","", TEXT(B2619,"mm/yyyy"))</f>
        <v/>
      </c>
      <c r="Q2619" s="15" t="str">
        <f t="array" ref="Q2619">IFERROR(XLOOKUP(N2619,'Classificação'!A:A,'Classificação'!B:B),"")</f>
        <v>DESPESAS ADMINISTRATIVAS</v>
      </c>
      <c r="R2619" s="15" t="str">
        <f t="array" ref="R2619">IFERROR(XLOOKUP(Q2619,'Classificação'!B:B,'Classificação'!C:C),"")</f>
        <v>DESPESAS FIXAS (-)</v>
      </c>
      <c r="S2619" s="15">
        <f t="shared" si="131"/>
        <v>31</v>
      </c>
      <c r="T2619" s="15">
        <f t="shared" si="128"/>
        <v>3</v>
      </c>
      <c r="U2619" s="15">
        <f t="shared" si="129"/>
        <v>2026</v>
      </c>
      <c r="V2619" s="15" t="str">
        <f t="shared" si="8"/>
        <v/>
      </c>
      <c r="W2619" s="15" t="str">
        <f t="shared" si="9"/>
        <v/>
      </c>
      <c r="X2619" s="15" t="str">
        <f t="shared" si="10"/>
        <v/>
      </c>
    </row>
    <row r="2620">
      <c r="A2620" s="26">
        <v>46113.0</v>
      </c>
      <c r="B2620" s="10"/>
      <c r="C2620" s="9" t="str">
        <f t="shared" si="192"/>
        <v/>
      </c>
      <c r="D2620" s="28" t="s">
        <v>322</v>
      </c>
      <c r="E2620" s="28" t="s">
        <v>1305</v>
      </c>
      <c r="F2620" s="15" t="s">
        <v>40</v>
      </c>
      <c r="G2620" s="28" t="s">
        <v>37</v>
      </c>
      <c r="H2620" s="29" t="s">
        <v>778</v>
      </c>
      <c r="I2620" s="37">
        <v>46.2</v>
      </c>
      <c r="J2620" s="13"/>
      <c r="K2620" s="13" t="str">
        <f>if(E2620="pago",(I2620-J2620),"")</f>
        <v/>
      </c>
      <c r="L2620" s="15" t="s">
        <v>29</v>
      </c>
      <c r="M2620" s="14"/>
      <c r="N2620" s="28" t="s">
        <v>105</v>
      </c>
      <c r="O2620" s="10" t="str">
        <f t="shared" si="79"/>
        <v>04/2026</v>
      </c>
      <c r="P2620" s="10" t="str">
        <f t="shared" ref="P2620:P2623" si="202">if(C2620="","", TEXT(C2620,"mm/yyyy"))</f>
        <v/>
      </c>
      <c r="Q2620" s="15" t="str">
        <f t="array" ref="Q2620">IFERROR(XLOOKUP(N2620,'Classificação'!A:A,'Classificação'!B:B),"")</f>
        <v>DESPESAS ADMINISTRATIVAS</v>
      </c>
      <c r="R2620" s="15" t="str">
        <f t="array" ref="R2620">IFERROR(XLOOKUP(Q2620,'Classificação'!B:B,'Classificação'!C:C),"")</f>
        <v>DESPESAS FIXAS (-)</v>
      </c>
      <c r="S2620" s="15">
        <f t="shared" si="131"/>
        <v>1</v>
      </c>
      <c r="T2620" s="15">
        <f t="shared" si="128"/>
        <v>4</v>
      </c>
      <c r="U2620" s="15">
        <f t="shared" si="129"/>
        <v>2026</v>
      </c>
      <c r="V2620" s="15" t="str">
        <f t="shared" si="8"/>
        <v/>
      </c>
      <c r="W2620" s="15" t="str">
        <f t="shared" si="9"/>
        <v/>
      </c>
      <c r="X2620" s="15" t="str">
        <f t="shared" si="10"/>
        <v/>
      </c>
    </row>
    <row r="2621">
      <c r="A2621" s="9">
        <v>46113.0</v>
      </c>
      <c r="B2621" s="10"/>
      <c r="C2621" s="9" t="str">
        <f t="shared" si="192"/>
        <v/>
      </c>
      <c r="D2621" s="28" t="s">
        <v>24</v>
      </c>
      <c r="E2621" s="28" t="s">
        <v>1305</v>
      </c>
      <c r="F2621" s="28" t="s">
        <v>26</v>
      </c>
      <c r="G2621" s="28" t="s">
        <v>27</v>
      </c>
      <c r="H2621" s="28" t="s">
        <v>28</v>
      </c>
      <c r="I2621" s="24">
        <v>6656.0</v>
      </c>
      <c r="J2621" s="34"/>
      <c r="K2621" s="34" t="str">
        <f>IF(E2621="pago",(I2621-J2621),"")</f>
        <v/>
      </c>
      <c r="L2621" s="28" t="s">
        <v>29</v>
      </c>
      <c r="M2621" s="28"/>
      <c r="N2621" s="28" t="s">
        <v>30</v>
      </c>
      <c r="O2621" s="10" t="str">
        <f t="shared" si="79"/>
        <v>04/2026</v>
      </c>
      <c r="P2621" s="10" t="str">
        <f t="shared" si="202"/>
        <v/>
      </c>
      <c r="Q2621" s="15" t="str">
        <f t="array" ref="Q2621">IFERROR(XLOOKUP(N2621,'Classificação'!A:A,'Classificação'!B:B),"")</f>
        <v>DESPESAS COM OCUPAÇÃO</v>
      </c>
      <c r="R2621" s="15" t="str">
        <f t="array" ref="R2621">IFERROR(XLOOKUP(Q2621,'Classificação'!B:B,'Classificação'!C:C),"")</f>
        <v>DESPESAS FIXAS (-)</v>
      </c>
      <c r="S2621" s="15">
        <f t="shared" si="131"/>
        <v>1</v>
      </c>
      <c r="T2621" s="15">
        <f t="shared" si="128"/>
        <v>4</v>
      </c>
      <c r="U2621" s="15">
        <f t="shared" si="129"/>
        <v>2026</v>
      </c>
      <c r="V2621" s="15" t="str">
        <f t="shared" si="8"/>
        <v/>
      </c>
      <c r="W2621" s="15" t="str">
        <f t="shared" si="9"/>
        <v/>
      </c>
      <c r="X2621" s="15" t="str">
        <f t="shared" si="10"/>
        <v/>
      </c>
    </row>
    <row r="2622">
      <c r="A2622" s="9">
        <v>46113.0</v>
      </c>
      <c r="B2622" s="10"/>
      <c r="C2622" s="9" t="str">
        <f t="shared" si="192"/>
        <v/>
      </c>
      <c r="D2622" s="28" t="s">
        <v>288</v>
      </c>
      <c r="E2622" s="28" t="s">
        <v>1305</v>
      </c>
      <c r="F2622" s="28" t="s">
        <v>26</v>
      </c>
      <c r="G2622" s="28" t="s">
        <v>27</v>
      </c>
      <c r="H2622" s="29" t="s">
        <v>1313</v>
      </c>
      <c r="I2622" s="24">
        <v>248.18</v>
      </c>
      <c r="J2622" s="34"/>
      <c r="K2622" s="13" t="str">
        <f t="shared" ref="K2622:K2623" si="203">if(E2622="pago",(I2622-J2622),"")</f>
        <v/>
      </c>
      <c r="L2622" s="28" t="s">
        <v>29</v>
      </c>
      <c r="M2622" s="28"/>
      <c r="N2622" s="28" t="s">
        <v>105</v>
      </c>
      <c r="O2622" s="10" t="str">
        <f t="shared" si="79"/>
        <v>04/2026</v>
      </c>
      <c r="P2622" s="10" t="str">
        <f t="shared" si="202"/>
        <v/>
      </c>
      <c r="Q2622" s="15" t="str">
        <f t="array" ref="Q2622">IFERROR(XLOOKUP(N2622,'Classificação'!A:A,'Classificação'!B:B),"")</f>
        <v>DESPESAS ADMINISTRATIVAS</v>
      </c>
      <c r="R2622" s="15" t="str">
        <f t="array" ref="R2622">IFERROR(XLOOKUP(Q2622,'Classificação'!B:B,'Classificação'!C:C),"")</f>
        <v>DESPESAS FIXAS (-)</v>
      </c>
      <c r="S2622" s="15">
        <f t="shared" si="131"/>
        <v>1</v>
      </c>
      <c r="T2622" s="15">
        <f t="shared" si="128"/>
        <v>4</v>
      </c>
      <c r="U2622" s="15">
        <f t="shared" si="129"/>
        <v>2026</v>
      </c>
      <c r="V2622" s="15" t="str">
        <f t="shared" si="8"/>
        <v/>
      </c>
      <c r="W2622" s="15" t="str">
        <f t="shared" si="9"/>
        <v/>
      </c>
      <c r="X2622" s="15" t="str">
        <f t="shared" si="10"/>
        <v/>
      </c>
    </row>
    <row r="2623">
      <c r="A2623" s="9">
        <v>46115.0</v>
      </c>
      <c r="B2623" s="10"/>
      <c r="C2623" s="9" t="str">
        <f t="shared" si="192"/>
        <v/>
      </c>
      <c r="D2623" s="11" t="s">
        <v>44</v>
      </c>
      <c r="E2623" s="11" t="s">
        <v>1305</v>
      </c>
      <c r="F2623" s="11" t="s">
        <v>45</v>
      </c>
      <c r="G2623" s="11" t="s">
        <v>27</v>
      </c>
      <c r="H2623" s="11" t="s">
        <v>651</v>
      </c>
      <c r="I2623" s="13">
        <v>2945.214</v>
      </c>
      <c r="J2623" s="13"/>
      <c r="K2623" s="13" t="str">
        <f t="shared" si="203"/>
        <v/>
      </c>
      <c r="L2623" s="11" t="s">
        <v>53</v>
      </c>
      <c r="M2623" s="16" t="s">
        <v>1314</v>
      </c>
      <c r="N2623" s="11" t="s">
        <v>73</v>
      </c>
      <c r="O2623" s="10" t="str">
        <f t="shared" si="79"/>
        <v>04/2026</v>
      </c>
      <c r="P2623" s="10" t="str">
        <f t="shared" si="202"/>
        <v/>
      </c>
      <c r="Q2623" s="15" t="str">
        <f t="array" ref="Q2623">IFERROR(XLOOKUP(N2623,'Classificação'!A:A,'Classificação'!B:B),"")</f>
        <v>DESPESAS NÃO OPERACIONAIS</v>
      </c>
      <c r="R2623" s="15" t="str">
        <f t="array" ref="R2623">IFERROR(XLOOKUP(Q2623,'Classificação'!B:B,'Classificação'!C:C),"")</f>
        <v>RESULTADO NÃO OPERACIONAL (+/-)</v>
      </c>
      <c r="S2623" s="15">
        <f t="shared" si="131"/>
        <v>3</v>
      </c>
      <c r="T2623" s="15">
        <f t="shared" si="128"/>
        <v>4</v>
      </c>
      <c r="U2623" s="15">
        <f t="shared" si="129"/>
        <v>2026</v>
      </c>
      <c r="V2623" s="15" t="str">
        <f t="shared" si="8"/>
        <v/>
      </c>
      <c r="W2623" s="15" t="str">
        <f t="shared" si="9"/>
        <v/>
      </c>
      <c r="X2623" s="15" t="str">
        <f t="shared" si="10"/>
        <v/>
      </c>
    </row>
    <row r="2624">
      <c r="A2624" s="9">
        <v>46117.0</v>
      </c>
      <c r="B2624" s="10"/>
      <c r="C2624" s="9" t="str">
        <f t="shared" si="192"/>
        <v/>
      </c>
      <c r="D2624" s="28" t="s">
        <v>76</v>
      </c>
      <c r="E2624" s="28" t="s">
        <v>1305</v>
      </c>
      <c r="F2624" s="28" t="s">
        <v>26</v>
      </c>
      <c r="G2624" s="28" t="s">
        <v>27</v>
      </c>
      <c r="H2624" s="28" t="s">
        <v>84</v>
      </c>
      <c r="I2624" s="24">
        <v>1214.27</v>
      </c>
      <c r="J2624" s="13"/>
      <c r="K2624" s="13"/>
      <c r="L2624" s="28" t="s">
        <v>53</v>
      </c>
      <c r="M2624" s="16" t="s">
        <v>1315</v>
      </c>
      <c r="N2624" s="28" t="s">
        <v>85</v>
      </c>
      <c r="O2624" s="10" t="str">
        <f t="shared" si="79"/>
        <v>04/2026</v>
      </c>
      <c r="P2624" s="10"/>
      <c r="Q2624" s="15" t="str">
        <f t="array" ref="Q2624">IFERROR(XLOOKUP(N2624,'Classificação'!A:A,'Classificação'!B:B),"")</f>
        <v>DESPESAS NÃO OPERACIONAIS</v>
      </c>
      <c r="R2624" s="15" t="str">
        <f t="array" ref="R2624">IFERROR(XLOOKUP(Q2624,'Classificação'!B:B,'Classificação'!C:C),"")</f>
        <v>RESULTADO NÃO OPERACIONAL (+/-)</v>
      </c>
      <c r="S2624" s="15">
        <f t="shared" si="131"/>
        <v>5</v>
      </c>
      <c r="T2624" s="15">
        <f t="shared" si="128"/>
        <v>4</v>
      </c>
      <c r="U2624" s="15">
        <f t="shared" si="129"/>
        <v>2026</v>
      </c>
      <c r="V2624" s="15" t="str">
        <f t="shared" si="8"/>
        <v/>
      </c>
      <c r="W2624" s="15" t="str">
        <f t="shared" si="9"/>
        <v/>
      </c>
      <c r="X2624" s="15" t="str">
        <f t="shared" si="10"/>
        <v/>
      </c>
    </row>
    <row r="2625">
      <c r="A2625" s="26">
        <v>46117.0</v>
      </c>
      <c r="B2625" s="10"/>
      <c r="C2625" s="9" t="str">
        <f t="shared" si="192"/>
        <v/>
      </c>
      <c r="D2625" s="28" t="s">
        <v>36</v>
      </c>
      <c r="E2625" s="28" t="s">
        <v>1305</v>
      </c>
      <c r="F2625" s="28" t="s">
        <v>26</v>
      </c>
      <c r="G2625" s="28" t="s">
        <v>27</v>
      </c>
      <c r="I2625" s="37">
        <v>6500.0</v>
      </c>
      <c r="J2625" s="13"/>
      <c r="K2625" s="13" t="str">
        <f t="shared" ref="K2625:K2629" si="204">if(E2625="pago",(I2625-J2625),"")</f>
        <v/>
      </c>
      <c r="L2625" s="28" t="s">
        <v>29</v>
      </c>
      <c r="M2625" s="14"/>
      <c r="N2625" s="28" t="s">
        <v>38</v>
      </c>
      <c r="O2625" s="10" t="str">
        <f t="shared" si="79"/>
        <v>04/2026</v>
      </c>
      <c r="P2625" s="10" t="str">
        <f t="shared" ref="P2625:P2648" si="205">if(C2625="","", TEXT(C2625,"mm/yyyy"))</f>
        <v/>
      </c>
      <c r="Q2625" s="15" t="str">
        <f t="array" ref="Q2625">IFERROR(XLOOKUP(N2625,'Classificação'!A:A,'Classificação'!B:B),"")</f>
        <v>DESPESAS COM PESSOAL</v>
      </c>
      <c r="R2625" s="15" t="str">
        <f t="array" ref="R2625">IFERROR(XLOOKUP(Q2625,'Classificação'!B:B,'Classificação'!C:C),"")</f>
        <v>DESPESAS FIXAS (-)</v>
      </c>
      <c r="S2625" s="15">
        <f t="shared" si="131"/>
        <v>5</v>
      </c>
      <c r="T2625" s="15">
        <f t="shared" si="128"/>
        <v>4</v>
      </c>
      <c r="U2625" s="15">
        <f t="shared" si="129"/>
        <v>2026</v>
      </c>
      <c r="V2625" s="15" t="str">
        <f t="shared" si="8"/>
        <v/>
      </c>
      <c r="W2625" s="15" t="str">
        <f t="shared" si="9"/>
        <v/>
      </c>
      <c r="X2625" s="15" t="str">
        <f t="shared" si="10"/>
        <v/>
      </c>
    </row>
    <row r="2626">
      <c r="A2626" s="26">
        <v>46117.0</v>
      </c>
      <c r="B2626" s="10"/>
      <c r="C2626" s="9" t="str">
        <f t="shared" si="192"/>
        <v/>
      </c>
      <c r="D2626" s="28" t="s">
        <v>43</v>
      </c>
      <c r="E2626" s="28" t="s">
        <v>1305</v>
      </c>
      <c r="F2626" s="29" t="s">
        <v>26</v>
      </c>
      <c r="G2626" s="28" t="s">
        <v>27</v>
      </c>
      <c r="I2626" s="37">
        <v>6500.0</v>
      </c>
      <c r="J2626" s="13"/>
      <c r="K2626" s="13" t="str">
        <f t="shared" si="204"/>
        <v/>
      </c>
      <c r="L2626" s="28" t="s">
        <v>29</v>
      </c>
      <c r="M2626" s="14"/>
      <c r="N2626" s="28" t="s">
        <v>38</v>
      </c>
      <c r="O2626" s="10" t="str">
        <f t="shared" si="79"/>
        <v>04/2026</v>
      </c>
      <c r="P2626" s="10" t="str">
        <f t="shared" si="205"/>
        <v/>
      </c>
      <c r="Q2626" s="15" t="str">
        <f t="array" ref="Q2626">IFERROR(XLOOKUP(N2626,'Classificação'!A:A,'Classificação'!B:B),"")</f>
        <v>DESPESAS COM PESSOAL</v>
      </c>
      <c r="R2626" s="15" t="str">
        <f t="array" ref="R2626">IFERROR(XLOOKUP(Q2626,'Classificação'!B:B,'Classificação'!C:C),"")</f>
        <v>DESPESAS FIXAS (-)</v>
      </c>
      <c r="S2626" s="15">
        <f t="shared" si="131"/>
        <v>5</v>
      </c>
      <c r="T2626" s="15">
        <f t="shared" si="128"/>
        <v>4</v>
      </c>
      <c r="U2626" s="15">
        <f t="shared" si="129"/>
        <v>2026</v>
      </c>
      <c r="V2626" s="15" t="str">
        <f t="shared" si="8"/>
        <v/>
      </c>
      <c r="W2626" s="15" t="str">
        <f t="shared" si="9"/>
        <v/>
      </c>
      <c r="X2626" s="15" t="str">
        <f t="shared" si="10"/>
        <v/>
      </c>
    </row>
    <row r="2627">
      <c r="A2627" s="9">
        <v>46118.0</v>
      </c>
      <c r="B2627" s="9">
        <v>46087.0</v>
      </c>
      <c r="C2627" s="9" t="str">
        <f t="shared" si="192"/>
        <v/>
      </c>
      <c r="D2627" s="11" t="s">
        <v>86</v>
      </c>
      <c r="E2627" s="28" t="s">
        <v>1305</v>
      </c>
      <c r="F2627" s="11" t="s">
        <v>87</v>
      </c>
      <c r="G2627" s="28" t="s">
        <v>27</v>
      </c>
      <c r="H2627" s="11" t="s">
        <v>1316</v>
      </c>
      <c r="I2627" s="31">
        <v>1430.0</v>
      </c>
      <c r="J2627" s="13"/>
      <c r="K2627" s="13" t="str">
        <f t="shared" si="204"/>
        <v/>
      </c>
      <c r="L2627" s="28" t="s">
        <v>53</v>
      </c>
      <c r="M2627" s="17">
        <v>46113.0</v>
      </c>
      <c r="N2627" s="11" t="s">
        <v>35</v>
      </c>
      <c r="O2627" s="10" t="str">
        <f t="shared" si="79"/>
        <v>04/2026</v>
      </c>
      <c r="P2627" s="10" t="str">
        <f t="shared" si="205"/>
        <v/>
      </c>
      <c r="Q2627" s="15" t="str">
        <f t="array" ref="Q2627">IFERROR(XLOOKUP(N2627,'Classificação'!A:A,'Classificação'!B:B),"")</f>
        <v>COMPRA DE MERCADORIA</v>
      </c>
      <c r="R2627" s="15" t="str">
        <f t="array" ref="R2627">IFERROR(XLOOKUP(Q2627,'Classificação'!B:B,'Classificação'!C:C),"")</f>
        <v>CUSTOS VARIÁVEIS</v>
      </c>
      <c r="S2627" s="15">
        <f t="shared" si="131"/>
        <v>6</v>
      </c>
      <c r="T2627" s="15">
        <f t="shared" si="128"/>
        <v>4</v>
      </c>
      <c r="U2627" s="15">
        <f t="shared" si="129"/>
        <v>2026</v>
      </c>
      <c r="V2627" s="15" t="str">
        <f t="shared" si="8"/>
        <v/>
      </c>
      <c r="W2627" s="15" t="str">
        <f t="shared" si="9"/>
        <v/>
      </c>
      <c r="X2627" s="15" t="str">
        <f t="shared" si="10"/>
        <v/>
      </c>
    </row>
    <row r="2628">
      <c r="A2628" s="26">
        <v>46121.0</v>
      </c>
      <c r="B2628" s="30"/>
      <c r="C2628" s="27" t="str">
        <f t="shared" si="192"/>
        <v/>
      </c>
      <c r="D2628" s="29" t="s">
        <v>631</v>
      </c>
      <c r="E2628" s="28" t="s">
        <v>1305</v>
      </c>
      <c r="F2628" s="29" t="s">
        <v>40</v>
      </c>
      <c r="G2628" s="28" t="s">
        <v>27</v>
      </c>
      <c r="H2628" s="29" t="s">
        <v>1234</v>
      </c>
      <c r="I2628" s="24">
        <v>120.93</v>
      </c>
      <c r="J2628" s="34"/>
      <c r="K2628" s="13" t="str">
        <f t="shared" si="204"/>
        <v/>
      </c>
      <c r="L2628" s="28" t="s">
        <v>53</v>
      </c>
      <c r="M2628" s="35">
        <v>46206.0</v>
      </c>
      <c r="N2628" s="29" t="s">
        <v>178</v>
      </c>
      <c r="O2628" s="10" t="str">
        <f t="shared" si="79"/>
        <v>04/2026</v>
      </c>
      <c r="P2628" s="10" t="str">
        <f t="shared" si="205"/>
        <v/>
      </c>
      <c r="Q2628" s="15" t="str">
        <f t="array" ref="Q2628">IFERROR(XLOOKUP(N2628,'Classificação'!A:A,'Classificação'!B:B),"")</f>
        <v>DESPESAS COM OCUPAÇÃO</v>
      </c>
      <c r="R2628" s="15" t="str">
        <f t="array" ref="R2628">IFERROR(XLOOKUP(Q2628,'Classificação'!B:B,'Classificação'!C:C),"")</f>
        <v>DESPESAS FIXAS (-)</v>
      </c>
      <c r="S2628" s="15">
        <f t="shared" si="131"/>
        <v>9</v>
      </c>
      <c r="T2628" s="15">
        <f t="shared" si="128"/>
        <v>4</v>
      </c>
      <c r="U2628" s="15">
        <f t="shared" si="129"/>
        <v>2026</v>
      </c>
      <c r="V2628" s="15" t="str">
        <f t="shared" si="8"/>
        <v/>
      </c>
      <c r="W2628" s="15" t="str">
        <f t="shared" si="9"/>
        <v/>
      </c>
      <c r="X2628" s="15" t="str">
        <f t="shared" si="10"/>
        <v/>
      </c>
    </row>
    <row r="2629">
      <c r="A2629" s="9">
        <v>46122.0</v>
      </c>
      <c r="B2629" s="10"/>
      <c r="C2629" s="9" t="str">
        <f t="shared" si="192"/>
        <v/>
      </c>
      <c r="D2629" s="11" t="s">
        <v>1051</v>
      </c>
      <c r="E2629" s="28" t="s">
        <v>1305</v>
      </c>
      <c r="F2629" s="11" t="s">
        <v>40</v>
      </c>
      <c r="G2629" s="28" t="s">
        <v>27</v>
      </c>
      <c r="H2629" s="11" t="s">
        <v>1052</v>
      </c>
      <c r="I2629" s="12">
        <v>28.0</v>
      </c>
      <c r="J2629" s="13"/>
      <c r="K2629" s="13" t="str">
        <f t="shared" si="204"/>
        <v/>
      </c>
      <c r="L2629" s="11" t="s">
        <v>29</v>
      </c>
      <c r="M2629" s="14"/>
      <c r="N2629" s="11" t="s">
        <v>1053</v>
      </c>
      <c r="O2629" s="10" t="str">
        <f t="shared" si="79"/>
        <v>04/2026</v>
      </c>
      <c r="P2629" s="10" t="str">
        <f t="shared" si="205"/>
        <v/>
      </c>
      <c r="Q2629" s="15" t="str">
        <f t="array" ref="Q2629">IFERROR(XLOOKUP(N2629,'Classificação'!A:A,'Classificação'!B:B),"")</f>
        <v>DESPESAS COM PESSOAL</v>
      </c>
      <c r="R2629" s="15" t="str">
        <f t="array" ref="R2629">IFERROR(XLOOKUP(Q2629,'Classificação'!B:B,'Classificação'!C:C),"")</f>
        <v>DESPESAS FIXAS (-)</v>
      </c>
      <c r="S2629" s="15">
        <f t="shared" si="131"/>
        <v>10</v>
      </c>
      <c r="T2629" s="15">
        <f t="shared" si="128"/>
        <v>4</v>
      </c>
      <c r="U2629" s="15">
        <f t="shared" si="129"/>
        <v>2026</v>
      </c>
      <c r="V2629" s="15" t="str">
        <f t="shared" si="8"/>
        <v/>
      </c>
      <c r="W2629" s="15" t="str">
        <f t="shared" si="9"/>
        <v/>
      </c>
      <c r="X2629" s="15" t="str">
        <f t="shared" si="10"/>
        <v/>
      </c>
    </row>
    <row r="2630">
      <c r="A2630" s="26">
        <v>46122.0</v>
      </c>
      <c r="B2630" s="30"/>
      <c r="C2630" s="27" t="str">
        <f t="shared" si="192"/>
        <v/>
      </c>
      <c r="D2630" s="28" t="s">
        <v>48</v>
      </c>
      <c r="E2630" s="28" t="s">
        <v>1305</v>
      </c>
      <c r="F2630" s="28" t="s">
        <v>40</v>
      </c>
      <c r="G2630" s="28" t="s">
        <v>27</v>
      </c>
      <c r="H2630" s="28"/>
      <c r="I2630" s="37">
        <v>1600.0</v>
      </c>
      <c r="J2630" s="34"/>
      <c r="K2630" s="34" t="str">
        <f t="shared" ref="K2630:K2632" si="206">IF(E2630="pago",(I2630-J2630),"")</f>
        <v/>
      </c>
      <c r="L2630" s="28" t="s">
        <v>29</v>
      </c>
      <c r="M2630" s="28"/>
      <c r="N2630" s="28" t="s">
        <v>49</v>
      </c>
      <c r="O2630" s="10" t="str">
        <f t="shared" si="79"/>
        <v>04/2026</v>
      </c>
      <c r="P2630" s="10" t="str">
        <f t="shared" si="205"/>
        <v/>
      </c>
      <c r="Q2630" s="15" t="str">
        <f t="array" ref="Q2630">IFERROR(XLOOKUP(N2630,'Classificação'!A:A,'Classificação'!B:B),"")</f>
        <v>DESPESAS COM PESSOAL</v>
      </c>
      <c r="R2630" s="15" t="str">
        <f t="array" ref="R2630">IFERROR(XLOOKUP(Q2630,'Classificação'!B:B,'Classificação'!C:C),"")</f>
        <v>DESPESAS FIXAS (-)</v>
      </c>
      <c r="S2630" s="15">
        <f t="shared" si="131"/>
        <v>10</v>
      </c>
      <c r="T2630" s="15">
        <f t="shared" si="128"/>
        <v>4</v>
      </c>
      <c r="U2630" s="15">
        <f t="shared" si="129"/>
        <v>2026</v>
      </c>
      <c r="V2630" s="15" t="str">
        <f t="shared" si="8"/>
        <v/>
      </c>
      <c r="W2630" s="15" t="str">
        <f t="shared" si="9"/>
        <v/>
      </c>
      <c r="X2630" s="15" t="str">
        <f t="shared" si="10"/>
        <v/>
      </c>
    </row>
    <row r="2631">
      <c r="A2631" s="9">
        <v>46122.0</v>
      </c>
      <c r="B2631" s="30"/>
      <c r="C2631" s="27" t="str">
        <f t="shared" si="192"/>
        <v/>
      </c>
      <c r="D2631" s="28" t="s">
        <v>50</v>
      </c>
      <c r="E2631" s="28" t="s">
        <v>1305</v>
      </c>
      <c r="F2631" s="28" t="s">
        <v>40</v>
      </c>
      <c r="G2631" s="28" t="s">
        <v>27</v>
      </c>
      <c r="H2631" s="28" t="s">
        <v>51</v>
      </c>
      <c r="I2631" s="37">
        <v>139.99</v>
      </c>
      <c r="J2631" s="34"/>
      <c r="K2631" s="34" t="str">
        <f t="shared" si="206"/>
        <v/>
      </c>
      <c r="L2631" s="28" t="s">
        <v>29</v>
      </c>
      <c r="M2631" s="28"/>
      <c r="N2631" s="28" t="s">
        <v>51</v>
      </c>
      <c r="O2631" s="10" t="str">
        <f t="shared" si="79"/>
        <v>04/2026</v>
      </c>
      <c r="P2631" s="10" t="str">
        <f t="shared" si="205"/>
        <v/>
      </c>
      <c r="Q2631" s="15" t="str">
        <f t="array" ref="Q2631">IFERROR(XLOOKUP(N2631,'Classificação'!A:A,'Classificação'!B:B),"")</f>
        <v>DESPESAS COM OCUPAÇÃO</v>
      </c>
      <c r="R2631" s="15" t="str">
        <f t="array" ref="R2631">IFERROR(XLOOKUP(Q2631,'Classificação'!B:B,'Classificação'!C:C),"")</f>
        <v>DESPESAS FIXAS (-)</v>
      </c>
      <c r="S2631" s="15">
        <f t="shared" si="131"/>
        <v>10</v>
      </c>
      <c r="T2631" s="15">
        <f t="shared" si="128"/>
        <v>4</v>
      </c>
      <c r="U2631" s="15">
        <f t="shared" si="129"/>
        <v>2026</v>
      </c>
      <c r="V2631" s="15" t="str">
        <f t="shared" si="8"/>
        <v/>
      </c>
      <c r="W2631" s="15" t="str">
        <f t="shared" si="9"/>
        <v/>
      </c>
      <c r="X2631" s="15" t="str">
        <f t="shared" si="10"/>
        <v/>
      </c>
    </row>
    <row r="2632">
      <c r="A2632" s="26">
        <v>46122.0</v>
      </c>
      <c r="B2632" s="30"/>
      <c r="C2632" s="27" t="str">
        <f t="shared" si="192"/>
        <v/>
      </c>
      <c r="D2632" s="28" t="s">
        <v>59</v>
      </c>
      <c r="E2632" s="28" t="s">
        <v>1305</v>
      </c>
      <c r="F2632" s="28" t="s">
        <v>40</v>
      </c>
      <c r="G2632" s="28" t="s">
        <v>37</v>
      </c>
      <c r="H2632" s="28" t="s">
        <v>60</v>
      </c>
      <c r="I2632" s="24">
        <v>447.0</v>
      </c>
      <c r="J2632" s="34"/>
      <c r="K2632" s="34" t="str">
        <f t="shared" si="206"/>
        <v/>
      </c>
      <c r="L2632" s="28" t="s">
        <v>29</v>
      </c>
      <c r="M2632" s="28"/>
      <c r="N2632" s="28" t="s">
        <v>61</v>
      </c>
      <c r="O2632" s="10" t="str">
        <f t="shared" si="79"/>
        <v>04/2026</v>
      </c>
      <c r="P2632" s="10" t="str">
        <f t="shared" si="205"/>
        <v/>
      </c>
      <c r="Q2632" s="15" t="str">
        <f t="array" ref="Q2632">IFERROR(XLOOKUP(N2632,'Classificação'!A:A,'Classificação'!B:B),"")</f>
        <v>DESPESAS ADMINISTRATIVAS</v>
      </c>
      <c r="R2632" s="15" t="str">
        <f t="array" ref="R2632">IFERROR(XLOOKUP(Q2632,'Classificação'!B:B,'Classificação'!C:C),"")</f>
        <v>DESPESAS FIXAS (-)</v>
      </c>
      <c r="S2632" s="15">
        <f t="shared" si="131"/>
        <v>10</v>
      </c>
      <c r="T2632" s="15">
        <f t="shared" si="128"/>
        <v>4</v>
      </c>
      <c r="U2632" s="15">
        <f t="shared" si="129"/>
        <v>2026</v>
      </c>
      <c r="V2632" s="15" t="str">
        <f t="shared" si="8"/>
        <v/>
      </c>
      <c r="W2632" s="15" t="str">
        <f t="shared" si="9"/>
        <v/>
      </c>
      <c r="X2632" s="15" t="str">
        <f t="shared" si="10"/>
        <v/>
      </c>
    </row>
    <row r="2633">
      <c r="A2633" s="26">
        <v>46122.0</v>
      </c>
      <c r="B2633" s="30"/>
      <c r="C2633" s="27" t="str">
        <f t="shared" si="192"/>
        <v/>
      </c>
      <c r="D2633" s="28" t="s">
        <v>104</v>
      </c>
      <c r="E2633" s="28" t="s">
        <v>1305</v>
      </c>
      <c r="F2633" s="28" t="s">
        <v>40</v>
      </c>
      <c r="G2633" s="28" t="s">
        <v>37</v>
      </c>
      <c r="H2633" s="28" t="s">
        <v>413</v>
      </c>
      <c r="I2633" s="37">
        <v>27.5</v>
      </c>
      <c r="J2633" s="34"/>
      <c r="K2633" s="34"/>
      <c r="L2633" s="28" t="s">
        <v>29</v>
      </c>
      <c r="M2633" s="28"/>
      <c r="N2633" s="28" t="s">
        <v>105</v>
      </c>
      <c r="O2633" s="10" t="str">
        <f t="shared" si="79"/>
        <v>04/2026</v>
      </c>
      <c r="P2633" s="10" t="str">
        <f t="shared" si="205"/>
        <v/>
      </c>
      <c r="R2633" s="15" t="str">
        <f t="array" ref="R2633">IFERROR(XLOOKUP(Q2633,'Classificação'!B:B,'Classificação'!C:C),"")</f>
        <v/>
      </c>
      <c r="S2633" s="15">
        <f t="shared" si="131"/>
        <v>10</v>
      </c>
      <c r="T2633" s="15">
        <f t="shared" si="128"/>
        <v>4</v>
      </c>
      <c r="U2633" s="15">
        <f t="shared" si="129"/>
        <v>2026</v>
      </c>
      <c r="V2633" s="15" t="str">
        <f t="shared" si="8"/>
        <v/>
      </c>
      <c r="W2633" s="15" t="str">
        <f t="shared" si="9"/>
        <v/>
      </c>
      <c r="X2633" s="15" t="str">
        <f t="shared" si="10"/>
        <v/>
      </c>
    </row>
    <row r="2634">
      <c r="A2634" s="9">
        <v>46122.0</v>
      </c>
      <c r="B2634" s="10"/>
      <c r="C2634" s="9" t="str">
        <f t="shared" si="192"/>
        <v/>
      </c>
      <c r="D2634" s="11" t="s">
        <v>44</v>
      </c>
      <c r="E2634" s="11" t="s">
        <v>1305</v>
      </c>
      <c r="F2634" s="11" t="s">
        <v>45</v>
      </c>
      <c r="G2634" s="11" t="s">
        <v>27</v>
      </c>
      <c r="H2634" s="11" t="s">
        <v>52</v>
      </c>
      <c r="I2634" s="12">
        <v>503.0</v>
      </c>
      <c r="J2634" s="13"/>
      <c r="K2634" s="13" t="str">
        <f t="shared" ref="K2634:K2637" si="207">if(E2634="pago",(I2634-J2634),"")</f>
        <v/>
      </c>
      <c r="L2634" s="11" t="s">
        <v>53</v>
      </c>
      <c r="M2634" s="16" t="s">
        <v>1317</v>
      </c>
      <c r="N2634" s="11" t="s">
        <v>55</v>
      </c>
      <c r="O2634" s="10" t="str">
        <f t="shared" si="79"/>
        <v>04/2026</v>
      </c>
      <c r="P2634" s="10" t="str">
        <f t="shared" si="205"/>
        <v/>
      </c>
      <c r="Q2634" s="15" t="str">
        <f t="array" ref="Q2634">IFERROR(XLOOKUP(N2634,'Classificação'!A:A,'Classificação'!B:B),"")</f>
        <v>DESPESAS NÃO OPERACIONAIS</v>
      </c>
      <c r="R2634" s="15" t="str">
        <f t="array" ref="R2634">IFERROR(XLOOKUP(Q2634,'Classificação'!B:B,'Classificação'!C:C),"")</f>
        <v>RESULTADO NÃO OPERACIONAL (+/-)</v>
      </c>
      <c r="S2634" s="15">
        <f t="shared" si="131"/>
        <v>10</v>
      </c>
      <c r="T2634" s="15">
        <f t="shared" si="128"/>
        <v>4</v>
      </c>
      <c r="U2634" s="15">
        <f t="shared" si="129"/>
        <v>2026</v>
      </c>
      <c r="V2634" s="15" t="str">
        <f t="shared" si="8"/>
        <v/>
      </c>
      <c r="W2634" s="15" t="str">
        <f t="shared" si="9"/>
        <v/>
      </c>
      <c r="X2634" s="15" t="str">
        <f t="shared" si="10"/>
        <v/>
      </c>
    </row>
    <row r="2635">
      <c r="A2635" s="9">
        <v>46122.0</v>
      </c>
      <c r="B2635" s="10"/>
      <c r="C2635" s="9" t="str">
        <f t="shared" si="192"/>
        <v/>
      </c>
      <c r="D2635" s="11" t="s">
        <v>1104</v>
      </c>
      <c r="E2635" s="28" t="s">
        <v>1305</v>
      </c>
      <c r="F2635" s="11" t="s">
        <v>40</v>
      </c>
      <c r="G2635" s="11" t="s">
        <v>37</v>
      </c>
      <c r="H2635" s="11" t="s">
        <v>1105</v>
      </c>
      <c r="I2635" s="12">
        <v>917.51</v>
      </c>
      <c r="J2635" s="13"/>
      <c r="K2635" s="13" t="str">
        <f t="shared" si="207"/>
        <v/>
      </c>
      <c r="L2635" s="11" t="s">
        <v>53</v>
      </c>
      <c r="M2635" s="16" t="s">
        <v>1318</v>
      </c>
      <c r="N2635" s="11" t="s">
        <v>73</v>
      </c>
      <c r="O2635" s="10" t="str">
        <f t="shared" si="79"/>
        <v>04/2026</v>
      </c>
      <c r="P2635" s="10" t="str">
        <f t="shared" si="205"/>
        <v/>
      </c>
      <c r="Q2635" s="15" t="str">
        <f t="array" ref="Q2635">IFERROR(XLOOKUP(N2635,'Classificação'!A:A,'Classificação'!B:B),"")</f>
        <v>DESPESAS NÃO OPERACIONAIS</v>
      </c>
      <c r="R2635" s="15" t="str">
        <f t="array" ref="R2635">IFERROR(XLOOKUP(Q2635,'Classificação'!B:B,'Classificação'!C:C),"")</f>
        <v>RESULTADO NÃO OPERACIONAL (+/-)</v>
      </c>
      <c r="S2635" s="15">
        <f t="shared" si="131"/>
        <v>10</v>
      </c>
      <c r="T2635" s="15">
        <f t="shared" si="128"/>
        <v>4</v>
      </c>
      <c r="U2635" s="15">
        <f t="shared" si="129"/>
        <v>2026</v>
      </c>
      <c r="V2635" s="15" t="str">
        <f t="shared" si="8"/>
        <v/>
      </c>
      <c r="W2635" s="15" t="str">
        <f t="shared" si="9"/>
        <v/>
      </c>
      <c r="X2635" s="15" t="str">
        <f t="shared" si="10"/>
        <v/>
      </c>
    </row>
    <row r="2636">
      <c r="A2636" s="9">
        <v>46122.0</v>
      </c>
      <c r="B2636" s="32">
        <v>46011.0</v>
      </c>
      <c r="C2636" s="9" t="str">
        <f t="shared" si="192"/>
        <v/>
      </c>
      <c r="D2636" s="11" t="s">
        <v>65</v>
      </c>
      <c r="E2636" s="28" t="s">
        <v>1305</v>
      </c>
      <c r="F2636" s="11" t="s">
        <v>26</v>
      </c>
      <c r="G2636" s="28" t="s">
        <v>27</v>
      </c>
      <c r="H2636" s="11" t="s">
        <v>1159</v>
      </c>
      <c r="I2636" s="31">
        <v>54.99</v>
      </c>
      <c r="J2636" s="13"/>
      <c r="K2636" s="13" t="str">
        <f t="shared" si="207"/>
        <v/>
      </c>
      <c r="L2636" s="11" t="s">
        <v>53</v>
      </c>
      <c r="M2636" s="16" t="s">
        <v>1319</v>
      </c>
      <c r="N2636" s="11" t="s">
        <v>95</v>
      </c>
      <c r="O2636" s="10" t="str">
        <f t="shared" si="79"/>
        <v>04/2026</v>
      </c>
      <c r="P2636" s="10" t="str">
        <f t="shared" si="205"/>
        <v/>
      </c>
      <c r="Q2636" s="15" t="str">
        <f t="array" ref="Q2636">IFERROR(XLOOKUP(N2636,'Classificação'!A:A,'Classificação'!B:B),"")</f>
        <v>DESPESAS NÃO OPERACIONAIS</v>
      </c>
      <c r="R2636" s="15" t="str">
        <f t="array" ref="R2636">IFERROR(XLOOKUP(Q2636,'Classificação'!B:B,'Classificação'!C:C),"")</f>
        <v>RESULTADO NÃO OPERACIONAL (+/-)</v>
      </c>
      <c r="S2636" s="15">
        <f t="shared" si="131"/>
        <v>10</v>
      </c>
      <c r="T2636" s="15">
        <f t="shared" si="128"/>
        <v>4</v>
      </c>
      <c r="U2636" s="15">
        <f t="shared" si="129"/>
        <v>2026</v>
      </c>
      <c r="V2636" s="15" t="str">
        <f t="shared" si="8"/>
        <v/>
      </c>
      <c r="W2636" s="15" t="str">
        <f t="shared" si="9"/>
        <v/>
      </c>
      <c r="X2636" s="15" t="str">
        <f t="shared" si="10"/>
        <v/>
      </c>
    </row>
    <row r="2637">
      <c r="A2637" s="26">
        <v>46124.0</v>
      </c>
      <c r="B2637" s="30"/>
      <c r="C2637" s="27" t="str">
        <f t="shared" si="192"/>
        <v/>
      </c>
      <c r="D2637" s="28" t="s">
        <v>56</v>
      </c>
      <c r="E2637" s="28" t="s">
        <v>1305</v>
      </c>
      <c r="F2637" s="28" t="s">
        <v>26</v>
      </c>
      <c r="G2637" s="28" t="s">
        <v>37</v>
      </c>
      <c r="H2637" s="28" t="s">
        <v>57</v>
      </c>
      <c r="I2637" s="24">
        <v>60.0</v>
      </c>
      <c r="J2637" s="34"/>
      <c r="K2637" s="13" t="str">
        <f t="shared" si="207"/>
        <v/>
      </c>
      <c r="L2637" s="28" t="s">
        <v>29</v>
      </c>
      <c r="M2637" s="28"/>
      <c r="N2637" s="28" t="s">
        <v>58</v>
      </c>
      <c r="O2637" s="10" t="str">
        <f t="shared" si="79"/>
        <v>04/2026</v>
      </c>
      <c r="P2637" s="10" t="str">
        <f t="shared" si="205"/>
        <v/>
      </c>
      <c r="Q2637" s="15" t="str">
        <f t="array" ref="Q2637">IFERROR(XLOOKUP(N2637,'Classificação'!A:A,'Classificação'!B:B),"")</f>
        <v>DESPESAS ADMINISTRATIVAS</v>
      </c>
      <c r="R2637" s="15" t="str">
        <f t="array" ref="R2637">IFERROR(XLOOKUP(Q2637,'Classificação'!B:B,'Classificação'!C:C),"")</f>
        <v>DESPESAS FIXAS (-)</v>
      </c>
      <c r="S2637" s="15">
        <f t="shared" si="131"/>
        <v>12</v>
      </c>
      <c r="T2637" s="15">
        <f t="shared" si="128"/>
        <v>4</v>
      </c>
      <c r="U2637" s="15">
        <f t="shared" si="129"/>
        <v>2026</v>
      </c>
      <c r="V2637" s="15" t="str">
        <f t="shared" si="8"/>
        <v/>
      </c>
      <c r="W2637" s="15" t="str">
        <f t="shared" si="9"/>
        <v/>
      </c>
      <c r="X2637" s="15" t="str">
        <f t="shared" si="10"/>
        <v/>
      </c>
    </row>
    <row r="2638">
      <c r="A2638" s="26">
        <v>46125.0</v>
      </c>
      <c r="B2638" s="30"/>
      <c r="C2638" s="27" t="str">
        <f t="shared" si="192"/>
        <v/>
      </c>
      <c r="D2638" s="28" t="s">
        <v>65</v>
      </c>
      <c r="E2638" s="28" t="s">
        <v>1305</v>
      </c>
      <c r="F2638" s="28" t="s">
        <v>45</v>
      </c>
      <c r="G2638" s="28" t="s">
        <v>66</v>
      </c>
      <c r="H2638" s="28" t="s">
        <v>67</v>
      </c>
      <c r="I2638" s="37">
        <v>900.0</v>
      </c>
      <c r="J2638" s="34"/>
      <c r="K2638" s="34" t="str">
        <f>IF(E2638="pago",(I2638-J2638),"")</f>
        <v/>
      </c>
      <c r="L2638" s="28" t="s">
        <v>29</v>
      </c>
      <c r="M2638" s="28"/>
      <c r="N2638" s="28" t="s">
        <v>68</v>
      </c>
      <c r="O2638" s="10" t="str">
        <f t="shared" si="79"/>
        <v>04/2026</v>
      </c>
      <c r="P2638" s="10" t="str">
        <f t="shared" si="205"/>
        <v/>
      </c>
      <c r="Q2638" s="15" t="str">
        <f t="array" ref="Q2638">IFERROR(XLOOKUP(N2638,'Classificação'!A:A,'Classificação'!B:B),"")</f>
        <v>FRETE DE VENDAS</v>
      </c>
      <c r="R2638" s="15" t="str">
        <f t="array" ref="R2638">IFERROR(XLOOKUP(Q2638,'Classificação'!B:B,'Classificação'!C:C),"")</f>
        <v>CUSTOS VARIÁVEIS</v>
      </c>
      <c r="S2638" s="15">
        <f t="shared" si="131"/>
        <v>13</v>
      </c>
      <c r="T2638" s="15">
        <f t="shared" si="128"/>
        <v>4</v>
      </c>
      <c r="U2638" s="15">
        <f t="shared" si="129"/>
        <v>2026</v>
      </c>
      <c r="V2638" s="15" t="str">
        <f t="shared" si="8"/>
        <v/>
      </c>
      <c r="W2638" s="15" t="str">
        <f t="shared" si="9"/>
        <v/>
      </c>
      <c r="X2638" s="15" t="str">
        <f t="shared" si="10"/>
        <v/>
      </c>
    </row>
    <row r="2639">
      <c r="A2639" s="9">
        <v>46125.0</v>
      </c>
      <c r="B2639" s="10"/>
      <c r="C2639" s="9" t="str">
        <f t="shared" si="192"/>
        <v/>
      </c>
      <c r="D2639" s="11" t="s">
        <v>473</v>
      </c>
      <c r="E2639" s="28" t="s">
        <v>1305</v>
      </c>
      <c r="F2639" s="28" t="s">
        <v>45</v>
      </c>
      <c r="G2639" s="28" t="s">
        <v>27</v>
      </c>
      <c r="H2639" s="11" t="s">
        <v>1172</v>
      </c>
      <c r="I2639" s="31">
        <v>516.57</v>
      </c>
      <c r="J2639" s="13"/>
      <c r="K2639" s="13" t="str">
        <f t="shared" ref="K2639:K2640" si="208">if(E2639="pago",(I2639-J2639),"")</f>
        <v/>
      </c>
      <c r="L2639" s="28" t="s">
        <v>53</v>
      </c>
      <c r="M2639" s="17">
        <v>46146.0</v>
      </c>
      <c r="N2639" s="11" t="s">
        <v>233</v>
      </c>
      <c r="O2639" s="10" t="str">
        <f t="shared" si="79"/>
        <v>04/2026</v>
      </c>
      <c r="P2639" s="10" t="str">
        <f t="shared" si="205"/>
        <v/>
      </c>
      <c r="Q2639" s="15" t="str">
        <f t="array" ref="Q2639">IFERROR(XLOOKUP(N2639,'Classificação'!A:A,'Classificação'!B:B),"")</f>
        <v>DESPESAS COM VEICULOS</v>
      </c>
      <c r="S2639" s="15">
        <f t="shared" si="131"/>
        <v>13</v>
      </c>
      <c r="T2639" s="15">
        <f t="shared" si="128"/>
        <v>4</v>
      </c>
      <c r="U2639" s="15">
        <f t="shared" si="129"/>
        <v>2026</v>
      </c>
      <c r="V2639" s="15" t="str">
        <f t="shared" si="8"/>
        <v/>
      </c>
      <c r="W2639" s="15" t="str">
        <f t="shared" si="9"/>
        <v/>
      </c>
      <c r="X2639" s="15" t="str">
        <f t="shared" si="10"/>
        <v/>
      </c>
    </row>
    <row r="2640">
      <c r="A2640" s="9">
        <v>46126.0</v>
      </c>
      <c r="B2640" s="10"/>
      <c r="C2640" s="9" t="str">
        <f t="shared" si="192"/>
        <v/>
      </c>
      <c r="D2640" s="11" t="s">
        <v>44</v>
      </c>
      <c r="E2640" s="11" t="s">
        <v>1305</v>
      </c>
      <c r="F2640" s="11" t="s">
        <v>45</v>
      </c>
      <c r="G2640" s="11" t="s">
        <v>27</v>
      </c>
      <c r="H2640" s="11" t="s">
        <v>476</v>
      </c>
      <c r="I2640" s="12">
        <v>4996.0</v>
      </c>
      <c r="J2640" s="13"/>
      <c r="K2640" s="13" t="str">
        <f t="shared" si="208"/>
        <v/>
      </c>
      <c r="L2640" s="11" t="s">
        <v>53</v>
      </c>
      <c r="M2640" s="16" t="s">
        <v>597</v>
      </c>
      <c r="N2640" s="11" t="s">
        <v>73</v>
      </c>
      <c r="O2640" s="10" t="str">
        <f t="shared" si="79"/>
        <v>04/2026</v>
      </c>
      <c r="P2640" s="10" t="str">
        <f t="shared" si="205"/>
        <v/>
      </c>
      <c r="Q2640" s="15" t="str">
        <f t="array" ref="Q2640">IFERROR(XLOOKUP(N2640,'Classificação'!A:A,'Classificação'!B:B),"")</f>
        <v>DESPESAS NÃO OPERACIONAIS</v>
      </c>
      <c r="R2640" s="15" t="str">
        <f t="array" ref="R2640">IFERROR(XLOOKUP(Q2640,'Classificação'!B:B,'Classificação'!C:C),"")</f>
        <v>RESULTADO NÃO OPERACIONAL (+/-)</v>
      </c>
      <c r="S2640" s="15">
        <f t="shared" si="131"/>
        <v>14</v>
      </c>
      <c r="T2640" s="15">
        <f t="shared" si="128"/>
        <v>4</v>
      </c>
      <c r="U2640" s="15">
        <f t="shared" si="129"/>
        <v>2026</v>
      </c>
      <c r="V2640" s="15" t="str">
        <f t="shared" si="8"/>
        <v/>
      </c>
      <c r="W2640" s="15" t="str">
        <f t="shared" si="9"/>
        <v/>
      </c>
      <c r="X2640" s="15" t="str">
        <f t="shared" si="10"/>
        <v/>
      </c>
    </row>
    <row r="2641">
      <c r="A2641" s="26">
        <v>46127.0</v>
      </c>
      <c r="B2641" s="30"/>
      <c r="C2641" s="27" t="str">
        <f t="shared" si="192"/>
        <v/>
      </c>
      <c r="D2641" s="28" t="s">
        <v>79</v>
      </c>
      <c r="E2641" s="28" t="s">
        <v>1305</v>
      </c>
      <c r="F2641" s="28" t="s">
        <v>26</v>
      </c>
      <c r="G2641" s="28" t="s">
        <v>37</v>
      </c>
      <c r="H2641" s="28"/>
      <c r="I2641" s="24">
        <v>550.0</v>
      </c>
      <c r="J2641" s="34"/>
      <c r="K2641" s="34" t="str">
        <f t="shared" ref="K2641:K2643" si="209">IF(E2641="pago",(I2641-J2641),"")</f>
        <v/>
      </c>
      <c r="L2641" s="28" t="s">
        <v>29</v>
      </c>
      <c r="M2641" s="28"/>
      <c r="N2641" s="28" t="s">
        <v>58</v>
      </c>
      <c r="O2641" s="10" t="str">
        <f t="shared" si="79"/>
        <v>04/2026</v>
      </c>
      <c r="P2641" s="10" t="str">
        <f t="shared" si="205"/>
        <v/>
      </c>
      <c r="Q2641" s="15" t="str">
        <f t="array" ref="Q2641">IFERROR(XLOOKUP(N2641,'Classificação'!A:A,'Classificação'!B:B),"")</f>
        <v>DESPESAS ADMINISTRATIVAS</v>
      </c>
      <c r="S2641" s="15">
        <f t="shared" si="131"/>
        <v>15</v>
      </c>
      <c r="T2641" s="15">
        <f t="shared" si="128"/>
        <v>4</v>
      </c>
      <c r="U2641" s="15">
        <f t="shared" si="129"/>
        <v>2026</v>
      </c>
      <c r="V2641" s="15" t="str">
        <f t="shared" si="8"/>
        <v/>
      </c>
      <c r="W2641" s="15" t="str">
        <f t="shared" si="9"/>
        <v/>
      </c>
      <c r="X2641" s="15" t="str">
        <f t="shared" si="10"/>
        <v/>
      </c>
    </row>
    <row r="2642">
      <c r="A2642" s="26">
        <v>46127.0</v>
      </c>
      <c r="B2642" s="30"/>
      <c r="C2642" s="27" t="str">
        <f t="shared" si="192"/>
        <v/>
      </c>
      <c r="D2642" s="28" t="s">
        <v>80</v>
      </c>
      <c r="E2642" s="28" t="s">
        <v>1305</v>
      </c>
      <c r="F2642" s="28" t="s">
        <v>32</v>
      </c>
      <c r="G2642" s="28" t="s">
        <v>27</v>
      </c>
      <c r="H2642" s="29" t="s">
        <v>606</v>
      </c>
      <c r="I2642" s="37">
        <v>780.0</v>
      </c>
      <c r="J2642" s="34"/>
      <c r="K2642" s="34" t="str">
        <f t="shared" si="209"/>
        <v/>
      </c>
      <c r="L2642" s="28" t="s">
        <v>29</v>
      </c>
      <c r="M2642" s="28"/>
      <c r="N2642" s="28" t="s">
        <v>75</v>
      </c>
      <c r="O2642" s="10" t="str">
        <f t="shared" si="79"/>
        <v>04/2026</v>
      </c>
      <c r="P2642" s="10" t="str">
        <f t="shared" si="205"/>
        <v/>
      </c>
      <c r="Q2642" s="15" t="str">
        <f t="array" ref="Q2642">IFERROR(XLOOKUP(N2642,'Classificação'!A:A,'Classificação'!B:B),"")</f>
        <v>DESPESAS COM PESSOAL</v>
      </c>
      <c r="R2642" s="15" t="str">
        <f t="array" ref="R2642">IFERROR(XLOOKUP(Q2642,'Classificação'!B:B,'Classificação'!C:C),"")</f>
        <v>DESPESAS FIXAS (-)</v>
      </c>
      <c r="S2642" s="15">
        <f t="shared" si="131"/>
        <v>15</v>
      </c>
      <c r="T2642" s="15">
        <f t="shared" si="128"/>
        <v>4</v>
      </c>
      <c r="U2642" s="15">
        <f t="shared" si="129"/>
        <v>2026</v>
      </c>
      <c r="V2642" s="15" t="str">
        <f t="shared" si="8"/>
        <v/>
      </c>
      <c r="W2642" s="15" t="str">
        <f t="shared" si="9"/>
        <v/>
      </c>
      <c r="X2642" s="15" t="str">
        <f t="shared" si="10"/>
        <v/>
      </c>
    </row>
    <row r="2643">
      <c r="A2643" s="26">
        <v>46127.0</v>
      </c>
      <c r="B2643" s="28"/>
      <c r="C2643" s="27" t="str">
        <f t="shared" si="192"/>
        <v/>
      </c>
      <c r="D2643" s="29" t="s">
        <v>1094</v>
      </c>
      <c r="E2643" s="28" t="s">
        <v>1305</v>
      </c>
      <c r="F2643" s="29" t="s">
        <v>26</v>
      </c>
      <c r="G2643" s="29" t="s">
        <v>37</v>
      </c>
      <c r="H2643" s="28" t="s">
        <v>606</v>
      </c>
      <c r="I2643" s="24">
        <v>1120.0</v>
      </c>
      <c r="J2643" s="34"/>
      <c r="K2643" s="34" t="str">
        <f t="shared" si="209"/>
        <v/>
      </c>
      <c r="L2643" s="28" t="s">
        <v>29</v>
      </c>
      <c r="M2643" s="28"/>
      <c r="N2643" s="28" t="s">
        <v>75</v>
      </c>
      <c r="O2643" s="10" t="str">
        <f t="shared" si="79"/>
        <v>04/2026</v>
      </c>
      <c r="P2643" s="10" t="str">
        <f t="shared" si="205"/>
        <v/>
      </c>
      <c r="Q2643" s="15" t="str">
        <f t="array" ref="Q2643">IFERROR(XLOOKUP(N2643,'Classificação'!A:A,'Classificação'!B:B),"")</f>
        <v>DESPESAS COM PESSOAL</v>
      </c>
      <c r="R2643" s="15" t="str">
        <f t="array" ref="R2643">IFERROR(XLOOKUP(Q2643,'Classificação'!B:B,'Classificação'!C:C),"")</f>
        <v>DESPESAS FIXAS (-)</v>
      </c>
      <c r="S2643" s="15">
        <f t="shared" si="131"/>
        <v>15</v>
      </c>
      <c r="T2643" s="15">
        <f t="shared" si="128"/>
        <v>4</v>
      </c>
      <c r="U2643" s="15">
        <f t="shared" si="129"/>
        <v>2026</v>
      </c>
      <c r="V2643" s="15" t="str">
        <f t="shared" si="8"/>
        <v/>
      </c>
      <c r="W2643" s="15" t="str">
        <f t="shared" si="9"/>
        <v/>
      </c>
      <c r="X2643" s="15" t="str">
        <f t="shared" si="10"/>
        <v/>
      </c>
    </row>
    <row r="2644">
      <c r="A2644" s="9">
        <v>46127.0</v>
      </c>
      <c r="B2644" s="10"/>
      <c r="C2644" s="9" t="str">
        <f t="shared" si="192"/>
        <v/>
      </c>
      <c r="D2644" s="11" t="s">
        <v>1229</v>
      </c>
      <c r="E2644" s="28" t="s">
        <v>1305</v>
      </c>
      <c r="F2644" s="11" t="s">
        <v>26</v>
      </c>
      <c r="G2644" s="11" t="s">
        <v>37</v>
      </c>
      <c r="H2644" s="11" t="s">
        <v>1230</v>
      </c>
      <c r="I2644" s="31">
        <v>840.0</v>
      </c>
      <c r="J2644" s="13"/>
      <c r="K2644" s="13" t="str">
        <f t="shared" ref="K2644:K2647" si="210">if(E2644="pago",(I2644-J2644),"")</f>
        <v/>
      </c>
      <c r="L2644" s="11" t="s">
        <v>29</v>
      </c>
      <c r="M2644" s="14"/>
      <c r="N2644" s="11" t="s">
        <v>58</v>
      </c>
      <c r="O2644" s="10" t="str">
        <f t="shared" si="79"/>
        <v>04/2026</v>
      </c>
      <c r="P2644" s="10" t="str">
        <f t="shared" si="205"/>
        <v/>
      </c>
      <c r="Q2644" s="15" t="str">
        <f t="array" ref="Q2644">IFERROR(XLOOKUP(N2644,'Classificação'!A:A,'Classificação'!B:B),"")</f>
        <v>DESPESAS ADMINISTRATIVAS</v>
      </c>
      <c r="R2644" s="15" t="str">
        <f t="array" ref="R2644">IFERROR(XLOOKUP(Q2644,'Classificação'!B:B,'Classificação'!C:C),"")</f>
        <v>DESPESAS FIXAS (-)</v>
      </c>
      <c r="S2644" s="15">
        <f t="shared" si="131"/>
        <v>15</v>
      </c>
      <c r="T2644" s="15">
        <f t="shared" si="128"/>
        <v>4</v>
      </c>
      <c r="U2644" s="15">
        <f t="shared" si="129"/>
        <v>2026</v>
      </c>
      <c r="V2644" s="15" t="str">
        <f t="shared" si="8"/>
        <v/>
      </c>
      <c r="W2644" s="15" t="str">
        <f t="shared" si="9"/>
        <v/>
      </c>
      <c r="X2644" s="15" t="str">
        <f t="shared" si="10"/>
        <v/>
      </c>
    </row>
    <row r="2645">
      <c r="A2645" s="9">
        <v>46127.0</v>
      </c>
      <c r="B2645" s="10"/>
      <c r="C2645" s="9" t="str">
        <f t="shared" si="192"/>
        <v/>
      </c>
      <c r="D2645" s="11" t="s">
        <v>31</v>
      </c>
      <c r="E2645" s="28" t="s">
        <v>1305</v>
      </c>
      <c r="F2645" s="11" t="s">
        <v>26</v>
      </c>
      <c r="G2645" s="11" t="s">
        <v>27</v>
      </c>
      <c r="H2645" s="11" t="s">
        <v>1320</v>
      </c>
      <c r="I2645" s="31">
        <v>123000.0</v>
      </c>
      <c r="J2645" s="13"/>
      <c r="K2645" s="13" t="str">
        <f t="shared" si="210"/>
        <v/>
      </c>
      <c r="L2645" s="11" t="s">
        <v>34</v>
      </c>
      <c r="M2645" s="14"/>
      <c r="N2645" s="11" t="s">
        <v>35</v>
      </c>
      <c r="O2645" s="10" t="str">
        <f t="shared" si="79"/>
        <v>04/2026</v>
      </c>
      <c r="P2645" s="10" t="str">
        <f t="shared" si="205"/>
        <v/>
      </c>
      <c r="Q2645" s="15" t="str">
        <f t="array" ref="Q2645">IFERROR(XLOOKUP(N2645,'Classificação'!A:A,'Classificação'!B:B),"")</f>
        <v>COMPRA DE MERCADORIA</v>
      </c>
      <c r="R2645" s="15" t="str">
        <f t="array" ref="R2645">IFERROR(XLOOKUP(Q2645,'Classificação'!B:B,'Classificação'!C:C),"")</f>
        <v>CUSTOS VARIÁVEIS</v>
      </c>
      <c r="S2645" s="15">
        <f t="shared" si="131"/>
        <v>15</v>
      </c>
      <c r="T2645" s="15">
        <f t="shared" si="128"/>
        <v>4</v>
      </c>
      <c r="U2645" s="15">
        <f t="shared" si="129"/>
        <v>2026</v>
      </c>
      <c r="V2645" s="15" t="str">
        <f t="shared" si="8"/>
        <v/>
      </c>
      <c r="W2645" s="15" t="str">
        <f t="shared" si="9"/>
        <v/>
      </c>
      <c r="X2645" s="15" t="str">
        <f t="shared" si="10"/>
        <v/>
      </c>
    </row>
    <row r="2646">
      <c r="A2646" s="26">
        <v>46128.0</v>
      </c>
      <c r="B2646" s="30"/>
      <c r="C2646" s="27" t="str">
        <f t="shared" si="192"/>
        <v/>
      </c>
      <c r="D2646" s="28" t="s">
        <v>90</v>
      </c>
      <c r="E2646" s="28" t="s">
        <v>1305</v>
      </c>
      <c r="F2646" s="28" t="s">
        <v>40</v>
      </c>
      <c r="G2646" s="28" t="s">
        <v>27</v>
      </c>
      <c r="H2646" s="29" t="s">
        <v>1178</v>
      </c>
      <c r="I2646" s="37">
        <v>800.0</v>
      </c>
      <c r="J2646" s="34"/>
      <c r="K2646" s="13" t="str">
        <f t="shared" si="210"/>
        <v/>
      </c>
      <c r="L2646" s="28" t="s">
        <v>29</v>
      </c>
      <c r="M2646" s="28"/>
      <c r="N2646" s="28" t="s">
        <v>92</v>
      </c>
      <c r="O2646" s="10" t="str">
        <f t="shared" si="79"/>
        <v>04/2026</v>
      </c>
      <c r="P2646" s="10" t="str">
        <f t="shared" si="205"/>
        <v/>
      </c>
      <c r="Q2646" s="15" t="str">
        <f t="array" ref="Q2646">IFERROR(XLOOKUP(N2646,'Classificação'!A:A,'Classificação'!B:B),"")</f>
        <v>DESPESAS COM OCUPAÇÃO</v>
      </c>
      <c r="R2646" s="15" t="str">
        <f t="array" ref="R2646">IFERROR(XLOOKUP(Q2646,'Classificação'!B:B,'Classificação'!C:C),"")</f>
        <v>DESPESAS FIXAS (-)</v>
      </c>
      <c r="S2646" s="15">
        <f t="shared" si="131"/>
        <v>16</v>
      </c>
      <c r="T2646" s="15">
        <f t="shared" si="128"/>
        <v>4</v>
      </c>
      <c r="U2646" s="15">
        <f t="shared" si="129"/>
        <v>2026</v>
      </c>
      <c r="V2646" s="15" t="str">
        <f t="shared" si="8"/>
        <v/>
      </c>
      <c r="W2646" s="15" t="str">
        <f t="shared" si="9"/>
        <v/>
      </c>
      <c r="X2646" s="15" t="str">
        <f t="shared" si="10"/>
        <v/>
      </c>
    </row>
    <row r="2647">
      <c r="A2647" s="9">
        <v>46130.0</v>
      </c>
      <c r="B2647" s="10"/>
      <c r="C2647" s="9" t="str">
        <f t="shared" si="192"/>
        <v/>
      </c>
      <c r="D2647" s="11" t="s">
        <v>44</v>
      </c>
      <c r="E2647" s="11" t="s">
        <v>1305</v>
      </c>
      <c r="F2647" s="11" t="s">
        <v>45</v>
      </c>
      <c r="G2647" s="11" t="s">
        <v>27</v>
      </c>
      <c r="H2647" s="11" t="s">
        <v>703</v>
      </c>
      <c r="I2647" s="13">
        <v>2899.1853</v>
      </c>
      <c r="J2647" s="13"/>
      <c r="K2647" s="13" t="str">
        <f t="shared" si="210"/>
        <v/>
      </c>
      <c r="L2647" s="11" t="s">
        <v>53</v>
      </c>
      <c r="M2647" s="16" t="s">
        <v>1321</v>
      </c>
      <c r="N2647" s="11" t="s">
        <v>73</v>
      </c>
      <c r="O2647" s="10" t="str">
        <f t="shared" si="79"/>
        <v>04/2026</v>
      </c>
      <c r="P2647" s="10" t="str">
        <f t="shared" si="205"/>
        <v/>
      </c>
      <c r="Q2647" s="15" t="str">
        <f t="array" ref="Q2647">IFERROR(XLOOKUP(N2647,'Classificação'!A:A,'Classificação'!B:B),"")</f>
        <v>DESPESAS NÃO OPERACIONAIS</v>
      </c>
      <c r="R2647" s="15" t="str">
        <f t="array" ref="R2647">IFERROR(XLOOKUP(Q2647,'Classificação'!B:B,'Classificação'!C:C),"")</f>
        <v>RESULTADO NÃO OPERACIONAL (+/-)</v>
      </c>
      <c r="S2647" s="15">
        <f t="shared" si="131"/>
        <v>18</v>
      </c>
      <c r="T2647" s="15">
        <f t="shared" si="128"/>
        <v>4</v>
      </c>
      <c r="U2647" s="15">
        <f t="shared" si="129"/>
        <v>2026</v>
      </c>
      <c r="V2647" s="15" t="str">
        <f t="shared" si="8"/>
        <v/>
      </c>
      <c r="W2647" s="15" t="str">
        <f t="shared" si="9"/>
        <v/>
      </c>
      <c r="X2647" s="15" t="str">
        <f t="shared" si="10"/>
        <v/>
      </c>
    </row>
    <row r="2648">
      <c r="A2648" s="26">
        <v>46130.0</v>
      </c>
      <c r="B2648" s="30"/>
      <c r="C2648" s="27" t="str">
        <f t="shared" si="192"/>
        <v/>
      </c>
      <c r="D2648" s="28" t="s">
        <v>65</v>
      </c>
      <c r="E2648" s="28" t="s">
        <v>1305</v>
      </c>
      <c r="F2648" s="28" t="s">
        <v>45</v>
      </c>
      <c r="G2648" s="28" t="s">
        <v>37</v>
      </c>
      <c r="H2648" s="28" t="s">
        <v>1114</v>
      </c>
      <c r="I2648" s="37">
        <v>700.0</v>
      </c>
      <c r="J2648" s="34"/>
      <c r="K2648" s="34" t="str">
        <f>IF(E2648="pago",(I2648-J2648),"")</f>
        <v/>
      </c>
      <c r="L2648" s="28" t="s">
        <v>29</v>
      </c>
      <c r="M2648" s="28"/>
      <c r="N2648" s="28" t="s">
        <v>68</v>
      </c>
      <c r="O2648" s="10" t="str">
        <f t="shared" si="79"/>
        <v>04/2026</v>
      </c>
      <c r="P2648" s="10" t="str">
        <f t="shared" si="205"/>
        <v/>
      </c>
      <c r="Q2648" s="15" t="str">
        <f t="array" ref="Q2648">IFERROR(XLOOKUP(N2648,'Classificação'!A:A,'Classificação'!B:B),"")</f>
        <v>FRETE DE VENDAS</v>
      </c>
      <c r="R2648" s="15" t="str">
        <f t="array" ref="R2648">IFERROR(XLOOKUP(Q2648,'Classificação'!B:B,'Classificação'!C:C),"")</f>
        <v>CUSTOS VARIÁVEIS</v>
      </c>
      <c r="S2648" s="15">
        <f t="shared" si="131"/>
        <v>18</v>
      </c>
      <c r="T2648" s="15">
        <f t="shared" si="128"/>
        <v>4</v>
      </c>
      <c r="U2648" s="15">
        <f t="shared" si="129"/>
        <v>2026</v>
      </c>
      <c r="V2648" s="15" t="str">
        <f t="shared" si="8"/>
        <v/>
      </c>
      <c r="W2648" s="15" t="str">
        <f t="shared" si="9"/>
        <v/>
      </c>
      <c r="X2648" s="15" t="str">
        <f t="shared" si="10"/>
        <v/>
      </c>
    </row>
    <row r="2649">
      <c r="A2649" s="9">
        <v>46130.0</v>
      </c>
      <c r="B2649" s="10"/>
      <c r="C2649" s="9" t="str">
        <f t="shared" si="192"/>
        <v/>
      </c>
      <c r="D2649" s="11" t="s">
        <v>65</v>
      </c>
      <c r="E2649" s="28" t="s">
        <v>1305</v>
      </c>
      <c r="F2649" s="11" t="s">
        <v>26</v>
      </c>
      <c r="G2649" s="11" t="s">
        <v>37</v>
      </c>
      <c r="H2649" s="11" t="s">
        <v>1238</v>
      </c>
      <c r="I2649" s="31">
        <v>483.26</v>
      </c>
      <c r="J2649" s="13"/>
      <c r="K2649" s="13"/>
      <c r="L2649" s="28" t="s">
        <v>53</v>
      </c>
      <c r="M2649" s="17">
        <v>46206.0</v>
      </c>
      <c r="N2649" s="11" t="s">
        <v>64</v>
      </c>
      <c r="O2649" s="10" t="str">
        <f t="shared" si="79"/>
        <v>04/2026</v>
      </c>
      <c r="P2649" s="10" t="str">
        <f>if(B2649="","", TEXT(B2649,"mm/yyyy"))</f>
        <v/>
      </c>
      <c r="Q2649" s="15" t="str">
        <f t="array" ref="Q2649">IFERROR(XLOOKUP(N2649,'Classificação'!A:A,'Classificação'!B:B),"")</f>
        <v>DESPESAS COM PESSOAL</v>
      </c>
      <c r="S2649" s="15">
        <f t="shared" si="131"/>
        <v>18</v>
      </c>
      <c r="T2649" s="15">
        <f t="shared" si="128"/>
        <v>4</v>
      </c>
      <c r="U2649" s="15">
        <f t="shared" si="129"/>
        <v>2026</v>
      </c>
      <c r="V2649" s="15" t="str">
        <f t="shared" si="8"/>
        <v/>
      </c>
      <c r="W2649" s="15" t="str">
        <f t="shared" si="9"/>
        <v/>
      </c>
      <c r="X2649" s="15" t="str">
        <f t="shared" si="10"/>
        <v/>
      </c>
    </row>
    <row r="2650">
      <c r="A2650" s="9">
        <v>46132.0</v>
      </c>
      <c r="B2650" s="9">
        <v>45757.0</v>
      </c>
      <c r="C2650" s="9" t="str">
        <f t="shared" si="192"/>
        <v/>
      </c>
      <c r="D2650" s="11" t="s">
        <v>65</v>
      </c>
      <c r="E2650" s="11" t="s">
        <v>1305</v>
      </c>
      <c r="F2650" s="11" t="s">
        <v>107</v>
      </c>
      <c r="G2650" s="11" t="s">
        <v>27</v>
      </c>
      <c r="H2650" s="11" t="s">
        <v>681</v>
      </c>
      <c r="I2650" s="12">
        <v>47.74</v>
      </c>
      <c r="J2650" s="13"/>
      <c r="K2650" s="13"/>
      <c r="L2650" s="11" t="s">
        <v>53</v>
      </c>
      <c r="M2650" s="17">
        <v>46003.0</v>
      </c>
      <c r="N2650" s="11" t="s">
        <v>95</v>
      </c>
      <c r="O2650" s="10" t="str">
        <f t="shared" si="79"/>
        <v>04/2026</v>
      </c>
      <c r="P2650" s="10"/>
      <c r="Q2650" s="15" t="str">
        <f t="array" ref="Q2650">IFERROR(XLOOKUP(N2650,'Classificação'!A:A,'Classificação'!B:B),"")</f>
        <v>DESPESAS NÃO OPERACIONAIS</v>
      </c>
      <c r="R2650" s="15" t="str">
        <f t="array" ref="R2650">IFERROR(XLOOKUP(Q2650,'Classificação'!B:B,'Classificação'!C:C),"")</f>
        <v>RESULTADO NÃO OPERACIONAL (+/-)</v>
      </c>
      <c r="S2650" s="15">
        <f t="shared" si="131"/>
        <v>20</v>
      </c>
      <c r="T2650" s="15">
        <f t="shared" si="128"/>
        <v>4</v>
      </c>
      <c r="U2650" s="15">
        <f t="shared" si="129"/>
        <v>2026</v>
      </c>
      <c r="V2650" s="15" t="str">
        <f t="shared" si="8"/>
        <v/>
      </c>
      <c r="W2650" s="15" t="str">
        <f t="shared" si="9"/>
        <v/>
      </c>
      <c r="X2650" s="15" t="str">
        <f t="shared" si="10"/>
        <v/>
      </c>
    </row>
    <row r="2651">
      <c r="A2651" s="9">
        <v>46132.0</v>
      </c>
      <c r="B2651" s="10"/>
      <c r="C2651" s="9" t="str">
        <f t="shared" si="192"/>
        <v/>
      </c>
      <c r="D2651" s="11" t="s">
        <v>131</v>
      </c>
      <c r="E2651" s="29" t="s">
        <v>1305</v>
      </c>
      <c r="F2651" s="28" t="s">
        <v>107</v>
      </c>
      <c r="G2651" s="28" t="s">
        <v>27</v>
      </c>
      <c r="H2651" s="11" t="s">
        <v>822</v>
      </c>
      <c r="I2651" s="12">
        <v>221.66</v>
      </c>
      <c r="J2651" s="13"/>
      <c r="K2651" s="13"/>
      <c r="L2651" s="28" t="s">
        <v>53</v>
      </c>
      <c r="M2651" s="17">
        <v>46002.0</v>
      </c>
      <c r="N2651" s="11" t="s">
        <v>133</v>
      </c>
      <c r="O2651" s="10" t="str">
        <f t="shared" si="79"/>
        <v>04/2026</v>
      </c>
      <c r="P2651" s="10"/>
      <c r="S2651" s="15">
        <f t="shared" si="131"/>
        <v>20</v>
      </c>
      <c r="T2651" s="15">
        <f t="shared" si="128"/>
        <v>4</v>
      </c>
      <c r="U2651" s="15">
        <f t="shared" si="129"/>
        <v>2026</v>
      </c>
      <c r="V2651" s="15" t="str">
        <f t="shared" si="8"/>
        <v/>
      </c>
      <c r="W2651" s="15" t="str">
        <f t="shared" si="9"/>
        <v/>
      </c>
      <c r="X2651" s="15" t="str">
        <f t="shared" si="10"/>
        <v/>
      </c>
    </row>
    <row r="2652">
      <c r="A2652" s="9">
        <v>46132.0</v>
      </c>
      <c r="B2652" s="9">
        <v>45837.0</v>
      </c>
      <c r="C2652" s="9" t="str">
        <f t="shared" si="192"/>
        <v/>
      </c>
      <c r="D2652" s="11" t="s">
        <v>65</v>
      </c>
      <c r="E2652" s="11" t="s">
        <v>1305</v>
      </c>
      <c r="F2652" s="11" t="s">
        <v>107</v>
      </c>
      <c r="G2652" s="11" t="s">
        <v>27</v>
      </c>
      <c r="H2652" s="11" t="s">
        <v>874</v>
      </c>
      <c r="I2652" s="12">
        <v>51.07</v>
      </c>
      <c r="J2652" s="13"/>
      <c r="K2652" s="13" t="str">
        <f>if(E2652="pago",(I2652-J2652),"")</f>
        <v/>
      </c>
      <c r="L2652" s="11" t="s">
        <v>53</v>
      </c>
      <c r="M2652" s="17">
        <v>46001.0</v>
      </c>
      <c r="N2652" s="11" t="s">
        <v>95</v>
      </c>
      <c r="O2652" s="10" t="str">
        <f t="shared" si="79"/>
        <v>04/2026</v>
      </c>
      <c r="P2652" s="10" t="str">
        <f t="shared" ref="P2652:P2660" si="211">if(C2652="","", TEXT(C2652,"mm/yyyy"))</f>
        <v/>
      </c>
      <c r="Q2652" s="15" t="str">
        <f t="array" ref="Q2652">IFERROR(XLOOKUP(N2652,'Classificação'!A:A,'Classificação'!B:B),"")</f>
        <v>DESPESAS NÃO OPERACIONAIS</v>
      </c>
      <c r="R2652" s="15" t="str">
        <f t="array" ref="R2652">IFERROR(XLOOKUP(Q2652,'Classificação'!B:B,'Classificação'!C:C),"")</f>
        <v>RESULTADO NÃO OPERACIONAL (+/-)</v>
      </c>
      <c r="S2652" s="15">
        <f t="shared" si="131"/>
        <v>20</v>
      </c>
      <c r="T2652" s="15">
        <f t="shared" si="128"/>
        <v>4</v>
      </c>
      <c r="U2652" s="15">
        <f t="shared" si="129"/>
        <v>2026</v>
      </c>
      <c r="V2652" s="15" t="str">
        <f t="shared" si="8"/>
        <v/>
      </c>
      <c r="W2652" s="15" t="str">
        <f t="shared" si="9"/>
        <v/>
      </c>
      <c r="X2652" s="15" t="str">
        <f t="shared" si="10"/>
        <v/>
      </c>
    </row>
    <row r="2653">
      <c r="A2653" s="9">
        <v>46132.0</v>
      </c>
      <c r="B2653" s="9">
        <v>45842.0</v>
      </c>
      <c r="C2653" s="9" t="str">
        <f t="shared" si="192"/>
        <v/>
      </c>
      <c r="D2653" s="11" t="s">
        <v>877</v>
      </c>
      <c r="E2653" s="11" t="s">
        <v>1305</v>
      </c>
      <c r="F2653" s="11" t="s">
        <v>107</v>
      </c>
      <c r="G2653" s="11" t="s">
        <v>27</v>
      </c>
      <c r="H2653" s="11" t="s">
        <v>878</v>
      </c>
      <c r="I2653" s="12">
        <v>200.0</v>
      </c>
      <c r="J2653" s="13"/>
      <c r="K2653" s="13"/>
      <c r="L2653" s="11" t="s">
        <v>53</v>
      </c>
      <c r="M2653" s="17">
        <v>45940.0</v>
      </c>
      <c r="N2653" s="11" t="s">
        <v>175</v>
      </c>
      <c r="O2653" s="10" t="str">
        <f t="shared" si="79"/>
        <v>04/2026</v>
      </c>
      <c r="P2653" s="10" t="str">
        <f t="shared" si="211"/>
        <v/>
      </c>
      <c r="Q2653" s="15" t="str">
        <f t="array" ref="Q2653">IFERROR(XLOOKUP(N2653,'Classificação'!A:A,'Classificação'!B:B),"")</f>
        <v>DESPESAS COM VEICULOS</v>
      </c>
      <c r="R2653" s="15" t="str">
        <f t="array" ref="R2653">IFERROR(XLOOKUP(Q2653,'Classificação'!B:B,'Classificação'!C:C),"")</f>
        <v>DESPESAS FIXAS (-)</v>
      </c>
      <c r="S2653" s="15">
        <f t="shared" si="131"/>
        <v>20</v>
      </c>
      <c r="T2653" s="15">
        <f t="shared" si="128"/>
        <v>4</v>
      </c>
      <c r="U2653" s="15">
        <f t="shared" si="129"/>
        <v>2026</v>
      </c>
      <c r="V2653" s="15" t="str">
        <f t="shared" si="8"/>
        <v/>
      </c>
      <c r="W2653" s="15" t="str">
        <f t="shared" si="9"/>
        <v/>
      </c>
      <c r="X2653" s="15" t="str">
        <f t="shared" si="10"/>
        <v/>
      </c>
    </row>
    <row r="2654">
      <c r="A2654" s="9">
        <v>46132.0</v>
      </c>
      <c r="B2654" s="9">
        <v>45842.0</v>
      </c>
      <c r="C2654" s="9" t="str">
        <f t="shared" si="192"/>
        <v/>
      </c>
      <c r="D2654" s="11" t="s">
        <v>877</v>
      </c>
      <c r="E2654" s="11" t="s">
        <v>1305</v>
      </c>
      <c r="F2654" s="11" t="s">
        <v>107</v>
      </c>
      <c r="G2654" s="11" t="s">
        <v>27</v>
      </c>
      <c r="H2654" s="11" t="s">
        <v>878</v>
      </c>
      <c r="I2654" s="12">
        <v>338.3</v>
      </c>
      <c r="J2654" s="13"/>
      <c r="K2654" s="13"/>
      <c r="L2654" s="11" t="s">
        <v>53</v>
      </c>
      <c r="M2654" s="17">
        <v>45940.0</v>
      </c>
      <c r="N2654" s="11" t="s">
        <v>175</v>
      </c>
      <c r="O2654" s="10" t="str">
        <f t="shared" si="79"/>
        <v>04/2026</v>
      </c>
      <c r="P2654" s="10" t="str">
        <f t="shared" si="211"/>
        <v/>
      </c>
      <c r="Q2654" s="15" t="str">
        <f t="array" ref="Q2654">IFERROR(XLOOKUP(N2654,'Classificação'!A:A,'Classificação'!B:B),"")</f>
        <v>DESPESAS COM VEICULOS</v>
      </c>
      <c r="R2654" s="15" t="str">
        <f t="array" ref="R2654">IFERROR(XLOOKUP(Q2654,'Classificação'!B:B,'Classificação'!C:C),"")</f>
        <v>DESPESAS FIXAS (-)</v>
      </c>
      <c r="S2654" s="15">
        <f t="shared" si="131"/>
        <v>20</v>
      </c>
      <c r="T2654" s="15">
        <f t="shared" si="128"/>
        <v>4</v>
      </c>
      <c r="U2654" s="15">
        <f t="shared" si="129"/>
        <v>2026</v>
      </c>
      <c r="V2654" s="15" t="str">
        <f t="shared" si="8"/>
        <v/>
      </c>
      <c r="W2654" s="15" t="str">
        <f t="shared" si="9"/>
        <v/>
      </c>
      <c r="X2654" s="15" t="str">
        <f t="shared" si="10"/>
        <v/>
      </c>
    </row>
    <row r="2655">
      <c r="A2655" s="26">
        <v>46132.0</v>
      </c>
      <c r="B2655" s="26">
        <v>45867.0</v>
      </c>
      <c r="C2655" s="9" t="str">
        <f t="shared" si="192"/>
        <v/>
      </c>
      <c r="D2655" s="28" t="s">
        <v>109</v>
      </c>
      <c r="E2655" s="28" t="s">
        <v>1305</v>
      </c>
      <c r="F2655" s="29" t="s">
        <v>107</v>
      </c>
      <c r="G2655" s="28" t="s">
        <v>27</v>
      </c>
      <c r="H2655" s="11" t="s">
        <v>911</v>
      </c>
      <c r="I2655" s="24">
        <v>24.16</v>
      </c>
      <c r="J2655" s="13"/>
      <c r="K2655" s="13"/>
      <c r="L2655" s="11" t="s">
        <v>53</v>
      </c>
      <c r="M2655" s="17">
        <v>46000.0</v>
      </c>
      <c r="N2655" s="28" t="s">
        <v>105</v>
      </c>
      <c r="O2655" s="10" t="str">
        <f t="shared" si="79"/>
        <v>04/2026</v>
      </c>
      <c r="P2655" s="10" t="str">
        <f t="shared" si="211"/>
        <v/>
      </c>
      <c r="Q2655" s="15" t="str">
        <f t="array" ref="Q2655">IFERROR(XLOOKUP(N2655,'Classificação'!A:A,'Classificação'!B:B),"")</f>
        <v>DESPESAS ADMINISTRATIVAS</v>
      </c>
      <c r="R2655" s="15" t="str">
        <f t="array" ref="R2655">IFERROR(XLOOKUP(Q2655,'Classificação'!B:B,'Classificação'!C:C),"")</f>
        <v>DESPESAS FIXAS (-)</v>
      </c>
      <c r="S2655" s="15">
        <f t="shared" si="131"/>
        <v>20</v>
      </c>
      <c r="T2655" s="15">
        <f t="shared" si="128"/>
        <v>4</v>
      </c>
      <c r="U2655" s="15">
        <f t="shared" si="129"/>
        <v>2026</v>
      </c>
      <c r="V2655" s="15" t="str">
        <f t="shared" si="8"/>
        <v/>
      </c>
      <c r="W2655" s="15" t="str">
        <f t="shared" si="9"/>
        <v/>
      </c>
      <c r="X2655" s="15" t="str">
        <f t="shared" si="10"/>
        <v/>
      </c>
    </row>
    <row r="2656">
      <c r="A2656" s="9">
        <v>46132.0</v>
      </c>
      <c r="B2656" s="9">
        <v>45863.0</v>
      </c>
      <c r="C2656" s="9" t="str">
        <f t="shared" si="192"/>
        <v/>
      </c>
      <c r="D2656" s="11" t="s">
        <v>65</v>
      </c>
      <c r="E2656" s="11" t="s">
        <v>1305</v>
      </c>
      <c r="F2656" s="11" t="s">
        <v>107</v>
      </c>
      <c r="G2656" s="11" t="s">
        <v>27</v>
      </c>
      <c r="H2656" s="11" t="s">
        <v>915</v>
      </c>
      <c r="I2656" s="12">
        <v>185.17</v>
      </c>
      <c r="J2656" s="13"/>
      <c r="K2656" s="13" t="str">
        <f>if(E2656="pago",(I2656-J2656),"")</f>
        <v/>
      </c>
      <c r="L2656" s="11" t="s">
        <v>53</v>
      </c>
      <c r="M2656" s="17">
        <v>46000.0</v>
      </c>
      <c r="N2656" s="11" t="s">
        <v>95</v>
      </c>
      <c r="O2656" s="10" t="str">
        <f t="shared" si="79"/>
        <v>04/2026</v>
      </c>
      <c r="P2656" s="10" t="str">
        <f t="shared" si="211"/>
        <v/>
      </c>
      <c r="Q2656" s="15" t="str">
        <f t="array" ref="Q2656">IFERROR(XLOOKUP(N2656,'Classificação'!A:A,'Classificação'!B:B),"")</f>
        <v>DESPESAS NÃO OPERACIONAIS</v>
      </c>
      <c r="R2656" s="15" t="str">
        <f t="array" ref="R2656">IFERROR(XLOOKUP(Q2656,'Classificação'!B:B,'Classificação'!C:C),"")</f>
        <v>RESULTADO NÃO OPERACIONAL (+/-)</v>
      </c>
      <c r="S2656" s="15">
        <f t="shared" si="131"/>
        <v>20</v>
      </c>
      <c r="T2656" s="15">
        <f t="shared" si="128"/>
        <v>4</v>
      </c>
      <c r="U2656" s="15">
        <f t="shared" si="129"/>
        <v>2026</v>
      </c>
      <c r="V2656" s="15" t="str">
        <f t="shared" si="8"/>
        <v/>
      </c>
      <c r="W2656" s="15" t="str">
        <f t="shared" si="9"/>
        <v/>
      </c>
      <c r="X2656" s="15" t="str">
        <f t="shared" si="10"/>
        <v/>
      </c>
    </row>
    <row r="2657">
      <c r="A2657" s="26">
        <v>46132.0</v>
      </c>
      <c r="B2657" s="30"/>
      <c r="C2657" s="27" t="str">
        <f t="shared" si="192"/>
        <v/>
      </c>
      <c r="D2657" s="28" t="s">
        <v>100</v>
      </c>
      <c r="E2657" s="28" t="s">
        <v>1305</v>
      </c>
      <c r="F2657" s="28" t="s">
        <v>40</v>
      </c>
      <c r="G2657" s="28" t="s">
        <v>27</v>
      </c>
      <c r="H2657" s="29" t="s">
        <v>1015</v>
      </c>
      <c r="I2657" s="37">
        <v>14000.0</v>
      </c>
      <c r="J2657" s="34"/>
      <c r="K2657" s="34" t="str">
        <f t="shared" ref="K2657:K2661" si="212">IF(E2657="pago",(I2657-J2657),"")</f>
        <v/>
      </c>
      <c r="L2657" s="28" t="s">
        <v>29</v>
      </c>
      <c r="M2657" s="28"/>
      <c r="N2657" s="28" t="s">
        <v>101</v>
      </c>
      <c r="O2657" s="10" t="str">
        <f t="shared" si="79"/>
        <v>04/2026</v>
      </c>
      <c r="P2657" s="10" t="str">
        <f t="shared" si="211"/>
        <v/>
      </c>
      <c r="Q2657" s="15" t="str">
        <f t="array" ref="Q2657">IFERROR(XLOOKUP(N2657,'Classificação'!A:A,'Classificação'!B:B),"")</f>
        <v>IMPOSTO DE RENDA - DAS</v>
      </c>
      <c r="R2657" s="15" t="str">
        <f t="array" ref="R2657">IFERROR(XLOOKUP(Q2657,'Classificação'!B:B,'Classificação'!C:C),"")</f>
        <v>DEDUÇÕES DA RECEITA BRUTA (-)</v>
      </c>
      <c r="S2657" s="15">
        <f t="shared" si="131"/>
        <v>20</v>
      </c>
      <c r="T2657" s="15">
        <f t="shared" si="128"/>
        <v>4</v>
      </c>
      <c r="U2657" s="15">
        <f t="shared" si="129"/>
        <v>2026</v>
      </c>
      <c r="V2657" s="15" t="str">
        <f t="shared" si="8"/>
        <v/>
      </c>
      <c r="W2657" s="15" t="str">
        <f t="shared" si="9"/>
        <v/>
      </c>
      <c r="X2657" s="15" t="str">
        <f t="shared" si="10"/>
        <v/>
      </c>
    </row>
    <row r="2658">
      <c r="A2658" s="26">
        <v>46132.0</v>
      </c>
      <c r="B2658" s="30"/>
      <c r="C2658" s="27" t="str">
        <f t="shared" si="192"/>
        <v/>
      </c>
      <c r="D2658" s="28" t="s">
        <v>100</v>
      </c>
      <c r="E2658" s="28" t="s">
        <v>1305</v>
      </c>
      <c r="F2658" s="28" t="s">
        <v>40</v>
      </c>
      <c r="G2658" s="28" t="s">
        <v>37</v>
      </c>
      <c r="H2658" s="29" t="s">
        <v>1016</v>
      </c>
      <c r="I2658" s="37">
        <v>14000.0</v>
      </c>
      <c r="J2658" s="34"/>
      <c r="K2658" s="34" t="str">
        <f t="shared" si="212"/>
        <v/>
      </c>
      <c r="L2658" s="28" t="s">
        <v>29</v>
      </c>
      <c r="M2658" s="28"/>
      <c r="N2658" s="28" t="s">
        <v>101</v>
      </c>
      <c r="O2658" s="10" t="str">
        <f t="shared" si="79"/>
        <v>04/2026</v>
      </c>
      <c r="P2658" s="10" t="str">
        <f t="shared" si="211"/>
        <v/>
      </c>
      <c r="Q2658" s="15" t="str">
        <f t="array" ref="Q2658">IFERROR(XLOOKUP(N2658,'Classificação'!A:A,'Classificação'!B:B),"")</f>
        <v>IMPOSTO DE RENDA - DAS</v>
      </c>
      <c r="R2658" s="15" t="str">
        <f t="array" ref="R2658">IFERROR(XLOOKUP(Q2658,'Classificação'!B:B,'Classificação'!C:C),"")</f>
        <v>DEDUÇÕES DA RECEITA BRUTA (-)</v>
      </c>
      <c r="S2658" s="15">
        <f t="shared" si="131"/>
        <v>20</v>
      </c>
      <c r="T2658" s="15">
        <f t="shared" si="128"/>
        <v>4</v>
      </c>
      <c r="U2658" s="15">
        <f t="shared" si="129"/>
        <v>2026</v>
      </c>
      <c r="V2658" s="15" t="str">
        <f t="shared" si="8"/>
        <v/>
      </c>
      <c r="W2658" s="15" t="str">
        <f t="shared" si="9"/>
        <v/>
      </c>
      <c r="X2658" s="15" t="str">
        <f t="shared" si="10"/>
        <v/>
      </c>
    </row>
    <row r="2659">
      <c r="A2659" s="26">
        <v>46132.0</v>
      </c>
      <c r="B2659" s="28"/>
      <c r="C2659" s="27" t="str">
        <f t="shared" si="192"/>
        <v/>
      </c>
      <c r="D2659" s="28" t="s">
        <v>123</v>
      </c>
      <c r="E2659" s="28" t="s">
        <v>1305</v>
      </c>
      <c r="F2659" s="28" t="s">
        <v>40</v>
      </c>
      <c r="G2659" s="28" t="s">
        <v>27</v>
      </c>
      <c r="H2659" s="29" t="s">
        <v>1184</v>
      </c>
      <c r="I2659" s="24">
        <v>572.0</v>
      </c>
      <c r="J2659" s="34"/>
      <c r="K2659" s="34" t="str">
        <f t="shared" si="212"/>
        <v/>
      </c>
      <c r="L2659" s="28" t="s">
        <v>29</v>
      </c>
      <c r="M2659" s="28"/>
      <c r="N2659" s="28" t="s">
        <v>123</v>
      </c>
      <c r="O2659" s="10" t="str">
        <f t="shared" si="79"/>
        <v>04/2026</v>
      </c>
      <c r="P2659" s="10" t="str">
        <f t="shared" si="211"/>
        <v/>
      </c>
      <c r="Q2659" s="15" t="str">
        <f t="array" ref="Q2659">IFERROR(XLOOKUP(N2659,'Classificação'!A:A,'Classificação'!B:B),"")</f>
        <v>DESPESAS COM PESSOAL</v>
      </c>
      <c r="R2659" s="15" t="str">
        <f t="array" ref="R2659">IFERROR(XLOOKUP(Q2659,'Classificação'!B:B,'Classificação'!C:C),"")</f>
        <v>DESPESAS FIXAS (-)</v>
      </c>
      <c r="S2659" s="15">
        <f t="shared" si="131"/>
        <v>20</v>
      </c>
      <c r="T2659" s="15">
        <f t="shared" si="128"/>
        <v>4</v>
      </c>
      <c r="U2659" s="15">
        <f t="shared" si="129"/>
        <v>2026</v>
      </c>
      <c r="V2659" s="15" t="str">
        <f t="shared" si="8"/>
        <v/>
      </c>
      <c r="W2659" s="15" t="str">
        <f t="shared" si="9"/>
        <v/>
      </c>
      <c r="X2659" s="15" t="str">
        <f t="shared" si="10"/>
        <v/>
      </c>
    </row>
    <row r="2660">
      <c r="A2660" s="26">
        <v>46132.0</v>
      </c>
      <c r="B2660" s="28"/>
      <c r="C2660" s="27" t="str">
        <f t="shared" si="192"/>
        <v/>
      </c>
      <c r="D2660" s="28" t="s">
        <v>126</v>
      </c>
      <c r="E2660" s="28" t="s">
        <v>1305</v>
      </c>
      <c r="F2660" s="28" t="s">
        <v>40</v>
      </c>
      <c r="G2660" s="28" t="s">
        <v>27</v>
      </c>
      <c r="H2660" s="29" t="s">
        <v>1185</v>
      </c>
      <c r="I2660" s="24">
        <v>730.0</v>
      </c>
      <c r="J2660" s="34"/>
      <c r="K2660" s="34" t="str">
        <f t="shared" si="212"/>
        <v/>
      </c>
      <c r="L2660" s="28" t="s">
        <v>29</v>
      </c>
      <c r="M2660" s="28"/>
      <c r="N2660" s="28" t="s">
        <v>126</v>
      </c>
      <c r="O2660" s="10" t="str">
        <f t="shared" si="79"/>
        <v>04/2026</v>
      </c>
      <c r="P2660" s="10" t="str">
        <f t="shared" si="211"/>
        <v/>
      </c>
      <c r="Q2660" s="15" t="str">
        <f t="array" ref="Q2660">IFERROR(XLOOKUP(N2660,'Classificação'!A:A,'Classificação'!B:B),"")</f>
        <v>DESPESAS COM PESSOAL</v>
      </c>
      <c r="R2660" s="15" t="str">
        <f t="array" ref="R2660">IFERROR(XLOOKUP(Q2660,'Classificação'!B:B,'Classificação'!C:C),"")</f>
        <v>DESPESAS FIXAS (-)</v>
      </c>
      <c r="S2660" s="15">
        <f t="shared" si="131"/>
        <v>20</v>
      </c>
      <c r="T2660" s="15">
        <f t="shared" si="128"/>
        <v>4</v>
      </c>
      <c r="U2660" s="15">
        <f t="shared" si="129"/>
        <v>2026</v>
      </c>
      <c r="V2660" s="15" t="str">
        <f t="shared" si="8"/>
        <v/>
      </c>
      <c r="W2660" s="15" t="str">
        <f t="shared" si="9"/>
        <v/>
      </c>
      <c r="X2660" s="15" t="str">
        <f t="shared" si="10"/>
        <v/>
      </c>
    </row>
    <row r="2661">
      <c r="A2661" s="26">
        <v>46132.0</v>
      </c>
      <c r="B2661" s="28"/>
      <c r="C2661" s="27" t="str">
        <f t="shared" si="192"/>
        <v/>
      </c>
      <c r="D2661" s="28" t="s">
        <v>171</v>
      </c>
      <c r="E2661" s="28" t="s">
        <v>1305</v>
      </c>
      <c r="F2661" s="28" t="s">
        <v>40</v>
      </c>
      <c r="G2661" s="28" t="s">
        <v>27</v>
      </c>
      <c r="H2661" s="28"/>
      <c r="I2661" s="37">
        <v>150.0</v>
      </c>
      <c r="J2661" s="34"/>
      <c r="K2661" s="34" t="str">
        <f t="shared" si="212"/>
        <v/>
      </c>
      <c r="L2661" s="28" t="s">
        <v>29</v>
      </c>
      <c r="M2661" s="28"/>
      <c r="N2661" s="28" t="s">
        <v>172</v>
      </c>
      <c r="O2661" s="10" t="str">
        <f t="shared" si="79"/>
        <v>04/2026</v>
      </c>
      <c r="P2661" s="10" t="str">
        <f t="shared" ref="P2661:P2666" si="213">if(B2661="","", TEXT(B2661,"mm/yyyy"))</f>
        <v/>
      </c>
      <c r="Q2661" s="15" t="str">
        <f t="array" ref="Q2661">IFERROR(XLOOKUP(N2661,'Classificação'!A:A,'Classificação'!B:B),"")</f>
        <v>DESPESAS COM OCUPAÇÃO</v>
      </c>
      <c r="R2661" s="15" t="str">
        <f t="array" ref="R2661">IFERROR(XLOOKUP(Q2661,'Classificação'!B:B,'Classificação'!C:C),"")</f>
        <v>DESPESAS FIXAS (-)</v>
      </c>
      <c r="S2661" s="15">
        <f t="shared" si="131"/>
        <v>20</v>
      </c>
      <c r="T2661" s="15">
        <f t="shared" si="128"/>
        <v>4</v>
      </c>
      <c r="U2661" s="15">
        <f t="shared" si="129"/>
        <v>2026</v>
      </c>
      <c r="V2661" s="15" t="str">
        <f t="shared" si="8"/>
        <v/>
      </c>
      <c r="W2661" s="15" t="str">
        <f t="shared" si="9"/>
        <v/>
      </c>
      <c r="X2661" s="15" t="str">
        <f t="shared" si="10"/>
        <v/>
      </c>
    </row>
    <row r="2662">
      <c r="A2662" s="26">
        <v>46132.0</v>
      </c>
      <c r="B2662" s="39"/>
      <c r="C2662" s="9" t="str">
        <f t="shared" si="192"/>
        <v/>
      </c>
      <c r="D2662" s="28" t="s">
        <v>65</v>
      </c>
      <c r="E2662" s="28" t="s">
        <v>1305</v>
      </c>
      <c r="F2662" s="28" t="s">
        <v>107</v>
      </c>
      <c r="G2662" s="28" t="s">
        <v>27</v>
      </c>
      <c r="H2662" s="28" t="s">
        <v>612</v>
      </c>
      <c r="I2662" s="24">
        <v>8.9</v>
      </c>
      <c r="J2662" s="34"/>
      <c r="K2662" s="13" t="str">
        <f>if(E2662="pago",(I2662-J2662),"")</f>
        <v/>
      </c>
      <c r="L2662" s="28" t="s">
        <v>29</v>
      </c>
      <c r="M2662" s="28"/>
      <c r="N2662" s="28" t="s">
        <v>105</v>
      </c>
      <c r="O2662" s="10" t="str">
        <f t="shared" si="79"/>
        <v>04/2026</v>
      </c>
      <c r="P2662" s="10" t="str">
        <f t="shared" si="213"/>
        <v/>
      </c>
      <c r="Q2662" s="15" t="str">
        <f t="array" ref="Q2662">IFERROR(XLOOKUP(N2662,'Classificação'!A:A,'Classificação'!B:B),"")</f>
        <v>DESPESAS ADMINISTRATIVAS</v>
      </c>
      <c r="R2662" s="15" t="str">
        <f t="array" ref="R2662">IFERROR(XLOOKUP(Q2662,'Classificação'!B:B,'Classificação'!C:C),"")</f>
        <v>DESPESAS FIXAS (-)</v>
      </c>
      <c r="S2662" s="15">
        <f t="shared" si="131"/>
        <v>20</v>
      </c>
      <c r="T2662" s="15">
        <f t="shared" si="128"/>
        <v>4</v>
      </c>
      <c r="U2662" s="15">
        <f t="shared" si="129"/>
        <v>2026</v>
      </c>
      <c r="V2662" s="15" t="str">
        <f t="shared" si="8"/>
        <v/>
      </c>
      <c r="W2662" s="15" t="str">
        <f t="shared" si="9"/>
        <v/>
      </c>
      <c r="X2662" s="15" t="str">
        <f t="shared" si="10"/>
        <v/>
      </c>
    </row>
    <row r="2663">
      <c r="A2663" s="26">
        <v>46132.0</v>
      </c>
      <c r="B2663" s="28"/>
      <c r="C2663" s="27" t="str">
        <f t="shared" si="192"/>
        <v/>
      </c>
      <c r="D2663" s="28" t="s">
        <v>637</v>
      </c>
      <c r="E2663" s="28" t="s">
        <v>1305</v>
      </c>
      <c r="F2663" s="28" t="s">
        <v>40</v>
      </c>
      <c r="G2663" s="28" t="s">
        <v>27</v>
      </c>
      <c r="H2663" s="28"/>
      <c r="I2663" s="37">
        <v>170.0</v>
      </c>
      <c r="J2663" s="34"/>
      <c r="K2663" s="34" t="str">
        <f t="shared" ref="K2663:K2666" si="214">IF(E2663="pago",(I2663-J2663),"")</f>
        <v/>
      </c>
      <c r="L2663" s="28" t="s">
        <v>29</v>
      </c>
      <c r="M2663" s="28"/>
      <c r="N2663" s="28" t="s">
        <v>201</v>
      </c>
      <c r="O2663" s="10" t="str">
        <f t="shared" si="79"/>
        <v>04/2026</v>
      </c>
      <c r="P2663" s="10" t="str">
        <f t="shared" si="213"/>
        <v/>
      </c>
      <c r="Q2663" s="15" t="str">
        <f t="array" ref="Q2663">IFERROR(XLOOKUP(N2663,'Classificação'!A:A,'Classificação'!B:B),"")</f>
        <v>DESPESAS COM OCUPAÇÃO</v>
      </c>
      <c r="R2663" s="15" t="str">
        <f t="array" ref="R2663">IFERROR(XLOOKUP(Q2663,'Classificação'!B:B,'Classificação'!C:C),"")</f>
        <v>DESPESAS FIXAS (-)</v>
      </c>
      <c r="S2663" s="15">
        <f t="shared" si="131"/>
        <v>20</v>
      </c>
      <c r="T2663" s="15">
        <f t="shared" si="128"/>
        <v>4</v>
      </c>
      <c r="U2663" s="15">
        <f t="shared" si="129"/>
        <v>2026</v>
      </c>
      <c r="V2663" s="15" t="str">
        <f t="shared" si="8"/>
        <v/>
      </c>
      <c r="W2663" s="15" t="str">
        <f t="shared" si="9"/>
        <v/>
      </c>
      <c r="X2663" s="15" t="str">
        <f t="shared" si="10"/>
        <v/>
      </c>
    </row>
    <row r="2664">
      <c r="A2664" s="26">
        <v>46132.0</v>
      </c>
      <c r="B2664" s="28"/>
      <c r="C2664" s="27" t="str">
        <f t="shared" si="192"/>
        <v/>
      </c>
      <c r="D2664" s="28" t="s">
        <v>121</v>
      </c>
      <c r="E2664" s="28" t="s">
        <v>1305</v>
      </c>
      <c r="F2664" s="28" t="s">
        <v>107</v>
      </c>
      <c r="G2664" s="28" t="s">
        <v>27</v>
      </c>
      <c r="H2664" s="28"/>
      <c r="I2664" s="24">
        <v>79.9</v>
      </c>
      <c r="J2664" s="34"/>
      <c r="K2664" s="34" t="str">
        <f t="shared" si="214"/>
        <v/>
      </c>
      <c r="L2664" s="28" t="s">
        <v>29</v>
      </c>
      <c r="M2664" s="28"/>
      <c r="N2664" s="28" t="s">
        <v>105</v>
      </c>
      <c r="O2664" s="10" t="str">
        <f t="shared" si="79"/>
        <v>04/2026</v>
      </c>
      <c r="P2664" s="10" t="str">
        <f t="shared" si="213"/>
        <v/>
      </c>
      <c r="Q2664" s="15" t="str">
        <f t="array" ref="Q2664">IFERROR(XLOOKUP(N2664,'Classificação'!A:A,'Classificação'!B:B),"")</f>
        <v>DESPESAS ADMINISTRATIVAS</v>
      </c>
      <c r="R2664" s="15" t="str">
        <f t="array" ref="R2664">IFERROR(XLOOKUP(Q2664,'Classificação'!B:B,'Classificação'!C:C),"")</f>
        <v>DESPESAS FIXAS (-)</v>
      </c>
      <c r="S2664" s="15">
        <f t="shared" si="131"/>
        <v>20</v>
      </c>
      <c r="T2664" s="15">
        <f t="shared" si="128"/>
        <v>4</v>
      </c>
      <c r="U2664" s="15">
        <f t="shared" si="129"/>
        <v>2026</v>
      </c>
      <c r="V2664" s="15" t="str">
        <f t="shared" si="8"/>
        <v/>
      </c>
      <c r="W2664" s="15" t="str">
        <f t="shared" si="9"/>
        <v/>
      </c>
      <c r="X2664" s="15" t="str">
        <f t="shared" si="10"/>
        <v/>
      </c>
    </row>
    <row r="2665">
      <c r="A2665" s="26">
        <v>46132.0</v>
      </c>
      <c r="B2665" s="28"/>
      <c r="C2665" s="27" t="str">
        <f t="shared" si="192"/>
        <v/>
      </c>
      <c r="D2665" s="28" t="s">
        <v>104</v>
      </c>
      <c r="E2665" s="28" t="s">
        <v>1305</v>
      </c>
      <c r="F2665" s="28" t="s">
        <v>40</v>
      </c>
      <c r="G2665" s="28" t="s">
        <v>27</v>
      </c>
      <c r="H2665" s="29" t="s">
        <v>1186</v>
      </c>
      <c r="I2665" s="37">
        <v>450.0</v>
      </c>
      <c r="J2665" s="34"/>
      <c r="K2665" s="34" t="str">
        <f t="shared" si="214"/>
        <v/>
      </c>
      <c r="L2665" s="28" t="s">
        <v>29</v>
      </c>
      <c r="M2665" s="28"/>
      <c r="N2665" s="28" t="s">
        <v>105</v>
      </c>
      <c r="O2665" s="10" t="str">
        <f t="shared" si="79"/>
        <v>04/2026</v>
      </c>
      <c r="P2665" s="10" t="str">
        <f t="shared" si="213"/>
        <v/>
      </c>
      <c r="Q2665" s="15" t="str">
        <f t="array" ref="Q2665">IFERROR(XLOOKUP(N2665,'Classificação'!A:A,'Classificação'!B:B),"")</f>
        <v>DESPESAS ADMINISTRATIVAS</v>
      </c>
      <c r="R2665" s="15" t="str">
        <f t="array" ref="R2665">IFERROR(XLOOKUP(Q2665,'Classificação'!B:B,'Classificação'!C:C),"")</f>
        <v>DESPESAS FIXAS (-)</v>
      </c>
      <c r="S2665" s="15">
        <f t="shared" si="131"/>
        <v>20</v>
      </c>
      <c r="T2665" s="15">
        <f t="shared" si="128"/>
        <v>4</v>
      </c>
      <c r="U2665" s="15">
        <f t="shared" si="129"/>
        <v>2026</v>
      </c>
      <c r="V2665" s="15" t="str">
        <f t="shared" si="8"/>
        <v/>
      </c>
      <c r="W2665" s="15" t="str">
        <f t="shared" si="9"/>
        <v/>
      </c>
      <c r="X2665" s="15" t="str">
        <f t="shared" si="10"/>
        <v/>
      </c>
    </row>
    <row r="2666">
      <c r="A2666" s="26">
        <v>46132.0</v>
      </c>
      <c r="B2666" s="28"/>
      <c r="C2666" s="27" t="str">
        <f t="shared" si="192"/>
        <v/>
      </c>
      <c r="D2666" s="28" t="s">
        <v>44</v>
      </c>
      <c r="E2666" s="28" t="s">
        <v>1305</v>
      </c>
      <c r="F2666" s="28" t="s">
        <v>45</v>
      </c>
      <c r="G2666" s="28" t="s">
        <v>27</v>
      </c>
      <c r="H2666" s="28" t="s">
        <v>1308</v>
      </c>
      <c r="I2666" s="37">
        <v>125.0</v>
      </c>
      <c r="J2666" s="34"/>
      <c r="K2666" s="34" t="str">
        <f t="shared" si="214"/>
        <v/>
      </c>
      <c r="L2666" s="28" t="s">
        <v>29</v>
      </c>
      <c r="M2666" s="28"/>
      <c r="N2666" s="28" t="s">
        <v>47</v>
      </c>
      <c r="O2666" s="10" t="str">
        <f t="shared" si="79"/>
        <v>04/2026</v>
      </c>
      <c r="P2666" s="10" t="str">
        <f t="shared" si="213"/>
        <v/>
      </c>
      <c r="Q2666" s="15" t="str">
        <f t="array" ref="Q2666">IFERROR(XLOOKUP(N2666,'Classificação'!A:A,'Classificação'!B:B),"")</f>
        <v>DESPESAS NÃO OPERACIONAIS</v>
      </c>
      <c r="R2666" s="15" t="str">
        <f t="array" ref="R2666">IFERROR(XLOOKUP(Q2666,'Classificação'!B:B,'Classificação'!C:C),"")</f>
        <v>RESULTADO NÃO OPERACIONAL (+/-)</v>
      </c>
      <c r="S2666" s="15">
        <f t="shared" si="131"/>
        <v>20</v>
      </c>
      <c r="T2666" s="15">
        <f t="shared" si="128"/>
        <v>4</v>
      </c>
      <c r="U2666" s="15">
        <f t="shared" si="129"/>
        <v>2026</v>
      </c>
      <c r="V2666" s="15" t="str">
        <f t="shared" si="8"/>
        <v/>
      </c>
      <c r="W2666" s="15" t="str">
        <f t="shared" si="9"/>
        <v/>
      </c>
      <c r="X2666" s="15" t="str">
        <f t="shared" si="10"/>
        <v/>
      </c>
    </row>
    <row r="2667">
      <c r="A2667" s="9">
        <v>46132.0</v>
      </c>
      <c r="B2667" s="32">
        <v>46007.0</v>
      </c>
      <c r="C2667" s="9" t="str">
        <f t="shared" si="192"/>
        <v/>
      </c>
      <c r="D2667" s="11" t="s">
        <v>65</v>
      </c>
      <c r="E2667" s="29" t="s">
        <v>1305</v>
      </c>
      <c r="F2667" s="11" t="s">
        <v>107</v>
      </c>
      <c r="G2667" s="28" t="s">
        <v>27</v>
      </c>
      <c r="H2667" s="11" t="s">
        <v>1192</v>
      </c>
      <c r="I2667" s="12">
        <v>134.75</v>
      </c>
      <c r="J2667" s="13"/>
      <c r="K2667" s="13" t="str">
        <f t="shared" ref="K2667:K2670" si="215">if(E2667="pago",(I2667-J2667),"")</f>
        <v/>
      </c>
      <c r="L2667" s="11" t="s">
        <v>53</v>
      </c>
      <c r="M2667" s="17">
        <v>45751.0</v>
      </c>
      <c r="N2667" s="11" t="s">
        <v>64</v>
      </c>
      <c r="O2667" s="10" t="str">
        <f t="shared" si="79"/>
        <v>04/2026</v>
      </c>
      <c r="P2667" s="10" t="str">
        <f t="shared" ref="P2667:P2677" si="216">if(C2667="","", TEXT(C2667,"mm/yyyy"))</f>
        <v/>
      </c>
      <c r="Q2667" s="15" t="str">
        <f t="array" ref="Q2667">IFERROR(XLOOKUP(N2667,'Classificação'!A:A,'Classificação'!B:B),"")</f>
        <v>DESPESAS COM PESSOAL</v>
      </c>
      <c r="R2667" s="15" t="str">
        <f t="array" ref="R2667">IFERROR(XLOOKUP(Q2667,'Classificação'!B:B,'Classificação'!C:C),"")</f>
        <v>DESPESAS FIXAS (-)</v>
      </c>
      <c r="S2667" s="15">
        <f t="shared" si="131"/>
        <v>20</v>
      </c>
      <c r="T2667" s="15">
        <f t="shared" si="128"/>
        <v>4</v>
      </c>
      <c r="U2667" s="15">
        <f t="shared" si="129"/>
        <v>2026</v>
      </c>
      <c r="V2667" s="15" t="str">
        <f t="shared" si="8"/>
        <v/>
      </c>
      <c r="W2667" s="15" t="str">
        <f t="shared" si="9"/>
        <v/>
      </c>
      <c r="X2667" s="15" t="str">
        <f t="shared" si="10"/>
        <v/>
      </c>
    </row>
    <row r="2668">
      <c r="A2668" s="9">
        <v>46132.0</v>
      </c>
      <c r="B2668" s="9">
        <v>46098.0</v>
      </c>
      <c r="C2668" s="9" t="str">
        <f t="shared" si="192"/>
        <v/>
      </c>
      <c r="D2668" s="11" t="s">
        <v>1181</v>
      </c>
      <c r="E2668" s="29" t="s">
        <v>1305</v>
      </c>
      <c r="F2668" s="11" t="s">
        <v>107</v>
      </c>
      <c r="G2668" s="28" t="s">
        <v>27</v>
      </c>
      <c r="H2668" s="11" t="s">
        <v>1182</v>
      </c>
      <c r="I2668" s="12">
        <v>39.99</v>
      </c>
      <c r="J2668" s="13"/>
      <c r="K2668" s="13" t="str">
        <f t="shared" si="215"/>
        <v/>
      </c>
      <c r="L2668" s="11" t="s">
        <v>29</v>
      </c>
      <c r="M2668" s="14"/>
      <c r="N2668" s="11" t="s">
        <v>105</v>
      </c>
      <c r="O2668" s="10" t="str">
        <f t="shared" si="79"/>
        <v>04/2026</v>
      </c>
      <c r="P2668" s="10" t="str">
        <f t="shared" si="216"/>
        <v/>
      </c>
      <c r="Q2668" s="15" t="str">
        <f t="array" ref="Q2668">IFERROR(XLOOKUP(N2668,'Classificação'!A:A,'Classificação'!B:B),"")</f>
        <v>DESPESAS ADMINISTRATIVAS</v>
      </c>
      <c r="R2668" s="15" t="str">
        <f t="array" ref="R2668">IFERROR(XLOOKUP(Q2668,'Classificação'!B:B,'Classificação'!C:C),"")</f>
        <v>DESPESAS FIXAS (-)</v>
      </c>
      <c r="S2668" s="15">
        <f t="shared" si="131"/>
        <v>20</v>
      </c>
      <c r="T2668" s="15">
        <f t="shared" si="128"/>
        <v>4</v>
      </c>
      <c r="U2668" s="15">
        <f t="shared" si="129"/>
        <v>2026</v>
      </c>
      <c r="V2668" s="15" t="str">
        <f t="shared" si="8"/>
        <v/>
      </c>
      <c r="W2668" s="15" t="str">
        <f t="shared" si="9"/>
        <v/>
      </c>
      <c r="X2668" s="15" t="str">
        <f t="shared" si="10"/>
        <v/>
      </c>
    </row>
    <row r="2669">
      <c r="A2669" s="9">
        <v>46132.0</v>
      </c>
      <c r="B2669" s="32">
        <v>46010.0</v>
      </c>
      <c r="C2669" s="9" t="str">
        <f t="shared" si="192"/>
        <v/>
      </c>
      <c r="D2669" s="29" t="s">
        <v>1193</v>
      </c>
      <c r="E2669" s="28" t="s">
        <v>1305</v>
      </c>
      <c r="F2669" s="11" t="s">
        <v>107</v>
      </c>
      <c r="G2669" s="28" t="s">
        <v>27</v>
      </c>
      <c r="H2669" s="11" t="s">
        <v>1194</v>
      </c>
      <c r="I2669" s="31">
        <v>246.66</v>
      </c>
      <c r="J2669" s="12"/>
      <c r="K2669" s="13" t="str">
        <f t="shared" si="215"/>
        <v/>
      </c>
      <c r="L2669" s="28" t="s">
        <v>53</v>
      </c>
      <c r="M2669" s="17">
        <v>45812.0</v>
      </c>
      <c r="N2669" s="11" t="s">
        <v>95</v>
      </c>
      <c r="O2669" s="10" t="str">
        <f t="shared" si="79"/>
        <v>04/2026</v>
      </c>
      <c r="P2669" s="10" t="str">
        <f t="shared" si="216"/>
        <v/>
      </c>
      <c r="Q2669" s="15" t="str">
        <f t="array" ref="Q2669">IFERROR(XLOOKUP(N2669,'Classificação'!A:A,'Classificação'!B:B),"")</f>
        <v>DESPESAS NÃO OPERACIONAIS</v>
      </c>
      <c r="R2669" s="15" t="str">
        <f t="array" ref="R2669">IFERROR(XLOOKUP(Q2669,'Classificação'!B:B,'Classificação'!C:C),"")</f>
        <v>RESULTADO NÃO OPERACIONAL (+/-)</v>
      </c>
      <c r="S2669" s="15">
        <f t="shared" si="131"/>
        <v>20</v>
      </c>
      <c r="T2669" s="15">
        <f t="shared" si="128"/>
        <v>4</v>
      </c>
      <c r="U2669" s="15">
        <f t="shared" si="129"/>
        <v>2026</v>
      </c>
      <c r="V2669" s="15" t="str">
        <f t="shared" si="8"/>
        <v/>
      </c>
      <c r="W2669" s="15" t="str">
        <f t="shared" si="9"/>
        <v/>
      </c>
      <c r="X2669" s="15" t="str">
        <f t="shared" si="10"/>
        <v/>
      </c>
    </row>
    <row r="2670">
      <c r="A2670" s="9">
        <v>46132.0</v>
      </c>
      <c r="B2670" s="32">
        <v>46014.0</v>
      </c>
      <c r="C2670" s="9" t="str">
        <f t="shared" si="192"/>
        <v/>
      </c>
      <c r="D2670" s="11" t="s">
        <v>65</v>
      </c>
      <c r="E2670" s="11" t="s">
        <v>1305</v>
      </c>
      <c r="F2670" s="11" t="s">
        <v>107</v>
      </c>
      <c r="G2670" s="11" t="s">
        <v>27</v>
      </c>
      <c r="H2670" s="11" t="s">
        <v>1197</v>
      </c>
      <c r="I2670" s="31">
        <v>119.38</v>
      </c>
      <c r="J2670" s="13"/>
      <c r="K2670" s="13" t="str">
        <f t="shared" si="215"/>
        <v/>
      </c>
      <c r="L2670" s="11" t="s">
        <v>53</v>
      </c>
      <c r="M2670" s="17">
        <v>46146.0</v>
      </c>
      <c r="N2670" s="11" t="s">
        <v>95</v>
      </c>
      <c r="O2670" s="10" t="str">
        <f t="shared" si="79"/>
        <v>04/2026</v>
      </c>
      <c r="P2670" s="10" t="str">
        <f t="shared" si="216"/>
        <v/>
      </c>
      <c r="Q2670" s="15" t="str">
        <f t="array" ref="Q2670">IFERROR(XLOOKUP(N2670,'Classificação'!A:A,'Classificação'!B:B),"")</f>
        <v>DESPESAS NÃO OPERACIONAIS</v>
      </c>
      <c r="R2670" s="15" t="str">
        <f t="array" ref="R2670">IFERROR(XLOOKUP(Q2670,'Classificação'!B:B,'Classificação'!C:C),"")</f>
        <v>RESULTADO NÃO OPERACIONAL (+/-)</v>
      </c>
      <c r="S2670" s="15">
        <f t="shared" si="131"/>
        <v>20</v>
      </c>
      <c r="T2670" s="15">
        <f t="shared" si="128"/>
        <v>4</v>
      </c>
      <c r="U2670" s="15">
        <f t="shared" si="129"/>
        <v>2026</v>
      </c>
      <c r="V2670" s="15" t="str">
        <f t="shared" si="8"/>
        <v/>
      </c>
      <c r="W2670" s="15" t="str">
        <f t="shared" si="9"/>
        <v/>
      </c>
      <c r="X2670" s="15" t="str">
        <f t="shared" si="10"/>
        <v/>
      </c>
    </row>
    <row r="2671">
      <c r="A2671" s="9">
        <v>46132.0</v>
      </c>
      <c r="B2671" s="9">
        <v>46035.0</v>
      </c>
      <c r="C2671" s="9" t="str">
        <f t="shared" si="192"/>
        <v/>
      </c>
      <c r="D2671" s="11" t="s">
        <v>1243</v>
      </c>
      <c r="E2671" s="28" t="s">
        <v>1305</v>
      </c>
      <c r="F2671" s="11" t="s">
        <v>107</v>
      </c>
      <c r="G2671" s="28" t="s">
        <v>27</v>
      </c>
      <c r="H2671" s="11" t="s">
        <v>1244</v>
      </c>
      <c r="I2671" s="31">
        <v>220.0</v>
      </c>
      <c r="J2671" s="13"/>
      <c r="K2671" s="13"/>
      <c r="L2671" s="28" t="s">
        <v>53</v>
      </c>
      <c r="M2671" s="17">
        <v>46084.0</v>
      </c>
      <c r="N2671" s="11" t="s">
        <v>347</v>
      </c>
      <c r="O2671" s="10" t="str">
        <f t="shared" si="79"/>
        <v>04/2026</v>
      </c>
      <c r="P2671" s="10" t="str">
        <f t="shared" si="216"/>
        <v/>
      </c>
      <c r="Q2671" s="15" t="str">
        <f t="array" ref="Q2671">IFERROR(XLOOKUP(N2671,'Classificação'!A:A,'Classificação'!B:B),"")</f>
        <v>DESPESAS ADMINISTRATIVAS</v>
      </c>
      <c r="R2671" s="15" t="str">
        <f t="array" ref="R2671">IFERROR(XLOOKUP(Q2671,'Classificação'!B:B,'Classificação'!C:C),"")</f>
        <v>DESPESAS FIXAS (-)</v>
      </c>
      <c r="S2671" s="15">
        <f t="shared" si="131"/>
        <v>20</v>
      </c>
      <c r="T2671" s="15">
        <f t="shared" si="128"/>
        <v>4</v>
      </c>
      <c r="U2671" s="15">
        <f t="shared" si="129"/>
        <v>2026</v>
      </c>
      <c r="V2671" s="15" t="str">
        <f t="shared" si="8"/>
        <v/>
      </c>
      <c r="W2671" s="15" t="str">
        <f t="shared" si="9"/>
        <v/>
      </c>
      <c r="X2671" s="15" t="str">
        <f t="shared" si="10"/>
        <v/>
      </c>
    </row>
    <row r="2672">
      <c r="A2672" s="27">
        <v>46132.0</v>
      </c>
      <c r="B2672" s="28"/>
      <c r="C2672" s="27" t="str">
        <f t="shared" si="192"/>
        <v/>
      </c>
      <c r="D2672" s="28" t="s">
        <v>126</v>
      </c>
      <c r="E2672" s="28" t="s">
        <v>1305</v>
      </c>
      <c r="F2672" s="28" t="s">
        <v>40</v>
      </c>
      <c r="G2672" s="28" t="s">
        <v>27</v>
      </c>
      <c r="H2672" s="29" t="s">
        <v>1210</v>
      </c>
      <c r="I2672" s="24">
        <v>210.0</v>
      </c>
      <c r="J2672" s="34"/>
      <c r="K2672" s="34" t="str">
        <f t="shared" ref="K2672:K2673" si="217">IF(E2672="pago",(I2672-J2672),"")</f>
        <v/>
      </c>
      <c r="L2672" s="28" t="s">
        <v>29</v>
      </c>
      <c r="M2672" s="28"/>
      <c r="N2672" s="28" t="s">
        <v>126</v>
      </c>
      <c r="O2672" s="10" t="str">
        <f t="shared" si="79"/>
        <v>04/2026</v>
      </c>
      <c r="P2672" s="10" t="str">
        <f t="shared" si="216"/>
        <v/>
      </c>
      <c r="Q2672" s="15" t="str">
        <f t="array" ref="Q2672">IFERROR(XLOOKUP(N2672,'Classificação'!A:A,'Classificação'!B:B),"")</f>
        <v>DESPESAS COM PESSOAL</v>
      </c>
      <c r="R2672" s="15" t="str">
        <f t="array" ref="R2672">IFERROR(XLOOKUP(Q2672,'Classificação'!B:B,'Classificação'!C:C),"")</f>
        <v>DESPESAS FIXAS (-)</v>
      </c>
      <c r="S2672" s="15">
        <f t="shared" si="131"/>
        <v>20</v>
      </c>
      <c r="T2672" s="15">
        <f t="shared" si="128"/>
        <v>4</v>
      </c>
      <c r="U2672" s="15">
        <f t="shared" si="129"/>
        <v>2026</v>
      </c>
      <c r="V2672" s="15" t="str">
        <f t="shared" si="8"/>
        <v/>
      </c>
      <c r="W2672" s="15" t="str">
        <f t="shared" si="9"/>
        <v/>
      </c>
      <c r="X2672" s="15" t="str">
        <f t="shared" si="10"/>
        <v/>
      </c>
    </row>
    <row r="2673">
      <c r="A2673" s="27">
        <v>46132.0</v>
      </c>
      <c r="B2673" s="28"/>
      <c r="C2673" s="27" t="str">
        <f t="shared" si="192"/>
        <v/>
      </c>
      <c r="D2673" s="28" t="s">
        <v>123</v>
      </c>
      <c r="E2673" s="28" t="s">
        <v>1305</v>
      </c>
      <c r="F2673" s="28" t="s">
        <v>40</v>
      </c>
      <c r="G2673" s="28" t="s">
        <v>27</v>
      </c>
      <c r="H2673" s="29" t="s">
        <v>1180</v>
      </c>
      <c r="I2673" s="24">
        <v>217.0</v>
      </c>
      <c r="J2673" s="34"/>
      <c r="K2673" s="34" t="str">
        <f t="shared" si="217"/>
        <v/>
      </c>
      <c r="L2673" s="28" t="s">
        <v>29</v>
      </c>
      <c r="M2673" s="28"/>
      <c r="N2673" s="28" t="s">
        <v>123</v>
      </c>
      <c r="O2673" s="10" t="str">
        <f t="shared" si="79"/>
        <v>04/2026</v>
      </c>
      <c r="P2673" s="10" t="str">
        <f t="shared" si="216"/>
        <v/>
      </c>
      <c r="Q2673" s="15" t="str">
        <f t="array" ref="Q2673">IFERROR(XLOOKUP(N2673,'Classificação'!A:A,'Classificação'!B:B),"")</f>
        <v>DESPESAS COM PESSOAL</v>
      </c>
      <c r="R2673" s="15" t="str">
        <f t="array" ref="R2673">IFERROR(XLOOKUP(Q2673,'Classificação'!B:B,'Classificação'!C:C),"")</f>
        <v>DESPESAS FIXAS (-)</v>
      </c>
      <c r="S2673" s="15">
        <f t="shared" si="131"/>
        <v>20</v>
      </c>
      <c r="T2673" s="15">
        <f t="shared" si="128"/>
        <v>4</v>
      </c>
      <c r="U2673" s="15">
        <f t="shared" si="129"/>
        <v>2026</v>
      </c>
      <c r="V2673" s="15" t="str">
        <f t="shared" si="8"/>
        <v/>
      </c>
      <c r="W2673" s="15" t="str">
        <f t="shared" si="9"/>
        <v/>
      </c>
      <c r="X2673" s="15" t="str">
        <f t="shared" si="10"/>
        <v/>
      </c>
    </row>
    <row r="2674">
      <c r="A2674" s="9">
        <v>46132.0</v>
      </c>
      <c r="B2674" s="32"/>
      <c r="C2674" s="9" t="str">
        <f t="shared" si="192"/>
        <v/>
      </c>
      <c r="D2674" s="28" t="s">
        <v>369</v>
      </c>
      <c r="E2674" s="28" t="s">
        <v>1305</v>
      </c>
      <c r="F2674" s="28" t="s">
        <v>107</v>
      </c>
      <c r="G2674" s="28" t="s">
        <v>27</v>
      </c>
      <c r="H2674" s="11" t="s">
        <v>1247</v>
      </c>
      <c r="I2674" s="38">
        <v>29.9</v>
      </c>
      <c r="J2674" s="13"/>
      <c r="K2674" s="13" t="str">
        <f t="shared" ref="K2674:K2677" si="218">if(E2674="pago",(I2674-J2674),"")</f>
        <v/>
      </c>
      <c r="L2674" s="29" t="s">
        <v>29</v>
      </c>
      <c r="M2674" s="17"/>
      <c r="N2674" s="29" t="s">
        <v>105</v>
      </c>
      <c r="O2674" s="10" t="str">
        <f t="shared" si="79"/>
        <v>04/2026</v>
      </c>
      <c r="P2674" s="10" t="str">
        <f t="shared" si="216"/>
        <v/>
      </c>
      <c r="Q2674" s="15" t="str">
        <f t="array" ref="Q2674">IFERROR(XLOOKUP(N2674,'Classificação'!A:A,'Classificação'!B:B),"")</f>
        <v>DESPESAS ADMINISTRATIVAS</v>
      </c>
      <c r="R2674" s="15" t="str">
        <f t="array" ref="R2674">IFERROR(XLOOKUP(Q2674,'Classificação'!B:B,'Classificação'!C:C),"")</f>
        <v>DESPESAS FIXAS (-)</v>
      </c>
      <c r="S2674" s="15">
        <f t="shared" si="131"/>
        <v>20</v>
      </c>
      <c r="T2674" s="15">
        <f t="shared" si="128"/>
        <v>4</v>
      </c>
      <c r="U2674" s="15">
        <f t="shared" si="129"/>
        <v>2026</v>
      </c>
      <c r="V2674" s="15" t="str">
        <f t="shared" si="8"/>
        <v/>
      </c>
      <c r="W2674" s="15" t="str">
        <f t="shared" si="9"/>
        <v/>
      </c>
      <c r="X2674" s="15" t="str">
        <f t="shared" si="10"/>
        <v/>
      </c>
    </row>
    <row r="2675">
      <c r="A2675" s="9">
        <v>46132.0</v>
      </c>
      <c r="B2675" s="32">
        <v>46009.0</v>
      </c>
      <c r="C2675" s="9" t="str">
        <f>IF(E2676="pago",A2675,"")</f>
        <v/>
      </c>
      <c r="D2675" s="11" t="s">
        <v>1213</v>
      </c>
      <c r="E2675" s="28" t="s">
        <v>1305</v>
      </c>
      <c r="F2675" s="11" t="s">
        <v>107</v>
      </c>
      <c r="G2675" s="28" t="s">
        <v>27</v>
      </c>
      <c r="H2675" s="11" t="s">
        <v>1214</v>
      </c>
      <c r="I2675" s="31">
        <v>105.45</v>
      </c>
      <c r="J2675" s="13"/>
      <c r="K2675" s="13" t="str">
        <f t="shared" si="218"/>
        <v/>
      </c>
      <c r="L2675" s="11" t="s">
        <v>53</v>
      </c>
      <c r="M2675" s="17">
        <v>46146.0</v>
      </c>
      <c r="N2675" s="11" t="s">
        <v>95</v>
      </c>
      <c r="O2675" s="10" t="str">
        <f t="shared" si="79"/>
        <v>04/2026</v>
      </c>
      <c r="P2675" s="10" t="str">
        <f t="shared" si="216"/>
        <v/>
      </c>
      <c r="Q2675" s="15" t="str">
        <f t="array" ref="Q2675">IFERROR(XLOOKUP(N2675,'Classificação'!A:A,'Classificação'!B:B),"")</f>
        <v>DESPESAS NÃO OPERACIONAIS</v>
      </c>
      <c r="R2675" s="15" t="str">
        <f t="array" ref="R2675">IFERROR(XLOOKUP(Q2675,'Classificação'!B:B,'Classificação'!C:C),"")</f>
        <v>RESULTADO NÃO OPERACIONAL (+/-)</v>
      </c>
      <c r="S2675" s="15">
        <f t="shared" si="131"/>
        <v>20</v>
      </c>
      <c r="T2675" s="15">
        <f t="shared" si="128"/>
        <v>4</v>
      </c>
      <c r="U2675" s="15">
        <f t="shared" si="129"/>
        <v>2026</v>
      </c>
      <c r="V2675" s="15" t="str">
        <f t="shared" si="8"/>
        <v/>
      </c>
      <c r="W2675" s="15" t="str">
        <f t="shared" si="9"/>
        <v/>
      </c>
      <c r="X2675" s="15" t="str">
        <f t="shared" si="10"/>
        <v/>
      </c>
    </row>
    <row r="2676">
      <c r="A2676" s="9">
        <v>46132.0</v>
      </c>
      <c r="B2676" s="9">
        <v>46043.0</v>
      </c>
      <c r="C2676" s="9"/>
      <c r="D2676" s="11" t="s">
        <v>65</v>
      </c>
      <c r="E2676" s="28" t="s">
        <v>1305</v>
      </c>
      <c r="F2676" s="11" t="s">
        <v>107</v>
      </c>
      <c r="G2676" s="28" t="s">
        <v>27</v>
      </c>
      <c r="H2676" s="11" t="s">
        <v>1248</v>
      </c>
      <c r="I2676" s="31">
        <v>273.99</v>
      </c>
      <c r="J2676" s="13"/>
      <c r="K2676" s="13" t="str">
        <f t="shared" si="218"/>
        <v/>
      </c>
      <c r="L2676" s="28" t="s">
        <v>53</v>
      </c>
      <c r="M2676" s="17">
        <v>46084.0</v>
      </c>
      <c r="N2676" s="11" t="s">
        <v>143</v>
      </c>
      <c r="O2676" s="10" t="str">
        <f t="shared" si="79"/>
        <v>04/2026</v>
      </c>
      <c r="P2676" s="10" t="str">
        <f t="shared" si="216"/>
        <v/>
      </c>
      <c r="Q2676" s="15" t="str">
        <f t="array" ref="Q2676">IFERROR(XLOOKUP(N2676,'Classificação'!A:A,'Classificação'!B:B),"")</f>
        <v>EMBALAGENS/FITAS/GERAL</v>
      </c>
      <c r="R2676" s="15" t="str">
        <f t="array" ref="R2676">IFERROR(XLOOKUP(Q2676,'Classificação'!B:B,'Classificação'!C:C),"")</f>
        <v>CUSTOS VARIÁVEIS</v>
      </c>
      <c r="S2676" s="15">
        <f t="shared" si="131"/>
        <v>20</v>
      </c>
      <c r="T2676" s="15">
        <f t="shared" si="128"/>
        <v>4</v>
      </c>
      <c r="U2676" s="15">
        <f t="shared" si="129"/>
        <v>2026</v>
      </c>
      <c r="V2676" s="15" t="str">
        <f t="shared" si="8"/>
        <v/>
      </c>
      <c r="W2676" s="15" t="str">
        <f t="shared" si="9"/>
        <v/>
      </c>
      <c r="X2676" s="15" t="str">
        <f t="shared" si="10"/>
        <v/>
      </c>
    </row>
    <row r="2677">
      <c r="A2677" s="9">
        <v>46132.0</v>
      </c>
      <c r="B2677" s="9">
        <v>46043.0</v>
      </c>
      <c r="C2677" s="9"/>
      <c r="D2677" s="11" t="s">
        <v>65</v>
      </c>
      <c r="E2677" s="28" t="s">
        <v>1305</v>
      </c>
      <c r="F2677" s="11" t="s">
        <v>107</v>
      </c>
      <c r="G2677" s="28" t="s">
        <v>27</v>
      </c>
      <c r="H2677" s="11" t="s">
        <v>1248</v>
      </c>
      <c r="I2677" s="12">
        <v>231.32</v>
      </c>
      <c r="J2677" s="34"/>
      <c r="K2677" s="13" t="str">
        <f t="shared" si="218"/>
        <v/>
      </c>
      <c r="L2677" s="28" t="s">
        <v>53</v>
      </c>
      <c r="M2677" s="17">
        <v>46084.0</v>
      </c>
      <c r="N2677" s="11" t="s">
        <v>143</v>
      </c>
      <c r="O2677" s="10" t="str">
        <f t="shared" si="79"/>
        <v>04/2026</v>
      </c>
      <c r="P2677" s="10" t="str">
        <f t="shared" si="216"/>
        <v/>
      </c>
      <c r="Q2677" s="15" t="str">
        <f t="array" ref="Q2677">IFERROR(XLOOKUP(N2677,'Classificação'!A:A,'Classificação'!B:B),"")</f>
        <v>EMBALAGENS/FITAS/GERAL</v>
      </c>
      <c r="R2677" s="15" t="str">
        <f t="array" ref="R2677">IFERROR(XLOOKUP(Q2677,'Classificação'!B:B,'Classificação'!C:C),"")</f>
        <v>CUSTOS VARIÁVEIS</v>
      </c>
      <c r="S2677" s="15">
        <f t="shared" si="131"/>
        <v>20</v>
      </c>
      <c r="T2677" s="15">
        <f t="shared" si="128"/>
        <v>4</v>
      </c>
      <c r="U2677" s="15">
        <f t="shared" si="129"/>
        <v>2026</v>
      </c>
      <c r="V2677" s="15" t="str">
        <f t="shared" si="8"/>
        <v/>
      </c>
      <c r="W2677" s="15" t="str">
        <f t="shared" si="9"/>
        <v/>
      </c>
      <c r="X2677" s="15" t="str">
        <f t="shared" si="10"/>
        <v/>
      </c>
    </row>
    <row r="2678">
      <c r="A2678" s="26">
        <v>46132.0</v>
      </c>
      <c r="B2678" s="26">
        <v>46065.0</v>
      </c>
      <c r="C2678" s="27" t="str">
        <f t="shared" ref="C2678:C2694" si="219">IF(E2678="pago",A2678,"")</f>
        <v/>
      </c>
      <c r="D2678" s="29" t="s">
        <v>560</v>
      </c>
      <c r="E2678" s="28" t="s">
        <v>1305</v>
      </c>
      <c r="F2678" s="29" t="s">
        <v>107</v>
      </c>
      <c r="G2678" s="28" t="s">
        <v>27</v>
      </c>
      <c r="H2678" s="29" t="s">
        <v>1287</v>
      </c>
      <c r="I2678" s="24">
        <v>260.75</v>
      </c>
      <c r="J2678" s="34"/>
      <c r="K2678" s="34" t="str">
        <f>IF(E2678="pago",(I2678-J2678),"")</f>
        <v/>
      </c>
      <c r="L2678" s="29" t="s">
        <v>53</v>
      </c>
      <c r="M2678" s="35">
        <v>46114.0</v>
      </c>
      <c r="N2678" s="29" t="s">
        <v>175</v>
      </c>
      <c r="O2678" s="10" t="str">
        <f t="shared" si="79"/>
        <v>04/2026</v>
      </c>
      <c r="P2678" s="10" t="str">
        <f>if(B2678="","", TEXT(B2678,"mm/yyyy"))</f>
        <v>02/2026</v>
      </c>
      <c r="Q2678" s="15" t="str">
        <f t="array" ref="Q2678">IFERROR(XLOOKUP(N2678,'Classificação'!A:A,'Classificação'!B:B),"")</f>
        <v>DESPESAS COM VEICULOS</v>
      </c>
      <c r="R2678" s="15" t="str">
        <f t="array" ref="R2678">IFERROR(XLOOKUP(Q2678,'Classificação'!B:B,'Classificação'!C:C),"")</f>
        <v>DESPESAS FIXAS (-)</v>
      </c>
      <c r="S2678" s="15">
        <f t="shared" si="131"/>
        <v>20</v>
      </c>
      <c r="T2678" s="15">
        <f t="shared" si="128"/>
        <v>4</v>
      </c>
      <c r="U2678" s="15">
        <f t="shared" si="129"/>
        <v>2026</v>
      </c>
      <c r="V2678" s="15" t="str">
        <f t="shared" si="8"/>
        <v/>
      </c>
      <c r="W2678" s="15" t="str">
        <f t="shared" si="9"/>
        <v/>
      </c>
      <c r="X2678" s="15" t="str">
        <f t="shared" si="10"/>
        <v/>
      </c>
    </row>
    <row r="2679">
      <c r="A2679" s="9">
        <v>46132.0</v>
      </c>
      <c r="B2679" s="9">
        <v>46076.0</v>
      </c>
      <c r="C2679" s="9" t="str">
        <f t="shared" si="219"/>
        <v/>
      </c>
      <c r="D2679" s="29" t="s">
        <v>65</v>
      </c>
      <c r="E2679" s="28" t="s">
        <v>1305</v>
      </c>
      <c r="F2679" s="11" t="s">
        <v>107</v>
      </c>
      <c r="G2679" s="28" t="s">
        <v>27</v>
      </c>
      <c r="H2679" s="11" t="s">
        <v>1289</v>
      </c>
      <c r="I2679" s="12">
        <v>175.0</v>
      </c>
      <c r="J2679" s="13"/>
      <c r="K2679" s="13" t="str">
        <f t="shared" ref="K2679:K2687" si="220">if(E2679="pago",(I2679-J2679),"")</f>
        <v/>
      </c>
      <c r="L2679" s="11" t="s">
        <v>53</v>
      </c>
      <c r="M2679" s="17">
        <v>46055.0</v>
      </c>
      <c r="N2679" s="11" t="s">
        <v>143</v>
      </c>
      <c r="O2679" s="10" t="str">
        <f t="shared" si="79"/>
        <v>04/2026</v>
      </c>
      <c r="P2679" s="10" t="str">
        <f t="shared" ref="P2679:P2687" si="221">if(C2679="","", TEXT(C2679,"mm/yyyy"))</f>
        <v/>
      </c>
      <c r="Q2679" s="15" t="str">
        <f t="array" ref="Q2679">IFERROR(XLOOKUP(N2679,'Classificação'!A:A,'Classificação'!B:B),"")</f>
        <v>EMBALAGENS/FITAS/GERAL</v>
      </c>
      <c r="R2679" s="15" t="str">
        <f t="array" ref="R2679">IFERROR(XLOOKUP(Q2679,'Classificação'!B:B,'Classificação'!C:C),"")</f>
        <v>CUSTOS VARIÁVEIS</v>
      </c>
      <c r="S2679" s="15">
        <f t="shared" si="131"/>
        <v>20</v>
      </c>
      <c r="T2679" s="15">
        <f t="shared" si="128"/>
        <v>4</v>
      </c>
      <c r="U2679" s="15">
        <f t="shared" si="129"/>
        <v>2026</v>
      </c>
      <c r="V2679" s="15" t="str">
        <f t="shared" si="8"/>
        <v/>
      </c>
      <c r="W2679" s="15" t="str">
        <f t="shared" si="9"/>
        <v/>
      </c>
      <c r="X2679" s="15" t="str">
        <f t="shared" si="10"/>
        <v/>
      </c>
    </row>
    <row r="2680">
      <c r="A2680" s="9">
        <v>46132.0</v>
      </c>
      <c r="B2680" s="9">
        <v>46076.0</v>
      </c>
      <c r="C2680" s="9" t="str">
        <f t="shared" si="219"/>
        <v/>
      </c>
      <c r="D2680" s="29" t="s">
        <v>65</v>
      </c>
      <c r="E2680" s="28" t="s">
        <v>1305</v>
      </c>
      <c r="F2680" s="11" t="s">
        <v>107</v>
      </c>
      <c r="G2680" s="28" t="s">
        <v>27</v>
      </c>
      <c r="H2680" s="11" t="s">
        <v>1289</v>
      </c>
      <c r="I2680" s="12">
        <v>354.16</v>
      </c>
      <c r="J2680" s="13"/>
      <c r="K2680" s="13" t="str">
        <f t="shared" si="220"/>
        <v/>
      </c>
      <c r="L2680" s="11" t="s">
        <v>53</v>
      </c>
      <c r="M2680" s="17">
        <v>46055.0</v>
      </c>
      <c r="N2680" s="11" t="s">
        <v>143</v>
      </c>
      <c r="O2680" s="10" t="str">
        <f t="shared" si="79"/>
        <v>04/2026</v>
      </c>
      <c r="P2680" s="10" t="str">
        <f t="shared" si="221"/>
        <v/>
      </c>
      <c r="Q2680" s="15" t="str">
        <f t="array" ref="Q2680">IFERROR(XLOOKUP(N2680,'Classificação'!A:A,'Classificação'!B:B),"")</f>
        <v>EMBALAGENS/FITAS/GERAL</v>
      </c>
      <c r="R2680" s="15" t="str">
        <f t="array" ref="R2680">IFERROR(XLOOKUP(Q2680,'Classificação'!B:B,'Classificação'!C:C),"")</f>
        <v>CUSTOS VARIÁVEIS</v>
      </c>
      <c r="S2680" s="15">
        <f t="shared" si="131"/>
        <v>20</v>
      </c>
      <c r="T2680" s="15">
        <f t="shared" si="128"/>
        <v>4</v>
      </c>
      <c r="U2680" s="15">
        <f t="shared" si="129"/>
        <v>2026</v>
      </c>
      <c r="V2680" s="15" t="str">
        <f t="shared" si="8"/>
        <v/>
      </c>
      <c r="W2680" s="15" t="str">
        <f t="shared" si="9"/>
        <v/>
      </c>
      <c r="X2680" s="15" t="str">
        <f t="shared" si="10"/>
        <v/>
      </c>
    </row>
    <row r="2681">
      <c r="A2681" s="9">
        <v>46132.0</v>
      </c>
      <c r="B2681" s="9">
        <v>46072.0</v>
      </c>
      <c r="C2681" s="27" t="str">
        <f t="shared" si="219"/>
        <v/>
      </c>
      <c r="D2681" s="29" t="s">
        <v>1290</v>
      </c>
      <c r="E2681" s="28" t="s">
        <v>1305</v>
      </c>
      <c r="F2681" s="11" t="s">
        <v>107</v>
      </c>
      <c r="G2681" s="28" t="s">
        <v>27</v>
      </c>
      <c r="H2681" s="11" t="s">
        <v>1291</v>
      </c>
      <c r="I2681" s="12">
        <v>73.33</v>
      </c>
      <c r="J2681" s="34"/>
      <c r="K2681" s="13" t="str">
        <f t="shared" si="220"/>
        <v/>
      </c>
      <c r="L2681" s="11" t="s">
        <v>53</v>
      </c>
      <c r="M2681" s="35">
        <v>46083.0</v>
      </c>
      <c r="N2681" s="11" t="s">
        <v>175</v>
      </c>
      <c r="O2681" s="10" t="str">
        <f t="shared" si="79"/>
        <v>04/2026</v>
      </c>
      <c r="P2681" s="10" t="str">
        <f t="shared" si="221"/>
        <v/>
      </c>
      <c r="Q2681" s="15" t="str">
        <f t="array" ref="Q2681">IFERROR(XLOOKUP(N2681,'Classificação'!A:A,'Classificação'!B:B),"")</f>
        <v>DESPESAS COM VEICULOS</v>
      </c>
      <c r="R2681" s="15" t="str">
        <f t="array" ref="R2681">IFERROR(XLOOKUP(Q2681,'Classificação'!B:B,'Classificação'!C:C),"")</f>
        <v>DESPESAS FIXAS (-)</v>
      </c>
      <c r="S2681" s="15">
        <f t="shared" si="131"/>
        <v>20</v>
      </c>
      <c r="T2681" s="15">
        <f t="shared" si="128"/>
        <v>4</v>
      </c>
      <c r="U2681" s="15">
        <f t="shared" si="129"/>
        <v>2026</v>
      </c>
      <c r="V2681" s="15" t="str">
        <f t="shared" si="8"/>
        <v/>
      </c>
      <c r="W2681" s="15" t="str">
        <f t="shared" si="9"/>
        <v/>
      </c>
      <c r="X2681" s="15" t="str">
        <f t="shared" si="10"/>
        <v/>
      </c>
    </row>
    <row r="2682">
      <c r="A2682" s="9">
        <v>46132.0</v>
      </c>
      <c r="B2682" s="9">
        <v>46081.0</v>
      </c>
      <c r="C2682" s="9" t="str">
        <f t="shared" si="219"/>
        <v/>
      </c>
      <c r="D2682" s="11" t="s">
        <v>65</v>
      </c>
      <c r="E2682" s="28" t="s">
        <v>1305</v>
      </c>
      <c r="F2682" s="11" t="s">
        <v>107</v>
      </c>
      <c r="G2682" s="11" t="s">
        <v>27</v>
      </c>
      <c r="H2682" s="11" t="s">
        <v>1293</v>
      </c>
      <c r="I2682" s="31">
        <v>127.9</v>
      </c>
      <c r="J2682" s="13"/>
      <c r="K2682" s="13" t="str">
        <f t="shared" si="220"/>
        <v/>
      </c>
      <c r="L2682" s="11" t="s">
        <v>53</v>
      </c>
      <c r="M2682" s="17">
        <v>46358.0</v>
      </c>
      <c r="N2682" s="11" t="s">
        <v>95</v>
      </c>
      <c r="O2682" s="10" t="str">
        <f t="shared" si="79"/>
        <v>04/2026</v>
      </c>
      <c r="P2682" s="10" t="str">
        <f t="shared" si="221"/>
        <v/>
      </c>
      <c r="Q2682" s="15" t="str">
        <f t="array" ref="Q2682">IFERROR(XLOOKUP(N2682,'Classificação'!A:A,'Classificação'!B:B),"")</f>
        <v>DESPESAS NÃO OPERACIONAIS</v>
      </c>
      <c r="R2682" s="15" t="str">
        <f t="array" ref="R2682">IFERROR(XLOOKUP(Q2682,'Classificação'!B:B,'Classificação'!C:C),"")</f>
        <v>RESULTADO NÃO OPERACIONAL (+/-)</v>
      </c>
      <c r="S2682" s="15">
        <f t="shared" si="131"/>
        <v>20</v>
      </c>
      <c r="T2682" s="15">
        <f t="shared" si="128"/>
        <v>4</v>
      </c>
      <c r="U2682" s="15">
        <f t="shared" si="129"/>
        <v>2026</v>
      </c>
      <c r="V2682" s="15" t="str">
        <f t="shared" si="8"/>
        <v/>
      </c>
      <c r="W2682" s="15" t="str">
        <f t="shared" si="9"/>
        <v/>
      </c>
      <c r="X2682" s="15" t="str">
        <f t="shared" si="10"/>
        <v/>
      </c>
    </row>
    <row r="2683">
      <c r="A2683" s="9">
        <v>46132.0</v>
      </c>
      <c r="B2683" s="9">
        <v>46077.0</v>
      </c>
      <c r="C2683" s="9" t="str">
        <f t="shared" si="219"/>
        <v/>
      </c>
      <c r="D2683" s="11" t="s">
        <v>1294</v>
      </c>
      <c r="E2683" s="28" t="s">
        <v>1305</v>
      </c>
      <c r="F2683" s="11" t="s">
        <v>107</v>
      </c>
      <c r="G2683" s="28" t="s">
        <v>27</v>
      </c>
      <c r="H2683" s="11" t="s">
        <v>1295</v>
      </c>
      <c r="I2683" s="31">
        <v>185.2</v>
      </c>
      <c r="J2683" s="13"/>
      <c r="K2683" s="13" t="str">
        <f t="shared" si="220"/>
        <v/>
      </c>
      <c r="L2683" s="28" t="s">
        <v>53</v>
      </c>
      <c r="M2683" s="17">
        <v>46358.0</v>
      </c>
      <c r="N2683" s="11" t="s">
        <v>64</v>
      </c>
      <c r="O2683" s="10" t="str">
        <f t="shared" si="79"/>
        <v>04/2026</v>
      </c>
      <c r="P2683" s="10" t="str">
        <f t="shared" si="221"/>
        <v/>
      </c>
      <c r="Q2683" s="15" t="str">
        <f t="array" ref="Q2683">IFERROR(XLOOKUP(N2683,'Classificação'!A:A,'Classificação'!B:B),"")</f>
        <v>DESPESAS COM PESSOAL</v>
      </c>
      <c r="R2683" s="15" t="str">
        <f t="array" ref="R2683">IFERROR(XLOOKUP(Q2683,'Classificação'!B:B,'Classificação'!C:C),"")</f>
        <v>DESPESAS FIXAS (-)</v>
      </c>
      <c r="S2683" s="15">
        <f t="shared" si="131"/>
        <v>20</v>
      </c>
      <c r="T2683" s="15">
        <f t="shared" si="128"/>
        <v>4</v>
      </c>
      <c r="U2683" s="15">
        <f t="shared" si="129"/>
        <v>2026</v>
      </c>
      <c r="V2683" s="15" t="str">
        <f t="shared" si="8"/>
        <v/>
      </c>
      <c r="W2683" s="15" t="str">
        <f t="shared" si="9"/>
        <v/>
      </c>
      <c r="X2683" s="15" t="str">
        <f t="shared" si="10"/>
        <v/>
      </c>
    </row>
    <row r="2684">
      <c r="A2684" s="9">
        <v>46132.0</v>
      </c>
      <c r="B2684" s="9">
        <v>46100.0</v>
      </c>
      <c r="C2684" s="9" t="str">
        <f t="shared" si="219"/>
        <v/>
      </c>
      <c r="D2684" s="11" t="s">
        <v>1322</v>
      </c>
      <c r="E2684" s="28" t="s">
        <v>1305</v>
      </c>
      <c r="F2684" s="11" t="s">
        <v>107</v>
      </c>
      <c r="G2684" s="28" t="s">
        <v>27</v>
      </c>
      <c r="H2684" s="11" t="s">
        <v>1323</v>
      </c>
      <c r="I2684" s="31">
        <v>433.08</v>
      </c>
      <c r="J2684" s="13"/>
      <c r="K2684" s="13" t="str">
        <f t="shared" si="220"/>
        <v/>
      </c>
      <c r="L2684" s="11" t="s">
        <v>34</v>
      </c>
      <c r="M2684" s="14"/>
      <c r="N2684" s="11" t="s">
        <v>71</v>
      </c>
      <c r="O2684" s="10" t="str">
        <f t="shared" si="79"/>
        <v>04/2026</v>
      </c>
      <c r="P2684" s="10" t="str">
        <f t="shared" si="221"/>
        <v/>
      </c>
      <c r="R2684" s="15" t="str">
        <f t="array" ref="R2684">IFERROR(XLOOKUP(Q2684,'Classificação'!B:B,'Classificação'!C:C),"")</f>
        <v/>
      </c>
      <c r="S2684" s="15">
        <f t="shared" si="131"/>
        <v>20</v>
      </c>
      <c r="T2684" s="15">
        <f t="shared" si="128"/>
        <v>4</v>
      </c>
      <c r="U2684" s="15">
        <f t="shared" si="129"/>
        <v>2026</v>
      </c>
      <c r="V2684" s="15" t="str">
        <f t="shared" si="8"/>
        <v/>
      </c>
      <c r="W2684" s="15" t="str">
        <f t="shared" si="9"/>
        <v/>
      </c>
      <c r="X2684" s="15" t="str">
        <f t="shared" si="10"/>
        <v/>
      </c>
    </row>
    <row r="2685">
      <c r="A2685" s="9">
        <v>46132.0</v>
      </c>
      <c r="B2685" s="9">
        <v>46101.0</v>
      </c>
      <c r="C2685" s="9" t="str">
        <f t="shared" si="219"/>
        <v/>
      </c>
      <c r="D2685" s="11" t="s">
        <v>86</v>
      </c>
      <c r="E2685" s="28" t="s">
        <v>1305</v>
      </c>
      <c r="F2685" s="11" t="s">
        <v>87</v>
      </c>
      <c r="G2685" s="28" t="s">
        <v>27</v>
      </c>
      <c r="H2685" s="11" t="s">
        <v>1324</v>
      </c>
      <c r="I2685" s="31">
        <v>2632.5</v>
      </c>
      <c r="J2685" s="13"/>
      <c r="K2685" s="13" t="str">
        <f t="shared" si="220"/>
        <v/>
      </c>
      <c r="L2685" s="11" t="s">
        <v>53</v>
      </c>
      <c r="M2685" s="17">
        <v>46113.0</v>
      </c>
      <c r="N2685" s="11" t="s">
        <v>35</v>
      </c>
      <c r="O2685" s="10" t="str">
        <f t="shared" si="79"/>
        <v>04/2026</v>
      </c>
      <c r="P2685" s="10" t="str">
        <f t="shared" si="221"/>
        <v/>
      </c>
      <c r="Q2685" s="15" t="str">
        <f t="array" ref="Q2685">IFERROR(XLOOKUP(N2685,'Classificação'!A:A,'Classificação'!B:B),"")</f>
        <v>COMPRA DE MERCADORIA</v>
      </c>
      <c r="R2685" s="15" t="str">
        <f t="array" ref="R2685">IFERROR(XLOOKUP(Q2685,'Classificação'!B:B,'Classificação'!C:C),"")</f>
        <v>CUSTOS VARIÁVEIS</v>
      </c>
      <c r="S2685" s="15">
        <f t="shared" si="131"/>
        <v>20</v>
      </c>
      <c r="T2685" s="15">
        <f t="shared" si="128"/>
        <v>4</v>
      </c>
      <c r="U2685" s="15">
        <f t="shared" si="129"/>
        <v>2026</v>
      </c>
      <c r="V2685" s="15" t="str">
        <f t="shared" si="8"/>
        <v/>
      </c>
      <c r="W2685" s="15" t="str">
        <f t="shared" si="9"/>
        <v/>
      </c>
      <c r="X2685" s="15" t="str">
        <f t="shared" si="10"/>
        <v/>
      </c>
    </row>
    <row r="2686">
      <c r="A2686" s="9">
        <v>46132.0</v>
      </c>
      <c r="B2686" s="9">
        <v>46101.0</v>
      </c>
      <c r="C2686" s="9" t="str">
        <f t="shared" si="219"/>
        <v/>
      </c>
      <c r="D2686" s="11" t="s">
        <v>114</v>
      </c>
      <c r="E2686" s="28" t="s">
        <v>1305</v>
      </c>
      <c r="F2686" s="11" t="s">
        <v>107</v>
      </c>
      <c r="G2686" s="28" t="s">
        <v>27</v>
      </c>
      <c r="H2686" s="11" t="s">
        <v>1325</v>
      </c>
      <c r="I2686" s="31">
        <v>376.69</v>
      </c>
      <c r="J2686" s="13"/>
      <c r="K2686" s="13" t="str">
        <f t="shared" si="220"/>
        <v/>
      </c>
      <c r="L2686" s="11" t="s">
        <v>34</v>
      </c>
      <c r="M2686" s="14"/>
      <c r="N2686" s="11" t="s">
        <v>259</v>
      </c>
      <c r="O2686" s="10" t="str">
        <f t="shared" si="79"/>
        <v>04/2026</v>
      </c>
      <c r="P2686" s="10" t="str">
        <f t="shared" si="221"/>
        <v/>
      </c>
      <c r="Q2686" s="15" t="str">
        <f t="array" ref="Q2686">IFERROR(XLOOKUP(N2686,'Classificação'!A:A,'Classificação'!B:B),"")</f>
        <v>DESPESAS ADMINISTRATIVAS</v>
      </c>
      <c r="R2686" s="15" t="str">
        <f t="array" ref="R2686">IFERROR(XLOOKUP(Q2686,'Classificação'!B:B,'Classificação'!C:C),"")</f>
        <v>DESPESAS FIXAS (-)</v>
      </c>
      <c r="S2686" s="15">
        <f t="shared" si="131"/>
        <v>20</v>
      </c>
      <c r="T2686" s="15">
        <f t="shared" si="128"/>
        <v>4</v>
      </c>
      <c r="U2686" s="15">
        <f t="shared" si="129"/>
        <v>2026</v>
      </c>
      <c r="V2686" s="15" t="str">
        <f t="shared" si="8"/>
        <v/>
      </c>
      <c r="W2686" s="15" t="str">
        <f t="shared" si="9"/>
        <v/>
      </c>
      <c r="X2686" s="15" t="str">
        <f t="shared" si="10"/>
        <v/>
      </c>
    </row>
    <row r="2687">
      <c r="A2687" s="9">
        <v>46132.0</v>
      </c>
      <c r="B2687" s="9">
        <v>46104.0</v>
      </c>
      <c r="C2687" s="9" t="str">
        <f t="shared" si="219"/>
        <v/>
      </c>
      <c r="D2687" s="11" t="s">
        <v>1326</v>
      </c>
      <c r="E2687" s="28" t="s">
        <v>1305</v>
      </c>
      <c r="F2687" s="29" t="s">
        <v>107</v>
      </c>
      <c r="G2687" s="28" t="s">
        <v>27</v>
      </c>
      <c r="H2687" s="11" t="s">
        <v>1327</v>
      </c>
      <c r="I2687" s="31">
        <v>5.0</v>
      </c>
      <c r="J2687" s="13"/>
      <c r="K2687" s="13" t="str">
        <f t="shared" si="220"/>
        <v/>
      </c>
      <c r="L2687" s="28" t="s">
        <v>34</v>
      </c>
      <c r="M2687" s="14"/>
      <c r="N2687" s="11" t="s">
        <v>120</v>
      </c>
      <c r="O2687" s="10" t="str">
        <f t="shared" si="79"/>
        <v>04/2026</v>
      </c>
      <c r="P2687" s="10" t="str">
        <f t="shared" si="221"/>
        <v/>
      </c>
      <c r="Q2687" s="15" t="str">
        <f t="array" ref="Q2687">IFERROR(XLOOKUP(N2687,'Classificação'!A:A,'Classificação'!B:B),"")</f>
        <v>DESPESAS ADMINISTRATIVAS</v>
      </c>
      <c r="R2687" s="15" t="str">
        <f t="array" ref="R2687">IFERROR(XLOOKUP(Q2687,'Classificação'!B:B,'Classificação'!C:C),"")</f>
        <v>DESPESAS FIXAS (-)</v>
      </c>
      <c r="S2687" s="15">
        <f t="shared" si="131"/>
        <v>20</v>
      </c>
      <c r="T2687" s="15">
        <f t="shared" si="128"/>
        <v>4</v>
      </c>
      <c r="U2687" s="15">
        <f t="shared" si="129"/>
        <v>2026</v>
      </c>
      <c r="V2687" s="15" t="str">
        <f t="shared" si="8"/>
        <v/>
      </c>
      <c r="W2687" s="15" t="str">
        <f t="shared" si="9"/>
        <v/>
      </c>
      <c r="X2687" s="15" t="str">
        <f t="shared" si="10"/>
        <v/>
      </c>
    </row>
    <row r="2688">
      <c r="A2688" s="9">
        <v>46133.0</v>
      </c>
      <c r="B2688" s="10"/>
      <c r="C2688" s="9" t="str">
        <f t="shared" si="219"/>
        <v/>
      </c>
      <c r="D2688" s="28" t="s">
        <v>76</v>
      </c>
      <c r="E2688" s="28" t="s">
        <v>1305</v>
      </c>
      <c r="F2688" s="28" t="s">
        <v>26</v>
      </c>
      <c r="G2688" s="28" t="s">
        <v>27</v>
      </c>
      <c r="H2688" s="28" t="s">
        <v>84</v>
      </c>
      <c r="I2688" s="24">
        <v>1214.27</v>
      </c>
      <c r="J2688" s="13"/>
      <c r="K2688" s="13"/>
      <c r="L2688" s="28" t="s">
        <v>53</v>
      </c>
      <c r="M2688" s="16" t="s">
        <v>1315</v>
      </c>
      <c r="N2688" s="28" t="s">
        <v>85</v>
      </c>
      <c r="O2688" s="10" t="str">
        <f t="shared" si="79"/>
        <v>04/2026</v>
      </c>
      <c r="P2688" s="10"/>
      <c r="Q2688" s="15" t="str">
        <f t="array" ref="Q2688">IFERROR(XLOOKUP(N2688,'Classificação'!A:A,'Classificação'!B:B),"")</f>
        <v>DESPESAS NÃO OPERACIONAIS</v>
      </c>
      <c r="R2688" s="15" t="str">
        <f t="array" ref="R2688">IFERROR(XLOOKUP(Q2688,'Classificação'!B:B,'Classificação'!C:C),"")</f>
        <v>RESULTADO NÃO OPERACIONAL (+/-)</v>
      </c>
      <c r="S2688" s="15">
        <f t="shared" si="131"/>
        <v>21</v>
      </c>
      <c r="T2688" s="15">
        <f t="shared" si="128"/>
        <v>4</v>
      </c>
      <c r="U2688" s="15">
        <f t="shared" si="129"/>
        <v>2026</v>
      </c>
      <c r="V2688" s="15" t="str">
        <f t="shared" si="8"/>
        <v/>
      </c>
      <c r="W2688" s="15" t="str">
        <f t="shared" si="9"/>
        <v/>
      </c>
      <c r="X2688" s="15" t="str">
        <f t="shared" si="10"/>
        <v/>
      </c>
    </row>
    <row r="2689">
      <c r="A2689" s="9">
        <v>46133.0</v>
      </c>
      <c r="B2689" s="9">
        <v>46043.0</v>
      </c>
      <c r="C2689" s="9" t="str">
        <f t="shared" si="219"/>
        <v/>
      </c>
      <c r="D2689" s="11" t="s">
        <v>86</v>
      </c>
      <c r="E2689" s="28" t="s">
        <v>1305</v>
      </c>
      <c r="F2689" s="11" t="s">
        <v>87</v>
      </c>
      <c r="G2689" s="28" t="s">
        <v>27</v>
      </c>
      <c r="H2689" s="11" t="s">
        <v>1328</v>
      </c>
      <c r="I2689" s="31">
        <v>2640.0</v>
      </c>
      <c r="J2689" s="13"/>
      <c r="K2689" s="13" t="str">
        <f t="shared" ref="K2689:K2692" si="222">if(E2689="pago",(I2689-J2689),"")</f>
        <v/>
      </c>
      <c r="L2689" s="28" t="s">
        <v>53</v>
      </c>
      <c r="M2689" s="17">
        <v>46115.0</v>
      </c>
      <c r="N2689" s="11" t="s">
        <v>35</v>
      </c>
      <c r="O2689" s="10" t="str">
        <f t="shared" si="79"/>
        <v>04/2026</v>
      </c>
      <c r="P2689" s="10" t="str">
        <f t="shared" ref="P2689:P2693" si="223">if(C2689="","", TEXT(C2689,"mm/yyyy"))</f>
        <v/>
      </c>
      <c r="Q2689" s="15" t="str">
        <f t="array" ref="Q2689">IFERROR(XLOOKUP(N2689,'Classificação'!A:A,'Classificação'!B:B),"")</f>
        <v>COMPRA DE MERCADORIA</v>
      </c>
      <c r="R2689" s="15" t="str">
        <f t="array" ref="R2689">IFERROR(XLOOKUP(Q2689,'Classificação'!B:B,'Classificação'!C:C),"")</f>
        <v>CUSTOS VARIÁVEIS</v>
      </c>
      <c r="S2689" s="15">
        <f t="shared" si="131"/>
        <v>21</v>
      </c>
      <c r="T2689" s="15">
        <f t="shared" si="128"/>
        <v>4</v>
      </c>
      <c r="U2689" s="15">
        <f t="shared" si="129"/>
        <v>2026</v>
      </c>
      <c r="V2689" s="15" t="str">
        <f t="shared" si="8"/>
        <v/>
      </c>
      <c r="W2689" s="15" t="str">
        <f t="shared" si="9"/>
        <v/>
      </c>
      <c r="X2689" s="15" t="str">
        <f t="shared" si="10"/>
        <v/>
      </c>
    </row>
    <row r="2690">
      <c r="A2690" s="26">
        <v>46134.0</v>
      </c>
      <c r="B2690" s="10"/>
      <c r="C2690" s="9" t="str">
        <f t="shared" si="219"/>
        <v/>
      </c>
      <c r="D2690" s="28" t="s">
        <v>36</v>
      </c>
      <c r="E2690" s="28" t="s">
        <v>1305</v>
      </c>
      <c r="F2690" s="28" t="s">
        <v>26</v>
      </c>
      <c r="G2690" s="28" t="s">
        <v>37</v>
      </c>
      <c r="I2690" s="37">
        <v>9000.0</v>
      </c>
      <c r="J2690" s="13"/>
      <c r="K2690" s="13" t="str">
        <f t="shared" si="222"/>
        <v/>
      </c>
      <c r="L2690" s="28" t="s">
        <v>29</v>
      </c>
      <c r="M2690" s="14"/>
      <c r="N2690" s="28" t="s">
        <v>38</v>
      </c>
      <c r="O2690" s="10" t="str">
        <f t="shared" si="79"/>
        <v>04/2026</v>
      </c>
      <c r="P2690" s="10" t="str">
        <f t="shared" si="223"/>
        <v/>
      </c>
      <c r="Q2690" s="15" t="str">
        <f t="array" ref="Q2690">IFERROR(XLOOKUP(N2690,'Classificação'!A:A,'Classificação'!B:B),"")</f>
        <v>DESPESAS COM PESSOAL</v>
      </c>
      <c r="R2690" s="15" t="str">
        <f t="array" ref="R2690">IFERROR(XLOOKUP(Q2690,'Classificação'!B:B,'Classificação'!C:C),"")</f>
        <v>DESPESAS FIXAS (-)</v>
      </c>
      <c r="S2690" s="15">
        <f t="shared" si="131"/>
        <v>22</v>
      </c>
      <c r="T2690" s="15">
        <f t="shared" si="128"/>
        <v>4</v>
      </c>
      <c r="U2690" s="15">
        <f t="shared" si="129"/>
        <v>2026</v>
      </c>
      <c r="V2690" s="15" t="str">
        <f t="shared" si="8"/>
        <v/>
      </c>
      <c r="W2690" s="15" t="str">
        <f t="shared" si="9"/>
        <v/>
      </c>
      <c r="X2690" s="15" t="str">
        <f t="shared" si="10"/>
        <v/>
      </c>
    </row>
    <row r="2691">
      <c r="A2691" s="26">
        <v>46134.0</v>
      </c>
      <c r="B2691" s="10"/>
      <c r="C2691" s="9" t="str">
        <f t="shared" si="219"/>
        <v/>
      </c>
      <c r="D2691" s="28" t="s">
        <v>43</v>
      </c>
      <c r="E2691" s="28" t="s">
        <v>1305</v>
      </c>
      <c r="F2691" s="29" t="s">
        <v>26</v>
      </c>
      <c r="G2691" s="28" t="s">
        <v>37</v>
      </c>
      <c r="I2691" s="37">
        <v>9000.0</v>
      </c>
      <c r="J2691" s="13"/>
      <c r="K2691" s="13" t="str">
        <f t="shared" si="222"/>
        <v/>
      </c>
      <c r="L2691" s="28" t="s">
        <v>29</v>
      </c>
      <c r="M2691" s="14"/>
      <c r="N2691" s="28" t="s">
        <v>38</v>
      </c>
      <c r="O2691" s="10" t="str">
        <f t="shared" si="79"/>
        <v>04/2026</v>
      </c>
      <c r="P2691" s="10" t="str">
        <f t="shared" si="223"/>
        <v/>
      </c>
      <c r="Q2691" s="15" t="str">
        <f t="array" ref="Q2691">IFERROR(XLOOKUP(N2691,'Classificação'!A:A,'Classificação'!B:B),"")</f>
        <v>DESPESAS COM PESSOAL</v>
      </c>
      <c r="R2691" s="15" t="str">
        <f t="array" ref="R2691">IFERROR(XLOOKUP(Q2691,'Classificação'!B:B,'Classificação'!C:C),"")</f>
        <v>DESPESAS FIXAS (-)</v>
      </c>
      <c r="S2691" s="15">
        <f t="shared" si="131"/>
        <v>22</v>
      </c>
      <c r="T2691" s="15">
        <f t="shared" si="128"/>
        <v>4</v>
      </c>
      <c r="U2691" s="15">
        <f t="shared" si="129"/>
        <v>2026</v>
      </c>
      <c r="V2691" s="15" t="str">
        <f t="shared" si="8"/>
        <v/>
      </c>
      <c r="W2691" s="15" t="str">
        <f t="shared" si="9"/>
        <v/>
      </c>
      <c r="X2691" s="15" t="str">
        <f t="shared" si="10"/>
        <v/>
      </c>
    </row>
    <row r="2692">
      <c r="A2692" s="9">
        <v>46134.0</v>
      </c>
      <c r="B2692" s="10"/>
      <c r="C2692" s="9" t="str">
        <f t="shared" si="219"/>
        <v/>
      </c>
      <c r="D2692" s="29" t="s">
        <v>177</v>
      </c>
      <c r="E2692" s="28" t="s">
        <v>1305</v>
      </c>
      <c r="F2692" s="29" t="s">
        <v>40</v>
      </c>
      <c r="G2692" s="28" t="s">
        <v>27</v>
      </c>
      <c r="H2692" s="29" t="s">
        <v>1218</v>
      </c>
      <c r="I2692" s="24">
        <v>158.5</v>
      </c>
      <c r="J2692" s="13"/>
      <c r="K2692" s="13" t="str">
        <f t="shared" si="222"/>
        <v/>
      </c>
      <c r="L2692" s="11" t="s">
        <v>53</v>
      </c>
      <c r="M2692" s="17">
        <v>45843.0</v>
      </c>
      <c r="N2692" s="11" t="s">
        <v>178</v>
      </c>
      <c r="O2692" s="10" t="str">
        <f t="shared" si="79"/>
        <v>04/2026</v>
      </c>
      <c r="P2692" s="10" t="str">
        <f t="shared" si="223"/>
        <v/>
      </c>
      <c r="Q2692" s="15" t="str">
        <f t="array" ref="Q2692">IFERROR(XLOOKUP(N2692,'Classificação'!A:A,'Classificação'!B:B),"")</f>
        <v>DESPESAS COM OCUPAÇÃO</v>
      </c>
      <c r="R2692" s="15" t="str">
        <f t="array" ref="R2692">IFERROR(XLOOKUP(Q2692,'Classificação'!B:B,'Classificação'!C:C),"")</f>
        <v>DESPESAS FIXAS (-)</v>
      </c>
      <c r="S2692" s="15">
        <f t="shared" si="131"/>
        <v>22</v>
      </c>
      <c r="T2692" s="15">
        <f t="shared" si="128"/>
        <v>4</v>
      </c>
      <c r="U2692" s="15">
        <f t="shared" si="129"/>
        <v>2026</v>
      </c>
      <c r="V2692" s="15" t="str">
        <f t="shared" si="8"/>
        <v/>
      </c>
      <c r="W2692" s="15" t="str">
        <f t="shared" si="9"/>
        <v/>
      </c>
      <c r="X2692" s="15" t="str">
        <f t="shared" si="10"/>
        <v/>
      </c>
    </row>
    <row r="2693">
      <c r="A2693" s="9">
        <v>46136.0</v>
      </c>
      <c r="B2693" s="10"/>
      <c r="C2693" s="9" t="str">
        <f t="shared" si="219"/>
        <v/>
      </c>
      <c r="D2693" s="28" t="s">
        <v>39</v>
      </c>
      <c r="E2693" s="28" t="s">
        <v>1305</v>
      </c>
      <c r="F2693" s="28" t="s">
        <v>40</v>
      </c>
      <c r="G2693" s="28" t="s">
        <v>27</v>
      </c>
      <c r="H2693" s="28" t="s">
        <v>640</v>
      </c>
      <c r="I2693" s="24">
        <v>148.07</v>
      </c>
      <c r="J2693" s="34"/>
      <c r="K2693" s="37" t="str">
        <f t="shared" ref="K2693:K2694" si="224">IF(E2693="pago",(I2693-J2693),"")</f>
        <v/>
      </c>
      <c r="L2693" s="28" t="s">
        <v>53</v>
      </c>
      <c r="M2693" s="40">
        <v>45932.0</v>
      </c>
      <c r="N2693" s="28" t="s">
        <v>355</v>
      </c>
      <c r="O2693" s="10" t="str">
        <f t="shared" si="79"/>
        <v>04/2026</v>
      </c>
      <c r="P2693" s="10" t="str">
        <f t="shared" si="223"/>
        <v/>
      </c>
      <c r="Q2693" s="15" t="str">
        <f t="array" ref="Q2693">IFERROR(XLOOKUP(N2693,'Classificação'!A:A,'Classificação'!B:B),"")</f>
        <v>IMPOSTOS E TAXAS DIVERSAS</v>
      </c>
      <c r="R2693" s="15" t="str">
        <f t="array" ref="R2693">IFERROR(XLOOKUP(Q2693,'Classificação'!B:B,'Classificação'!C:C),"")</f>
        <v>DESPESAS FIXAS (-)</v>
      </c>
      <c r="S2693" s="15">
        <f t="shared" si="131"/>
        <v>24</v>
      </c>
      <c r="T2693" s="15">
        <f t="shared" si="128"/>
        <v>4</v>
      </c>
      <c r="U2693" s="15">
        <f t="shared" si="129"/>
        <v>2026</v>
      </c>
      <c r="V2693" s="15" t="str">
        <f t="shared" si="8"/>
        <v/>
      </c>
      <c r="W2693" s="15" t="str">
        <f t="shared" si="9"/>
        <v/>
      </c>
      <c r="X2693" s="15" t="str">
        <f t="shared" si="10"/>
        <v/>
      </c>
    </row>
    <row r="2694">
      <c r="A2694" s="26">
        <v>46137.0</v>
      </c>
      <c r="B2694" s="28"/>
      <c r="C2694" s="27" t="str">
        <f t="shared" si="219"/>
        <v/>
      </c>
      <c r="D2694" s="28" t="s">
        <v>208</v>
      </c>
      <c r="E2694" s="28" t="s">
        <v>1305</v>
      </c>
      <c r="F2694" s="28" t="s">
        <v>40</v>
      </c>
      <c r="G2694" s="28" t="s">
        <v>27</v>
      </c>
      <c r="H2694" s="28" t="s">
        <v>209</v>
      </c>
      <c r="I2694" s="37">
        <v>204.96</v>
      </c>
      <c r="J2694" s="34"/>
      <c r="K2694" s="34" t="str">
        <f t="shared" si="224"/>
        <v/>
      </c>
      <c r="L2694" s="28" t="s">
        <v>29</v>
      </c>
      <c r="M2694" s="28"/>
      <c r="N2694" s="28" t="s">
        <v>210</v>
      </c>
      <c r="O2694" s="10" t="str">
        <f t="shared" si="79"/>
        <v>04/2026</v>
      </c>
      <c r="P2694" s="10" t="str">
        <f>if(B2694="","", TEXT(B2694,"mm/yyyy"))</f>
        <v/>
      </c>
      <c r="Q2694" s="15" t="str">
        <f t="array" ref="Q2694">IFERROR(XLOOKUP(N2694,'Classificação'!A:A,'Classificação'!B:B),"")</f>
        <v>DESPESAS COM OCUPAÇÃO</v>
      </c>
      <c r="R2694" s="15" t="str">
        <f t="array" ref="R2694">IFERROR(XLOOKUP(Q2694,'Classificação'!B:B,'Classificação'!C:C),"")</f>
        <v>DESPESAS FIXAS (-)</v>
      </c>
      <c r="S2694" s="15">
        <f t="shared" si="131"/>
        <v>25</v>
      </c>
      <c r="T2694" s="15">
        <f t="shared" si="128"/>
        <v>4</v>
      </c>
      <c r="U2694" s="15">
        <f t="shared" si="129"/>
        <v>2026</v>
      </c>
      <c r="V2694" s="15" t="str">
        <f t="shared" si="8"/>
        <v/>
      </c>
      <c r="W2694" s="15" t="str">
        <f t="shared" si="9"/>
        <v/>
      </c>
      <c r="X2694" s="15" t="str">
        <f t="shared" si="10"/>
        <v/>
      </c>
    </row>
    <row r="2695">
      <c r="A2695" s="9">
        <v>46137.0</v>
      </c>
      <c r="B2695" s="32">
        <v>46013.0</v>
      </c>
      <c r="C2695" s="9" t="str">
        <f>IF(E2695="pago",A2694,"")</f>
        <v/>
      </c>
      <c r="D2695" s="11" t="s">
        <v>1205</v>
      </c>
      <c r="E2695" s="28" t="s">
        <v>1305</v>
      </c>
      <c r="F2695" s="11" t="s">
        <v>107</v>
      </c>
      <c r="G2695" s="28" t="s">
        <v>27</v>
      </c>
      <c r="H2695" s="11" t="s">
        <v>1206</v>
      </c>
      <c r="I2695" s="31">
        <v>108.87</v>
      </c>
      <c r="J2695" s="13"/>
      <c r="K2695" s="13" t="str">
        <f t="shared" ref="K2695:K2697" si="225">if(E2695="pago",(I2695-J2695),"")</f>
        <v/>
      </c>
      <c r="L2695" s="11" t="s">
        <v>53</v>
      </c>
      <c r="M2695" s="17">
        <v>45751.0</v>
      </c>
      <c r="N2695" s="11" t="s">
        <v>175</v>
      </c>
      <c r="O2695" s="10" t="str">
        <f t="shared" si="79"/>
        <v>04/2026</v>
      </c>
      <c r="P2695" s="10" t="str">
        <f t="shared" ref="P2695:P2699" si="226">if(C2695="","", TEXT(C2695,"mm/yyyy"))</f>
        <v/>
      </c>
      <c r="Q2695" s="15" t="str">
        <f t="array" ref="Q2695">IFERROR(XLOOKUP(N2695,'Classificação'!A:A,'Classificação'!B:B),"")</f>
        <v>DESPESAS COM VEICULOS</v>
      </c>
      <c r="R2695" s="15" t="str">
        <f t="array" ref="R2695">IFERROR(XLOOKUP(Q2695,'Classificação'!B:B,'Classificação'!C:C),"")</f>
        <v>DESPESAS FIXAS (-)</v>
      </c>
      <c r="S2695" s="15">
        <f>iferror(DAY(A2694),"")</f>
        <v>25</v>
      </c>
      <c r="T2695" s="15">
        <f t="shared" si="128"/>
        <v>4</v>
      </c>
      <c r="U2695" s="15">
        <f t="shared" si="129"/>
        <v>2026</v>
      </c>
      <c r="V2695" s="15" t="str">
        <f t="shared" si="8"/>
        <v/>
      </c>
      <c r="W2695" s="15" t="str">
        <f t="shared" si="9"/>
        <v/>
      </c>
      <c r="X2695" s="15" t="str">
        <f t="shared" si="10"/>
        <v/>
      </c>
    </row>
    <row r="2696">
      <c r="A2696" s="9">
        <v>46137.0</v>
      </c>
      <c r="B2696" s="32">
        <v>46011.0</v>
      </c>
      <c r="C2696" s="9" t="str">
        <f t="shared" ref="C2696:C2755" si="227">IF(E2696="pago",A2696,"")</f>
        <v/>
      </c>
      <c r="D2696" s="11" t="s">
        <v>1207</v>
      </c>
      <c r="E2696" s="28" t="s">
        <v>1305</v>
      </c>
      <c r="F2696" s="11" t="s">
        <v>107</v>
      </c>
      <c r="G2696" s="28" t="s">
        <v>27</v>
      </c>
      <c r="H2696" s="11" t="s">
        <v>1204</v>
      </c>
      <c r="I2696" s="31">
        <v>70.13</v>
      </c>
      <c r="J2696" s="13"/>
      <c r="K2696" s="13" t="str">
        <f t="shared" si="225"/>
        <v/>
      </c>
      <c r="L2696" s="11" t="s">
        <v>53</v>
      </c>
      <c r="M2696" s="17">
        <v>45812.0</v>
      </c>
      <c r="N2696" s="11" t="s">
        <v>116</v>
      </c>
      <c r="O2696" s="10" t="str">
        <f t="shared" si="79"/>
        <v>04/2026</v>
      </c>
      <c r="P2696" s="10" t="str">
        <f t="shared" si="226"/>
        <v/>
      </c>
      <c r="Q2696" s="15" t="str">
        <f t="array" ref="Q2696">IFERROR(XLOOKUP(N2696,'Classificação'!A:A,'Classificação'!B:B),"")</f>
        <v>DESPESAS COM OCUPAÇÃO</v>
      </c>
      <c r="R2696" s="15" t="str">
        <f t="array" ref="R2696">IFERROR(XLOOKUP(Q2696,'Classificação'!B:B,'Classificação'!C:C),"")</f>
        <v>DESPESAS FIXAS (-)</v>
      </c>
      <c r="S2696" s="15">
        <f t="shared" ref="S2696:S3371" si="228">iferror(DAY(A2696),"")</f>
        <v>25</v>
      </c>
      <c r="T2696" s="15">
        <f t="shared" si="128"/>
        <v>4</v>
      </c>
      <c r="U2696" s="15">
        <f t="shared" si="129"/>
        <v>2026</v>
      </c>
      <c r="V2696" s="15" t="str">
        <f t="shared" si="8"/>
        <v/>
      </c>
      <c r="W2696" s="15" t="str">
        <f t="shared" si="9"/>
        <v/>
      </c>
      <c r="X2696" s="15" t="str">
        <f t="shared" si="10"/>
        <v/>
      </c>
    </row>
    <row r="2697">
      <c r="A2697" s="9">
        <v>46137.0</v>
      </c>
      <c r="B2697" s="32">
        <v>46021.0</v>
      </c>
      <c r="C2697" s="9" t="str">
        <f t="shared" si="227"/>
        <v/>
      </c>
      <c r="D2697" s="11" t="s">
        <v>691</v>
      </c>
      <c r="E2697" s="28" t="s">
        <v>1305</v>
      </c>
      <c r="F2697" s="11" t="s">
        <v>107</v>
      </c>
      <c r="G2697" s="28" t="s">
        <v>27</v>
      </c>
      <c r="H2697" s="11" t="s">
        <v>1209</v>
      </c>
      <c r="I2697" s="31">
        <v>1313.49</v>
      </c>
      <c r="J2697" s="13"/>
      <c r="K2697" s="13" t="str">
        <f t="shared" si="225"/>
        <v/>
      </c>
      <c r="L2697" s="11" t="s">
        <v>53</v>
      </c>
      <c r="M2697" s="17">
        <v>45812.0</v>
      </c>
      <c r="N2697" s="11" t="s">
        <v>61</v>
      </c>
      <c r="O2697" s="10" t="str">
        <f t="shared" si="79"/>
        <v>04/2026</v>
      </c>
      <c r="P2697" s="10" t="str">
        <f t="shared" si="226"/>
        <v/>
      </c>
      <c r="Q2697" s="15" t="str">
        <f t="array" ref="Q2697">IFERROR(XLOOKUP(N2697,'Classificação'!A:A,'Classificação'!B:B),"")</f>
        <v>DESPESAS ADMINISTRATIVAS</v>
      </c>
      <c r="R2697" s="15" t="str">
        <f t="array" ref="R2697">IFERROR(XLOOKUP(Q2697,'Classificação'!B:B,'Classificação'!C:C),"")</f>
        <v>DESPESAS FIXAS (-)</v>
      </c>
      <c r="S2697" s="15">
        <f t="shared" si="228"/>
        <v>25</v>
      </c>
      <c r="T2697" s="15">
        <f t="shared" si="128"/>
        <v>4</v>
      </c>
      <c r="U2697" s="15">
        <f t="shared" si="129"/>
        <v>2026</v>
      </c>
      <c r="V2697" s="15" t="str">
        <f t="shared" si="8"/>
        <v/>
      </c>
      <c r="W2697" s="15" t="str">
        <f t="shared" si="9"/>
        <v/>
      </c>
      <c r="X2697" s="15" t="str">
        <f t="shared" si="10"/>
        <v/>
      </c>
    </row>
    <row r="2698">
      <c r="A2698" s="26">
        <v>46137.0</v>
      </c>
      <c r="B2698" s="28"/>
      <c r="C2698" s="27" t="str">
        <f t="shared" si="227"/>
        <v/>
      </c>
      <c r="D2698" s="28" t="s">
        <v>828</v>
      </c>
      <c r="E2698" s="29" t="s">
        <v>1305</v>
      </c>
      <c r="F2698" s="28" t="s">
        <v>26</v>
      </c>
      <c r="G2698" s="28" t="s">
        <v>37</v>
      </c>
      <c r="H2698" s="28" t="s">
        <v>1220</v>
      </c>
      <c r="I2698" s="33">
        <v>107.81</v>
      </c>
      <c r="J2698" s="34"/>
      <c r="K2698" s="37" t="str">
        <f>IF(E2698="pago",(I2698-J2698),"")</f>
        <v/>
      </c>
      <c r="L2698" s="28" t="s">
        <v>34</v>
      </c>
      <c r="M2698" s="28"/>
      <c r="N2698" s="28" t="s">
        <v>105</v>
      </c>
      <c r="O2698" s="10" t="str">
        <f t="shared" si="79"/>
        <v>04/2026</v>
      </c>
      <c r="P2698" s="10" t="str">
        <f t="shared" si="226"/>
        <v/>
      </c>
      <c r="Q2698" s="15" t="str">
        <f t="array" ref="Q2698">IFERROR(XLOOKUP(N2698,'Classificação'!A:A,'Classificação'!B:B),"")</f>
        <v>DESPESAS ADMINISTRATIVAS</v>
      </c>
      <c r="R2698" s="15" t="str">
        <f t="array" ref="R2698">IFERROR(XLOOKUP(Q2698,'Classificação'!B:B,'Classificação'!C:C),"")</f>
        <v>DESPESAS FIXAS (-)</v>
      </c>
      <c r="S2698" s="15">
        <f t="shared" si="228"/>
        <v>25</v>
      </c>
      <c r="T2698" s="15">
        <f t="shared" si="128"/>
        <v>4</v>
      </c>
      <c r="U2698" s="15">
        <f t="shared" si="129"/>
        <v>2026</v>
      </c>
      <c r="V2698" s="15" t="str">
        <f t="shared" si="8"/>
        <v/>
      </c>
      <c r="W2698" s="15" t="str">
        <f t="shared" si="9"/>
        <v/>
      </c>
      <c r="X2698" s="15" t="str">
        <f t="shared" si="10"/>
        <v/>
      </c>
    </row>
    <row r="2699">
      <c r="A2699" s="26">
        <v>46138.0</v>
      </c>
      <c r="B2699" s="30"/>
      <c r="C2699" s="27" t="str">
        <f t="shared" si="227"/>
        <v/>
      </c>
      <c r="D2699" s="28" t="s">
        <v>44</v>
      </c>
      <c r="E2699" s="28" t="s">
        <v>1305</v>
      </c>
      <c r="F2699" s="28" t="s">
        <v>45</v>
      </c>
      <c r="G2699" s="28" t="s">
        <v>27</v>
      </c>
      <c r="H2699" s="29" t="s">
        <v>1329</v>
      </c>
      <c r="I2699" s="37">
        <v>2555.916475</v>
      </c>
      <c r="J2699" s="34"/>
      <c r="K2699" s="37"/>
      <c r="L2699" s="28" t="s">
        <v>53</v>
      </c>
      <c r="M2699" s="29" t="s">
        <v>1330</v>
      </c>
      <c r="N2699" s="28" t="s">
        <v>73</v>
      </c>
      <c r="O2699" s="10" t="str">
        <f t="shared" si="79"/>
        <v>04/2026</v>
      </c>
      <c r="P2699" s="10" t="str">
        <f t="shared" si="226"/>
        <v/>
      </c>
      <c r="Q2699" s="15" t="str">
        <f t="array" ref="Q2699">IFERROR(XLOOKUP(N2699,'Classificação'!A:A,'Classificação'!B:B),"")</f>
        <v>DESPESAS NÃO OPERACIONAIS</v>
      </c>
      <c r="R2699" s="15" t="str">
        <f t="array" ref="R2699">IFERROR(XLOOKUP(Q2699,'Classificação'!B:B,'Classificação'!C:C),"")</f>
        <v>RESULTADO NÃO OPERACIONAL (+/-)</v>
      </c>
      <c r="S2699" s="15">
        <f t="shared" si="228"/>
        <v>26</v>
      </c>
      <c r="T2699" s="15">
        <f t="shared" si="128"/>
        <v>4</v>
      </c>
      <c r="U2699" s="15">
        <f t="shared" si="129"/>
        <v>2026</v>
      </c>
      <c r="V2699" s="15" t="str">
        <f t="shared" si="8"/>
        <v/>
      </c>
      <c r="W2699" s="15" t="str">
        <f t="shared" si="9"/>
        <v/>
      </c>
      <c r="X2699" s="15" t="str">
        <f t="shared" si="10"/>
        <v/>
      </c>
    </row>
    <row r="2700">
      <c r="A2700" s="26">
        <v>46142.0</v>
      </c>
      <c r="B2700" s="28"/>
      <c r="C2700" s="27" t="str">
        <f t="shared" si="227"/>
        <v/>
      </c>
      <c r="D2700" s="28" t="s">
        <v>221</v>
      </c>
      <c r="E2700" s="28" t="s">
        <v>1305</v>
      </c>
      <c r="F2700" s="28" t="s">
        <v>32</v>
      </c>
      <c r="G2700" s="28" t="s">
        <v>27</v>
      </c>
      <c r="H2700" s="28" t="s">
        <v>222</v>
      </c>
      <c r="I2700" s="24">
        <v>406.0</v>
      </c>
      <c r="J2700" s="34"/>
      <c r="K2700" s="34" t="str">
        <f t="shared" ref="K2700:K2705" si="229">IF(E2700="pago",(I2700-J2700),"")</f>
        <v/>
      </c>
      <c r="L2700" s="28" t="s">
        <v>29</v>
      </c>
      <c r="M2700" s="14"/>
      <c r="N2700" s="11" t="s">
        <v>61</v>
      </c>
      <c r="O2700" s="10" t="str">
        <f t="shared" si="79"/>
        <v>04/2026</v>
      </c>
      <c r="P2700" s="10" t="str">
        <f>if(B2700="","", TEXT(B2700,"mm/yyyy"))</f>
        <v/>
      </c>
      <c r="Q2700" s="15" t="str">
        <f t="array" ref="Q2700">IFERROR(XLOOKUP(N2700,'Classificação'!A:A,'Classificação'!B:B),"")</f>
        <v>DESPESAS ADMINISTRATIVAS</v>
      </c>
      <c r="R2700" s="15" t="str">
        <f t="array" ref="R2700">IFERROR(XLOOKUP(Q2700,'Classificação'!B:B,'Classificação'!C:C),"")</f>
        <v>DESPESAS FIXAS (-)</v>
      </c>
      <c r="S2700" s="15">
        <f t="shared" si="228"/>
        <v>30</v>
      </c>
      <c r="T2700" s="15">
        <f t="shared" si="128"/>
        <v>4</v>
      </c>
      <c r="U2700" s="15">
        <f t="shared" si="129"/>
        <v>2026</v>
      </c>
      <c r="V2700" s="15" t="str">
        <f t="shared" si="8"/>
        <v/>
      </c>
      <c r="W2700" s="15" t="str">
        <f t="shared" si="9"/>
        <v/>
      </c>
      <c r="X2700" s="15" t="str">
        <f t="shared" si="10"/>
        <v/>
      </c>
    </row>
    <row r="2701">
      <c r="A2701" s="26">
        <v>46142.0</v>
      </c>
      <c r="B2701" s="30"/>
      <c r="C2701" s="27" t="str">
        <f t="shared" si="227"/>
        <v/>
      </c>
      <c r="D2701" s="28" t="s">
        <v>80</v>
      </c>
      <c r="E2701" s="28" t="s">
        <v>1305</v>
      </c>
      <c r="F2701" s="28" t="s">
        <v>32</v>
      </c>
      <c r="G2701" s="28" t="s">
        <v>27</v>
      </c>
      <c r="H2701" s="29" t="s">
        <v>1150</v>
      </c>
      <c r="I2701" s="37">
        <v>1040.0</v>
      </c>
      <c r="J2701" s="34"/>
      <c r="K2701" s="34" t="str">
        <f t="shared" si="229"/>
        <v/>
      </c>
      <c r="L2701" s="28" t="s">
        <v>29</v>
      </c>
      <c r="M2701" s="28"/>
      <c r="N2701" s="28" t="s">
        <v>38</v>
      </c>
      <c r="O2701" s="10" t="str">
        <f t="shared" si="79"/>
        <v>04/2026</v>
      </c>
      <c r="P2701" s="10" t="str">
        <f t="shared" ref="P2701:P2702" si="230">if(C2701="","", TEXT(C2701,"mm/yyyy"))</f>
        <v/>
      </c>
      <c r="Q2701" s="15" t="str">
        <f t="array" ref="Q2701">IFERROR(XLOOKUP(N2701,'Classificação'!A:A,'Classificação'!B:B),"")</f>
        <v>DESPESAS COM PESSOAL</v>
      </c>
      <c r="R2701" s="15" t="str">
        <f t="array" ref="R2701">IFERROR(XLOOKUP(Q2701,'Classificação'!B:B,'Classificação'!C:C),"")</f>
        <v>DESPESAS FIXAS (-)</v>
      </c>
      <c r="S2701" s="15">
        <f t="shared" si="228"/>
        <v>30</v>
      </c>
      <c r="T2701" s="15">
        <f t="shared" si="128"/>
        <v>4</v>
      </c>
      <c r="U2701" s="15">
        <f t="shared" si="129"/>
        <v>2026</v>
      </c>
      <c r="V2701" s="15" t="str">
        <f t="shared" si="8"/>
        <v/>
      </c>
      <c r="W2701" s="15" t="str">
        <f t="shared" si="9"/>
        <v/>
      </c>
      <c r="X2701" s="15" t="str">
        <f t="shared" si="10"/>
        <v/>
      </c>
    </row>
    <row r="2702">
      <c r="A2702" s="26">
        <v>46142.0</v>
      </c>
      <c r="B2702" s="30"/>
      <c r="C2702" s="27" t="str">
        <f t="shared" si="227"/>
        <v/>
      </c>
      <c r="D2702" s="28" t="s">
        <v>80</v>
      </c>
      <c r="E2702" s="28" t="s">
        <v>1305</v>
      </c>
      <c r="F2702" s="28" t="s">
        <v>40</v>
      </c>
      <c r="G2702" s="28" t="s">
        <v>27</v>
      </c>
      <c r="H2702" s="29" t="s">
        <v>1100</v>
      </c>
      <c r="I2702" s="37">
        <v>550.0</v>
      </c>
      <c r="J2702" s="34"/>
      <c r="K2702" s="34" t="str">
        <f t="shared" si="229"/>
        <v/>
      </c>
      <c r="L2702" s="28" t="s">
        <v>29</v>
      </c>
      <c r="M2702" s="28"/>
      <c r="N2702" s="28" t="s">
        <v>204</v>
      </c>
      <c r="O2702" s="10" t="str">
        <f t="shared" si="79"/>
        <v>04/2026</v>
      </c>
      <c r="P2702" s="10" t="str">
        <f t="shared" si="230"/>
        <v/>
      </c>
      <c r="Q2702" s="15" t="str">
        <f t="array" ref="Q2702">IFERROR(XLOOKUP(N2702,'Classificação'!A:A,'Classificação'!B:B),"")</f>
        <v>DESPESAS COM PESSOAL</v>
      </c>
      <c r="R2702" s="15" t="str">
        <f t="array" ref="R2702">IFERROR(XLOOKUP(Q2702,'Classificação'!B:B,'Classificação'!C:C),"")</f>
        <v>DESPESAS FIXAS (-)</v>
      </c>
      <c r="S2702" s="15">
        <f t="shared" si="228"/>
        <v>30</v>
      </c>
      <c r="T2702" s="15">
        <f t="shared" si="128"/>
        <v>4</v>
      </c>
      <c r="U2702" s="15">
        <f t="shared" si="129"/>
        <v>2026</v>
      </c>
      <c r="V2702" s="15" t="str">
        <f t="shared" si="8"/>
        <v/>
      </c>
      <c r="W2702" s="15" t="str">
        <f t="shared" si="9"/>
        <v/>
      </c>
      <c r="X2702" s="15" t="str">
        <f t="shared" si="10"/>
        <v/>
      </c>
    </row>
    <row r="2703">
      <c r="A2703" s="26">
        <v>46142.0</v>
      </c>
      <c r="B2703" s="28"/>
      <c r="C2703" s="27" t="str">
        <f t="shared" si="227"/>
        <v/>
      </c>
      <c r="D2703" s="28" t="s">
        <v>223</v>
      </c>
      <c r="E2703" s="28" t="s">
        <v>1305</v>
      </c>
      <c r="F2703" s="28" t="s">
        <v>32</v>
      </c>
      <c r="G2703" s="28" t="s">
        <v>27</v>
      </c>
      <c r="H2703" s="29" t="s">
        <v>1231</v>
      </c>
      <c r="I2703" s="37">
        <v>100.0</v>
      </c>
      <c r="J2703" s="34"/>
      <c r="K2703" s="34" t="str">
        <f t="shared" si="229"/>
        <v/>
      </c>
      <c r="L2703" s="28" t="s">
        <v>29</v>
      </c>
      <c r="M2703" s="28"/>
      <c r="N2703" s="28" t="s">
        <v>224</v>
      </c>
      <c r="O2703" s="10" t="str">
        <f t="shared" si="79"/>
        <v>04/2026</v>
      </c>
      <c r="P2703" s="10" t="str">
        <f>if(B2703="","", TEXT(B2703,"mm/yyyy"))</f>
        <v/>
      </c>
      <c r="Q2703" s="15" t="str">
        <f t="array" ref="Q2703">IFERROR(XLOOKUP(N2703,'Classificação'!A:A,'Classificação'!B:B),"")</f>
        <v>DESPESAS ADMINISTRATIVAS</v>
      </c>
      <c r="R2703" s="15" t="str">
        <f t="array" ref="R2703">IFERROR(XLOOKUP(Q2703,'Classificação'!B:B,'Classificação'!C:C),"")</f>
        <v>DESPESAS FIXAS (-)</v>
      </c>
      <c r="S2703" s="15">
        <f t="shared" si="228"/>
        <v>30</v>
      </c>
      <c r="T2703" s="15">
        <f t="shared" si="128"/>
        <v>4</v>
      </c>
      <c r="U2703" s="15">
        <f t="shared" si="129"/>
        <v>2026</v>
      </c>
      <c r="V2703" s="15" t="str">
        <f t="shared" si="8"/>
        <v/>
      </c>
      <c r="W2703" s="15" t="str">
        <f t="shared" si="9"/>
        <v/>
      </c>
      <c r="X2703" s="15" t="str">
        <f t="shared" si="10"/>
        <v/>
      </c>
    </row>
    <row r="2704">
      <c r="A2704" s="26">
        <v>46142.0</v>
      </c>
      <c r="B2704" s="28"/>
      <c r="C2704" s="27" t="str">
        <f t="shared" si="227"/>
        <v/>
      </c>
      <c r="D2704" s="29" t="s">
        <v>1094</v>
      </c>
      <c r="E2704" s="28" t="s">
        <v>1305</v>
      </c>
      <c r="F2704" s="29" t="s">
        <v>26</v>
      </c>
      <c r="G2704" s="29" t="s">
        <v>37</v>
      </c>
      <c r="H2704" s="29" t="s">
        <v>1312</v>
      </c>
      <c r="I2704" s="24">
        <v>2380.0</v>
      </c>
      <c r="J2704" s="34"/>
      <c r="K2704" s="34" t="str">
        <f t="shared" si="229"/>
        <v/>
      </c>
      <c r="L2704" s="28" t="s">
        <v>29</v>
      </c>
      <c r="M2704" s="28"/>
      <c r="N2704" s="28" t="s">
        <v>38</v>
      </c>
      <c r="O2704" s="10" t="str">
        <f t="shared" si="79"/>
        <v>04/2026</v>
      </c>
      <c r="P2704" s="10" t="str">
        <f t="shared" ref="P2704:P2710" si="231">if(C2704="","", TEXT(C2704,"mm/yyyy"))</f>
        <v/>
      </c>
      <c r="Q2704" s="15" t="str">
        <f t="array" ref="Q2704">IFERROR(XLOOKUP(N2704,'Classificação'!A:A,'Classificação'!B:B),"")</f>
        <v>DESPESAS COM PESSOAL</v>
      </c>
      <c r="R2704" s="15" t="str">
        <f t="array" ref="R2704">IFERROR(XLOOKUP(Q2704,'Classificação'!B:B,'Classificação'!C:C),"")</f>
        <v>DESPESAS FIXAS (-)</v>
      </c>
      <c r="S2704" s="15">
        <f t="shared" si="228"/>
        <v>30</v>
      </c>
      <c r="T2704" s="15">
        <f t="shared" si="128"/>
        <v>4</v>
      </c>
      <c r="U2704" s="15">
        <f t="shared" si="129"/>
        <v>2026</v>
      </c>
      <c r="V2704" s="15" t="str">
        <f t="shared" si="8"/>
        <v/>
      </c>
      <c r="W2704" s="15" t="str">
        <f t="shared" si="9"/>
        <v/>
      </c>
      <c r="X2704" s="15" t="str">
        <f t="shared" si="10"/>
        <v/>
      </c>
    </row>
    <row r="2705">
      <c r="A2705" s="26">
        <v>46142.0</v>
      </c>
      <c r="B2705" s="28"/>
      <c r="C2705" s="27" t="str">
        <f t="shared" si="227"/>
        <v/>
      </c>
      <c r="D2705" s="29" t="s">
        <v>1094</v>
      </c>
      <c r="E2705" s="28" t="s">
        <v>1305</v>
      </c>
      <c r="F2705" s="28" t="s">
        <v>40</v>
      </c>
      <c r="G2705" s="29" t="s">
        <v>37</v>
      </c>
      <c r="H2705" s="28" t="s">
        <v>1100</v>
      </c>
      <c r="I2705" s="37">
        <v>550.0</v>
      </c>
      <c r="J2705" s="34"/>
      <c r="K2705" s="34" t="str">
        <f t="shared" si="229"/>
        <v/>
      </c>
      <c r="L2705" s="28" t="s">
        <v>29</v>
      </c>
      <c r="M2705" s="28"/>
      <c r="N2705" s="28" t="s">
        <v>204</v>
      </c>
      <c r="O2705" s="10" t="str">
        <f t="shared" si="79"/>
        <v>04/2026</v>
      </c>
      <c r="P2705" s="10" t="str">
        <f t="shared" si="231"/>
        <v/>
      </c>
      <c r="Q2705" s="15" t="str">
        <f t="array" ref="Q2705">IFERROR(XLOOKUP(N2705,'Classificação'!A:A,'Classificação'!B:B),"")</f>
        <v>DESPESAS COM PESSOAL</v>
      </c>
      <c r="R2705" s="15" t="str">
        <f t="array" ref="R2705">IFERROR(XLOOKUP(Q2705,'Classificação'!B:B,'Classificação'!C:C),"")</f>
        <v>DESPESAS FIXAS (-)</v>
      </c>
      <c r="S2705" s="15">
        <f t="shared" si="228"/>
        <v>30</v>
      </c>
      <c r="T2705" s="15">
        <f t="shared" si="128"/>
        <v>4</v>
      </c>
      <c r="U2705" s="15">
        <f t="shared" si="129"/>
        <v>2026</v>
      </c>
      <c r="V2705" s="15" t="str">
        <f t="shared" si="8"/>
        <v/>
      </c>
      <c r="W2705" s="15" t="str">
        <f t="shared" si="9"/>
        <v/>
      </c>
      <c r="X2705" s="15" t="str">
        <f t="shared" si="10"/>
        <v/>
      </c>
    </row>
    <row r="2706">
      <c r="A2706" s="9">
        <v>46142.0</v>
      </c>
      <c r="B2706" s="10"/>
      <c r="C2706" s="9" t="str">
        <f t="shared" si="227"/>
        <v/>
      </c>
      <c r="D2706" s="11" t="s">
        <v>1229</v>
      </c>
      <c r="E2706" s="28" t="s">
        <v>1305</v>
      </c>
      <c r="F2706" s="11" t="s">
        <v>26</v>
      </c>
      <c r="G2706" s="11" t="s">
        <v>37</v>
      </c>
      <c r="H2706" s="11" t="s">
        <v>1230</v>
      </c>
      <c r="I2706" s="31">
        <v>1260.0</v>
      </c>
      <c r="J2706" s="13"/>
      <c r="K2706" s="13" t="str">
        <f t="shared" ref="K2706:K2707" si="232">if(E2706="pago",(I2706-J2706),"")</f>
        <v/>
      </c>
      <c r="L2706" s="11" t="s">
        <v>29</v>
      </c>
      <c r="M2706" s="14"/>
      <c r="N2706" s="11" t="s">
        <v>58</v>
      </c>
      <c r="O2706" s="10" t="str">
        <f t="shared" si="79"/>
        <v>04/2026</v>
      </c>
      <c r="P2706" s="10" t="str">
        <f t="shared" si="231"/>
        <v/>
      </c>
      <c r="Q2706" s="15" t="str">
        <f t="array" ref="Q2706">IFERROR(XLOOKUP(N2706,'Classificação'!A:A,'Classificação'!B:B),"")</f>
        <v>DESPESAS ADMINISTRATIVAS</v>
      </c>
      <c r="R2706" s="15" t="str">
        <f t="array" ref="R2706">IFERROR(XLOOKUP(Q2706,'Classificação'!B:B,'Classificação'!C:C),"")</f>
        <v>DESPESAS FIXAS (-)</v>
      </c>
      <c r="S2706" s="15">
        <f t="shared" si="228"/>
        <v>30</v>
      </c>
      <c r="T2706" s="15">
        <f t="shared" si="128"/>
        <v>4</v>
      </c>
      <c r="U2706" s="15">
        <f t="shared" si="129"/>
        <v>2026</v>
      </c>
      <c r="V2706" s="15" t="str">
        <f t="shared" si="8"/>
        <v/>
      </c>
      <c r="W2706" s="15" t="str">
        <f t="shared" si="9"/>
        <v/>
      </c>
      <c r="X2706" s="15" t="str">
        <f t="shared" si="10"/>
        <v/>
      </c>
    </row>
    <row r="2707">
      <c r="A2707" s="26">
        <v>46143.0</v>
      </c>
      <c r="B2707" s="10"/>
      <c r="C2707" s="9" t="str">
        <f t="shared" si="227"/>
        <v/>
      </c>
      <c r="D2707" s="28" t="s">
        <v>322</v>
      </c>
      <c r="E2707" s="28" t="s">
        <v>1305</v>
      </c>
      <c r="F2707" s="15" t="s">
        <v>40</v>
      </c>
      <c r="G2707" s="28" t="s">
        <v>37</v>
      </c>
      <c r="H2707" s="29" t="s">
        <v>778</v>
      </c>
      <c r="I2707" s="37">
        <v>46.2</v>
      </c>
      <c r="J2707" s="13"/>
      <c r="K2707" s="13" t="str">
        <f t="shared" si="232"/>
        <v/>
      </c>
      <c r="L2707" s="15" t="s">
        <v>29</v>
      </c>
      <c r="M2707" s="14"/>
      <c r="N2707" s="28" t="s">
        <v>105</v>
      </c>
      <c r="O2707" s="10" t="str">
        <f t="shared" si="79"/>
        <v>05/2026</v>
      </c>
      <c r="P2707" s="10" t="str">
        <f t="shared" si="231"/>
        <v/>
      </c>
      <c r="Q2707" s="15" t="str">
        <f t="array" ref="Q2707">IFERROR(XLOOKUP(N2707,'Classificação'!A:A,'Classificação'!B:B),"")</f>
        <v>DESPESAS ADMINISTRATIVAS</v>
      </c>
      <c r="R2707" s="15" t="str">
        <f t="array" ref="R2707">IFERROR(XLOOKUP(Q2707,'Classificação'!B:B,'Classificação'!C:C),"")</f>
        <v>DESPESAS FIXAS (-)</v>
      </c>
      <c r="S2707" s="15">
        <f t="shared" si="228"/>
        <v>1</v>
      </c>
      <c r="T2707" s="15">
        <f t="shared" si="128"/>
        <v>5</v>
      </c>
      <c r="U2707" s="15">
        <f t="shared" si="129"/>
        <v>2026</v>
      </c>
      <c r="V2707" s="15" t="str">
        <f t="shared" si="8"/>
        <v/>
      </c>
      <c r="W2707" s="15" t="str">
        <f t="shared" si="9"/>
        <v/>
      </c>
      <c r="X2707" s="15" t="str">
        <f t="shared" si="10"/>
        <v/>
      </c>
    </row>
    <row r="2708">
      <c r="A2708" s="9">
        <v>46143.0</v>
      </c>
      <c r="B2708" s="10"/>
      <c r="C2708" s="9" t="str">
        <f t="shared" si="227"/>
        <v/>
      </c>
      <c r="D2708" s="28" t="s">
        <v>24</v>
      </c>
      <c r="E2708" s="28" t="s">
        <v>1305</v>
      </c>
      <c r="F2708" s="28" t="s">
        <v>26</v>
      </c>
      <c r="G2708" s="28" t="s">
        <v>27</v>
      </c>
      <c r="H2708" s="28" t="s">
        <v>28</v>
      </c>
      <c r="I2708" s="24">
        <v>6656.0</v>
      </c>
      <c r="J2708" s="34"/>
      <c r="K2708" s="34" t="str">
        <f>IF(E2708="pago",(I2708-J2708),"")</f>
        <v/>
      </c>
      <c r="L2708" s="28" t="s">
        <v>29</v>
      </c>
      <c r="M2708" s="28"/>
      <c r="N2708" s="28" t="s">
        <v>30</v>
      </c>
      <c r="O2708" s="10" t="str">
        <f t="shared" si="79"/>
        <v>05/2026</v>
      </c>
      <c r="P2708" s="10" t="str">
        <f t="shared" si="231"/>
        <v/>
      </c>
      <c r="Q2708" s="15" t="str">
        <f t="array" ref="Q2708">IFERROR(XLOOKUP(N2708,'Classificação'!A:A,'Classificação'!B:B),"")</f>
        <v>DESPESAS COM OCUPAÇÃO</v>
      </c>
      <c r="R2708" s="15" t="str">
        <f t="array" ref="R2708">IFERROR(XLOOKUP(Q2708,'Classificação'!B:B,'Classificação'!C:C),"")</f>
        <v>DESPESAS FIXAS (-)</v>
      </c>
      <c r="S2708" s="15">
        <f t="shared" si="228"/>
        <v>1</v>
      </c>
      <c r="T2708" s="15">
        <f t="shared" si="128"/>
        <v>5</v>
      </c>
      <c r="U2708" s="15">
        <f t="shared" si="129"/>
        <v>2026</v>
      </c>
      <c r="V2708" s="15" t="str">
        <f t="shared" si="8"/>
        <v/>
      </c>
      <c r="W2708" s="15" t="str">
        <f t="shared" si="9"/>
        <v/>
      </c>
      <c r="X2708" s="15" t="str">
        <f t="shared" si="10"/>
        <v/>
      </c>
    </row>
    <row r="2709">
      <c r="A2709" s="9">
        <v>46143.0</v>
      </c>
      <c r="B2709" s="10"/>
      <c r="C2709" s="9" t="str">
        <f t="shared" si="227"/>
        <v/>
      </c>
      <c r="D2709" s="28" t="s">
        <v>288</v>
      </c>
      <c r="E2709" s="28" t="s">
        <v>1305</v>
      </c>
      <c r="F2709" s="28" t="s">
        <v>26</v>
      </c>
      <c r="G2709" s="28" t="s">
        <v>27</v>
      </c>
      <c r="H2709" s="29" t="s">
        <v>1313</v>
      </c>
      <c r="I2709" s="24">
        <v>248.18</v>
      </c>
      <c r="J2709" s="34"/>
      <c r="K2709" s="13" t="str">
        <f t="shared" ref="K2709:K2710" si="233">if(E2709="pago",(I2709-J2709),"")</f>
        <v/>
      </c>
      <c r="L2709" s="28" t="s">
        <v>29</v>
      </c>
      <c r="M2709" s="28"/>
      <c r="N2709" s="28" t="s">
        <v>105</v>
      </c>
      <c r="O2709" s="10" t="str">
        <f t="shared" si="79"/>
        <v>05/2026</v>
      </c>
      <c r="P2709" s="10" t="str">
        <f t="shared" si="231"/>
        <v/>
      </c>
      <c r="Q2709" s="15" t="str">
        <f t="array" ref="Q2709">IFERROR(XLOOKUP(N2709,'Classificação'!A:A,'Classificação'!B:B),"")</f>
        <v>DESPESAS ADMINISTRATIVAS</v>
      </c>
      <c r="R2709" s="15" t="str">
        <f t="array" ref="R2709">IFERROR(XLOOKUP(Q2709,'Classificação'!B:B,'Classificação'!C:C),"")</f>
        <v>DESPESAS FIXAS (-)</v>
      </c>
      <c r="S2709" s="15">
        <f t="shared" si="228"/>
        <v>1</v>
      </c>
      <c r="T2709" s="15">
        <f t="shared" si="128"/>
        <v>5</v>
      </c>
      <c r="U2709" s="15">
        <f t="shared" si="129"/>
        <v>2026</v>
      </c>
      <c r="V2709" s="15" t="str">
        <f t="shared" si="8"/>
        <v/>
      </c>
      <c r="W2709" s="15" t="str">
        <f t="shared" si="9"/>
        <v/>
      </c>
      <c r="X2709" s="15" t="str">
        <f t="shared" si="10"/>
        <v/>
      </c>
    </row>
    <row r="2710">
      <c r="A2710" s="9">
        <v>46145.0</v>
      </c>
      <c r="B2710" s="10"/>
      <c r="C2710" s="9" t="str">
        <f t="shared" si="227"/>
        <v/>
      </c>
      <c r="D2710" s="11" t="s">
        <v>44</v>
      </c>
      <c r="E2710" s="11" t="s">
        <v>1305</v>
      </c>
      <c r="F2710" s="11" t="s">
        <v>45</v>
      </c>
      <c r="G2710" s="11" t="s">
        <v>27</v>
      </c>
      <c r="H2710" s="11" t="s">
        <v>651</v>
      </c>
      <c r="I2710" s="13">
        <v>2907.3109249999998</v>
      </c>
      <c r="J2710" s="13"/>
      <c r="K2710" s="13" t="str">
        <f t="shared" si="233"/>
        <v/>
      </c>
      <c r="L2710" s="11" t="s">
        <v>53</v>
      </c>
      <c r="M2710" s="16" t="s">
        <v>1331</v>
      </c>
      <c r="N2710" s="11" t="s">
        <v>73</v>
      </c>
      <c r="O2710" s="10" t="str">
        <f t="shared" si="79"/>
        <v>05/2026</v>
      </c>
      <c r="P2710" s="10" t="str">
        <f t="shared" si="231"/>
        <v/>
      </c>
      <c r="Q2710" s="15" t="str">
        <f t="array" ref="Q2710">IFERROR(XLOOKUP(N2710,'Classificação'!A:A,'Classificação'!B:B),"")</f>
        <v>DESPESAS NÃO OPERACIONAIS</v>
      </c>
      <c r="R2710" s="15" t="str">
        <f t="array" ref="R2710">IFERROR(XLOOKUP(Q2710,'Classificação'!B:B,'Classificação'!C:C),"")</f>
        <v>RESULTADO NÃO OPERACIONAL (+/-)</v>
      </c>
      <c r="S2710" s="15">
        <f t="shared" si="228"/>
        <v>3</v>
      </c>
      <c r="T2710" s="15">
        <f t="shared" si="128"/>
        <v>5</v>
      </c>
      <c r="U2710" s="15">
        <f t="shared" si="129"/>
        <v>2026</v>
      </c>
      <c r="V2710" s="15" t="str">
        <f t="shared" si="8"/>
        <v/>
      </c>
      <c r="W2710" s="15" t="str">
        <f t="shared" si="9"/>
        <v/>
      </c>
      <c r="X2710" s="15" t="str">
        <f t="shared" si="10"/>
        <v/>
      </c>
    </row>
    <row r="2711">
      <c r="A2711" s="9">
        <v>46147.0</v>
      </c>
      <c r="B2711" s="10"/>
      <c r="C2711" s="9" t="str">
        <f t="shared" si="227"/>
        <v/>
      </c>
      <c r="D2711" s="28" t="s">
        <v>76</v>
      </c>
      <c r="E2711" s="28" t="s">
        <v>1305</v>
      </c>
      <c r="F2711" s="28" t="s">
        <v>26</v>
      </c>
      <c r="G2711" s="28" t="s">
        <v>27</v>
      </c>
      <c r="H2711" s="28" t="s">
        <v>84</v>
      </c>
      <c r="I2711" s="24">
        <v>1214.27</v>
      </c>
      <c r="J2711" s="13"/>
      <c r="K2711" s="13"/>
      <c r="L2711" s="28" t="s">
        <v>53</v>
      </c>
      <c r="M2711" s="16" t="s">
        <v>1332</v>
      </c>
      <c r="N2711" s="28" t="s">
        <v>85</v>
      </c>
      <c r="O2711" s="10" t="str">
        <f t="shared" si="79"/>
        <v>05/2026</v>
      </c>
      <c r="P2711" s="10"/>
      <c r="Q2711" s="15" t="str">
        <f t="array" ref="Q2711">IFERROR(XLOOKUP(N2711,'Classificação'!A:A,'Classificação'!B:B),"")</f>
        <v>DESPESAS NÃO OPERACIONAIS</v>
      </c>
      <c r="R2711" s="15" t="str">
        <f t="array" ref="R2711">IFERROR(XLOOKUP(Q2711,'Classificação'!B:B,'Classificação'!C:C),"")</f>
        <v>RESULTADO NÃO OPERACIONAL (+/-)</v>
      </c>
      <c r="S2711" s="15">
        <f t="shared" si="228"/>
        <v>5</v>
      </c>
      <c r="T2711" s="15">
        <f t="shared" si="128"/>
        <v>5</v>
      </c>
      <c r="U2711" s="15">
        <f t="shared" si="129"/>
        <v>2026</v>
      </c>
      <c r="V2711" s="15" t="str">
        <f t="shared" si="8"/>
        <v/>
      </c>
      <c r="W2711" s="15" t="str">
        <f t="shared" si="9"/>
        <v/>
      </c>
      <c r="X2711" s="15" t="str">
        <f t="shared" si="10"/>
        <v/>
      </c>
    </row>
    <row r="2712">
      <c r="A2712" s="26">
        <v>46147.0</v>
      </c>
      <c r="B2712" s="10"/>
      <c r="C2712" s="9" t="str">
        <f t="shared" si="227"/>
        <v/>
      </c>
      <c r="D2712" s="28" t="s">
        <v>36</v>
      </c>
      <c r="E2712" s="28" t="s">
        <v>1305</v>
      </c>
      <c r="F2712" s="28" t="s">
        <v>26</v>
      </c>
      <c r="G2712" s="28" t="s">
        <v>27</v>
      </c>
      <c r="I2712" s="37">
        <v>6500.0</v>
      </c>
      <c r="J2712" s="13"/>
      <c r="K2712" s="13" t="str">
        <f t="shared" ref="K2712:K2716" si="234">if(E2712="pago",(I2712-J2712),"")</f>
        <v/>
      </c>
      <c r="L2712" s="28" t="s">
        <v>29</v>
      </c>
      <c r="M2712" s="14"/>
      <c r="N2712" s="28" t="s">
        <v>38</v>
      </c>
      <c r="O2712" s="10" t="str">
        <f t="shared" si="79"/>
        <v>05/2026</v>
      </c>
      <c r="P2712" s="10" t="str">
        <f t="shared" ref="P2712:P2732" si="235">if(C2712="","", TEXT(C2712,"mm/yyyy"))</f>
        <v/>
      </c>
      <c r="Q2712" s="15" t="str">
        <f t="array" ref="Q2712">IFERROR(XLOOKUP(N2712,'Classificação'!A:A,'Classificação'!B:B),"")</f>
        <v>DESPESAS COM PESSOAL</v>
      </c>
      <c r="R2712" s="15" t="str">
        <f t="array" ref="R2712">IFERROR(XLOOKUP(Q2712,'Classificação'!B:B,'Classificação'!C:C),"")</f>
        <v>DESPESAS FIXAS (-)</v>
      </c>
      <c r="S2712" s="15">
        <f t="shared" si="228"/>
        <v>5</v>
      </c>
      <c r="T2712" s="15">
        <f t="shared" si="128"/>
        <v>5</v>
      </c>
      <c r="U2712" s="15">
        <f t="shared" si="129"/>
        <v>2026</v>
      </c>
      <c r="V2712" s="15" t="str">
        <f t="shared" si="8"/>
        <v/>
      </c>
      <c r="W2712" s="15" t="str">
        <f t="shared" si="9"/>
        <v/>
      </c>
      <c r="X2712" s="15" t="str">
        <f t="shared" si="10"/>
        <v/>
      </c>
    </row>
    <row r="2713">
      <c r="A2713" s="26">
        <v>46147.0</v>
      </c>
      <c r="B2713" s="10"/>
      <c r="C2713" s="9" t="str">
        <f t="shared" si="227"/>
        <v/>
      </c>
      <c r="D2713" s="28" t="s">
        <v>43</v>
      </c>
      <c r="E2713" s="28" t="s">
        <v>1305</v>
      </c>
      <c r="F2713" s="29" t="s">
        <v>26</v>
      </c>
      <c r="G2713" s="28" t="s">
        <v>27</v>
      </c>
      <c r="I2713" s="37">
        <v>6500.0</v>
      </c>
      <c r="J2713" s="13"/>
      <c r="K2713" s="13" t="str">
        <f t="shared" si="234"/>
        <v/>
      </c>
      <c r="L2713" s="28" t="s">
        <v>29</v>
      </c>
      <c r="M2713" s="14"/>
      <c r="N2713" s="28" t="s">
        <v>38</v>
      </c>
      <c r="O2713" s="10" t="str">
        <f t="shared" si="79"/>
        <v>05/2026</v>
      </c>
      <c r="P2713" s="10" t="str">
        <f t="shared" si="235"/>
        <v/>
      </c>
      <c r="Q2713" s="15" t="str">
        <f t="array" ref="Q2713">IFERROR(XLOOKUP(N2713,'Classificação'!A:A,'Classificação'!B:B),"")</f>
        <v>DESPESAS COM PESSOAL</v>
      </c>
      <c r="R2713" s="15" t="str">
        <f t="array" ref="R2713">IFERROR(XLOOKUP(Q2713,'Classificação'!B:B,'Classificação'!C:C),"")</f>
        <v>DESPESAS FIXAS (-)</v>
      </c>
      <c r="S2713" s="15">
        <f t="shared" si="228"/>
        <v>5</v>
      </c>
      <c r="T2713" s="15">
        <f t="shared" si="128"/>
        <v>5</v>
      </c>
      <c r="U2713" s="15">
        <f t="shared" si="129"/>
        <v>2026</v>
      </c>
      <c r="V2713" s="15" t="str">
        <f t="shared" si="8"/>
        <v/>
      </c>
      <c r="W2713" s="15" t="str">
        <f t="shared" si="9"/>
        <v/>
      </c>
      <c r="X2713" s="15" t="str">
        <f t="shared" si="10"/>
        <v/>
      </c>
    </row>
    <row r="2714">
      <c r="A2714" s="9">
        <v>46148.0</v>
      </c>
      <c r="B2714" s="9">
        <v>46087.0</v>
      </c>
      <c r="C2714" s="9" t="str">
        <f t="shared" si="227"/>
        <v/>
      </c>
      <c r="D2714" s="11" t="s">
        <v>86</v>
      </c>
      <c r="E2714" s="28" t="s">
        <v>1305</v>
      </c>
      <c r="F2714" s="11" t="s">
        <v>87</v>
      </c>
      <c r="G2714" s="28" t="s">
        <v>27</v>
      </c>
      <c r="H2714" s="11" t="s">
        <v>1333</v>
      </c>
      <c r="I2714" s="31">
        <v>1430.0</v>
      </c>
      <c r="J2714" s="13"/>
      <c r="K2714" s="13" t="str">
        <f t="shared" si="234"/>
        <v/>
      </c>
      <c r="L2714" s="28" t="s">
        <v>53</v>
      </c>
      <c r="M2714" s="17">
        <v>46114.0</v>
      </c>
      <c r="N2714" s="11" t="s">
        <v>35</v>
      </c>
      <c r="O2714" s="10" t="str">
        <f t="shared" si="79"/>
        <v>05/2026</v>
      </c>
      <c r="P2714" s="10" t="str">
        <f t="shared" si="235"/>
        <v/>
      </c>
      <c r="Q2714" s="15" t="str">
        <f t="array" ref="Q2714">IFERROR(XLOOKUP(N2714,'Classificação'!A:A,'Classificação'!B:B),"")</f>
        <v>COMPRA DE MERCADORIA</v>
      </c>
      <c r="R2714" s="15" t="str">
        <f t="array" ref="R2714">IFERROR(XLOOKUP(Q2714,'Classificação'!B:B,'Classificação'!C:C),"")</f>
        <v>CUSTOS VARIÁVEIS</v>
      </c>
      <c r="S2714" s="15">
        <f t="shared" si="228"/>
        <v>6</v>
      </c>
      <c r="T2714" s="15">
        <f t="shared" si="128"/>
        <v>5</v>
      </c>
      <c r="U2714" s="15">
        <f t="shared" si="129"/>
        <v>2026</v>
      </c>
      <c r="V2714" s="15" t="str">
        <f t="shared" si="8"/>
        <v/>
      </c>
      <c r="W2714" s="15" t="str">
        <f t="shared" si="9"/>
        <v/>
      </c>
      <c r="X2714" s="15" t="str">
        <f t="shared" si="10"/>
        <v/>
      </c>
    </row>
    <row r="2715">
      <c r="A2715" s="26">
        <v>46151.0</v>
      </c>
      <c r="B2715" s="30"/>
      <c r="C2715" s="27" t="str">
        <f t="shared" si="227"/>
        <v/>
      </c>
      <c r="D2715" s="29" t="s">
        <v>631</v>
      </c>
      <c r="E2715" s="28" t="s">
        <v>1305</v>
      </c>
      <c r="F2715" s="29" t="s">
        <v>40</v>
      </c>
      <c r="G2715" s="28" t="s">
        <v>27</v>
      </c>
      <c r="H2715" s="29" t="s">
        <v>1234</v>
      </c>
      <c r="I2715" s="24">
        <v>120.93</v>
      </c>
      <c r="J2715" s="34"/>
      <c r="K2715" s="13" t="str">
        <f t="shared" si="234"/>
        <v/>
      </c>
      <c r="L2715" s="28" t="s">
        <v>53</v>
      </c>
      <c r="M2715" s="35">
        <v>46207.0</v>
      </c>
      <c r="N2715" s="29" t="s">
        <v>178</v>
      </c>
      <c r="O2715" s="10" t="str">
        <f t="shared" si="79"/>
        <v>05/2026</v>
      </c>
      <c r="P2715" s="10" t="str">
        <f t="shared" si="235"/>
        <v/>
      </c>
      <c r="Q2715" s="15" t="str">
        <f t="array" ref="Q2715">IFERROR(XLOOKUP(N2715,'Classificação'!A:A,'Classificação'!B:B),"")</f>
        <v>DESPESAS COM OCUPAÇÃO</v>
      </c>
      <c r="R2715" s="15" t="str">
        <f t="array" ref="R2715">IFERROR(XLOOKUP(Q2715,'Classificação'!B:B,'Classificação'!C:C),"")</f>
        <v>DESPESAS FIXAS (-)</v>
      </c>
      <c r="S2715" s="15">
        <f t="shared" si="228"/>
        <v>9</v>
      </c>
      <c r="T2715" s="15">
        <f t="shared" si="128"/>
        <v>5</v>
      </c>
      <c r="U2715" s="15">
        <f t="shared" si="129"/>
        <v>2026</v>
      </c>
      <c r="V2715" s="15" t="str">
        <f t="shared" si="8"/>
        <v/>
      </c>
      <c r="W2715" s="15" t="str">
        <f t="shared" si="9"/>
        <v/>
      </c>
      <c r="X2715" s="15" t="str">
        <f t="shared" si="10"/>
        <v/>
      </c>
    </row>
    <row r="2716">
      <c r="A2716" s="9">
        <v>46152.0</v>
      </c>
      <c r="B2716" s="10"/>
      <c r="C2716" s="9" t="str">
        <f t="shared" si="227"/>
        <v/>
      </c>
      <c r="D2716" s="11" t="s">
        <v>1051</v>
      </c>
      <c r="E2716" s="28" t="s">
        <v>1305</v>
      </c>
      <c r="F2716" s="11" t="s">
        <v>40</v>
      </c>
      <c r="G2716" s="28" t="s">
        <v>27</v>
      </c>
      <c r="H2716" s="11" t="s">
        <v>1052</v>
      </c>
      <c r="I2716" s="12">
        <v>28.0</v>
      </c>
      <c r="J2716" s="13"/>
      <c r="K2716" s="13" t="str">
        <f t="shared" si="234"/>
        <v/>
      </c>
      <c r="L2716" s="11" t="s">
        <v>29</v>
      </c>
      <c r="M2716" s="14"/>
      <c r="N2716" s="11" t="s">
        <v>1053</v>
      </c>
      <c r="O2716" s="10" t="str">
        <f t="shared" si="79"/>
        <v>05/2026</v>
      </c>
      <c r="P2716" s="10" t="str">
        <f t="shared" si="235"/>
        <v/>
      </c>
      <c r="Q2716" s="15" t="str">
        <f t="array" ref="Q2716">IFERROR(XLOOKUP(N2716,'Classificação'!A:A,'Classificação'!B:B),"")</f>
        <v>DESPESAS COM PESSOAL</v>
      </c>
      <c r="R2716" s="15" t="str">
        <f t="array" ref="R2716">IFERROR(XLOOKUP(Q2716,'Classificação'!B:B,'Classificação'!C:C),"")</f>
        <v>DESPESAS FIXAS (-)</v>
      </c>
      <c r="S2716" s="15">
        <f t="shared" si="228"/>
        <v>10</v>
      </c>
      <c r="T2716" s="15">
        <f t="shared" si="128"/>
        <v>5</v>
      </c>
      <c r="U2716" s="15">
        <f t="shared" si="129"/>
        <v>2026</v>
      </c>
      <c r="V2716" s="15" t="str">
        <f t="shared" si="8"/>
        <v/>
      </c>
      <c r="W2716" s="15" t="str">
        <f t="shared" si="9"/>
        <v/>
      </c>
      <c r="X2716" s="15" t="str">
        <f t="shared" si="10"/>
        <v/>
      </c>
    </row>
    <row r="2717">
      <c r="A2717" s="26">
        <v>46152.0</v>
      </c>
      <c r="B2717" s="30"/>
      <c r="C2717" s="27" t="str">
        <f t="shared" si="227"/>
        <v/>
      </c>
      <c r="D2717" s="28" t="s">
        <v>48</v>
      </c>
      <c r="E2717" s="28" t="s">
        <v>1305</v>
      </c>
      <c r="F2717" s="28" t="s">
        <v>40</v>
      </c>
      <c r="G2717" s="28" t="s">
        <v>27</v>
      </c>
      <c r="H2717" s="28"/>
      <c r="I2717" s="37">
        <v>1600.0</v>
      </c>
      <c r="J2717" s="34"/>
      <c r="K2717" s="34" t="str">
        <f t="shared" ref="K2717:K2719" si="236">IF(E2717="pago",(I2717-J2717),"")</f>
        <v/>
      </c>
      <c r="L2717" s="28" t="s">
        <v>29</v>
      </c>
      <c r="M2717" s="28"/>
      <c r="N2717" s="28" t="s">
        <v>49</v>
      </c>
      <c r="O2717" s="10" t="str">
        <f t="shared" si="79"/>
        <v>05/2026</v>
      </c>
      <c r="P2717" s="10" t="str">
        <f t="shared" si="235"/>
        <v/>
      </c>
      <c r="Q2717" s="15" t="str">
        <f t="array" ref="Q2717">IFERROR(XLOOKUP(N2717,'Classificação'!A:A,'Classificação'!B:B),"")</f>
        <v>DESPESAS COM PESSOAL</v>
      </c>
      <c r="R2717" s="15" t="str">
        <f t="array" ref="R2717">IFERROR(XLOOKUP(Q2717,'Classificação'!B:B,'Classificação'!C:C),"")</f>
        <v>DESPESAS FIXAS (-)</v>
      </c>
      <c r="S2717" s="15">
        <f t="shared" si="228"/>
        <v>10</v>
      </c>
      <c r="T2717" s="15">
        <f t="shared" si="128"/>
        <v>5</v>
      </c>
      <c r="U2717" s="15">
        <f t="shared" si="129"/>
        <v>2026</v>
      </c>
      <c r="V2717" s="15" t="str">
        <f t="shared" si="8"/>
        <v/>
      </c>
      <c r="W2717" s="15" t="str">
        <f t="shared" si="9"/>
        <v/>
      </c>
      <c r="X2717" s="15" t="str">
        <f t="shared" si="10"/>
        <v/>
      </c>
    </row>
    <row r="2718">
      <c r="A2718" s="9">
        <v>46152.0</v>
      </c>
      <c r="B2718" s="30"/>
      <c r="C2718" s="27" t="str">
        <f t="shared" si="227"/>
        <v/>
      </c>
      <c r="D2718" s="28" t="s">
        <v>50</v>
      </c>
      <c r="E2718" s="28" t="s">
        <v>1305</v>
      </c>
      <c r="F2718" s="28" t="s">
        <v>40</v>
      </c>
      <c r="G2718" s="28" t="s">
        <v>27</v>
      </c>
      <c r="H2718" s="28" t="s">
        <v>51</v>
      </c>
      <c r="I2718" s="37">
        <v>139.99</v>
      </c>
      <c r="J2718" s="34"/>
      <c r="K2718" s="34" t="str">
        <f t="shared" si="236"/>
        <v/>
      </c>
      <c r="L2718" s="28" t="s">
        <v>29</v>
      </c>
      <c r="M2718" s="28"/>
      <c r="N2718" s="28" t="s">
        <v>51</v>
      </c>
      <c r="O2718" s="10" t="str">
        <f t="shared" si="79"/>
        <v>05/2026</v>
      </c>
      <c r="P2718" s="10" t="str">
        <f t="shared" si="235"/>
        <v/>
      </c>
      <c r="Q2718" s="15" t="str">
        <f t="array" ref="Q2718">IFERROR(XLOOKUP(N2718,'Classificação'!A:A,'Classificação'!B:B),"")</f>
        <v>DESPESAS COM OCUPAÇÃO</v>
      </c>
      <c r="R2718" s="15" t="str">
        <f t="array" ref="R2718">IFERROR(XLOOKUP(Q2718,'Classificação'!B:B,'Classificação'!C:C),"")</f>
        <v>DESPESAS FIXAS (-)</v>
      </c>
      <c r="S2718" s="15">
        <f t="shared" si="228"/>
        <v>10</v>
      </c>
      <c r="T2718" s="15">
        <f t="shared" si="128"/>
        <v>5</v>
      </c>
      <c r="U2718" s="15">
        <f t="shared" si="129"/>
        <v>2026</v>
      </c>
      <c r="V2718" s="15" t="str">
        <f t="shared" si="8"/>
        <v/>
      </c>
      <c r="W2718" s="15" t="str">
        <f t="shared" si="9"/>
        <v/>
      </c>
      <c r="X2718" s="15" t="str">
        <f t="shared" si="10"/>
        <v/>
      </c>
    </row>
    <row r="2719">
      <c r="A2719" s="26">
        <v>46152.0</v>
      </c>
      <c r="B2719" s="30"/>
      <c r="C2719" s="27" t="str">
        <f t="shared" si="227"/>
        <v/>
      </c>
      <c r="D2719" s="28" t="s">
        <v>59</v>
      </c>
      <c r="E2719" s="28" t="s">
        <v>1305</v>
      </c>
      <c r="F2719" s="28" t="s">
        <v>40</v>
      </c>
      <c r="G2719" s="28" t="s">
        <v>37</v>
      </c>
      <c r="H2719" s="28" t="s">
        <v>60</v>
      </c>
      <c r="I2719" s="24">
        <v>447.0</v>
      </c>
      <c r="J2719" s="34"/>
      <c r="K2719" s="34" t="str">
        <f t="shared" si="236"/>
        <v/>
      </c>
      <c r="L2719" s="28" t="s">
        <v>29</v>
      </c>
      <c r="M2719" s="28"/>
      <c r="N2719" s="28" t="s">
        <v>61</v>
      </c>
      <c r="O2719" s="10" t="str">
        <f t="shared" si="79"/>
        <v>05/2026</v>
      </c>
      <c r="P2719" s="10" t="str">
        <f t="shared" si="235"/>
        <v/>
      </c>
      <c r="Q2719" s="15" t="str">
        <f t="array" ref="Q2719">IFERROR(XLOOKUP(N2719,'Classificação'!A:A,'Classificação'!B:B),"")</f>
        <v>DESPESAS ADMINISTRATIVAS</v>
      </c>
      <c r="R2719" s="15" t="str">
        <f t="array" ref="R2719">IFERROR(XLOOKUP(Q2719,'Classificação'!B:B,'Classificação'!C:C),"")</f>
        <v>DESPESAS FIXAS (-)</v>
      </c>
      <c r="S2719" s="15">
        <f t="shared" si="228"/>
        <v>10</v>
      </c>
      <c r="T2719" s="15">
        <f t="shared" si="128"/>
        <v>5</v>
      </c>
      <c r="U2719" s="15">
        <f t="shared" si="129"/>
        <v>2026</v>
      </c>
      <c r="V2719" s="15" t="str">
        <f t="shared" si="8"/>
        <v/>
      </c>
      <c r="W2719" s="15" t="str">
        <f t="shared" si="9"/>
        <v/>
      </c>
      <c r="X2719" s="15" t="str">
        <f t="shared" si="10"/>
        <v/>
      </c>
    </row>
    <row r="2720">
      <c r="A2720" s="26">
        <v>46152.0</v>
      </c>
      <c r="B2720" s="30"/>
      <c r="C2720" s="27" t="str">
        <f t="shared" si="227"/>
        <v/>
      </c>
      <c r="D2720" s="28" t="s">
        <v>104</v>
      </c>
      <c r="E2720" s="28" t="s">
        <v>1305</v>
      </c>
      <c r="F2720" s="28" t="s">
        <v>40</v>
      </c>
      <c r="G2720" s="28" t="s">
        <v>37</v>
      </c>
      <c r="H2720" s="28" t="s">
        <v>413</v>
      </c>
      <c r="I2720" s="37">
        <v>27.5</v>
      </c>
      <c r="J2720" s="34"/>
      <c r="K2720" s="34"/>
      <c r="L2720" s="28" t="s">
        <v>29</v>
      </c>
      <c r="M2720" s="28"/>
      <c r="N2720" s="28" t="s">
        <v>105</v>
      </c>
      <c r="O2720" s="10" t="str">
        <f t="shared" si="79"/>
        <v>05/2026</v>
      </c>
      <c r="P2720" s="10" t="str">
        <f t="shared" si="235"/>
        <v/>
      </c>
      <c r="R2720" s="15" t="str">
        <f t="array" ref="R2720">IFERROR(XLOOKUP(Q2720,'Classificação'!B:B,'Classificação'!C:C),"")</f>
        <v/>
      </c>
      <c r="S2720" s="15">
        <f t="shared" si="228"/>
        <v>10</v>
      </c>
      <c r="T2720" s="15">
        <f t="shared" si="128"/>
        <v>5</v>
      </c>
      <c r="U2720" s="15">
        <f t="shared" si="129"/>
        <v>2026</v>
      </c>
      <c r="V2720" s="15" t="str">
        <f t="shared" si="8"/>
        <v/>
      </c>
      <c r="W2720" s="15" t="str">
        <f t="shared" si="9"/>
        <v/>
      </c>
      <c r="X2720" s="15" t="str">
        <f t="shared" si="10"/>
        <v/>
      </c>
    </row>
    <row r="2721">
      <c r="A2721" s="9">
        <v>46152.0</v>
      </c>
      <c r="B2721" s="10"/>
      <c r="C2721" s="9" t="str">
        <f t="shared" si="227"/>
        <v/>
      </c>
      <c r="D2721" s="11" t="s">
        <v>44</v>
      </c>
      <c r="E2721" s="11" t="s">
        <v>1305</v>
      </c>
      <c r="F2721" s="11" t="s">
        <v>45</v>
      </c>
      <c r="G2721" s="11" t="s">
        <v>27</v>
      </c>
      <c r="H2721" s="11" t="s">
        <v>52</v>
      </c>
      <c r="I2721" s="12">
        <v>503.0</v>
      </c>
      <c r="J2721" s="13"/>
      <c r="K2721" s="13" t="str">
        <f t="shared" ref="K2721:K2724" si="237">if(E2721="pago",(I2721-J2721),"")</f>
        <v/>
      </c>
      <c r="L2721" s="11" t="s">
        <v>53</v>
      </c>
      <c r="M2721" s="16" t="s">
        <v>1334</v>
      </c>
      <c r="N2721" s="11" t="s">
        <v>55</v>
      </c>
      <c r="O2721" s="10" t="str">
        <f t="shared" si="79"/>
        <v>05/2026</v>
      </c>
      <c r="P2721" s="10" t="str">
        <f t="shared" si="235"/>
        <v/>
      </c>
      <c r="Q2721" s="15" t="str">
        <f t="array" ref="Q2721">IFERROR(XLOOKUP(N2721,'Classificação'!A:A,'Classificação'!B:B),"")</f>
        <v>DESPESAS NÃO OPERACIONAIS</v>
      </c>
      <c r="R2721" s="15" t="str">
        <f t="array" ref="R2721">IFERROR(XLOOKUP(Q2721,'Classificação'!B:B,'Classificação'!C:C),"")</f>
        <v>RESULTADO NÃO OPERACIONAL (+/-)</v>
      </c>
      <c r="S2721" s="15">
        <f t="shared" si="228"/>
        <v>10</v>
      </c>
      <c r="T2721" s="15">
        <f t="shared" si="128"/>
        <v>5</v>
      </c>
      <c r="U2721" s="15">
        <f t="shared" si="129"/>
        <v>2026</v>
      </c>
      <c r="V2721" s="15" t="str">
        <f t="shared" si="8"/>
        <v/>
      </c>
      <c r="W2721" s="15" t="str">
        <f t="shared" si="9"/>
        <v/>
      </c>
      <c r="X2721" s="15" t="str">
        <f t="shared" si="10"/>
        <v/>
      </c>
    </row>
    <row r="2722">
      <c r="A2722" s="9">
        <v>46152.0</v>
      </c>
      <c r="B2722" s="10"/>
      <c r="C2722" s="9" t="str">
        <f t="shared" si="227"/>
        <v/>
      </c>
      <c r="D2722" s="11" t="s">
        <v>1104</v>
      </c>
      <c r="E2722" s="28" t="s">
        <v>1305</v>
      </c>
      <c r="F2722" s="11" t="s">
        <v>40</v>
      </c>
      <c r="G2722" s="11" t="s">
        <v>37</v>
      </c>
      <c r="H2722" s="11" t="s">
        <v>1105</v>
      </c>
      <c r="I2722" s="12">
        <v>917.51</v>
      </c>
      <c r="J2722" s="13"/>
      <c r="K2722" s="13" t="str">
        <f t="shared" si="237"/>
        <v/>
      </c>
      <c r="L2722" s="11" t="s">
        <v>53</v>
      </c>
      <c r="M2722" s="16" t="s">
        <v>1335</v>
      </c>
      <c r="N2722" s="11" t="s">
        <v>73</v>
      </c>
      <c r="O2722" s="10" t="str">
        <f t="shared" si="79"/>
        <v>05/2026</v>
      </c>
      <c r="P2722" s="10" t="str">
        <f t="shared" si="235"/>
        <v/>
      </c>
      <c r="Q2722" s="15" t="str">
        <f t="array" ref="Q2722">IFERROR(XLOOKUP(N2722,'Classificação'!A:A,'Classificação'!B:B),"")</f>
        <v>DESPESAS NÃO OPERACIONAIS</v>
      </c>
      <c r="R2722" s="15" t="str">
        <f t="array" ref="R2722">IFERROR(XLOOKUP(Q2722,'Classificação'!B:B,'Classificação'!C:C),"")</f>
        <v>RESULTADO NÃO OPERACIONAL (+/-)</v>
      </c>
      <c r="S2722" s="15">
        <f t="shared" si="228"/>
        <v>10</v>
      </c>
      <c r="T2722" s="15">
        <f t="shared" si="128"/>
        <v>5</v>
      </c>
      <c r="U2722" s="15">
        <f t="shared" si="129"/>
        <v>2026</v>
      </c>
      <c r="V2722" s="15" t="str">
        <f t="shared" si="8"/>
        <v/>
      </c>
      <c r="W2722" s="15" t="str">
        <f t="shared" si="9"/>
        <v/>
      </c>
      <c r="X2722" s="15" t="str">
        <f t="shared" si="10"/>
        <v/>
      </c>
    </row>
    <row r="2723">
      <c r="A2723" s="9">
        <v>46152.0</v>
      </c>
      <c r="B2723" s="32">
        <v>46011.0</v>
      </c>
      <c r="C2723" s="9" t="str">
        <f t="shared" si="227"/>
        <v/>
      </c>
      <c r="D2723" s="11" t="s">
        <v>65</v>
      </c>
      <c r="E2723" s="28" t="s">
        <v>1305</v>
      </c>
      <c r="F2723" s="11" t="s">
        <v>26</v>
      </c>
      <c r="G2723" s="28" t="s">
        <v>27</v>
      </c>
      <c r="H2723" s="11" t="s">
        <v>1159</v>
      </c>
      <c r="I2723" s="31">
        <v>54.99</v>
      </c>
      <c r="J2723" s="13"/>
      <c r="K2723" s="13" t="str">
        <f t="shared" si="237"/>
        <v/>
      </c>
      <c r="L2723" s="11" t="s">
        <v>53</v>
      </c>
      <c r="M2723" s="16" t="s">
        <v>1336</v>
      </c>
      <c r="N2723" s="11" t="s">
        <v>95</v>
      </c>
      <c r="O2723" s="10" t="str">
        <f t="shared" si="79"/>
        <v>05/2026</v>
      </c>
      <c r="P2723" s="10" t="str">
        <f t="shared" si="235"/>
        <v/>
      </c>
      <c r="Q2723" s="15" t="str">
        <f t="array" ref="Q2723">IFERROR(XLOOKUP(N2723,'Classificação'!A:A,'Classificação'!B:B),"")</f>
        <v>DESPESAS NÃO OPERACIONAIS</v>
      </c>
      <c r="R2723" s="15" t="str">
        <f t="array" ref="R2723">IFERROR(XLOOKUP(Q2723,'Classificação'!B:B,'Classificação'!C:C),"")</f>
        <v>RESULTADO NÃO OPERACIONAL (+/-)</v>
      </c>
      <c r="S2723" s="15">
        <f t="shared" si="228"/>
        <v>10</v>
      </c>
      <c r="T2723" s="15">
        <f t="shared" si="128"/>
        <v>5</v>
      </c>
      <c r="U2723" s="15">
        <f t="shared" si="129"/>
        <v>2026</v>
      </c>
      <c r="V2723" s="15" t="str">
        <f t="shared" si="8"/>
        <v/>
      </c>
      <c r="W2723" s="15" t="str">
        <f t="shared" si="9"/>
        <v/>
      </c>
      <c r="X2723" s="15" t="str">
        <f t="shared" si="10"/>
        <v/>
      </c>
    </row>
    <row r="2724">
      <c r="A2724" s="26">
        <v>46154.0</v>
      </c>
      <c r="B2724" s="30"/>
      <c r="C2724" s="27" t="str">
        <f t="shared" si="227"/>
        <v/>
      </c>
      <c r="D2724" s="28" t="s">
        <v>56</v>
      </c>
      <c r="E2724" s="28" t="s">
        <v>1305</v>
      </c>
      <c r="F2724" s="28" t="s">
        <v>26</v>
      </c>
      <c r="G2724" s="28" t="s">
        <v>37</v>
      </c>
      <c r="H2724" s="28" t="s">
        <v>57</v>
      </c>
      <c r="I2724" s="24">
        <v>60.0</v>
      </c>
      <c r="J2724" s="34"/>
      <c r="K2724" s="13" t="str">
        <f t="shared" si="237"/>
        <v/>
      </c>
      <c r="L2724" s="28" t="s">
        <v>29</v>
      </c>
      <c r="M2724" s="28"/>
      <c r="N2724" s="28" t="s">
        <v>58</v>
      </c>
      <c r="O2724" s="10" t="str">
        <f t="shared" si="79"/>
        <v>05/2026</v>
      </c>
      <c r="P2724" s="10" t="str">
        <f t="shared" si="235"/>
        <v/>
      </c>
      <c r="Q2724" s="15" t="str">
        <f t="array" ref="Q2724">IFERROR(XLOOKUP(N2724,'Classificação'!A:A,'Classificação'!B:B),"")</f>
        <v>DESPESAS ADMINISTRATIVAS</v>
      </c>
      <c r="R2724" s="15" t="str">
        <f t="array" ref="R2724">IFERROR(XLOOKUP(Q2724,'Classificação'!B:B,'Classificação'!C:C),"")</f>
        <v>DESPESAS FIXAS (-)</v>
      </c>
      <c r="S2724" s="15">
        <f t="shared" si="228"/>
        <v>12</v>
      </c>
      <c r="T2724" s="15">
        <f t="shared" si="128"/>
        <v>5</v>
      </c>
      <c r="U2724" s="15">
        <f t="shared" si="129"/>
        <v>2026</v>
      </c>
      <c r="V2724" s="15" t="str">
        <f t="shared" si="8"/>
        <v/>
      </c>
      <c r="W2724" s="15" t="str">
        <f t="shared" si="9"/>
        <v/>
      </c>
      <c r="X2724" s="15" t="str">
        <f t="shared" si="10"/>
        <v/>
      </c>
    </row>
    <row r="2725">
      <c r="A2725" s="26">
        <v>46155.0</v>
      </c>
      <c r="B2725" s="30"/>
      <c r="C2725" s="27" t="str">
        <f t="shared" si="227"/>
        <v/>
      </c>
      <c r="D2725" s="28" t="s">
        <v>65</v>
      </c>
      <c r="E2725" s="28" t="s">
        <v>1305</v>
      </c>
      <c r="F2725" s="28" t="s">
        <v>45</v>
      </c>
      <c r="G2725" s="28" t="s">
        <v>66</v>
      </c>
      <c r="H2725" s="28" t="s">
        <v>67</v>
      </c>
      <c r="I2725" s="37">
        <v>900.0</v>
      </c>
      <c r="J2725" s="34"/>
      <c r="K2725" s="34" t="str">
        <f>IF(E2725="pago",(I2725-J2725),"")</f>
        <v/>
      </c>
      <c r="L2725" s="28" t="s">
        <v>29</v>
      </c>
      <c r="M2725" s="28"/>
      <c r="N2725" s="28" t="s">
        <v>68</v>
      </c>
      <c r="O2725" s="10" t="str">
        <f t="shared" si="79"/>
        <v>05/2026</v>
      </c>
      <c r="P2725" s="10" t="str">
        <f t="shared" si="235"/>
        <v/>
      </c>
      <c r="Q2725" s="15" t="str">
        <f t="array" ref="Q2725">IFERROR(XLOOKUP(N2725,'Classificação'!A:A,'Classificação'!B:B),"")</f>
        <v>FRETE DE VENDAS</v>
      </c>
      <c r="R2725" s="15" t="str">
        <f t="array" ref="R2725">IFERROR(XLOOKUP(Q2725,'Classificação'!B:B,'Classificação'!C:C),"")</f>
        <v>CUSTOS VARIÁVEIS</v>
      </c>
      <c r="S2725" s="15">
        <f t="shared" si="228"/>
        <v>13</v>
      </c>
      <c r="T2725" s="15">
        <f t="shared" si="128"/>
        <v>5</v>
      </c>
      <c r="U2725" s="15">
        <f t="shared" si="129"/>
        <v>2026</v>
      </c>
      <c r="V2725" s="15" t="str">
        <f t="shared" si="8"/>
        <v/>
      </c>
      <c r="W2725" s="15" t="str">
        <f t="shared" si="9"/>
        <v/>
      </c>
      <c r="X2725" s="15" t="str">
        <f t="shared" si="10"/>
        <v/>
      </c>
    </row>
    <row r="2726">
      <c r="A2726" s="9">
        <v>46155.0</v>
      </c>
      <c r="B2726" s="10"/>
      <c r="C2726" s="9" t="str">
        <f t="shared" si="227"/>
        <v/>
      </c>
      <c r="D2726" s="11" t="s">
        <v>473</v>
      </c>
      <c r="E2726" s="28" t="s">
        <v>1305</v>
      </c>
      <c r="F2726" s="28" t="s">
        <v>45</v>
      </c>
      <c r="G2726" s="28" t="s">
        <v>27</v>
      </c>
      <c r="H2726" s="11" t="s">
        <v>1172</v>
      </c>
      <c r="I2726" s="31">
        <v>516.57</v>
      </c>
      <c r="J2726" s="13"/>
      <c r="K2726" s="13" t="str">
        <f t="shared" ref="K2726:K2727" si="238">if(E2726="pago",(I2726-J2726),"")</f>
        <v/>
      </c>
      <c r="L2726" s="28" t="s">
        <v>53</v>
      </c>
      <c r="M2726" s="17">
        <v>46147.0</v>
      </c>
      <c r="N2726" s="11" t="s">
        <v>233</v>
      </c>
      <c r="O2726" s="10" t="str">
        <f t="shared" si="79"/>
        <v>05/2026</v>
      </c>
      <c r="P2726" s="10" t="str">
        <f t="shared" si="235"/>
        <v/>
      </c>
      <c r="Q2726" s="15" t="str">
        <f t="array" ref="Q2726">IFERROR(XLOOKUP(N2726,'Classificação'!A:A,'Classificação'!B:B),"")</f>
        <v>DESPESAS COM VEICULOS</v>
      </c>
      <c r="S2726" s="15">
        <f t="shared" si="228"/>
        <v>13</v>
      </c>
      <c r="T2726" s="15">
        <f t="shared" si="128"/>
        <v>5</v>
      </c>
      <c r="U2726" s="15">
        <f t="shared" si="129"/>
        <v>2026</v>
      </c>
      <c r="V2726" s="15" t="str">
        <f t="shared" si="8"/>
        <v/>
      </c>
      <c r="W2726" s="15" t="str">
        <f t="shared" si="9"/>
        <v/>
      </c>
      <c r="X2726" s="15" t="str">
        <f t="shared" si="10"/>
        <v/>
      </c>
    </row>
    <row r="2727">
      <c r="A2727" s="9">
        <v>46156.0</v>
      </c>
      <c r="B2727" s="10"/>
      <c r="C2727" s="9" t="str">
        <f t="shared" si="227"/>
        <v/>
      </c>
      <c r="D2727" s="11" t="s">
        <v>44</v>
      </c>
      <c r="E2727" s="11" t="s">
        <v>1305</v>
      </c>
      <c r="F2727" s="11" t="s">
        <v>45</v>
      </c>
      <c r="G2727" s="11" t="s">
        <v>27</v>
      </c>
      <c r="H2727" s="11" t="s">
        <v>476</v>
      </c>
      <c r="I2727" s="12">
        <v>4996.0</v>
      </c>
      <c r="J2727" s="13"/>
      <c r="K2727" s="13" t="str">
        <f t="shared" si="238"/>
        <v/>
      </c>
      <c r="L2727" s="11" t="s">
        <v>53</v>
      </c>
      <c r="M2727" s="16" t="s">
        <v>665</v>
      </c>
      <c r="N2727" s="11" t="s">
        <v>73</v>
      </c>
      <c r="O2727" s="10" t="str">
        <f t="shared" si="79"/>
        <v>05/2026</v>
      </c>
      <c r="P2727" s="10" t="str">
        <f t="shared" si="235"/>
        <v/>
      </c>
      <c r="Q2727" s="15" t="str">
        <f t="array" ref="Q2727">IFERROR(XLOOKUP(N2727,'Classificação'!A:A,'Classificação'!B:B),"")</f>
        <v>DESPESAS NÃO OPERACIONAIS</v>
      </c>
      <c r="R2727" s="15" t="str">
        <f t="array" ref="R2727">IFERROR(XLOOKUP(Q2727,'Classificação'!B:B,'Classificação'!C:C),"")</f>
        <v>RESULTADO NÃO OPERACIONAL (+/-)</v>
      </c>
      <c r="S2727" s="15">
        <f t="shared" si="228"/>
        <v>14</v>
      </c>
      <c r="T2727" s="15">
        <f t="shared" si="128"/>
        <v>5</v>
      </c>
      <c r="U2727" s="15">
        <f t="shared" si="129"/>
        <v>2026</v>
      </c>
      <c r="V2727" s="15" t="str">
        <f t="shared" si="8"/>
        <v/>
      </c>
      <c r="W2727" s="15" t="str">
        <f t="shared" si="9"/>
        <v/>
      </c>
      <c r="X2727" s="15" t="str">
        <f t="shared" si="10"/>
        <v/>
      </c>
    </row>
    <row r="2728">
      <c r="A2728" s="26">
        <v>46157.0</v>
      </c>
      <c r="B2728" s="30"/>
      <c r="C2728" s="27" t="str">
        <f t="shared" si="227"/>
        <v/>
      </c>
      <c r="D2728" s="28" t="s">
        <v>79</v>
      </c>
      <c r="E2728" s="28" t="s">
        <v>1305</v>
      </c>
      <c r="F2728" s="28" t="s">
        <v>26</v>
      </c>
      <c r="G2728" s="28" t="s">
        <v>37</v>
      </c>
      <c r="H2728" s="28"/>
      <c r="I2728" s="24">
        <v>550.0</v>
      </c>
      <c r="J2728" s="34"/>
      <c r="K2728" s="34" t="str">
        <f t="shared" ref="K2728:K2730" si="239">IF(E2728="pago",(I2728-J2728),"")</f>
        <v/>
      </c>
      <c r="L2728" s="28" t="s">
        <v>29</v>
      </c>
      <c r="M2728" s="28"/>
      <c r="N2728" s="28" t="s">
        <v>58</v>
      </c>
      <c r="O2728" s="10" t="str">
        <f t="shared" si="79"/>
        <v>05/2026</v>
      </c>
      <c r="P2728" s="10" t="str">
        <f t="shared" si="235"/>
        <v/>
      </c>
      <c r="Q2728" s="15" t="str">
        <f t="array" ref="Q2728">IFERROR(XLOOKUP(N2728,'Classificação'!A:A,'Classificação'!B:B),"")</f>
        <v>DESPESAS ADMINISTRATIVAS</v>
      </c>
      <c r="S2728" s="15">
        <f t="shared" si="228"/>
        <v>15</v>
      </c>
      <c r="T2728" s="15">
        <f t="shared" si="128"/>
        <v>5</v>
      </c>
      <c r="U2728" s="15">
        <f t="shared" si="129"/>
        <v>2026</v>
      </c>
      <c r="V2728" s="15" t="str">
        <f t="shared" si="8"/>
        <v/>
      </c>
      <c r="W2728" s="15" t="str">
        <f t="shared" si="9"/>
        <v/>
      </c>
      <c r="X2728" s="15" t="str">
        <f t="shared" si="10"/>
        <v/>
      </c>
    </row>
    <row r="2729">
      <c r="A2729" s="26">
        <v>46157.0</v>
      </c>
      <c r="B2729" s="30"/>
      <c r="C2729" s="27" t="str">
        <f t="shared" si="227"/>
        <v/>
      </c>
      <c r="D2729" s="28" t="s">
        <v>80</v>
      </c>
      <c r="E2729" s="28" t="s">
        <v>1305</v>
      </c>
      <c r="F2729" s="28" t="s">
        <v>32</v>
      </c>
      <c r="G2729" s="28" t="s">
        <v>27</v>
      </c>
      <c r="H2729" s="29" t="s">
        <v>606</v>
      </c>
      <c r="I2729" s="37">
        <v>780.0</v>
      </c>
      <c r="J2729" s="34"/>
      <c r="K2729" s="34" t="str">
        <f t="shared" si="239"/>
        <v/>
      </c>
      <c r="L2729" s="28" t="s">
        <v>29</v>
      </c>
      <c r="M2729" s="28"/>
      <c r="N2729" s="28" t="s">
        <v>75</v>
      </c>
      <c r="O2729" s="10" t="str">
        <f t="shared" si="79"/>
        <v>05/2026</v>
      </c>
      <c r="P2729" s="10" t="str">
        <f t="shared" si="235"/>
        <v/>
      </c>
      <c r="Q2729" s="15" t="str">
        <f t="array" ref="Q2729">IFERROR(XLOOKUP(N2729,'Classificação'!A:A,'Classificação'!B:B),"")</f>
        <v>DESPESAS COM PESSOAL</v>
      </c>
      <c r="R2729" s="15" t="str">
        <f t="array" ref="R2729">IFERROR(XLOOKUP(Q2729,'Classificação'!B:B,'Classificação'!C:C),"")</f>
        <v>DESPESAS FIXAS (-)</v>
      </c>
      <c r="S2729" s="15">
        <f t="shared" si="228"/>
        <v>15</v>
      </c>
      <c r="T2729" s="15">
        <f t="shared" si="128"/>
        <v>5</v>
      </c>
      <c r="U2729" s="15">
        <f t="shared" si="129"/>
        <v>2026</v>
      </c>
      <c r="V2729" s="15" t="str">
        <f t="shared" si="8"/>
        <v/>
      </c>
      <c r="W2729" s="15" t="str">
        <f t="shared" si="9"/>
        <v/>
      </c>
      <c r="X2729" s="15" t="str">
        <f t="shared" si="10"/>
        <v/>
      </c>
    </row>
    <row r="2730">
      <c r="A2730" s="26">
        <v>46157.0</v>
      </c>
      <c r="B2730" s="28"/>
      <c r="C2730" s="27" t="str">
        <f t="shared" si="227"/>
        <v/>
      </c>
      <c r="D2730" s="29" t="s">
        <v>1094</v>
      </c>
      <c r="E2730" s="28" t="s">
        <v>1305</v>
      </c>
      <c r="F2730" s="29" t="s">
        <v>26</v>
      </c>
      <c r="G2730" s="29" t="s">
        <v>37</v>
      </c>
      <c r="H2730" s="28" t="s">
        <v>606</v>
      </c>
      <c r="I2730" s="24">
        <v>1120.0</v>
      </c>
      <c r="J2730" s="34"/>
      <c r="K2730" s="34" t="str">
        <f t="shared" si="239"/>
        <v/>
      </c>
      <c r="L2730" s="28" t="s">
        <v>29</v>
      </c>
      <c r="M2730" s="28"/>
      <c r="N2730" s="28" t="s">
        <v>75</v>
      </c>
      <c r="O2730" s="10" t="str">
        <f t="shared" si="79"/>
        <v>05/2026</v>
      </c>
      <c r="P2730" s="10" t="str">
        <f t="shared" si="235"/>
        <v/>
      </c>
      <c r="Q2730" s="15" t="str">
        <f t="array" ref="Q2730">IFERROR(XLOOKUP(N2730,'Classificação'!A:A,'Classificação'!B:B),"")</f>
        <v>DESPESAS COM PESSOAL</v>
      </c>
      <c r="R2730" s="15" t="str">
        <f t="array" ref="R2730">IFERROR(XLOOKUP(Q2730,'Classificação'!B:B,'Classificação'!C:C),"")</f>
        <v>DESPESAS FIXAS (-)</v>
      </c>
      <c r="S2730" s="15">
        <f t="shared" si="228"/>
        <v>15</v>
      </c>
      <c r="T2730" s="15">
        <f t="shared" si="128"/>
        <v>5</v>
      </c>
      <c r="U2730" s="15">
        <f t="shared" si="129"/>
        <v>2026</v>
      </c>
      <c r="V2730" s="15" t="str">
        <f t="shared" si="8"/>
        <v/>
      </c>
      <c r="W2730" s="15" t="str">
        <f t="shared" si="9"/>
        <v/>
      </c>
      <c r="X2730" s="15" t="str">
        <f t="shared" si="10"/>
        <v/>
      </c>
    </row>
    <row r="2731">
      <c r="A2731" s="9">
        <v>46157.0</v>
      </c>
      <c r="B2731" s="10"/>
      <c r="C2731" s="9" t="str">
        <f t="shared" si="227"/>
        <v/>
      </c>
      <c r="D2731" s="11" t="s">
        <v>1229</v>
      </c>
      <c r="E2731" s="28" t="s">
        <v>1305</v>
      </c>
      <c r="F2731" s="11" t="s">
        <v>26</v>
      </c>
      <c r="G2731" s="11" t="s">
        <v>37</v>
      </c>
      <c r="H2731" s="11" t="s">
        <v>1230</v>
      </c>
      <c r="I2731" s="31">
        <v>840.0</v>
      </c>
      <c r="J2731" s="13"/>
      <c r="K2731" s="13" t="str">
        <f t="shared" ref="K2731:K2733" si="240">if(E2731="pago",(I2731-J2731),"")</f>
        <v/>
      </c>
      <c r="L2731" s="11" t="s">
        <v>29</v>
      </c>
      <c r="M2731" s="14"/>
      <c r="N2731" s="11" t="s">
        <v>58</v>
      </c>
      <c r="O2731" s="10" t="str">
        <f t="shared" si="79"/>
        <v>05/2026</v>
      </c>
      <c r="P2731" s="10" t="str">
        <f t="shared" si="235"/>
        <v/>
      </c>
      <c r="Q2731" s="15" t="str">
        <f t="array" ref="Q2731">IFERROR(XLOOKUP(N2731,'Classificação'!A:A,'Classificação'!B:B),"")</f>
        <v>DESPESAS ADMINISTRATIVAS</v>
      </c>
      <c r="R2731" s="15" t="str">
        <f t="array" ref="R2731">IFERROR(XLOOKUP(Q2731,'Classificação'!B:B,'Classificação'!C:C),"")</f>
        <v>DESPESAS FIXAS (-)</v>
      </c>
      <c r="S2731" s="15">
        <f t="shared" si="228"/>
        <v>15</v>
      </c>
      <c r="T2731" s="15">
        <f t="shared" si="128"/>
        <v>5</v>
      </c>
      <c r="U2731" s="15">
        <f t="shared" si="129"/>
        <v>2026</v>
      </c>
      <c r="V2731" s="15" t="str">
        <f t="shared" si="8"/>
        <v/>
      </c>
      <c r="W2731" s="15" t="str">
        <f t="shared" si="9"/>
        <v/>
      </c>
      <c r="X2731" s="15" t="str">
        <f t="shared" si="10"/>
        <v/>
      </c>
    </row>
    <row r="2732">
      <c r="A2732" s="26">
        <v>46158.0</v>
      </c>
      <c r="B2732" s="30"/>
      <c r="C2732" s="27" t="str">
        <f t="shared" si="227"/>
        <v/>
      </c>
      <c r="D2732" s="28" t="s">
        <v>90</v>
      </c>
      <c r="E2732" s="28" t="s">
        <v>1305</v>
      </c>
      <c r="F2732" s="28" t="s">
        <v>40</v>
      </c>
      <c r="G2732" s="28" t="s">
        <v>27</v>
      </c>
      <c r="H2732" s="29" t="s">
        <v>1178</v>
      </c>
      <c r="I2732" s="37">
        <v>800.0</v>
      </c>
      <c r="J2732" s="34"/>
      <c r="K2732" s="13" t="str">
        <f t="shared" si="240"/>
        <v/>
      </c>
      <c r="L2732" s="28" t="s">
        <v>29</v>
      </c>
      <c r="M2732" s="28"/>
      <c r="N2732" s="28" t="s">
        <v>92</v>
      </c>
      <c r="O2732" s="10" t="str">
        <f t="shared" si="79"/>
        <v>05/2026</v>
      </c>
      <c r="P2732" s="10" t="str">
        <f t="shared" si="235"/>
        <v/>
      </c>
      <c r="Q2732" s="15" t="str">
        <f t="array" ref="Q2732">IFERROR(XLOOKUP(N2732,'Classificação'!A:A,'Classificação'!B:B),"")</f>
        <v>DESPESAS COM OCUPAÇÃO</v>
      </c>
      <c r="R2732" s="15" t="str">
        <f t="array" ref="R2732">IFERROR(XLOOKUP(Q2732,'Classificação'!B:B,'Classificação'!C:C),"")</f>
        <v>DESPESAS FIXAS (-)</v>
      </c>
      <c r="S2732" s="15">
        <f t="shared" si="228"/>
        <v>16</v>
      </c>
      <c r="T2732" s="15">
        <f t="shared" si="128"/>
        <v>5</v>
      </c>
      <c r="U2732" s="15">
        <f t="shared" si="129"/>
        <v>2026</v>
      </c>
      <c r="V2732" s="15" t="str">
        <f t="shared" si="8"/>
        <v/>
      </c>
      <c r="W2732" s="15" t="str">
        <f t="shared" si="9"/>
        <v/>
      </c>
      <c r="X2732" s="15" t="str">
        <f t="shared" si="10"/>
        <v/>
      </c>
    </row>
    <row r="2733">
      <c r="A2733" s="9">
        <v>46160.0</v>
      </c>
      <c r="B2733" s="10"/>
      <c r="C2733" s="9" t="str">
        <f t="shared" si="227"/>
        <v/>
      </c>
      <c r="D2733" s="11" t="s">
        <v>44</v>
      </c>
      <c r="E2733" s="11" t="s">
        <v>1305</v>
      </c>
      <c r="F2733" s="11" t="s">
        <v>45</v>
      </c>
      <c r="G2733" s="11" t="s">
        <v>27</v>
      </c>
      <c r="H2733" s="11" t="s">
        <v>703</v>
      </c>
      <c r="I2733" s="13">
        <v>2854.1774</v>
      </c>
      <c r="J2733" s="13"/>
      <c r="K2733" s="13" t="str">
        <f t="shared" si="240"/>
        <v/>
      </c>
      <c r="L2733" s="11" t="s">
        <v>53</v>
      </c>
      <c r="M2733" s="16" t="s">
        <v>1337</v>
      </c>
      <c r="N2733" s="11" t="s">
        <v>73</v>
      </c>
      <c r="O2733" s="10" t="str">
        <f t="shared" si="79"/>
        <v>05/2026</v>
      </c>
      <c r="P2733" s="10" t="str">
        <f>IF(C2733="","", TEXT(C2733,"mm/yyyy"))</f>
        <v/>
      </c>
      <c r="Q2733" s="15" t="str">
        <f t="array" ref="Q2733">IFERROR(XLOOKUP(N2733,'Classificação'!A:A,'Classificação'!B:B),"")</f>
        <v>DESPESAS NÃO OPERACIONAIS</v>
      </c>
      <c r="R2733" s="15" t="str">
        <f t="array" ref="R2733">IFERROR(XLOOKUP(Q2733,'Classificação'!B:B,'Classificação'!C:C),"")</f>
        <v>RESULTADO NÃO OPERACIONAL (+/-)</v>
      </c>
      <c r="S2733" s="15">
        <f t="shared" si="228"/>
        <v>18</v>
      </c>
      <c r="T2733" s="15">
        <f t="shared" si="128"/>
        <v>5</v>
      </c>
      <c r="U2733" s="15">
        <f t="shared" si="129"/>
        <v>2026</v>
      </c>
      <c r="V2733" s="15" t="str">
        <f t="shared" si="8"/>
        <v/>
      </c>
      <c r="W2733" s="15" t="str">
        <f t="shared" si="9"/>
        <v/>
      </c>
      <c r="X2733" s="15" t="str">
        <f t="shared" si="10"/>
        <v/>
      </c>
    </row>
    <row r="2734">
      <c r="A2734" s="26">
        <v>46160.0</v>
      </c>
      <c r="B2734" s="30"/>
      <c r="C2734" s="27" t="str">
        <f t="shared" si="227"/>
        <v/>
      </c>
      <c r="D2734" s="28" t="s">
        <v>65</v>
      </c>
      <c r="E2734" s="28" t="s">
        <v>1305</v>
      </c>
      <c r="F2734" s="28" t="s">
        <v>45</v>
      </c>
      <c r="G2734" s="28" t="s">
        <v>37</v>
      </c>
      <c r="H2734" s="28" t="s">
        <v>1114</v>
      </c>
      <c r="I2734" s="37">
        <v>700.0</v>
      </c>
      <c r="J2734" s="34"/>
      <c r="K2734" s="34" t="str">
        <f>IF(E2734="pago",(I2734-J2734),"")</f>
        <v/>
      </c>
      <c r="L2734" s="28" t="s">
        <v>29</v>
      </c>
      <c r="M2734" s="28"/>
      <c r="N2734" s="28" t="s">
        <v>68</v>
      </c>
      <c r="O2734" s="10" t="str">
        <f t="shared" si="79"/>
        <v>05/2026</v>
      </c>
      <c r="P2734" s="10" t="str">
        <f>if(C2734="","", TEXT(C2734,"mm/yyyy"))</f>
        <v/>
      </c>
      <c r="Q2734" s="15" t="str">
        <f t="array" ref="Q2734">IFERROR(XLOOKUP(N2734,'Classificação'!A:A,'Classificação'!B:B),"")</f>
        <v>FRETE DE VENDAS</v>
      </c>
      <c r="R2734" s="15" t="str">
        <f t="array" ref="R2734">IFERROR(XLOOKUP(Q2734,'Classificação'!B:B,'Classificação'!C:C),"")</f>
        <v>CUSTOS VARIÁVEIS</v>
      </c>
      <c r="S2734" s="15">
        <f t="shared" si="228"/>
        <v>18</v>
      </c>
      <c r="T2734" s="15">
        <f t="shared" si="128"/>
        <v>5</v>
      </c>
      <c r="U2734" s="15">
        <f t="shared" si="129"/>
        <v>2026</v>
      </c>
      <c r="V2734" s="15" t="str">
        <f t="shared" si="8"/>
        <v/>
      </c>
      <c r="W2734" s="15" t="str">
        <f t="shared" si="9"/>
        <v/>
      </c>
      <c r="X2734" s="15" t="str">
        <f t="shared" si="10"/>
        <v/>
      </c>
    </row>
    <row r="2735">
      <c r="A2735" s="9">
        <v>46160.0</v>
      </c>
      <c r="B2735" s="10"/>
      <c r="C2735" s="9" t="str">
        <f t="shared" si="227"/>
        <v/>
      </c>
      <c r="D2735" s="11" t="s">
        <v>65</v>
      </c>
      <c r="E2735" s="28" t="s">
        <v>1305</v>
      </c>
      <c r="F2735" s="11" t="s">
        <v>26</v>
      </c>
      <c r="G2735" s="11" t="s">
        <v>37</v>
      </c>
      <c r="H2735" s="11" t="s">
        <v>1238</v>
      </c>
      <c r="I2735" s="31">
        <v>483.26</v>
      </c>
      <c r="J2735" s="13"/>
      <c r="K2735" s="13"/>
      <c r="L2735" s="28" t="s">
        <v>53</v>
      </c>
      <c r="M2735" s="17">
        <v>46207.0</v>
      </c>
      <c r="N2735" s="11" t="s">
        <v>64</v>
      </c>
      <c r="O2735" s="10" t="str">
        <f t="shared" si="79"/>
        <v>05/2026</v>
      </c>
      <c r="P2735" s="10" t="str">
        <f>if(B2735="","", TEXT(B2735,"mm/yyyy"))</f>
        <v/>
      </c>
      <c r="Q2735" s="15" t="str">
        <f t="array" ref="Q2735">IFERROR(XLOOKUP(N2735,'Classificação'!A:A,'Classificação'!B:B),"")</f>
        <v>DESPESAS COM PESSOAL</v>
      </c>
      <c r="S2735" s="15">
        <f t="shared" si="228"/>
        <v>18</v>
      </c>
      <c r="T2735" s="15">
        <f t="shared" si="128"/>
        <v>5</v>
      </c>
      <c r="U2735" s="15">
        <f t="shared" si="129"/>
        <v>2026</v>
      </c>
      <c r="V2735" s="15" t="str">
        <f t="shared" si="8"/>
        <v/>
      </c>
      <c r="W2735" s="15" t="str">
        <f t="shared" si="9"/>
        <v/>
      </c>
      <c r="X2735" s="15" t="str">
        <f t="shared" si="10"/>
        <v/>
      </c>
    </row>
    <row r="2736">
      <c r="A2736" s="9">
        <v>46162.0</v>
      </c>
      <c r="B2736" s="10"/>
      <c r="C2736" s="9" t="str">
        <f t="shared" si="227"/>
        <v/>
      </c>
      <c r="D2736" s="11" t="s">
        <v>131</v>
      </c>
      <c r="E2736" s="29" t="s">
        <v>1305</v>
      </c>
      <c r="F2736" s="28" t="s">
        <v>107</v>
      </c>
      <c r="G2736" s="28" t="s">
        <v>27</v>
      </c>
      <c r="H2736" s="11" t="s">
        <v>822</v>
      </c>
      <c r="I2736" s="12">
        <v>221.66</v>
      </c>
      <c r="J2736" s="13"/>
      <c r="K2736" s="13"/>
      <c r="L2736" s="28" t="s">
        <v>53</v>
      </c>
      <c r="M2736" s="17">
        <v>46003.0</v>
      </c>
      <c r="N2736" s="11" t="s">
        <v>133</v>
      </c>
      <c r="O2736" s="10" t="str">
        <f t="shared" si="79"/>
        <v>05/2026</v>
      </c>
      <c r="P2736" s="10"/>
      <c r="S2736" s="15">
        <f t="shared" si="228"/>
        <v>20</v>
      </c>
      <c r="T2736" s="15">
        <f t="shared" si="128"/>
        <v>5</v>
      </c>
      <c r="U2736" s="15">
        <f t="shared" si="129"/>
        <v>2026</v>
      </c>
      <c r="V2736" s="15" t="str">
        <f t="shared" si="8"/>
        <v/>
      </c>
      <c r="W2736" s="15" t="str">
        <f t="shared" si="9"/>
        <v/>
      </c>
      <c r="X2736" s="15" t="str">
        <f t="shared" si="10"/>
        <v/>
      </c>
    </row>
    <row r="2737">
      <c r="A2737" s="9">
        <v>46162.0</v>
      </c>
      <c r="B2737" s="9">
        <v>45837.0</v>
      </c>
      <c r="C2737" s="9" t="str">
        <f t="shared" si="227"/>
        <v/>
      </c>
      <c r="D2737" s="11" t="s">
        <v>65</v>
      </c>
      <c r="E2737" s="11" t="s">
        <v>1305</v>
      </c>
      <c r="F2737" s="11" t="s">
        <v>107</v>
      </c>
      <c r="G2737" s="11" t="s">
        <v>27</v>
      </c>
      <c r="H2737" s="11" t="s">
        <v>874</v>
      </c>
      <c r="I2737" s="12">
        <v>51.07</v>
      </c>
      <c r="J2737" s="13"/>
      <c r="K2737" s="13" t="str">
        <f>if(E2737="pago",(I2737-J2737),"")</f>
        <v/>
      </c>
      <c r="L2737" s="11" t="s">
        <v>53</v>
      </c>
      <c r="M2737" s="17">
        <v>46002.0</v>
      </c>
      <c r="N2737" s="11" t="s">
        <v>95</v>
      </c>
      <c r="O2737" s="10" t="str">
        <f t="shared" si="79"/>
        <v>05/2026</v>
      </c>
      <c r="P2737" s="10" t="str">
        <f t="shared" ref="P2737:P2743" si="241">if(C2737="","", TEXT(C2737,"mm/yyyy"))</f>
        <v/>
      </c>
      <c r="Q2737" s="15" t="str">
        <f t="array" ref="Q2737">IFERROR(XLOOKUP(N2737,'Classificação'!A:A,'Classificação'!B:B),"")</f>
        <v>DESPESAS NÃO OPERACIONAIS</v>
      </c>
      <c r="R2737" s="15" t="str">
        <f t="array" ref="R2737">IFERROR(XLOOKUP(Q2737,'Classificação'!B:B,'Classificação'!C:C),"")</f>
        <v>RESULTADO NÃO OPERACIONAL (+/-)</v>
      </c>
      <c r="S2737" s="15">
        <f t="shared" si="228"/>
        <v>20</v>
      </c>
      <c r="T2737" s="15">
        <f t="shared" si="128"/>
        <v>5</v>
      </c>
      <c r="U2737" s="15">
        <f t="shared" si="129"/>
        <v>2026</v>
      </c>
      <c r="V2737" s="15" t="str">
        <f t="shared" si="8"/>
        <v/>
      </c>
      <c r="W2737" s="15" t="str">
        <f t="shared" si="9"/>
        <v/>
      </c>
      <c r="X2737" s="15" t="str">
        <f t="shared" si="10"/>
        <v/>
      </c>
    </row>
    <row r="2738">
      <c r="A2738" s="26">
        <v>46162.0</v>
      </c>
      <c r="B2738" s="26">
        <v>45867.0</v>
      </c>
      <c r="C2738" s="9" t="str">
        <f t="shared" si="227"/>
        <v/>
      </c>
      <c r="D2738" s="28" t="s">
        <v>109</v>
      </c>
      <c r="E2738" s="28" t="s">
        <v>1305</v>
      </c>
      <c r="F2738" s="29" t="s">
        <v>107</v>
      </c>
      <c r="G2738" s="28" t="s">
        <v>27</v>
      </c>
      <c r="H2738" s="11" t="s">
        <v>911</v>
      </c>
      <c r="I2738" s="24">
        <v>24.16</v>
      </c>
      <c r="J2738" s="13"/>
      <c r="K2738" s="13"/>
      <c r="L2738" s="11" t="s">
        <v>53</v>
      </c>
      <c r="M2738" s="17">
        <v>46001.0</v>
      </c>
      <c r="N2738" s="28" t="s">
        <v>105</v>
      </c>
      <c r="O2738" s="10" t="str">
        <f t="shared" si="79"/>
        <v>05/2026</v>
      </c>
      <c r="P2738" s="10" t="str">
        <f t="shared" si="241"/>
        <v/>
      </c>
      <c r="Q2738" s="15" t="str">
        <f t="array" ref="Q2738">IFERROR(XLOOKUP(N2738,'Classificação'!A:A,'Classificação'!B:B),"")</f>
        <v>DESPESAS ADMINISTRATIVAS</v>
      </c>
      <c r="R2738" s="15" t="str">
        <f t="array" ref="R2738">IFERROR(XLOOKUP(Q2738,'Classificação'!B:B,'Classificação'!C:C),"")</f>
        <v>DESPESAS FIXAS (-)</v>
      </c>
      <c r="S2738" s="15">
        <f t="shared" si="228"/>
        <v>20</v>
      </c>
      <c r="T2738" s="15">
        <f t="shared" si="128"/>
        <v>5</v>
      </c>
      <c r="U2738" s="15">
        <f t="shared" si="129"/>
        <v>2026</v>
      </c>
      <c r="V2738" s="15" t="str">
        <f t="shared" si="8"/>
        <v/>
      </c>
      <c r="W2738" s="15" t="str">
        <f t="shared" si="9"/>
        <v/>
      </c>
      <c r="X2738" s="15" t="str">
        <f t="shared" si="10"/>
        <v/>
      </c>
    </row>
    <row r="2739">
      <c r="A2739" s="9">
        <v>46162.0</v>
      </c>
      <c r="B2739" s="9">
        <v>45863.0</v>
      </c>
      <c r="C2739" s="9" t="str">
        <f t="shared" si="227"/>
        <v/>
      </c>
      <c r="D2739" s="11" t="s">
        <v>65</v>
      </c>
      <c r="E2739" s="11" t="s">
        <v>1305</v>
      </c>
      <c r="F2739" s="11" t="s">
        <v>107</v>
      </c>
      <c r="G2739" s="11" t="s">
        <v>27</v>
      </c>
      <c r="H2739" s="11" t="s">
        <v>915</v>
      </c>
      <c r="I2739" s="12">
        <v>185.17</v>
      </c>
      <c r="J2739" s="13"/>
      <c r="K2739" s="13" t="str">
        <f>if(E2739="pago",(I2739-J2739),"")</f>
        <v/>
      </c>
      <c r="L2739" s="11" t="s">
        <v>53</v>
      </c>
      <c r="M2739" s="17">
        <v>46001.0</v>
      </c>
      <c r="N2739" s="11" t="s">
        <v>95</v>
      </c>
      <c r="O2739" s="10" t="str">
        <f t="shared" si="79"/>
        <v>05/2026</v>
      </c>
      <c r="P2739" s="10" t="str">
        <f t="shared" si="241"/>
        <v/>
      </c>
      <c r="Q2739" s="15" t="str">
        <f t="array" ref="Q2739">IFERROR(XLOOKUP(N2739,'Classificação'!A:A,'Classificação'!B:B),"")</f>
        <v>DESPESAS NÃO OPERACIONAIS</v>
      </c>
      <c r="R2739" s="15" t="str">
        <f t="array" ref="R2739">IFERROR(XLOOKUP(Q2739,'Classificação'!B:B,'Classificação'!C:C),"")</f>
        <v>RESULTADO NÃO OPERACIONAL (+/-)</v>
      </c>
      <c r="S2739" s="15">
        <f t="shared" si="228"/>
        <v>20</v>
      </c>
      <c r="T2739" s="15">
        <f t="shared" si="128"/>
        <v>5</v>
      </c>
      <c r="U2739" s="15">
        <f t="shared" si="129"/>
        <v>2026</v>
      </c>
      <c r="V2739" s="15" t="str">
        <f t="shared" si="8"/>
        <v/>
      </c>
      <c r="W2739" s="15" t="str">
        <f t="shared" si="9"/>
        <v/>
      </c>
      <c r="X2739" s="15" t="str">
        <f t="shared" si="10"/>
        <v/>
      </c>
    </row>
    <row r="2740">
      <c r="A2740" s="26">
        <v>46162.0</v>
      </c>
      <c r="B2740" s="30"/>
      <c r="C2740" s="27" t="str">
        <f t="shared" si="227"/>
        <v/>
      </c>
      <c r="D2740" s="28" t="s">
        <v>100</v>
      </c>
      <c r="E2740" s="28" t="s">
        <v>1305</v>
      </c>
      <c r="F2740" s="28" t="s">
        <v>40</v>
      </c>
      <c r="G2740" s="28" t="s">
        <v>27</v>
      </c>
      <c r="H2740" s="29" t="s">
        <v>1015</v>
      </c>
      <c r="I2740" s="37">
        <v>14000.0</v>
      </c>
      <c r="J2740" s="34"/>
      <c r="K2740" s="34" t="str">
        <f t="shared" ref="K2740:K2744" si="242">IF(E2740="pago",(I2740-J2740),"")</f>
        <v/>
      </c>
      <c r="L2740" s="28" t="s">
        <v>29</v>
      </c>
      <c r="M2740" s="28"/>
      <c r="N2740" s="28" t="s">
        <v>101</v>
      </c>
      <c r="O2740" s="10" t="str">
        <f t="shared" si="79"/>
        <v>05/2026</v>
      </c>
      <c r="P2740" s="10" t="str">
        <f t="shared" si="241"/>
        <v/>
      </c>
      <c r="Q2740" s="15" t="str">
        <f t="array" ref="Q2740">IFERROR(XLOOKUP(N2740,'Classificação'!A:A,'Classificação'!B:B),"")</f>
        <v>IMPOSTO DE RENDA - DAS</v>
      </c>
      <c r="R2740" s="15" t="str">
        <f t="array" ref="R2740">IFERROR(XLOOKUP(Q2740,'Classificação'!B:B,'Classificação'!C:C),"")</f>
        <v>DEDUÇÕES DA RECEITA BRUTA (-)</v>
      </c>
      <c r="S2740" s="15">
        <f t="shared" si="228"/>
        <v>20</v>
      </c>
      <c r="T2740" s="15">
        <f t="shared" si="128"/>
        <v>5</v>
      </c>
      <c r="U2740" s="15">
        <f t="shared" si="129"/>
        <v>2026</v>
      </c>
      <c r="V2740" s="15" t="str">
        <f t="shared" si="8"/>
        <v/>
      </c>
      <c r="W2740" s="15" t="str">
        <f t="shared" si="9"/>
        <v/>
      </c>
      <c r="X2740" s="15" t="str">
        <f t="shared" si="10"/>
        <v/>
      </c>
    </row>
    <row r="2741">
      <c r="A2741" s="26">
        <v>46162.0</v>
      </c>
      <c r="B2741" s="30"/>
      <c r="C2741" s="27" t="str">
        <f t="shared" si="227"/>
        <v/>
      </c>
      <c r="D2741" s="28" t="s">
        <v>100</v>
      </c>
      <c r="E2741" s="28" t="s">
        <v>1305</v>
      </c>
      <c r="F2741" s="28" t="s">
        <v>40</v>
      </c>
      <c r="G2741" s="28" t="s">
        <v>37</v>
      </c>
      <c r="H2741" s="29" t="s">
        <v>1016</v>
      </c>
      <c r="I2741" s="37">
        <v>14000.0</v>
      </c>
      <c r="J2741" s="34"/>
      <c r="K2741" s="34" t="str">
        <f t="shared" si="242"/>
        <v/>
      </c>
      <c r="L2741" s="28" t="s">
        <v>29</v>
      </c>
      <c r="M2741" s="28"/>
      <c r="N2741" s="28" t="s">
        <v>101</v>
      </c>
      <c r="O2741" s="10" t="str">
        <f t="shared" si="79"/>
        <v>05/2026</v>
      </c>
      <c r="P2741" s="10" t="str">
        <f t="shared" si="241"/>
        <v/>
      </c>
      <c r="Q2741" s="15" t="str">
        <f t="array" ref="Q2741">IFERROR(XLOOKUP(N2741,'Classificação'!A:A,'Classificação'!B:B),"")</f>
        <v>IMPOSTO DE RENDA - DAS</v>
      </c>
      <c r="R2741" s="15" t="str">
        <f t="array" ref="R2741">IFERROR(XLOOKUP(Q2741,'Classificação'!B:B,'Classificação'!C:C),"")</f>
        <v>DEDUÇÕES DA RECEITA BRUTA (-)</v>
      </c>
      <c r="S2741" s="15">
        <f t="shared" si="228"/>
        <v>20</v>
      </c>
      <c r="T2741" s="15">
        <f t="shared" si="128"/>
        <v>5</v>
      </c>
      <c r="U2741" s="15">
        <f t="shared" si="129"/>
        <v>2026</v>
      </c>
      <c r="V2741" s="15" t="str">
        <f t="shared" si="8"/>
        <v/>
      </c>
      <c r="W2741" s="15" t="str">
        <f t="shared" si="9"/>
        <v/>
      </c>
      <c r="X2741" s="15" t="str">
        <f t="shared" si="10"/>
        <v/>
      </c>
    </row>
    <row r="2742">
      <c r="A2742" s="26">
        <v>46162.0</v>
      </c>
      <c r="B2742" s="28"/>
      <c r="C2742" s="27" t="str">
        <f t="shared" si="227"/>
        <v/>
      </c>
      <c r="D2742" s="28" t="s">
        <v>123</v>
      </c>
      <c r="E2742" s="28" t="s">
        <v>1305</v>
      </c>
      <c r="F2742" s="28" t="s">
        <v>40</v>
      </c>
      <c r="G2742" s="28" t="s">
        <v>27</v>
      </c>
      <c r="H2742" s="29" t="s">
        <v>1184</v>
      </c>
      <c r="I2742" s="24">
        <v>572.0</v>
      </c>
      <c r="J2742" s="34"/>
      <c r="K2742" s="34" t="str">
        <f t="shared" si="242"/>
        <v/>
      </c>
      <c r="L2742" s="28" t="s">
        <v>29</v>
      </c>
      <c r="M2742" s="28"/>
      <c r="N2742" s="28" t="s">
        <v>123</v>
      </c>
      <c r="O2742" s="10" t="str">
        <f t="shared" si="79"/>
        <v>05/2026</v>
      </c>
      <c r="P2742" s="10" t="str">
        <f t="shared" si="241"/>
        <v/>
      </c>
      <c r="Q2742" s="15" t="str">
        <f t="array" ref="Q2742">IFERROR(XLOOKUP(N2742,'Classificação'!A:A,'Classificação'!B:B),"")</f>
        <v>DESPESAS COM PESSOAL</v>
      </c>
      <c r="R2742" s="15" t="str">
        <f t="array" ref="R2742">IFERROR(XLOOKUP(Q2742,'Classificação'!B:B,'Classificação'!C:C),"")</f>
        <v>DESPESAS FIXAS (-)</v>
      </c>
      <c r="S2742" s="15">
        <f t="shared" si="228"/>
        <v>20</v>
      </c>
      <c r="T2742" s="15">
        <f t="shared" si="128"/>
        <v>5</v>
      </c>
      <c r="U2742" s="15">
        <f t="shared" si="129"/>
        <v>2026</v>
      </c>
      <c r="V2742" s="15" t="str">
        <f t="shared" si="8"/>
        <v/>
      </c>
      <c r="W2742" s="15" t="str">
        <f t="shared" si="9"/>
        <v/>
      </c>
      <c r="X2742" s="15" t="str">
        <f t="shared" si="10"/>
        <v/>
      </c>
    </row>
    <row r="2743">
      <c r="A2743" s="26">
        <v>46162.0</v>
      </c>
      <c r="B2743" s="28"/>
      <c r="C2743" s="27" t="str">
        <f t="shared" si="227"/>
        <v/>
      </c>
      <c r="D2743" s="28" t="s">
        <v>126</v>
      </c>
      <c r="E2743" s="28" t="s">
        <v>1305</v>
      </c>
      <c r="F2743" s="28" t="s">
        <v>40</v>
      </c>
      <c r="G2743" s="28" t="s">
        <v>27</v>
      </c>
      <c r="H2743" s="29" t="s">
        <v>1185</v>
      </c>
      <c r="I2743" s="24">
        <v>730.0</v>
      </c>
      <c r="J2743" s="34"/>
      <c r="K2743" s="34" t="str">
        <f t="shared" si="242"/>
        <v/>
      </c>
      <c r="L2743" s="28" t="s">
        <v>29</v>
      </c>
      <c r="M2743" s="28"/>
      <c r="N2743" s="28" t="s">
        <v>126</v>
      </c>
      <c r="O2743" s="10" t="str">
        <f t="shared" si="79"/>
        <v>05/2026</v>
      </c>
      <c r="P2743" s="10" t="str">
        <f t="shared" si="241"/>
        <v/>
      </c>
      <c r="Q2743" s="15" t="str">
        <f t="array" ref="Q2743">IFERROR(XLOOKUP(N2743,'Classificação'!A:A,'Classificação'!B:B),"")</f>
        <v>DESPESAS COM PESSOAL</v>
      </c>
      <c r="R2743" s="15" t="str">
        <f t="array" ref="R2743">IFERROR(XLOOKUP(Q2743,'Classificação'!B:B,'Classificação'!C:C),"")</f>
        <v>DESPESAS FIXAS (-)</v>
      </c>
      <c r="S2743" s="15">
        <f t="shared" si="228"/>
        <v>20</v>
      </c>
      <c r="T2743" s="15">
        <f t="shared" si="128"/>
        <v>5</v>
      </c>
      <c r="U2743" s="15">
        <f t="shared" si="129"/>
        <v>2026</v>
      </c>
      <c r="V2743" s="15" t="str">
        <f t="shared" si="8"/>
        <v/>
      </c>
      <c r="W2743" s="15" t="str">
        <f t="shared" si="9"/>
        <v/>
      </c>
      <c r="X2743" s="15" t="str">
        <f t="shared" si="10"/>
        <v/>
      </c>
    </row>
    <row r="2744">
      <c r="A2744" s="26">
        <v>46162.0</v>
      </c>
      <c r="B2744" s="28"/>
      <c r="C2744" s="27" t="str">
        <f t="shared" si="227"/>
        <v/>
      </c>
      <c r="D2744" s="28" t="s">
        <v>171</v>
      </c>
      <c r="E2744" s="28" t="s">
        <v>1305</v>
      </c>
      <c r="F2744" s="28" t="s">
        <v>40</v>
      </c>
      <c r="G2744" s="28" t="s">
        <v>27</v>
      </c>
      <c r="H2744" s="28"/>
      <c r="I2744" s="37">
        <v>150.0</v>
      </c>
      <c r="J2744" s="34"/>
      <c r="K2744" s="34" t="str">
        <f t="shared" si="242"/>
        <v/>
      </c>
      <c r="L2744" s="28" t="s">
        <v>29</v>
      </c>
      <c r="M2744" s="28"/>
      <c r="N2744" s="28" t="s">
        <v>172</v>
      </c>
      <c r="O2744" s="10" t="str">
        <f t="shared" si="79"/>
        <v>05/2026</v>
      </c>
      <c r="P2744" s="10" t="str">
        <f t="shared" ref="P2744:P2749" si="243">if(B2744="","", TEXT(B2744,"mm/yyyy"))</f>
        <v/>
      </c>
      <c r="Q2744" s="15" t="str">
        <f t="array" ref="Q2744">IFERROR(XLOOKUP(N2744,'Classificação'!A:A,'Classificação'!B:B),"")</f>
        <v>DESPESAS COM OCUPAÇÃO</v>
      </c>
      <c r="R2744" s="15" t="str">
        <f t="array" ref="R2744">IFERROR(XLOOKUP(Q2744,'Classificação'!B:B,'Classificação'!C:C),"")</f>
        <v>DESPESAS FIXAS (-)</v>
      </c>
      <c r="S2744" s="15">
        <f t="shared" si="228"/>
        <v>20</v>
      </c>
      <c r="T2744" s="15">
        <f t="shared" si="128"/>
        <v>5</v>
      </c>
      <c r="U2744" s="15">
        <f t="shared" si="129"/>
        <v>2026</v>
      </c>
      <c r="V2744" s="15" t="str">
        <f t="shared" si="8"/>
        <v/>
      </c>
      <c r="W2744" s="15" t="str">
        <f t="shared" si="9"/>
        <v/>
      </c>
      <c r="X2744" s="15" t="str">
        <f t="shared" si="10"/>
        <v/>
      </c>
    </row>
    <row r="2745">
      <c r="A2745" s="26">
        <v>46162.0</v>
      </c>
      <c r="B2745" s="39"/>
      <c r="C2745" s="9" t="str">
        <f t="shared" si="227"/>
        <v/>
      </c>
      <c r="D2745" s="28" t="s">
        <v>65</v>
      </c>
      <c r="E2745" s="28" t="s">
        <v>1305</v>
      </c>
      <c r="F2745" s="28" t="s">
        <v>107</v>
      </c>
      <c r="G2745" s="28" t="s">
        <v>27</v>
      </c>
      <c r="H2745" s="28" t="s">
        <v>612</v>
      </c>
      <c r="I2745" s="24">
        <v>8.9</v>
      </c>
      <c r="J2745" s="34"/>
      <c r="K2745" s="13" t="str">
        <f>if(E2745="pago",(I2745-J2745),"")</f>
        <v/>
      </c>
      <c r="L2745" s="28" t="s">
        <v>29</v>
      </c>
      <c r="M2745" s="28"/>
      <c r="N2745" s="28" t="s">
        <v>105</v>
      </c>
      <c r="O2745" s="10" t="str">
        <f t="shared" si="79"/>
        <v>05/2026</v>
      </c>
      <c r="P2745" s="10" t="str">
        <f t="shared" si="243"/>
        <v/>
      </c>
      <c r="Q2745" s="15" t="str">
        <f t="array" ref="Q2745">IFERROR(XLOOKUP(N2745,'Classificação'!A:A,'Classificação'!B:B),"")</f>
        <v>DESPESAS ADMINISTRATIVAS</v>
      </c>
      <c r="R2745" s="15" t="str">
        <f t="array" ref="R2745">IFERROR(XLOOKUP(Q2745,'Classificação'!B:B,'Classificação'!C:C),"")</f>
        <v>DESPESAS FIXAS (-)</v>
      </c>
      <c r="S2745" s="15">
        <f t="shared" si="228"/>
        <v>20</v>
      </c>
      <c r="T2745" s="15">
        <f t="shared" si="128"/>
        <v>5</v>
      </c>
      <c r="U2745" s="15">
        <f t="shared" si="129"/>
        <v>2026</v>
      </c>
      <c r="V2745" s="15" t="str">
        <f t="shared" si="8"/>
        <v/>
      </c>
      <c r="W2745" s="15" t="str">
        <f t="shared" si="9"/>
        <v/>
      </c>
      <c r="X2745" s="15" t="str">
        <f t="shared" si="10"/>
        <v/>
      </c>
    </row>
    <row r="2746">
      <c r="A2746" s="26">
        <v>46162.0</v>
      </c>
      <c r="B2746" s="28"/>
      <c r="C2746" s="27" t="str">
        <f t="shared" si="227"/>
        <v/>
      </c>
      <c r="D2746" s="28" t="s">
        <v>637</v>
      </c>
      <c r="E2746" s="28" t="s">
        <v>1305</v>
      </c>
      <c r="F2746" s="28" t="s">
        <v>40</v>
      </c>
      <c r="G2746" s="28" t="s">
        <v>27</v>
      </c>
      <c r="H2746" s="28"/>
      <c r="I2746" s="37">
        <v>170.0</v>
      </c>
      <c r="J2746" s="34"/>
      <c r="K2746" s="34" t="str">
        <f t="shared" ref="K2746:K2749" si="244">IF(E2746="pago",(I2746-J2746),"")</f>
        <v/>
      </c>
      <c r="L2746" s="28" t="s">
        <v>29</v>
      </c>
      <c r="M2746" s="28"/>
      <c r="N2746" s="28" t="s">
        <v>201</v>
      </c>
      <c r="O2746" s="10" t="str">
        <f t="shared" si="79"/>
        <v>05/2026</v>
      </c>
      <c r="P2746" s="10" t="str">
        <f t="shared" si="243"/>
        <v/>
      </c>
      <c r="Q2746" s="15" t="str">
        <f t="array" ref="Q2746">IFERROR(XLOOKUP(N2746,'Classificação'!A:A,'Classificação'!B:B),"")</f>
        <v>DESPESAS COM OCUPAÇÃO</v>
      </c>
      <c r="R2746" s="15" t="str">
        <f t="array" ref="R2746">IFERROR(XLOOKUP(Q2746,'Classificação'!B:B,'Classificação'!C:C),"")</f>
        <v>DESPESAS FIXAS (-)</v>
      </c>
      <c r="S2746" s="15">
        <f t="shared" si="228"/>
        <v>20</v>
      </c>
      <c r="T2746" s="15">
        <f t="shared" si="128"/>
        <v>5</v>
      </c>
      <c r="U2746" s="15">
        <f t="shared" si="129"/>
        <v>2026</v>
      </c>
      <c r="V2746" s="15" t="str">
        <f t="shared" si="8"/>
        <v/>
      </c>
      <c r="W2746" s="15" t="str">
        <f t="shared" si="9"/>
        <v/>
      </c>
      <c r="X2746" s="15" t="str">
        <f t="shared" si="10"/>
        <v/>
      </c>
    </row>
    <row r="2747">
      <c r="A2747" s="26">
        <v>46162.0</v>
      </c>
      <c r="B2747" s="28"/>
      <c r="C2747" s="27" t="str">
        <f t="shared" si="227"/>
        <v/>
      </c>
      <c r="D2747" s="28" t="s">
        <v>121</v>
      </c>
      <c r="E2747" s="28" t="s">
        <v>1305</v>
      </c>
      <c r="F2747" s="28" t="s">
        <v>107</v>
      </c>
      <c r="G2747" s="28" t="s">
        <v>27</v>
      </c>
      <c r="H2747" s="28"/>
      <c r="I2747" s="24">
        <v>79.9</v>
      </c>
      <c r="J2747" s="34"/>
      <c r="K2747" s="34" t="str">
        <f t="shared" si="244"/>
        <v/>
      </c>
      <c r="L2747" s="28" t="s">
        <v>29</v>
      </c>
      <c r="M2747" s="28"/>
      <c r="N2747" s="28" t="s">
        <v>105</v>
      </c>
      <c r="O2747" s="10" t="str">
        <f t="shared" si="79"/>
        <v>05/2026</v>
      </c>
      <c r="P2747" s="10" t="str">
        <f t="shared" si="243"/>
        <v/>
      </c>
      <c r="Q2747" s="15" t="str">
        <f t="array" ref="Q2747">IFERROR(XLOOKUP(N2747,'Classificação'!A:A,'Classificação'!B:B),"")</f>
        <v>DESPESAS ADMINISTRATIVAS</v>
      </c>
      <c r="R2747" s="15" t="str">
        <f t="array" ref="R2747">IFERROR(XLOOKUP(Q2747,'Classificação'!B:B,'Classificação'!C:C),"")</f>
        <v>DESPESAS FIXAS (-)</v>
      </c>
      <c r="S2747" s="15">
        <f t="shared" si="228"/>
        <v>20</v>
      </c>
      <c r="T2747" s="15">
        <f t="shared" si="128"/>
        <v>5</v>
      </c>
      <c r="U2747" s="15">
        <f t="shared" si="129"/>
        <v>2026</v>
      </c>
      <c r="V2747" s="15" t="str">
        <f t="shared" si="8"/>
        <v/>
      </c>
      <c r="W2747" s="15" t="str">
        <f t="shared" si="9"/>
        <v/>
      </c>
      <c r="X2747" s="15" t="str">
        <f t="shared" si="10"/>
        <v/>
      </c>
    </row>
    <row r="2748">
      <c r="A2748" s="26">
        <v>46162.0</v>
      </c>
      <c r="B2748" s="28"/>
      <c r="C2748" s="27" t="str">
        <f t="shared" si="227"/>
        <v/>
      </c>
      <c r="D2748" s="28" t="s">
        <v>104</v>
      </c>
      <c r="E2748" s="28" t="s">
        <v>1305</v>
      </c>
      <c r="F2748" s="28" t="s">
        <v>40</v>
      </c>
      <c r="G2748" s="28" t="s">
        <v>27</v>
      </c>
      <c r="H2748" s="29" t="s">
        <v>1186</v>
      </c>
      <c r="I2748" s="37">
        <v>450.0</v>
      </c>
      <c r="J2748" s="34"/>
      <c r="K2748" s="34" t="str">
        <f t="shared" si="244"/>
        <v/>
      </c>
      <c r="L2748" s="28" t="s">
        <v>29</v>
      </c>
      <c r="M2748" s="28"/>
      <c r="N2748" s="28" t="s">
        <v>105</v>
      </c>
      <c r="O2748" s="10" t="str">
        <f t="shared" si="79"/>
        <v>05/2026</v>
      </c>
      <c r="P2748" s="10" t="str">
        <f t="shared" si="243"/>
        <v/>
      </c>
      <c r="Q2748" s="15" t="str">
        <f t="array" ref="Q2748">IFERROR(XLOOKUP(N2748,'Classificação'!A:A,'Classificação'!B:B),"")</f>
        <v>DESPESAS ADMINISTRATIVAS</v>
      </c>
      <c r="R2748" s="15" t="str">
        <f t="array" ref="R2748">IFERROR(XLOOKUP(Q2748,'Classificação'!B:B,'Classificação'!C:C),"")</f>
        <v>DESPESAS FIXAS (-)</v>
      </c>
      <c r="S2748" s="15">
        <f t="shared" si="228"/>
        <v>20</v>
      </c>
      <c r="T2748" s="15">
        <f t="shared" si="128"/>
        <v>5</v>
      </c>
      <c r="U2748" s="15">
        <f t="shared" si="129"/>
        <v>2026</v>
      </c>
      <c r="V2748" s="15" t="str">
        <f t="shared" si="8"/>
        <v/>
      </c>
      <c r="W2748" s="15" t="str">
        <f t="shared" si="9"/>
        <v/>
      </c>
      <c r="X2748" s="15" t="str">
        <f t="shared" si="10"/>
        <v/>
      </c>
    </row>
    <row r="2749">
      <c r="A2749" s="26">
        <v>46162.0</v>
      </c>
      <c r="B2749" s="28"/>
      <c r="C2749" s="27" t="str">
        <f t="shared" si="227"/>
        <v/>
      </c>
      <c r="D2749" s="28" t="s">
        <v>44</v>
      </c>
      <c r="E2749" s="28" t="s">
        <v>1305</v>
      </c>
      <c r="F2749" s="28" t="s">
        <v>45</v>
      </c>
      <c r="G2749" s="28" t="s">
        <v>27</v>
      </c>
      <c r="H2749" s="28" t="s">
        <v>1308</v>
      </c>
      <c r="I2749" s="37">
        <v>125.0</v>
      </c>
      <c r="J2749" s="34"/>
      <c r="K2749" s="34" t="str">
        <f t="shared" si="244"/>
        <v/>
      </c>
      <c r="L2749" s="28" t="s">
        <v>29</v>
      </c>
      <c r="M2749" s="28"/>
      <c r="N2749" s="28" t="s">
        <v>47</v>
      </c>
      <c r="O2749" s="10" t="str">
        <f t="shared" si="79"/>
        <v>05/2026</v>
      </c>
      <c r="P2749" s="10" t="str">
        <f t="shared" si="243"/>
        <v/>
      </c>
      <c r="Q2749" s="15" t="str">
        <f t="array" ref="Q2749">IFERROR(XLOOKUP(N2749,'Classificação'!A:A,'Classificação'!B:B),"")</f>
        <v>DESPESAS NÃO OPERACIONAIS</v>
      </c>
      <c r="R2749" s="15" t="str">
        <f t="array" ref="R2749">IFERROR(XLOOKUP(Q2749,'Classificação'!B:B,'Classificação'!C:C),"")</f>
        <v>RESULTADO NÃO OPERACIONAL (+/-)</v>
      </c>
      <c r="S2749" s="15">
        <f t="shared" si="228"/>
        <v>20</v>
      </c>
      <c r="T2749" s="15">
        <f t="shared" si="128"/>
        <v>5</v>
      </c>
      <c r="U2749" s="15">
        <f t="shared" si="129"/>
        <v>2026</v>
      </c>
      <c r="V2749" s="15" t="str">
        <f t="shared" si="8"/>
        <v/>
      </c>
      <c r="W2749" s="15" t="str">
        <f t="shared" si="9"/>
        <v/>
      </c>
      <c r="X2749" s="15" t="str">
        <f t="shared" si="10"/>
        <v/>
      </c>
    </row>
    <row r="2750">
      <c r="A2750" s="9">
        <v>46162.0</v>
      </c>
      <c r="B2750" s="9">
        <v>46129.0</v>
      </c>
      <c r="C2750" s="9" t="str">
        <f t="shared" si="227"/>
        <v/>
      </c>
      <c r="D2750" s="11" t="s">
        <v>1181</v>
      </c>
      <c r="E2750" s="29" t="s">
        <v>1305</v>
      </c>
      <c r="F2750" s="11" t="s">
        <v>107</v>
      </c>
      <c r="G2750" s="28" t="s">
        <v>27</v>
      </c>
      <c r="H2750" s="11" t="s">
        <v>1182</v>
      </c>
      <c r="I2750" s="12">
        <v>39.99</v>
      </c>
      <c r="J2750" s="13"/>
      <c r="K2750" s="13" t="str">
        <f t="shared" ref="K2750:K2752" si="245">if(E2750="pago",(I2750-J2750),"")</f>
        <v/>
      </c>
      <c r="L2750" s="11" t="s">
        <v>29</v>
      </c>
      <c r="M2750" s="14"/>
      <c r="N2750" s="11" t="s">
        <v>105</v>
      </c>
      <c r="O2750" s="10" t="str">
        <f t="shared" si="79"/>
        <v>05/2026</v>
      </c>
      <c r="P2750" s="10" t="str">
        <f t="shared" ref="P2750:P2756" si="246">if(C2750="","", TEXT(C2750,"mm/yyyy"))</f>
        <v/>
      </c>
      <c r="Q2750" s="15" t="str">
        <f t="array" ref="Q2750">IFERROR(XLOOKUP(N2750,'Classificação'!A:A,'Classificação'!B:B),"")</f>
        <v>DESPESAS ADMINISTRATIVAS</v>
      </c>
      <c r="R2750" s="15" t="str">
        <f t="array" ref="R2750">IFERROR(XLOOKUP(Q2750,'Classificação'!B:B,'Classificação'!C:C),"")</f>
        <v>DESPESAS FIXAS (-)</v>
      </c>
      <c r="S2750" s="15">
        <f t="shared" si="228"/>
        <v>20</v>
      </c>
      <c r="T2750" s="15">
        <f t="shared" si="128"/>
        <v>5</v>
      </c>
      <c r="U2750" s="15">
        <f t="shared" si="129"/>
        <v>2026</v>
      </c>
      <c r="V2750" s="15" t="str">
        <f t="shared" si="8"/>
        <v/>
      </c>
      <c r="W2750" s="15" t="str">
        <f t="shared" si="9"/>
        <v/>
      </c>
      <c r="X2750" s="15" t="str">
        <f t="shared" si="10"/>
        <v/>
      </c>
    </row>
    <row r="2751">
      <c r="A2751" s="9">
        <v>46162.0</v>
      </c>
      <c r="B2751" s="32">
        <v>46010.0</v>
      </c>
      <c r="C2751" s="9" t="str">
        <f t="shared" si="227"/>
        <v/>
      </c>
      <c r="D2751" s="29" t="s">
        <v>1193</v>
      </c>
      <c r="E2751" s="28" t="s">
        <v>1305</v>
      </c>
      <c r="F2751" s="11" t="s">
        <v>107</v>
      </c>
      <c r="G2751" s="28" t="s">
        <v>27</v>
      </c>
      <c r="H2751" s="11" t="s">
        <v>1194</v>
      </c>
      <c r="I2751" s="31">
        <v>246.66</v>
      </c>
      <c r="J2751" s="12"/>
      <c r="K2751" s="13" t="str">
        <f t="shared" si="245"/>
        <v/>
      </c>
      <c r="L2751" s="28" t="s">
        <v>53</v>
      </c>
      <c r="M2751" s="17">
        <v>45813.0</v>
      </c>
      <c r="N2751" s="11" t="s">
        <v>95</v>
      </c>
      <c r="O2751" s="10" t="str">
        <f t="shared" si="79"/>
        <v>05/2026</v>
      </c>
      <c r="P2751" s="10" t="str">
        <f t="shared" si="246"/>
        <v/>
      </c>
      <c r="Q2751" s="15" t="str">
        <f t="array" ref="Q2751">IFERROR(XLOOKUP(N2751,'Classificação'!A:A,'Classificação'!B:B),"")</f>
        <v>DESPESAS NÃO OPERACIONAIS</v>
      </c>
      <c r="R2751" s="15" t="str">
        <f t="array" ref="R2751">IFERROR(XLOOKUP(Q2751,'Classificação'!B:B,'Classificação'!C:C),"")</f>
        <v>RESULTADO NÃO OPERACIONAL (+/-)</v>
      </c>
      <c r="S2751" s="15">
        <f t="shared" si="228"/>
        <v>20</v>
      </c>
      <c r="T2751" s="15">
        <f t="shared" si="128"/>
        <v>5</v>
      </c>
      <c r="U2751" s="15">
        <f t="shared" si="129"/>
        <v>2026</v>
      </c>
      <c r="V2751" s="15" t="str">
        <f t="shared" si="8"/>
        <v/>
      </c>
      <c r="W2751" s="15" t="str">
        <f t="shared" si="9"/>
        <v/>
      </c>
      <c r="X2751" s="15" t="str">
        <f t="shared" si="10"/>
        <v/>
      </c>
    </row>
    <row r="2752">
      <c r="A2752" s="9">
        <v>46162.0</v>
      </c>
      <c r="B2752" s="32">
        <v>46014.0</v>
      </c>
      <c r="C2752" s="9" t="str">
        <f t="shared" si="227"/>
        <v/>
      </c>
      <c r="D2752" s="11" t="s">
        <v>65</v>
      </c>
      <c r="E2752" s="11" t="s">
        <v>1305</v>
      </c>
      <c r="F2752" s="11" t="s">
        <v>107</v>
      </c>
      <c r="G2752" s="11" t="s">
        <v>27</v>
      </c>
      <c r="H2752" s="11" t="s">
        <v>1197</v>
      </c>
      <c r="I2752" s="31">
        <v>119.38</v>
      </c>
      <c r="J2752" s="13"/>
      <c r="K2752" s="13" t="str">
        <f t="shared" si="245"/>
        <v/>
      </c>
      <c r="L2752" s="11" t="s">
        <v>53</v>
      </c>
      <c r="M2752" s="17">
        <v>46147.0</v>
      </c>
      <c r="N2752" s="11" t="s">
        <v>95</v>
      </c>
      <c r="O2752" s="10" t="str">
        <f t="shared" si="79"/>
        <v>05/2026</v>
      </c>
      <c r="P2752" s="10" t="str">
        <f t="shared" si="246"/>
        <v/>
      </c>
      <c r="Q2752" s="15" t="str">
        <f t="array" ref="Q2752">IFERROR(XLOOKUP(N2752,'Classificação'!A:A,'Classificação'!B:B),"")</f>
        <v>DESPESAS NÃO OPERACIONAIS</v>
      </c>
      <c r="R2752" s="15" t="str">
        <f t="array" ref="R2752">IFERROR(XLOOKUP(Q2752,'Classificação'!B:B,'Classificação'!C:C),"")</f>
        <v>RESULTADO NÃO OPERACIONAL (+/-)</v>
      </c>
      <c r="S2752" s="15">
        <f t="shared" si="228"/>
        <v>20</v>
      </c>
      <c r="T2752" s="15">
        <f t="shared" si="128"/>
        <v>5</v>
      </c>
      <c r="U2752" s="15">
        <f t="shared" si="129"/>
        <v>2026</v>
      </c>
      <c r="V2752" s="15" t="str">
        <f t="shared" si="8"/>
        <v/>
      </c>
      <c r="W2752" s="15" t="str">
        <f t="shared" si="9"/>
        <v/>
      </c>
      <c r="X2752" s="15" t="str">
        <f t="shared" si="10"/>
        <v/>
      </c>
    </row>
    <row r="2753">
      <c r="A2753" s="27">
        <v>46162.0</v>
      </c>
      <c r="B2753" s="28"/>
      <c r="C2753" s="27" t="str">
        <f t="shared" si="227"/>
        <v/>
      </c>
      <c r="D2753" s="28" t="s">
        <v>126</v>
      </c>
      <c r="E2753" s="28" t="s">
        <v>1305</v>
      </c>
      <c r="F2753" s="28" t="s">
        <v>40</v>
      </c>
      <c r="G2753" s="28" t="s">
        <v>27</v>
      </c>
      <c r="H2753" s="29" t="s">
        <v>1210</v>
      </c>
      <c r="I2753" s="24">
        <v>210.0</v>
      </c>
      <c r="J2753" s="34"/>
      <c r="K2753" s="34" t="str">
        <f t="shared" ref="K2753:K2754" si="247">IF(E2753="pago",(I2753-J2753),"")</f>
        <v/>
      </c>
      <c r="L2753" s="28" t="s">
        <v>29</v>
      </c>
      <c r="M2753" s="28"/>
      <c r="N2753" s="28" t="s">
        <v>126</v>
      </c>
      <c r="O2753" s="10" t="str">
        <f t="shared" si="79"/>
        <v>05/2026</v>
      </c>
      <c r="P2753" s="10" t="str">
        <f t="shared" si="246"/>
        <v/>
      </c>
      <c r="Q2753" s="15" t="str">
        <f t="array" ref="Q2753">IFERROR(XLOOKUP(N2753,'Classificação'!A:A,'Classificação'!B:B),"")</f>
        <v>DESPESAS COM PESSOAL</v>
      </c>
      <c r="R2753" s="15" t="str">
        <f t="array" ref="R2753">IFERROR(XLOOKUP(Q2753,'Classificação'!B:B,'Classificação'!C:C),"")</f>
        <v>DESPESAS FIXAS (-)</v>
      </c>
      <c r="S2753" s="15">
        <f t="shared" si="228"/>
        <v>20</v>
      </c>
      <c r="T2753" s="15">
        <f t="shared" si="128"/>
        <v>5</v>
      </c>
      <c r="U2753" s="15">
        <f t="shared" si="129"/>
        <v>2026</v>
      </c>
      <c r="V2753" s="15" t="str">
        <f t="shared" si="8"/>
        <v/>
      </c>
      <c r="W2753" s="15" t="str">
        <f t="shared" si="9"/>
        <v/>
      </c>
      <c r="X2753" s="15" t="str">
        <f t="shared" si="10"/>
        <v/>
      </c>
    </row>
    <row r="2754">
      <c r="A2754" s="27">
        <v>46162.0</v>
      </c>
      <c r="B2754" s="28"/>
      <c r="C2754" s="27" t="str">
        <f t="shared" si="227"/>
        <v/>
      </c>
      <c r="D2754" s="28" t="s">
        <v>123</v>
      </c>
      <c r="E2754" s="28" t="s">
        <v>1305</v>
      </c>
      <c r="F2754" s="28" t="s">
        <v>40</v>
      </c>
      <c r="G2754" s="28" t="s">
        <v>27</v>
      </c>
      <c r="H2754" s="29" t="s">
        <v>1180</v>
      </c>
      <c r="I2754" s="24">
        <v>217.0</v>
      </c>
      <c r="J2754" s="34"/>
      <c r="K2754" s="34" t="str">
        <f t="shared" si="247"/>
        <v/>
      </c>
      <c r="L2754" s="28" t="s">
        <v>29</v>
      </c>
      <c r="M2754" s="28"/>
      <c r="N2754" s="28" t="s">
        <v>123</v>
      </c>
      <c r="O2754" s="10" t="str">
        <f t="shared" si="79"/>
        <v>05/2026</v>
      </c>
      <c r="P2754" s="10" t="str">
        <f t="shared" si="246"/>
        <v/>
      </c>
      <c r="Q2754" s="15" t="str">
        <f t="array" ref="Q2754">IFERROR(XLOOKUP(N2754,'Classificação'!A:A,'Classificação'!B:B),"")</f>
        <v>DESPESAS COM PESSOAL</v>
      </c>
      <c r="R2754" s="15" t="str">
        <f t="array" ref="R2754">IFERROR(XLOOKUP(Q2754,'Classificação'!B:B,'Classificação'!C:C),"")</f>
        <v>DESPESAS FIXAS (-)</v>
      </c>
      <c r="S2754" s="15">
        <f t="shared" si="228"/>
        <v>20</v>
      </c>
      <c r="T2754" s="15">
        <f t="shared" si="128"/>
        <v>5</v>
      </c>
      <c r="U2754" s="15">
        <f t="shared" si="129"/>
        <v>2026</v>
      </c>
      <c r="V2754" s="15" t="str">
        <f t="shared" si="8"/>
        <v/>
      </c>
      <c r="W2754" s="15" t="str">
        <f t="shared" si="9"/>
        <v/>
      </c>
      <c r="X2754" s="15" t="str">
        <f t="shared" si="10"/>
        <v/>
      </c>
    </row>
    <row r="2755">
      <c r="A2755" s="9">
        <v>46162.0</v>
      </c>
      <c r="B2755" s="32"/>
      <c r="C2755" s="9" t="str">
        <f t="shared" si="227"/>
        <v/>
      </c>
      <c r="D2755" s="28" t="s">
        <v>369</v>
      </c>
      <c r="E2755" s="28" t="s">
        <v>1305</v>
      </c>
      <c r="F2755" s="28" t="s">
        <v>107</v>
      </c>
      <c r="G2755" s="28" t="s">
        <v>27</v>
      </c>
      <c r="H2755" s="11" t="s">
        <v>1247</v>
      </c>
      <c r="I2755" s="38">
        <v>29.9</v>
      </c>
      <c r="J2755" s="13"/>
      <c r="K2755" s="13" t="str">
        <f t="shared" ref="K2755:K2756" si="248">if(E2755="pago",(I2755-J2755),"")</f>
        <v/>
      </c>
      <c r="L2755" s="29" t="s">
        <v>29</v>
      </c>
      <c r="M2755" s="17"/>
      <c r="N2755" s="29" t="s">
        <v>105</v>
      </c>
      <c r="O2755" s="10" t="str">
        <f t="shared" si="79"/>
        <v>05/2026</v>
      </c>
      <c r="P2755" s="10" t="str">
        <f t="shared" si="246"/>
        <v/>
      </c>
      <c r="Q2755" s="15" t="str">
        <f t="array" ref="Q2755">IFERROR(XLOOKUP(N2755,'Classificação'!A:A,'Classificação'!B:B),"")</f>
        <v>DESPESAS ADMINISTRATIVAS</v>
      </c>
      <c r="R2755" s="15" t="str">
        <f t="array" ref="R2755">IFERROR(XLOOKUP(Q2755,'Classificação'!B:B,'Classificação'!C:C),"")</f>
        <v>DESPESAS FIXAS (-)</v>
      </c>
      <c r="S2755" s="15">
        <f t="shared" si="228"/>
        <v>20</v>
      </c>
      <c r="T2755" s="15">
        <f t="shared" si="128"/>
        <v>5</v>
      </c>
      <c r="U2755" s="15">
        <f t="shared" si="129"/>
        <v>2026</v>
      </c>
      <c r="V2755" s="15" t="str">
        <f t="shared" si="8"/>
        <v/>
      </c>
      <c r="W2755" s="15" t="str">
        <f t="shared" si="9"/>
        <v/>
      </c>
      <c r="X2755" s="15" t="str">
        <f t="shared" si="10"/>
        <v/>
      </c>
    </row>
    <row r="2756">
      <c r="A2756" s="9">
        <v>46162.0</v>
      </c>
      <c r="B2756" s="32">
        <v>46009.0</v>
      </c>
      <c r="C2756" s="9" t="str">
        <f>IF(E2757="pago",A2756,"")</f>
        <v/>
      </c>
      <c r="D2756" s="11" t="s">
        <v>1213</v>
      </c>
      <c r="E2756" s="28" t="s">
        <v>1305</v>
      </c>
      <c r="F2756" s="11" t="s">
        <v>107</v>
      </c>
      <c r="G2756" s="28" t="s">
        <v>27</v>
      </c>
      <c r="H2756" s="11" t="s">
        <v>1214</v>
      </c>
      <c r="I2756" s="31">
        <v>105.45</v>
      </c>
      <c r="J2756" s="13"/>
      <c r="K2756" s="13" t="str">
        <f t="shared" si="248"/>
        <v/>
      </c>
      <c r="L2756" s="11" t="s">
        <v>53</v>
      </c>
      <c r="M2756" s="17">
        <v>46147.0</v>
      </c>
      <c r="N2756" s="11" t="s">
        <v>95</v>
      </c>
      <c r="O2756" s="10" t="str">
        <f t="shared" si="79"/>
        <v>05/2026</v>
      </c>
      <c r="P2756" s="10" t="str">
        <f t="shared" si="246"/>
        <v/>
      </c>
      <c r="Q2756" s="15" t="str">
        <f t="array" ref="Q2756">IFERROR(XLOOKUP(N2756,'Classificação'!A:A,'Classificação'!B:B),"")</f>
        <v>DESPESAS NÃO OPERACIONAIS</v>
      </c>
      <c r="R2756" s="15" t="str">
        <f t="array" ref="R2756">IFERROR(XLOOKUP(Q2756,'Classificação'!B:B,'Classificação'!C:C),"")</f>
        <v>RESULTADO NÃO OPERACIONAL (+/-)</v>
      </c>
      <c r="S2756" s="15">
        <f t="shared" si="228"/>
        <v>20</v>
      </c>
      <c r="T2756" s="15">
        <f t="shared" si="128"/>
        <v>5</v>
      </c>
      <c r="U2756" s="15">
        <f t="shared" si="129"/>
        <v>2026</v>
      </c>
      <c r="V2756" s="15" t="str">
        <f t="shared" si="8"/>
        <v/>
      </c>
      <c r="W2756" s="15" t="str">
        <f t="shared" si="9"/>
        <v/>
      </c>
      <c r="X2756" s="15" t="str">
        <f t="shared" si="10"/>
        <v/>
      </c>
    </row>
    <row r="2757">
      <c r="A2757" s="26">
        <v>46162.0</v>
      </c>
      <c r="B2757" s="26">
        <v>46065.0</v>
      </c>
      <c r="C2757" s="27" t="str">
        <f t="shared" ref="C2757:C3995" si="249">IF(E2757="pago",A2757,"")</f>
        <v/>
      </c>
      <c r="D2757" s="29" t="s">
        <v>560</v>
      </c>
      <c r="E2757" s="28" t="s">
        <v>1305</v>
      </c>
      <c r="F2757" s="29" t="s">
        <v>107</v>
      </c>
      <c r="G2757" s="28" t="s">
        <v>27</v>
      </c>
      <c r="H2757" s="29" t="s">
        <v>1287</v>
      </c>
      <c r="I2757" s="24">
        <v>260.75</v>
      </c>
      <c r="J2757" s="34"/>
      <c r="K2757" s="34" t="str">
        <f>IF(E2757="pago",(I2757-J2757),"")</f>
        <v/>
      </c>
      <c r="L2757" s="29" t="s">
        <v>53</v>
      </c>
      <c r="M2757" s="35">
        <v>46115.0</v>
      </c>
      <c r="N2757" s="29" t="s">
        <v>175</v>
      </c>
      <c r="O2757" s="10" t="str">
        <f t="shared" si="79"/>
        <v>05/2026</v>
      </c>
      <c r="P2757" s="10" t="str">
        <f>if(B2757="","", TEXT(B2757,"mm/yyyy"))</f>
        <v>02/2026</v>
      </c>
      <c r="Q2757" s="15" t="str">
        <f t="array" ref="Q2757">IFERROR(XLOOKUP(N2757,'Classificação'!A:A,'Classificação'!B:B),"")</f>
        <v>DESPESAS COM VEICULOS</v>
      </c>
      <c r="R2757" s="15" t="str">
        <f t="array" ref="R2757">IFERROR(XLOOKUP(Q2757,'Classificação'!B:B,'Classificação'!C:C),"")</f>
        <v>DESPESAS FIXAS (-)</v>
      </c>
      <c r="S2757" s="15">
        <f t="shared" si="228"/>
        <v>20</v>
      </c>
      <c r="T2757" s="15">
        <f t="shared" si="128"/>
        <v>5</v>
      </c>
      <c r="U2757" s="15">
        <f t="shared" si="129"/>
        <v>2026</v>
      </c>
      <c r="V2757" s="15" t="str">
        <f t="shared" si="8"/>
        <v/>
      </c>
      <c r="W2757" s="15" t="str">
        <f t="shared" si="9"/>
        <v/>
      </c>
      <c r="X2757" s="15" t="str">
        <f t="shared" si="10"/>
        <v/>
      </c>
    </row>
    <row r="2758">
      <c r="A2758" s="9">
        <v>46162.0</v>
      </c>
      <c r="B2758" s="9">
        <v>46072.0</v>
      </c>
      <c r="C2758" s="27" t="str">
        <f t="shared" si="249"/>
        <v/>
      </c>
      <c r="D2758" s="29" t="s">
        <v>1290</v>
      </c>
      <c r="E2758" s="28" t="s">
        <v>1305</v>
      </c>
      <c r="F2758" s="11" t="s">
        <v>107</v>
      </c>
      <c r="G2758" s="28" t="s">
        <v>27</v>
      </c>
      <c r="H2758" s="11" t="s">
        <v>1291</v>
      </c>
      <c r="I2758" s="12">
        <v>73.33</v>
      </c>
      <c r="J2758" s="34"/>
      <c r="K2758" s="13" t="str">
        <f t="shared" ref="K2758:K2761" si="250">if(E2758="pago",(I2758-J2758),"")</f>
        <v/>
      </c>
      <c r="L2758" s="11" t="s">
        <v>53</v>
      </c>
      <c r="M2758" s="35">
        <v>46084.0</v>
      </c>
      <c r="N2758" s="11" t="s">
        <v>175</v>
      </c>
      <c r="O2758" s="10" t="str">
        <f t="shared" si="79"/>
        <v>05/2026</v>
      </c>
      <c r="P2758" s="10" t="str">
        <f t="shared" ref="P2758:P2761" si="251">if(C2758="","", TEXT(C2758,"mm/yyyy"))</f>
        <v/>
      </c>
      <c r="Q2758" s="15" t="str">
        <f t="array" ref="Q2758">IFERROR(XLOOKUP(N2758,'Classificação'!A:A,'Classificação'!B:B),"")</f>
        <v>DESPESAS COM VEICULOS</v>
      </c>
      <c r="R2758" s="15" t="str">
        <f t="array" ref="R2758">IFERROR(XLOOKUP(Q2758,'Classificação'!B:B,'Classificação'!C:C),"")</f>
        <v>DESPESAS FIXAS (-)</v>
      </c>
      <c r="S2758" s="15">
        <f t="shared" si="228"/>
        <v>20</v>
      </c>
      <c r="T2758" s="15">
        <f t="shared" si="128"/>
        <v>5</v>
      </c>
      <c r="U2758" s="15">
        <f t="shared" si="129"/>
        <v>2026</v>
      </c>
      <c r="V2758" s="15" t="str">
        <f t="shared" si="8"/>
        <v/>
      </c>
      <c r="W2758" s="15" t="str">
        <f t="shared" si="9"/>
        <v/>
      </c>
      <c r="X2758" s="15" t="str">
        <f t="shared" si="10"/>
        <v/>
      </c>
    </row>
    <row r="2759">
      <c r="A2759" s="9">
        <v>46162.0</v>
      </c>
      <c r="B2759" s="9">
        <v>46081.0</v>
      </c>
      <c r="C2759" s="9" t="str">
        <f t="shared" si="249"/>
        <v/>
      </c>
      <c r="D2759" s="11" t="s">
        <v>65</v>
      </c>
      <c r="E2759" s="28" t="s">
        <v>1305</v>
      </c>
      <c r="F2759" s="11" t="s">
        <v>107</v>
      </c>
      <c r="G2759" s="11" t="s">
        <v>27</v>
      </c>
      <c r="H2759" s="11" t="s">
        <v>1293</v>
      </c>
      <c r="I2759" s="31">
        <v>127.9</v>
      </c>
      <c r="J2759" s="13"/>
      <c r="K2759" s="13" t="str">
        <f t="shared" si="250"/>
        <v/>
      </c>
      <c r="L2759" s="11" t="s">
        <v>53</v>
      </c>
      <c r="M2759" s="17">
        <v>46359.0</v>
      </c>
      <c r="N2759" s="11" t="s">
        <v>95</v>
      </c>
      <c r="O2759" s="10" t="str">
        <f t="shared" si="79"/>
        <v>05/2026</v>
      </c>
      <c r="P2759" s="10" t="str">
        <f t="shared" si="251"/>
        <v/>
      </c>
      <c r="Q2759" s="15" t="str">
        <f t="array" ref="Q2759">IFERROR(XLOOKUP(N2759,'Classificação'!A:A,'Classificação'!B:B),"")</f>
        <v>DESPESAS NÃO OPERACIONAIS</v>
      </c>
      <c r="R2759" s="15" t="str">
        <f t="array" ref="R2759">IFERROR(XLOOKUP(Q2759,'Classificação'!B:B,'Classificação'!C:C),"")</f>
        <v>RESULTADO NÃO OPERACIONAL (+/-)</v>
      </c>
      <c r="S2759" s="15">
        <f t="shared" si="228"/>
        <v>20</v>
      </c>
      <c r="T2759" s="15">
        <f t="shared" si="128"/>
        <v>5</v>
      </c>
      <c r="U2759" s="15">
        <f t="shared" si="129"/>
        <v>2026</v>
      </c>
      <c r="V2759" s="15" t="str">
        <f t="shared" si="8"/>
        <v/>
      </c>
      <c r="W2759" s="15" t="str">
        <f t="shared" si="9"/>
        <v/>
      </c>
      <c r="X2759" s="15" t="str">
        <f t="shared" si="10"/>
        <v/>
      </c>
    </row>
    <row r="2760">
      <c r="A2760" s="9">
        <v>46162.0</v>
      </c>
      <c r="B2760" s="9">
        <v>46077.0</v>
      </c>
      <c r="C2760" s="9" t="str">
        <f t="shared" si="249"/>
        <v/>
      </c>
      <c r="D2760" s="11" t="s">
        <v>1294</v>
      </c>
      <c r="E2760" s="28" t="s">
        <v>1305</v>
      </c>
      <c r="F2760" s="11" t="s">
        <v>107</v>
      </c>
      <c r="G2760" s="28" t="s">
        <v>27</v>
      </c>
      <c r="H2760" s="11" t="s">
        <v>1295</v>
      </c>
      <c r="I2760" s="31">
        <v>185.2</v>
      </c>
      <c r="J2760" s="13"/>
      <c r="K2760" s="13" t="str">
        <f t="shared" si="250"/>
        <v/>
      </c>
      <c r="L2760" s="28" t="s">
        <v>53</v>
      </c>
      <c r="M2760" s="17">
        <v>46359.0</v>
      </c>
      <c r="N2760" s="11" t="s">
        <v>64</v>
      </c>
      <c r="O2760" s="10" t="str">
        <f t="shared" si="79"/>
        <v>05/2026</v>
      </c>
      <c r="P2760" s="10" t="str">
        <f t="shared" si="251"/>
        <v/>
      </c>
      <c r="Q2760" s="15" t="str">
        <f t="array" ref="Q2760">IFERROR(XLOOKUP(N2760,'Classificação'!A:A,'Classificação'!B:B),"")</f>
        <v>DESPESAS COM PESSOAL</v>
      </c>
      <c r="R2760" s="15" t="str">
        <f t="array" ref="R2760">IFERROR(XLOOKUP(Q2760,'Classificação'!B:B,'Classificação'!C:C),"")</f>
        <v>DESPESAS FIXAS (-)</v>
      </c>
      <c r="S2760" s="15">
        <f t="shared" si="228"/>
        <v>20</v>
      </c>
      <c r="T2760" s="15">
        <f t="shared" si="128"/>
        <v>5</v>
      </c>
      <c r="U2760" s="15">
        <f t="shared" si="129"/>
        <v>2026</v>
      </c>
      <c r="V2760" s="15" t="str">
        <f t="shared" si="8"/>
        <v/>
      </c>
      <c r="W2760" s="15" t="str">
        <f t="shared" si="9"/>
        <v/>
      </c>
      <c r="X2760" s="15" t="str">
        <f t="shared" si="10"/>
        <v/>
      </c>
    </row>
    <row r="2761">
      <c r="A2761" s="9">
        <v>46162.0</v>
      </c>
      <c r="B2761" s="9">
        <v>46101.0</v>
      </c>
      <c r="C2761" s="9" t="str">
        <f t="shared" si="249"/>
        <v/>
      </c>
      <c r="D2761" s="11" t="s">
        <v>86</v>
      </c>
      <c r="E2761" s="28" t="s">
        <v>1305</v>
      </c>
      <c r="F2761" s="11" t="s">
        <v>87</v>
      </c>
      <c r="G2761" s="28" t="s">
        <v>27</v>
      </c>
      <c r="H2761" s="11" t="s">
        <v>1338</v>
      </c>
      <c r="I2761" s="31">
        <v>2632.5</v>
      </c>
      <c r="J2761" s="13"/>
      <c r="K2761" s="13" t="str">
        <f t="shared" si="250"/>
        <v/>
      </c>
      <c r="L2761" s="11" t="s">
        <v>53</v>
      </c>
      <c r="M2761" s="17">
        <v>46114.0</v>
      </c>
      <c r="N2761" s="11" t="s">
        <v>35</v>
      </c>
      <c r="O2761" s="10" t="str">
        <f t="shared" si="79"/>
        <v>05/2026</v>
      </c>
      <c r="P2761" s="10" t="str">
        <f t="shared" si="251"/>
        <v/>
      </c>
      <c r="Q2761" s="15" t="str">
        <f t="array" ref="Q2761">IFERROR(XLOOKUP(N2761,'Classificação'!A:A,'Classificação'!B:B),"")</f>
        <v>COMPRA DE MERCADORIA</v>
      </c>
      <c r="R2761" s="15" t="str">
        <f t="array" ref="R2761">IFERROR(XLOOKUP(Q2761,'Classificação'!B:B,'Classificação'!C:C),"")</f>
        <v>CUSTOS VARIÁVEIS</v>
      </c>
      <c r="S2761" s="15">
        <f t="shared" si="228"/>
        <v>20</v>
      </c>
      <c r="T2761" s="15">
        <f t="shared" si="128"/>
        <v>5</v>
      </c>
      <c r="U2761" s="15">
        <f t="shared" si="129"/>
        <v>2026</v>
      </c>
      <c r="V2761" s="15" t="str">
        <f t="shared" si="8"/>
        <v/>
      </c>
      <c r="W2761" s="15" t="str">
        <f t="shared" si="9"/>
        <v/>
      </c>
      <c r="X2761" s="15" t="str">
        <f t="shared" si="10"/>
        <v/>
      </c>
    </row>
    <row r="2762">
      <c r="A2762" s="9">
        <v>46163.0</v>
      </c>
      <c r="B2762" s="10"/>
      <c r="C2762" s="9" t="str">
        <f t="shared" si="249"/>
        <v/>
      </c>
      <c r="D2762" s="28" t="s">
        <v>76</v>
      </c>
      <c r="E2762" s="28" t="s">
        <v>1305</v>
      </c>
      <c r="F2762" s="28" t="s">
        <v>26</v>
      </c>
      <c r="G2762" s="28" t="s">
        <v>27</v>
      </c>
      <c r="H2762" s="28" t="s">
        <v>84</v>
      </c>
      <c r="I2762" s="24">
        <v>1214.27</v>
      </c>
      <c r="J2762" s="13"/>
      <c r="K2762" s="13"/>
      <c r="L2762" s="28" t="s">
        <v>53</v>
      </c>
      <c r="M2762" s="16" t="s">
        <v>1332</v>
      </c>
      <c r="N2762" s="28" t="s">
        <v>85</v>
      </c>
      <c r="O2762" s="10" t="str">
        <f t="shared" si="79"/>
        <v>05/2026</v>
      </c>
      <c r="P2762" s="10"/>
      <c r="Q2762" s="15" t="str">
        <f t="array" ref="Q2762">IFERROR(XLOOKUP(N2762,'Classificação'!A:A,'Classificação'!B:B),"")</f>
        <v>DESPESAS NÃO OPERACIONAIS</v>
      </c>
      <c r="R2762" s="15" t="str">
        <f t="array" ref="R2762">IFERROR(XLOOKUP(Q2762,'Classificação'!B:B,'Classificação'!C:C),"")</f>
        <v>RESULTADO NÃO OPERACIONAL (+/-)</v>
      </c>
      <c r="S2762" s="15">
        <f t="shared" si="228"/>
        <v>21</v>
      </c>
      <c r="T2762" s="15">
        <f t="shared" si="128"/>
        <v>5</v>
      </c>
      <c r="U2762" s="15">
        <f t="shared" si="129"/>
        <v>2026</v>
      </c>
      <c r="V2762" s="15" t="str">
        <f t="shared" si="8"/>
        <v/>
      </c>
      <c r="W2762" s="15" t="str">
        <f t="shared" si="9"/>
        <v/>
      </c>
      <c r="X2762" s="15" t="str">
        <f t="shared" si="10"/>
        <v/>
      </c>
    </row>
    <row r="2763">
      <c r="A2763" s="9">
        <v>46163.0</v>
      </c>
      <c r="B2763" s="9">
        <v>46043.0</v>
      </c>
      <c r="C2763" s="9" t="str">
        <f t="shared" si="249"/>
        <v/>
      </c>
      <c r="D2763" s="11" t="s">
        <v>86</v>
      </c>
      <c r="E2763" s="28" t="s">
        <v>1305</v>
      </c>
      <c r="F2763" s="11" t="s">
        <v>87</v>
      </c>
      <c r="G2763" s="28" t="s">
        <v>27</v>
      </c>
      <c r="H2763" s="11" t="s">
        <v>1339</v>
      </c>
      <c r="I2763" s="31">
        <v>2640.0</v>
      </c>
      <c r="J2763" s="13"/>
      <c r="K2763" s="13" t="str">
        <f t="shared" ref="K2763:K2766" si="252">if(E2763="pago",(I2763-J2763),"")</f>
        <v/>
      </c>
      <c r="L2763" s="28" t="s">
        <v>53</v>
      </c>
      <c r="M2763" s="17">
        <v>46147.0</v>
      </c>
      <c r="N2763" s="11" t="s">
        <v>35</v>
      </c>
      <c r="O2763" s="10" t="str">
        <f t="shared" si="79"/>
        <v>05/2026</v>
      </c>
      <c r="P2763" s="10" t="str">
        <f t="shared" ref="P2763:P2767" si="253">if(C2763="","", TEXT(C2763,"mm/yyyy"))</f>
        <v/>
      </c>
      <c r="Q2763" s="15" t="str">
        <f t="array" ref="Q2763">IFERROR(XLOOKUP(N2763,'Classificação'!A:A,'Classificação'!B:B),"")</f>
        <v>COMPRA DE MERCADORIA</v>
      </c>
      <c r="R2763" s="15" t="str">
        <f t="array" ref="R2763">IFERROR(XLOOKUP(Q2763,'Classificação'!B:B,'Classificação'!C:C),"")</f>
        <v>CUSTOS VARIÁVEIS</v>
      </c>
      <c r="S2763" s="15">
        <f t="shared" si="228"/>
        <v>21</v>
      </c>
      <c r="T2763" s="15">
        <f t="shared" si="128"/>
        <v>5</v>
      </c>
      <c r="U2763" s="15">
        <f t="shared" si="129"/>
        <v>2026</v>
      </c>
      <c r="V2763" s="15" t="str">
        <f t="shared" si="8"/>
        <v/>
      </c>
      <c r="W2763" s="15" t="str">
        <f t="shared" si="9"/>
        <v/>
      </c>
      <c r="X2763" s="15" t="str">
        <f t="shared" si="10"/>
        <v/>
      </c>
    </row>
    <row r="2764">
      <c r="A2764" s="26">
        <v>46164.0</v>
      </c>
      <c r="B2764" s="10"/>
      <c r="C2764" s="9" t="str">
        <f t="shared" si="249"/>
        <v/>
      </c>
      <c r="D2764" s="28" t="s">
        <v>36</v>
      </c>
      <c r="E2764" s="28" t="s">
        <v>1305</v>
      </c>
      <c r="F2764" s="28" t="s">
        <v>26</v>
      </c>
      <c r="G2764" s="28" t="s">
        <v>37</v>
      </c>
      <c r="I2764" s="37">
        <v>9000.0</v>
      </c>
      <c r="J2764" s="13"/>
      <c r="K2764" s="13" t="str">
        <f t="shared" si="252"/>
        <v/>
      </c>
      <c r="L2764" s="28" t="s">
        <v>29</v>
      </c>
      <c r="M2764" s="14"/>
      <c r="N2764" s="28" t="s">
        <v>38</v>
      </c>
      <c r="O2764" s="10" t="str">
        <f t="shared" si="79"/>
        <v>05/2026</v>
      </c>
      <c r="P2764" s="10" t="str">
        <f t="shared" si="253"/>
        <v/>
      </c>
      <c r="Q2764" s="15" t="str">
        <f t="array" ref="Q2764">IFERROR(XLOOKUP(N2764,'Classificação'!A:A,'Classificação'!B:B),"")</f>
        <v>DESPESAS COM PESSOAL</v>
      </c>
      <c r="R2764" s="15" t="str">
        <f t="array" ref="R2764">IFERROR(XLOOKUP(Q2764,'Classificação'!B:B,'Classificação'!C:C),"")</f>
        <v>DESPESAS FIXAS (-)</v>
      </c>
      <c r="S2764" s="15">
        <f t="shared" si="228"/>
        <v>22</v>
      </c>
      <c r="T2764" s="15">
        <f t="shared" si="128"/>
        <v>5</v>
      </c>
      <c r="U2764" s="15">
        <f t="shared" si="129"/>
        <v>2026</v>
      </c>
      <c r="V2764" s="15" t="str">
        <f t="shared" si="8"/>
        <v/>
      </c>
      <c r="W2764" s="15" t="str">
        <f t="shared" si="9"/>
        <v/>
      </c>
      <c r="X2764" s="15" t="str">
        <f t="shared" si="10"/>
        <v/>
      </c>
    </row>
    <row r="2765">
      <c r="A2765" s="26">
        <v>46164.0</v>
      </c>
      <c r="B2765" s="10"/>
      <c r="C2765" s="9" t="str">
        <f t="shared" si="249"/>
        <v/>
      </c>
      <c r="D2765" s="28" t="s">
        <v>43</v>
      </c>
      <c r="E2765" s="28" t="s">
        <v>1305</v>
      </c>
      <c r="F2765" s="29" t="s">
        <v>26</v>
      </c>
      <c r="G2765" s="28" t="s">
        <v>37</v>
      </c>
      <c r="I2765" s="37">
        <v>9000.0</v>
      </c>
      <c r="J2765" s="13"/>
      <c r="K2765" s="13" t="str">
        <f t="shared" si="252"/>
        <v/>
      </c>
      <c r="L2765" s="28" t="s">
        <v>29</v>
      </c>
      <c r="M2765" s="14"/>
      <c r="N2765" s="28" t="s">
        <v>38</v>
      </c>
      <c r="O2765" s="10" t="str">
        <f t="shared" si="79"/>
        <v>05/2026</v>
      </c>
      <c r="P2765" s="10" t="str">
        <f t="shared" si="253"/>
        <v/>
      </c>
      <c r="Q2765" s="15" t="str">
        <f t="array" ref="Q2765">IFERROR(XLOOKUP(N2765,'Classificação'!A:A,'Classificação'!B:B),"")</f>
        <v>DESPESAS COM PESSOAL</v>
      </c>
      <c r="R2765" s="15" t="str">
        <f t="array" ref="R2765">IFERROR(XLOOKUP(Q2765,'Classificação'!B:B,'Classificação'!C:C),"")</f>
        <v>DESPESAS FIXAS (-)</v>
      </c>
      <c r="S2765" s="15">
        <f t="shared" si="228"/>
        <v>22</v>
      </c>
      <c r="T2765" s="15">
        <f t="shared" si="128"/>
        <v>5</v>
      </c>
      <c r="U2765" s="15">
        <f t="shared" si="129"/>
        <v>2026</v>
      </c>
      <c r="V2765" s="15" t="str">
        <f t="shared" si="8"/>
        <v/>
      </c>
      <c r="W2765" s="15" t="str">
        <f t="shared" si="9"/>
        <v/>
      </c>
      <c r="X2765" s="15" t="str">
        <f t="shared" si="10"/>
        <v/>
      </c>
    </row>
    <row r="2766">
      <c r="A2766" s="9">
        <v>46164.0</v>
      </c>
      <c r="B2766" s="10"/>
      <c r="C2766" s="9" t="str">
        <f t="shared" si="249"/>
        <v/>
      </c>
      <c r="D2766" s="29" t="s">
        <v>177</v>
      </c>
      <c r="E2766" s="28" t="s">
        <v>1305</v>
      </c>
      <c r="F2766" s="29" t="s">
        <v>40</v>
      </c>
      <c r="G2766" s="28" t="s">
        <v>27</v>
      </c>
      <c r="H2766" s="29" t="s">
        <v>1218</v>
      </c>
      <c r="I2766" s="24">
        <v>158.5</v>
      </c>
      <c r="J2766" s="13"/>
      <c r="K2766" s="13" t="str">
        <f t="shared" si="252"/>
        <v/>
      </c>
      <c r="L2766" s="11" t="s">
        <v>53</v>
      </c>
      <c r="M2766" s="17">
        <v>45844.0</v>
      </c>
      <c r="N2766" s="11" t="s">
        <v>178</v>
      </c>
      <c r="O2766" s="10" t="str">
        <f t="shared" si="79"/>
        <v>05/2026</v>
      </c>
      <c r="P2766" s="10" t="str">
        <f t="shared" si="253"/>
        <v/>
      </c>
      <c r="Q2766" s="15" t="str">
        <f t="array" ref="Q2766">IFERROR(XLOOKUP(N2766,'Classificação'!A:A,'Classificação'!B:B),"")</f>
        <v>DESPESAS COM OCUPAÇÃO</v>
      </c>
      <c r="R2766" s="15" t="str">
        <f t="array" ref="R2766">IFERROR(XLOOKUP(Q2766,'Classificação'!B:B,'Classificação'!C:C),"")</f>
        <v>DESPESAS FIXAS (-)</v>
      </c>
      <c r="S2766" s="15">
        <f t="shared" si="228"/>
        <v>22</v>
      </c>
      <c r="T2766" s="15">
        <f t="shared" si="128"/>
        <v>5</v>
      </c>
      <c r="U2766" s="15">
        <f t="shared" si="129"/>
        <v>2026</v>
      </c>
      <c r="V2766" s="15" t="str">
        <f t="shared" si="8"/>
        <v/>
      </c>
      <c r="W2766" s="15" t="str">
        <f t="shared" si="9"/>
        <v/>
      </c>
      <c r="X2766" s="15" t="str">
        <f t="shared" si="10"/>
        <v/>
      </c>
    </row>
    <row r="2767">
      <c r="A2767" s="9">
        <v>46166.0</v>
      </c>
      <c r="B2767" s="10"/>
      <c r="C2767" s="9" t="str">
        <f t="shared" si="249"/>
        <v/>
      </c>
      <c r="D2767" s="28" t="s">
        <v>39</v>
      </c>
      <c r="E2767" s="28" t="s">
        <v>1305</v>
      </c>
      <c r="F2767" s="28" t="s">
        <v>40</v>
      </c>
      <c r="G2767" s="28" t="s">
        <v>27</v>
      </c>
      <c r="H2767" s="28" t="s">
        <v>640</v>
      </c>
      <c r="I2767" s="24">
        <v>148.07</v>
      </c>
      <c r="J2767" s="34"/>
      <c r="K2767" s="37" t="str">
        <f t="shared" ref="K2767:K2768" si="254">IF(E2767="pago",(I2767-J2767),"")</f>
        <v/>
      </c>
      <c r="L2767" s="28" t="s">
        <v>53</v>
      </c>
      <c r="M2767" s="40">
        <v>45933.0</v>
      </c>
      <c r="N2767" s="28" t="s">
        <v>355</v>
      </c>
      <c r="O2767" s="10" t="str">
        <f t="shared" si="79"/>
        <v>05/2026</v>
      </c>
      <c r="P2767" s="10" t="str">
        <f t="shared" si="253"/>
        <v/>
      </c>
      <c r="Q2767" s="15" t="str">
        <f t="array" ref="Q2767">IFERROR(XLOOKUP(N2767,'Classificação'!A:A,'Classificação'!B:B),"")</f>
        <v>IMPOSTOS E TAXAS DIVERSAS</v>
      </c>
      <c r="R2767" s="15" t="str">
        <f t="array" ref="R2767">IFERROR(XLOOKUP(Q2767,'Classificação'!B:B,'Classificação'!C:C),"")</f>
        <v>DESPESAS FIXAS (-)</v>
      </c>
      <c r="S2767" s="15">
        <f t="shared" si="228"/>
        <v>24</v>
      </c>
      <c r="T2767" s="15">
        <f t="shared" si="128"/>
        <v>5</v>
      </c>
      <c r="U2767" s="15">
        <f t="shared" si="129"/>
        <v>2026</v>
      </c>
      <c r="V2767" s="15" t="str">
        <f t="shared" si="8"/>
        <v/>
      </c>
      <c r="W2767" s="15" t="str">
        <f t="shared" si="9"/>
        <v/>
      </c>
      <c r="X2767" s="15" t="str">
        <f t="shared" si="10"/>
        <v/>
      </c>
    </row>
    <row r="2768">
      <c r="A2768" s="26">
        <v>46167.0</v>
      </c>
      <c r="B2768" s="28"/>
      <c r="C2768" s="27" t="str">
        <f t="shared" si="249"/>
        <v/>
      </c>
      <c r="D2768" s="28" t="s">
        <v>208</v>
      </c>
      <c r="E2768" s="28" t="s">
        <v>1305</v>
      </c>
      <c r="F2768" s="28" t="s">
        <v>40</v>
      </c>
      <c r="G2768" s="28" t="s">
        <v>27</v>
      </c>
      <c r="H2768" s="28" t="s">
        <v>209</v>
      </c>
      <c r="I2768" s="37">
        <v>204.96</v>
      </c>
      <c r="J2768" s="34"/>
      <c r="K2768" s="34" t="str">
        <f t="shared" si="254"/>
        <v/>
      </c>
      <c r="L2768" s="28" t="s">
        <v>29</v>
      </c>
      <c r="M2768" s="28"/>
      <c r="N2768" s="28" t="s">
        <v>210</v>
      </c>
      <c r="O2768" s="10" t="str">
        <f t="shared" si="79"/>
        <v>05/2026</v>
      </c>
      <c r="P2768" s="10" t="str">
        <f>if(B2768="","", TEXT(B2768,"mm/yyyy"))</f>
        <v/>
      </c>
      <c r="Q2768" s="15" t="str">
        <f t="array" ref="Q2768">IFERROR(XLOOKUP(N2768,'Classificação'!A:A,'Classificação'!B:B),"")</f>
        <v>DESPESAS COM OCUPAÇÃO</v>
      </c>
      <c r="R2768" s="15" t="str">
        <f t="array" ref="R2768">IFERROR(XLOOKUP(Q2768,'Classificação'!B:B,'Classificação'!C:C),"")</f>
        <v>DESPESAS FIXAS (-)</v>
      </c>
      <c r="S2768" s="15">
        <f t="shared" si="228"/>
        <v>25</v>
      </c>
      <c r="T2768" s="15">
        <f t="shared" si="128"/>
        <v>5</v>
      </c>
      <c r="U2768" s="15">
        <f t="shared" si="129"/>
        <v>2026</v>
      </c>
      <c r="V2768" s="15" t="str">
        <f t="shared" si="8"/>
        <v/>
      </c>
      <c r="W2768" s="15" t="str">
        <f t="shared" si="9"/>
        <v/>
      </c>
      <c r="X2768" s="15" t="str">
        <f t="shared" si="10"/>
        <v/>
      </c>
    </row>
    <row r="2769">
      <c r="A2769" s="9">
        <v>46167.0</v>
      </c>
      <c r="B2769" s="32">
        <v>46011.0</v>
      </c>
      <c r="C2769" s="9" t="str">
        <f t="shared" si="249"/>
        <v/>
      </c>
      <c r="D2769" s="11" t="s">
        <v>1207</v>
      </c>
      <c r="E2769" s="28" t="s">
        <v>1305</v>
      </c>
      <c r="F2769" s="11" t="s">
        <v>107</v>
      </c>
      <c r="G2769" s="28" t="s">
        <v>27</v>
      </c>
      <c r="H2769" s="11" t="s">
        <v>1204</v>
      </c>
      <c r="I2769" s="31">
        <v>70.13</v>
      </c>
      <c r="J2769" s="13"/>
      <c r="K2769" s="13" t="str">
        <f t="shared" ref="K2769:K2770" si="255">if(E2769="pago",(I2769-J2769),"")</f>
        <v/>
      </c>
      <c r="L2769" s="11" t="s">
        <v>53</v>
      </c>
      <c r="M2769" s="17">
        <v>45813.0</v>
      </c>
      <c r="N2769" s="11" t="s">
        <v>116</v>
      </c>
      <c r="O2769" s="10" t="str">
        <f t="shared" si="79"/>
        <v>05/2026</v>
      </c>
      <c r="P2769" s="10" t="str">
        <f t="shared" ref="P2769:P2773" si="256">if(C2769="","", TEXT(C2769,"mm/yyyy"))</f>
        <v/>
      </c>
      <c r="Q2769" s="15" t="str">
        <f t="array" ref="Q2769">IFERROR(XLOOKUP(N2769,'Classificação'!A:A,'Classificação'!B:B),"")</f>
        <v>DESPESAS COM OCUPAÇÃO</v>
      </c>
      <c r="R2769" s="15" t="str">
        <f t="array" ref="R2769">IFERROR(XLOOKUP(Q2769,'Classificação'!B:B,'Classificação'!C:C),"")</f>
        <v>DESPESAS FIXAS (-)</v>
      </c>
      <c r="S2769" s="15">
        <f t="shared" si="228"/>
        <v>25</v>
      </c>
      <c r="T2769" s="15">
        <f t="shared" si="128"/>
        <v>5</v>
      </c>
      <c r="U2769" s="15">
        <f t="shared" si="129"/>
        <v>2026</v>
      </c>
      <c r="V2769" s="15" t="str">
        <f t="shared" si="8"/>
        <v/>
      </c>
      <c r="W2769" s="15" t="str">
        <f t="shared" si="9"/>
        <v/>
      </c>
      <c r="X2769" s="15" t="str">
        <f t="shared" si="10"/>
        <v/>
      </c>
    </row>
    <row r="2770">
      <c r="A2770" s="9">
        <v>46167.0</v>
      </c>
      <c r="B2770" s="32">
        <v>46021.0</v>
      </c>
      <c r="C2770" s="9" t="str">
        <f t="shared" si="249"/>
        <v/>
      </c>
      <c r="D2770" s="11" t="s">
        <v>691</v>
      </c>
      <c r="E2770" s="28" t="s">
        <v>1305</v>
      </c>
      <c r="F2770" s="11" t="s">
        <v>107</v>
      </c>
      <c r="G2770" s="28" t="s">
        <v>27</v>
      </c>
      <c r="H2770" s="11" t="s">
        <v>1209</v>
      </c>
      <c r="I2770" s="31">
        <v>1313.49</v>
      </c>
      <c r="J2770" s="13"/>
      <c r="K2770" s="13" t="str">
        <f t="shared" si="255"/>
        <v/>
      </c>
      <c r="L2770" s="11" t="s">
        <v>53</v>
      </c>
      <c r="M2770" s="17">
        <v>45813.0</v>
      </c>
      <c r="N2770" s="11" t="s">
        <v>61</v>
      </c>
      <c r="O2770" s="10" t="str">
        <f t="shared" si="79"/>
        <v>05/2026</v>
      </c>
      <c r="P2770" s="10" t="str">
        <f t="shared" si="256"/>
        <v/>
      </c>
      <c r="Q2770" s="15" t="str">
        <f t="array" ref="Q2770">IFERROR(XLOOKUP(N2770,'Classificação'!A:A,'Classificação'!B:B),"")</f>
        <v>DESPESAS ADMINISTRATIVAS</v>
      </c>
      <c r="R2770" s="15" t="str">
        <f t="array" ref="R2770">IFERROR(XLOOKUP(Q2770,'Classificação'!B:B,'Classificação'!C:C),"")</f>
        <v>DESPESAS FIXAS (-)</v>
      </c>
      <c r="S2770" s="15">
        <f t="shared" si="228"/>
        <v>25</v>
      </c>
      <c r="T2770" s="15">
        <f t="shared" si="128"/>
        <v>5</v>
      </c>
      <c r="U2770" s="15">
        <f t="shared" si="129"/>
        <v>2026</v>
      </c>
      <c r="V2770" s="15" t="str">
        <f t="shared" si="8"/>
        <v/>
      </c>
      <c r="W2770" s="15" t="str">
        <f t="shared" si="9"/>
        <v/>
      </c>
      <c r="X2770" s="15" t="str">
        <f t="shared" si="10"/>
        <v/>
      </c>
    </row>
    <row r="2771">
      <c r="A2771" s="26">
        <v>46167.0</v>
      </c>
      <c r="B2771" s="28"/>
      <c r="C2771" s="27" t="str">
        <f t="shared" si="249"/>
        <v/>
      </c>
      <c r="D2771" s="28" t="s">
        <v>828</v>
      </c>
      <c r="E2771" s="29" t="s">
        <v>1305</v>
      </c>
      <c r="F2771" s="28" t="s">
        <v>26</v>
      </c>
      <c r="G2771" s="28" t="s">
        <v>37</v>
      </c>
      <c r="H2771" s="28" t="s">
        <v>1220</v>
      </c>
      <c r="I2771" s="33">
        <v>107.81</v>
      </c>
      <c r="J2771" s="34"/>
      <c r="K2771" s="37" t="str">
        <f>IF(E2771="pago",(I2771-J2771),"")</f>
        <v/>
      </c>
      <c r="L2771" s="28" t="s">
        <v>34</v>
      </c>
      <c r="M2771" s="28"/>
      <c r="N2771" s="28" t="s">
        <v>105</v>
      </c>
      <c r="O2771" s="10" t="str">
        <f t="shared" si="79"/>
        <v>05/2026</v>
      </c>
      <c r="P2771" s="10" t="str">
        <f t="shared" si="256"/>
        <v/>
      </c>
      <c r="Q2771" s="15" t="str">
        <f t="array" ref="Q2771">IFERROR(XLOOKUP(N2771,'Classificação'!A:A,'Classificação'!B:B),"")</f>
        <v>DESPESAS ADMINISTRATIVAS</v>
      </c>
      <c r="R2771" s="15" t="str">
        <f t="array" ref="R2771">IFERROR(XLOOKUP(Q2771,'Classificação'!B:B,'Classificação'!C:C),"")</f>
        <v>DESPESAS FIXAS (-)</v>
      </c>
      <c r="S2771" s="15">
        <f t="shared" si="228"/>
        <v>25</v>
      </c>
      <c r="T2771" s="15">
        <f t="shared" si="128"/>
        <v>5</v>
      </c>
      <c r="U2771" s="15">
        <f t="shared" si="129"/>
        <v>2026</v>
      </c>
      <c r="V2771" s="15" t="str">
        <f t="shared" si="8"/>
        <v/>
      </c>
      <c r="W2771" s="15" t="str">
        <f t="shared" si="9"/>
        <v/>
      </c>
      <c r="X2771" s="15" t="str">
        <f t="shared" si="10"/>
        <v/>
      </c>
    </row>
    <row r="2772">
      <c r="A2772" s="9">
        <v>46168.0</v>
      </c>
      <c r="B2772" s="10"/>
      <c r="C2772" s="9" t="str">
        <f t="shared" si="249"/>
        <v/>
      </c>
      <c r="D2772" s="28" t="s">
        <v>44</v>
      </c>
      <c r="E2772" s="28" t="s">
        <v>1305</v>
      </c>
      <c r="F2772" s="28" t="s">
        <v>45</v>
      </c>
      <c r="G2772" s="28" t="s">
        <v>27</v>
      </c>
      <c r="H2772" s="29" t="s">
        <v>1329</v>
      </c>
      <c r="I2772" s="37">
        <v>2531.0894</v>
      </c>
      <c r="J2772" s="34"/>
      <c r="K2772" s="37"/>
      <c r="L2772" s="28" t="s">
        <v>53</v>
      </c>
      <c r="M2772" s="16" t="s">
        <v>1340</v>
      </c>
      <c r="N2772" s="28" t="s">
        <v>73</v>
      </c>
      <c r="O2772" s="10" t="str">
        <f t="shared" si="79"/>
        <v>05/2026</v>
      </c>
      <c r="P2772" s="10" t="str">
        <f t="shared" si="256"/>
        <v/>
      </c>
      <c r="Q2772" s="15" t="str">
        <f t="array" ref="Q2772">IFERROR(XLOOKUP(N2772,'Classificação'!A:A,'Classificação'!B:B),"")</f>
        <v>DESPESAS NÃO OPERACIONAIS</v>
      </c>
      <c r="R2772" s="15" t="str">
        <f t="array" ref="R2772">IFERROR(XLOOKUP(Q2772,'Classificação'!B:B,'Classificação'!C:C),"")</f>
        <v>RESULTADO NÃO OPERACIONAL (+/-)</v>
      </c>
      <c r="S2772" s="15">
        <f t="shared" si="228"/>
        <v>26</v>
      </c>
      <c r="T2772" s="15">
        <f t="shared" si="128"/>
        <v>5</v>
      </c>
      <c r="U2772" s="15">
        <f t="shared" si="129"/>
        <v>2026</v>
      </c>
      <c r="V2772" s="15" t="str">
        <f t="shared" si="8"/>
        <v/>
      </c>
      <c r="W2772" s="15" t="str">
        <f t="shared" si="9"/>
        <v/>
      </c>
      <c r="X2772" s="15" t="str">
        <f t="shared" si="10"/>
        <v/>
      </c>
    </row>
    <row r="2773">
      <c r="A2773" s="9">
        <v>46171.0</v>
      </c>
      <c r="B2773" s="10"/>
      <c r="C2773" s="9" t="str">
        <f t="shared" si="249"/>
        <v/>
      </c>
      <c r="D2773" s="11" t="s">
        <v>1229</v>
      </c>
      <c r="E2773" s="28" t="s">
        <v>1305</v>
      </c>
      <c r="F2773" s="11" t="s">
        <v>26</v>
      </c>
      <c r="G2773" s="11" t="s">
        <v>37</v>
      </c>
      <c r="H2773" s="11" t="s">
        <v>1230</v>
      </c>
      <c r="I2773" s="31">
        <v>1260.0</v>
      </c>
      <c r="J2773" s="13"/>
      <c r="K2773" s="13" t="str">
        <f>if(E2773="pago",(I2773-J2773),"")</f>
        <v/>
      </c>
      <c r="L2773" s="11" t="s">
        <v>29</v>
      </c>
      <c r="M2773" s="14"/>
      <c r="N2773" s="11" t="s">
        <v>58</v>
      </c>
      <c r="O2773" s="10" t="str">
        <f t="shared" si="79"/>
        <v>05/2026</v>
      </c>
      <c r="P2773" s="10" t="str">
        <f t="shared" si="256"/>
        <v/>
      </c>
      <c r="Q2773" s="15" t="str">
        <f t="array" ref="Q2773">IFERROR(XLOOKUP(N2773,'Classificação'!A:A,'Classificação'!B:B),"")</f>
        <v>DESPESAS ADMINISTRATIVAS</v>
      </c>
      <c r="R2773" s="15" t="str">
        <f t="array" ref="R2773">IFERROR(XLOOKUP(Q2773,'Classificação'!B:B,'Classificação'!C:C),"")</f>
        <v>DESPESAS FIXAS (-)</v>
      </c>
      <c r="S2773" s="15">
        <f t="shared" si="228"/>
        <v>29</v>
      </c>
      <c r="T2773" s="15">
        <f t="shared" si="128"/>
        <v>5</v>
      </c>
      <c r="U2773" s="15">
        <f t="shared" si="129"/>
        <v>2026</v>
      </c>
      <c r="V2773" s="15" t="str">
        <f t="shared" si="8"/>
        <v/>
      </c>
      <c r="W2773" s="15" t="str">
        <f t="shared" si="9"/>
        <v/>
      </c>
      <c r="X2773" s="15" t="str">
        <f t="shared" si="10"/>
        <v/>
      </c>
    </row>
    <row r="2774">
      <c r="A2774" s="26">
        <v>46172.0</v>
      </c>
      <c r="B2774" s="28"/>
      <c r="C2774" s="27" t="str">
        <f t="shared" si="249"/>
        <v/>
      </c>
      <c r="D2774" s="28" t="s">
        <v>221</v>
      </c>
      <c r="E2774" s="28" t="s">
        <v>1305</v>
      </c>
      <c r="F2774" s="28" t="s">
        <v>32</v>
      </c>
      <c r="G2774" s="28" t="s">
        <v>27</v>
      </c>
      <c r="H2774" s="28" t="s">
        <v>222</v>
      </c>
      <c r="I2774" s="24">
        <v>406.0</v>
      </c>
      <c r="J2774" s="34"/>
      <c r="K2774" s="34" t="str">
        <f t="shared" ref="K2774:K2779" si="257">IF(E2774="pago",(I2774-J2774),"")</f>
        <v/>
      </c>
      <c r="L2774" s="28" t="s">
        <v>29</v>
      </c>
      <c r="M2774" s="14"/>
      <c r="N2774" s="11" t="s">
        <v>61</v>
      </c>
      <c r="O2774" s="10" t="str">
        <f t="shared" si="79"/>
        <v>05/2026</v>
      </c>
      <c r="P2774" s="10" t="str">
        <f>if(B2774="","", TEXT(B2774,"mm/yyyy"))</f>
        <v/>
      </c>
      <c r="Q2774" s="15" t="str">
        <f t="array" ref="Q2774">IFERROR(XLOOKUP(N2774,'Classificação'!A:A,'Classificação'!B:B),"")</f>
        <v>DESPESAS ADMINISTRATIVAS</v>
      </c>
      <c r="R2774" s="15" t="str">
        <f t="array" ref="R2774">IFERROR(XLOOKUP(Q2774,'Classificação'!B:B,'Classificação'!C:C),"")</f>
        <v>DESPESAS FIXAS (-)</v>
      </c>
      <c r="S2774" s="15">
        <f t="shared" si="228"/>
        <v>30</v>
      </c>
      <c r="T2774" s="15">
        <f t="shared" si="128"/>
        <v>5</v>
      </c>
      <c r="U2774" s="15">
        <f t="shared" si="129"/>
        <v>2026</v>
      </c>
      <c r="V2774" s="15" t="str">
        <f t="shared" si="8"/>
        <v/>
      </c>
      <c r="W2774" s="15" t="str">
        <f t="shared" si="9"/>
        <v/>
      </c>
      <c r="X2774" s="15" t="str">
        <f t="shared" si="10"/>
        <v/>
      </c>
    </row>
    <row r="2775">
      <c r="A2775" s="26">
        <v>46172.0</v>
      </c>
      <c r="B2775" s="30"/>
      <c r="C2775" s="27" t="str">
        <f t="shared" si="249"/>
        <v/>
      </c>
      <c r="D2775" s="28" t="s">
        <v>80</v>
      </c>
      <c r="E2775" s="28" t="s">
        <v>1305</v>
      </c>
      <c r="F2775" s="28" t="s">
        <v>32</v>
      </c>
      <c r="G2775" s="28" t="s">
        <v>27</v>
      </c>
      <c r="H2775" s="29" t="s">
        <v>1150</v>
      </c>
      <c r="I2775" s="37">
        <v>1040.0</v>
      </c>
      <c r="J2775" s="34"/>
      <c r="K2775" s="34" t="str">
        <f t="shared" si="257"/>
        <v/>
      </c>
      <c r="L2775" s="28" t="s">
        <v>29</v>
      </c>
      <c r="M2775" s="28"/>
      <c r="N2775" s="28" t="s">
        <v>38</v>
      </c>
      <c r="O2775" s="10" t="str">
        <f t="shared" si="79"/>
        <v>05/2026</v>
      </c>
      <c r="P2775" s="10" t="str">
        <f t="shared" ref="P2775:P2776" si="258">if(C2775="","", TEXT(C2775,"mm/yyyy"))</f>
        <v/>
      </c>
      <c r="Q2775" s="15" t="str">
        <f t="array" ref="Q2775">IFERROR(XLOOKUP(N2775,'Classificação'!A:A,'Classificação'!B:B),"")</f>
        <v>DESPESAS COM PESSOAL</v>
      </c>
      <c r="R2775" s="15" t="str">
        <f t="array" ref="R2775">IFERROR(XLOOKUP(Q2775,'Classificação'!B:B,'Classificação'!C:C),"")</f>
        <v>DESPESAS FIXAS (-)</v>
      </c>
      <c r="S2775" s="15">
        <f t="shared" si="228"/>
        <v>30</v>
      </c>
      <c r="T2775" s="15">
        <f t="shared" si="128"/>
        <v>5</v>
      </c>
      <c r="U2775" s="15">
        <f t="shared" si="129"/>
        <v>2026</v>
      </c>
      <c r="V2775" s="15" t="str">
        <f t="shared" si="8"/>
        <v/>
      </c>
      <c r="W2775" s="15" t="str">
        <f t="shared" si="9"/>
        <v/>
      </c>
      <c r="X2775" s="15" t="str">
        <f t="shared" si="10"/>
        <v/>
      </c>
    </row>
    <row r="2776">
      <c r="A2776" s="26">
        <v>46172.0</v>
      </c>
      <c r="B2776" s="30"/>
      <c r="C2776" s="27" t="str">
        <f t="shared" si="249"/>
        <v/>
      </c>
      <c r="D2776" s="28" t="s">
        <v>80</v>
      </c>
      <c r="E2776" s="28" t="s">
        <v>1305</v>
      </c>
      <c r="F2776" s="28" t="s">
        <v>40</v>
      </c>
      <c r="G2776" s="28" t="s">
        <v>27</v>
      </c>
      <c r="H2776" s="29" t="s">
        <v>1100</v>
      </c>
      <c r="I2776" s="37">
        <v>550.0</v>
      </c>
      <c r="J2776" s="34"/>
      <c r="K2776" s="34" t="str">
        <f t="shared" si="257"/>
        <v/>
      </c>
      <c r="L2776" s="28" t="s">
        <v>29</v>
      </c>
      <c r="M2776" s="28"/>
      <c r="N2776" s="28" t="s">
        <v>204</v>
      </c>
      <c r="O2776" s="10" t="str">
        <f t="shared" si="79"/>
        <v>05/2026</v>
      </c>
      <c r="P2776" s="10" t="str">
        <f t="shared" si="258"/>
        <v/>
      </c>
      <c r="Q2776" s="15" t="str">
        <f t="array" ref="Q2776">IFERROR(XLOOKUP(N2776,'Classificação'!A:A,'Classificação'!B:B),"")</f>
        <v>DESPESAS COM PESSOAL</v>
      </c>
      <c r="R2776" s="15" t="str">
        <f t="array" ref="R2776">IFERROR(XLOOKUP(Q2776,'Classificação'!B:B,'Classificação'!C:C),"")</f>
        <v>DESPESAS FIXAS (-)</v>
      </c>
      <c r="S2776" s="15">
        <f t="shared" si="228"/>
        <v>30</v>
      </c>
      <c r="T2776" s="15">
        <f t="shared" si="128"/>
        <v>5</v>
      </c>
      <c r="U2776" s="15">
        <f t="shared" si="129"/>
        <v>2026</v>
      </c>
      <c r="V2776" s="15" t="str">
        <f t="shared" si="8"/>
        <v/>
      </c>
      <c r="W2776" s="15" t="str">
        <f t="shared" si="9"/>
        <v/>
      </c>
      <c r="X2776" s="15" t="str">
        <f t="shared" si="10"/>
        <v/>
      </c>
    </row>
    <row r="2777">
      <c r="A2777" s="26">
        <v>46172.0</v>
      </c>
      <c r="B2777" s="28"/>
      <c r="C2777" s="27" t="str">
        <f t="shared" si="249"/>
        <v/>
      </c>
      <c r="D2777" s="28" t="s">
        <v>223</v>
      </c>
      <c r="E2777" s="28" t="s">
        <v>1305</v>
      </c>
      <c r="F2777" s="28" t="s">
        <v>32</v>
      </c>
      <c r="G2777" s="28" t="s">
        <v>27</v>
      </c>
      <c r="H2777" s="29" t="s">
        <v>1231</v>
      </c>
      <c r="I2777" s="37">
        <v>100.0</v>
      </c>
      <c r="J2777" s="34"/>
      <c r="K2777" s="34" t="str">
        <f t="shared" si="257"/>
        <v/>
      </c>
      <c r="L2777" s="28" t="s">
        <v>29</v>
      </c>
      <c r="M2777" s="28"/>
      <c r="N2777" s="28" t="s">
        <v>224</v>
      </c>
      <c r="O2777" s="10" t="str">
        <f t="shared" si="79"/>
        <v>05/2026</v>
      </c>
      <c r="P2777" s="10" t="str">
        <f>if(B2777="","", TEXT(B2777,"mm/yyyy"))</f>
        <v/>
      </c>
      <c r="Q2777" s="15" t="str">
        <f t="array" ref="Q2777">IFERROR(XLOOKUP(N2777,'Classificação'!A:A,'Classificação'!B:B),"")</f>
        <v>DESPESAS ADMINISTRATIVAS</v>
      </c>
      <c r="R2777" s="15" t="str">
        <f t="array" ref="R2777">IFERROR(XLOOKUP(Q2777,'Classificação'!B:B,'Classificação'!C:C),"")</f>
        <v>DESPESAS FIXAS (-)</v>
      </c>
      <c r="S2777" s="15">
        <f t="shared" si="228"/>
        <v>30</v>
      </c>
      <c r="T2777" s="15">
        <f t="shared" si="128"/>
        <v>5</v>
      </c>
      <c r="U2777" s="15">
        <f t="shared" si="129"/>
        <v>2026</v>
      </c>
      <c r="V2777" s="15" t="str">
        <f t="shared" si="8"/>
        <v/>
      </c>
      <c r="W2777" s="15" t="str">
        <f t="shared" si="9"/>
        <v/>
      </c>
      <c r="X2777" s="15" t="str">
        <f t="shared" si="10"/>
        <v/>
      </c>
    </row>
    <row r="2778">
      <c r="A2778" s="26">
        <v>46172.0</v>
      </c>
      <c r="B2778" s="28"/>
      <c r="C2778" s="27" t="str">
        <f t="shared" si="249"/>
        <v/>
      </c>
      <c r="D2778" s="29" t="s">
        <v>1094</v>
      </c>
      <c r="E2778" s="28" t="s">
        <v>1305</v>
      </c>
      <c r="F2778" s="29" t="s">
        <v>26</v>
      </c>
      <c r="G2778" s="29" t="s">
        <v>37</v>
      </c>
      <c r="H2778" s="29" t="s">
        <v>1312</v>
      </c>
      <c r="I2778" s="24">
        <v>2380.0</v>
      </c>
      <c r="J2778" s="34"/>
      <c r="K2778" s="34" t="str">
        <f t="shared" si="257"/>
        <v/>
      </c>
      <c r="L2778" s="28" t="s">
        <v>29</v>
      </c>
      <c r="M2778" s="28"/>
      <c r="N2778" s="28" t="s">
        <v>38</v>
      </c>
      <c r="O2778" s="10" t="str">
        <f t="shared" si="79"/>
        <v>05/2026</v>
      </c>
      <c r="P2778" s="10" t="str">
        <f t="shared" ref="P2778:P2783" si="259">if(C2778="","", TEXT(C2778,"mm/yyyy"))</f>
        <v/>
      </c>
      <c r="Q2778" s="15" t="str">
        <f t="array" ref="Q2778">IFERROR(XLOOKUP(N2778,'Classificação'!A:A,'Classificação'!B:B),"")</f>
        <v>DESPESAS COM PESSOAL</v>
      </c>
      <c r="R2778" s="15" t="str">
        <f t="array" ref="R2778">IFERROR(XLOOKUP(Q2778,'Classificação'!B:B,'Classificação'!C:C),"")</f>
        <v>DESPESAS FIXAS (-)</v>
      </c>
      <c r="S2778" s="15">
        <f t="shared" si="228"/>
        <v>30</v>
      </c>
      <c r="T2778" s="15">
        <f t="shared" si="128"/>
        <v>5</v>
      </c>
      <c r="U2778" s="15">
        <f t="shared" si="129"/>
        <v>2026</v>
      </c>
      <c r="V2778" s="15" t="str">
        <f t="shared" si="8"/>
        <v/>
      </c>
      <c r="W2778" s="15" t="str">
        <f t="shared" si="9"/>
        <v/>
      </c>
      <c r="X2778" s="15" t="str">
        <f t="shared" si="10"/>
        <v/>
      </c>
    </row>
    <row r="2779">
      <c r="A2779" s="26">
        <v>46172.0</v>
      </c>
      <c r="B2779" s="28"/>
      <c r="C2779" s="27" t="str">
        <f t="shared" si="249"/>
        <v/>
      </c>
      <c r="D2779" s="29" t="s">
        <v>1094</v>
      </c>
      <c r="E2779" s="28" t="s">
        <v>1305</v>
      </c>
      <c r="F2779" s="28" t="s">
        <v>40</v>
      </c>
      <c r="G2779" s="29" t="s">
        <v>37</v>
      </c>
      <c r="H2779" s="28" t="s">
        <v>1100</v>
      </c>
      <c r="I2779" s="37">
        <v>550.0</v>
      </c>
      <c r="J2779" s="34"/>
      <c r="K2779" s="34" t="str">
        <f t="shared" si="257"/>
        <v/>
      </c>
      <c r="L2779" s="28" t="s">
        <v>29</v>
      </c>
      <c r="M2779" s="28"/>
      <c r="N2779" s="28" t="s">
        <v>204</v>
      </c>
      <c r="O2779" s="10" t="str">
        <f t="shared" si="79"/>
        <v>05/2026</v>
      </c>
      <c r="P2779" s="10" t="str">
        <f t="shared" si="259"/>
        <v/>
      </c>
      <c r="Q2779" s="15" t="str">
        <f t="array" ref="Q2779">IFERROR(XLOOKUP(N2779,'Classificação'!A:A,'Classificação'!B:B),"")</f>
        <v>DESPESAS COM PESSOAL</v>
      </c>
      <c r="R2779" s="15" t="str">
        <f t="array" ref="R2779">IFERROR(XLOOKUP(Q2779,'Classificação'!B:B,'Classificação'!C:C),"")</f>
        <v>DESPESAS FIXAS (-)</v>
      </c>
      <c r="S2779" s="15">
        <f t="shared" si="228"/>
        <v>30</v>
      </c>
      <c r="T2779" s="15">
        <f t="shared" si="128"/>
        <v>5</v>
      </c>
      <c r="U2779" s="15">
        <f t="shared" si="129"/>
        <v>2026</v>
      </c>
      <c r="V2779" s="15" t="str">
        <f t="shared" si="8"/>
        <v/>
      </c>
      <c r="W2779" s="15" t="str">
        <f t="shared" si="9"/>
        <v/>
      </c>
      <c r="X2779" s="15" t="str">
        <f t="shared" si="10"/>
        <v/>
      </c>
    </row>
    <row r="2780">
      <c r="A2780" s="26">
        <v>46174.0</v>
      </c>
      <c r="B2780" s="10"/>
      <c r="C2780" s="9" t="str">
        <f t="shared" si="249"/>
        <v/>
      </c>
      <c r="D2780" s="28" t="s">
        <v>322</v>
      </c>
      <c r="E2780" s="28" t="s">
        <v>1305</v>
      </c>
      <c r="F2780" s="15" t="s">
        <v>40</v>
      </c>
      <c r="G2780" s="28" t="s">
        <v>37</v>
      </c>
      <c r="H2780" s="29" t="s">
        <v>778</v>
      </c>
      <c r="I2780" s="37">
        <v>46.2</v>
      </c>
      <c r="J2780" s="13"/>
      <c r="K2780" s="13" t="str">
        <f>if(E2780="pago",(I2780-J2780),"")</f>
        <v/>
      </c>
      <c r="L2780" s="15" t="s">
        <v>29</v>
      </c>
      <c r="M2780" s="14"/>
      <c r="N2780" s="28" t="s">
        <v>105</v>
      </c>
      <c r="O2780" s="10" t="str">
        <f t="shared" si="79"/>
        <v>06/2026</v>
      </c>
      <c r="P2780" s="10" t="str">
        <f t="shared" si="259"/>
        <v/>
      </c>
      <c r="Q2780" s="15" t="str">
        <f t="array" ref="Q2780">IFERROR(XLOOKUP(N2780,'Classificação'!A:A,'Classificação'!B:B),"")</f>
        <v>DESPESAS ADMINISTRATIVAS</v>
      </c>
      <c r="R2780" s="15" t="str">
        <f t="array" ref="R2780">IFERROR(XLOOKUP(Q2780,'Classificação'!B:B,'Classificação'!C:C),"")</f>
        <v>DESPESAS FIXAS (-)</v>
      </c>
      <c r="S2780" s="15">
        <f t="shared" si="228"/>
        <v>1</v>
      </c>
      <c r="T2780" s="15">
        <f t="shared" si="128"/>
        <v>6</v>
      </c>
      <c r="U2780" s="15">
        <f t="shared" si="129"/>
        <v>2026</v>
      </c>
      <c r="V2780" s="15" t="str">
        <f t="shared" si="8"/>
        <v/>
      </c>
      <c r="W2780" s="15" t="str">
        <f t="shared" si="9"/>
        <v/>
      </c>
      <c r="X2780" s="15" t="str">
        <f t="shared" si="10"/>
        <v/>
      </c>
    </row>
    <row r="2781">
      <c r="A2781" s="9">
        <v>46174.0</v>
      </c>
      <c r="B2781" s="10"/>
      <c r="C2781" s="9" t="str">
        <f t="shared" si="249"/>
        <v/>
      </c>
      <c r="D2781" s="28" t="s">
        <v>24</v>
      </c>
      <c r="E2781" s="28" t="s">
        <v>1305</v>
      </c>
      <c r="F2781" s="28" t="s">
        <v>26</v>
      </c>
      <c r="G2781" s="28" t="s">
        <v>27</v>
      </c>
      <c r="H2781" s="28" t="s">
        <v>28</v>
      </c>
      <c r="I2781" s="24">
        <v>6656.0</v>
      </c>
      <c r="J2781" s="34"/>
      <c r="K2781" s="34" t="str">
        <f>IF(E2781="pago",(I2781-J2781),"")</f>
        <v/>
      </c>
      <c r="L2781" s="28" t="s">
        <v>29</v>
      </c>
      <c r="M2781" s="28"/>
      <c r="N2781" s="28" t="s">
        <v>30</v>
      </c>
      <c r="O2781" s="10" t="str">
        <f t="shared" si="79"/>
        <v>06/2026</v>
      </c>
      <c r="P2781" s="10" t="str">
        <f t="shared" si="259"/>
        <v/>
      </c>
      <c r="Q2781" s="15" t="str">
        <f t="array" ref="Q2781">IFERROR(XLOOKUP(N2781,'Classificação'!A:A,'Classificação'!B:B),"")</f>
        <v>DESPESAS COM OCUPAÇÃO</v>
      </c>
      <c r="R2781" s="15" t="str">
        <f t="array" ref="R2781">IFERROR(XLOOKUP(Q2781,'Classificação'!B:B,'Classificação'!C:C),"")</f>
        <v>DESPESAS FIXAS (-)</v>
      </c>
      <c r="S2781" s="15">
        <f t="shared" si="228"/>
        <v>1</v>
      </c>
      <c r="T2781" s="15">
        <f t="shared" si="128"/>
        <v>6</v>
      </c>
      <c r="U2781" s="15">
        <f t="shared" si="129"/>
        <v>2026</v>
      </c>
      <c r="V2781" s="15" t="str">
        <f t="shared" si="8"/>
        <v/>
      </c>
      <c r="W2781" s="15" t="str">
        <f t="shared" si="9"/>
        <v/>
      </c>
      <c r="X2781" s="15" t="str">
        <f t="shared" si="10"/>
        <v/>
      </c>
    </row>
    <row r="2782">
      <c r="A2782" s="9">
        <v>46174.0</v>
      </c>
      <c r="B2782" s="10"/>
      <c r="C2782" s="9" t="str">
        <f t="shared" si="249"/>
        <v/>
      </c>
      <c r="D2782" s="28" t="s">
        <v>288</v>
      </c>
      <c r="E2782" s="28" t="s">
        <v>1305</v>
      </c>
      <c r="F2782" s="28" t="s">
        <v>26</v>
      </c>
      <c r="G2782" s="28" t="s">
        <v>27</v>
      </c>
      <c r="H2782" s="29" t="s">
        <v>1313</v>
      </c>
      <c r="I2782" s="24">
        <v>248.18</v>
      </c>
      <c r="J2782" s="34"/>
      <c r="K2782" s="13" t="str">
        <f t="shared" ref="K2782:K2783" si="260">if(E2782="pago",(I2782-J2782),"")</f>
        <v/>
      </c>
      <c r="L2782" s="28" t="s">
        <v>29</v>
      </c>
      <c r="M2782" s="28"/>
      <c r="N2782" s="28" t="s">
        <v>105</v>
      </c>
      <c r="O2782" s="10" t="str">
        <f t="shared" si="79"/>
        <v>06/2026</v>
      </c>
      <c r="P2782" s="10" t="str">
        <f t="shared" si="259"/>
        <v/>
      </c>
      <c r="Q2782" s="15" t="str">
        <f t="array" ref="Q2782">IFERROR(XLOOKUP(N2782,'Classificação'!A:A,'Classificação'!B:B),"")</f>
        <v>DESPESAS ADMINISTRATIVAS</v>
      </c>
      <c r="R2782" s="15" t="str">
        <f t="array" ref="R2782">IFERROR(XLOOKUP(Q2782,'Classificação'!B:B,'Classificação'!C:C),"")</f>
        <v>DESPESAS FIXAS (-)</v>
      </c>
      <c r="S2782" s="15">
        <f t="shared" si="228"/>
        <v>1</v>
      </c>
      <c r="T2782" s="15">
        <f t="shared" si="128"/>
        <v>6</v>
      </c>
      <c r="U2782" s="15">
        <f t="shared" si="129"/>
        <v>2026</v>
      </c>
      <c r="V2782" s="15" t="str">
        <f t="shared" si="8"/>
        <v/>
      </c>
      <c r="W2782" s="15" t="str">
        <f t="shared" si="9"/>
        <v/>
      </c>
      <c r="X2782" s="15" t="str">
        <f t="shared" si="10"/>
        <v/>
      </c>
    </row>
    <row r="2783">
      <c r="A2783" s="9">
        <v>46176.0</v>
      </c>
      <c r="B2783" s="10"/>
      <c r="C2783" s="9" t="str">
        <f t="shared" si="249"/>
        <v/>
      </c>
      <c r="D2783" s="11" t="s">
        <v>44</v>
      </c>
      <c r="E2783" s="11" t="s">
        <v>1305</v>
      </c>
      <c r="F2783" s="11" t="s">
        <v>45</v>
      </c>
      <c r="G2783" s="11" t="s">
        <v>27</v>
      </c>
      <c r="H2783" s="11" t="s">
        <v>651</v>
      </c>
      <c r="I2783" s="13">
        <v>2869.40785</v>
      </c>
      <c r="J2783" s="13"/>
      <c r="K2783" s="13" t="str">
        <f t="shared" si="260"/>
        <v/>
      </c>
      <c r="L2783" s="11" t="s">
        <v>53</v>
      </c>
      <c r="M2783" s="16" t="s">
        <v>1341</v>
      </c>
      <c r="N2783" s="11" t="s">
        <v>73</v>
      </c>
      <c r="O2783" s="10" t="str">
        <f t="shared" si="79"/>
        <v>06/2026</v>
      </c>
      <c r="P2783" s="10" t="str">
        <f t="shared" si="259"/>
        <v/>
      </c>
      <c r="Q2783" s="15" t="str">
        <f t="array" ref="Q2783">IFERROR(XLOOKUP(N2783,'Classificação'!A:A,'Classificação'!B:B),"")</f>
        <v>DESPESAS NÃO OPERACIONAIS</v>
      </c>
      <c r="R2783" s="15" t="str">
        <f t="array" ref="R2783">IFERROR(XLOOKUP(Q2783,'Classificação'!B:B,'Classificação'!C:C),"")</f>
        <v>RESULTADO NÃO OPERACIONAL (+/-)</v>
      </c>
      <c r="S2783" s="15">
        <f t="shared" si="228"/>
        <v>3</v>
      </c>
      <c r="T2783" s="15">
        <f t="shared" si="128"/>
        <v>6</v>
      </c>
      <c r="U2783" s="15">
        <f t="shared" si="129"/>
        <v>2026</v>
      </c>
      <c r="V2783" s="15" t="str">
        <f t="shared" si="8"/>
        <v/>
      </c>
      <c r="W2783" s="15" t="str">
        <f t="shared" si="9"/>
        <v/>
      </c>
      <c r="X2783" s="15" t="str">
        <f t="shared" si="10"/>
        <v/>
      </c>
    </row>
    <row r="2784">
      <c r="A2784" s="9">
        <v>46178.0</v>
      </c>
      <c r="B2784" s="10"/>
      <c r="C2784" s="9" t="str">
        <f t="shared" si="249"/>
        <v/>
      </c>
      <c r="D2784" s="28" t="s">
        <v>76</v>
      </c>
      <c r="E2784" s="28" t="s">
        <v>1305</v>
      </c>
      <c r="F2784" s="28" t="s">
        <v>26</v>
      </c>
      <c r="G2784" s="28" t="s">
        <v>27</v>
      </c>
      <c r="H2784" s="28" t="s">
        <v>84</v>
      </c>
      <c r="I2784" s="24">
        <v>1214.27</v>
      </c>
      <c r="J2784" s="13"/>
      <c r="K2784" s="13"/>
      <c r="L2784" s="28" t="s">
        <v>53</v>
      </c>
      <c r="M2784" s="16" t="s">
        <v>1342</v>
      </c>
      <c r="N2784" s="28" t="s">
        <v>85</v>
      </c>
      <c r="O2784" s="10" t="str">
        <f t="shared" si="79"/>
        <v>06/2026</v>
      </c>
      <c r="P2784" s="10"/>
      <c r="Q2784" s="15" t="str">
        <f t="array" ref="Q2784">IFERROR(XLOOKUP(N2784,'Classificação'!A:A,'Classificação'!B:B),"")</f>
        <v>DESPESAS NÃO OPERACIONAIS</v>
      </c>
      <c r="R2784" s="15" t="str">
        <f t="array" ref="R2784">IFERROR(XLOOKUP(Q2784,'Classificação'!B:B,'Classificação'!C:C),"")</f>
        <v>RESULTADO NÃO OPERACIONAL (+/-)</v>
      </c>
      <c r="S2784" s="15">
        <f t="shared" si="228"/>
        <v>5</v>
      </c>
      <c r="T2784" s="15">
        <f t="shared" si="128"/>
        <v>6</v>
      </c>
      <c r="U2784" s="15">
        <f t="shared" si="129"/>
        <v>2026</v>
      </c>
      <c r="V2784" s="15" t="str">
        <f t="shared" si="8"/>
        <v/>
      </c>
      <c r="W2784" s="15" t="str">
        <f t="shared" si="9"/>
        <v/>
      </c>
      <c r="X2784" s="15" t="str">
        <f t="shared" si="10"/>
        <v/>
      </c>
    </row>
    <row r="2785">
      <c r="A2785" s="26">
        <v>46178.0</v>
      </c>
      <c r="B2785" s="10"/>
      <c r="C2785" s="9" t="str">
        <f t="shared" si="249"/>
        <v/>
      </c>
      <c r="D2785" s="28" t="s">
        <v>36</v>
      </c>
      <c r="E2785" s="28" t="s">
        <v>1305</v>
      </c>
      <c r="F2785" s="28" t="s">
        <v>26</v>
      </c>
      <c r="G2785" s="28" t="s">
        <v>27</v>
      </c>
      <c r="I2785" s="37">
        <v>6500.0</v>
      </c>
      <c r="J2785" s="13"/>
      <c r="K2785" s="13" t="str">
        <f t="shared" ref="K2785:K2790" si="261">if(E2785="pago",(I2785-J2785),"")</f>
        <v/>
      </c>
      <c r="L2785" s="28" t="s">
        <v>29</v>
      </c>
      <c r="M2785" s="14"/>
      <c r="N2785" s="28" t="s">
        <v>38</v>
      </c>
      <c r="O2785" s="10" t="str">
        <f t="shared" si="79"/>
        <v>06/2026</v>
      </c>
      <c r="P2785" s="10" t="str">
        <f t="shared" ref="P2785:P2807" si="262">if(C2785="","", TEXT(C2785,"mm/yyyy"))</f>
        <v/>
      </c>
      <c r="Q2785" s="15" t="str">
        <f t="array" ref="Q2785">IFERROR(XLOOKUP(N2785,'Classificação'!A:A,'Classificação'!B:B),"")</f>
        <v>DESPESAS COM PESSOAL</v>
      </c>
      <c r="R2785" s="15" t="str">
        <f t="array" ref="R2785">IFERROR(XLOOKUP(Q2785,'Classificação'!B:B,'Classificação'!C:C),"")</f>
        <v>DESPESAS FIXAS (-)</v>
      </c>
      <c r="S2785" s="15">
        <f t="shared" si="228"/>
        <v>5</v>
      </c>
      <c r="T2785" s="15">
        <f t="shared" si="128"/>
        <v>6</v>
      </c>
      <c r="U2785" s="15">
        <f t="shared" si="129"/>
        <v>2026</v>
      </c>
      <c r="V2785" s="15" t="str">
        <f t="shared" si="8"/>
        <v/>
      </c>
      <c r="W2785" s="15" t="str">
        <f t="shared" si="9"/>
        <v/>
      </c>
      <c r="X2785" s="15" t="str">
        <f t="shared" si="10"/>
        <v/>
      </c>
    </row>
    <row r="2786">
      <c r="A2786" s="26">
        <v>46178.0</v>
      </c>
      <c r="B2786" s="10"/>
      <c r="C2786" s="9" t="str">
        <f t="shared" si="249"/>
        <v/>
      </c>
      <c r="D2786" s="28" t="s">
        <v>43</v>
      </c>
      <c r="E2786" s="28" t="s">
        <v>1305</v>
      </c>
      <c r="F2786" s="29" t="s">
        <v>26</v>
      </c>
      <c r="G2786" s="28" t="s">
        <v>27</v>
      </c>
      <c r="I2786" s="37">
        <v>6500.0</v>
      </c>
      <c r="J2786" s="13"/>
      <c r="K2786" s="13" t="str">
        <f t="shared" si="261"/>
        <v/>
      </c>
      <c r="L2786" s="28" t="s">
        <v>29</v>
      </c>
      <c r="M2786" s="14"/>
      <c r="N2786" s="28" t="s">
        <v>38</v>
      </c>
      <c r="O2786" s="10" t="str">
        <f t="shared" si="79"/>
        <v>06/2026</v>
      </c>
      <c r="P2786" s="10" t="str">
        <f t="shared" si="262"/>
        <v/>
      </c>
      <c r="Q2786" s="15" t="str">
        <f t="array" ref="Q2786">IFERROR(XLOOKUP(N2786,'Classificação'!A:A,'Classificação'!B:B),"")</f>
        <v>DESPESAS COM PESSOAL</v>
      </c>
      <c r="R2786" s="15" t="str">
        <f t="array" ref="R2786">IFERROR(XLOOKUP(Q2786,'Classificação'!B:B,'Classificação'!C:C),"")</f>
        <v>DESPESAS FIXAS (-)</v>
      </c>
      <c r="S2786" s="15">
        <f t="shared" si="228"/>
        <v>5</v>
      </c>
      <c r="T2786" s="15">
        <f t="shared" si="128"/>
        <v>6</v>
      </c>
      <c r="U2786" s="15">
        <f t="shared" si="129"/>
        <v>2026</v>
      </c>
      <c r="V2786" s="15" t="str">
        <f t="shared" si="8"/>
        <v/>
      </c>
      <c r="W2786" s="15" t="str">
        <f t="shared" si="9"/>
        <v/>
      </c>
      <c r="X2786" s="15" t="str">
        <f t="shared" si="10"/>
        <v/>
      </c>
    </row>
    <row r="2787">
      <c r="A2787" s="9">
        <v>46178.0</v>
      </c>
      <c r="B2787" s="10"/>
      <c r="C2787" s="9" t="str">
        <f t="shared" si="249"/>
        <v/>
      </c>
      <c r="D2787" s="11" t="s">
        <v>782</v>
      </c>
      <c r="E2787" s="28" t="s">
        <v>1305</v>
      </c>
      <c r="F2787" s="11" t="s">
        <v>26</v>
      </c>
      <c r="G2787" s="11" t="s">
        <v>37</v>
      </c>
      <c r="H2787" s="11" t="s">
        <v>1343</v>
      </c>
      <c r="I2787" s="31">
        <v>115000.0</v>
      </c>
      <c r="J2787" s="13"/>
      <c r="K2787" s="13" t="str">
        <f t="shared" si="261"/>
        <v/>
      </c>
      <c r="L2787" s="11" t="s">
        <v>34</v>
      </c>
      <c r="M2787" s="14"/>
      <c r="N2787" s="11" t="s">
        <v>35</v>
      </c>
      <c r="O2787" s="10" t="str">
        <f t="shared" si="79"/>
        <v>06/2026</v>
      </c>
      <c r="P2787" s="10" t="str">
        <f t="shared" si="262"/>
        <v/>
      </c>
      <c r="Q2787" s="15" t="str">
        <f t="array" ref="Q2787">IFERROR(XLOOKUP(N2787,'Classificação'!A:A,'Classificação'!B:B),"")</f>
        <v>COMPRA DE MERCADORIA</v>
      </c>
      <c r="S2787" s="15">
        <f t="shared" si="228"/>
        <v>5</v>
      </c>
      <c r="T2787" s="15">
        <f t="shared" si="128"/>
        <v>6</v>
      </c>
      <c r="U2787" s="15">
        <f t="shared" si="129"/>
        <v>2026</v>
      </c>
      <c r="V2787" s="15" t="str">
        <f t="shared" si="8"/>
        <v/>
      </c>
      <c r="W2787" s="15" t="str">
        <f t="shared" si="9"/>
        <v/>
      </c>
      <c r="X2787" s="15" t="str">
        <f t="shared" si="10"/>
        <v/>
      </c>
    </row>
    <row r="2788">
      <c r="A2788" s="9">
        <v>46179.0</v>
      </c>
      <c r="B2788" s="9">
        <v>46087.0</v>
      </c>
      <c r="C2788" s="9" t="str">
        <f t="shared" si="249"/>
        <v/>
      </c>
      <c r="D2788" s="11" t="s">
        <v>86</v>
      </c>
      <c r="E2788" s="28" t="s">
        <v>1305</v>
      </c>
      <c r="F2788" s="11" t="s">
        <v>87</v>
      </c>
      <c r="G2788" s="28" t="s">
        <v>27</v>
      </c>
      <c r="H2788" s="11" t="s">
        <v>1344</v>
      </c>
      <c r="I2788" s="31">
        <v>1430.0</v>
      </c>
      <c r="J2788" s="13"/>
      <c r="K2788" s="13" t="str">
        <f t="shared" si="261"/>
        <v/>
      </c>
      <c r="L2788" s="28" t="s">
        <v>53</v>
      </c>
      <c r="M2788" s="17">
        <v>46115.0</v>
      </c>
      <c r="N2788" s="11" t="s">
        <v>35</v>
      </c>
      <c r="O2788" s="10" t="str">
        <f t="shared" si="79"/>
        <v>06/2026</v>
      </c>
      <c r="P2788" s="10" t="str">
        <f t="shared" si="262"/>
        <v/>
      </c>
      <c r="Q2788" s="15" t="str">
        <f t="array" ref="Q2788">IFERROR(XLOOKUP(N2788,'Classificação'!A:A,'Classificação'!B:B),"")</f>
        <v>COMPRA DE MERCADORIA</v>
      </c>
      <c r="R2788" s="15" t="str">
        <f t="array" ref="R2788">IFERROR(XLOOKUP(Q2788,'Classificação'!B:B,'Classificação'!C:C),"")</f>
        <v>CUSTOS VARIÁVEIS</v>
      </c>
      <c r="S2788" s="15">
        <f t="shared" si="228"/>
        <v>6</v>
      </c>
      <c r="T2788" s="15">
        <f t="shared" si="128"/>
        <v>6</v>
      </c>
      <c r="U2788" s="15">
        <f t="shared" si="129"/>
        <v>2026</v>
      </c>
      <c r="V2788" s="15" t="str">
        <f t="shared" si="8"/>
        <v/>
      </c>
      <c r="W2788" s="15" t="str">
        <f t="shared" si="9"/>
        <v/>
      </c>
      <c r="X2788" s="15" t="str">
        <f t="shared" si="10"/>
        <v/>
      </c>
    </row>
    <row r="2789">
      <c r="A2789" s="26">
        <v>46182.0</v>
      </c>
      <c r="B2789" s="30"/>
      <c r="C2789" s="27" t="str">
        <f t="shared" si="249"/>
        <v/>
      </c>
      <c r="D2789" s="29" t="s">
        <v>631</v>
      </c>
      <c r="E2789" s="28" t="s">
        <v>1305</v>
      </c>
      <c r="F2789" s="29" t="s">
        <v>40</v>
      </c>
      <c r="G2789" s="28" t="s">
        <v>27</v>
      </c>
      <c r="H2789" s="29" t="s">
        <v>1234</v>
      </c>
      <c r="I2789" s="24">
        <v>120.93</v>
      </c>
      <c r="J2789" s="34"/>
      <c r="K2789" s="13" t="str">
        <f t="shared" si="261"/>
        <v/>
      </c>
      <c r="L2789" s="28" t="s">
        <v>53</v>
      </c>
      <c r="M2789" s="35">
        <v>46208.0</v>
      </c>
      <c r="N2789" s="29" t="s">
        <v>178</v>
      </c>
      <c r="O2789" s="10" t="str">
        <f t="shared" si="79"/>
        <v>06/2026</v>
      </c>
      <c r="P2789" s="10" t="str">
        <f t="shared" si="262"/>
        <v/>
      </c>
      <c r="Q2789" s="15" t="str">
        <f t="array" ref="Q2789">IFERROR(XLOOKUP(N2789,'Classificação'!A:A,'Classificação'!B:B),"")</f>
        <v>DESPESAS COM OCUPAÇÃO</v>
      </c>
      <c r="R2789" s="15" t="str">
        <f t="array" ref="R2789">IFERROR(XLOOKUP(Q2789,'Classificação'!B:B,'Classificação'!C:C),"")</f>
        <v>DESPESAS FIXAS (-)</v>
      </c>
      <c r="S2789" s="15">
        <f t="shared" si="228"/>
        <v>9</v>
      </c>
      <c r="T2789" s="15">
        <f t="shared" si="128"/>
        <v>6</v>
      </c>
      <c r="U2789" s="15">
        <f t="shared" si="129"/>
        <v>2026</v>
      </c>
      <c r="V2789" s="15" t="str">
        <f t="shared" si="8"/>
        <v/>
      </c>
      <c r="W2789" s="15" t="str">
        <f t="shared" si="9"/>
        <v/>
      </c>
      <c r="X2789" s="15" t="str">
        <f t="shared" si="10"/>
        <v/>
      </c>
    </row>
    <row r="2790">
      <c r="A2790" s="9">
        <v>46183.0</v>
      </c>
      <c r="B2790" s="10"/>
      <c r="C2790" s="9" t="str">
        <f t="shared" si="249"/>
        <v/>
      </c>
      <c r="D2790" s="11" t="s">
        <v>1051</v>
      </c>
      <c r="E2790" s="28" t="s">
        <v>1305</v>
      </c>
      <c r="F2790" s="11" t="s">
        <v>40</v>
      </c>
      <c r="G2790" s="28" t="s">
        <v>27</v>
      </c>
      <c r="H2790" s="11" t="s">
        <v>1052</v>
      </c>
      <c r="I2790" s="12">
        <v>28.0</v>
      </c>
      <c r="J2790" s="13"/>
      <c r="K2790" s="13" t="str">
        <f t="shared" si="261"/>
        <v/>
      </c>
      <c r="L2790" s="11" t="s">
        <v>29</v>
      </c>
      <c r="M2790" s="14"/>
      <c r="N2790" s="11" t="s">
        <v>1053</v>
      </c>
      <c r="O2790" s="10" t="str">
        <f t="shared" si="79"/>
        <v>06/2026</v>
      </c>
      <c r="P2790" s="10" t="str">
        <f t="shared" si="262"/>
        <v/>
      </c>
      <c r="Q2790" s="15" t="str">
        <f t="array" ref="Q2790">IFERROR(XLOOKUP(N2790,'Classificação'!A:A,'Classificação'!B:B),"")</f>
        <v>DESPESAS COM PESSOAL</v>
      </c>
      <c r="R2790" s="15" t="str">
        <f t="array" ref="R2790">IFERROR(XLOOKUP(Q2790,'Classificação'!B:B,'Classificação'!C:C),"")</f>
        <v>DESPESAS FIXAS (-)</v>
      </c>
      <c r="S2790" s="15">
        <f t="shared" si="228"/>
        <v>10</v>
      </c>
      <c r="T2790" s="15">
        <f t="shared" si="128"/>
        <v>6</v>
      </c>
      <c r="U2790" s="15">
        <f t="shared" si="129"/>
        <v>2026</v>
      </c>
      <c r="V2790" s="15" t="str">
        <f t="shared" si="8"/>
        <v/>
      </c>
      <c r="W2790" s="15" t="str">
        <f t="shared" si="9"/>
        <v/>
      </c>
      <c r="X2790" s="15" t="str">
        <f t="shared" si="10"/>
        <v/>
      </c>
    </row>
    <row r="2791">
      <c r="A2791" s="26">
        <v>46183.0</v>
      </c>
      <c r="B2791" s="30"/>
      <c r="C2791" s="27" t="str">
        <f t="shared" si="249"/>
        <v/>
      </c>
      <c r="D2791" s="28" t="s">
        <v>48</v>
      </c>
      <c r="E2791" s="28" t="s">
        <v>1305</v>
      </c>
      <c r="F2791" s="28" t="s">
        <v>40</v>
      </c>
      <c r="G2791" s="28" t="s">
        <v>27</v>
      </c>
      <c r="H2791" s="28"/>
      <c r="I2791" s="37">
        <v>1600.0</v>
      </c>
      <c r="J2791" s="34"/>
      <c r="K2791" s="34" t="str">
        <f t="shared" ref="K2791:K2793" si="263">IF(E2791="pago",(I2791-J2791),"")</f>
        <v/>
      </c>
      <c r="L2791" s="28" t="s">
        <v>29</v>
      </c>
      <c r="M2791" s="28"/>
      <c r="N2791" s="28" t="s">
        <v>49</v>
      </c>
      <c r="O2791" s="10" t="str">
        <f t="shared" si="79"/>
        <v>06/2026</v>
      </c>
      <c r="P2791" s="10" t="str">
        <f t="shared" si="262"/>
        <v/>
      </c>
      <c r="Q2791" s="15" t="str">
        <f t="array" ref="Q2791">IFERROR(XLOOKUP(N2791,'Classificação'!A:A,'Classificação'!B:B),"")</f>
        <v>DESPESAS COM PESSOAL</v>
      </c>
      <c r="R2791" s="15" t="str">
        <f t="array" ref="R2791">IFERROR(XLOOKUP(Q2791,'Classificação'!B:B,'Classificação'!C:C),"")</f>
        <v>DESPESAS FIXAS (-)</v>
      </c>
      <c r="S2791" s="15">
        <f t="shared" si="228"/>
        <v>10</v>
      </c>
      <c r="T2791" s="15">
        <f t="shared" si="128"/>
        <v>6</v>
      </c>
      <c r="U2791" s="15">
        <f t="shared" si="129"/>
        <v>2026</v>
      </c>
      <c r="V2791" s="15" t="str">
        <f t="shared" si="8"/>
        <v/>
      </c>
      <c r="W2791" s="15" t="str">
        <f t="shared" si="9"/>
        <v/>
      </c>
      <c r="X2791" s="15" t="str">
        <f t="shared" si="10"/>
        <v/>
      </c>
    </row>
    <row r="2792">
      <c r="A2792" s="9">
        <v>46183.0</v>
      </c>
      <c r="B2792" s="30"/>
      <c r="C2792" s="27" t="str">
        <f t="shared" si="249"/>
        <v/>
      </c>
      <c r="D2792" s="28" t="s">
        <v>50</v>
      </c>
      <c r="E2792" s="28" t="s">
        <v>1305</v>
      </c>
      <c r="F2792" s="28" t="s">
        <v>40</v>
      </c>
      <c r="G2792" s="28" t="s">
        <v>27</v>
      </c>
      <c r="H2792" s="28" t="s">
        <v>51</v>
      </c>
      <c r="I2792" s="37">
        <v>139.99</v>
      </c>
      <c r="J2792" s="34"/>
      <c r="K2792" s="34" t="str">
        <f t="shared" si="263"/>
        <v/>
      </c>
      <c r="L2792" s="28" t="s">
        <v>29</v>
      </c>
      <c r="M2792" s="28"/>
      <c r="N2792" s="28" t="s">
        <v>51</v>
      </c>
      <c r="O2792" s="10" t="str">
        <f t="shared" si="79"/>
        <v>06/2026</v>
      </c>
      <c r="P2792" s="10" t="str">
        <f t="shared" si="262"/>
        <v/>
      </c>
      <c r="Q2792" s="15" t="str">
        <f t="array" ref="Q2792">IFERROR(XLOOKUP(N2792,'Classificação'!A:A,'Classificação'!B:B),"")</f>
        <v>DESPESAS COM OCUPAÇÃO</v>
      </c>
      <c r="R2792" s="15" t="str">
        <f t="array" ref="R2792">IFERROR(XLOOKUP(Q2792,'Classificação'!B:B,'Classificação'!C:C),"")</f>
        <v>DESPESAS FIXAS (-)</v>
      </c>
      <c r="S2792" s="15">
        <f t="shared" si="228"/>
        <v>10</v>
      </c>
      <c r="T2792" s="15">
        <f t="shared" si="128"/>
        <v>6</v>
      </c>
      <c r="U2792" s="15">
        <f t="shared" si="129"/>
        <v>2026</v>
      </c>
      <c r="V2792" s="15" t="str">
        <f t="shared" si="8"/>
        <v/>
      </c>
      <c r="W2792" s="15" t="str">
        <f t="shared" si="9"/>
        <v/>
      </c>
      <c r="X2792" s="15" t="str">
        <f t="shared" si="10"/>
        <v/>
      </c>
    </row>
    <row r="2793">
      <c r="A2793" s="26">
        <v>46183.0</v>
      </c>
      <c r="B2793" s="30"/>
      <c r="C2793" s="27" t="str">
        <f t="shared" si="249"/>
        <v/>
      </c>
      <c r="D2793" s="28" t="s">
        <v>59</v>
      </c>
      <c r="E2793" s="28" t="s">
        <v>1305</v>
      </c>
      <c r="F2793" s="28" t="s">
        <v>40</v>
      </c>
      <c r="G2793" s="28" t="s">
        <v>37</v>
      </c>
      <c r="H2793" s="28" t="s">
        <v>60</v>
      </c>
      <c r="I2793" s="24">
        <v>447.0</v>
      </c>
      <c r="J2793" s="34"/>
      <c r="K2793" s="34" t="str">
        <f t="shared" si="263"/>
        <v/>
      </c>
      <c r="L2793" s="28" t="s">
        <v>29</v>
      </c>
      <c r="M2793" s="28"/>
      <c r="N2793" s="28" t="s">
        <v>61</v>
      </c>
      <c r="O2793" s="10" t="str">
        <f t="shared" si="79"/>
        <v>06/2026</v>
      </c>
      <c r="P2793" s="10" t="str">
        <f t="shared" si="262"/>
        <v/>
      </c>
      <c r="Q2793" s="15" t="str">
        <f t="array" ref="Q2793">IFERROR(XLOOKUP(N2793,'Classificação'!A:A,'Classificação'!B:B),"")</f>
        <v>DESPESAS ADMINISTRATIVAS</v>
      </c>
      <c r="R2793" s="15" t="str">
        <f t="array" ref="R2793">IFERROR(XLOOKUP(Q2793,'Classificação'!B:B,'Classificação'!C:C),"")</f>
        <v>DESPESAS FIXAS (-)</v>
      </c>
      <c r="S2793" s="15">
        <f t="shared" si="228"/>
        <v>10</v>
      </c>
      <c r="T2793" s="15">
        <f t="shared" si="128"/>
        <v>6</v>
      </c>
      <c r="U2793" s="15">
        <f t="shared" si="129"/>
        <v>2026</v>
      </c>
      <c r="V2793" s="15" t="str">
        <f t="shared" si="8"/>
        <v/>
      </c>
      <c r="W2793" s="15" t="str">
        <f t="shared" si="9"/>
        <v/>
      </c>
      <c r="X2793" s="15" t="str">
        <f t="shared" si="10"/>
        <v/>
      </c>
    </row>
    <row r="2794">
      <c r="A2794" s="26">
        <v>46183.0</v>
      </c>
      <c r="B2794" s="30"/>
      <c r="C2794" s="27" t="str">
        <f t="shared" si="249"/>
        <v/>
      </c>
      <c r="D2794" s="28" t="s">
        <v>104</v>
      </c>
      <c r="E2794" s="28" t="s">
        <v>1305</v>
      </c>
      <c r="F2794" s="28" t="s">
        <v>40</v>
      </c>
      <c r="G2794" s="28" t="s">
        <v>37</v>
      </c>
      <c r="H2794" s="28" t="s">
        <v>413</v>
      </c>
      <c r="I2794" s="37">
        <v>27.5</v>
      </c>
      <c r="J2794" s="34"/>
      <c r="K2794" s="34"/>
      <c r="L2794" s="28" t="s">
        <v>29</v>
      </c>
      <c r="M2794" s="28"/>
      <c r="N2794" s="28" t="s">
        <v>105</v>
      </c>
      <c r="O2794" s="10" t="str">
        <f t="shared" si="79"/>
        <v>06/2026</v>
      </c>
      <c r="P2794" s="10" t="str">
        <f t="shared" si="262"/>
        <v/>
      </c>
      <c r="R2794" s="15" t="str">
        <f t="array" ref="R2794">IFERROR(XLOOKUP(Q2794,'Classificação'!B:B,'Classificação'!C:C),"")</f>
        <v/>
      </c>
      <c r="S2794" s="15">
        <f t="shared" si="228"/>
        <v>10</v>
      </c>
      <c r="T2794" s="15">
        <f t="shared" si="128"/>
        <v>6</v>
      </c>
      <c r="U2794" s="15">
        <f t="shared" si="129"/>
        <v>2026</v>
      </c>
      <c r="V2794" s="15" t="str">
        <f t="shared" si="8"/>
        <v/>
      </c>
      <c r="W2794" s="15" t="str">
        <f t="shared" si="9"/>
        <v/>
      </c>
      <c r="X2794" s="15" t="str">
        <f t="shared" si="10"/>
        <v/>
      </c>
    </row>
    <row r="2795">
      <c r="A2795" s="9">
        <v>46183.0</v>
      </c>
      <c r="B2795" s="10"/>
      <c r="C2795" s="9" t="str">
        <f t="shared" si="249"/>
        <v/>
      </c>
      <c r="D2795" s="11" t="s">
        <v>44</v>
      </c>
      <c r="E2795" s="11" t="s">
        <v>1305</v>
      </c>
      <c r="F2795" s="11" t="s">
        <v>45</v>
      </c>
      <c r="G2795" s="11" t="s">
        <v>27</v>
      </c>
      <c r="H2795" s="11" t="s">
        <v>52</v>
      </c>
      <c r="I2795" s="12">
        <v>503.0</v>
      </c>
      <c r="J2795" s="13"/>
      <c r="K2795" s="13" t="str">
        <f t="shared" ref="K2795:K2798" si="264">if(E2795="pago",(I2795-J2795),"")</f>
        <v/>
      </c>
      <c r="L2795" s="11" t="s">
        <v>53</v>
      </c>
      <c r="M2795" s="16" t="s">
        <v>1345</v>
      </c>
      <c r="N2795" s="11" t="s">
        <v>55</v>
      </c>
      <c r="O2795" s="10" t="str">
        <f t="shared" si="79"/>
        <v>06/2026</v>
      </c>
      <c r="P2795" s="10" t="str">
        <f t="shared" si="262"/>
        <v/>
      </c>
      <c r="Q2795" s="15" t="str">
        <f t="array" ref="Q2795">IFERROR(XLOOKUP(N2795,'Classificação'!A:A,'Classificação'!B:B),"")</f>
        <v>DESPESAS NÃO OPERACIONAIS</v>
      </c>
      <c r="R2795" s="15" t="str">
        <f t="array" ref="R2795">IFERROR(XLOOKUP(Q2795,'Classificação'!B:B,'Classificação'!C:C),"")</f>
        <v>RESULTADO NÃO OPERACIONAL (+/-)</v>
      </c>
      <c r="S2795" s="15">
        <f t="shared" si="228"/>
        <v>10</v>
      </c>
      <c r="T2795" s="15">
        <f t="shared" si="128"/>
        <v>6</v>
      </c>
      <c r="U2795" s="15">
        <f t="shared" si="129"/>
        <v>2026</v>
      </c>
      <c r="V2795" s="15" t="str">
        <f t="shared" si="8"/>
        <v/>
      </c>
      <c r="W2795" s="15" t="str">
        <f t="shared" si="9"/>
        <v/>
      </c>
      <c r="X2795" s="15" t="str">
        <f t="shared" si="10"/>
        <v/>
      </c>
    </row>
    <row r="2796">
      <c r="A2796" s="9">
        <v>46183.0</v>
      </c>
      <c r="B2796" s="10"/>
      <c r="C2796" s="9" t="str">
        <f t="shared" si="249"/>
        <v/>
      </c>
      <c r="D2796" s="11" t="s">
        <v>1104</v>
      </c>
      <c r="E2796" s="28" t="s">
        <v>1305</v>
      </c>
      <c r="F2796" s="11" t="s">
        <v>40</v>
      </c>
      <c r="G2796" s="11" t="s">
        <v>37</v>
      </c>
      <c r="H2796" s="11" t="s">
        <v>1105</v>
      </c>
      <c r="I2796" s="12">
        <v>917.51</v>
      </c>
      <c r="J2796" s="13"/>
      <c r="K2796" s="13" t="str">
        <f t="shared" si="264"/>
        <v/>
      </c>
      <c r="L2796" s="11" t="s">
        <v>53</v>
      </c>
      <c r="M2796" s="16" t="s">
        <v>1346</v>
      </c>
      <c r="N2796" s="11" t="s">
        <v>73</v>
      </c>
      <c r="O2796" s="10" t="str">
        <f t="shared" si="79"/>
        <v>06/2026</v>
      </c>
      <c r="P2796" s="10" t="str">
        <f t="shared" si="262"/>
        <v/>
      </c>
      <c r="Q2796" s="15" t="str">
        <f t="array" ref="Q2796">IFERROR(XLOOKUP(N2796,'Classificação'!A:A,'Classificação'!B:B),"")</f>
        <v>DESPESAS NÃO OPERACIONAIS</v>
      </c>
      <c r="R2796" s="15" t="str">
        <f t="array" ref="R2796">IFERROR(XLOOKUP(Q2796,'Classificação'!B:B,'Classificação'!C:C),"")</f>
        <v>RESULTADO NÃO OPERACIONAL (+/-)</v>
      </c>
      <c r="S2796" s="15">
        <f t="shared" si="228"/>
        <v>10</v>
      </c>
      <c r="T2796" s="15">
        <f t="shared" si="128"/>
        <v>6</v>
      </c>
      <c r="U2796" s="15">
        <f t="shared" si="129"/>
        <v>2026</v>
      </c>
      <c r="V2796" s="15" t="str">
        <f t="shared" si="8"/>
        <v/>
      </c>
      <c r="W2796" s="15" t="str">
        <f t="shared" si="9"/>
        <v/>
      </c>
      <c r="X2796" s="15" t="str">
        <f t="shared" si="10"/>
        <v/>
      </c>
    </row>
    <row r="2797">
      <c r="A2797" s="9">
        <v>46183.0</v>
      </c>
      <c r="B2797" s="32">
        <v>46011.0</v>
      </c>
      <c r="C2797" s="9" t="str">
        <f t="shared" si="249"/>
        <v/>
      </c>
      <c r="D2797" s="11" t="s">
        <v>65</v>
      </c>
      <c r="E2797" s="28" t="s">
        <v>1305</v>
      </c>
      <c r="F2797" s="11" t="s">
        <v>26</v>
      </c>
      <c r="G2797" s="28" t="s">
        <v>27</v>
      </c>
      <c r="H2797" s="11" t="s">
        <v>1159</v>
      </c>
      <c r="I2797" s="31">
        <v>54.99</v>
      </c>
      <c r="J2797" s="13"/>
      <c r="K2797" s="13" t="str">
        <f t="shared" si="264"/>
        <v/>
      </c>
      <c r="L2797" s="11" t="s">
        <v>53</v>
      </c>
      <c r="M2797" s="16" t="s">
        <v>1347</v>
      </c>
      <c r="N2797" s="11" t="s">
        <v>95</v>
      </c>
      <c r="O2797" s="10" t="str">
        <f t="shared" si="79"/>
        <v>06/2026</v>
      </c>
      <c r="P2797" s="10" t="str">
        <f t="shared" si="262"/>
        <v/>
      </c>
      <c r="Q2797" s="15" t="str">
        <f t="array" ref="Q2797">IFERROR(XLOOKUP(N2797,'Classificação'!A:A,'Classificação'!B:B),"")</f>
        <v>DESPESAS NÃO OPERACIONAIS</v>
      </c>
      <c r="R2797" s="15" t="str">
        <f t="array" ref="R2797">IFERROR(XLOOKUP(Q2797,'Classificação'!B:B,'Classificação'!C:C),"")</f>
        <v>RESULTADO NÃO OPERACIONAL (+/-)</v>
      </c>
      <c r="S2797" s="15">
        <f t="shared" si="228"/>
        <v>10</v>
      </c>
      <c r="T2797" s="15">
        <f t="shared" si="128"/>
        <v>6</v>
      </c>
      <c r="U2797" s="15">
        <f t="shared" si="129"/>
        <v>2026</v>
      </c>
      <c r="V2797" s="15" t="str">
        <f t="shared" si="8"/>
        <v/>
      </c>
      <c r="W2797" s="15" t="str">
        <f t="shared" si="9"/>
        <v/>
      </c>
      <c r="X2797" s="15" t="str">
        <f t="shared" si="10"/>
        <v/>
      </c>
    </row>
    <row r="2798">
      <c r="A2798" s="26">
        <v>46185.0</v>
      </c>
      <c r="B2798" s="30"/>
      <c r="C2798" s="27" t="str">
        <f t="shared" si="249"/>
        <v/>
      </c>
      <c r="D2798" s="28" t="s">
        <v>56</v>
      </c>
      <c r="E2798" s="28" t="s">
        <v>1305</v>
      </c>
      <c r="F2798" s="28" t="s">
        <v>26</v>
      </c>
      <c r="G2798" s="28" t="s">
        <v>37</v>
      </c>
      <c r="H2798" s="28" t="s">
        <v>57</v>
      </c>
      <c r="I2798" s="24">
        <v>60.0</v>
      </c>
      <c r="J2798" s="34"/>
      <c r="K2798" s="13" t="str">
        <f t="shared" si="264"/>
        <v/>
      </c>
      <c r="L2798" s="28" t="s">
        <v>29</v>
      </c>
      <c r="M2798" s="28"/>
      <c r="N2798" s="28" t="s">
        <v>58</v>
      </c>
      <c r="O2798" s="10" t="str">
        <f t="shared" si="79"/>
        <v>06/2026</v>
      </c>
      <c r="P2798" s="10" t="str">
        <f t="shared" si="262"/>
        <v/>
      </c>
      <c r="Q2798" s="15" t="str">
        <f t="array" ref="Q2798">IFERROR(XLOOKUP(N2798,'Classificação'!A:A,'Classificação'!B:B),"")</f>
        <v>DESPESAS ADMINISTRATIVAS</v>
      </c>
      <c r="R2798" s="15" t="str">
        <f t="array" ref="R2798">IFERROR(XLOOKUP(Q2798,'Classificação'!B:B,'Classificação'!C:C),"")</f>
        <v>DESPESAS FIXAS (-)</v>
      </c>
      <c r="S2798" s="15">
        <f t="shared" si="228"/>
        <v>12</v>
      </c>
      <c r="T2798" s="15">
        <f t="shared" si="128"/>
        <v>6</v>
      </c>
      <c r="U2798" s="15">
        <f t="shared" si="129"/>
        <v>2026</v>
      </c>
      <c r="V2798" s="15" t="str">
        <f t="shared" si="8"/>
        <v/>
      </c>
      <c r="W2798" s="15" t="str">
        <f t="shared" si="9"/>
        <v/>
      </c>
      <c r="X2798" s="15" t="str">
        <f t="shared" si="10"/>
        <v/>
      </c>
    </row>
    <row r="2799">
      <c r="A2799" s="26">
        <v>46186.0</v>
      </c>
      <c r="B2799" s="30"/>
      <c r="C2799" s="27" t="str">
        <f t="shared" si="249"/>
        <v/>
      </c>
      <c r="D2799" s="28" t="s">
        <v>65</v>
      </c>
      <c r="E2799" s="28" t="s">
        <v>1305</v>
      </c>
      <c r="F2799" s="28" t="s">
        <v>45</v>
      </c>
      <c r="G2799" s="28" t="s">
        <v>66</v>
      </c>
      <c r="H2799" s="28" t="s">
        <v>67</v>
      </c>
      <c r="I2799" s="37">
        <v>900.0</v>
      </c>
      <c r="J2799" s="34"/>
      <c r="K2799" s="34" t="str">
        <f>IF(E2799="pago",(I2799-J2799),"")</f>
        <v/>
      </c>
      <c r="L2799" s="28" t="s">
        <v>29</v>
      </c>
      <c r="M2799" s="28"/>
      <c r="N2799" s="28" t="s">
        <v>68</v>
      </c>
      <c r="O2799" s="10" t="str">
        <f t="shared" si="79"/>
        <v>06/2026</v>
      </c>
      <c r="P2799" s="10" t="str">
        <f t="shared" si="262"/>
        <v/>
      </c>
      <c r="Q2799" s="15" t="str">
        <f t="array" ref="Q2799">IFERROR(XLOOKUP(N2799,'Classificação'!A:A,'Classificação'!B:B),"")</f>
        <v>FRETE DE VENDAS</v>
      </c>
      <c r="R2799" s="15" t="str">
        <f t="array" ref="R2799">IFERROR(XLOOKUP(Q2799,'Classificação'!B:B,'Classificação'!C:C),"")</f>
        <v>CUSTOS VARIÁVEIS</v>
      </c>
      <c r="S2799" s="15">
        <f t="shared" si="228"/>
        <v>13</v>
      </c>
      <c r="T2799" s="15">
        <f t="shared" si="128"/>
        <v>6</v>
      </c>
      <c r="U2799" s="15">
        <f t="shared" si="129"/>
        <v>2026</v>
      </c>
      <c r="V2799" s="15" t="str">
        <f t="shared" si="8"/>
        <v/>
      </c>
      <c r="W2799" s="15" t="str">
        <f t="shared" si="9"/>
        <v/>
      </c>
      <c r="X2799" s="15" t="str">
        <f t="shared" si="10"/>
        <v/>
      </c>
    </row>
    <row r="2800">
      <c r="A2800" s="9">
        <v>46187.0</v>
      </c>
      <c r="B2800" s="10"/>
      <c r="C2800" s="9" t="str">
        <f t="shared" si="249"/>
        <v/>
      </c>
      <c r="D2800" s="11" t="s">
        <v>44</v>
      </c>
      <c r="E2800" s="11" t="s">
        <v>1305</v>
      </c>
      <c r="F2800" s="11" t="s">
        <v>45</v>
      </c>
      <c r="G2800" s="11" t="s">
        <v>27</v>
      </c>
      <c r="H2800" s="11" t="s">
        <v>476</v>
      </c>
      <c r="I2800" s="12">
        <v>4996.0</v>
      </c>
      <c r="J2800" s="13"/>
      <c r="K2800" s="13" t="str">
        <f>if(E2800="pago",(I2800-J2800),"")</f>
        <v/>
      </c>
      <c r="L2800" s="11" t="s">
        <v>53</v>
      </c>
      <c r="M2800" s="16" t="s">
        <v>724</v>
      </c>
      <c r="N2800" s="11" t="s">
        <v>73</v>
      </c>
      <c r="O2800" s="10" t="str">
        <f t="shared" si="79"/>
        <v>06/2026</v>
      </c>
      <c r="P2800" s="10" t="str">
        <f t="shared" si="262"/>
        <v/>
      </c>
      <c r="Q2800" s="15" t="str">
        <f t="array" ref="Q2800">IFERROR(XLOOKUP(N2800,'Classificação'!A:A,'Classificação'!B:B),"")</f>
        <v>DESPESAS NÃO OPERACIONAIS</v>
      </c>
      <c r="R2800" s="15" t="str">
        <f t="array" ref="R2800">IFERROR(XLOOKUP(Q2800,'Classificação'!B:B,'Classificação'!C:C),"")</f>
        <v>RESULTADO NÃO OPERACIONAL (+/-)</v>
      </c>
      <c r="S2800" s="15">
        <f t="shared" si="228"/>
        <v>14</v>
      </c>
      <c r="T2800" s="15">
        <f t="shared" si="128"/>
        <v>6</v>
      </c>
      <c r="U2800" s="15">
        <f t="shared" si="129"/>
        <v>2026</v>
      </c>
      <c r="V2800" s="15" t="str">
        <f t="shared" si="8"/>
        <v/>
      </c>
      <c r="W2800" s="15" t="str">
        <f t="shared" si="9"/>
        <v/>
      </c>
      <c r="X2800" s="15" t="str">
        <f t="shared" si="10"/>
        <v/>
      </c>
    </row>
    <row r="2801">
      <c r="A2801" s="26">
        <v>46188.0</v>
      </c>
      <c r="B2801" s="30"/>
      <c r="C2801" s="27" t="str">
        <f t="shared" si="249"/>
        <v/>
      </c>
      <c r="D2801" s="28" t="s">
        <v>79</v>
      </c>
      <c r="E2801" s="28" t="s">
        <v>1305</v>
      </c>
      <c r="F2801" s="28" t="s">
        <v>26</v>
      </c>
      <c r="G2801" s="28" t="s">
        <v>37</v>
      </c>
      <c r="H2801" s="28"/>
      <c r="I2801" s="24">
        <v>550.0</v>
      </c>
      <c r="J2801" s="34"/>
      <c r="K2801" s="34" t="str">
        <f t="shared" ref="K2801:K2803" si="265">IF(E2801="pago",(I2801-J2801),"")</f>
        <v/>
      </c>
      <c r="L2801" s="28" t="s">
        <v>29</v>
      </c>
      <c r="M2801" s="28"/>
      <c r="N2801" s="28" t="s">
        <v>58</v>
      </c>
      <c r="O2801" s="10" t="str">
        <f t="shared" si="79"/>
        <v>06/2026</v>
      </c>
      <c r="P2801" s="10" t="str">
        <f t="shared" si="262"/>
        <v/>
      </c>
      <c r="Q2801" s="15" t="str">
        <f t="array" ref="Q2801">IFERROR(XLOOKUP(N2801,'Classificação'!A:A,'Classificação'!B:B),"")</f>
        <v>DESPESAS ADMINISTRATIVAS</v>
      </c>
      <c r="S2801" s="15">
        <f t="shared" si="228"/>
        <v>15</v>
      </c>
      <c r="T2801" s="15">
        <f t="shared" si="128"/>
        <v>6</v>
      </c>
      <c r="U2801" s="15">
        <f t="shared" si="129"/>
        <v>2026</v>
      </c>
      <c r="V2801" s="15" t="str">
        <f t="shared" si="8"/>
        <v/>
      </c>
      <c r="W2801" s="15" t="str">
        <f t="shared" si="9"/>
        <v/>
      </c>
      <c r="X2801" s="15" t="str">
        <f t="shared" si="10"/>
        <v/>
      </c>
    </row>
    <row r="2802">
      <c r="A2802" s="26">
        <v>46188.0</v>
      </c>
      <c r="B2802" s="30"/>
      <c r="C2802" s="27" t="str">
        <f t="shared" si="249"/>
        <v/>
      </c>
      <c r="D2802" s="28" t="s">
        <v>80</v>
      </c>
      <c r="E2802" s="28" t="s">
        <v>1305</v>
      </c>
      <c r="F2802" s="28" t="s">
        <v>32</v>
      </c>
      <c r="G2802" s="28" t="s">
        <v>27</v>
      </c>
      <c r="H2802" s="29" t="s">
        <v>606</v>
      </c>
      <c r="I2802" s="37">
        <v>780.0</v>
      </c>
      <c r="J2802" s="34"/>
      <c r="K2802" s="34" t="str">
        <f t="shared" si="265"/>
        <v/>
      </c>
      <c r="L2802" s="28" t="s">
        <v>29</v>
      </c>
      <c r="M2802" s="28"/>
      <c r="N2802" s="28" t="s">
        <v>75</v>
      </c>
      <c r="O2802" s="10" t="str">
        <f t="shared" si="79"/>
        <v>06/2026</v>
      </c>
      <c r="P2802" s="10" t="str">
        <f t="shared" si="262"/>
        <v/>
      </c>
      <c r="Q2802" s="15" t="str">
        <f t="array" ref="Q2802">IFERROR(XLOOKUP(N2802,'Classificação'!A:A,'Classificação'!B:B),"")</f>
        <v>DESPESAS COM PESSOAL</v>
      </c>
      <c r="R2802" s="15" t="str">
        <f t="array" ref="R2802">IFERROR(XLOOKUP(Q2802,'Classificação'!B:B,'Classificação'!C:C),"")</f>
        <v>DESPESAS FIXAS (-)</v>
      </c>
      <c r="S2802" s="15">
        <f t="shared" si="228"/>
        <v>15</v>
      </c>
      <c r="T2802" s="15">
        <f t="shared" si="128"/>
        <v>6</v>
      </c>
      <c r="U2802" s="15">
        <f t="shared" si="129"/>
        <v>2026</v>
      </c>
      <c r="V2802" s="15" t="str">
        <f t="shared" si="8"/>
        <v/>
      </c>
      <c r="W2802" s="15" t="str">
        <f t="shared" si="9"/>
        <v/>
      </c>
      <c r="X2802" s="15" t="str">
        <f t="shared" si="10"/>
        <v/>
      </c>
    </row>
    <row r="2803">
      <c r="A2803" s="26">
        <v>46188.0</v>
      </c>
      <c r="B2803" s="28"/>
      <c r="C2803" s="27" t="str">
        <f t="shared" si="249"/>
        <v/>
      </c>
      <c r="D2803" s="29" t="s">
        <v>1094</v>
      </c>
      <c r="E2803" s="28" t="s">
        <v>1305</v>
      </c>
      <c r="F2803" s="29" t="s">
        <v>26</v>
      </c>
      <c r="G2803" s="29" t="s">
        <v>37</v>
      </c>
      <c r="H2803" s="28" t="s">
        <v>606</v>
      </c>
      <c r="I2803" s="24">
        <v>1120.0</v>
      </c>
      <c r="J2803" s="34"/>
      <c r="K2803" s="34" t="str">
        <f t="shared" si="265"/>
        <v/>
      </c>
      <c r="L2803" s="28" t="s">
        <v>29</v>
      </c>
      <c r="M2803" s="28"/>
      <c r="N2803" s="28" t="s">
        <v>75</v>
      </c>
      <c r="O2803" s="10" t="str">
        <f t="shared" si="79"/>
        <v>06/2026</v>
      </c>
      <c r="P2803" s="10" t="str">
        <f t="shared" si="262"/>
        <v/>
      </c>
      <c r="Q2803" s="15" t="str">
        <f t="array" ref="Q2803">IFERROR(XLOOKUP(N2803,'Classificação'!A:A,'Classificação'!B:B),"")</f>
        <v>DESPESAS COM PESSOAL</v>
      </c>
      <c r="R2803" s="15" t="str">
        <f t="array" ref="R2803">IFERROR(XLOOKUP(Q2803,'Classificação'!B:B,'Classificação'!C:C),"")</f>
        <v>DESPESAS FIXAS (-)</v>
      </c>
      <c r="S2803" s="15">
        <f t="shared" si="228"/>
        <v>15</v>
      </c>
      <c r="T2803" s="15">
        <f t="shared" si="128"/>
        <v>6</v>
      </c>
      <c r="U2803" s="15">
        <f t="shared" si="129"/>
        <v>2026</v>
      </c>
      <c r="V2803" s="15" t="str">
        <f t="shared" si="8"/>
        <v/>
      </c>
      <c r="W2803" s="15" t="str">
        <f t="shared" si="9"/>
        <v/>
      </c>
      <c r="X2803" s="15" t="str">
        <f t="shared" si="10"/>
        <v/>
      </c>
    </row>
    <row r="2804">
      <c r="A2804" s="9">
        <v>46188.0</v>
      </c>
      <c r="B2804" s="10"/>
      <c r="C2804" s="9" t="str">
        <f t="shared" si="249"/>
        <v/>
      </c>
      <c r="D2804" s="11" t="s">
        <v>1229</v>
      </c>
      <c r="E2804" s="28" t="s">
        <v>1305</v>
      </c>
      <c r="F2804" s="11" t="s">
        <v>26</v>
      </c>
      <c r="G2804" s="11" t="s">
        <v>37</v>
      </c>
      <c r="H2804" s="11" t="s">
        <v>1230</v>
      </c>
      <c r="I2804" s="31">
        <v>840.0</v>
      </c>
      <c r="J2804" s="13"/>
      <c r="K2804" s="13" t="str">
        <f t="shared" ref="K2804:K2806" si="266">if(E2804="pago",(I2804-J2804),"")</f>
        <v/>
      </c>
      <c r="L2804" s="11" t="s">
        <v>29</v>
      </c>
      <c r="M2804" s="14"/>
      <c r="N2804" s="11" t="s">
        <v>58</v>
      </c>
      <c r="O2804" s="10" t="str">
        <f t="shared" si="79"/>
        <v>06/2026</v>
      </c>
      <c r="P2804" s="10" t="str">
        <f t="shared" si="262"/>
        <v/>
      </c>
      <c r="Q2804" s="15" t="str">
        <f t="array" ref="Q2804">IFERROR(XLOOKUP(N2804,'Classificação'!A:A,'Classificação'!B:B),"")</f>
        <v>DESPESAS ADMINISTRATIVAS</v>
      </c>
      <c r="R2804" s="15" t="str">
        <f t="array" ref="R2804">IFERROR(XLOOKUP(Q2804,'Classificação'!B:B,'Classificação'!C:C),"")</f>
        <v>DESPESAS FIXAS (-)</v>
      </c>
      <c r="S2804" s="15">
        <f t="shared" si="228"/>
        <v>15</v>
      </c>
      <c r="T2804" s="15">
        <f t="shared" si="128"/>
        <v>6</v>
      </c>
      <c r="U2804" s="15">
        <f t="shared" si="129"/>
        <v>2026</v>
      </c>
      <c r="V2804" s="15" t="str">
        <f t="shared" si="8"/>
        <v/>
      </c>
      <c r="W2804" s="15" t="str">
        <f t="shared" si="9"/>
        <v/>
      </c>
      <c r="X2804" s="15" t="str">
        <f t="shared" si="10"/>
        <v/>
      </c>
    </row>
    <row r="2805">
      <c r="A2805" s="26">
        <v>46189.0</v>
      </c>
      <c r="B2805" s="30"/>
      <c r="C2805" s="27" t="str">
        <f t="shared" si="249"/>
        <v/>
      </c>
      <c r="D2805" s="28" t="s">
        <v>90</v>
      </c>
      <c r="E2805" s="28" t="s">
        <v>1305</v>
      </c>
      <c r="F2805" s="28" t="s">
        <v>40</v>
      </c>
      <c r="G2805" s="28" t="s">
        <v>27</v>
      </c>
      <c r="H2805" s="29" t="s">
        <v>1178</v>
      </c>
      <c r="I2805" s="37">
        <v>800.0</v>
      </c>
      <c r="J2805" s="34"/>
      <c r="K2805" s="13" t="str">
        <f t="shared" si="266"/>
        <v/>
      </c>
      <c r="L2805" s="28" t="s">
        <v>29</v>
      </c>
      <c r="M2805" s="28"/>
      <c r="N2805" s="28" t="s">
        <v>92</v>
      </c>
      <c r="O2805" s="10" t="str">
        <f t="shared" si="79"/>
        <v>06/2026</v>
      </c>
      <c r="P2805" s="10" t="str">
        <f t="shared" si="262"/>
        <v/>
      </c>
      <c r="Q2805" s="15" t="str">
        <f t="array" ref="Q2805">IFERROR(XLOOKUP(N2805,'Classificação'!A:A,'Classificação'!B:B),"")</f>
        <v>DESPESAS COM OCUPAÇÃO</v>
      </c>
      <c r="R2805" s="15" t="str">
        <f t="array" ref="R2805">IFERROR(XLOOKUP(Q2805,'Classificação'!B:B,'Classificação'!C:C),"")</f>
        <v>DESPESAS FIXAS (-)</v>
      </c>
      <c r="S2805" s="15">
        <f t="shared" si="228"/>
        <v>16</v>
      </c>
      <c r="T2805" s="15">
        <f t="shared" si="128"/>
        <v>6</v>
      </c>
      <c r="U2805" s="15">
        <f t="shared" si="129"/>
        <v>2026</v>
      </c>
      <c r="V2805" s="15" t="str">
        <f t="shared" si="8"/>
        <v/>
      </c>
      <c r="W2805" s="15" t="str">
        <f t="shared" si="9"/>
        <v/>
      </c>
      <c r="X2805" s="15" t="str">
        <f t="shared" si="10"/>
        <v/>
      </c>
    </row>
    <row r="2806">
      <c r="A2806" s="9">
        <v>46191.0</v>
      </c>
      <c r="B2806" s="10"/>
      <c r="C2806" s="9" t="str">
        <f t="shared" si="249"/>
        <v/>
      </c>
      <c r="D2806" s="11" t="s">
        <v>44</v>
      </c>
      <c r="E2806" s="11" t="s">
        <v>1305</v>
      </c>
      <c r="F2806" s="11" t="s">
        <v>45</v>
      </c>
      <c r="G2806" s="11" t="s">
        <v>27</v>
      </c>
      <c r="H2806" s="11" t="s">
        <v>703</v>
      </c>
      <c r="I2806" s="13">
        <v>2809.1695</v>
      </c>
      <c r="J2806" s="13"/>
      <c r="K2806" s="13" t="str">
        <f t="shared" si="266"/>
        <v/>
      </c>
      <c r="L2806" s="11" t="s">
        <v>53</v>
      </c>
      <c r="M2806" s="16" t="s">
        <v>1348</v>
      </c>
      <c r="N2806" s="11" t="s">
        <v>73</v>
      </c>
      <c r="O2806" s="10" t="str">
        <f t="shared" si="79"/>
        <v>06/2026</v>
      </c>
      <c r="P2806" s="10" t="str">
        <f t="shared" si="262"/>
        <v/>
      </c>
      <c r="Q2806" s="15" t="str">
        <f t="array" ref="Q2806">IFERROR(XLOOKUP(N2806,'Classificação'!A:A,'Classificação'!B:B),"")</f>
        <v>DESPESAS NÃO OPERACIONAIS</v>
      </c>
      <c r="R2806" s="15" t="str">
        <f t="array" ref="R2806">IFERROR(XLOOKUP(Q2806,'Classificação'!B:B,'Classificação'!C:C),"")</f>
        <v>RESULTADO NÃO OPERACIONAL (+/-)</v>
      </c>
      <c r="S2806" s="15">
        <f t="shared" si="228"/>
        <v>18</v>
      </c>
      <c r="T2806" s="15">
        <f t="shared" si="128"/>
        <v>6</v>
      </c>
      <c r="U2806" s="15">
        <f t="shared" si="129"/>
        <v>2026</v>
      </c>
      <c r="V2806" s="15" t="str">
        <f t="shared" si="8"/>
        <v/>
      </c>
      <c r="W2806" s="15" t="str">
        <f t="shared" si="9"/>
        <v/>
      </c>
      <c r="X2806" s="15" t="str">
        <f t="shared" si="10"/>
        <v/>
      </c>
    </row>
    <row r="2807">
      <c r="A2807" s="26">
        <v>46191.0</v>
      </c>
      <c r="B2807" s="30"/>
      <c r="C2807" s="27" t="str">
        <f t="shared" si="249"/>
        <v/>
      </c>
      <c r="D2807" s="28" t="s">
        <v>65</v>
      </c>
      <c r="E2807" s="28" t="s">
        <v>1305</v>
      </c>
      <c r="F2807" s="28" t="s">
        <v>45</v>
      </c>
      <c r="G2807" s="28" t="s">
        <v>37</v>
      </c>
      <c r="H2807" s="28" t="s">
        <v>1114</v>
      </c>
      <c r="I2807" s="37">
        <v>700.0</v>
      </c>
      <c r="J2807" s="34"/>
      <c r="K2807" s="34" t="str">
        <f>IF(E2807="pago",(I2807-J2807),"")</f>
        <v/>
      </c>
      <c r="L2807" s="28" t="s">
        <v>29</v>
      </c>
      <c r="M2807" s="28"/>
      <c r="N2807" s="28" t="s">
        <v>68</v>
      </c>
      <c r="O2807" s="10" t="str">
        <f t="shared" si="79"/>
        <v>06/2026</v>
      </c>
      <c r="P2807" s="10" t="str">
        <f t="shared" si="262"/>
        <v/>
      </c>
      <c r="Q2807" s="15" t="str">
        <f t="array" ref="Q2807">IFERROR(XLOOKUP(N2807,'Classificação'!A:A,'Classificação'!B:B),"")</f>
        <v>FRETE DE VENDAS</v>
      </c>
      <c r="R2807" s="15" t="str">
        <f t="array" ref="R2807">IFERROR(XLOOKUP(Q2807,'Classificação'!B:B,'Classificação'!C:C),"")</f>
        <v>CUSTOS VARIÁVEIS</v>
      </c>
      <c r="S2807" s="15">
        <f t="shared" si="228"/>
        <v>18</v>
      </c>
      <c r="T2807" s="15">
        <f t="shared" si="128"/>
        <v>6</v>
      </c>
      <c r="U2807" s="15">
        <f t="shared" si="129"/>
        <v>2026</v>
      </c>
      <c r="V2807" s="15" t="str">
        <f t="shared" si="8"/>
        <v/>
      </c>
      <c r="W2807" s="15" t="str">
        <f t="shared" si="9"/>
        <v/>
      </c>
      <c r="X2807" s="15" t="str">
        <f t="shared" si="10"/>
        <v/>
      </c>
    </row>
    <row r="2808">
      <c r="A2808" s="9">
        <v>46191.0</v>
      </c>
      <c r="B2808" s="10"/>
      <c r="C2808" s="9" t="str">
        <f t="shared" si="249"/>
        <v/>
      </c>
      <c r="D2808" s="11" t="s">
        <v>65</v>
      </c>
      <c r="E2808" s="28" t="s">
        <v>1305</v>
      </c>
      <c r="F2808" s="11" t="s">
        <v>26</v>
      </c>
      <c r="G2808" s="11" t="s">
        <v>37</v>
      </c>
      <c r="H2808" s="11" t="s">
        <v>1238</v>
      </c>
      <c r="I2808" s="31">
        <v>483.26</v>
      </c>
      <c r="J2808" s="13"/>
      <c r="K2808" s="13"/>
      <c r="L2808" s="28" t="s">
        <v>53</v>
      </c>
      <c r="M2808" s="17">
        <v>46208.0</v>
      </c>
      <c r="N2808" s="11" t="s">
        <v>64</v>
      </c>
      <c r="O2808" s="10" t="str">
        <f t="shared" si="79"/>
        <v>06/2026</v>
      </c>
      <c r="P2808" s="10" t="str">
        <f>if(B2808="","", TEXT(B2808,"mm/yyyy"))</f>
        <v/>
      </c>
      <c r="Q2808" s="15" t="str">
        <f t="array" ref="Q2808">IFERROR(XLOOKUP(N2808,'Classificação'!A:A,'Classificação'!B:B),"")</f>
        <v>DESPESAS COM PESSOAL</v>
      </c>
      <c r="S2808" s="15">
        <f t="shared" si="228"/>
        <v>18</v>
      </c>
      <c r="T2808" s="15">
        <f t="shared" si="128"/>
        <v>6</v>
      </c>
      <c r="U2808" s="15">
        <f t="shared" si="129"/>
        <v>2026</v>
      </c>
      <c r="V2808" s="15" t="str">
        <f t="shared" si="8"/>
        <v/>
      </c>
      <c r="W2808" s="15" t="str">
        <f t="shared" si="9"/>
        <v/>
      </c>
      <c r="X2808" s="15" t="str">
        <f t="shared" si="10"/>
        <v/>
      </c>
    </row>
    <row r="2809">
      <c r="A2809" s="9">
        <v>46193.0</v>
      </c>
      <c r="B2809" s="32">
        <v>46010.0</v>
      </c>
      <c r="C2809" s="9" t="str">
        <f t="shared" si="249"/>
        <v/>
      </c>
      <c r="D2809" s="29" t="s">
        <v>1193</v>
      </c>
      <c r="E2809" s="28" t="s">
        <v>1305</v>
      </c>
      <c r="F2809" s="11" t="s">
        <v>107</v>
      </c>
      <c r="G2809" s="28" t="s">
        <v>27</v>
      </c>
      <c r="H2809" s="11" t="s">
        <v>1194</v>
      </c>
      <c r="I2809" s="31">
        <v>246.66</v>
      </c>
      <c r="J2809" s="12"/>
      <c r="K2809" s="13" t="str">
        <f t="shared" ref="K2809:K2810" si="267">if(E2809="pago",(I2809-J2809),"")</f>
        <v/>
      </c>
      <c r="L2809" s="28" t="s">
        <v>53</v>
      </c>
      <c r="M2809" s="17">
        <v>45814.0</v>
      </c>
      <c r="N2809" s="11" t="s">
        <v>95</v>
      </c>
      <c r="O2809" s="10" t="str">
        <f t="shared" si="79"/>
        <v>06/2026</v>
      </c>
      <c r="P2809" s="10" t="str">
        <f t="shared" ref="P2809:P2816" si="268">if(C2809="","", TEXT(C2809,"mm/yyyy"))</f>
        <v/>
      </c>
      <c r="Q2809" s="15" t="str">
        <f t="array" ref="Q2809">IFERROR(XLOOKUP(N2809,'Classificação'!A:A,'Classificação'!B:B),"")</f>
        <v>DESPESAS NÃO OPERACIONAIS</v>
      </c>
      <c r="R2809" s="15" t="str">
        <f t="array" ref="R2809">IFERROR(XLOOKUP(Q2809,'Classificação'!B:B,'Classificação'!C:C),"")</f>
        <v>RESULTADO NÃO OPERACIONAL (+/-)</v>
      </c>
      <c r="S2809" s="15">
        <f t="shared" si="228"/>
        <v>20</v>
      </c>
      <c r="T2809" s="15">
        <f t="shared" si="128"/>
        <v>6</v>
      </c>
      <c r="U2809" s="15">
        <f t="shared" si="129"/>
        <v>2026</v>
      </c>
      <c r="V2809" s="15" t="str">
        <f t="shared" si="8"/>
        <v/>
      </c>
      <c r="W2809" s="15" t="str">
        <f t="shared" si="9"/>
        <v/>
      </c>
      <c r="X2809" s="15" t="str">
        <f t="shared" si="10"/>
        <v/>
      </c>
    </row>
    <row r="2810">
      <c r="A2810" s="9">
        <v>46193.0</v>
      </c>
      <c r="B2810" s="9">
        <v>45837.0</v>
      </c>
      <c r="C2810" s="9" t="str">
        <f t="shared" si="249"/>
        <v/>
      </c>
      <c r="D2810" s="11" t="s">
        <v>65</v>
      </c>
      <c r="E2810" s="11" t="s">
        <v>1305</v>
      </c>
      <c r="F2810" s="11" t="s">
        <v>107</v>
      </c>
      <c r="G2810" s="11" t="s">
        <v>27</v>
      </c>
      <c r="H2810" s="11" t="s">
        <v>874</v>
      </c>
      <c r="I2810" s="12">
        <v>51.07</v>
      </c>
      <c r="J2810" s="13"/>
      <c r="K2810" s="13" t="str">
        <f t="shared" si="267"/>
        <v/>
      </c>
      <c r="L2810" s="11" t="s">
        <v>53</v>
      </c>
      <c r="M2810" s="17">
        <v>46003.0</v>
      </c>
      <c r="N2810" s="11" t="s">
        <v>95</v>
      </c>
      <c r="O2810" s="10" t="str">
        <f t="shared" si="79"/>
        <v>06/2026</v>
      </c>
      <c r="P2810" s="10" t="str">
        <f t="shared" si="268"/>
        <v/>
      </c>
      <c r="Q2810" s="15" t="str">
        <f t="array" ref="Q2810">IFERROR(XLOOKUP(N2810,'Classificação'!A:A,'Classificação'!B:B),"")</f>
        <v>DESPESAS NÃO OPERACIONAIS</v>
      </c>
      <c r="R2810" s="15" t="str">
        <f t="array" ref="R2810">IFERROR(XLOOKUP(Q2810,'Classificação'!B:B,'Classificação'!C:C),"")</f>
        <v>RESULTADO NÃO OPERACIONAL (+/-)</v>
      </c>
      <c r="S2810" s="15">
        <f t="shared" si="228"/>
        <v>20</v>
      </c>
      <c r="T2810" s="15">
        <f t="shared" si="128"/>
        <v>6</v>
      </c>
      <c r="U2810" s="15">
        <f t="shared" si="129"/>
        <v>2026</v>
      </c>
      <c r="V2810" s="15" t="str">
        <f t="shared" si="8"/>
        <v/>
      </c>
      <c r="W2810" s="15" t="str">
        <f t="shared" si="9"/>
        <v/>
      </c>
      <c r="X2810" s="15" t="str">
        <f t="shared" si="10"/>
        <v/>
      </c>
    </row>
    <row r="2811">
      <c r="A2811" s="26">
        <v>46193.0</v>
      </c>
      <c r="B2811" s="26">
        <v>45867.0</v>
      </c>
      <c r="C2811" s="9" t="str">
        <f t="shared" si="249"/>
        <v/>
      </c>
      <c r="D2811" s="28" t="s">
        <v>109</v>
      </c>
      <c r="E2811" s="28" t="s">
        <v>1305</v>
      </c>
      <c r="F2811" s="29" t="s">
        <v>107</v>
      </c>
      <c r="G2811" s="28" t="s">
        <v>27</v>
      </c>
      <c r="H2811" s="11" t="s">
        <v>911</v>
      </c>
      <c r="I2811" s="24">
        <v>24.16</v>
      </c>
      <c r="J2811" s="13"/>
      <c r="K2811" s="13"/>
      <c r="L2811" s="11" t="s">
        <v>53</v>
      </c>
      <c r="M2811" s="17">
        <v>46002.0</v>
      </c>
      <c r="N2811" s="28" t="s">
        <v>105</v>
      </c>
      <c r="O2811" s="10" t="str">
        <f t="shared" si="79"/>
        <v>06/2026</v>
      </c>
      <c r="P2811" s="10" t="str">
        <f t="shared" si="268"/>
        <v/>
      </c>
      <c r="Q2811" s="15" t="str">
        <f t="array" ref="Q2811">IFERROR(XLOOKUP(N2811,'Classificação'!A:A,'Classificação'!B:B),"")</f>
        <v>DESPESAS ADMINISTRATIVAS</v>
      </c>
      <c r="R2811" s="15" t="str">
        <f t="array" ref="R2811">IFERROR(XLOOKUP(Q2811,'Classificação'!B:B,'Classificação'!C:C),"")</f>
        <v>DESPESAS FIXAS (-)</v>
      </c>
      <c r="S2811" s="15">
        <f t="shared" si="228"/>
        <v>20</v>
      </c>
      <c r="T2811" s="15">
        <f t="shared" si="128"/>
        <v>6</v>
      </c>
      <c r="U2811" s="15">
        <f t="shared" si="129"/>
        <v>2026</v>
      </c>
      <c r="V2811" s="15" t="str">
        <f t="shared" si="8"/>
        <v/>
      </c>
      <c r="W2811" s="15" t="str">
        <f t="shared" si="9"/>
        <v/>
      </c>
      <c r="X2811" s="15" t="str">
        <f t="shared" si="10"/>
        <v/>
      </c>
    </row>
    <row r="2812">
      <c r="A2812" s="9">
        <v>46193.0</v>
      </c>
      <c r="B2812" s="9">
        <v>45863.0</v>
      </c>
      <c r="C2812" s="9" t="str">
        <f t="shared" si="249"/>
        <v/>
      </c>
      <c r="D2812" s="11" t="s">
        <v>65</v>
      </c>
      <c r="E2812" s="11" t="s">
        <v>1305</v>
      </c>
      <c r="F2812" s="11" t="s">
        <v>107</v>
      </c>
      <c r="G2812" s="11" t="s">
        <v>27</v>
      </c>
      <c r="H2812" s="11" t="s">
        <v>915</v>
      </c>
      <c r="I2812" s="12">
        <v>185.17</v>
      </c>
      <c r="J2812" s="13"/>
      <c r="K2812" s="13" t="str">
        <f>if(E2812="pago",(I2812-J2812),"")</f>
        <v/>
      </c>
      <c r="L2812" s="11" t="s">
        <v>53</v>
      </c>
      <c r="M2812" s="17">
        <v>46002.0</v>
      </c>
      <c r="N2812" s="11" t="s">
        <v>95</v>
      </c>
      <c r="O2812" s="10" t="str">
        <f t="shared" si="79"/>
        <v>06/2026</v>
      </c>
      <c r="P2812" s="10" t="str">
        <f t="shared" si="268"/>
        <v/>
      </c>
      <c r="Q2812" s="15" t="str">
        <f t="array" ref="Q2812">IFERROR(XLOOKUP(N2812,'Classificação'!A:A,'Classificação'!B:B),"")</f>
        <v>DESPESAS NÃO OPERACIONAIS</v>
      </c>
      <c r="R2812" s="15" t="str">
        <f t="array" ref="R2812">IFERROR(XLOOKUP(Q2812,'Classificação'!B:B,'Classificação'!C:C),"")</f>
        <v>RESULTADO NÃO OPERACIONAL (+/-)</v>
      </c>
      <c r="S2812" s="15">
        <f t="shared" si="228"/>
        <v>20</v>
      </c>
      <c r="T2812" s="15">
        <f t="shared" si="128"/>
        <v>6</v>
      </c>
      <c r="U2812" s="15">
        <f t="shared" si="129"/>
        <v>2026</v>
      </c>
      <c r="V2812" s="15" t="str">
        <f t="shared" si="8"/>
        <v/>
      </c>
      <c r="W2812" s="15" t="str">
        <f t="shared" si="9"/>
        <v/>
      </c>
      <c r="X2812" s="15" t="str">
        <f t="shared" si="10"/>
        <v/>
      </c>
    </row>
    <row r="2813">
      <c r="A2813" s="26">
        <v>46193.0</v>
      </c>
      <c r="B2813" s="30"/>
      <c r="C2813" s="27" t="str">
        <f t="shared" si="249"/>
        <v/>
      </c>
      <c r="D2813" s="28" t="s">
        <v>100</v>
      </c>
      <c r="E2813" s="28" t="s">
        <v>1305</v>
      </c>
      <c r="F2813" s="28" t="s">
        <v>40</v>
      </c>
      <c r="G2813" s="28" t="s">
        <v>27</v>
      </c>
      <c r="H2813" s="29" t="s">
        <v>1015</v>
      </c>
      <c r="I2813" s="37">
        <v>14000.0</v>
      </c>
      <c r="J2813" s="34"/>
      <c r="K2813" s="34" t="str">
        <f t="shared" ref="K2813:K2817" si="269">IF(E2813="pago",(I2813-J2813),"")</f>
        <v/>
      </c>
      <c r="L2813" s="28" t="s">
        <v>29</v>
      </c>
      <c r="M2813" s="28"/>
      <c r="N2813" s="28" t="s">
        <v>101</v>
      </c>
      <c r="O2813" s="10" t="str">
        <f t="shared" si="79"/>
        <v>06/2026</v>
      </c>
      <c r="P2813" s="10" t="str">
        <f t="shared" si="268"/>
        <v/>
      </c>
      <c r="Q2813" s="15" t="str">
        <f t="array" ref="Q2813">IFERROR(XLOOKUP(N2813,'Classificação'!A:A,'Classificação'!B:B),"")</f>
        <v>IMPOSTO DE RENDA - DAS</v>
      </c>
      <c r="R2813" s="15" t="str">
        <f t="array" ref="R2813">IFERROR(XLOOKUP(Q2813,'Classificação'!B:B,'Classificação'!C:C),"")</f>
        <v>DEDUÇÕES DA RECEITA BRUTA (-)</v>
      </c>
      <c r="S2813" s="15">
        <f t="shared" si="228"/>
        <v>20</v>
      </c>
      <c r="T2813" s="15">
        <f t="shared" si="128"/>
        <v>6</v>
      </c>
      <c r="U2813" s="15">
        <f t="shared" si="129"/>
        <v>2026</v>
      </c>
      <c r="V2813" s="15" t="str">
        <f t="shared" si="8"/>
        <v/>
      </c>
      <c r="W2813" s="15" t="str">
        <f t="shared" si="9"/>
        <v/>
      </c>
      <c r="X2813" s="15" t="str">
        <f t="shared" si="10"/>
        <v/>
      </c>
    </row>
    <row r="2814">
      <c r="A2814" s="26">
        <v>46193.0</v>
      </c>
      <c r="B2814" s="30"/>
      <c r="C2814" s="27" t="str">
        <f t="shared" si="249"/>
        <v/>
      </c>
      <c r="D2814" s="28" t="s">
        <v>100</v>
      </c>
      <c r="E2814" s="28" t="s">
        <v>1305</v>
      </c>
      <c r="F2814" s="28" t="s">
        <v>40</v>
      </c>
      <c r="G2814" s="28" t="s">
        <v>37</v>
      </c>
      <c r="H2814" s="29" t="s">
        <v>1016</v>
      </c>
      <c r="I2814" s="37">
        <v>14000.0</v>
      </c>
      <c r="J2814" s="34"/>
      <c r="K2814" s="34" t="str">
        <f t="shared" si="269"/>
        <v/>
      </c>
      <c r="L2814" s="28" t="s">
        <v>29</v>
      </c>
      <c r="M2814" s="28"/>
      <c r="N2814" s="28" t="s">
        <v>101</v>
      </c>
      <c r="O2814" s="10" t="str">
        <f t="shared" si="79"/>
        <v>06/2026</v>
      </c>
      <c r="P2814" s="10" t="str">
        <f t="shared" si="268"/>
        <v/>
      </c>
      <c r="Q2814" s="15" t="str">
        <f t="array" ref="Q2814">IFERROR(XLOOKUP(N2814,'Classificação'!A:A,'Classificação'!B:B),"")</f>
        <v>IMPOSTO DE RENDA - DAS</v>
      </c>
      <c r="R2814" s="15" t="str">
        <f t="array" ref="R2814">IFERROR(XLOOKUP(Q2814,'Classificação'!B:B,'Classificação'!C:C),"")</f>
        <v>DEDUÇÕES DA RECEITA BRUTA (-)</v>
      </c>
      <c r="S2814" s="15">
        <f t="shared" si="228"/>
        <v>20</v>
      </c>
      <c r="T2814" s="15">
        <f t="shared" si="128"/>
        <v>6</v>
      </c>
      <c r="U2814" s="15">
        <f t="shared" si="129"/>
        <v>2026</v>
      </c>
      <c r="V2814" s="15" t="str">
        <f t="shared" si="8"/>
        <v/>
      </c>
      <c r="W2814" s="15" t="str">
        <f t="shared" si="9"/>
        <v/>
      </c>
      <c r="X2814" s="15" t="str">
        <f t="shared" si="10"/>
        <v/>
      </c>
    </row>
    <row r="2815">
      <c r="A2815" s="26">
        <v>46193.0</v>
      </c>
      <c r="B2815" s="28"/>
      <c r="C2815" s="27" t="str">
        <f t="shared" si="249"/>
        <v/>
      </c>
      <c r="D2815" s="28" t="s">
        <v>123</v>
      </c>
      <c r="E2815" s="28" t="s">
        <v>1305</v>
      </c>
      <c r="F2815" s="28" t="s">
        <v>40</v>
      </c>
      <c r="G2815" s="28" t="s">
        <v>27</v>
      </c>
      <c r="H2815" s="29" t="s">
        <v>1184</v>
      </c>
      <c r="I2815" s="24">
        <v>572.0</v>
      </c>
      <c r="J2815" s="34"/>
      <c r="K2815" s="34" t="str">
        <f t="shared" si="269"/>
        <v/>
      </c>
      <c r="L2815" s="28" t="s">
        <v>29</v>
      </c>
      <c r="M2815" s="28"/>
      <c r="N2815" s="28" t="s">
        <v>123</v>
      </c>
      <c r="O2815" s="10" t="str">
        <f t="shared" si="79"/>
        <v>06/2026</v>
      </c>
      <c r="P2815" s="10" t="str">
        <f t="shared" si="268"/>
        <v/>
      </c>
      <c r="Q2815" s="15" t="str">
        <f t="array" ref="Q2815">IFERROR(XLOOKUP(N2815,'Classificação'!A:A,'Classificação'!B:B),"")</f>
        <v>DESPESAS COM PESSOAL</v>
      </c>
      <c r="R2815" s="15" t="str">
        <f t="array" ref="R2815">IFERROR(XLOOKUP(Q2815,'Classificação'!B:B,'Classificação'!C:C),"")</f>
        <v>DESPESAS FIXAS (-)</v>
      </c>
      <c r="S2815" s="15">
        <f t="shared" si="228"/>
        <v>20</v>
      </c>
      <c r="T2815" s="15">
        <f t="shared" si="128"/>
        <v>6</v>
      </c>
      <c r="U2815" s="15">
        <f t="shared" si="129"/>
        <v>2026</v>
      </c>
      <c r="V2815" s="15" t="str">
        <f t="shared" si="8"/>
        <v/>
      </c>
      <c r="W2815" s="15" t="str">
        <f t="shared" si="9"/>
        <v/>
      </c>
      <c r="X2815" s="15" t="str">
        <f t="shared" si="10"/>
        <v/>
      </c>
    </row>
    <row r="2816">
      <c r="A2816" s="26">
        <v>46193.0</v>
      </c>
      <c r="B2816" s="28"/>
      <c r="C2816" s="27" t="str">
        <f t="shared" si="249"/>
        <v/>
      </c>
      <c r="D2816" s="28" t="s">
        <v>126</v>
      </c>
      <c r="E2816" s="28" t="s">
        <v>1305</v>
      </c>
      <c r="F2816" s="28" t="s">
        <v>40</v>
      </c>
      <c r="G2816" s="28" t="s">
        <v>27</v>
      </c>
      <c r="H2816" s="29" t="s">
        <v>1185</v>
      </c>
      <c r="I2816" s="24">
        <v>730.0</v>
      </c>
      <c r="J2816" s="34"/>
      <c r="K2816" s="34" t="str">
        <f t="shared" si="269"/>
        <v/>
      </c>
      <c r="L2816" s="28" t="s">
        <v>29</v>
      </c>
      <c r="M2816" s="28"/>
      <c r="N2816" s="28" t="s">
        <v>126</v>
      </c>
      <c r="O2816" s="10" t="str">
        <f t="shared" si="79"/>
        <v>06/2026</v>
      </c>
      <c r="P2816" s="10" t="str">
        <f t="shared" si="268"/>
        <v/>
      </c>
      <c r="Q2816" s="15" t="str">
        <f t="array" ref="Q2816">IFERROR(XLOOKUP(N2816,'Classificação'!A:A,'Classificação'!B:B),"")</f>
        <v>DESPESAS COM PESSOAL</v>
      </c>
      <c r="R2816" s="15" t="str">
        <f t="array" ref="R2816">IFERROR(XLOOKUP(Q2816,'Classificação'!B:B,'Classificação'!C:C),"")</f>
        <v>DESPESAS FIXAS (-)</v>
      </c>
      <c r="S2816" s="15">
        <f t="shared" si="228"/>
        <v>20</v>
      </c>
      <c r="T2816" s="15">
        <f t="shared" si="128"/>
        <v>6</v>
      </c>
      <c r="U2816" s="15">
        <f t="shared" si="129"/>
        <v>2026</v>
      </c>
      <c r="V2816" s="15" t="str">
        <f t="shared" si="8"/>
        <v/>
      </c>
      <c r="W2816" s="15" t="str">
        <f t="shared" si="9"/>
        <v/>
      </c>
      <c r="X2816" s="15" t="str">
        <f t="shared" si="10"/>
        <v/>
      </c>
    </row>
    <row r="2817">
      <c r="A2817" s="26">
        <v>46193.0</v>
      </c>
      <c r="B2817" s="28"/>
      <c r="C2817" s="27" t="str">
        <f t="shared" si="249"/>
        <v/>
      </c>
      <c r="D2817" s="28" t="s">
        <v>171</v>
      </c>
      <c r="E2817" s="28" t="s">
        <v>1305</v>
      </c>
      <c r="F2817" s="28" t="s">
        <v>40</v>
      </c>
      <c r="G2817" s="28" t="s">
        <v>27</v>
      </c>
      <c r="H2817" s="28"/>
      <c r="I2817" s="37">
        <v>150.0</v>
      </c>
      <c r="J2817" s="34"/>
      <c r="K2817" s="34" t="str">
        <f t="shared" si="269"/>
        <v/>
      </c>
      <c r="L2817" s="28" t="s">
        <v>29</v>
      </c>
      <c r="M2817" s="28"/>
      <c r="N2817" s="28" t="s">
        <v>172</v>
      </c>
      <c r="O2817" s="10" t="str">
        <f t="shared" si="79"/>
        <v>06/2026</v>
      </c>
      <c r="P2817" s="10" t="str">
        <f t="shared" ref="P2817:P2822" si="270">if(B2817="","", TEXT(B2817,"mm/yyyy"))</f>
        <v/>
      </c>
      <c r="Q2817" s="15" t="str">
        <f t="array" ref="Q2817">IFERROR(XLOOKUP(N2817,'Classificação'!A:A,'Classificação'!B:B),"")</f>
        <v>DESPESAS COM OCUPAÇÃO</v>
      </c>
      <c r="R2817" s="15" t="str">
        <f t="array" ref="R2817">IFERROR(XLOOKUP(Q2817,'Classificação'!B:B,'Classificação'!C:C),"")</f>
        <v>DESPESAS FIXAS (-)</v>
      </c>
      <c r="S2817" s="15">
        <f t="shared" si="228"/>
        <v>20</v>
      </c>
      <c r="T2817" s="15">
        <f t="shared" si="128"/>
        <v>6</v>
      </c>
      <c r="U2817" s="15">
        <f t="shared" si="129"/>
        <v>2026</v>
      </c>
      <c r="V2817" s="15" t="str">
        <f t="shared" si="8"/>
        <v/>
      </c>
      <c r="W2817" s="15" t="str">
        <f t="shared" si="9"/>
        <v/>
      </c>
      <c r="X2817" s="15" t="str">
        <f t="shared" si="10"/>
        <v/>
      </c>
    </row>
    <row r="2818">
      <c r="A2818" s="26">
        <v>46193.0</v>
      </c>
      <c r="B2818" s="39"/>
      <c r="C2818" s="9" t="str">
        <f t="shared" si="249"/>
        <v/>
      </c>
      <c r="D2818" s="28" t="s">
        <v>65</v>
      </c>
      <c r="E2818" s="28" t="s">
        <v>1305</v>
      </c>
      <c r="F2818" s="28" t="s">
        <v>107</v>
      </c>
      <c r="G2818" s="28" t="s">
        <v>27</v>
      </c>
      <c r="H2818" s="28" t="s">
        <v>612</v>
      </c>
      <c r="I2818" s="24">
        <v>8.9</v>
      </c>
      <c r="J2818" s="34"/>
      <c r="K2818" s="13" t="str">
        <f>if(E2818="pago",(I2818-J2818),"")</f>
        <v/>
      </c>
      <c r="L2818" s="28" t="s">
        <v>29</v>
      </c>
      <c r="M2818" s="28"/>
      <c r="N2818" s="28" t="s">
        <v>105</v>
      </c>
      <c r="O2818" s="10" t="str">
        <f t="shared" si="79"/>
        <v>06/2026</v>
      </c>
      <c r="P2818" s="10" t="str">
        <f t="shared" si="270"/>
        <v/>
      </c>
      <c r="Q2818" s="15" t="str">
        <f t="array" ref="Q2818">IFERROR(XLOOKUP(N2818,'Classificação'!A:A,'Classificação'!B:B),"")</f>
        <v>DESPESAS ADMINISTRATIVAS</v>
      </c>
      <c r="R2818" s="15" t="str">
        <f t="array" ref="R2818">IFERROR(XLOOKUP(Q2818,'Classificação'!B:B,'Classificação'!C:C),"")</f>
        <v>DESPESAS FIXAS (-)</v>
      </c>
      <c r="S2818" s="15">
        <f t="shared" si="228"/>
        <v>20</v>
      </c>
      <c r="T2818" s="15">
        <f t="shared" si="128"/>
        <v>6</v>
      </c>
      <c r="U2818" s="15">
        <f t="shared" si="129"/>
        <v>2026</v>
      </c>
      <c r="V2818" s="15" t="str">
        <f t="shared" si="8"/>
        <v/>
      </c>
      <c r="W2818" s="15" t="str">
        <f t="shared" si="9"/>
        <v/>
      </c>
      <c r="X2818" s="15" t="str">
        <f t="shared" si="10"/>
        <v/>
      </c>
    </row>
    <row r="2819">
      <c r="A2819" s="26">
        <v>46193.0</v>
      </c>
      <c r="B2819" s="28"/>
      <c r="C2819" s="27" t="str">
        <f t="shared" si="249"/>
        <v/>
      </c>
      <c r="D2819" s="28" t="s">
        <v>637</v>
      </c>
      <c r="E2819" s="28" t="s">
        <v>1305</v>
      </c>
      <c r="F2819" s="28" t="s">
        <v>40</v>
      </c>
      <c r="G2819" s="28" t="s">
        <v>27</v>
      </c>
      <c r="H2819" s="28"/>
      <c r="I2819" s="37">
        <v>170.0</v>
      </c>
      <c r="J2819" s="34"/>
      <c r="K2819" s="34" t="str">
        <f t="shared" ref="K2819:K2822" si="271">IF(E2819="pago",(I2819-J2819),"")</f>
        <v/>
      </c>
      <c r="L2819" s="28" t="s">
        <v>29</v>
      </c>
      <c r="M2819" s="28"/>
      <c r="N2819" s="28" t="s">
        <v>201</v>
      </c>
      <c r="O2819" s="10" t="str">
        <f t="shared" si="79"/>
        <v>06/2026</v>
      </c>
      <c r="P2819" s="10" t="str">
        <f t="shared" si="270"/>
        <v/>
      </c>
      <c r="Q2819" s="15" t="str">
        <f t="array" ref="Q2819">IFERROR(XLOOKUP(N2819,'Classificação'!A:A,'Classificação'!B:B),"")</f>
        <v>DESPESAS COM OCUPAÇÃO</v>
      </c>
      <c r="R2819" s="15" t="str">
        <f t="array" ref="R2819">IFERROR(XLOOKUP(Q2819,'Classificação'!B:B,'Classificação'!C:C),"")</f>
        <v>DESPESAS FIXAS (-)</v>
      </c>
      <c r="S2819" s="15">
        <f t="shared" si="228"/>
        <v>20</v>
      </c>
      <c r="T2819" s="15">
        <f t="shared" si="128"/>
        <v>6</v>
      </c>
      <c r="U2819" s="15">
        <f t="shared" si="129"/>
        <v>2026</v>
      </c>
      <c r="V2819" s="15" t="str">
        <f t="shared" si="8"/>
        <v/>
      </c>
      <c r="W2819" s="15" t="str">
        <f t="shared" si="9"/>
        <v/>
      </c>
      <c r="X2819" s="15" t="str">
        <f t="shared" si="10"/>
        <v/>
      </c>
    </row>
    <row r="2820">
      <c r="A2820" s="26">
        <v>46193.0</v>
      </c>
      <c r="B2820" s="28"/>
      <c r="C2820" s="27" t="str">
        <f t="shared" si="249"/>
        <v/>
      </c>
      <c r="D2820" s="28" t="s">
        <v>121</v>
      </c>
      <c r="E2820" s="28" t="s">
        <v>1305</v>
      </c>
      <c r="F2820" s="28" t="s">
        <v>107</v>
      </c>
      <c r="G2820" s="28" t="s">
        <v>27</v>
      </c>
      <c r="H2820" s="28"/>
      <c r="I2820" s="24">
        <v>79.9</v>
      </c>
      <c r="J2820" s="34"/>
      <c r="K2820" s="34" t="str">
        <f t="shared" si="271"/>
        <v/>
      </c>
      <c r="L2820" s="28" t="s">
        <v>29</v>
      </c>
      <c r="M2820" s="28"/>
      <c r="N2820" s="28" t="s">
        <v>105</v>
      </c>
      <c r="O2820" s="10" t="str">
        <f t="shared" si="79"/>
        <v>06/2026</v>
      </c>
      <c r="P2820" s="10" t="str">
        <f t="shared" si="270"/>
        <v/>
      </c>
      <c r="Q2820" s="15" t="str">
        <f t="array" ref="Q2820">IFERROR(XLOOKUP(N2820,'Classificação'!A:A,'Classificação'!B:B),"")</f>
        <v>DESPESAS ADMINISTRATIVAS</v>
      </c>
      <c r="R2820" s="15" t="str">
        <f t="array" ref="R2820">IFERROR(XLOOKUP(Q2820,'Classificação'!B:B,'Classificação'!C:C),"")</f>
        <v>DESPESAS FIXAS (-)</v>
      </c>
      <c r="S2820" s="15">
        <f t="shared" si="228"/>
        <v>20</v>
      </c>
      <c r="T2820" s="15">
        <f t="shared" si="128"/>
        <v>6</v>
      </c>
      <c r="U2820" s="15">
        <f t="shared" si="129"/>
        <v>2026</v>
      </c>
      <c r="V2820" s="15" t="str">
        <f t="shared" si="8"/>
        <v/>
      </c>
      <c r="W2820" s="15" t="str">
        <f t="shared" si="9"/>
        <v/>
      </c>
      <c r="X2820" s="15" t="str">
        <f t="shared" si="10"/>
        <v/>
      </c>
    </row>
    <row r="2821">
      <c r="A2821" s="26">
        <v>46193.0</v>
      </c>
      <c r="B2821" s="28"/>
      <c r="C2821" s="27" t="str">
        <f t="shared" si="249"/>
        <v/>
      </c>
      <c r="D2821" s="28" t="s">
        <v>104</v>
      </c>
      <c r="E2821" s="28" t="s">
        <v>1305</v>
      </c>
      <c r="F2821" s="28" t="s">
        <v>40</v>
      </c>
      <c r="G2821" s="28" t="s">
        <v>27</v>
      </c>
      <c r="H2821" s="29" t="s">
        <v>1186</v>
      </c>
      <c r="I2821" s="37">
        <v>450.0</v>
      </c>
      <c r="J2821" s="34"/>
      <c r="K2821" s="34" t="str">
        <f t="shared" si="271"/>
        <v/>
      </c>
      <c r="L2821" s="28" t="s">
        <v>29</v>
      </c>
      <c r="M2821" s="28"/>
      <c r="N2821" s="28" t="s">
        <v>105</v>
      </c>
      <c r="O2821" s="10" t="str">
        <f t="shared" si="79"/>
        <v>06/2026</v>
      </c>
      <c r="P2821" s="10" t="str">
        <f t="shared" si="270"/>
        <v/>
      </c>
      <c r="Q2821" s="15" t="str">
        <f t="array" ref="Q2821">IFERROR(XLOOKUP(N2821,'Classificação'!A:A,'Classificação'!B:B),"")</f>
        <v>DESPESAS ADMINISTRATIVAS</v>
      </c>
      <c r="R2821" s="15" t="str">
        <f t="array" ref="R2821">IFERROR(XLOOKUP(Q2821,'Classificação'!B:B,'Classificação'!C:C),"")</f>
        <v>DESPESAS FIXAS (-)</v>
      </c>
      <c r="S2821" s="15">
        <f t="shared" si="228"/>
        <v>20</v>
      </c>
      <c r="T2821" s="15">
        <f t="shared" si="128"/>
        <v>6</v>
      </c>
      <c r="U2821" s="15">
        <f t="shared" si="129"/>
        <v>2026</v>
      </c>
      <c r="V2821" s="15" t="str">
        <f t="shared" si="8"/>
        <v/>
      </c>
      <c r="W2821" s="15" t="str">
        <f t="shared" si="9"/>
        <v/>
      </c>
      <c r="X2821" s="15" t="str">
        <f t="shared" si="10"/>
        <v/>
      </c>
    </row>
    <row r="2822">
      <c r="A2822" s="26">
        <v>46193.0</v>
      </c>
      <c r="B2822" s="28"/>
      <c r="C2822" s="27" t="str">
        <f t="shared" si="249"/>
        <v/>
      </c>
      <c r="D2822" s="28" t="s">
        <v>44</v>
      </c>
      <c r="E2822" s="28" t="s">
        <v>1305</v>
      </c>
      <c r="F2822" s="28" t="s">
        <v>45</v>
      </c>
      <c r="G2822" s="28" t="s">
        <v>27</v>
      </c>
      <c r="H2822" s="28" t="s">
        <v>1308</v>
      </c>
      <c r="I2822" s="37">
        <v>125.0</v>
      </c>
      <c r="J2822" s="34"/>
      <c r="K2822" s="34" t="str">
        <f t="shared" si="271"/>
        <v/>
      </c>
      <c r="L2822" s="28" t="s">
        <v>29</v>
      </c>
      <c r="M2822" s="28"/>
      <c r="N2822" s="28" t="s">
        <v>47</v>
      </c>
      <c r="O2822" s="10" t="str">
        <f t="shared" si="79"/>
        <v>06/2026</v>
      </c>
      <c r="P2822" s="10" t="str">
        <f t="shared" si="270"/>
        <v/>
      </c>
      <c r="Q2822" s="15" t="str">
        <f t="array" ref="Q2822">IFERROR(XLOOKUP(N2822,'Classificação'!A:A,'Classificação'!B:B),"")</f>
        <v>DESPESAS NÃO OPERACIONAIS</v>
      </c>
      <c r="R2822" s="15" t="str">
        <f t="array" ref="R2822">IFERROR(XLOOKUP(Q2822,'Classificação'!B:B,'Classificação'!C:C),"")</f>
        <v>RESULTADO NÃO OPERACIONAL (+/-)</v>
      </c>
      <c r="S2822" s="15">
        <f t="shared" si="228"/>
        <v>20</v>
      </c>
      <c r="T2822" s="15">
        <f t="shared" si="128"/>
        <v>6</v>
      </c>
      <c r="U2822" s="15">
        <f t="shared" si="129"/>
        <v>2026</v>
      </c>
      <c r="V2822" s="15" t="str">
        <f t="shared" si="8"/>
        <v/>
      </c>
      <c r="W2822" s="15" t="str">
        <f t="shared" si="9"/>
        <v/>
      </c>
      <c r="X2822" s="15" t="str">
        <f t="shared" si="10"/>
        <v/>
      </c>
    </row>
    <row r="2823">
      <c r="A2823" s="9">
        <v>46193.0</v>
      </c>
      <c r="B2823" s="9">
        <v>46159.0</v>
      </c>
      <c r="C2823" s="9" t="str">
        <f t="shared" si="249"/>
        <v/>
      </c>
      <c r="D2823" s="11" t="s">
        <v>1181</v>
      </c>
      <c r="E2823" s="29" t="s">
        <v>1305</v>
      </c>
      <c r="F2823" s="11" t="s">
        <v>107</v>
      </c>
      <c r="G2823" s="28" t="s">
        <v>27</v>
      </c>
      <c r="H2823" s="11" t="s">
        <v>1182</v>
      </c>
      <c r="I2823" s="12">
        <v>39.99</v>
      </c>
      <c r="J2823" s="13"/>
      <c r="K2823" s="13" t="str">
        <f>if(E2823="pago",(I2823-J2823),"")</f>
        <v/>
      </c>
      <c r="L2823" s="11" t="s">
        <v>29</v>
      </c>
      <c r="M2823" s="14"/>
      <c r="N2823" s="11" t="s">
        <v>105</v>
      </c>
      <c r="O2823" s="10" t="str">
        <f t="shared" si="79"/>
        <v>06/2026</v>
      </c>
      <c r="P2823" s="10" t="str">
        <f t="shared" ref="P2823:P2826" si="272">if(C2823="","", TEXT(C2823,"mm/yyyy"))</f>
        <v/>
      </c>
      <c r="Q2823" s="15" t="str">
        <f t="array" ref="Q2823">IFERROR(XLOOKUP(N2823,'Classificação'!A:A,'Classificação'!B:B),"")</f>
        <v>DESPESAS ADMINISTRATIVAS</v>
      </c>
      <c r="R2823" s="15" t="str">
        <f t="array" ref="R2823">IFERROR(XLOOKUP(Q2823,'Classificação'!B:B,'Classificação'!C:C),"")</f>
        <v>DESPESAS FIXAS (-)</v>
      </c>
      <c r="S2823" s="15">
        <f t="shared" si="228"/>
        <v>20</v>
      </c>
      <c r="T2823" s="15">
        <f t="shared" si="128"/>
        <v>6</v>
      </c>
      <c r="U2823" s="15">
        <f t="shared" si="129"/>
        <v>2026</v>
      </c>
      <c r="V2823" s="15" t="str">
        <f t="shared" si="8"/>
        <v/>
      </c>
      <c r="W2823" s="15" t="str">
        <f t="shared" si="9"/>
        <v/>
      </c>
      <c r="X2823" s="15" t="str">
        <f t="shared" si="10"/>
        <v/>
      </c>
    </row>
    <row r="2824">
      <c r="A2824" s="27">
        <v>46193.0</v>
      </c>
      <c r="B2824" s="28"/>
      <c r="C2824" s="27" t="str">
        <f t="shared" si="249"/>
        <v/>
      </c>
      <c r="D2824" s="28" t="s">
        <v>126</v>
      </c>
      <c r="E2824" s="28" t="s">
        <v>1305</v>
      </c>
      <c r="F2824" s="28" t="s">
        <v>40</v>
      </c>
      <c r="G2824" s="28" t="s">
        <v>27</v>
      </c>
      <c r="H2824" s="29" t="s">
        <v>1210</v>
      </c>
      <c r="I2824" s="24">
        <v>210.0</v>
      </c>
      <c r="J2824" s="34"/>
      <c r="K2824" s="34" t="str">
        <f t="shared" ref="K2824:K2825" si="273">IF(E2824="pago",(I2824-J2824),"")</f>
        <v/>
      </c>
      <c r="L2824" s="28" t="s">
        <v>29</v>
      </c>
      <c r="M2824" s="28"/>
      <c r="N2824" s="28" t="s">
        <v>126</v>
      </c>
      <c r="O2824" s="10" t="str">
        <f t="shared" si="79"/>
        <v>06/2026</v>
      </c>
      <c r="P2824" s="10" t="str">
        <f t="shared" si="272"/>
        <v/>
      </c>
      <c r="Q2824" s="15" t="str">
        <f t="array" ref="Q2824">IFERROR(XLOOKUP(N2824,'Classificação'!A:A,'Classificação'!B:B),"")</f>
        <v>DESPESAS COM PESSOAL</v>
      </c>
      <c r="R2824" s="15" t="str">
        <f t="array" ref="R2824">IFERROR(XLOOKUP(Q2824,'Classificação'!B:B,'Classificação'!C:C),"")</f>
        <v>DESPESAS FIXAS (-)</v>
      </c>
      <c r="S2824" s="15">
        <f t="shared" si="228"/>
        <v>20</v>
      </c>
      <c r="T2824" s="15">
        <f t="shared" si="128"/>
        <v>6</v>
      </c>
      <c r="U2824" s="15">
        <f t="shared" si="129"/>
        <v>2026</v>
      </c>
      <c r="V2824" s="15" t="str">
        <f t="shared" si="8"/>
        <v/>
      </c>
      <c r="W2824" s="15" t="str">
        <f t="shared" si="9"/>
        <v/>
      </c>
      <c r="X2824" s="15" t="str">
        <f t="shared" si="10"/>
        <v/>
      </c>
    </row>
    <row r="2825">
      <c r="A2825" s="27">
        <v>46193.0</v>
      </c>
      <c r="B2825" s="28"/>
      <c r="C2825" s="27" t="str">
        <f t="shared" si="249"/>
        <v/>
      </c>
      <c r="D2825" s="28" t="s">
        <v>123</v>
      </c>
      <c r="E2825" s="28" t="s">
        <v>1305</v>
      </c>
      <c r="F2825" s="28" t="s">
        <v>40</v>
      </c>
      <c r="G2825" s="28" t="s">
        <v>27</v>
      </c>
      <c r="H2825" s="29" t="s">
        <v>1180</v>
      </c>
      <c r="I2825" s="24">
        <v>217.0</v>
      </c>
      <c r="J2825" s="34"/>
      <c r="K2825" s="34" t="str">
        <f t="shared" si="273"/>
        <v/>
      </c>
      <c r="L2825" s="28" t="s">
        <v>29</v>
      </c>
      <c r="M2825" s="28"/>
      <c r="N2825" s="28" t="s">
        <v>123</v>
      </c>
      <c r="O2825" s="10" t="str">
        <f t="shared" si="79"/>
        <v>06/2026</v>
      </c>
      <c r="P2825" s="10" t="str">
        <f t="shared" si="272"/>
        <v/>
      </c>
      <c r="Q2825" s="15" t="str">
        <f t="array" ref="Q2825">IFERROR(XLOOKUP(N2825,'Classificação'!A:A,'Classificação'!B:B),"")</f>
        <v>DESPESAS COM PESSOAL</v>
      </c>
      <c r="R2825" s="15" t="str">
        <f t="array" ref="R2825">IFERROR(XLOOKUP(Q2825,'Classificação'!B:B,'Classificação'!C:C),"")</f>
        <v>DESPESAS FIXAS (-)</v>
      </c>
      <c r="S2825" s="15">
        <f t="shared" si="228"/>
        <v>20</v>
      </c>
      <c r="T2825" s="15">
        <f t="shared" si="128"/>
        <v>6</v>
      </c>
      <c r="U2825" s="15">
        <f t="shared" si="129"/>
        <v>2026</v>
      </c>
      <c r="V2825" s="15" t="str">
        <f t="shared" si="8"/>
        <v/>
      </c>
      <c r="W2825" s="15" t="str">
        <f t="shared" si="9"/>
        <v/>
      </c>
      <c r="X2825" s="15" t="str">
        <f t="shared" si="10"/>
        <v/>
      </c>
    </row>
    <row r="2826">
      <c r="A2826" s="9">
        <v>46193.0</v>
      </c>
      <c r="B2826" s="32"/>
      <c r="C2826" s="9" t="str">
        <f t="shared" si="249"/>
        <v/>
      </c>
      <c r="D2826" s="28" t="s">
        <v>369</v>
      </c>
      <c r="E2826" s="28" t="s">
        <v>1305</v>
      </c>
      <c r="F2826" s="28" t="s">
        <v>107</v>
      </c>
      <c r="G2826" s="28" t="s">
        <v>27</v>
      </c>
      <c r="H2826" s="11" t="s">
        <v>1247</v>
      </c>
      <c r="I2826" s="38">
        <v>29.9</v>
      </c>
      <c r="J2826" s="13"/>
      <c r="K2826" s="13" t="str">
        <f>if(E2826="pago",(I2826-J2826),"")</f>
        <v/>
      </c>
      <c r="L2826" s="29" t="s">
        <v>29</v>
      </c>
      <c r="M2826" s="17"/>
      <c r="N2826" s="29" t="s">
        <v>105</v>
      </c>
      <c r="O2826" s="10" t="str">
        <f t="shared" si="79"/>
        <v>06/2026</v>
      </c>
      <c r="P2826" s="10" t="str">
        <f t="shared" si="272"/>
        <v/>
      </c>
      <c r="Q2826" s="15" t="str">
        <f t="array" ref="Q2826">IFERROR(XLOOKUP(N2826,'Classificação'!A:A,'Classificação'!B:B),"")</f>
        <v>DESPESAS ADMINISTRATIVAS</v>
      </c>
      <c r="R2826" s="15" t="str">
        <f t="array" ref="R2826">IFERROR(XLOOKUP(Q2826,'Classificação'!B:B,'Classificação'!C:C),"")</f>
        <v>DESPESAS FIXAS (-)</v>
      </c>
      <c r="S2826" s="15">
        <f t="shared" si="228"/>
        <v>20</v>
      </c>
      <c r="T2826" s="15">
        <f t="shared" si="128"/>
        <v>6</v>
      </c>
      <c r="U2826" s="15">
        <f t="shared" si="129"/>
        <v>2026</v>
      </c>
      <c r="V2826" s="15" t="str">
        <f t="shared" si="8"/>
        <v/>
      </c>
      <c r="W2826" s="15" t="str">
        <f t="shared" si="9"/>
        <v/>
      </c>
      <c r="X2826" s="15" t="str">
        <f t="shared" si="10"/>
        <v/>
      </c>
    </row>
    <row r="2827">
      <c r="A2827" s="26">
        <v>46193.0</v>
      </c>
      <c r="B2827" s="26">
        <v>46065.0</v>
      </c>
      <c r="C2827" s="27" t="str">
        <f t="shared" si="249"/>
        <v/>
      </c>
      <c r="D2827" s="29" t="s">
        <v>560</v>
      </c>
      <c r="E2827" s="28" t="s">
        <v>1305</v>
      </c>
      <c r="F2827" s="29" t="s">
        <v>107</v>
      </c>
      <c r="G2827" s="28" t="s">
        <v>27</v>
      </c>
      <c r="H2827" s="29" t="s">
        <v>1287</v>
      </c>
      <c r="I2827" s="24">
        <v>260.75</v>
      </c>
      <c r="J2827" s="34"/>
      <c r="K2827" s="34" t="str">
        <f>IF(E2827="pago",(I2827-J2827),"")</f>
        <v/>
      </c>
      <c r="L2827" s="29" t="s">
        <v>53</v>
      </c>
      <c r="M2827" s="35">
        <v>46116.0</v>
      </c>
      <c r="N2827" s="29" t="s">
        <v>175</v>
      </c>
      <c r="O2827" s="10" t="str">
        <f t="shared" si="79"/>
        <v>06/2026</v>
      </c>
      <c r="P2827" s="10" t="str">
        <f>if(B2827="","", TEXT(B2827,"mm/yyyy"))</f>
        <v>02/2026</v>
      </c>
      <c r="Q2827" s="15" t="str">
        <f t="array" ref="Q2827">IFERROR(XLOOKUP(N2827,'Classificação'!A:A,'Classificação'!B:B),"")</f>
        <v>DESPESAS COM VEICULOS</v>
      </c>
      <c r="R2827" s="15" t="str">
        <f t="array" ref="R2827">IFERROR(XLOOKUP(Q2827,'Classificação'!B:B,'Classificação'!C:C),"")</f>
        <v>DESPESAS FIXAS (-)</v>
      </c>
      <c r="S2827" s="15">
        <f t="shared" si="228"/>
        <v>20</v>
      </c>
      <c r="T2827" s="15">
        <f t="shared" si="128"/>
        <v>6</v>
      </c>
      <c r="U2827" s="15">
        <f t="shared" si="129"/>
        <v>2026</v>
      </c>
      <c r="V2827" s="15" t="str">
        <f t="shared" si="8"/>
        <v/>
      </c>
      <c r="W2827" s="15" t="str">
        <f t="shared" si="9"/>
        <v/>
      </c>
      <c r="X2827" s="15" t="str">
        <f t="shared" si="10"/>
        <v/>
      </c>
    </row>
    <row r="2828">
      <c r="A2828" s="9">
        <v>46193.0</v>
      </c>
      <c r="B2828" s="9">
        <v>46081.0</v>
      </c>
      <c r="C2828" s="9" t="str">
        <f t="shared" si="249"/>
        <v/>
      </c>
      <c r="D2828" s="11" t="s">
        <v>65</v>
      </c>
      <c r="E2828" s="28" t="s">
        <v>1305</v>
      </c>
      <c r="F2828" s="11" t="s">
        <v>107</v>
      </c>
      <c r="G2828" s="11" t="s">
        <v>27</v>
      </c>
      <c r="H2828" s="11" t="s">
        <v>1293</v>
      </c>
      <c r="I2828" s="31">
        <v>127.9</v>
      </c>
      <c r="J2828" s="13"/>
      <c r="K2828" s="13" t="str">
        <f t="shared" ref="K2828:K2830" si="274">if(E2828="pago",(I2828-J2828),"")</f>
        <v/>
      </c>
      <c r="L2828" s="11" t="s">
        <v>53</v>
      </c>
      <c r="M2828" s="17">
        <v>46360.0</v>
      </c>
      <c r="N2828" s="11" t="s">
        <v>95</v>
      </c>
      <c r="O2828" s="10" t="str">
        <f t="shared" si="79"/>
        <v>06/2026</v>
      </c>
      <c r="P2828" s="10" t="str">
        <f t="shared" ref="P2828:P2830" si="275">if(C2828="","", TEXT(C2828,"mm/yyyy"))</f>
        <v/>
      </c>
      <c r="Q2828" s="15" t="str">
        <f t="array" ref="Q2828">IFERROR(XLOOKUP(N2828,'Classificação'!A:A,'Classificação'!B:B),"")</f>
        <v>DESPESAS NÃO OPERACIONAIS</v>
      </c>
      <c r="R2828" s="15" t="str">
        <f t="array" ref="R2828">IFERROR(XLOOKUP(Q2828,'Classificação'!B:B,'Classificação'!C:C),"")</f>
        <v>RESULTADO NÃO OPERACIONAL (+/-)</v>
      </c>
      <c r="S2828" s="15">
        <f t="shared" si="228"/>
        <v>20</v>
      </c>
      <c r="T2828" s="15">
        <f t="shared" si="128"/>
        <v>6</v>
      </c>
      <c r="U2828" s="15">
        <f t="shared" si="129"/>
        <v>2026</v>
      </c>
      <c r="V2828" s="15" t="str">
        <f t="shared" si="8"/>
        <v/>
      </c>
      <c r="W2828" s="15" t="str">
        <f t="shared" si="9"/>
        <v/>
      </c>
      <c r="X2828" s="15" t="str">
        <f t="shared" si="10"/>
        <v/>
      </c>
    </row>
    <row r="2829">
      <c r="A2829" s="9">
        <v>46193.0</v>
      </c>
      <c r="B2829" s="9">
        <v>46077.0</v>
      </c>
      <c r="C2829" s="9" t="str">
        <f t="shared" si="249"/>
        <v/>
      </c>
      <c r="D2829" s="11" t="s">
        <v>1294</v>
      </c>
      <c r="E2829" s="28" t="s">
        <v>1305</v>
      </c>
      <c r="F2829" s="11" t="s">
        <v>107</v>
      </c>
      <c r="G2829" s="28" t="s">
        <v>27</v>
      </c>
      <c r="H2829" s="11" t="s">
        <v>1295</v>
      </c>
      <c r="I2829" s="31">
        <v>185.2</v>
      </c>
      <c r="J2829" s="13"/>
      <c r="K2829" s="13" t="str">
        <f t="shared" si="274"/>
        <v/>
      </c>
      <c r="L2829" s="28" t="s">
        <v>53</v>
      </c>
      <c r="M2829" s="17">
        <v>46360.0</v>
      </c>
      <c r="N2829" s="11" t="s">
        <v>64</v>
      </c>
      <c r="O2829" s="10" t="str">
        <f t="shared" si="79"/>
        <v>06/2026</v>
      </c>
      <c r="P2829" s="10" t="str">
        <f t="shared" si="275"/>
        <v/>
      </c>
      <c r="Q2829" s="15" t="str">
        <f t="array" ref="Q2829">IFERROR(XLOOKUP(N2829,'Classificação'!A:A,'Classificação'!B:B),"")</f>
        <v>DESPESAS COM PESSOAL</v>
      </c>
      <c r="R2829" s="15" t="str">
        <f t="array" ref="R2829">IFERROR(XLOOKUP(Q2829,'Classificação'!B:B,'Classificação'!C:C),"")</f>
        <v>DESPESAS FIXAS (-)</v>
      </c>
      <c r="S2829" s="15">
        <f t="shared" si="228"/>
        <v>20</v>
      </c>
      <c r="T2829" s="15">
        <f t="shared" si="128"/>
        <v>6</v>
      </c>
      <c r="U2829" s="15">
        <f t="shared" si="129"/>
        <v>2026</v>
      </c>
      <c r="V2829" s="15" t="str">
        <f t="shared" si="8"/>
        <v/>
      </c>
      <c r="W2829" s="15" t="str">
        <f t="shared" si="9"/>
        <v/>
      </c>
      <c r="X2829" s="15" t="str">
        <f t="shared" si="10"/>
        <v/>
      </c>
    </row>
    <row r="2830">
      <c r="A2830" s="9">
        <v>46193.0</v>
      </c>
      <c r="B2830" s="9">
        <v>46101.0</v>
      </c>
      <c r="C2830" s="9" t="str">
        <f t="shared" si="249"/>
        <v/>
      </c>
      <c r="D2830" s="11" t="s">
        <v>86</v>
      </c>
      <c r="E2830" s="28" t="s">
        <v>1305</v>
      </c>
      <c r="F2830" s="11" t="s">
        <v>87</v>
      </c>
      <c r="G2830" s="28" t="s">
        <v>27</v>
      </c>
      <c r="H2830" s="11" t="s">
        <v>1349</v>
      </c>
      <c r="I2830" s="31">
        <v>2632.5</v>
      </c>
      <c r="J2830" s="13"/>
      <c r="K2830" s="13" t="str">
        <f t="shared" si="274"/>
        <v/>
      </c>
      <c r="L2830" s="11" t="s">
        <v>53</v>
      </c>
      <c r="M2830" s="17">
        <v>46115.0</v>
      </c>
      <c r="N2830" s="11" t="s">
        <v>35</v>
      </c>
      <c r="O2830" s="10" t="str">
        <f t="shared" si="79"/>
        <v>06/2026</v>
      </c>
      <c r="P2830" s="10" t="str">
        <f t="shared" si="275"/>
        <v/>
      </c>
      <c r="Q2830" s="15" t="str">
        <f t="array" ref="Q2830">IFERROR(XLOOKUP(N2830,'Classificação'!A:A,'Classificação'!B:B),"")</f>
        <v>COMPRA DE MERCADORIA</v>
      </c>
      <c r="R2830" s="15" t="str">
        <f t="array" ref="R2830">IFERROR(XLOOKUP(Q2830,'Classificação'!B:B,'Classificação'!C:C),"")</f>
        <v>CUSTOS VARIÁVEIS</v>
      </c>
      <c r="S2830" s="15">
        <f t="shared" si="228"/>
        <v>20</v>
      </c>
      <c r="T2830" s="15">
        <f t="shared" si="128"/>
        <v>6</v>
      </c>
      <c r="U2830" s="15">
        <f t="shared" si="129"/>
        <v>2026</v>
      </c>
      <c r="V2830" s="15" t="str">
        <f t="shared" si="8"/>
        <v/>
      </c>
      <c r="W2830" s="15" t="str">
        <f t="shared" si="9"/>
        <v/>
      </c>
      <c r="X2830" s="15" t="str">
        <f t="shared" si="10"/>
        <v/>
      </c>
    </row>
    <row r="2831">
      <c r="A2831" s="9">
        <v>46194.0</v>
      </c>
      <c r="B2831" s="10"/>
      <c r="C2831" s="9" t="str">
        <f t="shared" si="249"/>
        <v/>
      </c>
      <c r="D2831" s="28" t="s">
        <v>76</v>
      </c>
      <c r="E2831" s="28" t="s">
        <v>1305</v>
      </c>
      <c r="F2831" s="28" t="s">
        <v>26</v>
      </c>
      <c r="G2831" s="28" t="s">
        <v>27</v>
      </c>
      <c r="H2831" s="28" t="s">
        <v>84</v>
      </c>
      <c r="I2831" s="24">
        <v>1214.27</v>
      </c>
      <c r="J2831" s="13"/>
      <c r="K2831" s="13"/>
      <c r="L2831" s="28" t="s">
        <v>53</v>
      </c>
      <c r="M2831" s="16" t="s">
        <v>1342</v>
      </c>
      <c r="N2831" s="28" t="s">
        <v>85</v>
      </c>
      <c r="O2831" s="10" t="str">
        <f t="shared" si="79"/>
        <v>06/2026</v>
      </c>
      <c r="P2831" s="10"/>
      <c r="Q2831" s="15" t="str">
        <f t="array" ref="Q2831">IFERROR(XLOOKUP(N2831,'Classificação'!A:A,'Classificação'!B:B),"")</f>
        <v>DESPESAS NÃO OPERACIONAIS</v>
      </c>
      <c r="R2831" s="15" t="str">
        <f t="array" ref="R2831">IFERROR(XLOOKUP(Q2831,'Classificação'!B:B,'Classificação'!C:C),"")</f>
        <v>RESULTADO NÃO OPERACIONAL (+/-)</v>
      </c>
      <c r="S2831" s="15">
        <f t="shared" si="228"/>
        <v>21</v>
      </c>
      <c r="T2831" s="15">
        <f t="shared" si="128"/>
        <v>6</v>
      </c>
      <c r="U2831" s="15">
        <f t="shared" si="129"/>
        <v>2026</v>
      </c>
      <c r="V2831" s="15" t="str">
        <f t="shared" si="8"/>
        <v/>
      </c>
      <c r="W2831" s="15" t="str">
        <f t="shared" si="9"/>
        <v/>
      </c>
      <c r="X2831" s="15" t="str">
        <f t="shared" si="10"/>
        <v/>
      </c>
    </row>
    <row r="2832">
      <c r="A2832" s="26">
        <v>46195.0</v>
      </c>
      <c r="B2832" s="10"/>
      <c r="C2832" s="9" t="str">
        <f t="shared" si="249"/>
        <v/>
      </c>
      <c r="D2832" s="28" t="s">
        <v>36</v>
      </c>
      <c r="E2832" s="28" t="s">
        <v>1305</v>
      </c>
      <c r="F2832" s="28" t="s">
        <v>26</v>
      </c>
      <c r="G2832" s="28" t="s">
        <v>37</v>
      </c>
      <c r="I2832" s="37">
        <v>9000.0</v>
      </c>
      <c r="J2832" s="13"/>
      <c r="K2832" s="13" t="str">
        <f t="shared" ref="K2832:K2834" si="276">if(E2832="pago",(I2832-J2832),"")</f>
        <v/>
      </c>
      <c r="L2832" s="28" t="s">
        <v>29</v>
      </c>
      <c r="M2832" s="14"/>
      <c r="N2832" s="28" t="s">
        <v>38</v>
      </c>
      <c r="O2832" s="10" t="str">
        <f t="shared" si="79"/>
        <v>06/2026</v>
      </c>
      <c r="P2832" s="10" t="str">
        <f t="shared" ref="P2832:P2835" si="277">if(C2832="","", TEXT(C2832,"mm/yyyy"))</f>
        <v/>
      </c>
      <c r="Q2832" s="15" t="str">
        <f t="array" ref="Q2832">IFERROR(XLOOKUP(N2832,'Classificação'!A:A,'Classificação'!B:B),"")</f>
        <v>DESPESAS COM PESSOAL</v>
      </c>
      <c r="R2832" s="15" t="str">
        <f t="array" ref="R2832">IFERROR(XLOOKUP(Q2832,'Classificação'!B:B,'Classificação'!C:C),"")</f>
        <v>DESPESAS FIXAS (-)</v>
      </c>
      <c r="S2832" s="15">
        <f t="shared" si="228"/>
        <v>22</v>
      </c>
      <c r="T2832" s="15">
        <f t="shared" si="128"/>
        <v>6</v>
      </c>
      <c r="U2832" s="15">
        <f t="shared" si="129"/>
        <v>2026</v>
      </c>
      <c r="V2832" s="15" t="str">
        <f t="shared" si="8"/>
        <v/>
      </c>
      <c r="W2832" s="15" t="str">
        <f t="shared" si="9"/>
        <v/>
      </c>
      <c r="X2832" s="15" t="str">
        <f t="shared" si="10"/>
        <v/>
      </c>
    </row>
    <row r="2833">
      <c r="A2833" s="26">
        <v>46195.0</v>
      </c>
      <c r="B2833" s="10"/>
      <c r="C2833" s="9" t="str">
        <f t="shared" si="249"/>
        <v/>
      </c>
      <c r="D2833" s="28" t="s">
        <v>43</v>
      </c>
      <c r="E2833" s="28" t="s">
        <v>1305</v>
      </c>
      <c r="F2833" s="29" t="s">
        <v>26</v>
      </c>
      <c r="G2833" s="28" t="s">
        <v>37</v>
      </c>
      <c r="I2833" s="37">
        <v>9000.0</v>
      </c>
      <c r="J2833" s="13"/>
      <c r="K2833" s="13" t="str">
        <f t="shared" si="276"/>
        <v/>
      </c>
      <c r="L2833" s="28" t="s">
        <v>29</v>
      </c>
      <c r="M2833" s="14"/>
      <c r="N2833" s="28" t="s">
        <v>38</v>
      </c>
      <c r="O2833" s="10" t="str">
        <f t="shared" si="79"/>
        <v>06/2026</v>
      </c>
      <c r="P2833" s="10" t="str">
        <f t="shared" si="277"/>
        <v/>
      </c>
      <c r="Q2833" s="15" t="str">
        <f t="array" ref="Q2833">IFERROR(XLOOKUP(N2833,'Classificação'!A:A,'Classificação'!B:B),"")</f>
        <v>DESPESAS COM PESSOAL</v>
      </c>
      <c r="R2833" s="15" t="str">
        <f t="array" ref="R2833">IFERROR(XLOOKUP(Q2833,'Classificação'!B:B,'Classificação'!C:C),"")</f>
        <v>DESPESAS FIXAS (-)</v>
      </c>
      <c r="S2833" s="15">
        <f t="shared" si="228"/>
        <v>22</v>
      </c>
      <c r="T2833" s="15">
        <f t="shared" si="128"/>
        <v>6</v>
      </c>
      <c r="U2833" s="15">
        <f t="shared" si="129"/>
        <v>2026</v>
      </c>
      <c r="V2833" s="15" t="str">
        <f t="shared" si="8"/>
        <v/>
      </c>
      <c r="W2833" s="15" t="str">
        <f t="shared" si="9"/>
        <v/>
      </c>
      <c r="X2833" s="15" t="str">
        <f t="shared" si="10"/>
        <v/>
      </c>
    </row>
    <row r="2834">
      <c r="A2834" s="9">
        <v>46195.0</v>
      </c>
      <c r="B2834" s="10"/>
      <c r="C2834" s="9" t="str">
        <f t="shared" si="249"/>
        <v/>
      </c>
      <c r="D2834" s="29" t="s">
        <v>177</v>
      </c>
      <c r="E2834" s="28" t="s">
        <v>1305</v>
      </c>
      <c r="F2834" s="29" t="s">
        <v>40</v>
      </c>
      <c r="G2834" s="28" t="s">
        <v>27</v>
      </c>
      <c r="H2834" s="53" t="s">
        <v>1350</v>
      </c>
      <c r="I2834" s="24">
        <v>158.5</v>
      </c>
      <c r="J2834" s="13"/>
      <c r="K2834" s="13" t="str">
        <f t="shared" si="276"/>
        <v/>
      </c>
      <c r="L2834" s="11" t="s">
        <v>53</v>
      </c>
      <c r="M2834" s="17">
        <v>45845.0</v>
      </c>
      <c r="N2834" s="11" t="s">
        <v>178</v>
      </c>
      <c r="O2834" s="10" t="str">
        <f t="shared" si="79"/>
        <v>06/2026</v>
      </c>
      <c r="P2834" s="10" t="str">
        <f t="shared" si="277"/>
        <v/>
      </c>
      <c r="Q2834" s="15" t="str">
        <f t="array" ref="Q2834">IFERROR(XLOOKUP(N2834,'Classificação'!A:A,'Classificação'!B:B),"")</f>
        <v>DESPESAS COM OCUPAÇÃO</v>
      </c>
      <c r="R2834" s="15" t="str">
        <f t="array" ref="R2834">IFERROR(XLOOKUP(Q2834,'Classificação'!B:B,'Classificação'!C:C),"")</f>
        <v>DESPESAS FIXAS (-)</v>
      </c>
      <c r="S2834" s="15">
        <f t="shared" si="228"/>
        <v>22</v>
      </c>
      <c r="T2834" s="15">
        <f t="shared" si="128"/>
        <v>6</v>
      </c>
      <c r="U2834" s="15">
        <f t="shared" si="129"/>
        <v>2026</v>
      </c>
      <c r="V2834" s="15" t="str">
        <f t="shared" si="8"/>
        <v/>
      </c>
      <c r="W2834" s="15" t="str">
        <f t="shared" si="9"/>
        <v/>
      </c>
      <c r="X2834" s="15" t="str">
        <f t="shared" si="10"/>
        <v/>
      </c>
    </row>
    <row r="2835">
      <c r="A2835" s="9">
        <v>46197.0</v>
      </c>
      <c r="B2835" s="10"/>
      <c r="C2835" s="9" t="str">
        <f t="shared" si="249"/>
        <v/>
      </c>
      <c r="D2835" s="28" t="s">
        <v>39</v>
      </c>
      <c r="E2835" s="28" t="s">
        <v>1305</v>
      </c>
      <c r="F2835" s="28" t="s">
        <v>40</v>
      </c>
      <c r="G2835" s="28" t="s">
        <v>27</v>
      </c>
      <c r="H2835" s="28" t="s">
        <v>640</v>
      </c>
      <c r="I2835" s="24">
        <v>148.07</v>
      </c>
      <c r="J2835" s="34"/>
      <c r="K2835" s="37" t="str">
        <f t="shared" ref="K2835:K2836" si="278">IF(E2835="pago",(I2835-J2835),"")</f>
        <v/>
      </c>
      <c r="L2835" s="28" t="s">
        <v>53</v>
      </c>
      <c r="M2835" s="40">
        <v>45934.0</v>
      </c>
      <c r="N2835" s="28" t="s">
        <v>355</v>
      </c>
      <c r="O2835" s="10" t="str">
        <f t="shared" si="79"/>
        <v>06/2026</v>
      </c>
      <c r="P2835" s="10" t="str">
        <f t="shared" si="277"/>
        <v/>
      </c>
      <c r="Q2835" s="15" t="str">
        <f t="array" ref="Q2835">IFERROR(XLOOKUP(N2835,'Classificação'!A:A,'Classificação'!B:B),"")</f>
        <v>IMPOSTOS E TAXAS DIVERSAS</v>
      </c>
      <c r="R2835" s="15" t="str">
        <f t="array" ref="R2835">IFERROR(XLOOKUP(Q2835,'Classificação'!B:B,'Classificação'!C:C),"")</f>
        <v>DESPESAS FIXAS (-)</v>
      </c>
      <c r="S2835" s="15">
        <f t="shared" si="228"/>
        <v>24</v>
      </c>
      <c r="T2835" s="15">
        <f t="shared" si="128"/>
        <v>6</v>
      </c>
      <c r="U2835" s="15">
        <f t="shared" si="129"/>
        <v>2026</v>
      </c>
      <c r="V2835" s="15" t="str">
        <f t="shared" si="8"/>
        <v/>
      </c>
      <c r="W2835" s="15" t="str">
        <f t="shared" si="9"/>
        <v/>
      </c>
      <c r="X2835" s="15" t="str">
        <f t="shared" si="10"/>
        <v/>
      </c>
    </row>
    <row r="2836">
      <c r="A2836" s="26">
        <v>46198.0</v>
      </c>
      <c r="B2836" s="28"/>
      <c r="C2836" s="27" t="str">
        <f t="shared" si="249"/>
        <v/>
      </c>
      <c r="D2836" s="28" t="s">
        <v>208</v>
      </c>
      <c r="E2836" s="28" t="s">
        <v>1305</v>
      </c>
      <c r="F2836" s="28" t="s">
        <v>40</v>
      </c>
      <c r="G2836" s="28" t="s">
        <v>27</v>
      </c>
      <c r="H2836" s="28" t="s">
        <v>209</v>
      </c>
      <c r="I2836" s="37">
        <v>204.96</v>
      </c>
      <c r="J2836" s="34"/>
      <c r="K2836" s="34" t="str">
        <f t="shared" si="278"/>
        <v/>
      </c>
      <c r="L2836" s="28" t="s">
        <v>29</v>
      </c>
      <c r="M2836" s="28"/>
      <c r="N2836" s="28" t="s">
        <v>210</v>
      </c>
      <c r="O2836" s="10" t="str">
        <f t="shared" si="79"/>
        <v>06/2026</v>
      </c>
      <c r="P2836" s="10" t="str">
        <f>if(B2836="","", TEXT(B2836,"mm/yyyy"))</f>
        <v/>
      </c>
      <c r="Q2836" s="15" t="str">
        <f t="array" ref="Q2836">IFERROR(XLOOKUP(N2836,'Classificação'!A:A,'Classificação'!B:B),"")</f>
        <v>DESPESAS COM OCUPAÇÃO</v>
      </c>
      <c r="R2836" s="15" t="str">
        <f t="array" ref="R2836">IFERROR(XLOOKUP(Q2836,'Classificação'!B:B,'Classificação'!C:C),"")</f>
        <v>DESPESAS FIXAS (-)</v>
      </c>
      <c r="S2836" s="15">
        <f t="shared" si="228"/>
        <v>25</v>
      </c>
      <c r="T2836" s="15">
        <f t="shared" si="128"/>
        <v>6</v>
      </c>
      <c r="U2836" s="15">
        <f t="shared" si="129"/>
        <v>2026</v>
      </c>
      <c r="V2836" s="15" t="str">
        <f t="shared" si="8"/>
        <v/>
      </c>
      <c r="W2836" s="15" t="str">
        <f t="shared" si="9"/>
        <v/>
      </c>
      <c r="X2836" s="15" t="str">
        <f t="shared" si="10"/>
        <v/>
      </c>
    </row>
    <row r="2837">
      <c r="A2837" s="9">
        <v>46198.0</v>
      </c>
      <c r="B2837" s="32">
        <v>46011.0</v>
      </c>
      <c r="C2837" s="9" t="str">
        <f t="shared" si="249"/>
        <v/>
      </c>
      <c r="D2837" s="11" t="s">
        <v>1207</v>
      </c>
      <c r="E2837" s="28" t="s">
        <v>1305</v>
      </c>
      <c r="F2837" s="11" t="s">
        <v>107</v>
      </c>
      <c r="G2837" s="28" t="s">
        <v>27</v>
      </c>
      <c r="H2837" s="11" t="s">
        <v>1204</v>
      </c>
      <c r="I2837" s="31">
        <v>70.13</v>
      </c>
      <c r="J2837" s="13"/>
      <c r="K2837" s="13" t="str">
        <f t="shared" ref="K2837:K2838" si="279">if(E2837="pago",(I2837-J2837),"")</f>
        <v/>
      </c>
      <c r="L2837" s="11" t="s">
        <v>53</v>
      </c>
      <c r="M2837" s="17">
        <v>45814.0</v>
      </c>
      <c r="N2837" s="11" t="s">
        <v>116</v>
      </c>
      <c r="O2837" s="10" t="str">
        <f t="shared" si="79"/>
        <v>06/2026</v>
      </c>
      <c r="P2837" s="10" t="str">
        <f t="shared" ref="P2837:P2840" si="280">if(C2837="","", TEXT(C2837,"mm/yyyy"))</f>
        <v/>
      </c>
      <c r="Q2837" s="15" t="str">
        <f t="array" ref="Q2837">IFERROR(XLOOKUP(N2837,'Classificação'!A:A,'Classificação'!B:B),"")</f>
        <v>DESPESAS COM OCUPAÇÃO</v>
      </c>
      <c r="R2837" s="15" t="str">
        <f t="array" ref="R2837">IFERROR(XLOOKUP(Q2837,'Classificação'!B:B,'Classificação'!C:C),"")</f>
        <v>DESPESAS FIXAS (-)</v>
      </c>
      <c r="S2837" s="15">
        <f t="shared" si="228"/>
        <v>25</v>
      </c>
      <c r="T2837" s="15">
        <f t="shared" si="128"/>
        <v>6</v>
      </c>
      <c r="U2837" s="15">
        <f t="shared" si="129"/>
        <v>2026</v>
      </c>
      <c r="V2837" s="15" t="str">
        <f t="shared" si="8"/>
        <v/>
      </c>
      <c r="W2837" s="15" t="str">
        <f t="shared" si="9"/>
        <v/>
      </c>
      <c r="X2837" s="15" t="str">
        <f t="shared" si="10"/>
        <v/>
      </c>
    </row>
    <row r="2838">
      <c r="A2838" s="9">
        <v>46198.0</v>
      </c>
      <c r="B2838" s="32">
        <v>46021.0</v>
      </c>
      <c r="C2838" s="9" t="str">
        <f t="shared" si="249"/>
        <v/>
      </c>
      <c r="D2838" s="11" t="s">
        <v>691</v>
      </c>
      <c r="E2838" s="28" t="s">
        <v>1305</v>
      </c>
      <c r="F2838" s="11" t="s">
        <v>107</v>
      </c>
      <c r="G2838" s="28" t="s">
        <v>27</v>
      </c>
      <c r="H2838" s="11" t="s">
        <v>1209</v>
      </c>
      <c r="I2838" s="31">
        <v>1313.49</v>
      </c>
      <c r="J2838" s="13"/>
      <c r="K2838" s="13" t="str">
        <f t="shared" si="279"/>
        <v/>
      </c>
      <c r="L2838" s="11" t="s">
        <v>53</v>
      </c>
      <c r="M2838" s="17">
        <v>45814.0</v>
      </c>
      <c r="N2838" s="11" t="s">
        <v>61</v>
      </c>
      <c r="O2838" s="10" t="str">
        <f t="shared" si="79"/>
        <v>06/2026</v>
      </c>
      <c r="P2838" s="10" t="str">
        <f t="shared" si="280"/>
        <v/>
      </c>
      <c r="Q2838" s="15" t="str">
        <f t="array" ref="Q2838">IFERROR(XLOOKUP(N2838,'Classificação'!A:A,'Classificação'!B:B),"")</f>
        <v>DESPESAS ADMINISTRATIVAS</v>
      </c>
      <c r="R2838" s="15" t="str">
        <f t="array" ref="R2838">IFERROR(XLOOKUP(Q2838,'Classificação'!B:B,'Classificação'!C:C),"")</f>
        <v>DESPESAS FIXAS (-)</v>
      </c>
      <c r="S2838" s="15">
        <f t="shared" si="228"/>
        <v>25</v>
      </c>
      <c r="T2838" s="15">
        <f t="shared" si="128"/>
        <v>6</v>
      </c>
      <c r="U2838" s="15">
        <f t="shared" si="129"/>
        <v>2026</v>
      </c>
      <c r="V2838" s="15" t="str">
        <f t="shared" si="8"/>
        <v/>
      </c>
      <c r="W2838" s="15" t="str">
        <f t="shared" si="9"/>
        <v/>
      </c>
      <c r="X2838" s="15" t="str">
        <f t="shared" si="10"/>
        <v/>
      </c>
    </row>
    <row r="2839">
      <c r="A2839" s="26">
        <v>46198.0</v>
      </c>
      <c r="B2839" s="28"/>
      <c r="C2839" s="27" t="str">
        <f t="shared" si="249"/>
        <v/>
      </c>
      <c r="D2839" s="28" t="s">
        <v>828</v>
      </c>
      <c r="E2839" s="29" t="s">
        <v>1305</v>
      </c>
      <c r="F2839" s="28" t="s">
        <v>26</v>
      </c>
      <c r="G2839" s="28" t="s">
        <v>37</v>
      </c>
      <c r="H2839" s="28" t="s">
        <v>1220</v>
      </c>
      <c r="I2839" s="33">
        <v>107.81</v>
      </c>
      <c r="J2839" s="34"/>
      <c r="K2839" s="37" t="str">
        <f>IF(E2839="pago",(I2839-J2839),"")</f>
        <v/>
      </c>
      <c r="L2839" s="28" t="s">
        <v>34</v>
      </c>
      <c r="M2839" s="28"/>
      <c r="N2839" s="28" t="s">
        <v>105</v>
      </c>
      <c r="O2839" s="10" t="str">
        <f t="shared" si="79"/>
        <v>06/2026</v>
      </c>
      <c r="P2839" s="10" t="str">
        <f t="shared" si="280"/>
        <v/>
      </c>
      <c r="Q2839" s="15" t="str">
        <f t="array" ref="Q2839">IFERROR(XLOOKUP(N2839,'Classificação'!A:A,'Classificação'!B:B),"")</f>
        <v>DESPESAS ADMINISTRATIVAS</v>
      </c>
      <c r="R2839" s="15" t="str">
        <f t="array" ref="R2839">IFERROR(XLOOKUP(Q2839,'Classificação'!B:B,'Classificação'!C:C),"")</f>
        <v>DESPESAS FIXAS (-)</v>
      </c>
      <c r="S2839" s="15">
        <f t="shared" si="228"/>
        <v>25</v>
      </c>
      <c r="T2839" s="15">
        <f t="shared" si="128"/>
        <v>6</v>
      </c>
      <c r="U2839" s="15">
        <f t="shared" si="129"/>
        <v>2026</v>
      </c>
      <c r="V2839" s="15" t="str">
        <f t="shared" si="8"/>
        <v/>
      </c>
      <c r="W2839" s="15" t="str">
        <f t="shared" si="9"/>
        <v/>
      </c>
      <c r="X2839" s="15" t="str">
        <f t="shared" si="10"/>
        <v/>
      </c>
    </row>
    <row r="2840">
      <c r="A2840" s="9">
        <v>46199.0</v>
      </c>
      <c r="B2840" s="10"/>
      <c r="C2840" s="9" t="str">
        <f t="shared" si="249"/>
        <v/>
      </c>
      <c r="D2840" s="28" t="s">
        <v>44</v>
      </c>
      <c r="E2840" s="28" t="s">
        <v>1305</v>
      </c>
      <c r="F2840" s="28" t="s">
        <v>45</v>
      </c>
      <c r="G2840" s="28" t="s">
        <v>27</v>
      </c>
      <c r="H2840" s="29" t="s">
        <v>1329</v>
      </c>
      <c r="I2840" s="37">
        <v>2506.262325</v>
      </c>
      <c r="J2840" s="34"/>
      <c r="K2840" s="37"/>
      <c r="L2840" s="28" t="s">
        <v>53</v>
      </c>
      <c r="M2840" s="16" t="s">
        <v>1351</v>
      </c>
      <c r="N2840" s="28" t="s">
        <v>73</v>
      </c>
      <c r="O2840" s="10" t="str">
        <f t="shared" si="79"/>
        <v>06/2026</v>
      </c>
      <c r="P2840" s="10" t="str">
        <f t="shared" si="280"/>
        <v/>
      </c>
      <c r="Q2840" s="15" t="str">
        <f t="array" ref="Q2840">IFERROR(XLOOKUP(N2840,'Classificação'!A:A,'Classificação'!B:B),"")</f>
        <v>DESPESAS NÃO OPERACIONAIS</v>
      </c>
      <c r="R2840" s="15" t="str">
        <f t="array" ref="R2840">IFERROR(XLOOKUP(Q2840,'Classificação'!B:B,'Classificação'!C:C),"")</f>
        <v>RESULTADO NÃO OPERACIONAL (+/-)</v>
      </c>
      <c r="S2840" s="15">
        <f t="shared" si="228"/>
        <v>26</v>
      </c>
      <c r="T2840" s="15">
        <f t="shared" si="128"/>
        <v>6</v>
      </c>
      <c r="U2840" s="15">
        <f t="shared" si="129"/>
        <v>2026</v>
      </c>
      <c r="V2840" s="15" t="str">
        <f t="shared" si="8"/>
        <v/>
      </c>
      <c r="W2840" s="15" t="str">
        <f t="shared" si="9"/>
        <v/>
      </c>
      <c r="X2840" s="15" t="str">
        <f t="shared" si="10"/>
        <v/>
      </c>
    </row>
    <row r="2841">
      <c r="A2841" s="26">
        <v>46203.0</v>
      </c>
      <c r="B2841" s="28"/>
      <c r="C2841" s="27" t="str">
        <f t="shared" si="249"/>
        <v/>
      </c>
      <c r="D2841" s="28" t="s">
        <v>221</v>
      </c>
      <c r="E2841" s="28" t="s">
        <v>1305</v>
      </c>
      <c r="F2841" s="28" t="s">
        <v>32</v>
      </c>
      <c r="G2841" s="28" t="s">
        <v>27</v>
      </c>
      <c r="H2841" s="28" t="s">
        <v>222</v>
      </c>
      <c r="I2841" s="24">
        <v>406.0</v>
      </c>
      <c r="J2841" s="34"/>
      <c r="K2841" s="34" t="str">
        <f t="shared" ref="K2841:K2846" si="281">IF(E2841="pago",(I2841-J2841),"")</f>
        <v/>
      </c>
      <c r="L2841" s="28" t="s">
        <v>29</v>
      </c>
      <c r="M2841" s="14"/>
      <c r="N2841" s="11" t="s">
        <v>61</v>
      </c>
      <c r="O2841" s="10" t="str">
        <f t="shared" si="79"/>
        <v>06/2026</v>
      </c>
      <c r="P2841" s="10" t="str">
        <f>if(B2841="","", TEXT(B2841,"mm/yyyy"))</f>
        <v/>
      </c>
      <c r="Q2841" s="15" t="str">
        <f t="array" ref="Q2841">IFERROR(XLOOKUP(N2841,'Classificação'!A:A,'Classificação'!B:B),"")</f>
        <v>DESPESAS ADMINISTRATIVAS</v>
      </c>
      <c r="R2841" s="15" t="str">
        <f t="array" ref="R2841">IFERROR(XLOOKUP(Q2841,'Classificação'!B:B,'Classificação'!C:C),"")</f>
        <v>DESPESAS FIXAS (-)</v>
      </c>
      <c r="S2841" s="15">
        <f t="shared" si="228"/>
        <v>30</v>
      </c>
      <c r="T2841" s="15">
        <f t="shared" si="128"/>
        <v>6</v>
      </c>
      <c r="U2841" s="15">
        <f t="shared" si="129"/>
        <v>2026</v>
      </c>
      <c r="V2841" s="15" t="str">
        <f t="shared" si="8"/>
        <v/>
      </c>
      <c r="W2841" s="15" t="str">
        <f t="shared" si="9"/>
        <v/>
      </c>
      <c r="X2841" s="15" t="str">
        <f t="shared" si="10"/>
        <v/>
      </c>
    </row>
    <row r="2842">
      <c r="A2842" s="26">
        <v>46203.0</v>
      </c>
      <c r="B2842" s="30"/>
      <c r="C2842" s="27" t="str">
        <f t="shared" si="249"/>
        <v/>
      </c>
      <c r="D2842" s="28" t="s">
        <v>80</v>
      </c>
      <c r="E2842" s="28" t="s">
        <v>1305</v>
      </c>
      <c r="F2842" s="28" t="s">
        <v>32</v>
      </c>
      <c r="G2842" s="28" t="s">
        <v>27</v>
      </c>
      <c r="H2842" s="29" t="s">
        <v>1150</v>
      </c>
      <c r="I2842" s="37">
        <v>1040.0</v>
      </c>
      <c r="J2842" s="34"/>
      <c r="K2842" s="34" t="str">
        <f t="shared" si="281"/>
        <v/>
      </c>
      <c r="L2842" s="28" t="s">
        <v>29</v>
      </c>
      <c r="M2842" s="28"/>
      <c r="N2842" s="28" t="s">
        <v>38</v>
      </c>
      <c r="O2842" s="10" t="str">
        <f t="shared" si="79"/>
        <v>06/2026</v>
      </c>
      <c r="P2842" s="10" t="str">
        <f t="shared" ref="P2842:P2843" si="282">if(C2842="","", TEXT(C2842,"mm/yyyy"))</f>
        <v/>
      </c>
      <c r="Q2842" s="15" t="str">
        <f t="array" ref="Q2842">IFERROR(XLOOKUP(N2842,'Classificação'!A:A,'Classificação'!B:B),"")</f>
        <v>DESPESAS COM PESSOAL</v>
      </c>
      <c r="R2842" s="15" t="str">
        <f t="array" ref="R2842">IFERROR(XLOOKUP(Q2842,'Classificação'!B:B,'Classificação'!C:C),"")</f>
        <v>DESPESAS FIXAS (-)</v>
      </c>
      <c r="S2842" s="15">
        <f t="shared" si="228"/>
        <v>30</v>
      </c>
      <c r="T2842" s="15">
        <f t="shared" si="128"/>
        <v>6</v>
      </c>
      <c r="U2842" s="15">
        <f t="shared" si="129"/>
        <v>2026</v>
      </c>
      <c r="V2842" s="15" t="str">
        <f t="shared" si="8"/>
        <v/>
      </c>
      <c r="W2842" s="15" t="str">
        <f t="shared" si="9"/>
        <v/>
      </c>
      <c r="X2842" s="15" t="str">
        <f t="shared" si="10"/>
        <v/>
      </c>
    </row>
    <row r="2843">
      <c r="A2843" s="26">
        <v>46203.0</v>
      </c>
      <c r="B2843" s="30"/>
      <c r="C2843" s="27" t="str">
        <f t="shared" si="249"/>
        <v/>
      </c>
      <c r="D2843" s="28" t="s">
        <v>80</v>
      </c>
      <c r="E2843" s="28" t="s">
        <v>1305</v>
      </c>
      <c r="F2843" s="28" t="s">
        <v>40</v>
      </c>
      <c r="G2843" s="28" t="s">
        <v>27</v>
      </c>
      <c r="H2843" s="29" t="s">
        <v>1100</v>
      </c>
      <c r="I2843" s="37">
        <v>550.0</v>
      </c>
      <c r="J2843" s="34"/>
      <c r="K2843" s="34" t="str">
        <f t="shared" si="281"/>
        <v/>
      </c>
      <c r="L2843" s="28" t="s">
        <v>29</v>
      </c>
      <c r="M2843" s="28"/>
      <c r="N2843" s="28" t="s">
        <v>204</v>
      </c>
      <c r="O2843" s="10" t="str">
        <f t="shared" si="79"/>
        <v>06/2026</v>
      </c>
      <c r="P2843" s="10" t="str">
        <f t="shared" si="282"/>
        <v/>
      </c>
      <c r="Q2843" s="15" t="str">
        <f t="array" ref="Q2843">IFERROR(XLOOKUP(N2843,'Classificação'!A:A,'Classificação'!B:B),"")</f>
        <v>DESPESAS COM PESSOAL</v>
      </c>
      <c r="R2843" s="15" t="str">
        <f t="array" ref="R2843">IFERROR(XLOOKUP(Q2843,'Classificação'!B:B,'Classificação'!C:C),"")</f>
        <v>DESPESAS FIXAS (-)</v>
      </c>
      <c r="S2843" s="15">
        <f t="shared" si="228"/>
        <v>30</v>
      </c>
      <c r="T2843" s="15">
        <f t="shared" si="128"/>
        <v>6</v>
      </c>
      <c r="U2843" s="15">
        <f t="shared" si="129"/>
        <v>2026</v>
      </c>
      <c r="V2843" s="15" t="str">
        <f t="shared" si="8"/>
        <v/>
      </c>
      <c r="W2843" s="15" t="str">
        <f t="shared" si="9"/>
        <v/>
      </c>
      <c r="X2843" s="15" t="str">
        <f t="shared" si="10"/>
        <v/>
      </c>
    </row>
    <row r="2844">
      <c r="A2844" s="26">
        <v>46203.0</v>
      </c>
      <c r="B2844" s="28"/>
      <c r="C2844" s="27" t="str">
        <f t="shared" si="249"/>
        <v/>
      </c>
      <c r="D2844" s="28" t="s">
        <v>223</v>
      </c>
      <c r="E2844" s="28" t="s">
        <v>1305</v>
      </c>
      <c r="F2844" s="28" t="s">
        <v>32</v>
      </c>
      <c r="G2844" s="28" t="s">
        <v>27</v>
      </c>
      <c r="H2844" s="29" t="s">
        <v>1231</v>
      </c>
      <c r="I2844" s="37">
        <v>100.0</v>
      </c>
      <c r="J2844" s="34"/>
      <c r="K2844" s="34" t="str">
        <f t="shared" si="281"/>
        <v/>
      </c>
      <c r="L2844" s="28" t="s">
        <v>29</v>
      </c>
      <c r="M2844" s="28"/>
      <c r="N2844" s="28" t="s">
        <v>224</v>
      </c>
      <c r="O2844" s="10" t="str">
        <f t="shared" si="79"/>
        <v>06/2026</v>
      </c>
      <c r="P2844" s="10" t="str">
        <f>if(B2844="","", TEXT(B2844,"mm/yyyy"))</f>
        <v/>
      </c>
      <c r="Q2844" s="15" t="str">
        <f t="array" ref="Q2844">IFERROR(XLOOKUP(N2844,'Classificação'!A:A,'Classificação'!B:B),"")</f>
        <v>DESPESAS ADMINISTRATIVAS</v>
      </c>
      <c r="R2844" s="15" t="str">
        <f t="array" ref="R2844">IFERROR(XLOOKUP(Q2844,'Classificação'!B:B,'Classificação'!C:C),"")</f>
        <v>DESPESAS FIXAS (-)</v>
      </c>
      <c r="S2844" s="15">
        <f t="shared" si="228"/>
        <v>30</v>
      </c>
      <c r="T2844" s="15">
        <f t="shared" si="128"/>
        <v>6</v>
      </c>
      <c r="U2844" s="15">
        <f t="shared" si="129"/>
        <v>2026</v>
      </c>
      <c r="V2844" s="15" t="str">
        <f t="shared" si="8"/>
        <v/>
      </c>
      <c r="W2844" s="15" t="str">
        <f t="shared" si="9"/>
        <v/>
      </c>
      <c r="X2844" s="15" t="str">
        <f t="shared" si="10"/>
        <v/>
      </c>
    </row>
    <row r="2845">
      <c r="A2845" s="26">
        <v>46203.0</v>
      </c>
      <c r="B2845" s="28"/>
      <c r="C2845" s="27" t="str">
        <f t="shared" si="249"/>
        <v/>
      </c>
      <c r="D2845" s="29" t="s">
        <v>1094</v>
      </c>
      <c r="E2845" s="28" t="s">
        <v>1305</v>
      </c>
      <c r="F2845" s="29" t="s">
        <v>26</v>
      </c>
      <c r="G2845" s="29" t="s">
        <v>37</v>
      </c>
      <c r="H2845" s="29" t="s">
        <v>1312</v>
      </c>
      <c r="I2845" s="24">
        <v>2380.0</v>
      </c>
      <c r="J2845" s="34"/>
      <c r="K2845" s="34" t="str">
        <f t="shared" si="281"/>
        <v/>
      </c>
      <c r="L2845" s="28" t="s">
        <v>29</v>
      </c>
      <c r="M2845" s="28"/>
      <c r="N2845" s="28" t="s">
        <v>38</v>
      </c>
      <c r="O2845" s="10" t="str">
        <f t="shared" si="79"/>
        <v>06/2026</v>
      </c>
      <c r="P2845" s="10" t="str">
        <f t="shared" ref="P2845:P2851" si="283">if(C2845="","", TEXT(C2845,"mm/yyyy"))</f>
        <v/>
      </c>
      <c r="Q2845" s="15" t="str">
        <f t="array" ref="Q2845">IFERROR(XLOOKUP(N2845,'Classificação'!A:A,'Classificação'!B:B),"")</f>
        <v>DESPESAS COM PESSOAL</v>
      </c>
      <c r="R2845" s="15" t="str">
        <f t="array" ref="R2845">IFERROR(XLOOKUP(Q2845,'Classificação'!B:B,'Classificação'!C:C),"")</f>
        <v>DESPESAS FIXAS (-)</v>
      </c>
      <c r="S2845" s="15">
        <f t="shared" si="228"/>
        <v>30</v>
      </c>
      <c r="T2845" s="15">
        <f t="shared" si="128"/>
        <v>6</v>
      </c>
      <c r="U2845" s="15">
        <f t="shared" si="129"/>
        <v>2026</v>
      </c>
      <c r="V2845" s="15" t="str">
        <f t="shared" si="8"/>
        <v/>
      </c>
      <c r="W2845" s="15" t="str">
        <f t="shared" si="9"/>
        <v/>
      </c>
      <c r="X2845" s="15" t="str">
        <f t="shared" si="10"/>
        <v/>
      </c>
    </row>
    <row r="2846">
      <c r="A2846" s="26">
        <v>46203.0</v>
      </c>
      <c r="B2846" s="28"/>
      <c r="C2846" s="27" t="str">
        <f t="shared" si="249"/>
        <v/>
      </c>
      <c r="D2846" s="29" t="s">
        <v>1094</v>
      </c>
      <c r="E2846" s="28" t="s">
        <v>1305</v>
      </c>
      <c r="F2846" s="28" t="s">
        <v>40</v>
      </c>
      <c r="G2846" s="29" t="s">
        <v>37</v>
      </c>
      <c r="H2846" s="28" t="s">
        <v>1100</v>
      </c>
      <c r="I2846" s="37">
        <v>550.0</v>
      </c>
      <c r="J2846" s="34"/>
      <c r="K2846" s="34" t="str">
        <f t="shared" si="281"/>
        <v/>
      </c>
      <c r="L2846" s="28" t="s">
        <v>29</v>
      </c>
      <c r="M2846" s="28"/>
      <c r="N2846" s="28" t="s">
        <v>204</v>
      </c>
      <c r="O2846" s="10" t="str">
        <f t="shared" si="79"/>
        <v>06/2026</v>
      </c>
      <c r="P2846" s="10" t="str">
        <f t="shared" si="283"/>
        <v/>
      </c>
      <c r="Q2846" s="15" t="str">
        <f t="array" ref="Q2846">IFERROR(XLOOKUP(N2846,'Classificação'!A:A,'Classificação'!B:B),"")</f>
        <v>DESPESAS COM PESSOAL</v>
      </c>
      <c r="R2846" s="15" t="str">
        <f t="array" ref="R2846">IFERROR(XLOOKUP(Q2846,'Classificação'!B:B,'Classificação'!C:C),"")</f>
        <v>DESPESAS FIXAS (-)</v>
      </c>
      <c r="S2846" s="15">
        <f t="shared" si="228"/>
        <v>30</v>
      </c>
      <c r="T2846" s="15">
        <f t="shared" si="128"/>
        <v>6</v>
      </c>
      <c r="U2846" s="15">
        <f t="shared" si="129"/>
        <v>2026</v>
      </c>
      <c r="V2846" s="15" t="str">
        <f t="shared" si="8"/>
        <v/>
      </c>
      <c r="W2846" s="15" t="str">
        <f t="shared" si="9"/>
        <v/>
      </c>
      <c r="X2846" s="15" t="str">
        <f t="shared" si="10"/>
        <v/>
      </c>
    </row>
    <row r="2847">
      <c r="A2847" s="9">
        <v>46203.0</v>
      </c>
      <c r="B2847" s="10"/>
      <c r="C2847" s="9" t="str">
        <f t="shared" si="249"/>
        <v/>
      </c>
      <c r="D2847" s="11" t="s">
        <v>1229</v>
      </c>
      <c r="E2847" s="28" t="s">
        <v>1305</v>
      </c>
      <c r="F2847" s="11" t="s">
        <v>26</v>
      </c>
      <c r="G2847" s="11" t="s">
        <v>37</v>
      </c>
      <c r="H2847" s="11" t="s">
        <v>1230</v>
      </c>
      <c r="I2847" s="31">
        <v>1260.0</v>
      </c>
      <c r="J2847" s="13"/>
      <c r="K2847" s="13" t="str">
        <f t="shared" ref="K2847:K2848" si="284">if(E2847="pago",(I2847-J2847),"")</f>
        <v/>
      </c>
      <c r="L2847" s="11" t="s">
        <v>29</v>
      </c>
      <c r="M2847" s="14"/>
      <c r="N2847" s="11" t="s">
        <v>58</v>
      </c>
      <c r="O2847" s="10" t="str">
        <f t="shared" si="79"/>
        <v>06/2026</v>
      </c>
      <c r="P2847" s="10" t="str">
        <f t="shared" si="283"/>
        <v/>
      </c>
      <c r="Q2847" s="15" t="str">
        <f t="array" ref="Q2847">IFERROR(XLOOKUP(N2847,'Classificação'!A:A,'Classificação'!B:B),"")</f>
        <v>DESPESAS ADMINISTRATIVAS</v>
      </c>
      <c r="R2847" s="15" t="str">
        <f t="array" ref="R2847">IFERROR(XLOOKUP(Q2847,'Classificação'!B:B,'Classificação'!C:C),"")</f>
        <v>DESPESAS FIXAS (-)</v>
      </c>
      <c r="S2847" s="15">
        <f t="shared" si="228"/>
        <v>30</v>
      </c>
      <c r="T2847" s="15">
        <f t="shared" si="128"/>
        <v>6</v>
      </c>
      <c r="U2847" s="15">
        <f t="shared" si="129"/>
        <v>2026</v>
      </c>
      <c r="V2847" s="15" t="str">
        <f t="shared" si="8"/>
        <v/>
      </c>
      <c r="W2847" s="15" t="str">
        <f t="shared" si="9"/>
        <v/>
      </c>
      <c r="X2847" s="15" t="str">
        <f t="shared" si="10"/>
        <v/>
      </c>
    </row>
    <row r="2848">
      <c r="A2848" s="26">
        <v>46204.0</v>
      </c>
      <c r="B2848" s="10"/>
      <c r="C2848" s="9" t="str">
        <f t="shared" si="249"/>
        <v/>
      </c>
      <c r="D2848" s="28" t="s">
        <v>322</v>
      </c>
      <c r="E2848" s="28" t="s">
        <v>1305</v>
      </c>
      <c r="F2848" s="15" t="s">
        <v>40</v>
      </c>
      <c r="G2848" s="28" t="s">
        <v>37</v>
      </c>
      <c r="H2848" s="29" t="s">
        <v>778</v>
      </c>
      <c r="I2848" s="37">
        <v>46.2</v>
      </c>
      <c r="J2848" s="13"/>
      <c r="K2848" s="13" t="str">
        <f t="shared" si="284"/>
        <v/>
      </c>
      <c r="L2848" s="15" t="s">
        <v>29</v>
      </c>
      <c r="M2848" s="14"/>
      <c r="N2848" s="28" t="s">
        <v>105</v>
      </c>
      <c r="O2848" s="10" t="str">
        <f t="shared" si="79"/>
        <v>07/2026</v>
      </c>
      <c r="P2848" s="10" t="str">
        <f t="shared" si="283"/>
        <v/>
      </c>
      <c r="Q2848" s="15" t="str">
        <f t="array" ref="Q2848">IFERROR(XLOOKUP(N2848,'Classificação'!A:A,'Classificação'!B:B),"")</f>
        <v>DESPESAS ADMINISTRATIVAS</v>
      </c>
      <c r="R2848" s="15" t="str">
        <f t="array" ref="R2848">IFERROR(XLOOKUP(Q2848,'Classificação'!B:B,'Classificação'!C:C),"")</f>
        <v>DESPESAS FIXAS (-)</v>
      </c>
      <c r="S2848" s="15">
        <f t="shared" si="228"/>
        <v>1</v>
      </c>
      <c r="T2848" s="15">
        <f t="shared" si="128"/>
        <v>7</v>
      </c>
      <c r="U2848" s="15">
        <f t="shared" si="129"/>
        <v>2026</v>
      </c>
      <c r="V2848" s="15" t="str">
        <f t="shared" si="8"/>
        <v/>
      </c>
      <c r="W2848" s="15" t="str">
        <f t="shared" si="9"/>
        <v/>
      </c>
      <c r="X2848" s="15" t="str">
        <f t="shared" si="10"/>
        <v/>
      </c>
    </row>
    <row r="2849">
      <c r="A2849" s="9">
        <v>46204.0</v>
      </c>
      <c r="B2849" s="10"/>
      <c r="C2849" s="9" t="str">
        <f t="shared" si="249"/>
        <v/>
      </c>
      <c r="D2849" s="28" t="s">
        <v>24</v>
      </c>
      <c r="E2849" s="28" t="s">
        <v>1305</v>
      </c>
      <c r="F2849" s="28" t="s">
        <v>26</v>
      </c>
      <c r="G2849" s="28" t="s">
        <v>27</v>
      </c>
      <c r="H2849" s="28" t="s">
        <v>28</v>
      </c>
      <c r="I2849" s="24">
        <v>6656.0</v>
      </c>
      <c r="J2849" s="34"/>
      <c r="K2849" s="34" t="str">
        <f>IF(E2849="pago",(I2849-J2849),"")</f>
        <v/>
      </c>
      <c r="L2849" s="28" t="s">
        <v>29</v>
      </c>
      <c r="M2849" s="28"/>
      <c r="N2849" s="28" t="s">
        <v>30</v>
      </c>
      <c r="O2849" s="10" t="str">
        <f t="shared" si="79"/>
        <v>07/2026</v>
      </c>
      <c r="P2849" s="10" t="str">
        <f t="shared" si="283"/>
        <v/>
      </c>
      <c r="Q2849" s="15" t="str">
        <f t="array" ref="Q2849">IFERROR(XLOOKUP(N2849,'Classificação'!A:A,'Classificação'!B:B),"")</f>
        <v>DESPESAS COM OCUPAÇÃO</v>
      </c>
      <c r="R2849" s="15" t="str">
        <f t="array" ref="R2849">IFERROR(XLOOKUP(Q2849,'Classificação'!B:B,'Classificação'!C:C),"")</f>
        <v>DESPESAS FIXAS (-)</v>
      </c>
      <c r="S2849" s="15">
        <f t="shared" si="228"/>
        <v>1</v>
      </c>
      <c r="T2849" s="15">
        <f t="shared" si="128"/>
        <v>7</v>
      </c>
      <c r="U2849" s="15">
        <f t="shared" si="129"/>
        <v>2026</v>
      </c>
      <c r="V2849" s="15" t="str">
        <f t="shared" si="8"/>
        <v/>
      </c>
      <c r="W2849" s="15" t="str">
        <f t="shared" si="9"/>
        <v/>
      </c>
      <c r="X2849" s="15" t="str">
        <f t="shared" si="10"/>
        <v/>
      </c>
    </row>
    <row r="2850">
      <c r="A2850" s="9">
        <v>46204.0</v>
      </c>
      <c r="B2850" s="10"/>
      <c r="C2850" s="9" t="str">
        <f t="shared" si="249"/>
        <v/>
      </c>
      <c r="D2850" s="28" t="s">
        <v>288</v>
      </c>
      <c r="E2850" s="28" t="s">
        <v>1305</v>
      </c>
      <c r="F2850" s="28" t="s">
        <v>26</v>
      </c>
      <c r="G2850" s="28" t="s">
        <v>27</v>
      </c>
      <c r="H2850" s="29" t="s">
        <v>1313</v>
      </c>
      <c r="I2850" s="24">
        <v>248.18</v>
      </c>
      <c r="J2850" s="34"/>
      <c r="K2850" s="13" t="str">
        <f t="shared" ref="K2850:K2851" si="285">if(E2850="pago",(I2850-J2850),"")</f>
        <v/>
      </c>
      <c r="L2850" s="28" t="s">
        <v>29</v>
      </c>
      <c r="M2850" s="28"/>
      <c r="N2850" s="28" t="s">
        <v>105</v>
      </c>
      <c r="O2850" s="10" t="str">
        <f t="shared" si="79"/>
        <v>07/2026</v>
      </c>
      <c r="P2850" s="10" t="str">
        <f t="shared" si="283"/>
        <v/>
      </c>
      <c r="Q2850" s="15" t="str">
        <f t="array" ref="Q2850">IFERROR(XLOOKUP(N2850,'Classificação'!A:A,'Classificação'!B:B),"")</f>
        <v>DESPESAS ADMINISTRATIVAS</v>
      </c>
      <c r="R2850" s="15" t="str">
        <f t="array" ref="R2850">IFERROR(XLOOKUP(Q2850,'Classificação'!B:B,'Classificação'!C:C),"")</f>
        <v>DESPESAS FIXAS (-)</v>
      </c>
      <c r="S2850" s="15">
        <f t="shared" si="228"/>
        <v>1</v>
      </c>
      <c r="T2850" s="15">
        <f t="shared" si="128"/>
        <v>7</v>
      </c>
      <c r="U2850" s="15">
        <f t="shared" si="129"/>
        <v>2026</v>
      </c>
      <c r="V2850" s="15" t="str">
        <f t="shared" si="8"/>
        <v/>
      </c>
      <c r="W2850" s="15" t="str">
        <f t="shared" si="9"/>
        <v/>
      </c>
      <c r="X2850" s="15" t="str">
        <f t="shared" si="10"/>
        <v/>
      </c>
    </row>
    <row r="2851">
      <c r="A2851" s="9">
        <v>46206.0</v>
      </c>
      <c r="B2851" s="10"/>
      <c r="C2851" s="9" t="str">
        <f t="shared" si="249"/>
        <v/>
      </c>
      <c r="D2851" s="11" t="s">
        <v>44</v>
      </c>
      <c r="E2851" s="11" t="s">
        <v>1305</v>
      </c>
      <c r="F2851" s="11" t="s">
        <v>45</v>
      </c>
      <c r="G2851" s="11" t="s">
        <v>27</v>
      </c>
      <c r="H2851" s="11" t="s">
        <v>651</v>
      </c>
      <c r="I2851" s="13">
        <v>2831.504775</v>
      </c>
      <c r="J2851" s="13"/>
      <c r="K2851" s="13" t="str">
        <f t="shared" si="285"/>
        <v/>
      </c>
      <c r="L2851" s="11" t="s">
        <v>53</v>
      </c>
      <c r="M2851" s="16" t="s">
        <v>1352</v>
      </c>
      <c r="N2851" s="11" t="s">
        <v>73</v>
      </c>
      <c r="O2851" s="10" t="str">
        <f t="shared" si="79"/>
        <v>07/2026</v>
      </c>
      <c r="P2851" s="10" t="str">
        <f t="shared" si="283"/>
        <v/>
      </c>
      <c r="Q2851" s="15" t="str">
        <f t="array" ref="Q2851">IFERROR(XLOOKUP(N2851,'Classificação'!A:A,'Classificação'!B:B),"")</f>
        <v>DESPESAS NÃO OPERACIONAIS</v>
      </c>
      <c r="R2851" s="15" t="str">
        <f t="array" ref="R2851">IFERROR(XLOOKUP(Q2851,'Classificação'!B:B,'Classificação'!C:C),"")</f>
        <v>RESULTADO NÃO OPERACIONAL (+/-)</v>
      </c>
      <c r="S2851" s="15">
        <f t="shared" si="228"/>
        <v>3</v>
      </c>
      <c r="T2851" s="15">
        <f t="shared" si="128"/>
        <v>7</v>
      </c>
      <c r="U2851" s="15">
        <f t="shared" si="129"/>
        <v>2026</v>
      </c>
      <c r="V2851" s="15" t="str">
        <f t="shared" si="8"/>
        <v/>
      </c>
      <c r="W2851" s="15" t="str">
        <f t="shared" si="9"/>
        <v/>
      </c>
      <c r="X2851" s="15" t="str">
        <f t="shared" si="10"/>
        <v/>
      </c>
    </row>
    <row r="2852">
      <c r="A2852" s="9">
        <v>46208.0</v>
      </c>
      <c r="B2852" s="10"/>
      <c r="C2852" s="9" t="str">
        <f t="shared" si="249"/>
        <v/>
      </c>
      <c r="D2852" s="28" t="s">
        <v>76</v>
      </c>
      <c r="E2852" s="28" t="s">
        <v>1305</v>
      </c>
      <c r="F2852" s="28" t="s">
        <v>26</v>
      </c>
      <c r="G2852" s="28" t="s">
        <v>27</v>
      </c>
      <c r="H2852" s="28" t="s">
        <v>84</v>
      </c>
      <c r="I2852" s="24">
        <v>1214.27</v>
      </c>
      <c r="J2852" s="13"/>
      <c r="K2852" s="13"/>
      <c r="L2852" s="28" t="s">
        <v>53</v>
      </c>
      <c r="M2852" s="16" t="s">
        <v>1353</v>
      </c>
      <c r="N2852" s="28" t="s">
        <v>85</v>
      </c>
      <c r="O2852" s="10" t="str">
        <f t="shared" si="79"/>
        <v>07/2026</v>
      </c>
      <c r="P2852" s="10"/>
      <c r="Q2852" s="15" t="str">
        <f t="array" ref="Q2852">IFERROR(XLOOKUP(N2852,'Classificação'!A:A,'Classificação'!B:B),"")</f>
        <v>DESPESAS NÃO OPERACIONAIS</v>
      </c>
      <c r="R2852" s="15" t="str">
        <f t="array" ref="R2852">IFERROR(XLOOKUP(Q2852,'Classificação'!B:B,'Classificação'!C:C),"")</f>
        <v>RESULTADO NÃO OPERACIONAL (+/-)</v>
      </c>
      <c r="S2852" s="15">
        <f t="shared" si="228"/>
        <v>5</v>
      </c>
      <c r="T2852" s="15">
        <f t="shared" si="128"/>
        <v>7</v>
      </c>
      <c r="U2852" s="15">
        <f t="shared" si="129"/>
        <v>2026</v>
      </c>
      <c r="V2852" s="15" t="str">
        <f t="shared" si="8"/>
        <v/>
      </c>
      <c r="W2852" s="15" t="str">
        <f t="shared" si="9"/>
        <v/>
      </c>
      <c r="X2852" s="15" t="str">
        <f t="shared" si="10"/>
        <v/>
      </c>
    </row>
    <row r="2853">
      <c r="A2853" s="26">
        <v>46208.0</v>
      </c>
      <c r="B2853" s="10"/>
      <c r="C2853" s="9" t="str">
        <f t="shared" si="249"/>
        <v/>
      </c>
      <c r="D2853" s="28" t="s">
        <v>36</v>
      </c>
      <c r="E2853" s="28" t="s">
        <v>1305</v>
      </c>
      <c r="F2853" s="28" t="s">
        <v>26</v>
      </c>
      <c r="G2853" s="28" t="s">
        <v>27</v>
      </c>
      <c r="I2853" s="37">
        <v>6500.0</v>
      </c>
      <c r="J2853" s="13"/>
      <c r="K2853" s="13" t="str">
        <f t="shared" ref="K2853:K2857" si="286">if(E2853="pago",(I2853-J2853),"")</f>
        <v/>
      </c>
      <c r="L2853" s="28" t="s">
        <v>29</v>
      </c>
      <c r="M2853" s="14"/>
      <c r="N2853" s="28" t="s">
        <v>38</v>
      </c>
      <c r="O2853" s="10" t="str">
        <f t="shared" si="79"/>
        <v>07/2026</v>
      </c>
      <c r="P2853" s="10" t="str">
        <f t="shared" ref="P2853:P2874" si="287">if(C2853="","", TEXT(C2853,"mm/yyyy"))</f>
        <v/>
      </c>
      <c r="Q2853" s="15" t="str">
        <f t="array" ref="Q2853">IFERROR(XLOOKUP(N2853,'Classificação'!A:A,'Classificação'!B:B),"")</f>
        <v>DESPESAS COM PESSOAL</v>
      </c>
      <c r="R2853" s="15" t="str">
        <f t="array" ref="R2853">IFERROR(XLOOKUP(Q2853,'Classificação'!B:B,'Classificação'!C:C),"")</f>
        <v>DESPESAS FIXAS (-)</v>
      </c>
      <c r="S2853" s="15">
        <f t="shared" si="228"/>
        <v>5</v>
      </c>
      <c r="T2853" s="15">
        <f t="shared" si="128"/>
        <v>7</v>
      </c>
      <c r="U2853" s="15">
        <f t="shared" si="129"/>
        <v>2026</v>
      </c>
      <c r="V2853" s="15" t="str">
        <f t="shared" si="8"/>
        <v/>
      </c>
      <c r="W2853" s="15" t="str">
        <f t="shared" si="9"/>
        <v/>
      </c>
      <c r="X2853" s="15" t="str">
        <f t="shared" si="10"/>
        <v/>
      </c>
    </row>
    <row r="2854">
      <c r="A2854" s="26">
        <v>46208.0</v>
      </c>
      <c r="B2854" s="10"/>
      <c r="C2854" s="9" t="str">
        <f t="shared" si="249"/>
        <v/>
      </c>
      <c r="D2854" s="28" t="s">
        <v>43</v>
      </c>
      <c r="E2854" s="28" t="s">
        <v>1305</v>
      </c>
      <c r="F2854" s="29" t="s">
        <v>26</v>
      </c>
      <c r="G2854" s="28" t="s">
        <v>27</v>
      </c>
      <c r="I2854" s="37">
        <v>6500.0</v>
      </c>
      <c r="J2854" s="13"/>
      <c r="K2854" s="13" t="str">
        <f t="shared" si="286"/>
        <v/>
      </c>
      <c r="L2854" s="28" t="s">
        <v>29</v>
      </c>
      <c r="M2854" s="14"/>
      <c r="N2854" s="28" t="s">
        <v>38</v>
      </c>
      <c r="O2854" s="10" t="str">
        <f t="shared" si="79"/>
        <v>07/2026</v>
      </c>
      <c r="P2854" s="10" t="str">
        <f t="shared" si="287"/>
        <v/>
      </c>
      <c r="Q2854" s="15" t="str">
        <f t="array" ref="Q2854">IFERROR(XLOOKUP(N2854,'Classificação'!A:A,'Classificação'!B:B),"")</f>
        <v>DESPESAS COM PESSOAL</v>
      </c>
      <c r="R2854" s="15" t="str">
        <f t="array" ref="R2854">IFERROR(XLOOKUP(Q2854,'Classificação'!B:B,'Classificação'!C:C),"")</f>
        <v>DESPESAS FIXAS (-)</v>
      </c>
      <c r="S2854" s="15">
        <f t="shared" si="228"/>
        <v>5</v>
      </c>
      <c r="T2854" s="15">
        <f t="shared" si="128"/>
        <v>7</v>
      </c>
      <c r="U2854" s="15">
        <f t="shared" si="129"/>
        <v>2026</v>
      </c>
      <c r="V2854" s="15" t="str">
        <f t="shared" si="8"/>
        <v/>
      </c>
      <c r="W2854" s="15" t="str">
        <f t="shared" si="9"/>
        <v/>
      </c>
      <c r="X2854" s="15" t="str">
        <f t="shared" si="10"/>
        <v/>
      </c>
    </row>
    <row r="2855">
      <c r="A2855" s="9">
        <v>46209.0</v>
      </c>
      <c r="B2855" s="9">
        <v>46087.0</v>
      </c>
      <c r="C2855" s="9" t="str">
        <f t="shared" si="249"/>
        <v/>
      </c>
      <c r="D2855" s="11" t="s">
        <v>86</v>
      </c>
      <c r="E2855" s="28" t="s">
        <v>1305</v>
      </c>
      <c r="F2855" s="11" t="s">
        <v>87</v>
      </c>
      <c r="G2855" s="28" t="s">
        <v>27</v>
      </c>
      <c r="H2855" s="11" t="s">
        <v>1354</v>
      </c>
      <c r="I2855" s="31">
        <v>1430.0</v>
      </c>
      <c r="J2855" s="13"/>
      <c r="K2855" s="13" t="str">
        <f t="shared" si="286"/>
        <v/>
      </c>
      <c r="L2855" s="28" t="s">
        <v>53</v>
      </c>
      <c r="M2855" s="17">
        <v>46116.0</v>
      </c>
      <c r="N2855" s="11" t="s">
        <v>35</v>
      </c>
      <c r="O2855" s="10" t="str">
        <f t="shared" si="79"/>
        <v>07/2026</v>
      </c>
      <c r="P2855" s="10" t="str">
        <f t="shared" si="287"/>
        <v/>
      </c>
      <c r="Q2855" s="15" t="str">
        <f t="array" ref="Q2855">IFERROR(XLOOKUP(N2855,'Classificação'!A:A,'Classificação'!B:B),"")</f>
        <v>COMPRA DE MERCADORIA</v>
      </c>
      <c r="R2855" s="15" t="str">
        <f t="array" ref="R2855">IFERROR(XLOOKUP(Q2855,'Classificação'!B:B,'Classificação'!C:C),"")</f>
        <v>CUSTOS VARIÁVEIS</v>
      </c>
      <c r="S2855" s="15">
        <f t="shared" si="228"/>
        <v>6</v>
      </c>
      <c r="T2855" s="15">
        <f t="shared" si="128"/>
        <v>7</v>
      </c>
      <c r="U2855" s="15">
        <f t="shared" si="129"/>
        <v>2026</v>
      </c>
      <c r="V2855" s="15" t="str">
        <f t="shared" si="8"/>
        <v/>
      </c>
      <c r="W2855" s="15" t="str">
        <f t="shared" si="9"/>
        <v/>
      </c>
      <c r="X2855" s="15" t="str">
        <f t="shared" si="10"/>
        <v/>
      </c>
    </row>
    <row r="2856">
      <c r="A2856" s="26">
        <v>46211.0</v>
      </c>
      <c r="B2856" s="30"/>
      <c r="C2856" s="27" t="str">
        <f t="shared" si="249"/>
        <v/>
      </c>
      <c r="D2856" s="29" t="s">
        <v>631</v>
      </c>
      <c r="E2856" s="28" t="s">
        <v>1305</v>
      </c>
      <c r="F2856" s="29" t="s">
        <v>40</v>
      </c>
      <c r="G2856" s="28" t="s">
        <v>27</v>
      </c>
      <c r="H2856" s="29" t="s">
        <v>1234</v>
      </c>
      <c r="I2856" s="24">
        <v>120.93</v>
      </c>
      <c r="J2856" s="34"/>
      <c r="K2856" s="13" t="str">
        <f t="shared" si="286"/>
        <v/>
      </c>
      <c r="L2856" s="28" t="s">
        <v>53</v>
      </c>
      <c r="M2856" s="35">
        <v>46209.0</v>
      </c>
      <c r="N2856" s="29" t="s">
        <v>178</v>
      </c>
      <c r="O2856" s="10" t="str">
        <f t="shared" si="79"/>
        <v>07/2026</v>
      </c>
      <c r="P2856" s="10" t="str">
        <f t="shared" si="287"/>
        <v/>
      </c>
      <c r="Q2856" s="15" t="str">
        <f t="array" ref="Q2856">IFERROR(XLOOKUP(N2856,'Classificação'!A:A,'Classificação'!B:B),"")</f>
        <v>DESPESAS COM OCUPAÇÃO</v>
      </c>
      <c r="R2856" s="15" t="str">
        <f t="array" ref="R2856">IFERROR(XLOOKUP(Q2856,'Classificação'!B:B,'Classificação'!C:C),"")</f>
        <v>DESPESAS FIXAS (-)</v>
      </c>
      <c r="S2856" s="15">
        <f t="shared" si="228"/>
        <v>8</v>
      </c>
      <c r="T2856" s="15">
        <f t="shared" si="128"/>
        <v>7</v>
      </c>
      <c r="U2856" s="15">
        <f t="shared" si="129"/>
        <v>2026</v>
      </c>
      <c r="V2856" s="15" t="str">
        <f t="shared" si="8"/>
        <v/>
      </c>
      <c r="W2856" s="15" t="str">
        <f t="shared" si="9"/>
        <v/>
      </c>
      <c r="X2856" s="15" t="str">
        <f t="shared" si="10"/>
        <v/>
      </c>
    </row>
    <row r="2857">
      <c r="A2857" s="9">
        <v>46213.0</v>
      </c>
      <c r="B2857" s="10"/>
      <c r="C2857" s="9" t="str">
        <f t="shared" si="249"/>
        <v/>
      </c>
      <c r="D2857" s="11" t="s">
        <v>1051</v>
      </c>
      <c r="E2857" s="28" t="s">
        <v>1305</v>
      </c>
      <c r="F2857" s="11" t="s">
        <v>40</v>
      </c>
      <c r="G2857" s="28" t="s">
        <v>27</v>
      </c>
      <c r="H2857" s="11" t="s">
        <v>1052</v>
      </c>
      <c r="I2857" s="12">
        <v>28.0</v>
      </c>
      <c r="J2857" s="13"/>
      <c r="K2857" s="13" t="str">
        <f t="shared" si="286"/>
        <v/>
      </c>
      <c r="L2857" s="11" t="s">
        <v>29</v>
      </c>
      <c r="M2857" s="14"/>
      <c r="N2857" s="11" t="s">
        <v>1053</v>
      </c>
      <c r="O2857" s="10" t="str">
        <f t="shared" si="79"/>
        <v>07/2026</v>
      </c>
      <c r="P2857" s="10" t="str">
        <f t="shared" si="287"/>
        <v/>
      </c>
      <c r="Q2857" s="15" t="str">
        <f t="array" ref="Q2857">IFERROR(XLOOKUP(N2857,'Classificação'!A:A,'Classificação'!B:B),"")</f>
        <v>DESPESAS COM PESSOAL</v>
      </c>
      <c r="R2857" s="15" t="str">
        <f t="array" ref="R2857">IFERROR(XLOOKUP(Q2857,'Classificação'!B:B,'Classificação'!C:C),"")</f>
        <v>DESPESAS FIXAS (-)</v>
      </c>
      <c r="S2857" s="15">
        <f t="shared" si="228"/>
        <v>10</v>
      </c>
      <c r="T2857" s="15">
        <f t="shared" si="128"/>
        <v>7</v>
      </c>
      <c r="U2857" s="15">
        <f t="shared" si="129"/>
        <v>2026</v>
      </c>
      <c r="V2857" s="15" t="str">
        <f t="shared" si="8"/>
        <v/>
      </c>
      <c r="W2857" s="15" t="str">
        <f t="shared" si="9"/>
        <v/>
      </c>
      <c r="X2857" s="15" t="str">
        <f t="shared" si="10"/>
        <v/>
      </c>
    </row>
    <row r="2858">
      <c r="A2858" s="26">
        <v>46213.0</v>
      </c>
      <c r="B2858" s="30"/>
      <c r="C2858" s="27" t="str">
        <f t="shared" si="249"/>
        <v/>
      </c>
      <c r="D2858" s="28" t="s">
        <v>48</v>
      </c>
      <c r="E2858" s="28" t="s">
        <v>1305</v>
      </c>
      <c r="F2858" s="28" t="s">
        <v>40</v>
      </c>
      <c r="G2858" s="28" t="s">
        <v>27</v>
      </c>
      <c r="H2858" s="28"/>
      <c r="I2858" s="37">
        <v>1600.0</v>
      </c>
      <c r="J2858" s="34"/>
      <c r="K2858" s="34" t="str">
        <f t="shared" ref="K2858:K2860" si="288">IF(E2858="pago",(I2858-J2858),"")</f>
        <v/>
      </c>
      <c r="L2858" s="28" t="s">
        <v>29</v>
      </c>
      <c r="M2858" s="28"/>
      <c r="N2858" s="28" t="s">
        <v>49</v>
      </c>
      <c r="O2858" s="10" t="str">
        <f t="shared" si="79"/>
        <v>07/2026</v>
      </c>
      <c r="P2858" s="10" t="str">
        <f t="shared" si="287"/>
        <v/>
      </c>
      <c r="Q2858" s="15" t="str">
        <f t="array" ref="Q2858">IFERROR(XLOOKUP(N2858,'Classificação'!A:A,'Classificação'!B:B),"")</f>
        <v>DESPESAS COM PESSOAL</v>
      </c>
      <c r="R2858" s="15" t="str">
        <f t="array" ref="R2858">IFERROR(XLOOKUP(Q2858,'Classificação'!B:B,'Classificação'!C:C),"")</f>
        <v>DESPESAS FIXAS (-)</v>
      </c>
      <c r="S2858" s="15">
        <f t="shared" si="228"/>
        <v>10</v>
      </c>
      <c r="T2858" s="15">
        <f t="shared" si="128"/>
        <v>7</v>
      </c>
      <c r="U2858" s="15">
        <f t="shared" si="129"/>
        <v>2026</v>
      </c>
      <c r="V2858" s="15" t="str">
        <f t="shared" si="8"/>
        <v/>
      </c>
      <c r="W2858" s="15" t="str">
        <f t="shared" si="9"/>
        <v/>
      </c>
      <c r="X2858" s="15" t="str">
        <f t="shared" si="10"/>
        <v/>
      </c>
    </row>
    <row r="2859">
      <c r="A2859" s="9">
        <v>46213.0</v>
      </c>
      <c r="B2859" s="30"/>
      <c r="C2859" s="27" t="str">
        <f t="shared" si="249"/>
        <v/>
      </c>
      <c r="D2859" s="28" t="s">
        <v>50</v>
      </c>
      <c r="E2859" s="28" t="s">
        <v>1305</v>
      </c>
      <c r="F2859" s="28" t="s">
        <v>40</v>
      </c>
      <c r="G2859" s="28" t="s">
        <v>27</v>
      </c>
      <c r="H2859" s="28" t="s">
        <v>51</v>
      </c>
      <c r="I2859" s="37">
        <v>139.99</v>
      </c>
      <c r="J2859" s="34"/>
      <c r="K2859" s="34" t="str">
        <f t="shared" si="288"/>
        <v/>
      </c>
      <c r="L2859" s="28" t="s">
        <v>29</v>
      </c>
      <c r="M2859" s="28"/>
      <c r="N2859" s="28" t="s">
        <v>51</v>
      </c>
      <c r="O2859" s="10" t="str">
        <f t="shared" si="79"/>
        <v>07/2026</v>
      </c>
      <c r="P2859" s="10" t="str">
        <f t="shared" si="287"/>
        <v/>
      </c>
      <c r="Q2859" s="15" t="str">
        <f t="array" ref="Q2859">IFERROR(XLOOKUP(N2859,'Classificação'!A:A,'Classificação'!B:B),"")</f>
        <v>DESPESAS COM OCUPAÇÃO</v>
      </c>
      <c r="R2859" s="15" t="str">
        <f t="array" ref="R2859">IFERROR(XLOOKUP(Q2859,'Classificação'!B:B,'Classificação'!C:C),"")</f>
        <v>DESPESAS FIXAS (-)</v>
      </c>
      <c r="S2859" s="15">
        <f t="shared" si="228"/>
        <v>10</v>
      </c>
      <c r="T2859" s="15">
        <f t="shared" si="128"/>
        <v>7</v>
      </c>
      <c r="U2859" s="15">
        <f t="shared" si="129"/>
        <v>2026</v>
      </c>
      <c r="V2859" s="15" t="str">
        <f t="shared" si="8"/>
        <v/>
      </c>
      <c r="W2859" s="15" t="str">
        <f t="shared" si="9"/>
        <v/>
      </c>
      <c r="X2859" s="15" t="str">
        <f t="shared" si="10"/>
        <v/>
      </c>
    </row>
    <row r="2860">
      <c r="A2860" s="26">
        <v>46213.0</v>
      </c>
      <c r="B2860" s="30"/>
      <c r="C2860" s="27" t="str">
        <f t="shared" si="249"/>
        <v/>
      </c>
      <c r="D2860" s="28" t="s">
        <v>59</v>
      </c>
      <c r="E2860" s="28" t="s">
        <v>1305</v>
      </c>
      <c r="F2860" s="28" t="s">
        <v>40</v>
      </c>
      <c r="G2860" s="28" t="s">
        <v>37</v>
      </c>
      <c r="H2860" s="28" t="s">
        <v>60</v>
      </c>
      <c r="I2860" s="24">
        <v>447.0</v>
      </c>
      <c r="J2860" s="34"/>
      <c r="K2860" s="34" t="str">
        <f t="shared" si="288"/>
        <v/>
      </c>
      <c r="L2860" s="28" t="s">
        <v>29</v>
      </c>
      <c r="M2860" s="28"/>
      <c r="N2860" s="28" t="s">
        <v>61</v>
      </c>
      <c r="O2860" s="10" t="str">
        <f t="shared" si="79"/>
        <v>07/2026</v>
      </c>
      <c r="P2860" s="10" t="str">
        <f t="shared" si="287"/>
        <v/>
      </c>
      <c r="Q2860" s="15" t="str">
        <f t="array" ref="Q2860">IFERROR(XLOOKUP(N2860,'Classificação'!A:A,'Classificação'!B:B),"")</f>
        <v>DESPESAS ADMINISTRATIVAS</v>
      </c>
      <c r="R2860" s="15" t="str">
        <f t="array" ref="R2860">IFERROR(XLOOKUP(Q2860,'Classificação'!B:B,'Classificação'!C:C),"")</f>
        <v>DESPESAS FIXAS (-)</v>
      </c>
      <c r="S2860" s="15">
        <f t="shared" si="228"/>
        <v>10</v>
      </c>
      <c r="T2860" s="15">
        <f t="shared" si="128"/>
        <v>7</v>
      </c>
      <c r="U2860" s="15">
        <f t="shared" si="129"/>
        <v>2026</v>
      </c>
      <c r="V2860" s="15" t="str">
        <f t="shared" si="8"/>
        <v/>
      </c>
      <c r="W2860" s="15" t="str">
        <f t="shared" si="9"/>
        <v/>
      </c>
      <c r="X2860" s="15" t="str">
        <f t="shared" si="10"/>
        <v/>
      </c>
    </row>
    <row r="2861">
      <c r="A2861" s="26">
        <v>46213.0</v>
      </c>
      <c r="B2861" s="30"/>
      <c r="C2861" s="27" t="str">
        <f t="shared" si="249"/>
        <v/>
      </c>
      <c r="D2861" s="28" t="s">
        <v>104</v>
      </c>
      <c r="E2861" s="28" t="s">
        <v>1305</v>
      </c>
      <c r="F2861" s="28" t="s">
        <v>40</v>
      </c>
      <c r="G2861" s="28" t="s">
        <v>37</v>
      </c>
      <c r="H2861" s="28" t="s">
        <v>413</v>
      </c>
      <c r="I2861" s="37">
        <v>27.5</v>
      </c>
      <c r="J2861" s="34"/>
      <c r="K2861" s="34"/>
      <c r="L2861" s="28" t="s">
        <v>29</v>
      </c>
      <c r="M2861" s="28"/>
      <c r="N2861" s="28" t="s">
        <v>105</v>
      </c>
      <c r="O2861" s="10" t="str">
        <f t="shared" si="79"/>
        <v>07/2026</v>
      </c>
      <c r="P2861" s="10" t="str">
        <f t="shared" si="287"/>
        <v/>
      </c>
      <c r="R2861" s="15" t="str">
        <f t="array" ref="R2861">IFERROR(XLOOKUP(Q2861,'Classificação'!B:B,'Classificação'!C:C),"")</f>
        <v/>
      </c>
      <c r="S2861" s="15">
        <f t="shared" si="228"/>
        <v>10</v>
      </c>
      <c r="T2861" s="15">
        <f t="shared" si="128"/>
        <v>7</v>
      </c>
      <c r="U2861" s="15">
        <f t="shared" si="129"/>
        <v>2026</v>
      </c>
      <c r="V2861" s="15" t="str">
        <f t="shared" si="8"/>
        <v/>
      </c>
      <c r="W2861" s="15" t="str">
        <f t="shared" si="9"/>
        <v/>
      </c>
      <c r="X2861" s="15" t="str">
        <f t="shared" si="10"/>
        <v/>
      </c>
    </row>
    <row r="2862">
      <c r="A2862" s="9">
        <v>46213.0</v>
      </c>
      <c r="B2862" s="10"/>
      <c r="C2862" s="9" t="str">
        <f t="shared" si="249"/>
        <v/>
      </c>
      <c r="D2862" s="11" t="s">
        <v>44</v>
      </c>
      <c r="E2862" s="11" t="s">
        <v>1305</v>
      </c>
      <c r="F2862" s="11" t="s">
        <v>45</v>
      </c>
      <c r="G2862" s="11" t="s">
        <v>27</v>
      </c>
      <c r="H2862" s="11" t="s">
        <v>52</v>
      </c>
      <c r="I2862" s="12">
        <v>503.0</v>
      </c>
      <c r="J2862" s="13"/>
      <c r="K2862" s="13" t="str">
        <f t="shared" ref="K2862:K2865" si="289">if(E2862="pago",(I2862-J2862),"")</f>
        <v/>
      </c>
      <c r="L2862" s="11" t="s">
        <v>53</v>
      </c>
      <c r="M2862" s="16" t="s">
        <v>1355</v>
      </c>
      <c r="N2862" s="11" t="s">
        <v>55</v>
      </c>
      <c r="O2862" s="10" t="str">
        <f t="shared" si="79"/>
        <v>07/2026</v>
      </c>
      <c r="P2862" s="10" t="str">
        <f t="shared" si="287"/>
        <v/>
      </c>
      <c r="Q2862" s="15" t="str">
        <f t="array" ref="Q2862">IFERROR(XLOOKUP(N2862,'Classificação'!A:A,'Classificação'!B:B),"")</f>
        <v>DESPESAS NÃO OPERACIONAIS</v>
      </c>
      <c r="R2862" s="15" t="str">
        <f t="array" ref="R2862">IFERROR(XLOOKUP(Q2862,'Classificação'!B:B,'Classificação'!C:C),"")</f>
        <v>RESULTADO NÃO OPERACIONAL (+/-)</v>
      </c>
      <c r="S2862" s="15">
        <f t="shared" si="228"/>
        <v>10</v>
      </c>
      <c r="T2862" s="15">
        <f t="shared" si="128"/>
        <v>7</v>
      </c>
      <c r="U2862" s="15">
        <f t="shared" si="129"/>
        <v>2026</v>
      </c>
      <c r="V2862" s="15" t="str">
        <f t="shared" si="8"/>
        <v/>
      </c>
      <c r="W2862" s="15" t="str">
        <f t="shared" si="9"/>
        <v/>
      </c>
      <c r="X2862" s="15" t="str">
        <f t="shared" si="10"/>
        <v/>
      </c>
    </row>
    <row r="2863">
      <c r="A2863" s="9">
        <v>46213.0</v>
      </c>
      <c r="B2863" s="10"/>
      <c r="C2863" s="9" t="str">
        <f t="shared" si="249"/>
        <v/>
      </c>
      <c r="D2863" s="11" t="s">
        <v>1104</v>
      </c>
      <c r="E2863" s="28" t="s">
        <v>1305</v>
      </c>
      <c r="F2863" s="11" t="s">
        <v>40</v>
      </c>
      <c r="G2863" s="11" t="s">
        <v>37</v>
      </c>
      <c r="H2863" s="11" t="s">
        <v>1105</v>
      </c>
      <c r="I2863" s="12">
        <v>917.51</v>
      </c>
      <c r="J2863" s="13"/>
      <c r="K2863" s="13" t="str">
        <f t="shared" si="289"/>
        <v/>
      </c>
      <c r="L2863" s="11" t="s">
        <v>53</v>
      </c>
      <c r="M2863" s="16" t="s">
        <v>1356</v>
      </c>
      <c r="N2863" s="11" t="s">
        <v>73</v>
      </c>
      <c r="O2863" s="10" t="str">
        <f t="shared" si="79"/>
        <v>07/2026</v>
      </c>
      <c r="P2863" s="10" t="str">
        <f t="shared" si="287"/>
        <v/>
      </c>
      <c r="Q2863" s="15" t="str">
        <f t="array" ref="Q2863">IFERROR(XLOOKUP(N2863,'Classificação'!A:A,'Classificação'!B:B),"")</f>
        <v>DESPESAS NÃO OPERACIONAIS</v>
      </c>
      <c r="R2863" s="15" t="str">
        <f t="array" ref="R2863">IFERROR(XLOOKUP(Q2863,'Classificação'!B:B,'Classificação'!C:C),"")</f>
        <v>RESULTADO NÃO OPERACIONAL (+/-)</v>
      </c>
      <c r="S2863" s="15">
        <f t="shared" si="228"/>
        <v>10</v>
      </c>
      <c r="T2863" s="15">
        <f t="shared" si="128"/>
        <v>7</v>
      </c>
      <c r="U2863" s="15">
        <f t="shared" si="129"/>
        <v>2026</v>
      </c>
      <c r="V2863" s="15" t="str">
        <f t="shared" si="8"/>
        <v/>
      </c>
      <c r="W2863" s="15" t="str">
        <f t="shared" si="9"/>
        <v/>
      </c>
      <c r="X2863" s="15" t="str">
        <f t="shared" si="10"/>
        <v/>
      </c>
    </row>
    <row r="2864">
      <c r="A2864" s="9">
        <v>46213.0</v>
      </c>
      <c r="B2864" s="32">
        <v>46011.0</v>
      </c>
      <c r="C2864" s="9" t="str">
        <f t="shared" si="249"/>
        <v/>
      </c>
      <c r="D2864" s="11" t="s">
        <v>65</v>
      </c>
      <c r="E2864" s="28" t="s">
        <v>1305</v>
      </c>
      <c r="F2864" s="11" t="s">
        <v>26</v>
      </c>
      <c r="G2864" s="28" t="s">
        <v>27</v>
      </c>
      <c r="H2864" s="11" t="s">
        <v>1159</v>
      </c>
      <c r="I2864" s="31">
        <v>54.99</v>
      </c>
      <c r="J2864" s="13"/>
      <c r="K2864" s="13" t="str">
        <f t="shared" si="289"/>
        <v/>
      </c>
      <c r="L2864" s="11" t="s">
        <v>53</v>
      </c>
      <c r="M2864" s="16" t="s">
        <v>1357</v>
      </c>
      <c r="N2864" s="11" t="s">
        <v>95</v>
      </c>
      <c r="O2864" s="10" t="str">
        <f t="shared" si="79"/>
        <v>07/2026</v>
      </c>
      <c r="P2864" s="10" t="str">
        <f t="shared" si="287"/>
        <v/>
      </c>
      <c r="Q2864" s="15" t="str">
        <f t="array" ref="Q2864">IFERROR(XLOOKUP(N2864,'Classificação'!A:A,'Classificação'!B:B),"")</f>
        <v>DESPESAS NÃO OPERACIONAIS</v>
      </c>
      <c r="R2864" s="15" t="str">
        <f t="array" ref="R2864">IFERROR(XLOOKUP(Q2864,'Classificação'!B:B,'Classificação'!C:C),"")</f>
        <v>RESULTADO NÃO OPERACIONAL (+/-)</v>
      </c>
      <c r="S2864" s="15">
        <f t="shared" si="228"/>
        <v>10</v>
      </c>
      <c r="T2864" s="15">
        <f t="shared" si="128"/>
        <v>7</v>
      </c>
      <c r="U2864" s="15">
        <f t="shared" si="129"/>
        <v>2026</v>
      </c>
      <c r="V2864" s="15" t="str">
        <f t="shared" si="8"/>
        <v/>
      </c>
      <c r="W2864" s="15" t="str">
        <f t="shared" si="9"/>
        <v/>
      </c>
      <c r="X2864" s="15" t="str">
        <f t="shared" si="10"/>
        <v/>
      </c>
    </row>
    <row r="2865">
      <c r="A2865" s="26">
        <v>46215.0</v>
      </c>
      <c r="B2865" s="30"/>
      <c r="C2865" s="27" t="str">
        <f t="shared" si="249"/>
        <v/>
      </c>
      <c r="D2865" s="28" t="s">
        <v>56</v>
      </c>
      <c r="E2865" s="28" t="s">
        <v>1305</v>
      </c>
      <c r="F2865" s="28" t="s">
        <v>26</v>
      </c>
      <c r="G2865" s="28" t="s">
        <v>37</v>
      </c>
      <c r="H2865" s="28" t="s">
        <v>57</v>
      </c>
      <c r="I2865" s="24">
        <v>60.0</v>
      </c>
      <c r="J2865" s="34"/>
      <c r="K2865" s="13" t="str">
        <f t="shared" si="289"/>
        <v/>
      </c>
      <c r="L2865" s="28" t="s">
        <v>29</v>
      </c>
      <c r="M2865" s="28"/>
      <c r="N2865" s="28" t="s">
        <v>58</v>
      </c>
      <c r="O2865" s="10" t="str">
        <f t="shared" si="79"/>
        <v>07/2026</v>
      </c>
      <c r="P2865" s="10" t="str">
        <f t="shared" si="287"/>
        <v/>
      </c>
      <c r="Q2865" s="15" t="str">
        <f t="array" ref="Q2865">IFERROR(XLOOKUP(N2865,'Classificação'!A:A,'Classificação'!B:B),"")</f>
        <v>DESPESAS ADMINISTRATIVAS</v>
      </c>
      <c r="R2865" s="15" t="str">
        <f t="array" ref="R2865">IFERROR(XLOOKUP(Q2865,'Classificação'!B:B,'Classificação'!C:C),"")</f>
        <v>DESPESAS FIXAS (-)</v>
      </c>
      <c r="S2865" s="15">
        <f t="shared" si="228"/>
        <v>12</v>
      </c>
      <c r="T2865" s="15">
        <f t="shared" si="128"/>
        <v>7</v>
      </c>
      <c r="U2865" s="15">
        <f t="shared" si="129"/>
        <v>2026</v>
      </c>
      <c r="V2865" s="15" t="str">
        <f t="shared" si="8"/>
        <v/>
      </c>
      <c r="W2865" s="15" t="str">
        <f t="shared" si="9"/>
        <v/>
      </c>
      <c r="X2865" s="15" t="str">
        <f t="shared" si="10"/>
        <v/>
      </c>
    </row>
    <row r="2866">
      <c r="A2866" s="26">
        <v>46216.0</v>
      </c>
      <c r="B2866" s="30"/>
      <c r="C2866" s="27" t="str">
        <f t="shared" si="249"/>
        <v/>
      </c>
      <c r="D2866" s="28" t="s">
        <v>65</v>
      </c>
      <c r="E2866" s="28" t="s">
        <v>1305</v>
      </c>
      <c r="F2866" s="28" t="s">
        <v>45</v>
      </c>
      <c r="G2866" s="28" t="s">
        <v>66</v>
      </c>
      <c r="H2866" s="28" t="s">
        <v>67</v>
      </c>
      <c r="I2866" s="37">
        <v>900.0</v>
      </c>
      <c r="J2866" s="34"/>
      <c r="K2866" s="34" t="str">
        <f>IF(E2866="pago",(I2866-J2866),"")</f>
        <v/>
      </c>
      <c r="L2866" s="28" t="s">
        <v>29</v>
      </c>
      <c r="M2866" s="28"/>
      <c r="N2866" s="28" t="s">
        <v>68</v>
      </c>
      <c r="O2866" s="10" t="str">
        <f t="shared" si="79"/>
        <v>07/2026</v>
      </c>
      <c r="P2866" s="10" t="str">
        <f t="shared" si="287"/>
        <v/>
      </c>
      <c r="Q2866" s="15" t="str">
        <f t="array" ref="Q2866">IFERROR(XLOOKUP(N2866,'Classificação'!A:A,'Classificação'!B:B),"")</f>
        <v>FRETE DE VENDAS</v>
      </c>
      <c r="R2866" s="15" t="str">
        <f t="array" ref="R2866">IFERROR(XLOOKUP(Q2866,'Classificação'!B:B,'Classificação'!C:C),"")</f>
        <v>CUSTOS VARIÁVEIS</v>
      </c>
      <c r="S2866" s="15">
        <f t="shared" si="228"/>
        <v>13</v>
      </c>
      <c r="T2866" s="15">
        <f t="shared" si="128"/>
        <v>7</v>
      </c>
      <c r="U2866" s="15">
        <f t="shared" si="129"/>
        <v>2026</v>
      </c>
      <c r="V2866" s="15" t="str">
        <f t="shared" si="8"/>
        <v/>
      </c>
      <c r="W2866" s="15" t="str">
        <f t="shared" si="9"/>
        <v/>
      </c>
      <c r="X2866" s="15" t="str">
        <f t="shared" si="10"/>
        <v/>
      </c>
    </row>
    <row r="2867">
      <c r="A2867" s="9">
        <v>46217.0</v>
      </c>
      <c r="B2867" s="10"/>
      <c r="C2867" s="9" t="str">
        <f t="shared" si="249"/>
        <v/>
      </c>
      <c r="D2867" s="11" t="s">
        <v>44</v>
      </c>
      <c r="E2867" s="11" t="s">
        <v>1305</v>
      </c>
      <c r="F2867" s="11" t="s">
        <v>45</v>
      </c>
      <c r="G2867" s="11" t="s">
        <v>27</v>
      </c>
      <c r="H2867" s="11" t="s">
        <v>476</v>
      </c>
      <c r="I2867" s="12">
        <v>4996.0</v>
      </c>
      <c r="J2867" s="13"/>
      <c r="K2867" s="13" t="str">
        <f>if(E2867="pago",(I2867-J2867),"")</f>
        <v/>
      </c>
      <c r="L2867" s="11" t="s">
        <v>53</v>
      </c>
      <c r="M2867" s="16" t="s">
        <v>789</v>
      </c>
      <c r="N2867" s="11" t="s">
        <v>73</v>
      </c>
      <c r="O2867" s="10" t="str">
        <f t="shared" si="79"/>
        <v>07/2026</v>
      </c>
      <c r="P2867" s="10" t="str">
        <f t="shared" si="287"/>
        <v/>
      </c>
      <c r="Q2867" s="15" t="str">
        <f t="array" ref="Q2867">IFERROR(XLOOKUP(N2867,'Classificação'!A:A,'Classificação'!B:B),"")</f>
        <v>DESPESAS NÃO OPERACIONAIS</v>
      </c>
      <c r="R2867" s="15" t="str">
        <f t="array" ref="R2867">IFERROR(XLOOKUP(Q2867,'Classificação'!B:B,'Classificação'!C:C),"")</f>
        <v>RESULTADO NÃO OPERACIONAL (+/-)</v>
      </c>
      <c r="S2867" s="15">
        <f t="shared" si="228"/>
        <v>14</v>
      </c>
      <c r="T2867" s="15">
        <f t="shared" si="128"/>
        <v>7</v>
      </c>
      <c r="U2867" s="15">
        <f t="shared" si="129"/>
        <v>2026</v>
      </c>
      <c r="V2867" s="15" t="str">
        <f t="shared" si="8"/>
        <v/>
      </c>
      <c r="W2867" s="15" t="str">
        <f t="shared" si="9"/>
        <v/>
      </c>
      <c r="X2867" s="15" t="str">
        <f t="shared" si="10"/>
        <v/>
      </c>
    </row>
    <row r="2868">
      <c r="A2868" s="26">
        <v>46218.0</v>
      </c>
      <c r="B2868" s="30"/>
      <c r="C2868" s="27" t="str">
        <f t="shared" si="249"/>
        <v/>
      </c>
      <c r="D2868" s="28" t="s">
        <v>79</v>
      </c>
      <c r="E2868" s="28" t="s">
        <v>1305</v>
      </c>
      <c r="F2868" s="28" t="s">
        <v>26</v>
      </c>
      <c r="G2868" s="28" t="s">
        <v>37</v>
      </c>
      <c r="H2868" s="28"/>
      <c r="I2868" s="24">
        <v>550.0</v>
      </c>
      <c r="J2868" s="34"/>
      <c r="K2868" s="34" t="str">
        <f t="shared" ref="K2868:K2870" si="290">IF(E2868="pago",(I2868-J2868),"")</f>
        <v/>
      </c>
      <c r="L2868" s="28" t="s">
        <v>29</v>
      </c>
      <c r="M2868" s="28"/>
      <c r="N2868" s="28" t="s">
        <v>58</v>
      </c>
      <c r="O2868" s="10" t="str">
        <f t="shared" si="79"/>
        <v>07/2026</v>
      </c>
      <c r="P2868" s="10" t="str">
        <f t="shared" si="287"/>
        <v/>
      </c>
      <c r="Q2868" s="15" t="str">
        <f t="array" ref="Q2868">IFERROR(XLOOKUP(N2868,'Classificação'!A:A,'Classificação'!B:B),"")</f>
        <v>DESPESAS ADMINISTRATIVAS</v>
      </c>
      <c r="S2868" s="15">
        <f t="shared" si="228"/>
        <v>15</v>
      </c>
      <c r="T2868" s="15">
        <f t="shared" si="128"/>
        <v>7</v>
      </c>
      <c r="U2868" s="15">
        <f t="shared" si="129"/>
        <v>2026</v>
      </c>
      <c r="V2868" s="15" t="str">
        <f t="shared" si="8"/>
        <v/>
      </c>
      <c r="W2868" s="15" t="str">
        <f t="shared" si="9"/>
        <v/>
      </c>
      <c r="X2868" s="15" t="str">
        <f t="shared" si="10"/>
        <v/>
      </c>
    </row>
    <row r="2869">
      <c r="A2869" s="26">
        <v>46218.0</v>
      </c>
      <c r="B2869" s="30"/>
      <c r="C2869" s="27" t="str">
        <f t="shared" si="249"/>
        <v/>
      </c>
      <c r="D2869" s="28" t="s">
        <v>80</v>
      </c>
      <c r="E2869" s="28" t="s">
        <v>1305</v>
      </c>
      <c r="F2869" s="28" t="s">
        <v>32</v>
      </c>
      <c r="G2869" s="28" t="s">
        <v>27</v>
      </c>
      <c r="H2869" s="29" t="s">
        <v>606</v>
      </c>
      <c r="I2869" s="37">
        <v>780.0</v>
      </c>
      <c r="J2869" s="34"/>
      <c r="K2869" s="34" t="str">
        <f t="shared" si="290"/>
        <v/>
      </c>
      <c r="L2869" s="28" t="s">
        <v>29</v>
      </c>
      <c r="M2869" s="28"/>
      <c r="N2869" s="28" t="s">
        <v>75</v>
      </c>
      <c r="O2869" s="10" t="str">
        <f t="shared" si="79"/>
        <v>07/2026</v>
      </c>
      <c r="P2869" s="10" t="str">
        <f t="shared" si="287"/>
        <v/>
      </c>
      <c r="Q2869" s="15" t="str">
        <f t="array" ref="Q2869">IFERROR(XLOOKUP(N2869,'Classificação'!A:A,'Classificação'!B:B),"")</f>
        <v>DESPESAS COM PESSOAL</v>
      </c>
      <c r="R2869" s="15" t="str">
        <f t="array" ref="R2869">IFERROR(XLOOKUP(Q2869,'Classificação'!B:B,'Classificação'!C:C),"")</f>
        <v>DESPESAS FIXAS (-)</v>
      </c>
      <c r="S2869" s="15">
        <f t="shared" si="228"/>
        <v>15</v>
      </c>
      <c r="T2869" s="15">
        <f t="shared" si="128"/>
        <v>7</v>
      </c>
      <c r="U2869" s="15">
        <f t="shared" si="129"/>
        <v>2026</v>
      </c>
      <c r="V2869" s="15" t="str">
        <f t="shared" si="8"/>
        <v/>
      </c>
      <c r="W2869" s="15" t="str">
        <f t="shared" si="9"/>
        <v/>
      </c>
      <c r="X2869" s="15" t="str">
        <f t="shared" si="10"/>
        <v/>
      </c>
    </row>
    <row r="2870">
      <c r="A2870" s="26">
        <v>46218.0</v>
      </c>
      <c r="B2870" s="28"/>
      <c r="C2870" s="27" t="str">
        <f t="shared" si="249"/>
        <v/>
      </c>
      <c r="D2870" s="29" t="s">
        <v>1094</v>
      </c>
      <c r="E2870" s="28" t="s">
        <v>1305</v>
      </c>
      <c r="F2870" s="29" t="s">
        <v>26</v>
      </c>
      <c r="G2870" s="29" t="s">
        <v>37</v>
      </c>
      <c r="H2870" s="28" t="s">
        <v>606</v>
      </c>
      <c r="I2870" s="24">
        <v>1120.0</v>
      </c>
      <c r="J2870" s="34"/>
      <c r="K2870" s="34" t="str">
        <f t="shared" si="290"/>
        <v/>
      </c>
      <c r="L2870" s="28" t="s">
        <v>29</v>
      </c>
      <c r="M2870" s="28"/>
      <c r="N2870" s="28" t="s">
        <v>75</v>
      </c>
      <c r="O2870" s="10" t="str">
        <f t="shared" si="79"/>
        <v>07/2026</v>
      </c>
      <c r="P2870" s="10" t="str">
        <f t="shared" si="287"/>
        <v/>
      </c>
      <c r="Q2870" s="15" t="str">
        <f t="array" ref="Q2870">IFERROR(XLOOKUP(N2870,'Classificação'!A:A,'Classificação'!B:B),"")</f>
        <v>DESPESAS COM PESSOAL</v>
      </c>
      <c r="R2870" s="15" t="str">
        <f t="array" ref="R2870">IFERROR(XLOOKUP(Q2870,'Classificação'!B:B,'Classificação'!C:C),"")</f>
        <v>DESPESAS FIXAS (-)</v>
      </c>
      <c r="S2870" s="15">
        <f t="shared" si="228"/>
        <v>15</v>
      </c>
      <c r="T2870" s="15">
        <f t="shared" si="128"/>
        <v>7</v>
      </c>
      <c r="U2870" s="15">
        <f t="shared" si="129"/>
        <v>2026</v>
      </c>
      <c r="V2870" s="15" t="str">
        <f t="shared" si="8"/>
        <v/>
      </c>
      <c r="W2870" s="15" t="str">
        <f t="shared" si="9"/>
        <v/>
      </c>
      <c r="X2870" s="15" t="str">
        <f t="shared" si="10"/>
        <v/>
      </c>
    </row>
    <row r="2871">
      <c r="A2871" s="9">
        <v>46218.0</v>
      </c>
      <c r="B2871" s="10"/>
      <c r="C2871" s="9" t="str">
        <f t="shared" si="249"/>
        <v/>
      </c>
      <c r="D2871" s="11" t="s">
        <v>1229</v>
      </c>
      <c r="E2871" s="28" t="s">
        <v>1305</v>
      </c>
      <c r="F2871" s="11" t="s">
        <v>26</v>
      </c>
      <c r="G2871" s="11" t="s">
        <v>37</v>
      </c>
      <c r="H2871" s="11" t="s">
        <v>1230</v>
      </c>
      <c r="I2871" s="31">
        <v>840.0</v>
      </c>
      <c r="J2871" s="13"/>
      <c r="K2871" s="13" t="str">
        <f t="shared" ref="K2871:K2873" si="291">if(E2871="pago",(I2871-J2871),"")</f>
        <v/>
      </c>
      <c r="L2871" s="11" t="s">
        <v>29</v>
      </c>
      <c r="M2871" s="14"/>
      <c r="N2871" s="11" t="s">
        <v>58</v>
      </c>
      <c r="O2871" s="10" t="str">
        <f t="shared" si="79"/>
        <v>07/2026</v>
      </c>
      <c r="P2871" s="10" t="str">
        <f t="shared" si="287"/>
        <v/>
      </c>
      <c r="Q2871" s="15" t="str">
        <f t="array" ref="Q2871">IFERROR(XLOOKUP(N2871,'Classificação'!A:A,'Classificação'!B:B),"")</f>
        <v>DESPESAS ADMINISTRATIVAS</v>
      </c>
      <c r="R2871" s="15" t="str">
        <f t="array" ref="R2871">IFERROR(XLOOKUP(Q2871,'Classificação'!B:B,'Classificação'!C:C),"")</f>
        <v>DESPESAS FIXAS (-)</v>
      </c>
      <c r="S2871" s="15">
        <f t="shared" si="228"/>
        <v>15</v>
      </c>
      <c r="T2871" s="15">
        <f t="shared" si="128"/>
        <v>7</v>
      </c>
      <c r="U2871" s="15">
        <f t="shared" si="129"/>
        <v>2026</v>
      </c>
      <c r="V2871" s="15" t="str">
        <f t="shared" si="8"/>
        <v/>
      </c>
      <c r="W2871" s="15" t="str">
        <f t="shared" si="9"/>
        <v/>
      </c>
      <c r="X2871" s="15" t="str">
        <f t="shared" si="10"/>
        <v/>
      </c>
    </row>
    <row r="2872">
      <c r="A2872" s="26">
        <v>46219.0</v>
      </c>
      <c r="B2872" s="30"/>
      <c r="C2872" s="27" t="str">
        <f t="shared" si="249"/>
        <v/>
      </c>
      <c r="D2872" s="28" t="s">
        <v>90</v>
      </c>
      <c r="E2872" s="28" t="s">
        <v>1305</v>
      </c>
      <c r="F2872" s="28" t="s">
        <v>40</v>
      </c>
      <c r="G2872" s="28" t="s">
        <v>27</v>
      </c>
      <c r="H2872" s="29" t="s">
        <v>1178</v>
      </c>
      <c r="I2872" s="37">
        <v>800.0</v>
      </c>
      <c r="J2872" s="34"/>
      <c r="K2872" s="13" t="str">
        <f t="shared" si="291"/>
        <v/>
      </c>
      <c r="L2872" s="28" t="s">
        <v>29</v>
      </c>
      <c r="M2872" s="28"/>
      <c r="N2872" s="28" t="s">
        <v>92</v>
      </c>
      <c r="O2872" s="10" t="str">
        <f t="shared" si="79"/>
        <v>07/2026</v>
      </c>
      <c r="P2872" s="10" t="str">
        <f t="shared" si="287"/>
        <v/>
      </c>
      <c r="Q2872" s="15" t="str">
        <f t="array" ref="Q2872">IFERROR(XLOOKUP(N2872,'Classificação'!A:A,'Classificação'!B:B),"")</f>
        <v>DESPESAS COM OCUPAÇÃO</v>
      </c>
      <c r="R2872" s="15" t="str">
        <f t="array" ref="R2872">IFERROR(XLOOKUP(Q2872,'Classificação'!B:B,'Classificação'!C:C),"")</f>
        <v>DESPESAS FIXAS (-)</v>
      </c>
      <c r="S2872" s="15">
        <f t="shared" si="228"/>
        <v>16</v>
      </c>
      <c r="T2872" s="15">
        <f t="shared" si="128"/>
        <v>7</v>
      </c>
      <c r="U2872" s="15">
        <f t="shared" si="129"/>
        <v>2026</v>
      </c>
      <c r="V2872" s="15" t="str">
        <f t="shared" si="8"/>
        <v/>
      </c>
      <c r="W2872" s="15" t="str">
        <f t="shared" si="9"/>
        <v/>
      </c>
      <c r="X2872" s="15" t="str">
        <f t="shared" si="10"/>
        <v/>
      </c>
    </row>
    <row r="2873">
      <c r="A2873" s="9">
        <v>46221.0</v>
      </c>
      <c r="B2873" s="10"/>
      <c r="C2873" s="9" t="str">
        <f t="shared" si="249"/>
        <v/>
      </c>
      <c r="D2873" s="11" t="s">
        <v>44</v>
      </c>
      <c r="E2873" s="11" t="s">
        <v>1305</v>
      </c>
      <c r="F2873" s="11" t="s">
        <v>45</v>
      </c>
      <c r="G2873" s="11" t="s">
        <v>27</v>
      </c>
      <c r="H2873" s="11" t="s">
        <v>703</v>
      </c>
      <c r="I2873" s="13">
        <v>2764.1616000000004</v>
      </c>
      <c r="J2873" s="13"/>
      <c r="K2873" s="13" t="str">
        <f t="shared" si="291"/>
        <v/>
      </c>
      <c r="L2873" s="11" t="s">
        <v>53</v>
      </c>
      <c r="M2873" s="16" t="s">
        <v>1358</v>
      </c>
      <c r="N2873" s="11" t="s">
        <v>73</v>
      </c>
      <c r="O2873" s="10" t="str">
        <f t="shared" si="79"/>
        <v>07/2026</v>
      </c>
      <c r="P2873" s="10" t="str">
        <f t="shared" si="287"/>
        <v/>
      </c>
      <c r="Q2873" s="15" t="str">
        <f t="array" ref="Q2873">IFERROR(XLOOKUP(N2873,'Classificação'!A:A,'Classificação'!B:B),"")</f>
        <v>DESPESAS NÃO OPERACIONAIS</v>
      </c>
      <c r="R2873" s="15" t="str">
        <f t="array" ref="R2873">IFERROR(XLOOKUP(Q2873,'Classificação'!B:B,'Classificação'!C:C),"")</f>
        <v>RESULTADO NÃO OPERACIONAL (+/-)</v>
      </c>
      <c r="S2873" s="15">
        <f t="shared" si="228"/>
        <v>18</v>
      </c>
      <c r="T2873" s="15">
        <f t="shared" si="128"/>
        <v>7</v>
      </c>
      <c r="U2873" s="15">
        <f t="shared" si="129"/>
        <v>2026</v>
      </c>
      <c r="V2873" s="15" t="str">
        <f t="shared" si="8"/>
        <v/>
      </c>
      <c r="W2873" s="15" t="str">
        <f t="shared" si="9"/>
        <v/>
      </c>
      <c r="X2873" s="15" t="str">
        <f t="shared" si="10"/>
        <v/>
      </c>
    </row>
    <row r="2874">
      <c r="A2874" s="26">
        <v>46221.0</v>
      </c>
      <c r="B2874" s="30"/>
      <c r="C2874" s="27" t="str">
        <f t="shared" si="249"/>
        <v/>
      </c>
      <c r="D2874" s="28" t="s">
        <v>65</v>
      </c>
      <c r="E2874" s="28" t="s">
        <v>1305</v>
      </c>
      <c r="F2874" s="28" t="s">
        <v>45</v>
      </c>
      <c r="G2874" s="28" t="s">
        <v>37</v>
      </c>
      <c r="H2874" s="28" t="s">
        <v>1114</v>
      </c>
      <c r="I2874" s="37">
        <v>700.0</v>
      </c>
      <c r="J2874" s="34"/>
      <c r="K2874" s="34" t="str">
        <f>IF(E2874="pago",(I2874-J2874),"")</f>
        <v/>
      </c>
      <c r="L2874" s="28" t="s">
        <v>29</v>
      </c>
      <c r="M2874" s="28"/>
      <c r="N2874" s="28" t="s">
        <v>68</v>
      </c>
      <c r="O2874" s="10" t="str">
        <f t="shared" si="79"/>
        <v>07/2026</v>
      </c>
      <c r="P2874" s="10" t="str">
        <f t="shared" si="287"/>
        <v/>
      </c>
      <c r="Q2874" s="15" t="str">
        <f t="array" ref="Q2874">IFERROR(XLOOKUP(N2874,'Classificação'!A:A,'Classificação'!B:B),"")</f>
        <v>FRETE DE VENDAS</v>
      </c>
      <c r="R2874" s="15" t="str">
        <f t="array" ref="R2874">IFERROR(XLOOKUP(Q2874,'Classificação'!B:B,'Classificação'!C:C),"")</f>
        <v>CUSTOS VARIÁVEIS</v>
      </c>
      <c r="S2874" s="15">
        <f t="shared" si="228"/>
        <v>18</v>
      </c>
      <c r="T2874" s="15">
        <f t="shared" si="128"/>
        <v>7</v>
      </c>
      <c r="U2874" s="15">
        <f t="shared" si="129"/>
        <v>2026</v>
      </c>
      <c r="V2874" s="15" t="str">
        <f t="shared" si="8"/>
        <v/>
      </c>
      <c r="W2874" s="15" t="str">
        <f t="shared" si="9"/>
        <v/>
      </c>
      <c r="X2874" s="15" t="str">
        <f t="shared" si="10"/>
        <v/>
      </c>
    </row>
    <row r="2875">
      <c r="A2875" s="9">
        <v>46221.0</v>
      </c>
      <c r="B2875" s="10"/>
      <c r="C2875" s="9" t="str">
        <f t="shared" si="249"/>
        <v/>
      </c>
      <c r="D2875" s="11" t="s">
        <v>65</v>
      </c>
      <c r="E2875" s="28" t="s">
        <v>1305</v>
      </c>
      <c r="F2875" s="11" t="s">
        <v>26</v>
      </c>
      <c r="G2875" s="11" t="s">
        <v>37</v>
      </c>
      <c r="H2875" s="11" t="s">
        <v>1238</v>
      </c>
      <c r="I2875" s="31">
        <v>483.26</v>
      </c>
      <c r="J2875" s="13"/>
      <c r="K2875" s="13"/>
      <c r="L2875" s="28" t="s">
        <v>53</v>
      </c>
      <c r="M2875" s="17">
        <v>46209.0</v>
      </c>
      <c r="N2875" s="11" t="s">
        <v>64</v>
      </c>
      <c r="O2875" s="10" t="str">
        <f t="shared" si="79"/>
        <v>07/2026</v>
      </c>
      <c r="P2875" s="10" t="str">
        <f>if(B2875="","", TEXT(B2875,"mm/yyyy"))</f>
        <v/>
      </c>
      <c r="Q2875" s="15" t="str">
        <f t="array" ref="Q2875">IFERROR(XLOOKUP(N2875,'Classificação'!A:A,'Classificação'!B:B),"")</f>
        <v>DESPESAS COM PESSOAL</v>
      </c>
      <c r="S2875" s="15">
        <f t="shared" si="228"/>
        <v>18</v>
      </c>
      <c r="T2875" s="15">
        <f t="shared" si="128"/>
        <v>7</v>
      </c>
      <c r="U2875" s="15">
        <f t="shared" si="129"/>
        <v>2026</v>
      </c>
      <c r="V2875" s="15" t="str">
        <f t="shared" si="8"/>
        <v/>
      </c>
      <c r="W2875" s="15" t="str">
        <f t="shared" si="9"/>
        <v/>
      </c>
      <c r="X2875" s="15" t="str">
        <f t="shared" si="10"/>
        <v/>
      </c>
    </row>
    <row r="2876">
      <c r="A2876" s="26">
        <v>46223.0</v>
      </c>
      <c r="B2876" s="26">
        <v>45867.0</v>
      </c>
      <c r="C2876" s="9" t="str">
        <f t="shared" si="249"/>
        <v/>
      </c>
      <c r="D2876" s="28" t="s">
        <v>109</v>
      </c>
      <c r="E2876" s="28" t="s">
        <v>1305</v>
      </c>
      <c r="F2876" s="29" t="s">
        <v>107</v>
      </c>
      <c r="G2876" s="28" t="s">
        <v>27</v>
      </c>
      <c r="H2876" s="29" t="s">
        <v>1359</v>
      </c>
      <c r="I2876" s="24">
        <v>24.16</v>
      </c>
      <c r="J2876" s="34"/>
      <c r="K2876" s="37" t="str">
        <f>IF(E2876="pago",(I2876-J2876),"")</f>
        <v/>
      </c>
      <c r="L2876" s="11" t="s">
        <v>53</v>
      </c>
      <c r="M2876" s="35">
        <v>46003.0</v>
      </c>
      <c r="N2876" s="28" t="s">
        <v>105</v>
      </c>
      <c r="O2876" s="10" t="str">
        <f t="shared" si="79"/>
        <v>07/2026</v>
      </c>
      <c r="P2876" s="10" t="str">
        <f t="shared" ref="P2876:P2881" si="292">if(C2876="","", TEXT(C2876,"mm/yyyy"))</f>
        <v/>
      </c>
      <c r="Q2876" s="15" t="str">
        <f t="array" ref="Q2876">IFERROR(XLOOKUP(N2876,'Classificação'!A:A,'Classificação'!B:B),"")</f>
        <v>DESPESAS ADMINISTRATIVAS</v>
      </c>
      <c r="R2876" s="15" t="str">
        <f t="array" ref="R2876">IFERROR(XLOOKUP(Q2876,'Classificação'!B:B,'Classificação'!C:C),"")</f>
        <v>DESPESAS FIXAS (-)</v>
      </c>
      <c r="S2876" s="15">
        <f t="shared" si="228"/>
        <v>20</v>
      </c>
      <c r="T2876" s="15">
        <f t="shared" si="128"/>
        <v>7</v>
      </c>
      <c r="U2876" s="15">
        <f t="shared" si="129"/>
        <v>2026</v>
      </c>
      <c r="V2876" s="15" t="str">
        <f t="shared" si="8"/>
        <v/>
      </c>
      <c r="W2876" s="15" t="str">
        <f t="shared" si="9"/>
        <v/>
      </c>
      <c r="X2876" s="15" t="str">
        <f t="shared" si="10"/>
        <v/>
      </c>
    </row>
    <row r="2877">
      <c r="A2877" s="9">
        <v>46223.0</v>
      </c>
      <c r="B2877" s="9">
        <v>45863.0</v>
      </c>
      <c r="C2877" s="9" t="str">
        <f t="shared" si="249"/>
        <v/>
      </c>
      <c r="D2877" s="11" t="s">
        <v>65</v>
      </c>
      <c r="E2877" s="11" t="s">
        <v>1305</v>
      </c>
      <c r="F2877" s="11" t="s">
        <v>107</v>
      </c>
      <c r="G2877" s="11" t="s">
        <v>27</v>
      </c>
      <c r="H2877" s="11" t="s">
        <v>915</v>
      </c>
      <c r="I2877" s="12">
        <v>185.17</v>
      </c>
      <c r="J2877" s="13"/>
      <c r="K2877" s="13" t="str">
        <f>if(E2877="pago",(I2877-J2877),"")</f>
        <v/>
      </c>
      <c r="L2877" s="11" t="s">
        <v>53</v>
      </c>
      <c r="M2877" s="17">
        <v>46003.0</v>
      </c>
      <c r="N2877" s="11" t="s">
        <v>95</v>
      </c>
      <c r="O2877" s="10" t="str">
        <f t="shared" si="79"/>
        <v>07/2026</v>
      </c>
      <c r="P2877" s="10" t="str">
        <f t="shared" si="292"/>
        <v/>
      </c>
      <c r="Q2877" s="15" t="str">
        <f t="array" ref="Q2877">IFERROR(XLOOKUP(N2877,'Classificação'!A:A,'Classificação'!B:B),"")</f>
        <v>DESPESAS NÃO OPERACIONAIS</v>
      </c>
      <c r="R2877" s="15" t="str">
        <f t="array" ref="R2877">IFERROR(XLOOKUP(Q2877,'Classificação'!B:B,'Classificação'!C:C),"")</f>
        <v>RESULTADO NÃO OPERACIONAL (+/-)</v>
      </c>
      <c r="S2877" s="15">
        <f t="shared" si="228"/>
        <v>20</v>
      </c>
      <c r="T2877" s="15">
        <f t="shared" si="128"/>
        <v>7</v>
      </c>
      <c r="U2877" s="15">
        <f t="shared" si="129"/>
        <v>2026</v>
      </c>
      <c r="V2877" s="15" t="str">
        <f t="shared" si="8"/>
        <v/>
      </c>
      <c r="W2877" s="15" t="str">
        <f t="shared" si="9"/>
        <v/>
      </c>
      <c r="X2877" s="15" t="str">
        <f t="shared" si="10"/>
        <v/>
      </c>
    </row>
    <row r="2878">
      <c r="A2878" s="26">
        <v>46223.0</v>
      </c>
      <c r="B2878" s="30"/>
      <c r="C2878" s="27" t="str">
        <f t="shared" si="249"/>
        <v/>
      </c>
      <c r="D2878" s="28" t="s">
        <v>100</v>
      </c>
      <c r="E2878" s="28" t="s">
        <v>1305</v>
      </c>
      <c r="F2878" s="28" t="s">
        <v>40</v>
      </c>
      <c r="G2878" s="28" t="s">
        <v>27</v>
      </c>
      <c r="H2878" s="29" t="s">
        <v>1015</v>
      </c>
      <c r="I2878" s="37">
        <v>14000.0</v>
      </c>
      <c r="J2878" s="34"/>
      <c r="K2878" s="34" t="str">
        <f t="shared" ref="K2878:K2882" si="293">IF(E2878="pago",(I2878-J2878),"")</f>
        <v/>
      </c>
      <c r="L2878" s="28" t="s">
        <v>29</v>
      </c>
      <c r="M2878" s="28"/>
      <c r="N2878" s="28" t="s">
        <v>101</v>
      </c>
      <c r="O2878" s="10" t="str">
        <f t="shared" si="79"/>
        <v>07/2026</v>
      </c>
      <c r="P2878" s="10" t="str">
        <f t="shared" si="292"/>
        <v/>
      </c>
      <c r="Q2878" s="15" t="str">
        <f t="array" ref="Q2878">IFERROR(XLOOKUP(N2878,'Classificação'!A:A,'Classificação'!B:B),"")</f>
        <v>IMPOSTO DE RENDA - DAS</v>
      </c>
      <c r="R2878" s="15" t="str">
        <f t="array" ref="R2878">IFERROR(XLOOKUP(Q2878,'Classificação'!B:B,'Classificação'!C:C),"")</f>
        <v>DEDUÇÕES DA RECEITA BRUTA (-)</v>
      </c>
      <c r="S2878" s="15">
        <f t="shared" si="228"/>
        <v>20</v>
      </c>
      <c r="T2878" s="15">
        <f t="shared" si="128"/>
        <v>7</v>
      </c>
      <c r="U2878" s="15">
        <f t="shared" si="129"/>
        <v>2026</v>
      </c>
      <c r="V2878" s="15" t="str">
        <f t="shared" si="8"/>
        <v/>
      </c>
      <c r="W2878" s="15" t="str">
        <f t="shared" si="9"/>
        <v/>
      </c>
      <c r="X2878" s="15" t="str">
        <f t="shared" si="10"/>
        <v/>
      </c>
    </row>
    <row r="2879">
      <c r="A2879" s="26">
        <v>46223.0</v>
      </c>
      <c r="B2879" s="30"/>
      <c r="C2879" s="27" t="str">
        <f t="shared" si="249"/>
        <v/>
      </c>
      <c r="D2879" s="28" t="s">
        <v>100</v>
      </c>
      <c r="E2879" s="28" t="s">
        <v>1305</v>
      </c>
      <c r="F2879" s="28" t="s">
        <v>40</v>
      </c>
      <c r="G2879" s="28" t="s">
        <v>37</v>
      </c>
      <c r="H2879" s="29" t="s">
        <v>1016</v>
      </c>
      <c r="I2879" s="37">
        <v>14000.0</v>
      </c>
      <c r="J2879" s="34"/>
      <c r="K2879" s="34" t="str">
        <f t="shared" si="293"/>
        <v/>
      </c>
      <c r="L2879" s="28" t="s">
        <v>29</v>
      </c>
      <c r="M2879" s="28"/>
      <c r="N2879" s="28" t="s">
        <v>101</v>
      </c>
      <c r="O2879" s="10" t="str">
        <f t="shared" si="79"/>
        <v>07/2026</v>
      </c>
      <c r="P2879" s="10" t="str">
        <f t="shared" si="292"/>
        <v/>
      </c>
      <c r="Q2879" s="15" t="str">
        <f t="array" ref="Q2879">IFERROR(XLOOKUP(N2879,'Classificação'!A:A,'Classificação'!B:B),"")</f>
        <v>IMPOSTO DE RENDA - DAS</v>
      </c>
      <c r="R2879" s="15" t="str">
        <f t="array" ref="R2879">IFERROR(XLOOKUP(Q2879,'Classificação'!B:B,'Classificação'!C:C),"")</f>
        <v>DEDUÇÕES DA RECEITA BRUTA (-)</v>
      </c>
      <c r="S2879" s="15">
        <f t="shared" si="228"/>
        <v>20</v>
      </c>
      <c r="T2879" s="15">
        <f t="shared" si="128"/>
        <v>7</v>
      </c>
      <c r="U2879" s="15">
        <f t="shared" si="129"/>
        <v>2026</v>
      </c>
      <c r="V2879" s="15" t="str">
        <f t="shared" si="8"/>
        <v/>
      </c>
      <c r="W2879" s="15" t="str">
        <f t="shared" si="9"/>
        <v/>
      </c>
      <c r="X2879" s="15" t="str">
        <f t="shared" si="10"/>
        <v/>
      </c>
    </row>
    <row r="2880">
      <c r="A2880" s="26">
        <v>46223.0</v>
      </c>
      <c r="B2880" s="28"/>
      <c r="C2880" s="27" t="str">
        <f t="shared" si="249"/>
        <v/>
      </c>
      <c r="D2880" s="28" t="s">
        <v>123</v>
      </c>
      <c r="E2880" s="28" t="s">
        <v>1305</v>
      </c>
      <c r="F2880" s="28" t="s">
        <v>40</v>
      </c>
      <c r="G2880" s="28" t="s">
        <v>27</v>
      </c>
      <c r="H2880" s="29" t="s">
        <v>1184</v>
      </c>
      <c r="I2880" s="24">
        <v>572.0</v>
      </c>
      <c r="J2880" s="34"/>
      <c r="K2880" s="34" t="str">
        <f t="shared" si="293"/>
        <v/>
      </c>
      <c r="L2880" s="28" t="s">
        <v>29</v>
      </c>
      <c r="M2880" s="28"/>
      <c r="N2880" s="28" t="s">
        <v>123</v>
      </c>
      <c r="O2880" s="10" t="str">
        <f t="shared" si="79"/>
        <v>07/2026</v>
      </c>
      <c r="P2880" s="10" t="str">
        <f t="shared" si="292"/>
        <v/>
      </c>
      <c r="Q2880" s="15" t="str">
        <f t="array" ref="Q2880">IFERROR(XLOOKUP(N2880,'Classificação'!A:A,'Classificação'!B:B),"")</f>
        <v>DESPESAS COM PESSOAL</v>
      </c>
      <c r="R2880" s="15" t="str">
        <f t="array" ref="R2880">IFERROR(XLOOKUP(Q2880,'Classificação'!B:B,'Classificação'!C:C),"")</f>
        <v>DESPESAS FIXAS (-)</v>
      </c>
      <c r="S2880" s="15">
        <f t="shared" si="228"/>
        <v>20</v>
      </c>
      <c r="T2880" s="15">
        <f t="shared" si="128"/>
        <v>7</v>
      </c>
      <c r="U2880" s="15">
        <f t="shared" si="129"/>
        <v>2026</v>
      </c>
      <c r="V2880" s="15" t="str">
        <f t="shared" si="8"/>
        <v/>
      </c>
      <c r="W2880" s="15" t="str">
        <f t="shared" si="9"/>
        <v/>
      </c>
      <c r="X2880" s="15" t="str">
        <f t="shared" si="10"/>
        <v/>
      </c>
    </row>
    <row r="2881">
      <c r="A2881" s="26">
        <v>46223.0</v>
      </c>
      <c r="B2881" s="28"/>
      <c r="C2881" s="27" t="str">
        <f t="shared" si="249"/>
        <v/>
      </c>
      <c r="D2881" s="28" t="s">
        <v>126</v>
      </c>
      <c r="E2881" s="28" t="s">
        <v>1305</v>
      </c>
      <c r="F2881" s="28" t="s">
        <v>40</v>
      </c>
      <c r="G2881" s="28" t="s">
        <v>27</v>
      </c>
      <c r="H2881" s="29" t="s">
        <v>1185</v>
      </c>
      <c r="I2881" s="24">
        <v>730.0</v>
      </c>
      <c r="J2881" s="34"/>
      <c r="K2881" s="34" t="str">
        <f t="shared" si="293"/>
        <v/>
      </c>
      <c r="L2881" s="28" t="s">
        <v>29</v>
      </c>
      <c r="M2881" s="28"/>
      <c r="N2881" s="28" t="s">
        <v>126</v>
      </c>
      <c r="O2881" s="10" t="str">
        <f t="shared" si="79"/>
        <v>07/2026</v>
      </c>
      <c r="P2881" s="10" t="str">
        <f t="shared" si="292"/>
        <v/>
      </c>
      <c r="Q2881" s="15" t="str">
        <f t="array" ref="Q2881">IFERROR(XLOOKUP(N2881,'Classificação'!A:A,'Classificação'!B:B),"")</f>
        <v>DESPESAS COM PESSOAL</v>
      </c>
      <c r="R2881" s="15" t="str">
        <f t="array" ref="R2881">IFERROR(XLOOKUP(Q2881,'Classificação'!B:B,'Classificação'!C:C),"")</f>
        <v>DESPESAS FIXAS (-)</v>
      </c>
      <c r="S2881" s="15">
        <f t="shared" si="228"/>
        <v>20</v>
      </c>
      <c r="T2881" s="15">
        <f t="shared" si="128"/>
        <v>7</v>
      </c>
      <c r="U2881" s="15">
        <f t="shared" si="129"/>
        <v>2026</v>
      </c>
      <c r="V2881" s="15" t="str">
        <f t="shared" si="8"/>
        <v/>
      </c>
      <c r="W2881" s="15" t="str">
        <f t="shared" si="9"/>
        <v/>
      </c>
      <c r="X2881" s="15" t="str">
        <f t="shared" si="10"/>
        <v/>
      </c>
    </row>
    <row r="2882">
      <c r="A2882" s="26">
        <v>46223.0</v>
      </c>
      <c r="B2882" s="28"/>
      <c r="C2882" s="27" t="str">
        <f t="shared" si="249"/>
        <v/>
      </c>
      <c r="D2882" s="28" t="s">
        <v>171</v>
      </c>
      <c r="E2882" s="28" t="s">
        <v>1305</v>
      </c>
      <c r="F2882" s="28" t="s">
        <v>40</v>
      </c>
      <c r="G2882" s="28" t="s">
        <v>27</v>
      </c>
      <c r="H2882" s="28"/>
      <c r="I2882" s="37">
        <v>150.0</v>
      </c>
      <c r="J2882" s="34"/>
      <c r="K2882" s="34" t="str">
        <f t="shared" si="293"/>
        <v/>
      </c>
      <c r="L2882" s="28" t="s">
        <v>29</v>
      </c>
      <c r="M2882" s="28"/>
      <c r="N2882" s="28" t="s">
        <v>172</v>
      </c>
      <c r="O2882" s="10" t="str">
        <f t="shared" si="79"/>
        <v>07/2026</v>
      </c>
      <c r="P2882" s="10" t="str">
        <f t="shared" ref="P2882:P2887" si="294">if(B2882="","", TEXT(B2882,"mm/yyyy"))</f>
        <v/>
      </c>
      <c r="Q2882" s="15" t="str">
        <f t="array" ref="Q2882">IFERROR(XLOOKUP(N2882,'Classificação'!A:A,'Classificação'!B:B),"")</f>
        <v>DESPESAS COM OCUPAÇÃO</v>
      </c>
      <c r="R2882" s="15" t="str">
        <f t="array" ref="R2882">IFERROR(XLOOKUP(Q2882,'Classificação'!B:B,'Classificação'!C:C),"")</f>
        <v>DESPESAS FIXAS (-)</v>
      </c>
      <c r="S2882" s="15">
        <f t="shared" si="228"/>
        <v>20</v>
      </c>
      <c r="T2882" s="15">
        <f t="shared" si="128"/>
        <v>7</v>
      </c>
      <c r="U2882" s="15">
        <f t="shared" si="129"/>
        <v>2026</v>
      </c>
      <c r="V2882" s="15" t="str">
        <f t="shared" si="8"/>
        <v/>
      </c>
      <c r="W2882" s="15" t="str">
        <f t="shared" si="9"/>
        <v/>
      </c>
      <c r="X2882" s="15" t="str">
        <f t="shared" si="10"/>
        <v/>
      </c>
    </row>
    <row r="2883">
      <c r="A2883" s="26">
        <v>46223.0</v>
      </c>
      <c r="B2883" s="39"/>
      <c r="C2883" s="9" t="str">
        <f t="shared" si="249"/>
        <v/>
      </c>
      <c r="D2883" s="28" t="s">
        <v>65</v>
      </c>
      <c r="E2883" s="28" t="s">
        <v>1305</v>
      </c>
      <c r="F2883" s="28" t="s">
        <v>107</v>
      </c>
      <c r="G2883" s="28" t="s">
        <v>27</v>
      </c>
      <c r="H2883" s="28" t="s">
        <v>612</v>
      </c>
      <c r="I2883" s="24">
        <v>8.9</v>
      </c>
      <c r="J2883" s="34"/>
      <c r="K2883" s="13" t="str">
        <f>if(E2883="pago",(I2883-J2883),"")</f>
        <v/>
      </c>
      <c r="L2883" s="28" t="s">
        <v>29</v>
      </c>
      <c r="M2883" s="28"/>
      <c r="N2883" s="28" t="s">
        <v>105</v>
      </c>
      <c r="O2883" s="10" t="str">
        <f t="shared" si="79"/>
        <v>07/2026</v>
      </c>
      <c r="P2883" s="10" t="str">
        <f t="shared" si="294"/>
        <v/>
      </c>
      <c r="Q2883" s="15" t="str">
        <f t="array" ref="Q2883">IFERROR(XLOOKUP(N2883,'Classificação'!A:A,'Classificação'!B:B),"")</f>
        <v>DESPESAS ADMINISTRATIVAS</v>
      </c>
      <c r="R2883" s="15" t="str">
        <f t="array" ref="R2883">IFERROR(XLOOKUP(Q2883,'Classificação'!B:B,'Classificação'!C:C),"")</f>
        <v>DESPESAS FIXAS (-)</v>
      </c>
      <c r="S2883" s="15">
        <f t="shared" si="228"/>
        <v>20</v>
      </c>
      <c r="T2883" s="15">
        <f t="shared" si="128"/>
        <v>7</v>
      </c>
      <c r="U2883" s="15">
        <f t="shared" si="129"/>
        <v>2026</v>
      </c>
      <c r="V2883" s="15" t="str">
        <f t="shared" si="8"/>
        <v/>
      </c>
      <c r="W2883" s="15" t="str">
        <f t="shared" si="9"/>
        <v/>
      </c>
      <c r="X2883" s="15" t="str">
        <f t="shared" si="10"/>
        <v/>
      </c>
    </row>
    <row r="2884">
      <c r="A2884" s="26">
        <v>46223.0</v>
      </c>
      <c r="B2884" s="28"/>
      <c r="C2884" s="27" t="str">
        <f t="shared" si="249"/>
        <v/>
      </c>
      <c r="D2884" s="28" t="s">
        <v>637</v>
      </c>
      <c r="E2884" s="28" t="s">
        <v>1305</v>
      </c>
      <c r="F2884" s="28" t="s">
        <v>40</v>
      </c>
      <c r="G2884" s="28" t="s">
        <v>27</v>
      </c>
      <c r="H2884" s="28"/>
      <c r="I2884" s="37">
        <v>170.0</v>
      </c>
      <c r="J2884" s="34"/>
      <c r="K2884" s="34" t="str">
        <f t="shared" ref="K2884:K2887" si="295">IF(E2884="pago",(I2884-J2884),"")</f>
        <v/>
      </c>
      <c r="L2884" s="28" t="s">
        <v>29</v>
      </c>
      <c r="M2884" s="28"/>
      <c r="N2884" s="28" t="s">
        <v>201</v>
      </c>
      <c r="O2884" s="10" t="str">
        <f t="shared" si="79"/>
        <v>07/2026</v>
      </c>
      <c r="P2884" s="10" t="str">
        <f t="shared" si="294"/>
        <v/>
      </c>
      <c r="Q2884" s="15" t="str">
        <f t="array" ref="Q2884">IFERROR(XLOOKUP(N2884,'Classificação'!A:A,'Classificação'!B:B),"")</f>
        <v>DESPESAS COM OCUPAÇÃO</v>
      </c>
      <c r="R2884" s="15" t="str">
        <f t="array" ref="R2884">IFERROR(XLOOKUP(Q2884,'Classificação'!B:B,'Classificação'!C:C),"")</f>
        <v>DESPESAS FIXAS (-)</v>
      </c>
      <c r="S2884" s="15">
        <f t="shared" si="228"/>
        <v>20</v>
      </c>
      <c r="T2884" s="15">
        <f t="shared" si="128"/>
        <v>7</v>
      </c>
      <c r="U2884" s="15">
        <f t="shared" si="129"/>
        <v>2026</v>
      </c>
      <c r="V2884" s="15" t="str">
        <f t="shared" si="8"/>
        <v/>
      </c>
      <c r="W2884" s="15" t="str">
        <f t="shared" si="9"/>
        <v/>
      </c>
      <c r="X2884" s="15" t="str">
        <f t="shared" si="10"/>
        <v/>
      </c>
    </row>
    <row r="2885">
      <c r="A2885" s="26">
        <v>46223.0</v>
      </c>
      <c r="B2885" s="28"/>
      <c r="C2885" s="27" t="str">
        <f t="shared" si="249"/>
        <v/>
      </c>
      <c r="D2885" s="28" t="s">
        <v>121</v>
      </c>
      <c r="E2885" s="28" t="s">
        <v>1305</v>
      </c>
      <c r="F2885" s="28" t="s">
        <v>107</v>
      </c>
      <c r="G2885" s="28" t="s">
        <v>27</v>
      </c>
      <c r="H2885" s="28"/>
      <c r="I2885" s="24">
        <v>79.9</v>
      </c>
      <c r="J2885" s="34"/>
      <c r="K2885" s="34" t="str">
        <f t="shared" si="295"/>
        <v/>
      </c>
      <c r="L2885" s="28" t="s">
        <v>29</v>
      </c>
      <c r="M2885" s="28"/>
      <c r="N2885" s="28" t="s">
        <v>105</v>
      </c>
      <c r="O2885" s="10" t="str">
        <f t="shared" si="79"/>
        <v>07/2026</v>
      </c>
      <c r="P2885" s="10" t="str">
        <f t="shared" si="294"/>
        <v/>
      </c>
      <c r="Q2885" s="15" t="str">
        <f t="array" ref="Q2885">IFERROR(XLOOKUP(N2885,'Classificação'!A:A,'Classificação'!B:B),"")</f>
        <v>DESPESAS ADMINISTRATIVAS</v>
      </c>
      <c r="R2885" s="15" t="str">
        <f t="array" ref="R2885">IFERROR(XLOOKUP(Q2885,'Classificação'!B:B,'Classificação'!C:C),"")</f>
        <v>DESPESAS FIXAS (-)</v>
      </c>
      <c r="S2885" s="15">
        <f t="shared" si="228"/>
        <v>20</v>
      </c>
      <c r="T2885" s="15">
        <f t="shared" si="128"/>
        <v>7</v>
      </c>
      <c r="U2885" s="15">
        <f t="shared" si="129"/>
        <v>2026</v>
      </c>
      <c r="V2885" s="15" t="str">
        <f t="shared" si="8"/>
        <v/>
      </c>
      <c r="W2885" s="15" t="str">
        <f t="shared" si="9"/>
        <v/>
      </c>
      <c r="X2885" s="15" t="str">
        <f t="shared" si="10"/>
        <v/>
      </c>
    </row>
    <row r="2886">
      <c r="A2886" s="26">
        <v>46223.0</v>
      </c>
      <c r="B2886" s="28"/>
      <c r="C2886" s="27" t="str">
        <f t="shared" si="249"/>
        <v/>
      </c>
      <c r="D2886" s="28" t="s">
        <v>104</v>
      </c>
      <c r="E2886" s="28" t="s">
        <v>1305</v>
      </c>
      <c r="F2886" s="28" t="s">
        <v>40</v>
      </c>
      <c r="G2886" s="28" t="s">
        <v>27</v>
      </c>
      <c r="H2886" s="29" t="s">
        <v>1186</v>
      </c>
      <c r="I2886" s="37">
        <v>450.0</v>
      </c>
      <c r="J2886" s="34"/>
      <c r="K2886" s="34" t="str">
        <f t="shared" si="295"/>
        <v/>
      </c>
      <c r="L2886" s="28" t="s">
        <v>29</v>
      </c>
      <c r="M2886" s="28"/>
      <c r="N2886" s="28" t="s">
        <v>105</v>
      </c>
      <c r="O2886" s="10" t="str">
        <f t="shared" si="79"/>
        <v>07/2026</v>
      </c>
      <c r="P2886" s="10" t="str">
        <f t="shared" si="294"/>
        <v/>
      </c>
      <c r="Q2886" s="15" t="str">
        <f t="array" ref="Q2886">IFERROR(XLOOKUP(N2886,'Classificação'!A:A,'Classificação'!B:B),"")</f>
        <v>DESPESAS ADMINISTRATIVAS</v>
      </c>
      <c r="R2886" s="15" t="str">
        <f t="array" ref="R2886">IFERROR(XLOOKUP(Q2886,'Classificação'!B:B,'Classificação'!C:C),"")</f>
        <v>DESPESAS FIXAS (-)</v>
      </c>
      <c r="S2886" s="15">
        <f t="shared" si="228"/>
        <v>20</v>
      </c>
      <c r="T2886" s="15">
        <f t="shared" si="128"/>
        <v>7</v>
      </c>
      <c r="U2886" s="15">
        <f t="shared" si="129"/>
        <v>2026</v>
      </c>
      <c r="V2886" s="15" t="str">
        <f t="shared" si="8"/>
        <v/>
      </c>
      <c r="W2886" s="15" t="str">
        <f t="shared" si="9"/>
        <v/>
      </c>
      <c r="X2886" s="15" t="str">
        <f t="shared" si="10"/>
        <v/>
      </c>
    </row>
    <row r="2887">
      <c r="A2887" s="26">
        <v>46223.0</v>
      </c>
      <c r="B2887" s="28"/>
      <c r="C2887" s="27" t="str">
        <f t="shared" si="249"/>
        <v/>
      </c>
      <c r="D2887" s="28" t="s">
        <v>44</v>
      </c>
      <c r="E2887" s="28" t="s">
        <v>1305</v>
      </c>
      <c r="F2887" s="28" t="s">
        <v>45</v>
      </c>
      <c r="G2887" s="28" t="s">
        <v>27</v>
      </c>
      <c r="H2887" s="28" t="s">
        <v>1308</v>
      </c>
      <c r="I2887" s="37">
        <v>125.0</v>
      </c>
      <c r="J2887" s="34"/>
      <c r="K2887" s="34" t="str">
        <f t="shared" si="295"/>
        <v/>
      </c>
      <c r="L2887" s="28" t="s">
        <v>29</v>
      </c>
      <c r="M2887" s="28"/>
      <c r="N2887" s="28" t="s">
        <v>47</v>
      </c>
      <c r="O2887" s="10" t="str">
        <f t="shared" si="79"/>
        <v>07/2026</v>
      </c>
      <c r="P2887" s="10" t="str">
        <f t="shared" si="294"/>
        <v/>
      </c>
      <c r="Q2887" s="15" t="str">
        <f t="array" ref="Q2887">IFERROR(XLOOKUP(N2887,'Classificação'!A:A,'Classificação'!B:B),"")</f>
        <v>DESPESAS NÃO OPERACIONAIS</v>
      </c>
      <c r="R2887" s="15" t="str">
        <f t="array" ref="R2887">IFERROR(XLOOKUP(Q2887,'Classificação'!B:B,'Classificação'!C:C),"")</f>
        <v>RESULTADO NÃO OPERACIONAL (+/-)</v>
      </c>
      <c r="S2887" s="15">
        <f t="shared" si="228"/>
        <v>20</v>
      </c>
      <c r="T2887" s="15">
        <f t="shared" si="128"/>
        <v>7</v>
      </c>
      <c r="U2887" s="15">
        <f t="shared" si="129"/>
        <v>2026</v>
      </c>
      <c r="V2887" s="15" t="str">
        <f t="shared" si="8"/>
        <v/>
      </c>
      <c r="W2887" s="15" t="str">
        <f t="shared" si="9"/>
        <v/>
      </c>
      <c r="X2887" s="15" t="str">
        <f t="shared" si="10"/>
        <v/>
      </c>
    </row>
    <row r="2888">
      <c r="A2888" s="9">
        <v>46223.0</v>
      </c>
      <c r="B2888" s="9">
        <v>46190.0</v>
      </c>
      <c r="C2888" s="9" t="str">
        <f t="shared" si="249"/>
        <v/>
      </c>
      <c r="D2888" s="11" t="s">
        <v>1181</v>
      </c>
      <c r="E2888" s="29" t="s">
        <v>1305</v>
      </c>
      <c r="F2888" s="11" t="s">
        <v>107</v>
      </c>
      <c r="G2888" s="28" t="s">
        <v>27</v>
      </c>
      <c r="H2888" s="11" t="s">
        <v>1182</v>
      </c>
      <c r="I2888" s="12">
        <v>39.99</v>
      </c>
      <c r="J2888" s="13"/>
      <c r="K2888" s="13" t="str">
        <f>if(E2888="pago",(I2888-J2888),"")</f>
        <v/>
      </c>
      <c r="L2888" s="11" t="s">
        <v>29</v>
      </c>
      <c r="M2888" s="14"/>
      <c r="N2888" s="11" t="s">
        <v>105</v>
      </c>
      <c r="O2888" s="10" t="str">
        <f t="shared" si="79"/>
        <v>07/2026</v>
      </c>
      <c r="P2888" s="10" t="str">
        <f t="shared" ref="P2888:P2894" si="296">if(C2888="","", TEXT(C2888,"mm/yyyy"))</f>
        <v/>
      </c>
      <c r="Q2888" s="15" t="str">
        <f t="array" ref="Q2888">IFERROR(XLOOKUP(N2888,'Classificação'!A:A,'Classificação'!B:B),"")</f>
        <v>DESPESAS ADMINISTRATIVAS</v>
      </c>
      <c r="R2888" s="15" t="str">
        <f t="array" ref="R2888">IFERROR(XLOOKUP(Q2888,'Classificação'!B:B,'Classificação'!C:C),"")</f>
        <v>DESPESAS FIXAS (-)</v>
      </c>
      <c r="S2888" s="15">
        <f t="shared" si="228"/>
        <v>20</v>
      </c>
      <c r="T2888" s="15">
        <f t="shared" si="128"/>
        <v>7</v>
      </c>
      <c r="U2888" s="15">
        <f t="shared" si="129"/>
        <v>2026</v>
      </c>
      <c r="V2888" s="15" t="str">
        <f t="shared" si="8"/>
        <v/>
      </c>
      <c r="W2888" s="15" t="str">
        <f t="shared" si="9"/>
        <v/>
      </c>
      <c r="X2888" s="15" t="str">
        <f t="shared" si="10"/>
        <v/>
      </c>
    </row>
    <row r="2889">
      <c r="A2889" s="27">
        <v>46223.0</v>
      </c>
      <c r="B2889" s="28"/>
      <c r="C2889" s="27" t="str">
        <f t="shared" si="249"/>
        <v/>
      </c>
      <c r="D2889" s="28" t="s">
        <v>126</v>
      </c>
      <c r="E2889" s="28" t="s">
        <v>1305</v>
      </c>
      <c r="F2889" s="28" t="s">
        <v>40</v>
      </c>
      <c r="G2889" s="28" t="s">
        <v>27</v>
      </c>
      <c r="H2889" s="29" t="s">
        <v>1210</v>
      </c>
      <c r="I2889" s="24">
        <v>210.0</v>
      </c>
      <c r="J2889" s="34"/>
      <c r="K2889" s="34" t="str">
        <f t="shared" ref="K2889:K2890" si="297">IF(E2889="pago",(I2889-J2889),"")</f>
        <v/>
      </c>
      <c r="L2889" s="28" t="s">
        <v>29</v>
      </c>
      <c r="M2889" s="28"/>
      <c r="N2889" s="28" t="s">
        <v>126</v>
      </c>
      <c r="O2889" s="10" t="str">
        <f t="shared" si="79"/>
        <v>07/2026</v>
      </c>
      <c r="P2889" s="10" t="str">
        <f t="shared" si="296"/>
        <v/>
      </c>
      <c r="Q2889" s="15" t="str">
        <f t="array" ref="Q2889">IFERROR(XLOOKUP(N2889,'Classificação'!A:A,'Classificação'!B:B),"")</f>
        <v>DESPESAS COM PESSOAL</v>
      </c>
      <c r="R2889" s="15" t="str">
        <f t="array" ref="R2889">IFERROR(XLOOKUP(Q2889,'Classificação'!B:B,'Classificação'!C:C),"")</f>
        <v>DESPESAS FIXAS (-)</v>
      </c>
      <c r="S2889" s="15">
        <f t="shared" si="228"/>
        <v>20</v>
      </c>
      <c r="T2889" s="15">
        <f t="shared" si="128"/>
        <v>7</v>
      </c>
      <c r="U2889" s="15">
        <f t="shared" si="129"/>
        <v>2026</v>
      </c>
      <c r="V2889" s="15" t="str">
        <f t="shared" si="8"/>
        <v/>
      </c>
      <c r="W2889" s="15" t="str">
        <f t="shared" si="9"/>
        <v/>
      </c>
      <c r="X2889" s="15" t="str">
        <f t="shared" si="10"/>
        <v/>
      </c>
    </row>
    <row r="2890">
      <c r="A2890" s="27">
        <v>46223.0</v>
      </c>
      <c r="B2890" s="28"/>
      <c r="C2890" s="27" t="str">
        <f t="shared" si="249"/>
        <v/>
      </c>
      <c r="D2890" s="28" t="s">
        <v>123</v>
      </c>
      <c r="E2890" s="28" t="s">
        <v>1305</v>
      </c>
      <c r="F2890" s="28" t="s">
        <v>40</v>
      </c>
      <c r="G2890" s="28" t="s">
        <v>27</v>
      </c>
      <c r="H2890" s="29" t="s">
        <v>1180</v>
      </c>
      <c r="I2890" s="24">
        <v>217.0</v>
      </c>
      <c r="J2890" s="34"/>
      <c r="K2890" s="34" t="str">
        <f t="shared" si="297"/>
        <v/>
      </c>
      <c r="L2890" s="28" t="s">
        <v>29</v>
      </c>
      <c r="M2890" s="28"/>
      <c r="N2890" s="28" t="s">
        <v>123</v>
      </c>
      <c r="O2890" s="10" t="str">
        <f t="shared" si="79"/>
        <v>07/2026</v>
      </c>
      <c r="P2890" s="10" t="str">
        <f t="shared" si="296"/>
        <v/>
      </c>
      <c r="Q2890" s="15" t="str">
        <f t="array" ref="Q2890">IFERROR(XLOOKUP(N2890,'Classificação'!A:A,'Classificação'!B:B),"")</f>
        <v>DESPESAS COM PESSOAL</v>
      </c>
      <c r="R2890" s="15" t="str">
        <f t="array" ref="R2890">IFERROR(XLOOKUP(Q2890,'Classificação'!B:B,'Classificação'!C:C),"")</f>
        <v>DESPESAS FIXAS (-)</v>
      </c>
      <c r="S2890" s="15">
        <f t="shared" si="228"/>
        <v>20</v>
      </c>
      <c r="T2890" s="15">
        <f t="shared" si="128"/>
        <v>7</v>
      </c>
      <c r="U2890" s="15">
        <f t="shared" si="129"/>
        <v>2026</v>
      </c>
      <c r="V2890" s="15" t="str">
        <f t="shared" si="8"/>
        <v/>
      </c>
      <c r="W2890" s="15" t="str">
        <f t="shared" si="9"/>
        <v/>
      </c>
      <c r="X2890" s="15" t="str">
        <f t="shared" si="10"/>
        <v/>
      </c>
    </row>
    <row r="2891">
      <c r="A2891" s="9">
        <v>46223.0</v>
      </c>
      <c r="B2891" s="32"/>
      <c r="C2891" s="9" t="str">
        <f t="shared" si="249"/>
        <v/>
      </c>
      <c r="D2891" s="28" t="s">
        <v>369</v>
      </c>
      <c r="E2891" s="28" t="s">
        <v>1305</v>
      </c>
      <c r="F2891" s="28" t="s">
        <v>107</v>
      </c>
      <c r="G2891" s="28" t="s">
        <v>27</v>
      </c>
      <c r="H2891" s="11" t="s">
        <v>1247</v>
      </c>
      <c r="I2891" s="38">
        <v>29.9</v>
      </c>
      <c r="J2891" s="13"/>
      <c r="K2891" s="13" t="str">
        <f t="shared" ref="K2891:K2894" si="298">if(E2891="pago",(I2891-J2891),"")</f>
        <v/>
      </c>
      <c r="L2891" s="29" t="s">
        <v>29</v>
      </c>
      <c r="M2891" s="17"/>
      <c r="N2891" s="29" t="s">
        <v>105</v>
      </c>
      <c r="O2891" s="10" t="str">
        <f t="shared" si="79"/>
        <v>07/2026</v>
      </c>
      <c r="P2891" s="10" t="str">
        <f t="shared" si="296"/>
        <v/>
      </c>
      <c r="Q2891" s="15" t="str">
        <f t="array" ref="Q2891">IFERROR(XLOOKUP(N2891,'Classificação'!A:A,'Classificação'!B:B),"")</f>
        <v>DESPESAS ADMINISTRATIVAS</v>
      </c>
      <c r="R2891" s="15" t="str">
        <f t="array" ref="R2891">IFERROR(XLOOKUP(Q2891,'Classificação'!B:B,'Classificação'!C:C),"")</f>
        <v>DESPESAS FIXAS (-)</v>
      </c>
      <c r="S2891" s="15">
        <f t="shared" si="228"/>
        <v>20</v>
      </c>
      <c r="T2891" s="15">
        <f t="shared" si="128"/>
        <v>7</v>
      </c>
      <c r="U2891" s="15">
        <f t="shared" si="129"/>
        <v>2026</v>
      </c>
      <c r="V2891" s="15" t="str">
        <f t="shared" si="8"/>
        <v/>
      </c>
      <c r="W2891" s="15" t="str">
        <f t="shared" si="9"/>
        <v/>
      </c>
      <c r="X2891" s="15" t="str">
        <f t="shared" si="10"/>
        <v/>
      </c>
    </row>
    <row r="2892">
      <c r="A2892" s="9">
        <v>46223.0</v>
      </c>
      <c r="B2892" s="9">
        <v>46081.0</v>
      </c>
      <c r="C2892" s="9" t="str">
        <f t="shared" si="249"/>
        <v/>
      </c>
      <c r="D2892" s="11" t="s">
        <v>65</v>
      </c>
      <c r="E2892" s="28" t="s">
        <v>1305</v>
      </c>
      <c r="F2892" s="11" t="s">
        <v>107</v>
      </c>
      <c r="G2892" s="11" t="s">
        <v>27</v>
      </c>
      <c r="H2892" s="11" t="s">
        <v>1293</v>
      </c>
      <c r="I2892" s="31">
        <v>127.9</v>
      </c>
      <c r="J2892" s="13"/>
      <c r="K2892" s="13" t="str">
        <f t="shared" si="298"/>
        <v/>
      </c>
      <c r="L2892" s="11" t="s">
        <v>53</v>
      </c>
      <c r="M2892" s="17">
        <v>46361.0</v>
      </c>
      <c r="N2892" s="11" t="s">
        <v>95</v>
      </c>
      <c r="O2892" s="10" t="str">
        <f t="shared" si="79"/>
        <v>07/2026</v>
      </c>
      <c r="P2892" s="10" t="str">
        <f t="shared" si="296"/>
        <v/>
      </c>
      <c r="Q2892" s="15" t="str">
        <f t="array" ref="Q2892">IFERROR(XLOOKUP(N2892,'Classificação'!A:A,'Classificação'!B:B),"")</f>
        <v>DESPESAS NÃO OPERACIONAIS</v>
      </c>
      <c r="R2892" s="15" t="str">
        <f t="array" ref="R2892">IFERROR(XLOOKUP(Q2892,'Classificação'!B:B,'Classificação'!C:C),"")</f>
        <v>RESULTADO NÃO OPERACIONAL (+/-)</v>
      </c>
      <c r="S2892" s="15">
        <f t="shared" si="228"/>
        <v>20</v>
      </c>
      <c r="T2892" s="15">
        <f t="shared" si="128"/>
        <v>7</v>
      </c>
      <c r="U2892" s="15">
        <f t="shared" si="129"/>
        <v>2026</v>
      </c>
      <c r="V2892" s="15" t="str">
        <f t="shared" si="8"/>
        <v/>
      </c>
      <c r="W2892" s="15" t="str">
        <f t="shared" si="9"/>
        <v/>
      </c>
      <c r="X2892" s="15" t="str">
        <f t="shared" si="10"/>
        <v/>
      </c>
    </row>
    <row r="2893">
      <c r="A2893" s="9">
        <v>46223.0</v>
      </c>
      <c r="B2893" s="9">
        <v>46077.0</v>
      </c>
      <c r="C2893" s="9" t="str">
        <f t="shared" si="249"/>
        <v/>
      </c>
      <c r="D2893" s="11" t="s">
        <v>1294</v>
      </c>
      <c r="E2893" s="28" t="s">
        <v>1305</v>
      </c>
      <c r="F2893" s="11" t="s">
        <v>107</v>
      </c>
      <c r="G2893" s="28" t="s">
        <v>27</v>
      </c>
      <c r="H2893" s="11" t="s">
        <v>1295</v>
      </c>
      <c r="I2893" s="31">
        <v>185.2</v>
      </c>
      <c r="J2893" s="13"/>
      <c r="K2893" s="13" t="str">
        <f t="shared" si="298"/>
        <v/>
      </c>
      <c r="L2893" s="28" t="s">
        <v>53</v>
      </c>
      <c r="M2893" s="17">
        <v>46361.0</v>
      </c>
      <c r="N2893" s="11" t="s">
        <v>64</v>
      </c>
      <c r="O2893" s="10" t="str">
        <f t="shared" si="79"/>
        <v>07/2026</v>
      </c>
      <c r="P2893" s="10" t="str">
        <f t="shared" si="296"/>
        <v/>
      </c>
      <c r="Q2893" s="15" t="str">
        <f t="array" ref="Q2893">IFERROR(XLOOKUP(N2893,'Classificação'!A:A,'Classificação'!B:B),"")</f>
        <v>DESPESAS COM PESSOAL</v>
      </c>
      <c r="R2893" s="15" t="str">
        <f t="array" ref="R2893">IFERROR(XLOOKUP(Q2893,'Classificação'!B:B,'Classificação'!C:C),"")</f>
        <v>DESPESAS FIXAS (-)</v>
      </c>
      <c r="S2893" s="15">
        <f t="shared" si="228"/>
        <v>20</v>
      </c>
      <c r="T2893" s="15">
        <f t="shared" si="128"/>
        <v>7</v>
      </c>
      <c r="U2893" s="15">
        <f t="shared" si="129"/>
        <v>2026</v>
      </c>
      <c r="V2893" s="15" t="str">
        <f t="shared" si="8"/>
        <v/>
      </c>
      <c r="W2893" s="15" t="str">
        <f t="shared" si="9"/>
        <v/>
      </c>
      <c r="X2893" s="15" t="str">
        <f t="shared" si="10"/>
        <v/>
      </c>
    </row>
    <row r="2894">
      <c r="A2894" s="9">
        <v>46223.0</v>
      </c>
      <c r="B2894" s="9">
        <v>46101.0</v>
      </c>
      <c r="C2894" s="9" t="str">
        <f t="shared" si="249"/>
        <v/>
      </c>
      <c r="D2894" s="11" t="s">
        <v>86</v>
      </c>
      <c r="E2894" s="28" t="s">
        <v>1305</v>
      </c>
      <c r="F2894" s="11" t="s">
        <v>87</v>
      </c>
      <c r="G2894" s="28" t="s">
        <v>27</v>
      </c>
      <c r="H2894" s="11" t="s">
        <v>1360</v>
      </c>
      <c r="I2894" s="31">
        <v>2632.5</v>
      </c>
      <c r="J2894" s="13"/>
      <c r="K2894" s="13" t="str">
        <f t="shared" si="298"/>
        <v/>
      </c>
      <c r="L2894" s="11" t="s">
        <v>53</v>
      </c>
      <c r="M2894" s="17">
        <v>46116.0</v>
      </c>
      <c r="N2894" s="11" t="s">
        <v>35</v>
      </c>
      <c r="O2894" s="10" t="str">
        <f t="shared" si="79"/>
        <v>07/2026</v>
      </c>
      <c r="P2894" s="10" t="str">
        <f t="shared" si="296"/>
        <v/>
      </c>
      <c r="Q2894" s="15" t="str">
        <f t="array" ref="Q2894">IFERROR(XLOOKUP(N2894,'Classificação'!A:A,'Classificação'!B:B),"")</f>
        <v>COMPRA DE MERCADORIA</v>
      </c>
      <c r="R2894" s="15" t="str">
        <f t="array" ref="R2894">IFERROR(XLOOKUP(Q2894,'Classificação'!B:B,'Classificação'!C:C),"")</f>
        <v>CUSTOS VARIÁVEIS</v>
      </c>
      <c r="S2894" s="15">
        <f t="shared" si="228"/>
        <v>20</v>
      </c>
      <c r="T2894" s="15">
        <f t="shared" si="128"/>
        <v>7</v>
      </c>
      <c r="U2894" s="15">
        <f t="shared" si="129"/>
        <v>2026</v>
      </c>
      <c r="V2894" s="15" t="str">
        <f t="shared" si="8"/>
        <v/>
      </c>
      <c r="W2894" s="15" t="str">
        <f t="shared" si="9"/>
        <v/>
      </c>
      <c r="X2894" s="15" t="str">
        <f t="shared" si="10"/>
        <v/>
      </c>
    </row>
    <row r="2895">
      <c r="A2895" s="9">
        <v>46224.0</v>
      </c>
      <c r="B2895" s="10"/>
      <c r="C2895" s="9" t="str">
        <f t="shared" si="249"/>
        <v/>
      </c>
      <c r="D2895" s="28" t="s">
        <v>76</v>
      </c>
      <c r="E2895" s="28" t="s">
        <v>1305</v>
      </c>
      <c r="F2895" s="28" t="s">
        <v>26</v>
      </c>
      <c r="G2895" s="28" t="s">
        <v>27</v>
      </c>
      <c r="H2895" s="28" t="s">
        <v>84</v>
      </c>
      <c r="I2895" s="24">
        <v>1214.27</v>
      </c>
      <c r="J2895" s="13"/>
      <c r="K2895" s="13"/>
      <c r="L2895" s="28" t="s">
        <v>53</v>
      </c>
      <c r="M2895" s="16" t="s">
        <v>1353</v>
      </c>
      <c r="N2895" s="28" t="s">
        <v>85</v>
      </c>
      <c r="O2895" s="10" t="str">
        <f t="shared" si="79"/>
        <v>07/2026</v>
      </c>
      <c r="P2895" s="10"/>
      <c r="Q2895" s="15" t="str">
        <f t="array" ref="Q2895">IFERROR(XLOOKUP(N2895,'Classificação'!A:A,'Classificação'!B:B),"")</f>
        <v>DESPESAS NÃO OPERACIONAIS</v>
      </c>
      <c r="R2895" s="15" t="str">
        <f t="array" ref="R2895">IFERROR(XLOOKUP(Q2895,'Classificação'!B:B,'Classificação'!C:C),"")</f>
        <v>RESULTADO NÃO OPERACIONAL (+/-)</v>
      </c>
      <c r="S2895" s="15">
        <f t="shared" si="228"/>
        <v>21</v>
      </c>
      <c r="T2895" s="15">
        <f t="shared" si="128"/>
        <v>7</v>
      </c>
      <c r="U2895" s="15">
        <f t="shared" si="129"/>
        <v>2026</v>
      </c>
      <c r="V2895" s="15" t="str">
        <f t="shared" si="8"/>
        <v/>
      </c>
      <c r="W2895" s="15" t="str">
        <f t="shared" si="9"/>
        <v/>
      </c>
      <c r="X2895" s="15" t="str">
        <f t="shared" si="10"/>
        <v/>
      </c>
    </row>
    <row r="2896">
      <c r="A2896" s="26">
        <v>46225.0</v>
      </c>
      <c r="B2896" s="10"/>
      <c r="C2896" s="9" t="str">
        <f t="shared" si="249"/>
        <v/>
      </c>
      <c r="D2896" s="28" t="s">
        <v>36</v>
      </c>
      <c r="E2896" s="28" t="s">
        <v>1305</v>
      </c>
      <c r="F2896" s="28" t="s">
        <v>26</v>
      </c>
      <c r="G2896" s="28" t="s">
        <v>37</v>
      </c>
      <c r="I2896" s="37">
        <v>9000.0</v>
      </c>
      <c r="J2896" s="13"/>
      <c r="K2896" s="13" t="str">
        <f t="shared" ref="K2896:K2897" si="299">if(E2896="pago",(I2896-J2896),"")</f>
        <v/>
      </c>
      <c r="L2896" s="28" t="s">
        <v>29</v>
      </c>
      <c r="M2896" s="14"/>
      <c r="N2896" s="28" t="s">
        <v>38</v>
      </c>
      <c r="O2896" s="10" t="str">
        <f t="shared" si="79"/>
        <v>07/2026</v>
      </c>
      <c r="P2896" s="10" t="str">
        <f t="shared" ref="P2896:P2898" si="300">if(C2896="","", TEXT(C2896,"mm/yyyy"))</f>
        <v/>
      </c>
      <c r="Q2896" s="15" t="str">
        <f t="array" ref="Q2896">IFERROR(XLOOKUP(N2896,'Classificação'!A:A,'Classificação'!B:B),"")</f>
        <v>DESPESAS COM PESSOAL</v>
      </c>
      <c r="R2896" s="15" t="str">
        <f t="array" ref="R2896">IFERROR(XLOOKUP(Q2896,'Classificação'!B:B,'Classificação'!C:C),"")</f>
        <v>DESPESAS FIXAS (-)</v>
      </c>
      <c r="S2896" s="15">
        <f t="shared" si="228"/>
        <v>22</v>
      </c>
      <c r="T2896" s="15">
        <f t="shared" si="128"/>
        <v>7</v>
      </c>
      <c r="U2896" s="15">
        <f t="shared" si="129"/>
        <v>2026</v>
      </c>
      <c r="V2896" s="15" t="str">
        <f t="shared" si="8"/>
        <v/>
      </c>
      <c r="W2896" s="15" t="str">
        <f t="shared" si="9"/>
        <v/>
      </c>
      <c r="X2896" s="15" t="str">
        <f t="shared" si="10"/>
        <v/>
      </c>
    </row>
    <row r="2897">
      <c r="A2897" s="26">
        <v>46225.0</v>
      </c>
      <c r="B2897" s="10"/>
      <c r="C2897" s="9" t="str">
        <f t="shared" si="249"/>
        <v/>
      </c>
      <c r="D2897" s="28" t="s">
        <v>43</v>
      </c>
      <c r="E2897" s="28" t="s">
        <v>1305</v>
      </c>
      <c r="F2897" s="29" t="s">
        <v>26</v>
      </c>
      <c r="G2897" s="28" t="s">
        <v>37</v>
      </c>
      <c r="I2897" s="37">
        <v>9000.0</v>
      </c>
      <c r="J2897" s="13"/>
      <c r="K2897" s="13" t="str">
        <f t="shared" si="299"/>
        <v/>
      </c>
      <c r="L2897" s="28" t="s">
        <v>29</v>
      </c>
      <c r="M2897" s="14"/>
      <c r="N2897" s="28" t="s">
        <v>38</v>
      </c>
      <c r="O2897" s="10" t="str">
        <f t="shared" si="79"/>
        <v>07/2026</v>
      </c>
      <c r="P2897" s="10" t="str">
        <f t="shared" si="300"/>
        <v/>
      </c>
      <c r="Q2897" s="15" t="str">
        <f t="array" ref="Q2897">IFERROR(XLOOKUP(N2897,'Classificação'!A:A,'Classificação'!B:B),"")</f>
        <v>DESPESAS COM PESSOAL</v>
      </c>
      <c r="R2897" s="15" t="str">
        <f t="array" ref="R2897">IFERROR(XLOOKUP(Q2897,'Classificação'!B:B,'Classificação'!C:C),"")</f>
        <v>DESPESAS FIXAS (-)</v>
      </c>
      <c r="S2897" s="15">
        <f t="shared" si="228"/>
        <v>22</v>
      </c>
      <c r="T2897" s="15">
        <f t="shared" si="128"/>
        <v>7</v>
      </c>
      <c r="U2897" s="15">
        <f t="shared" si="129"/>
        <v>2026</v>
      </c>
      <c r="V2897" s="15" t="str">
        <f t="shared" si="8"/>
        <v/>
      </c>
      <c r="W2897" s="15" t="str">
        <f t="shared" si="9"/>
        <v/>
      </c>
      <c r="X2897" s="15" t="str">
        <f t="shared" si="10"/>
        <v/>
      </c>
    </row>
    <row r="2898">
      <c r="A2898" s="9">
        <v>46227.0</v>
      </c>
      <c r="B2898" s="10"/>
      <c r="C2898" s="9" t="str">
        <f t="shared" si="249"/>
        <v/>
      </c>
      <c r="D2898" s="28" t="s">
        <v>39</v>
      </c>
      <c r="E2898" s="28" t="s">
        <v>1305</v>
      </c>
      <c r="F2898" s="28" t="s">
        <v>40</v>
      </c>
      <c r="G2898" s="28" t="s">
        <v>27</v>
      </c>
      <c r="H2898" s="28" t="s">
        <v>640</v>
      </c>
      <c r="I2898" s="24">
        <v>148.07</v>
      </c>
      <c r="J2898" s="34"/>
      <c r="K2898" s="37" t="str">
        <f t="shared" ref="K2898:K2900" si="301">IF(E2898="pago",(I2898-J2898),"")</f>
        <v/>
      </c>
      <c r="L2898" s="28" t="s">
        <v>53</v>
      </c>
      <c r="M2898" s="40">
        <v>45935.0</v>
      </c>
      <c r="N2898" s="28" t="s">
        <v>355</v>
      </c>
      <c r="O2898" s="10" t="str">
        <f t="shared" si="79"/>
        <v>07/2026</v>
      </c>
      <c r="P2898" s="10" t="str">
        <f t="shared" si="300"/>
        <v/>
      </c>
      <c r="Q2898" s="15" t="str">
        <f t="array" ref="Q2898">IFERROR(XLOOKUP(N2898,'Classificação'!A:A,'Classificação'!B:B),"")</f>
        <v>IMPOSTOS E TAXAS DIVERSAS</v>
      </c>
      <c r="S2898" s="15">
        <f t="shared" si="228"/>
        <v>24</v>
      </c>
      <c r="T2898" s="15">
        <f t="shared" si="128"/>
        <v>7</v>
      </c>
      <c r="U2898" s="15">
        <f t="shared" si="129"/>
        <v>2026</v>
      </c>
      <c r="V2898" s="15" t="str">
        <f t="shared" si="8"/>
        <v/>
      </c>
      <c r="W2898" s="15" t="str">
        <f t="shared" si="9"/>
        <v/>
      </c>
      <c r="X2898" s="15" t="str">
        <f t="shared" si="10"/>
        <v/>
      </c>
    </row>
    <row r="2899">
      <c r="A2899" s="26">
        <v>46228.0</v>
      </c>
      <c r="B2899" s="28"/>
      <c r="C2899" s="27" t="str">
        <f t="shared" si="249"/>
        <v/>
      </c>
      <c r="D2899" s="28" t="s">
        <v>208</v>
      </c>
      <c r="E2899" s="28" t="s">
        <v>1305</v>
      </c>
      <c r="F2899" s="28" t="s">
        <v>40</v>
      </c>
      <c r="G2899" s="28" t="s">
        <v>27</v>
      </c>
      <c r="H2899" s="28" t="s">
        <v>209</v>
      </c>
      <c r="I2899" s="37">
        <v>204.96</v>
      </c>
      <c r="J2899" s="34"/>
      <c r="K2899" s="34" t="str">
        <f t="shared" si="301"/>
        <v/>
      </c>
      <c r="L2899" s="28" t="s">
        <v>29</v>
      </c>
      <c r="M2899" s="28"/>
      <c r="N2899" s="28" t="s">
        <v>210</v>
      </c>
      <c r="O2899" s="10" t="str">
        <f t="shared" si="79"/>
        <v>07/2026</v>
      </c>
      <c r="P2899" s="10" t="str">
        <f>if(B2899="","", TEXT(B2899,"mm/yyyy"))</f>
        <v/>
      </c>
      <c r="Q2899" s="15" t="str">
        <f t="array" ref="Q2899">IFERROR(XLOOKUP(N2899,'Classificação'!A:A,'Classificação'!B:B),"")</f>
        <v>DESPESAS COM OCUPAÇÃO</v>
      </c>
      <c r="R2899" s="15" t="str">
        <f t="array" ref="R2899">IFERROR(XLOOKUP(Q2899,'Classificação'!B:B,'Classificação'!C:C),"")</f>
        <v>DESPESAS FIXAS (-)</v>
      </c>
      <c r="S2899" s="15">
        <f t="shared" si="228"/>
        <v>25</v>
      </c>
      <c r="T2899" s="15">
        <f t="shared" si="128"/>
        <v>7</v>
      </c>
      <c r="U2899" s="15">
        <f t="shared" si="129"/>
        <v>2026</v>
      </c>
      <c r="V2899" s="15" t="str">
        <f t="shared" si="8"/>
        <v/>
      </c>
      <c r="W2899" s="15" t="str">
        <f t="shared" si="9"/>
        <v/>
      </c>
      <c r="X2899" s="15" t="str">
        <f t="shared" si="10"/>
        <v/>
      </c>
    </row>
    <row r="2900">
      <c r="A2900" s="26">
        <v>46228.0</v>
      </c>
      <c r="B2900" s="28"/>
      <c r="C2900" s="27" t="str">
        <f t="shared" si="249"/>
        <v/>
      </c>
      <c r="D2900" s="28" t="s">
        <v>828</v>
      </c>
      <c r="E2900" s="29" t="s">
        <v>1305</v>
      </c>
      <c r="F2900" s="28" t="s">
        <v>26</v>
      </c>
      <c r="G2900" s="28" t="s">
        <v>37</v>
      </c>
      <c r="H2900" s="28" t="s">
        <v>1220</v>
      </c>
      <c r="I2900" s="33">
        <v>107.81</v>
      </c>
      <c r="J2900" s="34"/>
      <c r="K2900" s="37" t="str">
        <f t="shared" si="301"/>
        <v/>
      </c>
      <c r="L2900" s="28" t="s">
        <v>34</v>
      </c>
      <c r="M2900" s="28"/>
      <c r="N2900" s="28" t="s">
        <v>105</v>
      </c>
      <c r="O2900" s="10" t="str">
        <f t="shared" si="79"/>
        <v>07/2026</v>
      </c>
      <c r="P2900" s="10" t="str">
        <f t="shared" ref="P2900:P2901" si="302">if(C2900="","", TEXT(C2900,"mm/yyyy"))</f>
        <v/>
      </c>
      <c r="Q2900" s="15" t="str">
        <f t="array" ref="Q2900">IFERROR(XLOOKUP(N2900,'Classificação'!A:A,'Classificação'!B:B),"")</f>
        <v>DESPESAS ADMINISTRATIVAS</v>
      </c>
      <c r="R2900" s="15" t="str">
        <f t="array" ref="R2900">IFERROR(XLOOKUP(Q2900,'Classificação'!B:B,'Classificação'!C:C),"")</f>
        <v>DESPESAS FIXAS (-)</v>
      </c>
      <c r="S2900" s="15">
        <f t="shared" si="228"/>
        <v>25</v>
      </c>
      <c r="T2900" s="15">
        <f t="shared" si="128"/>
        <v>7</v>
      </c>
      <c r="U2900" s="15">
        <f t="shared" si="129"/>
        <v>2026</v>
      </c>
      <c r="V2900" s="15" t="str">
        <f t="shared" si="8"/>
        <v/>
      </c>
      <c r="W2900" s="15" t="str">
        <f t="shared" si="9"/>
        <v/>
      </c>
      <c r="X2900" s="15" t="str">
        <f t="shared" si="10"/>
        <v/>
      </c>
    </row>
    <row r="2901">
      <c r="A2901" s="9">
        <v>46229.0</v>
      </c>
      <c r="B2901" s="10"/>
      <c r="C2901" s="9" t="str">
        <f t="shared" si="249"/>
        <v/>
      </c>
      <c r="D2901" s="28" t="s">
        <v>44</v>
      </c>
      <c r="E2901" s="28" t="s">
        <v>1305</v>
      </c>
      <c r="F2901" s="28" t="s">
        <v>45</v>
      </c>
      <c r="G2901" s="28" t="s">
        <v>27</v>
      </c>
      <c r="H2901" s="29" t="s">
        <v>1329</v>
      </c>
      <c r="I2901" s="37">
        <v>2481.4352500000005</v>
      </c>
      <c r="J2901" s="34"/>
      <c r="K2901" s="37"/>
      <c r="L2901" s="28" t="s">
        <v>53</v>
      </c>
      <c r="M2901" s="16" t="s">
        <v>1361</v>
      </c>
      <c r="N2901" s="28" t="s">
        <v>73</v>
      </c>
      <c r="O2901" s="10" t="str">
        <f t="shared" si="79"/>
        <v>07/2026</v>
      </c>
      <c r="P2901" s="10" t="str">
        <f t="shared" si="302"/>
        <v/>
      </c>
      <c r="Q2901" s="15" t="str">
        <f t="array" ref="Q2901">IFERROR(XLOOKUP(N2901,'Classificação'!A:A,'Classificação'!B:B),"")</f>
        <v>DESPESAS NÃO OPERACIONAIS</v>
      </c>
      <c r="R2901" s="15" t="str">
        <f t="array" ref="R2901">IFERROR(XLOOKUP(Q2901,'Classificação'!B:B,'Classificação'!C:C),"")</f>
        <v>RESULTADO NÃO OPERACIONAL (+/-)</v>
      </c>
      <c r="S2901" s="15">
        <f t="shared" si="228"/>
        <v>26</v>
      </c>
      <c r="T2901" s="15">
        <f t="shared" si="128"/>
        <v>7</v>
      </c>
      <c r="U2901" s="15">
        <f t="shared" si="129"/>
        <v>2026</v>
      </c>
      <c r="V2901" s="15" t="str">
        <f t="shared" si="8"/>
        <v/>
      </c>
      <c r="W2901" s="15" t="str">
        <f t="shared" si="9"/>
        <v/>
      </c>
      <c r="X2901" s="15" t="str">
        <f t="shared" si="10"/>
        <v/>
      </c>
    </row>
    <row r="2902">
      <c r="A2902" s="26">
        <v>46233.0</v>
      </c>
      <c r="B2902" s="28"/>
      <c r="C2902" s="27" t="str">
        <f t="shared" si="249"/>
        <v/>
      </c>
      <c r="D2902" s="28" t="s">
        <v>221</v>
      </c>
      <c r="E2902" s="28" t="s">
        <v>1305</v>
      </c>
      <c r="F2902" s="28" t="s">
        <v>32</v>
      </c>
      <c r="G2902" s="28" t="s">
        <v>27</v>
      </c>
      <c r="H2902" s="28" t="s">
        <v>222</v>
      </c>
      <c r="I2902" s="24">
        <v>406.0</v>
      </c>
      <c r="J2902" s="34"/>
      <c r="K2902" s="34" t="str">
        <f t="shared" ref="K2902:K2907" si="303">IF(E2902="pago",(I2902-J2902),"")</f>
        <v/>
      </c>
      <c r="L2902" s="28" t="s">
        <v>29</v>
      </c>
      <c r="M2902" s="14"/>
      <c r="N2902" s="11" t="s">
        <v>61</v>
      </c>
      <c r="O2902" s="10" t="str">
        <f t="shared" si="79"/>
        <v>07/2026</v>
      </c>
      <c r="P2902" s="10" t="str">
        <f>if(B2902="","", TEXT(B2902,"mm/yyyy"))</f>
        <v/>
      </c>
      <c r="Q2902" s="15" t="str">
        <f t="array" ref="Q2902">IFERROR(XLOOKUP(N2902,'Classificação'!A:A,'Classificação'!B:B),"")</f>
        <v>DESPESAS ADMINISTRATIVAS</v>
      </c>
      <c r="R2902" s="15" t="str">
        <f t="array" ref="R2902">IFERROR(XLOOKUP(Q2902,'Classificação'!B:B,'Classificação'!C:C),"")</f>
        <v>DESPESAS FIXAS (-)</v>
      </c>
      <c r="S2902" s="15">
        <f t="shared" si="228"/>
        <v>30</v>
      </c>
      <c r="T2902" s="15">
        <f t="shared" si="128"/>
        <v>7</v>
      </c>
      <c r="U2902" s="15">
        <f t="shared" si="129"/>
        <v>2026</v>
      </c>
      <c r="V2902" s="15" t="str">
        <f t="shared" si="8"/>
        <v/>
      </c>
      <c r="W2902" s="15" t="str">
        <f t="shared" si="9"/>
        <v/>
      </c>
      <c r="X2902" s="15" t="str">
        <f t="shared" si="10"/>
        <v/>
      </c>
    </row>
    <row r="2903">
      <c r="A2903" s="26">
        <v>46233.0</v>
      </c>
      <c r="B2903" s="30"/>
      <c r="C2903" s="27" t="str">
        <f t="shared" si="249"/>
        <v/>
      </c>
      <c r="D2903" s="28" t="s">
        <v>80</v>
      </c>
      <c r="E2903" s="28" t="s">
        <v>1305</v>
      </c>
      <c r="F2903" s="28" t="s">
        <v>32</v>
      </c>
      <c r="G2903" s="28" t="s">
        <v>27</v>
      </c>
      <c r="H2903" s="29" t="s">
        <v>1150</v>
      </c>
      <c r="I2903" s="37">
        <v>1040.0</v>
      </c>
      <c r="J2903" s="34"/>
      <c r="K2903" s="34" t="str">
        <f t="shared" si="303"/>
        <v/>
      </c>
      <c r="L2903" s="28" t="s">
        <v>29</v>
      </c>
      <c r="M2903" s="28"/>
      <c r="N2903" s="28" t="s">
        <v>38</v>
      </c>
      <c r="O2903" s="10" t="str">
        <f t="shared" si="79"/>
        <v>07/2026</v>
      </c>
      <c r="P2903" s="10" t="str">
        <f t="shared" ref="P2903:P2904" si="304">if(C2903="","", TEXT(C2903,"mm/yyyy"))</f>
        <v/>
      </c>
      <c r="Q2903" s="15" t="str">
        <f t="array" ref="Q2903">IFERROR(XLOOKUP(N2903,'Classificação'!A:A,'Classificação'!B:B),"")</f>
        <v>DESPESAS COM PESSOAL</v>
      </c>
      <c r="R2903" s="15" t="str">
        <f t="array" ref="R2903">IFERROR(XLOOKUP(Q2903,'Classificação'!B:B,'Classificação'!C:C),"")</f>
        <v>DESPESAS FIXAS (-)</v>
      </c>
      <c r="S2903" s="15">
        <f t="shared" si="228"/>
        <v>30</v>
      </c>
      <c r="T2903" s="15">
        <f t="shared" si="128"/>
        <v>7</v>
      </c>
      <c r="U2903" s="15">
        <f t="shared" si="129"/>
        <v>2026</v>
      </c>
      <c r="V2903" s="15" t="str">
        <f t="shared" si="8"/>
        <v/>
      </c>
      <c r="W2903" s="15" t="str">
        <f t="shared" si="9"/>
        <v/>
      </c>
      <c r="X2903" s="15" t="str">
        <f t="shared" si="10"/>
        <v/>
      </c>
    </row>
    <row r="2904">
      <c r="A2904" s="26">
        <v>46233.0</v>
      </c>
      <c r="B2904" s="30"/>
      <c r="C2904" s="27" t="str">
        <f t="shared" si="249"/>
        <v/>
      </c>
      <c r="D2904" s="28" t="s">
        <v>80</v>
      </c>
      <c r="E2904" s="28" t="s">
        <v>1305</v>
      </c>
      <c r="F2904" s="28" t="s">
        <v>40</v>
      </c>
      <c r="G2904" s="28" t="s">
        <v>27</v>
      </c>
      <c r="H2904" s="29" t="s">
        <v>1100</v>
      </c>
      <c r="I2904" s="37">
        <v>550.0</v>
      </c>
      <c r="J2904" s="34"/>
      <c r="K2904" s="34" t="str">
        <f t="shared" si="303"/>
        <v/>
      </c>
      <c r="L2904" s="28" t="s">
        <v>29</v>
      </c>
      <c r="M2904" s="28"/>
      <c r="N2904" s="28" t="s">
        <v>204</v>
      </c>
      <c r="O2904" s="10" t="str">
        <f t="shared" si="79"/>
        <v>07/2026</v>
      </c>
      <c r="P2904" s="10" t="str">
        <f t="shared" si="304"/>
        <v/>
      </c>
      <c r="Q2904" s="15" t="str">
        <f t="array" ref="Q2904">IFERROR(XLOOKUP(N2904,'Classificação'!A:A,'Classificação'!B:B),"")</f>
        <v>DESPESAS COM PESSOAL</v>
      </c>
      <c r="R2904" s="15" t="str">
        <f t="array" ref="R2904">IFERROR(XLOOKUP(Q2904,'Classificação'!B:B,'Classificação'!C:C),"")</f>
        <v>DESPESAS FIXAS (-)</v>
      </c>
      <c r="S2904" s="15">
        <f t="shared" si="228"/>
        <v>30</v>
      </c>
      <c r="T2904" s="15">
        <f t="shared" si="128"/>
        <v>7</v>
      </c>
      <c r="U2904" s="15">
        <f t="shared" si="129"/>
        <v>2026</v>
      </c>
      <c r="V2904" s="15" t="str">
        <f t="shared" si="8"/>
        <v/>
      </c>
      <c r="W2904" s="15" t="str">
        <f t="shared" si="9"/>
        <v/>
      </c>
      <c r="X2904" s="15" t="str">
        <f t="shared" si="10"/>
        <v/>
      </c>
    </row>
    <row r="2905">
      <c r="A2905" s="26">
        <v>46233.0</v>
      </c>
      <c r="B2905" s="28"/>
      <c r="C2905" s="27" t="str">
        <f t="shared" si="249"/>
        <v/>
      </c>
      <c r="D2905" s="28" t="s">
        <v>223</v>
      </c>
      <c r="E2905" s="28" t="s">
        <v>1305</v>
      </c>
      <c r="F2905" s="28" t="s">
        <v>32</v>
      </c>
      <c r="G2905" s="28" t="s">
        <v>27</v>
      </c>
      <c r="H2905" s="29" t="s">
        <v>1231</v>
      </c>
      <c r="I2905" s="37">
        <v>100.0</v>
      </c>
      <c r="J2905" s="34"/>
      <c r="K2905" s="34" t="str">
        <f t="shared" si="303"/>
        <v/>
      </c>
      <c r="L2905" s="28" t="s">
        <v>29</v>
      </c>
      <c r="M2905" s="28"/>
      <c r="N2905" s="28" t="s">
        <v>224</v>
      </c>
      <c r="O2905" s="10" t="str">
        <f t="shared" si="79"/>
        <v>07/2026</v>
      </c>
      <c r="P2905" s="10" t="str">
        <f>if(B2905="","", TEXT(B2905,"mm/yyyy"))</f>
        <v/>
      </c>
      <c r="Q2905" s="15" t="str">
        <f t="array" ref="Q2905">IFERROR(XLOOKUP(N2905,'Classificação'!A:A,'Classificação'!B:B),"")</f>
        <v>DESPESAS ADMINISTRATIVAS</v>
      </c>
      <c r="R2905" s="15" t="str">
        <f t="array" ref="R2905">IFERROR(XLOOKUP(Q2905,'Classificação'!B:B,'Classificação'!C:C),"")</f>
        <v>DESPESAS FIXAS (-)</v>
      </c>
      <c r="S2905" s="15">
        <f t="shared" si="228"/>
        <v>30</v>
      </c>
      <c r="T2905" s="15">
        <f t="shared" si="128"/>
        <v>7</v>
      </c>
      <c r="U2905" s="15">
        <f t="shared" si="129"/>
        <v>2026</v>
      </c>
      <c r="V2905" s="15" t="str">
        <f t="shared" si="8"/>
        <v/>
      </c>
      <c r="W2905" s="15" t="str">
        <f t="shared" si="9"/>
        <v/>
      </c>
      <c r="X2905" s="15" t="str">
        <f t="shared" si="10"/>
        <v/>
      </c>
    </row>
    <row r="2906">
      <c r="A2906" s="26">
        <v>46233.0</v>
      </c>
      <c r="B2906" s="28"/>
      <c r="C2906" s="27" t="str">
        <f t="shared" si="249"/>
        <v/>
      </c>
      <c r="D2906" s="29" t="s">
        <v>1094</v>
      </c>
      <c r="E2906" s="28" t="s">
        <v>1305</v>
      </c>
      <c r="F2906" s="29" t="s">
        <v>26</v>
      </c>
      <c r="G2906" s="29" t="s">
        <v>37</v>
      </c>
      <c r="H2906" s="29" t="s">
        <v>1312</v>
      </c>
      <c r="I2906" s="24">
        <v>2380.0</v>
      </c>
      <c r="J2906" s="34"/>
      <c r="K2906" s="34" t="str">
        <f t="shared" si="303"/>
        <v/>
      </c>
      <c r="L2906" s="28" t="s">
        <v>29</v>
      </c>
      <c r="M2906" s="28"/>
      <c r="N2906" s="28" t="s">
        <v>38</v>
      </c>
      <c r="O2906" s="10" t="str">
        <f t="shared" si="79"/>
        <v>07/2026</v>
      </c>
      <c r="P2906" s="10" t="str">
        <f t="shared" ref="P2906:P2908" si="305">if(C2906="","", TEXT(C2906,"mm/yyyy"))</f>
        <v/>
      </c>
      <c r="Q2906" s="15" t="str">
        <f t="array" ref="Q2906">IFERROR(XLOOKUP(N2906,'Classificação'!A:A,'Classificação'!B:B),"")</f>
        <v>DESPESAS COM PESSOAL</v>
      </c>
      <c r="R2906" s="15" t="str">
        <f t="array" ref="R2906">IFERROR(XLOOKUP(Q2906,'Classificação'!B:B,'Classificação'!C:C),"")</f>
        <v>DESPESAS FIXAS (-)</v>
      </c>
      <c r="S2906" s="15">
        <f t="shared" si="228"/>
        <v>30</v>
      </c>
      <c r="T2906" s="15">
        <f t="shared" si="128"/>
        <v>7</v>
      </c>
      <c r="U2906" s="15">
        <f t="shared" si="129"/>
        <v>2026</v>
      </c>
      <c r="V2906" s="15" t="str">
        <f t="shared" si="8"/>
        <v/>
      </c>
      <c r="W2906" s="15" t="str">
        <f t="shared" si="9"/>
        <v/>
      </c>
      <c r="X2906" s="15" t="str">
        <f t="shared" si="10"/>
        <v/>
      </c>
    </row>
    <row r="2907">
      <c r="A2907" s="26">
        <v>46233.0</v>
      </c>
      <c r="B2907" s="28"/>
      <c r="C2907" s="27" t="str">
        <f t="shared" si="249"/>
        <v/>
      </c>
      <c r="D2907" s="29" t="s">
        <v>1094</v>
      </c>
      <c r="E2907" s="28" t="s">
        <v>1305</v>
      </c>
      <c r="F2907" s="28" t="s">
        <v>40</v>
      </c>
      <c r="G2907" s="29" t="s">
        <v>37</v>
      </c>
      <c r="H2907" s="28" t="s">
        <v>1100</v>
      </c>
      <c r="I2907" s="37">
        <v>550.0</v>
      </c>
      <c r="J2907" s="34"/>
      <c r="K2907" s="34" t="str">
        <f t="shared" si="303"/>
        <v/>
      </c>
      <c r="L2907" s="28" t="s">
        <v>29</v>
      </c>
      <c r="M2907" s="28"/>
      <c r="N2907" s="28" t="s">
        <v>204</v>
      </c>
      <c r="O2907" s="10" t="str">
        <f t="shared" si="79"/>
        <v>07/2026</v>
      </c>
      <c r="P2907" s="10" t="str">
        <f t="shared" si="305"/>
        <v/>
      </c>
      <c r="Q2907" s="15" t="str">
        <f t="array" ref="Q2907">IFERROR(XLOOKUP(N2907,'Classificação'!A:A,'Classificação'!B:B),"")</f>
        <v>DESPESAS COM PESSOAL</v>
      </c>
      <c r="R2907" s="15" t="str">
        <f t="array" ref="R2907">IFERROR(XLOOKUP(Q2907,'Classificação'!B:B,'Classificação'!C:C),"")</f>
        <v>DESPESAS FIXAS (-)</v>
      </c>
      <c r="S2907" s="15">
        <f t="shared" si="228"/>
        <v>30</v>
      </c>
      <c r="T2907" s="15">
        <f t="shared" si="128"/>
        <v>7</v>
      </c>
      <c r="U2907" s="15">
        <f t="shared" si="129"/>
        <v>2026</v>
      </c>
      <c r="V2907" s="15" t="str">
        <f t="shared" si="8"/>
        <v/>
      </c>
      <c r="W2907" s="15" t="str">
        <f t="shared" si="9"/>
        <v/>
      </c>
      <c r="X2907" s="15" t="str">
        <f t="shared" si="10"/>
        <v/>
      </c>
    </row>
    <row r="2908">
      <c r="A2908" s="9">
        <v>46233.0</v>
      </c>
      <c r="B2908" s="10"/>
      <c r="C2908" s="9" t="str">
        <f t="shared" si="249"/>
        <v/>
      </c>
      <c r="D2908" s="11" t="s">
        <v>1229</v>
      </c>
      <c r="E2908" s="28" t="s">
        <v>1305</v>
      </c>
      <c r="F2908" s="11" t="s">
        <v>26</v>
      </c>
      <c r="G2908" s="11" t="s">
        <v>37</v>
      </c>
      <c r="H2908" s="11" t="s">
        <v>1230</v>
      </c>
      <c r="I2908" s="31">
        <v>1260.0</v>
      </c>
      <c r="J2908" s="13"/>
      <c r="K2908" s="13" t="str">
        <f t="shared" ref="K2908:K2909" si="306">if(E2908="pago",(I2908-J2908),"")</f>
        <v/>
      </c>
      <c r="L2908" s="11" t="s">
        <v>29</v>
      </c>
      <c r="M2908" s="14"/>
      <c r="N2908" s="11" t="s">
        <v>58</v>
      </c>
      <c r="O2908" s="10" t="str">
        <f t="shared" si="79"/>
        <v>07/2026</v>
      </c>
      <c r="P2908" s="10" t="str">
        <f t="shared" si="305"/>
        <v/>
      </c>
      <c r="Q2908" s="15" t="str">
        <f t="array" ref="Q2908">IFERROR(XLOOKUP(N2908,'Classificação'!A:A,'Classificação'!B:B),"")</f>
        <v>DESPESAS ADMINISTRATIVAS</v>
      </c>
      <c r="R2908" s="15" t="str">
        <f t="array" ref="R2908">IFERROR(XLOOKUP(Q2908,'Classificação'!B:B,'Classificação'!C:C),"")</f>
        <v>DESPESAS FIXAS (-)</v>
      </c>
      <c r="S2908" s="15">
        <f t="shared" si="228"/>
        <v>30</v>
      </c>
      <c r="T2908" s="15">
        <f t="shared" si="128"/>
        <v>7</v>
      </c>
      <c r="U2908" s="15">
        <f t="shared" si="129"/>
        <v>2026</v>
      </c>
      <c r="V2908" s="15" t="str">
        <f t="shared" si="8"/>
        <v/>
      </c>
      <c r="W2908" s="15" t="str">
        <f t="shared" si="9"/>
        <v/>
      </c>
      <c r="X2908" s="15" t="str">
        <f t="shared" si="10"/>
        <v/>
      </c>
    </row>
    <row r="2909">
      <c r="A2909" s="26">
        <v>46235.0</v>
      </c>
      <c r="B2909" s="10"/>
      <c r="C2909" s="9" t="str">
        <f t="shared" si="249"/>
        <v/>
      </c>
      <c r="D2909" s="28" t="s">
        <v>322</v>
      </c>
      <c r="E2909" s="28" t="s">
        <v>1305</v>
      </c>
      <c r="F2909" s="15" t="s">
        <v>40</v>
      </c>
      <c r="G2909" s="28" t="s">
        <v>37</v>
      </c>
      <c r="H2909" s="29" t="s">
        <v>778</v>
      </c>
      <c r="I2909" s="37">
        <v>46.2</v>
      </c>
      <c r="J2909" s="13"/>
      <c r="K2909" s="13" t="str">
        <f t="shared" si="306"/>
        <v/>
      </c>
      <c r="L2909" s="15" t="s">
        <v>29</v>
      </c>
      <c r="M2909" s="14"/>
      <c r="N2909" s="28" t="s">
        <v>105</v>
      </c>
      <c r="O2909" s="10" t="str">
        <f t="shared" si="79"/>
        <v>08/2026</v>
      </c>
      <c r="Q2909" s="15" t="str">
        <f t="array" ref="Q2909">IFERROR(XLOOKUP(N2909,'Classificação'!A:A,'Classificação'!B:B),"")</f>
        <v>DESPESAS ADMINISTRATIVAS</v>
      </c>
      <c r="R2909" s="15" t="str">
        <f t="array" ref="R2909">IFERROR(XLOOKUP(Q2909,'Classificação'!B:B,'Classificação'!C:C),"")</f>
        <v>DESPESAS FIXAS (-)</v>
      </c>
      <c r="S2909" s="15">
        <f t="shared" si="228"/>
        <v>1</v>
      </c>
      <c r="T2909" s="15">
        <f t="shared" si="128"/>
        <v>8</v>
      </c>
      <c r="U2909" s="15">
        <f t="shared" si="129"/>
        <v>2026</v>
      </c>
      <c r="V2909" s="15" t="str">
        <f t="shared" si="8"/>
        <v/>
      </c>
      <c r="W2909" s="15" t="str">
        <f t="shared" si="9"/>
        <v/>
      </c>
      <c r="X2909" s="15" t="str">
        <f t="shared" si="10"/>
        <v/>
      </c>
    </row>
    <row r="2910">
      <c r="A2910" s="9">
        <v>46235.0</v>
      </c>
      <c r="B2910" s="10"/>
      <c r="C2910" s="9" t="str">
        <f t="shared" si="249"/>
        <v/>
      </c>
      <c r="D2910" s="28" t="s">
        <v>24</v>
      </c>
      <c r="E2910" s="28" t="s">
        <v>1305</v>
      </c>
      <c r="F2910" s="28" t="s">
        <v>26</v>
      </c>
      <c r="G2910" s="28" t="s">
        <v>27</v>
      </c>
      <c r="H2910" s="28" t="s">
        <v>28</v>
      </c>
      <c r="I2910" s="24">
        <v>6656.0</v>
      </c>
      <c r="J2910" s="34"/>
      <c r="K2910" s="34" t="str">
        <f>IF(E2910="pago",(I2910-J2910),"")</f>
        <v/>
      </c>
      <c r="L2910" s="28" t="s">
        <v>29</v>
      </c>
      <c r="M2910" s="28"/>
      <c r="N2910" s="28" t="s">
        <v>30</v>
      </c>
      <c r="O2910" s="10" t="str">
        <f t="shared" si="79"/>
        <v>08/2026</v>
      </c>
      <c r="P2910" s="10" t="str">
        <f t="shared" ref="P2910:P2912" si="307">if(C2910="","", TEXT(C2910,"mm/yyyy"))</f>
        <v/>
      </c>
      <c r="Q2910" s="15" t="str">
        <f t="array" ref="Q2910">IFERROR(XLOOKUP(N2910,'Classificação'!A:A,'Classificação'!B:B),"")</f>
        <v>DESPESAS COM OCUPAÇÃO</v>
      </c>
      <c r="R2910" s="15" t="str">
        <f t="array" ref="R2910">IFERROR(XLOOKUP(Q2910,'Classificação'!B:B,'Classificação'!C:C),"")</f>
        <v>DESPESAS FIXAS (-)</v>
      </c>
      <c r="S2910" s="15">
        <f t="shared" si="228"/>
        <v>1</v>
      </c>
      <c r="T2910" s="15">
        <f t="shared" si="128"/>
        <v>8</v>
      </c>
      <c r="U2910" s="15">
        <f t="shared" si="129"/>
        <v>2026</v>
      </c>
      <c r="V2910" s="15" t="str">
        <f t="shared" si="8"/>
        <v/>
      </c>
      <c r="W2910" s="15" t="str">
        <f t="shared" si="9"/>
        <v/>
      </c>
      <c r="X2910" s="15" t="str">
        <f t="shared" si="10"/>
        <v/>
      </c>
    </row>
    <row r="2911">
      <c r="A2911" s="9">
        <v>46235.0</v>
      </c>
      <c r="B2911" s="10"/>
      <c r="C2911" s="9" t="str">
        <f t="shared" si="249"/>
        <v/>
      </c>
      <c r="D2911" s="28" t="s">
        <v>288</v>
      </c>
      <c r="E2911" s="28" t="s">
        <v>1305</v>
      </c>
      <c r="F2911" s="28" t="s">
        <v>26</v>
      </c>
      <c r="G2911" s="28" t="s">
        <v>27</v>
      </c>
      <c r="H2911" s="29" t="s">
        <v>1313</v>
      </c>
      <c r="I2911" s="24">
        <v>248.18</v>
      </c>
      <c r="J2911" s="34"/>
      <c r="K2911" s="13" t="str">
        <f t="shared" ref="K2911:K2912" si="308">if(E2911="pago",(I2911-J2911),"")</f>
        <v/>
      </c>
      <c r="L2911" s="28" t="s">
        <v>29</v>
      </c>
      <c r="M2911" s="28"/>
      <c r="N2911" s="28" t="s">
        <v>105</v>
      </c>
      <c r="O2911" s="10" t="str">
        <f t="shared" si="79"/>
        <v>08/2026</v>
      </c>
      <c r="P2911" s="10" t="str">
        <f t="shared" si="307"/>
        <v/>
      </c>
      <c r="Q2911" s="15" t="str">
        <f t="array" ref="Q2911">IFERROR(XLOOKUP(N2911,'Classificação'!A:A,'Classificação'!B:B),"")</f>
        <v>DESPESAS ADMINISTRATIVAS</v>
      </c>
      <c r="R2911" s="15" t="str">
        <f t="array" ref="R2911">IFERROR(XLOOKUP(Q2911,'Classificação'!B:B,'Classificação'!C:C),"")</f>
        <v>DESPESAS FIXAS (-)</v>
      </c>
      <c r="S2911" s="15">
        <f t="shared" si="228"/>
        <v>1</v>
      </c>
      <c r="T2911" s="15">
        <f t="shared" si="128"/>
        <v>8</v>
      </c>
      <c r="U2911" s="15">
        <f t="shared" si="129"/>
        <v>2026</v>
      </c>
      <c r="V2911" s="15" t="str">
        <f t="shared" si="8"/>
        <v/>
      </c>
      <c r="W2911" s="15" t="str">
        <f t="shared" si="9"/>
        <v/>
      </c>
      <c r="X2911" s="15" t="str">
        <f t="shared" si="10"/>
        <v/>
      </c>
    </row>
    <row r="2912">
      <c r="A2912" s="9">
        <v>46237.0</v>
      </c>
      <c r="B2912" s="10"/>
      <c r="C2912" s="9" t="str">
        <f t="shared" si="249"/>
        <v/>
      </c>
      <c r="D2912" s="11" t="s">
        <v>44</v>
      </c>
      <c r="E2912" s="11" t="s">
        <v>1305</v>
      </c>
      <c r="F2912" s="11" t="s">
        <v>45</v>
      </c>
      <c r="G2912" s="11" t="s">
        <v>27</v>
      </c>
      <c r="H2912" s="11" t="s">
        <v>651</v>
      </c>
      <c r="I2912" s="13">
        <v>2793.6017</v>
      </c>
      <c r="J2912" s="13"/>
      <c r="K2912" s="13" t="str">
        <f t="shared" si="308"/>
        <v/>
      </c>
      <c r="L2912" s="11" t="s">
        <v>53</v>
      </c>
      <c r="M2912" s="16" t="s">
        <v>1362</v>
      </c>
      <c r="N2912" s="11" t="s">
        <v>73</v>
      </c>
      <c r="O2912" s="10" t="str">
        <f t="shared" si="79"/>
        <v>08/2026</v>
      </c>
      <c r="P2912" s="10" t="str">
        <f t="shared" si="307"/>
        <v/>
      </c>
      <c r="Q2912" s="15" t="str">
        <f t="array" ref="Q2912">IFERROR(XLOOKUP(N2912,'Classificação'!A:A,'Classificação'!B:B),"")</f>
        <v>DESPESAS NÃO OPERACIONAIS</v>
      </c>
      <c r="R2912" s="15" t="str">
        <f t="array" ref="R2912">IFERROR(XLOOKUP(Q2912,'Classificação'!B:B,'Classificação'!C:C),"")</f>
        <v>RESULTADO NÃO OPERACIONAL (+/-)</v>
      </c>
      <c r="S2912" s="15">
        <f t="shared" si="228"/>
        <v>3</v>
      </c>
      <c r="T2912" s="15">
        <f t="shared" si="128"/>
        <v>8</v>
      </c>
      <c r="U2912" s="15">
        <f t="shared" si="129"/>
        <v>2026</v>
      </c>
      <c r="V2912" s="15" t="str">
        <f t="shared" si="8"/>
        <v/>
      </c>
      <c r="W2912" s="15" t="str">
        <f t="shared" si="9"/>
        <v/>
      </c>
      <c r="X2912" s="15" t="str">
        <f t="shared" si="10"/>
        <v/>
      </c>
    </row>
    <row r="2913">
      <c r="A2913" s="9">
        <v>46239.0</v>
      </c>
      <c r="B2913" s="10"/>
      <c r="C2913" s="9" t="str">
        <f t="shared" si="249"/>
        <v/>
      </c>
      <c r="D2913" s="28" t="s">
        <v>76</v>
      </c>
      <c r="E2913" s="28" t="s">
        <v>1305</v>
      </c>
      <c r="F2913" s="28" t="s">
        <v>26</v>
      </c>
      <c r="G2913" s="28" t="s">
        <v>27</v>
      </c>
      <c r="H2913" s="28" t="s">
        <v>84</v>
      </c>
      <c r="I2913" s="24">
        <v>1214.27</v>
      </c>
      <c r="J2913" s="13"/>
      <c r="K2913" s="13"/>
      <c r="L2913" s="28" t="s">
        <v>53</v>
      </c>
      <c r="M2913" s="16" t="s">
        <v>1363</v>
      </c>
      <c r="N2913" s="28" t="s">
        <v>85</v>
      </c>
      <c r="O2913" s="10" t="str">
        <f t="shared" si="79"/>
        <v>08/2026</v>
      </c>
      <c r="P2913" s="10"/>
      <c r="Q2913" s="15" t="str">
        <f t="array" ref="Q2913">IFERROR(XLOOKUP(N2913,'Classificação'!A:A,'Classificação'!B:B),"")</f>
        <v>DESPESAS NÃO OPERACIONAIS</v>
      </c>
      <c r="R2913" s="15" t="str">
        <f t="array" ref="R2913">IFERROR(XLOOKUP(Q2913,'Classificação'!B:B,'Classificação'!C:C),"")</f>
        <v>RESULTADO NÃO OPERACIONAL (+/-)</v>
      </c>
      <c r="S2913" s="15">
        <f t="shared" si="228"/>
        <v>5</v>
      </c>
      <c r="T2913" s="15">
        <f t="shared" si="128"/>
        <v>8</v>
      </c>
      <c r="U2913" s="15">
        <f t="shared" si="129"/>
        <v>2026</v>
      </c>
      <c r="V2913" s="15" t="str">
        <f t="shared" si="8"/>
        <v/>
      </c>
      <c r="W2913" s="15" t="str">
        <f t="shared" si="9"/>
        <v/>
      </c>
      <c r="X2913" s="15" t="str">
        <f t="shared" si="10"/>
        <v/>
      </c>
    </row>
    <row r="2914">
      <c r="A2914" s="26">
        <v>46239.0</v>
      </c>
      <c r="B2914" s="10"/>
      <c r="C2914" s="9" t="str">
        <f t="shared" si="249"/>
        <v/>
      </c>
      <c r="D2914" s="28" t="s">
        <v>36</v>
      </c>
      <c r="E2914" s="28" t="s">
        <v>1305</v>
      </c>
      <c r="F2914" s="28" t="s">
        <v>26</v>
      </c>
      <c r="G2914" s="28" t="s">
        <v>27</v>
      </c>
      <c r="I2914" s="37">
        <v>6500.0</v>
      </c>
      <c r="J2914" s="13"/>
      <c r="K2914" s="13" t="str">
        <f t="shared" ref="K2914:K2917" si="309">if(E2914="pago",(I2914-J2914),"")</f>
        <v/>
      </c>
      <c r="L2914" s="28" t="s">
        <v>29</v>
      </c>
      <c r="M2914" s="14"/>
      <c r="N2914" s="28" t="s">
        <v>38</v>
      </c>
      <c r="O2914" s="10" t="str">
        <f t="shared" si="79"/>
        <v>08/2026</v>
      </c>
      <c r="P2914" s="10" t="str">
        <f t="shared" ref="P2914:P2935" si="310">if(C2914="","", TEXT(C2914,"mm/yyyy"))</f>
        <v/>
      </c>
      <c r="Q2914" s="15" t="str">
        <f t="array" ref="Q2914">IFERROR(XLOOKUP(N2914,'Classificação'!A:A,'Classificação'!B:B),"")</f>
        <v>DESPESAS COM PESSOAL</v>
      </c>
      <c r="R2914" s="15" t="str">
        <f t="array" ref="R2914">IFERROR(XLOOKUP(Q2914,'Classificação'!B:B,'Classificação'!C:C),"")</f>
        <v>DESPESAS FIXAS (-)</v>
      </c>
      <c r="S2914" s="15">
        <f t="shared" si="228"/>
        <v>5</v>
      </c>
      <c r="T2914" s="15">
        <f t="shared" si="128"/>
        <v>8</v>
      </c>
      <c r="U2914" s="15">
        <f t="shared" si="129"/>
        <v>2026</v>
      </c>
      <c r="V2914" s="15" t="str">
        <f t="shared" si="8"/>
        <v/>
      </c>
      <c r="W2914" s="15" t="str">
        <f t="shared" si="9"/>
        <v/>
      </c>
      <c r="X2914" s="15" t="str">
        <f t="shared" si="10"/>
        <v/>
      </c>
    </row>
    <row r="2915">
      <c r="A2915" s="26">
        <v>46239.0</v>
      </c>
      <c r="B2915" s="10"/>
      <c r="C2915" s="9" t="str">
        <f t="shared" si="249"/>
        <v/>
      </c>
      <c r="D2915" s="28" t="s">
        <v>43</v>
      </c>
      <c r="E2915" s="28" t="s">
        <v>1305</v>
      </c>
      <c r="F2915" s="29" t="s">
        <v>26</v>
      </c>
      <c r="G2915" s="28" t="s">
        <v>27</v>
      </c>
      <c r="I2915" s="37">
        <v>6500.0</v>
      </c>
      <c r="J2915" s="13"/>
      <c r="K2915" s="13" t="str">
        <f t="shared" si="309"/>
        <v/>
      </c>
      <c r="L2915" s="28" t="s">
        <v>29</v>
      </c>
      <c r="M2915" s="14"/>
      <c r="N2915" s="28" t="s">
        <v>38</v>
      </c>
      <c r="O2915" s="10" t="str">
        <f t="shared" si="79"/>
        <v>08/2026</v>
      </c>
      <c r="P2915" s="10" t="str">
        <f t="shared" si="310"/>
        <v/>
      </c>
      <c r="Q2915" s="15" t="str">
        <f t="array" ref="Q2915">IFERROR(XLOOKUP(N2915,'Classificação'!A:A,'Classificação'!B:B),"")</f>
        <v>DESPESAS COM PESSOAL</v>
      </c>
      <c r="R2915" s="15" t="str">
        <f t="array" ref="R2915">IFERROR(XLOOKUP(Q2915,'Classificação'!B:B,'Classificação'!C:C),"")</f>
        <v>DESPESAS FIXAS (-)</v>
      </c>
      <c r="S2915" s="15">
        <f t="shared" si="228"/>
        <v>5</v>
      </c>
      <c r="T2915" s="15">
        <f t="shared" si="128"/>
        <v>8</v>
      </c>
      <c r="U2915" s="15">
        <f t="shared" si="129"/>
        <v>2026</v>
      </c>
      <c r="V2915" s="15" t="str">
        <f t="shared" si="8"/>
        <v/>
      </c>
      <c r="W2915" s="15" t="str">
        <f t="shared" si="9"/>
        <v/>
      </c>
      <c r="X2915" s="15" t="str">
        <f t="shared" si="10"/>
        <v/>
      </c>
    </row>
    <row r="2916">
      <c r="A2916" s="26">
        <v>46241.0</v>
      </c>
      <c r="B2916" s="30"/>
      <c r="C2916" s="27" t="str">
        <f t="shared" si="249"/>
        <v/>
      </c>
      <c r="D2916" s="29" t="s">
        <v>631</v>
      </c>
      <c r="E2916" s="28" t="s">
        <v>1305</v>
      </c>
      <c r="F2916" s="29" t="s">
        <v>40</v>
      </c>
      <c r="G2916" s="28" t="s">
        <v>27</v>
      </c>
      <c r="H2916" s="29" t="s">
        <v>1234</v>
      </c>
      <c r="I2916" s="24">
        <v>120.93</v>
      </c>
      <c r="J2916" s="34"/>
      <c r="K2916" s="13" t="str">
        <f t="shared" si="309"/>
        <v/>
      </c>
      <c r="L2916" s="28" t="s">
        <v>53</v>
      </c>
      <c r="M2916" s="35">
        <v>46210.0</v>
      </c>
      <c r="N2916" s="29" t="s">
        <v>178</v>
      </c>
      <c r="O2916" s="10" t="str">
        <f t="shared" si="79"/>
        <v>08/2026</v>
      </c>
      <c r="P2916" s="10" t="str">
        <f t="shared" si="310"/>
        <v/>
      </c>
      <c r="Q2916" s="15" t="str">
        <f t="array" ref="Q2916">IFERROR(XLOOKUP(N2916,'Classificação'!A:A,'Classificação'!B:B),"")</f>
        <v>DESPESAS COM OCUPAÇÃO</v>
      </c>
      <c r="R2916" s="15" t="str">
        <f t="array" ref="R2916">IFERROR(XLOOKUP(Q2916,'Classificação'!B:B,'Classificação'!C:C),"")</f>
        <v>DESPESAS FIXAS (-)</v>
      </c>
      <c r="S2916" s="15">
        <f t="shared" si="228"/>
        <v>7</v>
      </c>
      <c r="T2916" s="15">
        <f t="shared" si="128"/>
        <v>8</v>
      </c>
      <c r="U2916" s="15">
        <f t="shared" si="129"/>
        <v>2026</v>
      </c>
      <c r="V2916" s="15" t="str">
        <f t="shared" si="8"/>
        <v/>
      </c>
      <c r="W2916" s="15" t="str">
        <f t="shared" si="9"/>
        <v/>
      </c>
      <c r="X2916" s="15" t="str">
        <f t="shared" si="10"/>
        <v/>
      </c>
    </row>
    <row r="2917">
      <c r="A2917" s="9">
        <v>46244.0</v>
      </c>
      <c r="B2917" s="10"/>
      <c r="C2917" s="9" t="str">
        <f t="shared" si="249"/>
        <v/>
      </c>
      <c r="D2917" s="11" t="s">
        <v>1051</v>
      </c>
      <c r="E2917" s="28" t="s">
        <v>1305</v>
      </c>
      <c r="F2917" s="11" t="s">
        <v>40</v>
      </c>
      <c r="G2917" s="28" t="s">
        <v>27</v>
      </c>
      <c r="H2917" s="11" t="s">
        <v>1052</v>
      </c>
      <c r="I2917" s="12">
        <v>28.0</v>
      </c>
      <c r="J2917" s="13"/>
      <c r="K2917" s="13" t="str">
        <f t="shared" si="309"/>
        <v/>
      </c>
      <c r="L2917" s="11" t="s">
        <v>29</v>
      </c>
      <c r="M2917" s="14"/>
      <c r="N2917" s="11" t="s">
        <v>1053</v>
      </c>
      <c r="O2917" s="10" t="str">
        <f t="shared" si="79"/>
        <v>08/2026</v>
      </c>
      <c r="P2917" s="10" t="str">
        <f t="shared" si="310"/>
        <v/>
      </c>
      <c r="Q2917" s="15" t="str">
        <f t="array" ref="Q2917">IFERROR(XLOOKUP(N2917,'Classificação'!A:A,'Classificação'!B:B),"")</f>
        <v>DESPESAS COM PESSOAL</v>
      </c>
      <c r="R2917" s="15" t="str">
        <f t="array" ref="R2917">IFERROR(XLOOKUP(Q2917,'Classificação'!B:B,'Classificação'!C:C),"")</f>
        <v>DESPESAS FIXAS (-)</v>
      </c>
      <c r="S2917" s="15">
        <f t="shared" si="228"/>
        <v>10</v>
      </c>
      <c r="T2917" s="15">
        <f t="shared" si="128"/>
        <v>8</v>
      </c>
      <c r="U2917" s="15">
        <f t="shared" si="129"/>
        <v>2026</v>
      </c>
      <c r="V2917" s="15" t="str">
        <f t="shared" si="8"/>
        <v/>
      </c>
      <c r="W2917" s="15" t="str">
        <f t="shared" si="9"/>
        <v/>
      </c>
      <c r="X2917" s="15" t="str">
        <f t="shared" si="10"/>
        <v/>
      </c>
    </row>
    <row r="2918">
      <c r="A2918" s="26">
        <v>46244.0</v>
      </c>
      <c r="B2918" s="30"/>
      <c r="C2918" s="27" t="str">
        <f t="shared" si="249"/>
        <v/>
      </c>
      <c r="D2918" s="28" t="s">
        <v>48</v>
      </c>
      <c r="E2918" s="28" t="s">
        <v>1305</v>
      </c>
      <c r="F2918" s="28" t="s">
        <v>40</v>
      </c>
      <c r="G2918" s="28" t="s">
        <v>27</v>
      </c>
      <c r="H2918" s="28"/>
      <c r="I2918" s="37">
        <v>1600.0</v>
      </c>
      <c r="J2918" s="34"/>
      <c r="K2918" s="34" t="str">
        <f t="shared" ref="K2918:K2920" si="311">IF(E2918="pago",(I2918-J2918),"")</f>
        <v/>
      </c>
      <c r="L2918" s="28" t="s">
        <v>29</v>
      </c>
      <c r="M2918" s="28"/>
      <c r="N2918" s="28" t="s">
        <v>49</v>
      </c>
      <c r="O2918" s="10" t="str">
        <f t="shared" si="79"/>
        <v>08/2026</v>
      </c>
      <c r="P2918" s="10" t="str">
        <f t="shared" si="310"/>
        <v/>
      </c>
      <c r="Q2918" s="15" t="str">
        <f t="array" ref="Q2918">IFERROR(XLOOKUP(N2918,'Classificação'!A:A,'Classificação'!B:B),"")</f>
        <v>DESPESAS COM PESSOAL</v>
      </c>
      <c r="R2918" s="15" t="str">
        <f t="array" ref="R2918">IFERROR(XLOOKUP(Q2918,'Classificação'!B:B,'Classificação'!C:C),"")</f>
        <v>DESPESAS FIXAS (-)</v>
      </c>
      <c r="S2918" s="15">
        <f t="shared" si="228"/>
        <v>10</v>
      </c>
      <c r="T2918" s="15">
        <f t="shared" si="128"/>
        <v>8</v>
      </c>
      <c r="U2918" s="15">
        <f t="shared" si="129"/>
        <v>2026</v>
      </c>
      <c r="V2918" s="15" t="str">
        <f t="shared" si="8"/>
        <v/>
      </c>
      <c r="W2918" s="15" t="str">
        <f t="shared" si="9"/>
        <v/>
      </c>
      <c r="X2918" s="15" t="str">
        <f t="shared" si="10"/>
        <v/>
      </c>
    </row>
    <row r="2919">
      <c r="A2919" s="9">
        <v>46244.0</v>
      </c>
      <c r="B2919" s="30"/>
      <c r="C2919" s="27" t="str">
        <f t="shared" si="249"/>
        <v/>
      </c>
      <c r="D2919" s="28" t="s">
        <v>50</v>
      </c>
      <c r="E2919" s="28" t="s">
        <v>1305</v>
      </c>
      <c r="F2919" s="28" t="s">
        <v>40</v>
      </c>
      <c r="G2919" s="28" t="s">
        <v>27</v>
      </c>
      <c r="H2919" s="28" t="s">
        <v>51</v>
      </c>
      <c r="I2919" s="37">
        <v>139.99</v>
      </c>
      <c r="J2919" s="34"/>
      <c r="K2919" s="34" t="str">
        <f t="shared" si="311"/>
        <v/>
      </c>
      <c r="L2919" s="28" t="s">
        <v>29</v>
      </c>
      <c r="M2919" s="28"/>
      <c r="N2919" s="28" t="s">
        <v>51</v>
      </c>
      <c r="O2919" s="10" t="str">
        <f t="shared" si="79"/>
        <v>08/2026</v>
      </c>
      <c r="P2919" s="10" t="str">
        <f t="shared" si="310"/>
        <v/>
      </c>
      <c r="Q2919" s="15" t="str">
        <f t="array" ref="Q2919">IFERROR(XLOOKUP(N2919,'Classificação'!A:A,'Classificação'!B:B),"")</f>
        <v>DESPESAS COM OCUPAÇÃO</v>
      </c>
      <c r="R2919" s="15" t="str">
        <f t="array" ref="R2919">IFERROR(XLOOKUP(Q2919,'Classificação'!B:B,'Classificação'!C:C),"")</f>
        <v>DESPESAS FIXAS (-)</v>
      </c>
      <c r="S2919" s="15">
        <f t="shared" si="228"/>
        <v>10</v>
      </c>
      <c r="T2919" s="15">
        <f t="shared" si="128"/>
        <v>8</v>
      </c>
      <c r="U2919" s="15">
        <f t="shared" si="129"/>
        <v>2026</v>
      </c>
      <c r="V2919" s="15" t="str">
        <f t="shared" si="8"/>
        <v/>
      </c>
      <c r="W2919" s="15" t="str">
        <f t="shared" si="9"/>
        <v/>
      </c>
      <c r="X2919" s="15" t="str">
        <f t="shared" si="10"/>
        <v/>
      </c>
    </row>
    <row r="2920">
      <c r="A2920" s="26">
        <v>46244.0</v>
      </c>
      <c r="B2920" s="30"/>
      <c r="C2920" s="27" t="str">
        <f t="shared" si="249"/>
        <v/>
      </c>
      <c r="D2920" s="28" t="s">
        <v>59</v>
      </c>
      <c r="E2920" s="28" t="s">
        <v>1305</v>
      </c>
      <c r="F2920" s="28" t="s">
        <v>40</v>
      </c>
      <c r="G2920" s="28" t="s">
        <v>37</v>
      </c>
      <c r="H2920" s="28" t="s">
        <v>60</v>
      </c>
      <c r="I2920" s="24">
        <v>447.0</v>
      </c>
      <c r="J2920" s="34"/>
      <c r="K2920" s="34" t="str">
        <f t="shared" si="311"/>
        <v/>
      </c>
      <c r="L2920" s="28" t="s">
        <v>29</v>
      </c>
      <c r="M2920" s="28"/>
      <c r="N2920" s="28" t="s">
        <v>61</v>
      </c>
      <c r="O2920" s="10" t="str">
        <f t="shared" si="79"/>
        <v>08/2026</v>
      </c>
      <c r="P2920" s="10" t="str">
        <f t="shared" si="310"/>
        <v/>
      </c>
      <c r="Q2920" s="15" t="str">
        <f t="array" ref="Q2920">IFERROR(XLOOKUP(N2920,'Classificação'!A:A,'Classificação'!B:B),"")</f>
        <v>DESPESAS ADMINISTRATIVAS</v>
      </c>
      <c r="R2920" s="15" t="str">
        <f t="array" ref="R2920">IFERROR(XLOOKUP(Q2920,'Classificação'!B:B,'Classificação'!C:C),"")</f>
        <v>DESPESAS FIXAS (-)</v>
      </c>
      <c r="S2920" s="15">
        <f t="shared" si="228"/>
        <v>10</v>
      </c>
      <c r="T2920" s="15">
        <f t="shared" si="128"/>
        <v>8</v>
      </c>
      <c r="U2920" s="15">
        <f t="shared" si="129"/>
        <v>2026</v>
      </c>
      <c r="V2920" s="15" t="str">
        <f t="shared" si="8"/>
        <v/>
      </c>
      <c r="W2920" s="15" t="str">
        <f t="shared" si="9"/>
        <v/>
      </c>
      <c r="X2920" s="15" t="str">
        <f t="shared" si="10"/>
        <v/>
      </c>
    </row>
    <row r="2921">
      <c r="A2921" s="26">
        <v>46244.0</v>
      </c>
      <c r="B2921" s="30"/>
      <c r="C2921" s="27" t="str">
        <f t="shared" si="249"/>
        <v/>
      </c>
      <c r="D2921" s="28" t="s">
        <v>104</v>
      </c>
      <c r="E2921" s="28" t="s">
        <v>1305</v>
      </c>
      <c r="F2921" s="28" t="s">
        <v>40</v>
      </c>
      <c r="G2921" s="28" t="s">
        <v>37</v>
      </c>
      <c r="H2921" s="28" t="s">
        <v>413</v>
      </c>
      <c r="I2921" s="37">
        <v>27.5</v>
      </c>
      <c r="J2921" s="34"/>
      <c r="K2921" s="34"/>
      <c r="L2921" s="28" t="s">
        <v>29</v>
      </c>
      <c r="M2921" s="28"/>
      <c r="N2921" s="28" t="s">
        <v>105</v>
      </c>
      <c r="O2921" s="10" t="str">
        <f t="shared" si="79"/>
        <v>08/2026</v>
      </c>
      <c r="P2921" s="10" t="str">
        <f t="shared" si="310"/>
        <v/>
      </c>
      <c r="R2921" s="15" t="str">
        <f t="array" ref="R2921">IFERROR(XLOOKUP(Q2921,'Classificação'!B:B,'Classificação'!C:C),"")</f>
        <v/>
      </c>
      <c r="S2921" s="15">
        <f t="shared" si="228"/>
        <v>10</v>
      </c>
      <c r="T2921" s="15">
        <f t="shared" si="128"/>
        <v>8</v>
      </c>
      <c r="U2921" s="15">
        <f t="shared" si="129"/>
        <v>2026</v>
      </c>
      <c r="V2921" s="15" t="str">
        <f t="shared" si="8"/>
        <v/>
      </c>
      <c r="W2921" s="15" t="str">
        <f t="shared" si="9"/>
        <v/>
      </c>
      <c r="X2921" s="15" t="str">
        <f t="shared" si="10"/>
        <v/>
      </c>
    </row>
    <row r="2922">
      <c r="A2922" s="9">
        <v>46244.0</v>
      </c>
      <c r="B2922" s="10"/>
      <c r="C2922" s="9" t="str">
        <f t="shared" si="249"/>
        <v/>
      </c>
      <c r="D2922" s="11" t="s">
        <v>44</v>
      </c>
      <c r="E2922" s="11" t="s">
        <v>1305</v>
      </c>
      <c r="F2922" s="11" t="s">
        <v>45</v>
      </c>
      <c r="G2922" s="11" t="s">
        <v>27</v>
      </c>
      <c r="H2922" s="11" t="s">
        <v>52</v>
      </c>
      <c r="I2922" s="12">
        <v>503.0</v>
      </c>
      <c r="J2922" s="13"/>
      <c r="K2922" s="13" t="str">
        <f t="shared" ref="K2922:K2926" si="312">if(E2922="pago",(I2922-J2922),"")</f>
        <v/>
      </c>
      <c r="L2922" s="11" t="s">
        <v>53</v>
      </c>
      <c r="M2922" s="16" t="s">
        <v>1364</v>
      </c>
      <c r="N2922" s="11" t="s">
        <v>55</v>
      </c>
      <c r="O2922" s="10" t="str">
        <f t="shared" si="79"/>
        <v>08/2026</v>
      </c>
      <c r="P2922" s="10" t="str">
        <f t="shared" si="310"/>
        <v/>
      </c>
      <c r="Q2922" s="15" t="str">
        <f t="array" ref="Q2922">IFERROR(XLOOKUP(N2922,'Classificação'!A:A,'Classificação'!B:B),"")</f>
        <v>DESPESAS NÃO OPERACIONAIS</v>
      </c>
      <c r="R2922" s="15" t="str">
        <f t="array" ref="R2922">IFERROR(XLOOKUP(Q2922,'Classificação'!B:B,'Classificação'!C:C),"")</f>
        <v>RESULTADO NÃO OPERACIONAL (+/-)</v>
      </c>
      <c r="S2922" s="15">
        <f t="shared" si="228"/>
        <v>10</v>
      </c>
      <c r="T2922" s="15">
        <f t="shared" si="128"/>
        <v>8</v>
      </c>
      <c r="U2922" s="15">
        <f t="shared" si="129"/>
        <v>2026</v>
      </c>
      <c r="V2922" s="15" t="str">
        <f t="shared" si="8"/>
        <v/>
      </c>
      <c r="W2922" s="15" t="str">
        <f t="shared" si="9"/>
        <v/>
      </c>
      <c r="X2922" s="15" t="str">
        <f t="shared" si="10"/>
        <v/>
      </c>
    </row>
    <row r="2923">
      <c r="A2923" s="9">
        <v>46244.0</v>
      </c>
      <c r="B2923" s="10"/>
      <c r="C2923" s="9" t="str">
        <f t="shared" si="249"/>
        <v/>
      </c>
      <c r="D2923" s="11" t="s">
        <v>1104</v>
      </c>
      <c r="E2923" s="28" t="s">
        <v>1305</v>
      </c>
      <c r="F2923" s="11" t="s">
        <v>40</v>
      </c>
      <c r="G2923" s="11" t="s">
        <v>37</v>
      </c>
      <c r="H2923" s="11" t="s">
        <v>1105</v>
      </c>
      <c r="I2923" s="12">
        <v>917.51</v>
      </c>
      <c r="J2923" s="13"/>
      <c r="K2923" s="13" t="str">
        <f t="shared" si="312"/>
        <v/>
      </c>
      <c r="L2923" s="11" t="s">
        <v>53</v>
      </c>
      <c r="M2923" s="16" t="s">
        <v>1365</v>
      </c>
      <c r="N2923" s="11" t="s">
        <v>73</v>
      </c>
      <c r="O2923" s="10" t="str">
        <f t="shared" si="79"/>
        <v>08/2026</v>
      </c>
      <c r="P2923" s="10" t="str">
        <f t="shared" si="310"/>
        <v/>
      </c>
      <c r="Q2923" s="15" t="str">
        <f t="array" ref="Q2923">IFERROR(XLOOKUP(N2923,'Classificação'!A:A,'Classificação'!B:B),"")</f>
        <v>DESPESAS NÃO OPERACIONAIS</v>
      </c>
      <c r="R2923" s="15" t="str">
        <f t="array" ref="R2923">IFERROR(XLOOKUP(Q2923,'Classificação'!B:B,'Classificação'!C:C),"")</f>
        <v>RESULTADO NÃO OPERACIONAL (+/-)</v>
      </c>
      <c r="S2923" s="15">
        <f t="shared" si="228"/>
        <v>10</v>
      </c>
      <c r="T2923" s="15">
        <f t="shared" si="128"/>
        <v>8</v>
      </c>
      <c r="U2923" s="15">
        <f t="shared" si="129"/>
        <v>2026</v>
      </c>
      <c r="V2923" s="15" t="str">
        <f t="shared" si="8"/>
        <v/>
      </c>
      <c r="W2923" s="15" t="str">
        <f t="shared" si="9"/>
        <v/>
      </c>
      <c r="X2923" s="15" t="str">
        <f t="shared" si="10"/>
        <v/>
      </c>
    </row>
    <row r="2924">
      <c r="A2924" s="9">
        <v>46244.0</v>
      </c>
      <c r="B2924" s="32">
        <v>46011.0</v>
      </c>
      <c r="C2924" s="9" t="str">
        <f t="shared" si="249"/>
        <v/>
      </c>
      <c r="D2924" s="11" t="s">
        <v>65</v>
      </c>
      <c r="E2924" s="28" t="s">
        <v>1305</v>
      </c>
      <c r="F2924" s="11" t="s">
        <v>26</v>
      </c>
      <c r="G2924" s="28" t="s">
        <v>27</v>
      </c>
      <c r="H2924" s="11" t="s">
        <v>1159</v>
      </c>
      <c r="I2924" s="31">
        <v>54.99</v>
      </c>
      <c r="J2924" s="13"/>
      <c r="K2924" s="13" t="str">
        <f t="shared" si="312"/>
        <v/>
      </c>
      <c r="L2924" s="11" t="s">
        <v>53</v>
      </c>
      <c r="M2924" s="16" t="s">
        <v>1366</v>
      </c>
      <c r="N2924" s="11" t="s">
        <v>95</v>
      </c>
      <c r="O2924" s="10" t="str">
        <f t="shared" si="79"/>
        <v>08/2026</v>
      </c>
      <c r="P2924" s="10" t="str">
        <f t="shared" si="310"/>
        <v/>
      </c>
      <c r="Q2924" s="15" t="str">
        <f t="array" ref="Q2924">IFERROR(XLOOKUP(N2924,'Classificação'!A:A,'Classificação'!B:B),"")</f>
        <v>DESPESAS NÃO OPERACIONAIS</v>
      </c>
      <c r="R2924" s="15" t="str">
        <f t="array" ref="R2924">IFERROR(XLOOKUP(Q2924,'Classificação'!B:B,'Classificação'!C:C),"")</f>
        <v>RESULTADO NÃO OPERACIONAL (+/-)</v>
      </c>
      <c r="S2924" s="15">
        <f t="shared" si="228"/>
        <v>10</v>
      </c>
      <c r="T2924" s="15">
        <f t="shared" si="128"/>
        <v>8</v>
      </c>
      <c r="U2924" s="15">
        <f t="shared" si="129"/>
        <v>2026</v>
      </c>
      <c r="V2924" s="15" t="str">
        <f t="shared" si="8"/>
        <v/>
      </c>
      <c r="W2924" s="15" t="str">
        <f t="shared" si="9"/>
        <v/>
      </c>
      <c r="X2924" s="15" t="str">
        <f t="shared" si="10"/>
        <v/>
      </c>
    </row>
    <row r="2925">
      <c r="A2925" s="9">
        <v>46244.0</v>
      </c>
      <c r="B2925" s="10"/>
      <c r="C2925" s="9" t="str">
        <f t="shared" si="249"/>
        <v/>
      </c>
      <c r="D2925" s="11" t="s">
        <v>31</v>
      </c>
      <c r="E2925" s="28" t="s">
        <v>1305</v>
      </c>
      <c r="F2925" s="11" t="s">
        <v>26</v>
      </c>
      <c r="G2925" s="11" t="s">
        <v>37</v>
      </c>
      <c r="H2925" s="11" t="s">
        <v>1367</v>
      </c>
      <c r="I2925" s="31">
        <v>115000.0</v>
      </c>
      <c r="J2925" s="13"/>
      <c r="K2925" s="13" t="str">
        <f t="shared" si="312"/>
        <v/>
      </c>
      <c r="L2925" s="11" t="s">
        <v>34</v>
      </c>
      <c r="M2925" s="14"/>
      <c r="N2925" s="11" t="s">
        <v>35</v>
      </c>
      <c r="O2925" s="10" t="str">
        <f t="shared" si="79"/>
        <v>08/2026</v>
      </c>
      <c r="P2925" s="10" t="str">
        <f t="shared" si="310"/>
        <v/>
      </c>
      <c r="Q2925" s="15" t="str">
        <f t="array" ref="Q2925">IFERROR(XLOOKUP(N2925,'Classificação'!A:A,'Classificação'!B:B),"")</f>
        <v>COMPRA DE MERCADORIA</v>
      </c>
      <c r="S2925" s="15">
        <f t="shared" si="228"/>
        <v>10</v>
      </c>
      <c r="T2925" s="15">
        <f t="shared" si="128"/>
        <v>8</v>
      </c>
      <c r="U2925" s="15">
        <f t="shared" si="129"/>
        <v>2026</v>
      </c>
      <c r="V2925" s="15" t="str">
        <f t="shared" si="8"/>
        <v/>
      </c>
      <c r="W2925" s="15" t="str">
        <f t="shared" si="9"/>
        <v/>
      </c>
      <c r="X2925" s="15" t="str">
        <f t="shared" si="10"/>
        <v/>
      </c>
    </row>
    <row r="2926">
      <c r="A2926" s="26">
        <v>46246.0</v>
      </c>
      <c r="B2926" s="30"/>
      <c r="C2926" s="27" t="str">
        <f t="shared" si="249"/>
        <v/>
      </c>
      <c r="D2926" s="28" t="s">
        <v>56</v>
      </c>
      <c r="E2926" s="28" t="s">
        <v>1305</v>
      </c>
      <c r="F2926" s="28" t="s">
        <v>26</v>
      </c>
      <c r="G2926" s="28" t="s">
        <v>37</v>
      </c>
      <c r="H2926" s="28" t="s">
        <v>57</v>
      </c>
      <c r="I2926" s="24">
        <v>60.0</v>
      </c>
      <c r="J2926" s="34"/>
      <c r="K2926" s="13" t="str">
        <f t="shared" si="312"/>
        <v/>
      </c>
      <c r="L2926" s="28" t="s">
        <v>29</v>
      </c>
      <c r="M2926" s="28"/>
      <c r="N2926" s="28" t="s">
        <v>58</v>
      </c>
      <c r="O2926" s="10" t="str">
        <f t="shared" si="79"/>
        <v>08/2026</v>
      </c>
      <c r="P2926" s="10" t="str">
        <f t="shared" si="310"/>
        <v/>
      </c>
      <c r="Q2926" s="15" t="str">
        <f t="array" ref="Q2926">IFERROR(XLOOKUP(N2926,'Classificação'!A:A,'Classificação'!B:B),"")</f>
        <v>DESPESAS ADMINISTRATIVAS</v>
      </c>
      <c r="R2926" s="15" t="str">
        <f t="array" ref="R2926">IFERROR(XLOOKUP(Q2926,'Classificação'!B:B,'Classificação'!C:C),"")</f>
        <v>DESPESAS FIXAS (-)</v>
      </c>
      <c r="S2926" s="15">
        <f t="shared" si="228"/>
        <v>12</v>
      </c>
      <c r="T2926" s="15">
        <f t="shared" si="128"/>
        <v>8</v>
      </c>
      <c r="U2926" s="15">
        <f t="shared" si="129"/>
        <v>2026</v>
      </c>
      <c r="V2926" s="15" t="str">
        <f t="shared" si="8"/>
        <v/>
      </c>
      <c r="W2926" s="15" t="str">
        <f t="shared" si="9"/>
        <v/>
      </c>
      <c r="X2926" s="15" t="str">
        <f t="shared" si="10"/>
        <v/>
      </c>
    </row>
    <row r="2927">
      <c r="A2927" s="26">
        <v>46247.0</v>
      </c>
      <c r="B2927" s="30"/>
      <c r="C2927" s="27" t="str">
        <f t="shared" si="249"/>
        <v/>
      </c>
      <c r="D2927" s="28" t="s">
        <v>65</v>
      </c>
      <c r="E2927" s="28" t="s">
        <v>1305</v>
      </c>
      <c r="F2927" s="28" t="s">
        <v>45</v>
      </c>
      <c r="G2927" s="28" t="s">
        <v>66</v>
      </c>
      <c r="H2927" s="28" t="s">
        <v>67</v>
      </c>
      <c r="I2927" s="37">
        <v>900.0</v>
      </c>
      <c r="J2927" s="34"/>
      <c r="K2927" s="34" t="str">
        <f>IF(E2927="pago",(I2927-J2927),"")</f>
        <v/>
      </c>
      <c r="L2927" s="28" t="s">
        <v>29</v>
      </c>
      <c r="M2927" s="28"/>
      <c r="N2927" s="28" t="s">
        <v>68</v>
      </c>
      <c r="O2927" s="10" t="str">
        <f t="shared" si="79"/>
        <v>08/2026</v>
      </c>
      <c r="P2927" s="10" t="str">
        <f t="shared" si="310"/>
        <v/>
      </c>
      <c r="Q2927" s="15" t="str">
        <f t="array" ref="Q2927">IFERROR(XLOOKUP(N2927,'Classificação'!A:A,'Classificação'!B:B),"")</f>
        <v>FRETE DE VENDAS</v>
      </c>
      <c r="R2927" s="15" t="str">
        <f t="array" ref="R2927">IFERROR(XLOOKUP(Q2927,'Classificação'!B:B,'Classificação'!C:C),"")</f>
        <v>CUSTOS VARIÁVEIS</v>
      </c>
      <c r="S2927" s="15">
        <f t="shared" si="228"/>
        <v>13</v>
      </c>
      <c r="T2927" s="15">
        <f t="shared" si="128"/>
        <v>8</v>
      </c>
      <c r="U2927" s="15">
        <f t="shared" si="129"/>
        <v>2026</v>
      </c>
      <c r="V2927" s="15" t="str">
        <f t="shared" si="8"/>
        <v/>
      </c>
      <c r="W2927" s="15" t="str">
        <f t="shared" si="9"/>
        <v/>
      </c>
      <c r="X2927" s="15" t="str">
        <f t="shared" si="10"/>
        <v/>
      </c>
    </row>
    <row r="2928">
      <c r="A2928" s="9">
        <v>46248.0</v>
      </c>
      <c r="B2928" s="10"/>
      <c r="C2928" s="9" t="str">
        <f t="shared" si="249"/>
        <v/>
      </c>
      <c r="D2928" s="11" t="s">
        <v>44</v>
      </c>
      <c r="E2928" s="11" t="s">
        <v>1305</v>
      </c>
      <c r="F2928" s="11" t="s">
        <v>45</v>
      </c>
      <c r="G2928" s="11" t="s">
        <v>27</v>
      </c>
      <c r="H2928" s="11" t="s">
        <v>476</v>
      </c>
      <c r="I2928" s="12">
        <v>4996.0</v>
      </c>
      <c r="J2928" s="13"/>
      <c r="K2928" s="13" t="str">
        <f>if(E2928="pago",(I2928-J2928),"")</f>
        <v/>
      </c>
      <c r="L2928" s="11" t="s">
        <v>53</v>
      </c>
      <c r="M2928" s="16" t="s">
        <v>854</v>
      </c>
      <c r="N2928" s="11" t="s">
        <v>73</v>
      </c>
      <c r="O2928" s="10" t="str">
        <f t="shared" si="79"/>
        <v>08/2026</v>
      </c>
      <c r="P2928" s="10" t="str">
        <f t="shared" si="310"/>
        <v/>
      </c>
      <c r="Q2928" s="15" t="str">
        <f t="array" ref="Q2928">IFERROR(XLOOKUP(N2928,'Classificação'!A:A,'Classificação'!B:B),"")</f>
        <v>DESPESAS NÃO OPERACIONAIS</v>
      </c>
      <c r="R2928" s="15" t="str">
        <f t="array" ref="R2928">IFERROR(XLOOKUP(Q2928,'Classificação'!B:B,'Classificação'!C:C),"")</f>
        <v>RESULTADO NÃO OPERACIONAL (+/-)</v>
      </c>
      <c r="S2928" s="15">
        <f t="shared" si="228"/>
        <v>14</v>
      </c>
      <c r="T2928" s="15">
        <f t="shared" si="128"/>
        <v>8</v>
      </c>
      <c r="U2928" s="15">
        <f t="shared" si="129"/>
        <v>2026</v>
      </c>
      <c r="V2928" s="15" t="str">
        <f t="shared" si="8"/>
        <v/>
      </c>
      <c r="W2928" s="15" t="str">
        <f t="shared" si="9"/>
        <v/>
      </c>
      <c r="X2928" s="15" t="str">
        <f t="shared" si="10"/>
        <v/>
      </c>
    </row>
    <row r="2929">
      <c r="A2929" s="26">
        <v>46249.0</v>
      </c>
      <c r="B2929" s="30"/>
      <c r="C2929" s="27" t="str">
        <f t="shared" si="249"/>
        <v/>
      </c>
      <c r="D2929" s="28" t="s">
        <v>79</v>
      </c>
      <c r="E2929" s="28" t="s">
        <v>1305</v>
      </c>
      <c r="F2929" s="28" t="s">
        <v>26</v>
      </c>
      <c r="G2929" s="28" t="s">
        <v>37</v>
      </c>
      <c r="H2929" s="28"/>
      <c r="I2929" s="24">
        <v>550.0</v>
      </c>
      <c r="J2929" s="34"/>
      <c r="K2929" s="34" t="str">
        <f t="shared" ref="K2929:K2931" si="313">IF(E2929="pago",(I2929-J2929),"")</f>
        <v/>
      </c>
      <c r="L2929" s="28" t="s">
        <v>29</v>
      </c>
      <c r="M2929" s="28"/>
      <c r="N2929" s="28" t="s">
        <v>58</v>
      </c>
      <c r="O2929" s="10" t="str">
        <f t="shared" si="79"/>
        <v>08/2026</v>
      </c>
      <c r="P2929" s="10" t="str">
        <f t="shared" si="310"/>
        <v/>
      </c>
      <c r="Q2929" s="15" t="str">
        <f t="array" ref="Q2929">IFERROR(XLOOKUP(N2929,'Classificação'!A:A,'Classificação'!B:B),"")</f>
        <v>DESPESAS ADMINISTRATIVAS</v>
      </c>
      <c r="S2929" s="15">
        <f t="shared" si="228"/>
        <v>15</v>
      </c>
      <c r="T2929" s="15">
        <f t="shared" si="128"/>
        <v>8</v>
      </c>
      <c r="U2929" s="15">
        <f t="shared" si="129"/>
        <v>2026</v>
      </c>
      <c r="V2929" s="15" t="str">
        <f t="shared" si="8"/>
        <v/>
      </c>
      <c r="W2929" s="15" t="str">
        <f t="shared" si="9"/>
        <v/>
      </c>
      <c r="X2929" s="15" t="str">
        <f t="shared" si="10"/>
        <v/>
      </c>
    </row>
    <row r="2930">
      <c r="A2930" s="26">
        <v>46249.0</v>
      </c>
      <c r="B2930" s="30"/>
      <c r="C2930" s="27" t="str">
        <f t="shared" si="249"/>
        <v/>
      </c>
      <c r="D2930" s="28" t="s">
        <v>80</v>
      </c>
      <c r="E2930" s="28" t="s">
        <v>1305</v>
      </c>
      <c r="F2930" s="28" t="s">
        <v>32</v>
      </c>
      <c r="G2930" s="28" t="s">
        <v>27</v>
      </c>
      <c r="H2930" s="29" t="s">
        <v>606</v>
      </c>
      <c r="I2930" s="37">
        <v>780.0</v>
      </c>
      <c r="J2930" s="34"/>
      <c r="K2930" s="34" t="str">
        <f t="shared" si="313"/>
        <v/>
      </c>
      <c r="L2930" s="28" t="s">
        <v>29</v>
      </c>
      <c r="M2930" s="28"/>
      <c r="N2930" s="28" t="s">
        <v>75</v>
      </c>
      <c r="O2930" s="10" t="str">
        <f t="shared" si="79"/>
        <v>08/2026</v>
      </c>
      <c r="P2930" s="10" t="str">
        <f t="shared" si="310"/>
        <v/>
      </c>
      <c r="Q2930" s="15" t="str">
        <f t="array" ref="Q2930">IFERROR(XLOOKUP(N2930,'Classificação'!A:A,'Classificação'!B:B),"")</f>
        <v>DESPESAS COM PESSOAL</v>
      </c>
      <c r="R2930" s="15" t="str">
        <f t="array" ref="R2930">IFERROR(XLOOKUP(Q2930,'Classificação'!B:B,'Classificação'!C:C),"")</f>
        <v>DESPESAS FIXAS (-)</v>
      </c>
      <c r="S2930" s="15">
        <f t="shared" si="228"/>
        <v>15</v>
      </c>
      <c r="T2930" s="15">
        <f t="shared" si="128"/>
        <v>8</v>
      </c>
      <c r="U2930" s="15">
        <f t="shared" si="129"/>
        <v>2026</v>
      </c>
      <c r="V2930" s="15" t="str">
        <f t="shared" si="8"/>
        <v/>
      </c>
      <c r="W2930" s="15" t="str">
        <f t="shared" si="9"/>
        <v/>
      </c>
      <c r="X2930" s="15" t="str">
        <f t="shared" si="10"/>
        <v/>
      </c>
    </row>
    <row r="2931">
      <c r="A2931" s="26">
        <v>46249.0</v>
      </c>
      <c r="B2931" s="28"/>
      <c r="C2931" s="27" t="str">
        <f t="shared" si="249"/>
        <v/>
      </c>
      <c r="D2931" s="29" t="s">
        <v>1094</v>
      </c>
      <c r="E2931" s="28" t="s">
        <v>1305</v>
      </c>
      <c r="F2931" s="29" t="s">
        <v>26</v>
      </c>
      <c r="G2931" s="29" t="s">
        <v>37</v>
      </c>
      <c r="H2931" s="28" t="s">
        <v>606</v>
      </c>
      <c r="I2931" s="24">
        <v>1120.0</v>
      </c>
      <c r="J2931" s="34"/>
      <c r="K2931" s="34" t="str">
        <f t="shared" si="313"/>
        <v/>
      </c>
      <c r="L2931" s="28" t="s">
        <v>29</v>
      </c>
      <c r="M2931" s="28"/>
      <c r="N2931" s="28" t="s">
        <v>75</v>
      </c>
      <c r="O2931" s="10" t="str">
        <f t="shared" si="79"/>
        <v>08/2026</v>
      </c>
      <c r="P2931" s="10" t="str">
        <f t="shared" si="310"/>
        <v/>
      </c>
      <c r="Q2931" s="15" t="str">
        <f t="array" ref="Q2931">IFERROR(XLOOKUP(N2931,'Classificação'!A:A,'Classificação'!B:B),"")</f>
        <v>DESPESAS COM PESSOAL</v>
      </c>
      <c r="R2931" s="15" t="str">
        <f t="array" ref="R2931">IFERROR(XLOOKUP(Q2931,'Classificação'!B:B,'Classificação'!C:C),"")</f>
        <v>DESPESAS FIXAS (-)</v>
      </c>
      <c r="S2931" s="15">
        <f t="shared" si="228"/>
        <v>15</v>
      </c>
      <c r="T2931" s="15">
        <f t="shared" si="128"/>
        <v>8</v>
      </c>
      <c r="U2931" s="15">
        <f t="shared" si="129"/>
        <v>2026</v>
      </c>
      <c r="V2931" s="15" t="str">
        <f t="shared" si="8"/>
        <v/>
      </c>
      <c r="W2931" s="15" t="str">
        <f t="shared" si="9"/>
        <v/>
      </c>
      <c r="X2931" s="15" t="str">
        <f t="shared" si="10"/>
        <v/>
      </c>
    </row>
    <row r="2932">
      <c r="A2932" s="9">
        <v>46249.0</v>
      </c>
      <c r="B2932" s="10"/>
      <c r="C2932" s="9" t="str">
        <f t="shared" si="249"/>
        <v/>
      </c>
      <c r="D2932" s="11" t="s">
        <v>1229</v>
      </c>
      <c r="E2932" s="28" t="s">
        <v>1305</v>
      </c>
      <c r="F2932" s="11" t="s">
        <v>26</v>
      </c>
      <c r="G2932" s="11" t="s">
        <v>37</v>
      </c>
      <c r="H2932" s="11" t="s">
        <v>1230</v>
      </c>
      <c r="I2932" s="31">
        <v>840.0</v>
      </c>
      <c r="J2932" s="13"/>
      <c r="K2932" s="13" t="str">
        <f t="shared" ref="K2932:K2934" si="314">if(E2932="pago",(I2932-J2932),"")</f>
        <v/>
      </c>
      <c r="L2932" s="11" t="s">
        <v>29</v>
      </c>
      <c r="M2932" s="14"/>
      <c r="N2932" s="11" t="s">
        <v>58</v>
      </c>
      <c r="O2932" s="10" t="str">
        <f t="shared" si="79"/>
        <v>08/2026</v>
      </c>
      <c r="P2932" s="10" t="str">
        <f t="shared" si="310"/>
        <v/>
      </c>
      <c r="Q2932" s="15" t="str">
        <f t="array" ref="Q2932">IFERROR(XLOOKUP(N2932,'Classificação'!A:A,'Classificação'!B:B),"")</f>
        <v>DESPESAS ADMINISTRATIVAS</v>
      </c>
      <c r="R2932" s="15" t="str">
        <f t="array" ref="R2932">IFERROR(XLOOKUP(Q2932,'Classificação'!B:B,'Classificação'!C:C),"")</f>
        <v>DESPESAS FIXAS (-)</v>
      </c>
      <c r="S2932" s="15">
        <f t="shared" si="228"/>
        <v>15</v>
      </c>
      <c r="T2932" s="15">
        <f t="shared" si="128"/>
        <v>8</v>
      </c>
      <c r="U2932" s="15">
        <f t="shared" si="129"/>
        <v>2026</v>
      </c>
      <c r="V2932" s="15" t="str">
        <f t="shared" si="8"/>
        <v/>
      </c>
      <c r="W2932" s="15" t="str">
        <f t="shared" si="9"/>
        <v/>
      </c>
      <c r="X2932" s="15" t="str">
        <f t="shared" si="10"/>
        <v/>
      </c>
    </row>
    <row r="2933">
      <c r="A2933" s="26">
        <v>46250.0</v>
      </c>
      <c r="B2933" s="30"/>
      <c r="C2933" s="27" t="str">
        <f t="shared" si="249"/>
        <v/>
      </c>
      <c r="D2933" s="28" t="s">
        <v>90</v>
      </c>
      <c r="E2933" s="28" t="s">
        <v>1305</v>
      </c>
      <c r="F2933" s="28" t="s">
        <v>40</v>
      </c>
      <c r="G2933" s="28" t="s">
        <v>27</v>
      </c>
      <c r="H2933" s="29" t="s">
        <v>1178</v>
      </c>
      <c r="I2933" s="37">
        <v>800.0</v>
      </c>
      <c r="J2933" s="34"/>
      <c r="K2933" s="13" t="str">
        <f t="shared" si="314"/>
        <v/>
      </c>
      <c r="L2933" s="28" t="s">
        <v>29</v>
      </c>
      <c r="M2933" s="28"/>
      <c r="N2933" s="28" t="s">
        <v>92</v>
      </c>
      <c r="O2933" s="10" t="str">
        <f t="shared" si="79"/>
        <v>08/2026</v>
      </c>
      <c r="P2933" s="10" t="str">
        <f t="shared" si="310"/>
        <v/>
      </c>
      <c r="Q2933" s="15" t="str">
        <f t="array" ref="Q2933">IFERROR(XLOOKUP(N2933,'Classificação'!A:A,'Classificação'!B:B),"")</f>
        <v>DESPESAS COM OCUPAÇÃO</v>
      </c>
      <c r="R2933" s="15" t="str">
        <f t="array" ref="R2933">IFERROR(XLOOKUP(Q2933,'Classificação'!B:B,'Classificação'!C:C),"")</f>
        <v>DESPESAS FIXAS (-)</v>
      </c>
      <c r="S2933" s="15">
        <f t="shared" si="228"/>
        <v>16</v>
      </c>
      <c r="T2933" s="15">
        <f t="shared" si="128"/>
        <v>8</v>
      </c>
      <c r="U2933" s="15">
        <f t="shared" si="129"/>
        <v>2026</v>
      </c>
      <c r="V2933" s="15" t="str">
        <f t="shared" si="8"/>
        <v/>
      </c>
      <c r="W2933" s="15" t="str">
        <f t="shared" si="9"/>
        <v/>
      </c>
      <c r="X2933" s="15" t="str">
        <f t="shared" si="10"/>
        <v/>
      </c>
    </row>
    <row r="2934">
      <c r="A2934" s="9">
        <v>46252.0</v>
      </c>
      <c r="B2934" s="10"/>
      <c r="C2934" s="9" t="str">
        <f t="shared" si="249"/>
        <v/>
      </c>
      <c r="D2934" s="11" t="s">
        <v>44</v>
      </c>
      <c r="E2934" s="11" t="s">
        <v>1305</v>
      </c>
      <c r="F2934" s="11" t="s">
        <v>45</v>
      </c>
      <c r="G2934" s="11" t="s">
        <v>27</v>
      </c>
      <c r="H2934" s="11" t="s">
        <v>703</v>
      </c>
      <c r="I2934" s="13">
        <v>2719.1537000000003</v>
      </c>
      <c r="J2934" s="13"/>
      <c r="K2934" s="13" t="str">
        <f t="shared" si="314"/>
        <v/>
      </c>
      <c r="L2934" s="11" t="s">
        <v>53</v>
      </c>
      <c r="M2934" s="16" t="s">
        <v>1368</v>
      </c>
      <c r="N2934" s="11" t="s">
        <v>73</v>
      </c>
      <c r="O2934" s="10" t="str">
        <f t="shared" si="79"/>
        <v>08/2026</v>
      </c>
      <c r="P2934" s="10" t="str">
        <f t="shared" si="310"/>
        <v/>
      </c>
      <c r="Q2934" s="15" t="str">
        <f t="array" ref="Q2934">IFERROR(XLOOKUP(N2934,'Classificação'!A:A,'Classificação'!B:B),"")</f>
        <v>DESPESAS NÃO OPERACIONAIS</v>
      </c>
      <c r="R2934" s="15" t="str">
        <f t="array" ref="R2934">IFERROR(XLOOKUP(Q2934,'Classificação'!B:B,'Classificação'!C:C),"")</f>
        <v>RESULTADO NÃO OPERACIONAL (+/-)</v>
      </c>
      <c r="S2934" s="15">
        <f t="shared" si="228"/>
        <v>18</v>
      </c>
      <c r="T2934" s="15">
        <f t="shared" si="128"/>
        <v>8</v>
      </c>
      <c r="U2934" s="15">
        <f t="shared" si="129"/>
        <v>2026</v>
      </c>
      <c r="V2934" s="15" t="str">
        <f t="shared" si="8"/>
        <v/>
      </c>
      <c r="W2934" s="15" t="str">
        <f t="shared" si="9"/>
        <v/>
      </c>
      <c r="X2934" s="15" t="str">
        <f t="shared" si="10"/>
        <v/>
      </c>
    </row>
    <row r="2935">
      <c r="A2935" s="26">
        <v>46252.0</v>
      </c>
      <c r="B2935" s="30"/>
      <c r="C2935" s="27" t="str">
        <f t="shared" si="249"/>
        <v/>
      </c>
      <c r="D2935" s="28" t="s">
        <v>65</v>
      </c>
      <c r="E2935" s="28" t="s">
        <v>1305</v>
      </c>
      <c r="F2935" s="28" t="s">
        <v>45</v>
      </c>
      <c r="G2935" s="28" t="s">
        <v>37</v>
      </c>
      <c r="H2935" s="28" t="s">
        <v>1114</v>
      </c>
      <c r="I2935" s="37">
        <v>700.0</v>
      </c>
      <c r="J2935" s="34"/>
      <c r="K2935" s="34" t="str">
        <f>IF(E2935="pago",(I2935-J2935),"")</f>
        <v/>
      </c>
      <c r="L2935" s="28" t="s">
        <v>29</v>
      </c>
      <c r="M2935" s="28"/>
      <c r="N2935" s="28" t="s">
        <v>68</v>
      </c>
      <c r="O2935" s="10" t="str">
        <f t="shared" si="79"/>
        <v>08/2026</v>
      </c>
      <c r="P2935" s="10" t="str">
        <f t="shared" si="310"/>
        <v/>
      </c>
      <c r="Q2935" s="15" t="str">
        <f t="array" ref="Q2935">IFERROR(XLOOKUP(N2935,'Classificação'!A:A,'Classificação'!B:B),"")</f>
        <v>FRETE DE VENDAS</v>
      </c>
      <c r="R2935" s="15" t="str">
        <f t="array" ref="R2935">IFERROR(XLOOKUP(Q2935,'Classificação'!B:B,'Classificação'!C:C),"")</f>
        <v>CUSTOS VARIÁVEIS</v>
      </c>
      <c r="S2935" s="15">
        <f t="shared" si="228"/>
        <v>18</v>
      </c>
      <c r="T2935" s="15">
        <f t="shared" si="128"/>
        <v>8</v>
      </c>
      <c r="U2935" s="15">
        <f t="shared" si="129"/>
        <v>2026</v>
      </c>
      <c r="V2935" s="15" t="str">
        <f t="shared" si="8"/>
        <v/>
      </c>
      <c r="W2935" s="15" t="str">
        <f t="shared" si="9"/>
        <v/>
      </c>
      <c r="X2935" s="15" t="str">
        <f t="shared" si="10"/>
        <v/>
      </c>
    </row>
    <row r="2936">
      <c r="A2936" s="9">
        <v>46252.0</v>
      </c>
      <c r="B2936" s="10"/>
      <c r="C2936" s="9" t="str">
        <f t="shared" si="249"/>
        <v/>
      </c>
      <c r="D2936" s="11" t="s">
        <v>65</v>
      </c>
      <c r="E2936" s="28" t="s">
        <v>1305</v>
      </c>
      <c r="F2936" s="11" t="s">
        <v>26</v>
      </c>
      <c r="G2936" s="11" t="s">
        <v>37</v>
      </c>
      <c r="H2936" s="11" t="s">
        <v>1238</v>
      </c>
      <c r="I2936" s="31">
        <v>483.26</v>
      </c>
      <c r="J2936" s="13"/>
      <c r="K2936" s="13"/>
      <c r="L2936" s="28" t="s">
        <v>53</v>
      </c>
      <c r="M2936" s="17">
        <v>46210.0</v>
      </c>
      <c r="N2936" s="11" t="s">
        <v>64</v>
      </c>
      <c r="O2936" s="10" t="str">
        <f t="shared" si="79"/>
        <v>08/2026</v>
      </c>
      <c r="P2936" s="10" t="str">
        <f>if(B2936="","", TEXT(B2936,"mm/yyyy"))</f>
        <v/>
      </c>
      <c r="Q2936" s="15" t="str">
        <f t="array" ref="Q2936">IFERROR(XLOOKUP(N2936,'Classificação'!A:A,'Classificação'!B:B),"")</f>
        <v>DESPESAS COM PESSOAL</v>
      </c>
      <c r="S2936" s="15">
        <f t="shared" si="228"/>
        <v>18</v>
      </c>
      <c r="T2936" s="15">
        <f t="shared" si="128"/>
        <v>8</v>
      </c>
      <c r="U2936" s="15">
        <f t="shared" si="129"/>
        <v>2026</v>
      </c>
      <c r="V2936" s="15" t="str">
        <f t="shared" si="8"/>
        <v/>
      </c>
      <c r="W2936" s="15" t="str">
        <f t="shared" si="9"/>
        <v/>
      </c>
      <c r="X2936" s="15" t="str">
        <f t="shared" si="10"/>
        <v/>
      </c>
    </row>
    <row r="2937">
      <c r="A2937" s="26">
        <v>46254.0</v>
      </c>
      <c r="B2937" s="30"/>
      <c r="C2937" s="27" t="str">
        <f t="shared" si="249"/>
        <v/>
      </c>
      <c r="D2937" s="28" t="s">
        <v>100</v>
      </c>
      <c r="E2937" s="28" t="s">
        <v>1305</v>
      </c>
      <c r="F2937" s="28" t="s">
        <v>40</v>
      </c>
      <c r="G2937" s="28" t="s">
        <v>27</v>
      </c>
      <c r="H2937" s="29" t="s">
        <v>1015</v>
      </c>
      <c r="I2937" s="37">
        <v>14000.0</v>
      </c>
      <c r="J2937" s="34"/>
      <c r="K2937" s="34" t="str">
        <f t="shared" ref="K2937:K2941" si="315">IF(E2937="pago",(I2937-J2937),"")</f>
        <v/>
      </c>
      <c r="L2937" s="28" t="s">
        <v>29</v>
      </c>
      <c r="M2937" s="28"/>
      <c r="N2937" s="28" t="s">
        <v>101</v>
      </c>
      <c r="O2937" s="10" t="str">
        <f t="shared" si="79"/>
        <v>08/2026</v>
      </c>
      <c r="P2937" s="10" t="str">
        <f t="shared" ref="P2937:P2940" si="316">if(C2937="","", TEXT(C2937,"mm/yyyy"))</f>
        <v/>
      </c>
      <c r="Q2937" s="15" t="str">
        <f t="array" ref="Q2937">IFERROR(XLOOKUP(N2937,'Classificação'!A:A,'Classificação'!B:B),"")</f>
        <v>IMPOSTO DE RENDA - DAS</v>
      </c>
      <c r="R2937" s="15" t="str">
        <f t="array" ref="R2937">IFERROR(XLOOKUP(Q2937,'Classificação'!B:B,'Classificação'!C:C),"")</f>
        <v>DEDUÇÕES DA RECEITA BRUTA (-)</v>
      </c>
      <c r="S2937" s="15">
        <f t="shared" si="228"/>
        <v>20</v>
      </c>
      <c r="T2937" s="15">
        <f t="shared" si="128"/>
        <v>8</v>
      </c>
      <c r="U2937" s="15">
        <f t="shared" si="129"/>
        <v>2026</v>
      </c>
      <c r="V2937" s="15" t="str">
        <f t="shared" si="8"/>
        <v/>
      </c>
      <c r="W2937" s="15" t="str">
        <f t="shared" si="9"/>
        <v/>
      </c>
      <c r="X2937" s="15" t="str">
        <f t="shared" si="10"/>
        <v/>
      </c>
    </row>
    <row r="2938">
      <c r="A2938" s="26">
        <v>46254.0</v>
      </c>
      <c r="B2938" s="30"/>
      <c r="C2938" s="27" t="str">
        <f t="shared" si="249"/>
        <v/>
      </c>
      <c r="D2938" s="28" t="s">
        <v>100</v>
      </c>
      <c r="E2938" s="28" t="s">
        <v>1305</v>
      </c>
      <c r="F2938" s="28" t="s">
        <v>40</v>
      </c>
      <c r="G2938" s="28" t="s">
        <v>37</v>
      </c>
      <c r="H2938" s="29" t="s">
        <v>1016</v>
      </c>
      <c r="I2938" s="37">
        <v>14000.0</v>
      </c>
      <c r="J2938" s="34"/>
      <c r="K2938" s="34" t="str">
        <f t="shared" si="315"/>
        <v/>
      </c>
      <c r="L2938" s="28" t="s">
        <v>29</v>
      </c>
      <c r="M2938" s="28"/>
      <c r="N2938" s="28" t="s">
        <v>101</v>
      </c>
      <c r="O2938" s="10" t="str">
        <f t="shared" si="79"/>
        <v>08/2026</v>
      </c>
      <c r="P2938" s="10" t="str">
        <f t="shared" si="316"/>
        <v/>
      </c>
      <c r="Q2938" s="15" t="str">
        <f t="array" ref="Q2938">IFERROR(XLOOKUP(N2938,'Classificação'!A:A,'Classificação'!B:B),"")</f>
        <v>IMPOSTO DE RENDA - DAS</v>
      </c>
      <c r="R2938" s="15" t="str">
        <f t="array" ref="R2938">IFERROR(XLOOKUP(Q2938,'Classificação'!B:B,'Classificação'!C:C),"")</f>
        <v>DEDUÇÕES DA RECEITA BRUTA (-)</v>
      </c>
      <c r="S2938" s="15">
        <f t="shared" si="228"/>
        <v>20</v>
      </c>
      <c r="T2938" s="15">
        <f t="shared" si="128"/>
        <v>8</v>
      </c>
      <c r="U2938" s="15">
        <f t="shared" si="129"/>
        <v>2026</v>
      </c>
      <c r="V2938" s="15" t="str">
        <f t="shared" si="8"/>
        <v/>
      </c>
      <c r="W2938" s="15" t="str">
        <f t="shared" si="9"/>
        <v/>
      </c>
      <c r="X2938" s="15" t="str">
        <f t="shared" si="10"/>
        <v/>
      </c>
    </row>
    <row r="2939">
      <c r="A2939" s="26">
        <v>46254.0</v>
      </c>
      <c r="B2939" s="28"/>
      <c r="C2939" s="27" t="str">
        <f t="shared" si="249"/>
        <v/>
      </c>
      <c r="D2939" s="28" t="s">
        <v>123</v>
      </c>
      <c r="E2939" s="28" t="s">
        <v>1305</v>
      </c>
      <c r="F2939" s="28" t="s">
        <v>40</v>
      </c>
      <c r="G2939" s="28" t="s">
        <v>27</v>
      </c>
      <c r="H2939" s="29" t="s">
        <v>1184</v>
      </c>
      <c r="I2939" s="24">
        <v>572.0</v>
      </c>
      <c r="J2939" s="34"/>
      <c r="K2939" s="34" t="str">
        <f t="shared" si="315"/>
        <v/>
      </c>
      <c r="L2939" s="28" t="s">
        <v>29</v>
      </c>
      <c r="M2939" s="28"/>
      <c r="N2939" s="28" t="s">
        <v>123</v>
      </c>
      <c r="O2939" s="10" t="str">
        <f t="shared" si="79"/>
        <v>08/2026</v>
      </c>
      <c r="P2939" s="10" t="str">
        <f t="shared" si="316"/>
        <v/>
      </c>
      <c r="Q2939" s="15" t="str">
        <f t="array" ref="Q2939">IFERROR(XLOOKUP(N2939,'Classificação'!A:A,'Classificação'!B:B),"")</f>
        <v>DESPESAS COM PESSOAL</v>
      </c>
      <c r="R2939" s="15" t="str">
        <f t="array" ref="R2939">IFERROR(XLOOKUP(Q2939,'Classificação'!B:B,'Classificação'!C:C),"")</f>
        <v>DESPESAS FIXAS (-)</v>
      </c>
      <c r="S2939" s="15">
        <f t="shared" si="228"/>
        <v>20</v>
      </c>
      <c r="T2939" s="15">
        <f t="shared" si="128"/>
        <v>8</v>
      </c>
      <c r="U2939" s="15">
        <f t="shared" si="129"/>
        <v>2026</v>
      </c>
      <c r="V2939" s="15" t="str">
        <f t="shared" si="8"/>
        <v/>
      </c>
      <c r="W2939" s="15" t="str">
        <f t="shared" si="9"/>
        <v/>
      </c>
      <c r="X2939" s="15" t="str">
        <f t="shared" si="10"/>
        <v/>
      </c>
    </row>
    <row r="2940">
      <c r="A2940" s="26">
        <v>46254.0</v>
      </c>
      <c r="B2940" s="28"/>
      <c r="C2940" s="27" t="str">
        <f t="shared" si="249"/>
        <v/>
      </c>
      <c r="D2940" s="28" t="s">
        <v>126</v>
      </c>
      <c r="E2940" s="28" t="s">
        <v>1305</v>
      </c>
      <c r="F2940" s="28" t="s">
        <v>40</v>
      </c>
      <c r="G2940" s="28" t="s">
        <v>27</v>
      </c>
      <c r="H2940" s="29" t="s">
        <v>1185</v>
      </c>
      <c r="I2940" s="24">
        <v>730.0</v>
      </c>
      <c r="J2940" s="34"/>
      <c r="K2940" s="34" t="str">
        <f t="shared" si="315"/>
        <v/>
      </c>
      <c r="L2940" s="28" t="s">
        <v>29</v>
      </c>
      <c r="M2940" s="28"/>
      <c r="N2940" s="28" t="s">
        <v>126</v>
      </c>
      <c r="O2940" s="10" t="str">
        <f t="shared" si="79"/>
        <v>08/2026</v>
      </c>
      <c r="P2940" s="10" t="str">
        <f t="shared" si="316"/>
        <v/>
      </c>
      <c r="Q2940" s="15" t="str">
        <f t="array" ref="Q2940">IFERROR(XLOOKUP(N2940,'Classificação'!A:A,'Classificação'!B:B),"")</f>
        <v>DESPESAS COM PESSOAL</v>
      </c>
      <c r="R2940" s="15" t="str">
        <f t="array" ref="R2940">IFERROR(XLOOKUP(Q2940,'Classificação'!B:B,'Classificação'!C:C),"")</f>
        <v>DESPESAS FIXAS (-)</v>
      </c>
      <c r="S2940" s="15">
        <f t="shared" si="228"/>
        <v>20</v>
      </c>
      <c r="T2940" s="15">
        <f t="shared" si="128"/>
        <v>8</v>
      </c>
      <c r="U2940" s="15">
        <f t="shared" si="129"/>
        <v>2026</v>
      </c>
      <c r="V2940" s="15" t="str">
        <f t="shared" si="8"/>
        <v/>
      </c>
      <c r="W2940" s="15" t="str">
        <f t="shared" si="9"/>
        <v/>
      </c>
      <c r="X2940" s="15" t="str">
        <f t="shared" si="10"/>
        <v/>
      </c>
    </row>
    <row r="2941">
      <c r="A2941" s="26">
        <v>46254.0</v>
      </c>
      <c r="B2941" s="28"/>
      <c r="C2941" s="27" t="str">
        <f t="shared" si="249"/>
        <v/>
      </c>
      <c r="D2941" s="28" t="s">
        <v>171</v>
      </c>
      <c r="E2941" s="28" t="s">
        <v>1305</v>
      </c>
      <c r="F2941" s="28" t="s">
        <v>40</v>
      </c>
      <c r="G2941" s="28" t="s">
        <v>27</v>
      </c>
      <c r="H2941" s="28"/>
      <c r="I2941" s="37">
        <v>150.0</v>
      </c>
      <c r="J2941" s="34"/>
      <c r="K2941" s="34" t="str">
        <f t="shared" si="315"/>
        <v/>
      </c>
      <c r="L2941" s="28" t="s">
        <v>29</v>
      </c>
      <c r="M2941" s="28"/>
      <c r="N2941" s="28" t="s">
        <v>172</v>
      </c>
      <c r="O2941" s="10" t="str">
        <f t="shared" si="79"/>
        <v>08/2026</v>
      </c>
      <c r="P2941" s="10" t="str">
        <f t="shared" ref="P2941:P2946" si="317">if(B2941="","", TEXT(B2941,"mm/yyyy"))</f>
        <v/>
      </c>
      <c r="Q2941" s="15" t="str">
        <f t="array" ref="Q2941">IFERROR(XLOOKUP(N2941,'Classificação'!A:A,'Classificação'!B:B),"")</f>
        <v>DESPESAS COM OCUPAÇÃO</v>
      </c>
      <c r="R2941" s="15" t="str">
        <f t="array" ref="R2941">IFERROR(XLOOKUP(Q2941,'Classificação'!B:B,'Classificação'!C:C),"")</f>
        <v>DESPESAS FIXAS (-)</v>
      </c>
      <c r="S2941" s="15">
        <f t="shared" si="228"/>
        <v>20</v>
      </c>
      <c r="T2941" s="15">
        <f t="shared" si="128"/>
        <v>8</v>
      </c>
      <c r="U2941" s="15">
        <f t="shared" si="129"/>
        <v>2026</v>
      </c>
      <c r="V2941" s="15" t="str">
        <f t="shared" si="8"/>
        <v/>
      </c>
      <c r="W2941" s="15" t="str">
        <f t="shared" si="9"/>
        <v/>
      </c>
      <c r="X2941" s="15" t="str">
        <f t="shared" si="10"/>
        <v/>
      </c>
    </row>
    <row r="2942">
      <c r="A2942" s="26">
        <v>46254.0</v>
      </c>
      <c r="B2942" s="39"/>
      <c r="C2942" s="9" t="str">
        <f t="shared" si="249"/>
        <v/>
      </c>
      <c r="D2942" s="28" t="s">
        <v>65</v>
      </c>
      <c r="E2942" s="28" t="s">
        <v>1305</v>
      </c>
      <c r="F2942" s="28" t="s">
        <v>107</v>
      </c>
      <c r="G2942" s="28" t="s">
        <v>27</v>
      </c>
      <c r="H2942" s="28" t="s">
        <v>612</v>
      </c>
      <c r="I2942" s="24">
        <v>8.9</v>
      </c>
      <c r="J2942" s="34"/>
      <c r="K2942" s="13" t="str">
        <f>if(E2942="pago",(I2942-J2942),"")</f>
        <v/>
      </c>
      <c r="L2942" s="28" t="s">
        <v>29</v>
      </c>
      <c r="M2942" s="28"/>
      <c r="N2942" s="28" t="s">
        <v>105</v>
      </c>
      <c r="O2942" s="10" t="str">
        <f t="shared" si="79"/>
        <v>08/2026</v>
      </c>
      <c r="P2942" s="10" t="str">
        <f t="shared" si="317"/>
        <v/>
      </c>
      <c r="Q2942" s="15" t="str">
        <f t="array" ref="Q2942">IFERROR(XLOOKUP(N2942,'Classificação'!A:A,'Classificação'!B:B),"")</f>
        <v>DESPESAS ADMINISTRATIVAS</v>
      </c>
      <c r="R2942" s="15" t="str">
        <f t="array" ref="R2942">IFERROR(XLOOKUP(Q2942,'Classificação'!B:B,'Classificação'!C:C),"")</f>
        <v>DESPESAS FIXAS (-)</v>
      </c>
      <c r="S2942" s="15">
        <f t="shared" si="228"/>
        <v>20</v>
      </c>
      <c r="T2942" s="15">
        <f t="shared" si="128"/>
        <v>8</v>
      </c>
      <c r="U2942" s="15">
        <f t="shared" si="129"/>
        <v>2026</v>
      </c>
      <c r="V2942" s="15" t="str">
        <f t="shared" si="8"/>
        <v/>
      </c>
      <c r="W2942" s="15" t="str">
        <f t="shared" si="9"/>
        <v/>
      </c>
      <c r="X2942" s="15" t="str">
        <f t="shared" si="10"/>
        <v/>
      </c>
    </row>
    <row r="2943">
      <c r="A2943" s="26">
        <v>46254.0</v>
      </c>
      <c r="B2943" s="28"/>
      <c r="C2943" s="27" t="str">
        <f t="shared" si="249"/>
        <v/>
      </c>
      <c r="D2943" s="28" t="s">
        <v>637</v>
      </c>
      <c r="E2943" s="28" t="s">
        <v>1305</v>
      </c>
      <c r="F2943" s="28" t="s">
        <v>40</v>
      </c>
      <c r="G2943" s="28" t="s">
        <v>27</v>
      </c>
      <c r="H2943" s="28"/>
      <c r="I2943" s="37">
        <v>170.0</v>
      </c>
      <c r="J2943" s="34"/>
      <c r="K2943" s="34" t="str">
        <f t="shared" ref="K2943:K2946" si="318">IF(E2943="pago",(I2943-J2943),"")</f>
        <v/>
      </c>
      <c r="L2943" s="28" t="s">
        <v>29</v>
      </c>
      <c r="M2943" s="28"/>
      <c r="N2943" s="28" t="s">
        <v>201</v>
      </c>
      <c r="O2943" s="10" t="str">
        <f t="shared" si="79"/>
        <v>08/2026</v>
      </c>
      <c r="P2943" s="10" t="str">
        <f t="shared" si="317"/>
        <v/>
      </c>
      <c r="Q2943" s="15" t="str">
        <f t="array" ref="Q2943">IFERROR(XLOOKUP(N2943,'Classificação'!A:A,'Classificação'!B:B),"")</f>
        <v>DESPESAS COM OCUPAÇÃO</v>
      </c>
      <c r="R2943" s="15" t="str">
        <f t="array" ref="R2943">IFERROR(XLOOKUP(Q2943,'Classificação'!B:B,'Classificação'!C:C),"")</f>
        <v>DESPESAS FIXAS (-)</v>
      </c>
      <c r="S2943" s="15">
        <f t="shared" si="228"/>
        <v>20</v>
      </c>
      <c r="T2943" s="15">
        <f t="shared" si="128"/>
        <v>8</v>
      </c>
      <c r="U2943" s="15">
        <f t="shared" si="129"/>
        <v>2026</v>
      </c>
      <c r="V2943" s="15" t="str">
        <f t="shared" si="8"/>
        <v/>
      </c>
      <c r="W2943" s="15" t="str">
        <f t="shared" si="9"/>
        <v/>
      </c>
      <c r="X2943" s="15" t="str">
        <f t="shared" si="10"/>
        <v/>
      </c>
    </row>
    <row r="2944">
      <c r="A2944" s="26">
        <v>46254.0</v>
      </c>
      <c r="B2944" s="28"/>
      <c r="C2944" s="27" t="str">
        <f t="shared" si="249"/>
        <v/>
      </c>
      <c r="D2944" s="28" t="s">
        <v>121</v>
      </c>
      <c r="E2944" s="28" t="s">
        <v>1305</v>
      </c>
      <c r="F2944" s="28" t="s">
        <v>107</v>
      </c>
      <c r="G2944" s="28" t="s">
        <v>27</v>
      </c>
      <c r="H2944" s="28"/>
      <c r="I2944" s="24">
        <v>79.9</v>
      </c>
      <c r="J2944" s="34"/>
      <c r="K2944" s="34" t="str">
        <f t="shared" si="318"/>
        <v/>
      </c>
      <c r="L2944" s="28" t="s">
        <v>29</v>
      </c>
      <c r="M2944" s="28"/>
      <c r="N2944" s="28" t="s">
        <v>105</v>
      </c>
      <c r="O2944" s="10" t="str">
        <f t="shared" si="79"/>
        <v>08/2026</v>
      </c>
      <c r="P2944" s="10" t="str">
        <f t="shared" si="317"/>
        <v/>
      </c>
      <c r="Q2944" s="15" t="str">
        <f t="array" ref="Q2944">IFERROR(XLOOKUP(N2944,'Classificação'!A:A,'Classificação'!B:B),"")</f>
        <v>DESPESAS ADMINISTRATIVAS</v>
      </c>
      <c r="R2944" s="15" t="str">
        <f t="array" ref="R2944">IFERROR(XLOOKUP(Q2944,'Classificação'!B:B,'Classificação'!C:C),"")</f>
        <v>DESPESAS FIXAS (-)</v>
      </c>
      <c r="S2944" s="15">
        <f t="shared" si="228"/>
        <v>20</v>
      </c>
      <c r="T2944" s="15">
        <f t="shared" si="128"/>
        <v>8</v>
      </c>
      <c r="U2944" s="15">
        <f t="shared" si="129"/>
        <v>2026</v>
      </c>
      <c r="V2944" s="15" t="str">
        <f t="shared" si="8"/>
        <v/>
      </c>
      <c r="W2944" s="15" t="str">
        <f t="shared" si="9"/>
        <v/>
      </c>
      <c r="X2944" s="15" t="str">
        <f t="shared" si="10"/>
        <v/>
      </c>
    </row>
    <row r="2945">
      <c r="A2945" s="26">
        <v>46254.0</v>
      </c>
      <c r="B2945" s="28"/>
      <c r="C2945" s="27" t="str">
        <f t="shared" si="249"/>
        <v/>
      </c>
      <c r="D2945" s="28" t="s">
        <v>104</v>
      </c>
      <c r="E2945" s="28" t="s">
        <v>1305</v>
      </c>
      <c r="F2945" s="28" t="s">
        <v>40</v>
      </c>
      <c r="G2945" s="28" t="s">
        <v>27</v>
      </c>
      <c r="H2945" s="29" t="s">
        <v>1186</v>
      </c>
      <c r="I2945" s="37">
        <v>450.0</v>
      </c>
      <c r="J2945" s="34"/>
      <c r="K2945" s="34" t="str">
        <f t="shared" si="318"/>
        <v/>
      </c>
      <c r="L2945" s="28" t="s">
        <v>29</v>
      </c>
      <c r="M2945" s="28"/>
      <c r="N2945" s="28" t="s">
        <v>105</v>
      </c>
      <c r="O2945" s="10" t="str">
        <f t="shared" si="79"/>
        <v>08/2026</v>
      </c>
      <c r="P2945" s="10" t="str">
        <f t="shared" si="317"/>
        <v/>
      </c>
      <c r="Q2945" s="15" t="str">
        <f t="array" ref="Q2945">IFERROR(XLOOKUP(N2945,'Classificação'!A:A,'Classificação'!B:B),"")</f>
        <v>DESPESAS ADMINISTRATIVAS</v>
      </c>
      <c r="R2945" s="15" t="str">
        <f t="array" ref="R2945">IFERROR(XLOOKUP(Q2945,'Classificação'!B:B,'Classificação'!C:C),"")</f>
        <v>DESPESAS FIXAS (-)</v>
      </c>
      <c r="S2945" s="15">
        <f t="shared" si="228"/>
        <v>20</v>
      </c>
      <c r="T2945" s="15">
        <f t="shared" si="128"/>
        <v>8</v>
      </c>
      <c r="U2945" s="15">
        <f t="shared" si="129"/>
        <v>2026</v>
      </c>
      <c r="V2945" s="15" t="str">
        <f t="shared" si="8"/>
        <v/>
      </c>
      <c r="W2945" s="15" t="str">
        <f t="shared" si="9"/>
        <v/>
      </c>
      <c r="X2945" s="15" t="str">
        <f t="shared" si="10"/>
        <v/>
      </c>
    </row>
    <row r="2946">
      <c r="A2946" s="26">
        <v>46254.0</v>
      </c>
      <c r="B2946" s="28"/>
      <c r="C2946" s="27" t="str">
        <f t="shared" si="249"/>
        <v/>
      </c>
      <c r="D2946" s="28" t="s">
        <v>44</v>
      </c>
      <c r="E2946" s="28" t="s">
        <v>1305</v>
      </c>
      <c r="F2946" s="28" t="s">
        <v>45</v>
      </c>
      <c r="G2946" s="28" t="s">
        <v>27</v>
      </c>
      <c r="H2946" s="28" t="s">
        <v>1308</v>
      </c>
      <c r="I2946" s="37">
        <v>125.0</v>
      </c>
      <c r="J2946" s="34"/>
      <c r="K2946" s="34" t="str">
        <f t="shared" si="318"/>
        <v/>
      </c>
      <c r="L2946" s="28" t="s">
        <v>29</v>
      </c>
      <c r="M2946" s="28"/>
      <c r="N2946" s="28" t="s">
        <v>47</v>
      </c>
      <c r="O2946" s="10" t="str">
        <f t="shared" si="79"/>
        <v>08/2026</v>
      </c>
      <c r="P2946" s="10" t="str">
        <f t="shared" si="317"/>
        <v/>
      </c>
      <c r="Q2946" s="15" t="str">
        <f t="array" ref="Q2946">IFERROR(XLOOKUP(N2946,'Classificação'!A:A,'Classificação'!B:B),"")</f>
        <v>DESPESAS NÃO OPERACIONAIS</v>
      </c>
      <c r="R2946" s="15" t="str">
        <f t="array" ref="R2946">IFERROR(XLOOKUP(Q2946,'Classificação'!B:B,'Classificação'!C:C),"")</f>
        <v>RESULTADO NÃO OPERACIONAL (+/-)</v>
      </c>
      <c r="S2946" s="15">
        <f t="shared" si="228"/>
        <v>20</v>
      </c>
      <c r="T2946" s="15">
        <f t="shared" si="128"/>
        <v>8</v>
      </c>
      <c r="U2946" s="15">
        <f t="shared" si="129"/>
        <v>2026</v>
      </c>
      <c r="V2946" s="15" t="str">
        <f t="shared" si="8"/>
        <v/>
      </c>
      <c r="W2946" s="15" t="str">
        <f t="shared" si="9"/>
        <v/>
      </c>
      <c r="X2946" s="15" t="str">
        <f t="shared" si="10"/>
        <v/>
      </c>
    </row>
    <row r="2947">
      <c r="A2947" s="9">
        <v>46254.0</v>
      </c>
      <c r="B2947" s="9">
        <v>46220.0</v>
      </c>
      <c r="C2947" s="9" t="str">
        <f t="shared" si="249"/>
        <v/>
      </c>
      <c r="D2947" s="11" t="s">
        <v>1181</v>
      </c>
      <c r="E2947" s="29" t="s">
        <v>1305</v>
      </c>
      <c r="F2947" s="11" t="s">
        <v>107</v>
      </c>
      <c r="G2947" s="28" t="s">
        <v>27</v>
      </c>
      <c r="H2947" s="11" t="s">
        <v>1182</v>
      </c>
      <c r="I2947" s="12">
        <v>39.99</v>
      </c>
      <c r="J2947" s="13"/>
      <c r="K2947" s="13" t="str">
        <f>if(E2947="pago",(I2947-J2947),"")</f>
        <v/>
      </c>
      <c r="L2947" s="11" t="s">
        <v>29</v>
      </c>
      <c r="M2947" s="14"/>
      <c r="N2947" s="11" t="s">
        <v>105</v>
      </c>
      <c r="O2947" s="10" t="str">
        <f t="shared" si="79"/>
        <v>08/2026</v>
      </c>
      <c r="P2947" s="10" t="str">
        <f t="shared" ref="P2947:P2952" si="319">if(C2947="","", TEXT(C2947,"mm/yyyy"))</f>
        <v/>
      </c>
      <c r="Q2947" s="15" t="str">
        <f t="array" ref="Q2947">IFERROR(XLOOKUP(N2947,'Classificação'!A:A,'Classificação'!B:B),"")</f>
        <v>DESPESAS ADMINISTRATIVAS</v>
      </c>
      <c r="R2947" s="15" t="str">
        <f t="array" ref="R2947">IFERROR(XLOOKUP(Q2947,'Classificação'!B:B,'Classificação'!C:C),"")</f>
        <v>DESPESAS FIXAS (-)</v>
      </c>
      <c r="S2947" s="15">
        <f t="shared" si="228"/>
        <v>20</v>
      </c>
      <c r="T2947" s="15">
        <f t="shared" si="128"/>
        <v>8</v>
      </c>
      <c r="U2947" s="15">
        <f t="shared" si="129"/>
        <v>2026</v>
      </c>
      <c r="V2947" s="15" t="str">
        <f t="shared" si="8"/>
        <v/>
      </c>
      <c r="W2947" s="15" t="str">
        <f t="shared" si="9"/>
        <v/>
      </c>
      <c r="X2947" s="15" t="str">
        <f t="shared" si="10"/>
        <v/>
      </c>
    </row>
    <row r="2948">
      <c r="A2948" s="27">
        <v>46254.0</v>
      </c>
      <c r="B2948" s="28"/>
      <c r="C2948" s="27" t="str">
        <f t="shared" si="249"/>
        <v/>
      </c>
      <c r="D2948" s="28" t="s">
        <v>126</v>
      </c>
      <c r="E2948" s="28" t="s">
        <v>1305</v>
      </c>
      <c r="F2948" s="28" t="s">
        <v>40</v>
      </c>
      <c r="G2948" s="28" t="s">
        <v>27</v>
      </c>
      <c r="H2948" s="29" t="s">
        <v>1210</v>
      </c>
      <c r="I2948" s="24">
        <v>210.0</v>
      </c>
      <c r="J2948" s="34"/>
      <c r="K2948" s="34" t="str">
        <f t="shared" ref="K2948:K2949" si="320">IF(E2948="pago",(I2948-J2948),"")</f>
        <v/>
      </c>
      <c r="L2948" s="28" t="s">
        <v>29</v>
      </c>
      <c r="M2948" s="28"/>
      <c r="N2948" s="28" t="s">
        <v>126</v>
      </c>
      <c r="O2948" s="10" t="str">
        <f t="shared" si="79"/>
        <v>08/2026</v>
      </c>
      <c r="P2948" s="10" t="str">
        <f t="shared" si="319"/>
        <v/>
      </c>
      <c r="Q2948" s="15" t="str">
        <f t="array" ref="Q2948">IFERROR(XLOOKUP(N2948,'Classificação'!A:A,'Classificação'!B:B),"")</f>
        <v>DESPESAS COM PESSOAL</v>
      </c>
      <c r="R2948" s="15" t="str">
        <f t="array" ref="R2948">IFERROR(XLOOKUP(Q2948,'Classificação'!B:B,'Classificação'!C:C),"")</f>
        <v>DESPESAS FIXAS (-)</v>
      </c>
      <c r="S2948" s="15">
        <f t="shared" si="228"/>
        <v>20</v>
      </c>
      <c r="T2948" s="15">
        <f t="shared" si="128"/>
        <v>8</v>
      </c>
      <c r="U2948" s="15">
        <f t="shared" si="129"/>
        <v>2026</v>
      </c>
      <c r="V2948" s="15" t="str">
        <f t="shared" si="8"/>
        <v/>
      </c>
      <c r="W2948" s="15" t="str">
        <f t="shared" si="9"/>
        <v/>
      </c>
      <c r="X2948" s="15" t="str">
        <f t="shared" si="10"/>
        <v/>
      </c>
    </row>
    <row r="2949">
      <c r="A2949" s="27">
        <v>46254.0</v>
      </c>
      <c r="B2949" s="28"/>
      <c r="C2949" s="27" t="str">
        <f t="shared" si="249"/>
        <v/>
      </c>
      <c r="D2949" s="28" t="s">
        <v>123</v>
      </c>
      <c r="E2949" s="28" t="s">
        <v>1305</v>
      </c>
      <c r="F2949" s="28" t="s">
        <v>40</v>
      </c>
      <c r="G2949" s="28" t="s">
        <v>27</v>
      </c>
      <c r="H2949" s="29" t="s">
        <v>1180</v>
      </c>
      <c r="I2949" s="24">
        <v>217.0</v>
      </c>
      <c r="J2949" s="34"/>
      <c r="K2949" s="34" t="str">
        <f t="shared" si="320"/>
        <v/>
      </c>
      <c r="L2949" s="28" t="s">
        <v>29</v>
      </c>
      <c r="M2949" s="28"/>
      <c r="N2949" s="28" t="s">
        <v>123</v>
      </c>
      <c r="O2949" s="10" t="str">
        <f t="shared" si="79"/>
        <v>08/2026</v>
      </c>
      <c r="P2949" s="10" t="str">
        <f t="shared" si="319"/>
        <v/>
      </c>
      <c r="Q2949" s="15" t="str">
        <f t="array" ref="Q2949">IFERROR(XLOOKUP(N2949,'Classificação'!A:A,'Classificação'!B:B),"")</f>
        <v>DESPESAS COM PESSOAL</v>
      </c>
      <c r="R2949" s="15" t="str">
        <f t="array" ref="R2949">IFERROR(XLOOKUP(Q2949,'Classificação'!B:B,'Classificação'!C:C),"")</f>
        <v>DESPESAS FIXAS (-)</v>
      </c>
      <c r="S2949" s="15">
        <f t="shared" si="228"/>
        <v>20</v>
      </c>
      <c r="T2949" s="15">
        <f t="shared" si="128"/>
        <v>8</v>
      </c>
      <c r="U2949" s="15">
        <f t="shared" si="129"/>
        <v>2026</v>
      </c>
      <c r="V2949" s="15" t="str">
        <f t="shared" si="8"/>
        <v/>
      </c>
      <c r="W2949" s="15" t="str">
        <f t="shared" si="9"/>
        <v/>
      </c>
      <c r="X2949" s="15" t="str">
        <f t="shared" si="10"/>
        <v/>
      </c>
    </row>
    <row r="2950">
      <c r="A2950" s="9">
        <v>46254.0</v>
      </c>
      <c r="B2950" s="10"/>
      <c r="C2950" s="9" t="str">
        <f t="shared" si="249"/>
        <v/>
      </c>
      <c r="D2950" s="28" t="s">
        <v>369</v>
      </c>
      <c r="E2950" s="28" t="s">
        <v>1305</v>
      </c>
      <c r="F2950" s="28" t="s">
        <v>107</v>
      </c>
      <c r="G2950" s="28" t="s">
        <v>27</v>
      </c>
      <c r="H2950" s="11" t="s">
        <v>1247</v>
      </c>
      <c r="I2950" s="38">
        <v>29.9</v>
      </c>
      <c r="J2950" s="13"/>
      <c r="K2950" s="13" t="str">
        <f t="shared" ref="K2950:K2952" si="321">if(E2950="pago",(I2950-J2950),"")</f>
        <v/>
      </c>
      <c r="L2950" s="29" t="s">
        <v>29</v>
      </c>
      <c r="M2950" s="14"/>
      <c r="N2950" s="29" t="s">
        <v>105</v>
      </c>
      <c r="O2950" s="10" t="str">
        <f t="shared" si="79"/>
        <v>08/2026</v>
      </c>
      <c r="P2950" s="10" t="str">
        <f t="shared" si="319"/>
        <v/>
      </c>
      <c r="Q2950" s="15" t="str">
        <f t="array" ref="Q2950">IFERROR(XLOOKUP(N2950,'Classificação'!A:A,'Classificação'!B:B),"")</f>
        <v>DESPESAS ADMINISTRATIVAS</v>
      </c>
      <c r="R2950" s="15" t="str">
        <f t="array" ref="R2950">IFERROR(XLOOKUP(Q2950,'Classificação'!B:B,'Classificação'!C:C),"")</f>
        <v>DESPESAS FIXAS (-)</v>
      </c>
      <c r="S2950" s="15">
        <f t="shared" si="228"/>
        <v>20</v>
      </c>
      <c r="T2950" s="15">
        <f t="shared" si="128"/>
        <v>8</v>
      </c>
      <c r="U2950" s="15">
        <f t="shared" si="129"/>
        <v>2026</v>
      </c>
      <c r="V2950" s="15" t="str">
        <f t="shared" si="8"/>
        <v/>
      </c>
      <c r="W2950" s="15" t="str">
        <f t="shared" si="9"/>
        <v/>
      </c>
      <c r="X2950" s="15" t="str">
        <f t="shared" si="10"/>
        <v/>
      </c>
    </row>
    <row r="2951">
      <c r="A2951" s="9">
        <v>46254.0</v>
      </c>
      <c r="B2951" s="9">
        <v>46081.0</v>
      </c>
      <c r="C2951" s="9" t="str">
        <f t="shared" si="249"/>
        <v/>
      </c>
      <c r="D2951" s="11" t="s">
        <v>65</v>
      </c>
      <c r="E2951" s="28" t="s">
        <v>1305</v>
      </c>
      <c r="F2951" s="11" t="s">
        <v>107</v>
      </c>
      <c r="G2951" s="11" t="s">
        <v>27</v>
      </c>
      <c r="H2951" s="11" t="s">
        <v>1293</v>
      </c>
      <c r="I2951" s="31">
        <v>127.9</v>
      </c>
      <c r="J2951" s="13"/>
      <c r="K2951" s="13" t="str">
        <f t="shared" si="321"/>
        <v/>
      </c>
      <c r="L2951" s="11" t="s">
        <v>53</v>
      </c>
      <c r="M2951" s="17">
        <v>46362.0</v>
      </c>
      <c r="N2951" s="11" t="s">
        <v>95</v>
      </c>
      <c r="O2951" s="10" t="str">
        <f t="shared" si="79"/>
        <v>08/2026</v>
      </c>
      <c r="P2951" s="10" t="str">
        <f t="shared" si="319"/>
        <v/>
      </c>
      <c r="Q2951" s="15" t="str">
        <f t="array" ref="Q2951">IFERROR(XLOOKUP(N2951,'Classificação'!A:A,'Classificação'!B:B),"")</f>
        <v>DESPESAS NÃO OPERACIONAIS</v>
      </c>
      <c r="R2951" s="15" t="str">
        <f t="array" ref="R2951">IFERROR(XLOOKUP(Q2951,'Classificação'!B:B,'Classificação'!C:C),"")</f>
        <v>RESULTADO NÃO OPERACIONAL (+/-)</v>
      </c>
      <c r="S2951" s="15">
        <f t="shared" si="228"/>
        <v>20</v>
      </c>
      <c r="T2951" s="15">
        <f t="shared" si="128"/>
        <v>8</v>
      </c>
      <c r="U2951" s="15">
        <f t="shared" si="129"/>
        <v>2026</v>
      </c>
      <c r="V2951" s="15" t="str">
        <f t="shared" si="8"/>
        <v/>
      </c>
      <c r="W2951" s="15" t="str">
        <f t="shared" si="9"/>
        <v/>
      </c>
      <c r="X2951" s="15" t="str">
        <f t="shared" si="10"/>
        <v/>
      </c>
    </row>
    <row r="2952">
      <c r="A2952" s="9">
        <v>46254.0</v>
      </c>
      <c r="B2952" s="9">
        <v>46077.0</v>
      </c>
      <c r="C2952" s="9" t="str">
        <f t="shared" si="249"/>
        <v/>
      </c>
      <c r="D2952" s="11" t="s">
        <v>1294</v>
      </c>
      <c r="E2952" s="28" t="s">
        <v>1305</v>
      </c>
      <c r="F2952" s="11" t="s">
        <v>107</v>
      </c>
      <c r="G2952" s="28" t="s">
        <v>27</v>
      </c>
      <c r="H2952" s="11" t="s">
        <v>1295</v>
      </c>
      <c r="I2952" s="31">
        <v>185.2</v>
      </c>
      <c r="J2952" s="13"/>
      <c r="K2952" s="13" t="str">
        <f t="shared" si="321"/>
        <v/>
      </c>
      <c r="L2952" s="28" t="s">
        <v>53</v>
      </c>
      <c r="M2952" s="17">
        <v>46362.0</v>
      </c>
      <c r="N2952" s="11" t="s">
        <v>64</v>
      </c>
      <c r="O2952" s="10" t="str">
        <f t="shared" si="79"/>
        <v>08/2026</v>
      </c>
      <c r="P2952" s="10" t="str">
        <f t="shared" si="319"/>
        <v/>
      </c>
      <c r="Q2952" s="15" t="str">
        <f t="array" ref="Q2952">IFERROR(XLOOKUP(N2952,'Classificação'!A:A,'Classificação'!B:B),"")</f>
        <v>DESPESAS COM PESSOAL</v>
      </c>
      <c r="R2952" s="15" t="str">
        <f t="array" ref="R2952">IFERROR(XLOOKUP(Q2952,'Classificação'!B:B,'Classificação'!C:C),"")</f>
        <v>DESPESAS FIXAS (-)</v>
      </c>
      <c r="S2952" s="15">
        <f t="shared" si="228"/>
        <v>20</v>
      </c>
      <c r="T2952" s="15">
        <f t="shared" si="128"/>
        <v>8</v>
      </c>
      <c r="U2952" s="15">
        <f t="shared" si="129"/>
        <v>2026</v>
      </c>
      <c r="V2952" s="15" t="str">
        <f t="shared" si="8"/>
        <v/>
      </c>
      <c r="W2952" s="15" t="str">
        <f t="shared" si="9"/>
        <v/>
      </c>
      <c r="X2952" s="15" t="str">
        <f t="shared" si="10"/>
        <v/>
      </c>
    </row>
    <row r="2953">
      <c r="A2953" s="9">
        <v>46255.0</v>
      </c>
      <c r="B2953" s="10"/>
      <c r="C2953" s="9" t="str">
        <f t="shared" si="249"/>
        <v/>
      </c>
      <c r="D2953" s="28" t="s">
        <v>76</v>
      </c>
      <c r="E2953" s="28" t="s">
        <v>1305</v>
      </c>
      <c r="F2953" s="28" t="s">
        <v>26</v>
      </c>
      <c r="G2953" s="28" t="s">
        <v>27</v>
      </c>
      <c r="H2953" s="28" t="s">
        <v>84</v>
      </c>
      <c r="I2953" s="24">
        <v>1214.27</v>
      </c>
      <c r="J2953" s="13"/>
      <c r="K2953" s="13"/>
      <c r="L2953" s="28" t="s">
        <v>53</v>
      </c>
      <c r="M2953" s="16" t="s">
        <v>1363</v>
      </c>
      <c r="N2953" s="28" t="s">
        <v>85</v>
      </c>
      <c r="O2953" s="10" t="str">
        <f t="shared" si="79"/>
        <v>08/2026</v>
      </c>
      <c r="P2953" s="10"/>
      <c r="Q2953" s="15" t="str">
        <f t="array" ref="Q2953">IFERROR(XLOOKUP(N2953,'Classificação'!A:A,'Classificação'!B:B),"")</f>
        <v>DESPESAS NÃO OPERACIONAIS</v>
      </c>
      <c r="R2953" s="15" t="str">
        <f t="array" ref="R2953">IFERROR(XLOOKUP(Q2953,'Classificação'!B:B,'Classificação'!C:C),"")</f>
        <v>RESULTADO NÃO OPERACIONAL (+/-)</v>
      </c>
      <c r="S2953" s="15">
        <f t="shared" si="228"/>
        <v>21</v>
      </c>
      <c r="T2953" s="15">
        <f t="shared" si="128"/>
        <v>8</v>
      </c>
      <c r="U2953" s="15">
        <f t="shared" si="129"/>
        <v>2026</v>
      </c>
      <c r="V2953" s="15" t="str">
        <f t="shared" si="8"/>
        <v/>
      </c>
      <c r="W2953" s="15" t="str">
        <f t="shared" si="9"/>
        <v/>
      </c>
      <c r="X2953" s="15" t="str">
        <f t="shared" si="10"/>
        <v/>
      </c>
    </row>
    <row r="2954">
      <c r="A2954" s="26">
        <v>46256.0</v>
      </c>
      <c r="B2954" s="10"/>
      <c r="C2954" s="9" t="str">
        <f t="shared" si="249"/>
        <v/>
      </c>
      <c r="D2954" s="28" t="s">
        <v>36</v>
      </c>
      <c r="E2954" s="28" t="s">
        <v>1305</v>
      </c>
      <c r="F2954" s="28" t="s">
        <v>26</v>
      </c>
      <c r="G2954" s="28" t="s">
        <v>37</v>
      </c>
      <c r="I2954" s="37">
        <v>9000.0</v>
      </c>
      <c r="J2954" s="13"/>
      <c r="K2954" s="13" t="str">
        <f t="shared" ref="K2954:K2955" si="322">if(E2954="pago",(I2954-J2954),"")</f>
        <v/>
      </c>
      <c r="L2954" s="28" t="s">
        <v>29</v>
      </c>
      <c r="M2954" s="14"/>
      <c r="N2954" s="28" t="s">
        <v>38</v>
      </c>
      <c r="O2954" s="10" t="str">
        <f t="shared" si="79"/>
        <v>08/2026</v>
      </c>
      <c r="P2954" s="10" t="str">
        <f t="shared" ref="P2954:P2956" si="323">if(C2954="","", TEXT(C2954,"mm/yyyy"))</f>
        <v/>
      </c>
      <c r="Q2954" s="15" t="str">
        <f t="array" ref="Q2954">IFERROR(XLOOKUP(N2954,'Classificação'!A:A,'Classificação'!B:B),"")</f>
        <v>DESPESAS COM PESSOAL</v>
      </c>
      <c r="R2954" s="15" t="str">
        <f t="array" ref="R2954">IFERROR(XLOOKUP(Q2954,'Classificação'!B:B,'Classificação'!C:C),"")</f>
        <v>DESPESAS FIXAS (-)</v>
      </c>
      <c r="S2954" s="15">
        <f t="shared" si="228"/>
        <v>22</v>
      </c>
      <c r="T2954" s="15">
        <f t="shared" si="128"/>
        <v>8</v>
      </c>
      <c r="U2954" s="15">
        <f t="shared" si="129"/>
        <v>2026</v>
      </c>
      <c r="V2954" s="15" t="str">
        <f t="shared" si="8"/>
        <v/>
      </c>
      <c r="W2954" s="15" t="str">
        <f t="shared" si="9"/>
        <v/>
      </c>
      <c r="X2954" s="15" t="str">
        <f t="shared" si="10"/>
        <v/>
      </c>
    </row>
    <row r="2955">
      <c r="A2955" s="26">
        <v>46256.0</v>
      </c>
      <c r="B2955" s="10"/>
      <c r="C2955" s="9" t="str">
        <f t="shared" si="249"/>
        <v/>
      </c>
      <c r="D2955" s="28" t="s">
        <v>43</v>
      </c>
      <c r="E2955" s="28" t="s">
        <v>1305</v>
      </c>
      <c r="F2955" s="29" t="s">
        <v>26</v>
      </c>
      <c r="G2955" s="28" t="s">
        <v>37</v>
      </c>
      <c r="I2955" s="37">
        <v>9000.0</v>
      </c>
      <c r="J2955" s="13"/>
      <c r="K2955" s="13" t="str">
        <f t="shared" si="322"/>
        <v/>
      </c>
      <c r="L2955" s="28" t="s">
        <v>29</v>
      </c>
      <c r="M2955" s="14"/>
      <c r="N2955" s="28" t="s">
        <v>38</v>
      </c>
      <c r="O2955" s="10" t="str">
        <f t="shared" si="79"/>
        <v>08/2026</v>
      </c>
      <c r="P2955" s="10" t="str">
        <f t="shared" si="323"/>
        <v/>
      </c>
      <c r="Q2955" s="15" t="str">
        <f t="array" ref="Q2955">IFERROR(XLOOKUP(N2955,'Classificação'!A:A,'Classificação'!B:B),"")</f>
        <v>DESPESAS COM PESSOAL</v>
      </c>
      <c r="R2955" s="15" t="str">
        <f t="array" ref="R2955">IFERROR(XLOOKUP(Q2955,'Classificação'!B:B,'Classificação'!C:C),"")</f>
        <v>DESPESAS FIXAS (-)</v>
      </c>
      <c r="S2955" s="15">
        <f t="shared" si="228"/>
        <v>22</v>
      </c>
      <c r="T2955" s="15">
        <f t="shared" si="128"/>
        <v>8</v>
      </c>
      <c r="U2955" s="15">
        <f t="shared" si="129"/>
        <v>2026</v>
      </c>
      <c r="V2955" s="15" t="str">
        <f t="shared" si="8"/>
        <v/>
      </c>
      <c r="W2955" s="15" t="str">
        <f t="shared" si="9"/>
        <v/>
      </c>
      <c r="X2955" s="15" t="str">
        <f t="shared" si="10"/>
        <v/>
      </c>
    </row>
    <row r="2956">
      <c r="A2956" s="9">
        <v>46258.0</v>
      </c>
      <c r="B2956" s="10"/>
      <c r="C2956" s="9" t="str">
        <f t="shared" si="249"/>
        <v/>
      </c>
      <c r="D2956" s="28" t="s">
        <v>39</v>
      </c>
      <c r="E2956" s="28" t="s">
        <v>1305</v>
      </c>
      <c r="F2956" s="28" t="s">
        <v>40</v>
      </c>
      <c r="G2956" s="28" t="s">
        <v>27</v>
      </c>
      <c r="H2956" s="28" t="s">
        <v>640</v>
      </c>
      <c r="I2956" s="24">
        <v>148.07</v>
      </c>
      <c r="J2956" s="34"/>
      <c r="K2956" s="37" t="str">
        <f t="shared" ref="K2956:K2958" si="324">IF(E2956="pago",(I2956-J2956),"")</f>
        <v/>
      </c>
      <c r="L2956" s="28" t="s">
        <v>53</v>
      </c>
      <c r="M2956" s="40">
        <v>45936.0</v>
      </c>
      <c r="N2956" s="28" t="s">
        <v>355</v>
      </c>
      <c r="O2956" s="10" t="str">
        <f t="shared" si="79"/>
        <v>08/2026</v>
      </c>
      <c r="P2956" s="10" t="str">
        <f t="shared" si="323"/>
        <v/>
      </c>
      <c r="Q2956" s="15" t="str">
        <f t="array" ref="Q2956">IFERROR(XLOOKUP(N2956,'Classificação'!A:A,'Classificação'!B:B),"")</f>
        <v>IMPOSTOS E TAXAS DIVERSAS</v>
      </c>
      <c r="S2956" s="15">
        <f t="shared" si="228"/>
        <v>24</v>
      </c>
      <c r="T2956" s="15">
        <f t="shared" si="128"/>
        <v>8</v>
      </c>
      <c r="U2956" s="15">
        <f t="shared" si="129"/>
        <v>2026</v>
      </c>
      <c r="V2956" s="15" t="str">
        <f t="shared" si="8"/>
        <v/>
      </c>
      <c r="W2956" s="15" t="str">
        <f t="shared" si="9"/>
        <v/>
      </c>
      <c r="X2956" s="15" t="str">
        <f t="shared" si="10"/>
        <v/>
      </c>
    </row>
    <row r="2957">
      <c r="A2957" s="26">
        <v>46259.0</v>
      </c>
      <c r="B2957" s="28"/>
      <c r="C2957" s="27" t="str">
        <f t="shared" si="249"/>
        <v/>
      </c>
      <c r="D2957" s="28" t="s">
        <v>208</v>
      </c>
      <c r="E2957" s="28" t="s">
        <v>1305</v>
      </c>
      <c r="F2957" s="28" t="s">
        <v>40</v>
      </c>
      <c r="G2957" s="28" t="s">
        <v>27</v>
      </c>
      <c r="H2957" s="28" t="s">
        <v>209</v>
      </c>
      <c r="I2957" s="37">
        <v>204.96</v>
      </c>
      <c r="J2957" s="34"/>
      <c r="K2957" s="34" t="str">
        <f t="shared" si="324"/>
        <v/>
      </c>
      <c r="L2957" s="28" t="s">
        <v>29</v>
      </c>
      <c r="M2957" s="28"/>
      <c r="N2957" s="28" t="s">
        <v>210</v>
      </c>
      <c r="O2957" s="10" t="str">
        <f t="shared" si="79"/>
        <v>08/2026</v>
      </c>
      <c r="P2957" s="10" t="str">
        <f>if(B2957="","", TEXT(B2957,"mm/yyyy"))</f>
        <v/>
      </c>
      <c r="Q2957" s="15" t="str">
        <f t="array" ref="Q2957">IFERROR(XLOOKUP(N2957,'Classificação'!A:A,'Classificação'!B:B),"")</f>
        <v>DESPESAS COM OCUPAÇÃO</v>
      </c>
      <c r="R2957" s="15" t="str">
        <f t="array" ref="R2957">IFERROR(XLOOKUP(Q2957,'Classificação'!B:B,'Classificação'!C:C),"")</f>
        <v>DESPESAS FIXAS (-)</v>
      </c>
      <c r="S2957" s="15">
        <f t="shared" si="228"/>
        <v>25</v>
      </c>
      <c r="T2957" s="15">
        <f t="shared" si="128"/>
        <v>8</v>
      </c>
      <c r="U2957" s="15">
        <f t="shared" si="129"/>
        <v>2026</v>
      </c>
      <c r="V2957" s="15" t="str">
        <f t="shared" si="8"/>
        <v/>
      </c>
      <c r="W2957" s="15" t="str">
        <f t="shared" si="9"/>
        <v/>
      </c>
      <c r="X2957" s="15" t="str">
        <f t="shared" si="10"/>
        <v/>
      </c>
    </row>
    <row r="2958">
      <c r="A2958" s="26">
        <v>46259.0</v>
      </c>
      <c r="B2958" s="28"/>
      <c r="C2958" s="27" t="str">
        <f t="shared" si="249"/>
        <v/>
      </c>
      <c r="D2958" s="28" t="s">
        <v>828</v>
      </c>
      <c r="E2958" s="29" t="s">
        <v>1305</v>
      </c>
      <c r="F2958" s="28" t="s">
        <v>26</v>
      </c>
      <c r="G2958" s="28" t="s">
        <v>37</v>
      </c>
      <c r="H2958" s="28" t="s">
        <v>1220</v>
      </c>
      <c r="I2958" s="33">
        <v>107.81</v>
      </c>
      <c r="J2958" s="34"/>
      <c r="K2958" s="37" t="str">
        <f t="shared" si="324"/>
        <v/>
      </c>
      <c r="L2958" s="28" t="s">
        <v>34</v>
      </c>
      <c r="M2958" s="28"/>
      <c r="N2958" s="28" t="s">
        <v>105</v>
      </c>
      <c r="O2958" s="10" t="str">
        <f t="shared" si="79"/>
        <v>08/2026</v>
      </c>
      <c r="P2958" s="10" t="str">
        <f t="shared" ref="P2958:P2960" si="325">if(C2958="","", TEXT(C2958,"mm/yyyy"))</f>
        <v/>
      </c>
      <c r="Q2958" s="15" t="str">
        <f t="array" ref="Q2958">IFERROR(XLOOKUP(N2958,'Classificação'!A:A,'Classificação'!B:B),"")</f>
        <v>DESPESAS ADMINISTRATIVAS</v>
      </c>
      <c r="R2958" s="15" t="str">
        <f t="array" ref="R2958">IFERROR(XLOOKUP(Q2958,'Classificação'!B:B,'Classificação'!C:C),"")</f>
        <v>DESPESAS FIXAS (-)</v>
      </c>
      <c r="S2958" s="15">
        <f t="shared" si="228"/>
        <v>25</v>
      </c>
      <c r="T2958" s="15">
        <f t="shared" si="128"/>
        <v>8</v>
      </c>
      <c r="U2958" s="15">
        <f t="shared" si="129"/>
        <v>2026</v>
      </c>
      <c r="V2958" s="15" t="str">
        <f t="shared" si="8"/>
        <v/>
      </c>
      <c r="W2958" s="15" t="str">
        <f t="shared" si="9"/>
        <v/>
      </c>
      <c r="X2958" s="15" t="str">
        <f t="shared" si="10"/>
        <v/>
      </c>
    </row>
    <row r="2959">
      <c r="A2959" s="9">
        <v>46260.0</v>
      </c>
      <c r="B2959" s="10"/>
      <c r="C2959" s="9" t="str">
        <f t="shared" si="249"/>
        <v/>
      </c>
      <c r="D2959" s="28" t="s">
        <v>44</v>
      </c>
      <c r="E2959" s="28" t="s">
        <v>1305</v>
      </c>
      <c r="F2959" s="28" t="s">
        <v>45</v>
      </c>
      <c r="G2959" s="28" t="s">
        <v>27</v>
      </c>
      <c r="H2959" s="29" t="s">
        <v>1329</v>
      </c>
      <c r="I2959" s="37">
        <v>2456.6081750000003</v>
      </c>
      <c r="J2959" s="34"/>
      <c r="K2959" s="37"/>
      <c r="L2959" s="28" t="s">
        <v>53</v>
      </c>
      <c r="M2959" s="16" t="s">
        <v>1369</v>
      </c>
      <c r="N2959" s="28" t="s">
        <v>73</v>
      </c>
      <c r="O2959" s="10" t="str">
        <f t="shared" si="79"/>
        <v>08/2026</v>
      </c>
      <c r="P2959" s="10" t="str">
        <f t="shared" si="325"/>
        <v/>
      </c>
      <c r="Q2959" s="15" t="str">
        <f t="array" ref="Q2959">IFERROR(XLOOKUP(N2959,'Classificação'!A:A,'Classificação'!B:B),"")</f>
        <v>DESPESAS NÃO OPERACIONAIS</v>
      </c>
      <c r="R2959" s="15" t="str">
        <f t="array" ref="R2959">IFERROR(XLOOKUP(Q2959,'Classificação'!B:B,'Classificação'!C:C),"")</f>
        <v>RESULTADO NÃO OPERACIONAL (+/-)</v>
      </c>
      <c r="S2959" s="15">
        <f t="shared" si="228"/>
        <v>26</v>
      </c>
      <c r="T2959" s="15">
        <f t="shared" si="128"/>
        <v>8</v>
      </c>
      <c r="U2959" s="15">
        <f t="shared" si="129"/>
        <v>2026</v>
      </c>
      <c r="V2959" s="15" t="str">
        <f t="shared" si="8"/>
        <v/>
      </c>
      <c r="W2959" s="15" t="str">
        <f t="shared" si="9"/>
        <v/>
      </c>
      <c r="X2959" s="15" t="str">
        <f t="shared" si="10"/>
        <v/>
      </c>
    </row>
    <row r="2960">
      <c r="A2960" s="9">
        <v>46262.0</v>
      </c>
      <c r="B2960" s="10"/>
      <c r="C2960" s="9" t="str">
        <f t="shared" si="249"/>
        <v/>
      </c>
      <c r="D2960" s="11" t="s">
        <v>1229</v>
      </c>
      <c r="E2960" s="28" t="s">
        <v>1305</v>
      </c>
      <c r="F2960" s="11" t="s">
        <v>26</v>
      </c>
      <c r="G2960" s="11" t="s">
        <v>37</v>
      </c>
      <c r="H2960" s="11" t="s">
        <v>1230</v>
      </c>
      <c r="I2960" s="31">
        <v>1260.0</v>
      </c>
      <c r="J2960" s="13"/>
      <c r="K2960" s="13" t="str">
        <f>if(E2960="pago",(I2960-J2960),"")</f>
        <v/>
      </c>
      <c r="L2960" s="11" t="s">
        <v>29</v>
      </c>
      <c r="M2960" s="14"/>
      <c r="N2960" s="11" t="s">
        <v>58</v>
      </c>
      <c r="O2960" s="10" t="str">
        <f t="shared" si="79"/>
        <v>08/2026</v>
      </c>
      <c r="P2960" s="10" t="str">
        <f t="shared" si="325"/>
        <v/>
      </c>
      <c r="Q2960" s="15" t="str">
        <f t="array" ref="Q2960">IFERROR(XLOOKUP(N2960,'Classificação'!A:A,'Classificação'!B:B),"")</f>
        <v>DESPESAS ADMINISTRATIVAS</v>
      </c>
      <c r="R2960" s="15" t="str">
        <f t="array" ref="R2960">IFERROR(XLOOKUP(Q2960,'Classificação'!B:B,'Classificação'!C:C),"")</f>
        <v>DESPESAS FIXAS (-)</v>
      </c>
      <c r="S2960" s="15">
        <f t="shared" si="228"/>
        <v>28</v>
      </c>
      <c r="T2960" s="15">
        <f t="shared" si="128"/>
        <v>8</v>
      </c>
      <c r="U2960" s="15">
        <f t="shared" si="129"/>
        <v>2026</v>
      </c>
      <c r="V2960" s="15" t="str">
        <f t="shared" si="8"/>
        <v/>
      </c>
      <c r="W2960" s="15" t="str">
        <f t="shared" si="9"/>
        <v/>
      </c>
      <c r="X2960" s="15" t="str">
        <f t="shared" si="10"/>
        <v/>
      </c>
    </row>
    <row r="2961">
      <c r="A2961" s="26">
        <v>46264.0</v>
      </c>
      <c r="B2961" s="28"/>
      <c r="C2961" s="27" t="str">
        <f t="shared" si="249"/>
        <v/>
      </c>
      <c r="D2961" s="28" t="s">
        <v>221</v>
      </c>
      <c r="E2961" s="28" t="s">
        <v>1305</v>
      </c>
      <c r="F2961" s="28" t="s">
        <v>32</v>
      </c>
      <c r="G2961" s="28" t="s">
        <v>27</v>
      </c>
      <c r="H2961" s="28" t="s">
        <v>222</v>
      </c>
      <c r="I2961" s="24">
        <v>406.0</v>
      </c>
      <c r="J2961" s="34"/>
      <c r="K2961" s="34" t="str">
        <f t="shared" ref="K2961:K2966" si="326">IF(E2961="pago",(I2961-J2961),"")</f>
        <v/>
      </c>
      <c r="L2961" s="28" t="s">
        <v>29</v>
      </c>
      <c r="M2961" s="14"/>
      <c r="N2961" s="11" t="s">
        <v>61</v>
      </c>
      <c r="O2961" s="10" t="str">
        <f t="shared" si="79"/>
        <v>08/2026</v>
      </c>
      <c r="P2961" s="10" t="str">
        <f>if(B2961="","", TEXT(B2961,"mm/yyyy"))</f>
        <v/>
      </c>
      <c r="Q2961" s="15" t="str">
        <f t="array" ref="Q2961">IFERROR(XLOOKUP(N2961,'Classificação'!A:A,'Classificação'!B:B),"")</f>
        <v>DESPESAS ADMINISTRATIVAS</v>
      </c>
      <c r="R2961" s="15" t="str">
        <f t="array" ref="R2961">IFERROR(XLOOKUP(Q2961,'Classificação'!B:B,'Classificação'!C:C),"")</f>
        <v>DESPESAS FIXAS (-)</v>
      </c>
      <c r="S2961" s="15">
        <f t="shared" si="228"/>
        <v>30</v>
      </c>
      <c r="T2961" s="15">
        <f t="shared" si="128"/>
        <v>8</v>
      </c>
      <c r="U2961" s="15">
        <f t="shared" si="129"/>
        <v>2026</v>
      </c>
      <c r="V2961" s="15" t="str">
        <f t="shared" si="8"/>
        <v/>
      </c>
      <c r="W2961" s="15" t="str">
        <f t="shared" si="9"/>
        <v/>
      </c>
      <c r="X2961" s="15" t="str">
        <f t="shared" si="10"/>
        <v/>
      </c>
    </row>
    <row r="2962">
      <c r="A2962" s="26">
        <v>46264.0</v>
      </c>
      <c r="B2962" s="30"/>
      <c r="C2962" s="27" t="str">
        <f t="shared" si="249"/>
        <v/>
      </c>
      <c r="D2962" s="28" t="s">
        <v>80</v>
      </c>
      <c r="E2962" s="28" t="s">
        <v>1305</v>
      </c>
      <c r="F2962" s="28" t="s">
        <v>32</v>
      </c>
      <c r="G2962" s="28" t="s">
        <v>27</v>
      </c>
      <c r="H2962" s="29" t="s">
        <v>1150</v>
      </c>
      <c r="I2962" s="37">
        <v>1040.0</v>
      </c>
      <c r="J2962" s="34"/>
      <c r="K2962" s="34" t="str">
        <f t="shared" si="326"/>
        <v/>
      </c>
      <c r="L2962" s="28" t="s">
        <v>29</v>
      </c>
      <c r="M2962" s="28"/>
      <c r="N2962" s="28" t="s">
        <v>38</v>
      </c>
      <c r="O2962" s="10" t="str">
        <f t="shared" si="79"/>
        <v>08/2026</v>
      </c>
      <c r="P2962" s="10" t="str">
        <f t="shared" ref="P2962:P2963" si="327">if(C2962="","", TEXT(C2962,"mm/yyyy"))</f>
        <v/>
      </c>
      <c r="Q2962" s="15" t="str">
        <f t="array" ref="Q2962">IFERROR(XLOOKUP(N2962,'Classificação'!A:A,'Classificação'!B:B),"")</f>
        <v>DESPESAS COM PESSOAL</v>
      </c>
      <c r="R2962" s="15" t="str">
        <f t="array" ref="R2962">IFERROR(XLOOKUP(Q2962,'Classificação'!B:B,'Classificação'!C:C),"")</f>
        <v>DESPESAS FIXAS (-)</v>
      </c>
      <c r="S2962" s="15">
        <f t="shared" si="228"/>
        <v>30</v>
      </c>
      <c r="T2962" s="15">
        <f t="shared" si="128"/>
        <v>8</v>
      </c>
      <c r="U2962" s="15">
        <f t="shared" si="129"/>
        <v>2026</v>
      </c>
      <c r="V2962" s="15" t="str">
        <f t="shared" si="8"/>
        <v/>
      </c>
      <c r="W2962" s="15" t="str">
        <f t="shared" si="9"/>
        <v/>
      </c>
      <c r="X2962" s="15" t="str">
        <f t="shared" si="10"/>
        <v/>
      </c>
    </row>
    <row r="2963">
      <c r="A2963" s="26">
        <v>46264.0</v>
      </c>
      <c r="B2963" s="30"/>
      <c r="C2963" s="27" t="str">
        <f t="shared" si="249"/>
        <v/>
      </c>
      <c r="D2963" s="28" t="s">
        <v>80</v>
      </c>
      <c r="E2963" s="28" t="s">
        <v>1305</v>
      </c>
      <c r="F2963" s="28" t="s">
        <v>40</v>
      </c>
      <c r="G2963" s="28" t="s">
        <v>27</v>
      </c>
      <c r="H2963" s="29" t="s">
        <v>1100</v>
      </c>
      <c r="I2963" s="37">
        <v>550.0</v>
      </c>
      <c r="J2963" s="34"/>
      <c r="K2963" s="34" t="str">
        <f t="shared" si="326"/>
        <v/>
      </c>
      <c r="L2963" s="28" t="s">
        <v>29</v>
      </c>
      <c r="M2963" s="28"/>
      <c r="N2963" s="28" t="s">
        <v>204</v>
      </c>
      <c r="O2963" s="10" t="str">
        <f t="shared" si="79"/>
        <v>08/2026</v>
      </c>
      <c r="P2963" s="10" t="str">
        <f t="shared" si="327"/>
        <v/>
      </c>
      <c r="Q2963" s="15" t="str">
        <f t="array" ref="Q2963">IFERROR(XLOOKUP(N2963,'Classificação'!A:A,'Classificação'!B:B),"")</f>
        <v>DESPESAS COM PESSOAL</v>
      </c>
      <c r="R2963" s="15" t="str">
        <f t="array" ref="R2963">IFERROR(XLOOKUP(Q2963,'Classificação'!B:B,'Classificação'!C:C),"")</f>
        <v>DESPESAS FIXAS (-)</v>
      </c>
      <c r="S2963" s="15">
        <f t="shared" si="228"/>
        <v>30</v>
      </c>
      <c r="T2963" s="15">
        <f t="shared" si="128"/>
        <v>8</v>
      </c>
      <c r="U2963" s="15">
        <f t="shared" si="129"/>
        <v>2026</v>
      </c>
      <c r="V2963" s="15" t="str">
        <f t="shared" si="8"/>
        <v/>
      </c>
      <c r="W2963" s="15" t="str">
        <f t="shared" si="9"/>
        <v/>
      </c>
      <c r="X2963" s="15" t="str">
        <f t="shared" si="10"/>
        <v/>
      </c>
    </row>
    <row r="2964">
      <c r="A2964" s="26">
        <v>46264.0</v>
      </c>
      <c r="B2964" s="28"/>
      <c r="C2964" s="27" t="str">
        <f t="shared" si="249"/>
        <v/>
      </c>
      <c r="D2964" s="28" t="s">
        <v>223</v>
      </c>
      <c r="E2964" s="28" t="s">
        <v>1305</v>
      </c>
      <c r="F2964" s="28" t="s">
        <v>32</v>
      </c>
      <c r="G2964" s="28" t="s">
        <v>27</v>
      </c>
      <c r="H2964" s="29" t="s">
        <v>1231</v>
      </c>
      <c r="I2964" s="37">
        <v>100.0</v>
      </c>
      <c r="J2964" s="34"/>
      <c r="K2964" s="34" t="str">
        <f t="shared" si="326"/>
        <v/>
      </c>
      <c r="L2964" s="28" t="s">
        <v>29</v>
      </c>
      <c r="M2964" s="28"/>
      <c r="N2964" s="28" t="s">
        <v>224</v>
      </c>
      <c r="O2964" s="10" t="str">
        <f t="shared" si="79"/>
        <v>08/2026</v>
      </c>
      <c r="P2964" s="10" t="str">
        <f>if(B2964="","", TEXT(B2964,"mm/yyyy"))</f>
        <v/>
      </c>
      <c r="Q2964" s="15" t="str">
        <f t="array" ref="Q2964">IFERROR(XLOOKUP(N2964,'Classificação'!A:A,'Classificação'!B:B),"")</f>
        <v>DESPESAS ADMINISTRATIVAS</v>
      </c>
      <c r="R2964" s="15" t="str">
        <f t="array" ref="R2964">IFERROR(XLOOKUP(Q2964,'Classificação'!B:B,'Classificação'!C:C),"")</f>
        <v>DESPESAS FIXAS (-)</v>
      </c>
      <c r="S2964" s="15">
        <f t="shared" si="228"/>
        <v>30</v>
      </c>
      <c r="T2964" s="15">
        <f t="shared" si="128"/>
        <v>8</v>
      </c>
      <c r="U2964" s="15">
        <f t="shared" si="129"/>
        <v>2026</v>
      </c>
      <c r="V2964" s="15" t="str">
        <f t="shared" si="8"/>
        <v/>
      </c>
      <c r="W2964" s="15" t="str">
        <f t="shared" si="9"/>
        <v/>
      </c>
      <c r="X2964" s="15" t="str">
        <f t="shared" si="10"/>
        <v/>
      </c>
    </row>
    <row r="2965">
      <c r="A2965" s="26">
        <v>46264.0</v>
      </c>
      <c r="B2965" s="28"/>
      <c r="C2965" s="27" t="str">
        <f t="shared" si="249"/>
        <v/>
      </c>
      <c r="D2965" s="29" t="s">
        <v>1094</v>
      </c>
      <c r="E2965" s="28" t="s">
        <v>1305</v>
      </c>
      <c r="F2965" s="29" t="s">
        <v>26</v>
      </c>
      <c r="G2965" s="29" t="s">
        <v>37</v>
      </c>
      <c r="H2965" s="29" t="s">
        <v>1312</v>
      </c>
      <c r="I2965" s="24">
        <v>2380.0</v>
      </c>
      <c r="J2965" s="34"/>
      <c r="K2965" s="34" t="str">
        <f t="shared" si="326"/>
        <v/>
      </c>
      <c r="L2965" s="28" t="s">
        <v>29</v>
      </c>
      <c r="M2965" s="28"/>
      <c r="N2965" s="28" t="s">
        <v>38</v>
      </c>
      <c r="O2965" s="10" t="str">
        <f t="shared" si="79"/>
        <v>08/2026</v>
      </c>
      <c r="P2965" s="10" t="str">
        <f t="shared" ref="P2965:P2966" si="328">if(C2965="","", TEXT(C2965,"mm/yyyy"))</f>
        <v/>
      </c>
      <c r="Q2965" s="15" t="str">
        <f t="array" ref="Q2965">IFERROR(XLOOKUP(N2965,'Classificação'!A:A,'Classificação'!B:B),"")</f>
        <v>DESPESAS COM PESSOAL</v>
      </c>
      <c r="R2965" s="15" t="str">
        <f t="array" ref="R2965">IFERROR(XLOOKUP(Q2965,'Classificação'!B:B,'Classificação'!C:C),"")</f>
        <v>DESPESAS FIXAS (-)</v>
      </c>
      <c r="S2965" s="15">
        <f t="shared" si="228"/>
        <v>30</v>
      </c>
      <c r="T2965" s="15">
        <f t="shared" si="128"/>
        <v>8</v>
      </c>
      <c r="U2965" s="15">
        <f t="shared" si="129"/>
        <v>2026</v>
      </c>
      <c r="V2965" s="15" t="str">
        <f t="shared" si="8"/>
        <v/>
      </c>
      <c r="W2965" s="15" t="str">
        <f t="shared" si="9"/>
        <v/>
      </c>
      <c r="X2965" s="15" t="str">
        <f t="shared" si="10"/>
        <v/>
      </c>
    </row>
    <row r="2966">
      <c r="A2966" s="26">
        <v>46264.0</v>
      </c>
      <c r="B2966" s="28"/>
      <c r="C2966" s="27" t="str">
        <f t="shared" si="249"/>
        <v/>
      </c>
      <c r="D2966" s="29" t="s">
        <v>1094</v>
      </c>
      <c r="E2966" s="28" t="s">
        <v>1305</v>
      </c>
      <c r="F2966" s="28" t="s">
        <v>40</v>
      </c>
      <c r="G2966" s="29" t="s">
        <v>37</v>
      </c>
      <c r="H2966" s="28" t="s">
        <v>1100</v>
      </c>
      <c r="I2966" s="37">
        <v>550.0</v>
      </c>
      <c r="J2966" s="34"/>
      <c r="K2966" s="34" t="str">
        <f t="shared" si="326"/>
        <v/>
      </c>
      <c r="L2966" s="28" t="s">
        <v>29</v>
      </c>
      <c r="M2966" s="28"/>
      <c r="N2966" s="28" t="s">
        <v>204</v>
      </c>
      <c r="O2966" s="10" t="str">
        <f t="shared" si="79"/>
        <v>08/2026</v>
      </c>
      <c r="P2966" s="10" t="str">
        <f t="shared" si="328"/>
        <v/>
      </c>
      <c r="Q2966" s="15" t="str">
        <f t="array" ref="Q2966">IFERROR(XLOOKUP(N2966,'Classificação'!A:A,'Classificação'!B:B),"")</f>
        <v>DESPESAS COM PESSOAL</v>
      </c>
      <c r="R2966" s="15" t="str">
        <f t="array" ref="R2966">IFERROR(XLOOKUP(Q2966,'Classificação'!B:B,'Classificação'!C:C),"")</f>
        <v>DESPESAS FIXAS (-)</v>
      </c>
      <c r="S2966" s="15">
        <f t="shared" si="228"/>
        <v>30</v>
      </c>
      <c r="T2966" s="15">
        <f t="shared" si="128"/>
        <v>8</v>
      </c>
      <c r="U2966" s="15">
        <f t="shared" si="129"/>
        <v>2026</v>
      </c>
      <c r="V2966" s="15" t="str">
        <f t="shared" si="8"/>
        <v/>
      </c>
      <c r="W2966" s="15" t="str">
        <f t="shared" si="9"/>
        <v/>
      </c>
      <c r="X2966" s="15" t="str">
        <f t="shared" si="10"/>
        <v/>
      </c>
    </row>
    <row r="2967">
      <c r="A2967" s="26">
        <v>46266.0</v>
      </c>
      <c r="B2967" s="10"/>
      <c r="C2967" s="9" t="str">
        <f t="shared" si="249"/>
        <v/>
      </c>
      <c r="D2967" s="28" t="s">
        <v>322</v>
      </c>
      <c r="E2967" s="28" t="s">
        <v>1305</v>
      </c>
      <c r="F2967" s="15" t="s">
        <v>40</v>
      </c>
      <c r="G2967" s="28" t="s">
        <v>37</v>
      </c>
      <c r="H2967" s="29" t="s">
        <v>778</v>
      </c>
      <c r="I2967" s="37">
        <v>46.2</v>
      </c>
      <c r="J2967" s="13"/>
      <c r="K2967" s="13" t="str">
        <f>if(E2967="pago",(I2967-J2967),"")</f>
        <v/>
      </c>
      <c r="L2967" s="15" t="s">
        <v>29</v>
      </c>
      <c r="M2967" s="14"/>
      <c r="N2967" s="28" t="s">
        <v>105</v>
      </c>
      <c r="O2967" s="10" t="str">
        <f t="shared" si="79"/>
        <v>09/2026</v>
      </c>
      <c r="P2967" s="10" t="str">
        <f>if(C2966="","", TEXT(C2966,"mm/yyyy"))</f>
        <v/>
      </c>
      <c r="Q2967" s="15" t="str">
        <f t="array" ref="Q2967">IFERROR(XLOOKUP(N2967,'Classificação'!A:A,'Classificação'!B:B),"")</f>
        <v>DESPESAS ADMINISTRATIVAS</v>
      </c>
      <c r="R2967" s="15" t="str">
        <f t="array" ref="R2967">IFERROR(XLOOKUP(Q2967,'Classificação'!B:B,'Classificação'!C:C),"")</f>
        <v>DESPESAS FIXAS (-)</v>
      </c>
      <c r="S2967" s="15">
        <f t="shared" si="228"/>
        <v>1</v>
      </c>
      <c r="T2967" s="15">
        <f t="shared" si="128"/>
        <v>9</v>
      </c>
      <c r="U2967" s="15">
        <f t="shared" si="129"/>
        <v>2026</v>
      </c>
      <c r="V2967" s="15" t="str">
        <f t="shared" si="8"/>
        <v/>
      </c>
      <c r="W2967" s="15" t="str">
        <f t="shared" si="9"/>
        <v/>
      </c>
      <c r="X2967" s="15" t="str">
        <f t="shared" si="10"/>
        <v/>
      </c>
    </row>
    <row r="2968">
      <c r="A2968" s="9">
        <v>46266.0</v>
      </c>
      <c r="B2968" s="10"/>
      <c r="C2968" s="9" t="str">
        <f t="shared" si="249"/>
        <v/>
      </c>
      <c r="D2968" s="28" t="s">
        <v>24</v>
      </c>
      <c r="E2968" s="28" t="s">
        <v>1305</v>
      </c>
      <c r="F2968" s="28" t="s">
        <v>26</v>
      </c>
      <c r="G2968" s="28" t="s">
        <v>27</v>
      </c>
      <c r="H2968" s="28" t="s">
        <v>28</v>
      </c>
      <c r="I2968" s="24">
        <v>6656.0</v>
      </c>
      <c r="J2968" s="34"/>
      <c r="K2968" s="34" t="str">
        <f>IF(E2968="pago",(I2968-J2968),"")</f>
        <v/>
      </c>
      <c r="L2968" s="28" t="s">
        <v>29</v>
      </c>
      <c r="M2968" s="28"/>
      <c r="N2968" s="28" t="s">
        <v>30</v>
      </c>
      <c r="O2968" s="10" t="str">
        <f t="shared" si="79"/>
        <v>09/2026</v>
      </c>
      <c r="P2968" s="10" t="str">
        <f t="shared" ref="P2968:P2970" si="329">if(C2968="","", TEXT(C2968,"mm/yyyy"))</f>
        <v/>
      </c>
      <c r="Q2968" s="15" t="str">
        <f t="array" ref="Q2968">IFERROR(XLOOKUP(N2968,'Classificação'!A:A,'Classificação'!B:B),"")</f>
        <v>DESPESAS COM OCUPAÇÃO</v>
      </c>
      <c r="R2968" s="15" t="str">
        <f t="array" ref="R2968">IFERROR(XLOOKUP(Q2968,'Classificação'!B:B,'Classificação'!C:C),"")</f>
        <v>DESPESAS FIXAS (-)</v>
      </c>
      <c r="S2968" s="15">
        <f t="shared" si="228"/>
        <v>1</v>
      </c>
      <c r="T2968" s="15">
        <f t="shared" si="128"/>
        <v>9</v>
      </c>
      <c r="U2968" s="15">
        <f t="shared" si="129"/>
        <v>2026</v>
      </c>
      <c r="V2968" s="15" t="str">
        <f t="shared" si="8"/>
        <v/>
      </c>
      <c r="W2968" s="15" t="str">
        <f t="shared" si="9"/>
        <v/>
      </c>
      <c r="X2968" s="15" t="str">
        <f t="shared" si="10"/>
        <v/>
      </c>
    </row>
    <row r="2969">
      <c r="A2969" s="9">
        <v>46266.0</v>
      </c>
      <c r="B2969" s="10"/>
      <c r="C2969" s="9" t="str">
        <f t="shared" si="249"/>
        <v/>
      </c>
      <c r="D2969" s="28" t="s">
        <v>288</v>
      </c>
      <c r="E2969" s="28" t="s">
        <v>1305</v>
      </c>
      <c r="F2969" s="28" t="s">
        <v>26</v>
      </c>
      <c r="G2969" s="28" t="s">
        <v>27</v>
      </c>
      <c r="H2969" s="29" t="s">
        <v>1313</v>
      </c>
      <c r="I2969" s="24">
        <v>248.18</v>
      </c>
      <c r="J2969" s="34"/>
      <c r="K2969" s="13" t="str">
        <f t="shared" ref="K2969:K2970" si="330">if(E2969="pago",(I2969-J2969),"")</f>
        <v/>
      </c>
      <c r="L2969" s="28" t="s">
        <v>29</v>
      </c>
      <c r="M2969" s="28"/>
      <c r="N2969" s="28" t="s">
        <v>105</v>
      </c>
      <c r="O2969" s="10" t="str">
        <f t="shared" si="79"/>
        <v>09/2026</v>
      </c>
      <c r="P2969" s="10" t="str">
        <f t="shared" si="329"/>
        <v/>
      </c>
      <c r="Q2969" s="15" t="str">
        <f t="array" ref="Q2969">IFERROR(XLOOKUP(N2969,'Classificação'!A:A,'Classificação'!B:B),"")</f>
        <v>DESPESAS ADMINISTRATIVAS</v>
      </c>
      <c r="R2969" s="15" t="str">
        <f t="array" ref="R2969">IFERROR(XLOOKUP(Q2969,'Classificação'!B:B,'Classificação'!C:C),"")</f>
        <v>DESPESAS FIXAS (-)</v>
      </c>
      <c r="S2969" s="15">
        <f t="shared" si="228"/>
        <v>1</v>
      </c>
      <c r="T2969" s="15">
        <f t="shared" si="128"/>
        <v>9</v>
      </c>
      <c r="U2969" s="15">
        <f t="shared" si="129"/>
        <v>2026</v>
      </c>
      <c r="V2969" s="15" t="str">
        <f t="shared" si="8"/>
        <v/>
      </c>
      <c r="W2969" s="15" t="str">
        <f t="shared" si="9"/>
        <v/>
      </c>
      <c r="X2969" s="15" t="str">
        <f t="shared" si="10"/>
        <v/>
      </c>
    </row>
    <row r="2970">
      <c r="A2970" s="9">
        <v>46268.0</v>
      </c>
      <c r="B2970" s="10"/>
      <c r="C2970" s="9" t="str">
        <f t="shared" si="249"/>
        <v/>
      </c>
      <c r="D2970" s="11" t="s">
        <v>44</v>
      </c>
      <c r="E2970" s="11" t="s">
        <v>1305</v>
      </c>
      <c r="F2970" s="11" t="s">
        <v>45</v>
      </c>
      <c r="G2970" s="11" t="s">
        <v>27</v>
      </c>
      <c r="H2970" s="11" t="s">
        <v>651</v>
      </c>
      <c r="I2970" s="13">
        <v>2755.698625</v>
      </c>
      <c r="J2970" s="13"/>
      <c r="K2970" s="13" t="str">
        <f t="shared" si="330"/>
        <v/>
      </c>
      <c r="L2970" s="11" t="s">
        <v>53</v>
      </c>
      <c r="M2970" s="16" t="s">
        <v>1370</v>
      </c>
      <c r="N2970" s="11" t="s">
        <v>73</v>
      </c>
      <c r="O2970" s="10" t="str">
        <f t="shared" si="79"/>
        <v>09/2026</v>
      </c>
      <c r="P2970" s="10" t="str">
        <f t="shared" si="329"/>
        <v/>
      </c>
      <c r="Q2970" s="15" t="str">
        <f t="array" ref="Q2970">IFERROR(XLOOKUP(N2970,'Classificação'!A:A,'Classificação'!B:B),"")</f>
        <v>DESPESAS NÃO OPERACIONAIS</v>
      </c>
      <c r="R2970" s="15" t="str">
        <f t="array" ref="R2970">IFERROR(XLOOKUP(Q2970,'Classificação'!B:B,'Classificação'!C:C),"")</f>
        <v>RESULTADO NÃO OPERACIONAL (+/-)</v>
      </c>
      <c r="S2970" s="15">
        <f t="shared" si="228"/>
        <v>3</v>
      </c>
      <c r="T2970" s="15">
        <f t="shared" si="128"/>
        <v>9</v>
      </c>
      <c r="U2970" s="15">
        <f t="shared" si="129"/>
        <v>2026</v>
      </c>
      <c r="V2970" s="15" t="str">
        <f t="shared" si="8"/>
        <v/>
      </c>
      <c r="W2970" s="15" t="str">
        <f t="shared" si="9"/>
        <v/>
      </c>
      <c r="X2970" s="15" t="str">
        <f t="shared" si="10"/>
        <v/>
      </c>
    </row>
    <row r="2971">
      <c r="A2971" s="9">
        <v>46270.0</v>
      </c>
      <c r="B2971" s="10"/>
      <c r="C2971" s="9" t="str">
        <f t="shared" si="249"/>
        <v/>
      </c>
      <c r="D2971" s="28" t="s">
        <v>76</v>
      </c>
      <c r="E2971" s="28" t="s">
        <v>1305</v>
      </c>
      <c r="F2971" s="28" t="s">
        <v>26</v>
      </c>
      <c r="G2971" s="28" t="s">
        <v>27</v>
      </c>
      <c r="H2971" s="28" t="s">
        <v>84</v>
      </c>
      <c r="I2971" s="24">
        <v>1214.27</v>
      </c>
      <c r="J2971" s="13"/>
      <c r="K2971" s="13"/>
      <c r="L2971" s="28" t="s">
        <v>53</v>
      </c>
      <c r="M2971" s="16" t="s">
        <v>1371</v>
      </c>
      <c r="N2971" s="28" t="s">
        <v>85</v>
      </c>
      <c r="O2971" s="10" t="str">
        <f t="shared" si="79"/>
        <v>09/2026</v>
      </c>
      <c r="P2971" s="10"/>
      <c r="Q2971" s="15" t="str">
        <f t="array" ref="Q2971">IFERROR(XLOOKUP(N2971,'Classificação'!A:A,'Classificação'!B:B),"")</f>
        <v>DESPESAS NÃO OPERACIONAIS</v>
      </c>
      <c r="R2971" s="15" t="str">
        <f t="array" ref="R2971">IFERROR(XLOOKUP(Q2971,'Classificação'!B:B,'Classificação'!C:C),"")</f>
        <v>RESULTADO NÃO OPERACIONAL (+/-)</v>
      </c>
      <c r="S2971" s="15">
        <f t="shared" si="228"/>
        <v>5</v>
      </c>
      <c r="T2971" s="15">
        <f t="shared" si="128"/>
        <v>9</v>
      </c>
      <c r="U2971" s="15">
        <f t="shared" si="129"/>
        <v>2026</v>
      </c>
      <c r="V2971" s="15" t="str">
        <f t="shared" si="8"/>
        <v/>
      </c>
      <c r="W2971" s="15" t="str">
        <f t="shared" si="9"/>
        <v/>
      </c>
      <c r="X2971" s="15" t="str">
        <f t="shared" si="10"/>
        <v/>
      </c>
    </row>
    <row r="2972">
      <c r="A2972" s="9">
        <v>46270.0</v>
      </c>
      <c r="B2972" s="9">
        <v>45929.0</v>
      </c>
      <c r="C2972" s="9" t="str">
        <f t="shared" si="249"/>
        <v/>
      </c>
      <c r="D2972" s="28" t="s">
        <v>44</v>
      </c>
      <c r="E2972" s="28" t="s">
        <v>1305</v>
      </c>
      <c r="F2972" s="28" t="s">
        <v>45</v>
      </c>
      <c r="G2972" s="28" t="s">
        <v>27</v>
      </c>
      <c r="H2972" s="43" t="s">
        <v>1372</v>
      </c>
      <c r="I2972" s="24">
        <v>134400.0</v>
      </c>
      <c r="J2972" s="34"/>
      <c r="K2972" s="37" t="str">
        <f>IF(E2972="pago",(I2972-J2972),"")</f>
        <v/>
      </c>
      <c r="L2972" s="28" t="s">
        <v>34</v>
      </c>
      <c r="M2972" s="28"/>
      <c r="N2972" s="28" t="s">
        <v>35</v>
      </c>
      <c r="O2972" s="10" t="str">
        <f t="shared" si="79"/>
        <v>09/2026</v>
      </c>
      <c r="P2972" s="10" t="str">
        <f t="shared" ref="P2972:P2996" si="331">if(C2972="","", TEXT(C2972,"mm/yyyy"))</f>
        <v/>
      </c>
      <c r="Q2972" s="15" t="str">
        <f t="array" ref="Q2972">IFERROR(XLOOKUP(N2972,'Classificação'!A:A,'Classificação'!B:B),"")</f>
        <v>COMPRA DE MERCADORIA</v>
      </c>
      <c r="R2972" s="15" t="str">
        <f t="array" ref="R2972">IFERROR(XLOOKUP(Q2972,'Classificação'!B:B,'Classificação'!C:C),"")</f>
        <v>CUSTOS VARIÁVEIS</v>
      </c>
      <c r="S2972" s="15">
        <f t="shared" si="228"/>
        <v>5</v>
      </c>
      <c r="T2972" s="15">
        <f t="shared" si="128"/>
        <v>9</v>
      </c>
      <c r="U2972" s="15">
        <f t="shared" si="129"/>
        <v>2026</v>
      </c>
      <c r="V2972" s="15" t="str">
        <f t="shared" si="8"/>
        <v/>
      </c>
      <c r="W2972" s="15" t="str">
        <f t="shared" si="9"/>
        <v/>
      </c>
      <c r="X2972" s="15" t="str">
        <f t="shared" si="10"/>
        <v/>
      </c>
    </row>
    <row r="2973">
      <c r="A2973" s="26">
        <v>46270.0</v>
      </c>
      <c r="B2973" s="10"/>
      <c r="C2973" s="9" t="str">
        <f t="shared" si="249"/>
        <v/>
      </c>
      <c r="D2973" s="28" t="s">
        <v>36</v>
      </c>
      <c r="E2973" s="28" t="s">
        <v>1305</v>
      </c>
      <c r="F2973" s="28" t="s">
        <v>26</v>
      </c>
      <c r="G2973" s="28" t="s">
        <v>27</v>
      </c>
      <c r="I2973" s="37">
        <v>6500.0</v>
      </c>
      <c r="J2973" s="13"/>
      <c r="K2973" s="13" t="str">
        <f t="shared" ref="K2973:K2976" si="332">if(E2973="pago",(I2973-J2973),"")</f>
        <v/>
      </c>
      <c r="L2973" s="28" t="s">
        <v>29</v>
      </c>
      <c r="M2973" s="14"/>
      <c r="N2973" s="28" t="s">
        <v>38</v>
      </c>
      <c r="O2973" s="10" t="str">
        <f t="shared" si="79"/>
        <v>09/2026</v>
      </c>
      <c r="P2973" s="10" t="str">
        <f t="shared" si="331"/>
        <v/>
      </c>
      <c r="Q2973" s="15" t="str">
        <f t="array" ref="Q2973">IFERROR(XLOOKUP(N2973,'Classificação'!A:A,'Classificação'!B:B),"")</f>
        <v>DESPESAS COM PESSOAL</v>
      </c>
      <c r="R2973" s="15" t="str">
        <f t="array" ref="R2973">IFERROR(XLOOKUP(Q2973,'Classificação'!B:B,'Classificação'!C:C),"")</f>
        <v>DESPESAS FIXAS (-)</v>
      </c>
      <c r="S2973" s="15">
        <f t="shared" si="228"/>
        <v>5</v>
      </c>
      <c r="T2973" s="15">
        <f t="shared" si="128"/>
        <v>9</v>
      </c>
      <c r="U2973" s="15">
        <f t="shared" si="129"/>
        <v>2026</v>
      </c>
      <c r="V2973" s="15" t="str">
        <f t="shared" si="8"/>
        <v/>
      </c>
      <c r="W2973" s="15" t="str">
        <f t="shared" si="9"/>
        <v/>
      </c>
      <c r="X2973" s="15" t="str">
        <f t="shared" si="10"/>
        <v/>
      </c>
    </row>
    <row r="2974">
      <c r="A2974" s="26">
        <v>46270.0</v>
      </c>
      <c r="B2974" s="10"/>
      <c r="C2974" s="9" t="str">
        <f t="shared" si="249"/>
        <v/>
      </c>
      <c r="D2974" s="28" t="s">
        <v>43</v>
      </c>
      <c r="E2974" s="28" t="s">
        <v>1305</v>
      </c>
      <c r="F2974" s="29" t="s">
        <v>26</v>
      </c>
      <c r="G2974" s="28" t="s">
        <v>27</v>
      </c>
      <c r="I2974" s="37">
        <v>6500.0</v>
      </c>
      <c r="J2974" s="13"/>
      <c r="K2974" s="13" t="str">
        <f t="shared" si="332"/>
        <v/>
      </c>
      <c r="L2974" s="28" t="s">
        <v>29</v>
      </c>
      <c r="M2974" s="14"/>
      <c r="N2974" s="28" t="s">
        <v>38</v>
      </c>
      <c r="O2974" s="10" t="str">
        <f t="shared" si="79"/>
        <v>09/2026</v>
      </c>
      <c r="P2974" s="10" t="str">
        <f t="shared" si="331"/>
        <v/>
      </c>
      <c r="Q2974" s="15" t="str">
        <f t="array" ref="Q2974">IFERROR(XLOOKUP(N2974,'Classificação'!A:A,'Classificação'!B:B),"")</f>
        <v>DESPESAS COM PESSOAL</v>
      </c>
      <c r="R2974" s="15" t="str">
        <f t="array" ref="R2974">IFERROR(XLOOKUP(Q2974,'Classificação'!B:B,'Classificação'!C:C),"")</f>
        <v>DESPESAS FIXAS (-)</v>
      </c>
      <c r="S2974" s="15">
        <f t="shared" si="228"/>
        <v>5</v>
      </c>
      <c r="T2974" s="15">
        <f t="shared" si="128"/>
        <v>9</v>
      </c>
      <c r="U2974" s="15">
        <f t="shared" si="129"/>
        <v>2026</v>
      </c>
      <c r="V2974" s="15" t="str">
        <f t="shared" si="8"/>
        <v/>
      </c>
      <c r="W2974" s="15" t="str">
        <f t="shared" si="9"/>
        <v/>
      </c>
      <c r="X2974" s="15" t="str">
        <f t="shared" si="10"/>
        <v/>
      </c>
    </row>
    <row r="2975">
      <c r="A2975" s="9">
        <v>46272.0</v>
      </c>
      <c r="B2975" s="10"/>
      <c r="C2975" s="9" t="str">
        <f t="shared" si="249"/>
        <v/>
      </c>
      <c r="D2975" s="11" t="s">
        <v>782</v>
      </c>
      <c r="E2975" s="28" t="s">
        <v>1305</v>
      </c>
      <c r="F2975" s="11" t="s">
        <v>26</v>
      </c>
      <c r="G2975" s="11" t="s">
        <v>37</v>
      </c>
      <c r="H2975" s="11" t="s">
        <v>1343</v>
      </c>
      <c r="I2975" s="31">
        <v>115000.0</v>
      </c>
      <c r="J2975" s="13"/>
      <c r="K2975" s="13" t="str">
        <f t="shared" si="332"/>
        <v/>
      </c>
      <c r="L2975" s="11" t="s">
        <v>34</v>
      </c>
      <c r="M2975" s="14"/>
      <c r="N2975" s="11" t="s">
        <v>35</v>
      </c>
      <c r="O2975" s="10" t="str">
        <f t="shared" si="79"/>
        <v>09/2026</v>
      </c>
      <c r="P2975" s="10" t="str">
        <f t="shared" si="331"/>
        <v/>
      </c>
      <c r="Q2975" s="15" t="str">
        <f t="array" ref="Q2975">IFERROR(XLOOKUP(N2975,'Classificação'!A:A,'Classificação'!B:B),"")</f>
        <v>COMPRA DE MERCADORIA</v>
      </c>
      <c r="S2975" s="15">
        <f t="shared" si="228"/>
        <v>7</v>
      </c>
      <c r="T2975" s="15">
        <f t="shared" si="128"/>
        <v>9</v>
      </c>
      <c r="U2975" s="15">
        <f t="shared" si="129"/>
        <v>2026</v>
      </c>
      <c r="V2975" s="15" t="str">
        <f t="shared" si="8"/>
        <v/>
      </c>
      <c r="W2975" s="15" t="str">
        <f t="shared" si="9"/>
        <v/>
      </c>
      <c r="X2975" s="15" t="str">
        <f t="shared" si="10"/>
        <v/>
      </c>
    </row>
    <row r="2976">
      <c r="A2976" s="9">
        <v>46275.0</v>
      </c>
      <c r="B2976" s="10"/>
      <c r="C2976" s="9" t="str">
        <f t="shared" si="249"/>
        <v/>
      </c>
      <c r="D2976" s="11" t="s">
        <v>1051</v>
      </c>
      <c r="E2976" s="28" t="s">
        <v>1305</v>
      </c>
      <c r="F2976" s="11" t="s">
        <v>40</v>
      </c>
      <c r="G2976" s="28" t="s">
        <v>27</v>
      </c>
      <c r="H2976" s="11" t="s">
        <v>1052</v>
      </c>
      <c r="I2976" s="12">
        <v>28.0</v>
      </c>
      <c r="J2976" s="13"/>
      <c r="K2976" s="13" t="str">
        <f t="shared" si="332"/>
        <v/>
      </c>
      <c r="L2976" s="11" t="s">
        <v>29</v>
      </c>
      <c r="M2976" s="14"/>
      <c r="N2976" s="11" t="s">
        <v>1053</v>
      </c>
      <c r="O2976" s="10" t="str">
        <f t="shared" si="79"/>
        <v>09/2026</v>
      </c>
      <c r="P2976" s="10" t="str">
        <f t="shared" si="331"/>
        <v/>
      </c>
      <c r="Q2976" s="15" t="str">
        <f t="array" ref="Q2976">IFERROR(XLOOKUP(N2976,'Classificação'!A:A,'Classificação'!B:B),"")</f>
        <v>DESPESAS COM PESSOAL</v>
      </c>
      <c r="R2976" s="15" t="str">
        <f t="array" ref="R2976">IFERROR(XLOOKUP(Q2976,'Classificação'!B:B,'Classificação'!C:C),"")</f>
        <v>DESPESAS FIXAS (-)</v>
      </c>
      <c r="S2976" s="15">
        <f t="shared" si="228"/>
        <v>10</v>
      </c>
      <c r="T2976" s="15">
        <f t="shared" si="128"/>
        <v>9</v>
      </c>
      <c r="U2976" s="15">
        <f t="shared" si="129"/>
        <v>2026</v>
      </c>
      <c r="V2976" s="15" t="str">
        <f t="shared" si="8"/>
        <v/>
      </c>
      <c r="W2976" s="15" t="str">
        <f t="shared" si="9"/>
        <v/>
      </c>
      <c r="X2976" s="15" t="str">
        <f t="shared" si="10"/>
        <v/>
      </c>
    </row>
    <row r="2977">
      <c r="A2977" s="26">
        <v>46275.0</v>
      </c>
      <c r="B2977" s="30"/>
      <c r="C2977" s="27" t="str">
        <f t="shared" si="249"/>
        <v/>
      </c>
      <c r="D2977" s="28" t="s">
        <v>48</v>
      </c>
      <c r="E2977" s="28" t="s">
        <v>1305</v>
      </c>
      <c r="F2977" s="28" t="s">
        <v>40</v>
      </c>
      <c r="G2977" s="28" t="s">
        <v>27</v>
      </c>
      <c r="H2977" s="28"/>
      <c r="I2977" s="37">
        <v>1600.0</v>
      </c>
      <c r="J2977" s="34"/>
      <c r="K2977" s="34" t="str">
        <f t="shared" ref="K2977:K2979" si="333">IF(E2977="pago",(I2977-J2977),"")</f>
        <v/>
      </c>
      <c r="L2977" s="28" t="s">
        <v>29</v>
      </c>
      <c r="M2977" s="28"/>
      <c r="N2977" s="28" t="s">
        <v>49</v>
      </c>
      <c r="O2977" s="10" t="str">
        <f t="shared" si="79"/>
        <v>09/2026</v>
      </c>
      <c r="P2977" s="10" t="str">
        <f t="shared" si="331"/>
        <v/>
      </c>
      <c r="Q2977" s="15" t="str">
        <f t="array" ref="Q2977">IFERROR(XLOOKUP(N2977,'Classificação'!A:A,'Classificação'!B:B),"")</f>
        <v>DESPESAS COM PESSOAL</v>
      </c>
      <c r="R2977" s="15" t="str">
        <f t="array" ref="R2977">IFERROR(XLOOKUP(Q2977,'Classificação'!B:B,'Classificação'!C:C),"")</f>
        <v>DESPESAS FIXAS (-)</v>
      </c>
      <c r="S2977" s="15">
        <f t="shared" si="228"/>
        <v>10</v>
      </c>
      <c r="T2977" s="15">
        <f t="shared" si="128"/>
        <v>9</v>
      </c>
      <c r="U2977" s="15">
        <f t="shared" si="129"/>
        <v>2026</v>
      </c>
      <c r="V2977" s="15" t="str">
        <f t="shared" si="8"/>
        <v/>
      </c>
      <c r="W2977" s="15" t="str">
        <f t="shared" si="9"/>
        <v/>
      </c>
      <c r="X2977" s="15" t="str">
        <f t="shared" si="10"/>
        <v/>
      </c>
    </row>
    <row r="2978">
      <c r="A2978" s="9">
        <v>46275.0</v>
      </c>
      <c r="B2978" s="30"/>
      <c r="C2978" s="27" t="str">
        <f t="shared" si="249"/>
        <v/>
      </c>
      <c r="D2978" s="28" t="s">
        <v>50</v>
      </c>
      <c r="E2978" s="28" t="s">
        <v>1305</v>
      </c>
      <c r="F2978" s="28" t="s">
        <v>40</v>
      </c>
      <c r="G2978" s="28" t="s">
        <v>27</v>
      </c>
      <c r="H2978" s="28" t="s">
        <v>51</v>
      </c>
      <c r="I2978" s="37">
        <v>139.99</v>
      </c>
      <c r="J2978" s="34"/>
      <c r="K2978" s="34" t="str">
        <f t="shared" si="333"/>
        <v/>
      </c>
      <c r="L2978" s="28" t="s">
        <v>29</v>
      </c>
      <c r="M2978" s="28"/>
      <c r="N2978" s="28" t="s">
        <v>51</v>
      </c>
      <c r="O2978" s="10" t="str">
        <f t="shared" si="79"/>
        <v>09/2026</v>
      </c>
      <c r="P2978" s="10" t="str">
        <f t="shared" si="331"/>
        <v/>
      </c>
      <c r="Q2978" s="15" t="str">
        <f t="array" ref="Q2978">IFERROR(XLOOKUP(N2978,'Classificação'!A:A,'Classificação'!B:B),"")</f>
        <v>DESPESAS COM OCUPAÇÃO</v>
      </c>
      <c r="R2978" s="15" t="str">
        <f t="array" ref="R2978">IFERROR(XLOOKUP(Q2978,'Classificação'!B:B,'Classificação'!C:C),"")</f>
        <v>DESPESAS FIXAS (-)</v>
      </c>
      <c r="S2978" s="15">
        <f t="shared" si="228"/>
        <v>10</v>
      </c>
      <c r="T2978" s="15">
        <f t="shared" si="128"/>
        <v>9</v>
      </c>
      <c r="U2978" s="15">
        <f t="shared" si="129"/>
        <v>2026</v>
      </c>
      <c r="V2978" s="15" t="str">
        <f t="shared" si="8"/>
        <v/>
      </c>
      <c r="W2978" s="15" t="str">
        <f t="shared" si="9"/>
        <v/>
      </c>
      <c r="X2978" s="15" t="str">
        <f t="shared" si="10"/>
        <v/>
      </c>
    </row>
    <row r="2979">
      <c r="A2979" s="26">
        <v>46275.0</v>
      </c>
      <c r="B2979" s="30"/>
      <c r="C2979" s="27" t="str">
        <f t="shared" si="249"/>
        <v/>
      </c>
      <c r="D2979" s="28" t="s">
        <v>59</v>
      </c>
      <c r="E2979" s="28" t="s">
        <v>1305</v>
      </c>
      <c r="F2979" s="28" t="s">
        <v>40</v>
      </c>
      <c r="G2979" s="28" t="s">
        <v>37</v>
      </c>
      <c r="H2979" s="28" t="s">
        <v>60</v>
      </c>
      <c r="I2979" s="24">
        <v>447.0</v>
      </c>
      <c r="J2979" s="34"/>
      <c r="K2979" s="34" t="str">
        <f t="shared" si="333"/>
        <v/>
      </c>
      <c r="L2979" s="28" t="s">
        <v>29</v>
      </c>
      <c r="M2979" s="28"/>
      <c r="N2979" s="28" t="s">
        <v>61</v>
      </c>
      <c r="O2979" s="10" t="str">
        <f t="shared" si="79"/>
        <v>09/2026</v>
      </c>
      <c r="P2979" s="10" t="str">
        <f t="shared" si="331"/>
        <v/>
      </c>
      <c r="Q2979" s="15" t="str">
        <f t="array" ref="Q2979">IFERROR(XLOOKUP(N2979,'Classificação'!A:A,'Classificação'!B:B),"")</f>
        <v>DESPESAS ADMINISTRATIVAS</v>
      </c>
      <c r="R2979" s="15" t="str">
        <f t="array" ref="R2979">IFERROR(XLOOKUP(Q2979,'Classificação'!B:B,'Classificação'!C:C),"")</f>
        <v>DESPESAS FIXAS (-)</v>
      </c>
      <c r="S2979" s="15">
        <f t="shared" si="228"/>
        <v>10</v>
      </c>
      <c r="T2979" s="15">
        <f t="shared" si="128"/>
        <v>9</v>
      </c>
      <c r="U2979" s="15">
        <f t="shared" si="129"/>
        <v>2026</v>
      </c>
      <c r="V2979" s="15" t="str">
        <f t="shared" si="8"/>
        <v/>
      </c>
      <c r="W2979" s="15" t="str">
        <f t="shared" si="9"/>
        <v/>
      </c>
      <c r="X2979" s="15" t="str">
        <f t="shared" si="10"/>
        <v/>
      </c>
    </row>
    <row r="2980">
      <c r="A2980" s="26">
        <v>46275.0</v>
      </c>
      <c r="B2980" s="30"/>
      <c r="C2980" s="27" t="str">
        <f t="shared" si="249"/>
        <v/>
      </c>
      <c r="D2980" s="28" t="s">
        <v>104</v>
      </c>
      <c r="E2980" s="28" t="s">
        <v>1305</v>
      </c>
      <c r="F2980" s="28" t="s">
        <v>40</v>
      </c>
      <c r="G2980" s="28" t="s">
        <v>37</v>
      </c>
      <c r="H2980" s="28" t="s">
        <v>413</v>
      </c>
      <c r="I2980" s="37">
        <v>27.5</v>
      </c>
      <c r="J2980" s="34"/>
      <c r="K2980" s="34"/>
      <c r="L2980" s="28" t="s">
        <v>29</v>
      </c>
      <c r="M2980" s="28"/>
      <c r="N2980" s="28" t="s">
        <v>105</v>
      </c>
      <c r="O2980" s="10" t="str">
        <f t="shared" si="79"/>
        <v>09/2026</v>
      </c>
      <c r="P2980" s="10" t="str">
        <f t="shared" si="331"/>
        <v/>
      </c>
      <c r="R2980" s="15" t="str">
        <f t="array" ref="R2980">IFERROR(XLOOKUP(Q2980,'Classificação'!B:B,'Classificação'!C:C),"")</f>
        <v/>
      </c>
      <c r="S2980" s="15">
        <f t="shared" si="228"/>
        <v>10</v>
      </c>
      <c r="T2980" s="15">
        <f t="shared" si="128"/>
        <v>9</v>
      </c>
      <c r="U2980" s="15">
        <f t="shared" si="129"/>
        <v>2026</v>
      </c>
      <c r="V2980" s="15" t="str">
        <f t="shared" si="8"/>
        <v/>
      </c>
      <c r="W2980" s="15" t="str">
        <f t="shared" si="9"/>
        <v/>
      </c>
      <c r="X2980" s="15" t="str">
        <f t="shared" si="10"/>
        <v/>
      </c>
    </row>
    <row r="2981">
      <c r="A2981" s="9">
        <v>46275.0</v>
      </c>
      <c r="B2981" s="10"/>
      <c r="C2981" s="9" t="str">
        <f t="shared" si="249"/>
        <v/>
      </c>
      <c r="D2981" s="11" t="s">
        <v>44</v>
      </c>
      <c r="E2981" s="11" t="s">
        <v>1305</v>
      </c>
      <c r="F2981" s="11" t="s">
        <v>45</v>
      </c>
      <c r="G2981" s="11" t="s">
        <v>27</v>
      </c>
      <c r="H2981" s="11" t="s">
        <v>52</v>
      </c>
      <c r="I2981" s="12">
        <v>503.0</v>
      </c>
      <c r="J2981" s="13"/>
      <c r="K2981" s="13" t="str">
        <f t="shared" ref="K2981:K2984" si="334">if(E2981="pago",(I2981-J2981),"")</f>
        <v/>
      </c>
      <c r="L2981" s="11" t="s">
        <v>53</v>
      </c>
      <c r="M2981" s="16" t="s">
        <v>1373</v>
      </c>
      <c r="N2981" s="11" t="s">
        <v>55</v>
      </c>
      <c r="O2981" s="10" t="str">
        <f t="shared" si="79"/>
        <v>09/2026</v>
      </c>
      <c r="P2981" s="10" t="str">
        <f t="shared" si="331"/>
        <v/>
      </c>
      <c r="Q2981" s="15" t="str">
        <f t="array" ref="Q2981">IFERROR(XLOOKUP(N2981,'Classificação'!A:A,'Classificação'!B:B),"")</f>
        <v>DESPESAS NÃO OPERACIONAIS</v>
      </c>
      <c r="R2981" s="15" t="str">
        <f t="array" ref="R2981">IFERROR(XLOOKUP(Q2981,'Classificação'!B:B,'Classificação'!C:C),"")</f>
        <v>RESULTADO NÃO OPERACIONAL (+/-)</v>
      </c>
      <c r="S2981" s="15">
        <f t="shared" si="228"/>
        <v>10</v>
      </c>
      <c r="T2981" s="15">
        <f t="shared" si="128"/>
        <v>9</v>
      </c>
      <c r="U2981" s="15">
        <f t="shared" si="129"/>
        <v>2026</v>
      </c>
      <c r="V2981" s="15" t="str">
        <f t="shared" si="8"/>
        <v/>
      </c>
      <c r="W2981" s="15" t="str">
        <f t="shared" si="9"/>
        <v/>
      </c>
      <c r="X2981" s="15" t="str">
        <f t="shared" si="10"/>
        <v/>
      </c>
    </row>
    <row r="2982">
      <c r="A2982" s="9">
        <v>46275.0</v>
      </c>
      <c r="B2982" s="10"/>
      <c r="C2982" s="9" t="str">
        <f t="shared" si="249"/>
        <v/>
      </c>
      <c r="D2982" s="11" t="s">
        <v>1104</v>
      </c>
      <c r="E2982" s="28" t="s">
        <v>1305</v>
      </c>
      <c r="F2982" s="11" t="s">
        <v>40</v>
      </c>
      <c r="G2982" s="11" t="s">
        <v>37</v>
      </c>
      <c r="H2982" s="11" t="s">
        <v>1105</v>
      </c>
      <c r="I2982" s="12">
        <v>917.51</v>
      </c>
      <c r="J2982" s="13"/>
      <c r="K2982" s="13" t="str">
        <f t="shared" si="334"/>
        <v/>
      </c>
      <c r="L2982" s="11" t="s">
        <v>53</v>
      </c>
      <c r="M2982" s="16" t="s">
        <v>1374</v>
      </c>
      <c r="N2982" s="11" t="s">
        <v>73</v>
      </c>
      <c r="O2982" s="10" t="str">
        <f t="shared" si="79"/>
        <v>09/2026</v>
      </c>
      <c r="P2982" s="10" t="str">
        <f t="shared" si="331"/>
        <v/>
      </c>
      <c r="Q2982" s="15" t="str">
        <f t="array" ref="Q2982">IFERROR(XLOOKUP(N2982,'Classificação'!A:A,'Classificação'!B:B),"")</f>
        <v>DESPESAS NÃO OPERACIONAIS</v>
      </c>
      <c r="R2982" s="15" t="str">
        <f t="array" ref="R2982">IFERROR(XLOOKUP(Q2982,'Classificação'!B:B,'Classificação'!C:C),"")</f>
        <v>RESULTADO NÃO OPERACIONAL (+/-)</v>
      </c>
      <c r="S2982" s="15">
        <f t="shared" si="228"/>
        <v>10</v>
      </c>
      <c r="T2982" s="15">
        <f t="shared" si="128"/>
        <v>9</v>
      </c>
      <c r="U2982" s="15">
        <f t="shared" si="129"/>
        <v>2026</v>
      </c>
      <c r="V2982" s="15" t="str">
        <f t="shared" si="8"/>
        <v/>
      </c>
      <c r="W2982" s="15" t="str">
        <f t="shared" si="9"/>
        <v/>
      </c>
      <c r="X2982" s="15" t="str">
        <f t="shared" si="10"/>
        <v/>
      </c>
    </row>
    <row r="2983">
      <c r="A2983" s="9">
        <v>46275.0</v>
      </c>
      <c r="B2983" s="32">
        <v>46011.0</v>
      </c>
      <c r="C2983" s="9" t="str">
        <f t="shared" si="249"/>
        <v/>
      </c>
      <c r="D2983" s="11" t="s">
        <v>65</v>
      </c>
      <c r="E2983" s="28" t="s">
        <v>1305</v>
      </c>
      <c r="F2983" s="11" t="s">
        <v>26</v>
      </c>
      <c r="G2983" s="28" t="s">
        <v>27</v>
      </c>
      <c r="H2983" s="11" t="s">
        <v>1159</v>
      </c>
      <c r="I2983" s="31">
        <v>54.99</v>
      </c>
      <c r="J2983" s="13"/>
      <c r="K2983" s="13" t="str">
        <f t="shared" si="334"/>
        <v/>
      </c>
      <c r="L2983" s="11" t="s">
        <v>53</v>
      </c>
      <c r="M2983" s="16" t="s">
        <v>1375</v>
      </c>
      <c r="N2983" s="11" t="s">
        <v>95</v>
      </c>
      <c r="O2983" s="10" t="str">
        <f t="shared" si="79"/>
        <v>09/2026</v>
      </c>
      <c r="P2983" s="10" t="str">
        <f t="shared" si="331"/>
        <v/>
      </c>
      <c r="Q2983" s="15" t="str">
        <f t="array" ref="Q2983">IFERROR(XLOOKUP(N2983,'Classificação'!A:A,'Classificação'!B:B),"")</f>
        <v>DESPESAS NÃO OPERACIONAIS</v>
      </c>
      <c r="R2983" s="15" t="str">
        <f t="array" ref="R2983">IFERROR(XLOOKUP(Q2983,'Classificação'!B:B,'Classificação'!C:C),"")</f>
        <v>RESULTADO NÃO OPERACIONAL (+/-)</v>
      </c>
      <c r="S2983" s="15">
        <f t="shared" si="228"/>
        <v>10</v>
      </c>
      <c r="T2983" s="15">
        <f t="shared" si="128"/>
        <v>9</v>
      </c>
      <c r="U2983" s="15">
        <f t="shared" si="129"/>
        <v>2026</v>
      </c>
      <c r="V2983" s="15" t="str">
        <f t="shared" si="8"/>
        <v/>
      </c>
      <c r="W2983" s="15" t="str">
        <f t="shared" si="9"/>
        <v/>
      </c>
      <c r="X2983" s="15" t="str">
        <f t="shared" si="10"/>
        <v/>
      </c>
    </row>
    <row r="2984">
      <c r="A2984" s="26">
        <v>46277.0</v>
      </c>
      <c r="B2984" s="30"/>
      <c r="C2984" s="27" t="str">
        <f t="shared" si="249"/>
        <v/>
      </c>
      <c r="D2984" s="28" t="s">
        <v>56</v>
      </c>
      <c r="E2984" s="28" t="s">
        <v>1305</v>
      </c>
      <c r="F2984" s="28" t="s">
        <v>26</v>
      </c>
      <c r="G2984" s="28" t="s">
        <v>37</v>
      </c>
      <c r="H2984" s="28" t="s">
        <v>57</v>
      </c>
      <c r="I2984" s="24">
        <v>60.0</v>
      </c>
      <c r="J2984" s="34"/>
      <c r="K2984" s="13" t="str">
        <f t="shared" si="334"/>
        <v/>
      </c>
      <c r="L2984" s="28" t="s">
        <v>29</v>
      </c>
      <c r="M2984" s="28"/>
      <c r="N2984" s="28" t="s">
        <v>58</v>
      </c>
      <c r="O2984" s="10" t="str">
        <f t="shared" si="79"/>
        <v>09/2026</v>
      </c>
      <c r="P2984" s="10" t="str">
        <f t="shared" si="331"/>
        <v/>
      </c>
      <c r="Q2984" s="15" t="str">
        <f t="array" ref="Q2984">IFERROR(XLOOKUP(N2984,'Classificação'!A:A,'Classificação'!B:B),"")</f>
        <v>DESPESAS ADMINISTRATIVAS</v>
      </c>
      <c r="R2984" s="15" t="str">
        <f t="array" ref="R2984">IFERROR(XLOOKUP(Q2984,'Classificação'!B:B,'Classificação'!C:C),"")</f>
        <v>DESPESAS FIXAS (-)</v>
      </c>
      <c r="S2984" s="15">
        <f t="shared" si="228"/>
        <v>12</v>
      </c>
      <c r="T2984" s="15">
        <f t="shared" si="128"/>
        <v>9</v>
      </c>
      <c r="U2984" s="15">
        <f t="shared" si="129"/>
        <v>2026</v>
      </c>
      <c r="V2984" s="15" t="str">
        <f t="shared" si="8"/>
        <v/>
      </c>
      <c r="W2984" s="15" t="str">
        <f t="shared" si="9"/>
        <v/>
      </c>
      <c r="X2984" s="15" t="str">
        <f t="shared" si="10"/>
        <v/>
      </c>
    </row>
    <row r="2985">
      <c r="A2985" s="26">
        <v>46278.0</v>
      </c>
      <c r="B2985" s="30"/>
      <c r="C2985" s="27" t="str">
        <f t="shared" si="249"/>
        <v/>
      </c>
      <c r="D2985" s="28" t="s">
        <v>65</v>
      </c>
      <c r="E2985" s="28" t="s">
        <v>1305</v>
      </c>
      <c r="F2985" s="28" t="s">
        <v>45</v>
      </c>
      <c r="G2985" s="28" t="s">
        <v>66</v>
      </c>
      <c r="H2985" s="28" t="s">
        <v>67</v>
      </c>
      <c r="I2985" s="37">
        <v>900.0</v>
      </c>
      <c r="J2985" s="34"/>
      <c r="K2985" s="34" t="str">
        <f>IF(E2985="pago",(I2985-J2985),"")</f>
        <v/>
      </c>
      <c r="L2985" s="28" t="s">
        <v>29</v>
      </c>
      <c r="M2985" s="28"/>
      <c r="N2985" s="28" t="s">
        <v>68</v>
      </c>
      <c r="O2985" s="10" t="str">
        <f t="shared" si="79"/>
        <v>09/2026</v>
      </c>
      <c r="P2985" s="10" t="str">
        <f t="shared" si="331"/>
        <v/>
      </c>
      <c r="Q2985" s="15" t="str">
        <f t="array" ref="Q2985">IFERROR(XLOOKUP(N2985,'Classificação'!A:A,'Classificação'!B:B),"")</f>
        <v>FRETE DE VENDAS</v>
      </c>
      <c r="R2985" s="15" t="str">
        <f t="array" ref="R2985">IFERROR(XLOOKUP(Q2985,'Classificação'!B:B,'Classificação'!C:C),"")</f>
        <v>CUSTOS VARIÁVEIS</v>
      </c>
      <c r="S2985" s="15">
        <f t="shared" si="228"/>
        <v>13</v>
      </c>
      <c r="T2985" s="15">
        <f t="shared" si="128"/>
        <v>9</v>
      </c>
      <c r="U2985" s="15">
        <f t="shared" si="129"/>
        <v>2026</v>
      </c>
      <c r="V2985" s="15" t="str">
        <f t="shared" si="8"/>
        <v/>
      </c>
      <c r="W2985" s="15" t="str">
        <f t="shared" si="9"/>
        <v/>
      </c>
      <c r="X2985" s="15" t="str">
        <f t="shared" si="10"/>
        <v/>
      </c>
    </row>
    <row r="2986">
      <c r="A2986" s="9">
        <v>46279.0</v>
      </c>
      <c r="B2986" s="10"/>
      <c r="C2986" s="9" t="str">
        <f t="shared" si="249"/>
        <v/>
      </c>
      <c r="D2986" s="11" t="s">
        <v>44</v>
      </c>
      <c r="E2986" s="11" t="s">
        <v>1305</v>
      </c>
      <c r="F2986" s="11" t="s">
        <v>45</v>
      </c>
      <c r="G2986" s="11" t="s">
        <v>27</v>
      </c>
      <c r="H2986" s="11" t="s">
        <v>476</v>
      </c>
      <c r="I2986" s="12">
        <v>4996.0</v>
      </c>
      <c r="J2986" s="13"/>
      <c r="K2986" s="13" t="str">
        <f>if(E2986="pago",(I2986-J2986),"")</f>
        <v/>
      </c>
      <c r="L2986" s="11" t="s">
        <v>53</v>
      </c>
      <c r="M2986" s="16" t="s">
        <v>900</v>
      </c>
      <c r="N2986" s="11" t="s">
        <v>73</v>
      </c>
      <c r="O2986" s="10" t="str">
        <f t="shared" si="79"/>
        <v>09/2026</v>
      </c>
      <c r="P2986" s="10" t="str">
        <f t="shared" si="331"/>
        <v/>
      </c>
      <c r="Q2986" s="15" t="str">
        <f t="array" ref="Q2986">IFERROR(XLOOKUP(N2986,'Classificação'!A:A,'Classificação'!B:B),"")</f>
        <v>DESPESAS NÃO OPERACIONAIS</v>
      </c>
      <c r="R2986" s="15" t="str">
        <f t="array" ref="R2986">IFERROR(XLOOKUP(Q2986,'Classificação'!B:B,'Classificação'!C:C),"")</f>
        <v>RESULTADO NÃO OPERACIONAL (+/-)</v>
      </c>
      <c r="S2986" s="15">
        <f t="shared" si="228"/>
        <v>14</v>
      </c>
      <c r="T2986" s="15">
        <f t="shared" si="128"/>
        <v>9</v>
      </c>
      <c r="U2986" s="15">
        <f t="shared" si="129"/>
        <v>2026</v>
      </c>
      <c r="V2986" s="15" t="str">
        <f t="shared" si="8"/>
        <v/>
      </c>
      <c r="W2986" s="15" t="str">
        <f t="shared" si="9"/>
        <v/>
      </c>
      <c r="X2986" s="15" t="str">
        <f t="shared" si="10"/>
        <v/>
      </c>
    </row>
    <row r="2987">
      <c r="A2987" s="26">
        <v>46280.0</v>
      </c>
      <c r="B2987" s="30"/>
      <c r="C2987" s="27" t="str">
        <f t="shared" si="249"/>
        <v/>
      </c>
      <c r="D2987" s="28" t="s">
        <v>79</v>
      </c>
      <c r="E2987" s="28" t="s">
        <v>1305</v>
      </c>
      <c r="F2987" s="28" t="s">
        <v>26</v>
      </c>
      <c r="G2987" s="28" t="s">
        <v>37</v>
      </c>
      <c r="H2987" s="28"/>
      <c r="I2987" s="24">
        <v>550.0</v>
      </c>
      <c r="J2987" s="34"/>
      <c r="K2987" s="34" t="str">
        <f t="shared" ref="K2987:K2989" si="335">IF(E2987="pago",(I2987-J2987),"")</f>
        <v/>
      </c>
      <c r="L2987" s="28" t="s">
        <v>29</v>
      </c>
      <c r="M2987" s="28"/>
      <c r="N2987" s="28" t="s">
        <v>58</v>
      </c>
      <c r="O2987" s="10" t="str">
        <f t="shared" si="79"/>
        <v>09/2026</v>
      </c>
      <c r="P2987" s="10" t="str">
        <f t="shared" si="331"/>
        <v/>
      </c>
      <c r="Q2987" s="15" t="str">
        <f t="array" ref="Q2987">IFERROR(XLOOKUP(N2987,'Classificação'!A:A,'Classificação'!B:B),"")</f>
        <v>DESPESAS ADMINISTRATIVAS</v>
      </c>
      <c r="S2987" s="15">
        <f t="shared" si="228"/>
        <v>15</v>
      </c>
      <c r="T2987" s="15">
        <f t="shared" si="128"/>
        <v>9</v>
      </c>
      <c r="U2987" s="15">
        <f t="shared" si="129"/>
        <v>2026</v>
      </c>
      <c r="V2987" s="15" t="str">
        <f t="shared" si="8"/>
        <v/>
      </c>
      <c r="W2987" s="15" t="str">
        <f t="shared" si="9"/>
        <v/>
      </c>
      <c r="X2987" s="15" t="str">
        <f t="shared" si="10"/>
        <v/>
      </c>
    </row>
    <row r="2988">
      <c r="A2988" s="26">
        <v>46280.0</v>
      </c>
      <c r="B2988" s="30"/>
      <c r="C2988" s="27" t="str">
        <f t="shared" si="249"/>
        <v/>
      </c>
      <c r="D2988" s="28" t="s">
        <v>80</v>
      </c>
      <c r="E2988" s="28" t="s">
        <v>1305</v>
      </c>
      <c r="F2988" s="28" t="s">
        <v>32</v>
      </c>
      <c r="G2988" s="28" t="s">
        <v>27</v>
      </c>
      <c r="H2988" s="29" t="s">
        <v>606</v>
      </c>
      <c r="I2988" s="37">
        <v>780.0</v>
      </c>
      <c r="J2988" s="34"/>
      <c r="K2988" s="34" t="str">
        <f t="shared" si="335"/>
        <v/>
      </c>
      <c r="L2988" s="28" t="s">
        <v>29</v>
      </c>
      <c r="M2988" s="28"/>
      <c r="N2988" s="28" t="s">
        <v>75</v>
      </c>
      <c r="O2988" s="10" t="str">
        <f t="shared" si="79"/>
        <v>09/2026</v>
      </c>
      <c r="P2988" s="10" t="str">
        <f t="shared" si="331"/>
        <v/>
      </c>
      <c r="Q2988" s="15" t="str">
        <f t="array" ref="Q2988">IFERROR(XLOOKUP(N2988,'Classificação'!A:A,'Classificação'!B:B),"")</f>
        <v>DESPESAS COM PESSOAL</v>
      </c>
      <c r="R2988" s="15" t="str">
        <f t="array" ref="R2988">IFERROR(XLOOKUP(Q2988,'Classificação'!B:B,'Classificação'!C:C),"")</f>
        <v>DESPESAS FIXAS (-)</v>
      </c>
      <c r="S2988" s="15">
        <f t="shared" si="228"/>
        <v>15</v>
      </c>
      <c r="T2988" s="15">
        <f t="shared" si="128"/>
        <v>9</v>
      </c>
      <c r="U2988" s="15">
        <f t="shared" si="129"/>
        <v>2026</v>
      </c>
      <c r="V2988" s="15" t="str">
        <f t="shared" si="8"/>
        <v/>
      </c>
      <c r="W2988" s="15" t="str">
        <f t="shared" si="9"/>
        <v/>
      </c>
      <c r="X2988" s="15" t="str">
        <f t="shared" si="10"/>
        <v/>
      </c>
    </row>
    <row r="2989">
      <c r="A2989" s="26">
        <v>46280.0</v>
      </c>
      <c r="B2989" s="28"/>
      <c r="C2989" s="27" t="str">
        <f t="shared" si="249"/>
        <v/>
      </c>
      <c r="D2989" s="29" t="s">
        <v>1094</v>
      </c>
      <c r="E2989" s="28" t="s">
        <v>1305</v>
      </c>
      <c r="F2989" s="29" t="s">
        <v>26</v>
      </c>
      <c r="G2989" s="29" t="s">
        <v>37</v>
      </c>
      <c r="H2989" s="28" t="s">
        <v>606</v>
      </c>
      <c r="I2989" s="24">
        <v>1120.0</v>
      </c>
      <c r="J2989" s="34"/>
      <c r="K2989" s="34" t="str">
        <f t="shared" si="335"/>
        <v/>
      </c>
      <c r="L2989" s="28" t="s">
        <v>29</v>
      </c>
      <c r="M2989" s="28"/>
      <c r="N2989" s="28" t="s">
        <v>75</v>
      </c>
      <c r="O2989" s="10" t="str">
        <f t="shared" si="79"/>
        <v>09/2026</v>
      </c>
      <c r="P2989" s="10" t="str">
        <f t="shared" si="331"/>
        <v/>
      </c>
      <c r="Q2989" s="15" t="str">
        <f t="array" ref="Q2989">IFERROR(XLOOKUP(N2989,'Classificação'!A:A,'Classificação'!B:B),"")</f>
        <v>DESPESAS COM PESSOAL</v>
      </c>
      <c r="R2989" s="15" t="str">
        <f t="array" ref="R2989">IFERROR(XLOOKUP(Q2989,'Classificação'!B:B,'Classificação'!C:C),"")</f>
        <v>DESPESAS FIXAS (-)</v>
      </c>
      <c r="S2989" s="15">
        <f t="shared" si="228"/>
        <v>15</v>
      </c>
      <c r="T2989" s="15">
        <f t="shared" si="128"/>
        <v>9</v>
      </c>
      <c r="U2989" s="15">
        <f t="shared" si="129"/>
        <v>2026</v>
      </c>
      <c r="V2989" s="15" t="str">
        <f t="shared" si="8"/>
        <v/>
      </c>
      <c r="W2989" s="15" t="str">
        <f t="shared" si="9"/>
        <v/>
      </c>
      <c r="X2989" s="15" t="str">
        <f t="shared" si="10"/>
        <v/>
      </c>
    </row>
    <row r="2990">
      <c r="A2990" s="9">
        <v>46280.0</v>
      </c>
      <c r="B2990" s="10"/>
      <c r="C2990" s="9" t="str">
        <f t="shared" si="249"/>
        <v/>
      </c>
      <c r="D2990" s="11" t="s">
        <v>1229</v>
      </c>
      <c r="E2990" s="28" t="s">
        <v>1305</v>
      </c>
      <c r="F2990" s="11" t="s">
        <v>26</v>
      </c>
      <c r="G2990" s="11" t="s">
        <v>37</v>
      </c>
      <c r="H2990" s="11" t="s">
        <v>1230</v>
      </c>
      <c r="I2990" s="31">
        <v>840.0</v>
      </c>
      <c r="J2990" s="13"/>
      <c r="K2990" s="13" t="str">
        <f t="shared" ref="K2990:K2992" si="336">if(E2990="pago",(I2990-J2990),"")</f>
        <v/>
      </c>
      <c r="L2990" s="11" t="s">
        <v>29</v>
      </c>
      <c r="M2990" s="14"/>
      <c r="N2990" s="11" t="s">
        <v>58</v>
      </c>
      <c r="O2990" s="10" t="str">
        <f t="shared" si="79"/>
        <v>09/2026</v>
      </c>
      <c r="P2990" s="10" t="str">
        <f t="shared" si="331"/>
        <v/>
      </c>
      <c r="Q2990" s="15" t="str">
        <f t="array" ref="Q2990">IFERROR(XLOOKUP(N2990,'Classificação'!A:A,'Classificação'!B:B),"")</f>
        <v>DESPESAS ADMINISTRATIVAS</v>
      </c>
      <c r="R2990" s="15" t="str">
        <f t="array" ref="R2990">IFERROR(XLOOKUP(Q2990,'Classificação'!B:B,'Classificação'!C:C),"")</f>
        <v>DESPESAS FIXAS (-)</v>
      </c>
      <c r="S2990" s="15">
        <f t="shared" si="228"/>
        <v>15</v>
      </c>
      <c r="T2990" s="15">
        <f t="shared" si="128"/>
        <v>9</v>
      </c>
      <c r="U2990" s="15">
        <f t="shared" si="129"/>
        <v>2026</v>
      </c>
      <c r="V2990" s="15" t="str">
        <f t="shared" si="8"/>
        <v/>
      </c>
      <c r="W2990" s="15" t="str">
        <f t="shared" si="9"/>
        <v/>
      </c>
      <c r="X2990" s="15" t="str">
        <f t="shared" si="10"/>
        <v/>
      </c>
    </row>
    <row r="2991">
      <c r="A2991" s="26">
        <v>46281.0</v>
      </c>
      <c r="B2991" s="30"/>
      <c r="C2991" s="27" t="str">
        <f t="shared" si="249"/>
        <v/>
      </c>
      <c r="D2991" s="28" t="s">
        <v>90</v>
      </c>
      <c r="E2991" s="28" t="s">
        <v>1305</v>
      </c>
      <c r="F2991" s="28" t="s">
        <v>40</v>
      </c>
      <c r="G2991" s="28" t="s">
        <v>27</v>
      </c>
      <c r="H2991" s="29" t="s">
        <v>1178</v>
      </c>
      <c r="I2991" s="37">
        <v>800.0</v>
      </c>
      <c r="J2991" s="34"/>
      <c r="K2991" s="13" t="str">
        <f t="shared" si="336"/>
        <v/>
      </c>
      <c r="L2991" s="28" t="s">
        <v>29</v>
      </c>
      <c r="M2991" s="28"/>
      <c r="N2991" s="28" t="s">
        <v>92</v>
      </c>
      <c r="O2991" s="10" t="str">
        <f t="shared" si="79"/>
        <v>09/2026</v>
      </c>
      <c r="P2991" s="10" t="str">
        <f t="shared" si="331"/>
        <v/>
      </c>
      <c r="Q2991" s="15" t="str">
        <f t="array" ref="Q2991">IFERROR(XLOOKUP(N2991,'Classificação'!A:A,'Classificação'!B:B),"")</f>
        <v>DESPESAS COM OCUPAÇÃO</v>
      </c>
      <c r="R2991" s="15" t="str">
        <f t="array" ref="R2991">IFERROR(XLOOKUP(Q2991,'Classificação'!B:B,'Classificação'!C:C),"")</f>
        <v>DESPESAS FIXAS (-)</v>
      </c>
      <c r="S2991" s="15">
        <f t="shared" si="228"/>
        <v>16</v>
      </c>
      <c r="T2991" s="15">
        <f t="shared" si="128"/>
        <v>9</v>
      </c>
      <c r="U2991" s="15">
        <f t="shared" si="129"/>
        <v>2026</v>
      </c>
      <c r="V2991" s="15" t="str">
        <f t="shared" si="8"/>
        <v/>
      </c>
      <c r="W2991" s="15" t="str">
        <f t="shared" si="9"/>
        <v/>
      </c>
      <c r="X2991" s="15" t="str">
        <f t="shared" si="10"/>
        <v/>
      </c>
    </row>
    <row r="2992">
      <c r="A2992" s="9">
        <v>46283.0</v>
      </c>
      <c r="B2992" s="10"/>
      <c r="C2992" s="9" t="str">
        <f t="shared" si="249"/>
        <v/>
      </c>
      <c r="D2992" s="11" t="s">
        <v>44</v>
      </c>
      <c r="E2992" s="11" t="s">
        <v>1305</v>
      </c>
      <c r="F2992" s="11" t="s">
        <v>45</v>
      </c>
      <c r="G2992" s="11" t="s">
        <v>27</v>
      </c>
      <c r="H2992" s="11" t="s">
        <v>703</v>
      </c>
      <c r="I2992" s="13">
        <v>2674.1458000000002</v>
      </c>
      <c r="J2992" s="13"/>
      <c r="K2992" s="13" t="str">
        <f t="shared" si="336"/>
        <v/>
      </c>
      <c r="L2992" s="11" t="s">
        <v>53</v>
      </c>
      <c r="M2992" s="16" t="s">
        <v>1376</v>
      </c>
      <c r="N2992" s="11" t="s">
        <v>73</v>
      </c>
      <c r="O2992" s="10" t="str">
        <f t="shared" si="79"/>
        <v>09/2026</v>
      </c>
      <c r="P2992" s="10" t="str">
        <f t="shared" si="331"/>
        <v/>
      </c>
      <c r="Q2992" s="15" t="str">
        <f t="array" ref="Q2992">IFERROR(XLOOKUP(N2992,'Classificação'!A:A,'Classificação'!B:B),"")</f>
        <v>DESPESAS NÃO OPERACIONAIS</v>
      </c>
      <c r="R2992" s="15" t="str">
        <f t="array" ref="R2992">IFERROR(XLOOKUP(Q2992,'Classificação'!B:B,'Classificação'!C:C),"")</f>
        <v>RESULTADO NÃO OPERACIONAL (+/-)</v>
      </c>
      <c r="S2992" s="15">
        <f t="shared" si="228"/>
        <v>18</v>
      </c>
      <c r="T2992" s="15">
        <f t="shared" si="128"/>
        <v>9</v>
      </c>
      <c r="U2992" s="15">
        <f t="shared" si="129"/>
        <v>2026</v>
      </c>
      <c r="V2992" s="15" t="str">
        <f t="shared" si="8"/>
        <v/>
      </c>
      <c r="W2992" s="15" t="str">
        <f t="shared" si="9"/>
        <v/>
      </c>
      <c r="X2992" s="15" t="str">
        <f t="shared" si="10"/>
        <v/>
      </c>
    </row>
    <row r="2993">
      <c r="A2993" s="26">
        <v>46283.0</v>
      </c>
      <c r="B2993" s="30"/>
      <c r="C2993" s="27" t="str">
        <f t="shared" si="249"/>
        <v/>
      </c>
      <c r="D2993" s="28" t="s">
        <v>65</v>
      </c>
      <c r="E2993" s="28" t="s">
        <v>1305</v>
      </c>
      <c r="F2993" s="28" t="s">
        <v>45</v>
      </c>
      <c r="G2993" s="28" t="s">
        <v>37</v>
      </c>
      <c r="H2993" s="28" t="s">
        <v>1114</v>
      </c>
      <c r="I2993" s="37">
        <v>700.0</v>
      </c>
      <c r="J2993" s="34"/>
      <c r="K2993" s="34" t="str">
        <f t="shared" ref="K2993:K2998" si="337">IF(E2993="pago",(I2993-J2993),"")</f>
        <v/>
      </c>
      <c r="L2993" s="28" t="s">
        <v>29</v>
      </c>
      <c r="M2993" s="28"/>
      <c r="N2993" s="28" t="s">
        <v>68</v>
      </c>
      <c r="O2993" s="10" t="str">
        <f t="shared" si="79"/>
        <v>09/2026</v>
      </c>
      <c r="P2993" s="10" t="str">
        <f t="shared" si="331"/>
        <v/>
      </c>
      <c r="Q2993" s="15" t="str">
        <f t="array" ref="Q2993">IFERROR(XLOOKUP(N2993,'Classificação'!A:A,'Classificação'!B:B),"")</f>
        <v>FRETE DE VENDAS</v>
      </c>
      <c r="R2993" s="15" t="str">
        <f t="array" ref="R2993">IFERROR(XLOOKUP(Q2993,'Classificação'!B:B,'Classificação'!C:C),"")</f>
        <v>CUSTOS VARIÁVEIS</v>
      </c>
      <c r="S2993" s="15">
        <f t="shared" si="228"/>
        <v>18</v>
      </c>
      <c r="T2993" s="15">
        <f t="shared" si="128"/>
        <v>9</v>
      </c>
      <c r="U2993" s="15">
        <f t="shared" si="129"/>
        <v>2026</v>
      </c>
      <c r="V2993" s="15" t="str">
        <f t="shared" si="8"/>
        <v/>
      </c>
      <c r="W2993" s="15" t="str">
        <f t="shared" si="9"/>
        <v/>
      </c>
      <c r="X2993" s="15" t="str">
        <f t="shared" si="10"/>
        <v/>
      </c>
    </row>
    <row r="2994">
      <c r="A2994" s="26">
        <v>46285.0</v>
      </c>
      <c r="B2994" s="30"/>
      <c r="C2994" s="27" t="str">
        <f t="shared" si="249"/>
        <v/>
      </c>
      <c r="D2994" s="28" t="s">
        <v>100</v>
      </c>
      <c r="E2994" s="28" t="s">
        <v>1305</v>
      </c>
      <c r="F2994" s="28" t="s">
        <v>40</v>
      </c>
      <c r="G2994" s="28" t="s">
        <v>27</v>
      </c>
      <c r="H2994" s="29" t="s">
        <v>1015</v>
      </c>
      <c r="I2994" s="37">
        <v>14000.0</v>
      </c>
      <c r="J2994" s="34"/>
      <c r="K2994" s="34" t="str">
        <f t="shared" si="337"/>
        <v/>
      </c>
      <c r="L2994" s="28" t="s">
        <v>29</v>
      </c>
      <c r="M2994" s="28"/>
      <c r="N2994" s="28" t="s">
        <v>101</v>
      </c>
      <c r="O2994" s="10" t="str">
        <f t="shared" si="79"/>
        <v>09/2026</v>
      </c>
      <c r="P2994" s="10" t="str">
        <f t="shared" si="331"/>
        <v/>
      </c>
      <c r="Q2994" s="15" t="str">
        <f t="array" ref="Q2994">IFERROR(XLOOKUP(N2994,'Classificação'!A:A,'Classificação'!B:B),"")</f>
        <v>IMPOSTO DE RENDA - DAS</v>
      </c>
      <c r="R2994" s="15" t="str">
        <f t="array" ref="R2994">IFERROR(XLOOKUP(Q2994,'Classificação'!B:B,'Classificação'!C:C),"")</f>
        <v>DEDUÇÕES DA RECEITA BRUTA (-)</v>
      </c>
      <c r="S2994" s="15">
        <f t="shared" si="228"/>
        <v>20</v>
      </c>
      <c r="T2994" s="15">
        <f t="shared" si="128"/>
        <v>9</v>
      </c>
      <c r="U2994" s="15">
        <f t="shared" si="129"/>
        <v>2026</v>
      </c>
      <c r="V2994" s="15" t="str">
        <f t="shared" si="8"/>
        <v/>
      </c>
      <c r="W2994" s="15" t="str">
        <f t="shared" si="9"/>
        <v/>
      </c>
      <c r="X2994" s="15" t="str">
        <f t="shared" si="10"/>
        <v/>
      </c>
    </row>
    <row r="2995">
      <c r="A2995" s="26">
        <v>46285.0</v>
      </c>
      <c r="B2995" s="30"/>
      <c r="C2995" s="27" t="str">
        <f t="shared" si="249"/>
        <v/>
      </c>
      <c r="D2995" s="28" t="s">
        <v>100</v>
      </c>
      <c r="E2995" s="28" t="s">
        <v>1305</v>
      </c>
      <c r="F2995" s="28" t="s">
        <v>40</v>
      </c>
      <c r="G2995" s="28" t="s">
        <v>37</v>
      </c>
      <c r="H2995" s="29" t="s">
        <v>1016</v>
      </c>
      <c r="I2995" s="37">
        <v>14000.0</v>
      </c>
      <c r="J2995" s="34"/>
      <c r="K2995" s="34" t="str">
        <f t="shared" si="337"/>
        <v/>
      </c>
      <c r="L2995" s="28" t="s">
        <v>29</v>
      </c>
      <c r="M2995" s="28"/>
      <c r="N2995" s="28" t="s">
        <v>101</v>
      </c>
      <c r="O2995" s="10" t="str">
        <f t="shared" si="79"/>
        <v>09/2026</v>
      </c>
      <c r="P2995" s="10" t="str">
        <f t="shared" si="331"/>
        <v/>
      </c>
      <c r="Q2995" s="15" t="str">
        <f t="array" ref="Q2995">IFERROR(XLOOKUP(N2995,'Classificação'!A:A,'Classificação'!B:B),"")</f>
        <v>IMPOSTO DE RENDA - DAS</v>
      </c>
      <c r="R2995" s="15" t="str">
        <f t="array" ref="R2995">IFERROR(XLOOKUP(Q2995,'Classificação'!B:B,'Classificação'!C:C),"")</f>
        <v>DEDUÇÕES DA RECEITA BRUTA (-)</v>
      </c>
      <c r="S2995" s="15">
        <f t="shared" si="228"/>
        <v>20</v>
      </c>
      <c r="T2995" s="15">
        <f t="shared" si="128"/>
        <v>9</v>
      </c>
      <c r="U2995" s="15">
        <f t="shared" si="129"/>
        <v>2026</v>
      </c>
      <c r="V2995" s="15" t="str">
        <f t="shared" si="8"/>
        <v/>
      </c>
      <c r="W2995" s="15" t="str">
        <f t="shared" si="9"/>
        <v/>
      </c>
      <c r="X2995" s="15" t="str">
        <f t="shared" si="10"/>
        <v/>
      </c>
    </row>
    <row r="2996">
      <c r="A2996" s="26">
        <v>46285.0</v>
      </c>
      <c r="B2996" s="28"/>
      <c r="C2996" s="27" t="str">
        <f t="shared" si="249"/>
        <v/>
      </c>
      <c r="D2996" s="28" t="s">
        <v>123</v>
      </c>
      <c r="E2996" s="28" t="s">
        <v>1305</v>
      </c>
      <c r="F2996" s="28" t="s">
        <v>40</v>
      </c>
      <c r="G2996" s="28" t="s">
        <v>27</v>
      </c>
      <c r="H2996" s="29" t="s">
        <v>1184</v>
      </c>
      <c r="I2996" s="24">
        <v>572.0</v>
      </c>
      <c r="J2996" s="34"/>
      <c r="K2996" s="34" t="str">
        <f t="shared" si="337"/>
        <v/>
      </c>
      <c r="L2996" s="28" t="s">
        <v>29</v>
      </c>
      <c r="M2996" s="28"/>
      <c r="N2996" s="28" t="s">
        <v>123</v>
      </c>
      <c r="O2996" s="10" t="str">
        <f t="shared" si="79"/>
        <v>09/2026</v>
      </c>
      <c r="P2996" s="10" t="str">
        <f t="shared" si="331"/>
        <v/>
      </c>
      <c r="Q2996" s="15" t="str">
        <f t="array" ref="Q2996">IFERROR(XLOOKUP(N2996,'Classificação'!A:A,'Classificação'!B:B),"")</f>
        <v>DESPESAS COM PESSOAL</v>
      </c>
      <c r="R2996" s="15" t="str">
        <f t="array" ref="R2996">IFERROR(XLOOKUP(Q2996,'Classificação'!B:B,'Classificação'!C:C),"")</f>
        <v>DESPESAS FIXAS (-)</v>
      </c>
      <c r="S2996" s="15">
        <f t="shared" si="228"/>
        <v>20</v>
      </c>
      <c r="T2996" s="15">
        <f t="shared" si="128"/>
        <v>9</v>
      </c>
      <c r="U2996" s="15">
        <f t="shared" si="129"/>
        <v>2026</v>
      </c>
      <c r="V2996" s="15" t="str">
        <f t="shared" si="8"/>
        <v/>
      </c>
      <c r="W2996" s="15" t="str">
        <f t="shared" si="9"/>
        <v/>
      </c>
      <c r="X2996" s="15" t="str">
        <f t="shared" si="10"/>
        <v/>
      </c>
    </row>
    <row r="2997">
      <c r="A2997" s="26">
        <v>46285.0</v>
      </c>
      <c r="B2997" s="28"/>
      <c r="C2997" s="27" t="str">
        <f t="shared" si="249"/>
        <v/>
      </c>
      <c r="D2997" s="28" t="s">
        <v>126</v>
      </c>
      <c r="E2997" s="28" t="s">
        <v>1305</v>
      </c>
      <c r="F2997" s="28" t="s">
        <v>40</v>
      </c>
      <c r="G2997" s="28" t="s">
        <v>27</v>
      </c>
      <c r="H2997" s="29" t="s">
        <v>1185</v>
      </c>
      <c r="I2997" s="24">
        <v>730.0</v>
      </c>
      <c r="J2997" s="34"/>
      <c r="K2997" s="34" t="str">
        <f t="shared" si="337"/>
        <v/>
      </c>
      <c r="L2997" s="28" t="s">
        <v>29</v>
      </c>
      <c r="M2997" s="28"/>
      <c r="N2997" s="28" t="s">
        <v>126</v>
      </c>
      <c r="O2997" s="10" t="str">
        <f t="shared" si="79"/>
        <v>09/2026</v>
      </c>
      <c r="P2997" s="10"/>
      <c r="Q2997" s="15" t="str">
        <f t="array" ref="Q2997">IFERROR(XLOOKUP(N2997,'Classificação'!A:A,'Classificação'!B:B),"")</f>
        <v>DESPESAS COM PESSOAL</v>
      </c>
      <c r="R2997" s="15" t="str">
        <f t="array" ref="R2997">IFERROR(XLOOKUP(Q2997,'Classificação'!B:B,'Classificação'!C:C),"")</f>
        <v>DESPESAS FIXAS (-)</v>
      </c>
      <c r="S2997" s="15">
        <f t="shared" si="228"/>
        <v>20</v>
      </c>
      <c r="T2997" s="15">
        <f t="shared" si="128"/>
        <v>9</v>
      </c>
      <c r="U2997" s="15">
        <f t="shared" si="129"/>
        <v>2026</v>
      </c>
      <c r="V2997" s="15" t="str">
        <f t="shared" si="8"/>
        <v/>
      </c>
      <c r="W2997" s="15" t="str">
        <f t="shared" si="9"/>
        <v/>
      </c>
      <c r="X2997" s="15" t="str">
        <f t="shared" si="10"/>
        <v/>
      </c>
    </row>
    <row r="2998">
      <c r="A2998" s="26">
        <v>46285.0</v>
      </c>
      <c r="B2998" s="28"/>
      <c r="C2998" s="27" t="str">
        <f t="shared" si="249"/>
        <v/>
      </c>
      <c r="D2998" s="28" t="s">
        <v>171</v>
      </c>
      <c r="E2998" s="28" t="s">
        <v>1305</v>
      </c>
      <c r="F2998" s="28" t="s">
        <v>40</v>
      </c>
      <c r="G2998" s="28" t="s">
        <v>27</v>
      </c>
      <c r="H2998" s="28"/>
      <c r="I2998" s="37">
        <v>150.0</v>
      </c>
      <c r="J2998" s="34"/>
      <c r="K2998" s="34" t="str">
        <f t="shared" si="337"/>
        <v/>
      </c>
      <c r="L2998" s="28" t="s">
        <v>29</v>
      </c>
      <c r="M2998" s="28"/>
      <c r="N2998" s="28" t="s">
        <v>172</v>
      </c>
      <c r="O2998" s="10" t="str">
        <f t="shared" si="79"/>
        <v>09/2026</v>
      </c>
      <c r="P2998" s="10" t="str">
        <f t="shared" ref="P2998:P3003" si="338">if(B2998="","", TEXT(B2998,"mm/yyyy"))</f>
        <v/>
      </c>
      <c r="Q2998" s="15" t="str">
        <f t="array" ref="Q2998">IFERROR(XLOOKUP(N2998,'Classificação'!A:A,'Classificação'!B:B),"")</f>
        <v>DESPESAS COM OCUPAÇÃO</v>
      </c>
      <c r="R2998" s="15" t="str">
        <f t="array" ref="R2998">IFERROR(XLOOKUP(Q2998,'Classificação'!B:B,'Classificação'!C:C),"")</f>
        <v>DESPESAS FIXAS (-)</v>
      </c>
      <c r="S2998" s="15">
        <f t="shared" si="228"/>
        <v>20</v>
      </c>
      <c r="T2998" s="15">
        <f t="shared" si="128"/>
        <v>9</v>
      </c>
      <c r="U2998" s="15">
        <f t="shared" si="129"/>
        <v>2026</v>
      </c>
      <c r="V2998" s="15" t="str">
        <f t="shared" si="8"/>
        <v/>
      </c>
      <c r="W2998" s="15" t="str">
        <f t="shared" si="9"/>
        <v/>
      </c>
      <c r="X2998" s="15" t="str">
        <f t="shared" si="10"/>
        <v/>
      </c>
    </row>
    <row r="2999">
      <c r="A2999" s="26">
        <v>46285.0</v>
      </c>
      <c r="B2999" s="39"/>
      <c r="C2999" s="9" t="str">
        <f t="shared" si="249"/>
        <v/>
      </c>
      <c r="D2999" s="28" t="s">
        <v>65</v>
      </c>
      <c r="E2999" s="28" t="s">
        <v>1305</v>
      </c>
      <c r="F2999" s="28" t="s">
        <v>107</v>
      </c>
      <c r="G2999" s="28" t="s">
        <v>27</v>
      </c>
      <c r="H2999" s="28" t="s">
        <v>612</v>
      </c>
      <c r="I2999" s="24">
        <v>8.9</v>
      </c>
      <c r="J2999" s="34"/>
      <c r="K2999" s="13" t="str">
        <f>if(E2999="pago",(I2999-J2999),"")</f>
        <v/>
      </c>
      <c r="L2999" s="28" t="s">
        <v>29</v>
      </c>
      <c r="M2999" s="28"/>
      <c r="N2999" s="28" t="s">
        <v>105</v>
      </c>
      <c r="O2999" s="10" t="str">
        <f t="shared" si="79"/>
        <v>09/2026</v>
      </c>
      <c r="P2999" s="10" t="str">
        <f t="shared" si="338"/>
        <v/>
      </c>
      <c r="Q2999" s="15" t="str">
        <f t="array" ref="Q2999">IFERROR(XLOOKUP(N2999,'Classificação'!A:A,'Classificação'!B:B),"")</f>
        <v>DESPESAS ADMINISTRATIVAS</v>
      </c>
      <c r="R2999" s="15" t="str">
        <f t="array" ref="R2999">IFERROR(XLOOKUP(Q2999,'Classificação'!B:B,'Classificação'!C:C),"")</f>
        <v>DESPESAS FIXAS (-)</v>
      </c>
      <c r="S2999" s="15">
        <f t="shared" si="228"/>
        <v>20</v>
      </c>
      <c r="T2999" s="15">
        <f t="shared" si="128"/>
        <v>9</v>
      </c>
      <c r="U2999" s="15">
        <f t="shared" si="129"/>
        <v>2026</v>
      </c>
      <c r="V2999" s="15" t="str">
        <f t="shared" si="8"/>
        <v/>
      </c>
      <c r="W2999" s="15" t="str">
        <f t="shared" si="9"/>
        <v/>
      </c>
      <c r="X2999" s="15" t="str">
        <f t="shared" si="10"/>
        <v/>
      </c>
    </row>
    <row r="3000">
      <c r="A3000" s="26">
        <v>46285.0</v>
      </c>
      <c r="B3000" s="28"/>
      <c r="C3000" s="27" t="str">
        <f t="shared" si="249"/>
        <v/>
      </c>
      <c r="D3000" s="28" t="s">
        <v>637</v>
      </c>
      <c r="E3000" s="28" t="s">
        <v>1305</v>
      </c>
      <c r="F3000" s="28" t="s">
        <v>40</v>
      </c>
      <c r="G3000" s="28" t="s">
        <v>27</v>
      </c>
      <c r="H3000" s="28"/>
      <c r="I3000" s="37">
        <v>170.0</v>
      </c>
      <c r="J3000" s="34"/>
      <c r="K3000" s="34" t="str">
        <f t="shared" ref="K3000:K3003" si="339">IF(E3000="pago",(I3000-J3000),"")</f>
        <v/>
      </c>
      <c r="L3000" s="28" t="s">
        <v>29</v>
      </c>
      <c r="M3000" s="28"/>
      <c r="N3000" s="28" t="s">
        <v>201</v>
      </c>
      <c r="O3000" s="10" t="str">
        <f t="shared" si="79"/>
        <v>09/2026</v>
      </c>
      <c r="P3000" s="10" t="str">
        <f t="shared" si="338"/>
        <v/>
      </c>
      <c r="Q3000" s="15" t="str">
        <f t="array" ref="Q3000">IFERROR(XLOOKUP(N3000,'Classificação'!A:A,'Classificação'!B:B),"")</f>
        <v>DESPESAS COM OCUPAÇÃO</v>
      </c>
      <c r="R3000" s="15" t="str">
        <f t="array" ref="R3000">IFERROR(XLOOKUP(Q3000,'Classificação'!B:B,'Classificação'!C:C),"")</f>
        <v>DESPESAS FIXAS (-)</v>
      </c>
      <c r="S3000" s="15">
        <f t="shared" si="228"/>
        <v>20</v>
      </c>
      <c r="T3000" s="15">
        <f t="shared" si="128"/>
        <v>9</v>
      </c>
      <c r="U3000" s="15">
        <f t="shared" si="129"/>
        <v>2026</v>
      </c>
      <c r="V3000" s="15" t="str">
        <f t="shared" si="8"/>
        <v/>
      </c>
      <c r="W3000" s="15" t="str">
        <f t="shared" si="9"/>
        <v/>
      </c>
      <c r="X3000" s="15" t="str">
        <f t="shared" si="10"/>
        <v/>
      </c>
    </row>
    <row r="3001">
      <c r="A3001" s="26">
        <v>46285.0</v>
      </c>
      <c r="B3001" s="28"/>
      <c r="C3001" s="27" t="str">
        <f t="shared" si="249"/>
        <v/>
      </c>
      <c r="D3001" s="28" t="s">
        <v>121</v>
      </c>
      <c r="E3001" s="28" t="s">
        <v>1305</v>
      </c>
      <c r="F3001" s="28" t="s">
        <v>107</v>
      </c>
      <c r="G3001" s="28" t="s">
        <v>27</v>
      </c>
      <c r="H3001" s="28"/>
      <c r="I3001" s="24">
        <v>79.9</v>
      </c>
      <c r="J3001" s="34"/>
      <c r="K3001" s="34" t="str">
        <f t="shared" si="339"/>
        <v/>
      </c>
      <c r="L3001" s="28" t="s">
        <v>29</v>
      </c>
      <c r="M3001" s="28"/>
      <c r="N3001" s="28" t="s">
        <v>105</v>
      </c>
      <c r="O3001" s="10" t="str">
        <f t="shared" si="79"/>
        <v>09/2026</v>
      </c>
      <c r="P3001" s="10" t="str">
        <f t="shared" si="338"/>
        <v/>
      </c>
      <c r="Q3001" s="15" t="str">
        <f t="array" ref="Q3001">IFERROR(XLOOKUP(N3001,'Classificação'!A:A,'Classificação'!B:B),"")</f>
        <v>DESPESAS ADMINISTRATIVAS</v>
      </c>
      <c r="R3001" s="15" t="str">
        <f t="array" ref="R3001">IFERROR(XLOOKUP(Q3001,'Classificação'!B:B,'Classificação'!C:C),"")</f>
        <v>DESPESAS FIXAS (-)</v>
      </c>
      <c r="S3001" s="15">
        <f t="shared" si="228"/>
        <v>20</v>
      </c>
      <c r="T3001" s="15">
        <f t="shared" si="128"/>
        <v>9</v>
      </c>
      <c r="U3001" s="15">
        <f t="shared" si="129"/>
        <v>2026</v>
      </c>
      <c r="V3001" s="15" t="str">
        <f t="shared" si="8"/>
        <v/>
      </c>
      <c r="W3001" s="15" t="str">
        <f t="shared" si="9"/>
        <v/>
      </c>
      <c r="X3001" s="15" t="str">
        <f t="shared" si="10"/>
        <v/>
      </c>
    </row>
    <row r="3002">
      <c r="A3002" s="26">
        <v>46285.0</v>
      </c>
      <c r="B3002" s="28"/>
      <c r="C3002" s="27" t="str">
        <f t="shared" si="249"/>
        <v/>
      </c>
      <c r="D3002" s="28" t="s">
        <v>104</v>
      </c>
      <c r="E3002" s="28" t="s">
        <v>1305</v>
      </c>
      <c r="F3002" s="28" t="s">
        <v>40</v>
      </c>
      <c r="G3002" s="28" t="s">
        <v>27</v>
      </c>
      <c r="H3002" s="29" t="s">
        <v>1186</v>
      </c>
      <c r="I3002" s="37">
        <v>450.0</v>
      </c>
      <c r="J3002" s="34"/>
      <c r="K3002" s="34" t="str">
        <f t="shared" si="339"/>
        <v/>
      </c>
      <c r="L3002" s="28" t="s">
        <v>29</v>
      </c>
      <c r="M3002" s="28"/>
      <c r="N3002" s="28" t="s">
        <v>105</v>
      </c>
      <c r="O3002" s="10" t="str">
        <f t="shared" si="79"/>
        <v>09/2026</v>
      </c>
      <c r="P3002" s="10" t="str">
        <f t="shared" si="338"/>
        <v/>
      </c>
      <c r="Q3002" s="15" t="str">
        <f t="array" ref="Q3002">IFERROR(XLOOKUP(N3002,'Classificação'!A:A,'Classificação'!B:B),"")</f>
        <v>DESPESAS ADMINISTRATIVAS</v>
      </c>
      <c r="R3002" s="15" t="str">
        <f t="array" ref="R3002">IFERROR(XLOOKUP(Q3002,'Classificação'!B:B,'Classificação'!C:C),"")</f>
        <v>DESPESAS FIXAS (-)</v>
      </c>
      <c r="S3002" s="15">
        <f t="shared" si="228"/>
        <v>20</v>
      </c>
      <c r="T3002" s="15">
        <f t="shared" si="128"/>
        <v>9</v>
      </c>
      <c r="U3002" s="15">
        <f t="shared" si="129"/>
        <v>2026</v>
      </c>
      <c r="V3002" s="15" t="str">
        <f t="shared" si="8"/>
        <v/>
      </c>
      <c r="W3002" s="15" t="str">
        <f t="shared" si="9"/>
        <v/>
      </c>
      <c r="X3002" s="15" t="str">
        <f t="shared" si="10"/>
        <v/>
      </c>
    </row>
    <row r="3003">
      <c r="A3003" s="26">
        <v>46285.0</v>
      </c>
      <c r="B3003" s="28"/>
      <c r="C3003" s="27" t="str">
        <f t="shared" si="249"/>
        <v/>
      </c>
      <c r="D3003" s="28" t="s">
        <v>44</v>
      </c>
      <c r="E3003" s="28" t="s">
        <v>1305</v>
      </c>
      <c r="F3003" s="28" t="s">
        <v>45</v>
      </c>
      <c r="G3003" s="28" t="s">
        <v>27</v>
      </c>
      <c r="H3003" s="28" t="s">
        <v>1308</v>
      </c>
      <c r="I3003" s="37">
        <v>125.0</v>
      </c>
      <c r="J3003" s="34"/>
      <c r="K3003" s="34" t="str">
        <f t="shared" si="339"/>
        <v/>
      </c>
      <c r="L3003" s="28" t="s">
        <v>29</v>
      </c>
      <c r="M3003" s="28"/>
      <c r="N3003" s="28" t="s">
        <v>47</v>
      </c>
      <c r="O3003" s="10" t="str">
        <f t="shared" si="79"/>
        <v>09/2026</v>
      </c>
      <c r="P3003" s="10" t="str">
        <f t="shared" si="338"/>
        <v/>
      </c>
      <c r="Q3003" s="15" t="str">
        <f t="array" ref="Q3003">IFERROR(XLOOKUP(N3003,'Classificação'!A:A,'Classificação'!B:B),"")</f>
        <v>DESPESAS NÃO OPERACIONAIS</v>
      </c>
      <c r="R3003" s="15" t="str">
        <f t="array" ref="R3003">IFERROR(XLOOKUP(Q3003,'Classificação'!B:B,'Classificação'!C:C),"")</f>
        <v>RESULTADO NÃO OPERACIONAL (+/-)</v>
      </c>
      <c r="S3003" s="15">
        <f t="shared" si="228"/>
        <v>20</v>
      </c>
      <c r="T3003" s="15">
        <f t="shared" si="128"/>
        <v>9</v>
      </c>
      <c r="U3003" s="15">
        <f t="shared" si="129"/>
        <v>2026</v>
      </c>
      <c r="V3003" s="15" t="str">
        <f t="shared" si="8"/>
        <v/>
      </c>
      <c r="W3003" s="15" t="str">
        <f t="shared" si="9"/>
        <v/>
      </c>
      <c r="X3003" s="15" t="str">
        <f t="shared" si="10"/>
        <v/>
      </c>
    </row>
    <row r="3004">
      <c r="A3004" s="9">
        <v>46285.0</v>
      </c>
      <c r="B3004" s="9">
        <v>46251.0</v>
      </c>
      <c r="C3004" s="9" t="str">
        <f t="shared" si="249"/>
        <v/>
      </c>
      <c r="D3004" s="11" t="s">
        <v>1181</v>
      </c>
      <c r="E3004" s="29" t="s">
        <v>1305</v>
      </c>
      <c r="F3004" s="11" t="s">
        <v>107</v>
      </c>
      <c r="G3004" s="28" t="s">
        <v>27</v>
      </c>
      <c r="H3004" s="11" t="s">
        <v>1182</v>
      </c>
      <c r="I3004" s="12">
        <v>39.99</v>
      </c>
      <c r="J3004" s="13"/>
      <c r="K3004" s="13" t="str">
        <f>if(E3004="pago",(I3004-J3004),"")</f>
        <v/>
      </c>
      <c r="L3004" s="11" t="s">
        <v>29</v>
      </c>
      <c r="M3004" s="14"/>
      <c r="N3004" s="11" t="s">
        <v>105</v>
      </c>
      <c r="O3004" s="10" t="str">
        <f t="shared" si="79"/>
        <v>09/2026</v>
      </c>
      <c r="P3004" s="10" t="str">
        <f t="shared" ref="P3004:P3009" si="340">if(C3004="","", TEXT(C3004,"mm/yyyy"))</f>
        <v/>
      </c>
      <c r="Q3004" s="15" t="str">
        <f t="array" ref="Q3004">IFERROR(XLOOKUP(N3004,'Classificação'!A:A,'Classificação'!B:B),"")</f>
        <v>DESPESAS ADMINISTRATIVAS</v>
      </c>
      <c r="R3004" s="15" t="str">
        <f t="array" ref="R3004">IFERROR(XLOOKUP(Q3004,'Classificação'!B:B,'Classificação'!C:C),"")</f>
        <v>DESPESAS FIXAS (-)</v>
      </c>
      <c r="S3004" s="15">
        <f t="shared" si="228"/>
        <v>20</v>
      </c>
      <c r="T3004" s="15">
        <f t="shared" si="128"/>
        <v>9</v>
      </c>
      <c r="U3004" s="15">
        <f t="shared" si="129"/>
        <v>2026</v>
      </c>
      <c r="V3004" s="15" t="str">
        <f t="shared" si="8"/>
        <v/>
      </c>
      <c r="W3004" s="15" t="str">
        <f t="shared" si="9"/>
        <v/>
      </c>
      <c r="X3004" s="15" t="str">
        <f t="shared" si="10"/>
        <v/>
      </c>
    </row>
    <row r="3005">
      <c r="A3005" s="27">
        <v>46285.0</v>
      </c>
      <c r="B3005" s="28"/>
      <c r="C3005" s="27" t="str">
        <f t="shared" si="249"/>
        <v/>
      </c>
      <c r="D3005" s="28" t="s">
        <v>126</v>
      </c>
      <c r="E3005" s="28" t="s">
        <v>1305</v>
      </c>
      <c r="F3005" s="28" t="s">
        <v>40</v>
      </c>
      <c r="G3005" s="28" t="s">
        <v>27</v>
      </c>
      <c r="H3005" s="29" t="s">
        <v>1210</v>
      </c>
      <c r="I3005" s="24">
        <v>210.0</v>
      </c>
      <c r="J3005" s="34"/>
      <c r="K3005" s="34" t="str">
        <f t="shared" ref="K3005:K3006" si="341">IF(E3005="pago",(I3005-J3005),"")</f>
        <v/>
      </c>
      <c r="L3005" s="28" t="s">
        <v>29</v>
      </c>
      <c r="M3005" s="28"/>
      <c r="N3005" s="28" t="s">
        <v>126</v>
      </c>
      <c r="O3005" s="10" t="str">
        <f t="shared" si="79"/>
        <v>09/2026</v>
      </c>
      <c r="P3005" s="10" t="str">
        <f t="shared" si="340"/>
        <v/>
      </c>
      <c r="Q3005" s="15" t="str">
        <f t="array" ref="Q3005">IFERROR(XLOOKUP(N3005,'Classificação'!A:A,'Classificação'!B:B),"")</f>
        <v>DESPESAS COM PESSOAL</v>
      </c>
      <c r="R3005" s="15" t="str">
        <f t="array" ref="R3005">IFERROR(XLOOKUP(Q3005,'Classificação'!B:B,'Classificação'!C:C),"")</f>
        <v>DESPESAS FIXAS (-)</v>
      </c>
      <c r="S3005" s="15">
        <f t="shared" si="228"/>
        <v>20</v>
      </c>
      <c r="T3005" s="15">
        <f t="shared" si="128"/>
        <v>9</v>
      </c>
      <c r="U3005" s="15">
        <f t="shared" si="129"/>
        <v>2026</v>
      </c>
      <c r="V3005" s="15" t="str">
        <f t="shared" si="8"/>
        <v/>
      </c>
      <c r="W3005" s="15" t="str">
        <f t="shared" si="9"/>
        <v/>
      </c>
      <c r="X3005" s="15" t="str">
        <f t="shared" si="10"/>
        <v/>
      </c>
    </row>
    <row r="3006">
      <c r="A3006" s="27">
        <v>46285.0</v>
      </c>
      <c r="B3006" s="28"/>
      <c r="C3006" s="27" t="str">
        <f t="shared" si="249"/>
        <v/>
      </c>
      <c r="D3006" s="28" t="s">
        <v>123</v>
      </c>
      <c r="E3006" s="28" t="s">
        <v>1305</v>
      </c>
      <c r="F3006" s="28" t="s">
        <v>40</v>
      </c>
      <c r="G3006" s="28" t="s">
        <v>27</v>
      </c>
      <c r="H3006" s="29" t="s">
        <v>1180</v>
      </c>
      <c r="I3006" s="24">
        <v>217.0</v>
      </c>
      <c r="J3006" s="34"/>
      <c r="K3006" s="34" t="str">
        <f t="shared" si="341"/>
        <v/>
      </c>
      <c r="L3006" s="28" t="s">
        <v>29</v>
      </c>
      <c r="M3006" s="28"/>
      <c r="N3006" s="28" t="s">
        <v>123</v>
      </c>
      <c r="O3006" s="10" t="str">
        <f t="shared" si="79"/>
        <v>09/2026</v>
      </c>
      <c r="P3006" s="10" t="str">
        <f t="shared" si="340"/>
        <v/>
      </c>
      <c r="Q3006" s="15" t="str">
        <f t="array" ref="Q3006">IFERROR(XLOOKUP(N3006,'Classificação'!A:A,'Classificação'!B:B),"")</f>
        <v>DESPESAS COM PESSOAL</v>
      </c>
      <c r="R3006" s="15" t="str">
        <f t="array" ref="R3006">IFERROR(XLOOKUP(Q3006,'Classificação'!B:B,'Classificação'!C:C),"")</f>
        <v>DESPESAS FIXAS (-)</v>
      </c>
      <c r="S3006" s="15">
        <f t="shared" si="228"/>
        <v>20</v>
      </c>
      <c r="T3006" s="15">
        <f t="shared" si="128"/>
        <v>9</v>
      </c>
      <c r="U3006" s="15">
        <f t="shared" si="129"/>
        <v>2026</v>
      </c>
      <c r="V3006" s="15" t="str">
        <f t="shared" si="8"/>
        <v/>
      </c>
      <c r="W3006" s="15" t="str">
        <f t="shared" si="9"/>
        <v/>
      </c>
      <c r="X3006" s="15" t="str">
        <f t="shared" si="10"/>
        <v/>
      </c>
    </row>
    <row r="3007">
      <c r="A3007" s="9">
        <v>46285.0</v>
      </c>
      <c r="B3007" s="10"/>
      <c r="C3007" s="9" t="str">
        <f t="shared" si="249"/>
        <v/>
      </c>
      <c r="D3007" s="28" t="s">
        <v>369</v>
      </c>
      <c r="E3007" s="28" t="s">
        <v>1305</v>
      </c>
      <c r="F3007" s="28" t="s">
        <v>107</v>
      </c>
      <c r="G3007" s="28" t="s">
        <v>27</v>
      </c>
      <c r="H3007" s="11" t="s">
        <v>1247</v>
      </c>
      <c r="I3007" s="38">
        <v>29.9</v>
      </c>
      <c r="J3007" s="13"/>
      <c r="K3007" s="13" t="str">
        <f t="shared" ref="K3007:K3009" si="342">if(E3007="pago",(I3007-J3007),"")</f>
        <v/>
      </c>
      <c r="L3007" s="29" t="s">
        <v>29</v>
      </c>
      <c r="M3007" s="14"/>
      <c r="N3007" s="29" t="s">
        <v>105</v>
      </c>
      <c r="O3007" s="10" t="str">
        <f t="shared" si="79"/>
        <v>09/2026</v>
      </c>
      <c r="P3007" s="10" t="str">
        <f t="shared" si="340"/>
        <v/>
      </c>
      <c r="Q3007" s="15" t="str">
        <f t="array" ref="Q3007">IFERROR(XLOOKUP(N3007,'Classificação'!A:A,'Classificação'!B:B),"")</f>
        <v>DESPESAS ADMINISTRATIVAS</v>
      </c>
      <c r="R3007" s="15" t="str">
        <f t="array" ref="R3007">IFERROR(XLOOKUP(Q3007,'Classificação'!B:B,'Classificação'!C:C),"")</f>
        <v>DESPESAS FIXAS (-)</v>
      </c>
      <c r="S3007" s="15">
        <f t="shared" si="228"/>
        <v>20</v>
      </c>
      <c r="T3007" s="15">
        <f t="shared" si="128"/>
        <v>9</v>
      </c>
      <c r="U3007" s="15">
        <f t="shared" si="129"/>
        <v>2026</v>
      </c>
      <c r="V3007" s="15" t="str">
        <f t="shared" si="8"/>
        <v/>
      </c>
      <c r="W3007" s="15" t="str">
        <f t="shared" si="9"/>
        <v/>
      </c>
      <c r="X3007" s="15" t="str">
        <f t="shared" si="10"/>
        <v/>
      </c>
    </row>
    <row r="3008">
      <c r="A3008" s="9">
        <v>46285.0</v>
      </c>
      <c r="B3008" s="9">
        <v>46081.0</v>
      </c>
      <c r="C3008" s="9" t="str">
        <f t="shared" si="249"/>
        <v/>
      </c>
      <c r="D3008" s="11" t="s">
        <v>65</v>
      </c>
      <c r="E3008" s="28" t="s">
        <v>1305</v>
      </c>
      <c r="F3008" s="11" t="s">
        <v>107</v>
      </c>
      <c r="G3008" s="11" t="s">
        <v>27</v>
      </c>
      <c r="H3008" s="11" t="s">
        <v>1293</v>
      </c>
      <c r="I3008" s="31">
        <v>127.9</v>
      </c>
      <c r="J3008" s="13"/>
      <c r="K3008" s="13" t="str">
        <f t="shared" si="342"/>
        <v/>
      </c>
      <c r="L3008" s="11" t="s">
        <v>53</v>
      </c>
      <c r="M3008" s="17">
        <v>46363.0</v>
      </c>
      <c r="N3008" s="11" t="s">
        <v>95</v>
      </c>
      <c r="O3008" s="10" t="str">
        <f t="shared" si="79"/>
        <v>09/2026</v>
      </c>
      <c r="P3008" s="10" t="str">
        <f t="shared" si="340"/>
        <v/>
      </c>
      <c r="Q3008" s="15" t="str">
        <f t="array" ref="Q3008">IFERROR(XLOOKUP(N3008,'Classificação'!A:A,'Classificação'!B:B),"")</f>
        <v>DESPESAS NÃO OPERACIONAIS</v>
      </c>
      <c r="R3008" s="15" t="str">
        <f t="array" ref="R3008">IFERROR(XLOOKUP(Q3008,'Classificação'!B:B,'Classificação'!C:C),"")</f>
        <v>RESULTADO NÃO OPERACIONAL (+/-)</v>
      </c>
      <c r="S3008" s="15">
        <f t="shared" si="228"/>
        <v>20</v>
      </c>
      <c r="T3008" s="15">
        <f t="shared" si="128"/>
        <v>9</v>
      </c>
      <c r="U3008" s="15">
        <f t="shared" si="129"/>
        <v>2026</v>
      </c>
      <c r="V3008" s="15" t="str">
        <f t="shared" si="8"/>
        <v/>
      </c>
      <c r="W3008" s="15" t="str">
        <f t="shared" si="9"/>
        <v/>
      </c>
      <c r="X3008" s="15" t="str">
        <f t="shared" si="10"/>
        <v/>
      </c>
    </row>
    <row r="3009">
      <c r="A3009" s="9">
        <v>46285.0</v>
      </c>
      <c r="B3009" s="9">
        <v>46077.0</v>
      </c>
      <c r="C3009" s="9" t="str">
        <f t="shared" si="249"/>
        <v/>
      </c>
      <c r="D3009" s="11" t="s">
        <v>1294</v>
      </c>
      <c r="E3009" s="28" t="s">
        <v>1305</v>
      </c>
      <c r="F3009" s="11" t="s">
        <v>107</v>
      </c>
      <c r="G3009" s="28" t="s">
        <v>27</v>
      </c>
      <c r="H3009" s="11" t="s">
        <v>1295</v>
      </c>
      <c r="I3009" s="31">
        <v>185.2</v>
      </c>
      <c r="J3009" s="13"/>
      <c r="K3009" s="13" t="str">
        <f t="shared" si="342"/>
        <v/>
      </c>
      <c r="L3009" s="28" t="s">
        <v>53</v>
      </c>
      <c r="M3009" s="17">
        <v>46363.0</v>
      </c>
      <c r="N3009" s="11" t="s">
        <v>64</v>
      </c>
      <c r="O3009" s="10" t="str">
        <f t="shared" si="79"/>
        <v>09/2026</v>
      </c>
      <c r="P3009" s="10" t="str">
        <f t="shared" si="340"/>
        <v/>
      </c>
      <c r="Q3009" s="15" t="str">
        <f t="array" ref="Q3009">IFERROR(XLOOKUP(N3009,'Classificação'!A:A,'Classificação'!B:B),"")</f>
        <v>DESPESAS COM PESSOAL</v>
      </c>
      <c r="R3009" s="15" t="str">
        <f t="array" ref="R3009">IFERROR(XLOOKUP(Q3009,'Classificação'!B:B,'Classificação'!C:C),"")</f>
        <v>DESPESAS FIXAS (-)</v>
      </c>
      <c r="S3009" s="15">
        <f t="shared" si="228"/>
        <v>20</v>
      </c>
      <c r="T3009" s="15">
        <f t="shared" si="128"/>
        <v>9</v>
      </c>
      <c r="U3009" s="15">
        <f t="shared" si="129"/>
        <v>2026</v>
      </c>
      <c r="V3009" s="15" t="str">
        <f t="shared" si="8"/>
        <v/>
      </c>
      <c r="W3009" s="15" t="str">
        <f t="shared" si="9"/>
        <v/>
      </c>
      <c r="X3009" s="15" t="str">
        <f t="shared" si="10"/>
        <v/>
      </c>
    </row>
    <row r="3010">
      <c r="A3010" s="9">
        <v>46286.0</v>
      </c>
      <c r="B3010" s="10"/>
      <c r="C3010" s="9" t="str">
        <f t="shared" si="249"/>
        <v/>
      </c>
      <c r="D3010" s="28" t="s">
        <v>76</v>
      </c>
      <c r="E3010" s="28" t="s">
        <v>1305</v>
      </c>
      <c r="F3010" s="28" t="s">
        <v>26</v>
      </c>
      <c r="G3010" s="28" t="s">
        <v>27</v>
      </c>
      <c r="H3010" s="28" t="s">
        <v>84</v>
      </c>
      <c r="I3010" s="24">
        <v>1214.27</v>
      </c>
      <c r="J3010" s="13"/>
      <c r="K3010" s="13"/>
      <c r="L3010" s="28" t="s">
        <v>53</v>
      </c>
      <c r="M3010" s="16" t="s">
        <v>1371</v>
      </c>
      <c r="N3010" s="28" t="s">
        <v>85</v>
      </c>
      <c r="O3010" s="10" t="str">
        <f t="shared" si="79"/>
        <v>09/2026</v>
      </c>
      <c r="P3010" s="10"/>
      <c r="Q3010" s="15" t="str">
        <f t="array" ref="Q3010">IFERROR(XLOOKUP(N3010,'Classificação'!A:A,'Classificação'!B:B),"")</f>
        <v>DESPESAS NÃO OPERACIONAIS</v>
      </c>
      <c r="R3010" s="15" t="str">
        <f t="array" ref="R3010">IFERROR(XLOOKUP(Q3010,'Classificação'!B:B,'Classificação'!C:C),"")</f>
        <v>RESULTADO NÃO OPERACIONAL (+/-)</v>
      </c>
      <c r="S3010" s="15">
        <f t="shared" si="228"/>
        <v>21</v>
      </c>
      <c r="T3010" s="15">
        <f t="shared" si="128"/>
        <v>9</v>
      </c>
      <c r="U3010" s="15">
        <f t="shared" si="129"/>
        <v>2026</v>
      </c>
      <c r="V3010" s="15" t="str">
        <f t="shared" si="8"/>
        <v/>
      </c>
      <c r="W3010" s="15" t="str">
        <f t="shared" si="9"/>
        <v/>
      </c>
      <c r="X3010" s="15" t="str">
        <f t="shared" si="10"/>
        <v/>
      </c>
    </row>
    <row r="3011">
      <c r="A3011" s="26">
        <v>46287.0</v>
      </c>
      <c r="B3011" s="10"/>
      <c r="C3011" s="9" t="str">
        <f t="shared" si="249"/>
        <v/>
      </c>
      <c r="D3011" s="28" t="s">
        <v>36</v>
      </c>
      <c r="E3011" s="28" t="s">
        <v>1305</v>
      </c>
      <c r="F3011" s="28" t="s">
        <v>26</v>
      </c>
      <c r="G3011" s="28" t="s">
        <v>37</v>
      </c>
      <c r="I3011" s="37">
        <v>9000.0</v>
      </c>
      <c r="J3011" s="13"/>
      <c r="K3011" s="13" t="str">
        <f t="shared" ref="K3011:K3012" si="343">if(E3011="pago",(I3011-J3011),"")</f>
        <v/>
      </c>
      <c r="L3011" s="28" t="s">
        <v>29</v>
      </c>
      <c r="M3011" s="14"/>
      <c r="N3011" s="28" t="s">
        <v>38</v>
      </c>
      <c r="O3011" s="10" t="str">
        <f t="shared" si="79"/>
        <v>09/2026</v>
      </c>
      <c r="P3011" s="10" t="str">
        <f t="shared" ref="P3011:P3013" si="344">if(C3011="","", TEXT(C3011,"mm/yyyy"))</f>
        <v/>
      </c>
      <c r="Q3011" s="15" t="str">
        <f t="array" ref="Q3011">IFERROR(XLOOKUP(N3011,'Classificação'!A:A,'Classificação'!B:B),"")</f>
        <v>DESPESAS COM PESSOAL</v>
      </c>
      <c r="R3011" s="15" t="str">
        <f t="array" ref="R3011">IFERROR(XLOOKUP(Q3011,'Classificação'!B:B,'Classificação'!C:C),"")</f>
        <v>DESPESAS FIXAS (-)</v>
      </c>
      <c r="S3011" s="15">
        <f t="shared" si="228"/>
        <v>22</v>
      </c>
      <c r="T3011" s="15">
        <f t="shared" si="128"/>
        <v>9</v>
      </c>
      <c r="U3011" s="15">
        <f t="shared" si="129"/>
        <v>2026</v>
      </c>
      <c r="V3011" s="15" t="str">
        <f t="shared" si="8"/>
        <v/>
      </c>
      <c r="W3011" s="15" t="str">
        <f t="shared" si="9"/>
        <v/>
      </c>
      <c r="X3011" s="15" t="str">
        <f t="shared" si="10"/>
        <v/>
      </c>
    </row>
    <row r="3012">
      <c r="A3012" s="26">
        <v>46287.0</v>
      </c>
      <c r="B3012" s="10"/>
      <c r="C3012" s="9" t="str">
        <f t="shared" si="249"/>
        <v/>
      </c>
      <c r="D3012" s="28" t="s">
        <v>43</v>
      </c>
      <c r="E3012" s="28" t="s">
        <v>1305</v>
      </c>
      <c r="F3012" s="29" t="s">
        <v>26</v>
      </c>
      <c r="G3012" s="28" t="s">
        <v>37</v>
      </c>
      <c r="I3012" s="37">
        <v>9000.0</v>
      </c>
      <c r="J3012" s="13"/>
      <c r="K3012" s="13" t="str">
        <f t="shared" si="343"/>
        <v/>
      </c>
      <c r="L3012" s="28" t="s">
        <v>29</v>
      </c>
      <c r="M3012" s="14"/>
      <c r="N3012" s="28" t="s">
        <v>38</v>
      </c>
      <c r="O3012" s="10" t="str">
        <f t="shared" si="79"/>
        <v>09/2026</v>
      </c>
      <c r="P3012" s="10" t="str">
        <f t="shared" si="344"/>
        <v/>
      </c>
      <c r="Q3012" s="15" t="str">
        <f t="array" ref="Q3012">IFERROR(XLOOKUP(N3012,'Classificação'!A:A,'Classificação'!B:B),"")</f>
        <v>DESPESAS COM PESSOAL</v>
      </c>
      <c r="R3012" s="15" t="str">
        <f t="array" ref="R3012">IFERROR(XLOOKUP(Q3012,'Classificação'!B:B,'Classificação'!C:C),"")</f>
        <v>DESPESAS FIXAS (-)</v>
      </c>
      <c r="S3012" s="15">
        <f t="shared" si="228"/>
        <v>22</v>
      </c>
      <c r="T3012" s="15">
        <f t="shared" si="128"/>
        <v>9</v>
      </c>
      <c r="U3012" s="15">
        <f t="shared" si="129"/>
        <v>2026</v>
      </c>
      <c r="V3012" s="15" t="str">
        <f t="shared" si="8"/>
        <v/>
      </c>
      <c r="W3012" s="15" t="str">
        <f t="shared" si="9"/>
        <v/>
      </c>
      <c r="X3012" s="15" t="str">
        <f t="shared" si="10"/>
        <v/>
      </c>
    </row>
    <row r="3013">
      <c r="A3013" s="9">
        <v>46289.0</v>
      </c>
      <c r="B3013" s="10"/>
      <c r="C3013" s="9" t="str">
        <f t="shared" si="249"/>
        <v/>
      </c>
      <c r="D3013" s="28" t="s">
        <v>39</v>
      </c>
      <c r="E3013" s="28" t="s">
        <v>1305</v>
      </c>
      <c r="F3013" s="28" t="s">
        <v>40</v>
      </c>
      <c r="G3013" s="28" t="s">
        <v>27</v>
      </c>
      <c r="H3013" s="28" t="s">
        <v>640</v>
      </c>
      <c r="I3013" s="24">
        <v>148.07</v>
      </c>
      <c r="J3013" s="34"/>
      <c r="K3013" s="37" t="str">
        <f t="shared" ref="K3013:K3015" si="345">IF(E3013="pago",(I3013-J3013),"")</f>
        <v/>
      </c>
      <c r="L3013" s="28" t="s">
        <v>53</v>
      </c>
      <c r="M3013" s="40">
        <v>45937.0</v>
      </c>
      <c r="N3013" s="28" t="s">
        <v>355</v>
      </c>
      <c r="O3013" s="10" t="str">
        <f t="shared" si="79"/>
        <v>09/2026</v>
      </c>
      <c r="P3013" s="10" t="str">
        <f t="shared" si="344"/>
        <v/>
      </c>
      <c r="Q3013" s="15" t="str">
        <f t="array" ref="Q3013">IFERROR(XLOOKUP(N3013,'Classificação'!A:A,'Classificação'!B:B),"")</f>
        <v>IMPOSTOS E TAXAS DIVERSAS</v>
      </c>
      <c r="S3013" s="15">
        <f t="shared" si="228"/>
        <v>24</v>
      </c>
      <c r="T3013" s="15">
        <f t="shared" si="128"/>
        <v>9</v>
      </c>
      <c r="U3013" s="15">
        <f t="shared" si="129"/>
        <v>2026</v>
      </c>
      <c r="V3013" s="15" t="str">
        <f t="shared" si="8"/>
        <v/>
      </c>
      <c r="W3013" s="15" t="str">
        <f t="shared" si="9"/>
        <v/>
      </c>
      <c r="X3013" s="15" t="str">
        <f t="shared" si="10"/>
        <v/>
      </c>
    </row>
    <row r="3014">
      <c r="A3014" s="26">
        <v>46290.0</v>
      </c>
      <c r="B3014" s="28"/>
      <c r="C3014" s="27" t="str">
        <f t="shared" si="249"/>
        <v/>
      </c>
      <c r="D3014" s="28" t="s">
        <v>208</v>
      </c>
      <c r="E3014" s="28" t="s">
        <v>1305</v>
      </c>
      <c r="F3014" s="28" t="s">
        <v>40</v>
      </c>
      <c r="G3014" s="28" t="s">
        <v>27</v>
      </c>
      <c r="H3014" s="28" t="s">
        <v>209</v>
      </c>
      <c r="I3014" s="37">
        <v>204.96</v>
      </c>
      <c r="J3014" s="34"/>
      <c r="K3014" s="34" t="str">
        <f t="shared" si="345"/>
        <v/>
      </c>
      <c r="L3014" s="28" t="s">
        <v>29</v>
      </c>
      <c r="M3014" s="28"/>
      <c r="N3014" s="28" t="s">
        <v>210</v>
      </c>
      <c r="O3014" s="10" t="str">
        <f t="shared" si="79"/>
        <v>09/2026</v>
      </c>
      <c r="P3014" s="10" t="str">
        <f>if(B3014="","", TEXT(B3014,"mm/yyyy"))</f>
        <v/>
      </c>
      <c r="Q3014" s="15" t="str">
        <f t="array" ref="Q3014">IFERROR(XLOOKUP(N3014,'Classificação'!A:A,'Classificação'!B:B),"")</f>
        <v>DESPESAS COM OCUPAÇÃO</v>
      </c>
      <c r="R3014" s="15" t="str">
        <f t="array" ref="R3014">IFERROR(XLOOKUP(Q3014,'Classificação'!B:B,'Classificação'!C:C),"")</f>
        <v>DESPESAS FIXAS (-)</v>
      </c>
      <c r="S3014" s="15">
        <f t="shared" si="228"/>
        <v>25</v>
      </c>
      <c r="T3014" s="15">
        <f t="shared" si="128"/>
        <v>9</v>
      </c>
      <c r="U3014" s="15">
        <f t="shared" si="129"/>
        <v>2026</v>
      </c>
      <c r="V3014" s="15" t="str">
        <f t="shared" si="8"/>
        <v/>
      </c>
      <c r="W3014" s="15" t="str">
        <f t="shared" si="9"/>
        <v/>
      </c>
      <c r="X3014" s="15" t="str">
        <f t="shared" si="10"/>
        <v/>
      </c>
    </row>
    <row r="3015">
      <c r="A3015" s="26">
        <v>46290.0</v>
      </c>
      <c r="B3015" s="28"/>
      <c r="C3015" s="27" t="str">
        <f t="shared" si="249"/>
        <v/>
      </c>
      <c r="D3015" s="28" t="s">
        <v>828</v>
      </c>
      <c r="E3015" s="29" t="s">
        <v>1305</v>
      </c>
      <c r="F3015" s="28" t="s">
        <v>26</v>
      </c>
      <c r="G3015" s="28" t="s">
        <v>37</v>
      </c>
      <c r="H3015" s="28" t="s">
        <v>1220</v>
      </c>
      <c r="I3015" s="33">
        <v>107.81</v>
      </c>
      <c r="J3015" s="34"/>
      <c r="K3015" s="37" t="str">
        <f t="shared" si="345"/>
        <v/>
      </c>
      <c r="L3015" s="28" t="s">
        <v>34</v>
      </c>
      <c r="M3015" s="28"/>
      <c r="N3015" s="28" t="s">
        <v>105</v>
      </c>
      <c r="O3015" s="10" t="str">
        <f t="shared" si="79"/>
        <v>09/2026</v>
      </c>
      <c r="P3015" s="10" t="str">
        <f t="shared" ref="P3015:P3016" si="346">if(C3015="","", TEXT(C3015,"mm/yyyy"))</f>
        <v/>
      </c>
      <c r="Q3015" s="15" t="str">
        <f t="array" ref="Q3015">IFERROR(XLOOKUP(N3015,'Classificação'!A:A,'Classificação'!B:B),"")</f>
        <v>DESPESAS ADMINISTRATIVAS</v>
      </c>
      <c r="R3015" s="15" t="str">
        <f t="array" ref="R3015">IFERROR(XLOOKUP(Q3015,'Classificação'!B:B,'Classificação'!C:C),"")</f>
        <v>DESPESAS FIXAS (-)</v>
      </c>
      <c r="S3015" s="15">
        <f t="shared" si="228"/>
        <v>25</v>
      </c>
      <c r="T3015" s="15">
        <f t="shared" si="128"/>
        <v>9</v>
      </c>
      <c r="U3015" s="15">
        <f t="shared" si="129"/>
        <v>2026</v>
      </c>
      <c r="V3015" s="15" t="str">
        <f t="shared" si="8"/>
        <v/>
      </c>
      <c r="W3015" s="15" t="str">
        <f t="shared" si="9"/>
        <v/>
      </c>
      <c r="X3015" s="15" t="str">
        <f t="shared" si="10"/>
        <v/>
      </c>
    </row>
    <row r="3016">
      <c r="A3016" s="9">
        <v>46291.0</v>
      </c>
      <c r="B3016" s="10"/>
      <c r="C3016" s="9" t="str">
        <f t="shared" si="249"/>
        <v/>
      </c>
      <c r="D3016" s="28" t="s">
        <v>44</v>
      </c>
      <c r="E3016" s="28" t="s">
        <v>1305</v>
      </c>
      <c r="F3016" s="28" t="s">
        <v>45</v>
      </c>
      <c r="G3016" s="28" t="s">
        <v>27</v>
      </c>
      <c r="H3016" s="29" t="s">
        <v>1329</v>
      </c>
      <c r="I3016" s="37">
        <v>2431.7811</v>
      </c>
      <c r="J3016" s="34"/>
      <c r="K3016" s="37"/>
      <c r="L3016" s="28" t="s">
        <v>53</v>
      </c>
      <c r="M3016" s="16" t="s">
        <v>1377</v>
      </c>
      <c r="N3016" s="28" t="s">
        <v>73</v>
      </c>
      <c r="O3016" s="10" t="str">
        <f t="shared" si="79"/>
        <v>09/2026</v>
      </c>
      <c r="P3016" s="10" t="str">
        <f t="shared" si="346"/>
        <v/>
      </c>
      <c r="Q3016" s="15" t="str">
        <f t="array" ref="Q3016">IFERROR(XLOOKUP(N3016,'Classificação'!A:A,'Classificação'!B:B),"")</f>
        <v>DESPESAS NÃO OPERACIONAIS</v>
      </c>
      <c r="R3016" s="15" t="str">
        <f t="array" ref="R3016">IFERROR(XLOOKUP(Q3016,'Classificação'!B:B,'Classificação'!C:C),"")</f>
        <v>RESULTADO NÃO OPERACIONAL (+/-)</v>
      </c>
      <c r="S3016" s="15">
        <f t="shared" si="228"/>
        <v>26</v>
      </c>
      <c r="T3016" s="15">
        <f t="shared" si="128"/>
        <v>9</v>
      </c>
      <c r="U3016" s="15">
        <f t="shared" si="129"/>
        <v>2026</v>
      </c>
      <c r="V3016" s="15" t="str">
        <f t="shared" si="8"/>
        <v/>
      </c>
      <c r="W3016" s="15" t="str">
        <f t="shared" si="9"/>
        <v/>
      </c>
      <c r="X3016" s="15" t="str">
        <f t="shared" si="10"/>
        <v/>
      </c>
    </row>
    <row r="3017">
      <c r="A3017" s="26">
        <v>46295.0</v>
      </c>
      <c r="B3017" s="28"/>
      <c r="C3017" s="27" t="str">
        <f t="shared" si="249"/>
        <v/>
      </c>
      <c r="D3017" s="28" t="s">
        <v>221</v>
      </c>
      <c r="E3017" s="28" t="s">
        <v>1305</v>
      </c>
      <c r="F3017" s="28" t="s">
        <v>32</v>
      </c>
      <c r="G3017" s="28" t="s">
        <v>27</v>
      </c>
      <c r="H3017" s="28" t="s">
        <v>222</v>
      </c>
      <c r="I3017" s="24">
        <v>406.0</v>
      </c>
      <c r="J3017" s="34"/>
      <c r="K3017" s="34" t="str">
        <f t="shared" ref="K3017:K3022" si="347">IF(E3017="pago",(I3017-J3017),"")</f>
        <v/>
      </c>
      <c r="L3017" s="28" t="s">
        <v>29</v>
      </c>
      <c r="M3017" s="14"/>
      <c r="N3017" s="11" t="s">
        <v>61</v>
      </c>
      <c r="O3017" s="10" t="str">
        <f t="shared" si="79"/>
        <v>09/2026</v>
      </c>
      <c r="P3017" s="10" t="str">
        <f>if(B3017="","", TEXT(B3017,"mm/yyyy"))</f>
        <v/>
      </c>
      <c r="Q3017" s="15" t="str">
        <f t="array" ref="Q3017">IFERROR(XLOOKUP(N3017,'Classificação'!A:A,'Classificação'!B:B),"")</f>
        <v>DESPESAS ADMINISTRATIVAS</v>
      </c>
      <c r="R3017" s="15" t="str">
        <f t="array" ref="R3017">IFERROR(XLOOKUP(Q3017,'Classificação'!B:B,'Classificação'!C:C),"")</f>
        <v>DESPESAS FIXAS (-)</v>
      </c>
      <c r="S3017" s="15">
        <f t="shared" si="228"/>
        <v>30</v>
      </c>
      <c r="T3017" s="15">
        <f t="shared" si="128"/>
        <v>9</v>
      </c>
      <c r="U3017" s="15">
        <f t="shared" si="129"/>
        <v>2026</v>
      </c>
      <c r="V3017" s="15" t="str">
        <f t="shared" si="8"/>
        <v/>
      </c>
      <c r="W3017" s="15" t="str">
        <f t="shared" si="9"/>
        <v/>
      </c>
      <c r="X3017" s="15" t="str">
        <f t="shared" si="10"/>
        <v/>
      </c>
    </row>
    <row r="3018">
      <c r="A3018" s="26">
        <v>46295.0</v>
      </c>
      <c r="B3018" s="30"/>
      <c r="C3018" s="27" t="str">
        <f t="shared" si="249"/>
        <v/>
      </c>
      <c r="D3018" s="28" t="s">
        <v>80</v>
      </c>
      <c r="E3018" s="28" t="s">
        <v>1305</v>
      </c>
      <c r="F3018" s="28" t="s">
        <v>32</v>
      </c>
      <c r="G3018" s="28" t="s">
        <v>27</v>
      </c>
      <c r="H3018" s="29" t="s">
        <v>1150</v>
      </c>
      <c r="I3018" s="37">
        <v>1040.0</v>
      </c>
      <c r="J3018" s="34"/>
      <c r="K3018" s="34" t="str">
        <f t="shared" si="347"/>
        <v/>
      </c>
      <c r="L3018" s="28" t="s">
        <v>29</v>
      </c>
      <c r="M3018" s="28"/>
      <c r="N3018" s="28" t="s">
        <v>38</v>
      </c>
      <c r="O3018" s="10" t="str">
        <f t="shared" si="79"/>
        <v>09/2026</v>
      </c>
      <c r="P3018" s="10" t="str">
        <f t="shared" ref="P3018:P3019" si="348">if(C3018="","", TEXT(C3018,"mm/yyyy"))</f>
        <v/>
      </c>
      <c r="Q3018" s="15" t="str">
        <f t="array" ref="Q3018">IFERROR(XLOOKUP(N3018,'Classificação'!A:A,'Classificação'!B:B),"")</f>
        <v>DESPESAS COM PESSOAL</v>
      </c>
      <c r="R3018" s="15" t="str">
        <f t="array" ref="R3018">IFERROR(XLOOKUP(Q3018,'Classificação'!B:B,'Classificação'!C:C),"")</f>
        <v>DESPESAS FIXAS (-)</v>
      </c>
      <c r="S3018" s="15">
        <f t="shared" si="228"/>
        <v>30</v>
      </c>
      <c r="T3018" s="15">
        <f t="shared" si="128"/>
        <v>9</v>
      </c>
      <c r="U3018" s="15">
        <f t="shared" si="129"/>
        <v>2026</v>
      </c>
      <c r="V3018" s="15" t="str">
        <f t="shared" si="8"/>
        <v/>
      </c>
      <c r="W3018" s="15" t="str">
        <f t="shared" si="9"/>
        <v/>
      </c>
      <c r="X3018" s="15" t="str">
        <f t="shared" si="10"/>
        <v/>
      </c>
    </row>
    <row r="3019">
      <c r="A3019" s="26">
        <v>46295.0</v>
      </c>
      <c r="B3019" s="30"/>
      <c r="C3019" s="27" t="str">
        <f t="shared" si="249"/>
        <v/>
      </c>
      <c r="D3019" s="28" t="s">
        <v>80</v>
      </c>
      <c r="E3019" s="28" t="s">
        <v>1305</v>
      </c>
      <c r="F3019" s="28" t="s">
        <v>40</v>
      </c>
      <c r="G3019" s="28" t="s">
        <v>27</v>
      </c>
      <c r="H3019" s="29" t="s">
        <v>1100</v>
      </c>
      <c r="I3019" s="37">
        <v>550.0</v>
      </c>
      <c r="J3019" s="34"/>
      <c r="K3019" s="34" t="str">
        <f t="shared" si="347"/>
        <v/>
      </c>
      <c r="L3019" s="28" t="s">
        <v>29</v>
      </c>
      <c r="M3019" s="28"/>
      <c r="N3019" s="28" t="s">
        <v>204</v>
      </c>
      <c r="O3019" s="10" t="str">
        <f t="shared" si="79"/>
        <v>09/2026</v>
      </c>
      <c r="P3019" s="10" t="str">
        <f t="shared" si="348"/>
        <v/>
      </c>
      <c r="Q3019" s="15" t="str">
        <f t="array" ref="Q3019">IFERROR(XLOOKUP(N3019,'Classificação'!A:A,'Classificação'!B:B),"")</f>
        <v>DESPESAS COM PESSOAL</v>
      </c>
      <c r="R3019" s="15" t="str">
        <f t="array" ref="R3019">IFERROR(XLOOKUP(Q3019,'Classificação'!B:B,'Classificação'!C:C),"")</f>
        <v>DESPESAS FIXAS (-)</v>
      </c>
      <c r="S3019" s="15">
        <f t="shared" si="228"/>
        <v>30</v>
      </c>
      <c r="T3019" s="15">
        <f t="shared" si="128"/>
        <v>9</v>
      </c>
      <c r="U3019" s="15">
        <f t="shared" si="129"/>
        <v>2026</v>
      </c>
      <c r="V3019" s="15" t="str">
        <f t="shared" si="8"/>
        <v/>
      </c>
      <c r="W3019" s="15" t="str">
        <f t="shared" si="9"/>
        <v/>
      </c>
      <c r="X3019" s="15" t="str">
        <f t="shared" si="10"/>
        <v/>
      </c>
    </row>
    <row r="3020">
      <c r="A3020" s="26">
        <v>46295.0</v>
      </c>
      <c r="B3020" s="28"/>
      <c r="C3020" s="27" t="str">
        <f t="shared" si="249"/>
        <v/>
      </c>
      <c r="D3020" s="28" t="s">
        <v>223</v>
      </c>
      <c r="E3020" s="28" t="s">
        <v>1305</v>
      </c>
      <c r="F3020" s="28" t="s">
        <v>32</v>
      </c>
      <c r="G3020" s="28" t="s">
        <v>27</v>
      </c>
      <c r="H3020" s="29" t="s">
        <v>1231</v>
      </c>
      <c r="I3020" s="37">
        <v>100.0</v>
      </c>
      <c r="J3020" s="34"/>
      <c r="K3020" s="34" t="str">
        <f t="shared" si="347"/>
        <v/>
      </c>
      <c r="L3020" s="28" t="s">
        <v>29</v>
      </c>
      <c r="M3020" s="28"/>
      <c r="N3020" s="28" t="s">
        <v>224</v>
      </c>
      <c r="O3020" s="10" t="str">
        <f t="shared" si="79"/>
        <v>09/2026</v>
      </c>
      <c r="P3020" s="10" t="str">
        <f>if(B3020="","", TEXT(B3020,"mm/yyyy"))</f>
        <v/>
      </c>
      <c r="Q3020" s="15" t="str">
        <f t="array" ref="Q3020">IFERROR(XLOOKUP(N3020,'Classificação'!A:A,'Classificação'!B:B),"")</f>
        <v>DESPESAS ADMINISTRATIVAS</v>
      </c>
      <c r="R3020" s="15" t="str">
        <f t="array" ref="R3020">IFERROR(XLOOKUP(Q3020,'Classificação'!B:B,'Classificação'!C:C),"")</f>
        <v>DESPESAS FIXAS (-)</v>
      </c>
      <c r="S3020" s="15">
        <f t="shared" si="228"/>
        <v>30</v>
      </c>
      <c r="T3020" s="15">
        <f t="shared" si="128"/>
        <v>9</v>
      </c>
      <c r="U3020" s="15">
        <f t="shared" si="129"/>
        <v>2026</v>
      </c>
      <c r="V3020" s="15" t="str">
        <f t="shared" si="8"/>
        <v/>
      </c>
      <c r="W3020" s="15" t="str">
        <f t="shared" si="9"/>
        <v/>
      </c>
      <c r="X3020" s="15" t="str">
        <f t="shared" si="10"/>
        <v/>
      </c>
    </row>
    <row r="3021">
      <c r="A3021" s="26">
        <v>46295.0</v>
      </c>
      <c r="B3021" s="28"/>
      <c r="C3021" s="27" t="str">
        <f t="shared" si="249"/>
        <v/>
      </c>
      <c r="D3021" s="29" t="s">
        <v>1094</v>
      </c>
      <c r="E3021" s="28" t="s">
        <v>1305</v>
      </c>
      <c r="F3021" s="29" t="s">
        <v>26</v>
      </c>
      <c r="G3021" s="29" t="s">
        <v>37</v>
      </c>
      <c r="H3021" s="29" t="s">
        <v>1312</v>
      </c>
      <c r="I3021" s="24">
        <v>2380.0</v>
      </c>
      <c r="J3021" s="34"/>
      <c r="K3021" s="34" t="str">
        <f t="shared" si="347"/>
        <v/>
      </c>
      <c r="L3021" s="28" t="s">
        <v>29</v>
      </c>
      <c r="M3021" s="28"/>
      <c r="N3021" s="28" t="s">
        <v>38</v>
      </c>
      <c r="O3021" s="10" t="str">
        <f t="shared" si="79"/>
        <v>09/2026</v>
      </c>
      <c r="P3021" s="10" t="str">
        <f t="shared" ref="P3021:P3027" si="349">if(C3021="","", TEXT(C3021,"mm/yyyy"))</f>
        <v/>
      </c>
      <c r="Q3021" s="15" t="str">
        <f t="array" ref="Q3021">IFERROR(XLOOKUP(N3021,'Classificação'!A:A,'Classificação'!B:B),"")</f>
        <v>DESPESAS COM PESSOAL</v>
      </c>
      <c r="R3021" s="15" t="str">
        <f t="array" ref="R3021">IFERROR(XLOOKUP(Q3021,'Classificação'!B:B,'Classificação'!C:C),"")</f>
        <v>DESPESAS FIXAS (-)</v>
      </c>
      <c r="S3021" s="15">
        <f t="shared" si="228"/>
        <v>30</v>
      </c>
      <c r="T3021" s="15">
        <f t="shared" si="128"/>
        <v>9</v>
      </c>
      <c r="U3021" s="15">
        <f t="shared" si="129"/>
        <v>2026</v>
      </c>
      <c r="V3021" s="15" t="str">
        <f t="shared" si="8"/>
        <v/>
      </c>
      <c r="W3021" s="15" t="str">
        <f t="shared" si="9"/>
        <v/>
      </c>
      <c r="X3021" s="15" t="str">
        <f t="shared" si="10"/>
        <v/>
      </c>
    </row>
    <row r="3022">
      <c r="A3022" s="26">
        <v>46295.0</v>
      </c>
      <c r="B3022" s="28"/>
      <c r="C3022" s="27" t="str">
        <f t="shared" si="249"/>
        <v/>
      </c>
      <c r="D3022" s="29" t="s">
        <v>1094</v>
      </c>
      <c r="E3022" s="28" t="s">
        <v>1305</v>
      </c>
      <c r="F3022" s="28" t="s">
        <v>40</v>
      </c>
      <c r="G3022" s="29" t="s">
        <v>37</v>
      </c>
      <c r="H3022" s="28" t="s">
        <v>1100</v>
      </c>
      <c r="I3022" s="37">
        <v>550.0</v>
      </c>
      <c r="J3022" s="34"/>
      <c r="K3022" s="34" t="str">
        <f t="shared" si="347"/>
        <v/>
      </c>
      <c r="L3022" s="28" t="s">
        <v>29</v>
      </c>
      <c r="M3022" s="28"/>
      <c r="N3022" s="28" t="s">
        <v>204</v>
      </c>
      <c r="O3022" s="10" t="str">
        <f t="shared" si="79"/>
        <v>09/2026</v>
      </c>
      <c r="P3022" s="10" t="str">
        <f t="shared" si="349"/>
        <v/>
      </c>
      <c r="Q3022" s="15" t="str">
        <f t="array" ref="Q3022">IFERROR(XLOOKUP(N3022,'Classificação'!A:A,'Classificação'!B:B),"")</f>
        <v>DESPESAS COM PESSOAL</v>
      </c>
      <c r="R3022" s="15" t="str">
        <f t="array" ref="R3022">IFERROR(XLOOKUP(Q3022,'Classificação'!B:B,'Classificação'!C:C),"")</f>
        <v>DESPESAS FIXAS (-)</v>
      </c>
      <c r="S3022" s="15">
        <f t="shared" si="228"/>
        <v>30</v>
      </c>
      <c r="T3022" s="15">
        <f t="shared" si="128"/>
        <v>9</v>
      </c>
      <c r="U3022" s="15">
        <f t="shared" si="129"/>
        <v>2026</v>
      </c>
      <c r="V3022" s="15" t="str">
        <f t="shared" si="8"/>
        <v/>
      </c>
      <c r="W3022" s="15" t="str">
        <f t="shared" si="9"/>
        <v/>
      </c>
      <c r="X3022" s="15" t="str">
        <f t="shared" si="10"/>
        <v/>
      </c>
    </row>
    <row r="3023">
      <c r="A3023" s="9">
        <v>46295.0</v>
      </c>
      <c r="B3023" s="10"/>
      <c r="C3023" s="9" t="str">
        <f t="shared" si="249"/>
        <v/>
      </c>
      <c r="D3023" s="11" t="s">
        <v>1229</v>
      </c>
      <c r="E3023" s="28" t="s">
        <v>1305</v>
      </c>
      <c r="F3023" s="11" t="s">
        <v>26</v>
      </c>
      <c r="G3023" s="11" t="s">
        <v>37</v>
      </c>
      <c r="H3023" s="11" t="s">
        <v>1230</v>
      </c>
      <c r="I3023" s="31">
        <v>1260.0</v>
      </c>
      <c r="J3023" s="13"/>
      <c r="K3023" s="13" t="str">
        <f>if(E3023="pago",(I3023-J3023),"")</f>
        <v/>
      </c>
      <c r="L3023" s="11" t="s">
        <v>29</v>
      </c>
      <c r="M3023" s="14"/>
      <c r="N3023" s="11" t="s">
        <v>58</v>
      </c>
      <c r="O3023" s="10" t="str">
        <f t="shared" si="79"/>
        <v>09/2026</v>
      </c>
      <c r="P3023" s="10" t="str">
        <f t="shared" si="349"/>
        <v/>
      </c>
      <c r="Q3023" s="15" t="str">
        <f t="array" ref="Q3023">IFERROR(XLOOKUP(N3023,'Classificação'!A:A,'Classificação'!B:B),"")</f>
        <v>DESPESAS ADMINISTRATIVAS</v>
      </c>
      <c r="R3023" s="15" t="str">
        <f t="array" ref="R3023">IFERROR(XLOOKUP(Q3023,'Classificação'!B:B,'Classificação'!C:C),"")</f>
        <v>DESPESAS FIXAS (-)</v>
      </c>
      <c r="S3023" s="15">
        <f t="shared" si="228"/>
        <v>30</v>
      </c>
      <c r="T3023" s="15">
        <f t="shared" si="128"/>
        <v>9</v>
      </c>
      <c r="U3023" s="15">
        <f t="shared" si="129"/>
        <v>2026</v>
      </c>
      <c r="V3023" s="15" t="str">
        <f t="shared" si="8"/>
        <v/>
      </c>
      <c r="W3023" s="15" t="str">
        <f t="shared" si="9"/>
        <v/>
      </c>
      <c r="X3023" s="15" t="str">
        <f t="shared" si="10"/>
        <v/>
      </c>
    </row>
    <row r="3024">
      <c r="A3024" s="9">
        <v>46296.0</v>
      </c>
      <c r="B3024" s="10"/>
      <c r="C3024" s="9" t="str">
        <f t="shared" si="249"/>
        <v/>
      </c>
      <c r="D3024" s="28" t="s">
        <v>24</v>
      </c>
      <c r="E3024" s="28" t="s">
        <v>1305</v>
      </c>
      <c r="F3024" s="28" t="s">
        <v>26</v>
      </c>
      <c r="G3024" s="28" t="s">
        <v>27</v>
      </c>
      <c r="H3024" s="54" t="s">
        <v>1378</v>
      </c>
      <c r="I3024" s="24">
        <v>6656.0</v>
      </c>
      <c r="J3024" s="34"/>
      <c r="K3024" s="34" t="str">
        <f>IF(E3024="pago",(I3024-J3024),"")</f>
        <v/>
      </c>
      <c r="L3024" s="28" t="s">
        <v>29</v>
      </c>
      <c r="M3024" s="28"/>
      <c r="N3024" s="28" t="s">
        <v>30</v>
      </c>
      <c r="O3024" s="10" t="str">
        <f t="shared" si="79"/>
        <v>10/2026</v>
      </c>
      <c r="P3024" s="10" t="str">
        <f t="shared" si="349"/>
        <v/>
      </c>
      <c r="Q3024" s="15" t="str">
        <f t="array" ref="Q3024">IFERROR(XLOOKUP(N3024,'Classificação'!A:A,'Classificação'!B:B),"")</f>
        <v>DESPESAS COM OCUPAÇÃO</v>
      </c>
      <c r="R3024" s="15" t="str">
        <f t="array" ref="R3024">IFERROR(XLOOKUP(Q3024,'Classificação'!B:B,'Classificação'!C:C),"")</f>
        <v>DESPESAS FIXAS (-)</v>
      </c>
      <c r="S3024" s="15">
        <f t="shared" si="228"/>
        <v>1</v>
      </c>
      <c r="T3024" s="15">
        <f t="shared" si="128"/>
        <v>10</v>
      </c>
      <c r="U3024" s="15">
        <f t="shared" si="129"/>
        <v>2026</v>
      </c>
      <c r="V3024" s="15" t="str">
        <f t="shared" si="8"/>
        <v/>
      </c>
      <c r="W3024" s="15" t="str">
        <f t="shared" si="9"/>
        <v/>
      </c>
      <c r="X3024" s="15" t="str">
        <f t="shared" si="10"/>
        <v/>
      </c>
    </row>
    <row r="3025">
      <c r="A3025" s="9">
        <v>46296.0</v>
      </c>
      <c r="B3025" s="10"/>
      <c r="C3025" s="9" t="str">
        <f t="shared" si="249"/>
        <v/>
      </c>
      <c r="D3025" s="28" t="s">
        <v>288</v>
      </c>
      <c r="E3025" s="28" t="s">
        <v>1305</v>
      </c>
      <c r="F3025" s="28" t="s">
        <v>26</v>
      </c>
      <c r="G3025" s="28" t="s">
        <v>27</v>
      </c>
      <c r="H3025" s="54" t="s">
        <v>1379</v>
      </c>
      <c r="I3025" s="24">
        <v>248.18</v>
      </c>
      <c r="J3025" s="34"/>
      <c r="K3025" s="13" t="str">
        <f>if(E3025="pago",(I3025-J3025),"")</f>
        <v/>
      </c>
      <c r="L3025" s="28" t="s">
        <v>29</v>
      </c>
      <c r="M3025" s="28"/>
      <c r="N3025" s="28" t="s">
        <v>105</v>
      </c>
      <c r="O3025" s="10" t="str">
        <f t="shared" si="79"/>
        <v>10/2026</v>
      </c>
      <c r="P3025" s="10" t="str">
        <f t="shared" si="349"/>
        <v/>
      </c>
      <c r="Q3025" s="15" t="str">
        <f t="array" ref="Q3025">IFERROR(XLOOKUP(N3025,'Classificação'!A:A,'Classificação'!B:B),"")</f>
        <v>DESPESAS ADMINISTRATIVAS</v>
      </c>
      <c r="R3025" s="15" t="str">
        <f t="array" ref="R3025">IFERROR(XLOOKUP(Q3025,'Classificação'!B:B,'Classificação'!C:C),"")</f>
        <v>DESPESAS FIXAS (-)</v>
      </c>
      <c r="S3025" s="15">
        <f t="shared" si="228"/>
        <v>1</v>
      </c>
      <c r="T3025" s="15">
        <f t="shared" si="128"/>
        <v>10</v>
      </c>
      <c r="U3025" s="15">
        <f t="shared" si="129"/>
        <v>2026</v>
      </c>
      <c r="V3025" s="15" t="str">
        <f t="shared" si="8"/>
        <v/>
      </c>
      <c r="W3025" s="15" t="str">
        <f t="shared" si="9"/>
        <v/>
      </c>
      <c r="X3025" s="15" t="str">
        <f t="shared" si="10"/>
        <v/>
      </c>
    </row>
    <row r="3026">
      <c r="A3026" s="26">
        <v>46296.0</v>
      </c>
      <c r="B3026" s="30"/>
      <c r="C3026" s="27" t="str">
        <f t="shared" si="249"/>
        <v/>
      </c>
      <c r="D3026" s="28" t="s">
        <v>322</v>
      </c>
      <c r="E3026" s="28" t="s">
        <v>1305</v>
      </c>
      <c r="F3026" s="28" t="s">
        <v>40</v>
      </c>
      <c r="G3026" s="28" t="s">
        <v>37</v>
      </c>
      <c r="H3026" s="54" t="s">
        <v>1380</v>
      </c>
      <c r="I3026" s="37">
        <v>46.2</v>
      </c>
      <c r="J3026" s="34"/>
      <c r="K3026" s="34" t="str">
        <f>IF(E3026="pago",(I3026-J3026),"")</f>
        <v/>
      </c>
      <c r="L3026" s="28" t="s">
        <v>29</v>
      </c>
      <c r="M3026" s="28"/>
      <c r="N3026" s="28" t="s">
        <v>105</v>
      </c>
      <c r="O3026" s="10" t="str">
        <f t="shared" si="79"/>
        <v>10/2026</v>
      </c>
      <c r="P3026" s="10" t="str">
        <f t="shared" si="349"/>
        <v/>
      </c>
      <c r="Q3026" s="15" t="str">
        <f t="array" ref="Q3026">IFERROR(XLOOKUP(N3026,'Classificação'!A:A,'Classificação'!B:B),"")</f>
        <v>DESPESAS ADMINISTRATIVAS</v>
      </c>
      <c r="R3026" s="15" t="str">
        <f t="array" ref="R3026">IFERROR(XLOOKUP(Q3026,'Classificação'!B:B,'Classificação'!C:C),"")</f>
        <v>DESPESAS FIXAS (-)</v>
      </c>
      <c r="S3026" s="15">
        <f t="shared" si="228"/>
        <v>1</v>
      </c>
      <c r="T3026" s="15">
        <f t="shared" si="128"/>
        <v>10</v>
      </c>
      <c r="U3026" s="15">
        <f t="shared" si="129"/>
        <v>2026</v>
      </c>
      <c r="V3026" s="15" t="str">
        <f t="shared" si="8"/>
        <v/>
      </c>
      <c r="W3026" s="15" t="str">
        <f t="shared" si="9"/>
        <v/>
      </c>
      <c r="X3026" s="15" t="str">
        <f t="shared" si="10"/>
        <v/>
      </c>
    </row>
    <row r="3027">
      <c r="A3027" s="9">
        <v>46298.0</v>
      </c>
      <c r="B3027" s="10"/>
      <c r="C3027" s="9" t="str">
        <f t="shared" si="249"/>
        <v/>
      </c>
      <c r="D3027" s="11" t="s">
        <v>44</v>
      </c>
      <c r="E3027" s="11" t="s">
        <v>1305</v>
      </c>
      <c r="F3027" s="11" t="s">
        <v>45</v>
      </c>
      <c r="G3027" s="11" t="s">
        <v>27</v>
      </c>
      <c r="H3027" s="11" t="s">
        <v>651</v>
      </c>
      <c r="I3027" s="13">
        <v>2717.79555</v>
      </c>
      <c r="J3027" s="13"/>
      <c r="K3027" s="13" t="str">
        <f t="shared" ref="K3027:K3031" si="350">if(E3027="pago",(I3027-J3027),"")</f>
        <v/>
      </c>
      <c r="L3027" s="11" t="s">
        <v>53</v>
      </c>
      <c r="M3027" s="16" t="s">
        <v>1381</v>
      </c>
      <c r="N3027" s="11" t="s">
        <v>73</v>
      </c>
      <c r="O3027" s="10" t="str">
        <f t="shared" si="79"/>
        <v>10/2026</v>
      </c>
      <c r="P3027" s="10" t="str">
        <f t="shared" si="349"/>
        <v/>
      </c>
      <c r="Q3027" s="15" t="str">
        <f t="array" ref="Q3027">IFERROR(XLOOKUP(N3027,'Classificação'!A:A,'Classificação'!B:B),"")</f>
        <v>DESPESAS NÃO OPERACIONAIS</v>
      </c>
      <c r="R3027" s="15" t="str">
        <f t="array" ref="R3027">IFERROR(XLOOKUP(Q3027,'Classificação'!B:B,'Classificação'!C:C),"")</f>
        <v>RESULTADO NÃO OPERACIONAL (+/-)</v>
      </c>
      <c r="S3027" s="15">
        <f t="shared" si="228"/>
        <v>3</v>
      </c>
      <c r="T3027" s="15">
        <f t="shared" si="128"/>
        <v>10</v>
      </c>
      <c r="U3027" s="15">
        <f t="shared" si="129"/>
        <v>2026</v>
      </c>
      <c r="V3027" s="15" t="str">
        <f t="shared" si="8"/>
        <v/>
      </c>
      <c r="W3027" s="15" t="str">
        <f t="shared" si="9"/>
        <v/>
      </c>
      <c r="X3027" s="15" t="str">
        <f t="shared" si="10"/>
        <v/>
      </c>
    </row>
    <row r="3028">
      <c r="A3028" s="26">
        <v>46300.0</v>
      </c>
      <c r="B3028" s="30"/>
      <c r="C3028" s="27" t="str">
        <f t="shared" si="249"/>
        <v/>
      </c>
      <c r="D3028" s="28" t="s">
        <v>76</v>
      </c>
      <c r="E3028" s="28" t="s">
        <v>1305</v>
      </c>
      <c r="F3028" s="28" t="s">
        <v>26</v>
      </c>
      <c r="G3028" s="28" t="s">
        <v>27</v>
      </c>
      <c r="H3028" s="28" t="s">
        <v>84</v>
      </c>
      <c r="I3028" s="37">
        <v>1214.27</v>
      </c>
      <c r="J3028" s="34"/>
      <c r="K3028" s="13" t="str">
        <f t="shared" si="350"/>
        <v/>
      </c>
      <c r="L3028" s="28" t="s">
        <v>53</v>
      </c>
      <c r="M3028" s="28" t="s">
        <v>1371</v>
      </c>
      <c r="N3028" s="28" t="s">
        <v>85</v>
      </c>
      <c r="O3028" s="10" t="str">
        <f t="shared" si="79"/>
        <v>10/2026</v>
      </c>
      <c r="P3028" s="10"/>
      <c r="Q3028" s="15" t="str">
        <f t="array" ref="Q3028">IFERROR(XLOOKUP(N3028,'Classificação'!A:A,'Classificação'!B:B),"")</f>
        <v>DESPESAS NÃO OPERACIONAIS</v>
      </c>
      <c r="R3028" s="15" t="str">
        <f t="array" ref="R3028">IFERROR(XLOOKUP(Q3028,'Classificação'!B:B,'Classificação'!C:C),"")</f>
        <v>RESULTADO NÃO OPERACIONAL (+/-)</v>
      </c>
      <c r="S3028" s="15">
        <f t="shared" si="228"/>
        <v>5</v>
      </c>
      <c r="T3028" s="15">
        <f t="shared" si="128"/>
        <v>10</v>
      </c>
      <c r="U3028" s="15">
        <f t="shared" si="129"/>
        <v>2026</v>
      </c>
      <c r="V3028" s="15" t="str">
        <f t="shared" si="8"/>
        <v/>
      </c>
      <c r="W3028" s="15" t="str">
        <f t="shared" si="9"/>
        <v/>
      </c>
      <c r="X3028" s="15" t="str">
        <f t="shared" si="10"/>
        <v/>
      </c>
    </row>
    <row r="3029">
      <c r="A3029" s="26">
        <v>46300.0</v>
      </c>
      <c r="B3029" s="10"/>
      <c r="C3029" s="9" t="str">
        <f t="shared" si="249"/>
        <v/>
      </c>
      <c r="D3029" s="28" t="s">
        <v>36</v>
      </c>
      <c r="E3029" s="28" t="s">
        <v>1305</v>
      </c>
      <c r="F3029" s="28" t="s">
        <v>26</v>
      </c>
      <c r="G3029" s="28" t="s">
        <v>27</v>
      </c>
      <c r="H3029" s="11" t="s">
        <v>1382</v>
      </c>
      <c r="I3029" s="37">
        <v>6500.0</v>
      </c>
      <c r="J3029" s="13"/>
      <c r="K3029" s="13" t="str">
        <f t="shared" si="350"/>
        <v/>
      </c>
      <c r="L3029" s="28" t="s">
        <v>29</v>
      </c>
      <c r="M3029" s="14"/>
      <c r="N3029" s="28" t="s">
        <v>38</v>
      </c>
      <c r="O3029" s="10" t="str">
        <f t="shared" si="79"/>
        <v>10/2026</v>
      </c>
      <c r="P3029" s="10" t="str">
        <f t="shared" ref="P3029:P3051" si="351">if(C3029="","", TEXT(C3029,"mm/yyyy"))</f>
        <v/>
      </c>
      <c r="Q3029" s="15" t="str">
        <f t="array" ref="Q3029">IFERROR(XLOOKUP(N3029,'Classificação'!A:A,'Classificação'!B:B),"")</f>
        <v>DESPESAS COM PESSOAL</v>
      </c>
      <c r="R3029" s="15" t="str">
        <f t="array" ref="R3029">IFERROR(XLOOKUP(Q3029,'Classificação'!B:B,'Classificação'!C:C),"")</f>
        <v>DESPESAS FIXAS (-)</v>
      </c>
      <c r="S3029" s="15">
        <f t="shared" si="228"/>
        <v>5</v>
      </c>
      <c r="T3029" s="15">
        <f t="shared" si="128"/>
        <v>10</v>
      </c>
      <c r="U3029" s="15">
        <f t="shared" si="129"/>
        <v>2026</v>
      </c>
      <c r="V3029" s="15" t="str">
        <f t="shared" si="8"/>
        <v/>
      </c>
      <c r="W3029" s="15" t="str">
        <f t="shared" si="9"/>
        <v/>
      </c>
      <c r="X3029" s="15" t="str">
        <f t="shared" si="10"/>
        <v/>
      </c>
    </row>
    <row r="3030">
      <c r="A3030" s="26">
        <v>46300.0</v>
      </c>
      <c r="B3030" s="10"/>
      <c r="C3030" s="9" t="str">
        <f t="shared" si="249"/>
        <v/>
      </c>
      <c r="D3030" s="28" t="s">
        <v>43</v>
      </c>
      <c r="E3030" s="28" t="s">
        <v>1305</v>
      </c>
      <c r="F3030" s="29" t="s">
        <v>26</v>
      </c>
      <c r="G3030" s="28" t="s">
        <v>27</v>
      </c>
      <c r="H3030" s="55" t="s">
        <v>1382</v>
      </c>
      <c r="I3030" s="37">
        <v>6500.0</v>
      </c>
      <c r="J3030" s="13"/>
      <c r="K3030" s="13" t="str">
        <f t="shared" si="350"/>
        <v/>
      </c>
      <c r="L3030" s="28" t="s">
        <v>29</v>
      </c>
      <c r="M3030" s="14"/>
      <c r="N3030" s="28" t="s">
        <v>38</v>
      </c>
      <c r="O3030" s="10" t="str">
        <f t="shared" si="79"/>
        <v>10/2026</v>
      </c>
      <c r="P3030" s="10" t="str">
        <f t="shared" si="351"/>
        <v/>
      </c>
      <c r="Q3030" s="15" t="str">
        <f t="array" ref="Q3030">IFERROR(XLOOKUP(N3030,'Classificação'!A:A,'Classificação'!B:B),"")</f>
        <v>DESPESAS COM PESSOAL</v>
      </c>
      <c r="R3030" s="15" t="str">
        <f t="array" ref="R3030">IFERROR(XLOOKUP(Q3030,'Classificação'!B:B,'Classificação'!C:C),"")</f>
        <v>DESPESAS FIXAS (-)</v>
      </c>
      <c r="S3030" s="15">
        <f t="shared" si="228"/>
        <v>5</v>
      </c>
      <c r="T3030" s="15">
        <f t="shared" si="128"/>
        <v>10</v>
      </c>
      <c r="U3030" s="15">
        <f t="shared" si="129"/>
        <v>2026</v>
      </c>
      <c r="V3030" s="15" t="str">
        <f t="shared" si="8"/>
        <v/>
      </c>
      <c r="W3030" s="15" t="str">
        <f t="shared" si="9"/>
        <v/>
      </c>
      <c r="X3030" s="15" t="str">
        <f t="shared" si="10"/>
        <v/>
      </c>
    </row>
    <row r="3031">
      <c r="A3031" s="32">
        <v>46305.0</v>
      </c>
      <c r="B3031" s="10"/>
      <c r="C3031" s="9" t="str">
        <f t="shared" si="249"/>
        <v/>
      </c>
      <c r="D3031" s="11" t="s">
        <v>1051</v>
      </c>
      <c r="E3031" s="28" t="s">
        <v>1305</v>
      </c>
      <c r="F3031" s="11" t="s">
        <v>40</v>
      </c>
      <c r="G3031" s="28" t="s">
        <v>27</v>
      </c>
      <c r="H3031" s="55" t="s">
        <v>1383</v>
      </c>
      <c r="I3031" s="12">
        <v>28.0</v>
      </c>
      <c r="J3031" s="13"/>
      <c r="K3031" s="13" t="str">
        <f t="shared" si="350"/>
        <v/>
      </c>
      <c r="L3031" s="11" t="s">
        <v>29</v>
      </c>
      <c r="M3031" s="14"/>
      <c r="N3031" s="11" t="s">
        <v>1053</v>
      </c>
      <c r="O3031" s="10" t="str">
        <f t="shared" si="79"/>
        <v>10/2026</v>
      </c>
      <c r="P3031" s="10" t="str">
        <f t="shared" si="351"/>
        <v/>
      </c>
      <c r="Q3031" s="15" t="str">
        <f t="array" ref="Q3031">IFERROR(XLOOKUP(N3031,'Classificação'!A:A,'Classificação'!B:B),"")</f>
        <v>DESPESAS COM PESSOAL</v>
      </c>
      <c r="R3031" s="15" t="str">
        <f t="array" ref="R3031">IFERROR(XLOOKUP(Q3031,'Classificação'!B:B,'Classificação'!C:C),"")</f>
        <v>DESPESAS FIXAS (-)</v>
      </c>
      <c r="S3031" s="15">
        <f t="shared" si="228"/>
        <v>10</v>
      </c>
      <c r="T3031" s="15">
        <f t="shared" si="128"/>
        <v>10</v>
      </c>
      <c r="U3031" s="15">
        <f t="shared" si="129"/>
        <v>2026</v>
      </c>
      <c r="V3031" s="15" t="str">
        <f t="shared" si="8"/>
        <v/>
      </c>
      <c r="W3031" s="15" t="str">
        <f t="shared" si="9"/>
        <v/>
      </c>
      <c r="X3031" s="15" t="str">
        <f t="shared" si="10"/>
        <v/>
      </c>
    </row>
    <row r="3032">
      <c r="A3032" s="26">
        <v>46305.0</v>
      </c>
      <c r="B3032" s="30"/>
      <c r="C3032" s="27" t="str">
        <f t="shared" si="249"/>
        <v/>
      </c>
      <c r="D3032" s="28" t="s">
        <v>48</v>
      </c>
      <c r="E3032" s="28" t="s">
        <v>1305</v>
      </c>
      <c r="F3032" s="28" t="s">
        <v>40</v>
      </c>
      <c r="G3032" s="28" t="s">
        <v>27</v>
      </c>
      <c r="H3032" s="54" t="s">
        <v>1382</v>
      </c>
      <c r="I3032" s="37">
        <v>1600.0</v>
      </c>
      <c r="J3032" s="34"/>
      <c r="K3032" s="34" t="str">
        <f t="shared" ref="K3032:K3034" si="352">IF(E3032="pago",(I3032-J3032),"")</f>
        <v/>
      </c>
      <c r="L3032" s="28" t="s">
        <v>29</v>
      </c>
      <c r="M3032" s="28"/>
      <c r="N3032" s="28" t="s">
        <v>49</v>
      </c>
      <c r="O3032" s="10" t="str">
        <f t="shared" si="79"/>
        <v>10/2026</v>
      </c>
      <c r="P3032" s="10" t="str">
        <f t="shared" si="351"/>
        <v/>
      </c>
      <c r="Q3032" s="15" t="str">
        <f t="array" ref="Q3032">IFERROR(XLOOKUP(N3032,'Classificação'!A:A,'Classificação'!B:B),"")</f>
        <v>DESPESAS COM PESSOAL</v>
      </c>
      <c r="R3032" s="15" t="str">
        <f t="array" ref="R3032">IFERROR(XLOOKUP(Q3032,'Classificação'!B:B,'Classificação'!C:C),"")</f>
        <v>DESPESAS FIXAS (-)</v>
      </c>
      <c r="S3032" s="15">
        <f t="shared" si="228"/>
        <v>10</v>
      </c>
      <c r="T3032" s="15">
        <f t="shared" si="128"/>
        <v>10</v>
      </c>
      <c r="U3032" s="15">
        <f t="shared" si="129"/>
        <v>2026</v>
      </c>
      <c r="V3032" s="15" t="str">
        <f t="shared" si="8"/>
        <v/>
      </c>
      <c r="W3032" s="15" t="str">
        <f t="shared" si="9"/>
        <v/>
      </c>
      <c r="X3032" s="15" t="str">
        <f t="shared" si="10"/>
        <v/>
      </c>
    </row>
    <row r="3033">
      <c r="A3033" s="9">
        <v>46305.0</v>
      </c>
      <c r="B3033" s="30"/>
      <c r="C3033" s="27" t="str">
        <f t="shared" si="249"/>
        <v/>
      </c>
      <c r="D3033" s="28" t="s">
        <v>50</v>
      </c>
      <c r="E3033" s="28" t="s">
        <v>1305</v>
      </c>
      <c r="F3033" s="28" t="s">
        <v>40</v>
      </c>
      <c r="G3033" s="28" t="s">
        <v>27</v>
      </c>
      <c r="H3033" s="54" t="s">
        <v>1384</v>
      </c>
      <c r="I3033" s="37">
        <v>139.99</v>
      </c>
      <c r="J3033" s="34"/>
      <c r="K3033" s="34" t="str">
        <f t="shared" si="352"/>
        <v/>
      </c>
      <c r="L3033" s="28" t="s">
        <v>29</v>
      </c>
      <c r="M3033" s="28"/>
      <c r="N3033" s="28" t="s">
        <v>51</v>
      </c>
      <c r="O3033" s="10" t="str">
        <f t="shared" si="79"/>
        <v>10/2026</v>
      </c>
      <c r="P3033" s="10" t="str">
        <f t="shared" si="351"/>
        <v/>
      </c>
      <c r="Q3033" s="15" t="str">
        <f t="array" ref="Q3033">IFERROR(XLOOKUP(N3033,'Classificação'!A:A,'Classificação'!B:B),"")</f>
        <v>DESPESAS COM OCUPAÇÃO</v>
      </c>
      <c r="R3033" s="15" t="str">
        <f t="array" ref="R3033">IFERROR(XLOOKUP(Q3033,'Classificação'!B:B,'Classificação'!C:C),"")</f>
        <v>DESPESAS FIXAS (-)</v>
      </c>
      <c r="S3033" s="15">
        <f t="shared" si="228"/>
        <v>10</v>
      </c>
      <c r="T3033" s="15">
        <f t="shared" si="128"/>
        <v>10</v>
      </c>
      <c r="U3033" s="15">
        <f t="shared" si="129"/>
        <v>2026</v>
      </c>
      <c r="V3033" s="15" t="str">
        <f t="shared" si="8"/>
        <v/>
      </c>
      <c r="W3033" s="15" t="str">
        <f t="shared" si="9"/>
        <v/>
      </c>
      <c r="X3033" s="15" t="str">
        <f t="shared" si="10"/>
        <v/>
      </c>
    </row>
    <row r="3034">
      <c r="A3034" s="26">
        <v>46305.0</v>
      </c>
      <c r="B3034" s="30"/>
      <c r="C3034" s="27" t="str">
        <f t="shared" si="249"/>
        <v/>
      </c>
      <c r="D3034" s="28" t="s">
        <v>59</v>
      </c>
      <c r="E3034" s="28" t="s">
        <v>1305</v>
      </c>
      <c r="F3034" s="28" t="s">
        <v>40</v>
      </c>
      <c r="G3034" s="28" t="s">
        <v>37</v>
      </c>
      <c r="H3034" s="54" t="s">
        <v>1385</v>
      </c>
      <c r="I3034" s="24">
        <v>447.0</v>
      </c>
      <c r="J3034" s="34"/>
      <c r="K3034" s="34" t="str">
        <f t="shared" si="352"/>
        <v/>
      </c>
      <c r="L3034" s="28" t="s">
        <v>29</v>
      </c>
      <c r="M3034" s="28"/>
      <c r="N3034" s="28" t="s">
        <v>61</v>
      </c>
      <c r="O3034" s="10" t="str">
        <f t="shared" si="79"/>
        <v>10/2026</v>
      </c>
      <c r="P3034" s="10" t="str">
        <f t="shared" si="351"/>
        <v/>
      </c>
      <c r="Q3034" s="15" t="str">
        <f t="array" ref="Q3034">IFERROR(XLOOKUP(N3034,'Classificação'!A:A,'Classificação'!B:B),"")</f>
        <v>DESPESAS ADMINISTRATIVAS</v>
      </c>
      <c r="R3034" s="15" t="str">
        <f t="array" ref="R3034">IFERROR(XLOOKUP(Q3034,'Classificação'!B:B,'Classificação'!C:C),"")</f>
        <v>DESPESAS FIXAS (-)</v>
      </c>
      <c r="S3034" s="15">
        <f t="shared" si="228"/>
        <v>10</v>
      </c>
      <c r="T3034" s="15">
        <f t="shared" si="128"/>
        <v>10</v>
      </c>
      <c r="U3034" s="15">
        <f t="shared" si="129"/>
        <v>2026</v>
      </c>
      <c r="V3034" s="15" t="str">
        <f t="shared" si="8"/>
        <v/>
      </c>
      <c r="W3034" s="15" t="str">
        <f t="shared" si="9"/>
        <v/>
      </c>
      <c r="X3034" s="15" t="str">
        <f t="shared" si="10"/>
        <v/>
      </c>
    </row>
    <row r="3035">
      <c r="A3035" s="26">
        <v>46305.0</v>
      </c>
      <c r="B3035" s="30"/>
      <c r="C3035" s="27" t="str">
        <f t="shared" si="249"/>
        <v/>
      </c>
      <c r="D3035" s="28" t="s">
        <v>104</v>
      </c>
      <c r="E3035" s="28" t="s">
        <v>1305</v>
      </c>
      <c r="F3035" s="28" t="s">
        <v>40</v>
      </c>
      <c r="G3035" s="28" t="s">
        <v>37</v>
      </c>
      <c r="H3035" s="54" t="s">
        <v>1386</v>
      </c>
      <c r="I3035" s="37">
        <v>27.5</v>
      </c>
      <c r="J3035" s="34"/>
      <c r="K3035" s="34"/>
      <c r="L3035" s="28" t="s">
        <v>29</v>
      </c>
      <c r="M3035" s="28"/>
      <c r="N3035" s="28" t="s">
        <v>105</v>
      </c>
      <c r="O3035" s="10" t="str">
        <f t="shared" si="79"/>
        <v>10/2026</v>
      </c>
      <c r="P3035" s="10" t="str">
        <f t="shared" si="351"/>
        <v/>
      </c>
      <c r="R3035" s="15" t="str">
        <f t="array" ref="R3035">IFERROR(XLOOKUP(Q3035,'Classificação'!B:B,'Classificação'!C:C),"")</f>
        <v/>
      </c>
      <c r="S3035" s="15">
        <f t="shared" si="228"/>
        <v>10</v>
      </c>
      <c r="T3035" s="15">
        <f t="shared" si="128"/>
        <v>10</v>
      </c>
      <c r="U3035" s="15">
        <f t="shared" si="129"/>
        <v>2026</v>
      </c>
      <c r="V3035" s="15" t="str">
        <f t="shared" si="8"/>
        <v/>
      </c>
      <c r="W3035" s="15" t="str">
        <f t="shared" si="9"/>
        <v/>
      </c>
      <c r="X3035" s="15" t="str">
        <f t="shared" si="10"/>
        <v/>
      </c>
    </row>
    <row r="3036">
      <c r="A3036" s="9">
        <v>46305.0</v>
      </c>
      <c r="B3036" s="10"/>
      <c r="C3036" s="9" t="str">
        <f t="shared" si="249"/>
        <v/>
      </c>
      <c r="D3036" s="11" t="s">
        <v>44</v>
      </c>
      <c r="E3036" s="11" t="s">
        <v>1305</v>
      </c>
      <c r="F3036" s="11" t="s">
        <v>45</v>
      </c>
      <c r="G3036" s="11" t="s">
        <v>27</v>
      </c>
      <c r="H3036" s="11" t="s">
        <v>52</v>
      </c>
      <c r="I3036" s="12">
        <v>503.0</v>
      </c>
      <c r="J3036" s="13"/>
      <c r="K3036" s="13" t="str">
        <f t="shared" ref="K3036:K3039" si="353">if(E3036="pago",(I3036-J3036),"")</f>
        <v/>
      </c>
      <c r="L3036" s="11" t="s">
        <v>53</v>
      </c>
      <c r="M3036" s="16" t="s">
        <v>1387</v>
      </c>
      <c r="N3036" s="11" t="s">
        <v>55</v>
      </c>
      <c r="O3036" s="10" t="str">
        <f t="shared" si="79"/>
        <v>10/2026</v>
      </c>
      <c r="P3036" s="10" t="str">
        <f t="shared" si="351"/>
        <v/>
      </c>
      <c r="Q3036" s="15" t="str">
        <f t="array" ref="Q3036">IFERROR(XLOOKUP(N3036,'Classificação'!A:A,'Classificação'!B:B),"")</f>
        <v>DESPESAS NÃO OPERACIONAIS</v>
      </c>
      <c r="R3036" s="15" t="str">
        <f t="array" ref="R3036">IFERROR(XLOOKUP(Q3036,'Classificação'!B:B,'Classificação'!C:C),"")</f>
        <v>RESULTADO NÃO OPERACIONAL (+/-)</v>
      </c>
      <c r="S3036" s="15">
        <f t="shared" si="228"/>
        <v>10</v>
      </c>
      <c r="T3036" s="15">
        <f t="shared" si="128"/>
        <v>10</v>
      </c>
      <c r="U3036" s="15">
        <f t="shared" si="129"/>
        <v>2026</v>
      </c>
      <c r="V3036" s="15" t="str">
        <f t="shared" si="8"/>
        <v/>
      </c>
      <c r="W3036" s="15" t="str">
        <f t="shared" si="9"/>
        <v/>
      </c>
      <c r="X3036" s="15" t="str">
        <f t="shared" si="10"/>
        <v/>
      </c>
    </row>
    <row r="3037">
      <c r="A3037" s="9">
        <v>46305.0</v>
      </c>
      <c r="B3037" s="10"/>
      <c r="C3037" s="9" t="str">
        <f t="shared" si="249"/>
        <v/>
      </c>
      <c r="D3037" s="11" t="s">
        <v>1104</v>
      </c>
      <c r="E3037" s="28" t="s">
        <v>1305</v>
      </c>
      <c r="F3037" s="11" t="s">
        <v>40</v>
      </c>
      <c r="G3037" s="11" t="s">
        <v>37</v>
      </c>
      <c r="H3037" s="11" t="s">
        <v>1105</v>
      </c>
      <c r="I3037" s="12">
        <v>917.51</v>
      </c>
      <c r="J3037" s="13"/>
      <c r="K3037" s="13" t="str">
        <f t="shared" si="353"/>
        <v/>
      </c>
      <c r="L3037" s="11" t="s">
        <v>53</v>
      </c>
      <c r="M3037" s="16" t="s">
        <v>1388</v>
      </c>
      <c r="N3037" s="11" t="s">
        <v>73</v>
      </c>
      <c r="O3037" s="10" t="str">
        <f t="shared" si="79"/>
        <v>10/2026</v>
      </c>
      <c r="P3037" s="10" t="str">
        <f t="shared" si="351"/>
        <v/>
      </c>
      <c r="Q3037" s="15" t="str">
        <f t="array" ref="Q3037">IFERROR(XLOOKUP(N3037,'Classificação'!A:A,'Classificação'!B:B),"")</f>
        <v>DESPESAS NÃO OPERACIONAIS</v>
      </c>
      <c r="R3037" s="15" t="str">
        <f t="array" ref="R3037">IFERROR(XLOOKUP(Q3037,'Classificação'!B:B,'Classificação'!C:C),"")</f>
        <v>RESULTADO NÃO OPERACIONAL (+/-)</v>
      </c>
      <c r="S3037" s="15">
        <f t="shared" si="228"/>
        <v>10</v>
      </c>
      <c r="T3037" s="15">
        <f t="shared" si="128"/>
        <v>10</v>
      </c>
      <c r="U3037" s="15">
        <f t="shared" si="129"/>
        <v>2026</v>
      </c>
      <c r="V3037" s="15" t="str">
        <f t="shared" si="8"/>
        <v/>
      </c>
      <c r="W3037" s="15" t="str">
        <f t="shared" si="9"/>
        <v/>
      </c>
      <c r="X3037" s="15" t="str">
        <f t="shared" si="10"/>
        <v/>
      </c>
    </row>
    <row r="3038">
      <c r="A3038" s="32">
        <v>46305.0</v>
      </c>
      <c r="B3038" s="32">
        <v>46011.0</v>
      </c>
      <c r="C3038" s="9" t="str">
        <f t="shared" si="249"/>
        <v/>
      </c>
      <c r="D3038" s="11" t="s">
        <v>65</v>
      </c>
      <c r="E3038" s="28" t="s">
        <v>1305</v>
      </c>
      <c r="F3038" s="11" t="s">
        <v>26</v>
      </c>
      <c r="G3038" s="28" t="s">
        <v>27</v>
      </c>
      <c r="H3038" s="11" t="s">
        <v>1159</v>
      </c>
      <c r="I3038" s="31">
        <v>54.99</v>
      </c>
      <c r="J3038" s="13"/>
      <c r="K3038" s="13" t="str">
        <f t="shared" si="353"/>
        <v/>
      </c>
      <c r="L3038" s="11" t="s">
        <v>53</v>
      </c>
      <c r="M3038" s="16" t="s">
        <v>1389</v>
      </c>
      <c r="N3038" s="11" t="s">
        <v>95</v>
      </c>
      <c r="O3038" s="10" t="str">
        <f t="shared" si="79"/>
        <v>10/2026</v>
      </c>
      <c r="P3038" s="10" t="str">
        <f t="shared" si="351"/>
        <v/>
      </c>
      <c r="Q3038" s="15" t="str">
        <f t="array" ref="Q3038">IFERROR(XLOOKUP(N3038,'Classificação'!A:A,'Classificação'!B:B),"")</f>
        <v>DESPESAS NÃO OPERACIONAIS</v>
      </c>
      <c r="R3038" s="15" t="str">
        <f t="array" ref="R3038">IFERROR(XLOOKUP(Q3038,'Classificação'!B:B,'Classificação'!C:C),"")</f>
        <v>RESULTADO NÃO OPERACIONAL (+/-)</v>
      </c>
      <c r="S3038" s="15">
        <f t="shared" si="228"/>
        <v>10</v>
      </c>
      <c r="T3038" s="15">
        <f t="shared" si="128"/>
        <v>10</v>
      </c>
      <c r="U3038" s="15">
        <f t="shared" si="129"/>
        <v>2026</v>
      </c>
      <c r="V3038" s="15" t="str">
        <f t="shared" si="8"/>
        <v/>
      </c>
      <c r="W3038" s="15" t="str">
        <f t="shared" si="9"/>
        <v/>
      </c>
      <c r="X3038" s="15" t="str">
        <f t="shared" si="10"/>
        <v/>
      </c>
    </row>
    <row r="3039">
      <c r="A3039" s="26">
        <v>46307.0</v>
      </c>
      <c r="B3039" s="30"/>
      <c r="C3039" s="27" t="str">
        <f t="shared" si="249"/>
        <v/>
      </c>
      <c r="D3039" s="28" t="s">
        <v>56</v>
      </c>
      <c r="E3039" s="28" t="s">
        <v>1305</v>
      </c>
      <c r="F3039" s="28" t="s">
        <v>26</v>
      </c>
      <c r="G3039" s="28" t="s">
        <v>37</v>
      </c>
      <c r="H3039" s="54" t="s">
        <v>1390</v>
      </c>
      <c r="I3039" s="24">
        <v>60.0</v>
      </c>
      <c r="J3039" s="34"/>
      <c r="K3039" s="13" t="str">
        <f t="shared" si="353"/>
        <v/>
      </c>
      <c r="L3039" s="28" t="s">
        <v>29</v>
      </c>
      <c r="M3039" s="28"/>
      <c r="N3039" s="28" t="s">
        <v>58</v>
      </c>
      <c r="O3039" s="10" t="str">
        <f t="shared" si="79"/>
        <v>10/2026</v>
      </c>
      <c r="P3039" s="10" t="str">
        <f t="shared" si="351"/>
        <v/>
      </c>
      <c r="Q3039" s="15" t="str">
        <f t="array" ref="Q3039">IFERROR(XLOOKUP(N3039,'Classificação'!A:A,'Classificação'!B:B),"")</f>
        <v>DESPESAS ADMINISTRATIVAS</v>
      </c>
      <c r="R3039" s="15" t="str">
        <f t="array" ref="R3039">IFERROR(XLOOKUP(Q3039,'Classificação'!B:B,'Classificação'!C:C),"")</f>
        <v>DESPESAS FIXAS (-)</v>
      </c>
      <c r="S3039" s="15">
        <f t="shared" si="228"/>
        <v>12</v>
      </c>
      <c r="T3039" s="15">
        <f t="shared" si="128"/>
        <v>10</v>
      </c>
      <c r="U3039" s="15">
        <f t="shared" si="129"/>
        <v>2026</v>
      </c>
      <c r="V3039" s="15" t="str">
        <f t="shared" si="8"/>
        <v/>
      </c>
      <c r="W3039" s="15" t="str">
        <f t="shared" si="9"/>
        <v/>
      </c>
      <c r="X3039" s="15" t="str">
        <f t="shared" si="10"/>
        <v/>
      </c>
    </row>
    <row r="3040">
      <c r="A3040" s="26">
        <v>46308.0</v>
      </c>
      <c r="B3040" s="30"/>
      <c r="C3040" s="27" t="str">
        <f t="shared" si="249"/>
        <v/>
      </c>
      <c r="D3040" s="28" t="s">
        <v>65</v>
      </c>
      <c r="E3040" s="28" t="s">
        <v>1305</v>
      </c>
      <c r="F3040" s="28" t="s">
        <v>45</v>
      </c>
      <c r="G3040" s="28" t="s">
        <v>66</v>
      </c>
      <c r="H3040" s="54" t="s">
        <v>1391</v>
      </c>
      <c r="I3040" s="37">
        <v>900.0</v>
      </c>
      <c r="J3040" s="34"/>
      <c r="K3040" s="34" t="str">
        <f>IF(E3040="pago",(I3040-J3040),"")</f>
        <v/>
      </c>
      <c r="L3040" s="28" t="s">
        <v>29</v>
      </c>
      <c r="M3040" s="28"/>
      <c r="N3040" s="28" t="s">
        <v>68</v>
      </c>
      <c r="O3040" s="10" t="str">
        <f t="shared" si="79"/>
        <v>10/2026</v>
      </c>
      <c r="P3040" s="10" t="str">
        <f t="shared" si="351"/>
        <v/>
      </c>
      <c r="Q3040" s="15" t="str">
        <f t="array" ref="Q3040">IFERROR(XLOOKUP(N3040,'Classificação'!A:A,'Classificação'!B:B),"")</f>
        <v>FRETE DE VENDAS</v>
      </c>
      <c r="R3040" s="15" t="str">
        <f t="array" ref="R3040">IFERROR(XLOOKUP(Q3040,'Classificação'!B:B,'Classificação'!C:C),"")</f>
        <v>CUSTOS VARIÁVEIS</v>
      </c>
      <c r="S3040" s="15">
        <f t="shared" si="228"/>
        <v>13</v>
      </c>
      <c r="T3040" s="15">
        <f t="shared" si="128"/>
        <v>10</v>
      </c>
      <c r="U3040" s="15">
        <f t="shared" si="129"/>
        <v>2026</v>
      </c>
      <c r="V3040" s="15" t="str">
        <f t="shared" si="8"/>
        <v/>
      </c>
      <c r="W3040" s="15" t="str">
        <f t="shared" si="9"/>
        <v/>
      </c>
      <c r="X3040" s="15" t="str">
        <f t="shared" si="10"/>
        <v/>
      </c>
    </row>
    <row r="3041">
      <c r="A3041" s="9">
        <v>46309.0</v>
      </c>
      <c r="B3041" s="10"/>
      <c r="C3041" s="9" t="str">
        <f t="shared" si="249"/>
        <v/>
      </c>
      <c r="D3041" s="11" t="s">
        <v>44</v>
      </c>
      <c r="E3041" s="11" t="s">
        <v>1305</v>
      </c>
      <c r="F3041" s="11" t="s">
        <v>45</v>
      </c>
      <c r="G3041" s="11" t="s">
        <v>27</v>
      </c>
      <c r="H3041" s="11" t="s">
        <v>476</v>
      </c>
      <c r="I3041" s="12">
        <v>4996.0</v>
      </c>
      <c r="J3041" s="13"/>
      <c r="K3041" s="13" t="str">
        <f>if(E3041="pago",(I3041-J3041),"")</f>
        <v/>
      </c>
      <c r="L3041" s="11" t="s">
        <v>53</v>
      </c>
      <c r="M3041" s="16" t="s">
        <v>938</v>
      </c>
      <c r="N3041" s="11" t="s">
        <v>73</v>
      </c>
      <c r="O3041" s="10" t="str">
        <f t="shared" si="79"/>
        <v>10/2026</v>
      </c>
      <c r="P3041" s="10" t="str">
        <f t="shared" si="351"/>
        <v/>
      </c>
      <c r="Q3041" s="15" t="str">
        <f t="array" ref="Q3041">IFERROR(XLOOKUP(N3041,'Classificação'!A:A,'Classificação'!B:B),"")</f>
        <v>DESPESAS NÃO OPERACIONAIS</v>
      </c>
      <c r="R3041" s="15" t="str">
        <f t="array" ref="R3041">IFERROR(XLOOKUP(Q3041,'Classificação'!B:B,'Classificação'!C:C),"")</f>
        <v>RESULTADO NÃO OPERACIONAL (+/-)</v>
      </c>
      <c r="S3041" s="15">
        <f t="shared" si="228"/>
        <v>14</v>
      </c>
      <c r="T3041" s="15">
        <f t="shared" si="128"/>
        <v>10</v>
      </c>
      <c r="U3041" s="15">
        <f t="shared" si="129"/>
        <v>2026</v>
      </c>
      <c r="V3041" s="15" t="str">
        <f t="shared" si="8"/>
        <v/>
      </c>
      <c r="W3041" s="15" t="str">
        <f t="shared" si="9"/>
        <v/>
      </c>
      <c r="X3041" s="15" t="str">
        <f t="shared" si="10"/>
        <v/>
      </c>
    </row>
    <row r="3042">
      <c r="A3042" s="26">
        <v>46310.0</v>
      </c>
      <c r="B3042" s="30"/>
      <c r="C3042" s="27" t="str">
        <f t="shared" si="249"/>
        <v/>
      </c>
      <c r="D3042" s="28" t="s">
        <v>79</v>
      </c>
      <c r="E3042" s="28" t="s">
        <v>1305</v>
      </c>
      <c r="F3042" s="28" t="s">
        <v>26</v>
      </c>
      <c r="G3042" s="28" t="s">
        <v>37</v>
      </c>
      <c r="H3042" s="54" t="s">
        <v>1382</v>
      </c>
      <c r="I3042" s="24">
        <v>550.0</v>
      </c>
      <c r="J3042" s="34"/>
      <c r="K3042" s="34" t="str">
        <f t="shared" ref="K3042:K3044" si="354">IF(E3042="pago",(I3042-J3042),"")</f>
        <v/>
      </c>
      <c r="L3042" s="28" t="s">
        <v>29</v>
      </c>
      <c r="M3042" s="28"/>
      <c r="N3042" s="28" t="s">
        <v>58</v>
      </c>
      <c r="O3042" s="10" t="str">
        <f t="shared" si="79"/>
        <v>10/2026</v>
      </c>
      <c r="P3042" s="10" t="str">
        <f t="shared" si="351"/>
        <v/>
      </c>
      <c r="Q3042" s="15" t="str">
        <f t="array" ref="Q3042">IFERROR(XLOOKUP(N3042,'Classificação'!A:A,'Classificação'!B:B),"")</f>
        <v>DESPESAS ADMINISTRATIVAS</v>
      </c>
      <c r="S3042" s="15">
        <f t="shared" si="228"/>
        <v>15</v>
      </c>
      <c r="T3042" s="15">
        <f t="shared" si="128"/>
        <v>10</v>
      </c>
      <c r="U3042" s="15">
        <f t="shared" si="129"/>
        <v>2026</v>
      </c>
      <c r="V3042" s="15" t="str">
        <f t="shared" si="8"/>
        <v/>
      </c>
      <c r="W3042" s="15" t="str">
        <f t="shared" si="9"/>
        <v/>
      </c>
      <c r="X3042" s="15" t="str">
        <f t="shared" si="10"/>
        <v/>
      </c>
    </row>
    <row r="3043">
      <c r="A3043" s="26">
        <v>46310.0</v>
      </c>
      <c r="B3043" s="30"/>
      <c r="C3043" s="27" t="str">
        <f t="shared" si="249"/>
        <v/>
      </c>
      <c r="D3043" s="28" t="s">
        <v>80</v>
      </c>
      <c r="E3043" s="28" t="s">
        <v>1305</v>
      </c>
      <c r="F3043" s="28" t="s">
        <v>32</v>
      </c>
      <c r="G3043" s="28" t="s">
        <v>27</v>
      </c>
      <c r="H3043" s="54" t="s">
        <v>1392</v>
      </c>
      <c r="I3043" s="37">
        <v>780.0</v>
      </c>
      <c r="J3043" s="34"/>
      <c r="K3043" s="34" t="str">
        <f t="shared" si="354"/>
        <v/>
      </c>
      <c r="L3043" s="28" t="s">
        <v>29</v>
      </c>
      <c r="M3043" s="28"/>
      <c r="N3043" s="28" t="s">
        <v>75</v>
      </c>
      <c r="O3043" s="10" t="str">
        <f t="shared" si="79"/>
        <v>10/2026</v>
      </c>
      <c r="P3043" s="10" t="str">
        <f t="shared" si="351"/>
        <v/>
      </c>
      <c r="Q3043" s="15" t="str">
        <f t="array" ref="Q3043">IFERROR(XLOOKUP(N3043,'Classificação'!A:A,'Classificação'!B:B),"")</f>
        <v>DESPESAS COM PESSOAL</v>
      </c>
      <c r="R3043" s="15" t="str">
        <f t="array" ref="R3043">IFERROR(XLOOKUP(Q3043,'Classificação'!B:B,'Classificação'!C:C),"")</f>
        <v>DESPESAS FIXAS (-)</v>
      </c>
      <c r="S3043" s="15">
        <f t="shared" si="228"/>
        <v>15</v>
      </c>
      <c r="T3043" s="15">
        <f t="shared" si="128"/>
        <v>10</v>
      </c>
      <c r="U3043" s="15">
        <f t="shared" si="129"/>
        <v>2026</v>
      </c>
      <c r="V3043" s="15" t="str">
        <f t="shared" si="8"/>
        <v/>
      </c>
      <c r="W3043" s="15" t="str">
        <f t="shared" si="9"/>
        <v/>
      </c>
      <c r="X3043" s="15" t="str">
        <f t="shared" si="10"/>
        <v/>
      </c>
    </row>
    <row r="3044">
      <c r="A3044" s="26">
        <v>46310.0</v>
      </c>
      <c r="B3044" s="28"/>
      <c r="C3044" s="27" t="str">
        <f t="shared" si="249"/>
        <v/>
      </c>
      <c r="D3044" s="29" t="s">
        <v>1094</v>
      </c>
      <c r="E3044" s="28" t="s">
        <v>1305</v>
      </c>
      <c r="F3044" s="29" t="s">
        <v>26</v>
      </c>
      <c r="G3044" s="29" t="s">
        <v>37</v>
      </c>
      <c r="H3044" s="28" t="s">
        <v>606</v>
      </c>
      <c r="I3044" s="24">
        <v>1120.0</v>
      </c>
      <c r="J3044" s="34"/>
      <c r="K3044" s="34" t="str">
        <f t="shared" si="354"/>
        <v/>
      </c>
      <c r="L3044" s="28" t="s">
        <v>29</v>
      </c>
      <c r="M3044" s="28"/>
      <c r="N3044" s="28" t="s">
        <v>75</v>
      </c>
      <c r="O3044" s="10" t="str">
        <f t="shared" si="79"/>
        <v>10/2026</v>
      </c>
      <c r="P3044" s="10" t="str">
        <f t="shared" si="351"/>
        <v/>
      </c>
      <c r="Q3044" s="15" t="str">
        <f t="array" ref="Q3044">IFERROR(XLOOKUP(N3044,'Classificação'!A:A,'Classificação'!B:B),"")</f>
        <v>DESPESAS COM PESSOAL</v>
      </c>
      <c r="R3044" s="15" t="str">
        <f t="array" ref="R3044">IFERROR(XLOOKUP(Q3044,'Classificação'!B:B,'Classificação'!C:C),"")</f>
        <v>DESPESAS FIXAS (-)</v>
      </c>
      <c r="S3044" s="15">
        <f t="shared" si="228"/>
        <v>15</v>
      </c>
      <c r="T3044" s="15">
        <f t="shared" si="128"/>
        <v>10</v>
      </c>
      <c r="U3044" s="15">
        <f t="shared" si="129"/>
        <v>2026</v>
      </c>
      <c r="V3044" s="15" t="str">
        <f t="shared" si="8"/>
        <v/>
      </c>
      <c r="W3044" s="15" t="str">
        <f t="shared" si="9"/>
        <v/>
      </c>
      <c r="X3044" s="15" t="str">
        <f t="shared" si="10"/>
        <v/>
      </c>
    </row>
    <row r="3045">
      <c r="A3045" s="32">
        <v>46310.0</v>
      </c>
      <c r="B3045" s="10"/>
      <c r="C3045" s="9" t="str">
        <f t="shared" si="249"/>
        <v/>
      </c>
      <c r="D3045" s="11" t="s">
        <v>1229</v>
      </c>
      <c r="E3045" s="28" t="s">
        <v>1305</v>
      </c>
      <c r="F3045" s="11" t="s">
        <v>26</v>
      </c>
      <c r="G3045" s="11" t="s">
        <v>37</v>
      </c>
      <c r="H3045" s="55" t="s">
        <v>1393</v>
      </c>
      <c r="I3045" s="31">
        <v>840.0</v>
      </c>
      <c r="J3045" s="13"/>
      <c r="K3045" s="13" t="str">
        <f t="shared" ref="K3045:K3047" si="355">if(E3045="pago",(I3045-J3045),"")</f>
        <v/>
      </c>
      <c r="L3045" s="11" t="s">
        <v>29</v>
      </c>
      <c r="M3045" s="14"/>
      <c r="N3045" s="11" t="s">
        <v>58</v>
      </c>
      <c r="O3045" s="10" t="str">
        <f t="shared" si="79"/>
        <v>10/2026</v>
      </c>
      <c r="P3045" s="10" t="str">
        <f t="shared" si="351"/>
        <v/>
      </c>
      <c r="Q3045" s="15" t="str">
        <f t="array" ref="Q3045">IFERROR(XLOOKUP(N3045,'Classificação'!A:A,'Classificação'!B:B),"")</f>
        <v>DESPESAS ADMINISTRATIVAS</v>
      </c>
      <c r="R3045" s="15" t="str">
        <f t="array" ref="R3045">IFERROR(XLOOKUP(Q3045,'Classificação'!B:B,'Classificação'!C:C),"")</f>
        <v>DESPESAS FIXAS (-)</v>
      </c>
      <c r="S3045" s="15">
        <f t="shared" si="228"/>
        <v>15</v>
      </c>
      <c r="T3045" s="15">
        <f t="shared" si="128"/>
        <v>10</v>
      </c>
      <c r="U3045" s="15">
        <f t="shared" si="129"/>
        <v>2026</v>
      </c>
      <c r="V3045" s="15" t="str">
        <f t="shared" si="8"/>
        <v/>
      </c>
      <c r="W3045" s="15" t="str">
        <f t="shared" si="9"/>
        <v/>
      </c>
      <c r="X3045" s="15" t="str">
        <f t="shared" si="10"/>
        <v/>
      </c>
    </row>
    <row r="3046">
      <c r="A3046" s="26">
        <v>46311.0</v>
      </c>
      <c r="B3046" s="30"/>
      <c r="C3046" s="27" t="str">
        <f t="shared" si="249"/>
        <v/>
      </c>
      <c r="D3046" s="28" t="s">
        <v>90</v>
      </c>
      <c r="E3046" s="28" t="s">
        <v>1305</v>
      </c>
      <c r="F3046" s="28" t="s">
        <v>40</v>
      </c>
      <c r="G3046" s="28" t="s">
        <v>27</v>
      </c>
      <c r="H3046" s="54" t="s">
        <v>1394</v>
      </c>
      <c r="I3046" s="37">
        <v>800.0</v>
      </c>
      <c r="J3046" s="34"/>
      <c r="K3046" s="13" t="str">
        <f t="shared" si="355"/>
        <v/>
      </c>
      <c r="L3046" s="28" t="s">
        <v>29</v>
      </c>
      <c r="M3046" s="28"/>
      <c r="N3046" s="28" t="s">
        <v>92</v>
      </c>
      <c r="O3046" s="10" t="str">
        <f t="shared" si="79"/>
        <v>10/2026</v>
      </c>
      <c r="P3046" s="10" t="str">
        <f t="shared" si="351"/>
        <v/>
      </c>
      <c r="Q3046" s="15" t="str">
        <f t="array" ref="Q3046">IFERROR(XLOOKUP(N3046,'Classificação'!A:A,'Classificação'!B:B),"")</f>
        <v>DESPESAS COM OCUPAÇÃO</v>
      </c>
      <c r="R3046" s="15" t="str">
        <f t="array" ref="R3046">IFERROR(XLOOKUP(Q3046,'Classificação'!B:B,'Classificação'!C:C),"")</f>
        <v>DESPESAS FIXAS (-)</v>
      </c>
      <c r="S3046" s="15">
        <f t="shared" si="228"/>
        <v>16</v>
      </c>
      <c r="T3046" s="15">
        <f t="shared" si="128"/>
        <v>10</v>
      </c>
      <c r="U3046" s="15">
        <f t="shared" si="129"/>
        <v>2026</v>
      </c>
      <c r="V3046" s="15" t="str">
        <f t="shared" si="8"/>
        <v/>
      </c>
      <c r="W3046" s="15" t="str">
        <f t="shared" si="9"/>
        <v/>
      </c>
      <c r="X3046" s="15" t="str">
        <f t="shared" si="10"/>
        <v/>
      </c>
    </row>
    <row r="3047">
      <c r="A3047" s="9">
        <v>46313.0</v>
      </c>
      <c r="B3047" s="10"/>
      <c r="C3047" s="9" t="str">
        <f t="shared" si="249"/>
        <v/>
      </c>
      <c r="D3047" s="11" t="s">
        <v>44</v>
      </c>
      <c r="E3047" s="11" t="s">
        <v>1305</v>
      </c>
      <c r="F3047" s="11" t="s">
        <v>45</v>
      </c>
      <c r="G3047" s="11" t="s">
        <v>27</v>
      </c>
      <c r="H3047" s="11" t="s">
        <v>703</v>
      </c>
      <c r="I3047" s="13">
        <v>2629.1379</v>
      </c>
      <c r="J3047" s="13"/>
      <c r="K3047" s="13" t="str">
        <f t="shared" si="355"/>
        <v/>
      </c>
      <c r="L3047" s="11" t="s">
        <v>53</v>
      </c>
      <c r="M3047" s="16" t="s">
        <v>1395</v>
      </c>
      <c r="N3047" s="11" t="s">
        <v>73</v>
      </c>
      <c r="O3047" s="10" t="str">
        <f t="shared" si="79"/>
        <v>10/2026</v>
      </c>
      <c r="P3047" s="10" t="str">
        <f t="shared" si="351"/>
        <v/>
      </c>
      <c r="Q3047" s="15" t="str">
        <f t="array" ref="Q3047">IFERROR(XLOOKUP(N3047,'Classificação'!A:A,'Classificação'!B:B),"")</f>
        <v>DESPESAS NÃO OPERACIONAIS</v>
      </c>
      <c r="R3047" s="15" t="str">
        <f t="array" ref="R3047">IFERROR(XLOOKUP(Q3047,'Classificação'!B:B,'Classificação'!C:C),"")</f>
        <v>RESULTADO NÃO OPERACIONAL (+/-)</v>
      </c>
      <c r="S3047" s="15">
        <f t="shared" si="228"/>
        <v>18</v>
      </c>
      <c r="T3047" s="15">
        <f t="shared" si="128"/>
        <v>10</v>
      </c>
      <c r="U3047" s="15">
        <f t="shared" si="129"/>
        <v>2026</v>
      </c>
      <c r="V3047" s="15" t="str">
        <f t="shared" si="8"/>
        <v/>
      </c>
      <c r="W3047" s="15" t="str">
        <f t="shared" si="9"/>
        <v/>
      </c>
      <c r="X3047" s="15" t="str">
        <f t="shared" si="10"/>
        <v/>
      </c>
    </row>
    <row r="3048">
      <c r="A3048" s="26">
        <v>46313.0</v>
      </c>
      <c r="B3048" s="30"/>
      <c r="C3048" s="27" t="str">
        <f t="shared" si="249"/>
        <v/>
      </c>
      <c r="D3048" s="28" t="s">
        <v>65</v>
      </c>
      <c r="E3048" s="28" t="s">
        <v>1305</v>
      </c>
      <c r="F3048" s="28" t="s">
        <v>45</v>
      </c>
      <c r="G3048" s="28" t="s">
        <v>37</v>
      </c>
      <c r="H3048" s="54" t="s">
        <v>1396</v>
      </c>
      <c r="I3048" s="37">
        <v>700.0</v>
      </c>
      <c r="J3048" s="34"/>
      <c r="K3048" s="34" t="str">
        <f t="shared" ref="K3048:K3053" si="356">IF(E3048="pago",(I3048-J3048),"")</f>
        <v/>
      </c>
      <c r="L3048" s="28" t="s">
        <v>29</v>
      </c>
      <c r="M3048" s="28"/>
      <c r="N3048" s="28" t="s">
        <v>68</v>
      </c>
      <c r="O3048" s="10" t="str">
        <f t="shared" si="79"/>
        <v>10/2026</v>
      </c>
      <c r="P3048" s="10" t="str">
        <f t="shared" si="351"/>
        <v/>
      </c>
      <c r="Q3048" s="15" t="str">
        <f t="array" ref="Q3048">IFERROR(XLOOKUP(N3048,'Classificação'!A:A,'Classificação'!B:B),"")</f>
        <v>FRETE DE VENDAS</v>
      </c>
      <c r="R3048" s="15" t="str">
        <f t="array" ref="R3048">IFERROR(XLOOKUP(Q3048,'Classificação'!B:B,'Classificação'!C:C),"")</f>
        <v>CUSTOS VARIÁVEIS</v>
      </c>
      <c r="S3048" s="15">
        <f t="shared" si="228"/>
        <v>18</v>
      </c>
      <c r="T3048" s="15">
        <f t="shared" si="128"/>
        <v>10</v>
      </c>
      <c r="U3048" s="15">
        <f t="shared" si="129"/>
        <v>2026</v>
      </c>
      <c r="V3048" s="15" t="str">
        <f t="shared" si="8"/>
        <v/>
      </c>
      <c r="W3048" s="15" t="str">
        <f t="shared" si="9"/>
        <v/>
      </c>
      <c r="X3048" s="15" t="str">
        <f t="shared" si="10"/>
        <v/>
      </c>
    </row>
    <row r="3049">
      <c r="A3049" s="26">
        <v>46315.0</v>
      </c>
      <c r="B3049" s="30"/>
      <c r="C3049" s="27" t="str">
        <f t="shared" si="249"/>
        <v/>
      </c>
      <c r="D3049" s="28" t="s">
        <v>100</v>
      </c>
      <c r="E3049" s="28" t="s">
        <v>1305</v>
      </c>
      <c r="F3049" s="28" t="s">
        <v>40</v>
      </c>
      <c r="G3049" s="28" t="s">
        <v>27</v>
      </c>
      <c r="H3049" s="54" t="s">
        <v>1397</v>
      </c>
      <c r="I3049" s="37">
        <v>14000.0</v>
      </c>
      <c r="J3049" s="34"/>
      <c r="K3049" s="34" t="str">
        <f t="shared" si="356"/>
        <v/>
      </c>
      <c r="L3049" s="28" t="s">
        <v>29</v>
      </c>
      <c r="M3049" s="28"/>
      <c r="N3049" s="28" t="s">
        <v>101</v>
      </c>
      <c r="O3049" s="10" t="str">
        <f t="shared" si="79"/>
        <v>10/2026</v>
      </c>
      <c r="P3049" s="10" t="str">
        <f t="shared" si="351"/>
        <v/>
      </c>
      <c r="Q3049" s="15" t="str">
        <f t="array" ref="Q3049">IFERROR(XLOOKUP(N3049,'Classificação'!A:A,'Classificação'!B:B),"")</f>
        <v>IMPOSTO DE RENDA - DAS</v>
      </c>
      <c r="R3049" s="15" t="str">
        <f t="array" ref="R3049">IFERROR(XLOOKUP(Q3049,'Classificação'!B:B,'Classificação'!C:C),"")</f>
        <v>DEDUÇÕES DA RECEITA BRUTA (-)</v>
      </c>
      <c r="S3049" s="15">
        <f t="shared" si="228"/>
        <v>20</v>
      </c>
      <c r="T3049" s="15">
        <f t="shared" si="128"/>
        <v>10</v>
      </c>
      <c r="U3049" s="15">
        <f t="shared" si="129"/>
        <v>2026</v>
      </c>
      <c r="V3049" s="15" t="str">
        <f t="shared" si="8"/>
        <v/>
      </c>
      <c r="W3049" s="15" t="str">
        <f t="shared" si="9"/>
        <v/>
      </c>
      <c r="X3049" s="15" t="str">
        <f t="shared" si="10"/>
        <v/>
      </c>
    </row>
    <row r="3050">
      <c r="A3050" s="26">
        <v>46315.0</v>
      </c>
      <c r="B3050" s="30"/>
      <c r="C3050" s="27" t="str">
        <f t="shared" si="249"/>
        <v/>
      </c>
      <c r="D3050" s="28" t="s">
        <v>100</v>
      </c>
      <c r="E3050" s="28" t="s">
        <v>1305</v>
      </c>
      <c r="F3050" s="28" t="s">
        <v>40</v>
      </c>
      <c r="G3050" s="28" t="s">
        <v>37</v>
      </c>
      <c r="H3050" s="54" t="s">
        <v>1398</v>
      </c>
      <c r="I3050" s="37">
        <v>14000.0</v>
      </c>
      <c r="J3050" s="34"/>
      <c r="K3050" s="34" t="str">
        <f t="shared" si="356"/>
        <v/>
      </c>
      <c r="L3050" s="28" t="s">
        <v>29</v>
      </c>
      <c r="M3050" s="28"/>
      <c r="N3050" s="28" t="s">
        <v>101</v>
      </c>
      <c r="O3050" s="10" t="str">
        <f t="shared" si="79"/>
        <v>10/2026</v>
      </c>
      <c r="P3050" s="10" t="str">
        <f t="shared" si="351"/>
        <v/>
      </c>
      <c r="Q3050" s="15" t="str">
        <f t="array" ref="Q3050">IFERROR(XLOOKUP(N3050,'Classificação'!A:A,'Classificação'!B:B),"")</f>
        <v>IMPOSTO DE RENDA - DAS</v>
      </c>
      <c r="R3050" s="15" t="str">
        <f t="array" ref="R3050">IFERROR(XLOOKUP(Q3050,'Classificação'!B:B,'Classificação'!C:C),"")</f>
        <v>DEDUÇÕES DA RECEITA BRUTA (-)</v>
      </c>
      <c r="S3050" s="15">
        <f t="shared" si="228"/>
        <v>20</v>
      </c>
      <c r="T3050" s="15">
        <f t="shared" si="128"/>
        <v>10</v>
      </c>
      <c r="U3050" s="15">
        <f t="shared" si="129"/>
        <v>2026</v>
      </c>
      <c r="V3050" s="15" t="str">
        <f t="shared" si="8"/>
        <v/>
      </c>
      <c r="W3050" s="15" t="str">
        <f t="shared" si="9"/>
        <v/>
      </c>
      <c r="X3050" s="15" t="str">
        <f t="shared" si="10"/>
        <v/>
      </c>
    </row>
    <row r="3051">
      <c r="A3051" s="26">
        <v>46315.0</v>
      </c>
      <c r="B3051" s="28"/>
      <c r="C3051" s="27" t="str">
        <f t="shared" si="249"/>
        <v/>
      </c>
      <c r="D3051" s="28" t="s">
        <v>123</v>
      </c>
      <c r="E3051" s="28" t="s">
        <v>1305</v>
      </c>
      <c r="F3051" s="28" t="s">
        <v>40</v>
      </c>
      <c r="G3051" s="28" t="s">
        <v>27</v>
      </c>
      <c r="H3051" s="56" t="s">
        <v>1399</v>
      </c>
      <c r="I3051" s="24">
        <v>572.0</v>
      </c>
      <c r="J3051" s="34"/>
      <c r="K3051" s="34" t="str">
        <f t="shared" si="356"/>
        <v/>
      </c>
      <c r="L3051" s="28" t="s">
        <v>29</v>
      </c>
      <c r="M3051" s="28"/>
      <c r="N3051" s="28" t="s">
        <v>123</v>
      </c>
      <c r="O3051" s="10" t="str">
        <f t="shared" si="79"/>
        <v>10/2026</v>
      </c>
      <c r="P3051" s="10" t="str">
        <f t="shared" si="351"/>
        <v/>
      </c>
      <c r="Q3051" s="15" t="str">
        <f t="array" ref="Q3051">IFERROR(XLOOKUP(N3051,'Classificação'!A:A,'Classificação'!B:B),"")</f>
        <v>DESPESAS COM PESSOAL</v>
      </c>
      <c r="R3051" s="15" t="str">
        <f t="array" ref="R3051">IFERROR(XLOOKUP(Q3051,'Classificação'!B:B,'Classificação'!C:C),"")</f>
        <v>DESPESAS FIXAS (-)</v>
      </c>
      <c r="S3051" s="15">
        <f t="shared" si="228"/>
        <v>20</v>
      </c>
      <c r="T3051" s="15">
        <f t="shared" si="128"/>
        <v>10</v>
      </c>
      <c r="U3051" s="15">
        <f t="shared" si="129"/>
        <v>2026</v>
      </c>
      <c r="V3051" s="15" t="str">
        <f t="shared" si="8"/>
        <v/>
      </c>
      <c r="W3051" s="15" t="str">
        <f t="shared" si="9"/>
        <v/>
      </c>
      <c r="X3051" s="15" t="str">
        <f t="shared" si="10"/>
        <v/>
      </c>
    </row>
    <row r="3052">
      <c r="A3052" s="26">
        <v>46315.0</v>
      </c>
      <c r="B3052" s="28"/>
      <c r="C3052" s="27" t="str">
        <f t="shared" si="249"/>
        <v/>
      </c>
      <c r="D3052" s="28" t="s">
        <v>126</v>
      </c>
      <c r="E3052" s="28" t="s">
        <v>1305</v>
      </c>
      <c r="F3052" s="28" t="s">
        <v>40</v>
      </c>
      <c r="G3052" s="28" t="s">
        <v>27</v>
      </c>
      <c r="H3052" s="54" t="s">
        <v>1400</v>
      </c>
      <c r="I3052" s="24">
        <v>730.0</v>
      </c>
      <c r="J3052" s="34"/>
      <c r="K3052" s="34" t="str">
        <f t="shared" si="356"/>
        <v/>
      </c>
      <c r="L3052" s="28" t="s">
        <v>29</v>
      </c>
      <c r="M3052" s="28"/>
      <c r="N3052" s="28" t="s">
        <v>126</v>
      </c>
      <c r="O3052" s="10" t="str">
        <f t="shared" si="79"/>
        <v>10/2026</v>
      </c>
      <c r="P3052" s="10"/>
      <c r="Q3052" s="15" t="str">
        <f t="array" ref="Q3052">IFERROR(XLOOKUP(N3052,'Classificação'!A:A,'Classificação'!B:B),"")</f>
        <v>DESPESAS COM PESSOAL</v>
      </c>
      <c r="R3052" s="15" t="str">
        <f t="array" ref="R3052">IFERROR(XLOOKUP(Q3052,'Classificação'!B:B,'Classificação'!C:C),"")</f>
        <v>DESPESAS FIXAS (-)</v>
      </c>
      <c r="S3052" s="15">
        <f t="shared" si="228"/>
        <v>20</v>
      </c>
      <c r="T3052" s="15">
        <f t="shared" si="128"/>
        <v>10</v>
      </c>
      <c r="U3052" s="15">
        <f t="shared" si="129"/>
        <v>2026</v>
      </c>
      <c r="V3052" s="15" t="str">
        <f t="shared" si="8"/>
        <v/>
      </c>
      <c r="W3052" s="15" t="str">
        <f t="shared" si="9"/>
        <v/>
      </c>
      <c r="X3052" s="15" t="str">
        <f t="shared" si="10"/>
        <v/>
      </c>
    </row>
    <row r="3053">
      <c r="A3053" s="26">
        <v>46315.0</v>
      </c>
      <c r="B3053" s="28"/>
      <c r="C3053" s="27" t="str">
        <f t="shared" si="249"/>
        <v/>
      </c>
      <c r="D3053" s="28" t="s">
        <v>171</v>
      </c>
      <c r="E3053" s="28" t="s">
        <v>1305</v>
      </c>
      <c r="F3053" s="28" t="s">
        <v>40</v>
      </c>
      <c r="G3053" s="28" t="s">
        <v>27</v>
      </c>
      <c r="H3053" s="55" t="s">
        <v>1382</v>
      </c>
      <c r="I3053" s="37">
        <v>150.0</v>
      </c>
      <c r="J3053" s="34"/>
      <c r="K3053" s="34" t="str">
        <f t="shared" si="356"/>
        <v/>
      </c>
      <c r="L3053" s="28" t="s">
        <v>29</v>
      </c>
      <c r="M3053" s="28"/>
      <c r="N3053" s="28" t="s">
        <v>172</v>
      </c>
      <c r="O3053" s="10" t="str">
        <f t="shared" si="79"/>
        <v>10/2026</v>
      </c>
      <c r="P3053" s="10" t="str">
        <f t="shared" ref="P3053:P3058" si="357">if(B3053="","", TEXT(B3053,"mm/yyyy"))</f>
        <v/>
      </c>
      <c r="Q3053" s="15" t="str">
        <f t="array" ref="Q3053">IFERROR(XLOOKUP(N3053,'Classificação'!A:A,'Classificação'!B:B),"")</f>
        <v>DESPESAS COM OCUPAÇÃO</v>
      </c>
      <c r="R3053" s="15" t="str">
        <f t="array" ref="R3053">IFERROR(XLOOKUP(Q3053,'Classificação'!B:B,'Classificação'!C:C),"")</f>
        <v>DESPESAS FIXAS (-)</v>
      </c>
      <c r="S3053" s="15">
        <f t="shared" si="228"/>
        <v>20</v>
      </c>
      <c r="T3053" s="15">
        <f t="shared" si="128"/>
        <v>10</v>
      </c>
      <c r="U3053" s="15">
        <f t="shared" si="129"/>
        <v>2026</v>
      </c>
      <c r="V3053" s="15" t="str">
        <f t="shared" si="8"/>
        <v/>
      </c>
      <c r="W3053" s="15" t="str">
        <f t="shared" si="9"/>
        <v/>
      </c>
      <c r="X3053" s="15" t="str">
        <f t="shared" si="10"/>
        <v/>
      </c>
    </row>
    <row r="3054">
      <c r="A3054" s="26">
        <v>46315.0</v>
      </c>
      <c r="B3054" s="39"/>
      <c r="C3054" s="9" t="str">
        <f t="shared" si="249"/>
        <v/>
      </c>
      <c r="D3054" s="28" t="s">
        <v>65</v>
      </c>
      <c r="E3054" s="28" t="s">
        <v>1305</v>
      </c>
      <c r="F3054" s="28" t="s">
        <v>107</v>
      </c>
      <c r="G3054" s="28" t="s">
        <v>27</v>
      </c>
      <c r="H3054" s="54" t="s">
        <v>1401</v>
      </c>
      <c r="I3054" s="24">
        <v>8.9</v>
      </c>
      <c r="J3054" s="34"/>
      <c r="K3054" s="13" t="str">
        <f>if(E3054="pago",(I3054-J3054),"")</f>
        <v/>
      </c>
      <c r="L3054" s="28" t="s">
        <v>29</v>
      </c>
      <c r="M3054" s="28"/>
      <c r="N3054" s="28" t="s">
        <v>105</v>
      </c>
      <c r="O3054" s="10" t="str">
        <f t="shared" si="79"/>
        <v>10/2026</v>
      </c>
      <c r="P3054" s="10" t="str">
        <f t="shared" si="357"/>
        <v/>
      </c>
      <c r="Q3054" s="15" t="str">
        <f t="array" ref="Q3054">IFERROR(XLOOKUP(N3054,'Classificação'!A:A,'Classificação'!B:B),"")</f>
        <v>DESPESAS ADMINISTRATIVAS</v>
      </c>
      <c r="R3054" s="15" t="str">
        <f t="array" ref="R3054">IFERROR(XLOOKUP(Q3054,'Classificação'!B:B,'Classificação'!C:C),"")</f>
        <v>DESPESAS FIXAS (-)</v>
      </c>
      <c r="S3054" s="15">
        <f t="shared" si="228"/>
        <v>20</v>
      </c>
      <c r="T3054" s="15">
        <f t="shared" si="128"/>
        <v>10</v>
      </c>
      <c r="U3054" s="15">
        <f t="shared" si="129"/>
        <v>2026</v>
      </c>
      <c r="V3054" s="15" t="str">
        <f t="shared" si="8"/>
        <v/>
      </c>
      <c r="W3054" s="15" t="str">
        <f t="shared" si="9"/>
        <v/>
      </c>
      <c r="X3054" s="15" t="str">
        <f t="shared" si="10"/>
        <v/>
      </c>
    </row>
    <row r="3055">
      <c r="A3055" s="26">
        <v>46315.0</v>
      </c>
      <c r="B3055" s="28"/>
      <c r="C3055" s="27" t="str">
        <f t="shared" si="249"/>
        <v/>
      </c>
      <c r="D3055" s="28" t="s">
        <v>637</v>
      </c>
      <c r="E3055" s="28" t="s">
        <v>1305</v>
      </c>
      <c r="F3055" s="28" t="s">
        <v>40</v>
      </c>
      <c r="G3055" s="28" t="s">
        <v>27</v>
      </c>
      <c r="H3055" s="55" t="s">
        <v>1382</v>
      </c>
      <c r="I3055" s="37">
        <v>170.0</v>
      </c>
      <c r="J3055" s="34"/>
      <c r="K3055" s="34" t="str">
        <f t="shared" ref="K3055:K3058" si="358">IF(E3055="pago",(I3055-J3055),"")</f>
        <v/>
      </c>
      <c r="L3055" s="28" t="s">
        <v>29</v>
      </c>
      <c r="M3055" s="28"/>
      <c r="N3055" s="28" t="s">
        <v>201</v>
      </c>
      <c r="O3055" s="10" t="str">
        <f t="shared" si="79"/>
        <v>10/2026</v>
      </c>
      <c r="P3055" s="10" t="str">
        <f t="shared" si="357"/>
        <v/>
      </c>
      <c r="Q3055" s="15" t="str">
        <f t="array" ref="Q3055">IFERROR(XLOOKUP(N3055,'Classificação'!A:A,'Classificação'!B:B),"")</f>
        <v>DESPESAS COM OCUPAÇÃO</v>
      </c>
      <c r="R3055" s="15" t="str">
        <f t="array" ref="R3055">IFERROR(XLOOKUP(Q3055,'Classificação'!B:B,'Classificação'!C:C),"")</f>
        <v>DESPESAS FIXAS (-)</v>
      </c>
      <c r="S3055" s="15">
        <f t="shared" si="228"/>
        <v>20</v>
      </c>
      <c r="T3055" s="15">
        <f t="shared" si="128"/>
        <v>10</v>
      </c>
      <c r="U3055" s="15">
        <f t="shared" si="129"/>
        <v>2026</v>
      </c>
      <c r="V3055" s="15" t="str">
        <f t="shared" si="8"/>
        <v/>
      </c>
      <c r="W3055" s="15" t="str">
        <f t="shared" si="9"/>
        <v/>
      </c>
      <c r="X3055" s="15" t="str">
        <f t="shared" si="10"/>
        <v/>
      </c>
    </row>
    <row r="3056">
      <c r="A3056" s="26">
        <v>46315.0</v>
      </c>
      <c r="B3056" s="28"/>
      <c r="C3056" s="27" t="str">
        <f t="shared" si="249"/>
        <v/>
      </c>
      <c r="D3056" s="28" t="s">
        <v>121</v>
      </c>
      <c r="E3056" s="28" t="s">
        <v>1305</v>
      </c>
      <c r="F3056" s="28" t="s">
        <v>107</v>
      </c>
      <c r="G3056" s="28" t="s">
        <v>27</v>
      </c>
      <c r="H3056" s="54" t="s">
        <v>1382</v>
      </c>
      <c r="I3056" s="24">
        <v>79.9</v>
      </c>
      <c r="J3056" s="34"/>
      <c r="K3056" s="34" t="str">
        <f t="shared" si="358"/>
        <v/>
      </c>
      <c r="L3056" s="28" t="s">
        <v>29</v>
      </c>
      <c r="M3056" s="28"/>
      <c r="N3056" s="28" t="s">
        <v>105</v>
      </c>
      <c r="O3056" s="10" t="str">
        <f t="shared" si="79"/>
        <v>10/2026</v>
      </c>
      <c r="P3056" s="10" t="str">
        <f t="shared" si="357"/>
        <v/>
      </c>
      <c r="Q3056" s="15" t="str">
        <f t="array" ref="Q3056">IFERROR(XLOOKUP(N3056,'Classificação'!A:A,'Classificação'!B:B),"")</f>
        <v>DESPESAS ADMINISTRATIVAS</v>
      </c>
      <c r="R3056" s="15" t="str">
        <f t="array" ref="R3056">IFERROR(XLOOKUP(Q3056,'Classificação'!B:B,'Classificação'!C:C),"")</f>
        <v>DESPESAS FIXAS (-)</v>
      </c>
      <c r="S3056" s="15">
        <f t="shared" si="228"/>
        <v>20</v>
      </c>
      <c r="T3056" s="15">
        <f t="shared" si="128"/>
        <v>10</v>
      </c>
      <c r="U3056" s="15">
        <f t="shared" si="129"/>
        <v>2026</v>
      </c>
      <c r="V3056" s="15" t="str">
        <f t="shared" si="8"/>
        <v/>
      </c>
      <c r="W3056" s="15" t="str">
        <f t="shared" si="9"/>
        <v/>
      </c>
      <c r="X3056" s="15" t="str">
        <f t="shared" si="10"/>
        <v/>
      </c>
    </row>
    <row r="3057">
      <c r="A3057" s="26">
        <v>46315.0</v>
      </c>
      <c r="B3057" s="28"/>
      <c r="C3057" s="27" t="str">
        <f t="shared" si="249"/>
        <v/>
      </c>
      <c r="D3057" s="28" t="s">
        <v>104</v>
      </c>
      <c r="E3057" s="28" t="s">
        <v>1305</v>
      </c>
      <c r="F3057" s="28" t="s">
        <v>40</v>
      </c>
      <c r="G3057" s="28" t="s">
        <v>27</v>
      </c>
      <c r="H3057" s="54" t="s">
        <v>1402</v>
      </c>
      <c r="I3057" s="37">
        <v>450.0</v>
      </c>
      <c r="J3057" s="34"/>
      <c r="K3057" s="34" t="str">
        <f t="shared" si="358"/>
        <v/>
      </c>
      <c r="L3057" s="28" t="s">
        <v>29</v>
      </c>
      <c r="M3057" s="28"/>
      <c r="N3057" s="28" t="s">
        <v>105</v>
      </c>
      <c r="O3057" s="10" t="str">
        <f t="shared" si="79"/>
        <v>10/2026</v>
      </c>
      <c r="P3057" s="10" t="str">
        <f t="shared" si="357"/>
        <v/>
      </c>
      <c r="Q3057" s="15" t="str">
        <f t="array" ref="Q3057">IFERROR(XLOOKUP(N3057,'Classificação'!A:A,'Classificação'!B:B),"")</f>
        <v>DESPESAS ADMINISTRATIVAS</v>
      </c>
      <c r="R3057" s="15" t="str">
        <f t="array" ref="R3057">IFERROR(XLOOKUP(Q3057,'Classificação'!B:B,'Classificação'!C:C),"")</f>
        <v>DESPESAS FIXAS (-)</v>
      </c>
      <c r="S3057" s="15">
        <f t="shared" si="228"/>
        <v>20</v>
      </c>
      <c r="T3057" s="15">
        <f t="shared" si="128"/>
        <v>10</v>
      </c>
      <c r="U3057" s="15">
        <f t="shared" si="129"/>
        <v>2026</v>
      </c>
      <c r="V3057" s="15" t="str">
        <f t="shared" si="8"/>
        <v/>
      </c>
      <c r="W3057" s="15" t="str">
        <f t="shared" si="9"/>
        <v/>
      </c>
      <c r="X3057" s="15" t="str">
        <f t="shared" si="10"/>
        <v/>
      </c>
    </row>
    <row r="3058">
      <c r="A3058" s="26">
        <v>46315.0</v>
      </c>
      <c r="B3058" s="28"/>
      <c r="C3058" s="27" t="str">
        <f t="shared" si="249"/>
        <v/>
      </c>
      <c r="D3058" s="28" t="s">
        <v>44</v>
      </c>
      <c r="E3058" s="28" t="s">
        <v>1305</v>
      </c>
      <c r="F3058" s="28" t="s">
        <v>45</v>
      </c>
      <c r="G3058" s="28" t="s">
        <v>27</v>
      </c>
      <c r="H3058" s="54" t="s">
        <v>1403</v>
      </c>
      <c r="I3058" s="37">
        <v>125.0</v>
      </c>
      <c r="J3058" s="34"/>
      <c r="K3058" s="34" t="str">
        <f t="shared" si="358"/>
        <v/>
      </c>
      <c r="L3058" s="28" t="s">
        <v>29</v>
      </c>
      <c r="M3058" s="28"/>
      <c r="N3058" s="28" t="s">
        <v>47</v>
      </c>
      <c r="O3058" s="10" t="str">
        <f t="shared" si="79"/>
        <v>10/2026</v>
      </c>
      <c r="P3058" s="10" t="str">
        <f t="shared" si="357"/>
        <v/>
      </c>
      <c r="Q3058" s="15" t="str">
        <f t="array" ref="Q3058">IFERROR(XLOOKUP(N3058,'Classificação'!A:A,'Classificação'!B:B),"")</f>
        <v>DESPESAS NÃO OPERACIONAIS</v>
      </c>
      <c r="R3058" s="15" t="str">
        <f t="array" ref="R3058">IFERROR(XLOOKUP(Q3058,'Classificação'!B:B,'Classificação'!C:C),"")</f>
        <v>RESULTADO NÃO OPERACIONAL (+/-)</v>
      </c>
      <c r="S3058" s="15">
        <f t="shared" si="228"/>
        <v>20</v>
      </c>
      <c r="T3058" s="15">
        <f t="shared" si="128"/>
        <v>10</v>
      </c>
      <c r="U3058" s="15">
        <f t="shared" si="129"/>
        <v>2026</v>
      </c>
      <c r="V3058" s="15" t="str">
        <f t="shared" si="8"/>
        <v/>
      </c>
      <c r="W3058" s="15" t="str">
        <f t="shared" si="9"/>
        <v/>
      </c>
      <c r="X3058" s="15" t="str">
        <f t="shared" si="10"/>
        <v/>
      </c>
    </row>
    <row r="3059">
      <c r="A3059" s="32">
        <v>46315.0</v>
      </c>
      <c r="B3059" s="9">
        <v>46282.0</v>
      </c>
      <c r="C3059" s="9" t="str">
        <f t="shared" si="249"/>
        <v/>
      </c>
      <c r="D3059" s="11" t="s">
        <v>1181</v>
      </c>
      <c r="E3059" s="29" t="s">
        <v>1305</v>
      </c>
      <c r="F3059" s="11" t="s">
        <v>107</v>
      </c>
      <c r="G3059" s="28" t="s">
        <v>27</v>
      </c>
      <c r="H3059" s="11" t="s">
        <v>1182</v>
      </c>
      <c r="I3059" s="12">
        <v>39.99</v>
      </c>
      <c r="J3059" s="13"/>
      <c r="K3059" s="13" t="str">
        <f>if(E3059="pago",(I3059-J3059),"")</f>
        <v/>
      </c>
      <c r="L3059" s="11" t="s">
        <v>29</v>
      </c>
      <c r="M3059" s="14"/>
      <c r="N3059" s="11" t="s">
        <v>105</v>
      </c>
      <c r="O3059" s="10" t="str">
        <f t="shared" si="79"/>
        <v>10/2026</v>
      </c>
      <c r="P3059" s="10" t="str">
        <f t="shared" ref="P3059:P3064" si="359">if(C3059="","", TEXT(C3059,"mm/yyyy"))</f>
        <v/>
      </c>
      <c r="Q3059" s="15" t="str">
        <f t="array" ref="Q3059">IFERROR(XLOOKUP(N3059,'Classificação'!A:A,'Classificação'!B:B),"")</f>
        <v>DESPESAS ADMINISTRATIVAS</v>
      </c>
      <c r="R3059" s="15" t="str">
        <f t="array" ref="R3059">IFERROR(XLOOKUP(Q3059,'Classificação'!B:B,'Classificação'!C:C),"")</f>
        <v>DESPESAS FIXAS (-)</v>
      </c>
      <c r="S3059" s="15">
        <f t="shared" si="228"/>
        <v>20</v>
      </c>
      <c r="T3059" s="15">
        <f t="shared" si="128"/>
        <v>10</v>
      </c>
      <c r="U3059" s="15">
        <f t="shared" si="129"/>
        <v>2026</v>
      </c>
      <c r="V3059" s="15" t="str">
        <f t="shared" si="8"/>
        <v/>
      </c>
      <c r="W3059" s="15" t="str">
        <f t="shared" si="9"/>
        <v/>
      </c>
      <c r="X3059" s="15" t="str">
        <f t="shared" si="10"/>
        <v/>
      </c>
    </row>
    <row r="3060">
      <c r="A3060" s="27">
        <v>46315.0</v>
      </c>
      <c r="B3060" s="28"/>
      <c r="C3060" s="27" t="str">
        <f t="shared" si="249"/>
        <v/>
      </c>
      <c r="D3060" s="28" t="s">
        <v>126</v>
      </c>
      <c r="E3060" s="28" t="s">
        <v>1305</v>
      </c>
      <c r="F3060" s="28" t="s">
        <v>40</v>
      </c>
      <c r="G3060" s="28" t="s">
        <v>27</v>
      </c>
      <c r="H3060" s="54" t="s">
        <v>1404</v>
      </c>
      <c r="I3060" s="24">
        <v>210.0</v>
      </c>
      <c r="J3060" s="34"/>
      <c r="K3060" s="34" t="str">
        <f t="shared" ref="K3060:K3061" si="360">IF(E3060="pago",(I3060-J3060),"")</f>
        <v/>
      </c>
      <c r="L3060" s="28" t="s">
        <v>29</v>
      </c>
      <c r="M3060" s="28"/>
      <c r="N3060" s="28" t="s">
        <v>126</v>
      </c>
      <c r="O3060" s="10" t="str">
        <f t="shared" si="79"/>
        <v>10/2026</v>
      </c>
      <c r="P3060" s="10" t="str">
        <f t="shared" si="359"/>
        <v/>
      </c>
      <c r="Q3060" s="15" t="str">
        <f t="array" ref="Q3060">IFERROR(XLOOKUP(N3060,'Classificação'!A:A,'Classificação'!B:B),"")</f>
        <v>DESPESAS COM PESSOAL</v>
      </c>
      <c r="R3060" s="15" t="str">
        <f t="array" ref="R3060">IFERROR(XLOOKUP(Q3060,'Classificação'!B:B,'Classificação'!C:C),"")</f>
        <v>DESPESAS FIXAS (-)</v>
      </c>
      <c r="S3060" s="15">
        <f t="shared" si="228"/>
        <v>20</v>
      </c>
      <c r="T3060" s="15">
        <f t="shared" si="128"/>
        <v>10</v>
      </c>
      <c r="U3060" s="15">
        <f t="shared" si="129"/>
        <v>2026</v>
      </c>
      <c r="V3060" s="15" t="str">
        <f t="shared" si="8"/>
        <v/>
      </c>
      <c r="W3060" s="15" t="str">
        <f t="shared" si="9"/>
        <v/>
      </c>
      <c r="X3060" s="15" t="str">
        <f t="shared" si="10"/>
        <v/>
      </c>
    </row>
    <row r="3061">
      <c r="A3061" s="27">
        <v>46315.0</v>
      </c>
      <c r="B3061" s="28"/>
      <c r="C3061" s="27" t="str">
        <f t="shared" si="249"/>
        <v/>
      </c>
      <c r="D3061" s="28" t="s">
        <v>123</v>
      </c>
      <c r="E3061" s="28" t="s">
        <v>1305</v>
      </c>
      <c r="F3061" s="28" t="s">
        <v>40</v>
      </c>
      <c r="G3061" s="28" t="s">
        <v>27</v>
      </c>
      <c r="H3061" s="57" t="s">
        <v>1405</v>
      </c>
      <c r="I3061" s="24">
        <v>217.0</v>
      </c>
      <c r="J3061" s="34"/>
      <c r="K3061" s="34" t="str">
        <f t="shared" si="360"/>
        <v/>
      </c>
      <c r="L3061" s="28" t="s">
        <v>29</v>
      </c>
      <c r="M3061" s="28"/>
      <c r="N3061" s="28" t="s">
        <v>123</v>
      </c>
      <c r="O3061" s="10" t="str">
        <f t="shared" si="79"/>
        <v>10/2026</v>
      </c>
      <c r="P3061" s="10" t="str">
        <f t="shared" si="359"/>
        <v/>
      </c>
      <c r="Q3061" s="15" t="str">
        <f t="array" ref="Q3061">IFERROR(XLOOKUP(N3061,'Classificação'!A:A,'Classificação'!B:B),"")</f>
        <v>DESPESAS COM PESSOAL</v>
      </c>
      <c r="R3061" s="15" t="str">
        <f t="array" ref="R3061">IFERROR(XLOOKUP(Q3061,'Classificação'!B:B,'Classificação'!C:C),"")</f>
        <v>DESPESAS FIXAS (-)</v>
      </c>
      <c r="S3061" s="15">
        <f t="shared" si="228"/>
        <v>20</v>
      </c>
      <c r="T3061" s="15">
        <f t="shared" si="128"/>
        <v>10</v>
      </c>
      <c r="U3061" s="15">
        <f t="shared" si="129"/>
        <v>2026</v>
      </c>
      <c r="V3061" s="15" t="str">
        <f t="shared" si="8"/>
        <v/>
      </c>
      <c r="W3061" s="15" t="str">
        <f t="shared" si="9"/>
        <v/>
      </c>
      <c r="X3061" s="15" t="str">
        <f t="shared" si="10"/>
        <v/>
      </c>
    </row>
    <row r="3062">
      <c r="A3062" s="9">
        <v>46315.0</v>
      </c>
      <c r="B3062" s="10"/>
      <c r="C3062" s="9" t="str">
        <f t="shared" si="249"/>
        <v/>
      </c>
      <c r="D3062" s="28" t="s">
        <v>369</v>
      </c>
      <c r="E3062" s="28" t="s">
        <v>1305</v>
      </c>
      <c r="F3062" s="28" t="s">
        <v>107</v>
      </c>
      <c r="G3062" s="28" t="s">
        <v>27</v>
      </c>
      <c r="H3062" s="55" t="s">
        <v>1406</v>
      </c>
      <c r="I3062" s="38">
        <v>29.9</v>
      </c>
      <c r="J3062" s="13"/>
      <c r="K3062" s="13" t="str">
        <f t="shared" ref="K3062:K3067" si="361">if(E3062="pago",(I3062-J3062),"")</f>
        <v/>
      </c>
      <c r="L3062" s="29" t="s">
        <v>29</v>
      </c>
      <c r="M3062" s="14"/>
      <c r="N3062" s="29" t="s">
        <v>105</v>
      </c>
      <c r="O3062" s="10" t="str">
        <f t="shared" si="79"/>
        <v>10/2026</v>
      </c>
      <c r="P3062" s="10" t="str">
        <f t="shared" si="359"/>
        <v/>
      </c>
      <c r="Q3062" s="15" t="str">
        <f t="array" ref="Q3062">IFERROR(XLOOKUP(N3062,'Classificação'!A:A,'Classificação'!B:B),"")</f>
        <v>DESPESAS ADMINISTRATIVAS</v>
      </c>
      <c r="R3062" s="15" t="str">
        <f t="array" ref="R3062">IFERROR(XLOOKUP(Q3062,'Classificação'!B:B,'Classificação'!C:C),"")</f>
        <v>DESPESAS FIXAS (-)</v>
      </c>
      <c r="S3062" s="15">
        <f t="shared" si="228"/>
        <v>20</v>
      </c>
      <c r="T3062" s="15">
        <f t="shared" si="128"/>
        <v>10</v>
      </c>
      <c r="U3062" s="15">
        <f t="shared" si="129"/>
        <v>2026</v>
      </c>
      <c r="V3062" s="15" t="str">
        <f t="shared" si="8"/>
        <v/>
      </c>
      <c r="W3062" s="15" t="str">
        <f t="shared" si="9"/>
        <v/>
      </c>
      <c r="X3062" s="15" t="str">
        <f t="shared" si="10"/>
        <v/>
      </c>
    </row>
    <row r="3063">
      <c r="A3063" s="9">
        <v>46315.0</v>
      </c>
      <c r="B3063" s="9">
        <v>46081.0</v>
      </c>
      <c r="C3063" s="9" t="str">
        <f t="shared" si="249"/>
        <v/>
      </c>
      <c r="D3063" s="11" t="s">
        <v>65</v>
      </c>
      <c r="E3063" s="28" t="s">
        <v>1305</v>
      </c>
      <c r="F3063" s="11" t="s">
        <v>107</v>
      </c>
      <c r="G3063" s="11" t="s">
        <v>27</v>
      </c>
      <c r="H3063" s="11" t="s">
        <v>1293</v>
      </c>
      <c r="I3063" s="31">
        <v>127.9</v>
      </c>
      <c r="J3063" s="13"/>
      <c r="K3063" s="13" t="str">
        <f t="shared" si="361"/>
        <v/>
      </c>
      <c r="L3063" s="11" t="s">
        <v>53</v>
      </c>
      <c r="M3063" s="17">
        <v>46364.0</v>
      </c>
      <c r="N3063" s="11" t="s">
        <v>95</v>
      </c>
      <c r="O3063" s="10" t="str">
        <f t="shared" si="79"/>
        <v>10/2026</v>
      </c>
      <c r="P3063" s="10" t="str">
        <f t="shared" si="359"/>
        <v/>
      </c>
      <c r="Q3063" s="15" t="str">
        <f t="array" ref="Q3063">IFERROR(XLOOKUP(N3063,'Classificação'!A:A,'Classificação'!B:B),"")</f>
        <v>DESPESAS NÃO OPERACIONAIS</v>
      </c>
      <c r="R3063" s="15" t="str">
        <f t="array" ref="R3063">IFERROR(XLOOKUP(Q3063,'Classificação'!B:B,'Classificação'!C:C),"")</f>
        <v>RESULTADO NÃO OPERACIONAL (+/-)</v>
      </c>
      <c r="S3063" s="15">
        <f t="shared" si="228"/>
        <v>20</v>
      </c>
      <c r="T3063" s="15">
        <f t="shared" si="128"/>
        <v>10</v>
      </c>
      <c r="U3063" s="15">
        <f t="shared" si="129"/>
        <v>2026</v>
      </c>
      <c r="V3063" s="15" t="str">
        <f t="shared" si="8"/>
        <v/>
      </c>
      <c r="W3063" s="15" t="str">
        <f t="shared" si="9"/>
        <v/>
      </c>
      <c r="X3063" s="15" t="str">
        <f t="shared" si="10"/>
        <v/>
      </c>
    </row>
    <row r="3064">
      <c r="A3064" s="9">
        <v>46315.0</v>
      </c>
      <c r="B3064" s="9">
        <v>46077.0</v>
      </c>
      <c r="C3064" s="9" t="str">
        <f t="shared" si="249"/>
        <v/>
      </c>
      <c r="D3064" s="11" t="s">
        <v>1294</v>
      </c>
      <c r="E3064" s="28" t="s">
        <v>1305</v>
      </c>
      <c r="F3064" s="11" t="s">
        <v>107</v>
      </c>
      <c r="G3064" s="28" t="s">
        <v>27</v>
      </c>
      <c r="H3064" s="11" t="s">
        <v>1295</v>
      </c>
      <c r="I3064" s="31">
        <v>185.2</v>
      </c>
      <c r="J3064" s="13"/>
      <c r="K3064" s="13" t="str">
        <f t="shared" si="361"/>
        <v/>
      </c>
      <c r="L3064" s="28" t="s">
        <v>53</v>
      </c>
      <c r="M3064" s="17">
        <v>46364.0</v>
      </c>
      <c r="N3064" s="11" t="s">
        <v>64</v>
      </c>
      <c r="O3064" s="10" t="str">
        <f t="shared" si="79"/>
        <v>10/2026</v>
      </c>
      <c r="P3064" s="10" t="str">
        <f t="shared" si="359"/>
        <v/>
      </c>
      <c r="Q3064" s="15" t="str">
        <f t="array" ref="Q3064">IFERROR(XLOOKUP(N3064,'Classificação'!A:A,'Classificação'!B:B),"")</f>
        <v>DESPESAS COM PESSOAL</v>
      </c>
      <c r="R3064" s="15" t="str">
        <f t="array" ref="R3064">IFERROR(XLOOKUP(Q3064,'Classificação'!B:B,'Classificação'!C:C),"")</f>
        <v>DESPESAS FIXAS (-)</v>
      </c>
      <c r="S3064" s="15">
        <f t="shared" si="228"/>
        <v>20</v>
      </c>
      <c r="T3064" s="15">
        <f t="shared" si="128"/>
        <v>10</v>
      </c>
      <c r="U3064" s="15">
        <f t="shared" si="129"/>
        <v>2026</v>
      </c>
      <c r="V3064" s="15" t="str">
        <f t="shared" si="8"/>
        <v/>
      </c>
      <c r="W3064" s="15" t="str">
        <f t="shared" si="9"/>
        <v/>
      </c>
      <c r="X3064" s="15" t="str">
        <f t="shared" si="10"/>
        <v/>
      </c>
    </row>
    <row r="3065">
      <c r="A3065" s="26">
        <v>46316.0</v>
      </c>
      <c r="B3065" s="30"/>
      <c r="C3065" s="27" t="str">
        <f t="shared" si="249"/>
        <v/>
      </c>
      <c r="D3065" s="28" t="s">
        <v>76</v>
      </c>
      <c r="E3065" s="28" t="s">
        <v>1305</v>
      </c>
      <c r="F3065" s="28" t="s">
        <v>26</v>
      </c>
      <c r="G3065" s="28" t="s">
        <v>27</v>
      </c>
      <c r="H3065" s="28" t="s">
        <v>84</v>
      </c>
      <c r="I3065" s="37">
        <v>1214.27</v>
      </c>
      <c r="J3065" s="34"/>
      <c r="K3065" s="13" t="str">
        <f t="shared" si="361"/>
        <v/>
      </c>
      <c r="L3065" s="28" t="s">
        <v>53</v>
      </c>
      <c r="M3065" s="28" t="s">
        <v>1371</v>
      </c>
      <c r="N3065" s="28" t="s">
        <v>85</v>
      </c>
      <c r="O3065" s="10" t="str">
        <f t="shared" si="79"/>
        <v>10/2026</v>
      </c>
      <c r="P3065" s="10"/>
      <c r="Q3065" s="15" t="str">
        <f t="array" ref="Q3065">IFERROR(XLOOKUP(N3065,'Classificação'!A:A,'Classificação'!B:B),"")</f>
        <v>DESPESAS NÃO OPERACIONAIS</v>
      </c>
      <c r="R3065" s="15" t="str">
        <f t="array" ref="R3065">IFERROR(XLOOKUP(Q3065,'Classificação'!B:B,'Classificação'!C:C),"")</f>
        <v>RESULTADO NÃO OPERACIONAL (+/-)</v>
      </c>
      <c r="S3065" s="15">
        <f t="shared" si="228"/>
        <v>21</v>
      </c>
      <c r="T3065" s="15">
        <f t="shared" si="128"/>
        <v>10</v>
      </c>
      <c r="U3065" s="15">
        <f t="shared" si="129"/>
        <v>2026</v>
      </c>
      <c r="V3065" s="15" t="str">
        <f t="shared" si="8"/>
        <v/>
      </c>
      <c r="W3065" s="15" t="str">
        <f t="shared" si="9"/>
        <v/>
      </c>
      <c r="X3065" s="15" t="str">
        <f t="shared" si="10"/>
        <v/>
      </c>
    </row>
    <row r="3066">
      <c r="A3066" s="26">
        <v>46317.0</v>
      </c>
      <c r="B3066" s="10"/>
      <c r="C3066" s="9" t="str">
        <f t="shared" si="249"/>
        <v/>
      </c>
      <c r="D3066" s="28" t="s">
        <v>36</v>
      </c>
      <c r="E3066" s="28" t="s">
        <v>1305</v>
      </c>
      <c r="F3066" s="28" t="s">
        <v>26</v>
      </c>
      <c r="G3066" s="28" t="s">
        <v>37</v>
      </c>
      <c r="H3066" s="11" t="s">
        <v>1382</v>
      </c>
      <c r="I3066" s="37">
        <v>9000.0</v>
      </c>
      <c r="J3066" s="13"/>
      <c r="K3066" s="13" t="str">
        <f t="shared" si="361"/>
        <v/>
      </c>
      <c r="L3066" s="28" t="s">
        <v>29</v>
      </c>
      <c r="M3066" s="14"/>
      <c r="N3066" s="28" t="s">
        <v>38</v>
      </c>
      <c r="O3066" s="10" t="str">
        <f t="shared" si="79"/>
        <v>10/2026</v>
      </c>
      <c r="P3066" s="10" t="str">
        <f t="shared" ref="P3066:P3068" si="362">if(C3066="","", TEXT(C3066,"mm/yyyy"))</f>
        <v/>
      </c>
      <c r="Q3066" s="15" t="str">
        <f t="array" ref="Q3066">IFERROR(XLOOKUP(N3066,'Classificação'!A:A,'Classificação'!B:B),"")</f>
        <v>DESPESAS COM PESSOAL</v>
      </c>
      <c r="R3066" s="15" t="str">
        <f t="array" ref="R3066">IFERROR(XLOOKUP(Q3066,'Classificação'!B:B,'Classificação'!C:C),"")</f>
        <v>DESPESAS FIXAS (-)</v>
      </c>
      <c r="S3066" s="15">
        <f t="shared" si="228"/>
        <v>22</v>
      </c>
      <c r="T3066" s="15">
        <f t="shared" si="128"/>
        <v>10</v>
      </c>
      <c r="U3066" s="15">
        <f t="shared" si="129"/>
        <v>2026</v>
      </c>
      <c r="V3066" s="15" t="str">
        <f t="shared" si="8"/>
        <v/>
      </c>
      <c r="W3066" s="15" t="str">
        <f t="shared" si="9"/>
        <v/>
      </c>
      <c r="X3066" s="15" t="str">
        <f t="shared" si="10"/>
        <v/>
      </c>
    </row>
    <row r="3067">
      <c r="A3067" s="26">
        <v>46317.0</v>
      </c>
      <c r="B3067" s="10"/>
      <c r="C3067" s="9" t="str">
        <f t="shared" si="249"/>
        <v/>
      </c>
      <c r="D3067" s="28" t="s">
        <v>43</v>
      </c>
      <c r="E3067" s="28" t="s">
        <v>1305</v>
      </c>
      <c r="F3067" s="29" t="s">
        <v>26</v>
      </c>
      <c r="G3067" s="28" t="s">
        <v>37</v>
      </c>
      <c r="H3067" s="55" t="s">
        <v>1382</v>
      </c>
      <c r="I3067" s="37">
        <v>9000.0</v>
      </c>
      <c r="J3067" s="13"/>
      <c r="K3067" s="13" t="str">
        <f t="shared" si="361"/>
        <v/>
      </c>
      <c r="L3067" s="28" t="s">
        <v>29</v>
      </c>
      <c r="M3067" s="14"/>
      <c r="N3067" s="28" t="s">
        <v>38</v>
      </c>
      <c r="O3067" s="10" t="str">
        <f t="shared" si="79"/>
        <v>10/2026</v>
      </c>
      <c r="P3067" s="10" t="str">
        <f t="shared" si="362"/>
        <v/>
      </c>
      <c r="Q3067" s="15" t="str">
        <f t="array" ref="Q3067">IFERROR(XLOOKUP(N3067,'Classificação'!A:A,'Classificação'!B:B),"")</f>
        <v>DESPESAS COM PESSOAL</v>
      </c>
      <c r="R3067" s="15" t="str">
        <f t="array" ref="R3067">IFERROR(XLOOKUP(Q3067,'Classificação'!B:B,'Classificação'!C:C),"")</f>
        <v>DESPESAS FIXAS (-)</v>
      </c>
      <c r="S3067" s="15">
        <f t="shared" si="228"/>
        <v>22</v>
      </c>
      <c r="T3067" s="15">
        <f t="shared" si="128"/>
        <v>10</v>
      </c>
      <c r="U3067" s="15">
        <f t="shared" si="129"/>
        <v>2026</v>
      </c>
      <c r="V3067" s="15" t="str">
        <f t="shared" si="8"/>
        <v/>
      </c>
      <c r="W3067" s="15" t="str">
        <f t="shared" si="9"/>
        <v/>
      </c>
      <c r="X3067" s="15" t="str">
        <f t="shared" si="10"/>
        <v/>
      </c>
    </row>
    <row r="3068">
      <c r="A3068" s="9">
        <v>46319.0</v>
      </c>
      <c r="B3068" s="10"/>
      <c r="C3068" s="9" t="str">
        <f t="shared" si="249"/>
        <v/>
      </c>
      <c r="D3068" s="28" t="s">
        <v>39</v>
      </c>
      <c r="E3068" s="28" t="s">
        <v>1305</v>
      </c>
      <c r="F3068" s="28" t="s">
        <v>40</v>
      </c>
      <c r="G3068" s="28" t="s">
        <v>27</v>
      </c>
      <c r="H3068" s="28" t="s">
        <v>640</v>
      </c>
      <c r="I3068" s="24">
        <v>148.07</v>
      </c>
      <c r="J3068" s="34"/>
      <c r="K3068" s="37" t="str">
        <f t="shared" ref="K3068:K3070" si="363">IF(E3068="pago",(I3068-J3068),"")</f>
        <v/>
      </c>
      <c r="L3068" s="28" t="s">
        <v>53</v>
      </c>
      <c r="M3068" s="40">
        <v>45938.0</v>
      </c>
      <c r="N3068" s="28" t="s">
        <v>355</v>
      </c>
      <c r="O3068" s="10" t="str">
        <f t="shared" si="79"/>
        <v>10/2026</v>
      </c>
      <c r="P3068" s="10" t="str">
        <f t="shared" si="362"/>
        <v/>
      </c>
      <c r="Q3068" s="15" t="str">
        <f t="array" ref="Q3068">IFERROR(XLOOKUP(N3068,'Classificação'!A:A,'Classificação'!B:B),"")</f>
        <v>IMPOSTOS E TAXAS DIVERSAS</v>
      </c>
      <c r="S3068" s="15">
        <f t="shared" si="228"/>
        <v>24</v>
      </c>
      <c r="T3068" s="15">
        <f t="shared" si="128"/>
        <v>10</v>
      </c>
      <c r="U3068" s="15">
        <f t="shared" si="129"/>
        <v>2026</v>
      </c>
      <c r="V3068" s="15" t="str">
        <f t="shared" si="8"/>
        <v/>
      </c>
      <c r="W3068" s="15" t="str">
        <f t="shared" si="9"/>
        <v/>
      </c>
      <c r="X3068" s="15" t="str">
        <f t="shared" si="10"/>
        <v/>
      </c>
    </row>
    <row r="3069">
      <c r="A3069" s="26">
        <v>46320.0</v>
      </c>
      <c r="B3069" s="28"/>
      <c r="C3069" s="27" t="str">
        <f t="shared" si="249"/>
        <v/>
      </c>
      <c r="D3069" s="28" t="s">
        <v>208</v>
      </c>
      <c r="E3069" s="28" t="s">
        <v>1305</v>
      </c>
      <c r="F3069" s="28" t="s">
        <v>40</v>
      </c>
      <c r="G3069" s="28" t="s">
        <v>27</v>
      </c>
      <c r="H3069" s="54" t="s">
        <v>1407</v>
      </c>
      <c r="I3069" s="37">
        <v>204.96</v>
      </c>
      <c r="J3069" s="34"/>
      <c r="K3069" s="34" t="str">
        <f t="shared" si="363"/>
        <v/>
      </c>
      <c r="L3069" s="28" t="s">
        <v>29</v>
      </c>
      <c r="M3069" s="28"/>
      <c r="N3069" s="28" t="s">
        <v>210</v>
      </c>
      <c r="O3069" s="10" t="str">
        <f t="shared" si="79"/>
        <v>10/2026</v>
      </c>
      <c r="P3069" s="10" t="str">
        <f>if(B3069="","", TEXT(B3069,"mm/yyyy"))</f>
        <v/>
      </c>
      <c r="Q3069" s="15" t="str">
        <f t="array" ref="Q3069">IFERROR(XLOOKUP(N3069,'Classificação'!A:A,'Classificação'!B:B),"")</f>
        <v>DESPESAS COM OCUPAÇÃO</v>
      </c>
      <c r="R3069" s="15" t="str">
        <f t="array" ref="R3069">IFERROR(XLOOKUP(Q3069,'Classificação'!B:B,'Classificação'!C:C),"")</f>
        <v>DESPESAS FIXAS (-)</v>
      </c>
      <c r="S3069" s="15">
        <f t="shared" si="228"/>
        <v>25</v>
      </c>
      <c r="T3069" s="15">
        <f t="shared" si="128"/>
        <v>10</v>
      </c>
      <c r="U3069" s="15">
        <f t="shared" si="129"/>
        <v>2026</v>
      </c>
      <c r="V3069" s="15" t="str">
        <f t="shared" si="8"/>
        <v/>
      </c>
      <c r="W3069" s="15" t="str">
        <f t="shared" si="9"/>
        <v/>
      </c>
      <c r="X3069" s="15" t="str">
        <f t="shared" si="10"/>
        <v/>
      </c>
    </row>
    <row r="3070">
      <c r="A3070" s="58">
        <v>46320.0</v>
      </c>
      <c r="B3070" s="59"/>
      <c r="C3070" s="60" t="str">
        <f t="shared" si="249"/>
        <v/>
      </c>
      <c r="D3070" s="59" t="s">
        <v>828</v>
      </c>
      <c r="E3070" s="61" t="s">
        <v>1305</v>
      </c>
      <c r="F3070" s="59" t="s">
        <v>26</v>
      </c>
      <c r="G3070" s="59" t="s">
        <v>37</v>
      </c>
      <c r="H3070" s="61" t="s">
        <v>1408</v>
      </c>
      <c r="I3070" s="62">
        <v>107.81</v>
      </c>
      <c r="J3070" s="63"/>
      <c r="K3070" s="64" t="str">
        <f t="shared" si="363"/>
        <v/>
      </c>
      <c r="L3070" s="59" t="s">
        <v>34</v>
      </c>
      <c r="M3070" s="59"/>
      <c r="N3070" s="59" t="s">
        <v>105</v>
      </c>
      <c r="O3070" s="10" t="str">
        <f t="shared" si="79"/>
        <v>10/2026</v>
      </c>
      <c r="P3070" s="10" t="str">
        <f t="shared" ref="P3070:P3071" si="364">if(C3070="","", TEXT(C3070,"mm/yyyy"))</f>
        <v/>
      </c>
      <c r="Q3070" s="15" t="str">
        <f t="array" ref="Q3070">IFERROR(XLOOKUP(N3070,'Classificação'!A:A,'Classificação'!B:B),"")</f>
        <v>DESPESAS ADMINISTRATIVAS</v>
      </c>
      <c r="R3070" s="15" t="str">
        <f t="array" ref="R3070">IFERROR(XLOOKUP(Q3070,'Classificação'!B:B,'Classificação'!C:C),"")</f>
        <v>DESPESAS FIXAS (-)</v>
      </c>
      <c r="S3070" s="15">
        <f t="shared" si="228"/>
        <v>25</v>
      </c>
      <c r="T3070" s="15">
        <f t="shared" si="128"/>
        <v>10</v>
      </c>
      <c r="U3070" s="15">
        <f t="shared" si="129"/>
        <v>2026</v>
      </c>
      <c r="V3070" s="15" t="str">
        <f t="shared" si="8"/>
        <v/>
      </c>
      <c r="W3070" s="15" t="str">
        <f t="shared" si="9"/>
        <v/>
      </c>
      <c r="X3070" s="15" t="str">
        <f t="shared" si="10"/>
        <v/>
      </c>
    </row>
    <row r="3071">
      <c r="A3071" s="32">
        <v>46321.0</v>
      </c>
      <c r="B3071" s="10"/>
      <c r="C3071" s="9" t="str">
        <f t="shared" si="249"/>
        <v/>
      </c>
      <c r="D3071" s="28" t="s">
        <v>44</v>
      </c>
      <c r="E3071" s="28" t="s">
        <v>1305</v>
      </c>
      <c r="F3071" s="28" t="s">
        <v>45</v>
      </c>
      <c r="G3071" s="28" t="s">
        <v>27</v>
      </c>
      <c r="H3071" s="29" t="s">
        <v>1329</v>
      </c>
      <c r="I3071" s="37">
        <v>2406.954025</v>
      </c>
      <c r="J3071" s="34"/>
      <c r="K3071" s="37"/>
      <c r="L3071" s="28" t="s">
        <v>53</v>
      </c>
      <c r="M3071" s="16" t="s">
        <v>1409</v>
      </c>
      <c r="N3071" s="28" t="s">
        <v>73</v>
      </c>
      <c r="O3071" s="10" t="str">
        <f t="shared" si="79"/>
        <v>10/2026</v>
      </c>
      <c r="P3071" s="10" t="str">
        <f t="shared" si="364"/>
        <v/>
      </c>
      <c r="Q3071" s="15" t="str">
        <f t="array" ref="Q3071">IFERROR(XLOOKUP(N3071,'Classificação'!A:A,'Classificação'!B:B),"")</f>
        <v>DESPESAS NÃO OPERACIONAIS</v>
      </c>
      <c r="R3071" s="15" t="str">
        <f t="array" ref="R3071">IFERROR(XLOOKUP(Q3071,'Classificação'!B:B,'Classificação'!C:C),"")</f>
        <v>RESULTADO NÃO OPERACIONAL (+/-)</v>
      </c>
      <c r="S3071" s="15">
        <f t="shared" si="228"/>
        <v>26</v>
      </c>
      <c r="T3071" s="15">
        <f t="shared" si="128"/>
        <v>10</v>
      </c>
      <c r="U3071" s="15">
        <f t="shared" si="129"/>
        <v>2026</v>
      </c>
      <c r="V3071" s="15" t="str">
        <f t="shared" si="8"/>
        <v/>
      </c>
      <c r="W3071" s="15" t="str">
        <f t="shared" si="9"/>
        <v/>
      </c>
      <c r="X3071" s="15" t="str">
        <f t="shared" si="10"/>
        <v/>
      </c>
    </row>
    <row r="3072">
      <c r="A3072" s="26">
        <v>46325.0</v>
      </c>
      <c r="B3072" s="28"/>
      <c r="C3072" s="27" t="str">
        <f t="shared" si="249"/>
        <v/>
      </c>
      <c r="D3072" s="28" t="s">
        <v>221</v>
      </c>
      <c r="E3072" s="28" t="s">
        <v>1305</v>
      </c>
      <c r="F3072" s="28" t="s">
        <v>32</v>
      </c>
      <c r="G3072" s="28" t="s">
        <v>27</v>
      </c>
      <c r="H3072" s="54" t="s">
        <v>1410</v>
      </c>
      <c r="I3072" s="24">
        <v>406.0</v>
      </c>
      <c r="J3072" s="34"/>
      <c r="K3072" s="34" t="str">
        <f t="shared" ref="K3072:K3077" si="365">IF(E3072="pago",(I3072-J3072),"")</f>
        <v/>
      </c>
      <c r="L3072" s="28" t="s">
        <v>29</v>
      </c>
      <c r="M3072" s="14"/>
      <c r="N3072" s="11" t="s">
        <v>61</v>
      </c>
      <c r="O3072" s="10" t="str">
        <f t="shared" si="79"/>
        <v>10/2026</v>
      </c>
      <c r="P3072" s="10" t="str">
        <f>if(B3072="","", TEXT(B3072,"mm/yyyy"))</f>
        <v/>
      </c>
      <c r="Q3072" s="15" t="str">
        <f t="array" ref="Q3072">IFERROR(XLOOKUP(N3072,'Classificação'!A:A,'Classificação'!B:B),"")</f>
        <v>DESPESAS ADMINISTRATIVAS</v>
      </c>
      <c r="R3072" s="15" t="str">
        <f t="array" ref="R3072">IFERROR(XLOOKUP(Q3072,'Classificação'!B:B,'Classificação'!C:C),"")</f>
        <v>DESPESAS FIXAS (-)</v>
      </c>
      <c r="S3072" s="15">
        <f t="shared" si="228"/>
        <v>30</v>
      </c>
      <c r="T3072" s="15">
        <f t="shared" si="128"/>
        <v>10</v>
      </c>
      <c r="U3072" s="15">
        <f t="shared" si="129"/>
        <v>2026</v>
      </c>
      <c r="V3072" s="15" t="str">
        <f t="shared" si="8"/>
        <v/>
      </c>
      <c r="W3072" s="15" t="str">
        <f t="shared" si="9"/>
        <v/>
      </c>
      <c r="X3072" s="15" t="str">
        <f t="shared" si="10"/>
        <v/>
      </c>
    </row>
    <row r="3073">
      <c r="A3073" s="26">
        <v>46325.0</v>
      </c>
      <c r="B3073" s="30"/>
      <c r="C3073" s="27" t="str">
        <f t="shared" si="249"/>
        <v/>
      </c>
      <c r="D3073" s="28" t="s">
        <v>80</v>
      </c>
      <c r="E3073" s="28" t="s">
        <v>1305</v>
      </c>
      <c r="F3073" s="28" t="s">
        <v>32</v>
      </c>
      <c r="G3073" s="28" t="s">
        <v>27</v>
      </c>
      <c r="H3073" s="54" t="s">
        <v>1411</v>
      </c>
      <c r="I3073" s="37">
        <v>1040.0</v>
      </c>
      <c r="J3073" s="34"/>
      <c r="K3073" s="34" t="str">
        <f t="shared" si="365"/>
        <v/>
      </c>
      <c r="L3073" s="28" t="s">
        <v>29</v>
      </c>
      <c r="M3073" s="28"/>
      <c r="N3073" s="28" t="s">
        <v>38</v>
      </c>
      <c r="O3073" s="10" t="str">
        <f t="shared" si="79"/>
        <v>10/2026</v>
      </c>
      <c r="P3073" s="10" t="str">
        <f t="shared" ref="P3073:P3074" si="366">if(C3073="","", TEXT(C3073,"mm/yyyy"))</f>
        <v/>
      </c>
      <c r="Q3073" s="15" t="str">
        <f t="array" ref="Q3073">IFERROR(XLOOKUP(N3073,'Classificação'!A:A,'Classificação'!B:B),"")</f>
        <v>DESPESAS COM PESSOAL</v>
      </c>
      <c r="R3073" s="15" t="str">
        <f t="array" ref="R3073">IFERROR(XLOOKUP(Q3073,'Classificação'!B:B,'Classificação'!C:C),"")</f>
        <v>DESPESAS FIXAS (-)</v>
      </c>
      <c r="S3073" s="15">
        <f t="shared" si="228"/>
        <v>30</v>
      </c>
      <c r="T3073" s="15">
        <f t="shared" si="128"/>
        <v>10</v>
      </c>
      <c r="U3073" s="15">
        <f t="shared" si="129"/>
        <v>2026</v>
      </c>
      <c r="V3073" s="15" t="str">
        <f t="shared" si="8"/>
        <v/>
      </c>
      <c r="W3073" s="15" t="str">
        <f t="shared" si="9"/>
        <v/>
      </c>
      <c r="X3073" s="15" t="str">
        <f t="shared" si="10"/>
        <v/>
      </c>
    </row>
    <row r="3074">
      <c r="A3074" s="26">
        <v>46325.0</v>
      </c>
      <c r="B3074" s="30"/>
      <c r="C3074" s="27" t="str">
        <f t="shared" si="249"/>
        <v/>
      </c>
      <c r="D3074" s="28" t="s">
        <v>80</v>
      </c>
      <c r="E3074" s="28" t="s">
        <v>1305</v>
      </c>
      <c r="F3074" s="28" t="s">
        <v>40</v>
      </c>
      <c r="G3074" s="28" t="s">
        <v>27</v>
      </c>
      <c r="H3074" s="54" t="s">
        <v>1412</v>
      </c>
      <c r="I3074" s="37">
        <v>550.0</v>
      </c>
      <c r="J3074" s="34"/>
      <c r="K3074" s="34" t="str">
        <f t="shared" si="365"/>
        <v/>
      </c>
      <c r="L3074" s="28" t="s">
        <v>29</v>
      </c>
      <c r="M3074" s="28"/>
      <c r="N3074" s="28" t="s">
        <v>204</v>
      </c>
      <c r="O3074" s="10" t="str">
        <f t="shared" si="79"/>
        <v>10/2026</v>
      </c>
      <c r="P3074" s="10" t="str">
        <f t="shared" si="366"/>
        <v/>
      </c>
      <c r="Q3074" s="15" t="str">
        <f t="array" ref="Q3074">IFERROR(XLOOKUP(N3074,'Classificação'!A:A,'Classificação'!B:B),"")</f>
        <v>DESPESAS COM PESSOAL</v>
      </c>
      <c r="R3074" s="15" t="str">
        <f t="array" ref="R3074">IFERROR(XLOOKUP(Q3074,'Classificação'!B:B,'Classificação'!C:C),"")</f>
        <v>DESPESAS FIXAS (-)</v>
      </c>
      <c r="S3074" s="15">
        <f t="shared" si="228"/>
        <v>30</v>
      </c>
      <c r="T3074" s="15">
        <f t="shared" si="128"/>
        <v>10</v>
      </c>
      <c r="U3074" s="15">
        <f t="shared" si="129"/>
        <v>2026</v>
      </c>
      <c r="V3074" s="15" t="str">
        <f t="shared" si="8"/>
        <v/>
      </c>
      <c r="W3074" s="15" t="str">
        <f t="shared" si="9"/>
        <v/>
      </c>
      <c r="X3074" s="15" t="str">
        <f t="shared" si="10"/>
        <v/>
      </c>
    </row>
    <row r="3075">
      <c r="A3075" s="26">
        <v>46325.0</v>
      </c>
      <c r="B3075" s="28"/>
      <c r="C3075" s="27" t="str">
        <f t="shared" si="249"/>
        <v/>
      </c>
      <c r="D3075" s="28" t="s">
        <v>223</v>
      </c>
      <c r="E3075" s="28" t="s">
        <v>1305</v>
      </c>
      <c r="F3075" s="28" t="s">
        <v>32</v>
      </c>
      <c r="G3075" s="28" t="s">
        <v>27</v>
      </c>
      <c r="H3075" s="54" t="s">
        <v>1413</v>
      </c>
      <c r="I3075" s="37">
        <v>100.0</v>
      </c>
      <c r="J3075" s="34"/>
      <c r="K3075" s="34" t="str">
        <f t="shared" si="365"/>
        <v/>
      </c>
      <c r="L3075" s="28" t="s">
        <v>29</v>
      </c>
      <c r="M3075" s="28"/>
      <c r="N3075" s="28" t="s">
        <v>224</v>
      </c>
      <c r="O3075" s="10" t="str">
        <f t="shared" si="79"/>
        <v>10/2026</v>
      </c>
      <c r="P3075" s="10" t="str">
        <f>if(B3075="","", TEXT(B3075,"mm/yyyy"))</f>
        <v/>
      </c>
      <c r="Q3075" s="15" t="str">
        <f t="array" ref="Q3075">IFERROR(XLOOKUP(N3075,'Classificação'!A:A,'Classificação'!B:B),"")</f>
        <v>DESPESAS ADMINISTRATIVAS</v>
      </c>
      <c r="R3075" s="15" t="str">
        <f t="array" ref="R3075">IFERROR(XLOOKUP(Q3075,'Classificação'!B:B,'Classificação'!C:C),"")</f>
        <v>DESPESAS FIXAS (-)</v>
      </c>
      <c r="S3075" s="15">
        <f t="shared" si="228"/>
        <v>30</v>
      </c>
      <c r="T3075" s="15">
        <f t="shared" si="128"/>
        <v>10</v>
      </c>
      <c r="U3075" s="15">
        <f t="shared" si="129"/>
        <v>2026</v>
      </c>
      <c r="V3075" s="15" t="str">
        <f t="shared" si="8"/>
        <v/>
      </c>
      <c r="W3075" s="15" t="str">
        <f t="shared" si="9"/>
        <v/>
      </c>
      <c r="X3075" s="15" t="str">
        <f t="shared" si="10"/>
        <v/>
      </c>
    </row>
    <row r="3076">
      <c r="A3076" s="26">
        <v>46325.0</v>
      </c>
      <c r="B3076" s="28"/>
      <c r="C3076" s="27" t="str">
        <f t="shared" si="249"/>
        <v/>
      </c>
      <c r="D3076" s="29" t="s">
        <v>1094</v>
      </c>
      <c r="E3076" s="28" t="s">
        <v>1305</v>
      </c>
      <c r="F3076" s="29" t="s">
        <v>26</v>
      </c>
      <c r="G3076" s="29" t="s">
        <v>37</v>
      </c>
      <c r="H3076" s="43" t="s">
        <v>1312</v>
      </c>
      <c r="I3076" s="24">
        <v>2380.0</v>
      </c>
      <c r="J3076" s="34"/>
      <c r="K3076" s="34" t="str">
        <f t="shared" si="365"/>
        <v/>
      </c>
      <c r="L3076" s="28" t="s">
        <v>29</v>
      </c>
      <c r="M3076" s="28"/>
      <c r="N3076" s="28" t="s">
        <v>38</v>
      </c>
      <c r="O3076" s="10" t="str">
        <f t="shared" si="79"/>
        <v>10/2026</v>
      </c>
      <c r="P3076" s="10" t="str">
        <f t="shared" ref="P3076:P3104" si="367">if(C3076="","", TEXT(C3076,"mm/yyyy"))</f>
        <v/>
      </c>
      <c r="Q3076" s="15" t="str">
        <f t="array" ref="Q3076">IFERROR(XLOOKUP(N3076,'Classificação'!A:A,'Classificação'!B:B),"")</f>
        <v>DESPESAS COM PESSOAL</v>
      </c>
      <c r="R3076" s="15" t="str">
        <f t="array" ref="R3076">IFERROR(XLOOKUP(Q3076,'Classificação'!B:B,'Classificação'!C:C),"")</f>
        <v>DESPESAS FIXAS (-)</v>
      </c>
      <c r="S3076" s="15">
        <f t="shared" si="228"/>
        <v>30</v>
      </c>
      <c r="T3076" s="15">
        <f t="shared" si="128"/>
        <v>10</v>
      </c>
      <c r="U3076" s="15">
        <f t="shared" si="129"/>
        <v>2026</v>
      </c>
      <c r="V3076" s="15" t="str">
        <f t="shared" si="8"/>
        <v/>
      </c>
      <c r="W3076" s="15" t="str">
        <f t="shared" si="9"/>
        <v/>
      </c>
      <c r="X3076" s="15" t="str">
        <f t="shared" si="10"/>
        <v/>
      </c>
    </row>
    <row r="3077">
      <c r="A3077" s="26">
        <v>46325.0</v>
      </c>
      <c r="B3077" s="28"/>
      <c r="C3077" s="27" t="str">
        <f t="shared" si="249"/>
        <v/>
      </c>
      <c r="D3077" s="29" t="s">
        <v>1094</v>
      </c>
      <c r="E3077" s="28" t="s">
        <v>1305</v>
      </c>
      <c r="F3077" s="28" t="s">
        <v>40</v>
      </c>
      <c r="G3077" s="29" t="s">
        <v>37</v>
      </c>
      <c r="H3077" s="28" t="s">
        <v>1100</v>
      </c>
      <c r="I3077" s="37">
        <v>550.0</v>
      </c>
      <c r="J3077" s="34"/>
      <c r="K3077" s="34" t="str">
        <f t="shared" si="365"/>
        <v/>
      </c>
      <c r="L3077" s="28" t="s">
        <v>29</v>
      </c>
      <c r="M3077" s="28"/>
      <c r="N3077" s="28" t="s">
        <v>204</v>
      </c>
      <c r="O3077" s="10" t="str">
        <f t="shared" si="79"/>
        <v>10/2026</v>
      </c>
      <c r="P3077" s="10" t="str">
        <f t="shared" si="367"/>
        <v/>
      </c>
      <c r="Q3077" s="15" t="str">
        <f t="array" ref="Q3077">IFERROR(XLOOKUP(N3077,'Classificação'!A:A,'Classificação'!B:B),"")</f>
        <v>DESPESAS COM PESSOAL</v>
      </c>
      <c r="R3077" s="15" t="str">
        <f t="array" ref="R3077">IFERROR(XLOOKUP(Q3077,'Classificação'!B:B,'Classificação'!C:C),"")</f>
        <v>DESPESAS FIXAS (-)</v>
      </c>
      <c r="S3077" s="15">
        <f t="shared" si="228"/>
        <v>30</v>
      </c>
      <c r="T3077" s="15">
        <f t="shared" si="128"/>
        <v>10</v>
      </c>
      <c r="U3077" s="15">
        <f t="shared" si="129"/>
        <v>2026</v>
      </c>
      <c r="V3077" s="15" t="str">
        <f t="shared" si="8"/>
        <v/>
      </c>
      <c r="W3077" s="15" t="str">
        <f t="shared" si="9"/>
        <v/>
      </c>
      <c r="X3077" s="15" t="str">
        <f t="shared" si="10"/>
        <v/>
      </c>
    </row>
    <row r="3078">
      <c r="A3078" s="32">
        <v>46325.0</v>
      </c>
      <c r="B3078" s="10"/>
      <c r="C3078" s="9" t="str">
        <f t="shared" si="249"/>
        <v/>
      </c>
      <c r="D3078" s="11" t="s">
        <v>1229</v>
      </c>
      <c r="E3078" s="28" t="s">
        <v>1305</v>
      </c>
      <c r="F3078" s="11" t="s">
        <v>26</v>
      </c>
      <c r="G3078" s="11" t="s">
        <v>37</v>
      </c>
      <c r="H3078" s="55" t="s">
        <v>1393</v>
      </c>
      <c r="I3078" s="31">
        <v>1260.0</v>
      </c>
      <c r="J3078" s="13"/>
      <c r="K3078" s="13" t="str">
        <f t="shared" ref="K3078:K3084" si="368">if(E3078="pago",(I3078-J3078),"")</f>
        <v/>
      </c>
      <c r="L3078" s="11" t="s">
        <v>29</v>
      </c>
      <c r="M3078" s="14"/>
      <c r="N3078" s="11" t="s">
        <v>58</v>
      </c>
      <c r="O3078" s="10" t="str">
        <f t="shared" si="79"/>
        <v>10/2026</v>
      </c>
      <c r="P3078" s="10" t="str">
        <f t="shared" si="367"/>
        <v/>
      </c>
      <c r="Q3078" s="15" t="str">
        <f t="array" ref="Q3078">IFERROR(XLOOKUP(N3078,'Classificação'!A:A,'Classificação'!B:B),"")</f>
        <v>DESPESAS ADMINISTRATIVAS</v>
      </c>
      <c r="R3078" s="15" t="str">
        <f t="array" ref="R3078">IFERROR(XLOOKUP(Q3078,'Classificação'!B:B,'Classificação'!C:C),"")</f>
        <v>DESPESAS FIXAS (-)</v>
      </c>
      <c r="S3078" s="15">
        <f t="shared" si="228"/>
        <v>30</v>
      </c>
      <c r="T3078" s="15">
        <f t="shared" si="128"/>
        <v>10</v>
      </c>
      <c r="U3078" s="15">
        <f t="shared" si="129"/>
        <v>2026</v>
      </c>
      <c r="V3078" s="15" t="str">
        <f t="shared" si="8"/>
        <v/>
      </c>
      <c r="W3078" s="15" t="str">
        <f t="shared" si="9"/>
        <v/>
      </c>
      <c r="X3078" s="15" t="str">
        <f t="shared" si="10"/>
        <v/>
      </c>
    </row>
    <row r="3079">
      <c r="A3079" s="9">
        <v>46327.0</v>
      </c>
      <c r="B3079" s="10"/>
      <c r="C3079" s="9" t="str">
        <f t="shared" si="249"/>
        <v/>
      </c>
      <c r="D3079" s="28" t="s">
        <v>24</v>
      </c>
      <c r="E3079" s="28" t="s">
        <v>1305</v>
      </c>
      <c r="F3079" s="28" t="s">
        <v>26</v>
      </c>
      <c r="G3079" s="28" t="s">
        <v>27</v>
      </c>
      <c r="H3079" s="28" t="s">
        <v>28</v>
      </c>
      <c r="I3079" s="24">
        <v>6656.0</v>
      </c>
      <c r="J3079" s="13"/>
      <c r="K3079" s="13" t="str">
        <f t="shared" si="368"/>
        <v/>
      </c>
      <c r="L3079" s="28" t="s">
        <v>29</v>
      </c>
      <c r="M3079" s="14"/>
      <c r="N3079" s="28" t="s">
        <v>30</v>
      </c>
      <c r="O3079" s="10" t="str">
        <f t="shared" si="79"/>
        <v>11/2026</v>
      </c>
      <c r="P3079" s="10" t="str">
        <f t="shared" si="367"/>
        <v/>
      </c>
      <c r="Q3079" s="15" t="str">
        <f t="array" ref="Q3079">IFERROR(XLOOKUP(N3079,'Classificação'!A:A,'Classificação'!B:B),"")</f>
        <v>DESPESAS COM OCUPAÇÃO</v>
      </c>
      <c r="R3079" s="15" t="str">
        <f t="array" ref="R3079">IFERROR(XLOOKUP(Q3079,'Classificação'!B:B,'Classificação'!C:C),"")</f>
        <v>DESPESAS FIXAS (-)</v>
      </c>
      <c r="S3079" s="15">
        <f t="shared" si="228"/>
        <v>1</v>
      </c>
      <c r="T3079" s="15">
        <f t="shared" si="128"/>
        <v>11</v>
      </c>
      <c r="U3079" s="15">
        <f t="shared" si="129"/>
        <v>2026</v>
      </c>
      <c r="V3079" s="15" t="str">
        <f t="shared" si="8"/>
        <v/>
      </c>
      <c r="W3079" s="15" t="str">
        <f t="shared" si="9"/>
        <v/>
      </c>
      <c r="X3079" s="15" t="str">
        <f t="shared" si="10"/>
        <v/>
      </c>
    </row>
    <row r="3080">
      <c r="A3080" s="9">
        <v>46327.0</v>
      </c>
      <c r="B3080" s="10"/>
      <c r="C3080" s="9" t="str">
        <f t="shared" si="249"/>
        <v/>
      </c>
      <c r="D3080" s="28" t="s">
        <v>288</v>
      </c>
      <c r="E3080" s="28" t="s">
        <v>1305</v>
      </c>
      <c r="F3080" s="28" t="s">
        <v>26</v>
      </c>
      <c r="G3080" s="28" t="s">
        <v>27</v>
      </c>
      <c r="H3080" s="29" t="s">
        <v>1313</v>
      </c>
      <c r="I3080" s="24">
        <v>248.18</v>
      </c>
      <c r="J3080" s="34"/>
      <c r="K3080" s="13" t="str">
        <f t="shared" si="368"/>
        <v/>
      </c>
      <c r="L3080" s="28" t="s">
        <v>29</v>
      </c>
      <c r="M3080" s="28"/>
      <c r="N3080" s="28" t="s">
        <v>105</v>
      </c>
      <c r="O3080" s="10" t="str">
        <f t="shared" si="79"/>
        <v>11/2026</v>
      </c>
      <c r="P3080" s="10" t="str">
        <f t="shared" si="367"/>
        <v/>
      </c>
      <c r="Q3080" s="15" t="str">
        <f t="array" ref="Q3080">IFERROR(XLOOKUP(N3080,'Classificação'!A:A,'Classificação'!B:B),"")</f>
        <v>DESPESAS ADMINISTRATIVAS</v>
      </c>
      <c r="R3080" s="15" t="str">
        <f t="array" ref="R3080">IFERROR(XLOOKUP(Q3080,'Classificação'!B:B,'Classificação'!C:C),"")</f>
        <v>DESPESAS FIXAS (-)</v>
      </c>
      <c r="S3080" s="15">
        <f t="shared" si="228"/>
        <v>1</v>
      </c>
      <c r="T3080" s="15">
        <f t="shared" si="128"/>
        <v>11</v>
      </c>
      <c r="U3080" s="15">
        <f t="shared" si="129"/>
        <v>2026</v>
      </c>
      <c r="V3080" s="15" t="str">
        <f t="shared" si="8"/>
        <v/>
      </c>
      <c r="W3080" s="15" t="str">
        <f t="shared" si="9"/>
        <v/>
      </c>
      <c r="X3080" s="15" t="str">
        <f t="shared" si="10"/>
        <v/>
      </c>
    </row>
    <row r="3081">
      <c r="A3081" s="26">
        <v>46327.0</v>
      </c>
      <c r="B3081" s="10"/>
      <c r="C3081" s="9" t="str">
        <f t="shared" si="249"/>
        <v/>
      </c>
      <c r="D3081" s="28" t="s">
        <v>322</v>
      </c>
      <c r="E3081" s="28" t="s">
        <v>1305</v>
      </c>
      <c r="F3081" s="28" t="s">
        <v>40</v>
      </c>
      <c r="G3081" s="28" t="s">
        <v>37</v>
      </c>
      <c r="H3081" s="11" t="s">
        <v>778</v>
      </c>
      <c r="I3081" s="37">
        <v>46.2</v>
      </c>
      <c r="J3081" s="13"/>
      <c r="K3081" s="13" t="str">
        <f t="shared" si="368"/>
        <v/>
      </c>
      <c r="L3081" s="28" t="s">
        <v>29</v>
      </c>
      <c r="M3081" s="14"/>
      <c r="N3081" s="28" t="s">
        <v>105</v>
      </c>
      <c r="O3081" s="10" t="str">
        <f t="shared" si="79"/>
        <v>11/2026</v>
      </c>
      <c r="P3081" s="10" t="str">
        <f t="shared" si="367"/>
        <v/>
      </c>
      <c r="Q3081" s="15" t="str">
        <f t="array" ref="Q3081">IFERROR(XLOOKUP(N3081,'Classificação'!A:A,'Classificação'!B:B),"")</f>
        <v>DESPESAS ADMINISTRATIVAS</v>
      </c>
      <c r="R3081" s="15" t="str">
        <f t="array" ref="R3081">IFERROR(XLOOKUP(Q3081,'Classificação'!B:B,'Classificação'!C:C),"")</f>
        <v>DESPESAS FIXAS (-)</v>
      </c>
      <c r="S3081" s="15">
        <f t="shared" si="228"/>
        <v>1</v>
      </c>
      <c r="T3081" s="15">
        <f t="shared" si="128"/>
        <v>11</v>
      </c>
      <c r="U3081" s="15">
        <f t="shared" si="129"/>
        <v>2026</v>
      </c>
      <c r="V3081" s="15" t="str">
        <f t="shared" si="8"/>
        <v/>
      </c>
      <c r="W3081" s="15" t="str">
        <f t="shared" si="9"/>
        <v/>
      </c>
      <c r="X3081" s="15" t="str">
        <f t="shared" si="10"/>
        <v/>
      </c>
    </row>
    <row r="3082">
      <c r="A3082" s="9">
        <v>46329.0</v>
      </c>
      <c r="B3082" s="10"/>
      <c r="C3082" s="9" t="str">
        <f t="shared" si="249"/>
        <v/>
      </c>
      <c r="D3082" s="11" t="s">
        <v>44</v>
      </c>
      <c r="E3082" s="11" t="s">
        <v>1305</v>
      </c>
      <c r="F3082" s="11" t="s">
        <v>45</v>
      </c>
      <c r="G3082" s="11" t="s">
        <v>27</v>
      </c>
      <c r="H3082" s="11" t="s">
        <v>651</v>
      </c>
      <c r="I3082" s="13">
        <v>2679.8924749999996</v>
      </c>
      <c r="J3082" s="13"/>
      <c r="K3082" s="13" t="str">
        <f t="shared" si="368"/>
        <v/>
      </c>
      <c r="L3082" s="11" t="s">
        <v>53</v>
      </c>
      <c r="M3082" s="16" t="s">
        <v>1414</v>
      </c>
      <c r="N3082" s="11" t="s">
        <v>73</v>
      </c>
      <c r="O3082" s="10" t="str">
        <f t="shared" si="79"/>
        <v>11/2026</v>
      </c>
      <c r="P3082" s="10" t="str">
        <f t="shared" si="367"/>
        <v/>
      </c>
      <c r="Q3082" s="15" t="str">
        <f t="array" ref="Q3082">IFERROR(XLOOKUP(N3082,'Classificação'!A:A,'Classificação'!B:B),"")</f>
        <v>DESPESAS NÃO OPERACIONAIS</v>
      </c>
      <c r="R3082" s="15" t="str">
        <f t="array" ref="R3082">IFERROR(XLOOKUP(Q3082,'Classificação'!B:B,'Classificação'!C:C),"")</f>
        <v>RESULTADO NÃO OPERACIONAL (+/-)</v>
      </c>
      <c r="S3082" s="15">
        <f t="shared" si="228"/>
        <v>3</v>
      </c>
      <c r="T3082" s="15">
        <f t="shared" si="128"/>
        <v>11</v>
      </c>
      <c r="U3082" s="15">
        <f t="shared" si="129"/>
        <v>2026</v>
      </c>
      <c r="V3082" s="15" t="str">
        <f t="shared" si="8"/>
        <v/>
      </c>
      <c r="W3082" s="15" t="str">
        <f t="shared" si="9"/>
        <v/>
      </c>
      <c r="X3082" s="15" t="str">
        <f t="shared" si="10"/>
        <v/>
      </c>
    </row>
    <row r="3083">
      <c r="A3083" s="26">
        <v>46331.0</v>
      </c>
      <c r="B3083" s="10"/>
      <c r="C3083" s="9" t="str">
        <f t="shared" si="249"/>
        <v/>
      </c>
      <c r="D3083" s="28" t="s">
        <v>36</v>
      </c>
      <c r="E3083" s="28" t="s">
        <v>1305</v>
      </c>
      <c r="F3083" s="28" t="s">
        <v>26</v>
      </c>
      <c r="G3083" s="28" t="s">
        <v>27</v>
      </c>
      <c r="I3083" s="37">
        <v>6500.0</v>
      </c>
      <c r="J3083" s="13"/>
      <c r="K3083" s="13" t="str">
        <f t="shared" si="368"/>
        <v/>
      </c>
      <c r="L3083" s="28" t="s">
        <v>29</v>
      </c>
      <c r="M3083" s="14"/>
      <c r="N3083" s="28" t="s">
        <v>38</v>
      </c>
      <c r="O3083" s="10" t="str">
        <f t="shared" si="79"/>
        <v>11/2026</v>
      </c>
      <c r="P3083" s="10" t="str">
        <f t="shared" si="367"/>
        <v/>
      </c>
      <c r="Q3083" s="15" t="str">
        <f t="array" ref="Q3083">IFERROR(XLOOKUP(N3083,'Classificação'!A:A,'Classificação'!B:B),"")</f>
        <v>DESPESAS COM PESSOAL</v>
      </c>
      <c r="R3083" s="15" t="str">
        <f t="array" ref="R3083">IFERROR(XLOOKUP(Q3083,'Classificação'!B:B,'Classificação'!C:C),"")</f>
        <v>DESPESAS FIXAS (-)</v>
      </c>
      <c r="S3083" s="15">
        <f t="shared" si="228"/>
        <v>5</v>
      </c>
      <c r="T3083" s="15">
        <f t="shared" si="128"/>
        <v>11</v>
      </c>
      <c r="U3083" s="15">
        <f t="shared" si="129"/>
        <v>2026</v>
      </c>
      <c r="V3083" s="15" t="str">
        <f t="shared" si="8"/>
        <v/>
      </c>
      <c r="W3083" s="15" t="str">
        <f t="shared" si="9"/>
        <v/>
      </c>
      <c r="X3083" s="15" t="str">
        <f t="shared" si="10"/>
        <v/>
      </c>
    </row>
    <row r="3084">
      <c r="A3084" s="26">
        <v>46331.0</v>
      </c>
      <c r="B3084" s="10"/>
      <c r="C3084" s="9" t="str">
        <f t="shared" si="249"/>
        <v/>
      </c>
      <c r="D3084" s="28" t="s">
        <v>43</v>
      </c>
      <c r="E3084" s="28" t="s">
        <v>1305</v>
      </c>
      <c r="F3084" s="29" t="s">
        <v>26</v>
      </c>
      <c r="G3084" s="28" t="s">
        <v>27</v>
      </c>
      <c r="I3084" s="37">
        <v>6500.0</v>
      </c>
      <c r="J3084" s="13"/>
      <c r="K3084" s="13" t="str">
        <f t="shared" si="368"/>
        <v/>
      </c>
      <c r="L3084" s="28" t="s">
        <v>29</v>
      </c>
      <c r="M3084" s="14"/>
      <c r="N3084" s="28" t="s">
        <v>38</v>
      </c>
      <c r="O3084" s="10" t="str">
        <f t="shared" si="79"/>
        <v>11/2026</v>
      </c>
      <c r="P3084" s="10" t="str">
        <f t="shared" si="367"/>
        <v/>
      </c>
      <c r="Q3084" s="15" t="str">
        <f t="array" ref="Q3084">IFERROR(XLOOKUP(N3084,'Classificação'!A:A,'Classificação'!B:B),"")</f>
        <v>DESPESAS COM PESSOAL</v>
      </c>
      <c r="R3084" s="15" t="str">
        <f t="array" ref="R3084">IFERROR(XLOOKUP(Q3084,'Classificação'!B:B,'Classificação'!C:C),"")</f>
        <v>DESPESAS FIXAS (-)</v>
      </c>
      <c r="S3084" s="15">
        <f t="shared" si="228"/>
        <v>5</v>
      </c>
      <c r="T3084" s="15">
        <f t="shared" si="128"/>
        <v>11</v>
      </c>
      <c r="U3084" s="15">
        <f t="shared" si="129"/>
        <v>2026</v>
      </c>
      <c r="V3084" s="15" t="str">
        <f t="shared" si="8"/>
        <v/>
      </c>
      <c r="W3084" s="15" t="str">
        <f t="shared" si="9"/>
        <v/>
      </c>
      <c r="X3084" s="15" t="str">
        <f t="shared" si="10"/>
        <v/>
      </c>
    </row>
    <row r="3085">
      <c r="A3085" s="26">
        <v>46336.0</v>
      </c>
      <c r="B3085" s="30"/>
      <c r="C3085" s="27" t="str">
        <f t="shared" si="249"/>
        <v/>
      </c>
      <c r="D3085" s="28" t="s">
        <v>48</v>
      </c>
      <c r="E3085" s="28" t="s">
        <v>1305</v>
      </c>
      <c r="F3085" s="28" t="s">
        <v>40</v>
      </c>
      <c r="G3085" s="28" t="s">
        <v>27</v>
      </c>
      <c r="H3085" s="28"/>
      <c r="I3085" s="37">
        <v>1600.0</v>
      </c>
      <c r="J3085" s="34"/>
      <c r="K3085" s="34" t="str">
        <f t="shared" ref="K3085:K3087" si="369">IF(E3085="pago",(I3085-J3085),"")</f>
        <v/>
      </c>
      <c r="L3085" s="28" t="s">
        <v>29</v>
      </c>
      <c r="M3085" s="28"/>
      <c r="N3085" s="28" t="s">
        <v>49</v>
      </c>
      <c r="O3085" s="10" t="str">
        <f t="shared" si="79"/>
        <v>11/2026</v>
      </c>
      <c r="P3085" s="10" t="str">
        <f t="shared" si="367"/>
        <v/>
      </c>
      <c r="Q3085" s="15" t="str">
        <f t="array" ref="Q3085">IFERROR(XLOOKUP(N3085,'Classificação'!A:A,'Classificação'!B:B),"")</f>
        <v>DESPESAS COM PESSOAL</v>
      </c>
      <c r="R3085" s="15" t="str">
        <f t="array" ref="R3085">IFERROR(XLOOKUP(Q3085,'Classificação'!B:B,'Classificação'!C:C),"")</f>
        <v>DESPESAS FIXAS (-)</v>
      </c>
      <c r="S3085" s="15">
        <f t="shared" si="228"/>
        <v>10</v>
      </c>
      <c r="T3085" s="15">
        <f t="shared" si="128"/>
        <v>11</v>
      </c>
      <c r="U3085" s="15">
        <f t="shared" si="129"/>
        <v>2026</v>
      </c>
      <c r="V3085" s="15" t="str">
        <f t="shared" si="8"/>
        <v/>
      </c>
      <c r="W3085" s="15" t="str">
        <f t="shared" si="9"/>
        <v/>
      </c>
      <c r="X3085" s="15" t="str">
        <f t="shared" si="10"/>
        <v/>
      </c>
    </row>
    <row r="3086">
      <c r="A3086" s="9">
        <v>46336.0</v>
      </c>
      <c r="B3086" s="30"/>
      <c r="C3086" s="27" t="str">
        <f t="shared" si="249"/>
        <v/>
      </c>
      <c r="D3086" s="28" t="s">
        <v>50</v>
      </c>
      <c r="E3086" s="28" t="s">
        <v>1305</v>
      </c>
      <c r="F3086" s="28" t="s">
        <v>40</v>
      </c>
      <c r="G3086" s="28" t="s">
        <v>27</v>
      </c>
      <c r="H3086" s="28" t="s">
        <v>51</v>
      </c>
      <c r="I3086" s="37">
        <v>139.99</v>
      </c>
      <c r="J3086" s="34"/>
      <c r="K3086" s="34" t="str">
        <f t="shared" si="369"/>
        <v/>
      </c>
      <c r="L3086" s="28" t="s">
        <v>29</v>
      </c>
      <c r="M3086" s="28"/>
      <c r="N3086" s="28" t="s">
        <v>51</v>
      </c>
      <c r="O3086" s="10" t="str">
        <f t="shared" si="79"/>
        <v>11/2026</v>
      </c>
      <c r="P3086" s="10" t="str">
        <f t="shared" si="367"/>
        <v/>
      </c>
      <c r="Q3086" s="15" t="str">
        <f t="array" ref="Q3086">IFERROR(XLOOKUP(N3086,'Classificação'!A:A,'Classificação'!B:B),"")</f>
        <v>DESPESAS COM OCUPAÇÃO</v>
      </c>
      <c r="R3086" s="15" t="str">
        <f t="array" ref="R3086">IFERROR(XLOOKUP(Q3086,'Classificação'!B:B,'Classificação'!C:C),"")</f>
        <v>DESPESAS FIXAS (-)</v>
      </c>
      <c r="S3086" s="15">
        <f t="shared" si="228"/>
        <v>10</v>
      </c>
      <c r="T3086" s="15">
        <f t="shared" si="128"/>
        <v>11</v>
      </c>
      <c r="U3086" s="15">
        <f t="shared" si="129"/>
        <v>2026</v>
      </c>
      <c r="V3086" s="15" t="str">
        <f t="shared" si="8"/>
        <v/>
      </c>
      <c r="W3086" s="15" t="str">
        <f t="shared" si="9"/>
        <v/>
      </c>
      <c r="X3086" s="15" t="str">
        <f t="shared" si="10"/>
        <v/>
      </c>
    </row>
    <row r="3087">
      <c r="A3087" s="26">
        <v>46336.0</v>
      </c>
      <c r="B3087" s="30"/>
      <c r="C3087" s="27" t="str">
        <f t="shared" si="249"/>
        <v/>
      </c>
      <c r="D3087" s="28" t="s">
        <v>59</v>
      </c>
      <c r="E3087" s="28" t="s">
        <v>1305</v>
      </c>
      <c r="F3087" s="28" t="s">
        <v>40</v>
      </c>
      <c r="G3087" s="28" t="s">
        <v>37</v>
      </c>
      <c r="H3087" s="28" t="s">
        <v>60</v>
      </c>
      <c r="I3087" s="24">
        <v>447.0</v>
      </c>
      <c r="J3087" s="34"/>
      <c r="K3087" s="34" t="str">
        <f t="shared" si="369"/>
        <v/>
      </c>
      <c r="L3087" s="28" t="s">
        <v>29</v>
      </c>
      <c r="M3087" s="28"/>
      <c r="N3087" s="28" t="s">
        <v>61</v>
      </c>
      <c r="O3087" s="10" t="str">
        <f t="shared" si="79"/>
        <v>11/2026</v>
      </c>
      <c r="P3087" s="10" t="str">
        <f t="shared" si="367"/>
        <v/>
      </c>
      <c r="Q3087" s="15" t="str">
        <f t="array" ref="Q3087">IFERROR(XLOOKUP(N3087,'Classificação'!A:A,'Classificação'!B:B),"")</f>
        <v>DESPESAS ADMINISTRATIVAS</v>
      </c>
      <c r="R3087" s="15" t="str">
        <f t="array" ref="R3087">IFERROR(XLOOKUP(Q3087,'Classificação'!B:B,'Classificação'!C:C),"")</f>
        <v>DESPESAS FIXAS (-)</v>
      </c>
      <c r="S3087" s="15">
        <f t="shared" si="228"/>
        <v>10</v>
      </c>
      <c r="T3087" s="15">
        <f t="shared" si="128"/>
        <v>11</v>
      </c>
      <c r="U3087" s="15">
        <f t="shared" si="129"/>
        <v>2026</v>
      </c>
      <c r="V3087" s="15" t="str">
        <f t="shared" si="8"/>
        <v/>
      </c>
      <c r="W3087" s="15" t="str">
        <f t="shared" si="9"/>
        <v/>
      </c>
      <c r="X3087" s="15" t="str">
        <f t="shared" si="10"/>
        <v/>
      </c>
    </row>
    <row r="3088">
      <c r="A3088" s="26">
        <v>46336.0</v>
      </c>
      <c r="B3088" s="30"/>
      <c r="C3088" s="27" t="str">
        <f t="shared" si="249"/>
        <v/>
      </c>
      <c r="D3088" s="28" t="s">
        <v>104</v>
      </c>
      <c r="E3088" s="28" t="s">
        <v>1305</v>
      </c>
      <c r="F3088" s="28" t="s">
        <v>40</v>
      </c>
      <c r="G3088" s="28" t="s">
        <v>37</v>
      </c>
      <c r="H3088" s="28" t="s">
        <v>413</v>
      </c>
      <c r="I3088" s="37">
        <v>27.5</v>
      </c>
      <c r="J3088" s="34"/>
      <c r="K3088" s="34"/>
      <c r="L3088" s="28" t="s">
        <v>29</v>
      </c>
      <c r="M3088" s="28"/>
      <c r="N3088" s="28" t="s">
        <v>105</v>
      </c>
      <c r="O3088" s="10" t="str">
        <f t="shared" si="79"/>
        <v>11/2026</v>
      </c>
      <c r="P3088" s="10" t="str">
        <f t="shared" si="367"/>
        <v/>
      </c>
      <c r="R3088" s="15" t="str">
        <f t="array" ref="R3088">IFERROR(XLOOKUP(Q3088,'Classificação'!B:B,'Classificação'!C:C),"")</f>
        <v/>
      </c>
      <c r="S3088" s="15">
        <f t="shared" si="228"/>
        <v>10</v>
      </c>
      <c r="T3088" s="15">
        <f t="shared" si="128"/>
        <v>11</v>
      </c>
      <c r="U3088" s="15">
        <f t="shared" si="129"/>
        <v>2026</v>
      </c>
      <c r="V3088" s="15" t="str">
        <f t="shared" si="8"/>
        <v/>
      </c>
      <c r="W3088" s="15" t="str">
        <f t="shared" si="9"/>
        <v/>
      </c>
      <c r="X3088" s="15" t="str">
        <f t="shared" si="10"/>
        <v/>
      </c>
    </row>
    <row r="3089">
      <c r="A3089" s="9">
        <v>46336.0</v>
      </c>
      <c r="B3089" s="10"/>
      <c r="C3089" s="9" t="str">
        <f t="shared" si="249"/>
        <v/>
      </c>
      <c r="D3089" s="11" t="s">
        <v>44</v>
      </c>
      <c r="E3089" s="11" t="s">
        <v>1305</v>
      </c>
      <c r="F3089" s="11" t="s">
        <v>45</v>
      </c>
      <c r="G3089" s="11" t="s">
        <v>27</v>
      </c>
      <c r="H3089" s="11" t="s">
        <v>52</v>
      </c>
      <c r="I3089" s="12">
        <v>503.0</v>
      </c>
      <c r="J3089" s="13"/>
      <c r="K3089" s="13" t="str">
        <f t="shared" ref="K3089:K3093" si="370">if(E3089="pago",(I3089-J3089),"")</f>
        <v/>
      </c>
      <c r="L3089" s="11" t="s">
        <v>53</v>
      </c>
      <c r="M3089" s="16" t="s">
        <v>1415</v>
      </c>
      <c r="N3089" s="11" t="s">
        <v>55</v>
      </c>
      <c r="O3089" s="10" t="str">
        <f t="shared" si="79"/>
        <v>11/2026</v>
      </c>
      <c r="P3089" s="10" t="str">
        <f t="shared" si="367"/>
        <v/>
      </c>
      <c r="Q3089" s="15" t="str">
        <f t="array" ref="Q3089">IFERROR(XLOOKUP(N3089,'Classificação'!A:A,'Classificação'!B:B),"")</f>
        <v>DESPESAS NÃO OPERACIONAIS</v>
      </c>
      <c r="R3089" s="15" t="str">
        <f t="array" ref="R3089">IFERROR(XLOOKUP(Q3089,'Classificação'!B:B,'Classificação'!C:C),"")</f>
        <v>RESULTADO NÃO OPERACIONAL (+/-)</v>
      </c>
      <c r="S3089" s="15">
        <f t="shared" si="228"/>
        <v>10</v>
      </c>
      <c r="T3089" s="15">
        <f t="shared" si="128"/>
        <v>11</v>
      </c>
      <c r="U3089" s="15">
        <f t="shared" si="129"/>
        <v>2026</v>
      </c>
      <c r="V3089" s="15" t="str">
        <f t="shared" si="8"/>
        <v/>
      </c>
      <c r="W3089" s="15" t="str">
        <f t="shared" si="9"/>
        <v/>
      </c>
      <c r="X3089" s="15" t="str">
        <f t="shared" si="10"/>
        <v/>
      </c>
    </row>
    <row r="3090">
      <c r="A3090" s="9">
        <v>46336.0</v>
      </c>
      <c r="B3090" s="10"/>
      <c r="C3090" s="9" t="str">
        <f t="shared" si="249"/>
        <v/>
      </c>
      <c r="D3090" s="11" t="s">
        <v>1104</v>
      </c>
      <c r="E3090" s="28" t="s">
        <v>1305</v>
      </c>
      <c r="F3090" s="11" t="s">
        <v>40</v>
      </c>
      <c r="G3090" s="11" t="s">
        <v>37</v>
      </c>
      <c r="H3090" s="11" t="s">
        <v>1105</v>
      </c>
      <c r="I3090" s="12">
        <v>917.51</v>
      </c>
      <c r="J3090" s="13"/>
      <c r="K3090" s="13" t="str">
        <f t="shared" si="370"/>
        <v/>
      </c>
      <c r="L3090" s="11" t="s">
        <v>53</v>
      </c>
      <c r="M3090" s="16" t="s">
        <v>1416</v>
      </c>
      <c r="N3090" s="11" t="s">
        <v>73</v>
      </c>
      <c r="O3090" s="10" t="str">
        <f t="shared" si="79"/>
        <v>11/2026</v>
      </c>
      <c r="P3090" s="10" t="str">
        <f t="shared" si="367"/>
        <v/>
      </c>
      <c r="Q3090" s="15" t="str">
        <f t="array" ref="Q3090">IFERROR(XLOOKUP(N3090,'Classificação'!A:A,'Classificação'!B:B),"")</f>
        <v>DESPESAS NÃO OPERACIONAIS</v>
      </c>
      <c r="R3090" s="15" t="str">
        <f t="array" ref="R3090">IFERROR(XLOOKUP(Q3090,'Classificação'!B:B,'Classificação'!C:C),"")</f>
        <v>RESULTADO NÃO OPERACIONAL (+/-)</v>
      </c>
      <c r="S3090" s="15">
        <f t="shared" si="228"/>
        <v>10</v>
      </c>
      <c r="T3090" s="15">
        <f t="shared" si="128"/>
        <v>11</v>
      </c>
      <c r="U3090" s="15">
        <f t="shared" si="129"/>
        <v>2026</v>
      </c>
      <c r="V3090" s="15" t="str">
        <f t="shared" si="8"/>
        <v/>
      </c>
      <c r="W3090" s="15" t="str">
        <f t="shared" si="9"/>
        <v/>
      </c>
      <c r="X3090" s="15" t="str">
        <f t="shared" si="10"/>
        <v/>
      </c>
    </row>
    <row r="3091">
      <c r="A3091" s="32">
        <v>46336.0</v>
      </c>
      <c r="B3091" s="32">
        <v>46011.0</v>
      </c>
      <c r="C3091" s="9" t="str">
        <f t="shared" si="249"/>
        <v/>
      </c>
      <c r="D3091" s="11" t="s">
        <v>65</v>
      </c>
      <c r="E3091" s="28" t="s">
        <v>1305</v>
      </c>
      <c r="F3091" s="11" t="s">
        <v>26</v>
      </c>
      <c r="G3091" s="28" t="s">
        <v>27</v>
      </c>
      <c r="H3091" s="11" t="s">
        <v>1159</v>
      </c>
      <c r="I3091" s="31">
        <v>54.99</v>
      </c>
      <c r="J3091" s="13"/>
      <c r="K3091" s="13" t="str">
        <f t="shared" si="370"/>
        <v/>
      </c>
      <c r="L3091" s="11" t="s">
        <v>53</v>
      </c>
      <c r="M3091" s="16" t="s">
        <v>1417</v>
      </c>
      <c r="N3091" s="11" t="s">
        <v>95</v>
      </c>
      <c r="O3091" s="10" t="str">
        <f t="shared" si="79"/>
        <v>11/2026</v>
      </c>
      <c r="P3091" s="10" t="str">
        <f t="shared" si="367"/>
        <v/>
      </c>
      <c r="Q3091" s="15" t="str">
        <f t="array" ref="Q3091">IFERROR(XLOOKUP(N3091,'Classificação'!A:A,'Classificação'!B:B),"")</f>
        <v>DESPESAS NÃO OPERACIONAIS</v>
      </c>
      <c r="R3091" s="15" t="str">
        <f t="array" ref="R3091">IFERROR(XLOOKUP(Q3091,'Classificação'!B:B,'Classificação'!C:C),"")</f>
        <v>RESULTADO NÃO OPERACIONAL (+/-)</v>
      </c>
      <c r="S3091" s="15">
        <f t="shared" si="228"/>
        <v>10</v>
      </c>
      <c r="T3091" s="15">
        <f t="shared" si="128"/>
        <v>11</v>
      </c>
      <c r="U3091" s="15">
        <f t="shared" si="129"/>
        <v>2026</v>
      </c>
      <c r="V3091" s="15" t="str">
        <f t="shared" si="8"/>
        <v/>
      </c>
      <c r="W3091" s="15" t="str">
        <f t="shared" si="9"/>
        <v/>
      </c>
      <c r="X3091" s="15" t="str">
        <f t="shared" si="10"/>
        <v/>
      </c>
    </row>
    <row r="3092">
      <c r="A3092" s="9">
        <v>46336.0</v>
      </c>
      <c r="B3092" s="10"/>
      <c r="C3092" s="9" t="str">
        <f t="shared" si="249"/>
        <v/>
      </c>
      <c r="D3092" s="11" t="s">
        <v>31</v>
      </c>
      <c r="E3092" s="28" t="s">
        <v>1305</v>
      </c>
      <c r="F3092" s="11" t="s">
        <v>26</v>
      </c>
      <c r="G3092" s="11" t="s">
        <v>37</v>
      </c>
      <c r="H3092" s="11" t="s">
        <v>1367</v>
      </c>
      <c r="I3092" s="31">
        <v>115000.0</v>
      </c>
      <c r="J3092" s="13"/>
      <c r="K3092" s="13" t="str">
        <f t="shared" si="370"/>
        <v/>
      </c>
      <c r="L3092" s="11" t="s">
        <v>34</v>
      </c>
      <c r="M3092" s="14"/>
      <c r="N3092" s="11" t="s">
        <v>35</v>
      </c>
      <c r="O3092" s="10" t="str">
        <f t="shared" si="79"/>
        <v>11/2026</v>
      </c>
      <c r="P3092" s="10" t="str">
        <f t="shared" si="367"/>
        <v/>
      </c>
      <c r="Q3092" s="15" t="str">
        <f t="array" ref="Q3092">IFERROR(XLOOKUP(N3092,'Classificação'!A:A,'Classificação'!B:B),"")</f>
        <v>COMPRA DE MERCADORIA</v>
      </c>
      <c r="S3092" s="15">
        <f t="shared" si="228"/>
        <v>10</v>
      </c>
      <c r="T3092" s="15">
        <f t="shared" si="128"/>
        <v>11</v>
      </c>
      <c r="U3092" s="15">
        <f t="shared" si="129"/>
        <v>2026</v>
      </c>
      <c r="V3092" s="15" t="str">
        <f t="shared" si="8"/>
        <v/>
      </c>
      <c r="W3092" s="15" t="str">
        <f t="shared" si="9"/>
        <v/>
      </c>
      <c r="X3092" s="15" t="str">
        <f t="shared" si="10"/>
        <v/>
      </c>
    </row>
    <row r="3093">
      <c r="A3093" s="26">
        <v>46338.0</v>
      </c>
      <c r="B3093" s="30"/>
      <c r="C3093" s="27" t="str">
        <f t="shared" si="249"/>
        <v/>
      </c>
      <c r="D3093" s="28" t="s">
        <v>56</v>
      </c>
      <c r="E3093" s="28" t="s">
        <v>1305</v>
      </c>
      <c r="F3093" s="28" t="s">
        <v>26</v>
      </c>
      <c r="G3093" s="28" t="s">
        <v>37</v>
      </c>
      <c r="H3093" s="28" t="s">
        <v>57</v>
      </c>
      <c r="I3093" s="24">
        <v>60.0</v>
      </c>
      <c r="J3093" s="34"/>
      <c r="K3093" s="13" t="str">
        <f t="shared" si="370"/>
        <v/>
      </c>
      <c r="L3093" s="28" t="s">
        <v>29</v>
      </c>
      <c r="M3093" s="28"/>
      <c r="N3093" s="28" t="s">
        <v>58</v>
      </c>
      <c r="O3093" s="10" t="str">
        <f t="shared" si="79"/>
        <v>11/2026</v>
      </c>
      <c r="P3093" s="10" t="str">
        <f t="shared" si="367"/>
        <v/>
      </c>
      <c r="Q3093" s="15" t="str">
        <f t="array" ref="Q3093">IFERROR(XLOOKUP(N3093,'Classificação'!A:A,'Classificação'!B:B),"")</f>
        <v>DESPESAS ADMINISTRATIVAS</v>
      </c>
      <c r="R3093" s="15" t="str">
        <f t="array" ref="R3093">IFERROR(XLOOKUP(Q3093,'Classificação'!B:B,'Classificação'!C:C),"")</f>
        <v>DESPESAS FIXAS (-)</v>
      </c>
      <c r="S3093" s="15">
        <f t="shared" si="228"/>
        <v>12</v>
      </c>
      <c r="T3093" s="15">
        <f t="shared" si="128"/>
        <v>11</v>
      </c>
      <c r="U3093" s="15">
        <f t="shared" si="129"/>
        <v>2026</v>
      </c>
      <c r="V3093" s="15" t="str">
        <f t="shared" si="8"/>
        <v/>
      </c>
      <c r="W3093" s="15" t="str">
        <f t="shared" si="9"/>
        <v/>
      </c>
      <c r="X3093" s="15" t="str">
        <f t="shared" si="10"/>
        <v/>
      </c>
    </row>
    <row r="3094">
      <c r="A3094" s="26">
        <v>46339.0</v>
      </c>
      <c r="B3094" s="30"/>
      <c r="C3094" s="27" t="str">
        <f t="shared" si="249"/>
        <v/>
      </c>
      <c r="D3094" s="28" t="s">
        <v>65</v>
      </c>
      <c r="E3094" s="28" t="s">
        <v>1305</v>
      </c>
      <c r="F3094" s="28" t="s">
        <v>45</v>
      </c>
      <c r="G3094" s="28" t="s">
        <v>66</v>
      </c>
      <c r="H3094" s="28" t="s">
        <v>67</v>
      </c>
      <c r="I3094" s="37">
        <v>900.0</v>
      </c>
      <c r="J3094" s="34"/>
      <c r="K3094" s="34" t="str">
        <f>IF(E3094="pago",(I3094-J3094),"")</f>
        <v/>
      </c>
      <c r="L3094" s="28" t="s">
        <v>29</v>
      </c>
      <c r="M3094" s="28"/>
      <c r="N3094" s="28" t="s">
        <v>68</v>
      </c>
      <c r="O3094" s="10" t="str">
        <f t="shared" si="79"/>
        <v>11/2026</v>
      </c>
      <c r="P3094" s="10" t="str">
        <f t="shared" si="367"/>
        <v/>
      </c>
      <c r="Q3094" s="15" t="str">
        <f t="array" ref="Q3094">IFERROR(XLOOKUP(N3094,'Classificação'!A:A,'Classificação'!B:B),"")</f>
        <v>FRETE DE VENDAS</v>
      </c>
      <c r="R3094" s="15" t="str">
        <f t="array" ref="R3094">IFERROR(XLOOKUP(Q3094,'Classificação'!B:B,'Classificação'!C:C),"")</f>
        <v>CUSTOS VARIÁVEIS</v>
      </c>
      <c r="S3094" s="15">
        <f t="shared" si="228"/>
        <v>13</v>
      </c>
      <c r="T3094" s="15">
        <f t="shared" si="128"/>
        <v>11</v>
      </c>
      <c r="U3094" s="15">
        <f t="shared" si="129"/>
        <v>2026</v>
      </c>
      <c r="V3094" s="15" t="str">
        <f t="shared" si="8"/>
        <v/>
      </c>
      <c r="W3094" s="15" t="str">
        <f t="shared" si="9"/>
        <v/>
      </c>
      <c r="X3094" s="15" t="str">
        <f t="shared" si="10"/>
        <v/>
      </c>
    </row>
    <row r="3095">
      <c r="A3095" s="9">
        <v>46340.0</v>
      </c>
      <c r="B3095" s="10"/>
      <c r="C3095" s="9" t="str">
        <f t="shared" si="249"/>
        <v/>
      </c>
      <c r="D3095" s="11" t="s">
        <v>44</v>
      </c>
      <c r="E3095" s="11" t="s">
        <v>1305</v>
      </c>
      <c r="F3095" s="11" t="s">
        <v>45</v>
      </c>
      <c r="G3095" s="11" t="s">
        <v>27</v>
      </c>
      <c r="H3095" s="11" t="s">
        <v>476</v>
      </c>
      <c r="I3095" s="12">
        <v>4996.0</v>
      </c>
      <c r="J3095" s="13"/>
      <c r="K3095" s="13" t="str">
        <f>if(E3095="pago",(I3095-J3095),"")</f>
        <v/>
      </c>
      <c r="L3095" s="11" t="s">
        <v>53</v>
      </c>
      <c r="M3095" s="16" t="s">
        <v>999</v>
      </c>
      <c r="N3095" s="11" t="s">
        <v>73</v>
      </c>
      <c r="O3095" s="10" t="str">
        <f t="shared" si="79"/>
        <v>11/2026</v>
      </c>
      <c r="P3095" s="10" t="str">
        <f t="shared" si="367"/>
        <v/>
      </c>
      <c r="Q3095" s="15" t="str">
        <f t="array" ref="Q3095">IFERROR(XLOOKUP(N3095,'Classificação'!A:A,'Classificação'!B:B),"")</f>
        <v>DESPESAS NÃO OPERACIONAIS</v>
      </c>
      <c r="R3095" s="15" t="str">
        <f t="array" ref="R3095">IFERROR(XLOOKUP(Q3095,'Classificação'!B:B,'Classificação'!C:C),"")</f>
        <v>RESULTADO NÃO OPERACIONAL (+/-)</v>
      </c>
      <c r="S3095" s="15">
        <f t="shared" si="228"/>
        <v>14</v>
      </c>
      <c r="T3095" s="15">
        <f t="shared" si="128"/>
        <v>11</v>
      </c>
      <c r="U3095" s="15">
        <f t="shared" si="129"/>
        <v>2026</v>
      </c>
      <c r="V3095" s="15" t="str">
        <f t="shared" si="8"/>
        <v/>
      </c>
      <c r="W3095" s="15" t="str">
        <f t="shared" si="9"/>
        <v/>
      </c>
      <c r="X3095" s="15" t="str">
        <f t="shared" si="10"/>
        <v/>
      </c>
    </row>
    <row r="3096">
      <c r="A3096" s="26">
        <v>46341.0</v>
      </c>
      <c r="B3096" s="30"/>
      <c r="C3096" s="27" t="str">
        <f t="shared" si="249"/>
        <v/>
      </c>
      <c r="D3096" s="28" t="s">
        <v>79</v>
      </c>
      <c r="E3096" s="28" t="s">
        <v>1305</v>
      </c>
      <c r="F3096" s="28" t="s">
        <v>26</v>
      </c>
      <c r="G3096" s="28" t="s">
        <v>37</v>
      </c>
      <c r="H3096" s="28"/>
      <c r="I3096" s="24">
        <v>550.0</v>
      </c>
      <c r="J3096" s="34"/>
      <c r="K3096" s="34" t="str">
        <f t="shared" ref="K3096:K3098" si="371">IF(E3096="pago",(I3096-J3096),"")</f>
        <v/>
      </c>
      <c r="L3096" s="28" t="s">
        <v>29</v>
      </c>
      <c r="M3096" s="28"/>
      <c r="N3096" s="28" t="s">
        <v>58</v>
      </c>
      <c r="O3096" s="10" t="str">
        <f t="shared" si="79"/>
        <v>11/2026</v>
      </c>
      <c r="P3096" s="10" t="str">
        <f t="shared" si="367"/>
        <v/>
      </c>
      <c r="Q3096" s="15" t="str">
        <f t="array" ref="Q3096">IFERROR(XLOOKUP(N3096,'Classificação'!A:A,'Classificação'!B:B),"")</f>
        <v>DESPESAS ADMINISTRATIVAS</v>
      </c>
      <c r="S3096" s="15">
        <f t="shared" si="228"/>
        <v>15</v>
      </c>
      <c r="T3096" s="15">
        <f t="shared" si="128"/>
        <v>11</v>
      </c>
      <c r="U3096" s="15">
        <f t="shared" si="129"/>
        <v>2026</v>
      </c>
      <c r="V3096" s="15" t="str">
        <f t="shared" si="8"/>
        <v/>
      </c>
      <c r="W3096" s="15" t="str">
        <f t="shared" si="9"/>
        <v/>
      </c>
      <c r="X3096" s="15" t="str">
        <f t="shared" si="10"/>
        <v/>
      </c>
    </row>
    <row r="3097">
      <c r="A3097" s="26">
        <v>46341.0</v>
      </c>
      <c r="B3097" s="30"/>
      <c r="C3097" s="27" t="str">
        <f t="shared" si="249"/>
        <v/>
      </c>
      <c r="D3097" s="28" t="s">
        <v>80</v>
      </c>
      <c r="E3097" s="28" t="s">
        <v>1305</v>
      </c>
      <c r="F3097" s="28" t="s">
        <v>32</v>
      </c>
      <c r="G3097" s="28" t="s">
        <v>27</v>
      </c>
      <c r="H3097" s="29" t="s">
        <v>606</v>
      </c>
      <c r="I3097" s="37">
        <v>780.0</v>
      </c>
      <c r="J3097" s="34"/>
      <c r="K3097" s="34" t="str">
        <f t="shared" si="371"/>
        <v/>
      </c>
      <c r="L3097" s="28" t="s">
        <v>29</v>
      </c>
      <c r="M3097" s="28"/>
      <c r="N3097" s="28" t="s">
        <v>75</v>
      </c>
      <c r="O3097" s="10" t="str">
        <f t="shared" si="79"/>
        <v>11/2026</v>
      </c>
      <c r="P3097" s="10" t="str">
        <f t="shared" si="367"/>
        <v/>
      </c>
      <c r="Q3097" s="15" t="str">
        <f t="array" ref="Q3097">IFERROR(XLOOKUP(N3097,'Classificação'!A:A,'Classificação'!B:B),"")</f>
        <v>DESPESAS COM PESSOAL</v>
      </c>
      <c r="R3097" s="15" t="str">
        <f t="array" ref="R3097">IFERROR(XLOOKUP(Q3097,'Classificação'!B:B,'Classificação'!C:C),"")</f>
        <v>DESPESAS FIXAS (-)</v>
      </c>
      <c r="S3097" s="15">
        <f t="shared" si="228"/>
        <v>15</v>
      </c>
      <c r="T3097" s="15">
        <f t="shared" si="128"/>
        <v>11</v>
      </c>
      <c r="U3097" s="15">
        <f t="shared" si="129"/>
        <v>2026</v>
      </c>
      <c r="V3097" s="15" t="str">
        <f t="shared" si="8"/>
        <v/>
      </c>
      <c r="W3097" s="15" t="str">
        <f t="shared" si="9"/>
        <v/>
      </c>
      <c r="X3097" s="15" t="str">
        <f t="shared" si="10"/>
        <v/>
      </c>
    </row>
    <row r="3098">
      <c r="A3098" s="26">
        <v>46341.0</v>
      </c>
      <c r="B3098" s="28"/>
      <c r="C3098" s="27" t="str">
        <f t="shared" si="249"/>
        <v/>
      </c>
      <c r="D3098" s="29" t="s">
        <v>1094</v>
      </c>
      <c r="E3098" s="28" t="s">
        <v>1305</v>
      </c>
      <c r="F3098" s="29" t="s">
        <v>26</v>
      </c>
      <c r="G3098" s="29" t="s">
        <v>37</v>
      </c>
      <c r="H3098" s="28" t="s">
        <v>606</v>
      </c>
      <c r="I3098" s="24">
        <v>1120.0</v>
      </c>
      <c r="J3098" s="34"/>
      <c r="K3098" s="34" t="str">
        <f t="shared" si="371"/>
        <v/>
      </c>
      <c r="L3098" s="28" t="s">
        <v>29</v>
      </c>
      <c r="M3098" s="28"/>
      <c r="N3098" s="28" t="s">
        <v>75</v>
      </c>
      <c r="O3098" s="10" t="str">
        <f t="shared" si="79"/>
        <v>11/2026</v>
      </c>
      <c r="P3098" s="10" t="str">
        <f t="shared" si="367"/>
        <v/>
      </c>
      <c r="Q3098" s="15" t="str">
        <f t="array" ref="Q3098">IFERROR(XLOOKUP(N3098,'Classificação'!A:A,'Classificação'!B:B),"")</f>
        <v>DESPESAS COM PESSOAL</v>
      </c>
      <c r="R3098" s="15" t="str">
        <f t="array" ref="R3098">IFERROR(XLOOKUP(Q3098,'Classificação'!B:B,'Classificação'!C:C),"")</f>
        <v>DESPESAS FIXAS (-)</v>
      </c>
      <c r="S3098" s="15">
        <f t="shared" si="228"/>
        <v>15</v>
      </c>
      <c r="T3098" s="15">
        <f t="shared" si="128"/>
        <v>11</v>
      </c>
      <c r="U3098" s="15">
        <f t="shared" si="129"/>
        <v>2026</v>
      </c>
      <c r="V3098" s="15" t="str">
        <f t="shared" si="8"/>
        <v/>
      </c>
      <c r="W3098" s="15" t="str">
        <f t="shared" si="9"/>
        <v/>
      </c>
      <c r="X3098" s="15" t="str">
        <f t="shared" si="10"/>
        <v/>
      </c>
    </row>
    <row r="3099">
      <c r="A3099" s="32">
        <v>46341.0</v>
      </c>
      <c r="B3099" s="10"/>
      <c r="C3099" s="9" t="str">
        <f t="shared" si="249"/>
        <v/>
      </c>
      <c r="D3099" s="11" t="s">
        <v>1229</v>
      </c>
      <c r="E3099" s="28" t="s">
        <v>1305</v>
      </c>
      <c r="F3099" s="11" t="s">
        <v>26</v>
      </c>
      <c r="G3099" s="11" t="s">
        <v>37</v>
      </c>
      <c r="H3099" s="11" t="s">
        <v>1230</v>
      </c>
      <c r="I3099" s="31">
        <v>840.0</v>
      </c>
      <c r="J3099" s="13"/>
      <c r="K3099" s="13" t="str">
        <f t="shared" ref="K3099:K3100" si="372">if(E3099="pago",(I3099-J3099),"")</f>
        <v/>
      </c>
      <c r="L3099" s="11" t="s">
        <v>29</v>
      </c>
      <c r="M3099" s="14"/>
      <c r="N3099" s="11" t="s">
        <v>58</v>
      </c>
      <c r="O3099" s="10" t="str">
        <f t="shared" si="79"/>
        <v>11/2026</v>
      </c>
      <c r="P3099" s="10" t="str">
        <f t="shared" si="367"/>
        <v/>
      </c>
      <c r="Q3099" s="15" t="str">
        <f t="array" ref="Q3099">IFERROR(XLOOKUP(N3099,'Classificação'!A:A,'Classificação'!B:B),"")</f>
        <v>DESPESAS ADMINISTRATIVAS</v>
      </c>
      <c r="R3099" s="15" t="str">
        <f t="array" ref="R3099">IFERROR(XLOOKUP(Q3099,'Classificação'!B:B,'Classificação'!C:C),"")</f>
        <v>DESPESAS FIXAS (-)</v>
      </c>
      <c r="S3099" s="15">
        <f t="shared" si="228"/>
        <v>15</v>
      </c>
      <c r="T3099" s="15">
        <f t="shared" si="128"/>
        <v>11</v>
      </c>
      <c r="U3099" s="15">
        <f t="shared" si="129"/>
        <v>2026</v>
      </c>
      <c r="V3099" s="15" t="str">
        <f t="shared" si="8"/>
        <v/>
      </c>
      <c r="W3099" s="15" t="str">
        <f t="shared" si="9"/>
        <v/>
      </c>
      <c r="X3099" s="15" t="str">
        <f t="shared" si="10"/>
        <v/>
      </c>
    </row>
    <row r="3100">
      <c r="A3100" s="26">
        <v>46342.0</v>
      </c>
      <c r="B3100" s="30"/>
      <c r="C3100" s="27" t="str">
        <f t="shared" si="249"/>
        <v/>
      </c>
      <c r="D3100" s="28" t="s">
        <v>90</v>
      </c>
      <c r="E3100" s="28" t="s">
        <v>1305</v>
      </c>
      <c r="F3100" s="28" t="s">
        <v>40</v>
      </c>
      <c r="G3100" s="28" t="s">
        <v>27</v>
      </c>
      <c r="H3100" s="29" t="s">
        <v>1178</v>
      </c>
      <c r="I3100" s="37">
        <v>800.0</v>
      </c>
      <c r="J3100" s="34"/>
      <c r="K3100" s="13" t="str">
        <f t="shared" si="372"/>
        <v/>
      </c>
      <c r="L3100" s="28" t="s">
        <v>29</v>
      </c>
      <c r="M3100" s="28"/>
      <c r="N3100" s="28" t="s">
        <v>92</v>
      </c>
      <c r="O3100" s="10" t="str">
        <f t="shared" si="79"/>
        <v>11/2026</v>
      </c>
      <c r="P3100" s="10" t="str">
        <f t="shared" si="367"/>
        <v/>
      </c>
      <c r="Q3100" s="15" t="str">
        <f t="array" ref="Q3100">IFERROR(XLOOKUP(N3100,'Classificação'!A:A,'Classificação'!B:B),"")</f>
        <v>DESPESAS COM OCUPAÇÃO</v>
      </c>
      <c r="R3100" s="15" t="str">
        <f t="array" ref="R3100">IFERROR(XLOOKUP(Q3100,'Classificação'!B:B,'Classificação'!C:C),"")</f>
        <v>DESPESAS FIXAS (-)</v>
      </c>
      <c r="S3100" s="15">
        <f t="shared" si="228"/>
        <v>16</v>
      </c>
      <c r="T3100" s="15">
        <f t="shared" si="128"/>
        <v>11</v>
      </c>
      <c r="U3100" s="15">
        <f t="shared" si="129"/>
        <v>2026</v>
      </c>
      <c r="V3100" s="15" t="str">
        <f t="shared" si="8"/>
        <v/>
      </c>
      <c r="W3100" s="15" t="str">
        <f t="shared" si="9"/>
        <v/>
      </c>
      <c r="X3100" s="15" t="str">
        <f t="shared" si="10"/>
        <v/>
      </c>
    </row>
    <row r="3101">
      <c r="A3101" s="26">
        <v>46344.0</v>
      </c>
      <c r="B3101" s="30"/>
      <c r="C3101" s="27" t="str">
        <f t="shared" si="249"/>
        <v/>
      </c>
      <c r="D3101" s="28" t="s">
        <v>65</v>
      </c>
      <c r="E3101" s="28" t="s">
        <v>1305</v>
      </c>
      <c r="F3101" s="28" t="s">
        <v>45</v>
      </c>
      <c r="G3101" s="28" t="s">
        <v>37</v>
      </c>
      <c r="H3101" s="28" t="s">
        <v>1114</v>
      </c>
      <c r="I3101" s="37">
        <v>700.0</v>
      </c>
      <c r="J3101" s="34"/>
      <c r="K3101" s="34" t="str">
        <f t="shared" ref="K3101:K3106" si="373">IF(E3101="pago",(I3101-J3101),"")</f>
        <v/>
      </c>
      <c r="L3101" s="28" t="s">
        <v>29</v>
      </c>
      <c r="M3101" s="28"/>
      <c r="N3101" s="28" t="s">
        <v>68</v>
      </c>
      <c r="O3101" s="10" t="str">
        <f t="shared" si="79"/>
        <v>11/2026</v>
      </c>
      <c r="P3101" s="10" t="str">
        <f t="shared" si="367"/>
        <v/>
      </c>
      <c r="Q3101" s="15" t="str">
        <f t="array" ref="Q3101">IFERROR(XLOOKUP(N3101,'Classificação'!A:A,'Classificação'!B:B),"")</f>
        <v>FRETE DE VENDAS</v>
      </c>
      <c r="R3101" s="15" t="str">
        <f t="array" ref="R3101">IFERROR(XLOOKUP(Q3101,'Classificação'!B:B,'Classificação'!C:C),"")</f>
        <v>CUSTOS VARIÁVEIS</v>
      </c>
      <c r="S3101" s="15">
        <f t="shared" si="228"/>
        <v>18</v>
      </c>
      <c r="T3101" s="15">
        <f t="shared" si="128"/>
        <v>11</v>
      </c>
      <c r="U3101" s="15">
        <f t="shared" si="129"/>
        <v>2026</v>
      </c>
      <c r="V3101" s="15" t="str">
        <f t="shared" si="8"/>
        <v/>
      </c>
      <c r="W3101" s="15" t="str">
        <f t="shared" si="9"/>
        <v/>
      </c>
      <c r="X3101" s="15" t="str">
        <f t="shared" si="10"/>
        <v/>
      </c>
    </row>
    <row r="3102">
      <c r="A3102" s="26">
        <v>46346.0</v>
      </c>
      <c r="B3102" s="30"/>
      <c r="C3102" s="27" t="str">
        <f t="shared" si="249"/>
        <v/>
      </c>
      <c r="D3102" s="28" t="s">
        <v>100</v>
      </c>
      <c r="E3102" s="28" t="s">
        <v>1305</v>
      </c>
      <c r="F3102" s="28" t="s">
        <v>40</v>
      </c>
      <c r="G3102" s="28" t="s">
        <v>27</v>
      </c>
      <c r="H3102" s="29" t="s">
        <v>1015</v>
      </c>
      <c r="I3102" s="37">
        <v>14000.0</v>
      </c>
      <c r="J3102" s="34"/>
      <c r="K3102" s="34" t="str">
        <f t="shared" si="373"/>
        <v/>
      </c>
      <c r="L3102" s="28" t="s">
        <v>29</v>
      </c>
      <c r="M3102" s="28"/>
      <c r="N3102" s="28" t="s">
        <v>101</v>
      </c>
      <c r="O3102" s="10" t="str">
        <f t="shared" si="79"/>
        <v>11/2026</v>
      </c>
      <c r="P3102" s="10" t="str">
        <f t="shared" si="367"/>
        <v/>
      </c>
      <c r="Q3102" s="15" t="str">
        <f t="array" ref="Q3102">IFERROR(XLOOKUP(N3102,'Classificação'!A:A,'Classificação'!B:B),"")</f>
        <v>IMPOSTO DE RENDA - DAS</v>
      </c>
      <c r="R3102" s="15" t="str">
        <f t="array" ref="R3102">IFERROR(XLOOKUP(Q3102,'Classificação'!B:B,'Classificação'!C:C),"")</f>
        <v>DEDUÇÕES DA RECEITA BRUTA (-)</v>
      </c>
      <c r="S3102" s="15">
        <f t="shared" si="228"/>
        <v>20</v>
      </c>
      <c r="T3102" s="15">
        <f t="shared" si="128"/>
        <v>11</v>
      </c>
      <c r="U3102" s="15">
        <f t="shared" si="129"/>
        <v>2026</v>
      </c>
      <c r="V3102" s="15" t="str">
        <f t="shared" si="8"/>
        <v/>
      </c>
      <c r="W3102" s="15" t="str">
        <f t="shared" si="9"/>
        <v/>
      </c>
      <c r="X3102" s="15" t="str">
        <f t="shared" si="10"/>
        <v/>
      </c>
    </row>
    <row r="3103">
      <c r="A3103" s="26">
        <v>46346.0</v>
      </c>
      <c r="B3103" s="30"/>
      <c r="C3103" s="27" t="str">
        <f t="shared" si="249"/>
        <v/>
      </c>
      <c r="D3103" s="28" t="s">
        <v>100</v>
      </c>
      <c r="E3103" s="28" t="s">
        <v>1305</v>
      </c>
      <c r="F3103" s="28" t="s">
        <v>40</v>
      </c>
      <c r="G3103" s="28" t="s">
        <v>37</v>
      </c>
      <c r="H3103" s="29" t="s">
        <v>1016</v>
      </c>
      <c r="I3103" s="37">
        <v>14000.0</v>
      </c>
      <c r="J3103" s="34"/>
      <c r="K3103" s="34" t="str">
        <f t="shared" si="373"/>
        <v/>
      </c>
      <c r="L3103" s="28" t="s">
        <v>29</v>
      </c>
      <c r="M3103" s="28"/>
      <c r="N3103" s="28" t="s">
        <v>101</v>
      </c>
      <c r="O3103" s="10" t="str">
        <f t="shared" si="79"/>
        <v>11/2026</v>
      </c>
      <c r="P3103" s="10" t="str">
        <f t="shared" si="367"/>
        <v/>
      </c>
      <c r="Q3103" s="15" t="str">
        <f t="array" ref="Q3103">IFERROR(XLOOKUP(N3103,'Classificação'!A:A,'Classificação'!B:B),"")</f>
        <v>IMPOSTO DE RENDA - DAS</v>
      </c>
      <c r="R3103" s="15" t="str">
        <f t="array" ref="R3103">IFERROR(XLOOKUP(Q3103,'Classificação'!B:B,'Classificação'!C:C),"")</f>
        <v>DEDUÇÕES DA RECEITA BRUTA (-)</v>
      </c>
      <c r="S3103" s="15">
        <f t="shared" si="228"/>
        <v>20</v>
      </c>
      <c r="T3103" s="15">
        <f t="shared" si="128"/>
        <v>11</v>
      </c>
      <c r="U3103" s="15">
        <f t="shared" si="129"/>
        <v>2026</v>
      </c>
      <c r="V3103" s="15" t="str">
        <f t="shared" si="8"/>
        <v/>
      </c>
      <c r="W3103" s="15" t="str">
        <f t="shared" si="9"/>
        <v/>
      </c>
      <c r="X3103" s="15" t="str">
        <f t="shared" si="10"/>
        <v/>
      </c>
    </row>
    <row r="3104">
      <c r="A3104" s="26">
        <v>46346.0</v>
      </c>
      <c r="B3104" s="28"/>
      <c r="C3104" s="27" t="str">
        <f t="shared" si="249"/>
        <v/>
      </c>
      <c r="D3104" s="28" t="s">
        <v>123</v>
      </c>
      <c r="E3104" s="28" t="s">
        <v>1305</v>
      </c>
      <c r="F3104" s="28" t="s">
        <v>40</v>
      </c>
      <c r="G3104" s="28" t="s">
        <v>27</v>
      </c>
      <c r="H3104" s="29" t="s">
        <v>1184</v>
      </c>
      <c r="I3104" s="24">
        <v>572.0</v>
      </c>
      <c r="J3104" s="34"/>
      <c r="K3104" s="34" t="str">
        <f t="shared" si="373"/>
        <v/>
      </c>
      <c r="L3104" s="28" t="s">
        <v>29</v>
      </c>
      <c r="M3104" s="28"/>
      <c r="N3104" s="28" t="s">
        <v>123</v>
      </c>
      <c r="O3104" s="10" t="str">
        <f t="shared" si="79"/>
        <v>11/2026</v>
      </c>
      <c r="P3104" s="10" t="str">
        <f t="shared" si="367"/>
        <v/>
      </c>
      <c r="Q3104" s="15" t="str">
        <f t="array" ref="Q3104">IFERROR(XLOOKUP(N3104,'Classificação'!A:A,'Classificação'!B:B),"")</f>
        <v>DESPESAS COM PESSOAL</v>
      </c>
      <c r="R3104" s="15" t="str">
        <f t="array" ref="R3104">IFERROR(XLOOKUP(Q3104,'Classificação'!B:B,'Classificação'!C:C),"")</f>
        <v>DESPESAS FIXAS (-)</v>
      </c>
      <c r="S3104" s="15">
        <f t="shared" si="228"/>
        <v>20</v>
      </c>
      <c r="T3104" s="15">
        <f t="shared" si="128"/>
        <v>11</v>
      </c>
      <c r="U3104" s="15">
        <f t="shared" si="129"/>
        <v>2026</v>
      </c>
      <c r="V3104" s="15" t="str">
        <f t="shared" si="8"/>
        <v/>
      </c>
      <c r="W3104" s="15" t="str">
        <f t="shared" si="9"/>
        <v/>
      </c>
      <c r="X3104" s="15" t="str">
        <f t="shared" si="10"/>
        <v/>
      </c>
    </row>
    <row r="3105">
      <c r="A3105" s="26">
        <v>46346.0</v>
      </c>
      <c r="B3105" s="28"/>
      <c r="C3105" s="27" t="str">
        <f t="shared" si="249"/>
        <v/>
      </c>
      <c r="D3105" s="28" t="s">
        <v>126</v>
      </c>
      <c r="E3105" s="28" t="s">
        <v>1305</v>
      </c>
      <c r="F3105" s="28" t="s">
        <v>40</v>
      </c>
      <c r="G3105" s="28" t="s">
        <v>27</v>
      </c>
      <c r="H3105" s="29" t="s">
        <v>1185</v>
      </c>
      <c r="I3105" s="24">
        <v>730.0</v>
      </c>
      <c r="J3105" s="34"/>
      <c r="K3105" s="34" t="str">
        <f t="shared" si="373"/>
        <v/>
      </c>
      <c r="L3105" s="28" t="s">
        <v>29</v>
      </c>
      <c r="M3105" s="28"/>
      <c r="N3105" s="28" t="s">
        <v>126</v>
      </c>
      <c r="O3105" s="10" t="str">
        <f t="shared" si="79"/>
        <v>11/2026</v>
      </c>
      <c r="P3105" s="10"/>
      <c r="Q3105" s="15" t="str">
        <f t="array" ref="Q3105">IFERROR(XLOOKUP(N3105,'Classificação'!A:A,'Classificação'!B:B),"")</f>
        <v>DESPESAS COM PESSOAL</v>
      </c>
      <c r="R3105" s="15" t="str">
        <f t="array" ref="R3105">IFERROR(XLOOKUP(Q3105,'Classificação'!B:B,'Classificação'!C:C),"")</f>
        <v>DESPESAS FIXAS (-)</v>
      </c>
      <c r="S3105" s="15">
        <f t="shared" si="228"/>
        <v>20</v>
      </c>
      <c r="T3105" s="15">
        <f t="shared" si="128"/>
        <v>11</v>
      </c>
      <c r="U3105" s="15">
        <f t="shared" si="129"/>
        <v>2026</v>
      </c>
      <c r="V3105" s="15" t="str">
        <f t="shared" si="8"/>
        <v/>
      </c>
      <c r="W3105" s="15" t="str">
        <f t="shared" si="9"/>
        <v/>
      </c>
      <c r="X3105" s="15" t="str">
        <f t="shared" si="10"/>
        <v/>
      </c>
    </row>
    <row r="3106">
      <c r="A3106" s="26">
        <v>46346.0</v>
      </c>
      <c r="B3106" s="28"/>
      <c r="C3106" s="27" t="str">
        <f t="shared" si="249"/>
        <v/>
      </c>
      <c r="D3106" s="28" t="s">
        <v>171</v>
      </c>
      <c r="E3106" s="28" t="s">
        <v>1305</v>
      </c>
      <c r="F3106" s="28" t="s">
        <v>40</v>
      </c>
      <c r="G3106" s="28" t="s">
        <v>27</v>
      </c>
      <c r="H3106" s="28"/>
      <c r="I3106" s="37">
        <v>150.0</v>
      </c>
      <c r="J3106" s="34"/>
      <c r="K3106" s="34" t="str">
        <f t="shared" si="373"/>
        <v/>
      </c>
      <c r="L3106" s="28" t="s">
        <v>29</v>
      </c>
      <c r="M3106" s="28"/>
      <c r="N3106" s="28" t="s">
        <v>172</v>
      </c>
      <c r="O3106" s="10" t="str">
        <f t="shared" si="79"/>
        <v>11/2026</v>
      </c>
      <c r="P3106" s="10" t="str">
        <f t="shared" ref="P3106:P3111" si="374">if(B3106="","", TEXT(B3106,"mm/yyyy"))</f>
        <v/>
      </c>
      <c r="Q3106" s="15" t="str">
        <f t="array" ref="Q3106">IFERROR(XLOOKUP(N3106,'Classificação'!A:A,'Classificação'!B:B),"")</f>
        <v>DESPESAS COM OCUPAÇÃO</v>
      </c>
      <c r="R3106" s="15" t="str">
        <f t="array" ref="R3106">IFERROR(XLOOKUP(Q3106,'Classificação'!B:B,'Classificação'!C:C),"")</f>
        <v>DESPESAS FIXAS (-)</v>
      </c>
      <c r="S3106" s="15">
        <f t="shared" si="228"/>
        <v>20</v>
      </c>
      <c r="T3106" s="15">
        <f t="shared" si="128"/>
        <v>11</v>
      </c>
      <c r="U3106" s="15">
        <f t="shared" si="129"/>
        <v>2026</v>
      </c>
      <c r="V3106" s="15" t="str">
        <f t="shared" si="8"/>
        <v/>
      </c>
      <c r="W3106" s="15" t="str">
        <f t="shared" si="9"/>
        <v/>
      </c>
      <c r="X3106" s="15" t="str">
        <f t="shared" si="10"/>
        <v/>
      </c>
    </row>
    <row r="3107">
      <c r="A3107" s="26">
        <v>46346.0</v>
      </c>
      <c r="B3107" s="39"/>
      <c r="C3107" s="9" t="str">
        <f t="shared" si="249"/>
        <v/>
      </c>
      <c r="D3107" s="28" t="s">
        <v>65</v>
      </c>
      <c r="E3107" s="28" t="s">
        <v>1305</v>
      </c>
      <c r="F3107" s="28" t="s">
        <v>107</v>
      </c>
      <c r="G3107" s="28" t="s">
        <v>27</v>
      </c>
      <c r="H3107" s="28" t="s">
        <v>612</v>
      </c>
      <c r="I3107" s="24">
        <v>8.9</v>
      </c>
      <c r="J3107" s="34"/>
      <c r="K3107" s="13" t="str">
        <f>if(E3107="pago",(I3107-J3107),"")</f>
        <v/>
      </c>
      <c r="L3107" s="28" t="s">
        <v>29</v>
      </c>
      <c r="M3107" s="28"/>
      <c r="N3107" s="28" t="s">
        <v>105</v>
      </c>
      <c r="O3107" s="10" t="str">
        <f t="shared" si="79"/>
        <v>11/2026</v>
      </c>
      <c r="P3107" s="10" t="str">
        <f t="shared" si="374"/>
        <v/>
      </c>
      <c r="Q3107" s="15" t="str">
        <f t="array" ref="Q3107">IFERROR(XLOOKUP(N3107,'Classificação'!A:A,'Classificação'!B:B),"")</f>
        <v>DESPESAS ADMINISTRATIVAS</v>
      </c>
      <c r="R3107" s="15" t="str">
        <f t="array" ref="R3107">IFERROR(XLOOKUP(Q3107,'Classificação'!B:B,'Classificação'!C:C),"")</f>
        <v>DESPESAS FIXAS (-)</v>
      </c>
      <c r="S3107" s="15">
        <f t="shared" si="228"/>
        <v>20</v>
      </c>
      <c r="T3107" s="15">
        <f t="shared" si="128"/>
        <v>11</v>
      </c>
      <c r="U3107" s="15">
        <f t="shared" si="129"/>
        <v>2026</v>
      </c>
      <c r="V3107" s="15" t="str">
        <f t="shared" si="8"/>
        <v/>
      </c>
      <c r="W3107" s="15" t="str">
        <f t="shared" si="9"/>
        <v/>
      </c>
      <c r="X3107" s="15" t="str">
        <f t="shared" si="10"/>
        <v/>
      </c>
    </row>
    <row r="3108">
      <c r="A3108" s="26">
        <v>46346.0</v>
      </c>
      <c r="B3108" s="28"/>
      <c r="C3108" s="27" t="str">
        <f t="shared" si="249"/>
        <v/>
      </c>
      <c r="D3108" s="28" t="s">
        <v>637</v>
      </c>
      <c r="E3108" s="28" t="s">
        <v>1305</v>
      </c>
      <c r="F3108" s="28" t="s">
        <v>40</v>
      </c>
      <c r="G3108" s="28" t="s">
        <v>27</v>
      </c>
      <c r="H3108" s="28"/>
      <c r="I3108" s="37">
        <v>170.0</v>
      </c>
      <c r="J3108" s="34"/>
      <c r="K3108" s="34" t="str">
        <f t="shared" ref="K3108:K3111" si="375">IF(E3108="pago",(I3108-J3108),"")</f>
        <v/>
      </c>
      <c r="L3108" s="28" t="s">
        <v>29</v>
      </c>
      <c r="M3108" s="28"/>
      <c r="N3108" s="28" t="s">
        <v>201</v>
      </c>
      <c r="O3108" s="10" t="str">
        <f t="shared" si="79"/>
        <v>11/2026</v>
      </c>
      <c r="P3108" s="10" t="str">
        <f t="shared" si="374"/>
        <v/>
      </c>
      <c r="Q3108" s="15" t="str">
        <f t="array" ref="Q3108">IFERROR(XLOOKUP(N3108,'Classificação'!A:A,'Classificação'!B:B),"")</f>
        <v>DESPESAS COM OCUPAÇÃO</v>
      </c>
      <c r="R3108" s="15" t="str">
        <f t="array" ref="R3108">IFERROR(XLOOKUP(Q3108,'Classificação'!B:B,'Classificação'!C:C),"")</f>
        <v>DESPESAS FIXAS (-)</v>
      </c>
      <c r="S3108" s="15">
        <f t="shared" si="228"/>
        <v>20</v>
      </c>
      <c r="T3108" s="15">
        <f t="shared" si="128"/>
        <v>11</v>
      </c>
      <c r="U3108" s="15">
        <f t="shared" si="129"/>
        <v>2026</v>
      </c>
      <c r="V3108" s="15" t="str">
        <f t="shared" si="8"/>
        <v/>
      </c>
      <c r="W3108" s="15" t="str">
        <f t="shared" si="9"/>
        <v/>
      </c>
      <c r="X3108" s="15" t="str">
        <f t="shared" si="10"/>
        <v/>
      </c>
    </row>
    <row r="3109">
      <c r="A3109" s="26">
        <v>46346.0</v>
      </c>
      <c r="B3109" s="28"/>
      <c r="C3109" s="27" t="str">
        <f t="shared" si="249"/>
        <v/>
      </c>
      <c r="D3109" s="28" t="s">
        <v>121</v>
      </c>
      <c r="E3109" s="28" t="s">
        <v>1305</v>
      </c>
      <c r="F3109" s="28" t="s">
        <v>107</v>
      </c>
      <c r="G3109" s="28" t="s">
        <v>27</v>
      </c>
      <c r="H3109" s="28"/>
      <c r="I3109" s="24">
        <v>79.9</v>
      </c>
      <c r="J3109" s="34"/>
      <c r="K3109" s="34" t="str">
        <f t="shared" si="375"/>
        <v/>
      </c>
      <c r="L3109" s="28" t="s">
        <v>29</v>
      </c>
      <c r="M3109" s="28"/>
      <c r="N3109" s="28" t="s">
        <v>105</v>
      </c>
      <c r="O3109" s="10" t="str">
        <f t="shared" si="79"/>
        <v>11/2026</v>
      </c>
      <c r="P3109" s="10" t="str">
        <f t="shared" si="374"/>
        <v/>
      </c>
      <c r="Q3109" s="15" t="str">
        <f t="array" ref="Q3109">IFERROR(XLOOKUP(N3109,'Classificação'!A:A,'Classificação'!B:B),"")</f>
        <v>DESPESAS ADMINISTRATIVAS</v>
      </c>
      <c r="R3109" s="15" t="str">
        <f t="array" ref="R3109">IFERROR(XLOOKUP(Q3109,'Classificação'!B:B,'Classificação'!C:C),"")</f>
        <v>DESPESAS FIXAS (-)</v>
      </c>
      <c r="S3109" s="15">
        <f t="shared" si="228"/>
        <v>20</v>
      </c>
      <c r="T3109" s="15">
        <f t="shared" si="128"/>
        <v>11</v>
      </c>
      <c r="U3109" s="15">
        <f t="shared" si="129"/>
        <v>2026</v>
      </c>
      <c r="V3109" s="15" t="str">
        <f t="shared" si="8"/>
        <v/>
      </c>
      <c r="W3109" s="15" t="str">
        <f t="shared" si="9"/>
        <v/>
      </c>
      <c r="X3109" s="15" t="str">
        <f t="shared" si="10"/>
        <v/>
      </c>
    </row>
    <row r="3110">
      <c r="A3110" s="26">
        <v>46346.0</v>
      </c>
      <c r="B3110" s="28"/>
      <c r="C3110" s="27" t="str">
        <f t="shared" si="249"/>
        <v/>
      </c>
      <c r="D3110" s="28" t="s">
        <v>104</v>
      </c>
      <c r="E3110" s="28" t="s">
        <v>1305</v>
      </c>
      <c r="F3110" s="28" t="s">
        <v>40</v>
      </c>
      <c r="G3110" s="28" t="s">
        <v>27</v>
      </c>
      <c r="H3110" s="29" t="s">
        <v>1186</v>
      </c>
      <c r="I3110" s="37">
        <v>450.0</v>
      </c>
      <c r="J3110" s="34"/>
      <c r="K3110" s="34" t="str">
        <f t="shared" si="375"/>
        <v/>
      </c>
      <c r="L3110" s="28" t="s">
        <v>29</v>
      </c>
      <c r="M3110" s="28"/>
      <c r="N3110" s="28" t="s">
        <v>105</v>
      </c>
      <c r="O3110" s="10" t="str">
        <f t="shared" si="79"/>
        <v>11/2026</v>
      </c>
      <c r="P3110" s="10" t="str">
        <f t="shared" si="374"/>
        <v/>
      </c>
      <c r="Q3110" s="15" t="str">
        <f t="array" ref="Q3110">IFERROR(XLOOKUP(N3110,'Classificação'!A:A,'Classificação'!B:B),"")</f>
        <v>DESPESAS ADMINISTRATIVAS</v>
      </c>
      <c r="R3110" s="15" t="str">
        <f t="array" ref="R3110">IFERROR(XLOOKUP(Q3110,'Classificação'!B:B,'Classificação'!C:C),"")</f>
        <v>DESPESAS FIXAS (-)</v>
      </c>
      <c r="S3110" s="15">
        <f t="shared" si="228"/>
        <v>20</v>
      </c>
      <c r="T3110" s="15">
        <f t="shared" si="128"/>
        <v>11</v>
      </c>
      <c r="U3110" s="15">
        <f t="shared" si="129"/>
        <v>2026</v>
      </c>
      <c r="V3110" s="15" t="str">
        <f t="shared" si="8"/>
        <v/>
      </c>
      <c r="W3110" s="15" t="str">
        <f t="shared" si="9"/>
        <v/>
      </c>
      <c r="X3110" s="15" t="str">
        <f t="shared" si="10"/>
        <v/>
      </c>
    </row>
    <row r="3111">
      <c r="A3111" s="26">
        <v>46346.0</v>
      </c>
      <c r="B3111" s="28"/>
      <c r="C3111" s="27" t="str">
        <f t="shared" si="249"/>
        <v/>
      </c>
      <c r="D3111" s="28" t="s">
        <v>44</v>
      </c>
      <c r="E3111" s="28" t="s">
        <v>1305</v>
      </c>
      <c r="F3111" s="28" t="s">
        <v>45</v>
      </c>
      <c r="G3111" s="28" t="s">
        <v>27</v>
      </c>
      <c r="H3111" s="28" t="s">
        <v>1308</v>
      </c>
      <c r="I3111" s="37">
        <v>125.0</v>
      </c>
      <c r="J3111" s="34"/>
      <c r="K3111" s="34" t="str">
        <f t="shared" si="375"/>
        <v/>
      </c>
      <c r="L3111" s="28" t="s">
        <v>29</v>
      </c>
      <c r="M3111" s="28"/>
      <c r="N3111" s="28" t="s">
        <v>47</v>
      </c>
      <c r="O3111" s="10" t="str">
        <f t="shared" si="79"/>
        <v>11/2026</v>
      </c>
      <c r="P3111" s="10" t="str">
        <f t="shared" si="374"/>
        <v/>
      </c>
      <c r="Q3111" s="15" t="str">
        <f t="array" ref="Q3111">IFERROR(XLOOKUP(N3111,'Classificação'!A:A,'Classificação'!B:B),"")</f>
        <v>DESPESAS NÃO OPERACIONAIS</v>
      </c>
      <c r="R3111" s="15" t="str">
        <f t="array" ref="R3111">IFERROR(XLOOKUP(Q3111,'Classificação'!B:B,'Classificação'!C:C),"")</f>
        <v>RESULTADO NÃO OPERACIONAL (+/-)</v>
      </c>
      <c r="S3111" s="15">
        <f t="shared" si="228"/>
        <v>20</v>
      </c>
      <c r="T3111" s="15">
        <f t="shared" si="128"/>
        <v>11</v>
      </c>
      <c r="U3111" s="15">
        <f t="shared" si="129"/>
        <v>2026</v>
      </c>
      <c r="V3111" s="15" t="str">
        <f t="shared" si="8"/>
        <v/>
      </c>
      <c r="W3111" s="15" t="str">
        <f t="shared" si="9"/>
        <v/>
      </c>
      <c r="X3111" s="15" t="str">
        <f t="shared" si="10"/>
        <v/>
      </c>
    </row>
    <row r="3112">
      <c r="A3112" s="32">
        <v>46346.0</v>
      </c>
      <c r="B3112" s="32">
        <v>46312.0</v>
      </c>
      <c r="C3112" s="9" t="str">
        <f t="shared" si="249"/>
        <v/>
      </c>
      <c r="D3112" s="11" t="s">
        <v>1181</v>
      </c>
      <c r="E3112" s="29" t="s">
        <v>1305</v>
      </c>
      <c r="F3112" s="11" t="s">
        <v>107</v>
      </c>
      <c r="G3112" s="28" t="s">
        <v>27</v>
      </c>
      <c r="H3112" s="11" t="s">
        <v>1182</v>
      </c>
      <c r="I3112" s="12">
        <v>39.99</v>
      </c>
      <c r="J3112" s="13"/>
      <c r="K3112" s="13" t="str">
        <f>if(E3112="pago",(I3112-J3112),"")</f>
        <v/>
      </c>
      <c r="L3112" s="11" t="s">
        <v>29</v>
      </c>
      <c r="M3112" s="14"/>
      <c r="N3112" s="11" t="s">
        <v>105</v>
      </c>
      <c r="O3112" s="10" t="str">
        <f t="shared" si="79"/>
        <v>11/2026</v>
      </c>
      <c r="P3112" s="10" t="str">
        <f t="shared" ref="P3112:P3120" si="376">if(C3112="","", TEXT(C3112,"mm/yyyy"))</f>
        <v/>
      </c>
      <c r="Q3112" s="15" t="str">
        <f t="array" ref="Q3112">IFERROR(XLOOKUP(N3112,'Classificação'!A:A,'Classificação'!B:B),"")</f>
        <v>DESPESAS ADMINISTRATIVAS</v>
      </c>
      <c r="R3112" s="15" t="str">
        <f t="array" ref="R3112">IFERROR(XLOOKUP(Q3112,'Classificação'!B:B,'Classificação'!C:C),"")</f>
        <v>DESPESAS FIXAS (-)</v>
      </c>
      <c r="S3112" s="15">
        <f t="shared" si="228"/>
        <v>20</v>
      </c>
      <c r="T3112" s="15">
        <f t="shared" si="128"/>
        <v>11</v>
      </c>
      <c r="U3112" s="15">
        <f t="shared" si="129"/>
        <v>2026</v>
      </c>
      <c r="V3112" s="15" t="str">
        <f t="shared" si="8"/>
        <v/>
      </c>
      <c r="W3112" s="15" t="str">
        <f t="shared" si="9"/>
        <v/>
      </c>
      <c r="X3112" s="15" t="str">
        <f t="shared" si="10"/>
        <v/>
      </c>
    </row>
    <row r="3113">
      <c r="A3113" s="27">
        <v>46346.0</v>
      </c>
      <c r="B3113" s="28"/>
      <c r="C3113" s="27" t="str">
        <f t="shared" si="249"/>
        <v/>
      </c>
      <c r="D3113" s="28" t="s">
        <v>126</v>
      </c>
      <c r="E3113" s="28" t="s">
        <v>1305</v>
      </c>
      <c r="F3113" s="28" t="s">
        <v>40</v>
      </c>
      <c r="G3113" s="28" t="s">
        <v>27</v>
      </c>
      <c r="H3113" s="29" t="s">
        <v>1210</v>
      </c>
      <c r="I3113" s="24">
        <v>210.0</v>
      </c>
      <c r="J3113" s="34"/>
      <c r="K3113" s="34" t="str">
        <f t="shared" ref="K3113:K3114" si="377">IF(E3113="pago",(I3113-J3113),"")</f>
        <v/>
      </c>
      <c r="L3113" s="28" t="s">
        <v>29</v>
      </c>
      <c r="M3113" s="28"/>
      <c r="N3113" s="28" t="s">
        <v>126</v>
      </c>
      <c r="O3113" s="10" t="str">
        <f t="shared" si="79"/>
        <v>11/2026</v>
      </c>
      <c r="P3113" s="10" t="str">
        <f t="shared" si="376"/>
        <v/>
      </c>
      <c r="Q3113" s="15" t="str">
        <f t="array" ref="Q3113">IFERROR(XLOOKUP(N3113,'Classificação'!A:A,'Classificação'!B:B),"")</f>
        <v>DESPESAS COM PESSOAL</v>
      </c>
      <c r="R3113" s="15" t="str">
        <f t="array" ref="R3113">IFERROR(XLOOKUP(Q3113,'Classificação'!B:B,'Classificação'!C:C),"")</f>
        <v>DESPESAS FIXAS (-)</v>
      </c>
      <c r="S3113" s="15">
        <f t="shared" si="228"/>
        <v>20</v>
      </c>
      <c r="T3113" s="15">
        <f t="shared" si="128"/>
        <v>11</v>
      </c>
      <c r="U3113" s="15">
        <f t="shared" si="129"/>
        <v>2026</v>
      </c>
      <c r="V3113" s="15" t="str">
        <f t="shared" si="8"/>
        <v/>
      </c>
      <c r="W3113" s="15" t="str">
        <f t="shared" si="9"/>
        <v/>
      </c>
      <c r="X3113" s="15" t="str">
        <f t="shared" si="10"/>
        <v/>
      </c>
    </row>
    <row r="3114">
      <c r="A3114" s="27">
        <v>46346.0</v>
      </c>
      <c r="B3114" s="28"/>
      <c r="C3114" s="27" t="str">
        <f t="shared" si="249"/>
        <v/>
      </c>
      <c r="D3114" s="28" t="s">
        <v>123</v>
      </c>
      <c r="E3114" s="28" t="s">
        <v>1305</v>
      </c>
      <c r="F3114" s="28" t="s">
        <v>40</v>
      </c>
      <c r="G3114" s="28" t="s">
        <v>27</v>
      </c>
      <c r="H3114" s="29" t="s">
        <v>1180</v>
      </c>
      <c r="I3114" s="24">
        <v>217.0</v>
      </c>
      <c r="J3114" s="34"/>
      <c r="K3114" s="34" t="str">
        <f t="shared" si="377"/>
        <v/>
      </c>
      <c r="L3114" s="28" t="s">
        <v>29</v>
      </c>
      <c r="M3114" s="28"/>
      <c r="N3114" s="28" t="s">
        <v>123</v>
      </c>
      <c r="O3114" s="10" t="str">
        <f t="shared" si="79"/>
        <v>11/2026</v>
      </c>
      <c r="P3114" s="10" t="str">
        <f t="shared" si="376"/>
        <v/>
      </c>
      <c r="Q3114" s="15" t="str">
        <f t="array" ref="Q3114">IFERROR(XLOOKUP(N3114,'Classificação'!A:A,'Classificação'!B:B),"")</f>
        <v>DESPESAS COM PESSOAL</v>
      </c>
      <c r="R3114" s="15" t="str">
        <f t="array" ref="R3114">IFERROR(XLOOKUP(Q3114,'Classificação'!B:B,'Classificação'!C:C),"")</f>
        <v>DESPESAS FIXAS (-)</v>
      </c>
      <c r="S3114" s="15">
        <f t="shared" si="228"/>
        <v>20</v>
      </c>
      <c r="T3114" s="15">
        <f t="shared" si="128"/>
        <v>11</v>
      </c>
      <c r="U3114" s="15">
        <f t="shared" si="129"/>
        <v>2026</v>
      </c>
      <c r="V3114" s="15" t="str">
        <f t="shared" si="8"/>
        <v/>
      </c>
      <c r="W3114" s="15" t="str">
        <f t="shared" si="9"/>
        <v/>
      </c>
      <c r="X3114" s="15" t="str">
        <f t="shared" si="10"/>
        <v/>
      </c>
    </row>
    <row r="3115">
      <c r="A3115" s="9">
        <v>46346.0</v>
      </c>
      <c r="B3115" s="10"/>
      <c r="C3115" s="9" t="str">
        <f t="shared" si="249"/>
        <v/>
      </c>
      <c r="D3115" s="28" t="s">
        <v>369</v>
      </c>
      <c r="E3115" s="28" t="s">
        <v>1305</v>
      </c>
      <c r="F3115" s="28" t="s">
        <v>107</v>
      </c>
      <c r="G3115" s="28" t="s">
        <v>27</v>
      </c>
      <c r="H3115" s="11" t="s">
        <v>1247</v>
      </c>
      <c r="I3115" s="38">
        <v>29.9</v>
      </c>
      <c r="J3115" s="13"/>
      <c r="K3115" s="13" t="str">
        <f t="shared" ref="K3115:K3119" si="378">if(E3115="pago",(I3115-J3115),"")</f>
        <v/>
      </c>
      <c r="L3115" s="29" t="s">
        <v>29</v>
      </c>
      <c r="M3115" s="14"/>
      <c r="N3115" s="29" t="s">
        <v>105</v>
      </c>
      <c r="O3115" s="10" t="str">
        <f t="shared" si="79"/>
        <v>11/2026</v>
      </c>
      <c r="P3115" s="10" t="str">
        <f t="shared" si="376"/>
        <v/>
      </c>
      <c r="Q3115" s="15" t="str">
        <f t="array" ref="Q3115">IFERROR(XLOOKUP(N3115,'Classificação'!A:A,'Classificação'!B:B),"")</f>
        <v>DESPESAS ADMINISTRATIVAS</v>
      </c>
      <c r="R3115" s="15" t="str">
        <f t="array" ref="R3115">IFERROR(XLOOKUP(Q3115,'Classificação'!B:B,'Classificação'!C:C),"")</f>
        <v>DESPESAS FIXAS (-)</v>
      </c>
      <c r="S3115" s="15">
        <f t="shared" si="228"/>
        <v>20</v>
      </c>
      <c r="T3115" s="15">
        <f t="shared" si="128"/>
        <v>11</v>
      </c>
      <c r="U3115" s="15">
        <f t="shared" si="129"/>
        <v>2026</v>
      </c>
      <c r="V3115" s="15" t="str">
        <f t="shared" si="8"/>
        <v/>
      </c>
      <c r="W3115" s="15" t="str">
        <f t="shared" si="9"/>
        <v/>
      </c>
      <c r="X3115" s="15" t="str">
        <f t="shared" si="10"/>
        <v/>
      </c>
    </row>
    <row r="3116">
      <c r="A3116" s="9">
        <v>46346.0</v>
      </c>
      <c r="B3116" s="9">
        <v>46081.0</v>
      </c>
      <c r="C3116" s="9" t="str">
        <f t="shared" si="249"/>
        <v/>
      </c>
      <c r="D3116" s="11" t="s">
        <v>65</v>
      </c>
      <c r="E3116" s="28" t="s">
        <v>1305</v>
      </c>
      <c r="F3116" s="11" t="s">
        <v>107</v>
      </c>
      <c r="G3116" s="11" t="s">
        <v>27</v>
      </c>
      <c r="H3116" s="11" t="s">
        <v>1293</v>
      </c>
      <c r="I3116" s="31">
        <v>127.9</v>
      </c>
      <c r="J3116" s="13"/>
      <c r="K3116" s="13" t="str">
        <f t="shared" si="378"/>
        <v/>
      </c>
      <c r="L3116" s="11" t="s">
        <v>53</v>
      </c>
      <c r="M3116" s="17">
        <v>46365.0</v>
      </c>
      <c r="N3116" s="11" t="s">
        <v>95</v>
      </c>
      <c r="O3116" s="10" t="str">
        <f t="shared" si="79"/>
        <v>11/2026</v>
      </c>
      <c r="P3116" s="10" t="str">
        <f t="shared" si="376"/>
        <v/>
      </c>
      <c r="Q3116" s="15" t="str">
        <f t="array" ref="Q3116">IFERROR(XLOOKUP(N3116,'Classificação'!A:A,'Classificação'!B:B),"")</f>
        <v>DESPESAS NÃO OPERACIONAIS</v>
      </c>
      <c r="R3116" s="15" t="str">
        <f t="array" ref="R3116">IFERROR(XLOOKUP(Q3116,'Classificação'!B:B,'Classificação'!C:C),"")</f>
        <v>RESULTADO NÃO OPERACIONAL (+/-)</v>
      </c>
      <c r="S3116" s="15">
        <f t="shared" si="228"/>
        <v>20</v>
      </c>
      <c r="T3116" s="15">
        <f t="shared" si="128"/>
        <v>11</v>
      </c>
      <c r="U3116" s="15">
        <f t="shared" si="129"/>
        <v>2026</v>
      </c>
      <c r="V3116" s="15" t="str">
        <f t="shared" si="8"/>
        <v/>
      </c>
      <c r="W3116" s="15" t="str">
        <f t="shared" si="9"/>
        <v/>
      </c>
      <c r="X3116" s="15" t="str">
        <f t="shared" si="10"/>
        <v/>
      </c>
    </row>
    <row r="3117">
      <c r="A3117" s="9">
        <v>46346.0</v>
      </c>
      <c r="B3117" s="9">
        <v>46077.0</v>
      </c>
      <c r="C3117" s="9" t="str">
        <f t="shared" si="249"/>
        <v/>
      </c>
      <c r="D3117" s="11" t="s">
        <v>1294</v>
      </c>
      <c r="E3117" s="28" t="s">
        <v>1305</v>
      </c>
      <c r="F3117" s="11" t="s">
        <v>107</v>
      </c>
      <c r="G3117" s="28" t="s">
        <v>27</v>
      </c>
      <c r="H3117" s="11" t="s">
        <v>1295</v>
      </c>
      <c r="I3117" s="31">
        <v>185.2</v>
      </c>
      <c r="J3117" s="13"/>
      <c r="K3117" s="13" t="str">
        <f t="shared" si="378"/>
        <v/>
      </c>
      <c r="L3117" s="28" t="s">
        <v>53</v>
      </c>
      <c r="M3117" s="17">
        <v>46365.0</v>
      </c>
      <c r="N3117" s="11" t="s">
        <v>64</v>
      </c>
      <c r="O3117" s="10" t="str">
        <f t="shared" si="79"/>
        <v>11/2026</v>
      </c>
      <c r="P3117" s="10" t="str">
        <f t="shared" si="376"/>
        <v/>
      </c>
      <c r="Q3117" s="15" t="str">
        <f t="array" ref="Q3117">IFERROR(XLOOKUP(N3117,'Classificação'!A:A,'Classificação'!B:B),"")</f>
        <v>DESPESAS COM PESSOAL</v>
      </c>
      <c r="R3117" s="15" t="str">
        <f t="array" ref="R3117">IFERROR(XLOOKUP(Q3117,'Classificação'!B:B,'Classificação'!C:C),"")</f>
        <v>DESPESAS FIXAS (-)</v>
      </c>
      <c r="S3117" s="15">
        <f t="shared" si="228"/>
        <v>20</v>
      </c>
      <c r="T3117" s="15">
        <f t="shared" si="128"/>
        <v>11</v>
      </c>
      <c r="U3117" s="15">
        <f t="shared" si="129"/>
        <v>2026</v>
      </c>
      <c r="V3117" s="15" t="str">
        <f t="shared" si="8"/>
        <v/>
      </c>
      <c r="W3117" s="15" t="str">
        <f t="shared" si="9"/>
        <v/>
      </c>
      <c r="X3117" s="15" t="str">
        <f t="shared" si="10"/>
        <v/>
      </c>
    </row>
    <row r="3118">
      <c r="A3118" s="26">
        <v>46348.0</v>
      </c>
      <c r="B3118" s="10"/>
      <c r="C3118" s="9" t="str">
        <f t="shared" si="249"/>
        <v/>
      </c>
      <c r="D3118" s="28" t="s">
        <v>36</v>
      </c>
      <c r="E3118" s="28" t="s">
        <v>1305</v>
      </c>
      <c r="F3118" s="28" t="s">
        <v>26</v>
      </c>
      <c r="G3118" s="28" t="s">
        <v>37</v>
      </c>
      <c r="I3118" s="37">
        <v>9000.0</v>
      </c>
      <c r="J3118" s="13"/>
      <c r="K3118" s="13" t="str">
        <f t="shared" si="378"/>
        <v/>
      </c>
      <c r="L3118" s="28" t="s">
        <v>29</v>
      </c>
      <c r="M3118" s="14"/>
      <c r="N3118" s="28" t="s">
        <v>38</v>
      </c>
      <c r="O3118" s="10" t="str">
        <f t="shared" si="79"/>
        <v>11/2026</v>
      </c>
      <c r="P3118" s="10" t="str">
        <f t="shared" si="376"/>
        <v/>
      </c>
      <c r="Q3118" s="15" t="str">
        <f t="array" ref="Q3118">IFERROR(XLOOKUP(N3118,'Classificação'!A:A,'Classificação'!B:B),"")</f>
        <v>DESPESAS COM PESSOAL</v>
      </c>
      <c r="R3118" s="15" t="str">
        <f t="array" ref="R3118">IFERROR(XLOOKUP(Q3118,'Classificação'!B:B,'Classificação'!C:C),"")</f>
        <v>DESPESAS FIXAS (-)</v>
      </c>
      <c r="S3118" s="15">
        <f t="shared" si="228"/>
        <v>22</v>
      </c>
      <c r="T3118" s="15">
        <f t="shared" si="128"/>
        <v>11</v>
      </c>
      <c r="U3118" s="15">
        <f t="shared" si="129"/>
        <v>2026</v>
      </c>
      <c r="V3118" s="15" t="str">
        <f t="shared" si="8"/>
        <v/>
      </c>
      <c r="W3118" s="15" t="str">
        <f t="shared" si="9"/>
        <v/>
      </c>
      <c r="X3118" s="15" t="str">
        <f t="shared" si="10"/>
        <v/>
      </c>
    </row>
    <row r="3119">
      <c r="A3119" s="26">
        <v>46348.0</v>
      </c>
      <c r="B3119" s="10"/>
      <c r="C3119" s="9" t="str">
        <f t="shared" si="249"/>
        <v/>
      </c>
      <c r="D3119" s="28" t="s">
        <v>43</v>
      </c>
      <c r="E3119" s="28" t="s">
        <v>1305</v>
      </c>
      <c r="F3119" s="29" t="s">
        <v>26</v>
      </c>
      <c r="G3119" s="28" t="s">
        <v>37</v>
      </c>
      <c r="I3119" s="37">
        <v>9000.0</v>
      </c>
      <c r="J3119" s="13"/>
      <c r="K3119" s="13" t="str">
        <f t="shared" si="378"/>
        <v/>
      </c>
      <c r="L3119" s="28" t="s">
        <v>29</v>
      </c>
      <c r="M3119" s="14"/>
      <c r="N3119" s="28" t="s">
        <v>38</v>
      </c>
      <c r="O3119" s="10" t="str">
        <f t="shared" si="79"/>
        <v>11/2026</v>
      </c>
      <c r="P3119" s="10" t="str">
        <f t="shared" si="376"/>
        <v/>
      </c>
      <c r="Q3119" s="15" t="str">
        <f t="array" ref="Q3119">IFERROR(XLOOKUP(N3119,'Classificação'!A:A,'Classificação'!B:B),"")</f>
        <v>DESPESAS COM PESSOAL</v>
      </c>
      <c r="R3119" s="15" t="str">
        <f t="array" ref="R3119">IFERROR(XLOOKUP(Q3119,'Classificação'!B:B,'Classificação'!C:C),"")</f>
        <v>DESPESAS FIXAS (-)</v>
      </c>
      <c r="S3119" s="15">
        <f t="shared" si="228"/>
        <v>22</v>
      </c>
      <c r="T3119" s="15">
        <f t="shared" si="128"/>
        <v>11</v>
      </c>
      <c r="U3119" s="15">
        <f t="shared" si="129"/>
        <v>2026</v>
      </c>
      <c r="V3119" s="15" t="str">
        <f t="shared" si="8"/>
        <v/>
      </c>
      <c r="W3119" s="15" t="str">
        <f t="shared" si="9"/>
        <v/>
      </c>
      <c r="X3119" s="15" t="str">
        <f t="shared" si="10"/>
        <v/>
      </c>
    </row>
    <row r="3120">
      <c r="A3120" s="9">
        <v>46350.0</v>
      </c>
      <c r="B3120" s="10"/>
      <c r="C3120" s="9" t="str">
        <f t="shared" si="249"/>
        <v/>
      </c>
      <c r="D3120" s="28" t="s">
        <v>39</v>
      </c>
      <c r="E3120" s="28" t="s">
        <v>1305</v>
      </c>
      <c r="F3120" s="28" t="s">
        <v>40</v>
      </c>
      <c r="G3120" s="28" t="s">
        <v>27</v>
      </c>
      <c r="H3120" s="28" t="s">
        <v>640</v>
      </c>
      <c r="I3120" s="24">
        <v>148.07</v>
      </c>
      <c r="J3120" s="34"/>
      <c r="K3120" s="37" t="str">
        <f t="shared" ref="K3120:K3122" si="379">IF(E3120="pago",(I3120-J3120),"")</f>
        <v/>
      </c>
      <c r="L3120" s="28" t="s">
        <v>53</v>
      </c>
      <c r="M3120" s="40">
        <v>45939.0</v>
      </c>
      <c r="N3120" s="28" t="s">
        <v>355</v>
      </c>
      <c r="O3120" s="10" t="str">
        <f t="shared" si="79"/>
        <v>11/2026</v>
      </c>
      <c r="P3120" s="10" t="str">
        <f t="shared" si="376"/>
        <v/>
      </c>
      <c r="Q3120" s="15" t="str">
        <f t="array" ref="Q3120">IFERROR(XLOOKUP(N3120,'Classificação'!A:A,'Classificação'!B:B),"")</f>
        <v>IMPOSTOS E TAXAS DIVERSAS</v>
      </c>
      <c r="S3120" s="15">
        <f t="shared" si="228"/>
        <v>24</v>
      </c>
      <c r="T3120" s="15">
        <f t="shared" si="128"/>
        <v>11</v>
      </c>
      <c r="U3120" s="15">
        <f t="shared" si="129"/>
        <v>2026</v>
      </c>
      <c r="V3120" s="15" t="str">
        <f t="shared" si="8"/>
        <v/>
      </c>
      <c r="W3120" s="15" t="str">
        <f t="shared" si="9"/>
        <v/>
      </c>
      <c r="X3120" s="15" t="str">
        <f t="shared" si="10"/>
        <v/>
      </c>
    </row>
    <row r="3121">
      <c r="A3121" s="26">
        <v>46351.0</v>
      </c>
      <c r="B3121" s="28"/>
      <c r="C3121" s="27" t="str">
        <f t="shared" si="249"/>
        <v/>
      </c>
      <c r="D3121" s="28" t="s">
        <v>208</v>
      </c>
      <c r="E3121" s="28" t="s">
        <v>1305</v>
      </c>
      <c r="F3121" s="28" t="s">
        <v>40</v>
      </c>
      <c r="G3121" s="28" t="s">
        <v>27</v>
      </c>
      <c r="H3121" s="28" t="s">
        <v>209</v>
      </c>
      <c r="I3121" s="37">
        <v>204.96</v>
      </c>
      <c r="J3121" s="34"/>
      <c r="K3121" s="34" t="str">
        <f t="shared" si="379"/>
        <v/>
      </c>
      <c r="L3121" s="28" t="s">
        <v>29</v>
      </c>
      <c r="M3121" s="28"/>
      <c r="N3121" s="28" t="s">
        <v>210</v>
      </c>
      <c r="O3121" s="10" t="str">
        <f t="shared" si="79"/>
        <v>11/2026</v>
      </c>
      <c r="P3121" s="10" t="str">
        <f>if(B3121="","", TEXT(B3121,"mm/yyyy"))</f>
        <v/>
      </c>
      <c r="Q3121" s="15" t="str">
        <f t="array" ref="Q3121">IFERROR(XLOOKUP(N3121,'Classificação'!A:A,'Classificação'!B:B),"")</f>
        <v>DESPESAS COM OCUPAÇÃO</v>
      </c>
      <c r="R3121" s="15" t="str">
        <f t="array" ref="R3121">IFERROR(XLOOKUP(Q3121,'Classificação'!B:B,'Classificação'!C:C),"")</f>
        <v>DESPESAS FIXAS (-)</v>
      </c>
      <c r="S3121" s="15">
        <f t="shared" si="228"/>
        <v>25</v>
      </c>
      <c r="T3121" s="15">
        <f t="shared" si="128"/>
        <v>11</v>
      </c>
      <c r="U3121" s="15">
        <f t="shared" si="129"/>
        <v>2026</v>
      </c>
      <c r="V3121" s="15" t="str">
        <f t="shared" si="8"/>
        <v/>
      </c>
      <c r="W3121" s="15" t="str">
        <f t="shared" si="9"/>
        <v/>
      </c>
      <c r="X3121" s="15" t="str">
        <f t="shared" si="10"/>
        <v/>
      </c>
    </row>
    <row r="3122">
      <c r="A3122" s="26">
        <v>46351.0</v>
      </c>
      <c r="B3122" s="28"/>
      <c r="C3122" s="27" t="str">
        <f t="shared" si="249"/>
        <v/>
      </c>
      <c r="D3122" s="28" t="s">
        <v>828</v>
      </c>
      <c r="E3122" s="29" t="s">
        <v>1305</v>
      </c>
      <c r="F3122" s="28" t="s">
        <v>26</v>
      </c>
      <c r="G3122" s="28" t="s">
        <v>37</v>
      </c>
      <c r="H3122" s="28" t="s">
        <v>1220</v>
      </c>
      <c r="I3122" s="33">
        <v>107.81</v>
      </c>
      <c r="J3122" s="34"/>
      <c r="K3122" s="37" t="str">
        <f t="shared" si="379"/>
        <v/>
      </c>
      <c r="L3122" s="28" t="s">
        <v>34</v>
      </c>
      <c r="M3122" s="28"/>
      <c r="N3122" s="28" t="s">
        <v>105</v>
      </c>
      <c r="O3122" s="10" t="str">
        <f t="shared" si="79"/>
        <v>11/2026</v>
      </c>
      <c r="P3122" s="10" t="str">
        <f t="shared" ref="P3122:P3124" si="380">if(C3122="","", TEXT(C3122,"mm/yyyy"))</f>
        <v/>
      </c>
      <c r="Q3122" s="15" t="str">
        <f t="array" ref="Q3122">IFERROR(XLOOKUP(N3122,'Classificação'!A:A,'Classificação'!B:B),"")</f>
        <v>DESPESAS ADMINISTRATIVAS</v>
      </c>
      <c r="R3122" s="15" t="str">
        <f t="array" ref="R3122">IFERROR(XLOOKUP(Q3122,'Classificação'!B:B,'Classificação'!C:C),"")</f>
        <v>DESPESAS FIXAS (-)</v>
      </c>
      <c r="S3122" s="15">
        <f t="shared" si="228"/>
        <v>25</v>
      </c>
      <c r="T3122" s="15">
        <f t="shared" si="128"/>
        <v>11</v>
      </c>
      <c r="U3122" s="15">
        <f t="shared" si="129"/>
        <v>2026</v>
      </c>
      <c r="V3122" s="15" t="str">
        <f t="shared" si="8"/>
        <v/>
      </c>
      <c r="W3122" s="15" t="str">
        <f t="shared" si="9"/>
        <v/>
      </c>
      <c r="X3122" s="15" t="str">
        <f t="shared" si="10"/>
        <v/>
      </c>
    </row>
    <row r="3123">
      <c r="A3123" s="32">
        <v>46352.0</v>
      </c>
      <c r="B3123" s="10"/>
      <c r="C3123" s="9" t="str">
        <f t="shared" si="249"/>
        <v/>
      </c>
      <c r="D3123" s="28" t="s">
        <v>44</v>
      </c>
      <c r="E3123" s="28" t="s">
        <v>1305</v>
      </c>
      <c r="F3123" s="28" t="s">
        <v>45</v>
      </c>
      <c r="G3123" s="28" t="s">
        <v>27</v>
      </c>
      <c r="H3123" s="29" t="s">
        <v>1329</v>
      </c>
      <c r="I3123" s="37">
        <v>2382.1269500000003</v>
      </c>
      <c r="J3123" s="34"/>
      <c r="K3123" s="37"/>
      <c r="L3123" s="28" t="s">
        <v>53</v>
      </c>
      <c r="M3123" s="16" t="s">
        <v>1418</v>
      </c>
      <c r="N3123" s="28" t="s">
        <v>73</v>
      </c>
      <c r="O3123" s="10" t="str">
        <f t="shared" si="79"/>
        <v>11/2026</v>
      </c>
      <c r="P3123" s="10" t="str">
        <f t="shared" si="380"/>
        <v/>
      </c>
      <c r="Q3123" s="15" t="str">
        <f t="array" ref="Q3123">IFERROR(XLOOKUP(N3123,'Classificação'!A:A,'Classificação'!B:B),"")</f>
        <v>DESPESAS NÃO OPERACIONAIS</v>
      </c>
      <c r="R3123" s="15" t="str">
        <f t="array" ref="R3123">IFERROR(XLOOKUP(Q3123,'Classificação'!B:B,'Classificação'!C:C),"")</f>
        <v>RESULTADO NÃO OPERACIONAL (+/-)</v>
      </c>
      <c r="S3123" s="15">
        <f t="shared" si="228"/>
        <v>26</v>
      </c>
      <c r="T3123" s="15">
        <f t="shared" si="128"/>
        <v>11</v>
      </c>
      <c r="U3123" s="15">
        <f t="shared" si="129"/>
        <v>2026</v>
      </c>
      <c r="V3123" s="15" t="str">
        <f t="shared" si="8"/>
        <v/>
      </c>
      <c r="W3123" s="15" t="str">
        <f t="shared" si="9"/>
        <v/>
      </c>
      <c r="X3123" s="15" t="str">
        <f t="shared" si="10"/>
        <v/>
      </c>
    </row>
    <row r="3124">
      <c r="A3124" s="32">
        <v>46353.0</v>
      </c>
      <c r="B3124" s="10"/>
      <c r="C3124" s="9" t="str">
        <f t="shared" si="249"/>
        <v/>
      </c>
      <c r="D3124" s="29" t="s">
        <v>80</v>
      </c>
      <c r="E3124" s="28" t="s">
        <v>1305</v>
      </c>
      <c r="F3124" s="11" t="s">
        <v>26</v>
      </c>
      <c r="G3124" s="28" t="s">
        <v>27</v>
      </c>
      <c r="H3124" s="11" t="s">
        <v>1093</v>
      </c>
      <c r="I3124" s="12">
        <v>1150.0</v>
      </c>
      <c r="J3124" s="13"/>
      <c r="K3124" s="13" t="str">
        <f>if(E3124="pago",(I3124-J3124),"")</f>
        <v/>
      </c>
      <c r="L3124" s="11" t="s">
        <v>53</v>
      </c>
      <c r="M3124" s="17">
        <v>45689.0</v>
      </c>
      <c r="N3124" s="11" t="s">
        <v>405</v>
      </c>
      <c r="O3124" s="10" t="str">
        <f t="shared" si="79"/>
        <v>11/2026</v>
      </c>
      <c r="P3124" s="10" t="str">
        <f t="shared" si="380"/>
        <v/>
      </c>
      <c r="Q3124" s="15" t="str">
        <f t="array" ref="Q3124">IFERROR(XLOOKUP(N3124,'Classificação'!A:A,'Classificação'!B:B),"")</f>
        <v>DESPESAS COM PESSOAL</v>
      </c>
      <c r="R3124" s="15" t="str">
        <f t="array" ref="R3124">IFERROR(XLOOKUP(Q3124,'Classificação'!B:B,'Classificação'!C:C),"")</f>
        <v>DESPESAS FIXAS (-)</v>
      </c>
      <c r="S3124" s="15">
        <f t="shared" si="228"/>
        <v>27</v>
      </c>
      <c r="T3124" s="15">
        <f t="shared" si="128"/>
        <v>11</v>
      </c>
      <c r="U3124" s="15">
        <f t="shared" si="129"/>
        <v>2026</v>
      </c>
      <c r="V3124" s="15" t="str">
        <f t="shared" si="8"/>
        <v/>
      </c>
      <c r="W3124" s="15" t="str">
        <f t="shared" si="9"/>
        <v/>
      </c>
      <c r="X3124" s="15" t="str">
        <f t="shared" si="10"/>
        <v/>
      </c>
    </row>
    <row r="3125">
      <c r="A3125" s="26">
        <v>46356.0</v>
      </c>
      <c r="B3125" s="28"/>
      <c r="C3125" s="27" t="str">
        <f t="shared" si="249"/>
        <v/>
      </c>
      <c r="D3125" s="28" t="s">
        <v>221</v>
      </c>
      <c r="E3125" s="28" t="s">
        <v>1305</v>
      </c>
      <c r="F3125" s="28" t="s">
        <v>32</v>
      </c>
      <c r="G3125" s="28" t="s">
        <v>27</v>
      </c>
      <c r="H3125" s="28" t="s">
        <v>222</v>
      </c>
      <c r="I3125" s="24">
        <v>406.0</v>
      </c>
      <c r="J3125" s="34"/>
      <c r="K3125" s="34" t="str">
        <f t="shared" ref="K3125:K3130" si="381">IF(E3125="pago",(I3125-J3125),"")</f>
        <v/>
      </c>
      <c r="L3125" s="28" t="s">
        <v>29</v>
      </c>
      <c r="M3125" s="14"/>
      <c r="N3125" s="11" t="s">
        <v>61</v>
      </c>
      <c r="O3125" s="10" t="str">
        <f t="shared" si="79"/>
        <v>11/2026</v>
      </c>
      <c r="P3125" s="10" t="str">
        <f>if(B3125="","", TEXT(B3125,"mm/yyyy"))</f>
        <v/>
      </c>
      <c r="Q3125" s="15" t="str">
        <f t="array" ref="Q3125">IFERROR(XLOOKUP(N3125,'Classificação'!A:A,'Classificação'!B:B),"")</f>
        <v>DESPESAS ADMINISTRATIVAS</v>
      </c>
      <c r="R3125" s="15" t="str">
        <f t="array" ref="R3125">IFERROR(XLOOKUP(Q3125,'Classificação'!B:B,'Classificação'!C:C),"")</f>
        <v>DESPESAS FIXAS (-)</v>
      </c>
      <c r="S3125" s="15">
        <f t="shared" si="228"/>
        <v>30</v>
      </c>
      <c r="T3125" s="15">
        <f t="shared" si="128"/>
        <v>11</v>
      </c>
      <c r="U3125" s="15">
        <f t="shared" si="129"/>
        <v>2026</v>
      </c>
      <c r="V3125" s="15" t="str">
        <f t="shared" si="8"/>
        <v/>
      </c>
      <c r="W3125" s="15" t="str">
        <f t="shared" si="9"/>
        <v/>
      </c>
      <c r="X3125" s="15" t="str">
        <f t="shared" si="10"/>
        <v/>
      </c>
    </row>
    <row r="3126">
      <c r="A3126" s="26">
        <v>46356.0</v>
      </c>
      <c r="B3126" s="30"/>
      <c r="C3126" s="27" t="str">
        <f t="shared" si="249"/>
        <v/>
      </c>
      <c r="D3126" s="28" t="s">
        <v>80</v>
      </c>
      <c r="E3126" s="28" t="s">
        <v>1305</v>
      </c>
      <c r="F3126" s="28" t="s">
        <v>32</v>
      </c>
      <c r="G3126" s="28" t="s">
        <v>27</v>
      </c>
      <c r="H3126" s="29" t="s">
        <v>1150</v>
      </c>
      <c r="I3126" s="37">
        <v>1040.0</v>
      </c>
      <c r="J3126" s="34"/>
      <c r="K3126" s="34" t="str">
        <f t="shared" si="381"/>
        <v/>
      </c>
      <c r="L3126" s="28" t="s">
        <v>29</v>
      </c>
      <c r="M3126" s="28"/>
      <c r="N3126" s="28" t="s">
        <v>38</v>
      </c>
      <c r="O3126" s="10" t="str">
        <f t="shared" si="79"/>
        <v>11/2026</v>
      </c>
      <c r="P3126" s="10" t="str">
        <f t="shared" ref="P3126:P3127" si="382">if(C3126="","", TEXT(C3126,"mm/yyyy"))</f>
        <v/>
      </c>
      <c r="Q3126" s="15" t="str">
        <f t="array" ref="Q3126">IFERROR(XLOOKUP(N3126,'Classificação'!A:A,'Classificação'!B:B),"")</f>
        <v>DESPESAS COM PESSOAL</v>
      </c>
      <c r="R3126" s="15" t="str">
        <f t="array" ref="R3126">IFERROR(XLOOKUP(Q3126,'Classificação'!B:B,'Classificação'!C:C),"")</f>
        <v>DESPESAS FIXAS (-)</v>
      </c>
      <c r="S3126" s="15">
        <f t="shared" si="228"/>
        <v>30</v>
      </c>
      <c r="T3126" s="15">
        <f t="shared" si="128"/>
        <v>11</v>
      </c>
      <c r="U3126" s="15">
        <f t="shared" si="129"/>
        <v>2026</v>
      </c>
      <c r="V3126" s="15" t="str">
        <f t="shared" si="8"/>
        <v/>
      </c>
      <c r="W3126" s="15" t="str">
        <f t="shared" si="9"/>
        <v/>
      </c>
      <c r="X3126" s="15" t="str">
        <f t="shared" si="10"/>
        <v/>
      </c>
    </row>
    <row r="3127">
      <c r="A3127" s="26">
        <v>46356.0</v>
      </c>
      <c r="B3127" s="30"/>
      <c r="C3127" s="27" t="str">
        <f t="shared" si="249"/>
        <v/>
      </c>
      <c r="D3127" s="28" t="s">
        <v>80</v>
      </c>
      <c r="E3127" s="28" t="s">
        <v>1305</v>
      </c>
      <c r="F3127" s="28" t="s">
        <v>40</v>
      </c>
      <c r="G3127" s="28" t="s">
        <v>27</v>
      </c>
      <c r="H3127" s="29" t="s">
        <v>1100</v>
      </c>
      <c r="I3127" s="37">
        <v>550.0</v>
      </c>
      <c r="J3127" s="34"/>
      <c r="K3127" s="34" t="str">
        <f t="shared" si="381"/>
        <v/>
      </c>
      <c r="L3127" s="28" t="s">
        <v>29</v>
      </c>
      <c r="M3127" s="28"/>
      <c r="N3127" s="28" t="s">
        <v>204</v>
      </c>
      <c r="O3127" s="10" t="str">
        <f t="shared" si="79"/>
        <v>11/2026</v>
      </c>
      <c r="P3127" s="10" t="str">
        <f t="shared" si="382"/>
        <v/>
      </c>
      <c r="Q3127" s="15" t="str">
        <f t="array" ref="Q3127">IFERROR(XLOOKUP(N3127,'Classificação'!A:A,'Classificação'!B:B),"")</f>
        <v>DESPESAS COM PESSOAL</v>
      </c>
      <c r="R3127" s="15" t="str">
        <f t="array" ref="R3127">IFERROR(XLOOKUP(Q3127,'Classificação'!B:B,'Classificação'!C:C),"")</f>
        <v>DESPESAS FIXAS (-)</v>
      </c>
      <c r="S3127" s="15">
        <f t="shared" si="228"/>
        <v>30</v>
      </c>
      <c r="T3127" s="15">
        <f t="shared" si="128"/>
        <v>11</v>
      </c>
      <c r="U3127" s="15">
        <f t="shared" si="129"/>
        <v>2026</v>
      </c>
      <c r="V3127" s="15" t="str">
        <f t="shared" si="8"/>
        <v/>
      </c>
      <c r="W3127" s="15" t="str">
        <f t="shared" si="9"/>
        <v/>
      </c>
      <c r="X3127" s="15" t="str">
        <f t="shared" si="10"/>
        <v/>
      </c>
    </row>
    <row r="3128">
      <c r="A3128" s="26">
        <v>46356.0</v>
      </c>
      <c r="B3128" s="28"/>
      <c r="C3128" s="27" t="str">
        <f t="shared" si="249"/>
        <v/>
      </c>
      <c r="D3128" s="28" t="s">
        <v>223</v>
      </c>
      <c r="E3128" s="28" t="s">
        <v>1305</v>
      </c>
      <c r="F3128" s="28" t="s">
        <v>32</v>
      </c>
      <c r="G3128" s="28" t="s">
        <v>27</v>
      </c>
      <c r="H3128" s="29" t="s">
        <v>1231</v>
      </c>
      <c r="I3128" s="37">
        <v>100.0</v>
      </c>
      <c r="J3128" s="34"/>
      <c r="K3128" s="34" t="str">
        <f t="shared" si="381"/>
        <v/>
      </c>
      <c r="L3128" s="28" t="s">
        <v>29</v>
      </c>
      <c r="M3128" s="28"/>
      <c r="N3128" s="28" t="s">
        <v>224</v>
      </c>
      <c r="O3128" s="10" t="str">
        <f t="shared" si="79"/>
        <v>11/2026</v>
      </c>
      <c r="P3128" s="10" t="str">
        <f>if(B3128="","", TEXT(B3128,"mm/yyyy"))</f>
        <v/>
      </c>
      <c r="Q3128" s="15" t="str">
        <f t="array" ref="Q3128">IFERROR(XLOOKUP(N3128,'Classificação'!A:A,'Classificação'!B:B),"")</f>
        <v>DESPESAS ADMINISTRATIVAS</v>
      </c>
      <c r="R3128" s="15" t="str">
        <f t="array" ref="R3128">IFERROR(XLOOKUP(Q3128,'Classificação'!B:B,'Classificação'!C:C),"")</f>
        <v>DESPESAS FIXAS (-)</v>
      </c>
      <c r="S3128" s="15">
        <f t="shared" si="228"/>
        <v>30</v>
      </c>
      <c r="T3128" s="15">
        <f t="shared" si="128"/>
        <v>11</v>
      </c>
      <c r="U3128" s="15">
        <f t="shared" si="129"/>
        <v>2026</v>
      </c>
      <c r="V3128" s="15" t="str">
        <f t="shared" si="8"/>
        <v/>
      </c>
      <c r="W3128" s="15" t="str">
        <f t="shared" si="9"/>
        <v/>
      </c>
      <c r="X3128" s="15" t="str">
        <f t="shared" si="10"/>
        <v/>
      </c>
    </row>
    <row r="3129">
      <c r="A3129" s="26">
        <v>46356.0</v>
      </c>
      <c r="B3129" s="28"/>
      <c r="C3129" s="27" t="str">
        <f t="shared" si="249"/>
        <v/>
      </c>
      <c r="D3129" s="29" t="s">
        <v>1094</v>
      </c>
      <c r="E3129" s="28" t="s">
        <v>1305</v>
      </c>
      <c r="F3129" s="29" t="s">
        <v>26</v>
      </c>
      <c r="G3129" s="29" t="s">
        <v>37</v>
      </c>
      <c r="H3129" s="29" t="s">
        <v>1312</v>
      </c>
      <c r="I3129" s="24">
        <v>2380.0</v>
      </c>
      <c r="J3129" s="34"/>
      <c r="K3129" s="34" t="str">
        <f t="shared" si="381"/>
        <v/>
      </c>
      <c r="L3129" s="28" t="s">
        <v>29</v>
      </c>
      <c r="M3129" s="28"/>
      <c r="N3129" s="28" t="s">
        <v>38</v>
      </c>
      <c r="O3129" s="10" t="str">
        <f t="shared" si="79"/>
        <v>11/2026</v>
      </c>
      <c r="P3129" s="10" t="str">
        <f t="shared" ref="P3129:P3159" si="383">if(C3129="","", TEXT(C3129,"mm/yyyy"))</f>
        <v/>
      </c>
      <c r="Q3129" s="15" t="str">
        <f t="array" ref="Q3129">IFERROR(XLOOKUP(N3129,'Classificação'!A:A,'Classificação'!B:B),"")</f>
        <v>DESPESAS COM PESSOAL</v>
      </c>
      <c r="R3129" s="15" t="str">
        <f t="array" ref="R3129">IFERROR(XLOOKUP(Q3129,'Classificação'!B:B,'Classificação'!C:C),"")</f>
        <v>DESPESAS FIXAS (-)</v>
      </c>
      <c r="S3129" s="15">
        <f t="shared" si="228"/>
        <v>30</v>
      </c>
      <c r="T3129" s="15">
        <f t="shared" si="128"/>
        <v>11</v>
      </c>
      <c r="U3129" s="15">
        <f t="shared" si="129"/>
        <v>2026</v>
      </c>
      <c r="V3129" s="15" t="str">
        <f t="shared" si="8"/>
        <v/>
      </c>
      <c r="W3129" s="15" t="str">
        <f t="shared" si="9"/>
        <v/>
      </c>
      <c r="X3129" s="15" t="str">
        <f t="shared" si="10"/>
        <v/>
      </c>
    </row>
    <row r="3130">
      <c r="A3130" s="26">
        <v>46356.0</v>
      </c>
      <c r="B3130" s="28"/>
      <c r="C3130" s="27" t="str">
        <f t="shared" si="249"/>
        <v/>
      </c>
      <c r="D3130" s="29" t="s">
        <v>1094</v>
      </c>
      <c r="E3130" s="28" t="s">
        <v>1305</v>
      </c>
      <c r="F3130" s="28" t="s">
        <v>40</v>
      </c>
      <c r="G3130" s="29" t="s">
        <v>37</v>
      </c>
      <c r="H3130" s="28" t="s">
        <v>1100</v>
      </c>
      <c r="I3130" s="37">
        <v>550.0</v>
      </c>
      <c r="J3130" s="34"/>
      <c r="K3130" s="34" t="str">
        <f t="shared" si="381"/>
        <v/>
      </c>
      <c r="L3130" s="28" t="s">
        <v>29</v>
      </c>
      <c r="M3130" s="28"/>
      <c r="N3130" s="28" t="s">
        <v>204</v>
      </c>
      <c r="O3130" s="10" t="str">
        <f t="shared" si="79"/>
        <v>11/2026</v>
      </c>
      <c r="P3130" s="10" t="str">
        <f t="shared" si="383"/>
        <v/>
      </c>
      <c r="Q3130" s="15" t="str">
        <f t="array" ref="Q3130">IFERROR(XLOOKUP(N3130,'Classificação'!A:A,'Classificação'!B:B),"")</f>
        <v>DESPESAS COM PESSOAL</v>
      </c>
      <c r="R3130" s="15" t="str">
        <f t="array" ref="R3130">IFERROR(XLOOKUP(Q3130,'Classificação'!B:B,'Classificação'!C:C),"")</f>
        <v>DESPESAS FIXAS (-)</v>
      </c>
      <c r="S3130" s="15">
        <f t="shared" si="228"/>
        <v>30</v>
      </c>
      <c r="T3130" s="15">
        <f t="shared" si="128"/>
        <v>11</v>
      </c>
      <c r="U3130" s="15">
        <f t="shared" si="129"/>
        <v>2026</v>
      </c>
      <c r="V3130" s="15" t="str">
        <f t="shared" si="8"/>
        <v/>
      </c>
      <c r="W3130" s="15" t="str">
        <f t="shared" si="9"/>
        <v/>
      </c>
      <c r="X3130" s="15" t="str">
        <f t="shared" si="10"/>
        <v/>
      </c>
    </row>
    <row r="3131">
      <c r="A3131" s="32">
        <v>46356.0</v>
      </c>
      <c r="B3131" s="10"/>
      <c r="C3131" s="9" t="str">
        <f t="shared" si="249"/>
        <v/>
      </c>
      <c r="D3131" s="11" t="s">
        <v>1229</v>
      </c>
      <c r="E3131" s="28" t="s">
        <v>1305</v>
      </c>
      <c r="F3131" s="11" t="s">
        <v>26</v>
      </c>
      <c r="G3131" s="11" t="s">
        <v>37</v>
      </c>
      <c r="H3131" s="11" t="s">
        <v>1230</v>
      </c>
      <c r="I3131" s="31">
        <v>1260.0</v>
      </c>
      <c r="J3131" s="13"/>
      <c r="K3131" s="13" t="str">
        <f t="shared" ref="K3131:K3139" si="384">if(E3131="pago",(I3131-J3131),"")</f>
        <v/>
      </c>
      <c r="L3131" s="11" t="s">
        <v>29</v>
      </c>
      <c r="M3131" s="14"/>
      <c r="N3131" s="11" t="s">
        <v>58</v>
      </c>
      <c r="O3131" s="10" t="str">
        <f t="shared" si="79"/>
        <v>11/2026</v>
      </c>
      <c r="P3131" s="10" t="str">
        <f t="shared" si="383"/>
        <v/>
      </c>
      <c r="Q3131" s="15" t="str">
        <f t="array" ref="Q3131">IFERROR(XLOOKUP(N3131,'Classificação'!A:A,'Classificação'!B:B),"")</f>
        <v>DESPESAS ADMINISTRATIVAS</v>
      </c>
      <c r="R3131" s="15" t="str">
        <f t="array" ref="R3131">IFERROR(XLOOKUP(Q3131,'Classificação'!B:B,'Classificação'!C:C),"")</f>
        <v>DESPESAS FIXAS (-)</v>
      </c>
      <c r="S3131" s="15">
        <f t="shared" si="228"/>
        <v>30</v>
      </c>
      <c r="T3131" s="15">
        <f t="shared" si="128"/>
        <v>11</v>
      </c>
      <c r="U3131" s="15">
        <f t="shared" si="129"/>
        <v>2026</v>
      </c>
      <c r="V3131" s="15" t="str">
        <f t="shared" si="8"/>
        <v/>
      </c>
      <c r="W3131" s="15" t="str">
        <f t="shared" si="9"/>
        <v/>
      </c>
      <c r="X3131" s="15" t="str">
        <f t="shared" si="10"/>
        <v/>
      </c>
    </row>
    <row r="3132">
      <c r="A3132" s="9">
        <v>46357.0</v>
      </c>
      <c r="B3132" s="10"/>
      <c r="C3132" s="9" t="str">
        <f t="shared" si="249"/>
        <v/>
      </c>
      <c r="D3132" s="28" t="s">
        <v>24</v>
      </c>
      <c r="E3132" s="28" t="s">
        <v>1305</v>
      </c>
      <c r="F3132" s="28" t="s">
        <v>26</v>
      </c>
      <c r="G3132" s="28" t="s">
        <v>27</v>
      </c>
      <c r="H3132" s="28" t="s">
        <v>28</v>
      </c>
      <c r="I3132" s="24">
        <v>6656.0</v>
      </c>
      <c r="J3132" s="13"/>
      <c r="K3132" s="13" t="str">
        <f t="shared" si="384"/>
        <v/>
      </c>
      <c r="L3132" s="28" t="s">
        <v>29</v>
      </c>
      <c r="M3132" s="14"/>
      <c r="N3132" s="28" t="s">
        <v>30</v>
      </c>
      <c r="O3132" s="10" t="str">
        <f t="shared" si="79"/>
        <v>12/2026</v>
      </c>
      <c r="P3132" s="10" t="str">
        <f t="shared" si="383"/>
        <v/>
      </c>
      <c r="Q3132" s="15" t="str">
        <f t="array" ref="Q3132">IFERROR(XLOOKUP(N3132,'Classificação'!A:A,'Classificação'!B:B),"")</f>
        <v>DESPESAS COM OCUPAÇÃO</v>
      </c>
      <c r="R3132" s="15" t="str">
        <f t="array" ref="R3132">IFERROR(XLOOKUP(Q3132,'Classificação'!B:B,'Classificação'!C:C),"")</f>
        <v>DESPESAS FIXAS (-)</v>
      </c>
      <c r="S3132" s="15">
        <f t="shared" si="228"/>
        <v>1</v>
      </c>
      <c r="T3132" s="15">
        <f t="shared" si="128"/>
        <v>12</v>
      </c>
      <c r="U3132" s="15">
        <f t="shared" si="129"/>
        <v>2026</v>
      </c>
      <c r="V3132" s="15" t="str">
        <f t="shared" si="8"/>
        <v/>
      </c>
      <c r="W3132" s="15" t="str">
        <f t="shared" si="9"/>
        <v/>
      </c>
      <c r="X3132" s="15" t="str">
        <f t="shared" si="10"/>
        <v/>
      </c>
    </row>
    <row r="3133">
      <c r="A3133" s="9">
        <v>46357.0</v>
      </c>
      <c r="B3133" s="10"/>
      <c r="C3133" s="9" t="str">
        <f t="shared" si="249"/>
        <v/>
      </c>
      <c r="D3133" s="28" t="s">
        <v>288</v>
      </c>
      <c r="E3133" s="28" t="s">
        <v>1305</v>
      </c>
      <c r="F3133" s="28" t="s">
        <v>26</v>
      </c>
      <c r="G3133" s="28" t="s">
        <v>27</v>
      </c>
      <c r="H3133" s="29" t="s">
        <v>1313</v>
      </c>
      <c r="I3133" s="24">
        <v>248.18</v>
      </c>
      <c r="J3133" s="34"/>
      <c r="K3133" s="13" t="str">
        <f t="shared" si="384"/>
        <v/>
      </c>
      <c r="L3133" s="28" t="s">
        <v>29</v>
      </c>
      <c r="M3133" s="28"/>
      <c r="N3133" s="28" t="s">
        <v>105</v>
      </c>
      <c r="O3133" s="10" t="str">
        <f t="shared" si="79"/>
        <v>12/2026</v>
      </c>
      <c r="P3133" s="10" t="str">
        <f t="shared" si="383"/>
        <v/>
      </c>
      <c r="Q3133" s="15" t="str">
        <f t="array" ref="Q3133">IFERROR(XLOOKUP(N3133,'Classificação'!A:A,'Classificação'!B:B),"")</f>
        <v>DESPESAS ADMINISTRATIVAS</v>
      </c>
      <c r="R3133" s="15" t="str">
        <f t="array" ref="R3133">IFERROR(XLOOKUP(Q3133,'Classificação'!B:B,'Classificação'!C:C),"")</f>
        <v>DESPESAS FIXAS (-)</v>
      </c>
      <c r="S3133" s="15">
        <f t="shared" si="228"/>
        <v>1</v>
      </c>
      <c r="T3133" s="15">
        <f t="shared" si="128"/>
        <v>12</v>
      </c>
      <c r="U3133" s="15">
        <f t="shared" si="129"/>
        <v>2026</v>
      </c>
      <c r="V3133" s="15" t="str">
        <f t="shared" si="8"/>
        <v/>
      </c>
      <c r="W3133" s="15" t="str">
        <f t="shared" si="9"/>
        <v/>
      </c>
      <c r="X3133" s="15" t="str">
        <f t="shared" si="10"/>
        <v/>
      </c>
    </row>
    <row r="3134">
      <c r="A3134" s="26">
        <v>46357.0</v>
      </c>
      <c r="B3134" s="10"/>
      <c r="C3134" s="9" t="str">
        <f t="shared" si="249"/>
        <v/>
      </c>
      <c r="D3134" s="28" t="s">
        <v>322</v>
      </c>
      <c r="E3134" s="28" t="s">
        <v>1305</v>
      </c>
      <c r="F3134" s="28" t="s">
        <v>40</v>
      </c>
      <c r="G3134" s="28" t="s">
        <v>37</v>
      </c>
      <c r="H3134" s="11" t="s">
        <v>1419</v>
      </c>
      <c r="I3134" s="37">
        <v>46.2</v>
      </c>
      <c r="J3134" s="13"/>
      <c r="K3134" s="13" t="str">
        <f t="shared" si="384"/>
        <v/>
      </c>
      <c r="L3134" s="28" t="s">
        <v>29</v>
      </c>
      <c r="M3134" s="14"/>
      <c r="N3134" s="28" t="s">
        <v>105</v>
      </c>
      <c r="O3134" s="10" t="str">
        <f t="shared" si="79"/>
        <v>12/2026</v>
      </c>
      <c r="P3134" s="10" t="str">
        <f t="shared" si="383"/>
        <v/>
      </c>
      <c r="Q3134" s="15" t="str">
        <f t="array" ref="Q3134">IFERROR(XLOOKUP(N3134,'Classificação'!A:A,'Classificação'!B:B),"")</f>
        <v>DESPESAS ADMINISTRATIVAS</v>
      </c>
      <c r="R3134" s="15" t="str">
        <f t="array" ref="R3134">IFERROR(XLOOKUP(Q3134,'Classificação'!B:B,'Classificação'!C:C),"")</f>
        <v>DESPESAS FIXAS (-)</v>
      </c>
      <c r="S3134" s="15">
        <f t="shared" si="228"/>
        <v>1</v>
      </c>
      <c r="T3134" s="15">
        <f t="shared" si="128"/>
        <v>12</v>
      </c>
      <c r="U3134" s="15">
        <f t="shared" si="129"/>
        <v>2026</v>
      </c>
      <c r="V3134" s="15" t="str">
        <f t="shared" si="8"/>
        <v/>
      </c>
      <c r="W3134" s="15" t="str">
        <f t="shared" si="9"/>
        <v/>
      </c>
      <c r="X3134" s="15" t="str">
        <f t="shared" si="10"/>
        <v/>
      </c>
    </row>
    <row r="3135">
      <c r="A3135" s="9">
        <v>46359.0</v>
      </c>
      <c r="B3135" s="10"/>
      <c r="C3135" s="9" t="str">
        <f t="shared" si="249"/>
        <v/>
      </c>
      <c r="D3135" s="11" t="s">
        <v>44</v>
      </c>
      <c r="E3135" s="11" t="s">
        <v>1305</v>
      </c>
      <c r="F3135" s="11" t="s">
        <v>45</v>
      </c>
      <c r="G3135" s="11" t="s">
        <v>27</v>
      </c>
      <c r="H3135" s="11" t="s">
        <v>651</v>
      </c>
      <c r="I3135" s="13">
        <v>2641.9894</v>
      </c>
      <c r="J3135" s="13"/>
      <c r="K3135" s="13" t="str">
        <f t="shared" si="384"/>
        <v/>
      </c>
      <c r="L3135" s="11" t="s">
        <v>53</v>
      </c>
      <c r="M3135" s="16" t="s">
        <v>1420</v>
      </c>
      <c r="N3135" s="11" t="s">
        <v>73</v>
      </c>
      <c r="O3135" s="10" t="str">
        <f t="shared" si="79"/>
        <v>12/2026</v>
      </c>
      <c r="P3135" s="10" t="str">
        <f t="shared" si="383"/>
        <v/>
      </c>
      <c r="Q3135" s="15" t="str">
        <f t="array" ref="Q3135">IFERROR(XLOOKUP(N3135,'Classificação'!A:A,'Classificação'!B:B),"")</f>
        <v>DESPESAS NÃO OPERACIONAIS</v>
      </c>
      <c r="R3135" s="15" t="str">
        <f t="array" ref="R3135">IFERROR(XLOOKUP(Q3135,'Classificação'!B:B,'Classificação'!C:C),"")</f>
        <v>RESULTADO NÃO OPERACIONAL (+/-)</v>
      </c>
      <c r="S3135" s="15">
        <f t="shared" si="228"/>
        <v>3</v>
      </c>
      <c r="T3135" s="15">
        <f t="shared" si="128"/>
        <v>12</v>
      </c>
      <c r="U3135" s="15">
        <f t="shared" si="129"/>
        <v>2026</v>
      </c>
      <c r="V3135" s="15" t="str">
        <f t="shared" si="8"/>
        <v/>
      </c>
      <c r="W3135" s="15" t="str">
        <f t="shared" si="9"/>
        <v/>
      </c>
      <c r="X3135" s="15" t="str">
        <f t="shared" si="10"/>
        <v/>
      </c>
    </row>
    <row r="3136">
      <c r="A3136" s="9">
        <v>46360.0</v>
      </c>
      <c r="B3136" s="32">
        <v>46005.0</v>
      </c>
      <c r="C3136" s="9" t="str">
        <f t="shared" si="249"/>
        <v/>
      </c>
      <c r="D3136" s="28" t="s">
        <v>44</v>
      </c>
      <c r="E3136" s="28" t="s">
        <v>1305</v>
      </c>
      <c r="F3136" s="11" t="s">
        <v>45</v>
      </c>
      <c r="G3136" s="28" t="s">
        <v>27</v>
      </c>
      <c r="H3136" s="11" t="s">
        <v>1421</v>
      </c>
      <c r="I3136" s="31">
        <v>126000.0</v>
      </c>
      <c r="J3136" s="13"/>
      <c r="K3136" s="13" t="str">
        <f t="shared" si="384"/>
        <v/>
      </c>
      <c r="L3136" s="11" t="s">
        <v>34</v>
      </c>
      <c r="M3136" s="14"/>
      <c r="N3136" s="11" t="s">
        <v>73</v>
      </c>
      <c r="O3136" s="10" t="str">
        <f t="shared" si="79"/>
        <v>12/2026</v>
      </c>
      <c r="P3136" s="10" t="str">
        <f t="shared" si="383"/>
        <v/>
      </c>
      <c r="Q3136" s="15" t="str">
        <f t="array" ref="Q3136">IFERROR(XLOOKUP(N3136,'Classificação'!A:A,'Classificação'!B:B),"")</f>
        <v>DESPESAS NÃO OPERACIONAIS</v>
      </c>
      <c r="R3136" s="15" t="str">
        <f t="array" ref="R3136">IFERROR(XLOOKUP(Q3136,'Classificação'!B:B,'Classificação'!C:C),"")</f>
        <v>RESULTADO NÃO OPERACIONAL (+/-)</v>
      </c>
      <c r="S3136" s="15">
        <f t="shared" si="228"/>
        <v>4</v>
      </c>
      <c r="T3136" s="15">
        <f t="shared" si="128"/>
        <v>12</v>
      </c>
      <c r="U3136" s="15">
        <f t="shared" si="129"/>
        <v>2026</v>
      </c>
      <c r="V3136" s="15" t="str">
        <f t="shared" si="8"/>
        <v/>
      </c>
      <c r="W3136" s="15" t="str">
        <f t="shared" si="9"/>
        <v/>
      </c>
      <c r="X3136" s="15" t="str">
        <f t="shared" si="10"/>
        <v/>
      </c>
    </row>
    <row r="3137">
      <c r="A3137" s="26">
        <v>46361.0</v>
      </c>
      <c r="B3137" s="10"/>
      <c r="C3137" s="9" t="str">
        <f t="shared" si="249"/>
        <v/>
      </c>
      <c r="D3137" s="28" t="s">
        <v>36</v>
      </c>
      <c r="E3137" s="28" t="s">
        <v>1305</v>
      </c>
      <c r="F3137" s="28" t="s">
        <v>26</v>
      </c>
      <c r="G3137" s="28" t="s">
        <v>27</v>
      </c>
      <c r="I3137" s="37">
        <v>6500.0</v>
      </c>
      <c r="J3137" s="13"/>
      <c r="K3137" s="13" t="str">
        <f t="shared" si="384"/>
        <v/>
      </c>
      <c r="L3137" s="28" t="s">
        <v>29</v>
      </c>
      <c r="M3137" s="14"/>
      <c r="N3137" s="28" t="s">
        <v>38</v>
      </c>
      <c r="O3137" s="10" t="str">
        <f t="shared" si="79"/>
        <v>12/2026</v>
      </c>
      <c r="P3137" s="10" t="str">
        <f t="shared" si="383"/>
        <v/>
      </c>
      <c r="Q3137" s="15" t="str">
        <f t="array" ref="Q3137">IFERROR(XLOOKUP(N3137,'Classificação'!A:A,'Classificação'!B:B),"")</f>
        <v>DESPESAS COM PESSOAL</v>
      </c>
      <c r="R3137" s="15" t="str">
        <f t="array" ref="R3137">IFERROR(XLOOKUP(Q3137,'Classificação'!B:B,'Classificação'!C:C),"")</f>
        <v>DESPESAS FIXAS (-)</v>
      </c>
      <c r="S3137" s="15">
        <f t="shared" si="228"/>
        <v>5</v>
      </c>
      <c r="T3137" s="15">
        <f t="shared" si="128"/>
        <v>12</v>
      </c>
      <c r="U3137" s="15">
        <f t="shared" si="129"/>
        <v>2026</v>
      </c>
      <c r="V3137" s="15" t="str">
        <f t="shared" si="8"/>
        <v/>
      </c>
      <c r="W3137" s="15" t="str">
        <f t="shared" si="9"/>
        <v/>
      </c>
      <c r="X3137" s="15" t="str">
        <f t="shared" si="10"/>
        <v/>
      </c>
    </row>
    <row r="3138">
      <c r="A3138" s="26">
        <v>46361.0</v>
      </c>
      <c r="B3138" s="10"/>
      <c r="C3138" s="9" t="str">
        <f t="shared" si="249"/>
        <v/>
      </c>
      <c r="D3138" s="28" t="s">
        <v>43</v>
      </c>
      <c r="E3138" s="28" t="s">
        <v>1305</v>
      </c>
      <c r="F3138" s="29" t="s">
        <v>26</v>
      </c>
      <c r="G3138" s="28" t="s">
        <v>27</v>
      </c>
      <c r="I3138" s="37">
        <v>6500.0</v>
      </c>
      <c r="J3138" s="13"/>
      <c r="K3138" s="13" t="str">
        <f t="shared" si="384"/>
        <v/>
      </c>
      <c r="L3138" s="28" t="s">
        <v>29</v>
      </c>
      <c r="M3138" s="14"/>
      <c r="N3138" s="28" t="s">
        <v>38</v>
      </c>
      <c r="O3138" s="10" t="str">
        <f t="shared" si="79"/>
        <v>12/2026</v>
      </c>
      <c r="P3138" s="10" t="str">
        <f t="shared" si="383"/>
        <v/>
      </c>
      <c r="Q3138" s="15" t="str">
        <f t="array" ref="Q3138">IFERROR(XLOOKUP(N3138,'Classificação'!A:A,'Classificação'!B:B),"")</f>
        <v>DESPESAS COM PESSOAL</v>
      </c>
      <c r="R3138" s="15" t="str">
        <f t="array" ref="R3138">IFERROR(XLOOKUP(Q3138,'Classificação'!B:B,'Classificação'!C:C),"")</f>
        <v>DESPESAS FIXAS (-)</v>
      </c>
      <c r="S3138" s="15">
        <f t="shared" si="228"/>
        <v>5</v>
      </c>
      <c r="T3138" s="15">
        <f t="shared" si="128"/>
        <v>12</v>
      </c>
      <c r="U3138" s="15">
        <f t="shared" si="129"/>
        <v>2026</v>
      </c>
      <c r="V3138" s="15" t="str">
        <f t="shared" si="8"/>
        <v/>
      </c>
      <c r="W3138" s="15" t="str">
        <f t="shared" si="9"/>
        <v/>
      </c>
      <c r="X3138" s="15" t="str">
        <f t="shared" si="10"/>
        <v/>
      </c>
    </row>
    <row r="3139">
      <c r="A3139" s="9">
        <v>46364.0</v>
      </c>
      <c r="B3139" s="10"/>
      <c r="C3139" s="9" t="str">
        <f t="shared" si="249"/>
        <v/>
      </c>
      <c r="D3139" s="11" t="s">
        <v>782</v>
      </c>
      <c r="E3139" s="28" t="s">
        <v>1305</v>
      </c>
      <c r="F3139" s="11" t="s">
        <v>26</v>
      </c>
      <c r="G3139" s="11" t="s">
        <v>37</v>
      </c>
      <c r="H3139" s="11" t="s">
        <v>1343</v>
      </c>
      <c r="I3139" s="31">
        <v>115000.0</v>
      </c>
      <c r="J3139" s="13"/>
      <c r="K3139" s="13" t="str">
        <f t="shared" si="384"/>
        <v/>
      </c>
      <c r="L3139" s="11" t="s">
        <v>34</v>
      </c>
      <c r="M3139" s="14"/>
      <c r="N3139" s="11" t="s">
        <v>35</v>
      </c>
      <c r="O3139" s="10" t="str">
        <f t="shared" si="79"/>
        <v>12/2026</v>
      </c>
      <c r="P3139" s="10" t="str">
        <f t="shared" si="383"/>
        <v/>
      </c>
      <c r="Q3139" s="15" t="str">
        <f t="array" ref="Q3139">IFERROR(XLOOKUP(N3139,'Classificação'!A:A,'Classificação'!B:B),"")</f>
        <v>COMPRA DE MERCADORIA</v>
      </c>
      <c r="S3139" s="15">
        <f t="shared" si="228"/>
        <v>8</v>
      </c>
      <c r="T3139" s="15">
        <f t="shared" si="128"/>
        <v>12</v>
      </c>
      <c r="U3139" s="15">
        <f t="shared" si="129"/>
        <v>2026</v>
      </c>
      <c r="V3139" s="15" t="str">
        <f t="shared" si="8"/>
        <v/>
      </c>
      <c r="W3139" s="15" t="str">
        <f t="shared" si="9"/>
        <v/>
      </c>
      <c r="X3139" s="15" t="str">
        <f t="shared" si="10"/>
        <v/>
      </c>
    </row>
    <row r="3140">
      <c r="A3140" s="26">
        <v>46366.0</v>
      </c>
      <c r="B3140" s="30"/>
      <c r="C3140" s="27" t="str">
        <f t="shared" si="249"/>
        <v/>
      </c>
      <c r="D3140" s="28" t="s">
        <v>48</v>
      </c>
      <c r="E3140" s="28" t="s">
        <v>1305</v>
      </c>
      <c r="F3140" s="28" t="s">
        <v>40</v>
      </c>
      <c r="G3140" s="28" t="s">
        <v>27</v>
      </c>
      <c r="H3140" s="28"/>
      <c r="I3140" s="37">
        <v>1600.0</v>
      </c>
      <c r="J3140" s="34"/>
      <c r="K3140" s="34" t="str">
        <f t="shared" ref="K3140:K3142" si="385">IF(E3140="pago",(I3140-J3140),"")</f>
        <v/>
      </c>
      <c r="L3140" s="28" t="s">
        <v>29</v>
      </c>
      <c r="M3140" s="28"/>
      <c r="N3140" s="28" t="s">
        <v>49</v>
      </c>
      <c r="O3140" s="10" t="str">
        <f t="shared" si="79"/>
        <v>12/2026</v>
      </c>
      <c r="P3140" s="10" t="str">
        <f t="shared" si="383"/>
        <v/>
      </c>
      <c r="Q3140" s="15" t="str">
        <f t="array" ref="Q3140">IFERROR(XLOOKUP(N3140,'Classificação'!A:A,'Classificação'!B:B),"")</f>
        <v>DESPESAS COM PESSOAL</v>
      </c>
      <c r="R3140" s="15" t="str">
        <f t="array" ref="R3140">IFERROR(XLOOKUP(Q3140,'Classificação'!B:B,'Classificação'!C:C),"")</f>
        <v>DESPESAS FIXAS (-)</v>
      </c>
      <c r="S3140" s="15">
        <f t="shared" si="228"/>
        <v>10</v>
      </c>
      <c r="T3140" s="15">
        <f t="shared" si="128"/>
        <v>12</v>
      </c>
      <c r="U3140" s="15">
        <f t="shared" si="129"/>
        <v>2026</v>
      </c>
      <c r="V3140" s="15" t="str">
        <f t="shared" si="8"/>
        <v/>
      </c>
      <c r="W3140" s="15" t="str">
        <f t="shared" si="9"/>
        <v/>
      </c>
      <c r="X3140" s="15" t="str">
        <f t="shared" si="10"/>
        <v/>
      </c>
    </row>
    <row r="3141">
      <c r="A3141" s="9">
        <v>46366.0</v>
      </c>
      <c r="B3141" s="30"/>
      <c r="C3141" s="27" t="str">
        <f t="shared" si="249"/>
        <v/>
      </c>
      <c r="D3141" s="28" t="s">
        <v>50</v>
      </c>
      <c r="E3141" s="28" t="s">
        <v>1305</v>
      </c>
      <c r="F3141" s="28" t="s">
        <v>40</v>
      </c>
      <c r="G3141" s="28" t="s">
        <v>27</v>
      </c>
      <c r="H3141" s="28" t="s">
        <v>51</v>
      </c>
      <c r="I3141" s="37">
        <v>139.99</v>
      </c>
      <c r="J3141" s="34"/>
      <c r="K3141" s="34" t="str">
        <f t="shared" si="385"/>
        <v/>
      </c>
      <c r="L3141" s="28" t="s">
        <v>29</v>
      </c>
      <c r="M3141" s="28"/>
      <c r="N3141" s="28" t="s">
        <v>51</v>
      </c>
      <c r="O3141" s="10" t="str">
        <f t="shared" si="79"/>
        <v>12/2026</v>
      </c>
      <c r="P3141" s="10" t="str">
        <f t="shared" si="383"/>
        <v/>
      </c>
      <c r="Q3141" s="15" t="str">
        <f t="array" ref="Q3141">IFERROR(XLOOKUP(N3141,'Classificação'!A:A,'Classificação'!B:B),"")</f>
        <v>DESPESAS COM OCUPAÇÃO</v>
      </c>
      <c r="R3141" s="15" t="str">
        <f t="array" ref="R3141">IFERROR(XLOOKUP(Q3141,'Classificação'!B:B,'Classificação'!C:C),"")</f>
        <v>DESPESAS FIXAS (-)</v>
      </c>
      <c r="S3141" s="15">
        <f t="shared" si="228"/>
        <v>10</v>
      </c>
      <c r="T3141" s="15">
        <f t="shared" si="128"/>
        <v>12</v>
      </c>
      <c r="U3141" s="15">
        <f t="shared" si="129"/>
        <v>2026</v>
      </c>
      <c r="V3141" s="15" t="str">
        <f t="shared" si="8"/>
        <v/>
      </c>
      <c r="W3141" s="15" t="str">
        <f t="shared" si="9"/>
        <v/>
      </c>
      <c r="X3141" s="15" t="str">
        <f t="shared" si="10"/>
        <v/>
      </c>
    </row>
    <row r="3142">
      <c r="A3142" s="26">
        <v>46366.0</v>
      </c>
      <c r="B3142" s="30"/>
      <c r="C3142" s="27" t="str">
        <f t="shared" si="249"/>
        <v/>
      </c>
      <c r="D3142" s="28" t="s">
        <v>59</v>
      </c>
      <c r="E3142" s="28" t="s">
        <v>1305</v>
      </c>
      <c r="F3142" s="28" t="s">
        <v>40</v>
      </c>
      <c r="G3142" s="28" t="s">
        <v>37</v>
      </c>
      <c r="H3142" s="28" t="s">
        <v>60</v>
      </c>
      <c r="I3142" s="24">
        <v>447.0</v>
      </c>
      <c r="J3142" s="34"/>
      <c r="K3142" s="34" t="str">
        <f t="shared" si="385"/>
        <v/>
      </c>
      <c r="L3142" s="28" t="s">
        <v>29</v>
      </c>
      <c r="M3142" s="28"/>
      <c r="N3142" s="28" t="s">
        <v>61</v>
      </c>
      <c r="O3142" s="10" t="str">
        <f t="shared" si="79"/>
        <v>12/2026</v>
      </c>
      <c r="P3142" s="10" t="str">
        <f t="shared" si="383"/>
        <v/>
      </c>
      <c r="Q3142" s="15" t="str">
        <f t="array" ref="Q3142">IFERROR(XLOOKUP(N3142,'Classificação'!A:A,'Classificação'!B:B),"")</f>
        <v>DESPESAS ADMINISTRATIVAS</v>
      </c>
      <c r="R3142" s="15" t="str">
        <f t="array" ref="R3142">IFERROR(XLOOKUP(Q3142,'Classificação'!B:B,'Classificação'!C:C),"")</f>
        <v>DESPESAS FIXAS (-)</v>
      </c>
      <c r="S3142" s="15">
        <f t="shared" si="228"/>
        <v>10</v>
      </c>
      <c r="T3142" s="15">
        <f t="shared" si="128"/>
        <v>12</v>
      </c>
      <c r="U3142" s="15">
        <f t="shared" si="129"/>
        <v>2026</v>
      </c>
      <c r="V3142" s="15" t="str">
        <f t="shared" si="8"/>
        <v/>
      </c>
      <c r="W3142" s="15" t="str">
        <f t="shared" si="9"/>
        <v/>
      </c>
      <c r="X3142" s="15" t="str">
        <f t="shared" si="10"/>
        <v/>
      </c>
    </row>
    <row r="3143">
      <c r="A3143" s="26">
        <v>46366.0</v>
      </c>
      <c r="B3143" s="30"/>
      <c r="C3143" s="27" t="str">
        <f t="shared" si="249"/>
        <v/>
      </c>
      <c r="D3143" s="28" t="s">
        <v>104</v>
      </c>
      <c r="E3143" s="28" t="s">
        <v>1305</v>
      </c>
      <c r="F3143" s="28" t="s">
        <v>40</v>
      </c>
      <c r="G3143" s="28" t="s">
        <v>37</v>
      </c>
      <c r="H3143" s="28" t="s">
        <v>413</v>
      </c>
      <c r="I3143" s="37">
        <v>27.5</v>
      </c>
      <c r="J3143" s="34"/>
      <c r="K3143" s="34"/>
      <c r="L3143" s="28" t="s">
        <v>29</v>
      </c>
      <c r="M3143" s="28"/>
      <c r="N3143" s="28" t="s">
        <v>105</v>
      </c>
      <c r="O3143" s="10" t="str">
        <f t="shared" si="79"/>
        <v>12/2026</v>
      </c>
      <c r="P3143" s="10" t="str">
        <f t="shared" si="383"/>
        <v/>
      </c>
      <c r="R3143" s="15" t="str">
        <f t="array" ref="R3143">IFERROR(XLOOKUP(Q3143,'Classificação'!B:B,'Classificação'!C:C),"")</f>
        <v/>
      </c>
      <c r="S3143" s="15">
        <f t="shared" si="228"/>
        <v>10</v>
      </c>
      <c r="T3143" s="15">
        <f t="shared" si="128"/>
        <v>12</v>
      </c>
      <c r="U3143" s="15">
        <f t="shared" si="129"/>
        <v>2026</v>
      </c>
      <c r="V3143" s="15" t="str">
        <f t="shared" si="8"/>
        <v/>
      </c>
      <c r="W3143" s="15" t="str">
        <f t="shared" si="9"/>
        <v/>
      </c>
      <c r="X3143" s="15" t="str">
        <f t="shared" si="10"/>
        <v/>
      </c>
    </row>
    <row r="3144">
      <c r="A3144" s="9">
        <v>46366.0</v>
      </c>
      <c r="B3144" s="10"/>
      <c r="C3144" s="9" t="str">
        <f t="shared" si="249"/>
        <v/>
      </c>
      <c r="D3144" s="11" t="s">
        <v>44</v>
      </c>
      <c r="E3144" s="11" t="s">
        <v>1305</v>
      </c>
      <c r="F3144" s="11" t="s">
        <v>45</v>
      </c>
      <c r="G3144" s="11" t="s">
        <v>27</v>
      </c>
      <c r="H3144" s="11" t="s">
        <v>52</v>
      </c>
      <c r="I3144" s="12">
        <v>503.0</v>
      </c>
      <c r="J3144" s="13"/>
      <c r="K3144" s="13" t="str">
        <f t="shared" ref="K3144:K3147" si="386">if(E3144="pago",(I3144-J3144),"")</f>
        <v/>
      </c>
      <c r="L3144" s="11" t="s">
        <v>53</v>
      </c>
      <c r="M3144" s="16" t="s">
        <v>1422</v>
      </c>
      <c r="N3144" s="11" t="s">
        <v>55</v>
      </c>
      <c r="O3144" s="10" t="str">
        <f t="shared" si="79"/>
        <v>12/2026</v>
      </c>
      <c r="P3144" s="10" t="str">
        <f t="shared" si="383"/>
        <v/>
      </c>
      <c r="Q3144" s="15" t="str">
        <f t="array" ref="Q3144">IFERROR(XLOOKUP(N3144,'Classificação'!A:A,'Classificação'!B:B),"")</f>
        <v>DESPESAS NÃO OPERACIONAIS</v>
      </c>
      <c r="R3144" s="15" t="str">
        <f t="array" ref="R3144">IFERROR(XLOOKUP(Q3144,'Classificação'!B:B,'Classificação'!C:C),"")</f>
        <v>RESULTADO NÃO OPERACIONAL (+/-)</v>
      </c>
      <c r="S3144" s="15">
        <f t="shared" si="228"/>
        <v>10</v>
      </c>
      <c r="T3144" s="15">
        <f t="shared" si="128"/>
        <v>12</v>
      </c>
      <c r="U3144" s="15">
        <f t="shared" si="129"/>
        <v>2026</v>
      </c>
      <c r="V3144" s="15" t="str">
        <f t="shared" si="8"/>
        <v/>
      </c>
      <c r="W3144" s="15" t="str">
        <f t="shared" si="9"/>
        <v/>
      </c>
      <c r="X3144" s="15" t="str">
        <f t="shared" si="10"/>
        <v/>
      </c>
    </row>
    <row r="3145">
      <c r="A3145" s="9">
        <v>46366.0</v>
      </c>
      <c r="B3145" s="10"/>
      <c r="C3145" s="9" t="str">
        <f t="shared" si="249"/>
        <v/>
      </c>
      <c r="D3145" s="11" t="s">
        <v>1104</v>
      </c>
      <c r="E3145" s="28" t="s">
        <v>1305</v>
      </c>
      <c r="F3145" s="11" t="s">
        <v>40</v>
      </c>
      <c r="G3145" s="11" t="s">
        <v>37</v>
      </c>
      <c r="H3145" s="11" t="s">
        <v>1105</v>
      </c>
      <c r="I3145" s="12">
        <v>917.51</v>
      </c>
      <c r="J3145" s="13"/>
      <c r="K3145" s="13" t="str">
        <f t="shared" si="386"/>
        <v/>
      </c>
      <c r="L3145" s="11" t="s">
        <v>53</v>
      </c>
      <c r="M3145" s="16" t="s">
        <v>1423</v>
      </c>
      <c r="N3145" s="11" t="s">
        <v>73</v>
      </c>
      <c r="O3145" s="10" t="str">
        <f t="shared" si="79"/>
        <v>12/2026</v>
      </c>
      <c r="P3145" s="10" t="str">
        <f t="shared" si="383"/>
        <v/>
      </c>
      <c r="Q3145" s="15" t="str">
        <f t="array" ref="Q3145">IFERROR(XLOOKUP(N3145,'Classificação'!A:A,'Classificação'!B:B),"")</f>
        <v>DESPESAS NÃO OPERACIONAIS</v>
      </c>
      <c r="R3145" s="15" t="str">
        <f t="array" ref="R3145">IFERROR(XLOOKUP(Q3145,'Classificação'!B:B,'Classificação'!C:C),"")</f>
        <v>RESULTADO NÃO OPERACIONAL (+/-)</v>
      </c>
      <c r="S3145" s="15">
        <f t="shared" si="228"/>
        <v>10</v>
      </c>
      <c r="T3145" s="15">
        <f t="shared" si="128"/>
        <v>12</v>
      </c>
      <c r="U3145" s="15">
        <f t="shared" si="129"/>
        <v>2026</v>
      </c>
      <c r="V3145" s="15" t="str">
        <f t="shared" si="8"/>
        <v/>
      </c>
      <c r="W3145" s="15" t="str">
        <f t="shared" si="9"/>
        <v/>
      </c>
      <c r="X3145" s="15" t="str">
        <f t="shared" si="10"/>
        <v/>
      </c>
    </row>
    <row r="3146">
      <c r="A3146" s="32">
        <v>46366.0</v>
      </c>
      <c r="B3146" s="32">
        <v>46011.0</v>
      </c>
      <c r="C3146" s="9" t="str">
        <f t="shared" si="249"/>
        <v/>
      </c>
      <c r="D3146" s="11" t="s">
        <v>65</v>
      </c>
      <c r="E3146" s="28" t="s">
        <v>1305</v>
      </c>
      <c r="F3146" s="11" t="s">
        <v>26</v>
      </c>
      <c r="G3146" s="28" t="s">
        <v>27</v>
      </c>
      <c r="H3146" s="11" t="s">
        <v>1159</v>
      </c>
      <c r="I3146" s="31">
        <v>54.99</v>
      </c>
      <c r="J3146" s="13"/>
      <c r="K3146" s="13" t="str">
        <f t="shared" si="386"/>
        <v/>
      </c>
      <c r="L3146" s="11" t="s">
        <v>53</v>
      </c>
      <c r="M3146" s="16" t="s">
        <v>1424</v>
      </c>
      <c r="N3146" s="11" t="s">
        <v>95</v>
      </c>
      <c r="O3146" s="10" t="str">
        <f t="shared" si="79"/>
        <v>12/2026</v>
      </c>
      <c r="P3146" s="10" t="str">
        <f t="shared" si="383"/>
        <v/>
      </c>
      <c r="Q3146" s="15" t="str">
        <f t="array" ref="Q3146">IFERROR(XLOOKUP(N3146,'Classificação'!A:A,'Classificação'!B:B),"")</f>
        <v>DESPESAS NÃO OPERACIONAIS</v>
      </c>
      <c r="R3146" s="15" t="str">
        <f t="array" ref="R3146">IFERROR(XLOOKUP(Q3146,'Classificação'!B:B,'Classificação'!C:C),"")</f>
        <v>RESULTADO NÃO OPERACIONAL (+/-)</v>
      </c>
      <c r="S3146" s="15">
        <f t="shared" si="228"/>
        <v>10</v>
      </c>
      <c r="T3146" s="15">
        <f t="shared" si="128"/>
        <v>12</v>
      </c>
      <c r="U3146" s="15">
        <f t="shared" si="129"/>
        <v>2026</v>
      </c>
      <c r="V3146" s="15" t="str">
        <f t="shared" si="8"/>
        <v/>
      </c>
      <c r="W3146" s="15" t="str">
        <f t="shared" si="9"/>
        <v/>
      </c>
      <c r="X3146" s="15" t="str">
        <f t="shared" si="10"/>
        <v/>
      </c>
    </row>
    <row r="3147">
      <c r="A3147" s="26">
        <v>46368.0</v>
      </c>
      <c r="B3147" s="30"/>
      <c r="C3147" s="27" t="str">
        <f t="shared" si="249"/>
        <v/>
      </c>
      <c r="D3147" s="28" t="s">
        <v>56</v>
      </c>
      <c r="E3147" s="28" t="s">
        <v>1305</v>
      </c>
      <c r="F3147" s="28" t="s">
        <v>26</v>
      </c>
      <c r="G3147" s="28" t="s">
        <v>37</v>
      </c>
      <c r="H3147" s="28" t="s">
        <v>57</v>
      </c>
      <c r="I3147" s="24">
        <v>60.0</v>
      </c>
      <c r="J3147" s="34"/>
      <c r="K3147" s="13" t="str">
        <f t="shared" si="386"/>
        <v/>
      </c>
      <c r="L3147" s="28" t="s">
        <v>29</v>
      </c>
      <c r="M3147" s="28"/>
      <c r="N3147" s="28" t="s">
        <v>58</v>
      </c>
      <c r="O3147" s="10" t="str">
        <f t="shared" si="79"/>
        <v>12/2026</v>
      </c>
      <c r="P3147" s="10" t="str">
        <f t="shared" si="383"/>
        <v/>
      </c>
      <c r="Q3147" s="15" t="str">
        <f t="array" ref="Q3147">IFERROR(XLOOKUP(N3147,'Classificação'!A:A,'Classificação'!B:B),"")</f>
        <v>DESPESAS ADMINISTRATIVAS</v>
      </c>
      <c r="R3147" s="15" t="str">
        <f t="array" ref="R3147">IFERROR(XLOOKUP(Q3147,'Classificação'!B:B,'Classificação'!C:C),"")</f>
        <v>DESPESAS FIXAS (-)</v>
      </c>
      <c r="S3147" s="15">
        <f t="shared" si="228"/>
        <v>12</v>
      </c>
      <c r="T3147" s="15">
        <f t="shared" si="128"/>
        <v>12</v>
      </c>
      <c r="U3147" s="15">
        <f t="shared" si="129"/>
        <v>2026</v>
      </c>
      <c r="V3147" s="15" t="str">
        <f t="shared" si="8"/>
        <v/>
      </c>
      <c r="W3147" s="15" t="str">
        <f t="shared" si="9"/>
        <v/>
      </c>
      <c r="X3147" s="15" t="str">
        <f t="shared" si="10"/>
        <v/>
      </c>
    </row>
    <row r="3148">
      <c r="A3148" s="26">
        <v>46369.0</v>
      </c>
      <c r="B3148" s="30"/>
      <c r="C3148" s="27" t="str">
        <f t="shared" si="249"/>
        <v/>
      </c>
      <c r="D3148" s="28" t="s">
        <v>65</v>
      </c>
      <c r="E3148" s="28" t="s">
        <v>1305</v>
      </c>
      <c r="F3148" s="28" t="s">
        <v>45</v>
      </c>
      <c r="G3148" s="28" t="s">
        <v>66</v>
      </c>
      <c r="H3148" s="28" t="s">
        <v>67</v>
      </c>
      <c r="I3148" s="37">
        <v>900.0</v>
      </c>
      <c r="J3148" s="34"/>
      <c r="K3148" s="34" t="str">
        <f>IF(E3148="pago",(I3148-J3148),"")</f>
        <v/>
      </c>
      <c r="L3148" s="28" t="s">
        <v>29</v>
      </c>
      <c r="M3148" s="28"/>
      <c r="N3148" s="28" t="s">
        <v>68</v>
      </c>
      <c r="O3148" s="10" t="str">
        <f t="shared" si="79"/>
        <v>12/2026</v>
      </c>
      <c r="P3148" s="10" t="str">
        <f t="shared" si="383"/>
        <v/>
      </c>
      <c r="Q3148" s="15" t="str">
        <f t="array" ref="Q3148">IFERROR(XLOOKUP(N3148,'Classificação'!A:A,'Classificação'!B:B),"")</f>
        <v>FRETE DE VENDAS</v>
      </c>
      <c r="R3148" s="15" t="str">
        <f t="array" ref="R3148">IFERROR(XLOOKUP(Q3148,'Classificação'!B:B,'Classificação'!C:C),"")</f>
        <v>CUSTOS VARIÁVEIS</v>
      </c>
      <c r="S3148" s="15">
        <f t="shared" si="228"/>
        <v>13</v>
      </c>
      <c r="T3148" s="15">
        <f t="shared" si="128"/>
        <v>12</v>
      </c>
      <c r="U3148" s="15">
        <f t="shared" si="129"/>
        <v>2026</v>
      </c>
      <c r="V3148" s="15" t="str">
        <f t="shared" si="8"/>
        <v/>
      </c>
      <c r="W3148" s="15" t="str">
        <f t="shared" si="9"/>
        <v/>
      </c>
      <c r="X3148" s="15" t="str">
        <f t="shared" si="10"/>
        <v/>
      </c>
    </row>
    <row r="3149">
      <c r="A3149" s="9">
        <v>46370.0</v>
      </c>
      <c r="B3149" s="10"/>
      <c r="C3149" s="9" t="str">
        <f t="shared" si="249"/>
        <v/>
      </c>
      <c r="D3149" s="11" t="s">
        <v>44</v>
      </c>
      <c r="E3149" s="11" t="s">
        <v>1305</v>
      </c>
      <c r="F3149" s="11" t="s">
        <v>45</v>
      </c>
      <c r="G3149" s="11" t="s">
        <v>27</v>
      </c>
      <c r="H3149" s="11" t="s">
        <v>476</v>
      </c>
      <c r="I3149" s="12">
        <v>4996.0</v>
      </c>
      <c r="J3149" s="13"/>
      <c r="K3149" s="13" t="str">
        <f>if(E3149="pago",(I3149-J3149),"")</f>
        <v/>
      </c>
      <c r="L3149" s="11" t="s">
        <v>53</v>
      </c>
      <c r="M3149" s="16" t="s">
        <v>1054</v>
      </c>
      <c r="N3149" s="11" t="s">
        <v>73</v>
      </c>
      <c r="O3149" s="10" t="str">
        <f t="shared" si="79"/>
        <v>12/2026</v>
      </c>
      <c r="P3149" s="10" t="str">
        <f t="shared" si="383"/>
        <v/>
      </c>
      <c r="Q3149" s="15" t="str">
        <f t="array" ref="Q3149">IFERROR(XLOOKUP(N3149,'Classificação'!A:A,'Classificação'!B:B),"")</f>
        <v>DESPESAS NÃO OPERACIONAIS</v>
      </c>
      <c r="R3149" s="15" t="str">
        <f t="array" ref="R3149">IFERROR(XLOOKUP(Q3149,'Classificação'!B:B,'Classificação'!C:C),"")</f>
        <v>RESULTADO NÃO OPERACIONAL (+/-)</v>
      </c>
      <c r="S3149" s="15">
        <f t="shared" si="228"/>
        <v>14</v>
      </c>
      <c r="T3149" s="15">
        <f t="shared" si="128"/>
        <v>12</v>
      </c>
      <c r="U3149" s="15">
        <f t="shared" si="129"/>
        <v>2026</v>
      </c>
      <c r="V3149" s="15" t="str">
        <f t="shared" si="8"/>
        <v/>
      </c>
      <c r="W3149" s="15" t="str">
        <f t="shared" si="9"/>
        <v/>
      </c>
      <c r="X3149" s="15" t="str">
        <f t="shared" si="10"/>
        <v/>
      </c>
    </row>
    <row r="3150">
      <c r="A3150" s="26">
        <v>46371.0</v>
      </c>
      <c r="B3150" s="30"/>
      <c r="C3150" s="27" t="str">
        <f t="shared" si="249"/>
        <v/>
      </c>
      <c r="D3150" s="28" t="s">
        <v>79</v>
      </c>
      <c r="E3150" s="28" t="s">
        <v>1305</v>
      </c>
      <c r="F3150" s="28" t="s">
        <v>26</v>
      </c>
      <c r="G3150" s="28" t="s">
        <v>37</v>
      </c>
      <c r="H3150" s="28"/>
      <c r="I3150" s="24">
        <v>550.0</v>
      </c>
      <c r="J3150" s="34"/>
      <c r="K3150" s="34" t="str">
        <f t="shared" ref="K3150:K3152" si="387">IF(E3150="pago",(I3150-J3150),"")</f>
        <v/>
      </c>
      <c r="L3150" s="28" t="s">
        <v>29</v>
      </c>
      <c r="M3150" s="28"/>
      <c r="N3150" s="28" t="s">
        <v>58</v>
      </c>
      <c r="O3150" s="10" t="str">
        <f t="shared" si="79"/>
        <v>12/2026</v>
      </c>
      <c r="P3150" s="10" t="str">
        <f t="shared" si="383"/>
        <v/>
      </c>
      <c r="Q3150" s="15" t="str">
        <f t="array" ref="Q3150">IFERROR(XLOOKUP(N3150,'Classificação'!A:A,'Classificação'!B:B),"")</f>
        <v>DESPESAS ADMINISTRATIVAS</v>
      </c>
      <c r="S3150" s="15">
        <f t="shared" si="228"/>
        <v>15</v>
      </c>
      <c r="T3150" s="15">
        <f t="shared" si="128"/>
        <v>12</v>
      </c>
      <c r="U3150" s="15">
        <f t="shared" si="129"/>
        <v>2026</v>
      </c>
      <c r="V3150" s="15" t="str">
        <f t="shared" si="8"/>
        <v/>
      </c>
      <c r="W3150" s="15" t="str">
        <f t="shared" si="9"/>
        <v/>
      </c>
      <c r="X3150" s="15" t="str">
        <f t="shared" si="10"/>
        <v/>
      </c>
    </row>
    <row r="3151">
      <c r="A3151" s="26">
        <v>46371.0</v>
      </c>
      <c r="B3151" s="30"/>
      <c r="C3151" s="27" t="str">
        <f t="shared" si="249"/>
        <v/>
      </c>
      <c r="D3151" s="28" t="s">
        <v>80</v>
      </c>
      <c r="E3151" s="28" t="s">
        <v>1305</v>
      </c>
      <c r="F3151" s="28" t="s">
        <v>32</v>
      </c>
      <c r="G3151" s="28" t="s">
        <v>27</v>
      </c>
      <c r="H3151" s="29" t="s">
        <v>606</v>
      </c>
      <c r="I3151" s="37">
        <v>780.0</v>
      </c>
      <c r="J3151" s="34"/>
      <c r="K3151" s="34" t="str">
        <f t="shared" si="387"/>
        <v/>
      </c>
      <c r="L3151" s="28" t="s">
        <v>29</v>
      </c>
      <c r="M3151" s="28"/>
      <c r="N3151" s="28" t="s">
        <v>75</v>
      </c>
      <c r="O3151" s="10" t="str">
        <f t="shared" si="79"/>
        <v>12/2026</v>
      </c>
      <c r="P3151" s="10" t="str">
        <f t="shared" si="383"/>
        <v/>
      </c>
      <c r="Q3151" s="15" t="str">
        <f t="array" ref="Q3151">IFERROR(XLOOKUP(N3151,'Classificação'!A:A,'Classificação'!B:B),"")</f>
        <v>DESPESAS COM PESSOAL</v>
      </c>
      <c r="R3151" s="15" t="str">
        <f t="array" ref="R3151">IFERROR(XLOOKUP(Q3151,'Classificação'!B:B,'Classificação'!C:C),"")</f>
        <v>DESPESAS FIXAS (-)</v>
      </c>
      <c r="S3151" s="15">
        <f t="shared" si="228"/>
        <v>15</v>
      </c>
      <c r="T3151" s="15">
        <f t="shared" si="128"/>
        <v>12</v>
      </c>
      <c r="U3151" s="15">
        <f t="shared" si="129"/>
        <v>2026</v>
      </c>
      <c r="V3151" s="15" t="str">
        <f t="shared" si="8"/>
        <v/>
      </c>
      <c r="W3151" s="15" t="str">
        <f t="shared" si="9"/>
        <v/>
      </c>
      <c r="X3151" s="15" t="str">
        <f t="shared" si="10"/>
        <v/>
      </c>
    </row>
    <row r="3152">
      <c r="A3152" s="26">
        <v>46371.0</v>
      </c>
      <c r="B3152" s="28"/>
      <c r="C3152" s="27" t="str">
        <f t="shared" si="249"/>
        <v/>
      </c>
      <c r="D3152" s="29" t="s">
        <v>1094</v>
      </c>
      <c r="E3152" s="28" t="s">
        <v>1305</v>
      </c>
      <c r="F3152" s="29" t="s">
        <v>26</v>
      </c>
      <c r="G3152" s="29" t="s">
        <v>37</v>
      </c>
      <c r="H3152" s="54" t="s">
        <v>1425</v>
      </c>
      <c r="I3152" s="24">
        <v>1000.0</v>
      </c>
      <c r="J3152" s="34"/>
      <c r="K3152" s="34" t="str">
        <f t="shared" si="387"/>
        <v/>
      </c>
      <c r="L3152" s="28" t="s">
        <v>29</v>
      </c>
      <c r="M3152" s="28"/>
      <c r="N3152" s="28" t="s">
        <v>75</v>
      </c>
      <c r="O3152" s="10" t="str">
        <f t="shared" si="79"/>
        <v>12/2026</v>
      </c>
      <c r="P3152" s="10" t="str">
        <f t="shared" si="383"/>
        <v/>
      </c>
      <c r="Q3152" s="15" t="str">
        <f t="array" ref="Q3152">IFERROR(XLOOKUP(N3152,'Classificação'!A:A,'Classificação'!B:B),"")</f>
        <v>DESPESAS COM PESSOAL</v>
      </c>
      <c r="R3152" s="15" t="str">
        <f t="array" ref="R3152">IFERROR(XLOOKUP(Q3152,'Classificação'!B:B,'Classificação'!C:C),"")</f>
        <v>DESPESAS FIXAS (-)</v>
      </c>
      <c r="S3152" s="15">
        <f t="shared" si="228"/>
        <v>15</v>
      </c>
      <c r="T3152" s="15">
        <f t="shared" si="128"/>
        <v>12</v>
      </c>
      <c r="U3152" s="15">
        <f t="shared" si="129"/>
        <v>2026</v>
      </c>
      <c r="V3152" s="15" t="str">
        <f t="shared" si="8"/>
        <v/>
      </c>
      <c r="W3152" s="15" t="str">
        <f t="shared" si="9"/>
        <v/>
      </c>
      <c r="X3152" s="15" t="str">
        <f t="shared" si="10"/>
        <v/>
      </c>
    </row>
    <row r="3153">
      <c r="A3153" s="32">
        <v>46371.0</v>
      </c>
      <c r="B3153" s="10"/>
      <c r="C3153" s="9" t="str">
        <f t="shared" si="249"/>
        <v/>
      </c>
      <c r="D3153" s="11" t="s">
        <v>1229</v>
      </c>
      <c r="E3153" s="28" t="s">
        <v>1305</v>
      </c>
      <c r="F3153" s="11" t="s">
        <v>26</v>
      </c>
      <c r="G3153" s="11" t="s">
        <v>37</v>
      </c>
      <c r="H3153" s="11" t="s">
        <v>1230</v>
      </c>
      <c r="I3153" s="31">
        <v>840.0</v>
      </c>
      <c r="J3153" s="13"/>
      <c r="K3153" s="13" t="str">
        <f t="shared" ref="K3153:K3154" si="388">if(E3153="pago",(I3153-J3153),"")</f>
        <v/>
      </c>
      <c r="L3153" s="11" t="s">
        <v>29</v>
      </c>
      <c r="M3153" s="14"/>
      <c r="N3153" s="11" t="s">
        <v>58</v>
      </c>
      <c r="O3153" s="10" t="str">
        <f t="shared" si="79"/>
        <v>12/2026</v>
      </c>
      <c r="P3153" s="10" t="str">
        <f t="shared" si="383"/>
        <v/>
      </c>
      <c r="Q3153" s="15" t="str">
        <f t="array" ref="Q3153">IFERROR(XLOOKUP(N3153,'Classificação'!A:A,'Classificação'!B:B),"")</f>
        <v>DESPESAS ADMINISTRATIVAS</v>
      </c>
      <c r="R3153" s="15" t="str">
        <f t="array" ref="R3153">IFERROR(XLOOKUP(Q3153,'Classificação'!B:B,'Classificação'!C:C),"")</f>
        <v>DESPESAS FIXAS (-)</v>
      </c>
      <c r="S3153" s="15">
        <f t="shared" si="228"/>
        <v>15</v>
      </c>
      <c r="T3153" s="15">
        <f t="shared" si="128"/>
        <v>12</v>
      </c>
      <c r="U3153" s="15">
        <f t="shared" si="129"/>
        <v>2026</v>
      </c>
      <c r="V3153" s="15" t="str">
        <f t="shared" si="8"/>
        <v/>
      </c>
      <c r="W3153" s="15" t="str">
        <f t="shared" si="9"/>
        <v/>
      </c>
      <c r="X3153" s="15" t="str">
        <f t="shared" si="10"/>
        <v/>
      </c>
    </row>
    <row r="3154">
      <c r="A3154" s="26">
        <v>46372.0</v>
      </c>
      <c r="B3154" s="30"/>
      <c r="C3154" s="27" t="str">
        <f t="shared" si="249"/>
        <v/>
      </c>
      <c r="D3154" s="28" t="s">
        <v>90</v>
      </c>
      <c r="E3154" s="28" t="s">
        <v>1305</v>
      </c>
      <c r="F3154" s="28" t="s">
        <v>40</v>
      </c>
      <c r="G3154" s="28" t="s">
        <v>27</v>
      </c>
      <c r="H3154" s="29" t="s">
        <v>1178</v>
      </c>
      <c r="I3154" s="37">
        <v>800.0</v>
      </c>
      <c r="J3154" s="34"/>
      <c r="K3154" s="13" t="str">
        <f t="shared" si="388"/>
        <v/>
      </c>
      <c r="L3154" s="28" t="s">
        <v>29</v>
      </c>
      <c r="M3154" s="28"/>
      <c r="N3154" s="28" t="s">
        <v>92</v>
      </c>
      <c r="O3154" s="10" t="str">
        <f t="shared" si="79"/>
        <v>12/2026</v>
      </c>
      <c r="P3154" s="10" t="str">
        <f t="shared" si="383"/>
        <v/>
      </c>
      <c r="Q3154" s="15" t="str">
        <f t="array" ref="Q3154">IFERROR(XLOOKUP(N3154,'Classificação'!A:A,'Classificação'!B:B),"")</f>
        <v>DESPESAS COM OCUPAÇÃO</v>
      </c>
      <c r="R3154" s="15" t="str">
        <f t="array" ref="R3154">IFERROR(XLOOKUP(Q3154,'Classificação'!B:B,'Classificação'!C:C),"")</f>
        <v>DESPESAS FIXAS (-)</v>
      </c>
      <c r="S3154" s="15">
        <f t="shared" si="228"/>
        <v>16</v>
      </c>
      <c r="T3154" s="15">
        <f t="shared" si="128"/>
        <v>12</v>
      </c>
      <c r="U3154" s="15">
        <f t="shared" si="129"/>
        <v>2026</v>
      </c>
      <c r="V3154" s="15" t="str">
        <f t="shared" si="8"/>
        <v/>
      </c>
      <c r="W3154" s="15" t="str">
        <f t="shared" si="9"/>
        <v/>
      </c>
      <c r="X3154" s="15" t="str">
        <f t="shared" si="10"/>
        <v/>
      </c>
    </row>
    <row r="3155">
      <c r="A3155" s="26">
        <v>46374.0</v>
      </c>
      <c r="B3155" s="30"/>
      <c r="C3155" s="27" t="str">
        <f t="shared" si="249"/>
        <v/>
      </c>
      <c r="D3155" s="28" t="s">
        <v>65</v>
      </c>
      <c r="E3155" s="28" t="s">
        <v>1305</v>
      </c>
      <c r="F3155" s="28" t="s">
        <v>45</v>
      </c>
      <c r="G3155" s="28" t="s">
        <v>37</v>
      </c>
      <c r="H3155" s="28" t="s">
        <v>1114</v>
      </c>
      <c r="I3155" s="37">
        <v>700.0</v>
      </c>
      <c r="J3155" s="34"/>
      <c r="K3155" s="34" t="str">
        <f>IF(E3155="pago",(I3155-J3155),"")</f>
        <v/>
      </c>
      <c r="L3155" s="28" t="s">
        <v>29</v>
      </c>
      <c r="M3155" s="28"/>
      <c r="N3155" s="28" t="s">
        <v>68</v>
      </c>
      <c r="O3155" s="10" t="str">
        <f t="shared" si="79"/>
        <v>12/2026</v>
      </c>
      <c r="P3155" s="10" t="str">
        <f t="shared" si="383"/>
        <v/>
      </c>
      <c r="Q3155" s="15" t="str">
        <f t="array" ref="Q3155">IFERROR(XLOOKUP(N3155,'Classificação'!A:A,'Classificação'!B:B),"")</f>
        <v>FRETE DE VENDAS</v>
      </c>
      <c r="R3155" s="15" t="str">
        <f t="array" ref="R3155">IFERROR(XLOOKUP(Q3155,'Classificação'!B:B,'Classificação'!C:C),"")</f>
        <v>CUSTOS VARIÁVEIS</v>
      </c>
      <c r="S3155" s="15">
        <f t="shared" si="228"/>
        <v>18</v>
      </c>
      <c r="T3155" s="15">
        <f t="shared" si="128"/>
        <v>12</v>
      </c>
      <c r="U3155" s="15">
        <f t="shared" si="129"/>
        <v>2026</v>
      </c>
      <c r="V3155" s="15" t="str">
        <f t="shared" si="8"/>
        <v/>
      </c>
      <c r="W3155" s="15" t="str">
        <f t="shared" si="9"/>
        <v/>
      </c>
      <c r="X3155" s="15" t="str">
        <f t="shared" si="10"/>
        <v/>
      </c>
    </row>
    <row r="3156">
      <c r="A3156" s="32">
        <v>46374.0</v>
      </c>
      <c r="B3156" s="10"/>
      <c r="C3156" s="9" t="str">
        <f t="shared" si="249"/>
        <v/>
      </c>
      <c r="D3156" s="29" t="s">
        <v>80</v>
      </c>
      <c r="E3156" s="28" t="s">
        <v>1305</v>
      </c>
      <c r="F3156" s="11" t="s">
        <v>26</v>
      </c>
      <c r="G3156" s="28" t="s">
        <v>27</v>
      </c>
      <c r="H3156" s="11" t="s">
        <v>1118</v>
      </c>
      <c r="I3156" s="12">
        <v>868.0</v>
      </c>
      <c r="J3156" s="13"/>
      <c r="K3156" s="13" t="str">
        <f>if(E3156="pago",(I3156-J3156),"")</f>
        <v/>
      </c>
      <c r="L3156" s="11" t="s">
        <v>53</v>
      </c>
      <c r="M3156" s="17">
        <v>45690.0</v>
      </c>
      <c r="N3156" s="11" t="s">
        <v>405</v>
      </c>
      <c r="O3156" s="10" t="str">
        <f t="shared" si="79"/>
        <v>12/2026</v>
      </c>
      <c r="P3156" s="10" t="str">
        <f t="shared" si="383"/>
        <v/>
      </c>
      <c r="Q3156" s="15" t="str">
        <f t="array" ref="Q3156">IFERROR(XLOOKUP(N3156,'Classificação'!A:A,'Classificação'!B:B),"")</f>
        <v>DESPESAS COM PESSOAL</v>
      </c>
      <c r="R3156" s="15" t="str">
        <f t="array" ref="R3156">IFERROR(XLOOKUP(Q3156,'Classificação'!B:B,'Classificação'!C:C),"")</f>
        <v>DESPESAS FIXAS (-)</v>
      </c>
      <c r="S3156" s="15">
        <f t="shared" si="228"/>
        <v>18</v>
      </c>
      <c r="T3156" s="15">
        <f t="shared" si="128"/>
        <v>12</v>
      </c>
      <c r="U3156" s="15">
        <f t="shared" si="129"/>
        <v>2026</v>
      </c>
      <c r="V3156" s="15" t="str">
        <f t="shared" si="8"/>
        <v/>
      </c>
      <c r="W3156" s="15" t="str">
        <f t="shared" si="9"/>
        <v/>
      </c>
      <c r="X3156" s="15" t="str">
        <f t="shared" si="10"/>
        <v/>
      </c>
    </row>
    <row r="3157">
      <c r="A3157" s="26">
        <v>46376.0</v>
      </c>
      <c r="B3157" s="30"/>
      <c r="C3157" s="27" t="str">
        <f t="shared" si="249"/>
        <v/>
      </c>
      <c r="D3157" s="28" t="s">
        <v>100</v>
      </c>
      <c r="E3157" s="28" t="s">
        <v>1305</v>
      </c>
      <c r="F3157" s="28" t="s">
        <v>40</v>
      </c>
      <c r="G3157" s="28" t="s">
        <v>27</v>
      </c>
      <c r="H3157" s="29" t="s">
        <v>1015</v>
      </c>
      <c r="I3157" s="37">
        <v>14000.0</v>
      </c>
      <c r="J3157" s="34"/>
      <c r="K3157" s="34" t="str">
        <f t="shared" ref="K3157:K3161" si="389">IF(E3157="pago",(I3157-J3157),"")</f>
        <v/>
      </c>
      <c r="L3157" s="28" t="s">
        <v>29</v>
      </c>
      <c r="M3157" s="28"/>
      <c r="N3157" s="28" t="s">
        <v>101</v>
      </c>
      <c r="O3157" s="10" t="str">
        <f t="shared" si="79"/>
        <v>12/2026</v>
      </c>
      <c r="P3157" s="10" t="str">
        <f t="shared" si="383"/>
        <v/>
      </c>
      <c r="Q3157" s="15" t="str">
        <f t="array" ref="Q3157">IFERROR(XLOOKUP(N3157,'Classificação'!A:A,'Classificação'!B:B),"")</f>
        <v>IMPOSTO DE RENDA - DAS</v>
      </c>
      <c r="R3157" s="15" t="str">
        <f t="array" ref="R3157">IFERROR(XLOOKUP(Q3157,'Classificação'!B:B,'Classificação'!C:C),"")</f>
        <v>DEDUÇÕES DA RECEITA BRUTA (-)</v>
      </c>
      <c r="S3157" s="15">
        <f t="shared" si="228"/>
        <v>20</v>
      </c>
      <c r="T3157" s="15">
        <f t="shared" si="128"/>
        <v>12</v>
      </c>
      <c r="U3157" s="15">
        <f t="shared" si="129"/>
        <v>2026</v>
      </c>
      <c r="V3157" s="15" t="str">
        <f t="shared" si="8"/>
        <v/>
      </c>
      <c r="W3157" s="15" t="str">
        <f t="shared" si="9"/>
        <v/>
      </c>
      <c r="X3157" s="15" t="str">
        <f t="shared" si="10"/>
        <v/>
      </c>
    </row>
    <row r="3158">
      <c r="A3158" s="26">
        <v>46376.0</v>
      </c>
      <c r="B3158" s="30"/>
      <c r="C3158" s="27" t="str">
        <f t="shared" si="249"/>
        <v/>
      </c>
      <c r="D3158" s="28" t="s">
        <v>100</v>
      </c>
      <c r="E3158" s="28" t="s">
        <v>1305</v>
      </c>
      <c r="F3158" s="28" t="s">
        <v>40</v>
      </c>
      <c r="G3158" s="28" t="s">
        <v>37</v>
      </c>
      <c r="H3158" s="29" t="s">
        <v>1016</v>
      </c>
      <c r="I3158" s="37">
        <v>14000.0</v>
      </c>
      <c r="J3158" s="34"/>
      <c r="K3158" s="34" t="str">
        <f t="shared" si="389"/>
        <v/>
      </c>
      <c r="L3158" s="28" t="s">
        <v>29</v>
      </c>
      <c r="M3158" s="28"/>
      <c r="N3158" s="28" t="s">
        <v>101</v>
      </c>
      <c r="O3158" s="10" t="str">
        <f t="shared" si="79"/>
        <v>12/2026</v>
      </c>
      <c r="P3158" s="10" t="str">
        <f t="shared" si="383"/>
        <v/>
      </c>
      <c r="Q3158" s="15" t="str">
        <f t="array" ref="Q3158">IFERROR(XLOOKUP(N3158,'Classificação'!A:A,'Classificação'!B:B),"")</f>
        <v>IMPOSTO DE RENDA - DAS</v>
      </c>
      <c r="R3158" s="15" t="str">
        <f t="array" ref="R3158">IFERROR(XLOOKUP(Q3158,'Classificação'!B:B,'Classificação'!C:C),"")</f>
        <v>DEDUÇÕES DA RECEITA BRUTA (-)</v>
      </c>
      <c r="S3158" s="15">
        <f t="shared" si="228"/>
        <v>20</v>
      </c>
      <c r="T3158" s="15">
        <f t="shared" si="128"/>
        <v>12</v>
      </c>
      <c r="U3158" s="15">
        <f t="shared" si="129"/>
        <v>2026</v>
      </c>
      <c r="V3158" s="15" t="str">
        <f t="shared" si="8"/>
        <v/>
      </c>
      <c r="W3158" s="15" t="str">
        <f t="shared" si="9"/>
        <v/>
      </c>
      <c r="X3158" s="15" t="str">
        <f t="shared" si="10"/>
        <v/>
      </c>
    </row>
    <row r="3159">
      <c r="A3159" s="26">
        <v>46376.0</v>
      </c>
      <c r="B3159" s="28"/>
      <c r="C3159" s="27" t="str">
        <f t="shared" si="249"/>
        <v/>
      </c>
      <c r="D3159" s="28" t="s">
        <v>123</v>
      </c>
      <c r="E3159" s="28" t="s">
        <v>1305</v>
      </c>
      <c r="F3159" s="28" t="s">
        <v>40</v>
      </c>
      <c r="G3159" s="28" t="s">
        <v>27</v>
      </c>
      <c r="H3159" s="29" t="s">
        <v>1184</v>
      </c>
      <c r="I3159" s="24">
        <v>572.0</v>
      </c>
      <c r="J3159" s="34"/>
      <c r="K3159" s="34" t="str">
        <f t="shared" si="389"/>
        <v/>
      </c>
      <c r="L3159" s="28" t="s">
        <v>29</v>
      </c>
      <c r="M3159" s="28"/>
      <c r="N3159" s="28" t="s">
        <v>123</v>
      </c>
      <c r="O3159" s="10" t="str">
        <f t="shared" si="79"/>
        <v>12/2026</v>
      </c>
      <c r="P3159" s="10" t="str">
        <f t="shared" si="383"/>
        <v/>
      </c>
      <c r="Q3159" s="15" t="str">
        <f t="array" ref="Q3159">IFERROR(XLOOKUP(N3159,'Classificação'!A:A,'Classificação'!B:B),"")</f>
        <v>DESPESAS COM PESSOAL</v>
      </c>
      <c r="R3159" s="15" t="str">
        <f t="array" ref="R3159">IFERROR(XLOOKUP(Q3159,'Classificação'!B:B,'Classificação'!C:C),"")</f>
        <v>DESPESAS FIXAS (-)</v>
      </c>
      <c r="S3159" s="15">
        <f t="shared" si="228"/>
        <v>20</v>
      </c>
      <c r="T3159" s="15">
        <f t="shared" si="128"/>
        <v>12</v>
      </c>
      <c r="U3159" s="15">
        <f t="shared" si="129"/>
        <v>2026</v>
      </c>
      <c r="V3159" s="15" t="str">
        <f t="shared" si="8"/>
        <v/>
      </c>
      <c r="W3159" s="15" t="str">
        <f t="shared" si="9"/>
        <v/>
      </c>
      <c r="X3159" s="15" t="str">
        <f t="shared" si="10"/>
        <v/>
      </c>
    </row>
    <row r="3160">
      <c r="A3160" s="26">
        <v>46376.0</v>
      </c>
      <c r="B3160" s="28"/>
      <c r="C3160" s="27" t="str">
        <f t="shared" si="249"/>
        <v/>
      </c>
      <c r="D3160" s="28" t="s">
        <v>126</v>
      </c>
      <c r="E3160" s="28" t="s">
        <v>1305</v>
      </c>
      <c r="F3160" s="28" t="s">
        <v>40</v>
      </c>
      <c r="G3160" s="28" t="s">
        <v>27</v>
      </c>
      <c r="H3160" s="29" t="s">
        <v>1185</v>
      </c>
      <c r="I3160" s="24">
        <v>730.0</v>
      </c>
      <c r="J3160" s="34"/>
      <c r="K3160" s="34" t="str">
        <f t="shared" si="389"/>
        <v/>
      </c>
      <c r="L3160" s="28" t="s">
        <v>29</v>
      </c>
      <c r="M3160" s="28"/>
      <c r="N3160" s="28" t="s">
        <v>126</v>
      </c>
      <c r="O3160" s="10" t="str">
        <f t="shared" si="79"/>
        <v>12/2026</v>
      </c>
      <c r="P3160" s="10"/>
      <c r="Q3160" s="15" t="str">
        <f t="array" ref="Q3160">IFERROR(XLOOKUP(N3160,'Classificação'!A:A,'Classificação'!B:B),"")</f>
        <v>DESPESAS COM PESSOAL</v>
      </c>
      <c r="R3160" s="15" t="str">
        <f t="array" ref="R3160">IFERROR(XLOOKUP(Q3160,'Classificação'!B:B,'Classificação'!C:C),"")</f>
        <v>DESPESAS FIXAS (-)</v>
      </c>
      <c r="S3160" s="15">
        <f t="shared" si="228"/>
        <v>20</v>
      </c>
      <c r="T3160" s="15">
        <f t="shared" si="128"/>
        <v>12</v>
      </c>
      <c r="U3160" s="15">
        <f t="shared" si="129"/>
        <v>2026</v>
      </c>
      <c r="V3160" s="15" t="str">
        <f t="shared" si="8"/>
        <v/>
      </c>
      <c r="W3160" s="15" t="str">
        <f t="shared" si="9"/>
        <v/>
      </c>
      <c r="X3160" s="15" t="str">
        <f t="shared" si="10"/>
        <v/>
      </c>
    </row>
    <row r="3161">
      <c r="A3161" s="26">
        <v>46376.0</v>
      </c>
      <c r="B3161" s="28"/>
      <c r="C3161" s="27" t="str">
        <f t="shared" si="249"/>
        <v/>
      </c>
      <c r="D3161" s="28" t="s">
        <v>171</v>
      </c>
      <c r="E3161" s="28" t="s">
        <v>1305</v>
      </c>
      <c r="F3161" s="28" t="s">
        <v>40</v>
      </c>
      <c r="G3161" s="28" t="s">
        <v>27</v>
      </c>
      <c r="H3161" s="28"/>
      <c r="I3161" s="37">
        <v>150.0</v>
      </c>
      <c r="J3161" s="34"/>
      <c r="K3161" s="34" t="str">
        <f t="shared" si="389"/>
        <v/>
      </c>
      <c r="L3161" s="28" t="s">
        <v>29</v>
      </c>
      <c r="M3161" s="28"/>
      <c r="N3161" s="28" t="s">
        <v>172</v>
      </c>
      <c r="O3161" s="10" t="str">
        <f t="shared" si="79"/>
        <v>12/2026</v>
      </c>
      <c r="P3161" s="10" t="str">
        <f t="shared" ref="P3161:P3166" si="390">if(B3161="","", TEXT(B3161,"mm/yyyy"))</f>
        <v/>
      </c>
      <c r="Q3161" s="15" t="str">
        <f t="array" ref="Q3161">IFERROR(XLOOKUP(N3161,'Classificação'!A:A,'Classificação'!B:B),"")</f>
        <v>DESPESAS COM OCUPAÇÃO</v>
      </c>
      <c r="R3161" s="15" t="str">
        <f t="array" ref="R3161">IFERROR(XLOOKUP(Q3161,'Classificação'!B:B,'Classificação'!C:C),"")</f>
        <v>DESPESAS FIXAS (-)</v>
      </c>
      <c r="S3161" s="15">
        <f t="shared" si="228"/>
        <v>20</v>
      </c>
      <c r="T3161" s="15">
        <f t="shared" si="128"/>
        <v>12</v>
      </c>
      <c r="U3161" s="15">
        <f t="shared" si="129"/>
        <v>2026</v>
      </c>
      <c r="V3161" s="15" t="str">
        <f t="shared" si="8"/>
        <v/>
      </c>
      <c r="W3161" s="15" t="str">
        <f t="shared" si="9"/>
        <v/>
      </c>
      <c r="X3161" s="15" t="str">
        <f t="shared" si="10"/>
        <v/>
      </c>
    </row>
    <row r="3162">
      <c r="A3162" s="26">
        <v>46376.0</v>
      </c>
      <c r="B3162" s="39"/>
      <c r="C3162" s="9" t="str">
        <f t="shared" si="249"/>
        <v/>
      </c>
      <c r="D3162" s="28" t="s">
        <v>65</v>
      </c>
      <c r="E3162" s="28" t="s">
        <v>1305</v>
      </c>
      <c r="F3162" s="28" t="s">
        <v>107</v>
      </c>
      <c r="G3162" s="28" t="s">
        <v>27</v>
      </c>
      <c r="H3162" s="28" t="s">
        <v>612</v>
      </c>
      <c r="I3162" s="24">
        <v>8.9</v>
      </c>
      <c r="J3162" s="34"/>
      <c r="K3162" s="13" t="str">
        <f>if(E3162="pago",(I3162-J3162),"")</f>
        <v/>
      </c>
      <c r="L3162" s="28" t="s">
        <v>29</v>
      </c>
      <c r="M3162" s="28"/>
      <c r="N3162" s="28" t="s">
        <v>105</v>
      </c>
      <c r="O3162" s="10" t="str">
        <f t="shared" si="79"/>
        <v>12/2026</v>
      </c>
      <c r="P3162" s="10" t="str">
        <f t="shared" si="390"/>
        <v/>
      </c>
      <c r="Q3162" s="15" t="str">
        <f t="array" ref="Q3162">IFERROR(XLOOKUP(N3162,'Classificação'!A:A,'Classificação'!B:B),"")</f>
        <v>DESPESAS ADMINISTRATIVAS</v>
      </c>
      <c r="R3162" s="15" t="str">
        <f t="array" ref="R3162">IFERROR(XLOOKUP(Q3162,'Classificação'!B:B,'Classificação'!C:C),"")</f>
        <v>DESPESAS FIXAS (-)</v>
      </c>
      <c r="S3162" s="15">
        <f t="shared" si="228"/>
        <v>20</v>
      </c>
      <c r="T3162" s="15">
        <f t="shared" si="128"/>
        <v>12</v>
      </c>
      <c r="U3162" s="15">
        <f t="shared" si="129"/>
        <v>2026</v>
      </c>
      <c r="V3162" s="15" t="str">
        <f t="shared" si="8"/>
        <v/>
      </c>
      <c r="W3162" s="15" t="str">
        <f t="shared" si="9"/>
        <v/>
      </c>
      <c r="X3162" s="15" t="str">
        <f t="shared" si="10"/>
        <v/>
      </c>
    </row>
    <row r="3163">
      <c r="A3163" s="26">
        <v>46376.0</v>
      </c>
      <c r="B3163" s="28"/>
      <c r="C3163" s="27" t="str">
        <f t="shared" si="249"/>
        <v/>
      </c>
      <c r="D3163" s="28" t="s">
        <v>637</v>
      </c>
      <c r="E3163" s="28" t="s">
        <v>1305</v>
      </c>
      <c r="F3163" s="28" t="s">
        <v>40</v>
      </c>
      <c r="G3163" s="28" t="s">
        <v>27</v>
      </c>
      <c r="H3163" s="28"/>
      <c r="I3163" s="37">
        <v>170.0</v>
      </c>
      <c r="J3163" s="34"/>
      <c r="K3163" s="34" t="str">
        <f t="shared" ref="K3163:K3166" si="391">IF(E3163="pago",(I3163-J3163),"")</f>
        <v/>
      </c>
      <c r="L3163" s="28" t="s">
        <v>29</v>
      </c>
      <c r="M3163" s="28"/>
      <c r="N3163" s="28" t="s">
        <v>201</v>
      </c>
      <c r="O3163" s="10" t="str">
        <f t="shared" si="79"/>
        <v>12/2026</v>
      </c>
      <c r="P3163" s="10" t="str">
        <f t="shared" si="390"/>
        <v/>
      </c>
      <c r="Q3163" s="15" t="str">
        <f t="array" ref="Q3163">IFERROR(XLOOKUP(N3163,'Classificação'!A:A,'Classificação'!B:B),"")</f>
        <v>DESPESAS COM OCUPAÇÃO</v>
      </c>
      <c r="R3163" s="15" t="str">
        <f t="array" ref="R3163">IFERROR(XLOOKUP(Q3163,'Classificação'!B:B,'Classificação'!C:C),"")</f>
        <v>DESPESAS FIXAS (-)</v>
      </c>
      <c r="S3163" s="15">
        <f t="shared" si="228"/>
        <v>20</v>
      </c>
      <c r="T3163" s="15">
        <f t="shared" si="128"/>
        <v>12</v>
      </c>
      <c r="U3163" s="15">
        <f t="shared" si="129"/>
        <v>2026</v>
      </c>
      <c r="V3163" s="15" t="str">
        <f t="shared" si="8"/>
        <v/>
      </c>
      <c r="W3163" s="15" t="str">
        <f t="shared" si="9"/>
        <v/>
      </c>
      <c r="X3163" s="15" t="str">
        <f t="shared" si="10"/>
        <v/>
      </c>
    </row>
    <row r="3164">
      <c r="A3164" s="26">
        <v>46376.0</v>
      </c>
      <c r="B3164" s="28"/>
      <c r="C3164" s="27" t="str">
        <f t="shared" si="249"/>
        <v/>
      </c>
      <c r="D3164" s="28" t="s">
        <v>121</v>
      </c>
      <c r="E3164" s="28" t="s">
        <v>1305</v>
      </c>
      <c r="F3164" s="28" t="s">
        <v>107</v>
      </c>
      <c r="G3164" s="28" t="s">
        <v>27</v>
      </c>
      <c r="H3164" s="28"/>
      <c r="I3164" s="24">
        <v>79.9</v>
      </c>
      <c r="J3164" s="34"/>
      <c r="K3164" s="34" t="str">
        <f t="shared" si="391"/>
        <v/>
      </c>
      <c r="L3164" s="28" t="s">
        <v>29</v>
      </c>
      <c r="M3164" s="28"/>
      <c r="N3164" s="28" t="s">
        <v>105</v>
      </c>
      <c r="O3164" s="10" t="str">
        <f t="shared" si="79"/>
        <v>12/2026</v>
      </c>
      <c r="P3164" s="10" t="str">
        <f t="shared" si="390"/>
        <v/>
      </c>
      <c r="Q3164" s="15" t="str">
        <f t="array" ref="Q3164">IFERROR(XLOOKUP(N3164,'Classificação'!A:A,'Classificação'!B:B),"")</f>
        <v>DESPESAS ADMINISTRATIVAS</v>
      </c>
      <c r="R3164" s="15" t="str">
        <f t="array" ref="R3164">IFERROR(XLOOKUP(Q3164,'Classificação'!B:B,'Classificação'!C:C),"")</f>
        <v>DESPESAS FIXAS (-)</v>
      </c>
      <c r="S3164" s="15">
        <f t="shared" si="228"/>
        <v>20</v>
      </c>
      <c r="T3164" s="15">
        <f t="shared" si="128"/>
        <v>12</v>
      </c>
      <c r="U3164" s="15">
        <f t="shared" si="129"/>
        <v>2026</v>
      </c>
      <c r="V3164" s="15" t="str">
        <f t="shared" si="8"/>
        <v/>
      </c>
      <c r="W3164" s="15" t="str">
        <f t="shared" si="9"/>
        <v/>
      </c>
      <c r="X3164" s="15" t="str">
        <f t="shared" si="10"/>
        <v/>
      </c>
    </row>
    <row r="3165">
      <c r="A3165" s="26">
        <v>46376.0</v>
      </c>
      <c r="B3165" s="28"/>
      <c r="C3165" s="27" t="str">
        <f t="shared" si="249"/>
        <v/>
      </c>
      <c r="D3165" s="28" t="s">
        <v>104</v>
      </c>
      <c r="E3165" s="28" t="s">
        <v>1305</v>
      </c>
      <c r="F3165" s="28" t="s">
        <v>40</v>
      </c>
      <c r="G3165" s="28" t="s">
        <v>27</v>
      </c>
      <c r="H3165" s="29" t="s">
        <v>1186</v>
      </c>
      <c r="I3165" s="37">
        <v>450.0</v>
      </c>
      <c r="J3165" s="34"/>
      <c r="K3165" s="34" t="str">
        <f t="shared" si="391"/>
        <v/>
      </c>
      <c r="L3165" s="28" t="s">
        <v>29</v>
      </c>
      <c r="M3165" s="28"/>
      <c r="N3165" s="28" t="s">
        <v>105</v>
      </c>
      <c r="O3165" s="10" t="str">
        <f t="shared" si="79"/>
        <v>12/2026</v>
      </c>
      <c r="P3165" s="10" t="str">
        <f t="shared" si="390"/>
        <v/>
      </c>
      <c r="Q3165" s="15" t="str">
        <f t="array" ref="Q3165">IFERROR(XLOOKUP(N3165,'Classificação'!A:A,'Classificação'!B:B),"")</f>
        <v>DESPESAS ADMINISTRATIVAS</v>
      </c>
      <c r="R3165" s="15" t="str">
        <f t="array" ref="R3165">IFERROR(XLOOKUP(Q3165,'Classificação'!B:B,'Classificação'!C:C),"")</f>
        <v>DESPESAS FIXAS (-)</v>
      </c>
      <c r="S3165" s="15">
        <f t="shared" si="228"/>
        <v>20</v>
      </c>
      <c r="T3165" s="15">
        <f t="shared" si="128"/>
        <v>12</v>
      </c>
      <c r="U3165" s="15">
        <f t="shared" si="129"/>
        <v>2026</v>
      </c>
      <c r="V3165" s="15" t="str">
        <f t="shared" si="8"/>
        <v/>
      </c>
      <c r="W3165" s="15" t="str">
        <f t="shared" si="9"/>
        <v/>
      </c>
      <c r="X3165" s="15" t="str">
        <f t="shared" si="10"/>
        <v/>
      </c>
    </row>
    <row r="3166">
      <c r="A3166" s="26">
        <v>46376.0</v>
      </c>
      <c r="B3166" s="28"/>
      <c r="C3166" s="27" t="str">
        <f t="shared" si="249"/>
        <v/>
      </c>
      <c r="D3166" s="28" t="s">
        <v>44</v>
      </c>
      <c r="E3166" s="28" t="s">
        <v>1305</v>
      </c>
      <c r="F3166" s="28" t="s">
        <v>45</v>
      </c>
      <c r="G3166" s="28" t="s">
        <v>27</v>
      </c>
      <c r="H3166" s="28" t="s">
        <v>1308</v>
      </c>
      <c r="I3166" s="37">
        <v>125.0</v>
      </c>
      <c r="J3166" s="34"/>
      <c r="K3166" s="34" t="str">
        <f t="shared" si="391"/>
        <v/>
      </c>
      <c r="L3166" s="28" t="s">
        <v>29</v>
      </c>
      <c r="M3166" s="28"/>
      <c r="N3166" s="28" t="s">
        <v>47</v>
      </c>
      <c r="O3166" s="10" t="str">
        <f t="shared" si="79"/>
        <v>12/2026</v>
      </c>
      <c r="P3166" s="10" t="str">
        <f t="shared" si="390"/>
        <v/>
      </c>
      <c r="Q3166" s="15" t="str">
        <f t="array" ref="Q3166">IFERROR(XLOOKUP(N3166,'Classificação'!A:A,'Classificação'!B:B),"")</f>
        <v>DESPESAS NÃO OPERACIONAIS</v>
      </c>
      <c r="R3166" s="15" t="str">
        <f t="array" ref="R3166">IFERROR(XLOOKUP(Q3166,'Classificação'!B:B,'Classificação'!C:C),"")</f>
        <v>RESULTADO NÃO OPERACIONAL (+/-)</v>
      </c>
      <c r="S3166" s="15">
        <f t="shared" si="228"/>
        <v>20</v>
      </c>
      <c r="T3166" s="15">
        <f t="shared" si="128"/>
        <v>12</v>
      </c>
      <c r="U3166" s="15">
        <f t="shared" si="129"/>
        <v>2026</v>
      </c>
      <c r="V3166" s="15" t="str">
        <f t="shared" si="8"/>
        <v/>
      </c>
      <c r="W3166" s="15" t="str">
        <f t="shared" si="9"/>
        <v/>
      </c>
      <c r="X3166" s="15" t="str">
        <f t="shared" si="10"/>
        <v/>
      </c>
    </row>
    <row r="3167">
      <c r="A3167" s="32">
        <v>46376.0</v>
      </c>
      <c r="B3167" s="32">
        <v>46343.0</v>
      </c>
      <c r="C3167" s="9" t="str">
        <f t="shared" si="249"/>
        <v/>
      </c>
      <c r="D3167" s="11" t="s">
        <v>1181</v>
      </c>
      <c r="E3167" s="29" t="s">
        <v>1305</v>
      </c>
      <c r="F3167" s="11" t="s">
        <v>107</v>
      </c>
      <c r="G3167" s="28" t="s">
        <v>27</v>
      </c>
      <c r="H3167" s="55" t="s">
        <v>1426</v>
      </c>
      <c r="I3167" s="12">
        <v>39.99</v>
      </c>
      <c r="J3167" s="13"/>
      <c r="K3167" s="13" t="str">
        <f>if(E3167="pago",(I3167-J3167),"")</f>
        <v/>
      </c>
      <c r="L3167" s="11" t="s">
        <v>29</v>
      </c>
      <c r="M3167" s="14"/>
      <c r="N3167" s="11" t="s">
        <v>105</v>
      </c>
      <c r="O3167" s="10" t="str">
        <f t="shared" si="79"/>
        <v>12/2026</v>
      </c>
      <c r="P3167" s="10" t="str">
        <f t="shared" ref="P3167:P3175" si="392">if(C3167="","", TEXT(C3167,"mm/yyyy"))</f>
        <v/>
      </c>
      <c r="Q3167" s="15" t="str">
        <f t="array" ref="Q3167">IFERROR(XLOOKUP(N3167,'Classificação'!A:A,'Classificação'!B:B),"")</f>
        <v>DESPESAS ADMINISTRATIVAS</v>
      </c>
      <c r="R3167" s="15" t="str">
        <f t="array" ref="R3167">IFERROR(XLOOKUP(Q3167,'Classificação'!B:B,'Classificação'!C:C),"")</f>
        <v>DESPESAS FIXAS (-)</v>
      </c>
      <c r="S3167" s="15">
        <f t="shared" si="228"/>
        <v>20</v>
      </c>
      <c r="T3167" s="15">
        <f t="shared" si="128"/>
        <v>12</v>
      </c>
      <c r="U3167" s="15">
        <f t="shared" si="129"/>
        <v>2026</v>
      </c>
      <c r="V3167" s="15" t="str">
        <f t="shared" si="8"/>
        <v/>
      </c>
      <c r="W3167" s="15" t="str">
        <f t="shared" si="9"/>
        <v/>
      </c>
      <c r="X3167" s="15" t="str">
        <f t="shared" si="10"/>
        <v/>
      </c>
    </row>
    <row r="3168">
      <c r="A3168" s="27">
        <v>46376.0</v>
      </c>
      <c r="B3168" s="28"/>
      <c r="C3168" s="27" t="str">
        <f t="shared" si="249"/>
        <v/>
      </c>
      <c r="D3168" s="28" t="s">
        <v>126</v>
      </c>
      <c r="E3168" s="28" t="s">
        <v>1305</v>
      </c>
      <c r="F3168" s="28" t="s">
        <v>40</v>
      </c>
      <c r="G3168" s="28" t="s">
        <v>27</v>
      </c>
      <c r="H3168" s="29" t="s">
        <v>1210</v>
      </c>
      <c r="I3168" s="24">
        <v>210.0</v>
      </c>
      <c r="J3168" s="34"/>
      <c r="K3168" s="34" t="str">
        <f t="shared" ref="K3168:K3169" si="393">IF(E3168="pago",(I3168-J3168),"")</f>
        <v/>
      </c>
      <c r="L3168" s="28" t="s">
        <v>29</v>
      </c>
      <c r="M3168" s="28"/>
      <c r="N3168" s="28" t="s">
        <v>126</v>
      </c>
      <c r="O3168" s="10" t="str">
        <f t="shared" si="79"/>
        <v>12/2026</v>
      </c>
      <c r="P3168" s="10" t="str">
        <f t="shared" si="392"/>
        <v/>
      </c>
      <c r="Q3168" s="15" t="str">
        <f t="array" ref="Q3168">IFERROR(XLOOKUP(N3168,'Classificação'!A:A,'Classificação'!B:B),"")</f>
        <v>DESPESAS COM PESSOAL</v>
      </c>
      <c r="R3168" s="15" t="str">
        <f t="array" ref="R3168">IFERROR(XLOOKUP(Q3168,'Classificação'!B:B,'Classificação'!C:C),"")</f>
        <v>DESPESAS FIXAS (-)</v>
      </c>
      <c r="S3168" s="15">
        <f t="shared" si="228"/>
        <v>20</v>
      </c>
      <c r="T3168" s="15">
        <f t="shared" si="128"/>
        <v>12</v>
      </c>
      <c r="U3168" s="15">
        <f t="shared" si="129"/>
        <v>2026</v>
      </c>
      <c r="V3168" s="15" t="str">
        <f t="shared" si="8"/>
        <v/>
      </c>
      <c r="W3168" s="15" t="str">
        <f t="shared" si="9"/>
        <v/>
      </c>
      <c r="X3168" s="15" t="str">
        <f t="shared" si="10"/>
        <v/>
      </c>
    </row>
    <row r="3169">
      <c r="A3169" s="27">
        <v>46376.0</v>
      </c>
      <c r="B3169" s="28"/>
      <c r="C3169" s="27" t="str">
        <f t="shared" si="249"/>
        <v/>
      </c>
      <c r="D3169" s="28" t="s">
        <v>123</v>
      </c>
      <c r="E3169" s="28" t="s">
        <v>1305</v>
      </c>
      <c r="F3169" s="28" t="s">
        <v>40</v>
      </c>
      <c r="G3169" s="28" t="s">
        <v>27</v>
      </c>
      <c r="H3169" s="29" t="s">
        <v>1180</v>
      </c>
      <c r="I3169" s="24">
        <v>217.0</v>
      </c>
      <c r="J3169" s="34"/>
      <c r="K3169" s="34" t="str">
        <f t="shared" si="393"/>
        <v/>
      </c>
      <c r="L3169" s="28" t="s">
        <v>29</v>
      </c>
      <c r="M3169" s="28"/>
      <c r="N3169" s="28" t="s">
        <v>123</v>
      </c>
      <c r="O3169" s="10" t="str">
        <f t="shared" si="79"/>
        <v>12/2026</v>
      </c>
      <c r="P3169" s="10" t="str">
        <f t="shared" si="392"/>
        <v/>
      </c>
      <c r="Q3169" s="15" t="str">
        <f t="array" ref="Q3169">IFERROR(XLOOKUP(N3169,'Classificação'!A:A,'Classificação'!B:B),"")</f>
        <v>DESPESAS COM PESSOAL</v>
      </c>
      <c r="R3169" s="15" t="str">
        <f t="array" ref="R3169">IFERROR(XLOOKUP(Q3169,'Classificação'!B:B,'Classificação'!C:C),"")</f>
        <v>DESPESAS FIXAS (-)</v>
      </c>
      <c r="S3169" s="15">
        <f t="shared" si="228"/>
        <v>20</v>
      </c>
      <c r="T3169" s="15">
        <f t="shared" si="128"/>
        <v>12</v>
      </c>
      <c r="U3169" s="15">
        <f t="shared" si="129"/>
        <v>2026</v>
      </c>
      <c r="V3169" s="15" t="str">
        <f t="shared" si="8"/>
        <v/>
      </c>
      <c r="W3169" s="15" t="str">
        <f t="shared" si="9"/>
        <v/>
      </c>
      <c r="X3169" s="15" t="str">
        <f t="shared" si="10"/>
        <v/>
      </c>
    </row>
    <row r="3170">
      <c r="A3170" s="9">
        <v>46376.0</v>
      </c>
      <c r="B3170" s="10"/>
      <c r="C3170" s="9" t="str">
        <f t="shared" si="249"/>
        <v/>
      </c>
      <c r="D3170" s="28" t="s">
        <v>369</v>
      </c>
      <c r="E3170" s="28" t="s">
        <v>1305</v>
      </c>
      <c r="F3170" s="28" t="s">
        <v>107</v>
      </c>
      <c r="G3170" s="28" t="s">
        <v>27</v>
      </c>
      <c r="H3170" s="11" t="s">
        <v>1247</v>
      </c>
      <c r="I3170" s="38">
        <v>29.9</v>
      </c>
      <c r="J3170" s="13"/>
      <c r="K3170" s="13" t="str">
        <f t="shared" ref="K3170:K3174" si="394">if(E3170="pago",(I3170-J3170),"")</f>
        <v/>
      </c>
      <c r="L3170" s="29" t="s">
        <v>29</v>
      </c>
      <c r="M3170" s="14"/>
      <c r="N3170" s="29" t="s">
        <v>105</v>
      </c>
      <c r="O3170" s="10" t="str">
        <f t="shared" si="79"/>
        <v>12/2026</v>
      </c>
      <c r="P3170" s="10" t="str">
        <f t="shared" si="392"/>
        <v/>
      </c>
      <c r="Q3170" s="15" t="str">
        <f t="array" ref="Q3170">IFERROR(XLOOKUP(N3170,'Classificação'!A:A,'Classificação'!B:B),"")</f>
        <v>DESPESAS ADMINISTRATIVAS</v>
      </c>
      <c r="R3170" s="15" t="str">
        <f t="array" ref="R3170">IFERROR(XLOOKUP(Q3170,'Classificação'!B:B,'Classificação'!C:C),"")</f>
        <v>DESPESAS FIXAS (-)</v>
      </c>
      <c r="S3170" s="15">
        <f t="shared" si="228"/>
        <v>20</v>
      </c>
      <c r="T3170" s="15">
        <f t="shared" si="128"/>
        <v>12</v>
      </c>
      <c r="U3170" s="15">
        <f t="shared" si="129"/>
        <v>2026</v>
      </c>
      <c r="V3170" s="15" t="str">
        <f t="shared" si="8"/>
        <v/>
      </c>
      <c r="W3170" s="15" t="str">
        <f t="shared" si="9"/>
        <v/>
      </c>
      <c r="X3170" s="15" t="str">
        <f t="shared" si="10"/>
        <v/>
      </c>
    </row>
    <row r="3171">
      <c r="A3171" s="9">
        <v>46376.0</v>
      </c>
      <c r="B3171" s="9">
        <v>46081.0</v>
      </c>
      <c r="C3171" s="9" t="str">
        <f t="shared" si="249"/>
        <v/>
      </c>
      <c r="D3171" s="11" t="s">
        <v>65</v>
      </c>
      <c r="E3171" s="28" t="s">
        <v>1305</v>
      </c>
      <c r="F3171" s="11" t="s">
        <v>107</v>
      </c>
      <c r="G3171" s="11" t="s">
        <v>27</v>
      </c>
      <c r="H3171" s="11" t="s">
        <v>1293</v>
      </c>
      <c r="I3171" s="31">
        <v>127.9</v>
      </c>
      <c r="J3171" s="13"/>
      <c r="K3171" s="13" t="str">
        <f t="shared" si="394"/>
        <v/>
      </c>
      <c r="L3171" s="11" t="s">
        <v>53</v>
      </c>
      <c r="M3171" s="17">
        <v>46366.0</v>
      </c>
      <c r="N3171" s="11" t="s">
        <v>95</v>
      </c>
      <c r="O3171" s="10" t="str">
        <f t="shared" si="79"/>
        <v>12/2026</v>
      </c>
      <c r="P3171" s="10" t="str">
        <f t="shared" si="392"/>
        <v/>
      </c>
      <c r="Q3171" s="15" t="str">
        <f t="array" ref="Q3171">IFERROR(XLOOKUP(N3171,'Classificação'!A:A,'Classificação'!B:B),"")</f>
        <v>DESPESAS NÃO OPERACIONAIS</v>
      </c>
      <c r="R3171" s="15" t="str">
        <f t="array" ref="R3171">IFERROR(XLOOKUP(Q3171,'Classificação'!B:B,'Classificação'!C:C),"")</f>
        <v>RESULTADO NÃO OPERACIONAL (+/-)</v>
      </c>
      <c r="S3171" s="15">
        <f t="shared" si="228"/>
        <v>20</v>
      </c>
      <c r="T3171" s="15">
        <f t="shared" si="128"/>
        <v>12</v>
      </c>
      <c r="U3171" s="15">
        <f t="shared" si="129"/>
        <v>2026</v>
      </c>
      <c r="V3171" s="15" t="str">
        <f t="shared" si="8"/>
        <v/>
      </c>
      <c r="W3171" s="15" t="str">
        <f t="shared" si="9"/>
        <v/>
      </c>
      <c r="X3171" s="15" t="str">
        <f t="shared" si="10"/>
        <v/>
      </c>
    </row>
    <row r="3172">
      <c r="A3172" s="9">
        <v>46376.0</v>
      </c>
      <c r="B3172" s="9">
        <v>46077.0</v>
      </c>
      <c r="C3172" s="9" t="str">
        <f t="shared" si="249"/>
        <v/>
      </c>
      <c r="D3172" s="11" t="s">
        <v>1294</v>
      </c>
      <c r="E3172" s="28" t="s">
        <v>1305</v>
      </c>
      <c r="F3172" s="11" t="s">
        <v>107</v>
      </c>
      <c r="G3172" s="28" t="s">
        <v>27</v>
      </c>
      <c r="H3172" s="11" t="s">
        <v>1295</v>
      </c>
      <c r="I3172" s="31">
        <v>185.2</v>
      </c>
      <c r="J3172" s="13"/>
      <c r="K3172" s="13" t="str">
        <f t="shared" si="394"/>
        <v/>
      </c>
      <c r="L3172" s="28" t="s">
        <v>53</v>
      </c>
      <c r="M3172" s="17">
        <v>46366.0</v>
      </c>
      <c r="N3172" s="11" t="s">
        <v>64</v>
      </c>
      <c r="O3172" s="10" t="str">
        <f t="shared" si="79"/>
        <v>12/2026</v>
      </c>
      <c r="P3172" s="10" t="str">
        <f t="shared" si="392"/>
        <v/>
      </c>
      <c r="Q3172" s="15" t="str">
        <f t="array" ref="Q3172">IFERROR(XLOOKUP(N3172,'Classificação'!A:A,'Classificação'!B:B),"")</f>
        <v>DESPESAS COM PESSOAL</v>
      </c>
      <c r="R3172" s="15" t="str">
        <f t="array" ref="R3172">IFERROR(XLOOKUP(Q3172,'Classificação'!B:B,'Classificação'!C:C),"")</f>
        <v>DESPESAS FIXAS (-)</v>
      </c>
      <c r="S3172" s="15">
        <f t="shared" si="228"/>
        <v>20</v>
      </c>
      <c r="T3172" s="15">
        <f t="shared" si="128"/>
        <v>12</v>
      </c>
      <c r="U3172" s="15">
        <f t="shared" si="129"/>
        <v>2026</v>
      </c>
      <c r="V3172" s="15" t="str">
        <f t="shared" si="8"/>
        <v/>
      </c>
      <c r="W3172" s="15" t="str">
        <f t="shared" si="9"/>
        <v/>
      </c>
      <c r="X3172" s="15" t="str">
        <f t="shared" si="10"/>
        <v/>
      </c>
    </row>
    <row r="3173">
      <c r="A3173" s="36">
        <v>46378.0</v>
      </c>
      <c r="B3173" s="10"/>
      <c r="C3173" s="9" t="str">
        <f t="shared" si="249"/>
        <v/>
      </c>
      <c r="D3173" s="28" t="s">
        <v>36</v>
      </c>
      <c r="E3173" s="28" t="s">
        <v>1305</v>
      </c>
      <c r="F3173" s="28" t="s">
        <v>26</v>
      </c>
      <c r="G3173" s="28" t="s">
        <v>37</v>
      </c>
      <c r="I3173" s="37">
        <v>9000.0</v>
      </c>
      <c r="J3173" s="13"/>
      <c r="K3173" s="13" t="str">
        <f t="shared" si="394"/>
        <v/>
      </c>
      <c r="L3173" s="28" t="s">
        <v>29</v>
      </c>
      <c r="M3173" s="14"/>
      <c r="N3173" s="28" t="s">
        <v>38</v>
      </c>
      <c r="O3173" s="10" t="str">
        <f t="shared" si="79"/>
        <v>12/2026</v>
      </c>
      <c r="P3173" s="10" t="str">
        <f t="shared" si="392"/>
        <v/>
      </c>
      <c r="Q3173" s="15" t="str">
        <f t="array" ref="Q3173">IFERROR(XLOOKUP(N3173,'Classificação'!A:A,'Classificação'!B:B),"")</f>
        <v>DESPESAS COM PESSOAL</v>
      </c>
      <c r="R3173" s="15" t="str">
        <f t="array" ref="R3173">IFERROR(XLOOKUP(Q3173,'Classificação'!B:B,'Classificação'!C:C),"")</f>
        <v>DESPESAS FIXAS (-)</v>
      </c>
      <c r="S3173" s="15">
        <f t="shared" si="228"/>
        <v>22</v>
      </c>
      <c r="T3173" s="15">
        <f t="shared" si="128"/>
        <v>12</v>
      </c>
      <c r="U3173" s="15">
        <f t="shared" si="129"/>
        <v>2026</v>
      </c>
      <c r="V3173" s="15" t="str">
        <f t="shared" si="8"/>
        <v/>
      </c>
      <c r="W3173" s="15" t="str">
        <f t="shared" si="9"/>
        <v/>
      </c>
      <c r="X3173" s="15" t="str">
        <f t="shared" si="10"/>
        <v/>
      </c>
    </row>
    <row r="3174">
      <c r="A3174" s="36">
        <v>46378.0</v>
      </c>
      <c r="B3174" s="10"/>
      <c r="C3174" s="9" t="str">
        <f t="shared" si="249"/>
        <v/>
      </c>
      <c r="D3174" s="28" t="s">
        <v>43</v>
      </c>
      <c r="E3174" s="28" t="s">
        <v>1305</v>
      </c>
      <c r="F3174" s="29" t="s">
        <v>26</v>
      </c>
      <c r="G3174" s="28" t="s">
        <v>37</v>
      </c>
      <c r="I3174" s="37">
        <v>9000.0</v>
      </c>
      <c r="J3174" s="13"/>
      <c r="K3174" s="13" t="str">
        <f t="shared" si="394"/>
        <v/>
      </c>
      <c r="L3174" s="28" t="s">
        <v>29</v>
      </c>
      <c r="M3174" s="14"/>
      <c r="N3174" s="28" t="s">
        <v>38</v>
      </c>
      <c r="O3174" s="10" t="str">
        <f t="shared" si="79"/>
        <v>12/2026</v>
      </c>
      <c r="P3174" s="10" t="str">
        <f t="shared" si="392"/>
        <v/>
      </c>
      <c r="Q3174" s="15" t="str">
        <f t="array" ref="Q3174">IFERROR(XLOOKUP(N3174,'Classificação'!A:A,'Classificação'!B:B),"")</f>
        <v>DESPESAS COM PESSOAL</v>
      </c>
      <c r="R3174" s="15" t="str">
        <f t="array" ref="R3174">IFERROR(XLOOKUP(Q3174,'Classificação'!B:B,'Classificação'!C:C),"")</f>
        <v>DESPESAS FIXAS (-)</v>
      </c>
      <c r="S3174" s="15">
        <f t="shared" si="228"/>
        <v>22</v>
      </c>
      <c r="T3174" s="15">
        <f t="shared" si="128"/>
        <v>12</v>
      </c>
      <c r="U3174" s="15">
        <f t="shared" si="129"/>
        <v>2026</v>
      </c>
      <c r="V3174" s="15" t="str">
        <f t="shared" si="8"/>
        <v/>
      </c>
      <c r="W3174" s="15" t="str">
        <f t="shared" si="9"/>
        <v/>
      </c>
      <c r="X3174" s="15" t="str">
        <f t="shared" si="10"/>
        <v/>
      </c>
    </row>
    <row r="3175">
      <c r="A3175" s="9">
        <v>46380.0</v>
      </c>
      <c r="B3175" s="10"/>
      <c r="C3175" s="9" t="str">
        <f t="shared" si="249"/>
        <v/>
      </c>
      <c r="D3175" s="28" t="s">
        <v>39</v>
      </c>
      <c r="E3175" s="28" t="s">
        <v>1305</v>
      </c>
      <c r="F3175" s="28" t="s">
        <v>40</v>
      </c>
      <c r="G3175" s="28" t="s">
        <v>27</v>
      </c>
      <c r="H3175" s="28" t="s">
        <v>640</v>
      </c>
      <c r="I3175" s="24">
        <v>148.07</v>
      </c>
      <c r="J3175" s="34"/>
      <c r="K3175" s="37" t="str">
        <f t="shared" ref="K3175:K3177" si="395">IF(E3175="pago",(I3175-J3175),"")</f>
        <v/>
      </c>
      <c r="L3175" s="28" t="s">
        <v>53</v>
      </c>
      <c r="M3175" s="40">
        <v>45940.0</v>
      </c>
      <c r="N3175" s="28" t="s">
        <v>355</v>
      </c>
      <c r="O3175" s="10" t="str">
        <f t="shared" si="79"/>
        <v>12/2026</v>
      </c>
      <c r="P3175" s="10" t="str">
        <f t="shared" si="392"/>
        <v/>
      </c>
      <c r="Q3175" s="15" t="str">
        <f t="array" ref="Q3175">IFERROR(XLOOKUP(N3175,'Classificação'!A:A,'Classificação'!B:B),"")</f>
        <v>IMPOSTOS E TAXAS DIVERSAS</v>
      </c>
      <c r="S3175" s="15">
        <f t="shared" si="228"/>
        <v>24</v>
      </c>
      <c r="T3175" s="15">
        <f t="shared" si="128"/>
        <v>12</v>
      </c>
      <c r="U3175" s="15">
        <f t="shared" si="129"/>
        <v>2026</v>
      </c>
      <c r="V3175" s="15" t="str">
        <f t="shared" si="8"/>
        <v/>
      </c>
      <c r="W3175" s="15" t="str">
        <f t="shared" si="9"/>
        <v/>
      </c>
      <c r="X3175" s="15" t="str">
        <f t="shared" si="10"/>
        <v/>
      </c>
    </row>
    <row r="3176">
      <c r="A3176" s="26">
        <v>46381.0</v>
      </c>
      <c r="B3176" s="28"/>
      <c r="C3176" s="27" t="str">
        <f t="shared" si="249"/>
        <v/>
      </c>
      <c r="D3176" s="28" t="s">
        <v>208</v>
      </c>
      <c r="E3176" s="28" t="s">
        <v>1305</v>
      </c>
      <c r="F3176" s="28" t="s">
        <v>40</v>
      </c>
      <c r="G3176" s="28" t="s">
        <v>27</v>
      </c>
      <c r="H3176" s="28" t="s">
        <v>209</v>
      </c>
      <c r="I3176" s="37">
        <v>204.96</v>
      </c>
      <c r="J3176" s="34"/>
      <c r="K3176" s="34" t="str">
        <f t="shared" si="395"/>
        <v/>
      </c>
      <c r="L3176" s="28" t="s">
        <v>29</v>
      </c>
      <c r="M3176" s="28"/>
      <c r="N3176" s="28" t="s">
        <v>210</v>
      </c>
      <c r="O3176" s="10" t="str">
        <f t="shared" si="79"/>
        <v>12/2026</v>
      </c>
      <c r="P3176" s="10" t="str">
        <f>if(B3176="","", TEXT(B3176,"mm/yyyy"))</f>
        <v/>
      </c>
      <c r="Q3176" s="15" t="str">
        <f t="array" ref="Q3176">IFERROR(XLOOKUP(N3176,'Classificação'!A:A,'Classificação'!B:B),"")</f>
        <v>DESPESAS COM OCUPAÇÃO</v>
      </c>
      <c r="R3176" s="15" t="str">
        <f t="array" ref="R3176">IFERROR(XLOOKUP(Q3176,'Classificação'!B:B,'Classificação'!C:C),"")</f>
        <v>DESPESAS FIXAS (-)</v>
      </c>
      <c r="S3176" s="15">
        <f t="shared" si="228"/>
        <v>25</v>
      </c>
      <c r="T3176" s="15">
        <f t="shared" si="128"/>
        <v>12</v>
      </c>
      <c r="U3176" s="15">
        <f t="shared" si="129"/>
        <v>2026</v>
      </c>
      <c r="V3176" s="15" t="str">
        <f t="shared" si="8"/>
        <v/>
      </c>
      <c r="W3176" s="15" t="str">
        <f t="shared" si="9"/>
        <v/>
      </c>
      <c r="X3176" s="15" t="str">
        <f t="shared" si="10"/>
        <v/>
      </c>
    </row>
    <row r="3177">
      <c r="A3177" s="26">
        <v>46381.0</v>
      </c>
      <c r="B3177" s="28"/>
      <c r="C3177" s="27" t="str">
        <f t="shared" si="249"/>
        <v/>
      </c>
      <c r="D3177" s="28" t="s">
        <v>828</v>
      </c>
      <c r="E3177" s="29" t="s">
        <v>1305</v>
      </c>
      <c r="F3177" s="28" t="s">
        <v>26</v>
      </c>
      <c r="G3177" s="28" t="s">
        <v>37</v>
      </c>
      <c r="H3177" s="28" t="s">
        <v>1220</v>
      </c>
      <c r="I3177" s="33">
        <v>107.81</v>
      </c>
      <c r="J3177" s="34"/>
      <c r="K3177" s="37" t="str">
        <f t="shared" si="395"/>
        <v/>
      </c>
      <c r="L3177" s="28" t="s">
        <v>34</v>
      </c>
      <c r="M3177" s="28"/>
      <c r="N3177" s="28" t="s">
        <v>105</v>
      </c>
      <c r="O3177" s="10" t="str">
        <f t="shared" si="79"/>
        <v>12/2026</v>
      </c>
      <c r="P3177" s="10" t="str">
        <f t="shared" ref="P3177:P3178" si="396">if(C3177="","", TEXT(C3177,"mm/yyyy"))</f>
        <v/>
      </c>
      <c r="Q3177" s="15" t="str">
        <f t="array" ref="Q3177">IFERROR(XLOOKUP(N3177,'Classificação'!A:A,'Classificação'!B:B),"")</f>
        <v>DESPESAS ADMINISTRATIVAS</v>
      </c>
      <c r="R3177" s="15" t="str">
        <f t="array" ref="R3177">IFERROR(XLOOKUP(Q3177,'Classificação'!B:B,'Classificação'!C:C),"")</f>
        <v>DESPESAS FIXAS (-)</v>
      </c>
      <c r="S3177" s="15">
        <f t="shared" si="228"/>
        <v>25</v>
      </c>
      <c r="T3177" s="15">
        <f t="shared" si="128"/>
        <v>12</v>
      </c>
      <c r="U3177" s="15">
        <f t="shared" si="129"/>
        <v>2026</v>
      </c>
      <c r="V3177" s="15" t="str">
        <f t="shared" si="8"/>
        <v/>
      </c>
      <c r="W3177" s="15" t="str">
        <f t="shared" si="9"/>
        <v/>
      </c>
      <c r="X3177" s="15" t="str">
        <f t="shared" si="10"/>
        <v/>
      </c>
    </row>
    <row r="3178">
      <c r="A3178" s="32">
        <v>46382.0</v>
      </c>
      <c r="B3178" s="10"/>
      <c r="C3178" s="9" t="str">
        <f t="shared" si="249"/>
        <v/>
      </c>
      <c r="D3178" s="28" t="s">
        <v>44</v>
      </c>
      <c r="E3178" s="28" t="s">
        <v>1305</v>
      </c>
      <c r="F3178" s="28" t="s">
        <v>45</v>
      </c>
      <c r="G3178" s="28" t="s">
        <v>27</v>
      </c>
      <c r="H3178" s="29" t="s">
        <v>1329</v>
      </c>
      <c r="I3178" s="37">
        <v>2357.299875</v>
      </c>
      <c r="J3178" s="34"/>
      <c r="K3178" s="37"/>
      <c r="L3178" s="28" t="s">
        <v>53</v>
      </c>
      <c r="M3178" s="16" t="s">
        <v>1427</v>
      </c>
      <c r="N3178" s="28" t="s">
        <v>73</v>
      </c>
      <c r="O3178" s="10" t="str">
        <f t="shared" si="79"/>
        <v>12/2026</v>
      </c>
      <c r="P3178" s="10" t="str">
        <f t="shared" si="396"/>
        <v/>
      </c>
      <c r="Q3178" s="15" t="str">
        <f t="array" ref="Q3178">IFERROR(XLOOKUP(N3178,'Classificação'!A:A,'Classificação'!B:B),"")</f>
        <v>DESPESAS NÃO OPERACIONAIS</v>
      </c>
      <c r="R3178" s="15" t="str">
        <f t="array" ref="R3178">IFERROR(XLOOKUP(Q3178,'Classificação'!B:B,'Classificação'!C:C),"")</f>
        <v>RESULTADO NÃO OPERACIONAL (+/-)</v>
      </c>
      <c r="S3178" s="15">
        <f t="shared" si="228"/>
        <v>26</v>
      </c>
      <c r="T3178" s="15">
        <f t="shared" si="128"/>
        <v>12</v>
      </c>
      <c r="U3178" s="15">
        <f t="shared" si="129"/>
        <v>2026</v>
      </c>
      <c r="V3178" s="15" t="str">
        <f t="shared" si="8"/>
        <v/>
      </c>
      <c r="W3178" s="15" t="str">
        <f t="shared" si="9"/>
        <v/>
      </c>
      <c r="X3178" s="15" t="str">
        <f t="shared" si="10"/>
        <v/>
      </c>
    </row>
    <row r="3179">
      <c r="A3179" s="26">
        <v>46386.0</v>
      </c>
      <c r="B3179" s="28"/>
      <c r="C3179" s="27" t="str">
        <f t="shared" si="249"/>
        <v/>
      </c>
      <c r="D3179" s="28" t="s">
        <v>221</v>
      </c>
      <c r="E3179" s="28" t="s">
        <v>1305</v>
      </c>
      <c r="F3179" s="28" t="s">
        <v>32</v>
      </c>
      <c r="G3179" s="28" t="s">
        <v>27</v>
      </c>
      <c r="H3179" s="28" t="s">
        <v>222</v>
      </c>
      <c r="I3179" s="24">
        <v>406.0</v>
      </c>
      <c r="J3179" s="34"/>
      <c r="K3179" s="34" t="str">
        <f t="shared" ref="K3179:K3184" si="397">IF(E3179="pago",(I3179-J3179),"")</f>
        <v/>
      </c>
      <c r="L3179" s="28" t="s">
        <v>29</v>
      </c>
      <c r="M3179" s="14"/>
      <c r="N3179" s="11" t="s">
        <v>61</v>
      </c>
      <c r="O3179" s="10" t="str">
        <f t="shared" si="79"/>
        <v>12/2026</v>
      </c>
      <c r="P3179" s="10" t="str">
        <f>if(B3179="","", TEXT(B3179,"mm/yyyy"))</f>
        <v/>
      </c>
      <c r="Q3179" s="15" t="str">
        <f t="array" ref="Q3179">IFERROR(XLOOKUP(N3179,'Classificação'!A:A,'Classificação'!B:B),"")</f>
        <v>DESPESAS ADMINISTRATIVAS</v>
      </c>
      <c r="R3179" s="15" t="str">
        <f t="array" ref="R3179">IFERROR(XLOOKUP(Q3179,'Classificação'!B:B,'Classificação'!C:C),"")</f>
        <v>DESPESAS FIXAS (-)</v>
      </c>
      <c r="S3179" s="15">
        <f t="shared" si="228"/>
        <v>30</v>
      </c>
      <c r="T3179" s="15">
        <f t="shared" si="128"/>
        <v>12</v>
      </c>
      <c r="U3179" s="15">
        <f t="shared" si="129"/>
        <v>2026</v>
      </c>
      <c r="V3179" s="15" t="str">
        <f t="shared" si="8"/>
        <v/>
      </c>
      <c r="W3179" s="15" t="str">
        <f t="shared" si="9"/>
        <v/>
      </c>
      <c r="X3179" s="15" t="str">
        <f t="shared" si="10"/>
        <v/>
      </c>
    </row>
    <row r="3180">
      <c r="A3180" s="26">
        <v>46386.0</v>
      </c>
      <c r="B3180" s="30"/>
      <c r="C3180" s="27" t="str">
        <f t="shared" si="249"/>
        <v/>
      </c>
      <c r="D3180" s="28" t="s">
        <v>80</v>
      </c>
      <c r="E3180" s="28" t="s">
        <v>1305</v>
      </c>
      <c r="F3180" s="28" t="s">
        <v>32</v>
      </c>
      <c r="G3180" s="28" t="s">
        <v>27</v>
      </c>
      <c r="H3180" s="29" t="s">
        <v>1150</v>
      </c>
      <c r="I3180" s="37">
        <v>1040.0</v>
      </c>
      <c r="J3180" s="34"/>
      <c r="K3180" s="34" t="str">
        <f t="shared" si="397"/>
        <v/>
      </c>
      <c r="L3180" s="28" t="s">
        <v>29</v>
      </c>
      <c r="M3180" s="28"/>
      <c r="N3180" s="28" t="s">
        <v>38</v>
      </c>
      <c r="O3180" s="10" t="str">
        <f t="shared" si="79"/>
        <v>12/2026</v>
      </c>
      <c r="P3180" s="10" t="str">
        <f t="shared" ref="P3180:P3181" si="398">if(C3180="","", TEXT(C3180,"mm/yyyy"))</f>
        <v/>
      </c>
      <c r="Q3180" s="15" t="str">
        <f t="array" ref="Q3180">IFERROR(XLOOKUP(N3180,'Classificação'!A:A,'Classificação'!B:B),"")</f>
        <v>DESPESAS COM PESSOAL</v>
      </c>
      <c r="R3180" s="15" t="str">
        <f t="array" ref="R3180">IFERROR(XLOOKUP(Q3180,'Classificação'!B:B,'Classificação'!C:C),"")</f>
        <v>DESPESAS FIXAS (-)</v>
      </c>
      <c r="S3180" s="15">
        <f t="shared" si="228"/>
        <v>30</v>
      </c>
      <c r="T3180" s="15">
        <f t="shared" si="128"/>
        <v>12</v>
      </c>
      <c r="U3180" s="15">
        <f t="shared" si="129"/>
        <v>2026</v>
      </c>
      <c r="V3180" s="15" t="str">
        <f t="shared" si="8"/>
        <v/>
      </c>
      <c r="W3180" s="15" t="str">
        <f t="shared" si="9"/>
        <v/>
      </c>
      <c r="X3180" s="15" t="str">
        <f t="shared" si="10"/>
        <v/>
      </c>
    </row>
    <row r="3181">
      <c r="A3181" s="26">
        <v>46386.0</v>
      </c>
      <c r="B3181" s="30"/>
      <c r="C3181" s="27" t="str">
        <f t="shared" si="249"/>
        <v/>
      </c>
      <c r="D3181" s="28" t="s">
        <v>80</v>
      </c>
      <c r="E3181" s="28" t="s">
        <v>1305</v>
      </c>
      <c r="F3181" s="28" t="s">
        <v>40</v>
      </c>
      <c r="G3181" s="28" t="s">
        <v>27</v>
      </c>
      <c r="H3181" s="29" t="s">
        <v>1100</v>
      </c>
      <c r="I3181" s="37">
        <v>550.0</v>
      </c>
      <c r="J3181" s="34"/>
      <c r="K3181" s="34" t="str">
        <f t="shared" si="397"/>
        <v/>
      </c>
      <c r="L3181" s="28" t="s">
        <v>29</v>
      </c>
      <c r="M3181" s="28"/>
      <c r="N3181" s="28" t="s">
        <v>204</v>
      </c>
      <c r="O3181" s="10" t="str">
        <f t="shared" si="79"/>
        <v>12/2026</v>
      </c>
      <c r="P3181" s="10" t="str">
        <f t="shared" si="398"/>
        <v/>
      </c>
      <c r="Q3181" s="15" t="str">
        <f t="array" ref="Q3181">IFERROR(XLOOKUP(N3181,'Classificação'!A:A,'Classificação'!B:B),"")</f>
        <v>DESPESAS COM PESSOAL</v>
      </c>
      <c r="R3181" s="15" t="str">
        <f t="array" ref="R3181">IFERROR(XLOOKUP(Q3181,'Classificação'!B:B,'Classificação'!C:C),"")</f>
        <v>DESPESAS FIXAS (-)</v>
      </c>
      <c r="S3181" s="15">
        <f t="shared" si="228"/>
        <v>30</v>
      </c>
      <c r="T3181" s="15">
        <f t="shared" si="128"/>
        <v>12</v>
      </c>
      <c r="U3181" s="15">
        <f t="shared" si="129"/>
        <v>2026</v>
      </c>
      <c r="V3181" s="15" t="str">
        <f t="shared" si="8"/>
        <v/>
      </c>
      <c r="W3181" s="15" t="str">
        <f t="shared" si="9"/>
        <v/>
      </c>
      <c r="X3181" s="15" t="str">
        <f t="shared" si="10"/>
        <v/>
      </c>
    </row>
    <row r="3182">
      <c r="A3182" s="26">
        <v>46386.0</v>
      </c>
      <c r="B3182" s="28"/>
      <c r="C3182" s="27" t="str">
        <f t="shared" si="249"/>
        <v/>
      </c>
      <c r="D3182" s="28" t="s">
        <v>223</v>
      </c>
      <c r="E3182" s="28" t="s">
        <v>1305</v>
      </c>
      <c r="F3182" s="28" t="s">
        <v>32</v>
      </c>
      <c r="G3182" s="28" t="s">
        <v>27</v>
      </c>
      <c r="H3182" s="29" t="s">
        <v>1231</v>
      </c>
      <c r="I3182" s="37">
        <v>100.0</v>
      </c>
      <c r="J3182" s="34"/>
      <c r="K3182" s="34" t="str">
        <f t="shared" si="397"/>
        <v/>
      </c>
      <c r="L3182" s="28" t="s">
        <v>29</v>
      </c>
      <c r="M3182" s="28"/>
      <c r="N3182" s="28" t="s">
        <v>224</v>
      </c>
      <c r="O3182" s="10" t="str">
        <f t="shared" si="79"/>
        <v>12/2026</v>
      </c>
      <c r="P3182" s="10" t="str">
        <f>if(B3182="","", TEXT(B3182,"mm/yyyy"))</f>
        <v/>
      </c>
      <c r="Q3182" s="15" t="str">
        <f t="array" ref="Q3182">IFERROR(XLOOKUP(N3182,'Classificação'!A:A,'Classificação'!B:B),"")</f>
        <v>DESPESAS ADMINISTRATIVAS</v>
      </c>
      <c r="R3182" s="15" t="str">
        <f t="array" ref="R3182">IFERROR(XLOOKUP(Q3182,'Classificação'!B:B,'Classificação'!C:C),"")</f>
        <v>DESPESAS FIXAS (-)</v>
      </c>
      <c r="S3182" s="15">
        <f t="shared" si="228"/>
        <v>30</v>
      </c>
      <c r="T3182" s="15">
        <f t="shared" si="128"/>
        <v>12</v>
      </c>
      <c r="U3182" s="15">
        <f t="shared" si="129"/>
        <v>2026</v>
      </c>
      <c r="V3182" s="15" t="str">
        <f t="shared" si="8"/>
        <v/>
      </c>
      <c r="W3182" s="15" t="str">
        <f t="shared" si="9"/>
        <v/>
      </c>
      <c r="X3182" s="15" t="str">
        <f t="shared" si="10"/>
        <v/>
      </c>
    </row>
    <row r="3183">
      <c r="A3183" s="26">
        <v>46386.0</v>
      </c>
      <c r="B3183" s="28"/>
      <c r="C3183" s="27" t="str">
        <f t="shared" si="249"/>
        <v/>
      </c>
      <c r="D3183" s="29" t="s">
        <v>1094</v>
      </c>
      <c r="E3183" s="28" t="s">
        <v>1305</v>
      </c>
      <c r="F3183" s="29" t="s">
        <v>26</v>
      </c>
      <c r="G3183" s="29" t="s">
        <v>37</v>
      </c>
      <c r="H3183" s="54" t="s">
        <v>1428</v>
      </c>
      <c r="I3183" s="24">
        <v>1500.0</v>
      </c>
      <c r="J3183" s="34"/>
      <c r="K3183" s="34" t="str">
        <f t="shared" si="397"/>
        <v/>
      </c>
      <c r="L3183" s="28" t="s">
        <v>29</v>
      </c>
      <c r="M3183" s="28"/>
      <c r="N3183" s="28" t="s">
        <v>38</v>
      </c>
      <c r="O3183" s="10" t="str">
        <f t="shared" si="79"/>
        <v>12/2026</v>
      </c>
      <c r="P3183" s="10" t="str">
        <f t="shared" ref="P3183:P3248" si="399">if(C3183="","", TEXT(C3183,"mm/yyyy"))</f>
        <v/>
      </c>
      <c r="Q3183" s="15" t="str">
        <f t="array" ref="Q3183">IFERROR(XLOOKUP(N3183,'Classificação'!A:A,'Classificação'!B:B),"")</f>
        <v>DESPESAS COM PESSOAL</v>
      </c>
      <c r="R3183" s="15" t="str">
        <f t="array" ref="R3183">IFERROR(XLOOKUP(Q3183,'Classificação'!B:B,'Classificação'!C:C),"")</f>
        <v>DESPESAS FIXAS (-)</v>
      </c>
      <c r="S3183" s="15">
        <f t="shared" si="228"/>
        <v>30</v>
      </c>
      <c r="T3183" s="15">
        <f t="shared" si="128"/>
        <v>12</v>
      </c>
      <c r="U3183" s="15">
        <f t="shared" si="129"/>
        <v>2026</v>
      </c>
      <c r="V3183" s="15" t="str">
        <f t="shared" si="8"/>
        <v/>
      </c>
      <c r="W3183" s="15" t="str">
        <f t="shared" si="9"/>
        <v/>
      </c>
      <c r="X3183" s="15" t="str">
        <f t="shared" si="10"/>
        <v/>
      </c>
    </row>
    <row r="3184">
      <c r="A3184" s="26">
        <v>46386.0</v>
      </c>
      <c r="B3184" s="28"/>
      <c r="C3184" s="27" t="str">
        <f t="shared" si="249"/>
        <v/>
      </c>
      <c r="D3184" s="29" t="s">
        <v>1094</v>
      </c>
      <c r="E3184" s="28" t="s">
        <v>1305</v>
      </c>
      <c r="F3184" s="28" t="s">
        <v>40</v>
      </c>
      <c r="G3184" s="29" t="s">
        <v>37</v>
      </c>
      <c r="H3184" s="54" t="s">
        <v>1429</v>
      </c>
      <c r="I3184" s="37">
        <v>550.0</v>
      </c>
      <c r="J3184" s="34"/>
      <c r="K3184" s="34" t="str">
        <f t="shared" si="397"/>
        <v/>
      </c>
      <c r="L3184" s="28" t="s">
        <v>29</v>
      </c>
      <c r="M3184" s="28"/>
      <c r="N3184" s="28" t="s">
        <v>204</v>
      </c>
      <c r="O3184" s="10" t="str">
        <f t="shared" si="79"/>
        <v>12/2026</v>
      </c>
      <c r="P3184" s="10" t="str">
        <f t="shared" si="399"/>
        <v/>
      </c>
      <c r="Q3184" s="15" t="str">
        <f t="array" ref="Q3184">IFERROR(XLOOKUP(N3184,'Classificação'!A:A,'Classificação'!B:B),"")</f>
        <v>DESPESAS COM PESSOAL</v>
      </c>
      <c r="R3184" s="15" t="str">
        <f t="array" ref="R3184">IFERROR(XLOOKUP(Q3184,'Classificação'!B:B,'Classificação'!C:C),"")</f>
        <v>DESPESAS FIXAS (-)</v>
      </c>
      <c r="S3184" s="15">
        <f t="shared" si="228"/>
        <v>30</v>
      </c>
      <c r="T3184" s="15">
        <f t="shared" si="128"/>
        <v>12</v>
      </c>
      <c r="U3184" s="15">
        <f t="shared" si="129"/>
        <v>2026</v>
      </c>
      <c r="V3184" s="15" t="str">
        <f t="shared" si="8"/>
        <v/>
      </c>
      <c r="W3184" s="15" t="str">
        <f t="shared" si="9"/>
        <v/>
      </c>
      <c r="X3184" s="15" t="str">
        <f t="shared" si="10"/>
        <v/>
      </c>
    </row>
    <row r="3185">
      <c r="A3185" s="32">
        <v>46386.0</v>
      </c>
      <c r="B3185" s="10"/>
      <c r="C3185" s="9" t="str">
        <f t="shared" si="249"/>
        <v/>
      </c>
      <c r="D3185" s="11" t="s">
        <v>1229</v>
      </c>
      <c r="E3185" s="28" t="s">
        <v>1305</v>
      </c>
      <c r="F3185" s="11" t="s">
        <v>26</v>
      </c>
      <c r="G3185" s="11" t="s">
        <v>37</v>
      </c>
      <c r="H3185" s="11" t="s">
        <v>1230</v>
      </c>
      <c r="I3185" s="31">
        <v>1260.0</v>
      </c>
      <c r="J3185" s="13"/>
      <c r="K3185" s="13" t="str">
        <f t="shared" ref="K3185:K3192" si="400">if(E3185="pago",(I3185-J3185),"")</f>
        <v/>
      </c>
      <c r="L3185" s="11" t="s">
        <v>29</v>
      </c>
      <c r="M3185" s="14"/>
      <c r="N3185" s="11" t="s">
        <v>58</v>
      </c>
      <c r="O3185" s="10" t="str">
        <f t="shared" si="79"/>
        <v>12/2026</v>
      </c>
      <c r="P3185" s="10" t="str">
        <f t="shared" si="399"/>
        <v/>
      </c>
      <c r="Q3185" s="15" t="str">
        <f t="array" ref="Q3185">IFERROR(XLOOKUP(N3185,'Classificação'!A:A,'Classificação'!B:B),"")</f>
        <v>DESPESAS ADMINISTRATIVAS</v>
      </c>
      <c r="R3185" s="15" t="str">
        <f t="array" ref="R3185">IFERROR(XLOOKUP(Q3185,'Classificação'!B:B,'Classificação'!C:C),"")</f>
        <v>DESPESAS FIXAS (-)</v>
      </c>
      <c r="S3185" s="15">
        <f t="shared" si="228"/>
        <v>30</v>
      </c>
      <c r="T3185" s="15">
        <f t="shared" si="128"/>
        <v>12</v>
      </c>
      <c r="U3185" s="15">
        <f t="shared" si="129"/>
        <v>2026</v>
      </c>
      <c r="V3185" s="15" t="str">
        <f t="shared" si="8"/>
        <v/>
      </c>
      <c r="W3185" s="15" t="str">
        <f t="shared" si="9"/>
        <v/>
      </c>
      <c r="X3185" s="15" t="str">
        <f t="shared" si="10"/>
        <v/>
      </c>
    </row>
    <row r="3186">
      <c r="A3186" s="9">
        <v>46390.0</v>
      </c>
      <c r="B3186" s="10"/>
      <c r="C3186" s="9" t="str">
        <f t="shared" si="249"/>
        <v/>
      </c>
      <c r="D3186" s="11" t="s">
        <v>44</v>
      </c>
      <c r="E3186" s="11" t="s">
        <v>1305</v>
      </c>
      <c r="F3186" s="11" t="s">
        <v>45</v>
      </c>
      <c r="G3186" s="11" t="s">
        <v>27</v>
      </c>
      <c r="H3186" s="11" t="s">
        <v>651</v>
      </c>
      <c r="I3186" s="13">
        <v>2604.0863249999998</v>
      </c>
      <c r="J3186" s="13"/>
      <c r="K3186" s="13" t="str">
        <f t="shared" si="400"/>
        <v/>
      </c>
      <c r="L3186" s="11" t="s">
        <v>53</v>
      </c>
      <c r="M3186" s="16" t="s">
        <v>1430</v>
      </c>
      <c r="N3186" s="11" t="s">
        <v>73</v>
      </c>
      <c r="O3186" s="10" t="str">
        <f t="shared" si="79"/>
        <v>01/2027</v>
      </c>
      <c r="P3186" s="10" t="str">
        <f t="shared" si="399"/>
        <v/>
      </c>
      <c r="Q3186" s="15" t="str">
        <f t="array" ref="Q3186">IFERROR(XLOOKUP(N3186,'Classificação'!A:A,'Classificação'!B:B),"")</f>
        <v>DESPESAS NÃO OPERACIONAIS</v>
      </c>
      <c r="R3186" s="15" t="str">
        <f t="array" ref="R3186">IFERROR(XLOOKUP(Q3186,'Classificação'!B:B,'Classificação'!C:C),"")</f>
        <v>RESULTADO NÃO OPERACIONAL (+/-)</v>
      </c>
      <c r="S3186" s="15">
        <f t="shared" si="228"/>
        <v>3</v>
      </c>
      <c r="T3186" s="15">
        <f t="shared" si="128"/>
        <v>1</v>
      </c>
      <c r="U3186" s="15">
        <f t="shared" si="129"/>
        <v>2027</v>
      </c>
      <c r="V3186" s="15" t="str">
        <f t="shared" si="8"/>
        <v/>
      </c>
      <c r="W3186" s="15" t="str">
        <f t="shared" si="9"/>
        <v/>
      </c>
      <c r="X3186" s="15" t="str">
        <f t="shared" si="10"/>
        <v/>
      </c>
    </row>
    <row r="3187">
      <c r="A3187" s="9">
        <v>46397.0</v>
      </c>
      <c r="B3187" s="10"/>
      <c r="C3187" s="9" t="str">
        <f t="shared" si="249"/>
        <v/>
      </c>
      <c r="D3187" s="11" t="s">
        <v>44</v>
      </c>
      <c r="E3187" s="11" t="s">
        <v>1305</v>
      </c>
      <c r="F3187" s="11" t="s">
        <v>45</v>
      </c>
      <c r="G3187" s="11" t="s">
        <v>27</v>
      </c>
      <c r="H3187" s="11" t="s">
        <v>52</v>
      </c>
      <c r="I3187" s="12">
        <v>503.0</v>
      </c>
      <c r="J3187" s="13"/>
      <c r="K3187" s="13" t="str">
        <f t="shared" si="400"/>
        <v/>
      </c>
      <c r="L3187" s="11" t="s">
        <v>53</v>
      </c>
      <c r="M3187" s="16" t="s">
        <v>1431</v>
      </c>
      <c r="N3187" s="11" t="s">
        <v>55</v>
      </c>
      <c r="O3187" s="10" t="str">
        <f t="shared" si="79"/>
        <v>01/2027</v>
      </c>
      <c r="P3187" s="10" t="str">
        <f t="shared" si="399"/>
        <v/>
      </c>
      <c r="Q3187" s="15" t="str">
        <f t="array" ref="Q3187">IFERROR(XLOOKUP(N3187,'Classificação'!A:A,'Classificação'!B:B),"")</f>
        <v>DESPESAS NÃO OPERACIONAIS</v>
      </c>
      <c r="R3187" s="15" t="str">
        <f t="array" ref="R3187">IFERROR(XLOOKUP(Q3187,'Classificação'!B:B,'Classificação'!C:C),"")</f>
        <v>RESULTADO NÃO OPERACIONAL (+/-)</v>
      </c>
      <c r="S3187" s="15">
        <f t="shared" si="228"/>
        <v>10</v>
      </c>
      <c r="T3187" s="15">
        <f t="shared" si="128"/>
        <v>1</v>
      </c>
      <c r="U3187" s="15">
        <f t="shared" si="129"/>
        <v>2027</v>
      </c>
      <c r="V3187" s="15" t="str">
        <f t="shared" si="8"/>
        <v/>
      </c>
      <c r="W3187" s="15" t="str">
        <f t="shared" si="9"/>
        <v/>
      </c>
      <c r="X3187" s="15" t="str">
        <f t="shared" si="10"/>
        <v/>
      </c>
    </row>
    <row r="3188">
      <c r="A3188" s="9">
        <v>46397.0</v>
      </c>
      <c r="B3188" s="10"/>
      <c r="C3188" s="9" t="str">
        <f t="shared" si="249"/>
        <v/>
      </c>
      <c r="D3188" s="11" t="s">
        <v>1104</v>
      </c>
      <c r="E3188" s="28" t="s">
        <v>1305</v>
      </c>
      <c r="F3188" s="11" t="s">
        <v>40</v>
      </c>
      <c r="G3188" s="11" t="s">
        <v>37</v>
      </c>
      <c r="H3188" s="11" t="s">
        <v>1105</v>
      </c>
      <c r="I3188" s="12">
        <v>963.38</v>
      </c>
      <c r="J3188" s="13"/>
      <c r="K3188" s="13" t="str">
        <f t="shared" si="400"/>
        <v/>
      </c>
      <c r="L3188" s="11" t="s">
        <v>53</v>
      </c>
      <c r="M3188" s="16" t="s">
        <v>1432</v>
      </c>
      <c r="N3188" s="11" t="s">
        <v>73</v>
      </c>
      <c r="O3188" s="10" t="str">
        <f t="shared" si="79"/>
        <v>01/2027</v>
      </c>
      <c r="P3188" s="10" t="str">
        <f t="shared" si="399"/>
        <v/>
      </c>
      <c r="Q3188" s="15" t="str">
        <f t="array" ref="Q3188">IFERROR(XLOOKUP(N3188,'Classificação'!A:A,'Classificação'!B:B),"")</f>
        <v>DESPESAS NÃO OPERACIONAIS</v>
      </c>
      <c r="R3188" s="15" t="str">
        <f t="array" ref="R3188">IFERROR(XLOOKUP(Q3188,'Classificação'!B:B,'Classificação'!C:C),"")</f>
        <v>RESULTADO NÃO OPERACIONAL (+/-)</v>
      </c>
      <c r="S3188" s="15">
        <f t="shared" si="228"/>
        <v>10</v>
      </c>
      <c r="T3188" s="15">
        <f t="shared" si="128"/>
        <v>1</v>
      </c>
      <c r="U3188" s="15">
        <f t="shared" si="129"/>
        <v>2027</v>
      </c>
      <c r="V3188" s="15" t="str">
        <f t="shared" si="8"/>
        <v/>
      </c>
      <c r="W3188" s="15" t="str">
        <f t="shared" si="9"/>
        <v/>
      </c>
      <c r="X3188" s="15" t="str">
        <f t="shared" si="10"/>
        <v/>
      </c>
    </row>
    <row r="3189">
      <c r="A3189" s="9">
        <v>46397.0</v>
      </c>
      <c r="B3189" s="32">
        <v>46011.0</v>
      </c>
      <c r="C3189" s="9" t="str">
        <f t="shared" si="249"/>
        <v/>
      </c>
      <c r="D3189" s="11" t="s">
        <v>65</v>
      </c>
      <c r="E3189" s="28" t="s">
        <v>1305</v>
      </c>
      <c r="F3189" s="11" t="s">
        <v>26</v>
      </c>
      <c r="G3189" s="28" t="s">
        <v>27</v>
      </c>
      <c r="H3189" s="11" t="s">
        <v>1159</v>
      </c>
      <c r="I3189" s="31">
        <v>54.99</v>
      </c>
      <c r="J3189" s="13"/>
      <c r="K3189" s="13" t="str">
        <f t="shared" si="400"/>
        <v/>
      </c>
      <c r="L3189" s="11" t="s">
        <v>53</v>
      </c>
      <c r="M3189" s="16" t="s">
        <v>1433</v>
      </c>
      <c r="N3189" s="11" t="s">
        <v>95</v>
      </c>
      <c r="O3189" s="10" t="str">
        <f t="shared" si="79"/>
        <v>01/2027</v>
      </c>
      <c r="P3189" s="10" t="str">
        <f t="shared" si="399"/>
        <v/>
      </c>
      <c r="Q3189" s="15" t="str">
        <f t="array" ref="Q3189">IFERROR(XLOOKUP(N3189,'Classificação'!A:A,'Classificação'!B:B),"")</f>
        <v>DESPESAS NÃO OPERACIONAIS</v>
      </c>
      <c r="R3189" s="15" t="str">
        <f t="array" ref="R3189">IFERROR(XLOOKUP(Q3189,'Classificação'!B:B,'Classificação'!C:C),"")</f>
        <v>RESULTADO NÃO OPERACIONAL (+/-)</v>
      </c>
      <c r="S3189" s="15">
        <f t="shared" si="228"/>
        <v>10</v>
      </c>
      <c r="T3189" s="15">
        <f t="shared" si="128"/>
        <v>1</v>
      </c>
      <c r="U3189" s="15">
        <f t="shared" si="129"/>
        <v>2027</v>
      </c>
      <c r="V3189" s="15" t="str">
        <f t="shared" si="8"/>
        <v/>
      </c>
      <c r="W3189" s="15" t="str">
        <f t="shared" si="9"/>
        <v/>
      </c>
      <c r="X3189" s="15" t="str">
        <f t="shared" si="10"/>
        <v/>
      </c>
    </row>
    <row r="3190">
      <c r="A3190" s="9">
        <v>46401.0</v>
      </c>
      <c r="B3190" s="10"/>
      <c r="C3190" s="9" t="str">
        <f t="shared" si="249"/>
        <v/>
      </c>
      <c r="D3190" s="11" t="s">
        <v>44</v>
      </c>
      <c r="E3190" s="11" t="s">
        <v>1305</v>
      </c>
      <c r="F3190" s="11" t="s">
        <v>45</v>
      </c>
      <c r="G3190" s="11" t="s">
        <v>27</v>
      </c>
      <c r="H3190" s="11" t="s">
        <v>476</v>
      </c>
      <c r="I3190" s="12">
        <v>4996.0</v>
      </c>
      <c r="J3190" s="13"/>
      <c r="K3190" s="13" t="str">
        <f t="shared" si="400"/>
        <v/>
      </c>
      <c r="L3190" s="11" t="s">
        <v>53</v>
      </c>
      <c r="M3190" s="16" t="s">
        <v>1103</v>
      </c>
      <c r="N3190" s="11" t="s">
        <v>73</v>
      </c>
      <c r="O3190" s="10" t="str">
        <f t="shared" si="79"/>
        <v>01/2027</v>
      </c>
      <c r="P3190" s="10" t="str">
        <f t="shared" si="399"/>
        <v/>
      </c>
      <c r="Q3190" s="15" t="str">
        <f t="array" ref="Q3190">IFERROR(XLOOKUP(N3190,'Classificação'!A:A,'Classificação'!B:B),"")</f>
        <v>DESPESAS NÃO OPERACIONAIS</v>
      </c>
      <c r="R3190" s="15" t="str">
        <f t="array" ref="R3190">IFERROR(XLOOKUP(Q3190,'Classificação'!B:B,'Classificação'!C:C),"")</f>
        <v>RESULTADO NÃO OPERACIONAL (+/-)</v>
      </c>
      <c r="S3190" s="15">
        <f t="shared" si="228"/>
        <v>14</v>
      </c>
      <c r="T3190" s="15">
        <f t="shared" si="128"/>
        <v>1</v>
      </c>
      <c r="U3190" s="15">
        <f t="shared" si="129"/>
        <v>2027</v>
      </c>
      <c r="V3190" s="15" t="str">
        <f t="shared" si="8"/>
        <v/>
      </c>
      <c r="W3190" s="15" t="str">
        <f t="shared" si="9"/>
        <v/>
      </c>
      <c r="X3190" s="15" t="str">
        <f t="shared" si="10"/>
        <v/>
      </c>
    </row>
    <row r="3191">
      <c r="A3191" s="9">
        <v>46407.0</v>
      </c>
      <c r="B3191" s="9">
        <v>46081.0</v>
      </c>
      <c r="C3191" s="9" t="str">
        <f t="shared" si="249"/>
        <v/>
      </c>
      <c r="D3191" s="11" t="s">
        <v>65</v>
      </c>
      <c r="E3191" s="28" t="s">
        <v>1305</v>
      </c>
      <c r="F3191" s="11" t="s">
        <v>107</v>
      </c>
      <c r="G3191" s="11" t="s">
        <v>27</v>
      </c>
      <c r="H3191" s="11" t="s">
        <v>1293</v>
      </c>
      <c r="I3191" s="31">
        <v>127.9</v>
      </c>
      <c r="J3191" s="13"/>
      <c r="K3191" s="13" t="str">
        <f t="shared" si="400"/>
        <v/>
      </c>
      <c r="L3191" s="11" t="s">
        <v>53</v>
      </c>
      <c r="M3191" s="17">
        <v>46367.0</v>
      </c>
      <c r="N3191" s="11" t="s">
        <v>95</v>
      </c>
      <c r="O3191" s="10" t="str">
        <f t="shared" si="79"/>
        <v>01/2027</v>
      </c>
      <c r="P3191" s="10" t="str">
        <f t="shared" si="399"/>
        <v/>
      </c>
      <c r="Q3191" s="15" t="str">
        <f t="array" ref="Q3191">IFERROR(XLOOKUP(N3191,'Classificação'!A:A,'Classificação'!B:B),"")</f>
        <v>DESPESAS NÃO OPERACIONAIS</v>
      </c>
      <c r="R3191" s="15" t="str">
        <f t="array" ref="R3191">IFERROR(XLOOKUP(Q3191,'Classificação'!B:B,'Classificação'!C:C),"")</f>
        <v>RESULTADO NÃO OPERACIONAL (+/-)</v>
      </c>
      <c r="S3191" s="15">
        <f t="shared" si="228"/>
        <v>20</v>
      </c>
      <c r="T3191" s="15">
        <f t="shared" si="128"/>
        <v>1</v>
      </c>
      <c r="U3191" s="15">
        <f t="shared" si="129"/>
        <v>2027</v>
      </c>
      <c r="V3191" s="15" t="str">
        <f t="shared" si="8"/>
        <v/>
      </c>
      <c r="W3191" s="15" t="str">
        <f t="shared" si="9"/>
        <v/>
      </c>
      <c r="X3191" s="15" t="str">
        <f t="shared" si="10"/>
        <v/>
      </c>
    </row>
    <row r="3192">
      <c r="A3192" s="9">
        <v>46407.0</v>
      </c>
      <c r="B3192" s="9">
        <v>46077.0</v>
      </c>
      <c r="C3192" s="9" t="str">
        <f t="shared" si="249"/>
        <v/>
      </c>
      <c r="D3192" s="11" t="s">
        <v>1294</v>
      </c>
      <c r="E3192" s="28" t="s">
        <v>1305</v>
      </c>
      <c r="F3192" s="11" t="s">
        <v>107</v>
      </c>
      <c r="G3192" s="28" t="s">
        <v>27</v>
      </c>
      <c r="H3192" s="11" t="s">
        <v>1295</v>
      </c>
      <c r="I3192" s="31">
        <v>185.2</v>
      </c>
      <c r="J3192" s="13"/>
      <c r="K3192" s="13" t="str">
        <f t="shared" si="400"/>
        <v/>
      </c>
      <c r="L3192" s="28" t="s">
        <v>53</v>
      </c>
      <c r="M3192" s="17">
        <v>46367.0</v>
      </c>
      <c r="N3192" s="11" t="s">
        <v>64</v>
      </c>
      <c r="O3192" s="10" t="str">
        <f t="shared" si="79"/>
        <v>01/2027</v>
      </c>
      <c r="P3192" s="10" t="str">
        <f t="shared" si="399"/>
        <v/>
      </c>
      <c r="Q3192" s="15" t="str">
        <f t="array" ref="Q3192">IFERROR(XLOOKUP(N3192,'Classificação'!A:A,'Classificação'!B:B),"")</f>
        <v>DESPESAS COM PESSOAL</v>
      </c>
      <c r="R3192" s="15" t="str">
        <f t="array" ref="R3192">IFERROR(XLOOKUP(Q3192,'Classificação'!B:B,'Classificação'!C:C),"")</f>
        <v>DESPESAS FIXAS (-)</v>
      </c>
      <c r="S3192" s="15">
        <f t="shared" si="228"/>
        <v>20</v>
      </c>
      <c r="T3192" s="15">
        <f t="shared" si="128"/>
        <v>1</v>
      </c>
      <c r="U3192" s="15">
        <f t="shared" si="129"/>
        <v>2027</v>
      </c>
      <c r="V3192" s="15" t="str">
        <f t="shared" si="8"/>
        <v/>
      </c>
      <c r="W3192" s="15" t="str">
        <f t="shared" si="9"/>
        <v/>
      </c>
      <c r="X3192" s="15" t="str">
        <f t="shared" si="10"/>
        <v/>
      </c>
    </row>
    <row r="3193">
      <c r="A3193" s="9">
        <v>46413.0</v>
      </c>
      <c r="B3193" s="10"/>
      <c r="C3193" s="9" t="str">
        <f t="shared" si="249"/>
        <v/>
      </c>
      <c r="D3193" s="28" t="s">
        <v>44</v>
      </c>
      <c r="E3193" s="28" t="s">
        <v>1305</v>
      </c>
      <c r="F3193" s="28" t="s">
        <v>45</v>
      </c>
      <c r="G3193" s="28" t="s">
        <v>27</v>
      </c>
      <c r="H3193" s="29" t="s">
        <v>1329</v>
      </c>
      <c r="I3193" s="37">
        <v>2332.4728000000005</v>
      </c>
      <c r="J3193" s="34"/>
      <c r="K3193" s="37"/>
      <c r="L3193" s="28" t="s">
        <v>53</v>
      </c>
      <c r="M3193" s="16" t="s">
        <v>1434</v>
      </c>
      <c r="N3193" s="28" t="s">
        <v>73</v>
      </c>
      <c r="O3193" s="10" t="str">
        <f t="shared" si="79"/>
        <v>01/2027</v>
      </c>
      <c r="P3193" s="10" t="str">
        <f t="shared" si="399"/>
        <v/>
      </c>
      <c r="Q3193" s="15" t="str">
        <f t="array" ref="Q3193">IFERROR(XLOOKUP(N3193,'Classificação'!A:A,'Classificação'!B:B),"")</f>
        <v>DESPESAS NÃO OPERACIONAIS</v>
      </c>
      <c r="R3193" s="15" t="str">
        <f t="array" ref="R3193">IFERROR(XLOOKUP(Q3193,'Classificação'!B:B,'Classificação'!C:C),"")</f>
        <v>RESULTADO NÃO OPERACIONAL (+/-)</v>
      </c>
      <c r="S3193" s="15">
        <f t="shared" si="228"/>
        <v>26</v>
      </c>
      <c r="T3193" s="15">
        <f t="shared" si="128"/>
        <v>1</v>
      </c>
      <c r="U3193" s="15">
        <f t="shared" si="129"/>
        <v>2027</v>
      </c>
      <c r="V3193" s="15" t="str">
        <f t="shared" si="8"/>
        <v/>
      </c>
      <c r="W3193" s="15" t="str">
        <f t="shared" si="9"/>
        <v/>
      </c>
      <c r="X3193" s="15" t="str">
        <f t="shared" si="10"/>
        <v/>
      </c>
    </row>
    <row r="3194">
      <c r="A3194" s="9">
        <v>46421.0</v>
      </c>
      <c r="B3194" s="10"/>
      <c r="C3194" s="9" t="str">
        <f t="shared" si="249"/>
        <v/>
      </c>
      <c r="D3194" s="11" t="s">
        <v>44</v>
      </c>
      <c r="E3194" s="11" t="s">
        <v>1305</v>
      </c>
      <c r="F3194" s="11" t="s">
        <v>45</v>
      </c>
      <c r="G3194" s="11" t="s">
        <v>27</v>
      </c>
      <c r="H3194" s="11" t="s">
        <v>651</v>
      </c>
      <c r="I3194" s="13">
        <v>2566.18325</v>
      </c>
      <c r="J3194" s="13"/>
      <c r="K3194" s="13" t="str">
        <f t="shared" ref="K3194:K3202" si="401">if(E3194="pago",(I3194-J3194),"")</f>
        <v/>
      </c>
      <c r="L3194" s="11" t="s">
        <v>53</v>
      </c>
      <c r="M3194" s="16" t="s">
        <v>1435</v>
      </c>
      <c r="N3194" s="11" t="s">
        <v>73</v>
      </c>
      <c r="O3194" s="10" t="str">
        <f t="shared" si="79"/>
        <v>02/2027</v>
      </c>
      <c r="P3194" s="10" t="str">
        <f t="shared" si="399"/>
        <v/>
      </c>
      <c r="Q3194" s="15" t="str">
        <f t="array" ref="Q3194">IFERROR(XLOOKUP(N3194,'Classificação'!A:A,'Classificação'!B:B),"")</f>
        <v>DESPESAS NÃO OPERACIONAIS</v>
      </c>
      <c r="R3194" s="15" t="str">
        <f t="array" ref="R3194">IFERROR(XLOOKUP(Q3194,'Classificação'!B:B,'Classificação'!C:C),"")</f>
        <v>RESULTADO NÃO OPERACIONAL (+/-)</v>
      </c>
      <c r="S3194" s="15">
        <f t="shared" si="228"/>
        <v>3</v>
      </c>
      <c r="T3194" s="15">
        <f t="shared" si="128"/>
        <v>2</v>
      </c>
      <c r="U3194" s="15">
        <f t="shared" si="129"/>
        <v>2027</v>
      </c>
      <c r="V3194" s="15" t="str">
        <f t="shared" si="8"/>
        <v/>
      </c>
      <c r="W3194" s="15" t="str">
        <f t="shared" si="9"/>
        <v/>
      </c>
      <c r="X3194" s="15" t="str">
        <f t="shared" si="10"/>
        <v/>
      </c>
    </row>
    <row r="3195">
      <c r="A3195" s="9">
        <v>46428.0</v>
      </c>
      <c r="B3195" s="10"/>
      <c r="C3195" s="9" t="str">
        <f t="shared" si="249"/>
        <v/>
      </c>
      <c r="D3195" s="11" t="s">
        <v>44</v>
      </c>
      <c r="E3195" s="11" t="s">
        <v>1305</v>
      </c>
      <c r="F3195" s="11" t="s">
        <v>45</v>
      </c>
      <c r="G3195" s="11" t="s">
        <v>27</v>
      </c>
      <c r="H3195" s="11" t="s">
        <v>52</v>
      </c>
      <c r="I3195" s="12">
        <v>503.0</v>
      </c>
      <c r="J3195" s="13"/>
      <c r="K3195" s="13" t="str">
        <f t="shared" si="401"/>
        <v/>
      </c>
      <c r="L3195" s="11" t="s">
        <v>53</v>
      </c>
      <c r="M3195" s="16" t="s">
        <v>1436</v>
      </c>
      <c r="N3195" s="11" t="s">
        <v>55</v>
      </c>
      <c r="O3195" s="10" t="str">
        <f t="shared" si="79"/>
        <v>02/2027</v>
      </c>
      <c r="P3195" s="10" t="str">
        <f t="shared" si="399"/>
        <v/>
      </c>
      <c r="Q3195" s="15" t="str">
        <f t="array" ref="Q3195">IFERROR(XLOOKUP(N3195,'Classificação'!A:A,'Classificação'!B:B),"")</f>
        <v>DESPESAS NÃO OPERACIONAIS</v>
      </c>
      <c r="R3195" s="15" t="str">
        <f t="array" ref="R3195">IFERROR(XLOOKUP(Q3195,'Classificação'!B:B,'Classificação'!C:C),"")</f>
        <v>RESULTADO NÃO OPERACIONAL (+/-)</v>
      </c>
      <c r="S3195" s="15">
        <f t="shared" si="228"/>
        <v>10</v>
      </c>
      <c r="T3195" s="15">
        <f t="shared" si="128"/>
        <v>2</v>
      </c>
      <c r="U3195" s="15">
        <f t="shared" si="129"/>
        <v>2027</v>
      </c>
      <c r="V3195" s="15" t="str">
        <f t="shared" si="8"/>
        <v/>
      </c>
      <c r="W3195" s="15" t="str">
        <f t="shared" si="9"/>
        <v/>
      </c>
      <c r="X3195" s="15" t="str">
        <f t="shared" si="10"/>
        <v/>
      </c>
    </row>
    <row r="3196">
      <c r="A3196" s="9">
        <v>46428.0</v>
      </c>
      <c r="B3196" s="10"/>
      <c r="C3196" s="9" t="str">
        <f t="shared" si="249"/>
        <v/>
      </c>
      <c r="D3196" s="11" t="s">
        <v>1104</v>
      </c>
      <c r="E3196" s="28" t="s">
        <v>1305</v>
      </c>
      <c r="F3196" s="11" t="s">
        <v>40</v>
      </c>
      <c r="G3196" s="11" t="s">
        <v>37</v>
      </c>
      <c r="H3196" s="11" t="s">
        <v>1105</v>
      </c>
      <c r="I3196" s="12">
        <v>963.38</v>
      </c>
      <c r="J3196" s="13"/>
      <c r="K3196" s="13" t="str">
        <f t="shared" si="401"/>
        <v/>
      </c>
      <c r="L3196" s="11" t="s">
        <v>53</v>
      </c>
      <c r="M3196" s="16" t="s">
        <v>1437</v>
      </c>
      <c r="N3196" s="11" t="s">
        <v>73</v>
      </c>
      <c r="O3196" s="10" t="str">
        <f t="shared" si="79"/>
        <v>02/2027</v>
      </c>
      <c r="P3196" s="10" t="str">
        <f t="shared" si="399"/>
        <v/>
      </c>
      <c r="Q3196" s="15" t="str">
        <f t="array" ref="Q3196">IFERROR(XLOOKUP(N3196,'Classificação'!A:A,'Classificação'!B:B),"")</f>
        <v>DESPESAS NÃO OPERACIONAIS</v>
      </c>
      <c r="R3196" s="15" t="str">
        <f t="array" ref="R3196">IFERROR(XLOOKUP(Q3196,'Classificação'!B:B,'Classificação'!C:C),"")</f>
        <v>RESULTADO NÃO OPERACIONAL (+/-)</v>
      </c>
      <c r="S3196" s="15">
        <f t="shared" si="228"/>
        <v>10</v>
      </c>
      <c r="T3196" s="15">
        <f t="shared" si="128"/>
        <v>2</v>
      </c>
      <c r="U3196" s="15">
        <f t="shared" si="129"/>
        <v>2027</v>
      </c>
      <c r="V3196" s="15" t="str">
        <f t="shared" si="8"/>
        <v/>
      </c>
      <c r="W3196" s="15" t="str">
        <f t="shared" si="9"/>
        <v/>
      </c>
      <c r="X3196" s="15" t="str">
        <f t="shared" si="10"/>
        <v/>
      </c>
    </row>
    <row r="3197">
      <c r="A3197" s="9">
        <v>46428.0</v>
      </c>
      <c r="B3197" s="32">
        <v>46011.0</v>
      </c>
      <c r="C3197" s="9" t="str">
        <f t="shared" si="249"/>
        <v/>
      </c>
      <c r="D3197" s="11" t="s">
        <v>65</v>
      </c>
      <c r="E3197" s="28" t="s">
        <v>1305</v>
      </c>
      <c r="F3197" s="11" t="s">
        <v>26</v>
      </c>
      <c r="G3197" s="28" t="s">
        <v>27</v>
      </c>
      <c r="H3197" s="11" t="s">
        <v>1159</v>
      </c>
      <c r="I3197" s="31">
        <v>54.99</v>
      </c>
      <c r="J3197" s="13"/>
      <c r="K3197" s="13" t="str">
        <f t="shared" si="401"/>
        <v/>
      </c>
      <c r="L3197" s="11" t="s">
        <v>53</v>
      </c>
      <c r="M3197" s="16" t="s">
        <v>1438</v>
      </c>
      <c r="N3197" s="11" t="s">
        <v>95</v>
      </c>
      <c r="O3197" s="10" t="str">
        <f t="shared" si="79"/>
        <v>02/2027</v>
      </c>
      <c r="P3197" s="10" t="str">
        <f t="shared" si="399"/>
        <v/>
      </c>
      <c r="Q3197" s="15" t="str">
        <f t="array" ref="Q3197">IFERROR(XLOOKUP(N3197,'Classificação'!A:A,'Classificação'!B:B),"")</f>
        <v>DESPESAS NÃO OPERACIONAIS</v>
      </c>
      <c r="R3197" s="15" t="str">
        <f t="array" ref="R3197">IFERROR(XLOOKUP(Q3197,'Classificação'!B:B,'Classificação'!C:C),"")</f>
        <v>RESULTADO NÃO OPERACIONAL (+/-)</v>
      </c>
      <c r="S3197" s="15">
        <f t="shared" si="228"/>
        <v>10</v>
      </c>
      <c r="T3197" s="15">
        <f t="shared" si="128"/>
        <v>2</v>
      </c>
      <c r="U3197" s="15">
        <f t="shared" si="129"/>
        <v>2027</v>
      </c>
      <c r="V3197" s="15" t="str">
        <f t="shared" si="8"/>
        <v/>
      </c>
      <c r="W3197" s="15" t="str">
        <f t="shared" si="9"/>
        <v/>
      </c>
      <c r="X3197" s="15" t="str">
        <f t="shared" si="10"/>
        <v/>
      </c>
    </row>
    <row r="3198">
      <c r="A3198" s="26">
        <v>46428.0</v>
      </c>
      <c r="B3198" s="26">
        <v>46073.0</v>
      </c>
      <c r="C3198" s="27" t="str">
        <f t="shared" si="249"/>
        <v/>
      </c>
      <c r="D3198" s="28" t="s">
        <v>44</v>
      </c>
      <c r="E3198" s="28" t="s">
        <v>1305</v>
      </c>
      <c r="F3198" s="28" t="s">
        <v>45</v>
      </c>
      <c r="G3198" s="28" t="s">
        <v>27</v>
      </c>
      <c r="H3198" s="29" t="s">
        <v>1439</v>
      </c>
      <c r="I3198" s="24">
        <v>133800.0</v>
      </c>
      <c r="J3198" s="34"/>
      <c r="K3198" s="13" t="str">
        <f t="shared" si="401"/>
        <v/>
      </c>
      <c r="L3198" s="29" t="s">
        <v>34</v>
      </c>
      <c r="M3198" s="28"/>
      <c r="N3198" s="29" t="s">
        <v>73</v>
      </c>
      <c r="O3198" s="10" t="str">
        <f t="shared" si="79"/>
        <v>02/2027</v>
      </c>
      <c r="P3198" s="10" t="str">
        <f t="shared" si="399"/>
        <v/>
      </c>
      <c r="Q3198" s="15" t="str">
        <f t="array" ref="Q3198">IFERROR(XLOOKUP(N3198,'Classificação'!A:A,'Classificação'!B:B),"")</f>
        <v>DESPESAS NÃO OPERACIONAIS</v>
      </c>
      <c r="R3198" s="15" t="str">
        <f t="array" ref="R3198">IFERROR(XLOOKUP(Q3198,'Classificação'!B:B,'Classificação'!C:C),"")</f>
        <v>RESULTADO NÃO OPERACIONAL (+/-)</v>
      </c>
      <c r="S3198" s="15">
        <f t="shared" si="228"/>
        <v>10</v>
      </c>
      <c r="T3198" s="15">
        <f t="shared" si="128"/>
        <v>2</v>
      </c>
      <c r="U3198" s="15">
        <f t="shared" si="129"/>
        <v>2027</v>
      </c>
      <c r="V3198" s="15" t="str">
        <f t="shared" si="8"/>
        <v/>
      </c>
      <c r="W3198" s="15" t="str">
        <f t="shared" si="9"/>
        <v/>
      </c>
      <c r="X3198" s="15" t="str">
        <f t="shared" si="10"/>
        <v/>
      </c>
    </row>
    <row r="3199">
      <c r="A3199" s="9">
        <v>46428.0</v>
      </c>
      <c r="B3199" s="10"/>
      <c r="C3199" s="9" t="str">
        <f t="shared" si="249"/>
        <v/>
      </c>
      <c r="D3199" s="11" t="s">
        <v>31</v>
      </c>
      <c r="E3199" s="28" t="s">
        <v>1305</v>
      </c>
      <c r="F3199" s="11" t="s">
        <v>26</v>
      </c>
      <c r="G3199" s="11" t="s">
        <v>37</v>
      </c>
      <c r="H3199" s="11" t="s">
        <v>1367</v>
      </c>
      <c r="I3199" s="31">
        <v>115000.0</v>
      </c>
      <c r="J3199" s="13"/>
      <c r="K3199" s="13" t="str">
        <f t="shared" si="401"/>
        <v/>
      </c>
      <c r="L3199" s="11" t="s">
        <v>34</v>
      </c>
      <c r="M3199" s="14"/>
      <c r="N3199" s="11" t="s">
        <v>35</v>
      </c>
      <c r="O3199" s="10" t="str">
        <f t="shared" si="79"/>
        <v>02/2027</v>
      </c>
      <c r="P3199" s="10" t="str">
        <f t="shared" si="399"/>
        <v/>
      </c>
      <c r="Q3199" s="15" t="str">
        <f t="array" ref="Q3199">IFERROR(XLOOKUP(N3199,'Classificação'!A:A,'Classificação'!B:B),"")</f>
        <v>COMPRA DE MERCADORIA</v>
      </c>
      <c r="S3199" s="15">
        <f t="shared" si="228"/>
        <v>10</v>
      </c>
      <c r="T3199" s="15">
        <f t="shared" si="128"/>
        <v>2</v>
      </c>
      <c r="U3199" s="15">
        <f t="shared" si="129"/>
        <v>2027</v>
      </c>
      <c r="V3199" s="15" t="str">
        <f t="shared" si="8"/>
        <v/>
      </c>
      <c r="W3199" s="15" t="str">
        <f t="shared" si="9"/>
        <v/>
      </c>
      <c r="X3199" s="15" t="str">
        <f t="shared" si="10"/>
        <v/>
      </c>
    </row>
    <row r="3200">
      <c r="A3200" s="9">
        <v>46432.0</v>
      </c>
      <c r="B3200" s="10"/>
      <c r="C3200" s="9" t="str">
        <f t="shared" si="249"/>
        <v/>
      </c>
      <c r="D3200" s="11" t="s">
        <v>44</v>
      </c>
      <c r="E3200" s="11" t="s">
        <v>1305</v>
      </c>
      <c r="F3200" s="11" t="s">
        <v>45</v>
      </c>
      <c r="G3200" s="11" t="s">
        <v>27</v>
      </c>
      <c r="H3200" s="11" t="s">
        <v>476</v>
      </c>
      <c r="I3200" s="12">
        <v>4996.0</v>
      </c>
      <c r="J3200" s="13"/>
      <c r="K3200" s="13" t="str">
        <f t="shared" si="401"/>
        <v/>
      </c>
      <c r="L3200" s="11" t="s">
        <v>53</v>
      </c>
      <c r="M3200" s="16" t="s">
        <v>1164</v>
      </c>
      <c r="N3200" s="11" t="s">
        <v>73</v>
      </c>
      <c r="O3200" s="10" t="str">
        <f t="shared" si="79"/>
        <v>02/2027</v>
      </c>
      <c r="P3200" s="10" t="str">
        <f t="shared" si="399"/>
        <v/>
      </c>
      <c r="Q3200" s="15" t="str">
        <f t="array" ref="Q3200">IFERROR(XLOOKUP(N3200,'Classificação'!A:A,'Classificação'!B:B),"")</f>
        <v>DESPESAS NÃO OPERACIONAIS</v>
      </c>
      <c r="R3200" s="15" t="str">
        <f t="array" ref="R3200">IFERROR(XLOOKUP(Q3200,'Classificação'!B:B,'Classificação'!C:C),"")</f>
        <v>RESULTADO NÃO OPERACIONAL (+/-)</v>
      </c>
      <c r="S3200" s="15">
        <f t="shared" si="228"/>
        <v>14</v>
      </c>
      <c r="T3200" s="15">
        <f t="shared" si="128"/>
        <v>2</v>
      </c>
      <c r="U3200" s="15">
        <f t="shared" si="129"/>
        <v>2027</v>
      </c>
      <c r="V3200" s="15" t="str">
        <f t="shared" si="8"/>
        <v/>
      </c>
      <c r="W3200" s="15" t="str">
        <f t="shared" si="9"/>
        <v/>
      </c>
      <c r="X3200" s="15" t="str">
        <f t="shared" si="10"/>
        <v/>
      </c>
    </row>
    <row r="3201">
      <c r="A3201" s="9">
        <v>46438.0</v>
      </c>
      <c r="B3201" s="9">
        <v>46081.0</v>
      </c>
      <c r="C3201" s="9" t="str">
        <f t="shared" si="249"/>
        <v/>
      </c>
      <c r="D3201" s="11" t="s">
        <v>65</v>
      </c>
      <c r="E3201" s="28" t="s">
        <v>1305</v>
      </c>
      <c r="F3201" s="11" t="s">
        <v>107</v>
      </c>
      <c r="G3201" s="11" t="s">
        <v>27</v>
      </c>
      <c r="H3201" s="11" t="s">
        <v>1293</v>
      </c>
      <c r="I3201" s="31">
        <v>127.9</v>
      </c>
      <c r="J3201" s="13"/>
      <c r="K3201" s="13" t="str">
        <f t="shared" si="401"/>
        <v/>
      </c>
      <c r="L3201" s="11" t="s">
        <v>53</v>
      </c>
      <c r="M3201" s="17">
        <v>46368.0</v>
      </c>
      <c r="N3201" s="11" t="s">
        <v>95</v>
      </c>
      <c r="O3201" s="10" t="str">
        <f t="shared" si="79"/>
        <v>02/2027</v>
      </c>
      <c r="P3201" s="10" t="str">
        <f t="shared" si="399"/>
        <v/>
      </c>
      <c r="Q3201" s="15" t="str">
        <f t="array" ref="Q3201">IFERROR(XLOOKUP(N3201,'Classificação'!A:A,'Classificação'!B:B),"")</f>
        <v>DESPESAS NÃO OPERACIONAIS</v>
      </c>
      <c r="R3201" s="15" t="str">
        <f t="array" ref="R3201">IFERROR(XLOOKUP(Q3201,'Classificação'!B:B,'Classificação'!C:C),"")</f>
        <v>RESULTADO NÃO OPERACIONAL (+/-)</v>
      </c>
      <c r="S3201" s="15">
        <f t="shared" si="228"/>
        <v>20</v>
      </c>
      <c r="T3201" s="15">
        <f t="shared" si="128"/>
        <v>2</v>
      </c>
      <c r="U3201" s="15">
        <f t="shared" si="129"/>
        <v>2027</v>
      </c>
      <c r="V3201" s="15" t="str">
        <f t="shared" si="8"/>
        <v/>
      </c>
      <c r="W3201" s="15" t="str">
        <f t="shared" si="9"/>
        <v/>
      </c>
      <c r="X3201" s="15" t="str">
        <f t="shared" si="10"/>
        <v/>
      </c>
    </row>
    <row r="3202">
      <c r="A3202" s="9">
        <v>46438.0</v>
      </c>
      <c r="B3202" s="9">
        <v>46077.0</v>
      </c>
      <c r="C3202" s="9" t="str">
        <f t="shared" si="249"/>
        <v/>
      </c>
      <c r="D3202" s="11" t="s">
        <v>1294</v>
      </c>
      <c r="E3202" s="28" t="s">
        <v>1305</v>
      </c>
      <c r="F3202" s="11" t="s">
        <v>107</v>
      </c>
      <c r="G3202" s="28" t="s">
        <v>27</v>
      </c>
      <c r="H3202" s="11" t="s">
        <v>1295</v>
      </c>
      <c r="I3202" s="31">
        <v>185.2</v>
      </c>
      <c r="J3202" s="13"/>
      <c r="K3202" s="13" t="str">
        <f t="shared" si="401"/>
        <v/>
      </c>
      <c r="L3202" s="28" t="s">
        <v>53</v>
      </c>
      <c r="M3202" s="17">
        <v>46368.0</v>
      </c>
      <c r="N3202" s="11" t="s">
        <v>64</v>
      </c>
      <c r="O3202" s="10" t="str">
        <f t="shared" si="79"/>
        <v>02/2027</v>
      </c>
      <c r="P3202" s="10" t="str">
        <f t="shared" si="399"/>
        <v/>
      </c>
      <c r="Q3202" s="15" t="str">
        <f t="array" ref="Q3202">IFERROR(XLOOKUP(N3202,'Classificação'!A:A,'Classificação'!B:B),"")</f>
        <v>DESPESAS COM PESSOAL</v>
      </c>
      <c r="R3202" s="15" t="str">
        <f t="array" ref="R3202">IFERROR(XLOOKUP(Q3202,'Classificação'!B:B,'Classificação'!C:C),"")</f>
        <v>DESPESAS FIXAS (-)</v>
      </c>
      <c r="S3202" s="15">
        <f t="shared" si="228"/>
        <v>20</v>
      </c>
      <c r="T3202" s="15">
        <f t="shared" si="128"/>
        <v>2</v>
      </c>
      <c r="U3202" s="15">
        <f t="shared" si="129"/>
        <v>2027</v>
      </c>
      <c r="V3202" s="15" t="str">
        <f t="shared" si="8"/>
        <v/>
      </c>
      <c r="W3202" s="15" t="str">
        <f t="shared" si="9"/>
        <v/>
      </c>
      <c r="X3202" s="15" t="str">
        <f t="shared" si="10"/>
        <v/>
      </c>
    </row>
    <row r="3203">
      <c r="A3203" s="9">
        <v>46444.0</v>
      </c>
      <c r="B3203" s="10"/>
      <c r="C3203" s="9" t="str">
        <f t="shared" si="249"/>
        <v/>
      </c>
      <c r="D3203" s="28" t="s">
        <v>44</v>
      </c>
      <c r="E3203" s="28" t="s">
        <v>1305</v>
      </c>
      <c r="F3203" s="28" t="s">
        <v>45</v>
      </c>
      <c r="G3203" s="28" t="s">
        <v>27</v>
      </c>
      <c r="H3203" s="29" t="s">
        <v>1329</v>
      </c>
      <c r="I3203" s="37">
        <v>2307.6457250000003</v>
      </c>
      <c r="J3203" s="34"/>
      <c r="K3203" s="37"/>
      <c r="L3203" s="28" t="s">
        <v>53</v>
      </c>
      <c r="M3203" s="16" t="s">
        <v>1440</v>
      </c>
      <c r="N3203" s="28" t="s">
        <v>73</v>
      </c>
      <c r="O3203" s="10" t="str">
        <f t="shared" si="79"/>
        <v>02/2027</v>
      </c>
      <c r="P3203" s="10" t="str">
        <f t="shared" si="399"/>
        <v/>
      </c>
      <c r="Q3203" s="15" t="str">
        <f t="array" ref="Q3203">IFERROR(XLOOKUP(N3203,'Classificação'!A:A,'Classificação'!B:B),"")</f>
        <v>DESPESAS NÃO OPERACIONAIS</v>
      </c>
      <c r="R3203" s="15" t="str">
        <f t="array" ref="R3203">IFERROR(XLOOKUP(Q3203,'Classificação'!B:B,'Classificação'!C:C),"")</f>
        <v>RESULTADO NÃO OPERACIONAL (+/-)</v>
      </c>
      <c r="S3203" s="15">
        <f t="shared" si="228"/>
        <v>26</v>
      </c>
      <c r="T3203" s="15">
        <f t="shared" si="128"/>
        <v>2</v>
      </c>
      <c r="U3203" s="15">
        <f t="shared" si="129"/>
        <v>2027</v>
      </c>
      <c r="V3203" s="15" t="str">
        <f t="shared" si="8"/>
        <v/>
      </c>
      <c r="W3203" s="15" t="str">
        <f t="shared" si="9"/>
        <v/>
      </c>
      <c r="X3203" s="15" t="str">
        <f t="shared" si="10"/>
        <v/>
      </c>
    </row>
    <row r="3204">
      <c r="A3204" s="9">
        <v>46449.0</v>
      </c>
      <c r="B3204" s="10"/>
      <c r="C3204" s="9" t="str">
        <f t="shared" si="249"/>
        <v/>
      </c>
      <c r="D3204" s="11" t="s">
        <v>44</v>
      </c>
      <c r="E3204" s="11" t="s">
        <v>1305</v>
      </c>
      <c r="F3204" s="11" t="s">
        <v>45</v>
      </c>
      <c r="G3204" s="11" t="s">
        <v>27</v>
      </c>
      <c r="H3204" s="11" t="s">
        <v>651</v>
      </c>
      <c r="I3204" s="13">
        <v>2528.280175</v>
      </c>
      <c r="J3204" s="13"/>
      <c r="K3204" s="13" t="str">
        <f t="shared" ref="K3204:K3208" si="402">if(E3204="pago",(I3204-J3204),"")</f>
        <v/>
      </c>
      <c r="L3204" s="11" t="s">
        <v>53</v>
      </c>
      <c r="M3204" s="16" t="s">
        <v>1441</v>
      </c>
      <c r="N3204" s="11" t="s">
        <v>73</v>
      </c>
      <c r="O3204" s="10" t="str">
        <f t="shared" si="79"/>
        <v>03/2027</v>
      </c>
      <c r="P3204" s="10" t="str">
        <f t="shared" si="399"/>
        <v/>
      </c>
      <c r="Q3204" s="15" t="str">
        <f t="array" ref="Q3204">IFERROR(XLOOKUP(N3204,'Classificação'!A:A,'Classificação'!B:B),"")</f>
        <v>DESPESAS NÃO OPERACIONAIS</v>
      </c>
      <c r="R3204" s="15" t="str">
        <f t="array" ref="R3204">IFERROR(XLOOKUP(Q3204,'Classificação'!B:B,'Classificação'!C:C),"")</f>
        <v>RESULTADO NÃO OPERACIONAL (+/-)</v>
      </c>
      <c r="S3204" s="15">
        <f t="shared" si="228"/>
        <v>3</v>
      </c>
      <c r="T3204" s="15">
        <f t="shared" si="128"/>
        <v>3</v>
      </c>
      <c r="U3204" s="15">
        <f t="shared" si="129"/>
        <v>2027</v>
      </c>
      <c r="V3204" s="15" t="str">
        <f t="shared" si="8"/>
        <v/>
      </c>
      <c r="W3204" s="15" t="str">
        <f t="shared" si="9"/>
        <v/>
      </c>
      <c r="X3204" s="15" t="str">
        <f t="shared" si="10"/>
        <v/>
      </c>
    </row>
    <row r="3205">
      <c r="A3205" s="9">
        <v>46456.0</v>
      </c>
      <c r="B3205" s="10"/>
      <c r="C3205" s="9" t="str">
        <f t="shared" si="249"/>
        <v/>
      </c>
      <c r="D3205" s="11" t="s">
        <v>44</v>
      </c>
      <c r="E3205" s="11" t="s">
        <v>1305</v>
      </c>
      <c r="F3205" s="11" t="s">
        <v>45</v>
      </c>
      <c r="G3205" s="11" t="s">
        <v>27</v>
      </c>
      <c r="H3205" s="11" t="s">
        <v>52</v>
      </c>
      <c r="I3205" s="12">
        <v>503.0</v>
      </c>
      <c r="J3205" s="13"/>
      <c r="K3205" s="13" t="str">
        <f t="shared" si="402"/>
        <v/>
      </c>
      <c r="L3205" s="11" t="s">
        <v>53</v>
      </c>
      <c r="M3205" s="16" t="s">
        <v>1442</v>
      </c>
      <c r="N3205" s="11" t="s">
        <v>55</v>
      </c>
      <c r="O3205" s="10" t="str">
        <f t="shared" si="79"/>
        <v>03/2027</v>
      </c>
      <c r="P3205" s="10" t="str">
        <f t="shared" si="399"/>
        <v/>
      </c>
      <c r="Q3205" s="15" t="str">
        <f t="array" ref="Q3205">IFERROR(XLOOKUP(N3205,'Classificação'!A:A,'Classificação'!B:B),"")</f>
        <v>DESPESAS NÃO OPERACIONAIS</v>
      </c>
      <c r="R3205" s="15" t="str">
        <f t="array" ref="R3205">IFERROR(XLOOKUP(Q3205,'Classificação'!B:B,'Classificação'!C:C),"")</f>
        <v>RESULTADO NÃO OPERACIONAL (+/-)</v>
      </c>
      <c r="S3205" s="15">
        <f t="shared" si="228"/>
        <v>10</v>
      </c>
      <c r="T3205" s="15">
        <f t="shared" si="128"/>
        <v>3</v>
      </c>
      <c r="U3205" s="15">
        <f t="shared" si="129"/>
        <v>2027</v>
      </c>
      <c r="V3205" s="15" t="str">
        <f t="shared" si="8"/>
        <v/>
      </c>
      <c r="W3205" s="15" t="str">
        <f t="shared" si="9"/>
        <v/>
      </c>
      <c r="X3205" s="15" t="str">
        <f t="shared" si="10"/>
        <v/>
      </c>
    </row>
    <row r="3206">
      <c r="A3206" s="9">
        <v>46456.0</v>
      </c>
      <c r="B3206" s="10"/>
      <c r="C3206" s="9" t="str">
        <f t="shared" si="249"/>
        <v/>
      </c>
      <c r="D3206" s="11" t="s">
        <v>1104</v>
      </c>
      <c r="E3206" s="28" t="s">
        <v>1305</v>
      </c>
      <c r="F3206" s="11" t="s">
        <v>40</v>
      </c>
      <c r="G3206" s="11" t="s">
        <v>37</v>
      </c>
      <c r="H3206" s="11" t="s">
        <v>1105</v>
      </c>
      <c r="I3206" s="12">
        <v>963.38</v>
      </c>
      <c r="J3206" s="13"/>
      <c r="K3206" s="13" t="str">
        <f t="shared" si="402"/>
        <v/>
      </c>
      <c r="L3206" s="11" t="s">
        <v>53</v>
      </c>
      <c r="M3206" s="16" t="s">
        <v>1443</v>
      </c>
      <c r="N3206" s="11" t="s">
        <v>73</v>
      </c>
      <c r="O3206" s="10" t="str">
        <f t="shared" si="79"/>
        <v>03/2027</v>
      </c>
      <c r="P3206" s="10" t="str">
        <f t="shared" si="399"/>
        <v/>
      </c>
      <c r="Q3206" s="15" t="str">
        <f t="array" ref="Q3206">IFERROR(XLOOKUP(N3206,'Classificação'!A:A,'Classificação'!B:B),"")</f>
        <v>DESPESAS NÃO OPERACIONAIS</v>
      </c>
      <c r="R3206" s="15" t="str">
        <f t="array" ref="R3206">IFERROR(XLOOKUP(Q3206,'Classificação'!B:B,'Classificação'!C:C),"")</f>
        <v>RESULTADO NÃO OPERACIONAL (+/-)</v>
      </c>
      <c r="S3206" s="15">
        <f t="shared" si="228"/>
        <v>10</v>
      </c>
      <c r="T3206" s="15">
        <f t="shared" si="128"/>
        <v>3</v>
      </c>
      <c r="U3206" s="15">
        <f t="shared" si="129"/>
        <v>2027</v>
      </c>
      <c r="V3206" s="15" t="str">
        <f t="shared" si="8"/>
        <v/>
      </c>
      <c r="W3206" s="15" t="str">
        <f t="shared" si="9"/>
        <v/>
      </c>
      <c r="X3206" s="15" t="str">
        <f t="shared" si="10"/>
        <v/>
      </c>
    </row>
    <row r="3207">
      <c r="A3207" s="9">
        <v>46456.0</v>
      </c>
      <c r="B3207" s="32">
        <v>46011.0</v>
      </c>
      <c r="C3207" s="9" t="str">
        <f t="shared" si="249"/>
        <v/>
      </c>
      <c r="D3207" s="11" t="s">
        <v>65</v>
      </c>
      <c r="E3207" s="28" t="s">
        <v>1305</v>
      </c>
      <c r="F3207" s="11" t="s">
        <v>26</v>
      </c>
      <c r="G3207" s="28" t="s">
        <v>27</v>
      </c>
      <c r="H3207" s="11" t="s">
        <v>1159</v>
      </c>
      <c r="I3207" s="31">
        <v>54.99</v>
      </c>
      <c r="J3207" s="13"/>
      <c r="K3207" s="13" t="str">
        <f t="shared" si="402"/>
        <v/>
      </c>
      <c r="L3207" s="11" t="s">
        <v>53</v>
      </c>
      <c r="M3207" s="16" t="s">
        <v>1444</v>
      </c>
      <c r="N3207" s="11" t="s">
        <v>95</v>
      </c>
      <c r="O3207" s="10" t="str">
        <f t="shared" si="79"/>
        <v>03/2027</v>
      </c>
      <c r="P3207" s="10" t="str">
        <f t="shared" si="399"/>
        <v/>
      </c>
      <c r="Q3207" s="15" t="str">
        <f t="array" ref="Q3207">IFERROR(XLOOKUP(N3207,'Classificação'!A:A,'Classificação'!B:B),"")</f>
        <v>DESPESAS NÃO OPERACIONAIS</v>
      </c>
      <c r="R3207" s="15" t="str">
        <f t="array" ref="R3207">IFERROR(XLOOKUP(Q3207,'Classificação'!B:B,'Classificação'!C:C),"")</f>
        <v>RESULTADO NÃO OPERACIONAL (+/-)</v>
      </c>
      <c r="S3207" s="15">
        <f t="shared" si="228"/>
        <v>10</v>
      </c>
      <c r="T3207" s="15">
        <f t="shared" si="128"/>
        <v>3</v>
      </c>
      <c r="U3207" s="15">
        <f t="shared" si="129"/>
        <v>2027</v>
      </c>
      <c r="V3207" s="15" t="str">
        <f t="shared" si="8"/>
        <v/>
      </c>
      <c r="W3207" s="15" t="str">
        <f t="shared" si="9"/>
        <v/>
      </c>
      <c r="X3207" s="15" t="str">
        <f t="shared" si="10"/>
        <v/>
      </c>
    </row>
    <row r="3208">
      <c r="A3208" s="9">
        <v>46460.0</v>
      </c>
      <c r="B3208" s="10"/>
      <c r="C3208" s="9" t="str">
        <f t="shared" si="249"/>
        <v/>
      </c>
      <c r="D3208" s="11" t="s">
        <v>44</v>
      </c>
      <c r="E3208" s="11" t="s">
        <v>1305</v>
      </c>
      <c r="F3208" s="11" t="s">
        <v>45</v>
      </c>
      <c r="G3208" s="11" t="s">
        <v>27</v>
      </c>
      <c r="H3208" s="11" t="s">
        <v>476</v>
      </c>
      <c r="I3208" s="12">
        <v>4996.0</v>
      </c>
      <c r="J3208" s="13"/>
      <c r="K3208" s="13" t="str">
        <f t="shared" si="402"/>
        <v/>
      </c>
      <c r="L3208" s="11" t="s">
        <v>53</v>
      </c>
      <c r="M3208" s="16" t="s">
        <v>1236</v>
      </c>
      <c r="N3208" s="11" t="s">
        <v>73</v>
      </c>
      <c r="O3208" s="10" t="str">
        <f t="shared" si="79"/>
        <v>03/2027</v>
      </c>
      <c r="P3208" s="10" t="str">
        <f t="shared" si="399"/>
        <v/>
      </c>
      <c r="Q3208" s="15" t="str">
        <f t="array" ref="Q3208">IFERROR(XLOOKUP(N3208,'Classificação'!A:A,'Classificação'!B:B),"")</f>
        <v>DESPESAS NÃO OPERACIONAIS</v>
      </c>
      <c r="R3208" s="15" t="str">
        <f t="array" ref="R3208">IFERROR(XLOOKUP(Q3208,'Classificação'!B:B,'Classificação'!C:C),"")</f>
        <v>RESULTADO NÃO OPERACIONAL (+/-)</v>
      </c>
      <c r="S3208" s="15">
        <f t="shared" si="228"/>
        <v>14</v>
      </c>
      <c r="T3208" s="15">
        <f t="shared" si="128"/>
        <v>3</v>
      </c>
      <c r="U3208" s="15">
        <f t="shared" si="129"/>
        <v>2027</v>
      </c>
      <c r="V3208" s="15" t="str">
        <f t="shared" si="8"/>
        <v/>
      </c>
      <c r="W3208" s="15" t="str">
        <f t="shared" si="9"/>
        <v/>
      </c>
      <c r="X3208" s="15" t="str">
        <f t="shared" si="10"/>
        <v/>
      </c>
    </row>
    <row r="3209">
      <c r="A3209" s="9">
        <v>46472.0</v>
      </c>
      <c r="B3209" s="10"/>
      <c r="C3209" s="9" t="str">
        <f t="shared" si="249"/>
        <v/>
      </c>
      <c r="D3209" s="28" t="s">
        <v>44</v>
      </c>
      <c r="E3209" s="28" t="s">
        <v>1305</v>
      </c>
      <c r="F3209" s="28" t="s">
        <v>45</v>
      </c>
      <c r="G3209" s="28" t="s">
        <v>27</v>
      </c>
      <c r="H3209" s="29" t="s">
        <v>1329</v>
      </c>
      <c r="I3209" s="37">
        <v>2282.81865</v>
      </c>
      <c r="J3209" s="34"/>
      <c r="K3209" s="37"/>
      <c r="L3209" s="28" t="s">
        <v>53</v>
      </c>
      <c r="M3209" s="16" t="s">
        <v>1445</v>
      </c>
      <c r="N3209" s="28" t="s">
        <v>73</v>
      </c>
      <c r="O3209" s="10" t="str">
        <f t="shared" si="79"/>
        <v>03/2027</v>
      </c>
      <c r="P3209" s="10" t="str">
        <f t="shared" si="399"/>
        <v/>
      </c>
      <c r="Q3209" s="15" t="str">
        <f t="array" ref="Q3209">IFERROR(XLOOKUP(N3209,'Classificação'!A:A,'Classificação'!B:B),"")</f>
        <v>DESPESAS NÃO OPERACIONAIS</v>
      </c>
      <c r="R3209" s="15" t="str">
        <f t="array" ref="R3209">IFERROR(XLOOKUP(Q3209,'Classificação'!B:B,'Classificação'!C:C),"")</f>
        <v>RESULTADO NÃO OPERACIONAL (+/-)</v>
      </c>
      <c r="S3209" s="15">
        <f t="shared" si="228"/>
        <v>26</v>
      </c>
      <c r="T3209" s="15">
        <f t="shared" si="128"/>
        <v>3</v>
      </c>
      <c r="U3209" s="15">
        <f t="shared" si="129"/>
        <v>2027</v>
      </c>
      <c r="V3209" s="15" t="str">
        <f t="shared" si="8"/>
        <v/>
      </c>
      <c r="W3209" s="15" t="str">
        <f t="shared" si="9"/>
        <v/>
      </c>
      <c r="X3209" s="15" t="str">
        <f t="shared" si="10"/>
        <v/>
      </c>
    </row>
    <row r="3210">
      <c r="A3210" s="9">
        <v>46480.0</v>
      </c>
      <c r="B3210" s="10"/>
      <c r="C3210" s="9" t="str">
        <f t="shared" si="249"/>
        <v/>
      </c>
      <c r="D3210" s="11" t="s">
        <v>44</v>
      </c>
      <c r="E3210" s="11" t="s">
        <v>1305</v>
      </c>
      <c r="F3210" s="11" t="s">
        <v>45</v>
      </c>
      <c r="G3210" s="11" t="s">
        <v>27</v>
      </c>
      <c r="H3210" s="11" t="s">
        <v>651</v>
      </c>
      <c r="I3210" s="13">
        <v>2490.3770999999997</v>
      </c>
      <c r="J3210" s="13"/>
      <c r="K3210" s="13" t="str">
        <f t="shared" ref="K3210:K3214" si="403">if(E3210="pago",(I3210-J3210),"")</f>
        <v/>
      </c>
      <c r="L3210" s="11" t="s">
        <v>53</v>
      </c>
      <c r="M3210" s="16" t="s">
        <v>1446</v>
      </c>
      <c r="N3210" s="11" t="s">
        <v>73</v>
      </c>
      <c r="O3210" s="10" t="str">
        <f t="shared" si="79"/>
        <v>04/2027</v>
      </c>
      <c r="P3210" s="10" t="str">
        <f t="shared" si="399"/>
        <v/>
      </c>
      <c r="Q3210" s="15" t="str">
        <f t="array" ref="Q3210">IFERROR(XLOOKUP(N3210,'Classificação'!A:A,'Classificação'!B:B),"")</f>
        <v>DESPESAS NÃO OPERACIONAIS</v>
      </c>
      <c r="R3210" s="15" t="str">
        <f t="array" ref="R3210">IFERROR(XLOOKUP(Q3210,'Classificação'!B:B,'Classificação'!C:C),"")</f>
        <v>RESULTADO NÃO OPERACIONAL (+/-)</v>
      </c>
      <c r="S3210" s="15">
        <f t="shared" si="228"/>
        <v>3</v>
      </c>
      <c r="T3210" s="15">
        <f t="shared" si="128"/>
        <v>4</v>
      </c>
      <c r="U3210" s="15">
        <f t="shared" si="129"/>
        <v>2027</v>
      </c>
      <c r="V3210" s="15" t="str">
        <f t="shared" si="8"/>
        <v/>
      </c>
      <c r="W3210" s="15" t="str">
        <f t="shared" si="9"/>
        <v/>
      </c>
      <c r="X3210" s="15" t="str">
        <f t="shared" si="10"/>
        <v/>
      </c>
    </row>
    <row r="3211">
      <c r="A3211" s="9">
        <v>46487.0</v>
      </c>
      <c r="B3211" s="10"/>
      <c r="C3211" s="9" t="str">
        <f t="shared" si="249"/>
        <v/>
      </c>
      <c r="D3211" s="11" t="s">
        <v>44</v>
      </c>
      <c r="E3211" s="11" t="s">
        <v>1305</v>
      </c>
      <c r="F3211" s="11" t="s">
        <v>45</v>
      </c>
      <c r="G3211" s="11" t="s">
        <v>27</v>
      </c>
      <c r="H3211" s="11" t="s">
        <v>52</v>
      </c>
      <c r="I3211" s="12">
        <v>503.0</v>
      </c>
      <c r="J3211" s="13"/>
      <c r="K3211" s="13" t="str">
        <f t="shared" si="403"/>
        <v/>
      </c>
      <c r="L3211" s="11" t="s">
        <v>53</v>
      </c>
      <c r="M3211" s="16" t="s">
        <v>1447</v>
      </c>
      <c r="N3211" s="11" t="s">
        <v>55</v>
      </c>
      <c r="O3211" s="10" t="str">
        <f t="shared" si="79"/>
        <v>04/2027</v>
      </c>
      <c r="P3211" s="10" t="str">
        <f t="shared" si="399"/>
        <v/>
      </c>
      <c r="Q3211" s="15" t="str">
        <f t="array" ref="Q3211">IFERROR(XLOOKUP(N3211,'Classificação'!A:A,'Classificação'!B:B),"")</f>
        <v>DESPESAS NÃO OPERACIONAIS</v>
      </c>
      <c r="R3211" s="15" t="str">
        <f t="array" ref="R3211">IFERROR(XLOOKUP(Q3211,'Classificação'!B:B,'Classificação'!C:C),"")</f>
        <v>RESULTADO NÃO OPERACIONAL (+/-)</v>
      </c>
      <c r="S3211" s="15">
        <f t="shared" si="228"/>
        <v>10</v>
      </c>
      <c r="T3211" s="15">
        <f t="shared" si="128"/>
        <v>4</v>
      </c>
      <c r="U3211" s="15">
        <f t="shared" si="129"/>
        <v>2027</v>
      </c>
      <c r="V3211" s="15" t="str">
        <f t="shared" si="8"/>
        <v/>
      </c>
      <c r="W3211" s="15" t="str">
        <f t="shared" si="9"/>
        <v/>
      </c>
      <c r="X3211" s="15" t="str">
        <f t="shared" si="10"/>
        <v/>
      </c>
    </row>
    <row r="3212">
      <c r="A3212" s="9">
        <v>46487.0</v>
      </c>
      <c r="B3212" s="10"/>
      <c r="C3212" s="9" t="str">
        <f t="shared" si="249"/>
        <v/>
      </c>
      <c r="D3212" s="11" t="s">
        <v>1104</v>
      </c>
      <c r="E3212" s="28" t="s">
        <v>1305</v>
      </c>
      <c r="F3212" s="11" t="s">
        <v>40</v>
      </c>
      <c r="G3212" s="11" t="s">
        <v>37</v>
      </c>
      <c r="H3212" s="11" t="s">
        <v>1105</v>
      </c>
      <c r="I3212" s="12">
        <v>963.38</v>
      </c>
      <c r="J3212" s="13"/>
      <c r="K3212" s="13" t="str">
        <f t="shared" si="403"/>
        <v/>
      </c>
      <c r="L3212" s="11" t="s">
        <v>53</v>
      </c>
      <c r="M3212" s="16" t="s">
        <v>1448</v>
      </c>
      <c r="N3212" s="11" t="s">
        <v>73</v>
      </c>
      <c r="O3212" s="10" t="str">
        <f t="shared" si="79"/>
        <v>04/2027</v>
      </c>
      <c r="P3212" s="10" t="str">
        <f t="shared" si="399"/>
        <v/>
      </c>
      <c r="Q3212" s="15" t="str">
        <f t="array" ref="Q3212">IFERROR(XLOOKUP(N3212,'Classificação'!A:A,'Classificação'!B:B),"")</f>
        <v>DESPESAS NÃO OPERACIONAIS</v>
      </c>
      <c r="R3212" s="15" t="str">
        <f t="array" ref="R3212">IFERROR(XLOOKUP(Q3212,'Classificação'!B:B,'Classificação'!C:C),"")</f>
        <v>RESULTADO NÃO OPERACIONAL (+/-)</v>
      </c>
      <c r="S3212" s="15">
        <f t="shared" si="228"/>
        <v>10</v>
      </c>
      <c r="T3212" s="15">
        <f t="shared" si="128"/>
        <v>4</v>
      </c>
      <c r="U3212" s="15">
        <f t="shared" si="129"/>
        <v>2027</v>
      </c>
      <c r="V3212" s="15" t="str">
        <f t="shared" si="8"/>
        <v/>
      </c>
      <c r="W3212" s="15" t="str">
        <f t="shared" si="9"/>
        <v/>
      </c>
      <c r="X3212" s="15" t="str">
        <f t="shared" si="10"/>
        <v/>
      </c>
    </row>
    <row r="3213">
      <c r="A3213" s="9">
        <v>46487.0</v>
      </c>
      <c r="B3213" s="32">
        <v>46011.0</v>
      </c>
      <c r="C3213" s="9" t="str">
        <f t="shared" si="249"/>
        <v/>
      </c>
      <c r="D3213" s="11" t="s">
        <v>65</v>
      </c>
      <c r="E3213" s="28" t="s">
        <v>1305</v>
      </c>
      <c r="F3213" s="11" t="s">
        <v>26</v>
      </c>
      <c r="G3213" s="28" t="s">
        <v>27</v>
      </c>
      <c r="H3213" s="11" t="s">
        <v>1159</v>
      </c>
      <c r="I3213" s="31">
        <v>54.99</v>
      </c>
      <c r="J3213" s="13"/>
      <c r="K3213" s="13" t="str">
        <f t="shared" si="403"/>
        <v/>
      </c>
      <c r="L3213" s="11" t="s">
        <v>53</v>
      </c>
      <c r="M3213" s="16" t="s">
        <v>1449</v>
      </c>
      <c r="N3213" s="11" t="s">
        <v>95</v>
      </c>
      <c r="O3213" s="10" t="str">
        <f t="shared" si="79"/>
        <v>04/2027</v>
      </c>
      <c r="P3213" s="10" t="str">
        <f t="shared" si="399"/>
        <v/>
      </c>
      <c r="Q3213" s="15" t="str">
        <f t="array" ref="Q3213">IFERROR(XLOOKUP(N3213,'Classificação'!A:A,'Classificação'!B:B),"")</f>
        <v>DESPESAS NÃO OPERACIONAIS</v>
      </c>
      <c r="R3213" s="15" t="str">
        <f t="array" ref="R3213">IFERROR(XLOOKUP(Q3213,'Classificação'!B:B,'Classificação'!C:C),"")</f>
        <v>RESULTADO NÃO OPERACIONAL (+/-)</v>
      </c>
      <c r="S3213" s="15">
        <f t="shared" si="228"/>
        <v>10</v>
      </c>
      <c r="T3213" s="15">
        <f t="shared" si="128"/>
        <v>4</v>
      </c>
      <c r="U3213" s="15">
        <f t="shared" si="129"/>
        <v>2027</v>
      </c>
      <c r="V3213" s="15" t="str">
        <f t="shared" si="8"/>
        <v/>
      </c>
      <c r="W3213" s="15" t="str">
        <f t="shared" si="9"/>
        <v/>
      </c>
      <c r="X3213" s="15" t="str">
        <f t="shared" si="10"/>
        <v/>
      </c>
    </row>
    <row r="3214">
      <c r="A3214" s="9">
        <v>46491.0</v>
      </c>
      <c r="B3214" s="10"/>
      <c r="C3214" s="9" t="str">
        <f t="shared" si="249"/>
        <v/>
      </c>
      <c r="D3214" s="11" t="s">
        <v>44</v>
      </c>
      <c r="E3214" s="11" t="s">
        <v>1305</v>
      </c>
      <c r="F3214" s="11" t="s">
        <v>45</v>
      </c>
      <c r="G3214" s="11" t="s">
        <v>27</v>
      </c>
      <c r="H3214" s="11" t="s">
        <v>476</v>
      </c>
      <c r="I3214" s="12">
        <v>4996.0</v>
      </c>
      <c r="J3214" s="13"/>
      <c r="K3214" s="13" t="str">
        <f t="shared" si="403"/>
        <v/>
      </c>
      <c r="L3214" s="11" t="s">
        <v>53</v>
      </c>
      <c r="M3214" s="16" t="s">
        <v>1278</v>
      </c>
      <c r="N3214" s="11" t="s">
        <v>73</v>
      </c>
      <c r="O3214" s="10" t="str">
        <f t="shared" si="79"/>
        <v>04/2027</v>
      </c>
      <c r="P3214" s="10" t="str">
        <f t="shared" si="399"/>
        <v/>
      </c>
      <c r="Q3214" s="15" t="str">
        <f t="array" ref="Q3214">IFERROR(XLOOKUP(N3214,'Classificação'!A:A,'Classificação'!B:B),"")</f>
        <v>DESPESAS NÃO OPERACIONAIS</v>
      </c>
      <c r="R3214" s="15" t="str">
        <f t="array" ref="R3214">IFERROR(XLOOKUP(Q3214,'Classificação'!B:B,'Classificação'!C:C),"")</f>
        <v>RESULTADO NÃO OPERACIONAL (+/-)</v>
      </c>
      <c r="S3214" s="15">
        <f t="shared" si="228"/>
        <v>14</v>
      </c>
      <c r="T3214" s="15">
        <f t="shared" si="128"/>
        <v>4</v>
      </c>
      <c r="U3214" s="15">
        <f t="shared" si="129"/>
        <v>2027</v>
      </c>
      <c r="V3214" s="15" t="str">
        <f t="shared" si="8"/>
        <v/>
      </c>
      <c r="W3214" s="15" t="str">
        <f t="shared" si="9"/>
        <v/>
      </c>
      <c r="X3214" s="15" t="str">
        <f t="shared" si="10"/>
        <v/>
      </c>
    </row>
    <row r="3215">
      <c r="A3215" s="9">
        <v>46503.0</v>
      </c>
      <c r="B3215" s="10"/>
      <c r="C3215" s="9" t="str">
        <f t="shared" si="249"/>
        <v/>
      </c>
      <c r="D3215" s="28" t="s">
        <v>44</v>
      </c>
      <c r="E3215" s="28" t="s">
        <v>1305</v>
      </c>
      <c r="F3215" s="28" t="s">
        <v>45</v>
      </c>
      <c r="G3215" s="28" t="s">
        <v>27</v>
      </c>
      <c r="H3215" s="29" t="s">
        <v>1329</v>
      </c>
      <c r="I3215" s="37">
        <v>2257.991575</v>
      </c>
      <c r="J3215" s="34"/>
      <c r="K3215" s="37"/>
      <c r="L3215" s="28" t="s">
        <v>53</v>
      </c>
      <c r="M3215" s="16" t="s">
        <v>1450</v>
      </c>
      <c r="N3215" s="28" t="s">
        <v>73</v>
      </c>
      <c r="O3215" s="10" t="str">
        <f t="shared" si="79"/>
        <v>04/2027</v>
      </c>
      <c r="P3215" s="10" t="str">
        <f t="shared" si="399"/>
        <v/>
      </c>
      <c r="Q3215" s="15" t="str">
        <f t="array" ref="Q3215">IFERROR(XLOOKUP(N3215,'Classificação'!A:A,'Classificação'!B:B),"")</f>
        <v>DESPESAS NÃO OPERACIONAIS</v>
      </c>
      <c r="R3215" s="15" t="str">
        <f t="array" ref="R3215">IFERROR(XLOOKUP(Q3215,'Classificação'!B:B,'Classificação'!C:C),"")</f>
        <v>RESULTADO NÃO OPERACIONAL (+/-)</v>
      </c>
      <c r="S3215" s="15">
        <f t="shared" si="228"/>
        <v>26</v>
      </c>
      <c r="T3215" s="15">
        <f t="shared" si="128"/>
        <v>4</v>
      </c>
      <c r="U3215" s="15">
        <f t="shared" si="129"/>
        <v>2027</v>
      </c>
      <c r="V3215" s="15" t="str">
        <f t="shared" si="8"/>
        <v/>
      </c>
      <c r="W3215" s="15" t="str">
        <f t="shared" si="9"/>
        <v/>
      </c>
      <c r="X3215" s="15" t="str">
        <f t="shared" si="10"/>
        <v/>
      </c>
    </row>
    <row r="3216">
      <c r="A3216" s="9">
        <v>46510.0</v>
      </c>
      <c r="B3216" s="10"/>
      <c r="C3216" s="9" t="str">
        <f t="shared" si="249"/>
        <v/>
      </c>
      <c r="D3216" s="11" t="s">
        <v>44</v>
      </c>
      <c r="E3216" s="11" t="s">
        <v>1305</v>
      </c>
      <c r="F3216" s="11" t="s">
        <v>45</v>
      </c>
      <c r="G3216" s="11" t="s">
        <v>27</v>
      </c>
      <c r="H3216" s="11" t="s">
        <v>651</v>
      </c>
      <c r="I3216" s="13">
        <v>2452.474025</v>
      </c>
      <c r="J3216" s="13"/>
      <c r="K3216" s="13" t="str">
        <f t="shared" ref="K3216:K3220" si="404">if(E3216="pago",(I3216-J3216),"")</f>
        <v/>
      </c>
      <c r="L3216" s="11" t="s">
        <v>53</v>
      </c>
      <c r="M3216" s="16" t="s">
        <v>1451</v>
      </c>
      <c r="N3216" s="11" t="s">
        <v>73</v>
      </c>
      <c r="O3216" s="10" t="str">
        <f t="shared" si="79"/>
        <v>05/2027</v>
      </c>
      <c r="P3216" s="10" t="str">
        <f t="shared" si="399"/>
        <v/>
      </c>
      <c r="Q3216" s="15" t="str">
        <f t="array" ref="Q3216">IFERROR(XLOOKUP(N3216,'Classificação'!A:A,'Classificação'!B:B),"")</f>
        <v>DESPESAS NÃO OPERACIONAIS</v>
      </c>
      <c r="R3216" s="15" t="str">
        <f t="array" ref="R3216">IFERROR(XLOOKUP(Q3216,'Classificação'!B:B,'Classificação'!C:C),"")</f>
        <v>RESULTADO NÃO OPERACIONAL (+/-)</v>
      </c>
      <c r="S3216" s="15">
        <f t="shared" si="228"/>
        <v>3</v>
      </c>
      <c r="T3216" s="15">
        <f t="shared" si="128"/>
        <v>5</v>
      </c>
      <c r="U3216" s="15">
        <f t="shared" si="129"/>
        <v>2027</v>
      </c>
      <c r="V3216" s="15" t="str">
        <f t="shared" si="8"/>
        <v/>
      </c>
      <c r="W3216" s="15" t="str">
        <f t="shared" si="9"/>
        <v/>
      </c>
      <c r="X3216" s="15" t="str">
        <f t="shared" si="10"/>
        <v/>
      </c>
    </row>
    <row r="3217">
      <c r="A3217" s="9">
        <v>46517.0</v>
      </c>
      <c r="B3217" s="10"/>
      <c r="C3217" s="9" t="str">
        <f t="shared" si="249"/>
        <v/>
      </c>
      <c r="D3217" s="11" t="s">
        <v>44</v>
      </c>
      <c r="E3217" s="11" t="s">
        <v>1305</v>
      </c>
      <c r="F3217" s="11" t="s">
        <v>45</v>
      </c>
      <c r="G3217" s="11" t="s">
        <v>27</v>
      </c>
      <c r="H3217" s="11" t="s">
        <v>52</v>
      </c>
      <c r="I3217" s="12">
        <v>503.0</v>
      </c>
      <c r="J3217" s="13"/>
      <c r="K3217" s="13" t="str">
        <f t="shared" si="404"/>
        <v/>
      </c>
      <c r="L3217" s="11" t="s">
        <v>53</v>
      </c>
      <c r="M3217" s="16" t="s">
        <v>1452</v>
      </c>
      <c r="N3217" s="11" t="s">
        <v>55</v>
      </c>
      <c r="O3217" s="10" t="str">
        <f t="shared" si="79"/>
        <v>05/2027</v>
      </c>
      <c r="P3217" s="10" t="str">
        <f t="shared" si="399"/>
        <v/>
      </c>
      <c r="Q3217" s="15" t="str">
        <f t="array" ref="Q3217">IFERROR(XLOOKUP(N3217,'Classificação'!A:A,'Classificação'!B:B),"")</f>
        <v>DESPESAS NÃO OPERACIONAIS</v>
      </c>
      <c r="R3217" s="15" t="str">
        <f t="array" ref="R3217">IFERROR(XLOOKUP(Q3217,'Classificação'!B:B,'Classificação'!C:C),"")</f>
        <v>RESULTADO NÃO OPERACIONAL (+/-)</v>
      </c>
      <c r="S3217" s="15">
        <f t="shared" si="228"/>
        <v>10</v>
      </c>
      <c r="T3217" s="15">
        <f t="shared" si="128"/>
        <v>5</v>
      </c>
      <c r="U3217" s="15">
        <f t="shared" si="129"/>
        <v>2027</v>
      </c>
      <c r="V3217" s="15" t="str">
        <f t="shared" si="8"/>
        <v/>
      </c>
      <c r="W3217" s="15" t="str">
        <f t="shared" si="9"/>
        <v/>
      </c>
      <c r="X3217" s="15" t="str">
        <f t="shared" si="10"/>
        <v/>
      </c>
    </row>
    <row r="3218">
      <c r="A3218" s="9">
        <v>46517.0</v>
      </c>
      <c r="B3218" s="10"/>
      <c r="C3218" s="9" t="str">
        <f t="shared" si="249"/>
        <v/>
      </c>
      <c r="D3218" s="11" t="s">
        <v>1104</v>
      </c>
      <c r="E3218" s="28" t="s">
        <v>1305</v>
      </c>
      <c r="F3218" s="11" t="s">
        <v>40</v>
      </c>
      <c r="G3218" s="11" t="s">
        <v>37</v>
      </c>
      <c r="H3218" s="11" t="s">
        <v>1105</v>
      </c>
      <c r="I3218" s="12">
        <v>963.38</v>
      </c>
      <c r="J3218" s="13"/>
      <c r="K3218" s="13" t="str">
        <f t="shared" si="404"/>
        <v/>
      </c>
      <c r="L3218" s="11" t="s">
        <v>53</v>
      </c>
      <c r="M3218" s="16" t="s">
        <v>1453</v>
      </c>
      <c r="N3218" s="11" t="s">
        <v>73</v>
      </c>
      <c r="O3218" s="10" t="str">
        <f t="shared" si="79"/>
        <v>05/2027</v>
      </c>
      <c r="P3218" s="10" t="str">
        <f t="shared" si="399"/>
        <v/>
      </c>
      <c r="Q3218" s="15" t="str">
        <f t="array" ref="Q3218">IFERROR(XLOOKUP(N3218,'Classificação'!A:A,'Classificação'!B:B),"")</f>
        <v>DESPESAS NÃO OPERACIONAIS</v>
      </c>
      <c r="R3218" s="15" t="str">
        <f t="array" ref="R3218">IFERROR(XLOOKUP(Q3218,'Classificação'!B:B,'Classificação'!C:C),"")</f>
        <v>RESULTADO NÃO OPERACIONAL (+/-)</v>
      </c>
      <c r="S3218" s="15">
        <f t="shared" si="228"/>
        <v>10</v>
      </c>
      <c r="T3218" s="15">
        <f t="shared" si="128"/>
        <v>5</v>
      </c>
      <c r="U3218" s="15">
        <f t="shared" si="129"/>
        <v>2027</v>
      </c>
      <c r="V3218" s="15" t="str">
        <f t="shared" si="8"/>
        <v/>
      </c>
      <c r="W3218" s="15" t="str">
        <f t="shared" si="9"/>
        <v/>
      </c>
      <c r="X3218" s="15" t="str">
        <f t="shared" si="10"/>
        <v/>
      </c>
    </row>
    <row r="3219">
      <c r="A3219" s="9">
        <v>46517.0</v>
      </c>
      <c r="B3219" s="32">
        <v>46011.0</v>
      </c>
      <c r="C3219" s="9" t="str">
        <f t="shared" si="249"/>
        <v/>
      </c>
      <c r="D3219" s="11" t="s">
        <v>65</v>
      </c>
      <c r="E3219" s="28" t="s">
        <v>1305</v>
      </c>
      <c r="F3219" s="11" t="s">
        <v>26</v>
      </c>
      <c r="G3219" s="28" t="s">
        <v>27</v>
      </c>
      <c r="H3219" s="11" t="s">
        <v>1159</v>
      </c>
      <c r="I3219" s="31">
        <v>54.99</v>
      </c>
      <c r="J3219" s="13"/>
      <c r="K3219" s="13" t="str">
        <f t="shared" si="404"/>
        <v/>
      </c>
      <c r="L3219" s="11" t="s">
        <v>53</v>
      </c>
      <c r="M3219" s="16" t="s">
        <v>1454</v>
      </c>
      <c r="N3219" s="11" t="s">
        <v>95</v>
      </c>
      <c r="O3219" s="10" t="str">
        <f t="shared" si="79"/>
        <v>05/2027</v>
      </c>
      <c r="P3219" s="10" t="str">
        <f t="shared" si="399"/>
        <v/>
      </c>
      <c r="Q3219" s="15" t="str">
        <f t="array" ref="Q3219">IFERROR(XLOOKUP(N3219,'Classificação'!A:A,'Classificação'!B:B),"")</f>
        <v>DESPESAS NÃO OPERACIONAIS</v>
      </c>
      <c r="R3219" s="15" t="str">
        <f t="array" ref="R3219">IFERROR(XLOOKUP(Q3219,'Classificação'!B:B,'Classificação'!C:C),"")</f>
        <v>RESULTADO NÃO OPERACIONAL (+/-)</v>
      </c>
      <c r="S3219" s="15">
        <f t="shared" si="228"/>
        <v>10</v>
      </c>
      <c r="T3219" s="15">
        <f t="shared" si="128"/>
        <v>5</v>
      </c>
      <c r="U3219" s="15">
        <f t="shared" si="129"/>
        <v>2027</v>
      </c>
      <c r="V3219" s="15" t="str">
        <f t="shared" si="8"/>
        <v/>
      </c>
      <c r="W3219" s="15" t="str">
        <f t="shared" si="9"/>
        <v/>
      </c>
      <c r="X3219" s="15" t="str">
        <f t="shared" si="10"/>
        <v/>
      </c>
    </row>
    <row r="3220">
      <c r="A3220" s="9">
        <v>46521.0</v>
      </c>
      <c r="B3220" s="10"/>
      <c r="C3220" s="9" t="str">
        <f t="shared" si="249"/>
        <v/>
      </c>
      <c r="D3220" s="11" t="s">
        <v>44</v>
      </c>
      <c r="E3220" s="11" t="s">
        <v>1305</v>
      </c>
      <c r="F3220" s="11" t="s">
        <v>45</v>
      </c>
      <c r="G3220" s="11" t="s">
        <v>27</v>
      </c>
      <c r="H3220" s="11" t="s">
        <v>476</v>
      </c>
      <c r="I3220" s="12">
        <v>4996.0</v>
      </c>
      <c r="J3220" s="13"/>
      <c r="K3220" s="13" t="str">
        <f t="shared" si="404"/>
        <v/>
      </c>
      <c r="L3220" s="11" t="s">
        <v>53</v>
      </c>
      <c r="M3220" s="16" t="s">
        <v>1317</v>
      </c>
      <c r="N3220" s="11" t="s">
        <v>73</v>
      </c>
      <c r="O3220" s="10" t="str">
        <f t="shared" si="79"/>
        <v>05/2027</v>
      </c>
      <c r="P3220" s="10" t="str">
        <f t="shared" si="399"/>
        <v/>
      </c>
      <c r="Q3220" s="15" t="str">
        <f t="array" ref="Q3220">IFERROR(XLOOKUP(N3220,'Classificação'!A:A,'Classificação'!B:B),"")</f>
        <v>DESPESAS NÃO OPERACIONAIS</v>
      </c>
      <c r="R3220" s="15" t="str">
        <f t="array" ref="R3220">IFERROR(XLOOKUP(Q3220,'Classificação'!B:B,'Classificação'!C:C),"")</f>
        <v>RESULTADO NÃO OPERACIONAL (+/-)</v>
      </c>
      <c r="S3220" s="15">
        <f t="shared" si="228"/>
        <v>14</v>
      </c>
      <c r="T3220" s="15">
        <f t="shared" si="128"/>
        <v>5</v>
      </c>
      <c r="U3220" s="15">
        <f t="shared" si="129"/>
        <v>2027</v>
      </c>
      <c r="V3220" s="15" t="str">
        <f t="shared" si="8"/>
        <v/>
      </c>
      <c r="W3220" s="15" t="str">
        <f t="shared" si="9"/>
        <v/>
      </c>
      <c r="X3220" s="15" t="str">
        <f t="shared" si="10"/>
        <v/>
      </c>
    </row>
    <row r="3221">
      <c r="A3221" s="9">
        <v>46533.0</v>
      </c>
      <c r="B3221" s="10"/>
      <c r="C3221" s="9" t="str">
        <f t="shared" si="249"/>
        <v/>
      </c>
      <c r="D3221" s="28" t="s">
        <v>44</v>
      </c>
      <c r="E3221" s="28" t="s">
        <v>1305</v>
      </c>
      <c r="F3221" s="28" t="s">
        <v>45</v>
      </c>
      <c r="G3221" s="28" t="s">
        <v>27</v>
      </c>
      <c r="H3221" s="29" t="s">
        <v>1329</v>
      </c>
      <c r="I3221" s="37">
        <v>2233.1645000000003</v>
      </c>
      <c r="J3221" s="34"/>
      <c r="K3221" s="37"/>
      <c r="L3221" s="28" t="s">
        <v>53</v>
      </c>
      <c r="M3221" s="16" t="s">
        <v>1455</v>
      </c>
      <c r="N3221" s="28" t="s">
        <v>73</v>
      </c>
      <c r="O3221" s="10" t="str">
        <f t="shared" si="79"/>
        <v>05/2027</v>
      </c>
      <c r="P3221" s="10" t="str">
        <f t="shared" si="399"/>
        <v/>
      </c>
      <c r="Q3221" s="15" t="str">
        <f t="array" ref="Q3221">IFERROR(XLOOKUP(N3221,'Classificação'!A:A,'Classificação'!B:B),"")</f>
        <v>DESPESAS NÃO OPERACIONAIS</v>
      </c>
      <c r="R3221" s="15" t="str">
        <f t="array" ref="R3221">IFERROR(XLOOKUP(Q3221,'Classificação'!B:B,'Classificação'!C:C),"")</f>
        <v>RESULTADO NÃO OPERACIONAL (+/-)</v>
      </c>
      <c r="S3221" s="15">
        <f t="shared" si="228"/>
        <v>26</v>
      </c>
      <c r="T3221" s="15">
        <f t="shared" si="128"/>
        <v>5</v>
      </c>
      <c r="U3221" s="15">
        <f t="shared" si="129"/>
        <v>2027</v>
      </c>
      <c r="V3221" s="15" t="str">
        <f t="shared" si="8"/>
        <v/>
      </c>
      <c r="W3221" s="15" t="str">
        <f t="shared" si="9"/>
        <v/>
      </c>
      <c r="X3221" s="15" t="str">
        <f t="shared" si="10"/>
        <v/>
      </c>
    </row>
    <row r="3222">
      <c r="A3222" s="9">
        <v>46541.0</v>
      </c>
      <c r="B3222" s="10"/>
      <c r="C3222" s="9" t="str">
        <f t="shared" si="249"/>
        <v/>
      </c>
      <c r="D3222" s="11" t="s">
        <v>44</v>
      </c>
      <c r="E3222" s="11" t="s">
        <v>1305</v>
      </c>
      <c r="F3222" s="11" t="s">
        <v>45</v>
      </c>
      <c r="G3222" s="11" t="s">
        <v>27</v>
      </c>
      <c r="H3222" s="11" t="s">
        <v>651</v>
      </c>
      <c r="I3222" s="13">
        <v>2414.57095</v>
      </c>
      <c r="J3222" s="13"/>
      <c r="K3222" s="13" t="str">
        <f t="shared" ref="K3222:K3226" si="405">if(E3222="pago",(I3222-J3222),"")</f>
        <v/>
      </c>
      <c r="L3222" s="11" t="s">
        <v>53</v>
      </c>
      <c r="M3222" s="16" t="s">
        <v>1456</v>
      </c>
      <c r="N3222" s="11" t="s">
        <v>73</v>
      </c>
      <c r="O3222" s="10" t="str">
        <f t="shared" si="79"/>
        <v>06/2027</v>
      </c>
      <c r="P3222" s="10" t="str">
        <f t="shared" si="399"/>
        <v/>
      </c>
      <c r="Q3222" s="15" t="str">
        <f t="array" ref="Q3222">IFERROR(XLOOKUP(N3222,'Classificação'!A:A,'Classificação'!B:B),"")</f>
        <v>DESPESAS NÃO OPERACIONAIS</v>
      </c>
      <c r="R3222" s="15" t="str">
        <f t="array" ref="R3222">IFERROR(XLOOKUP(Q3222,'Classificação'!B:B,'Classificação'!C:C),"")</f>
        <v>RESULTADO NÃO OPERACIONAL (+/-)</v>
      </c>
      <c r="S3222" s="15">
        <f t="shared" si="228"/>
        <v>3</v>
      </c>
      <c r="T3222" s="15">
        <f t="shared" si="128"/>
        <v>6</v>
      </c>
      <c r="U3222" s="15">
        <f t="shared" si="129"/>
        <v>2027</v>
      </c>
      <c r="V3222" s="15" t="str">
        <f t="shared" si="8"/>
        <v/>
      </c>
      <c r="W3222" s="15" t="str">
        <f t="shared" si="9"/>
        <v/>
      </c>
      <c r="X3222" s="15" t="str">
        <f t="shared" si="10"/>
        <v/>
      </c>
    </row>
    <row r="3223">
      <c r="A3223" s="9">
        <v>46548.0</v>
      </c>
      <c r="B3223" s="10"/>
      <c r="C3223" s="9" t="str">
        <f t="shared" si="249"/>
        <v/>
      </c>
      <c r="D3223" s="11" t="s">
        <v>44</v>
      </c>
      <c r="E3223" s="11" t="s">
        <v>1305</v>
      </c>
      <c r="F3223" s="11" t="s">
        <v>45</v>
      </c>
      <c r="G3223" s="11" t="s">
        <v>27</v>
      </c>
      <c r="H3223" s="11" t="s">
        <v>52</v>
      </c>
      <c r="I3223" s="12">
        <v>503.0</v>
      </c>
      <c r="J3223" s="13"/>
      <c r="K3223" s="13" t="str">
        <f t="shared" si="405"/>
        <v/>
      </c>
      <c r="L3223" s="11" t="s">
        <v>53</v>
      </c>
      <c r="M3223" s="16" t="s">
        <v>1457</v>
      </c>
      <c r="N3223" s="11" t="s">
        <v>55</v>
      </c>
      <c r="O3223" s="10" t="str">
        <f t="shared" si="79"/>
        <v>06/2027</v>
      </c>
      <c r="P3223" s="10" t="str">
        <f t="shared" si="399"/>
        <v/>
      </c>
      <c r="Q3223" s="15" t="str">
        <f t="array" ref="Q3223">IFERROR(XLOOKUP(N3223,'Classificação'!A:A,'Classificação'!B:B),"")</f>
        <v>DESPESAS NÃO OPERACIONAIS</v>
      </c>
      <c r="R3223" s="15" t="str">
        <f t="array" ref="R3223">IFERROR(XLOOKUP(Q3223,'Classificação'!B:B,'Classificação'!C:C),"")</f>
        <v>RESULTADO NÃO OPERACIONAL (+/-)</v>
      </c>
      <c r="S3223" s="15">
        <f t="shared" si="228"/>
        <v>10</v>
      </c>
      <c r="T3223" s="15">
        <f t="shared" si="128"/>
        <v>6</v>
      </c>
      <c r="U3223" s="15">
        <f t="shared" si="129"/>
        <v>2027</v>
      </c>
      <c r="V3223" s="15" t="str">
        <f t="shared" si="8"/>
        <v/>
      </c>
      <c r="W3223" s="15" t="str">
        <f t="shared" si="9"/>
        <v/>
      </c>
      <c r="X3223" s="15" t="str">
        <f t="shared" si="10"/>
        <v/>
      </c>
    </row>
    <row r="3224">
      <c r="A3224" s="9">
        <v>46548.0</v>
      </c>
      <c r="B3224" s="10"/>
      <c r="C3224" s="9" t="str">
        <f t="shared" si="249"/>
        <v/>
      </c>
      <c r="D3224" s="11" t="s">
        <v>1104</v>
      </c>
      <c r="E3224" s="28" t="s">
        <v>1305</v>
      </c>
      <c r="F3224" s="11" t="s">
        <v>40</v>
      </c>
      <c r="G3224" s="11" t="s">
        <v>37</v>
      </c>
      <c r="H3224" s="11" t="s">
        <v>1105</v>
      </c>
      <c r="I3224" s="12">
        <v>963.38</v>
      </c>
      <c r="J3224" s="13"/>
      <c r="K3224" s="13" t="str">
        <f t="shared" si="405"/>
        <v/>
      </c>
      <c r="L3224" s="11" t="s">
        <v>53</v>
      </c>
      <c r="M3224" s="16" t="s">
        <v>1458</v>
      </c>
      <c r="N3224" s="11" t="s">
        <v>73</v>
      </c>
      <c r="O3224" s="10" t="str">
        <f t="shared" si="79"/>
        <v>06/2027</v>
      </c>
      <c r="P3224" s="10" t="str">
        <f t="shared" si="399"/>
        <v/>
      </c>
      <c r="Q3224" s="15" t="str">
        <f t="array" ref="Q3224">IFERROR(XLOOKUP(N3224,'Classificação'!A:A,'Classificação'!B:B),"")</f>
        <v>DESPESAS NÃO OPERACIONAIS</v>
      </c>
      <c r="R3224" s="15" t="str">
        <f t="array" ref="R3224">IFERROR(XLOOKUP(Q3224,'Classificação'!B:B,'Classificação'!C:C),"")</f>
        <v>RESULTADO NÃO OPERACIONAL (+/-)</v>
      </c>
      <c r="S3224" s="15">
        <f t="shared" si="228"/>
        <v>10</v>
      </c>
      <c r="T3224" s="15">
        <f t="shared" si="128"/>
        <v>6</v>
      </c>
      <c r="U3224" s="15">
        <f t="shared" si="129"/>
        <v>2027</v>
      </c>
      <c r="V3224" s="15" t="str">
        <f t="shared" si="8"/>
        <v/>
      </c>
      <c r="W3224" s="15" t="str">
        <f t="shared" si="9"/>
        <v/>
      </c>
      <c r="X3224" s="15" t="str">
        <f t="shared" si="10"/>
        <v/>
      </c>
    </row>
    <row r="3225">
      <c r="A3225" s="9">
        <v>46548.0</v>
      </c>
      <c r="B3225" s="32">
        <v>46011.0</v>
      </c>
      <c r="C3225" s="9" t="str">
        <f t="shared" si="249"/>
        <v/>
      </c>
      <c r="D3225" s="11" t="s">
        <v>65</v>
      </c>
      <c r="E3225" s="28" t="s">
        <v>1305</v>
      </c>
      <c r="F3225" s="11" t="s">
        <v>26</v>
      </c>
      <c r="G3225" s="28" t="s">
        <v>27</v>
      </c>
      <c r="H3225" s="11" t="s">
        <v>1159</v>
      </c>
      <c r="I3225" s="31">
        <v>54.99</v>
      </c>
      <c r="J3225" s="13"/>
      <c r="K3225" s="13" t="str">
        <f t="shared" si="405"/>
        <v/>
      </c>
      <c r="L3225" s="11" t="s">
        <v>53</v>
      </c>
      <c r="M3225" s="16" t="s">
        <v>1459</v>
      </c>
      <c r="N3225" s="11" t="s">
        <v>95</v>
      </c>
      <c r="O3225" s="10" t="str">
        <f t="shared" si="79"/>
        <v>06/2027</v>
      </c>
      <c r="P3225" s="10" t="str">
        <f t="shared" si="399"/>
        <v/>
      </c>
      <c r="Q3225" s="15" t="str">
        <f t="array" ref="Q3225">IFERROR(XLOOKUP(N3225,'Classificação'!A:A,'Classificação'!B:B),"")</f>
        <v>DESPESAS NÃO OPERACIONAIS</v>
      </c>
      <c r="R3225" s="15" t="str">
        <f t="array" ref="R3225">IFERROR(XLOOKUP(Q3225,'Classificação'!B:B,'Classificação'!C:C),"")</f>
        <v>RESULTADO NÃO OPERACIONAL (+/-)</v>
      </c>
      <c r="S3225" s="15">
        <f t="shared" si="228"/>
        <v>10</v>
      </c>
      <c r="T3225" s="15">
        <f t="shared" si="128"/>
        <v>6</v>
      </c>
      <c r="U3225" s="15">
        <f t="shared" si="129"/>
        <v>2027</v>
      </c>
      <c r="V3225" s="15" t="str">
        <f t="shared" si="8"/>
        <v/>
      </c>
      <c r="W3225" s="15" t="str">
        <f t="shared" si="9"/>
        <v/>
      </c>
      <c r="X3225" s="15" t="str">
        <f t="shared" si="10"/>
        <v/>
      </c>
    </row>
    <row r="3226">
      <c r="A3226" s="9">
        <v>46552.0</v>
      </c>
      <c r="B3226" s="10"/>
      <c r="C3226" s="9" t="str">
        <f t="shared" si="249"/>
        <v/>
      </c>
      <c r="D3226" s="11" t="s">
        <v>44</v>
      </c>
      <c r="E3226" s="11" t="s">
        <v>1305</v>
      </c>
      <c r="F3226" s="11" t="s">
        <v>45</v>
      </c>
      <c r="G3226" s="11" t="s">
        <v>27</v>
      </c>
      <c r="H3226" s="11" t="s">
        <v>476</v>
      </c>
      <c r="I3226" s="12">
        <v>4996.0</v>
      </c>
      <c r="J3226" s="13"/>
      <c r="K3226" s="13" t="str">
        <f t="shared" si="405"/>
        <v/>
      </c>
      <c r="L3226" s="11" t="s">
        <v>53</v>
      </c>
      <c r="M3226" s="16" t="s">
        <v>1334</v>
      </c>
      <c r="N3226" s="11" t="s">
        <v>73</v>
      </c>
      <c r="O3226" s="10" t="str">
        <f t="shared" si="79"/>
        <v>06/2027</v>
      </c>
      <c r="P3226" s="10" t="str">
        <f t="shared" si="399"/>
        <v/>
      </c>
      <c r="Q3226" s="15" t="str">
        <f t="array" ref="Q3226">IFERROR(XLOOKUP(N3226,'Classificação'!A:A,'Classificação'!B:B),"")</f>
        <v>DESPESAS NÃO OPERACIONAIS</v>
      </c>
      <c r="R3226" s="15" t="str">
        <f t="array" ref="R3226">IFERROR(XLOOKUP(Q3226,'Classificação'!B:B,'Classificação'!C:C),"")</f>
        <v>RESULTADO NÃO OPERACIONAL (+/-)</v>
      </c>
      <c r="S3226" s="15">
        <f t="shared" si="228"/>
        <v>14</v>
      </c>
      <c r="T3226" s="15">
        <f t="shared" si="128"/>
        <v>6</v>
      </c>
      <c r="U3226" s="15">
        <f t="shared" si="129"/>
        <v>2027</v>
      </c>
      <c r="V3226" s="15" t="str">
        <f t="shared" si="8"/>
        <v/>
      </c>
      <c r="W3226" s="15" t="str">
        <f t="shared" si="9"/>
        <v/>
      </c>
      <c r="X3226" s="15" t="str">
        <f t="shared" si="10"/>
        <v/>
      </c>
    </row>
    <row r="3227">
      <c r="A3227" s="9">
        <v>46564.0</v>
      </c>
      <c r="B3227" s="10"/>
      <c r="C3227" s="9" t="str">
        <f t="shared" si="249"/>
        <v/>
      </c>
      <c r="D3227" s="28" t="s">
        <v>44</v>
      </c>
      <c r="E3227" s="28" t="s">
        <v>1305</v>
      </c>
      <c r="F3227" s="28" t="s">
        <v>45</v>
      </c>
      <c r="G3227" s="28" t="s">
        <v>27</v>
      </c>
      <c r="H3227" s="29" t="s">
        <v>1329</v>
      </c>
      <c r="I3227" s="37">
        <v>2208.337425</v>
      </c>
      <c r="J3227" s="34"/>
      <c r="K3227" s="37"/>
      <c r="L3227" s="28" t="s">
        <v>53</v>
      </c>
      <c r="M3227" s="16" t="s">
        <v>1460</v>
      </c>
      <c r="N3227" s="28" t="s">
        <v>73</v>
      </c>
      <c r="O3227" s="10" t="str">
        <f t="shared" si="79"/>
        <v>06/2027</v>
      </c>
      <c r="P3227" s="10" t="str">
        <f t="shared" si="399"/>
        <v/>
      </c>
      <c r="Q3227" s="15" t="str">
        <f t="array" ref="Q3227">IFERROR(XLOOKUP(N3227,'Classificação'!A:A,'Classificação'!B:B),"")</f>
        <v>DESPESAS NÃO OPERACIONAIS</v>
      </c>
      <c r="R3227" s="15" t="str">
        <f t="array" ref="R3227">IFERROR(XLOOKUP(Q3227,'Classificação'!B:B,'Classificação'!C:C),"")</f>
        <v>RESULTADO NÃO OPERACIONAL (+/-)</v>
      </c>
      <c r="S3227" s="15">
        <f t="shared" si="228"/>
        <v>26</v>
      </c>
      <c r="T3227" s="15">
        <f t="shared" si="128"/>
        <v>6</v>
      </c>
      <c r="U3227" s="15">
        <f t="shared" si="129"/>
        <v>2027</v>
      </c>
      <c r="V3227" s="15" t="str">
        <f t="shared" si="8"/>
        <v/>
      </c>
      <c r="W3227" s="15" t="str">
        <f t="shared" si="9"/>
        <v/>
      </c>
      <c r="X3227" s="15" t="str">
        <f t="shared" si="10"/>
        <v/>
      </c>
    </row>
    <row r="3228">
      <c r="A3228" s="9">
        <v>46571.0</v>
      </c>
      <c r="B3228" s="10"/>
      <c r="C3228" s="9" t="str">
        <f t="shared" si="249"/>
        <v/>
      </c>
      <c r="D3228" s="11" t="s">
        <v>44</v>
      </c>
      <c r="E3228" s="11" t="s">
        <v>1305</v>
      </c>
      <c r="F3228" s="11" t="s">
        <v>45</v>
      </c>
      <c r="G3228" s="11" t="s">
        <v>27</v>
      </c>
      <c r="H3228" s="11" t="s">
        <v>651</v>
      </c>
      <c r="I3228" s="13">
        <v>2376.667875</v>
      </c>
      <c r="J3228" s="13"/>
      <c r="K3228" s="13" t="str">
        <f t="shared" ref="K3228:K3231" si="406">if(E3228="pago",(I3228-J3228),"")</f>
        <v/>
      </c>
      <c r="L3228" s="11" t="s">
        <v>53</v>
      </c>
      <c r="M3228" s="16" t="s">
        <v>1461</v>
      </c>
      <c r="N3228" s="11" t="s">
        <v>73</v>
      </c>
      <c r="O3228" s="10" t="str">
        <f t="shared" si="79"/>
        <v>07/2027</v>
      </c>
      <c r="P3228" s="10" t="str">
        <f t="shared" si="399"/>
        <v/>
      </c>
      <c r="Q3228" s="15" t="str">
        <f t="array" ref="Q3228">IFERROR(XLOOKUP(N3228,'Classificação'!A:A,'Classificação'!B:B),"")</f>
        <v>DESPESAS NÃO OPERACIONAIS</v>
      </c>
      <c r="R3228" s="15" t="str">
        <f t="array" ref="R3228">IFERROR(XLOOKUP(Q3228,'Classificação'!B:B,'Classificação'!C:C),"")</f>
        <v>RESULTADO NÃO OPERACIONAL (+/-)</v>
      </c>
      <c r="S3228" s="15">
        <f t="shared" si="228"/>
        <v>3</v>
      </c>
      <c r="T3228" s="15">
        <f t="shared" si="128"/>
        <v>7</v>
      </c>
      <c r="U3228" s="15">
        <f t="shared" si="129"/>
        <v>2027</v>
      </c>
      <c r="V3228" s="15" t="str">
        <f t="shared" si="8"/>
        <v/>
      </c>
      <c r="W3228" s="15" t="str">
        <f t="shared" si="9"/>
        <v/>
      </c>
      <c r="X3228" s="15" t="str">
        <f t="shared" si="10"/>
        <v/>
      </c>
    </row>
    <row r="3229">
      <c r="A3229" s="9">
        <v>46578.0</v>
      </c>
      <c r="B3229" s="10"/>
      <c r="C3229" s="9" t="str">
        <f t="shared" si="249"/>
        <v/>
      </c>
      <c r="D3229" s="11" t="s">
        <v>44</v>
      </c>
      <c r="E3229" s="11" t="s">
        <v>1305</v>
      </c>
      <c r="F3229" s="11" t="s">
        <v>45</v>
      </c>
      <c r="G3229" s="11" t="s">
        <v>27</v>
      </c>
      <c r="H3229" s="11" t="s">
        <v>52</v>
      </c>
      <c r="I3229" s="12">
        <v>503.0</v>
      </c>
      <c r="J3229" s="13"/>
      <c r="K3229" s="13" t="str">
        <f t="shared" si="406"/>
        <v/>
      </c>
      <c r="L3229" s="11" t="s">
        <v>53</v>
      </c>
      <c r="M3229" s="16" t="s">
        <v>1462</v>
      </c>
      <c r="N3229" s="11" t="s">
        <v>55</v>
      </c>
      <c r="O3229" s="10" t="str">
        <f t="shared" si="79"/>
        <v>07/2027</v>
      </c>
      <c r="P3229" s="10" t="str">
        <f t="shared" si="399"/>
        <v/>
      </c>
      <c r="Q3229" s="15" t="str">
        <f t="array" ref="Q3229">IFERROR(XLOOKUP(N3229,'Classificação'!A:A,'Classificação'!B:B),"")</f>
        <v>DESPESAS NÃO OPERACIONAIS</v>
      </c>
      <c r="R3229" s="15" t="str">
        <f t="array" ref="R3229">IFERROR(XLOOKUP(Q3229,'Classificação'!B:B,'Classificação'!C:C),"")</f>
        <v>RESULTADO NÃO OPERACIONAL (+/-)</v>
      </c>
      <c r="S3229" s="15">
        <f t="shared" si="228"/>
        <v>10</v>
      </c>
      <c r="T3229" s="15">
        <f t="shared" si="128"/>
        <v>7</v>
      </c>
      <c r="U3229" s="15">
        <f t="shared" si="129"/>
        <v>2027</v>
      </c>
      <c r="V3229" s="15" t="str">
        <f t="shared" si="8"/>
        <v/>
      </c>
      <c r="W3229" s="15" t="str">
        <f t="shared" si="9"/>
        <v/>
      </c>
      <c r="X3229" s="15" t="str">
        <f t="shared" si="10"/>
        <v/>
      </c>
    </row>
    <row r="3230">
      <c r="A3230" s="9">
        <v>46578.0</v>
      </c>
      <c r="B3230" s="10"/>
      <c r="C3230" s="9" t="str">
        <f t="shared" si="249"/>
        <v/>
      </c>
      <c r="D3230" s="11" t="s">
        <v>1104</v>
      </c>
      <c r="E3230" s="28" t="s">
        <v>1305</v>
      </c>
      <c r="F3230" s="11" t="s">
        <v>40</v>
      </c>
      <c r="G3230" s="11" t="s">
        <v>37</v>
      </c>
      <c r="H3230" s="11" t="s">
        <v>1105</v>
      </c>
      <c r="I3230" s="12">
        <v>963.38</v>
      </c>
      <c r="J3230" s="13"/>
      <c r="K3230" s="13" t="str">
        <f t="shared" si="406"/>
        <v/>
      </c>
      <c r="L3230" s="11" t="s">
        <v>53</v>
      </c>
      <c r="M3230" s="16" t="s">
        <v>1463</v>
      </c>
      <c r="N3230" s="11" t="s">
        <v>73</v>
      </c>
      <c r="O3230" s="10" t="str">
        <f t="shared" si="79"/>
        <v>07/2027</v>
      </c>
      <c r="P3230" s="10" t="str">
        <f t="shared" si="399"/>
        <v/>
      </c>
      <c r="Q3230" s="15" t="str">
        <f t="array" ref="Q3230">IFERROR(XLOOKUP(N3230,'Classificação'!A:A,'Classificação'!B:B),"")</f>
        <v>DESPESAS NÃO OPERACIONAIS</v>
      </c>
      <c r="R3230" s="15" t="str">
        <f t="array" ref="R3230">IFERROR(XLOOKUP(Q3230,'Classificação'!B:B,'Classificação'!C:C),"")</f>
        <v>RESULTADO NÃO OPERACIONAL (+/-)</v>
      </c>
      <c r="S3230" s="15">
        <f t="shared" si="228"/>
        <v>10</v>
      </c>
      <c r="T3230" s="15">
        <f t="shared" si="128"/>
        <v>7</v>
      </c>
      <c r="U3230" s="15">
        <f t="shared" si="129"/>
        <v>2027</v>
      </c>
      <c r="V3230" s="15" t="str">
        <f t="shared" si="8"/>
        <v/>
      </c>
      <c r="W3230" s="15" t="str">
        <f t="shared" si="9"/>
        <v/>
      </c>
      <c r="X3230" s="15" t="str">
        <f t="shared" si="10"/>
        <v/>
      </c>
    </row>
    <row r="3231">
      <c r="A3231" s="9">
        <v>46582.0</v>
      </c>
      <c r="B3231" s="10"/>
      <c r="C3231" s="9" t="str">
        <f t="shared" si="249"/>
        <v/>
      </c>
      <c r="D3231" s="11" t="s">
        <v>44</v>
      </c>
      <c r="E3231" s="11" t="s">
        <v>1305</v>
      </c>
      <c r="F3231" s="11" t="s">
        <v>45</v>
      </c>
      <c r="G3231" s="11" t="s">
        <v>27</v>
      </c>
      <c r="H3231" s="11" t="s">
        <v>476</v>
      </c>
      <c r="I3231" s="12">
        <v>4996.0</v>
      </c>
      <c r="J3231" s="13"/>
      <c r="K3231" s="13" t="str">
        <f t="shared" si="406"/>
        <v/>
      </c>
      <c r="L3231" s="11" t="s">
        <v>53</v>
      </c>
      <c r="M3231" s="16" t="s">
        <v>1345</v>
      </c>
      <c r="N3231" s="11" t="s">
        <v>73</v>
      </c>
      <c r="O3231" s="10" t="str">
        <f t="shared" si="79"/>
        <v>07/2027</v>
      </c>
      <c r="P3231" s="10" t="str">
        <f t="shared" si="399"/>
        <v/>
      </c>
      <c r="Q3231" s="15" t="str">
        <f t="array" ref="Q3231">IFERROR(XLOOKUP(N3231,'Classificação'!A:A,'Classificação'!B:B),"")</f>
        <v>DESPESAS NÃO OPERACIONAIS</v>
      </c>
      <c r="R3231" s="15" t="str">
        <f t="array" ref="R3231">IFERROR(XLOOKUP(Q3231,'Classificação'!B:B,'Classificação'!C:C),"")</f>
        <v>RESULTADO NÃO OPERACIONAL (+/-)</v>
      </c>
      <c r="S3231" s="15">
        <f t="shared" si="228"/>
        <v>14</v>
      </c>
      <c r="T3231" s="15">
        <f t="shared" si="128"/>
        <v>7</v>
      </c>
      <c r="U3231" s="15">
        <f t="shared" si="129"/>
        <v>2027</v>
      </c>
      <c r="V3231" s="15" t="str">
        <f t="shared" si="8"/>
        <v/>
      </c>
      <c r="W3231" s="15" t="str">
        <f t="shared" si="9"/>
        <v/>
      </c>
      <c r="X3231" s="15" t="str">
        <f t="shared" si="10"/>
        <v/>
      </c>
    </row>
    <row r="3232">
      <c r="A3232" s="9">
        <v>46594.0</v>
      </c>
      <c r="B3232" s="10"/>
      <c r="C3232" s="9" t="str">
        <f t="shared" si="249"/>
        <v/>
      </c>
      <c r="D3232" s="28" t="s">
        <v>44</v>
      </c>
      <c r="E3232" s="28" t="s">
        <v>1305</v>
      </c>
      <c r="F3232" s="28" t="s">
        <v>45</v>
      </c>
      <c r="G3232" s="28" t="s">
        <v>27</v>
      </c>
      <c r="H3232" s="29" t="s">
        <v>1329</v>
      </c>
      <c r="I3232" s="37">
        <v>2183.5103500000005</v>
      </c>
      <c r="J3232" s="34"/>
      <c r="K3232" s="37"/>
      <c r="L3232" s="28" t="s">
        <v>53</v>
      </c>
      <c r="M3232" s="16" t="s">
        <v>1464</v>
      </c>
      <c r="N3232" s="28" t="s">
        <v>73</v>
      </c>
      <c r="O3232" s="10" t="str">
        <f t="shared" si="79"/>
        <v>07/2027</v>
      </c>
      <c r="P3232" s="10" t="str">
        <f t="shared" si="399"/>
        <v/>
      </c>
      <c r="Q3232" s="15" t="str">
        <f t="array" ref="Q3232">IFERROR(XLOOKUP(N3232,'Classificação'!A:A,'Classificação'!B:B),"")</f>
        <v>DESPESAS NÃO OPERACIONAIS</v>
      </c>
      <c r="R3232" s="15" t="str">
        <f t="array" ref="R3232">IFERROR(XLOOKUP(Q3232,'Classificação'!B:B,'Classificação'!C:C),"")</f>
        <v>RESULTADO NÃO OPERACIONAL (+/-)</v>
      </c>
      <c r="S3232" s="15">
        <f t="shared" si="228"/>
        <v>26</v>
      </c>
      <c r="T3232" s="15">
        <f t="shared" si="128"/>
        <v>7</v>
      </c>
      <c r="U3232" s="15">
        <f t="shared" si="129"/>
        <v>2027</v>
      </c>
      <c r="V3232" s="15" t="str">
        <f t="shared" si="8"/>
        <v/>
      </c>
      <c r="W3232" s="15" t="str">
        <f t="shared" si="9"/>
        <v/>
      </c>
      <c r="X3232" s="15" t="str">
        <f t="shared" si="10"/>
        <v/>
      </c>
    </row>
    <row r="3233">
      <c r="A3233" s="9">
        <v>46602.0</v>
      </c>
      <c r="B3233" s="10"/>
      <c r="C3233" s="9" t="str">
        <f t="shared" si="249"/>
        <v/>
      </c>
      <c r="D3233" s="11" t="s">
        <v>44</v>
      </c>
      <c r="E3233" s="11" t="s">
        <v>1305</v>
      </c>
      <c r="F3233" s="11" t="s">
        <v>45</v>
      </c>
      <c r="G3233" s="11" t="s">
        <v>27</v>
      </c>
      <c r="H3233" s="11" t="s">
        <v>651</v>
      </c>
      <c r="I3233" s="13">
        <v>2338.7648</v>
      </c>
      <c r="J3233" s="13"/>
      <c r="K3233" s="13" t="str">
        <f t="shared" ref="K3233:K3236" si="407">if(E3233="pago",(I3233-J3233),"")</f>
        <v/>
      </c>
      <c r="L3233" s="11" t="s">
        <v>53</v>
      </c>
      <c r="M3233" s="16" t="s">
        <v>1465</v>
      </c>
      <c r="N3233" s="11" t="s">
        <v>73</v>
      </c>
      <c r="O3233" s="10" t="str">
        <f t="shared" si="79"/>
        <v>08/2027</v>
      </c>
      <c r="P3233" s="10" t="str">
        <f t="shared" si="399"/>
        <v/>
      </c>
      <c r="Q3233" s="15" t="str">
        <f t="array" ref="Q3233">IFERROR(XLOOKUP(N3233,'Classificação'!A:A,'Classificação'!B:B),"")</f>
        <v>DESPESAS NÃO OPERACIONAIS</v>
      </c>
      <c r="R3233" s="15" t="str">
        <f t="array" ref="R3233">IFERROR(XLOOKUP(Q3233,'Classificação'!B:B,'Classificação'!C:C),"")</f>
        <v>RESULTADO NÃO OPERACIONAL (+/-)</v>
      </c>
      <c r="S3233" s="15">
        <f t="shared" si="228"/>
        <v>3</v>
      </c>
      <c r="T3233" s="15">
        <f t="shared" si="128"/>
        <v>8</v>
      </c>
      <c r="U3233" s="15">
        <f t="shared" si="129"/>
        <v>2027</v>
      </c>
      <c r="V3233" s="15" t="str">
        <f t="shared" si="8"/>
        <v/>
      </c>
      <c r="W3233" s="15" t="str">
        <f t="shared" si="9"/>
        <v/>
      </c>
      <c r="X3233" s="15" t="str">
        <f t="shared" si="10"/>
        <v/>
      </c>
    </row>
    <row r="3234">
      <c r="A3234" s="9">
        <v>46609.0</v>
      </c>
      <c r="B3234" s="10"/>
      <c r="C3234" s="9" t="str">
        <f t="shared" si="249"/>
        <v/>
      </c>
      <c r="D3234" s="11" t="s">
        <v>44</v>
      </c>
      <c r="E3234" s="11" t="s">
        <v>1305</v>
      </c>
      <c r="F3234" s="11" t="s">
        <v>45</v>
      </c>
      <c r="G3234" s="11" t="s">
        <v>27</v>
      </c>
      <c r="H3234" s="11" t="s">
        <v>52</v>
      </c>
      <c r="I3234" s="12">
        <v>503.0</v>
      </c>
      <c r="J3234" s="13"/>
      <c r="K3234" s="13" t="str">
        <f t="shared" si="407"/>
        <v/>
      </c>
      <c r="L3234" s="11" t="s">
        <v>53</v>
      </c>
      <c r="M3234" s="16" t="s">
        <v>1466</v>
      </c>
      <c r="N3234" s="11" t="s">
        <v>55</v>
      </c>
      <c r="O3234" s="10" t="str">
        <f t="shared" si="79"/>
        <v>08/2027</v>
      </c>
      <c r="P3234" s="10" t="str">
        <f t="shared" si="399"/>
        <v/>
      </c>
      <c r="Q3234" s="15" t="str">
        <f t="array" ref="Q3234">IFERROR(XLOOKUP(N3234,'Classificação'!A:A,'Classificação'!B:B),"")</f>
        <v>DESPESAS NÃO OPERACIONAIS</v>
      </c>
      <c r="R3234" s="15" t="str">
        <f t="array" ref="R3234">IFERROR(XLOOKUP(Q3234,'Classificação'!B:B,'Classificação'!C:C),"")</f>
        <v>RESULTADO NÃO OPERACIONAL (+/-)</v>
      </c>
      <c r="S3234" s="15">
        <f t="shared" si="228"/>
        <v>10</v>
      </c>
      <c r="T3234" s="15">
        <f t="shared" si="128"/>
        <v>8</v>
      </c>
      <c r="U3234" s="15">
        <f t="shared" si="129"/>
        <v>2027</v>
      </c>
      <c r="V3234" s="15" t="str">
        <f t="shared" si="8"/>
        <v/>
      </c>
      <c r="W3234" s="15" t="str">
        <f t="shared" si="9"/>
        <v/>
      </c>
      <c r="X3234" s="15" t="str">
        <f t="shared" si="10"/>
        <v/>
      </c>
    </row>
    <row r="3235">
      <c r="A3235" s="9">
        <v>46609.0</v>
      </c>
      <c r="B3235" s="10"/>
      <c r="C3235" s="9" t="str">
        <f t="shared" si="249"/>
        <v/>
      </c>
      <c r="D3235" s="11" t="s">
        <v>1104</v>
      </c>
      <c r="E3235" s="28" t="s">
        <v>1305</v>
      </c>
      <c r="F3235" s="11" t="s">
        <v>40</v>
      </c>
      <c r="G3235" s="11" t="s">
        <v>37</v>
      </c>
      <c r="H3235" s="11" t="s">
        <v>1105</v>
      </c>
      <c r="I3235" s="12">
        <v>963.38</v>
      </c>
      <c r="J3235" s="13"/>
      <c r="K3235" s="13" t="str">
        <f t="shared" si="407"/>
        <v/>
      </c>
      <c r="L3235" s="11" t="s">
        <v>53</v>
      </c>
      <c r="M3235" s="16" t="s">
        <v>1467</v>
      </c>
      <c r="N3235" s="11" t="s">
        <v>73</v>
      </c>
      <c r="O3235" s="10" t="str">
        <f t="shared" si="79"/>
        <v>08/2027</v>
      </c>
      <c r="P3235" s="10" t="str">
        <f t="shared" si="399"/>
        <v/>
      </c>
      <c r="Q3235" s="15" t="str">
        <f t="array" ref="Q3235">IFERROR(XLOOKUP(N3235,'Classificação'!A:A,'Classificação'!B:B),"")</f>
        <v>DESPESAS NÃO OPERACIONAIS</v>
      </c>
      <c r="R3235" s="15" t="str">
        <f t="array" ref="R3235">IFERROR(XLOOKUP(Q3235,'Classificação'!B:B,'Classificação'!C:C),"")</f>
        <v>RESULTADO NÃO OPERACIONAL (+/-)</v>
      </c>
      <c r="S3235" s="15">
        <f t="shared" si="228"/>
        <v>10</v>
      </c>
      <c r="T3235" s="15">
        <f t="shared" si="128"/>
        <v>8</v>
      </c>
      <c r="U3235" s="15">
        <f t="shared" si="129"/>
        <v>2027</v>
      </c>
      <c r="V3235" s="15" t="str">
        <f t="shared" si="8"/>
        <v/>
      </c>
      <c r="W3235" s="15" t="str">
        <f t="shared" si="9"/>
        <v/>
      </c>
      <c r="X3235" s="15" t="str">
        <f t="shared" si="10"/>
        <v/>
      </c>
    </row>
    <row r="3236">
      <c r="A3236" s="9">
        <v>46613.0</v>
      </c>
      <c r="B3236" s="10"/>
      <c r="C3236" s="9" t="str">
        <f t="shared" si="249"/>
        <v/>
      </c>
      <c r="D3236" s="11" t="s">
        <v>44</v>
      </c>
      <c r="E3236" s="11" t="s">
        <v>1305</v>
      </c>
      <c r="F3236" s="11" t="s">
        <v>45</v>
      </c>
      <c r="G3236" s="11" t="s">
        <v>27</v>
      </c>
      <c r="H3236" s="11" t="s">
        <v>476</v>
      </c>
      <c r="I3236" s="12">
        <v>4996.0</v>
      </c>
      <c r="J3236" s="13"/>
      <c r="K3236" s="13" t="str">
        <f t="shared" si="407"/>
        <v/>
      </c>
      <c r="L3236" s="11" t="s">
        <v>53</v>
      </c>
      <c r="M3236" s="16" t="s">
        <v>1355</v>
      </c>
      <c r="N3236" s="11" t="s">
        <v>73</v>
      </c>
      <c r="O3236" s="10" t="str">
        <f t="shared" si="79"/>
        <v>08/2027</v>
      </c>
      <c r="P3236" s="10" t="str">
        <f t="shared" si="399"/>
        <v/>
      </c>
      <c r="Q3236" s="15" t="str">
        <f t="array" ref="Q3236">IFERROR(XLOOKUP(N3236,'Classificação'!A:A,'Classificação'!B:B),"")</f>
        <v>DESPESAS NÃO OPERACIONAIS</v>
      </c>
      <c r="R3236" s="15" t="str">
        <f t="array" ref="R3236">IFERROR(XLOOKUP(Q3236,'Classificação'!B:B,'Classificação'!C:C),"")</f>
        <v>RESULTADO NÃO OPERACIONAL (+/-)</v>
      </c>
      <c r="S3236" s="15">
        <f t="shared" si="228"/>
        <v>14</v>
      </c>
      <c r="T3236" s="15">
        <f t="shared" si="128"/>
        <v>8</v>
      </c>
      <c r="U3236" s="15">
        <f t="shared" si="129"/>
        <v>2027</v>
      </c>
      <c r="V3236" s="15" t="str">
        <f t="shared" si="8"/>
        <v/>
      </c>
      <c r="W3236" s="15" t="str">
        <f t="shared" si="9"/>
        <v/>
      </c>
      <c r="X3236" s="15" t="str">
        <f t="shared" si="10"/>
        <v/>
      </c>
    </row>
    <row r="3237">
      <c r="A3237" s="9">
        <v>46625.0</v>
      </c>
      <c r="B3237" s="10"/>
      <c r="C3237" s="9" t="str">
        <f t="shared" si="249"/>
        <v/>
      </c>
      <c r="D3237" s="28" t="s">
        <v>44</v>
      </c>
      <c r="E3237" s="28" t="s">
        <v>1305</v>
      </c>
      <c r="F3237" s="28" t="s">
        <v>45</v>
      </c>
      <c r="G3237" s="28" t="s">
        <v>27</v>
      </c>
      <c r="H3237" s="29" t="s">
        <v>1329</v>
      </c>
      <c r="I3237" s="37">
        <v>2158.6832750000003</v>
      </c>
      <c r="J3237" s="34"/>
      <c r="K3237" s="37"/>
      <c r="L3237" s="28" t="s">
        <v>53</v>
      </c>
      <c r="M3237" s="16" t="s">
        <v>1468</v>
      </c>
      <c r="N3237" s="28" t="s">
        <v>73</v>
      </c>
      <c r="O3237" s="10" t="str">
        <f t="shared" si="79"/>
        <v>08/2027</v>
      </c>
      <c r="P3237" s="10" t="str">
        <f t="shared" si="399"/>
        <v/>
      </c>
      <c r="Q3237" s="15" t="str">
        <f t="array" ref="Q3237">IFERROR(XLOOKUP(N3237,'Classificação'!A:A,'Classificação'!B:B),"")</f>
        <v>DESPESAS NÃO OPERACIONAIS</v>
      </c>
      <c r="R3237" s="15" t="str">
        <f t="array" ref="R3237">IFERROR(XLOOKUP(Q3237,'Classificação'!B:B,'Classificação'!C:C),"")</f>
        <v>RESULTADO NÃO OPERACIONAL (+/-)</v>
      </c>
      <c r="S3237" s="15">
        <f t="shared" si="228"/>
        <v>26</v>
      </c>
      <c r="T3237" s="15">
        <f t="shared" si="128"/>
        <v>8</v>
      </c>
      <c r="U3237" s="15">
        <f t="shared" si="129"/>
        <v>2027</v>
      </c>
      <c r="V3237" s="15" t="str">
        <f t="shared" si="8"/>
        <v/>
      </c>
      <c r="W3237" s="15" t="str">
        <f t="shared" si="9"/>
        <v/>
      </c>
      <c r="X3237" s="15" t="str">
        <f t="shared" si="10"/>
        <v/>
      </c>
    </row>
    <row r="3238">
      <c r="A3238" s="9">
        <v>46633.0</v>
      </c>
      <c r="B3238" s="10"/>
      <c r="C3238" s="9" t="str">
        <f t="shared" si="249"/>
        <v/>
      </c>
      <c r="D3238" s="11" t="s">
        <v>44</v>
      </c>
      <c r="E3238" s="11" t="s">
        <v>1305</v>
      </c>
      <c r="F3238" s="11" t="s">
        <v>45</v>
      </c>
      <c r="G3238" s="11" t="s">
        <v>27</v>
      </c>
      <c r="H3238" s="11" t="s">
        <v>651</v>
      </c>
      <c r="I3238" s="13">
        <v>2300.8617249999998</v>
      </c>
      <c r="J3238" s="13"/>
      <c r="K3238" s="13" t="str">
        <f t="shared" ref="K3238:K3241" si="408">if(E3238="pago",(I3238-J3238),"")</f>
        <v/>
      </c>
      <c r="L3238" s="11" t="s">
        <v>53</v>
      </c>
      <c r="M3238" s="16" t="s">
        <v>1469</v>
      </c>
      <c r="N3238" s="11" t="s">
        <v>73</v>
      </c>
      <c r="O3238" s="10" t="str">
        <f t="shared" si="79"/>
        <v>09/2027</v>
      </c>
      <c r="P3238" s="10" t="str">
        <f t="shared" si="399"/>
        <v/>
      </c>
      <c r="Q3238" s="15" t="str">
        <f t="array" ref="Q3238">IFERROR(XLOOKUP(N3238,'Classificação'!A:A,'Classificação'!B:B),"")</f>
        <v>DESPESAS NÃO OPERACIONAIS</v>
      </c>
      <c r="R3238" s="15" t="str">
        <f t="array" ref="R3238">IFERROR(XLOOKUP(Q3238,'Classificação'!B:B,'Classificação'!C:C),"")</f>
        <v>RESULTADO NÃO OPERACIONAL (+/-)</v>
      </c>
      <c r="S3238" s="15">
        <f t="shared" si="228"/>
        <v>3</v>
      </c>
      <c r="T3238" s="15">
        <f t="shared" si="128"/>
        <v>9</v>
      </c>
      <c r="U3238" s="15">
        <f t="shared" si="129"/>
        <v>2027</v>
      </c>
      <c r="V3238" s="15" t="str">
        <f t="shared" si="8"/>
        <v/>
      </c>
      <c r="W3238" s="15" t="str">
        <f t="shared" si="9"/>
        <v/>
      </c>
      <c r="X3238" s="15" t="str">
        <f t="shared" si="10"/>
        <v/>
      </c>
    </row>
    <row r="3239">
      <c r="A3239" s="9">
        <v>46640.0</v>
      </c>
      <c r="B3239" s="10"/>
      <c r="C3239" s="9" t="str">
        <f t="shared" si="249"/>
        <v/>
      </c>
      <c r="D3239" s="11" t="s">
        <v>44</v>
      </c>
      <c r="E3239" s="11" t="s">
        <v>1305</v>
      </c>
      <c r="F3239" s="11" t="s">
        <v>45</v>
      </c>
      <c r="G3239" s="11" t="s">
        <v>27</v>
      </c>
      <c r="H3239" s="11" t="s">
        <v>52</v>
      </c>
      <c r="I3239" s="12">
        <v>503.0</v>
      </c>
      <c r="J3239" s="13"/>
      <c r="K3239" s="13" t="str">
        <f t="shared" si="408"/>
        <v/>
      </c>
      <c r="L3239" s="11" t="s">
        <v>53</v>
      </c>
      <c r="M3239" s="16" t="s">
        <v>1470</v>
      </c>
      <c r="N3239" s="11" t="s">
        <v>55</v>
      </c>
      <c r="O3239" s="10" t="str">
        <f t="shared" si="79"/>
        <v>09/2027</v>
      </c>
      <c r="P3239" s="10" t="str">
        <f t="shared" si="399"/>
        <v/>
      </c>
      <c r="Q3239" s="15" t="str">
        <f t="array" ref="Q3239">IFERROR(XLOOKUP(N3239,'Classificação'!A:A,'Classificação'!B:B),"")</f>
        <v>DESPESAS NÃO OPERACIONAIS</v>
      </c>
      <c r="R3239" s="15" t="str">
        <f t="array" ref="R3239">IFERROR(XLOOKUP(Q3239,'Classificação'!B:B,'Classificação'!C:C),"")</f>
        <v>RESULTADO NÃO OPERACIONAL (+/-)</v>
      </c>
      <c r="S3239" s="15">
        <f t="shared" si="228"/>
        <v>10</v>
      </c>
      <c r="T3239" s="15">
        <f t="shared" si="128"/>
        <v>9</v>
      </c>
      <c r="U3239" s="15">
        <f t="shared" si="129"/>
        <v>2027</v>
      </c>
      <c r="V3239" s="15" t="str">
        <f t="shared" si="8"/>
        <v/>
      </c>
      <c r="W3239" s="15" t="str">
        <f t="shared" si="9"/>
        <v/>
      </c>
      <c r="X3239" s="15" t="str">
        <f t="shared" si="10"/>
        <v/>
      </c>
    </row>
    <row r="3240">
      <c r="A3240" s="9">
        <v>46640.0</v>
      </c>
      <c r="B3240" s="10"/>
      <c r="C3240" s="9" t="str">
        <f t="shared" si="249"/>
        <v/>
      </c>
      <c r="D3240" s="11" t="s">
        <v>1104</v>
      </c>
      <c r="E3240" s="28" t="s">
        <v>1305</v>
      </c>
      <c r="F3240" s="11" t="s">
        <v>40</v>
      </c>
      <c r="G3240" s="11" t="s">
        <v>37</v>
      </c>
      <c r="H3240" s="11" t="s">
        <v>1105</v>
      </c>
      <c r="I3240" s="12">
        <v>963.38</v>
      </c>
      <c r="J3240" s="13"/>
      <c r="K3240" s="13" t="str">
        <f t="shared" si="408"/>
        <v/>
      </c>
      <c r="L3240" s="11" t="s">
        <v>53</v>
      </c>
      <c r="M3240" s="16" t="s">
        <v>1471</v>
      </c>
      <c r="N3240" s="11" t="s">
        <v>73</v>
      </c>
      <c r="O3240" s="10" t="str">
        <f t="shared" si="79"/>
        <v>09/2027</v>
      </c>
      <c r="P3240" s="10" t="str">
        <f t="shared" si="399"/>
        <v/>
      </c>
      <c r="Q3240" s="15" t="str">
        <f t="array" ref="Q3240">IFERROR(XLOOKUP(N3240,'Classificação'!A:A,'Classificação'!B:B),"")</f>
        <v>DESPESAS NÃO OPERACIONAIS</v>
      </c>
      <c r="R3240" s="15" t="str">
        <f t="array" ref="R3240">IFERROR(XLOOKUP(Q3240,'Classificação'!B:B,'Classificação'!C:C),"")</f>
        <v>RESULTADO NÃO OPERACIONAL (+/-)</v>
      </c>
      <c r="S3240" s="15">
        <f t="shared" si="228"/>
        <v>10</v>
      </c>
      <c r="T3240" s="15">
        <f t="shared" si="128"/>
        <v>9</v>
      </c>
      <c r="U3240" s="15">
        <f t="shared" si="129"/>
        <v>2027</v>
      </c>
      <c r="V3240" s="15" t="str">
        <f t="shared" si="8"/>
        <v/>
      </c>
      <c r="W3240" s="15" t="str">
        <f t="shared" si="9"/>
        <v/>
      </c>
      <c r="X3240" s="15" t="str">
        <f t="shared" si="10"/>
        <v/>
      </c>
    </row>
    <row r="3241">
      <c r="A3241" s="9">
        <v>46644.0</v>
      </c>
      <c r="B3241" s="10"/>
      <c r="C3241" s="9" t="str">
        <f t="shared" si="249"/>
        <v/>
      </c>
      <c r="D3241" s="11" t="s">
        <v>44</v>
      </c>
      <c r="E3241" s="11" t="s">
        <v>1305</v>
      </c>
      <c r="F3241" s="11" t="s">
        <v>45</v>
      </c>
      <c r="G3241" s="11" t="s">
        <v>27</v>
      </c>
      <c r="H3241" s="11" t="s">
        <v>476</v>
      </c>
      <c r="I3241" s="12">
        <v>4996.0</v>
      </c>
      <c r="J3241" s="13"/>
      <c r="K3241" s="13" t="str">
        <f t="shared" si="408"/>
        <v/>
      </c>
      <c r="L3241" s="11" t="s">
        <v>53</v>
      </c>
      <c r="M3241" s="16" t="s">
        <v>1364</v>
      </c>
      <c r="N3241" s="11" t="s">
        <v>73</v>
      </c>
      <c r="O3241" s="10" t="str">
        <f t="shared" si="79"/>
        <v>09/2027</v>
      </c>
      <c r="P3241" s="10" t="str">
        <f t="shared" si="399"/>
        <v/>
      </c>
      <c r="Q3241" s="15" t="str">
        <f t="array" ref="Q3241">IFERROR(XLOOKUP(N3241,'Classificação'!A:A,'Classificação'!B:B),"")</f>
        <v>DESPESAS NÃO OPERACIONAIS</v>
      </c>
      <c r="R3241" s="15" t="str">
        <f t="array" ref="R3241">IFERROR(XLOOKUP(Q3241,'Classificação'!B:B,'Classificação'!C:C),"")</f>
        <v>RESULTADO NÃO OPERACIONAL (+/-)</v>
      </c>
      <c r="S3241" s="15">
        <f t="shared" si="228"/>
        <v>14</v>
      </c>
      <c r="T3241" s="15">
        <f t="shared" si="128"/>
        <v>9</v>
      </c>
      <c r="U3241" s="15">
        <f t="shared" si="129"/>
        <v>2027</v>
      </c>
      <c r="V3241" s="15" t="str">
        <f t="shared" si="8"/>
        <v/>
      </c>
      <c r="W3241" s="15" t="str">
        <f t="shared" si="9"/>
        <v/>
      </c>
      <c r="X3241" s="15" t="str">
        <f t="shared" si="10"/>
        <v/>
      </c>
    </row>
    <row r="3242">
      <c r="A3242" s="9">
        <v>46656.0</v>
      </c>
      <c r="B3242" s="10"/>
      <c r="C3242" s="9" t="str">
        <f t="shared" si="249"/>
        <v/>
      </c>
      <c r="D3242" s="28" t="s">
        <v>44</v>
      </c>
      <c r="E3242" s="28" t="s">
        <v>1305</v>
      </c>
      <c r="F3242" s="28" t="s">
        <v>45</v>
      </c>
      <c r="G3242" s="28" t="s">
        <v>27</v>
      </c>
      <c r="H3242" s="29" t="s">
        <v>1329</v>
      </c>
      <c r="I3242" s="37">
        <v>2133.8562</v>
      </c>
      <c r="J3242" s="34"/>
      <c r="K3242" s="37"/>
      <c r="L3242" s="28" t="s">
        <v>53</v>
      </c>
      <c r="M3242" s="16" t="s">
        <v>1472</v>
      </c>
      <c r="N3242" s="28" t="s">
        <v>73</v>
      </c>
      <c r="O3242" s="10" t="str">
        <f t="shared" si="79"/>
        <v>09/2027</v>
      </c>
      <c r="P3242" s="10" t="str">
        <f t="shared" si="399"/>
        <v/>
      </c>
      <c r="Q3242" s="15" t="str">
        <f t="array" ref="Q3242">IFERROR(XLOOKUP(N3242,'Classificação'!A:A,'Classificação'!B:B),"")</f>
        <v>DESPESAS NÃO OPERACIONAIS</v>
      </c>
      <c r="R3242" s="15" t="str">
        <f t="array" ref="R3242">IFERROR(XLOOKUP(Q3242,'Classificação'!B:B,'Classificação'!C:C),"")</f>
        <v>RESULTADO NÃO OPERACIONAL (+/-)</v>
      </c>
      <c r="S3242" s="15">
        <f t="shared" si="228"/>
        <v>26</v>
      </c>
      <c r="T3242" s="15">
        <f t="shared" si="128"/>
        <v>9</v>
      </c>
      <c r="U3242" s="15">
        <f t="shared" si="129"/>
        <v>2027</v>
      </c>
      <c r="V3242" s="15" t="str">
        <f t="shared" si="8"/>
        <v/>
      </c>
      <c r="W3242" s="15" t="str">
        <f t="shared" si="9"/>
        <v/>
      </c>
      <c r="X3242" s="15" t="str">
        <f t="shared" si="10"/>
        <v/>
      </c>
    </row>
    <row r="3243">
      <c r="A3243" s="9">
        <v>46663.0</v>
      </c>
      <c r="B3243" s="10"/>
      <c r="C3243" s="9" t="str">
        <f t="shared" si="249"/>
        <v/>
      </c>
      <c r="D3243" s="11" t="s">
        <v>44</v>
      </c>
      <c r="E3243" s="11" t="s">
        <v>1305</v>
      </c>
      <c r="F3243" s="11" t="s">
        <v>45</v>
      </c>
      <c r="G3243" s="11" t="s">
        <v>27</v>
      </c>
      <c r="H3243" s="11" t="s">
        <v>651</v>
      </c>
      <c r="I3243" s="13">
        <v>2262.95865</v>
      </c>
      <c r="J3243" s="13"/>
      <c r="K3243" s="13" t="str">
        <f t="shared" ref="K3243:K3246" si="409">if(E3243="pago",(I3243-J3243),"")</f>
        <v/>
      </c>
      <c r="L3243" s="11" t="s">
        <v>53</v>
      </c>
      <c r="M3243" s="16" t="s">
        <v>1473</v>
      </c>
      <c r="N3243" s="11" t="s">
        <v>73</v>
      </c>
      <c r="O3243" s="10" t="str">
        <f t="shared" si="79"/>
        <v>10/2027</v>
      </c>
      <c r="P3243" s="10" t="str">
        <f t="shared" si="399"/>
        <v/>
      </c>
      <c r="Q3243" s="15" t="str">
        <f t="array" ref="Q3243">IFERROR(XLOOKUP(N3243,'Classificação'!A:A,'Classificação'!B:B),"")</f>
        <v>DESPESAS NÃO OPERACIONAIS</v>
      </c>
      <c r="R3243" s="15" t="str">
        <f t="array" ref="R3243">IFERROR(XLOOKUP(Q3243,'Classificação'!B:B,'Classificação'!C:C),"")</f>
        <v>RESULTADO NÃO OPERACIONAL (+/-)</v>
      </c>
      <c r="S3243" s="15">
        <f t="shared" si="228"/>
        <v>3</v>
      </c>
      <c r="T3243" s="15">
        <f t="shared" si="128"/>
        <v>10</v>
      </c>
      <c r="U3243" s="15">
        <f t="shared" si="129"/>
        <v>2027</v>
      </c>
      <c r="V3243" s="15" t="str">
        <f t="shared" si="8"/>
        <v/>
      </c>
      <c r="W3243" s="15" t="str">
        <f t="shared" si="9"/>
        <v/>
      </c>
      <c r="X3243" s="15" t="str">
        <f t="shared" si="10"/>
        <v/>
      </c>
    </row>
    <row r="3244">
      <c r="A3244" s="9">
        <v>46670.0</v>
      </c>
      <c r="B3244" s="10"/>
      <c r="C3244" s="9" t="str">
        <f t="shared" si="249"/>
        <v/>
      </c>
      <c r="D3244" s="11" t="s">
        <v>44</v>
      </c>
      <c r="E3244" s="11" t="s">
        <v>1305</v>
      </c>
      <c r="F3244" s="11" t="s">
        <v>45</v>
      </c>
      <c r="G3244" s="11" t="s">
        <v>27</v>
      </c>
      <c r="H3244" s="11" t="s">
        <v>52</v>
      </c>
      <c r="I3244" s="12">
        <v>503.0</v>
      </c>
      <c r="J3244" s="13"/>
      <c r="K3244" s="13" t="str">
        <f t="shared" si="409"/>
        <v/>
      </c>
      <c r="L3244" s="11" t="s">
        <v>53</v>
      </c>
      <c r="M3244" s="16" t="s">
        <v>1474</v>
      </c>
      <c r="N3244" s="11" t="s">
        <v>55</v>
      </c>
      <c r="O3244" s="10" t="str">
        <f t="shared" si="79"/>
        <v>10/2027</v>
      </c>
      <c r="P3244" s="10" t="str">
        <f t="shared" si="399"/>
        <v/>
      </c>
      <c r="Q3244" s="15" t="str">
        <f t="array" ref="Q3244">IFERROR(XLOOKUP(N3244,'Classificação'!A:A,'Classificação'!B:B),"")</f>
        <v>DESPESAS NÃO OPERACIONAIS</v>
      </c>
      <c r="R3244" s="15" t="str">
        <f t="array" ref="R3244">IFERROR(XLOOKUP(Q3244,'Classificação'!B:B,'Classificação'!C:C),"")</f>
        <v>RESULTADO NÃO OPERACIONAL (+/-)</v>
      </c>
      <c r="S3244" s="15">
        <f t="shared" si="228"/>
        <v>10</v>
      </c>
      <c r="T3244" s="15">
        <f t="shared" si="128"/>
        <v>10</v>
      </c>
      <c r="U3244" s="15">
        <f t="shared" si="129"/>
        <v>2027</v>
      </c>
      <c r="V3244" s="15" t="str">
        <f t="shared" si="8"/>
        <v/>
      </c>
      <c r="W3244" s="15" t="str">
        <f t="shared" si="9"/>
        <v/>
      </c>
      <c r="X3244" s="15" t="str">
        <f t="shared" si="10"/>
        <v/>
      </c>
    </row>
    <row r="3245">
      <c r="A3245" s="9">
        <v>46670.0</v>
      </c>
      <c r="B3245" s="10"/>
      <c r="C3245" s="9" t="str">
        <f t="shared" si="249"/>
        <v/>
      </c>
      <c r="D3245" s="11" t="s">
        <v>1104</v>
      </c>
      <c r="E3245" s="28" t="s">
        <v>1305</v>
      </c>
      <c r="F3245" s="11" t="s">
        <v>40</v>
      </c>
      <c r="G3245" s="11" t="s">
        <v>37</v>
      </c>
      <c r="H3245" s="11" t="s">
        <v>1105</v>
      </c>
      <c r="I3245" s="12">
        <v>963.38</v>
      </c>
      <c r="J3245" s="13"/>
      <c r="K3245" s="13" t="str">
        <f t="shared" si="409"/>
        <v/>
      </c>
      <c r="L3245" s="11" t="s">
        <v>53</v>
      </c>
      <c r="M3245" s="16" t="s">
        <v>1475</v>
      </c>
      <c r="N3245" s="11" t="s">
        <v>73</v>
      </c>
      <c r="O3245" s="10" t="str">
        <f t="shared" si="79"/>
        <v>10/2027</v>
      </c>
      <c r="P3245" s="10" t="str">
        <f t="shared" si="399"/>
        <v/>
      </c>
      <c r="Q3245" s="15" t="str">
        <f t="array" ref="Q3245">IFERROR(XLOOKUP(N3245,'Classificação'!A:A,'Classificação'!B:B),"")</f>
        <v>DESPESAS NÃO OPERACIONAIS</v>
      </c>
      <c r="R3245" s="15" t="str">
        <f t="array" ref="R3245">IFERROR(XLOOKUP(Q3245,'Classificação'!B:B,'Classificação'!C:C),"")</f>
        <v>RESULTADO NÃO OPERACIONAL (+/-)</v>
      </c>
      <c r="S3245" s="15">
        <f t="shared" si="228"/>
        <v>10</v>
      </c>
      <c r="T3245" s="15">
        <f t="shared" si="128"/>
        <v>10</v>
      </c>
      <c r="U3245" s="15">
        <f t="shared" si="129"/>
        <v>2027</v>
      </c>
      <c r="V3245" s="15" t="str">
        <f t="shared" si="8"/>
        <v/>
      </c>
      <c r="W3245" s="15" t="str">
        <f t="shared" si="9"/>
        <v/>
      </c>
      <c r="X3245" s="15" t="str">
        <f t="shared" si="10"/>
        <v/>
      </c>
    </row>
    <row r="3246">
      <c r="A3246" s="9">
        <v>46674.0</v>
      </c>
      <c r="B3246" s="10"/>
      <c r="C3246" s="9" t="str">
        <f t="shared" si="249"/>
        <v/>
      </c>
      <c r="D3246" s="11" t="s">
        <v>44</v>
      </c>
      <c r="E3246" s="11" t="s">
        <v>1305</v>
      </c>
      <c r="F3246" s="11" t="s">
        <v>45</v>
      </c>
      <c r="G3246" s="11" t="s">
        <v>27</v>
      </c>
      <c r="H3246" s="11" t="s">
        <v>476</v>
      </c>
      <c r="I3246" s="12">
        <v>4996.0</v>
      </c>
      <c r="J3246" s="13"/>
      <c r="K3246" s="13" t="str">
        <f t="shared" si="409"/>
        <v/>
      </c>
      <c r="L3246" s="11" t="s">
        <v>53</v>
      </c>
      <c r="M3246" s="16" t="s">
        <v>1373</v>
      </c>
      <c r="N3246" s="11" t="s">
        <v>73</v>
      </c>
      <c r="O3246" s="10" t="str">
        <f t="shared" si="79"/>
        <v>10/2027</v>
      </c>
      <c r="P3246" s="10" t="str">
        <f t="shared" si="399"/>
        <v/>
      </c>
      <c r="Q3246" s="15" t="str">
        <f t="array" ref="Q3246">IFERROR(XLOOKUP(N3246,'Classificação'!A:A,'Classificação'!B:B),"")</f>
        <v>DESPESAS NÃO OPERACIONAIS</v>
      </c>
      <c r="R3246" s="15" t="str">
        <f t="array" ref="R3246">IFERROR(XLOOKUP(Q3246,'Classificação'!B:B,'Classificação'!C:C),"")</f>
        <v>RESULTADO NÃO OPERACIONAL (+/-)</v>
      </c>
      <c r="S3246" s="15">
        <f t="shared" si="228"/>
        <v>14</v>
      </c>
      <c r="T3246" s="15">
        <f t="shared" si="128"/>
        <v>10</v>
      </c>
      <c r="U3246" s="15">
        <f t="shared" si="129"/>
        <v>2027</v>
      </c>
      <c r="V3246" s="15" t="str">
        <f t="shared" si="8"/>
        <v/>
      </c>
      <c r="W3246" s="15" t="str">
        <f t="shared" si="9"/>
        <v/>
      </c>
      <c r="X3246" s="15" t="str">
        <f t="shared" si="10"/>
        <v/>
      </c>
    </row>
    <row r="3247">
      <c r="A3247" s="32">
        <v>46686.0</v>
      </c>
      <c r="B3247" s="10"/>
      <c r="C3247" s="9" t="str">
        <f t="shared" si="249"/>
        <v/>
      </c>
      <c r="D3247" s="28" t="s">
        <v>44</v>
      </c>
      <c r="E3247" s="28" t="s">
        <v>1305</v>
      </c>
      <c r="F3247" s="28" t="s">
        <v>45</v>
      </c>
      <c r="G3247" s="28" t="s">
        <v>27</v>
      </c>
      <c r="H3247" s="29" t="s">
        <v>1329</v>
      </c>
      <c r="I3247" s="37">
        <v>2109.029125</v>
      </c>
      <c r="J3247" s="34"/>
      <c r="K3247" s="37"/>
      <c r="L3247" s="28" t="s">
        <v>53</v>
      </c>
      <c r="M3247" s="16" t="s">
        <v>1476</v>
      </c>
      <c r="N3247" s="28" t="s">
        <v>73</v>
      </c>
      <c r="O3247" s="10" t="str">
        <f t="shared" si="79"/>
        <v>10/2027</v>
      </c>
      <c r="P3247" s="10" t="str">
        <f t="shared" si="399"/>
        <v/>
      </c>
      <c r="Q3247" s="15" t="str">
        <f t="array" ref="Q3247">IFERROR(XLOOKUP(N3247,'Classificação'!A:A,'Classificação'!B:B),"")</f>
        <v>DESPESAS NÃO OPERACIONAIS</v>
      </c>
      <c r="R3247" s="15" t="str">
        <f t="array" ref="R3247">IFERROR(XLOOKUP(Q3247,'Classificação'!B:B,'Classificação'!C:C),"")</f>
        <v>RESULTADO NÃO OPERACIONAL (+/-)</v>
      </c>
      <c r="S3247" s="15">
        <f t="shared" si="228"/>
        <v>26</v>
      </c>
      <c r="T3247" s="15">
        <f t="shared" si="128"/>
        <v>10</v>
      </c>
      <c r="U3247" s="15">
        <f t="shared" si="129"/>
        <v>2027</v>
      </c>
      <c r="V3247" s="15" t="str">
        <f t="shared" si="8"/>
        <v/>
      </c>
      <c r="W3247" s="15" t="str">
        <f t="shared" si="9"/>
        <v/>
      </c>
      <c r="X3247" s="15" t="str">
        <f t="shared" si="10"/>
        <v/>
      </c>
    </row>
    <row r="3248">
      <c r="A3248" s="9">
        <v>46694.0</v>
      </c>
      <c r="B3248" s="10"/>
      <c r="C3248" s="9" t="str">
        <f t="shared" si="249"/>
        <v/>
      </c>
      <c r="D3248" s="11" t="s">
        <v>44</v>
      </c>
      <c r="E3248" s="11" t="s">
        <v>1305</v>
      </c>
      <c r="F3248" s="11" t="s">
        <v>45</v>
      </c>
      <c r="G3248" s="11" t="s">
        <v>27</v>
      </c>
      <c r="H3248" s="11" t="s">
        <v>651</v>
      </c>
      <c r="I3248" s="13">
        <v>2225.055575</v>
      </c>
      <c r="J3248" s="13"/>
      <c r="K3248" s="13" t="str">
        <f>if(E3248="pago",(I3248-J3248),"")</f>
        <v/>
      </c>
      <c r="L3248" s="11" t="s">
        <v>53</v>
      </c>
      <c r="M3248" s="16" t="s">
        <v>1477</v>
      </c>
      <c r="N3248" s="11" t="s">
        <v>73</v>
      </c>
      <c r="O3248" s="10" t="str">
        <f t="shared" si="79"/>
        <v>11/2027</v>
      </c>
      <c r="P3248" s="10" t="str">
        <f t="shared" si="399"/>
        <v/>
      </c>
      <c r="Q3248" s="15" t="str">
        <f t="array" ref="Q3248">IFERROR(XLOOKUP(N3248,'Classificação'!A:A,'Classificação'!B:B),"")</f>
        <v>DESPESAS NÃO OPERACIONAIS</v>
      </c>
      <c r="R3248" s="15" t="str">
        <f t="array" ref="R3248">IFERROR(XLOOKUP(Q3248,'Classificação'!B:B,'Classificação'!C:C),"")</f>
        <v>RESULTADO NÃO OPERACIONAL (+/-)</v>
      </c>
      <c r="S3248" s="15">
        <f t="shared" si="228"/>
        <v>3</v>
      </c>
      <c r="T3248" s="15">
        <f t="shared" si="128"/>
        <v>11</v>
      </c>
      <c r="U3248" s="15">
        <f t="shared" si="129"/>
        <v>2027</v>
      </c>
      <c r="V3248" s="15" t="str">
        <f t="shared" si="8"/>
        <v/>
      </c>
      <c r="W3248" s="15" t="str">
        <f t="shared" si="9"/>
        <v/>
      </c>
      <c r="X3248" s="15" t="str">
        <f t="shared" si="10"/>
        <v/>
      </c>
    </row>
    <row r="3249">
      <c r="A3249" s="26">
        <v>46701.0</v>
      </c>
      <c r="B3249" s="30"/>
      <c r="C3249" s="27" t="str">
        <f t="shared" si="249"/>
        <v/>
      </c>
      <c r="D3249" s="28" t="s">
        <v>44</v>
      </c>
      <c r="E3249" s="28" t="s">
        <v>1305</v>
      </c>
      <c r="F3249" s="28" t="s">
        <v>45</v>
      </c>
      <c r="G3249" s="28" t="s">
        <v>27</v>
      </c>
      <c r="H3249" s="28" t="s">
        <v>52</v>
      </c>
      <c r="I3249" s="12">
        <v>503.0</v>
      </c>
      <c r="J3249" s="34"/>
      <c r="K3249" s="37" t="str">
        <f>IF(E3249="pago",(I3249-J3249),"")</f>
        <v/>
      </c>
      <c r="L3249" s="28" t="s">
        <v>53</v>
      </c>
      <c r="M3249" s="29" t="s">
        <v>1478</v>
      </c>
      <c r="N3249" s="28" t="s">
        <v>55</v>
      </c>
      <c r="O3249" s="10" t="str">
        <f t="shared" si="79"/>
        <v>11/2027</v>
      </c>
      <c r="P3249" s="10"/>
      <c r="Q3249" s="15" t="str">
        <f t="array" ref="Q3249">IFERROR(XLOOKUP(N3249,'Classificação'!A:A,'Classificação'!B:B),"")</f>
        <v>DESPESAS NÃO OPERACIONAIS</v>
      </c>
      <c r="R3249" s="15" t="str">
        <f t="array" ref="R3249">IFERROR(XLOOKUP(Q3249,'Classificação'!B:B,'Classificação'!C:C),"")</f>
        <v>RESULTADO NÃO OPERACIONAL (+/-)</v>
      </c>
      <c r="S3249" s="15">
        <f t="shared" si="228"/>
        <v>10</v>
      </c>
      <c r="T3249" s="15">
        <f t="shared" si="128"/>
        <v>11</v>
      </c>
      <c r="U3249" s="15">
        <f t="shared" si="129"/>
        <v>2027</v>
      </c>
      <c r="V3249" s="15" t="str">
        <f t="shared" si="8"/>
        <v/>
      </c>
      <c r="W3249" s="15" t="str">
        <f t="shared" si="9"/>
        <v/>
      </c>
      <c r="X3249" s="15" t="str">
        <f t="shared" si="10"/>
        <v/>
      </c>
    </row>
    <row r="3250">
      <c r="A3250" s="9">
        <v>46701.0</v>
      </c>
      <c r="B3250" s="10"/>
      <c r="C3250" s="9" t="str">
        <f t="shared" si="249"/>
        <v/>
      </c>
      <c r="D3250" s="11" t="s">
        <v>1104</v>
      </c>
      <c r="E3250" s="28" t="s">
        <v>1305</v>
      </c>
      <c r="F3250" s="11" t="s">
        <v>40</v>
      </c>
      <c r="G3250" s="11" t="s">
        <v>37</v>
      </c>
      <c r="H3250" s="11" t="s">
        <v>1105</v>
      </c>
      <c r="I3250" s="12">
        <v>963.38</v>
      </c>
      <c r="J3250" s="13"/>
      <c r="K3250" s="13" t="str">
        <f t="shared" ref="K3250:K3251" si="410">if(E3250="pago",(I3250-J3250),"")</f>
        <v/>
      </c>
      <c r="L3250" s="11" t="s">
        <v>53</v>
      </c>
      <c r="M3250" s="16" t="s">
        <v>1479</v>
      </c>
      <c r="N3250" s="11" t="s">
        <v>73</v>
      </c>
      <c r="O3250" s="10" t="str">
        <f t="shared" si="79"/>
        <v>11/2027</v>
      </c>
      <c r="P3250" s="10" t="str">
        <f t="shared" ref="P3250:P3404" si="411">if(C3250="","", TEXT(C3250,"mm/yyyy"))</f>
        <v/>
      </c>
      <c r="Q3250" s="15" t="str">
        <f t="array" ref="Q3250">IFERROR(XLOOKUP(N3250,'Classificação'!A:A,'Classificação'!B:B),"")</f>
        <v>DESPESAS NÃO OPERACIONAIS</v>
      </c>
      <c r="R3250" s="15" t="str">
        <f t="array" ref="R3250">IFERROR(XLOOKUP(Q3250,'Classificação'!B:B,'Classificação'!C:C),"")</f>
        <v>RESULTADO NÃO OPERACIONAL (+/-)</v>
      </c>
      <c r="S3250" s="15">
        <f t="shared" si="228"/>
        <v>10</v>
      </c>
      <c r="T3250" s="15">
        <f t="shared" si="128"/>
        <v>11</v>
      </c>
      <c r="U3250" s="15">
        <f t="shared" si="129"/>
        <v>2027</v>
      </c>
      <c r="V3250" s="15" t="str">
        <f t="shared" si="8"/>
        <v/>
      </c>
      <c r="W3250" s="15" t="str">
        <f t="shared" si="9"/>
        <v/>
      </c>
      <c r="X3250" s="15" t="str">
        <f t="shared" si="10"/>
        <v/>
      </c>
    </row>
    <row r="3251">
      <c r="A3251" s="9">
        <v>46705.0</v>
      </c>
      <c r="B3251" s="10"/>
      <c r="C3251" s="9" t="str">
        <f t="shared" si="249"/>
        <v/>
      </c>
      <c r="D3251" s="11" t="s">
        <v>44</v>
      </c>
      <c r="E3251" s="11" t="s">
        <v>1305</v>
      </c>
      <c r="F3251" s="11" t="s">
        <v>45</v>
      </c>
      <c r="G3251" s="11" t="s">
        <v>27</v>
      </c>
      <c r="H3251" s="11" t="s">
        <v>476</v>
      </c>
      <c r="I3251" s="12">
        <v>4996.0</v>
      </c>
      <c r="J3251" s="13"/>
      <c r="K3251" s="13" t="str">
        <f t="shared" si="410"/>
        <v/>
      </c>
      <c r="L3251" s="11" t="s">
        <v>53</v>
      </c>
      <c r="M3251" s="16" t="s">
        <v>1387</v>
      </c>
      <c r="N3251" s="11" t="s">
        <v>73</v>
      </c>
      <c r="O3251" s="10" t="str">
        <f t="shared" si="79"/>
        <v>11/2027</v>
      </c>
      <c r="P3251" s="10" t="str">
        <f t="shared" si="411"/>
        <v/>
      </c>
      <c r="Q3251" s="15" t="str">
        <f t="array" ref="Q3251">IFERROR(XLOOKUP(N3251,'Classificação'!A:A,'Classificação'!B:B),"")</f>
        <v>DESPESAS NÃO OPERACIONAIS</v>
      </c>
      <c r="R3251" s="15" t="str">
        <f t="array" ref="R3251">IFERROR(XLOOKUP(Q3251,'Classificação'!B:B,'Classificação'!C:C),"")</f>
        <v>RESULTADO NÃO OPERACIONAL (+/-)</v>
      </c>
      <c r="S3251" s="15">
        <f t="shared" si="228"/>
        <v>14</v>
      </c>
      <c r="T3251" s="15">
        <f t="shared" si="128"/>
        <v>11</v>
      </c>
      <c r="U3251" s="15">
        <f t="shared" si="129"/>
        <v>2027</v>
      </c>
      <c r="V3251" s="15" t="str">
        <f t="shared" si="8"/>
        <v/>
      </c>
      <c r="W3251" s="15" t="str">
        <f t="shared" si="9"/>
        <v/>
      </c>
      <c r="X3251" s="15" t="str">
        <f t="shared" si="10"/>
        <v/>
      </c>
    </row>
    <row r="3252">
      <c r="A3252" s="32">
        <v>46717.0</v>
      </c>
      <c r="B3252" s="10"/>
      <c r="C3252" s="9" t="str">
        <f t="shared" si="249"/>
        <v/>
      </c>
      <c r="D3252" s="28" t="s">
        <v>44</v>
      </c>
      <c r="E3252" s="28" t="s">
        <v>1305</v>
      </c>
      <c r="F3252" s="28" t="s">
        <v>45</v>
      </c>
      <c r="G3252" s="28" t="s">
        <v>27</v>
      </c>
      <c r="H3252" s="29" t="s">
        <v>1329</v>
      </c>
      <c r="I3252" s="37">
        <v>2084.20205</v>
      </c>
      <c r="J3252" s="34"/>
      <c r="K3252" s="37"/>
      <c r="L3252" s="28" t="s">
        <v>53</v>
      </c>
      <c r="M3252" s="16" t="s">
        <v>1480</v>
      </c>
      <c r="N3252" s="28" t="s">
        <v>73</v>
      </c>
      <c r="O3252" s="10" t="str">
        <f t="shared" si="79"/>
        <v>11/2027</v>
      </c>
      <c r="P3252" s="10" t="str">
        <f t="shared" si="411"/>
        <v/>
      </c>
      <c r="Q3252" s="15" t="str">
        <f t="array" ref="Q3252">IFERROR(XLOOKUP(N3252,'Classificação'!A:A,'Classificação'!B:B),"")</f>
        <v>DESPESAS NÃO OPERACIONAIS</v>
      </c>
      <c r="R3252" s="15" t="str">
        <f t="array" ref="R3252">IFERROR(XLOOKUP(Q3252,'Classificação'!B:B,'Classificação'!C:C),"")</f>
        <v>RESULTADO NÃO OPERACIONAL (+/-)</v>
      </c>
      <c r="S3252" s="15">
        <f t="shared" si="228"/>
        <v>26</v>
      </c>
      <c r="T3252" s="15">
        <f t="shared" si="128"/>
        <v>11</v>
      </c>
      <c r="U3252" s="15">
        <f t="shared" si="129"/>
        <v>2027</v>
      </c>
      <c r="V3252" s="15" t="str">
        <f t="shared" si="8"/>
        <v/>
      </c>
      <c r="W3252" s="15" t="str">
        <f t="shared" si="9"/>
        <v/>
      </c>
      <c r="X3252" s="15" t="str">
        <f t="shared" si="10"/>
        <v/>
      </c>
    </row>
    <row r="3253">
      <c r="A3253" s="9">
        <v>46735.0</v>
      </c>
      <c r="B3253" s="10"/>
      <c r="C3253" s="9" t="str">
        <f t="shared" si="249"/>
        <v/>
      </c>
      <c r="D3253" s="11" t="s">
        <v>44</v>
      </c>
      <c r="E3253" s="11" t="s">
        <v>1305</v>
      </c>
      <c r="F3253" s="11" t="s">
        <v>45</v>
      </c>
      <c r="G3253" s="11" t="s">
        <v>27</v>
      </c>
      <c r="H3253" s="11" t="s">
        <v>476</v>
      </c>
      <c r="I3253" s="12">
        <v>4996.0</v>
      </c>
      <c r="J3253" s="13"/>
      <c r="K3253" s="13" t="str">
        <f>if(E3253="pago",(I3253-J3253),"")</f>
        <v/>
      </c>
      <c r="L3253" s="11" t="s">
        <v>53</v>
      </c>
      <c r="M3253" s="16" t="s">
        <v>1415</v>
      </c>
      <c r="N3253" s="11" t="s">
        <v>73</v>
      </c>
      <c r="O3253" s="10" t="str">
        <f t="shared" si="79"/>
        <v>12/2027</v>
      </c>
      <c r="P3253" s="10" t="str">
        <f t="shared" si="411"/>
        <v/>
      </c>
      <c r="Q3253" s="15" t="str">
        <f t="array" ref="Q3253">IFERROR(XLOOKUP(N3253,'Classificação'!A:A,'Classificação'!B:B),"")</f>
        <v>DESPESAS NÃO OPERACIONAIS</v>
      </c>
      <c r="R3253" s="15" t="str">
        <f t="array" ref="R3253">IFERROR(XLOOKUP(Q3253,'Classificação'!B:B,'Classificação'!C:C),"")</f>
        <v>RESULTADO NÃO OPERACIONAL (+/-)</v>
      </c>
      <c r="S3253" s="15">
        <f t="shared" si="228"/>
        <v>14</v>
      </c>
      <c r="T3253" s="15">
        <f t="shared" si="128"/>
        <v>12</v>
      </c>
      <c r="U3253" s="15">
        <f t="shared" si="129"/>
        <v>2027</v>
      </c>
      <c r="V3253" s="15" t="str">
        <f t="shared" si="8"/>
        <v/>
      </c>
      <c r="W3253" s="15" t="str">
        <f t="shared" si="9"/>
        <v/>
      </c>
      <c r="X3253" s="15" t="str">
        <f t="shared" si="10"/>
        <v/>
      </c>
    </row>
    <row r="3254">
      <c r="A3254" s="32">
        <v>46747.0</v>
      </c>
      <c r="B3254" s="10"/>
      <c r="C3254" s="9" t="str">
        <f t="shared" si="249"/>
        <v/>
      </c>
      <c r="D3254" s="28" t="s">
        <v>44</v>
      </c>
      <c r="E3254" s="28" t="s">
        <v>1305</v>
      </c>
      <c r="F3254" s="28" t="s">
        <v>45</v>
      </c>
      <c r="G3254" s="28" t="s">
        <v>27</v>
      </c>
      <c r="H3254" s="29" t="s">
        <v>1329</v>
      </c>
      <c r="I3254" s="37">
        <v>2059.374975</v>
      </c>
      <c r="J3254" s="34"/>
      <c r="K3254" s="37"/>
      <c r="L3254" s="28" t="s">
        <v>53</v>
      </c>
      <c r="M3254" s="16" t="s">
        <v>1481</v>
      </c>
      <c r="N3254" s="28" t="s">
        <v>73</v>
      </c>
      <c r="O3254" s="10" t="str">
        <f t="shared" si="79"/>
        <v>12/2027</v>
      </c>
      <c r="P3254" s="10" t="str">
        <f t="shared" si="411"/>
        <v/>
      </c>
      <c r="Q3254" s="15" t="str">
        <f t="array" ref="Q3254">IFERROR(XLOOKUP(N3254,'Classificação'!A:A,'Classificação'!B:B),"")</f>
        <v>DESPESAS NÃO OPERACIONAIS</v>
      </c>
      <c r="R3254" s="15" t="str">
        <f t="array" ref="R3254">IFERROR(XLOOKUP(Q3254,'Classificação'!B:B,'Classificação'!C:C),"")</f>
        <v>RESULTADO NÃO OPERACIONAL (+/-)</v>
      </c>
      <c r="S3254" s="15">
        <f t="shared" si="228"/>
        <v>26</v>
      </c>
      <c r="T3254" s="15">
        <f t="shared" si="128"/>
        <v>12</v>
      </c>
      <c r="U3254" s="15">
        <f t="shared" si="129"/>
        <v>2027</v>
      </c>
      <c r="V3254" s="15" t="str">
        <f t="shared" si="8"/>
        <v/>
      </c>
      <c r="W3254" s="15" t="str">
        <f t="shared" si="9"/>
        <v/>
      </c>
      <c r="X3254" s="15" t="str">
        <f t="shared" si="10"/>
        <v/>
      </c>
    </row>
    <row r="3255">
      <c r="A3255" s="9">
        <v>46766.0</v>
      </c>
      <c r="B3255" s="10"/>
      <c r="C3255" s="9" t="str">
        <f t="shared" si="249"/>
        <v/>
      </c>
      <c r="D3255" s="11" t="s">
        <v>44</v>
      </c>
      <c r="E3255" s="11" t="s">
        <v>1305</v>
      </c>
      <c r="F3255" s="11" t="s">
        <v>45</v>
      </c>
      <c r="G3255" s="11" t="s">
        <v>27</v>
      </c>
      <c r="H3255" s="11" t="s">
        <v>476</v>
      </c>
      <c r="I3255" s="12">
        <v>4996.0</v>
      </c>
      <c r="J3255" s="13"/>
      <c r="K3255" s="13" t="str">
        <f>if(E3255="pago",(I3255-J3255),"")</f>
        <v/>
      </c>
      <c r="L3255" s="11" t="s">
        <v>53</v>
      </c>
      <c r="M3255" s="16" t="s">
        <v>1422</v>
      </c>
      <c r="N3255" s="11" t="s">
        <v>73</v>
      </c>
      <c r="O3255" s="10" t="str">
        <f t="shared" si="79"/>
        <v>01/2028</v>
      </c>
      <c r="P3255" s="10" t="str">
        <f t="shared" si="411"/>
        <v/>
      </c>
      <c r="Q3255" s="15" t="str">
        <f t="array" ref="Q3255">IFERROR(XLOOKUP(N3255,'Classificação'!A:A,'Classificação'!B:B),"")</f>
        <v>DESPESAS NÃO OPERACIONAIS</v>
      </c>
      <c r="R3255" s="15" t="str">
        <f t="array" ref="R3255">IFERROR(XLOOKUP(Q3255,'Classificação'!B:B,'Classificação'!C:C),"")</f>
        <v>RESULTADO NÃO OPERACIONAL (+/-)</v>
      </c>
      <c r="S3255" s="15">
        <f t="shared" si="228"/>
        <v>14</v>
      </c>
      <c r="T3255" s="15">
        <f t="shared" si="128"/>
        <v>1</v>
      </c>
      <c r="U3255" s="15">
        <f t="shared" si="129"/>
        <v>2028</v>
      </c>
      <c r="V3255" s="15" t="str">
        <f t="shared" si="8"/>
        <v/>
      </c>
      <c r="W3255" s="15" t="str">
        <f t="shared" si="9"/>
        <v/>
      </c>
      <c r="X3255" s="15" t="str">
        <f t="shared" si="10"/>
        <v/>
      </c>
    </row>
    <row r="3256">
      <c r="A3256" s="9">
        <v>46778.0</v>
      </c>
      <c r="B3256" s="10"/>
      <c r="C3256" s="9" t="str">
        <f t="shared" si="249"/>
        <v/>
      </c>
      <c r="D3256" s="28" t="s">
        <v>44</v>
      </c>
      <c r="E3256" s="28" t="s">
        <v>1305</v>
      </c>
      <c r="F3256" s="28" t="s">
        <v>45</v>
      </c>
      <c r="G3256" s="28" t="s">
        <v>27</v>
      </c>
      <c r="H3256" s="29" t="s">
        <v>1329</v>
      </c>
      <c r="I3256" s="37">
        <v>2034.5479</v>
      </c>
      <c r="J3256" s="34"/>
      <c r="K3256" s="37"/>
      <c r="L3256" s="28" t="s">
        <v>53</v>
      </c>
      <c r="M3256" s="16" t="s">
        <v>1482</v>
      </c>
      <c r="N3256" s="28" t="s">
        <v>73</v>
      </c>
      <c r="O3256" s="10" t="str">
        <f t="shared" si="79"/>
        <v>01/2028</v>
      </c>
      <c r="P3256" s="10" t="str">
        <f t="shared" si="411"/>
        <v/>
      </c>
      <c r="Q3256" s="15" t="str">
        <f t="array" ref="Q3256">IFERROR(XLOOKUP(N3256,'Classificação'!A:A,'Classificação'!B:B),"")</f>
        <v>DESPESAS NÃO OPERACIONAIS</v>
      </c>
      <c r="R3256" s="15" t="str">
        <f t="array" ref="R3256">IFERROR(XLOOKUP(Q3256,'Classificação'!B:B,'Classificação'!C:C),"")</f>
        <v>RESULTADO NÃO OPERACIONAL (+/-)</v>
      </c>
      <c r="S3256" s="15">
        <f t="shared" si="228"/>
        <v>26</v>
      </c>
      <c r="T3256" s="15">
        <f t="shared" si="128"/>
        <v>1</v>
      </c>
      <c r="U3256" s="15">
        <f t="shared" si="129"/>
        <v>2028</v>
      </c>
      <c r="V3256" s="15" t="str">
        <f t="shared" si="8"/>
        <v/>
      </c>
      <c r="W3256" s="15" t="str">
        <f t="shared" si="9"/>
        <v/>
      </c>
      <c r="X3256" s="15" t="str">
        <f t="shared" si="10"/>
        <v/>
      </c>
    </row>
    <row r="3257">
      <c r="A3257" s="9">
        <v>46797.0</v>
      </c>
      <c r="B3257" s="10"/>
      <c r="C3257" s="9" t="str">
        <f t="shared" si="249"/>
        <v/>
      </c>
      <c r="D3257" s="11" t="s">
        <v>44</v>
      </c>
      <c r="E3257" s="11" t="s">
        <v>1305</v>
      </c>
      <c r="F3257" s="11" t="s">
        <v>45</v>
      </c>
      <c r="G3257" s="11" t="s">
        <v>27</v>
      </c>
      <c r="H3257" s="11" t="s">
        <v>476</v>
      </c>
      <c r="I3257" s="12">
        <v>4996.0</v>
      </c>
      <c r="J3257" s="13"/>
      <c r="K3257" s="13" t="str">
        <f>if(E3257="pago",(I3257-J3257),"")</f>
        <v/>
      </c>
      <c r="L3257" s="11" t="s">
        <v>53</v>
      </c>
      <c r="M3257" s="16" t="s">
        <v>1431</v>
      </c>
      <c r="N3257" s="11" t="s">
        <v>73</v>
      </c>
      <c r="O3257" s="10" t="str">
        <f t="shared" si="79"/>
        <v>02/2028</v>
      </c>
      <c r="P3257" s="10" t="str">
        <f t="shared" si="411"/>
        <v/>
      </c>
      <c r="Q3257" s="15" t="str">
        <f t="array" ref="Q3257">IFERROR(XLOOKUP(N3257,'Classificação'!A:A,'Classificação'!B:B),"")</f>
        <v>DESPESAS NÃO OPERACIONAIS</v>
      </c>
      <c r="R3257" s="15" t="str">
        <f t="array" ref="R3257">IFERROR(XLOOKUP(Q3257,'Classificação'!B:B,'Classificação'!C:C),"")</f>
        <v>RESULTADO NÃO OPERACIONAL (+/-)</v>
      </c>
      <c r="S3257" s="15">
        <f t="shared" si="228"/>
        <v>14</v>
      </c>
      <c r="T3257" s="15">
        <f t="shared" si="128"/>
        <v>2</v>
      </c>
      <c r="U3257" s="15">
        <f t="shared" si="129"/>
        <v>2028</v>
      </c>
      <c r="V3257" s="15" t="str">
        <f t="shared" si="8"/>
        <v/>
      </c>
      <c r="W3257" s="15" t="str">
        <f t="shared" si="9"/>
        <v/>
      </c>
      <c r="X3257" s="15" t="str">
        <f t="shared" si="10"/>
        <v/>
      </c>
    </row>
    <row r="3258">
      <c r="A3258" s="9">
        <v>46809.0</v>
      </c>
      <c r="B3258" s="10"/>
      <c r="C3258" s="9" t="str">
        <f t="shared" si="249"/>
        <v/>
      </c>
      <c r="D3258" s="28" t="s">
        <v>44</v>
      </c>
      <c r="E3258" s="28" t="s">
        <v>1305</v>
      </c>
      <c r="F3258" s="28" t="s">
        <v>45</v>
      </c>
      <c r="G3258" s="28" t="s">
        <v>27</v>
      </c>
      <c r="H3258" s="29" t="s">
        <v>1329</v>
      </c>
      <c r="I3258" s="37">
        <v>2009.720825</v>
      </c>
      <c r="J3258" s="34"/>
      <c r="K3258" s="37"/>
      <c r="L3258" s="28" t="s">
        <v>53</v>
      </c>
      <c r="M3258" s="16" t="s">
        <v>1483</v>
      </c>
      <c r="N3258" s="28" t="s">
        <v>73</v>
      </c>
      <c r="O3258" s="10" t="str">
        <f t="shared" si="79"/>
        <v>02/2028</v>
      </c>
      <c r="P3258" s="10" t="str">
        <f t="shared" si="411"/>
        <v/>
      </c>
      <c r="Q3258" s="15" t="str">
        <f t="array" ref="Q3258">IFERROR(XLOOKUP(N3258,'Classificação'!A:A,'Classificação'!B:B),"")</f>
        <v>DESPESAS NÃO OPERACIONAIS</v>
      </c>
      <c r="R3258" s="15" t="str">
        <f t="array" ref="R3258">IFERROR(XLOOKUP(Q3258,'Classificação'!B:B,'Classificação'!C:C),"")</f>
        <v>RESULTADO NÃO OPERACIONAL (+/-)</v>
      </c>
      <c r="S3258" s="15">
        <f t="shared" si="228"/>
        <v>26</v>
      </c>
      <c r="T3258" s="15">
        <f t="shared" si="128"/>
        <v>2</v>
      </c>
      <c r="U3258" s="15">
        <f t="shared" si="129"/>
        <v>2028</v>
      </c>
      <c r="V3258" s="15" t="str">
        <f t="shared" si="8"/>
        <v/>
      </c>
      <c r="W3258" s="15" t="str">
        <f t="shared" si="9"/>
        <v/>
      </c>
      <c r="X3258" s="15" t="str">
        <f t="shared" si="10"/>
        <v/>
      </c>
    </row>
    <row r="3259">
      <c r="A3259" s="9">
        <v>46826.0</v>
      </c>
      <c r="B3259" s="10"/>
      <c r="C3259" s="9" t="str">
        <f t="shared" si="249"/>
        <v/>
      </c>
      <c r="D3259" s="11" t="s">
        <v>44</v>
      </c>
      <c r="E3259" s="11" t="s">
        <v>1305</v>
      </c>
      <c r="F3259" s="11" t="s">
        <v>45</v>
      </c>
      <c r="G3259" s="11" t="s">
        <v>27</v>
      </c>
      <c r="H3259" s="11" t="s">
        <v>476</v>
      </c>
      <c r="I3259" s="12">
        <v>4996.0</v>
      </c>
      <c r="J3259" s="13"/>
      <c r="K3259" s="13" t="str">
        <f>if(E3259="pago",(I3259-J3259),"")</f>
        <v/>
      </c>
      <c r="L3259" s="11" t="s">
        <v>53</v>
      </c>
      <c r="M3259" s="16" t="s">
        <v>1436</v>
      </c>
      <c r="N3259" s="11" t="s">
        <v>73</v>
      </c>
      <c r="O3259" s="10" t="str">
        <f t="shared" si="79"/>
        <v>03/2028</v>
      </c>
      <c r="P3259" s="10" t="str">
        <f t="shared" si="411"/>
        <v/>
      </c>
      <c r="Q3259" s="15" t="str">
        <f t="array" ref="Q3259">IFERROR(XLOOKUP(N3259,'Classificação'!A:A,'Classificação'!B:B),"")</f>
        <v>DESPESAS NÃO OPERACIONAIS</v>
      </c>
      <c r="R3259" s="15" t="str">
        <f t="array" ref="R3259">IFERROR(XLOOKUP(Q3259,'Classificação'!B:B,'Classificação'!C:C),"")</f>
        <v>RESULTADO NÃO OPERACIONAL (+/-)</v>
      </c>
      <c r="S3259" s="15">
        <f t="shared" si="228"/>
        <v>14</v>
      </c>
      <c r="T3259" s="15">
        <f t="shared" si="128"/>
        <v>3</v>
      </c>
      <c r="U3259" s="15">
        <f t="shared" si="129"/>
        <v>2028</v>
      </c>
      <c r="V3259" s="15" t="str">
        <f t="shared" si="8"/>
        <v/>
      </c>
      <c r="W3259" s="15" t="str">
        <f t="shared" si="9"/>
        <v/>
      </c>
      <c r="X3259" s="15" t="str">
        <f t="shared" si="10"/>
        <v/>
      </c>
    </row>
    <row r="3260">
      <c r="A3260" s="9">
        <v>46838.0</v>
      </c>
      <c r="B3260" s="10"/>
      <c r="C3260" s="9" t="str">
        <f t="shared" si="249"/>
        <v/>
      </c>
      <c r="D3260" s="28" t="s">
        <v>44</v>
      </c>
      <c r="E3260" s="28" t="s">
        <v>1305</v>
      </c>
      <c r="F3260" s="28" t="s">
        <v>45</v>
      </c>
      <c r="G3260" s="28" t="s">
        <v>27</v>
      </c>
      <c r="H3260" s="29" t="s">
        <v>1329</v>
      </c>
      <c r="I3260" s="37">
        <v>1984.8937500000002</v>
      </c>
      <c r="J3260" s="34"/>
      <c r="K3260" s="37"/>
      <c r="L3260" s="28" t="s">
        <v>53</v>
      </c>
      <c r="M3260" s="16" t="s">
        <v>1484</v>
      </c>
      <c r="N3260" s="28" t="s">
        <v>73</v>
      </c>
      <c r="O3260" s="10" t="str">
        <f t="shared" si="79"/>
        <v>03/2028</v>
      </c>
      <c r="P3260" s="10" t="str">
        <f t="shared" si="411"/>
        <v/>
      </c>
      <c r="Q3260" s="15" t="str">
        <f t="array" ref="Q3260">IFERROR(XLOOKUP(N3260,'Classificação'!A:A,'Classificação'!B:B),"")</f>
        <v>DESPESAS NÃO OPERACIONAIS</v>
      </c>
      <c r="R3260" s="15" t="str">
        <f t="array" ref="R3260">IFERROR(XLOOKUP(Q3260,'Classificação'!B:B,'Classificação'!C:C),"")</f>
        <v>RESULTADO NÃO OPERACIONAL (+/-)</v>
      </c>
      <c r="S3260" s="15">
        <f t="shared" si="228"/>
        <v>26</v>
      </c>
      <c r="T3260" s="15">
        <f t="shared" si="128"/>
        <v>3</v>
      </c>
      <c r="U3260" s="15">
        <f t="shared" si="129"/>
        <v>2028</v>
      </c>
      <c r="V3260" s="15" t="str">
        <f t="shared" si="8"/>
        <v/>
      </c>
      <c r="W3260" s="15" t="str">
        <f t="shared" si="9"/>
        <v/>
      </c>
      <c r="X3260" s="15" t="str">
        <f t="shared" si="10"/>
        <v/>
      </c>
    </row>
    <row r="3261">
      <c r="A3261" s="9">
        <v>46857.0</v>
      </c>
      <c r="B3261" s="10"/>
      <c r="C3261" s="9" t="str">
        <f t="shared" si="249"/>
        <v/>
      </c>
      <c r="D3261" s="11" t="s">
        <v>44</v>
      </c>
      <c r="E3261" s="11" t="s">
        <v>1305</v>
      </c>
      <c r="F3261" s="11" t="s">
        <v>45</v>
      </c>
      <c r="G3261" s="11" t="s">
        <v>27</v>
      </c>
      <c r="H3261" s="11" t="s">
        <v>476</v>
      </c>
      <c r="I3261" s="12">
        <v>4996.0</v>
      </c>
      <c r="J3261" s="13"/>
      <c r="K3261" s="13" t="str">
        <f>if(E3261="pago",(I3261-J3261),"")</f>
        <v/>
      </c>
      <c r="L3261" s="11" t="s">
        <v>53</v>
      </c>
      <c r="M3261" s="16" t="s">
        <v>1442</v>
      </c>
      <c r="N3261" s="11" t="s">
        <v>73</v>
      </c>
      <c r="O3261" s="10" t="str">
        <f t="shared" si="79"/>
        <v>04/2028</v>
      </c>
      <c r="P3261" s="10" t="str">
        <f t="shared" si="411"/>
        <v/>
      </c>
      <c r="Q3261" s="15" t="str">
        <f t="array" ref="Q3261">IFERROR(XLOOKUP(N3261,'Classificação'!A:A,'Classificação'!B:B),"")</f>
        <v>DESPESAS NÃO OPERACIONAIS</v>
      </c>
      <c r="R3261" s="15" t="str">
        <f t="array" ref="R3261">IFERROR(XLOOKUP(Q3261,'Classificação'!B:B,'Classificação'!C:C),"")</f>
        <v>RESULTADO NÃO OPERACIONAL (+/-)</v>
      </c>
      <c r="S3261" s="15">
        <f t="shared" si="228"/>
        <v>14</v>
      </c>
      <c r="T3261" s="15">
        <f t="shared" si="128"/>
        <v>4</v>
      </c>
      <c r="U3261" s="15">
        <f t="shared" si="129"/>
        <v>2028</v>
      </c>
      <c r="V3261" s="15" t="str">
        <f t="shared" si="8"/>
        <v/>
      </c>
      <c r="W3261" s="15" t="str">
        <f t="shared" si="9"/>
        <v/>
      </c>
      <c r="X3261" s="15" t="str">
        <f t="shared" si="10"/>
        <v/>
      </c>
    </row>
    <row r="3262">
      <c r="A3262" s="9">
        <v>46869.0</v>
      </c>
      <c r="B3262" s="10"/>
      <c r="C3262" s="9" t="str">
        <f t="shared" si="249"/>
        <v/>
      </c>
      <c r="D3262" s="28" t="s">
        <v>44</v>
      </c>
      <c r="E3262" s="28" t="s">
        <v>1305</v>
      </c>
      <c r="F3262" s="28" t="s">
        <v>45</v>
      </c>
      <c r="G3262" s="28" t="s">
        <v>27</v>
      </c>
      <c r="H3262" s="29" t="s">
        <v>1329</v>
      </c>
      <c r="I3262" s="37">
        <v>1960.066675</v>
      </c>
      <c r="J3262" s="34"/>
      <c r="K3262" s="37"/>
      <c r="L3262" s="28" t="s">
        <v>53</v>
      </c>
      <c r="M3262" s="16" t="s">
        <v>1485</v>
      </c>
      <c r="N3262" s="28" t="s">
        <v>73</v>
      </c>
      <c r="O3262" s="10" t="str">
        <f t="shared" si="79"/>
        <v>04/2028</v>
      </c>
      <c r="P3262" s="10" t="str">
        <f t="shared" si="411"/>
        <v/>
      </c>
      <c r="Q3262" s="15" t="str">
        <f t="array" ref="Q3262">IFERROR(XLOOKUP(N3262,'Classificação'!A:A,'Classificação'!B:B),"")</f>
        <v>DESPESAS NÃO OPERACIONAIS</v>
      </c>
      <c r="R3262" s="15" t="str">
        <f t="array" ref="R3262">IFERROR(XLOOKUP(Q3262,'Classificação'!B:B,'Classificação'!C:C),"")</f>
        <v>RESULTADO NÃO OPERACIONAL (+/-)</v>
      </c>
      <c r="S3262" s="15">
        <f t="shared" si="228"/>
        <v>26</v>
      </c>
      <c r="T3262" s="15">
        <f t="shared" si="128"/>
        <v>4</v>
      </c>
      <c r="U3262" s="15">
        <f t="shared" si="129"/>
        <v>2028</v>
      </c>
      <c r="V3262" s="15" t="str">
        <f t="shared" si="8"/>
        <v/>
      </c>
      <c r="W3262" s="15" t="str">
        <f t="shared" si="9"/>
        <v/>
      </c>
      <c r="X3262" s="15" t="str">
        <f t="shared" si="10"/>
        <v/>
      </c>
    </row>
    <row r="3263">
      <c r="A3263" s="9">
        <v>46887.0</v>
      </c>
      <c r="B3263" s="10"/>
      <c r="C3263" s="9" t="str">
        <f t="shared" si="249"/>
        <v/>
      </c>
      <c r="D3263" s="11" t="s">
        <v>44</v>
      </c>
      <c r="E3263" s="11" t="s">
        <v>1305</v>
      </c>
      <c r="F3263" s="11" t="s">
        <v>45</v>
      </c>
      <c r="G3263" s="11" t="s">
        <v>27</v>
      </c>
      <c r="H3263" s="11" t="s">
        <v>476</v>
      </c>
      <c r="I3263" s="12">
        <v>4996.0</v>
      </c>
      <c r="J3263" s="13"/>
      <c r="K3263" s="13" t="str">
        <f>if(E3263="pago",(I3263-J3263),"")</f>
        <v/>
      </c>
      <c r="L3263" s="11" t="s">
        <v>53</v>
      </c>
      <c r="M3263" s="16" t="s">
        <v>1447</v>
      </c>
      <c r="N3263" s="11" t="s">
        <v>73</v>
      </c>
      <c r="O3263" s="10" t="str">
        <f t="shared" si="79"/>
        <v>05/2028</v>
      </c>
      <c r="P3263" s="10" t="str">
        <f t="shared" si="411"/>
        <v/>
      </c>
      <c r="Q3263" s="15" t="str">
        <f t="array" ref="Q3263">IFERROR(XLOOKUP(N3263,'Classificação'!A:A,'Classificação'!B:B),"")</f>
        <v>DESPESAS NÃO OPERACIONAIS</v>
      </c>
      <c r="R3263" s="15" t="str">
        <f t="array" ref="R3263">IFERROR(XLOOKUP(Q3263,'Classificação'!B:B,'Classificação'!C:C),"")</f>
        <v>RESULTADO NÃO OPERACIONAL (+/-)</v>
      </c>
      <c r="S3263" s="15">
        <f t="shared" si="228"/>
        <v>14</v>
      </c>
      <c r="T3263" s="15">
        <f t="shared" si="128"/>
        <v>5</v>
      </c>
      <c r="U3263" s="15">
        <f t="shared" si="129"/>
        <v>2028</v>
      </c>
      <c r="V3263" s="15" t="str">
        <f t="shared" si="8"/>
        <v/>
      </c>
      <c r="W3263" s="15" t="str">
        <f t="shared" si="9"/>
        <v/>
      </c>
      <c r="X3263" s="15" t="str">
        <f t="shared" si="10"/>
        <v/>
      </c>
    </row>
    <row r="3264">
      <c r="A3264" s="9">
        <v>46899.0</v>
      </c>
      <c r="B3264" s="10"/>
      <c r="C3264" s="9" t="str">
        <f t="shared" si="249"/>
        <v/>
      </c>
      <c r="D3264" s="28" t="s">
        <v>44</v>
      </c>
      <c r="E3264" s="28" t="s">
        <v>1305</v>
      </c>
      <c r="F3264" s="28" t="s">
        <v>45</v>
      </c>
      <c r="G3264" s="28" t="s">
        <v>27</v>
      </c>
      <c r="H3264" s="29" t="s">
        <v>1329</v>
      </c>
      <c r="I3264" s="37">
        <v>1935.2396</v>
      </c>
      <c r="J3264" s="34"/>
      <c r="K3264" s="37"/>
      <c r="L3264" s="28" t="s">
        <v>53</v>
      </c>
      <c r="M3264" s="16" t="s">
        <v>1486</v>
      </c>
      <c r="N3264" s="28" t="s">
        <v>73</v>
      </c>
      <c r="O3264" s="10" t="str">
        <f t="shared" si="79"/>
        <v>05/2028</v>
      </c>
      <c r="P3264" s="10" t="str">
        <f t="shared" si="411"/>
        <v/>
      </c>
      <c r="Q3264" s="15" t="str">
        <f t="array" ref="Q3264">IFERROR(XLOOKUP(N3264,'Classificação'!A:A,'Classificação'!B:B),"")</f>
        <v>DESPESAS NÃO OPERACIONAIS</v>
      </c>
      <c r="R3264" s="15" t="str">
        <f t="array" ref="R3264">IFERROR(XLOOKUP(Q3264,'Classificação'!B:B,'Classificação'!C:C),"")</f>
        <v>RESULTADO NÃO OPERACIONAL (+/-)</v>
      </c>
      <c r="S3264" s="15">
        <f t="shared" si="228"/>
        <v>26</v>
      </c>
      <c r="T3264" s="15">
        <f t="shared" si="128"/>
        <v>5</v>
      </c>
      <c r="U3264" s="15">
        <f t="shared" si="129"/>
        <v>2028</v>
      </c>
      <c r="V3264" s="15" t="str">
        <f t="shared" si="8"/>
        <v/>
      </c>
      <c r="W3264" s="15" t="str">
        <f t="shared" si="9"/>
        <v/>
      </c>
      <c r="X3264" s="15" t="str">
        <f t="shared" si="10"/>
        <v/>
      </c>
    </row>
    <row r="3265">
      <c r="A3265" s="9">
        <v>46918.0</v>
      </c>
      <c r="B3265" s="10"/>
      <c r="C3265" s="9" t="str">
        <f t="shared" si="249"/>
        <v/>
      </c>
      <c r="D3265" s="11" t="s">
        <v>44</v>
      </c>
      <c r="E3265" s="11" t="s">
        <v>1305</v>
      </c>
      <c r="F3265" s="11" t="s">
        <v>45</v>
      </c>
      <c r="G3265" s="11" t="s">
        <v>27</v>
      </c>
      <c r="H3265" s="11" t="s">
        <v>476</v>
      </c>
      <c r="I3265" s="12">
        <v>4996.0</v>
      </c>
      <c r="J3265" s="13"/>
      <c r="K3265" s="13" t="str">
        <f>if(E3265="pago",(I3265-J3265),"")</f>
        <v/>
      </c>
      <c r="L3265" s="11" t="s">
        <v>53</v>
      </c>
      <c r="M3265" s="16" t="s">
        <v>1452</v>
      </c>
      <c r="N3265" s="11" t="s">
        <v>73</v>
      </c>
      <c r="O3265" s="10" t="str">
        <f t="shared" si="79"/>
        <v>06/2028</v>
      </c>
      <c r="P3265" s="10" t="str">
        <f t="shared" si="411"/>
        <v/>
      </c>
      <c r="Q3265" s="15" t="str">
        <f t="array" ref="Q3265">IFERROR(XLOOKUP(N3265,'Classificação'!A:A,'Classificação'!B:B),"")</f>
        <v>DESPESAS NÃO OPERACIONAIS</v>
      </c>
      <c r="R3265" s="15" t="str">
        <f t="array" ref="R3265">IFERROR(XLOOKUP(Q3265,'Classificação'!B:B,'Classificação'!C:C),"")</f>
        <v>RESULTADO NÃO OPERACIONAL (+/-)</v>
      </c>
      <c r="S3265" s="15">
        <f t="shared" si="228"/>
        <v>14</v>
      </c>
      <c r="T3265" s="15">
        <f t="shared" si="128"/>
        <v>6</v>
      </c>
      <c r="U3265" s="15">
        <f t="shared" si="129"/>
        <v>2028</v>
      </c>
      <c r="V3265" s="15" t="str">
        <f t="shared" si="8"/>
        <v/>
      </c>
      <c r="W3265" s="15" t="str">
        <f t="shared" si="9"/>
        <v/>
      </c>
      <c r="X3265" s="15" t="str">
        <f t="shared" si="10"/>
        <v/>
      </c>
    </row>
    <row r="3266">
      <c r="A3266" s="9">
        <v>46930.0</v>
      </c>
      <c r="B3266" s="10"/>
      <c r="C3266" s="9" t="str">
        <f t="shared" si="249"/>
        <v/>
      </c>
      <c r="D3266" s="28" t="s">
        <v>44</v>
      </c>
      <c r="E3266" s="28" t="s">
        <v>1305</v>
      </c>
      <c r="F3266" s="28" t="s">
        <v>45</v>
      </c>
      <c r="G3266" s="28" t="s">
        <v>27</v>
      </c>
      <c r="H3266" s="29" t="s">
        <v>1329</v>
      </c>
      <c r="I3266" s="37">
        <v>1910.4125250000002</v>
      </c>
      <c r="J3266" s="34"/>
      <c r="K3266" s="37"/>
      <c r="L3266" s="28" t="s">
        <v>53</v>
      </c>
      <c r="M3266" s="16" t="s">
        <v>1487</v>
      </c>
      <c r="N3266" s="28" t="s">
        <v>73</v>
      </c>
      <c r="O3266" s="10" t="str">
        <f t="shared" si="79"/>
        <v>06/2028</v>
      </c>
      <c r="P3266" s="10" t="str">
        <f t="shared" si="411"/>
        <v/>
      </c>
      <c r="Q3266" s="15" t="str">
        <f t="array" ref="Q3266">IFERROR(XLOOKUP(N3266,'Classificação'!A:A,'Classificação'!B:B),"")</f>
        <v>DESPESAS NÃO OPERACIONAIS</v>
      </c>
      <c r="R3266" s="15" t="str">
        <f t="array" ref="R3266">IFERROR(XLOOKUP(Q3266,'Classificação'!B:B,'Classificação'!C:C),"")</f>
        <v>RESULTADO NÃO OPERACIONAL (+/-)</v>
      </c>
      <c r="S3266" s="15">
        <f t="shared" si="228"/>
        <v>26</v>
      </c>
      <c r="T3266" s="15">
        <f t="shared" si="128"/>
        <v>6</v>
      </c>
      <c r="U3266" s="15">
        <f t="shared" si="129"/>
        <v>2028</v>
      </c>
      <c r="V3266" s="15" t="str">
        <f t="shared" si="8"/>
        <v/>
      </c>
      <c r="W3266" s="15" t="str">
        <f t="shared" si="9"/>
        <v/>
      </c>
      <c r="X3266" s="15" t="str">
        <f t="shared" si="10"/>
        <v/>
      </c>
    </row>
    <row r="3267">
      <c r="A3267" s="9">
        <v>46948.0</v>
      </c>
      <c r="B3267" s="10"/>
      <c r="C3267" s="9" t="str">
        <f t="shared" si="249"/>
        <v/>
      </c>
      <c r="D3267" s="11" t="s">
        <v>44</v>
      </c>
      <c r="E3267" s="11" t="s">
        <v>1305</v>
      </c>
      <c r="F3267" s="11" t="s">
        <v>45</v>
      </c>
      <c r="G3267" s="11" t="s">
        <v>27</v>
      </c>
      <c r="H3267" s="11" t="s">
        <v>476</v>
      </c>
      <c r="I3267" s="12">
        <v>4996.0</v>
      </c>
      <c r="J3267" s="13"/>
      <c r="K3267" s="13" t="str">
        <f t="shared" ref="K3267:K3477" si="412">if(E3267="pago",(I3267-J3267),"")</f>
        <v/>
      </c>
      <c r="L3267" s="11" t="s">
        <v>53</v>
      </c>
      <c r="M3267" s="16" t="s">
        <v>1457</v>
      </c>
      <c r="N3267" s="11" t="s">
        <v>73</v>
      </c>
      <c r="O3267" s="10" t="str">
        <f t="shared" si="79"/>
        <v>07/2028</v>
      </c>
      <c r="P3267" s="10" t="str">
        <f t="shared" si="411"/>
        <v/>
      </c>
      <c r="Q3267" s="15" t="str">
        <f t="array" ref="Q3267">IFERROR(XLOOKUP(N3267,'Classificação'!A:A,'Classificação'!B:B),"")</f>
        <v>DESPESAS NÃO OPERACIONAIS</v>
      </c>
      <c r="R3267" s="15" t="str">
        <f t="array" ref="R3267">IFERROR(XLOOKUP(Q3267,'Classificação'!B:B,'Classificação'!C:C),"")</f>
        <v>RESULTADO NÃO OPERACIONAL (+/-)</v>
      </c>
      <c r="S3267" s="15">
        <f t="shared" si="228"/>
        <v>14</v>
      </c>
      <c r="T3267" s="15">
        <f t="shared" si="128"/>
        <v>7</v>
      </c>
      <c r="U3267" s="15">
        <f t="shared" si="129"/>
        <v>2028</v>
      </c>
      <c r="V3267" s="15" t="str">
        <f t="shared" si="8"/>
        <v/>
      </c>
      <c r="W3267" s="15" t="str">
        <f t="shared" si="9"/>
        <v/>
      </c>
      <c r="X3267" s="15" t="str">
        <f t="shared" si="10"/>
        <v/>
      </c>
    </row>
    <row r="3268">
      <c r="A3268" s="9">
        <v>46960.0</v>
      </c>
      <c r="B3268" s="10"/>
      <c r="C3268" s="9" t="str">
        <f t="shared" si="249"/>
        <v/>
      </c>
      <c r="D3268" s="28" t="s">
        <v>44</v>
      </c>
      <c r="E3268" s="28" t="s">
        <v>1305</v>
      </c>
      <c r="F3268" s="28" t="s">
        <v>45</v>
      </c>
      <c r="G3268" s="28" t="s">
        <v>27</v>
      </c>
      <c r="H3268" s="29" t="s">
        <v>1329</v>
      </c>
      <c r="I3268" s="37">
        <v>1885.58545</v>
      </c>
      <c r="J3268" s="34"/>
      <c r="K3268" s="13" t="str">
        <f t="shared" si="412"/>
        <v/>
      </c>
      <c r="L3268" s="28" t="s">
        <v>53</v>
      </c>
      <c r="M3268" s="16" t="s">
        <v>1488</v>
      </c>
      <c r="N3268" s="28" t="s">
        <v>73</v>
      </c>
      <c r="O3268" s="10" t="str">
        <f t="shared" si="79"/>
        <v>07/2028</v>
      </c>
      <c r="P3268" s="10" t="str">
        <f t="shared" si="411"/>
        <v/>
      </c>
      <c r="Q3268" s="15" t="str">
        <f t="array" ref="Q3268">IFERROR(XLOOKUP(N3268,'Classificação'!A:A,'Classificação'!B:B),"")</f>
        <v>DESPESAS NÃO OPERACIONAIS</v>
      </c>
      <c r="R3268" s="15" t="str">
        <f t="array" ref="R3268">IFERROR(XLOOKUP(Q3268,'Classificação'!B:B,'Classificação'!C:C),"")</f>
        <v>RESULTADO NÃO OPERACIONAL (+/-)</v>
      </c>
      <c r="S3268" s="15">
        <f t="shared" si="228"/>
        <v>26</v>
      </c>
      <c r="T3268" s="15">
        <f t="shared" si="128"/>
        <v>7</v>
      </c>
      <c r="U3268" s="15">
        <f t="shared" si="129"/>
        <v>2028</v>
      </c>
      <c r="V3268" s="15" t="str">
        <f t="shared" si="8"/>
        <v/>
      </c>
      <c r="W3268" s="15" t="str">
        <f t="shared" si="9"/>
        <v/>
      </c>
      <c r="X3268" s="15" t="str">
        <f t="shared" si="10"/>
        <v/>
      </c>
    </row>
    <row r="3269">
      <c r="A3269" s="9">
        <v>46979.0</v>
      </c>
      <c r="B3269" s="10"/>
      <c r="C3269" s="9" t="str">
        <f t="shared" si="249"/>
        <v/>
      </c>
      <c r="D3269" s="11" t="s">
        <v>44</v>
      </c>
      <c r="E3269" s="11" t="s">
        <v>1305</v>
      </c>
      <c r="F3269" s="11" t="s">
        <v>45</v>
      </c>
      <c r="G3269" s="11" t="s">
        <v>27</v>
      </c>
      <c r="H3269" s="11" t="s">
        <v>476</v>
      </c>
      <c r="I3269" s="12">
        <v>4996.0</v>
      </c>
      <c r="J3269" s="13"/>
      <c r="K3269" s="13" t="str">
        <f t="shared" si="412"/>
        <v/>
      </c>
      <c r="L3269" s="11" t="s">
        <v>53</v>
      </c>
      <c r="M3269" s="16" t="s">
        <v>1462</v>
      </c>
      <c r="N3269" s="11" t="s">
        <v>73</v>
      </c>
      <c r="O3269" s="10" t="str">
        <f t="shared" si="79"/>
        <v>08/2028</v>
      </c>
      <c r="P3269" s="10" t="str">
        <f t="shared" si="411"/>
        <v/>
      </c>
      <c r="Q3269" s="15" t="str">
        <f t="array" ref="Q3269">IFERROR(XLOOKUP(N3269,'Classificação'!A:A,'Classificação'!B:B),"")</f>
        <v>DESPESAS NÃO OPERACIONAIS</v>
      </c>
      <c r="R3269" s="15" t="str">
        <f t="array" ref="R3269">IFERROR(XLOOKUP(Q3269,'Classificação'!B:B,'Classificação'!C:C),"")</f>
        <v>RESULTADO NÃO OPERACIONAL (+/-)</v>
      </c>
      <c r="S3269" s="15">
        <f t="shared" si="228"/>
        <v>14</v>
      </c>
      <c r="T3269" s="15">
        <f t="shared" si="128"/>
        <v>8</v>
      </c>
      <c r="U3269" s="15">
        <f t="shared" si="129"/>
        <v>2028</v>
      </c>
      <c r="V3269" s="15" t="str">
        <f t="shared" si="8"/>
        <v/>
      </c>
      <c r="W3269" s="15" t="str">
        <f t="shared" si="9"/>
        <v/>
      </c>
      <c r="X3269" s="15" t="str">
        <f t="shared" si="10"/>
        <v/>
      </c>
    </row>
    <row r="3270">
      <c r="A3270" s="9">
        <v>46991.0</v>
      </c>
      <c r="B3270" s="10"/>
      <c r="C3270" s="9" t="str">
        <f t="shared" si="249"/>
        <v/>
      </c>
      <c r="D3270" s="28" t="s">
        <v>44</v>
      </c>
      <c r="E3270" s="28" t="s">
        <v>1305</v>
      </c>
      <c r="F3270" s="28" t="s">
        <v>45</v>
      </c>
      <c r="G3270" s="28" t="s">
        <v>27</v>
      </c>
      <c r="H3270" s="29" t="s">
        <v>1329</v>
      </c>
      <c r="I3270" s="37">
        <v>1860.7583750000001</v>
      </c>
      <c r="J3270" s="34"/>
      <c r="K3270" s="13" t="str">
        <f t="shared" si="412"/>
        <v/>
      </c>
      <c r="L3270" s="28" t="s">
        <v>53</v>
      </c>
      <c r="M3270" s="16" t="s">
        <v>1489</v>
      </c>
      <c r="N3270" s="28" t="s">
        <v>73</v>
      </c>
      <c r="O3270" s="10" t="str">
        <f t="shared" si="79"/>
        <v>08/2028</v>
      </c>
      <c r="P3270" s="10" t="str">
        <f t="shared" si="411"/>
        <v/>
      </c>
      <c r="Q3270" s="15" t="str">
        <f t="array" ref="Q3270">IFERROR(XLOOKUP(N3270,'Classificação'!A:A,'Classificação'!B:B),"")</f>
        <v>DESPESAS NÃO OPERACIONAIS</v>
      </c>
      <c r="R3270" s="15" t="str">
        <f t="array" ref="R3270">IFERROR(XLOOKUP(Q3270,'Classificação'!B:B,'Classificação'!C:C),"")</f>
        <v>RESULTADO NÃO OPERACIONAL (+/-)</v>
      </c>
      <c r="S3270" s="15">
        <f t="shared" si="228"/>
        <v>26</v>
      </c>
      <c r="T3270" s="15">
        <f t="shared" si="128"/>
        <v>8</v>
      </c>
      <c r="U3270" s="15">
        <f t="shared" si="129"/>
        <v>2028</v>
      </c>
      <c r="V3270" s="15" t="str">
        <f t="shared" si="8"/>
        <v/>
      </c>
      <c r="W3270" s="15" t="str">
        <f t="shared" si="9"/>
        <v/>
      </c>
      <c r="X3270" s="15" t="str">
        <f t="shared" si="10"/>
        <v/>
      </c>
    </row>
    <row r="3271">
      <c r="A3271" s="9">
        <v>47010.0</v>
      </c>
      <c r="B3271" s="10"/>
      <c r="C3271" s="9" t="str">
        <f t="shared" si="249"/>
        <v/>
      </c>
      <c r="D3271" s="11" t="s">
        <v>44</v>
      </c>
      <c r="E3271" s="11" t="s">
        <v>1305</v>
      </c>
      <c r="F3271" s="11" t="s">
        <v>45</v>
      </c>
      <c r="G3271" s="11" t="s">
        <v>27</v>
      </c>
      <c r="H3271" s="11" t="s">
        <v>476</v>
      </c>
      <c r="I3271" s="12">
        <v>4996.0</v>
      </c>
      <c r="J3271" s="13"/>
      <c r="K3271" s="13" t="str">
        <f t="shared" si="412"/>
        <v/>
      </c>
      <c r="L3271" s="11" t="s">
        <v>53</v>
      </c>
      <c r="M3271" s="16" t="s">
        <v>1466</v>
      </c>
      <c r="N3271" s="11" t="s">
        <v>73</v>
      </c>
      <c r="O3271" s="10" t="str">
        <f t="shared" si="79"/>
        <v>09/2028</v>
      </c>
      <c r="P3271" s="10" t="str">
        <f t="shared" si="411"/>
        <v/>
      </c>
      <c r="Q3271" s="15" t="str">
        <f t="array" ref="Q3271">IFERROR(XLOOKUP(N3271,'Classificação'!A:A,'Classificação'!B:B),"")</f>
        <v>DESPESAS NÃO OPERACIONAIS</v>
      </c>
      <c r="R3271" s="15" t="str">
        <f t="array" ref="R3271">IFERROR(XLOOKUP(Q3271,'Classificação'!B:B,'Classificação'!C:C),"")</f>
        <v>RESULTADO NÃO OPERACIONAL (+/-)</v>
      </c>
      <c r="S3271" s="15">
        <f t="shared" si="228"/>
        <v>14</v>
      </c>
      <c r="T3271" s="15">
        <f t="shared" si="128"/>
        <v>9</v>
      </c>
      <c r="U3271" s="15">
        <f t="shared" si="129"/>
        <v>2028</v>
      </c>
      <c r="V3271" s="15" t="str">
        <f t="shared" si="8"/>
        <v/>
      </c>
      <c r="W3271" s="15" t="str">
        <f t="shared" si="9"/>
        <v/>
      </c>
      <c r="X3271" s="15" t="str">
        <f t="shared" si="10"/>
        <v/>
      </c>
    </row>
    <row r="3272">
      <c r="A3272" s="9">
        <v>47022.0</v>
      </c>
      <c r="B3272" s="10"/>
      <c r="C3272" s="9" t="str">
        <f t="shared" si="249"/>
        <v/>
      </c>
      <c r="D3272" s="28" t="s">
        <v>44</v>
      </c>
      <c r="E3272" s="28" t="s">
        <v>1305</v>
      </c>
      <c r="F3272" s="28" t="s">
        <v>45</v>
      </c>
      <c r="G3272" s="28" t="s">
        <v>27</v>
      </c>
      <c r="H3272" s="29" t="s">
        <v>1329</v>
      </c>
      <c r="I3272" s="37">
        <v>1835.9313000000002</v>
      </c>
      <c r="J3272" s="34"/>
      <c r="K3272" s="13" t="str">
        <f t="shared" si="412"/>
        <v/>
      </c>
      <c r="L3272" s="28" t="s">
        <v>53</v>
      </c>
      <c r="M3272" s="16" t="s">
        <v>1490</v>
      </c>
      <c r="N3272" s="28" t="s">
        <v>73</v>
      </c>
      <c r="O3272" s="10" t="str">
        <f t="shared" si="79"/>
        <v>09/2028</v>
      </c>
      <c r="P3272" s="10" t="str">
        <f t="shared" si="411"/>
        <v/>
      </c>
      <c r="Q3272" s="15" t="str">
        <f t="array" ref="Q3272">IFERROR(XLOOKUP(N3272,'Classificação'!A:A,'Classificação'!B:B),"")</f>
        <v>DESPESAS NÃO OPERACIONAIS</v>
      </c>
      <c r="R3272" s="15" t="str">
        <f t="array" ref="R3272">IFERROR(XLOOKUP(Q3272,'Classificação'!B:B,'Classificação'!C:C),"")</f>
        <v>RESULTADO NÃO OPERACIONAL (+/-)</v>
      </c>
      <c r="S3272" s="15">
        <f t="shared" si="228"/>
        <v>26</v>
      </c>
      <c r="T3272" s="15">
        <f t="shared" si="128"/>
        <v>9</v>
      </c>
      <c r="U3272" s="15">
        <f t="shared" si="129"/>
        <v>2028</v>
      </c>
      <c r="V3272" s="15" t="str">
        <f t="shared" si="8"/>
        <v/>
      </c>
      <c r="W3272" s="15" t="str">
        <f t="shared" si="9"/>
        <v/>
      </c>
      <c r="X3272" s="15" t="str">
        <f t="shared" si="10"/>
        <v/>
      </c>
    </row>
    <row r="3273">
      <c r="A3273" s="9">
        <v>47040.0</v>
      </c>
      <c r="B3273" s="10"/>
      <c r="C3273" s="9" t="str">
        <f t="shared" si="249"/>
        <v/>
      </c>
      <c r="D3273" s="11" t="s">
        <v>44</v>
      </c>
      <c r="E3273" s="11" t="s">
        <v>1305</v>
      </c>
      <c r="F3273" s="11" t="s">
        <v>45</v>
      </c>
      <c r="G3273" s="11" t="s">
        <v>27</v>
      </c>
      <c r="H3273" s="11" t="s">
        <v>476</v>
      </c>
      <c r="I3273" s="12">
        <v>4996.0</v>
      </c>
      <c r="J3273" s="13"/>
      <c r="K3273" s="13" t="str">
        <f t="shared" si="412"/>
        <v/>
      </c>
      <c r="L3273" s="11" t="s">
        <v>53</v>
      </c>
      <c r="M3273" s="16" t="s">
        <v>1470</v>
      </c>
      <c r="N3273" s="11" t="s">
        <v>73</v>
      </c>
      <c r="O3273" s="10" t="str">
        <f t="shared" si="79"/>
        <v>10/2028</v>
      </c>
      <c r="P3273" s="10" t="str">
        <f t="shared" si="411"/>
        <v/>
      </c>
      <c r="Q3273" s="15" t="str">
        <f t="array" ref="Q3273">IFERROR(XLOOKUP(N3273,'Classificação'!A:A,'Classificação'!B:B),"")</f>
        <v>DESPESAS NÃO OPERACIONAIS</v>
      </c>
      <c r="R3273" s="15" t="str">
        <f t="array" ref="R3273">IFERROR(XLOOKUP(Q3273,'Classificação'!B:B,'Classificação'!C:C),"")</f>
        <v>RESULTADO NÃO OPERACIONAL (+/-)</v>
      </c>
      <c r="S3273" s="15">
        <f t="shared" si="228"/>
        <v>14</v>
      </c>
      <c r="T3273" s="15">
        <f t="shared" si="128"/>
        <v>10</v>
      </c>
      <c r="U3273" s="15">
        <f t="shared" si="129"/>
        <v>2028</v>
      </c>
      <c r="V3273" s="15" t="str">
        <f t="shared" si="8"/>
        <v/>
      </c>
      <c r="W3273" s="15" t="str">
        <f t="shared" si="9"/>
        <v/>
      </c>
      <c r="X3273" s="15" t="str">
        <f t="shared" si="10"/>
        <v/>
      </c>
    </row>
    <row r="3274">
      <c r="A3274" s="32">
        <v>47052.0</v>
      </c>
      <c r="B3274" s="10"/>
      <c r="C3274" s="9" t="str">
        <f t="shared" si="249"/>
        <v/>
      </c>
      <c r="D3274" s="28" t="s">
        <v>44</v>
      </c>
      <c r="E3274" s="28" t="s">
        <v>1305</v>
      </c>
      <c r="F3274" s="28" t="s">
        <v>45</v>
      </c>
      <c r="G3274" s="28" t="s">
        <v>27</v>
      </c>
      <c r="H3274" s="29" t="s">
        <v>1329</v>
      </c>
      <c r="I3274" s="37">
        <v>1811.104225</v>
      </c>
      <c r="J3274" s="34"/>
      <c r="K3274" s="13" t="str">
        <f t="shared" si="412"/>
        <v/>
      </c>
      <c r="L3274" s="28" t="s">
        <v>53</v>
      </c>
      <c r="M3274" s="16" t="s">
        <v>1491</v>
      </c>
      <c r="N3274" s="28" t="s">
        <v>73</v>
      </c>
      <c r="O3274" s="10" t="str">
        <f t="shared" si="79"/>
        <v>10/2028</v>
      </c>
      <c r="P3274" s="10" t="str">
        <f t="shared" si="411"/>
        <v/>
      </c>
      <c r="Q3274" s="15" t="str">
        <f t="array" ref="Q3274">IFERROR(XLOOKUP(N3274,'Classificação'!A:A,'Classificação'!B:B),"")</f>
        <v>DESPESAS NÃO OPERACIONAIS</v>
      </c>
      <c r="R3274" s="15" t="str">
        <f t="array" ref="R3274">IFERROR(XLOOKUP(Q3274,'Classificação'!B:B,'Classificação'!C:C),"")</f>
        <v>RESULTADO NÃO OPERACIONAL (+/-)</v>
      </c>
      <c r="S3274" s="15">
        <f t="shared" si="228"/>
        <v>26</v>
      </c>
      <c r="T3274" s="15">
        <f t="shared" si="128"/>
        <v>10</v>
      </c>
      <c r="U3274" s="15">
        <f t="shared" si="129"/>
        <v>2028</v>
      </c>
      <c r="V3274" s="15" t="str">
        <f t="shared" si="8"/>
        <v/>
      </c>
      <c r="W3274" s="15" t="str">
        <f t="shared" si="9"/>
        <v/>
      </c>
      <c r="X3274" s="15" t="str">
        <f t="shared" si="10"/>
        <v/>
      </c>
    </row>
    <row r="3275">
      <c r="A3275" s="9">
        <v>47071.0</v>
      </c>
      <c r="B3275" s="10"/>
      <c r="C3275" s="9" t="str">
        <f t="shared" si="249"/>
        <v/>
      </c>
      <c r="D3275" s="11" t="s">
        <v>44</v>
      </c>
      <c r="E3275" s="11" t="s">
        <v>1305</v>
      </c>
      <c r="F3275" s="11" t="s">
        <v>45</v>
      </c>
      <c r="G3275" s="11" t="s">
        <v>27</v>
      </c>
      <c r="H3275" s="11" t="s">
        <v>476</v>
      </c>
      <c r="I3275" s="12">
        <v>4996.0</v>
      </c>
      <c r="J3275" s="13"/>
      <c r="K3275" s="13" t="str">
        <f t="shared" si="412"/>
        <v/>
      </c>
      <c r="L3275" s="11" t="s">
        <v>53</v>
      </c>
      <c r="M3275" s="16" t="s">
        <v>1474</v>
      </c>
      <c r="N3275" s="11" t="s">
        <v>73</v>
      </c>
      <c r="O3275" s="10" t="str">
        <f t="shared" si="79"/>
        <v>11/2028</v>
      </c>
      <c r="P3275" s="10" t="str">
        <f t="shared" si="411"/>
        <v/>
      </c>
      <c r="Q3275" s="15" t="str">
        <f t="array" ref="Q3275">IFERROR(XLOOKUP(N3275,'Classificação'!A:A,'Classificação'!B:B),"")</f>
        <v>DESPESAS NÃO OPERACIONAIS</v>
      </c>
      <c r="R3275" s="15" t="str">
        <f t="array" ref="R3275">IFERROR(XLOOKUP(Q3275,'Classificação'!B:B,'Classificação'!C:C),"")</f>
        <v>RESULTADO NÃO OPERACIONAL (+/-)</v>
      </c>
      <c r="S3275" s="15">
        <f t="shared" si="228"/>
        <v>14</v>
      </c>
      <c r="T3275" s="15">
        <f t="shared" si="128"/>
        <v>11</v>
      </c>
      <c r="U3275" s="15">
        <f t="shared" si="129"/>
        <v>2028</v>
      </c>
      <c r="V3275" s="15" t="str">
        <f t="shared" si="8"/>
        <v/>
      </c>
      <c r="W3275" s="15" t="str">
        <f t="shared" si="9"/>
        <v/>
      </c>
      <c r="X3275" s="15" t="str">
        <f t="shared" si="10"/>
        <v/>
      </c>
    </row>
    <row r="3276">
      <c r="A3276" s="32">
        <v>47083.0</v>
      </c>
      <c r="B3276" s="10"/>
      <c r="C3276" s="9" t="str">
        <f t="shared" si="249"/>
        <v/>
      </c>
      <c r="D3276" s="28" t="s">
        <v>44</v>
      </c>
      <c r="E3276" s="28" t="s">
        <v>1305</v>
      </c>
      <c r="F3276" s="28" t="s">
        <v>45</v>
      </c>
      <c r="G3276" s="28" t="s">
        <v>27</v>
      </c>
      <c r="H3276" s="29" t="s">
        <v>1329</v>
      </c>
      <c r="I3276" s="37">
        <v>1786.2771500000001</v>
      </c>
      <c r="J3276" s="34"/>
      <c r="K3276" s="13" t="str">
        <f t="shared" si="412"/>
        <v/>
      </c>
      <c r="L3276" s="28" t="s">
        <v>53</v>
      </c>
      <c r="M3276" s="16" t="s">
        <v>1492</v>
      </c>
      <c r="N3276" s="28" t="s">
        <v>73</v>
      </c>
      <c r="O3276" s="10" t="str">
        <f t="shared" si="79"/>
        <v>11/2028</v>
      </c>
      <c r="P3276" s="10" t="str">
        <f t="shared" si="411"/>
        <v/>
      </c>
      <c r="Q3276" s="15" t="str">
        <f t="array" ref="Q3276">IFERROR(XLOOKUP(N3276,'Classificação'!A:A,'Classificação'!B:B),"")</f>
        <v>DESPESAS NÃO OPERACIONAIS</v>
      </c>
      <c r="R3276" s="15" t="str">
        <f t="array" ref="R3276">IFERROR(XLOOKUP(Q3276,'Classificação'!B:B,'Classificação'!C:C),"")</f>
        <v>RESULTADO NÃO OPERACIONAL (+/-)</v>
      </c>
      <c r="S3276" s="15">
        <f t="shared" si="228"/>
        <v>26</v>
      </c>
      <c r="T3276" s="15">
        <f t="shared" si="128"/>
        <v>11</v>
      </c>
      <c r="U3276" s="15">
        <f t="shared" si="129"/>
        <v>2028</v>
      </c>
      <c r="V3276" s="15" t="str">
        <f t="shared" si="8"/>
        <v/>
      </c>
      <c r="W3276" s="15" t="str">
        <f t="shared" si="9"/>
        <v/>
      </c>
      <c r="X3276" s="15" t="str">
        <f t="shared" si="10"/>
        <v/>
      </c>
    </row>
    <row r="3277">
      <c r="A3277" s="9">
        <v>47101.0</v>
      </c>
      <c r="B3277" s="10"/>
      <c r="C3277" s="9" t="str">
        <f t="shared" si="249"/>
        <v/>
      </c>
      <c r="D3277" s="11" t="s">
        <v>44</v>
      </c>
      <c r="E3277" s="11" t="s">
        <v>1305</v>
      </c>
      <c r="F3277" s="11" t="s">
        <v>45</v>
      </c>
      <c r="G3277" s="11" t="s">
        <v>27</v>
      </c>
      <c r="H3277" s="11" t="s">
        <v>476</v>
      </c>
      <c r="I3277" s="12">
        <v>4996.0</v>
      </c>
      <c r="J3277" s="13"/>
      <c r="K3277" s="13" t="str">
        <f t="shared" si="412"/>
        <v/>
      </c>
      <c r="L3277" s="11" t="s">
        <v>53</v>
      </c>
      <c r="M3277" s="16" t="s">
        <v>1478</v>
      </c>
      <c r="N3277" s="11" t="s">
        <v>73</v>
      </c>
      <c r="O3277" s="10" t="str">
        <f t="shared" si="79"/>
        <v>12/2028</v>
      </c>
      <c r="P3277" s="10" t="str">
        <f t="shared" si="411"/>
        <v/>
      </c>
      <c r="Q3277" s="15" t="str">
        <f t="array" ref="Q3277">IFERROR(XLOOKUP(N3277,'Classificação'!A:A,'Classificação'!B:B),"")</f>
        <v>DESPESAS NÃO OPERACIONAIS</v>
      </c>
      <c r="R3277" s="15" t="str">
        <f t="array" ref="R3277">IFERROR(XLOOKUP(Q3277,'Classificação'!B:B,'Classificação'!C:C),"")</f>
        <v>RESULTADO NÃO OPERACIONAL (+/-)</v>
      </c>
      <c r="S3277" s="15">
        <f t="shared" si="228"/>
        <v>14</v>
      </c>
      <c r="T3277" s="15">
        <f t="shared" si="128"/>
        <v>12</v>
      </c>
      <c r="U3277" s="15">
        <f t="shared" si="129"/>
        <v>2028</v>
      </c>
      <c r="V3277" s="15" t="str">
        <f t="shared" si="8"/>
        <v/>
      </c>
      <c r="W3277" s="15" t="str">
        <f t="shared" si="9"/>
        <v/>
      </c>
      <c r="X3277" s="15" t="str">
        <f t="shared" si="10"/>
        <v/>
      </c>
    </row>
    <row r="3278">
      <c r="A3278" s="32">
        <v>47113.0</v>
      </c>
      <c r="B3278" s="10"/>
      <c r="C3278" s="9" t="str">
        <f t="shared" si="249"/>
        <v/>
      </c>
      <c r="D3278" s="28" t="s">
        <v>44</v>
      </c>
      <c r="E3278" s="28" t="s">
        <v>1305</v>
      </c>
      <c r="F3278" s="28" t="s">
        <v>45</v>
      </c>
      <c r="G3278" s="28" t="s">
        <v>27</v>
      </c>
      <c r="H3278" s="29" t="s">
        <v>1329</v>
      </c>
      <c r="I3278" s="37">
        <v>1761.4500750000002</v>
      </c>
      <c r="J3278" s="34"/>
      <c r="K3278" s="13" t="str">
        <f t="shared" si="412"/>
        <v/>
      </c>
      <c r="L3278" s="28" t="s">
        <v>53</v>
      </c>
      <c r="M3278" s="16" t="s">
        <v>1493</v>
      </c>
      <c r="N3278" s="28" t="s">
        <v>73</v>
      </c>
      <c r="O3278" s="10" t="str">
        <f t="shared" si="79"/>
        <v>12/2028</v>
      </c>
      <c r="P3278" s="10" t="str">
        <f t="shared" si="411"/>
        <v/>
      </c>
      <c r="Q3278" s="15" t="str">
        <f t="array" ref="Q3278">IFERROR(XLOOKUP(N3278,'Classificação'!A:A,'Classificação'!B:B),"")</f>
        <v>DESPESAS NÃO OPERACIONAIS</v>
      </c>
      <c r="R3278" s="15" t="str">
        <f t="array" ref="R3278">IFERROR(XLOOKUP(Q3278,'Classificação'!B:B,'Classificação'!C:C),"")</f>
        <v>RESULTADO NÃO OPERACIONAL (+/-)</v>
      </c>
      <c r="S3278" s="15">
        <f t="shared" si="228"/>
        <v>26</v>
      </c>
      <c r="T3278" s="15">
        <f t="shared" si="128"/>
        <v>12</v>
      </c>
      <c r="U3278" s="15">
        <f t="shared" si="129"/>
        <v>2028</v>
      </c>
      <c r="V3278" s="15" t="str">
        <f t="shared" si="8"/>
        <v/>
      </c>
      <c r="W3278" s="15" t="str">
        <f t="shared" si="9"/>
        <v/>
      </c>
      <c r="X3278" s="15" t="str">
        <f t="shared" si="10"/>
        <v/>
      </c>
    </row>
    <row r="3279">
      <c r="A3279" s="9">
        <v>47144.0</v>
      </c>
      <c r="B3279" s="10"/>
      <c r="C3279" s="9" t="str">
        <f t="shared" si="249"/>
        <v/>
      </c>
      <c r="D3279" s="28" t="s">
        <v>44</v>
      </c>
      <c r="E3279" s="28" t="s">
        <v>1305</v>
      </c>
      <c r="F3279" s="28" t="s">
        <v>45</v>
      </c>
      <c r="G3279" s="28" t="s">
        <v>27</v>
      </c>
      <c r="H3279" s="29" t="s">
        <v>1329</v>
      </c>
      <c r="I3279" s="37">
        <v>1736.623</v>
      </c>
      <c r="J3279" s="34"/>
      <c r="K3279" s="13" t="str">
        <f t="shared" si="412"/>
        <v/>
      </c>
      <c r="L3279" s="28" t="s">
        <v>53</v>
      </c>
      <c r="M3279" s="16" t="s">
        <v>1494</v>
      </c>
      <c r="N3279" s="28" t="s">
        <v>73</v>
      </c>
      <c r="O3279" s="10" t="str">
        <f t="shared" si="79"/>
        <v>01/2029</v>
      </c>
      <c r="P3279" s="10" t="str">
        <f t="shared" si="411"/>
        <v/>
      </c>
      <c r="Q3279" s="15" t="str">
        <f t="array" ref="Q3279">IFERROR(XLOOKUP(N3279,'Classificação'!A:A,'Classificação'!B:B),"")</f>
        <v>DESPESAS NÃO OPERACIONAIS</v>
      </c>
      <c r="R3279" s="15" t="str">
        <f t="array" ref="R3279">IFERROR(XLOOKUP(Q3279,'Classificação'!B:B,'Classificação'!C:C),"")</f>
        <v>RESULTADO NÃO OPERACIONAL (+/-)</v>
      </c>
      <c r="S3279" s="15">
        <f t="shared" si="228"/>
        <v>26</v>
      </c>
      <c r="T3279" s="15">
        <f t="shared" si="128"/>
        <v>1</v>
      </c>
      <c r="U3279" s="15">
        <f t="shared" si="129"/>
        <v>2029</v>
      </c>
      <c r="V3279" s="15" t="str">
        <f t="shared" si="8"/>
        <v/>
      </c>
      <c r="W3279" s="15" t="str">
        <f t="shared" si="9"/>
        <v/>
      </c>
      <c r="X3279" s="15" t="str">
        <f t="shared" si="10"/>
        <v/>
      </c>
    </row>
    <row r="3280">
      <c r="A3280" s="9">
        <v>47175.0</v>
      </c>
      <c r="B3280" s="10"/>
      <c r="C3280" s="9" t="str">
        <f t="shared" si="249"/>
        <v/>
      </c>
      <c r="D3280" s="28" t="s">
        <v>44</v>
      </c>
      <c r="E3280" s="28" t="s">
        <v>1305</v>
      </c>
      <c r="F3280" s="28" t="s">
        <v>45</v>
      </c>
      <c r="G3280" s="28" t="s">
        <v>27</v>
      </c>
      <c r="H3280" s="29" t="s">
        <v>1329</v>
      </c>
      <c r="I3280" s="37">
        <v>1711.7959250000001</v>
      </c>
      <c r="J3280" s="34"/>
      <c r="K3280" s="13" t="str">
        <f t="shared" si="412"/>
        <v/>
      </c>
      <c r="L3280" s="28" t="s">
        <v>53</v>
      </c>
      <c r="M3280" s="16" t="s">
        <v>1495</v>
      </c>
      <c r="N3280" s="28" t="s">
        <v>73</v>
      </c>
      <c r="O3280" s="10" t="str">
        <f t="shared" si="79"/>
        <v>02/2029</v>
      </c>
      <c r="P3280" s="10" t="str">
        <f t="shared" si="411"/>
        <v/>
      </c>
      <c r="Q3280" s="15" t="str">
        <f t="array" ref="Q3280">IFERROR(XLOOKUP(N3280,'Classificação'!A:A,'Classificação'!B:B),"")</f>
        <v>DESPESAS NÃO OPERACIONAIS</v>
      </c>
      <c r="R3280" s="15" t="str">
        <f t="array" ref="R3280">IFERROR(XLOOKUP(Q3280,'Classificação'!B:B,'Classificação'!C:C),"")</f>
        <v>RESULTADO NÃO OPERACIONAL (+/-)</v>
      </c>
      <c r="S3280" s="15">
        <f t="shared" si="228"/>
        <v>26</v>
      </c>
      <c r="T3280" s="15">
        <f t="shared" si="128"/>
        <v>2</v>
      </c>
      <c r="U3280" s="15">
        <f t="shared" si="129"/>
        <v>2029</v>
      </c>
      <c r="V3280" s="15" t="str">
        <f t="shared" si="8"/>
        <v/>
      </c>
      <c r="W3280" s="15" t="str">
        <f t="shared" si="9"/>
        <v/>
      </c>
      <c r="X3280" s="15" t="str">
        <f t="shared" si="10"/>
        <v/>
      </c>
    </row>
    <row r="3281">
      <c r="A3281" s="9">
        <v>47203.0</v>
      </c>
      <c r="B3281" s="10"/>
      <c r="C3281" s="9" t="str">
        <f t="shared" si="249"/>
        <v/>
      </c>
      <c r="D3281" s="28" t="s">
        <v>44</v>
      </c>
      <c r="E3281" s="28" t="s">
        <v>1305</v>
      </c>
      <c r="F3281" s="28" t="s">
        <v>45</v>
      </c>
      <c r="G3281" s="28" t="s">
        <v>27</v>
      </c>
      <c r="H3281" s="29" t="s">
        <v>1329</v>
      </c>
      <c r="I3281" s="37">
        <v>1686.9688500000002</v>
      </c>
      <c r="J3281" s="34"/>
      <c r="K3281" s="13" t="str">
        <f t="shared" si="412"/>
        <v/>
      </c>
      <c r="L3281" s="28" t="s">
        <v>53</v>
      </c>
      <c r="M3281" s="16" t="s">
        <v>1496</v>
      </c>
      <c r="N3281" s="28" t="s">
        <v>73</v>
      </c>
      <c r="O3281" s="10" t="str">
        <f t="shared" si="79"/>
        <v>03/2029</v>
      </c>
      <c r="P3281" s="10" t="str">
        <f t="shared" si="411"/>
        <v/>
      </c>
      <c r="Q3281" s="15" t="str">
        <f t="array" ref="Q3281">IFERROR(XLOOKUP(N3281,'Classificação'!A:A,'Classificação'!B:B),"")</f>
        <v>DESPESAS NÃO OPERACIONAIS</v>
      </c>
      <c r="R3281" s="15" t="str">
        <f t="array" ref="R3281">IFERROR(XLOOKUP(Q3281,'Classificação'!B:B,'Classificação'!C:C),"")</f>
        <v>RESULTADO NÃO OPERACIONAL (+/-)</v>
      </c>
      <c r="S3281" s="15">
        <f t="shared" si="228"/>
        <v>26</v>
      </c>
      <c r="T3281" s="15">
        <f t="shared" si="128"/>
        <v>3</v>
      </c>
      <c r="U3281" s="15">
        <f t="shared" si="129"/>
        <v>2029</v>
      </c>
      <c r="V3281" s="15" t="str">
        <f t="shared" si="8"/>
        <v/>
      </c>
      <c r="W3281" s="15" t="str">
        <f t="shared" si="9"/>
        <v/>
      </c>
      <c r="X3281" s="15" t="str">
        <f t="shared" si="10"/>
        <v/>
      </c>
    </row>
    <row r="3282">
      <c r="A3282" s="9">
        <v>47234.0</v>
      </c>
      <c r="B3282" s="10"/>
      <c r="C3282" s="9" t="str">
        <f t="shared" si="249"/>
        <v/>
      </c>
      <c r="D3282" s="28" t="s">
        <v>44</v>
      </c>
      <c r="E3282" s="28" t="s">
        <v>1305</v>
      </c>
      <c r="F3282" s="28" t="s">
        <v>45</v>
      </c>
      <c r="G3282" s="28" t="s">
        <v>27</v>
      </c>
      <c r="H3282" s="29" t="s">
        <v>1329</v>
      </c>
      <c r="I3282" s="37">
        <v>1662.141775</v>
      </c>
      <c r="J3282" s="34"/>
      <c r="K3282" s="13" t="str">
        <f t="shared" si="412"/>
        <v/>
      </c>
      <c r="L3282" s="28" t="s">
        <v>53</v>
      </c>
      <c r="M3282" s="16" t="s">
        <v>1497</v>
      </c>
      <c r="N3282" s="28" t="s">
        <v>73</v>
      </c>
      <c r="O3282" s="10" t="str">
        <f t="shared" si="79"/>
        <v>04/2029</v>
      </c>
      <c r="P3282" s="10" t="str">
        <f t="shared" si="411"/>
        <v/>
      </c>
      <c r="Q3282" s="15" t="str">
        <f t="array" ref="Q3282">IFERROR(XLOOKUP(N3282,'Classificação'!A:A,'Classificação'!B:B),"")</f>
        <v>DESPESAS NÃO OPERACIONAIS</v>
      </c>
      <c r="R3282" s="15" t="str">
        <f t="array" ref="R3282">IFERROR(XLOOKUP(Q3282,'Classificação'!B:B,'Classificação'!C:C),"")</f>
        <v>RESULTADO NÃO OPERACIONAL (+/-)</v>
      </c>
      <c r="S3282" s="15">
        <f t="shared" si="228"/>
        <v>26</v>
      </c>
      <c r="T3282" s="15">
        <f t="shared" si="128"/>
        <v>4</v>
      </c>
      <c r="U3282" s="15">
        <f t="shared" si="129"/>
        <v>2029</v>
      </c>
      <c r="V3282" s="15" t="str">
        <f t="shared" si="8"/>
        <v/>
      </c>
      <c r="W3282" s="15" t="str">
        <f t="shared" si="9"/>
        <v/>
      </c>
      <c r="X3282" s="15" t="str">
        <f t="shared" si="10"/>
        <v/>
      </c>
    </row>
    <row r="3283">
      <c r="A3283" s="9">
        <v>47264.0</v>
      </c>
      <c r="B3283" s="10"/>
      <c r="C3283" s="9" t="str">
        <f t="shared" si="249"/>
        <v/>
      </c>
      <c r="D3283" s="28" t="s">
        <v>44</v>
      </c>
      <c r="E3283" s="28" t="s">
        <v>1305</v>
      </c>
      <c r="F3283" s="28" t="s">
        <v>45</v>
      </c>
      <c r="G3283" s="28" t="s">
        <v>27</v>
      </c>
      <c r="H3283" s="29" t="s">
        <v>1329</v>
      </c>
      <c r="I3283" s="37">
        <v>1637.3147000000001</v>
      </c>
      <c r="J3283" s="34"/>
      <c r="K3283" s="13" t="str">
        <f t="shared" si="412"/>
        <v/>
      </c>
      <c r="L3283" s="28" t="s">
        <v>53</v>
      </c>
      <c r="M3283" s="16" t="s">
        <v>1498</v>
      </c>
      <c r="N3283" s="28" t="s">
        <v>73</v>
      </c>
      <c r="O3283" s="10" t="str">
        <f t="shared" si="79"/>
        <v>05/2029</v>
      </c>
      <c r="P3283" s="10" t="str">
        <f t="shared" si="411"/>
        <v/>
      </c>
      <c r="Q3283" s="15" t="str">
        <f t="array" ref="Q3283">IFERROR(XLOOKUP(N3283,'Classificação'!A:A,'Classificação'!B:B),"")</f>
        <v>DESPESAS NÃO OPERACIONAIS</v>
      </c>
      <c r="R3283" s="15" t="str">
        <f t="array" ref="R3283">IFERROR(XLOOKUP(Q3283,'Classificação'!B:B,'Classificação'!C:C),"")</f>
        <v>RESULTADO NÃO OPERACIONAL (+/-)</v>
      </c>
      <c r="S3283" s="15">
        <f t="shared" si="228"/>
        <v>26</v>
      </c>
      <c r="T3283" s="15">
        <f t="shared" si="128"/>
        <v>5</v>
      </c>
      <c r="U3283" s="15">
        <f t="shared" si="129"/>
        <v>2029</v>
      </c>
      <c r="V3283" s="15" t="str">
        <f t="shared" si="8"/>
        <v/>
      </c>
      <c r="W3283" s="15" t="str">
        <f t="shared" si="9"/>
        <v/>
      </c>
      <c r="X3283" s="15" t="str">
        <f t="shared" si="10"/>
        <v/>
      </c>
    </row>
    <row r="3284">
      <c r="A3284" s="9">
        <v>47295.0</v>
      </c>
      <c r="B3284" s="10"/>
      <c r="C3284" s="9" t="str">
        <f t="shared" si="249"/>
        <v/>
      </c>
      <c r="D3284" s="28" t="s">
        <v>44</v>
      </c>
      <c r="E3284" s="28" t="s">
        <v>1305</v>
      </c>
      <c r="F3284" s="28" t="s">
        <v>45</v>
      </c>
      <c r="G3284" s="28" t="s">
        <v>27</v>
      </c>
      <c r="H3284" s="29" t="s">
        <v>1329</v>
      </c>
      <c r="I3284" s="37">
        <v>1612.4876250000002</v>
      </c>
      <c r="J3284" s="34"/>
      <c r="K3284" s="13" t="str">
        <f t="shared" si="412"/>
        <v/>
      </c>
      <c r="L3284" s="28" t="s">
        <v>53</v>
      </c>
      <c r="M3284" s="16" t="s">
        <v>1499</v>
      </c>
      <c r="N3284" s="28" t="s">
        <v>73</v>
      </c>
      <c r="O3284" s="10" t="str">
        <f t="shared" si="79"/>
        <v>06/2029</v>
      </c>
      <c r="P3284" s="10" t="str">
        <f t="shared" si="411"/>
        <v/>
      </c>
      <c r="Q3284" s="15" t="str">
        <f t="array" ref="Q3284">IFERROR(XLOOKUP(N3284,'Classificação'!A:A,'Classificação'!B:B),"")</f>
        <v>DESPESAS NÃO OPERACIONAIS</v>
      </c>
      <c r="R3284" s="15" t="str">
        <f t="array" ref="R3284">IFERROR(XLOOKUP(Q3284,'Classificação'!B:B,'Classificação'!C:C),"")</f>
        <v>RESULTADO NÃO OPERACIONAL (+/-)</v>
      </c>
      <c r="S3284" s="15">
        <f t="shared" si="228"/>
        <v>26</v>
      </c>
      <c r="T3284" s="15">
        <f t="shared" si="128"/>
        <v>6</v>
      </c>
      <c r="U3284" s="15">
        <f t="shared" si="129"/>
        <v>2029</v>
      </c>
      <c r="V3284" s="15" t="str">
        <f t="shared" si="8"/>
        <v/>
      </c>
      <c r="W3284" s="15" t="str">
        <f t="shared" si="9"/>
        <v/>
      </c>
      <c r="X3284" s="15" t="str">
        <f t="shared" si="10"/>
        <v/>
      </c>
    </row>
    <row r="3285">
      <c r="A3285" s="9">
        <v>47325.0</v>
      </c>
      <c r="B3285" s="10"/>
      <c r="C3285" s="9" t="str">
        <f t="shared" si="249"/>
        <v/>
      </c>
      <c r="D3285" s="28" t="s">
        <v>44</v>
      </c>
      <c r="E3285" s="28" t="s">
        <v>1305</v>
      </c>
      <c r="F3285" s="28" t="s">
        <v>45</v>
      </c>
      <c r="G3285" s="28" t="s">
        <v>27</v>
      </c>
      <c r="H3285" s="29" t="s">
        <v>1329</v>
      </c>
      <c r="I3285" s="37">
        <v>1587.66055</v>
      </c>
      <c r="J3285" s="34"/>
      <c r="K3285" s="13" t="str">
        <f t="shared" si="412"/>
        <v/>
      </c>
      <c r="L3285" s="28" t="s">
        <v>53</v>
      </c>
      <c r="M3285" s="16" t="s">
        <v>1500</v>
      </c>
      <c r="N3285" s="28" t="s">
        <v>73</v>
      </c>
      <c r="O3285" s="10" t="str">
        <f t="shared" si="79"/>
        <v>07/2029</v>
      </c>
      <c r="P3285" s="10" t="str">
        <f t="shared" si="411"/>
        <v/>
      </c>
      <c r="Q3285" s="15" t="str">
        <f t="array" ref="Q3285">IFERROR(XLOOKUP(N3285,'Classificação'!A:A,'Classificação'!B:B),"")</f>
        <v>DESPESAS NÃO OPERACIONAIS</v>
      </c>
      <c r="R3285" s="15" t="str">
        <f t="array" ref="R3285">IFERROR(XLOOKUP(Q3285,'Classificação'!B:B,'Classificação'!C:C),"")</f>
        <v>RESULTADO NÃO OPERACIONAL (+/-)</v>
      </c>
      <c r="S3285" s="15">
        <f t="shared" si="228"/>
        <v>26</v>
      </c>
      <c r="T3285" s="15">
        <f t="shared" si="128"/>
        <v>7</v>
      </c>
      <c r="U3285" s="15">
        <f t="shared" si="129"/>
        <v>2029</v>
      </c>
      <c r="V3285" s="15" t="str">
        <f t="shared" si="8"/>
        <v/>
      </c>
      <c r="W3285" s="15" t="str">
        <f t="shared" si="9"/>
        <v/>
      </c>
      <c r="X3285" s="15" t="str">
        <f t="shared" si="10"/>
        <v/>
      </c>
    </row>
    <row r="3286">
      <c r="A3286" s="9">
        <v>47356.0</v>
      </c>
      <c r="B3286" s="10"/>
      <c r="C3286" s="9" t="str">
        <f t="shared" si="249"/>
        <v/>
      </c>
      <c r="D3286" s="28" t="s">
        <v>44</v>
      </c>
      <c r="E3286" s="28" t="s">
        <v>1305</v>
      </c>
      <c r="F3286" s="28" t="s">
        <v>45</v>
      </c>
      <c r="G3286" s="28" t="s">
        <v>27</v>
      </c>
      <c r="H3286" s="29" t="s">
        <v>1329</v>
      </c>
      <c r="I3286" s="37">
        <v>1562.833475</v>
      </c>
      <c r="J3286" s="34"/>
      <c r="K3286" s="13" t="str">
        <f t="shared" si="412"/>
        <v/>
      </c>
      <c r="L3286" s="28" t="s">
        <v>53</v>
      </c>
      <c r="M3286" s="16" t="s">
        <v>1501</v>
      </c>
      <c r="N3286" s="28" t="s">
        <v>73</v>
      </c>
      <c r="O3286" s="10" t="str">
        <f t="shared" si="79"/>
        <v>08/2029</v>
      </c>
      <c r="P3286" s="10" t="str">
        <f t="shared" si="411"/>
        <v/>
      </c>
      <c r="Q3286" s="15" t="str">
        <f t="array" ref="Q3286">IFERROR(XLOOKUP(N3286,'Classificação'!A:A,'Classificação'!B:B),"")</f>
        <v>DESPESAS NÃO OPERACIONAIS</v>
      </c>
      <c r="R3286" s="15" t="str">
        <f t="array" ref="R3286">IFERROR(XLOOKUP(Q3286,'Classificação'!B:B,'Classificação'!C:C),"")</f>
        <v>RESULTADO NÃO OPERACIONAL (+/-)</v>
      </c>
      <c r="S3286" s="15">
        <f t="shared" si="228"/>
        <v>26</v>
      </c>
      <c r="T3286" s="15">
        <f t="shared" si="128"/>
        <v>8</v>
      </c>
      <c r="U3286" s="15">
        <f t="shared" si="129"/>
        <v>2029</v>
      </c>
      <c r="V3286" s="15" t="str">
        <f t="shared" si="8"/>
        <v/>
      </c>
      <c r="W3286" s="15" t="str">
        <f t="shared" si="9"/>
        <v/>
      </c>
      <c r="X3286" s="15" t="str">
        <f t="shared" si="10"/>
        <v/>
      </c>
    </row>
    <row r="3287">
      <c r="A3287" s="9">
        <v>47387.0</v>
      </c>
      <c r="B3287" s="10"/>
      <c r="C3287" s="9" t="str">
        <f t="shared" si="249"/>
        <v/>
      </c>
      <c r="D3287" s="28" t="s">
        <v>44</v>
      </c>
      <c r="E3287" s="28" t="s">
        <v>1305</v>
      </c>
      <c r="F3287" s="28" t="s">
        <v>45</v>
      </c>
      <c r="G3287" s="28" t="s">
        <v>27</v>
      </c>
      <c r="H3287" s="29" t="s">
        <v>1329</v>
      </c>
      <c r="I3287" s="37">
        <v>1538.0064000000002</v>
      </c>
      <c r="J3287" s="34"/>
      <c r="K3287" s="13" t="str">
        <f t="shared" si="412"/>
        <v/>
      </c>
      <c r="L3287" s="28" t="s">
        <v>53</v>
      </c>
      <c r="M3287" s="16" t="s">
        <v>1502</v>
      </c>
      <c r="N3287" s="28" t="s">
        <v>73</v>
      </c>
      <c r="O3287" s="10" t="str">
        <f t="shared" si="79"/>
        <v>09/2029</v>
      </c>
      <c r="P3287" s="10" t="str">
        <f t="shared" si="411"/>
        <v/>
      </c>
      <c r="Q3287" s="15" t="str">
        <f t="array" ref="Q3287">IFERROR(XLOOKUP(N3287,'Classificação'!A:A,'Classificação'!B:B),"")</f>
        <v>DESPESAS NÃO OPERACIONAIS</v>
      </c>
      <c r="R3287" s="15" t="str">
        <f t="array" ref="R3287">IFERROR(XLOOKUP(Q3287,'Classificação'!B:B,'Classificação'!C:C),"")</f>
        <v>RESULTADO NÃO OPERACIONAL (+/-)</v>
      </c>
      <c r="S3287" s="15">
        <f t="shared" si="228"/>
        <v>26</v>
      </c>
      <c r="T3287" s="15">
        <f t="shared" si="128"/>
        <v>9</v>
      </c>
      <c r="U3287" s="15">
        <f t="shared" si="129"/>
        <v>2029</v>
      </c>
      <c r="V3287" s="15" t="str">
        <f t="shared" si="8"/>
        <v/>
      </c>
      <c r="W3287" s="15" t="str">
        <f t="shared" si="9"/>
        <v/>
      </c>
      <c r="X3287" s="15" t="str">
        <f t="shared" si="10"/>
        <v/>
      </c>
    </row>
    <row r="3288">
      <c r="A3288" s="10"/>
      <c r="B3288" s="10"/>
      <c r="C3288" s="9" t="str">
        <f t="shared" si="249"/>
        <v/>
      </c>
      <c r="D3288" s="15"/>
      <c r="E3288" s="15"/>
      <c r="F3288" s="15"/>
      <c r="G3288" s="15"/>
      <c r="I3288" s="65"/>
      <c r="J3288" s="13"/>
      <c r="K3288" s="13" t="str">
        <f t="shared" si="412"/>
        <v/>
      </c>
      <c r="L3288" s="15"/>
      <c r="M3288" s="14"/>
      <c r="N3288" s="15"/>
      <c r="O3288" s="10" t="str">
        <f t="shared" si="79"/>
        <v/>
      </c>
      <c r="P3288" s="10" t="str">
        <f t="shared" si="411"/>
        <v/>
      </c>
      <c r="Q3288" s="15" t="str">
        <f t="array" ref="Q3288">IFERROR(XLOOKUP(N3288,'Classificação'!A:A,'Classificação'!B:B),"")</f>
        <v/>
      </c>
      <c r="S3288" s="15">
        <f t="shared" si="228"/>
        <v>30</v>
      </c>
      <c r="T3288" s="15">
        <f t="shared" si="128"/>
        <v>12</v>
      </c>
      <c r="U3288" s="15">
        <f t="shared" si="129"/>
        <v>1899</v>
      </c>
      <c r="V3288" s="15" t="str">
        <f t="shared" si="8"/>
        <v/>
      </c>
      <c r="W3288" s="15" t="str">
        <f t="shared" si="9"/>
        <v/>
      </c>
      <c r="X3288" s="15" t="str">
        <f t="shared" si="10"/>
        <v/>
      </c>
    </row>
    <row r="3289">
      <c r="A3289" s="10"/>
      <c r="B3289" s="10"/>
      <c r="C3289" s="9" t="str">
        <f t="shared" si="249"/>
        <v/>
      </c>
      <c r="D3289" s="15"/>
      <c r="E3289" s="15"/>
      <c r="F3289" s="15"/>
      <c r="G3289" s="15"/>
      <c r="I3289" s="65"/>
      <c r="J3289" s="13"/>
      <c r="K3289" s="13" t="str">
        <f t="shared" si="412"/>
        <v/>
      </c>
      <c r="L3289" s="15"/>
      <c r="M3289" s="14"/>
      <c r="N3289" s="15"/>
      <c r="O3289" s="10" t="str">
        <f t="shared" si="79"/>
        <v/>
      </c>
      <c r="P3289" s="10" t="str">
        <f t="shared" si="411"/>
        <v/>
      </c>
      <c r="Q3289" s="15" t="str">
        <f t="array" ref="Q3289">IFERROR(XLOOKUP(N3289,'Classificação'!A:A,'Classificação'!B:B),"")</f>
        <v/>
      </c>
      <c r="S3289" s="15">
        <f t="shared" si="228"/>
        <v>30</v>
      </c>
      <c r="T3289" s="15">
        <f t="shared" si="128"/>
        <v>12</v>
      </c>
      <c r="U3289" s="15">
        <f t="shared" si="129"/>
        <v>1899</v>
      </c>
      <c r="V3289" s="15" t="str">
        <f t="shared" si="8"/>
        <v/>
      </c>
      <c r="W3289" s="15" t="str">
        <f t="shared" si="9"/>
        <v/>
      </c>
      <c r="X3289" s="15" t="str">
        <f t="shared" si="10"/>
        <v/>
      </c>
    </row>
    <row r="3290">
      <c r="A3290" s="10"/>
      <c r="B3290" s="10"/>
      <c r="C3290" s="9" t="str">
        <f t="shared" si="249"/>
        <v/>
      </c>
      <c r="D3290" s="15"/>
      <c r="E3290" s="15"/>
      <c r="F3290" s="15"/>
      <c r="G3290" s="15"/>
      <c r="I3290" s="65"/>
      <c r="J3290" s="13"/>
      <c r="K3290" s="13" t="str">
        <f t="shared" si="412"/>
        <v/>
      </c>
      <c r="L3290" s="15"/>
      <c r="M3290" s="14"/>
      <c r="N3290" s="15"/>
      <c r="O3290" s="10" t="str">
        <f t="shared" si="79"/>
        <v/>
      </c>
      <c r="P3290" s="10" t="str">
        <f t="shared" si="411"/>
        <v/>
      </c>
      <c r="Q3290" s="15" t="str">
        <f t="array" ref="Q3290">IFERROR(XLOOKUP(N3290,'Classificação'!A:A,'Classificação'!B:B),"")</f>
        <v/>
      </c>
      <c r="S3290" s="15">
        <f t="shared" si="228"/>
        <v>30</v>
      </c>
      <c r="T3290" s="15">
        <f t="shared" si="128"/>
        <v>12</v>
      </c>
      <c r="U3290" s="15">
        <f t="shared" si="129"/>
        <v>1899</v>
      </c>
      <c r="V3290" s="15" t="str">
        <f t="shared" si="8"/>
        <v/>
      </c>
      <c r="W3290" s="15" t="str">
        <f t="shared" si="9"/>
        <v/>
      </c>
      <c r="X3290" s="15" t="str">
        <f t="shared" si="10"/>
        <v/>
      </c>
    </row>
    <row r="3291">
      <c r="A3291" s="10"/>
      <c r="B3291" s="10"/>
      <c r="C3291" s="9" t="str">
        <f t="shared" si="249"/>
        <v/>
      </c>
      <c r="D3291" s="15"/>
      <c r="E3291" s="15"/>
      <c r="F3291" s="15"/>
      <c r="G3291" s="15"/>
      <c r="I3291" s="65"/>
      <c r="J3291" s="13"/>
      <c r="K3291" s="13" t="str">
        <f t="shared" si="412"/>
        <v/>
      </c>
      <c r="L3291" s="15"/>
      <c r="M3291" s="14"/>
      <c r="N3291" s="15"/>
      <c r="O3291" s="10" t="str">
        <f t="shared" si="79"/>
        <v/>
      </c>
      <c r="P3291" s="10" t="str">
        <f t="shared" si="411"/>
        <v/>
      </c>
      <c r="Q3291" s="15" t="str">
        <f t="array" ref="Q3291">IFERROR(XLOOKUP(N3291,'Classificação'!A:A,'Classificação'!B:B),"")</f>
        <v/>
      </c>
      <c r="S3291" s="15">
        <f t="shared" si="228"/>
        <v>30</v>
      </c>
      <c r="T3291" s="15">
        <f t="shared" si="128"/>
        <v>12</v>
      </c>
      <c r="U3291" s="15">
        <f t="shared" si="129"/>
        <v>1899</v>
      </c>
      <c r="V3291" s="15" t="str">
        <f t="shared" si="8"/>
        <v/>
      </c>
      <c r="W3291" s="15" t="str">
        <f t="shared" si="9"/>
        <v/>
      </c>
      <c r="X3291" s="15" t="str">
        <f t="shared" si="10"/>
        <v/>
      </c>
    </row>
    <row r="3292">
      <c r="A3292" s="10"/>
      <c r="B3292" s="10"/>
      <c r="C3292" s="9" t="str">
        <f t="shared" si="249"/>
        <v/>
      </c>
      <c r="D3292" s="15"/>
      <c r="E3292" s="15"/>
      <c r="F3292" s="15"/>
      <c r="G3292" s="15"/>
      <c r="I3292" s="65"/>
      <c r="J3292" s="13"/>
      <c r="K3292" s="13" t="str">
        <f t="shared" si="412"/>
        <v/>
      </c>
      <c r="L3292" s="15"/>
      <c r="M3292" s="14"/>
      <c r="N3292" s="15"/>
      <c r="O3292" s="10" t="str">
        <f t="shared" si="79"/>
        <v/>
      </c>
      <c r="P3292" s="10" t="str">
        <f t="shared" si="411"/>
        <v/>
      </c>
      <c r="Q3292" s="15" t="str">
        <f t="array" ref="Q3292">IFERROR(XLOOKUP(N3292,'Classificação'!A:A,'Classificação'!B:B),"")</f>
        <v/>
      </c>
      <c r="S3292" s="15">
        <f t="shared" si="228"/>
        <v>30</v>
      </c>
      <c r="T3292" s="15">
        <f t="shared" si="128"/>
        <v>12</v>
      </c>
      <c r="U3292" s="15">
        <f t="shared" si="129"/>
        <v>1899</v>
      </c>
      <c r="V3292" s="15" t="str">
        <f t="shared" si="8"/>
        <v/>
      </c>
      <c r="W3292" s="15" t="str">
        <f t="shared" si="9"/>
        <v/>
      </c>
      <c r="X3292" s="15" t="str">
        <f t="shared" si="10"/>
        <v/>
      </c>
    </row>
    <row r="3293">
      <c r="A3293" s="10"/>
      <c r="B3293" s="10"/>
      <c r="C3293" s="9" t="str">
        <f t="shared" si="249"/>
        <v/>
      </c>
      <c r="D3293" s="15"/>
      <c r="E3293" s="15"/>
      <c r="F3293" s="15"/>
      <c r="G3293" s="15"/>
      <c r="I3293" s="65"/>
      <c r="J3293" s="13"/>
      <c r="K3293" s="13" t="str">
        <f t="shared" si="412"/>
        <v/>
      </c>
      <c r="L3293" s="15"/>
      <c r="M3293" s="14"/>
      <c r="N3293" s="15"/>
      <c r="O3293" s="10" t="str">
        <f t="shared" si="79"/>
        <v/>
      </c>
      <c r="P3293" s="10" t="str">
        <f t="shared" si="411"/>
        <v/>
      </c>
      <c r="Q3293" s="15" t="str">
        <f t="array" ref="Q3293">IFERROR(XLOOKUP(N3293,'Classificação'!A:A,'Classificação'!B:B),"")</f>
        <v/>
      </c>
      <c r="S3293" s="15">
        <f t="shared" si="228"/>
        <v>30</v>
      </c>
      <c r="T3293" s="15">
        <f t="shared" si="128"/>
        <v>12</v>
      </c>
      <c r="U3293" s="15">
        <f t="shared" si="129"/>
        <v>1899</v>
      </c>
      <c r="V3293" s="15" t="str">
        <f t="shared" si="8"/>
        <v/>
      </c>
      <c r="W3293" s="15" t="str">
        <f t="shared" si="9"/>
        <v/>
      </c>
      <c r="X3293" s="15" t="str">
        <f t="shared" si="10"/>
        <v/>
      </c>
    </row>
    <row r="3294">
      <c r="A3294" s="10"/>
      <c r="B3294" s="10"/>
      <c r="C3294" s="9" t="str">
        <f t="shared" si="249"/>
        <v/>
      </c>
      <c r="D3294" s="15"/>
      <c r="E3294" s="15"/>
      <c r="F3294" s="15"/>
      <c r="G3294" s="15"/>
      <c r="I3294" s="65"/>
      <c r="J3294" s="13"/>
      <c r="K3294" s="13" t="str">
        <f t="shared" si="412"/>
        <v/>
      </c>
      <c r="L3294" s="15"/>
      <c r="M3294" s="14"/>
      <c r="N3294" s="15"/>
      <c r="O3294" s="10" t="str">
        <f t="shared" si="79"/>
        <v/>
      </c>
      <c r="P3294" s="10" t="str">
        <f t="shared" si="411"/>
        <v/>
      </c>
      <c r="Q3294" s="15" t="str">
        <f t="array" ref="Q3294">IFERROR(XLOOKUP(N3294,'Classificação'!A:A,'Classificação'!B:B),"")</f>
        <v/>
      </c>
      <c r="S3294" s="15">
        <f t="shared" si="228"/>
        <v>30</v>
      </c>
      <c r="T3294" s="15">
        <f t="shared" si="128"/>
        <v>12</v>
      </c>
      <c r="U3294" s="15">
        <f t="shared" si="129"/>
        <v>1899</v>
      </c>
      <c r="V3294" s="15" t="str">
        <f t="shared" si="8"/>
        <v/>
      </c>
      <c r="W3294" s="15" t="str">
        <f t="shared" si="9"/>
        <v/>
      </c>
      <c r="X3294" s="15" t="str">
        <f t="shared" si="10"/>
        <v/>
      </c>
    </row>
    <row r="3295">
      <c r="A3295" s="10"/>
      <c r="B3295" s="10"/>
      <c r="C3295" s="9" t="str">
        <f t="shared" si="249"/>
        <v/>
      </c>
      <c r="D3295" s="15"/>
      <c r="E3295" s="15"/>
      <c r="F3295" s="15"/>
      <c r="G3295" s="15"/>
      <c r="I3295" s="65"/>
      <c r="J3295" s="13"/>
      <c r="K3295" s="13" t="str">
        <f t="shared" si="412"/>
        <v/>
      </c>
      <c r="L3295" s="15"/>
      <c r="M3295" s="14"/>
      <c r="N3295" s="15"/>
      <c r="O3295" s="10" t="str">
        <f t="shared" si="79"/>
        <v/>
      </c>
      <c r="P3295" s="10" t="str">
        <f t="shared" si="411"/>
        <v/>
      </c>
      <c r="Q3295" s="15" t="str">
        <f t="array" ref="Q3295">IFERROR(XLOOKUP(N3295,'Classificação'!A:A,'Classificação'!B:B),"")</f>
        <v/>
      </c>
      <c r="S3295" s="15">
        <f t="shared" si="228"/>
        <v>30</v>
      </c>
      <c r="T3295" s="15">
        <f t="shared" si="128"/>
        <v>12</v>
      </c>
      <c r="U3295" s="15">
        <f t="shared" si="129"/>
        <v>1899</v>
      </c>
      <c r="V3295" s="15" t="str">
        <f t="shared" si="8"/>
        <v/>
      </c>
      <c r="W3295" s="15" t="str">
        <f t="shared" si="9"/>
        <v/>
      </c>
      <c r="X3295" s="15" t="str">
        <f t="shared" si="10"/>
        <v/>
      </c>
    </row>
    <row r="3296">
      <c r="A3296" s="10"/>
      <c r="B3296" s="10"/>
      <c r="C3296" s="9" t="str">
        <f t="shared" si="249"/>
        <v/>
      </c>
      <c r="D3296" s="15"/>
      <c r="E3296" s="15"/>
      <c r="F3296" s="15"/>
      <c r="G3296" s="15"/>
      <c r="I3296" s="65"/>
      <c r="J3296" s="13"/>
      <c r="K3296" s="13" t="str">
        <f t="shared" si="412"/>
        <v/>
      </c>
      <c r="L3296" s="15"/>
      <c r="M3296" s="14"/>
      <c r="N3296" s="15"/>
      <c r="O3296" s="10" t="str">
        <f t="shared" si="79"/>
        <v/>
      </c>
      <c r="P3296" s="10" t="str">
        <f t="shared" si="411"/>
        <v/>
      </c>
      <c r="Q3296" s="15" t="str">
        <f t="array" ref="Q3296">IFERROR(XLOOKUP(N3296,'Classificação'!A:A,'Classificação'!B:B),"")</f>
        <v/>
      </c>
      <c r="S3296" s="15">
        <f t="shared" si="228"/>
        <v>30</v>
      </c>
      <c r="T3296" s="15">
        <f t="shared" si="128"/>
        <v>12</v>
      </c>
      <c r="U3296" s="15">
        <f t="shared" si="129"/>
        <v>1899</v>
      </c>
      <c r="V3296" s="15" t="str">
        <f t="shared" si="8"/>
        <v/>
      </c>
      <c r="W3296" s="15" t="str">
        <f t="shared" si="9"/>
        <v/>
      </c>
      <c r="X3296" s="15" t="str">
        <f t="shared" si="10"/>
        <v/>
      </c>
    </row>
    <row r="3297">
      <c r="A3297" s="10"/>
      <c r="B3297" s="10"/>
      <c r="C3297" s="9" t="str">
        <f t="shared" si="249"/>
        <v/>
      </c>
      <c r="D3297" s="15"/>
      <c r="E3297" s="15"/>
      <c r="F3297" s="15"/>
      <c r="G3297" s="15"/>
      <c r="I3297" s="65"/>
      <c r="J3297" s="13"/>
      <c r="K3297" s="13" t="str">
        <f t="shared" si="412"/>
        <v/>
      </c>
      <c r="L3297" s="15"/>
      <c r="M3297" s="14"/>
      <c r="N3297" s="15"/>
      <c r="O3297" s="10" t="str">
        <f t="shared" si="79"/>
        <v/>
      </c>
      <c r="P3297" s="10" t="str">
        <f t="shared" si="411"/>
        <v/>
      </c>
      <c r="Q3297" s="15" t="str">
        <f t="array" ref="Q3297">IFERROR(XLOOKUP(N3297,'Classificação'!A:A,'Classificação'!B:B),"")</f>
        <v/>
      </c>
      <c r="S3297" s="15">
        <f t="shared" si="228"/>
        <v>30</v>
      </c>
      <c r="T3297" s="15">
        <f t="shared" si="128"/>
        <v>12</v>
      </c>
      <c r="U3297" s="15">
        <f t="shared" si="129"/>
        <v>1899</v>
      </c>
      <c r="V3297" s="15" t="str">
        <f t="shared" si="8"/>
        <v/>
      </c>
      <c r="W3297" s="15" t="str">
        <f t="shared" si="9"/>
        <v/>
      </c>
      <c r="X3297" s="15" t="str">
        <f t="shared" si="10"/>
        <v/>
      </c>
    </row>
    <row r="3298">
      <c r="A3298" s="10"/>
      <c r="B3298" s="10"/>
      <c r="C3298" s="9" t="str">
        <f t="shared" si="249"/>
        <v/>
      </c>
      <c r="D3298" s="15"/>
      <c r="E3298" s="15"/>
      <c r="F3298" s="15"/>
      <c r="G3298" s="15"/>
      <c r="I3298" s="65"/>
      <c r="J3298" s="13"/>
      <c r="K3298" s="13" t="str">
        <f t="shared" si="412"/>
        <v/>
      </c>
      <c r="L3298" s="15"/>
      <c r="M3298" s="14"/>
      <c r="N3298" s="15"/>
      <c r="O3298" s="10" t="str">
        <f t="shared" si="79"/>
        <v/>
      </c>
      <c r="P3298" s="10" t="str">
        <f t="shared" si="411"/>
        <v/>
      </c>
      <c r="Q3298" s="15" t="str">
        <f t="array" ref="Q3298">IFERROR(XLOOKUP(N3298,'Classificação'!A:A,'Classificação'!B:B),"")</f>
        <v/>
      </c>
      <c r="S3298" s="15">
        <f t="shared" si="228"/>
        <v>30</v>
      </c>
      <c r="T3298" s="15">
        <f t="shared" si="128"/>
        <v>12</v>
      </c>
      <c r="U3298" s="15">
        <f t="shared" si="129"/>
        <v>1899</v>
      </c>
      <c r="V3298" s="15" t="str">
        <f t="shared" si="8"/>
        <v/>
      </c>
      <c r="W3298" s="15" t="str">
        <f t="shared" si="9"/>
        <v/>
      </c>
      <c r="X3298" s="15" t="str">
        <f t="shared" si="10"/>
        <v/>
      </c>
    </row>
    <row r="3299">
      <c r="A3299" s="10"/>
      <c r="B3299" s="10"/>
      <c r="C3299" s="9" t="str">
        <f t="shared" si="249"/>
        <v/>
      </c>
      <c r="D3299" s="15"/>
      <c r="E3299" s="15"/>
      <c r="F3299" s="15"/>
      <c r="G3299" s="15"/>
      <c r="I3299" s="65"/>
      <c r="J3299" s="13"/>
      <c r="K3299" s="13" t="str">
        <f t="shared" si="412"/>
        <v/>
      </c>
      <c r="L3299" s="15"/>
      <c r="M3299" s="14"/>
      <c r="N3299" s="15"/>
      <c r="O3299" s="10" t="str">
        <f t="shared" si="79"/>
        <v/>
      </c>
      <c r="P3299" s="10" t="str">
        <f t="shared" si="411"/>
        <v/>
      </c>
      <c r="Q3299" s="15" t="str">
        <f t="array" ref="Q3299">IFERROR(XLOOKUP(N3299,'Classificação'!A:A,'Classificação'!B:B),"")</f>
        <v/>
      </c>
      <c r="S3299" s="15">
        <f t="shared" si="228"/>
        <v>30</v>
      </c>
      <c r="T3299" s="15">
        <f t="shared" si="128"/>
        <v>12</v>
      </c>
      <c r="U3299" s="15">
        <f t="shared" si="129"/>
        <v>1899</v>
      </c>
      <c r="V3299" s="15" t="str">
        <f t="shared" si="8"/>
        <v/>
      </c>
      <c r="W3299" s="15" t="str">
        <f t="shared" si="9"/>
        <v/>
      </c>
      <c r="X3299" s="15" t="str">
        <f t="shared" si="10"/>
        <v/>
      </c>
    </row>
    <row r="3300">
      <c r="A3300" s="10"/>
      <c r="B3300" s="10"/>
      <c r="C3300" s="9" t="str">
        <f t="shared" si="249"/>
        <v/>
      </c>
      <c r="D3300" s="15"/>
      <c r="E3300" s="15"/>
      <c r="F3300" s="15"/>
      <c r="G3300" s="15"/>
      <c r="I3300" s="65"/>
      <c r="J3300" s="13"/>
      <c r="K3300" s="13" t="str">
        <f t="shared" si="412"/>
        <v/>
      </c>
      <c r="L3300" s="15"/>
      <c r="M3300" s="14"/>
      <c r="N3300" s="15"/>
      <c r="O3300" s="10" t="str">
        <f t="shared" si="79"/>
        <v/>
      </c>
      <c r="P3300" s="10" t="str">
        <f t="shared" si="411"/>
        <v/>
      </c>
      <c r="Q3300" s="15" t="str">
        <f t="array" ref="Q3300">IFERROR(XLOOKUP(N3300,'Classificação'!A:A,'Classificação'!B:B),"")</f>
        <v/>
      </c>
      <c r="S3300" s="15">
        <f t="shared" si="228"/>
        <v>30</v>
      </c>
      <c r="T3300" s="15">
        <f t="shared" si="128"/>
        <v>12</v>
      </c>
      <c r="U3300" s="15">
        <f t="shared" si="129"/>
        <v>1899</v>
      </c>
      <c r="V3300" s="15" t="str">
        <f t="shared" si="8"/>
        <v/>
      </c>
      <c r="W3300" s="15" t="str">
        <f t="shared" si="9"/>
        <v/>
      </c>
      <c r="X3300" s="15" t="str">
        <f t="shared" si="10"/>
        <v/>
      </c>
    </row>
    <row r="3301">
      <c r="A3301" s="10"/>
      <c r="B3301" s="10"/>
      <c r="C3301" s="9" t="str">
        <f t="shared" si="249"/>
        <v/>
      </c>
      <c r="D3301" s="15"/>
      <c r="E3301" s="15"/>
      <c r="F3301" s="15"/>
      <c r="G3301" s="15"/>
      <c r="I3301" s="65"/>
      <c r="J3301" s="13"/>
      <c r="K3301" s="13" t="str">
        <f t="shared" si="412"/>
        <v/>
      </c>
      <c r="L3301" s="15"/>
      <c r="M3301" s="14"/>
      <c r="N3301" s="15"/>
      <c r="O3301" s="10" t="str">
        <f t="shared" si="79"/>
        <v/>
      </c>
      <c r="P3301" s="10" t="str">
        <f t="shared" si="411"/>
        <v/>
      </c>
      <c r="Q3301" s="15" t="str">
        <f t="array" ref="Q3301">IFERROR(XLOOKUP(N3301,'Classificação'!A:A,'Classificação'!B:B),"")</f>
        <v/>
      </c>
      <c r="S3301" s="15">
        <f t="shared" si="228"/>
        <v>30</v>
      </c>
      <c r="T3301" s="15">
        <f t="shared" si="128"/>
        <v>12</v>
      </c>
      <c r="U3301" s="15">
        <f t="shared" si="129"/>
        <v>1899</v>
      </c>
      <c r="V3301" s="15" t="str">
        <f t="shared" si="8"/>
        <v/>
      </c>
      <c r="W3301" s="15" t="str">
        <f t="shared" si="9"/>
        <v/>
      </c>
      <c r="X3301" s="15" t="str">
        <f t="shared" si="10"/>
        <v/>
      </c>
    </row>
    <row r="3302">
      <c r="A3302" s="10"/>
      <c r="B3302" s="10"/>
      <c r="C3302" s="9" t="str">
        <f t="shared" si="249"/>
        <v/>
      </c>
      <c r="D3302" s="15"/>
      <c r="E3302" s="15"/>
      <c r="F3302" s="15"/>
      <c r="G3302" s="15"/>
      <c r="I3302" s="65"/>
      <c r="J3302" s="13"/>
      <c r="K3302" s="13" t="str">
        <f t="shared" si="412"/>
        <v/>
      </c>
      <c r="L3302" s="15"/>
      <c r="M3302" s="14"/>
      <c r="N3302" s="15"/>
      <c r="O3302" s="10" t="str">
        <f t="shared" si="79"/>
        <v/>
      </c>
      <c r="P3302" s="10" t="str">
        <f t="shared" si="411"/>
        <v/>
      </c>
      <c r="Q3302" s="15" t="str">
        <f t="array" ref="Q3302">IFERROR(XLOOKUP(N3302,'Classificação'!A:A,'Classificação'!B:B),"")</f>
        <v/>
      </c>
      <c r="S3302" s="15">
        <f t="shared" si="228"/>
        <v>30</v>
      </c>
      <c r="T3302" s="15">
        <f t="shared" si="128"/>
        <v>12</v>
      </c>
      <c r="U3302" s="15">
        <f t="shared" si="129"/>
        <v>1899</v>
      </c>
      <c r="V3302" s="15" t="str">
        <f t="shared" si="8"/>
        <v/>
      </c>
      <c r="W3302" s="15" t="str">
        <f t="shared" si="9"/>
        <v/>
      </c>
      <c r="X3302" s="15" t="str">
        <f t="shared" si="10"/>
        <v/>
      </c>
    </row>
    <row r="3303">
      <c r="A3303" s="10"/>
      <c r="B3303" s="10"/>
      <c r="C3303" s="9" t="str">
        <f t="shared" si="249"/>
        <v/>
      </c>
      <c r="D3303" s="15"/>
      <c r="E3303" s="15"/>
      <c r="F3303" s="15"/>
      <c r="G3303" s="15"/>
      <c r="I3303" s="65"/>
      <c r="J3303" s="13"/>
      <c r="K3303" s="13" t="str">
        <f t="shared" si="412"/>
        <v/>
      </c>
      <c r="L3303" s="15"/>
      <c r="M3303" s="14"/>
      <c r="N3303" s="15"/>
      <c r="O3303" s="10" t="str">
        <f t="shared" si="79"/>
        <v/>
      </c>
      <c r="P3303" s="10" t="str">
        <f t="shared" si="411"/>
        <v/>
      </c>
      <c r="Q3303" s="15" t="str">
        <f t="array" ref="Q3303">IFERROR(XLOOKUP(N3303,'Classificação'!A:A,'Classificação'!B:B),"")</f>
        <v/>
      </c>
      <c r="S3303" s="15">
        <f t="shared" si="228"/>
        <v>30</v>
      </c>
      <c r="T3303" s="15">
        <f t="shared" si="128"/>
        <v>12</v>
      </c>
      <c r="U3303" s="15">
        <f t="shared" si="129"/>
        <v>1899</v>
      </c>
      <c r="V3303" s="15" t="str">
        <f t="shared" si="8"/>
        <v/>
      </c>
      <c r="W3303" s="15" t="str">
        <f t="shared" si="9"/>
        <v/>
      </c>
      <c r="X3303" s="15" t="str">
        <f t="shared" si="10"/>
        <v/>
      </c>
    </row>
    <row r="3304">
      <c r="A3304" s="10"/>
      <c r="B3304" s="10"/>
      <c r="C3304" s="9" t="str">
        <f t="shared" si="249"/>
        <v/>
      </c>
      <c r="D3304" s="15"/>
      <c r="E3304" s="15"/>
      <c r="F3304" s="15"/>
      <c r="G3304" s="15"/>
      <c r="I3304" s="65"/>
      <c r="J3304" s="13"/>
      <c r="K3304" s="13" t="str">
        <f t="shared" si="412"/>
        <v/>
      </c>
      <c r="L3304" s="15"/>
      <c r="M3304" s="14"/>
      <c r="N3304" s="15"/>
      <c r="O3304" s="10" t="str">
        <f t="shared" si="79"/>
        <v/>
      </c>
      <c r="P3304" s="10" t="str">
        <f t="shared" si="411"/>
        <v/>
      </c>
      <c r="Q3304" s="15" t="str">
        <f t="array" ref="Q3304">IFERROR(XLOOKUP(N3304,'Classificação'!A:A,'Classificação'!B:B),"")</f>
        <v/>
      </c>
      <c r="S3304" s="15">
        <f t="shared" si="228"/>
        <v>30</v>
      </c>
      <c r="T3304" s="15">
        <f t="shared" si="128"/>
        <v>12</v>
      </c>
      <c r="U3304" s="15">
        <f t="shared" si="129"/>
        <v>1899</v>
      </c>
      <c r="V3304" s="15" t="str">
        <f t="shared" si="8"/>
        <v/>
      </c>
      <c r="W3304" s="15" t="str">
        <f t="shared" si="9"/>
        <v/>
      </c>
      <c r="X3304" s="15" t="str">
        <f t="shared" si="10"/>
        <v/>
      </c>
    </row>
    <row r="3305">
      <c r="A3305" s="10"/>
      <c r="B3305" s="10"/>
      <c r="C3305" s="9" t="str">
        <f t="shared" si="249"/>
        <v/>
      </c>
      <c r="D3305" s="15"/>
      <c r="E3305" s="15"/>
      <c r="F3305" s="15"/>
      <c r="G3305" s="15"/>
      <c r="I3305" s="65"/>
      <c r="J3305" s="13"/>
      <c r="K3305" s="13" t="str">
        <f t="shared" si="412"/>
        <v/>
      </c>
      <c r="L3305" s="15"/>
      <c r="M3305" s="14"/>
      <c r="N3305" s="15"/>
      <c r="O3305" s="10" t="str">
        <f t="shared" si="79"/>
        <v/>
      </c>
      <c r="P3305" s="10" t="str">
        <f t="shared" si="411"/>
        <v/>
      </c>
      <c r="Q3305" s="15" t="str">
        <f t="array" ref="Q3305">IFERROR(XLOOKUP(N3305,'Classificação'!A:A,'Classificação'!B:B),"")</f>
        <v/>
      </c>
      <c r="S3305" s="15">
        <f t="shared" si="228"/>
        <v>30</v>
      </c>
      <c r="T3305" s="15">
        <f t="shared" si="128"/>
        <v>12</v>
      </c>
      <c r="U3305" s="15">
        <f t="shared" si="129"/>
        <v>1899</v>
      </c>
      <c r="V3305" s="15" t="str">
        <f t="shared" si="8"/>
        <v/>
      </c>
      <c r="W3305" s="15" t="str">
        <f t="shared" si="9"/>
        <v/>
      </c>
      <c r="X3305" s="15" t="str">
        <f t="shared" si="10"/>
        <v/>
      </c>
    </row>
    <row r="3306">
      <c r="A3306" s="10"/>
      <c r="B3306" s="10"/>
      <c r="C3306" s="9" t="str">
        <f t="shared" si="249"/>
        <v/>
      </c>
      <c r="D3306" s="15"/>
      <c r="E3306" s="15"/>
      <c r="F3306" s="15"/>
      <c r="G3306" s="15"/>
      <c r="I3306" s="65"/>
      <c r="J3306" s="13"/>
      <c r="K3306" s="13" t="str">
        <f t="shared" si="412"/>
        <v/>
      </c>
      <c r="L3306" s="15"/>
      <c r="M3306" s="14"/>
      <c r="N3306" s="15"/>
      <c r="O3306" s="10" t="str">
        <f t="shared" si="79"/>
        <v/>
      </c>
      <c r="P3306" s="10" t="str">
        <f t="shared" si="411"/>
        <v/>
      </c>
      <c r="Q3306" s="15" t="str">
        <f t="array" ref="Q3306">IFERROR(XLOOKUP(N3306,'Classificação'!A:A,'Classificação'!B:B),"")</f>
        <v/>
      </c>
      <c r="S3306" s="15">
        <f t="shared" si="228"/>
        <v>30</v>
      </c>
      <c r="T3306" s="15">
        <f t="shared" si="128"/>
        <v>12</v>
      </c>
      <c r="U3306" s="15">
        <f t="shared" si="129"/>
        <v>1899</v>
      </c>
      <c r="V3306" s="15" t="str">
        <f t="shared" si="8"/>
        <v/>
      </c>
      <c r="W3306" s="15" t="str">
        <f t="shared" si="9"/>
        <v/>
      </c>
      <c r="X3306" s="15" t="str">
        <f t="shared" si="10"/>
        <v/>
      </c>
    </row>
    <row r="3307">
      <c r="A3307" s="10"/>
      <c r="B3307" s="10"/>
      <c r="C3307" s="9" t="str">
        <f t="shared" si="249"/>
        <v/>
      </c>
      <c r="D3307" s="15"/>
      <c r="E3307" s="15"/>
      <c r="F3307" s="15"/>
      <c r="G3307" s="15"/>
      <c r="I3307" s="65"/>
      <c r="J3307" s="13"/>
      <c r="K3307" s="13" t="str">
        <f t="shared" si="412"/>
        <v/>
      </c>
      <c r="L3307" s="15"/>
      <c r="M3307" s="14"/>
      <c r="N3307" s="15"/>
      <c r="O3307" s="10" t="str">
        <f t="shared" si="79"/>
        <v/>
      </c>
      <c r="P3307" s="10" t="str">
        <f t="shared" si="411"/>
        <v/>
      </c>
      <c r="Q3307" s="15" t="str">
        <f t="array" ref="Q3307">IFERROR(XLOOKUP(N3307,'Classificação'!A:A,'Classificação'!B:B),"")</f>
        <v/>
      </c>
      <c r="S3307" s="15">
        <f t="shared" si="228"/>
        <v>30</v>
      </c>
      <c r="T3307" s="15">
        <f t="shared" si="128"/>
        <v>12</v>
      </c>
      <c r="U3307" s="15">
        <f t="shared" si="129"/>
        <v>1899</v>
      </c>
      <c r="V3307" s="15" t="str">
        <f t="shared" si="8"/>
        <v/>
      </c>
      <c r="W3307" s="15" t="str">
        <f t="shared" si="9"/>
        <v/>
      </c>
      <c r="X3307" s="15" t="str">
        <f t="shared" si="10"/>
        <v/>
      </c>
    </row>
    <row r="3308">
      <c r="A3308" s="10"/>
      <c r="B3308" s="10"/>
      <c r="C3308" s="9" t="str">
        <f t="shared" si="249"/>
        <v/>
      </c>
      <c r="D3308" s="15"/>
      <c r="E3308" s="15"/>
      <c r="F3308" s="15"/>
      <c r="G3308" s="15"/>
      <c r="I3308" s="65"/>
      <c r="J3308" s="13"/>
      <c r="K3308" s="13" t="str">
        <f t="shared" si="412"/>
        <v/>
      </c>
      <c r="L3308" s="15"/>
      <c r="M3308" s="14"/>
      <c r="N3308" s="15"/>
      <c r="O3308" s="10" t="str">
        <f t="shared" si="79"/>
        <v/>
      </c>
      <c r="P3308" s="10" t="str">
        <f t="shared" si="411"/>
        <v/>
      </c>
      <c r="Q3308" s="15" t="str">
        <f t="array" ref="Q3308">IFERROR(XLOOKUP(N3308,'Classificação'!A:A,'Classificação'!B:B),"")</f>
        <v/>
      </c>
      <c r="S3308" s="15">
        <f t="shared" si="228"/>
        <v>30</v>
      </c>
      <c r="T3308" s="15">
        <f t="shared" si="128"/>
        <v>12</v>
      </c>
      <c r="U3308" s="15">
        <f t="shared" si="129"/>
        <v>1899</v>
      </c>
      <c r="V3308" s="15" t="str">
        <f t="shared" si="8"/>
        <v/>
      </c>
      <c r="W3308" s="15" t="str">
        <f t="shared" si="9"/>
        <v/>
      </c>
      <c r="X3308" s="15" t="str">
        <f t="shared" si="10"/>
        <v/>
      </c>
    </row>
    <row r="3309">
      <c r="A3309" s="10"/>
      <c r="B3309" s="10"/>
      <c r="C3309" s="9" t="str">
        <f t="shared" si="249"/>
        <v/>
      </c>
      <c r="D3309" s="15"/>
      <c r="E3309" s="15"/>
      <c r="F3309" s="15"/>
      <c r="G3309" s="15"/>
      <c r="I3309" s="65"/>
      <c r="J3309" s="13"/>
      <c r="K3309" s="13" t="str">
        <f t="shared" si="412"/>
        <v/>
      </c>
      <c r="L3309" s="15"/>
      <c r="M3309" s="14"/>
      <c r="N3309" s="15"/>
      <c r="O3309" s="10" t="str">
        <f t="shared" si="79"/>
        <v/>
      </c>
      <c r="P3309" s="10" t="str">
        <f t="shared" si="411"/>
        <v/>
      </c>
      <c r="Q3309" s="15" t="str">
        <f t="array" ref="Q3309">IFERROR(XLOOKUP(N3309,'Classificação'!A:A,'Classificação'!B:B),"")</f>
        <v/>
      </c>
      <c r="S3309" s="15">
        <f t="shared" si="228"/>
        <v>30</v>
      </c>
      <c r="T3309" s="15">
        <f t="shared" si="128"/>
        <v>12</v>
      </c>
      <c r="U3309" s="15">
        <f t="shared" si="129"/>
        <v>1899</v>
      </c>
      <c r="V3309" s="15" t="str">
        <f t="shared" si="8"/>
        <v/>
      </c>
      <c r="W3309" s="15" t="str">
        <f t="shared" si="9"/>
        <v/>
      </c>
      <c r="X3309" s="15" t="str">
        <f t="shared" si="10"/>
        <v/>
      </c>
    </row>
    <row r="3310">
      <c r="A3310" s="10"/>
      <c r="B3310" s="10"/>
      <c r="C3310" s="9" t="str">
        <f t="shared" si="249"/>
        <v/>
      </c>
      <c r="D3310" s="15"/>
      <c r="E3310" s="15"/>
      <c r="F3310" s="15"/>
      <c r="G3310" s="15"/>
      <c r="I3310" s="65"/>
      <c r="J3310" s="13"/>
      <c r="K3310" s="13" t="str">
        <f t="shared" si="412"/>
        <v/>
      </c>
      <c r="L3310" s="15"/>
      <c r="M3310" s="14"/>
      <c r="N3310" s="15"/>
      <c r="O3310" s="10" t="str">
        <f t="shared" si="79"/>
        <v/>
      </c>
      <c r="P3310" s="10" t="str">
        <f t="shared" si="411"/>
        <v/>
      </c>
      <c r="Q3310" s="15" t="str">
        <f t="array" ref="Q3310">IFERROR(XLOOKUP(N3310,'Classificação'!A:A,'Classificação'!B:B),"")</f>
        <v/>
      </c>
      <c r="S3310" s="15">
        <f t="shared" si="228"/>
        <v>30</v>
      </c>
      <c r="T3310" s="15">
        <f t="shared" si="128"/>
        <v>12</v>
      </c>
      <c r="U3310" s="15">
        <f t="shared" si="129"/>
        <v>1899</v>
      </c>
      <c r="V3310" s="15" t="str">
        <f t="shared" si="8"/>
        <v/>
      </c>
      <c r="W3310" s="15" t="str">
        <f t="shared" si="9"/>
        <v/>
      </c>
      <c r="X3310" s="15" t="str">
        <f t="shared" si="10"/>
        <v/>
      </c>
    </row>
    <row r="3311">
      <c r="A3311" s="10"/>
      <c r="B3311" s="10"/>
      <c r="C3311" s="9" t="str">
        <f t="shared" si="249"/>
        <v/>
      </c>
      <c r="D3311" s="15"/>
      <c r="E3311" s="15"/>
      <c r="F3311" s="15"/>
      <c r="G3311" s="15"/>
      <c r="I3311" s="65"/>
      <c r="J3311" s="13"/>
      <c r="K3311" s="13" t="str">
        <f t="shared" si="412"/>
        <v/>
      </c>
      <c r="L3311" s="15"/>
      <c r="M3311" s="14"/>
      <c r="N3311" s="15"/>
      <c r="O3311" s="10" t="str">
        <f t="shared" si="79"/>
        <v/>
      </c>
      <c r="P3311" s="10" t="str">
        <f t="shared" si="411"/>
        <v/>
      </c>
      <c r="Q3311" s="15" t="str">
        <f t="array" ref="Q3311">IFERROR(XLOOKUP(N3311,'Classificação'!A:A,'Classificação'!B:B),"")</f>
        <v/>
      </c>
      <c r="S3311" s="15">
        <f t="shared" si="228"/>
        <v>30</v>
      </c>
      <c r="T3311" s="15">
        <f t="shared" si="128"/>
        <v>12</v>
      </c>
      <c r="U3311" s="15">
        <f t="shared" si="129"/>
        <v>1899</v>
      </c>
      <c r="V3311" s="15" t="str">
        <f t="shared" si="8"/>
        <v/>
      </c>
      <c r="W3311" s="15" t="str">
        <f t="shared" si="9"/>
        <v/>
      </c>
      <c r="X3311" s="15" t="str">
        <f t="shared" si="10"/>
        <v/>
      </c>
    </row>
    <row r="3312">
      <c r="A3312" s="10"/>
      <c r="B3312" s="10"/>
      <c r="C3312" s="9" t="str">
        <f t="shared" si="249"/>
        <v/>
      </c>
      <c r="D3312" s="15"/>
      <c r="E3312" s="15"/>
      <c r="F3312" s="15"/>
      <c r="G3312" s="15"/>
      <c r="I3312" s="65"/>
      <c r="J3312" s="13"/>
      <c r="K3312" s="13" t="str">
        <f t="shared" si="412"/>
        <v/>
      </c>
      <c r="L3312" s="15"/>
      <c r="M3312" s="14"/>
      <c r="N3312" s="15"/>
      <c r="O3312" s="10" t="str">
        <f t="shared" si="79"/>
        <v/>
      </c>
      <c r="P3312" s="10" t="str">
        <f t="shared" si="411"/>
        <v/>
      </c>
      <c r="Q3312" s="15" t="str">
        <f t="array" ref="Q3312">IFERROR(XLOOKUP(N3312,'Classificação'!A:A,'Classificação'!B:B),"")</f>
        <v/>
      </c>
      <c r="S3312" s="15">
        <f t="shared" si="228"/>
        <v>30</v>
      </c>
      <c r="T3312" s="15">
        <f t="shared" si="128"/>
        <v>12</v>
      </c>
      <c r="U3312" s="15">
        <f t="shared" si="129"/>
        <v>1899</v>
      </c>
      <c r="V3312" s="15" t="str">
        <f t="shared" si="8"/>
        <v/>
      </c>
      <c r="W3312" s="15" t="str">
        <f t="shared" si="9"/>
        <v/>
      </c>
      <c r="X3312" s="15" t="str">
        <f t="shared" si="10"/>
        <v/>
      </c>
    </row>
    <row r="3313">
      <c r="A3313" s="10"/>
      <c r="B3313" s="10"/>
      <c r="C3313" s="9" t="str">
        <f t="shared" si="249"/>
        <v/>
      </c>
      <c r="D3313" s="15"/>
      <c r="E3313" s="15"/>
      <c r="F3313" s="15"/>
      <c r="G3313" s="15"/>
      <c r="I3313" s="65"/>
      <c r="J3313" s="13"/>
      <c r="K3313" s="13" t="str">
        <f t="shared" si="412"/>
        <v/>
      </c>
      <c r="L3313" s="15"/>
      <c r="M3313" s="14"/>
      <c r="N3313" s="15"/>
      <c r="O3313" s="10" t="str">
        <f t="shared" si="79"/>
        <v/>
      </c>
      <c r="P3313" s="10" t="str">
        <f t="shared" si="411"/>
        <v/>
      </c>
      <c r="Q3313" s="15" t="str">
        <f t="array" ref="Q3313">IFERROR(XLOOKUP(N3313,'Classificação'!A:A,'Classificação'!B:B),"")</f>
        <v/>
      </c>
      <c r="S3313" s="15">
        <f t="shared" si="228"/>
        <v>30</v>
      </c>
      <c r="T3313" s="15">
        <f t="shared" si="128"/>
        <v>12</v>
      </c>
      <c r="U3313" s="15">
        <f t="shared" si="129"/>
        <v>1899</v>
      </c>
      <c r="V3313" s="15" t="str">
        <f t="shared" si="8"/>
        <v/>
      </c>
      <c r="W3313" s="15" t="str">
        <f t="shared" si="9"/>
        <v/>
      </c>
      <c r="X3313" s="15" t="str">
        <f t="shared" si="10"/>
        <v/>
      </c>
    </row>
    <row r="3314">
      <c r="A3314" s="10"/>
      <c r="B3314" s="10"/>
      <c r="C3314" s="9" t="str">
        <f t="shared" si="249"/>
        <v/>
      </c>
      <c r="D3314" s="15"/>
      <c r="E3314" s="15"/>
      <c r="F3314" s="15"/>
      <c r="G3314" s="15"/>
      <c r="I3314" s="65"/>
      <c r="J3314" s="13"/>
      <c r="K3314" s="13" t="str">
        <f t="shared" si="412"/>
        <v/>
      </c>
      <c r="L3314" s="15"/>
      <c r="M3314" s="14"/>
      <c r="N3314" s="15"/>
      <c r="O3314" s="10" t="str">
        <f t="shared" si="79"/>
        <v/>
      </c>
      <c r="P3314" s="10" t="str">
        <f t="shared" si="411"/>
        <v/>
      </c>
      <c r="Q3314" s="15" t="str">
        <f t="array" ref="Q3314">IFERROR(XLOOKUP(N3314,'Classificação'!A:A,'Classificação'!B:B),"")</f>
        <v/>
      </c>
      <c r="S3314" s="15">
        <f t="shared" si="228"/>
        <v>30</v>
      </c>
      <c r="T3314" s="15">
        <f t="shared" si="128"/>
        <v>12</v>
      </c>
      <c r="U3314" s="15">
        <f t="shared" si="129"/>
        <v>1899</v>
      </c>
      <c r="V3314" s="15" t="str">
        <f t="shared" si="8"/>
        <v/>
      </c>
      <c r="W3314" s="15" t="str">
        <f t="shared" si="9"/>
        <v/>
      </c>
      <c r="X3314" s="15" t="str">
        <f t="shared" si="10"/>
        <v/>
      </c>
    </row>
    <row r="3315">
      <c r="A3315" s="10"/>
      <c r="B3315" s="10"/>
      <c r="C3315" s="9" t="str">
        <f t="shared" si="249"/>
        <v/>
      </c>
      <c r="D3315" s="15"/>
      <c r="E3315" s="15"/>
      <c r="F3315" s="15"/>
      <c r="G3315" s="15"/>
      <c r="I3315" s="65"/>
      <c r="J3315" s="13"/>
      <c r="K3315" s="13" t="str">
        <f t="shared" si="412"/>
        <v/>
      </c>
      <c r="L3315" s="15"/>
      <c r="M3315" s="14"/>
      <c r="N3315" s="15"/>
      <c r="O3315" s="10" t="str">
        <f t="shared" si="79"/>
        <v/>
      </c>
      <c r="P3315" s="10" t="str">
        <f t="shared" si="411"/>
        <v/>
      </c>
      <c r="Q3315" s="15" t="str">
        <f t="array" ref="Q3315">IFERROR(XLOOKUP(N3315,'Classificação'!A:A,'Classificação'!B:B),"")</f>
        <v/>
      </c>
      <c r="S3315" s="15">
        <f t="shared" si="228"/>
        <v>30</v>
      </c>
      <c r="T3315" s="15">
        <f t="shared" si="128"/>
        <v>12</v>
      </c>
      <c r="U3315" s="15">
        <f t="shared" si="129"/>
        <v>1899</v>
      </c>
      <c r="V3315" s="15" t="str">
        <f t="shared" si="8"/>
        <v/>
      </c>
      <c r="W3315" s="15" t="str">
        <f t="shared" si="9"/>
        <v/>
      </c>
      <c r="X3315" s="15" t="str">
        <f t="shared" si="10"/>
        <v/>
      </c>
    </row>
    <row r="3316">
      <c r="A3316" s="10"/>
      <c r="B3316" s="10"/>
      <c r="C3316" s="9" t="str">
        <f t="shared" si="249"/>
        <v/>
      </c>
      <c r="D3316" s="15"/>
      <c r="E3316" s="15"/>
      <c r="F3316" s="15"/>
      <c r="G3316" s="15"/>
      <c r="I3316" s="65"/>
      <c r="J3316" s="13"/>
      <c r="K3316" s="13" t="str">
        <f t="shared" si="412"/>
        <v/>
      </c>
      <c r="L3316" s="15"/>
      <c r="M3316" s="14"/>
      <c r="N3316" s="15"/>
      <c r="O3316" s="10" t="str">
        <f t="shared" si="79"/>
        <v/>
      </c>
      <c r="P3316" s="10" t="str">
        <f t="shared" si="411"/>
        <v/>
      </c>
      <c r="Q3316" s="15" t="str">
        <f t="array" ref="Q3316">IFERROR(XLOOKUP(N3316,'Classificação'!A:A,'Classificação'!B:B),"")</f>
        <v/>
      </c>
      <c r="S3316" s="15">
        <f t="shared" si="228"/>
        <v>30</v>
      </c>
      <c r="T3316" s="15">
        <f t="shared" si="128"/>
        <v>12</v>
      </c>
      <c r="U3316" s="15">
        <f t="shared" si="129"/>
        <v>1899</v>
      </c>
      <c r="V3316" s="15" t="str">
        <f t="shared" si="8"/>
        <v/>
      </c>
      <c r="W3316" s="15" t="str">
        <f t="shared" si="9"/>
        <v/>
      </c>
      <c r="X3316" s="15" t="str">
        <f t="shared" si="10"/>
        <v/>
      </c>
    </row>
    <row r="3317">
      <c r="A3317" s="10"/>
      <c r="B3317" s="10"/>
      <c r="C3317" s="9" t="str">
        <f t="shared" si="249"/>
        <v/>
      </c>
      <c r="D3317" s="15"/>
      <c r="E3317" s="15"/>
      <c r="F3317" s="15"/>
      <c r="G3317" s="15"/>
      <c r="I3317" s="65"/>
      <c r="J3317" s="13"/>
      <c r="K3317" s="13" t="str">
        <f t="shared" si="412"/>
        <v/>
      </c>
      <c r="L3317" s="15"/>
      <c r="M3317" s="14"/>
      <c r="N3317" s="15"/>
      <c r="O3317" s="10" t="str">
        <f t="shared" si="79"/>
        <v/>
      </c>
      <c r="P3317" s="10" t="str">
        <f t="shared" si="411"/>
        <v/>
      </c>
      <c r="Q3317" s="15" t="str">
        <f t="array" ref="Q3317">IFERROR(XLOOKUP(N3317,'Classificação'!A:A,'Classificação'!B:B),"")</f>
        <v/>
      </c>
      <c r="S3317" s="15">
        <f t="shared" si="228"/>
        <v>30</v>
      </c>
      <c r="T3317" s="15">
        <f t="shared" si="128"/>
        <v>12</v>
      </c>
      <c r="U3317" s="15">
        <f t="shared" si="129"/>
        <v>1899</v>
      </c>
      <c r="V3317" s="15" t="str">
        <f t="shared" si="8"/>
        <v/>
      </c>
      <c r="W3317" s="15" t="str">
        <f t="shared" si="9"/>
        <v/>
      </c>
      <c r="X3317" s="15" t="str">
        <f t="shared" si="10"/>
        <v/>
      </c>
    </row>
    <row r="3318">
      <c r="A3318" s="10"/>
      <c r="B3318" s="10"/>
      <c r="C3318" s="9" t="str">
        <f t="shared" si="249"/>
        <v/>
      </c>
      <c r="D3318" s="15"/>
      <c r="E3318" s="15"/>
      <c r="F3318" s="15"/>
      <c r="G3318" s="15"/>
      <c r="I3318" s="65"/>
      <c r="J3318" s="13"/>
      <c r="K3318" s="13" t="str">
        <f t="shared" si="412"/>
        <v/>
      </c>
      <c r="L3318" s="15"/>
      <c r="M3318" s="14"/>
      <c r="N3318" s="15"/>
      <c r="O3318" s="10" t="str">
        <f t="shared" si="79"/>
        <v/>
      </c>
      <c r="P3318" s="10" t="str">
        <f t="shared" si="411"/>
        <v/>
      </c>
      <c r="Q3318" s="15" t="str">
        <f t="array" ref="Q3318">IFERROR(XLOOKUP(N3318,'Classificação'!A:A,'Classificação'!B:B),"")</f>
        <v/>
      </c>
      <c r="S3318" s="15">
        <f t="shared" si="228"/>
        <v>30</v>
      </c>
      <c r="T3318" s="15">
        <f t="shared" si="128"/>
        <v>12</v>
      </c>
      <c r="U3318" s="15">
        <f t="shared" si="129"/>
        <v>1899</v>
      </c>
      <c r="V3318" s="15" t="str">
        <f t="shared" si="8"/>
        <v/>
      </c>
      <c r="W3318" s="15" t="str">
        <f t="shared" si="9"/>
        <v/>
      </c>
      <c r="X3318" s="15" t="str">
        <f t="shared" si="10"/>
        <v/>
      </c>
    </row>
    <row r="3319">
      <c r="A3319" s="10"/>
      <c r="B3319" s="10"/>
      <c r="C3319" s="9" t="str">
        <f t="shared" si="249"/>
        <v/>
      </c>
      <c r="D3319" s="15"/>
      <c r="E3319" s="15"/>
      <c r="F3319" s="15"/>
      <c r="G3319" s="15"/>
      <c r="I3319" s="65"/>
      <c r="J3319" s="13"/>
      <c r="K3319" s="13" t="str">
        <f t="shared" si="412"/>
        <v/>
      </c>
      <c r="L3319" s="15"/>
      <c r="M3319" s="14"/>
      <c r="N3319" s="15"/>
      <c r="O3319" s="10" t="str">
        <f t="shared" si="79"/>
        <v/>
      </c>
      <c r="P3319" s="10" t="str">
        <f t="shared" si="411"/>
        <v/>
      </c>
      <c r="Q3319" s="15" t="str">
        <f t="array" ref="Q3319">IFERROR(XLOOKUP(N3319,'Classificação'!A:A,'Classificação'!B:B),"")</f>
        <v/>
      </c>
      <c r="S3319" s="15">
        <f t="shared" si="228"/>
        <v>30</v>
      </c>
      <c r="T3319" s="15">
        <f t="shared" si="128"/>
        <v>12</v>
      </c>
      <c r="U3319" s="15">
        <f t="shared" si="129"/>
        <v>1899</v>
      </c>
      <c r="V3319" s="15" t="str">
        <f t="shared" si="8"/>
        <v/>
      </c>
      <c r="W3319" s="15" t="str">
        <f t="shared" si="9"/>
        <v/>
      </c>
      <c r="X3319" s="15" t="str">
        <f t="shared" si="10"/>
        <v/>
      </c>
    </row>
    <row r="3320">
      <c r="A3320" s="10"/>
      <c r="B3320" s="10"/>
      <c r="C3320" s="9" t="str">
        <f t="shared" si="249"/>
        <v/>
      </c>
      <c r="D3320" s="15"/>
      <c r="E3320" s="15"/>
      <c r="F3320" s="15"/>
      <c r="G3320" s="15"/>
      <c r="I3320" s="65"/>
      <c r="J3320" s="13"/>
      <c r="K3320" s="13" t="str">
        <f t="shared" si="412"/>
        <v/>
      </c>
      <c r="L3320" s="15"/>
      <c r="M3320" s="14"/>
      <c r="N3320" s="15"/>
      <c r="O3320" s="10" t="str">
        <f t="shared" si="79"/>
        <v/>
      </c>
      <c r="P3320" s="10" t="str">
        <f t="shared" si="411"/>
        <v/>
      </c>
      <c r="Q3320" s="15" t="str">
        <f t="array" ref="Q3320">IFERROR(XLOOKUP(N3320,'Classificação'!A:A,'Classificação'!B:B),"")</f>
        <v/>
      </c>
      <c r="S3320" s="15">
        <f t="shared" si="228"/>
        <v>30</v>
      </c>
      <c r="T3320" s="15">
        <f t="shared" si="128"/>
        <v>12</v>
      </c>
      <c r="U3320" s="15">
        <f t="shared" si="129"/>
        <v>1899</v>
      </c>
      <c r="V3320" s="15" t="str">
        <f t="shared" si="8"/>
        <v/>
      </c>
      <c r="W3320" s="15" t="str">
        <f t="shared" si="9"/>
        <v/>
      </c>
      <c r="X3320" s="15" t="str">
        <f t="shared" si="10"/>
        <v/>
      </c>
    </row>
    <row r="3321">
      <c r="A3321" s="10"/>
      <c r="B3321" s="10"/>
      <c r="C3321" s="9" t="str">
        <f t="shared" si="249"/>
        <v/>
      </c>
      <c r="D3321" s="15"/>
      <c r="E3321" s="15"/>
      <c r="F3321" s="15"/>
      <c r="G3321" s="15"/>
      <c r="I3321" s="65"/>
      <c r="J3321" s="13"/>
      <c r="K3321" s="13" t="str">
        <f t="shared" si="412"/>
        <v/>
      </c>
      <c r="L3321" s="15"/>
      <c r="M3321" s="14"/>
      <c r="N3321" s="15"/>
      <c r="O3321" s="10" t="str">
        <f t="shared" si="79"/>
        <v/>
      </c>
      <c r="P3321" s="10" t="str">
        <f t="shared" si="411"/>
        <v/>
      </c>
      <c r="Q3321" s="15" t="str">
        <f t="array" ref="Q3321">IFERROR(XLOOKUP(N3321,'Classificação'!A:A,'Classificação'!B:B),"")</f>
        <v/>
      </c>
      <c r="S3321" s="15">
        <f t="shared" si="228"/>
        <v>30</v>
      </c>
      <c r="T3321" s="15">
        <f t="shared" si="128"/>
        <v>12</v>
      </c>
      <c r="U3321" s="15">
        <f t="shared" si="129"/>
        <v>1899</v>
      </c>
      <c r="V3321" s="15" t="str">
        <f t="shared" si="8"/>
        <v/>
      </c>
      <c r="W3321" s="15" t="str">
        <f t="shared" si="9"/>
        <v/>
      </c>
      <c r="X3321" s="15" t="str">
        <f t="shared" si="10"/>
        <v/>
      </c>
    </row>
    <row r="3322">
      <c r="A3322" s="10"/>
      <c r="B3322" s="10"/>
      <c r="C3322" s="9" t="str">
        <f t="shared" si="249"/>
        <v/>
      </c>
      <c r="D3322" s="15"/>
      <c r="E3322" s="15"/>
      <c r="F3322" s="15"/>
      <c r="G3322" s="15"/>
      <c r="I3322" s="65"/>
      <c r="J3322" s="13"/>
      <c r="K3322" s="13" t="str">
        <f t="shared" si="412"/>
        <v/>
      </c>
      <c r="L3322" s="15"/>
      <c r="M3322" s="14"/>
      <c r="N3322" s="15"/>
      <c r="O3322" s="10" t="str">
        <f t="shared" si="79"/>
        <v/>
      </c>
      <c r="P3322" s="10" t="str">
        <f t="shared" si="411"/>
        <v/>
      </c>
      <c r="Q3322" s="15" t="str">
        <f t="array" ref="Q3322">IFERROR(XLOOKUP(N3322,'Classificação'!A:A,'Classificação'!B:B),"")</f>
        <v/>
      </c>
      <c r="S3322" s="15">
        <f t="shared" si="228"/>
        <v>30</v>
      </c>
      <c r="T3322" s="15">
        <f t="shared" si="128"/>
        <v>12</v>
      </c>
      <c r="U3322" s="15">
        <f t="shared" si="129"/>
        <v>1899</v>
      </c>
      <c r="V3322" s="15" t="str">
        <f t="shared" si="8"/>
        <v/>
      </c>
      <c r="W3322" s="15" t="str">
        <f t="shared" si="9"/>
        <v/>
      </c>
      <c r="X3322" s="15" t="str">
        <f t="shared" si="10"/>
        <v/>
      </c>
    </row>
    <row r="3323">
      <c r="A3323" s="10"/>
      <c r="B3323" s="10"/>
      <c r="C3323" s="9" t="str">
        <f t="shared" si="249"/>
        <v/>
      </c>
      <c r="D3323" s="15"/>
      <c r="E3323" s="15"/>
      <c r="F3323" s="15"/>
      <c r="G3323" s="15"/>
      <c r="I3323" s="65"/>
      <c r="J3323" s="13"/>
      <c r="K3323" s="13" t="str">
        <f t="shared" si="412"/>
        <v/>
      </c>
      <c r="L3323" s="15"/>
      <c r="M3323" s="14"/>
      <c r="N3323" s="15"/>
      <c r="O3323" s="10" t="str">
        <f t="shared" si="79"/>
        <v/>
      </c>
      <c r="P3323" s="10" t="str">
        <f t="shared" si="411"/>
        <v/>
      </c>
      <c r="Q3323" s="15" t="str">
        <f t="array" ref="Q3323">IFERROR(XLOOKUP(N3323,'Classificação'!A:A,'Classificação'!B:B),"")</f>
        <v/>
      </c>
      <c r="S3323" s="15">
        <f t="shared" si="228"/>
        <v>30</v>
      </c>
      <c r="T3323" s="15">
        <f t="shared" si="128"/>
        <v>12</v>
      </c>
      <c r="U3323" s="15">
        <f t="shared" si="129"/>
        <v>1899</v>
      </c>
      <c r="V3323" s="15" t="str">
        <f t="shared" si="8"/>
        <v/>
      </c>
      <c r="W3323" s="15" t="str">
        <f t="shared" si="9"/>
        <v/>
      </c>
      <c r="X3323" s="15" t="str">
        <f t="shared" si="10"/>
        <v/>
      </c>
    </row>
    <row r="3324">
      <c r="A3324" s="10"/>
      <c r="B3324" s="10"/>
      <c r="C3324" s="9" t="str">
        <f t="shared" si="249"/>
        <v/>
      </c>
      <c r="D3324" s="15"/>
      <c r="E3324" s="15"/>
      <c r="F3324" s="15"/>
      <c r="G3324" s="15"/>
      <c r="I3324" s="65"/>
      <c r="J3324" s="13"/>
      <c r="K3324" s="13" t="str">
        <f t="shared" si="412"/>
        <v/>
      </c>
      <c r="L3324" s="15"/>
      <c r="M3324" s="14"/>
      <c r="N3324" s="15"/>
      <c r="O3324" s="10" t="str">
        <f t="shared" si="79"/>
        <v/>
      </c>
      <c r="P3324" s="10" t="str">
        <f t="shared" si="411"/>
        <v/>
      </c>
      <c r="Q3324" s="15" t="str">
        <f t="array" ref="Q3324">IFERROR(XLOOKUP(N3324,'Classificação'!A:A,'Classificação'!B:B),"")</f>
        <v/>
      </c>
      <c r="S3324" s="15">
        <f t="shared" si="228"/>
        <v>30</v>
      </c>
      <c r="T3324" s="15">
        <f t="shared" si="128"/>
        <v>12</v>
      </c>
      <c r="U3324" s="15">
        <f t="shared" si="129"/>
        <v>1899</v>
      </c>
      <c r="V3324" s="15" t="str">
        <f t="shared" si="8"/>
        <v/>
      </c>
      <c r="W3324" s="15" t="str">
        <f t="shared" si="9"/>
        <v/>
      </c>
      <c r="X3324" s="15" t="str">
        <f t="shared" si="10"/>
        <v/>
      </c>
    </row>
    <row r="3325">
      <c r="A3325" s="10"/>
      <c r="B3325" s="10"/>
      <c r="C3325" s="9" t="str">
        <f t="shared" si="249"/>
        <v/>
      </c>
      <c r="D3325" s="15"/>
      <c r="E3325" s="15"/>
      <c r="F3325" s="15"/>
      <c r="G3325" s="15"/>
      <c r="I3325" s="65"/>
      <c r="J3325" s="13"/>
      <c r="K3325" s="13" t="str">
        <f t="shared" si="412"/>
        <v/>
      </c>
      <c r="L3325" s="15"/>
      <c r="M3325" s="14"/>
      <c r="N3325" s="15"/>
      <c r="O3325" s="10" t="str">
        <f t="shared" si="79"/>
        <v/>
      </c>
      <c r="P3325" s="10" t="str">
        <f t="shared" si="411"/>
        <v/>
      </c>
      <c r="Q3325" s="15" t="str">
        <f t="array" ref="Q3325">IFERROR(XLOOKUP(N3325,'Classificação'!A:A,'Classificação'!B:B),"")</f>
        <v/>
      </c>
      <c r="S3325" s="15">
        <f t="shared" si="228"/>
        <v>30</v>
      </c>
      <c r="T3325" s="15">
        <f t="shared" si="128"/>
        <v>12</v>
      </c>
      <c r="U3325" s="15">
        <f t="shared" si="129"/>
        <v>1899</v>
      </c>
      <c r="V3325" s="15" t="str">
        <f t="shared" si="8"/>
        <v/>
      </c>
      <c r="W3325" s="15" t="str">
        <f t="shared" si="9"/>
        <v/>
      </c>
      <c r="X3325" s="15" t="str">
        <f t="shared" si="10"/>
        <v/>
      </c>
    </row>
    <row r="3326">
      <c r="A3326" s="10"/>
      <c r="B3326" s="10"/>
      <c r="C3326" s="9" t="str">
        <f t="shared" si="249"/>
        <v/>
      </c>
      <c r="D3326" s="15"/>
      <c r="E3326" s="15"/>
      <c r="F3326" s="15"/>
      <c r="G3326" s="15"/>
      <c r="I3326" s="65"/>
      <c r="J3326" s="13"/>
      <c r="K3326" s="13" t="str">
        <f t="shared" si="412"/>
        <v/>
      </c>
      <c r="L3326" s="15"/>
      <c r="M3326" s="14"/>
      <c r="N3326" s="15"/>
      <c r="O3326" s="10" t="str">
        <f t="shared" si="79"/>
        <v/>
      </c>
      <c r="P3326" s="10" t="str">
        <f t="shared" si="411"/>
        <v/>
      </c>
      <c r="Q3326" s="15" t="str">
        <f t="array" ref="Q3326">IFERROR(XLOOKUP(N3326,'Classificação'!A:A,'Classificação'!B:B),"")</f>
        <v/>
      </c>
      <c r="S3326" s="15">
        <f t="shared" si="228"/>
        <v>30</v>
      </c>
      <c r="T3326" s="15">
        <f t="shared" si="128"/>
        <v>12</v>
      </c>
      <c r="U3326" s="15">
        <f t="shared" si="129"/>
        <v>1899</v>
      </c>
      <c r="V3326" s="15" t="str">
        <f t="shared" si="8"/>
        <v/>
      </c>
      <c r="W3326" s="15" t="str">
        <f t="shared" si="9"/>
        <v/>
      </c>
      <c r="X3326" s="15" t="str">
        <f t="shared" si="10"/>
        <v/>
      </c>
    </row>
    <row r="3327">
      <c r="A3327" s="10"/>
      <c r="B3327" s="10"/>
      <c r="C3327" s="9" t="str">
        <f t="shared" si="249"/>
        <v/>
      </c>
      <c r="D3327" s="15"/>
      <c r="E3327" s="15"/>
      <c r="F3327" s="15"/>
      <c r="G3327" s="15"/>
      <c r="I3327" s="65"/>
      <c r="J3327" s="13"/>
      <c r="K3327" s="13" t="str">
        <f t="shared" si="412"/>
        <v/>
      </c>
      <c r="L3327" s="15"/>
      <c r="M3327" s="14"/>
      <c r="N3327" s="15"/>
      <c r="O3327" s="10" t="str">
        <f t="shared" si="79"/>
        <v/>
      </c>
      <c r="P3327" s="10" t="str">
        <f t="shared" si="411"/>
        <v/>
      </c>
      <c r="Q3327" s="15" t="str">
        <f t="array" ref="Q3327">IFERROR(XLOOKUP(N3327,'Classificação'!A:A,'Classificação'!B:B),"")</f>
        <v/>
      </c>
      <c r="S3327" s="15">
        <f t="shared" si="228"/>
        <v>30</v>
      </c>
      <c r="T3327" s="15">
        <f t="shared" si="128"/>
        <v>12</v>
      </c>
      <c r="U3327" s="15">
        <f t="shared" si="129"/>
        <v>1899</v>
      </c>
      <c r="V3327" s="15" t="str">
        <f t="shared" si="8"/>
        <v/>
      </c>
      <c r="W3327" s="15" t="str">
        <f t="shared" si="9"/>
        <v/>
      </c>
      <c r="X3327" s="15" t="str">
        <f t="shared" si="10"/>
        <v/>
      </c>
    </row>
    <row r="3328">
      <c r="A3328" s="10"/>
      <c r="B3328" s="10"/>
      <c r="C3328" s="9" t="str">
        <f t="shared" si="249"/>
        <v/>
      </c>
      <c r="D3328" s="15"/>
      <c r="E3328" s="15"/>
      <c r="F3328" s="15"/>
      <c r="G3328" s="15"/>
      <c r="I3328" s="65"/>
      <c r="J3328" s="13"/>
      <c r="K3328" s="13" t="str">
        <f t="shared" si="412"/>
        <v/>
      </c>
      <c r="L3328" s="15"/>
      <c r="M3328" s="14"/>
      <c r="N3328" s="15"/>
      <c r="O3328" s="10" t="str">
        <f t="shared" si="79"/>
        <v/>
      </c>
      <c r="P3328" s="10" t="str">
        <f t="shared" si="411"/>
        <v/>
      </c>
      <c r="Q3328" s="15" t="str">
        <f t="array" ref="Q3328">IFERROR(XLOOKUP(N3328,'Classificação'!A:A,'Classificação'!B:B),"")</f>
        <v/>
      </c>
      <c r="S3328" s="15">
        <f t="shared" si="228"/>
        <v>30</v>
      </c>
      <c r="T3328" s="15">
        <f t="shared" si="128"/>
        <v>12</v>
      </c>
      <c r="U3328" s="15">
        <f t="shared" si="129"/>
        <v>1899</v>
      </c>
      <c r="V3328" s="15" t="str">
        <f t="shared" si="8"/>
        <v/>
      </c>
      <c r="W3328" s="15" t="str">
        <f t="shared" si="9"/>
        <v/>
      </c>
      <c r="X3328" s="15" t="str">
        <f t="shared" si="10"/>
        <v/>
      </c>
    </row>
    <row r="3329">
      <c r="A3329" s="10"/>
      <c r="B3329" s="10"/>
      <c r="C3329" s="9" t="str">
        <f t="shared" si="249"/>
        <v/>
      </c>
      <c r="D3329" s="15"/>
      <c r="E3329" s="15"/>
      <c r="F3329" s="15"/>
      <c r="G3329" s="15"/>
      <c r="I3329" s="65"/>
      <c r="J3329" s="13"/>
      <c r="K3329" s="13" t="str">
        <f t="shared" si="412"/>
        <v/>
      </c>
      <c r="L3329" s="15"/>
      <c r="M3329" s="14"/>
      <c r="N3329" s="15"/>
      <c r="O3329" s="10" t="str">
        <f t="shared" si="79"/>
        <v/>
      </c>
      <c r="P3329" s="10" t="str">
        <f t="shared" si="411"/>
        <v/>
      </c>
      <c r="Q3329" s="15" t="str">
        <f t="array" ref="Q3329">IFERROR(XLOOKUP(N3329,'Classificação'!A:A,'Classificação'!B:B),"")</f>
        <v/>
      </c>
      <c r="S3329" s="15">
        <f t="shared" si="228"/>
        <v>30</v>
      </c>
      <c r="T3329" s="15">
        <f t="shared" si="128"/>
        <v>12</v>
      </c>
      <c r="U3329" s="15">
        <f t="shared" si="129"/>
        <v>1899</v>
      </c>
      <c r="V3329" s="15" t="str">
        <f t="shared" si="8"/>
        <v/>
      </c>
      <c r="W3329" s="15" t="str">
        <f t="shared" si="9"/>
        <v/>
      </c>
      <c r="X3329" s="15" t="str">
        <f t="shared" si="10"/>
        <v/>
      </c>
    </row>
    <row r="3330">
      <c r="A3330" s="10"/>
      <c r="B3330" s="10"/>
      <c r="C3330" s="9" t="str">
        <f t="shared" si="249"/>
        <v/>
      </c>
      <c r="D3330" s="15"/>
      <c r="E3330" s="15"/>
      <c r="F3330" s="15"/>
      <c r="G3330" s="15"/>
      <c r="I3330" s="65"/>
      <c r="J3330" s="13"/>
      <c r="K3330" s="13" t="str">
        <f t="shared" si="412"/>
        <v/>
      </c>
      <c r="L3330" s="15"/>
      <c r="M3330" s="14"/>
      <c r="N3330" s="15"/>
      <c r="O3330" s="10" t="str">
        <f t="shared" si="79"/>
        <v/>
      </c>
      <c r="P3330" s="10" t="str">
        <f t="shared" si="411"/>
        <v/>
      </c>
      <c r="Q3330" s="15" t="str">
        <f t="array" ref="Q3330">IFERROR(XLOOKUP(N3330,'Classificação'!A:A,'Classificação'!B:B),"")</f>
        <v/>
      </c>
      <c r="S3330" s="15">
        <f t="shared" si="228"/>
        <v>30</v>
      </c>
      <c r="T3330" s="15">
        <f t="shared" si="128"/>
        <v>12</v>
      </c>
      <c r="U3330" s="15">
        <f t="shared" si="129"/>
        <v>1899</v>
      </c>
      <c r="V3330" s="15" t="str">
        <f t="shared" si="8"/>
        <v/>
      </c>
      <c r="W3330" s="15" t="str">
        <f t="shared" si="9"/>
        <v/>
      </c>
      <c r="X3330" s="15" t="str">
        <f t="shared" si="10"/>
        <v/>
      </c>
    </row>
    <row r="3331">
      <c r="A3331" s="10"/>
      <c r="B3331" s="10"/>
      <c r="C3331" s="9" t="str">
        <f t="shared" si="249"/>
        <v/>
      </c>
      <c r="D3331" s="15"/>
      <c r="E3331" s="15"/>
      <c r="F3331" s="15"/>
      <c r="G3331" s="15"/>
      <c r="I3331" s="65"/>
      <c r="J3331" s="13"/>
      <c r="K3331" s="13" t="str">
        <f t="shared" si="412"/>
        <v/>
      </c>
      <c r="L3331" s="15"/>
      <c r="M3331" s="14"/>
      <c r="N3331" s="15"/>
      <c r="O3331" s="10" t="str">
        <f t="shared" si="79"/>
        <v/>
      </c>
      <c r="P3331" s="10" t="str">
        <f t="shared" si="411"/>
        <v/>
      </c>
      <c r="Q3331" s="15" t="str">
        <f t="array" ref="Q3331">IFERROR(XLOOKUP(N3331,'Classificação'!A:A,'Classificação'!B:B),"")</f>
        <v/>
      </c>
      <c r="S3331" s="15">
        <f t="shared" si="228"/>
        <v>30</v>
      </c>
      <c r="T3331" s="15">
        <f t="shared" si="128"/>
        <v>12</v>
      </c>
      <c r="U3331" s="15">
        <f t="shared" si="129"/>
        <v>1899</v>
      </c>
      <c r="V3331" s="15" t="str">
        <f t="shared" si="8"/>
        <v/>
      </c>
      <c r="W3331" s="15" t="str">
        <f t="shared" si="9"/>
        <v/>
      </c>
      <c r="X3331" s="15" t="str">
        <f t="shared" si="10"/>
        <v/>
      </c>
    </row>
    <row r="3332">
      <c r="A3332" s="10"/>
      <c r="B3332" s="10"/>
      <c r="C3332" s="9" t="str">
        <f t="shared" si="249"/>
        <v/>
      </c>
      <c r="D3332" s="15"/>
      <c r="E3332" s="15"/>
      <c r="F3332" s="15"/>
      <c r="G3332" s="15"/>
      <c r="I3332" s="65"/>
      <c r="J3332" s="13"/>
      <c r="K3332" s="13" t="str">
        <f t="shared" si="412"/>
        <v/>
      </c>
      <c r="L3332" s="15"/>
      <c r="M3332" s="14"/>
      <c r="N3332" s="15"/>
      <c r="O3332" s="10" t="str">
        <f t="shared" si="79"/>
        <v/>
      </c>
      <c r="P3332" s="10" t="str">
        <f t="shared" si="411"/>
        <v/>
      </c>
      <c r="Q3332" s="15" t="str">
        <f t="array" ref="Q3332">IFERROR(XLOOKUP(N3332,'Classificação'!A:A,'Classificação'!B:B),"")</f>
        <v/>
      </c>
      <c r="S3332" s="15">
        <f t="shared" si="228"/>
        <v>30</v>
      </c>
      <c r="T3332" s="15">
        <f t="shared" si="128"/>
        <v>12</v>
      </c>
      <c r="U3332" s="15">
        <f t="shared" si="129"/>
        <v>1899</v>
      </c>
      <c r="V3332" s="15" t="str">
        <f t="shared" si="8"/>
        <v/>
      </c>
      <c r="W3332" s="15" t="str">
        <f t="shared" si="9"/>
        <v/>
      </c>
      <c r="X3332" s="15" t="str">
        <f t="shared" si="10"/>
        <v/>
      </c>
    </row>
    <row r="3333">
      <c r="A3333" s="10"/>
      <c r="B3333" s="10"/>
      <c r="C3333" s="9" t="str">
        <f t="shared" si="249"/>
        <v/>
      </c>
      <c r="D3333" s="15"/>
      <c r="E3333" s="15"/>
      <c r="F3333" s="15"/>
      <c r="G3333" s="15"/>
      <c r="I3333" s="65"/>
      <c r="J3333" s="13"/>
      <c r="K3333" s="13" t="str">
        <f t="shared" si="412"/>
        <v/>
      </c>
      <c r="L3333" s="15"/>
      <c r="M3333" s="14"/>
      <c r="N3333" s="15"/>
      <c r="O3333" s="10" t="str">
        <f t="shared" si="79"/>
        <v/>
      </c>
      <c r="P3333" s="10" t="str">
        <f t="shared" si="411"/>
        <v/>
      </c>
      <c r="Q3333" s="15" t="str">
        <f t="array" ref="Q3333">IFERROR(XLOOKUP(N3333,'Classificação'!A:A,'Classificação'!B:B),"")</f>
        <v/>
      </c>
      <c r="S3333" s="15">
        <f t="shared" si="228"/>
        <v>30</v>
      </c>
      <c r="T3333" s="15">
        <f t="shared" si="128"/>
        <v>12</v>
      </c>
      <c r="U3333" s="15">
        <f t="shared" si="129"/>
        <v>1899</v>
      </c>
      <c r="V3333" s="15" t="str">
        <f t="shared" si="8"/>
        <v/>
      </c>
      <c r="W3333" s="15" t="str">
        <f t="shared" si="9"/>
        <v/>
      </c>
      <c r="X3333" s="15" t="str">
        <f t="shared" si="10"/>
        <v/>
      </c>
    </row>
    <row r="3334">
      <c r="A3334" s="10"/>
      <c r="B3334" s="10"/>
      <c r="C3334" s="9" t="str">
        <f t="shared" si="249"/>
        <v/>
      </c>
      <c r="D3334" s="15"/>
      <c r="E3334" s="15"/>
      <c r="F3334" s="15"/>
      <c r="G3334" s="15"/>
      <c r="I3334" s="65"/>
      <c r="J3334" s="13"/>
      <c r="K3334" s="13" t="str">
        <f t="shared" si="412"/>
        <v/>
      </c>
      <c r="L3334" s="15"/>
      <c r="M3334" s="14"/>
      <c r="N3334" s="15"/>
      <c r="O3334" s="10" t="str">
        <f t="shared" si="79"/>
        <v/>
      </c>
      <c r="P3334" s="10" t="str">
        <f t="shared" si="411"/>
        <v/>
      </c>
      <c r="Q3334" s="15" t="str">
        <f t="array" ref="Q3334">IFERROR(XLOOKUP(N3334,'Classificação'!A:A,'Classificação'!B:B),"")</f>
        <v/>
      </c>
      <c r="S3334" s="15">
        <f t="shared" si="228"/>
        <v>30</v>
      </c>
      <c r="T3334" s="15">
        <f t="shared" si="128"/>
        <v>12</v>
      </c>
      <c r="U3334" s="15">
        <f t="shared" si="129"/>
        <v>1899</v>
      </c>
      <c r="V3334" s="15" t="str">
        <f t="shared" si="8"/>
        <v/>
      </c>
      <c r="W3334" s="15" t="str">
        <f t="shared" si="9"/>
        <v/>
      </c>
      <c r="X3334" s="15" t="str">
        <f t="shared" si="10"/>
        <v/>
      </c>
    </row>
    <row r="3335">
      <c r="A3335" s="10"/>
      <c r="B3335" s="10"/>
      <c r="C3335" s="9" t="str">
        <f t="shared" si="249"/>
        <v/>
      </c>
      <c r="D3335" s="15"/>
      <c r="E3335" s="15"/>
      <c r="F3335" s="15"/>
      <c r="G3335" s="15"/>
      <c r="I3335" s="65"/>
      <c r="J3335" s="13"/>
      <c r="K3335" s="13" t="str">
        <f t="shared" si="412"/>
        <v/>
      </c>
      <c r="L3335" s="15"/>
      <c r="M3335" s="14"/>
      <c r="N3335" s="15"/>
      <c r="O3335" s="10" t="str">
        <f t="shared" si="79"/>
        <v/>
      </c>
      <c r="P3335" s="10" t="str">
        <f t="shared" si="411"/>
        <v/>
      </c>
      <c r="Q3335" s="15" t="str">
        <f t="array" ref="Q3335">IFERROR(XLOOKUP(N3335,'Classificação'!A:A,'Classificação'!B:B),"")</f>
        <v/>
      </c>
      <c r="S3335" s="15">
        <f t="shared" si="228"/>
        <v>30</v>
      </c>
      <c r="T3335" s="15">
        <f t="shared" si="128"/>
        <v>12</v>
      </c>
      <c r="U3335" s="15">
        <f t="shared" si="129"/>
        <v>1899</v>
      </c>
      <c r="V3335" s="15" t="str">
        <f t="shared" si="8"/>
        <v/>
      </c>
      <c r="W3335" s="15" t="str">
        <f t="shared" si="9"/>
        <v/>
      </c>
      <c r="X3335" s="15" t="str">
        <f t="shared" si="10"/>
        <v/>
      </c>
    </row>
    <row r="3336">
      <c r="A3336" s="10"/>
      <c r="B3336" s="10"/>
      <c r="C3336" s="9" t="str">
        <f t="shared" si="249"/>
        <v/>
      </c>
      <c r="D3336" s="15"/>
      <c r="E3336" s="15"/>
      <c r="F3336" s="15"/>
      <c r="G3336" s="15"/>
      <c r="I3336" s="65"/>
      <c r="J3336" s="13"/>
      <c r="K3336" s="13" t="str">
        <f t="shared" si="412"/>
        <v/>
      </c>
      <c r="L3336" s="15"/>
      <c r="M3336" s="14"/>
      <c r="N3336" s="15"/>
      <c r="O3336" s="10" t="str">
        <f t="shared" si="79"/>
        <v/>
      </c>
      <c r="P3336" s="10" t="str">
        <f t="shared" si="411"/>
        <v/>
      </c>
      <c r="Q3336" s="15" t="str">
        <f t="array" ref="Q3336">IFERROR(XLOOKUP(N3336,'Classificação'!A:A,'Classificação'!B:B),"")</f>
        <v/>
      </c>
      <c r="S3336" s="15">
        <f t="shared" si="228"/>
        <v>30</v>
      </c>
      <c r="T3336" s="15">
        <f t="shared" si="128"/>
        <v>12</v>
      </c>
      <c r="U3336" s="15">
        <f t="shared" si="129"/>
        <v>1899</v>
      </c>
      <c r="V3336" s="15" t="str">
        <f t="shared" si="8"/>
        <v/>
      </c>
      <c r="W3336" s="15" t="str">
        <f t="shared" si="9"/>
        <v/>
      </c>
      <c r="X3336" s="15" t="str">
        <f t="shared" si="10"/>
        <v/>
      </c>
    </row>
    <row r="3337">
      <c r="A3337" s="10"/>
      <c r="B3337" s="10"/>
      <c r="C3337" s="9" t="str">
        <f t="shared" si="249"/>
        <v/>
      </c>
      <c r="D3337" s="15"/>
      <c r="E3337" s="15"/>
      <c r="F3337" s="15"/>
      <c r="G3337" s="15"/>
      <c r="I3337" s="65"/>
      <c r="J3337" s="13"/>
      <c r="K3337" s="13" t="str">
        <f t="shared" si="412"/>
        <v/>
      </c>
      <c r="L3337" s="15"/>
      <c r="M3337" s="14"/>
      <c r="N3337" s="15"/>
      <c r="O3337" s="10" t="str">
        <f t="shared" si="79"/>
        <v/>
      </c>
      <c r="P3337" s="10" t="str">
        <f t="shared" si="411"/>
        <v/>
      </c>
      <c r="Q3337" s="15" t="str">
        <f t="array" ref="Q3337">IFERROR(XLOOKUP(N3337,'Classificação'!A:A,'Classificação'!B:B),"")</f>
        <v/>
      </c>
      <c r="S3337" s="15">
        <f t="shared" si="228"/>
        <v>30</v>
      </c>
      <c r="T3337" s="15">
        <f t="shared" si="128"/>
        <v>12</v>
      </c>
      <c r="U3337" s="15">
        <f t="shared" si="129"/>
        <v>1899</v>
      </c>
      <c r="V3337" s="15" t="str">
        <f t="shared" si="8"/>
        <v/>
      </c>
      <c r="W3337" s="15" t="str">
        <f t="shared" si="9"/>
        <v/>
      </c>
      <c r="X3337" s="15" t="str">
        <f t="shared" si="10"/>
        <v/>
      </c>
    </row>
    <row r="3338">
      <c r="A3338" s="10"/>
      <c r="B3338" s="10"/>
      <c r="C3338" s="9" t="str">
        <f t="shared" si="249"/>
        <v/>
      </c>
      <c r="D3338" s="15"/>
      <c r="E3338" s="15"/>
      <c r="F3338" s="15"/>
      <c r="G3338" s="15"/>
      <c r="I3338" s="65"/>
      <c r="J3338" s="13"/>
      <c r="K3338" s="13" t="str">
        <f t="shared" si="412"/>
        <v/>
      </c>
      <c r="L3338" s="15"/>
      <c r="M3338" s="14"/>
      <c r="N3338" s="15"/>
      <c r="O3338" s="10" t="str">
        <f t="shared" si="79"/>
        <v/>
      </c>
      <c r="P3338" s="10" t="str">
        <f t="shared" si="411"/>
        <v/>
      </c>
      <c r="Q3338" s="15" t="str">
        <f t="array" ref="Q3338">IFERROR(XLOOKUP(N3338,'Classificação'!A:A,'Classificação'!B:B),"")</f>
        <v/>
      </c>
      <c r="S3338" s="15">
        <f t="shared" si="228"/>
        <v>30</v>
      </c>
      <c r="T3338" s="15">
        <f t="shared" si="128"/>
        <v>12</v>
      </c>
      <c r="U3338" s="15">
        <f t="shared" si="129"/>
        <v>1899</v>
      </c>
      <c r="V3338" s="15" t="str">
        <f t="shared" si="8"/>
        <v/>
      </c>
      <c r="W3338" s="15" t="str">
        <f t="shared" si="9"/>
        <v/>
      </c>
      <c r="X3338" s="15" t="str">
        <f t="shared" si="10"/>
        <v/>
      </c>
    </row>
    <row r="3339">
      <c r="A3339" s="10"/>
      <c r="B3339" s="10"/>
      <c r="C3339" s="9" t="str">
        <f t="shared" si="249"/>
        <v/>
      </c>
      <c r="D3339" s="15"/>
      <c r="E3339" s="15"/>
      <c r="F3339" s="15"/>
      <c r="G3339" s="15"/>
      <c r="I3339" s="65"/>
      <c r="J3339" s="13"/>
      <c r="K3339" s="13" t="str">
        <f t="shared" si="412"/>
        <v/>
      </c>
      <c r="L3339" s="15"/>
      <c r="M3339" s="14"/>
      <c r="N3339" s="15"/>
      <c r="O3339" s="10" t="str">
        <f t="shared" si="79"/>
        <v/>
      </c>
      <c r="P3339" s="10" t="str">
        <f t="shared" si="411"/>
        <v/>
      </c>
      <c r="Q3339" s="15" t="str">
        <f t="array" ref="Q3339">IFERROR(XLOOKUP(N3339,'Classificação'!A:A,'Classificação'!B:B),"")</f>
        <v/>
      </c>
      <c r="S3339" s="15">
        <f t="shared" si="228"/>
        <v>30</v>
      </c>
      <c r="T3339" s="15">
        <f t="shared" si="128"/>
        <v>12</v>
      </c>
      <c r="U3339" s="15">
        <f t="shared" si="129"/>
        <v>1899</v>
      </c>
      <c r="V3339" s="15" t="str">
        <f t="shared" si="8"/>
        <v/>
      </c>
      <c r="W3339" s="15" t="str">
        <f t="shared" si="9"/>
        <v/>
      </c>
      <c r="X3339" s="15" t="str">
        <f t="shared" si="10"/>
        <v/>
      </c>
    </row>
    <row r="3340">
      <c r="A3340" s="10"/>
      <c r="B3340" s="10"/>
      <c r="C3340" s="9" t="str">
        <f t="shared" si="249"/>
        <v/>
      </c>
      <c r="D3340" s="15"/>
      <c r="E3340" s="15"/>
      <c r="F3340" s="15"/>
      <c r="G3340" s="15"/>
      <c r="I3340" s="65"/>
      <c r="J3340" s="13"/>
      <c r="K3340" s="13" t="str">
        <f t="shared" si="412"/>
        <v/>
      </c>
      <c r="L3340" s="15"/>
      <c r="M3340" s="14"/>
      <c r="N3340" s="15"/>
      <c r="O3340" s="10" t="str">
        <f t="shared" si="79"/>
        <v/>
      </c>
      <c r="P3340" s="10" t="str">
        <f t="shared" si="411"/>
        <v/>
      </c>
      <c r="Q3340" s="15" t="str">
        <f t="array" ref="Q3340">IFERROR(XLOOKUP(N3340,'Classificação'!A:A,'Classificação'!B:B),"")</f>
        <v/>
      </c>
      <c r="S3340" s="15">
        <f t="shared" si="228"/>
        <v>30</v>
      </c>
      <c r="T3340" s="15">
        <f t="shared" si="128"/>
        <v>12</v>
      </c>
      <c r="U3340" s="15">
        <f t="shared" si="129"/>
        <v>1899</v>
      </c>
      <c r="V3340" s="15" t="str">
        <f t="shared" si="8"/>
        <v/>
      </c>
      <c r="W3340" s="15" t="str">
        <f t="shared" si="9"/>
        <v/>
      </c>
      <c r="X3340" s="15" t="str">
        <f t="shared" si="10"/>
        <v/>
      </c>
    </row>
    <row r="3341">
      <c r="A3341" s="10"/>
      <c r="B3341" s="10"/>
      <c r="C3341" s="9" t="str">
        <f t="shared" si="249"/>
        <v/>
      </c>
      <c r="D3341" s="15"/>
      <c r="E3341" s="15"/>
      <c r="F3341" s="15"/>
      <c r="G3341" s="15"/>
      <c r="I3341" s="65"/>
      <c r="J3341" s="13"/>
      <c r="K3341" s="13" t="str">
        <f t="shared" si="412"/>
        <v/>
      </c>
      <c r="L3341" s="15"/>
      <c r="M3341" s="14"/>
      <c r="N3341" s="15"/>
      <c r="O3341" s="10" t="str">
        <f t="shared" si="79"/>
        <v/>
      </c>
      <c r="P3341" s="10" t="str">
        <f t="shared" si="411"/>
        <v/>
      </c>
      <c r="Q3341" s="15" t="str">
        <f t="array" ref="Q3341">IFERROR(XLOOKUP(N3341,'Classificação'!A:A,'Classificação'!B:B),"")</f>
        <v/>
      </c>
      <c r="S3341" s="15">
        <f t="shared" si="228"/>
        <v>30</v>
      </c>
      <c r="T3341" s="15">
        <f t="shared" si="128"/>
        <v>12</v>
      </c>
      <c r="U3341" s="15">
        <f t="shared" si="129"/>
        <v>1899</v>
      </c>
      <c r="V3341" s="15" t="str">
        <f t="shared" si="8"/>
        <v/>
      </c>
      <c r="W3341" s="15" t="str">
        <f t="shared" si="9"/>
        <v/>
      </c>
      <c r="X3341" s="15" t="str">
        <f t="shared" si="10"/>
        <v/>
      </c>
    </row>
    <row r="3342">
      <c r="A3342" s="10"/>
      <c r="B3342" s="10"/>
      <c r="C3342" s="9" t="str">
        <f t="shared" si="249"/>
        <v/>
      </c>
      <c r="D3342" s="15"/>
      <c r="E3342" s="15"/>
      <c r="F3342" s="15"/>
      <c r="G3342" s="15"/>
      <c r="I3342" s="65"/>
      <c r="J3342" s="13"/>
      <c r="K3342" s="13" t="str">
        <f t="shared" si="412"/>
        <v/>
      </c>
      <c r="L3342" s="15"/>
      <c r="M3342" s="14"/>
      <c r="N3342" s="15"/>
      <c r="O3342" s="10" t="str">
        <f t="shared" si="79"/>
        <v/>
      </c>
      <c r="P3342" s="10" t="str">
        <f t="shared" si="411"/>
        <v/>
      </c>
      <c r="Q3342" s="15" t="str">
        <f t="array" ref="Q3342">IFERROR(XLOOKUP(N3342,'Classificação'!A:A,'Classificação'!B:B),"")</f>
        <v/>
      </c>
      <c r="S3342" s="15">
        <f t="shared" si="228"/>
        <v>30</v>
      </c>
      <c r="T3342" s="15">
        <f t="shared" si="128"/>
        <v>12</v>
      </c>
      <c r="U3342" s="15">
        <f t="shared" si="129"/>
        <v>1899</v>
      </c>
      <c r="V3342" s="15" t="str">
        <f t="shared" si="8"/>
        <v/>
      </c>
      <c r="W3342" s="15" t="str">
        <f t="shared" si="9"/>
        <v/>
      </c>
      <c r="X3342" s="15" t="str">
        <f t="shared" si="10"/>
        <v/>
      </c>
    </row>
    <row r="3343">
      <c r="A3343" s="10"/>
      <c r="B3343" s="10"/>
      <c r="C3343" s="9" t="str">
        <f t="shared" si="249"/>
        <v/>
      </c>
      <c r="D3343" s="15"/>
      <c r="E3343" s="15"/>
      <c r="F3343" s="15"/>
      <c r="G3343" s="15"/>
      <c r="I3343" s="65"/>
      <c r="J3343" s="13"/>
      <c r="K3343" s="13" t="str">
        <f t="shared" si="412"/>
        <v/>
      </c>
      <c r="L3343" s="15"/>
      <c r="M3343" s="14"/>
      <c r="N3343" s="15"/>
      <c r="O3343" s="10" t="str">
        <f t="shared" si="79"/>
        <v/>
      </c>
      <c r="P3343" s="10" t="str">
        <f t="shared" si="411"/>
        <v/>
      </c>
      <c r="Q3343" s="15" t="str">
        <f t="array" ref="Q3343">IFERROR(XLOOKUP(N3343,'Classificação'!A:A,'Classificação'!B:B),"")</f>
        <v/>
      </c>
      <c r="S3343" s="15">
        <f t="shared" si="228"/>
        <v>30</v>
      </c>
      <c r="T3343" s="15">
        <f t="shared" si="128"/>
        <v>12</v>
      </c>
      <c r="U3343" s="15">
        <f t="shared" si="129"/>
        <v>1899</v>
      </c>
      <c r="V3343" s="15" t="str">
        <f t="shared" si="8"/>
        <v/>
      </c>
      <c r="W3343" s="15" t="str">
        <f t="shared" si="9"/>
        <v/>
      </c>
      <c r="X3343" s="15" t="str">
        <f t="shared" si="10"/>
        <v/>
      </c>
    </row>
    <row r="3344">
      <c r="A3344" s="10"/>
      <c r="B3344" s="10"/>
      <c r="C3344" s="9" t="str">
        <f t="shared" si="249"/>
        <v/>
      </c>
      <c r="D3344" s="15"/>
      <c r="E3344" s="15"/>
      <c r="F3344" s="15"/>
      <c r="G3344" s="15"/>
      <c r="I3344" s="65"/>
      <c r="J3344" s="13"/>
      <c r="K3344" s="13" t="str">
        <f t="shared" si="412"/>
        <v/>
      </c>
      <c r="L3344" s="15"/>
      <c r="M3344" s="14"/>
      <c r="N3344" s="15"/>
      <c r="O3344" s="10" t="str">
        <f t="shared" si="79"/>
        <v/>
      </c>
      <c r="P3344" s="10" t="str">
        <f t="shared" si="411"/>
        <v/>
      </c>
      <c r="Q3344" s="15" t="str">
        <f t="array" ref="Q3344">IFERROR(XLOOKUP(N3344,'Classificação'!A:A,'Classificação'!B:B),"")</f>
        <v/>
      </c>
      <c r="S3344" s="15">
        <f t="shared" si="228"/>
        <v>30</v>
      </c>
      <c r="T3344" s="15">
        <f t="shared" si="128"/>
        <v>12</v>
      </c>
      <c r="U3344" s="15">
        <f t="shared" si="129"/>
        <v>1899</v>
      </c>
      <c r="V3344" s="15" t="str">
        <f t="shared" si="8"/>
        <v/>
      </c>
      <c r="W3344" s="15" t="str">
        <f t="shared" si="9"/>
        <v/>
      </c>
      <c r="X3344" s="15" t="str">
        <f t="shared" si="10"/>
        <v/>
      </c>
    </row>
    <row r="3345">
      <c r="A3345" s="10"/>
      <c r="B3345" s="10"/>
      <c r="C3345" s="9" t="str">
        <f t="shared" si="249"/>
        <v/>
      </c>
      <c r="D3345" s="15"/>
      <c r="E3345" s="15"/>
      <c r="F3345" s="15"/>
      <c r="G3345" s="15"/>
      <c r="I3345" s="65"/>
      <c r="J3345" s="13"/>
      <c r="K3345" s="13" t="str">
        <f t="shared" si="412"/>
        <v/>
      </c>
      <c r="L3345" s="15"/>
      <c r="M3345" s="14"/>
      <c r="N3345" s="15"/>
      <c r="O3345" s="10" t="str">
        <f t="shared" si="79"/>
        <v/>
      </c>
      <c r="P3345" s="10" t="str">
        <f t="shared" si="411"/>
        <v/>
      </c>
      <c r="Q3345" s="15" t="str">
        <f t="array" ref="Q3345">IFERROR(XLOOKUP(N3345,'Classificação'!A:A,'Classificação'!B:B),"")</f>
        <v/>
      </c>
      <c r="S3345" s="15">
        <f t="shared" si="228"/>
        <v>30</v>
      </c>
      <c r="T3345" s="15">
        <f t="shared" si="128"/>
        <v>12</v>
      </c>
      <c r="U3345" s="15">
        <f t="shared" si="129"/>
        <v>1899</v>
      </c>
      <c r="V3345" s="15" t="str">
        <f t="shared" si="8"/>
        <v/>
      </c>
      <c r="W3345" s="15" t="str">
        <f t="shared" si="9"/>
        <v/>
      </c>
      <c r="X3345" s="15" t="str">
        <f t="shared" si="10"/>
        <v/>
      </c>
    </row>
    <row r="3346">
      <c r="A3346" s="10"/>
      <c r="B3346" s="10"/>
      <c r="C3346" s="9" t="str">
        <f t="shared" si="249"/>
        <v/>
      </c>
      <c r="D3346" s="15"/>
      <c r="E3346" s="15"/>
      <c r="F3346" s="15"/>
      <c r="G3346" s="15"/>
      <c r="I3346" s="65"/>
      <c r="J3346" s="13"/>
      <c r="K3346" s="13" t="str">
        <f t="shared" si="412"/>
        <v/>
      </c>
      <c r="L3346" s="15"/>
      <c r="M3346" s="14"/>
      <c r="N3346" s="15"/>
      <c r="O3346" s="10" t="str">
        <f t="shared" si="79"/>
        <v/>
      </c>
      <c r="P3346" s="10" t="str">
        <f t="shared" si="411"/>
        <v/>
      </c>
      <c r="Q3346" s="15" t="str">
        <f t="array" ref="Q3346">IFERROR(XLOOKUP(N3346,'Classificação'!A:A,'Classificação'!B:B),"")</f>
        <v/>
      </c>
      <c r="S3346" s="15">
        <f t="shared" si="228"/>
        <v>30</v>
      </c>
      <c r="T3346" s="15">
        <f t="shared" si="128"/>
        <v>12</v>
      </c>
      <c r="U3346" s="15">
        <f t="shared" si="129"/>
        <v>1899</v>
      </c>
      <c r="V3346" s="15" t="str">
        <f t="shared" si="8"/>
        <v/>
      </c>
      <c r="W3346" s="15" t="str">
        <f t="shared" si="9"/>
        <v/>
      </c>
      <c r="X3346" s="15" t="str">
        <f t="shared" si="10"/>
        <v/>
      </c>
    </row>
    <row r="3347">
      <c r="A3347" s="10"/>
      <c r="B3347" s="10"/>
      <c r="C3347" s="9" t="str">
        <f t="shared" si="249"/>
        <v/>
      </c>
      <c r="D3347" s="15"/>
      <c r="E3347" s="15"/>
      <c r="F3347" s="15"/>
      <c r="G3347" s="15"/>
      <c r="I3347" s="65"/>
      <c r="J3347" s="13"/>
      <c r="K3347" s="13" t="str">
        <f t="shared" si="412"/>
        <v/>
      </c>
      <c r="L3347" s="15"/>
      <c r="M3347" s="14"/>
      <c r="N3347" s="15"/>
      <c r="O3347" s="10" t="str">
        <f t="shared" si="79"/>
        <v/>
      </c>
      <c r="P3347" s="10" t="str">
        <f t="shared" si="411"/>
        <v/>
      </c>
      <c r="Q3347" s="15" t="str">
        <f t="array" ref="Q3347">IFERROR(XLOOKUP(N3347,'Classificação'!A:A,'Classificação'!B:B),"")</f>
        <v/>
      </c>
      <c r="S3347" s="15">
        <f t="shared" si="228"/>
        <v>30</v>
      </c>
      <c r="T3347" s="15">
        <f t="shared" si="128"/>
        <v>12</v>
      </c>
      <c r="U3347" s="15">
        <f t="shared" si="129"/>
        <v>1899</v>
      </c>
      <c r="V3347" s="15" t="str">
        <f t="shared" si="8"/>
        <v/>
      </c>
      <c r="W3347" s="15" t="str">
        <f t="shared" si="9"/>
        <v/>
      </c>
      <c r="X3347" s="15" t="str">
        <f t="shared" si="10"/>
        <v/>
      </c>
    </row>
    <row r="3348">
      <c r="A3348" s="10"/>
      <c r="B3348" s="10"/>
      <c r="C3348" s="9" t="str">
        <f t="shared" si="249"/>
        <v/>
      </c>
      <c r="D3348" s="15"/>
      <c r="E3348" s="15"/>
      <c r="F3348" s="15"/>
      <c r="G3348" s="15"/>
      <c r="I3348" s="65"/>
      <c r="J3348" s="13"/>
      <c r="K3348" s="13" t="str">
        <f t="shared" si="412"/>
        <v/>
      </c>
      <c r="L3348" s="15"/>
      <c r="M3348" s="14"/>
      <c r="N3348" s="15"/>
      <c r="O3348" s="10" t="str">
        <f t="shared" si="79"/>
        <v/>
      </c>
      <c r="P3348" s="10" t="str">
        <f t="shared" si="411"/>
        <v/>
      </c>
      <c r="Q3348" s="15" t="str">
        <f t="array" ref="Q3348">IFERROR(XLOOKUP(N3348,'Classificação'!A:A,'Classificação'!B:B),"")</f>
        <v/>
      </c>
      <c r="S3348" s="15">
        <f t="shared" si="228"/>
        <v>30</v>
      </c>
      <c r="T3348" s="15">
        <f t="shared" si="128"/>
        <v>12</v>
      </c>
      <c r="U3348" s="15">
        <f t="shared" si="129"/>
        <v>1899</v>
      </c>
      <c r="V3348" s="15" t="str">
        <f t="shared" si="8"/>
        <v/>
      </c>
      <c r="W3348" s="15" t="str">
        <f t="shared" si="9"/>
        <v/>
      </c>
      <c r="X3348" s="15" t="str">
        <f t="shared" si="10"/>
        <v/>
      </c>
    </row>
    <row r="3349">
      <c r="A3349" s="10"/>
      <c r="B3349" s="10"/>
      <c r="C3349" s="9" t="str">
        <f t="shared" si="249"/>
        <v/>
      </c>
      <c r="D3349" s="15"/>
      <c r="E3349" s="15"/>
      <c r="F3349" s="15"/>
      <c r="G3349" s="15"/>
      <c r="I3349" s="65"/>
      <c r="J3349" s="13"/>
      <c r="K3349" s="13" t="str">
        <f t="shared" si="412"/>
        <v/>
      </c>
      <c r="L3349" s="15"/>
      <c r="M3349" s="14"/>
      <c r="N3349" s="15"/>
      <c r="O3349" s="10" t="str">
        <f t="shared" si="79"/>
        <v/>
      </c>
      <c r="P3349" s="10" t="str">
        <f t="shared" si="411"/>
        <v/>
      </c>
      <c r="Q3349" s="15" t="str">
        <f t="array" ref="Q3349">IFERROR(XLOOKUP(N3349,'Classificação'!A:A,'Classificação'!B:B),"")</f>
        <v/>
      </c>
      <c r="S3349" s="15">
        <f t="shared" si="228"/>
        <v>30</v>
      </c>
      <c r="T3349" s="15">
        <f t="shared" si="128"/>
        <v>12</v>
      </c>
      <c r="U3349" s="15">
        <f t="shared" si="129"/>
        <v>1899</v>
      </c>
      <c r="V3349" s="15" t="str">
        <f t="shared" si="8"/>
        <v/>
      </c>
      <c r="W3349" s="15" t="str">
        <f t="shared" si="9"/>
        <v/>
      </c>
      <c r="X3349" s="15" t="str">
        <f t="shared" si="10"/>
        <v/>
      </c>
    </row>
    <row r="3350">
      <c r="A3350" s="10"/>
      <c r="B3350" s="10"/>
      <c r="C3350" s="9" t="str">
        <f t="shared" si="249"/>
        <v/>
      </c>
      <c r="D3350" s="15"/>
      <c r="E3350" s="15"/>
      <c r="F3350" s="15"/>
      <c r="G3350" s="15"/>
      <c r="I3350" s="65"/>
      <c r="J3350" s="13"/>
      <c r="K3350" s="13" t="str">
        <f t="shared" si="412"/>
        <v/>
      </c>
      <c r="L3350" s="15"/>
      <c r="M3350" s="14"/>
      <c r="N3350" s="15"/>
      <c r="O3350" s="10" t="str">
        <f t="shared" si="79"/>
        <v/>
      </c>
      <c r="P3350" s="10" t="str">
        <f t="shared" si="411"/>
        <v/>
      </c>
      <c r="Q3350" s="15" t="str">
        <f t="array" ref="Q3350">IFERROR(XLOOKUP(N3350,'Classificação'!A:A,'Classificação'!B:B),"")</f>
        <v/>
      </c>
      <c r="S3350" s="15">
        <f t="shared" si="228"/>
        <v>30</v>
      </c>
      <c r="T3350" s="15">
        <f t="shared" si="128"/>
        <v>12</v>
      </c>
      <c r="U3350" s="15">
        <f t="shared" si="129"/>
        <v>1899</v>
      </c>
      <c r="V3350" s="15" t="str">
        <f t="shared" si="8"/>
        <v/>
      </c>
      <c r="W3350" s="15" t="str">
        <f t="shared" si="9"/>
        <v/>
      </c>
      <c r="X3350" s="15" t="str">
        <f t="shared" si="10"/>
        <v/>
      </c>
    </row>
    <row r="3351">
      <c r="A3351" s="10"/>
      <c r="B3351" s="10"/>
      <c r="C3351" s="9" t="str">
        <f t="shared" si="249"/>
        <v/>
      </c>
      <c r="D3351" s="15"/>
      <c r="E3351" s="15"/>
      <c r="F3351" s="15"/>
      <c r="G3351" s="15"/>
      <c r="I3351" s="65"/>
      <c r="J3351" s="13"/>
      <c r="K3351" s="13" t="str">
        <f t="shared" si="412"/>
        <v/>
      </c>
      <c r="L3351" s="15"/>
      <c r="M3351" s="14"/>
      <c r="N3351" s="15"/>
      <c r="O3351" s="10" t="str">
        <f t="shared" si="79"/>
        <v/>
      </c>
      <c r="P3351" s="10" t="str">
        <f t="shared" si="411"/>
        <v/>
      </c>
      <c r="Q3351" s="15" t="str">
        <f t="array" ref="Q3351">IFERROR(XLOOKUP(N3351,'Classificação'!A:A,'Classificação'!B:B),"")</f>
        <v/>
      </c>
      <c r="S3351" s="15">
        <f t="shared" si="228"/>
        <v>30</v>
      </c>
      <c r="T3351" s="15">
        <f t="shared" si="128"/>
        <v>12</v>
      </c>
      <c r="U3351" s="15">
        <f t="shared" si="129"/>
        <v>1899</v>
      </c>
      <c r="V3351" s="15" t="str">
        <f t="shared" si="8"/>
        <v/>
      </c>
      <c r="W3351" s="15" t="str">
        <f t="shared" si="9"/>
        <v/>
      </c>
      <c r="X3351" s="15" t="str">
        <f t="shared" si="10"/>
        <v/>
      </c>
    </row>
    <row r="3352">
      <c r="A3352" s="10"/>
      <c r="B3352" s="10"/>
      <c r="C3352" s="9" t="str">
        <f t="shared" si="249"/>
        <v/>
      </c>
      <c r="D3352" s="15"/>
      <c r="E3352" s="15"/>
      <c r="F3352" s="15"/>
      <c r="G3352" s="15"/>
      <c r="I3352" s="65"/>
      <c r="J3352" s="13"/>
      <c r="K3352" s="13" t="str">
        <f t="shared" si="412"/>
        <v/>
      </c>
      <c r="L3352" s="15"/>
      <c r="M3352" s="14"/>
      <c r="N3352" s="15"/>
      <c r="O3352" s="10" t="str">
        <f t="shared" si="79"/>
        <v/>
      </c>
      <c r="P3352" s="10" t="str">
        <f t="shared" si="411"/>
        <v/>
      </c>
      <c r="Q3352" s="15" t="str">
        <f t="array" ref="Q3352">IFERROR(XLOOKUP(N3352,'Classificação'!A:A,'Classificação'!B:B),"")</f>
        <v/>
      </c>
      <c r="S3352" s="15">
        <f t="shared" si="228"/>
        <v>30</v>
      </c>
      <c r="T3352" s="15">
        <f t="shared" si="128"/>
        <v>12</v>
      </c>
      <c r="U3352" s="15">
        <f t="shared" si="129"/>
        <v>1899</v>
      </c>
      <c r="V3352" s="15" t="str">
        <f t="shared" si="8"/>
        <v/>
      </c>
      <c r="W3352" s="15" t="str">
        <f t="shared" si="9"/>
        <v/>
      </c>
      <c r="X3352" s="15" t="str">
        <f t="shared" si="10"/>
        <v/>
      </c>
    </row>
    <row r="3353">
      <c r="A3353" s="10"/>
      <c r="B3353" s="10"/>
      <c r="C3353" s="9" t="str">
        <f t="shared" si="249"/>
        <v/>
      </c>
      <c r="D3353" s="15"/>
      <c r="E3353" s="15"/>
      <c r="F3353" s="15"/>
      <c r="G3353" s="15"/>
      <c r="I3353" s="65"/>
      <c r="J3353" s="13"/>
      <c r="K3353" s="13" t="str">
        <f t="shared" si="412"/>
        <v/>
      </c>
      <c r="L3353" s="15"/>
      <c r="M3353" s="14"/>
      <c r="N3353" s="15"/>
      <c r="O3353" s="10" t="str">
        <f t="shared" si="79"/>
        <v/>
      </c>
      <c r="P3353" s="10" t="str">
        <f t="shared" si="411"/>
        <v/>
      </c>
      <c r="Q3353" s="15" t="str">
        <f t="array" ref="Q3353">IFERROR(XLOOKUP(N3353,'Classificação'!A:A,'Classificação'!B:B),"")</f>
        <v/>
      </c>
      <c r="S3353" s="15">
        <f t="shared" si="228"/>
        <v>30</v>
      </c>
      <c r="T3353" s="15">
        <f t="shared" si="128"/>
        <v>12</v>
      </c>
      <c r="U3353" s="15">
        <f t="shared" si="129"/>
        <v>1899</v>
      </c>
      <c r="V3353" s="15" t="str">
        <f t="shared" si="8"/>
        <v/>
      </c>
      <c r="W3353" s="15" t="str">
        <f t="shared" si="9"/>
        <v/>
      </c>
      <c r="X3353" s="15" t="str">
        <f t="shared" si="10"/>
        <v/>
      </c>
    </row>
    <row r="3354">
      <c r="A3354" s="10"/>
      <c r="B3354" s="10"/>
      <c r="C3354" s="9" t="str">
        <f t="shared" si="249"/>
        <v/>
      </c>
      <c r="D3354" s="15"/>
      <c r="E3354" s="15"/>
      <c r="F3354" s="15"/>
      <c r="G3354" s="15"/>
      <c r="I3354" s="65"/>
      <c r="J3354" s="13"/>
      <c r="K3354" s="13" t="str">
        <f t="shared" si="412"/>
        <v/>
      </c>
      <c r="L3354" s="15"/>
      <c r="M3354" s="14"/>
      <c r="N3354" s="15"/>
      <c r="O3354" s="10" t="str">
        <f t="shared" si="79"/>
        <v/>
      </c>
      <c r="P3354" s="10" t="str">
        <f t="shared" si="411"/>
        <v/>
      </c>
      <c r="Q3354" s="15" t="str">
        <f t="array" ref="Q3354">IFERROR(XLOOKUP(N3354,'Classificação'!A:A,'Classificação'!B:B),"")</f>
        <v/>
      </c>
      <c r="S3354" s="15">
        <f t="shared" si="228"/>
        <v>30</v>
      </c>
      <c r="T3354" s="15">
        <f t="shared" si="128"/>
        <v>12</v>
      </c>
      <c r="U3354" s="15">
        <f t="shared" si="129"/>
        <v>1899</v>
      </c>
      <c r="V3354" s="15" t="str">
        <f t="shared" si="8"/>
        <v/>
      </c>
      <c r="W3354" s="15" t="str">
        <f t="shared" si="9"/>
        <v/>
      </c>
      <c r="X3354" s="15" t="str">
        <f t="shared" si="10"/>
        <v/>
      </c>
    </row>
    <row r="3355">
      <c r="A3355" s="10"/>
      <c r="B3355" s="10"/>
      <c r="C3355" s="9" t="str">
        <f t="shared" si="249"/>
        <v/>
      </c>
      <c r="D3355" s="15"/>
      <c r="E3355" s="15"/>
      <c r="F3355" s="15"/>
      <c r="G3355" s="15"/>
      <c r="I3355" s="65"/>
      <c r="J3355" s="13"/>
      <c r="K3355" s="13" t="str">
        <f t="shared" si="412"/>
        <v/>
      </c>
      <c r="L3355" s="15"/>
      <c r="M3355" s="14"/>
      <c r="N3355" s="15"/>
      <c r="O3355" s="10" t="str">
        <f t="shared" si="79"/>
        <v/>
      </c>
      <c r="P3355" s="10" t="str">
        <f t="shared" si="411"/>
        <v/>
      </c>
      <c r="Q3355" s="15" t="str">
        <f t="array" ref="Q3355">IFERROR(XLOOKUP(N3355,'Classificação'!A:A,'Classificação'!B:B),"")</f>
        <v/>
      </c>
      <c r="S3355" s="15">
        <f t="shared" si="228"/>
        <v>30</v>
      </c>
      <c r="T3355" s="15">
        <f t="shared" si="128"/>
        <v>12</v>
      </c>
      <c r="U3355" s="15">
        <f t="shared" si="129"/>
        <v>1899</v>
      </c>
      <c r="V3355" s="15" t="str">
        <f t="shared" si="8"/>
        <v/>
      </c>
      <c r="W3355" s="15" t="str">
        <f t="shared" si="9"/>
        <v/>
      </c>
      <c r="X3355" s="15" t="str">
        <f t="shared" si="10"/>
        <v/>
      </c>
    </row>
    <row r="3356">
      <c r="A3356" s="10"/>
      <c r="B3356" s="10"/>
      <c r="C3356" s="9" t="str">
        <f t="shared" si="249"/>
        <v/>
      </c>
      <c r="D3356" s="15"/>
      <c r="E3356" s="15"/>
      <c r="F3356" s="15"/>
      <c r="G3356" s="15"/>
      <c r="I3356" s="65"/>
      <c r="J3356" s="13"/>
      <c r="K3356" s="13" t="str">
        <f t="shared" si="412"/>
        <v/>
      </c>
      <c r="L3356" s="15"/>
      <c r="M3356" s="14"/>
      <c r="N3356" s="15"/>
      <c r="O3356" s="10" t="str">
        <f t="shared" si="79"/>
        <v/>
      </c>
      <c r="P3356" s="10" t="str">
        <f t="shared" si="411"/>
        <v/>
      </c>
      <c r="Q3356" s="15" t="str">
        <f t="array" ref="Q3356">IFERROR(XLOOKUP(N3356,'Classificação'!A:A,'Classificação'!B:B),"")</f>
        <v/>
      </c>
      <c r="S3356" s="15">
        <f t="shared" si="228"/>
        <v>30</v>
      </c>
      <c r="T3356" s="15">
        <f t="shared" si="128"/>
        <v>12</v>
      </c>
      <c r="U3356" s="15">
        <f t="shared" si="129"/>
        <v>1899</v>
      </c>
      <c r="V3356" s="15" t="str">
        <f t="shared" si="8"/>
        <v/>
      </c>
      <c r="W3356" s="15" t="str">
        <f t="shared" si="9"/>
        <v/>
      </c>
      <c r="X3356" s="15" t="str">
        <f t="shared" si="10"/>
        <v/>
      </c>
    </row>
    <row r="3357">
      <c r="A3357" s="10"/>
      <c r="B3357" s="10"/>
      <c r="C3357" s="9" t="str">
        <f t="shared" si="249"/>
        <v/>
      </c>
      <c r="D3357" s="15"/>
      <c r="E3357" s="15"/>
      <c r="F3357" s="15"/>
      <c r="G3357" s="15"/>
      <c r="I3357" s="65"/>
      <c r="J3357" s="13"/>
      <c r="K3357" s="13" t="str">
        <f t="shared" si="412"/>
        <v/>
      </c>
      <c r="L3357" s="15"/>
      <c r="M3357" s="14"/>
      <c r="N3357" s="15"/>
      <c r="O3357" s="10" t="str">
        <f t="shared" si="79"/>
        <v/>
      </c>
      <c r="P3357" s="10" t="str">
        <f t="shared" si="411"/>
        <v/>
      </c>
      <c r="Q3357" s="15" t="str">
        <f t="array" ref="Q3357">IFERROR(XLOOKUP(N3357,'Classificação'!A:A,'Classificação'!B:B),"")</f>
        <v/>
      </c>
      <c r="S3357" s="15">
        <f t="shared" si="228"/>
        <v>30</v>
      </c>
      <c r="T3357" s="15">
        <f t="shared" si="128"/>
        <v>12</v>
      </c>
      <c r="U3357" s="15">
        <f t="shared" si="129"/>
        <v>1899</v>
      </c>
      <c r="V3357" s="15" t="str">
        <f t="shared" si="8"/>
        <v/>
      </c>
      <c r="W3357" s="15" t="str">
        <f t="shared" si="9"/>
        <v/>
      </c>
      <c r="X3357" s="15" t="str">
        <f t="shared" si="10"/>
        <v/>
      </c>
    </row>
    <row r="3358">
      <c r="A3358" s="10"/>
      <c r="B3358" s="10"/>
      <c r="C3358" s="9" t="str">
        <f t="shared" si="249"/>
        <v/>
      </c>
      <c r="D3358" s="15"/>
      <c r="E3358" s="15"/>
      <c r="F3358" s="15"/>
      <c r="G3358" s="15"/>
      <c r="I3358" s="65"/>
      <c r="J3358" s="13"/>
      <c r="K3358" s="13" t="str">
        <f t="shared" si="412"/>
        <v/>
      </c>
      <c r="L3358" s="15"/>
      <c r="M3358" s="14"/>
      <c r="N3358" s="15"/>
      <c r="O3358" s="10" t="str">
        <f t="shared" si="79"/>
        <v/>
      </c>
      <c r="P3358" s="10" t="str">
        <f t="shared" si="411"/>
        <v/>
      </c>
      <c r="Q3358" s="15" t="str">
        <f t="array" ref="Q3358">IFERROR(XLOOKUP(N3358,'Classificação'!A:A,'Classificação'!B:B),"")</f>
        <v/>
      </c>
      <c r="S3358" s="15">
        <f t="shared" si="228"/>
        <v>30</v>
      </c>
      <c r="T3358" s="15">
        <f t="shared" si="128"/>
        <v>12</v>
      </c>
      <c r="U3358" s="15">
        <f t="shared" si="129"/>
        <v>1899</v>
      </c>
      <c r="V3358" s="15" t="str">
        <f t="shared" si="8"/>
        <v/>
      </c>
      <c r="W3358" s="15" t="str">
        <f t="shared" si="9"/>
        <v/>
      </c>
      <c r="X3358" s="15" t="str">
        <f t="shared" si="10"/>
        <v/>
      </c>
    </row>
    <row r="3359">
      <c r="A3359" s="10"/>
      <c r="B3359" s="10"/>
      <c r="C3359" s="9" t="str">
        <f t="shared" si="249"/>
        <v/>
      </c>
      <c r="D3359" s="15"/>
      <c r="E3359" s="15"/>
      <c r="F3359" s="15"/>
      <c r="G3359" s="15"/>
      <c r="I3359" s="65"/>
      <c r="J3359" s="13"/>
      <c r="K3359" s="13" t="str">
        <f t="shared" si="412"/>
        <v/>
      </c>
      <c r="L3359" s="15"/>
      <c r="M3359" s="14"/>
      <c r="N3359" s="15"/>
      <c r="O3359" s="10" t="str">
        <f t="shared" si="79"/>
        <v/>
      </c>
      <c r="P3359" s="10" t="str">
        <f t="shared" si="411"/>
        <v/>
      </c>
      <c r="Q3359" s="15" t="str">
        <f t="array" ref="Q3359">IFERROR(XLOOKUP(N3359,'Classificação'!A:A,'Classificação'!B:B),"")</f>
        <v/>
      </c>
      <c r="S3359" s="15">
        <f t="shared" si="228"/>
        <v>30</v>
      </c>
      <c r="T3359" s="15">
        <f t="shared" si="128"/>
        <v>12</v>
      </c>
      <c r="U3359" s="15">
        <f t="shared" si="129"/>
        <v>1899</v>
      </c>
      <c r="V3359" s="15" t="str">
        <f t="shared" si="8"/>
        <v/>
      </c>
      <c r="W3359" s="15" t="str">
        <f t="shared" si="9"/>
        <v/>
      </c>
      <c r="X3359" s="15" t="str">
        <f t="shared" si="10"/>
        <v/>
      </c>
    </row>
    <row r="3360">
      <c r="A3360" s="10"/>
      <c r="B3360" s="10"/>
      <c r="C3360" s="9" t="str">
        <f t="shared" si="249"/>
        <v/>
      </c>
      <c r="D3360" s="15"/>
      <c r="E3360" s="15"/>
      <c r="F3360" s="15"/>
      <c r="G3360" s="15"/>
      <c r="I3360" s="65"/>
      <c r="J3360" s="13"/>
      <c r="K3360" s="13" t="str">
        <f t="shared" si="412"/>
        <v/>
      </c>
      <c r="L3360" s="15"/>
      <c r="M3360" s="14"/>
      <c r="N3360" s="15"/>
      <c r="O3360" s="10" t="str">
        <f t="shared" si="79"/>
        <v/>
      </c>
      <c r="P3360" s="10" t="str">
        <f t="shared" si="411"/>
        <v/>
      </c>
      <c r="Q3360" s="15" t="str">
        <f t="array" ref="Q3360">IFERROR(XLOOKUP(N3360,'Classificação'!A:A,'Classificação'!B:B),"")</f>
        <v/>
      </c>
      <c r="S3360" s="15">
        <f t="shared" si="228"/>
        <v>30</v>
      </c>
      <c r="T3360" s="15">
        <f t="shared" si="128"/>
        <v>12</v>
      </c>
      <c r="U3360" s="15">
        <f t="shared" si="129"/>
        <v>1899</v>
      </c>
      <c r="V3360" s="15" t="str">
        <f t="shared" si="8"/>
        <v/>
      </c>
      <c r="W3360" s="15" t="str">
        <f t="shared" si="9"/>
        <v/>
      </c>
      <c r="X3360" s="15" t="str">
        <f t="shared" si="10"/>
        <v/>
      </c>
    </row>
    <row r="3361">
      <c r="A3361" s="10"/>
      <c r="B3361" s="10"/>
      <c r="C3361" s="9" t="str">
        <f t="shared" si="249"/>
        <v/>
      </c>
      <c r="D3361" s="15"/>
      <c r="E3361" s="15"/>
      <c r="F3361" s="15"/>
      <c r="G3361" s="15"/>
      <c r="I3361" s="65"/>
      <c r="J3361" s="13"/>
      <c r="K3361" s="13" t="str">
        <f t="shared" si="412"/>
        <v/>
      </c>
      <c r="L3361" s="15"/>
      <c r="M3361" s="14"/>
      <c r="N3361" s="15"/>
      <c r="O3361" s="10" t="str">
        <f t="shared" si="79"/>
        <v/>
      </c>
      <c r="P3361" s="10" t="str">
        <f t="shared" si="411"/>
        <v/>
      </c>
      <c r="Q3361" s="15" t="str">
        <f t="array" ref="Q3361">IFERROR(XLOOKUP(N3361,'Classificação'!A:A,'Classificação'!B:B),"")</f>
        <v/>
      </c>
      <c r="S3361" s="15">
        <f t="shared" si="228"/>
        <v>30</v>
      </c>
      <c r="T3361" s="15">
        <f t="shared" si="128"/>
        <v>12</v>
      </c>
      <c r="U3361" s="15">
        <f t="shared" si="129"/>
        <v>1899</v>
      </c>
      <c r="V3361" s="15" t="str">
        <f t="shared" si="8"/>
        <v/>
      </c>
      <c r="W3361" s="15" t="str">
        <f t="shared" si="9"/>
        <v/>
      </c>
      <c r="X3361" s="15" t="str">
        <f t="shared" si="10"/>
        <v/>
      </c>
    </row>
    <row r="3362">
      <c r="A3362" s="10"/>
      <c r="B3362" s="10"/>
      <c r="C3362" s="9" t="str">
        <f t="shared" si="249"/>
        <v/>
      </c>
      <c r="D3362" s="15"/>
      <c r="E3362" s="15"/>
      <c r="F3362" s="15"/>
      <c r="G3362" s="15"/>
      <c r="I3362" s="65"/>
      <c r="J3362" s="13"/>
      <c r="K3362" s="13" t="str">
        <f t="shared" si="412"/>
        <v/>
      </c>
      <c r="L3362" s="15"/>
      <c r="M3362" s="14"/>
      <c r="N3362" s="15"/>
      <c r="O3362" s="10" t="str">
        <f t="shared" si="79"/>
        <v/>
      </c>
      <c r="P3362" s="10" t="str">
        <f t="shared" si="411"/>
        <v/>
      </c>
      <c r="Q3362" s="15" t="str">
        <f t="array" ref="Q3362">IFERROR(XLOOKUP(N3362,'Classificação'!A:A,'Classificação'!B:B),"")</f>
        <v/>
      </c>
      <c r="S3362" s="15">
        <f t="shared" si="228"/>
        <v>30</v>
      </c>
      <c r="T3362" s="15">
        <f t="shared" si="128"/>
        <v>12</v>
      </c>
      <c r="U3362" s="15">
        <f t="shared" si="129"/>
        <v>1899</v>
      </c>
      <c r="V3362" s="15" t="str">
        <f t="shared" si="8"/>
        <v/>
      </c>
      <c r="W3362" s="15" t="str">
        <f t="shared" si="9"/>
        <v/>
      </c>
      <c r="X3362" s="15" t="str">
        <f t="shared" si="10"/>
        <v/>
      </c>
    </row>
    <row r="3363">
      <c r="A3363" s="10"/>
      <c r="B3363" s="10"/>
      <c r="C3363" s="9" t="str">
        <f t="shared" si="249"/>
        <v/>
      </c>
      <c r="D3363" s="15"/>
      <c r="E3363" s="15"/>
      <c r="F3363" s="15"/>
      <c r="G3363" s="15"/>
      <c r="I3363" s="65"/>
      <c r="J3363" s="13"/>
      <c r="K3363" s="13" t="str">
        <f t="shared" si="412"/>
        <v/>
      </c>
      <c r="L3363" s="15"/>
      <c r="M3363" s="14"/>
      <c r="N3363" s="15"/>
      <c r="O3363" s="10" t="str">
        <f t="shared" si="79"/>
        <v/>
      </c>
      <c r="P3363" s="10" t="str">
        <f t="shared" si="411"/>
        <v/>
      </c>
      <c r="Q3363" s="15" t="str">
        <f t="array" ref="Q3363">IFERROR(XLOOKUP(N3363,'Classificação'!A:A,'Classificação'!B:B),"")</f>
        <v/>
      </c>
      <c r="S3363" s="15">
        <f t="shared" si="228"/>
        <v>30</v>
      </c>
      <c r="T3363" s="15">
        <f t="shared" si="128"/>
        <v>12</v>
      </c>
      <c r="U3363" s="15">
        <f t="shared" si="129"/>
        <v>1899</v>
      </c>
      <c r="V3363" s="15" t="str">
        <f t="shared" si="8"/>
        <v/>
      </c>
      <c r="W3363" s="15" t="str">
        <f t="shared" si="9"/>
        <v/>
      </c>
      <c r="X3363" s="15" t="str">
        <f t="shared" si="10"/>
        <v/>
      </c>
    </row>
    <row r="3364">
      <c r="A3364" s="10"/>
      <c r="B3364" s="10"/>
      <c r="C3364" s="9" t="str">
        <f t="shared" si="249"/>
        <v/>
      </c>
      <c r="D3364" s="15"/>
      <c r="E3364" s="15"/>
      <c r="F3364" s="15"/>
      <c r="G3364" s="15"/>
      <c r="I3364" s="65"/>
      <c r="J3364" s="13"/>
      <c r="K3364" s="13" t="str">
        <f t="shared" si="412"/>
        <v/>
      </c>
      <c r="L3364" s="15"/>
      <c r="M3364" s="14"/>
      <c r="N3364" s="15"/>
      <c r="O3364" s="10" t="str">
        <f t="shared" si="79"/>
        <v/>
      </c>
      <c r="P3364" s="10" t="str">
        <f t="shared" si="411"/>
        <v/>
      </c>
      <c r="Q3364" s="15" t="str">
        <f t="array" ref="Q3364">IFERROR(XLOOKUP(N3364,'Classificação'!A:A,'Classificação'!B:B),"")</f>
        <v/>
      </c>
      <c r="S3364" s="15">
        <f t="shared" si="228"/>
        <v>30</v>
      </c>
      <c r="T3364" s="15">
        <f t="shared" si="128"/>
        <v>12</v>
      </c>
      <c r="U3364" s="15">
        <f t="shared" si="129"/>
        <v>1899</v>
      </c>
      <c r="V3364" s="15" t="str">
        <f t="shared" si="8"/>
        <v/>
      </c>
      <c r="W3364" s="15" t="str">
        <f t="shared" si="9"/>
        <v/>
      </c>
      <c r="X3364" s="15" t="str">
        <f t="shared" si="10"/>
        <v/>
      </c>
    </row>
    <row r="3365">
      <c r="A3365" s="10"/>
      <c r="B3365" s="10"/>
      <c r="C3365" s="9" t="str">
        <f t="shared" si="249"/>
        <v/>
      </c>
      <c r="D3365" s="15"/>
      <c r="E3365" s="15"/>
      <c r="F3365" s="15"/>
      <c r="G3365" s="15"/>
      <c r="I3365" s="65"/>
      <c r="J3365" s="13"/>
      <c r="K3365" s="13" t="str">
        <f t="shared" si="412"/>
        <v/>
      </c>
      <c r="L3365" s="15"/>
      <c r="M3365" s="14"/>
      <c r="N3365" s="15"/>
      <c r="O3365" s="10" t="str">
        <f t="shared" si="79"/>
        <v/>
      </c>
      <c r="P3365" s="10" t="str">
        <f t="shared" si="411"/>
        <v/>
      </c>
      <c r="Q3365" s="15" t="str">
        <f t="array" ref="Q3365">IFERROR(XLOOKUP(N3365,'Classificação'!A:A,'Classificação'!B:B),"")</f>
        <v/>
      </c>
      <c r="S3365" s="15">
        <f t="shared" si="228"/>
        <v>30</v>
      </c>
      <c r="T3365" s="15">
        <f t="shared" si="128"/>
        <v>12</v>
      </c>
      <c r="U3365" s="15">
        <f t="shared" si="129"/>
        <v>1899</v>
      </c>
      <c r="V3365" s="15" t="str">
        <f t="shared" si="8"/>
        <v/>
      </c>
      <c r="W3365" s="15" t="str">
        <f t="shared" si="9"/>
        <v/>
      </c>
      <c r="X3365" s="15" t="str">
        <f t="shared" si="10"/>
        <v/>
      </c>
    </row>
    <row r="3366">
      <c r="A3366" s="10"/>
      <c r="B3366" s="10"/>
      <c r="C3366" s="9" t="str">
        <f t="shared" si="249"/>
        <v/>
      </c>
      <c r="D3366" s="15"/>
      <c r="E3366" s="15"/>
      <c r="F3366" s="15"/>
      <c r="G3366" s="15"/>
      <c r="I3366" s="65"/>
      <c r="J3366" s="13"/>
      <c r="K3366" s="13" t="str">
        <f t="shared" si="412"/>
        <v/>
      </c>
      <c r="L3366" s="15"/>
      <c r="M3366" s="14"/>
      <c r="N3366" s="15"/>
      <c r="O3366" s="10" t="str">
        <f t="shared" si="79"/>
        <v/>
      </c>
      <c r="P3366" s="10" t="str">
        <f t="shared" si="411"/>
        <v/>
      </c>
      <c r="Q3366" s="15" t="str">
        <f t="array" ref="Q3366">IFERROR(XLOOKUP(N3366,'Classificação'!A:A,'Classificação'!B:B),"")</f>
        <v/>
      </c>
      <c r="S3366" s="15">
        <f t="shared" si="228"/>
        <v>30</v>
      </c>
      <c r="T3366" s="15">
        <f t="shared" si="128"/>
        <v>12</v>
      </c>
      <c r="U3366" s="15">
        <f t="shared" si="129"/>
        <v>1899</v>
      </c>
      <c r="V3366" s="15" t="str">
        <f t="shared" si="8"/>
        <v/>
      </c>
      <c r="W3366" s="15" t="str">
        <f t="shared" si="9"/>
        <v/>
      </c>
      <c r="X3366" s="15" t="str">
        <f t="shared" si="10"/>
        <v/>
      </c>
    </row>
    <row r="3367">
      <c r="A3367" s="10"/>
      <c r="B3367" s="10"/>
      <c r="C3367" s="9" t="str">
        <f t="shared" si="249"/>
        <v/>
      </c>
      <c r="D3367" s="15"/>
      <c r="E3367" s="15"/>
      <c r="F3367" s="15"/>
      <c r="G3367" s="15"/>
      <c r="I3367" s="65"/>
      <c r="J3367" s="13"/>
      <c r="K3367" s="13" t="str">
        <f t="shared" si="412"/>
        <v/>
      </c>
      <c r="L3367" s="15"/>
      <c r="M3367" s="14"/>
      <c r="N3367" s="15"/>
      <c r="O3367" s="10" t="str">
        <f t="shared" si="79"/>
        <v/>
      </c>
      <c r="P3367" s="10" t="str">
        <f t="shared" si="411"/>
        <v/>
      </c>
      <c r="Q3367" s="15" t="str">
        <f t="array" ref="Q3367">IFERROR(XLOOKUP(N3367,'Classificação'!A:A,'Classificação'!B:B),"")</f>
        <v/>
      </c>
      <c r="S3367" s="15">
        <f t="shared" si="228"/>
        <v>30</v>
      </c>
      <c r="T3367" s="15">
        <f t="shared" si="128"/>
        <v>12</v>
      </c>
      <c r="U3367" s="15">
        <f t="shared" si="129"/>
        <v>1899</v>
      </c>
      <c r="V3367" s="15" t="str">
        <f t="shared" si="8"/>
        <v/>
      </c>
      <c r="W3367" s="15" t="str">
        <f t="shared" si="9"/>
        <v/>
      </c>
      <c r="X3367" s="15" t="str">
        <f t="shared" si="10"/>
        <v/>
      </c>
    </row>
    <row r="3368">
      <c r="A3368" s="10"/>
      <c r="B3368" s="10"/>
      <c r="C3368" s="9" t="str">
        <f t="shared" si="249"/>
        <v/>
      </c>
      <c r="D3368" s="15"/>
      <c r="E3368" s="15"/>
      <c r="F3368" s="15"/>
      <c r="G3368" s="15"/>
      <c r="I3368" s="65"/>
      <c r="J3368" s="13"/>
      <c r="K3368" s="13" t="str">
        <f t="shared" si="412"/>
        <v/>
      </c>
      <c r="L3368" s="15"/>
      <c r="M3368" s="14"/>
      <c r="N3368" s="15"/>
      <c r="O3368" s="10" t="str">
        <f t="shared" si="79"/>
        <v/>
      </c>
      <c r="P3368" s="10" t="str">
        <f t="shared" si="411"/>
        <v/>
      </c>
      <c r="Q3368" s="15" t="str">
        <f t="array" ref="Q3368">IFERROR(XLOOKUP(N3368,'Classificação'!A:A,'Classificação'!B:B),"")</f>
        <v/>
      </c>
      <c r="S3368" s="15">
        <f t="shared" si="228"/>
        <v>30</v>
      </c>
      <c r="T3368" s="15">
        <f t="shared" si="128"/>
        <v>12</v>
      </c>
      <c r="U3368" s="15">
        <f t="shared" si="129"/>
        <v>1899</v>
      </c>
      <c r="V3368" s="15" t="str">
        <f t="shared" si="8"/>
        <v/>
      </c>
      <c r="W3368" s="15" t="str">
        <f t="shared" si="9"/>
        <v/>
      </c>
      <c r="X3368" s="15" t="str">
        <f t="shared" si="10"/>
        <v/>
      </c>
    </row>
    <row r="3369">
      <c r="A3369" s="10"/>
      <c r="B3369" s="10"/>
      <c r="C3369" s="9" t="str">
        <f t="shared" si="249"/>
        <v/>
      </c>
      <c r="D3369" s="15"/>
      <c r="E3369" s="15"/>
      <c r="F3369" s="15"/>
      <c r="G3369" s="15"/>
      <c r="I3369" s="65"/>
      <c r="J3369" s="13"/>
      <c r="K3369" s="13" t="str">
        <f t="shared" si="412"/>
        <v/>
      </c>
      <c r="L3369" s="15"/>
      <c r="M3369" s="14"/>
      <c r="N3369" s="15"/>
      <c r="O3369" s="10" t="str">
        <f t="shared" si="79"/>
        <v/>
      </c>
      <c r="P3369" s="10" t="str">
        <f t="shared" si="411"/>
        <v/>
      </c>
      <c r="Q3369" s="15" t="str">
        <f t="array" ref="Q3369">IFERROR(XLOOKUP(N3369,'Classificação'!A:A,'Classificação'!B:B),"")</f>
        <v/>
      </c>
      <c r="S3369" s="15">
        <f t="shared" si="228"/>
        <v>30</v>
      </c>
      <c r="T3369" s="15">
        <f t="shared" si="128"/>
        <v>12</v>
      </c>
      <c r="U3369" s="15">
        <f t="shared" si="129"/>
        <v>1899</v>
      </c>
      <c r="V3369" s="15" t="str">
        <f t="shared" si="8"/>
        <v/>
      </c>
      <c r="W3369" s="15" t="str">
        <f t="shared" si="9"/>
        <v/>
      </c>
      <c r="X3369" s="15" t="str">
        <f t="shared" si="10"/>
        <v/>
      </c>
    </row>
    <row r="3370">
      <c r="A3370" s="10"/>
      <c r="B3370" s="10"/>
      <c r="C3370" s="9" t="str">
        <f t="shared" si="249"/>
        <v/>
      </c>
      <c r="D3370" s="15"/>
      <c r="E3370" s="15"/>
      <c r="F3370" s="15"/>
      <c r="G3370" s="15"/>
      <c r="I3370" s="65"/>
      <c r="J3370" s="13"/>
      <c r="K3370" s="13" t="str">
        <f t="shared" si="412"/>
        <v/>
      </c>
      <c r="L3370" s="15"/>
      <c r="M3370" s="14"/>
      <c r="N3370" s="15"/>
      <c r="O3370" s="10" t="str">
        <f t="shared" si="79"/>
        <v/>
      </c>
      <c r="P3370" s="10" t="str">
        <f t="shared" si="411"/>
        <v/>
      </c>
      <c r="Q3370" s="15" t="str">
        <f t="array" ref="Q3370">IFERROR(XLOOKUP(N3370,'Classificação'!A:A,'Classificação'!B:B),"")</f>
        <v/>
      </c>
      <c r="S3370" s="15">
        <f t="shared" si="228"/>
        <v>30</v>
      </c>
      <c r="T3370" s="15">
        <f t="shared" si="128"/>
        <v>12</v>
      </c>
      <c r="U3370" s="15">
        <f t="shared" si="129"/>
        <v>1899</v>
      </c>
      <c r="V3370" s="15" t="str">
        <f t="shared" si="8"/>
        <v/>
      </c>
      <c r="W3370" s="15" t="str">
        <f t="shared" si="9"/>
        <v/>
      </c>
      <c r="X3370" s="15" t="str">
        <f t="shared" si="10"/>
        <v/>
      </c>
    </row>
    <row r="3371">
      <c r="A3371" s="10"/>
      <c r="B3371" s="10"/>
      <c r="C3371" s="9" t="str">
        <f t="shared" si="249"/>
        <v/>
      </c>
      <c r="D3371" s="15"/>
      <c r="E3371" s="15"/>
      <c r="F3371" s="15"/>
      <c r="G3371" s="15"/>
      <c r="I3371" s="65"/>
      <c r="J3371" s="13"/>
      <c r="K3371" s="13" t="str">
        <f t="shared" si="412"/>
        <v/>
      </c>
      <c r="L3371" s="15"/>
      <c r="M3371" s="14"/>
      <c r="N3371" s="15"/>
      <c r="O3371" s="10" t="str">
        <f t="shared" si="79"/>
        <v/>
      </c>
      <c r="P3371" s="10" t="str">
        <f t="shared" si="411"/>
        <v/>
      </c>
      <c r="Q3371" s="15" t="str">
        <f t="array" ref="Q3371">IFERROR(XLOOKUP(N3371,'Classificação'!A:A,'Classificação'!B:B),"")</f>
        <v/>
      </c>
      <c r="S3371" s="15">
        <f t="shared" si="228"/>
        <v>30</v>
      </c>
      <c r="T3371" s="15">
        <f t="shared" si="128"/>
        <v>12</v>
      </c>
      <c r="U3371" s="15">
        <f t="shared" si="129"/>
        <v>1899</v>
      </c>
      <c r="V3371" s="15" t="str">
        <f t="shared" si="8"/>
        <v/>
      </c>
      <c r="W3371" s="15" t="str">
        <f t="shared" si="9"/>
        <v/>
      </c>
      <c r="X3371" s="15" t="str">
        <f t="shared" si="10"/>
        <v/>
      </c>
    </row>
    <row r="3372">
      <c r="A3372" s="10"/>
      <c r="B3372" s="10"/>
      <c r="C3372" s="9" t="str">
        <f t="shared" si="249"/>
        <v/>
      </c>
      <c r="D3372" s="15"/>
      <c r="E3372" s="15"/>
      <c r="F3372" s="15"/>
      <c r="G3372" s="15"/>
      <c r="I3372" s="65"/>
      <c r="J3372" s="13"/>
      <c r="K3372" s="13" t="str">
        <f t="shared" si="412"/>
        <v/>
      </c>
      <c r="L3372" s="15"/>
      <c r="M3372" s="14"/>
      <c r="N3372" s="15"/>
      <c r="O3372" s="10" t="str">
        <f t="shared" si="79"/>
        <v/>
      </c>
      <c r="P3372" s="10" t="str">
        <f t="shared" si="411"/>
        <v/>
      </c>
      <c r="Q3372" s="15" t="str">
        <f t="array" ref="Q3372">IFERROR(XLOOKUP(N3372,'Classificação'!A:A,'Classificação'!B:B),"")</f>
        <v/>
      </c>
    </row>
    <row r="3373">
      <c r="A3373" s="10"/>
      <c r="B3373" s="10"/>
      <c r="C3373" s="9" t="str">
        <f t="shared" si="249"/>
        <v/>
      </c>
      <c r="D3373" s="15"/>
      <c r="E3373" s="15"/>
      <c r="F3373" s="15"/>
      <c r="G3373" s="15"/>
      <c r="I3373" s="65"/>
      <c r="J3373" s="13"/>
      <c r="K3373" s="13" t="str">
        <f t="shared" si="412"/>
        <v/>
      </c>
      <c r="L3373" s="15"/>
      <c r="M3373" s="14"/>
      <c r="N3373" s="15"/>
      <c r="O3373" s="10" t="str">
        <f t="shared" si="79"/>
        <v/>
      </c>
      <c r="P3373" s="10" t="str">
        <f t="shared" si="411"/>
        <v/>
      </c>
      <c r="Q3373" s="15" t="str">
        <f t="array" ref="Q3373">IFERROR(XLOOKUP(N3373,'Classificação'!A:A,'Classificação'!B:B),"")</f>
        <v/>
      </c>
    </row>
    <row r="3374">
      <c r="A3374" s="10"/>
      <c r="B3374" s="10"/>
      <c r="C3374" s="9" t="str">
        <f t="shared" si="249"/>
        <v/>
      </c>
      <c r="D3374" s="15"/>
      <c r="E3374" s="15"/>
      <c r="F3374" s="15"/>
      <c r="G3374" s="15"/>
      <c r="I3374" s="65"/>
      <c r="J3374" s="13"/>
      <c r="K3374" s="13" t="str">
        <f t="shared" si="412"/>
        <v/>
      </c>
      <c r="L3374" s="15"/>
      <c r="M3374" s="14"/>
      <c r="N3374" s="15"/>
      <c r="O3374" s="10" t="str">
        <f t="shared" si="79"/>
        <v/>
      </c>
      <c r="P3374" s="10" t="str">
        <f t="shared" si="411"/>
        <v/>
      </c>
      <c r="Q3374" s="15" t="str">
        <f t="array" ref="Q3374">IFERROR(XLOOKUP(N3374,'Classificação'!A:A,'Classificação'!B:B),"")</f>
        <v/>
      </c>
    </row>
    <row r="3375">
      <c r="A3375" s="10"/>
      <c r="B3375" s="10"/>
      <c r="C3375" s="9" t="str">
        <f t="shared" si="249"/>
        <v/>
      </c>
      <c r="D3375" s="15"/>
      <c r="E3375" s="15"/>
      <c r="F3375" s="15"/>
      <c r="G3375" s="15"/>
      <c r="I3375" s="65"/>
      <c r="J3375" s="13"/>
      <c r="K3375" s="13" t="str">
        <f t="shared" si="412"/>
        <v/>
      </c>
      <c r="L3375" s="15"/>
      <c r="M3375" s="14"/>
      <c r="N3375" s="15"/>
      <c r="O3375" s="10" t="str">
        <f t="shared" si="79"/>
        <v/>
      </c>
      <c r="P3375" s="10" t="str">
        <f t="shared" si="411"/>
        <v/>
      </c>
      <c r="Q3375" s="15" t="str">
        <f t="array" ref="Q3375">IFERROR(XLOOKUP(N3375,'Classificação'!A:A,'Classificação'!B:B),"")</f>
        <v/>
      </c>
    </row>
    <row r="3376">
      <c r="A3376" s="10"/>
      <c r="B3376" s="10"/>
      <c r="C3376" s="9" t="str">
        <f t="shared" si="249"/>
        <v/>
      </c>
      <c r="D3376" s="15"/>
      <c r="E3376" s="15"/>
      <c r="F3376" s="15"/>
      <c r="G3376" s="15"/>
      <c r="I3376" s="65"/>
      <c r="J3376" s="13"/>
      <c r="K3376" s="13" t="str">
        <f t="shared" si="412"/>
        <v/>
      </c>
      <c r="L3376" s="15"/>
      <c r="M3376" s="14"/>
      <c r="N3376" s="15"/>
      <c r="O3376" s="10" t="str">
        <f t="shared" si="79"/>
        <v/>
      </c>
      <c r="P3376" s="10" t="str">
        <f t="shared" si="411"/>
        <v/>
      </c>
      <c r="Q3376" s="15" t="str">
        <f t="array" ref="Q3376">IFERROR(XLOOKUP(N3376,'Classificação'!A:A,'Classificação'!B:B),"")</f>
        <v/>
      </c>
    </row>
    <row r="3377">
      <c r="A3377" s="10"/>
      <c r="B3377" s="10"/>
      <c r="C3377" s="9" t="str">
        <f t="shared" si="249"/>
        <v/>
      </c>
      <c r="D3377" s="15"/>
      <c r="E3377" s="15"/>
      <c r="F3377" s="15"/>
      <c r="G3377" s="15"/>
      <c r="I3377" s="65"/>
      <c r="J3377" s="13"/>
      <c r="K3377" s="13" t="str">
        <f t="shared" si="412"/>
        <v/>
      </c>
      <c r="L3377" s="15"/>
      <c r="M3377" s="14"/>
      <c r="N3377" s="15"/>
      <c r="O3377" s="10" t="str">
        <f t="shared" si="79"/>
        <v/>
      </c>
      <c r="P3377" s="10" t="str">
        <f t="shared" si="411"/>
        <v/>
      </c>
      <c r="Q3377" s="15" t="str">
        <f t="array" ref="Q3377">IFERROR(XLOOKUP(N3377,'Classificação'!A:A,'Classificação'!B:B),"")</f>
        <v/>
      </c>
    </row>
    <row r="3378">
      <c r="A3378" s="10"/>
      <c r="B3378" s="10"/>
      <c r="C3378" s="9" t="str">
        <f t="shared" si="249"/>
        <v/>
      </c>
      <c r="D3378" s="15"/>
      <c r="E3378" s="15"/>
      <c r="F3378" s="15"/>
      <c r="G3378" s="15"/>
      <c r="I3378" s="65"/>
      <c r="J3378" s="13"/>
      <c r="K3378" s="13" t="str">
        <f t="shared" si="412"/>
        <v/>
      </c>
      <c r="L3378" s="15"/>
      <c r="M3378" s="14"/>
      <c r="N3378" s="15"/>
      <c r="O3378" s="10" t="str">
        <f t="shared" si="79"/>
        <v/>
      </c>
      <c r="P3378" s="10" t="str">
        <f t="shared" si="411"/>
        <v/>
      </c>
      <c r="Q3378" s="15" t="str">
        <f t="array" ref="Q3378">IFERROR(XLOOKUP(N3378,'Classificação'!A:A,'Classificação'!B:B),"")</f>
        <v/>
      </c>
    </row>
    <row r="3379">
      <c r="A3379" s="10"/>
      <c r="B3379" s="10"/>
      <c r="C3379" s="9" t="str">
        <f t="shared" si="249"/>
        <v/>
      </c>
      <c r="D3379" s="15"/>
      <c r="E3379" s="15"/>
      <c r="F3379" s="15"/>
      <c r="G3379" s="15"/>
      <c r="I3379" s="65"/>
      <c r="J3379" s="13"/>
      <c r="K3379" s="13" t="str">
        <f t="shared" si="412"/>
        <v/>
      </c>
      <c r="L3379" s="15"/>
      <c r="M3379" s="14"/>
      <c r="N3379" s="15"/>
      <c r="O3379" s="10" t="str">
        <f t="shared" si="79"/>
        <v/>
      </c>
      <c r="P3379" s="10" t="str">
        <f t="shared" si="411"/>
        <v/>
      </c>
      <c r="Q3379" s="15" t="str">
        <f t="array" ref="Q3379">IFERROR(XLOOKUP(N3379,'Classificação'!A:A,'Classificação'!B:B),"")</f>
        <v/>
      </c>
    </row>
    <row r="3380">
      <c r="A3380" s="10"/>
      <c r="B3380" s="10"/>
      <c r="C3380" s="9" t="str">
        <f t="shared" si="249"/>
        <v/>
      </c>
      <c r="D3380" s="15"/>
      <c r="E3380" s="15"/>
      <c r="F3380" s="15"/>
      <c r="G3380" s="15"/>
      <c r="I3380" s="65"/>
      <c r="J3380" s="13"/>
      <c r="K3380" s="13" t="str">
        <f t="shared" si="412"/>
        <v/>
      </c>
      <c r="L3380" s="15"/>
      <c r="M3380" s="14"/>
      <c r="N3380" s="15"/>
      <c r="O3380" s="10" t="str">
        <f t="shared" si="79"/>
        <v/>
      </c>
      <c r="P3380" s="10" t="str">
        <f t="shared" si="411"/>
        <v/>
      </c>
      <c r="Q3380" s="15" t="str">
        <f t="array" ref="Q3380">IFERROR(XLOOKUP(N3380,'Classificação'!A:A,'Classificação'!B:B),"")</f>
        <v/>
      </c>
    </row>
    <row r="3381">
      <c r="A3381" s="10"/>
      <c r="B3381" s="10"/>
      <c r="C3381" s="9" t="str">
        <f t="shared" si="249"/>
        <v/>
      </c>
      <c r="D3381" s="15"/>
      <c r="E3381" s="15"/>
      <c r="F3381" s="15"/>
      <c r="G3381" s="15"/>
      <c r="I3381" s="65"/>
      <c r="J3381" s="13"/>
      <c r="K3381" s="13" t="str">
        <f t="shared" si="412"/>
        <v/>
      </c>
      <c r="L3381" s="15"/>
      <c r="M3381" s="14"/>
      <c r="N3381" s="15"/>
      <c r="O3381" s="10" t="str">
        <f t="shared" si="79"/>
        <v/>
      </c>
      <c r="P3381" s="10" t="str">
        <f t="shared" si="411"/>
        <v/>
      </c>
      <c r="Q3381" s="15" t="str">
        <f t="array" ref="Q3381">IFERROR(XLOOKUP(N3381,'Classificação'!A:A,'Classificação'!B:B),"")</f>
        <v/>
      </c>
    </row>
    <row r="3382">
      <c r="A3382" s="10"/>
      <c r="B3382" s="10"/>
      <c r="C3382" s="9" t="str">
        <f t="shared" si="249"/>
        <v/>
      </c>
      <c r="D3382" s="15"/>
      <c r="E3382" s="15"/>
      <c r="F3382" s="15"/>
      <c r="G3382" s="15"/>
      <c r="I3382" s="65"/>
      <c r="J3382" s="13"/>
      <c r="K3382" s="13" t="str">
        <f t="shared" si="412"/>
        <v/>
      </c>
      <c r="L3382" s="15"/>
      <c r="M3382" s="14"/>
      <c r="N3382" s="15"/>
      <c r="O3382" s="10" t="str">
        <f t="shared" si="79"/>
        <v/>
      </c>
      <c r="P3382" s="10" t="str">
        <f t="shared" si="411"/>
        <v/>
      </c>
      <c r="Q3382" s="15" t="str">
        <f t="array" ref="Q3382">IFERROR(XLOOKUP(N3382,'Classificação'!A:A,'Classificação'!B:B),"")</f>
        <v/>
      </c>
    </row>
    <row r="3383">
      <c r="A3383" s="10"/>
      <c r="B3383" s="10"/>
      <c r="C3383" s="9" t="str">
        <f t="shared" si="249"/>
        <v/>
      </c>
      <c r="D3383" s="15"/>
      <c r="E3383" s="15"/>
      <c r="F3383" s="15"/>
      <c r="G3383" s="15"/>
      <c r="I3383" s="65"/>
      <c r="J3383" s="13"/>
      <c r="K3383" s="13" t="str">
        <f t="shared" si="412"/>
        <v/>
      </c>
      <c r="L3383" s="15"/>
      <c r="M3383" s="14"/>
      <c r="N3383" s="15"/>
      <c r="O3383" s="10" t="str">
        <f t="shared" si="79"/>
        <v/>
      </c>
      <c r="P3383" s="10" t="str">
        <f t="shared" si="411"/>
        <v/>
      </c>
      <c r="Q3383" s="15" t="str">
        <f t="array" ref="Q3383">IFERROR(XLOOKUP(N3383,'Classificação'!A:A,'Classificação'!B:B),"")</f>
        <v/>
      </c>
    </row>
    <row r="3384">
      <c r="A3384" s="10"/>
      <c r="B3384" s="10"/>
      <c r="C3384" s="9" t="str">
        <f t="shared" si="249"/>
        <v/>
      </c>
      <c r="D3384" s="15"/>
      <c r="E3384" s="15"/>
      <c r="F3384" s="15"/>
      <c r="G3384" s="15"/>
      <c r="I3384" s="65"/>
      <c r="J3384" s="13"/>
      <c r="K3384" s="13" t="str">
        <f t="shared" si="412"/>
        <v/>
      </c>
      <c r="L3384" s="15"/>
      <c r="M3384" s="14"/>
      <c r="N3384" s="15"/>
      <c r="O3384" s="10" t="str">
        <f t="shared" si="79"/>
        <v/>
      </c>
      <c r="P3384" s="10" t="str">
        <f t="shared" si="411"/>
        <v/>
      </c>
      <c r="Q3384" s="15" t="str">
        <f t="array" ref="Q3384">IFERROR(XLOOKUP(N3384,'Classificação'!A:A,'Classificação'!B:B),"")</f>
        <v/>
      </c>
    </row>
    <row r="3385">
      <c r="A3385" s="10"/>
      <c r="B3385" s="10"/>
      <c r="C3385" s="9" t="str">
        <f t="shared" si="249"/>
        <v/>
      </c>
      <c r="D3385" s="15"/>
      <c r="E3385" s="15"/>
      <c r="F3385" s="15"/>
      <c r="G3385" s="15"/>
      <c r="I3385" s="65"/>
      <c r="J3385" s="13"/>
      <c r="K3385" s="13" t="str">
        <f t="shared" si="412"/>
        <v/>
      </c>
      <c r="L3385" s="15"/>
      <c r="M3385" s="14"/>
      <c r="N3385" s="15"/>
      <c r="O3385" s="10" t="str">
        <f t="shared" si="79"/>
        <v/>
      </c>
      <c r="P3385" s="10" t="str">
        <f t="shared" si="411"/>
        <v/>
      </c>
      <c r="Q3385" s="15" t="str">
        <f t="array" ref="Q3385">IFERROR(XLOOKUP(N3385,'Classificação'!A:A,'Classificação'!B:B),"")</f>
        <v/>
      </c>
    </row>
    <row r="3386">
      <c r="A3386" s="10"/>
      <c r="B3386" s="10"/>
      <c r="C3386" s="9" t="str">
        <f t="shared" si="249"/>
        <v/>
      </c>
      <c r="D3386" s="15"/>
      <c r="E3386" s="15"/>
      <c r="F3386" s="15"/>
      <c r="G3386" s="15"/>
      <c r="I3386" s="65"/>
      <c r="J3386" s="13"/>
      <c r="K3386" s="13" t="str">
        <f t="shared" si="412"/>
        <v/>
      </c>
      <c r="L3386" s="15"/>
      <c r="M3386" s="14"/>
      <c r="N3386" s="15"/>
      <c r="O3386" s="10" t="str">
        <f t="shared" si="79"/>
        <v/>
      </c>
      <c r="P3386" s="10" t="str">
        <f t="shared" si="411"/>
        <v/>
      </c>
      <c r="Q3386" s="15" t="str">
        <f t="array" ref="Q3386">IFERROR(XLOOKUP(N3386,'Classificação'!A:A,'Classificação'!B:B),"")</f>
        <v/>
      </c>
    </row>
    <row r="3387">
      <c r="A3387" s="10"/>
      <c r="B3387" s="10"/>
      <c r="C3387" s="9" t="str">
        <f t="shared" si="249"/>
        <v/>
      </c>
      <c r="D3387" s="15"/>
      <c r="E3387" s="15"/>
      <c r="F3387" s="15"/>
      <c r="G3387" s="15"/>
      <c r="I3387" s="65"/>
      <c r="J3387" s="13"/>
      <c r="K3387" s="13" t="str">
        <f t="shared" si="412"/>
        <v/>
      </c>
      <c r="L3387" s="15"/>
      <c r="M3387" s="14"/>
      <c r="N3387" s="15"/>
      <c r="O3387" s="10" t="str">
        <f t="shared" si="79"/>
        <v/>
      </c>
      <c r="P3387" s="10" t="str">
        <f t="shared" si="411"/>
        <v/>
      </c>
      <c r="Q3387" s="15" t="str">
        <f t="array" ref="Q3387">IFERROR(XLOOKUP(N3387,'Classificação'!A:A,'Classificação'!B:B),"")</f>
        <v/>
      </c>
    </row>
    <row r="3388">
      <c r="A3388" s="10"/>
      <c r="B3388" s="10"/>
      <c r="C3388" s="9" t="str">
        <f t="shared" si="249"/>
        <v/>
      </c>
      <c r="D3388" s="15"/>
      <c r="E3388" s="15"/>
      <c r="F3388" s="15"/>
      <c r="G3388" s="15"/>
      <c r="I3388" s="65"/>
      <c r="J3388" s="13"/>
      <c r="K3388" s="13" t="str">
        <f t="shared" si="412"/>
        <v/>
      </c>
      <c r="L3388" s="15"/>
      <c r="M3388" s="14"/>
      <c r="N3388" s="15"/>
      <c r="O3388" s="10" t="str">
        <f t="shared" si="79"/>
        <v/>
      </c>
      <c r="P3388" s="10" t="str">
        <f t="shared" si="411"/>
        <v/>
      </c>
      <c r="Q3388" s="15" t="str">
        <f t="array" ref="Q3388">IFERROR(XLOOKUP(N3388,'Classificação'!A:A,'Classificação'!B:B),"")</f>
        <v/>
      </c>
    </row>
    <row r="3389">
      <c r="A3389" s="10"/>
      <c r="B3389" s="10"/>
      <c r="C3389" s="9" t="str">
        <f t="shared" si="249"/>
        <v/>
      </c>
      <c r="D3389" s="15"/>
      <c r="E3389" s="15"/>
      <c r="F3389" s="15"/>
      <c r="G3389" s="15"/>
      <c r="I3389" s="65"/>
      <c r="J3389" s="13"/>
      <c r="K3389" s="13" t="str">
        <f t="shared" si="412"/>
        <v/>
      </c>
      <c r="L3389" s="15"/>
      <c r="M3389" s="14"/>
      <c r="N3389" s="15"/>
      <c r="O3389" s="10" t="str">
        <f t="shared" si="79"/>
        <v/>
      </c>
      <c r="P3389" s="10" t="str">
        <f t="shared" si="411"/>
        <v/>
      </c>
      <c r="Q3389" s="15" t="str">
        <f t="array" ref="Q3389">IFERROR(XLOOKUP(N3389,'Classificação'!A:A,'Classificação'!B:B),"")</f>
        <v/>
      </c>
    </row>
    <row r="3390">
      <c r="A3390" s="10"/>
      <c r="B3390" s="10"/>
      <c r="C3390" s="9" t="str">
        <f t="shared" si="249"/>
        <v/>
      </c>
      <c r="D3390" s="15"/>
      <c r="E3390" s="15"/>
      <c r="F3390" s="15"/>
      <c r="G3390" s="15"/>
      <c r="I3390" s="65"/>
      <c r="J3390" s="13"/>
      <c r="K3390" s="13" t="str">
        <f t="shared" si="412"/>
        <v/>
      </c>
      <c r="L3390" s="15"/>
      <c r="M3390" s="14"/>
      <c r="N3390" s="15"/>
      <c r="O3390" s="10" t="str">
        <f t="shared" si="79"/>
        <v/>
      </c>
      <c r="P3390" s="10" t="str">
        <f t="shared" si="411"/>
        <v/>
      </c>
      <c r="Q3390" s="15" t="str">
        <f t="array" ref="Q3390">IFERROR(XLOOKUP(N3390,'Classificação'!A:A,'Classificação'!B:B),"")</f>
        <v/>
      </c>
    </row>
    <row r="3391">
      <c r="A3391" s="10"/>
      <c r="B3391" s="10"/>
      <c r="C3391" s="9" t="str">
        <f t="shared" si="249"/>
        <v/>
      </c>
      <c r="D3391" s="15"/>
      <c r="E3391" s="15"/>
      <c r="F3391" s="15"/>
      <c r="G3391" s="15"/>
      <c r="I3391" s="65"/>
      <c r="J3391" s="13"/>
      <c r="K3391" s="13" t="str">
        <f t="shared" si="412"/>
        <v/>
      </c>
      <c r="L3391" s="15"/>
      <c r="M3391" s="14"/>
      <c r="N3391" s="15"/>
      <c r="O3391" s="10" t="str">
        <f t="shared" si="79"/>
        <v/>
      </c>
      <c r="P3391" s="10" t="str">
        <f t="shared" si="411"/>
        <v/>
      </c>
      <c r="Q3391" s="15" t="str">
        <f t="array" ref="Q3391">IFERROR(XLOOKUP(N3391,'Classificação'!A:A,'Classificação'!B:B),"")</f>
        <v/>
      </c>
    </row>
    <row r="3392">
      <c r="A3392" s="10"/>
      <c r="B3392" s="10"/>
      <c r="C3392" s="9" t="str">
        <f t="shared" si="249"/>
        <v/>
      </c>
      <c r="D3392" s="15"/>
      <c r="E3392" s="15"/>
      <c r="F3392" s="15"/>
      <c r="G3392" s="15"/>
      <c r="I3392" s="65"/>
      <c r="J3392" s="13"/>
      <c r="K3392" s="13" t="str">
        <f t="shared" si="412"/>
        <v/>
      </c>
      <c r="L3392" s="15"/>
      <c r="M3392" s="14"/>
      <c r="N3392" s="15"/>
      <c r="O3392" s="10" t="str">
        <f t="shared" si="79"/>
        <v/>
      </c>
      <c r="P3392" s="10" t="str">
        <f t="shared" si="411"/>
        <v/>
      </c>
      <c r="Q3392" s="15" t="str">
        <f t="array" ref="Q3392">IFERROR(XLOOKUP(N3392,'Classificação'!A:A,'Classificação'!B:B),"")</f>
        <v/>
      </c>
    </row>
    <row r="3393">
      <c r="A3393" s="10"/>
      <c r="B3393" s="10"/>
      <c r="C3393" s="9" t="str">
        <f t="shared" si="249"/>
        <v/>
      </c>
      <c r="D3393" s="15"/>
      <c r="E3393" s="15"/>
      <c r="F3393" s="15"/>
      <c r="G3393" s="15"/>
      <c r="I3393" s="65"/>
      <c r="J3393" s="13"/>
      <c r="K3393" s="13" t="str">
        <f t="shared" si="412"/>
        <v/>
      </c>
      <c r="L3393" s="15"/>
      <c r="M3393" s="14"/>
      <c r="N3393" s="15"/>
      <c r="O3393" s="10" t="str">
        <f t="shared" si="79"/>
        <v/>
      </c>
      <c r="P3393" s="10" t="str">
        <f t="shared" si="411"/>
        <v/>
      </c>
      <c r="Q3393" s="15" t="str">
        <f t="array" ref="Q3393">IFERROR(XLOOKUP(N3393,'Classificação'!A:A,'Classificação'!B:B),"")</f>
        <v/>
      </c>
    </row>
    <row r="3394">
      <c r="A3394" s="10"/>
      <c r="B3394" s="10"/>
      <c r="C3394" s="9" t="str">
        <f t="shared" si="249"/>
        <v/>
      </c>
      <c r="D3394" s="15"/>
      <c r="E3394" s="15"/>
      <c r="F3394" s="15"/>
      <c r="G3394" s="15"/>
      <c r="I3394" s="65"/>
      <c r="J3394" s="13"/>
      <c r="K3394" s="13" t="str">
        <f t="shared" si="412"/>
        <v/>
      </c>
      <c r="L3394" s="15"/>
      <c r="M3394" s="14"/>
      <c r="N3394" s="15"/>
      <c r="O3394" s="10"/>
      <c r="P3394" s="10" t="str">
        <f t="shared" si="411"/>
        <v/>
      </c>
      <c r="Q3394" s="15" t="str">
        <f t="array" ref="Q3394">IFERROR(XLOOKUP(N3394,'Classificação'!A:A,'Classificação'!B:B),"")</f>
        <v/>
      </c>
    </row>
    <row r="3395">
      <c r="A3395" s="10"/>
      <c r="B3395" s="10"/>
      <c r="C3395" s="9" t="str">
        <f t="shared" si="249"/>
        <v/>
      </c>
      <c r="D3395" s="15"/>
      <c r="E3395" s="15"/>
      <c r="F3395" s="15"/>
      <c r="G3395" s="15"/>
      <c r="I3395" s="65"/>
      <c r="J3395" s="13"/>
      <c r="K3395" s="13" t="str">
        <f t="shared" si="412"/>
        <v/>
      </c>
      <c r="L3395" s="15"/>
      <c r="M3395" s="14"/>
      <c r="N3395" s="15"/>
      <c r="O3395" s="10"/>
      <c r="P3395" s="10" t="str">
        <f t="shared" si="411"/>
        <v/>
      </c>
      <c r="Q3395" s="15" t="str">
        <f t="array" ref="Q3395">IFERROR(XLOOKUP(N3395,'Classificação'!A:A,'Classificação'!B:B),"")</f>
        <v/>
      </c>
    </row>
    <row r="3396">
      <c r="A3396" s="10"/>
      <c r="B3396" s="10"/>
      <c r="C3396" s="9" t="str">
        <f t="shared" si="249"/>
        <v/>
      </c>
      <c r="D3396" s="15"/>
      <c r="E3396" s="15"/>
      <c r="F3396" s="15"/>
      <c r="G3396" s="15"/>
      <c r="I3396" s="65"/>
      <c r="J3396" s="13"/>
      <c r="K3396" s="13" t="str">
        <f t="shared" si="412"/>
        <v/>
      </c>
      <c r="L3396" s="15"/>
      <c r="M3396" s="14"/>
      <c r="N3396" s="15"/>
      <c r="O3396" s="10"/>
      <c r="P3396" s="10" t="str">
        <f t="shared" si="411"/>
        <v/>
      </c>
      <c r="Q3396" s="15" t="str">
        <f t="array" ref="Q3396">IFERROR(XLOOKUP(N3396,'Classificação'!A:A,'Classificação'!B:B),"")</f>
        <v/>
      </c>
    </row>
    <row r="3397">
      <c r="A3397" s="10"/>
      <c r="B3397" s="10"/>
      <c r="C3397" s="9" t="str">
        <f t="shared" si="249"/>
        <v/>
      </c>
      <c r="D3397" s="15"/>
      <c r="E3397" s="15"/>
      <c r="F3397" s="15"/>
      <c r="G3397" s="15"/>
      <c r="I3397" s="65"/>
      <c r="J3397" s="13"/>
      <c r="K3397" s="13" t="str">
        <f t="shared" si="412"/>
        <v/>
      </c>
      <c r="L3397" s="15"/>
      <c r="M3397" s="14"/>
      <c r="N3397" s="15"/>
      <c r="O3397" s="10"/>
      <c r="P3397" s="10" t="str">
        <f t="shared" si="411"/>
        <v/>
      </c>
      <c r="Q3397" s="15" t="str">
        <f t="array" ref="Q3397">IFERROR(XLOOKUP(N3397,'Classificação'!A:A,'Classificação'!B:B),"")</f>
        <v/>
      </c>
    </row>
    <row r="3398">
      <c r="A3398" s="10"/>
      <c r="B3398" s="10"/>
      <c r="C3398" s="9" t="str">
        <f t="shared" si="249"/>
        <v/>
      </c>
      <c r="D3398" s="15"/>
      <c r="E3398" s="15"/>
      <c r="F3398" s="15"/>
      <c r="G3398" s="15"/>
      <c r="I3398" s="65"/>
      <c r="J3398" s="13"/>
      <c r="K3398" s="13" t="str">
        <f t="shared" si="412"/>
        <v/>
      </c>
      <c r="L3398" s="15"/>
      <c r="M3398" s="14"/>
      <c r="N3398" s="15"/>
      <c r="O3398" s="10"/>
      <c r="P3398" s="10" t="str">
        <f t="shared" si="411"/>
        <v/>
      </c>
      <c r="Q3398" s="15" t="str">
        <f t="array" ref="Q3398">IFERROR(XLOOKUP(N3398,'Classificação'!A:A,'Classificação'!B:B),"")</f>
        <v/>
      </c>
    </row>
    <row r="3399">
      <c r="A3399" s="10"/>
      <c r="B3399" s="10"/>
      <c r="C3399" s="9" t="str">
        <f t="shared" si="249"/>
        <v/>
      </c>
      <c r="D3399" s="15"/>
      <c r="E3399" s="15"/>
      <c r="F3399" s="15"/>
      <c r="G3399" s="15"/>
      <c r="I3399" s="65"/>
      <c r="J3399" s="13"/>
      <c r="K3399" s="13" t="str">
        <f t="shared" si="412"/>
        <v/>
      </c>
      <c r="L3399" s="15"/>
      <c r="M3399" s="14"/>
      <c r="N3399" s="15"/>
      <c r="O3399" s="10"/>
      <c r="P3399" s="10" t="str">
        <f t="shared" si="411"/>
        <v/>
      </c>
      <c r="Q3399" s="15" t="str">
        <f t="array" ref="Q3399">IFERROR(XLOOKUP(N3399,'Classificação'!A:A,'Classificação'!B:B),"")</f>
        <v/>
      </c>
    </row>
    <row r="3400">
      <c r="A3400" s="10"/>
      <c r="B3400" s="10"/>
      <c r="C3400" s="9" t="str">
        <f t="shared" si="249"/>
        <v/>
      </c>
      <c r="D3400" s="15"/>
      <c r="E3400" s="15"/>
      <c r="F3400" s="15"/>
      <c r="G3400" s="15"/>
      <c r="I3400" s="65"/>
      <c r="J3400" s="13"/>
      <c r="K3400" s="13" t="str">
        <f t="shared" si="412"/>
        <v/>
      </c>
      <c r="L3400" s="15"/>
      <c r="M3400" s="14"/>
      <c r="N3400" s="15"/>
      <c r="O3400" s="10"/>
      <c r="P3400" s="10" t="str">
        <f t="shared" si="411"/>
        <v/>
      </c>
      <c r="Q3400" s="15" t="str">
        <f t="array" ref="Q3400">IFERROR(XLOOKUP(N3400,'Classificação'!A:A,'Classificação'!B:B),"")</f>
        <v/>
      </c>
    </row>
    <row r="3401">
      <c r="A3401" s="10"/>
      <c r="B3401" s="10"/>
      <c r="C3401" s="9" t="str">
        <f t="shared" si="249"/>
        <v/>
      </c>
      <c r="D3401" s="15"/>
      <c r="E3401" s="15"/>
      <c r="F3401" s="15"/>
      <c r="G3401" s="15"/>
      <c r="I3401" s="65"/>
      <c r="J3401" s="13"/>
      <c r="K3401" s="13" t="str">
        <f t="shared" si="412"/>
        <v/>
      </c>
      <c r="L3401" s="15"/>
      <c r="M3401" s="14"/>
      <c r="N3401" s="15"/>
      <c r="O3401" s="10"/>
      <c r="P3401" s="10" t="str">
        <f t="shared" si="411"/>
        <v/>
      </c>
      <c r="Q3401" s="15" t="str">
        <f t="array" ref="Q3401">IFERROR(XLOOKUP(N3401,'Classificação'!A:A,'Classificação'!B:B),"")</f>
        <v/>
      </c>
    </row>
    <row r="3402">
      <c r="A3402" s="10"/>
      <c r="B3402" s="10"/>
      <c r="C3402" s="9" t="str">
        <f t="shared" si="249"/>
        <v/>
      </c>
      <c r="D3402" s="15"/>
      <c r="E3402" s="15"/>
      <c r="F3402" s="15"/>
      <c r="G3402" s="15"/>
      <c r="I3402" s="65"/>
      <c r="J3402" s="13"/>
      <c r="K3402" s="13" t="str">
        <f t="shared" si="412"/>
        <v/>
      </c>
      <c r="L3402" s="15"/>
      <c r="M3402" s="14"/>
      <c r="N3402" s="15"/>
      <c r="O3402" s="10"/>
      <c r="P3402" s="10" t="str">
        <f t="shared" si="411"/>
        <v/>
      </c>
      <c r="Q3402" s="15" t="str">
        <f t="array" ref="Q3402">IFERROR(XLOOKUP(N3402,'Classificação'!A:A,'Classificação'!B:B),"")</f>
        <v/>
      </c>
    </row>
    <row r="3403">
      <c r="A3403" s="10"/>
      <c r="B3403" s="10"/>
      <c r="C3403" s="9" t="str">
        <f t="shared" si="249"/>
        <v/>
      </c>
      <c r="D3403" s="15"/>
      <c r="E3403" s="15"/>
      <c r="F3403" s="15"/>
      <c r="G3403" s="15"/>
      <c r="I3403" s="65"/>
      <c r="J3403" s="13"/>
      <c r="K3403" s="13" t="str">
        <f t="shared" si="412"/>
        <v/>
      </c>
      <c r="L3403" s="15"/>
      <c r="M3403" s="14"/>
      <c r="N3403" s="15"/>
      <c r="O3403" s="10"/>
      <c r="P3403" s="10" t="str">
        <f t="shared" si="411"/>
        <v/>
      </c>
      <c r="Q3403" s="15" t="str">
        <f t="array" ref="Q3403">IFERROR(XLOOKUP(N3403,'Classificação'!A:A,'Classificação'!B:B),"")</f>
        <v/>
      </c>
    </row>
    <row r="3404">
      <c r="A3404" s="10"/>
      <c r="B3404" s="10"/>
      <c r="C3404" s="9" t="str">
        <f t="shared" si="249"/>
        <v/>
      </c>
      <c r="D3404" s="15"/>
      <c r="E3404" s="15"/>
      <c r="F3404" s="15"/>
      <c r="G3404" s="15"/>
      <c r="I3404" s="65"/>
      <c r="J3404" s="13"/>
      <c r="K3404" s="13" t="str">
        <f t="shared" si="412"/>
        <v/>
      </c>
      <c r="L3404" s="15"/>
      <c r="M3404" s="14"/>
      <c r="N3404" s="15"/>
      <c r="O3404" s="10"/>
      <c r="P3404" s="10" t="str">
        <f t="shared" si="411"/>
        <v/>
      </c>
      <c r="Q3404" s="15" t="str">
        <f t="array" ref="Q3404">IFERROR(XLOOKUP(N3404,'Classificação'!A:A,'Classificação'!B:B),"")</f>
        <v/>
      </c>
    </row>
    <row r="3405">
      <c r="A3405" s="10"/>
      <c r="B3405" s="10"/>
      <c r="C3405" s="9" t="str">
        <f t="shared" si="249"/>
        <v/>
      </c>
      <c r="D3405" s="15"/>
      <c r="E3405" s="15"/>
      <c r="F3405" s="15"/>
      <c r="G3405" s="15"/>
      <c r="I3405" s="65"/>
      <c r="J3405" s="13"/>
      <c r="K3405" s="13" t="str">
        <f t="shared" si="412"/>
        <v/>
      </c>
      <c r="L3405" s="15"/>
      <c r="M3405" s="14"/>
      <c r="N3405" s="15"/>
      <c r="O3405" s="10"/>
      <c r="P3405" s="10"/>
      <c r="Q3405" s="15" t="str">
        <f t="array" ref="Q3405">IFERROR(XLOOKUP(N3405,'Classificação'!A:A,'Classificação'!B:B),"")</f>
        <v/>
      </c>
    </row>
    <row r="3406">
      <c r="A3406" s="10"/>
      <c r="B3406" s="10"/>
      <c r="C3406" s="9" t="str">
        <f t="shared" si="249"/>
        <v/>
      </c>
      <c r="D3406" s="15"/>
      <c r="E3406" s="15"/>
      <c r="F3406" s="15"/>
      <c r="G3406" s="15"/>
      <c r="I3406" s="65"/>
      <c r="J3406" s="13"/>
      <c r="K3406" s="13" t="str">
        <f t="shared" si="412"/>
        <v/>
      </c>
      <c r="L3406" s="15"/>
      <c r="M3406" s="14"/>
      <c r="N3406" s="15"/>
      <c r="O3406" s="10"/>
      <c r="P3406" s="10"/>
      <c r="Q3406" s="15" t="str">
        <f t="array" ref="Q3406">IFERROR(XLOOKUP(N3406,'Classificação'!A:A,'Classificação'!B:B),"")</f>
        <v/>
      </c>
    </row>
    <row r="3407">
      <c r="A3407" s="10"/>
      <c r="B3407" s="10"/>
      <c r="C3407" s="9" t="str">
        <f t="shared" si="249"/>
        <v/>
      </c>
      <c r="D3407" s="15"/>
      <c r="E3407" s="15"/>
      <c r="F3407" s="15"/>
      <c r="G3407" s="15"/>
      <c r="I3407" s="65"/>
      <c r="J3407" s="13"/>
      <c r="K3407" s="13" t="str">
        <f t="shared" si="412"/>
        <v/>
      </c>
      <c r="L3407" s="15"/>
      <c r="M3407" s="14"/>
      <c r="N3407" s="15"/>
      <c r="O3407" s="10"/>
      <c r="P3407" s="10"/>
      <c r="Q3407" s="15" t="str">
        <f t="array" ref="Q3407">IFERROR(XLOOKUP(N3407,'Classificação'!A:A,'Classificação'!B:B),"")</f>
        <v/>
      </c>
    </row>
    <row r="3408">
      <c r="A3408" s="10"/>
      <c r="B3408" s="10"/>
      <c r="C3408" s="9" t="str">
        <f t="shared" si="249"/>
        <v/>
      </c>
      <c r="D3408" s="15"/>
      <c r="E3408" s="15"/>
      <c r="F3408" s="15"/>
      <c r="G3408" s="15"/>
      <c r="I3408" s="65"/>
      <c r="J3408" s="13"/>
      <c r="K3408" s="13" t="str">
        <f t="shared" si="412"/>
        <v/>
      </c>
      <c r="L3408" s="15"/>
      <c r="M3408" s="14"/>
      <c r="N3408" s="15"/>
      <c r="O3408" s="10"/>
      <c r="P3408" s="10"/>
      <c r="Q3408" s="15" t="str">
        <f t="array" ref="Q3408">IFERROR(XLOOKUP(N3408,'Classificação'!A:A,'Classificação'!B:B),"")</f>
        <v/>
      </c>
    </row>
    <row r="3409">
      <c r="A3409" s="10"/>
      <c r="B3409" s="10"/>
      <c r="C3409" s="9" t="str">
        <f t="shared" si="249"/>
        <v/>
      </c>
      <c r="D3409" s="15"/>
      <c r="E3409" s="15"/>
      <c r="F3409" s="15"/>
      <c r="G3409" s="15"/>
      <c r="I3409" s="65"/>
      <c r="J3409" s="13"/>
      <c r="K3409" s="13" t="str">
        <f t="shared" si="412"/>
        <v/>
      </c>
      <c r="L3409" s="15"/>
      <c r="M3409" s="14"/>
      <c r="N3409" s="15"/>
      <c r="O3409" s="10"/>
      <c r="P3409" s="10"/>
      <c r="Q3409" s="15" t="str">
        <f t="array" ref="Q3409">IFERROR(XLOOKUP(N3409,'Classificação'!A:A,'Classificação'!B:B),"")</f>
        <v/>
      </c>
    </row>
    <row r="3410">
      <c r="A3410" s="10"/>
      <c r="B3410" s="10"/>
      <c r="C3410" s="9" t="str">
        <f t="shared" si="249"/>
        <v/>
      </c>
      <c r="D3410" s="15"/>
      <c r="E3410" s="15"/>
      <c r="F3410" s="15"/>
      <c r="G3410" s="15"/>
      <c r="I3410" s="65"/>
      <c r="J3410" s="13"/>
      <c r="K3410" s="13" t="str">
        <f t="shared" si="412"/>
        <v/>
      </c>
      <c r="L3410" s="15"/>
      <c r="M3410" s="14"/>
      <c r="N3410" s="15"/>
      <c r="O3410" s="10"/>
      <c r="P3410" s="10"/>
      <c r="Q3410" s="15" t="str">
        <f t="array" ref="Q3410">IFERROR(XLOOKUP(N3410,'Classificação'!A:A,'Classificação'!B:B),"")</f>
        <v/>
      </c>
    </row>
    <row r="3411">
      <c r="A3411" s="10"/>
      <c r="B3411" s="10"/>
      <c r="C3411" s="9" t="str">
        <f t="shared" si="249"/>
        <v/>
      </c>
      <c r="D3411" s="15"/>
      <c r="E3411" s="15"/>
      <c r="F3411" s="15"/>
      <c r="G3411" s="15"/>
      <c r="I3411" s="65"/>
      <c r="J3411" s="13"/>
      <c r="K3411" s="13" t="str">
        <f t="shared" si="412"/>
        <v/>
      </c>
      <c r="L3411" s="15"/>
      <c r="M3411" s="14"/>
      <c r="N3411" s="15"/>
      <c r="O3411" s="10"/>
      <c r="P3411" s="10"/>
      <c r="Q3411" s="15" t="str">
        <f t="array" ref="Q3411">IFERROR(XLOOKUP(N3411,'Classificação'!A:A,'Classificação'!B:B),"")</f>
        <v/>
      </c>
    </row>
    <row r="3412">
      <c r="A3412" s="10"/>
      <c r="B3412" s="10"/>
      <c r="C3412" s="9" t="str">
        <f t="shared" si="249"/>
        <v/>
      </c>
      <c r="D3412" s="15"/>
      <c r="E3412" s="15"/>
      <c r="F3412" s="15"/>
      <c r="G3412" s="15"/>
      <c r="I3412" s="65"/>
      <c r="J3412" s="13"/>
      <c r="K3412" s="13" t="str">
        <f t="shared" si="412"/>
        <v/>
      </c>
      <c r="L3412" s="15"/>
      <c r="M3412" s="14"/>
      <c r="N3412" s="15"/>
      <c r="O3412" s="10"/>
      <c r="P3412" s="10"/>
      <c r="Q3412" s="15" t="str">
        <f t="array" ref="Q3412">IFERROR(XLOOKUP(N3412,'Classificação'!A:A,'Classificação'!B:B),"")</f>
        <v/>
      </c>
    </row>
    <row r="3413">
      <c r="A3413" s="10"/>
      <c r="B3413" s="10"/>
      <c r="C3413" s="9" t="str">
        <f t="shared" si="249"/>
        <v/>
      </c>
      <c r="D3413" s="15"/>
      <c r="E3413" s="15"/>
      <c r="F3413" s="15"/>
      <c r="G3413" s="15"/>
      <c r="I3413" s="65"/>
      <c r="J3413" s="13"/>
      <c r="K3413" s="13" t="str">
        <f t="shared" si="412"/>
        <v/>
      </c>
      <c r="L3413" s="15"/>
      <c r="M3413" s="14"/>
      <c r="N3413" s="15"/>
      <c r="O3413" s="10"/>
      <c r="P3413" s="10"/>
      <c r="Q3413" s="15" t="str">
        <f t="array" ref="Q3413">IFERROR(XLOOKUP(N3413,'Classificação'!A:A,'Classificação'!B:B),"")</f>
        <v/>
      </c>
    </row>
    <row r="3414">
      <c r="A3414" s="10"/>
      <c r="B3414" s="10"/>
      <c r="C3414" s="9" t="str">
        <f t="shared" si="249"/>
        <v/>
      </c>
      <c r="D3414" s="15"/>
      <c r="E3414" s="15"/>
      <c r="F3414" s="15"/>
      <c r="G3414" s="15"/>
      <c r="I3414" s="65"/>
      <c r="J3414" s="13"/>
      <c r="K3414" s="13" t="str">
        <f t="shared" si="412"/>
        <v/>
      </c>
      <c r="L3414" s="15"/>
      <c r="M3414" s="14"/>
      <c r="N3414" s="15"/>
      <c r="O3414" s="10"/>
      <c r="P3414" s="10"/>
      <c r="Q3414" s="15" t="str">
        <f t="array" ref="Q3414">IFERROR(XLOOKUP(N3414,'Classificação'!A:A,'Classificação'!B:B),"")</f>
        <v/>
      </c>
    </row>
    <row r="3415">
      <c r="A3415" s="10"/>
      <c r="B3415" s="10"/>
      <c r="C3415" s="9" t="str">
        <f t="shared" si="249"/>
        <v/>
      </c>
      <c r="D3415" s="15"/>
      <c r="E3415" s="15"/>
      <c r="F3415" s="15"/>
      <c r="G3415" s="15"/>
      <c r="I3415" s="65"/>
      <c r="J3415" s="13"/>
      <c r="K3415" s="13" t="str">
        <f t="shared" si="412"/>
        <v/>
      </c>
      <c r="L3415" s="15"/>
      <c r="M3415" s="14"/>
      <c r="N3415" s="15"/>
      <c r="O3415" s="10"/>
      <c r="P3415" s="10"/>
      <c r="Q3415" s="15" t="str">
        <f t="array" ref="Q3415">IFERROR(XLOOKUP(N3415,'Classificação'!A:A,'Classificação'!B:B),"")</f>
        <v/>
      </c>
    </row>
    <row r="3416">
      <c r="A3416" s="10"/>
      <c r="B3416" s="10"/>
      <c r="C3416" s="9" t="str">
        <f t="shared" si="249"/>
        <v/>
      </c>
      <c r="D3416" s="15"/>
      <c r="E3416" s="15"/>
      <c r="F3416" s="15"/>
      <c r="G3416" s="15"/>
      <c r="I3416" s="65"/>
      <c r="J3416" s="13"/>
      <c r="K3416" s="13" t="str">
        <f t="shared" si="412"/>
        <v/>
      </c>
      <c r="L3416" s="15"/>
      <c r="M3416" s="14"/>
      <c r="N3416" s="15"/>
      <c r="O3416" s="10"/>
      <c r="P3416" s="10"/>
      <c r="Q3416" s="15" t="str">
        <f t="array" ref="Q3416">IFERROR(XLOOKUP(N3416,'Classificação'!A:A,'Classificação'!B:B),"")</f>
        <v/>
      </c>
    </row>
    <row r="3417">
      <c r="A3417" s="10"/>
      <c r="B3417" s="10"/>
      <c r="C3417" s="9" t="str">
        <f t="shared" si="249"/>
        <v/>
      </c>
      <c r="D3417" s="15"/>
      <c r="E3417" s="15"/>
      <c r="F3417" s="15"/>
      <c r="G3417" s="15"/>
      <c r="I3417" s="65"/>
      <c r="J3417" s="13"/>
      <c r="K3417" s="13" t="str">
        <f t="shared" si="412"/>
        <v/>
      </c>
      <c r="L3417" s="15"/>
      <c r="M3417" s="14"/>
      <c r="N3417" s="15"/>
      <c r="O3417" s="10"/>
      <c r="P3417" s="10"/>
      <c r="Q3417" s="15" t="str">
        <f t="array" ref="Q3417">IFERROR(XLOOKUP(N3417,'Classificação'!A:A,'Classificação'!B:B),"")</f>
        <v/>
      </c>
    </row>
    <row r="3418">
      <c r="A3418" s="10"/>
      <c r="B3418" s="10"/>
      <c r="C3418" s="9" t="str">
        <f t="shared" si="249"/>
        <v/>
      </c>
      <c r="D3418" s="15"/>
      <c r="E3418" s="15"/>
      <c r="F3418" s="15"/>
      <c r="G3418" s="15"/>
      <c r="I3418" s="65"/>
      <c r="J3418" s="13"/>
      <c r="K3418" s="13" t="str">
        <f t="shared" si="412"/>
        <v/>
      </c>
      <c r="L3418" s="15"/>
      <c r="M3418" s="14"/>
      <c r="N3418" s="15"/>
      <c r="O3418" s="10"/>
      <c r="P3418" s="10"/>
      <c r="Q3418" s="15" t="str">
        <f t="array" ref="Q3418">IFERROR(XLOOKUP(N3418,'Classificação'!A:A,'Classificação'!B:B),"")</f>
        <v/>
      </c>
    </row>
    <row r="3419">
      <c r="A3419" s="10"/>
      <c r="B3419" s="10"/>
      <c r="C3419" s="9" t="str">
        <f t="shared" si="249"/>
        <v/>
      </c>
      <c r="D3419" s="15"/>
      <c r="E3419" s="15"/>
      <c r="F3419" s="15"/>
      <c r="G3419" s="15"/>
      <c r="I3419" s="65"/>
      <c r="J3419" s="13"/>
      <c r="K3419" s="13" t="str">
        <f t="shared" si="412"/>
        <v/>
      </c>
      <c r="L3419" s="15"/>
      <c r="M3419" s="14"/>
      <c r="N3419" s="15"/>
      <c r="O3419" s="10"/>
      <c r="P3419" s="10"/>
      <c r="Q3419" s="15" t="str">
        <f t="array" ref="Q3419">IFERROR(XLOOKUP(N3419,'Classificação'!A:A,'Classificação'!B:B),"")</f>
        <v/>
      </c>
    </row>
    <row r="3420">
      <c r="A3420" s="10"/>
      <c r="B3420" s="10"/>
      <c r="C3420" s="9" t="str">
        <f t="shared" si="249"/>
        <v/>
      </c>
      <c r="D3420" s="15"/>
      <c r="E3420" s="15"/>
      <c r="F3420" s="15"/>
      <c r="G3420" s="15"/>
      <c r="I3420" s="65"/>
      <c r="J3420" s="13"/>
      <c r="K3420" s="13" t="str">
        <f t="shared" si="412"/>
        <v/>
      </c>
      <c r="L3420" s="15"/>
      <c r="M3420" s="14"/>
      <c r="N3420" s="15"/>
      <c r="O3420" s="10"/>
      <c r="P3420" s="10"/>
      <c r="Q3420" s="15" t="str">
        <f t="array" ref="Q3420">IFERROR(XLOOKUP(N3420,'Classificação'!A:A,'Classificação'!B:B),"")</f>
        <v/>
      </c>
    </row>
    <row r="3421">
      <c r="A3421" s="10"/>
      <c r="B3421" s="10"/>
      <c r="C3421" s="9" t="str">
        <f t="shared" si="249"/>
        <v/>
      </c>
      <c r="D3421" s="15"/>
      <c r="E3421" s="15"/>
      <c r="F3421" s="15"/>
      <c r="G3421" s="15"/>
      <c r="I3421" s="65"/>
      <c r="J3421" s="13"/>
      <c r="K3421" s="13" t="str">
        <f t="shared" si="412"/>
        <v/>
      </c>
      <c r="L3421" s="15"/>
      <c r="M3421" s="14"/>
      <c r="N3421" s="15"/>
      <c r="O3421" s="10"/>
      <c r="P3421" s="10"/>
      <c r="Q3421" s="15" t="str">
        <f t="array" ref="Q3421">IFERROR(XLOOKUP(N3421,'Classificação'!A:A,'Classificação'!B:B),"")</f>
        <v/>
      </c>
    </row>
    <row r="3422">
      <c r="A3422" s="10"/>
      <c r="B3422" s="10"/>
      <c r="C3422" s="9" t="str">
        <f t="shared" si="249"/>
        <v/>
      </c>
      <c r="D3422" s="15"/>
      <c r="E3422" s="15"/>
      <c r="F3422" s="15"/>
      <c r="G3422" s="15"/>
      <c r="I3422" s="65"/>
      <c r="J3422" s="13"/>
      <c r="K3422" s="13" t="str">
        <f t="shared" si="412"/>
        <v/>
      </c>
      <c r="L3422" s="15"/>
      <c r="M3422" s="14"/>
      <c r="N3422" s="15"/>
      <c r="O3422" s="10"/>
      <c r="P3422" s="10"/>
      <c r="Q3422" s="15" t="str">
        <f t="array" ref="Q3422">IFERROR(XLOOKUP(N3422,'Classificação'!A:A,'Classificação'!B:B),"")</f>
        <v/>
      </c>
    </row>
    <row r="3423">
      <c r="A3423" s="10"/>
      <c r="B3423" s="10"/>
      <c r="C3423" s="9" t="str">
        <f t="shared" si="249"/>
        <v/>
      </c>
      <c r="D3423" s="15"/>
      <c r="E3423" s="15"/>
      <c r="F3423" s="15"/>
      <c r="G3423" s="15"/>
      <c r="I3423" s="65"/>
      <c r="J3423" s="13"/>
      <c r="K3423" s="13" t="str">
        <f t="shared" si="412"/>
        <v/>
      </c>
      <c r="L3423" s="15"/>
      <c r="M3423" s="14"/>
      <c r="N3423" s="15"/>
      <c r="O3423" s="10"/>
      <c r="P3423" s="10"/>
      <c r="Q3423" s="15" t="str">
        <f t="array" ref="Q3423">IFERROR(XLOOKUP(N3423,'Classificação'!A:A,'Classificação'!B:B),"")</f>
        <v/>
      </c>
    </row>
    <row r="3424">
      <c r="A3424" s="10"/>
      <c r="B3424" s="10"/>
      <c r="C3424" s="9" t="str">
        <f t="shared" si="249"/>
        <v/>
      </c>
      <c r="D3424" s="15"/>
      <c r="E3424" s="15"/>
      <c r="F3424" s="15"/>
      <c r="G3424" s="15"/>
      <c r="I3424" s="65"/>
      <c r="J3424" s="13"/>
      <c r="K3424" s="13" t="str">
        <f t="shared" si="412"/>
        <v/>
      </c>
      <c r="L3424" s="15"/>
      <c r="M3424" s="14"/>
      <c r="N3424" s="15"/>
      <c r="O3424" s="10"/>
      <c r="P3424" s="10"/>
      <c r="Q3424" s="15" t="str">
        <f t="array" ref="Q3424">IFERROR(XLOOKUP(N3424,'Classificação'!A:A,'Classificação'!B:B),"")</f>
        <v/>
      </c>
    </row>
    <row r="3425">
      <c r="A3425" s="10"/>
      <c r="B3425" s="10"/>
      <c r="C3425" s="9" t="str">
        <f t="shared" si="249"/>
        <v/>
      </c>
      <c r="D3425" s="15"/>
      <c r="E3425" s="15"/>
      <c r="F3425" s="15"/>
      <c r="G3425" s="15"/>
      <c r="I3425" s="65"/>
      <c r="J3425" s="13"/>
      <c r="K3425" s="13" t="str">
        <f t="shared" si="412"/>
        <v/>
      </c>
      <c r="L3425" s="15"/>
      <c r="M3425" s="14"/>
      <c r="N3425" s="15"/>
      <c r="O3425" s="10"/>
      <c r="P3425" s="10"/>
      <c r="Q3425" s="15" t="str">
        <f t="array" ref="Q3425">IFERROR(XLOOKUP(N3425,'Classificação'!A:A,'Classificação'!B:B),"")</f>
        <v/>
      </c>
    </row>
    <row r="3426">
      <c r="A3426" s="10"/>
      <c r="B3426" s="10"/>
      <c r="C3426" s="9" t="str">
        <f t="shared" si="249"/>
        <v/>
      </c>
      <c r="D3426" s="15"/>
      <c r="E3426" s="15"/>
      <c r="F3426" s="15"/>
      <c r="G3426" s="15"/>
      <c r="I3426" s="65"/>
      <c r="J3426" s="13"/>
      <c r="K3426" s="13" t="str">
        <f t="shared" si="412"/>
        <v/>
      </c>
      <c r="L3426" s="15"/>
      <c r="M3426" s="14"/>
      <c r="N3426" s="15"/>
      <c r="O3426" s="10"/>
      <c r="P3426" s="10"/>
      <c r="Q3426" s="15" t="str">
        <f t="array" ref="Q3426">IFERROR(XLOOKUP(N3426,'Classificação'!A:A,'Classificação'!B:B),"")</f>
        <v/>
      </c>
    </row>
    <row r="3427">
      <c r="A3427" s="10"/>
      <c r="B3427" s="10"/>
      <c r="C3427" s="9" t="str">
        <f t="shared" si="249"/>
        <v/>
      </c>
      <c r="D3427" s="15"/>
      <c r="E3427" s="15"/>
      <c r="F3427" s="15"/>
      <c r="G3427" s="15"/>
      <c r="I3427" s="65"/>
      <c r="J3427" s="13"/>
      <c r="K3427" s="13" t="str">
        <f t="shared" si="412"/>
        <v/>
      </c>
      <c r="L3427" s="15"/>
      <c r="M3427" s="14"/>
      <c r="N3427" s="15"/>
      <c r="O3427" s="10"/>
      <c r="P3427" s="10"/>
      <c r="Q3427" s="15" t="str">
        <f t="array" ref="Q3427">IFERROR(XLOOKUP(N3427,'Classificação'!A:A,'Classificação'!B:B),"")</f>
        <v/>
      </c>
    </row>
    <row r="3428">
      <c r="A3428" s="10"/>
      <c r="B3428" s="10"/>
      <c r="C3428" s="9" t="str">
        <f t="shared" si="249"/>
        <v/>
      </c>
      <c r="D3428" s="15"/>
      <c r="E3428" s="15"/>
      <c r="F3428" s="15"/>
      <c r="G3428" s="15"/>
      <c r="I3428" s="65"/>
      <c r="J3428" s="13"/>
      <c r="K3428" s="13" t="str">
        <f t="shared" si="412"/>
        <v/>
      </c>
      <c r="L3428" s="15"/>
      <c r="M3428" s="14"/>
      <c r="N3428" s="15"/>
      <c r="O3428" s="10"/>
      <c r="P3428" s="10"/>
      <c r="Q3428" s="15" t="str">
        <f t="array" ref="Q3428">IFERROR(XLOOKUP(N3428,'Classificação'!A:A,'Classificação'!B:B),"")</f>
        <v/>
      </c>
    </row>
    <row r="3429">
      <c r="A3429" s="10"/>
      <c r="B3429" s="10"/>
      <c r="C3429" s="9" t="str">
        <f t="shared" si="249"/>
        <v/>
      </c>
      <c r="D3429" s="15"/>
      <c r="E3429" s="15"/>
      <c r="F3429" s="15"/>
      <c r="G3429" s="15"/>
      <c r="I3429" s="65"/>
      <c r="J3429" s="13"/>
      <c r="K3429" s="13" t="str">
        <f t="shared" si="412"/>
        <v/>
      </c>
      <c r="L3429" s="15"/>
      <c r="M3429" s="14"/>
      <c r="N3429" s="15"/>
      <c r="O3429" s="10"/>
      <c r="P3429" s="10"/>
      <c r="Q3429" s="15" t="str">
        <f t="array" ref="Q3429">IFERROR(XLOOKUP(N3429,'Classificação'!A:A,'Classificação'!B:B),"")</f>
        <v/>
      </c>
    </row>
    <row r="3430">
      <c r="A3430" s="10"/>
      <c r="B3430" s="10"/>
      <c r="C3430" s="9" t="str">
        <f t="shared" si="249"/>
        <v/>
      </c>
      <c r="D3430" s="15"/>
      <c r="E3430" s="15"/>
      <c r="F3430" s="15"/>
      <c r="G3430" s="15"/>
      <c r="I3430" s="65"/>
      <c r="J3430" s="13"/>
      <c r="K3430" s="13" t="str">
        <f t="shared" si="412"/>
        <v/>
      </c>
      <c r="L3430" s="15"/>
      <c r="M3430" s="14"/>
      <c r="N3430" s="15"/>
      <c r="O3430" s="10"/>
      <c r="P3430" s="10"/>
      <c r="Q3430" s="15" t="str">
        <f t="array" ref="Q3430">IFERROR(XLOOKUP(N3430,'Classificação'!A:A,'Classificação'!B:B),"")</f>
        <v/>
      </c>
    </row>
    <row r="3431">
      <c r="A3431" s="10"/>
      <c r="B3431" s="10"/>
      <c r="C3431" s="9" t="str">
        <f t="shared" si="249"/>
        <v/>
      </c>
      <c r="D3431" s="15"/>
      <c r="E3431" s="15"/>
      <c r="F3431" s="15"/>
      <c r="G3431" s="15"/>
      <c r="I3431" s="65"/>
      <c r="J3431" s="13"/>
      <c r="K3431" s="13" t="str">
        <f t="shared" si="412"/>
        <v/>
      </c>
      <c r="L3431" s="15"/>
      <c r="M3431" s="14"/>
      <c r="N3431" s="15"/>
      <c r="O3431" s="10"/>
      <c r="P3431" s="10"/>
      <c r="Q3431" s="15" t="str">
        <f t="array" ref="Q3431">IFERROR(XLOOKUP(N3431,'Classificação'!A:A,'Classificação'!B:B),"")</f>
        <v/>
      </c>
    </row>
    <row r="3432">
      <c r="A3432" s="10"/>
      <c r="B3432" s="10"/>
      <c r="C3432" s="9" t="str">
        <f t="shared" si="249"/>
        <v/>
      </c>
      <c r="D3432" s="15"/>
      <c r="E3432" s="15"/>
      <c r="F3432" s="15"/>
      <c r="G3432" s="15"/>
      <c r="I3432" s="65"/>
      <c r="J3432" s="13"/>
      <c r="K3432" s="13" t="str">
        <f t="shared" si="412"/>
        <v/>
      </c>
      <c r="L3432" s="15"/>
      <c r="M3432" s="14"/>
      <c r="N3432" s="15"/>
      <c r="O3432" s="10"/>
      <c r="P3432" s="10"/>
      <c r="Q3432" s="15" t="str">
        <f t="array" ref="Q3432">IFERROR(XLOOKUP(N3432,'Classificação'!A:A,'Classificação'!B:B),"")</f>
        <v/>
      </c>
    </row>
    <row r="3433">
      <c r="A3433" s="10"/>
      <c r="B3433" s="10"/>
      <c r="C3433" s="9" t="str">
        <f t="shared" si="249"/>
        <v/>
      </c>
      <c r="D3433" s="15"/>
      <c r="E3433" s="15"/>
      <c r="F3433" s="15"/>
      <c r="G3433" s="15"/>
      <c r="I3433" s="65"/>
      <c r="J3433" s="13"/>
      <c r="K3433" s="13" t="str">
        <f t="shared" si="412"/>
        <v/>
      </c>
      <c r="L3433" s="15"/>
      <c r="M3433" s="14"/>
      <c r="N3433" s="15"/>
      <c r="O3433" s="10"/>
      <c r="P3433" s="10"/>
      <c r="Q3433" s="15" t="str">
        <f t="array" ref="Q3433">IFERROR(XLOOKUP(N3433,'Classificação'!A:A,'Classificação'!B:B),"")</f>
        <v/>
      </c>
    </row>
    <row r="3434">
      <c r="A3434" s="10"/>
      <c r="B3434" s="10"/>
      <c r="C3434" s="9" t="str">
        <f t="shared" si="249"/>
        <v/>
      </c>
      <c r="D3434" s="15"/>
      <c r="E3434" s="15"/>
      <c r="F3434" s="15"/>
      <c r="G3434" s="15"/>
      <c r="I3434" s="65"/>
      <c r="J3434" s="13"/>
      <c r="K3434" s="13" t="str">
        <f t="shared" si="412"/>
        <v/>
      </c>
      <c r="L3434" s="15"/>
      <c r="M3434" s="14"/>
      <c r="N3434" s="15"/>
      <c r="O3434" s="10"/>
      <c r="P3434" s="10"/>
      <c r="Q3434" s="15" t="str">
        <f t="array" ref="Q3434">IFERROR(XLOOKUP(N3434,'Classificação'!A:A,'Classificação'!B:B),"")</f>
        <v/>
      </c>
    </row>
    <row r="3435">
      <c r="A3435" s="10"/>
      <c r="B3435" s="10"/>
      <c r="C3435" s="9" t="str">
        <f t="shared" si="249"/>
        <v/>
      </c>
      <c r="D3435" s="15"/>
      <c r="E3435" s="15"/>
      <c r="F3435" s="15"/>
      <c r="G3435" s="15"/>
      <c r="I3435" s="65"/>
      <c r="J3435" s="13"/>
      <c r="K3435" s="13" t="str">
        <f t="shared" si="412"/>
        <v/>
      </c>
      <c r="L3435" s="15"/>
      <c r="M3435" s="14"/>
      <c r="N3435" s="15"/>
      <c r="O3435" s="10"/>
      <c r="P3435" s="10"/>
      <c r="Q3435" s="15" t="str">
        <f t="array" ref="Q3435">IFERROR(XLOOKUP(N3435,'Classificação'!A:A,'Classificação'!B:B),"")</f>
        <v/>
      </c>
    </row>
    <row r="3436">
      <c r="A3436" s="10"/>
      <c r="B3436" s="10"/>
      <c r="C3436" s="9" t="str">
        <f t="shared" si="249"/>
        <v/>
      </c>
      <c r="D3436" s="15"/>
      <c r="E3436" s="15"/>
      <c r="F3436" s="15"/>
      <c r="G3436" s="15"/>
      <c r="I3436" s="65"/>
      <c r="J3436" s="13"/>
      <c r="K3436" s="13" t="str">
        <f t="shared" si="412"/>
        <v/>
      </c>
      <c r="L3436" s="15"/>
      <c r="M3436" s="14"/>
      <c r="N3436" s="15"/>
      <c r="O3436" s="10"/>
      <c r="P3436" s="10"/>
      <c r="Q3436" s="15" t="str">
        <f t="array" ref="Q3436">IFERROR(XLOOKUP(N3436,'Classificação'!A:A,'Classificação'!B:B),"")</f>
        <v/>
      </c>
    </row>
    <row r="3437">
      <c r="A3437" s="10"/>
      <c r="B3437" s="10"/>
      <c r="C3437" s="9" t="str">
        <f t="shared" si="249"/>
        <v/>
      </c>
      <c r="D3437" s="15"/>
      <c r="E3437" s="15"/>
      <c r="F3437" s="15"/>
      <c r="G3437" s="15"/>
      <c r="I3437" s="65"/>
      <c r="J3437" s="13"/>
      <c r="K3437" s="13" t="str">
        <f t="shared" si="412"/>
        <v/>
      </c>
      <c r="L3437" s="15"/>
      <c r="M3437" s="14"/>
      <c r="N3437" s="15"/>
      <c r="O3437" s="10"/>
      <c r="P3437" s="10"/>
      <c r="Q3437" s="15" t="str">
        <f t="array" ref="Q3437">IFERROR(XLOOKUP(N3437,'Classificação'!A:A,'Classificação'!B:B),"")</f>
        <v/>
      </c>
    </row>
    <row r="3438">
      <c r="A3438" s="10"/>
      <c r="B3438" s="10"/>
      <c r="C3438" s="9" t="str">
        <f t="shared" si="249"/>
        <v/>
      </c>
      <c r="D3438" s="15"/>
      <c r="E3438" s="15"/>
      <c r="F3438" s="15"/>
      <c r="G3438" s="15"/>
      <c r="I3438" s="65"/>
      <c r="J3438" s="13"/>
      <c r="K3438" s="13" t="str">
        <f t="shared" si="412"/>
        <v/>
      </c>
      <c r="L3438" s="15"/>
      <c r="M3438" s="14"/>
      <c r="N3438" s="15"/>
      <c r="O3438" s="10"/>
      <c r="P3438" s="10"/>
      <c r="Q3438" s="15" t="str">
        <f t="array" ref="Q3438">IFERROR(XLOOKUP(N3438,'Classificação'!A:A,'Classificação'!B:B),"")</f>
        <v/>
      </c>
    </row>
    <row r="3439">
      <c r="A3439" s="10"/>
      <c r="B3439" s="10"/>
      <c r="C3439" s="9" t="str">
        <f t="shared" si="249"/>
        <v/>
      </c>
      <c r="D3439" s="15"/>
      <c r="E3439" s="15"/>
      <c r="F3439" s="15"/>
      <c r="G3439" s="15"/>
      <c r="I3439" s="65"/>
      <c r="J3439" s="13"/>
      <c r="K3439" s="13" t="str">
        <f t="shared" si="412"/>
        <v/>
      </c>
      <c r="L3439" s="15"/>
      <c r="M3439" s="14"/>
      <c r="N3439" s="15"/>
      <c r="O3439" s="10"/>
      <c r="P3439" s="10"/>
      <c r="Q3439" s="15" t="str">
        <f t="array" ref="Q3439">IFERROR(XLOOKUP(N3439,'Classificação'!A:A,'Classificação'!B:B),"")</f>
        <v/>
      </c>
    </row>
    <row r="3440">
      <c r="A3440" s="10"/>
      <c r="B3440" s="10"/>
      <c r="C3440" s="9" t="str">
        <f t="shared" si="249"/>
        <v/>
      </c>
      <c r="D3440" s="15"/>
      <c r="E3440" s="15"/>
      <c r="F3440" s="15"/>
      <c r="G3440" s="15"/>
      <c r="I3440" s="65"/>
      <c r="J3440" s="13"/>
      <c r="K3440" s="13" t="str">
        <f t="shared" si="412"/>
        <v/>
      </c>
      <c r="L3440" s="15"/>
      <c r="M3440" s="14"/>
      <c r="N3440" s="15"/>
      <c r="O3440" s="10"/>
      <c r="P3440" s="10"/>
      <c r="Q3440" s="15" t="str">
        <f t="array" ref="Q3440">IFERROR(XLOOKUP(N3440,'Classificação'!A:A,'Classificação'!B:B),"")</f>
        <v/>
      </c>
    </row>
    <row r="3441">
      <c r="A3441" s="10"/>
      <c r="B3441" s="10"/>
      <c r="C3441" s="9" t="str">
        <f t="shared" si="249"/>
        <v/>
      </c>
      <c r="D3441" s="15"/>
      <c r="E3441" s="15"/>
      <c r="F3441" s="15"/>
      <c r="G3441" s="15"/>
      <c r="I3441" s="65"/>
      <c r="J3441" s="13"/>
      <c r="K3441" s="13" t="str">
        <f t="shared" si="412"/>
        <v/>
      </c>
      <c r="L3441" s="15"/>
      <c r="M3441" s="14"/>
      <c r="N3441" s="15"/>
      <c r="O3441" s="10"/>
      <c r="P3441" s="10"/>
      <c r="Q3441" s="15" t="str">
        <f t="array" ref="Q3441">IFERROR(XLOOKUP(N3441,'Classificação'!A:A,'Classificação'!B:B),"")</f>
        <v/>
      </c>
    </row>
    <row r="3442">
      <c r="A3442" s="10"/>
      <c r="B3442" s="10"/>
      <c r="C3442" s="9" t="str">
        <f t="shared" si="249"/>
        <v/>
      </c>
      <c r="D3442" s="15"/>
      <c r="E3442" s="15"/>
      <c r="F3442" s="15"/>
      <c r="G3442" s="15"/>
      <c r="I3442" s="65"/>
      <c r="J3442" s="13"/>
      <c r="K3442" s="13" t="str">
        <f t="shared" si="412"/>
        <v/>
      </c>
      <c r="L3442" s="15"/>
      <c r="M3442" s="14"/>
      <c r="N3442" s="15"/>
      <c r="O3442" s="10"/>
      <c r="P3442" s="10"/>
      <c r="Q3442" s="15" t="str">
        <f t="array" ref="Q3442">IFERROR(XLOOKUP(N3442,'Classificação'!A:A,'Classificação'!B:B),"")</f>
        <v/>
      </c>
    </row>
    <row r="3443">
      <c r="A3443" s="10"/>
      <c r="B3443" s="10"/>
      <c r="C3443" s="9" t="str">
        <f t="shared" si="249"/>
        <v/>
      </c>
      <c r="D3443" s="15"/>
      <c r="E3443" s="15"/>
      <c r="F3443" s="15"/>
      <c r="G3443" s="15"/>
      <c r="I3443" s="65"/>
      <c r="J3443" s="13"/>
      <c r="K3443" s="13" t="str">
        <f t="shared" si="412"/>
        <v/>
      </c>
      <c r="L3443" s="15"/>
      <c r="M3443" s="14"/>
      <c r="N3443" s="15"/>
      <c r="O3443" s="10"/>
      <c r="P3443" s="10"/>
      <c r="Q3443" s="15" t="str">
        <f t="array" ref="Q3443">IFERROR(XLOOKUP(N3443,'Classificação'!A:A,'Classificação'!B:B),"")</f>
        <v/>
      </c>
    </row>
    <row r="3444">
      <c r="A3444" s="10"/>
      <c r="B3444" s="10"/>
      <c r="C3444" s="9" t="str">
        <f t="shared" si="249"/>
        <v/>
      </c>
      <c r="D3444" s="15"/>
      <c r="E3444" s="15"/>
      <c r="F3444" s="15"/>
      <c r="G3444" s="15"/>
      <c r="I3444" s="65"/>
      <c r="J3444" s="13"/>
      <c r="K3444" s="13" t="str">
        <f t="shared" si="412"/>
        <v/>
      </c>
      <c r="L3444" s="15"/>
      <c r="M3444" s="14"/>
      <c r="N3444" s="15"/>
      <c r="O3444" s="10"/>
      <c r="P3444" s="10"/>
      <c r="Q3444" s="15" t="str">
        <f t="array" ref="Q3444">IFERROR(XLOOKUP(N3444,'Classificação'!A:A,'Classificação'!B:B),"")</f>
        <v/>
      </c>
    </row>
    <row r="3445">
      <c r="A3445" s="10"/>
      <c r="B3445" s="10"/>
      <c r="C3445" s="9" t="str">
        <f t="shared" si="249"/>
        <v/>
      </c>
      <c r="D3445" s="15"/>
      <c r="E3445" s="15"/>
      <c r="F3445" s="15"/>
      <c r="G3445" s="15"/>
      <c r="I3445" s="65"/>
      <c r="J3445" s="13"/>
      <c r="K3445" s="13" t="str">
        <f t="shared" si="412"/>
        <v/>
      </c>
      <c r="L3445" s="15"/>
      <c r="M3445" s="14"/>
      <c r="N3445" s="15"/>
      <c r="O3445" s="10"/>
      <c r="P3445" s="10"/>
      <c r="Q3445" s="15" t="str">
        <f t="array" ref="Q3445">IFERROR(XLOOKUP(N3445,'Classificação'!A:A,'Classificação'!B:B),"")</f>
        <v/>
      </c>
    </row>
    <row r="3446">
      <c r="A3446" s="10"/>
      <c r="B3446" s="10"/>
      <c r="C3446" s="9" t="str">
        <f t="shared" si="249"/>
        <v/>
      </c>
      <c r="D3446" s="15"/>
      <c r="E3446" s="15"/>
      <c r="F3446" s="15"/>
      <c r="G3446" s="15"/>
      <c r="I3446" s="65"/>
      <c r="J3446" s="13"/>
      <c r="K3446" s="13" t="str">
        <f t="shared" si="412"/>
        <v/>
      </c>
      <c r="L3446" s="15"/>
      <c r="M3446" s="14"/>
      <c r="N3446" s="15"/>
      <c r="O3446" s="10"/>
      <c r="P3446" s="10"/>
      <c r="Q3446" s="15" t="str">
        <f t="array" ref="Q3446">IFERROR(XLOOKUP(N3446,'Classificação'!A:A,'Classificação'!B:B),"")</f>
        <v/>
      </c>
    </row>
    <row r="3447">
      <c r="A3447" s="10"/>
      <c r="B3447" s="10"/>
      <c r="C3447" s="9" t="str">
        <f t="shared" si="249"/>
        <v/>
      </c>
      <c r="D3447" s="15"/>
      <c r="E3447" s="15"/>
      <c r="F3447" s="15"/>
      <c r="G3447" s="15"/>
      <c r="I3447" s="65"/>
      <c r="J3447" s="13"/>
      <c r="K3447" s="13" t="str">
        <f t="shared" si="412"/>
        <v/>
      </c>
      <c r="L3447" s="15"/>
      <c r="M3447" s="14"/>
      <c r="N3447" s="15"/>
      <c r="O3447" s="10"/>
      <c r="P3447" s="10"/>
      <c r="Q3447" s="15" t="str">
        <f t="array" ref="Q3447">IFERROR(XLOOKUP(N3447,'Classificação'!A:A,'Classificação'!B:B),"")</f>
        <v/>
      </c>
    </row>
    <row r="3448">
      <c r="A3448" s="10"/>
      <c r="B3448" s="10"/>
      <c r="C3448" s="9" t="str">
        <f t="shared" si="249"/>
        <v/>
      </c>
      <c r="D3448" s="15"/>
      <c r="E3448" s="15"/>
      <c r="F3448" s="15"/>
      <c r="G3448" s="15"/>
      <c r="I3448" s="65"/>
      <c r="J3448" s="13"/>
      <c r="K3448" s="13" t="str">
        <f t="shared" si="412"/>
        <v/>
      </c>
      <c r="L3448" s="15"/>
      <c r="M3448" s="14"/>
      <c r="N3448" s="15"/>
      <c r="O3448" s="10"/>
      <c r="P3448" s="10"/>
      <c r="Q3448" s="15" t="str">
        <f t="array" ref="Q3448">IFERROR(XLOOKUP(N3448,'Classificação'!A:A,'Classificação'!B:B),"")</f>
        <v/>
      </c>
    </row>
    <row r="3449">
      <c r="A3449" s="10"/>
      <c r="B3449" s="10"/>
      <c r="C3449" s="9" t="str">
        <f t="shared" si="249"/>
        <v/>
      </c>
      <c r="D3449" s="15"/>
      <c r="E3449" s="15"/>
      <c r="F3449" s="15"/>
      <c r="G3449" s="15"/>
      <c r="I3449" s="65"/>
      <c r="J3449" s="13"/>
      <c r="K3449" s="13" t="str">
        <f t="shared" si="412"/>
        <v/>
      </c>
      <c r="L3449" s="15"/>
      <c r="M3449" s="14"/>
      <c r="N3449" s="15"/>
      <c r="O3449" s="10"/>
      <c r="P3449" s="10"/>
      <c r="Q3449" s="15" t="str">
        <f t="array" ref="Q3449">IFERROR(XLOOKUP(N3449,'Classificação'!A:A,'Classificação'!B:B),"")</f>
        <v/>
      </c>
    </row>
    <row r="3450">
      <c r="A3450" s="10"/>
      <c r="B3450" s="10"/>
      <c r="C3450" s="9" t="str">
        <f t="shared" si="249"/>
        <v/>
      </c>
      <c r="D3450" s="15"/>
      <c r="E3450" s="15"/>
      <c r="F3450" s="15"/>
      <c r="G3450" s="15"/>
      <c r="I3450" s="65"/>
      <c r="J3450" s="13"/>
      <c r="K3450" s="13" t="str">
        <f t="shared" si="412"/>
        <v/>
      </c>
      <c r="L3450" s="15"/>
      <c r="M3450" s="14"/>
      <c r="N3450" s="15"/>
      <c r="O3450" s="10"/>
      <c r="P3450" s="10"/>
    </row>
    <row r="3451">
      <c r="A3451" s="10"/>
      <c r="B3451" s="10"/>
      <c r="C3451" s="9" t="str">
        <f t="shared" si="249"/>
        <v/>
      </c>
      <c r="D3451" s="15"/>
      <c r="E3451" s="15"/>
      <c r="F3451" s="15"/>
      <c r="G3451" s="15"/>
      <c r="I3451" s="65"/>
      <c r="J3451" s="13"/>
      <c r="K3451" s="13" t="str">
        <f t="shared" si="412"/>
        <v/>
      </c>
      <c r="L3451" s="15"/>
      <c r="M3451" s="14"/>
      <c r="N3451" s="15"/>
      <c r="O3451" s="10"/>
      <c r="P3451" s="10"/>
    </row>
    <row r="3452">
      <c r="A3452" s="10"/>
      <c r="B3452" s="10"/>
      <c r="C3452" s="9" t="str">
        <f t="shared" si="249"/>
        <v/>
      </c>
      <c r="D3452" s="15"/>
      <c r="E3452" s="15"/>
      <c r="F3452" s="15"/>
      <c r="G3452" s="15"/>
      <c r="I3452" s="65"/>
      <c r="J3452" s="13"/>
      <c r="K3452" s="13" t="str">
        <f t="shared" si="412"/>
        <v/>
      </c>
      <c r="L3452" s="15"/>
      <c r="M3452" s="14"/>
      <c r="N3452" s="15"/>
      <c r="O3452" s="10"/>
      <c r="P3452" s="10"/>
    </row>
    <row r="3453">
      <c r="A3453" s="10"/>
      <c r="B3453" s="10"/>
      <c r="C3453" s="9" t="str">
        <f t="shared" si="249"/>
        <v/>
      </c>
      <c r="D3453" s="15"/>
      <c r="E3453" s="15"/>
      <c r="F3453" s="15"/>
      <c r="G3453" s="15"/>
      <c r="I3453" s="65"/>
      <c r="J3453" s="13"/>
      <c r="K3453" s="13" t="str">
        <f t="shared" si="412"/>
        <v/>
      </c>
      <c r="L3453" s="15"/>
      <c r="M3453" s="14"/>
      <c r="N3453" s="15"/>
      <c r="O3453" s="10"/>
      <c r="P3453" s="10"/>
    </row>
    <row r="3454">
      <c r="A3454" s="10"/>
      <c r="B3454" s="10"/>
      <c r="C3454" s="9" t="str">
        <f t="shared" si="249"/>
        <v/>
      </c>
      <c r="D3454" s="15"/>
      <c r="E3454" s="15"/>
      <c r="F3454" s="15"/>
      <c r="G3454" s="15"/>
      <c r="I3454" s="65"/>
      <c r="J3454" s="13"/>
      <c r="K3454" s="13" t="str">
        <f t="shared" si="412"/>
        <v/>
      </c>
      <c r="L3454" s="15"/>
      <c r="M3454" s="14"/>
      <c r="N3454" s="15"/>
      <c r="O3454" s="10"/>
      <c r="P3454" s="10"/>
    </row>
    <row r="3455">
      <c r="A3455" s="10"/>
      <c r="B3455" s="10"/>
      <c r="C3455" s="9" t="str">
        <f t="shared" si="249"/>
        <v/>
      </c>
      <c r="D3455" s="15"/>
      <c r="E3455" s="15"/>
      <c r="F3455" s="15"/>
      <c r="G3455" s="15"/>
      <c r="I3455" s="65"/>
      <c r="J3455" s="13"/>
      <c r="K3455" s="13" t="str">
        <f t="shared" si="412"/>
        <v/>
      </c>
      <c r="L3455" s="15"/>
      <c r="M3455" s="14"/>
      <c r="N3455" s="15"/>
      <c r="O3455" s="10"/>
      <c r="P3455" s="10"/>
    </row>
    <row r="3456">
      <c r="A3456" s="10"/>
      <c r="B3456" s="10"/>
      <c r="C3456" s="9" t="str">
        <f t="shared" si="249"/>
        <v/>
      </c>
      <c r="D3456" s="15"/>
      <c r="E3456" s="15"/>
      <c r="F3456" s="15"/>
      <c r="G3456" s="15"/>
      <c r="I3456" s="65"/>
      <c r="J3456" s="13"/>
      <c r="K3456" s="13" t="str">
        <f t="shared" si="412"/>
        <v/>
      </c>
      <c r="L3456" s="15"/>
      <c r="M3456" s="14"/>
      <c r="N3456" s="15"/>
      <c r="O3456" s="10"/>
      <c r="P3456" s="10"/>
    </row>
    <row r="3457">
      <c r="A3457" s="10"/>
      <c r="B3457" s="10"/>
      <c r="C3457" s="9" t="str">
        <f t="shared" si="249"/>
        <v/>
      </c>
      <c r="D3457" s="15"/>
      <c r="E3457" s="15"/>
      <c r="F3457" s="15"/>
      <c r="G3457" s="15"/>
      <c r="I3457" s="65"/>
      <c r="J3457" s="13"/>
      <c r="K3457" s="13" t="str">
        <f t="shared" si="412"/>
        <v/>
      </c>
      <c r="L3457" s="15"/>
      <c r="M3457" s="14"/>
      <c r="N3457" s="15"/>
      <c r="O3457" s="10"/>
      <c r="P3457" s="10"/>
    </row>
    <row r="3458">
      <c r="A3458" s="10"/>
      <c r="B3458" s="10"/>
      <c r="C3458" s="9" t="str">
        <f t="shared" si="249"/>
        <v/>
      </c>
      <c r="D3458" s="15"/>
      <c r="E3458" s="15"/>
      <c r="F3458" s="15"/>
      <c r="G3458" s="15"/>
      <c r="I3458" s="65"/>
      <c r="J3458" s="13"/>
      <c r="K3458" s="13" t="str">
        <f t="shared" si="412"/>
        <v/>
      </c>
      <c r="L3458" s="15"/>
      <c r="M3458" s="14"/>
      <c r="N3458" s="15"/>
      <c r="O3458" s="10"/>
      <c r="P3458" s="10"/>
    </row>
    <row r="3459">
      <c r="A3459" s="10"/>
      <c r="B3459" s="10"/>
      <c r="C3459" s="9" t="str">
        <f t="shared" si="249"/>
        <v/>
      </c>
      <c r="D3459" s="15"/>
      <c r="E3459" s="15"/>
      <c r="F3459" s="15"/>
      <c r="G3459" s="15"/>
      <c r="I3459" s="65"/>
      <c r="J3459" s="13"/>
      <c r="K3459" s="13" t="str">
        <f t="shared" si="412"/>
        <v/>
      </c>
      <c r="L3459" s="15"/>
      <c r="M3459" s="14"/>
      <c r="N3459" s="15"/>
      <c r="O3459" s="10"/>
      <c r="P3459" s="10"/>
    </row>
    <row r="3460">
      <c r="A3460" s="10"/>
      <c r="B3460" s="10"/>
      <c r="C3460" s="9" t="str">
        <f t="shared" si="249"/>
        <v/>
      </c>
      <c r="D3460" s="15"/>
      <c r="E3460" s="15"/>
      <c r="F3460" s="15"/>
      <c r="G3460" s="15"/>
      <c r="I3460" s="65"/>
      <c r="J3460" s="13"/>
      <c r="K3460" s="13" t="str">
        <f t="shared" si="412"/>
        <v/>
      </c>
      <c r="L3460" s="15"/>
      <c r="M3460" s="14"/>
      <c r="N3460" s="15"/>
      <c r="O3460" s="10"/>
      <c r="P3460" s="10"/>
    </row>
    <row r="3461">
      <c r="A3461" s="10"/>
      <c r="B3461" s="10"/>
      <c r="C3461" s="9" t="str">
        <f t="shared" si="249"/>
        <v/>
      </c>
      <c r="D3461" s="15"/>
      <c r="E3461" s="15"/>
      <c r="F3461" s="15"/>
      <c r="G3461" s="15"/>
      <c r="I3461" s="65"/>
      <c r="J3461" s="13"/>
      <c r="K3461" s="13" t="str">
        <f t="shared" si="412"/>
        <v/>
      </c>
      <c r="L3461" s="15"/>
      <c r="M3461" s="14"/>
      <c r="N3461" s="15"/>
      <c r="O3461" s="10"/>
      <c r="P3461" s="10"/>
    </row>
    <row r="3462">
      <c r="A3462" s="10"/>
      <c r="B3462" s="10"/>
      <c r="C3462" s="9" t="str">
        <f t="shared" si="249"/>
        <v/>
      </c>
      <c r="D3462" s="15"/>
      <c r="E3462" s="15"/>
      <c r="F3462" s="15"/>
      <c r="G3462" s="15"/>
      <c r="I3462" s="65"/>
      <c r="J3462" s="13"/>
      <c r="K3462" s="13" t="str">
        <f t="shared" si="412"/>
        <v/>
      </c>
      <c r="L3462" s="15"/>
      <c r="M3462" s="14"/>
      <c r="N3462" s="15"/>
      <c r="O3462" s="10"/>
      <c r="P3462" s="10"/>
    </row>
    <row r="3463">
      <c r="A3463" s="10"/>
      <c r="B3463" s="10"/>
      <c r="C3463" s="9" t="str">
        <f t="shared" si="249"/>
        <v/>
      </c>
      <c r="D3463" s="15"/>
      <c r="E3463" s="15"/>
      <c r="F3463" s="15"/>
      <c r="G3463" s="15"/>
      <c r="I3463" s="65"/>
      <c r="J3463" s="13"/>
      <c r="K3463" s="13" t="str">
        <f t="shared" si="412"/>
        <v/>
      </c>
      <c r="L3463" s="15"/>
      <c r="M3463" s="14"/>
      <c r="N3463" s="15"/>
      <c r="O3463" s="10"/>
      <c r="P3463" s="10"/>
    </row>
    <row r="3464">
      <c r="A3464" s="10"/>
      <c r="B3464" s="10"/>
      <c r="C3464" s="9" t="str">
        <f t="shared" si="249"/>
        <v/>
      </c>
      <c r="D3464" s="15"/>
      <c r="E3464" s="15"/>
      <c r="F3464" s="15"/>
      <c r="G3464" s="15"/>
      <c r="I3464" s="65"/>
      <c r="J3464" s="13"/>
      <c r="K3464" s="13" t="str">
        <f t="shared" si="412"/>
        <v/>
      </c>
      <c r="L3464" s="15"/>
      <c r="M3464" s="14"/>
      <c r="N3464" s="15"/>
      <c r="O3464" s="10"/>
      <c r="P3464" s="10"/>
    </row>
    <row r="3465">
      <c r="A3465" s="10"/>
      <c r="B3465" s="10"/>
      <c r="C3465" s="9" t="str">
        <f t="shared" si="249"/>
        <v/>
      </c>
      <c r="D3465" s="15"/>
      <c r="E3465" s="15"/>
      <c r="F3465" s="15"/>
      <c r="G3465" s="15"/>
      <c r="I3465" s="65"/>
      <c r="J3465" s="13"/>
      <c r="K3465" s="13" t="str">
        <f t="shared" si="412"/>
        <v/>
      </c>
      <c r="L3465" s="15"/>
      <c r="M3465" s="14"/>
      <c r="N3465" s="15"/>
      <c r="O3465" s="10"/>
      <c r="P3465" s="10"/>
    </row>
    <row r="3466">
      <c r="A3466" s="10"/>
      <c r="B3466" s="10"/>
      <c r="C3466" s="9" t="str">
        <f t="shared" si="249"/>
        <v/>
      </c>
      <c r="D3466" s="15"/>
      <c r="E3466" s="15"/>
      <c r="F3466" s="15"/>
      <c r="G3466" s="15"/>
      <c r="I3466" s="65"/>
      <c r="J3466" s="13"/>
      <c r="K3466" s="13" t="str">
        <f t="shared" si="412"/>
        <v/>
      </c>
      <c r="L3466" s="15"/>
      <c r="M3466" s="14"/>
      <c r="N3466" s="15"/>
      <c r="O3466" s="10"/>
      <c r="P3466" s="10"/>
    </row>
    <row r="3467">
      <c r="A3467" s="10"/>
      <c r="B3467" s="10"/>
      <c r="C3467" s="9" t="str">
        <f t="shared" si="249"/>
        <v/>
      </c>
      <c r="D3467" s="15"/>
      <c r="E3467" s="15"/>
      <c r="F3467" s="15"/>
      <c r="G3467" s="15"/>
      <c r="I3467" s="65"/>
      <c r="J3467" s="13"/>
      <c r="K3467" s="13" t="str">
        <f t="shared" si="412"/>
        <v/>
      </c>
      <c r="L3467" s="15"/>
      <c r="M3467" s="14"/>
      <c r="N3467" s="15"/>
      <c r="O3467" s="10"/>
      <c r="P3467" s="10"/>
    </row>
    <row r="3468">
      <c r="A3468" s="10"/>
      <c r="B3468" s="10"/>
      <c r="C3468" s="9" t="str">
        <f t="shared" si="249"/>
        <v/>
      </c>
      <c r="D3468" s="15"/>
      <c r="E3468" s="15"/>
      <c r="F3468" s="15"/>
      <c r="G3468" s="15"/>
      <c r="I3468" s="65"/>
      <c r="J3468" s="13"/>
      <c r="K3468" s="13" t="str">
        <f t="shared" si="412"/>
        <v/>
      </c>
      <c r="L3468" s="15"/>
      <c r="M3468" s="14"/>
      <c r="N3468" s="15"/>
      <c r="O3468" s="10"/>
      <c r="P3468" s="10"/>
    </row>
    <row r="3469">
      <c r="A3469" s="10"/>
      <c r="B3469" s="10"/>
      <c r="C3469" s="9" t="str">
        <f t="shared" si="249"/>
        <v/>
      </c>
      <c r="D3469" s="15"/>
      <c r="E3469" s="15"/>
      <c r="F3469" s="15"/>
      <c r="G3469" s="15"/>
      <c r="I3469" s="65"/>
      <c r="J3469" s="13"/>
      <c r="K3469" s="13" t="str">
        <f t="shared" si="412"/>
        <v/>
      </c>
      <c r="L3469" s="15"/>
      <c r="M3469" s="14"/>
      <c r="N3469" s="15"/>
      <c r="O3469" s="10"/>
      <c r="P3469" s="10"/>
    </row>
    <row r="3470">
      <c r="A3470" s="10"/>
      <c r="B3470" s="10"/>
      <c r="C3470" s="9" t="str">
        <f t="shared" si="249"/>
        <v/>
      </c>
      <c r="D3470" s="15"/>
      <c r="E3470" s="15"/>
      <c r="F3470" s="15"/>
      <c r="G3470" s="15"/>
      <c r="I3470" s="65"/>
      <c r="J3470" s="13"/>
      <c r="K3470" s="13" t="str">
        <f t="shared" si="412"/>
        <v/>
      </c>
      <c r="L3470" s="15"/>
      <c r="M3470" s="14"/>
      <c r="N3470" s="15"/>
      <c r="O3470" s="10"/>
      <c r="P3470" s="10"/>
    </row>
    <row r="3471">
      <c r="A3471" s="10"/>
      <c r="B3471" s="10"/>
      <c r="C3471" s="9" t="str">
        <f t="shared" si="249"/>
        <v/>
      </c>
      <c r="D3471" s="15"/>
      <c r="E3471" s="15"/>
      <c r="F3471" s="15"/>
      <c r="G3471" s="15"/>
      <c r="I3471" s="65"/>
      <c r="J3471" s="13"/>
      <c r="K3471" s="13" t="str">
        <f t="shared" si="412"/>
        <v/>
      </c>
      <c r="L3471" s="15"/>
      <c r="M3471" s="14"/>
      <c r="N3471" s="15"/>
      <c r="O3471" s="10"/>
      <c r="P3471" s="10"/>
    </row>
    <row r="3472">
      <c r="A3472" s="10"/>
      <c r="B3472" s="10"/>
      <c r="C3472" s="9" t="str">
        <f t="shared" si="249"/>
        <v/>
      </c>
      <c r="D3472" s="15"/>
      <c r="E3472" s="15"/>
      <c r="F3472" s="15"/>
      <c r="G3472" s="15"/>
      <c r="I3472" s="65"/>
      <c r="J3472" s="13"/>
      <c r="K3472" s="13" t="str">
        <f t="shared" si="412"/>
        <v/>
      </c>
      <c r="L3472" s="15"/>
      <c r="M3472" s="14"/>
      <c r="N3472" s="15"/>
      <c r="O3472" s="10"/>
      <c r="P3472" s="10"/>
    </row>
    <row r="3473">
      <c r="A3473" s="10"/>
      <c r="B3473" s="10"/>
      <c r="C3473" s="9" t="str">
        <f t="shared" si="249"/>
        <v/>
      </c>
      <c r="D3473" s="15"/>
      <c r="E3473" s="15"/>
      <c r="F3473" s="15"/>
      <c r="G3473" s="15"/>
      <c r="I3473" s="65"/>
      <c r="J3473" s="13"/>
      <c r="K3473" s="13" t="str">
        <f t="shared" si="412"/>
        <v/>
      </c>
      <c r="L3473" s="15"/>
      <c r="M3473" s="14"/>
      <c r="N3473" s="15"/>
      <c r="O3473" s="10"/>
      <c r="P3473" s="10"/>
    </row>
    <row r="3474">
      <c r="A3474" s="10"/>
      <c r="B3474" s="10"/>
      <c r="C3474" s="9" t="str">
        <f t="shared" si="249"/>
        <v/>
      </c>
      <c r="D3474" s="15"/>
      <c r="E3474" s="15"/>
      <c r="F3474" s="15"/>
      <c r="G3474" s="15"/>
      <c r="I3474" s="65"/>
      <c r="J3474" s="13"/>
      <c r="K3474" s="13" t="str">
        <f t="shared" si="412"/>
        <v/>
      </c>
      <c r="L3474" s="15"/>
      <c r="M3474" s="14"/>
      <c r="N3474" s="15"/>
      <c r="O3474" s="10"/>
      <c r="P3474" s="10"/>
    </row>
    <row r="3475">
      <c r="A3475" s="10"/>
      <c r="B3475" s="10"/>
      <c r="C3475" s="9" t="str">
        <f t="shared" si="249"/>
        <v/>
      </c>
      <c r="D3475" s="15"/>
      <c r="E3475" s="15"/>
      <c r="F3475" s="15"/>
      <c r="G3475" s="15"/>
      <c r="I3475" s="65"/>
      <c r="J3475" s="13"/>
      <c r="K3475" s="13" t="str">
        <f t="shared" si="412"/>
        <v/>
      </c>
      <c r="L3475" s="15"/>
      <c r="M3475" s="14"/>
      <c r="N3475" s="15"/>
      <c r="O3475" s="10"/>
      <c r="P3475" s="10"/>
    </row>
    <row r="3476">
      <c r="A3476" s="10"/>
      <c r="B3476" s="10"/>
      <c r="C3476" s="9" t="str">
        <f t="shared" si="249"/>
        <v/>
      </c>
      <c r="D3476" s="15"/>
      <c r="E3476" s="15"/>
      <c r="F3476" s="15"/>
      <c r="G3476" s="15"/>
      <c r="I3476" s="65"/>
      <c r="J3476" s="13"/>
      <c r="K3476" s="13" t="str">
        <f t="shared" si="412"/>
        <v/>
      </c>
      <c r="L3476" s="15"/>
      <c r="M3476" s="14"/>
      <c r="N3476" s="15"/>
      <c r="O3476" s="10"/>
      <c r="P3476" s="10"/>
    </row>
    <row r="3477">
      <c r="A3477" s="10"/>
      <c r="B3477" s="10"/>
      <c r="C3477" s="9" t="str">
        <f t="shared" si="249"/>
        <v/>
      </c>
      <c r="D3477" s="15"/>
      <c r="E3477" s="15"/>
      <c r="F3477" s="15"/>
      <c r="G3477" s="15"/>
      <c r="I3477" s="65"/>
      <c r="J3477" s="13"/>
      <c r="K3477" s="13" t="str">
        <f t="shared" si="412"/>
        <v/>
      </c>
      <c r="L3477" s="15"/>
      <c r="M3477" s="14"/>
      <c r="N3477" s="15"/>
      <c r="O3477" s="10"/>
      <c r="P3477" s="10"/>
    </row>
    <row r="3478">
      <c r="A3478" s="10"/>
      <c r="B3478" s="10"/>
      <c r="C3478" s="9" t="str">
        <f t="shared" si="249"/>
        <v/>
      </c>
      <c r="D3478" s="15"/>
      <c r="E3478" s="15"/>
      <c r="F3478" s="15"/>
      <c r="G3478" s="15"/>
      <c r="I3478" s="65"/>
      <c r="J3478" s="13"/>
      <c r="K3478" s="13"/>
      <c r="L3478" s="15"/>
      <c r="M3478" s="14"/>
      <c r="N3478" s="15"/>
      <c r="O3478" s="10"/>
      <c r="P3478" s="10"/>
    </row>
    <row r="3479">
      <c r="A3479" s="10"/>
      <c r="B3479" s="10"/>
      <c r="C3479" s="9" t="str">
        <f t="shared" si="249"/>
        <v/>
      </c>
      <c r="D3479" s="15"/>
      <c r="E3479" s="15"/>
      <c r="F3479" s="15"/>
      <c r="G3479" s="15"/>
      <c r="I3479" s="65"/>
      <c r="J3479" s="13"/>
      <c r="K3479" s="13"/>
      <c r="L3479" s="15"/>
      <c r="M3479" s="14"/>
      <c r="N3479" s="15"/>
      <c r="O3479" s="10"/>
      <c r="P3479" s="10"/>
    </row>
    <row r="3480">
      <c r="A3480" s="10"/>
      <c r="B3480" s="10"/>
      <c r="C3480" s="9" t="str">
        <f t="shared" si="249"/>
        <v/>
      </c>
      <c r="D3480" s="15"/>
      <c r="E3480" s="15"/>
      <c r="F3480" s="15"/>
      <c r="G3480" s="15"/>
      <c r="I3480" s="65"/>
      <c r="J3480" s="13"/>
      <c r="K3480" s="13"/>
      <c r="L3480" s="15"/>
      <c r="M3480" s="14"/>
      <c r="N3480" s="15"/>
      <c r="O3480" s="10"/>
      <c r="P3480" s="10"/>
    </row>
    <row r="3481">
      <c r="A3481" s="10"/>
      <c r="B3481" s="10"/>
      <c r="C3481" s="9" t="str">
        <f t="shared" si="249"/>
        <v/>
      </c>
      <c r="D3481" s="15"/>
      <c r="E3481" s="15"/>
      <c r="F3481" s="15"/>
      <c r="G3481" s="15"/>
      <c r="I3481" s="65"/>
      <c r="J3481" s="13"/>
      <c r="K3481" s="13"/>
      <c r="L3481" s="15"/>
      <c r="M3481" s="14"/>
      <c r="N3481" s="15"/>
      <c r="O3481" s="10"/>
      <c r="P3481" s="10"/>
    </row>
    <row r="3482">
      <c r="A3482" s="10"/>
      <c r="B3482" s="10"/>
      <c r="C3482" s="9" t="str">
        <f t="shared" si="249"/>
        <v/>
      </c>
      <c r="D3482" s="15"/>
      <c r="E3482" s="15"/>
      <c r="F3482" s="15"/>
      <c r="G3482" s="15"/>
      <c r="I3482" s="65"/>
      <c r="J3482" s="13"/>
      <c r="K3482" s="13"/>
      <c r="L3482" s="15"/>
      <c r="M3482" s="14"/>
      <c r="N3482" s="15"/>
      <c r="O3482" s="10"/>
      <c r="P3482" s="10"/>
    </row>
    <row r="3483">
      <c r="A3483" s="10"/>
      <c r="B3483" s="10"/>
      <c r="C3483" s="9" t="str">
        <f t="shared" si="249"/>
        <v/>
      </c>
      <c r="D3483" s="15"/>
      <c r="E3483" s="15"/>
      <c r="F3483" s="15"/>
      <c r="G3483" s="15"/>
      <c r="I3483" s="65"/>
      <c r="J3483" s="13"/>
      <c r="K3483" s="13"/>
      <c r="L3483" s="15"/>
      <c r="M3483" s="14"/>
      <c r="N3483" s="15"/>
      <c r="O3483" s="10"/>
      <c r="P3483" s="10"/>
    </row>
    <row r="3484">
      <c r="A3484" s="10"/>
      <c r="B3484" s="10"/>
      <c r="C3484" s="9" t="str">
        <f t="shared" si="249"/>
        <v/>
      </c>
      <c r="D3484" s="15"/>
      <c r="E3484" s="15"/>
      <c r="F3484" s="15"/>
      <c r="G3484" s="15"/>
      <c r="I3484" s="65"/>
      <c r="J3484" s="13"/>
      <c r="K3484" s="13"/>
      <c r="L3484" s="15"/>
      <c r="M3484" s="14"/>
      <c r="N3484" s="15"/>
      <c r="O3484" s="10"/>
      <c r="P3484" s="10"/>
    </row>
    <row r="3485">
      <c r="A3485" s="10"/>
      <c r="B3485" s="10"/>
      <c r="C3485" s="9" t="str">
        <f t="shared" si="249"/>
        <v/>
      </c>
      <c r="D3485" s="15"/>
      <c r="E3485" s="15"/>
      <c r="F3485" s="15"/>
      <c r="G3485" s="15"/>
      <c r="I3485" s="65"/>
      <c r="J3485" s="13"/>
      <c r="K3485" s="13"/>
      <c r="L3485" s="15"/>
      <c r="M3485" s="14"/>
      <c r="N3485" s="15"/>
      <c r="O3485" s="10"/>
      <c r="P3485" s="10"/>
    </row>
    <row r="3486">
      <c r="A3486" s="10"/>
      <c r="B3486" s="10"/>
      <c r="C3486" s="9" t="str">
        <f t="shared" si="249"/>
        <v/>
      </c>
      <c r="D3486" s="15"/>
      <c r="E3486" s="15"/>
      <c r="F3486" s="15"/>
      <c r="G3486" s="15"/>
      <c r="I3486" s="65"/>
      <c r="J3486" s="13"/>
      <c r="K3486" s="13"/>
      <c r="L3486" s="15"/>
      <c r="M3486" s="14"/>
      <c r="N3486" s="15"/>
      <c r="O3486" s="10"/>
      <c r="P3486" s="10"/>
    </row>
    <row r="3487">
      <c r="A3487" s="10"/>
      <c r="B3487" s="10"/>
      <c r="C3487" s="9" t="str">
        <f t="shared" si="249"/>
        <v/>
      </c>
      <c r="D3487" s="15"/>
      <c r="E3487" s="15"/>
      <c r="F3487" s="15"/>
      <c r="G3487" s="15"/>
      <c r="I3487" s="65"/>
      <c r="J3487" s="13"/>
      <c r="K3487" s="13"/>
      <c r="L3487" s="15"/>
      <c r="M3487" s="14"/>
      <c r="N3487" s="15"/>
      <c r="O3487" s="10"/>
      <c r="P3487" s="10"/>
    </row>
    <row r="3488">
      <c r="A3488" s="10"/>
      <c r="B3488" s="10"/>
      <c r="C3488" s="9" t="str">
        <f t="shared" si="249"/>
        <v/>
      </c>
      <c r="D3488" s="15"/>
      <c r="E3488" s="15"/>
      <c r="F3488" s="15"/>
      <c r="G3488" s="15"/>
      <c r="I3488" s="65"/>
      <c r="J3488" s="13"/>
      <c r="K3488" s="13"/>
      <c r="L3488" s="15"/>
      <c r="M3488" s="14"/>
      <c r="N3488" s="15"/>
      <c r="O3488" s="10"/>
      <c r="P3488" s="10"/>
    </row>
    <row r="3489">
      <c r="A3489" s="10"/>
      <c r="B3489" s="10"/>
      <c r="C3489" s="9" t="str">
        <f t="shared" si="249"/>
        <v/>
      </c>
      <c r="D3489" s="15"/>
      <c r="E3489" s="15"/>
      <c r="F3489" s="15"/>
      <c r="G3489" s="15"/>
      <c r="I3489" s="65"/>
      <c r="J3489" s="13"/>
      <c r="K3489" s="13"/>
      <c r="L3489" s="15"/>
      <c r="M3489" s="14"/>
      <c r="N3489" s="15"/>
      <c r="O3489" s="10"/>
      <c r="P3489" s="10"/>
    </row>
    <row r="3490">
      <c r="A3490" s="10"/>
      <c r="B3490" s="10"/>
      <c r="C3490" s="9" t="str">
        <f t="shared" si="249"/>
        <v/>
      </c>
      <c r="D3490" s="15"/>
      <c r="E3490" s="15"/>
      <c r="F3490" s="15"/>
      <c r="G3490" s="15"/>
      <c r="I3490" s="65"/>
      <c r="J3490" s="13"/>
      <c r="K3490" s="13"/>
      <c r="L3490" s="15"/>
      <c r="M3490" s="14"/>
      <c r="N3490" s="15"/>
      <c r="O3490" s="10"/>
      <c r="P3490" s="10"/>
    </row>
    <row r="3491">
      <c r="A3491" s="10"/>
      <c r="B3491" s="10"/>
      <c r="C3491" s="9" t="str">
        <f t="shared" si="249"/>
        <v/>
      </c>
      <c r="D3491" s="15"/>
      <c r="E3491" s="15"/>
      <c r="F3491" s="15"/>
      <c r="G3491" s="15"/>
      <c r="I3491" s="65"/>
      <c r="J3491" s="13"/>
      <c r="K3491" s="13"/>
      <c r="L3491" s="15"/>
      <c r="M3491" s="14"/>
      <c r="N3491" s="15"/>
      <c r="O3491" s="10"/>
      <c r="P3491" s="10"/>
    </row>
    <row r="3492">
      <c r="A3492" s="10"/>
      <c r="B3492" s="10"/>
      <c r="C3492" s="9" t="str">
        <f t="shared" si="249"/>
        <v/>
      </c>
      <c r="D3492" s="15"/>
      <c r="E3492" s="15"/>
      <c r="F3492" s="15"/>
      <c r="G3492" s="15"/>
      <c r="I3492" s="65"/>
      <c r="J3492" s="13"/>
      <c r="K3492" s="13"/>
      <c r="L3492" s="15"/>
      <c r="M3492" s="14"/>
      <c r="N3492" s="15"/>
      <c r="O3492" s="10"/>
      <c r="P3492" s="10"/>
    </row>
    <row r="3493">
      <c r="A3493" s="10"/>
      <c r="B3493" s="10"/>
      <c r="C3493" s="9" t="str">
        <f t="shared" si="249"/>
        <v/>
      </c>
      <c r="D3493" s="15"/>
      <c r="E3493" s="15"/>
      <c r="F3493" s="15"/>
      <c r="G3493" s="15"/>
      <c r="I3493" s="65"/>
      <c r="J3493" s="13"/>
      <c r="K3493" s="13"/>
      <c r="L3493" s="15"/>
      <c r="M3493" s="14"/>
      <c r="N3493" s="15"/>
      <c r="O3493" s="10"/>
      <c r="P3493" s="10"/>
    </row>
    <row r="3494">
      <c r="A3494" s="10"/>
      <c r="B3494" s="10"/>
      <c r="C3494" s="9" t="str">
        <f t="shared" si="249"/>
        <v/>
      </c>
      <c r="D3494" s="15"/>
      <c r="E3494" s="15"/>
      <c r="F3494" s="15"/>
      <c r="G3494" s="15"/>
      <c r="I3494" s="65"/>
      <c r="J3494" s="13"/>
      <c r="K3494" s="13"/>
      <c r="L3494" s="15"/>
      <c r="M3494" s="14"/>
      <c r="N3494" s="15"/>
      <c r="O3494" s="10"/>
      <c r="P3494" s="10"/>
    </row>
    <row r="3495">
      <c r="A3495" s="10"/>
      <c r="B3495" s="10"/>
      <c r="C3495" s="9" t="str">
        <f t="shared" si="249"/>
        <v/>
      </c>
      <c r="D3495" s="15"/>
      <c r="E3495" s="15"/>
      <c r="F3495" s="15"/>
      <c r="G3495" s="15"/>
      <c r="I3495" s="65"/>
      <c r="J3495" s="13"/>
      <c r="K3495" s="13"/>
      <c r="L3495" s="15"/>
      <c r="M3495" s="14"/>
      <c r="N3495" s="15"/>
      <c r="O3495" s="10"/>
      <c r="P3495" s="10"/>
    </row>
    <row r="3496">
      <c r="A3496" s="10"/>
      <c r="B3496" s="10"/>
      <c r="C3496" s="9" t="str">
        <f t="shared" si="249"/>
        <v/>
      </c>
      <c r="D3496" s="15"/>
      <c r="E3496" s="15"/>
      <c r="F3496" s="15"/>
      <c r="G3496" s="15"/>
      <c r="I3496" s="65"/>
      <c r="J3496" s="13"/>
      <c r="K3496" s="13"/>
      <c r="L3496" s="15"/>
      <c r="M3496" s="14"/>
      <c r="N3496" s="15"/>
      <c r="O3496" s="10"/>
      <c r="P3496" s="10"/>
    </row>
    <row r="3497">
      <c r="A3497" s="10"/>
      <c r="B3497" s="10"/>
      <c r="C3497" s="9" t="str">
        <f t="shared" si="249"/>
        <v/>
      </c>
      <c r="D3497" s="15"/>
      <c r="E3497" s="15"/>
      <c r="F3497" s="15"/>
      <c r="G3497" s="15"/>
      <c r="I3497" s="65"/>
      <c r="J3497" s="13"/>
      <c r="K3497" s="13"/>
      <c r="L3497" s="15"/>
      <c r="M3497" s="14"/>
      <c r="N3497" s="15"/>
      <c r="O3497" s="10"/>
      <c r="P3497" s="10"/>
    </row>
    <row r="3498">
      <c r="A3498" s="10"/>
      <c r="B3498" s="10"/>
      <c r="C3498" s="9" t="str">
        <f t="shared" si="249"/>
        <v/>
      </c>
      <c r="D3498" s="15"/>
      <c r="E3498" s="15"/>
      <c r="F3498" s="15"/>
      <c r="G3498" s="15"/>
      <c r="I3498" s="65"/>
      <c r="J3498" s="13"/>
      <c r="K3498" s="13"/>
      <c r="L3498" s="15"/>
      <c r="M3498" s="14"/>
      <c r="N3498" s="15"/>
      <c r="O3498" s="10"/>
      <c r="P3498" s="10"/>
    </row>
    <row r="3499">
      <c r="A3499" s="10"/>
      <c r="B3499" s="10"/>
      <c r="C3499" s="9" t="str">
        <f t="shared" si="249"/>
        <v/>
      </c>
      <c r="D3499" s="15"/>
      <c r="E3499" s="15"/>
      <c r="F3499" s="15"/>
      <c r="G3499" s="15"/>
      <c r="I3499" s="65"/>
      <c r="J3499" s="13"/>
      <c r="K3499" s="13"/>
      <c r="L3499" s="15"/>
      <c r="M3499" s="14"/>
      <c r="N3499" s="15"/>
      <c r="O3499" s="10"/>
      <c r="P3499" s="10"/>
    </row>
    <row r="3500">
      <c r="A3500" s="10"/>
      <c r="B3500" s="10"/>
      <c r="C3500" s="9" t="str">
        <f t="shared" si="249"/>
        <v/>
      </c>
      <c r="D3500" s="15"/>
      <c r="E3500" s="15"/>
      <c r="F3500" s="15"/>
      <c r="G3500" s="15"/>
      <c r="I3500" s="65"/>
      <c r="J3500" s="13"/>
      <c r="K3500" s="13"/>
      <c r="L3500" s="15"/>
      <c r="M3500" s="14"/>
      <c r="N3500" s="15"/>
      <c r="O3500" s="10"/>
      <c r="P3500" s="10"/>
    </row>
    <row r="3501">
      <c r="A3501" s="10"/>
      <c r="B3501" s="10"/>
      <c r="C3501" s="9" t="str">
        <f t="shared" si="249"/>
        <v/>
      </c>
      <c r="D3501" s="15"/>
      <c r="E3501" s="15"/>
      <c r="F3501" s="15"/>
      <c r="G3501" s="15"/>
      <c r="I3501" s="65"/>
      <c r="J3501" s="13"/>
      <c r="K3501" s="13"/>
      <c r="L3501" s="15"/>
      <c r="M3501" s="14"/>
      <c r="N3501" s="15"/>
      <c r="O3501" s="10"/>
      <c r="P3501" s="10"/>
    </row>
    <row r="3502">
      <c r="A3502" s="10"/>
      <c r="B3502" s="10"/>
      <c r="C3502" s="9" t="str">
        <f t="shared" si="249"/>
        <v/>
      </c>
      <c r="D3502" s="15"/>
      <c r="E3502" s="15"/>
      <c r="F3502" s="15"/>
      <c r="G3502" s="15"/>
      <c r="I3502" s="65"/>
      <c r="J3502" s="13"/>
      <c r="K3502" s="13"/>
      <c r="L3502" s="15"/>
      <c r="M3502" s="14"/>
      <c r="N3502" s="15"/>
      <c r="O3502" s="10"/>
      <c r="P3502" s="10"/>
    </row>
    <row r="3503">
      <c r="A3503" s="10"/>
      <c r="B3503" s="10"/>
      <c r="C3503" s="9" t="str">
        <f t="shared" si="249"/>
        <v/>
      </c>
      <c r="D3503" s="15"/>
      <c r="E3503" s="15"/>
      <c r="F3503" s="15"/>
      <c r="G3503" s="15"/>
      <c r="I3503" s="65"/>
      <c r="J3503" s="13"/>
      <c r="K3503" s="13"/>
      <c r="L3503" s="15"/>
      <c r="M3503" s="14"/>
      <c r="N3503" s="15"/>
      <c r="O3503" s="10"/>
      <c r="P3503" s="10"/>
    </row>
    <row r="3504">
      <c r="A3504" s="10"/>
      <c r="B3504" s="10"/>
      <c r="C3504" s="9" t="str">
        <f t="shared" si="249"/>
        <v/>
      </c>
      <c r="D3504" s="15"/>
      <c r="E3504" s="15"/>
      <c r="F3504" s="15"/>
      <c r="G3504" s="15"/>
      <c r="I3504" s="65"/>
      <c r="J3504" s="13"/>
      <c r="K3504" s="13"/>
      <c r="L3504" s="15"/>
      <c r="M3504" s="14"/>
      <c r="N3504" s="15"/>
      <c r="O3504" s="10"/>
      <c r="P3504" s="10"/>
    </row>
    <row r="3505">
      <c r="A3505" s="10"/>
      <c r="B3505" s="10"/>
      <c r="C3505" s="9" t="str">
        <f t="shared" si="249"/>
        <v/>
      </c>
      <c r="D3505" s="15"/>
      <c r="E3505" s="15"/>
      <c r="F3505" s="15"/>
      <c r="G3505" s="15"/>
      <c r="I3505" s="65"/>
      <c r="J3505" s="13"/>
      <c r="K3505" s="13"/>
      <c r="L3505" s="15"/>
      <c r="M3505" s="14"/>
      <c r="N3505" s="15"/>
      <c r="O3505" s="10"/>
      <c r="P3505" s="10"/>
    </row>
    <row r="3506">
      <c r="A3506" s="10"/>
      <c r="B3506" s="10"/>
      <c r="C3506" s="9" t="str">
        <f t="shared" si="249"/>
        <v/>
      </c>
      <c r="D3506" s="15"/>
      <c r="E3506" s="15"/>
      <c r="F3506" s="15"/>
      <c r="G3506" s="15"/>
      <c r="I3506" s="65"/>
      <c r="J3506" s="13"/>
      <c r="K3506" s="13"/>
      <c r="L3506" s="15"/>
      <c r="M3506" s="14"/>
      <c r="N3506" s="15"/>
      <c r="O3506" s="10"/>
      <c r="P3506" s="10"/>
    </row>
    <row r="3507">
      <c r="A3507" s="10"/>
      <c r="B3507" s="10"/>
      <c r="C3507" s="9" t="str">
        <f t="shared" si="249"/>
        <v/>
      </c>
      <c r="D3507" s="15"/>
      <c r="E3507" s="15"/>
      <c r="F3507" s="15"/>
      <c r="G3507" s="15"/>
      <c r="I3507" s="65"/>
      <c r="J3507" s="13"/>
      <c r="K3507" s="13"/>
      <c r="L3507" s="15"/>
      <c r="M3507" s="14"/>
      <c r="N3507" s="15"/>
      <c r="O3507" s="10"/>
      <c r="P3507" s="10"/>
    </row>
    <row r="3508">
      <c r="A3508" s="10"/>
      <c r="B3508" s="10"/>
      <c r="C3508" s="9" t="str">
        <f t="shared" si="249"/>
        <v/>
      </c>
      <c r="D3508" s="15"/>
      <c r="E3508" s="15"/>
      <c r="F3508" s="15"/>
      <c r="G3508" s="15"/>
      <c r="I3508" s="65"/>
      <c r="J3508" s="13"/>
      <c r="K3508" s="13"/>
      <c r="L3508" s="15"/>
      <c r="M3508" s="14"/>
      <c r="N3508" s="15"/>
      <c r="O3508" s="10"/>
      <c r="P3508" s="10"/>
    </row>
    <row r="3509">
      <c r="A3509" s="10"/>
      <c r="B3509" s="10"/>
      <c r="C3509" s="9" t="str">
        <f t="shared" si="249"/>
        <v/>
      </c>
      <c r="D3509" s="15"/>
      <c r="E3509" s="15"/>
      <c r="F3509" s="15"/>
      <c r="G3509" s="15"/>
      <c r="I3509" s="65"/>
      <c r="J3509" s="13"/>
      <c r="K3509" s="13"/>
      <c r="L3509" s="15"/>
      <c r="M3509" s="14"/>
      <c r="N3509" s="15"/>
      <c r="O3509" s="10"/>
      <c r="P3509" s="10"/>
    </row>
    <row r="3510">
      <c r="A3510" s="10"/>
      <c r="B3510" s="10"/>
      <c r="C3510" s="9" t="str">
        <f t="shared" si="249"/>
        <v/>
      </c>
      <c r="D3510" s="15"/>
      <c r="E3510" s="15"/>
      <c r="F3510" s="15"/>
      <c r="G3510" s="15"/>
      <c r="I3510" s="65"/>
      <c r="J3510" s="13"/>
      <c r="K3510" s="13"/>
      <c r="L3510" s="15"/>
      <c r="M3510" s="14"/>
      <c r="N3510" s="15"/>
      <c r="O3510" s="10"/>
      <c r="P3510" s="10"/>
    </row>
    <row r="3511">
      <c r="A3511" s="10"/>
      <c r="B3511" s="10"/>
      <c r="C3511" s="9" t="str">
        <f t="shared" si="249"/>
        <v/>
      </c>
      <c r="D3511" s="15"/>
      <c r="E3511" s="15"/>
      <c r="F3511" s="15"/>
      <c r="G3511" s="15"/>
      <c r="I3511" s="65"/>
      <c r="J3511" s="13"/>
      <c r="K3511" s="13"/>
      <c r="L3511" s="15"/>
      <c r="M3511" s="14"/>
      <c r="N3511" s="15"/>
      <c r="O3511" s="10"/>
      <c r="P3511" s="10"/>
    </row>
    <row r="3512">
      <c r="A3512" s="10"/>
      <c r="B3512" s="10"/>
      <c r="C3512" s="9" t="str">
        <f t="shared" si="249"/>
        <v/>
      </c>
      <c r="D3512" s="15"/>
      <c r="E3512" s="15"/>
      <c r="F3512" s="15"/>
      <c r="G3512" s="15"/>
      <c r="I3512" s="65"/>
      <c r="J3512" s="13"/>
      <c r="K3512" s="13"/>
      <c r="L3512" s="15"/>
      <c r="M3512" s="14"/>
      <c r="N3512" s="15"/>
      <c r="O3512" s="10"/>
      <c r="P3512" s="10"/>
    </row>
    <row r="3513">
      <c r="A3513" s="10"/>
      <c r="B3513" s="10"/>
      <c r="C3513" s="9" t="str">
        <f t="shared" si="249"/>
        <v/>
      </c>
      <c r="D3513" s="15"/>
      <c r="E3513" s="15"/>
      <c r="F3513" s="15"/>
      <c r="G3513" s="15"/>
      <c r="I3513" s="65"/>
      <c r="J3513" s="13"/>
      <c r="K3513" s="13"/>
      <c r="L3513" s="15"/>
      <c r="M3513" s="14"/>
      <c r="N3513" s="15"/>
      <c r="O3513" s="10"/>
      <c r="P3513" s="10"/>
    </row>
    <row r="3514">
      <c r="A3514" s="10"/>
      <c r="B3514" s="10"/>
      <c r="C3514" s="9" t="str">
        <f t="shared" si="249"/>
        <v/>
      </c>
      <c r="D3514" s="15"/>
      <c r="E3514" s="15"/>
      <c r="F3514" s="15"/>
      <c r="G3514" s="15"/>
      <c r="I3514" s="65"/>
      <c r="J3514" s="13"/>
      <c r="K3514" s="13"/>
      <c r="L3514" s="15"/>
      <c r="M3514" s="14"/>
      <c r="N3514" s="15"/>
      <c r="O3514" s="10"/>
      <c r="P3514" s="10"/>
    </row>
    <row r="3515">
      <c r="A3515" s="10"/>
      <c r="B3515" s="10"/>
      <c r="C3515" s="9" t="str">
        <f t="shared" si="249"/>
        <v/>
      </c>
      <c r="D3515" s="15"/>
      <c r="E3515" s="15"/>
      <c r="F3515" s="15"/>
      <c r="G3515" s="15"/>
      <c r="I3515" s="65"/>
      <c r="J3515" s="13"/>
      <c r="K3515" s="13"/>
      <c r="L3515" s="15"/>
      <c r="M3515" s="14"/>
      <c r="N3515" s="15"/>
      <c r="O3515" s="10"/>
      <c r="P3515" s="10"/>
    </row>
    <row r="3516">
      <c r="A3516" s="10"/>
      <c r="B3516" s="10"/>
      <c r="C3516" s="9" t="str">
        <f t="shared" si="249"/>
        <v/>
      </c>
      <c r="D3516" s="15"/>
      <c r="E3516" s="15"/>
      <c r="F3516" s="15"/>
      <c r="G3516" s="15"/>
      <c r="I3516" s="65"/>
      <c r="J3516" s="13"/>
      <c r="K3516" s="13"/>
      <c r="L3516" s="15"/>
      <c r="M3516" s="14"/>
      <c r="N3516" s="15"/>
      <c r="O3516" s="10"/>
      <c r="P3516" s="10"/>
    </row>
    <row r="3517">
      <c r="A3517" s="10"/>
      <c r="B3517" s="10"/>
      <c r="C3517" s="9" t="str">
        <f t="shared" si="249"/>
        <v/>
      </c>
      <c r="D3517" s="15"/>
      <c r="E3517" s="15"/>
      <c r="F3517" s="15"/>
      <c r="G3517" s="15"/>
      <c r="I3517" s="65"/>
      <c r="J3517" s="13"/>
      <c r="K3517" s="13"/>
      <c r="L3517" s="15"/>
      <c r="M3517" s="14"/>
      <c r="N3517" s="15"/>
      <c r="O3517" s="10"/>
      <c r="P3517" s="10"/>
    </row>
    <row r="3518">
      <c r="A3518" s="10"/>
      <c r="B3518" s="10"/>
      <c r="C3518" s="9" t="str">
        <f t="shared" si="249"/>
        <v/>
      </c>
      <c r="D3518" s="15"/>
      <c r="E3518" s="15"/>
      <c r="F3518" s="15"/>
      <c r="G3518" s="15"/>
      <c r="I3518" s="65"/>
      <c r="J3518" s="13"/>
      <c r="K3518" s="13"/>
      <c r="L3518" s="15"/>
      <c r="M3518" s="14"/>
      <c r="N3518" s="15"/>
      <c r="O3518" s="10"/>
      <c r="P3518" s="10"/>
    </row>
    <row r="3519">
      <c r="A3519" s="10"/>
      <c r="B3519" s="10"/>
      <c r="C3519" s="9" t="str">
        <f t="shared" si="249"/>
        <v/>
      </c>
      <c r="D3519" s="15"/>
      <c r="E3519" s="15"/>
      <c r="F3519" s="15"/>
      <c r="G3519" s="15"/>
      <c r="I3519" s="65"/>
      <c r="J3519" s="13"/>
      <c r="K3519" s="13"/>
      <c r="L3519" s="15"/>
      <c r="M3519" s="14"/>
      <c r="N3519" s="15"/>
      <c r="O3519" s="10"/>
      <c r="P3519" s="10"/>
    </row>
    <row r="3520">
      <c r="A3520" s="10"/>
      <c r="B3520" s="10"/>
      <c r="C3520" s="9" t="str">
        <f t="shared" si="249"/>
        <v/>
      </c>
      <c r="D3520" s="15"/>
      <c r="E3520" s="15"/>
      <c r="F3520" s="15"/>
      <c r="G3520" s="15"/>
      <c r="I3520" s="65"/>
      <c r="J3520" s="13"/>
      <c r="K3520" s="13"/>
      <c r="L3520" s="15"/>
      <c r="M3520" s="14"/>
      <c r="N3520" s="15"/>
      <c r="O3520" s="10"/>
      <c r="P3520" s="10"/>
    </row>
    <row r="3521">
      <c r="A3521" s="10"/>
      <c r="B3521" s="10"/>
      <c r="C3521" s="9" t="str">
        <f t="shared" si="249"/>
        <v/>
      </c>
      <c r="D3521" s="15"/>
      <c r="E3521" s="15"/>
      <c r="F3521" s="15"/>
      <c r="G3521" s="15"/>
      <c r="I3521" s="65"/>
      <c r="J3521" s="13"/>
      <c r="K3521" s="13"/>
      <c r="L3521" s="15"/>
      <c r="M3521" s="14"/>
      <c r="N3521" s="15"/>
      <c r="O3521" s="10"/>
      <c r="P3521" s="10"/>
    </row>
    <row r="3522">
      <c r="A3522" s="10"/>
      <c r="B3522" s="10"/>
      <c r="C3522" s="9" t="str">
        <f t="shared" si="249"/>
        <v/>
      </c>
      <c r="D3522" s="15"/>
      <c r="E3522" s="15"/>
      <c r="F3522" s="15"/>
      <c r="G3522" s="15"/>
      <c r="I3522" s="65"/>
      <c r="J3522" s="13"/>
      <c r="K3522" s="13"/>
      <c r="L3522" s="15"/>
      <c r="M3522" s="14"/>
      <c r="N3522" s="15"/>
      <c r="O3522" s="10"/>
      <c r="P3522" s="10"/>
    </row>
    <row r="3523">
      <c r="A3523" s="10"/>
      <c r="B3523" s="10"/>
      <c r="C3523" s="9" t="str">
        <f t="shared" si="249"/>
        <v/>
      </c>
      <c r="D3523" s="15"/>
      <c r="E3523" s="15"/>
      <c r="F3523" s="15"/>
      <c r="G3523" s="15"/>
      <c r="I3523" s="65"/>
      <c r="J3523" s="13"/>
      <c r="K3523" s="13"/>
      <c r="L3523" s="15"/>
      <c r="M3523" s="14"/>
      <c r="N3523" s="15"/>
      <c r="O3523" s="10"/>
      <c r="P3523" s="10"/>
    </row>
    <row r="3524">
      <c r="A3524" s="10"/>
      <c r="B3524" s="10"/>
      <c r="C3524" s="9" t="str">
        <f t="shared" si="249"/>
        <v/>
      </c>
      <c r="D3524" s="15"/>
      <c r="E3524" s="15"/>
      <c r="F3524" s="15"/>
      <c r="G3524" s="15"/>
      <c r="I3524" s="65"/>
      <c r="J3524" s="13"/>
      <c r="K3524" s="13"/>
      <c r="L3524" s="15"/>
      <c r="M3524" s="14"/>
      <c r="N3524" s="15"/>
      <c r="O3524" s="10"/>
      <c r="P3524" s="10"/>
    </row>
    <row r="3525">
      <c r="A3525" s="10"/>
      <c r="B3525" s="10"/>
      <c r="C3525" s="9" t="str">
        <f t="shared" si="249"/>
        <v/>
      </c>
      <c r="D3525" s="15"/>
      <c r="E3525" s="15"/>
      <c r="F3525" s="15"/>
      <c r="G3525" s="15"/>
      <c r="I3525" s="65"/>
      <c r="J3525" s="13"/>
      <c r="K3525" s="13"/>
      <c r="L3525" s="15"/>
      <c r="M3525" s="14"/>
      <c r="N3525" s="15"/>
      <c r="O3525" s="10"/>
      <c r="P3525" s="10"/>
    </row>
    <row r="3526">
      <c r="A3526" s="10"/>
      <c r="B3526" s="10"/>
      <c r="C3526" s="9" t="str">
        <f t="shared" si="249"/>
        <v/>
      </c>
      <c r="D3526" s="15"/>
      <c r="E3526" s="15"/>
      <c r="F3526" s="15"/>
      <c r="G3526" s="15"/>
      <c r="I3526" s="65"/>
      <c r="J3526" s="13"/>
      <c r="K3526" s="13"/>
      <c r="L3526" s="15"/>
      <c r="M3526" s="14"/>
      <c r="N3526" s="15"/>
      <c r="O3526" s="10"/>
      <c r="P3526" s="10"/>
    </row>
    <row r="3527">
      <c r="A3527" s="10"/>
      <c r="B3527" s="10"/>
      <c r="C3527" s="9" t="str">
        <f t="shared" si="249"/>
        <v/>
      </c>
      <c r="D3527" s="15"/>
      <c r="E3527" s="15"/>
      <c r="F3527" s="15"/>
      <c r="G3527" s="15"/>
      <c r="I3527" s="65"/>
      <c r="J3527" s="13"/>
      <c r="K3527" s="13"/>
      <c r="L3527" s="15"/>
      <c r="M3527" s="14"/>
      <c r="N3527" s="15"/>
      <c r="O3527" s="10"/>
      <c r="P3527" s="10"/>
    </row>
    <row r="3528">
      <c r="A3528" s="10"/>
      <c r="B3528" s="10"/>
      <c r="C3528" s="9" t="str">
        <f t="shared" si="249"/>
        <v/>
      </c>
      <c r="D3528" s="15"/>
      <c r="E3528" s="15"/>
      <c r="F3528" s="15"/>
      <c r="G3528" s="15"/>
      <c r="I3528" s="65"/>
      <c r="J3528" s="13"/>
      <c r="K3528" s="13"/>
      <c r="L3528" s="15"/>
      <c r="M3528" s="14"/>
      <c r="N3528" s="15"/>
      <c r="O3528" s="10"/>
      <c r="P3528" s="10"/>
    </row>
    <row r="3529">
      <c r="A3529" s="10"/>
      <c r="B3529" s="10"/>
      <c r="C3529" s="9" t="str">
        <f t="shared" si="249"/>
        <v/>
      </c>
      <c r="D3529" s="15"/>
      <c r="E3529" s="15"/>
      <c r="F3529" s="15"/>
      <c r="G3529" s="15"/>
      <c r="I3529" s="65"/>
      <c r="J3529" s="13"/>
      <c r="K3529" s="13"/>
      <c r="L3529" s="15"/>
      <c r="M3529" s="14"/>
      <c r="N3529" s="15"/>
      <c r="O3529" s="10"/>
      <c r="P3529" s="10"/>
    </row>
    <row r="3530">
      <c r="A3530" s="10"/>
      <c r="B3530" s="10"/>
      <c r="C3530" s="9" t="str">
        <f t="shared" si="249"/>
        <v/>
      </c>
      <c r="D3530" s="15"/>
      <c r="E3530" s="15"/>
      <c r="F3530" s="15"/>
      <c r="G3530" s="15"/>
      <c r="I3530" s="65"/>
      <c r="J3530" s="13"/>
      <c r="K3530" s="13"/>
      <c r="L3530" s="15"/>
      <c r="M3530" s="14"/>
      <c r="N3530" s="15"/>
      <c r="O3530" s="10"/>
      <c r="P3530" s="10"/>
    </row>
    <row r="3531">
      <c r="A3531" s="10"/>
      <c r="B3531" s="10"/>
      <c r="C3531" s="9" t="str">
        <f t="shared" si="249"/>
        <v/>
      </c>
      <c r="D3531" s="15"/>
      <c r="E3531" s="15"/>
      <c r="F3531" s="15"/>
      <c r="G3531" s="15"/>
      <c r="I3531" s="65"/>
      <c r="J3531" s="13"/>
      <c r="K3531" s="13"/>
      <c r="L3531" s="15"/>
      <c r="M3531" s="14"/>
      <c r="N3531" s="15"/>
      <c r="O3531" s="10"/>
      <c r="P3531" s="10"/>
    </row>
    <row r="3532">
      <c r="A3532" s="10"/>
      <c r="B3532" s="10"/>
      <c r="C3532" s="9" t="str">
        <f t="shared" si="249"/>
        <v/>
      </c>
      <c r="D3532" s="15"/>
      <c r="E3532" s="15"/>
      <c r="F3532" s="15"/>
      <c r="G3532" s="15"/>
      <c r="I3532" s="65"/>
      <c r="J3532" s="13"/>
      <c r="K3532" s="13"/>
      <c r="L3532" s="15"/>
      <c r="M3532" s="14"/>
      <c r="N3532" s="15"/>
      <c r="O3532" s="10"/>
      <c r="P3532" s="10"/>
    </row>
    <row r="3533">
      <c r="A3533" s="10"/>
      <c r="B3533" s="10"/>
      <c r="C3533" s="9" t="str">
        <f t="shared" si="249"/>
        <v/>
      </c>
      <c r="D3533" s="15"/>
      <c r="E3533" s="15"/>
      <c r="F3533" s="15"/>
      <c r="G3533" s="15"/>
      <c r="I3533" s="65"/>
      <c r="J3533" s="13"/>
      <c r="K3533" s="13"/>
      <c r="L3533" s="15"/>
      <c r="M3533" s="14"/>
      <c r="N3533" s="15"/>
      <c r="O3533" s="10"/>
      <c r="P3533" s="10"/>
    </row>
    <row r="3534">
      <c r="A3534" s="10"/>
      <c r="B3534" s="10"/>
      <c r="C3534" s="9" t="str">
        <f t="shared" si="249"/>
        <v/>
      </c>
      <c r="D3534" s="15"/>
      <c r="E3534" s="15"/>
      <c r="F3534" s="15"/>
      <c r="G3534" s="15"/>
      <c r="I3534" s="65"/>
      <c r="J3534" s="13"/>
      <c r="K3534" s="13"/>
      <c r="L3534" s="15"/>
      <c r="M3534" s="14"/>
      <c r="N3534" s="15"/>
      <c r="O3534" s="10"/>
      <c r="P3534" s="10"/>
    </row>
    <row r="3535">
      <c r="A3535" s="10"/>
      <c r="B3535" s="10"/>
      <c r="C3535" s="9" t="str">
        <f t="shared" si="249"/>
        <v/>
      </c>
      <c r="D3535" s="15"/>
      <c r="E3535" s="15"/>
      <c r="F3535" s="15"/>
      <c r="G3535" s="15"/>
      <c r="I3535" s="65"/>
      <c r="J3535" s="13"/>
      <c r="K3535" s="13"/>
      <c r="L3535" s="15"/>
      <c r="M3535" s="14"/>
      <c r="N3535" s="15"/>
      <c r="O3535" s="10"/>
      <c r="P3535" s="10"/>
    </row>
    <row r="3536">
      <c r="A3536" s="10"/>
      <c r="B3536" s="10"/>
      <c r="C3536" s="9" t="str">
        <f t="shared" si="249"/>
        <v/>
      </c>
      <c r="D3536" s="15"/>
      <c r="E3536" s="15"/>
      <c r="F3536" s="15"/>
      <c r="G3536" s="15"/>
      <c r="I3536" s="65"/>
      <c r="J3536" s="13"/>
      <c r="K3536" s="13"/>
      <c r="L3536" s="15"/>
      <c r="M3536" s="14"/>
      <c r="N3536" s="15"/>
      <c r="O3536" s="10"/>
      <c r="P3536" s="10"/>
    </row>
    <row r="3537">
      <c r="A3537" s="10"/>
      <c r="B3537" s="10"/>
      <c r="C3537" s="9" t="str">
        <f t="shared" si="249"/>
        <v/>
      </c>
      <c r="D3537" s="15"/>
      <c r="E3537" s="15"/>
      <c r="F3537" s="15"/>
      <c r="G3537" s="15"/>
      <c r="I3537" s="65"/>
      <c r="J3537" s="13"/>
      <c r="K3537" s="13"/>
      <c r="L3537" s="15"/>
      <c r="M3537" s="14"/>
      <c r="N3537" s="15"/>
      <c r="O3537" s="10"/>
      <c r="P3537" s="10"/>
    </row>
    <row r="3538">
      <c r="A3538" s="10"/>
      <c r="B3538" s="10"/>
      <c r="C3538" s="9" t="str">
        <f t="shared" si="249"/>
        <v/>
      </c>
      <c r="D3538" s="15"/>
      <c r="E3538" s="15"/>
      <c r="F3538" s="15"/>
      <c r="G3538" s="15"/>
      <c r="I3538" s="65"/>
      <c r="J3538" s="13"/>
      <c r="K3538" s="13"/>
      <c r="L3538" s="15"/>
      <c r="M3538" s="14"/>
      <c r="N3538" s="15"/>
      <c r="O3538" s="10"/>
      <c r="P3538" s="10"/>
    </row>
    <row r="3539">
      <c r="A3539" s="10"/>
      <c r="B3539" s="10"/>
      <c r="C3539" s="9" t="str">
        <f t="shared" si="249"/>
        <v/>
      </c>
      <c r="D3539" s="15"/>
      <c r="E3539" s="15"/>
      <c r="F3539" s="15"/>
      <c r="G3539" s="15"/>
      <c r="I3539" s="65"/>
      <c r="J3539" s="13"/>
      <c r="K3539" s="13"/>
      <c r="L3539" s="15"/>
      <c r="M3539" s="14"/>
      <c r="N3539" s="15"/>
      <c r="O3539" s="10"/>
      <c r="P3539" s="10"/>
    </row>
    <row r="3540">
      <c r="A3540" s="10"/>
      <c r="B3540" s="10"/>
      <c r="C3540" s="9" t="str">
        <f t="shared" si="249"/>
        <v/>
      </c>
      <c r="D3540" s="15"/>
      <c r="E3540" s="15"/>
      <c r="F3540" s="15"/>
      <c r="G3540" s="15"/>
      <c r="I3540" s="65"/>
      <c r="J3540" s="13"/>
      <c r="K3540" s="13"/>
      <c r="L3540" s="15"/>
      <c r="M3540" s="14"/>
      <c r="N3540" s="15"/>
      <c r="O3540" s="10"/>
      <c r="P3540" s="10"/>
    </row>
    <row r="3541">
      <c r="A3541" s="10"/>
      <c r="B3541" s="10"/>
      <c r="C3541" s="9" t="str">
        <f t="shared" si="249"/>
        <v/>
      </c>
      <c r="D3541" s="15"/>
      <c r="E3541" s="15"/>
      <c r="F3541" s="15"/>
      <c r="G3541" s="15"/>
      <c r="I3541" s="65"/>
      <c r="J3541" s="13"/>
      <c r="K3541" s="13"/>
      <c r="L3541" s="15"/>
      <c r="M3541" s="14"/>
      <c r="N3541" s="15"/>
      <c r="O3541" s="10"/>
      <c r="P3541" s="10"/>
    </row>
    <row r="3542">
      <c r="A3542" s="10"/>
      <c r="B3542" s="10"/>
      <c r="C3542" s="9" t="str">
        <f t="shared" si="249"/>
        <v/>
      </c>
      <c r="D3542" s="15"/>
      <c r="E3542" s="15"/>
      <c r="F3542" s="15"/>
      <c r="G3542" s="15"/>
      <c r="I3542" s="65"/>
      <c r="J3542" s="13"/>
      <c r="K3542" s="13"/>
      <c r="L3542" s="15"/>
      <c r="M3542" s="14"/>
      <c r="N3542" s="15"/>
      <c r="O3542" s="10"/>
      <c r="P3542" s="10"/>
    </row>
    <row r="3543">
      <c r="A3543" s="10"/>
      <c r="B3543" s="10"/>
      <c r="C3543" s="9" t="str">
        <f t="shared" si="249"/>
        <v/>
      </c>
      <c r="D3543" s="15"/>
      <c r="E3543" s="15"/>
      <c r="F3543" s="15"/>
      <c r="G3543" s="15"/>
      <c r="I3543" s="65"/>
      <c r="J3543" s="13"/>
      <c r="K3543" s="13"/>
      <c r="L3543" s="15"/>
      <c r="M3543" s="14"/>
      <c r="N3543" s="15"/>
      <c r="O3543" s="10"/>
      <c r="P3543" s="10"/>
    </row>
    <row r="3544">
      <c r="A3544" s="10"/>
      <c r="B3544" s="10"/>
      <c r="C3544" s="9" t="str">
        <f t="shared" si="249"/>
        <v/>
      </c>
      <c r="D3544" s="15"/>
      <c r="E3544" s="15"/>
      <c r="F3544" s="15"/>
      <c r="G3544" s="15"/>
      <c r="I3544" s="65"/>
      <c r="J3544" s="13"/>
      <c r="K3544" s="13"/>
      <c r="L3544" s="15"/>
      <c r="M3544" s="14"/>
      <c r="N3544" s="15"/>
      <c r="O3544" s="10"/>
      <c r="P3544" s="10"/>
    </row>
    <row r="3545">
      <c r="A3545" s="10"/>
      <c r="B3545" s="10"/>
      <c r="C3545" s="9" t="str">
        <f t="shared" si="249"/>
        <v/>
      </c>
      <c r="D3545" s="15"/>
      <c r="E3545" s="15"/>
      <c r="F3545" s="15"/>
      <c r="G3545" s="15"/>
      <c r="I3545" s="65"/>
      <c r="J3545" s="13"/>
      <c r="K3545" s="13"/>
      <c r="L3545" s="15"/>
      <c r="M3545" s="14"/>
      <c r="N3545" s="15"/>
      <c r="O3545" s="10"/>
      <c r="P3545" s="10"/>
    </row>
    <row r="3546">
      <c r="A3546" s="10"/>
      <c r="B3546" s="10"/>
      <c r="C3546" s="9" t="str">
        <f t="shared" si="249"/>
        <v/>
      </c>
      <c r="D3546" s="15"/>
      <c r="E3546" s="15"/>
      <c r="F3546" s="15"/>
      <c r="G3546" s="15"/>
      <c r="I3546" s="65"/>
      <c r="J3546" s="13"/>
      <c r="K3546" s="13"/>
      <c r="L3546" s="15"/>
      <c r="M3546" s="14"/>
      <c r="N3546" s="15"/>
      <c r="O3546" s="10"/>
      <c r="P3546" s="10"/>
    </row>
    <row r="3547">
      <c r="A3547" s="10"/>
      <c r="B3547" s="10"/>
      <c r="C3547" s="9" t="str">
        <f t="shared" si="249"/>
        <v/>
      </c>
      <c r="D3547" s="15"/>
      <c r="E3547" s="15"/>
      <c r="F3547" s="15"/>
      <c r="G3547" s="15"/>
      <c r="I3547" s="65"/>
      <c r="J3547" s="13"/>
      <c r="K3547" s="13"/>
      <c r="L3547" s="15"/>
      <c r="M3547" s="14"/>
      <c r="N3547" s="15"/>
      <c r="O3547" s="10"/>
      <c r="P3547" s="10"/>
    </row>
    <row r="3548">
      <c r="A3548" s="10"/>
      <c r="B3548" s="10"/>
      <c r="C3548" s="9" t="str">
        <f t="shared" si="249"/>
        <v/>
      </c>
      <c r="D3548" s="15"/>
      <c r="E3548" s="15"/>
      <c r="F3548" s="15"/>
      <c r="G3548" s="15"/>
      <c r="I3548" s="65"/>
      <c r="J3548" s="13"/>
      <c r="K3548" s="13"/>
      <c r="L3548" s="15"/>
      <c r="M3548" s="14"/>
      <c r="N3548" s="15"/>
      <c r="O3548" s="10"/>
      <c r="P3548" s="10"/>
    </row>
    <row r="3549">
      <c r="A3549" s="10"/>
      <c r="B3549" s="10"/>
      <c r="C3549" s="9" t="str">
        <f t="shared" si="249"/>
        <v/>
      </c>
      <c r="D3549" s="15"/>
      <c r="E3549" s="15"/>
      <c r="F3549" s="15"/>
      <c r="G3549" s="15"/>
      <c r="I3549" s="65"/>
      <c r="J3549" s="13"/>
      <c r="K3549" s="13"/>
      <c r="L3549" s="15"/>
      <c r="M3549" s="14"/>
      <c r="N3549" s="15"/>
      <c r="O3549" s="10"/>
      <c r="P3549" s="10"/>
    </row>
    <row r="3550">
      <c r="A3550" s="10"/>
      <c r="B3550" s="10"/>
      <c r="C3550" s="9" t="str">
        <f t="shared" si="249"/>
        <v/>
      </c>
      <c r="D3550" s="15"/>
      <c r="E3550" s="15"/>
      <c r="F3550" s="15"/>
      <c r="G3550" s="15"/>
      <c r="I3550" s="65"/>
      <c r="J3550" s="13"/>
      <c r="K3550" s="13"/>
      <c r="L3550" s="15"/>
      <c r="M3550" s="14"/>
      <c r="N3550" s="15"/>
      <c r="O3550" s="10"/>
      <c r="P3550" s="10"/>
    </row>
    <row r="3551">
      <c r="A3551" s="10"/>
      <c r="B3551" s="10"/>
      <c r="C3551" s="9" t="str">
        <f t="shared" si="249"/>
        <v/>
      </c>
      <c r="D3551" s="15"/>
      <c r="E3551" s="15"/>
      <c r="F3551" s="15"/>
      <c r="G3551" s="15"/>
      <c r="I3551" s="65"/>
      <c r="J3551" s="13"/>
      <c r="K3551" s="13"/>
      <c r="L3551" s="15"/>
      <c r="M3551" s="14"/>
      <c r="N3551" s="15"/>
      <c r="O3551" s="10"/>
      <c r="P3551" s="10"/>
    </row>
    <row r="3552">
      <c r="A3552" s="10"/>
      <c r="B3552" s="10"/>
      <c r="C3552" s="9" t="str">
        <f t="shared" si="249"/>
        <v/>
      </c>
      <c r="D3552" s="15"/>
      <c r="E3552" s="15"/>
      <c r="F3552" s="15"/>
      <c r="G3552" s="15"/>
      <c r="I3552" s="65"/>
      <c r="J3552" s="13"/>
      <c r="K3552" s="13"/>
      <c r="L3552" s="15"/>
      <c r="M3552" s="14"/>
      <c r="N3552" s="15"/>
      <c r="O3552" s="10"/>
      <c r="P3552" s="10"/>
    </row>
    <row r="3553">
      <c r="A3553" s="10"/>
      <c r="B3553" s="10"/>
      <c r="C3553" s="9" t="str">
        <f t="shared" si="249"/>
        <v/>
      </c>
      <c r="D3553" s="15"/>
      <c r="E3553" s="15"/>
      <c r="F3553" s="15"/>
      <c r="G3553" s="15"/>
      <c r="I3553" s="65"/>
      <c r="J3553" s="13"/>
      <c r="K3553" s="13"/>
      <c r="L3553" s="15"/>
      <c r="M3553" s="14"/>
      <c r="N3553" s="15"/>
      <c r="O3553" s="10"/>
      <c r="P3553" s="10"/>
    </row>
    <row r="3554">
      <c r="A3554" s="10"/>
      <c r="B3554" s="10"/>
      <c r="C3554" s="9" t="str">
        <f t="shared" si="249"/>
        <v/>
      </c>
      <c r="D3554" s="15"/>
      <c r="E3554" s="15"/>
      <c r="F3554" s="15"/>
      <c r="G3554" s="15"/>
      <c r="I3554" s="65"/>
      <c r="J3554" s="13"/>
      <c r="K3554" s="13"/>
      <c r="L3554" s="15"/>
      <c r="M3554" s="14"/>
      <c r="N3554" s="15"/>
      <c r="O3554" s="10"/>
      <c r="P3554" s="10"/>
    </row>
    <row r="3555">
      <c r="A3555" s="10"/>
      <c r="B3555" s="10"/>
      <c r="C3555" s="9" t="str">
        <f t="shared" si="249"/>
        <v/>
      </c>
      <c r="D3555" s="15"/>
      <c r="E3555" s="15"/>
      <c r="F3555" s="15"/>
      <c r="G3555" s="15"/>
      <c r="I3555" s="65"/>
      <c r="J3555" s="13"/>
      <c r="K3555" s="13"/>
      <c r="L3555" s="15"/>
      <c r="M3555" s="14"/>
      <c r="N3555" s="15"/>
      <c r="O3555" s="10"/>
      <c r="P3555" s="10"/>
    </row>
    <row r="3556">
      <c r="A3556" s="10"/>
      <c r="B3556" s="10"/>
      <c r="C3556" s="9" t="str">
        <f t="shared" si="249"/>
        <v/>
      </c>
      <c r="D3556" s="15"/>
      <c r="E3556" s="15"/>
      <c r="F3556" s="15"/>
      <c r="G3556" s="15"/>
      <c r="I3556" s="65"/>
      <c r="J3556" s="13"/>
      <c r="K3556" s="13"/>
      <c r="L3556" s="15"/>
      <c r="M3556" s="14"/>
      <c r="N3556" s="15"/>
      <c r="O3556" s="10"/>
      <c r="P3556" s="10"/>
    </row>
    <row r="3557">
      <c r="A3557" s="10"/>
      <c r="B3557" s="10"/>
      <c r="C3557" s="9" t="str">
        <f t="shared" si="249"/>
        <v/>
      </c>
      <c r="D3557" s="15"/>
      <c r="E3557" s="15"/>
      <c r="F3557" s="15"/>
      <c r="G3557" s="15"/>
      <c r="I3557" s="65"/>
      <c r="J3557" s="13"/>
      <c r="K3557" s="13"/>
      <c r="L3557" s="15"/>
      <c r="M3557" s="14"/>
      <c r="N3557" s="15"/>
      <c r="O3557" s="10"/>
      <c r="P3557" s="10"/>
    </row>
    <row r="3558">
      <c r="A3558" s="10"/>
      <c r="B3558" s="10"/>
      <c r="C3558" s="9" t="str">
        <f t="shared" si="249"/>
        <v/>
      </c>
      <c r="D3558" s="15"/>
      <c r="E3558" s="15"/>
      <c r="F3558" s="15"/>
      <c r="G3558" s="15"/>
      <c r="I3558" s="65"/>
      <c r="J3558" s="13"/>
      <c r="K3558" s="13"/>
      <c r="L3558" s="15"/>
      <c r="M3558" s="14"/>
      <c r="N3558" s="15"/>
      <c r="O3558" s="10"/>
      <c r="P3558" s="10"/>
    </row>
    <row r="3559">
      <c r="A3559" s="10"/>
      <c r="B3559" s="10"/>
      <c r="C3559" s="9" t="str">
        <f t="shared" si="249"/>
        <v/>
      </c>
      <c r="D3559" s="15"/>
      <c r="E3559" s="15"/>
      <c r="F3559" s="15"/>
      <c r="G3559" s="15"/>
      <c r="I3559" s="65"/>
      <c r="J3559" s="13"/>
      <c r="K3559" s="13"/>
      <c r="L3559" s="15"/>
      <c r="M3559" s="14"/>
      <c r="N3559" s="15"/>
      <c r="O3559" s="10"/>
      <c r="P3559" s="10"/>
    </row>
    <row r="3560">
      <c r="A3560" s="10"/>
      <c r="B3560" s="10"/>
      <c r="C3560" s="9" t="str">
        <f t="shared" si="249"/>
        <v/>
      </c>
      <c r="D3560" s="15"/>
      <c r="E3560" s="15"/>
      <c r="F3560" s="15"/>
      <c r="G3560" s="15"/>
      <c r="I3560" s="65"/>
      <c r="J3560" s="13"/>
      <c r="K3560" s="13"/>
      <c r="L3560" s="15"/>
      <c r="M3560" s="14"/>
      <c r="N3560" s="15"/>
      <c r="O3560" s="10"/>
      <c r="P3560" s="10"/>
    </row>
    <row r="3561">
      <c r="A3561" s="10"/>
      <c r="B3561" s="10"/>
      <c r="C3561" s="9" t="str">
        <f t="shared" si="249"/>
        <v/>
      </c>
      <c r="D3561" s="15"/>
      <c r="E3561" s="15"/>
      <c r="F3561" s="15"/>
      <c r="G3561" s="15"/>
      <c r="I3561" s="65"/>
      <c r="J3561" s="13"/>
      <c r="K3561" s="13"/>
      <c r="L3561" s="15"/>
      <c r="M3561" s="14"/>
      <c r="N3561" s="15"/>
      <c r="O3561" s="10"/>
      <c r="P3561" s="10"/>
    </row>
    <row r="3562">
      <c r="A3562" s="10"/>
      <c r="B3562" s="10"/>
      <c r="C3562" s="9" t="str">
        <f t="shared" si="249"/>
        <v/>
      </c>
      <c r="D3562" s="15"/>
      <c r="E3562" s="15"/>
      <c r="F3562" s="15"/>
      <c r="G3562" s="15"/>
      <c r="I3562" s="65"/>
      <c r="J3562" s="13"/>
      <c r="K3562" s="13"/>
      <c r="L3562" s="15"/>
      <c r="M3562" s="14"/>
      <c r="N3562" s="15"/>
      <c r="O3562" s="10"/>
      <c r="P3562" s="10"/>
    </row>
    <row r="3563">
      <c r="A3563" s="10"/>
      <c r="B3563" s="10"/>
      <c r="C3563" s="9" t="str">
        <f t="shared" si="249"/>
        <v/>
      </c>
      <c r="D3563" s="15"/>
      <c r="E3563" s="15"/>
      <c r="F3563" s="15"/>
      <c r="G3563" s="15"/>
      <c r="I3563" s="65"/>
      <c r="J3563" s="13"/>
      <c r="K3563" s="13"/>
      <c r="L3563" s="15"/>
      <c r="M3563" s="14"/>
      <c r="N3563" s="15"/>
      <c r="O3563" s="10"/>
      <c r="P3563" s="10"/>
    </row>
    <row r="3564">
      <c r="A3564" s="10"/>
      <c r="B3564" s="10"/>
      <c r="C3564" s="9" t="str">
        <f t="shared" si="249"/>
        <v/>
      </c>
      <c r="D3564" s="15"/>
      <c r="E3564" s="15"/>
      <c r="F3564" s="15"/>
      <c r="G3564" s="15"/>
      <c r="I3564" s="65"/>
      <c r="J3564" s="13"/>
      <c r="K3564" s="13"/>
      <c r="L3564" s="15"/>
      <c r="M3564" s="14"/>
      <c r="N3564" s="15"/>
      <c r="O3564" s="10"/>
      <c r="P3564" s="10"/>
    </row>
    <row r="3565">
      <c r="A3565" s="10"/>
      <c r="B3565" s="10"/>
      <c r="C3565" s="9" t="str">
        <f t="shared" si="249"/>
        <v/>
      </c>
      <c r="D3565" s="15"/>
      <c r="E3565" s="15"/>
      <c r="F3565" s="15"/>
      <c r="G3565" s="15"/>
      <c r="I3565" s="65"/>
      <c r="J3565" s="13"/>
      <c r="K3565" s="13"/>
      <c r="L3565" s="15"/>
      <c r="M3565" s="14"/>
      <c r="N3565" s="15"/>
      <c r="O3565" s="10"/>
      <c r="P3565" s="10"/>
    </row>
    <row r="3566">
      <c r="A3566" s="10"/>
      <c r="B3566" s="10"/>
      <c r="C3566" s="9" t="str">
        <f t="shared" si="249"/>
        <v/>
      </c>
      <c r="D3566" s="15"/>
      <c r="E3566" s="15"/>
      <c r="F3566" s="15"/>
      <c r="G3566" s="15"/>
      <c r="I3566" s="65"/>
      <c r="J3566" s="13"/>
      <c r="K3566" s="13"/>
      <c r="L3566" s="15"/>
      <c r="M3566" s="14"/>
      <c r="N3566" s="15"/>
      <c r="O3566" s="10"/>
      <c r="P3566" s="10"/>
    </row>
    <row r="3567">
      <c r="A3567" s="10"/>
      <c r="B3567" s="10"/>
      <c r="C3567" s="9" t="str">
        <f t="shared" si="249"/>
        <v/>
      </c>
      <c r="D3567" s="15"/>
      <c r="E3567" s="15"/>
      <c r="F3567" s="15"/>
      <c r="G3567" s="15"/>
      <c r="I3567" s="65"/>
      <c r="J3567" s="13"/>
      <c r="K3567" s="13"/>
      <c r="L3567" s="15"/>
      <c r="M3567" s="14"/>
      <c r="N3567" s="15"/>
      <c r="O3567" s="10"/>
      <c r="P3567" s="10"/>
    </row>
    <row r="3568">
      <c r="A3568" s="10"/>
      <c r="B3568" s="10"/>
      <c r="C3568" s="9" t="str">
        <f t="shared" si="249"/>
        <v/>
      </c>
      <c r="D3568" s="15"/>
      <c r="E3568" s="15"/>
      <c r="F3568" s="15"/>
      <c r="G3568" s="15"/>
      <c r="I3568" s="65"/>
      <c r="J3568" s="13"/>
      <c r="K3568" s="13"/>
      <c r="L3568" s="15"/>
      <c r="M3568" s="14"/>
      <c r="N3568" s="15"/>
      <c r="O3568" s="10"/>
      <c r="P3568" s="10"/>
    </row>
    <row r="3569">
      <c r="A3569" s="10"/>
      <c r="B3569" s="10"/>
      <c r="C3569" s="9" t="str">
        <f t="shared" si="249"/>
        <v/>
      </c>
      <c r="D3569" s="15"/>
      <c r="E3569" s="15"/>
      <c r="F3569" s="15"/>
      <c r="G3569" s="15"/>
      <c r="I3569" s="65"/>
      <c r="J3569" s="13"/>
      <c r="K3569" s="13"/>
      <c r="L3569" s="15"/>
      <c r="M3569" s="14"/>
      <c r="N3569" s="15"/>
      <c r="O3569" s="10"/>
      <c r="P3569" s="10"/>
    </row>
    <row r="3570">
      <c r="A3570" s="10"/>
      <c r="B3570" s="10"/>
      <c r="C3570" s="9" t="str">
        <f t="shared" si="249"/>
        <v/>
      </c>
      <c r="D3570" s="15"/>
      <c r="E3570" s="15"/>
      <c r="F3570" s="15"/>
      <c r="G3570" s="15"/>
      <c r="I3570" s="65"/>
      <c r="J3570" s="13"/>
      <c r="K3570" s="13"/>
      <c r="L3570" s="15"/>
      <c r="M3570" s="14"/>
      <c r="N3570" s="15"/>
      <c r="O3570" s="10"/>
      <c r="P3570" s="10"/>
    </row>
    <row r="3571">
      <c r="A3571" s="10"/>
      <c r="B3571" s="10"/>
      <c r="C3571" s="9" t="str">
        <f t="shared" si="249"/>
        <v/>
      </c>
      <c r="D3571" s="15"/>
      <c r="E3571" s="15"/>
      <c r="F3571" s="15"/>
      <c r="G3571" s="15"/>
      <c r="I3571" s="65"/>
      <c r="J3571" s="13"/>
      <c r="K3571" s="13"/>
      <c r="L3571" s="15"/>
      <c r="M3571" s="14"/>
      <c r="N3571" s="15"/>
      <c r="O3571" s="10"/>
      <c r="P3571" s="10"/>
    </row>
    <row r="3572">
      <c r="A3572" s="10"/>
      <c r="B3572" s="10"/>
      <c r="C3572" s="9" t="str">
        <f t="shared" si="249"/>
        <v/>
      </c>
      <c r="D3572" s="15"/>
      <c r="E3572" s="15"/>
      <c r="F3572" s="15"/>
      <c r="G3572" s="15"/>
      <c r="I3572" s="65"/>
      <c r="J3572" s="13"/>
      <c r="K3572" s="13"/>
      <c r="L3572" s="15"/>
      <c r="M3572" s="14"/>
      <c r="N3572" s="15"/>
      <c r="O3572" s="10"/>
      <c r="P3572" s="10"/>
    </row>
    <row r="3573">
      <c r="A3573" s="10"/>
      <c r="B3573" s="10"/>
      <c r="C3573" s="9" t="str">
        <f t="shared" si="249"/>
        <v/>
      </c>
      <c r="D3573" s="15"/>
      <c r="E3573" s="15"/>
      <c r="F3573" s="15"/>
      <c r="G3573" s="15"/>
      <c r="I3573" s="65"/>
      <c r="J3573" s="13"/>
      <c r="K3573" s="13"/>
      <c r="L3573" s="15"/>
      <c r="M3573" s="14"/>
      <c r="N3573" s="15"/>
      <c r="O3573" s="10"/>
      <c r="P3573" s="10"/>
    </row>
    <row r="3574">
      <c r="A3574" s="10"/>
      <c r="B3574" s="10"/>
      <c r="C3574" s="9" t="str">
        <f t="shared" si="249"/>
        <v/>
      </c>
      <c r="D3574" s="15"/>
      <c r="E3574" s="15"/>
      <c r="F3574" s="15"/>
      <c r="G3574" s="15"/>
      <c r="I3574" s="65"/>
      <c r="J3574" s="13"/>
      <c r="K3574" s="13"/>
      <c r="L3574" s="15"/>
      <c r="M3574" s="14"/>
      <c r="N3574" s="15"/>
      <c r="O3574" s="10"/>
      <c r="P3574" s="10"/>
    </row>
    <row r="3575">
      <c r="A3575" s="10"/>
      <c r="B3575" s="10"/>
      <c r="C3575" s="9" t="str">
        <f t="shared" si="249"/>
        <v/>
      </c>
      <c r="D3575" s="15"/>
      <c r="E3575" s="15"/>
      <c r="F3575" s="15"/>
      <c r="G3575" s="15"/>
      <c r="I3575" s="65"/>
      <c r="J3575" s="13"/>
      <c r="K3575" s="13"/>
      <c r="L3575" s="15"/>
      <c r="M3575" s="14"/>
      <c r="N3575" s="15"/>
      <c r="O3575" s="10"/>
      <c r="P3575" s="10"/>
    </row>
    <row r="3576">
      <c r="A3576" s="10"/>
      <c r="B3576" s="10"/>
      <c r="C3576" s="9" t="str">
        <f t="shared" si="249"/>
        <v/>
      </c>
      <c r="D3576" s="15"/>
      <c r="E3576" s="15"/>
      <c r="F3576" s="15"/>
      <c r="G3576" s="15"/>
      <c r="I3576" s="65"/>
      <c r="J3576" s="13"/>
      <c r="K3576" s="13"/>
      <c r="L3576" s="15"/>
      <c r="M3576" s="14"/>
      <c r="N3576" s="15"/>
      <c r="O3576" s="10"/>
      <c r="P3576" s="10"/>
    </row>
    <row r="3577">
      <c r="A3577" s="10"/>
      <c r="B3577" s="10"/>
      <c r="C3577" s="9" t="str">
        <f t="shared" si="249"/>
        <v/>
      </c>
      <c r="D3577" s="15"/>
      <c r="E3577" s="15"/>
      <c r="F3577" s="15"/>
      <c r="G3577" s="15"/>
      <c r="I3577" s="65"/>
      <c r="J3577" s="13"/>
      <c r="K3577" s="13"/>
      <c r="L3577" s="15"/>
      <c r="M3577" s="14"/>
      <c r="N3577" s="15"/>
      <c r="O3577" s="10"/>
      <c r="P3577" s="10"/>
    </row>
    <row r="3578">
      <c r="A3578" s="10"/>
      <c r="B3578" s="10"/>
      <c r="C3578" s="9" t="str">
        <f t="shared" si="249"/>
        <v/>
      </c>
      <c r="D3578" s="15"/>
      <c r="E3578" s="15"/>
      <c r="F3578" s="15"/>
      <c r="G3578" s="15"/>
      <c r="I3578" s="65"/>
      <c r="J3578" s="13"/>
      <c r="K3578" s="13"/>
      <c r="L3578" s="15"/>
      <c r="M3578" s="14"/>
      <c r="N3578" s="15"/>
      <c r="O3578" s="10"/>
      <c r="P3578" s="10"/>
    </row>
    <row r="3579">
      <c r="A3579" s="10"/>
      <c r="B3579" s="10"/>
      <c r="C3579" s="9" t="str">
        <f t="shared" si="249"/>
        <v/>
      </c>
      <c r="D3579" s="15"/>
      <c r="E3579" s="15"/>
      <c r="F3579" s="15"/>
      <c r="G3579" s="15"/>
      <c r="I3579" s="65"/>
      <c r="J3579" s="13"/>
      <c r="K3579" s="13"/>
      <c r="L3579" s="15"/>
      <c r="M3579" s="14"/>
      <c r="N3579" s="15"/>
      <c r="O3579" s="10"/>
      <c r="P3579" s="10"/>
    </row>
    <row r="3580">
      <c r="A3580" s="10"/>
      <c r="B3580" s="10"/>
      <c r="C3580" s="9" t="str">
        <f t="shared" si="249"/>
        <v/>
      </c>
      <c r="D3580" s="15"/>
      <c r="E3580" s="15"/>
      <c r="F3580" s="15"/>
      <c r="G3580" s="15"/>
      <c r="I3580" s="65"/>
      <c r="J3580" s="13"/>
      <c r="K3580" s="13"/>
      <c r="L3580" s="15"/>
      <c r="M3580" s="14"/>
      <c r="N3580" s="15"/>
      <c r="O3580" s="10"/>
      <c r="P3580" s="10"/>
    </row>
    <row r="3581">
      <c r="A3581" s="10"/>
      <c r="B3581" s="10"/>
      <c r="C3581" s="9" t="str">
        <f t="shared" si="249"/>
        <v/>
      </c>
      <c r="D3581" s="15"/>
      <c r="E3581" s="15"/>
      <c r="F3581" s="15"/>
      <c r="G3581" s="15"/>
      <c r="I3581" s="65"/>
      <c r="J3581" s="13"/>
      <c r="K3581" s="13"/>
      <c r="L3581" s="15"/>
      <c r="M3581" s="14"/>
      <c r="N3581" s="15"/>
      <c r="O3581" s="10"/>
      <c r="P3581" s="10"/>
    </row>
    <row r="3582">
      <c r="A3582" s="10"/>
      <c r="B3582" s="10"/>
      <c r="C3582" s="9" t="str">
        <f t="shared" si="249"/>
        <v/>
      </c>
      <c r="D3582" s="15"/>
      <c r="E3582" s="15"/>
      <c r="F3582" s="15"/>
      <c r="G3582" s="15"/>
      <c r="I3582" s="65"/>
      <c r="J3582" s="13"/>
      <c r="K3582" s="13"/>
      <c r="L3582" s="15"/>
      <c r="M3582" s="14"/>
      <c r="N3582" s="15"/>
      <c r="O3582" s="10"/>
      <c r="P3582" s="10"/>
    </row>
    <row r="3583">
      <c r="A3583" s="10"/>
      <c r="B3583" s="10"/>
      <c r="C3583" s="9" t="str">
        <f t="shared" si="249"/>
        <v/>
      </c>
      <c r="D3583" s="15"/>
      <c r="E3583" s="15"/>
      <c r="F3583" s="15"/>
      <c r="G3583" s="15"/>
      <c r="I3583" s="65"/>
      <c r="J3583" s="13"/>
      <c r="K3583" s="13"/>
      <c r="L3583" s="15"/>
      <c r="M3583" s="14"/>
      <c r="N3583" s="15"/>
      <c r="O3583" s="10"/>
      <c r="P3583" s="10"/>
    </row>
    <row r="3584">
      <c r="A3584" s="10"/>
      <c r="B3584" s="10"/>
      <c r="C3584" s="9" t="str">
        <f t="shared" si="249"/>
        <v/>
      </c>
      <c r="D3584" s="15"/>
      <c r="E3584" s="15"/>
      <c r="F3584" s="15"/>
      <c r="G3584" s="15"/>
      <c r="I3584" s="65"/>
      <c r="J3584" s="13"/>
      <c r="K3584" s="13"/>
      <c r="L3584" s="15"/>
      <c r="M3584" s="14"/>
      <c r="N3584" s="15"/>
      <c r="O3584" s="10"/>
      <c r="P3584" s="10"/>
    </row>
    <row r="3585">
      <c r="A3585" s="10"/>
      <c r="B3585" s="10"/>
      <c r="C3585" s="9" t="str">
        <f t="shared" si="249"/>
        <v/>
      </c>
      <c r="D3585" s="15"/>
      <c r="E3585" s="15"/>
      <c r="F3585" s="15"/>
      <c r="G3585" s="15"/>
      <c r="I3585" s="65"/>
      <c r="J3585" s="13"/>
      <c r="K3585" s="13"/>
      <c r="L3585" s="15"/>
      <c r="M3585" s="14"/>
      <c r="N3585" s="15"/>
      <c r="O3585" s="10"/>
      <c r="P3585" s="10"/>
    </row>
    <row r="3586">
      <c r="A3586" s="10"/>
      <c r="B3586" s="10"/>
      <c r="C3586" s="9" t="str">
        <f t="shared" si="249"/>
        <v/>
      </c>
      <c r="D3586" s="15"/>
      <c r="E3586" s="15"/>
      <c r="F3586" s="15"/>
      <c r="G3586" s="15"/>
      <c r="I3586" s="65"/>
      <c r="J3586" s="13"/>
      <c r="K3586" s="13"/>
      <c r="L3586" s="15"/>
      <c r="M3586" s="14"/>
      <c r="N3586" s="15"/>
      <c r="O3586" s="10"/>
      <c r="P3586" s="10"/>
    </row>
    <row r="3587">
      <c r="A3587" s="10"/>
      <c r="B3587" s="10"/>
      <c r="C3587" s="9" t="str">
        <f t="shared" si="249"/>
        <v/>
      </c>
      <c r="D3587" s="15"/>
      <c r="E3587" s="15"/>
      <c r="F3587" s="15"/>
      <c r="G3587" s="15"/>
      <c r="I3587" s="65"/>
      <c r="J3587" s="13"/>
      <c r="K3587" s="13"/>
      <c r="L3587" s="15"/>
      <c r="M3587" s="14"/>
      <c r="N3587" s="15"/>
      <c r="O3587" s="10"/>
      <c r="P3587" s="10"/>
    </row>
    <row r="3588">
      <c r="A3588" s="10"/>
      <c r="B3588" s="10"/>
      <c r="C3588" s="9" t="str">
        <f t="shared" si="249"/>
        <v/>
      </c>
      <c r="D3588" s="15"/>
      <c r="E3588" s="15"/>
      <c r="F3588" s="15"/>
      <c r="G3588" s="15"/>
      <c r="I3588" s="65"/>
      <c r="J3588" s="13"/>
      <c r="K3588" s="13"/>
      <c r="L3588" s="15"/>
      <c r="M3588" s="14"/>
      <c r="N3588" s="15"/>
      <c r="O3588" s="10"/>
      <c r="P3588" s="10"/>
    </row>
    <row r="3589">
      <c r="A3589" s="10"/>
      <c r="B3589" s="10"/>
      <c r="C3589" s="9" t="str">
        <f t="shared" si="249"/>
        <v/>
      </c>
      <c r="D3589" s="15"/>
      <c r="E3589" s="15"/>
      <c r="F3589" s="15"/>
      <c r="G3589" s="15"/>
      <c r="I3589" s="65"/>
      <c r="J3589" s="13"/>
      <c r="K3589" s="13"/>
      <c r="L3589" s="15"/>
      <c r="M3589" s="14"/>
      <c r="N3589" s="15"/>
      <c r="O3589" s="10"/>
      <c r="P3589" s="10"/>
    </row>
    <row r="3590">
      <c r="A3590" s="10"/>
      <c r="B3590" s="10"/>
      <c r="C3590" s="9" t="str">
        <f t="shared" si="249"/>
        <v/>
      </c>
      <c r="D3590" s="15"/>
      <c r="E3590" s="15"/>
      <c r="F3590" s="15"/>
      <c r="G3590" s="15"/>
      <c r="I3590" s="65"/>
      <c r="J3590" s="13"/>
      <c r="K3590" s="13"/>
      <c r="L3590" s="15"/>
      <c r="M3590" s="14"/>
      <c r="N3590" s="15"/>
      <c r="O3590" s="10"/>
      <c r="P3590" s="10"/>
    </row>
    <row r="3591">
      <c r="A3591" s="10"/>
      <c r="B3591" s="10"/>
      <c r="C3591" s="9" t="str">
        <f t="shared" si="249"/>
        <v/>
      </c>
      <c r="D3591" s="15"/>
      <c r="E3591" s="15"/>
      <c r="F3591" s="15"/>
      <c r="G3591" s="15"/>
      <c r="I3591" s="65"/>
      <c r="J3591" s="13"/>
      <c r="K3591" s="13"/>
      <c r="L3591" s="15"/>
      <c r="M3591" s="14"/>
      <c r="N3591" s="15"/>
      <c r="O3591" s="10"/>
      <c r="P3591" s="10"/>
    </row>
    <row r="3592">
      <c r="A3592" s="10"/>
      <c r="B3592" s="10"/>
      <c r="C3592" s="9" t="str">
        <f t="shared" si="249"/>
        <v/>
      </c>
      <c r="D3592" s="15"/>
      <c r="E3592" s="15"/>
      <c r="F3592" s="15"/>
      <c r="G3592" s="15"/>
      <c r="I3592" s="65"/>
      <c r="J3592" s="13"/>
      <c r="K3592" s="13"/>
      <c r="L3592" s="15"/>
      <c r="M3592" s="14"/>
      <c r="N3592" s="15"/>
      <c r="O3592" s="10"/>
      <c r="P3592" s="10"/>
    </row>
    <row r="3593">
      <c r="A3593" s="10"/>
      <c r="B3593" s="10"/>
      <c r="C3593" s="9" t="str">
        <f t="shared" si="249"/>
        <v/>
      </c>
      <c r="D3593" s="15"/>
      <c r="E3593" s="15"/>
      <c r="F3593" s="15"/>
      <c r="G3593" s="15"/>
      <c r="I3593" s="65"/>
      <c r="J3593" s="13"/>
      <c r="K3593" s="13"/>
      <c r="L3593" s="15"/>
      <c r="M3593" s="14"/>
      <c r="N3593" s="15"/>
      <c r="O3593" s="10"/>
      <c r="P3593" s="10"/>
    </row>
    <row r="3594">
      <c r="A3594" s="10"/>
      <c r="B3594" s="10"/>
      <c r="C3594" s="9" t="str">
        <f t="shared" si="249"/>
        <v/>
      </c>
      <c r="D3594" s="15"/>
      <c r="E3594" s="15"/>
      <c r="F3594" s="15"/>
      <c r="G3594" s="15"/>
      <c r="I3594" s="65"/>
      <c r="J3594" s="13"/>
      <c r="K3594" s="13"/>
      <c r="L3594" s="15"/>
      <c r="M3594" s="14"/>
      <c r="N3594" s="15"/>
      <c r="O3594" s="10"/>
      <c r="P3594" s="10"/>
    </row>
    <row r="3595">
      <c r="A3595" s="10"/>
      <c r="B3595" s="10"/>
      <c r="C3595" s="9" t="str">
        <f t="shared" si="249"/>
        <v/>
      </c>
      <c r="D3595" s="15"/>
      <c r="E3595" s="15"/>
      <c r="F3595" s="15"/>
      <c r="G3595" s="15"/>
      <c r="I3595" s="65"/>
      <c r="J3595" s="13"/>
      <c r="K3595" s="13"/>
      <c r="L3595" s="15"/>
      <c r="M3595" s="14"/>
      <c r="N3595" s="15"/>
      <c r="O3595" s="10"/>
      <c r="P3595" s="10"/>
    </row>
    <row r="3596">
      <c r="A3596" s="10"/>
      <c r="B3596" s="10"/>
      <c r="C3596" s="9" t="str">
        <f t="shared" si="249"/>
        <v/>
      </c>
      <c r="D3596" s="15"/>
      <c r="E3596" s="15"/>
      <c r="F3596" s="15"/>
      <c r="G3596" s="15"/>
      <c r="I3596" s="65"/>
      <c r="J3596" s="13"/>
      <c r="K3596" s="13"/>
      <c r="L3596" s="15"/>
      <c r="M3596" s="14"/>
      <c r="N3596" s="15"/>
      <c r="O3596" s="10"/>
      <c r="P3596" s="10"/>
    </row>
    <row r="3597">
      <c r="A3597" s="10"/>
      <c r="B3597" s="10"/>
      <c r="C3597" s="9" t="str">
        <f t="shared" si="249"/>
        <v/>
      </c>
      <c r="D3597" s="15"/>
      <c r="E3597" s="15"/>
      <c r="F3597" s="15"/>
      <c r="G3597" s="15"/>
      <c r="I3597" s="65"/>
      <c r="J3597" s="13"/>
      <c r="K3597" s="13"/>
      <c r="L3597" s="15"/>
      <c r="M3597" s="14"/>
      <c r="N3597" s="15"/>
      <c r="O3597" s="10"/>
      <c r="P3597" s="10"/>
    </row>
    <row r="3598">
      <c r="A3598" s="10"/>
      <c r="B3598" s="10"/>
      <c r="C3598" s="9" t="str">
        <f t="shared" si="249"/>
        <v/>
      </c>
      <c r="D3598" s="15"/>
      <c r="E3598" s="15"/>
      <c r="F3598" s="15"/>
      <c r="G3598" s="15"/>
      <c r="I3598" s="65"/>
      <c r="J3598" s="13"/>
      <c r="K3598" s="13"/>
      <c r="L3598" s="15"/>
      <c r="M3598" s="14"/>
      <c r="N3598" s="15"/>
      <c r="O3598" s="10"/>
      <c r="P3598" s="10"/>
    </row>
    <row r="3599">
      <c r="A3599" s="10"/>
      <c r="B3599" s="10"/>
      <c r="C3599" s="9" t="str">
        <f t="shared" si="249"/>
        <v/>
      </c>
      <c r="D3599" s="15"/>
      <c r="E3599" s="15"/>
      <c r="F3599" s="15"/>
      <c r="G3599" s="15"/>
      <c r="I3599" s="65"/>
      <c r="J3599" s="13"/>
      <c r="K3599" s="13"/>
      <c r="L3599" s="15"/>
      <c r="M3599" s="14"/>
      <c r="N3599" s="15"/>
      <c r="O3599" s="10"/>
      <c r="P3599" s="10"/>
    </row>
    <row r="3600">
      <c r="A3600" s="10"/>
      <c r="B3600" s="10"/>
      <c r="C3600" s="9" t="str">
        <f t="shared" si="249"/>
        <v/>
      </c>
      <c r="D3600" s="15"/>
      <c r="E3600" s="15"/>
      <c r="F3600" s="15"/>
      <c r="G3600" s="15"/>
      <c r="I3600" s="65"/>
      <c r="J3600" s="13"/>
      <c r="K3600" s="13"/>
      <c r="L3600" s="15"/>
      <c r="M3600" s="14"/>
      <c r="N3600" s="15"/>
      <c r="O3600" s="10"/>
      <c r="P3600" s="10"/>
    </row>
    <row r="3601">
      <c r="A3601" s="10"/>
      <c r="B3601" s="10"/>
      <c r="C3601" s="9" t="str">
        <f t="shared" si="249"/>
        <v/>
      </c>
      <c r="D3601" s="15"/>
      <c r="E3601" s="15"/>
      <c r="F3601" s="15"/>
      <c r="G3601" s="15"/>
      <c r="I3601" s="65"/>
      <c r="J3601" s="13"/>
      <c r="K3601" s="13"/>
      <c r="L3601" s="15"/>
      <c r="M3601" s="14"/>
      <c r="N3601" s="15"/>
      <c r="O3601" s="10"/>
      <c r="P3601" s="10"/>
    </row>
    <row r="3602">
      <c r="A3602" s="10"/>
      <c r="B3602" s="10"/>
      <c r="C3602" s="9" t="str">
        <f t="shared" si="249"/>
        <v/>
      </c>
      <c r="D3602" s="15"/>
      <c r="E3602" s="15"/>
      <c r="F3602" s="15"/>
      <c r="G3602" s="15"/>
      <c r="I3602" s="65"/>
      <c r="J3602" s="13"/>
      <c r="K3602" s="13"/>
      <c r="L3602" s="15"/>
      <c r="M3602" s="14"/>
      <c r="N3602" s="15"/>
      <c r="O3602" s="10"/>
      <c r="P3602" s="10"/>
    </row>
    <row r="3603">
      <c r="A3603" s="10"/>
      <c r="B3603" s="10"/>
      <c r="C3603" s="9" t="str">
        <f t="shared" si="249"/>
        <v/>
      </c>
      <c r="D3603" s="15"/>
      <c r="E3603" s="15"/>
      <c r="F3603" s="15"/>
      <c r="G3603" s="15"/>
      <c r="I3603" s="65"/>
      <c r="J3603" s="13"/>
      <c r="K3603" s="13"/>
      <c r="L3603" s="15"/>
      <c r="M3603" s="14"/>
      <c r="N3603" s="15"/>
      <c r="O3603" s="10"/>
      <c r="P3603" s="10"/>
    </row>
    <row r="3604">
      <c r="A3604" s="10"/>
      <c r="B3604" s="10"/>
      <c r="C3604" s="9" t="str">
        <f t="shared" si="249"/>
        <v/>
      </c>
      <c r="D3604" s="15"/>
      <c r="E3604" s="15"/>
      <c r="F3604" s="15"/>
      <c r="G3604" s="15"/>
      <c r="I3604" s="65"/>
      <c r="J3604" s="13"/>
      <c r="K3604" s="13"/>
      <c r="L3604" s="15"/>
      <c r="M3604" s="14"/>
      <c r="N3604" s="15"/>
      <c r="O3604" s="10"/>
      <c r="P3604" s="10"/>
    </row>
    <row r="3605">
      <c r="A3605" s="10"/>
      <c r="B3605" s="10"/>
      <c r="C3605" s="9" t="str">
        <f t="shared" si="249"/>
        <v/>
      </c>
      <c r="D3605" s="15"/>
      <c r="E3605" s="15"/>
      <c r="F3605" s="15"/>
      <c r="G3605" s="15"/>
      <c r="I3605" s="65"/>
      <c r="J3605" s="13"/>
      <c r="K3605" s="13"/>
      <c r="L3605" s="15"/>
      <c r="M3605" s="14"/>
      <c r="N3605" s="15"/>
      <c r="O3605" s="10"/>
      <c r="P3605" s="10"/>
    </row>
    <row r="3606">
      <c r="A3606" s="10"/>
      <c r="B3606" s="10"/>
      <c r="C3606" s="9" t="str">
        <f t="shared" si="249"/>
        <v/>
      </c>
      <c r="D3606" s="15"/>
      <c r="E3606" s="15"/>
      <c r="F3606" s="15"/>
      <c r="G3606" s="15"/>
      <c r="I3606" s="65"/>
      <c r="J3606" s="13"/>
      <c r="K3606" s="13"/>
      <c r="L3606" s="15"/>
      <c r="M3606" s="14"/>
      <c r="N3606" s="15"/>
      <c r="O3606" s="10"/>
      <c r="P3606" s="10"/>
    </row>
    <row r="3607">
      <c r="A3607" s="10"/>
      <c r="B3607" s="10"/>
      <c r="C3607" s="9" t="str">
        <f t="shared" si="249"/>
        <v/>
      </c>
      <c r="D3607" s="15"/>
      <c r="E3607" s="15"/>
      <c r="F3607" s="15"/>
      <c r="G3607" s="15"/>
      <c r="I3607" s="65"/>
      <c r="J3607" s="13"/>
      <c r="K3607" s="13"/>
      <c r="L3607" s="15"/>
      <c r="M3607" s="14"/>
      <c r="N3607" s="15"/>
      <c r="O3607" s="10"/>
      <c r="P3607" s="10"/>
    </row>
    <row r="3608">
      <c r="A3608" s="10"/>
      <c r="B3608" s="10"/>
      <c r="C3608" s="9" t="str">
        <f t="shared" si="249"/>
        <v/>
      </c>
      <c r="D3608" s="15"/>
      <c r="E3608" s="15"/>
      <c r="F3608" s="15"/>
      <c r="G3608" s="15"/>
      <c r="I3608" s="65"/>
      <c r="J3608" s="13"/>
      <c r="K3608" s="13"/>
      <c r="L3608" s="15"/>
      <c r="M3608" s="14"/>
      <c r="N3608" s="15"/>
      <c r="O3608" s="10"/>
      <c r="P3608" s="10"/>
    </row>
    <row r="3609">
      <c r="A3609" s="10"/>
      <c r="B3609" s="10"/>
      <c r="C3609" s="9" t="str">
        <f t="shared" si="249"/>
        <v/>
      </c>
      <c r="D3609" s="15"/>
      <c r="E3609" s="15"/>
      <c r="F3609" s="15"/>
      <c r="G3609" s="15"/>
      <c r="I3609" s="65"/>
      <c r="J3609" s="13"/>
      <c r="K3609" s="13"/>
      <c r="L3609" s="15"/>
      <c r="M3609" s="14"/>
      <c r="N3609" s="15"/>
      <c r="O3609" s="10"/>
      <c r="P3609" s="10"/>
    </row>
    <row r="3610">
      <c r="A3610" s="10"/>
      <c r="B3610" s="10"/>
      <c r="C3610" s="9" t="str">
        <f t="shared" si="249"/>
        <v/>
      </c>
      <c r="D3610" s="15"/>
      <c r="E3610" s="15"/>
      <c r="F3610" s="15"/>
      <c r="G3610" s="15"/>
      <c r="I3610" s="65"/>
      <c r="J3610" s="13"/>
      <c r="K3610" s="13"/>
      <c r="L3610" s="15"/>
      <c r="M3610" s="14"/>
      <c r="N3610" s="15"/>
      <c r="O3610" s="10"/>
      <c r="P3610" s="10"/>
    </row>
    <row r="3611">
      <c r="A3611" s="10"/>
      <c r="B3611" s="10"/>
      <c r="C3611" s="9" t="str">
        <f t="shared" si="249"/>
        <v/>
      </c>
      <c r="D3611" s="15"/>
      <c r="E3611" s="15"/>
      <c r="F3611" s="15"/>
      <c r="G3611" s="15"/>
      <c r="I3611" s="65"/>
      <c r="J3611" s="13"/>
      <c r="K3611" s="13"/>
      <c r="L3611" s="15"/>
      <c r="M3611" s="14"/>
      <c r="N3611" s="15"/>
      <c r="O3611" s="10"/>
      <c r="P3611" s="10"/>
    </row>
    <row r="3612">
      <c r="A3612" s="10"/>
      <c r="B3612" s="10"/>
      <c r="C3612" s="9" t="str">
        <f t="shared" si="249"/>
        <v/>
      </c>
      <c r="D3612" s="15"/>
      <c r="E3612" s="15"/>
      <c r="F3612" s="15"/>
      <c r="G3612" s="15"/>
      <c r="I3612" s="65"/>
      <c r="J3612" s="13"/>
      <c r="K3612" s="13"/>
      <c r="L3612" s="15"/>
      <c r="M3612" s="14"/>
      <c r="N3612" s="15"/>
      <c r="O3612" s="10"/>
      <c r="P3612" s="10"/>
    </row>
    <row r="3613">
      <c r="A3613" s="10"/>
      <c r="B3613" s="10"/>
      <c r="C3613" s="9" t="str">
        <f t="shared" si="249"/>
        <v/>
      </c>
      <c r="D3613" s="15"/>
      <c r="E3613" s="15"/>
      <c r="F3613" s="15"/>
      <c r="G3613" s="15"/>
      <c r="I3613" s="65"/>
      <c r="J3613" s="13"/>
      <c r="K3613" s="13"/>
      <c r="L3613" s="15"/>
      <c r="M3613" s="14"/>
      <c r="N3613" s="15"/>
      <c r="O3613" s="10"/>
      <c r="P3613" s="10"/>
    </row>
    <row r="3614">
      <c r="A3614" s="10"/>
      <c r="B3614" s="10"/>
      <c r="C3614" s="9" t="str">
        <f t="shared" si="249"/>
        <v/>
      </c>
      <c r="D3614" s="15"/>
      <c r="E3614" s="15"/>
      <c r="F3614" s="15"/>
      <c r="G3614" s="15"/>
      <c r="I3614" s="65"/>
      <c r="J3614" s="13"/>
      <c r="K3614" s="13"/>
      <c r="L3614" s="15"/>
      <c r="M3614" s="14"/>
      <c r="N3614" s="15"/>
      <c r="O3614" s="10"/>
      <c r="P3614" s="10"/>
    </row>
    <row r="3615">
      <c r="A3615" s="10"/>
      <c r="B3615" s="10"/>
      <c r="C3615" s="9" t="str">
        <f t="shared" si="249"/>
        <v/>
      </c>
      <c r="D3615" s="15"/>
      <c r="E3615" s="15"/>
      <c r="F3615" s="15"/>
      <c r="G3615" s="15"/>
      <c r="I3615" s="65"/>
      <c r="J3615" s="13"/>
      <c r="K3615" s="13"/>
      <c r="L3615" s="15"/>
      <c r="M3615" s="14"/>
      <c r="N3615" s="15"/>
      <c r="O3615" s="10"/>
      <c r="P3615" s="10"/>
    </row>
    <row r="3616">
      <c r="A3616" s="10"/>
      <c r="B3616" s="10"/>
      <c r="C3616" s="9" t="str">
        <f t="shared" si="249"/>
        <v/>
      </c>
      <c r="D3616" s="15"/>
      <c r="E3616" s="15"/>
      <c r="F3616" s="15"/>
      <c r="G3616" s="15"/>
      <c r="I3616" s="65"/>
      <c r="J3616" s="13"/>
      <c r="K3616" s="13"/>
      <c r="L3616" s="15"/>
      <c r="M3616" s="14"/>
      <c r="N3616" s="15"/>
      <c r="O3616" s="10"/>
      <c r="P3616" s="10"/>
    </row>
    <row r="3617">
      <c r="A3617" s="10"/>
      <c r="B3617" s="10"/>
      <c r="C3617" s="9" t="str">
        <f t="shared" si="249"/>
        <v/>
      </c>
      <c r="D3617" s="15"/>
      <c r="E3617" s="15"/>
      <c r="F3617" s="15"/>
      <c r="G3617" s="15"/>
      <c r="I3617" s="65"/>
      <c r="J3617" s="13"/>
      <c r="K3617" s="13"/>
      <c r="L3617" s="15"/>
      <c r="M3617" s="14"/>
      <c r="N3617" s="15"/>
      <c r="O3617" s="10"/>
      <c r="P3617" s="10"/>
    </row>
    <row r="3618">
      <c r="A3618" s="10"/>
      <c r="B3618" s="10"/>
      <c r="C3618" s="9" t="str">
        <f t="shared" si="249"/>
        <v/>
      </c>
      <c r="D3618" s="15"/>
      <c r="E3618" s="15"/>
      <c r="F3618" s="15"/>
      <c r="G3618" s="15"/>
      <c r="I3618" s="65"/>
      <c r="J3618" s="13"/>
      <c r="K3618" s="13"/>
      <c r="L3618" s="15"/>
      <c r="M3618" s="14"/>
      <c r="N3618" s="15"/>
      <c r="O3618" s="10"/>
      <c r="P3618" s="10"/>
    </row>
    <row r="3619">
      <c r="A3619" s="10"/>
      <c r="B3619" s="10"/>
      <c r="C3619" s="9" t="str">
        <f t="shared" si="249"/>
        <v/>
      </c>
      <c r="D3619" s="15"/>
      <c r="E3619" s="15"/>
      <c r="F3619" s="15"/>
      <c r="G3619" s="15"/>
      <c r="I3619" s="65"/>
      <c r="J3619" s="13"/>
      <c r="K3619" s="13"/>
      <c r="L3619" s="15"/>
      <c r="M3619" s="14"/>
      <c r="N3619" s="15"/>
      <c r="O3619" s="10"/>
      <c r="P3619" s="10"/>
    </row>
    <row r="3620">
      <c r="A3620" s="10"/>
      <c r="B3620" s="10"/>
      <c r="C3620" s="9" t="str">
        <f t="shared" si="249"/>
        <v/>
      </c>
      <c r="D3620" s="15"/>
      <c r="E3620" s="15"/>
      <c r="F3620" s="15"/>
      <c r="G3620" s="15"/>
      <c r="I3620" s="65"/>
      <c r="J3620" s="13"/>
      <c r="K3620" s="13"/>
      <c r="L3620" s="15"/>
      <c r="M3620" s="14"/>
      <c r="N3620" s="15"/>
      <c r="O3620" s="10"/>
      <c r="P3620" s="10"/>
    </row>
    <row r="3621">
      <c r="A3621" s="10"/>
      <c r="B3621" s="10"/>
      <c r="C3621" s="9" t="str">
        <f t="shared" si="249"/>
        <v/>
      </c>
      <c r="D3621" s="15"/>
      <c r="E3621" s="15"/>
      <c r="F3621" s="15"/>
      <c r="G3621" s="15"/>
      <c r="I3621" s="65"/>
      <c r="J3621" s="13"/>
      <c r="K3621" s="13"/>
      <c r="L3621" s="15"/>
      <c r="M3621" s="14"/>
      <c r="N3621" s="15"/>
      <c r="O3621" s="10"/>
      <c r="P3621" s="10"/>
    </row>
    <row r="3622">
      <c r="A3622" s="10"/>
      <c r="B3622" s="10"/>
      <c r="C3622" s="9" t="str">
        <f t="shared" si="249"/>
        <v/>
      </c>
      <c r="D3622" s="15"/>
      <c r="E3622" s="15"/>
      <c r="F3622" s="15"/>
      <c r="G3622" s="15"/>
      <c r="I3622" s="65"/>
      <c r="J3622" s="13"/>
      <c r="K3622" s="13"/>
      <c r="L3622" s="15"/>
      <c r="M3622" s="14"/>
      <c r="N3622" s="15"/>
      <c r="O3622" s="10"/>
      <c r="P3622" s="10"/>
    </row>
    <row r="3623">
      <c r="A3623" s="10"/>
      <c r="B3623" s="10"/>
      <c r="C3623" s="9" t="str">
        <f t="shared" si="249"/>
        <v/>
      </c>
      <c r="D3623" s="15"/>
      <c r="E3623" s="15"/>
      <c r="F3623" s="15"/>
      <c r="G3623" s="15"/>
      <c r="I3623" s="65"/>
      <c r="J3623" s="13"/>
      <c r="K3623" s="13"/>
      <c r="L3623" s="15"/>
      <c r="M3623" s="14"/>
      <c r="N3623" s="15"/>
      <c r="O3623" s="10"/>
      <c r="P3623" s="10"/>
    </row>
    <row r="3624">
      <c r="A3624" s="10"/>
      <c r="B3624" s="10"/>
      <c r="C3624" s="9" t="str">
        <f t="shared" si="249"/>
        <v/>
      </c>
      <c r="D3624" s="15"/>
      <c r="E3624" s="15"/>
      <c r="F3624" s="15"/>
      <c r="G3624" s="15"/>
      <c r="I3624" s="65"/>
      <c r="J3624" s="13"/>
      <c r="K3624" s="13"/>
      <c r="L3624" s="15"/>
      <c r="M3624" s="14"/>
      <c r="N3624" s="15"/>
      <c r="O3624" s="10"/>
      <c r="P3624" s="10"/>
    </row>
    <row r="3625">
      <c r="A3625" s="10"/>
      <c r="B3625" s="10"/>
      <c r="C3625" s="9" t="str">
        <f t="shared" si="249"/>
        <v/>
      </c>
      <c r="D3625" s="15"/>
      <c r="E3625" s="15"/>
      <c r="F3625" s="15"/>
      <c r="G3625" s="15"/>
      <c r="I3625" s="65"/>
      <c r="J3625" s="13"/>
      <c r="K3625" s="13"/>
      <c r="L3625" s="15"/>
      <c r="M3625" s="14"/>
      <c r="N3625" s="15"/>
      <c r="O3625" s="10"/>
      <c r="P3625" s="10"/>
    </row>
    <row r="3626">
      <c r="A3626" s="10"/>
      <c r="B3626" s="10"/>
      <c r="C3626" s="9" t="str">
        <f t="shared" si="249"/>
        <v/>
      </c>
      <c r="D3626" s="15"/>
      <c r="E3626" s="15"/>
      <c r="F3626" s="15"/>
      <c r="G3626" s="15"/>
      <c r="I3626" s="65"/>
      <c r="J3626" s="13"/>
      <c r="K3626" s="13"/>
      <c r="L3626" s="15"/>
      <c r="M3626" s="14"/>
      <c r="N3626" s="15"/>
      <c r="O3626" s="10"/>
      <c r="P3626" s="10"/>
    </row>
    <row r="3627">
      <c r="A3627" s="10"/>
      <c r="B3627" s="10"/>
      <c r="C3627" s="9" t="str">
        <f t="shared" si="249"/>
        <v/>
      </c>
      <c r="D3627" s="15"/>
      <c r="E3627" s="15"/>
      <c r="F3627" s="15"/>
      <c r="G3627" s="15"/>
      <c r="I3627" s="65"/>
      <c r="J3627" s="13"/>
      <c r="K3627" s="13"/>
      <c r="L3627" s="15"/>
      <c r="M3627" s="14"/>
      <c r="N3627" s="15"/>
      <c r="O3627" s="10"/>
      <c r="P3627" s="10"/>
    </row>
    <row r="3628">
      <c r="A3628" s="10"/>
      <c r="B3628" s="10"/>
      <c r="C3628" s="9" t="str">
        <f t="shared" si="249"/>
        <v/>
      </c>
      <c r="D3628" s="15"/>
      <c r="E3628" s="15"/>
      <c r="F3628" s="15"/>
      <c r="G3628" s="15"/>
      <c r="I3628" s="65"/>
      <c r="J3628" s="13"/>
      <c r="K3628" s="13"/>
      <c r="L3628" s="15"/>
      <c r="M3628" s="14"/>
      <c r="N3628" s="15"/>
      <c r="O3628" s="10"/>
      <c r="P3628" s="10"/>
    </row>
    <row r="3629">
      <c r="A3629" s="10"/>
      <c r="B3629" s="10"/>
      <c r="C3629" s="9" t="str">
        <f t="shared" si="249"/>
        <v/>
      </c>
      <c r="D3629" s="15"/>
      <c r="E3629" s="15"/>
      <c r="F3629" s="15"/>
      <c r="G3629" s="15"/>
      <c r="I3629" s="65"/>
      <c r="J3629" s="13"/>
      <c r="K3629" s="13"/>
      <c r="L3629" s="15"/>
      <c r="M3629" s="14"/>
      <c r="N3629" s="15"/>
      <c r="O3629" s="10"/>
      <c r="P3629" s="10"/>
    </row>
    <row r="3630">
      <c r="A3630" s="10"/>
      <c r="B3630" s="10"/>
      <c r="C3630" s="9" t="str">
        <f t="shared" si="249"/>
        <v/>
      </c>
      <c r="D3630" s="15"/>
      <c r="E3630" s="15"/>
      <c r="F3630" s="15"/>
      <c r="G3630" s="15"/>
      <c r="I3630" s="65"/>
      <c r="J3630" s="13"/>
      <c r="K3630" s="13"/>
      <c r="L3630" s="15"/>
      <c r="M3630" s="14"/>
      <c r="N3630" s="15"/>
      <c r="O3630" s="10"/>
      <c r="P3630" s="10"/>
    </row>
    <row r="3631">
      <c r="A3631" s="10"/>
      <c r="B3631" s="10"/>
      <c r="C3631" s="9" t="str">
        <f t="shared" si="249"/>
        <v/>
      </c>
      <c r="D3631" s="15"/>
      <c r="E3631" s="15"/>
      <c r="F3631" s="15"/>
      <c r="G3631" s="15"/>
      <c r="I3631" s="65"/>
      <c r="J3631" s="13"/>
      <c r="K3631" s="13"/>
      <c r="L3631" s="15"/>
      <c r="M3631" s="14"/>
      <c r="N3631" s="15"/>
      <c r="O3631" s="10"/>
      <c r="P3631" s="10"/>
    </row>
    <row r="3632">
      <c r="A3632" s="10"/>
      <c r="B3632" s="10"/>
      <c r="C3632" s="9" t="str">
        <f t="shared" si="249"/>
        <v/>
      </c>
      <c r="D3632" s="15"/>
      <c r="E3632" s="15"/>
      <c r="F3632" s="15"/>
      <c r="G3632" s="15"/>
      <c r="I3632" s="65"/>
      <c r="J3632" s="13"/>
      <c r="K3632" s="13"/>
      <c r="L3632" s="15"/>
      <c r="M3632" s="14"/>
      <c r="N3632" s="15"/>
      <c r="O3632" s="10"/>
      <c r="P3632" s="10"/>
    </row>
    <row r="3633">
      <c r="A3633" s="10"/>
      <c r="B3633" s="10"/>
      <c r="C3633" s="9" t="str">
        <f t="shared" si="249"/>
        <v/>
      </c>
      <c r="D3633" s="15"/>
      <c r="E3633" s="15"/>
      <c r="F3633" s="15"/>
      <c r="G3633" s="15"/>
      <c r="I3633" s="65"/>
      <c r="J3633" s="13"/>
      <c r="K3633" s="13"/>
      <c r="L3633" s="15"/>
      <c r="M3633" s="14"/>
      <c r="N3633" s="15"/>
      <c r="O3633" s="10"/>
      <c r="P3633" s="10"/>
    </row>
    <row r="3634">
      <c r="A3634" s="10"/>
      <c r="B3634" s="10"/>
      <c r="C3634" s="9" t="str">
        <f t="shared" si="249"/>
        <v/>
      </c>
      <c r="D3634" s="15"/>
      <c r="E3634" s="15"/>
      <c r="F3634" s="15"/>
      <c r="G3634" s="15"/>
      <c r="I3634" s="65"/>
      <c r="J3634" s="13"/>
      <c r="K3634" s="13"/>
      <c r="L3634" s="15"/>
      <c r="M3634" s="14"/>
      <c r="N3634" s="15"/>
      <c r="O3634" s="10"/>
      <c r="P3634" s="10"/>
    </row>
    <row r="3635">
      <c r="A3635" s="10"/>
      <c r="B3635" s="10"/>
      <c r="C3635" s="9" t="str">
        <f t="shared" si="249"/>
        <v/>
      </c>
      <c r="D3635" s="15"/>
      <c r="E3635" s="15"/>
      <c r="F3635" s="15"/>
      <c r="G3635" s="15"/>
      <c r="I3635" s="65"/>
      <c r="J3635" s="13"/>
      <c r="K3635" s="13"/>
      <c r="L3635" s="15"/>
      <c r="M3635" s="14"/>
      <c r="N3635" s="15"/>
      <c r="O3635" s="10"/>
      <c r="P3635" s="10"/>
    </row>
    <row r="3636">
      <c r="A3636" s="10"/>
      <c r="B3636" s="10"/>
      <c r="C3636" s="9" t="str">
        <f t="shared" si="249"/>
        <v/>
      </c>
      <c r="D3636" s="15"/>
      <c r="E3636" s="15"/>
      <c r="F3636" s="15"/>
      <c r="G3636" s="15"/>
      <c r="I3636" s="65"/>
      <c r="J3636" s="13"/>
      <c r="K3636" s="13"/>
      <c r="L3636" s="15"/>
      <c r="M3636" s="14"/>
      <c r="N3636" s="15"/>
      <c r="O3636" s="10"/>
      <c r="P3636" s="10"/>
    </row>
    <row r="3637">
      <c r="A3637" s="10"/>
      <c r="B3637" s="10"/>
      <c r="C3637" s="9" t="str">
        <f t="shared" si="249"/>
        <v/>
      </c>
      <c r="D3637" s="15"/>
      <c r="E3637" s="15"/>
      <c r="F3637" s="15"/>
      <c r="G3637" s="15"/>
      <c r="I3637" s="65"/>
      <c r="J3637" s="13"/>
      <c r="K3637" s="13"/>
      <c r="L3637" s="15"/>
      <c r="M3637" s="14"/>
      <c r="N3637" s="15"/>
      <c r="O3637" s="10"/>
      <c r="P3637" s="10"/>
    </row>
    <row r="3638">
      <c r="A3638" s="10"/>
      <c r="B3638" s="10"/>
      <c r="C3638" s="9" t="str">
        <f t="shared" si="249"/>
        <v/>
      </c>
      <c r="D3638" s="15"/>
      <c r="E3638" s="15"/>
      <c r="F3638" s="15"/>
      <c r="G3638" s="15"/>
      <c r="I3638" s="65"/>
      <c r="J3638" s="13"/>
      <c r="K3638" s="13"/>
      <c r="L3638" s="15"/>
      <c r="M3638" s="14"/>
      <c r="N3638" s="15"/>
      <c r="O3638" s="10"/>
      <c r="P3638" s="10"/>
    </row>
    <row r="3639">
      <c r="A3639" s="10"/>
      <c r="B3639" s="10"/>
      <c r="C3639" s="9" t="str">
        <f t="shared" si="249"/>
        <v/>
      </c>
      <c r="D3639" s="15"/>
      <c r="E3639" s="15"/>
      <c r="F3639" s="15"/>
      <c r="G3639" s="15"/>
      <c r="I3639" s="65"/>
      <c r="J3639" s="13"/>
      <c r="K3639" s="13"/>
      <c r="L3639" s="15"/>
      <c r="M3639" s="14"/>
      <c r="N3639" s="15"/>
      <c r="O3639" s="10"/>
      <c r="P3639" s="10"/>
    </row>
    <row r="3640">
      <c r="A3640" s="10"/>
      <c r="B3640" s="10"/>
      <c r="C3640" s="9" t="str">
        <f t="shared" si="249"/>
        <v/>
      </c>
      <c r="D3640" s="15"/>
      <c r="E3640" s="15"/>
      <c r="F3640" s="15"/>
      <c r="G3640" s="15"/>
      <c r="I3640" s="65"/>
      <c r="J3640" s="13"/>
      <c r="K3640" s="13"/>
      <c r="L3640" s="15"/>
      <c r="M3640" s="14"/>
      <c r="N3640" s="15"/>
      <c r="O3640" s="10"/>
      <c r="P3640" s="10"/>
    </row>
    <row r="3641">
      <c r="A3641" s="10"/>
      <c r="B3641" s="10"/>
      <c r="C3641" s="9" t="str">
        <f t="shared" si="249"/>
        <v/>
      </c>
      <c r="D3641" s="15"/>
      <c r="E3641" s="15"/>
      <c r="F3641" s="15"/>
      <c r="G3641" s="15"/>
      <c r="I3641" s="65"/>
      <c r="J3641" s="13"/>
      <c r="K3641" s="13"/>
      <c r="L3641" s="15"/>
      <c r="M3641" s="14"/>
      <c r="N3641" s="15"/>
      <c r="O3641" s="10"/>
      <c r="P3641" s="10"/>
    </row>
    <row r="3642">
      <c r="A3642" s="10"/>
      <c r="B3642" s="10"/>
      <c r="C3642" s="9" t="str">
        <f t="shared" si="249"/>
        <v/>
      </c>
      <c r="D3642" s="15"/>
      <c r="E3642" s="15"/>
      <c r="F3642" s="15"/>
      <c r="G3642" s="15"/>
      <c r="I3642" s="65"/>
      <c r="J3642" s="13"/>
      <c r="K3642" s="13"/>
      <c r="L3642" s="15"/>
      <c r="M3642" s="14"/>
      <c r="N3642" s="15"/>
      <c r="O3642" s="10"/>
      <c r="P3642" s="10"/>
    </row>
    <row r="3643">
      <c r="A3643" s="10"/>
      <c r="B3643" s="10"/>
      <c r="C3643" s="9" t="str">
        <f t="shared" si="249"/>
        <v/>
      </c>
      <c r="D3643" s="15"/>
      <c r="E3643" s="15"/>
      <c r="F3643" s="15"/>
      <c r="G3643" s="15"/>
      <c r="I3643" s="65"/>
      <c r="J3643" s="13"/>
      <c r="K3643" s="13"/>
      <c r="L3643" s="15"/>
      <c r="M3643" s="14"/>
      <c r="N3643" s="15"/>
      <c r="O3643" s="10"/>
      <c r="P3643" s="10"/>
    </row>
    <row r="3644">
      <c r="A3644" s="10"/>
      <c r="B3644" s="10"/>
      <c r="C3644" s="9" t="str">
        <f t="shared" si="249"/>
        <v/>
      </c>
      <c r="D3644" s="15"/>
      <c r="E3644" s="15"/>
      <c r="F3644" s="15"/>
      <c r="G3644" s="15"/>
      <c r="I3644" s="65"/>
      <c r="J3644" s="13"/>
      <c r="K3644" s="13"/>
      <c r="L3644" s="15"/>
      <c r="M3644" s="14"/>
      <c r="N3644" s="15"/>
      <c r="O3644" s="10"/>
      <c r="P3644" s="10"/>
    </row>
    <row r="3645">
      <c r="A3645" s="10"/>
      <c r="B3645" s="10"/>
      <c r="C3645" s="9" t="str">
        <f t="shared" si="249"/>
        <v/>
      </c>
      <c r="D3645" s="15"/>
      <c r="E3645" s="15"/>
      <c r="F3645" s="15"/>
      <c r="G3645" s="15"/>
      <c r="I3645" s="65"/>
      <c r="J3645" s="13"/>
      <c r="K3645" s="13"/>
      <c r="L3645" s="15"/>
      <c r="M3645" s="14"/>
      <c r="N3645" s="15"/>
      <c r="O3645" s="10"/>
      <c r="P3645" s="10"/>
    </row>
    <row r="3646">
      <c r="A3646" s="10"/>
      <c r="B3646" s="10"/>
      <c r="C3646" s="9" t="str">
        <f t="shared" si="249"/>
        <v/>
      </c>
      <c r="D3646" s="15"/>
      <c r="E3646" s="15"/>
      <c r="F3646" s="15"/>
      <c r="G3646" s="15"/>
      <c r="I3646" s="65"/>
      <c r="J3646" s="13"/>
      <c r="K3646" s="13"/>
      <c r="L3646" s="15"/>
      <c r="M3646" s="14"/>
      <c r="N3646" s="15"/>
      <c r="O3646" s="10"/>
      <c r="P3646" s="10"/>
    </row>
    <row r="3647">
      <c r="A3647" s="10"/>
      <c r="B3647" s="10"/>
      <c r="C3647" s="9" t="str">
        <f t="shared" si="249"/>
        <v/>
      </c>
      <c r="D3647" s="15"/>
      <c r="E3647" s="15"/>
      <c r="F3647" s="15"/>
      <c r="G3647" s="15"/>
      <c r="I3647" s="65"/>
      <c r="J3647" s="13"/>
      <c r="K3647" s="13"/>
      <c r="L3647" s="15"/>
      <c r="M3647" s="14"/>
      <c r="N3647" s="15"/>
      <c r="O3647" s="10"/>
      <c r="P3647" s="10"/>
    </row>
    <row r="3648">
      <c r="A3648" s="10"/>
      <c r="B3648" s="10"/>
      <c r="C3648" s="9" t="str">
        <f t="shared" si="249"/>
        <v/>
      </c>
      <c r="D3648" s="15"/>
      <c r="E3648" s="15"/>
      <c r="F3648" s="15"/>
      <c r="G3648" s="15"/>
      <c r="I3648" s="65"/>
      <c r="J3648" s="13"/>
      <c r="K3648" s="13"/>
      <c r="L3648" s="15"/>
      <c r="M3648" s="14"/>
      <c r="N3648" s="15"/>
      <c r="O3648" s="10"/>
      <c r="P3648" s="10"/>
    </row>
    <row r="3649">
      <c r="A3649" s="10"/>
      <c r="B3649" s="10"/>
      <c r="C3649" s="9" t="str">
        <f t="shared" si="249"/>
        <v/>
      </c>
      <c r="D3649" s="15"/>
      <c r="E3649" s="15"/>
      <c r="F3649" s="15"/>
      <c r="G3649" s="15"/>
      <c r="I3649" s="65"/>
      <c r="J3649" s="13"/>
      <c r="K3649" s="13"/>
      <c r="L3649" s="15"/>
      <c r="M3649" s="14"/>
      <c r="N3649" s="15"/>
      <c r="O3649" s="10"/>
      <c r="P3649" s="10"/>
    </row>
    <row r="3650">
      <c r="A3650" s="10"/>
      <c r="B3650" s="10"/>
      <c r="C3650" s="9" t="str">
        <f t="shared" si="249"/>
        <v/>
      </c>
      <c r="D3650" s="15"/>
      <c r="E3650" s="15"/>
      <c r="F3650" s="15"/>
      <c r="G3650" s="15"/>
      <c r="I3650" s="65"/>
      <c r="J3650" s="13"/>
      <c r="K3650" s="13"/>
      <c r="L3650" s="15"/>
      <c r="M3650" s="14"/>
      <c r="N3650" s="15"/>
      <c r="O3650" s="10"/>
      <c r="P3650" s="10"/>
    </row>
    <row r="3651">
      <c r="A3651" s="10"/>
      <c r="B3651" s="10"/>
      <c r="C3651" s="9" t="str">
        <f t="shared" si="249"/>
        <v/>
      </c>
      <c r="D3651" s="15"/>
      <c r="E3651" s="15"/>
      <c r="F3651" s="15"/>
      <c r="G3651" s="15"/>
      <c r="I3651" s="65"/>
      <c r="J3651" s="13"/>
      <c r="K3651" s="13"/>
      <c r="L3651" s="15"/>
      <c r="M3651" s="14"/>
      <c r="N3651" s="15"/>
      <c r="O3651" s="10"/>
      <c r="P3651" s="10"/>
    </row>
    <row r="3652">
      <c r="A3652" s="10"/>
      <c r="B3652" s="10"/>
      <c r="C3652" s="9" t="str">
        <f t="shared" si="249"/>
        <v/>
      </c>
      <c r="D3652" s="15"/>
      <c r="E3652" s="15"/>
      <c r="F3652" s="15"/>
      <c r="G3652" s="15"/>
      <c r="I3652" s="65"/>
      <c r="J3652" s="13"/>
      <c r="K3652" s="13"/>
      <c r="L3652" s="15"/>
      <c r="M3652" s="14"/>
      <c r="N3652" s="15"/>
      <c r="O3652" s="10"/>
      <c r="P3652" s="10"/>
    </row>
    <row r="3653">
      <c r="A3653" s="10"/>
      <c r="B3653" s="10"/>
      <c r="C3653" s="9" t="str">
        <f t="shared" si="249"/>
        <v/>
      </c>
      <c r="D3653" s="15"/>
      <c r="E3653" s="15"/>
      <c r="F3653" s="15"/>
      <c r="G3653" s="15"/>
      <c r="I3653" s="65"/>
      <c r="J3653" s="13"/>
      <c r="K3653" s="13"/>
      <c r="L3653" s="15"/>
      <c r="M3653" s="14"/>
      <c r="N3653" s="15"/>
      <c r="O3653" s="10"/>
      <c r="P3653" s="10"/>
    </row>
    <row r="3654">
      <c r="A3654" s="10"/>
      <c r="B3654" s="10"/>
      <c r="C3654" s="9" t="str">
        <f t="shared" si="249"/>
        <v/>
      </c>
      <c r="D3654" s="15"/>
      <c r="E3654" s="15"/>
      <c r="F3654" s="15"/>
      <c r="G3654" s="15"/>
      <c r="I3654" s="65"/>
      <c r="J3654" s="13"/>
      <c r="K3654" s="13"/>
      <c r="L3654" s="15"/>
      <c r="M3654" s="14"/>
      <c r="N3654" s="15"/>
      <c r="O3654" s="10"/>
      <c r="P3654" s="10"/>
    </row>
    <row r="3655">
      <c r="A3655" s="10"/>
      <c r="B3655" s="10"/>
      <c r="C3655" s="9" t="str">
        <f t="shared" si="249"/>
        <v/>
      </c>
      <c r="D3655" s="15"/>
      <c r="E3655" s="15"/>
      <c r="F3655" s="15"/>
      <c r="G3655" s="15"/>
      <c r="I3655" s="65"/>
      <c r="J3655" s="13"/>
      <c r="K3655" s="13"/>
      <c r="L3655" s="15"/>
      <c r="M3655" s="14"/>
      <c r="N3655" s="15"/>
      <c r="O3655" s="10"/>
      <c r="P3655" s="10"/>
    </row>
    <row r="3656">
      <c r="A3656" s="10"/>
      <c r="B3656" s="10"/>
      <c r="C3656" s="9" t="str">
        <f t="shared" si="249"/>
        <v/>
      </c>
      <c r="D3656" s="15"/>
      <c r="E3656" s="15"/>
      <c r="F3656" s="15"/>
      <c r="G3656" s="15"/>
      <c r="I3656" s="65"/>
      <c r="J3656" s="13"/>
      <c r="K3656" s="13"/>
      <c r="L3656" s="15"/>
      <c r="M3656" s="14"/>
      <c r="N3656" s="15"/>
      <c r="O3656" s="10"/>
      <c r="P3656" s="10"/>
    </row>
    <row r="3657">
      <c r="A3657" s="10"/>
      <c r="B3657" s="10"/>
      <c r="C3657" s="9" t="str">
        <f t="shared" si="249"/>
        <v/>
      </c>
      <c r="D3657" s="15"/>
      <c r="E3657" s="15"/>
      <c r="F3657" s="15"/>
      <c r="G3657" s="15"/>
      <c r="I3657" s="65"/>
      <c r="J3657" s="13"/>
      <c r="K3657" s="13"/>
      <c r="L3657" s="15"/>
      <c r="M3657" s="14"/>
      <c r="N3657" s="15"/>
      <c r="O3657" s="10"/>
      <c r="P3657" s="10"/>
    </row>
    <row r="3658">
      <c r="A3658" s="10"/>
      <c r="B3658" s="10"/>
      <c r="C3658" s="9" t="str">
        <f t="shared" si="249"/>
        <v/>
      </c>
      <c r="D3658" s="15"/>
      <c r="E3658" s="15"/>
      <c r="F3658" s="15"/>
      <c r="G3658" s="15"/>
      <c r="I3658" s="65"/>
      <c r="J3658" s="13"/>
      <c r="K3658" s="13"/>
      <c r="L3658" s="15"/>
      <c r="M3658" s="14"/>
      <c r="N3658" s="15"/>
      <c r="O3658" s="10"/>
      <c r="P3658" s="10"/>
    </row>
    <row r="3659">
      <c r="A3659" s="10"/>
      <c r="B3659" s="10"/>
      <c r="C3659" s="9" t="str">
        <f t="shared" si="249"/>
        <v/>
      </c>
      <c r="D3659" s="15"/>
      <c r="E3659" s="15"/>
      <c r="F3659" s="15"/>
      <c r="G3659" s="15"/>
      <c r="I3659" s="65"/>
      <c r="J3659" s="13"/>
      <c r="K3659" s="13"/>
      <c r="L3659" s="15"/>
      <c r="M3659" s="14"/>
      <c r="N3659" s="15"/>
      <c r="O3659" s="10"/>
      <c r="P3659" s="10"/>
    </row>
    <row r="3660">
      <c r="A3660" s="10"/>
      <c r="B3660" s="10"/>
      <c r="C3660" s="9" t="str">
        <f t="shared" si="249"/>
        <v/>
      </c>
      <c r="D3660" s="15"/>
      <c r="E3660" s="15"/>
      <c r="F3660" s="15"/>
      <c r="G3660" s="15"/>
      <c r="I3660" s="65"/>
      <c r="J3660" s="13"/>
      <c r="K3660" s="13"/>
      <c r="L3660" s="15"/>
      <c r="M3660" s="14"/>
      <c r="N3660" s="15"/>
      <c r="O3660" s="10"/>
      <c r="P3660" s="10"/>
    </row>
    <row r="3661">
      <c r="A3661" s="10"/>
      <c r="B3661" s="10"/>
      <c r="C3661" s="9" t="str">
        <f t="shared" si="249"/>
        <v/>
      </c>
      <c r="D3661" s="15"/>
      <c r="E3661" s="15"/>
      <c r="F3661" s="15"/>
      <c r="G3661" s="15"/>
      <c r="I3661" s="65"/>
      <c r="J3661" s="13"/>
      <c r="K3661" s="13"/>
      <c r="L3661" s="15"/>
      <c r="M3661" s="14"/>
      <c r="N3661" s="15"/>
      <c r="O3661" s="10"/>
      <c r="P3661" s="10"/>
    </row>
    <row r="3662">
      <c r="A3662" s="10"/>
      <c r="B3662" s="10"/>
      <c r="C3662" s="9" t="str">
        <f t="shared" si="249"/>
        <v/>
      </c>
      <c r="D3662" s="15"/>
      <c r="E3662" s="15"/>
      <c r="F3662" s="15"/>
      <c r="G3662" s="15"/>
      <c r="I3662" s="65"/>
      <c r="J3662" s="13"/>
      <c r="K3662" s="13"/>
      <c r="L3662" s="15"/>
      <c r="M3662" s="14"/>
      <c r="N3662" s="15"/>
      <c r="O3662" s="10"/>
      <c r="P3662" s="10"/>
    </row>
    <row r="3663">
      <c r="A3663" s="10"/>
      <c r="B3663" s="10"/>
      <c r="C3663" s="9" t="str">
        <f t="shared" si="249"/>
        <v/>
      </c>
      <c r="D3663" s="15"/>
      <c r="E3663" s="15"/>
      <c r="F3663" s="15"/>
      <c r="G3663" s="15"/>
      <c r="I3663" s="65"/>
      <c r="J3663" s="13"/>
      <c r="K3663" s="13"/>
      <c r="L3663" s="15"/>
      <c r="M3663" s="14"/>
      <c r="N3663" s="15"/>
      <c r="O3663" s="10"/>
      <c r="P3663" s="10"/>
    </row>
    <row r="3664">
      <c r="A3664" s="10"/>
      <c r="B3664" s="10"/>
      <c r="C3664" s="9" t="str">
        <f t="shared" si="249"/>
        <v/>
      </c>
      <c r="D3664" s="15"/>
      <c r="E3664" s="15"/>
      <c r="F3664" s="15"/>
      <c r="G3664" s="15"/>
      <c r="I3664" s="65"/>
      <c r="J3664" s="13"/>
      <c r="K3664" s="13"/>
      <c r="L3664" s="15"/>
      <c r="M3664" s="14"/>
      <c r="N3664" s="15"/>
      <c r="O3664" s="10"/>
      <c r="P3664" s="10"/>
    </row>
    <row r="3665">
      <c r="A3665" s="10"/>
      <c r="B3665" s="10"/>
      <c r="C3665" s="9" t="str">
        <f t="shared" si="249"/>
        <v/>
      </c>
      <c r="D3665" s="15"/>
      <c r="E3665" s="15"/>
      <c r="F3665" s="15"/>
      <c r="G3665" s="15"/>
      <c r="I3665" s="65"/>
      <c r="J3665" s="13"/>
      <c r="K3665" s="13"/>
      <c r="L3665" s="15"/>
      <c r="M3665" s="14"/>
      <c r="N3665" s="15"/>
      <c r="O3665" s="10"/>
      <c r="P3665" s="10"/>
    </row>
    <row r="3666">
      <c r="A3666" s="10"/>
      <c r="B3666" s="10"/>
      <c r="C3666" s="9" t="str">
        <f t="shared" si="249"/>
        <v/>
      </c>
      <c r="D3666" s="15"/>
      <c r="E3666" s="15"/>
      <c r="F3666" s="15"/>
      <c r="G3666" s="15"/>
      <c r="I3666" s="65"/>
      <c r="J3666" s="13"/>
      <c r="K3666" s="13"/>
      <c r="L3666" s="15"/>
      <c r="M3666" s="14"/>
      <c r="N3666" s="15"/>
      <c r="O3666" s="10"/>
      <c r="P3666" s="10"/>
    </row>
    <row r="3667">
      <c r="A3667" s="10"/>
      <c r="B3667" s="10"/>
      <c r="C3667" s="9" t="str">
        <f t="shared" si="249"/>
        <v/>
      </c>
      <c r="D3667" s="15"/>
      <c r="E3667" s="15"/>
      <c r="F3667" s="15"/>
      <c r="G3667" s="15"/>
      <c r="I3667" s="65"/>
      <c r="J3667" s="13"/>
      <c r="K3667" s="13"/>
      <c r="L3667" s="15"/>
      <c r="M3667" s="14"/>
      <c r="N3667" s="15"/>
      <c r="O3667" s="10"/>
      <c r="P3667" s="10"/>
    </row>
    <row r="3668">
      <c r="A3668" s="10"/>
      <c r="B3668" s="10"/>
      <c r="C3668" s="9" t="str">
        <f t="shared" si="249"/>
        <v/>
      </c>
      <c r="D3668" s="15"/>
      <c r="E3668" s="15"/>
      <c r="F3668" s="15"/>
      <c r="G3668" s="15"/>
      <c r="I3668" s="65"/>
      <c r="J3668" s="13"/>
      <c r="K3668" s="13"/>
      <c r="L3668" s="15"/>
      <c r="M3668" s="14"/>
      <c r="N3668" s="15"/>
      <c r="O3668" s="10"/>
      <c r="P3668" s="10"/>
    </row>
    <row r="3669">
      <c r="A3669" s="10"/>
      <c r="B3669" s="10"/>
      <c r="C3669" s="9" t="str">
        <f t="shared" si="249"/>
        <v/>
      </c>
      <c r="D3669" s="15"/>
      <c r="E3669" s="15"/>
      <c r="F3669" s="15"/>
      <c r="G3669" s="15"/>
      <c r="I3669" s="65"/>
      <c r="J3669" s="13"/>
      <c r="K3669" s="13"/>
      <c r="L3669" s="15"/>
      <c r="M3669" s="14"/>
      <c r="N3669" s="15"/>
      <c r="O3669" s="10"/>
      <c r="P3669" s="10"/>
    </row>
    <row r="3670">
      <c r="A3670" s="10"/>
      <c r="B3670" s="10"/>
      <c r="C3670" s="9" t="str">
        <f t="shared" si="249"/>
        <v/>
      </c>
      <c r="D3670" s="15"/>
      <c r="E3670" s="15"/>
      <c r="F3670" s="15"/>
      <c r="G3670" s="15"/>
      <c r="I3670" s="65"/>
      <c r="J3670" s="13"/>
      <c r="K3670" s="13"/>
      <c r="L3670" s="15"/>
      <c r="M3670" s="14"/>
      <c r="N3670" s="15"/>
      <c r="O3670" s="10"/>
      <c r="P3670" s="10"/>
    </row>
    <row r="3671">
      <c r="A3671" s="10"/>
      <c r="B3671" s="10"/>
      <c r="C3671" s="9" t="str">
        <f t="shared" si="249"/>
        <v/>
      </c>
      <c r="D3671" s="15"/>
      <c r="E3671" s="15"/>
      <c r="F3671" s="15"/>
      <c r="G3671" s="15"/>
      <c r="I3671" s="65"/>
      <c r="J3671" s="13"/>
      <c r="K3671" s="13"/>
      <c r="L3671" s="15"/>
      <c r="M3671" s="14"/>
      <c r="N3671" s="15"/>
      <c r="O3671" s="10"/>
      <c r="P3671" s="10"/>
    </row>
    <row r="3672">
      <c r="A3672" s="10"/>
      <c r="B3672" s="10"/>
      <c r="C3672" s="9" t="str">
        <f t="shared" si="249"/>
        <v/>
      </c>
      <c r="D3672" s="15"/>
      <c r="E3672" s="15"/>
      <c r="F3672" s="15"/>
      <c r="G3672" s="15"/>
      <c r="I3672" s="65"/>
      <c r="J3672" s="13"/>
      <c r="K3672" s="13"/>
      <c r="L3672" s="15"/>
      <c r="M3672" s="14"/>
      <c r="N3672" s="15"/>
      <c r="O3672" s="10"/>
      <c r="P3672" s="10"/>
    </row>
    <row r="3673">
      <c r="A3673" s="10"/>
      <c r="B3673" s="10"/>
      <c r="C3673" s="9" t="str">
        <f t="shared" si="249"/>
        <v/>
      </c>
      <c r="D3673" s="15"/>
      <c r="E3673" s="15"/>
      <c r="F3673" s="15"/>
      <c r="G3673" s="15"/>
      <c r="I3673" s="65"/>
      <c r="J3673" s="13"/>
      <c r="K3673" s="13"/>
      <c r="L3673" s="15"/>
      <c r="M3673" s="14"/>
      <c r="N3673" s="15"/>
      <c r="O3673" s="10"/>
      <c r="P3673" s="10"/>
    </row>
    <row r="3674">
      <c r="A3674" s="10"/>
      <c r="B3674" s="10"/>
      <c r="C3674" s="9" t="str">
        <f t="shared" si="249"/>
        <v/>
      </c>
      <c r="D3674" s="15"/>
      <c r="E3674" s="15"/>
      <c r="F3674" s="15"/>
      <c r="G3674" s="15"/>
      <c r="I3674" s="65"/>
      <c r="J3674" s="13"/>
      <c r="K3674" s="13"/>
      <c r="L3674" s="15"/>
      <c r="M3674" s="14"/>
      <c r="N3674" s="15"/>
      <c r="O3674" s="10"/>
      <c r="P3674" s="10"/>
    </row>
    <row r="3675">
      <c r="A3675" s="10"/>
      <c r="B3675" s="10"/>
      <c r="C3675" s="9" t="str">
        <f t="shared" si="249"/>
        <v/>
      </c>
      <c r="D3675" s="15"/>
      <c r="E3675" s="15"/>
      <c r="F3675" s="15"/>
      <c r="G3675" s="15"/>
      <c r="I3675" s="65"/>
      <c r="J3675" s="13"/>
      <c r="K3675" s="13"/>
      <c r="L3675" s="15"/>
      <c r="M3675" s="14"/>
      <c r="N3675" s="15"/>
      <c r="O3675" s="10"/>
      <c r="P3675" s="10"/>
    </row>
    <row r="3676">
      <c r="A3676" s="10"/>
      <c r="B3676" s="10"/>
      <c r="C3676" s="9" t="str">
        <f t="shared" si="249"/>
        <v/>
      </c>
      <c r="D3676" s="15"/>
      <c r="E3676" s="15"/>
      <c r="F3676" s="15"/>
      <c r="G3676" s="15"/>
      <c r="I3676" s="65"/>
      <c r="J3676" s="13"/>
      <c r="K3676" s="13"/>
      <c r="L3676" s="15"/>
      <c r="M3676" s="14"/>
      <c r="N3676" s="15"/>
      <c r="O3676" s="10"/>
      <c r="P3676" s="10"/>
    </row>
    <row r="3677">
      <c r="A3677" s="10"/>
      <c r="B3677" s="10"/>
      <c r="C3677" s="9" t="str">
        <f t="shared" si="249"/>
        <v/>
      </c>
      <c r="D3677" s="15"/>
      <c r="E3677" s="15"/>
      <c r="F3677" s="15"/>
      <c r="G3677" s="15"/>
      <c r="I3677" s="65"/>
      <c r="J3677" s="13"/>
      <c r="K3677" s="13"/>
      <c r="L3677" s="15"/>
      <c r="M3677" s="14"/>
      <c r="N3677" s="15"/>
      <c r="O3677" s="10"/>
      <c r="P3677" s="10"/>
    </row>
    <row r="3678">
      <c r="A3678" s="10"/>
      <c r="B3678" s="10"/>
      <c r="C3678" s="9" t="str">
        <f t="shared" si="249"/>
        <v/>
      </c>
      <c r="D3678" s="15"/>
      <c r="E3678" s="15"/>
      <c r="F3678" s="15"/>
      <c r="G3678" s="15"/>
      <c r="I3678" s="65"/>
      <c r="J3678" s="13"/>
      <c r="K3678" s="13"/>
      <c r="L3678" s="15"/>
      <c r="M3678" s="14"/>
      <c r="N3678" s="15"/>
      <c r="O3678" s="10"/>
      <c r="P3678" s="10"/>
    </row>
    <row r="3679">
      <c r="A3679" s="10"/>
      <c r="B3679" s="10"/>
      <c r="C3679" s="9" t="str">
        <f t="shared" si="249"/>
        <v/>
      </c>
      <c r="D3679" s="15"/>
      <c r="E3679" s="15"/>
      <c r="F3679" s="15"/>
      <c r="G3679" s="15"/>
      <c r="I3679" s="65"/>
      <c r="J3679" s="13"/>
      <c r="K3679" s="13"/>
      <c r="L3679" s="15"/>
      <c r="M3679" s="14"/>
      <c r="N3679" s="15"/>
      <c r="O3679" s="10"/>
      <c r="P3679" s="10"/>
    </row>
    <row r="3680">
      <c r="A3680" s="10"/>
      <c r="B3680" s="10"/>
      <c r="C3680" s="9" t="str">
        <f t="shared" si="249"/>
        <v/>
      </c>
      <c r="D3680" s="15"/>
      <c r="E3680" s="15"/>
      <c r="F3680" s="15"/>
      <c r="G3680" s="15"/>
      <c r="I3680" s="65"/>
      <c r="J3680" s="13"/>
      <c r="K3680" s="13"/>
      <c r="L3680" s="15"/>
      <c r="M3680" s="14"/>
      <c r="N3680" s="15"/>
      <c r="O3680" s="10"/>
      <c r="P3680" s="10"/>
    </row>
    <row r="3681">
      <c r="A3681" s="10"/>
      <c r="B3681" s="10"/>
      <c r="C3681" s="9" t="str">
        <f t="shared" si="249"/>
        <v/>
      </c>
      <c r="D3681" s="15"/>
      <c r="E3681" s="15"/>
      <c r="F3681" s="15"/>
      <c r="G3681" s="15"/>
      <c r="I3681" s="65"/>
      <c r="J3681" s="13"/>
      <c r="K3681" s="13"/>
      <c r="L3681" s="15"/>
      <c r="M3681" s="14"/>
      <c r="N3681" s="15"/>
      <c r="O3681" s="10"/>
      <c r="P3681" s="10"/>
    </row>
    <row r="3682">
      <c r="A3682" s="10"/>
      <c r="B3682" s="10"/>
      <c r="C3682" s="9" t="str">
        <f t="shared" si="249"/>
        <v/>
      </c>
      <c r="D3682" s="15"/>
      <c r="E3682" s="15"/>
      <c r="F3682" s="15"/>
      <c r="G3682" s="15"/>
      <c r="I3682" s="65"/>
      <c r="J3682" s="13"/>
      <c r="K3682" s="13"/>
      <c r="L3682" s="15"/>
      <c r="M3682" s="14"/>
      <c r="N3682" s="15"/>
      <c r="O3682" s="10"/>
      <c r="P3682" s="10"/>
    </row>
    <row r="3683">
      <c r="A3683" s="10"/>
      <c r="B3683" s="10"/>
      <c r="C3683" s="9" t="str">
        <f t="shared" si="249"/>
        <v/>
      </c>
      <c r="D3683" s="15"/>
      <c r="E3683" s="15"/>
      <c r="F3683" s="15"/>
      <c r="G3683" s="15"/>
      <c r="I3683" s="65"/>
      <c r="J3683" s="13"/>
      <c r="K3683" s="13"/>
      <c r="L3683" s="15"/>
      <c r="M3683" s="14"/>
      <c r="N3683" s="15"/>
      <c r="O3683" s="10"/>
      <c r="P3683" s="10"/>
    </row>
    <row r="3684">
      <c r="A3684" s="10"/>
      <c r="B3684" s="10"/>
      <c r="C3684" s="9" t="str">
        <f t="shared" si="249"/>
        <v/>
      </c>
      <c r="D3684" s="15"/>
      <c r="E3684" s="15"/>
      <c r="F3684" s="15"/>
      <c r="G3684" s="15"/>
      <c r="I3684" s="65"/>
      <c r="J3684" s="13"/>
      <c r="K3684" s="13"/>
      <c r="L3684" s="15"/>
      <c r="M3684" s="14"/>
      <c r="N3684" s="15"/>
      <c r="O3684" s="10"/>
      <c r="P3684" s="10"/>
    </row>
    <row r="3685">
      <c r="A3685" s="10"/>
      <c r="B3685" s="10"/>
      <c r="C3685" s="9" t="str">
        <f t="shared" si="249"/>
        <v/>
      </c>
      <c r="D3685" s="15"/>
      <c r="E3685" s="15"/>
      <c r="F3685" s="15"/>
      <c r="G3685" s="15"/>
      <c r="I3685" s="65"/>
      <c r="J3685" s="13"/>
      <c r="K3685" s="13"/>
      <c r="L3685" s="15"/>
      <c r="M3685" s="14"/>
      <c r="N3685" s="15"/>
      <c r="O3685" s="10"/>
      <c r="P3685" s="10"/>
    </row>
    <row r="3686">
      <c r="A3686" s="10"/>
      <c r="B3686" s="10"/>
      <c r="C3686" s="9" t="str">
        <f t="shared" si="249"/>
        <v/>
      </c>
      <c r="D3686" s="15"/>
      <c r="E3686" s="15"/>
      <c r="F3686" s="15"/>
      <c r="G3686" s="15"/>
      <c r="I3686" s="65"/>
      <c r="J3686" s="13"/>
      <c r="K3686" s="13"/>
      <c r="L3686" s="15"/>
      <c r="M3686" s="14"/>
      <c r="N3686" s="15"/>
      <c r="O3686" s="10"/>
      <c r="P3686" s="10"/>
    </row>
    <row r="3687">
      <c r="A3687" s="10"/>
      <c r="B3687" s="10"/>
      <c r="C3687" s="9" t="str">
        <f t="shared" si="249"/>
        <v/>
      </c>
      <c r="D3687" s="15"/>
      <c r="E3687" s="15"/>
      <c r="F3687" s="15"/>
      <c r="G3687" s="15"/>
      <c r="I3687" s="65"/>
      <c r="J3687" s="13"/>
      <c r="K3687" s="13"/>
      <c r="L3687" s="15"/>
      <c r="M3687" s="14"/>
      <c r="N3687" s="15"/>
      <c r="O3687" s="10"/>
      <c r="P3687" s="10"/>
    </row>
    <row r="3688">
      <c r="A3688" s="10"/>
      <c r="B3688" s="10"/>
      <c r="C3688" s="9" t="str">
        <f t="shared" si="249"/>
        <v/>
      </c>
      <c r="D3688" s="15"/>
      <c r="E3688" s="15"/>
      <c r="F3688" s="15"/>
      <c r="G3688" s="15"/>
      <c r="I3688" s="65"/>
      <c r="J3688" s="13"/>
      <c r="K3688" s="13"/>
      <c r="L3688" s="15"/>
      <c r="M3688" s="14"/>
      <c r="N3688" s="15"/>
      <c r="O3688" s="10"/>
      <c r="P3688" s="10"/>
    </row>
    <row r="3689">
      <c r="A3689" s="10"/>
      <c r="B3689" s="10"/>
      <c r="C3689" s="9" t="str">
        <f t="shared" si="249"/>
        <v/>
      </c>
      <c r="D3689" s="15"/>
      <c r="E3689" s="15"/>
      <c r="F3689" s="15"/>
      <c r="G3689" s="15"/>
      <c r="I3689" s="65"/>
      <c r="J3689" s="13"/>
      <c r="K3689" s="13"/>
      <c r="L3689" s="15"/>
      <c r="M3689" s="14"/>
      <c r="N3689" s="15"/>
      <c r="O3689" s="10"/>
      <c r="P3689" s="10"/>
    </row>
    <row r="3690">
      <c r="A3690" s="10"/>
      <c r="B3690" s="10"/>
      <c r="C3690" s="9" t="str">
        <f t="shared" si="249"/>
        <v/>
      </c>
      <c r="D3690" s="15"/>
      <c r="E3690" s="15"/>
      <c r="F3690" s="15"/>
      <c r="G3690" s="15"/>
      <c r="I3690" s="65"/>
      <c r="J3690" s="13"/>
      <c r="K3690" s="13"/>
      <c r="L3690" s="15"/>
      <c r="M3690" s="14"/>
      <c r="N3690" s="15"/>
      <c r="O3690" s="10"/>
      <c r="P3690" s="10"/>
    </row>
    <row r="3691">
      <c r="A3691" s="10"/>
      <c r="B3691" s="10"/>
      <c r="C3691" s="9" t="str">
        <f t="shared" si="249"/>
        <v/>
      </c>
      <c r="D3691" s="15"/>
      <c r="E3691" s="15"/>
      <c r="F3691" s="15"/>
      <c r="G3691" s="15"/>
      <c r="I3691" s="65"/>
      <c r="J3691" s="13"/>
      <c r="K3691" s="13"/>
      <c r="L3691" s="15"/>
      <c r="M3691" s="14"/>
      <c r="N3691" s="15"/>
      <c r="O3691" s="10"/>
      <c r="P3691" s="10"/>
    </row>
    <row r="3692">
      <c r="A3692" s="10"/>
      <c r="B3692" s="10"/>
      <c r="C3692" s="9" t="str">
        <f t="shared" si="249"/>
        <v/>
      </c>
      <c r="D3692" s="15"/>
      <c r="E3692" s="15"/>
      <c r="F3692" s="15"/>
      <c r="G3692" s="15"/>
      <c r="I3692" s="65"/>
      <c r="J3692" s="13"/>
      <c r="K3692" s="13"/>
      <c r="L3692" s="15"/>
      <c r="M3692" s="14"/>
      <c r="N3692" s="15"/>
      <c r="O3692" s="10"/>
      <c r="P3692" s="10"/>
    </row>
    <row r="3693">
      <c r="A3693" s="10"/>
      <c r="B3693" s="10"/>
      <c r="C3693" s="9" t="str">
        <f t="shared" si="249"/>
        <v/>
      </c>
      <c r="D3693" s="15"/>
      <c r="E3693" s="15"/>
      <c r="F3693" s="15"/>
      <c r="G3693" s="15"/>
      <c r="I3693" s="65"/>
      <c r="J3693" s="13"/>
      <c r="K3693" s="13"/>
      <c r="L3693" s="15"/>
      <c r="M3693" s="14"/>
      <c r="N3693" s="15"/>
      <c r="O3693" s="10"/>
      <c r="P3693" s="10"/>
    </row>
    <row r="3694">
      <c r="A3694" s="10"/>
      <c r="B3694" s="10"/>
      <c r="C3694" s="9" t="str">
        <f t="shared" si="249"/>
        <v/>
      </c>
      <c r="D3694" s="15"/>
      <c r="E3694" s="15"/>
      <c r="F3694" s="15"/>
      <c r="G3694" s="15"/>
      <c r="I3694" s="65"/>
      <c r="J3694" s="13"/>
      <c r="K3694" s="13"/>
      <c r="L3694" s="15"/>
      <c r="M3694" s="14"/>
      <c r="N3694" s="15"/>
      <c r="O3694" s="10"/>
      <c r="P3694" s="10"/>
    </row>
    <row r="3695">
      <c r="A3695" s="10"/>
      <c r="B3695" s="10"/>
      <c r="C3695" s="9" t="str">
        <f t="shared" si="249"/>
        <v/>
      </c>
      <c r="D3695" s="15"/>
      <c r="E3695" s="15"/>
      <c r="F3695" s="15"/>
      <c r="G3695" s="15"/>
      <c r="I3695" s="65"/>
      <c r="J3695" s="13"/>
      <c r="K3695" s="13"/>
      <c r="L3695" s="15"/>
      <c r="M3695" s="14"/>
      <c r="N3695" s="15"/>
      <c r="O3695" s="10"/>
      <c r="P3695" s="10"/>
    </row>
    <row r="3696">
      <c r="A3696" s="10"/>
      <c r="B3696" s="10"/>
      <c r="C3696" s="9" t="str">
        <f t="shared" si="249"/>
        <v/>
      </c>
      <c r="D3696" s="15"/>
      <c r="E3696" s="15"/>
      <c r="F3696" s="15"/>
      <c r="G3696" s="15"/>
      <c r="I3696" s="65"/>
      <c r="J3696" s="13"/>
      <c r="K3696" s="13"/>
      <c r="L3696" s="15"/>
      <c r="M3696" s="14"/>
      <c r="N3696" s="15"/>
      <c r="O3696" s="10"/>
      <c r="P3696" s="10"/>
    </row>
    <row r="3697">
      <c r="A3697" s="10"/>
      <c r="B3697" s="10"/>
      <c r="C3697" s="9" t="str">
        <f t="shared" si="249"/>
        <v/>
      </c>
      <c r="D3697" s="15"/>
      <c r="E3697" s="15"/>
      <c r="F3697" s="15"/>
      <c r="G3697" s="15"/>
      <c r="I3697" s="65"/>
      <c r="J3697" s="13"/>
      <c r="K3697" s="13"/>
      <c r="L3697" s="15"/>
      <c r="M3697" s="14"/>
      <c r="N3697" s="15"/>
      <c r="O3697" s="10"/>
      <c r="P3697" s="10"/>
    </row>
    <row r="3698">
      <c r="A3698" s="10"/>
      <c r="B3698" s="10"/>
      <c r="C3698" s="9" t="str">
        <f t="shared" si="249"/>
        <v/>
      </c>
      <c r="D3698" s="15"/>
      <c r="E3698" s="15"/>
      <c r="F3698" s="15"/>
      <c r="G3698" s="15"/>
      <c r="I3698" s="65"/>
      <c r="J3698" s="13"/>
      <c r="K3698" s="13"/>
      <c r="L3698" s="15"/>
      <c r="M3698" s="14"/>
      <c r="N3698" s="15"/>
      <c r="O3698" s="10"/>
      <c r="P3698" s="10"/>
    </row>
    <row r="3699">
      <c r="A3699" s="10"/>
      <c r="B3699" s="10"/>
      <c r="C3699" s="9" t="str">
        <f t="shared" si="249"/>
        <v/>
      </c>
      <c r="D3699" s="15"/>
      <c r="E3699" s="15"/>
      <c r="F3699" s="15"/>
      <c r="G3699" s="15"/>
      <c r="I3699" s="65"/>
      <c r="J3699" s="13"/>
      <c r="K3699" s="13"/>
      <c r="L3699" s="15"/>
      <c r="M3699" s="14"/>
      <c r="N3699" s="15"/>
      <c r="O3699" s="10"/>
      <c r="P3699" s="10"/>
    </row>
    <row r="3700">
      <c r="A3700" s="10"/>
      <c r="B3700" s="10"/>
      <c r="C3700" s="9" t="str">
        <f t="shared" si="249"/>
        <v/>
      </c>
      <c r="D3700" s="15"/>
      <c r="E3700" s="15"/>
      <c r="F3700" s="15"/>
      <c r="G3700" s="15"/>
      <c r="I3700" s="65"/>
      <c r="J3700" s="13"/>
      <c r="K3700" s="13"/>
      <c r="L3700" s="15"/>
      <c r="M3700" s="14"/>
      <c r="N3700" s="15"/>
      <c r="O3700" s="10"/>
      <c r="P3700" s="10"/>
    </row>
    <row r="3701">
      <c r="A3701" s="10"/>
      <c r="B3701" s="10"/>
      <c r="C3701" s="9" t="str">
        <f t="shared" si="249"/>
        <v/>
      </c>
      <c r="D3701" s="15"/>
      <c r="E3701" s="15"/>
      <c r="F3701" s="15"/>
      <c r="G3701" s="15"/>
      <c r="I3701" s="65"/>
      <c r="J3701" s="13"/>
      <c r="K3701" s="13"/>
      <c r="L3701" s="15"/>
      <c r="M3701" s="14"/>
      <c r="N3701" s="15"/>
      <c r="O3701" s="10"/>
      <c r="P3701" s="10"/>
    </row>
    <row r="3702">
      <c r="A3702" s="10"/>
      <c r="B3702" s="10"/>
      <c r="C3702" s="9" t="str">
        <f t="shared" si="249"/>
        <v/>
      </c>
      <c r="D3702" s="15"/>
      <c r="E3702" s="15"/>
      <c r="F3702" s="15"/>
      <c r="G3702" s="15"/>
      <c r="I3702" s="65"/>
      <c r="J3702" s="13"/>
      <c r="K3702" s="13"/>
      <c r="L3702" s="15"/>
      <c r="M3702" s="14"/>
      <c r="N3702" s="15"/>
      <c r="O3702" s="10"/>
      <c r="P3702" s="10"/>
    </row>
    <row r="3703">
      <c r="A3703" s="10"/>
      <c r="B3703" s="10"/>
      <c r="C3703" s="9" t="str">
        <f t="shared" si="249"/>
        <v/>
      </c>
      <c r="D3703" s="15"/>
      <c r="E3703" s="15"/>
      <c r="F3703" s="15"/>
      <c r="G3703" s="15"/>
      <c r="I3703" s="65"/>
      <c r="J3703" s="13"/>
      <c r="K3703" s="13"/>
      <c r="L3703" s="15"/>
      <c r="M3703" s="14"/>
      <c r="N3703" s="15"/>
      <c r="O3703" s="10"/>
      <c r="P3703" s="10"/>
    </row>
    <row r="3704">
      <c r="A3704" s="10"/>
      <c r="B3704" s="10"/>
      <c r="C3704" s="9" t="str">
        <f t="shared" si="249"/>
        <v/>
      </c>
      <c r="D3704" s="15"/>
      <c r="E3704" s="15"/>
      <c r="F3704" s="15"/>
      <c r="G3704" s="15"/>
      <c r="I3704" s="65"/>
      <c r="J3704" s="13"/>
      <c r="K3704" s="13"/>
      <c r="L3704" s="15"/>
      <c r="M3704" s="14"/>
      <c r="N3704" s="15"/>
      <c r="O3704" s="10"/>
      <c r="P3704" s="10"/>
    </row>
    <row r="3705">
      <c r="A3705" s="10"/>
      <c r="B3705" s="10"/>
      <c r="C3705" s="9" t="str">
        <f t="shared" si="249"/>
        <v/>
      </c>
      <c r="D3705" s="15"/>
      <c r="E3705" s="15"/>
      <c r="F3705" s="15"/>
      <c r="G3705" s="15"/>
      <c r="I3705" s="65"/>
      <c r="J3705" s="13"/>
      <c r="K3705" s="13"/>
      <c r="L3705" s="15"/>
      <c r="M3705" s="14"/>
      <c r="N3705" s="15"/>
      <c r="O3705" s="10"/>
      <c r="P3705" s="10"/>
    </row>
    <row r="3706">
      <c r="A3706" s="10"/>
      <c r="B3706" s="10"/>
      <c r="C3706" s="9" t="str">
        <f t="shared" si="249"/>
        <v/>
      </c>
      <c r="D3706" s="15"/>
      <c r="E3706" s="15"/>
      <c r="F3706" s="15"/>
      <c r="G3706" s="15"/>
      <c r="I3706" s="65"/>
      <c r="J3706" s="13"/>
      <c r="K3706" s="13"/>
      <c r="L3706" s="15"/>
      <c r="M3706" s="14"/>
      <c r="N3706" s="15"/>
      <c r="O3706" s="10"/>
      <c r="P3706" s="10"/>
    </row>
    <row r="3707">
      <c r="A3707" s="10"/>
      <c r="B3707" s="10"/>
      <c r="C3707" s="9" t="str">
        <f t="shared" si="249"/>
        <v/>
      </c>
      <c r="D3707" s="15"/>
      <c r="E3707" s="15"/>
      <c r="F3707" s="15"/>
      <c r="G3707" s="15"/>
      <c r="I3707" s="65"/>
      <c r="J3707" s="13"/>
      <c r="K3707" s="13"/>
      <c r="L3707" s="15"/>
      <c r="M3707" s="14"/>
      <c r="N3707" s="15"/>
      <c r="O3707" s="10"/>
      <c r="P3707" s="10"/>
    </row>
    <row r="3708">
      <c r="A3708" s="10"/>
      <c r="B3708" s="10"/>
      <c r="C3708" s="9" t="str">
        <f t="shared" si="249"/>
        <v/>
      </c>
      <c r="D3708" s="15"/>
      <c r="E3708" s="15"/>
      <c r="F3708" s="15"/>
      <c r="G3708" s="15"/>
      <c r="I3708" s="65"/>
      <c r="J3708" s="13"/>
      <c r="K3708" s="13"/>
      <c r="L3708" s="15"/>
      <c r="M3708" s="14"/>
      <c r="N3708" s="15"/>
      <c r="O3708" s="10"/>
      <c r="P3708" s="10"/>
    </row>
    <row r="3709">
      <c r="A3709" s="10"/>
      <c r="B3709" s="10"/>
      <c r="C3709" s="9" t="str">
        <f t="shared" si="249"/>
        <v/>
      </c>
      <c r="D3709" s="15"/>
      <c r="E3709" s="15"/>
      <c r="F3709" s="15"/>
      <c r="G3709" s="15"/>
      <c r="I3709" s="65"/>
      <c r="J3709" s="13"/>
      <c r="K3709" s="13"/>
      <c r="L3709" s="15"/>
      <c r="M3709" s="14"/>
      <c r="N3709" s="15"/>
      <c r="O3709" s="10"/>
      <c r="P3709" s="10"/>
    </row>
    <row r="3710">
      <c r="A3710" s="10"/>
      <c r="B3710" s="10"/>
      <c r="C3710" s="9" t="str">
        <f t="shared" si="249"/>
        <v/>
      </c>
      <c r="D3710" s="15"/>
      <c r="E3710" s="15"/>
      <c r="F3710" s="15"/>
      <c r="G3710" s="15"/>
      <c r="I3710" s="65"/>
      <c r="J3710" s="13"/>
      <c r="K3710" s="13"/>
      <c r="L3710" s="15"/>
      <c r="M3710" s="14"/>
      <c r="N3710" s="15"/>
      <c r="O3710" s="10"/>
      <c r="P3710" s="10"/>
    </row>
    <row r="3711">
      <c r="A3711" s="10"/>
      <c r="B3711" s="10"/>
      <c r="C3711" s="9" t="str">
        <f t="shared" si="249"/>
        <v/>
      </c>
      <c r="D3711" s="15"/>
      <c r="E3711" s="15"/>
      <c r="F3711" s="15"/>
      <c r="G3711" s="15"/>
      <c r="I3711" s="65"/>
      <c r="J3711" s="13"/>
      <c r="K3711" s="13"/>
      <c r="L3711" s="15"/>
      <c r="M3711" s="14"/>
      <c r="N3711" s="15"/>
      <c r="O3711" s="10"/>
      <c r="P3711" s="10"/>
    </row>
    <row r="3712">
      <c r="A3712" s="10"/>
      <c r="B3712" s="10"/>
      <c r="C3712" s="9" t="str">
        <f t="shared" si="249"/>
        <v/>
      </c>
      <c r="D3712" s="15"/>
      <c r="E3712" s="15"/>
      <c r="F3712" s="15"/>
      <c r="G3712" s="15"/>
      <c r="I3712" s="65"/>
      <c r="J3712" s="13"/>
      <c r="K3712" s="13"/>
      <c r="L3712" s="15"/>
      <c r="M3712" s="14"/>
      <c r="N3712" s="15"/>
      <c r="O3712" s="10"/>
      <c r="P3712" s="10"/>
    </row>
    <row r="3713">
      <c r="A3713" s="10"/>
      <c r="B3713" s="10"/>
      <c r="C3713" s="9" t="str">
        <f t="shared" si="249"/>
        <v/>
      </c>
      <c r="D3713" s="15"/>
      <c r="E3713" s="15"/>
      <c r="F3713" s="15"/>
      <c r="G3713" s="15"/>
      <c r="I3713" s="65"/>
      <c r="J3713" s="13"/>
      <c r="K3713" s="13"/>
      <c r="L3713" s="15"/>
      <c r="M3713" s="14"/>
      <c r="N3713" s="15"/>
      <c r="O3713" s="10"/>
      <c r="P3713" s="10"/>
    </row>
    <row r="3714">
      <c r="A3714" s="10"/>
      <c r="B3714" s="10"/>
      <c r="C3714" s="9" t="str">
        <f t="shared" si="249"/>
        <v/>
      </c>
      <c r="D3714" s="15"/>
      <c r="E3714" s="15"/>
      <c r="F3714" s="15"/>
      <c r="G3714" s="15"/>
      <c r="I3714" s="65"/>
      <c r="J3714" s="13"/>
      <c r="K3714" s="13"/>
      <c r="L3714" s="15"/>
      <c r="M3714" s="14"/>
      <c r="N3714" s="15"/>
      <c r="O3714" s="10"/>
      <c r="P3714" s="10"/>
    </row>
    <row r="3715">
      <c r="A3715" s="10"/>
      <c r="B3715" s="10"/>
      <c r="C3715" s="9" t="str">
        <f t="shared" si="249"/>
        <v/>
      </c>
      <c r="D3715" s="15"/>
      <c r="E3715" s="15"/>
      <c r="F3715" s="15"/>
      <c r="G3715" s="15"/>
      <c r="I3715" s="65"/>
      <c r="J3715" s="13"/>
      <c r="K3715" s="13"/>
      <c r="L3715" s="15"/>
      <c r="M3715" s="14"/>
      <c r="N3715" s="15"/>
      <c r="O3715" s="10"/>
      <c r="P3715" s="10"/>
    </row>
    <row r="3716">
      <c r="A3716" s="10"/>
      <c r="B3716" s="10"/>
      <c r="C3716" s="9" t="str">
        <f t="shared" si="249"/>
        <v/>
      </c>
      <c r="D3716" s="15"/>
      <c r="E3716" s="15"/>
      <c r="F3716" s="15"/>
      <c r="G3716" s="15"/>
      <c r="I3716" s="65"/>
      <c r="J3716" s="13"/>
      <c r="K3716" s="13"/>
      <c r="L3716" s="15"/>
      <c r="M3716" s="14"/>
      <c r="N3716" s="15"/>
      <c r="O3716" s="10"/>
      <c r="P3716" s="10"/>
    </row>
    <row r="3717">
      <c r="A3717" s="10"/>
      <c r="B3717" s="10"/>
      <c r="C3717" s="9" t="str">
        <f t="shared" si="249"/>
        <v/>
      </c>
      <c r="D3717" s="15"/>
      <c r="E3717" s="15"/>
      <c r="F3717" s="15"/>
      <c r="G3717" s="15"/>
      <c r="I3717" s="65"/>
      <c r="J3717" s="13"/>
      <c r="K3717" s="13"/>
      <c r="L3717" s="15"/>
      <c r="M3717" s="14"/>
      <c r="N3717" s="15"/>
      <c r="O3717" s="10"/>
      <c r="P3717" s="10"/>
    </row>
    <row r="3718">
      <c r="A3718" s="10"/>
      <c r="B3718" s="10"/>
      <c r="C3718" s="9" t="str">
        <f t="shared" si="249"/>
        <v/>
      </c>
      <c r="D3718" s="15"/>
      <c r="E3718" s="15"/>
      <c r="F3718" s="15"/>
      <c r="G3718" s="15"/>
      <c r="I3718" s="65"/>
      <c r="J3718" s="13"/>
      <c r="K3718" s="13"/>
      <c r="L3718" s="15"/>
      <c r="M3718" s="14"/>
      <c r="N3718" s="15"/>
      <c r="O3718" s="10"/>
      <c r="P3718" s="10"/>
    </row>
    <row r="3719">
      <c r="A3719" s="10"/>
      <c r="B3719" s="10"/>
      <c r="C3719" s="9" t="str">
        <f t="shared" si="249"/>
        <v/>
      </c>
      <c r="D3719" s="15"/>
      <c r="E3719" s="15"/>
      <c r="F3719" s="15"/>
      <c r="G3719" s="15"/>
      <c r="I3719" s="65"/>
      <c r="J3719" s="13"/>
      <c r="K3719" s="13"/>
      <c r="L3719" s="15"/>
      <c r="M3719" s="14"/>
      <c r="N3719" s="15"/>
      <c r="O3719" s="10"/>
      <c r="P3719" s="10"/>
    </row>
    <row r="3720">
      <c r="A3720" s="10"/>
      <c r="B3720" s="10"/>
      <c r="C3720" s="9" t="str">
        <f t="shared" si="249"/>
        <v/>
      </c>
      <c r="D3720" s="15"/>
      <c r="E3720" s="15"/>
      <c r="F3720" s="15"/>
      <c r="G3720" s="15"/>
      <c r="I3720" s="65"/>
      <c r="J3720" s="13"/>
      <c r="K3720" s="13"/>
      <c r="L3720" s="15"/>
      <c r="M3720" s="14"/>
      <c r="N3720" s="15"/>
      <c r="O3720" s="10"/>
      <c r="P3720" s="10"/>
    </row>
    <row r="3721">
      <c r="A3721" s="10"/>
      <c r="B3721" s="10"/>
      <c r="C3721" s="9" t="str">
        <f t="shared" si="249"/>
        <v/>
      </c>
      <c r="D3721" s="15"/>
      <c r="E3721" s="15"/>
      <c r="F3721" s="15"/>
      <c r="G3721" s="15"/>
      <c r="I3721" s="65"/>
      <c r="J3721" s="13"/>
      <c r="K3721" s="13"/>
      <c r="L3721" s="15"/>
      <c r="M3721" s="14"/>
      <c r="N3721" s="15"/>
      <c r="O3721" s="10"/>
      <c r="P3721" s="10"/>
    </row>
    <row r="3722">
      <c r="A3722" s="10"/>
      <c r="B3722" s="10"/>
      <c r="C3722" s="9" t="str">
        <f t="shared" si="249"/>
        <v/>
      </c>
      <c r="D3722" s="15"/>
      <c r="E3722" s="15"/>
      <c r="F3722" s="15"/>
      <c r="G3722" s="15"/>
      <c r="I3722" s="65"/>
      <c r="J3722" s="13"/>
      <c r="K3722" s="13"/>
      <c r="L3722" s="15"/>
      <c r="M3722" s="14"/>
      <c r="N3722" s="15"/>
      <c r="O3722" s="10"/>
      <c r="P3722" s="10"/>
    </row>
    <row r="3723">
      <c r="A3723" s="10"/>
      <c r="B3723" s="10"/>
      <c r="C3723" s="9" t="str">
        <f t="shared" si="249"/>
        <v/>
      </c>
      <c r="D3723" s="15"/>
      <c r="E3723" s="15"/>
      <c r="F3723" s="15"/>
      <c r="G3723" s="15"/>
      <c r="I3723" s="65"/>
      <c r="J3723" s="13"/>
      <c r="K3723" s="13"/>
      <c r="L3723" s="15"/>
      <c r="M3723" s="14"/>
      <c r="N3723" s="15"/>
      <c r="O3723" s="10"/>
      <c r="P3723" s="10"/>
    </row>
    <row r="3724">
      <c r="A3724" s="10"/>
      <c r="B3724" s="10"/>
      <c r="C3724" s="9" t="str">
        <f t="shared" si="249"/>
        <v/>
      </c>
      <c r="D3724" s="15"/>
      <c r="E3724" s="15"/>
      <c r="F3724" s="15"/>
      <c r="G3724" s="15"/>
      <c r="I3724" s="65"/>
      <c r="J3724" s="13"/>
      <c r="K3724" s="13"/>
      <c r="L3724" s="15"/>
      <c r="M3724" s="14"/>
      <c r="N3724" s="15"/>
      <c r="O3724" s="10"/>
      <c r="P3724" s="10"/>
    </row>
    <row r="3725">
      <c r="A3725" s="10"/>
      <c r="B3725" s="10"/>
      <c r="C3725" s="9" t="str">
        <f t="shared" si="249"/>
        <v/>
      </c>
      <c r="D3725" s="15"/>
      <c r="E3725" s="15"/>
      <c r="F3725" s="15"/>
      <c r="G3725" s="15"/>
      <c r="I3725" s="65"/>
      <c r="J3725" s="13"/>
      <c r="K3725" s="13"/>
      <c r="L3725" s="15"/>
      <c r="M3725" s="14"/>
      <c r="N3725" s="15"/>
      <c r="O3725" s="10"/>
      <c r="P3725" s="10"/>
    </row>
    <row r="3726">
      <c r="A3726" s="10"/>
      <c r="B3726" s="10"/>
      <c r="C3726" s="9" t="str">
        <f t="shared" si="249"/>
        <v/>
      </c>
      <c r="D3726" s="15"/>
      <c r="E3726" s="15"/>
      <c r="F3726" s="15"/>
      <c r="G3726" s="15"/>
      <c r="I3726" s="65"/>
      <c r="J3726" s="13"/>
      <c r="K3726" s="13"/>
      <c r="L3726" s="15"/>
      <c r="M3726" s="14"/>
      <c r="N3726" s="15"/>
      <c r="O3726" s="10"/>
      <c r="P3726" s="10"/>
    </row>
    <row r="3727">
      <c r="A3727" s="10"/>
      <c r="B3727" s="10"/>
      <c r="C3727" s="9" t="str">
        <f t="shared" si="249"/>
        <v/>
      </c>
      <c r="D3727" s="15"/>
      <c r="E3727" s="15"/>
      <c r="F3727" s="15"/>
      <c r="G3727" s="15"/>
      <c r="I3727" s="65"/>
      <c r="J3727" s="13"/>
      <c r="K3727" s="13"/>
      <c r="L3727" s="15"/>
      <c r="M3727" s="14"/>
      <c r="N3727" s="15"/>
      <c r="O3727" s="10"/>
      <c r="P3727" s="10"/>
    </row>
    <row r="3728">
      <c r="A3728" s="10"/>
      <c r="B3728" s="10"/>
      <c r="C3728" s="9" t="str">
        <f t="shared" si="249"/>
        <v/>
      </c>
      <c r="D3728" s="15"/>
      <c r="E3728" s="15"/>
      <c r="F3728" s="15"/>
      <c r="G3728" s="15"/>
      <c r="I3728" s="65"/>
      <c r="J3728" s="13"/>
      <c r="K3728" s="13"/>
      <c r="L3728" s="15"/>
      <c r="M3728" s="14"/>
      <c r="N3728" s="15"/>
      <c r="O3728" s="10"/>
      <c r="P3728" s="10"/>
    </row>
    <row r="3729">
      <c r="A3729" s="10"/>
      <c r="B3729" s="10"/>
      <c r="C3729" s="9" t="str">
        <f t="shared" si="249"/>
        <v/>
      </c>
      <c r="D3729" s="15"/>
      <c r="E3729" s="15"/>
      <c r="F3729" s="15"/>
      <c r="G3729" s="15"/>
      <c r="I3729" s="65"/>
      <c r="J3729" s="13"/>
      <c r="K3729" s="13"/>
      <c r="L3729" s="15"/>
      <c r="M3729" s="14"/>
      <c r="N3729" s="15"/>
      <c r="O3729" s="10"/>
      <c r="P3729" s="10"/>
    </row>
    <row r="3730">
      <c r="A3730" s="10"/>
      <c r="B3730" s="10"/>
      <c r="C3730" s="9" t="str">
        <f t="shared" si="249"/>
        <v/>
      </c>
      <c r="D3730" s="15"/>
      <c r="E3730" s="15"/>
      <c r="F3730" s="15"/>
      <c r="G3730" s="15"/>
      <c r="I3730" s="65"/>
      <c r="J3730" s="13"/>
      <c r="K3730" s="13"/>
      <c r="L3730" s="15"/>
      <c r="M3730" s="14"/>
      <c r="N3730" s="15"/>
      <c r="O3730" s="10"/>
      <c r="P3730" s="10"/>
    </row>
    <row r="3731">
      <c r="A3731" s="10"/>
      <c r="B3731" s="10"/>
      <c r="C3731" s="9" t="str">
        <f t="shared" si="249"/>
        <v/>
      </c>
      <c r="D3731" s="15"/>
      <c r="E3731" s="15"/>
      <c r="F3731" s="15"/>
      <c r="G3731" s="15"/>
      <c r="I3731" s="65"/>
      <c r="J3731" s="13"/>
      <c r="K3731" s="13"/>
      <c r="L3731" s="15"/>
      <c r="M3731" s="14"/>
      <c r="N3731" s="15"/>
      <c r="O3731" s="10"/>
      <c r="P3731" s="10"/>
    </row>
    <row r="3732">
      <c r="A3732" s="10"/>
      <c r="B3732" s="10"/>
      <c r="C3732" s="9" t="str">
        <f t="shared" si="249"/>
        <v/>
      </c>
      <c r="D3732" s="15"/>
      <c r="E3732" s="15"/>
      <c r="F3732" s="15"/>
      <c r="G3732" s="15"/>
      <c r="I3732" s="65"/>
      <c r="J3732" s="13"/>
      <c r="K3732" s="13"/>
      <c r="L3732" s="15"/>
      <c r="M3732" s="14"/>
      <c r="N3732" s="15"/>
      <c r="O3732" s="10"/>
      <c r="P3732" s="10"/>
    </row>
    <row r="3733">
      <c r="A3733" s="10"/>
      <c r="B3733" s="10"/>
      <c r="C3733" s="9" t="str">
        <f t="shared" si="249"/>
        <v/>
      </c>
      <c r="D3733" s="15"/>
      <c r="E3733" s="15"/>
      <c r="F3733" s="15"/>
      <c r="G3733" s="15"/>
      <c r="I3733" s="65"/>
      <c r="J3733" s="13"/>
      <c r="K3733" s="13"/>
      <c r="L3733" s="15"/>
      <c r="M3733" s="14"/>
      <c r="N3733" s="15"/>
      <c r="O3733" s="10"/>
      <c r="P3733" s="10"/>
    </row>
    <row r="3734">
      <c r="A3734" s="10"/>
      <c r="B3734" s="10"/>
      <c r="C3734" s="9" t="str">
        <f t="shared" si="249"/>
        <v/>
      </c>
      <c r="D3734" s="15"/>
      <c r="E3734" s="15"/>
      <c r="F3734" s="15"/>
      <c r="G3734" s="15"/>
      <c r="I3734" s="65"/>
      <c r="J3734" s="13"/>
      <c r="K3734" s="13"/>
      <c r="L3734" s="15"/>
      <c r="M3734" s="14"/>
      <c r="N3734" s="15"/>
      <c r="O3734" s="10"/>
      <c r="P3734" s="10"/>
    </row>
    <row r="3735">
      <c r="A3735" s="10"/>
      <c r="B3735" s="10"/>
      <c r="C3735" s="9" t="str">
        <f t="shared" si="249"/>
        <v/>
      </c>
      <c r="D3735" s="15"/>
      <c r="E3735" s="15"/>
      <c r="F3735" s="15"/>
      <c r="G3735" s="15"/>
      <c r="I3735" s="65"/>
      <c r="J3735" s="13"/>
      <c r="K3735" s="13"/>
      <c r="L3735" s="15"/>
      <c r="M3735" s="14"/>
      <c r="N3735" s="15"/>
      <c r="O3735" s="10"/>
      <c r="P3735" s="10"/>
    </row>
    <row r="3736">
      <c r="A3736" s="10"/>
      <c r="B3736" s="10"/>
      <c r="C3736" s="9" t="str">
        <f t="shared" si="249"/>
        <v/>
      </c>
      <c r="D3736" s="15"/>
      <c r="E3736" s="15"/>
      <c r="F3736" s="15"/>
      <c r="G3736" s="15"/>
      <c r="I3736" s="65"/>
      <c r="J3736" s="13"/>
      <c r="K3736" s="13"/>
      <c r="L3736" s="15"/>
      <c r="M3736" s="14"/>
      <c r="N3736" s="15"/>
      <c r="O3736" s="10"/>
      <c r="P3736" s="10"/>
    </row>
    <row r="3737">
      <c r="A3737" s="10"/>
      <c r="B3737" s="10"/>
      <c r="C3737" s="9" t="str">
        <f t="shared" si="249"/>
        <v/>
      </c>
      <c r="D3737" s="15"/>
      <c r="E3737" s="15"/>
      <c r="F3737" s="15"/>
      <c r="G3737" s="15"/>
      <c r="I3737" s="65"/>
      <c r="J3737" s="13"/>
      <c r="K3737" s="13"/>
      <c r="L3737" s="15"/>
      <c r="M3737" s="14"/>
      <c r="N3737" s="15"/>
      <c r="O3737" s="10"/>
      <c r="P3737" s="10"/>
    </row>
    <row r="3738">
      <c r="A3738" s="10"/>
      <c r="B3738" s="10"/>
      <c r="C3738" s="9" t="str">
        <f t="shared" si="249"/>
        <v/>
      </c>
      <c r="D3738" s="15"/>
      <c r="E3738" s="15"/>
      <c r="F3738" s="15"/>
      <c r="G3738" s="15"/>
      <c r="I3738" s="65"/>
      <c r="J3738" s="13"/>
      <c r="K3738" s="13"/>
      <c r="L3738" s="15"/>
      <c r="M3738" s="14"/>
      <c r="N3738" s="15"/>
      <c r="O3738" s="10"/>
      <c r="P3738" s="10"/>
    </row>
    <row r="3739">
      <c r="A3739" s="10"/>
      <c r="B3739" s="10"/>
      <c r="C3739" s="9" t="str">
        <f t="shared" si="249"/>
        <v/>
      </c>
      <c r="D3739" s="15"/>
      <c r="E3739" s="15"/>
      <c r="F3739" s="15"/>
      <c r="G3739" s="15"/>
      <c r="I3739" s="65"/>
      <c r="J3739" s="13"/>
      <c r="K3739" s="13"/>
      <c r="L3739" s="15"/>
      <c r="M3739" s="14"/>
      <c r="N3739" s="15"/>
      <c r="O3739" s="10"/>
      <c r="P3739" s="10"/>
    </row>
    <row r="3740">
      <c r="A3740" s="10"/>
      <c r="B3740" s="10"/>
      <c r="C3740" s="9" t="str">
        <f t="shared" si="249"/>
        <v/>
      </c>
      <c r="D3740" s="15"/>
      <c r="E3740" s="15"/>
      <c r="F3740" s="15"/>
      <c r="G3740" s="15"/>
      <c r="I3740" s="65"/>
      <c r="J3740" s="13"/>
      <c r="K3740" s="13"/>
      <c r="L3740" s="15"/>
      <c r="M3740" s="14"/>
      <c r="N3740" s="15"/>
      <c r="O3740" s="10"/>
      <c r="P3740" s="10"/>
    </row>
    <row r="3741">
      <c r="A3741" s="10"/>
      <c r="B3741" s="10"/>
      <c r="C3741" s="9" t="str">
        <f t="shared" si="249"/>
        <v/>
      </c>
      <c r="D3741" s="15"/>
      <c r="E3741" s="15"/>
      <c r="F3741" s="15"/>
      <c r="G3741" s="15"/>
      <c r="I3741" s="65"/>
      <c r="J3741" s="13"/>
      <c r="K3741" s="13"/>
      <c r="L3741" s="15"/>
      <c r="M3741" s="14"/>
      <c r="N3741" s="15"/>
      <c r="O3741" s="10"/>
      <c r="P3741" s="10"/>
    </row>
    <row r="3742">
      <c r="A3742" s="10"/>
      <c r="B3742" s="10"/>
      <c r="C3742" s="9" t="str">
        <f t="shared" si="249"/>
        <v/>
      </c>
      <c r="D3742" s="15"/>
      <c r="E3742" s="15"/>
      <c r="F3742" s="15"/>
      <c r="G3742" s="15"/>
      <c r="I3742" s="65"/>
      <c r="J3742" s="13"/>
      <c r="K3742" s="13"/>
      <c r="L3742" s="15"/>
      <c r="M3742" s="14"/>
      <c r="N3742" s="15"/>
      <c r="O3742" s="10"/>
      <c r="P3742" s="10"/>
    </row>
    <row r="3743">
      <c r="A3743" s="10"/>
      <c r="B3743" s="10"/>
      <c r="C3743" s="9" t="str">
        <f t="shared" si="249"/>
        <v/>
      </c>
      <c r="D3743" s="15"/>
      <c r="E3743" s="15"/>
      <c r="F3743" s="15"/>
      <c r="G3743" s="15"/>
      <c r="I3743" s="65"/>
      <c r="J3743" s="13"/>
      <c r="K3743" s="13"/>
      <c r="L3743" s="15"/>
      <c r="M3743" s="14"/>
      <c r="N3743" s="15"/>
      <c r="O3743" s="10"/>
      <c r="P3743" s="10"/>
    </row>
    <row r="3744">
      <c r="A3744" s="10"/>
      <c r="B3744" s="10"/>
      <c r="C3744" s="9" t="str">
        <f t="shared" si="249"/>
        <v/>
      </c>
      <c r="D3744" s="15"/>
      <c r="E3744" s="15"/>
      <c r="F3744" s="15"/>
      <c r="G3744" s="15"/>
      <c r="I3744" s="65"/>
      <c r="J3744" s="13"/>
      <c r="K3744" s="13"/>
      <c r="L3744" s="15"/>
      <c r="M3744" s="14"/>
      <c r="N3744" s="15"/>
      <c r="O3744" s="10"/>
      <c r="P3744" s="10"/>
    </row>
    <row r="3745">
      <c r="A3745" s="10"/>
      <c r="B3745" s="10"/>
      <c r="C3745" s="9" t="str">
        <f t="shared" si="249"/>
        <v/>
      </c>
      <c r="D3745" s="15"/>
      <c r="E3745" s="15"/>
      <c r="F3745" s="15"/>
      <c r="G3745" s="15"/>
      <c r="I3745" s="65"/>
      <c r="J3745" s="13"/>
      <c r="K3745" s="13"/>
      <c r="L3745" s="15"/>
      <c r="M3745" s="14"/>
      <c r="N3745" s="15"/>
      <c r="O3745" s="10"/>
      <c r="P3745" s="10"/>
    </row>
    <row r="3746">
      <c r="A3746" s="10"/>
      <c r="B3746" s="10"/>
      <c r="C3746" s="9" t="str">
        <f t="shared" si="249"/>
        <v/>
      </c>
      <c r="D3746" s="15"/>
      <c r="E3746" s="15"/>
      <c r="F3746" s="15"/>
      <c r="G3746" s="15"/>
      <c r="I3746" s="65"/>
      <c r="J3746" s="13"/>
      <c r="K3746" s="13"/>
      <c r="L3746" s="15"/>
      <c r="M3746" s="14"/>
      <c r="N3746" s="15"/>
      <c r="O3746" s="10"/>
      <c r="P3746" s="10"/>
    </row>
    <row r="3747">
      <c r="A3747" s="10"/>
      <c r="B3747" s="10"/>
      <c r="C3747" s="9" t="str">
        <f t="shared" si="249"/>
        <v/>
      </c>
      <c r="D3747" s="15"/>
      <c r="E3747" s="15"/>
      <c r="F3747" s="15"/>
      <c r="G3747" s="15"/>
      <c r="I3747" s="65"/>
      <c r="J3747" s="13"/>
      <c r="K3747" s="13"/>
      <c r="L3747" s="15"/>
      <c r="M3747" s="14"/>
      <c r="N3747" s="15"/>
      <c r="O3747" s="10"/>
      <c r="P3747" s="10"/>
    </row>
    <row r="3748">
      <c r="A3748" s="10"/>
      <c r="B3748" s="10"/>
      <c r="C3748" s="9" t="str">
        <f t="shared" si="249"/>
        <v/>
      </c>
      <c r="D3748" s="15"/>
      <c r="E3748" s="15"/>
      <c r="F3748" s="15"/>
      <c r="G3748" s="15"/>
      <c r="I3748" s="65"/>
      <c r="J3748" s="13"/>
      <c r="K3748" s="13"/>
      <c r="L3748" s="15"/>
      <c r="M3748" s="14"/>
      <c r="N3748" s="15"/>
      <c r="O3748" s="10"/>
      <c r="P3748" s="10"/>
    </row>
    <row r="3749">
      <c r="A3749" s="10"/>
      <c r="B3749" s="10"/>
      <c r="C3749" s="9" t="str">
        <f t="shared" si="249"/>
        <v/>
      </c>
      <c r="D3749" s="15"/>
      <c r="E3749" s="15"/>
      <c r="F3749" s="15"/>
      <c r="G3749" s="15"/>
      <c r="I3749" s="65"/>
      <c r="J3749" s="13"/>
      <c r="K3749" s="13"/>
      <c r="L3749" s="15"/>
      <c r="M3749" s="14"/>
      <c r="N3749" s="15"/>
      <c r="O3749" s="10"/>
      <c r="P3749" s="10"/>
    </row>
    <row r="3750">
      <c r="A3750" s="10"/>
      <c r="B3750" s="10"/>
      <c r="C3750" s="9" t="str">
        <f t="shared" si="249"/>
        <v/>
      </c>
      <c r="D3750" s="15"/>
      <c r="E3750" s="15"/>
      <c r="F3750" s="15"/>
      <c r="G3750" s="15"/>
      <c r="I3750" s="65"/>
      <c r="J3750" s="13"/>
      <c r="K3750" s="13"/>
      <c r="L3750" s="15"/>
      <c r="M3750" s="14"/>
      <c r="N3750" s="15"/>
      <c r="O3750" s="10"/>
      <c r="P3750" s="10"/>
    </row>
    <row r="3751">
      <c r="A3751" s="10"/>
      <c r="B3751" s="10"/>
      <c r="C3751" s="9" t="str">
        <f t="shared" si="249"/>
        <v/>
      </c>
      <c r="D3751" s="15"/>
      <c r="E3751" s="15"/>
      <c r="F3751" s="15"/>
      <c r="G3751" s="15"/>
      <c r="I3751" s="65"/>
      <c r="J3751" s="13"/>
      <c r="K3751" s="13"/>
      <c r="L3751" s="15"/>
      <c r="M3751" s="14"/>
      <c r="N3751" s="15"/>
      <c r="O3751" s="10"/>
      <c r="P3751" s="10"/>
    </row>
    <row r="3752">
      <c r="A3752" s="10"/>
      <c r="B3752" s="10"/>
      <c r="C3752" s="9" t="str">
        <f t="shared" si="249"/>
        <v/>
      </c>
      <c r="D3752" s="15"/>
      <c r="E3752" s="15"/>
      <c r="F3752" s="15"/>
      <c r="G3752" s="15"/>
      <c r="I3752" s="65"/>
      <c r="J3752" s="13"/>
      <c r="K3752" s="13"/>
      <c r="L3752" s="15"/>
      <c r="M3752" s="14"/>
      <c r="N3752" s="15"/>
      <c r="O3752" s="10"/>
      <c r="P3752" s="10"/>
    </row>
    <row r="3753">
      <c r="A3753" s="10"/>
      <c r="B3753" s="10"/>
      <c r="C3753" s="9" t="str">
        <f t="shared" si="249"/>
        <v/>
      </c>
      <c r="D3753" s="15"/>
      <c r="E3753" s="15"/>
      <c r="F3753" s="15"/>
      <c r="G3753" s="15"/>
      <c r="I3753" s="65"/>
      <c r="J3753" s="13"/>
      <c r="K3753" s="13"/>
      <c r="L3753" s="15"/>
      <c r="M3753" s="14"/>
      <c r="N3753" s="15"/>
      <c r="O3753" s="10"/>
      <c r="P3753" s="10"/>
    </row>
    <row r="3754">
      <c r="A3754" s="10"/>
      <c r="B3754" s="10"/>
      <c r="C3754" s="9" t="str">
        <f t="shared" si="249"/>
        <v/>
      </c>
      <c r="D3754" s="15"/>
      <c r="E3754" s="15"/>
      <c r="F3754" s="15"/>
      <c r="G3754" s="15"/>
      <c r="I3754" s="65"/>
      <c r="J3754" s="13"/>
      <c r="K3754" s="13"/>
      <c r="L3754" s="15"/>
      <c r="M3754" s="14"/>
      <c r="N3754" s="15"/>
      <c r="O3754" s="10"/>
      <c r="P3754" s="10"/>
    </row>
    <row r="3755">
      <c r="A3755" s="10"/>
      <c r="B3755" s="10"/>
      <c r="C3755" s="9" t="str">
        <f t="shared" si="249"/>
        <v/>
      </c>
      <c r="D3755" s="15"/>
      <c r="E3755" s="15"/>
      <c r="F3755" s="15"/>
      <c r="G3755" s="15"/>
      <c r="I3755" s="65"/>
      <c r="J3755" s="13"/>
      <c r="K3755" s="13"/>
      <c r="L3755" s="15"/>
      <c r="M3755" s="14"/>
      <c r="N3755" s="15"/>
      <c r="O3755" s="10"/>
      <c r="P3755" s="10"/>
    </row>
    <row r="3756">
      <c r="A3756" s="10"/>
      <c r="B3756" s="10"/>
      <c r="C3756" s="9" t="str">
        <f t="shared" si="249"/>
        <v/>
      </c>
      <c r="D3756" s="15"/>
      <c r="E3756" s="15"/>
      <c r="F3756" s="15"/>
      <c r="G3756" s="15"/>
      <c r="I3756" s="65"/>
      <c r="J3756" s="13"/>
      <c r="K3756" s="13"/>
      <c r="L3756" s="15"/>
      <c r="M3756" s="14"/>
      <c r="N3756" s="15"/>
      <c r="O3756" s="10"/>
      <c r="P3756" s="10"/>
    </row>
    <row r="3757">
      <c r="A3757" s="10"/>
      <c r="B3757" s="10"/>
      <c r="C3757" s="9" t="str">
        <f t="shared" si="249"/>
        <v/>
      </c>
      <c r="D3757" s="15"/>
      <c r="E3757" s="15"/>
      <c r="F3757" s="15"/>
      <c r="G3757" s="15"/>
      <c r="I3757" s="65"/>
      <c r="J3757" s="13"/>
      <c r="K3757" s="13"/>
      <c r="L3757" s="15"/>
      <c r="M3757" s="14"/>
      <c r="N3757" s="15"/>
      <c r="O3757" s="10"/>
      <c r="P3757" s="10"/>
    </row>
    <row r="3758">
      <c r="A3758" s="10"/>
      <c r="B3758" s="10"/>
      <c r="C3758" s="9" t="str">
        <f t="shared" si="249"/>
        <v/>
      </c>
      <c r="D3758" s="15"/>
      <c r="E3758" s="15"/>
      <c r="F3758" s="15"/>
      <c r="G3758" s="15"/>
      <c r="I3758" s="65"/>
      <c r="J3758" s="13"/>
      <c r="K3758" s="13"/>
      <c r="L3758" s="15"/>
      <c r="M3758" s="14"/>
      <c r="N3758" s="15"/>
      <c r="O3758" s="10"/>
      <c r="P3758" s="10"/>
    </row>
    <row r="3759">
      <c r="A3759" s="10"/>
      <c r="B3759" s="10"/>
      <c r="C3759" s="9" t="str">
        <f t="shared" si="249"/>
        <v/>
      </c>
      <c r="D3759" s="15"/>
      <c r="E3759" s="15"/>
      <c r="F3759" s="15"/>
      <c r="G3759" s="15"/>
      <c r="I3759" s="65"/>
      <c r="J3759" s="13"/>
      <c r="K3759" s="13"/>
      <c r="L3759" s="15"/>
      <c r="M3759" s="14"/>
      <c r="N3759" s="15"/>
      <c r="O3759" s="10"/>
      <c r="P3759" s="10"/>
    </row>
    <row r="3760">
      <c r="A3760" s="10"/>
      <c r="B3760" s="10"/>
      <c r="C3760" s="9" t="str">
        <f t="shared" si="249"/>
        <v/>
      </c>
      <c r="D3760" s="15"/>
      <c r="E3760" s="15"/>
      <c r="F3760" s="15"/>
      <c r="G3760" s="15"/>
      <c r="I3760" s="65"/>
      <c r="J3760" s="13"/>
      <c r="K3760" s="13"/>
      <c r="L3760" s="15"/>
      <c r="M3760" s="14"/>
      <c r="N3760" s="15"/>
      <c r="O3760" s="10"/>
      <c r="P3760" s="10"/>
    </row>
    <row r="3761">
      <c r="A3761" s="10"/>
      <c r="B3761" s="10"/>
      <c r="C3761" s="9" t="str">
        <f t="shared" si="249"/>
        <v/>
      </c>
      <c r="D3761" s="15"/>
      <c r="E3761" s="15"/>
      <c r="F3761" s="15"/>
      <c r="G3761" s="15"/>
      <c r="I3761" s="65"/>
      <c r="J3761" s="13"/>
      <c r="K3761" s="13"/>
      <c r="L3761" s="15"/>
      <c r="M3761" s="14"/>
      <c r="N3761" s="15"/>
      <c r="O3761" s="10"/>
      <c r="P3761" s="10"/>
    </row>
    <row r="3762">
      <c r="A3762" s="10"/>
      <c r="B3762" s="10"/>
      <c r="C3762" s="9" t="str">
        <f t="shared" si="249"/>
        <v/>
      </c>
      <c r="D3762" s="15"/>
      <c r="E3762" s="15"/>
      <c r="F3762" s="15"/>
      <c r="G3762" s="15"/>
      <c r="I3762" s="65"/>
      <c r="J3762" s="13"/>
      <c r="K3762" s="13"/>
      <c r="L3762" s="15"/>
      <c r="M3762" s="14"/>
      <c r="N3762" s="15"/>
      <c r="O3762" s="10"/>
      <c r="P3762" s="10"/>
    </row>
    <row r="3763">
      <c r="A3763" s="10"/>
      <c r="B3763" s="10"/>
      <c r="C3763" s="9" t="str">
        <f t="shared" si="249"/>
        <v/>
      </c>
      <c r="D3763" s="15"/>
      <c r="E3763" s="15"/>
      <c r="F3763" s="15"/>
      <c r="G3763" s="15"/>
      <c r="I3763" s="65"/>
      <c r="J3763" s="13"/>
      <c r="K3763" s="13"/>
      <c r="L3763" s="15"/>
      <c r="M3763" s="14"/>
      <c r="N3763" s="15"/>
      <c r="O3763" s="10"/>
      <c r="P3763" s="10"/>
    </row>
    <row r="3764">
      <c r="A3764" s="10"/>
      <c r="B3764" s="10"/>
      <c r="C3764" s="9" t="str">
        <f t="shared" si="249"/>
        <v/>
      </c>
      <c r="D3764" s="15"/>
      <c r="E3764" s="15"/>
      <c r="F3764" s="15"/>
      <c r="G3764" s="15"/>
      <c r="I3764" s="65"/>
      <c r="J3764" s="13"/>
      <c r="K3764" s="13"/>
      <c r="L3764" s="15"/>
      <c r="M3764" s="14"/>
      <c r="N3764" s="15"/>
      <c r="O3764" s="10"/>
      <c r="P3764" s="10"/>
    </row>
    <row r="3765">
      <c r="A3765" s="10"/>
      <c r="B3765" s="10"/>
      <c r="C3765" s="9" t="str">
        <f t="shared" si="249"/>
        <v/>
      </c>
      <c r="D3765" s="15"/>
      <c r="E3765" s="15"/>
      <c r="F3765" s="15"/>
      <c r="G3765" s="15"/>
      <c r="I3765" s="65"/>
      <c r="J3765" s="13"/>
      <c r="K3765" s="13"/>
      <c r="L3765" s="15"/>
      <c r="M3765" s="14"/>
      <c r="N3765" s="15"/>
      <c r="O3765" s="10"/>
      <c r="P3765" s="10"/>
    </row>
    <row r="3766">
      <c r="A3766" s="10"/>
      <c r="B3766" s="10"/>
      <c r="C3766" s="9" t="str">
        <f t="shared" si="249"/>
        <v/>
      </c>
      <c r="D3766" s="15"/>
      <c r="E3766" s="15"/>
      <c r="F3766" s="15"/>
      <c r="G3766" s="15"/>
      <c r="I3766" s="65"/>
      <c r="J3766" s="13"/>
      <c r="K3766" s="13"/>
      <c r="L3766" s="15"/>
      <c r="M3766" s="14"/>
      <c r="N3766" s="15"/>
      <c r="O3766" s="10"/>
      <c r="P3766" s="10"/>
    </row>
    <row r="3767">
      <c r="A3767" s="10"/>
      <c r="B3767" s="10"/>
      <c r="C3767" s="9" t="str">
        <f t="shared" si="249"/>
        <v/>
      </c>
      <c r="D3767" s="15"/>
      <c r="E3767" s="15"/>
      <c r="F3767" s="15"/>
      <c r="G3767" s="15"/>
      <c r="I3767" s="65"/>
      <c r="J3767" s="13"/>
      <c r="K3767" s="13"/>
      <c r="L3767" s="15"/>
      <c r="M3767" s="14"/>
      <c r="N3767" s="15"/>
      <c r="O3767" s="10"/>
      <c r="P3767" s="10"/>
    </row>
    <row r="3768">
      <c r="A3768" s="10"/>
      <c r="B3768" s="10"/>
      <c r="C3768" s="9" t="str">
        <f t="shared" si="249"/>
        <v/>
      </c>
      <c r="D3768" s="15"/>
      <c r="E3768" s="15"/>
      <c r="F3768" s="15"/>
      <c r="G3768" s="15"/>
      <c r="I3768" s="65"/>
      <c r="J3768" s="13"/>
      <c r="K3768" s="13"/>
      <c r="L3768" s="15"/>
      <c r="M3768" s="14"/>
      <c r="N3768" s="15"/>
      <c r="O3768" s="10"/>
      <c r="P3768" s="10"/>
    </row>
    <row r="3769">
      <c r="A3769" s="10"/>
      <c r="B3769" s="10"/>
      <c r="C3769" s="9" t="str">
        <f t="shared" si="249"/>
        <v/>
      </c>
      <c r="D3769" s="15"/>
      <c r="E3769" s="15"/>
      <c r="F3769" s="15"/>
      <c r="G3769" s="15"/>
      <c r="I3769" s="65"/>
      <c r="J3769" s="13"/>
      <c r="K3769" s="13"/>
      <c r="L3769" s="15"/>
      <c r="M3769" s="14"/>
      <c r="N3769" s="15"/>
      <c r="O3769" s="10"/>
      <c r="P3769" s="10"/>
    </row>
    <row r="3770">
      <c r="A3770" s="10"/>
      <c r="B3770" s="10"/>
      <c r="C3770" s="9" t="str">
        <f t="shared" si="249"/>
        <v/>
      </c>
      <c r="D3770" s="15"/>
      <c r="E3770" s="15"/>
      <c r="F3770" s="15"/>
      <c r="G3770" s="15"/>
      <c r="I3770" s="65"/>
      <c r="J3770" s="13"/>
      <c r="K3770" s="13"/>
      <c r="L3770" s="15"/>
      <c r="M3770" s="14"/>
      <c r="N3770" s="15"/>
      <c r="O3770" s="10"/>
      <c r="P3770" s="10"/>
    </row>
    <row r="3771">
      <c r="A3771" s="10"/>
      <c r="B3771" s="10"/>
      <c r="C3771" s="9" t="str">
        <f t="shared" si="249"/>
        <v/>
      </c>
      <c r="D3771" s="15"/>
      <c r="E3771" s="15"/>
      <c r="F3771" s="15"/>
      <c r="G3771" s="15"/>
      <c r="I3771" s="65"/>
      <c r="J3771" s="13"/>
      <c r="K3771" s="13"/>
      <c r="L3771" s="15"/>
      <c r="M3771" s="14"/>
      <c r="N3771" s="15"/>
      <c r="O3771" s="10"/>
      <c r="P3771" s="10"/>
    </row>
    <row r="3772">
      <c r="A3772" s="10"/>
      <c r="B3772" s="10"/>
      <c r="C3772" s="9" t="str">
        <f t="shared" si="249"/>
        <v/>
      </c>
      <c r="D3772" s="15"/>
      <c r="E3772" s="15"/>
      <c r="F3772" s="15"/>
      <c r="G3772" s="15"/>
      <c r="I3772" s="65"/>
      <c r="J3772" s="13"/>
      <c r="K3772" s="13"/>
      <c r="L3772" s="15"/>
      <c r="M3772" s="14"/>
      <c r="N3772" s="15"/>
      <c r="O3772" s="10"/>
      <c r="P3772" s="10"/>
    </row>
    <row r="3773">
      <c r="A3773" s="10"/>
      <c r="B3773" s="10"/>
      <c r="C3773" s="9" t="str">
        <f t="shared" si="249"/>
        <v/>
      </c>
      <c r="D3773" s="15"/>
      <c r="E3773" s="15"/>
      <c r="F3773" s="15"/>
      <c r="G3773" s="15"/>
      <c r="I3773" s="65"/>
      <c r="J3773" s="13"/>
      <c r="K3773" s="13"/>
      <c r="L3773" s="15"/>
      <c r="M3773" s="14"/>
      <c r="N3773" s="15"/>
      <c r="O3773" s="10"/>
      <c r="P3773" s="10"/>
    </row>
    <row r="3774">
      <c r="A3774" s="10"/>
      <c r="B3774" s="10"/>
      <c r="C3774" s="9" t="str">
        <f t="shared" si="249"/>
        <v/>
      </c>
      <c r="D3774" s="15"/>
      <c r="E3774" s="15"/>
      <c r="F3774" s="15"/>
      <c r="G3774" s="15"/>
      <c r="I3774" s="65"/>
      <c r="J3774" s="13"/>
      <c r="K3774" s="13"/>
      <c r="L3774" s="15"/>
      <c r="M3774" s="14"/>
      <c r="N3774" s="15"/>
      <c r="O3774" s="10"/>
      <c r="P3774" s="10"/>
    </row>
    <row r="3775">
      <c r="A3775" s="10"/>
      <c r="B3775" s="10"/>
      <c r="C3775" s="9" t="str">
        <f t="shared" si="249"/>
        <v/>
      </c>
      <c r="D3775" s="15"/>
      <c r="E3775" s="15"/>
      <c r="F3775" s="15"/>
      <c r="G3775" s="15"/>
      <c r="I3775" s="65"/>
      <c r="J3775" s="13"/>
      <c r="K3775" s="13"/>
      <c r="L3775" s="15"/>
      <c r="M3775" s="14"/>
      <c r="N3775" s="15"/>
      <c r="O3775" s="10"/>
      <c r="P3775" s="10"/>
    </row>
    <row r="3776">
      <c r="A3776" s="10"/>
      <c r="B3776" s="10"/>
      <c r="C3776" s="9" t="str">
        <f t="shared" si="249"/>
        <v/>
      </c>
      <c r="D3776" s="15"/>
      <c r="E3776" s="15"/>
      <c r="F3776" s="15"/>
      <c r="G3776" s="15"/>
      <c r="I3776" s="65"/>
      <c r="J3776" s="13"/>
      <c r="K3776" s="13"/>
      <c r="L3776" s="15"/>
      <c r="M3776" s="14"/>
      <c r="N3776" s="15"/>
      <c r="O3776" s="10"/>
      <c r="P3776" s="10"/>
    </row>
    <row r="3777">
      <c r="A3777" s="10"/>
      <c r="B3777" s="10"/>
      <c r="C3777" s="9" t="str">
        <f t="shared" si="249"/>
        <v/>
      </c>
      <c r="D3777" s="15"/>
      <c r="E3777" s="15"/>
      <c r="F3777" s="15"/>
      <c r="G3777" s="15"/>
      <c r="I3777" s="65"/>
      <c r="J3777" s="13"/>
      <c r="K3777" s="13"/>
      <c r="L3777" s="15"/>
      <c r="M3777" s="14"/>
      <c r="N3777" s="15"/>
      <c r="O3777" s="10"/>
      <c r="P3777" s="10"/>
    </row>
    <row r="3778">
      <c r="A3778" s="10"/>
      <c r="B3778" s="10"/>
      <c r="C3778" s="9" t="str">
        <f t="shared" si="249"/>
        <v/>
      </c>
      <c r="D3778" s="15"/>
      <c r="E3778" s="15"/>
      <c r="F3778" s="15"/>
      <c r="G3778" s="15"/>
      <c r="I3778" s="65"/>
      <c r="J3778" s="13"/>
      <c r="K3778" s="13"/>
      <c r="L3778" s="15"/>
      <c r="M3778" s="14"/>
      <c r="N3778" s="15"/>
      <c r="O3778" s="10"/>
      <c r="P3778" s="10"/>
    </row>
    <row r="3779">
      <c r="A3779" s="10"/>
      <c r="B3779" s="10"/>
      <c r="C3779" s="9" t="str">
        <f t="shared" si="249"/>
        <v/>
      </c>
      <c r="D3779" s="15"/>
      <c r="E3779" s="15"/>
      <c r="F3779" s="15"/>
      <c r="G3779" s="15"/>
      <c r="I3779" s="65"/>
      <c r="J3779" s="13"/>
      <c r="K3779" s="13"/>
      <c r="L3779" s="15"/>
      <c r="M3779" s="14"/>
      <c r="N3779" s="15"/>
      <c r="O3779" s="10"/>
      <c r="P3779" s="10"/>
    </row>
    <row r="3780">
      <c r="A3780" s="10"/>
      <c r="B3780" s="10"/>
      <c r="C3780" s="9" t="str">
        <f t="shared" si="249"/>
        <v/>
      </c>
      <c r="D3780" s="15"/>
      <c r="E3780" s="15"/>
      <c r="F3780" s="15"/>
      <c r="G3780" s="15"/>
      <c r="I3780" s="65"/>
      <c r="J3780" s="13"/>
      <c r="K3780" s="13"/>
      <c r="L3780" s="15"/>
      <c r="M3780" s="14"/>
      <c r="N3780" s="15"/>
      <c r="O3780" s="10"/>
      <c r="P3780" s="10"/>
    </row>
    <row r="3781">
      <c r="A3781" s="10"/>
      <c r="B3781" s="10"/>
      <c r="C3781" s="9" t="str">
        <f t="shared" si="249"/>
        <v/>
      </c>
      <c r="D3781" s="15"/>
      <c r="E3781" s="15"/>
      <c r="F3781" s="15"/>
      <c r="G3781" s="15"/>
      <c r="I3781" s="65"/>
      <c r="J3781" s="13"/>
      <c r="K3781" s="13"/>
      <c r="L3781" s="15"/>
      <c r="M3781" s="14"/>
      <c r="N3781" s="15"/>
      <c r="O3781" s="10"/>
      <c r="P3781" s="10"/>
    </row>
    <row r="3782">
      <c r="A3782" s="10"/>
      <c r="B3782" s="10"/>
      <c r="C3782" s="9" t="str">
        <f t="shared" si="249"/>
        <v/>
      </c>
      <c r="D3782" s="15"/>
      <c r="E3782" s="15"/>
      <c r="F3782" s="15"/>
      <c r="G3782" s="15"/>
      <c r="I3782" s="65"/>
      <c r="J3782" s="13"/>
      <c r="K3782" s="13"/>
      <c r="L3782" s="15"/>
      <c r="M3782" s="14"/>
      <c r="N3782" s="15"/>
      <c r="O3782" s="10"/>
      <c r="P3782" s="10"/>
    </row>
    <row r="3783">
      <c r="A3783" s="10"/>
      <c r="B3783" s="10"/>
      <c r="C3783" s="9" t="str">
        <f t="shared" si="249"/>
        <v/>
      </c>
      <c r="D3783" s="15"/>
      <c r="E3783" s="15"/>
      <c r="F3783" s="15"/>
      <c r="G3783" s="15"/>
      <c r="I3783" s="65"/>
      <c r="J3783" s="13"/>
      <c r="K3783" s="13"/>
      <c r="L3783" s="15"/>
      <c r="M3783" s="14"/>
      <c r="N3783" s="15"/>
      <c r="O3783" s="10"/>
      <c r="P3783" s="10"/>
    </row>
    <row r="3784">
      <c r="A3784" s="10"/>
      <c r="B3784" s="10"/>
      <c r="C3784" s="9" t="str">
        <f t="shared" si="249"/>
        <v/>
      </c>
      <c r="D3784" s="15"/>
      <c r="E3784" s="15"/>
      <c r="F3784" s="15"/>
      <c r="G3784" s="15"/>
      <c r="I3784" s="65"/>
      <c r="J3784" s="13"/>
      <c r="K3784" s="13"/>
      <c r="L3784" s="15"/>
      <c r="M3784" s="14"/>
      <c r="N3784" s="15"/>
      <c r="O3784" s="10"/>
      <c r="P3784" s="10"/>
    </row>
    <row r="3785">
      <c r="A3785" s="10"/>
      <c r="B3785" s="10"/>
      <c r="C3785" s="9" t="str">
        <f t="shared" si="249"/>
        <v/>
      </c>
      <c r="D3785" s="15"/>
      <c r="E3785" s="15"/>
      <c r="F3785" s="15"/>
      <c r="G3785" s="15"/>
      <c r="I3785" s="65"/>
      <c r="J3785" s="13"/>
      <c r="K3785" s="13"/>
      <c r="L3785" s="15"/>
      <c r="M3785" s="14"/>
      <c r="N3785" s="15"/>
      <c r="O3785" s="10"/>
      <c r="P3785" s="10"/>
    </row>
    <row r="3786">
      <c r="A3786" s="10"/>
      <c r="B3786" s="10"/>
      <c r="C3786" s="9" t="str">
        <f t="shared" si="249"/>
        <v/>
      </c>
      <c r="D3786" s="15"/>
      <c r="E3786" s="15"/>
      <c r="F3786" s="15"/>
      <c r="G3786" s="15"/>
      <c r="I3786" s="65"/>
      <c r="J3786" s="13"/>
      <c r="K3786" s="13"/>
      <c r="L3786" s="15"/>
      <c r="M3786" s="14"/>
      <c r="N3786" s="15"/>
      <c r="O3786" s="10"/>
      <c r="P3786" s="10"/>
    </row>
    <row r="3787">
      <c r="A3787" s="10"/>
      <c r="B3787" s="10"/>
      <c r="C3787" s="9" t="str">
        <f t="shared" si="249"/>
        <v/>
      </c>
      <c r="D3787" s="15"/>
      <c r="E3787" s="15"/>
      <c r="F3787" s="15"/>
      <c r="G3787" s="15"/>
      <c r="I3787" s="65"/>
      <c r="J3787" s="13"/>
      <c r="K3787" s="13"/>
      <c r="L3787" s="15"/>
      <c r="M3787" s="14"/>
      <c r="N3787" s="15"/>
      <c r="O3787" s="10"/>
      <c r="P3787" s="10"/>
    </row>
    <row r="3788">
      <c r="A3788" s="10"/>
      <c r="B3788" s="10"/>
      <c r="C3788" s="9" t="str">
        <f t="shared" si="249"/>
        <v/>
      </c>
      <c r="D3788" s="15"/>
      <c r="E3788" s="15"/>
      <c r="F3788" s="15"/>
      <c r="G3788" s="15"/>
      <c r="I3788" s="65"/>
      <c r="J3788" s="13"/>
      <c r="K3788" s="13"/>
      <c r="L3788" s="15"/>
      <c r="M3788" s="14"/>
      <c r="N3788" s="15"/>
      <c r="O3788" s="10"/>
      <c r="P3788" s="10"/>
    </row>
    <row r="3789">
      <c r="A3789" s="10"/>
      <c r="B3789" s="10"/>
      <c r="C3789" s="9" t="str">
        <f t="shared" si="249"/>
        <v/>
      </c>
      <c r="D3789" s="15"/>
      <c r="E3789" s="15"/>
      <c r="F3789" s="15"/>
      <c r="G3789" s="15"/>
      <c r="I3789" s="65"/>
      <c r="J3789" s="13"/>
      <c r="K3789" s="13"/>
      <c r="L3789" s="15"/>
      <c r="M3789" s="14"/>
      <c r="N3789" s="15"/>
      <c r="O3789" s="10"/>
      <c r="P3789" s="10"/>
    </row>
    <row r="3790">
      <c r="A3790" s="10"/>
      <c r="B3790" s="10"/>
      <c r="C3790" s="9" t="str">
        <f t="shared" si="249"/>
        <v/>
      </c>
      <c r="D3790" s="15"/>
      <c r="E3790" s="15"/>
      <c r="F3790" s="15"/>
      <c r="G3790" s="15"/>
      <c r="I3790" s="65"/>
      <c r="J3790" s="13"/>
      <c r="K3790" s="13"/>
      <c r="L3790" s="15"/>
      <c r="M3790" s="14"/>
      <c r="N3790" s="15"/>
      <c r="O3790" s="10"/>
      <c r="P3790" s="10"/>
    </row>
    <row r="3791">
      <c r="A3791" s="10"/>
      <c r="B3791" s="10"/>
      <c r="C3791" s="9" t="str">
        <f t="shared" si="249"/>
        <v/>
      </c>
      <c r="D3791" s="15"/>
      <c r="E3791" s="15"/>
      <c r="F3791" s="15"/>
      <c r="G3791" s="15"/>
      <c r="I3791" s="65"/>
      <c r="J3791" s="13"/>
      <c r="K3791" s="13"/>
      <c r="L3791" s="15"/>
      <c r="M3791" s="14"/>
      <c r="N3791" s="15"/>
      <c r="O3791" s="10"/>
      <c r="P3791" s="10"/>
    </row>
    <row r="3792">
      <c r="A3792" s="10"/>
      <c r="B3792" s="10"/>
      <c r="C3792" s="9" t="str">
        <f t="shared" si="249"/>
        <v/>
      </c>
      <c r="D3792" s="15"/>
      <c r="E3792" s="15"/>
      <c r="F3792" s="15"/>
      <c r="G3792" s="15"/>
      <c r="I3792" s="65"/>
      <c r="J3792" s="13"/>
      <c r="K3792" s="13"/>
      <c r="L3792" s="15"/>
      <c r="M3792" s="14"/>
      <c r="N3792" s="15"/>
      <c r="O3792" s="10"/>
      <c r="P3792" s="10"/>
    </row>
    <row r="3793">
      <c r="A3793" s="10"/>
      <c r="B3793" s="10"/>
      <c r="C3793" s="9" t="str">
        <f t="shared" si="249"/>
        <v/>
      </c>
      <c r="D3793" s="15"/>
      <c r="E3793" s="15"/>
      <c r="F3793" s="15"/>
      <c r="G3793" s="15"/>
      <c r="I3793" s="65"/>
      <c r="J3793" s="13"/>
      <c r="K3793" s="13"/>
      <c r="L3793" s="15"/>
      <c r="M3793" s="14"/>
      <c r="N3793" s="15"/>
      <c r="O3793" s="10"/>
      <c r="P3793" s="10"/>
    </row>
    <row r="3794">
      <c r="A3794" s="10"/>
      <c r="B3794" s="10"/>
      <c r="C3794" s="9" t="str">
        <f t="shared" si="249"/>
        <v/>
      </c>
      <c r="D3794" s="15"/>
      <c r="E3794" s="15"/>
      <c r="F3794" s="15"/>
      <c r="G3794" s="15"/>
      <c r="I3794" s="65"/>
      <c r="J3794" s="13"/>
      <c r="K3794" s="13"/>
      <c r="L3794" s="15"/>
      <c r="M3794" s="14"/>
      <c r="N3794" s="15"/>
      <c r="O3794" s="10"/>
      <c r="P3794" s="10"/>
    </row>
    <row r="3795">
      <c r="A3795" s="10"/>
      <c r="B3795" s="10"/>
      <c r="C3795" s="9" t="str">
        <f t="shared" si="249"/>
        <v/>
      </c>
      <c r="D3795" s="15"/>
      <c r="E3795" s="15"/>
      <c r="F3795" s="15"/>
      <c r="G3795" s="15"/>
      <c r="I3795" s="65"/>
      <c r="J3795" s="13"/>
      <c r="K3795" s="13"/>
      <c r="L3795" s="15"/>
      <c r="M3795" s="14"/>
      <c r="N3795" s="15"/>
      <c r="O3795" s="10"/>
      <c r="P3795" s="10"/>
    </row>
    <row r="3796">
      <c r="A3796" s="10"/>
      <c r="B3796" s="10"/>
      <c r="C3796" s="9" t="str">
        <f t="shared" si="249"/>
        <v/>
      </c>
      <c r="D3796" s="15"/>
      <c r="E3796" s="15"/>
      <c r="F3796" s="15"/>
      <c r="G3796" s="15"/>
      <c r="I3796" s="65"/>
      <c r="J3796" s="13"/>
      <c r="K3796" s="13"/>
      <c r="L3796" s="15"/>
      <c r="M3796" s="14"/>
      <c r="N3796" s="15"/>
      <c r="O3796" s="10"/>
      <c r="P3796" s="10"/>
    </row>
    <row r="3797">
      <c r="A3797" s="10"/>
      <c r="B3797" s="10"/>
      <c r="C3797" s="9" t="str">
        <f t="shared" si="249"/>
        <v/>
      </c>
      <c r="D3797" s="15"/>
      <c r="E3797" s="15"/>
      <c r="F3797" s="15"/>
      <c r="G3797" s="15"/>
      <c r="I3797" s="65"/>
      <c r="J3797" s="13"/>
      <c r="K3797" s="13"/>
      <c r="L3797" s="15"/>
      <c r="M3797" s="14"/>
      <c r="N3797" s="15"/>
      <c r="O3797" s="10"/>
      <c r="P3797" s="10"/>
    </row>
    <row r="3798">
      <c r="A3798" s="10"/>
      <c r="B3798" s="10"/>
      <c r="C3798" s="9" t="str">
        <f t="shared" si="249"/>
        <v/>
      </c>
      <c r="D3798" s="15"/>
      <c r="E3798" s="15"/>
      <c r="F3798" s="15"/>
      <c r="G3798" s="15"/>
      <c r="I3798" s="65"/>
      <c r="J3798" s="13"/>
      <c r="K3798" s="13"/>
      <c r="L3798" s="15"/>
      <c r="M3798" s="14"/>
      <c r="N3798" s="15"/>
      <c r="O3798" s="10"/>
      <c r="P3798" s="10"/>
    </row>
    <row r="3799">
      <c r="A3799" s="10"/>
      <c r="B3799" s="10"/>
      <c r="C3799" s="9" t="str">
        <f t="shared" si="249"/>
        <v/>
      </c>
      <c r="D3799" s="15"/>
      <c r="E3799" s="15"/>
      <c r="F3799" s="15"/>
      <c r="G3799" s="15"/>
      <c r="I3799" s="65"/>
      <c r="J3799" s="13"/>
      <c r="K3799" s="13"/>
      <c r="L3799" s="15"/>
      <c r="M3799" s="14"/>
      <c r="N3799" s="15"/>
      <c r="O3799" s="10"/>
      <c r="P3799" s="10"/>
    </row>
    <row r="3800">
      <c r="A3800" s="10"/>
      <c r="B3800" s="10"/>
      <c r="C3800" s="9" t="str">
        <f t="shared" si="249"/>
        <v/>
      </c>
      <c r="D3800" s="15"/>
      <c r="E3800" s="15"/>
      <c r="F3800" s="15"/>
      <c r="G3800" s="15"/>
      <c r="I3800" s="65"/>
      <c r="J3800" s="13"/>
      <c r="K3800" s="13"/>
      <c r="L3800" s="15"/>
      <c r="M3800" s="14"/>
      <c r="N3800" s="15"/>
      <c r="O3800" s="10"/>
      <c r="P3800" s="10"/>
    </row>
    <row r="3801">
      <c r="A3801" s="10"/>
      <c r="B3801" s="10"/>
      <c r="C3801" s="9" t="str">
        <f t="shared" si="249"/>
        <v/>
      </c>
      <c r="D3801" s="15"/>
      <c r="E3801" s="15"/>
      <c r="F3801" s="15"/>
      <c r="G3801" s="15"/>
      <c r="I3801" s="65"/>
      <c r="J3801" s="13"/>
      <c r="K3801" s="13"/>
      <c r="L3801" s="15"/>
      <c r="M3801" s="14"/>
      <c r="N3801" s="15"/>
      <c r="O3801" s="10"/>
      <c r="P3801" s="10"/>
    </row>
    <row r="3802">
      <c r="A3802" s="10"/>
      <c r="B3802" s="10"/>
      <c r="C3802" s="9" t="str">
        <f t="shared" si="249"/>
        <v/>
      </c>
      <c r="D3802" s="15"/>
      <c r="E3802" s="15"/>
      <c r="F3802" s="15"/>
      <c r="G3802" s="15"/>
      <c r="I3802" s="65"/>
      <c r="J3802" s="13"/>
      <c r="K3802" s="13"/>
      <c r="L3802" s="15"/>
      <c r="M3802" s="14"/>
      <c r="N3802" s="15"/>
      <c r="O3802" s="10"/>
      <c r="P3802" s="10"/>
    </row>
    <row r="3803">
      <c r="A3803" s="10"/>
      <c r="B3803" s="10"/>
      <c r="C3803" s="9" t="str">
        <f t="shared" si="249"/>
        <v/>
      </c>
      <c r="D3803" s="15"/>
      <c r="E3803" s="15"/>
      <c r="F3803" s="15"/>
      <c r="G3803" s="15"/>
      <c r="I3803" s="65"/>
      <c r="J3803" s="13"/>
      <c r="K3803" s="13"/>
      <c r="L3803" s="15"/>
      <c r="M3803" s="14"/>
      <c r="N3803" s="15"/>
      <c r="O3803" s="10"/>
      <c r="P3803" s="10"/>
    </row>
    <row r="3804">
      <c r="A3804" s="10"/>
      <c r="B3804" s="10"/>
      <c r="C3804" s="9" t="str">
        <f t="shared" si="249"/>
        <v/>
      </c>
      <c r="D3804" s="15"/>
      <c r="E3804" s="15"/>
      <c r="F3804" s="15"/>
      <c r="G3804" s="15"/>
      <c r="I3804" s="65"/>
      <c r="J3804" s="13"/>
      <c r="K3804" s="13"/>
      <c r="L3804" s="15"/>
      <c r="M3804" s="14"/>
      <c r="N3804" s="15"/>
      <c r="O3804" s="10"/>
      <c r="P3804" s="10"/>
    </row>
    <row r="3805">
      <c r="A3805" s="10"/>
      <c r="B3805" s="10"/>
      <c r="C3805" s="9" t="str">
        <f t="shared" si="249"/>
        <v/>
      </c>
      <c r="D3805" s="15"/>
      <c r="E3805" s="15"/>
      <c r="F3805" s="15"/>
      <c r="G3805" s="15"/>
      <c r="I3805" s="65"/>
      <c r="J3805" s="13"/>
      <c r="K3805" s="13"/>
      <c r="L3805" s="15"/>
      <c r="M3805" s="14"/>
      <c r="N3805" s="15"/>
      <c r="O3805" s="10"/>
      <c r="P3805" s="10"/>
    </row>
    <row r="3806">
      <c r="A3806" s="10"/>
      <c r="B3806" s="10"/>
      <c r="C3806" s="9" t="str">
        <f t="shared" si="249"/>
        <v/>
      </c>
      <c r="D3806" s="15"/>
      <c r="E3806" s="15"/>
      <c r="F3806" s="15"/>
      <c r="G3806" s="15"/>
      <c r="I3806" s="65"/>
      <c r="J3806" s="13"/>
      <c r="K3806" s="13"/>
      <c r="L3806" s="15"/>
      <c r="M3806" s="14"/>
      <c r="N3806" s="15"/>
      <c r="O3806" s="10"/>
      <c r="P3806" s="10"/>
    </row>
    <row r="3807">
      <c r="A3807" s="10"/>
      <c r="B3807" s="10"/>
      <c r="C3807" s="9" t="str">
        <f t="shared" si="249"/>
        <v/>
      </c>
      <c r="D3807" s="15"/>
      <c r="E3807" s="15"/>
      <c r="F3807" s="15"/>
      <c r="G3807" s="15"/>
      <c r="I3807" s="65"/>
      <c r="J3807" s="13"/>
      <c r="K3807" s="13"/>
      <c r="L3807" s="15"/>
      <c r="M3807" s="14"/>
      <c r="N3807" s="15"/>
      <c r="O3807" s="10"/>
      <c r="P3807" s="10"/>
    </row>
    <row r="3808">
      <c r="A3808" s="10"/>
      <c r="B3808" s="10"/>
      <c r="C3808" s="9" t="str">
        <f t="shared" si="249"/>
        <v/>
      </c>
      <c r="D3808" s="15"/>
      <c r="E3808" s="15"/>
      <c r="F3808" s="15"/>
      <c r="G3808" s="15"/>
      <c r="I3808" s="65"/>
      <c r="J3808" s="13"/>
      <c r="K3808" s="13"/>
      <c r="L3808" s="15"/>
      <c r="M3808" s="14"/>
      <c r="N3808" s="15"/>
      <c r="O3808" s="10"/>
      <c r="P3808" s="10"/>
    </row>
    <row r="3809">
      <c r="A3809" s="10"/>
      <c r="B3809" s="10"/>
      <c r="C3809" s="9" t="str">
        <f t="shared" si="249"/>
        <v/>
      </c>
      <c r="D3809" s="15"/>
      <c r="E3809" s="15"/>
      <c r="F3809" s="15"/>
      <c r="G3809" s="15"/>
      <c r="I3809" s="65"/>
      <c r="J3809" s="13"/>
      <c r="K3809" s="13"/>
      <c r="L3809" s="15"/>
      <c r="M3809" s="14"/>
      <c r="N3809" s="15"/>
      <c r="O3809" s="10"/>
      <c r="P3809" s="10"/>
    </row>
    <row r="3810">
      <c r="A3810" s="10"/>
      <c r="B3810" s="10"/>
      <c r="C3810" s="9" t="str">
        <f t="shared" si="249"/>
        <v/>
      </c>
      <c r="D3810" s="15"/>
      <c r="E3810" s="15"/>
      <c r="F3810" s="15"/>
      <c r="G3810" s="15"/>
      <c r="I3810" s="65"/>
      <c r="J3810" s="13"/>
      <c r="K3810" s="13"/>
      <c r="L3810" s="15"/>
      <c r="M3810" s="14"/>
      <c r="N3810" s="15"/>
      <c r="O3810" s="10"/>
      <c r="P3810" s="10"/>
    </row>
    <row r="3811">
      <c r="A3811" s="10"/>
      <c r="B3811" s="10"/>
      <c r="C3811" s="9" t="str">
        <f t="shared" si="249"/>
        <v/>
      </c>
      <c r="D3811" s="15"/>
      <c r="E3811" s="15"/>
      <c r="F3811" s="15"/>
      <c r="G3811" s="15"/>
      <c r="I3811" s="65"/>
      <c r="J3811" s="13"/>
      <c r="K3811" s="13"/>
      <c r="L3811" s="15"/>
      <c r="M3811" s="14"/>
      <c r="N3811" s="15"/>
      <c r="O3811" s="10"/>
      <c r="P3811" s="10"/>
    </row>
    <row r="3812">
      <c r="A3812" s="10"/>
      <c r="B3812" s="10"/>
      <c r="C3812" s="9" t="str">
        <f t="shared" si="249"/>
        <v/>
      </c>
      <c r="D3812" s="15"/>
      <c r="E3812" s="15"/>
      <c r="F3812" s="15"/>
      <c r="G3812" s="15"/>
      <c r="I3812" s="65"/>
      <c r="J3812" s="13"/>
      <c r="K3812" s="13"/>
      <c r="L3812" s="15"/>
      <c r="M3812" s="14"/>
      <c r="N3812" s="15"/>
      <c r="O3812" s="10"/>
      <c r="P3812" s="10"/>
    </row>
    <row r="3813">
      <c r="A3813" s="10"/>
      <c r="B3813" s="10"/>
      <c r="C3813" s="9" t="str">
        <f t="shared" si="249"/>
        <v/>
      </c>
      <c r="D3813" s="15"/>
      <c r="E3813" s="15"/>
      <c r="F3813" s="15"/>
      <c r="G3813" s="15"/>
      <c r="I3813" s="65"/>
      <c r="J3813" s="13"/>
      <c r="K3813" s="13"/>
      <c r="L3813" s="15"/>
      <c r="M3813" s="14"/>
      <c r="N3813" s="15"/>
      <c r="O3813" s="10"/>
      <c r="P3813" s="10"/>
    </row>
    <row r="3814">
      <c r="A3814" s="10"/>
      <c r="B3814" s="10"/>
      <c r="C3814" s="9" t="str">
        <f t="shared" si="249"/>
        <v/>
      </c>
      <c r="D3814" s="15"/>
      <c r="E3814" s="15"/>
      <c r="F3814" s="15"/>
      <c r="G3814" s="15"/>
      <c r="I3814" s="65"/>
      <c r="J3814" s="13"/>
      <c r="K3814" s="13"/>
      <c r="L3814" s="15"/>
      <c r="M3814" s="14"/>
      <c r="N3814" s="15"/>
      <c r="O3814" s="10"/>
      <c r="P3814" s="10"/>
    </row>
    <row r="3815">
      <c r="A3815" s="10"/>
      <c r="B3815" s="10"/>
      <c r="C3815" s="9" t="str">
        <f t="shared" si="249"/>
        <v/>
      </c>
      <c r="D3815" s="15"/>
      <c r="E3815" s="15"/>
      <c r="F3815" s="15"/>
      <c r="G3815" s="15"/>
      <c r="I3815" s="65"/>
      <c r="J3815" s="13"/>
      <c r="K3815" s="13"/>
      <c r="L3815" s="15"/>
      <c r="M3815" s="14"/>
      <c r="N3815" s="15"/>
      <c r="O3815" s="10"/>
      <c r="P3815" s="10"/>
    </row>
    <row r="3816">
      <c r="A3816" s="10"/>
      <c r="B3816" s="10"/>
      <c r="C3816" s="9" t="str">
        <f t="shared" si="249"/>
        <v/>
      </c>
      <c r="D3816" s="15"/>
      <c r="E3816" s="15"/>
      <c r="F3816" s="15"/>
      <c r="G3816" s="15"/>
      <c r="I3816" s="65"/>
      <c r="J3816" s="13"/>
      <c r="K3816" s="13"/>
      <c r="L3816" s="15"/>
      <c r="M3816" s="14"/>
      <c r="N3816" s="15"/>
      <c r="O3816" s="10"/>
      <c r="P3816" s="10"/>
    </row>
    <row r="3817">
      <c r="A3817" s="10"/>
      <c r="B3817" s="10"/>
      <c r="C3817" s="9" t="str">
        <f t="shared" si="249"/>
        <v/>
      </c>
      <c r="D3817" s="15"/>
      <c r="E3817" s="15"/>
      <c r="F3817" s="15"/>
      <c r="G3817" s="15"/>
      <c r="I3817" s="65"/>
      <c r="J3817" s="13"/>
      <c r="K3817" s="13"/>
      <c r="L3817" s="15"/>
      <c r="M3817" s="14"/>
      <c r="N3817" s="15"/>
      <c r="O3817" s="10"/>
      <c r="P3817" s="10"/>
    </row>
    <row r="3818">
      <c r="A3818" s="10"/>
      <c r="B3818" s="10"/>
      <c r="C3818" s="9" t="str">
        <f t="shared" si="249"/>
        <v/>
      </c>
      <c r="D3818" s="15"/>
      <c r="E3818" s="15"/>
      <c r="F3818" s="15"/>
      <c r="G3818" s="15"/>
      <c r="I3818" s="65"/>
      <c r="J3818" s="13"/>
      <c r="K3818" s="13"/>
      <c r="L3818" s="15"/>
      <c r="M3818" s="14"/>
      <c r="N3818" s="15"/>
      <c r="O3818" s="10"/>
      <c r="P3818" s="10"/>
    </row>
    <row r="3819">
      <c r="A3819" s="10"/>
      <c r="B3819" s="10"/>
      <c r="C3819" s="9" t="str">
        <f t="shared" si="249"/>
        <v/>
      </c>
      <c r="D3819" s="15"/>
      <c r="E3819" s="15"/>
      <c r="F3819" s="15"/>
      <c r="G3819" s="15"/>
      <c r="I3819" s="65"/>
      <c r="J3819" s="13"/>
      <c r="K3819" s="13"/>
      <c r="L3819" s="15"/>
      <c r="M3819" s="14"/>
      <c r="N3819" s="15"/>
      <c r="O3819" s="10"/>
      <c r="P3819" s="10"/>
    </row>
    <row r="3820">
      <c r="A3820" s="10"/>
      <c r="B3820" s="10"/>
      <c r="C3820" s="9" t="str">
        <f t="shared" si="249"/>
        <v/>
      </c>
      <c r="D3820" s="15"/>
      <c r="E3820" s="15"/>
      <c r="F3820" s="15"/>
      <c r="G3820" s="15"/>
      <c r="I3820" s="65"/>
      <c r="J3820" s="13"/>
      <c r="K3820" s="13"/>
      <c r="L3820" s="15"/>
      <c r="M3820" s="14"/>
      <c r="N3820" s="15"/>
      <c r="O3820" s="10"/>
      <c r="P3820" s="10"/>
    </row>
    <row r="3821">
      <c r="A3821" s="10"/>
      <c r="B3821" s="10"/>
      <c r="C3821" s="9" t="str">
        <f t="shared" si="249"/>
        <v/>
      </c>
      <c r="D3821" s="15"/>
      <c r="E3821" s="15"/>
      <c r="F3821" s="15"/>
      <c r="G3821" s="15"/>
      <c r="I3821" s="65"/>
      <c r="J3821" s="13"/>
      <c r="K3821" s="13"/>
      <c r="L3821" s="15"/>
      <c r="M3821" s="14"/>
      <c r="N3821" s="15"/>
      <c r="O3821" s="10"/>
      <c r="P3821" s="10"/>
    </row>
    <row r="3822">
      <c r="A3822" s="10"/>
      <c r="B3822" s="10"/>
      <c r="C3822" s="9" t="str">
        <f t="shared" si="249"/>
        <v/>
      </c>
      <c r="D3822" s="15"/>
      <c r="E3822" s="15"/>
      <c r="F3822" s="15"/>
      <c r="G3822" s="15"/>
      <c r="I3822" s="65"/>
      <c r="J3822" s="13"/>
      <c r="K3822" s="13"/>
      <c r="L3822" s="15"/>
      <c r="M3822" s="14"/>
      <c r="N3822" s="15"/>
      <c r="O3822" s="10"/>
      <c r="P3822" s="10"/>
    </row>
    <row r="3823">
      <c r="A3823" s="10"/>
      <c r="B3823" s="10"/>
      <c r="C3823" s="9" t="str">
        <f t="shared" si="249"/>
        <v/>
      </c>
      <c r="D3823" s="15"/>
      <c r="E3823" s="15"/>
      <c r="F3823" s="15"/>
      <c r="G3823" s="15"/>
      <c r="I3823" s="65"/>
      <c r="J3823" s="13"/>
      <c r="K3823" s="13"/>
      <c r="L3823" s="15"/>
      <c r="M3823" s="14"/>
      <c r="N3823" s="15"/>
      <c r="O3823" s="10"/>
      <c r="P3823" s="10"/>
    </row>
    <row r="3824">
      <c r="A3824" s="10"/>
      <c r="B3824" s="10"/>
      <c r="C3824" s="9" t="str">
        <f t="shared" si="249"/>
        <v/>
      </c>
      <c r="D3824" s="15"/>
      <c r="E3824" s="15"/>
      <c r="F3824" s="15"/>
      <c r="G3824" s="15"/>
      <c r="I3824" s="65"/>
      <c r="J3824" s="13"/>
      <c r="K3824" s="13"/>
      <c r="L3824" s="15"/>
      <c r="M3824" s="14"/>
      <c r="N3824" s="15"/>
      <c r="O3824" s="10"/>
      <c r="P3824" s="10"/>
    </row>
    <row r="3825">
      <c r="A3825" s="10"/>
      <c r="B3825" s="10"/>
      <c r="C3825" s="9" t="str">
        <f t="shared" si="249"/>
        <v/>
      </c>
      <c r="D3825" s="15"/>
      <c r="E3825" s="15"/>
      <c r="F3825" s="15"/>
      <c r="G3825" s="15"/>
      <c r="I3825" s="65"/>
      <c r="J3825" s="13"/>
      <c r="K3825" s="13"/>
      <c r="L3825" s="15"/>
      <c r="M3825" s="14"/>
      <c r="N3825" s="15"/>
      <c r="O3825" s="10"/>
      <c r="P3825" s="10"/>
    </row>
    <row r="3826">
      <c r="A3826" s="10"/>
      <c r="B3826" s="10"/>
      <c r="C3826" s="9" t="str">
        <f t="shared" si="249"/>
        <v/>
      </c>
      <c r="D3826" s="15"/>
      <c r="E3826" s="15"/>
      <c r="F3826" s="15"/>
      <c r="G3826" s="15"/>
      <c r="I3826" s="65"/>
      <c r="J3826" s="13"/>
      <c r="K3826" s="13"/>
      <c r="L3826" s="15"/>
      <c r="M3826" s="14"/>
      <c r="N3826" s="15"/>
      <c r="O3826" s="10"/>
      <c r="P3826" s="10"/>
    </row>
    <row r="3827">
      <c r="A3827" s="10"/>
      <c r="B3827" s="10"/>
      <c r="C3827" s="9" t="str">
        <f t="shared" si="249"/>
        <v/>
      </c>
      <c r="D3827" s="15"/>
      <c r="E3827" s="15"/>
      <c r="F3827" s="15"/>
      <c r="G3827" s="15"/>
      <c r="I3827" s="65"/>
      <c r="J3827" s="13"/>
      <c r="K3827" s="13"/>
      <c r="L3827" s="15"/>
      <c r="M3827" s="14"/>
      <c r="N3827" s="15"/>
      <c r="O3827" s="10"/>
      <c r="P3827" s="10"/>
    </row>
    <row r="3828">
      <c r="A3828" s="10"/>
      <c r="B3828" s="10"/>
      <c r="C3828" s="9" t="str">
        <f t="shared" si="249"/>
        <v/>
      </c>
      <c r="D3828" s="15"/>
      <c r="E3828" s="15"/>
      <c r="F3828" s="15"/>
      <c r="G3828" s="15"/>
      <c r="I3828" s="65"/>
      <c r="J3828" s="13"/>
      <c r="K3828" s="13"/>
      <c r="L3828" s="15"/>
      <c r="M3828" s="14"/>
      <c r="N3828" s="15"/>
      <c r="O3828" s="10"/>
      <c r="P3828" s="10"/>
    </row>
    <row r="3829">
      <c r="A3829" s="10"/>
      <c r="B3829" s="10"/>
      <c r="C3829" s="9" t="str">
        <f t="shared" si="249"/>
        <v/>
      </c>
      <c r="D3829" s="15"/>
      <c r="E3829" s="15"/>
      <c r="F3829" s="15"/>
      <c r="G3829" s="15"/>
      <c r="I3829" s="65"/>
      <c r="J3829" s="13"/>
      <c r="K3829" s="13"/>
      <c r="L3829" s="15"/>
      <c r="M3829" s="14"/>
      <c r="N3829" s="15"/>
      <c r="O3829" s="10"/>
      <c r="P3829" s="10"/>
    </row>
    <row r="3830">
      <c r="A3830" s="10"/>
      <c r="B3830" s="10"/>
      <c r="C3830" s="9" t="str">
        <f t="shared" si="249"/>
        <v/>
      </c>
      <c r="D3830" s="15"/>
      <c r="E3830" s="15"/>
      <c r="F3830" s="15"/>
      <c r="G3830" s="15"/>
      <c r="I3830" s="65"/>
      <c r="J3830" s="13"/>
      <c r="K3830" s="13"/>
      <c r="L3830" s="15"/>
      <c r="M3830" s="14"/>
      <c r="N3830" s="15"/>
      <c r="O3830" s="10"/>
      <c r="P3830" s="10"/>
    </row>
    <row r="3831">
      <c r="A3831" s="10"/>
      <c r="B3831" s="10"/>
      <c r="C3831" s="9" t="str">
        <f t="shared" si="249"/>
        <v/>
      </c>
      <c r="D3831" s="15"/>
      <c r="E3831" s="15"/>
      <c r="F3831" s="15"/>
      <c r="G3831" s="15"/>
      <c r="I3831" s="65"/>
      <c r="J3831" s="13"/>
      <c r="K3831" s="13"/>
      <c r="L3831" s="15"/>
      <c r="M3831" s="14"/>
      <c r="N3831" s="15"/>
      <c r="O3831" s="10"/>
      <c r="P3831" s="10"/>
    </row>
    <row r="3832">
      <c r="A3832" s="10"/>
      <c r="B3832" s="10"/>
      <c r="C3832" s="9" t="str">
        <f t="shared" si="249"/>
        <v/>
      </c>
      <c r="D3832" s="15"/>
      <c r="E3832" s="15"/>
      <c r="F3832" s="15"/>
      <c r="G3832" s="15"/>
      <c r="I3832" s="65"/>
      <c r="J3832" s="13"/>
      <c r="K3832" s="13"/>
      <c r="L3832" s="15"/>
      <c r="M3832" s="14"/>
      <c r="N3832" s="15"/>
      <c r="O3832" s="10"/>
      <c r="P3832" s="10"/>
    </row>
    <row r="3833">
      <c r="A3833" s="10"/>
      <c r="B3833" s="10"/>
      <c r="C3833" s="9" t="str">
        <f t="shared" si="249"/>
        <v/>
      </c>
      <c r="D3833" s="15"/>
      <c r="E3833" s="15"/>
      <c r="F3833" s="15"/>
      <c r="G3833" s="15"/>
      <c r="I3833" s="65"/>
      <c r="J3833" s="13"/>
      <c r="K3833" s="13"/>
      <c r="L3833" s="15"/>
      <c r="M3833" s="14"/>
      <c r="N3833" s="15"/>
      <c r="O3833" s="10"/>
      <c r="P3833" s="10"/>
    </row>
    <row r="3834">
      <c r="A3834" s="10"/>
      <c r="B3834" s="10"/>
      <c r="C3834" s="9" t="str">
        <f t="shared" si="249"/>
        <v/>
      </c>
      <c r="D3834" s="15"/>
      <c r="E3834" s="15"/>
      <c r="F3834" s="15"/>
      <c r="G3834" s="15"/>
      <c r="I3834" s="65"/>
      <c r="J3834" s="13"/>
      <c r="K3834" s="13"/>
      <c r="L3834" s="15"/>
      <c r="M3834" s="14"/>
      <c r="N3834" s="15"/>
      <c r="O3834" s="10"/>
      <c r="P3834" s="10"/>
    </row>
    <row r="3835">
      <c r="A3835" s="10"/>
      <c r="B3835" s="10"/>
      <c r="C3835" s="9" t="str">
        <f t="shared" si="249"/>
        <v/>
      </c>
      <c r="D3835" s="15"/>
      <c r="E3835" s="15"/>
      <c r="F3835" s="15"/>
      <c r="G3835" s="15"/>
      <c r="I3835" s="65"/>
      <c r="J3835" s="13"/>
      <c r="K3835" s="13"/>
      <c r="L3835" s="15"/>
      <c r="M3835" s="14"/>
      <c r="N3835" s="15"/>
      <c r="O3835" s="10"/>
      <c r="P3835" s="10"/>
    </row>
    <row r="3836">
      <c r="A3836" s="10"/>
      <c r="B3836" s="10"/>
      <c r="C3836" s="9" t="str">
        <f t="shared" si="249"/>
        <v/>
      </c>
      <c r="D3836" s="15"/>
      <c r="E3836" s="15"/>
      <c r="F3836" s="15"/>
      <c r="G3836" s="15"/>
      <c r="I3836" s="65"/>
      <c r="J3836" s="13"/>
      <c r="K3836" s="13"/>
      <c r="L3836" s="15"/>
      <c r="M3836" s="14"/>
      <c r="N3836" s="15"/>
      <c r="O3836" s="10"/>
      <c r="P3836" s="10"/>
    </row>
    <row r="3837">
      <c r="A3837" s="10"/>
      <c r="B3837" s="10"/>
      <c r="C3837" s="9" t="str">
        <f t="shared" si="249"/>
        <v/>
      </c>
      <c r="D3837" s="15"/>
      <c r="E3837" s="15"/>
      <c r="F3837" s="15"/>
      <c r="G3837" s="15"/>
      <c r="I3837" s="65"/>
      <c r="J3837" s="13"/>
      <c r="K3837" s="13"/>
      <c r="L3837" s="15"/>
      <c r="M3837" s="14"/>
      <c r="N3837" s="15"/>
      <c r="O3837" s="10"/>
      <c r="P3837" s="10"/>
    </row>
    <row r="3838">
      <c r="A3838" s="10"/>
      <c r="B3838" s="10"/>
      <c r="C3838" s="9" t="str">
        <f t="shared" si="249"/>
        <v/>
      </c>
      <c r="D3838" s="15"/>
      <c r="E3838" s="15"/>
      <c r="F3838" s="15"/>
      <c r="G3838" s="15"/>
      <c r="I3838" s="65"/>
      <c r="J3838" s="13"/>
      <c r="K3838" s="13"/>
      <c r="L3838" s="15"/>
      <c r="M3838" s="14"/>
      <c r="N3838" s="15"/>
      <c r="O3838" s="10"/>
      <c r="P3838" s="10"/>
    </row>
    <row r="3839">
      <c r="A3839" s="10"/>
      <c r="B3839" s="10"/>
      <c r="C3839" s="9" t="str">
        <f t="shared" si="249"/>
        <v/>
      </c>
      <c r="D3839" s="15"/>
      <c r="E3839" s="15"/>
      <c r="F3839" s="15"/>
      <c r="G3839" s="15"/>
      <c r="I3839" s="65"/>
      <c r="J3839" s="13"/>
      <c r="K3839" s="13"/>
      <c r="L3839" s="15"/>
      <c r="M3839" s="14"/>
      <c r="N3839" s="15"/>
      <c r="O3839" s="10"/>
      <c r="P3839" s="10"/>
    </row>
    <row r="3840">
      <c r="A3840" s="10"/>
      <c r="B3840" s="10"/>
      <c r="C3840" s="9" t="str">
        <f t="shared" si="249"/>
        <v/>
      </c>
      <c r="D3840" s="15"/>
      <c r="E3840" s="15"/>
      <c r="F3840" s="15"/>
      <c r="G3840" s="15"/>
      <c r="I3840" s="65"/>
      <c r="J3840" s="13"/>
      <c r="K3840" s="13"/>
      <c r="L3840" s="15"/>
      <c r="M3840" s="14"/>
      <c r="N3840" s="15"/>
      <c r="O3840" s="10"/>
      <c r="P3840" s="10"/>
    </row>
    <row r="3841">
      <c r="A3841" s="10"/>
      <c r="B3841" s="10"/>
      <c r="C3841" s="9" t="str">
        <f t="shared" si="249"/>
        <v/>
      </c>
      <c r="D3841" s="15"/>
      <c r="E3841" s="15"/>
      <c r="F3841" s="15"/>
      <c r="G3841" s="15"/>
      <c r="I3841" s="65"/>
      <c r="J3841" s="13"/>
      <c r="K3841" s="13"/>
      <c r="L3841" s="15"/>
      <c r="M3841" s="14"/>
      <c r="N3841" s="15"/>
      <c r="O3841" s="10"/>
      <c r="P3841" s="10"/>
    </row>
    <row r="3842">
      <c r="A3842" s="10"/>
      <c r="B3842" s="10"/>
      <c r="C3842" s="9" t="str">
        <f t="shared" si="249"/>
        <v/>
      </c>
      <c r="D3842" s="15"/>
      <c r="E3842" s="15"/>
      <c r="F3842" s="15"/>
      <c r="G3842" s="15"/>
      <c r="I3842" s="65"/>
      <c r="J3842" s="13"/>
      <c r="K3842" s="13"/>
      <c r="L3842" s="15"/>
      <c r="M3842" s="14"/>
      <c r="N3842" s="15"/>
      <c r="O3842" s="10"/>
      <c r="P3842" s="10"/>
    </row>
    <row r="3843">
      <c r="A3843" s="10"/>
      <c r="B3843" s="10"/>
      <c r="C3843" s="9" t="str">
        <f t="shared" si="249"/>
        <v/>
      </c>
      <c r="D3843" s="15"/>
      <c r="E3843" s="15"/>
      <c r="F3843" s="15"/>
      <c r="G3843" s="15"/>
      <c r="I3843" s="65"/>
      <c r="J3843" s="13"/>
      <c r="K3843" s="13"/>
      <c r="L3843" s="15"/>
      <c r="M3843" s="14"/>
      <c r="N3843" s="15"/>
      <c r="O3843" s="10"/>
      <c r="P3843" s="10"/>
    </row>
    <row r="3844">
      <c r="A3844" s="10"/>
      <c r="B3844" s="10"/>
      <c r="C3844" s="9" t="str">
        <f t="shared" si="249"/>
        <v/>
      </c>
      <c r="D3844" s="15"/>
      <c r="E3844" s="15"/>
      <c r="F3844" s="15"/>
      <c r="G3844" s="15"/>
      <c r="I3844" s="65"/>
      <c r="J3844" s="13"/>
      <c r="K3844" s="13"/>
      <c r="L3844" s="15"/>
      <c r="M3844" s="14"/>
      <c r="N3844" s="15"/>
      <c r="O3844" s="10"/>
      <c r="P3844" s="10"/>
    </row>
    <row r="3845">
      <c r="A3845" s="10"/>
      <c r="B3845" s="10"/>
      <c r="C3845" s="9" t="str">
        <f t="shared" si="249"/>
        <v/>
      </c>
      <c r="D3845" s="15"/>
      <c r="E3845" s="15"/>
      <c r="F3845" s="15"/>
      <c r="G3845" s="15"/>
      <c r="I3845" s="65"/>
      <c r="J3845" s="13"/>
      <c r="K3845" s="13"/>
      <c r="L3845" s="15"/>
      <c r="M3845" s="14"/>
      <c r="N3845" s="15"/>
      <c r="O3845" s="10"/>
      <c r="P3845" s="10"/>
    </row>
    <row r="3846">
      <c r="A3846" s="10"/>
      <c r="B3846" s="10"/>
      <c r="C3846" s="9" t="str">
        <f t="shared" si="249"/>
        <v/>
      </c>
      <c r="D3846" s="15"/>
      <c r="E3846" s="15"/>
      <c r="F3846" s="15"/>
      <c r="G3846" s="15"/>
      <c r="I3846" s="65"/>
      <c r="J3846" s="13"/>
      <c r="K3846" s="13"/>
      <c r="L3846" s="15"/>
      <c r="M3846" s="14"/>
      <c r="N3846" s="15"/>
      <c r="O3846" s="10"/>
      <c r="P3846" s="10"/>
    </row>
    <row r="3847">
      <c r="A3847" s="10"/>
      <c r="B3847" s="10"/>
      <c r="C3847" s="9" t="str">
        <f t="shared" si="249"/>
        <v/>
      </c>
      <c r="D3847" s="15"/>
      <c r="E3847" s="15"/>
      <c r="F3847" s="15"/>
      <c r="G3847" s="15"/>
      <c r="I3847" s="65"/>
      <c r="J3847" s="13"/>
      <c r="K3847" s="13"/>
      <c r="L3847" s="15"/>
      <c r="M3847" s="14"/>
      <c r="N3847" s="15"/>
      <c r="O3847" s="10"/>
      <c r="P3847" s="10"/>
    </row>
    <row r="3848">
      <c r="A3848" s="10"/>
      <c r="B3848" s="10"/>
      <c r="C3848" s="9" t="str">
        <f t="shared" si="249"/>
        <v/>
      </c>
      <c r="D3848" s="15"/>
      <c r="E3848" s="15"/>
      <c r="F3848" s="15"/>
      <c r="G3848" s="15"/>
      <c r="I3848" s="65"/>
      <c r="J3848" s="13"/>
      <c r="K3848" s="13"/>
      <c r="L3848" s="15"/>
      <c r="M3848" s="14"/>
      <c r="N3848" s="15"/>
      <c r="O3848" s="10"/>
      <c r="P3848" s="10"/>
    </row>
    <row r="3849">
      <c r="A3849" s="10"/>
      <c r="B3849" s="10"/>
      <c r="C3849" s="9" t="str">
        <f t="shared" si="249"/>
        <v/>
      </c>
      <c r="D3849" s="15"/>
      <c r="E3849" s="15"/>
      <c r="F3849" s="15"/>
      <c r="G3849" s="15"/>
      <c r="I3849" s="65"/>
      <c r="J3849" s="13"/>
      <c r="K3849" s="13"/>
      <c r="L3849" s="15"/>
      <c r="M3849" s="14"/>
      <c r="N3849" s="15"/>
      <c r="O3849" s="10"/>
      <c r="P3849" s="10"/>
    </row>
    <row r="3850">
      <c r="A3850" s="10"/>
      <c r="B3850" s="10"/>
      <c r="C3850" s="9" t="str">
        <f t="shared" si="249"/>
        <v/>
      </c>
      <c r="D3850" s="15"/>
      <c r="E3850" s="15"/>
      <c r="F3850" s="15"/>
      <c r="G3850" s="15"/>
      <c r="I3850" s="65"/>
      <c r="J3850" s="13"/>
      <c r="K3850" s="13"/>
      <c r="L3850" s="15"/>
      <c r="M3850" s="14"/>
      <c r="N3850" s="15"/>
      <c r="O3850" s="10"/>
      <c r="P3850" s="10"/>
    </row>
    <row r="3851">
      <c r="A3851" s="10"/>
      <c r="B3851" s="10"/>
      <c r="C3851" s="9" t="str">
        <f t="shared" si="249"/>
        <v/>
      </c>
      <c r="D3851" s="15"/>
      <c r="E3851" s="15"/>
      <c r="F3851" s="15"/>
      <c r="G3851" s="15"/>
      <c r="I3851" s="65"/>
      <c r="J3851" s="13"/>
      <c r="K3851" s="13"/>
      <c r="L3851" s="15"/>
      <c r="M3851" s="14"/>
      <c r="N3851" s="15"/>
      <c r="O3851" s="10"/>
      <c r="P3851" s="10"/>
    </row>
    <row r="3852">
      <c r="A3852" s="10"/>
      <c r="B3852" s="10"/>
      <c r="C3852" s="9" t="str">
        <f t="shared" si="249"/>
        <v/>
      </c>
      <c r="D3852" s="15"/>
      <c r="E3852" s="15"/>
      <c r="F3852" s="15"/>
      <c r="G3852" s="15"/>
      <c r="I3852" s="65"/>
      <c r="J3852" s="13"/>
      <c r="K3852" s="13"/>
      <c r="L3852" s="15"/>
      <c r="M3852" s="14"/>
      <c r="N3852" s="15"/>
      <c r="O3852" s="10"/>
      <c r="P3852" s="10"/>
    </row>
    <row r="3853">
      <c r="A3853" s="10"/>
      <c r="B3853" s="10"/>
      <c r="C3853" s="9" t="str">
        <f t="shared" si="249"/>
        <v/>
      </c>
      <c r="D3853" s="15"/>
      <c r="E3853" s="15"/>
      <c r="F3853" s="15"/>
      <c r="G3853" s="15"/>
      <c r="I3853" s="65"/>
      <c r="J3853" s="13"/>
      <c r="K3853" s="13"/>
      <c r="L3853" s="15"/>
      <c r="M3853" s="14"/>
      <c r="N3853" s="15"/>
      <c r="O3853" s="10"/>
      <c r="P3853" s="10"/>
    </row>
    <row r="3854">
      <c r="A3854" s="10"/>
      <c r="B3854" s="10"/>
      <c r="C3854" s="9" t="str">
        <f t="shared" si="249"/>
        <v/>
      </c>
      <c r="D3854" s="15"/>
      <c r="E3854" s="15"/>
      <c r="F3854" s="15"/>
      <c r="G3854" s="15"/>
      <c r="I3854" s="65"/>
      <c r="J3854" s="13"/>
      <c r="K3854" s="13"/>
      <c r="L3854" s="15"/>
      <c r="M3854" s="14"/>
      <c r="N3854" s="15"/>
      <c r="O3854" s="10"/>
      <c r="P3854" s="10"/>
    </row>
    <row r="3855">
      <c r="A3855" s="10"/>
      <c r="B3855" s="10"/>
      <c r="C3855" s="9" t="str">
        <f t="shared" si="249"/>
        <v/>
      </c>
      <c r="D3855" s="15"/>
      <c r="E3855" s="15"/>
      <c r="F3855" s="15"/>
      <c r="G3855" s="15"/>
      <c r="I3855" s="65"/>
      <c r="J3855" s="13"/>
      <c r="K3855" s="13"/>
      <c r="L3855" s="15"/>
      <c r="M3855" s="14"/>
      <c r="N3855" s="15"/>
      <c r="O3855" s="10"/>
      <c r="P3855" s="10"/>
    </row>
    <row r="3856">
      <c r="A3856" s="10"/>
      <c r="B3856" s="10"/>
      <c r="C3856" s="9" t="str">
        <f t="shared" si="249"/>
        <v/>
      </c>
      <c r="D3856" s="15"/>
      <c r="E3856" s="15"/>
      <c r="F3856" s="15"/>
      <c r="G3856" s="15"/>
      <c r="I3856" s="65"/>
      <c r="J3856" s="13"/>
      <c r="K3856" s="13"/>
      <c r="L3856" s="15"/>
      <c r="M3856" s="14"/>
      <c r="N3856" s="15"/>
      <c r="O3856" s="10"/>
      <c r="P3856" s="10"/>
    </row>
    <row r="3857">
      <c r="A3857" s="10"/>
      <c r="B3857" s="10"/>
      <c r="C3857" s="9" t="str">
        <f t="shared" si="249"/>
        <v/>
      </c>
      <c r="D3857" s="15"/>
      <c r="E3857" s="15"/>
      <c r="F3857" s="15"/>
      <c r="G3857" s="15"/>
      <c r="I3857" s="65"/>
      <c r="J3857" s="13"/>
      <c r="K3857" s="13"/>
      <c r="L3857" s="15"/>
      <c r="M3857" s="14"/>
      <c r="N3857" s="15"/>
      <c r="O3857" s="10"/>
      <c r="P3857" s="10"/>
    </row>
    <row r="3858">
      <c r="A3858" s="10"/>
      <c r="B3858" s="10"/>
      <c r="C3858" s="9" t="str">
        <f t="shared" si="249"/>
        <v/>
      </c>
      <c r="D3858" s="15"/>
      <c r="E3858" s="15"/>
      <c r="F3858" s="15"/>
      <c r="G3858" s="15"/>
      <c r="I3858" s="65"/>
      <c r="J3858" s="13"/>
      <c r="K3858" s="13"/>
      <c r="L3858" s="15"/>
      <c r="M3858" s="14"/>
      <c r="N3858" s="15"/>
      <c r="O3858" s="10"/>
      <c r="P3858" s="10"/>
    </row>
    <row r="3859">
      <c r="A3859" s="10"/>
      <c r="B3859" s="10"/>
      <c r="C3859" s="9" t="str">
        <f t="shared" si="249"/>
        <v/>
      </c>
      <c r="D3859" s="15"/>
      <c r="E3859" s="15"/>
      <c r="F3859" s="15"/>
      <c r="G3859" s="15"/>
      <c r="I3859" s="65"/>
      <c r="J3859" s="13"/>
      <c r="K3859" s="13"/>
      <c r="L3859" s="15"/>
      <c r="M3859" s="14"/>
      <c r="N3859" s="15"/>
      <c r="O3859" s="10"/>
      <c r="P3859" s="10"/>
    </row>
    <row r="3860">
      <c r="A3860" s="10"/>
      <c r="B3860" s="10"/>
      <c r="C3860" s="9" t="str">
        <f t="shared" si="249"/>
        <v/>
      </c>
      <c r="D3860" s="15"/>
      <c r="E3860" s="15"/>
      <c r="F3860" s="15"/>
      <c r="G3860" s="15"/>
      <c r="I3860" s="65"/>
      <c r="J3860" s="13"/>
      <c r="K3860" s="13"/>
      <c r="L3860" s="15"/>
      <c r="M3860" s="14"/>
      <c r="N3860" s="15"/>
      <c r="O3860" s="10"/>
      <c r="P3860" s="10"/>
    </row>
    <row r="3861">
      <c r="A3861" s="10"/>
      <c r="B3861" s="10"/>
      <c r="C3861" s="9" t="str">
        <f t="shared" si="249"/>
        <v/>
      </c>
      <c r="D3861" s="15"/>
      <c r="E3861" s="15"/>
      <c r="F3861" s="15"/>
      <c r="G3861" s="15"/>
      <c r="I3861" s="65"/>
      <c r="J3861" s="13"/>
      <c r="K3861" s="13"/>
      <c r="L3861" s="15"/>
      <c r="M3861" s="14"/>
      <c r="N3861" s="15"/>
      <c r="O3861" s="10"/>
      <c r="P3861" s="10"/>
    </row>
    <row r="3862">
      <c r="A3862" s="10"/>
      <c r="B3862" s="10"/>
      <c r="C3862" s="9" t="str">
        <f t="shared" si="249"/>
        <v/>
      </c>
      <c r="D3862" s="15"/>
      <c r="E3862" s="15"/>
      <c r="F3862" s="15"/>
      <c r="G3862" s="15"/>
      <c r="I3862" s="65"/>
      <c r="J3862" s="13"/>
      <c r="K3862" s="13"/>
      <c r="L3862" s="15"/>
      <c r="M3862" s="14"/>
      <c r="N3862" s="15"/>
      <c r="O3862" s="10"/>
      <c r="P3862" s="10"/>
    </row>
    <row r="3863">
      <c r="A3863" s="10"/>
      <c r="B3863" s="10"/>
      <c r="C3863" s="9" t="str">
        <f t="shared" si="249"/>
        <v/>
      </c>
      <c r="D3863" s="15"/>
      <c r="E3863" s="15"/>
      <c r="F3863" s="15"/>
      <c r="G3863" s="15"/>
      <c r="I3863" s="65"/>
      <c r="J3863" s="13"/>
      <c r="K3863" s="13"/>
      <c r="L3863" s="15"/>
      <c r="M3863" s="14"/>
      <c r="N3863" s="15"/>
      <c r="O3863" s="10"/>
      <c r="P3863" s="10"/>
    </row>
    <row r="3864">
      <c r="A3864" s="10"/>
      <c r="B3864" s="10"/>
      <c r="C3864" s="9" t="str">
        <f t="shared" si="249"/>
        <v/>
      </c>
      <c r="D3864" s="15"/>
      <c r="E3864" s="15"/>
      <c r="F3864" s="15"/>
      <c r="G3864" s="15"/>
      <c r="I3864" s="65"/>
      <c r="J3864" s="13"/>
      <c r="K3864" s="13"/>
      <c r="L3864" s="15"/>
      <c r="M3864" s="14"/>
      <c r="N3864" s="15"/>
      <c r="O3864" s="10"/>
      <c r="P3864" s="10"/>
    </row>
    <row r="3865">
      <c r="A3865" s="10"/>
      <c r="B3865" s="10"/>
      <c r="C3865" s="9" t="str">
        <f t="shared" si="249"/>
        <v/>
      </c>
      <c r="D3865" s="15"/>
      <c r="E3865" s="15"/>
      <c r="F3865" s="15"/>
      <c r="G3865" s="15"/>
      <c r="I3865" s="65"/>
      <c r="J3865" s="13"/>
      <c r="K3865" s="13"/>
      <c r="L3865" s="15"/>
      <c r="M3865" s="14"/>
      <c r="N3865" s="15"/>
      <c r="O3865" s="10"/>
      <c r="P3865" s="10"/>
    </row>
    <row r="3866">
      <c r="A3866" s="10"/>
      <c r="B3866" s="10"/>
      <c r="C3866" s="9" t="str">
        <f t="shared" si="249"/>
        <v/>
      </c>
      <c r="D3866" s="15"/>
      <c r="E3866" s="15"/>
      <c r="F3866" s="15"/>
      <c r="G3866" s="15"/>
      <c r="I3866" s="65"/>
      <c r="J3866" s="13"/>
      <c r="K3866" s="13"/>
      <c r="L3866" s="15"/>
      <c r="M3866" s="14"/>
      <c r="N3866" s="15"/>
      <c r="O3866" s="10"/>
      <c r="P3866" s="10"/>
    </row>
    <row r="3867">
      <c r="A3867" s="10"/>
      <c r="B3867" s="10"/>
      <c r="C3867" s="9" t="str">
        <f t="shared" si="249"/>
        <v/>
      </c>
      <c r="D3867" s="15"/>
      <c r="E3867" s="15"/>
      <c r="F3867" s="15"/>
      <c r="G3867" s="15"/>
      <c r="I3867" s="65"/>
      <c r="J3867" s="13"/>
      <c r="K3867" s="13"/>
      <c r="L3867" s="15"/>
      <c r="M3867" s="14"/>
      <c r="N3867" s="15"/>
      <c r="O3867" s="10"/>
      <c r="P3867" s="10"/>
    </row>
    <row r="3868">
      <c r="A3868" s="10"/>
      <c r="B3868" s="10"/>
      <c r="C3868" s="9" t="str">
        <f t="shared" si="249"/>
        <v/>
      </c>
      <c r="D3868" s="15"/>
      <c r="E3868" s="15"/>
      <c r="F3868" s="15"/>
      <c r="G3868" s="15"/>
      <c r="I3868" s="65"/>
      <c r="J3868" s="13"/>
      <c r="K3868" s="13"/>
      <c r="L3868" s="15"/>
      <c r="M3868" s="14"/>
      <c r="N3868" s="15"/>
      <c r="O3868" s="10"/>
      <c r="P3868" s="10"/>
    </row>
    <row r="3869">
      <c r="A3869" s="10"/>
      <c r="B3869" s="10"/>
      <c r="C3869" s="9" t="str">
        <f t="shared" si="249"/>
        <v/>
      </c>
      <c r="D3869" s="15"/>
      <c r="E3869" s="15"/>
      <c r="F3869" s="15"/>
      <c r="G3869" s="15"/>
      <c r="I3869" s="65"/>
      <c r="J3869" s="13"/>
      <c r="K3869" s="13"/>
      <c r="L3869" s="15"/>
      <c r="M3869" s="14"/>
      <c r="N3869" s="15"/>
      <c r="O3869" s="10"/>
      <c r="P3869" s="10"/>
    </row>
    <row r="3870">
      <c r="A3870" s="10"/>
      <c r="B3870" s="10"/>
      <c r="C3870" s="9" t="str">
        <f t="shared" si="249"/>
        <v/>
      </c>
      <c r="D3870" s="15"/>
      <c r="E3870" s="15"/>
      <c r="F3870" s="15"/>
      <c r="G3870" s="15"/>
      <c r="I3870" s="65"/>
      <c r="J3870" s="13"/>
      <c r="K3870" s="13"/>
      <c r="L3870" s="15"/>
      <c r="M3870" s="14"/>
      <c r="N3870" s="15"/>
      <c r="O3870" s="10"/>
      <c r="P3870" s="10"/>
    </row>
    <row r="3871">
      <c r="A3871" s="10"/>
      <c r="B3871" s="10"/>
      <c r="C3871" s="9" t="str">
        <f t="shared" si="249"/>
        <v/>
      </c>
      <c r="D3871" s="15"/>
      <c r="E3871" s="15"/>
      <c r="F3871" s="15"/>
      <c r="G3871" s="15"/>
      <c r="I3871" s="65"/>
      <c r="J3871" s="13"/>
      <c r="K3871" s="13"/>
      <c r="L3871" s="15"/>
      <c r="M3871" s="14"/>
      <c r="N3871" s="15"/>
      <c r="O3871" s="10"/>
      <c r="P3871" s="10"/>
    </row>
    <row r="3872">
      <c r="A3872" s="10"/>
      <c r="B3872" s="10"/>
      <c r="C3872" s="9" t="str">
        <f t="shared" si="249"/>
        <v/>
      </c>
      <c r="D3872" s="15"/>
      <c r="E3872" s="15"/>
      <c r="F3872" s="15"/>
      <c r="G3872" s="15"/>
      <c r="I3872" s="65"/>
      <c r="J3872" s="13"/>
      <c r="K3872" s="13"/>
      <c r="L3872" s="15"/>
      <c r="M3872" s="14"/>
      <c r="N3872" s="15"/>
      <c r="O3872" s="10"/>
      <c r="P3872" s="10"/>
    </row>
    <row r="3873">
      <c r="A3873" s="10"/>
      <c r="B3873" s="10"/>
      <c r="C3873" s="9" t="str">
        <f t="shared" si="249"/>
        <v/>
      </c>
      <c r="D3873" s="15"/>
      <c r="E3873" s="15"/>
      <c r="F3873" s="15"/>
      <c r="G3873" s="15"/>
      <c r="I3873" s="65"/>
      <c r="J3873" s="13"/>
      <c r="K3873" s="13"/>
      <c r="L3873" s="15"/>
      <c r="M3873" s="14"/>
      <c r="N3873" s="15"/>
      <c r="O3873" s="10"/>
      <c r="P3873" s="10"/>
    </row>
    <row r="3874">
      <c r="A3874" s="10"/>
      <c r="B3874" s="10"/>
      <c r="C3874" s="9" t="str">
        <f t="shared" si="249"/>
        <v/>
      </c>
      <c r="D3874" s="15"/>
      <c r="E3874" s="15"/>
      <c r="F3874" s="15"/>
      <c r="G3874" s="15"/>
      <c r="I3874" s="65"/>
      <c r="J3874" s="13"/>
      <c r="K3874" s="13"/>
      <c r="L3874" s="15"/>
      <c r="M3874" s="14"/>
      <c r="N3874" s="15"/>
      <c r="O3874" s="10"/>
      <c r="P3874" s="10"/>
    </row>
    <row r="3875">
      <c r="A3875" s="10"/>
      <c r="B3875" s="10"/>
      <c r="C3875" s="9" t="str">
        <f t="shared" si="249"/>
        <v/>
      </c>
      <c r="D3875" s="15"/>
      <c r="E3875" s="15"/>
      <c r="F3875" s="15"/>
      <c r="G3875" s="15"/>
      <c r="I3875" s="65"/>
      <c r="J3875" s="13"/>
      <c r="K3875" s="13"/>
      <c r="L3875" s="15"/>
      <c r="M3875" s="14"/>
      <c r="N3875" s="15"/>
      <c r="O3875" s="10"/>
      <c r="P3875" s="10"/>
    </row>
    <row r="3876">
      <c r="A3876" s="10"/>
      <c r="B3876" s="10"/>
      <c r="C3876" s="9" t="str">
        <f t="shared" si="249"/>
        <v/>
      </c>
      <c r="D3876" s="15"/>
      <c r="E3876" s="15"/>
      <c r="F3876" s="15"/>
      <c r="G3876" s="15"/>
      <c r="I3876" s="65"/>
      <c r="J3876" s="13"/>
      <c r="K3876" s="13"/>
      <c r="L3876" s="15"/>
      <c r="M3876" s="14"/>
      <c r="N3876" s="15"/>
      <c r="O3876" s="10"/>
      <c r="P3876" s="10"/>
    </row>
    <row r="3877">
      <c r="A3877" s="10"/>
      <c r="B3877" s="10"/>
      <c r="C3877" s="9" t="str">
        <f t="shared" si="249"/>
        <v/>
      </c>
      <c r="D3877" s="15"/>
      <c r="E3877" s="15"/>
      <c r="F3877" s="15"/>
      <c r="G3877" s="15"/>
      <c r="I3877" s="65"/>
      <c r="J3877" s="13"/>
      <c r="K3877" s="13"/>
      <c r="L3877" s="15"/>
      <c r="M3877" s="14"/>
      <c r="N3877" s="15"/>
      <c r="O3877" s="10"/>
      <c r="P3877" s="10"/>
    </row>
    <row r="3878">
      <c r="A3878" s="10"/>
      <c r="B3878" s="10"/>
      <c r="C3878" s="9" t="str">
        <f t="shared" si="249"/>
        <v/>
      </c>
      <c r="D3878" s="15"/>
      <c r="E3878" s="15"/>
      <c r="F3878" s="15"/>
      <c r="G3878" s="15"/>
      <c r="I3878" s="65"/>
      <c r="J3878" s="13"/>
      <c r="K3878" s="13"/>
      <c r="L3878" s="15"/>
      <c r="M3878" s="14"/>
      <c r="N3878" s="15"/>
      <c r="O3878" s="10"/>
      <c r="P3878" s="10"/>
    </row>
    <row r="3879">
      <c r="A3879" s="10"/>
      <c r="B3879" s="10"/>
      <c r="C3879" s="9" t="str">
        <f t="shared" si="249"/>
        <v/>
      </c>
      <c r="D3879" s="15"/>
      <c r="E3879" s="15"/>
      <c r="F3879" s="15"/>
      <c r="G3879" s="15"/>
      <c r="I3879" s="65"/>
      <c r="J3879" s="13"/>
      <c r="K3879" s="13"/>
      <c r="L3879" s="15"/>
      <c r="M3879" s="14"/>
      <c r="N3879" s="15"/>
      <c r="O3879" s="10"/>
      <c r="P3879" s="10"/>
    </row>
    <row r="3880">
      <c r="A3880" s="10"/>
      <c r="B3880" s="10"/>
      <c r="C3880" s="9" t="str">
        <f t="shared" si="249"/>
        <v/>
      </c>
      <c r="D3880" s="15"/>
      <c r="E3880" s="15"/>
      <c r="F3880" s="15"/>
      <c r="G3880" s="15"/>
      <c r="I3880" s="65"/>
      <c r="J3880" s="13"/>
      <c r="K3880" s="13"/>
      <c r="L3880" s="15"/>
      <c r="M3880" s="14"/>
      <c r="N3880" s="15"/>
      <c r="O3880" s="10"/>
      <c r="P3880" s="10"/>
    </row>
    <row r="3881">
      <c r="A3881" s="10"/>
      <c r="B3881" s="10"/>
      <c r="C3881" s="9" t="str">
        <f t="shared" si="249"/>
        <v/>
      </c>
      <c r="D3881" s="15"/>
      <c r="E3881" s="15"/>
      <c r="F3881" s="15"/>
      <c r="G3881" s="15"/>
      <c r="I3881" s="65"/>
      <c r="J3881" s="13"/>
      <c r="K3881" s="13"/>
      <c r="L3881" s="15"/>
      <c r="M3881" s="14"/>
      <c r="N3881" s="15"/>
      <c r="O3881" s="10"/>
      <c r="P3881" s="10"/>
    </row>
    <row r="3882">
      <c r="A3882" s="10"/>
      <c r="B3882" s="10"/>
      <c r="C3882" s="9" t="str">
        <f t="shared" si="249"/>
        <v/>
      </c>
      <c r="D3882" s="15"/>
      <c r="E3882" s="15"/>
      <c r="F3882" s="15"/>
      <c r="G3882" s="15"/>
      <c r="I3882" s="65"/>
      <c r="J3882" s="13"/>
      <c r="K3882" s="13"/>
      <c r="L3882" s="15"/>
      <c r="M3882" s="14"/>
      <c r="N3882" s="15"/>
      <c r="O3882" s="10"/>
      <c r="P3882" s="10"/>
    </row>
    <row r="3883">
      <c r="A3883" s="10"/>
      <c r="B3883" s="10"/>
      <c r="C3883" s="9" t="str">
        <f t="shared" si="249"/>
        <v/>
      </c>
      <c r="D3883" s="15"/>
      <c r="E3883" s="15"/>
      <c r="F3883" s="15"/>
      <c r="G3883" s="15"/>
      <c r="I3883" s="65"/>
      <c r="J3883" s="13"/>
      <c r="K3883" s="13"/>
      <c r="L3883" s="15"/>
      <c r="M3883" s="14"/>
      <c r="N3883" s="15"/>
      <c r="O3883" s="10"/>
      <c r="P3883" s="10"/>
    </row>
    <row r="3884">
      <c r="A3884" s="10"/>
      <c r="B3884" s="10"/>
      <c r="C3884" s="9" t="str">
        <f t="shared" si="249"/>
        <v/>
      </c>
      <c r="D3884" s="15"/>
      <c r="E3884" s="15"/>
      <c r="F3884" s="15"/>
      <c r="G3884" s="15"/>
      <c r="I3884" s="65"/>
      <c r="J3884" s="13"/>
      <c r="K3884" s="13"/>
      <c r="L3884" s="15"/>
      <c r="M3884" s="14"/>
      <c r="N3884" s="15"/>
      <c r="O3884" s="10"/>
      <c r="P3884" s="10"/>
    </row>
    <row r="3885">
      <c r="A3885" s="10"/>
      <c r="B3885" s="10"/>
      <c r="C3885" s="9" t="str">
        <f t="shared" si="249"/>
        <v/>
      </c>
      <c r="D3885" s="15"/>
      <c r="E3885" s="15"/>
      <c r="F3885" s="15"/>
      <c r="G3885" s="15"/>
      <c r="I3885" s="65"/>
      <c r="J3885" s="13"/>
      <c r="K3885" s="13"/>
      <c r="L3885" s="15"/>
      <c r="M3885" s="14"/>
      <c r="N3885" s="15"/>
      <c r="O3885" s="10"/>
      <c r="P3885" s="10"/>
    </row>
    <row r="3886">
      <c r="A3886" s="10"/>
      <c r="B3886" s="10"/>
      <c r="C3886" s="9" t="str">
        <f t="shared" si="249"/>
        <v/>
      </c>
      <c r="D3886" s="15"/>
      <c r="E3886" s="15"/>
      <c r="F3886" s="15"/>
      <c r="G3886" s="15"/>
      <c r="I3886" s="65"/>
      <c r="J3886" s="13"/>
      <c r="K3886" s="13"/>
      <c r="L3886" s="15"/>
      <c r="M3886" s="14"/>
      <c r="N3886" s="15"/>
      <c r="O3886" s="10"/>
      <c r="P3886" s="10"/>
    </row>
    <row r="3887">
      <c r="A3887" s="10"/>
      <c r="B3887" s="10"/>
      <c r="C3887" s="9" t="str">
        <f t="shared" si="249"/>
        <v/>
      </c>
      <c r="D3887" s="15"/>
      <c r="E3887" s="15"/>
      <c r="F3887" s="15"/>
      <c r="G3887" s="15"/>
      <c r="I3887" s="65"/>
      <c r="J3887" s="13"/>
      <c r="K3887" s="13"/>
      <c r="L3887" s="15"/>
      <c r="M3887" s="14"/>
      <c r="N3887" s="15"/>
      <c r="O3887" s="10"/>
      <c r="P3887" s="10"/>
    </row>
    <row r="3888">
      <c r="A3888" s="10"/>
      <c r="B3888" s="10"/>
      <c r="C3888" s="9" t="str">
        <f t="shared" si="249"/>
        <v/>
      </c>
      <c r="D3888" s="15"/>
      <c r="E3888" s="15"/>
      <c r="F3888" s="15"/>
      <c r="G3888" s="15"/>
      <c r="I3888" s="65"/>
      <c r="J3888" s="13"/>
      <c r="K3888" s="13"/>
      <c r="L3888" s="15"/>
      <c r="M3888" s="14"/>
      <c r="N3888" s="15"/>
      <c r="O3888" s="10"/>
      <c r="P3888" s="10"/>
    </row>
    <row r="3889">
      <c r="A3889" s="10"/>
      <c r="B3889" s="10"/>
      <c r="C3889" s="9" t="str">
        <f t="shared" si="249"/>
        <v/>
      </c>
      <c r="D3889" s="15"/>
      <c r="E3889" s="15"/>
      <c r="F3889" s="15"/>
      <c r="G3889" s="15"/>
      <c r="I3889" s="65"/>
      <c r="J3889" s="13"/>
      <c r="K3889" s="13"/>
      <c r="L3889" s="15"/>
      <c r="M3889" s="14"/>
      <c r="N3889" s="15"/>
      <c r="O3889" s="10"/>
      <c r="P3889" s="10"/>
    </row>
    <row r="3890">
      <c r="A3890" s="10"/>
      <c r="B3890" s="10"/>
      <c r="C3890" s="9" t="str">
        <f t="shared" si="249"/>
        <v/>
      </c>
      <c r="D3890" s="15"/>
      <c r="E3890" s="15"/>
      <c r="F3890" s="15"/>
      <c r="G3890" s="15"/>
      <c r="I3890" s="65"/>
      <c r="J3890" s="13"/>
      <c r="K3890" s="13"/>
      <c r="L3890" s="15"/>
      <c r="M3890" s="14"/>
      <c r="N3890" s="15"/>
      <c r="O3890" s="10"/>
      <c r="P3890" s="10"/>
    </row>
    <row r="3891">
      <c r="A3891" s="10"/>
      <c r="B3891" s="10"/>
      <c r="C3891" s="9" t="str">
        <f t="shared" si="249"/>
        <v/>
      </c>
      <c r="D3891" s="15"/>
      <c r="E3891" s="15"/>
      <c r="F3891" s="15"/>
      <c r="G3891" s="15"/>
      <c r="I3891" s="65"/>
      <c r="J3891" s="13"/>
      <c r="K3891" s="13"/>
      <c r="L3891" s="15"/>
      <c r="M3891" s="14"/>
      <c r="N3891" s="15"/>
      <c r="O3891" s="10"/>
      <c r="P3891" s="10"/>
    </row>
    <row r="3892">
      <c r="A3892" s="10"/>
      <c r="B3892" s="10"/>
      <c r="C3892" s="9" t="str">
        <f t="shared" si="249"/>
        <v/>
      </c>
      <c r="D3892" s="15"/>
      <c r="E3892" s="15"/>
      <c r="F3892" s="15"/>
      <c r="G3892" s="15"/>
      <c r="I3892" s="65"/>
      <c r="J3892" s="13"/>
      <c r="K3892" s="13"/>
      <c r="L3892" s="15"/>
      <c r="M3892" s="14"/>
      <c r="N3892" s="15"/>
      <c r="O3892" s="10"/>
      <c r="P3892" s="10"/>
    </row>
    <row r="3893">
      <c r="A3893" s="10"/>
      <c r="B3893" s="10"/>
      <c r="C3893" s="9" t="str">
        <f t="shared" si="249"/>
        <v/>
      </c>
      <c r="D3893" s="15"/>
      <c r="E3893" s="15"/>
      <c r="F3893" s="15"/>
      <c r="G3893" s="15"/>
      <c r="I3893" s="65"/>
      <c r="J3893" s="13"/>
      <c r="K3893" s="13"/>
      <c r="L3893" s="15"/>
      <c r="M3893" s="14"/>
      <c r="N3893" s="15"/>
      <c r="O3893" s="10"/>
      <c r="P3893" s="10"/>
    </row>
    <row r="3894">
      <c r="A3894" s="10"/>
      <c r="B3894" s="10"/>
      <c r="C3894" s="9" t="str">
        <f t="shared" si="249"/>
        <v/>
      </c>
      <c r="D3894" s="15"/>
      <c r="E3894" s="15"/>
      <c r="F3894" s="15"/>
      <c r="G3894" s="15"/>
      <c r="I3894" s="65"/>
      <c r="J3894" s="13"/>
      <c r="K3894" s="13"/>
      <c r="L3894" s="15"/>
      <c r="M3894" s="14"/>
      <c r="N3894" s="15"/>
      <c r="O3894" s="10"/>
      <c r="P3894" s="10"/>
    </row>
    <row r="3895">
      <c r="A3895" s="10"/>
      <c r="B3895" s="10"/>
      <c r="C3895" s="9" t="str">
        <f t="shared" si="249"/>
        <v/>
      </c>
      <c r="D3895" s="15"/>
      <c r="E3895" s="15"/>
      <c r="F3895" s="15"/>
      <c r="G3895" s="15"/>
      <c r="I3895" s="65"/>
      <c r="J3895" s="13"/>
      <c r="K3895" s="13"/>
      <c r="L3895" s="15"/>
      <c r="M3895" s="14"/>
      <c r="N3895" s="15"/>
      <c r="O3895" s="10"/>
      <c r="P3895" s="10"/>
    </row>
    <row r="3896">
      <c r="A3896" s="10"/>
      <c r="B3896" s="10"/>
      <c r="C3896" s="9" t="str">
        <f t="shared" si="249"/>
        <v/>
      </c>
      <c r="D3896" s="15"/>
      <c r="E3896" s="15"/>
      <c r="F3896" s="15"/>
      <c r="G3896" s="15"/>
      <c r="I3896" s="65"/>
      <c r="J3896" s="13"/>
      <c r="K3896" s="13"/>
      <c r="L3896" s="15"/>
      <c r="M3896" s="14"/>
      <c r="N3896" s="15"/>
      <c r="O3896" s="10"/>
      <c r="P3896" s="10"/>
    </row>
    <row r="3897">
      <c r="A3897" s="10"/>
      <c r="B3897" s="10"/>
      <c r="C3897" s="9" t="str">
        <f t="shared" si="249"/>
        <v/>
      </c>
      <c r="D3897" s="15"/>
      <c r="E3897" s="15"/>
      <c r="F3897" s="15"/>
      <c r="G3897" s="15"/>
      <c r="I3897" s="65"/>
      <c r="J3897" s="13"/>
      <c r="K3897" s="13"/>
      <c r="L3897" s="15"/>
      <c r="M3897" s="14"/>
      <c r="N3897" s="15"/>
      <c r="O3897" s="10"/>
      <c r="P3897" s="10"/>
    </row>
    <row r="3898">
      <c r="A3898" s="10"/>
      <c r="B3898" s="10"/>
      <c r="C3898" s="9" t="str">
        <f t="shared" si="249"/>
        <v/>
      </c>
      <c r="D3898" s="15"/>
      <c r="E3898" s="15"/>
      <c r="F3898" s="15"/>
      <c r="G3898" s="15"/>
      <c r="I3898" s="65"/>
      <c r="J3898" s="13"/>
      <c r="K3898" s="13"/>
      <c r="L3898" s="15"/>
      <c r="M3898" s="14"/>
      <c r="N3898" s="15"/>
      <c r="O3898" s="10"/>
      <c r="P3898" s="10"/>
    </row>
    <row r="3899">
      <c r="A3899" s="10"/>
      <c r="B3899" s="10"/>
      <c r="C3899" s="9" t="str">
        <f t="shared" si="249"/>
        <v/>
      </c>
      <c r="D3899" s="15"/>
      <c r="E3899" s="15"/>
      <c r="F3899" s="15"/>
      <c r="G3899" s="15"/>
      <c r="I3899" s="65"/>
      <c r="J3899" s="13"/>
      <c r="K3899" s="13"/>
      <c r="L3899" s="15"/>
      <c r="M3899" s="14"/>
      <c r="N3899" s="15"/>
      <c r="O3899" s="10"/>
      <c r="P3899" s="10"/>
    </row>
    <row r="3900">
      <c r="A3900" s="10"/>
      <c r="B3900" s="10"/>
      <c r="C3900" s="9" t="str">
        <f t="shared" si="249"/>
        <v/>
      </c>
      <c r="D3900" s="15"/>
      <c r="E3900" s="15"/>
      <c r="F3900" s="15"/>
      <c r="G3900" s="15"/>
      <c r="I3900" s="65"/>
      <c r="J3900" s="13"/>
      <c r="K3900" s="13"/>
      <c r="L3900" s="15"/>
      <c r="M3900" s="14"/>
      <c r="N3900" s="15"/>
      <c r="O3900" s="10"/>
      <c r="P3900" s="10"/>
    </row>
    <row r="3901">
      <c r="A3901" s="10"/>
      <c r="B3901" s="10"/>
      <c r="C3901" s="9" t="str">
        <f t="shared" si="249"/>
        <v/>
      </c>
      <c r="D3901" s="15"/>
      <c r="E3901" s="15"/>
      <c r="F3901" s="15"/>
      <c r="G3901" s="15"/>
      <c r="I3901" s="65"/>
      <c r="J3901" s="13"/>
      <c r="K3901" s="13"/>
      <c r="L3901" s="15"/>
      <c r="M3901" s="14"/>
      <c r="N3901" s="15"/>
      <c r="O3901" s="10"/>
      <c r="P3901" s="10"/>
    </row>
    <row r="3902">
      <c r="A3902" s="10"/>
      <c r="B3902" s="10"/>
      <c r="C3902" s="9" t="str">
        <f t="shared" si="249"/>
        <v/>
      </c>
      <c r="D3902" s="15"/>
      <c r="E3902" s="15"/>
      <c r="F3902" s="15"/>
      <c r="G3902" s="15"/>
      <c r="I3902" s="65"/>
      <c r="J3902" s="13"/>
      <c r="K3902" s="13"/>
      <c r="L3902" s="15"/>
      <c r="M3902" s="14"/>
      <c r="N3902" s="15"/>
      <c r="O3902" s="10"/>
      <c r="P3902" s="10"/>
    </row>
    <row r="3903">
      <c r="A3903" s="10"/>
      <c r="B3903" s="10"/>
      <c r="C3903" s="9" t="str">
        <f t="shared" si="249"/>
        <v/>
      </c>
      <c r="D3903" s="15"/>
      <c r="E3903" s="15"/>
      <c r="F3903" s="15"/>
      <c r="G3903" s="15"/>
      <c r="I3903" s="65"/>
      <c r="J3903" s="13"/>
      <c r="K3903" s="13"/>
      <c r="L3903" s="15"/>
      <c r="M3903" s="14"/>
      <c r="N3903" s="15"/>
      <c r="O3903" s="10"/>
      <c r="P3903" s="10"/>
    </row>
    <row r="3904">
      <c r="A3904" s="10"/>
      <c r="B3904" s="10"/>
      <c r="C3904" s="9" t="str">
        <f t="shared" si="249"/>
        <v/>
      </c>
      <c r="D3904" s="15"/>
      <c r="E3904" s="15"/>
      <c r="F3904" s="15"/>
      <c r="G3904" s="15"/>
      <c r="I3904" s="65"/>
      <c r="J3904" s="13"/>
      <c r="K3904" s="13"/>
      <c r="L3904" s="15"/>
      <c r="M3904" s="14"/>
      <c r="N3904" s="15"/>
      <c r="O3904" s="10"/>
      <c r="P3904" s="10"/>
    </row>
    <row r="3905">
      <c r="A3905" s="10"/>
      <c r="B3905" s="10"/>
      <c r="C3905" s="9" t="str">
        <f t="shared" si="249"/>
        <v/>
      </c>
      <c r="D3905" s="15"/>
      <c r="E3905" s="15"/>
      <c r="F3905" s="15"/>
      <c r="G3905" s="15"/>
      <c r="I3905" s="65"/>
      <c r="J3905" s="13"/>
      <c r="K3905" s="13"/>
      <c r="L3905" s="15"/>
      <c r="M3905" s="14"/>
      <c r="N3905" s="15"/>
      <c r="O3905" s="10"/>
      <c r="P3905" s="10"/>
    </row>
    <row r="3906">
      <c r="A3906" s="10"/>
      <c r="B3906" s="10"/>
      <c r="C3906" s="9" t="str">
        <f t="shared" si="249"/>
        <v/>
      </c>
      <c r="D3906" s="15"/>
      <c r="E3906" s="15"/>
      <c r="F3906" s="15"/>
      <c r="G3906" s="15"/>
      <c r="I3906" s="65"/>
      <c r="J3906" s="13"/>
      <c r="K3906" s="13"/>
      <c r="L3906" s="15"/>
      <c r="M3906" s="14"/>
      <c r="N3906" s="15"/>
      <c r="O3906" s="10"/>
      <c r="P3906" s="10"/>
    </row>
    <row r="3907">
      <c r="A3907" s="10"/>
      <c r="B3907" s="10"/>
      <c r="C3907" s="9" t="str">
        <f t="shared" si="249"/>
        <v/>
      </c>
      <c r="D3907" s="15"/>
      <c r="E3907" s="15"/>
      <c r="F3907" s="15"/>
      <c r="G3907" s="15"/>
      <c r="I3907" s="65"/>
      <c r="J3907" s="13"/>
      <c r="K3907" s="13"/>
      <c r="L3907" s="15"/>
      <c r="M3907" s="14"/>
      <c r="N3907" s="15"/>
      <c r="O3907" s="10"/>
      <c r="P3907" s="10"/>
    </row>
    <row r="3908">
      <c r="A3908" s="10"/>
      <c r="B3908" s="10"/>
      <c r="C3908" s="9" t="str">
        <f t="shared" si="249"/>
        <v/>
      </c>
      <c r="D3908" s="15"/>
      <c r="E3908" s="15"/>
      <c r="F3908" s="15"/>
      <c r="G3908" s="15"/>
      <c r="I3908" s="65"/>
      <c r="J3908" s="13"/>
      <c r="K3908" s="13"/>
      <c r="L3908" s="15"/>
      <c r="M3908" s="14"/>
      <c r="N3908" s="15"/>
      <c r="O3908" s="10"/>
      <c r="P3908" s="10"/>
    </row>
    <row r="3909">
      <c r="A3909" s="10"/>
      <c r="B3909" s="10"/>
      <c r="C3909" s="9" t="str">
        <f t="shared" si="249"/>
        <v/>
      </c>
      <c r="D3909" s="15"/>
      <c r="E3909" s="15"/>
      <c r="F3909" s="15"/>
      <c r="G3909" s="15"/>
      <c r="I3909" s="65"/>
      <c r="J3909" s="13"/>
      <c r="K3909" s="13"/>
      <c r="L3909" s="15"/>
      <c r="M3909" s="14"/>
      <c r="N3909" s="15"/>
      <c r="O3909" s="10"/>
      <c r="P3909" s="10"/>
    </row>
    <row r="3910">
      <c r="A3910" s="10"/>
      <c r="B3910" s="10"/>
      <c r="C3910" s="9" t="str">
        <f t="shared" si="249"/>
        <v/>
      </c>
      <c r="D3910" s="15"/>
      <c r="E3910" s="15"/>
      <c r="F3910" s="15"/>
      <c r="G3910" s="15"/>
      <c r="I3910" s="65"/>
      <c r="J3910" s="13"/>
      <c r="K3910" s="13"/>
      <c r="L3910" s="15"/>
      <c r="M3910" s="14"/>
      <c r="N3910" s="15"/>
      <c r="O3910" s="10"/>
      <c r="P3910" s="10"/>
    </row>
    <row r="3911">
      <c r="A3911" s="10"/>
      <c r="B3911" s="10"/>
      <c r="C3911" s="9" t="str">
        <f t="shared" si="249"/>
        <v/>
      </c>
      <c r="D3911" s="15"/>
      <c r="E3911" s="15"/>
      <c r="F3911" s="15"/>
      <c r="G3911" s="15"/>
      <c r="I3911" s="65"/>
      <c r="J3911" s="13"/>
      <c r="K3911" s="13"/>
      <c r="L3911" s="15"/>
      <c r="M3911" s="14"/>
      <c r="N3911" s="15"/>
      <c r="O3911" s="10"/>
      <c r="P3911" s="10"/>
    </row>
    <row r="3912">
      <c r="A3912" s="10"/>
      <c r="B3912" s="10"/>
      <c r="C3912" s="9" t="str">
        <f t="shared" si="249"/>
        <v/>
      </c>
      <c r="D3912" s="15"/>
      <c r="E3912" s="15"/>
      <c r="F3912" s="15"/>
      <c r="G3912" s="15"/>
      <c r="I3912" s="65"/>
      <c r="J3912" s="13"/>
      <c r="K3912" s="13"/>
      <c r="L3912" s="15"/>
      <c r="M3912" s="14"/>
      <c r="N3912" s="15"/>
      <c r="O3912" s="10"/>
      <c r="P3912" s="10"/>
    </row>
    <row r="3913">
      <c r="A3913" s="10"/>
      <c r="B3913" s="10"/>
      <c r="C3913" s="9" t="str">
        <f t="shared" si="249"/>
        <v/>
      </c>
      <c r="D3913" s="15"/>
      <c r="E3913" s="15"/>
      <c r="F3913" s="15"/>
      <c r="G3913" s="15"/>
      <c r="I3913" s="65"/>
      <c r="J3913" s="13"/>
      <c r="K3913" s="13"/>
      <c r="L3913" s="15"/>
      <c r="M3913" s="14"/>
      <c r="N3913" s="15"/>
      <c r="O3913" s="10"/>
      <c r="P3913" s="10"/>
    </row>
    <row r="3914">
      <c r="A3914" s="10"/>
      <c r="B3914" s="10"/>
      <c r="C3914" s="9" t="str">
        <f t="shared" si="249"/>
        <v/>
      </c>
      <c r="D3914" s="15"/>
      <c r="E3914" s="15"/>
      <c r="F3914" s="15"/>
      <c r="G3914" s="15"/>
      <c r="I3914" s="65"/>
      <c r="J3914" s="13"/>
      <c r="K3914" s="13"/>
      <c r="L3914" s="15"/>
      <c r="M3914" s="14"/>
      <c r="N3914" s="15"/>
      <c r="O3914" s="10"/>
      <c r="P3914" s="10"/>
    </row>
    <row r="3915">
      <c r="A3915" s="10"/>
      <c r="B3915" s="10"/>
      <c r="C3915" s="9" t="str">
        <f t="shared" si="249"/>
        <v/>
      </c>
      <c r="D3915" s="15"/>
      <c r="E3915" s="15"/>
      <c r="F3915" s="15"/>
      <c r="G3915" s="15"/>
      <c r="I3915" s="65"/>
      <c r="J3915" s="13"/>
      <c r="K3915" s="13"/>
      <c r="L3915" s="15"/>
      <c r="M3915" s="14"/>
      <c r="N3915" s="15"/>
      <c r="O3915" s="10"/>
      <c r="P3915" s="10"/>
    </row>
    <row r="3916">
      <c r="A3916" s="10"/>
      <c r="B3916" s="10"/>
      <c r="C3916" s="9" t="str">
        <f t="shared" si="249"/>
        <v/>
      </c>
      <c r="D3916" s="15"/>
      <c r="E3916" s="15"/>
      <c r="F3916" s="15"/>
      <c r="G3916" s="15"/>
      <c r="I3916" s="65"/>
      <c r="J3916" s="13"/>
      <c r="K3916" s="13"/>
      <c r="L3916" s="15"/>
      <c r="M3916" s="14"/>
      <c r="N3916" s="15"/>
      <c r="O3916" s="10"/>
      <c r="P3916" s="10"/>
    </row>
    <row r="3917">
      <c r="A3917" s="10"/>
      <c r="B3917" s="10"/>
      <c r="C3917" s="9" t="str">
        <f t="shared" si="249"/>
        <v/>
      </c>
      <c r="D3917" s="15"/>
      <c r="E3917" s="15"/>
      <c r="F3917" s="15"/>
      <c r="G3917" s="15"/>
      <c r="I3917" s="65"/>
      <c r="J3917" s="13"/>
      <c r="K3917" s="13"/>
      <c r="L3917" s="15"/>
      <c r="M3917" s="14"/>
      <c r="N3917" s="15"/>
      <c r="O3917" s="10"/>
      <c r="P3917" s="10"/>
    </row>
    <row r="3918">
      <c r="A3918" s="10"/>
      <c r="B3918" s="10"/>
      <c r="C3918" s="9" t="str">
        <f t="shared" si="249"/>
        <v/>
      </c>
      <c r="D3918" s="15"/>
      <c r="E3918" s="15"/>
      <c r="F3918" s="15"/>
      <c r="G3918" s="15"/>
      <c r="I3918" s="65"/>
      <c r="J3918" s="13"/>
      <c r="K3918" s="13"/>
      <c r="L3918" s="15"/>
      <c r="M3918" s="14"/>
      <c r="N3918" s="15"/>
      <c r="O3918" s="10"/>
      <c r="P3918" s="10"/>
    </row>
    <row r="3919">
      <c r="A3919" s="10"/>
      <c r="B3919" s="10"/>
      <c r="C3919" s="9" t="str">
        <f t="shared" si="249"/>
        <v/>
      </c>
      <c r="D3919" s="15"/>
      <c r="E3919" s="15"/>
      <c r="F3919" s="15"/>
      <c r="G3919" s="15"/>
      <c r="I3919" s="65"/>
      <c r="J3919" s="13"/>
      <c r="K3919" s="13"/>
      <c r="L3919" s="15"/>
      <c r="M3919" s="14"/>
      <c r="N3919" s="15"/>
      <c r="O3919" s="10"/>
      <c r="P3919" s="10"/>
    </row>
    <row r="3920">
      <c r="A3920" s="10"/>
      <c r="B3920" s="10"/>
      <c r="C3920" s="9" t="str">
        <f t="shared" si="249"/>
        <v/>
      </c>
      <c r="D3920" s="15"/>
      <c r="E3920" s="15"/>
      <c r="F3920" s="15"/>
      <c r="G3920" s="15"/>
      <c r="I3920" s="65"/>
      <c r="J3920" s="13"/>
      <c r="K3920" s="13"/>
      <c r="L3920" s="15"/>
      <c r="M3920" s="14"/>
      <c r="N3920" s="15"/>
      <c r="O3920" s="10"/>
      <c r="P3920" s="10"/>
    </row>
    <row r="3921">
      <c r="A3921" s="10"/>
      <c r="B3921" s="10"/>
      <c r="C3921" s="9" t="str">
        <f t="shared" si="249"/>
        <v/>
      </c>
      <c r="D3921" s="15"/>
      <c r="E3921" s="15"/>
      <c r="F3921" s="15"/>
      <c r="G3921" s="15"/>
      <c r="I3921" s="65"/>
      <c r="J3921" s="13"/>
      <c r="K3921" s="13"/>
      <c r="L3921" s="15"/>
      <c r="M3921" s="14"/>
      <c r="N3921" s="15"/>
      <c r="O3921" s="10"/>
      <c r="P3921" s="10"/>
    </row>
    <row r="3922">
      <c r="A3922" s="10"/>
      <c r="B3922" s="10"/>
      <c r="C3922" s="9" t="str">
        <f t="shared" si="249"/>
        <v/>
      </c>
      <c r="D3922" s="15"/>
      <c r="E3922" s="15"/>
      <c r="F3922" s="15"/>
      <c r="G3922" s="15"/>
      <c r="I3922" s="65"/>
      <c r="J3922" s="13"/>
      <c r="K3922" s="13"/>
      <c r="L3922" s="15"/>
      <c r="M3922" s="14"/>
      <c r="N3922" s="15"/>
      <c r="O3922" s="10"/>
      <c r="P3922" s="10"/>
    </row>
    <row r="3923">
      <c r="A3923" s="10"/>
      <c r="B3923" s="10"/>
      <c r="C3923" s="9" t="str">
        <f t="shared" si="249"/>
        <v/>
      </c>
      <c r="D3923" s="15"/>
      <c r="E3923" s="15"/>
      <c r="F3923" s="15"/>
      <c r="G3923" s="15"/>
      <c r="I3923" s="65"/>
      <c r="J3923" s="13"/>
      <c r="K3923" s="13"/>
      <c r="L3923" s="15"/>
      <c r="M3923" s="14"/>
      <c r="N3923" s="15"/>
      <c r="O3923" s="10"/>
      <c r="P3923" s="10"/>
    </row>
    <row r="3924">
      <c r="A3924" s="10"/>
      <c r="B3924" s="10"/>
      <c r="C3924" s="9" t="str">
        <f t="shared" si="249"/>
        <v/>
      </c>
      <c r="D3924" s="15"/>
      <c r="E3924" s="15"/>
      <c r="F3924" s="15"/>
      <c r="G3924" s="15"/>
      <c r="I3924" s="65"/>
      <c r="J3924" s="13"/>
      <c r="K3924" s="13"/>
      <c r="L3924" s="15"/>
      <c r="M3924" s="14"/>
      <c r="N3924" s="15"/>
      <c r="O3924" s="10"/>
      <c r="P3924" s="10"/>
    </row>
    <row r="3925">
      <c r="A3925" s="10"/>
      <c r="B3925" s="10"/>
      <c r="C3925" s="9" t="str">
        <f t="shared" si="249"/>
        <v/>
      </c>
      <c r="D3925" s="15"/>
      <c r="E3925" s="15"/>
      <c r="F3925" s="15"/>
      <c r="G3925" s="15"/>
      <c r="I3925" s="65"/>
      <c r="J3925" s="13"/>
      <c r="K3925" s="13"/>
      <c r="L3925" s="15"/>
      <c r="M3925" s="14"/>
      <c r="N3925" s="15"/>
      <c r="O3925" s="10"/>
      <c r="P3925" s="10"/>
    </row>
    <row r="3926">
      <c r="A3926" s="10"/>
      <c r="B3926" s="10"/>
      <c r="C3926" s="9" t="str">
        <f t="shared" si="249"/>
        <v/>
      </c>
      <c r="D3926" s="15"/>
      <c r="E3926" s="15"/>
      <c r="F3926" s="15"/>
      <c r="G3926" s="15"/>
      <c r="I3926" s="65"/>
      <c r="J3926" s="13"/>
      <c r="K3926" s="13"/>
      <c r="L3926" s="15"/>
      <c r="M3926" s="14"/>
      <c r="N3926" s="15"/>
      <c r="O3926" s="10"/>
      <c r="P3926" s="10"/>
    </row>
    <row r="3927">
      <c r="A3927" s="10"/>
      <c r="B3927" s="10"/>
      <c r="C3927" s="9" t="str">
        <f t="shared" si="249"/>
        <v/>
      </c>
      <c r="D3927" s="15"/>
      <c r="E3927" s="15"/>
      <c r="F3927" s="15"/>
      <c r="G3927" s="15"/>
      <c r="I3927" s="65"/>
      <c r="J3927" s="13"/>
      <c r="K3927" s="13"/>
      <c r="L3927" s="15"/>
      <c r="M3927" s="14"/>
      <c r="N3927" s="15"/>
      <c r="O3927" s="10"/>
      <c r="P3927" s="10"/>
    </row>
    <row r="3928">
      <c r="A3928" s="10"/>
      <c r="B3928" s="10"/>
      <c r="C3928" s="9" t="str">
        <f t="shared" si="249"/>
        <v/>
      </c>
      <c r="D3928" s="15"/>
      <c r="E3928" s="15"/>
      <c r="F3928" s="15"/>
      <c r="G3928" s="15"/>
      <c r="I3928" s="65"/>
      <c r="J3928" s="13"/>
      <c r="K3928" s="13"/>
      <c r="L3928" s="15"/>
      <c r="M3928" s="14"/>
      <c r="N3928" s="15"/>
      <c r="O3928" s="10"/>
      <c r="P3928" s="10"/>
    </row>
    <row r="3929">
      <c r="A3929" s="10"/>
      <c r="B3929" s="10"/>
      <c r="C3929" s="9" t="str">
        <f t="shared" si="249"/>
        <v/>
      </c>
      <c r="D3929" s="15"/>
      <c r="E3929" s="15"/>
      <c r="F3929" s="15"/>
      <c r="G3929" s="15"/>
      <c r="I3929" s="65"/>
      <c r="J3929" s="13"/>
      <c r="K3929" s="13"/>
      <c r="L3929" s="15"/>
      <c r="M3929" s="14"/>
      <c r="N3929" s="15"/>
      <c r="O3929" s="10"/>
      <c r="P3929" s="10"/>
    </row>
    <row r="3930">
      <c r="A3930" s="10"/>
      <c r="B3930" s="10"/>
      <c r="C3930" s="9" t="str">
        <f t="shared" si="249"/>
        <v/>
      </c>
      <c r="D3930" s="15"/>
      <c r="E3930" s="15"/>
      <c r="F3930" s="15"/>
      <c r="G3930" s="15"/>
      <c r="I3930" s="65"/>
      <c r="J3930" s="13"/>
      <c r="K3930" s="13"/>
      <c r="L3930" s="15"/>
      <c r="M3930" s="14"/>
      <c r="N3930" s="15"/>
      <c r="O3930" s="10"/>
      <c r="P3930" s="10"/>
    </row>
    <row r="3931">
      <c r="A3931" s="10"/>
      <c r="B3931" s="10"/>
      <c r="C3931" s="9" t="str">
        <f t="shared" si="249"/>
        <v/>
      </c>
      <c r="D3931" s="15"/>
      <c r="E3931" s="15"/>
      <c r="F3931" s="15"/>
      <c r="G3931" s="15"/>
      <c r="I3931" s="65"/>
      <c r="J3931" s="13"/>
      <c r="K3931" s="13"/>
      <c r="L3931" s="15"/>
      <c r="M3931" s="14"/>
      <c r="N3931" s="15"/>
      <c r="O3931" s="10"/>
      <c r="P3931" s="10"/>
    </row>
    <row r="3932">
      <c r="A3932" s="10"/>
      <c r="B3932" s="10"/>
      <c r="C3932" s="9" t="str">
        <f t="shared" si="249"/>
        <v/>
      </c>
      <c r="D3932" s="15"/>
      <c r="E3932" s="15"/>
      <c r="F3932" s="15"/>
      <c r="G3932" s="15"/>
      <c r="I3932" s="65"/>
      <c r="J3932" s="13"/>
      <c r="K3932" s="13"/>
      <c r="L3932" s="15"/>
      <c r="M3932" s="14"/>
      <c r="N3932" s="15"/>
      <c r="O3932" s="10"/>
      <c r="P3932" s="10"/>
    </row>
    <row r="3933">
      <c r="A3933" s="10"/>
      <c r="B3933" s="10"/>
      <c r="C3933" s="9" t="str">
        <f t="shared" si="249"/>
        <v/>
      </c>
      <c r="D3933" s="15"/>
      <c r="E3933" s="15"/>
      <c r="F3933" s="15"/>
      <c r="G3933" s="15"/>
      <c r="I3933" s="65"/>
      <c r="J3933" s="13"/>
      <c r="K3933" s="13"/>
      <c r="L3933" s="15"/>
      <c r="M3933" s="14"/>
      <c r="N3933" s="15"/>
      <c r="O3933" s="10"/>
      <c r="P3933" s="10"/>
    </row>
    <row r="3934">
      <c r="A3934" s="10"/>
      <c r="B3934" s="10"/>
      <c r="C3934" s="9" t="str">
        <f t="shared" si="249"/>
        <v/>
      </c>
      <c r="D3934" s="15"/>
      <c r="E3934" s="15"/>
      <c r="F3934" s="15"/>
      <c r="G3934" s="15"/>
      <c r="I3934" s="65"/>
      <c r="J3934" s="13"/>
      <c r="K3934" s="13"/>
      <c r="L3934" s="15"/>
      <c r="M3934" s="14"/>
      <c r="N3934" s="15"/>
      <c r="O3934" s="10"/>
      <c r="P3934" s="10"/>
    </row>
    <row r="3935">
      <c r="A3935" s="10"/>
      <c r="B3935" s="10"/>
      <c r="C3935" s="9" t="str">
        <f t="shared" si="249"/>
        <v/>
      </c>
      <c r="D3935" s="15"/>
      <c r="E3935" s="15"/>
      <c r="F3935" s="15"/>
      <c r="G3935" s="15"/>
      <c r="I3935" s="65"/>
      <c r="J3935" s="13"/>
      <c r="K3935" s="13"/>
      <c r="L3935" s="15"/>
      <c r="M3935" s="14"/>
      <c r="N3935" s="15"/>
      <c r="O3935" s="10"/>
      <c r="P3935" s="10"/>
    </row>
    <row r="3936">
      <c r="A3936" s="10"/>
      <c r="B3936" s="10"/>
      <c r="C3936" s="9" t="str">
        <f t="shared" si="249"/>
        <v/>
      </c>
      <c r="D3936" s="15"/>
      <c r="E3936" s="15"/>
      <c r="F3936" s="15"/>
      <c r="G3936" s="15"/>
      <c r="I3936" s="65"/>
      <c r="J3936" s="13"/>
      <c r="K3936" s="13"/>
      <c r="L3936" s="15"/>
      <c r="M3936" s="14"/>
      <c r="N3936" s="15"/>
      <c r="O3936" s="10"/>
      <c r="P3936" s="10"/>
    </row>
    <row r="3937">
      <c r="A3937" s="10"/>
      <c r="B3937" s="10"/>
      <c r="C3937" s="9" t="str">
        <f t="shared" si="249"/>
        <v/>
      </c>
      <c r="D3937" s="15"/>
      <c r="E3937" s="15"/>
      <c r="F3937" s="15"/>
      <c r="G3937" s="15"/>
      <c r="I3937" s="65"/>
      <c r="J3937" s="13"/>
      <c r="K3937" s="13"/>
      <c r="L3937" s="15"/>
      <c r="M3937" s="14"/>
      <c r="N3937" s="15"/>
      <c r="O3937" s="10"/>
      <c r="P3937" s="10"/>
    </row>
    <row r="3938">
      <c r="A3938" s="10"/>
      <c r="B3938" s="10"/>
      <c r="C3938" s="9" t="str">
        <f t="shared" si="249"/>
        <v/>
      </c>
      <c r="D3938" s="15"/>
      <c r="E3938" s="15"/>
      <c r="F3938" s="15"/>
      <c r="G3938" s="15"/>
      <c r="I3938" s="65"/>
      <c r="J3938" s="13"/>
      <c r="K3938" s="13"/>
      <c r="L3938" s="15"/>
      <c r="M3938" s="14"/>
      <c r="N3938" s="15"/>
      <c r="O3938" s="10"/>
      <c r="P3938" s="10"/>
    </row>
    <row r="3939">
      <c r="A3939" s="10"/>
      <c r="B3939" s="10"/>
      <c r="C3939" s="9" t="str">
        <f t="shared" si="249"/>
        <v/>
      </c>
      <c r="D3939" s="15"/>
      <c r="E3939" s="15"/>
      <c r="F3939" s="15"/>
      <c r="G3939" s="15"/>
      <c r="I3939" s="65"/>
      <c r="J3939" s="13"/>
      <c r="K3939" s="13"/>
      <c r="L3939" s="15"/>
      <c r="M3939" s="14"/>
      <c r="N3939" s="15"/>
      <c r="O3939" s="10"/>
      <c r="P3939" s="10"/>
    </row>
    <row r="3940">
      <c r="A3940" s="10"/>
      <c r="B3940" s="10"/>
      <c r="C3940" s="9" t="str">
        <f t="shared" si="249"/>
        <v/>
      </c>
      <c r="D3940" s="15"/>
      <c r="E3940" s="15"/>
      <c r="F3940" s="15"/>
      <c r="G3940" s="15"/>
      <c r="I3940" s="65"/>
      <c r="J3940" s="13"/>
      <c r="K3940" s="13"/>
      <c r="L3940" s="15"/>
      <c r="M3940" s="14"/>
      <c r="N3940" s="15"/>
      <c r="O3940" s="10"/>
      <c r="P3940" s="10"/>
    </row>
    <row r="3941">
      <c r="A3941" s="10"/>
      <c r="B3941" s="10"/>
      <c r="C3941" s="9" t="str">
        <f t="shared" si="249"/>
        <v/>
      </c>
      <c r="D3941" s="15"/>
      <c r="E3941" s="15"/>
      <c r="F3941" s="15"/>
      <c r="G3941" s="15"/>
      <c r="I3941" s="65"/>
      <c r="J3941" s="13"/>
      <c r="K3941" s="13"/>
      <c r="L3941" s="15"/>
      <c r="M3941" s="14"/>
      <c r="N3941" s="15"/>
      <c r="O3941" s="10"/>
      <c r="P3941" s="10"/>
    </row>
    <row r="3942">
      <c r="A3942" s="10"/>
      <c r="B3942" s="10"/>
      <c r="C3942" s="9" t="str">
        <f t="shared" si="249"/>
        <v/>
      </c>
      <c r="D3942" s="15"/>
      <c r="E3942" s="15"/>
      <c r="F3942" s="15"/>
      <c r="G3942" s="15"/>
      <c r="I3942" s="65"/>
      <c r="J3942" s="13"/>
      <c r="K3942" s="13"/>
      <c r="L3942" s="15"/>
      <c r="M3942" s="14"/>
      <c r="N3942" s="15"/>
      <c r="O3942" s="10"/>
      <c r="P3942" s="10"/>
    </row>
    <row r="3943">
      <c r="A3943" s="10"/>
      <c r="B3943" s="10"/>
      <c r="C3943" s="9" t="str">
        <f t="shared" si="249"/>
        <v/>
      </c>
      <c r="D3943" s="15"/>
      <c r="E3943" s="15"/>
      <c r="F3943" s="15"/>
      <c r="G3943" s="15"/>
      <c r="I3943" s="65"/>
      <c r="J3943" s="13"/>
      <c r="K3943" s="13"/>
      <c r="L3943" s="15"/>
      <c r="M3943" s="14"/>
      <c r="N3943" s="15"/>
      <c r="O3943" s="10"/>
      <c r="P3943" s="10"/>
    </row>
    <row r="3944">
      <c r="A3944" s="10"/>
      <c r="B3944" s="10"/>
      <c r="C3944" s="9" t="str">
        <f t="shared" si="249"/>
        <v/>
      </c>
      <c r="D3944" s="15"/>
      <c r="E3944" s="15"/>
      <c r="F3944" s="15"/>
      <c r="G3944" s="15"/>
      <c r="I3944" s="65"/>
      <c r="J3944" s="13"/>
      <c r="K3944" s="13"/>
      <c r="L3944" s="15"/>
      <c r="M3944" s="14"/>
      <c r="N3944" s="15"/>
      <c r="O3944" s="10"/>
      <c r="P3944" s="10"/>
    </row>
    <row r="3945">
      <c r="A3945" s="10"/>
      <c r="B3945" s="10"/>
      <c r="C3945" s="9" t="str">
        <f t="shared" si="249"/>
        <v/>
      </c>
      <c r="D3945" s="15"/>
      <c r="E3945" s="15"/>
      <c r="F3945" s="15"/>
      <c r="G3945" s="15"/>
      <c r="I3945" s="65"/>
      <c r="J3945" s="13"/>
      <c r="K3945" s="13"/>
      <c r="L3945" s="15"/>
      <c r="M3945" s="14"/>
      <c r="N3945" s="15"/>
      <c r="O3945" s="10"/>
      <c r="P3945" s="10"/>
    </row>
    <row r="3946">
      <c r="A3946" s="10"/>
      <c r="B3946" s="10"/>
      <c r="C3946" s="9" t="str">
        <f t="shared" si="249"/>
        <v/>
      </c>
      <c r="D3946" s="15"/>
      <c r="E3946" s="15"/>
      <c r="F3946" s="15"/>
      <c r="G3946" s="15"/>
      <c r="I3946" s="65"/>
      <c r="J3946" s="13"/>
      <c r="K3946" s="13"/>
      <c r="L3946" s="15"/>
      <c r="M3946" s="14"/>
      <c r="N3946" s="15"/>
      <c r="O3946" s="10"/>
      <c r="P3946" s="10"/>
    </row>
    <row r="3947">
      <c r="A3947" s="10"/>
      <c r="B3947" s="10"/>
      <c r="C3947" s="9" t="str">
        <f t="shared" si="249"/>
        <v/>
      </c>
      <c r="D3947" s="15"/>
      <c r="E3947" s="15"/>
      <c r="F3947" s="15"/>
      <c r="G3947" s="15"/>
      <c r="I3947" s="65"/>
      <c r="J3947" s="13"/>
      <c r="K3947" s="13"/>
      <c r="L3947" s="15"/>
      <c r="M3947" s="14"/>
      <c r="N3947" s="15"/>
      <c r="O3947" s="10"/>
      <c r="P3947" s="10"/>
    </row>
    <row r="3948">
      <c r="A3948" s="10"/>
      <c r="B3948" s="10"/>
      <c r="C3948" s="9" t="str">
        <f t="shared" si="249"/>
        <v/>
      </c>
      <c r="D3948" s="15"/>
      <c r="E3948" s="15"/>
      <c r="F3948" s="15"/>
      <c r="G3948" s="15"/>
      <c r="I3948" s="65"/>
      <c r="J3948" s="13"/>
      <c r="K3948" s="13"/>
      <c r="L3948" s="15"/>
      <c r="M3948" s="14"/>
      <c r="N3948" s="15"/>
      <c r="O3948" s="10"/>
      <c r="P3948" s="10"/>
    </row>
    <row r="3949">
      <c r="A3949" s="10"/>
      <c r="B3949" s="10"/>
      <c r="C3949" s="9" t="str">
        <f t="shared" si="249"/>
        <v/>
      </c>
      <c r="D3949" s="15"/>
      <c r="E3949" s="15"/>
      <c r="F3949" s="15"/>
      <c r="G3949" s="15"/>
      <c r="I3949" s="65"/>
      <c r="J3949" s="13"/>
      <c r="K3949" s="13"/>
      <c r="L3949" s="15"/>
      <c r="M3949" s="14"/>
      <c r="N3949" s="15"/>
      <c r="O3949" s="10"/>
      <c r="P3949" s="10"/>
    </row>
    <row r="3950">
      <c r="A3950" s="10"/>
      <c r="B3950" s="10"/>
      <c r="C3950" s="9" t="str">
        <f t="shared" si="249"/>
        <v/>
      </c>
      <c r="D3950" s="15"/>
      <c r="E3950" s="15"/>
      <c r="F3950" s="15"/>
      <c r="G3950" s="15"/>
      <c r="I3950" s="65"/>
      <c r="J3950" s="13"/>
      <c r="K3950" s="13"/>
      <c r="L3950" s="15"/>
      <c r="M3950" s="14"/>
      <c r="N3950" s="15"/>
      <c r="O3950" s="10"/>
      <c r="P3950" s="10"/>
    </row>
    <row r="3951">
      <c r="A3951" s="10"/>
      <c r="B3951" s="10"/>
      <c r="C3951" s="9" t="str">
        <f t="shared" si="249"/>
        <v/>
      </c>
      <c r="D3951" s="15"/>
      <c r="E3951" s="15"/>
      <c r="F3951" s="15"/>
      <c r="G3951" s="15"/>
      <c r="I3951" s="65"/>
      <c r="J3951" s="13"/>
      <c r="K3951" s="13"/>
      <c r="L3951" s="15"/>
      <c r="M3951" s="14"/>
      <c r="N3951" s="15"/>
      <c r="O3951" s="10"/>
      <c r="P3951" s="10"/>
    </row>
    <row r="3952">
      <c r="A3952" s="10"/>
      <c r="B3952" s="10"/>
      <c r="C3952" s="9" t="str">
        <f t="shared" si="249"/>
        <v/>
      </c>
      <c r="D3952" s="15"/>
      <c r="E3952" s="15"/>
      <c r="F3952" s="15"/>
      <c r="G3952" s="15"/>
      <c r="I3952" s="65"/>
      <c r="J3952" s="13"/>
      <c r="K3952" s="13"/>
      <c r="L3952" s="15"/>
      <c r="M3952" s="14"/>
      <c r="N3952" s="15"/>
      <c r="O3952" s="10"/>
      <c r="P3952" s="10"/>
    </row>
    <row r="3953">
      <c r="A3953" s="10"/>
      <c r="B3953" s="10"/>
      <c r="C3953" s="9" t="str">
        <f t="shared" si="249"/>
        <v/>
      </c>
      <c r="D3953" s="15"/>
      <c r="E3953" s="15"/>
      <c r="F3953" s="15"/>
      <c r="G3953" s="15"/>
      <c r="I3953" s="65"/>
      <c r="J3953" s="13"/>
      <c r="K3953" s="13"/>
      <c r="L3953" s="15"/>
      <c r="M3953" s="14"/>
      <c r="N3953" s="15"/>
      <c r="O3953" s="10"/>
      <c r="P3953" s="10"/>
    </row>
    <row r="3954">
      <c r="A3954" s="10"/>
      <c r="B3954" s="10"/>
      <c r="C3954" s="9" t="str">
        <f t="shared" si="249"/>
        <v/>
      </c>
      <c r="D3954" s="15"/>
      <c r="E3954" s="15"/>
      <c r="F3954" s="15"/>
      <c r="G3954" s="15"/>
      <c r="I3954" s="65"/>
      <c r="J3954" s="13"/>
      <c r="K3954" s="13"/>
      <c r="L3954" s="15"/>
      <c r="M3954" s="14"/>
      <c r="N3954" s="15"/>
      <c r="O3954" s="10"/>
      <c r="P3954" s="10"/>
    </row>
    <row r="3955">
      <c r="A3955" s="10"/>
      <c r="B3955" s="10"/>
      <c r="C3955" s="9" t="str">
        <f t="shared" si="249"/>
        <v/>
      </c>
      <c r="D3955" s="15"/>
      <c r="E3955" s="15"/>
      <c r="F3955" s="15"/>
      <c r="G3955" s="15"/>
      <c r="I3955" s="65"/>
      <c r="J3955" s="13"/>
      <c r="K3955" s="13"/>
      <c r="L3955" s="15"/>
      <c r="M3955" s="14"/>
      <c r="N3955" s="15"/>
      <c r="O3955" s="10"/>
      <c r="P3955" s="10"/>
    </row>
    <row r="3956">
      <c r="A3956" s="10"/>
      <c r="B3956" s="10"/>
      <c r="C3956" s="9" t="str">
        <f t="shared" si="249"/>
        <v/>
      </c>
      <c r="D3956" s="15"/>
      <c r="E3956" s="15"/>
      <c r="F3956" s="15"/>
      <c r="G3956" s="15"/>
      <c r="I3956" s="65"/>
      <c r="J3956" s="13"/>
      <c r="K3956" s="13"/>
      <c r="L3956" s="15"/>
      <c r="M3956" s="14"/>
      <c r="N3956" s="15"/>
      <c r="O3956" s="10"/>
      <c r="P3956" s="10"/>
    </row>
    <row r="3957">
      <c r="A3957" s="10"/>
      <c r="B3957" s="10"/>
      <c r="C3957" s="9" t="str">
        <f t="shared" si="249"/>
        <v/>
      </c>
      <c r="D3957" s="15"/>
      <c r="E3957" s="15"/>
      <c r="F3957" s="15"/>
      <c r="G3957" s="15"/>
      <c r="I3957" s="65"/>
      <c r="J3957" s="13"/>
      <c r="K3957" s="13"/>
      <c r="L3957" s="15"/>
      <c r="M3957" s="14"/>
      <c r="N3957" s="15"/>
      <c r="O3957" s="10"/>
      <c r="P3957" s="10"/>
    </row>
    <row r="3958">
      <c r="A3958" s="10"/>
      <c r="B3958" s="10"/>
      <c r="C3958" s="9" t="str">
        <f t="shared" si="249"/>
        <v/>
      </c>
      <c r="D3958" s="15"/>
      <c r="E3958" s="15"/>
      <c r="F3958" s="15"/>
      <c r="G3958" s="15"/>
      <c r="I3958" s="65"/>
      <c r="J3958" s="13"/>
      <c r="K3958" s="13"/>
      <c r="L3958" s="15"/>
      <c r="M3958" s="14"/>
      <c r="N3958" s="15"/>
      <c r="O3958" s="10"/>
      <c r="P3958" s="10"/>
    </row>
    <row r="3959">
      <c r="A3959" s="10"/>
      <c r="B3959" s="10"/>
      <c r="C3959" s="9" t="str">
        <f t="shared" si="249"/>
        <v/>
      </c>
      <c r="D3959" s="15"/>
      <c r="E3959" s="15"/>
      <c r="F3959" s="15"/>
      <c r="G3959" s="15"/>
      <c r="I3959" s="65"/>
      <c r="J3959" s="13"/>
      <c r="K3959" s="13"/>
      <c r="L3959" s="15"/>
      <c r="M3959" s="14"/>
      <c r="N3959" s="15"/>
      <c r="O3959" s="10"/>
      <c r="P3959" s="10"/>
    </row>
    <row r="3960">
      <c r="A3960" s="10"/>
      <c r="B3960" s="10"/>
      <c r="C3960" s="9" t="str">
        <f t="shared" si="249"/>
        <v/>
      </c>
      <c r="D3960" s="15"/>
      <c r="E3960" s="15"/>
      <c r="F3960" s="15"/>
      <c r="G3960" s="15"/>
      <c r="I3960" s="65"/>
      <c r="J3960" s="13"/>
      <c r="K3960" s="13"/>
      <c r="L3960" s="15"/>
      <c r="M3960" s="14"/>
      <c r="N3960" s="15"/>
      <c r="O3960" s="10"/>
      <c r="P3960" s="10"/>
    </row>
    <row r="3961">
      <c r="A3961" s="10"/>
      <c r="B3961" s="10"/>
      <c r="C3961" s="9" t="str">
        <f t="shared" si="249"/>
        <v/>
      </c>
      <c r="D3961" s="15"/>
      <c r="E3961" s="15"/>
      <c r="F3961" s="15"/>
      <c r="G3961" s="15"/>
      <c r="I3961" s="65"/>
      <c r="J3961" s="13"/>
      <c r="K3961" s="13"/>
      <c r="L3961" s="15"/>
      <c r="M3961" s="14"/>
      <c r="N3961" s="15"/>
      <c r="O3961" s="10"/>
      <c r="P3961" s="10"/>
    </row>
    <row r="3962">
      <c r="A3962" s="10"/>
      <c r="B3962" s="10"/>
      <c r="C3962" s="9" t="str">
        <f t="shared" si="249"/>
        <v/>
      </c>
      <c r="D3962" s="15"/>
      <c r="E3962" s="15"/>
      <c r="F3962" s="15"/>
      <c r="G3962" s="15"/>
      <c r="I3962" s="65"/>
      <c r="J3962" s="13"/>
      <c r="K3962" s="13"/>
      <c r="L3962" s="15"/>
      <c r="M3962" s="14"/>
      <c r="N3962" s="15"/>
      <c r="O3962" s="10"/>
      <c r="P3962" s="10"/>
    </row>
    <row r="3963">
      <c r="A3963" s="10"/>
      <c r="B3963" s="10"/>
      <c r="C3963" s="9" t="str">
        <f t="shared" si="249"/>
        <v/>
      </c>
      <c r="D3963" s="15"/>
      <c r="E3963" s="15"/>
      <c r="F3963" s="15"/>
      <c r="G3963" s="15"/>
      <c r="I3963" s="65"/>
      <c r="J3963" s="13"/>
      <c r="K3963" s="13"/>
      <c r="L3963" s="15"/>
      <c r="M3963" s="14"/>
      <c r="N3963" s="15"/>
      <c r="O3963" s="10"/>
      <c r="P3963" s="10"/>
    </row>
    <row r="3964">
      <c r="A3964" s="10"/>
      <c r="B3964" s="10"/>
      <c r="C3964" s="9" t="str">
        <f t="shared" si="249"/>
        <v/>
      </c>
      <c r="D3964" s="15"/>
      <c r="E3964" s="15"/>
      <c r="F3964" s="15"/>
      <c r="G3964" s="15"/>
      <c r="I3964" s="65"/>
      <c r="J3964" s="13"/>
      <c r="K3964" s="13"/>
      <c r="L3964" s="15"/>
      <c r="M3964" s="14"/>
      <c r="N3964" s="15"/>
      <c r="O3964" s="10"/>
      <c r="P3964" s="10"/>
    </row>
    <row r="3965">
      <c r="A3965" s="10"/>
      <c r="B3965" s="10"/>
      <c r="C3965" s="9" t="str">
        <f t="shared" si="249"/>
        <v/>
      </c>
      <c r="D3965" s="15"/>
      <c r="E3965" s="15"/>
      <c r="F3965" s="15"/>
      <c r="G3965" s="15"/>
      <c r="I3965" s="65"/>
      <c r="J3965" s="13"/>
      <c r="K3965" s="13"/>
      <c r="L3965" s="15"/>
      <c r="M3965" s="14"/>
      <c r="N3965" s="15"/>
      <c r="O3965" s="10"/>
      <c r="P3965" s="10"/>
    </row>
    <row r="3966">
      <c r="A3966" s="10"/>
      <c r="B3966" s="10"/>
      <c r="C3966" s="9" t="str">
        <f t="shared" si="249"/>
        <v/>
      </c>
      <c r="D3966" s="15"/>
      <c r="E3966" s="15"/>
      <c r="F3966" s="15"/>
      <c r="G3966" s="15"/>
      <c r="I3966" s="65"/>
      <c r="J3966" s="13"/>
      <c r="K3966" s="13"/>
      <c r="L3966" s="15"/>
      <c r="M3966" s="14"/>
      <c r="N3966" s="15"/>
      <c r="O3966" s="10"/>
      <c r="P3966" s="10"/>
    </row>
    <row r="3967">
      <c r="A3967" s="10"/>
      <c r="B3967" s="10"/>
      <c r="C3967" s="9" t="str">
        <f t="shared" si="249"/>
        <v/>
      </c>
      <c r="D3967" s="15"/>
      <c r="E3967" s="15"/>
      <c r="F3967" s="15"/>
      <c r="G3967" s="15"/>
      <c r="I3967" s="65"/>
      <c r="J3967" s="13"/>
      <c r="K3967" s="13"/>
      <c r="L3967" s="15"/>
      <c r="M3967" s="14"/>
      <c r="N3967" s="15"/>
      <c r="O3967" s="10"/>
      <c r="P3967" s="10"/>
    </row>
    <row r="3968">
      <c r="A3968" s="10"/>
      <c r="B3968" s="10"/>
      <c r="C3968" s="9" t="str">
        <f t="shared" si="249"/>
        <v/>
      </c>
      <c r="D3968" s="15"/>
      <c r="E3968" s="15"/>
      <c r="F3968" s="15"/>
      <c r="G3968" s="15"/>
      <c r="I3968" s="65"/>
      <c r="J3968" s="13"/>
      <c r="K3968" s="13"/>
      <c r="L3968" s="15"/>
      <c r="M3968" s="14"/>
      <c r="N3968" s="15"/>
      <c r="O3968" s="10"/>
      <c r="P3968" s="10"/>
    </row>
    <row r="3969">
      <c r="A3969" s="10"/>
      <c r="B3969" s="10"/>
      <c r="C3969" s="9" t="str">
        <f t="shared" si="249"/>
        <v/>
      </c>
      <c r="D3969" s="15"/>
      <c r="E3969" s="15"/>
      <c r="F3969" s="15"/>
      <c r="G3969" s="15"/>
      <c r="I3969" s="65"/>
      <c r="J3969" s="13"/>
      <c r="K3969" s="13"/>
      <c r="L3969" s="15"/>
      <c r="M3969" s="14"/>
      <c r="N3969" s="15"/>
      <c r="O3969" s="10"/>
      <c r="P3969" s="10"/>
    </row>
    <row r="3970">
      <c r="A3970" s="10"/>
      <c r="B3970" s="10"/>
      <c r="C3970" s="9" t="str">
        <f t="shared" si="249"/>
        <v/>
      </c>
      <c r="D3970" s="15"/>
      <c r="E3970" s="15"/>
      <c r="F3970" s="15"/>
      <c r="G3970" s="15"/>
      <c r="I3970" s="65"/>
      <c r="J3970" s="13"/>
      <c r="K3970" s="13"/>
      <c r="L3970" s="15"/>
      <c r="M3970" s="14"/>
      <c r="N3970" s="15"/>
      <c r="O3970" s="10"/>
      <c r="P3970" s="10"/>
    </row>
    <row r="3971">
      <c r="A3971" s="10"/>
      <c r="B3971" s="10"/>
      <c r="C3971" s="9" t="str">
        <f t="shared" si="249"/>
        <v/>
      </c>
      <c r="D3971" s="15"/>
      <c r="E3971" s="15"/>
      <c r="F3971" s="15"/>
      <c r="G3971" s="15"/>
      <c r="I3971" s="65"/>
      <c r="J3971" s="13"/>
      <c r="K3971" s="13"/>
      <c r="L3971" s="15"/>
      <c r="M3971" s="14"/>
      <c r="N3971" s="15"/>
      <c r="O3971" s="10"/>
      <c r="P3971" s="10"/>
    </row>
    <row r="3972">
      <c r="A3972" s="10"/>
      <c r="B3972" s="10"/>
      <c r="C3972" s="9" t="str">
        <f t="shared" si="249"/>
        <v/>
      </c>
      <c r="D3972" s="15"/>
      <c r="E3972" s="15"/>
      <c r="F3972" s="15"/>
      <c r="G3972" s="15"/>
      <c r="I3972" s="65"/>
      <c r="J3972" s="13"/>
      <c r="K3972" s="13"/>
      <c r="L3972" s="15"/>
      <c r="M3972" s="14"/>
      <c r="N3972" s="15"/>
      <c r="O3972" s="10"/>
      <c r="P3972" s="10"/>
    </row>
    <row r="3973">
      <c r="A3973" s="10"/>
      <c r="B3973" s="10"/>
      <c r="C3973" s="9" t="str">
        <f t="shared" si="249"/>
        <v/>
      </c>
      <c r="D3973" s="15"/>
      <c r="E3973" s="15"/>
      <c r="F3973" s="15"/>
      <c r="G3973" s="15"/>
      <c r="I3973" s="65"/>
      <c r="J3973" s="13"/>
      <c r="K3973" s="13"/>
      <c r="L3973" s="15"/>
      <c r="M3973" s="14"/>
      <c r="N3973" s="15"/>
      <c r="O3973" s="10"/>
      <c r="P3973" s="10"/>
    </row>
    <row r="3974">
      <c r="A3974" s="10"/>
      <c r="B3974" s="10"/>
      <c r="C3974" s="9" t="str">
        <f t="shared" si="249"/>
        <v/>
      </c>
      <c r="D3974" s="15"/>
      <c r="E3974" s="15"/>
      <c r="F3974" s="15"/>
      <c r="G3974" s="15"/>
      <c r="I3974" s="65"/>
      <c r="J3974" s="13"/>
      <c r="K3974" s="13"/>
      <c r="L3974" s="15"/>
      <c r="M3974" s="14"/>
      <c r="N3974" s="15"/>
      <c r="O3974" s="10"/>
      <c r="P3974" s="10"/>
    </row>
    <row r="3975">
      <c r="A3975" s="10"/>
      <c r="B3975" s="10"/>
      <c r="C3975" s="9" t="str">
        <f t="shared" si="249"/>
        <v/>
      </c>
      <c r="D3975" s="15"/>
      <c r="E3975" s="15"/>
      <c r="F3975" s="15"/>
      <c r="G3975" s="15"/>
      <c r="I3975" s="65"/>
      <c r="J3975" s="13"/>
      <c r="K3975" s="13"/>
      <c r="L3975" s="15"/>
      <c r="M3975" s="14"/>
      <c r="N3975" s="15"/>
      <c r="O3975" s="10"/>
      <c r="P3975" s="10"/>
    </row>
    <row r="3976">
      <c r="A3976" s="10"/>
      <c r="B3976" s="10"/>
      <c r="C3976" s="9" t="str">
        <f t="shared" si="249"/>
        <v/>
      </c>
      <c r="D3976" s="15"/>
      <c r="E3976" s="15"/>
      <c r="F3976" s="15"/>
      <c r="G3976" s="15"/>
      <c r="I3976" s="65"/>
      <c r="J3976" s="13"/>
      <c r="K3976" s="13"/>
      <c r="L3976" s="15"/>
      <c r="M3976" s="14"/>
      <c r="N3976" s="15"/>
      <c r="O3976" s="10"/>
      <c r="P3976" s="10"/>
    </row>
    <row r="3977">
      <c r="A3977" s="10"/>
      <c r="B3977" s="10"/>
      <c r="C3977" s="9" t="str">
        <f t="shared" si="249"/>
        <v/>
      </c>
      <c r="D3977" s="15"/>
      <c r="E3977" s="15"/>
      <c r="F3977" s="15"/>
      <c r="G3977" s="15"/>
      <c r="I3977" s="65"/>
      <c r="J3977" s="13"/>
      <c r="K3977" s="13"/>
      <c r="L3977" s="15"/>
      <c r="M3977" s="14"/>
      <c r="N3977" s="15"/>
      <c r="O3977" s="10"/>
      <c r="P3977" s="10"/>
    </row>
    <row r="3978">
      <c r="A3978" s="10"/>
      <c r="B3978" s="10"/>
      <c r="C3978" s="9" t="str">
        <f t="shared" si="249"/>
        <v/>
      </c>
      <c r="D3978" s="15"/>
      <c r="E3978" s="15"/>
      <c r="F3978" s="15"/>
      <c r="G3978" s="15"/>
      <c r="I3978" s="65"/>
      <c r="J3978" s="13"/>
      <c r="K3978" s="13"/>
      <c r="L3978" s="15"/>
      <c r="M3978" s="14"/>
      <c r="N3978" s="15"/>
      <c r="O3978" s="10"/>
      <c r="P3978" s="10"/>
    </row>
    <row r="3979">
      <c r="A3979" s="10"/>
      <c r="B3979" s="10"/>
      <c r="C3979" s="9" t="str">
        <f t="shared" si="249"/>
        <v/>
      </c>
      <c r="D3979" s="15"/>
      <c r="E3979" s="15"/>
      <c r="F3979" s="15"/>
      <c r="G3979" s="15"/>
      <c r="I3979" s="65"/>
      <c r="J3979" s="13"/>
      <c r="K3979" s="13"/>
      <c r="L3979" s="15"/>
      <c r="M3979" s="14"/>
      <c r="N3979" s="15"/>
      <c r="O3979" s="10"/>
      <c r="P3979" s="10"/>
    </row>
    <row r="3980">
      <c r="A3980" s="10"/>
      <c r="B3980" s="10"/>
      <c r="C3980" s="9" t="str">
        <f t="shared" si="249"/>
        <v/>
      </c>
      <c r="D3980" s="15"/>
      <c r="E3980" s="15"/>
      <c r="F3980" s="15"/>
      <c r="G3980" s="15"/>
      <c r="I3980" s="65"/>
      <c r="J3980" s="13"/>
      <c r="K3980" s="13"/>
      <c r="L3980" s="15"/>
      <c r="M3980" s="14"/>
      <c r="N3980" s="15"/>
      <c r="O3980" s="10"/>
      <c r="P3980" s="10"/>
    </row>
    <row r="3981">
      <c r="A3981" s="10"/>
      <c r="B3981" s="10"/>
      <c r="C3981" s="9" t="str">
        <f t="shared" si="249"/>
        <v/>
      </c>
      <c r="D3981" s="15"/>
      <c r="E3981" s="15"/>
      <c r="F3981" s="15"/>
      <c r="G3981" s="15"/>
      <c r="I3981" s="65"/>
      <c r="J3981" s="13"/>
      <c r="K3981" s="13"/>
      <c r="L3981" s="15"/>
      <c r="M3981" s="14"/>
      <c r="N3981" s="15"/>
      <c r="O3981" s="10"/>
      <c r="P3981" s="10"/>
    </row>
    <row r="3982">
      <c r="A3982" s="10"/>
      <c r="B3982" s="10"/>
      <c r="C3982" s="9" t="str">
        <f t="shared" si="249"/>
        <v/>
      </c>
      <c r="D3982" s="15"/>
      <c r="E3982" s="15"/>
      <c r="F3982" s="15"/>
      <c r="G3982" s="15"/>
      <c r="I3982" s="65"/>
      <c r="J3982" s="13"/>
      <c r="K3982" s="13"/>
      <c r="L3982" s="15"/>
      <c r="M3982" s="14"/>
      <c r="N3982" s="15"/>
      <c r="O3982" s="10"/>
      <c r="P3982" s="10"/>
    </row>
    <row r="3983">
      <c r="A3983" s="10"/>
      <c r="B3983" s="10"/>
      <c r="C3983" s="9" t="str">
        <f t="shared" si="249"/>
        <v/>
      </c>
      <c r="D3983" s="15"/>
      <c r="E3983" s="15"/>
      <c r="F3983" s="15"/>
      <c r="G3983" s="15"/>
      <c r="I3983" s="65"/>
      <c r="J3983" s="13"/>
      <c r="K3983" s="13"/>
      <c r="L3983" s="15"/>
      <c r="M3983" s="14"/>
      <c r="N3983" s="15"/>
      <c r="O3983" s="10"/>
      <c r="P3983" s="10"/>
    </row>
    <row r="3984">
      <c r="A3984" s="10"/>
      <c r="B3984" s="10"/>
      <c r="C3984" s="9" t="str">
        <f t="shared" si="249"/>
        <v/>
      </c>
      <c r="D3984" s="15"/>
      <c r="E3984" s="15"/>
      <c r="F3984" s="15"/>
      <c r="G3984" s="15"/>
      <c r="I3984" s="65"/>
      <c r="J3984" s="13"/>
      <c r="K3984" s="13"/>
      <c r="L3984" s="15"/>
      <c r="M3984" s="14"/>
      <c r="N3984" s="15"/>
      <c r="O3984" s="10"/>
      <c r="P3984" s="10"/>
    </row>
    <row r="3985">
      <c r="A3985" s="10"/>
      <c r="B3985" s="10"/>
      <c r="C3985" s="9" t="str">
        <f t="shared" si="249"/>
        <v/>
      </c>
      <c r="D3985" s="15"/>
      <c r="E3985" s="15"/>
      <c r="F3985" s="15"/>
      <c r="G3985" s="15"/>
      <c r="I3985" s="65"/>
      <c r="J3985" s="13"/>
      <c r="K3985" s="13"/>
      <c r="L3985" s="15"/>
      <c r="M3985" s="14"/>
      <c r="N3985" s="15"/>
      <c r="O3985" s="10"/>
      <c r="P3985" s="10"/>
    </row>
    <row r="3986">
      <c r="A3986" s="10"/>
      <c r="B3986" s="10"/>
      <c r="C3986" s="9" t="str">
        <f t="shared" si="249"/>
        <v/>
      </c>
      <c r="D3986" s="15"/>
      <c r="E3986" s="15"/>
      <c r="F3986" s="15"/>
      <c r="G3986" s="15"/>
      <c r="I3986" s="65"/>
      <c r="J3986" s="13"/>
      <c r="K3986" s="13"/>
      <c r="L3986" s="15"/>
      <c r="M3986" s="14"/>
      <c r="N3986" s="15"/>
      <c r="O3986" s="10"/>
      <c r="P3986" s="10"/>
    </row>
    <row r="3987">
      <c r="A3987" s="10"/>
      <c r="B3987" s="10"/>
      <c r="C3987" s="9" t="str">
        <f t="shared" si="249"/>
        <v/>
      </c>
      <c r="D3987" s="15"/>
      <c r="E3987" s="15"/>
      <c r="F3987" s="15"/>
      <c r="G3987" s="15"/>
      <c r="I3987" s="65"/>
      <c r="J3987" s="13"/>
      <c r="K3987" s="13"/>
      <c r="L3987" s="15"/>
      <c r="M3987" s="14"/>
      <c r="N3987" s="15"/>
      <c r="O3987" s="10"/>
      <c r="P3987" s="10"/>
    </row>
    <row r="3988">
      <c r="A3988" s="10"/>
      <c r="B3988" s="10"/>
      <c r="C3988" s="9" t="str">
        <f t="shared" si="249"/>
        <v/>
      </c>
      <c r="D3988" s="15"/>
      <c r="E3988" s="15"/>
      <c r="F3988" s="15"/>
      <c r="G3988" s="15"/>
      <c r="I3988" s="65"/>
      <c r="J3988" s="13"/>
      <c r="K3988" s="13"/>
      <c r="L3988" s="15"/>
      <c r="M3988" s="14"/>
      <c r="N3988" s="15"/>
      <c r="O3988" s="10"/>
      <c r="P3988" s="10"/>
    </row>
    <row r="3989">
      <c r="A3989" s="10"/>
      <c r="B3989" s="10"/>
      <c r="C3989" s="9" t="str">
        <f t="shared" si="249"/>
        <v/>
      </c>
      <c r="D3989" s="15"/>
      <c r="E3989" s="15"/>
      <c r="F3989" s="15"/>
      <c r="G3989" s="15"/>
      <c r="I3989" s="65"/>
      <c r="J3989" s="13"/>
      <c r="K3989" s="13"/>
      <c r="L3989" s="15"/>
      <c r="M3989" s="14"/>
      <c r="N3989" s="15"/>
      <c r="O3989" s="10"/>
      <c r="P3989" s="10"/>
    </row>
    <row r="3990">
      <c r="A3990" s="10"/>
      <c r="B3990" s="10"/>
      <c r="C3990" s="9" t="str">
        <f t="shared" si="249"/>
        <v/>
      </c>
      <c r="D3990" s="15"/>
      <c r="E3990" s="15"/>
      <c r="F3990" s="15"/>
      <c r="G3990" s="15"/>
      <c r="I3990" s="65"/>
      <c r="J3990" s="13"/>
      <c r="K3990" s="13"/>
      <c r="L3990" s="15"/>
      <c r="M3990" s="14"/>
      <c r="N3990" s="15"/>
      <c r="O3990" s="10"/>
      <c r="P3990" s="10"/>
    </row>
    <row r="3991">
      <c r="A3991" s="10"/>
      <c r="B3991" s="10"/>
      <c r="C3991" s="9" t="str">
        <f t="shared" si="249"/>
        <v/>
      </c>
      <c r="D3991" s="15"/>
      <c r="E3991" s="15"/>
      <c r="F3991" s="15"/>
      <c r="G3991" s="15"/>
      <c r="I3991" s="65"/>
      <c r="J3991" s="13"/>
      <c r="K3991" s="13"/>
      <c r="L3991" s="15"/>
      <c r="M3991" s="14"/>
      <c r="N3991" s="15"/>
      <c r="O3991" s="10"/>
      <c r="P3991" s="10"/>
    </row>
    <row r="3992">
      <c r="A3992" s="10"/>
      <c r="B3992" s="10"/>
      <c r="C3992" s="9" t="str">
        <f t="shared" si="249"/>
        <v/>
      </c>
      <c r="D3992" s="15"/>
      <c r="E3992" s="15"/>
      <c r="F3992" s="15"/>
      <c r="G3992" s="15"/>
      <c r="I3992" s="65"/>
      <c r="J3992" s="13"/>
      <c r="K3992" s="13"/>
      <c r="L3992" s="15"/>
      <c r="M3992" s="14"/>
      <c r="N3992" s="15"/>
      <c r="O3992" s="10"/>
      <c r="P3992" s="10"/>
    </row>
    <row r="3993">
      <c r="A3993" s="10"/>
      <c r="B3993" s="10"/>
      <c r="C3993" s="9" t="str">
        <f t="shared" si="249"/>
        <v/>
      </c>
      <c r="D3993" s="15"/>
      <c r="E3993" s="15"/>
      <c r="F3993" s="15"/>
      <c r="G3993" s="15"/>
      <c r="I3993" s="65"/>
      <c r="J3993" s="13"/>
      <c r="K3993" s="13"/>
      <c r="L3993" s="15"/>
      <c r="M3993" s="14"/>
      <c r="N3993" s="15"/>
      <c r="O3993" s="10"/>
      <c r="P3993" s="10"/>
    </row>
    <row r="3994">
      <c r="A3994" s="10"/>
      <c r="B3994" s="10"/>
      <c r="C3994" s="9" t="str">
        <f t="shared" si="249"/>
        <v/>
      </c>
      <c r="D3994" s="15"/>
      <c r="E3994" s="15"/>
      <c r="F3994" s="15"/>
      <c r="G3994" s="15"/>
      <c r="I3994" s="65"/>
      <c r="J3994" s="13"/>
      <c r="K3994" s="13"/>
      <c r="L3994" s="15"/>
      <c r="M3994" s="14"/>
      <c r="N3994" s="15"/>
      <c r="O3994" s="10"/>
      <c r="P3994" s="10"/>
    </row>
    <row r="3995">
      <c r="A3995" s="10"/>
      <c r="B3995" s="10"/>
      <c r="C3995" s="9" t="str">
        <f t="shared" si="249"/>
        <v/>
      </c>
      <c r="D3995" s="15"/>
      <c r="E3995" s="15"/>
      <c r="F3995" s="15"/>
      <c r="G3995" s="15"/>
      <c r="I3995" s="65"/>
      <c r="J3995" s="13"/>
      <c r="K3995" s="13"/>
      <c r="L3995" s="15"/>
      <c r="M3995" s="14"/>
      <c r="N3995" s="15"/>
      <c r="O3995" s="10"/>
      <c r="P3995" s="10"/>
    </row>
  </sheetData>
  <autoFilter ref="$A$1:$X$3371">
    <sortState ref="A1:X3371">
      <sortCondition ref="A1:A3371"/>
    </sortState>
  </autoFilter>
  <customSheetViews>
    <customSheetView guid="{1C7B2971-E0BF-476B-A1D1-2F3717512215}" filter="1" showAutoFilter="1">
      <autoFilter ref="$A$1:$R$3995"/>
    </customSheetView>
    <customSheetView guid="{1C7B2971-E0BF-476B-A1D1-2F3717512215}" filter="1" showAutoFilter="1">
      <autoFilter ref="$A$1:$Z$3995"/>
    </customSheetView>
  </customSheetViews>
  <dataValidations>
    <dataValidation type="list" allowBlank="1" showErrorMessage="1" sqref="D2:D645 D647:D2517 D2519:D3995">
      <formula1>'CADASTROS DE FORNECEDORES'!$A$2:$A$997</formula1>
    </dataValidation>
    <dataValidation type="list" allowBlank="1" showErrorMessage="1" sqref="L2:L3995">
      <formula1>"Mensal,Trimestral,Dia,Parcelado,Única"</formula1>
    </dataValidation>
    <dataValidation type="list" allowBlank="1" showErrorMessage="1" sqref="G2:G3995">
      <formula1>'Contas dos banco'!$C$2:$C$999</formula1>
    </dataValidation>
    <dataValidation type="list" allowBlank="1" showErrorMessage="1" sqref="F2:F3995">
      <formula1>"Dinheiro,Transferência bancária,Boleto,Cartão de Crédito VISA,Cartão de débito VISA,Pix,Pagamento automático,Cheque,Cartão de Crédito ELO,Cartão de Crédito MASTERCARD,Cartão de débito MASTERCAD,Cartão de débito OUTROS,Cartão de Crédito OUTROS"</formula1>
    </dataValidation>
    <dataValidation type="list" allowBlank="1" showErrorMessage="1" sqref="N2:N3995">
      <formula1>'Classificação'!$A$2:$A$1003</formula1>
    </dataValidation>
    <dataValidation type="list" allowBlank="1" showErrorMessage="1" sqref="E2:E3995">
      <formula1>"Aberto,Agendado,Pago"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32.38"/>
    <col customWidth="1" min="3" max="3" width="34.25"/>
    <col customWidth="1" min="4" max="4" width="30.63"/>
    <col customWidth="1" min="6" max="6" width="19.75"/>
    <col customWidth="1" min="7" max="7" width="27.88"/>
    <col customWidth="1" min="8" max="11" width="20.0"/>
  </cols>
  <sheetData>
    <row r="1" ht="24.0" customHeight="1">
      <c r="A1" s="66" t="s">
        <v>1503</v>
      </c>
      <c r="B1" s="66" t="s">
        <v>3</v>
      </c>
      <c r="C1" s="29" t="s">
        <v>6</v>
      </c>
      <c r="D1" s="28" t="s">
        <v>7</v>
      </c>
      <c r="E1" s="67" t="s">
        <v>1504</v>
      </c>
      <c r="F1" s="30" t="s">
        <v>1505</v>
      </c>
      <c r="G1" s="30" t="s">
        <v>1506</v>
      </c>
      <c r="H1" s="68" t="s">
        <v>1507</v>
      </c>
      <c r="I1" s="68" t="s">
        <v>1508</v>
      </c>
      <c r="J1" s="68" t="s">
        <v>1509</v>
      </c>
      <c r="K1" s="68" t="s">
        <v>1510</v>
      </c>
    </row>
    <row r="2" hidden="1">
      <c r="A2" s="9">
        <v>45505.0</v>
      </c>
      <c r="B2" s="11" t="s">
        <v>1511</v>
      </c>
      <c r="C2" s="11" t="s">
        <v>27</v>
      </c>
      <c r="D2" s="11" t="s">
        <v>1512</v>
      </c>
      <c r="E2" s="69">
        <v>4377.26</v>
      </c>
      <c r="F2" s="11" t="s">
        <v>1513</v>
      </c>
      <c r="G2" s="9">
        <v>45505.0</v>
      </c>
      <c r="H2" s="70">
        <f t="shared" ref="H2:H1999" si="1">if(A2="","", iferror(DAY(A2),""))</f>
        <v>1</v>
      </c>
      <c r="I2" s="70">
        <f t="shared" ref="I2:I1999" si="2">if(A2="","", IFERROR(MONTH(A2),""))</f>
        <v>8</v>
      </c>
      <c r="J2" s="70">
        <f t="shared" ref="J2:J1999" si="3">if(A2="","", IFERROR(year(A2),""))</f>
        <v>2024</v>
      </c>
      <c r="K2" s="70" t="str">
        <f t="shared" ref="K2:K1999" si="4">TEXT(A2,"mm/yyyy")</f>
        <v>08/2024</v>
      </c>
    </row>
    <row r="3" hidden="1">
      <c r="A3" s="9">
        <v>45505.0</v>
      </c>
      <c r="B3" s="11" t="s">
        <v>1511</v>
      </c>
      <c r="C3" s="11" t="s">
        <v>27</v>
      </c>
      <c r="D3" s="11" t="s">
        <v>1512</v>
      </c>
      <c r="E3" s="69">
        <v>1629.46</v>
      </c>
      <c r="F3" s="11" t="s">
        <v>1513</v>
      </c>
      <c r="G3" s="9">
        <v>45505.0</v>
      </c>
      <c r="H3" s="70">
        <f t="shared" si="1"/>
        <v>1</v>
      </c>
      <c r="I3" s="70">
        <f t="shared" si="2"/>
        <v>8</v>
      </c>
      <c r="J3" s="70">
        <f t="shared" si="3"/>
        <v>2024</v>
      </c>
      <c r="K3" s="70" t="str">
        <f t="shared" si="4"/>
        <v>08/2024</v>
      </c>
    </row>
    <row r="4" hidden="1">
      <c r="A4" s="9">
        <v>45505.0</v>
      </c>
      <c r="B4" s="11" t="s">
        <v>1514</v>
      </c>
      <c r="C4" s="11" t="s">
        <v>37</v>
      </c>
      <c r="D4" s="11" t="s">
        <v>1515</v>
      </c>
      <c r="E4" s="69">
        <v>886.86</v>
      </c>
      <c r="F4" s="11" t="s">
        <v>1516</v>
      </c>
      <c r="G4" s="9">
        <v>45505.0</v>
      </c>
      <c r="H4" s="70">
        <f t="shared" si="1"/>
        <v>1</v>
      </c>
      <c r="I4" s="70">
        <f t="shared" si="2"/>
        <v>8</v>
      </c>
      <c r="J4" s="70">
        <f t="shared" si="3"/>
        <v>2024</v>
      </c>
      <c r="K4" s="70" t="str">
        <f t="shared" si="4"/>
        <v>08/2024</v>
      </c>
    </row>
    <row r="5" hidden="1">
      <c r="A5" s="9">
        <v>45505.0</v>
      </c>
      <c r="B5" s="11" t="s">
        <v>1517</v>
      </c>
      <c r="C5" s="11" t="s">
        <v>27</v>
      </c>
      <c r="D5" s="11" t="s">
        <v>1518</v>
      </c>
      <c r="E5" s="69">
        <v>122.98</v>
      </c>
      <c r="F5" s="11" t="s">
        <v>1513</v>
      </c>
      <c r="G5" s="9">
        <v>45505.0</v>
      </c>
      <c r="H5" s="70">
        <f t="shared" si="1"/>
        <v>1</v>
      </c>
      <c r="I5" s="70">
        <f t="shared" si="2"/>
        <v>8</v>
      </c>
      <c r="J5" s="70">
        <f t="shared" si="3"/>
        <v>2024</v>
      </c>
      <c r="K5" s="70" t="str">
        <f t="shared" si="4"/>
        <v>08/2024</v>
      </c>
    </row>
    <row r="6" hidden="1">
      <c r="A6" s="9">
        <v>45505.0</v>
      </c>
      <c r="B6" s="11" t="s">
        <v>1517</v>
      </c>
      <c r="C6" s="11" t="s">
        <v>27</v>
      </c>
      <c r="D6" s="11" t="s">
        <v>1518</v>
      </c>
      <c r="E6" s="69">
        <v>588.82</v>
      </c>
      <c r="F6" s="11" t="s">
        <v>1513</v>
      </c>
      <c r="G6" s="9">
        <v>45505.0</v>
      </c>
      <c r="H6" s="70">
        <f t="shared" si="1"/>
        <v>1</v>
      </c>
      <c r="I6" s="70">
        <f t="shared" si="2"/>
        <v>8</v>
      </c>
      <c r="J6" s="70">
        <f t="shared" si="3"/>
        <v>2024</v>
      </c>
      <c r="K6" s="70" t="str">
        <f t="shared" si="4"/>
        <v>08/2024</v>
      </c>
    </row>
    <row r="7" hidden="1">
      <c r="A7" s="9">
        <v>45506.0</v>
      </c>
      <c r="B7" s="11" t="s">
        <v>1511</v>
      </c>
      <c r="C7" s="11" t="s">
        <v>27</v>
      </c>
      <c r="D7" s="11" t="s">
        <v>1512</v>
      </c>
      <c r="E7" s="69">
        <v>2499.56</v>
      </c>
      <c r="F7" s="11" t="s">
        <v>1513</v>
      </c>
      <c r="G7" s="9">
        <v>45506.0</v>
      </c>
      <c r="H7" s="70">
        <f t="shared" si="1"/>
        <v>2</v>
      </c>
      <c r="I7" s="70">
        <f t="shared" si="2"/>
        <v>8</v>
      </c>
      <c r="J7" s="70">
        <f t="shared" si="3"/>
        <v>2024</v>
      </c>
      <c r="K7" s="70" t="str">
        <f t="shared" si="4"/>
        <v>08/2024</v>
      </c>
    </row>
    <row r="8" hidden="1">
      <c r="A8" s="9">
        <v>45506.0</v>
      </c>
      <c r="B8" s="11" t="s">
        <v>1514</v>
      </c>
      <c r="C8" s="11" t="s">
        <v>37</v>
      </c>
      <c r="D8" s="11" t="s">
        <v>1515</v>
      </c>
      <c r="E8" s="69">
        <v>179.63</v>
      </c>
      <c r="F8" s="11" t="s">
        <v>1516</v>
      </c>
      <c r="G8" s="9">
        <v>45506.0</v>
      </c>
      <c r="H8" s="70">
        <f t="shared" si="1"/>
        <v>2</v>
      </c>
      <c r="I8" s="70">
        <f t="shared" si="2"/>
        <v>8</v>
      </c>
      <c r="J8" s="70">
        <f t="shared" si="3"/>
        <v>2024</v>
      </c>
      <c r="K8" s="70" t="str">
        <f t="shared" si="4"/>
        <v>08/2024</v>
      </c>
    </row>
    <row r="9" hidden="1">
      <c r="A9" s="9">
        <v>45507.0</v>
      </c>
      <c r="B9" s="11" t="s">
        <v>1511</v>
      </c>
      <c r="C9" s="11" t="s">
        <v>27</v>
      </c>
      <c r="D9" s="11" t="s">
        <v>1512</v>
      </c>
      <c r="E9" s="69">
        <v>3247.92</v>
      </c>
      <c r="F9" s="11" t="s">
        <v>1513</v>
      </c>
      <c r="G9" s="9">
        <v>45507.0</v>
      </c>
      <c r="H9" s="70">
        <f t="shared" si="1"/>
        <v>3</v>
      </c>
      <c r="I9" s="70">
        <f t="shared" si="2"/>
        <v>8</v>
      </c>
      <c r="J9" s="70">
        <f t="shared" si="3"/>
        <v>2024</v>
      </c>
      <c r="K9" s="70" t="str">
        <f t="shared" si="4"/>
        <v>08/2024</v>
      </c>
    </row>
    <row r="10" hidden="1">
      <c r="A10" s="9">
        <v>45507.0</v>
      </c>
      <c r="B10" s="11" t="s">
        <v>1514</v>
      </c>
      <c r="C10" s="11" t="s">
        <v>37</v>
      </c>
      <c r="D10" s="11" t="s">
        <v>1515</v>
      </c>
      <c r="E10" s="69">
        <v>1205.61</v>
      </c>
      <c r="F10" s="11" t="s">
        <v>1516</v>
      </c>
      <c r="G10" s="9">
        <v>45507.0</v>
      </c>
      <c r="H10" s="70">
        <f t="shared" si="1"/>
        <v>3</v>
      </c>
      <c r="I10" s="70">
        <f t="shared" si="2"/>
        <v>8</v>
      </c>
      <c r="J10" s="70">
        <f t="shared" si="3"/>
        <v>2024</v>
      </c>
      <c r="K10" s="70" t="str">
        <f t="shared" si="4"/>
        <v>08/2024</v>
      </c>
    </row>
    <row r="11" hidden="1">
      <c r="A11" s="9">
        <v>45508.0</v>
      </c>
      <c r="B11" s="11" t="s">
        <v>1511</v>
      </c>
      <c r="C11" s="11" t="s">
        <v>27</v>
      </c>
      <c r="D11" s="11" t="s">
        <v>1512</v>
      </c>
      <c r="E11" s="69">
        <v>1407.97</v>
      </c>
      <c r="F11" s="11" t="s">
        <v>1513</v>
      </c>
      <c r="G11" s="9">
        <v>45508.0</v>
      </c>
      <c r="H11" s="70">
        <f t="shared" si="1"/>
        <v>4</v>
      </c>
      <c r="I11" s="70">
        <f t="shared" si="2"/>
        <v>8</v>
      </c>
      <c r="J11" s="70">
        <f t="shared" si="3"/>
        <v>2024</v>
      </c>
      <c r="K11" s="70" t="str">
        <f t="shared" si="4"/>
        <v>08/2024</v>
      </c>
    </row>
    <row r="12" hidden="1">
      <c r="A12" s="9">
        <v>45508.0</v>
      </c>
      <c r="B12" s="11" t="s">
        <v>1514</v>
      </c>
      <c r="C12" s="11" t="s">
        <v>37</v>
      </c>
      <c r="D12" s="11" t="s">
        <v>1515</v>
      </c>
      <c r="E12" s="69">
        <v>908.67</v>
      </c>
      <c r="F12" s="11" t="s">
        <v>1516</v>
      </c>
      <c r="G12" s="9">
        <v>45508.0</v>
      </c>
      <c r="H12" s="70">
        <f t="shared" si="1"/>
        <v>4</v>
      </c>
      <c r="I12" s="70">
        <f t="shared" si="2"/>
        <v>8</v>
      </c>
      <c r="J12" s="70">
        <f t="shared" si="3"/>
        <v>2024</v>
      </c>
      <c r="K12" s="70" t="str">
        <f t="shared" si="4"/>
        <v>08/2024</v>
      </c>
    </row>
    <row r="13" hidden="1">
      <c r="A13" s="9">
        <v>45509.0</v>
      </c>
      <c r="B13" s="11" t="s">
        <v>1511</v>
      </c>
      <c r="C13" s="11" t="s">
        <v>27</v>
      </c>
      <c r="D13" s="11" t="s">
        <v>1512</v>
      </c>
      <c r="E13" s="69">
        <v>626.33</v>
      </c>
      <c r="F13" s="11" t="s">
        <v>1513</v>
      </c>
      <c r="G13" s="9">
        <v>45509.0</v>
      </c>
      <c r="H13" s="70">
        <f t="shared" si="1"/>
        <v>5</v>
      </c>
      <c r="I13" s="70">
        <f t="shared" si="2"/>
        <v>8</v>
      </c>
      <c r="J13" s="70">
        <f t="shared" si="3"/>
        <v>2024</v>
      </c>
      <c r="K13" s="70" t="str">
        <f t="shared" si="4"/>
        <v>08/2024</v>
      </c>
    </row>
    <row r="14" hidden="1">
      <c r="A14" s="9">
        <v>45509.0</v>
      </c>
      <c r="B14" s="11" t="s">
        <v>1514</v>
      </c>
      <c r="C14" s="11" t="s">
        <v>37</v>
      </c>
      <c r="D14" s="11" t="s">
        <v>1515</v>
      </c>
      <c r="E14" s="69">
        <v>2385.45</v>
      </c>
      <c r="F14" s="11" t="s">
        <v>1516</v>
      </c>
      <c r="G14" s="9">
        <v>45509.0</v>
      </c>
      <c r="H14" s="70">
        <f t="shared" si="1"/>
        <v>5</v>
      </c>
      <c r="I14" s="70">
        <f t="shared" si="2"/>
        <v>8</v>
      </c>
      <c r="J14" s="70">
        <f t="shared" si="3"/>
        <v>2024</v>
      </c>
      <c r="K14" s="70" t="str">
        <f t="shared" si="4"/>
        <v>08/2024</v>
      </c>
    </row>
    <row r="15" hidden="1">
      <c r="A15" s="9">
        <v>45510.0</v>
      </c>
      <c r="B15" s="11" t="s">
        <v>1519</v>
      </c>
      <c r="C15" s="11" t="s">
        <v>27</v>
      </c>
      <c r="D15" s="11" t="s">
        <v>1520</v>
      </c>
      <c r="E15" s="69">
        <v>31612.57</v>
      </c>
      <c r="F15" s="11" t="s">
        <v>1513</v>
      </c>
      <c r="G15" s="9">
        <v>45509.0</v>
      </c>
      <c r="H15" s="70">
        <f t="shared" si="1"/>
        <v>6</v>
      </c>
      <c r="I15" s="70">
        <f t="shared" si="2"/>
        <v>8</v>
      </c>
      <c r="J15" s="70">
        <f t="shared" si="3"/>
        <v>2024</v>
      </c>
      <c r="K15" s="70" t="str">
        <f t="shared" si="4"/>
        <v>08/2024</v>
      </c>
    </row>
    <row r="16" hidden="1">
      <c r="A16" s="9">
        <v>45510.0</v>
      </c>
      <c r="B16" s="11" t="s">
        <v>1519</v>
      </c>
      <c r="C16" s="11" t="s">
        <v>27</v>
      </c>
      <c r="D16" s="11" t="s">
        <v>1520</v>
      </c>
      <c r="E16" s="69">
        <v>5034.68</v>
      </c>
      <c r="F16" s="11" t="s">
        <v>1513</v>
      </c>
      <c r="G16" s="9">
        <v>45509.0</v>
      </c>
      <c r="H16" s="70">
        <f t="shared" si="1"/>
        <v>6</v>
      </c>
      <c r="I16" s="70">
        <f t="shared" si="2"/>
        <v>8</v>
      </c>
      <c r="J16" s="70">
        <f t="shared" si="3"/>
        <v>2024</v>
      </c>
      <c r="K16" s="70" t="str">
        <f t="shared" si="4"/>
        <v>08/2024</v>
      </c>
    </row>
    <row r="17" hidden="1">
      <c r="A17" s="9">
        <v>45510.0</v>
      </c>
      <c r="B17" s="11" t="s">
        <v>1511</v>
      </c>
      <c r="C17" s="11" t="s">
        <v>27</v>
      </c>
      <c r="D17" s="11" t="s">
        <v>1512</v>
      </c>
      <c r="E17" s="69">
        <v>1990.32</v>
      </c>
      <c r="F17" s="11" t="s">
        <v>1513</v>
      </c>
      <c r="G17" s="9">
        <v>45510.0</v>
      </c>
      <c r="H17" s="70">
        <f t="shared" si="1"/>
        <v>6</v>
      </c>
      <c r="I17" s="70">
        <f t="shared" si="2"/>
        <v>8</v>
      </c>
      <c r="J17" s="70">
        <f t="shared" si="3"/>
        <v>2024</v>
      </c>
      <c r="K17" s="70" t="str">
        <f t="shared" si="4"/>
        <v>08/2024</v>
      </c>
    </row>
    <row r="18" ht="15.0" hidden="1" customHeight="1">
      <c r="A18" s="9">
        <v>45510.0</v>
      </c>
      <c r="B18" s="11" t="s">
        <v>1514</v>
      </c>
      <c r="C18" s="11" t="s">
        <v>37</v>
      </c>
      <c r="D18" s="11" t="s">
        <v>1515</v>
      </c>
      <c r="E18" s="69">
        <v>1164.22</v>
      </c>
      <c r="F18" s="11" t="s">
        <v>1516</v>
      </c>
      <c r="G18" s="9">
        <v>45510.0</v>
      </c>
      <c r="H18" s="70">
        <f t="shared" si="1"/>
        <v>6</v>
      </c>
      <c r="I18" s="70">
        <f t="shared" si="2"/>
        <v>8</v>
      </c>
      <c r="J18" s="70">
        <f t="shared" si="3"/>
        <v>2024</v>
      </c>
      <c r="K18" s="70" t="str">
        <f t="shared" si="4"/>
        <v>08/2024</v>
      </c>
    </row>
    <row r="19" hidden="1">
      <c r="A19" s="9">
        <v>45511.0</v>
      </c>
      <c r="B19" s="11" t="s">
        <v>1511</v>
      </c>
      <c r="C19" s="11" t="s">
        <v>27</v>
      </c>
      <c r="D19" s="11" t="s">
        <v>1512</v>
      </c>
      <c r="E19" s="69">
        <v>1968.88</v>
      </c>
      <c r="F19" s="11" t="s">
        <v>1513</v>
      </c>
      <c r="G19" s="9">
        <v>45511.0</v>
      </c>
      <c r="H19" s="70">
        <f t="shared" si="1"/>
        <v>7</v>
      </c>
      <c r="I19" s="70">
        <f t="shared" si="2"/>
        <v>8</v>
      </c>
      <c r="J19" s="70">
        <f t="shared" si="3"/>
        <v>2024</v>
      </c>
      <c r="K19" s="70" t="str">
        <f t="shared" si="4"/>
        <v>08/2024</v>
      </c>
    </row>
    <row r="20" hidden="1">
      <c r="A20" s="9">
        <v>45511.0</v>
      </c>
      <c r="B20" s="11" t="s">
        <v>1514</v>
      </c>
      <c r="C20" s="11" t="s">
        <v>37</v>
      </c>
      <c r="D20" s="11" t="s">
        <v>1515</v>
      </c>
      <c r="E20" s="69">
        <v>1119.56</v>
      </c>
      <c r="F20" s="11" t="s">
        <v>1516</v>
      </c>
      <c r="G20" s="9">
        <v>45511.0</v>
      </c>
      <c r="H20" s="70">
        <f t="shared" si="1"/>
        <v>7</v>
      </c>
      <c r="I20" s="70">
        <f t="shared" si="2"/>
        <v>8</v>
      </c>
      <c r="J20" s="70">
        <f t="shared" si="3"/>
        <v>2024</v>
      </c>
      <c r="K20" s="70" t="str">
        <f t="shared" si="4"/>
        <v>08/2024</v>
      </c>
    </row>
    <row r="21" hidden="1">
      <c r="A21" s="9">
        <v>45511.0</v>
      </c>
      <c r="B21" s="11" t="s">
        <v>1521</v>
      </c>
      <c r="C21" s="11" t="s">
        <v>27</v>
      </c>
      <c r="D21" s="11" t="s">
        <v>1522</v>
      </c>
      <c r="E21" s="69">
        <v>121.16</v>
      </c>
      <c r="F21" s="11" t="s">
        <v>1513</v>
      </c>
      <c r="G21" s="9">
        <v>45511.0</v>
      </c>
      <c r="H21" s="70">
        <f t="shared" si="1"/>
        <v>7</v>
      </c>
      <c r="I21" s="70">
        <f t="shared" si="2"/>
        <v>8</v>
      </c>
      <c r="J21" s="70">
        <f t="shared" si="3"/>
        <v>2024</v>
      </c>
      <c r="K21" s="70" t="str">
        <f t="shared" si="4"/>
        <v>08/2024</v>
      </c>
    </row>
    <row r="22" hidden="1">
      <c r="A22" s="9">
        <v>45512.0</v>
      </c>
      <c r="B22" s="11" t="s">
        <v>1511</v>
      </c>
      <c r="C22" s="11" t="s">
        <v>27</v>
      </c>
      <c r="D22" s="11" t="s">
        <v>1512</v>
      </c>
      <c r="E22" s="69">
        <v>2594.3</v>
      </c>
      <c r="F22" s="11" t="s">
        <v>1513</v>
      </c>
      <c r="G22" s="9">
        <v>45512.0</v>
      </c>
      <c r="H22" s="70">
        <f t="shared" si="1"/>
        <v>8</v>
      </c>
      <c r="I22" s="70">
        <f t="shared" si="2"/>
        <v>8</v>
      </c>
      <c r="J22" s="70">
        <f t="shared" si="3"/>
        <v>2024</v>
      </c>
      <c r="K22" s="70" t="str">
        <f t="shared" si="4"/>
        <v>08/2024</v>
      </c>
    </row>
    <row r="23" hidden="1">
      <c r="A23" s="9">
        <v>45512.0</v>
      </c>
      <c r="B23" s="11" t="s">
        <v>1514</v>
      </c>
      <c r="C23" s="11" t="s">
        <v>37</v>
      </c>
      <c r="D23" s="11" t="s">
        <v>1515</v>
      </c>
      <c r="E23" s="69">
        <v>1177.71</v>
      </c>
      <c r="F23" s="11" t="s">
        <v>1516</v>
      </c>
      <c r="G23" s="9">
        <v>45512.0</v>
      </c>
      <c r="H23" s="70">
        <f t="shared" si="1"/>
        <v>8</v>
      </c>
      <c r="I23" s="70">
        <f t="shared" si="2"/>
        <v>8</v>
      </c>
      <c r="J23" s="70">
        <f t="shared" si="3"/>
        <v>2024</v>
      </c>
      <c r="K23" s="70" t="str">
        <f t="shared" si="4"/>
        <v>08/2024</v>
      </c>
    </row>
    <row r="24" hidden="1">
      <c r="A24" s="9">
        <v>45513.0</v>
      </c>
      <c r="B24" s="11" t="s">
        <v>1511</v>
      </c>
      <c r="C24" s="11" t="s">
        <v>27</v>
      </c>
      <c r="D24" s="11" t="s">
        <v>1512</v>
      </c>
      <c r="E24" s="69">
        <v>1963.96</v>
      </c>
      <c r="F24" s="11" t="s">
        <v>1513</v>
      </c>
      <c r="G24" s="9">
        <v>45513.0</v>
      </c>
      <c r="H24" s="70">
        <f t="shared" si="1"/>
        <v>9</v>
      </c>
      <c r="I24" s="70">
        <f t="shared" si="2"/>
        <v>8</v>
      </c>
      <c r="J24" s="70">
        <f t="shared" si="3"/>
        <v>2024</v>
      </c>
      <c r="K24" s="70" t="str">
        <f t="shared" si="4"/>
        <v>08/2024</v>
      </c>
    </row>
    <row r="25" hidden="1">
      <c r="A25" s="9">
        <v>45513.0</v>
      </c>
      <c r="B25" s="11" t="s">
        <v>1514</v>
      </c>
      <c r="C25" s="11" t="s">
        <v>37</v>
      </c>
      <c r="D25" s="11" t="s">
        <v>1515</v>
      </c>
      <c r="E25" s="69">
        <v>1523.4</v>
      </c>
      <c r="F25" s="11" t="s">
        <v>1516</v>
      </c>
      <c r="G25" s="9">
        <v>45513.0</v>
      </c>
      <c r="H25" s="70">
        <f t="shared" si="1"/>
        <v>9</v>
      </c>
      <c r="I25" s="70">
        <f t="shared" si="2"/>
        <v>8</v>
      </c>
      <c r="J25" s="70">
        <f t="shared" si="3"/>
        <v>2024</v>
      </c>
      <c r="K25" s="70" t="str">
        <f t="shared" si="4"/>
        <v>08/2024</v>
      </c>
    </row>
    <row r="26" hidden="1">
      <c r="A26" s="9">
        <v>45514.0</v>
      </c>
      <c r="B26" s="11" t="s">
        <v>1511</v>
      </c>
      <c r="C26" s="11" t="s">
        <v>27</v>
      </c>
      <c r="D26" s="11" t="s">
        <v>1512</v>
      </c>
      <c r="E26" s="69">
        <v>1731.53</v>
      </c>
      <c r="F26" s="11" t="s">
        <v>1513</v>
      </c>
      <c r="G26" s="9">
        <v>45514.0</v>
      </c>
      <c r="H26" s="70">
        <f t="shared" si="1"/>
        <v>10</v>
      </c>
      <c r="I26" s="70">
        <f t="shared" si="2"/>
        <v>8</v>
      </c>
      <c r="J26" s="70">
        <f t="shared" si="3"/>
        <v>2024</v>
      </c>
      <c r="K26" s="70" t="str">
        <f t="shared" si="4"/>
        <v>08/2024</v>
      </c>
    </row>
    <row r="27" hidden="1">
      <c r="A27" s="9">
        <v>45514.0</v>
      </c>
      <c r="B27" s="11" t="s">
        <v>1514</v>
      </c>
      <c r="C27" s="11" t="s">
        <v>37</v>
      </c>
      <c r="D27" s="11" t="s">
        <v>1515</v>
      </c>
      <c r="E27" s="69">
        <v>1221.05</v>
      </c>
      <c r="F27" s="11" t="s">
        <v>1516</v>
      </c>
      <c r="G27" s="9">
        <v>45527.0</v>
      </c>
      <c r="H27" s="70">
        <f t="shared" si="1"/>
        <v>10</v>
      </c>
      <c r="I27" s="70">
        <f t="shared" si="2"/>
        <v>8</v>
      </c>
      <c r="J27" s="70">
        <f t="shared" si="3"/>
        <v>2024</v>
      </c>
      <c r="K27" s="70" t="str">
        <f t="shared" si="4"/>
        <v>08/2024</v>
      </c>
    </row>
    <row r="28" hidden="1">
      <c r="A28" s="9">
        <v>45515.0</v>
      </c>
      <c r="B28" s="11" t="s">
        <v>1511</v>
      </c>
      <c r="C28" s="11" t="s">
        <v>27</v>
      </c>
      <c r="D28" s="11" t="s">
        <v>1512</v>
      </c>
      <c r="E28" s="69">
        <v>591.01</v>
      </c>
      <c r="F28" s="11" t="s">
        <v>1513</v>
      </c>
      <c r="G28" s="9">
        <v>45515.0</v>
      </c>
      <c r="H28" s="70">
        <f t="shared" si="1"/>
        <v>11</v>
      </c>
      <c r="I28" s="70">
        <f t="shared" si="2"/>
        <v>8</v>
      </c>
      <c r="J28" s="70">
        <f t="shared" si="3"/>
        <v>2024</v>
      </c>
      <c r="K28" s="70" t="str">
        <f t="shared" si="4"/>
        <v>08/2024</v>
      </c>
    </row>
    <row r="29" hidden="1">
      <c r="A29" s="9">
        <v>45515.0</v>
      </c>
      <c r="B29" s="11" t="s">
        <v>1514</v>
      </c>
      <c r="C29" s="11" t="s">
        <v>37</v>
      </c>
      <c r="D29" s="11" t="s">
        <v>1515</v>
      </c>
      <c r="E29" s="69">
        <v>1540.37</v>
      </c>
      <c r="F29" s="11" t="s">
        <v>1516</v>
      </c>
      <c r="G29" s="9">
        <v>45528.0</v>
      </c>
      <c r="H29" s="70">
        <f t="shared" si="1"/>
        <v>11</v>
      </c>
      <c r="I29" s="70">
        <f t="shared" si="2"/>
        <v>8</v>
      </c>
      <c r="J29" s="70">
        <f t="shared" si="3"/>
        <v>2024</v>
      </c>
      <c r="K29" s="70" t="str">
        <f t="shared" si="4"/>
        <v>08/2024</v>
      </c>
    </row>
    <row r="30" hidden="1">
      <c r="A30" s="9">
        <v>45516.0</v>
      </c>
      <c r="B30" s="11" t="s">
        <v>1523</v>
      </c>
      <c r="C30" s="11" t="s">
        <v>27</v>
      </c>
      <c r="D30" s="11" t="s">
        <v>1524</v>
      </c>
      <c r="E30" s="69">
        <v>31125.84</v>
      </c>
      <c r="F30" s="11" t="s">
        <v>1513</v>
      </c>
      <c r="G30" s="9">
        <v>45516.0</v>
      </c>
      <c r="H30" s="70">
        <f t="shared" si="1"/>
        <v>12</v>
      </c>
      <c r="I30" s="70">
        <f t="shared" si="2"/>
        <v>8</v>
      </c>
      <c r="J30" s="70">
        <f t="shared" si="3"/>
        <v>2024</v>
      </c>
      <c r="K30" s="70" t="str">
        <f t="shared" si="4"/>
        <v>08/2024</v>
      </c>
    </row>
    <row r="31" hidden="1">
      <c r="A31" s="9">
        <v>45516.0</v>
      </c>
      <c r="B31" s="11" t="s">
        <v>1511</v>
      </c>
      <c r="C31" s="11" t="s">
        <v>66</v>
      </c>
      <c r="D31" s="11" t="s">
        <v>1512</v>
      </c>
      <c r="E31" s="69">
        <v>855.03</v>
      </c>
      <c r="F31" s="11" t="s">
        <v>1516</v>
      </c>
      <c r="G31" s="9">
        <v>45516.0</v>
      </c>
      <c r="H31" s="70">
        <f t="shared" si="1"/>
        <v>12</v>
      </c>
      <c r="I31" s="70">
        <f t="shared" si="2"/>
        <v>8</v>
      </c>
      <c r="J31" s="70">
        <f t="shared" si="3"/>
        <v>2024</v>
      </c>
      <c r="K31" s="70" t="str">
        <f t="shared" si="4"/>
        <v>08/2024</v>
      </c>
    </row>
    <row r="32" hidden="1">
      <c r="A32" s="9">
        <v>45516.0</v>
      </c>
      <c r="B32" s="11" t="s">
        <v>1514</v>
      </c>
      <c r="C32" s="11" t="s">
        <v>37</v>
      </c>
      <c r="D32" s="11" t="s">
        <v>1515</v>
      </c>
      <c r="E32" s="69">
        <v>319.54</v>
      </c>
      <c r="F32" s="11" t="s">
        <v>1516</v>
      </c>
      <c r="G32" s="9">
        <v>45529.0</v>
      </c>
      <c r="H32" s="70">
        <f t="shared" si="1"/>
        <v>12</v>
      </c>
      <c r="I32" s="70">
        <f t="shared" si="2"/>
        <v>8</v>
      </c>
      <c r="J32" s="70">
        <f t="shared" si="3"/>
        <v>2024</v>
      </c>
      <c r="K32" s="70" t="str">
        <f t="shared" si="4"/>
        <v>08/2024</v>
      </c>
    </row>
    <row r="33" hidden="1">
      <c r="A33" s="9">
        <v>45516.0</v>
      </c>
      <c r="B33" s="11" t="s">
        <v>1511</v>
      </c>
      <c r="C33" s="11" t="s">
        <v>66</v>
      </c>
      <c r="D33" s="11" t="s">
        <v>1512</v>
      </c>
      <c r="E33" s="69">
        <v>157.37</v>
      </c>
      <c r="F33" s="11" t="s">
        <v>1516</v>
      </c>
      <c r="G33" s="9">
        <v>45516.0</v>
      </c>
      <c r="H33" s="70">
        <f t="shared" si="1"/>
        <v>12</v>
      </c>
      <c r="I33" s="70">
        <f t="shared" si="2"/>
        <v>8</v>
      </c>
      <c r="J33" s="70">
        <f t="shared" si="3"/>
        <v>2024</v>
      </c>
      <c r="K33" s="70" t="str">
        <f t="shared" si="4"/>
        <v>08/2024</v>
      </c>
    </row>
    <row r="34" hidden="1">
      <c r="A34" s="9">
        <v>45517.0</v>
      </c>
      <c r="B34" s="11" t="s">
        <v>1511</v>
      </c>
      <c r="C34" s="11" t="s">
        <v>27</v>
      </c>
      <c r="D34" s="11" t="s">
        <v>1512</v>
      </c>
      <c r="E34" s="69">
        <v>2080.36</v>
      </c>
      <c r="F34" s="11" t="s">
        <v>1513</v>
      </c>
      <c r="G34" s="9">
        <v>45517.0</v>
      </c>
      <c r="H34" s="70">
        <f t="shared" si="1"/>
        <v>13</v>
      </c>
      <c r="I34" s="70">
        <f t="shared" si="2"/>
        <v>8</v>
      </c>
      <c r="J34" s="70">
        <f t="shared" si="3"/>
        <v>2024</v>
      </c>
      <c r="K34" s="70" t="str">
        <f t="shared" si="4"/>
        <v>08/2024</v>
      </c>
    </row>
    <row r="35" hidden="1">
      <c r="A35" s="9">
        <v>45517.0</v>
      </c>
      <c r="B35" s="11" t="s">
        <v>1514</v>
      </c>
      <c r="C35" s="11" t="s">
        <v>37</v>
      </c>
      <c r="D35" s="11" t="s">
        <v>1515</v>
      </c>
      <c r="E35" s="69">
        <v>526.75</v>
      </c>
      <c r="F35" s="11" t="s">
        <v>1516</v>
      </c>
      <c r="G35" s="9">
        <v>45530.0</v>
      </c>
      <c r="H35" s="70">
        <f t="shared" si="1"/>
        <v>13</v>
      </c>
      <c r="I35" s="70">
        <f t="shared" si="2"/>
        <v>8</v>
      </c>
      <c r="J35" s="70">
        <f t="shared" si="3"/>
        <v>2024</v>
      </c>
      <c r="K35" s="70" t="str">
        <f t="shared" si="4"/>
        <v>08/2024</v>
      </c>
    </row>
    <row r="36" hidden="1">
      <c r="A36" s="9">
        <v>45518.0</v>
      </c>
      <c r="B36" s="11" t="s">
        <v>1511</v>
      </c>
      <c r="C36" s="11" t="s">
        <v>27</v>
      </c>
      <c r="D36" s="11" t="s">
        <v>1512</v>
      </c>
      <c r="E36" s="69">
        <v>2237.23</v>
      </c>
      <c r="F36" s="11" t="s">
        <v>1513</v>
      </c>
      <c r="G36" s="9">
        <v>45518.0</v>
      </c>
      <c r="H36" s="70">
        <f t="shared" si="1"/>
        <v>14</v>
      </c>
      <c r="I36" s="70">
        <f t="shared" si="2"/>
        <v>8</v>
      </c>
      <c r="J36" s="70">
        <f t="shared" si="3"/>
        <v>2024</v>
      </c>
      <c r="K36" s="70" t="str">
        <f t="shared" si="4"/>
        <v>08/2024</v>
      </c>
    </row>
    <row r="37" hidden="1">
      <c r="A37" s="9">
        <v>45518.0</v>
      </c>
      <c r="B37" s="11" t="s">
        <v>1514</v>
      </c>
      <c r="C37" s="11" t="s">
        <v>37</v>
      </c>
      <c r="D37" s="11" t="s">
        <v>1515</v>
      </c>
      <c r="E37" s="69">
        <v>1401.53</v>
      </c>
      <c r="F37" s="11" t="s">
        <v>1516</v>
      </c>
      <c r="G37" s="9">
        <v>45518.0</v>
      </c>
      <c r="H37" s="70">
        <f t="shared" si="1"/>
        <v>14</v>
      </c>
      <c r="I37" s="70">
        <f t="shared" si="2"/>
        <v>8</v>
      </c>
      <c r="J37" s="70">
        <f t="shared" si="3"/>
        <v>2024</v>
      </c>
      <c r="K37" s="70" t="str">
        <f t="shared" si="4"/>
        <v>08/2024</v>
      </c>
    </row>
    <row r="38" hidden="1">
      <c r="A38" s="9">
        <v>45518.0</v>
      </c>
      <c r="B38" s="11" t="s">
        <v>1521</v>
      </c>
      <c r="C38" s="11" t="s">
        <v>27</v>
      </c>
      <c r="D38" s="11" t="s">
        <v>1522</v>
      </c>
      <c r="E38" s="69">
        <v>734.48</v>
      </c>
      <c r="F38" s="11" t="s">
        <v>1513</v>
      </c>
      <c r="G38" s="9">
        <v>45518.0</v>
      </c>
      <c r="H38" s="70">
        <f t="shared" si="1"/>
        <v>14</v>
      </c>
      <c r="I38" s="70">
        <f t="shared" si="2"/>
        <v>8</v>
      </c>
      <c r="J38" s="70">
        <f t="shared" si="3"/>
        <v>2024</v>
      </c>
      <c r="K38" s="70" t="str">
        <f t="shared" si="4"/>
        <v>08/2024</v>
      </c>
    </row>
    <row r="39" hidden="1">
      <c r="A39" s="9">
        <v>45519.0</v>
      </c>
      <c r="B39" s="11" t="s">
        <v>1517</v>
      </c>
      <c r="C39" s="11" t="s">
        <v>27</v>
      </c>
      <c r="D39" s="11" t="s">
        <v>1518</v>
      </c>
      <c r="E39" s="69">
        <v>132.9</v>
      </c>
      <c r="F39" s="11" t="s">
        <v>1513</v>
      </c>
      <c r="G39" s="9">
        <v>45519.0</v>
      </c>
      <c r="H39" s="70">
        <f t="shared" si="1"/>
        <v>15</v>
      </c>
      <c r="I39" s="70">
        <f t="shared" si="2"/>
        <v>8</v>
      </c>
      <c r="J39" s="70">
        <f t="shared" si="3"/>
        <v>2024</v>
      </c>
      <c r="K39" s="70" t="str">
        <f t="shared" si="4"/>
        <v>08/2024</v>
      </c>
    </row>
    <row r="40" hidden="1">
      <c r="A40" s="9">
        <v>45519.0</v>
      </c>
      <c r="B40" s="11" t="s">
        <v>1511</v>
      </c>
      <c r="C40" s="11" t="s">
        <v>27</v>
      </c>
      <c r="D40" s="11" t="s">
        <v>1512</v>
      </c>
      <c r="E40" s="69">
        <v>3758.95</v>
      </c>
      <c r="F40" s="11" t="s">
        <v>1513</v>
      </c>
      <c r="G40" s="9">
        <v>45519.0</v>
      </c>
      <c r="H40" s="70">
        <f t="shared" si="1"/>
        <v>15</v>
      </c>
      <c r="I40" s="70">
        <f t="shared" si="2"/>
        <v>8</v>
      </c>
      <c r="J40" s="70">
        <f t="shared" si="3"/>
        <v>2024</v>
      </c>
      <c r="K40" s="70" t="str">
        <f t="shared" si="4"/>
        <v>08/2024</v>
      </c>
    </row>
    <row r="41" hidden="1">
      <c r="A41" s="9">
        <v>45519.0</v>
      </c>
      <c r="B41" s="11" t="s">
        <v>1514</v>
      </c>
      <c r="C41" s="11" t="s">
        <v>37</v>
      </c>
      <c r="D41" s="11" t="s">
        <v>1515</v>
      </c>
      <c r="E41" s="69">
        <v>1222.81</v>
      </c>
      <c r="F41" s="11" t="s">
        <v>1516</v>
      </c>
      <c r="G41" s="9">
        <v>45519.0</v>
      </c>
      <c r="H41" s="70">
        <f t="shared" si="1"/>
        <v>15</v>
      </c>
      <c r="I41" s="70">
        <f t="shared" si="2"/>
        <v>8</v>
      </c>
      <c r="J41" s="70">
        <f t="shared" si="3"/>
        <v>2024</v>
      </c>
      <c r="K41" s="70" t="str">
        <f t="shared" si="4"/>
        <v>08/2024</v>
      </c>
    </row>
    <row r="42" hidden="1">
      <c r="A42" s="9">
        <v>45520.0</v>
      </c>
      <c r="B42" s="11" t="s">
        <v>1511</v>
      </c>
      <c r="C42" s="11" t="s">
        <v>27</v>
      </c>
      <c r="D42" s="11" t="s">
        <v>1512</v>
      </c>
      <c r="E42" s="69">
        <v>2250.23</v>
      </c>
      <c r="F42" s="11" t="s">
        <v>1513</v>
      </c>
      <c r="G42" s="9">
        <v>45520.0</v>
      </c>
      <c r="H42" s="70">
        <f t="shared" si="1"/>
        <v>16</v>
      </c>
      <c r="I42" s="70">
        <f t="shared" si="2"/>
        <v>8</v>
      </c>
      <c r="J42" s="70">
        <f t="shared" si="3"/>
        <v>2024</v>
      </c>
      <c r="K42" s="70" t="str">
        <f t="shared" si="4"/>
        <v>08/2024</v>
      </c>
    </row>
    <row r="43" hidden="1">
      <c r="A43" s="9">
        <v>45520.0</v>
      </c>
      <c r="B43" s="11" t="s">
        <v>1514</v>
      </c>
      <c r="C43" s="11" t="s">
        <v>37</v>
      </c>
      <c r="D43" s="11" t="s">
        <v>1515</v>
      </c>
      <c r="E43" s="69">
        <v>1202.56</v>
      </c>
      <c r="F43" s="11" t="s">
        <v>1516</v>
      </c>
      <c r="G43" s="9">
        <v>45520.0</v>
      </c>
      <c r="H43" s="70">
        <f t="shared" si="1"/>
        <v>16</v>
      </c>
      <c r="I43" s="70">
        <f t="shared" si="2"/>
        <v>8</v>
      </c>
      <c r="J43" s="70">
        <f t="shared" si="3"/>
        <v>2024</v>
      </c>
      <c r="K43" s="70" t="str">
        <f t="shared" si="4"/>
        <v>08/2024</v>
      </c>
    </row>
    <row r="44" hidden="1">
      <c r="A44" s="9">
        <v>45521.0</v>
      </c>
      <c r="B44" s="11" t="s">
        <v>1511</v>
      </c>
      <c r="C44" s="11" t="s">
        <v>27</v>
      </c>
      <c r="D44" s="11" t="s">
        <v>1512</v>
      </c>
      <c r="E44" s="69">
        <v>3321.6</v>
      </c>
      <c r="F44" s="11" t="s">
        <v>1513</v>
      </c>
      <c r="G44" s="9">
        <v>45521.0</v>
      </c>
      <c r="H44" s="70">
        <f t="shared" si="1"/>
        <v>17</v>
      </c>
      <c r="I44" s="70">
        <f t="shared" si="2"/>
        <v>8</v>
      </c>
      <c r="J44" s="70">
        <f t="shared" si="3"/>
        <v>2024</v>
      </c>
      <c r="K44" s="70" t="str">
        <f t="shared" si="4"/>
        <v>08/2024</v>
      </c>
    </row>
    <row r="45" hidden="1">
      <c r="A45" s="9">
        <v>45521.0</v>
      </c>
      <c r="B45" s="11" t="s">
        <v>1514</v>
      </c>
      <c r="C45" s="11" t="s">
        <v>37</v>
      </c>
      <c r="D45" s="11" t="s">
        <v>1515</v>
      </c>
      <c r="E45" s="69">
        <v>977.04</v>
      </c>
      <c r="F45" s="11" t="s">
        <v>1516</v>
      </c>
      <c r="G45" s="9">
        <v>45521.0</v>
      </c>
      <c r="H45" s="70">
        <f t="shared" si="1"/>
        <v>17</v>
      </c>
      <c r="I45" s="70">
        <f t="shared" si="2"/>
        <v>8</v>
      </c>
      <c r="J45" s="70">
        <f t="shared" si="3"/>
        <v>2024</v>
      </c>
      <c r="K45" s="70" t="str">
        <f t="shared" si="4"/>
        <v>08/2024</v>
      </c>
    </row>
    <row r="46" hidden="1">
      <c r="A46" s="9">
        <v>45522.0</v>
      </c>
      <c r="B46" s="11" t="s">
        <v>1511</v>
      </c>
      <c r="C46" s="11" t="s">
        <v>27</v>
      </c>
      <c r="D46" s="11" t="s">
        <v>1512</v>
      </c>
      <c r="E46" s="69">
        <v>1763.25</v>
      </c>
      <c r="F46" s="11" t="s">
        <v>1513</v>
      </c>
      <c r="G46" s="9">
        <v>45522.0</v>
      </c>
      <c r="H46" s="70">
        <f t="shared" si="1"/>
        <v>18</v>
      </c>
      <c r="I46" s="70">
        <f t="shared" si="2"/>
        <v>8</v>
      </c>
      <c r="J46" s="70">
        <f t="shared" si="3"/>
        <v>2024</v>
      </c>
      <c r="K46" s="70" t="str">
        <f t="shared" si="4"/>
        <v>08/2024</v>
      </c>
    </row>
    <row r="47" hidden="1">
      <c r="A47" s="9">
        <v>45522.0</v>
      </c>
      <c r="B47" s="11" t="s">
        <v>1514</v>
      </c>
      <c r="C47" s="11" t="s">
        <v>37</v>
      </c>
      <c r="D47" s="11" t="s">
        <v>1515</v>
      </c>
      <c r="E47" s="69">
        <v>707.76</v>
      </c>
      <c r="F47" s="11" t="s">
        <v>1516</v>
      </c>
      <c r="G47" s="9">
        <v>45522.0</v>
      </c>
      <c r="H47" s="70">
        <f t="shared" si="1"/>
        <v>18</v>
      </c>
      <c r="I47" s="70">
        <f t="shared" si="2"/>
        <v>8</v>
      </c>
      <c r="J47" s="70">
        <f t="shared" si="3"/>
        <v>2024</v>
      </c>
      <c r="K47" s="70" t="str">
        <f t="shared" si="4"/>
        <v>08/2024</v>
      </c>
    </row>
    <row r="48" hidden="1">
      <c r="A48" s="9">
        <v>45523.0</v>
      </c>
      <c r="B48" s="11" t="s">
        <v>1511</v>
      </c>
      <c r="C48" s="11" t="s">
        <v>27</v>
      </c>
      <c r="D48" s="11" t="s">
        <v>1512</v>
      </c>
      <c r="E48" s="69">
        <v>418.52</v>
      </c>
      <c r="F48" s="11" t="s">
        <v>1513</v>
      </c>
      <c r="G48" s="9">
        <v>45523.0</v>
      </c>
      <c r="H48" s="70">
        <f t="shared" si="1"/>
        <v>19</v>
      </c>
      <c r="I48" s="70">
        <f t="shared" si="2"/>
        <v>8</v>
      </c>
      <c r="J48" s="70">
        <f t="shared" si="3"/>
        <v>2024</v>
      </c>
      <c r="K48" s="70" t="str">
        <f t="shared" si="4"/>
        <v>08/2024</v>
      </c>
    </row>
    <row r="49" hidden="1">
      <c r="A49" s="9">
        <v>45523.0</v>
      </c>
      <c r="B49" s="11" t="s">
        <v>1511</v>
      </c>
      <c r="C49" s="11" t="s">
        <v>27</v>
      </c>
      <c r="D49" s="11" t="s">
        <v>1512</v>
      </c>
      <c r="E49" s="69">
        <v>120.38</v>
      </c>
      <c r="F49" s="11" t="s">
        <v>1513</v>
      </c>
      <c r="G49" s="9">
        <v>45523.0</v>
      </c>
      <c r="H49" s="70">
        <f t="shared" si="1"/>
        <v>19</v>
      </c>
      <c r="I49" s="70">
        <f t="shared" si="2"/>
        <v>8</v>
      </c>
      <c r="J49" s="70">
        <f t="shared" si="3"/>
        <v>2024</v>
      </c>
      <c r="K49" s="70" t="str">
        <f t="shared" si="4"/>
        <v>08/2024</v>
      </c>
    </row>
    <row r="50" hidden="1">
      <c r="A50" s="9">
        <v>45523.0</v>
      </c>
      <c r="B50" s="11" t="s">
        <v>1514</v>
      </c>
      <c r="C50" s="11" t="s">
        <v>37</v>
      </c>
      <c r="D50" s="11" t="s">
        <v>1515</v>
      </c>
      <c r="E50" s="69">
        <v>192.7</v>
      </c>
      <c r="F50" s="11" t="s">
        <v>1516</v>
      </c>
      <c r="G50" s="9">
        <v>45523.0</v>
      </c>
      <c r="H50" s="70">
        <f t="shared" si="1"/>
        <v>19</v>
      </c>
      <c r="I50" s="70">
        <f t="shared" si="2"/>
        <v>8</v>
      </c>
      <c r="J50" s="70">
        <f t="shared" si="3"/>
        <v>2024</v>
      </c>
      <c r="K50" s="70" t="str">
        <f t="shared" si="4"/>
        <v>08/2024</v>
      </c>
    </row>
    <row r="51" hidden="1">
      <c r="A51" s="9">
        <v>45524.0</v>
      </c>
      <c r="B51" s="11" t="s">
        <v>1511</v>
      </c>
      <c r="C51" s="11" t="s">
        <v>27</v>
      </c>
      <c r="D51" s="11" t="s">
        <v>1512</v>
      </c>
      <c r="E51" s="69">
        <v>2125.62</v>
      </c>
      <c r="F51" s="11" t="s">
        <v>1513</v>
      </c>
      <c r="G51" s="9">
        <v>45524.0</v>
      </c>
      <c r="H51" s="70">
        <f t="shared" si="1"/>
        <v>20</v>
      </c>
      <c r="I51" s="70">
        <f t="shared" si="2"/>
        <v>8</v>
      </c>
      <c r="J51" s="70">
        <f t="shared" si="3"/>
        <v>2024</v>
      </c>
      <c r="K51" s="70" t="str">
        <f t="shared" si="4"/>
        <v>08/2024</v>
      </c>
    </row>
    <row r="52" hidden="1">
      <c r="A52" s="9">
        <v>45524.0</v>
      </c>
      <c r="B52" s="11" t="s">
        <v>1514</v>
      </c>
      <c r="C52" s="11" t="s">
        <v>37</v>
      </c>
      <c r="D52" s="11" t="s">
        <v>1515</v>
      </c>
      <c r="E52" s="69">
        <v>821.48</v>
      </c>
      <c r="F52" s="11" t="s">
        <v>1516</v>
      </c>
      <c r="G52" s="9">
        <v>45524.0</v>
      </c>
      <c r="H52" s="70">
        <f t="shared" si="1"/>
        <v>20</v>
      </c>
      <c r="I52" s="70">
        <f t="shared" si="2"/>
        <v>8</v>
      </c>
      <c r="J52" s="70">
        <f t="shared" si="3"/>
        <v>2024</v>
      </c>
      <c r="K52" s="70" t="str">
        <f t="shared" si="4"/>
        <v>08/2024</v>
      </c>
    </row>
    <row r="53" hidden="1">
      <c r="A53" s="9">
        <v>45525.0</v>
      </c>
      <c r="B53" s="11" t="s">
        <v>1511</v>
      </c>
      <c r="C53" s="11" t="s">
        <v>27</v>
      </c>
      <c r="D53" s="11" t="s">
        <v>1512</v>
      </c>
      <c r="E53" s="69">
        <v>1929.12</v>
      </c>
      <c r="F53" s="11" t="s">
        <v>1513</v>
      </c>
      <c r="G53" s="9">
        <v>45525.0</v>
      </c>
      <c r="H53" s="70">
        <f t="shared" si="1"/>
        <v>21</v>
      </c>
      <c r="I53" s="70">
        <f t="shared" si="2"/>
        <v>8</v>
      </c>
      <c r="J53" s="70">
        <f t="shared" si="3"/>
        <v>2024</v>
      </c>
      <c r="K53" s="70" t="str">
        <f t="shared" si="4"/>
        <v>08/2024</v>
      </c>
    </row>
    <row r="54" hidden="1">
      <c r="A54" s="9">
        <v>45525.0</v>
      </c>
      <c r="B54" s="11" t="s">
        <v>1514</v>
      </c>
      <c r="C54" s="11" t="s">
        <v>37</v>
      </c>
      <c r="D54" s="11" t="s">
        <v>1515</v>
      </c>
      <c r="E54" s="69">
        <v>1068.4</v>
      </c>
      <c r="F54" s="11" t="s">
        <v>1516</v>
      </c>
      <c r="G54" s="9">
        <v>45525.0</v>
      </c>
      <c r="H54" s="70">
        <f t="shared" si="1"/>
        <v>21</v>
      </c>
      <c r="I54" s="70">
        <f t="shared" si="2"/>
        <v>8</v>
      </c>
      <c r="J54" s="70">
        <f t="shared" si="3"/>
        <v>2024</v>
      </c>
      <c r="K54" s="70" t="str">
        <f t="shared" si="4"/>
        <v>08/2024</v>
      </c>
    </row>
    <row r="55" hidden="1">
      <c r="A55" s="9">
        <v>45525.0</v>
      </c>
      <c r="B55" s="11" t="s">
        <v>1521</v>
      </c>
      <c r="C55" s="11" t="s">
        <v>27</v>
      </c>
      <c r="D55" s="11" t="s">
        <v>1522</v>
      </c>
      <c r="E55" s="69">
        <v>1621.07</v>
      </c>
      <c r="F55" s="11" t="s">
        <v>1513</v>
      </c>
      <c r="G55" s="9">
        <v>45525.0</v>
      </c>
      <c r="H55" s="70">
        <f t="shared" si="1"/>
        <v>21</v>
      </c>
      <c r="I55" s="70">
        <f t="shared" si="2"/>
        <v>8</v>
      </c>
      <c r="J55" s="70">
        <f t="shared" si="3"/>
        <v>2024</v>
      </c>
      <c r="K55" s="70" t="str">
        <f t="shared" si="4"/>
        <v>08/2024</v>
      </c>
    </row>
    <row r="56" hidden="1">
      <c r="A56" s="9">
        <v>45526.0</v>
      </c>
      <c r="B56" s="11" t="s">
        <v>1511</v>
      </c>
      <c r="C56" s="11" t="s">
        <v>27</v>
      </c>
      <c r="D56" s="11" t="s">
        <v>1512</v>
      </c>
      <c r="E56" s="69">
        <v>2101.14</v>
      </c>
      <c r="F56" s="11" t="s">
        <v>1513</v>
      </c>
      <c r="G56" s="9">
        <v>45526.0</v>
      </c>
      <c r="H56" s="70">
        <f t="shared" si="1"/>
        <v>22</v>
      </c>
      <c r="I56" s="70">
        <f t="shared" si="2"/>
        <v>8</v>
      </c>
      <c r="J56" s="70">
        <f t="shared" si="3"/>
        <v>2024</v>
      </c>
      <c r="K56" s="70" t="str">
        <f t="shared" si="4"/>
        <v>08/2024</v>
      </c>
    </row>
    <row r="57" hidden="1">
      <c r="A57" s="9">
        <v>45526.0</v>
      </c>
      <c r="B57" s="11" t="s">
        <v>1514</v>
      </c>
      <c r="C57" s="11" t="s">
        <v>37</v>
      </c>
      <c r="D57" s="11" t="s">
        <v>1515</v>
      </c>
      <c r="E57" s="69">
        <v>1388.75</v>
      </c>
      <c r="F57" s="11" t="s">
        <v>1516</v>
      </c>
      <c r="G57" s="9">
        <v>45526.0</v>
      </c>
      <c r="H57" s="70">
        <f t="shared" si="1"/>
        <v>22</v>
      </c>
      <c r="I57" s="70">
        <f t="shared" si="2"/>
        <v>8</v>
      </c>
      <c r="J57" s="70">
        <f t="shared" si="3"/>
        <v>2024</v>
      </c>
      <c r="K57" s="70" t="str">
        <f t="shared" si="4"/>
        <v>08/2024</v>
      </c>
    </row>
    <row r="58" hidden="1">
      <c r="A58" s="9">
        <v>45527.0</v>
      </c>
      <c r="B58" s="11" t="s">
        <v>1511</v>
      </c>
      <c r="C58" s="11" t="s">
        <v>27</v>
      </c>
      <c r="D58" s="11" t="s">
        <v>1512</v>
      </c>
      <c r="E58" s="69">
        <v>2232.33</v>
      </c>
      <c r="F58" s="11" t="s">
        <v>1513</v>
      </c>
      <c r="G58" s="9">
        <v>45527.0</v>
      </c>
      <c r="H58" s="70">
        <f t="shared" si="1"/>
        <v>23</v>
      </c>
      <c r="I58" s="70">
        <f t="shared" si="2"/>
        <v>8</v>
      </c>
      <c r="J58" s="70">
        <f t="shared" si="3"/>
        <v>2024</v>
      </c>
      <c r="K58" s="70" t="str">
        <f t="shared" si="4"/>
        <v>08/2024</v>
      </c>
    </row>
    <row r="59" hidden="1">
      <c r="A59" s="9">
        <v>45527.0</v>
      </c>
      <c r="B59" s="11" t="s">
        <v>1514</v>
      </c>
      <c r="C59" s="11" t="s">
        <v>37</v>
      </c>
      <c r="D59" s="11" t="s">
        <v>1515</v>
      </c>
      <c r="E59" s="69">
        <v>796.77</v>
      </c>
      <c r="F59" s="11" t="s">
        <v>1516</v>
      </c>
      <c r="G59" s="9">
        <v>45527.0</v>
      </c>
      <c r="H59" s="70">
        <f t="shared" si="1"/>
        <v>23</v>
      </c>
      <c r="I59" s="70">
        <f t="shared" si="2"/>
        <v>8</v>
      </c>
      <c r="J59" s="70">
        <f t="shared" si="3"/>
        <v>2024</v>
      </c>
      <c r="K59" s="70" t="str">
        <f t="shared" si="4"/>
        <v>08/2024</v>
      </c>
    </row>
    <row r="60" hidden="1">
      <c r="A60" s="9">
        <v>45527.0</v>
      </c>
      <c r="B60" s="11" t="s">
        <v>1523</v>
      </c>
      <c r="C60" s="11" t="s">
        <v>27</v>
      </c>
      <c r="D60" s="11" t="s">
        <v>1524</v>
      </c>
      <c r="E60" s="69">
        <v>5876.69</v>
      </c>
      <c r="F60" s="11" t="s">
        <v>1513</v>
      </c>
      <c r="G60" s="9">
        <v>45527.0</v>
      </c>
      <c r="H60" s="70">
        <f t="shared" si="1"/>
        <v>23</v>
      </c>
      <c r="I60" s="70">
        <f t="shared" si="2"/>
        <v>8</v>
      </c>
      <c r="J60" s="70">
        <f t="shared" si="3"/>
        <v>2024</v>
      </c>
      <c r="K60" s="70" t="str">
        <f t="shared" si="4"/>
        <v>08/2024</v>
      </c>
    </row>
    <row r="61" hidden="1">
      <c r="A61" s="9">
        <v>45528.0</v>
      </c>
      <c r="B61" s="11" t="s">
        <v>1511</v>
      </c>
      <c r="C61" s="11" t="s">
        <v>27</v>
      </c>
      <c r="D61" s="11" t="s">
        <v>1512</v>
      </c>
      <c r="E61" s="69">
        <v>1962.3</v>
      </c>
      <c r="F61" s="11" t="s">
        <v>1513</v>
      </c>
      <c r="G61" s="9">
        <v>45528.0</v>
      </c>
      <c r="H61" s="70">
        <f t="shared" si="1"/>
        <v>24</v>
      </c>
      <c r="I61" s="70">
        <f t="shared" si="2"/>
        <v>8</v>
      </c>
      <c r="J61" s="70">
        <f t="shared" si="3"/>
        <v>2024</v>
      </c>
      <c r="K61" s="70" t="str">
        <f t="shared" si="4"/>
        <v>08/2024</v>
      </c>
    </row>
    <row r="62" hidden="1">
      <c r="A62" s="9">
        <v>45528.0</v>
      </c>
      <c r="B62" s="11" t="s">
        <v>1514</v>
      </c>
      <c r="C62" s="11" t="s">
        <v>37</v>
      </c>
      <c r="D62" s="11" t="s">
        <v>1515</v>
      </c>
      <c r="E62" s="69">
        <v>1216.01</v>
      </c>
      <c r="F62" s="11" t="s">
        <v>1516</v>
      </c>
      <c r="G62" s="9">
        <v>45528.0</v>
      </c>
      <c r="H62" s="70">
        <f t="shared" si="1"/>
        <v>24</v>
      </c>
      <c r="I62" s="70">
        <f t="shared" si="2"/>
        <v>8</v>
      </c>
      <c r="J62" s="70">
        <f t="shared" si="3"/>
        <v>2024</v>
      </c>
      <c r="K62" s="70" t="str">
        <f t="shared" si="4"/>
        <v>08/2024</v>
      </c>
    </row>
    <row r="63" hidden="1">
      <c r="A63" s="9">
        <v>45529.0</v>
      </c>
      <c r="B63" s="11" t="s">
        <v>1511</v>
      </c>
      <c r="C63" s="11" t="s">
        <v>27</v>
      </c>
      <c r="D63" s="11" t="s">
        <v>1512</v>
      </c>
      <c r="E63" s="69">
        <v>1911.01</v>
      </c>
      <c r="F63" s="11" t="s">
        <v>1513</v>
      </c>
      <c r="G63" s="9">
        <v>45529.0</v>
      </c>
      <c r="H63" s="70">
        <f t="shared" si="1"/>
        <v>25</v>
      </c>
      <c r="I63" s="70">
        <f t="shared" si="2"/>
        <v>8</v>
      </c>
      <c r="J63" s="70">
        <f t="shared" si="3"/>
        <v>2024</v>
      </c>
      <c r="K63" s="70" t="str">
        <f t="shared" si="4"/>
        <v>08/2024</v>
      </c>
    </row>
    <row r="64" hidden="1">
      <c r="A64" s="9">
        <v>45529.0</v>
      </c>
      <c r="B64" s="11" t="s">
        <v>1514</v>
      </c>
      <c r="C64" s="11" t="s">
        <v>37</v>
      </c>
      <c r="D64" s="11" t="s">
        <v>1515</v>
      </c>
      <c r="E64" s="69">
        <v>398.46</v>
      </c>
      <c r="F64" s="11" t="s">
        <v>1516</v>
      </c>
      <c r="G64" s="9">
        <v>45529.0</v>
      </c>
      <c r="H64" s="70">
        <f t="shared" si="1"/>
        <v>25</v>
      </c>
      <c r="I64" s="70">
        <f t="shared" si="2"/>
        <v>8</v>
      </c>
      <c r="J64" s="70">
        <f t="shared" si="3"/>
        <v>2024</v>
      </c>
      <c r="K64" s="70" t="str">
        <f t="shared" si="4"/>
        <v>08/2024</v>
      </c>
    </row>
    <row r="65" hidden="1">
      <c r="A65" s="9">
        <v>45530.0</v>
      </c>
      <c r="B65" s="11" t="s">
        <v>1511</v>
      </c>
      <c r="C65" s="11" t="s">
        <v>27</v>
      </c>
      <c r="D65" s="11" t="s">
        <v>1512</v>
      </c>
      <c r="E65" s="69">
        <v>1029.66</v>
      </c>
      <c r="F65" s="11" t="s">
        <v>1513</v>
      </c>
      <c r="G65" s="9">
        <v>45530.0</v>
      </c>
      <c r="H65" s="70">
        <f t="shared" si="1"/>
        <v>26</v>
      </c>
      <c r="I65" s="70">
        <f t="shared" si="2"/>
        <v>8</v>
      </c>
      <c r="J65" s="70">
        <f t="shared" si="3"/>
        <v>2024</v>
      </c>
      <c r="K65" s="70" t="str">
        <f t="shared" si="4"/>
        <v>08/2024</v>
      </c>
    </row>
    <row r="66" hidden="1">
      <c r="A66" s="9">
        <v>45530.0</v>
      </c>
      <c r="B66" s="11" t="s">
        <v>1514</v>
      </c>
      <c r="C66" s="11" t="s">
        <v>37</v>
      </c>
      <c r="D66" s="11" t="s">
        <v>1515</v>
      </c>
      <c r="E66" s="69">
        <v>2260.5</v>
      </c>
      <c r="F66" s="11" t="s">
        <v>1516</v>
      </c>
      <c r="G66" s="9">
        <v>45530.0</v>
      </c>
      <c r="H66" s="70">
        <f t="shared" si="1"/>
        <v>26</v>
      </c>
      <c r="I66" s="70">
        <f t="shared" si="2"/>
        <v>8</v>
      </c>
      <c r="J66" s="70">
        <f t="shared" si="3"/>
        <v>2024</v>
      </c>
      <c r="K66" s="70" t="str">
        <f t="shared" si="4"/>
        <v>08/2024</v>
      </c>
    </row>
    <row r="67" hidden="1">
      <c r="A67" s="9">
        <v>45530.0</v>
      </c>
      <c r="B67" s="11" t="s">
        <v>1523</v>
      </c>
      <c r="C67" s="11" t="s">
        <v>27</v>
      </c>
      <c r="D67" s="11" t="s">
        <v>1524</v>
      </c>
      <c r="E67" s="69">
        <v>18084.82</v>
      </c>
      <c r="F67" s="11" t="s">
        <v>1513</v>
      </c>
      <c r="G67" s="9">
        <v>45530.0</v>
      </c>
      <c r="H67" s="70">
        <f t="shared" si="1"/>
        <v>26</v>
      </c>
      <c r="I67" s="70">
        <f t="shared" si="2"/>
        <v>8</v>
      </c>
      <c r="J67" s="70">
        <f t="shared" si="3"/>
        <v>2024</v>
      </c>
      <c r="K67" s="70" t="str">
        <f t="shared" si="4"/>
        <v>08/2024</v>
      </c>
    </row>
    <row r="68" hidden="1">
      <c r="A68" s="9">
        <v>45531.0</v>
      </c>
      <c r="B68" s="11" t="s">
        <v>1511</v>
      </c>
      <c r="C68" s="11" t="s">
        <v>27</v>
      </c>
      <c r="D68" s="11" t="s">
        <v>1512</v>
      </c>
      <c r="E68" s="69">
        <v>2017.7</v>
      </c>
      <c r="F68" s="11" t="s">
        <v>1513</v>
      </c>
      <c r="G68" s="9">
        <v>45531.0</v>
      </c>
      <c r="H68" s="70">
        <f t="shared" si="1"/>
        <v>27</v>
      </c>
      <c r="I68" s="70">
        <f t="shared" si="2"/>
        <v>8</v>
      </c>
      <c r="J68" s="70">
        <f t="shared" si="3"/>
        <v>2024</v>
      </c>
      <c r="K68" s="70" t="str">
        <f t="shared" si="4"/>
        <v>08/2024</v>
      </c>
    </row>
    <row r="69" hidden="1">
      <c r="A69" s="9">
        <v>45531.0</v>
      </c>
      <c r="B69" s="11" t="s">
        <v>1514</v>
      </c>
      <c r="C69" s="11" t="s">
        <v>37</v>
      </c>
      <c r="D69" s="11" t="s">
        <v>1515</v>
      </c>
      <c r="E69" s="69">
        <v>105.37</v>
      </c>
      <c r="F69" s="11" t="s">
        <v>1516</v>
      </c>
      <c r="G69" s="9">
        <v>45531.0</v>
      </c>
      <c r="H69" s="70">
        <f t="shared" si="1"/>
        <v>27</v>
      </c>
      <c r="I69" s="70">
        <f t="shared" si="2"/>
        <v>8</v>
      </c>
      <c r="J69" s="70">
        <f t="shared" si="3"/>
        <v>2024</v>
      </c>
      <c r="K69" s="70" t="str">
        <f t="shared" si="4"/>
        <v>08/2024</v>
      </c>
    </row>
    <row r="70" hidden="1">
      <c r="A70" s="9">
        <v>45532.0</v>
      </c>
      <c r="B70" s="11" t="s">
        <v>1511</v>
      </c>
      <c r="C70" s="11" t="s">
        <v>27</v>
      </c>
      <c r="D70" s="11" t="s">
        <v>1512</v>
      </c>
      <c r="E70" s="69">
        <v>2262.94</v>
      </c>
      <c r="F70" s="11" t="s">
        <v>1513</v>
      </c>
      <c r="G70" s="9">
        <v>45532.0</v>
      </c>
      <c r="H70" s="70">
        <f t="shared" si="1"/>
        <v>28</v>
      </c>
      <c r="I70" s="70">
        <f t="shared" si="2"/>
        <v>8</v>
      </c>
      <c r="J70" s="70">
        <f t="shared" si="3"/>
        <v>2024</v>
      </c>
      <c r="K70" s="70" t="str">
        <f t="shared" si="4"/>
        <v>08/2024</v>
      </c>
    </row>
    <row r="71" hidden="1">
      <c r="A71" s="9">
        <v>45532.0</v>
      </c>
      <c r="B71" s="11" t="s">
        <v>1514</v>
      </c>
      <c r="C71" s="11" t="s">
        <v>37</v>
      </c>
      <c r="D71" s="11" t="s">
        <v>1515</v>
      </c>
      <c r="E71" s="69">
        <v>1883.92</v>
      </c>
      <c r="F71" s="11" t="s">
        <v>1516</v>
      </c>
      <c r="G71" s="9">
        <v>45532.0</v>
      </c>
      <c r="H71" s="70">
        <f t="shared" si="1"/>
        <v>28</v>
      </c>
      <c r="I71" s="70">
        <f t="shared" si="2"/>
        <v>8</v>
      </c>
      <c r="J71" s="70">
        <f t="shared" si="3"/>
        <v>2024</v>
      </c>
      <c r="K71" s="70" t="str">
        <f t="shared" si="4"/>
        <v>08/2024</v>
      </c>
    </row>
    <row r="72" hidden="1">
      <c r="A72" s="9">
        <v>45532.0</v>
      </c>
      <c r="B72" s="11" t="s">
        <v>1521</v>
      </c>
      <c r="C72" s="11" t="s">
        <v>27</v>
      </c>
      <c r="D72" s="11" t="s">
        <v>1522</v>
      </c>
      <c r="E72" s="69">
        <v>2069.66</v>
      </c>
      <c r="F72" s="11" t="s">
        <v>1513</v>
      </c>
      <c r="G72" s="9">
        <v>45532.0</v>
      </c>
      <c r="H72" s="70">
        <f t="shared" si="1"/>
        <v>28</v>
      </c>
      <c r="I72" s="70">
        <f t="shared" si="2"/>
        <v>8</v>
      </c>
      <c r="J72" s="70">
        <f t="shared" si="3"/>
        <v>2024</v>
      </c>
      <c r="K72" s="70" t="str">
        <f t="shared" si="4"/>
        <v>08/2024</v>
      </c>
    </row>
    <row r="73" hidden="1">
      <c r="A73" s="9">
        <v>45533.0</v>
      </c>
      <c r="B73" s="11" t="s">
        <v>1511</v>
      </c>
      <c r="C73" s="11" t="s">
        <v>27</v>
      </c>
      <c r="D73" s="11" t="s">
        <v>1512</v>
      </c>
      <c r="E73" s="69">
        <v>2292.37</v>
      </c>
      <c r="F73" s="11" t="s">
        <v>1513</v>
      </c>
      <c r="G73" s="9">
        <v>45533.0</v>
      </c>
      <c r="H73" s="70">
        <f t="shared" si="1"/>
        <v>29</v>
      </c>
      <c r="I73" s="70">
        <f t="shared" si="2"/>
        <v>8</v>
      </c>
      <c r="J73" s="70">
        <f t="shared" si="3"/>
        <v>2024</v>
      </c>
      <c r="K73" s="70" t="str">
        <f t="shared" si="4"/>
        <v>08/2024</v>
      </c>
    </row>
    <row r="74" hidden="1">
      <c r="A74" s="9">
        <v>45533.0</v>
      </c>
      <c r="B74" s="11" t="s">
        <v>1514</v>
      </c>
      <c r="C74" s="11" t="s">
        <v>37</v>
      </c>
      <c r="D74" s="11" t="s">
        <v>1515</v>
      </c>
      <c r="E74" s="69">
        <v>1480.28</v>
      </c>
      <c r="F74" s="11" t="s">
        <v>1516</v>
      </c>
      <c r="G74" s="9">
        <v>45533.0</v>
      </c>
      <c r="H74" s="70">
        <f t="shared" si="1"/>
        <v>29</v>
      </c>
      <c r="I74" s="70">
        <f t="shared" si="2"/>
        <v>8</v>
      </c>
      <c r="J74" s="70">
        <f t="shared" si="3"/>
        <v>2024</v>
      </c>
      <c r="K74" s="70" t="str">
        <f t="shared" si="4"/>
        <v>08/2024</v>
      </c>
    </row>
    <row r="75" hidden="1">
      <c r="A75" s="9">
        <v>45534.0</v>
      </c>
      <c r="B75" s="11" t="s">
        <v>1511</v>
      </c>
      <c r="C75" s="11" t="s">
        <v>27</v>
      </c>
      <c r="D75" s="11" t="s">
        <v>1512</v>
      </c>
      <c r="E75" s="69">
        <v>2510.37</v>
      </c>
      <c r="F75" s="11" t="s">
        <v>1513</v>
      </c>
      <c r="G75" s="9">
        <v>45534.0</v>
      </c>
      <c r="H75" s="70">
        <f t="shared" si="1"/>
        <v>30</v>
      </c>
      <c r="I75" s="70">
        <f t="shared" si="2"/>
        <v>8</v>
      </c>
      <c r="J75" s="70">
        <f t="shared" si="3"/>
        <v>2024</v>
      </c>
      <c r="K75" s="70" t="str">
        <f t="shared" si="4"/>
        <v>08/2024</v>
      </c>
    </row>
    <row r="76" hidden="1">
      <c r="A76" s="9">
        <v>45534.0</v>
      </c>
      <c r="B76" s="11" t="s">
        <v>1514</v>
      </c>
      <c r="C76" s="11" t="s">
        <v>37</v>
      </c>
      <c r="D76" s="11" t="s">
        <v>1515</v>
      </c>
      <c r="E76" s="69">
        <v>1338.56</v>
      </c>
      <c r="F76" s="11" t="s">
        <v>1516</v>
      </c>
      <c r="G76" s="9">
        <v>45534.0</v>
      </c>
      <c r="H76" s="70">
        <f t="shared" si="1"/>
        <v>30</v>
      </c>
      <c r="I76" s="70">
        <f t="shared" si="2"/>
        <v>8</v>
      </c>
      <c r="J76" s="70">
        <f t="shared" si="3"/>
        <v>2024</v>
      </c>
      <c r="K76" s="70" t="str">
        <f t="shared" si="4"/>
        <v>08/2024</v>
      </c>
    </row>
    <row r="77" hidden="1">
      <c r="A77" s="9">
        <v>45535.0</v>
      </c>
      <c r="B77" s="11" t="s">
        <v>1511</v>
      </c>
      <c r="C77" s="11" t="s">
        <v>27</v>
      </c>
      <c r="D77" s="11" t="s">
        <v>1512</v>
      </c>
      <c r="E77" s="69">
        <v>1992.64</v>
      </c>
      <c r="F77" s="11" t="s">
        <v>1513</v>
      </c>
      <c r="G77" s="9">
        <v>45535.0</v>
      </c>
      <c r="H77" s="70">
        <f t="shared" si="1"/>
        <v>31</v>
      </c>
      <c r="I77" s="70">
        <f t="shared" si="2"/>
        <v>8</v>
      </c>
      <c r="J77" s="70">
        <f t="shared" si="3"/>
        <v>2024</v>
      </c>
      <c r="K77" s="70" t="str">
        <f t="shared" si="4"/>
        <v>08/2024</v>
      </c>
    </row>
    <row r="78" hidden="1">
      <c r="A78" s="9">
        <v>45535.0</v>
      </c>
      <c r="B78" s="11" t="s">
        <v>1514</v>
      </c>
      <c r="C78" s="11" t="s">
        <v>37</v>
      </c>
      <c r="D78" s="11" t="s">
        <v>1515</v>
      </c>
      <c r="E78" s="69">
        <v>1043.95</v>
      </c>
      <c r="F78" s="11" t="s">
        <v>1516</v>
      </c>
      <c r="G78" s="9">
        <v>45535.0</v>
      </c>
      <c r="H78" s="70">
        <f t="shared" si="1"/>
        <v>31</v>
      </c>
      <c r="I78" s="70">
        <f t="shared" si="2"/>
        <v>8</v>
      </c>
      <c r="J78" s="70">
        <f t="shared" si="3"/>
        <v>2024</v>
      </c>
      <c r="K78" s="70" t="str">
        <f t="shared" si="4"/>
        <v>08/2024</v>
      </c>
    </row>
    <row r="79" hidden="1">
      <c r="A79" s="9">
        <v>45536.0</v>
      </c>
      <c r="B79" s="11" t="s">
        <v>1511</v>
      </c>
      <c r="C79" s="11" t="s">
        <v>27</v>
      </c>
      <c r="D79" s="11" t="s">
        <v>1512</v>
      </c>
      <c r="E79" s="69">
        <v>733.02</v>
      </c>
      <c r="F79" s="11" t="s">
        <v>1513</v>
      </c>
      <c r="G79" s="9">
        <v>45536.0</v>
      </c>
      <c r="H79" s="70">
        <f t="shared" si="1"/>
        <v>1</v>
      </c>
      <c r="I79" s="70">
        <f t="shared" si="2"/>
        <v>9</v>
      </c>
      <c r="J79" s="70">
        <f t="shared" si="3"/>
        <v>2024</v>
      </c>
      <c r="K79" s="70" t="str">
        <f t="shared" si="4"/>
        <v>09/2024</v>
      </c>
    </row>
    <row r="80" hidden="1">
      <c r="A80" s="9">
        <v>45536.0</v>
      </c>
      <c r="B80" s="11" t="s">
        <v>1514</v>
      </c>
      <c r="C80" s="11" t="s">
        <v>37</v>
      </c>
      <c r="D80" s="11" t="s">
        <v>1515</v>
      </c>
      <c r="E80" s="69">
        <v>851.72</v>
      </c>
      <c r="F80" s="11" t="s">
        <v>1516</v>
      </c>
      <c r="G80" s="9">
        <v>45536.0</v>
      </c>
      <c r="H80" s="70">
        <f t="shared" si="1"/>
        <v>1</v>
      </c>
      <c r="I80" s="70">
        <f t="shared" si="2"/>
        <v>9</v>
      </c>
      <c r="J80" s="70">
        <f t="shared" si="3"/>
        <v>2024</v>
      </c>
      <c r="K80" s="70" t="str">
        <f t="shared" si="4"/>
        <v>09/2024</v>
      </c>
    </row>
    <row r="81" hidden="1">
      <c r="A81" s="9">
        <v>45537.0</v>
      </c>
      <c r="B81" s="11" t="s">
        <v>1517</v>
      </c>
      <c r="C81" s="11" t="s">
        <v>27</v>
      </c>
      <c r="D81" s="11" t="s">
        <v>1518</v>
      </c>
      <c r="E81" s="69">
        <v>132.76</v>
      </c>
      <c r="F81" s="11" t="s">
        <v>1513</v>
      </c>
      <c r="G81" s="9">
        <v>45537.0</v>
      </c>
      <c r="H81" s="70">
        <f t="shared" si="1"/>
        <v>2</v>
      </c>
      <c r="I81" s="70">
        <f t="shared" si="2"/>
        <v>9</v>
      </c>
      <c r="J81" s="70">
        <f t="shared" si="3"/>
        <v>2024</v>
      </c>
      <c r="K81" s="70" t="str">
        <f t="shared" si="4"/>
        <v>09/2024</v>
      </c>
    </row>
    <row r="82" hidden="1">
      <c r="A82" s="9">
        <v>45537.0</v>
      </c>
      <c r="B82" s="11" t="s">
        <v>1511</v>
      </c>
      <c r="C82" s="11" t="s">
        <v>27</v>
      </c>
      <c r="D82" s="11" t="s">
        <v>1512</v>
      </c>
      <c r="E82" s="69">
        <v>749.96</v>
      </c>
      <c r="F82" s="11" t="s">
        <v>1513</v>
      </c>
      <c r="G82" s="9">
        <v>45537.0</v>
      </c>
      <c r="H82" s="70">
        <f t="shared" si="1"/>
        <v>2</v>
      </c>
      <c r="I82" s="70">
        <f t="shared" si="2"/>
        <v>9</v>
      </c>
      <c r="J82" s="70">
        <f t="shared" si="3"/>
        <v>2024</v>
      </c>
      <c r="K82" s="70" t="str">
        <f t="shared" si="4"/>
        <v>09/2024</v>
      </c>
    </row>
    <row r="83" hidden="1">
      <c r="A83" s="9">
        <v>45537.0</v>
      </c>
      <c r="B83" s="11" t="s">
        <v>1514</v>
      </c>
      <c r="C83" s="11" t="s">
        <v>37</v>
      </c>
      <c r="D83" s="11" t="s">
        <v>1515</v>
      </c>
      <c r="E83" s="69">
        <v>428.99</v>
      </c>
      <c r="F83" s="11" t="s">
        <v>1516</v>
      </c>
      <c r="G83" s="9">
        <v>45537.0</v>
      </c>
      <c r="H83" s="70">
        <f t="shared" si="1"/>
        <v>2</v>
      </c>
      <c r="I83" s="70">
        <f t="shared" si="2"/>
        <v>9</v>
      </c>
      <c r="J83" s="70">
        <f t="shared" si="3"/>
        <v>2024</v>
      </c>
      <c r="K83" s="70" t="str">
        <f t="shared" si="4"/>
        <v>09/2024</v>
      </c>
    </row>
    <row r="84" hidden="1">
      <c r="A84" s="9">
        <v>45537.0</v>
      </c>
      <c r="B84" s="11" t="s">
        <v>44</v>
      </c>
      <c r="C84" s="11" t="s">
        <v>27</v>
      </c>
      <c r="D84" s="11" t="s">
        <v>1525</v>
      </c>
      <c r="E84" s="69">
        <v>30.86</v>
      </c>
      <c r="F84" s="11" t="s">
        <v>1513</v>
      </c>
      <c r="G84" s="9">
        <v>45537.0</v>
      </c>
      <c r="H84" s="70">
        <f t="shared" si="1"/>
        <v>2</v>
      </c>
      <c r="I84" s="70">
        <f t="shared" si="2"/>
        <v>9</v>
      </c>
      <c r="J84" s="70">
        <f t="shared" si="3"/>
        <v>2024</v>
      </c>
      <c r="K84" s="70" t="str">
        <f t="shared" si="4"/>
        <v>09/2024</v>
      </c>
    </row>
    <row r="85" hidden="1">
      <c r="A85" s="9">
        <v>45538.0</v>
      </c>
      <c r="B85" s="11" t="s">
        <v>1519</v>
      </c>
      <c r="C85" s="11" t="s">
        <v>27</v>
      </c>
      <c r="D85" s="11" t="s">
        <v>1520</v>
      </c>
      <c r="E85" s="69">
        <v>45403.12</v>
      </c>
      <c r="F85" s="11" t="s">
        <v>1513</v>
      </c>
      <c r="G85" s="9">
        <v>45538.0</v>
      </c>
      <c r="H85" s="70">
        <f t="shared" si="1"/>
        <v>3</v>
      </c>
      <c r="I85" s="70">
        <f t="shared" si="2"/>
        <v>9</v>
      </c>
      <c r="J85" s="70">
        <f t="shared" si="3"/>
        <v>2024</v>
      </c>
      <c r="K85" s="70" t="str">
        <f t="shared" si="4"/>
        <v>09/2024</v>
      </c>
    </row>
    <row r="86" hidden="1">
      <c r="A86" s="9">
        <v>45538.0</v>
      </c>
      <c r="B86" s="11" t="s">
        <v>1511</v>
      </c>
      <c r="C86" s="11" t="s">
        <v>27</v>
      </c>
      <c r="D86" s="11" t="s">
        <v>1512</v>
      </c>
      <c r="E86" s="69">
        <v>1230.31</v>
      </c>
      <c r="F86" s="11" t="s">
        <v>1513</v>
      </c>
      <c r="G86" s="9">
        <v>45538.0</v>
      </c>
      <c r="H86" s="70">
        <f t="shared" si="1"/>
        <v>3</v>
      </c>
      <c r="I86" s="70">
        <f t="shared" si="2"/>
        <v>9</v>
      </c>
      <c r="J86" s="70">
        <f t="shared" si="3"/>
        <v>2024</v>
      </c>
      <c r="K86" s="70" t="str">
        <f t="shared" si="4"/>
        <v>09/2024</v>
      </c>
    </row>
    <row r="87" hidden="1">
      <c r="A87" s="9">
        <v>45538.0</v>
      </c>
      <c r="B87" s="11" t="s">
        <v>1514</v>
      </c>
      <c r="C87" s="11" t="s">
        <v>37</v>
      </c>
      <c r="D87" s="11" t="s">
        <v>1515</v>
      </c>
      <c r="E87" s="69">
        <v>1347.65</v>
      </c>
      <c r="F87" s="11" t="s">
        <v>1516</v>
      </c>
      <c r="G87" s="9">
        <v>45538.0</v>
      </c>
      <c r="H87" s="70">
        <f t="shared" si="1"/>
        <v>3</v>
      </c>
      <c r="I87" s="70">
        <f t="shared" si="2"/>
        <v>9</v>
      </c>
      <c r="J87" s="70">
        <f t="shared" si="3"/>
        <v>2024</v>
      </c>
      <c r="K87" s="70" t="str">
        <f t="shared" si="4"/>
        <v>09/2024</v>
      </c>
    </row>
    <row r="88" hidden="1">
      <c r="A88" s="9">
        <v>45539.0</v>
      </c>
      <c r="B88" s="11" t="s">
        <v>1514</v>
      </c>
      <c r="C88" s="11" t="s">
        <v>37</v>
      </c>
      <c r="D88" s="11" t="s">
        <v>1515</v>
      </c>
      <c r="E88" s="69">
        <v>1298.27</v>
      </c>
      <c r="F88" s="11" t="s">
        <v>1516</v>
      </c>
      <c r="G88" s="9">
        <v>45539.0</v>
      </c>
      <c r="H88" s="70">
        <f t="shared" si="1"/>
        <v>4</v>
      </c>
      <c r="I88" s="70">
        <f t="shared" si="2"/>
        <v>9</v>
      </c>
      <c r="J88" s="70">
        <f t="shared" si="3"/>
        <v>2024</v>
      </c>
      <c r="K88" s="70" t="str">
        <f t="shared" si="4"/>
        <v>09/2024</v>
      </c>
    </row>
    <row r="89" hidden="1">
      <c r="A89" s="9">
        <v>45539.0</v>
      </c>
      <c r="B89" s="11" t="s">
        <v>1511</v>
      </c>
      <c r="C89" s="11" t="s">
        <v>27</v>
      </c>
      <c r="D89" s="11" t="s">
        <v>1512</v>
      </c>
      <c r="E89" s="69">
        <v>1089.37</v>
      </c>
      <c r="F89" s="11" t="s">
        <v>1513</v>
      </c>
      <c r="G89" s="9">
        <v>45539.0</v>
      </c>
      <c r="H89" s="70">
        <f t="shared" si="1"/>
        <v>4</v>
      </c>
      <c r="I89" s="70">
        <f t="shared" si="2"/>
        <v>9</v>
      </c>
      <c r="J89" s="70">
        <f t="shared" si="3"/>
        <v>2024</v>
      </c>
      <c r="K89" s="70" t="str">
        <f t="shared" si="4"/>
        <v>09/2024</v>
      </c>
    </row>
    <row r="90" hidden="1">
      <c r="A90" s="9">
        <v>45539.0</v>
      </c>
      <c r="B90" s="11" t="s">
        <v>1521</v>
      </c>
      <c r="C90" s="11" t="s">
        <v>27</v>
      </c>
      <c r="D90" s="11" t="s">
        <v>1522</v>
      </c>
      <c r="E90" s="69">
        <v>410.5</v>
      </c>
      <c r="F90" s="11" t="s">
        <v>1513</v>
      </c>
      <c r="G90" s="9">
        <v>45555.0</v>
      </c>
      <c r="H90" s="70">
        <f t="shared" si="1"/>
        <v>4</v>
      </c>
      <c r="I90" s="70">
        <f t="shared" si="2"/>
        <v>9</v>
      </c>
      <c r="J90" s="70">
        <f t="shared" si="3"/>
        <v>2024</v>
      </c>
      <c r="K90" s="70" t="str">
        <f t="shared" si="4"/>
        <v>09/2024</v>
      </c>
    </row>
    <row r="91" hidden="1">
      <c r="A91" s="9">
        <v>45540.0</v>
      </c>
      <c r="B91" s="11" t="s">
        <v>1511</v>
      </c>
      <c r="C91" s="11" t="s">
        <v>27</v>
      </c>
      <c r="D91" s="11" t="s">
        <v>1512</v>
      </c>
      <c r="E91" s="69">
        <v>1242.83</v>
      </c>
      <c r="F91" s="11" t="s">
        <v>1513</v>
      </c>
      <c r="G91" s="9">
        <v>45540.0</v>
      </c>
      <c r="H91" s="70">
        <f t="shared" si="1"/>
        <v>5</v>
      </c>
      <c r="I91" s="70">
        <f t="shared" si="2"/>
        <v>9</v>
      </c>
      <c r="J91" s="70">
        <f t="shared" si="3"/>
        <v>2024</v>
      </c>
      <c r="K91" s="70" t="str">
        <f t="shared" si="4"/>
        <v>09/2024</v>
      </c>
    </row>
    <row r="92" hidden="1">
      <c r="A92" s="9">
        <v>45540.0</v>
      </c>
      <c r="B92" s="11" t="s">
        <v>1514</v>
      </c>
      <c r="C92" s="11" t="s">
        <v>37</v>
      </c>
      <c r="D92" s="11" t="s">
        <v>1515</v>
      </c>
      <c r="E92" s="69">
        <v>1245.63</v>
      </c>
      <c r="F92" s="11" t="s">
        <v>1516</v>
      </c>
      <c r="G92" s="9">
        <v>45540.0</v>
      </c>
      <c r="H92" s="70">
        <f t="shared" si="1"/>
        <v>5</v>
      </c>
      <c r="I92" s="70">
        <f t="shared" si="2"/>
        <v>9</v>
      </c>
      <c r="J92" s="70">
        <f t="shared" si="3"/>
        <v>2024</v>
      </c>
      <c r="K92" s="70" t="str">
        <f t="shared" si="4"/>
        <v>09/2024</v>
      </c>
    </row>
    <row r="93" hidden="1">
      <c r="A93" s="9">
        <v>45541.0</v>
      </c>
      <c r="B93" s="11" t="s">
        <v>1523</v>
      </c>
      <c r="C93" s="11" t="s">
        <v>27</v>
      </c>
      <c r="D93" s="11" t="s">
        <v>1524</v>
      </c>
      <c r="E93" s="69">
        <v>5288.97</v>
      </c>
      <c r="F93" s="11" t="s">
        <v>1513</v>
      </c>
      <c r="G93" s="9">
        <v>45541.0</v>
      </c>
      <c r="H93" s="70">
        <f t="shared" si="1"/>
        <v>6</v>
      </c>
      <c r="I93" s="70">
        <f t="shared" si="2"/>
        <v>9</v>
      </c>
      <c r="J93" s="70">
        <f t="shared" si="3"/>
        <v>2024</v>
      </c>
      <c r="K93" s="70" t="str">
        <f t="shared" si="4"/>
        <v>09/2024</v>
      </c>
    </row>
    <row r="94" hidden="1">
      <c r="A94" s="9">
        <v>45541.0</v>
      </c>
      <c r="B94" s="11" t="s">
        <v>1511</v>
      </c>
      <c r="C94" s="11" t="s">
        <v>27</v>
      </c>
      <c r="D94" s="11" t="s">
        <v>1512</v>
      </c>
      <c r="E94" s="69">
        <v>1118.5</v>
      </c>
      <c r="F94" s="11" t="s">
        <v>1513</v>
      </c>
      <c r="G94" s="9">
        <v>45541.0</v>
      </c>
      <c r="H94" s="70">
        <f t="shared" si="1"/>
        <v>6</v>
      </c>
      <c r="I94" s="70">
        <f t="shared" si="2"/>
        <v>9</v>
      </c>
      <c r="J94" s="70">
        <f t="shared" si="3"/>
        <v>2024</v>
      </c>
      <c r="K94" s="70" t="str">
        <f t="shared" si="4"/>
        <v>09/2024</v>
      </c>
    </row>
    <row r="95" hidden="1">
      <c r="A95" s="9">
        <v>45541.0</v>
      </c>
      <c r="B95" s="11" t="s">
        <v>1514</v>
      </c>
      <c r="C95" s="11" t="s">
        <v>37</v>
      </c>
      <c r="D95" s="11" t="s">
        <v>1515</v>
      </c>
      <c r="E95" s="69">
        <v>1719.93</v>
      </c>
      <c r="F95" s="11" t="s">
        <v>1516</v>
      </c>
      <c r="G95" s="9">
        <v>45541.0</v>
      </c>
      <c r="H95" s="70">
        <f t="shared" si="1"/>
        <v>6</v>
      </c>
      <c r="I95" s="70">
        <f t="shared" si="2"/>
        <v>9</v>
      </c>
      <c r="J95" s="70">
        <f t="shared" si="3"/>
        <v>2024</v>
      </c>
      <c r="K95" s="70" t="str">
        <f t="shared" si="4"/>
        <v>09/2024</v>
      </c>
    </row>
    <row r="96" hidden="1">
      <c r="A96" s="9">
        <v>45542.0</v>
      </c>
      <c r="B96" s="11" t="s">
        <v>1511</v>
      </c>
      <c r="C96" s="11" t="s">
        <v>27</v>
      </c>
      <c r="D96" s="11" t="s">
        <v>1512</v>
      </c>
      <c r="E96" s="69">
        <v>815.31</v>
      </c>
      <c r="F96" s="11" t="s">
        <v>1513</v>
      </c>
      <c r="G96" s="9">
        <v>45542.0</v>
      </c>
      <c r="H96" s="70">
        <f t="shared" si="1"/>
        <v>7</v>
      </c>
      <c r="I96" s="70">
        <f t="shared" si="2"/>
        <v>9</v>
      </c>
      <c r="J96" s="70">
        <f t="shared" si="3"/>
        <v>2024</v>
      </c>
      <c r="K96" s="70" t="str">
        <f t="shared" si="4"/>
        <v>09/2024</v>
      </c>
    </row>
    <row r="97" hidden="1">
      <c r="A97" s="9">
        <v>45542.0</v>
      </c>
      <c r="B97" s="11" t="s">
        <v>1514</v>
      </c>
      <c r="C97" s="11" t="s">
        <v>37</v>
      </c>
      <c r="D97" s="11" t="s">
        <v>1515</v>
      </c>
      <c r="E97" s="69">
        <v>1246.28</v>
      </c>
      <c r="F97" s="11" t="s">
        <v>1516</v>
      </c>
      <c r="G97" s="9">
        <v>45542.0</v>
      </c>
      <c r="H97" s="70">
        <f t="shared" si="1"/>
        <v>7</v>
      </c>
      <c r="I97" s="70">
        <f t="shared" si="2"/>
        <v>9</v>
      </c>
      <c r="J97" s="70">
        <f t="shared" si="3"/>
        <v>2024</v>
      </c>
      <c r="K97" s="70" t="str">
        <f t="shared" si="4"/>
        <v>09/2024</v>
      </c>
    </row>
    <row r="98" hidden="1">
      <c r="A98" s="9">
        <v>45543.0</v>
      </c>
      <c r="B98" s="11" t="s">
        <v>1511</v>
      </c>
      <c r="C98" s="11" t="s">
        <v>27</v>
      </c>
      <c r="D98" s="11" t="s">
        <v>1512</v>
      </c>
      <c r="E98" s="69">
        <v>222.56</v>
      </c>
      <c r="F98" s="11" t="s">
        <v>1513</v>
      </c>
      <c r="G98" s="9">
        <v>45543.0</v>
      </c>
      <c r="H98" s="70">
        <f t="shared" si="1"/>
        <v>8</v>
      </c>
      <c r="I98" s="70">
        <f t="shared" si="2"/>
        <v>9</v>
      </c>
      <c r="J98" s="70">
        <f t="shared" si="3"/>
        <v>2024</v>
      </c>
      <c r="K98" s="70" t="str">
        <f t="shared" si="4"/>
        <v>09/2024</v>
      </c>
    </row>
    <row r="99" hidden="1">
      <c r="A99" s="9">
        <v>45543.0</v>
      </c>
      <c r="B99" s="11" t="s">
        <v>1514</v>
      </c>
      <c r="C99" s="11" t="s">
        <v>37</v>
      </c>
      <c r="D99" s="11" t="s">
        <v>1515</v>
      </c>
      <c r="E99" s="69">
        <v>1173.59</v>
      </c>
      <c r="F99" s="11" t="s">
        <v>1516</v>
      </c>
      <c r="G99" s="9">
        <v>45543.0</v>
      </c>
      <c r="H99" s="70">
        <f t="shared" si="1"/>
        <v>8</v>
      </c>
      <c r="I99" s="70">
        <f t="shared" si="2"/>
        <v>9</v>
      </c>
      <c r="J99" s="70">
        <f t="shared" si="3"/>
        <v>2024</v>
      </c>
      <c r="K99" s="70" t="str">
        <f t="shared" si="4"/>
        <v>09/2024</v>
      </c>
    </row>
    <row r="100" hidden="1">
      <c r="A100" s="9">
        <v>45544.0</v>
      </c>
      <c r="B100" s="11" t="s">
        <v>1523</v>
      </c>
      <c r="C100" s="11" t="s">
        <v>27</v>
      </c>
      <c r="D100" s="11" t="s">
        <v>1524</v>
      </c>
      <c r="E100" s="69">
        <v>15190.8</v>
      </c>
      <c r="F100" s="11" t="s">
        <v>1513</v>
      </c>
      <c r="G100" s="9">
        <v>45544.0</v>
      </c>
      <c r="H100" s="70">
        <f t="shared" si="1"/>
        <v>9</v>
      </c>
      <c r="I100" s="70">
        <f t="shared" si="2"/>
        <v>9</v>
      </c>
      <c r="J100" s="70">
        <f t="shared" si="3"/>
        <v>2024</v>
      </c>
      <c r="K100" s="70" t="str">
        <f t="shared" si="4"/>
        <v>09/2024</v>
      </c>
    </row>
    <row r="101" hidden="1">
      <c r="A101" s="9">
        <v>45544.0</v>
      </c>
      <c r="B101" s="11" t="s">
        <v>1511</v>
      </c>
      <c r="C101" s="11" t="s">
        <v>27</v>
      </c>
      <c r="D101" s="11" t="s">
        <v>1512</v>
      </c>
      <c r="E101" s="69">
        <v>574.61</v>
      </c>
      <c r="F101" s="11" t="s">
        <v>1513</v>
      </c>
      <c r="G101" s="9">
        <v>45544.0</v>
      </c>
      <c r="H101" s="70">
        <f t="shared" si="1"/>
        <v>9</v>
      </c>
      <c r="I101" s="70">
        <f t="shared" si="2"/>
        <v>9</v>
      </c>
      <c r="J101" s="70">
        <f t="shared" si="3"/>
        <v>2024</v>
      </c>
      <c r="K101" s="70" t="str">
        <f t="shared" si="4"/>
        <v>09/2024</v>
      </c>
    </row>
    <row r="102" hidden="1">
      <c r="A102" s="9">
        <v>45544.0</v>
      </c>
      <c r="B102" s="11" t="s">
        <v>1514</v>
      </c>
      <c r="C102" s="11" t="s">
        <v>37</v>
      </c>
      <c r="D102" s="11" t="s">
        <v>1515</v>
      </c>
      <c r="E102" s="69">
        <v>425.91</v>
      </c>
      <c r="F102" s="11" t="s">
        <v>1516</v>
      </c>
      <c r="G102" s="9">
        <v>45544.0</v>
      </c>
      <c r="H102" s="70">
        <f t="shared" si="1"/>
        <v>9</v>
      </c>
      <c r="I102" s="70">
        <f t="shared" si="2"/>
        <v>9</v>
      </c>
      <c r="J102" s="70">
        <f t="shared" si="3"/>
        <v>2024</v>
      </c>
      <c r="K102" s="70" t="str">
        <f t="shared" si="4"/>
        <v>09/2024</v>
      </c>
    </row>
    <row r="103" hidden="1">
      <c r="A103" s="9">
        <v>45545.0</v>
      </c>
      <c r="B103" s="11" t="s">
        <v>1511</v>
      </c>
      <c r="C103" s="11" t="s">
        <v>27</v>
      </c>
      <c r="D103" s="11" t="s">
        <v>1512</v>
      </c>
      <c r="E103" s="69">
        <v>1242.36</v>
      </c>
      <c r="F103" s="11" t="s">
        <v>1513</v>
      </c>
      <c r="G103" s="9">
        <v>45545.0</v>
      </c>
      <c r="H103" s="70">
        <f t="shared" si="1"/>
        <v>10</v>
      </c>
      <c r="I103" s="70">
        <f t="shared" si="2"/>
        <v>9</v>
      </c>
      <c r="J103" s="70">
        <f t="shared" si="3"/>
        <v>2024</v>
      </c>
      <c r="K103" s="70" t="str">
        <f t="shared" si="4"/>
        <v>09/2024</v>
      </c>
    </row>
    <row r="104" hidden="1">
      <c r="A104" s="9">
        <v>45545.0</v>
      </c>
      <c r="B104" s="11" t="s">
        <v>1514</v>
      </c>
      <c r="C104" s="11" t="s">
        <v>37</v>
      </c>
      <c r="D104" s="11" t="s">
        <v>1515</v>
      </c>
      <c r="E104" s="69">
        <v>820.34</v>
      </c>
      <c r="F104" s="11" t="s">
        <v>1516</v>
      </c>
      <c r="G104" s="9">
        <v>45545.0</v>
      </c>
      <c r="H104" s="70">
        <f t="shared" si="1"/>
        <v>10</v>
      </c>
      <c r="I104" s="70">
        <f t="shared" si="2"/>
        <v>9</v>
      </c>
      <c r="J104" s="70">
        <f t="shared" si="3"/>
        <v>2024</v>
      </c>
      <c r="K104" s="70" t="str">
        <f t="shared" si="4"/>
        <v>09/2024</v>
      </c>
    </row>
    <row r="105" hidden="1">
      <c r="A105" s="9">
        <v>45546.0</v>
      </c>
      <c r="B105" s="11" t="s">
        <v>1511</v>
      </c>
      <c r="C105" s="11" t="s">
        <v>27</v>
      </c>
      <c r="D105" s="11" t="s">
        <v>1512</v>
      </c>
      <c r="E105" s="69">
        <v>1449.3</v>
      </c>
      <c r="F105" s="11" t="s">
        <v>1513</v>
      </c>
      <c r="G105" s="9">
        <v>45546.0</v>
      </c>
      <c r="H105" s="70">
        <f t="shared" si="1"/>
        <v>11</v>
      </c>
      <c r="I105" s="70">
        <f t="shared" si="2"/>
        <v>9</v>
      </c>
      <c r="J105" s="70">
        <f t="shared" si="3"/>
        <v>2024</v>
      </c>
      <c r="K105" s="70" t="str">
        <f t="shared" si="4"/>
        <v>09/2024</v>
      </c>
    </row>
    <row r="106" hidden="1">
      <c r="A106" s="9">
        <v>45546.0</v>
      </c>
      <c r="B106" s="11" t="s">
        <v>1521</v>
      </c>
      <c r="C106" s="11" t="s">
        <v>27</v>
      </c>
      <c r="D106" s="11" t="s">
        <v>1522</v>
      </c>
      <c r="E106" s="69">
        <v>1135.61</v>
      </c>
      <c r="F106" s="11" t="s">
        <v>1513</v>
      </c>
      <c r="G106" s="9">
        <v>45546.0</v>
      </c>
      <c r="H106" s="70">
        <f t="shared" si="1"/>
        <v>11</v>
      </c>
      <c r="I106" s="70">
        <f t="shared" si="2"/>
        <v>9</v>
      </c>
      <c r="J106" s="70">
        <f t="shared" si="3"/>
        <v>2024</v>
      </c>
      <c r="K106" s="70" t="str">
        <f t="shared" si="4"/>
        <v>09/2024</v>
      </c>
    </row>
    <row r="107" hidden="1">
      <c r="A107" s="9">
        <v>45546.0</v>
      </c>
      <c r="B107" s="11" t="s">
        <v>1514</v>
      </c>
      <c r="C107" s="11" t="s">
        <v>37</v>
      </c>
      <c r="D107" s="11" t="s">
        <v>1515</v>
      </c>
      <c r="E107" s="69">
        <v>1150.57</v>
      </c>
      <c r="F107" s="11" t="s">
        <v>1516</v>
      </c>
      <c r="G107" s="9">
        <v>45546.0</v>
      </c>
      <c r="H107" s="70">
        <f t="shared" si="1"/>
        <v>11</v>
      </c>
      <c r="I107" s="70">
        <f t="shared" si="2"/>
        <v>9</v>
      </c>
      <c r="J107" s="70">
        <f t="shared" si="3"/>
        <v>2024</v>
      </c>
      <c r="K107" s="70" t="str">
        <f t="shared" si="4"/>
        <v>09/2024</v>
      </c>
    </row>
    <row r="108" hidden="1">
      <c r="A108" s="27">
        <v>45546.0</v>
      </c>
      <c r="B108" s="28" t="s">
        <v>1511</v>
      </c>
      <c r="C108" s="28" t="s">
        <v>66</v>
      </c>
      <c r="D108" s="28" t="s">
        <v>1512</v>
      </c>
      <c r="E108" s="71">
        <v>441.95</v>
      </c>
      <c r="F108" s="29" t="s">
        <v>1516</v>
      </c>
      <c r="G108" s="27">
        <v>45546.0</v>
      </c>
      <c r="H108" s="70">
        <f t="shared" si="1"/>
        <v>11</v>
      </c>
      <c r="I108" s="70">
        <f t="shared" si="2"/>
        <v>9</v>
      </c>
      <c r="J108" s="70">
        <f t="shared" si="3"/>
        <v>2024</v>
      </c>
      <c r="K108" s="70" t="str">
        <f t="shared" si="4"/>
        <v>09/2024</v>
      </c>
    </row>
    <row r="109" hidden="1">
      <c r="A109" s="9">
        <v>45547.0</v>
      </c>
      <c r="B109" s="11" t="s">
        <v>1511</v>
      </c>
      <c r="C109" s="11" t="s">
        <v>27</v>
      </c>
      <c r="D109" s="11" t="s">
        <v>1512</v>
      </c>
      <c r="E109" s="69">
        <v>2275.32</v>
      </c>
      <c r="F109" s="11" t="s">
        <v>1513</v>
      </c>
      <c r="G109" s="9">
        <v>45547.0</v>
      </c>
      <c r="H109" s="70">
        <f t="shared" si="1"/>
        <v>12</v>
      </c>
      <c r="I109" s="70">
        <f t="shared" si="2"/>
        <v>9</v>
      </c>
      <c r="J109" s="70">
        <f t="shared" si="3"/>
        <v>2024</v>
      </c>
      <c r="K109" s="70" t="str">
        <f t="shared" si="4"/>
        <v>09/2024</v>
      </c>
    </row>
    <row r="110" hidden="1">
      <c r="A110" s="9">
        <v>45547.0</v>
      </c>
      <c r="B110" s="11" t="s">
        <v>1514</v>
      </c>
      <c r="C110" s="11" t="s">
        <v>37</v>
      </c>
      <c r="D110" s="11" t="s">
        <v>1515</v>
      </c>
      <c r="E110" s="69">
        <v>1498.03</v>
      </c>
      <c r="F110" s="11" t="s">
        <v>1516</v>
      </c>
      <c r="G110" s="9">
        <v>45547.0</v>
      </c>
      <c r="H110" s="70">
        <f t="shared" si="1"/>
        <v>12</v>
      </c>
      <c r="I110" s="70">
        <f t="shared" si="2"/>
        <v>9</v>
      </c>
      <c r="J110" s="70">
        <f t="shared" si="3"/>
        <v>2024</v>
      </c>
      <c r="K110" s="70" t="str">
        <f t="shared" si="4"/>
        <v>09/2024</v>
      </c>
    </row>
    <row r="111" hidden="1">
      <c r="A111" s="9">
        <v>45547.0</v>
      </c>
      <c r="B111" s="11" t="s">
        <v>44</v>
      </c>
      <c r="C111" s="11" t="s">
        <v>27</v>
      </c>
      <c r="D111" s="11" t="s">
        <v>1526</v>
      </c>
      <c r="E111" s="69">
        <v>9618.31</v>
      </c>
      <c r="F111" s="11" t="s">
        <v>1513</v>
      </c>
      <c r="G111" s="9">
        <v>45547.0</v>
      </c>
      <c r="H111" s="70">
        <f t="shared" si="1"/>
        <v>12</v>
      </c>
      <c r="I111" s="70">
        <f t="shared" si="2"/>
        <v>9</v>
      </c>
      <c r="J111" s="70">
        <f t="shared" si="3"/>
        <v>2024</v>
      </c>
      <c r="K111" s="70" t="str">
        <f t="shared" si="4"/>
        <v>09/2024</v>
      </c>
    </row>
    <row r="112" hidden="1">
      <c r="A112" s="9">
        <v>45548.0</v>
      </c>
      <c r="B112" s="11" t="s">
        <v>1511</v>
      </c>
      <c r="C112" s="11" t="s">
        <v>27</v>
      </c>
      <c r="D112" s="11" t="s">
        <v>1512</v>
      </c>
      <c r="E112" s="69">
        <v>1483.86</v>
      </c>
      <c r="F112" s="11" t="s">
        <v>1513</v>
      </c>
      <c r="G112" s="9">
        <v>45548.0</v>
      </c>
      <c r="H112" s="70">
        <f t="shared" si="1"/>
        <v>13</v>
      </c>
      <c r="I112" s="70">
        <f t="shared" si="2"/>
        <v>9</v>
      </c>
      <c r="J112" s="70">
        <f t="shared" si="3"/>
        <v>2024</v>
      </c>
      <c r="K112" s="70" t="str">
        <f t="shared" si="4"/>
        <v>09/2024</v>
      </c>
    </row>
    <row r="113" hidden="1">
      <c r="A113" s="9">
        <v>45548.0</v>
      </c>
      <c r="B113" s="11" t="s">
        <v>1514</v>
      </c>
      <c r="C113" s="11" t="s">
        <v>37</v>
      </c>
      <c r="D113" s="11" t="s">
        <v>1515</v>
      </c>
      <c r="E113" s="69">
        <v>1461.44</v>
      </c>
      <c r="F113" s="11" t="s">
        <v>1516</v>
      </c>
      <c r="G113" s="9">
        <v>45548.0</v>
      </c>
      <c r="H113" s="70">
        <f t="shared" si="1"/>
        <v>13</v>
      </c>
      <c r="I113" s="70">
        <f t="shared" si="2"/>
        <v>9</v>
      </c>
      <c r="J113" s="70">
        <f t="shared" si="3"/>
        <v>2024</v>
      </c>
      <c r="K113" s="70" t="str">
        <f t="shared" si="4"/>
        <v>09/2024</v>
      </c>
    </row>
    <row r="114" hidden="1">
      <c r="A114" s="9">
        <v>45549.0</v>
      </c>
      <c r="B114" s="11" t="s">
        <v>1511</v>
      </c>
      <c r="C114" s="11" t="s">
        <v>27</v>
      </c>
      <c r="D114" s="11" t="s">
        <v>1512</v>
      </c>
      <c r="E114" s="69">
        <v>1651.47</v>
      </c>
      <c r="F114" s="11" t="s">
        <v>1513</v>
      </c>
      <c r="G114" s="9">
        <v>45549.0</v>
      </c>
      <c r="H114" s="70">
        <f t="shared" si="1"/>
        <v>14</v>
      </c>
      <c r="I114" s="70">
        <f t="shared" si="2"/>
        <v>9</v>
      </c>
      <c r="J114" s="70">
        <f t="shared" si="3"/>
        <v>2024</v>
      </c>
      <c r="K114" s="70" t="str">
        <f t="shared" si="4"/>
        <v>09/2024</v>
      </c>
    </row>
    <row r="115" hidden="1">
      <c r="A115" s="9">
        <v>45549.0</v>
      </c>
      <c r="B115" s="11" t="s">
        <v>1514</v>
      </c>
      <c r="C115" s="11" t="s">
        <v>37</v>
      </c>
      <c r="D115" s="11" t="s">
        <v>1515</v>
      </c>
      <c r="E115" s="69">
        <v>1896.02</v>
      </c>
      <c r="F115" s="11" t="s">
        <v>1516</v>
      </c>
      <c r="G115" s="9">
        <v>45549.0</v>
      </c>
      <c r="H115" s="70">
        <f t="shared" si="1"/>
        <v>14</v>
      </c>
      <c r="I115" s="70">
        <f t="shared" si="2"/>
        <v>9</v>
      </c>
      <c r="J115" s="70">
        <f t="shared" si="3"/>
        <v>2024</v>
      </c>
      <c r="K115" s="70" t="str">
        <f t="shared" si="4"/>
        <v>09/2024</v>
      </c>
    </row>
    <row r="116" hidden="1">
      <c r="A116" s="9">
        <v>45550.0</v>
      </c>
      <c r="B116" s="11" t="s">
        <v>1511</v>
      </c>
      <c r="C116" s="11" t="s">
        <v>27</v>
      </c>
      <c r="D116" s="11" t="s">
        <v>1512</v>
      </c>
      <c r="E116" s="69">
        <v>1557.29</v>
      </c>
      <c r="F116" s="11" t="s">
        <v>1513</v>
      </c>
      <c r="G116" s="9">
        <v>45550.0</v>
      </c>
      <c r="H116" s="70">
        <f t="shared" si="1"/>
        <v>15</v>
      </c>
      <c r="I116" s="70">
        <f t="shared" si="2"/>
        <v>9</v>
      </c>
      <c r="J116" s="70">
        <f t="shared" si="3"/>
        <v>2024</v>
      </c>
      <c r="K116" s="70" t="str">
        <f t="shared" si="4"/>
        <v>09/2024</v>
      </c>
    </row>
    <row r="117" hidden="1">
      <c r="A117" s="9">
        <v>45550.0</v>
      </c>
      <c r="B117" s="11" t="s">
        <v>1514</v>
      </c>
      <c r="C117" s="11" t="s">
        <v>37</v>
      </c>
      <c r="D117" s="11" t="s">
        <v>1515</v>
      </c>
      <c r="E117" s="69">
        <v>397.72</v>
      </c>
      <c r="F117" s="11" t="s">
        <v>1516</v>
      </c>
      <c r="G117" s="9">
        <v>45550.0</v>
      </c>
      <c r="H117" s="70">
        <f t="shared" si="1"/>
        <v>15</v>
      </c>
      <c r="I117" s="70">
        <f t="shared" si="2"/>
        <v>9</v>
      </c>
      <c r="J117" s="70">
        <f t="shared" si="3"/>
        <v>2024</v>
      </c>
      <c r="K117" s="70" t="str">
        <f t="shared" si="4"/>
        <v>09/2024</v>
      </c>
    </row>
    <row r="118" hidden="1">
      <c r="A118" s="9">
        <v>45551.0</v>
      </c>
      <c r="B118" s="11" t="s">
        <v>1517</v>
      </c>
      <c r="C118" s="11" t="s">
        <v>27</v>
      </c>
      <c r="D118" s="11" t="s">
        <v>1518</v>
      </c>
      <c r="E118" s="69">
        <v>364.82</v>
      </c>
      <c r="F118" s="11" t="s">
        <v>1513</v>
      </c>
      <c r="G118" s="9">
        <v>45551.0</v>
      </c>
      <c r="H118" s="70">
        <f t="shared" si="1"/>
        <v>16</v>
      </c>
      <c r="I118" s="70">
        <f t="shared" si="2"/>
        <v>9</v>
      </c>
      <c r="J118" s="70">
        <f t="shared" si="3"/>
        <v>2024</v>
      </c>
      <c r="K118" s="70" t="str">
        <f t="shared" si="4"/>
        <v>09/2024</v>
      </c>
    </row>
    <row r="119" hidden="1">
      <c r="A119" s="9">
        <v>45551.0</v>
      </c>
      <c r="B119" s="11" t="s">
        <v>1511</v>
      </c>
      <c r="C119" s="11" t="s">
        <v>27</v>
      </c>
      <c r="D119" s="11" t="s">
        <v>1512</v>
      </c>
      <c r="E119" s="69">
        <v>260.19</v>
      </c>
      <c r="F119" s="11" t="s">
        <v>1513</v>
      </c>
      <c r="G119" s="9">
        <v>45551.0</v>
      </c>
      <c r="H119" s="70">
        <f t="shared" si="1"/>
        <v>16</v>
      </c>
      <c r="I119" s="70">
        <f t="shared" si="2"/>
        <v>9</v>
      </c>
      <c r="J119" s="70">
        <f t="shared" si="3"/>
        <v>2024</v>
      </c>
      <c r="K119" s="70" t="str">
        <f t="shared" si="4"/>
        <v>09/2024</v>
      </c>
    </row>
    <row r="120" hidden="1">
      <c r="A120" s="9">
        <v>45551.0</v>
      </c>
      <c r="B120" s="11" t="s">
        <v>1514</v>
      </c>
      <c r="C120" s="11" t="s">
        <v>37</v>
      </c>
      <c r="D120" s="11" t="s">
        <v>1515</v>
      </c>
      <c r="E120" s="69">
        <v>393.26</v>
      </c>
      <c r="F120" s="11" t="s">
        <v>1516</v>
      </c>
      <c r="G120" s="9">
        <v>45551.0</v>
      </c>
      <c r="H120" s="70">
        <f t="shared" si="1"/>
        <v>16</v>
      </c>
      <c r="I120" s="70">
        <f t="shared" si="2"/>
        <v>9</v>
      </c>
      <c r="J120" s="70">
        <f t="shared" si="3"/>
        <v>2024</v>
      </c>
      <c r="K120" s="70" t="str">
        <f t="shared" si="4"/>
        <v>09/2024</v>
      </c>
    </row>
    <row r="121" hidden="1">
      <c r="A121" s="9">
        <v>45552.0</v>
      </c>
      <c r="B121" s="11" t="s">
        <v>1511</v>
      </c>
      <c r="C121" s="11" t="s">
        <v>27</v>
      </c>
      <c r="D121" s="11" t="s">
        <v>1512</v>
      </c>
      <c r="E121" s="69">
        <v>1945.24</v>
      </c>
      <c r="F121" s="11" t="s">
        <v>1513</v>
      </c>
      <c r="G121" s="9">
        <v>45552.0</v>
      </c>
      <c r="H121" s="70">
        <f t="shared" si="1"/>
        <v>17</v>
      </c>
      <c r="I121" s="70">
        <f t="shared" si="2"/>
        <v>9</v>
      </c>
      <c r="J121" s="70">
        <f t="shared" si="3"/>
        <v>2024</v>
      </c>
      <c r="K121" s="70" t="str">
        <f t="shared" si="4"/>
        <v>09/2024</v>
      </c>
    </row>
    <row r="122" hidden="1">
      <c r="A122" s="9">
        <v>45552.0</v>
      </c>
      <c r="B122" s="11" t="s">
        <v>1514</v>
      </c>
      <c r="C122" s="11" t="s">
        <v>37</v>
      </c>
      <c r="D122" s="11" t="s">
        <v>1515</v>
      </c>
      <c r="E122" s="69">
        <v>1146.25</v>
      </c>
      <c r="F122" s="11" t="s">
        <v>1516</v>
      </c>
      <c r="G122" s="9">
        <v>45552.0</v>
      </c>
      <c r="H122" s="70">
        <f t="shared" si="1"/>
        <v>17</v>
      </c>
      <c r="I122" s="70">
        <f t="shared" si="2"/>
        <v>9</v>
      </c>
      <c r="J122" s="70">
        <f t="shared" si="3"/>
        <v>2024</v>
      </c>
      <c r="K122" s="70" t="str">
        <f t="shared" si="4"/>
        <v>09/2024</v>
      </c>
    </row>
    <row r="123" hidden="1">
      <c r="A123" s="32">
        <v>45553.0</v>
      </c>
      <c r="B123" s="11" t="s">
        <v>1521</v>
      </c>
      <c r="C123" s="11" t="s">
        <v>27</v>
      </c>
      <c r="D123" s="11" t="s">
        <v>1522</v>
      </c>
      <c r="E123" s="69">
        <v>732.89</v>
      </c>
      <c r="F123" s="11" t="s">
        <v>1513</v>
      </c>
      <c r="G123" s="32">
        <v>45553.0</v>
      </c>
      <c r="H123" s="70">
        <f t="shared" si="1"/>
        <v>18</v>
      </c>
      <c r="I123" s="70">
        <f t="shared" si="2"/>
        <v>9</v>
      </c>
      <c r="J123" s="70">
        <f t="shared" si="3"/>
        <v>2024</v>
      </c>
      <c r="K123" s="70" t="str">
        <f t="shared" si="4"/>
        <v>09/2024</v>
      </c>
    </row>
    <row r="124" hidden="1">
      <c r="A124" s="9">
        <v>45553.0</v>
      </c>
      <c r="B124" s="11" t="s">
        <v>1511</v>
      </c>
      <c r="C124" s="11" t="s">
        <v>27</v>
      </c>
      <c r="D124" s="11" t="s">
        <v>1512</v>
      </c>
      <c r="E124" s="69">
        <v>1174.19</v>
      </c>
      <c r="F124" s="11" t="s">
        <v>1513</v>
      </c>
      <c r="G124" s="9">
        <v>45553.0</v>
      </c>
      <c r="H124" s="70">
        <f t="shared" si="1"/>
        <v>18</v>
      </c>
      <c r="I124" s="70">
        <f t="shared" si="2"/>
        <v>9</v>
      </c>
      <c r="J124" s="70">
        <f t="shared" si="3"/>
        <v>2024</v>
      </c>
      <c r="K124" s="70" t="str">
        <f t="shared" si="4"/>
        <v>09/2024</v>
      </c>
    </row>
    <row r="125" hidden="1">
      <c r="A125" s="9">
        <v>45553.0</v>
      </c>
      <c r="B125" s="11" t="s">
        <v>1514</v>
      </c>
      <c r="C125" s="11" t="s">
        <v>37</v>
      </c>
      <c r="D125" s="11" t="s">
        <v>1515</v>
      </c>
      <c r="E125" s="69">
        <v>909.85</v>
      </c>
      <c r="F125" s="11" t="s">
        <v>1516</v>
      </c>
      <c r="G125" s="9">
        <v>45553.0</v>
      </c>
      <c r="H125" s="70">
        <f t="shared" si="1"/>
        <v>18</v>
      </c>
      <c r="I125" s="70">
        <f t="shared" si="2"/>
        <v>9</v>
      </c>
      <c r="J125" s="70">
        <f t="shared" si="3"/>
        <v>2024</v>
      </c>
      <c r="K125" s="70" t="str">
        <f t="shared" si="4"/>
        <v>09/2024</v>
      </c>
    </row>
    <row r="126" hidden="1">
      <c r="A126" s="9">
        <v>45554.0</v>
      </c>
      <c r="B126" s="11" t="s">
        <v>1511</v>
      </c>
      <c r="C126" s="11" t="s">
        <v>27</v>
      </c>
      <c r="D126" s="11" t="s">
        <v>1512</v>
      </c>
      <c r="E126" s="69">
        <v>2515.32</v>
      </c>
      <c r="F126" s="11" t="s">
        <v>1513</v>
      </c>
      <c r="G126" s="9">
        <v>45554.0</v>
      </c>
      <c r="H126" s="70">
        <f t="shared" si="1"/>
        <v>19</v>
      </c>
      <c r="I126" s="70">
        <f t="shared" si="2"/>
        <v>9</v>
      </c>
      <c r="J126" s="70">
        <f t="shared" si="3"/>
        <v>2024</v>
      </c>
      <c r="K126" s="70" t="str">
        <f t="shared" si="4"/>
        <v>09/2024</v>
      </c>
    </row>
    <row r="127" hidden="1">
      <c r="A127" s="26">
        <v>45554.0</v>
      </c>
      <c r="B127" s="28" t="s">
        <v>1514</v>
      </c>
      <c r="C127" s="28" t="s">
        <v>37</v>
      </c>
      <c r="D127" s="28" t="s">
        <v>1515</v>
      </c>
      <c r="E127" s="71">
        <v>1398.05</v>
      </c>
      <c r="F127" s="11" t="s">
        <v>1516</v>
      </c>
      <c r="G127" s="26">
        <v>45554.0</v>
      </c>
      <c r="H127" s="70">
        <f t="shared" si="1"/>
        <v>19</v>
      </c>
      <c r="I127" s="70">
        <f t="shared" si="2"/>
        <v>9</v>
      </c>
      <c r="J127" s="70">
        <f t="shared" si="3"/>
        <v>2024</v>
      </c>
      <c r="K127" s="70" t="str">
        <f t="shared" si="4"/>
        <v>09/2024</v>
      </c>
    </row>
    <row r="128" hidden="1">
      <c r="A128" s="9">
        <v>45555.0</v>
      </c>
      <c r="B128" s="11" t="s">
        <v>1523</v>
      </c>
      <c r="C128" s="11" t="s">
        <v>27</v>
      </c>
      <c r="D128" s="11" t="s">
        <v>1524</v>
      </c>
      <c r="E128" s="69">
        <v>6043.1</v>
      </c>
      <c r="F128" s="11" t="s">
        <v>1513</v>
      </c>
      <c r="G128" s="9">
        <v>45555.0</v>
      </c>
      <c r="H128" s="70">
        <f t="shared" si="1"/>
        <v>20</v>
      </c>
      <c r="I128" s="70">
        <f t="shared" si="2"/>
        <v>9</v>
      </c>
      <c r="J128" s="70">
        <f t="shared" si="3"/>
        <v>2024</v>
      </c>
      <c r="K128" s="70" t="str">
        <f t="shared" si="4"/>
        <v>09/2024</v>
      </c>
    </row>
    <row r="129" hidden="1">
      <c r="A129" s="26">
        <v>45555.0</v>
      </c>
      <c r="B129" s="28" t="s">
        <v>1511</v>
      </c>
      <c r="C129" s="11" t="s">
        <v>27</v>
      </c>
      <c r="D129" s="28" t="s">
        <v>1512</v>
      </c>
      <c r="E129" s="71">
        <v>1825.12</v>
      </c>
      <c r="F129" s="11" t="s">
        <v>1513</v>
      </c>
      <c r="G129" s="26">
        <v>45555.0</v>
      </c>
      <c r="H129" s="70">
        <f t="shared" si="1"/>
        <v>20</v>
      </c>
      <c r="I129" s="70">
        <f t="shared" si="2"/>
        <v>9</v>
      </c>
      <c r="J129" s="70">
        <f t="shared" si="3"/>
        <v>2024</v>
      </c>
      <c r="K129" s="70" t="str">
        <f t="shared" si="4"/>
        <v>09/2024</v>
      </c>
    </row>
    <row r="130" hidden="1">
      <c r="A130" s="26">
        <v>45555.0</v>
      </c>
      <c r="B130" s="28" t="s">
        <v>1514</v>
      </c>
      <c r="C130" s="28" t="s">
        <v>37</v>
      </c>
      <c r="D130" s="28" t="s">
        <v>1515</v>
      </c>
      <c r="E130" s="71">
        <v>1542.4</v>
      </c>
      <c r="F130" s="11" t="s">
        <v>1516</v>
      </c>
      <c r="G130" s="26">
        <v>45555.0</v>
      </c>
      <c r="H130" s="70">
        <f t="shared" si="1"/>
        <v>20</v>
      </c>
      <c r="I130" s="70">
        <f t="shared" si="2"/>
        <v>9</v>
      </c>
      <c r="J130" s="70">
        <f t="shared" si="3"/>
        <v>2024</v>
      </c>
      <c r="K130" s="70" t="str">
        <f t="shared" si="4"/>
        <v>09/2024</v>
      </c>
    </row>
    <row r="131" hidden="1">
      <c r="A131" s="26">
        <v>45556.0</v>
      </c>
      <c r="B131" s="28" t="s">
        <v>1511</v>
      </c>
      <c r="C131" s="11" t="s">
        <v>27</v>
      </c>
      <c r="D131" s="28" t="s">
        <v>1512</v>
      </c>
      <c r="E131" s="71">
        <v>2372.08</v>
      </c>
      <c r="F131" s="11" t="s">
        <v>1513</v>
      </c>
      <c r="G131" s="26">
        <v>45556.0</v>
      </c>
      <c r="H131" s="70">
        <f t="shared" si="1"/>
        <v>21</v>
      </c>
      <c r="I131" s="70">
        <f t="shared" si="2"/>
        <v>9</v>
      </c>
      <c r="J131" s="70">
        <f t="shared" si="3"/>
        <v>2024</v>
      </c>
      <c r="K131" s="70" t="str">
        <f t="shared" si="4"/>
        <v>09/2024</v>
      </c>
    </row>
    <row r="132" hidden="1">
      <c r="A132" s="26">
        <v>45556.0</v>
      </c>
      <c r="B132" s="28" t="s">
        <v>1514</v>
      </c>
      <c r="C132" s="28" t="s">
        <v>37</v>
      </c>
      <c r="D132" s="28" t="s">
        <v>1515</v>
      </c>
      <c r="E132" s="71">
        <v>900.79</v>
      </c>
      <c r="F132" s="11" t="s">
        <v>1516</v>
      </c>
      <c r="G132" s="26">
        <v>45556.0</v>
      </c>
      <c r="H132" s="70">
        <f t="shared" si="1"/>
        <v>21</v>
      </c>
      <c r="I132" s="70">
        <f t="shared" si="2"/>
        <v>9</v>
      </c>
      <c r="J132" s="70">
        <f t="shared" si="3"/>
        <v>2024</v>
      </c>
      <c r="K132" s="70" t="str">
        <f t="shared" si="4"/>
        <v>09/2024</v>
      </c>
    </row>
    <row r="133" hidden="1">
      <c r="A133" s="26">
        <v>45557.0</v>
      </c>
      <c r="B133" s="28" t="s">
        <v>1511</v>
      </c>
      <c r="C133" s="11" t="s">
        <v>27</v>
      </c>
      <c r="D133" s="28" t="s">
        <v>1512</v>
      </c>
      <c r="E133" s="71">
        <v>1432.05</v>
      </c>
      <c r="F133" s="11" t="s">
        <v>1513</v>
      </c>
      <c r="G133" s="26">
        <v>45557.0</v>
      </c>
      <c r="H133" s="70">
        <f t="shared" si="1"/>
        <v>22</v>
      </c>
      <c r="I133" s="70">
        <f t="shared" si="2"/>
        <v>9</v>
      </c>
      <c r="J133" s="70">
        <f t="shared" si="3"/>
        <v>2024</v>
      </c>
      <c r="K133" s="70" t="str">
        <f t="shared" si="4"/>
        <v>09/2024</v>
      </c>
    </row>
    <row r="134" hidden="1">
      <c r="A134" s="26">
        <v>45557.0</v>
      </c>
      <c r="B134" s="28" t="s">
        <v>1514</v>
      </c>
      <c r="C134" s="28" t="s">
        <v>37</v>
      </c>
      <c r="D134" s="28" t="s">
        <v>1515</v>
      </c>
      <c r="E134" s="71">
        <v>1212.46</v>
      </c>
      <c r="F134" s="11" t="s">
        <v>1516</v>
      </c>
      <c r="G134" s="26">
        <v>45557.0</v>
      </c>
      <c r="H134" s="70">
        <f t="shared" si="1"/>
        <v>22</v>
      </c>
      <c r="I134" s="70">
        <f t="shared" si="2"/>
        <v>9</v>
      </c>
      <c r="J134" s="70">
        <f t="shared" si="3"/>
        <v>2024</v>
      </c>
      <c r="K134" s="70" t="str">
        <f t="shared" si="4"/>
        <v>09/2024</v>
      </c>
    </row>
    <row r="135" hidden="1">
      <c r="A135" s="26">
        <v>45558.0</v>
      </c>
      <c r="B135" s="28" t="s">
        <v>1511</v>
      </c>
      <c r="C135" s="11" t="s">
        <v>27</v>
      </c>
      <c r="D135" s="28" t="s">
        <v>1512</v>
      </c>
      <c r="E135" s="71">
        <v>1686.92</v>
      </c>
      <c r="F135" s="11" t="s">
        <v>1513</v>
      </c>
      <c r="G135" s="26">
        <v>45558.0</v>
      </c>
      <c r="H135" s="70">
        <f t="shared" si="1"/>
        <v>23</v>
      </c>
      <c r="I135" s="70">
        <f t="shared" si="2"/>
        <v>9</v>
      </c>
      <c r="J135" s="70">
        <f t="shared" si="3"/>
        <v>2024</v>
      </c>
      <c r="K135" s="70" t="str">
        <f t="shared" si="4"/>
        <v>09/2024</v>
      </c>
    </row>
    <row r="136" hidden="1">
      <c r="A136" s="26">
        <v>45558.0</v>
      </c>
      <c r="B136" s="28" t="s">
        <v>1514</v>
      </c>
      <c r="C136" s="28" t="s">
        <v>37</v>
      </c>
      <c r="D136" s="28" t="s">
        <v>1515</v>
      </c>
      <c r="E136" s="71">
        <v>510.31</v>
      </c>
      <c r="F136" s="11" t="s">
        <v>1516</v>
      </c>
      <c r="G136" s="26">
        <v>45558.0</v>
      </c>
      <c r="H136" s="70">
        <f t="shared" si="1"/>
        <v>23</v>
      </c>
      <c r="I136" s="70">
        <f t="shared" si="2"/>
        <v>9</v>
      </c>
      <c r="J136" s="70">
        <f t="shared" si="3"/>
        <v>2024</v>
      </c>
      <c r="K136" s="70" t="str">
        <f t="shared" si="4"/>
        <v>09/2024</v>
      </c>
    </row>
    <row r="137" hidden="1">
      <c r="A137" s="9">
        <v>45558.0</v>
      </c>
      <c r="B137" s="11" t="s">
        <v>1523</v>
      </c>
      <c r="C137" s="11" t="s">
        <v>27</v>
      </c>
      <c r="D137" s="11" t="s">
        <v>1524</v>
      </c>
      <c r="E137" s="69">
        <v>14850.25</v>
      </c>
      <c r="F137" s="11" t="s">
        <v>1513</v>
      </c>
      <c r="G137" s="9">
        <v>45558.0</v>
      </c>
      <c r="H137" s="70">
        <f t="shared" si="1"/>
        <v>23</v>
      </c>
      <c r="I137" s="70">
        <f t="shared" si="2"/>
        <v>9</v>
      </c>
      <c r="J137" s="70">
        <f t="shared" si="3"/>
        <v>2024</v>
      </c>
      <c r="K137" s="70" t="str">
        <f t="shared" si="4"/>
        <v>09/2024</v>
      </c>
    </row>
    <row r="138" hidden="1">
      <c r="A138" s="26">
        <v>45559.0</v>
      </c>
      <c r="B138" s="28" t="s">
        <v>1511</v>
      </c>
      <c r="C138" s="11" t="s">
        <v>27</v>
      </c>
      <c r="D138" s="28" t="s">
        <v>1512</v>
      </c>
      <c r="E138" s="71">
        <v>1965.4</v>
      </c>
      <c r="F138" s="11" t="s">
        <v>1513</v>
      </c>
      <c r="G138" s="26">
        <v>45559.0</v>
      </c>
      <c r="H138" s="70">
        <f t="shared" si="1"/>
        <v>24</v>
      </c>
      <c r="I138" s="70">
        <f t="shared" si="2"/>
        <v>9</v>
      </c>
      <c r="J138" s="70">
        <f t="shared" si="3"/>
        <v>2024</v>
      </c>
      <c r="K138" s="70" t="str">
        <f t="shared" si="4"/>
        <v>09/2024</v>
      </c>
    </row>
    <row r="139" hidden="1">
      <c r="A139" s="26">
        <v>45559.0</v>
      </c>
      <c r="B139" s="28" t="s">
        <v>1514</v>
      </c>
      <c r="C139" s="28" t="s">
        <v>37</v>
      </c>
      <c r="D139" s="28" t="s">
        <v>1515</v>
      </c>
      <c r="E139" s="71">
        <v>422.6</v>
      </c>
      <c r="F139" s="11" t="s">
        <v>1516</v>
      </c>
      <c r="G139" s="26">
        <v>45559.0</v>
      </c>
      <c r="H139" s="70">
        <f t="shared" si="1"/>
        <v>24</v>
      </c>
      <c r="I139" s="70">
        <f t="shared" si="2"/>
        <v>9</v>
      </c>
      <c r="J139" s="70">
        <f t="shared" si="3"/>
        <v>2024</v>
      </c>
      <c r="K139" s="70" t="str">
        <f t="shared" si="4"/>
        <v>09/2024</v>
      </c>
    </row>
    <row r="140" hidden="1">
      <c r="A140" s="32">
        <v>45560.0</v>
      </c>
      <c r="B140" s="11" t="s">
        <v>1521</v>
      </c>
      <c r="C140" s="11" t="s">
        <v>27</v>
      </c>
      <c r="D140" s="11" t="s">
        <v>1522</v>
      </c>
      <c r="E140" s="69">
        <v>1352.29</v>
      </c>
      <c r="F140" s="11" t="s">
        <v>1513</v>
      </c>
      <c r="G140" s="32">
        <v>45560.0</v>
      </c>
      <c r="H140" s="70">
        <f t="shared" si="1"/>
        <v>25</v>
      </c>
      <c r="I140" s="70">
        <f t="shared" si="2"/>
        <v>9</v>
      </c>
      <c r="J140" s="70">
        <f t="shared" si="3"/>
        <v>2024</v>
      </c>
      <c r="K140" s="70" t="str">
        <f t="shared" si="4"/>
        <v>09/2024</v>
      </c>
    </row>
    <row r="141" hidden="1">
      <c r="A141" s="26">
        <v>45560.0</v>
      </c>
      <c r="B141" s="28" t="s">
        <v>1511</v>
      </c>
      <c r="C141" s="11" t="s">
        <v>27</v>
      </c>
      <c r="D141" s="28" t="s">
        <v>1512</v>
      </c>
      <c r="E141" s="71">
        <v>1513.49</v>
      </c>
      <c r="F141" s="11" t="s">
        <v>1513</v>
      </c>
      <c r="G141" s="27">
        <v>45559.0</v>
      </c>
      <c r="H141" s="70">
        <f t="shared" si="1"/>
        <v>25</v>
      </c>
      <c r="I141" s="70">
        <f t="shared" si="2"/>
        <v>9</v>
      </c>
      <c r="J141" s="70">
        <f t="shared" si="3"/>
        <v>2024</v>
      </c>
      <c r="K141" s="70" t="str">
        <f t="shared" si="4"/>
        <v>09/2024</v>
      </c>
    </row>
    <row r="142" hidden="1">
      <c r="A142" s="26">
        <v>45560.0</v>
      </c>
      <c r="B142" s="28" t="s">
        <v>1514</v>
      </c>
      <c r="C142" s="28" t="s">
        <v>37</v>
      </c>
      <c r="D142" s="28" t="s">
        <v>1515</v>
      </c>
      <c r="E142" s="71">
        <v>2027.98</v>
      </c>
      <c r="F142" s="11" t="s">
        <v>1516</v>
      </c>
      <c r="G142" s="26">
        <v>45560.0</v>
      </c>
      <c r="H142" s="70">
        <f t="shared" si="1"/>
        <v>25</v>
      </c>
      <c r="I142" s="70">
        <f t="shared" si="2"/>
        <v>9</v>
      </c>
      <c r="J142" s="70">
        <f t="shared" si="3"/>
        <v>2024</v>
      </c>
      <c r="K142" s="70" t="str">
        <f t="shared" si="4"/>
        <v>09/2024</v>
      </c>
    </row>
    <row r="143" hidden="1">
      <c r="A143" s="26">
        <v>45561.0</v>
      </c>
      <c r="B143" s="28" t="s">
        <v>1511</v>
      </c>
      <c r="C143" s="11" t="s">
        <v>27</v>
      </c>
      <c r="D143" s="28" t="s">
        <v>1512</v>
      </c>
      <c r="E143" s="71">
        <v>1107.22</v>
      </c>
      <c r="F143" s="29" t="s">
        <v>1513</v>
      </c>
      <c r="G143" s="26">
        <v>45561.0</v>
      </c>
      <c r="H143" s="70">
        <f t="shared" si="1"/>
        <v>26</v>
      </c>
      <c r="I143" s="70">
        <f t="shared" si="2"/>
        <v>9</v>
      </c>
      <c r="J143" s="70">
        <f t="shared" si="3"/>
        <v>2024</v>
      </c>
      <c r="K143" s="70" t="str">
        <f t="shared" si="4"/>
        <v>09/2024</v>
      </c>
    </row>
    <row r="144" hidden="1">
      <c r="A144" s="9">
        <v>45561.0</v>
      </c>
      <c r="B144" s="28" t="s">
        <v>1514</v>
      </c>
      <c r="C144" s="28" t="s">
        <v>37</v>
      </c>
      <c r="D144" s="28" t="s">
        <v>1515</v>
      </c>
      <c r="E144" s="69">
        <v>619.25</v>
      </c>
      <c r="F144" s="11" t="s">
        <v>1516</v>
      </c>
      <c r="G144" s="9">
        <v>45561.0</v>
      </c>
      <c r="H144" s="70">
        <f t="shared" si="1"/>
        <v>26</v>
      </c>
      <c r="I144" s="70">
        <f t="shared" si="2"/>
        <v>9</v>
      </c>
      <c r="J144" s="70">
        <f t="shared" si="3"/>
        <v>2024</v>
      </c>
      <c r="K144" s="70" t="str">
        <f t="shared" si="4"/>
        <v>09/2024</v>
      </c>
    </row>
    <row r="145" hidden="1">
      <c r="A145" s="26">
        <v>45562.0</v>
      </c>
      <c r="B145" s="28" t="s">
        <v>1511</v>
      </c>
      <c r="C145" s="11" t="s">
        <v>27</v>
      </c>
      <c r="D145" s="28" t="s">
        <v>1512</v>
      </c>
      <c r="E145" s="69">
        <v>1810.82</v>
      </c>
      <c r="F145" s="29" t="s">
        <v>1513</v>
      </c>
      <c r="G145" s="26">
        <v>45562.0</v>
      </c>
      <c r="H145" s="70">
        <f t="shared" si="1"/>
        <v>27</v>
      </c>
      <c r="I145" s="70">
        <f t="shared" si="2"/>
        <v>9</v>
      </c>
      <c r="J145" s="70">
        <f t="shared" si="3"/>
        <v>2024</v>
      </c>
      <c r="K145" s="70" t="str">
        <f t="shared" si="4"/>
        <v>09/2024</v>
      </c>
    </row>
    <row r="146" hidden="1">
      <c r="A146" s="9">
        <v>45562.0</v>
      </c>
      <c r="B146" s="28" t="s">
        <v>1514</v>
      </c>
      <c r="C146" s="28" t="s">
        <v>37</v>
      </c>
      <c r="D146" s="28" t="s">
        <v>1515</v>
      </c>
      <c r="E146" s="69">
        <v>454.03</v>
      </c>
      <c r="F146" s="11" t="s">
        <v>1516</v>
      </c>
      <c r="G146" s="9">
        <v>45562.0</v>
      </c>
      <c r="H146" s="70">
        <f t="shared" si="1"/>
        <v>27</v>
      </c>
      <c r="I146" s="70">
        <f t="shared" si="2"/>
        <v>9</v>
      </c>
      <c r="J146" s="70">
        <f t="shared" si="3"/>
        <v>2024</v>
      </c>
      <c r="K146" s="70" t="str">
        <f t="shared" si="4"/>
        <v>09/2024</v>
      </c>
    </row>
    <row r="147" hidden="1">
      <c r="A147" s="26">
        <v>45563.0</v>
      </c>
      <c r="B147" s="28" t="s">
        <v>1511</v>
      </c>
      <c r="C147" s="11" t="s">
        <v>27</v>
      </c>
      <c r="D147" s="28" t="s">
        <v>1512</v>
      </c>
      <c r="E147" s="69">
        <v>1168.59</v>
      </c>
      <c r="F147" s="29" t="s">
        <v>1513</v>
      </c>
      <c r="G147" s="26">
        <v>45563.0</v>
      </c>
      <c r="H147" s="70">
        <f t="shared" si="1"/>
        <v>28</v>
      </c>
      <c r="I147" s="70">
        <f t="shared" si="2"/>
        <v>9</v>
      </c>
      <c r="J147" s="70">
        <f t="shared" si="3"/>
        <v>2024</v>
      </c>
      <c r="K147" s="70" t="str">
        <f t="shared" si="4"/>
        <v>09/2024</v>
      </c>
    </row>
    <row r="148" hidden="1">
      <c r="A148" s="9">
        <v>45563.0</v>
      </c>
      <c r="B148" s="28" t="s">
        <v>1514</v>
      </c>
      <c r="C148" s="28" t="s">
        <v>37</v>
      </c>
      <c r="D148" s="28" t="s">
        <v>1515</v>
      </c>
      <c r="E148" s="69">
        <v>804.54</v>
      </c>
      <c r="F148" s="11" t="s">
        <v>1516</v>
      </c>
      <c r="G148" s="9">
        <v>45563.0</v>
      </c>
      <c r="H148" s="70">
        <f t="shared" si="1"/>
        <v>28</v>
      </c>
      <c r="I148" s="70">
        <f t="shared" si="2"/>
        <v>9</v>
      </c>
      <c r="J148" s="70">
        <f t="shared" si="3"/>
        <v>2024</v>
      </c>
      <c r="K148" s="70" t="str">
        <f t="shared" si="4"/>
        <v>09/2024</v>
      </c>
    </row>
    <row r="149" hidden="1">
      <c r="A149" s="26">
        <v>45564.0</v>
      </c>
      <c r="B149" s="28" t="s">
        <v>1511</v>
      </c>
      <c r="C149" s="11" t="s">
        <v>27</v>
      </c>
      <c r="D149" s="28" t="s">
        <v>1512</v>
      </c>
      <c r="E149" s="69">
        <v>1738.23</v>
      </c>
      <c r="F149" s="29" t="s">
        <v>1513</v>
      </c>
      <c r="G149" s="26">
        <v>45564.0</v>
      </c>
      <c r="H149" s="70">
        <f t="shared" si="1"/>
        <v>29</v>
      </c>
      <c r="I149" s="70">
        <f t="shared" si="2"/>
        <v>9</v>
      </c>
      <c r="J149" s="70">
        <f t="shared" si="3"/>
        <v>2024</v>
      </c>
      <c r="K149" s="70" t="str">
        <f t="shared" si="4"/>
        <v>09/2024</v>
      </c>
    </row>
    <row r="150" hidden="1">
      <c r="A150" s="9">
        <v>45564.0</v>
      </c>
      <c r="B150" s="28" t="s">
        <v>1514</v>
      </c>
      <c r="C150" s="28" t="s">
        <v>37</v>
      </c>
      <c r="D150" s="28" t="s">
        <v>1515</v>
      </c>
      <c r="E150" s="69">
        <v>1424.79</v>
      </c>
      <c r="F150" s="11" t="s">
        <v>1516</v>
      </c>
      <c r="G150" s="9">
        <v>45564.0</v>
      </c>
      <c r="H150" s="70">
        <f t="shared" si="1"/>
        <v>29</v>
      </c>
      <c r="I150" s="70">
        <f t="shared" si="2"/>
        <v>9</v>
      </c>
      <c r="J150" s="70">
        <f t="shared" si="3"/>
        <v>2024</v>
      </c>
      <c r="K150" s="70" t="str">
        <f t="shared" si="4"/>
        <v>09/2024</v>
      </c>
    </row>
    <row r="151" hidden="1">
      <c r="A151" s="9">
        <v>45565.0</v>
      </c>
      <c r="B151" s="28" t="s">
        <v>1514</v>
      </c>
      <c r="C151" s="28" t="s">
        <v>37</v>
      </c>
      <c r="D151" s="28" t="s">
        <v>1515</v>
      </c>
      <c r="E151" s="69">
        <v>234.71</v>
      </c>
      <c r="F151" s="11" t="s">
        <v>1516</v>
      </c>
      <c r="G151" s="9">
        <v>45565.0</v>
      </c>
      <c r="H151" s="70">
        <f t="shared" si="1"/>
        <v>30</v>
      </c>
      <c r="I151" s="70">
        <f t="shared" si="2"/>
        <v>9</v>
      </c>
      <c r="J151" s="70">
        <f t="shared" si="3"/>
        <v>2024</v>
      </c>
      <c r="K151" s="70" t="str">
        <f t="shared" si="4"/>
        <v>09/2024</v>
      </c>
    </row>
    <row r="152" hidden="1">
      <c r="A152" s="26">
        <v>45566.0</v>
      </c>
      <c r="B152" s="28" t="s">
        <v>1511</v>
      </c>
      <c r="C152" s="29" t="s">
        <v>27</v>
      </c>
      <c r="D152" s="28" t="s">
        <v>1512</v>
      </c>
      <c r="E152" s="71">
        <v>1024.92</v>
      </c>
      <c r="F152" s="29" t="s">
        <v>1513</v>
      </c>
      <c r="G152" s="26">
        <v>45566.0</v>
      </c>
      <c r="H152" s="70">
        <f t="shared" si="1"/>
        <v>1</v>
      </c>
      <c r="I152" s="70">
        <f t="shared" si="2"/>
        <v>10</v>
      </c>
      <c r="J152" s="70">
        <f t="shared" si="3"/>
        <v>2024</v>
      </c>
      <c r="K152" s="70" t="str">
        <f t="shared" si="4"/>
        <v>10/2024</v>
      </c>
    </row>
    <row r="153" hidden="1">
      <c r="A153" s="26">
        <v>45566.0</v>
      </c>
      <c r="B153" s="28" t="s">
        <v>1514</v>
      </c>
      <c r="C153" s="28" t="s">
        <v>37</v>
      </c>
      <c r="D153" s="28" t="s">
        <v>1515</v>
      </c>
      <c r="E153" s="71">
        <v>863.47</v>
      </c>
      <c r="F153" s="29" t="s">
        <v>1516</v>
      </c>
      <c r="G153" s="26">
        <v>45566.0</v>
      </c>
      <c r="H153" s="70">
        <f t="shared" si="1"/>
        <v>1</v>
      </c>
      <c r="I153" s="70">
        <f t="shared" si="2"/>
        <v>10</v>
      </c>
      <c r="J153" s="70">
        <f t="shared" si="3"/>
        <v>2024</v>
      </c>
      <c r="K153" s="70" t="str">
        <f t="shared" si="4"/>
        <v>10/2024</v>
      </c>
    </row>
    <row r="154" hidden="1">
      <c r="A154" s="26">
        <v>45566.0</v>
      </c>
      <c r="B154" s="28" t="s">
        <v>1517</v>
      </c>
      <c r="C154" s="28" t="s">
        <v>27</v>
      </c>
      <c r="D154" s="28" t="s">
        <v>1518</v>
      </c>
      <c r="E154" s="71">
        <v>10.3</v>
      </c>
      <c r="F154" s="29" t="s">
        <v>1513</v>
      </c>
      <c r="G154" s="26">
        <v>45566.0</v>
      </c>
      <c r="H154" s="70">
        <f t="shared" si="1"/>
        <v>1</v>
      </c>
      <c r="I154" s="70">
        <f t="shared" si="2"/>
        <v>10</v>
      </c>
      <c r="J154" s="70">
        <f t="shared" si="3"/>
        <v>2024</v>
      </c>
      <c r="K154" s="70" t="str">
        <f t="shared" si="4"/>
        <v>10/2024</v>
      </c>
    </row>
    <row r="155" hidden="1">
      <c r="A155" s="26">
        <v>45567.0</v>
      </c>
      <c r="B155" s="11" t="s">
        <v>1521</v>
      </c>
      <c r="C155" s="11" t="s">
        <v>27</v>
      </c>
      <c r="D155" s="11" t="s">
        <v>1522</v>
      </c>
      <c r="E155" s="69">
        <v>1904.13</v>
      </c>
      <c r="F155" s="11" t="s">
        <v>1513</v>
      </c>
      <c r="G155" s="32">
        <v>45567.0</v>
      </c>
      <c r="H155" s="70">
        <f t="shared" si="1"/>
        <v>2</v>
      </c>
      <c r="I155" s="70">
        <f t="shared" si="2"/>
        <v>10</v>
      </c>
      <c r="J155" s="70">
        <f t="shared" si="3"/>
        <v>2024</v>
      </c>
      <c r="K155" s="70" t="str">
        <f t="shared" si="4"/>
        <v>10/2024</v>
      </c>
    </row>
    <row r="156" hidden="1">
      <c r="A156" s="26">
        <v>45567.0</v>
      </c>
      <c r="B156" s="28" t="s">
        <v>1511</v>
      </c>
      <c r="C156" s="29" t="s">
        <v>27</v>
      </c>
      <c r="D156" s="28" t="s">
        <v>1512</v>
      </c>
      <c r="E156" s="69">
        <v>1676.1</v>
      </c>
      <c r="F156" s="29" t="s">
        <v>1513</v>
      </c>
      <c r="G156" s="26">
        <v>45567.0</v>
      </c>
      <c r="H156" s="70">
        <f t="shared" si="1"/>
        <v>2</v>
      </c>
      <c r="I156" s="70">
        <f t="shared" si="2"/>
        <v>10</v>
      </c>
      <c r="J156" s="70">
        <f t="shared" si="3"/>
        <v>2024</v>
      </c>
      <c r="K156" s="70" t="str">
        <f t="shared" si="4"/>
        <v>10/2024</v>
      </c>
    </row>
    <row r="157" hidden="1">
      <c r="A157" s="26">
        <v>45567.0</v>
      </c>
      <c r="B157" s="28" t="s">
        <v>1514</v>
      </c>
      <c r="C157" s="28" t="s">
        <v>37</v>
      </c>
      <c r="D157" s="28" t="s">
        <v>1515</v>
      </c>
      <c r="E157" s="69">
        <v>1210.41</v>
      </c>
      <c r="F157" s="29" t="s">
        <v>1516</v>
      </c>
      <c r="G157" s="26">
        <v>45567.0</v>
      </c>
      <c r="H157" s="70">
        <f t="shared" si="1"/>
        <v>2</v>
      </c>
      <c r="I157" s="70">
        <f t="shared" si="2"/>
        <v>10</v>
      </c>
      <c r="J157" s="70">
        <f t="shared" si="3"/>
        <v>2024</v>
      </c>
      <c r="K157" s="70" t="str">
        <f t="shared" si="4"/>
        <v>10/2024</v>
      </c>
    </row>
    <row r="158" hidden="1">
      <c r="A158" s="26">
        <v>45568.0</v>
      </c>
      <c r="B158" s="28" t="s">
        <v>1511</v>
      </c>
      <c r="C158" s="29" t="s">
        <v>27</v>
      </c>
      <c r="D158" s="28" t="s">
        <v>1512</v>
      </c>
      <c r="E158" s="69">
        <v>9565.12</v>
      </c>
      <c r="F158" s="29" t="s">
        <v>1513</v>
      </c>
      <c r="G158" s="26">
        <v>45568.0</v>
      </c>
      <c r="H158" s="70">
        <f t="shared" si="1"/>
        <v>3</v>
      </c>
      <c r="I158" s="70">
        <f t="shared" si="2"/>
        <v>10</v>
      </c>
      <c r="J158" s="70">
        <f t="shared" si="3"/>
        <v>2024</v>
      </c>
      <c r="K158" s="70" t="str">
        <f t="shared" si="4"/>
        <v>10/2024</v>
      </c>
    </row>
    <row r="159" hidden="1">
      <c r="A159" s="26">
        <v>45568.0</v>
      </c>
      <c r="B159" s="28" t="s">
        <v>1514</v>
      </c>
      <c r="C159" s="28" t="s">
        <v>37</v>
      </c>
      <c r="D159" s="28" t="s">
        <v>1515</v>
      </c>
      <c r="E159" s="69">
        <v>866.72</v>
      </c>
      <c r="F159" s="29" t="s">
        <v>1516</v>
      </c>
      <c r="G159" s="26">
        <v>45568.0</v>
      </c>
      <c r="H159" s="70">
        <f t="shared" si="1"/>
        <v>3</v>
      </c>
      <c r="I159" s="70">
        <f t="shared" si="2"/>
        <v>10</v>
      </c>
      <c r="J159" s="70">
        <f t="shared" si="3"/>
        <v>2024</v>
      </c>
      <c r="K159" s="70" t="str">
        <f t="shared" si="4"/>
        <v>10/2024</v>
      </c>
    </row>
    <row r="160" hidden="1">
      <c r="A160" s="26">
        <v>45569.0</v>
      </c>
      <c r="B160" s="28" t="s">
        <v>1523</v>
      </c>
      <c r="C160" s="28" t="s">
        <v>27</v>
      </c>
      <c r="D160" s="28" t="s">
        <v>1524</v>
      </c>
      <c r="E160" s="71">
        <v>3565.01</v>
      </c>
      <c r="F160" s="29" t="s">
        <v>1513</v>
      </c>
      <c r="G160" s="26">
        <v>45569.0</v>
      </c>
      <c r="H160" s="70">
        <f t="shared" si="1"/>
        <v>4</v>
      </c>
      <c r="I160" s="70">
        <f t="shared" si="2"/>
        <v>10</v>
      </c>
      <c r="J160" s="70">
        <f t="shared" si="3"/>
        <v>2024</v>
      </c>
      <c r="K160" s="70" t="str">
        <f t="shared" si="4"/>
        <v>10/2024</v>
      </c>
    </row>
    <row r="161" hidden="1">
      <c r="A161" s="26">
        <v>45569.0</v>
      </c>
      <c r="B161" s="28" t="s">
        <v>1511</v>
      </c>
      <c r="C161" s="29" t="s">
        <v>27</v>
      </c>
      <c r="D161" s="28" t="s">
        <v>1512</v>
      </c>
      <c r="E161" s="69">
        <v>2732.58</v>
      </c>
      <c r="F161" s="29" t="s">
        <v>1513</v>
      </c>
      <c r="G161" s="26">
        <v>45569.0</v>
      </c>
      <c r="H161" s="70">
        <f t="shared" si="1"/>
        <v>4</v>
      </c>
      <c r="I161" s="70">
        <f t="shared" si="2"/>
        <v>10</v>
      </c>
      <c r="J161" s="70">
        <f t="shared" si="3"/>
        <v>2024</v>
      </c>
      <c r="K161" s="70" t="str">
        <f t="shared" si="4"/>
        <v>10/2024</v>
      </c>
    </row>
    <row r="162" hidden="1">
      <c r="A162" s="26">
        <v>45569.0</v>
      </c>
      <c r="B162" s="28" t="s">
        <v>1514</v>
      </c>
      <c r="C162" s="28" t="s">
        <v>37</v>
      </c>
      <c r="D162" s="28" t="s">
        <v>1515</v>
      </c>
      <c r="E162" s="69">
        <v>1350.46</v>
      </c>
      <c r="F162" s="29" t="s">
        <v>1516</v>
      </c>
      <c r="G162" s="26">
        <v>45569.0</v>
      </c>
      <c r="H162" s="70">
        <f t="shared" si="1"/>
        <v>4</v>
      </c>
      <c r="I162" s="70">
        <f t="shared" si="2"/>
        <v>10</v>
      </c>
      <c r="J162" s="70">
        <f t="shared" si="3"/>
        <v>2024</v>
      </c>
      <c r="K162" s="70" t="str">
        <f t="shared" si="4"/>
        <v>10/2024</v>
      </c>
    </row>
    <row r="163" hidden="1">
      <c r="A163" s="26">
        <v>45570.0</v>
      </c>
      <c r="B163" s="28" t="s">
        <v>1511</v>
      </c>
      <c r="C163" s="29" t="s">
        <v>27</v>
      </c>
      <c r="D163" s="28" t="s">
        <v>1512</v>
      </c>
      <c r="E163" s="69">
        <v>1328.86</v>
      </c>
      <c r="F163" s="29" t="s">
        <v>1513</v>
      </c>
      <c r="G163" s="26">
        <v>45570.0</v>
      </c>
      <c r="H163" s="70">
        <f t="shared" si="1"/>
        <v>5</v>
      </c>
      <c r="I163" s="70">
        <f t="shared" si="2"/>
        <v>10</v>
      </c>
      <c r="J163" s="70">
        <f t="shared" si="3"/>
        <v>2024</v>
      </c>
      <c r="K163" s="70" t="str">
        <f t="shared" si="4"/>
        <v>10/2024</v>
      </c>
    </row>
    <row r="164" hidden="1">
      <c r="A164" s="26">
        <v>45570.0</v>
      </c>
      <c r="B164" s="28" t="s">
        <v>1514</v>
      </c>
      <c r="C164" s="28" t="s">
        <v>37</v>
      </c>
      <c r="D164" s="28" t="s">
        <v>1515</v>
      </c>
      <c r="E164" s="69">
        <v>1072.88</v>
      </c>
      <c r="F164" s="29" t="s">
        <v>1516</v>
      </c>
      <c r="G164" s="26">
        <v>45570.0</v>
      </c>
      <c r="H164" s="70">
        <f t="shared" si="1"/>
        <v>5</v>
      </c>
      <c r="I164" s="70">
        <f t="shared" si="2"/>
        <v>10</v>
      </c>
      <c r="J164" s="70">
        <f t="shared" si="3"/>
        <v>2024</v>
      </c>
      <c r="K164" s="70" t="str">
        <f t="shared" si="4"/>
        <v>10/2024</v>
      </c>
    </row>
    <row r="165" hidden="1">
      <c r="A165" s="26">
        <v>45571.0</v>
      </c>
      <c r="B165" s="28" t="s">
        <v>1511</v>
      </c>
      <c r="C165" s="29" t="s">
        <v>27</v>
      </c>
      <c r="D165" s="28" t="s">
        <v>1512</v>
      </c>
      <c r="E165" s="69">
        <v>1896.13</v>
      </c>
      <c r="F165" s="29" t="s">
        <v>1513</v>
      </c>
      <c r="G165" s="26">
        <v>45571.0</v>
      </c>
      <c r="H165" s="70">
        <f t="shared" si="1"/>
        <v>6</v>
      </c>
      <c r="I165" s="70">
        <f t="shared" si="2"/>
        <v>10</v>
      </c>
      <c r="J165" s="70">
        <f t="shared" si="3"/>
        <v>2024</v>
      </c>
      <c r="K165" s="70" t="str">
        <f t="shared" si="4"/>
        <v>10/2024</v>
      </c>
    </row>
    <row r="166" hidden="1">
      <c r="A166" s="26">
        <v>45571.0</v>
      </c>
      <c r="B166" s="28" t="s">
        <v>1514</v>
      </c>
      <c r="C166" s="28" t="s">
        <v>37</v>
      </c>
      <c r="D166" s="28" t="s">
        <v>1515</v>
      </c>
      <c r="E166" s="69">
        <v>1688.4</v>
      </c>
      <c r="F166" s="29" t="s">
        <v>1516</v>
      </c>
      <c r="G166" s="26">
        <v>45571.0</v>
      </c>
      <c r="H166" s="70">
        <f t="shared" si="1"/>
        <v>6</v>
      </c>
      <c r="I166" s="70">
        <f t="shared" si="2"/>
        <v>10</v>
      </c>
      <c r="J166" s="70">
        <f t="shared" si="3"/>
        <v>2024</v>
      </c>
      <c r="K166" s="70" t="str">
        <f t="shared" si="4"/>
        <v>10/2024</v>
      </c>
    </row>
    <row r="167" hidden="1">
      <c r="A167" s="9">
        <v>45572.0</v>
      </c>
      <c r="B167" s="11" t="s">
        <v>1519</v>
      </c>
      <c r="C167" s="11" t="s">
        <v>27</v>
      </c>
      <c r="D167" s="11" t="s">
        <v>1520</v>
      </c>
      <c r="E167" s="69">
        <v>48138.71</v>
      </c>
      <c r="F167" s="11" t="s">
        <v>1513</v>
      </c>
      <c r="G167" s="9">
        <v>45572.0</v>
      </c>
      <c r="H167" s="70">
        <f t="shared" si="1"/>
        <v>7</v>
      </c>
      <c r="I167" s="70">
        <f t="shared" si="2"/>
        <v>10</v>
      </c>
      <c r="J167" s="70">
        <f t="shared" si="3"/>
        <v>2024</v>
      </c>
      <c r="K167" s="70" t="str">
        <f t="shared" si="4"/>
        <v>10/2024</v>
      </c>
    </row>
    <row r="168" hidden="1">
      <c r="A168" s="26">
        <v>45572.0</v>
      </c>
      <c r="B168" s="28" t="s">
        <v>1511</v>
      </c>
      <c r="C168" s="29" t="s">
        <v>27</v>
      </c>
      <c r="D168" s="28" t="s">
        <v>1512</v>
      </c>
      <c r="E168" s="69">
        <v>92.81</v>
      </c>
      <c r="F168" s="29" t="s">
        <v>1513</v>
      </c>
      <c r="G168" s="26">
        <v>45572.0</v>
      </c>
      <c r="H168" s="70">
        <f t="shared" si="1"/>
        <v>7</v>
      </c>
      <c r="I168" s="70">
        <f t="shared" si="2"/>
        <v>10</v>
      </c>
      <c r="J168" s="70">
        <f t="shared" si="3"/>
        <v>2024</v>
      </c>
      <c r="K168" s="70" t="str">
        <f t="shared" si="4"/>
        <v>10/2024</v>
      </c>
    </row>
    <row r="169" hidden="1">
      <c r="A169" s="26">
        <v>45572.0</v>
      </c>
      <c r="B169" s="28" t="s">
        <v>1514</v>
      </c>
      <c r="C169" s="28" t="s">
        <v>37</v>
      </c>
      <c r="D169" s="28" t="s">
        <v>1515</v>
      </c>
      <c r="E169" s="71">
        <v>38.17</v>
      </c>
      <c r="F169" s="29" t="s">
        <v>1516</v>
      </c>
      <c r="G169" s="26">
        <v>45572.0</v>
      </c>
      <c r="H169" s="70">
        <f t="shared" si="1"/>
        <v>7</v>
      </c>
      <c r="I169" s="70">
        <f t="shared" si="2"/>
        <v>10</v>
      </c>
      <c r="J169" s="70">
        <f t="shared" si="3"/>
        <v>2024</v>
      </c>
      <c r="K169" s="70" t="str">
        <f t="shared" si="4"/>
        <v>10/2024</v>
      </c>
    </row>
    <row r="170" hidden="1">
      <c r="A170" s="9">
        <v>45572.0</v>
      </c>
      <c r="B170" s="28" t="s">
        <v>1523</v>
      </c>
      <c r="C170" s="28" t="s">
        <v>27</v>
      </c>
      <c r="D170" s="28" t="s">
        <v>1524</v>
      </c>
      <c r="E170" s="69">
        <v>15044.51</v>
      </c>
      <c r="F170" s="11" t="s">
        <v>1513</v>
      </c>
      <c r="G170" s="9">
        <v>45572.0</v>
      </c>
      <c r="H170" s="70">
        <f t="shared" si="1"/>
        <v>7</v>
      </c>
      <c r="I170" s="70">
        <f t="shared" si="2"/>
        <v>10</v>
      </c>
      <c r="J170" s="70">
        <f t="shared" si="3"/>
        <v>2024</v>
      </c>
      <c r="K170" s="70" t="str">
        <f t="shared" si="4"/>
        <v>10/2024</v>
      </c>
    </row>
    <row r="171" hidden="1">
      <c r="A171" s="26">
        <v>45573.0</v>
      </c>
      <c r="B171" s="28" t="s">
        <v>1511</v>
      </c>
      <c r="C171" s="29" t="s">
        <v>27</v>
      </c>
      <c r="D171" s="28" t="s">
        <v>1512</v>
      </c>
      <c r="E171" s="69">
        <v>2094.18</v>
      </c>
      <c r="F171" s="29" t="s">
        <v>1513</v>
      </c>
      <c r="G171" s="26">
        <v>45573.0</v>
      </c>
      <c r="H171" s="70">
        <f t="shared" si="1"/>
        <v>8</v>
      </c>
      <c r="I171" s="70">
        <f t="shared" si="2"/>
        <v>10</v>
      </c>
      <c r="J171" s="70">
        <f t="shared" si="3"/>
        <v>2024</v>
      </c>
      <c r="K171" s="70" t="str">
        <f t="shared" si="4"/>
        <v>10/2024</v>
      </c>
    </row>
    <row r="172" hidden="1">
      <c r="A172" s="26">
        <v>45573.0</v>
      </c>
      <c r="B172" s="28" t="s">
        <v>1514</v>
      </c>
      <c r="C172" s="28" t="s">
        <v>37</v>
      </c>
      <c r="D172" s="28" t="s">
        <v>1515</v>
      </c>
      <c r="E172" s="71">
        <v>2512.22</v>
      </c>
      <c r="F172" s="29" t="s">
        <v>1516</v>
      </c>
      <c r="G172" s="26">
        <v>45573.0</v>
      </c>
      <c r="H172" s="70">
        <f t="shared" si="1"/>
        <v>8</v>
      </c>
      <c r="I172" s="70">
        <f t="shared" si="2"/>
        <v>10</v>
      </c>
      <c r="J172" s="70">
        <f t="shared" si="3"/>
        <v>2024</v>
      </c>
      <c r="K172" s="70" t="str">
        <f t="shared" si="4"/>
        <v>10/2024</v>
      </c>
    </row>
    <row r="173" hidden="1">
      <c r="A173" s="9">
        <v>45574.0</v>
      </c>
      <c r="B173" s="28" t="s">
        <v>1511</v>
      </c>
      <c r="C173" s="29" t="s">
        <v>27</v>
      </c>
      <c r="D173" s="28" t="s">
        <v>1512</v>
      </c>
      <c r="E173" s="69">
        <v>1280.32</v>
      </c>
      <c r="F173" s="29" t="s">
        <v>1513</v>
      </c>
      <c r="G173" s="9">
        <v>45574.0</v>
      </c>
      <c r="H173" s="70">
        <f t="shared" si="1"/>
        <v>9</v>
      </c>
      <c r="I173" s="70">
        <f t="shared" si="2"/>
        <v>10</v>
      </c>
      <c r="J173" s="70">
        <f t="shared" si="3"/>
        <v>2024</v>
      </c>
      <c r="K173" s="70" t="str">
        <f t="shared" si="4"/>
        <v>10/2024</v>
      </c>
    </row>
    <row r="174" hidden="1">
      <c r="A174" s="9">
        <v>45574.0</v>
      </c>
      <c r="B174" s="11" t="s">
        <v>1521</v>
      </c>
      <c r="C174" s="11" t="s">
        <v>27</v>
      </c>
      <c r="D174" s="11" t="s">
        <v>1522</v>
      </c>
      <c r="E174" s="69">
        <v>1826.7</v>
      </c>
      <c r="F174" s="11" t="s">
        <v>1513</v>
      </c>
      <c r="G174" s="32">
        <v>45574.0</v>
      </c>
      <c r="H174" s="70">
        <f t="shared" si="1"/>
        <v>9</v>
      </c>
      <c r="I174" s="70">
        <f t="shared" si="2"/>
        <v>10</v>
      </c>
      <c r="J174" s="70">
        <f t="shared" si="3"/>
        <v>2024</v>
      </c>
      <c r="K174" s="70" t="str">
        <f t="shared" si="4"/>
        <v>10/2024</v>
      </c>
    </row>
    <row r="175" hidden="1">
      <c r="A175" s="26">
        <v>45574.0</v>
      </c>
      <c r="B175" s="28" t="s">
        <v>1514</v>
      </c>
      <c r="C175" s="28" t="s">
        <v>37</v>
      </c>
      <c r="D175" s="28" t="s">
        <v>1515</v>
      </c>
      <c r="E175" s="71">
        <v>1037.43</v>
      </c>
      <c r="F175" s="29" t="s">
        <v>1516</v>
      </c>
      <c r="G175" s="26">
        <v>45574.0</v>
      </c>
      <c r="H175" s="70">
        <f t="shared" si="1"/>
        <v>9</v>
      </c>
      <c r="I175" s="70">
        <f t="shared" si="2"/>
        <v>10</v>
      </c>
      <c r="J175" s="70">
        <f t="shared" si="3"/>
        <v>2024</v>
      </c>
      <c r="K175" s="70" t="str">
        <f t="shared" si="4"/>
        <v>10/2024</v>
      </c>
    </row>
    <row r="176" hidden="1">
      <c r="A176" s="26">
        <v>45575.0</v>
      </c>
      <c r="B176" s="28" t="s">
        <v>1511</v>
      </c>
      <c r="C176" s="29" t="s">
        <v>27</v>
      </c>
      <c r="D176" s="28" t="s">
        <v>1512</v>
      </c>
      <c r="E176" s="71">
        <v>1981.89</v>
      </c>
      <c r="F176" s="29" t="s">
        <v>1513</v>
      </c>
      <c r="G176" s="26">
        <v>45575.0</v>
      </c>
      <c r="H176" s="70">
        <f t="shared" si="1"/>
        <v>10</v>
      </c>
      <c r="I176" s="70">
        <f t="shared" si="2"/>
        <v>10</v>
      </c>
      <c r="J176" s="70">
        <f t="shared" si="3"/>
        <v>2024</v>
      </c>
      <c r="K176" s="70" t="str">
        <f t="shared" si="4"/>
        <v>10/2024</v>
      </c>
    </row>
    <row r="177" hidden="1">
      <c r="A177" s="26">
        <v>45575.0</v>
      </c>
      <c r="B177" s="28" t="s">
        <v>1514</v>
      </c>
      <c r="C177" s="28" t="s">
        <v>37</v>
      </c>
      <c r="D177" s="28" t="s">
        <v>1515</v>
      </c>
      <c r="E177" s="71">
        <v>1091.22</v>
      </c>
      <c r="F177" s="29" t="s">
        <v>1516</v>
      </c>
      <c r="G177" s="26">
        <v>45575.0</v>
      </c>
      <c r="H177" s="70">
        <f t="shared" si="1"/>
        <v>10</v>
      </c>
      <c r="I177" s="70">
        <f t="shared" si="2"/>
        <v>10</v>
      </c>
      <c r="J177" s="70">
        <f t="shared" si="3"/>
        <v>2024</v>
      </c>
      <c r="K177" s="70" t="str">
        <f t="shared" si="4"/>
        <v>10/2024</v>
      </c>
    </row>
    <row r="178" hidden="1">
      <c r="A178" s="26">
        <v>45576.0</v>
      </c>
      <c r="B178" s="28" t="s">
        <v>1511</v>
      </c>
      <c r="C178" s="28" t="s">
        <v>66</v>
      </c>
      <c r="D178" s="28" t="s">
        <v>1512</v>
      </c>
      <c r="E178" s="69">
        <v>855.52</v>
      </c>
      <c r="F178" s="29" t="s">
        <v>1516</v>
      </c>
      <c r="G178" s="26">
        <v>45576.0</v>
      </c>
      <c r="H178" s="70">
        <f t="shared" si="1"/>
        <v>11</v>
      </c>
      <c r="I178" s="70">
        <f t="shared" si="2"/>
        <v>10</v>
      </c>
      <c r="J178" s="70">
        <f t="shared" si="3"/>
        <v>2024</v>
      </c>
      <c r="K178" s="70" t="str">
        <f t="shared" si="4"/>
        <v>10/2024</v>
      </c>
    </row>
    <row r="179" hidden="1">
      <c r="A179" s="26">
        <v>45576.0</v>
      </c>
      <c r="B179" s="28" t="s">
        <v>1514</v>
      </c>
      <c r="C179" s="28" t="s">
        <v>37</v>
      </c>
      <c r="D179" s="28" t="s">
        <v>1515</v>
      </c>
      <c r="E179" s="69">
        <v>1279.69</v>
      </c>
      <c r="F179" s="29" t="s">
        <v>1516</v>
      </c>
      <c r="G179" s="26">
        <v>45576.0</v>
      </c>
      <c r="H179" s="70">
        <f t="shared" si="1"/>
        <v>11</v>
      </c>
      <c r="I179" s="70">
        <f t="shared" si="2"/>
        <v>10</v>
      </c>
      <c r="J179" s="70">
        <f t="shared" si="3"/>
        <v>2024</v>
      </c>
      <c r="K179" s="70" t="str">
        <f t="shared" si="4"/>
        <v>10/2024</v>
      </c>
    </row>
    <row r="180" hidden="1">
      <c r="A180" s="26">
        <v>45577.0</v>
      </c>
      <c r="B180" s="28" t="s">
        <v>1511</v>
      </c>
      <c r="C180" s="29" t="s">
        <v>27</v>
      </c>
      <c r="D180" s="28" t="s">
        <v>1512</v>
      </c>
      <c r="E180" s="69">
        <v>2095.68</v>
      </c>
      <c r="F180" s="29" t="s">
        <v>1513</v>
      </c>
      <c r="G180" s="26">
        <v>45577.0</v>
      </c>
      <c r="H180" s="70">
        <f t="shared" si="1"/>
        <v>12</v>
      </c>
      <c r="I180" s="70">
        <f t="shared" si="2"/>
        <v>10</v>
      </c>
      <c r="J180" s="70">
        <f t="shared" si="3"/>
        <v>2024</v>
      </c>
      <c r="K180" s="70" t="str">
        <f t="shared" si="4"/>
        <v>10/2024</v>
      </c>
    </row>
    <row r="181" hidden="1">
      <c r="A181" s="26">
        <v>45577.0</v>
      </c>
      <c r="B181" s="28" t="s">
        <v>1514</v>
      </c>
      <c r="C181" s="28" t="s">
        <v>37</v>
      </c>
      <c r="D181" s="28" t="s">
        <v>1515</v>
      </c>
      <c r="E181" s="69">
        <v>1510.22</v>
      </c>
      <c r="F181" s="29" t="s">
        <v>1516</v>
      </c>
      <c r="G181" s="26">
        <v>45577.0</v>
      </c>
      <c r="H181" s="70">
        <f t="shared" si="1"/>
        <v>12</v>
      </c>
      <c r="I181" s="70">
        <f t="shared" si="2"/>
        <v>10</v>
      </c>
      <c r="J181" s="70">
        <f t="shared" si="3"/>
        <v>2024</v>
      </c>
      <c r="K181" s="70" t="str">
        <f t="shared" si="4"/>
        <v>10/2024</v>
      </c>
    </row>
    <row r="182" hidden="1">
      <c r="A182" s="26">
        <v>45578.0</v>
      </c>
      <c r="B182" s="28" t="s">
        <v>1511</v>
      </c>
      <c r="C182" s="29" t="s">
        <v>27</v>
      </c>
      <c r="D182" s="28" t="s">
        <v>1512</v>
      </c>
      <c r="E182" s="69">
        <v>1301.08</v>
      </c>
      <c r="F182" s="29" t="s">
        <v>1513</v>
      </c>
      <c r="G182" s="26">
        <v>45578.0</v>
      </c>
      <c r="H182" s="70">
        <f t="shared" si="1"/>
        <v>13</v>
      </c>
      <c r="I182" s="70">
        <f t="shared" si="2"/>
        <v>10</v>
      </c>
      <c r="J182" s="70">
        <f t="shared" si="3"/>
        <v>2024</v>
      </c>
      <c r="K182" s="70" t="str">
        <f t="shared" si="4"/>
        <v>10/2024</v>
      </c>
    </row>
    <row r="183" hidden="1">
      <c r="A183" s="26">
        <v>45578.0</v>
      </c>
      <c r="B183" s="28" t="s">
        <v>1514</v>
      </c>
      <c r="C183" s="28" t="s">
        <v>37</v>
      </c>
      <c r="D183" s="28" t="s">
        <v>1515</v>
      </c>
      <c r="E183" s="69">
        <v>1632.47</v>
      </c>
      <c r="F183" s="29" t="s">
        <v>1516</v>
      </c>
      <c r="G183" s="26">
        <v>45578.0</v>
      </c>
      <c r="H183" s="70">
        <f t="shared" si="1"/>
        <v>13</v>
      </c>
      <c r="I183" s="70">
        <f t="shared" si="2"/>
        <v>10</v>
      </c>
      <c r="J183" s="70">
        <f t="shared" si="3"/>
        <v>2024</v>
      </c>
      <c r="K183" s="70" t="str">
        <f t="shared" si="4"/>
        <v>10/2024</v>
      </c>
    </row>
    <row r="184" hidden="1">
      <c r="A184" s="26">
        <v>45579.0</v>
      </c>
      <c r="B184" s="28" t="s">
        <v>44</v>
      </c>
      <c r="C184" s="28" t="s">
        <v>27</v>
      </c>
      <c r="D184" s="28" t="s">
        <v>1525</v>
      </c>
      <c r="E184" s="71">
        <v>33.64</v>
      </c>
      <c r="F184" s="29" t="s">
        <v>1513</v>
      </c>
      <c r="G184" s="27">
        <v>45537.0</v>
      </c>
      <c r="H184" s="70">
        <f t="shared" si="1"/>
        <v>14</v>
      </c>
      <c r="I184" s="70">
        <f t="shared" si="2"/>
        <v>10</v>
      </c>
      <c r="J184" s="70">
        <f t="shared" si="3"/>
        <v>2024</v>
      </c>
      <c r="K184" s="70" t="str">
        <f t="shared" si="4"/>
        <v>10/2024</v>
      </c>
    </row>
    <row r="185" hidden="1">
      <c r="A185" s="26">
        <v>45579.0</v>
      </c>
      <c r="B185" s="28" t="s">
        <v>1511</v>
      </c>
      <c r="C185" s="29" t="s">
        <v>27</v>
      </c>
      <c r="D185" s="28" t="s">
        <v>1512</v>
      </c>
      <c r="E185" s="69">
        <v>209.08</v>
      </c>
      <c r="F185" s="29" t="s">
        <v>1513</v>
      </c>
      <c r="G185" s="26">
        <v>45579.0</v>
      </c>
      <c r="H185" s="70">
        <f t="shared" si="1"/>
        <v>14</v>
      </c>
      <c r="I185" s="70">
        <f t="shared" si="2"/>
        <v>10</v>
      </c>
      <c r="J185" s="70">
        <f t="shared" si="3"/>
        <v>2024</v>
      </c>
      <c r="K185" s="70" t="str">
        <f t="shared" si="4"/>
        <v>10/2024</v>
      </c>
    </row>
    <row r="186" hidden="1">
      <c r="A186" s="26">
        <v>45579.0</v>
      </c>
      <c r="B186" s="28" t="s">
        <v>1514</v>
      </c>
      <c r="C186" s="28" t="s">
        <v>37</v>
      </c>
      <c r="D186" s="28" t="s">
        <v>1515</v>
      </c>
      <c r="E186" s="69">
        <v>193.19</v>
      </c>
      <c r="F186" s="29" t="s">
        <v>1516</v>
      </c>
      <c r="G186" s="26">
        <v>45579.0</v>
      </c>
      <c r="H186" s="70">
        <f t="shared" si="1"/>
        <v>14</v>
      </c>
      <c r="I186" s="70">
        <f t="shared" si="2"/>
        <v>10</v>
      </c>
      <c r="J186" s="70">
        <f t="shared" si="3"/>
        <v>2024</v>
      </c>
      <c r="K186" s="70" t="str">
        <f t="shared" si="4"/>
        <v>10/2024</v>
      </c>
    </row>
    <row r="187" hidden="1">
      <c r="A187" s="26">
        <v>45580.0</v>
      </c>
      <c r="B187" s="28" t="s">
        <v>1511</v>
      </c>
      <c r="C187" s="29" t="s">
        <v>27</v>
      </c>
      <c r="D187" s="28" t="s">
        <v>1512</v>
      </c>
      <c r="E187" s="69">
        <v>2216.1</v>
      </c>
      <c r="F187" s="29" t="s">
        <v>1513</v>
      </c>
      <c r="G187" s="26">
        <v>45580.0</v>
      </c>
      <c r="H187" s="70">
        <f t="shared" si="1"/>
        <v>15</v>
      </c>
      <c r="I187" s="70">
        <f t="shared" si="2"/>
        <v>10</v>
      </c>
      <c r="J187" s="70">
        <f t="shared" si="3"/>
        <v>2024</v>
      </c>
      <c r="K187" s="70" t="str">
        <f t="shared" si="4"/>
        <v>10/2024</v>
      </c>
    </row>
    <row r="188" hidden="1">
      <c r="A188" s="26">
        <v>45580.0</v>
      </c>
      <c r="B188" s="28" t="s">
        <v>1517</v>
      </c>
      <c r="C188" s="28" t="s">
        <v>27</v>
      </c>
      <c r="D188" s="28" t="s">
        <v>1518</v>
      </c>
      <c r="E188" s="69">
        <v>89.85</v>
      </c>
      <c r="F188" s="29" t="s">
        <v>1513</v>
      </c>
      <c r="G188" s="26">
        <v>45580.0</v>
      </c>
      <c r="H188" s="70">
        <f t="shared" si="1"/>
        <v>15</v>
      </c>
      <c r="I188" s="70">
        <f t="shared" si="2"/>
        <v>10</v>
      </c>
      <c r="J188" s="70">
        <f t="shared" si="3"/>
        <v>2024</v>
      </c>
      <c r="K188" s="70" t="str">
        <f t="shared" si="4"/>
        <v>10/2024</v>
      </c>
    </row>
    <row r="189" hidden="1">
      <c r="A189" s="26">
        <v>45580.0</v>
      </c>
      <c r="B189" s="28" t="s">
        <v>1514</v>
      </c>
      <c r="C189" s="28" t="s">
        <v>37</v>
      </c>
      <c r="D189" s="28" t="s">
        <v>1515</v>
      </c>
      <c r="E189" s="69">
        <v>333.46</v>
      </c>
      <c r="F189" s="29" t="s">
        <v>1516</v>
      </c>
      <c r="G189" s="26">
        <v>45580.0</v>
      </c>
      <c r="H189" s="70">
        <f t="shared" si="1"/>
        <v>15</v>
      </c>
      <c r="I189" s="70">
        <f t="shared" si="2"/>
        <v>10</v>
      </c>
      <c r="J189" s="70">
        <f t="shared" si="3"/>
        <v>2024</v>
      </c>
      <c r="K189" s="70" t="str">
        <f t="shared" si="4"/>
        <v>10/2024</v>
      </c>
    </row>
    <row r="190" hidden="1">
      <c r="A190" s="32">
        <v>45581.0</v>
      </c>
      <c r="B190" s="11" t="s">
        <v>1521</v>
      </c>
      <c r="C190" s="11" t="s">
        <v>27</v>
      </c>
      <c r="D190" s="11" t="s">
        <v>1522</v>
      </c>
      <c r="E190" s="69">
        <v>987.87</v>
      </c>
      <c r="F190" s="11" t="s">
        <v>1513</v>
      </c>
      <c r="G190" s="32">
        <v>45581.0</v>
      </c>
      <c r="H190" s="70">
        <f t="shared" si="1"/>
        <v>16</v>
      </c>
      <c r="I190" s="70">
        <f t="shared" si="2"/>
        <v>10</v>
      </c>
      <c r="J190" s="70">
        <f t="shared" si="3"/>
        <v>2024</v>
      </c>
      <c r="K190" s="70" t="str">
        <f t="shared" si="4"/>
        <v>10/2024</v>
      </c>
    </row>
    <row r="191" hidden="1">
      <c r="A191" s="26">
        <v>45581.0</v>
      </c>
      <c r="B191" s="28" t="s">
        <v>1511</v>
      </c>
      <c r="C191" s="29" t="s">
        <v>27</v>
      </c>
      <c r="D191" s="28" t="s">
        <v>1512</v>
      </c>
      <c r="E191" s="69">
        <v>1117.31</v>
      </c>
      <c r="F191" s="29" t="s">
        <v>1513</v>
      </c>
      <c r="G191" s="26">
        <v>45581.0</v>
      </c>
      <c r="H191" s="70">
        <f t="shared" si="1"/>
        <v>16</v>
      </c>
      <c r="I191" s="70">
        <f t="shared" si="2"/>
        <v>10</v>
      </c>
      <c r="J191" s="70">
        <f t="shared" si="3"/>
        <v>2024</v>
      </c>
      <c r="K191" s="70" t="str">
        <f t="shared" si="4"/>
        <v>10/2024</v>
      </c>
    </row>
    <row r="192" hidden="1">
      <c r="A192" s="26">
        <v>45581.0</v>
      </c>
      <c r="B192" s="28" t="s">
        <v>1514</v>
      </c>
      <c r="C192" s="28" t="s">
        <v>37</v>
      </c>
      <c r="D192" s="28" t="s">
        <v>1515</v>
      </c>
      <c r="E192" s="71">
        <v>1011.96</v>
      </c>
      <c r="F192" s="29" t="s">
        <v>1516</v>
      </c>
      <c r="G192" s="26">
        <v>45581.0</v>
      </c>
      <c r="H192" s="70">
        <f t="shared" si="1"/>
        <v>16</v>
      </c>
      <c r="I192" s="70">
        <f t="shared" si="2"/>
        <v>10</v>
      </c>
      <c r="J192" s="70">
        <f t="shared" si="3"/>
        <v>2024</v>
      </c>
      <c r="K192" s="70" t="str">
        <f t="shared" si="4"/>
        <v>10/2024</v>
      </c>
    </row>
    <row r="193" hidden="1">
      <c r="A193" s="26">
        <v>45582.0</v>
      </c>
      <c r="B193" s="28" t="s">
        <v>1511</v>
      </c>
      <c r="C193" s="29" t="s">
        <v>27</v>
      </c>
      <c r="D193" s="28" t="s">
        <v>1512</v>
      </c>
      <c r="E193" s="71">
        <v>1664.44</v>
      </c>
      <c r="F193" s="29" t="s">
        <v>1513</v>
      </c>
      <c r="G193" s="26">
        <v>45582.0</v>
      </c>
      <c r="H193" s="70">
        <f t="shared" si="1"/>
        <v>17</v>
      </c>
      <c r="I193" s="70">
        <f t="shared" si="2"/>
        <v>10</v>
      </c>
      <c r="J193" s="70">
        <f t="shared" si="3"/>
        <v>2024</v>
      </c>
      <c r="K193" s="70" t="str">
        <f t="shared" si="4"/>
        <v>10/2024</v>
      </c>
    </row>
    <row r="194" hidden="1">
      <c r="A194" s="26">
        <v>45582.0</v>
      </c>
      <c r="B194" s="28" t="s">
        <v>1514</v>
      </c>
      <c r="C194" s="28" t="s">
        <v>37</v>
      </c>
      <c r="D194" s="28" t="s">
        <v>1515</v>
      </c>
      <c r="E194" s="69">
        <v>1155.21</v>
      </c>
      <c r="F194" s="29" t="s">
        <v>1516</v>
      </c>
      <c r="G194" s="26">
        <v>45582.0</v>
      </c>
      <c r="H194" s="70">
        <f t="shared" si="1"/>
        <v>17</v>
      </c>
      <c r="I194" s="70">
        <f t="shared" si="2"/>
        <v>10</v>
      </c>
      <c r="J194" s="70">
        <f t="shared" si="3"/>
        <v>2024</v>
      </c>
      <c r="K194" s="70" t="str">
        <f t="shared" si="4"/>
        <v>10/2024</v>
      </c>
    </row>
    <row r="195" hidden="1">
      <c r="A195" s="26">
        <v>45583.0</v>
      </c>
      <c r="B195" s="28" t="s">
        <v>1523</v>
      </c>
      <c r="C195" s="28" t="s">
        <v>27</v>
      </c>
      <c r="D195" s="28" t="s">
        <v>1524</v>
      </c>
      <c r="E195" s="69">
        <v>2839.03</v>
      </c>
      <c r="F195" s="11" t="s">
        <v>1513</v>
      </c>
      <c r="G195" s="26">
        <v>45583.0</v>
      </c>
      <c r="H195" s="70">
        <f t="shared" si="1"/>
        <v>18</v>
      </c>
      <c r="I195" s="70">
        <f t="shared" si="2"/>
        <v>10</v>
      </c>
      <c r="J195" s="70">
        <f t="shared" si="3"/>
        <v>2024</v>
      </c>
      <c r="K195" s="70" t="str">
        <f t="shared" si="4"/>
        <v>10/2024</v>
      </c>
    </row>
    <row r="196" hidden="1">
      <c r="A196" s="26">
        <v>45583.0</v>
      </c>
      <c r="B196" s="28" t="s">
        <v>1511</v>
      </c>
      <c r="C196" s="29" t="s">
        <v>27</v>
      </c>
      <c r="D196" s="28" t="s">
        <v>1512</v>
      </c>
      <c r="E196" s="69">
        <v>1429.85</v>
      </c>
      <c r="F196" s="29" t="s">
        <v>1513</v>
      </c>
      <c r="G196" s="26">
        <v>45583.0</v>
      </c>
      <c r="H196" s="70">
        <f t="shared" si="1"/>
        <v>18</v>
      </c>
      <c r="I196" s="70">
        <f t="shared" si="2"/>
        <v>10</v>
      </c>
      <c r="J196" s="70">
        <f t="shared" si="3"/>
        <v>2024</v>
      </c>
      <c r="K196" s="70" t="str">
        <f t="shared" si="4"/>
        <v>10/2024</v>
      </c>
    </row>
    <row r="197" hidden="1">
      <c r="A197" s="26">
        <v>45583.0</v>
      </c>
      <c r="B197" s="28" t="s">
        <v>1514</v>
      </c>
      <c r="C197" s="28" t="s">
        <v>37</v>
      </c>
      <c r="D197" s="28" t="s">
        <v>1515</v>
      </c>
      <c r="E197" s="69">
        <v>2010.22</v>
      </c>
      <c r="F197" s="29" t="s">
        <v>1516</v>
      </c>
      <c r="G197" s="26">
        <v>45583.0</v>
      </c>
      <c r="H197" s="70">
        <f t="shared" si="1"/>
        <v>18</v>
      </c>
      <c r="I197" s="70">
        <f t="shared" si="2"/>
        <v>10</v>
      </c>
      <c r="J197" s="70">
        <f t="shared" si="3"/>
        <v>2024</v>
      </c>
      <c r="K197" s="70" t="str">
        <f t="shared" si="4"/>
        <v>10/2024</v>
      </c>
    </row>
    <row r="198" hidden="1">
      <c r="A198" s="26">
        <v>45584.0</v>
      </c>
      <c r="B198" s="28" t="s">
        <v>1511</v>
      </c>
      <c r="C198" s="29" t="s">
        <v>27</v>
      </c>
      <c r="D198" s="28" t="s">
        <v>1512</v>
      </c>
      <c r="E198" s="71">
        <v>1983.51</v>
      </c>
      <c r="F198" s="29" t="s">
        <v>1513</v>
      </c>
      <c r="G198" s="26">
        <v>45584.0</v>
      </c>
      <c r="H198" s="70">
        <f t="shared" si="1"/>
        <v>19</v>
      </c>
      <c r="I198" s="70">
        <f t="shared" si="2"/>
        <v>10</v>
      </c>
      <c r="J198" s="70">
        <f t="shared" si="3"/>
        <v>2024</v>
      </c>
      <c r="K198" s="70" t="str">
        <f t="shared" si="4"/>
        <v>10/2024</v>
      </c>
    </row>
    <row r="199" hidden="1">
      <c r="A199" s="26">
        <v>45584.0</v>
      </c>
      <c r="B199" s="28" t="s">
        <v>1514</v>
      </c>
      <c r="C199" s="28" t="s">
        <v>37</v>
      </c>
      <c r="D199" s="28" t="s">
        <v>1515</v>
      </c>
      <c r="E199" s="69">
        <v>1764.16</v>
      </c>
      <c r="F199" s="29" t="s">
        <v>1516</v>
      </c>
      <c r="G199" s="26">
        <v>45584.0</v>
      </c>
      <c r="H199" s="70">
        <f t="shared" si="1"/>
        <v>19</v>
      </c>
      <c r="I199" s="70">
        <f t="shared" si="2"/>
        <v>10</v>
      </c>
      <c r="J199" s="70">
        <f t="shared" si="3"/>
        <v>2024</v>
      </c>
      <c r="K199" s="70" t="str">
        <f t="shared" si="4"/>
        <v>10/2024</v>
      </c>
    </row>
    <row r="200" hidden="1">
      <c r="A200" s="26">
        <v>45585.0</v>
      </c>
      <c r="B200" s="28" t="s">
        <v>1511</v>
      </c>
      <c r="C200" s="29" t="s">
        <v>27</v>
      </c>
      <c r="D200" s="28" t="s">
        <v>1512</v>
      </c>
      <c r="E200" s="71">
        <v>854.82</v>
      </c>
      <c r="F200" s="29" t="s">
        <v>1513</v>
      </c>
      <c r="G200" s="26">
        <v>45585.0</v>
      </c>
      <c r="H200" s="70">
        <f t="shared" si="1"/>
        <v>20</v>
      </c>
      <c r="I200" s="70">
        <f t="shared" si="2"/>
        <v>10</v>
      </c>
      <c r="J200" s="70">
        <f t="shared" si="3"/>
        <v>2024</v>
      </c>
      <c r="K200" s="70" t="str">
        <f t="shared" si="4"/>
        <v>10/2024</v>
      </c>
    </row>
    <row r="201" hidden="1">
      <c r="A201" s="26">
        <v>45585.0</v>
      </c>
      <c r="B201" s="28" t="s">
        <v>1514</v>
      </c>
      <c r="C201" s="28" t="s">
        <v>37</v>
      </c>
      <c r="D201" s="28" t="s">
        <v>1515</v>
      </c>
      <c r="E201" s="69">
        <v>1057.69</v>
      </c>
      <c r="F201" s="29" t="s">
        <v>1516</v>
      </c>
      <c r="G201" s="26">
        <v>45585.0</v>
      </c>
      <c r="H201" s="70">
        <f t="shared" si="1"/>
        <v>20</v>
      </c>
      <c r="I201" s="70">
        <f t="shared" si="2"/>
        <v>10</v>
      </c>
      <c r="J201" s="70">
        <f t="shared" si="3"/>
        <v>2024</v>
      </c>
      <c r="K201" s="70" t="str">
        <f t="shared" si="4"/>
        <v>10/2024</v>
      </c>
    </row>
    <row r="202" hidden="1">
      <c r="A202" s="26">
        <v>45586.0</v>
      </c>
      <c r="B202" s="28" t="s">
        <v>1511</v>
      </c>
      <c r="C202" s="29" t="s">
        <v>27</v>
      </c>
      <c r="D202" s="28" t="s">
        <v>1512</v>
      </c>
      <c r="E202" s="71">
        <v>504.19</v>
      </c>
      <c r="F202" s="29" t="s">
        <v>1513</v>
      </c>
      <c r="G202" s="26">
        <v>45586.0</v>
      </c>
      <c r="H202" s="70">
        <f t="shared" si="1"/>
        <v>21</v>
      </c>
      <c r="I202" s="70">
        <f t="shared" si="2"/>
        <v>10</v>
      </c>
      <c r="J202" s="70">
        <f t="shared" si="3"/>
        <v>2024</v>
      </c>
      <c r="K202" s="70" t="str">
        <f t="shared" si="4"/>
        <v>10/2024</v>
      </c>
    </row>
    <row r="203" hidden="1">
      <c r="A203" s="26">
        <v>45586.0</v>
      </c>
      <c r="B203" s="28" t="s">
        <v>1514</v>
      </c>
      <c r="C203" s="28" t="s">
        <v>37</v>
      </c>
      <c r="D203" s="28" t="s">
        <v>1515</v>
      </c>
      <c r="E203" s="71">
        <v>345.65</v>
      </c>
      <c r="F203" s="29" t="s">
        <v>1516</v>
      </c>
      <c r="G203" s="26">
        <v>45586.0</v>
      </c>
      <c r="H203" s="70">
        <f t="shared" si="1"/>
        <v>21</v>
      </c>
      <c r="I203" s="70">
        <f t="shared" si="2"/>
        <v>10</v>
      </c>
      <c r="J203" s="70">
        <f t="shared" si="3"/>
        <v>2024</v>
      </c>
      <c r="K203" s="70" t="str">
        <f t="shared" si="4"/>
        <v>10/2024</v>
      </c>
    </row>
    <row r="204" hidden="1">
      <c r="A204" s="26">
        <v>45586.0</v>
      </c>
      <c r="B204" s="28" t="s">
        <v>1523</v>
      </c>
      <c r="C204" s="28" t="s">
        <v>27</v>
      </c>
      <c r="D204" s="28" t="s">
        <v>1524</v>
      </c>
      <c r="E204" s="71">
        <v>13599.33</v>
      </c>
      <c r="F204" s="29" t="s">
        <v>1513</v>
      </c>
      <c r="G204" s="26">
        <v>45586.0</v>
      </c>
      <c r="H204" s="70">
        <f t="shared" si="1"/>
        <v>21</v>
      </c>
      <c r="I204" s="70">
        <f t="shared" si="2"/>
        <v>10</v>
      </c>
      <c r="J204" s="70">
        <f t="shared" si="3"/>
        <v>2024</v>
      </c>
      <c r="K204" s="70" t="str">
        <f t="shared" si="4"/>
        <v>10/2024</v>
      </c>
    </row>
    <row r="205" hidden="1">
      <c r="A205" s="26">
        <v>45587.0</v>
      </c>
      <c r="B205" s="28" t="s">
        <v>1511</v>
      </c>
      <c r="C205" s="29" t="s">
        <v>27</v>
      </c>
      <c r="D205" s="28" t="s">
        <v>1512</v>
      </c>
      <c r="E205" s="71">
        <v>1091.71</v>
      </c>
      <c r="F205" s="29" t="s">
        <v>1513</v>
      </c>
      <c r="G205" s="26">
        <v>45587.0</v>
      </c>
      <c r="H205" s="70">
        <f t="shared" si="1"/>
        <v>22</v>
      </c>
      <c r="I205" s="70">
        <f t="shared" si="2"/>
        <v>10</v>
      </c>
      <c r="J205" s="70">
        <f t="shared" si="3"/>
        <v>2024</v>
      </c>
      <c r="K205" s="70" t="str">
        <f t="shared" si="4"/>
        <v>10/2024</v>
      </c>
    </row>
    <row r="206" hidden="1">
      <c r="A206" s="26">
        <v>45587.0</v>
      </c>
      <c r="B206" s="28" t="s">
        <v>1514</v>
      </c>
      <c r="C206" s="28" t="s">
        <v>37</v>
      </c>
      <c r="D206" s="28" t="s">
        <v>1515</v>
      </c>
      <c r="E206" s="71">
        <v>1297.15</v>
      </c>
      <c r="F206" s="29" t="s">
        <v>1516</v>
      </c>
      <c r="G206" s="26">
        <v>45587.0</v>
      </c>
      <c r="H206" s="70">
        <f t="shared" si="1"/>
        <v>22</v>
      </c>
      <c r="I206" s="70">
        <f t="shared" si="2"/>
        <v>10</v>
      </c>
      <c r="J206" s="70">
        <f t="shared" si="3"/>
        <v>2024</v>
      </c>
      <c r="K206" s="70" t="str">
        <f t="shared" si="4"/>
        <v>10/2024</v>
      </c>
    </row>
    <row r="207" hidden="1">
      <c r="A207" s="32">
        <v>45588.0</v>
      </c>
      <c r="B207" s="11" t="s">
        <v>1521</v>
      </c>
      <c r="C207" s="11" t="s">
        <v>27</v>
      </c>
      <c r="D207" s="11" t="s">
        <v>1522</v>
      </c>
      <c r="E207" s="69">
        <v>905.61</v>
      </c>
      <c r="F207" s="11" t="s">
        <v>1513</v>
      </c>
      <c r="G207" s="32">
        <v>45588.0</v>
      </c>
      <c r="H207" s="70">
        <f t="shared" si="1"/>
        <v>23</v>
      </c>
      <c r="I207" s="70">
        <f t="shared" si="2"/>
        <v>10</v>
      </c>
      <c r="J207" s="70">
        <f t="shared" si="3"/>
        <v>2024</v>
      </c>
      <c r="K207" s="70" t="str">
        <f t="shared" si="4"/>
        <v>10/2024</v>
      </c>
    </row>
    <row r="208" hidden="1">
      <c r="A208" s="26">
        <v>45588.0</v>
      </c>
      <c r="B208" s="28" t="s">
        <v>1511</v>
      </c>
      <c r="C208" s="29" t="s">
        <v>27</v>
      </c>
      <c r="D208" s="28" t="s">
        <v>1512</v>
      </c>
      <c r="E208" s="71">
        <v>1737.25</v>
      </c>
      <c r="F208" s="29" t="s">
        <v>1513</v>
      </c>
      <c r="G208" s="26">
        <v>45588.0</v>
      </c>
      <c r="H208" s="70">
        <f t="shared" si="1"/>
        <v>23</v>
      </c>
      <c r="I208" s="70">
        <f t="shared" si="2"/>
        <v>10</v>
      </c>
      <c r="J208" s="70">
        <f t="shared" si="3"/>
        <v>2024</v>
      </c>
      <c r="K208" s="70" t="str">
        <f t="shared" si="4"/>
        <v>10/2024</v>
      </c>
    </row>
    <row r="209" hidden="1">
      <c r="A209" s="26">
        <v>45588.0</v>
      </c>
      <c r="B209" s="28" t="s">
        <v>1514</v>
      </c>
      <c r="C209" s="28" t="s">
        <v>37</v>
      </c>
      <c r="D209" s="28" t="s">
        <v>1515</v>
      </c>
      <c r="E209" s="71">
        <v>1142.26</v>
      </c>
      <c r="F209" s="29" t="s">
        <v>1516</v>
      </c>
      <c r="G209" s="26">
        <v>45588.0</v>
      </c>
      <c r="H209" s="70">
        <f t="shared" si="1"/>
        <v>23</v>
      </c>
      <c r="I209" s="70">
        <f t="shared" si="2"/>
        <v>10</v>
      </c>
      <c r="J209" s="70">
        <f t="shared" si="3"/>
        <v>2024</v>
      </c>
      <c r="K209" s="70" t="str">
        <f t="shared" si="4"/>
        <v>10/2024</v>
      </c>
    </row>
    <row r="210" hidden="1">
      <c r="A210" s="32">
        <v>45588.0</v>
      </c>
      <c r="B210" s="11" t="s">
        <v>44</v>
      </c>
      <c r="C210" s="28" t="s">
        <v>27</v>
      </c>
      <c r="D210" s="11" t="s">
        <v>1527</v>
      </c>
      <c r="E210" s="69">
        <v>119.14</v>
      </c>
      <c r="F210" s="11" t="s">
        <v>1513</v>
      </c>
      <c r="G210" s="32">
        <v>45588.0</v>
      </c>
      <c r="H210" s="70">
        <f t="shared" si="1"/>
        <v>23</v>
      </c>
      <c r="I210" s="70">
        <f t="shared" si="2"/>
        <v>10</v>
      </c>
      <c r="J210" s="70">
        <f t="shared" si="3"/>
        <v>2024</v>
      </c>
      <c r="K210" s="70" t="str">
        <f t="shared" si="4"/>
        <v>10/2024</v>
      </c>
    </row>
    <row r="211" hidden="1">
      <c r="A211" s="26">
        <v>45589.0</v>
      </c>
      <c r="B211" s="28" t="s">
        <v>1511</v>
      </c>
      <c r="C211" s="29" t="s">
        <v>27</v>
      </c>
      <c r="D211" s="28" t="s">
        <v>1512</v>
      </c>
      <c r="E211" s="71">
        <v>1831.48</v>
      </c>
      <c r="F211" s="29" t="s">
        <v>1513</v>
      </c>
      <c r="G211" s="26">
        <v>45589.0</v>
      </c>
      <c r="H211" s="70">
        <f t="shared" si="1"/>
        <v>24</v>
      </c>
      <c r="I211" s="70">
        <f t="shared" si="2"/>
        <v>10</v>
      </c>
      <c r="J211" s="70">
        <f t="shared" si="3"/>
        <v>2024</v>
      </c>
      <c r="K211" s="70" t="str">
        <f t="shared" si="4"/>
        <v>10/2024</v>
      </c>
    </row>
    <row r="212" hidden="1">
      <c r="A212" s="26">
        <v>45589.0</v>
      </c>
      <c r="B212" s="28" t="s">
        <v>1514</v>
      </c>
      <c r="C212" s="28" t="s">
        <v>37</v>
      </c>
      <c r="D212" s="28" t="s">
        <v>1515</v>
      </c>
      <c r="E212" s="71">
        <v>507.66</v>
      </c>
      <c r="F212" s="29" t="s">
        <v>1516</v>
      </c>
      <c r="G212" s="26">
        <v>45589.0</v>
      </c>
      <c r="H212" s="70">
        <f t="shared" si="1"/>
        <v>24</v>
      </c>
      <c r="I212" s="70">
        <f t="shared" si="2"/>
        <v>10</v>
      </c>
      <c r="J212" s="70">
        <f t="shared" si="3"/>
        <v>2024</v>
      </c>
      <c r="K212" s="70" t="str">
        <f t="shared" si="4"/>
        <v>10/2024</v>
      </c>
    </row>
    <row r="213" hidden="1">
      <c r="A213" s="26">
        <v>45590.0</v>
      </c>
      <c r="B213" s="28" t="s">
        <v>1511</v>
      </c>
      <c r="C213" s="29" t="s">
        <v>27</v>
      </c>
      <c r="D213" s="28" t="s">
        <v>1512</v>
      </c>
      <c r="E213" s="71">
        <v>1895.85</v>
      </c>
      <c r="F213" s="29" t="s">
        <v>1513</v>
      </c>
      <c r="G213" s="26">
        <v>45590.0</v>
      </c>
      <c r="H213" s="70">
        <f t="shared" si="1"/>
        <v>25</v>
      </c>
      <c r="I213" s="70">
        <f t="shared" si="2"/>
        <v>10</v>
      </c>
      <c r="J213" s="70">
        <f t="shared" si="3"/>
        <v>2024</v>
      </c>
      <c r="K213" s="70" t="str">
        <f t="shared" si="4"/>
        <v>10/2024</v>
      </c>
    </row>
    <row r="214" hidden="1">
      <c r="A214" s="26">
        <v>45590.0</v>
      </c>
      <c r="B214" s="28" t="s">
        <v>1514</v>
      </c>
      <c r="C214" s="28" t="s">
        <v>37</v>
      </c>
      <c r="D214" s="28" t="s">
        <v>1515</v>
      </c>
      <c r="E214" s="71">
        <v>1008.47</v>
      </c>
      <c r="F214" s="29" t="s">
        <v>1516</v>
      </c>
      <c r="G214" s="26">
        <v>45590.0</v>
      </c>
      <c r="H214" s="70">
        <f t="shared" si="1"/>
        <v>25</v>
      </c>
      <c r="I214" s="70">
        <f t="shared" si="2"/>
        <v>10</v>
      </c>
      <c r="J214" s="70">
        <f t="shared" si="3"/>
        <v>2024</v>
      </c>
      <c r="K214" s="70" t="str">
        <f t="shared" si="4"/>
        <v>10/2024</v>
      </c>
    </row>
    <row r="215" hidden="1">
      <c r="A215" s="26">
        <v>45591.0</v>
      </c>
      <c r="B215" s="28" t="s">
        <v>1511</v>
      </c>
      <c r="C215" s="29" t="s">
        <v>27</v>
      </c>
      <c r="D215" s="28" t="s">
        <v>1512</v>
      </c>
      <c r="E215" s="71">
        <v>1543.59</v>
      </c>
      <c r="F215" s="29" t="s">
        <v>1513</v>
      </c>
      <c r="G215" s="26">
        <v>45591.0</v>
      </c>
      <c r="H215" s="70">
        <f t="shared" si="1"/>
        <v>26</v>
      </c>
      <c r="I215" s="70">
        <f t="shared" si="2"/>
        <v>10</v>
      </c>
      <c r="J215" s="70">
        <f t="shared" si="3"/>
        <v>2024</v>
      </c>
      <c r="K215" s="70" t="str">
        <f t="shared" si="4"/>
        <v>10/2024</v>
      </c>
    </row>
    <row r="216" hidden="1">
      <c r="A216" s="26">
        <v>45591.0</v>
      </c>
      <c r="B216" s="28" t="s">
        <v>1514</v>
      </c>
      <c r="C216" s="28" t="s">
        <v>37</v>
      </c>
      <c r="D216" s="28" t="s">
        <v>1515</v>
      </c>
      <c r="E216" s="71">
        <v>748.25</v>
      </c>
      <c r="F216" s="29" t="s">
        <v>1516</v>
      </c>
      <c r="G216" s="26">
        <v>45591.0</v>
      </c>
      <c r="H216" s="70">
        <f t="shared" si="1"/>
        <v>26</v>
      </c>
      <c r="I216" s="70">
        <f t="shared" si="2"/>
        <v>10</v>
      </c>
      <c r="J216" s="70">
        <f t="shared" si="3"/>
        <v>2024</v>
      </c>
      <c r="K216" s="70" t="str">
        <f t="shared" si="4"/>
        <v>10/2024</v>
      </c>
    </row>
    <row r="217" hidden="1">
      <c r="A217" s="26">
        <v>45592.0</v>
      </c>
      <c r="B217" s="28" t="s">
        <v>1511</v>
      </c>
      <c r="C217" s="29" t="s">
        <v>27</v>
      </c>
      <c r="D217" s="28" t="s">
        <v>1512</v>
      </c>
      <c r="E217" s="71">
        <v>1497.56</v>
      </c>
      <c r="F217" s="29" t="s">
        <v>1513</v>
      </c>
      <c r="G217" s="26">
        <v>45592.0</v>
      </c>
      <c r="H217" s="70">
        <f t="shared" si="1"/>
        <v>27</v>
      </c>
      <c r="I217" s="70">
        <f t="shared" si="2"/>
        <v>10</v>
      </c>
      <c r="J217" s="70">
        <f t="shared" si="3"/>
        <v>2024</v>
      </c>
      <c r="K217" s="70" t="str">
        <f t="shared" si="4"/>
        <v>10/2024</v>
      </c>
    </row>
    <row r="218" hidden="1">
      <c r="A218" s="26">
        <v>45592.0</v>
      </c>
      <c r="B218" s="28" t="s">
        <v>1514</v>
      </c>
      <c r="C218" s="28" t="s">
        <v>37</v>
      </c>
      <c r="D218" s="28" t="s">
        <v>1515</v>
      </c>
      <c r="E218" s="71">
        <v>1062.69</v>
      </c>
      <c r="F218" s="29" t="s">
        <v>1516</v>
      </c>
      <c r="G218" s="26">
        <v>45592.0</v>
      </c>
      <c r="H218" s="70">
        <f t="shared" si="1"/>
        <v>27</v>
      </c>
      <c r="I218" s="70">
        <f t="shared" si="2"/>
        <v>10</v>
      </c>
      <c r="J218" s="70">
        <f t="shared" si="3"/>
        <v>2024</v>
      </c>
      <c r="K218" s="70" t="str">
        <f t="shared" si="4"/>
        <v>10/2024</v>
      </c>
    </row>
    <row r="219" hidden="1">
      <c r="A219" s="26">
        <v>45593.0</v>
      </c>
      <c r="B219" s="28" t="s">
        <v>1511</v>
      </c>
      <c r="C219" s="29" t="s">
        <v>27</v>
      </c>
      <c r="D219" s="28" t="s">
        <v>1512</v>
      </c>
      <c r="E219" s="71">
        <v>267.49</v>
      </c>
      <c r="F219" s="29" t="s">
        <v>1513</v>
      </c>
      <c r="G219" s="26">
        <v>45593.0</v>
      </c>
      <c r="H219" s="70">
        <f t="shared" si="1"/>
        <v>28</v>
      </c>
      <c r="I219" s="70">
        <f t="shared" si="2"/>
        <v>10</v>
      </c>
      <c r="J219" s="70">
        <f t="shared" si="3"/>
        <v>2024</v>
      </c>
      <c r="K219" s="70" t="str">
        <f t="shared" si="4"/>
        <v>10/2024</v>
      </c>
    </row>
    <row r="220" hidden="1">
      <c r="A220" s="26">
        <v>45593.0</v>
      </c>
      <c r="B220" s="28" t="s">
        <v>1514</v>
      </c>
      <c r="C220" s="28" t="s">
        <v>37</v>
      </c>
      <c r="D220" s="28" t="s">
        <v>1515</v>
      </c>
      <c r="E220" s="71">
        <v>205.39</v>
      </c>
      <c r="F220" s="29" t="s">
        <v>1516</v>
      </c>
      <c r="G220" s="26">
        <v>45593.0</v>
      </c>
      <c r="H220" s="70">
        <f t="shared" si="1"/>
        <v>28</v>
      </c>
      <c r="I220" s="70">
        <f t="shared" si="2"/>
        <v>10</v>
      </c>
      <c r="J220" s="70">
        <f t="shared" si="3"/>
        <v>2024</v>
      </c>
      <c r="K220" s="70" t="str">
        <f t="shared" si="4"/>
        <v>10/2024</v>
      </c>
    </row>
    <row r="221" hidden="1">
      <c r="A221" s="26">
        <v>45594.0</v>
      </c>
      <c r="B221" s="28" t="s">
        <v>1511</v>
      </c>
      <c r="C221" s="29" t="s">
        <v>27</v>
      </c>
      <c r="D221" s="28" t="s">
        <v>1512</v>
      </c>
      <c r="E221" s="71">
        <v>1334.19</v>
      </c>
      <c r="F221" s="29" t="s">
        <v>1513</v>
      </c>
      <c r="G221" s="26">
        <v>45594.0</v>
      </c>
      <c r="H221" s="70">
        <f t="shared" si="1"/>
        <v>29</v>
      </c>
      <c r="I221" s="70">
        <f t="shared" si="2"/>
        <v>10</v>
      </c>
      <c r="J221" s="70">
        <f t="shared" si="3"/>
        <v>2024</v>
      </c>
      <c r="K221" s="70" t="str">
        <f t="shared" si="4"/>
        <v>10/2024</v>
      </c>
    </row>
    <row r="222" hidden="1">
      <c r="A222" s="26">
        <v>45594.0</v>
      </c>
      <c r="B222" s="28" t="s">
        <v>1514</v>
      </c>
      <c r="C222" s="28" t="s">
        <v>37</v>
      </c>
      <c r="D222" s="28" t="s">
        <v>1515</v>
      </c>
      <c r="E222" s="71">
        <v>458.06</v>
      </c>
      <c r="F222" s="29" t="s">
        <v>1516</v>
      </c>
      <c r="G222" s="26">
        <v>45594.0</v>
      </c>
      <c r="H222" s="70">
        <f t="shared" si="1"/>
        <v>29</v>
      </c>
      <c r="I222" s="70">
        <f t="shared" si="2"/>
        <v>10</v>
      </c>
      <c r="J222" s="70">
        <f t="shared" si="3"/>
        <v>2024</v>
      </c>
      <c r="K222" s="70" t="str">
        <f t="shared" si="4"/>
        <v>10/2024</v>
      </c>
    </row>
    <row r="223" hidden="1">
      <c r="A223" s="26">
        <v>45595.0</v>
      </c>
      <c r="B223" s="28" t="s">
        <v>1511</v>
      </c>
      <c r="C223" s="29" t="s">
        <v>27</v>
      </c>
      <c r="D223" s="28" t="s">
        <v>1512</v>
      </c>
      <c r="E223" s="71">
        <v>1695.44</v>
      </c>
      <c r="F223" s="29" t="s">
        <v>1513</v>
      </c>
      <c r="G223" s="26">
        <v>45595.0</v>
      </c>
      <c r="H223" s="70">
        <f t="shared" si="1"/>
        <v>30</v>
      </c>
      <c r="I223" s="70">
        <f t="shared" si="2"/>
        <v>10</v>
      </c>
      <c r="J223" s="70">
        <f t="shared" si="3"/>
        <v>2024</v>
      </c>
      <c r="K223" s="70" t="str">
        <f t="shared" si="4"/>
        <v>10/2024</v>
      </c>
    </row>
    <row r="224" hidden="1">
      <c r="A224" s="32">
        <v>45595.0</v>
      </c>
      <c r="B224" s="11" t="s">
        <v>1521</v>
      </c>
      <c r="C224" s="11" t="s">
        <v>27</v>
      </c>
      <c r="D224" s="11" t="s">
        <v>1522</v>
      </c>
      <c r="E224" s="69">
        <v>1819.51</v>
      </c>
      <c r="F224" s="11" t="s">
        <v>1513</v>
      </c>
      <c r="G224" s="32">
        <v>45595.0</v>
      </c>
      <c r="H224" s="70">
        <f t="shared" si="1"/>
        <v>30</v>
      </c>
      <c r="I224" s="70">
        <f t="shared" si="2"/>
        <v>10</v>
      </c>
      <c r="J224" s="70">
        <f t="shared" si="3"/>
        <v>2024</v>
      </c>
      <c r="K224" s="70" t="str">
        <f t="shared" si="4"/>
        <v>10/2024</v>
      </c>
    </row>
    <row r="225" hidden="1">
      <c r="A225" s="26">
        <v>45595.0</v>
      </c>
      <c r="B225" s="28" t="s">
        <v>1514</v>
      </c>
      <c r="C225" s="28" t="s">
        <v>37</v>
      </c>
      <c r="D225" s="28" t="s">
        <v>1515</v>
      </c>
      <c r="E225" s="71">
        <v>1531.49</v>
      </c>
      <c r="F225" s="29" t="s">
        <v>1516</v>
      </c>
      <c r="G225" s="26">
        <v>45595.0</v>
      </c>
      <c r="H225" s="70">
        <f t="shared" si="1"/>
        <v>30</v>
      </c>
      <c r="I225" s="70">
        <f t="shared" si="2"/>
        <v>10</v>
      </c>
      <c r="J225" s="70">
        <f t="shared" si="3"/>
        <v>2024</v>
      </c>
      <c r="K225" s="70" t="str">
        <f t="shared" si="4"/>
        <v>10/2024</v>
      </c>
    </row>
    <row r="226" hidden="1">
      <c r="A226" s="32">
        <v>45595.0</v>
      </c>
      <c r="B226" s="11" t="s">
        <v>44</v>
      </c>
      <c r="C226" s="11" t="s">
        <v>27</v>
      </c>
      <c r="D226" s="11" t="s">
        <v>1528</v>
      </c>
      <c r="E226" s="69">
        <v>1388.63</v>
      </c>
      <c r="F226" s="11" t="s">
        <v>1513</v>
      </c>
      <c r="G226" s="32">
        <v>45595.0</v>
      </c>
      <c r="H226" s="70">
        <f t="shared" si="1"/>
        <v>30</v>
      </c>
      <c r="I226" s="70">
        <f t="shared" si="2"/>
        <v>10</v>
      </c>
      <c r="J226" s="70">
        <f t="shared" si="3"/>
        <v>2024</v>
      </c>
      <c r="K226" s="70" t="str">
        <f t="shared" si="4"/>
        <v>10/2024</v>
      </c>
    </row>
    <row r="227" hidden="1">
      <c r="A227" s="26">
        <v>45596.0</v>
      </c>
      <c r="B227" s="28" t="s">
        <v>1511</v>
      </c>
      <c r="C227" s="29" t="s">
        <v>27</v>
      </c>
      <c r="D227" s="28" t="s">
        <v>1512</v>
      </c>
      <c r="E227" s="69">
        <v>1650.93</v>
      </c>
      <c r="F227" s="29" t="s">
        <v>1513</v>
      </c>
      <c r="G227" s="26">
        <v>45596.0</v>
      </c>
      <c r="H227" s="70">
        <f t="shared" si="1"/>
        <v>31</v>
      </c>
      <c r="I227" s="70">
        <f t="shared" si="2"/>
        <v>10</v>
      </c>
      <c r="J227" s="70">
        <f t="shared" si="3"/>
        <v>2024</v>
      </c>
      <c r="K227" s="70" t="str">
        <f t="shared" si="4"/>
        <v>10/2024</v>
      </c>
    </row>
    <row r="228" hidden="1">
      <c r="A228" s="26">
        <v>45596.0</v>
      </c>
      <c r="B228" s="28" t="s">
        <v>1514</v>
      </c>
      <c r="C228" s="28" t="s">
        <v>37</v>
      </c>
      <c r="D228" s="28" t="s">
        <v>1515</v>
      </c>
      <c r="E228" s="71">
        <v>1166.67</v>
      </c>
      <c r="F228" s="29" t="s">
        <v>1516</v>
      </c>
      <c r="G228" s="26">
        <v>45596.0</v>
      </c>
      <c r="H228" s="70">
        <f t="shared" si="1"/>
        <v>31</v>
      </c>
      <c r="I228" s="70">
        <f t="shared" si="2"/>
        <v>10</v>
      </c>
      <c r="J228" s="70">
        <f t="shared" si="3"/>
        <v>2024</v>
      </c>
      <c r="K228" s="70" t="str">
        <f t="shared" si="4"/>
        <v>10/2024</v>
      </c>
    </row>
    <row r="229" hidden="1">
      <c r="A229" s="26">
        <v>45597.0</v>
      </c>
      <c r="B229" s="28" t="s">
        <v>1523</v>
      </c>
      <c r="C229" s="28" t="s">
        <v>27</v>
      </c>
      <c r="D229" s="28" t="s">
        <v>1524</v>
      </c>
      <c r="E229" s="71">
        <v>4493.85</v>
      </c>
      <c r="F229" s="29" t="s">
        <v>1513</v>
      </c>
      <c r="G229" s="26">
        <v>45597.0</v>
      </c>
      <c r="H229" s="70">
        <f t="shared" si="1"/>
        <v>1</v>
      </c>
      <c r="I229" s="70">
        <f t="shared" si="2"/>
        <v>11</v>
      </c>
      <c r="J229" s="70">
        <f t="shared" si="3"/>
        <v>2024</v>
      </c>
      <c r="K229" s="70" t="str">
        <f t="shared" si="4"/>
        <v>11/2024</v>
      </c>
    </row>
    <row r="230" hidden="1">
      <c r="A230" s="26">
        <v>45597.0</v>
      </c>
      <c r="B230" s="28" t="s">
        <v>1511</v>
      </c>
      <c r="C230" s="29" t="s">
        <v>27</v>
      </c>
      <c r="D230" s="28" t="s">
        <v>1512</v>
      </c>
      <c r="E230" s="69">
        <v>1493.8</v>
      </c>
      <c r="F230" s="29" t="s">
        <v>1513</v>
      </c>
      <c r="G230" s="26">
        <v>45597.0</v>
      </c>
      <c r="H230" s="70">
        <f t="shared" si="1"/>
        <v>1</v>
      </c>
      <c r="I230" s="70">
        <f t="shared" si="2"/>
        <v>11</v>
      </c>
      <c r="J230" s="70">
        <f t="shared" si="3"/>
        <v>2024</v>
      </c>
      <c r="K230" s="70" t="str">
        <f t="shared" si="4"/>
        <v>11/2024</v>
      </c>
    </row>
    <row r="231" hidden="1">
      <c r="A231" s="26">
        <v>45597.0</v>
      </c>
      <c r="B231" s="28" t="s">
        <v>1517</v>
      </c>
      <c r="C231" s="28" t="s">
        <v>27</v>
      </c>
      <c r="D231" s="28" t="s">
        <v>1518</v>
      </c>
      <c r="E231" s="71">
        <v>193.76</v>
      </c>
      <c r="F231" s="29" t="s">
        <v>1513</v>
      </c>
      <c r="G231" s="26">
        <v>45597.0</v>
      </c>
      <c r="H231" s="70">
        <f t="shared" si="1"/>
        <v>1</v>
      </c>
      <c r="I231" s="70">
        <f t="shared" si="2"/>
        <v>11</v>
      </c>
      <c r="J231" s="70">
        <f t="shared" si="3"/>
        <v>2024</v>
      </c>
      <c r="K231" s="70" t="str">
        <f t="shared" si="4"/>
        <v>11/2024</v>
      </c>
    </row>
    <row r="232" hidden="1">
      <c r="A232" s="26">
        <v>45597.0</v>
      </c>
      <c r="B232" s="28" t="s">
        <v>1514</v>
      </c>
      <c r="C232" s="28" t="s">
        <v>37</v>
      </c>
      <c r="D232" s="28" t="s">
        <v>1515</v>
      </c>
      <c r="E232" s="69">
        <v>1067.63</v>
      </c>
      <c r="F232" s="29" t="s">
        <v>1516</v>
      </c>
      <c r="G232" s="26">
        <v>45597.0</v>
      </c>
      <c r="H232" s="70">
        <f t="shared" si="1"/>
        <v>1</v>
      </c>
      <c r="I232" s="70">
        <f t="shared" si="2"/>
        <v>11</v>
      </c>
      <c r="J232" s="70">
        <f t="shared" si="3"/>
        <v>2024</v>
      </c>
      <c r="K232" s="70" t="str">
        <f t="shared" si="4"/>
        <v>11/2024</v>
      </c>
    </row>
    <row r="233" hidden="1">
      <c r="A233" s="26">
        <v>45598.0</v>
      </c>
      <c r="B233" s="28" t="s">
        <v>1511</v>
      </c>
      <c r="C233" s="29" t="s">
        <v>27</v>
      </c>
      <c r="D233" s="28" t="s">
        <v>1512</v>
      </c>
      <c r="E233" s="69">
        <v>1052.72</v>
      </c>
      <c r="F233" s="29" t="s">
        <v>1513</v>
      </c>
      <c r="G233" s="26">
        <v>45598.0</v>
      </c>
      <c r="H233" s="70">
        <f t="shared" si="1"/>
        <v>2</v>
      </c>
      <c r="I233" s="70">
        <f t="shared" si="2"/>
        <v>11</v>
      </c>
      <c r="J233" s="70">
        <f t="shared" si="3"/>
        <v>2024</v>
      </c>
      <c r="K233" s="70" t="str">
        <f t="shared" si="4"/>
        <v>11/2024</v>
      </c>
    </row>
    <row r="234" hidden="1">
      <c r="A234" s="26">
        <v>45598.0</v>
      </c>
      <c r="B234" s="28" t="s">
        <v>1514</v>
      </c>
      <c r="C234" s="28" t="s">
        <v>37</v>
      </c>
      <c r="D234" s="28" t="s">
        <v>1515</v>
      </c>
      <c r="E234" s="69">
        <v>1335.5</v>
      </c>
      <c r="F234" s="29" t="s">
        <v>1516</v>
      </c>
      <c r="G234" s="26">
        <v>45598.0</v>
      </c>
      <c r="H234" s="70">
        <f t="shared" si="1"/>
        <v>2</v>
      </c>
      <c r="I234" s="70">
        <f t="shared" si="2"/>
        <v>11</v>
      </c>
      <c r="J234" s="70">
        <f t="shared" si="3"/>
        <v>2024</v>
      </c>
      <c r="K234" s="70" t="str">
        <f t="shared" si="4"/>
        <v>11/2024</v>
      </c>
    </row>
    <row r="235" hidden="1">
      <c r="A235" s="26">
        <v>45599.0</v>
      </c>
      <c r="B235" s="28" t="s">
        <v>1511</v>
      </c>
      <c r="C235" s="29" t="s">
        <v>27</v>
      </c>
      <c r="D235" s="28" t="s">
        <v>1512</v>
      </c>
      <c r="E235" s="69">
        <v>1311.65</v>
      </c>
      <c r="F235" s="29" t="s">
        <v>1513</v>
      </c>
      <c r="G235" s="26">
        <v>45599.0</v>
      </c>
      <c r="H235" s="70">
        <f t="shared" si="1"/>
        <v>3</v>
      </c>
      <c r="I235" s="70">
        <f t="shared" si="2"/>
        <v>11</v>
      </c>
      <c r="J235" s="70">
        <f t="shared" si="3"/>
        <v>2024</v>
      </c>
      <c r="K235" s="70" t="str">
        <f t="shared" si="4"/>
        <v>11/2024</v>
      </c>
    </row>
    <row r="236" hidden="1">
      <c r="A236" s="26">
        <v>45599.0</v>
      </c>
      <c r="B236" s="28" t="s">
        <v>1514</v>
      </c>
      <c r="C236" s="28" t="s">
        <v>37</v>
      </c>
      <c r="D236" s="28" t="s">
        <v>1515</v>
      </c>
      <c r="E236" s="69">
        <v>815.56</v>
      </c>
      <c r="F236" s="29" t="s">
        <v>1516</v>
      </c>
      <c r="G236" s="26">
        <v>45599.0</v>
      </c>
      <c r="H236" s="70">
        <f t="shared" si="1"/>
        <v>3</v>
      </c>
      <c r="I236" s="70">
        <f t="shared" si="2"/>
        <v>11</v>
      </c>
      <c r="J236" s="70">
        <f t="shared" si="3"/>
        <v>2024</v>
      </c>
      <c r="K236" s="70" t="str">
        <f t="shared" si="4"/>
        <v>11/2024</v>
      </c>
    </row>
    <row r="237" hidden="1">
      <c r="A237" s="26">
        <v>45600.0</v>
      </c>
      <c r="B237" s="28" t="s">
        <v>1511</v>
      </c>
      <c r="C237" s="29" t="s">
        <v>27</v>
      </c>
      <c r="D237" s="28" t="s">
        <v>1512</v>
      </c>
      <c r="E237" s="71">
        <v>440.17</v>
      </c>
      <c r="F237" s="29" t="s">
        <v>1513</v>
      </c>
      <c r="G237" s="26">
        <v>45600.0</v>
      </c>
      <c r="H237" s="70">
        <f t="shared" si="1"/>
        <v>4</v>
      </c>
      <c r="I237" s="70">
        <f t="shared" si="2"/>
        <v>11</v>
      </c>
      <c r="J237" s="70">
        <f t="shared" si="3"/>
        <v>2024</v>
      </c>
      <c r="K237" s="70" t="str">
        <f t="shared" si="4"/>
        <v>11/2024</v>
      </c>
    </row>
    <row r="238" hidden="1">
      <c r="A238" s="9">
        <v>45600.0</v>
      </c>
      <c r="B238" s="28" t="s">
        <v>1523</v>
      </c>
      <c r="C238" s="28" t="s">
        <v>27</v>
      </c>
      <c r="D238" s="28" t="s">
        <v>1524</v>
      </c>
      <c r="E238" s="69">
        <v>15289.98</v>
      </c>
      <c r="F238" s="11" t="s">
        <v>1513</v>
      </c>
      <c r="G238" s="9">
        <v>45600.0</v>
      </c>
      <c r="H238" s="70">
        <f t="shared" si="1"/>
        <v>4</v>
      </c>
      <c r="I238" s="70">
        <f t="shared" si="2"/>
        <v>11</v>
      </c>
      <c r="J238" s="70">
        <f t="shared" si="3"/>
        <v>2024</v>
      </c>
      <c r="K238" s="70" t="str">
        <f t="shared" si="4"/>
        <v>11/2024</v>
      </c>
    </row>
    <row r="239" hidden="1">
      <c r="A239" s="26">
        <v>45600.0</v>
      </c>
      <c r="B239" s="28" t="s">
        <v>1514</v>
      </c>
      <c r="C239" s="28" t="s">
        <v>37</v>
      </c>
      <c r="D239" s="28" t="s">
        <v>1515</v>
      </c>
      <c r="E239" s="71">
        <v>552.76</v>
      </c>
      <c r="F239" s="29" t="s">
        <v>1516</v>
      </c>
      <c r="G239" s="26">
        <v>45600.0</v>
      </c>
      <c r="H239" s="70">
        <f t="shared" si="1"/>
        <v>4</v>
      </c>
      <c r="I239" s="70">
        <f t="shared" si="2"/>
        <v>11</v>
      </c>
      <c r="J239" s="70">
        <f t="shared" si="3"/>
        <v>2024</v>
      </c>
      <c r="K239" s="70" t="str">
        <f t="shared" si="4"/>
        <v>11/2024</v>
      </c>
    </row>
    <row r="240" hidden="1">
      <c r="A240" s="26">
        <v>45601.0</v>
      </c>
      <c r="B240" s="28" t="s">
        <v>1519</v>
      </c>
      <c r="C240" s="28" t="s">
        <v>27</v>
      </c>
      <c r="D240" s="28" t="s">
        <v>1520</v>
      </c>
      <c r="E240" s="71">
        <v>20254.94</v>
      </c>
      <c r="F240" s="29" t="s">
        <v>1513</v>
      </c>
      <c r="G240" s="26">
        <v>45596.0</v>
      </c>
      <c r="H240" s="70">
        <f t="shared" si="1"/>
        <v>5</v>
      </c>
      <c r="I240" s="70">
        <f t="shared" si="2"/>
        <v>11</v>
      </c>
      <c r="J240" s="70">
        <f t="shared" si="3"/>
        <v>2024</v>
      </c>
      <c r="K240" s="70" t="str">
        <f t="shared" si="4"/>
        <v>11/2024</v>
      </c>
    </row>
    <row r="241" hidden="1">
      <c r="A241" s="26">
        <v>45601.0</v>
      </c>
      <c r="B241" s="28" t="s">
        <v>1511</v>
      </c>
      <c r="C241" s="29" t="s">
        <v>27</v>
      </c>
      <c r="D241" s="28" t="s">
        <v>1512</v>
      </c>
      <c r="E241" s="69">
        <v>1129.55</v>
      </c>
      <c r="F241" s="29" t="s">
        <v>1513</v>
      </c>
      <c r="G241" s="26">
        <v>45601.0</v>
      </c>
      <c r="H241" s="70">
        <f t="shared" si="1"/>
        <v>5</v>
      </c>
      <c r="I241" s="70">
        <f t="shared" si="2"/>
        <v>11</v>
      </c>
      <c r="J241" s="70">
        <f t="shared" si="3"/>
        <v>2024</v>
      </c>
      <c r="K241" s="70" t="str">
        <f t="shared" si="4"/>
        <v>11/2024</v>
      </c>
    </row>
    <row r="242" hidden="1">
      <c r="A242" s="26">
        <v>45601.0</v>
      </c>
      <c r="B242" s="28" t="s">
        <v>1514</v>
      </c>
      <c r="C242" s="28" t="s">
        <v>37</v>
      </c>
      <c r="D242" s="28" t="s">
        <v>1515</v>
      </c>
      <c r="E242" s="69">
        <v>385.09</v>
      </c>
      <c r="F242" s="29" t="s">
        <v>1516</v>
      </c>
      <c r="G242" s="26">
        <v>45601.0</v>
      </c>
      <c r="H242" s="70">
        <f t="shared" si="1"/>
        <v>5</v>
      </c>
      <c r="I242" s="70">
        <f t="shared" si="2"/>
        <v>11</v>
      </c>
      <c r="J242" s="70">
        <f t="shared" si="3"/>
        <v>2024</v>
      </c>
      <c r="K242" s="70" t="str">
        <f t="shared" si="4"/>
        <v>11/2024</v>
      </c>
    </row>
    <row r="243" hidden="1">
      <c r="A243" s="36">
        <v>45602.0</v>
      </c>
      <c r="B243" s="28" t="s">
        <v>1521</v>
      </c>
      <c r="C243" s="28" t="s">
        <v>27</v>
      </c>
      <c r="D243" s="28" t="s">
        <v>1522</v>
      </c>
      <c r="E243" s="71">
        <v>526.61</v>
      </c>
      <c r="F243" s="29" t="s">
        <v>1513</v>
      </c>
      <c r="G243" s="36">
        <v>45602.0</v>
      </c>
      <c r="H243" s="70">
        <f t="shared" si="1"/>
        <v>6</v>
      </c>
      <c r="I243" s="70">
        <f t="shared" si="2"/>
        <v>11</v>
      </c>
      <c r="J243" s="70">
        <f t="shared" si="3"/>
        <v>2024</v>
      </c>
      <c r="K243" s="70" t="str">
        <f t="shared" si="4"/>
        <v>11/2024</v>
      </c>
    </row>
    <row r="244" hidden="1">
      <c r="A244" s="26">
        <v>45602.0</v>
      </c>
      <c r="B244" s="28" t="s">
        <v>1511</v>
      </c>
      <c r="C244" s="29" t="s">
        <v>27</v>
      </c>
      <c r="D244" s="28" t="s">
        <v>1512</v>
      </c>
      <c r="E244" s="69">
        <v>1009.74</v>
      </c>
      <c r="F244" s="29" t="s">
        <v>1513</v>
      </c>
      <c r="G244" s="26">
        <v>45602.0</v>
      </c>
      <c r="H244" s="70">
        <f t="shared" si="1"/>
        <v>6</v>
      </c>
      <c r="I244" s="70">
        <f t="shared" si="2"/>
        <v>11</v>
      </c>
      <c r="J244" s="70">
        <f t="shared" si="3"/>
        <v>2024</v>
      </c>
      <c r="K244" s="70" t="str">
        <f t="shared" si="4"/>
        <v>11/2024</v>
      </c>
    </row>
    <row r="245" hidden="1">
      <c r="A245" s="26">
        <v>45602.0</v>
      </c>
      <c r="B245" s="28" t="s">
        <v>1514</v>
      </c>
      <c r="C245" s="28" t="s">
        <v>37</v>
      </c>
      <c r="D245" s="28" t="s">
        <v>1515</v>
      </c>
      <c r="E245" s="69">
        <v>527.28</v>
      </c>
      <c r="F245" s="29" t="s">
        <v>1516</v>
      </c>
      <c r="G245" s="26">
        <v>45602.0</v>
      </c>
      <c r="H245" s="70">
        <f t="shared" si="1"/>
        <v>6</v>
      </c>
      <c r="I245" s="70">
        <f t="shared" si="2"/>
        <v>11</v>
      </c>
      <c r="J245" s="70">
        <f t="shared" si="3"/>
        <v>2024</v>
      </c>
      <c r="K245" s="70" t="str">
        <f t="shared" si="4"/>
        <v>11/2024</v>
      </c>
    </row>
    <row r="246" hidden="1">
      <c r="A246" s="36">
        <v>45602.0</v>
      </c>
      <c r="B246" s="28" t="s">
        <v>44</v>
      </c>
      <c r="C246" s="28" t="s">
        <v>27</v>
      </c>
      <c r="D246" s="29" t="s">
        <v>1529</v>
      </c>
      <c r="E246" s="71">
        <v>300.0</v>
      </c>
      <c r="F246" s="28" t="s">
        <v>1513</v>
      </c>
      <c r="G246" s="36">
        <v>45602.0</v>
      </c>
      <c r="H246" s="70">
        <f t="shared" si="1"/>
        <v>6</v>
      </c>
      <c r="I246" s="70">
        <f t="shared" si="2"/>
        <v>11</v>
      </c>
      <c r="J246" s="70">
        <f t="shared" si="3"/>
        <v>2024</v>
      </c>
      <c r="K246" s="70" t="str">
        <f t="shared" si="4"/>
        <v>11/2024</v>
      </c>
    </row>
    <row r="247" hidden="1">
      <c r="A247" s="26">
        <v>45603.0</v>
      </c>
      <c r="B247" s="28" t="s">
        <v>1511</v>
      </c>
      <c r="C247" s="29" t="s">
        <v>27</v>
      </c>
      <c r="D247" s="28" t="s">
        <v>1512</v>
      </c>
      <c r="E247" s="69">
        <v>1183.34</v>
      </c>
      <c r="F247" s="29" t="s">
        <v>1513</v>
      </c>
      <c r="G247" s="26">
        <v>45603.0</v>
      </c>
      <c r="H247" s="70">
        <f t="shared" si="1"/>
        <v>7</v>
      </c>
      <c r="I247" s="70">
        <f t="shared" si="2"/>
        <v>11</v>
      </c>
      <c r="J247" s="70">
        <f t="shared" si="3"/>
        <v>2024</v>
      </c>
      <c r="K247" s="70" t="str">
        <f t="shared" si="4"/>
        <v>11/2024</v>
      </c>
    </row>
    <row r="248" hidden="1">
      <c r="A248" s="26">
        <v>45603.0</v>
      </c>
      <c r="B248" s="28" t="s">
        <v>1514</v>
      </c>
      <c r="C248" s="28" t="s">
        <v>37</v>
      </c>
      <c r="D248" s="28" t="s">
        <v>1515</v>
      </c>
      <c r="E248" s="69">
        <v>1238.35</v>
      </c>
      <c r="F248" s="29" t="s">
        <v>1516</v>
      </c>
      <c r="G248" s="26">
        <v>45603.0</v>
      </c>
      <c r="H248" s="70">
        <f t="shared" si="1"/>
        <v>7</v>
      </c>
      <c r="I248" s="70">
        <f t="shared" si="2"/>
        <v>11</v>
      </c>
      <c r="J248" s="70">
        <f t="shared" si="3"/>
        <v>2024</v>
      </c>
      <c r="K248" s="70" t="str">
        <f t="shared" si="4"/>
        <v>11/2024</v>
      </c>
    </row>
    <row r="249" hidden="1">
      <c r="A249" s="26">
        <v>45604.0</v>
      </c>
      <c r="B249" s="28" t="s">
        <v>1511</v>
      </c>
      <c r="C249" s="29" t="s">
        <v>27</v>
      </c>
      <c r="D249" s="28" t="s">
        <v>1512</v>
      </c>
      <c r="E249" s="69">
        <v>1407.97</v>
      </c>
      <c r="F249" s="29" t="s">
        <v>1513</v>
      </c>
      <c r="G249" s="26">
        <v>45604.0</v>
      </c>
      <c r="H249" s="70">
        <f t="shared" si="1"/>
        <v>8</v>
      </c>
      <c r="I249" s="70">
        <f t="shared" si="2"/>
        <v>11</v>
      </c>
      <c r="J249" s="70">
        <f t="shared" si="3"/>
        <v>2024</v>
      </c>
      <c r="K249" s="70" t="str">
        <f t="shared" si="4"/>
        <v>11/2024</v>
      </c>
    </row>
    <row r="250" hidden="1">
      <c r="A250" s="26">
        <v>45604.0</v>
      </c>
      <c r="B250" s="28" t="s">
        <v>1514</v>
      </c>
      <c r="C250" s="28" t="s">
        <v>37</v>
      </c>
      <c r="D250" s="28" t="s">
        <v>1515</v>
      </c>
      <c r="E250" s="69">
        <v>633.72</v>
      </c>
      <c r="F250" s="29" t="s">
        <v>1516</v>
      </c>
      <c r="G250" s="26">
        <v>45604.0</v>
      </c>
      <c r="H250" s="70">
        <f t="shared" si="1"/>
        <v>8</v>
      </c>
      <c r="I250" s="70">
        <f t="shared" si="2"/>
        <v>11</v>
      </c>
      <c r="J250" s="70">
        <f t="shared" si="3"/>
        <v>2024</v>
      </c>
      <c r="K250" s="70" t="str">
        <f t="shared" si="4"/>
        <v>11/2024</v>
      </c>
    </row>
    <row r="251" hidden="1">
      <c r="A251" s="26">
        <v>45605.0</v>
      </c>
      <c r="B251" s="28" t="s">
        <v>1511</v>
      </c>
      <c r="C251" s="29" t="s">
        <v>27</v>
      </c>
      <c r="D251" s="28" t="s">
        <v>1512</v>
      </c>
      <c r="E251" s="69">
        <v>1157.36</v>
      </c>
      <c r="F251" s="29" t="s">
        <v>1513</v>
      </c>
      <c r="G251" s="26">
        <v>45605.0</v>
      </c>
      <c r="H251" s="70">
        <f t="shared" si="1"/>
        <v>9</v>
      </c>
      <c r="I251" s="70">
        <f t="shared" si="2"/>
        <v>11</v>
      </c>
      <c r="J251" s="70">
        <f t="shared" si="3"/>
        <v>2024</v>
      </c>
      <c r="K251" s="70" t="str">
        <f t="shared" si="4"/>
        <v>11/2024</v>
      </c>
    </row>
    <row r="252" hidden="1">
      <c r="A252" s="26">
        <v>45605.0</v>
      </c>
      <c r="B252" s="28" t="s">
        <v>1514</v>
      </c>
      <c r="C252" s="28" t="s">
        <v>37</v>
      </c>
      <c r="D252" s="28" t="s">
        <v>1515</v>
      </c>
      <c r="E252" s="69">
        <v>486.31</v>
      </c>
      <c r="F252" s="29" t="s">
        <v>1516</v>
      </c>
      <c r="G252" s="26">
        <v>45605.0</v>
      </c>
      <c r="H252" s="70">
        <f t="shared" si="1"/>
        <v>9</v>
      </c>
      <c r="I252" s="70">
        <f t="shared" si="2"/>
        <v>11</v>
      </c>
      <c r="J252" s="70">
        <f t="shared" si="3"/>
        <v>2024</v>
      </c>
      <c r="K252" s="70" t="str">
        <f t="shared" si="4"/>
        <v>11/2024</v>
      </c>
    </row>
    <row r="253" hidden="1">
      <c r="A253" s="26">
        <v>45606.0</v>
      </c>
      <c r="B253" s="28" t="s">
        <v>1511</v>
      </c>
      <c r="C253" s="29" t="s">
        <v>27</v>
      </c>
      <c r="D253" s="28" t="s">
        <v>1512</v>
      </c>
      <c r="E253" s="69">
        <v>1234.57</v>
      </c>
      <c r="F253" s="29" t="s">
        <v>1513</v>
      </c>
      <c r="G253" s="26">
        <v>45606.0</v>
      </c>
      <c r="H253" s="70">
        <f t="shared" si="1"/>
        <v>10</v>
      </c>
      <c r="I253" s="70">
        <f t="shared" si="2"/>
        <v>11</v>
      </c>
      <c r="J253" s="70">
        <f t="shared" si="3"/>
        <v>2024</v>
      </c>
      <c r="K253" s="70" t="str">
        <f t="shared" si="4"/>
        <v>11/2024</v>
      </c>
    </row>
    <row r="254" hidden="1">
      <c r="A254" s="26">
        <v>45606.0</v>
      </c>
      <c r="B254" s="28" t="s">
        <v>1514</v>
      </c>
      <c r="C254" s="28" t="s">
        <v>37</v>
      </c>
      <c r="D254" s="28" t="s">
        <v>1515</v>
      </c>
      <c r="E254" s="69">
        <v>312.56</v>
      </c>
      <c r="F254" s="29" t="s">
        <v>1516</v>
      </c>
      <c r="G254" s="26">
        <v>45606.0</v>
      </c>
      <c r="H254" s="70">
        <f t="shared" si="1"/>
        <v>10</v>
      </c>
      <c r="I254" s="70">
        <f t="shared" si="2"/>
        <v>11</v>
      </c>
      <c r="J254" s="70">
        <f t="shared" si="3"/>
        <v>2024</v>
      </c>
      <c r="K254" s="70" t="str">
        <f t="shared" si="4"/>
        <v>11/2024</v>
      </c>
    </row>
    <row r="255" hidden="1">
      <c r="A255" s="26">
        <v>45607.0</v>
      </c>
      <c r="B255" s="28" t="s">
        <v>1511</v>
      </c>
      <c r="C255" s="28" t="s">
        <v>66</v>
      </c>
      <c r="D255" s="28" t="s">
        <v>1512</v>
      </c>
      <c r="E255" s="69">
        <v>705.77</v>
      </c>
      <c r="F255" s="29" t="s">
        <v>1516</v>
      </c>
      <c r="G255" s="26">
        <v>45607.0</v>
      </c>
      <c r="H255" s="70">
        <f t="shared" si="1"/>
        <v>11</v>
      </c>
      <c r="I255" s="70">
        <f t="shared" si="2"/>
        <v>11</v>
      </c>
      <c r="J255" s="70">
        <f t="shared" si="3"/>
        <v>2024</v>
      </c>
      <c r="K255" s="70" t="str">
        <f t="shared" si="4"/>
        <v>11/2024</v>
      </c>
    </row>
    <row r="256" hidden="1">
      <c r="A256" s="26">
        <v>45607.0</v>
      </c>
      <c r="B256" s="28" t="s">
        <v>1514</v>
      </c>
      <c r="C256" s="28" t="s">
        <v>37</v>
      </c>
      <c r="D256" s="28" t="s">
        <v>1515</v>
      </c>
      <c r="E256" s="69">
        <v>373.55</v>
      </c>
      <c r="F256" s="29" t="s">
        <v>1516</v>
      </c>
      <c r="G256" s="26">
        <v>45607.0</v>
      </c>
      <c r="H256" s="70">
        <f t="shared" si="1"/>
        <v>11</v>
      </c>
      <c r="I256" s="70">
        <f t="shared" si="2"/>
        <v>11</v>
      </c>
      <c r="J256" s="70">
        <f t="shared" si="3"/>
        <v>2024</v>
      </c>
      <c r="K256" s="70" t="str">
        <f t="shared" si="4"/>
        <v>11/2024</v>
      </c>
    </row>
    <row r="257" hidden="1">
      <c r="A257" s="26">
        <v>45607.0</v>
      </c>
      <c r="B257" s="28" t="s">
        <v>1511</v>
      </c>
      <c r="C257" s="29" t="s">
        <v>27</v>
      </c>
      <c r="D257" s="28" t="s">
        <v>1512</v>
      </c>
      <c r="E257" s="69">
        <v>54.71</v>
      </c>
      <c r="F257" s="29" t="s">
        <v>1513</v>
      </c>
      <c r="G257" s="26">
        <v>45607.0</v>
      </c>
      <c r="H257" s="70">
        <f t="shared" si="1"/>
        <v>11</v>
      </c>
      <c r="I257" s="70">
        <f t="shared" si="2"/>
        <v>11</v>
      </c>
      <c r="J257" s="70">
        <f t="shared" si="3"/>
        <v>2024</v>
      </c>
      <c r="K257" s="70" t="str">
        <f t="shared" si="4"/>
        <v>11/2024</v>
      </c>
    </row>
    <row r="258" hidden="1">
      <c r="A258" s="26">
        <v>45608.0</v>
      </c>
      <c r="B258" s="28" t="s">
        <v>1514</v>
      </c>
      <c r="C258" s="28" t="s">
        <v>37</v>
      </c>
      <c r="D258" s="28" t="s">
        <v>1515</v>
      </c>
      <c r="E258" s="69">
        <v>1211.81</v>
      </c>
      <c r="F258" s="29" t="s">
        <v>1516</v>
      </c>
      <c r="G258" s="26">
        <v>45608.0</v>
      </c>
      <c r="H258" s="70">
        <f t="shared" si="1"/>
        <v>12</v>
      </c>
      <c r="I258" s="70">
        <f t="shared" si="2"/>
        <v>11</v>
      </c>
      <c r="J258" s="70">
        <f t="shared" si="3"/>
        <v>2024</v>
      </c>
      <c r="K258" s="70" t="str">
        <f t="shared" si="4"/>
        <v>11/2024</v>
      </c>
    </row>
    <row r="259" hidden="1">
      <c r="A259" s="26">
        <v>45608.0</v>
      </c>
      <c r="B259" s="28" t="s">
        <v>1511</v>
      </c>
      <c r="C259" s="29" t="s">
        <v>27</v>
      </c>
      <c r="D259" s="28" t="s">
        <v>1512</v>
      </c>
      <c r="E259" s="69">
        <v>2290.03</v>
      </c>
      <c r="F259" s="29" t="s">
        <v>1513</v>
      </c>
      <c r="G259" s="26">
        <v>45608.0</v>
      </c>
      <c r="H259" s="70">
        <f t="shared" si="1"/>
        <v>12</v>
      </c>
      <c r="I259" s="70">
        <f t="shared" si="2"/>
        <v>11</v>
      </c>
      <c r="J259" s="70">
        <f t="shared" si="3"/>
        <v>2024</v>
      </c>
      <c r="K259" s="70" t="str">
        <f t="shared" si="4"/>
        <v>11/2024</v>
      </c>
    </row>
    <row r="260" hidden="1">
      <c r="A260" s="36">
        <v>45609.0</v>
      </c>
      <c r="B260" s="28" t="s">
        <v>1521</v>
      </c>
      <c r="C260" s="28" t="s">
        <v>27</v>
      </c>
      <c r="D260" s="28" t="s">
        <v>1522</v>
      </c>
      <c r="E260" s="69">
        <v>622.91</v>
      </c>
      <c r="F260" s="29" t="s">
        <v>1513</v>
      </c>
      <c r="G260" s="36">
        <v>45609.0</v>
      </c>
      <c r="H260" s="70">
        <f t="shared" si="1"/>
        <v>13</v>
      </c>
      <c r="I260" s="70">
        <f t="shared" si="2"/>
        <v>11</v>
      </c>
      <c r="J260" s="70">
        <f t="shared" si="3"/>
        <v>2024</v>
      </c>
      <c r="K260" s="70" t="str">
        <f t="shared" si="4"/>
        <v>11/2024</v>
      </c>
    </row>
    <row r="261" hidden="1">
      <c r="A261" s="26">
        <v>45609.0</v>
      </c>
      <c r="B261" s="28" t="s">
        <v>1511</v>
      </c>
      <c r="C261" s="29" t="s">
        <v>27</v>
      </c>
      <c r="D261" s="28" t="s">
        <v>1512</v>
      </c>
      <c r="E261" s="69">
        <v>2227.01</v>
      </c>
      <c r="F261" s="29" t="s">
        <v>1513</v>
      </c>
      <c r="G261" s="26">
        <v>45609.0</v>
      </c>
      <c r="H261" s="70">
        <f t="shared" si="1"/>
        <v>13</v>
      </c>
      <c r="I261" s="70">
        <f t="shared" si="2"/>
        <v>11</v>
      </c>
      <c r="J261" s="70">
        <f t="shared" si="3"/>
        <v>2024</v>
      </c>
      <c r="K261" s="70" t="str">
        <f t="shared" si="4"/>
        <v>11/2024</v>
      </c>
    </row>
    <row r="262" hidden="1">
      <c r="A262" s="26">
        <v>45609.0</v>
      </c>
      <c r="B262" s="28" t="s">
        <v>1514</v>
      </c>
      <c r="C262" s="28" t="s">
        <v>37</v>
      </c>
      <c r="D262" s="28" t="s">
        <v>1515</v>
      </c>
      <c r="E262" s="69">
        <v>818.29</v>
      </c>
      <c r="F262" s="29" t="s">
        <v>1516</v>
      </c>
      <c r="G262" s="26">
        <v>45609.0</v>
      </c>
      <c r="H262" s="70">
        <f t="shared" si="1"/>
        <v>13</v>
      </c>
      <c r="I262" s="70">
        <f t="shared" si="2"/>
        <v>11</v>
      </c>
      <c r="J262" s="70">
        <f t="shared" si="3"/>
        <v>2024</v>
      </c>
      <c r="K262" s="70" t="str">
        <f t="shared" si="4"/>
        <v>11/2024</v>
      </c>
    </row>
    <row r="263" hidden="1">
      <c r="A263" s="26">
        <v>45610.0</v>
      </c>
      <c r="B263" s="28" t="s">
        <v>1511</v>
      </c>
      <c r="C263" s="29" t="s">
        <v>27</v>
      </c>
      <c r="D263" s="28" t="s">
        <v>1512</v>
      </c>
      <c r="E263" s="71">
        <v>2168.56</v>
      </c>
      <c r="F263" s="29" t="s">
        <v>1513</v>
      </c>
      <c r="G263" s="26">
        <v>45610.0</v>
      </c>
      <c r="H263" s="70">
        <f t="shared" si="1"/>
        <v>14</v>
      </c>
      <c r="I263" s="70">
        <f t="shared" si="2"/>
        <v>11</v>
      </c>
      <c r="J263" s="70">
        <f t="shared" si="3"/>
        <v>2024</v>
      </c>
      <c r="K263" s="70" t="str">
        <f t="shared" si="4"/>
        <v>11/2024</v>
      </c>
    </row>
    <row r="264" hidden="1">
      <c r="A264" s="26">
        <v>45610.0</v>
      </c>
      <c r="B264" s="28" t="s">
        <v>1514</v>
      </c>
      <c r="C264" s="28" t="s">
        <v>37</v>
      </c>
      <c r="D264" s="28" t="s">
        <v>1515</v>
      </c>
      <c r="E264" s="71">
        <v>1004.03</v>
      </c>
      <c r="F264" s="29" t="s">
        <v>1516</v>
      </c>
      <c r="G264" s="26">
        <v>45610.0</v>
      </c>
      <c r="H264" s="70">
        <f t="shared" si="1"/>
        <v>14</v>
      </c>
      <c r="I264" s="70">
        <f t="shared" si="2"/>
        <v>11</v>
      </c>
      <c r="J264" s="70">
        <f t="shared" si="3"/>
        <v>2024</v>
      </c>
      <c r="K264" s="70" t="str">
        <f t="shared" si="4"/>
        <v>11/2024</v>
      </c>
    </row>
    <row r="265" hidden="1">
      <c r="A265" s="26">
        <v>45611.0</v>
      </c>
      <c r="B265" s="28" t="s">
        <v>1511</v>
      </c>
      <c r="C265" s="29" t="s">
        <v>27</v>
      </c>
      <c r="D265" s="28" t="s">
        <v>1512</v>
      </c>
      <c r="E265" s="71">
        <v>1565.21</v>
      </c>
      <c r="F265" s="29" t="s">
        <v>1513</v>
      </c>
      <c r="G265" s="26">
        <v>45611.0</v>
      </c>
      <c r="H265" s="70">
        <f t="shared" si="1"/>
        <v>15</v>
      </c>
      <c r="I265" s="70">
        <f t="shared" si="2"/>
        <v>11</v>
      </c>
      <c r="J265" s="70">
        <f t="shared" si="3"/>
        <v>2024</v>
      </c>
      <c r="K265" s="70" t="str">
        <f t="shared" si="4"/>
        <v>11/2024</v>
      </c>
    </row>
    <row r="266" hidden="1">
      <c r="A266" s="26">
        <v>45611.0</v>
      </c>
      <c r="B266" s="28" t="s">
        <v>1514</v>
      </c>
      <c r="C266" s="28" t="s">
        <v>37</v>
      </c>
      <c r="D266" s="28" t="s">
        <v>1515</v>
      </c>
      <c r="E266" s="69">
        <v>1019.82</v>
      </c>
      <c r="F266" s="29" t="s">
        <v>1516</v>
      </c>
      <c r="G266" s="26">
        <v>45611.0</v>
      </c>
      <c r="H266" s="70">
        <f t="shared" si="1"/>
        <v>15</v>
      </c>
      <c r="I266" s="70">
        <f t="shared" si="2"/>
        <v>11</v>
      </c>
      <c r="J266" s="70">
        <f t="shared" si="3"/>
        <v>2024</v>
      </c>
      <c r="K266" s="70" t="str">
        <f t="shared" si="4"/>
        <v>11/2024</v>
      </c>
    </row>
    <row r="267" hidden="1">
      <c r="A267" s="26">
        <v>45612.0</v>
      </c>
      <c r="B267" s="28" t="s">
        <v>1511</v>
      </c>
      <c r="C267" s="29" t="s">
        <v>27</v>
      </c>
      <c r="D267" s="28" t="s">
        <v>1512</v>
      </c>
      <c r="E267" s="69">
        <v>2076.1</v>
      </c>
      <c r="F267" s="29" t="s">
        <v>1513</v>
      </c>
      <c r="G267" s="26">
        <v>45612.0</v>
      </c>
      <c r="H267" s="70">
        <f t="shared" si="1"/>
        <v>16</v>
      </c>
      <c r="I267" s="70">
        <f t="shared" si="2"/>
        <v>11</v>
      </c>
      <c r="J267" s="70">
        <f t="shared" si="3"/>
        <v>2024</v>
      </c>
      <c r="K267" s="70" t="str">
        <f t="shared" si="4"/>
        <v>11/2024</v>
      </c>
    </row>
    <row r="268" hidden="1">
      <c r="A268" s="26">
        <v>45612.0</v>
      </c>
      <c r="B268" s="28" t="s">
        <v>1514</v>
      </c>
      <c r="C268" s="28" t="s">
        <v>37</v>
      </c>
      <c r="D268" s="28" t="s">
        <v>1515</v>
      </c>
      <c r="E268" s="69">
        <v>751.87</v>
      </c>
      <c r="F268" s="29" t="s">
        <v>1516</v>
      </c>
      <c r="G268" s="26">
        <v>45612.0</v>
      </c>
      <c r="H268" s="70">
        <f t="shared" si="1"/>
        <v>16</v>
      </c>
      <c r="I268" s="70">
        <f t="shared" si="2"/>
        <v>11</v>
      </c>
      <c r="J268" s="70">
        <f t="shared" si="3"/>
        <v>2024</v>
      </c>
      <c r="K268" s="70" t="str">
        <f t="shared" si="4"/>
        <v>11/2024</v>
      </c>
    </row>
    <row r="269" hidden="1">
      <c r="A269" s="26">
        <v>45613.0</v>
      </c>
      <c r="B269" s="28" t="s">
        <v>1511</v>
      </c>
      <c r="C269" s="29" t="s">
        <v>27</v>
      </c>
      <c r="D269" s="28" t="s">
        <v>1512</v>
      </c>
      <c r="E269" s="69">
        <v>1459.05</v>
      </c>
      <c r="F269" s="29" t="s">
        <v>1513</v>
      </c>
      <c r="G269" s="26">
        <v>45613.0</v>
      </c>
      <c r="H269" s="70">
        <f t="shared" si="1"/>
        <v>17</v>
      </c>
      <c r="I269" s="70">
        <f t="shared" si="2"/>
        <v>11</v>
      </c>
      <c r="J269" s="70">
        <f t="shared" si="3"/>
        <v>2024</v>
      </c>
      <c r="K269" s="70" t="str">
        <f t="shared" si="4"/>
        <v>11/2024</v>
      </c>
    </row>
    <row r="270" hidden="1">
      <c r="A270" s="26">
        <v>45613.0</v>
      </c>
      <c r="B270" s="28" t="s">
        <v>1514</v>
      </c>
      <c r="C270" s="28" t="s">
        <v>37</v>
      </c>
      <c r="D270" s="28" t="s">
        <v>1515</v>
      </c>
      <c r="E270" s="69">
        <v>932.52</v>
      </c>
      <c r="F270" s="29" t="s">
        <v>1516</v>
      </c>
      <c r="G270" s="26">
        <v>45613.0</v>
      </c>
      <c r="H270" s="70">
        <f t="shared" si="1"/>
        <v>17</v>
      </c>
      <c r="I270" s="70">
        <f t="shared" si="2"/>
        <v>11</v>
      </c>
      <c r="J270" s="70">
        <f t="shared" si="3"/>
        <v>2024</v>
      </c>
      <c r="K270" s="70" t="str">
        <f t="shared" si="4"/>
        <v>11/2024</v>
      </c>
    </row>
    <row r="271" hidden="1">
      <c r="A271" s="26">
        <v>45614.0</v>
      </c>
      <c r="B271" s="28" t="s">
        <v>1523</v>
      </c>
      <c r="C271" s="28" t="s">
        <v>27</v>
      </c>
      <c r="D271" s="28" t="s">
        <v>1524</v>
      </c>
      <c r="E271" s="71">
        <v>4069.56</v>
      </c>
      <c r="F271" s="29" t="s">
        <v>1513</v>
      </c>
      <c r="G271" s="26">
        <v>45614.0</v>
      </c>
      <c r="H271" s="70">
        <f t="shared" si="1"/>
        <v>18</v>
      </c>
      <c r="I271" s="70">
        <f t="shared" si="2"/>
        <v>11</v>
      </c>
      <c r="J271" s="70">
        <f t="shared" si="3"/>
        <v>2024</v>
      </c>
      <c r="K271" s="70" t="str">
        <f t="shared" si="4"/>
        <v>11/2024</v>
      </c>
    </row>
    <row r="272" hidden="1">
      <c r="A272" s="26">
        <v>45614.0</v>
      </c>
      <c r="B272" s="28" t="s">
        <v>1517</v>
      </c>
      <c r="C272" s="28" t="s">
        <v>27</v>
      </c>
      <c r="D272" s="28" t="s">
        <v>1518</v>
      </c>
      <c r="E272" s="71">
        <v>113.59</v>
      </c>
      <c r="F272" s="29" t="s">
        <v>1513</v>
      </c>
      <c r="G272" s="26">
        <v>45614.0</v>
      </c>
      <c r="H272" s="70">
        <f t="shared" si="1"/>
        <v>18</v>
      </c>
      <c r="I272" s="70">
        <f t="shared" si="2"/>
        <v>11</v>
      </c>
      <c r="J272" s="70">
        <f t="shared" si="3"/>
        <v>2024</v>
      </c>
      <c r="K272" s="70" t="str">
        <f t="shared" si="4"/>
        <v>11/2024</v>
      </c>
    </row>
    <row r="273" hidden="1">
      <c r="A273" s="26">
        <v>45614.0</v>
      </c>
      <c r="B273" s="28" t="s">
        <v>1511</v>
      </c>
      <c r="C273" s="29" t="s">
        <v>27</v>
      </c>
      <c r="D273" s="28" t="s">
        <v>1512</v>
      </c>
      <c r="E273" s="69">
        <v>576.29</v>
      </c>
      <c r="F273" s="29" t="s">
        <v>1513</v>
      </c>
      <c r="G273" s="26">
        <v>45614.0</v>
      </c>
      <c r="H273" s="70">
        <f t="shared" si="1"/>
        <v>18</v>
      </c>
      <c r="I273" s="70">
        <f t="shared" si="2"/>
        <v>11</v>
      </c>
      <c r="J273" s="70">
        <f t="shared" si="3"/>
        <v>2024</v>
      </c>
      <c r="K273" s="70" t="str">
        <f t="shared" si="4"/>
        <v>11/2024</v>
      </c>
    </row>
    <row r="274" hidden="1">
      <c r="A274" s="26">
        <v>45614.0</v>
      </c>
      <c r="B274" s="28" t="s">
        <v>1514</v>
      </c>
      <c r="C274" s="28" t="s">
        <v>37</v>
      </c>
      <c r="D274" s="28" t="s">
        <v>1515</v>
      </c>
      <c r="E274" s="71">
        <v>408.65</v>
      </c>
      <c r="F274" s="29" t="s">
        <v>1516</v>
      </c>
      <c r="G274" s="26">
        <v>45614.0</v>
      </c>
      <c r="H274" s="70">
        <f t="shared" si="1"/>
        <v>18</v>
      </c>
      <c r="I274" s="70">
        <f t="shared" si="2"/>
        <v>11</v>
      </c>
      <c r="J274" s="70">
        <f t="shared" si="3"/>
        <v>2024</v>
      </c>
      <c r="K274" s="70" t="str">
        <f t="shared" si="4"/>
        <v>11/2024</v>
      </c>
    </row>
    <row r="275" hidden="1">
      <c r="A275" s="26">
        <v>45614.0</v>
      </c>
      <c r="B275" s="28" t="s">
        <v>44</v>
      </c>
      <c r="C275" s="28" t="s">
        <v>27</v>
      </c>
      <c r="D275" s="28" t="s">
        <v>1525</v>
      </c>
      <c r="E275" s="71">
        <v>16.0</v>
      </c>
      <c r="F275" s="28" t="s">
        <v>1513</v>
      </c>
      <c r="G275" s="26">
        <v>45614.0</v>
      </c>
      <c r="H275" s="70">
        <f t="shared" si="1"/>
        <v>18</v>
      </c>
      <c r="I275" s="70">
        <f t="shared" si="2"/>
        <v>11</v>
      </c>
      <c r="J275" s="70">
        <f t="shared" si="3"/>
        <v>2024</v>
      </c>
      <c r="K275" s="70" t="str">
        <f t="shared" si="4"/>
        <v>11/2024</v>
      </c>
    </row>
    <row r="276" hidden="1">
      <c r="A276" s="26">
        <v>45615.0</v>
      </c>
      <c r="B276" s="28" t="s">
        <v>1523</v>
      </c>
      <c r="C276" s="28" t="s">
        <v>27</v>
      </c>
      <c r="D276" s="28" t="s">
        <v>1524</v>
      </c>
      <c r="E276" s="71">
        <v>10093.51</v>
      </c>
      <c r="F276" s="29" t="s">
        <v>1513</v>
      </c>
      <c r="G276" s="26">
        <v>45615.0</v>
      </c>
      <c r="H276" s="70">
        <f t="shared" si="1"/>
        <v>19</v>
      </c>
      <c r="I276" s="70">
        <f t="shared" si="2"/>
        <v>11</v>
      </c>
      <c r="J276" s="70">
        <f t="shared" si="3"/>
        <v>2024</v>
      </c>
      <c r="K276" s="70" t="str">
        <f t="shared" si="4"/>
        <v>11/2024</v>
      </c>
    </row>
    <row r="277" hidden="1">
      <c r="A277" s="26">
        <v>45615.0</v>
      </c>
      <c r="B277" s="28" t="s">
        <v>1511</v>
      </c>
      <c r="C277" s="29" t="s">
        <v>27</v>
      </c>
      <c r="D277" s="28" t="s">
        <v>1512</v>
      </c>
      <c r="E277" s="69">
        <v>1495.1</v>
      </c>
      <c r="F277" s="29" t="s">
        <v>1513</v>
      </c>
      <c r="G277" s="26">
        <v>45615.0</v>
      </c>
      <c r="H277" s="70">
        <f t="shared" si="1"/>
        <v>19</v>
      </c>
      <c r="I277" s="70">
        <f t="shared" si="2"/>
        <v>11</v>
      </c>
      <c r="J277" s="70">
        <f t="shared" si="3"/>
        <v>2024</v>
      </c>
      <c r="K277" s="70" t="str">
        <f t="shared" si="4"/>
        <v>11/2024</v>
      </c>
    </row>
    <row r="278" hidden="1">
      <c r="A278" s="26">
        <v>45615.0</v>
      </c>
      <c r="B278" s="28" t="s">
        <v>1514</v>
      </c>
      <c r="C278" s="28" t="s">
        <v>37</v>
      </c>
      <c r="D278" s="28" t="s">
        <v>1515</v>
      </c>
      <c r="E278" s="69">
        <v>1257.13</v>
      </c>
      <c r="F278" s="29" t="s">
        <v>1516</v>
      </c>
      <c r="G278" s="26">
        <v>45615.0</v>
      </c>
      <c r="H278" s="70">
        <f t="shared" si="1"/>
        <v>19</v>
      </c>
      <c r="I278" s="70">
        <f t="shared" si="2"/>
        <v>11</v>
      </c>
      <c r="J278" s="70">
        <f t="shared" si="3"/>
        <v>2024</v>
      </c>
      <c r="K278" s="70" t="str">
        <f t="shared" si="4"/>
        <v>11/2024</v>
      </c>
    </row>
    <row r="279" hidden="1">
      <c r="A279" s="27">
        <v>45615.0</v>
      </c>
      <c r="B279" s="28" t="s">
        <v>1511</v>
      </c>
      <c r="C279" s="28" t="s">
        <v>66</v>
      </c>
      <c r="D279" s="28" t="s">
        <v>1512</v>
      </c>
      <c r="E279" s="71">
        <v>79.9</v>
      </c>
      <c r="F279" s="29" t="s">
        <v>1516</v>
      </c>
      <c r="G279" s="27">
        <v>45615.0</v>
      </c>
      <c r="H279" s="70">
        <f t="shared" si="1"/>
        <v>19</v>
      </c>
      <c r="I279" s="70">
        <f t="shared" si="2"/>
        <v>11</v>
      </c>
      <c r="J279" s="70">
        <f t="shared" si="3"/>
        <v>2024</v>
      </c>
      <c r="K279" s="70" t="str">
        <f t="shared" si="4"/>
        <v>11/2024</v>
      </c>
    </row>
    <row r="280" hidden="1">
      <c r="A280" s="36">
        <v>45616.0</v>
      </c>
      <c r="B280" s="28" t="s">
        <v>1521</v>
      </c>
      <c r="C280" s="28" t="s">
        <v>27</v>
      </c>
      <c r="D280" s="28" t="s">
        <v>1522</v>
      </c>
      <c r="E280" s="69">
        <v>379.44</v>
      </c>
      <c r="F280" s="29" t="s">
        <v>1513</v>
      </c>
      <c r="G280" s="36">
        <v>45616.0</v>
      </c>
      <c r="H280" s="70">
        <f t="shared" si="1"/>
        <v>20</v>
      </c>
      <c r="I280" s="70">
        <f t="shared" si="2"/>
        <v>11</v>
      </c>
      <c r="J280" s="70">
        <f t="shared" si="3"/>
        <v>2024</v>
      </c>
      <c r="K280" s="70" t="str">
        <f t="shared" si="4"/>
        <v>11/2024</v>
      </c>
    </row>
    <row r="281" hidden="1">
      <c r="A281" s="26">
        <v>45616.0</v>
      </c>
      <c r="B281" s="28" t="s">
        <v>1511</v>
      </c>
      <c r="C281" s="29" t="s">
        <v>27</v>
      </c>
      <c r="D281" s="28" t="s">
        <v>1512</v>
      </c>
      <c r="E281" s="71">
        <v>1366.59</v>
      </c>
      <c r="F281" s="29" t="s">
        <v>1513</v>
      </c>
      <c r="G281" s="26">
        <v>45616.0</v>
      </c>
      <c r="H281" s="70">
        <f t="shared" si="1"/>
        <v>20</v>
      </c>
      <c r="I281" s="70">
        <f t="shared" si="2"/>
        <v>11</v>
      </c>
      <c r="J281" s="70">
        <f t="shared" si="3"/>
        <v>2024</v>
      </c>
      <c r="K281" s="70" t="str">
        <f t="shared" si="4"/>
        <v>11/2024</v>
      </c>
    </row>
    <row r="282" hidden="1">
      <c r="A282" s="26">
        <v>45616.0</v>
      </c>
      <c r="B282" s="28" t="s">
        <v>1514</v>
      </c>
      <c r="C282" s="28" t="s">
        <v>37</v>
      </c>
      <c r="D282" s="28" t="s">
        <v>1515</v>
      </c>
      <c r="E282" s="69">
        <v>983.96</v>
      </c>
      <c r="F282" s="29" t="s">
        <v>1516</v>
      </c>
      <c r="G282" s="26">
        <v>45616.0</v>
      </c>
      <c r="H282" s="70">
        <f t="shared" si="1"/>
        <v>20</v>
      </c>
      <c r="I282" s="70">
        <f t="shared" si="2"/>
        <v>11</v>
      </c>
      <c r="J282" s="70">
        <f t="shared" si="3"/>
        <v>2024</v>
      </c>
      <c r="K282" s="70" t="str">
        <f t="shared" si="4"/>
        <v>11/2024</v>
      </c>
    </row>
    <row r="283" hidden="1">
      <c r="A283" s="26">
        <v>45617.0</v>
      </c>
      <c r="B283" s="28" t="s">
        <v>1511</v>
      </c>
      <c r="C283" s="29" t="s">
        <v>27</v>
      </c>
      <c r="D283" s="28" t="s">
        <v>1512</v>
      </c>
      <c r="E283" s="69">
        <v>1750.24</v>
      </c>
      <c r="F283" s="29" t="s">
        <v>1513</v>
      </c>
      <c r="G283" s="26">
        <v>45617.0</v>
      </c>
      <c r="H283" s="70">
        <f t="shared" si="1"/>
        <v>21</v>
      </c>
      <c r="I283" s="70">
        <f t="shared" si="2"/>
        <v>11</v>
      </c>
      <c r="J283" s="70">
        <f t="shared" si="3"/>
        <v>2024</v>
      </c>
      <c r="K283" s="70" t="str">
        <f t="shared" si="4"/>
        <v>11/2024</v>
      </c>
    </row>
    <row r="284" hidden="1">
      <c r="A284" s="26">
        <v>45617.0</v>
      </c>
      <c r="B284" s="28" t="s">
        <v>1514</v>
      </c>
      <c r="C284" s="28" t="s">
        <v>37</v>
      </c>
      <c r="D284" s="28" t="s">
        <v>1515</v>
      </c>
      <c r="E284" s="69">
        <v>1063.71</v>
      </c>
      <c r="F284" s="29" t="s">
        <v>1516</v>
      </c>
      <c r="G284" s="26">
        <v>45617.0</v>
      </c>
      <c r="H284" s="70">
        <f t="shared" si="1"/>
        <v>21</v>
      </c>
      <c r="I284" s="70">
        <f t="shared" si="2"/>
        <v>11</v>
      </c>
      <c r="J284" s="70">
        <f t="shared" si="3"/>
        <v>2024</v>
      </c>
      <c r="K284" s="70" t="str">
        <f t="shared" si="4"/>
        <v>11/2024</v>
      </c>
    </row>
    <row r="285" hidden="1">
      <c r="A285" s="26">
        <v>45618.0</v>
      </c>
      <c r="B285" s="28" t="s">
        <v>1511</v>
      </c>
      <c r="C285" s="29" t="s">
        <v>27</v>
      </c>
      <c r="D285" s="28" t="s">
        <v>1512</v>
      </c>
      <c r="E285" s="69">
        <v>1784.0</v>
      </c>
      <c r="F285" s="29" t="s">
        <v>1513</v>
      </c>
      <c r="G285" s="26">
        <v>45618.0</v>
      </c>
      <c r="H285" s="70">
        <f t="shared" si="1"/>
        <v>22</v>
      </c>
      <c r="I285" s="70">
        <f t="shared" si="2"/>
        <v>11</v>
      </c>
      <c r="J285" s="70">
        <f t="shared" si="3"/>
        <v>2024</v>
      </c>
      <c r="K285" s="70" t="str">
        <f t="shared" si="4"/>
        <v>11/2024</v>
      </c>
    </row>
    <row r="286" hidden="1">
      <c r="A286" s="26">
        <v>45618.0</v>
      </c>
      <c r="B286" s="28" t="s">
        <v>1514</v>
      </c>
      <c r="C286" s="28" t="s">
        <v>37</v>
      </c>
      <c r="D286" s="28" t="s">
        <v>1515</v>
      </c>
      <c r="E286" s="69">
        <v>1251.32</v>
      </c>
      <c r="F286" s="29" t="s">
        <v>1516</v>
      </c>
      <c r="G286" s="26">
        <v>45618.0</v>
      </c>
      <c r="H286" s="70">
        <f t="shared" si="1"/>
        <v>22</v>
      </c>
      <c r="I286" s="70">
        <f t="shared" si="2"/>
        <v>11</v>
      </c>
      <c r="J286" s="70">
        <f t="shared" si="3"/>
        <v>2024</v>
      </c>
      <c r="K286" s="70" t="str">
        <f t="shared" si="4"/>
        <v>11/2024</v>
      </c>
    </row>
    <row r="287" hidden="1">
      <c r="A287" s="26">
        <v>45619.0</v>
      </c>
      <c r="B287" s="28" t="s">
        <v>1511</v>
      </c>
      <c r="C287" s="29" t="s">
        <v>27</v>
      </c>
      <c r="D287" s="28" t="s">
        <v>1512</v>
      </c>
      <c r="E287" s="69">
        <v>875.79</v>
      </c>
      <c r="F287" s="29" t="s">
        <v>1513</v>
      </c>
      <c r="G287" s="26">
        <v>45619.0</v>
      </c>
      <c r="H287" s="70">
        <f t="shared" si="1"/>
        <v>23</v>
      </c>
      <c r="I287" s="70">
        <f t="shared" si="2"/>
        <v>11</v>
      </c>
      <c r="J287" s="70">
        <f t="shared" si="3"/>
        <v>2024</v>
      </c>
      <c r="K287" s="70" t="str">
        <f t="shared" si="4"/>
        <v>11/2024</v>
      </c>
    </row>
    <row r="288" hidden="1">
      <c r="A288" s="26">
        <v>45619.0</v>
      </c>
      <c r="B288" s="28" t="s">
        <v>1514</v>
      </c>
      <c r="C288" s="28" t="s">
        <v>37</v>
      </c>
      <c r="D288" s="28" t="s">
        <v>1515</v>
      </c>
      <c r="E288" s="69">
        <v>613.93</v>
      </c>
      <c r="F288" s="29" t="s">
        <v>1516</v>
      </c>
      <c r="G288" s="26">
        <v>45619.0</v>
      </c>
      <c r="H288" s="70">
        <f t="shared" si="1"/>
        <v>23</v>
      </c>
      <c r="I288" s="70">
        <f t="shared" si="2"/>
        <v>11</v>
      </c>
      <c r="J288" s="70">
        <f t="shared" si="3"/>
        <v>2024</v>
      </c>
      <c r="K288" s="70" t="str">
        <f t="shared" si="4"/>
        <v>11/2024</v>
      </c>
    </row>
    <row r="289" hidden="1">
      <c r="A289" s="26">
        <v>45620.0</v>
      </c>
      <c r="B289" s="28" t="s">
        <v>1511</v>
      </c>
      <c r="C289" s="29" t="s">
        <v>27</v>
      </c>
      <c r="D289" s="28" t="s">
        <v>1512</v>
      </c>
      <c r="E289" s="69">
        <v>1394.44</v>
      </c>
      <c r="F289" s="29" t="s">
        <v>1513</v>
      </c>
      <c r="G289" s="26">
        <v>45620.0</v>
      </c>
      <c r="H289" s="70">
        <f t="shared" si="1"/>
        <v>24</v>
      </c>
      <c r="I289" s="70">
        <f t="shared" si="2"/>
        <v>11</v>
      </c>
      <c r="J289" s="70">
        <f t="shared" si="3"/>
        <v>2024</v>
      </c>
      <c r="K289" s="70" t="str">
        <f t="shared" si="4"/>
        <v>11/2024</v>
      </c>
    </row>
    <row r="290" hidden="1">
      <c r="A290" s="26">
        <v>45620.0</v>
      </c>
      <c r="B290" s="28" t="s">
        <v>1514</v>
      </c>
      <c r="C290" s="28" t="s">
        <v>37</v>
      </c>
      <c r="D290" s="28" t="s">
        <v>1515</v>
      </c>
      <c r="E290" s="69">
        <v>739.24</v>
      </c>
      <c r="F290" s="29" t="s">
        <v>1516</v>
      </c>
      <c r="G290" s="26">
        <v>45620.0</v>
      </c>
      <c r="H290" s="70">
        <f t="shared" si="1"/>
        <v>24</v>
      </c>
      <c r="I290" s="70">
        <f t="shared" si="2"/>
        <v>11</v>
      </c>
      <c r="J290" s="70">
        <f t="shared" si="3"/>
        <v>2024</v>
      </c>
      <c r="K290" s="70" t="str">
        <f t="shared" si="4"/>
        <v>11/2024</v>
      </c>
    </row>
    <row r="291" hidden="1">
      <c r="A291" s="26">
        <v>45621.0</v>
      </c>
      <c r="B291" s="28" t="s">
        <v>1511</v>
      </c>
      <c r="C291" s="29" t="s">
        <v>27</v>
      </c>
      <c r="D291" s="28" t="s">
        <v>1512</v>
      </c>
      <c r="E291" s="69">
        <v>153.97</v>
      </c>
      <c r="F291" s="29" t="s">
        <v>1513</v>
      </c>
      <c r="G291" s="26">
        <v>45621.0</v>
      </c>
      <c r="H291" s="70">
        <f t="shared" si="1"/>
        <v>25</v>
      </c>
      <c r="I291" s="70">
        <f t="shared" si="2"/>
        <v>11</v>
      </c>
      <c r="J291" s="70">
        <f t="shared" si="3"/>
        <v>2024</v>
      </c>
      <c r="K291" s="70" t="str">
        <f t="shared" si="4"/>
        <v>11/2024</v>
      </c>
    </row>
    <row r="292" hidden="1">
      <c r="A292" s="26">
        <v>45621.0</v>
      </c>
      <c r="B292" s="28" t="s">
        <v>1514</v>
      </c>
      <c r="C292" s="28" t="s">
        <v>37</v>
      </c>
      <c r="D292" s="28" t="s">
        <v>1515</v>
      </c>
      <c r="E292" s="69">
        <v>638.59</v>
      </c>
      <c r="F292" s="29" t="s">
        <v>1516</v>
      </c>
      <c r="G292" s="26">
        <v>45621.0</v>
      </c>
      <c r="H292" s="70">
        <f t="shared" si="1"/>
        <v>25</v>
      </c>
      <c r="I292" s="70">
        <f t="shared" si="2"/>
        <v>11</v>
      </c>
      <c r="J292" s="70">
        <f t="shared" si="3"/>
        <v>2024</v>
      </c>
      <c r="K292" s="70" t="str">
        <f t="shared" si="4"/>
        <v>11/2024</v>
      </c>
    </row>
    <row r="293" hidden="1">
      <c r="A293" s="26">
        <v>45622.0</v>
      </c>
      <c r="B293" s="28" t="s">
        <v>1511</v>
      </c>
      <c r="C293" s="29" t="s">
        <v>27</v>
      </c>
      <c r="D293" s="28" t="s">
        <v>1512</v>
      </c>
      <c r="E293" s="69">
        <v>2140.61</v>
      </c>
      <c r="F293" s="29" t="s">
        <v>1513</v>
      </c>
      <c r="G293" s="26">
        <v>45622.0</v>
      </c>
      <c r="H293" s="70">
        <f t="shared" si="1"/>
        <v>26</v>
      </c>
      <c r="I293" s="70">
        <f t="shared" si="2"/>
        <v>11</v>
      </c>
      <c r="J293" s="70">
        <f t="shared" si="3"/>
        <v>2024</v>
      </c>
      <c r="K293" s="70" t="str">
        <f t="shared" si="4"/>
        <v>11/2024</v>
      </c>
    </row>
    <row r="294" hidden="1">
      <c r="A294" s="26">
        <v>45622.0</v>
      </c>
      <c r="B294" s="28" t="s">
        <v>1514</v>
      </c>
      <c r="C294" s="28" t="s">
        <v>37</v>
      </c>
      <c r="D294" s="28" t="s">
        <v>1515</v>
      </c>
      <c r="E294" s="69">
        <v>1511.4</v>
      </c>
      <c r="F294" s="29" t="s">
        <v>1516</v>
      </c>
      <c r="G294" s="26">
        <v>45622.0</v>
      </c>
      <c r="H294" s="70">
        <f t="shared" si="1"/>
        <v>26</v>
      </c>
      <c r="I294" s="70">
        <f t="shared" si="2"/>
        <v>11</v>
      </c>
      <c r="J294" s="70">
        <f t="shared" si="3"/>
        <v>2024</v>
      </c>
      <c r="K294" s="70" t="str">
        <f t="shared" si="4"/>
        <v>11/2024</v>
      </c>
    </row>
    <row r="295" hidden="1">
      <c r="A295" s="36">
        <v>45623.0</v>
      </c>
      <c r="B295" s="28" t="s">
        <v>1521</v>
      </c>
      <c r="C295" s="28" t="s">
        <v>27</v>
      </c>
      <c r="D295" s="28" t="s">
        <v>1522</v>
      </c>
      <c r="E295" s="69">
        <v>906.68</v>
      </c>
      <c r="F295" s="29" t="s">
        <v>1513</v>
      </c>
      <c r="G295" s="36">
        <v>45623.0</v>
      </c>
      <c r="H295" s="70">
        <f t="shared" si="1"/>
        <v>27</v>
      </c>
      <c r="I295" s="70">
        <f t="shared" si="2"/>
        <v>11</v>
      </c>
      <c r="J295" s="70">
        <f t="shared" si="3"/>
        <v>2024</v>
      </c>
      <c r="K295" s="70" t="str">
        <f t="shared" si="4"/>
        <v>11/2024</v>
      </c>
    </row>
    <row r="296" hidden="1">
      <c r="A296" s="26">
        <v>45623.0</v>
      </c>
      <c r="B296" s="28" t="s">
        <v>1511</v>
      </c>
      <c r="C296" s="29" t="s">
        <v>27</v>
      </c>
      <c r="D296" s="28" t="s">
        <v>1512</v>
      </c>
      <c r="E296" s="69">
        <v>1922.16</v>
      </c>
      <c r="F296" s="29" t="s">
        <v>1513</v>
      </c>
      <c r="G296" s="26">
        <v>45623.0</v>
      </c>
      <c r="H296" s="70">
        <f t="shared" si="1"/>
        <v>27</v>
      </c>
      <c r="I296" s="70">
        <f t="shared" si="2"/>
        <v>11</v>
      </c>
      <c r="J296" s="70">
        <f t="shared" si="3"/>
        <v>2024</v>
      </c>
      <c r="K296" s="70" t="str">
        <f t="shared" si="4"/>
        <v>11/2024</v>
      </c>
    </row>
    <row r="297" hidden="1">
      <c r="A297" s="26">
        <v>45623.0</v>
      </c>
      <c r="B297" s="28" t="s">
        <v>1514</v>
      </c>
      <c r="C297" s="28" t="s">
        <v>37</v>
      </c>
      <c r="D297" s="28" t="s">
        <v>1515</v>
      </c>
      <c r="E297" s="69">
        <v>1189.23</v>
      </c>
      <c r="F297" s="29" t="s">
        <v>1516</v>
      </c>
      <c r="G297" s="26">
        <v>45623.0</v>
      </c>
      <c r="H297" s="70">
        <f t="shared" si="1"/>
        <v>27</v>
      </c>
      <c r="I297" s="70">
        <f t="shared" si="2"/>
        <v>11</v>
      </c>
      <c r="J297" s="70">
        <f t="shared" si="3"/>
        <v>2024</v>
      </c>
      <c r="K297" s="70" t="str">
        <f t="shared" si="4"/>
        <v>11/2024</v>
      </c>
    </row>
    <row r="298" hidden="1">
      <c r="A298" s="26">
        <v>45624.0</v>
      </c>
      <c r="B298" s="28" t="s">
        <v>1511</v>
      </c>
      <c r="C298" s="29" t="s">
        <v>27</v>
      </c>
      <c r="D298" s="28" t="s">
        <v>1512</v>
      </c>
      <c r="E298" s="71">
        <v>1288.37</v>
      </c>
      <c r="F298" s="29" t="s">
        <v>1513</v>
      </c>
      <c r="G298" s="26">
        <v>45624.0</v>
      </c>
      <c r="H298" s="70">
        <f t="shared" si="1"/>
        <v>28</v>
      </c>
      <c r="I298" s="70">
        <f t="shared" si="2"/>
        <v>11</v>
      </c>
      <c r="J298" s="70">
        <f t="shared" si="3"/>
        <v>2024</v>
      </c>
      <c r="K298" s="70" t="str">
        <f t="shared" si="4"/>
        <v>11/2024</v>
      </c>
    </row>
    <row r="299" hidden="1">
      <c r="A299" s="26">
        <v>45624.0</v>
      </c>
      <c r="B299" s="28" t="s">
        <v>1514</v>
      </c>
      <c r="C299" s="28" t="s">
        <v>37</v>
      </c>
      <c r="D299" s="28" t="s">
        <v>1515</v>
      </c>
      <c r="E299" s="71">
        <v>1452.09</v>
      </c>
      <c r="F299" s="29" t="s">
        <v>1516</v>
      </c>
      <c r="G299" s="26">
        <v>45624.0</v>
      </c>
      <c r="H299" s="70">
        <f t="shared" si="1"/>
        <v>28</v>
      </c>
      <c r="I299" s="70">
        <f t="shared" si="2"/>
        <v>11</v>
      </c>
      <c r="J299" s="70">
        <f t="shared" si="3"/>
        <v>2024</v>
      </c>
      <c r="K299" s="70" t="str">
        <f t="shared" si="4"/>
        <v>11/2024</v>
      </c>
    </row>
    <row r="300" hidden="1">
      <c r="A300" s="26">
        <v>45625.0</v>
      </c>
      <c r="B300" s="28" t="s">
        <v>1523</v>
      </c>
      <c r="C300" s="28" t="s">
        <v>27</v>
      </c>
      <c r="D300" s="28" t="s">
        <v>1524</v>
      </c>
      <c r="E300" s="69">
        <v>4021.7</v>
      </c>
      <c r="F300" s="29" t="s">
        <v>1513</v>
      </c>
      <c r="G300" s="26">
        <v>45625.0</v>
      </c>
      <c r="H300" s="70">
        <f t="shared" si="1"/>
        <v>29</v>
      </c>
      <c r="I300" s="70">
        <f t="shared" si="2"/>
        <v>11</v>
      </c>
      <c r="J300" s="70">
        <f t="shared" si="3"/>
        <v>2024</v>
      </c>
      <c r="K300" s="70" t="str">
        <f t="shared" si="4"/>
        <v>11/2024</v>
      </c>
    </row>
    <row r="301" hidden="1">
      <c r="A301" s="26">
        <v>45625.0</v>
      </c>
      <c r="B301" s="28" t="s">
        <v>1511</v>
      </c>
      <c r="C301" s="29" t="s">
        <v>27</v>
      </c>
      <c r="D301" s="28" t="s">
        <v>1512</v>
      </c>
      <c r="E301" s="69">
        <v>2808.42</v>
      </c>
      <c r="F301" s="29" t="s">
        <v>1513</v>
      </c>
      <c r="G301" s="26">
        <v>45625.0</v>
      </c>
      <c r="H301" s="70">
        <f t="shared" si="1"/>
        <v>29</v>
      </c>
      <c r="I301" s="70">
        <f t="shared" si="2"/>
        <v>11</v>
      </c>
      <c r="J301" s="70">
        <f t="shared" si="3"/>
        <v>2024</v>
      </c>
      <c r="K301" s="70" t="str">
        <f t="shared" si="4"/>
        <v>11/2024</v>
      </c>
    </row>
    <row r="302" hidden="1">
      <c r="A302" s="26">
        <v>45625.0</v>
      </c>
      <c r="B302" s="28" t="s">
        <v>1514</v>
      </c>
      <c r="C302" s="28" t="s">
        <v>37</v>
      </c>
      <c r="D302" s="28" t="s">
        <v>1515</v>
      </c>
      <c r="E302" s="69">
        <v>954.37</v>
      </c>
      <c r="F302" s="29" t="s">
        <v>1516</v>
      </c>
      <c r="G302" s="26">
        <v>45625.0</v>
      </c>
      <c r="H302" s="70">
        <f t="shared" si="1"/>
        <v>29</v>
      </c>
      <c r="I302" s="70">
        <f t="shared" si="2"/>
        <v>11</v>
      </c>
      <c r="J302" s="70">
        <f t="shared" si="3"/>
        <v>2024</v>
      </c>
      <c r="K302" s="70" t="str">
        <f t="shared" si="4"/>
        <v>11/2024</v>
      </c>
    </row>
    <row r="303" hidden="1">
      <c r="A303" s="26">
        <v>45626.0</v>
      </c>
      <c r="B303" s="28" t="s">
        <v>1511</v>
      </c>
      <c r="C303" s="29" t="s">
        <v>27</v>
      </c>
      <c r="D303" s="28" t="s">
        <v>1512</v>
      </c>
      <c r="E303" s="69">
        <v>1324.24</v>
      </c>
      <c r="F303" s="29" t="s">
        <v>1513</v>
      </c>
      <c r="G303" s="26">
        <v>45626.0</v>
      </c>
      <c r="H303" s="70">
        <f t="shared" si="1"/>
        <v>30</v>
      </c>
      <c r="I303" s="70">
        <f t="shared" si="2"/>
        <v>11</v>
      </c>
      <c r="J303" s="70">
        <f t="shared" si="3"/>
        <v>2024</v>
      </c>
      <c r="K303" s="70" t="str">
        <f t="shared" si="4"/>
        <v>11/2024</v>
      </c>
    </row>
    <row r="304" hidden="1">
      <c r="A304" s="26">
        <v>45626.0</v>
      </c>
      <c r="B304" s="28" t="s">
        <v>1514</v>
      </c>
      <c r="C304" s="28" t="s">
        <v>37</v>
      </c>
      <c r="D304" s="28" t="s">
        <v>1515</v>
      </c>
      <c r="E304" s="69">
        <v>940.46</v>
      </c>
      <c r="F304" s="29" t="s">
        <v>1516</v>
      </c>
      <c r="G304" s="26">
        <v>45626.0</v>
      </c>
      <c r="H304" s="70">
        <f t="shared" si="1"/>
        <v>30</v>
      </c>
      <c r="I304" s="70">
        <f t="shared" si="2"/>
        <v>11</v>
      </c>
      <c r="J304" s="70">
        <f t="shared" si="3"/>
        <v>2024</v>
      </c>
      <c r="K304" s="70" t="str">
        <f t="shared" si="4"/>
        <v>11/2024</v>
      </c>
    </row>
    <row r="305" hidden="1">
      <c r="A305" s="26">
        <v>45627.0</v>
      </c>
      <c r="B305" s="28" t="s">
        <v>1511</v>
      </c>
      <c r="C305" s="29" t="s">
        <v>27</v>
      </c>
      <c r="D305" s="28" t="s">
        <v>1512</v>
      </c>
      <c r="E305" s="69">
        <v>689.52</v>
      </c>
      <c r="F305" s="29" t="s">
        <v>1513</v>
      </c>
      <c r="G305" s="26">
        <v>45627.0</v>
      </c>
      <c r="H305" s="70">
        <f t="shared" si="1"/>
        <v>1</v>
      </c>
      <c r="I305" s="70">
        <f t="shared" si="2"/>
        <v>12</v>
      </c>
      <c r="J305" s="70">
        <f t="shared" si="3"/>
        <v>2024</v>
      </c>
      <c r="K305" s="70" t="str">
        <f t="shared" si="4"/>
        <v>12/2024</v>
      </c>
    </row>
    <row r="306" hidden="1">
      <c r="A306" s="26">
        <v>45627.0</v>
      </c>
      <c r="B306" s="28" t="s">
        <v>1514</v>
      </c>
      <c r="C306" s="28" t="s">
        <v>37</v>
      </c>
      <c r="D306" s="28" t="s">
        <v>1515</v>
      </c>
      <c r="E306" s="69">
        <v>1159.18</v>
      </c>
      <c r="F306" s="29" t="s">
        <v>1516</v>
      </c>
      <c r="G306" s="26">
        <v>45627.0</v>
      </c>
      <c r="H306" s="70">
        <f t="shared" si="1"/>
        <v>1</v>
      </c>
      <c r="I306" s="70">
        <f t="shared" si="2"/>
        <v>12</v>
      </c>
      <c r="J306" s="70">
        <f t="shared" si="3"/>
        <v>2024</v>
      </c>
      <c r="K306" s="70" t="str">
        <f t="shared" si="4"/>
        <v>12/2024</v>
      </c>
    </row>
    <row r="307" hidden="1">
      <c r="A307" s="26">
        <v>45628.0</v>
      </c>
      <c r="B307" s="28" t="s">
        <v>1517</v>
      </c>
      <c r="C307" s="28" t="s">
        <v>27</v>
      </c>
      <c r="D307" s="28" t="s">
        <v>1518</v>
      </c>
      <c r="E307" s="71">
        <v>66.63</v>
      </c>
      <c r="F307" s="29" t="s">
        <v>1513</v>
      </c>
      <c r="G307" s="26">
        <v>45628.0</v>
      </c>
      <c r="H307" s="70">
        <f t="shared" si="1"/>
        <v>2</v>
      </c>
      <c r="I307" s="70">
        <f t="shared" si="2"/>
        <v>12</v>
      </c>
      <c r="J307" s="70">
        <f t="shared" si="3"/>
        <v>2024</v>
      </c>
      <c r="K307" s="70" t="str">
        <f t="shared" si="4"/>
        <v>12/2024</v>
      </c>
    </row>
    <row r="308" hidden="1">
      <c r="A308" s="26">
        <v>45628.0</v>
      </c>
      <c r="B308" s="28" t="s">
        <v>1511</v>
      </c>
      <c r="C308" s="29" t="s">
        <v>27</v>
      </c>
      <c r="D308" s="28" t="s">
        <v>1512</v>
      </c>
      <c r="E308" s="69">
        <v>1396.44</v>
      </c>
      <c r="F308" s="29" t="s">
        <v>1513</v>
      </c>
      <c r="G308" s="26">
        <v>45628.0</v>
      </c>
      <c r="H308" s="70">
        <f t="shared" si="1"/>
        <v>2</v>
      </c>
      <c r="I308" s="70">
        <f t="shared" si="2"/>
        <v>12</v>
      </c>
      <c r="J308" s="70">
        <f t="shared" si="3"/>
        <v>2024</v>
      </c>
      <c r="K308" s="70" t="str">
        <f t="shared" si="4"/>
        <v>12/2024</v>
      </c>
    </row>
    <row r="309" hidden="1">
      <c r="A309" s="26">
        <v>45628.0</v>
      </c>
      <c r="B309" s="28" t="s">
        <v>1514</v>
      </c>
      <c r="C309" s="28" t="s">
        <v>37</v>
      </c>
      <c r="D309" s="28" t="s">
        <v>1515</v>
      </c>
      <c r="E309" s="69">
        <v>999.12</v>
      </c>
      <c r="F309" s="29" t="s">
        <v>1516</v>
      </c>
      <c r="G309" s="26">
        <v>45628.0</v>
      </c>
      <c r="H309" s="70">
        <f t="shared" si="1"/>
        <v>2</v>
      </c>
      <c r="I309" s="70">
        <f t="shared" si="2"/>
        <v>12</v>
      </c>
      <c r="J309" s="70">
        <f t="shared" si="3"/>
        <v>2024</v>
      </c>
      <c r="K309" s="70" t="str">
        <f t="shared" si="4"/>
        <v>12/2024</v>
      </c>
    </row>
    <row r="310" hidden="1">
      <c r="A310" s="26">
        <v>45628.0</v>
      </c>
      <c r="B310" s="28" t="s">
        <v>1523</v>
      </c>
      <c r="C310" s="28" t="s">
        <v>27</v>
      </c>
      <c r="D310" s="28" t="s">
        <v>1524</v>
      </c>
      <c r="E310" s="71">
        <v>14058.38</v>
      </c>
      <c r="F310" s="29" t="s">
        <v>1513</v>
      </c>
      <c r="G310" s="26">
        <v>45628.0</v>
      </c>
      <c r="H310" s="70">
        <f t="shared" si="1"/>
        <v>2</v>
      </c>
      <c r="I310" s="70">
        <f t="shared" si="2"/>
        <v>12</v>
      </c>
      <c r="J310" s="70">
        <f t="shared" si="3"/>
        <v>2024</v>
      </c>
      <c r="K310" s="70" t="str">
        <f t="shared" si="4"/>
        <v>12/2024</v>
      </c>
    </row>
    <row r="311" hidden="1">
      <c r="A311" s="26">
        <v>45628.0</v>
      </c>
      <c r="B311" s="28" t="s">
        <v>44</v>
      </c>
      <c r="C311" s="28" t="s">
        <v>27</v>
      </c>
      <c r="D311" s="28" t="s">
        <v>1525</v>
      </c>
      <c r="E311" s="71">
        <v>216.35</v>
      </c>
      <c r="F311" s="28" t="s">
        <v>1513</v>
      </c>
      <c r="G311" s="26">
        <v>45628.0</v>
      </c>
      <c r="H311" s="70">
        <f t="shared" si="1"/>
        <v>2</v>
      </c>
      <c r="I311" s="70">
        <f t="shared" si="2"/>
        <v>12</v>
      </c>
      <c r="J311" s="70">
        <f t="shared" si="3"/>
        <v>2024</v>
      </c>
      <c r="K311" s="70" t="str">
        <f t="shared" si="4"/>
        <v>12/2024</v>
      </c>
    </row>
    <row r="312" hidden="1">
      <c r="A312" s="26">
        <v>45629.0</v>
      </c>
      <c r="B312" s="28" t="s">
        <v>1511</v>
      </c>
      <c r="C312" s="29" t="s">
        <v>27</v>
      </c>
      <c r="D312" s="28" t="s">
        <v>1512</v>
      </c>
      <c r="E312" s="69">
        <v>1486.39</v>
      </c>
      <c r="F312" s="29" t="s">
        <v>1513</v>
      </c>
      <c r="G312" s="26">
        <v>45629.0</v>
      </c>
      <c r="H312" s="70">
        <f t="shared" si="1"/>
        <v>3</v>
      </c>
      <c r="I312" s="70">
        <f t="shared" si="2"/>
        <v>12</v>
      </c>
      <c r="J312" s="70">
        <f t="shared" si="3"/>
        <v>2024</v>
      </c>
      <c r="K312" s="70" t="str">
        <f t="shared" si="4"/>
        <v>12/2024</v>
      </c>
    </row>
    <row r="313" hidden="1">
      <c r="A313" s="26">
        <v>45629.0</v>
      </c>
      <c r="B313" s="28" t="s">
        <v>1514</v>
      </c>
      <c r="C313" s="28" t="s">
        <v>37</v>
      </c>
      <c r="D313" s="28" t="s">
        <v>1515</v>
      </c>
      <c r="E313" s="69">
        <v>1265.25</v>
      </c>
      <c r="F313" s="29" t="s">
        <v>1516</v>
      </c>
      <c r="G313" s="26">
        <v>45629.0</v>
      </c>
      <c r="H313" s="70">
        <f t="shared" si="1"/>
        <v>3</v>
      </c>
      <c r="I313" s="70">
        <f t="shared" si="2"/>
        <v>12</v>
      </c>
      <c r="J313" s="70">
        <f t="shared" si="3"/>
        <v>2024</v>
      </c>
      <c r="K313" s="70" t="str">
        <f t="shared" si="4"/>
        <v>12/2024</v>
      </c>
    </row>
    <row r="314" hidden="1">
      <c r="A314" s="26">
        <v>45630.0</v>
      </c>
      <c r="B314" s="28" t="s">
        <v>1521</v>
      </c>
      <c r="C314" s="28" t="s">
        <v>27</v>
      </c>
      <c r="D314" s="28" t="s">
        <v>1522</v>
      </c>
      <c r="E314" s="69">
        <v>460.41</v>
      </c>
      <c r="F314" s="29" t="s">
        <v>1513</v>
      </c>
      <c r="G314" s="36">
        <v>45630.0</v>
      </c>
      <c r="H314" s="70">
        <f t="shared" si="1"/>
        <v>4</v>
      </c>
      <c r="I314" s="70">
        <f t="shared" si="2"/>
        <v>12</v>
      </c>
      <c r="J314" s="70">
        <f t="shared" si="3"/>
        <v>2024</v>
      </c>
      <c r="K314" s="70" t="str">
        <f t="shared" si="4"/>
        <v>12/2024</v>
      </c>
    </row>
    <row r="315" hidden="1">
      <c r="A315" s="26">
        <v>45630.0</v>
      </c>
      <c r="B315" s="28" t="s">
        <v>1511</v>
      </c>
      <c r="C315" s="29" t="s">
        <v>27</v>
      </c>
      <c r="D315" s="28" t="s">
        <v>1512</v>
      </c>
      <c r="E315" s="69">
        <v>2021.36</v>
      </c>
      <c r="F315" s="29" t="s">
        <v>1513</v>
      </c>
      <c r="G315" s="26">
        <v>45630.0</v>
      </c>
      <c r="H315" s="70">
        <f t="shared" si="1"/>
        <v>4</v>
      </c>
      <c r="I315" s="70">
        <f t="shared" si="2"/>
        <v>12</v>
      </c>
      <c r="J315" s="70">
        <f t="shared" si="3"/>
        <v>2024</v>
      </c>
      <c r="K315" s="70" t="str">
        <f t="shared" si="4"/>
        <v>12/2024</v>
      </c>
    </row>
    <row r="316" hidden="1">
      <c r="A316" s="26">
        <v>45630.0</v>
      </c>
      <c r="B316" s="28" t="s">
        <v>1514</v>
      </c>
      <c r="C316" s="28" t="s">
        <v>37</v>
      </c>
      <c r="D316" s="28" t="s">
        <v>1515</v>
      </c>
      <c r="E316" s="69">
        <v>1593.55</v>
      </c>
      <c r="F316" s="29" t="s">
        <v>1516</v>
      </c>
      <c r="G316" s="26">
        <v>45630.0</v>
      </c>
      <c r="H316" s="70">
        <f t="shared" si="1"/>
        <v>4</v>
      </c>
      <c r="I316" s="70">
        <f t="shared" si="2"/>
        <v>12</v>
      </c>
      <c r="J316" s="70">
        <f t="shared" si="3"/>
        <v>2024</v>
      </c>
      <c r="K316" s="70" t="str">
        <f t="shared" si="4"/>
        <v>12/2024</v>
      </c>
    </row>
    <row r="317" hidden="1">
      <c r="A317" s="26">
        <v>45631.0</v>
      </c>
      <c r="B317" s="28" t="s">
        <v>1511</v>
      </c>
      <c r="C317" s="29" t="s">
        <v>27</v>
      </c>
      <c r="D317" s="28" t="s">
        <v>1512</v>
      </c>
      <c r="E317" s="71">
        <v>1974.64</v>
      </c>
      <c r="F317" s="29" t="s">
        <v>1513</v>
      </c>
      <c r="G317" s="26">
        <v>45631.0</v>
      </c>
      <c r="H317" s="70">
        <f t="shared" si="1"/>
        <v>5</v>
      </c>
      <c r="I317" s="70">
        <f t="shared" si="2"/>
        <v>12</v>
      </c>
      <c r="J317" s="70">
        <f t="shared" si="3"/>
        <v>2024</v>
      </c>
      <c r="K317" s="70" t="str">
        <f t="shared" si="4"/>
        <v>12/2024</v>
      </c>
    </row>
    <row r="318" hidden="1">
      <c r="A318" s="26">
        <v>45631.0</v>
      </c>
      <c r="B318" s="28" t="s">
        <v>1514</v>
      </c>
      <c r="C318" s="28" t="s">
        <v>37</v>
      </c>
      <c r="D318" s="28" t="s">
        <v>1515</v>
      </c>
      <c r="E318" s="71">
        <v>715.15</v>
      </c>
      <c r="F318" s="29" t="s">
        <v>1516</v>
      </c>
      <c r="G318" s="26">
        <v>45631.0</v>
      </c>
      <c r="H318" s="70">
        <f t="shared" si="1"/>
        <v>5</v>
      </c>
      <c r="I318" s="70">
        <f t="shared" si="2"/>
        <v>12</v>
      </c>
      <c r="J318" s="70">
        <f t="shared" si="3"/>
        <v>2024</v>
      </c>
      <c r="K318" s="70" t="str">
        <f t="shared" si="4"/>
        <v>12/2024</v>
      </c>
    </row>
    <row r="319" hidden="1">
      <c r="A319" s="26">
        <v>45632.0</v>
      </c>
      <c r="B319" s="28" t="s">
        <v>1519</v>
      </c>
      <c r="C319" s="28" t="s">
        <v>27</v>
      </c>
      <c r="D319" s="28" t="s">
        <v>1520</v>
      </c>
      <c r="E319" s="71">
        <v>17323.0</v>
      </c>
      <c r="F319" s="29" t="s">
        <v>1513</v>
      </c>
      <c r="G319" s="26">
        <v>45632.0</v>
      </c>
      <c r="H319" s="70">
        <f t="shared" si="1"/>
        <v>6</v>
      </c>
      <c r="I319" s="70">
        <f t="shared" si="2"/>
        <v>12</v>
      </c>
      <c r="J319" s="70">
        <f t="shared" si="3"/>
        <v>2024</v>
      </c>
      <c r="K319" s="70" t="str">
        <f t="shared" si="4"/>
        <v>12/2024</v>
      </c>
    </row>
    <row r="320" hidden="1">
      <c r="A320" s="26">
        <v>45632.0</v>
      </c>
      <c r="B320" s="28" t="s">
        <v>1511</v>
      </c>
      <c r="C320" s="29" t="s">
        <v>27</v>
      </c>
      <c r="D320" s="28" t="s">
        <v>1512</v>
      </c>
      <c r="E320" s="69">
        <v>2496.9</v>
      </c>
      <c r="F320" s="29" t="s">
        <v>1513</v>
      </c>
      <c r="G320" s="26">
        <v>45632.0</v>
      </c>
      <c r="H320" s="70">
        <f t="shared" si="1"/>
        <v>6</v>
      </c>
      <c r="I320" s="70">
        <f t="shared" si="2"/>
        <v>12</v>
      </c>
      <c r="J320" s="70">
        <f t="shared" si="3"/>
        <v>2024</v>
      </c>
      <c r="K320" s="70" t="str">
        <f t="shared" si="4"/>
        <v>12/2024</v>
      </c>
    </row>
    <row r="321" hidden="1">
      <c r="A321" s="26">
        <v>45632.0</v>
      </c>
      <c r="B321" s="28" t="s">
        <v>1514</v>
      </c>
      <c r="C321" s="28" t="s">
        <v>37</v>
      </c>
      <c r="D321" s="28" t="s">
        <v>1515</v>
      </c>
      <c r="E321" s="69">
        <v>488.64</v>
      </c>
      <c r="F321" s="29" t="s">
        <v>1516</v>
      </c>
      <c r="G321" s="26">
        <v>45632.0</v>
      </c>
      <c r="H321" s="70">
        <f t="shared" si="1"/>
        <v>6</v>
      </c>
      <c r="I321" s="70">
        <f t="shared" si="2"/>
        <v>12</v>
      </c>
      <c r="J321" s="70">
        <f t="shared" si="3"/>
        <v>2024</v>
      </c>
      <c r="K321" s="70" t="str">
        <f t="shared" si="4"/>
        <v>12/2024</v>
      </c>
    </row>
    <row r="322" hidden="1">
      <c r="A322" s="26">
        <v>45633.0</v>
      </c>
      <c r="B322" s="28" t="s">
        <v>1511</v>
      </c>
      <c r="C322" s="29" t="s">
        <v>27</v>
      </c>
      <c r="D322" s="28" t="s">
        <v>1512</v>
      </c>
      <c r="E322" s="69">
        <v>2151.99</v>
      </c>
      <c r="F322" s="29" t="s">
        <v>1513</v>
      </c>
      <c r="G322" s="26">
        <v>45633.0</v>
      </c>
      <c r="H322" s="70">
        <f t="shared" si="1"/>
        <v>7</v>
      </c>
      <c r="I322" s="70">
        <f t="shared" si="2"/>
        <v>12</v>
      </c>
      <c r="J322" s="70">
        <f t="shared" si="3"/>
        <v>2024</v>
      </c>
      <c r="K322" s="70" t="str">
        <f t="shared" si="4"/>
        <v>12/2024</v>
      </c>
    </row>
    <row r="323" hidden="1">
      <c r="A323" s="26">
        <v>45633.0</v>
      </c>
      <c r="B323" s="28" t="s">
        <v>1514</v>
      </c>
      <c r="C323" s="28" t="s">
        <v>37</v>
      </c>
      <c r="D323" s="28" t="s">
        <v>1515</v>
      </c>
      <c r="E323" s="69">
        <v>322.31</v>
      </c>
      <c r="F323" s="29" t="s">
        <v>1516</v>
      </c>
      <c r="G323" s="26">
        <v>45633.0</v>
      </c>
      <c r="H323" s="70">
        <f t="shared" si="1"/>
        <v>7</v>
      </c>
      <c r="I323" s="70">
        <f t="shared" si="2"/>
        <v>12</v>
      </c>
      <c r="J323" s="70">
        <f t="shared" si="3"/>
        <v>2024</v>
      </c>
      <c r="K323" s="70" t="str">
        <f t="shared" si="4"/>
        <v>12/2024</v>
      </c>
    </row>
    <row r="324" hidden="1">
      <c r="A324" s="26">
        <v>45634.0</v>
      </c>
      <c r="B324" s="28" t="s">
        <v>1511</v>
      </c>
      <c r="C324" s="29" t="s">
        <v>27</v>
      </c>
      <c r="D324" s="28" t="s">
        <v>1512</v>
      </c>
      <c r="E324" s="69">
        <v>1412.44</v>
      </c>
      <c r="F324" s="29" t="s">
        <v>1513</v>
      </c>
      <c r="G324" s="26">
        <v>45634.0</v>
      </c>
      <c r="H324" s="70">
        <f t="shared" si="1"/>
        <v>8</v>
      </c>
      <c r="I324" s="70">
        <f t="shared" si="2"/>
        <v>12</v>
      </c>
      <c r="J324" s="70">
        <f t="shared" si="3"/>
        <v>2024</v>
      </c>
      <c r="K324" s="70" t="str">
        <f t="shared" si="4"/>
        <v>12/2024</v>
      </c>
    </row>
    <row r="325" hidden="1">
      <c r="A325" s="26">
        <v>45634.0</v>
      </c>
      <c r="B325" s="28" t="s">
        <v>1514</v>
      </c>
      <c r="C325" s="28" t="s">
        <v>37</v>
      </c>
      <c r="D325" s="28" t="s">
        <v>1515</v>
      </c>
      <c r="E325" s="69">
        <v>898.13</v>
      </c>
      <c r="F325" s="29" t="s">
        <v>1516</v>
      </c>
      <c r="G325" s="26">
        <v>45634.0</v>
      </c>
      <c r="H325" s="70">
        <f t="shared" si="1"/>
        <v>8</v>
      </c>
      <c r="I325" s="70">
        <f t="shared" si="2"/>
        <v>12</v>
      </c>
      <c r="J325" s="70">
        <f t="shared" si="3"/>
        <v>2024</v>
      </c>
      <c r="K325" s="70" t="str">
        <f t="shared" si="4"/>
        <v>12/2024</v>
      </c>
    </row>
    <row r="326" hidden="1">
      <c r="A326" s="26">
        <v>45635.0</v>
      </c>
      <c r="B326" s="28" t="s">
        <v>1511</v>
      </c>
      <c r="C326" s="29" t="s">
        <v>27</v>
      </c>
      <c r="D326" s="28" t="s">
        <v>1512</v>
      </c>
      <c r="E326" s="69">
        <v>1290.58</v>
      </c>
      <c r="F326" s="29" t="s">
        <v>1513</v>
      </c>
      <c r="G326" s="26">
        <v>45635.0</v>
      </c>
      <c r="H326" s="70">
        <f t="shared" si="1"/>
        <v>9</v>
      </c>
      <c r="I326" s="70">
        <f t="shared" si="2"/>
        <v>12</v>
      </c>
      <c r="J326" s="70">
        <f t="shared" si="3"/>
        <v>2024</v>
      </c>
      <c r="K326" s="70" t="str">
        <f t="shared" si="4"/>
        <v>12/2024</v>
      </c>
    </row>
    <row r="327" hidden="1">
      <c r="A327" s="26">
        <v>45635.0</v>
      </c>
      <c r="B327" s="28" t="s">
        <v>1514</v>
      </c>
      <c r="C327" s="28" t="s">
        <v>37</v>
      </c>
      <c r="D327" s="28" t="s">
        <v>1515</v>
      </c>
      <c r="E327" s="69">
        <v>1676.3</v>
      </c>
      <c r="F327" s="29" t="s">
        <v>1516</v>
      </c>
      <c r="G327" s="26">
        <v>45635.0</v>
      </c>
      <c r="H327" s="70">
        <f t="shared" si="1"/>
        <v>9</v>
      </c>
      <c r="I327" s="70">
        <f t="shared" si="2"/>
        <v>12</v>
      </c>
      <c r="J327" s="70">
        <f t="shared" si="3"/>
        <v>2024</v>
      </c>
      <c r="K327" s="70" t="str">
        <f t="shared" si="4"/>
        <v>12/2024</v>
      </c>
    </row>
    <row r="328" hidden="1">
      <c r="A328" s="26">
        <v>45636.0</v>
      </c>
      <c r="B328" s="28" t="s">
        <v>1511</v>
      </c>
      <c r="C328" s="29" t="s">
        <v>27</v>
      </c>
      <c r="D328" s="28" t="s">
        <v>1512</v>
      </c>
      <c r="E328" s="69">
        <v>411.16</v>
      </c>
      <c r="F328" s="29" t="s">
        <v>1513</v>
      </c>
      <c r="G328" s="26">
        <v>45636.0</v>
      </c>
      <c r="H328" s="70">
        <f t="shared" si="1"/>
        <v>10</v>
      </c>
      <c r="I328" s="70">
        <f t="shared" si="2"/>
        <v>12</v>
      </c>
      <c r="J328" s="70">
        <f t="shared" si="3"/>
        <v>2024</v>
      </c>
      <c r="K328" s="70" t="str">
        <f t="shared" si="4"/>
        <v>12/2024</v>
      </c>
    </row>
    <row r="329" hidden="1">
      <c r="A329" s="26">
        <v>45636.0</v>
      </c>
      <c r="B329" s="28" t="s">
        <v>1514</v>
      </c>
      <c r="C329" s="28" t="s">
        <v>37</v>
      </c>
      <c r="D329" s="28" t="s">
        <v>1515</v>
      </c>
      <c r="E329" s="69">
        <v>183.41</v>
      </c>
      <c r="F329" s="29" t="s">
        <v>1516</v>
      </c>
      <c r="G329" s="26">
        <v>45636.0</v>
      </c>
      <c r="H329" s="70">
        <f t="shared" si="1"/>
        <v>10</v>
      </c>
      <c r="I329" s="70">
        <f t="shared" si="2"/>
        <v>12</v>
      </c>
      <c r="J329" s="70">
        <f t="shared" si="3"/>
        <v>2024</v>
      </c>
      <c r="K329" s="70" t="str">
        <f t="shared" si="4"/>
        <v>12/2024</v>
      </c>
    </row>
    <row r="330" hidden="1">
      <c r="A330" s="36">
        <v>45637.0</v>
      </c>
      <c r="B330" s="28" t="s">
        <v>1521</v>
      </c>
      <c r="C330" s="28" t="s">
        <v>27</v>
      </c>
      <c r="D330" s="28" t="s">
        <v>1522</v>
      </c>
      <c r="E330" s="69">
        <v>407.58</v>
      </c>
      <c r="F330" s="29" t="s">
        <v>1513</v>
      </c>
      <c r="G330" s="36">
        <v>45637.0</v>
      </c>
      <c r="H330" s="70">
        <f t="shared" si="1"/>
        <v>11</v>
      </c>
      <c r="I330" s="70">
        <f t="shared" si="2"/>
        <v>12</v>
      </c>
      <c r="J330" s="70">
        <f t="shared" si="3"/>
        <v>2024</v>
      </c>
      <c r="K330" s="70" t="str">
        <f t="shared" si="4"/>
        <v>12/2024</v>
      </c>
    </row>
    <row r="331" hidden="1">
      <c r="A331" s="26">
        <v>45637.0</v>
      </c>
      <c r="B331" s="28" t="s">
        <v>1511</v>
      </c>
      <c r="C331" s="28" t="s">
        <v>66</v>
      </c>
      <c r="D331" s="28" t="s">
        <v>1512</v>
      </c>
      <c r="E331" s="69">
        <v>718.91</v>
      </c>
      <c r="F331" s="29" t="s">
        <v>1516</v>
      </c>
      <c r="G331" s="26">
        <v>45637.0</v>
      </c>
      <c r="H331" s="70">
        <f t="shared" si="1"/>
        <v>11</v>
      </c>
      <c r="I331" s="70">
        <f t="shared" si="2"/>
        <v>12</v>
      </c>
      <c r="J331" s="70">
        <f t="shared" si="3"/>
        <v>2024</v>
      </c>
      <c r="K331" s="70" t="str">
        <f t="shared" si="4"/>
        <v>12/2024</v>
      </c>
    </row>
    <row r="332" hidden="1">
      <c r="A332" s="26">
        <v>45637.0</v>
      </c>
      <c r="B332" s="28" t="s">
        <v>1514</v>
      </c>
      <c r="C332" s="28" t="s">
        <v>37</v>
      </c>
      <c r="D332" s="28" t="s">
        <v>1515</v>
      </c>
      <c r="E332" s="69">
        <v>621.87</v>
      </c>
      <c r="F332" s="29" t="s">
        <v>1516</v>
      </c>
      <c r="G332" s="26">
        <v>45637.0</v>
      </c>
      <c r="H332" s="70">
        <f t="shared" si="1"/>
        <v>11</v>
      </c>
      <c r="I332" s="70">
        <f t="shared" si="2"/>
        <v>12</v>
      </c>
      <c r="J332" s="70">
        <f t="shared" si="3"/>
        <v>2024</v>
      </c>
      <c r="K332" s="70" t="str">
        <f t="shared" si="4"/>
        <v>12/2024</v>
      </c>
    </row>
    <row r="333" hidden="1">
      <c r="A333" s="26">
        <v>45638.0</v>
      </c>
      <c r="B333" s="28" t="s">
        <v>1511</v>
      </c>
      <c r="C333" s="29" t="s">
        <v>27</v>
      </c>
      <c r="D333" s="28" t="s">
        <v>1512</v>
      </c>
      <c r="E333" s="71">
        <v>1611.6</v>
      </c>
      <c r="F333" s="29" t="s">
        <v>1513</v>
      </c>
      <c r="G333" s="26">
        <v>45638.0</v>
      </c>
      <c r="H333" s="70">
        <f t="shared" si="1"/>
        <v>12</v>
      </c>
      <c r="I333" s="70">
        <f t="shared" si="2"/>
        <v>12</v>
      </c>
      <c r="J333" s="70">
        <f t="shared" si="3"/>
        <v>2024</v>
      </c>
      <c r="K333" s="70" t="str">
        <f t="shared" si="4"/>
        <v>12/2024</v>
      </c>
    </row>
    <row r="334" hidden="1">
      <c r="A334" s="26">
        <v>45638.0</v>
      </c>
      <c r="B334" s="28" t="s">
        <v>1514</v>
      </c>
      <c r="C334" s="28" t="s">
        <v>37</v>
      </c>
      <c r="D334" s="28" t="s">
        <v>1515</v>
      </c>
      <c r="E334" s="71">
        <v>2062.81</v>
      </c>
      <c r="F334" s="29" t="s">
        <v>1516</v>
      </c>
      <c r="G334" s="26">
        <v>45638.0</v>
      </c>
      <c r="H334" s="70">
        <f t="shared" si="1"/>
        <v>12</v>
      </c>
      <c r="I334" s="70">
        <f t="shared" si="2"/>
        <v>12</v>
      </c>
      <c r="J334" s="70">
        <f t="shared" si="3"/>
        <v>2024</v>
      </c>
      <c r="K334" s="70" t="str">
        <f t="shared" si="4"/>
        <v>12/2024</v>
      </c>
    </row>
    <row r="335" hidden="1">
      <c r="A335" s="32">
        <v>45638.0</v>
      </c>
      <c r="B335" s="11" t="s">
        <v>44</v>
      </c>
      <c r="C335" s="29" t="s">
        <v>37</v>
      </c>
      <c r="D335" s="11" t="s">
        <v>1530</v>
      </c>
      <c r="E335" s="69">
        <v>66500.0</v>
      </c>
      <c r="F335" s="11" t="s">
        <v>1516</v>
      </c>
      <c r="G335" s="32">
        <v>45638.0</v>
      </c>
      <c r="H335" s="70">
        <f t="shared" si="1"/>
        <v>12</v>
      </c>
      <c r="I335" s="70">
        <f t="shared" si="2"/>
        <v>12</v>
      </c>
      <c r="J335" s="70">
        <f t="shared" si="3"/>
        <v>2024</v>
      </c>
      <c r="K335" s="70" t="str">
        <f t="shared" si="4"/>
        <v>12/2024</v>
      </c>
    </row>
    <row r="336" hidden="1">
      <c r="A336" s="26">
        <v>45639.0</v>
      </c>
      <c r="B336" s="28" t="s">
        <v>1523</v>
      </c>
      <c r="C336" s="28" t="s">
        <v>27</v>
      </c>
      <c r="D336" s="28" t="s">
        <v>1524</v>
      </c>
      <c r="E336" s="71">
        <v>6851.69</v>
      </c>
      <c r="F336" s="29" t="s">
        <v>1513</v>
      </c>
      <c r="G336" s="26">
        <v>45639.0</v>
      </c>
      <c r="H336" s="70">
        <f t="shared" si="1"/>
        <v>13</v>
      </c>
      <c r="I336" s="70">
        <f t="shared" si="2"/>
        <v>12</v>
      </c>
      <c r="J336" s="70">
        <f t="shared" si="3"/>
        <v>2024</v>
      </c>
      <c r="K336" s="70" t="str">
        <f t="shared" si="4"/>
        <v>12/2024</v>
      </c>
    </row>
    <row r="337" hidden="1">
      <c r="A337" s="26">
        <v>45639.0</v>
      </c>
      <c r="B337" s="28" t="s">
        <v>1511</v>
      </c>
      <c r="C337" s="29" t="s">
        <v>27</v>
      </c>
      <c r="D337" s="28" t="s">
        <v>1512</v>
      </c>
      <c r="E337" s="69">
        <v>1934.87</v>
      </c>
      <c r="F337" s="29" t="s">
        <v>1513</v>
      </c>
      <c r="G337" s="26">
        <v>45639.0</v>
      </c>
      <c r="H337" s="70">
        <f t="shared" si="1"/>
        <v>13</v>
      </c>
      <c r="I337" s="70">
        <f t="shared" si="2"/>
        <v>12</v>
      </c>
      <c r="J337" s="70">
        <f t="shared" si="3"/>
        <v>2024</v>
      </c>
      <c r="K337" s="70" t="str">
        <f t="shared" si="4"/>
        <v>12/2024</v>
      </c>
    </row>
    <row r="338" hidden="1">
      <c r="A338" s="26">
        <v>45639.0</v>
      </c>
      <c r="B338" s="28" t="s">
        <v>1514</v>
      </c>
      <c r="C338" s="28" t="s">
        <v>37</v>
      </c>
      <c r="D338" s="28" t="s">
        <v>1515</v>
      </c>
      <c r="E338" s="69">
        <v>2171.62</v>
      </c>
      <c r="F338" s="29" t="s">
        <v>1516</v>
      </c>
      <c r="G338" s="26">
        <v>45639.0</v>
      </c>
      <c r="H338" s="70">
        <f t="shared" si="1"/>
        <v>13</v>
      </c>
      <c r="I338" s="70">
        <f t="shared" si="2"/>
        <v>12</v>
      </c>
      <c r="J338" s="70">
        <f t="shared" si="3"/>
        <v>2024</v>
      </c>
      <c r="K338" s="70" t="str">
        <f t="shared" si="4"/>
        <v>12/2024</v>
      </c>
    </row>
    <row r="339" hidden="1">
      <c r="A339" s="26">
        <v>45640.0</v>
      </c>
      <c r="B339" s="28" t="s">
        <v>1511</v>
      </c>
      <c r="C339" s="29" t="s">
        <v>27</v>
      </c>
      <c r="D339" s="28" t="s">
        <v>1512</v>
      </c>
      <c r="E339" s="69">
        <v>1504.16</v>
      </c>
      <c r="F339" s="29" t="s">
        <v>1513</v>
      </c>
      <c r="G339" s="26">
        <v>45640.0</v>
      </c>
      <c r="H339" s="70">
        <f t="shared" si="1"/>
        <v>14</v>
      </c>
      <c r="I339" s="70">
        <f t="shared" si="2"/>
        <v>12</v>
      </c>
      <c r="J339" s="70">
        <f t="shared" si="3"/>
        <v>2024</v>
      </c>
      <c r="K339" s="70" t="str">
        <f t="shared" si="4"/>
        <v>12/2024</v>
      </c>
    </row>
    <row r="340" hidden="1">
      <c r="A340" s="26">
        <v>45640.0</v>
      </c>
      <c r="B340" s="28" t="s">
        <v>1514</v>
      </c>
      <c r="C340" s="28" t="s">
        <v>37</v>
      </c>
      <c r="D340" s="28" t="s">
        <v>1515</v>
      </c>
      <c r="E340" s="69">
        <v>1234.03</v>
      </c>
      <c r="F340" s="29" t="s">
        <v>1516</v>
      </c>
      <c r="G340" s="26">
        <v>45640.0</v>
      </c>
      <c r="H340" s="70">
        <f t="shared" si="1"/>
        <v>14</v>
      </c>
      <c r="I340" s="70">
        <f t="shared" si="2"/>
        <v>12</v>
      </c>
      <c r="J340" s="70">
        <f t="shared" si="3"/>
        <v>2024</v>
      </c>
      <c r="K340" s="70" t="str">
        <f t="shared" si="4"/>
        <v>12/2024</v>
      </c>
    </row>
    <row r="341" hidden="1">
      <c r="A341" s="26">
        <v>45641.0</v>
      </c>
      <c r="B341" s="28" t="s">
        <v>1511</v>
      </c>
      <c r="C341" s="29" t="s">
        <v>27</v>
      </c>
      <c r="D341" s="28" t="s">
        <v>1512</v>
      </c>
      <c r="E341" s="69">
        <v>790.2</v>
      </c>
      <c r="F341" s="29" t="s">
        <v>1513</v>
      </c>
      <c r="G341" s="26">
        <v>45641.0</v>
      </c>
      <c r="H341" s="70">
        <f t="shared" si="1"/>
        <v>15</v>
      </c>
      <c r="I341" s="70">
        <f t="shared" si="2"/>
        <v>12</v>
      </c>
      <c r="J341" s="70">
        <f t="shared" si="3"/>
        <v>2024</v>
      </c>
      <c r="K341" s="70" t="str">
        <f t="shared" si="4"/>
        <v>12/2024</v>
      </c>
    </row>
    <row r="342" hidden="1">
      <c r="A342" s="26">
        <v>45641.0</v>
      </c>
      <c r="B342" s="28" t="s">
        <v>1514</v>
      </c>
      <c r="C342" s="28" t="s">
        <v>37</v>
      </c>
      <c r="D342" s="28" t="s">
        <v>1515</v>
      </c>
      <c r="E342" s="69">
        <v>756.83</v>
      </c>
      <c r="F342" s="29" t="s">
        <v>1516</v>
      </c>
      <c r="G342" s="26">
        <v>45641.0</v>
      </c>
      <c r="H342" s="70">
        <f t="shared" si="1"/>
        <v>15</v>
      </c>
      <c r="I342" s="70">
        <f t="shared" si="2"/>
        <v>12</v>
      </c>
      <c r="J342" s="70">
        <f t="shared" si="3"/>
        <v>2024</v>
      </c>
      <c r="K342" s="70" t="str">
        <f t="shared" si="4"/>
        <v>12/2024</v>
      </c>
    </row>
    <row r="343" hidden="1">
      <c r="A343" s="26">
        <v>45642.0</v>
      </c>
      <c r="B343" s="28" t="s">
        <v>1517</v>
      </c>
      <c r="C343" s="28" t="s">
        <v>27</v>
      </c>
      <c r="D343" s="28" t="s">
        <v>1518</v>
      </c>
      <c r="E343" s="71">
        <v>12.44</v>
      </c>
      <c r="F343" s="29" t="s">
        <v>1513</v>
      </c>
      <c r="G343" s="26">
        <v>45642.0</v>
      </c>
      <c r="H343" s="70">
        <f t="shared" si="1"/>
        <v>16</v>
      </c>
      <c r="I343" s="70">
        <f t="shared" si="2"/>
        <v>12</v>
      </c>
      <c r="J343" s="70">
        <f t="shared" si="3"/>
        <v>2024</v>
      </c>
      <c r="K343" s="70" t="str">
        <f t="shared" si="4"/>
        <v>12/2024</v>
      </c>
    </row>
    <row r="344" hidden="1">
      <c r="A344" s="26">
        <v>45642.0</v>
      </c>
      <c r="B344" s="28" t="s">
        <v>1523</v>
      </c>
      <c r="C344" s="28" t="s">
        <v>27</v>
      </c>
      <c r="D344" s="28" t="s">
        <v>1524</v>
      </c>
      <c r="E344" s="71">
        <v>14870.25</v>
      </c>
      <c r="F344" s="29" t="s">
        <v>1513</v>
      </c>
      <c r="G344" s="26">
        <v>45642.0</v>
      </c>
      <c r="H344" s="70">
        <f t="shared" si="1"/>
        <v>16</v>
      </c>
      <c r="I344" s="70">
        <f t="shared" si="2"/>
        <v>12</v>
      </c>
      <c r="J344" s="70">
        <f t="shared" si="3"/>
        <v>2024</v>
      </c>
      <c r="K344" s="70" t="str">
        <f t="shared" si="4"/>
        <v>12/2024</v>
      </c>
    </row>
    <row r="345" hidden="1">
      <c r="A345" s="26">
        <v>45642.0</v>
      </c>
      <c r="B345" s="28" t="s">
        <v>1511</v>
      </c>
      <c r="C345" s="29" t="s">
        <v>27</v>
      </c>
      <c r="D345" s="28" t="s">
        <v>1512</v>
      </c>
      <c r="E345" s="69">
        <v>499.1</v>
      </c>
      <c r="F345" s="29" t="s">
        <v>1513</v>
      </c>
      <c r="G345" s="26">
        <v>45642.0</v>
      </c>
      <c r="H345" s="70">
        <f t="shared" si="1"/>
        <v>16</v>
      </c>
      <c r="I345" s="70">
        <f t="shared" si="2"/>
        <v>12</v>
      </c>
      <c r="J345" s="70">
        <f t="shared" si="3"/>
        <v>2024</v>
      </c>
      <c r="K345" s="70" t="str">
        <f t="shared" si="4"/>
        <v>12/2024</v>
      </c>
    </row>
    <row r="346" hidden="1">
      <c r="A346" s="26">
        <v>45642.0</v>
      </c>
      <c r="B346" s="28" t="s">
        <v>1514</v>
      </c>
      <c r="C346" s="28" t="s">
        <v>37</v>
      </c>
      <c r="D346" s="28" t="s">
        <v>1515</v>
      </c>
      <c r="E346" s="69">
        <v>1590.54</v>
      </c>
      <c r="F346" s="29" t="s">
        <v>1516</v>
      </c>
      <c r="G346" s="26">
        <v>45642.0</v>
      </c>
      <c r="H346" s="70">
        <f t="shared" si="1"/>
        <v>16</v>
      </c>
      <c r="I346" s="70">
        <f t="shared" si="2"/>
        <v>12</v>
      </c>
      <c r="J346" s="70">
        <f t="shared" si="3"/>
        <v>2024</v>
      </c>
      <c r="K346" s="70" t="str">
        <f t="shared" si="4"/>
        <v>12/2024</v>
      </c>
    </row>
    <row r="347" hidden="1">
      <c r="A347" s="26">
        <v>45643.0</v>
      </c>
      <c r="B347" s="28" t="s">
        <v>1511</v>
      </c>
      <c r="C347" s="29" t="s">
        <v>27</v>
      </c>
      <c r="D347" s="28" t="s">
        <v>1512</v>
      </c>
      <c r="E347" s="69">
        <v>1593.69</v>
      </c>
      <c r="F347" s="29" t="s">
        <v>1513</v>
      </c>
      <c r="G347" s="26">
        <v>45643.0</v>
      </c>
      <c r="H347" s="70">
        <f t="shared" si="1"/>
        <v>17</v>
      </c>
      <c r="I347" s="70">
        <f t="shared" si="2"/>
        <v>12</v>
      </c>
      <c r="J347" s="70">
        <f t="shared" si="3"/>
        <v>2024</v>
      </c>
      <c r="K347" s="70" t="str">
        <f t="shared" si="4"/>
        <v>12/2024</v>
      </c>
    </row>
    <row r="348" hidden="1">
      <c r="A348" s="26">
        <v>45643.0</v>
      </c>
      <c r="B348" s="28" t="s">
        <v>1514</v>
      </c>
      <c r="C348" s="28" t="s">
        <v>37</v>
      </c>
      <c r="D348" s="28" t="s">
        <v>1515</v>
      </c>
      <c r="E348" s="69">
        <v>152.68</v>
      </c>
      <c r="F348" s="29" t="s">
        <v>1516</v>
      </c>
      <c r="G348" s="26">
        <v>45643.0</v>
      </c>
      <c r="H348" s="70">
        <f t="shared" si="1"/>
        <v>17</v>
      </c>
      <c r="I348" s="70">
        <f t="shared" si="2"/>
        <v>12</v>
      </c>
      <c r="J348" s="70">
        <f t="shared" si="3"/>
        <v>2024</v>
      </c>
      <c r="K348" s="70" t="str">
        <f t="shared" si="4"/>
        <v>12/2024</v>
      </c>
    </row>
    <row r="349" hidden="1">
      <c r="A349" s="36">
        <v>45644.0</v>
      </c>
      <c r="B349" s="28" t="s">
        <v>1521</v>
      </c>
      <c r="C349" s="28" t="s">
        <v>27</v>
      </c>
      <c r="D349" s="28" t="s">
        <v>1522</v>
      </c>
      <c r="E349" s="69">
        <v>371.91</v>
      </c>
      <c r="F349" s="29" t="s">
        <v>1513</v>
      </c>
      <c r="G349" s="36">
        <v>45644.0</v>
      </c>
      <c r="H349" s="70">
        <f t="shared" si="1"/>
        <v>18</v>
      </c>
      <c r="I349" s="70">
        <f t="shared" si="2"/>
        <v>12</v>
      </c>
      <c r="J349" s="70">
        <f t="shared" si="3"/>
        <v>2024</v>
      </c>
      <c r="K349" s="70" t="str">
        <f t="shared" si="4"/>
        <v>12/2024</v>
      </c>
    </row>
    <row r="350" hidden="1">
      <c r="A350" s="26">
        <v>45644.0</v>
      </c>
      <c r="B350" s="28" t="s">
        <v>1511</v>
      </c>
      <c r="C350" s="29" t="s">
        <v>27</v>
      </c>
      <c r="D350" s="28" t="s">
        <v>1512</v>
      </c>
      <c r="E350" s="71">
        <v>834.77</v>
      </c>
      <c r="F350" s="29" t="s">
        <v>1513</v>
      </c>
      <c r="G350" s="26">
        <v>45644.0</v>
      </c>
      <c r="H350" s="70">
        <f t="shared" si="1"/>
        <v>18</v>
      </c>
      <c r="I350" s="70">
        <f t="shared" si="2"/>
        <v>12</v>
      </c>
      <c r="J350" s="70">
        <f t="shared" si="3"/>
        <v>2024</v>
      </c>
      <c r="K350" s="70" t="str">
        <f t="shared" si="4"/>
        <v>12/2024</v>
      </c>
    </row>
    <row r="351" hidden="1">
      <c r="A351" s="26">
        <v>45644.0</v>
      </c>
      <c r="B351" s="28" t="s">
        <v>1514</v>
      </c>
      <c r="C351" s="28" t="s">
        <v>37</v>
      </c>
      <c r="D351" s="28" t="s">
        <v>1515</v>
      </c>
      <c r="E351" s="69">
        <v>1661.08</v>
      </c>
      <c r="F351" s="29" t="s">
        <v>1516</v>
      </c>
      <c r="G351" s="26">
        <v>45644.0</v>
      </c>
      <c r="H351" s="70">
        <f t="shared" si="1"/>
        <v>18</v>
      </c>
      <c r="I351" s="70">
        <f t="shared" si="2"/>
        <v>12</v>
      </c>
      <c r="J351" s="70">
        <f t="shared" si="3"/>
        <v>2024</v>
      </c>
      <c r="K351" s="70" t="str">
        <f t="shared" si="4"/>
        <v>12/2024</v>
      </c>
    </row>
    <row r="352" hidden="1">
      <c r="A352" s="26">
        <v>45645.0</v>
      </c>
      <c r="B352" s="28" t="s">
        <v>1511</v>
      </c>
      <c r="C352" s="29" t="s">
        <v>27</v>
      </c>
      <c r="D352" s="28" t="s">
        <v>1512</v>
      </c>
      <c r="E352" s="69">
        <v>748.91</v>
      </c>
      <c r="F352" s="29" t="s">
        <v>1513</v>
      </c>
      <c r="G352" s="26">
        <v>45645.0</v>
      </c>
      <c r="H352" s="70">
        <f t="shared" si="1"/>
        <v>19</v>
      </c>
      <c r="I352" s="70">
        <f t="shared" si="2"/>
        <v>12</v>
      </c>
      <c r="J352" s="70">
        <f t="shared" si="3"/>
        <v>2024</v>
      </c>
      <c r="K352" s="70" t="str">
        <f t="shared" si="4"/>
        <v>12/2024</v>
      </c>
    </row>
    <row r="353" hidden="1">
      <c r="A353" s="26">
        <v>45645.0</v>
      </c>
      <c r="B353" s="28" t="s">
        <v>1514</v>
      </c>
      <c r="C353" s="28" t="s">
        <v>37</v>
      </c>
      <c r="D353" s="28" t="s">
        <v>1515</v>
      </c>
      <c r="E353" s="69">
        <v>1497.6</v>
      </c>
      <c r="F353" s="29" t="s">
        <v>1516</v>
      </c>
      <c r="G353" s="26">
        <v>45654.0</v>
      </c>
      <c r="H353" s="70">
        <f t="shared" si="1"/>
        <v>19</v>
      </c>
      <c r="I353" s="70">
        <f t="shared" si="2"/>
        <v>12</v>
      </c>
      <c r="J353" s="70">
        <f t="shared" si="3"/>
        <v>2024</v>
      </c>
      <c r="K353" s="70" t="str">
        <f t="shared" si="4"/>
        <v>12/2024</v>
      </c>
    </row>
    <row r="354" hidden="1">
      <c r="A354" s="26">
        <v>45646.0</v>
      </c>
      <c r="B354" s="28" t="s">
        <v>1511</v>
      </c>
      <c r="C354" s="29" t="s">
        <v>27</v>
      </c>
      <c r="D354" s="28" t="s">
        <v>1512</v>
      </c>
      <c r="E354" s="69">
        <v>1562.64</v>
      </c>
      <c r="F354" s="29" t="s">
        <v>1513</v>
      </c>
      <c r="G354" s="26">
        <v>45646.0</v>
      </c>
      <c r="H354" s="70">
        <f t="shared" si="1"/>
        <v>20</v>
      </c>
      <c r="I354" s="70">
        <f t="shared" si="2"/>
        <v>12</v>
      </c>
      <c r="J354" s="70">
        <f t="shared" si="3"/>
        <v>2024</v>
      </c>
      <c r="K354" s="70" t="str">
        <f t="shared" si="4"/>
        <v>12/2024</v>
      </c>
    </row>
    <row r="355" hidden="1">
      <c r="A355" s="26">
        <v>45646.0</v>
      </c>
      <c r="B355" s="28" t="s">
        <v>1514</v>
      </c>
      <c r="C355" s="28" t="s">
        <v>37</v>
      </c>
      <c r="D355" s="28" t="s">
        <v>1515</v>
      </c>
      <c r="E355" s="71">
        <v>1514.31</v>
      </c>
      <c r="F355" s="29" t="s">
        <v>1516</v>
      </c>
      <c r="G355" s="26">
        <v>45656.0</v>
      </c>
      <c r="H355" s="70">
        <f t="shared" si="1"/>
        <v>20</v>
      </c>
      <c r="I355" s="70">
        <f t="shared" si="2"/>
        <v>12</v>
      </c>
      <c r="J355" s="70">
        <f t="shared" si="3"/>
        <v>2024</v>
      </c>
      <c r="K355" s="70" t="str">
        <f t="shared" si="4"/>
        <v>12/2024</v>
      </c>
    </row>
    <row r="356" hidden="1">
      <c r="A356" s="32">
        <v>45646.0</v>
      </c>
      <c r="B356" s="11" t="s">
        <v>44</v>
      </c>
      <c r="C356" s="28" t="s">
        <v>27</v>
      </c>
      <c r="D356" s="11" t="s">
        <v>1526</v>
      </c>
      <c r="E356" s="69">
        <v>14441.7</v>
      </c>
      <c r="F356" s="29" t="s">
        <v>1513</v>
      </c>
      <c r="G356" s="32">
        <v>45646.0</v>
      </c>
      <c r="H356" s="70">
        <f t="shared" si="1"/>
        <v>20</v>
      </c>
      <c r="I356" s="70">
        <f t="shared" si="2"/>
        <v>12</v>
      </c>
      <c r="J356" s="70">
        <f t="shared" si="3"/>
        <v>2024</v>
      </c>
      <c r="K356" s="70" t="str">
        <f t="shared" si="4"/>
        <v>12/2024</v>
      </c>
    </row>
    <row r="357" hidden="1">
      <c r="A357" s="32">
        <v>45646.0</v>
      </c>
      <c r="B357" s="11" t="s">
        <v>44</v>
      </c>
      <c r="C357" s="28" t="s">
        <v>27</v>
      </c>
      <c r="D357" s="11" t="s">
        <v>1526</v>
      </c>
      <c r="E357" s="69">
        <v>22752.4</v>
      </c>
      <c r="F357" s="29" t="s">
        <v>1513</v>
      </c>
      <c r="G357" s="32">
        <v>45646.0</v>
      </c>
      <c r="H357" s="70">
        <f t="shared" si="1"/>
        <v>20</v>
      </c>
      <c r="I357" s="70">
        <f t="shared" si="2"/>
        <v>12</v>
      </c>
      <c r="J357" s="70">
        <f t="shared" si="3"/>
        <v>2024</v>
      </c>
      <c r="K357" s="70" t="str">
        <f t="shared" si="4"/>
        <v>12/2024</v>
      </c>
    </row>
    <row r="358" hidden="1">
      <c r="A358" s="32">
        <v>45646.0</v>
      </c>
      <c r="B358" s="11" t="s">
        <v>44</v>
      </c>
      <c r="C358" s="28" t="s">
        <v>27</v>
      </c>
      <c r="D358" s="11" t="s">
        <v>1527</v>
      </c>
      <c r="E358" s="69">
        <v>608.22</v>
      </c>
      <c r="F358" s="29" t="s">
        <v>1513</v>
      </c>
      <c r="G358" s="32">
        <v>45646.0</v>
      </c>
      <c r="H358" s="70">
        <f t="shared" si="1"/>
        <v>20</v>
      </c>
      <c r="I358" s="70">
        <f t="shared" si="2"/>
        <v>12</v>
      </c>
      <c r="J358" s="70">
        <f t="shared" si="3"/>
        <v>2024</v>
      </c>
      <c r="K358" s="70" t="str">
        <f t="shared" si="4"/>
        <v>12/2024</v>
      </c>
    </row>
    <row r="359" hidden="1">
      <c r="A359" s="26">
        <v>45647.0</v>
      </c>
      <c r="B359" s="28" t="s">
        <v>1511</v>
      </c>
      <c r="C359" s="29" t="s">
        <v>27</v>
      </c>
      <c r="D359" s="28" t="s">
        <v>1512</v>
      </c>
      <c r="E359" s="69">
        <v>1224.31</v>
      </c>
      <c r="F359" s="29" t="s">
        <v>1513</v>
      </c>
      <c r="G359" s="26">
        <v>45647.0</v>
      </c>
      <c r="H359" s="70">
        <f t="shared" si="1"/>
        <v>21</v>
      </c>
      <c r="I359" s="70">
        <f t="shared" si="2"/>
        <v>12</v>
      </c>
      <c r="J359" s="70">
        <f t="shared" si="3"/>
        <v>2024</v>
      </c>
      <c r="K359" s="70" t="str">
        <f t="shared" si="4"/>
        <v>12/2024</v>
      </c>
    </row>
    <row r="360" hidden="1">
      <c r="A360" s="26">
        <v>45647.0</v>
      </c>
      <c r="B360" s="28" t="s">
        <v>1514</v>
      </c>
      <c r="C360" s="28" t="s">
        <v>37</v>
      </c>
      <c r="D360" s="28" t="s">
        <v>1515</v>
      </c>
      <c r="E360" s="69">
        <v>866.34</v>
      </c>
      <c r="F360" s="29" t="s">
        <v>1516</v>
      </c>
      <c r="G360" s="26">
        <v>45658.0</v>
      </c>
      <c r="H360" s="70">
        <f t="shared" si="1"/>
        <v>21</v>
      </c>
      <c r="I360" s="70">
        <f t="shared" si="2"/>
        <v>12</v>
      </c>
      <c r="J360" s="70">
        <f t="shared" si="3"/>
        <v>2024</v>
      </c>
      <c r="K360" s="70" t="str">
        <f t="shared" si="4"/>
        <v>12/2024</v>
      </c>
    </row>
    <row r="361" hidden="1">
      <c r="A361" s="26">
        <v>45648.0</v>
      </c>
      <c r="B361" s="28" t="s">
        <v>1511</v>
      </c>
      <c r="C361" s="29" t="s">
        <v>27</v>
      </c>
      <c r="D361" s="28" t="s">
        <v>1512</v>
      </c>
      <c r="E361" s="69">
        <v>1473.76</v>
      </c>
      <c r="F361" s="29" t="s">
        <v>1513</v>
      </c>
      <c r="G361" s="26">
        <v>45648.0</v>
      </c>
      <c r="H361" s="70">
        <f t="shared" si="1"/>
        <v>22</v>
      </c>
      <c r="I361" s="70">
        <f t="shared" si="2"/>
        <v>12</v>
      </c>
      <c r="J361" s="70">
        <f t="shared" si="3"/>
        <v>2024</v>
      </c>
      <c r="K361" s="70" t="str">
        <f t="shared" si="4"/>
        <v>12/2024</v>
      </c>
    </row>
    <row r="362" hidden="1">
      <c r="A362" s="26">
        <v>45648.0</v>
      </c>
      <c r="B362" s="28" t="s">
        <v>1514</v>
      </c>
      <c r="C362" s="28" t="s">
        <v>37</v>
      </c>
      <c r="D362" s="28" t="s">
        <v>1515</v>
      </c>
      <c r="E362" s="69">
        <v>526.72</v>
      </c>
      <c r="F362" s="29" t="s">
        <v>1516</v>
      </c>
      <c r="G362" s="26">
        <v>45659.0</v>
      </c>
      <c r="H362" s="70">
        <f t="shared" si="1"/>
        <v>22</v>
      </c>
      <c r="I362" s="70">
        <f t="shared" si="2"/>
        <v>12</v>
      </c>
      <c r="J362" s="70">
        <f t="shared" si="3"/>
        <v>2024</v>
      </c>
      <c r="K362" s="70" t="str">
        <f t="shared" si="4"/>
        <v>12/2024</v>
      </c>
    </row>
    <row r="363" hidden="1">
      <c r="A363" s="26">
        <v>45649.0</v>
      </c>
      <c r="B363" s="28" t="s">
        <v>1511</v>
      </c>
      <c r="C363" s="29" t="s">
        <v>27</v>
      </c>
      <c r="D363" s="28" t="s">
        <v>1512</v>
      </c>
      <c r="E363" s="69">
        <v>288.13</v>
      </c>
      <c r="F363" s="29" t="s">
        <v>1513</v>
      </c>
      <c r="G363" s="26">
        <v>45649.0</v>
      </c>
      <c r="H363" s="70">
        <f t="shared" si="1"/>
        <v>23</v>
      </c>
      <c r="I363" s="70">
        <f t="shared" si="2"/>
        <v>12</v>
      </c>
      <c r="J363" s="70">
        <f t="shared" si="3"/>
        <v>2024</v>
      </c>
      <c r="K363" s="70" t="str">
        <f t="shared" si="4"/>
        <v>12/2024</v>
      </c>
    </row>
    <row r="364" hidden="1">
      <c r="A364" s="26">
        <v>45649.0</v>
      </c>
      <c r="B364" s="28" t="s">
        <v>1514</v>
      </c>
      <c r="C364" s="28" t="s">
        <v>37</v>
      </c>
      <c r="D364" s="28" t="s">
        <v>1515</v>
      </c>
      <c r="E364" s="69">
        <v>108.3</v>
      </c>
      <c r="F364" s="29" t="s">
        <v>1516</v>
      </c>
      <c r="G364" s="26">
        <v>45660.0</v>
      </c>
      <c r="H364" s="70">
        <f t="shared" si="1"/>
        <v>23</v>
      </c>
      <c r="I364" s="70">
        <f t="shared" si="2"/>
        <v>12</v>
      </c>
      <c r="J364" s="70">
        <f t="shared" si="3"/>
        <v>2024</v>
      </c>
      <c r="K364" s="70" t="str">
        <f t="shared" si="4"/>
        <v>12/2024</v>
      </c>
    </row>
    <row r="365" hidden="1">
      <c r="A365" s="26">
        <v>45650.0</v>
      </c>
      <c r="B365" s="28" t="s">
        <v>1511</v>
      </c>
      <c r="C365" s="29" t="s">
        <v>27</v>
      </c>
      <c r="D365" s="28" t="s">
        <v>1512</v>
      </c>
      <c r="E365" s="69">
        <v>838.36</v>
      </c>
      <c r="F365" s="29" t="s">
        <v>1513</v>
      </c>
      <c r="G365" s="26">
        <v>45650.0</v>
      </c>
      <c r="H365" s="70">
        <f t="shared" si="1"/>
        <v>24</v>
      </c>
      <c r="I365" s="70">
        <f t="shared" si="2"/>
        <v>12</v>
      </c>
      <c r="J365" s="70">
        <f t="shared" si="3"/>
        <v>2024</v>
      </c>
      <c r="K365" s="70" t="str">
        <f t="shared" si="4"/>
        <v>12/2024</v>
      </c>
    </row>
    <row r="366" hidden="1">
      <c r="A366" s="26">
        <v>45650.0</v>
      </c>
      <c r="B366" s="28" t="s">
        <v>1514</v>
      </c>
      <c r="C366" s="28" t="s">
        <v>37</v>
      </c>
      <c r="D366" s="28" t="s">
        <v>1515</v>
      </c>
      <c r="E366" s="69">
        <v>820.84</v>
      </c>
      <c r="F366" s="29" t="s">
        <v>1516</v>
      </c>
      <c r="G366" s="26">
        <v>45650.0</v>
      </c>
      <c r="H366" s="70">
        <f t="shared" si="1"/>
        <v>24</v>
      </c>
      <c r="I366" s="70">
        <f t="shared" si="2"/>
        <v>12</v>
      </c>
      <c r="J366" s="70">
        <f t="shared" si="3"/>
        <v>2024</v>
      </c>
      <c r="K366" s="70" t="str">
        <f t="shared" si="4"/>
        <v>12/2024</v>
      </c>
    </row>
    <row r="367" hidden="1">
      <c r="A367" s="26">
        <v>45651.0</v>
      </c>
      <c r="B367" s="28" t="s">
        <v>1511</v>
      </c>
      <c r="C367" s="29" t="s">
        <v>27</v>
      </c>
      <c r="D367" s="28" t="s">
        <v>1512</v>
      </c>
      <c r="E367" s="69">
        <v>1383.38</v>
      </c>
      <c r="F367" s="29" t="s">
        <v>1513</v>
      </c>
      <c r="G367" s="26">
        <v>45651.0</v>
      </c>
      <c r="H367" s="70">
        <f t="shared" si="1"/>
        <v>25</v>
      </c>
      <c r="I367" s="70">
        <f t="shared" si="2"/>
        <v>12</v>
      </c>
      <c r="J367" s="70">
        <f t="shared" si="3"/>
        <v>2024</v>
      </c>
      <c r="K367" s="70" t="str">
        <f t="shared" si="4"/>
        <v>12/2024</v>
      </c>
    </row>
    <row r="368" hidden="1">
      <c r="A368" s="26">
        <v>45651.0</v>
      </c>
      <c r="B368" s="28" t="s">
        <v>1514</v>
      </c>
      <c r="C368" s="28" t="s">
        <v>37</v>
      </c>
      <c r="D368" s="28" t="s">
        <v>1515</v>
      </c>
      <c r="E368" s="69">
        <v>726.91</v>
      </c>
      <c r="F368" s="29" t="s">
        <v>1516</v>
      </c>
      <c r="G368" s="26">
        <v>45651.0</v>
      </c>
      <c r="H368" s="70">
        <f t="shared" si="1"/>
        <v>25</v>
      </c>
      <c r="I368" s="70">
        <f t="shared" si="2"/>
        <v>12</v>
      </c>
      <c r="J368" s="70">
        <f t="shared" si="3"/>
        <v>2024</v>
      </c>
      <c r="K368" s="70" t="str">
        <f t="shared" si="4"/>
        <v>12/2024</v>
      </c>
    </row>
    <row r="369" hidden="1">
      <c r="A369" s="36">
        <v>45652.0</v>
      </c>
      <c r="B369" s="28" t="s">
        <v>1521</v>
      </c>
      <c r="C369" s="28" t="s">
        <v>27</v>
      </c>
      <c r="D369" s="28" t="s">
        <v>1522</v>
      </c>
      <c r="E369" s="69">
        <v>526.68</v>
      </c>
      <c r="F369" s="29" t="s">
        <v>1513</v>
      </c>
      <c r="G369" s="36">
        <v>45651.0</v>
      </c>
      <c r="H369" s="70">
        <f t="shared" si="1"/>
        <v>26</v>
      </c>
      <c r="I369" s="70">
        <f t="shared" si="2"/>
        <v>12</v>
      </c>
      <c r="J369" s="70">
        <f t="shared" si="3"/>
        <v>2024</v>
      </c>
      <c r="K369" s="70" t="str">
        <f t="shared" si="4"/>
        <v>12/2024</v>
      </c>
    </row>
    <row r="370" hidden="1">
      <c r="A370" s="26">
        <v>45652.0</v>
      </c>
      <c r="B370" s="28" t="s">
        <v>1514</v>
      </c>
      <c r="C370" s="28" t="s">
        <v>37</v>
      </c>
      <c r="D370" s="28" t="s">
        <v>1515</v>
      </c>
      <c r="E370" s="69">
        <v>635.58</v>
      </c>
      <c r="F370" s="29" t="s">
        <v>1516</v>
      </c>
      <c r="G370" s="26">
        <v>45652.0</v>
      </c>
      <c r="H370" s="70">
        <f t="shared" si="1"/>
        <v>26</v>
      </c>
      <c r="I370" s="70">
        <f t="shared" si="2"/>
        <v>12</v>
      </c>
      <c r="J370" s="70">
        <f t="shared" si="3"/>
        <v>2024</v>
      </c>
      <c r="K370" s="70" t="str">
        <f t="shared" si="4"/>
        <v>12/2024</v>
      </c>
    </row>
    <row r="371" hidden="1">
      <c r="A371" s="26">
        <v>45652.0</v>
      </c>
      <c r="B371" s="28" t="s">
        <v>1511</v>
      </c>
      <c r="C371" s="29" t="s">
        <v>27</v>
      </c>
      <c r="D371" s="28" t="s">
        <v>1512</v>
      </c>
      <c r="E371" s="69">
        <v>1798.5</v>
      </c>
      <c r="F371" s="29" t="s">
        <v>1513</v>
      </c>
      <c r="G371" s="26">
        <v>45652.0</v>
      </c>
      <c r="H371" s="70">
        <f t="shared" si="1"/>
        <v>26</v>
      </c>
      <c r="I371" s="70">
        <f t="shared" si="2"/>
        <v>12</v>
      </c>
      <c r="J371" s="70">
        <f t="shared" si="3"/>
        <v>2024</v>
      </c>
      <c r="K371" s="70" t="str">
        <f t="shared" si="4"/>
        <v>12/2024</v>
      </c>
    </row>
    <row r="372" hidden="1">
      <c r="A372" s="26">
        <v>45653.0</v>
      </c>
      <c r="B372" s="28" t="s">
        <v>1523</v>
      </c>
      <c r="C372" s="28" t="s">
        <v>27</v>
      </c>
      <c r="D372" s="28" t="s">
        <v>1524</v>
      </c>
      <c r="E372" s="71">
        <v>4259.83</v>
      </c>
      <c r="F372" s="29" t="s">
        <v>1513</v>
      </c>
      <c r="G372" s="26">
        <v>45653.0</v>
      </c>
      <c r="H372" s="70">
        <f t="shared" si="1"/>
        <v>27</v>
      </c>
      <c r="I372" s="70">
        <f t="shared" si="2"/>
        <v>12</v>
      </c>
      <c r="J372" s="70">
        <f t="shared" si="3"/>
        <v>2024</v>
      </c>
      <c r="K372" s="70" t="str">
        <f t="shared" si="4"/>
        <v>12/2024</v>
      </c>
    </row>
    <row r="373" hidden="1">
      <c r="A373" s="26">
        <v>45653.0</v>
      </c>
      <c r="B373" s="28" t="s">
        <v>1514</v>
      </c>
      <c r="C373" s="28" t="s">
        <v>37</v>
      </c>
      <c r="D373" s="28" t="s">
        <v>1515</v>
      </c>
      <c r="E373" s="69">
        <v>1048.77</v>
      </c>
      <c r="F373" s="29" t="s">
        <v>1516</v>
      </c>
      <c r="G373" s="26">
        <v>45653.0</v>
      </c>
      <c r="H373" s="70">
        <f t="shared" si="1"/>
        <v>27</v>
      </c>
      <c r="I373" s="70">
        <f t="shared" si="2"/>
        <v>12</v>
      </c>
      <c r="J373" s="70">
        <f t="shared" si="3"/>
        <v>2024</v>
      </c>
      <c r="K373" s="70" t="str">
        <f t="shared" si="4"/>
        <v>12/2024</v>
      </c>
    </row>
    <row r="374" hidden="1">
      <c r="A374" s="26">
        <v>45653.0</v>
      </c>
      <c r="B374" s="28" t="s">
        <v>1511</v>
      </c>
      <c r="C374" s="29" t="s">
        <v>27</v>
      </c>
      <c r="D374" s="28" t="s">
        <v>1512</v>
      </c>
      <c r="E374" s="69">
        <v>1436.01</v>
      </c>
      <c r="F374" s="29" t="s">
        <v>1513</v>
      </c>
      <c r="G374" s="26">
        <v>45653.0</v>
      </c>
      <c r="H374" s="70">
        <f t="shared" si="1"/>
        <v>27</v>
      </c>
      <c r="I374" s="70">
        <f t="shared" si="2"/>
        <v>12</v>
      </c>
      <c r="J374" s="70">
        <f t="shared" si="3"/>
        <v>2024</v>
      </c>
      <c r="K374" s="70" t="str">
        <f t="shared" si="4"/>
        <v>12/2024</v>
      </c>
    </row>
    <row r="375" hidden="1">
      <c r="A375" s="26">
        <v>45654.0</v>
      </c>
      <c r="B375" s="28" t="s">
        <v>1514</v>
      </c>
      <c r="C375" s="28" t="s">
        <v>37</v>
      </c>
      <c r="D375" s="28" t="s">
        <v>1515</v>
      </c>
      <c r="E375" s="71">
        <v>904.56</v>
      </c>
      <c r="F375" s="29" t="s">
        <v>1516</v>
      </c>
      <c r="G375" s="26">
        <v>45654.0</v>
      </c>
      <c r="H375" s="70">
        <f t="shared" si="1"/>
        <v>28</v>
      </c>
      <c r="I375" s="70">
        <f t="shared" si="2"/>
        <v>12</v>
      </c>
      <c r="J375" s="70">
        <f t="shared" si="3"/>
        <v>2024</v>
      </c>
      <c r="K375" s="70" t="str">
        <f t="shared" si="4"/>
        <v>12/2024</v>
      </c>
    </row>
    <row r="376" hidden="1">
      <c r="A376" s="26">
        <v>45654.0</v>
      </c>
      <c r="B376" s="28" t="s">
        <v>1511</v>
      </c>
      <c r="C376" s="29" t="s">
        <v>27</v>
      </c>
      <c r="D376" s="28" t="s">
        <v>1512</v>
      </c>
      <c r="E376" s="69">
        <v>1231.25</v>
      </c>
      <c r="F376" s="29" t="s">
        <v>1513</v>
      </c>
      <c r="G376" s="26">
        <v>45654.0</v>
      </c>
      <c r="H376" s="70">
        <f t="shared" si="1"/>
        <v>28</v>
      </c>
      <c r="I376" s="70">
        <f t="shared" si="2"/>
        <v>12</v>
      </c>
      <c r="J376" s="70">
        <f t="shared" si="3"/>
        <v>2024</v>
      </c>
      <c r="K376" s="70" t="str">
        <f t="shared" si="4"/>
        <v>12/2024</v>
      </c>
    </row>
    <row r="377" hidden="1">
      <c r="A377" s="26">
        <v>45655.0</v>
      </c>
      <c r="B377" s="28" t="s">
        <v>1514</v>
      </c>
      <c r="C377" s="28" t="s">
        <v>37</v>
      </c>
      <c r="D377" s="28" t="s">
        <v>1515</v>
      </c>
      <c r="E377" s="69">
        <v>1344.31</v>
      </c>
      <c r="F377" s="29" t="s">
        <v>1516</v>
      </c>
      <c r="G377" s="26">
        <v>45655.0</v>
      </c>
      <c r="H377" s="70">
        <f t="shared" si="1"/>
        <v>29</v>
      </c>
      <c r="I377" s="70">
        <f t="shared" si="2"/>
        <v>12</v>
      </c>
      <c r="J377" s="70">
        <f t="shared" si="3"/>
        <v>2024</v>
      </c>
      <c r="K377" s="70" t="str">
        <f t="shared" si="4"/>
        <v>12/2024</v>
      </c>
    </row>
    <row r="378" hidden="1">
      <c r="A378" s="26">
        <v>45655.0</v>
      </c>
      <c r="B378" s="28" t="s">
        <v>1511</v>
      </c>
      <c r="C378" s="29" t="s">
        <v>27</v>
      </c>
      <c r="D378" s="28" t="s">
        <v>1512</v>
      </c>
      <c r="E378" s="71">
        <v>1202.66</v>
      </c>
      <c r="F378" s="29" t="s">
        <v>1513</v>
      </c>
      <c r="G378" s="26">
        <v>45655.0</v>
      </c>
      <c r="H378" s="70">
        <f t="shared" si="1"/>
        <v>29</v>
      </c>
      <c r="I378" s="70">
        <f t="shared" si="2"/>
        <v>12</v>
      </c>
      <c r="J378" s="70">
        <f t="shared" si="3"/>
        <v>2024</v>
      </c>
      <c r="K378" s="70" t="str">
        <f t="shared" si="4"/>
        <v>12/2024</v>
      </c>
    </row>
    <row r="379" hidden="1">
      <c r="A379" s="26">
        <v>45656.0</v>
      </c>
      <c r="B379" s="28" t="s">
        <v>1514</v>
      </c>
      <c r="C379" s="28" t="s">
        <v>37</v>
      </c>
      <c r="D379" s="28" t="s">
        <v>1515</v>
      </c>
      <c r="E379" s="69">
        <v>277.28</v>
      </c>
      <c r="F379" s="29" t="s">
        <v>1516</v>
      </c>
      <c r="G379" s="26">
        <v>45656.0</v>
      </c>
      <c r="H379" s="70">
        <f t="shared" si="1"/>
        <v>30</v>
      </c>
      <c r="I379" s="70">
        <f t="shared" si="2"/>
        <v>12</v>
      </c>
      <c r="J379" s="70">
        <f t="shared" si="3"/>
        <v>2024</v>
      </c>
      <c r="K379" s="70" t="str">
        <f t="shared" si="4"/>
        <v>12/2024</v>
      </c>
    </row>
    <row r="380" hidden="1">
      <c r="A380" s="26">
        <v>45656.0</v>
      </c>
      <c r="B380" s="28" t="s">
        <v>1511</v>
      </c>
      <c r="C380" s="29" t="s">
        <v>27</v>
      </c>
      <c r="D380" s="28" t="s">
        <v>1512</v>
      </c>
      <c r="E380" s="69">
        <v>426.9</v>
      </c>
      <c r="F380" s="29" t="s">
        <v>1513</v>
      </c>
      <c r="G380" s="26">
        <v>45656.0</v>
      </c>
      <c r="H380" s="70">
        <f t="shared" si="1"/>
        <v>30</v>
      </c>
      <c r="I380" s="70">
        <f t="shared" si="2"/>
        <v>12</v>
      </c>
      <c r="J380" s="70">
        <f t="shared" si="3"/>
        <v>2024</v>
      </c>
      <c r="K380" s="70" t="str">
        <f t="shared" si="4"/>
        <v>12/2024</v>
      </c>
    </row>
    <row r="381" hidden="1">
      <c r="A381" s="26">
        <v>45657.0</v>
      </c>
      <c r="B381" s="28" t="s">
        <v>1514</v>
      </c>
      <c r="C381" s="28" t="s">
        <v>37</v>
      </c>
      <c r="D381" s="28" t="s">
        <v>1515</v>
      </c>
      <c r="E381" s="69">
        <v>894.21</v>
      </c>
      <c r="F381" s="29" t="s">
        <v>1516</v>
      </c>
      <c r="G381" s="26">
        <v>45657.0</v>
      </c>
      <c r="H381" s="70">
        <f t="shared" si="1"/>
        <v>31</v>
      </c>
      <c r="I381" s="70">
        <f t="shared" si="2"/>
        <v>12</v>
      </c>
      <c r="J381" s="70">
        <f t="shared" si="3"/>
        <v>2024</v>
      </c>
      <c r="K381" s="70" t="str">
        <f t="shared" si="4"/>
        <v>12/2024</v>
      </c>
    </row>
    <row r="382" hidden="1">
      <c r="A382" s="26">
        <v>45657.0</v>
      </c>
      <c r="B382" s="28" t="s">
        <v>1511</v>
      </c>
      <c r="C382" s="29" t="s">
        <v>27</v>
      </c>
      <c r="D382" s="28" t="s">
        <v>1512</v>
      </c>
      <c r="E382" s="69">
        <v>1578.01</v>
      </c>
      <c r="F382" s="29" t="s">
        <v>1513</v>
      </c>
      <c r="G382" s="26">
        <v>45657.0</v>
      </c>
      <c r="H382" s="70">
        <f t="shared" si="1"/>
        <v>31</v>
      </c>
      <c r="I382" s="70">
        <f t="shared" si="2"/>
        <v>12</v>
      </c>
      <c r="J382" s="70">
        <f t="shared" si="3"/>
        <v>2024</v>
      </c>
      <c r="K382" s="70" t="str">
        <f t="shared" si="4"/>
        <v>12/2024</v>
      </c>
    </row>
    <row r="383" hidden="1">
      <c r="A383" s="26">
        <v>45658.0</v>
      </c>
      <c r="B383" s="28" t="s">
        <v>1514</v>
      </c>
      <c r="C383" s="28" t="s">
        <v>37</v>
      </c>
      <c r="D383" s="28" t="s">
        <v>1515</v>
      </c>
      <c r="E383" s="69">
        <v>537.99</v>
      </c>
      <c r="F383" s="29" t="s">
        <v>1516</v>
      </c>
      <c r="G383" s="26">
        <v>45658.0</v>
      </c>
      <c r="H383" s="70">
        <f t="shared" si="1"/>
        <v>1</v>
      </c>
      <c r="I383" s="70">
        <f t="shared" si="2"/>
        <v>1</v>
      </c>
      <c r="J383" s="70">
        <f t="shared" si="3"/>
        <v>2025</v>
      </c>
      <c r="K383" s="70" t="str">
        <f t="shared" si="4"/>
        <v>01/2025</v>
      </c>
    </row>
    <row r="384" hidden="1">
      <c r="A384" s="26">
        <v>45658.0</v>
      </c>
      <c r="B384" s="28" t="s">
        <v>1511</v>
      </c>
      <c r="C384" s="29" t="s">
        <v>27</v>
      </c>
      <c r="D384" s="28" t="s">
        <v>1512</v>
      </c>
      <c r="E384" s="69">
        <v>878.44</v>
      </c>
      <c r="F384" s="29" t="s">
        <v>1513</v>
      </c>
      <c r="G384" s="26">
        <v>45658.0</v>
      </c>
      <c r="H384" s="70">
        <f t="shared" si="1"/>
        <v>1</v>
      </c>
      <c r="I384" s="70">
        <f t="shared" si="2"/>
        <v>1</v>
      </c>
      <c r="J384" s="70">
        <f t="shared" si="3"/>
        <v>2025</v>
      </c>
      <c r="K384" s="70" t="str">
        <f t="shared" si="4"/>
        <v>01/2025</v>
      </c>
    </row>
    <row r="385" hidden="1">
      <c r="A385" s="26">
        <v>45659.0</v>
      </c>
      <c r="B385" s="28" t="s">
        <v>1521</v>
      </c>
      <c r="C385" s="28" t="s">
        <v>27</v>
      </c>
      <c r="D385" s="28" t="s">
        <v>1522</v>
      </c>
      <c r="E385" s="71">
        <v>44.85</v>
      </c>
      <c r="F385" s="29" t="s">
        <v>1513</v>
      </c>
      <c r="G385" s="36">
        <v>45659.0</v>
      </c>
      <c r="H385" s="70">
        <f t="shared" si="1"/>
        <v>2</v>
      </c>
      <c r="I385" s="70">
        <f t="shared" si="2"/>
        <v>1</v>
      </c>
      <c r="J385" s="70">
        <f t="shared" si="3"/>
        <v>2025</v>
      </c>
      <c r="K385" s="70" t="str">
        <f t="shared" si="4"/>
        <v>01/2025</v>
      </c>
    </row>
    <row r="386" hidden="1">
      <c r="A386" s="26">
        <v>45660.0</v>
      </c>
      <c r="B386" s="28" t="s">
        <v>1514</v>
      </c>
      <c r="C386" s="28" t="s">
        <v>37</v>
      </c>
      <c r="D386" s="28" t="s">
        <v>1515</v>
      </c>
      <c r="E386" s="71">
        <v>494.48</v>
      </c>
      <c r="F386" s="29" t="s">
        <v>1516</v>
      </c>
      <c r="G386" s="26">
        <v>45660.0</v>
      </c>
      <c r="H386" s="70">
        <f t="shared" si="1"/>
        <v>3</v>
      </c>
      <c r="I386" s="70">
        <f t="shared" si="2"/>
        <v>1</v>
      </c>
      <c r="J386" s="70">
        <f t="shared" si="3"/>
        <v>2025</v>
      </c>
      <c r="K386" s="70" t="str">
        <f t="shared" si="4"/>
        <v>01/2025</v>
      </c>
    </row>
    <row r="387" hidden="1">
      <c r="A387" s="26">
        <v>45660.0</v>
      </c>
      <c r="B387" s="28" t="s">
        <v>1511</v>
      </c>
      <c r="C387" s="29" t="s">
        <v>27</v>
      </c>
      <c r="D387" s="28" t="s">
        <v>1512</v>
      </c>
      <c r="E387" s="69">
        <v>627.24</v>
      </c>
      <c r="F387" s="29" t="s">
        <v>1513</v>
      </c>
      <c r="G387" s="26">
        <v>45660.0</v>
      </c>
      <c r="H387" s="70">
        <f t="shared" si="1"/>
        <v>3</v>
      </c>
      <c r="I387" s="70">
        <f t="shared" si="2"/>
        <v>1</v>
      </c>
      <c r="J387" s="70">
        <f t="shared" si="3"/>
        <v>2025</v>
      </c>
      <c r="K387" s="70" t="str">
        <f t="shared" si="4"/>
        <v>01/2025</v>
      </c>
    </row>
    <row r="388" hidden="1">
      <c r="A388" s="26">
        <v>45661.0</v>
      </c>
      <c r="B388" s="28" t="s">
        <v>1514</v>
      </c>
      <c r="C388" s="28" t="s">
        <v>37</v>
      </c>
      <c r="D388" s="28" t="s">
        <v>1515</v>
      </c>
      <c r="E388" s="69">
        <v>1596.28</v>
      </c>
      <c r="F388" s="29" t="s">
        <v>1516</v>
      </c>
      <c r="G388" s="26">
        <v>45661.0</v>
      </c>
      <c r="H388" s="70">
        <f t="shared" si="1"/>
        <v>4</v>
      </c>
      <c r="I388" s="70">
        <f t="shared" si="2"/>
        <v>1</v>
      </c>
      <c r="J388" s="70">
        <f t="shared" si="3"/>
        <v>2025</v>
      </c>
      <c r="K388" s="70" t="str">
        <f t="shared" si="4"/>
        <v>01/2025</v>
      </c>
    </row>
    <row r="389" hidden="1">
      <c r="A389" s="26">
        <v>45661.0</v>
      </c>
      <c r="B389" s="28" t="s">
        <v>1511</v>
      </c>
      <c r="C389" s="29" t="s">
        <v>27</v>
      </c>
      <c r="D389" s="28" t="s">
        <v>1512</v>
      </c>
      <c r="E389" s="71">
        <v>1532.78</v>
      </c>
      <c r="F389" s="29" t="s">
        <v>1513</v>
      </c>
      <c r="G389" s="26">
        <v>45661.0</v>
      </c>
      <c r="H389" s="70">
        <f t="shared" si="1"/>
        <v>4</v>
      </c>
      <c r="I389" s="70">
        <f t="shared" si="2"/>
        <v>1</v>
      </c>
      <c r="J389" s="70">
        <f t="shared" si="3"/>
        <v>2025</v>
      </c>
      <c r="K389" s="70" t="str">
        <f t="shared" si="4"/>
        <v>01/2025</v>
      </c>
    </row>
    <row r="390" hidden="1">
      <c r="A390" s="26">
        <v>45662.0</v>
      </c>
      <c r="B390" s="28" t="s">
        <v>1514</v>
      </c>
      <c r="C390" s="28" t="s">
        <v>37</v>
      </c>
      <c r="D390" s="28" t="s">
        <v>1515</v>
      </c>
      <c r="E390" s="69">
        <v>678.16</v>
      </c>
      <c r="F390" s="29" t="s">
        <v>1516</v>
      </c>
      <c r="G390" s="26">
        <v>45662.0</v>
      </c>
      <c r="H390" s="70">
        <f t="shared" si="1"/>
        <v>5</v>
      </c>
      <c r="I390" s="70">
        <f t="shared" si="2"/>
        <v>1</v>
      </c>
      <c r="J390" s="70">
        <f t="shared" si="3"/>
        <v>2025</v>
      </c>
      <c r="K390" s="70" t="str">
        <f t="shared" si="4"/>
        <v>01/2025</v>
      </c>
    </row>
    <row r="391" hidden="1">
      <c r="A391" s="26">
        <v>45662.0</v>
      </c>
      <c r="B391" s="28" t="s">
        <v>1511</v>
      </c>
      <c r="C391" s="29" t="s">
        <v>27</v>
      </c>
      <c r="D391" s="28" t="s">
        <v>1512</v>
      </c>
      <c r="E391" s="69">
        <v>1259.37</v>
      </c>
      <c r="F391" s="29" t="s">
        <v>1513</v>
      </c>
      <c r="G391" s="26">
        <v>45662.0</v>
      </c>
      <c r="H391" s="70">
        <f t="shared" si="1"/>
        <v>5</v>
      </c>
      <c r="I391" s="70">
        <f t="shared" si="2"/>
        <v>1</v>
      </c>
      <c r="J391" s="70">
        <f t="shared" si="3"/>
        <v>2025</v>
      </c>
      <c r="K391" s="70" t="str">
        <f t="shared" si="4"/>
        <v>01/2025</v>
      </c>
    </row>
    <row r="392" hidden="1">
      <c r="A392" s="26">
        <v>45663.0</v>
      </c>
      <c r="B392" s="28" t="s">
        <v>1514</v>
      </c>
      <c r="C392" s="28" t="s">
        <v>37</v>
      </c>
      <c r="D392" s="28" t="s">
        <v>1515</v>
      </c>
      <c r="E392" s="69">
        <v>1009.34</v>
      </c>
      <c r="F392" s="29" t="s">
        <v>1516</v>
      </c>
      <c r="G392" s="26">
        <v>45663.0</v>
      </c>
      <c r="H392" s="70">
        <f t="shared" si="1"/>
        <v>6</v>
      </c>
      <c r="I392" s="70">
        <f t="shared" si="2"/>
        <v>1</v>
      </c>
      <c r="J392" s="70">
        <f t="shared" si="3"/>
        <v>2025</v>
      </c>
      <c r="K392" s="70" t="str">
        <f t="shared" si="4"/>
        <v>01/2025</v>
      </c>
    </row>
    <row r="393" hidden="1">
      <c r="A393" s="26">
        <v>45663.0</v>
      </c>
      <c r="B393" s="28" t="s">
        <v>1511</v>
      </c>
      <c r="C393" s="29" t="s">
        <v>27</v>
      </c>
      <c r="D393" s="28" t="s">
        <v>1512</v>
      </c>
      <c r="E393" s="69">
        <v>990.18</v>
      </c>
      <c r="F393" s="29" t="s">
        <v>1513</v>
      </c>
      <c r="G393" s="26">
        <v>45663.0</v>
      </c>
      <c r="H393" s="70">
        <f t="shared" si="1"/>
        <v>6</v>
      </c>
      <c r="I393" s="70">
        <f t="shared" si="2"/>
        <v>1</v>
      </c>
      <c r="J393" s="70">
        <f t="shared" si="3"/>
        <v>2025</v>
      </c>
      <c r="K393" s="70" t="str">
        <f t="shared" si="4"/>
        <v>01/2025</v>
      </c>
    </row>
    <row r="394" hidden="1">
      <c r="A394" s="26">
        <v>45664.0</v>
      </c>
      <c r="B394" s="28" t="s">
        <v>1523</v>
      </c>
      <c r="C394" s="28" t="s">
        <v>27</v>
      </c>
      <c r="D394" s="28" t="s">
        <v>1524</v>
      </c>
      <c r="E394" s="72">
        <v>19903.62</v>
      </c>
      <c r="F394" s="29" t="s">
        <v>1513</v>
      </c>
      <c r="G394" s="26">
        <v>45664.0</v>
      </c>
      <c r="H394" s="70">
        <f t="shared" si="1"/>
        <v>7</v>
      </c>
      <c r="I394" s="70">
        <f t="shared" si="2"/>
        <v>1</v>
      </c>
      <c r="J394" s="70">
        <f t="shared" si="3"/>
        <v>2025</v>
      </c>
      <c r="K394" s="70" t="str">
        <f t="shared" si="4"/>
        <v>01/2025</v>
      </c>
    </row>
    <row r="395" hidden="1">
      <c r="A395" s="26">
        <v>45664.0</v>
      </c>
      <c r="B395" s="28" t="s">
        <v>1514</v>
      </c>
      <c r="C395" s="28" t="s">
        <v>37</v>
      </c>
      <c r="D395" s="28" t="s">
        <v>1515</v>
      </c>
      <c r="E395" s="69">
        <v>471.89</v>
      </c>
      <c r="F395" s="29" t="s">
        <v>1516</v>
      </c>
      <c r="G395" s="26">
        <v>45664.0</v>
      </c>
      <c r="H395" s="70">
        <f t="shared" si="1"/>
        <v>7</v>
      </c>
      <c r="I395" s="70">
        <f t="shared" si="2"/>
        <v>1</v>
      </c>
      <c r="J395" s="70">
        <f t="shared" si="3"/>
        <v>2025</v>
      </c>
      <c r="K395" s="70" t="str">
        <f t="shared" si="4"/>
        <v>01/2025</v>
      </c>
    </row>
    <row r="396" hidden="1">
      <c r="A396" s="26">
        <v>45664.0</v>
      </c>
      <c r="B396" s="28" t="s">
        <v>1511</v>
      </c>
      <c r="C396" s="29" t="s">
        <v>27</v>
      </c>
      <c r="D396" s="28" t="s">
        <v>1512</v>
      </c>
      <c r="E396" s="69">
        <v>311.9</v>
      </c>
      <c r="F396" s="29" t="s">
        <v>1513</v>
      </c>
      <c r="G396" s="26">
        <v>45664.0</v>
      </c>
      <c r="H396" s="70">
        <f t="shared" si="1"/>
        <v>7</v>
      </c>
      <c r="I396" s="70">
        <f t="shared" si="2"/>
        <v>1</v>
      </c>
      <c r="J396" s="70">
        <f t="shared" si="3"/>
        <v>2025</v>
      </c>
      <c r="K396" s="70" t="str">
        <f t="shared" si="4"/>
        <v>01/2025</v>
      </c>
    </row>
    <row r="397" hidden="1">
      <c r="A397" s="9">
        <v>45664.0</v>
      </c>
      <c r="B397" s="11" t="s">
        <v>44</v>
      </c>
      <c r="C397" s="28" t="s">
        <v>27</v>
      </c>
      <c r="D397" s="11" t="s">
        <v>1531</v>
      </c>
      <c r="E397" s="72">
        <v>43928.43</v>
      </c>
      <c r="F397" s="11" t="s">
        <v>1513</v>
      </c>
      <c r="G397" s="9">
        <v>45664.0</v>
      </c>
      <c r="H397" s="70">
        <f t="shared" si="1"/>
        <v>7</v>
      </c>
      <c r="I397" s="70">
        <f t="shared" si="2"/>
        <v>1</v>
      </c>
      <c r="J397" s="70">
        <f t="shared" si="3"/>
        <v>2025</v>
      </c>
      <c r="K397" s="70" t="str">
        <f t="shared" si="4"/>
        <v>01/2025</v>
      </c>
    </row>
    <row r="398" hidden="1">
      <c r="A398" s="26">
        <v>45664.0</v>
      </c>
      <c r="B398" s="28" t="s">
        <v>1519</v>
      </c>
      <c r="C398" s="28" t="s">
        <v>27</v>
      </c>
      <c r="D398" s="28" t="s">
        <v>1520</v>
      </c>
      <c r="E398" s="67">
        <v>17947.89</v>
      </c>
      <c r="F398" s="29" t="s">
        <v>1513</v>
      </c>
      <c r="G398" s="26">
        <v>45664.0</v>
      </c>
      <c r="H398" s="70">
        <f t="shared" si="1"/>
        <v>7</v>
      </c>
      <c r="I398" s="70">
        <f t="shared" si="2"/>
        <v>1</v>
      </c>
      <c r="J398" s="70">
        <f t="shared" si="3"/>
        <v>2025</v>
      </c>
      <c r="K398" s="70" t="str">
        <f t="shared" si="4"/>
        <v>01/2025</v>
      </c>
    </row>
    <row r="399" hidden="1">
      <c r="A399" s="26">
        <v>45665.0</v>
      </c>
      <c r="B399" s="28" t="s">
        <v>1521</v>
      </c>
      <c r="C399" s="28" t="s">
        <v>27</v>
      </c>
      <c r="D399" s="28" t="s">
        <v>1522</v>
      </c>
      <c r="E399" s="72">
        <v>512.06</v>
      </c>
      <c r="F399" s="29" t="s">
        <v>1513</v>
      </c>
      <c r="G399" s="36">
        <v>45665.0</v>
      </c>
      <c r="H399" s="70">
        <f t="shared" si="1"/>
        <v>8</v>
      </c>
      <c r="I399" s="70">
        <f t="shared" si="2"/>
        <v>1</v>
      </c>
      <c r="J399" s="70">
        <f t="shared" si="3"/>
        <v>2025</v>
      </c>
      <c r="K399" s="70" t="str">
        <f t="shared" si="4"/>
        <v>01/2025</v>
      </c>
    </row>
    <row r="400" hidden="1">
      <c r="A400" s="26">
        <v>45665.0</v>
      </c>
      <c r="B400" s="28" t="s">
        <v>1511</v>
      </c>
      <c r="C400" s="29" t="s">
        <v>27</v>
      </c>
      <c r="D400" s="28" t="s">
        <v>1512</v>
      </c>
      <c r="E400" s="69">
        <v>337.88</v>
      </c>
      <c r="F400" s="29" t="s">
        <v>1513</v>
      </c>
      <c r="G400" s="26">
        <v>45665.0</v>
      </c>
      <c r="H400" s="70">
        <f t="shared" si="1"/>
        <v>8</v>
      </c>
      <c r="I400" s="70">
        <f t="shared" si="2"/>
        <v>1</v>
      </c>
      <c r="J400" s="70">
        <f t="shared" si="3"/>
        <v>2025</v>
      </c>
      <c r="K400" s="70" t="str">
        <f t="shared" si="4"/>
        <v>01/2025</v>
      </c>
    </row>
    <row r="401" hidden="1">
      <c r="A401" s="26">
        <v>45665.0</v>
      </c>
      <c r="B401" s="28" t="s">
        <v>1514</v>
      </c>
      <c r="C401" s="28" t="s">
        <v>37</v>
      </c>
      <c r="D401" s="28" t="s">
        <v>1515</v>
      </c>
      <c r="E401" s="69">
        <v>626.45</v>
      </c>
      <c r="F401" s="29" t="s">
        <v>1516</v>
      </c>
      <c r="G401" s="26">
        <v>45665.0</v>
      </c>
      <c r="H401" s="70">
        <f t="shared" si="1"/>
        <v>8</v>
      </c>
      <c r="I401" s="70">
        <f t="shared" si="2"/>
        <v>1</v>
      </c>
      <c r="J401" s="70">
        <f t="shared" si="3"/>
        <v>2025</v>
      </c>
      <c r="K401" s="70" t="str">
        <f t="shared" si="4"/>
        <v>01/2025</v>
      </c>
    </row>
    <row r="402" hidden="1">
      <c r="A402" s="26">
        <v>45666.0</v>
      </c>
      <c r="B402" s="28" t="s">
        <v>1514</v>
      </c>
      <c r="C402" s="28" t="s">
        <v>37</v>
      </c>
      <c r="D402" s="28" t="s">
        <v>1515</v>
      </c>
      <c r="E402" s="69">
        <v>4.38</v>
      </c>
      <c r="F402" s="29" t="s">
        <v>1516</v>
      </c>
      <c r="G402" s="26">
        <v>45666.0</v>
      </c>
      <c r="H402" s="70">
        <f t="shared" si="1"/>
        <v>9</v>
      </c>
      <c r="I402" s="70">
        <f t="shared" si="2"/>
        <v>1</v>
      </c>
      <c r="J402" s="70">
        <f t="shared" si="3"/>
        <v>2025</v>
      </c>
      <c r="K402" s="70" t="str">
        <f t="shared" si="4"/>
        <v>01/2025</v>
      </c>
    </row>
    <row r="403" hidden="1">
      <c r="A403" s="26">
        <v>45667.0</v>
      </c>
      <c r="B403" s="28" t="s">
        <v>1523</v>
      </c>
      <c r="C403" s="28" t="s">
        <v>27</v>
      </c>
      <c r="D403" s="28" t="s">
        <v>1524</v>
      </c>
      <c r="E403" s="72">
        <v>1616.02</v>
      </c>
      <c r="F403" s="29" t="s">
        <v>1513</v>
      </c>
      <c r="G403" s="26">
        <v>45667.0</v>
      </c>
      <c r="H403" s="70">
        <f t="shared" si="1"/>
        <v>10</v>
      </c>
      <c r="I403" s="70">
        <f t="shared" si="2"/>
        <v>1</v>
      </c>
      <c r="J403" s="70">
        <f t="shared" si="3"/>
        <v>2025</v>
      </c>
      <c r="K403" s="70" t="str">
        <f t="shared" si="4"/>
        <v>01/2025</v>
      </c>
    </row>
    <row r="404" hidden="1">
      <c r="A404" s="26">
        <v>45667.0</v>
      </c>
      <c r="B404" s="28" t="s">
        <v>1511</v>
      </c>
      <c r="C404" s="29" t="s">
        <v>27</v>
      </c>
      <c r="D404" s="28" t="s">
        <v>1512</v>
      </c>
      <c r="E404" s="71">
        <v>1007.49</v>
      </c>
      <c r="F404" s="29" t="s">
        <v>1513</v>
      </c>
      <c r="G404" s="26">
        <v>45667.0</v>
      </c>
      <c r="H404" s="70">
        <f t="shared" si="1"/>
        <v>10</v>
      </c>
      <c r="I404" s="70">
        <f t="shared" si="2"/>
        <v>1</v>
      </c>
      <c r="J404" s="70">
        <f t="shared" si="3"/>
        <v>2025</v>
      </c>
      <c r="K404" s="70" t="str">
        <f t="shared" si="4"/>
        <v>01/2025</v>
      </c>
    </row>
    <row r="405" hidden="1">
      <c r="A405" s="26">
        <v>45667.0</v>
      </c>
      <c r="B405" s="28" t="s">
        <v>1514</v>
      </c>
      <c r="C405" s="28" t="s">
        <v>37</v>
      </c>
      <c r="D405" s="28" t="s">
        <v>1515</v>
      </c>
      <c r="E405" s="71">
        <v>974.54</v>
      </c>
      <c r="F405" s="29" t="s">
        <v>1516</v>
      </c>
      <c r="G405" s="26">
        <v>45667.0</v>
      </c>
      <c r="H405" s="70">
        <f t="shared" si="1"/>
        <v>10</v>
      </c>
      <c r="I405" s="70">
        <f t="shared" si="2"/>
        <v>1</v>
      </c>
      <c r="J405" s="70">
        <f t="shared" si="3"/>
        <v>2025</v>
      </c>
      <c r="K405" s="70" t="str">
        <f t="shared" si="4"/>
        <v>01/2025</v>
      </c>
    </row>
    <row r="406" hidden="1">
      <c r="A406" s="26">
        <v>45668.0</v>
      </c>
      <c r="B406" s="28" t="s">
        <v>1511</v>
      </c>
      <c r="C406" s="29" t="s">
        <v>27</v>
      </c>
      <c r="D406" s="28" t="s">
        <v>1512</v>
      </c>
      <c r="E406" s="69">
        <v>863.67</v>
      </c>
      <c r="F406" s="29" t="s">
        <v>1513</v>
      </c>
      <c r="G406" s="26">
        <v>45668.0</v>
      </c>
      <c r="H406" s="70">
        <f t="shared" si="1"/>
        <v>11</v>
      </c>
      <c r="I406" s="70">
        <f t="shared" si="2"/>
        <v>1</v>
      </c>
      <c r="J406" s="70">
        <f t="shared" si="3"/>
        <v>2025</v>
      </c>
      <c r="K406" s="70" t="str">
        <f t="shared" si="4"/>
        <v>01/2025</v>
      </c>
    </row>
    <row r="407" hidden="1">
      <c r="A407" s="26">
        <v>45668.0</v>
      </c>
      <c r="B407" s="28" t="s">
        <v>1514</v>
      </c>
      <c r="C407" s="28" t="s">
        <v>37</v>
      </c>
      <c r="D407" s="28" t="s">
        <v>1515</v>
      </c>
      <c r="E407" s="71">
        <v>1326.77</v>
      </c>
      <c r="F407" s="29" t="s">
        <v>1516</v>
      </c>
      <c r="G407" s="26">
        <v>45668.0</v>
      </c>
      <c r="H407" s="70">
        <f t="shared" si="1"/>
        <v>11</v>
      </c>
      <c r="I407" s="70">
        <f t="shared" si="2"/>
        <v>1</v>
      </c>
      <c r="J407" s="70">
        <f t="shared" si="3"/>
        <v>2025</v>
      </c>
      <c r="K407" s="70" t="str">
        <f t="shared" si="4"/>
        <v>01/2025</v>
      </c>
    </row>
    <row r="408" hidden="1">
      <c r="A408" s="26">
        <v>45669.0</v>
      </c>
      <c r="B408" s="28" t="s">
        <v>1511</v>
      </c>
      <c r="C408" s="29" t="s">
        <v>27</v>
      </c>
      <c r="D408" s="28" t="s">
        <v>1512</v>
      </c>
      <c r="E408" s="69">
        <v>1335.2</v>
      </c>
      <c r="F408" s="29" t="s">
        <v>1513</v>
      </c>
      <c r="G408" s="26">
        <v>45669.0</v>
      </c>
      <c r="H408" s="70">
        <f t="shared" si="1"/>
        <v>12</v>
      </c>
      <c r="I408" s="70">
        <f t="shared" si="2"/>
        <v>1</v>
      </c>
      <c r="J408" s="70">
        <f t="shared" si="3"/>
        <v>2025</v>
      </c>
      <c r="K408" s="70" t="str">
        <f t="shared" si="4"/>
        <v>01/2025</v>
      </c>
    </row>
    <row r="409" hidden="1">
      <c r="A409" s="26">
        <v>45669.0</v>
      </c>
      <c r="B409" s="28" t="s">
        <v>1514</v>
      </c>
      <c r="C409" s="28" t="s">
        <v>37</v>
      </c>
      <c r="D409" s="28" t="s">
        <v>1515</v>
      </c>
      <c r="E409" s="71">
        <v>662.06</v>
      </c>
      <c r="F409" s="29" t="s">
        <v>1516</v>
      </c>
      <c r="G409" s="26">
        <v>45669.0</v>
      </c>
      <c r="H409" s="70">
        <f t="shared" si="1"/>
        <v>12</v>
      </c>
      <c r="I409" s="70">
        <f t="shared" si="2"/>
        <v>1</v>
      </c>
      <c r="J409" s="70">
        <f t="shared" si="3"/>
        <v>2025</v>
      </c>
      <c r="K409" s="70" t="str">
        <f t="shared" si="4"/>
        <v>01/2025</v>
      </c>
    </row>
    <row r="410" hidden="1">
      <c r="A410" s="26">
        <v>45670.0</v>
      </c>
      <c r="B410" s="28" t="s">
        <v>1523</v>
      </c>
      <c r="C410" s="28" t="s">
        <v>27</v>
      </c>
      <c r="D410" s="28" t="s">
        <v>1524</v>
      </c>
      <c r="E410" s="67">
        <v>3035.53</v>
      </c>
      <c r="F410" s="29" t="s">
        <v>1513</v>
      </c>
      <c r="G410" s="26">
        <v>45670.0</v>
      </c>
      <c r="H410" s="70">
        <f t="shared" si="1"/>
        <v>13</v>
      </c>
      <c r="I410" s="70">
        <f t="shared" si="2"/>
        <v>1</v>
      </c>
      <c r="J410" s="70">
        <f t="shared" si="3"/>
        <v>2025</v>
      </c>
      <c r="K410" s="70" t="str">
        <f t="shared" si="4"/>
        <v>01/2025</v>
      </c>
    </row>
    <row r="411" hidden="1">
      <c r="A411" s="26">
        <v>45670.0</v>
      </c>
      <c r="B411" s="28" t="s">
        <v>1511</v>
      </c>
      <c r="C411" s="28" t="s">
        <v>66</v>
      </c>
      <c r="D411" s="28" t="s">
        <v>1512</v>
      </c>
      <c r="E411" s="69">
        <v>583.22</v>
      </c>
      <c r="F411" s="29" t="s">
        <v>1516</v>
      </c>
      <c r="G411" s="26">
        <v>45670.0</v>
      </c>
      <c r="H411" s="70">
        <f t="shared" si="1"/>
        <v>13</v>
      </c>
      <c r="I411" s="70">
        <f t="shared" si="2"/>
        <v>1</v>
      </c>
      <c r="J411" s="70">
        <f t="shared" si="3"/>
        <v>2025</v>
      </c>
      <c r="K411" s="70" t="str">
        <f t="shared" si="4"/>
        <v>01/2025</v>
      </c>
    </row>
    <row r="412" hidden="1">
      <c r="A412" s="26">
        <v>45670.0</v>
      </c>
      <c r="B412" s="28" t="s">
        <v>1514</v>
      </c>
      <c r="C412" s="28" t="s">
        <v>37</v>
      </c>
      <c r="D412" s="28" t="s">
        <v>1515</v>
      </c>
      <c r="E412" s="71">
        <v>1607.17</v>
      </c>
      <c r="F412" s="29" t="s">
        <v>1516</v>
      </c>
      <c r="G412" s="26">
        <v>45670.0</v>
      </c>
      <c r="H412" s="70">
        <f t="shared" si="1"/>
        <v>13</v>
      </c>
      <c r="I412" s="70">
        <f t="shared" si="2"/>
        <v>1</v>
      </c>
      <c r="J412" s="70">
        <f t="shared" si="3"/>
        <v>2025</v>
      </c>
      <c r="K412" s="70" t="str">
        <f t="shared" si="4"/>
        <v>01/2025</v>
      </c>
    </row>
    <row r="413" hidden="1">
      <c r="A413" s="26">
        <v>45671.0</v>
      </c>
      <c r="B413" s="28" t="s">
        <v>1511</v>
      </c>
      <c r="C413" s="29" t="s">
        <v>27</v>
      </c>
      <c r="D413" s="28" t="s">
        <v>1512</v>
      </c>
      <c r="E413" s="69">
        <v>490.65</v>
      </c>
      <c r="F413" s="29" t="s">
        <v>1513</v>
      </c>
      <c r="G413" s="26">
        <v>45671.0</v>
      </c>
      <c r="H413" s="70">
        <f t="shared" si="1"/>
        <v>14</v>
      </c>
      <c r="I413" s="70">
        <f t="shared" si="2"/>
        <v>1</v>
      </c>
      <c r="J413" s="70">
        <f t="shared" si="3"/>
        <v>2025</v>
      </c>
      <c r="K413" s="70" t="str">
        <f t="shared" si="4"/>
        <v>01/2025</v>
      </c>
    </row>
    <row r="414" hidden="1">
      <c r="A414" s="26">
        <v>45671.0</v>
      </c>
      <c r="B414" s="28" t="s">
        <v>1514</v>
      </c>
      <c r="C414" s="28" t="s">
        <v>37</v>
      </c>
      <c r="D414" s="28" t="s">
        <v>1515</v>
      </c>
      <c r="E414" s="71">
        <v>436.87</v>
      </c>
      <c r="F414" s="29" t="s">
        <v>1516</v>
      </c>
      <c r="G414" s="26">
        <v>45671.0</v>
      </c>
      <c r="H414" s="70">
        <f t="shared" si="1"/>
        <v>14</v>
      </c>
      <c r="I414" s="70">
        <f t="shared" si="2"/>
        <v>1</v>
      </c>
      <c r="J414" s="70">
        <f t="shared" si="3"/>
        <v>2025</v>
      </c>
      <c r="K414" s="70" t="str">
        <f t="shared" si="4"/>
        <v>01/2025</v>
      </c>
    </row>
    <row r="415" hidden="1">
      <c r="A415" s="27">
        <v>45671.0</v>
      </c>
      <c r="B415" s="28" t="s">
        <v>1523</v>
      </c>
      <c r="C415" s="28" t="s">
        <v>27</v>
      </c>
      <c r="D415" s="28" t="s">
        <v>1524</v>
      </c>
      <c r="E415" s="67">
        <v>667.11</v>
      </c>
      <c r="F415" s="29" t="s">
        <v>1513</v>
      </c>
      <c r="G415" s="27">
        <v>45671.0</v>
      </c>
      <c r="H415" s="70">
        <f t="shared" si="1"/>
        <v>14</v>
      </c>
      <c r="I415" s="70">
        <f t="shared" si="2"/>
        <v>1</v>
      </c>
      <c r="J415" s="70">
        <f t="shared" si="3"/>
        <v>2025</v>
      </c>
      <c r="K415" s="70" t="str">
        <f t="shared" si="4"/>
        <v>01/2025</v>
      </c>
    </row>
    <row r="416" hidden="1">
      <c r="A416" s="26">
        <v>45672.0</v>
      </c>
      <c r="B416" s="28" t="s">
        <v>1511</v>
      </c>
      <c r="C416" s="29" t="s">
        <v>27</v>
      </c>
      <c r="D416" s="28" t="s">
        <v>1512</v>
      </c>
      <c r="E416" s="69">
        <v>1256.58</v>
      </c>
      <c r="F416" s="29" t="s">
        <v>1513</v>
      </c>
      <c r="G416" s="26">
        <v>45672.0</v>
      </c>
      <c r="H416" s="70">
        <f t="shared" si="1"/>
        <v>15</v>
      </c>
      <c r="I416" s="70">
        <f t="shared" si="2"/>
        <v>1</v>
      </c>
      <c r="J416" s="70">
        <f t="shared" si="3"/>
        <v>2025</v>
      </c>
      <c r="K416" s="70" t="str">
        <f t="shared" si="4"/>
        <v>01/2025</v>
      </c>
    </row>
    <row r="417" hidden="1">
      <c r="A417" s="26">
        <v>45672.0</v>
      </c>
      <c r="B417" s="28" t="s">
        <v>1514</v>
      </c>
      <c r="C417" s="28" t="s">
        <v>37</v>
      </c>
      <c r="D417" s="28" t="s">
        <v>1515</v>
      </c>
      <c r="E417" s="71">
        <v>1418.01</v>
      </c>
      <c r="F417" s="29" t="s">
        <v>1516</v>
      </c>
      <c r="G417" s="26">
        <v>45672.0</v>
      </c>
      <c r="H417" s="70">
        <f t="shared" si="1"/>
        <v>15</v>
      </c>
      <c r="I417" s="70">
        <f t="shared" si="2"/>
        <v>1</v>
      </c>
      <c r="J417" s="70">
        <f t="shared" si="3"/>
        <v>2025</v>
      </c>
      <c r="K417" s="70" t="str">
        <f t="shared" si="4"/>
        <v>01/2025</v>
      </c>
    </row>
    <row r="418" hidden="1">
      <c r="A418" s="26">
        <v>45673.0</v>
      </c>
      <c r="B418" s="28" t="s">
        <v>1511</v>
      </c>
      <c r="C418" s="29" t="s">
        <v>27</v>
      </c>
      <c r="D418" s="28" t="s">
        <v>1512</v>
      </c>
      <c r="E418" s="69">
        <v>1381.72</v>
      </c>
      <c r="F418" s="29" t="s">
        <v>1513</v>
      </c>
      <c r="G418" s="26">
        <v>45673.0</v>
      </c>
      <c r="H418" s="70">
        <f t="shared" si="1"/>
        <v>16</v>
      </c>
      <c r="I418" s="70">
        <f t="shared" si="2"/>
        <v>1</v>
      </c>
      <c r="J418" s="70">
        <f t="shared" si="3"/>
        <v>2025</v>
      </c>
      <c r="K418" s="70" t="str">
        <f t="shared" si="4"/>
        <v>01/2025</v>
      </c>
    </row>
    <row r="419" hidden="1">
      <c r="A419" s="26">
        <v>45673.0</v>
      </c>
      <c r="B419" s="28" t="s">
        <v>1514</v>
      </c>
      <c r="C419" s="28" t="s">
        <v>37</v>
      </c>
      <c r="D419" s="28" t="s">
        <v>1515</v>
      </c>
      <c r="E419" s="71">
        <v>853.59</v>
      </c>
      <c r="F419" s="29" t="s">
        <v>1516</v>
      </c>
      <c r="G419" s="26">
        <v>45673.0</v>
      </c>
      <c r="H419" s="70">
        <f t="shared" si="1"/>
        <v>16</v>
      </c>
      <c r="I419" s="70">
        <f t="shared" si="2"/>
        <v>1</v>
      </c>
      <c r="J419" s="70">
        <f t="shared" si="3"/>
        <v>2025</v>
      </c>
      <c r="K419" s="70" t="str">
        <f t="shared" si="4"/>
        <v>01/2025</v>
      </c>
    </row>
    <row r="420" hidden="1">
      <c r="A420" s="26">
        <v>45674.0</v>
      </c>
      <c r="B420" s="28" t="s">
        <v>1511</v>
      </c>
      <c r="C420" s="29" t="s">
        <v>27</v>
      </c>
      <c r="D420" s="28" t="s">
        <v>1512</v>
      </c>
      <c r="E420" s="69">
        <v>1379.67</v>
      </c>
      <c r="F420" s="29" t="s">
        <v>1513</v>
      </c>
      <c r="G420" s="26">
        <v>45674.0</v>
      </c>
      <c r="H420" s="70">
        <f t="shared" si="1"/>
        <v>17</v>
      </c>
      <c r="I420" s="70">
        <f t="shared" si="2"/>
        <v>1</v>
      </c>
      <c r="J420" s="70">
        <f t="shared" si="3"/>
        <v>2025</v>
      </c>
      <c r="K420" s="70" t="str">
        <f t="shared" si="4"/>
        <v>01/2025</v>
      </c>
    </row>
    <row r="421" hidden="1">
      <c r="A421" s="26">
        <v>45674.0</v>
      </c>
      <c r="B421" s="28" t="s">
        <v>1514</v>
      </c>
      <c r="C421" s="28" t="s">
        <v>37</v>
      </c>
      <c r="D421" s="28" t="s">
        <v>1515</v>
      </c>
      <c r="E421" s="71">
        <v>1136.61</v>
      </c>
      <c r="F421" s="29" t="s">
        <v>1516</v>
      </c>
      <c r="G421" s="26">
        <v>45674.0</v>
      </c>
      <c r="H421" s="70">
        <f t="shared" si="1"/>
        <v>17</v>
      </c>
      <c r="I421" s="70">
        <f t="shared" si="2"/>
        <v>1</v>
      </c>
      <c r="J421" s="70">
        <f t="shared" si="3"/>
        <v>2025</v>
      </c>
      <c r="K421" s="70" t="str">
        <f t="shared" si="4"/>
        <v>01/2025</v>
      </c>
    </row>
    <row r="422" hidden="1">
      <c r="A422" s="26">
        <v>45675.0</v>
      </c>
      <c r="B422" s="28" t="s">
        <v>1511</v>
      </c>
      <c r="C422" s="29" t="s">
        <v>27</v>
      </c>
      <c r="D422" s="28" t="s">
        <v>1512</v>
      </c>
      <c r="E422" s="71">
        <v>1038.03</v>
      </c>
      <c r="F422" s="29" t="s">
        <v>1513</v>
      </c>
      <c r="G422" s="26">
        <v>45675.0</v>
      </c>
      <c r="H422" s="70">
        <f t="shared" si="1"/>
        <v>18</v>
      </c>
      <c r="I422" s="70">
        <f t="shared" si="2"/>
        <v>1</v>
      </c>
      <c r="J422" s="70">
        <f t="shared" si="3"/>
        <v>2025</v>
      </c>
      <c r="K422" s="70" t="str">
        <f t="shared" si="4"/>
        <v>01/2025</v>
      </c>
    </row>
    <row r="423" hidden="1">
      <c r="A423" s="26">
        <v>45675.0</v>
      </c>
      <c r="B423" s="28" t="s">
        <v>1514</v>
      </c>
      <c r="C423" s="28" t="s">
        <v>37</v>
      </c>
      <c r="D423" s="28" t="s">
        <v>1515</v>
      </c>
      <c r="E423" s="71">
        <v>947.32</v>
      </c>
      <c r="F423" s="29" t="s">
        <v>1516</v>
      </c>
      <c r="G423" s="26">
        <v>45675.0</v>
      </c>
      <c r="H423" s="70">
        <f t="shared" si="1"/>
        <v>18</v>
      </c>
      <c r="I423" s="70">
        <f t="shared" si="2"/>
        <v>1</v>
      </c>
      <c r="J423" s="70">
        <f t="shared" si="3"/>
        <v>2025</v>
      </c>
      <c r="K423" s="70" t="str">
        <f t="shared" si="4"/>
        <v>01/2025</v>
      </c>
    </row>
    <row r="424" hidden="1">
      <c r="A424" s="26">
        <v>45676.0</v>
      </c>
      <c r="B424" s="28" t="s">
        <v>1511</v>
      </c>
      <c r="C424" s="29" t="s">
        <v>27</v>
      </c>
      <c r="D424" s="28" t="s">
        <v>1512</v>
      </c>
      <c r="E424" s="69">
        <v>779.03</v>
      </c>
      <c r="F424" s="29" t="s">
        <v>1513</v>
      </c>
      <c r="G424" s="26">
        <v>45676.0</v>
      </c>
      <c r="H424" s="70">
        <f t="shared" si="1"/>
        <v>19</v>
      </c>
      <c r="I424" s="70">
        <f t="shared" si="2"/>
        <v>1</v>
      </c>
      <c r="J424" s="70">
        <f t="shared" si="3"/>
        <v>2025</v>
      </c>
      <c r="K424" s="70" t="str">
        <f t="shared" si="4"/>
        <v>01/2025</v>
      </c>
    </row>
    <row r="425" hidden="1">
      <c r="A425" s="26">
        <v>45676.0</v>
      </c>
      <c r="B425" s="28" t="s">
        <v>1514</v>
      </c>
      <c r="C425" s="28" t="s">
        <v>37</v>
      </c>
      <c r="D425" s="28" t="s">
        <v>1515</v>
      </c>
      <c r="E425" s="69">
        <v>963.19</v>
      </c>
      <c r="F425" s="29" t="s">
        <v>1516</v>
      </c>
      <c r="G425" s="26">
        <v>45676.0</v>
      </c>
      <c r="H425" s="70">
        <f t="shared" si="1"/>
        <v>19</v>
      </c>
      <c r="I425" s="70">
        <f t="shared" si="2"/>
        <v>1</v>
      </c>
      <c r="J425" s="70">
        <f t="shared" si="3"/>
        <v>2025</v>
      </c>
      <c r="K425" s="70" t="str">
        <f t="shared" si="4"/>
        <v>01/2025</v>
      </c>
    </row>
    <row r="426" hidden="1">
      <c r="A426" s="26">
        <v>45677.0</v>
      </c>
      <c r="B426" s="28" t="s">
        <v>1511</v>
      </c>
      <c r="C426" s="29" t="s">
        <v>27</v>
      </c>
      <c r="D426" s="28" t="s">
        <v>1512</v>
      </c>
      <c r="E426" s="69">
        <v>456.33</v>
      </c>
      <c r="F426" s="29" t="s">
        <v>1513</v>
      </c>
      <c r="G426" s="26">
        <v>45677.0</v>
      </c>
      <c r="H426" s="70">
        <f t="shared" si="1"/>
        <v>20</v>
      </c>
      <c r="I426" s="70">
        <f t="shared" si="2"/>
        <v>1</v>
      </c>
      <c r="J426" s="70">
        <f t="shared" si="3"/>
        <v>2025</v>
      </c>
      <c r="K426" s="70" t="str">
        <f t="shared" si="4"/>
        <v>01/2025</v>
      </c>
    </row>
    <row r="427" hidden="1">
      <c r="A427" s="26">
        <v>45677.0</v>
      </c>
      <c r="B427" s="28" t="s">
        <v>1514</v>
      </c>
      <c r="C427" s="28" t="s">
        <v>37</v>
      </c>
      <c r="D427" s="28" t="s">
        <v>1515</v>
      </c>
      <c r="E427" s="69">
        <v>567.96</v>
      </c>
      <c r="F427" s="29" t="s">
        <v>1516</v>
      </c>
      <c r="G427" s="26">
        <v>45677.0</v>
      </c>
      <c r="H427" s="70">
        <f t="shared" si="1"/>
        <v>20</v>
      </c>
      <c r="I427" s="70">
        <f t="shared" si="2"/>
        <v>1</v>
      </c>
      <c r="J427" s="70">
        <f t="shared" si="3"/>
        <v>2025</v>
      </c>
      <c r="K427" s="70" t="str">
        <f t="shared" si="4"/>
        <v>01/2025</v>
      </c>
    </row>
    <row r="428" hidden="1">
      <c r="A428" s="26">
        <v>45678.0</v>
      </c>
      <c r="B428" s="28" t="s">
        <v>1511</v>
      </c>
      <c r="C428" s="29" t="s">
        <v>27</v>
      </c>
      <c r="D428" s="28" t="s">
        <v>1512</v>
      </c>
      <c r="E428" s="69">
        <v>2278.24</v>
      </c>
      <c r="F428" s="29" t="s">
        <v>1513</v>
      </c>
      <c r="G428" s="26">
        <v>45678.0</v>
      </c>
      <c r="H428" s="70">
        <f t="shared" si="1"/>
        <v>21</v>
      </c>
      <c r="I428" s="70">
        <f t="shared" si="2"/>
        <v>1</v>
      </c>
      <c r="J428" s="70">
        <f t="shared" si="3"/>
        <v>2025</v>
      </c>
      <c r="K428" s="70" t="str">
        <f t="shared" si="4"/>
        <v>01/2025</v>
      </c>
    </row>
    <row r="429" hidden="1">
      <c r="A429" s="26">
        <v>45678.0</v>
      </c>
      <c r="B429" s="28" t="s">
        <v>1514</v>
      </c>
      <c r="C429" s="28" t="s">
        <v>37</v>
      </c>
      <c r="D429" s="28" t="s">
        <v>1515</v>
      </c>
      <c r="E429" s="69">
        <v>2937.39</v>
      </c>
      <c r="F429" s="29" t="s">
        <v>1516</v>
      </c>
      <c r="G429" s="26">
        <v>45678.0</v>
      </c>
      <c r="H429" s="70">
        <f t="shared" si="1"/>
        <v>21</v>
      </c>
      <c r="I429" s="70">
        <f t="shared" si="2"/>
        <v>1</v>
      </c>
      <c r="J429" s="70">
        <f t="shared" si="3"/>
        <v>2025</v>
      </c>
      <c r="K429" s="70" t="str">
        <f t="shared" si="4"/>
        <v>01/2025</v>
      </c>
    </row>
    <row r="430" hidden="1">
      <c r="A430" s="26">
        <v>45679.0</v>
      </c>
      <c r="B430" s="28" t="s">
        <v>1521</v>
      </c>
      <c r="C430" s="28" t="s">
        <v>27</v>
      </c>
      <c r="D430" s="28" t="s">
        <v>1522</v>
      </c>
      <c r="E430" s="69">
        <v>664.15</v>
      </c>
      <c r="F430" s="29" t="s">
        <v>1513</v>
      </c>
      <c r="G430" s="26">
        <v>45679.0</v>
      </c>
      <c r="H430" s="70">
        <f t="shared" si="1"/>
        <v>22</v>
      </c>
      <c r="I430" s="70">
        <f t="shared" si="2"/>
        <v>1</v>
      </c>
      <c r="J430" s="70">
        <f t="shared" si="3"/>
        <v>2025</v>
      </c>
      <c r="K430" s="70" t="str">
        <f t="shared" si="4"/>
        <v>01/2025</v>
      </c>
    </row>
    <row r="431" hidden="1">
      <c r="A431" s="26">
        <v>45679.0</v>
      </c>
      <c r="B431" s="28" t="s">
        <v>1511</v>
      </c>
      <c r="C431" s="29" t="s">
        <v>27</v>
      </c>
      <c r="D431" s="28" t="s">
        <v>1512</v>
      </c>
      <c r="E431" s="69">
        <v>247.25</v>
      </c>
      <c r="F431" s="29" t="s">
        <v>1513</v>
      </c>
      <c r="G431" s="26">
        <v>45679.0</v>
      </c>
      <c r="H431" s="70">
        <f t="shared" si="1"/>
        <v>22</v>
      </c>
      <c r="I431" s="70">
        <f t="shared" si="2"/>
        <v>1</v>
      </c>
      <c r="J431" s="70">
        <f t="shared" si="3"/>
        <v>2025</v>
      </c>
      <c r="K431" s="70" t="str">
        <f t="shared" si="4"/>
        <v>01/2025</v>
      </c>
    </row>
    <row r="432" hidden="1">
      <c r="A432" s="26">
        <v>45679.0</v>
      </c>
      <c r="B432" s="28" t="s">
        <v>1514</v>
      </c>
      <c r="C432" s="28" t="s">
        <v>37</v>
      </c>
      <c r="D432" s="28" t="s">
        <v>1515</v>
      </c>
      <c r="E432" s="69">
        <v>509.94</v>
      </c>
      <c r="F432" s="29" t="s">
        <v>1516</v>
      </c>
      <c r="G432" s="26">
        <v>45679.0</v>
      </c>
      <c r="H432" s="70">
        <f t="shared" si="1"/>
        <v>22</v>
      </c>
      <c r="I432" s="70">
        <f t="shared" si="2"/>
        <v>1</v>
      </c>
      <c r="J432" s="70">
        <f t="shared" si="3"/>
        <v>2025</v>
      </c>
      <c r="K432" s="70" t="str">
        <f t="shared" si="4"/>
        <v>01/2025</v>
      </c>
    </row>
    <row r="433" hidden="1">
      <c r="A433" s="26">
        <v>45680.0</v>
      </c>
      <c r="B433" s="28" t="s">
        <v>1511</v>
      </c>
      <c r="C433" s="29" t="s">
        <v>27</v>
      </c>
      <c r="D433" s="28" t="s">
        <v>1512</v>
      </c>
      <c r="E433" s="69">
        <v>1460.91</v>
      </c>
      <c r="F433" s="29" t="s">
        <v>1513</v>
      </c>
      <c r="G433" s="26">
        <v>45680.0</v>
      </c>
      <c r="H433" s="70">
        <f t="shared" si="1"/>
        <v>23</v>
      </c>
      <c r="I433" s="70">
        <f t="shared" si="2"/>
        <v>1</v>
      </c>
      <c r="J433" s="70">
        <f t="shared" si="3"/>
        <v>2025</v>
      </c>
      <c r="K433" s="70" t="str">
        <f t="shared" si="4"/>
        <v>01/2025</v>
      </c>
    </row>
    <row r="434" hidden="1">
      <c r="A434" s="26">
        <v>45680.0</v>
      </c>
      <c r="B434" s="28" t="s">
        <v>1514</v>
      </c>
      <c r="C434" s="28" t="s">
        <v>37</v>
      </c>
      <c r="D434" s="28" t="s">
        <v>1515</v>
      </c>
      <c r="E434" s="69">
        <v>1663.82</v>
      </c>
      <c r="F434" s="29" t="s">
        <v>1516</v>
      </c>
      <c r="G434" s="26">
        <v>45680.0</v>
      </c>
      <c r="H434" s="70">
        <f t="shared" si="1"/>
        <v>23</v>
      </c>
      <c r="I434" s="70">
        <f t="shared" si="2"/>
        <v>1</v>
      </c>
      <c r="J434" s="70">
        <f t="shared" si="3"/>
        <v>2025</v>
      </c>
      <c r="K434" s="70" t="str">
        <f t="shared" si="4"/>
        <v>01/2025</v>
      </c>
    </row>
    <row r="435" hidden="1">
      <c r="A435" s="26">
        <v>45681.0</v>
      </c>
      <c r="B435" s="28" t="s">
        <v>1523</v>
      </c>
      <c r="C435" s="28" t="s">
        <v>27</v>
      </c>
      <c r="D435" s="28" t="s">
        <v>1524</v>
      </c>
      <c r="E435" s="71">
        <v>4024.04</v>
      </c>
      <c r="F435" s="29" t="s">
        <v>1513</v>
      </c>
      <c r="G435" s="26">
        <v>45679.0</v>
      </c>
      <c r="H435" s="70">
        <f t="shared" si="1"/>
        <v>24</v>
      </c>
      <c r="I435" s="70">
        <f t="shared" si="2"/>
        <v>1</v>
      </c>
      <c r="J435" s="70">
        <f t="shared" si="3"/>
        <v>2025</v>
      </c>
      <c r="K435" s="70" t="str">
        <f t="shared" si="4"/>
        <v>01/2025</v>
      </c>
    </row>
    <row r="436" hidden="1">
      <c r="A436" s="26">
        <v>45681.0</v>
      </c>
      <c r="B436" s="28" t="s">
        <v>1511</v>
      </c>
      <c r="C436" s="29" t="s">
        <v>27</v>
      </c>
      <c r="D436" s="28" t="s">
        <v>1512</v>
      </c>
      <c r="E436" s="69">
        <v>717.48</v>
      </c>
      <c r="F436" s="29" t="s">
        <v>1513</v>
      </c>
      <c r="G436" s="26">
        <v>45681.0</v>
      </c>
      <c r="H436" s="70">
        <f t="shared" si="1"/>
        <v>24</v>
      </c>
      <c r="I436" s="70">
        <f t="shared" si="2"/>
        <v>1</v>
      </c>
      <c r="J436" s="70">
        <f t="shared" si="3"/>
        <v>2025</v>
      </c>
      <c r="K436" s="70" t="str">
        <f t="shared" si="4"/>
        <v>01/2025</v>
      </c>
    </row>
    <row r="437" hidden="1">
      <c r="A437" s="26">
        <v>45681.0</v>
      </c>
      <c r="B437" s="28" t="s">
        <v>1514</v>
      </c>
      <c r="C437" s="28" t="s">
        <v>37</v>
      </c>
      <c r="D437" s="28" t="s">
        <v>1515</v>
      </c>
      <c r="E437" s="69">
        <v>1383.48</v>
      </c>
      <c r="F437" s="29" t="s">
        <v>1516</v>
      </c>
      <c r="G437" s="26">
        <v>45681.0</v>
      </c>
      <c r="H437" s="70">
        <f t="shared" si="1"/>
        <v>24</v>
      </c>
      <c r="I437" s="70">
        <f t="shared" si="2"/>
        <v>1</v>
      </c>
      <c r="J437" s="70">
        <f t="shared" si="3"/>
        <v>2025</v>
      </c>
      <c r="K437" s="70" t="str">
        <f t="shared" si="4"/>
        <v>01/2025</v>
      </c>
    </row>
    <row r="438" hidden="1">
      <c r="A438" s="26">
        <v>45682.0</v>
      </c>
      <c r="B438" s="28" t="s">
        <v>1511</v>
      </c>
      <c r="C438" s="29" t="s">
        <v>27</v>
      </c>
      <c r="D438" s="28" t="s">
        <v>1512</v>
      </c>
      <c r="E438" s="69">
        <v>1325.36</v>
      </c>
      <c r="F438" s="29" t="s">
        <v>1513</v>
      </c>
      <c r="G438" s="26">
        <v>45682.0</v>
      </c>
      <c r="H438" s="70">
        <f t="shared" si="1"/>
        <v>25</v>
      </c>
      <c r="I438" s="70">
        <f t="shared" si="2"/>
        <v>1</v>
      </c>
      <c r="J438" s="70">
        <f t="shared" si="3"/>
        <v>2025</v>
      </c>
      <c r="K438" s="70" t="str">
        <f t="shared" si="4"/>
        <v>01/2025</v>
      </c>
    </row>
    <row r="439" hidden="1">
      <c r="A439" s="26">
        <v>45682.0</v>
      </c>
      <c r="B439" s="28" t="s">
        <v>1514</v>
      </c>
      <c r="C439" s="28" t="s">
        <v>37</v>
      </c>
      <c r="D439" s="28" t="s">
        <v>1515</v>
      </c>
      <c r="E439" s="69">
        <v>1662.36</v>
      </c>
      <c r="F439" s="29" t="s">
        <v>1516</v>
      </c>
      <c r="G439" s="26">
        <v>45682.0</v>
      </c>
      <c r="H439" s="70">
        <f t="shared" si="1"/>
        <v>25</v>
      </c>
      <c r="I439" s="70">
        <f t="shared" si="2"/>
        <v>1</v>
      </c>
      <c r="J439" s="70">
        <f t="shared" si="3"/>
        <v>2025</v>
      </c>
      <c r="K439" s="70" t="str">
        <f t="shared" si="4"/>
        <v>01/2025</v>
      </c>
    </row>
    <row r="440" hidden="1">
      <c r="A440" s="26">
        <v>45683.0</v>
      </c>
      <c r="B440" s="28" t="s">
        <v>1511</v>
      </c>
      <c r="C440" s="29" t="s">
        <v>27</v>
      </c>
      <c r="D440" s="28" t="s">
        <v>1512</v>
      </c>
      <c r="E440" s="69">
        <v>1833.66</v>
      </c>
      <c r="F440" s="29" t="s">
        <v>1513</v>
      </c>
      <c r="G440" s="26">
        <v>45683.0</v>
      </c>
      <c r="H440" s="70">
        <f t="shared" si="1"/>
        <v>26</v>
      </c>
      <c r="I440" s="70">
        <f t="shared" si="2"/>
        <v>1</v>
      </c>
      <c r="J440" s="70">
        <f t="shared" si="3"/>
        <v>2025</v>
      </c>
      <c r="K440" s="70" t="str">
        <f t="shared" si="4"/>
        <v>01/2025</v>
      </c>
    </row>
    <row r="441" hidden="1">
      <c r="A441" s="26">
        <v>45683.0</v>
      </c>
      <c r="B441" s="28" t="s">
        <v>1514</v>
      </c>
      <c r="C441" s="28" t="s">
        <v>37</v>
      </c>
      <c r="D441" s="28" t="s">
        <v>1515</v>
      </c>
      <c r="E441" s="69">
        <v>1038.61</v>
      </c>
      <c r="F441" s="29" t="s">
        <v>1516</v>
      </c>
      <c r="G441" s="26">
        <v>45683.0</v>
      </c>
      <c r="H441" s="70">
        <f t="shared" si="1"/>
        <v>26</v>
      </c>
      <c r="I441" s="70">
        <f t="shared" si="2"/>
        <v>1</v>
      </c>
      <c r="J441" s="70">
        <f t="shared" si="3"/>
        <v>2025</v>
      </c>
      <c r="K441" s="70" t="str">
        <f t="shared" si="4"/>
        <v>01/2025</v>
      </c>
    </row>
    <row r="442" hidden="1">
      <c r="A442" s="26">
        <v>45684.0</v>
      </c>
      <c r="B442" s="28" t="s">
        <v>1523</v>
      </c>
      <c r="C442" s="28" t="s">
        <v>27</v>
      </c>
      <c r="D442" s="28" t="s">
        <v>1524</v>
      </c>
      <c r="E442" s="67">
        <v>10563.53</v>
      </c>
      <c r="F442" s="29" t="s">
        <v>1513</v>
      </c>
      <c r="G442" s="26">
        <v>45680.0</v>
      </c>
      <c r="H442" s="70">
        <f t="shared" si="1"/>
        <v>27</v>
      </c>
      <c r="I442" s="70">
        <f t="shared" si="2"/>
        <v>1</v>
      </c>
      <c r="J442" s="70">
        <f t="shared" si="3"/>
        <v>2025</v>
      </c>
      <c r="K442" s="70" t="str">
        <f t="shared" si="4"/>
        <v>01/2025</v>
      </c>
    </row>
    <row r="443" hidden="1">
      <c r="A443" s="26">
        <v>45684.0</v>
      </c>
      <c r="B443" s="28" t="s">
        <v>1511</v>
      </c>
      <c r="C443" s="29" t="s">
        <v>27</v>
      </c>
      <c r="D443" s="28" t="s">
        <v>1512</v>
      </c>
      <c r="E443" s="69">
        <v>1671.42</v>
      </c>
      <c r="F443" s="29" t="s">
        <v>1513</v>
      </c>
      <c r="G443" s="26">
        <v>45684.0</v>
      </c>
      <c r="H443" s="70">
        <f t="shared" si="1"/>
        <v>27</v>
      </c>
      <c r="I443" s="70">
        <f t="shared" si="2"/>
        <v>1</v>
      </c>
      <c r="J443" s="70">
        <f t="shared" si="3"/>
        <v>2025</v>
      </c>
      <c r="K443" s="70" t="str">
        <f t="shared" si="4"/>
        <v>01/2025</v>
      </c>
    </row>
    <row r="444" hidden="1">
      <c r="A444" s="26">
        <v>45684.0</v>
      </c>
      <c r="B444" s="28" t="s">
        <v>1514</v>
      </c>
      <c r="C444" s="28" t="s">
        <v>37</v>
      </c>
      <c r="D444" s="28" t="s">
        <v>1515</v>
      </c>
      <c r="E444" s="71">
        <v>2421.84</v>
      </c>
      <c r="F444" s="29" t="s">
        <v>1516</v>
      </c>
      <c r="G444" s="26">
        <v>45684.0</v>
      </c>
      <c r="H444" s="70">
        <f t="shared" si="1"/>
        <v>27</v>
      </c>
      <c r="I444" s="70">
        <f t="shared" si="2"/>
        <v>1</v>
      </c>
      <c r="J444" s="70">
        <f t="shared" si="3"/>
        <v>2025</v>
      </c>
      <c r="K444" s="70" t="str">
        <f t="shared" si="4"/>
        <v>01/2025</v>
      </c>
    </row>
    <row r="445" hidden="1">
      <c r="A445" s="26">
        <v>45685.0</v>
      </c>
      <c r="B445" s="28" t="s">
        <v>1511</v>
      </c>
      <c r="C445" s="29" t="s">
        <v>27</v>
      </c>
      <c r="D445" s="28" t="s">
        <v>1512</v>
      </c>
      <c r="E445" s="69">
        <v>141.58</v>
      </c>
      <c r="F445" s="29" t="s">
        <v>1513</v>
      </c>
      <c r="G445" s="26">
        <v>45685.0</v>
      </c>
      <c r="H445" s="70">
        <f t="shared" si="1"/>
        <v>28</v>
      </c>
      <c r="I445" s="70">
        <f t="shared" si="2"/>
        <v>1</v>
      </c>
      <c r="J445" s="70">
        <f t="shared" si="3"/>
        <v>2025</v>
      </c>
      <c r="K445" s="70" t="str">
        <f t="shared" si="4"/>
        <v>01/2025</v>
      </c>
    </row>
    <row r="446" hidden="1">
      <c r="A446" s="26">
        <v>45685.0</v>
      </c>
      <c r="B446" s="28" t="s">
        <v>1514</v>
      </c>
      <c r="C446" s="28" t="s">
        <v>37</v>
      </c>
      <c r="D446" s="28" t="s">
        <v>1515</v>
      </c>
      <c r="E446" s="71">
        <v>295.01</v>
      </c>
      <c r="F446" s="29" t="s">
        <v>1516</v>
      </c>
      <c r="G446" s="26">
        <v>45685.0</v>
      </c>
      <c r="H446" s="70">
        <f t="shared" si="1"/>
        <v>28</v>
      </c>
      <c r="I446" s="70">
        <f t="shared" si="2"/>
        <v>1</v>
      </c>
      <c r="J446" s="70">
        <f t="shared" si="3"/>
        <v>2025</v>
      </c>
      <c r="K446" s="70" t="str">
        <f t="shared" si="4"/>
        <v>01/2025</v>
      </c>
    </row>
    <row r="447" hidden="1">
      <c r="A447" s="26">
        <v>45686.0</v>
      </c>
      <c r="B447" s="28" t="s">
        <v>1521</v>
      </c>
      <c r="C447" s="28" t="s">
        <v>27</v>
      </c>
      <c r="D447" s="28" t="s">
        <v>1522</v>
      </c>
      <c r="E447" s="69">
        <v>572.1</v>
      </c>
      <c r="F447" s="29" t="s">
        <v>1513</v>
      </c>
      <c r="G447" s="26">
        <v>45686.0</v>
      </c>
      <c r="H447" s="70">
        <f t="shared" si="1"/>
        <v>29</v>
      </c>
      <c r="I447" s="70">
        <f t="shared" si="2"/>
        <v>1</v>
      </c>
      <c r="J447" s="70">
        <f t="shared" si="3"/>
        <v>2025</v>
      </c>
      <c r="K447" s="70" t="str">
        <f t="shared" si="4"/>
        <v>01/2025</v>
      </c>
    </row>
    <row r="448" hidden="1">
      <c r="A448" s="26">
        <v>45686.0</v>
      </c>
      <c r="B448" s="28" t="s">
        <v>1511</v>
      </c>
      <c r="C448" s="29" t="s">
        <v>27</v>
      </c>
      <c r="D448" s="28" t="s">
        <v>1512</v>
      </c>
      <c r="E448" s="69">
        <v>1053.89</v>
      </c>
      <c r="F448" s="29" t="s">
        <v>1513</v>
      </c>
      <c r="G448" s="26">
        <v>45686.0</v>
      </c>
      <c r="H448" s="70">
        <f t="shared" si="1"/>
        <v>29</v>
      </c>
      <c r="I448" s="70">
        <f t="shared" si="2"/>
        <v>1</v>
      </c>
      <c r="J448" s="70">
        <f t="shared" si="3"/>
        <v>2025</v>
      </c>
      <c r="K448" s="70" t="str">
        <f t="shared" si="4"/>
        <v>01/2025</v>
      </c>
    </row>
    <row r="449" hidden="1">
      <c r="A449" s="26">
        <v>45686.0</v>
      </c>
      <c r="B449" s="28" t="s">
        <v>1514</v>
      </c>
      <c r="C449" s="28" t="s">
        <v>37</v>
      </c>
      <c r="D449" s="28" t="s">
        <v>1515</v>
      </c>
      <c r="E449" s="71">
        <v>1224.73</v>
      </c>
      <c r="F449" s="29" t="s">
        <v>1516</v>
      </c>
      <c r="G449" s="26">
        <v>45686.0</v>
      </c>
      <c r="H449" s="70">
        <f t="shared" si="1"/>
        <v>29</v>
      </c>
      <c r="I449" s="70">
        <f t="shared" si="2"/>
        <v>1</v>
      </c>
      <c r="J449" s="70">
        <f t="shared" si="3"/>
        <v>2025</v>
      </c>
      <c r="K449" s="70" t="str">
        <f t="shared" si="4"/>
        <v>01/2025</v>
      </c>
    </row>
    <row r="450" hidden="1">
      <c r="A450" s="26">
        <v>45687.0</v>
      </c>
      <c r="B450" s="28" t="s">
        <v>1514</v>
      </c>
      <c r="C450" s="28" t="s">
        <v>37</v>
      </c>
      <c r="D450" s="28" t="s">
        <v>1515</v>
      </c>
      <c r="E450" s="71">
        <v>719.82</v>
      </c>
      <c r="F450" s="29" t="s">
        <v>1516</v>
      </c>
      <c r="G450" s="26">
        <v>45687.0</v>
      </c>
      <c r="H450" s="70">
        <f t="shared" si="1"/>
        <v>30</v>
      </c>
      <c r="I450" s="70">
        <f t="shared" si="2"/>
        <v>1</v>
      </c>
      <c r="J450" s="70">
        <f t="shared" si="3"/>
        <v>2025</v>
      </c>
      <c r="K450" s="70" t="str">
        <f t="shared" si="4"/>
        <v>01/2025</v>
      </c>
    </row>
    <row r="451" hidden="1">
      <c r="A451" s="26">
        <v>45687.0</v>
      </c>
      <c r="B451" s="28" t="s">
        <v>1511</v>
      </c>
      <c r="C451" s="29" t="s">
        <v>27</v>
      </c>
      <c r="D451" s="28" t="s">
        <v>1512</v>
      </c>
      <c r="E451" s="69">
        <v>394.22</v>
      </c>
      <c r="F451" s="29" t="s">
        <v>1513</v>
      </c>
      <c r="G451" s="26">
        <v>45687.0</v>
      </c>
      <c r="H451" s="70">
        <f t="shared" si="1"/>
        <v>30</v>
      </c>
      <c r="I451" s="70">
        <f t="shared" si="2"/>
        <v>1</v>
      </c>
      <c r="J451" s="70">
        <f t="shared" si="3"/>
        <v>2025</v>
      </c>
      <c r="K451" s="70" t="str">
        <f t="shared" si="4"/>
        <v>01/2025</v>
      </c>
    </row>
    <row r="452" hidden="1">
      <c r="A452" s="26">
        <v>45688.0</v>
      </c>
      <c r="B452" s="28" t="s">
        <v>1514</v>
      </c>
      <c r="C452" s="28" t="s">
        <v>37</v>
      </c>
      <c r="D452" s="28" t="s">
        <v>1515</v>
      </c>
      <c r="E452" s="71">
        <v>2126.35</v>
      </c>
      <c r="F452" s="29" t="s">
        <v>1516</v>
      </c>
      <c r="G452" s="26">
        <v>45688.0</v>
      </c>
      <c r="H452" s="70">
        <f t="shared" si="1"/>
        <v>31</v>
      </c>
      <c r="I452" s="70">
        <f t="shared" si="2"/>
        <v>1</v>
      </c>
      <c r="J452" s="70">
        <f t="shared" si="3"/>
        <v>2025</v>
      </c>
      <c r="K452" s="70" t="str">
        <f t="shared" si="4"/>
        <v>01/2025</v>
      </c>
    </row>
    <row r="453" hidden="1">
      <c r="A453" s="26">
        <v>45688.0</v>
      </c>
      <c r="B453" s="28" t="s">
        <v>1511</v>
      </c>
      <c r="C453" s="29" t="s">
        <v>27</v>
      </c>
      <c r="D453" s="28" t="s">
        <v>1512</v>
      </c>
      <c r="E453" s="69">
        <v>1595.25</v>
      </c>
      <c r="F453" s="29" t="s">
        <v>1513</v>
      </c>
      <c r="G453" s="26">
        <v>45688.0</v>
      </c>
      <c r="H453" s="70">
        <f t="shared" si="1"/>
        <v>31</v>
      </c>
      <c r="I453" s="70">
        <f t="shared" si="2"/>
        <v>1</v>
      </c>
      <c r="J453" s="70">
        <f t="shared" si="3"/>
        <v>2025</v>
      </c>
      <c r="K453" s="70" t="str">
        <f t="shared" si="4"/>
        <v>01/2025</v>
      </c>
    </row>
    <row r="454" hidden="1">
      <c r="A454" s="26">
        <v>45689.0</v>
      </c>
      <c r="B454" s="28" t="s">
        <v>1514</v>
      </c>
      <c r="C454" s="28" t="s">
        <v>37</v>
      </c>
      <c r="D454" s="28" t="s">
        <v>1515</v>
      </c>
      <c r="E454" s="71">
        <v>1614.22</v>
      </c>
      <c r="F454" s="29" t="s">
        <v>1516</v>
      </c>
      <c r="G454" s="26">
        <v>45689.0</v>
      </c>
      <c r="H454" s="70">
        <f t="shared" si="1"/>
        <v>1</v>
      </c>
      <c r="I454" s="70">
        <f t="shared" si="2"/>
        <v>2</v>
      </c>
      <c r="J454" s="70">
        <f t="shared" si="3"/>
        <v>2025</v>
      </c>
      <c r="K454" s="70" t="str">
        <f t="shared" si="4"/>
        <v>02/2025</v>
      </c>
    </row>
    <row r="455" hidden="1">
      <c r="A455" s="26">
        <v>45689.0</v>
      </c>
      <c r="B455" s="28" t="s">
        <v>1511</v>
      </c>
      <c r="C455" s="29" t="s">
        <v>27</v>
      </c>
      <c r="D455" s="28" t="s">
        <v>1512</v>
      </c>
      <c r="E455" s="69">
        <v>1351.52</v>
      </c>
      <c r="F455" s="29" t="s">
        <v>1513</v>
      </c>
      <c r="G455" s="26">
        <v>45689.0</v>
      </c>
      <c r="H455" s="70">
        <f t="shared" si="1"/>
        <v>1</v>
      </c>
      <c r="I455" s="70">
        <f t="shared" si="2"/>
        <v>2</v>
      </c>
      <c r="J455" s="70">
        <f t="shared" si="3"/>
        <v>2025</v>
      </c>
      <c r="K455" s="70" t="str">
        <f t="shared" si="4"/>
        <v>02/2025</v>
      </c>
    </row>
    <row r="456" hidden="1">
      <c r="A456" s="26">
        <v>45690.0</v>
      </c>
      <c r="B456" s="28" t="s">
        <v>1514</v>
      </c>
      <c r="C456" s="28" t="s">
        <v>37</v>
      </c>
      <c r="D456" s="28" t="s">
        <v>1515</v>
      </c>
      <c r="E456" s="71">
        <v>1261.5</v>
      </c>
      <c r="F456" s="29" t="s">
        <v>1516</v>
      </c>
      <c r="G456" s="26">
        <v>45690.0</v>
      </c>
      <c r="H456" s="70">
        <f t="shared" si="1"/>
        <v>2</v>
      </c>
      <c r="I456" s="70">
        <f t="shared" si="2"/>
        <v>2</v>
      </c>
      <c r="J456" s="70">
        <f t="shared" si="3"/>
        <v>2025</v>
      </c>
      <c r="K456" s="70" t="str">
        <f t="shared" si="4"/>
        <v>02/2025</v>
      </c>
    </row>
    <row r="457" hidden="1">
      <c r="A457" s="26">
        <v>45690.0</v>
      </c>
      <c r="B457" s="28" t="s">
        <v>1511</v>
      </c>
      <c r="C457" s="29" t="s">
        <v>27</v>
      </c>
      <c r="D457" s="28" t="s">
        <v>1512</v>
      </c>
      <c r="E457" s="71">
        <v>1783.89</v>
      </c>
      <c r="F457" s="29" t="s">
        <v>1513</v>
      </c>
      <c r="G457" s="26">
        <v>45690.0</v>
      </c>
      <c r="H457" s="70">
        <f t="shared" si="1"/>
        <v>2</v>
      </c>
      <c r="I457" s="70">
        <f t="shared" si="2"/>
        <v>2</v>
      </c>
      <c r="J457" s="70">
        <f t="shared" si="3"/>
        <v>2025</v>
      </c>
      <c r="K457" s="70" t="str">
        <f t="shared" si="4"/>
        <v>02/2025</v>
      </c>
    </row>
    <row r="458" hidden="1">
      <c r="A458" s="26">
        <v>45691.0</v>
      </c>
      <c r="B458" s="28" t="s">
        <v>1514</v>
      </c>
      <c r="C458" s="28" t="s">
        <v>37</v>
      </c>
      <c r="D458" s="28" t="s">
        <v>1515</v>
      </c>
      <c r="E458" s="71">
        <v>310.19</v>
      </c>
      <c r="F458" s="29" t="s">
        <v>1516</v>
      </c>
      <c r="G458" s="26">
        <v>45691.0</v>
      </c>
      <c r="H458" s="70">
        <f t="shared" si="1"/>
        <v>3</v>
      </c>
      <c r="I458" s="70">
        <f t="shared" si="2"/>
        <v>2</v>
      </c>
      <c r="J458" s="70">
        <f t="shared" si="3"/>
        <v>2025</v>
      </c>
      <c r="K458" s="70" t="str">
        <f t="shared" si="4"/>
        <v>02/2025</v>
      </c>
    </row>
    <row r="459" hidden="1">
      <c r="A459" s="26">
        <v>45691.0</v>
      </c>
      <c r="B459" s="28" t="s">
        <v>1511</v>
      </c>
      <c r="C459" s="29" t="s">
        <v>27</v>
      </c>
      <c r="D459" s="28" t="s">
        <v>1512</v>
      </c>
      <c r="E459" s="71">
        <v>112.0</v>
      </c>
      <c r="F459" s="29" t="s">
        <v>1513</v>
      </c>
      <c r="G459" s="26">
        <v>45691.0</v>
      </c>
      <c r="H459" s="70">
        <f t="shared" si="1"/>
        <v>3</v>
      </c>
      <c r="I459" s="70">
        <f t="shared" si="2"/>
        <v>2</v>
      </c>
      <c r="J459" s="70">
        <f t="shared" si="3"/>
        <v>2025</v>
      </c>
      <c r="K459" s="70" t="str">
        <f t="shared" si="4"/>
        <v>02/2025</v>
      </c>
    </row>
    <row r="460" hidden="1">
      <c r="A460" s="26">
        <v>45692.0</v>
      </c>
      <c r="B460" s="28" t="s">
        <v>1519</v>
      </c>
      <c r="C460" s="28" t="s">
        <v>27</v>
      </c>
      <c r="D460" s="28" t="s">
        <v>1520</v>
      </c>
      <c r="E460" s="67">
        <v>36833.99</v>
      </c>
      <c r="F460" s="29" t="s">
        <v>1513</v>
      </c>
      <c r="G460" s="26">
        <v>45692.0</v>
      </c>
      <c r="H460" s="70">
        <f t="shared" si="1"/>
        <v>4</v>
      </c>
      <c r="I460" s="70">
        <f t="shared" si="2"/>
        <v>2</v>
      </c>
      <c r="J460" s="70">
        <f t="shared" si="3"/>
        <v>2025</v>
      </c>
      <c r="K460" s="70" t="str">
        <f t="shared" si="4"/>
        <v>02/2025</v>
      </c>
    </row>
    <row r="461" hidden="1">
      <c r="A461" s="26">
        <v>45692.0</v>
      </c>
      <c r="B461" s="28" t="s">
        <v>1514</v>
      </c>
      <c r="C461" s="28" t="s">
        <v>37</v>
      </c>
      <c r="D461" s="28" t="s">
        <v>1515</v>
      </c>
      <c r="E461" s="71">
        <v>1440.97</v>
      </c>
      <c r="F461" s="29" t="s">
        <v>1516</v>
      </c>
      <c r="G461" s="26">
        <v>45692.0</v>
      </c>
      <c r="H461" s="70">
        <f t="shared" si="1"/>
        <v>4</v>
      </c>
      <c r="I461" s="70">
        <f t="shared" si="2"/>
        <v>2</v>
      </c>
      <c r="J461" s="70">
        <f t="shared" si="3"/>
        <v>2025</v>
      </c>
      <c r="K461" s="70" t="str">
        <f t="shared" si="4"/>
        <v>02/2025</v>
      </c>
    </row>
    <row r="462" hidden="1">
      <c r="A462" s="26">
        <v>45692.0</v>
      </c>
      <c r="B462" s="28" t="s">
        <v>1511</v>
      </c>
      <c r="C462" s="29" t="s">
        <v>27</v>
      </c>
      <c r="D462" s="28" t="s">
        <v>1512</v>
      </c>
      <c r="E462" s="71">
        <v>736.08</v>
      </c>
      <c r="F462" s="29" t="s">
        <v>1513</v>
      </c>
      <c r="G462" s="26">
        <v>45692.0</v>
      </c>
      <c r="H462" s="70">
        <f t="shared" si="1"/>
        <v>4</v>
      </c>
      <c r="I462" s="70">
        <f t="shared" si="2"/>
        <v>2</v>
      </c>
      <c r="J462" s="70">
        <f t="shared" si="3"/>
        <v>2025</v>
      </c>
      <c r="K462" s="70" t="str">
        <f t="shared" si="4"/>
        <v>02/2025</v>
      </c>
    </row>
    <row r="463" hidden="1">
      <c r="A463" s="26">
        <v>45693.0</v>
      </c>
      <c r="B463" s="28" t="s">
        <v>1514</v>
      </c>
      <c r="C463" s="28" t="s">
        <v>37</v>
      </c>
      <c r="D463" s="28" t="s">
        <v>1515</v>
      </c>
      <c r="E463" s="71">
        <v>1501.9</v>
      </c>
      <c r="F463" s="29" t="s">
        <v>1516</v>
      </c>
      <c r="G463" s="26">
        <v>45693.0</v>
      </c>
      <c r="H463" s="70">
        <f t="shared" si="1"/>
        <v>5</v>
      </c>
      <c r="I463" s="70">
        <f t="shared" si="2"/>
        <v>2</v>
      </c>
      <c r="J463" s="70">
        <f t="shared" si="3"/>
        <v>2025</v>
      </c>
      <c r="K463" s="70" t="str">
        <f t="shared" si="4"/>
        <v>02/2025</v>
      </c>
    </row>
    <row r="464" hidden="1">
      <c r="A464" s="26">
        <v>45693.0</v>
      </c>
      <c r="B464" s="28" t="s">
        <v>1521</v>
      </c>
      <c r="C464" s="28" t="s">
        <v>27</v>
      </c>
      <c r="D464" s="28" t="s">
        <v>1522</v>
      </c>
      <c r="E464" s="71">
        <v>459.51</v>
      </c>
      <c r="F464" s="29" t="s">
        <v>1513</v>
      </c>
      <c r="G464" s="26">
        <v>45693.0</v>
      </c>
      <c r="H464" s="70">
        <f t="shared" si="1"/>
        <v>5</v>
      </c>
      <c r="I464" s="70">
        <f t="shared" si="2"/>
        <v>2</v>
      </c>
      <c r="J464" s="70">
        <f t="shared" si="3"/>
        <v>2025</v>
      </c>
      <c r="K464" s="70" t="str">
        <f t="shared" si="4"/>
        <v>02/2025</v>
      </c>
    </row>
    <row r="465" hidden="1">
      <c r="A465" s="26">
        <v>45693.0</v>
      </c>
      <c r="B465" s="28" t="s">
        <v>1511</v>
      </c>
      <c r="C465" s="29" t="s">
        <v>27</v>
      </c>
      <c r="D465" s="28" t="s">
        <v>1512</v>
      </c>
      <c r="E465" s="71">
        <v>1534.37</v>
      </c>
      <c r="F465" s="29" t="s">
        <v>1513</v>
      </c>
      <c r="G465" s="26">
        <v>45693.0</v>
      </c>
      <c r="H465" s="70">
        <f t="shared" si="1"/>
        <v>5</v>
      </c>
      <c r="I465" s="70">
        <f t="shared" si="2"/>
        <v>2</v>
      </c>
      <c r="J465" s="70">
        <f t="shared" si="3"/>
        <v>2025</v>
      </c>
      <c r="K465" s="70" t="str">
        <f t="shared" si="4"/>
        <v>02/2025</v>
      </c>
    </row>
    <row r="466" hidden="1">
      <c r="A466" s="26">
        <v>45694.0</v>
      </c>
      <c r="B466" s="28" t="s">
        <v>1511</v>
      </c>
      <c r="C466" s="29" t="s">
        <v>27</v>
      </c>
      <c r="D466" s="28" t="s">
        <v>1512</v>
      </c>
      <c r="E466" s="71">
        <v>1238.9</v>
      </c>
      <c r="F466" s="29" t="s">
        <v>1513</v>
      </c>
      <c r="G466" s="26">
        <v>45694.0</v>
      </c>
      <c r="H466" s="70">
        <f t="shared" si="1"/>
        <v>6</v>
      </c>
      <c r="I466" s="70">
        <f t="shared" si="2"/>
        <v>2</v>
      </c>
      <c r="J466" s="70">
        <f t="shared" si="3"/>
        <v>2025</v>
      </c>
      <c r="K466" s="70" t="str">
        <f t="shared" si="4"/>
        <v>02/2025</v>
      </c>
    </row>
    <row r="467" hidden="1">
      <c r="A467" s="26">
        <v>45694.0</v>
      </c>
      <c r="B467" s="28" t="s">
        <v>1514</v>
      </c>
      <c r="C467" s="28" t="s">
        <v>37</v>
      </c>
      <c r="D467" s="28" t="s">
        <v>1515</v>
      </c>
      <c r="E467" s="71">
        <v>1194.84</v>
      </c>
      <c r="F467" s="29" t="s">
        <v>1516</v>
      </c>
      <c r="G467" s="26">
        <v>45694.0</v>
      </c>
      <c r="H467" s="70">
        <f t="shared" si="1"/>
        <v>6</v>
      </c>
      <c r="I467" s="70">
        <f t="shared" si="2"/>
        <v>2</v>
      </c>
      <c r="J467" s="70">
        <f t="shared" si="3"/>
        <v>2025</v>
      </c>
      <c r="K467" s="70" t="str">
        <f t="shared" si="4"/>
        <v>02/2025</v>
      </c>
    </row>
    <row r="468" hidden="1">
      <c r="A468" s="26">
        <v>45695.0</v>
      </c>
      <c r="B468" s="28" t="s">
        <v>1523</v>
      </c>
      <c r="C468" s="28" t="s">
        <v>27</v>
      </c>
      <c r="D468" s="28" t="s">
        <v>1524</v>
      </c>
      <c r="E468" s="71">
        <v>3936.1</v>
      </c>
      <c r="F468" s="29" t="s">
        <v>1513</v>
      </c>
      <c r="G468" s="26">
        <v>45695.0</v>
      </c>
      <c r="H468" s="70">
        <f t="shared" si="1"/>
        <v>7</v>
      </c>
      <c r="I468" s="70">
        <f t="shared" si="2"/>
        <v>2</v>
      </c>
      <c r="J468" s="70">
        <f t="shared" si="3"/>
        <v>2025</v>
      </c>
      <c r="K468" s="70" t="str">
        <f t="shared" si="4"/>
        <v>02/2025</v>
      </c>
    </row>
    <row r="469" hidden="1">
      <c r="A469" s="26">
        <v>45695.0</v>
      </c>
      <c r="B469" s="28" t="s">
        <v>1511</v>
      </c>
      <c r="C469" s="29" t="s">
        <v>27</v>
      </c>
      <c r="D469" s="28" t="s">
        <v>1512</v>
      </c>
      <c r="E469" s="71">
        <v>2031.75</v>
      </c>
      <c r="F469" s="29" t="s">
        <v>1513</v>
      </c>
      <c r="G469" s="26">
        <v>45695.0</v>
      </c>
      <c r="H469" s="70">
        <f t="shared" si="1"/>
        <v>7</v>
      </c>
      <c r="I469" s="70">
        <f t="shared" si="2"/>
        <v>2</v>
      </c>
      <c r="J469" s="70">
        <f t="shared" si="3"/>
        <v>2025</v>
      </c>
      <c r="K469" s="70" t="str">
        <f t="shared" si="4"/>
        <v>02/2025</v>
      </c>
    </row>
    <row r="470" hidden="1">
      <c r="A470" s="26">
        <v>45695.0</v>
      </c>
      <c r="B470" s="28" t="s">
        <v>1514</v>
      </c>
      <c r="C470" s="28" t="s">
        <v>37</v>
      </c>
      <c r="D470" s="28" t="s">
        <v>1515</v>
      </c>
      <c r="E470" s="71">
        <v>1565.45</v>
      </c>
      <c r="F470" s="29" t="s">
        <v>1516</v>
      </c>
      <c r="G470" s="26">
        <v>45695.0</v>
      </c>
      <c r="H470" s="70">
        <f t="shared" si="1"/>
        <v>7</v>
      </c>
      <c r="I470" s="70">
        <f t="shared" si="2"/>
        <v>2</v>
      </c>
      <c r="J470" s="70">
        <f t="shared" si="3"/>
        <v>2025</v>
      </c>
      <c r="K470" s="70" t="str">
        <f t="shared" si="4"/>
        <v>02/2025</v>
      </c>
    </row>
    <row r="471" hidden="1">
      <c r="A471" s="26">
        <v>45696.0</v>
      </c>
      <c r="B471" s="28" t="s">
        <v>1511</v>
      </c>
      <c r="C471" s="29" t="s">
        <v>27</v>
      </c>
      <c r="D471" s="28" t="s">
        <v>1512</v>
      </c>
      <c r="E471" s="71">
        <v>1821.77</v>
      </c>
      <c r="F471" s="29" t="s">
        <v>1513</v>
      </c>
      <c r="G471" s="26">
        <v>45696.0</v>
      </c>
      <c r="H471" s="70">
        <f t="shared" si="1"/>
        <v>8</v>
      </c>
      <c r="I471" s="70">
        <f t="shared" si="2"/>
        <v>2</v>
      </c>
      <c r="J471" s="70">
        <f t="shared" si="3"/>
        <v>2025</v>
      </c>
      <c r="K471" s="70" t="str">
        <f t="shared" si="4"/>
        <v>02/2025</v>
      </c>
    </row>
    <row r="472" hidden="1">
      <c r="A472" s="26">
        <v>45696.0</v>
      </c>
      <c r="B472" s="28" t="s">
        <v>1514</v>
      </c>
      <c r="C472" s="28" t="s">
        <v>37</v>
      </c>
      <c r="D472" s="28" t="s">
        <v>1515</v>
      </c>
      <c r="E472" s="71">
        <v>1351.1</v>
      </c>
      <c r="F472" s="29" t="s">
        <v>1516</v>
      </c>
      <c r="G472" s="26">
        <v>45696.0</v>
      </c>
      <c r="H472" s="70">
        <f t="shared" si="1"/>
        <v>8</v>
      </c>
      <c r="I472" s="70">
        <f t="shared" si="2"/>
        <v>2</v>
      </c>
      <c r="J472" s="70">
        <f t="shared" si="3"/>
        <v>2025</v>
      </c>
      <c r="K472" s="70" t="str">
        <f t="shared" si="4"/>
        <v>02/2025</v>
      </c>
    </row>
    <row r="473" hidden="1">
      <c r="A473" s="26">
        <v>45697.0</v>
      </c>
      <c r="B473" s="28" t="s">
        <v>1511</v>
      </c>
      <c r="C473" s="29" t="s">
        <v>27</v>
      </c>
      <c r="D473" s="28" t="s">
        <v>1512</v>
      </c>
      <c r="E473" s="71">
        <v>2626.38</v>
      </c>
      <c r="F473" s="29" t="s">
        <v>1513</v>
      </c>
      <c r="G473" s="26">
        <v>45697.0</v>
      </c>
      <c r="H473" s="70">
        <f t="shared" si="1"/>
        <v>9</v>
      </c>
      <c r="I473" s="70">
        <f t="shared" si="2"/>
        <v>2</v>
      </c>
      <c r="J473" s="70">
        <f t="shared" si="3"/>
        <v>2025</v>
      </c>
      <c r="K473" s="70" t="str">
        <f t="shared" si="4"/>
        <v>02/2025</v>
      </c>
    </row>
    <row r="474" hidden="1">
      <c r="A474" s="26">
        <v>45697.0</v>
      </c>
      <c r="B474" s="28" t="s">
        <v>1514</v>
      </c>
      <c r="C474" s="28" t="s">
        <v>37</v>
      </c>
      <c r="D474" s="28" t="s">
        <v>1515</v>
      </c>
      <c r="E474" s="71">
        <v>1219.62</v>
      </c>
      <c r="F474" s="29" t="s">
        <v>1516</v>
      </c>
      <c r="G474" s="26">
        <v>45697.0</v>
      </c>
      <c r="H474" s="70">
        <f t="shared" si="1"/>
        <v>9</v>
      </c>
      <c r="I474" s="70">
        <f t="shared" si="2"/>
        <v>2</v>
      </c>
      <c r="J474" s="70">
        <f t="shared" si="3"/>
        <v>2025</v>
      </c>
      <c r="K474" s="70" t="str">
        <f t="shared" si="4"/>
        <v>02/2025</v>
      </c>
    </row>
    <row r="475" hidden="1">
      <c r="A475" s="26">
        <v>45698.0</v>
      </c>
      <c r="B475" s="28" t="s">
        <v>1523</v>
      </c>
      <c r="C475" s="28" t="s">
        <v>27</v>
      </c>
      <c r="D475" s="28" t="s">
        <v>1524</v>
      </c>
      <c r="E475" s="71">
        <v>13576.1</v>
      </c>
      <c r="F475" s="29" t="s">
        <v>1513</v>
      </c>
      <c r="G475" s="26">
        <v>45698.0</v>
      </c>
      <c r="H475" s="70">
        <f t="shared" si="1"/>
        <v>10</v>
      </c>
      <c r="I475" s="70">
        <f t="shared" si="2"/>
        <v>2</v>
      </c>
      <c r="J475" s="70">
        <f t="shared" si="3"/>
        <v>2025</v>
      </c>
      <c r="K475" s="70" t="str">
        <f t="shared" si="4"/>
        <v>02/2025</v>
      </c>
    </row>
    <row r="476" hidden="1">
      <c r="A476" s="26">
        <v>45698.0</v>
      </c>
      <c r="B476" s="28" t="s">
        <v>1511</v>
      </c>
      <c r="C476" s="29" t="s">
        <v>66</v>
      </c>
      <c r="D476" s="28" t="s">
        <v>1512</v>
      </c>
      <c r="E476" s="71">
        <v>703.26</v>
      </c>
      <c r="F476" s="29" t="s">
        <v>1516</v>
      </c>
      <c r="G476" s="26">
        <v>45698.0</v>
      </c>
      <c r="H476" s="70">
        <f t="shared" si="1"/>
        <v>10</v>
      </c>
      <c r="I476" s="70">
        <f t="shared" si="2"/>
        <v>2</v>
      </c>
      <c r="J476" s="70">
        <f t="shared" si="3"/>
        <v>2025</v>
      </c>
      <c r="K476" s="70" t="str">
        <f t="shared" si="4"/>
        <v>02/2025</v>
      </c>
    </row>
    <row r="477" hidden="1">
      <c r="A477" s="26">
        <v>45698.0</v>
      </c>
      <c r="B477" s="28" t="s">
        <v>1514</v>
      </c>
      <c r="C477" s="28" t="s">
        <v>37</v>
      </c>
      <c r="D477" s="28" t="s">
        <v>1515</v>
      </c>
      <c r="E477" s="71">
        <v>1801.08</v>
      </c>
      <c r="F477" s="29" t="s">
        <v>1516</v>
      </c>
      <c r="G477" s="26">
        <v>45698.0</v>
      </c>
      <c r="H477" s="70">
        <f t="shared" si="1"/>
        <v>10</v>
      </c>
      <c r="I477" s="70">
        <f t="shared" si="2"/>
        <v>2</v>
      </c>
      <c r="J477" s="70">
        <f t="shared" si="3"/>
        <v>2025</v>
      </c>
      <c r="K477" s="70" t="str">
        <f t="shared" si="4"/>
        <v>02/2025</v>
      </c>
    </row>
    <row r="478" hidden="1">
      <c r="A478" s="26">
        <v>45699.0</v>
      </c>
      <c r="B478" s="28" t="s">
        <v>1511</v>
      </c>
      <c r="C478" s="29" t="s">
        <v>27</v>
      </c>
      <c r="D478" s="28" t="s">
        <v>1512</v>
      </c>
      <c r="E478" s="71">
        <v>29.32</v>
      </c>
      <c r="F478" s="29" t="s">
        <v>1513</v>
      </c>
      <c r="G478" s="26">
        <v>45699.0</v>
      </c>
      <c r="H478" s="70">
        <f t="shared" si="1"/>
        <v>11</v>
      </c>
      <c r="I478" s="70">
        <f t="shared" si="2"/>
        <v>2</v>
      </c>
      <c r="J478" s="70">
        <f t="shared" si="3"/>
        <v>2025</v>
      </c>
      <c r="K478" s="70" t="str">
        <f t="shared" si="4"/>
        <v>02/2025</v>
      </c>
    </row>
    <row r="479" hidden="1">
      <c r="A479" s="26">
        <v>45699.0</v>
      </c>
      <c r="B479" s="28" t="s">
        <v>1514</v>
      </c>
      <c r="C479" s="28" t="s">
        <v>37</v>
      </c>
      <c r="D479" s="28" t="s">
        <v>1515</v>
      </c>
      <c r="E479" s="71">
        <v>105.88</v>
      </c>
      <c r="F479" s="29" t="s">
        <v>1516</v>
      </c>
      <c r="G479" s="26">
        <v>45699.0</v>
      </c>
      <c r="H479" s="70">
        <f t="shared" si="1"/>
        <v>11</v>
      </c>
      <c r="I479" s="70">
        <f t="shared" si="2"/>
        <v>2</v>
      </c>
      <c r="J479" s="70">
        <f t="shared" si="3"/>
        <v>2025</v>
      </c>
      <c r="K479" s="70" t="str">
        <f t="shared" si="4"/>
        <v>02/2025</v>
      </c>
    </row>
    <row r="480" hidden="1">
      <c r="A480" s="26">
        <v>45700.0</v>
      </c>
      <c r="B480" s="28" t="s">
        <v>1521</v>
      </c>
      <c r="C480" s="28" t="s">
        <v>27</v>
      </c>
      <c r="D480" s="28" t="s">
        <v>1522</v>
      </c>
      <c r="E480" s="71">
        <v>675.81</v>
      </c>
      <c r="F480" s="29" t="s">
        <v>1513</v>
      </c>
      <c r="G480" s="26">
        <v>45700.0</v>
      </c>
      <c r="H480" s="70">
        <f t="shared" si="1"/>
        <v>12</v>
      </c>
      <c r="I480" s="70">
        <f t="shared" si="2"/>
        <v>2</v>
      </c>
      <c r="J480" s="70">
        <f t="shared" si="3"/>
        <v>2025</v>
      </c>
      <c r="K480" s="70" t="str">
        <f t="shared" si="4"/>
        <v>02/2025</v>
      </c>
    </row>
    <row r="481" hidden="1">
      <c r="A481" s="26">
        <v>45700.0</v>
      </c>
      <c r="B481" s="28" t="s">
        <v>1511</v>
      </c>
      <c r="C481" s="29" t="s">
        <v>27</v>
      </c>
      <c r="D481" s="28" t="s">
        <v>1512</v>
      </c>
      <c r="E481" s="71">
        <v>812.41</v>
      </c>
      <c r="F481" s="29" t="s">
        <v>1513</v>
      </c>
      <c r="G481" s="26">
        <v>45700.0</v>
      </c>
      <c r="H481" s="70">
        <f t="shared" si="1"/>
        <v>12</v>
      </c>
      <c r="I481" s="70">
        <f t="shared" si="2"/>
        <v>2</v>
      </c>
      <c r="J481" s="70">
        <f t="shared" si="3"/>
        <v>2025</v>
      </c>
      <c r="K481" s="70" t="str">
        <f t="shared" si="4"/>
        <v>02/2025</v>
      </c>
    </row>
    <row r="482" hidden="1">
      <c r="A482" s="26">
        <v>45700.0</v>
      </c>
      <c r="B482" s="28" t="s">
        <v>1514</v>
      </c>
      <c r="C482" s="28" t="s">
        <v>37</v>
      </c>
      <c r="D482" s="28" t="s">
        <v>1515</v>
      </c>
      <c r="E482" s="71">
        <v>1552.23</v>
      </c>
      <c r="F482" s="29" t="s">
        <v>1516</v>
      </c>
      <c r="G482" s="26">
        <v>45713.0</v>
      </c>
      <c r="H482" s="70">
        <f t="shared" si="1"/>
        <v>12</v>
      </c>
      <c r="I482" s="70">
        <f t="shared" si="2"/>
        <v>2</v>
      </c>
      <c r="J482" s="70">
        <f t="shared" si="3"/>
        <v>2025</v>
      </c>
      <c r="K482" s="70" t="str">
        <f t="shared" si="4"/>
        <v>02/2025</v>
      </c>
    </row>
    <row r="483" hidden="1">
      <c r="A483" s="26">
        <v>45701.0</v>
      </c>
      <c r="B483" s="28" t="s">
        <v>1511</v>
      </c>
      <c r="C483" s="29" t="s">
        <v>27</v>
      </c>
      <c r="D483" s="28" t="s">
        <v>1512</v>
      </c>
      <c r="E483" s="71">
        <v>1689.89</v>
      </c>
      <c r="F483" s="29" t="s">
        <v>1513</v>
      </c>
      <c r="G483" s="26">
        <v>45701.0</v>
      </c>
      <c r="H483" s="70">
        <f t="shared" si="1"/>
        <v>13</v>
      </c>
      <c r="I483" s="70">
        <f t="shared" si="2"/>
        <v>2</v>
      </c>
      <c r="J483" s="70">
        <f t="shared" si="3"/>
        <v>2025</v>
      </c>
      <c r="K483" s="70" t="str">
        <f t="shared" si="4"/>
        <v>02/2025</v>
      </c>
    </row>
    <row r="484" hidden="1">
      <c r="A484" s="26">
        <v>45701.0</v>
      </c>
      <c r="B484" s="28" t="s">
        <v>1514</v>
      </c>
      <c r="C484" s="28" t="s">
        <v>37</v>
      </c>
      <c r="D484" s="28" t="s">
        <v>1515</v>
      </c>
      <c r="E484" s="71">
        <v>1526.4</v>
      </c>
      <c r="F484" s="29" t="s">
        <v>1516</v>
      </c>
      <c r="G484" s="26">
        <v>45715.0</v>
      </c>
      <c r="H484" s="70">
        <f t="shared" si="1"/>
        <v>13</v>
      </c>
      <c r="I484" s="70">
        <f t="shared" si="2"/>
        <v>2</v>
      </c>
      <c r="J484" s="70">
        <f t="shared" si="3"/>
        <v>2025</v>
      </c>
      <c r="K484" s="70" t="str">
        <f t="shared" si="4"/>
        <v>02/2025</v>
      </c>
    </row>
    <row r="485" hidden="1">
      <c r="A485" s="26">
        <v>45702.0</v>
      </c>
      <c r="B485" s="28" t="s">
        <v>1511</v>
      </c>
      <c r="C485" s="29" t="s">
        <v>27</v>
      </c>
      <c r="D485" s="28" t="s">
        <v>1512</v>
      </c>
      <c r="E485" s="71">
        <v>602.72</v>
      </c>
      <c r="F485" s="29" t="s">
        <v>1513</v>
      </c>
      <c r="G485" s="26">
        <v>45702.0</v>
      </c>
      <c r="H485" s="70">
        <f t="shared" si="1"/>
        <v>14</v>
      </c>
      <c r="I485" s="70">
        <f t="shared" si="2"/>
        <v>2</v>
      </c>
      <c r="J485" s="70">
        <f t="shared" si="3"/>
        <v>2025</v>
      </c>
      <c r="K485" s="70" t="str">
        <f t="shared" si="4"/>
        <v>02/2025</v>
      </c>
    </row>
    <row r="486" hidden="1">
      <c r="A486" s="26">
        <v>45702.0</v>
      </c>
      <c r="B486" s="28" t="s">
        <v>1514</v>
      </c>
      <c r="C486" s="28" t="s">
        <v>37</v>
      </c>
      <c r="D486" s="28" t="s">
        <v>1515</v>
      </c>
      <c r="E486" s="71">
        <v>1853.83</v>
      </c>
      <c r="F486" s="29" t="s">
        <v>1516</v>
      </c>
      <c r="G486" s="26">
        <v>45716.0</v>
      </c>
      <c r="H486" s="70">
        <f t="shared" si="1"/>
        <v>14</v>
      </c>
      <c r="I486" s="70">
        <f t="shared" si="2"/>
        <v>2</v>
      </c>
      <c r="J486" s="70">
        <f t="shared" si="3"/>
        <v>2025</v>
      </c>
      <c r="K486" s="70" t="str">
        <f t="shared" si="4"/>
        <v>02/2025</v>
      </c>
    </row>
    <row r="487" hidden="1">
      <c r="A487" s="26">
        <v>45703.0</v>
      </c>
      <c r="B487" s="28" t="s">
        <v>1511</v>
      </c>
      <c r="C487" s="29" t="s">
        <v>27</v>
      </c>
      <c r="D487" s="28" t="s">
        <v>1512</v>
      </c>
      <c r="E487" s="71">
        <v>1506.39</v>
      </c>
      <c r="F487" s="29" t="s">
        <v>1513</v>
      </c>
      <c r="G487" s="26">
        <v>45703.0</v>
      </c>
      <c r="H487" s="70">
        <f t="shared" si="1"/>
        <v>15</v>
      </c>
      <c r="I487" s="70">
        <f t="shared" si="2"/>
        <v>2</v>
      </c>
      <c r="J487" s="70">
        <f t="shared" si="3"/>
        <v>2025</v>
      </c>
      <c r="K487" s="70" t="str">
        <f t="shared" si="4"/>
        <v>02/2025</v>
      </c>
    </row>
    <row r="488" hidden="1">
      <c r="A488" s="26">
        <v>45703.0</v>
      </c>
      <c r="B488" s="28" t="s">
        <v>1514</v>
      </c>
      <c r="C488" s="28" t="s">
        <v>37</v>
      </c>
      <c r="D488" s="28" t="s">
        <v>1515</v>
      </c>
      <c r="E488" s="71">
        <v>1405.89</v>
      </c>
      <c r="F488" s="29" t="s">
        <v>1516</v>
      </c>
      <c r="G488" s="26">
        <v>45717.0</v>
      </c>
      <c r="H488" s="70">
        <f t="shared" si="1"/>
        <v>15</v>
      </c>
      <c r="I488" s="70">
        <f t="shared" si="2"/>
        <v>2</v>
      </c>
      <c r="J488" s="70">
        <f t="shared" si="3"/>
        <v>2025</v>
      </c>
      <c r="K488" s="70" t="str">
        <f t="shared" si="4"/>
        <v>02/2025</v>
      </c>
    </row>
    <row r="489" hidden="1">
      <c r="A489" s="26">
        <v>45704.0</v>
      </c>
      <c r="B489" s="28" t="s">
        <v>1511</v>
      </c>
      <c r="C489" s="29" t="s">
        <v>27</v>
      </c>
      <c r="D489" s="28" t="s">
        <v>1512</v>
      </c>
      <c r="E489" s="71">
        <v>575.98</v>
      </c>
      <c r="F489" s="29" t="s">
        <v>1513</v>
      </c>
      <c r="G489" s="26">
        <v>45704.0</v>
      </c>
      <c r="H489" s="70">
        <f t="shared" si="1"/>
        <v>16</v>
      </c>
      <c r="I489" s="70">
        <f t="shared" si="2"/>
        <v>2</v>
      </c>
      <c r="J489" s="70">
        <f t="shared" si="3"/>
        <v>2025</v>
      </c>
      <c r="K489" s="70" t="str">
        <f t="shared" si="4"/>
        <v>02/2025</v>
      </c>
    </row>
    <row r="490" hidden="1">
      <c r="A490" s="26">
        <v>45704.0</v>
      </c>
      <c r="B490" s="28" t="s">
        <v>1514</v>
      </c>
      <c r="C490" s="28" t="s">
        <v>37</v>
      </c>
      <c r="D490" s="28" t="s">
        <v>1515</v>
      </c>
      <c r="E490" s="71">
        <v>1337.0</v>
      </c>
      <c r="F490" s="29" t="s">
        <v>1516</v>
      </c>
      <c r="G490" s="26">
        <v>45718.0</v>
      </c>
      <c r="H490" s="70">
        <f t="shared" si="1"/>
        <v>16</v>
      </c>
      <c r="I490" s="70">
        <f t="shared" si="2"/>
        <v>2</v>
      </c>
      <c r="J490" s="70">
        <f t="shared" si="3"/>
        <v>2025</v>
      </c>
      <c r="K490" s="70" t="str">
        <f t="shared" si="4"/>
        <v>02/2025</v>
      </c>
    </row>
    <row r="491" hidden="1">
      <c r="A491" s="26">
        <v>45705.0</v>
      </c>
      <c r="B491" s="28" t="s">
        <v>44</v>
      </c>
      <c r="C491" s="28" t="s">
        <v>27</v>
      </c>
      <c r="D491" s="28" t="s">
        <v>1525</v>
      </c>
      <c r="E491" s="71">
        <v>38.37</v>
      </c>
      <c r="F491" s="28" t="s">
        <v>1513</v>
      </c>
      <c r="G491" s="26">
        <v>45699.0</v>
      </c>
      <c r="H491" s="70">
        <f t="shared" si="1"/>
        <v>17</v>
      </c>
      <c r="I491" s="70">
        <f t="shared" si="2"/>
        <v>2</v>
      </c>
      <c r="J491" s="70">
        <f t="shared" si="3"/>
        <v>2025</v>
      </c>
      <c r="K491" s="70" t="str">
        <f t="shared" si="4"/>
        <v>02/2025</v>
      </c>
    </row>
    <row r="492" hidden="1">
      <c r="A492" s="26">
        <v>45705.0</v>
      </c>
      <c r="B492" s="28" t="s">
        <v>1511</v>
      </c>
      <c r="C492" s="29" t="s">
        <v>27</v>
      </c>
      <c r="D492" s="28" t="s">
        <v>1512</v>
      </c>
      <c r="E492" s="71">
        <v>454.81</v>
      </c>
      <c r="F492" s="29" t="s">
        <v>1513</v>
      </c>
      <c r="G492" s="26">
        <v>45705.0</v>
      </c>
      <c r="H492" s="70">
        <f t="shared" si="1"/>
        <v>17</v>
      </c>
      <c r="I492" s="70">
        <f t="shared" si="2"/>
        <v>2</v>
      </c>
      <c r="J492" s="70">
        <f t="shared" si="3"/>
        <v>2025</v>
      </c>
      <c r="K492" s="70" t="str">
        <f t="shared" si="4"/>
        <v>02/2025</v>
      </c>
    </row>
    <row r="493" hidden="1">
      <c r="A493" s="26">
        <v>45705.0</v>
      </c>
      <c r="B493" s="28" t="s">
        <v>1514</v>
      </c>
      <c r="C493" s="28" t="s">
        <v>37</v>
      </c>
      <c r="D493" s="28" t="s">
        <v>1515</v>
      </c>
      <c r="E493" s="71">
        <v>646.94</v>
      </c>
      <c r="F493" s="29" t="s">
        <v>1516</v>
      </c>
      <c r="G493" s="26">
        <v>45719.0</v>
      </c>
      <c r="H493" s="70">
        <f t="shared" si="1"/>
        <v>17</v>
      </c>
      <c r="I493" s="70">
        <f t="shared" si="2"/>
        <v>2</v>
      </c>
      <c r="J493" s="70">
        <f t="shared" si="3"/>
        <v>2025</v>
      </c>
      <c r="K493" s="70" t="str">
        <f t="shared" si="4"/>
        <v>02/2025</v>
      </c>
    </row>
    <row r="494" hidden="1">
      <c r="A494" s="26">
        <v>45706.0</v>
      </c>
      <c r="B494" s="28" t="s">
        <v>1511</v>
      </c>
      <c r="C494" s="29" t="s">
        <v>27</v>
      </c>
      <c r="D494" s="28" t="s">
        <v>1512</v>
      </c>
      <c r="E494" s="71">
        <v>702.96</v>
      </c>
      <c r="F494" s="29" t="s">
        <v>1513</v>
      </c>
      <c r="G494" s="26">
        <v>45706.0</v>
      </c>
      <c r="H494" s="70">
        <f t="shared" si="1"/>
        <v>18</v>
      </c>
      <c r="I494" s="70">
        <f t="shared" si="2"/>
        <v>2</v>
      </c>
      <c r="J494" s="70">
        <f t="shared" si="3"/>
        <v>2025</v>
      </c>
      <c r="K494" s="70" t="str">
        <f t="shared" si="4"/>
        <v>02/2025</v>
      </c>
    </row>
    <row r="495" hidden="1">
      <c r="A495" s="26">
        <v>45706.0</v>
      </c>
      <c r="B495" s="28" t="s">
        <v>1514</v>
      </c>
      <c r="C495" s="28" t="s">
        <v>37</v>
      </c>
      <c r="D495" s="28" t="s">
        <v>1515</v>
      </c>
      <c r="E495" s="71">
        <v>1324.58</v>
      </c>
      <c r="F495" s="29" t="s">
        <v>1516</v>
      </c>
      <c r="G495" s="26">
        <v>45706.0</v>
      </c>
      <c r="H495" s="70">
        <f t="shared" si="1"/>
        <v>18</v>
      </c>
      <c r="I495" s="70">
        <f t="shared" si="2"/>
        <v>2</v>
      </c>
      <c r="J495" s="70">
        <f t="shared" si="3"/>
        <v>2025</v>
      </c>
      <c r="K495" s="70" t="str">
        <f t="shared" si="4"/>
        <v>02/2025</v>
      </c>
    </row>
    <row r="496" hidden="1">
      <c r="A496" s="26">
        <v>45707.0</v>
      </c>
      <c r="B496" s="28" t="s">
        <v>1521</v>
      </c>
      <c r="C496" s="28" t="s">
        <v>27</v>
      </c>
      <c r="D496" s="28" t="s">
        <v>1522</v>
      </c>
      <c r="E496" s="69">
        <v>637.69</v>
      </c>
      <c r="F496" s="29" t="s">
        <v>1513</v>
      </c>
      <c r="G496" s="26">
        <v>45707.0</v>
      </c>
      <c r="H496" s="70">
        <f t="shared" si="1"/>
        <v>19</v>
      </c>
      <c r="I496" s="70">
        <f t="shared" si="2"/>
        <v>2</v>
      </c>
      <c r="J496" s="70">
        <f t="shared" si="3"/>
        <v>2025</v>
      </c>
      <c r="K496" s="70" t="str">
        <f t="shared" si="4"/>
        <v>02/2025</v>
      </c>
    </row>
    <row r="497" hidden="1">
      <c r="A497" s="26">
        <v>45707.0</v>
      </c>
      <c r="B497" s="28" t="s">
        <v>1511</v>
      </c>
      <c r="C497" s="29" t="s">
        <v>27</v>
      </c>
      <c r="D497" s="28" t="s">
        <v>1512</v>
      </c>
      <c r="E497" s="71">
        <v>1232.05</v>
      </c>
      <c r="F497" s="29" t="s">
        <v>1513</v>
      </c>
      <c r="G497" s="26">
        <v>45707.0</v>
      </c>
      <c r="H497" s="70">
        <f t="shared" si="1"/>
        <v>19</v>
      </c>
      <c r="I497" s="70">
        <f t="shared" si="2"/>
        <v>2</v>
      </c>
      <c r="J497" s="70">
        <f t="shared" si="3"/>
        <v>2025</v>
      </c>
      <c r="K497" s="70" t="str">
        <f t="shared" si="4"/>
        <v>02/2025</v>
      </c>
    </row>
    <row r="498" hidden="1">
      <c r="A498" s="26">
        <v>45707.0</v>
      </c>
      <c r="B498" s="28" t="s">
        <v>1514</v>
      </c>
      <c r="C498" s="28" t="s">
        <v>37</v>
      </c>
      <c r="D498" s="28" t="s">
        <v>1515</v>
      </c>
      <c r="E498" s="71">
        <v>1557.88</v>
      </c>
      <c r="F498" s="29" t="s">
        <v>1516</v>
      </c>
      <c r="G498" s="26">
        <v>45707.0</v>
      </c>
      <c r="H498" s="70">
        <f t="shared" si="1"/>
        <v>19</v>
      </c>
      <c r="I498" s="70">
        <f t="shared" si="2"/>
        <v>2</v>
      </c>
      <c r="J498" s="70">
        <f t="shared" si="3"/>
        <v>2025</v>
      </c>
      <c r="K498" s="70" t="str">
        <f t="shared" si="4"/>
        <v>02/2025</v>
      </c>
    </row>
    <row r="499" hidden="1">
      <c r="A499" s="26">
        <v>45708.0</v>
      </c>
      <c r="B499" s="28" t="s">
        <v>1511</v>
      </c>
      <c r="C499" s="29" t="s">
        <v>27</v>
      </c>
      <c r="D499" s="28" t="s">
        <v>1512</v>
      </c>
      <c r="E499" s="71">
        <v>893.02</v>
      </c>
      <c r="F499" s="29" t="s">
        <v>1513</v>
      </c>
      <c r="G499" s="26">
        <v>45708.0</v>
      </c>
      <c r="H499" s="70">
        <f t="shared" si="1"/>
        <v>20</v>
      </c>
      <c r="I499" s="70">
        <f t="shared" si="2"/>
        <v>2</v>
      </c>
      <c r="J499" s="70">
        <f t="shared" si="3"/>
        <v>2025</v>
      </c>
      <c r="K499" s="70" t="str">
        <f t="shared" si="4"/>
        <v>02/2025</v>
      </c>
    </row>
    <row r="500" hidden="1">
      <c r="A500" s="26">
        <v>45708.0</v>
      </c>
      <c r="B500" s="28" t="s">
        <v>1514</v>
      </c>
      <c r="C500" s="28" t="s">
        <v>37</v>
      </c>
      <c r="D500" s="28" t="s">
        <v>1515</v>
      </c>
      <c r="E500" s="71">
        <v>1827.0</v>
      </c>
      <c r="F500" s="29" t="s">
        <v>1516</v>
      </c>
      <c r="G500" s="26">
        <v>45708.0</v>
      </c>
      <c r="H500" s="70">
        <f t="shared" si="1"/>
        <v>20</v>
      </c>
      <c r="I500" s="70">
        <f t="shared" si="2"/>
        <v>2</v>
      </c>
      <c r="J500" s="70">
        <f t="shared" si="3"/>
        <v>2025</v>
      </c>
      <c r="K500" s="70" t="str">
        <f t="shared" si="4"/>
        <v>02/2025</v>
      </c>
    </row>
    <row r="501" hidden="1">
      <c r="A501" s="9">
        <v>45708.0</v>
      </c>
      <c r="B501" s="11" t="s">
        <v>44</v>
      </c>
      <c r="C501" s="28" t="s">
        <v>27</v>
      </c>
      <c r="D501" s="11" t="s">
        <v>1532</v>
      </c>
      <c r="E501" s="69">
        <v>292.76</v>
      </c>
      <c r="F501" s="29" t="s">
        <v>1513</v>
      </c>
      <c r="G501" s="9">
        <v>45708.0</v>
      </c>
      <c r="H501" s="70">
        <f t="shared" si="1"/>
        <v>20</v>
      </c>
      <c r="I501" s="70">
        <f t="shared" si="2"/>
        <v>2</v>
      </c>
      <c r="J501" s="70">
        <f t="shared" si="3"/>
        <v>2025</v>
      </c>
      <c r="K501" s="70" t="str">
        <f t="shared" si="4"/>
        <v>02/2025</v>
      </c>
    </row>
    <row r="502" hidden="1">
      <c r="A502" s="26">
        <v>45709.0</v>
      </c>
      <c r="B502" s="28" t="s">
        <v>1523</v>
      </c>
      <c r="C502" s="28" t="s">
        <v>27</v>
      </c>
      <c r="D502" s="28" t="s">
        <v>1524</v>
      </c>
      <c r="E502" s="71">
        <v>4695.4</v>
      </c>
      <c r="F502" s="29" t="s">
        <v>1513</v>
      </c>
      <c r="G502" s="26">
        <v>45705.0</v>
      </c>
      <c r="H502" s="70">
        <f t="shared" si="1"/>
        <v>21</v>
      </c>
      <c r="I502" s="70">
        <f t="shared" si="2"/>
        <v>2</v>
      </c>
      <c r="J502" s="70">
        <f t="shared" si="3"/>
        <v>2025</v>
      </c>
      <c r="K502" s="70" t="str">
        <f t="shared" si="4"/>
        <v>02/2025</v>
      </c>
    </row>
    <row r="503" hidden="1">
      <c r="A503" s="26">
        <v>45709.0</v>
      </c>
      <c r="B503" s="28" t="s">
        <v>1511</v>
      </c>
      <c r="C503" s="29" t="s">
        <v>27</v>
      </c>
      <c r="D503" s="28" t="s">
        <v>1512</v>
      </c>
      <c r="E503" s="71">
        <v>870.52</v>
      </c>
      <c r="F503" s="29" t="s">
        <v>1513</v>
      </c>
      <c r="G503" s="26">
        <v>45709.0</v>
      </c>
      <c r="H503" s="70">
        <f t="shared" si="1"/>
        <v>21</v>
      </c>
      <c r="I503" s="70">
        <f t="shared" si="2"/>
        <v>2</v>
      </c>
      <c r="J503" s="70">
        <f t="shared" si="3"/>
        <v>2025</v>
      </c>
      <c r="K503" s="70" t="str">
        <f t="shared" si="4"/>
        <v>02/2025</v>
      </c>
    </row>
    <row r="504" hidden="1">
      <c r="A504" s="26">
        <v>45709.0</v>
      </c>
      <c r="B504" s="28" t="s">
        <v>1514</v>
      </c>
      <c r="C504" s="28" t="s">
        <v>37</v>
      </c>
      <c r="D504" s="28" t="s">
        <v>1515</v>
      </c>
      <c r="E504" s="71">
        <v>2093.08</v>
      </c>
      <c r="F504" s="29" t="s">
        <v>1516</v>
      </c>
      <c r="G504" s="26">
        <v>45709.0</v>
      </c>
      <c r="H504" s="70">
        <f t="shared" si="1"/>
        <v>21</v>
      </c>
      <c r="I504" s="70">
        <f t="shared" si="2"/>
        <v>2</v>
      </c>
      <c r="J504" s="70">
        <f t="shared" si="3"/>
        <v>2025</v>
      </c>
      <c r="K504" s="70" t="str">
        <f t="shared" si="4"/>
        <v>02/2025</v>
      </c>
    </row>
    <row r="505" hidden="1">
      <c r="A505" s="26">
        <v>45710.0</v>
      </c>
      <c r="B505" s="28" t="s">
        <v>1511</v>
      </c>
      <c r="C505" s="29" t="s">
        <v>27</v>
      </c>
      <c r="D505" s="28" t="s">
        <v>1512</v>
      </c>
      <c r="E505" s="71">
        <v>900.53</v>
      </c>
      <c r="F505" s="29" t="s">
        <v>1513</v>
      </c>
      <c r="G505" s="26">
        <v>45710.0</v>
      </c>
      <c r="H505" s="70">
        <f t="shared" si="1"/>
        <v>22</v>
      </c>
      <c r="I505" s="70">
        <f t="shared" si="2"/>
        <v>2</v>
      </c>
      <c r="J505" s="70">
        <f t="shared" si="3"/>
        <v>2025</v>
      </c>
      <c r="K505" s="70" t="str">
        <f t="shared" si="4"/>
        <v>02/2025</v>
      </c>
    </row>
    <row r="506" hidden="1">
      <c r="A506" s="26">
        <v>45710.0</v>
      </c>
      <c r="B506" s="28" t="s">
        <v>1514</v>
      </c>
      <c r="C506" s="28" t="s">
        <v>37</v>
      </c>
      <c r="D506" s="28" t="s">
        <v>1515</v>
      </c>
      <c r="E506" s="71">
        <v>1220.7</v>
      </c>
      <c r="F506" s="29" t="s">
        <v>1516</v>
      </c>
      <c r="G506" s="26">
        <v>45710.0</v>
      </c>
      <c r="H506" s="70">
        <f t="shared" si="1"/>
        <v>22</v>
      </c>
      <c r="I506" s="70">
        <f t="shared" si="2"/>
        <v>2</v>
      </c>
      <c r="J506" s="70">
        <f t="shared" si="3"/>
        <v>2025</v>
      </c>
      <c r="K506" s="70" t="str">
        <f t="shared" si="4"/>
        <v>02/2025</v>
      </c>
    </row>
    <row r="507" hidden="1">
      <c r="A507" s="26">
        <v>45711.0</v>
      </c>
      <c r="B507" s="28" t="s">
        <v>1511</v>
      </c>
      <c r="C507" s="29" t="s">
        <v>27</v>
      </c>
      <c r="D507" s="28" t="s">
        <v>1512</v>
      </c>
      <c r="E507" s="71">
        <v>1324.27</v>
      </c>
      <c r="F507" s="29" t="s">
        <v>1513</v>
      </c>
      <c r="G507" s="26">
        <v>45711.0</v>
      </c>
      <c r="H507" s="70">
        <f t="shared" si="1"/>
        <v>23</v>
      </c>
      <c r="I507" s="70">
        <f t="shared" si="2"/>
        <v>2</v>
      </c>
      <c r="J507" s="70">
        <f t="shared" si="3"/>
        <v>2025</v>
      </c>
      <c r="K507" s="70" t="str">
        <f t="shared" si="4"/>
        <v>02/2025</v>
      </c>
    </row>
    <row r="508" hidden="1">
      <c r="A508" s="26">
        <v>45711.0</v>
      </c>
      <c r="B508" s="28" t="s">
        <v>1514</v>
      </c>
      <c r="C508" s="28" t="s">
        <v>37</v>
      </c>
      <c r="D508" s="28" t="s">
        <v>1515</v>
      </c>
      <c r="E508" s="71">
        <v>1933.92</v>
      </c>
      <c r="F508" s="29" t="s">
        <v>1516</v>
      </c>
      <c r="G508" s="26">
        <v>45711.0</v>
      </c>
      <c r="H508" s="70">
        <f t="shared" si="1"/>
        <v>23</v>
      </c>
      <c r="I508" s="70">
        <f t="shared" si="2"/>
        <v>2</v>
      </c>
      <c r="J508" s="70">
        <f t="shared" si="3"/>
        <v>2025</v>
      </c>
      <c r="K508" s="70" t="str">
        <f t="shared" si="4"/>
        <v>02/2025</v>
      </c>
    </row>
    <row r="509" hidden="1">
      <c r="A509" s="26">
        <v>45712.0</v>
      </c>
      <c r="B509" s="28" t="s">
        <v>1523</v>
      </c>
      <c r="C509" s="28" t="s">
        <v>27</v>
      </c>
      <c r="D509" s="28" t="s">
        <v>1524</v>
      </c>
      <c r="E509" s="71">
        <v>10866.26</v>
      </c>
      <c r="F509" s="29" t="s">
        <v>1513</v>
      </c>
      <c r="G509" s="26">
        <v>45726.0</v>
      </c>
      <c r="H509" s="70">
        <f t="shared" si="1"/>
        <v>24</v>
      </c>
      <c r="I509" s="70">
        <f t="shared" si="2"/>
        <v>2</v>
      </c>
      <c r="J509" s="70">
        <f t="shared" si="3"/>
        <v>2025</v>
      </c>
      <c r="K509" s="70" t="str">
        <f t="shared" si="4"/>
        <v>02/2025</v>
      </c>
    </row>
    <row r="510" hidden="1">
      <c r="A510" s="26">
        <v>45712.0</v>
      </c>
      <c r="B510" s="28" t="s">
        <v>1511</v>
      </c>
      <c r="C510" s="29" t="s">
        <v>27</v>
      </c>
      <c r="D510" s="28" t="s">
        <v>1512</v>
      </c>
      <c r="E510" s="71">
        <v>23.02</v>
      </c>
      <c r="F510" s="29" t="s">
        <v>1513</v>
      </c>
      <c r="G510" s="26">
        <v>45712.0</v>
      </c>
      <c r="H510" s="70">
        <f t="shared" si="1"/>
        <v>24</v>
      </c>
      <c r="I510" s="70">
        <f t="shared" si="2"/>
        <v>2</v>
      </c>
      <c r="J510" s="70">
        <f t="shared" si="3"/>
        <v>2025</v>
      </c>
      <c r="K510" s="70" t="str">
        <f t="shared" si="4"/>
        <v>02/2025</v>
      </c>
    </row>
    <row r="511" hidden="1">
      <c r="A511" s="26">
        <v>45712.0</v>
      </c>
      <c r="B511" s="28" t="s">
        <v>1514</v>
      </c>
      <c r="C511" s="28" t="s">
        <v>37</v>
      </c>
      <c r="D511" s="28" t="s">
        <v>1515</v>
      </c>
      <c r="E511" s="71">
        <v>817.11</v>
      </c>
      <c r="F511" s="29" t="s">
        <v>1516</v>
      </c>
      <c r="G511" s="26">
        <v>45712.0</v>
      </c>
      <c r="H511" s="70">
        <f t="shared" si="1"/>
        <v>24</v>
      </c>
      <c r="I511" s="70">
        <f t="shared" si="2"/>
        <v>2</v>
      </c>
      <c r="J511" s="70">
        <f t="shared" si="3"/>
        <v>2025</v>
      </c>
      <c r="K511" s="70" t="str">
        <f t="shared" si="4"/>
        <v>02/2025</v>
      </c>
    </row>
    <row r="512" hidden="1">
      <c r="A512" s="26">
        <v>45713.0</v>
      </c>
      <c r="B512" s="28" t="s">
        <v>1511</v>
      </c>
      <c r="C512" s="29" t="s">
        <v>27</v>
      </c>
      <c r="D512" s="28" t="s">
        <v>1512</v>
      </c>
      <c r="E512" s="71">
        <v>1660.05</v>
      </c>
      <c r="F512" s="29" t="s">
        <v>1513</v>
      </c>
      <c r="G512" s="26">
        <v>45713.0</v>
      </c>
      <c r="H512" s="70">
        <f t="shared" si="1"/>
        <v>25</v>
      </c>
      <c r="I512" s="70">
        <f t="shared" si="2"/>
        <v>2</v>
      </c>
      <c r="J512" s="70">
        <f t="shared" si="3"/>
        <v>2025</v>
      </c>
      <c r="K512" s="70" t="str">
        <f t="shared" si="4"/>
        <v>02/2025</v>
      </c>
    </row>
    <row r="513" hidden="1">
      <c r="A513" s="26">
        <v>45713.0</v>
      </c>
      <c r="B513" s="28" t="s">
        <v>1514</v>
      </c>
      <c r="C513" s="28" t="s">
        <v>37</v>
      </c>
      <c r="D513" s="28" t="s">
        <v>1515</v>
      </c>
      <c r="E513" s="71">
        <v>1876.83</v>
      </c>
      <c r="F513" s="29" t="s">
        <v>1516</v>
      </c>
      <c r="G513" s="26">
        <v>45713.0</v>
      </c>
      <c r="H513" s="70">
        <f t="shared" si="1"/>
        <v>25</v>
      </c>
      <c r="I513" s="70">
        <f t="shared" si="2"/>
        <v>2</v>
      </c>
      <c r="J513" s="70">
        <f t="shared" si="3"/>
        <v>2025</v>
      </c>
      <c r="K513" s="70" t="str">
        <f t="shared" si="4"/>
        <v>02/2025</v>
      </c>
    </row>
    <row r="514" hidden="1">
      <c r="A514" s="9">
        <v>45713.0</v>
      </c>
      <c r="B514" s="11" t="s">
        <v>44</v>
      </c>
      <c r="C514" s="28" t="s">
        <v>27</v>
      </c>
      <c r="D514" s="11" t="s">
        <v>1527</v>
      </c>
      <c r="E514" s="69">
        <v>908.78</v>
      </c>
      <c r="F514" s="11" t="s">
        <v>1513</v>
      </c>
      <c r="G514" s="9">
        <v>45713.0</v>
      </c>
      <c r="H514" s="70">
        <f t="shared" si="1"/>
        <v>25</v>
      </c>
      <c r="I514" s="70">
        <f t="shared" si="2"/>
        <v>2</v>
      </c>
      <c r="J514" s="70">
        <f t="shared" si="3"/>
        <v>2025</v>
      </c>
      <c r="K514" s="70" t="str">
        <f t="shared" si="4"/>
        <v>02/2025</v>
      </c>
    </row>
    <row r="515" hidden="1">
      <c r="A515" s="26">
        <v>45714.0</v>
      </c>
      <c r="B515" s="28" t="s">
        <v>1521</v>
      </c>
      <c r="C515" s="28" t="s">
        <v>27</v>
      </c>
      <c r="D515" s="28" t="s">
        <v>1522</v>
      </c>
      <c r="E515" s="69">
        <v>738.77</v>
      </c>
      <c r="F515" s="29" t="s">
        <v>1513</v>
      </c>
      <c r="G515" s="26">
        <v>45714.0</v>
      </c>
      <c r="H515" s="70">
        <f t="shared" si="1"/>
        <v>26</v>
      </c>
      <c r="I515" s="70">
        <f t="shared" si="2"/>
        <v>2</v>
      </c>
      <c r="J515" s="70">
        <f t="shared" si="3"/>
        <v>2025</v>
      </c>
      <c r="K515" s="70" t="str">
        <f t="shared" si="4"/>
        <v>02/2025</v>
      </c>
    </row>
    <row r="516" hidden="1">
      <c r="A516" s="26">
        <v>45714.0</v>
      </c>
      <c r="B516" s="28" t="s">
        <v>1514</v>
      </c>
      <c r="C516" s="28" t="s">
        <v>37</v>
      </c>
      <c r="D516" s="28" t="s">
        <v>1515</v>
      </c>
      <c r="E516" s="71">
        <v>1719.45</v>
      </c>
      <c r="F516" s="29" t="s">
        <v>1516</v>
      </c>
      <c r="G516" s="26">
        <v>45714.0</v>
      </c>
      <c r="H516" s="70">
        <f t="shared" si="1"/>
        <v>26</v>
      </c>
      <c r="I516" s="70">
        <f t="shared" si="2"/>
        <v>2</v>
      </c>
      <c r="J516" s="70">
        <f t="shared" si="3"/>
        <v>2025</v>
      </c>
      <c r="K516" s="70" t="str">
        <f t="shared" si="4"/>
        <v>02/2025</v>
      </c>
    </row>
    <row r="517" hidden="1">
      <c r="A517" s="26">
        <v>45714.0</v>
      </c>
      <c r="B517" s="28" t="s">
        <v>1511</v>
      </c>
      <c r="C517" s="29" t="s">
        <v>27</v>
      </c>
      <c r="D517" s="28" t="s">
        <v>1512</v>
      </c>
      <c r="E517" s="71">
        <v>1596.0</v>
      </c>
      <c r="F517" s="29" t="s">
        <v>1513</v>
      </c>
      <c r="G517" s="26">
        <v>45723.0</v>
      </c>
      <c r="H517" s="70">
        <f t="shared" si="1"/>
        <v>26</v>
      </c>
      <c r="I517" s="70">
        <f t="shared" si="2"/>
        <v>2</v>
      </c>
      <c r="J517" s="70">
        <f t="shared" si="3"/>
        <v>2025</v>
      </c>
      <c r="K517" s="70" t="str">
        <f t="shared" si="4"/>
        <v>02/2025</v>
      </c>
    </row>
    <row r="518" hidden="1">
      <c r="A518" s="26">
        <v>45715.0</v>
      </c>
      <c r="B518" s="28" t="s">
        <v>1514</v>
      </c>
      <c r="C518" s="28" t="s">
        <v>37</v>
      </c>
      <c r="D518" s="28" t="s">
        <v>1515</v>
      </c>
      <c r="E518" s="71">
        <v>1608.81</v>
      </c>
      <c r="F518" s="29" t="s">
        <v>1516</v>
      </c>
      <c r="G518" s="26">
        <v>45715.0</v>
      </c>
      <c r="H518" s="70">
        <f t="shared" si="1"/>
        <v>27</v>
      </c>
      <c r="I518" s="70">
        <f t="shared" si="2"/>
        <v>2</v>
      </c>
      <c r="J518" s="70">
        <f t="shared" si="3"/>
        <v>2025</v>
      </c>
      <c r="K518" s="70" t="str">
        <f t="shared" si="4"/>
        <v>02/2025</v>
      </c>
    </row>
    <row r="519" hidden="1">
      <c r="A519" s="26">
        <v>45715.0</v>
      </c>
      <c r="B519" s="28" t="s">
        <v>1511</v>
      </c>
      <c r="C519" s="29" t="s">
        <v>27</v>
      </c>
      <c r="D519" s="28" t="s">
        <v>1512</v>
      </c>
      <c r="E519" s="71">
        <v>1010.2</v>
      </c>
      <c r="F519" s="29" t="s">
        <v>1513</v>
      </c>
      <c r="G519" s="26">
        <v>45726.0</v>
      </c>
      <c r="H519" s="70">
        <f t="shared" si="1"/>
        <v>27</v>
      </c>
      <c r="I519" s="70">
        <f t="shared" si="2"/>
        <v>2</v>
      </c>
      <c r="J519" s="70">
        <f t="shared" si="3"/>
        <v>2025</v>
      </c>
      <c r="K519" s="70" t="str">
        <f t="shared" si="4"/>
        <v>02/2025</v>
      </c>
    </row>
    <row r="520" hidden="1">
      <c r="A520" s="26">
        <v>45716.0</v>
      </c>
      <c r="B520" s="28" t="s">
        <v>1514</v>
      </c>
      <c r="C520" s="28" t="s">
        <v>37</v>
      </c>
      <c r="D520" s="28" t="s">
        <v>1515</v>
      </c>
      <c r="E520" s="71">
        <v>1850.39</v>
      </c>
      <c r="F520" s="29" t="s">
        <v>1516</v>
      </c>
      <c r="G520" s="26">
        <v>45716.0</v>
      </c>
      <c r="H520" s="70">
        <f t="shared" si="1"/>
        <v>28</v>
      </c>
      <c r="I520" s="70">
        <f t="shared" si="2"/>
        <v>2</v>
      </c>
      <c r="J520" s="70">
        <f t="shared" si="3"/>
        <v>2025</v>
      </c>
      <c r="K520" s="70" t="str">
        <f t="shared" si="4"/>
        <v>02/2025</v>
      </c>
    </row>
    <row r="521" hidden="1">
      <c r="A521" s="26">
        <v>45716.0</v>
      </c>
      <c r="B521" s="28" t="s">
        <v>1511</v>
      </c>
      <c r="C521" s="29" t="s">
        <v>27</v>
      </c>
      <c r="D521" s="28" t="s">
        <v>1512</v>
      </c>
      <c r="E521" s="71">
        <v>1489.72</v>
      </c>
      <c r="F521" s="29" t="s">
        <v>1513</v>
      </c>
      <c r="G521" s="26">
        <v>45727.0</v>
      </c>
      <c r="H521" s="70">
        <f t="shared" si="1"/>
        <v>28</v>
      </c>
      <c r="I521" s="70">
        <f t="shared" si="2"/>
        <v>2</v>
      </c>
      <c r="J521" s="70">
        <f t="shared" si="3"/>
        <v>2025</v>
      </c>
      <c r="K521" s="70" t="str">
        <f t="shared" si="4"/>
        <v>02/2025</v>
      </c>
    </row>
    <row r="522" hidden="1">
      <c r="A522" s="26">
        <v>45717.0</v>
      </c>
      <c r="B522" s="28" t="s">
        <v>1514</v>
      </c>
      <c r="C522" s="28" t="s">
        <v>37</v>
      </c>
      <c r="D522" s="28" t="s">
        <v>1515</v>
      </c>
      <c r="E522" s="71">
        <v>1934.31</v>
      </c>
      <c r="F522" s="29" t="s">
        <v>1516</v>
      </c>
      <c r="G522" s="26">
        <v>45717.0</v>
      </c>
      <c r="H522" s="70">
        <f t="shared" si="1"/>
        <v>1</v>
      </c>
      <c r="I522" s="70">
        <f t="shared" si="2"/>
        <v>3</v>
      </c>
      <c r="J522" s="70">
        <f t="shared" si="3"/>
        <v>2025</v>
      </c>
      <c r="K522" s="70" t="str">
        <f t="shared" si="4"/>
        <v>03/2025</v>
      </c>
    </row>
    <row r="523" hidden="1">
      <c r="A523" s="26">
        <v>45717.0</v>
      </c>
      <c r="B523" s="28" t="s">
        <v>1511</v>
      </c>
      <c r="C523" s="29" t="s">
        <v>27</v>
      </c>
      <c r="D523" s="28" t="s">
        <v>1512</v>
      </c>
      <c r="E523" s="71">
        <v>1416.97</v>
      </c>
      <c r="F523" s="29" t="s">
        <v>1513</v>
      </c>
      <c r="G523" s="26">
        <v>45717.0</v>
      </c>
      <c r="H523" s="70">
        <f t="shared" si="1"/>
        <v>1</v>
      </c>
      <c r="I523" s="70">
        <f t="shared" si="2"/>
        <v>3</v>
      </c>
      <c r="J523" s="70">
        <f t="shared" si="3"/>
        <v>2025</v>
      </c>
      <c r="K523" s="70" t="str">
        <f t="shared" si="4"/>
        <v>03/2025</v>
      </c>
    </row>
    <row r="524" hidden="1">
      <c r="A524" s="26">
        <v>45718.0</v>
      </c>
      <c r="B524" s="28" t="s">
        <v>1514</v>
      </c>
      <c r="C524" s="28" t="s">
        <v>37</v>
      </c>
      <c r="D524" s="28" t="s">
        <v>1515</v>
      </c>
      <c r="E524" s="71">
        <v>2029.31</v>
      </c>
      <c r="F524" s="29" t="s">
        <v>1516</v>
      </c>
      <c r="G524" s="26">
        <v>45718.0</v>
      </c>
      <c r="H524" s="70">
        <f t="shared" si="1"/>
        <v>2</v>
      </c>
      <c r="I524" s="70">
        <f t="shared" si="2"/>
        <v>3</v>
      </c>
      <c r="J524" s="70">
        <f t="shared" si="3"/>
        <v>2025</v>
      </c>
      <c r="K524" s="70" t="str">
        <f t="shared" si="4"/>
        <v>03/2025</v>
      </c>
    </row>
    <row r="525" hidden="1">
      <c r="A525" s="26">
        <v>45718.0</v>
      </c>
      <c r="B525" s="28" t="s">
        <v>1511</v>
      </c>
      <c r="C525" s="29" t="s">
        <v>27</v>
      </c>
      <c r="D525" s="28" t="s">
        <v>1512</v>
      </c>
      <c r="E525" s="71">
        <v>788.58</v>
      </c>
      <c r="F525" s="29" t="s">
        <v>1513</v>
      </c>
      <c r="G525" s="26">
        <v>45718.0</v>
      </c>
      <c r="H525" s="70">
        <f t="shared" si="1"/>
        <v>2</v>
      </c>
      <c r="I525" s="70">
        <f t="shared" si="2"/>
        <v>3</v>
      </c>
      <c r="J525" s="70">
        <f t="shared" si="3"/>
        <v>2025</v>
      </c>
      <c r="K525" s="70" t="str">
        <f t="shared" si="4"/>
        <v>03/2025</v>
      </c>
    </row>
    <row r="526" hidden="1">
      <c r="A526" s="26">
        <v>45719.0</v>
      </c>
      <c r="B526" s="28" t="s">
        <v>1514</v>
      </c>
      <c r="C526" s="28" t="s">
        <v>37</v>
      </c>
      <c r="D526" s="28" t="s">
        <v>1515</v>
      </c>
      <c r="E526" s="71">
        <v>889.01</v>
      </c>
      <c r="F526" s="29" t="s">
        <v>1516</v>
      </c>
      <c r="G526" s="26">
        <v>45719.0</v>
      </c>
      <c r="H526" s="70">
        <f t="shared" si="1"/>
        <v>3</v>
      </c>
      <c r="I526" s="70">
        <f t="shared" si="2"/>
        <v>3</v>
      </c>
      <c r="J526" s="70">
        <f t="shared" si="3"/>
        <v>2025</v>
      </c>
      <c r="K526" s="70" t="str">
        <f t="shared" si="4"/>
        <v>03/2025</v>
      </c>
    </row>
    <row r="527" hidden="1">
      <c r="A527" s="26">
        <v>45719.0</v>
      </c>
      <c r="B527" s="28" t="s">
        <v>1511</v>
      </c>
      <c r="C527" s="29" t="s">
        <v>27</v>
      </c>
      <c r="D527" s="28" t="s">
        <v>1512</v>
      </c>
      <c r="E527" s="71">
        <v>368.68</v>
      </c>
      <c r="F527" s="29" t="s">
        <v>1513</v>
      </c>
      <c r="G527" s="26">
        <v>45719.0</v>
      </c>
      <c r="H527" s="70">
        <f t="shared" si="1"/>
        <v>3</v>
      </c>
      <c r="I527" s="70">
        <f t="shared" si="2"/>
        <v>3</v>
      </c>
      <c r="J527" s="70">
        <f t="shared" si="3"/>
        <v>2025</v>
      </c>
      <c r="K527" s="70" t="str">
        <f t="shared" si="4"/>
        <v>03/2025</v>
      </c>
    </row>
    <row r="528" hidden="1">
      <c r="A528" s="26">
        <v>45720.0</v>
      </c>
      <c r="B528" s="28" t="s">
        <v>1514</v>
      </c>
      <c r="C528" s="28" t="s">
        <v>37</v>
      </c>
      <c r="D528" s="28" t="s">
        <v>1515</v>
      </c>
      <c r="E528" s="71">
        <v>2797.46</v>
      </c>
      <c r="F528" s="29" t="s">
        <v>1516</v>
      </c>
      <c r="G528" s="26">
        <v>45720.0</v>
      </c>
      <c r="H528" s="70">
        <f t="shared" si="1"/>
        <v>4</v>
      </c>
      <c r="I528" s="70">
        <f t="shared" si="2"/>
        <v>3</v>
      </c>
      <c r="J528" s="70">
        <f t="shared" si="3"/>
        <v>2025</v>
      </c>
      <c r="K528" s="70" t="str">
        <f t="shared" si="4"/>
        <v>03/2025</v>
      </c>
    </row>
    <row r="529" hidden="1">
      <c r="A529" s="26">
        <v>45720.0</v>
      </c>
      <c r="B529" s="28" t="s">
        <v>1511</v>
      </c>
      <c r="C529" s="29" t="s">
        <v>27</v>
      </c>
      <c r="D529" s="28" t="s">
        <v>1512</v>
      </c>
      <c r="E529" s="71">
        <v>2145.08</v>
      </c>
      <c r="F529" s="29" t="s">
        <v>1513</v>
      </c>
      <c r="G529" s="26">
        <v>45720.0</v>
      </c>
      <c r="H529" s="70">
        <f t="shared" si="1"/>
        <v>4</v>
      </c>
      <c r="I529" s="70">
        <f t="shared" si="2"/>
        <v>3</v>
      </c>
      <c r="J529" s="70">
        <f t="shared" si="3"/>
        <v>2025</v>
      </c>
      <c r="K529" s="70" t="str">
        <f t="shared" si="4"/>
        <v>03/2025</v>
      </c>
    </row>
    <row r="530" hidden="1">
      <c r="A530" s="26">
        <v>45721.0</v>
      </c>
      <c r="B530" s="28" t="s">
        <v>1511</v>
      </c>
      <c r="C530" s="29" t="s">
        <v>27</v>
      </c>
      <c r="D530" s="28" t="s">
        <v>1512</v>
      </c>
      <c r="E530" s="71">
        <v>273.41</v>
      </c>
      <c r="F530" s="29" t="s">
        <v>1513</v>
      </c>
      <c r="G530" s="26">
        <v>45721.0</v>
      </c>
      <c r="H530" s="70">
        <f t="shared" si="1"/>
        <v>5</v>
      </c>
      <c r="I530" s="70">
        <f t="shared" si="2"/>
        <v>3</v>
      </c>
      <c r="J530" s="70">
        <f t="shared" si="3"/>
        <v>2025</v>
      </c>
      <c r="K530" s="70" t="str">
        <f t="shared" si="4"/>
        <v>03/2025</v>
      </c>
    </row>
    <row r="531" hidden="1">
      <c r="A531" s="26">
        <v>45721.0</v>
      </c>
      <c r="B531" s="28" t="s">
        <v>1514</v>
      </c>
      <c r="C531" s="28" t="s">
        <v>37</v>
      </c>
      <c r="D531" s="28" t="s">
        <v>1515</v>
      </c>
      <c r="E531" s="71">
        <v>1271.23</v>
      </c>
      <c r="F531" s="29" t="s">
        <v>1516</v>
      </c>
      <c r="G531" s="26">
        <v>45721.0</v>
      </c>
      <c r="H531" s="70">
        <f t="shared" si="1"/>
        <v>5</v>
      </c>
      <c r="I531" s="70">
        <f t="shared" si="2"/>
        <v>3</v>
      </c>
      <c r="J531" s="70">
        <f t="shared" si="3"/>
        <v>2025</v>
      </c>
      <c r="K531" s="70" t="str">
        <f t="shared" si="4"/>
        <v>03/2025</v>
      </c>
    </row>
    <row r="532" hidden="1">
      <c r="A532" s="26">
        <v>45722.0</v>
      </c>
      <c r="B532" s="28" t="s">
        <v>1511</v>
      </c>
      <c r="C532" s="29" t="s">
        <v>27</v>
      </c>
      <c r="D532" s="28" t="s">
        <v>1512</v>
      </c>
      <c r="E532" s="71">
        <v>1882.19</v>
      </c>
      <c r="F532" s="29" t="s">
        <v>1513</v>
      </c>
      <c r="G532" s="26">
        <v>45722.0</v>
      </c>
      <c r="H532" s="70">
        <f t="shared" si="1"/>
        <v>6</v>
      </c>
      <c r="I532" s="70">
        <f t="shared" si="2"/>
        <v>3</v>
      </c>
      <c r="J532" s="70">
        <f t="shared" si="3"/>
        <v>2025</v>
      </c>
      <c r="K532" s="70" t="str">
        <f t="shared" si="4"/>
        <v>03/2025</v>
      </c>
    </row>
    <row r="533" hidden="1">
      <c r="A533" s="26">
        <v>45722.0</v>
      </c>
      <c r="B533" s="28" t="s">
        <v>1514</v>
      </c>
      <c r="C533" s="28" t="s">
        <v>37</v>
      </c>
      <c r="D533" s="28" t="s">
        <v>1515</v>
      </c>
      <c r="E533" s="71">
        <v>2547.08</v>
      </c>
      <c r="F533" s="29" t="s">
        <v>1516</v>
      </c>
      <c r="G533" s="26">
        <v>45722.0</v>
      </c>
      <c r="H533" s="70">
        <f t="shared" si="1"/>
        <v>6</v>
      </c>
      <c r="I533" s="70">
        <f t="shared" si="2"/>
        <v>3</v>
      </c>
      <c r="J533" s="70">
        <f t="shared" si="3"/>
        <v>2025</v>
      </c>
      <c r="K533" s="70" t="str">
        <f t="shared" si="4"/>
        <v>03/2025</v>
      </c>
    </row>
    <row r="534" hidden="1">
      <c r="A534" s="26">
        <v>45723.0</v>
      </c>
      <c r="B534" s="28" t="s">
        <v>1519</v>
      </c>
      <c r="C534" s="28" t="s">
        <v>27</v>
      </c>
      <c r="D534" s="28" t="s">
        <v>1520</v>
      </c>
      <c r="E534" s="71">
        <v>43699.81</v>
      </c>
      <c r="F534" s="29" t="s">
        <v>1513</v>
      </c>
      <c r="G534" s="27">
        <v>45692.0</v>
      </c>
      <c r="H534" s="70">
        <f t="shared" si="1"/>
        <v>7</v>
      </c>
      <c r="I534" s="70">
        <f t="shared" si="2"/>
        <v>3</v>
      </c>
      <c r="J534" s="70">
        <f t="shared" si="3"/>
        <v>2025</v>
      </c>
      <c r="K534" s="70" t="str">
        <f t="shared" si="4"/>
        <v>03/2025</v>
      </c>
    </row>
    <row r="535" hidden="1">
      <c r="A535" s="26">
        <v>45723.0</v>
      </c>
      <c r="B535" s="28" t="s">
        <v>1523</v>
      </c>
      <c r="C535" s="28" t="s">
        <v>27</v>
      </c>
      <c r="D535" s="28" t="s">
        <v>1524</v>
      </c>
      <c r="E535" s="71">
        <v>5419.53</v>
      </c>
      <c r="F535" s="29" t="s">
        <v>1513</v>
      </c>
      <c r="G535" s="26">
        <v>45723.0</v>
      </c>
      <c r="H535" s="70">
        <f t="shared" si="1"/>
        <v>7</v>
      </c>
      <c r="I535" s="70">
        <f t="shared" si="2"/>
        <v>3</v>
      </c>
      <c r="J535" s="70">
        <f t="shared" si="3"/>
        <v>2025</v>
      </c>
      <c r="K535" s="70" t="str">
        <f t="shared" si="4"/>
        <v>03/2025</v>
      </c>
    </row>
    <row r="536" hidden="1">
      <c r="A536" s="26">
        <v>45723.0</v>
      </c>
      <c r="B536" s="28" t="s">
        <v>1511</v>
      </c>
      <c r="C536" s="29" t="s">
        <v>27</v>
      </c>
      <c r="D536" s="28" t="s">
        <v>1512</v>
      </c>
      <c r="E536" s="71">
        <v>1760.84</v>
      </c>
      <c r="F536" s="29" t="s">
        <v>1513</v>
      </c>
      <c r="G536" s="26">
        <v>45723.0</v>
      </c>
      <c r="H536" s="70">
        <f t="shared" si="1"/>
        <v>7</v>
      </c>
      <c r="I536" s="70">
        <f t="shared" si="2"/>
        <v>3</v>
      </c>
      <c r="J536" s="70">
        <f t="shared" si="3"/>
        <v>2025</v>
      </c>
      <c r="K536" s="70" t="str">
        <f t="shared" si="4"/>
        <v>03/2025</v>
      </c>
    </row>
    <row r="537" hidden="1">
      <c r="A537" s="26">
        <v>45723.0</v>
      </c>
      <c r="B537" s="28" t="s">
        <v>1514</v>
      </c>
      <c r="C537" s="28" t="s">
        <v>37</v>
      </c>
      <c r="D537" s="28" t="s">
        <v>1515</v>
      </c>
      <c r="E537" s="71">
        <v>1910.29</v>
      </c>
      <c r="F537" s="29" t="s">
        <v>1516</v>
      </c>
      <c r="G537" s="26">
        <v>45723.0</v>
      </c>
      <c r="H537" s="70">
        <f t="shared" si="1"/>
        <v>7</v>
      </c>
      <c r="I537" s="70">
        <f t="shared" si="2"/>
        <v>3</v>
      </c>
      <c r="J537" s="70">
        <f t="shared" si="3"/>
        <v>2025</v>
      </c>
      <c r="K537" s="70" t="str">
        <f t="shared" si="4"/>
        <v>03/2025</v>
      </c>
    </row>
    <row r="538" hidden="1">
      <c r="A538" s="26">
        <v>45724.0</v>
      </c>
      <c r="B538" s="28" t="s">
        <v>1511</v>
      </c>
      <c r="C538" s="29" t="s">
        <v>27</v>
      </c>
      <c r="D538" s="28" t="s">
        <v>1512</v>
      </c>
      <c r="E538" s="71">
        <v>1489.52</v>
      </c>
      <c r="F538" s="29" t="s">
        <v>1513</v>
      </c>
      <c r="G538" s="26">
        <v>45724.0</v>
      </c>
      <c r="H538" s="70">
        <f t="shared" si="1"/>
        <v>8</v>
      </c>
      <c r="I538" s="70">
        <f t="shared" si="2"/>
        <v>3</v>
      </c>
      <c r="J538" s="70">
        <f t="shared" si="3"/>
        <v>2025</v>
      </c>
      <c r="K538" s="70" t="str">
        <f t="shared" si="4"/>
        <v>03/2025</v>
      </c>
    </row>
    <row r="539" hidden="1">
      <c r="A539" s="26">
        <v>45724.0</v>
      </c>
      <c r="B539" s="28" t="s">
        <v>1514</v>
      </c>
      <c r="C539" s="28" t="s">
        <v>37</v>
      </c>
      <c r="D539" s="28" t="s">
        <v>1515</v>
      </c>
      <c r="E539" s="71">
        <v>3420.41</v>
      </c>
      <c r="F539" s="29" t="s">
        <v>1516</v>
      </c>
      <c r="G539" s="26">
        <v>45724.0</v>
      </c>
      <c r="H539" s="70">
        <f t="shared" si="1"/>
        <v>8</v>
      </c>
      <c r="I539" s="70">
        <f t="shared" si="2"/>
        <v>3</v>
      </c>
      <c r="J539" s="70">
        <f t="shared" si="3"/>
        <v>2025</v>
      </c>
      <c r="K539" s="70" t="str">
        <f t="shared" si="4"/>
        <v>03/2025</v>
      </c>
    </row>
    <row r="540" hidden="1">
      <c r="A540" s="26">
        <v>45725.0</v>
      </c>
      <c r="B540" s="28" t="s">
        <v>1511</v>
      </c>
      <c r="C540" s="29" t="s">
        <v>27</v>
      </c>
      <c r="D540" s="28" t="s">
        <v>1512</v>
      </c>
      <c r="E540" s="71">
        <v>485.88</v>
      </c>
      <c r="F540" s="29" t="s">
        <v>1513</v>
      </c>
      <c r="G540" s="26">
        <v>45725.0</v>
      </c>
      <c r="H540" s="70">
        <f t="shared" si="1"/>
        <v>9</v>
      </c>
      <c r="I540" s="70">
        <f t="shared" si="2"/>
        <v>3</v>
      </c>
      <c r="J540" s="70">
        <f t="shared" si="3"/>
        <v>2025</v>
      </c>
      <c r="K540" s="70" t="str">
        <f t="shared" si="4"/>
        <v>03/2025</v>
      </c>
    </row>
    <row r="541" hidden="1">
      <c r="A541" s="26">
        <v>45725.0</v>
      </c>
      <c r="B541" s="28" t="s">
        <v>1514</v>
      </c>
      <c r="C541" s="28" t="s">
        <v>37</v>
      </c>
      <c r="D541" s="28" t="s">
        <v>1515</v>
      </c>
      <c r="E541" s="71">
        <v>1581.75</v>
      </c>
      <c r="F541" s="29" t="s">
        <v>1516</v>
      </c>
      <c r="G541" s="26">
        <v>45725.0</v>
      </c>
      <c r="H541" s="70">
        <f t="shared" si="1"/>
        <v>9</v>
      </c>
      <c r="I541" s="70">
        <f t="shared" si="2"/>
        <v>3</v>
      </c>
      <c r="J541" s="70">
        <f t="shared" si="3"/>
        <v>2025</v>
      </c>
      <c r="K541" s="70" t="str">
        <f t="shared" si="4"/>
        <v>03/2025</v>
      </c>
    </row>
    <row r="542" hidden="1">
      <c r="A542" s="26">
        <v>45726.0</v>
      </c>
      <c r="B542" s="28" t="s">
        <v>1511</v>
      </c>
      <c r="C542" s="29" t="s">
        <v>27</v>
      </c>
      <c r="D542" s="28" t="s">
        <v>1512</v>
      </c>
      <c r="E542" s="71">
        <v>76.14</v>
      </c>
      <c r="F542" s="29" t="s">
        <v>1513</v>
      </c>
      <c r="G542" s="26">
        <v>45726.0</v>
      </c>
      <c r="H542" s="70">
        <f t="shared" si="1"/>
        <v>10</v>
      </c>
      <c r="I542" s="70">
        <f t="shared" si="2"/>
        <v>3</v>
      </c>
      <c r="J542" s="70">
        <f t="shared" si="3"/>
        <v>2025</v>
      </c>
      <c r="K542" s="70" t="str">
        <f t="shared" si="4"/>
        <v>03/2025</v>
      </c>
    </row>
    <row r="543" hidden="1">
      <c r="A543" s="26">
        <v>45726.0</v>
      </c>
      <c r="B543" s="28" t="s">
        <v>1514</v>
      </c>
      <c r="C543" s="28" t="s">
        <v>37</v>
      </c>
      <c r="D543" s="28" t="s">
        <v>1515</v>
      </c>
      <c r="E543" s="71">
        <v>946.13</v>
      </c>
      <c r="F543" s="29" t="s">
        <v>1516</v>
      </c>
      <c r="G543" s="26">
        <v>45726.0</v>
      </c>
      <c r="H543" s="70">
        <f t="shared" si="1"/>
        <v>10</v>
      </c>
      <c r="I543" s="70">
        <f t="shared" si="2"/>
        <v>3</v>
      </c>
      <c r="J543" s="70">
        <f t="shared" si="3"/>
        <v>2025</v>
      </c>
      <c r="K543" s="70" t="str">
        <f t="shared" si="4"/>
        <v>03/2025</v>
      </c>
    </row>
    <row r="544" hidden="1">
      <c r="A544" s="26">
        <v>45726.0</v>
      </c>
      <c r="B544" s="28" t="s">
        <v>1523</v>
      </c>
      <c r="C544" s="28" t="s">
        <v>27</v>
      </c>
      <c r="D544" s="28" t="s">
        <v>1524</v>
      </c>
      <c r="E544" s="71">
        <v>19101.92</v>
      </c>
      <c r="F544" s="29" t="s">
        <v>1513</v>
      </c>
      <c r="G544" s="26">
        <v>45726.0</v>
      </c>
      <c r="H544" s="70">
        <f t="shared" si="1"/>
        <v>10</v>
      </c>
      <c r="I544" s="70">
        <f t="shared" si="2"/>
        <v>3</v>
      </c>
      <c r="J544" s="70">
        <f t="shared" si="3"/>
        <v>2025</v>
      </c>
      <c r="K544" s="70" t="str">
        <f t="shared" si="4"/>
        <v>03/2025</v>
      </c>
    </row>
    <row r="545" hidden="1">
      <c r="A545" s="9">
        <v>45726.0</v>
      </c>
      <c r="B545" s="11" t="s">
        <v>44</v>
      </c>
      <c r="C545" s="11" t="s">
        <v>27</v>
      </c>
      <c r="D545" s="11" t="s">
        <v>1525</v>
      </c>
      <c r="E545" s="69">
        <v>6.82</v>
      </c>
      <c r="F545" s="11" t="s">
        <v>1513</v>
      </c>
      <c r="G545" s="9">
        <v>45726.0</v>
      </c>
      <c r="H545" s="70">
        <f t="shared" si="1"/>
        <v>10</v>
      </c>
      <c r="I545" s="70">
        <f t="shared" si="2"/>
        <v>3</v>
      </c>
      <c r="J545" s="70">
        <f t="shared" si="3"/>
        <v>2025</v>
      </c>
      <c r="K545" s="70" t="str">
        <f t="shared" si="4"/>
        <v>03/2025</v>
      </c>
    </row>
    <row r="546" hidden="1">
      <c r="A546" s="26">
        <v>45727.0</v>
      </c>
      <c r="B546" s="28" t="s">
        <v>1511</v>
      </c>
      <c r="C546" s="28" t="s">
        <v>66</v>
      </c>
      <c r="D546" s="28" t="s">
        <v>1512</v>
      </c>
      <c r="E546" s="71">
        <v>415.8</v>
      </c>
      <c r="F546" s="29" t="s">
        <v>1516</v>
      </c>
      <c r="G546" s="26">
        <v>45727.0</v>
      </c>
      <c r="H546" s="70">
        <f t="shared" si="1"/>
        <v>11</v>
      </c>
      <c r="I546" s="70">
        <f t="shared" si="2"/>
        <v>3</v>
      </c>
      <c r="J546" s="70">
        <f t="shared" si="3"/>
        <v>2025</v>
      </c>
      <c r="K546" s="70" t="str">
        <f t="shared" si="4"/>
        <v>03/2025</v>
      </c>
    </row>
    <row r="547" hidden="1">
      <c r="A547" s="26">
        <v>45727.0</v>
      </c>
      <c r="B547" s="28" t="s">
        <v>1514</v>
      </c>
      <c r="C547" s="28" t="s">
        <v>37</v>
      </c>
      <c r="D547" s="28" t="s">
        <v>1515</v>
      </c>
      <c r="E547" s="71">
        <v>1517.16</v>
      </c>
      <c r="F547" s="29" t="s">
        <v>1516</v>
      </c>
      <c r="G547" s="26">
        <v>45727.0</v>
      </c>
      <c r="H547" s="70">
        <f t="shared" si="1"/>
        <v>11</v>
      </c>
      <c r="I547" s="70">
        <f t="shared" si="2"/>
        <v>3</v>
      </c>
      <c r="J547" s="70">
        <f t="shared" si="3"/>
        <v>2025</v>
      </c>
      <c r="K547" s="70" t="str">
        <f t="shared" si="4"/>
        <v>03/2025</v>
      </c>
    </row>
    <row r="548" hidden="1">
      <c r="A548" s="26">
        <v>45728.0</v>
      </c>
      <c r="B548" s="28" t="s">
        <v>1514</v>
      </c>
      <c r="C548" s="28" t="s">
        <v>37</v>
      </c>
      <c r="D548" s="28" t="s">
        <v>1515</v>
      </c>
      <c r="E548" s="71">
        <v>671.2</v>
      </c>
      <c r="F548" s="29" t="s">
        <v>1516</v>
      </c>
      <c r="G548" s="26">
        <v>45728.0</v>
      </c>
      <c r="H548" s="70">
        <f t="shared" si="1"/>
        <v>12</v>
      </c>
      <c r="I548" s="70">
        <f t="shared" si="2"/>
        <v>3</v>
      </c>
      <c r="J548" s="70">
        <f t="shared" si="3"/>
        <v>2025</v>
      </c>
      <c r="K548" s="70" t="str">
        <f t="shared" si="4"/>
        <v>03/2025</v>
      </c>
    </row>
    <row r="549" hidden="1">
      <c r="A549" s="26">
        <v>45728.0</v>
      </c>
      <c r="B549" s="28" t="s">
        <v>1521</v>
      </c>
      <c r="C549" s="28" t="s">
        <v>27</v>
      </c>
      <c r="D549" s="28" t="s">
        <v>1522</v>
      </c>
      <c r="E549" s="69">
        <v>881.46</v>
      </c>
      <c r="F549" s="29" t="s">
        <v>1513</v>
      </c>
      <c r="G549" s="26">
        <v>45728.0</v>
      </c>
      <c r="H549" s="70">
        <f t="shared" si="1"/>
        <v>12</v>
      </c>
      <c r="I549" s="70">
        <f t="shared" si="2"/>
        <v>3</v>
      </c>
      <c r="J549" s="70">
        <f t="shared" si="3"/>
        <v>2025</v>
      </c>
      <c r="K549" s="70" t="str">
        <f t="shared" si="4"/>
        <v>03/2025</v>
      </c>
    </row>
    <row r="550" hidden="1">
      <c r="A550" s="26">
        <v>45728.0</v>
      </c>
      <c r="B550" s="28" t="s">
        <v>1511</v>
      </c>
      <c r="C550" s="29" t="s">
        <v>27</v>
      </c>
      <c r="D550" s="28" t="s">
        <v>1512</v>
      </c>
      <c r="E550" s="71">
        <v>412.7</v>
      </c>
      <c r="F550" s="29" t="s">
        <v>1513</v>
      </c>
      <c r="G550" s="26">
        <v>45728.0</v>
      </c>
      <c r="H550" s="70">
        <f t="shared" si="1"/>
        <v>12</v>
      </c>
      <c r="I550" s="70">
        <f t="shared" si="2"/>
        <v>3</v>
      </c>
      <c r="J550" s="70">
        <f t="shared" si="3"/>
        <v>2025</v>
      </c>
      <c r="K550" s="70" t="str">
        <f t="shared" si="4"/>
        <v>03/2025</v>
      </c>
    </row>
    <row r="551" hidden="1">
      <c r="A551" s="26">
        <v>45729.0</v>
      </c>
      <c r="B551" s="28" t="s">
        <v>1514</v>
      </c>
      <c r="C551" s="28" t="s">
        <v>37</v>
      </c>
      <c r="D551" s="28" t="s">
        <v>1515</v>
      </c>
      <c r="E551" s="71">
        <v>1135.59</v>
      </c>
      <c r="F551" s="29" t="s">
        <v>1516</v>
      </c>
      <c r="G551" s="26">
        <v>45729.0</v>
      </c>
      <c r="H551" s="70">
        <f t="shared" si="1"/>
        <v>13</v>
      </c>
      <c r="I551" s="70">
        <f t="shared" si="2"/>
        <v>3</v>
      </c>
      <c r="J551" s="70">
        <f t="shared" si="3"/>
        <v>2025</v>
      </c>
      <c r="K551" s="70" t="str">
        <f t="shared" si="4"/>
        <v>03/2025</v>
      </c>
    </row>
    <row r="552" hidden="1">
      <c r="A552" s="26">
        <v>45729.0</v>
      </c>
      <c r="B552" s="28" t="s">
        <v>1511</v>
      </c>
      <c r="C552" s="29" t="s">
        <v>27</v>
      </c>
      <c r="D552" s="28" t="s">
        <v>1512</v>
      </c>
      <c r="E552" s="71">
        <v>1006.46</v>
      </c>
      <c r="F552" s="29" t="s">
        <v>1513</v>
      </c>
      <c r="G552" s="26">
        <v>45729.0</v>
      </c>
      <c r="H552" s="70">
        <f t="shared" si="1"/>
        <v>13</v>
      </c>
      <c r="I552" s="70">
        <f t="shared" si="2"/>
        <v>3</v>
      </c>
      <c r="J552" s="70">
        <f t="shared" si="3"/>
        <v>2025</v>
      </c>
      <c r="K552" s="70" t="str">
        <f t="shared" si="4"/>
        <v>03/2025</v>
      </c>
    </row>
    <row r="553" hidden="1">
      <c r="A553" s="26">
        <v>45730.0</v>
      </c>
      <c r="B553" s="28" t="s">
        <v>1514</v>
      </c>
      <c r="C553" s="28" t="s">
        <v>37</v>
      </c>
      <c r="D553" s="28" t="s">
        <v>1515</v>
      </c>
      <c r="E553" s="71">
        <v>1653.36</v>
      </c>
      <c r="F553" s="29" t="s">
        <v>1516</v>
      </c>
      <c r="G553" s="26">
        <v>45730.0</v>
      </c>
      <c r="H553" s="70">
        <f t="shared" si="1"/>
        <v>14</v>
      </c>
      <c r="I553" s="70">
        <f t="shared" si="2"/>
        <v>3</v>
      </c>
      <c r="J553" s="70">
        <f t="shared" si="3"/>
        <v>2025</v>
      </c>
      <c r="K553" s="70" t="str">
        <f t="shared" si="4"/>
        <v>03/2025</v>
      </c>
    </row>
    <row r="554" hidden="1">
      <c r="A554" s="26">
        <v>45730.0</v>
      </c>
      <c r="B554" s="28" t="s">
        <v>1511</v>
      </c>
      <c r="C554" s="29" t="s">
        <v>27</v>
      </c>
      <c r="D554" s="28" t="s">
        <v>1512</v>
      </c>
      <c r="E554" s="71">
        <v>486.07</v>
      </c>
      <c r="F554" s="29" t="s">
        <v>1513</v>
      </c>
      <c r="G554" s="26">
        <v>45730.0</v>
      </c>
      <c r="H554" s="70">
        <f t="shared" si="1"/>
        <v>14</v>
      </c>
      <c r="I554" s="70">
        <f t="shared" si="2"/>
        <v>3</v>
      </c>
      <c r="J554" s="70">
        <f t="shared" si="3"/>
        <v>2025</v>
      </c>
      <c r="K554" s="70" t="str">
        <f t="shared" si="4"/>
        <v>03/2025</v>
      </c>
    </row>
    <row r="555" hidden="1">
      <c r="A555" s="26">
        <v>45731.0</v>
      </c>
      <c r="B555" s="28" t="s">
        <v>1514</v>
      </c>
      <c r="C555" s="28" t="s">
        <v>37</v>
      </c>
      <c r="D555" s="28" t="s">
        <v>1515</v>
      </c>
      <c r="E555" s="71">
        <v>2548.87</v>
      </c>
      <c r="F555" s="29" t="s">
        <v>1516</v>
      </c>
      <c r="G555" s="26">
        <v>45731.0</v>
      </c>
      <c r="H555" s="70">
        <f t="shared" si="1"/>
        <v>15</v>
      </c>
      <c r="I555" s="70">
        <f t="shared" si="2"/>
        <v>3</v>
      </c>
      <c r="J555" s="70">
        <f t="shared" si="3"/>
        <v>2025</v>
      </c>
      <c r="K555" s="70" t="str">
        <f t="shared" si="4"/>
        <v>03/2025</v>
      </c>
    </row>
    <row r="556" hidden="1">
      <c r="A556" s="26">
        <v>45731.0</v>
      </c>
      <c r="B556" s="28" t="s">
        <v>1511</v>
      </c>
      <c r="C556" s="29" t="s">
        <v>27</v>
      </c>
      <c r="D556" s="28" t="s">
        <v>1512</v>
      </c>
      <c r="E556" s="71">
        <v>1442.57</v>
      </c>
      <c r="F556" s="29" t="s">
        <v>1513</v>
      </c>
      <c r="G556" s="26">
        <v>45731.0</v>
      </c>
      <c r="H556" s="70">
        <f t="shared" si="1"/>
        <v>15</v>
      </c>
      <c r="I556" s="70">
        <f t="shared" si="2"/>
        <v>3</v>
      </c>
      <c r="J556" s="70">
        <f t="shared" si="3"/>
        <v>2025</v>
      </c>
      <c r="K556" s="70" t="str">
        <f t="shared" si="4"/>
        <v>03/2025</v>
      </c>
    </row>
    <row r="557" hidden="1">
      <c r="A557" s="26">
        <v>45732.0</v>
      </c>
      <c r="B557" s="28" t="s">
        <v>1514</v>
      </c>
      <c r="C557" s="28" t="s">
        <v>37</v>
      </c>
      <c r="D557" s="28" t="s">
        <v>1515</v>
      </c>
      <c r="E557" s="71">
        <v>497.36</v>
      </c>
      <c r="F557" s="29" t="s">
        <v>1516</v>
      </c>
      <c r="G557" s="26">
        <v>45732.0</v>
      </c>
      <c r="H557" s="70">
        <f t="shared" si="1"/>
        <v>16</v>
      </c>
      <c r="I557" s="70">
        <f t="shared" si="2"/>
        <v>3</v>
      </c>
      <c r="J557" s="70">
        <f t="shared" si="3"/>
        <v>2025</v>
      </c>
      <c r="K557" s="70" t="str">
        <f t="shared" si="4"/>
        <v>03/2025</v>
      </c>
    </row>
    <row r="558" hidden="1">
      <c r="A558" s="26">
        <v>45732.0</v>
      </c>
      <c r="B558" s="28" t="s">
        <v>1511</v>
      </c>
      <c r="C558" s="29" t="s">
        <v>27</v>
      </c>
      <c r="D558" s="28" t="s">
        <v>1512</v>
      </c>
      <c r="E558" s="71">
        <v>2205.82</v>
      </c>
      <c r="F558" s="29" t="s">
        <v>1513</v>
      </c>
      <c r="G558" s="26">
        <v>45732.0</v>
      </c>
      <c r="H558" s="70">
        <f t="shared" si="1"/>
        <v>16</v>
      </c>
      <c r="I558" s="70">
        <f t="shared" si="2"/>
        <v>3</v>
      </c>
      <c r="J558" s="70">
        <f t="shared" si="3"/>
        <v>2025</v>
      </c>
      <c r="K558" s="70" t="str">
        <f t="shared" si="4"/>
        <v>03/2025</v>
      </c>
    </row>
    <row r="559" hidden="1">
      <c r="A559" s="26">
        <v>45733.0</v>
      </c>
      <c r="B559" s="28" t="s">
        <v>1511</v>
      </c>
      <c r="C559" s="29" t="s">
        <v>27</v>
      </c>
      <c r="D559" s="28" t="s">
        <v>1512</v>
      </c>
      <c r="E559" s="71">
        <v>224.64</v>
      </c>
      <c r="F559" s="29" t="s">
        <v>1513</v>
      </c>
      <c r="G559" s="26">
        <v>45733.0</v>
      </c>
      <c r="H559" s="70">
        <f t="shared" si="1"/>
        <v>17</v>
      </c>
      <c r="I559" s="70">
        <f t="shared" si="2"/>
        <v>3</v>
      </c>
      <c r="J559" s="70">
        <f t="shared" si="3"/>
        <v>2025</v>
      </c>
      <c r="K559" s="70" t="str">
        <f t="shared" si="4"/>
        <v>03/2025</v>
      </c>
    </row>
    <row r="560" hidden="1">
      <c r="A560" s="26">
        <v>45733.0</v>
      </c>
      <c r="B560" s="28" t="s">
        <v>1514</v>
      </c>
      <c r="C560" s="28" t="s">
        <v>37</v>
      </c>
      <c r="D560" s="28" t="s">
        <v>1515</v>
      </c>
      <c r="E560" s="71">
        <v>786.09</v>
      </c>
      <c r="F560" s="29" t="s">
        <v>1516</v>
      </c>
      <c r="G560" s="26">
        <v>45733.0</v>
      </c>
      <c r="H560" s="70">
        <f t="shared" si="1"/>
        <v>17</v>
      </c>
      <c r="I560" s="70">
        <f t="shared" si="2"/>
        <v>3</v>
      </c>
      <c r="J560" s="70">
        <f t="shared" si="3"/>
        <v>2025</v>
      </c>
      <c r="K560" s="70" t="str">
        <f t="shared" si="4"/>
        <v>03/2025</v>
      </c>
    </row>
    <row r="561" hidden="1">
      <c r="A561" s="26">
        <v>45734.0</v>
      </c>
      <c r="B561" s="28" t="s">
        <v>1511</v>
      </c>
      <c r="C561" s="29" t="s">
        <v>27</v>
      </c>
      <c r="D561" s="28" t="s">
        <v>1512</v>
      </c>
      <c r="E561" s="71">
        <v>2102.97</v>
      </c>
      <c r="F561" s="29" t="s">
        <v>1513</v>
      </c>
      <c r="G561" s="26">
        <v>45734.0</v>
      </c>
      <c r="H561" s="70">
        <f t="shared" si="1"/>
        <v>18</v>
      </c>
      <c r="I561" s="70">
        <f t="shared" si="2"/>
        <v>3</v>
      </c>
      <c r="J561" s="70">
        <f t="shared" si="3"/>
        <v>2025</v>
      </c>
      <c r="K561" s="70" t="str">
        <f t="shared" si="4"/>
        <v>03/2025</v>
      </c>
    </row>
    <row r="562" hidden="1">
      <c r="A562" s="26">
        <v>45734.0</v>
      </c>
      <c r="B562" s="28" t="s">
        <v>1514</v>
      </c>
      <c r="C562" s="28" t="s">
        <v>37</v>
      </c>
      <c r="D562" s="28" t="s">
        <v>1515</v>
      </c>
      <c r="E562" s="71">
        <v>1855.03</v>
      </c>
      <c r="F562" s="29" t="s">
        <v>1516</v>
      </c>
      <c r="G562" s="26">
        <v>45734.0</v>
      </c>
      <c r="H562" s="70">
        <f t="shared" si="1"/>
        <v>18</v>
      </c>
      <c r="I562" s="70">
        <f t="shared" si="2"/>
        <v>3</v>
      </c>
      <c r="J562" s="70">
        <f t="shared" si="3"/>
        <v>2025</v>
      </c>
      <c r="K562" s="70" t="str">
        <f t="shared" si="4"/>
        <v>03/2025</v>
      </c>
    </row>
    <row r="563" hidden="1">
      <c r="A563" s="26">
        <v>45735.0</v>
      </c>
      <c r="B563" s="28" t="s">
        <v>1521</v>
      </c>
      <c r="C563" s="28" t="s">
        <v>27</v>
      </c>
      <c r="D563" s="28" t="s">
        <v>1522</v>
      </c>
      <c r="E563" s="71">
        <v>338.48</v>
      </c>
      <c r="F563" s="29" t="s">
        <v>1513</v>
      </c>
      <c r="G563" s="26">
        <v>45735.0</v>
      </c>
      <c r="H563" s="70">
        <f t="shared" si="1"/>
        <v>19</v>
      </c>
      <c r="I563" s="70">
        <f t="shared" si="2"/>
        <v>3</v>
      </c>
      <c r="J563" s="70">
        <f t="shared" si="3"/>
        <v>2025</v>
      </c>
      <c r="K563" s="70" t="str">
        <f t="shared" si="4"/>
        <v>03/2025</v>
      </c>
    </row>
    <row r="564" hidden="1">
      <c r="A564" s="26">
        <v>45735.0</v>
      </c>
      <c r="B564" s="28" t="s">
        <v>1511</v>
      </c>
      <c r="C564" s="29" t="s">
        <v>27</v>
      </c>
      <c r="D564" s="28" t="s">
        <v>1512</v>
      </c>
      <c r="E564" s="71">
        <v>1537.21</v>
      </c>
      <c r="F564" s="29" t="s">
        <v>1513</v>
      </c>
      <c r="G564" s="26">
        <v>45735.0</v>
      </c>
      <c r="H564" s="70">
        <f t="shared" si="1"/>
        <v>19</v>
      </c>
      <c r="I564" s="70">
        <f t="shared" si="2"/>
        <v>3</v>
      </c>
      <c r="J564" s="70">
        <f t="shared" si="3"/>
        <v>2025</v>
      </c>
      <c r="K564" s="70" t="str">
        <f t="shared" si="4"/>
        <v>03/2025</v>
      </c>
    </row>
    <row r="565" hidden="1">
      <c r="A565" s="26">
        <v>45735.0</v>
      </c>
      <c r="B565" s="28" t="s">
        <v>1514</v>
      </c>
      <c r="C565" s="28" t="s">
        <v>37</v>
      </c>
      <c r="D565" s="28" t="s">
        <v>1515</v>
      </c>
      <c r="E565" s="71">
        <v>2479.65</v>
      </c>
      <c r="F565" s="29" t="s">
        <v>1516</v>
      </c>
      <c r="G565" s="26">
        <v>45735.0</v>
      </c>
      <c r="H565" s="70">
        <f t="shared" si="1"/>
        <v>19</v>
      </c>
      <c r="I565" s="70">
        <f t="shared" si="2"/>
        <v>3</v>
      </c>
      <c r="J565" s="70">
        <f t="shared" si="3"/>
        <v>2025</v>
      </c>
      <c r="K565" s="70" t="str">
        <f t="shared" si="4"/>
        <v>03/2025</v>
      </c>
    </row>
    <row r="566" hidden="1">
      <c r="A566" s="26">
        <v>45736.0</v>
      </c>
      <c r="B566" s="28" t="s">
        <v>1519</v>
      </c>
      <c r="C566" s="28" t="s">
        <v>27</v>
      </c>
      <c r="D566" s="28" t="s">
        <v>1520</v>
      </c>
      <c r="E566" s="71">
        <v>16079.08</v>
      </c>
      <c r="F566" s="29" t="s">
        <v>1513</v>
      </c>
      <c r="G566" s="26">
        <v>45726.0</v>
      </c>
      <c r="H566" s="70">
        <f t="shared" si="1"/>
        <v>20</v>
      </c>
      <c r="I566" s="70">
        <f t="shared" si="2"/>
        <v>3</v>
      </c>
      <c r="J566" s="70">
        <f t="shared" si="3"/>
        <v>2025</v>
      </c>
      <c r="K566" s="70" t="str">
        <f t="shared" si="4"/>
        <v>03/2025</v>
      </c>
    </row>
    <row r="567" hidden="1">
      <c r="A567" s="26">
        <v>45736.0</v>
      </c>
      <c r="B567" s="28" t="s">
        <v>1511</v>
      </c>
      <c r="C567" s="29" t="s">
        <v>27</v>
      </c>
      <c r="D567" s="28" t="s">
        <v>1512</v>
      </c>
      <c r="E567" s="71">
        <v>1592.52</v>
      </c>
      <c r="F567" s="29" t="s">
        <v>1513</v>
      </c>
      <c r="G567" s="26">
        <v>45736.0</v>
      </c>
      <c r="H567" s="70">
        <f t="shared" si="1"/>
        <v>20</v>
      </c>
      <c r="I567" s="70">
        <f t="shared" si="2"/>
        <v>3</v>
      </c>
      <c r="J567" s="70">
        <f t="shared" si="3"/>
        <v>2025</v>
      </c>
      <c r="K567" s="70" t="str">
        <f t="shared" si="4"/>
        <v>03/2025</v>
      </c>
    </row>
    <row r="568" hidden="1">
      <c r="A568" s="26">
        <v>45736.0</v>
      </c>
      <c r="B568" s="28" t="s">
        <v>1514</v>
      </c>
      <c r="C568" s="28" t="s">
        <v>37</v>
      </c>
      <c r="D568" s="28" t="s">
        <v>1515</v>
      </c>
      <c r="E568" s="71">
        <v>2256.88</v>
      </c>
      <c r="F568" s="29" t="s">
        <v>1516</v>
      </c>
      <c r="G568" s="26">
        <v>45736.0</v>
      </c>
      <c r="H568" s="70">
        <f t="shared" si="1"/>
        <v>20</v>
      </c>
      <c r="I568" s="70">
        <f t="shared" si="2"/>
        <v>3</v>
      </c>
      <c r="J568" s="70">
        <f t="shared" si="3"/>
        <v>2025</v>
      </c>
      <c r="K568" s="70" t="str">
        <f t="shared" si="4"/>
        <v>03/2025</v>
      </c>
    </row>
    <row r="569" hidden="1">
      <c r="A569" s="26">
        <v>45737.0</v>
      </c>
      <c r="B569" s="28" t="s">
        <v>1523</v>
      </c>
      <c r="C569" s="28" t="s">
        <v>27</v>
      </c>
      <c r="D569" s="28" t="s">
        <v>1524</v>
      </c>
      <c r="E569" s="71">
        <v>4457.66</v>
      </c>
      <c r="F569" s="29" t="s">
        <v>1513</v>
      </c>
      <c r="G569" s="26">
        <v>45727.0</v>
      </c>
      <c r="H569" s="70">
        <f t="shared" si="1"/>
        <v>21</v>
      </c>
      <c r="I569" s="70">
        <f t="shared" si="2"/>
        <v>3</v>
      </c>
      <c r="J569" s="70">
        <f t="shared" si="3"/>
        <v>2025</v>
      </c>
      <c r="K569" s="70" t="str">
        <f t="shared" si="4"/>
        <v>03/2025</v>
      </c>
    </row>
    <row r="570" hidden="1">
      <c r="A570" s="26">
        <v>45737.0</v>
      </c>
      <c r="B570" s="28" t="s">
        <v>1511</v>
      </c>
      <c r="C570" s="29" t="s">
        <v>27</v>
      </c>
      <c r="D570" s="28" t="s">
        <v>1512</v>
      </c>
      <c r="E570" s="71">
        <v>825.45</v>
      </c>
      <c r="F570" s="29" t="s">
        <v>1513</v>
      </c>
      <c r="G570" s="26">
        <v>45737.0</v>
      </c>
      <c r="H570" s="70">
        <f t="shared" si="1"/>
        <v>21</v>
      </c>
      <c r="I570" s="70">
        <f t="shared" si="2"/>
        <v>3</v>
      </c>
      <c r="J570" s="70">
        <f t="shared" si="3"/>
        <v>2025</v>
      </c>
      <c r="K570" s="70" t="str">
        <f t="shared" si="4"/>
        <v>03/2025</v>
      </c>
    </row>
    <row r="571" hidden="1">
      <c r="A571" s="26">
        <v>45737.0</v>
      </c>
      <c r="B571" s="28" t="s">
        <v>1514</v>
      </c>
      <c r="C571" s="28" t="s">
        <v>37</v>
      </c>
      <c r="D571" s="28" t="s">
        <v>1515</v>
      </c>
      <c r="E571" s="71">
        <v>1711.66</v>
      </c>
      <c r="F571" s="29" t="s">
        <v>1516</v>
      </c>
      <c r="G571" s="26">
        <v>45737.0</v>
      </c>
      <c r="H571" s="70">
        <f t="shared" si="1"/>
        <v>21</v>
      </c>
      <c r="I571" s="70">
        <f t="shared" si="2"/>
        <v>3</v>
      </c>
      <c r="J571" s="70">
        <f t="shared" si="3"/>
        <v>2025</v>
      </c>
      <c r="K571" s="70" t="str">
        <f t="shared" si="4"/>
        <v>03/2025</v>
      </c>
    </row>
    <row r="572" hidden="1">
      <c r="A572" s="9">
        <v>45737.0</v>
      </c>
      <c r="B572" s="11" t="s">
        <v>1514</v>
      </c>
      <c r="C572" s="11" t="s">
        <v>27</v>
      </c>
      <c r="D572" s="11" t="s">
        <v>1533</v>
      </c>
      <c r="E572" s="69">
        <v>41746.0</v>
      </c>
      <c r="F572" s="11" t="s">
        <v>1513</v>
      </c>
      <c r="G572" s="9">
        <v>45737.0</v>
      </c>
      <c r="H572" s="70">
        <f t="shared" si="1"/>
        <v>21</v>
      </c>
      <c r="I572" s="70">
        <f t="shared" si="2"/>
        <v>3</v>
      </c>
      <c r="J572" s="70">
        <f t="shared" si="3"/>
        <v>2025</v>
      </c>
      <c r="K572" s="70" t="str">
        <f t="shared" si="4"/>
        <v>03/2025</v>
      </c>
    </row>
    <row r="573" hidden="1">
      <c r="A573" s="26">
        <v>45738.0</v>
      </c>
      <c r="B573" s="28" t="s">
        <v>1511</v>
      </c>
      <c r="C573" s="29" t="s">
        <v>27</v>
      </c>
      <c r="D573" s="28" t="s">
        <v>1512</v>
      </c>
      <c r="E573" s="71">
        <v>2013.54</v>
      </c>
      <c r="F573" s="29" t="s">
        <v>1513</v>
      </c>
      <c r="G573" s="26">
        <v>45738.0</v>
      </c>
      <c r="H573" s="70">
        <f t="shared" si="1"/>
        <v>22</v>
      </c>
      <c r="I573" s="70">
        <f t="shared" si="2"/>
        <v>3</v>
      </c>
      <c r="J573" s="70">
        <f t="shared" si="3"/>
        <v>2025</v>
      </c>
      <c r="K573" s="70" t="str">
        <f t="shared" si="4"/>
        <v>03/2025</v>
      </c>
    </row>
    <row r="574" hidden="1">
      <c r="A574" s="26">
        <v>45738.0</v>
      </c>
      <c r="B574" s="28" t="s">
        <v>1514</v>
      </c>
      <c r="C574" s="28" t="s">
        <v>37</v>
      </c>
      <c r="D574" s="28" t="s">
        <v>1515</v>
      </c>
      <c r="E574" s="71">
        <v>2199.73</v>
      </c>
      <c r="F574" s="29" t="s">
        <v>1516</v>
      </c>
      <c r="G574" s="26">
        <v>45738.0</v>
      </c>
      <c r="H574" s="70">
        <f t="shared" si="1"/>
        <v>22</v>
      </c>
      <c r="I574" s="70">
        <f t="shared" si="2"/>
        <v>3</v>
      </c>
      <c r="J574" s="70">
        <f t="shared" si="3"/>
        <v>2025</v>
      </c>
      <c r="K574" s="70" t="str">
        <f t="shared" si="4"/>
        <v>03/2025</v>
      </c>
    </row>
    <row r="575" hidden="1">
      <c r="A575" s="26">
        <v>45739.0</v>
      </c>
      <c r="B575" s="28" t="s">
        <v>1511</v>
      </c>
      <c r="C575" s="29" t="s">
        <v>27</v>
      </c>
      <c r="D575" s="28" t="s">
        <v>1512</v>
      </c>
      <c r="E575" s="71">
        <v>903.83</v>
      </c>
      <c r="F575" s="29" t="s">
        <v>1513</v>
      </c>
      <c r="G575" s="26">
        <v>45739.0</v>
      </c>
      <c r="H575" s="70">
        <f t="shared" si="1"/>
        <v>23</v>
      </c>
      <c r="I575" s="70">
        <f t="shared" si="2"/>
        <v>3</v>
      </c>
      <c r="J575" s="70">
        <f t="shared" si="3"/>
        <v>2025</v>
      </c>
      <c r="K575" s="70" t="str">
        <f t="shared" si="4"/>
        <v>03/2025</v>
      </c>
    </row>
    <row r="576" hidden="1">
      <c r="A576" s="26">
        <v>45739.0</v>
      </c>
      <c r="B576" s="28" t="s">
        <v>1514</v>
      </c>
      <c r="C576" s="28" t="s">
        <v>37</v>
      </c>
      <c r="D576" s="28" t="s">
        <v>1515</v>
      </c>
      <c r="E576" s="71">
        <v>1577.09</v>
      </c>
      <c r="F576" s="29" t="s">
        <v>1516</v>
      </c>
      <c r="G576" s="26">
        <v>45739.0</v>
      </c>
      <c r="H576" s="70">
        <f t="shared" si="1"/>
        <v>23</v>
      </c>
      <c r="I576" s="70">
        <f t="shared" si="2"/>
        <v>3</v>
      </c>
      <c r="J576" s="70">
        <f t="shared" si="3"/>
        <v>2025</v>
      </c>
      <c r="K576" s="70" t="str">
        <f t="shared" si="4"/>
        <v>03/2025</v>
      </c>
    </row>
    <row r="577" hidden="1">
      <c r="A577" s="26">
        <v>45740.0</v>
      </c>
      <c r="B577" s="28" t="s">
        <v>1519</v>
      </c>
      <c r="C577" s="28" t="s">
        <v>27</v>
      </c>
      <c r="D577" s="28" t="s">
        <v>1520</v>
      </c>
      <c r="E577" s="71">
        <v>4857.11</v>
      </c>
      <c r="F577" s="29" t="s">
        <v>1513</v>
      </c>
      <c r="G577" s="26">
        <v>45740.0</v>
      </c>
      <c r="H577" s="70">
        <f t="shared" si="1"/>
        <v>24</v>
      </c>
      <c r="I577" s="70">
        <f t="shared" si="2"/>
        <v>3</v>
      </c>
      <c r="J577" s="70">
        <f t="shared" si="3"/>
        <v>2025</v>
      </c>
      <c r="K577" s="70" t="str">
        <f t="shared" si="4"/>
        <v>03/2025</v>
      </c>
    </row>
    <row r="578" hidden="1">
      <c r="A578" s="26">
        <v>45740.0</v>
      </c>
      <c r="B578" s="28" t="s">
        <v>1523</v>
      </c>
      <c r="C578" s="28" t="s">
        <v>27</v>
      </c>
      <c r="D578" s="28" t="s">
        <v>1524</v>
      </c>
      <c r="E578" s="71">
        <v>10643.88</v>
      </c>
      <c r="F578" s="29" t="s">
        <v>1513</v>
      </c>
      <c r="G578" s="26">
        <v>45740.0</v>
      </c>
      <c r="H578" s="70">
        <f t="shared" si="1"/>
        <v>24</v>
      </c>
      <c r="I578" s="70">
        <f t="shared" si="2"/>
        <v>3</v>
      </c>
      <c r="J578" s="70">
        <f t="shared" si="3"/>
        <v>2025</v>
      </c>
      <c r="K578" s="70" t="str">
        <f t="shared" si="4"/>
        <v>03/2025</v>
      </c>
    </row>
    <row r="579" hidden="1">
      <c r="A579" s="26">
        <v>45740.0</v>
      </c>
      <c r="B579" s="28" t="s">
        <v>1511</v>
      </c>
      <c r="C579" s="29" t="s">
        <v>27</v>
      </c>
      <c r="D579" s="28" t="s">
        <v>1512</v>
      </c>
      <c r="E579" s="71">
        <v>144.02</v>
      </c>
      <c r="F579" s="29" t="s">
        <v>1513</v>
      </c>
      <c r="G579" s="26">
        <v>45740.0</v>
      </c>
      <c r="H579" s="70">
        <f t="shared" si="1"/>
        <v>24</v>
      </c>
      <c r="I579" s="70">
        <f t="shared" si="2"/>
        <v>3</v>
      </c>
      <c r="J579" s="70">
        <f t="shared" si="3"/>
        <v>2025</v>
      </c>
      <c r="K579" s="70" t="str">
        <f t="shared" si="4"/>
        <v>03/2025</v>
      </c>
    </row>
    <row r="580" hidden="1">
      <c r="A580" s="26">
        <v>45740.0</v>
      </c>
      <c r="B580" s="28" t="s">
        <v>1514</v>
      </c>
      <c r="C580" s="28" t="s">
        <v>37</v>
      </c>
      <c r="D580" s="28" t="s">
        <v>1515</v>
      </c>
      <c r="E580" s="71">
        <v>766.63</v>
      </c>
      <c r="F580" s="29" t="s">
        <v>1516</v>
      </c>
      <c r="G580" s="26">
        <v>45740.0</v>
      </c>
      <c r="H580" s="70">
        <f t="shared" si="1"/>
        <v>24</v>
      </c>
      <c r="I580" s="70">
        <f t="shared" si="2"/>
        <v>3</v>
      </c>
      <c r="J580" s="70">
        <f t="shared" si="3"/>
        <v>2025</v>
      </c>
      <c r="K580" s="70" t="str">
        <f t="shared" si="4"/>
        <v>03/2025</v>
      </c>
    </row>
    <row r="581" hidden="1">
      <c r="A581" s="26">
        <v>45741.0</v>
      </c>
      <c r="B581" s="28" t="s">
        <v>1511</v>
      </c>
      <c r="C581" s="29" t="s">
        <v>27</v>
      </c>
      <c r="D581" s="28" t="s">
        <v>1512</v>
      </c>
      <c r="E581" s="71">
        <v>1574.1</v>
      </c>
      <c r="F581" s="29" t="s">
        <v>1513</v>
      </c>
      <c r="G581" s="26">
        <v>45741.0</v>
      </c>
      <c r="H581" s="70">
        <f t="shared" si="1"/>
        <v>25</v>
      </c>
      <c r="I581" s="70">
        <f t="shared" si="2"/>
        <v>3</v>
      </c>
      <c r="J581" s="70">
        <f t="shared" si="3"/>
        <v>2025</v>
      </c>
      <c r="K581" s="70" t="str">
        <f t="shared" si="4"/>
        <v>03/2025</v>
      </c>
    </row>
    <row r="582" hidden="1">
      <c r="A582" s="26">
        <v>45741.0</v>
      </c>
      <c r="B582" s="28" t="s">
        <v>1514</v>
      </c>
      <c r="C582" s="28" t="s">
        <v>37</v>
      </c>
      <c r="D582" s="28" t="s">
        <v>1515</v>
      </c>
      <c r="E582" s="71">
        <v>1999.74</v>
      </c>
      <c r="F582" s="29" t="s">
        <v>1516</v>
      </c>
      <c r="G582" s="26">
        <v>45741.0</v>
      </c>
      <c r="H582" s="70">
        <f t="shared" si="1"/>
        <v>25</v>
      </c>
      <c r="I582" s="70">
        <f t="shared" si="2"/>
        <v>3</v>
      </c>
      <c r="J582" s="70">
        <f t="shared" si="3"/>
        <v>2025</v>
      </c>
      <c r="K582" s="70" t="str">
        <f t="shared" si="4"/>
        <v>03/2025</v>
      </c>
    </row>
    <row r="583" hidden="1">
      <c r="A583" s="26">
        <v>45741.0</v>
      </c>
      <c r="B583" s="28" t="s">
        <v>1523</v>
      </c>
      <c r="C583" s="28" t="s">
        <v>27</v>
      </c>
      <c r="D583" s="28" t="s">
        <v>1524</v>
      </c>
      <c r="E583" s="71">
        <v>1065.14</v>
      </c>
      <c r="F583" s="29" t="s">
        <v>1513</v>
      </c>
      <c r="G583" s="26">
        <v>45754.0</v>
      </c>
      <c r="H583" s="70">
        <f t="shared" si="1"/>
        <v>25</v>
      </c>
      <c r="I583" s="70">
        <f t="shared" si="2"/>
        <v>3</v>
      </c>
      <c r="J583" s="70">
        <f t="shared" si="3"/>
        <v>2025</v>
      </c>
      <c r="K583" s="70" t="str">
        <f t="shared" si="4"/>
        <v>03/2025</v>
      </c>
    </row>
    <row r="584" hidden="1">
      <c r="A584" s="26">
        <v>45742.0</v>
      </c>
      <c r="B584" s="28" t="s">
        <v>1511</v>
      </c>
      <c r="C584" s="29" t="s">
        <v>27</v>
      </c>
      <c r="D584" s="28" t="s">
        <v>1512</v>
      </c>
      <c r="E584" s="71">
        <v>694.45</v>
      </c>
      <c r="F584" s="29" t="s">
        <v>1513</v>
      </c>
      <c r="G584" s="26">
        <v>45742.0</v>
      </c>
      <c r="H584" s="70">
        <f t="shared" si="1"/>
        <v>26</v>
      </c>
      <c r="I584" s="70">
        <f t="shared" si="2"/>
        <v>3</v>
      </c>
      <c r="J584" s="70">
        <f t="shared" si="3"/>
        <v>2025</v>
      </c>
      <c r="K584" s="70" t="str">
        <f t="shared" si="4"/>
        <v>03/2025</v>
      </c>
    </row>
    <row r="585" hidden="1">
      <c r="A585" s="26">
        <v>45742.0</v>
      </c>
      <c r="B585" s="28" t="s">
        <v>1514</v>
      </c>
      <c r="C585" s="28" t="s">
        <v>37</v>
      </c>
      <c r="D585" s="28" t="s">
        <v>1515</v>
      </c>
      <c r="E585" s="71">
        <v>2661.31</v>
      </c>
      <c r="F585" s="29" t="s">
        <v>1516</v>
      </c>
      <c r="G585" s="26">
        <v>45742.0</v>
      </c>
      <c r="H585" s="70">
        <f t="shared" si="1"/>
        <v>26</v>
      </c>
      <c r="I585" s="70">
        <f t="shared" si="2"/>
        <v>3</v>
      </c>
      <c r="J585" s="70">
        <f t="shared" si="3"/>
        <v>2025</v>
      </c>
      <c r="K585" s="70" t="str">
        <f t="shared" si="4"/>
        <v>03/2025</v>
      </c>
    </row>
    <row r="586" hidden="1">
      <c r="A586" s="26">
        <v>45742.0</v>
      </c>
      <c r="B586" s="28" t="s">
        <v>1523</v>
      </c>
      <c r="C586" s="28" t="s">
        <v>27</v>
      </c>
      <c r="D586" s="28" t="s">
        <v>1524</v>
      </c>
      <c r="E586" s="71">
        <v>6016.31</v>
      </c>
      <c r="F586" s="29" t="s">
        <v>1513</v>
      </c>
      <c r="G586" s="27">
        <v>45754.0</v>
      </c>
      <c r="H586" s="70">
        <f t="shared" si="1"/>
        <v>26</v>
      </c>
      <c r="I586" s="70">
        <f t="shared" si="2"/>
        <v>3</v>
      </c>
      <c r="J586" s="70">
        <f t="shared" si="3"/>
        <v>2025</v>
      </c>
      <c r="K586" s="70" t="str">
        <f t="shared" si="4"/>
        <v>03/2025</v>
      </c>
    </row>
    <row r="587" hidden="1">
      <c r="A587" s="26">
        <v>45742.0</v>
      </c>
      <c r="B587" s="28" t="s">
        <v>1521</v>
      </c>
      <c r="C587" s="28" t="s">
        <v>27</v>
      </c>
      <c r="D587" s="28" t="s">
        <v>1522</v>
      </c>
      <c r="E587" s="71">
        <v>67.59</v>
      </c>
      <c r="F587" s="29" t="s">
        <v>1513</v>
      </c>
      <c r="G587" s="26">
        <v>45742.0</v>
      </c>
      <c r="H587" s="70">
        <f t="shared" si="1"/>
        <v>26</v>
      </c>
      <c r="I587" s="70">
        <f t="shared" si="2"/>
        <v>3</v>
      </c>
      <c r="J587" s="70">
        <f t="shared" si="3"/>
        <v>2025</v>
      </c>
      <c r="K587" s="70" t="str">
        <f t="shared" si="4"/>
        <v>03/2025</v>
      </c>
    </row>
    <row r="588" hidden="1">
      <c r="A588" s="26">
        <v>45743.0</v>
      </c>
      <c r="B588" s="28" t="s">
        <v>1511</v>
      </c>
      <c r="C588" s="29" t="s">
        <v>27</v>
      </c>
      <c r="D588" s="28" t="s">
        <v>1512</v>
      </c>
      <c r="E588" s="69">
        <v>1085.75</v>
      </c>
      <c r="F588" s="29" t="s">
        <v>1513</v>
      </c>
      <c r="G588" s="26">
        <v>45743.0</v>
      </c>
      <c r="H588" s="70">
        <f t="shared" si="1"/>
        <v>27</v>
      </c>
      <c r="I588" s="70">
        <f t="shared" si="2"/>
        <v>3</v>
      </c>
      <c r="J588" s="70">
        <f t="shared" si="3"/>
        <v>2025</v>
      </c>
      <c r="K588" s="70" t="str">
        <f t="shared" si="4"/>
        <v>03/2025</v>
      </c>
    </row>
    <row r="589" hidden="1">
      <c r="A589" s="26">
        <v>45743.0</v>
      </c>
      <c r="B589" s="28" t="s">
        <v>1514</v>
      </c>
      <c r="C589" s="28" t="s">
        <v>37</v>
      </c>
      <c r="D589" s="28" t="s">
        <v>1515</v>
      </c>
      <c r="E589" s="69">
        <v>1500.0</v>
      </c>
      <c r="F589" s="29" t="s">
        <v>1516</v>
      </c>
      <c r="G589" s="26">
        <v>45743.0</v>
      </c>
      <c r="H589" s="70">
        <f t="shared" si="1"/>
        <v>27</v>
      </c>
      <c r="I589" s="70">
        <f t="shared" si="2"/>
        <v>3</v>
      </c>
      <c r="J589" s="70">
        <f t="shared" si="3"/>
        <v>2025</v>
      </c>
      <c r="K589" s="70" t="str">
        <f t="shared" si="4"/>
        <v>03/2025</v>
      </c>
    </row>
    <row r="590" hidden="1">
      <c r="A590" s="26">
        <v>45744.0</v>
      </c>
      <c r="B590" s="28" t="s">
        <v>1511</v>
      </c>
      <c r="C590" s="29" t="s">
        <v>27</v>
      </c>
      <c r="D590" s="28" t="s">
        <v>1512</v>
      </c>
      <c r="E590" s="69">
        <v>366.7</v>
      </c>
      <c r="F590" s="29" t="s">
        <v>1513</v>
      </c>
      <c r="G590" s="26">
        <v>45744.0</v>
      </c>
      <c r="H590" s="70">
        <f t="shared" si="1"/>
        <v>28</v>
      </c>
      <c r="I590" s="70">
        <f t="shared" si="2"/>
        <v>3</v>
      </c>
      <c r="J590" s="70">
        <f t="shared" si="3"/>
        <v>2025</v>
      </c>
      <c r="K590" s="70" t="str">
        <f t="shared" si="4"/>
        <v>03/2025</v>
      </c>
    </row>
    <row r="591" hidden="1">
      <c r="A591" s="26">
        <v>45744.0</v>
      </c>
      <c r="B591" s="28" t="s">
        <v>1514</v>
      </c>
      <c r="C591" s="28" t="s">
        <v>37</v>
      </c>
      <c r="D591" s="28" t="s">
        <v>1515</v>
      </c>
      <c r="E591" s="69">
        <v>1209.72</v>
      </c>
      <c r="F591" s="29" t="s">
        <v>1516</v>
      </c>
      <c r="G591" s="26">
        <v>45744.0</v>
      </c>
      <c r="H591" s="70">
        <f t="shared" si="1"/>
        <v>28</v>
      </c>
      <c r="I591" s="70">
        <f t="shared" si="2"/>
        <v>3</v>
      </c>
      <c r="J591" s="70">
        <f t="shared" si="3"/>
        <v>2025</v>
      </c>
      <c r="K591" s="70" t="str">
        <f t="shared" si="4"/>
        <v>03/2025</v>
      </c>
    </row>
    <row r="592" hidden="1">
      <c r="A592" s="26">
        <v>45745.0</v>
      </c>
      <c r="B592" s="28" t="s">
        <v>1511</v>
      </c>
      <c r="C592" s="29" t="s">
        <v>27</v>
      </c>
      <c r="D592" s="28" t="s">
        <v>1512</v>
      </c>
      <c r="E592" s="69">
        <v>1213.96</v>
      </c>
      <c r="F592" s="29" t="s">
        <v>1513</v>
      </c>
      <c r="G592" s="26">
        <v>45745.0</v>
      </c>
      <c r="H592" s="70">
        <f t="shared" si="1"/>
        <v>29</v>
      </c>
      <c r="I592" s="70">
        <f t="shared" si="2"/>
        <v>3</v>
      </c>
      <c r="J592" s="70">
        <f t="shared" si="3"/>
        <v>2025</v>
      </c>
      <c r="K592" s="70" t="str">
        <f t="shared" si="4"/>
        <v>03/2025</v>
      </c>
    </row>
    <row r="593" hidden="1">
      <c r="A593" s="26">
        <v>45745.0</v>
      </c>
      <c r="B593" s="28" t="s">
        <v>1514</v>
      </c>
      <c r="C593" s="28" t="s">
        <v>37</v>
      </c>
      <c r="D593" s="28" t="s">
        <v>1515</v>
      </c>
      <c r="E593" s="69">
        <v>3806.56</v>
      </c>
      <c r="F593" s="29" t="s">
        <v>1516</v>
      </c>
      <c r="G593" s="26">
        <v>45745.0</v>
      </c>
      <c r="H593" s="70">
        <f t="shared" si="1"/>
        <v>29</v>
      </c>
      <c r="I593" s="70">
        <f t="shared" si="2"/>
        <v>3</v>
      </c>
      <c r="J593" s="70">
        <f t="shared" si="3"/>
        <v>2025</v>
      </c>
      <c r="K593" s="70" t="str">
        <f t="shared" si="4"/>
        <v>03/2025</v>
      </c>
    </row>
    <row r="594" hidden="1">
      <c r="A594" s="26">
        <v>45746.0</v>
      </c>
      <c r="B594" s="28" t="s">
        <v>1511</v>
      </c>
      <c r="C594" s="29" t="s">
        <v>27</v>
      </c>
      <c r="D594" s="28" t="s">
        <v>1512</v>
      </c>
      <c r="E594" s="69">
        <v>602.65</v>
      </c>
      <c r="F594" s="29" t="s">
        <v>1513</v>
      </c>
      <c r="G594" s="26">
        <v>45746.0</v>
      </c>
      <c r="H594" s="70">
        <f t="shared" si="1"/>
        <v>30</v>
      </c>
      <c r="I594" s="70">
        <f t="shared" si="2"/>
        <v>3</v>
      </c>
      <c r="J594" s="70">
        <f t="shared" si="3"/>
        <v>2025</v>
      </c>
      <c r="K594" s="70" t="str">
        <f t="shared" si="4"/>
        <v>03/2025</v>
      </c>
    </row>
    <row r="595" hidden="1">
      <c r="A595" s="26">
        <v>45746.0</v>
      </c>
      <c r="B595" s="28" t="s">
        <v>1514</v>
      </c>
      <c r="C595" s="28" t="s">
        <v>37</v>
      </c>
      <c r="D595" s="28" t="s">
        <v>1515</v>
      </c>
      <c r="E595" s="69">
        <v>2242.56</v>
      </c>
      <c r="F595" s="29" t="s">
        <v>1516</v>
      </c>
      <c r="G595" s="26">
        <v>45746.0</v>
      </c>
      <c r="H595" s="70">
        <f t="shared" si="1"/>
        <v>30</v>
      </c>
      <c r="I595" s="70">
        <f t="shared" si="2"/>
        <v>3</v>
      </c>
      <c r="J595" s="70">
        <f t="shared" si="3"/>
        <v>2025</v>
      </c>
      <c r="K595" s="70" t="str">
        <f t="shared" si="4"/>
        <v>03/2025</v>
      </c>
    </row>
    <row r="596" hidden="1">
      <c r="A596" s="26">
        <v>45747.0</v>
      </c>
      <c r="B596" s="28" t="s">
        <v>1519</v>
      </c>
      <c r="C596" s="28" t="s">
        <v>27</v>
      </c>
      <c r="D596" s="28" t="s">
        <v>1520</v>
      </c>
      <c r="E596" s="71">
        <v>9889.65</v>
      </c>
      <c r="F596" s="29" t="s">
        <v>1513</v>
      </c>
      <c r="G596" s="26">
        <v>45744.0</v>
      </c>
      <c r="H596" s="70">
        <f t="shared" si="1"/>
        <v>31</v>
      </c>
      <c r="I596" s="70">
        <f t="shared" si="2"/>
        <v>3</v>
      </c>
      <c r="J596" s="70">
        <f t="shared" si="3"/>
        <v>2025</v>
      </c>
      <c r="K596" s="70" t="str">
        <f t="shared" si="4"/>
        <v>03/2025</v>
      </c>
    </row>
    <row r="597" hidden="1">
      <c r="A597" s="26">
        <v>45747.0</v>
      </c>
      <c r="B597" s="28" t="s">
        <v>1511</v>
      </c>
      <c r="C597" s="29" t="s">
        <v>27</v>
      </c>
      <c r="D597" s="28" t="s">
        <v>1512</v>
      </c>
      <c r="E597" s="69">
        <v>496.33</v>
      </c>
      <c r="F597" s="29" t="s">
        <v>1513</v>
      </c>
      <c r="G597" s="26">
        <v>45747.0</v>
      </c>
      <c r="H597" s="70">
        <f t="shared" si="1"/>
        <v>31</v>
      </c>
      <c r="I597" s="70">
        <f t="shared" si="2"/>
        <v>3</v>
      </c>
      <c r="J597" s="70">
        <f t="shared" si="3"/>
        <v>2025</v>
      </c>
      <c r="K597" s="70" t="str">
        <f t="shared" si="4"/>
        <v>03/2025</v>
      </c>
    </row>
    <row r="598" hidden="1">
      <c r="A598" s="26">
        <v>45747.0</v>
      </c>
      <c r="B598" s="28" t="s">
        <v>1514</v>
      </c>
      <c r="C598" s="28" t="s">
        <v>37</v>
      </c>
      <c r="D598" s="28" t="s">
        <v>1515</v>
      </c>
      <c r="E598" s="69">
        <v>491.38</v>
      </c>
      <c r="F598" s="29" t="s">
        <v>1516</v>
      </c>
      <c r="G598" s="26">
        <v>45747.0</v>
      </c>
      <c r="H598" s="70">
        <f t="shared" si="1"/>
        <v>31</v>
      </c>
      <c r="I598" s="70">
        <f t="shared" si="2"/>
        <v>3</v>
      </c>
      <c r="J598" s="70">
        <f t="shared" si="3"/>
        <v>2025</v>
      </c>
      <c r="K598" s="70" t="str">
        <f t="shared" si="4"/>
        <v>03/2025</v>
      </c>
    </row>
    <row r="599" hidden="1">
      <c r="A599" s="26">
        <v>45748.0</v>
      </c>
      <c r="B599" s="28" t="s">
        <v>1523</v>
      </c>
      <c r="C599" s="28" t="s">
        <v>27</v>
      </c>
      <c r="D599" s="28" t="s">
        <v>1524</v>
      </c>
      <c r="E599" s="71">
        <v>3345.1</v>
      </c>
      <c r="F599" s="29" t="s">
        <v>1513</v>
      </c>
      <c r="G599" s="26">
        <v>45748.0</v>
      </c>
      <c r="H599" s="70">
        <f t="shared" si="1"/>
        <v>1</v>
      </c>
      <c r="I599" s="70">
        <f t="shared" si="2"/>
        <v>4</v>
      </c>
      <c r="J599" s="70">
        <f t="shared" si="3"/>
        <v>2025</v>
      </c>
      <c r="K599" s="70" t="str">
        <f t="shared" si="4"/>
        <v>04/2025</v>
      </c>
    </row>
    <row r="600" hidden="1">
      <c r="A600" s="26">
        <v>45748.0</v>
      </c>
      <c r="B600" s="28" t="s">
        <v>1514</v>
      </c>
      <c r="C600" s="28" t="s">
        <v>37</v>
      </c>
      <c r="D600" s="28" t="s">
        <v>1515</v>
      </c>
      <c r="E600" s="69">
        <v>2075.12</v>
      </c>
      <c r="F600" s="29" t="s">
        <v>1516</v>
      </c>
      <c r="G600" s="26">
        <v>45748.0</v>
      </c>
      <c r="H600" s="70">
        <f t="shared" si="1"/>
        <v>1</v>
      </c>
      <c r="I600" s="70">
        <f t="shared" si="2"/>
        <v>4</v>
      </c>
      <c r="J600" s="70">
        <f t="shared" si="3"/>
        <v>2025</v>
      </c>
      <c r="K600" s="70" t="str">
        <f t="shared" si="4"/>
        <v>04/2025</v>
      </c>
    </row>
    <row r="601" hidden="1">
      <c r="A601" s="26">
        <v>45748.0</v>
      </c>
      <c r="B601" s="28" t="s">
        <v>1511</v>
      </c>
      <c r="C601" s="29" t="s">
        <v>27</v>
      </c>
      <c r="D601" s="28" t="s">
        <v>1512</v>
      </c>
      <c r="E601" s="69">
        <v>972.11</v>
      </c>
      <c r="F601" s="29" t="s">
        <v>1513</v>
      </c>
      <c r="G601" s="26">
        <v>45748.0</v>
      </c>
      <c r="H601" s="70">
        <f t="shared" si="1"/>
        <v>1</v>
      </c>
      <c r="I601" s="70">
        <f t="shared" si="2"/>
        <v>4</v>
      </c>
      <c r="J601" s="70">
        <f t="shared" si="3"/>
        <v>2025</v>
      </c>
      <c r="K601" s="70" t="str">
        <f t="shared" si="4"/>
        <v>04/2025</v>
      </c>
    </row>
    <row r="602" hidden="1">
      <c r="A602" s="26">
        <v>45749.0</v>
      </c>
      <c r="B602" s="28" t="s">
        <v>1521</v>
      </c>
      <c r="C602" s="28" t="s">
        <v>27</v>
      </c>
      <c r="D602" s="28" t="s">
        <v>1522</v>
      </c>
      <c r="E602" s="71">
        <v>198.7</v>
      </c>
      <c r="F602" s="29" t="s">
        <v>1513</v>
      </c>
      <c r="G602" s="26">
        <v>45749.0</v>
      </c>
      <c r="H602" s="70">
        <f t="shared" si="1"/>
        <v>2</v>
      </c>
      <c r="I602" s="70">
        <f t="shared" si="2"/>
        <v>4</v>
      </c>
      <c r="J602" s="70">
        <f t="shared" si="3"/>
        <v>2025</v>
      </c>
      <c r="K602" s="70" t="str">
        <f t="shared" si="4"/>
        <v>04/2025</v>
      </c>
    </row>
    <row r="603" hidden="1">
      <c r="A603" s="26">
        <v>45749.0</v>
      </c>
      <c r="B603" s="28" t="s">
        <v>1511</v>
      </c>
      <c r="C603" s="29" t="s">
        <v>27</v>
      </c>
      <c r="D603" s="28" t="s">
        <v>1512</v>
      </c>
      <c r="E603" s="69">
        <v>927.35</v>
      </c>
      <c r="F603" s="29" t="s">
        <v>1513</v>
      </c>
      <c r="G603" s="26">
        <v>45749.0</v>
      </c>
      <c r="H603" s="70">
        <f t="shared" si="1"/>
        <v>2</v>
      </c>
      <c r="I603" s="70">
        <f t="shared" si="2"/>
        <v>4</v>
      </c>
      <c r="J603" s="70">
        <f t="shared" si="3"/>
        <v>2025</v>
      </c>
      <c r="K603" s="70" t="str">
        <f t="shared" si="4"/>
        <v>04/2025</v>
      </c>
    </row>
    <row r="604" hidden="1">
      <c r="A604" s="26">
        <v>45749.0</v>
      </c>
      <c r="B604" s="28" t="s">
        <v>1514</v>
      </c>
      <c r="C604" s="28" t="s">
        <v>37</v>
      </c>
      <c r="D604" s="28" t="s">
        <v>1515</v>
      </c>
      <c r="E604" s="69">
        <v>1732.21</v>
      </c>
      <c r="F604" s="29" t="s">
        <v>1516</v>
      </c>
      <c r="G604" s="26">
        <v>45749.0</v>
      </c>
      <c r="H604" s="70">
        <f t="shared" si="1"/>
        <v>2</v>
      </c>
      <c r="I604" s="70">
        <f t="shared" si="2"/>
        <v>4</v>
      </c>
      <c r="J604" s="70">
        <f t="shared" si="3"/>
        <v>2025</v>
      </c>
      <c r="K604" s="70" t="str">
        <f t="shared" si="4"/>
        <v>04/2025</v>
      </c>
    </row>
    <row r="605" hidden="1">
      <c r="A605" s="9">
        <v>45749.0</v>
      </c>
      <c r="B605" s="11" t="s">
        <v>44</v>
      </c>
      <c r="C605" s="11" t="s">
        <v>27</v>
      </c>
      <c r="D605" s="11" t="s">
        <v>1534</v>
      </c>
      <c r="E605" s="69">
        <v>91200.0</v>
      </c>
      <c r="F605" s="11" t="s">
        <v>1513</v>
      </c>
      <c r="G605" s="9">
        <v>45749.0</v>
      </c>
      <c r="H605" s="70">
        <f t="shared" si="1"/>
        <v>2</v>
      </c>
      <c r="I605" s="70">
        <f t="shared" si="2"/>
        <v>4</v>
      </c>
      <c r="J605" s="70">
        <f t="shared" si="3"/>
        <v>2025</v>
      </c>
      <c r="K605" s="70" t="str">
        <f t="shared" si="4"/>
        <v>04/2025</v>
      </c>
    </row>
    <row r="606" hidden="1">
      <c r="A606" s="26">
        <v>45749.0</v>
      </c>
      <c r="B606" s="28" t="s">
        <v>1523</v>
      </c>
      <c r="C606" s="28" t="s">
        <v>27</v>
      </c>
      <c r="D606" s="28" t="s">
        <v>1524</v>
      </c>
      <c r="E606" s="71">
        <v>8754.12</v>
      </c>
      <c r="F606" s="29" t="s">
        <v>1513</v>
      </c>
      <c r="G606" s="26">
        <v>45749.0</v>
      </c>
      <c r="H606" s="70">
        <f t="shared" si="1"/>
        <v>2</v>
      </c>
      <c r="I606" s="70">
        <f t="shared" si="2"/>
        <v>4</v>
      </c>
      <c r="J606" s="70">
        <f t="shared" si="3"/>
        <v>2025</v>
      </c>
      <c r="K606" s="70" t="str">
        <f t="shared" si="4"/>
        <v>04/2025</v>
      </c>
    </row>
    <row r="607" hidden="1">
      <c r="A607" s="26">
        <v>45750.0</v>
      </c>
      <c r="B607" s="28" t="s">
        <v>1511</v>
      </c>
      <c r="C607" s="29" t="s">
        <v>27</v>
      </c>
      <c r="D607" s="28" t="s">
        <v>1512</v>
      </c>
      <c r="E607" s="69">
        <v>1061.23</v>
      </c>
      <c r="F607" s="29" t="s">
        <v>1513</v>
      </c>
      <c r="G607" s="26">
        <v>45750.0</v>
      </c>
      <c r="H607" s="70">
        <f t="shared" si="1"/>
        <v>3</v>
      </c>
      <c r="I607" s="70">
        <f t="shared" si="2"/>
        <v>4</v>
      </c>
      <c r="J607" s="70">
        <f t="shared" si="3"/>
        <v>2025</v>
      </c>
      <c r="K607" s="70" t="str">
        <f t="shared" si="4"/>
        <v>04/2025</v>
      </c>
    </row>
    <row r="608" hidden="1">
      <c r="A608" s="26">
        <v>45750.0</v>
      </c>
      <c r="B608" s="28" t="s">
        <v>1514</v>
      </c>
      <c r="C608" s="28" t="s">
        <v>37</v>
      </c>
      <c r="D608" s="28" t="s">
        <v>1515</v>
      </c>
      <c r="E608" s="71">
        <v>1669.55</v>
      </c>
      <c r="F608" s="29" t="s">
        <v>1516</v>
      </c>
      <c r="G608" s="26">
        <v>45750.0</v>
      </c>
      <c r="H608" s="70">
        <f t="shared" si="1"/>
        <v>3</v>
      </c>
      <c r="I608" s="70">
        <f t="shared" si="2"/>
        <v>4</v>
      </c>
      <c r="J608" s="70">
        <f t="shared" si="3"/>
        <v>2025</v>
      </c>
      <c r="K608" s="70" t="str">
        <f t="shared" si="4"/>
        <v>04/2025</v>
      </c>
    </row>
    <row r="609" hidden="1">
      <c r="A609" s="26">
        <v>45751.0</v>
      </c>
      <c r="B609" s="28" t="s">
        <v>1511</v>
      </c>
      <c r="C609" s="29" t="s">
        <v>27</v>
      </c>
      <c r="D609" s="28" t="s">
        <v>1512</v>
      </c>
      <c r="E609" s="71">
        <v>1220.09</v>
      </c>
      <c r="F609" s="29" t="s">
        <v>1513</v>
      </c>
      <c r="G609" s="26">
        <v>45751.0</v>
      </c>
      <c r="H609" s="70">
        <f t="shared" si="1"/>
        <v>4</v>
      </c>
      <c r="I609" s="70">
        <f t="shared" si="2"/>
        <v>4</v>
      </c>
      <c r="J609" s="70">
        <f t="shared" si="3"/>
        <v>2025</v>
      </c>
      <c r="K609" s="70" t="str">
        <f t="shared" si="4"/>
        <v>04/2025</v>
      </c>
    </row>
    <row r="610" hidden="1">
      <c r="A610" s="26">
        <v>45751.0</v>
      </c>
      <c r="B610" s="28" t="s">
        <v>1514</v>
      </c>
      <c r="C610" s="28" t="s">
        <v>37</v>
      </c>
      <c r="D610" s="28" t="s">
        <v>1515</v>
      </c>
      <c r="E610" s="71">
        <v>1185.57</v>
      </c>
      <c r="F610" s="29" t="s">
        <v>1516</v>
      </c>
      <c r="G610" s="26">
        <v>45751.0</v>
      </c>
      <c r="H610" s="70">
        <f t="shared" si="1"/>
        <v>4</v>
      </c>
      <c r="I610" s="70">
        <f t="shared" si="2"/>
        <v>4</v>
      </c>
      <c r="J610" s="70">
        <f t="shared" si="3"/>
        <v>2025</v>
      </c>
      <c r="K610" s="70" t="str">
        <f t="shared" si="4"/>
        <v>04/2025</v>
      </c>
    </row>
    <row r="611" hidden="1">
      <c r="A611" s="26">
        <v>45751.0</v>
      </c>
      <c r="B611" s="28" t="s">
        <v>1523</v>
      </c>
      <c r="C611" s="28" t="s">
        <v>27</v>
      </c>
      <c r="D611" s="28" t="s">
        <v>1524</v>
      </c>
      <c r="E611" s="71">
        <v>947.42</v>
      </c>
      <c r="F611" s="29" t="s">
        <v>1513</v>
      </c>
      <c r="G611" s="26">
        <v>45751.0</v>
      </c>
      <c r="H611" s="70">
        <f t="shared" si="1"/>
        <v>4</v>
      </c>
      <c r="I611" s="70">
        <f t="shared" si="2"/>
        <v>4</v>
      </c>
      <c r="J611" s="70">
        <f t="shared" si="3"/>
        <v>2025</v>
      </c>
      <c r="K611" s="70" t="str">
        <f t="shared" si="4"/>
        <v>04/2025</v>
      </c>
    </row>
    <row r="612" hidden="1">
      <c r="A612" s="26">
        <v>45752.0</v>
      </c>
      <c r="B612" s="28" t="s">
        <v>1514</v>
      </c>
      <c r="C612" s="28" t="s">
        <v>37</v>
      </c>
      <c r="D612" s="28" t="s">
        <v>1515</v>
      </c>
      <c r="E612" s="71">
        <v>1121.28</v>
      </c>
      <c r="F612" s="29" t="s">
        <v>1516</v>
      </c>
      <c r="G612" s="26">
        <v>45752.0</v>
      </c>
      <c r="H612" s="70">
        <f t="shared" si="1"/>
        <v>5</v>
      </c>
      <c r="I612" s="70">
        <f t="shared" si="2"/>
        <v>4</v>
      </c>
      <c r="J612" s="70">
        <f t="shared" si="3"/>
        <v>2025</v>
      </c>
      <c r="K612" s="70" t="str">
        <f t="shared" si="4"/>
        <v>04/2025</v>
      </c>
    </row>
    <row r="613" hidden="1">
      <c r="A613" s="26">
        <v>45752.0</v>
      </c>
      <c r="B613" s="28" t="s">
        <v>1511</v>
      </c>
      <c r="C613" s="29" t="s">
        <v>27</v>
      </c>
      <c r="D613" s="28" t="s">
        <v>1512</v>
      </c>
      <c r="E613" s="71">
        <v>1189.27</v>
      </c>
      <c r="F613" s="29" t="s">
        <v>1513</v>
      </c>
      <c r="G613" s="26">
        <v>45752.0</v>
      </c>
      <c r="H613" s="70">
        <f t="shared" si="1"/>
        <v>5</v>
      </c>
      <c r="I613" s="70">
        <f t="shared" si="2"/>
        <v>4</v>
      </c>
      <c r="J613" s="70">
        <f t="shared" si="3"/>
        <v>2025</v>
      </c>
      <c r="K613" s="70" t="str">
        <f t="shared" si="4"/>
        <v>04/2025</v>
      </c>
    </row>
    <row r="614" hidden="1">
      <c r="A614" s="26">
        <v>45753.0</v>
      </c>
      <c r="B614" s="28" t="s">
        <v>1511</v>
      </c>
      <c r="C614" s="29" t="s">
        <v>27</v>
      </c>
      <c r="D614" s="28" t="s">
        <v>1512</v>
      </c>
      <c r="E614" s="71">
        <v>1493.37</v>
      </c>
      <c r="F614" s="29" t="s">
        <v>1513</v>
      </c>
      <c r="G614" s="26">
        <v>45753.0</v>
      </c>
      <c r="H614" s="70">
        <f t="shared" si="1"/>
        <v>6</v>
      </c>
      <c r="I614" s="70">
        <f t="shared" si="2"/>
        <v>4</v>
      </c>
      <c r="J614" s="70">
        <f t="shared" si="3"/>
        <v>2025</v>
      </c>
      <c r="K614" s="70" t="str">
        <f t="shared" si="4"/>
        <v>04/2025</v>
      </c>
    </row>
    <row r="615" hidden="1">
      <c r="A615" s="26">
        <v>45753.0</v>
      </c>
      <c r="B615" s="28" t="s">
        <v>1514</v>
      </c>
      <c r="C615" s="28" t="s">
        <v>37</v>
      </c>
      <c r="D615" s="28" t="s">
        <v>1515</v>
      </c>
      <c r="E615" s="71">
        <v>1725.18</v>
      </c>
      <c r="F615" s="29" t="s">
        <v>1516</v>
      </c>
      <c r="G615" s="26">
        <v>45763.0</v>
      </c>
      <c r="H615" s="70">
        <f t="shared" si="1"/>
        <v>6</v>
      </c>
      <c r="I615" s="70">
        <f t="shared" si="2"/>
        <v>4</v>
      </c>
      <c r="J615" s="70">
        <f t="shared" si="3"/>
        <v>2025</v>
      </c>
      <c r="K615" s="70" t="str">
        <f t="shared" si="4"/>
        <v>04/2025</v>
      </c>
    </row>
    <row r="616" hidden="1">
      <c r="A616" s="26">
        <v>45754.0</v>
      </c>
      <c r="B616" s="28" t="s">
        <v>1511</v>
      </c>
      <c r="C616" s="29" t="s">
        <v>27</v>
      </c>
      <c r="D616" s="28" t="s">
        <v>1512</v>
      </c>
      <c r="E616" s="71">
        <v>100.43</v>
      </c>
      <c r="F616" s="29" t="s">
        <v>1513</v>
      </c>
      <c r="G616" s="26">
        <v>45754.0</v>
      </c>
      <c r="H616" s="70">
        <f t="shared" si="1"/>
        <v>7</v>
      </c>
      <c r="I616" s="70">
        <f t="shared" si="2"/>
        <v>4</v>
      </c>
      <c r="J616" s="70">
        <f t="shared" si="3"/>
        <v>2025</v>
      </c>
      <c r="K616" s="70" t="str">
        <f t="shared" si="4"/>
        <v>04/2025</v>
      </c>
    </row>
    <row r="617" hidden="1">
      <c r="A617" s="26">
        <v>45754.0</v>
      </c>
      <c r="B617" s="28" t="s">
        <v>1514</v>
      </c>
      <c r="C617" s="28" t="s">
        <v>37</v>
      </c>
      <c r="D617" s="28" t="s">
        <v>1515</v>
      </c>
      <c r="E617" s="71">
        <v>7.03</v>
      </c>
      <c r="F617" s="29" t="s">
        <v>1516</v>
      </c>
      <c r="G617" s="26">
        <v>45754.0</v>
      </c>
      <c r="H617" s="70">
        <f t="shared" si="1"/>
        <v>7</v>
      </c>
      <c r="I617" s="70">
        <f t="shared" si="2"/>
        <v>4</v>
      </c>
      <c r="J617" s="70">
        <f t="shared" si="3"/>
        <v>2025</v>
      </c>
      <c r="K617" s="70" t="str">
        <f t="shared" si="4"/>
        <v>04/2025</v>
      </c>
    </row>
    <row r="618" hidden="1">
      <c r="A618" s="26">
        <v>45754.0</v>
      </c>
      <c r="B618" s="28" t="s">
        <v>1523</v>
      </c>
      <c r="C618" s="28" t="s">
        <v>27</v>
      </c>
      <c r="D618" s="28" t="s">
        <v>1524</v>
      </c>
      <c r="E618" s="71">
        <v>2883.15</v>
      </c>
      <c r="F618" s="28" t="s">
        <v>1513</v>
      </c>
      <c r="G618" s="26">
        <v>45754.0</v>
      </c>
      <c r="H618" s="70">
        <f t="shared" si="1"/>
        <v>7</v>
      </c>
      <c r="I618" s="70">
        <f t="shared" si="2"/>
        <v>4</v>
      </c>
      <c r="J618" s="70">
        <f t="shared" si="3"/>
        <v>2025</v>
      </c>
      <c r="K618" s="70" t="str">
        <f t="shared" si="4"/>
        <v>04/2025</v>
      </c>
    </row>
    <row r="619" hidden="1">
      <c r="A619" s="26">
        <v>45755.0</v>
      </c>
      <c r="B619" s="28" t="s">
        <v>1511</v>
      </c>
      <c r="C619" s="29" t="s">
        <v>27</v>
      </c>
      <c r="D619" s="28" t="s">
        <v>1512</v>
      </c>
      <c r="E619" s="71">
        <v>679.58</v>
      </c>
      <c r="F619" s="29" t="s">
        <v>1513</v>
      </c>
      <c r="G619" s="26">
        <v>45755.0</v>
      </c>
      <c r="H619" s="70">
        <f t="shared" si="1"/>
        <v>8</v>
      </c>
      <c r="I619" s="70">
        <f t="shared" si="2"/>
        <v>4</v>
      </c>
      <c r="J619" s="70">
        <f t="shared" si="3"/>
        <v>2025</v>
      </c>
      <c r="K619" s="70" t="str">
        <f t="shared" si="4"/>
        <v>04/2025</v>
      </c>
    </row>
    <row r="620" hidden="1">
      <c r="A620" s="26">
        <v>45755.0</v>
      </c>
      <c r="B620" s="28" t="s">
        <v>1514</v>
      </c>
      <c r="C620" s="28" t="s">
        <v>37</v>
      </c>
      <c r="D620" s="28" t="s">
        <v>1515</v>
      </c>
      <c r="E620" s="71">
        <v>1386.96</v>
      </c>
      <c r="F620" s="29" t="s">
        <v>1516</v>
      </c>
      <c r="G620" s="26">
        <v>45755.0</v>
      </c>
      <c r="H620" s="70">
        <f t="shared" si="1"/>
        <v>8</v>
      </c>
      <c r="I620" s="70">
        <f t="shared" si="2"/>
        <v>4</v>
      </c>
      <c r="J620" s="70">
        <f t="shared" si="3"/>
        <v>2025</v>
      </c>
      <c r="K620" s="70" t="str">
        <f t="shared" si="4"/>
        <v>04/2025</v>
      </c>
    </row>
    <row r="621" hidden="1">
      <c r="A621" s="26">
        <v>45756.0</v>
      </c>
      <c r="B621" s="28" t="s">
        <v>1521</v>
      </c>
      <c r="C621" s="28" t="s">
        <v>27</v>
      </c>
      <c r="D621" s="28" t="s">
        <v>1522</v>
      </c>
      <c r="E621" s="71">
        <v>218.3</v>
      </c>
      <c r="F621" s="29" t="s">
        <v>1513</v>
      </c>
      <c r="G621" s="26">
        <v>45756.0</v>
      </c>
      <c r="H621" s="70">
        <f t="shared" si="1"/>
        <v>9</v>
      </c>
      <c r="I621" s="70">
        <f t="shared" si="2"/>
        <v>4</v>
      </c>
      <c r="J621" s="70">
        <f t="shared" si="3"/>
        <v>2025</v>
      </c>
      <c r="K621" s="70" t="str">
        <f t="shared" si="4"/>
        <v>04/2025</v>
      </c>
    </row>
    <row r="622" hidden="1">
      <c r="A622" s="26">
        <v>45756.0</v>
      </c>
      <c r="B622" s="28" t="s">
        <v>1511</v>
      </c>
      <c r="C622" s="29" t="s">
        <v>27</v>
      </c>
      <c r="D622" s="28" t="s">
        <v>1512</v>
      </c>
      <c r="E622" s="71">
        <v>970.31</v>
      </c>
      <c r="F622" s="29" t="s">
        <v>1513</v>
      </c>
      <c r="G622" s="26">
        <v>45756.0</v>
      </c>
      <c r="H622" s="70">
        <f t="shared" si="1"/>
        <v>9</v>
      </c>
      <c r="I622" s="70">
        <f t="shared" si="2"/>
        <v>4</v>
      </c>
      <c r="J622" s="70">
        <f t="shared" si="3"/>
        <v>2025</v>
      </c>
      <c r="K622" s="70" t="str">
        <f t="shared" si="4"/>
        <v>04/2025</v>
      </c>
    </row>
    <row r="623" hidden="1">
      <c r="A623" s="26">
        <v>45756.0</v>
      </c>
      <c r="B623" s="28" t="s">
        <v>1514</v>
      </c>
      <c r="C623" s="28" t="s">
        <v>37</v>
      </c>
      <c r="D623" s="28" t="s">
        <v>1515</v>
      </c>
      <c r="E623" s="71">
        <v>1147.75</v>
      </c>
      <c r="F623" s="29" t="s">
        <v>1516</v>
      </c>
      <c r="G623" s="26">
        <v>45756.0</v>
      </c>
      <c r="H623" s="70">
        <f t="shared" si="1"/>
        <v>9</v>
      </c>
      <c r="I623" s="70">
        <f t="shared" si="2"/>
        <v>4</v>
      </c>
      <c r="J623" s="70">
        <f t="shared" si="3"/>
        <v>2025</v>
      </c>
      <c r="K623" s="70" t="str">
        <f t="shared" si="4"/>
        <v>04/2025</v>
      </c>
    </row>
    <row r="624" hidden="1">
      <c r="A624" s="26">
        <v>45757.0</v>
      </c>
      <c r="B624" s="28" t="s">
        <v>1511</v>
      </c>
      <c r="C624" s="29" t="s">
        <v>27</v>
      </c>
      <c r="D624" s="28" t="s">
        <v>1512</v>
      </c>
      <c r="E624" s="71">
        <v>1043.61</v>
      </c>
      <c r="F624" s="29" t="s">
        <v>1513</v>
      </c>
      <c r="G624" s="26">
        <v>45757.0</v>
      </c>
      <c r="H624" s="70">
        <f t="shared" si="1"/>
        <v>10</v>
      </c>
      <c r="I624" s="70">
        <f t="shared" si="2"/>
        <v>4</v>
      </c>
      <c r="J624" s="70">
        <f t="shared" si="3"/>
        <v>2025</v>
      </c>
      <c r="K624" s="70" t="str">
        <f t="shared" si="4"/>
        <v>04/2025</v>
      </c>
    </row>
    <row r="625" hidden="1">
      <c r="A625" s="26">
        <v>45757.0</v>
      </c>
      <c r="B625" s="28" t="s">
        <v>1514</v>
      </c>
      <c r="C625" s="28" t="s">
        <v>37</v>
      </c>
      <c r="D625" s="28" t="s">
        <v>1515</v>
      </c>
      <c r="E625" s="71">
        <v>1812.92</v>
      </c>
      <c r="F625" s="29" t="s">
        <v>1516</v>
      </c>
      <c r="G625" s="26">
        <v>45757.0</v>
      </c>
      <c r="H625" s="70">
        <f t="shared" si="1"/>
        <v>10</v>
      </c>
      <c r="I625" s="70">
        <f t="shared" si="2"/>
        <v>4</v>
      </c>
      <c r="J625" s="70">
        <f t="shared" si="3"/>
        <v>2025</v>
      </c>
      <c r="K625" s="70" t="str">
        <f t="shared" si="4"/>
        <v>04/2025</v>
      </c>
    </row>
    <row r="626" hidden="1">
      <c r="A626" s="26">
        <v>45758.0</v>
      </c>
      <c r="B626" s="28" t="s">
        <v>1511</v>
      </c>
      <c r="C626" s="28" t="s">
        <v>66</v>
      </c>
      <c r="D626" s="28" t="s">
        <v>1512</v>
      </c>
      <c r="E626" s="71">
        <v>782.87</v>
      </c>
      <c r="F626" s="29" t="s">
        <v>1516</v>
      </c>
      <c r="G626" s="26">
        <v>45758.0</v>
      </c>
      <c r="H626" s="70">
        <f t="shared" si="1"/>
        <v>11</v>
      </c>
      <c r="I626" s="70">
        <f t="shared" si="2"/>
        <v>4</v>
      </c>
      <c r="J626" s="70">
        <f t="shared" si="3"/>
        <v>2025</v>
      </c>
      <c r="K626" s="70" t="str">
        <f t="shared" si="4"/>
        <v>04/2025</v>
      </c>
    </row>
    <row r="627" hidden="1">
      <c r="A627" s="26">
        <v>45758.0</v>
      </c>
      <c r="B627" s="28" t="s">
        <v>1514</v>
      </c>
      <c r="C627" s="28" t="s">
        <v>37</v>
      </c>
      <c r="D627" s="28" t="s">
        <v>1515</v>
      </c>
      <c r="E627" s="71">
        <v>1193.04</v>
      </c>
      <c r="F627" s="29" t="s">
        <v>1516</v>
      </c>
      <c r="G627" s="26">
        <v>45758.0</v>
      </c>
      <c r="H627" s="70">
        <f t="shared" si="1"/>
        <v>11</v>
      </c>
      <c r="I627" s="70">
        <f t="shared" si="2"/>
        <v>4</v>
      </c>
      <c r="J627" s="70">
        <f t="shared" si="3"/>
        <v>2025</v>
      </c>
      <c r="K627" s="70" t="str">
        <f t="shared" si="4"/>
        <v>04/2025</v>
      </c>
    </row>
    <row r="628" hidden="1">
      <c r="A628" s="26">
        <v>45759.0</v>
      </c>
      <c r="B628" s="28" t="s">
        <v>1511</v>
      </c>
      <c r="C628" s="29" t="s">
        <v>27</v>
      </c>
      <c r="D628" s="28" t="s">
        <v>1512</v>
      </c>
      <c r="E628" s="71">
        <v>962.23</v>
      </c>
      <c r="F628" s="29" t="s">
        <v>1513</v>
      </c>
      <c r="G628" s="26">
        <v>45759.0</v>
      </c>
      <c r="H628" s="70">
        <f t="shared" si="1"/>
        <v>12</v>
      </c>
      <c r="I628" s="70">
        <f t="shared" si="2"/>
        <v>4</v>
      </c>
      <c r="J628" s="70">
        <f t="shared" si="3"/>
        <v>2025</v>
      </c>
      <c r="K628" s="70" t="str">
        <f t="shared" si="4"/>
        <v>04/2025</v>
      </c>
    </row>
    <row r="629" hidden="1">
      <c r="A629" s="26">
        <v>45759.0</v>
      </c>
      <c r="B629" s="28" t="s">
        <v>1514</v>
      </c>
      <c r="C629" s="28" t="s">
        <v>37</v>
      </c>
      <c r="D629" s="28" t="s">
        <v>1515</v>
      </c>
      <c r="E629" s="71">
        <v>903.01</v>
      </c>
      <c r="F629" s="29" t="s">
        <v>1516</v>
      </c>
      <c r="G629" s="26">
        <v>45759.0</v>
      </c>
      <c r="H629" s="70">
        <f t="shared" si="1"/>
        <v>12</v>
      </c>
      <c r="I629" s="70">
        <f t="shared" si="2"/>
        <v>4</v>
      </c>
      <c r="J629" s="70">
        <f t="shared" si="3"/>
        <v>2025</v>
      </c>
      <c r="K629" s="70" t="str">
        <f t="shared" si="4"/>
        <v>04/2025</v>
      </c>
    </row>
    <row r="630" hidden="1">
      <c r="A630" s="26">
        <v>45760.0</v>
      </c>
      <c r="B630" s="28" t="s">
        <v>1511</v>
      </c>
      <c r="C630" s="29" t="s">
        <v>27</v>
      </c>
      <c r="D630" s="28" t="s">
        <v>1512</v>
      </c>
      <c r="E630" s="71">
        <v>250.83</v>
      </c>
      <c r="F630" s="29" t="s">
        <v>1513</v>
      </c>
      <c r="G630" s="26">
        <v>45760.0</v>
      </c>
      <c r="H630" s="70">
        <f t="shared" si="1"/>
        <v>13</v>
      </c>
      <c r="I630" s="70">
        <f t="shared" si="2"/>
        <v>4</v>
      </c>
      <c r="J630" s="70">
        <f t="shared" si="3"/>
        <v>2025</v>
      </c>
      <c r="K630" s="70" t="str">
        <f t="shared" si="4"/>
        <v>04/2025</v>
      </c>
    </row>
    <row r="631" hidden="1">
      <c r="A631" s="26">
        <v>45760.0</v>
      </c>
      <c r="B631" s="28" t="s">
        <v>1514</v>
      </c>
      <c r="C631" s="28" t="s">
        <v>37</v>
      </c>
      <c r="D631" s="28" t="s">
        <v>1515</v>
      </c>
      <c r="E631" s="71">
        <v>1553.57</v>
      </c>
      <c r="F631" s="29" t="s">
        <v>1516</v>
      </c>
      <c r="G631" s="26">
        <v>45760.0</v>
      </c>
      <c r="H631" s="70">
        <f t="shared" si="1"/>
        <v>13</v>
      </c>
      <c r="I631" s="70">
        <f t="shared" si="2"/>
        <v>4</v>
      </c>
      <c r="J631" s="70">
        <f t="shared" si="3"/>
        <v>2025</v>
      </c>
      <c r="K631" s="70" t="str">
        <f t="shared" si="4"/>
        <v>04/2025</v>
      </c>
    </row>
    <row r="632" hidden="1">
      <c r="A632" s="26">
        <v>45761.0</v>
      </c>
      <c r="B632" s="28" t="s">
        <v>1511</v>
      </c>
      <c r="C632" s="29" t="s">
        <v>27</v>
      </c>
      <c r="D632" s="28" t="s">
        <v>1512</v>
      </c>
      <c r="E632" s="71">
        <v>549.17</v>
      </c>
      <c r="F632" s="29" t="s">
        <v>1513</v>
      </c>
      <c r="G632" s="26">
        <v>45761.0</v>
      </c>
      <c r="H632" s="70">
        <f t="shared" si="1"/>
        <v>14</v>
      </c>
      <c r="I632" s="70">
        <f t="shared" si="2"/>
        <v>4</v>
      </c>
      <c r="J632" s="70">
        <f t="shared" si="3"/>
        <v>2025</v>
      </c>
      <c r="K632" s="70" t="str">
        <f t="shared" si="4"/>
        <v>04/2025</v>
      </c>
    </row>
    <row r="633" hidden="1">
      <c r="A633" s="26">
        <v>45761.0</v>
      </c>
      <c r="B633" s="28" t="s">
        <v>1514</v>
      </c>
      <c r="C633" s="28" t="s">
        <v>37</v>
      </c>
      <c r="D633" s="28" t="s">
        <v>1515</v>
      </c>
      <c r="E633" s="71">
        <v>813.27</v>
      </c>
      <c r="F633" s="29" t="s">
        <v>1516</v>
      </c>
      <c r="G633" s="26">
        <v>45761.0</v>
      </c>
      <c r="H633" s="70">
        <f t="shared" si="1"/>
        <v>14</v>
      </c>
      <c r="I633" s="70">
        <f t="shared" si="2"/>
        <v>4</v>
      </c>
      <c r="J633" s="70">
        <f t="shared" si="3"/>
        <v>2025</v>
      </c>
      <c r="K633" s="70" t="str">
        <f t="shared" si="4"/>
        <v>04/2025</v>
      </c>
    </row>
    <row r="634" hidden="1">
      <c r="A634" s="26">
        <v>45762.0</v>
      </c>
      <c r="B634" s="28" t="s">
        <v>1519</v>
      </c>
      <c r="C634" s="28" t="s">
        <v>27</v>
      </c>
      <c r="D634" s="28" t="s">
        <v>1520</v>
      </c>
      <c r="E634" s="71">
        <v>16393.86</v>
      </c>
      <c r="F634" s="29" t="s">
        <v>1513</v>
      </c>
      <c r="G634" s="26">
        <v>45762.0</v>
      </c>
      <c r="H634" s="70">
        <f t="shared" si="1"/>
        <v>15</v>
      </c>
      <c r="I634" s="70">
        <f t="shared" si="2"/>
        <v>4</v>
      </c>
      <c r="J634" s="70">
        <f t="shared" si="3"/>
        <v>2025</v>
      </c>
      <c r="K634" s="70" t="str">
        <f t="shared" si="4"/>
        <v>04/2025</v>
      </c>
    </row>
    <row r="635" hidden="1">
      <c r="A635" s="26">
        <v>45762.0</v>
      </c>
      <c r="B635" s="28" t="s">
        <v>1511</v>
      </c>
      <c r="C635" s="29" t="s">
        <v>27</v>
      </c>
      <c r="D635" s="28" t="s">
        <v>1512</v>
      </c>
      <c r="E635" s="71">
        <v>1968.61</v>
      </c>
      <c r="F635" s="29" t="s">
        <v>1513</v>
      </c>
      <c r="G635" s="26">
        <v>45762.0</v>
      </c>
      <c r="H635" s="70">
        <f t="shared" si="1"/>
        <v>15</v>
      </c>
      <c r="I635" s="70">
        <f t="shared" si="2"/>
        <v>4</v>
      </c>
      <c r="J635" s="70">
        <f t="shared" si="3"/>
        <v>2025</v>
      </c>
      <c r="K635" s="70" t="str">
        <f t="shared" si="4"/>
        <v>04/2025</v>
      </c>
    </row>
    <row r="636" hidden="1">
      <c r="A636" s="26">
        <v>45762.0</v>
      </c>
      <c r="B636" s="28" t="s">
        <v>1514</v>
      </c>
      <c r="C636" s="28" t="s">
        <v>37</v>
      </c>
      <c r="D636" s="28" t="s">
        <v>1515</v>
      </c>
      <c r="E636" s="71">
        <v>779.92</v>
      </c>
      <c r="F636" s="29" t="s">
        <v>1516</v>
      </c>
      <c r="G636" s="26">
        <v>45762.0</v>
      </c>
      <c r="H636" s="70">
        <f t="shared" si="1"/>
        <v>15</v>
      </c>
      <c r="I636" s="70">
        <f t="shared" si="2"/>
        <v>4</v>
      </c>
      <c r="J636" s="70">
        <f t="shared" si="3"/>
        <v>2025</v>
      </c>
      <c r="K636" s="70" t="str">
        <f t="shared" si="4"/>
        <v>04/2025</v>
      </c>
    </row>
    <row r="637" hidden="1">
      <c r="A637" s="26">
        <v>45763.0</v>
      </c>
      <c r="B637" s="28" t="s">
        <v>1521</v>
      </c>
      <c r="C637" s="28" t="s">
        <v>27</v>
      </c>
      <c r="D637" s="28" t="s">
        <v>1522</v>
      </c>
      <c r="E637" s="71">
        <v>851.9</v>
      </c>
      <c r="F637" s="29" t="s">
        <v>1513</v>
      </c>
      <c r="G637" s="26">
        <v>45763.0</v>
      </c>
      <c r="H637" s="70">
        <f t="shared" si="1"/>
        <v>16</v>
      </c>
      <c r="I637" s="70">
        <f t="shared" si="2"/>
        <v>4</v>
      </c>
      <c r="J637" s="70">
        <f t="shared" si="3"/>
        <v>2025</v>
      </c>
      <c r="K637" s="70" t="str">
        <f t="shared" si="4"/>
        <v>04/2025</v>
      </c>
    </row>
    <row r="638" hidden="1">
      <c r="A638" s="26">
        <v>45763.0</v>
      </c>
      <c r="B638" s="28" t="s">
        <v>1511</v>
      </c>
      <c r="C638" s="29" t="s">
        <v>27</v>
      </c>
      <c r="D638" s="28" t="s">
        <v>1512</v>
      </c>
      <c r="E638" s="71">
        <v>1088.81</v>
      </c>
      <c r="F638" s="29" t="s">
        <v>1513</v>
      </c>
      <c r="G638" s="26">
        <v>45763.0</v>
      </c>
      <c r="H638" s="70">
        <f t="shared" si="1"/>
        <v>16</v>
      </c>
      <c r="I638" s="70">
        <f t="shared" si="2"/>
        <v>4</v>
      </c>
      <c r="J638" s="70">
        <f t="shared" si="3"/>
        <v>2025</v>
      </c>
      <c r="K638" s="70" t="str">
        <f t="shared" si="4"/>
        <v>04/2025</v>
      </c>
    </row>
    <row r="639" hidden="1">
      <c r="A639" s="26">
        <v>45763.0</v>
      </c>
      <c r="B639" s="28" t="s">
        <v>1514</v>
      </c>
      <c r="C639" s="28" t="s">
        <v>37</v>
      </c>
      <c r="D639" s="28" t="s">
        <v>1515</v>
      </c>
      <c r="E639" s="71">
        <v>1460.58</v>
      </c>
      <c r="F639" s="29" t="s">
        <v>1516</v>
      </c>
      <c r="G639" s="26">
        <v>45763.0</v>
      </c>
      <c r="H639" s="70">
        <f t="shared" si="1"/>
        <v>16</v>
      </c>
      <c r="I639" s="70">
        <f t="shared" si="2"/>
        <v>4</v>
      </c>
      <c r="J639" s="70">
        <f t="shared" si="3"/>
        <v>2025</v>
      </c>
      <c r="K639" s="70" t="str">
        <f t="shared" si="4"/>
        <v>04/2025</v>
      </c>
    </row>
    <row r="640" hidden="1">
      <c r="A640" s="26">
        <v>45764.0</v>
      </c>
      <c r="B640" s="28" t="s">
        <v>1511</v>
      </c>
      <c r="C640" s="29" t="s">
        <v>27</v>
      </c>
      <c r="D640" s="28" t="s">
        <v>1512</v>
      </c>
      <c r="E640" s="71">
        <v>782.35</v>
      </c>
      <c r="F640" s="29" t="s">
        <v>1513</v>
      </c>
      <c r="G640" s="26">
        <v>45764.0</v>
      </c>
      <c r="H640" s="70">
        <f t="shared" si="1"/>
        <v>17</v>
      </c>
      <c r="I640" s="70">
        <f t="shared" si="2"/>
        <v>4</v>
      </c>
      <c r="J640" s="70">
        <f t="shared" si="3"/>
        <v>2025</v>
      </c>
      <c r="K640" s="70" t="str">
        <f t="shared" si="4"/>
        <v>04/2025</v>
      </c>
    </row>
    <row r="641" hidden="1">
      <c r="A641" s="26">
        <v>45764.0</v>
      </c>
      <c r="B641" s="28" t="s">
        <v>1514</v>
      </c>
      <c r="C641" s="28" t="s">
        <v>37</v>
      </c>
      <c r="D641" s="28" t="s">
        <v>1515</v>
      </c>
      <c r="E641" s="71">
        <v>1536.95</v>
      </c>
      <c r="F641" s="29" t="s">
        <v>1516</v>
      </c>
      <c r="G641" s="26">
        <v>45764.0</v>
      </c>
      <c r="H641" s="70">
        <f t="shared" si="1"/>
        <v>17</v>
      </c>
      <c r="I641" s="70">
        <f t="shared" si="2"/>
        <v>4</v>
      </c>
      <c r="J641" s="70">
        <f t="shared" si="3"/>
        <v>2025</v>
      </c>
      <c r="K641" s="70" t="str">
        <f t="shared" si="4"/>
        <v>04/2025</v>
      </c>
    </row>
    <row r="642" hidden="1">
      <c r="A642" s="26">
        <v>45765.0</v>
      </c>
      <c r="B642" s="28" t="s">
        <v>1511</v>
      </c>
      <c r="C642" s="29" t="s">
        <v>27</v>
      </c>
      <c r="D642" s="28" t="s">
        <v>1512</v>
      </c>
      <c r="E642" s="71">
        <v>1379.29</v>
      </c>
      <c r="F642" s="29" t="s">
        <v>1513</v>
      </c>
      <c r="G642" s="26">
        <v>45765.0</v>
      </c>
      <c r="H642" s="70">
        <f t="shared" si="1"/>
        <v>18</v>
      </c>
      <c r="I642" s="70">
        <f t="shared" si="2"/>
        <v>4</v>
      </c>
      <c r="J642" s="70">
        <f t="shared" si="3"/>
        <v>2025</v>
      </c>
      <c r="K642" s="70" t="str">
        <f t="shared" si="4"/>
        <v>04/2025</v>
      </c>
    </row>
    <row r="643" hidden="1">
      <c r="A643" s="26">
        <v>45765.0</v>
      </c>
      <c r="B643" s="28" t="s">
        <v>1514</v>
      </c>
      <c r="C643" s="28" t="s">
        <v>37</v>
      </c>
      <c r="D643" s="28" t="s">
        <v>1515</v>
      </c>
      <c r="E643" s="71">
        <v>1604.46</v>
      </c>
      <c r="F643" s="29" t="s">
        <v>1516</v>
      </c>
      <c r="G643" s="26">
        <v>45765.0</v>
      </c>
      <c r="H643" s="70">
        <f t="shared" si="1"/>
        <v>18</v>
      </c>
      <c r="I643" s="70">
        <f t="shared" si="2"/>
        <v>4</v>
      </c>
      <c r="J643" s="70">
        <f t="shared" si="3"/>
        <v>2025</v>
      </c>
      <c r="K643" s="70" t="str">
        <f t="shared" si="4"/>
        <v>04/2025</v>
      </c>
    </row>
    <row r="644" hidden="1">
      <c r="A644" s="26">
        <v>45766.0</v>
      </c>
      <c r="B644" s="28" t="s">
        <v>1511</v>
      </c>
      <c r="C644" s="29" t="s">
        <v>27</v>
      </c>
      <c r="D644" s="28" t="s">
        <v>1512</v>
      </c>
      <c r="E644" s="71">
        <v>1027.55</v>
      </c>
      <c r="F644" s="29" t="s">
        <v>1513</v>
      </c>
      <c r="G644" s="26">
        <v>45766.0</v>
      </c>
      <c r="H644" s="70">
        <f t="shared" si="1"/>
        <v>19</v>
      </c>
      <c r="I644" s="70">
        <f t="shared" si="2"/>
        <v>4</v>
      </c>
      <c r="J644" s="70">
        <f t="shared" si="3"/>
        <v>2025</v>
      </c>
      <c r="K644" s="70" t="str">
        <f t="shared" si="4"/>
        <v>04/2025</v>
      </c>
    </row>
    <row r="645" hidden="1">
      <c r="A645" s="26">
        <v>45766.0</v>
      </c>
      <c r="B645" s="28" t="s">
        <v>1514</v>
      </c>
      <c r="C645" s="28" t="s">
        <v>37</v>
      </c>
      <c r="D645" s="28" t="s">
        <v>1515</v>
      </c>
      <c r="E645" s="71">
        <v>3168.34</v>
      </c>
      <c r="F645" s="29" t="s">
        <v>1516</v>
      </c>
      <c r="G645" s="26">
        <v>45766.0</v>
      </c>
      <c r="H645" s="70">
        <f t="shared" si="1"/>
        <v>19</v>
      </c>
      <c r="I645" s="70">
        <f t="shared" si="2"/>
        <v>4</v>
      </c>
      <c r="J645" s="70">
        <f t="shared" si="3"/>
        <v>2025</v>
      </c>
      <c r="K645" s="70" t="str">
        <f t="shared" si="4"/>
        <v>04/2025</v>
      </c>
    </row>
    <row r="646" hidden="1">
      <c r="A646" s="26">
        <v>45767.0</v>
      </c>
      <c r="B646" s="28" t="s">
        <v>1511</v>
      </c>
      <c r="C646" s="29" t="s">
        <v>27</v>
      </c>
      <c r="D646" s="28" t="s">
        <v>1512</v>
      </c>
      <c r="E646" s="71">
        <v>1360.69</v>
      </c>
      <c r="F646" s="29" t="s">
        <v>1513</v>
      </c>
      <c r="G646" s="26">
        <v>45767.0</v>
      </c>
      <c r="H646" s="70">
        <f t="shared" si="1"/>
        <v>20</v>
      </c>
      <c r="I646" s="70">
        <f t="shared" si="2"/>
        <v>4</v>
      </c>
      <c r="J646" s="70">
        <f t="shared" si="3"/>
        <v>2025</v>
      </c>
      <c r="K646" s="70" t="str">
        <f t="shared" si="4"/>
        <v>04/2025</v>
      </c>
    </row>
    <row r="647" hidden="1">
      <c r="A647" s="26">
        <v>45767.0</v>
      </c>
      <c r="B647" s="28" t="s">
        <v>1514</v>
      </c>
      <c r="C647" s="28" t="s">
        <v>37</v>
      </c>
      <c r="D647" s="28" t="s">
        <v>1515</v>
      </c>
      <c r="E647" s="71">
        <v>1269.78</v>
      </c>
      <c r="F647" s="29" t="s">
        <v>1516</v>
      </c>
      <c r="G647" s="26">
        <v>45767.0</v>
      </c>
      <c r="H647" s="70">
        <f t="shared" si="1"/>
        <v>20</v>
      </c>
      <c r="I647" s="70">
        <f t="shared" si="2"/>
        <v>4</v>
      </c>
      <c r="J647" s="70">
        <f t="shared" si="3"/>
        <v>2025</v>
      </c>
      <c r="K647" s="70" t="str">
        <f t="shared" si="4"/>
        <v>04/2025</v>
      </c>
    </row>
    <row r="648" hidden="1">
      <c r="A648" s="26">
        <v>45768.0</v>
      </c>
      <c r="B648" s="28" t="s">
        <v>1511</v>
      </c>
      <c r="C648" s="29" t="s">
        <v>27</v>
      </c>
      <c r="D648" s="28" t="s">
        <v>1512</v>
      </c>
      <c r="E648" s="71">
        <v>42.18</v>
      </c>
      <c r="F648" s="29" t="s">
        <v>1513</v>
      </c>
      <c r="G648" s="26">
        <v>45768.0</v>
      </c>
      <c r="H648" s="70">
        <f t="shared" si="1"/>
        <v>21</v>
      </c>
      <c r="I648" s="70">
        <f t="shared" si="2"/>
        <v>4</v>
      </c>
      <c r="J648" s="70">
        <f t="shared" si="3"/>
        <v>2025</v>
      </c>
      <c r="K648" s="70" t="str">
        <f t="shared" si="4"/>
        <v>04/2025</v>
      </c>
    </row>
    <row r="649" hidden="1">
      <c r="A649" s="26">
        <v>45768.0</v>
      </c>
      <c r="B649" s="28" t="s">
        <v>1514</v>
      </c>
      <c r="C649" s="28" t="s">
        <v>37</v>
      </c>
      <c r="D649" s="28" t="s">
        <v>1515</v>
      </c>
      <c r="E649" s="71">
        <v>266.53</v>
      </c>
      <c r="F649" s="29" t="s">
        <v>1516</v>
      </c>
      <c r="G649" s="26">
        <v>45768.0</v>
      </c>
      <c r="H649" s="70">
        <f t="shared" si="1"/>
        <v>21</v>
      </c>
      <c r="I649" s="70">
        <f t="shared" si="2"/>
        <v>4</v>
      </c>
      <c r="J649" s="70">
        <f t="shared" si="3"/>
        <v>2025</v>
      </c>
      <c r="K649" s="70" t="str">
        <f t="shared" si="4"/>
        <v>04/2025</v>
      </c>
    </row>
    <row r="650" hidden="1">
      <c r="A650" s="9">
        <v>45768.0</v>
      </c>
      <c r="B650" s="11" t="s">
        <v>44</v>
      </c>
      <c r="C650" s="11" t="s">
        <v>27</v>
      </c>
      <c r="D650" s="11" t="s">
        <v>1525</v>
      </c>
      <c r="E650" s="69">
        <v>103.15</v>
      </c>
      <c r="F650" s="11" t="s">
        <v>1513</v>
      </c>
      <c r="G650" s="9">
        <v>45768.0</v>
      </c>
      <c r="H650" s="70">
        <f t="shared" si="1"/>
        <v>21</v>
      </c>
      <c r="I650" s="70">
        <f t="shared" si="2"/>
        <v>4</v>
      </c>
      <c r="J650" s="70">
        <f t="shared" si="3"/>
        <v>2025</v>
      </c>
      <c r="K650" s="70" t="str">
        <f t="shared" si="4"/>
        <v>04/2025</v>
      </c>
    </row>
    <row r="651" hidden="1">
      <c r="A651" s="26">
        <v>45769.0</v>
      </c>
      <c r="B651" s="28" t="s">
        <v>1519</v>
      </c>
      <c r="C651" s="28" t="s">
        <v>27</v>
      </c>
      <c r="D651" s="28" t="s">
        <v>1520</v>
      </c>
      <c r="E651" s="71">
        <v>7638.67</v>
      </c>
      <c r="F651" s="29" t="s">
        <v>1513</v>
      </c>
      <c r="G651" s="26">
        <v>45769.0</v>
      </c>
      <c r="H651" s="70">
        <f t="shared" si="1"/>
        <v>22</v>
      </c>
      <c r="I651" s="70">
        <f t="shared" si="2"/>
        <v>4</v>
      </c>
      <c r="J651" s="70">
        <f t="shared" si="3"/>
        <v>2025</v>
      </c>
      <c r="K651" s="70" t="str">
        <f t="shared" si="4"/>
        <v>04/2025</v>
      </c>
    </row>
    <row r="652" hidden="1">
      <c r="A652" s="9">
        <v>45769.0</v>
      </c>
      <c r="B652" s="28" t="s">
        <v>1523</v>
      </c>
      <c r="C652" s="28" t="s">
        <v>27</v>
      </c>
      <c r="D652" s="28" t="s">
        <v>1524</v>
      </c>
      <c r="E652" s="69">
        <v>2718.21</v>
      </c>
      <c r="F652" s="11" t="s">
        <v>1513</v>
      </c>
      <c r="G652" s="9">
        <v>45769.0</v>
      </c>
      <c r="H652" s="70">
        <f t="shared" si="1"/>
        <v>22</v>
      </c>
      <c r="I652" s="70">
        <f t="shared" si="2"/>
        <v>4</v>
      </c>
      <c r="J652" s="70">
        <f t="shared" si="3"/>
        <v>2025</v>
      </c>
      <c r="K652" s="70" t="str">
        <f t="shared" si="4"/>
        <v>04/2025</v>
      </c>
    </row>
    <row r="653" hidden="1">
      <c r="A653" s="26">
        <v>45769.0</v>
      </c>
      <c r="B653" s="28" t="s">
        <v>1511</v>
      </c>
      <c r="C653" s="29" t="s">
        <v>27</v>
      </c>
      <c r="D653" s="28" t="s">
        <v>1512</v>
      </c>
      <c r="E653" s="71">
        <v>1190.14</v>
      </c>
      <c r="F653" s="29" t="s">
        <v>1513</v>
      </c>
      <c r="G653" s="26">
        <v>45769.0</v>
      </c>
      <c r="H653" s="70">
        <f t="shared" si="1"/>
        <v>22</v>
      </c>
      <c r="I653" s="70">
        <f t="shared" si="2"/>
        <v>4</v>
      </c>
      <c r="J653" s="70">
        <f t="shared" si="3"/>
        <v>2025</v>
      </c>
      <c r="K653" s="70" t="str">
        <f t="shared" si="4"/>
        <v>04/2025</v>
      </c>
    </row>
    <row r="654" hidden="1">
      <c r="A654" s="26">
        <v>45769.0</v>
      </c>
      <c r="B654" s="28" t="s">
        <v>1514</v>
      </c>
      <c r="C654" s="28" t="s">
        <v>37</v>
      </c>
      <c r="D654" s="28" t="s">
        <v>1515</v>
      </c>
      <c r="E654" s="71">
        <v>2242.43</v>
      </c>
      <c r="F654" s="29" t="s">
        <v>1516</v>
      </c>
      <c r="G654" s="26">
        <v>45769.0</v>
      </c>
      <c r="H654" s="70">
        <f t="shared" si="1"/>
        <v>22</v>
      </c>
      <c r="I654" s="70">
        <f t="shared" si="2"/>
        <v>4</v>
      </c>
      <c r="J654" s="70">
        <f t="shared" si="3"/>
        <v>2025</v>
      </c>
      <c r="K654" s="70" t="str">
        <f t="shared" si="4"/>
        <v>04/2025</v>
      </c>
    </row>
    <row r="655" hidden="1">
      <c r="A655" s="26">
        <v>45770.0</v>
      </c>
      <c r="B655" s="28" t="s">
        <v>1521</v>
      </c>
      <c r="C655" s="28" t="s">
        <v>27</v>
      </c>
      <c r="D655" s="28" t="s">
        <v>1522</v>
      </c>
      <c r="E655" s="71">
        <v>123.58</v>
      </c>
      <c r="F655" s="29" t="s">
        <v>1513</v>
      </c>
      <c r="G655" s="26">
        <v>45770.0</v>
      </c>
      <c r="H655" s="70">
        <f t="shared" si="1"/>
        <v>23</v>
      </c>
      <c r="I655" s="70">
        <f t="shared" si="2"/>
        <v>4</v>
      </c>
      <c r="J655" s="70">
        <f t="shared" si="3"/>
        <v>2025</v>
      </c>
      <c r="K655" s="70" t="str">
        <f t="shared" si="4"/>
        <v>04/2025</v>
      </c>
    </row>
    <row r="656" hidden="1">
      <c r="A656" s="26">
        <v>45770.0</v>
      </c>
      <c r="B656" s="28" t="s">
        <v>1514</v>
      </c>
      <c r="C656" s="28" t="s">
        <v>37</v>
      </c>
      <c r="D656" s="28" t="s">
        <v>1515</v>
      </c>
      <c r="E656" s="71">
        <v>1296.42</v>
      </c>
      <c r="F656" s="29" t="s">
        <v>1516</v>
      </c>
      <c r="G656" s="26">
        <v>45770.0</v>
      </c>
      <c r="H656" s="70">
        <f t="shared" si="1"/>
        <v>23</v>
      </c>
      <c r="I656" s="70">
        <f t="shared" si="2"/>
        <v>4</v>
      </c>
      <c r="J656" s="70">
        <f t="shared" si="3"/>
        <v>2025</v>
      </c>
      <c r="K656" s="70" t="str">
        <f t="shared" si="4"/>
        <v>04/2025</v>
      </c>
    </row>
    <row r="657" hidden="1">
      <c r="A657" s="26">
        <v>45770.0</v>
      </c>
      <c r="B657" s="28" t="s">
        <v>1511</v>
      </c>
      <c r="C657" s="29" t="s">
        <v>27</v>
      </c>
      <c r="D657" s="28" t="s">
        <v>1512</v>
      </c>
      <c r="E657" s="71">
        <v>648.07</v>
      </c>
      <c r="F657" s="29" t="s">
        <v>1513</v>
      </c>
      <c r="G657" s="26">
        <v>45770.0</v>
      </c>
      <c r="H657" s="70">
        <f t="shared" si="1"/>
        <v>23</v>
      </c>
      <c r="I657" s="70">
        <f t="shared" si="2"/>
        <v>4</v>
      </c>
      <c r="J657" s="70">
        <f t="shared" si="3"/>
        <v>2025</v>
      </c>
      <c r="K657" s="70" t="str">
        <f t="shared" si="4"/>
        <v>04/2025</v>
      </c>
    </row>
    <row r="658" hidden="1">
      <c r="A658" s="26">
        <v>45770.0</v>
      </c>
      <c r="B658" s="28" t="s">
        <v>1523</v>
      </c>
      <c r="C658" s="28" t="s">
        <v>27</v>
      </c>
      <c r="D658" s="28" t="s">
        <v>1524</v>
      </c>
      <c r="E658" s="71">
        <v>14685.34</v>
      </c>
      <c r="F658" s="29" t="s">
        <v>1513</v>
      </c>
      <c r="G658" s="26">
        <v>45770.0</v>
      </c>
      <c r="H658" s="70">
        <f t="shared" si="1"/>
        <v>23</v>
      </c>
      <c r="I658" s="70">
        <f t="shared" si="2"/>
        <v>4</v>
      </c>
      <c r="J658" s="70">
        <f t="shared" si="3"/>
        <v>2025</v>
      </c>
      <c r="K658" s="70" t="str">
        <f t="shared" si="4"/>
        <v>04/2025</v>
      </c>
    </row>
    <row r="659" hidden="1">
      <c r="A659" s="26">
        <v>45771.0</v>
      </c>
      <c r="B659" s="28" t="s">
        <v>1514</v>
      </c>
      <c r="C659" s="28" t="s">
        <v>37</v>
      </c>
      <c r="D659" s="28" t="s">
        <v>1515</v>
      </c>
      <c r="E659" s="71">
        <v>3078.21</v>
      </c>
      <c r="F659" s="29" t="s">
        <v>1516</v>
      </c>
      <c r="G659" s="26">
        <v>45771.0</v>
      </c>
      <c r="H659" s="70">
        <f t="shared" si="1"/>
        <v>24</v>
      </c>
      <c r="I659" s="70">
        <f t="shared" si="2"/>
        <v>4</v>
      </c>
      <c r="J659" s="70">
        <f t="shared" si="3"/>
        <v>2025</v>
      </c>
      <c r="K659" s="70" t="str">
        <f t="shared" si="4"/>
        <v>04/2025</v>
      </c>
    </row>
    <row r="660" hidden="1">
      <c r="A660" s="26">
        <v>45771.0</v>
      </c>
      <c r="B660" s="28" t="s">
        <v>1511</v>
      </c>
      <c r="C660" s="29" t="s">
        <v>27</v>
      </c>
      <c r="D660" s="28" t="s">
        <v>1512</v>
      </c>
      <c r="E660" s="71">
        <v>1792.72</v>
      </c>
      <c r="F660" s="29" t="s">
        <v>1513</v>
      </c>
      <c r="G660" s="26">
        <v>45771.0</v>
      </c>
      <c r="H660" s="70">
        <f t="shared" si="1"/>
        <v>24</v>
      </c>
      <c r="I660" s="70">
        <f t="shared" si="2"/>
        <v>4</v>
      </c>
      <c r="J660" s="70">
        <f t="shared" si="3"/>
        <v>2025</v>
      </c>
      <c r="K660" s="70" t="str">
        <f t="shared" si="4"/>
        <v>04/2025</v>
      </c>
    </row>
    <row r="661" hidden="1">
      <c r="A661" s="26">
        <v>45772.0</v>
      </c>
      <c r="B661" s="28" t="s">
        <v>1514</v>
      </c>
      <c r="C661" s="28" t="s">
        <v>37</v>
      </c>
      <c r="D661" s="28" t="s">
        <v>1515</v>
      </c>
      <c r="E661" s="71">
        <v>1447.2</v>
      </c>
      <c r="F661" s="29" t="s">
        <v>1516</v>
      </c>
      <c r="G661" s="26">
        <v>45772.0</v>
      </c>
      <c r="H661" s="70">
        <f t="shared" si="1"/>
        <v>25</v>
      </c>
      <c r="I661" s="70">
        <f t="shared" si="2"/>
        <v>4</v>
      </c>
      <c r="J661" s="70">
        <f t="shared" si="3"/>
        <v>2025</v>
      </c>
      <c r="K661" s="70" t="str">
        <f t="shared" si="4"/>
        <v>04/2025</v>
      </c>
    </row>
    <row r="662" hidden="1">
      <c r="A662" s="26">
        <v>45772.0</v>
      </c>
      <c r="B662" s="28" t="s">
        <v>1511</v>
      </c>
      <c r="C662" s="29" t="s">
        <v>27</v>
      </c>
      <c r="D662" s="28" t="s">
        <v>1512</v>
      </c>
      <c r="E662" s="71">
        <v>724.0</v>
      </c>
      <c r="F662" s="29" t="s">
        <v>1513</v>
      </c>
      <c r="G662" s="26">
        <v>45772.0</v>
      </c>
      <c r="H662" s="70">
        <f t="shared" si="1"/>
        <v>25</v>
      </c>
      <c r="I662" s="70">
        <f t="shared" si="2"/>
        <v>4</v>
      </c>
      <c r="J662" s="70">
        <f t="shared" si="3"/>
        <v>2025</v>
      </c>
      <c r="K662" s="70" t="str">
        <f t="shared" si="4"/>
        <v>04/2025</v>
      </c>
    </row>
    <row r="663" hidden="1">
      <c r="A663" s="26">
        <v>45772.0</v>
      </c>
      <c r="B663" s="28" t="s">
        <v>1519</v>
      </c>
      <c r="C663" s="28" t="s">
        <v>27</v>
      </c>
      <c r="D663" s="28" t="s">
        <v>1520</v>
      </c>
      <c r="E663" s="71">
        <v>5572.27</v>
      </c>
      <c r="F663" s="29" t="s">
        <v>1513</v>
      </c>
      <c r="G663" s="26">
        <v>45772.0</v>
      </c>
      <c r="H663" s="70">
        <f t="shared" si="1"/>
        <v>25</v>
      </c>
      <c r="I663" s="70">
        <f t="shared" si="2"/>
        <v>4</v>
      </c>
      <c r="J663" s="70">
        <f t="shared" si="3"/>
        <v>2025</v>
      </c>
      <c r="K663" s="70" t="str">
        <f t="shared" si="4"/>
        <v>04/2025</v>
      </c>
    </row>
    <row r="664" hidden="1">
      <c r="A664" s="26">
        <v>45773.0</v>
      </c>
      <c r="B664" s="28" t="s">
        <v>1514</v>
      </c>
      <c r="C664" s="28" t="s">
        <v>37</v>
      </c>
      <c r="D664" s="28" t="s">
        <v>1515</v>
      </c>
      <c r="E664" s="71">
        <v>1480.22</v>
      </c>
      <c r="F664" s="29" t="s">
        <v>1516</v>
      </c>
      <c r="G664" s="26">
        <v>45773.0</v>
      </c>
      <c r="H664" s="70">
        <f t="shared" si="1"/>
        <v>26</v>
      </c>
      <c r="I664" s="70">
        <f t="shared" si="2"/>
        <v>4</v>
      </c>
      <c r="J664" s="70">
        <f t="shared" si="3"/>
        <v>2025</v>
      </c>
      <c r="K664" s="70" t="str">
        <f t="shared" si="4"/>
        <v>04/2025</v>
      </c>
    </row>
    <row r="665" hidden="1">
      <c r="A665" s="26">
        <v>45773.0</v>
      </c>
      <c r="B665" s="28" t="s">
        <v>1511</v>
      </c>
      <c r="C665" s="29" t="s">
        <v>27</v>
      </c>
      <c r="D665" s="28" t="s">
        <v>1512</v>
      </c>
      <c r="E665" s="71">
        <v>1329.2</v>
      </c>
      <c r="F665" s="29" t="s">
        <v>1513</v>
      </c>
      <c r="G665" s="26">
        <v>45773.0</v>
      </c>
      <c r="H665" s="70">
        <f t="shared" si="1"/>
        <v>26</v>
      </c>
      <c r="I665" s="70">
        <f t="shared" si="2"/>
        <v>4</v>
      </c>
      <c r="J665" s="70">
        <f t="shared" si="3"/>
        <v>2025</v>
      </c>
      <c r="K665" s="70" t="str">
        <f t="shared" si="4"/>
        <v>04/2025</v>
      </c>
    </row>
    <row r="666" hidden="1">
      <c r="A666" s="26">
        <v>45774.0</v>
      </c>
      <c r="B666" s="28" t="s">
        <v>1514</v>
      </c>
      <c r="C666" s="28" t="s">
        <v>37</v>
      </c>
      <c r="D666" s="28" t="s">
        <v>1515</v>
      </c>
      <c r="E666" s="71">
        <v>1631.74</v>
      </c>
      <c r="F666" s="29" t="s">
        <v>1516</v>
      </c>
      <c r="G666" s="26">
        <v>45774.0</v>
      </c>
      <c r="H666" s="70">
        <f t="shared" si="1"/>
        <v>27</v>
      </c>
      <c r="I666" s="70">
        <f t="shared" si="2"/>
        <v>4</v>
      </c>
      <c r="J666" s="70">
        <f t="shared" si="3"/>
        <v>2025</v>
      </c>
      <c r="K666" s="70" t="str">
        <f t="shared" si="4"/>
        <v>04/2025</v>
      </c>
    </row>
    <row r="667" hidden="1">
      <c r="A667" s="26">
        <v>45774.0</v>
      </c>
      <c r="B667" s="28" t="s">
        <v>1511</v>
      </c>
      <c r="C667" s="29" t="s">
        <v>27</v>
      </c>
      <c r="D667" s="28" t="s">
        <v>1512</v>
      </c>
      <c r="E667" s="71">
        <v>427.12</v>
      </c>
      <c r="F667" s="29" t="s">
        <v>1513</v>
      </c>
      <c r="G667" s="26">
        <v>45774.0</v>
      </c>
      <c r="H667" s="70">
        <f t="shared" si="1"/>
        <v>27</v>
      </c>
      <c r="I667" s="70">
        <f t="shared" si="2"/>
        <v>4</v>
      </c>
      <c r="J667" s="70">
        <f t="shared" si="3"/>
        <v>2025</v>
      </c>
      <c r="K667" s="70" t="str">
        <f t="shared" si="4"/>
        <v>04/2025</v>
      </c>
    </row>
    <row r="668" hidden="1">
      <c r="A668" s="26">
        <v>45775.0</v>
      </c>
      <c r="B668" s="28" t="s">
        <v>1514</v>
      </c>
      <c r="C668" s="28" t="s">
        <v>37</v>
      </c>
      <c r="D668" s="28" t="s">
        <v>1515</v>
      </c>
      <c r="E668" s="71">
        <v>537.11</v>
      </c>
      <c r="F668" s="29" t="s">
        <v>1516</v>
      </c>
      <c r="G668" s="26">
        <v>45775.0</v>
      </c>
      <c r="H668" s="70">
        <f t="shared" si="1"/>
        <v>28</v>
      </c>
      <c r="I668" s="70">
        <f t="shared" si="2"/>
        <v>4</v>
      </c>
      <c r="J668" s="70">
        <f t="shared" si="3"/>
        <v>2025</v>
      </c>
      <c r="K668" s="70" t="str">
        <f t="shared" si="4"/>
        <v>04/2025</v>
      </c>
    </row>
    <row r="669" hidden="1">
      <c r="A669" s="26">
        <v>45775.0</v>
      </c>
      <c r="B669" s="28" t="s">
        <v>1511</v>
      </c>
      <c r="C669" s="29" t="s">
        <v>27</v>
      </c>
      <c r="D669" s="28" t="s">
        <v>1512</v>
      </c>
      <c r="E669" s="71">
        <v>925.09</v>
      </c>
      <c r="F669" s="29" t="s">
        <v>1513</v>
      </c>
      <c r="G669" s="26">
        <v>45775.0</v>
      </c>
      <c r="H669" s="70">
        <f t="shared" si="1"/>
        <v>28</v>
      </c>
      <c r="I669" s="70">
        <f t="shared" si="2"/>
        <v>4</v>
      </c>
      <c r="J669" s="70">
        <f t="shared" si="3"/>
        <v>2025</v>
      </c>
      <c r="K669" s="70" t="str">
        <f t="shared" si="4"/>
        <v>04/2025</v>
      </c>
    </row>
    <row r="670" hidden="1">
      <c r="A670" s="26">
        <v>45776.0</v>
      </c>
      <c r="B670" s="28" t="s">
        <v>1514</v>
      </c>
      <c r="C670" s="28" t="s">
        <v>37</v>
      </c>
      <c r="D670" s="28" t="s">
        <v>1515</v>
      </c>
      <c r="E670" s="71">
        <v>997.3</v>
      </c>
      <c r="F670" s="29" t="s">
        <v>1516</v>
      </c>
      <c r="G670" s="26">
        <v>45776.0</v>
      </c>
      <c r="H670" s="70">
        <f t="shared" si="1"/>
        <v>29</v>
      </c>
      <c r="I670" s="70">
        <f t="shared" si="2"/>
        <v>4</v>
      </c>
      <c r="J670" s="70">
        <f t="shared" si="3"/>
        <v>2025</v>
      </c>
      <c r="K670" s="70" t="str">
        <f t="shared" si="4"/>
        <v>04/2025</v>
      </c>
    </row>
    <row r="671" hidden="1">
      <c r="A671" s="26">
        <v>45776.0</v>
      </c>
      <c r="B671" s="28" t="s">
        <v>1511</v>
      </c>
      <c r="C671" s="29" t="s">
        <v>27</v>
      </c>
      <c r="D671" s="28" t="s">
        <v>1512</v>
      </c>
      <c r="E671" s="71">
        <v>779.89</v>
      </c>
      <c r="F671" s="29" t="s">
        <v>1513</v>
      </c>
      <c r="G671" s="26">
        <v>45776.0</v>
      </c>
      <c r="H671" s="70">
        <f t="shared" si="1"/>
        <v>29</v>
      </c>
      <c r="I671" s="70">
        <f t="shared" si="2"/>
        <v>4</v>
      </c>
      <c r="J671" s="70">
        <f t="shared" si="3"/>
        <v>2025</v>
      </c>
      <c r="K671" s="70" t="str">
        <f t="shared" si="4"/>
        <v>04/2025</v>
      </c>
    </row>
    <row r="672" hidden="1">
      <c r="A672" s="26">
        <v>45777.0</v>
      </c>
      <c r="B672" s="28" t="s">
        <v>1519</v>
      </c>
      <c r="C672" s="28" t="s">
        <v>27</v>
      </c>
      <c r="D672" s="28" t="s">
        <v>1520</v>
      </c>
      <c r="E672" s="71">
        <v>7274.68</v>
      </c>
      <c r="F672" s="29" t="s">
        <v>1513</v>
      </c>
      <c r="G672" s="26">
        <v>45777.0</v>
      </c>
      <c r="H672" s="70">
        <f t="shared" si="1"/>
        <v>30</v>
      </c>
      <c r="I672" s="70">
        <f t="shared" si="2"/>
        <v>4</v>
      </c>
      <c r="J672" s="70">
        <f t="shared" si="3"/>
        <v>2025</v>
      </c>
      <c r="K672" s="70" t="str">
        <f t="shared" si="4"/>
        <v>04/2025</v>
      </c>
    </row>
    <row r="673" hidden="1">
      <c r="A673" s="26">
        <v>45777.0</v>
      </c>
      <c r="B673" s="28" t="s">
        <v>1521</v>
      </c>
      <c r="C673" s="28" t="s">
        <v>27</v>
      </c>
      <c r="D673" s="28" t="s">
        <v>1522</v>
      </c>
      <c r="E673" s="71">
        <v>204.6</v>
      </c>
      <c r="F673" s="29" t="s">
        <v>1513</v>
      </c>
      <c r="G673" s="26">
        <v>45777.0</v>
      </c>
      <c r="H673" s="70">
        <f t="shared" si="1"/>
        <v>30</v>
      </c>
      <c r="I673" s="70">
        <f t="shared" si="2"/>
        <v>4</v>
      </c>
      <c r="J673" s="70">
        <f t="shared" si="3"/>
        <v>2025</v>
      </c>
      <c r="K673" s="70" t="str">
        <f t="shared" si="4"/>
        <v>04/2025</v>
      </c>
    </row>
    <row r="674" hidden="1">
      <c r="A674" s="26">
        <v>45777.0</v>
      </c>
      <c r="B674" s="28" t="s">
        <v>1511</v>
      </c>
      <c r="C674" s="29" t="s">
        <v>27</v>
      </c>
      <c r="D674" s="28" t="s">
        <v>1512</v>
      </c>
      <c r="E674" s="71">
        <v>606.37</v>
      </c>
      <c r="F674" s="29" t="s">
        <v>1513</v>
      </c>
      <c r="G674" s="26">
        <v>45777.0</v>
      </c>
      <c r="H674" s="70">
        <f t="shared" si="1"/>
        <v>30</v>
      </c>
      <c r="I674" s="70">
        <f t="shared" si="2"/>
        <v>4</v>
      </c>
      <c r="J674" s="70">
        <f t="shared" si="3"/>
        <v>2025</v>
      </c>
      <c r="K674" s="70" t="str">
        <f t="shared" si="4"/>
        <v>04/2025</v>
      </c>
    </row>
    <row r="675" hidden="1">
      <c r="A675" s="26">
        <v>45777.0</v>
      </c>
      <c r="B675" s="28" t="s">
        <v>1514</v>
      </c>
      <c r="C675" s="28" t="s">
        <v>37</v>
      </c>
      <c r="D675" s="28" t="s">
        <v>1515</v>
      </c>
      <c r="E675" s="71">
        <v>1287.38</v>
      </c>
      <c r="F675" s="29" t="s">
        <v>1516</v>
      </c>
      <c r="G675" s="26">
        <v>45777.0</v>
      </c>
      <c r="H675" s="70">
        <f t="shared" si="1"/>
        <v>30</v>
      </c>
      <c r="I675" s="70">
        <f t="shared" si="2"/>
        <v>4</v>
      </c>
      <c r="J675" s="70">
        <f t="shared" si="3"/>
        <v>2025</v>
      </c>
      <c r="K675" s="70" t="str">
        <f t="shared" si="4"/>
        <v>04/2025</v>
      </c>
    </row>
    <row r="676" hidden="1">
      <c r="A676" s="26">
        <v>45778.0</v>
      </c>
      <c r="B676" s="28" t="s">
        <v>1511</v>
      </c>
      <c r="C676" s="29" t="s">
        <v>27</v>
      </c>
      <c r="D676" s="28" t="s">
        <v>1512</v>
      </c>
      <c r="E676" s="71">
        <v>622.59</v>
      </c>
      <c r="F676" s="29" t="s">
        <v>1513</v>
      </c>
      <c r="G676" s="26">
        <v>45778.0</v>
      </c>
      <c r="H676" s="70">
        <f t="shared" si="1"/>
        <v>1</v>
      </c>
      <c r="I676" s="70">
        <f t="shared" si="2"/>
        <v>5</v>
      </c>
      <c r="J676" s="70">
        <f t="shared" si="3"/>
        <v>2025</v>
      </c>
      <c r="K676" s="70" t="str">
        <f t="shared" si="4"/>
        <v>05/2025</v>
      </c>
    </row>
    <row r="677" hidden="1">
      <c r="A677" s="26">
        <v>45778.0</v>
      </c>
      <c r="B677" s="28" t="s">
        <v>1514</v>
      </c>
      <c r="C677" s="28" t="s">
        <v>37</v>
      </c>
      <c r="D677" s="28" t="s">
        <v>1515</v>
      </c>
      <c r="E677" s="71">
        <v>2344.67</v>
      </c>
      <c r="F677" s="29" t="s">
        <v>1516</v>
      </c>
      <c r="G677" s="26">
        <v>45778.0</v>
      </c>
      <c r="H677" s="70">
        <f t="shared" si="1"/>
        <v>1</v>
      </c>
      <c r="I677" s="70">
        <f t="shared" si="2"/>
        <v>5</v>
      </c>
      <c r="J677" s="70">
        <f t="shared" si="3"/>
        <v>2025</v>
      </c>
      <c r="K677" s="70" t="str">
        <f t="shared" si="4"/>
        <v>05/2025</v>
      </c>
    </row>
    <row r="678" hidden="1">
      <c r="A678" s="9">
        <v>45779.0</v>
      </c>
      <c r="B678" s="28" t="s">
        <v>1523</v>
      </c>
      <c r="C678" s="28" t="s">
        <v>27</v>
      </c>
      <c r="D678" s="28" t="s">
        <v>1524</v>
      </c>
      <c r="E678" s="69">
        <v>3867.42</v>
      </c>
      <c r="F678" s="11" t="s">
        <v>1513</v>
      </c>
      <c r="G678" s="9">
        <v>45779.0</v>
      </c>
      <c r="H678" s="70">
        <f t="shared" si="1"/>
        <v>2</v>
      </c>
      <c r="I678" s="70">
        <f t="shared" si="2"/>
        <v>5</v>
      </c>
      <c r="J678" s="70">
        <f t="shared" si="3"/>
        <v>2025</v>
      </c>
      <c r="K678" s="70" t="str">
        <f t="shared" si="4"/>
        <v>05/2025</v>
      </c>
    </row>
    <row r="679" hidden="1">
      <c r="A679" s="26">
        <v>45779.0</v>
      </c>
      <c r="B679" s="28" t="s">
        <v>1511</v>
      </c>
      <c r="C679" s="29" t="s">
        <v>27</v>
      </c>
      <c r="D679" s="28" t="s">
        <v>1512</v>
      </c>
      <c r="E679" s="71">
        <v>743.91</v>
      </c>
      <c r="F679" s="29" t="s">
        <v>1513</v>
      </c>
      <c r="G679" s="26">
        <v>45779.0</v>
      </c>
      <c r="H679" s="70">
        <f t="shared" si="1"/>
        <v>2</v>
      </c>
      <c r="I679" s="70">
        <f t="shared" si="2"/>
        <v>5</v>
      </c>
      <c r="J679" s="70">
        <f t="shared" si="3"/>
        <v>2025</v>
      </c>
      <c r="K679" s="70" t="str">
        <f t="shared" si="4"/>
        <v>05/2025</v>
      </c>
    </row>
    <row r="680" hidden="1">
      <c r="A680" s="26">
        <v>45779.0</v>
      </c>
      <c r="B680" s="28" t="s">
        <v>1514</v>
      </c>
      <c r="C680" s="28" t="s">
        <v>37</v>
      </c>
      <c r="D680" s="28" t="s">
        <v>1515</v>
      </c>
      <c r="E680" s="71">
        <v>1387.31</v>
      </c>
      <c r="F680" s="29" t="s">
        <v>1516</v>
      </c>
      <c r="G680" s="26">
        <v>45779.0</v>
      </c>
      <c r="H680" s="70">
        <f t="shared" si="1"/>
        <v>2</v>
      </c>
      <c r="I680" s="70">
        <f t="shared" si="2"/>
        <v>5</v>
      </c>
      <c r="J680" s="70">
        <f t="shared" si="3"/>
        <v>2025</v>
      </c>
      <c r="K680" s="70" t="str">
        <f t="shared" si="4"/>
        <v>05/2025</v>
      </c>
    </row>
    <row r="681" hidden="1">
      <c r="A681" s="26">
        <v>45780.0</v>
      </c>
      <c r="B681" s="28" t="s">
        <v>1511</v>
      </c>
      <c r="C681" s="29" t="s">
        <v>27</v>
      </c>
      <c r="D681" s="28" t="s">
        <v>1512</v>
      </c>
      <c r="E681" s="71">
        <v>1340.57</v>
      </c>
      <c r="F681" s="29" t="s">
        <v>1513</v>
      </c>
      <c r="G681" s="26">
        <v>45780.0</v>
      </c>
      <c r="H681" s="70">
        <f t="shared" si="1"/>
        <v>3</v>
      </c>
      <c r="I681" s="70">
        <f t="shared" si="2"/>
        <v>5</v>
      </c>
      <c r="J681" s="70">
        <f t="shared" si="3"/>
        <v>2025</v>
      </c>
      <c r="K681" s="70" t="str">
        <f t="shared" si="4"/>
        <v>05/2025</v>
      </c>
    </row>
    <row r="682" hidden="1">
      <c r="A682" s="26">
        <v>45780.0</v>
      </c>
      <c r="B682" s="28" t="s">
        <v>1514</v>
      </c>
      <c r="C682" s="28" t="s">
        <v>37</v>
      </c>
      <c r="D682" s="28" t="s">
        <v>1515</v>
      </c>
      <c r="E682" s="71">
        <v>1514.89</v>
      </c>
      <c r="F682" s="29" t="s">
        <v>1516</v>
      </c>
      <c r="G682" s="26">
        <v>45780.0</v>
      </c>
      <c r="H682" s="70">
        <f t="shared" si="1"/>
        <v>3</v>
      </c>
      <c r="I682" s="70">
        <f t="shared" si="2"/>
        <v>5</v>
      </c>
      <c r="J682" s="70">
        <f t="shared" si="3"/>
        <v>2025</v>
      </c>
      <c r="K682" s="70" t="str">
        <f t="shared" si="4"/>
        <v>05/2025</v>
      </c>
    </row>
    <row r="683" hidden="1">
      <c r="A683" s="26">
        <v>45781.0</v>
      </c>
      <c r="B683" s="28" t="s">
        <v>1511</v>
      </c>
      <c r="C683" s="29" t="s">
        <v>27</v>
      </c>
      <c r="D683" s="28" t="s">
        <v>1512</v>
      </c>
      <c r="E683" s="71">
        <v>392.03</v>
      </c>
      <c r="F683" s="29" t="s">
        <v>1513</v>
      </c>
      <c r="G683" s="26">
        <v>45781.0</v>
      </c>
      <c r="H683" s="70">
        <f t="shared" si="1"/>
        <v>4</v>
      </c>
      <c r="I683" s="70">
        <f t="shared" si="2"/>
        <v>5</v>
      </c>
      <c r="J683" s="70">
        <f t="shared" si="3"/>
        <v>2025</v>
      </c>
      <c r="K683" s="70" t="str">
        <f t="shared" si="4"/>
        <v>05/2025</v>
      </c>
    </row>
    <row r="684" hidden="1">
      <c r="A684" s="26">
        <v>45781.0</v>
      </c>
      <c r="B684" s="28" t="s">
        <v>1514</v>
      </c>
      <c r="C684" s="28" t="s">
        <v>37</v>
      </c>
      <c r="D684" s="28" t="s">
        <v>1515</v>
      </c>
      <c r="E684" s="71">
        <v>2029.07</v>
      </c>
      <c r="F684" s="29" t="s">
        <v>1516</v>
      </c>
      <c r="G684" s="26">
        <v>45781.0</v>
      </c>
      <c r="H684" s="70">
        <f t="shared" si="1"/>
        <v>4</v>
      </c>
      <c r="I684" s="70">
        <f t="shared" si="2"/>
        <v>5</v>
      </c>
      <c r="J684" s="70">
        <f t="shared" si="3"/>
        <v>2025</v>
      </c>
      <c r="K684" s="70" t="str">
        <f t="shared" si="4"/>
        <v>05/2025</v>
      </c>
    </row>
    <row r="685" hidden="1">
      <c r="A685" s="26">
        <v>45782.0</v>
      </c>
      <c r="B685" s="28" t="s">
        <v>1511</v>
      </c>
      <c r="C685" s="29" t="s">
        <v>27</v>
      </c>
      <c r="D685" s="28" t="s">
        <v>1512</v>
      </c>
      <c r="E685" s="71">
        <v>499.32</v>
      </c>
      <c r="F685" s="29" t="s">
        <v>1513</v>
      </c>
      <c r="G685" s="26">
        <v>45782.0</v>
      </c>
      <c r="H685" s="70">
        <f t="shared" si="1"/>
        <v>5</v>
      </c>
      <c r="I685" s="70">
        <f t="shared" si="2"/>
        <v>5</v>
      </c>
      <c r="J685" s="70">
        <f t="shared" si="3"/>
        <v>2025</v>
      </c>
      <c r="K685" s="70" t="str">
        <f t="shared" si="4"/>
        <v>05/2025</v>
      </c>
    </row>
    <row r="686" hidden="1">
      <c r="A686" s="26">
        <v>45782.0</v>
      </c>
      <c r="B686" s="28" t="s">
        <v>1514</v>
      </c>
      <c r="C686" s="28" t="s">
        <v>37</v>
      </c>
      <c r="D686" s="28" t="s">
        <v>1515</v>
      </c>
      <c r="E686" s="71">
        <v>973.45</v>
      </c>
      <c r="F686" s="29" t="s">
        <v>1516</v>
      </c>
      <c r="G686" s="26">
        <v>45782.0</v>
      </c>
      <c r="H686" s="70">
        <f t="shared" si="1"/>
        <v>5</v>
      </c>
      <c r="I686" s="70">
        <f t="shared" si="2"/>
        <v>5</v>
      </c>
      <c r="J686" s="70">
        <f t="shared" si="3"/>
        <v>2025</v>
      </c>
      <c r="K686" s="70" t="str">
        <f t="shared" si="4"/>
        <v>05/2025</v>
      </c>
    </row>
    <row r="687" hidden="1">
      <c r="A687" s="9">
        <v>45782.0</v>
      </c>
      <c r="B687" s="28" t="s">
        <v>1523</v>
      </c>
      <c r="C687" s="28" t="s">
        <v>27</v>
      </c>
      <c r="D687" s="28" t="s">
        <v>1524</v>
      </c>
      <c r="E687" s="69">
        <v>10248.21</v>
      </c>
      <c r="F687" s="11" t="s">
        <v>1513</v>
      </c>
      <c r="G687" s="9">
        <v>45782.0</v>
      </c>
      <c r="H687" s="70">
        <f t="shared" si="1"/>
        <v>5</v>
      </c>
      <c r="I687" s="70">
        <f t="shared" si="2"/>
        <v>5</v>
      </c>
      <c r="J687" s="70">
        <f t="shared" si="3"/>
        <v>2025</v>
      </c>
      <c r="K687" s="70" t="str">
        <f t="shared" si="4"/>
        <v>05/2025</v>
      </c>
    </row>
    <row r="688" hidden="1">
      <c r="A688" s="9">
        <v>45782.0</v>
      </c>
      <c r="B688" s="11" t="s">
        <v>44</v>
      </c>
      <c r="C688" s="11" t="s">
        <v>27</v>
      </c>
      <c r="D688" s="11" t="s">
        <v>1525</v>
      </c>
      <c r="E688" s="69">
        <v>19.75</v>
      </c>
      <c r="F688" s="11" t="s">
        <v>1513</v>
      </c>
      <c r="G688" s="9">
        <v>45782.0</v>
      </c>
      <c r="H688" s="70">
        <f t="shared" si="1"/>
        <v>5</v>
      </c>
      <c r="I688" s="70">
        <f t="shared" si="2"/>
        <v>5</v>
      </c>
      <c r="J688" s="70">
        <f t="shared" si="3"/>
        <v>2025</v>
      </c>
      <c r="K688" s="70" t="str">
        <f t="shared" si="4"/>
        <v>05/2025</v>
      </c>
    </row>
    <row r="689" hidden="1">
      <c r="A689" s="26">
        <v>45783.0</v>
      </c>
      <c r="B689" s="28" t="s">
        <v>1511</v>
      </c>
      <c r="C689" s="29" t="s">
        <v>27</v>
      </c>
      <c r="D689" s="28" t="s">
        <v>1512</v>
      </c>
      <c r="E689" s="71">
        <v>1152.22</v>
      </c>
      <c r="F689" s="29" t="s">
        <v>1513</v>
      </c>
      <c r="G689" s="26">
        <v>45783.0</v>
      </c>
      <c r="H689" s="70">
        <f t="shared" si="1"/>
        <v>6</v>
      </c>
      <c r="I689" s="70">
        <f t="shared" si="2"/>
        <v>5</v>
      </c>
      <c r="J689" s="70">
        <f t="shared" si="3"/>
        <v>2025</v>
      </c>
      <c r="K689" s="70" t="str">
        <f t="shared" si="4"/>
        <v>05/2025</v>
      </c>
    </row>
    <row r="690" hidden="1">
      <c r="A690" s="26">
        <v>45783.0</v>
      </c>
      <c r="B690" s="28" t="s">
        <v>1514</v>
      </c>
      <c r="C690" s="28" t="s">
        <v>37</v>
      </c>
      <c r="D690" s="28" t="s">
        <v>1515</v>
      </c>
      <c r="E690" s="71">
        <v>849.63</v>
      </c>
      <c r="F690" s="29" t="s">
        <v>1516</v>
      </c>
      <c r="G690" s="26">
        <v>45783.0</v>
      </c>
      <c r="H690" s="70">
        <f t="shared" si="1"/>
        <v>6</v>
      </c>
      <c r="I690" s="70">
        <f t="shared" si="2"/>
        <v>5</v>
      </c>
      <c r="J690" s="70">
        <f t="shared" si="3"/>
        <v>2025</v>
      </c>
      <c r="K690" s="70" t="str">
        <f t="shared" si="4"/>
        <v>05/2025</v>
      </c>
    </row>
    <row r="691" hidden="1">
      <c r="A691" s="26">
        <v>45784.0</v>
      </c>
      <c r="B691" s="28" t="s">
        <v>1514</v>
      </c>
      <c r="C691" s="28" t="s">
        <v>37</v>
      </c>
      <c r="D691" s="28" t="s">
        <v>1515</v>
      </c>
      <c r="E691" s="71">
        <v>2054.41</v>
      </c>
      <c r="F691" s="29" t="s">
        <v>1516</v>
      </c>
      <c r="G691" s="26">
        <v>45784.0</v>
      </c>
      <c r="H691" s="70">
        <f t="shared" si="1"/>
        <v>7</v>
      </c>
      <c r="I691" s="70">
        <f t="shared" si="2"/>
        <v>5</v>
      </c>
      <c r="J691" s="70">
        <f t="shared" si="3"/>
        <v>2025</v>
      </c>
      <c r="K691" s="70" t="str">
        <f t="shared" si="4"/>
        <v>05/2025</v>
      </c>
    </row>
    <row r="692" hidden="1">
      <c r="A692" s="26">
        <v>45784.0</v>
      </c>
      <c r="B692" s="28" t="s">
        <v>1511</v>
      </c>
      <c r="C692" s="29" t="s">
        <v>27</v>
      </c>
      <c r="D692" s="28" t="s">
        <v>1512</v>
      </c>
      <c r="E692" s="71">
        <v>786.05</v>
      </c>
      <c r="F692" s="29" t="s">
        <v>1513</v>
      </c>
      <c r="G692" s="26">
        <v>45784.0</v>
      </c>
      <c r="H692" s="70">
        <f t="shared" si="1"/>
        <v>7</v>
      </c>
      <c r="I692" s="70">
        <f t="shared" si="2"/>
        <v>5</v>
      </c>
      <c r="J692" s="70">
        <f t="shared" si="3"/>
        <v>2025</v>
      </c>
      <c r="K692" s="70" t="str">
        <f t="shared" si="4"/>
        <v>05/2025</v>
      </c>
    </row>
    <row r="693" hidden="1">
      <c r="A693" s="26">
        <v>45785.0</v>
      </c>
      <c r="B693" s="28" t="s">
        <v>1511</v>
      </c>
      <c r="C693" s="29" t="s">
        <v>27</v>
      </c>
      <c r="D693" s="28" t="s">
        <v>1512</v>
      </c>
      <c r="E693" s="71">
        <v>960.97</v>
      </c>
      <c r="F693" s="29" t="s">
        <v>1513</v>
      </c>
      <c r="G693" s="26">
        <v>45785.0</v>
      </c>
      <c r="H693" s="70">
        <f t="shared" si="1"/>
        <v>8</v>
      </c>
      <c r="I693" s="70">
        <f t="shared" si="2"/>
        <v>5</v>
      </c>
      <c r="J693" s="70">
        <f t="shared" si="3"/>
        <v>2025</v>
      </c>
      <c r="K693" s="70" t="str">
        <f t="shared" si="4"/>
        <v>05/2025</v>
      </c>
    </row>
    <row r="694" hidden="1">
      <c r="A694" s="26">
        <v>45785.0</v>
      </c>
      <c r="B694" s="28" t="s">
        <v>1514</v>
      </c>
      <c r="C694" s="28" t="s">
        <v>37</v>
      </c>
      <c r="D694" s="28" t="s">
        <v>1515</v>
      </c>
      <c r="E694" s="71">
        <v>2078.21</v>
      </c>
      <c r="F694" s="29" t="s">
        <v>1516</v>
      </c>
      <c r="G694" s="26">
        <v>45785.0</v>
      </c>
      <c r="H694" s="70">
        <f t="shared" si="1"/>
        <v>8</v>
      </c>
      <c r="I694" s="70">
        <f t="shared" si="2"/>
        <v>5</v>
      </c>
      <c r="J694" s="70">
        <f t="shared" si="3"/>
        <v>2025</v>
      </c>
      <c r="K694" s="70" t="str">
        <f t="shared" si="4"/>
        <v>05/2025</v>
      </c>
    </row>
    <row r="695" hidden="1">
      <c r="A695" s="26">
        <v>45786.0</v>
      </c>
      <c r="B695" s="28" t="s">
        <v>1511</v>
      </c>
      <c r="C695" s="29" t="s">
        <v>27</v>
      </c>
      <c r="D695" s="28" t="s">
        <v>1512</v>
      </c>
      <c r="E695" s="71">
        <v>737.08</v>
      </c>
      <c r="F695" s="29" t="s">
        <v>1513</v>
      </c>
      <c r="G695" s="26">
        <v>45786.0</v>
      </c>
      <c r="H695" s="70">
        <f t="shared" si="1"/>
        <v>9</v>
      </c>
      <c r="I695" s="70">
        <f t="shared" si="2"/>
        <v>5</v>
      </c>
      <c r="J695" s="70">
        <f t="shared" si="3"/>
        <v>2025</v>
      </c>
      <c r="K695" s="70" t="str">
        <f t="shared" si="4"/>
        <v>05/2025</v>
      </c>
    </row>
    <row r="696" hidden="1">
      <c r="A696" s="26">
        <v>45786.0</v>
      </c>
      <c r="B696" s="28" t="s">
        <v>1514</v>
      </c>
      <c r="C696" s="28" t="s">
        <v>37</v>
      </c>
      <c r="D696" s="28" t="s">
        <v>1515</v>
      </c>
      <c r="E696" s="71">
        <v>1913.89</v>
      </c>
      <c r="F696" s="29" t="s">
        <v>1516</v>
      </c>
      <c r="G696" s="26">
        <v>45786.0</v>
      </c>
      <c r="H696" s="70">
        <f t="shared" si="1"/>
        <v>9</v>
      </c>
      <c r="I696" s="70">
        <f t="shared" si="2"/>
        <v>5</v>
      </c>
      <c r="J696" s="70">
        <f t="shared" si="3"/>
        <v>2025</v>
      </c>
      <c r="K696" s="70" t="str">
        <f t="shared" si="4"/>
        <v>05/2025</v>
      </c>
    </row>
    <row r="697" hidden="1">
      <c r="A697" s="26">
        <v>45787.0</v>
      </c>
      <c r="B697" s="28" t="s">
        <v>1511</v>
      </c>
      <c r="C697" s="29" t="s">
        <v>27</v>
      </c>
      <c r="D697" s="28" t="s">
        <v>1512</v>
      </c>
      <c r="E697" s="71">
        <v>1083.37</v>
      </c>
      <c r="F697" s="29" t="s">
        <v>1513</v>
      </c>
      <c r="G697" s="26">
        <v>45787.0</v>
      </c>
      <c r="H697" s="70">
        <f t="shared" si="1"/>
        <v>10</v>
      </c>
      <c r="I697" s="70">
        <f t="shared" si="2"/>
        <v>5</v>
      </c>
      <c r="J697" s="70">
        <f t="shared" si="3"/>
        <v>2025</v>
      </c>
      <c r="K697" s="70" t="str">
        <f t="shared" si="4"/>
        <v>05/2025</v>
      </c>
    </row>
    <row r="698" hidden="1">
      <c r="A698" s="26">
        <v>45787.0</v>
      </c>
      <c r="B698" s="28" t="s">
        <v>1514</v>
      </c>
      <c r="C698" s="28" t="s">
        <v>37</v>
      </c>
      <c r="D698" s="28" t="s">
        <v>1515</v>
      </c>
      <c r="E698" s="71">
        <v>1976.92</v>
      </c>
      <c r="F698" s="29" t="s">
        <v>1516</v>
      </c>
      <c r="G698" s="26">
        <v>45787.0</v>
      </c>
      <c r="H698" s="70">
        <f t="shared" si="1"/>
        <v>10</v>
      </c>
      <c r="I698" s="70">
        <f t="shared" si="2"/>
        <v>5</v>
      </c>
      <c r="J698" s="70">
        <f t="shared" si="3"/>
        <v>2025</v>
      </c>
      <c r="K698" s="70" t="str">
        <f t="shared" si="4"/>
        <v>05/2025</v>
      </c>
    </row>
    <row r="699" hidden="1">
      <c r="A699" s="26">
        <v>45788.0</v>
      </c>
      <c r="B699" s="28" t="s">
        <v>1511</v>
      </c>
      <c r="C699" s="29" t="s">
        <v>27</v>
      </c>
      <c r="D699" s="28" t="s">
        <v>1512</v>
      </c>
      <c r="E699" s="71">
        <v>628.4</v>
      </c>
      <c r="F699" s="29" t="s">
        <v>1513</v>
      </c>
      <c r="G699" s="26">
        <v>45788.0</v>
      </c>
      <c r="H699" s="70">
        <f t="shared" si="1"/>
        <v>11</v>
      </c>
      <c r="I699" s="70">
        <f t="shared" si="2"/>
        <v>5</v>
      </c>
      <c r="J699" s="70">
        <f t="shared" si="3"/>
        <v>2025</v>
      </c>
      <c r="K699" s="70" t="str">
        <f t="shared" si="4"/>
        <v>05/2025</v>
      </c>
    </row>
    <row r="700" hidden="1">
      <c r="A700" s="26">
        <v>45788.0</v>
      </c>
      <c r="B700" s="28" t="s">
        <v>1514</v>
      </c>
      <c r="C700" s="28" t="s">
        <v>37</v>
      </c>
      <c r="D700" s="28" t="s">
        <v>1515</v>
      </c>
      <c r="E700" s="71">
        <v>1404.34</v>
      </c>
      <c r="F700" s="29" t="s">
        <v>1516</v>
      </c>
      <c r="G700" s="26">
        <v>45788.0</v>
      </c>
      <c r="H700" s="70">
        <f t="shared" si="1"/>
        <v>11</v>
      </c>
      <c r="I700" s="70">
        <f t="shared" si="2"/>
        <v>5</v>
      </c>
      <c r="J700" s="70">
        <f t="shared" si="3"/>
        <v>2025</v>
      </c>
      <c r="K700" s="70" t="str">
        <f t="shared" si="4"/>
        <v>05/2025</v>
      </c>
    </row>
    <row r="701" hidden="1">
      <c r="A701" s="26">
        <v>45789.0</v>
      </c>
      <c r="B701" s="28" t="s">
        <v>1511</v>
      </c>
      <c r="C701" s="28" t="s">
        <v>66</v>
      </c>
      <c r="D701" s="28" t="s">
        <v>1512</v>
      </c>
      <c r="E701" s="71">
        <v>666.38</v>
      </c>
      <c r="F701" s="29" t="s">
        <v>1516</v>
      </c>
      <c r="G701" s="26">
        <v>45789.0</v>
      </c>
      <c r="H701" s="70">
        <f t="shared" si="1"/>
        <v>12</v>
      </c>
      <c r="I701" s="70">
        <f t="shared" si="2"/>
        <v>5</v>
      </c>
      <c r="J701" s="70">
        <f t="shared" si="3"/>
        <v>2025</v>
      </c>
      <c r="K701" s="70" t="str">
        <f t="shared" si="4"/>
        <v>05/2025</v>
      </c>
    </row>
    <row r="702" hidden="1">
      <c r="A702" s="26">
        <v>45789.0</v>
      </c>
      <c r="B702" s="28" t="s">
        <v>1514</v>
      </c>
      <c r="C702" s="28" t="s">
        <v>37</v>
      </c>
      <c r="D702" s="28" t="s">
        <v>1515</v>
      </c>
      <c r="E702" s="71">
        <v>145.45</v>
      </c>
      <c r="F702" s="29" t="s">
        <v>1516</v>
      </c>
      <c r="G702" s="26">
        <v>45789.0</v>
      </c>
      <c r="H702" s="70">
        <f t="shared" si="1"/>
        <v>12</v>
      </c>
      <c r="I702" s="70">
        <f t="shared" si="2"/>
        <v>5</v>
      </c>
      <c r="J702" s="70">
        <f t="shared" si="3"/>
        <v>2025</v>
      </c>
      <c r="K702" s="70" t="str">
        <f t="shared" si="4"/>
        <v>05/2025</v>
      </c>
    </row>
    <row r="703" hidden="1">
      <c r="A703" s="26">
        <v>45790.0</v>
      </c>
      <c r="B703" s="28" t="s">
        <v>1514</v>
      </c>
      <c r="C703" s="28" t="s">
        <v>37</v>
      </c>
      <c r="D703" s="28" t="s">
        <v>1515</v>
      </c>
      <c r="E703" s="71">
        <v>2312.9</v>
      </c>
      <c r="F703" s="29" t="s">
        <v>1516</v>
      </c>
      <c r="G703" s="26">
        <v>45790.0</v>
      </c>
      <c r="H703" s="70">
        <f t="shared" si="1"/>
        <v>13</v>
      </c>
      <c r="I703" s="70">
        <f t="shared" si="2"/>
        <v>5</v>
      </c>
      <c r="J703" s="70">
        <f t="shared" si="3"/>
        <v>2025</v>
      </c>
      <c r="K703" s="70" t="str">
        <f t="shared" si="4"/>
        <v>05/2025</v>
      </c>
    </row>
    <row r="704" hidden="1">
      <c r="A704" s="26">
        <v>45790.0</v>
      </c>
      <c r="B704" s="28" t="s">
        <v>1511</v>
      </c>
      <c r="C704" s="29" t="s">
        <v>27</v>
      </c>
      <c r="D704" s="28" t="s">
        <v>1512</v>
      </c>
      <c r="E704" s="71">
        <v>2316.82</v>
      </c>
      <c r="F704" s="29" t="s">
        <v>1513</v>
      </c>
      <c r="G704" s="26">
        <v>45790.0</v>
      </c>
      <c r="H704" s="70">
        <f t="shared" si="1"/>
        <v>13</v>
      </c>
      <c r="I704" s="70">
        <f t="shared" si="2"/>
        <v>5</v>
      </c>
      <c r="J704" s="70">
        <f t="shared" si="3"/>
        <v>2025</v>
      </c>
      <c r="K704" s="70" t="str">
        <f t="shared" si="4"/>
        <v>05/2025</v>
      </c>
    </row>
    <row r="705" hidden="1">
      <c r="A705" s="26">
        <v>45791.0</v>
      </c>
      <c r="B705" s="28" t="s">
        <v>1514</v>
      </c>
      <c r="C705" s="28" t="s">
        <v>37</v>
      </c>
      <c r="D705" s="28" t="s">
        <v>1515</v>
      </c>
      <c r="E705" s="71">
        <v>2067.81</v>
      </c>
      <c r="F705" s="29" t="s">
        <v>1516</v>
      </c>
      <c r="G705" s="26">
        <v>45791.0</v>
      </c>
      <c r="H705" s="70">
        <f t="shared" si="1"/>
        <v>14</v>
      </c>
      <c r="I705" s="70">
        <f t="shared" si="2"/>
        <v>5</v>
      </c>
      <c r="J705" s="70">
        <f t="shared" si="3"/>
        <v>2025</v>
      </c>
      <c r="K705" s="70" t="str">
        <f t="shared" si="4"/>
        <v>05/2025</v>
      </c>
    </row>
    <row r="706" hidden="1">
      <c r="A706" s="26">
        <v>45791.0</v>
      </c>
      <c r="B706" s="28" t="s">
        <v>1511</v>
      </c>
      <c r="C706" s="29" t="s">
        <v>27</v>
      </c>
      <c r="D706" s="28" t="s">
        <v>1512</v>
      </c>
      <c r="E706" s="71">
        <v>1186.56</v>
      </c>
      <c r="F706" s="29" t="s">
        <v>1513</v>
      </c>
      <c r="G706" s="26">
        <v>45791.0</v>
      </c>
      <c r="H706" s="70">
        <f t="shared" si="1"/>
        <v>14</v>
      </c>
      <c r="I706" s="70">
        <f t="shared" si="2"/>
        <v>5</v>
      </c>
      <c r="J706" s="70">
        <f t="shared" si="3"/>
        <v>2025</v>
      </c>
      <c r="K706" s="70" t="str">
        <f t="shared" si="4"/>
        <v>05/2025</v>
      </c>
    </row>
    <row r="707" hidden="1">
      <c r="A707" s="26">
        <v>45792.0</v>
      </c>
      <c r="B707" s="28" t="s">
        <v>1514</v>
      </c>
      <c r="C707" s="28" t="s">
        <v>37</v>
      </c>
      <c r="D707" s="28" t="s">
        <v>1515</v>
      </c>
      <c r="E707" s="71">
        <v>2565.11</v>
      </c>
      <c r="F707" s="29" t="s">
        <v>1516</v>
      </c>
      <c r="G707" s="26">
        <v>45792.0</v>
      </c>
      <c r="H707" s="70">
        <f t="shared" si="1"/>
        <v>15</v>
      </c>
      <c r="I707" s="70">
        <f t="shared" si="2"/>
        <v>5</v>
      </c>
      <c r="J707" s="70">
        <f t="shared" si="3"/>
        <v>2025</v>
      </c>
      <c r="K707" s="70" t="str">
        <f t="shared" si="4"/>
        <v>05/2025</v>
      </c>
    </row>
    <row r="708" hidden="1">
      <c r="A708" s="26">
        <v>45792.0</v>
      </c>
      <c r="B708" s="28" t="s">
        <v>1511</v>
      </c>
      <c r="C708" s="29" t="s">
        <v>27</v>
      </c>
      <c r="D708" s="28" t="s">
        <v>1512</v>
      </c>
      <c r="E708" s="71">
        <v>929.22</v>
      </c>
      <c r="F708" s="29" t="s">
        <v>1513</v>
      </c>
      <c r="G708" s="26">
        <v>45792.0</v>
      </c>
      <c r="H708" s="70">
        <f t="shared" si="1"/>
        <v>15</v>
      </c>
      <c r="I708" s="70">
        <f t="shared" si="2"/>
        <v>5</v>
      </c>
      <c r="J708" s="70">
        <f t="shared" si="3"/>
        <v>2025</v>
      </c>
      <c r="K708" s="70" t="str">
        <f t="shared" si="4"/>
        <v>05/2025</v>
      </c>
    </row>
    <row r="709" hidden="1">
      <c r="A709" s="26">
        <v>45793.0</v>
      </c>
      <c r="B709" s="28" t="s">
        <v>1514</v>
      </c>
      <c r="C709" s="28" t="s">
        <v>37</v>
      </c>
      <c r="D709" s="28" t="s">
        <v>1515</v>
      </c>
      <c r="E709" s="71">
        <v>1924.9</v>
      </c>
      <c r="F709" s="29" t="s">
        <v>1516</v>
      </c>
      <c r="G709" s="26">
        <v>45793.0</v>
      </c>
      <c r="H709" s="70">
        <f t="shared" si="1"/>
        <v>16</v>
      </c>
      <c r="I709" s="70">
        <f t="shared" si="2"/>
        <v>5</v>
      </c>
      <c r="J709" s="70">
        <f t="shared" si="3"/>
        <v>2025</v>
      </c>
      <c r="K709" s="70" t="str">
        <f t="shared" si="4"/>
        <v>05/2025</v>
      </c>
    </row>
    <row r="710" hidden="1">
      <c r="A710" s="26">
        <v>45793.0</v>
      </c>
      <c r="B710" s="28" t="s">
        <v>1523</v>
      </c>
      <c r="C710" s="28" t="s">
        <v>27</v>
      </c>
      <c r="D710" s="28" t="s">
        <v>1524</v>
      </c>
      <c r="E710" s="71">
        <v>3559.44</v>
      </c>
      <c r="F710" s="29" t="s">
        <v>1513</v>
      </c>
      <c r="G710" s="26">
        <v>45793.0</v>
      </c>
      <c r="H710" s="70">
        <f t="shared" si="1"/>
        <v>16</v>
      </c>
      <c r="I710" s="70">
        <f t="shared" si="2"/>
        <v>5</v>
      </c>
      <c r="J710" s="70">
        <f t="shared" si="3"/>
        <v>2025</v>
      </c>
      <c r="K710" s="70" t="str">
        <f t="shared" si="4"/>
        <v>05/2025</v>
      </c>
    </row>
    <row r="711" hidden="1">
      <c r="A711" s="26">
        <v>45793.0</v>
      </c>
      <c r="B711" s="28" t="s">
        <v>1511</v>
      </c>
      <c r="C711" s="29" t="s">
        <v>27</v>
      </c>
      <c r="D711" s="28" t="s">
        <v>1512</v>
      </c>
      <c r="E711" s="71">
        <v>1679.8</v>
      </c>
      <c r="F711" s="29" t="s">
        <v>1513</v>
      </c>
      <c r="G711" s="26">
        <v>45793.0</v>
      </c>
      <c r="H711" s="70">
        <f t="shared" si="1"/>
        <v>16</v>
      </c>
      <c r="I711" s="70">
        <f t="shared" si="2"/>
        <v>5</v>
      </c>
      <c r="J711" s="70">
        <f t="shared" si="3"/>
        <v>2025</v>
      </c>
      <c r="K711" s="70" t="str">
        <f t="shared" si="4"/>
        <v>05/2025</v>
      </c>
    </row>
    <row r="712" hidden="1">
      <c r="A712" s="26">
        <v>45794.0</v>
      </c>
      <c r="B712" s="28" t="s">
        <v>1514</v>
      </c>
      <c r="C712" s="28" t="s">
        <v>37</v>
      </c>
      <c r="D712" s="28" t="s">
        <v>1515</v>
      </c>
      <c r="E712" s="71">
        <v>2230.39</v>
      </c>
      <c r="F712" s="29" t="s">
        <v>1516</v>
      </c>
      <c r="G712" s="26">
        <v>45794.0</v>
      </c>
      <c r="H712" s="70">
        <f t="shared" si="1"/>
        <v>17</v>
      </c>
      <c r="I712" s="70">
        <f t="shared" si="2"/>
        <v>5</v>
      </c>
      <c r="J712" s="70">
        <f t="shared" si="3"/>
        <v>2025</v>
      </c>
      <c r="K712" s="70" t="str">
        <f t="shared" si="4"/>
        <v>05/2025</v>
      </c>
    </row>
    <row r="713" hidden="1">
      <c r="A713" s="26">
        <v>45794.0</v>
      </c>
      <c r="B713" s="28" t="s">
        <v>1511</v>
      </c>
      <c r="C713" s="29" t="s">
        <v>27</v>
      </c>
      <c r="D713" s="28" t="s">
        <v>1512</v>
      </c>
      <c r="E713" s="71">
        <v>1230.96</v>
      </c>
      <c r="F713" s="29" t="s">
        <v>1513</v>
      </c>
      <c r="G713" s="26">
        <v>45794.0</v>
      </c>
      <c r="H713" s="70">
        <f t="shared" si="1"/>
        <v>17</v>
      </c>
      <c r="I713" s="70">
        <f t="shared" si="2"/>
        <v>5</v>
      </c>
      <c r="J713" s="70">
        <f t="shared" si="3"/>
        <v>2025</v>
      </c>
      <c r="K713" s="70" t="str">
        <f t="shared" si="4"/>
        <v>05/2025</v>
      </c>
    </row>
    <row r="714" hidden="1">
      <c r="A714" s="26">
        <v>45795.0</v>
      </c>
      <c r="B714" s="28" t="s">
        <v>1514</v>
      </c>
      <c r="C714" s="28" t="s">
        <v>37</v>
      </c>
      <c r="D714" s="28" t="s">
        <v>1515</v>
      </c>
      <c r="E714" s="71">
        <v>2923.04</v>
      </c>
      <c r="F714" s="29" t="s">
        <v>1516</v>
      </c>
      <c r="G714" s="26">
        <v>45795.0</v>
      </c>
      <c r="H714" s="70">
        <f t="shared" si="1"/>
        <v>18</v>
      </c>
      <c r="I714" s="70">
        <f t="shared" si="2"/>
        <v>5</v>
      </c>
      <c r="J714" s="70">
        <f t="shared" si="3"/>
        <v>2025</v>
      </c>
      <c r="K714" s="70" t="str">
        <f t="shared" si="4"/>
        <v>05/2025</v>
      </c>
    </row>
    <row r="715" hidden="1">
      <c r="A715" s="26">
        <v>45795.0</v>
      </c>
      <c r="B715" s="28" t="s">
        <v>1511</v>
      </c>
      <c r="C715" s="29" t="s">
        <v>27</v>
      </c>
      <c r="D715" s="28" t="s">
        <v>1512</v>
      </c>
      <c r="E715" s="71">
        <v>594.89</v>
      </c>
      <c r="F715" s="29" t="s">
        <v>1513</v>
      </c>
      <c r="G715" s="26">
        <v>45795.0</v>
      </c>
      <c r="H715" s="70">
        <f t="shared" si="1"/>
        <v>18</v>
      </c>
      <c r="I715" s="70">
        <f t="shared" si="2"/>
        <v>5</v>
      </c>
      <c r="J715" s="70">
        <f t="shared" si="3"/>
        <v>2025</v>
      </c>
      <c r="K715" s="70" t="str">
        <f t="shared" si="4"/>
        <v>05/2025</v>
      </c>
    </row>
    <row r="716" hidden="1">
      <c r="A716" s="26">
        <v>45796.0</v>
      </c>
      <c r="B716" s="28" t="s">
        <v>1514</v>
      </c>
      <c r="C716" s="28" t="s">
        <v>37</v>
      </c>
      <c r="D716" s="28" t="s">
        <v>1515</v>
      </c>
      <c r="E716" s="71">
        <v>215.59</v>
      </c>
      <c r="F716" s="29" t="s">
        <v>1516</v>
      </c>
      <c r="G716" s="26">
        <v>45796.0</v>
      </c>
      <c r="H716" s="70">
        <f t="shared" si="1"/>
        <v>19</v>
      </c>
      <c r="I716" s="70">
        <f t="shared" si="2"/>
        <v>5</v>
      </c>
      <c r="J716" s="70">
        <f t="shared" si="3"/>
        <v>2025</v>
      </c>
      <c r="K716" s="70" t="str">
        <f t="shared" si="4"/>
        <v>05/2025</v>
      </c>
    </row>
    <row r="717" hidden="1">
      <c r="A717" s="26">
        <v>45796.0</v>
      </c>
      <c r="B717" s="28" t="s">
        <v>1523</v>
      </c>
      <c r="C717" s="28" t="s">
        <v>27</v>
      </c>
      <c r="D717" s="28" t="s">
        <v>1524</v>
      </c>
      <c r="E717" s="71">
        <v>13156.01</v>
      </c>
      <c r="F717" s="29" t="s">
        <v>1513</v>
      </c>
      <c r="G717" s="26">
        <v>45796.0</v>
      </c>
      <c r="H717" s="70">
        <f t="shared" si="1"/>
        <v>19</v>
      </c>
      <c r="I717" s="70">
        <f t="shared" si="2"/>
        <v>5</v>
      </c>
      <c r="J717" s="70">
        <f t="shared" si="3"/>
        <v>2025</v>
      </c>
      <c r="K717" s="70" t="str">
        <f t="shared" si="4"/>
        <v>05/2025</v>
      </c>
    </row>
    <row r="718" hidden="1">
      <c r="A718" s="26">
        <v>45796.0</v>
      </c>
      <c r="B718" s="28" t="s">
        <v>1511</v>
      </c>
      <c r="C718" s="29" t="s">
        <v>27</v>
      </c>
      <c r="D718" s="28" t="s">
        <v>1512</v>
      </c>
      <c r="E718" s="71">
        <v>353.13</v>
      </c>
      <c r="F718" s="29" t="s">
        <v>1513</v>
      </c>
      <c r="G718" s="26">
        <v>45796.0</v>
      </c>
      <c r="H718" s="70">
        <f t="shared" si="1"/>
        <v>19</v>
      </c>
      <c r="I718" s="70">
        <f t="shared" si="2"/>
        <v>5</v>
      </c>
      <c r="J718" s="70">
        <f t="shared" si="3"/>
        <v>2025</v>
      </c>
      <c r="K718" s="70" t="str">
        <f t="shared" si="4"/>
        <v>05/2025</v>
      </c>
    </row>
    <row r="719" hidden="1">
      <c r="A719" s="26">
        <v>45797.0</v>
      </c>
      <c r="B719" s="28" t="s">
        <v>1519</v>
      </c>
      <c r="C719" s="28" t="s">
        <v>27</v>
      </c>
      <c r="D719" s="28" t="s">
        <v>1520</v>
      </c>
      <c r="E719" s="71">
        <v>36671.53</v>
      </c>
      <c r="F719" s="29" t="s">
        <v>1513</v>
      </c>
      <c r="G719" s="26">
        <v>45789.0</v>
      </c>
      <c r="H719" s="70">
        <f t="shared" si="1"/>
        <v>20</v>
      </c>
      <c r="I719" s="70">
        <f t="shared" si="2"/>
        <v>5</v>
      </c>
      <c r="J719" s="70">
        <f t="shared" si="3"/>
        <v>2025</v>
      </c>
      <c r="K719" s="70" t="str">
        <f t="shared" si="4"/>
        <v>05/2025</v>
      </c>
    </row>
    <row r="720" hidden="1">
      <c r="A720" s="26">
        <v>45797.0</v>
      </c>
      <c r="B720" s="28" t="s">
        <v>1511</v>
      </c>
      <c r="C720" s="29" t="s">
        <v>27</v>
      </c>
      <c r="D720" s="28" t="s">
        <v>1512</v>
      </c>
      <c r="E720" s="71">
        <v>1358.52</v>
      </c>
      <c r="F720" s="29" t="s">
        <v>1513</v>
      </c>
      <c r="G720" s="26">
        <v>45797.0</v>
      </c>
      <c r="H720" s="70">
        <f t="shared" si="1"/>
        <v>20</v>
      </c>
      <c r="I720" s="70">
        <f t="shared" si="2"/>
        <v>5</v>
      </c>
      <c r="J720" s="70">
        <f t="shared" si="3"/>
        <v>2025</v>
      </c>
      <c r="K720" s="70" t="str">
        <f t="shared" si="4"/>
        <v>05/2025</v>
      </c>
    </row>
    <row r="721" hidden="1">
      <c r="A721" s="26">
        <v>45797.0</v>
      </c>
      <c r="B721" s="28" t="s">
        <v>1514</v>
      </c>
      <c r="C721" s="28" t="s">
        <v>37</v>
      </c>
      <c r="D721" s="28" t="s">
        <v>1515</v>
      </c>
      <c r="E721" s="71">
        <v>938.46</v>
      </c>
      <c r="F721" s="29" t="s">
        <v>1516</v>
      </c>
      <c r="G721" s="26">
        <v>45797.0</v>
      </c>
      <c r="H721" s="70">
        <f t="shared" si="1"/>
        <v>20</v>
      </c>
      <c r="I721" s="70">
        <f t="shared" si="2"/>
        <v>5</v>
      </c>
      <c r="J721" s="70">
        <f t="shared" si="3"/>
        <v>2025</v>
      </c>
      <c r="K721" s="70" t="str">
        <f t="shared" si="4"/>
        <v>05/2025</v>
      </c>
    </row>
    <row r="722" hidden="1">
      <c r="A722" s="26">
        <v>45798.0</v>
      </c>
      <c r="B722" s="28" t="s">
        <v>1514</v>
      </c>
      <c r="C722" s="28" t="s">
        <v>37</v>
      </c>
      <c r="D722" s="28" t="s">
        <v>1515</v>
      </c>
      <c r="E722" s="71">
        <v>2166.78</v>
      </c>
      <c r="F722" s="29" t="s">
        <v>1516</v>
      </c>
      <c r="G722" s="26">
        <v>45798.0</v>
      </c>
      <c r="H722" s="70">
        <f t="shared" si="1"/>
        <v>21</v>
      </c>
      <c r="I722" s="70">
        <f t="shared" si="2"/>
        <v>5</v>
      </c>
      <c r="J722" s="70">
        <f t="shared" si="3"/>
        <v>2025</v>
      </c>
      <c r="K722" s="70" t="str">
        <f t="shared" si="4"/>
        <v>05/2025</v>
      </c>
    </row>
    <row r="723" hidden="1">
      <c r="A723" s="26">
        <v>45798.0</v>
      </c>
      <c r="B723" s="28" t="s">
        <v>1511</v>
      </c>
      <c r="C723" s="29" t="s">
        <v>27</v>
      </c>
      <c r="D723" s="28" t="s">
        <v>1512</v>
      </c>
      <c r="E723" s="71">
        <v>2503.23</v>
      </c>
      <c r="F723" s="29" t="s">
        <v>1513</v>
      </c>
      <c r="G723" s="26">
        <v>45798.0</v>
      </c>
      <c r="H723" s="70">
        <f t="shared" si="1"/>
        <v>21</v>
      </c>
      <c r="I723" s="70">
        <f t="shared" si="2"/>
        <v>5</v>
      </c>
      <c r="J723" s="70">
        <f t="shared" si="3"/>
        <v>2025</v>
      </c>
      <c r="K723" s="70" t="str">
        <f t="shared" si="4"/>
        <v>05/2025</v>
      </c>
    </row>
    <row r="724" hidden="1">
      <c r="A724" s="9">
        <v>45798.0</v>
      </c>
      <c r="B724" s="11" t="s">
        <v>1521</v>
      </c>
      <c r="C724" s="11" t="s">
        <v>27</v>
      </c>
      <c r="D724" s="11" t="s">
        <v>1522</v>
      </c>
      <c r="E724" s="69">
        <v>32.64</v>
      </c>
      <c r="F724" s="11" t="s">
        <v>1513</v>
      </c>
      <c r="G724" s="9">
        <v>45798.0</v>
      </c>
      <c r="H724" s="70">
        <f t="shared" si="1"/>
        <v>21</v>
      </c>
      <c r="I724" s="70">
        <f t="shared" si="2"/>
        <v>5</v>
      </c>
      <c r="J724" s="70">
        <f t="shared" si="3"/>
        <v>2025</v>
      </c>
      <c r="K724" s="70" t="str">
        <f t="shared" si="4"/>
        <v>05/2025</v>
      </c>
    </row>
    <row r="725" hidden="1">
      <c r="A725" s="26">
        <v>45799.0</v>
      </c>
      <c r="B725" s="28" t="s">
        <v>1511</v>
      </c>
      <c r="C725" s="29" t="s">
        <v>27</v>
      </c>
      <c r="D725" s="28" t="s">
        <v>1512</v>
      </c>
      <c r="E725" s="71">
        <v>1948.09</v>
      </c>
      <c r="F725" s="29" t="s">
        <v>1513</v>
      </c>
      <c r="G725" s="26">
        <v>45799.0</v>
      </c>
      <c r="H725" s="70">
        <f t="shared" si="1"/>
        <v>22</v>
      </c>
      <c r="I725" s="70">
        <f t="shared" si="2"/>
        <v>5</v>
      </c>
      <c r="J725" s="70">
        <f t="shared" si="3"/>
        <v>2025</v>
      </c>
      <c r="K725" s="70" t="str">
        <f t="shared" si="4"/>
        <v>05/2025</v>
      </c>
    </row>
    <row r="726" hidden="1">
      <c r="A726" s="26">
        <v>45799.0</v>
      </c>
      <c r="B726" s="28" t="s">
        <v>1514</v>
      </c>
      <c r="C726" s="28" t="s">
        <v>37</v>
      </c>
      <c r="D726" s="28" t="s">
        <v>1515</v>
      </c>
      <c r="E726" s="71">
        <v>3350.08</v>
      </c>
      <c r="F726" s="29" t="s">
        <v>1516</v>
      </c>
      <c r="G726" s="26">
        <v>45799.0</v>
      </c>
      <c r="H726" s="70">
        <f t="shared" si="1"/>
        <v>22</v>
      </c>
      <c r="I726" s="70">
        <f t="shared" si="2"/>
        <v>5</v>
      </c>
      <c r="J726" s="70">
        <f t="shared" si="3"/>
        <v>2025</v>
      </c>
      <c r="K726" s="70" t="str">
        <f t="shared" si="4"/>
        <v>05/2025</v>
      </c>
    </row>
    <row r="727" hidden="1">
      <c r="A727" s="26">
        <v>45800.0</v>
      </c>
      <c r="B727" s="28" t="s">
        <v>1511</v>
      </c>
      <c r="C727" s="29" t="s">
        <v>27</v>
      </c>
      <c r="D727" s="28" t="s">
        <v>1512</v>
      </c>
      <c r="E727" s="71">
        <v>1093.37</v>
      </c>
      <c r="F727" s="29" t="s">
        <v>1513</v>
      </c>
      <c r="G727" s="26">
        <v>45800.0</v>
      </c>
      <c r="H727" s="70">
        <f t="shared" si="1"/>
        <v>23</v>
      </c>
      <c r="I727" s="70">
        <f t="shared" si="2"/>
        <v>5</v>
      </c>
      <c r="J727" s="70">
        <f t="shared" si="3"/>
        <v>2025</v>
      </c>
      <c r="K727" s="70" t="str">
        <f t="shared" si="4"/>
        <v>05/2025</v>
      </c>
    </row>
    <row r="728" hidden="1">
      <c r="A728" s="26">
        <v>45800.0</v>
      </c>
      <c r="B728" s="28" t="s">
        <v>1514</v>
      </c>
      <c r="C728" s="28" t="s">
        <v>37</v>
      </c>
      <c r="D728" s="28" t="s">
        <v>1515</v>
      </c>
      <c r="E728" s="71">
        <v>1532.26</v>
      </c>
      <c r="F728" s="29" t="s">
        <v>1516</v>
      </c>
      <c r="G728" s="26">
        <v>45800.0</v>
      </c>
      <c r="H728" s="70">
        <f t="shared" si="1"/>
        <v>23</v>
      </c>
      <c r="I728" s="70">
        <f t="shared" si="2"/>
        <v>5</v>
      </c>
      <c r="J728" s="70">
        <f t="shared" si="3"/>
        <v>2025</v>
      </c>
      <c r="K728" s="70" t="str">
        <f t="shared" si="4"/>
        <v>05/2025</v>
      </c>
    </row>
    <row r="729" hidden="1">
      <c r="A729" s="26">
        <v>45801.0</v>
      </c>
      <c r="B729" s="28" t="s">
        <v>1511</v>
      </c>
      <c r="C729" s="29" t="s">
        <v>27</v>
      </c>
      <c r="D729" s="28" t="s">
        <v>1512</v>
      </c>
      <c r="E729" s="71">
        <v>1448.47</v>
      </c>
      <c r="F729" s="29" t="s">
        <v>1513</v>
      </c>
      <c r="G729" s="26">
        <v>45801.0</v>
      </c>
      <c r="H729" s="70">
        <f t="shared" si="1"/>
        <v>24</v>
      </c>
      <c r="I729" s="70">
        <f t="shared" si="2"/>
        <v>5</v>
      </c>
      <c r="J729" s="70">
        <f t="shared" si="3"/>
        <v>2025</v>
      </c>
      <c r="K729" s="70" t="str">
        <f t="shared" si="4"/>
        <v>05/2025</v>
      </c>
    </row>
    <row r="730" hidden="1">
      <c r="A730" s="26">
        <v>45801.0</v>
      </c>
      <c r="B730" s="28" t="s">
        <v>1514</v>
      </c>
      <c r="C730" s="28" t="s">
        <v>37</v>
      </c>
      <c r="D730" s="28" t="s">
        <v>1515</v>
      </c>
      <c r="E730" s="71">
        <v>2185.25</v>
      </c>
      <c r="F730" s="29" t="s">
        <v>1516</v>
      </c>
      <c r="G730" s="26">
        <v>45801.0</v>
      </c>
      <c r="H730" s="70">
        <f t="shared" si="1"/>
        <v>24</v>
      </c>
      <c r="I730" s="70">
        <f t="shared" si="2"/>
        <v>5</v>
      </c>
      <c r="J730" s="70">
        <f t="shared" si="3"/>
        <v>2025</v>
      </c>
      <c r="K730" s="70" t="str">
        <f t="shared" si="4"/>
        <v>05/2025</v>
      </c>
    </row>
    <row r="731" hidden="1">
      <c r="A731" s="26">
        <v>45802.0</v>
      </c>
      <c r="B731" s="28" t="s">
        <v>1511</v>
      </c>
      <c r="C731" s="29" t="s">
        <v>27</v>
      </c>
      <c r="D731" s="28" t="s">
        <v>1512</v>
      </c>
      <c r="E731" s="71">
        <v>687.29</v>
      </c>
      <c r="F731" s="29" t="s">
        <v>1513</v>
      </c>
      <c r="G731" s="26">
        <v>45802.0</v>
      </c>
      <c r="H731" s="70">
        <f t="shared" si="1"/>
        <v>25</v>
      </c>
      <c r="I731" s="70">
        <f t="shared" si="2"/>
        <v>5</v>
      </c>
      <c r="J731" s="70">
        <f t="shared" si="3"/>
        <v>2025</v>
      </c>
      <c r="K731" s="70" t="str">
        <f t="shared" si="4"/>
        <v>05/2025</v>
      </c>
    </row>
    <row r="732" hidden="1">
      <c r="A732" s="26">
        <v>45802.0</v>
      </c>
      <c r="B732" s="28" t="s">
        <v>1514</v>
      </c>
      <c r="C732" s="28" t="s">
        <v>37</v>
      </c>
      <c r="D732" s="28" t="s">
        <v>1515</v>
      </c>
      <c r="E732" s="71">
        <v>1117.85</v>
      </c>
      <c r="F732" s="29" t="s">
        <v>1516</v>
      </c>
      <c r="G732" s="26">
        <v>45802.0</v>
      </c>
      <c r="H732" s="70">
        <f t="shared" si="1"/>
        <v>25</v>
      </c>
      <c r="I732" s="70">
        <f t="shared" si="2"/>
        <v>5</v>
      </c>
      <c r="J732" s="70">
        <f t="shared" si="3"/>
        <v>2025</v>
      </c>
      <c r="K732" s="70" t="str">
        <f t="shared" si="4"/>
        <v>05/2025</v>
      </c>
    </row>
    <row r="733" hidden="1">
      <c r="A733" s="26">
        <v>45803.0</v>
      </c>
      <c r="B733" s="28" t="s">
        <v>1511</v>
      </c>
      <c r="C733" s="29" t="s">
        <v>27</v>
      </c>
      <c r="D733" s="28" t="s">
        <v>1512</v>
      </c>
      <c r="E733" s="71">
        <v>323.79</v>
      </c>
      <c r="F733" s="29" t="s">
        <v>1513</v>
      </c>
      <c r="G733" s="26">
        <v>45803.0</v>
      </c>
      <c r="H733" s="70">
        <f t="shared" si="1"/>
        <v>26</v>
      </c>
      <c r="I733" s="70">
        <f t="shared" si="2"/>
        <v>5</v>
      </c>
      <c r="J733" s="70">
        <f t="shared" si="3"/>
        <v>2025</v>
      </c>
      <c r="K733" s="70" t="str">
        <f t="shared" si="4"/>
        <v>05/2025</v>
      </c>
    </row>
    <row r="734" hidden="1">
      <c r="A734" s="26">
        <v>45803.0</v>
      </c>
      <c r="B734" s="28" t="s">
        <v>1514</v>
      </c>
      <c r="C734" s="28" t="s">
        <v>37</v>
      </c>
      <c r="D734" s="28" t="s">
        <v>1515</v>
      </c>
      <c r="E734" s="71">
        <v>711.51</v>
      </c>
      <c r="F734" s="29" t="s">
        <v>1516</v>
      </c>
      <c r="G734" s="26">
        <v>45803.0</v>
      </c>
      <c r="H734" s="70">
        <f t="shared" si="1"/>
        <v>26</v>
      </c>
      <c r="I734" s="70">
        <f t="shared" si="2"/>
        <v>5</v>
      </c>
      <c r="J734" s="70">
        <f t="shared" si="3"/>
        <v>2025</v>
      </c>
      <c r="K734" s="70" t="str">
        <f t="shared" si="4"/>
        <v>05/2025</v>
      </c>
    </row>
    <row r="735" hidden="1">
      <c r="A735" s="26">
        <v>45804.0</v>
      </c>
      <c r="B735" s="28" t="s">
        <v>1511</v>
      </c>
      <c r="C735" s="29" t="s">
        <v>27</v>
      </c>
      <c r="D735" s="28" t="s">
        <v>1512</v>
      </c>
      <c r="E735" s="71">
        <v>1583.47</v>
      </c>
      <c r="F735" s="29" t="s">
        <v>1513</v>
      </c>
      <c r="G735" s="26">
        <v>45804.0</v>
      </c>
      <c r="H735" s="70">
        <f t="shared" si="1"/>
        <v>27</v>
      </c>
      <c r="I735" s="70">
        <f t="shared" si="2"/>
        <v>5</v>
      </c>
      <c r="J735" s="70">
        <f t="shared" si="3"/>
        <v>2025</v>
      </c>
      <c r="K735" s="70" t="str">
        <f t="shared" si="4"/>
        <v>05/2025</v>
      </c>
    </row>
    <row r="736" hidden="1">
      <c r="A736" s="26">
        <v>45804.0</v>
      </c>
      <c r="B736" s="28" t="s">
        <v>1514</v>
      </c>
      <c r="C736" s="28" t="s">
        <v>37</v>
      </c>
      <c r="D736" s="28" t="s">
        <v>1515</v>
      </c>
      <c r="E736" s="71">
        <v>1767.26</v>
      </c>
      <c r="F736" s="29" t="s">
        <v>1516</v>
      </c>
      <c r="G736" s="26">
        <v>45804.0</v>
      </c>
      <c r="H736" s="70">
        <f t="shared" si="1"/>
        <v>27</v>
      </c>
      <c r="I736" s="70">
        <f t="shared" si="2"/>
        <v>5</v>
      </c>
      <c r="J736" s="70">
        <f t="shared" si="3"/>
        <v>2025</v>
      </c>
      <c r="K736" s="70" t="str">
        <f t="shared" si="4"/>
        <v>05/2025</v>
      </c>
    </row>
    <row r="737" hidden="1">
      <c r="A737" s="26">
        <v>45805.0</v>
      </c>
      <c r="B737" s="28" t="s">
        <v>1511</v>
      </c>
      <c r="C737" s="29" t="s">
        <v>27</v>
      </c>
      <c r="D737" s="28" t="s">
        <v>1512</v>
      </c>
      <c r="E737" s="71">
        <v>636.97</v>
      </c>
      <c r="F737" s="29" t="s">
        <v>1513</v>
      </c>
      <c r="G737" s="26">
        <v>45805.0</v>
      </c>
      <c r="H737" s="70">
        <f t="shared" si="1"/>
        <v>28</v>
      </c>
      <c r="I737" s="70">
        <f t="shared" si="2"/>
        <v>5</v>
      </c>
      <c r="J737" s="70">
        <f t="shared" si="3"/>
        <v>2025</v>
      </c>
      <c r="K737" s="70" t="str">
        <f t="shared" si="4"/>
        <v>05/2025</v>
      </c>
    </row>
    <row r="738" hidden="1">
      <c r="A738" s="26">
        <v>45805.0</v>
      </c>
      <c r="B738" s="28" t="s">
        <v>1514</v>
      </c>
      <c r="C738" s="28" t="s">
        <v>37</v>
      </c>
      <c r="D738" s="28" t="s">
        <v>1515</v>
      </c>
      <c r="E738" s="71">
        <v>1870.95</v>
      </c>
      <c r="F738" s="29" t="s">
        <v>1516</v>
      </c>
      <c r="G738" s="26">
        <v>45805.0</v>
      </c>
      <c r="H738" s="70">
        <f t="shared" si="1"/>
        <v>28</v>
      </c>
      <c r="I738" s="70">
        <f t="shared" si="2"/>
        <v>5</v>
      </c>
      <c r="J738" s="70">
        <f t="shared" si="3"/>
        <v>2025</v>
      </c>
      <c r="K738" s="70" t="str">
        <f t="shared" si="4"/>
        <v>05/2025</v>
      </c>
    </row>
    <row r="739" hidden="1">
      <c r="A739" s="9">
        <v>45805.0</v>
      </c>
      <c r="B739" s="11" t="s">
        <v>1521</v>
      </c>
      <c r="C739" s="28" t="s">
        <v>27</v>
      </c>
      <c r="D739" s="11" t="s">
        <v>1522</v>
      </c>
      <c r="E739" s="69">
        <v>189.36</v>
      </c>
      <c r="F739" s="11" t="s">
        <v>1513</v>
      </c>
      <c r="G739" s="9">
        <v>45805.0</v>
      </c>
      <c r="H739" s="70">
        <f t="shared" si="1"/>
        <v>28</v>
      </c>
      <c r="I739" s="70">
        <f t="shared" si="2"/>
        <v>5</v>
      </c>
      <c r="J739" s="70">
        <f t="shared" si="3"/>
        <v>2025</v>
      </c>
      <c r="K739" s="70" t="str">
        <f t="shared" si="4"/>
        <v>05/2025</v>
      </c>
    </row>
    <row r="740" hidden="1">
      <c r="A740" s="26">
        <v>45806.0</v>
      </c>
      <c r="B740" s="28" t="s">
        <v>1511</v>
      </c>
      <c r="C740" s="29" t="s">
        <v>27</v>
      </c>
      <c r="D740" s="28" t="s">
        <v>1512</v>
      </c>
      <c r="E740" s="71">
        <v>1137.14</v>
      </c>
      <c r="F740" s="29" t="s">
        <v>1513</v>
      </c>
      <c r="G740" s="26">
        <v>45806.0</v>
      </c>
      <c r="H740" s="70">
        <f t="shared" si="1"/>
        <v>29</v>
      </c>
      <c r="I740" s="70">
        <f t="shared" si="2"/>
        <v>5</v>
      </c>
      <c r="J740" s="70">
        <f t="shared" si="3"/>
        <v>2025</v>
      </c>
      <c r="K740" s="70" t="str">
        <f t="shared" si="4"/>
        <v>05/2025</v>
      </c>
    </row>
    <row r="741" hidden="1">
      <c r="A741" s="26">
        <v>45806.0</v>
      </c>
      <c r="B741" s="28" t="s">
        <v>1514</v>
      </c>
      <c r="C741" s="28" t="s">
        <v>37</v>
      </c>
      <c r="D741" s="28" t="s">
        <v>1515</v>
      </c>
      <c r="E741" s="71">
        <v>1960.64</v>
      </c>
      <c r="F741" s="29" t="s">
        <v>1516</v>
      </c>
      <c r="G741" s="26">
        <v>45806.0</v>
      </c>
      <c r="H741" s="70">
        <f t="shared" si="1"/>
        <v>29</v>
      </c>
      <c r="I741" s="70">
        <f t="shared" si="2"/>
        <v>5</v>
      </c>
      <c r="J741" s="70">
        <f t="shared" si="3"/>
        <v>2025</v>
      </c>
      <c r="K741" s="70" t="str">
        <f t="shared" si="4"/>
        <v>05/2025</v>
      </c>
    </row>
    <row r="742" hidden="1">
      <c r="A742" s="26">
        <v>45807.0</v>
      </c>
      <c r="B742" s="28" t="s">
        <v>1523</v>
      </c>
      <c r="C742" s="28" t="s">
        <v>27</v>
      </c>
      <c r="D742" s="28" t="s">
        <v>1524</v>
      </c>
      <c r="E742" s="71">
        <v>3454.35</v>
      </c>
      <c r="F742" s="29" t="s">
        <v>1513</v>
      </c>
      <c r="G742" s="26">
        <v>45807.0</v>
      </c>
      <c r="H742" s="70">
        <f t="shared" si="1"/>
        <v>30</v>
      </c>
      <c r="I742" s="70">
        <f t="shared" si="2"/>
        <v>5</v>
      </c>
      <c r="J742" s="70">
        <f t="shared" si="3"/>
        <v>2025</v>
      </c>
      <c r="K742" s="70" t="str">
        <f t="shared" si="4"/>
        <v>05/2025</v>
      </c>
    </row>
    <row r="743" hidden="1">
      <c r="A743" s="26">
        <v>45807.0</v>
      </c>
      <c r="B743" s="28" t="s">
        <v>1511</v>
      </c>
      <c r="C743" s="29" t="s">
        <v>27</v>
      </c>
      <c r="D743" s="28" t="s">
        <v>1512</v>
      </c>
      <c r="E743" s="71">
        <v>563.37</v>
      </c>
      <c r="F743" s="29" t="s">
        <v>1513</v>
      </c>
      <c r="G743" s="26">
        <v>45807.0</v>
      </c>
      <c r="H743" s="70">
        <f t="shared" si="1"/>
        <v>30</v>
      </c>
      <c r="I743" s="70">
        <f t="shared" si="2"/>
        <v>5</v>
      </c>
      <c r="J743" s="70">
        <f t="shared" si="3"/>
        <v>2025</v>
      </c>
      <c r="K743" s="70" t="str">
        <f t="shared" si="4"/>
        <v>05/2025</v>
      </c>
    </row>
    <row r="744" hidden="1">
      <c r="A744" s="26">
        <v>45807.0</v>
      </c>
      <c r="B744" s="28" t="s">
        <v>1514</v>
      </c>
      <c r="C744" s="28" t="s">
        <v>37</v>
      </c>
      <c r="D744" s="28" t="s">
        <v>1515</v>
      </c>
      <c r="E744" s="71">
        <v>1290.0</v>
      </c>
      <c r="F744" s="29" t="s">
        <v>1516</v>
      </c>
      <c r="G744" s="26">
        <v>45807.0</v>
      </c>
      <c r="H744" s="70">
        <f t="shared" si="1"/>
        <v>30</v>
      </c>
      <c r="I744" s="70">
        <f t="shared" si="2"/>
        <v>5</v>
      </c>
      <c r="J744" s="70">
        <f t="shared" si="3"/>
        <v>2025</v>
      </c>
      <c r="K744" s="70" t="str">
        <f t="shared" si="4"/>
        <v>05/2025</v>
      </c>
    </row>
    <row r="745" hidden="1">
      <c r="A745" s="26">
        <v>45808.0</v>
      </c>
      <c r="B745" s="28" t="s">
        <v>1511</v>
      </c>
      <c r="C745" s="29" t="s">
        <v>27</v>
      </c>
      <c r="D745" s="28" t="s">
        <v>1512</v>
      </c>
      <c r="E745" s="71">
        <v>688.6</v>
      </c>
      <c r="F745" s="29" t="s">
        <v>1513</v>
      </c>
      <c r="G745" s="26">
        <v>45808.0</v>
      </c>
      <c r="H745" s="70">
        <f t="shared" si="1"/>
        <v>31</v>
      </c>
      <c r="I745" s="70">
        <f t="shared" si="2"/>
        <v>5</v>
      </c>
      <c r="J745" s="70">
        <f t="shared" si="3"/>
        <v>2025</v>
      </c>
      <c r="K745" s="70" t="str">
        <f t="shared" si="4"/>
        <v>05/2025</v>
      </c>
    </row>
    <row r="746" hidden="1">
      <c r="A746" s="26">
        <v>45808.0</v>
      </c>
      <c r="B746" s="28" t="s">
        <v>1514</v>
      </c>
      <c r="C746" s="28" t="s">
        <v>37</v>
      </c>
      <c r="D746" s="28" t="s">
        <v>1515</v>
      </c>
      <c r="E746" s="71">
        <v>1060.83</v>
      </c>
      <c r="F746" s="29" t="s">
        <v>1516</v>
      </c>
      <c r="G746" s="26">
        <v>45808.0</v>
      </c>
      <c r="H746" s="70">
        <f t="shared" si="1"/>
        <v>31</v>
      </c>
      <c r="I746" s="70">
        <f t="shared" si="2"/>
        <v>5</v>
      </c>
      <c r="J746" s="70">
        <f t="shared" si="3"/>
        <v>2025</v>
      </c>
      <c r="K746" s="70" t="str">
        <f t="shared" si="4"/>
        <v>05/2025</v>
      </c>
    </row>
    <row r="747" hidden="1">
      <c r="A747" s="26">
        <v>45809.0</v>
      </c>
      <c r="B747" s="28" t="s">
        <v>1511</v>
      </c>
      <c r="C747" s="29" t="s">
        <v>27</v>
      </c>
      <c r="D747" s="28" t="s">
        <v>1512</v>
      </c>
      <c r="E747" s="71">
        <v>529.77</v>
      </c>
      <c r="F747" s="29" t="s">
        <v>1513</v>
      </c>
      <c r="G747" s="26">
        <v>45809.0</v>
      </c>
      <c r="H747" s="70">
        <f t="shared" si="1"/>
        <v>1</v>
      </c>
      <c r="I747" s="70">
        <f t="shared" si="2"/>
        <v>6</v>
      </c>
      <c r="J747" s="70">
        <f t="shared" si="3"/>
        <v>2025</v>
      </c>
      <c r="K747" s="70" t="str">
        <f t="shared" si="4"/>
        <v>06/2025</v>
      </c>
    </row>
    <row r="748" hidden="1">
      <c r="A748" s="26">
        <v>45809.0</v>
      </c>
      <c r="B748" s="28" t="s">
        <v>1514</v>
      </c>
      <c r="C748" s="28" t="s">
        <v>37</v>
      </c>
      <c r="D748" s="28" t="s">
        <v>1515</v>
      </c>
      <c r="E748" s="71">
        <v>696.75</v>
      </c>
      <c r="F748" s="29" t="s">
        <v>1516</v>
      </c>
      <c r="G748" s="26">
        <v>45809.0</v>
      </c>
      <c r="H748" s="70">
        <f t="shared" si="1"/>
        <v>1</v>
      </c>
      <c r="I748" s="70">
        <f t="shared" si="2"/>
        <v>6</v>
      </c>
      <c r="J748" s="70">
        <f t="shared" si="3"/>
        <v>2025</v>
      </c>
      <c r="K748" s="70" t="str">
        <f t="shared" si="4"/>
        <v>06/2025</v>
      </c>
    </row>
    <row r="749" hidden="1">
      <c r="A749" s="26">
        <v>45810.0</v>
      </c>
      <c r="B749" s="28" t="s">
        <v>1523</v>
      </c>
      <c r="C749" s="28" t="s">
        <v>27</v>
      </c>
      <c r="D749" s="28" t="s">
        <v>1524</v>
      </c>
      <c r="E749" s="71">
        <v>8932.0</v>
      </c>
      <c r="F749" s="29" t="s">
        <v>1513</v>
      </c>
      <c r="G749" s="26">
        <v>45810.0</v>
      </c>
      <c r="H749" s="70">
        <f t="shared" si="1"/>
        <v>2</v>
      </c>
      <c r="I749" s="70">
        <f t="shared" si="2"/>
        <v>6</v>
      </c>
      <c r="J749" s="70">
        <f t="shared" si="3"/>
        <v>2025</v>
      </c>
      <c r="K749" s="70" t="str">
        <f t="shared" si="4"/>
        <v>06/2025</v>
      </c>
    </row>
    <row r="750" hidden="1">
      <c r="A750" s="26">
        <v>45810.0</v>
      </c>
      <c r="B750" s="28" t="s">
        <v>1511</v>
      </c>
      <c r="C750" s="29" t="s">
        <v>27</v>
      </c>
      <c r="D750" s="28" t="s">
        <v>1512</v>
      </c>
      <c r="E750" s="71">
        <v>238.4</v>
      </c>
      <c r="F750" s="29" t="s">
        <v>1513</v>
      </c>
      <c r="G750" s="26">
        <v>45810.0</v>
      </c>
      <c r="H750" s="70">
        <f t="shared" si="1"/>
        <v>2</v>
      </c>
      <c r="I750" s="70">
        <f t="shared" si="2"/>
        <v>6</v>
      </c>
      <c r="J750" s="70">
        <f t="shared" si="3"/>
        <v>2025</v>
      </c>
      <c r="K750" s="70" t="str">
        <f t="shared" si="4"/>
        <v>06/2025</v>
      </c>
    </row>
    <row r="751" hidden="1">
      <c r="A751" s="26">
        <v>45810.0</v>
      </c>
      <c r="B751" s="28" t="s">
        <v>1514</v>
      </c>
      <c r="C751" s="28" t="s">
        <v>37</v>
      </c>
      <c r="D751" s="28" t="s">
        <v>1515</v>
      </c>
      <c r="E751" s="71">
        <v>300.18</v>
      </c>
      <c r="F751" s="29" t="s">
        <v>1516</v>
      </c>
      <c r="G751" s="26">
        <v>45810.0</v>
      </c>
      <c r="H751" s="70">
        <f t="shared" si="1"/>
        <v>2</v>
      </c>
      <c r="I751" s="70">
        <f t="shared" si="2"/>
        <v>6</v>
      </c>
      <c r="J751" s="70">
        <f t="shared" si="3"/>
        <v>2025</v>
      </c>
      <c r="K751" s="70" t="str">
        <f t="shared" si="4"/>
        <v>06/2025</v>
      </c>
    </row>
    <row r="752" hidden="1">
      <c r="A752" s="26">
        <v>45811.0</v>
      </c>
      <c r="B752" s="28" t="s">
        <v>1511</v>
      </c>
      <c r="C752" s="29" t="s">
        <v>27</v>
      </c>
      <c r="D752" s="28" t="s">
        <v>1512</v>
      </c>
      <c r="E752" s="71">
        <v>1867.18</v>
      </c>
      <c r="F752" s="29" t="s">
        <v>1513</v>
      </c>
      <c r="G752" s="26">
        <v>45811.0</v>
      </c>
      <c r="H752" s="70">
        <f t="shared" si="1"/>
        <v>3</v>
      </c>
      <c r="I752" s="70">
        <f t="shared" si="2"/>
        <v>6</v>
      </c>
      <c r="J752" s="70">
        <f t="shared" si="3"/>
        <v>2025</v>
      </c>
      <c r="K752" s="70" t="str">
        <f t="shared" si="4"/>
        <v>06/2025</v>
      </c>
    </row>
    <row r="753" hidden="1">
      <c r="A753" s="26">
        <v>45811.0</v>
      </c>
      <c r="B753" s="28" t="s">
        <v>1514</v>
      </c>
      <c r="C753" s="28" t="s">
        <v>37</v>
      </c>
      <c r="D753" s="28" t="s">
        <v>1515</v>
      </c>
      <c r="E753" s="71">
        <v>2370.29</v>
      </c>
      <c r="F753" s="29" t="s">
        <v>1516</v>
      </c>
      <c r="G753" s="26">
        <v>45811.0</v>
      </c>
      <c r="H753" s="70">
        <f t="shared" si="1"/>
        <v>3</v>
      </c>
      <c r="I753" s="70">
        <f t="shared" si="2"/>
        <v>6</v>
      </c>
      <c r="J753" s="70">
        <f t="shared" si="3"/>
        <v>2025</v>
      </c>
      <c r="K753" s="70" t="str">
        <f t="shared" si="4"/>
        <v>06/2025</v>
      </c>
    </row>
    <row r="754" hidden="1">
      <c r="A754" s="26">
        <v>45812.0</v>
      </c>
      <c r="B754" s="28" t="s">
        <v>1514</v>
      </c>
      <c r="C754" s="28" t="s">
        <v>37</v>
      </c>
      <c r="D754" s="28" t="s">
        <v>1515</v>
      </c>
      <c r="E754" s="71">
        <v>2679.67</v>
      </c>
      <c r="F754" s="29" t="s">
        <v>1516</v>
      </c>
      <c r="G754" s="26">
        <v>45812.0</v>
      </c>
      <c r="H754" s="70">
        <f t="shared" si="1"/>
        <v>4</v>
      </c>
      <c r="I754" s="70">
        <f t="shared" si="2"/>
        <v>6</v>
      </c>
      <c r="J754" s="70">
        <f t="shared" si="3"/>
        <v>2025</v>
      </c>
      <c r="K754" s="70" t="str">
        <f t="shared" si="4"/>
        <v>06/2025</v>
      </c>
    </row>
    <row r="755" hidden="1">
      <c r="A755" s="26">
        <v>45812.0</v>
      </c>
      <c r="B755" s="28" t="s">
        <v>1511</v>
      </c>
      <c r="C755" s="29" t="s">
        <v>27</v>
      </c>
      <c r="D755" s="28" t="s">
        <v>1512</v>
      </c>
      <c r="E755" s="71">
        <v>1404.52</v>
      </c>
      <c r="F755" s="29" t="s">
        <v>1513</v>
      </c>
      <c r="G755" s="26">
        <v>45812.0</v>
      </c>
      <c r="H755" s="70">
        <f t="shared" si="1"/>
        <v>4</v>
      </c>
      <c r="I755" s="70">
        <f t="shared" si="2"/>
        <v>6</v>
      </c>
      <c r="J755" s="70">
        <f t="shared" si="3"/>
        <v>2025</v>
      </c>
      <c r="K755" s="70" t="str">
        <f t="shared" si="4"/>
        <v>06/2025</v>
      </c>
    </row>
    <row r="756" hidden="1">
      <c r="A756" s="26">
        <v>45813.0</v>
      </c>
      <c r="B756" s="28" t="s">
        <v>1511</v>
      </c>
      <c r="C756" s="29" t="s">
        <v>27</v>
      </c>
      <c r="D756" s="28" t="s">
        <v>1512</v>
      </c>
      <c r="E756" s="71">
        <v>1217.01</v>
      </c>
      <c r="F756" s="29" t="s">
        <v>1513</v>
      </c>
      <c r="G756" s="26">
        <v>45813.0</v>
      </c>
      <c r="H756" s="70">
        <f t="shared" si="1"/>
        <v>5</v>
      </c>
      <c r="I756" s="70">
        <f t="shared" si="2"/>
        <v>6</v>
      </c>
      <c r="J756" s="70">
        <f t="shared" si="3"/>
        <v>2025</v>
      </c>
      <c r="K756" s="70" t="str">
        <f t="shared" si="4"/>
        <v>06/2025</v>
      </c>
    </row>
    <row r="757" hidden="1">
      <c r="A757" s="26">
        <v>45813.0</v>
      </c>
      <c r="B757" s="28" t="s">
        <v>1514</v>
      </c>
      <c r="C757" s="28" t="s">
        <v>37</v>
      </c>
      <c r="D757" s="28" t="s">
        <v>1515</v>
      </c>
      <c r="E757" s="71">
        <v>1701.14</v>
      </c>
      <c r="F757" s="29" t="s">
        <v>1516</v>
      </c>
      <c r="G757" s="26">
        <v>45813.0</v>
      </c>
      <c r="H757" s="70">
        <f t="shared" si="1"/>
        <v>5</v>
      </c>
      <c r="I757" s="70">
        <f t="shared" si="2"/>
        <v>6</v>
      </c>
      <c r="J757" s="70">
        <f t="shared" si="3"/>
        <v>2025</v>
      </c>
      <c r="K757" s="70" t="str">
        <f t="shared" si="4"/>
        <v>06/2025</v>
      </c>
    </row>
    <row r="758" hidden="1">
      <c r="A758" s="26">
        <v>45814.0</v>
      </c>
      <c r="B758" s="28" t="s">
        <v>1511</v>
      </c>
      <c r="C758" s="29" t="s">
        <v>27</v>
      </c>
      <c r="D758" s="28" t="s">
        <v>1512</v>
      </c>
      <c r="E758" s="71">
        <v>1095.95</v>
      </c>
      <c r="F758" s="29" t="s">
        <v>1513</v>
      </c>
      <c r="G758" s="26">
        <v>45814.0</v>
      </c>
      <c r="H758" s="70">
        <f t="shared" si="1"/>
        <v>6</v>
      </c>
      <c r="I758" s="70">
        <f t="shared" si="2"/>
        <v>6</v>
      </c>
      <c r="J758" s="70">
        <f t="shared" si="3"/>
        <v>2025</v>
      </c>
      <c r="K758" s="70" t="str">
        <f t="shared" si="4"/>
        <v>06/2025</v>
      </c>
    </row>
    <row r="759" hidden="1">
      <c r="A759" s="26">
        <v>45814.0</v>
      </c>
      <c r="B759" s="28" t="s">
        <v>1514</v>
      </c>
      <c r="C759" s="28" t="s">
        <v>37</v>
      </c>
      <c r="D759" s="28" t="s">
        <v>1515</v>
      </c>
      <c r="E759" s="71">
        <v>2402.82</v>
      </c>
      <c r="F759" s="29" t="s">
        <v>1516</v>
      </c>
      <c r="G759" s="26">
        <v>45814.0</v>
      </c>
      <c r="H759" s="70">
        <f t="shared" si="1"/>
        <v>6</v>
      </c>
      <c r="I759" s="70">
        <f t="shared" si="2"/>
        <v>6</v>
      </c>
      <c r="J759" s="70">
        <f t="shared" si="3"/>
        <v>2025</v>
      </c>
      <c r="K759" s="70" t="str">
        <f t="shared" si="4"/>
        <v>06/2025</v>
      </c>
    </row>
    <row r="760" hidden="1">
      <c r="A760" s="26">
        <v>45815.0</v>
      </c>
      <c r="B760" s="28" t="s">
        <v>1511</v>
      </c>
      <c r="C760" s="29" t="s">
        <v>27</v>
      </c>
      <c r="D760" s="28" t="s">
        <v>1512</v>
      </c>
      <c r="E760" s="71">
        <v>1108.45</v>
      </c>
      <c r="F760" s="29" t="s">
        <v>1513</v>
      </c>
      <c r="G760" s="26">
        <v>45815.0</v>
      </c>
      <c r="H760" s="70">
        <f t="shared" si="1"/>
        <v>7</v>
      </c>
      <c r="I760" s="70">
        <f t="shared" si="2"/>
        <v>6</v>
      </c>
      <c r="J760" s="70">
        <f t="shared" si="3"/>
        <v>2025</v>
      </c>
      <c r="K760" s="70" t="str">
        <f t="shared" si="4"/>
        <v>06/2025</v>
      </c>
    </row>
    <row r="761" hidden="1">
      <c r="A761" s="26">
        <v>45815.0</v>
      </c>
      <c r="B761" s="28" t="s">
        <v>1514</v>
      </c>
      <c r="C761" s="28" t="s">
        <v>37</v>
      </c>
      <c r="D761" s="28" t="s">
        <v>1515</v>
      </c>
      <c r="E761" s="71">
        <v>1907.05</v>
      </c>
      <c r="F761" s="29" t="s">
        <v>1516</v>
      </c>
      <c r="G761" s="26">
        <v>45815.0</v>
      </c>
      <c r="H761" s="70">
        <f t="shared" si="1"/>
        <v>7</v>
      </c>
      <c r="I761" s="70">
        <f t="shared" si="2"/>
        <v>6</v>
      </c>
      <c r="J761" s="70">
        <f t="shared" si="3"/>
        <v>2025</v>
      </c>
      <c r="K761" s="70" t="str">
        <f t="shared" si="4"/>
        <v>06/2025</v>
      </c>
    </row>
    <row r="762" hidden="1">
      <c r="A762" s="26">
        <v>45816.0</v>
      </c>
      <c r="B762" s="28" t="s">
        <v>1511</v>
      </c>
      <c r="C762" s="29" t="s">
        <v>27</v>
      </c>
      <c r="D762" s="28" t="s">
        <v>1512</v>
      </c>
      <c r="E762" s="71">
        <v>898.28</v>
      </c>
      <c r="F762" s="29" t="s">
        <v>1513</v>
      </c>
      <c r="G762" s="26">
        <v>45816.0</v>
      </c>
      <c r="H762" s="70">
        <f t="shared" si="1"/>
        <v>8</v>
      </c>
      <c r="I762" s="70">
        <f t="shared" si="2"/>
        <v>6</v>
      </c>
      <c r="J762" s="70">
        <f t="shared" si="3"/>
        <v>2025</v>
      </c>
      <c r="K762" s="70" t="str">
        <f t="shared" si="4"/>
        <v>06/2025</v>
      </c>
    </row>
    <row r="763" hidden="1">
      <c r="A763" s="26">
        <v>45816.0</v>
      </c>
      <c r="B763" s="28" t="s">
        <v>1514</v>
      </c>
      <c r="C763" s="28" t="s">
        <v>37</v>
      </c>
      <c r="D763" s="28" t="s">
        <v>1515</v>
      </c>
      <c r="E763" s="71">
        <v>2128.48</v>
      </c>
      <c r="F763" s="29" t="s">
        <v>1516</v>
      </c>
      <c r="G763" s="26">
        <v>45816.0</v>
      </c>
      <c r="H763" s="70">
        <f t="shared" si="1"/>
        <v>8</v>
      </c>
      <c r="I763" s="70">
        <f t="shared" si="2"/>
        <v>6</v>
      </c>
      <c r="J763" s="70">
        <f t="shared" si="3"/>
        <v>2025</v>
      </c>
      <c r="K763" s="70" t="str">
        <f t="shared" si="4"/>
        <v>06/2025</v>
      </c>
    </row>
    <row r="764" hidden="1">
      <c r="A764" s="26">
        <v>45817.0</v>
      </c>
      <c r="B764" s="28" t="s">
        <v>1511</v>
      </c>
      <c r="C764" s="29" t="s">
        <v>27</v>
      </c>
      <c r="D764" s="28" t="s">
        <v>1512</v>
      </c>
      <c r="E764" s="71">
        <v>193.08</v>
      </c>
      <c r="F764" s="29" t="s">
        <v>1513</v>
      </c>
      <c r="G764" s="26">
        <v>45817.0</v>
      </c>
      <c r="H764" s="70">
        <f t="shared" si="1"/>
        <v>9</v>
      </c>
      <c r="I764" s="70">
        <f t="shared" si="2"/>
        <v>6</v>
      </c>
      <c r="J764" s="70">
        <f t="shared" si="3"/>
        <v>2025</v>
      </c>
      <c r="K764" s="70" t="str">
        <f t="shared" si="4"/>
        <v>06/2025</v>
      </c>
    </row>
    <row r="765" hidden="1">
      <c r="A765" s="26">
        <v>45817.0</v>
      </c>
      <c r="B765" s="28" t="s">
        <v>1514</v>
      </c>
      <c r="C765" s="28" t="s">
        <v>37</v>
      </c>
      <c r="D765" s="28" t="s">
        <v>1515</v>
      </c>
      <c r="E765" s="71">
        <v>763.43</v>
      </c>
      <c r="F765" s="29" t="s">
        <v>1516</v>
      </c>
      <c r="G765" s="26">
        <v>45817.0</v>
      </c>
      <c r="H765" s="70">
        <f t="shared" si="1"/>
        <v>9</v>
      </c>
      <c r="I765" s="70">
        <f t="shared" si="2"/>
        <v>6</v>
      </c>
      <c r="J765" s="70">
        <f t="shared" si="3"/>
        <v>2025</v>
      </c>
      <c r="K765" s="70" t="str">
        <f t="shared" si="4"/>
        <v>06/2025</v>
      </c>
    </row>
    <row r="766" hidden="1">
      <c r="A766" s="26">
        <v>45817.0</v>
      </c>
      <c r="B766" s="28" t="s">
        <v>44</v>
      </c>
      <c r="C766" s="28" t="s">
        <v>27</v>
      </c>
      <c r="D766" s="28" t="s">
        <v>1525</v>
      </c>
      <c r="E766" s="71">
        <v>23.35</v>
      </c>
      <c r="F766" s="28" t="s">
        <v>1513</v>
      </c>
      <c r="G766" s="26">
        <v>45817.0</v>
      </c>
      <c r="H766" s="70">
        <f t="shared" si="1"/>
        <v>9</v>
      </c>
      <c r="I766" s="70">
        <f t="shared" si="2"/>
        <v>6</v>
      </c>
      <c r="J766" s="70">
        <f t="shared" si="3"/>
        <v>2025</v>
      </c>
      <c r="K766" s="70" t="str">
        <f t="shared" si="4"/>
        <v>06/2025</v>
      </c>
    </row>
    <row r="767" hidden="1">
      <c r="A767" s="26">
        <v>45818.0</v>
      </c>
      <c r="B767" s="28" t="s">
        <v>1519</v>
      </c>
      <c r="C767" s="28" t="s">
        <v>27</v>
      </c>
      <c r="D767" s="28" t="s">
        <v>1520</v>
      </c>
      <c r="E767" s="71">
        <v>28014.17</v>
      </c>
      <c r="F767" s="29" t="s">
        <v>1513</v>
      </c>
      <c r="G767" s="26">
        <v>45817.0</v>
      </c>
      <c r="H767" s="70">
        <f t="shared" si="1"/>
        <v>10</v>
      </c>
      <c r="I767" s="70">
        <f t="shared" si="2"/>
        <v>6</v>
      </c>
      <c r="J767" s="70">
        <f t="shared" si="3"/>
        <v>2025</v>
      </c>
      <c r="K767" s="70" t="str">
        <f t="shared" si="4"/>
        <v>06/2025</v>
      </c>
    </row>
    <row r="768" hidden="1">
      <c r="A768" s="26">
        <v>45818.0</v>
      </c>
      <c r="B768" s="28" t="s">
        <v>1511</v>
      </c>
      <c r="C768" s="29" t="s">
        <v>27</v>
      </c>
      <c r="D768" s="28" t="s">
        <v>1512</v>
      </c>
      <c r="E768" s="71">
        <v>776.53</v>
      </c>
      <c r="F768" s="29" t="s">
        <v>1513</v>
      </c>
      <c r="G768" s="26">
        <v>45818.0</v>
      </c>
      <c r="H768" s="70">
        <f t="shared" si="1"/>
        <v>10</v>
      </c>
      <c r="I768" s="70">
        <f t="shared" si="2"/>
        <v>6</v>
      </c>
      <c r="J768" s="70">
        <f t="shared" si="3"/>
        <v>2025</v>
      </c>
      <c r="K768" s="70" t="str">
        <f t="shared" si="4"/>
        <v>06/2025</v>
      </c>
    </row>
    <row r="769" hidden="1">
      <c r="A769" s="26">
        <v>45818.0</v>
      </c>
      <c r="B769" s="28" t="s">
        <v>1514</v>
      </c>
      <c r="C769" s="28" t="s">
        <v>37</v>
      </c>
      <c r="D769" s="28" t="s">
        <v>1515</v>
      </c>
      <c r="E769" s="71">
        <v>3000.54</v>
      </c>
      <c r="F769" s="29" t="s">
        <v>1516</v>
      </c>
      <c r="G769" s="26">
        <v>45818.0</v>
      </c>
      <c r="H769" s="70">
        <f t="shared" si="1"/>
        <v>10</v>
      </c>
      <c r="I769" s="70">
        <f t="shared" si="2"/>
        <v>6</v>
      </c>
      <c r="J769" s="70">
        <f t="shared" si="3"/>
        <v>2025</v>
      </c>
      <c r="K769" s="70" t="str">
        <f t="shared" si="4"/>
        <v>06/2025</v>
      </c>
    </row>
    <row r="770" hidden="1">
      <c r="A770" s="26">
        <v>45819.0</v>
      </c>
      <c r="B770" s="28" t="s">
        <v>1511</v>
      </c>
      <c r="C770" s="28" t="s">
        <v>66</v>
      </c>
      <c r="D770" s="28" t="s">
        <v>1512</v>
      </c>
      <c r="E770" s="71">
        <v>727.72</v>
      </c>
      <c r="F770" s="29" t="s">
        <v>1516</v>
      </c>
      <c r="G770" s="26">
        <v>45819.0</v>
      </c>
      <c r="H770" s="70">
        <f t="shared" si="1"/>
        <v>11</v>
      </c>
      <c r="I770" s="70">
        <f t="shared" si="2"/>
        <v>6</v>
      </c>
      <c r="J770" s="70">
        <f t="shared" si="3"/>
        <v>2025</v>
      </c>
      <c r="K770" s="70" t="str">
        <f t="shared" si="4"/>
        <v>06/2025</v>
      </c>
    </row>
    <row r="771" hidden="1">
      <c r="A771" s="26">
        <v>45819.0</v>
      </c>
      <c r="B771" s="28" t="s">
        <v>1514</v>
      </c>
      <c r="C771" s="28" t="s">
        <v>37</v>
      </c>
      <c r="D771" s="28" t="s">
        <v>1515</v>
      </c>
      <c r="E771" s="71">
        <v>1674.15</v>
      </c>
      <c r="F771" s="29" t="s">
        <v>1516</v>
      </c>
      <c r="G771" s="26">
        <v>45819.0</v>
      </c>
      <c r="H771" s="70">
        <f t="shared" si="1"/>
        <v>11</v>
      </c>
      <c r="I771" s="70">
        <f t="shared" si="2"/>
        <v>6</v>
      </c>
      <c r="J771" s="70">
        <f t="shared" si="3"/>
        <v>2025</v>
      </c>
      <c r="K771" s="70" t="str">
        <f t="shared" si="4"/>
        <v>06/2025</v>
      </c>
    </row>
    <row r="772" hidden="1">
      <c r="A772" s="26">
        <v>45819.0</v>
      </c>
      <c r="B772" s="28" t="s">
        <v>1521</v>
      </c>
      <c r="C772" s="28" t="s">
        <v>27</v>
      </c>
      <c r="D772" s="28" t="s">
        <v>1522</v>
      </c>
      <c r="E772" s="71">
        <v>101.92</v>
      </c>
      <c r="F772" s="28" t="s">
        <v>1513</v>
      </c>
      <c r="G772" s="26">
        <v>45819.0</v>
      </c>
      <c r="H772" s="70">
        <f t="shared" si="1"/>
        <v>11</v>
      </c>
      <c r="I772" s="70">
        <f t="shared" si="2"/>
        <v>6</v>
      </c>
      <c r="J772" s="70">
        <f t="shared" si="3"/>
        <v>2025</v>
      </c>
      <c r="K772" s="70" t="str">
        <f t="shared" si="4"/>
        <v>06/2025</v>
      </c>
    </row>
    <row r="773" hidden="1">
      <c r="A773" s="26">
        <v>45820.0</v>
      </c>
      <c r="B773" s="28" t="s">
        <v>1511</v>
      </c>
      <c r="C773" s="29" t="s">
        <v>27</v>
      </c>
      <c r="D773" s="28" t="s">
        <v>1512</v>
      </c>
      <c r="E773" s="71">
        <v>1116.12</v>
      </c>
      <c r="F773" s="29" t="s">
        <v>1513</v>
      </c>
      <c r="G773" s="26">
        <v>45820.0</v>
      </c>
      <c r="H773" s="70">
        <f t="shared" si="1"/>
        <v>12</v>
      </c>
      <c r="I773" s="70">
        <f t="shared" si="2"/>
        <v>6</v>
      </c>
      <c r="J773" s="70">
        <f t="shared" si="3"/>
        <v>2025</v>
      </c>
      <c r="K773" s="70" t="str">
        <f t="shared" si="4"/>
        <v>06/2025</v>
      </c>
    </row>
    <row r="774" hidden="1">
      <c r="A774" s="26">
        <v>45820.0</v>
      </c>
      <c r="B774" s="28" t="s">
        <v>1514</v>
      </c>
      <c r="C774" s="28" t="s">
        <v>37</v>
      </c>
      <c r="D774" s="28" t="s">
        <v>1515</v>
      </c>
      <c r="E774" s="71">
        <v>2367.76</v>
      </c>
      <c r="F774" s="29" t="s">
        <v>1516</v>
      </c>
      <c r="G774" s="26">
        <v>45820.0</v>
      </c>
      <c r="H774" s="70">
        <f t="shared" si="1"/>
        <v>12</v>
      </c>
      <c r="I774" s="70">
        <f t="shared" si="2"/>
        <v>6</v>
      </c>
      <c r="J774" s="70">
        <f t="shared" si="3"/>
        <v>2025</v>
      </c>
      <c r="K774" s="70" t="str">
        <f t="shared" si="4"/>
        <v>06/2025</v>
      </c>
    </row>
    <row r="775" hidden="1">
      <c r="A775" s="26">
        <v>45821.0</v>
      </c>
      <c r="B775" s="28" t="s">
        <v>1523</v>
      </c>
      <c r="C775" s="28" t="s">
        <v>27</v>
      </c>
      <c r="D775" s="28" t="s">
        <v>1524</v>
      </c>
      <c r="E775" s="71">
        <v>3636.87</v>
      </c>
      <c r="F775" s="29" t="s">
        <v>1513</v>
      </c>
      <c r="G775" s="26">
        <v>45821.0</v>
      </c>
      <c r="H775" s="70">
        <f t="shared" si="1"/>
        <v>13</v>
      </c>
      <c r="I775" s="70">
        <f t="shared" si="2"/>
        <v>6</v>
      </c>
      <c r="J775" s="70">
        <f t="shared" si="3"/>
        <v>2025</v>
      </c>
      <c r="K775" s="70" t="str">
        <f t="shared" si="4"/>
        <v>06/2025</v>
      </c>
    </row>
    <row r="776" hidden="1">
      <c r="A776" s="26">
        <v>45821.0</v>
      </c>
      <c r="B776" s="28" t="s">
        <v>1511</v>
      </c>
      <c r="C776" s="29" t="s">
        <v>27</v>
      </c>
      <c r="D776" s="28" t="s">
        <v>1512</v>
      </c>
      <c r="E776" s="71">
        <v>1413.91</v>
      </c>
      <c r="F776" s="29" t="s">
        <v>1513</v>
      </c>
      <c r="G776" s="26">
        <v>45821.0</v>
      </c>
      <c r="H776" s="70">
        <f t="shared" si="1"/>
        <v>13</v>
      </c>
      <c r="I776" s="70">
        <f t="shared" si="2"/>
        <v>6</v>
      </c>
      <c r="J776" s="70">
        <f t="shared" si="3"/>
        <v>2025</v>
      </c>
      <c r="K776" s="70" t="str">
        <f t="shared" si="4"/>
        <v>06/2025</v>
      </c>
    </row>
    <row r="777" hidden="1">
      <c r="A777" s="26">
        <v>45821.0</v>
      </c>
      <c r="B777" s="28" t="s">
        <v>1514</v>
      </c>
      <c r="C777" s="28" t="s">
        <v>37</v>
      </c>
      <c r="D777" s="28" t="s">
        <v>1515</v>
      </c>
      <c r="E777" s="71">
        <v>2865.73</v>
      </c>
      <c r="F777" s="29" t="s">
        <v>1516</v>
      </c>
      <c r="G777" s="26">
        <v>45821.0</v>
      </c>
      <c r="H777" s="70">
        <f t="shared" si="1"/>
        <v>13</v>
      </c>
      <c r="I777" s="70">
        <f t="shared" si="2"/>
        <v>6</v>
      </c>
      <c r="J777" s="70">
        <f t="shared" si="3"/>
        <v>2025</v>
      </c>
      <c r="K777" s="70" t="str">
        <f t="shared" si="4"/>
        <v>06/2025</v>
      </c>
    </row>
    <row r="778" hidden="1">
      <c r="A778" s="26">
        <v>45822.0</v>
      </c>
      <c r="B778" s="28" t="s">
        <v>1511</v>
      </c>
      <c r="C778" s="29" t="s">
        <v>27</v>
      </c>
      <c r="D778" s="28" t="s">
        <v>1512</v>
      </c>
      <c r="E778" s="71">
        <v>883.28</v>
      </c>
      <c r="F778" s="29" t="s">
        <v>1513</v>
      </c>
      <c r="G778" s="26">
        <v>45822.0</v>
      </c>
      <c r="H778" s="70">
        <f t="shared" si="1"/>
        <v>14</v>
      </c>
      <c r="I778" s="70">
        <f t="shared" si="2"/>
        <v>6</v>
      </c>
      <c r="J778" s="70">
        <f t="shared" si="3"/>
        <v>2025</v>
      </c>
      <c r="K778" s="70" t="str">
        <f t="shared" si="4"/>
        <v>06/2025</v>
      </c>
    </row>
    <row r="779" hidden="1">
      <c r="A779" s="26">
        <v>45822.0</v>
      </c>
      <c r="B779" s="28" t="s">
        <v>1514</v>
      </c>
      <c r="C779" s="28" t="s">
        <v>37</v>
      </c>
      <c r="D779" s="28" t="s">
        <v>1515</v>
      </c>
      <c r="E779" s="71">
        <v>2879.26</v>
      </c>
      <c r="F779" s="29" t="s">
        <v>1516</v>
      </c>
      <c r="G779" s="26">
        <v>45822.0</v>
      </c>
      <c r="H779" s="70">
        <f t="shared" si="1"/>
        <v>14</v>
      </c>
      <c r="I779" s="70">
        <f t="shared" si="2"/>
        <v>6</v>
      </c>
      <c r="J779" s="70">
        <f t="shared" si="3"/>
        <v>2025</v>
      </c>
      <c r="K779" s="70" t="str">
        <f t="shared" si="4"/>
        <v>06/2025</v>
      </c>
    </row>
    <row r="780" hidden="1">
      <c r="A780" s="26">
        <v>45823.0</v>
      </c>
      <c r="B780" s="28" t="s">
        <v>1511</v>
      </c>
      <c r="C780" s="29" t="s">
        <v>27</v>
      </c>
      <c r="D780" s="28" t="s">
        <v>1512</v>
      </c>
      <c r="E780" s="71">
        <v>1429.43</v>
      </c>
      <c r="F780" s="29" t="s">
        <v>1513</v>
      </c>
      <c r="G780" s="26">
        <v>45823.0</v>
      </c>
      <c r="H780" s="70">
        <f t="shared" si="1"/>
        <v>15</v>
      </c>
      <c r="I780" s="70">
        <f t="shared" si="2"/>
        <v>6</v>
      </c>
      <c r="J780" s="70">
        <f t="shared" si="3"/>
        <v>2025</v>
      </c>
      <c r="K780" s="70" t="str">
        <f t="shared" si="4"/>
        <v>06/2025</v>
      </c>
    </row>
    <row r="781" hidden="1">
      <c r="A781" s="26">
        <v>45823.0</v>
      </c>
      <c r="B781" s="28" t="s">
        <v>1514</v>
      </c>
      <c r="C781" s="28" t="s">
        <v>37</v>
      </c>
      <c r="D781" s="28" t="s">
        <v>1515</v>
      </c>
      <c r="E781" s="71">
        <v>3183.0</v>
      </c>
      <c r="F781" s="29" t="s">
        <v>1516</v>
      </c>
      <c r="G781" s="26">
        <v>45823.0</v>
      </c>
      <c r="H781" s="70">
        <f t="shared" si="1"/>
        <v>15</v>
      </c>
      <c r="I781" s="70">
        <f t="shared" si="2"/>
        <v>6</v>
      </c>
      <c r="J781" s="70">
        <f t="shared" si="3"/>
        <v>2025</v>
      </c>
      <c r="K781" s="70" t="str">
        <f t="shared" si="4"/>
        <v>06/2025</v>
      </c>
    </row>
    <row r="782" hidden="1">
      <c r="A782" s="26">
        <v>45824.0</v>
      </c>
      <c r="B782" s="28" t="s">
        <v>1523</v>
      </c>
      <c r="C782" s="28" t="s">
        <v>27</v>
      </c>
      <c r="D782" s="28" t="s">
        <v>1524</v>
      </c>
      <c r="E782" s="71">
        <v>17068.59</v>
      </c>
      <c r="F782" s="29" t="s">
        <v>1513</v>
      </c>
      <c r="G782" s="26">
        <v>45824.0</v>
      </c>
      <c r="H782" s="70">
        <f t="shared" si="1"/>
        <v>16</v>
      </c>
      <c r="I782" s="70">
        <f t="shared" si="2"/>
        <v>6</v>
      </c>
      <c r="J782" s="70">
        <f t="shared" si="3"/>
        <v>2025</v>
      </c>
      <c r="K782" s="70" t="str">
        <f t="shared" si="4"/>
        <v>06/2025</v>
      </c>
    </row>
    <row r="783" hidden="1">
      <c r="A783" s="26">
        <v>45824.0</v>
      </c>
      <c r="B783" s="28" t="s">
        <v>1511</v>
      </c>
      <c r="C783" s="29" t="s">
        <v>27</v>
      </c>
      <c r="D783" s="28" t="s">
        <v>1512</v>
      </c>
      <c r="E783" s="71">
        <v>40.76</v>
      </c>
      <c r="F783" s="29" t="s">
        <v>1513</v>
      </c>
      <c r="G783" s="26">
        <v>45824.0</v>
      </c>
      <c r="H783" s="70">
        <f t="shared" si="1"/>
        <v>16</v>
      </c>
      <c r="I783" s="70">
        <f t="shared" si="2"/>
        <v>6</v>
      </c>
      <c r="J783" s="70">
        <f t="shared" si="3"/>
        <v>2025</v>
      </c>
      <c r="K783" s="70" t="str">
        <f t="shared" si="4"/>
        <v>06/2025</v>
      </c>
    </row>
    <row r="784" hidden="1">
      <c r="A784" s="26">
        <v>45824.0</v>
      </c>
      <c r="B784" s="28" t="s">
        <v>1514</v>
      </c>
      <c r="C784" s="28" t="s">
        <v>37</v>
      </c>
      <c r="D784" s="28" t="s">
        <v>1515</v>
      </c>
      <c r="E784" s="71">
        <v>186.94</v>
      </c>
      <c r="F784" s="29" t="s">
        <v>1516</v>
      </c>
      <c r="G784" s="26">
        <v>45824.0</v>
      </c>
      <c r="H784" s="70">
        <f t="shared" si="1"/>
        <v>16</v>
      </c>
      <c r="I784" s="70">
        <f t="shared" si="2"/>
        <v>6</v>
      </c>
      <c r="J784" s="70">
        <f t="shared" si="3"/>
        <v>2025</v>
      </c>
      <c r="K784" s="70" t="str">
        <f t="shared" si="4"/>
        <v>06/2025</v>
      </c>
    </row>
    <row r="785" hidden="1">
      <c r="A785" s="26">
        <v>45825.0</v>
      </c>
      <c r="B785" s="28" t="s">
        <v>1511</v>
      </c>
      <c r="C785" s="29" t="s">
        <v>27</v>
      </c>
      <c r="D785" s="28" t="s">
        <v>1512</v>
      </c>
      <c r="E785" s="71">
        <v>1405.1</v>
      </c>
      <c r="F785" s="29" t="s">
        <v>1513</v>
      </c>
      <c r="G785" s="26">
        <v>45825.0</v>
      </c>
      <c r="H785" s="70">
        <f t="shared" si="1"/>
        <v>17</v>
      </c>
      <c r="I785" s="70">
        <f t="shared" si="2"/>
        <v>6</v>
      </c>
      <c r="J785" s="70">
        <f t="shared" si="3"/>
        <v>2025</v>
      </c>
      <c r="K785" s="70" t="str">
        <f t="shared" si="4"/>
        <v>06/2025</v>
      </c>
    </row>
    <row r="786" hidden="1">
      <c r="A786" s="26">
        <v>45825.0</v>
      </c>
      <c r="B786" s="28" t="s">
        <v>1514</v>
      </c>
      <c r="C786" s="28" t="s">
        <v>37</v>
      </c>
      <c r="D786" s="28" t="s">
        <v>1515</v>
      </c>
      <c r="E786" s="71">
        <v>1715.45</v>
      </c>
      <c r="F786" s="29" t="s">
        <v>1516</v>
      </c>
      <c r="G786" s="26">
        <v>45825.0</v>
      </c>
      <c r="H786" s="70">
        <f t="shared" si="1"/>
        <v>17</v>
      </c>
      <c r="I786" s="70">
        <f t="shared" si="2"/>
        <v>6</v>
      </c>
      <c r="J786" s="70">
        <f t="shared" si="3"/>
        <v>2025</v>
      </c>
      <c r="K786" s="70" t="str">
        <f t="shared" si="4"/>
        <v>06/2025</v>
      </c>
    </row>
    <row r="787" hidden="1">
      <c r="A787" s="26">
        <v>45826.0</v>
      </c>
      <c r="B787" s="28" t="s">
        <v>1511</v>
      </c>
      <c r="C787" s="29" t="s">
        <v>27</v>
      </c>
      <c r="D787" s="28" t="s">
        <v>1512</v>
      </c>
      <c r="E787" s="71">
        <v>1105.51</v>
      </c>
      <c r="F787" s="29" t="s">
        <v>1513</v>
      </c>
      <c r="G787" s="26">
        <v>45826.0</v>
      </c>
      <c r="H787" s="70">
        <f t="shared" si="1"/>
        <v>18</v>
      </c>
      <c r="I787" s="70">
        <f t="shared" si="2"/>
        <v>6</v>
      </c>
      <c r="J787" s="70">
        <f t="shared" si="3"/>
        <v>2025</v>
      </c>
      <c r="K787" s="70" t="str">
        <f t="shared" si="4"/>
        <v>06/2025</v>
      </c>
    </row>
    <row r="788" hidden="1">
      <c r="A788" s="26">
        <v>45826.0</v>
      </c>
      <c r="B788" s="28" t="s">
        <v>1514</v>
      </c>
      <c r="C788" s="28" t="s">
        <v>37</v>
      </c>
      <c r="D788" s="28" t="s">
        <v>1515</v>
      </c>
      <c r="E788" s="71">
        <v>2349.65</v>
      </c>
      <c r="F788" s="29" t="s">
        <v>1516</v>
      </c>
      <c r="G788" s="26">
        <v>45826.0</v>
      </c>
      <c r="H788" s="70">
        <f t="shared" si="1"/>
        <v>18</v>
      </c>
      <c r="I788" s="70">
        <f t="shared" si="2"/>
        <v>6</v>
      </c>
      <c r="J788" s="70">
        <f t="shared" si="3"/>
        <v>2025</v>
      </c>
      <c r="K788" s="70" t="str">
        <f t="shared" si="4"/>
        <v>06/2025</v>
      </c>
    </row>
    <row r="789" hidden="1">
      <c r="A789" s="26">
        <v>45827.0</v>
      </c>
      <c r="B789" s="28" t="s">
        <v>1511</v>
      </c>
      <c r="C789" s="29" t="s">
        <v>27</v>
      </c>
      <c r="D789" s="28" t="s">
        <v>1512</v>
      </c>
      <c r="E789" s="71">
        <v>1135.81</v>
      </c>
      <c r="F789" s="29" t="s">
        <v>1513</v>
      </c>
      <c r="G789" s="26">
        <v>45827.0</v>
      </c>
      <c r="H789" s="70">
        <f t="shared" si="1"/>
        <v>19</v>
      </c>
      <c r="I789" s="70">
        <f t="shared" si="2"/>
        <v>6</v>
      </c>
      <c r="J789" s="70">
        <f t="shared" si="3"/>
        <v>2025</v>
      </c>
      <c r="K789" s="70" t="str">
        <f t="shared" si="4"/>
        <v>06/2025</v>
      </c>
    </row>
    <row r="790" hidden="1">
      <c r="A790" s="26">
        <v>45827.0</v>
      </c>
      <c r="B790" s="28" t="s">
        <v>1514</v>
      </c>
      <c r="C790" s="28" t="s">
        <v>37</v>
      </c>
      <c r="D790" s="28" t="s">
        <v>1515</v>
      </c>
      <c r="E790" s="71">
        <v>2240.97</v>
      </c>
      <c r="F790" s="29" t="s">
        <v>1516</v>
      </c>
      <c r="G790" s="26">
        <v>45827.0</v>
      </c>
      <c r="H790" s="70">
        <f t="shared" si="1"/>
        <v>19</v>
      </c>
      <c r="I790" s="70">
        <f t="shared" si="2"/>
        <v>6</v>
      </c>
      <c r="J790" s="70">
        <f t="shared" si="3"/>
        <v>2025</v>
      </c>
      <c r="K790" s="70" t="str">
        <f t="shared" si="4"/>
        <v>06/2025</v>
      </c>
    </row>
    <row r="791" hidden="1">
      <c r="A791" s="26">
        <v>45828.0</v>
      </c>
      <c r="B791" s="28" t="s">
        <v>1511</v>
      </c>
      <c r="C791" s="29" t="s">
        <v>27</v>
      </c>
      <c r="D791" s="28" t="s">
        <v>1512</v>
      </c>
      <c r="E791" s="71">
        <v>2968.34</v>
      </c>
      <c r="F791" s="29" t="s">
        <v>1513</v>
      </c>
      <c r="G791" s="26">
        <v>45828.0</v>
      </c>
      <c r="H791" s="70">
        <f t="shared" si="1"/>
        <v>20</v>
      </c>
      <c r="I791" s="70">
        <f t="shared" si="2"/>
        <v>6</v>
      </c>
      <c r="J791" s="70">
        <f t="shared" si="3"/>
        <v>2025</v>
      </c>
      <c r="K791" s="70" t="str">
        <f t="shared" si="4"/>
        <v>06/2025</v>
      </c>
    </row>
    <row r="792" hidden="1">
      <c r="A792" s="26">
        <v>45828.0</v>
      </c>
      <c r="B792" s="28" t="s">
        <v>1514</v>
      </c>
      <c r="C792" s="28" t="s">
        <v>37</v>
      </c>
      <c r="D792" s="28" t="s">
        <v>1515</v>
      </c>
      <c r="E792" s="71">
        <v>2338.62</v>
      </c>
      <c r="F792" s="29" t="s">
        <v>1516</v>
      </c>
      <c r="G792" s="26">
        <v>45828.0</v>
      </c>
      <c r="H792" s="70">
        <f t="shared" si="1"/>
        <v>20</v>
      </c>
      <c r="I792" s="70">
        <f t="shared" si="2"/>
        <v>6</v>
      </c>
      <c r="J792" s="70">
        <f t="shared" si="3"/>
        <v>2025</v>
      </c>
      <c r="K792" s="70" t="str">
        <f t="shared" si="4"/>
        <v>06/2025</v>
      </c>
    </row>
    <row r="793" hidden="1">
      <c r="A793" s="26">
        <v>45829.0</v>
      </c>
      <c r="B793" s="28" t="s">
        <v>1511</v>
      </c>
      <c r="C793" s="29" t="s">
        <v>27</v>
      </c>
      <c r="D793" s="28" t="s">
        <v>1512</v>
      </c>
      <c r="E793" s="71">
        <v>830.84</v>
      </c>
      <c r="F793" s="29" t="s">
        <v>1513</v>
      </c>
      <c r="G793" s="26">
        <v>45829.0</v>
      </c>
      <c r="H793" s="70">
        <f t="shared" si="1"/>
        <v>21</v>
      </c>
      <c r="I793" s="70">
        <f t="shared" si="2"/>
        <v>6</v>
      </c>
      <c r="J793" s="70">
        <f t="shared" si="3"/>
        <v>2025</v>
      </c>
      <c r="K793" s="70" t="str">
        <f t="shared" si="4"/>
        <v>06/2025</v>
      </c>
    </row>
    <row r="794" hidden="1">
      <c r="A794" s="26">
        <v>45829.0</v>
      </c>
      <c r="B794" s="28" t="s">
        <v>1514</v>
      </c>
      <c r="C794" s="28" t="s">
        <v>37</v>
      </c>
      <c r="D794" s="28" t="s">
        <v>1515</v>
      </c>
      <c r="E794" s="71">
        <v>2595.83</v>
      </c>
      <c r="F794" s="29" t="s">
        <v>1516</v>
      </c>
      <c r="G794" s="26">
        <v>45829.0</v>
      </c>
      <c r="H794" s="70">
        <f t="shared" si="1"/>
        <v>21</v>
      </c>
      <c r="I794" s="70">
        <f t="shared" si="2"/>
        <v>6</v>
      </c>
      <c r="J794" s="70">
        <f t="shared" si="3"/>
        <v>2025</v>
      </c>
      <c r="K794" s="70" t="str">
        <f t="shared" si="4"/>
        <v>06/2025</v>
      </c>
    </row>
    <row r="795" hidden="1">
      <c r="A795" s="26">
        <v>45830.0</v>
      </c>
      <c r="B795" s="28" t="s">
        <v>1511</v>
      </c>
      <c r="C795" s="29" t="s">
        <v>27</v>
      </c>
      <c r="D795" s="28" t="s">
        <v>1512</v>
      </c>
      <c r="E795" s="71">
        <v>965.48</v>
      </c>
      <c r="F795" s="29" t="s">
        <v>1513</v>
      </c>
      <c r="G795" s="26">
        <v>45830.0</v>
      </c>
      <c r="H795" s="70">
        <f t="shared" si="1"/>
        <v>22</v>
      </c>
      <c r="I795" s="70">
        <f t="shared" si="2"/>
        <v>6</v>
      </c>
      <c r="J795" s="70">
        <f t="shared" si="3"/>
        <v>2025</v>
      </c>
      <c r="K795" s="70" t="str">
        <f t="shared" si="4"/>
        <v>06/2025</v>
      </c>
    </row>
    <row r="796" hidden="1">
      <c r="A796" s="26">
        <v>45830.0</v>
      </c>
      <c r="B796" s="28" t="s">
        <v>1514</v>
      </c>
      <c r="C796" s="28" t="s">
        <v>37</v>
      </c>
      <c r="D796" s="28" t="s">
        <v>1515</v>
      </c>
      <c r="E796" s="71">
        <v>1986.17</v>
      </c>
      <c r="F796" s="29" t="s">
        <v>1516</v>
      </c>
      <c r="G796" s="26">
        <v>45830.0</v>
      </c>
      <c r="H796" s="70">
        <f t="shared" si="1"/>
        <v>22</v>
      </c>
      <c r="I796" s="70">
        <f t="shared" si="2"/>
        <v>6</v>
      </c>
      <c r="J796" s="70">
        <f t="shared" si="3"/>
        <v>2025</v>
      </c>
      <c r="K796" s="70" t="str">
        <f t="shared" si="4"/>
        <v>06/2025</v>
      </c>
    </row>
    <row r="797" hidden="1">
      <c r="A797" s="26">
        <v>45831.0</v>
      </c>
      <c r="B797" s="28" t="s">
        <v>1511</v>
      </c>
      <c r="C797" s="29" t="s">
        <v>27</v>
      </c>
      <c r="D797" s="28" t="s">
        <v>1512</v>
      </c>
      <c r="E797" s="71">
        <v>516.43</v>
      </c>
      <c r="F797" s="29" t="s">
        <v>1513</v>
      </c>
      <c r="G797" s="26">
        <v>45831.0</v>
      </c>
      <c r="H797" s="70">
        <f t="shared" si="1"/>
        <v>23</v>
      </c>
      <c r="I797" s="70">
        <f t="shared" si="2"/>
        <v>6</v>
      </c>
      <c r="J797" s="70">
        <f t="shared" si="3"/>
        <v>2025</v>
      </c>
      <c r="K797" s="70" t="str">
        <f t="shared" si="4"/>
        <v>06/2025</v>
      </c>
    </row>
    <row r="798" hidden="1">
      <c r="A798" s="26">
        <v>45831.0</v>
      </c>
      <c r="B798" s="28" t="s">
        <v>1514</v>
      </c>
      <c r="C798" s="28" t="s">
        <v>37</v>
      </c>
      <c r="D798" s="28" t="s">
        <v>1515</v>
      </c>
      <c r="E798" s="71">
        <v>2674.68</v>
      </c>
      <c r="F798" s="29" t="s">
        <v>1516</v>
      </c>
      <c r="G798" s="26">
        <v>45831.0</v>
      </c>
      <c r="H798" s="70">
        <f t="shared" si="1"/>
        <v>23</v>
      </c>
      <c r="I798" s="70">
        <f t="shared" si="2"/>
        <v>6</v>
      </c>
      <c r="J798" s="70">
        <f t="shared" si="3"/>
        <v>2025</v>
      </c>
      <c r="K798" s="70" t="str">
        <f t="shared" si="4"/>
        <v>06/2025</v>
      </c>
    </row>
    <row r="799" hidden="1">
      <c r="A799" s="26">
        <v>45832.0</v>
      </c>
      <c r="B799" s="28" t="s">
        <v>1511</v>
      </c>
      <c r="C799" s="29" t="s">
        <v>27</v>
      </c>
      <c r="D799" s="28" t="s">
        <v>1512</v>
      </c>
      <c r="E799" s="71">
        <v>1460.45</v>
      </c>
      <c r="F799" s="29" t="s">
        <v>1513</v>
      </c>
      <c r="G799" s="26">
        <v>45832.0</v>
      </c>
      <c r="H799" s="70">
        <f t="shared" si="1"/>
        <v>24</v>
      </c>
      <c r="I799" s="70">
        <f t="shared" si="2"/>
        <v>6</v>
      </c>
      <c r="J799" s="70">
        <f t="shared" si="3"/>
        <v>2025</v>
      </c>
      <c r="K799" s="70" t="str">
        <f t="shared" si="4"/>
        <v>06/2025</v>
      </c>
    </row>
    <row r="800" hidden="1">
      <c r="A800" s="26">
        <v>45832.0</v>
      </c>
      <c r="B800" s="28" t="s">
        <v>1514</v>
      </c>
      <c r="C800" s="28" t="s">
        <v>37</v>
      </c>
      <c r="D800" s="28" t="s">
        <v>1515</v>
      </c>
      <c r="E800" s="71">
        <v>2418.42</v>
      </c>
      <c r="F800" s="29" t="s">
        <v>1516</v>
      </c>
      <c r="G800" s="26">
        <v>45832.0</v>
      </c>
      <c r="H800" s="70">
        <f t="shared" si="1"/>
        <v>24</v>
      </c>
      <c r="I800" s="70">
        <f t="shared" si="2"/>
        <v>6</v>
      </c>
      <c r="J800" s="70">
        <f t="shared" si="3"/>
        <v>2025</v>
      </c>
      <c r="K800" s="70" t="str">
        <f t="shared" si="4"/>
        <v>06/2025</v>
      </c>
    </row>
    <row r="801" hidden="1">
      <c r="A801" s="26">
        <v>45833.0</v>
      </c>
      <c r="B801" s="28" t="s">
        <v>1511</v>
      </c>
      <c r="C801" s="29" t="s">
        <v>27</v>
      </c>
      <c r="D801" s="28" t="s">
        <v>1512</v>
      </c>
      <c r="E801" s="71">
        <v>1533.04</v>
      </c>
      <c r="F801" s="29" t="s">
        <v>1513</v>
      </c>
      <c r="G801" s="26">
        <v>45833.0</v>
      </c>
      <c r="H801" s="70">
        <f t="shared" si="1"/>
        <v>25</v>
      </c>
      <c r="I801" s="70">
        <f t="shared" si="2"/>
        <v>6</v>
      </c>
      <c r="J801" s="70">
        <f t="shared" si="3"/>
        <v>2025</v>
      </c>
      <c r="K801" s="70" t="str">
        <f t="shared" si="4"/>
        <v>06/2025</v>
      </c>
    </row>
    <row r="802" hidden="1">
      <c r="A802" s="26">
        <v>45833.0</v>
      </c>
      <c r="B802" s="28" t="s">
        <v>1514</v>
      </c>
      <c r="C802" s="28" t="s">
        <v>37</v>
      </c>
      <c r="D802" s="28" t="s">
        <v>1515</v>
      </c>
      <c r="E802" s="71">
        <v>2719.66</v>
      </c>
      <c r="F802" s="29" t="s">
        <v>1516</v>
      </c>
      <c r="G802" s="26">
        <v>45833.0</v>
      </c>
      <c r="H802" s="70">
        <f t="shared" si="1"/>
        <v>25</v>
      </c>
      <c r="I802" s="70">
        <f t="shared" si="2"/>
        <v>6</v>
      </c>
      <c r="J802" s="70">
        <f t="shared" si="3"/>
        <v>2025</v>
      </c>
      <c r="K802" s="70" t="str">
        <f t="shared" si="4"/>
        <v>06/2025</v>
      </c>
    </row>
    <row r="803" hidden="1">
      <c r="A803" s="26">
        <v>45834.0</v>
      </c>
      <c r="B803" s="28" t="s">
        <v>1511</v>
      </c>
      <c r="C803" s="29" t="s">
        <v>27</v>
      </c>
      <c r="D803" s="28" t="s">
        <v>1512</v>
      </c>
      <c r="E803" s="71">
        <v>1072.58</v>
      </c>
      <c r="F803" s="29" t="s">
        <v>1513</v>
      </c>
      <c r="G803" s="26">
        <v>45834.0</v>
      </c>
      <c r="H803" s="70">
        <f t="shared" si="1"/>
        <v>26</v>
      </c>
      <c r="I803" s="70">
        <f t="shared" si="2"/>
        <v>6</v>
      </c>
      <c r="J803" s="70">
        <f t="shared" si="3"/>
        <v>2025</v>
      </c>
      <c r="K803" s="70" t="str">
        <f t="shared" si="4"/>
        <v>06/2025</v>
      </c>
    </row>
    <row r="804" hidden="1">
      <c r="A804" s="26">
        <v>45834.0</v>
      </c>
      <c r="B804" s="28" t="s">
        <v>1514</v>
      </c>
      <c r="C804" s="28" t="s">
        <v>37</v>
      </c>
      <c r="D804" s="28" t="s">
        <v>1515</v>
      </c>
      <c r="E804" s="71">
        <v>2642.04</v>
      </c>
      <c r="F804" s="29" t="s">
        <v>1516</v>
      </c>
      <c r="G804" s="26">
        <v>45834.0</v>
      </c>
      <c r="H804" s="70">
        <f t="shared" si="1"/>
        <v>26</v>
      </c>
      <c r="I804" s="70">
        <f t="shared" si="2"/>
        <v>6</v>
      </c>
      <c r="J804" s="70">
        <f t="shared" si="3"/>
        <v>2025</v>
      </c>
      <c r="K804" s="70" t="str">
        <f t="shared" si="4"/>
        <v>06/2025</v>
      </c>
    </row>
    <row r="805" hidden="1">
      <c r="A805" s="26">
        <v>45835.0</v>
      </c>
      <c r="B805" s="28" t="s">
        <v>1523</v>
      </c>
      <c r="C805" s="28" t="s">
        <v>27</v>
      </c>
      <c r="D805" s="28" t="s">
        <v>1524</v>
      </c>
      <c r="E805" s="71">
        <v>3598.12</v>
      </c>
      <c r="F805" s="29" t="s">
        <v>1513</v>
      </c>
      <c r="G805" s="26">
        <v>45825.0</v>
      </c>
      <c r="H805" s="70">
        <f t="shared" si="1"/>
        <v>27</v>
      </c>
      <c r="I805" s="70">
        <f t="shared" si="2"/>
        <v>6</v>
      </c>
      <c r="J805" s="70">
        <f t="shared" si="3"/>
        <v>2025</v>
      </c>
      <c r="K805" s="70" t="str">
        <f t="shared" si="4"/>
        <v>06/2025</v>
      </c>
    </row>
    <row r="806" hidden="1">
      <c r="A806" s="26">
        <v>45835.0</v>
      </c>
      <c r="B806" s="28" t="s">
        <v>1511</v>
      </c>
      <c r="C806" s="29" t="s">
        <v>27</v>
      </c>
      <c r="D806" s="28" t="s">
        <v>1512</v>
      </c>
      <c r="E806" s="71">
        <v>1368.35</v>
      </c>
      <c r="F806" s="29" t="s">
        <v>1513</v>
      </c>
      <c r="G806" s="26">
        <v>45835.0</v>
      </c>
      <c r="H806" s="70">
        <f t="shared" si="1"/>
        <v>27</v>
      </c>
      <c r="I806" s="70">
        <f t="shared" si="2"/>
        <v>6</v>
      </c>
      <c r="J806" s="70">
        <f t="shared" si="3"/>
        <v>2025</v>
      </c>
      <c r="K806" s="70" t="str">
        <f t="shared" si="4"/>
        <v>06/2025</v>
      </c>
    </row>
    <row r="807" hidden="1">
      <c r="A807" s="26">
        <v>45835.0</v>
      </c>
      <c r="B807" s="28" t="s">
        <v>1514</v>
      </c>
      <c r="C807" s="28" t="s">
        <v>37</v>
      </c>
      <c r="D807" s="28" t="s">
        <v>1515</v>
      </c>
      <c r="E807" s="71">
        <v>2723.0</v>
      </c>
      <c r="F807" s="29" t="s">
        <v>1516</v>
      </c>
      <c r="G807" s="26">
        <v>45835.0</v>
      </c>
      <c r="H807" s="70">
        <f t="shared" si="1"/>
        <v>27</v>
      </c>
      <c r="I807" s="70">
        <f t="shared" si="2"/>
        <v>6</v>
      </c>
      <c r="J807" s="70">
        <f t="shared" si="3"/>
        <v>2025</v>
      </c>
      <c r="K807" s="70" t="str">
        <f t="shared" si="4"/>
        <v>06/2025</v>
      </c>
    </row>
    <row r="808" hidden="1">
      <c r="A808" s="26">
        <v>45836.0</v>
      </c>
      <c r="B808" s="28" t="s">
        <v>1511</v>
      </c>
      <c r="C808" s="29" t="s">
        <v>27</v>
      </c>
      <c r="D808" s="28" t="s">
        <v>1512</v>
      </c>
      <c r="E808" s="71">
        <v>1338.06</v>
      </c>
      <c r="F808" s="29" t="s">
        <v>1513</v>
      </c>
      <c r="G808" s="26">
        <v>45836.0</v>
      </c>
      <c r="H808" s="70">
        <f t="shared" si="1"/>
        <v>28</v>
      </c>
      <c r="I808" s="70">
        <f t="shared" si="2"/>
        <v>6</v>
      </c>
      <c r="J808" s="70">
        <f t="shared" si="3"/>
        <v>2025</v>
      </c>
      <c r="K808" s="70" t="str">
        <f t="shared" si="4"/>
        <v>06/2025</v>
      </c>
    </row>
    <row r="809" hidden="1">
      <c r="A809" s="26">
        <v>45836.0</v>
      </c>
      <c r="B809" s="28" t="s">
        <v>1514</v>
      </c>
      <c r="C809" s="28" t="s">
        <v>37</v>
      </c>
      <c r="D809" s="28" t="s">
        <v>1515</v>
      </c>
      <c r="E809" s="71">
        <v>2625.19</v>
      </c>
      <c r="F809" s="29" t="s">
        <v>1516</v>
      </c>
      <c r="G809" s="26">
        <v>45836.0</v>
      </c>
      <c r="H809" s="70">
        <f t="shared" si="1"/>
        <v>28</v>
      </c>
      <c r="I809" s="70">
        <f t="shared" si="2"/>
        <v>6</v>
      </c>
      <c r="J809" s="70">
        <f t="shared" si="3"/>
        <v>2025</v>
      </c>
      <c r="K809" s="70" t="str">
        <f t="shared" si="4"/>
        <v>06/2025</v>
      </c>
    </row>
    <row r="810" hidden="1">
      <c r="A810" s="26">
        <v>45837.0</v>
      </c>
      <c r="B810" s="28" t="s">
        <v>1511</v>
      </c>
      <c r="C810" s="29" t="s">
        <v>27</v>
      </c>
      <c r="D810" s="28" t="s">
        <v>1512</v>
      </c>
      <c r="E810" s="71">
        <v>597.24</v>
      </c>
      <c r="F810" s="29" t="s">
        <v>1513</v>
      </c>
      <c r="G810" s="26">
        <v>45837.0</v>
      </c>
      <c r="H810" s="70">
        <f t="shared" si="1"/>
        <v>29</v>
      </c>
      <c r="I810" s="70">
        <f t="shared" si="2"/>
        <v>6</v>
      </c>
      <c r="J810" s="70">
        <f t="shared" si="3"/>
        <v>2025</v>
      </c>
      <c r="K810" s="70" t="str">
        <f t="shared" si="4"/>
        <v>06/2025</v>
      </c>
    </row>
    <row r="811" hidden="1">
      <c r="A811" s="26">
        <v>45837.0</v>
      </c>
      <c r="B811" s="28" t="s">
        <v>1514</v>
      </c>
      <c r="C811" s="28" t="s">
        <v>37</v>
      </c>
      <c r="D811" s="28" t="s">
        <v>1515</v>
      </c>
      <c r="E811" s="71">
        <v>2571.97</v>
      </c>
      <c r="F811" s="29" t="s">
        <v>1516</v>
      </c>
      <c r="G811" s="26">
        <v>45837.0</v>
      </c>
      <c r="H811" s="70">
        <f t="shared" si="1"/>
        <v>29</v>
      </c>
      <c r="I811" s="70">
        <f t="shared" si="2"/>
        <v>6</v>
      </c>
      <c r="J811" s="70">
        <f t="shared" si="3"/>
        <v>2025</v>
      </c>
      <c r="K811" s="70" t="str">
        <f t="shared" si="4"/>
        <v>06/2025</v>
      </c>
    </row>
    <row r="812" hidden="1">
      <c r="A812" s="27">
        <v>45838.0</v>
      </c>
      <c r="B812" s="28" t="s">
        <v>1523</v>
      </c>
      <c r="C812" s="28" t="s">
        <v>27</v>
      </c>
      <c r="D812" s="28" t="s">
        <v>1524</v>
      </c>
      <c r="E812" s="71">
        <v>10330.77</v>
      </c>
      <c r="F812" s="29" t="s">
        <v>1513</v>
      </c>
      <c r="G812" s="27">
        <v>45838.0</v>
      </c>
      <c r="H812" s="70">
        <f t="shared" si="1"/>
        <v>30</v>
      </c>
      <c r="I812" s="70">
        <f t="shared" si="2"/>
        <v>6</v>
      </c>
      <c r="J812" s="70">
        <f t="shared" si="3"/>
        <v>2025</v>
      </c>
      <c r="K812" s="70" t="str">
        <f t="shared" si="4"/>
        <v>06/2025</v>
      </c>
    </row>
    <row r="813" hidden="1">
      <c r="A813" s="26">
        <v>45838.0</v>
      </c>
      <c r="B813" s="28" t="s">
        <v>1511</v>
      </c>
      <c r="C813" s="29" t="s">
        <v>27</v>
      </c>
      <c r="D813" s="28" t="s">
        <v>1512</v>
      </c>
      <c r="E813" s="71">
        <v>492.85</v>
      </c>
      <c r="F813" s="29" t="s">
        <v>1513</v>
      </c>
      <c r="G813" s="26">
        <v>45838.0</v>
      </c>
      <c r="H813" s="70">
        <f t="shared" si="1"/>
        <v>30</v>
      </c>
      <c r="I813" s="70">
        <f t="shared" si="2"/>
        <v>6</v>
      </c>
      <c r="J813" s="70">
        <f t="shared" si="3"/>
        <v>2025</v>
      </c>
      <c r="K813" s="70" t="str">
        <f t="shared" si="4"/>
        <v>06/2025</v>
      </c>
    </row>
    <row r="814" hidden="1">
      <c r="A814" s="26">
        <v>45838.0</v>
      </c>
      <c r="B814" s="28" t="s">
        <v>1514</v>
      </c>
      <c r="C814" s="28" t="s">
        <v>37</v>
      </c>
      <c r="D814" s="28" t="s">
        <v>1515</v>
      </c>
      <c r="E814" s="71">
        <v>492.49</v>
      </c>
      <c r="F814" s="29" t="s">
        <v>1516</v>
      </c>
      <c r="G814" s="26">
        <v>45838.0</v>
      </c>
      <c r="H814" s="70">
        <f t="shared" si="1"/>
        <v>30</v>
      </c>
      <c r="I814" s="70">
        <f t="shared" si="2"/>
        <v>6</v>
      </c>
      <c r="J814" s="70">
        <f t="shared" si="3"/>
        <v>2025</v>
      </c>
      <c r="K814" s="70" t="str">
        <f t="shared" si="4"/>
        <v>06/2025</v>
      </c>
    </row>
    <row r="815" hidden="1">
      <c r="A815" s="26">
        <v>45839.0</v>
      </c>
      <c r="B815" s="28" t="s">
        <v>1519</v>
      </c>
      <c r="C815" s="28" t="s">
        <v>27</v>
      </c>
      <c r="D815" s="28" t="s">
        <v>1520</v>
      </c>
      <c r="E815" s="71">
        <v>21291.84</v>
      </c>
      <c r="F815" s="29" t="s">
        <v>1513</v>
      </c>
      <c r="G815" s="26">
        <v>45838.0</v>
      </c>
      <c r="H815" s="70">
        <f t="shared" si="1"/>
        <v>1</v>
      </c>
      <c r="I815" s="70">
        <f t="shared" si="2"/>
        <v>7</v>
      </c>
      <c r="J815" s="70">
        <f t="shared" si="3"/>
        <v>2025</v>
      </c>
      <c r="K815" s="70" t="str">
        <f t="shared" si="4"/>
        <v>07/2025</v>
      </c>
    </row>
    <row r="816" hidden="1">
      <c r="A816" s="26">
        <v>45839.0</v>
      </c>
      <c r="B816" s="28" t="s">
        <v>1511</v>
      </c>
      <c r="C816" s="29" t="s">
        <v>27</v>
      </c>
      <c r="D816" s="28" t="s">
        <v>1512</v>
      </c>
      <c r="E816" s="71">
        <v>1681.42</v>
      </c>
      <c r="F816" s="29" t="s">
        <v>1513</v>
      </c>
      <c r="G816" s="26">
        <v>45839.0</v>
      </c>
      <c r="H816" s="70">
        <f t="shared" si="1"/>
        <v>1</v>
      </c>
      <c r="I816" s="70">
        <f t="shared" si="2"/>
        <v>7</v>
      </c>
      <c r="J816" s="70">
        <f t="shared" si="3"/>
        <v>2025</v>
      </c>
      <c r="K816" s="70" t="str">
        <f t="shared" si="4"/>
        <v>07/2025</v>
      </c>
    </row>
    <row r="817" hidden="1">
      <c r="A817" s="26">
        <v>45839.0</v>
      </c>
      <c r="B817" s="28" t="s">
        <v>1514</v>
      </c>
      <c r="C817" s="28" t="s">
        <v>37</v>
      </c>
      <c r="D817" s="28" t="s">
        <v>1515</v>
      </c>
      <c r="E817" s="71">
        <v>2494.05</v>
      </c>
      <c r="F817" s="29" t="s">
        <v>1516</v>
      </c>
      <c r="G817" s="26">
        <v>45839.0</v>
      </c>
      <c r="H817" s="70">
        <f t="shared" si="1"/>
        <v>1</v>
      </c>
      <c r="I817" s="70">
        <f t="shared" si="2"/>
        <v>7</v>
      </c>
      <c r="J817" s="70">
        <f t="shared" si="3"/>
        <v>2025</v>
      </c>
      <c r="K817" s="70" t="str">
        <f t="shared" si="4"/>
        <v>07/2025</v>
      </c>
    </row>
    <row r="818" hidden="1">
      <c r="A818" s="26">
        <v>45840.0</v>
      </c>
      <c r="B818" s="28" t="s">
        <v>1514</v>
      </c>
      <c r="C818" s="28" t="s">
        <v>37</v>
      </c>
      <c r="D818" s="28" t="s">
        <v>1515</v>
      </c>
      <c r="E818" s="71">
        <v>2429.24</v>
      </c>
      <c r="F818" s="29" t="s">
        <v>1516</v>
      </c>
      <c r="G818" s="26">
        <v>45840.0</v>
      </c>
      <c r="H818" s="70">
        <f t="shared" si="1"/>
        <v>2</v>
      </c>
      <c r="I818" s="70">
        <f t="shared" si="2"/>
        <v>7</v>
      </c>
      <c r="J818" s="70">
        <f t="shared" si="3"/>
        <v>2025</v>
      </c>
      <c r="K818" s="70" t="str">
        <f t="shared" si="4"/>
        <v>07/2025</v>
      </c>
    </row>
    <row r="819" hidden="1">
      <c r="A819" s="26">
        <v>45840.0</v>
      </c>
      <c r="B819" s="28" t="s">
        <v>1511</v>
      </c>
      <c r="C819" s="29" t="s">
        <v>27</v>
      </c>
      <c r="D819" s="28" t="s">
        <v>1512</v>
      </c>
      <c r="E819" s="71">
        <v>831.16</v>
      </c>
      <c r="F819" s="29" t="s">
        <v>1513</v>
      </c>
      <c r="G819" s="26">
        <v>45840.0</v>
      </c>
      <c r="H819" s="70">
        <f t="shared" si="1"/>
        <v>2</v>
      </c>
      <c r="I819" s="70">
        <f t="shared" si="2"/>
        <v>7</v>
      </c>
      <c r="J819" s="70">
        <f t="shared" si="3"/>
        <v>2025</v>
      </c>
      <c r="K819" s="70" t="str">
        <f t="shared" si="4"/>
        <v>07/2025</v>
      </c>
    </row>
    <row r="820" hidden="1">
      <c r="A820" s="26">
        <v>45841.0</v>
      </c>
      <c r="B820" s="28" t="s">
        <v>1511</v>
      </c>
      <c r="C820" s="29" t="s">
        <v>27</v>
      </c>
      <c r="D820" s="28" t="s">
        <v>1512</v>
      </c>
      <c r="E820" s="71">
        <v>715.44</v>
      </c>
      <c r="F820" s="29" t="s">
        <v>1513</v>
      </c>
      <c r="G820" s="26">
        <v>45841.0</v>
      </c>
      <c r="H820" s="70">
        <f t="shared" si="1"/>
        <v>3</v>
      </c>
      <c r="I820" s="70">
        <f t="shared" si="2"/>
        <v>7</v>
      </c>
      <c r="J820" s="70">
        <f t="shared" si="3"/>
        <v>2025</v>
      </c>
      <c r="K820" s="70" t="str">
        <f t="shared" si="4"/>
        <v>07/2025</v>
      </c>
    </row>
    <row r="821" hidden="1">
      <c r="A821" s="26">
        <v>45841.0</v>
      </c>
      <c r="B821" s="28" t="s">
        <v>1514</v>
      </c>
      <c r="C821" s="28" t="s">
        <v>37</v>
      </c>
      <c r="D821" s="28" t="s">
        <v>1515</v>
      </c>
      <c r="E821" s="71">
        <v>2512.22</v>
      </c>
      <c r="F821" s="29" t="s">
        <v>1516</v>
      </c>
      <c r="G821" s="26">
        <v>45841.0</v>
      </c>
      <c r="H821" s="70">
        <f t="shared" si="1"/>
        <v>3</v>
      </c>
      <c r="I821" s="70">
        <f t="shared" si="2"/>
        <v>7</v>
      </c>
      <c r="J821" s="70">
        <f t="shared" si="3"/>
        <v>2025</v>
      </c>
      <c r="K821" s="70" t="str">
        <f t="shared" si="4"/>
        <v>07/2025</v>
      </c>
    </row>
    <row r="822" hidden="1">
      <c r="A822" s="26">
        <v>45842.0</v>
      </c>
      <c r="B822" s="28" t="s">
        <v>1511</v>
      </c>
      <c r="C822" s="29" t="s">
        <v>27</v>
      </c>
      <c r="D822" s="28" t="s">
        <v>1512</v>
      </c>
      <c r="E822" s="71">
        <v>744.18</v>
      </c>
      <c r="F822" s="29" t="s">
        <v>1513</v>
      </c>
      <c r="G822" s="26">
        <v>45842.0</v>
      </c>
      <c r="H822" s="70">
        <f t="shared" si="1"/>
        <v>4</v>
      </c>
      <c r="I822" s="70">
        <f t="shared" si="2"/>
        <v>7</v>
      </c>
      <c r="J822" s="70">
        <f t="shared" si="3"/>
        <v>2025</v>
      </c>
      <c r="K822" s="70" t="str">
        <f t="shared" si="4"/>
        <v>07/2025</v>
      </c>
    </row>
    <row r="823" hidden="1">
      <c r="A823" s="26">
        <v>45842.0</v>
      </c>
      <c r="B823" s="28" t="s">
        <v>1514</v>
      </c>
      <c r="C823" s="28" t="s">
        <v>37</v>
      </c>
      <c r="D823" s="28" t="s">
        <v>1515</v>
      </c>
      <c r="E823" s="71">
        <v>2848.87</v>
      </c>
      <c r="F823" s="29" t="s">
        <v>1516</v>
      </c>
      <c r="G823" s="26">
        <v>45842.0</v>
      </c>
      <c r="H823" s="70">
        <f t="shared" si="1"/>
        <v>4</v>
      </c>
      <c r="I823" s="70">
        <f t="shared" si="2"/>
        <v>7</v>
      </c>
      <c r="J823" s="70">
        <f t="shared" si="3"/>
        <v>2025</v>
      </c>
      <c r="K823" s="70" t="str">
        <f t="shared" si="4"/>
        <v>07/2025</v>
      </c>
    </row>
    <row r="824" hidden="1">
      <c r="A824" s="26">
        <v>45843.0</v>
      </c>
      <c r="B824" s="28" t="s">
        <v>1511</v>
      </c>
      <c r="C824" s="29" t="s">
        <v>27</v>
      </c>
      <c r="D824" s="28" t="s">
        <v>1512</v>
      </c>
      <c r="E824" s="71">
        <v>1151.08</v>
      </c>
      <c r="F824" s="29" t="s">
        <v>1513</v>
      </c>
      <c r="G824" s="26">
        <v>45843.0</v>
      </c>
      <c r="H824" s="70">
        <f t="shared" si="1"/>
        <v>5</v>
      </c>
      <c r="I824" s="70">
        <f t="shared" si="2"/>
        <v>7</v>
      </c>
      <c r="J824" s="70">
        <f t="shared" si="3"/>
        <v>2025</v>
      </c>
      <c r="K824" s="70" t="str">
        <f t="shared" si="4"/>
        <v>07/2025</v>
      </c>
    </row>
    <row r="825" hidden="1">
      <c r="A825" s="26">
        <v>45843.0</v>
      </c>
      <c r="B825" s="28" t="s">
        <v>1514</v>
      </c>
      <c r="C825" s="28" t="s">
        <v>37</v>
      </c>
      <c r="D825" s="28" t="s">
        <v>1515</v>
      </c>
      <c r="E825" s="71">
        <v>2165.83</v>
      </c>
      <c r="F825" s="29" t="s">
        <v>1516</v>
      </c>
      <c r="G825" s="26">
        <v>45843.0</v>
      </c>
      <c r="H825" s="70">
        <f t="shared" si="1"/>
        <v>5</v>
      </c>
      <c r="I825" s="70">
        <f t="shared" si="2"/>
        <v>7</v>
      </c>
      <c r="J825" s="70">
        <f t="shared" si="3"/>
        <v>2025</v>
      </c>
      <c r="K825" s="70" t="str">
        <f t="shared" si="4"/>
        <v>07/2025</v>
      </c>
    </row>
    <row r="826" hidden="1">
      <c r="A826" s="26">
        <v>45844.0</v>
      </c>
      <c r="B826" s="28" t="s">
        <v>1511</v>
      </c>
      <c r="C826" s="29" t="s">
        <v>27</v>
      </c>
      <c r="D826" s="28" t="s">
        <v>1512</v>
      </c>
      <c r="E826" s="71">
        <v>1082.88</v>
      </c>
      <c r="F826" s="29" t="s">
        <v>1513</v>
      </c>
      <c r="G826" s="26">
        <v>45844.0</v>
      </c>
      <c r="H826" s="70">
        <f t="shared" si="1"/>
        <v>6</v>
      </c>
      <c r="I826" s="70">
        <f t="shared" si="2"/>
        <v>7</v>
      </c>
      <c r="J826" s="70">
        <f t="shared" si="3"/>
        <v>2025</v>
      </c>
      <c r="K826" s="70" t="str">
        <f t="shared" si="4"/>
        <v>07/2025</v>
      </c>
    </row>
    <row r="827" hidden="1">
      <c r="A827" s="26">
        <v>45844.0</v>
      </c>
      <c r="B827" s="28" t="s">
        <v>1514</v>
      </c>
      <c r="C827" s="28" t="s">
        <v>37</v>
      </c>
      <c r="D827" s="28" t="s">
        <v>1515</v>
      </c>
      <c r="E827" s="71">
        <v>2342.85</v>
      </c>
      <c r="F827" s="29" t="s">
        <v>1516</v>
      </c>
      <c r="G827" s="26">
        <v>45844.0</v>
      </c>
      <c r="H827" s="70">
        <f t="shared" si="1"/>
        <v>6</v>
      </c>
      <c r="I827" s="70">
        <f t="shared" si="2"/>
        <v>7</v>
      </c>
      <c r="J827" s="70">
        <f t="shared" si="3"/>
        <v>2025</v>
      </c>
      <c r="K827" s="70" t="str">
        <f t="shared" si="4"/>
        <v>07/2025</v>
      </c>
    </row>
    <row r="828" hidden="1">
      <c r="A828" s="26">
        <v>45845.0</v>
      </c>
      <c r="B828" s="28" t="s">
        <v>1511</v>
      </c>
      <c r="C828" s="29" t="s">
        <v>27</v>
      </c>
      <c r="D828" s="28" t="s">
        <v>1512</v>
      </c>
      <c r="E828" s="71">
        <v>207.78</v>
      </c>
      <c r="F828" s="29" t="s">
        <v>1513</v>
      </c>
      <c r="G828" s="26">
        <v>45845.0</v>
      </c>
      <c r="H828" s="70">
        <f t="shared" si="1"/>
        <v>7</v>
      </c>
      <c r="I828" s="70">
        <f t="shared" si="2"/>
        <v>7</v>
      </c>
      <c r="J828" s="70">
        <f t="shared" si="3"/>
        <v>2025</v>
      </c>
      <c r="K828" s="70" t="str">
        <f t="shared" si="4"/>
        <v>07/2025</v>
      </c>
    </row>
    <row r="829" hidden="1">
      <c r="A829" s="26">
        <v>45845.0</v>
      </c>
      <c r="B829" s="28" t="s">
        <v>1514</v>
      </c>
      <c r="C829" s="28" t="s">
        <v>37</v>
      </c>
      <c r="D829" s="28" t="s">
        <v>1515</v>
      </c>
      <c r="E829" s="71">
        <v>292.17</v>
      </c>
      <c r="F829" s="29" t="s">
        <v>1516</v>
      </c>
      <c r="G829" s="26">
        <v>45845.0</v>
      </c>
      <c r="H829" s="70">
        <f t="shared" si="1"/>
        <v>7</v>
      </c>
      <c r="I829" s="70">
        <f t="shared" si="2"/>
        <v>7</v>
      </c>
      <c r="J829" s="70">
        <f t="shared" si="3"/>
        <v>2025</v>
      </c>
      <c r="K829" s="70" t="str">
        <f t="shared" si="4"/>
        <v>07/2025</v>
      </c>
    </row>
    <row r="830" hidden="1">
      <c r="A830" s="26">
        <v>45845.0</v>
      </c>
      <c r="B830" s="28" t="s">
        <v>44</v>
      </c>
      <c r="C830" s="28" t="s">
        <v>27</v>
      </c>
      <c r="D830" s="28" t="s">
        <v>1525</v>
      </c>
      <c r="E830" s="71">
        <v>32.62</v>
      </c>
      <c r="F830" s="28" t="s">
        <v>1513</v>
      </c>
      <c r="G830" s="26">
        <v>45845.0</v>
      </c>
      <c r="H830" s="70">
        <f t="shared" si="1"/>
        <v>7</v>
      </c>
      <c r="I830" s="70">
        <f t="shared" si="2"/>
        <v>7</v>
      </c>
      <c r="J830" s="70">
        <f t="shared" si="3"/>
        <v>2025</v>
      </c>
      <c r="K830" s="70" t="str">
        <f t="shared" si="4"/>
        <v>07/2025</v>
      </c>
    </row>
    <row r="831" hidden="1">
      <c r="A831" s="26">
        <v>45846.0</v>
      </c>
      <c r="B831" s="28" t="s">
        <v>1511</v>
      </c>
      <c r="C831" s="29" t="s">
        <v>27</v>
      </c>
      <c r="D831" s="28" t="s">
        <v>1512</v>
      </c>
      <c r="E831" s="71">
        <v>1445.43</v>
      </c>
      <c r="F831" s="29" t="s">
        <v>1513</v>
      </c>
      <c r="G831" s="26">
        <v>45846.0</v>
      </c>
      <c r="H831" s="70">
        <f t="shared" si="1"/>
        <v>8</v>
      </c>
      <c r="I831" s="70">
        <f t="shared" si="2"/>
        <v>7</v>
      </c>
      <c r="J831" s="70">
        <f t="shared" si="3"/>
        <v>2025</v>
      </c>
      <c r="K831" s="70" t="str">
        <f t="shared" si="4"/>
        <v>07/2025</v>
      </c>
    </row>
    <row r="832" hidden="1">
      <c r="A832" s="26">
        <v>45846.0</v>
      </c>
      <c r="B832" s="28" t="s">
        <v>1514</v>
      </c>
      <c r="C832" s="28" t="s">
        <v>37</v>
      </c>
      <c r="D832" s="28" t="s">
        <v>1515</v>
      </c>
      <c r="E832" s="71">
        <v>2565.29</v>
      </c>
      <c r="F832" s="29" t="s">
        <v>1516</v>
      </c>
      <c r="G832" s="26">
        <v>45846.0</v>
      </c>
      <c r="H832" s="70">
        <f t="shared" si="1"/>
        <v>8</v>
      </c>
      <c r="I832" s="70">
        <f t="shared" si="2"/>
        <v>7</v>
      </c>
      <c r="J832" s="70">
        <f t="shared" si="3"/>
        <v>2025</v>
      </c>
      <c r="K832" s="70" t="str">
        <f t="shared" si="4"/>
        <v>07/2025</v>
      </c>
    </row>
    <row r="833" hidden="1">
      <c r="A833" s="26">
        <v>45847.0</v>
      </c>
      <c r="B833" s="28" t="s">
        <v>1514</v>
      </c>
      <c r="C833" s="28" t="s">
        <v>37</v>
      </c>
      <c r="D833" s="28" t="s">
        <v>1515</v>
      </c>
      <c r="E833" s="71">
        <v>2164.6</v>
      </c>
      <c r="F833" s="29" t="s">
        <v>1516</v>
      </c>
      <c r="G833" s="26">
        <v>45847.0</v>
      </c>
      <c r="H833" s="70">
        <f t="shared" si="1"/>
        <v>9</v>
      </c>
      <c r="I833" s="70">
        <f t="shared" si="2"/>
        <v>7</v>
      </c>
      <c r="J833" s="70">
        <f t="shared" si="3"/>
        <v>2025</v>
      </c>
      <c r="K833" s="70" t="str">
        <f t="shared" si="4"/>
        <v>07/2025</v>
      </c>
    </row>
    <row r="834" hidden="1">
      <c r="A834" s="26">
        <v>45847.0</v>
      </c>
      <c r="B834" s="28" t="s">
        <v>1511</v>
      </c>
      <c r="C834" s="29" t="s">
        <v>27</v>
      </c>
      <c r="D834" s="28" t="s">
        <v>1512</v>
      </c>
      <c r="E834" s="71">
        <v>1351.83</v>
      </c>
      <c r="F834" s="29" t="s">
        <v>1513</v>
      </c>
      <c r="G834" s="26">
        <v>45847.0</v>
      </c>
      <c r="H834" s="70">
        <f t="shared" si="1"/>
        <v>9</v>
      </c>
      <c r="I834" s="70">
        <f t="shared" si="2"/>
        <v>7</v>
      </c>
      <c r="J834" s="70">
        <f t="shared" si="3"/>
        <v>2025</v>
      </c>
      <c r="K834" s="70" t="str">
        <f t="shared" si="4"/>
        <v>07/2025</v>
      </c>
    </row>
    <row r="835" hidden="1">
      <c r="A835" s="26">
        <v>45848.0</v>
      </c>
      <c r="B835" s="28" t="s">
        <v>1514</v>
      </c>
      <c r="C835" s="28" t="s">
        <v>37</v>
      </c>
      <c r="D835" s="28" t="s">
        <v>1515</v>
      </c>
      <c r="E835" s="71">
        <v>2662.43</v>
      </c>
      <c r="F835" s="29" t="s">
        <v>1516</v>
      </c>
      <c r="G835" s="26">
        <v>45848.0</v>
      </c>
      <c r="H835" s="70">
        <f t="shared" si="1"/>
        <v>10</v>
      </c>
      <c r="I835" s="70">
        <f t="shared" si="2"/>
        <v>7</v>
      </c>
      <c r="J835" s="70">
        <f t="shared" si="3"/>
        <v>2025</v>
      </c>
      <c r="K835" s="70" t="str">
        <f t="shared" si="4"/>
        <v>07/2025</v>
      </c>
    </row>
    <row r="836" hidden="1">
      <c r="A836" s="26">
        <v>45848.0</v>
      </c>
      <c r="B836" s="28" t="s">
        <v>1511</v>
      </c>
      <c r="C836" s="29" t="s">
        <v>27</v>
      </c>
      <c r="D836" s="28" t="s">
        <v>1512</v>
      </c>
      <c r="E836" s="71">
        <v>1452.79</v>
      </c>
      <c r="F836" s="29" t="s">
        <v>1513</v>
      </c>
      <c r="G836" s="26">
        <v>45848.0</v>
      </c>
      <c r="H836" s="70">
        <f t="shared" si="1"/>
        <v>10</v>
      </c>
      <c r="I836" s="70">
        <f t="shared" si="2"/>
        <v>7</v>
      </c>
      <c r="J836" s="70">
        <f t="shared" si="3"/>
        <v>2025</v>
      </c>
      <c r="K836" s="70" t="str">
        <f t="shared" si="4"/>
        <v>07/2025</v>
      </c>
    </row>
    <row r="837" hidden="1">
      <c r="A837" s="26">
        <v>45849.0</v>
      </c>
      <c r="B837" s="28" t="s">
        <v>1523</v>
      </c>
      <c r="C837" s="28" t="s">
        <v>27</v>
      </c>
      <c r="D837" s="28" t="s">
        <v>1524</v>
      </c>
      <c r="E837" s="71">
        <v>3558.16</v>
      </c>
      <c r="F837" s="29" t="s">
        <v>1513</v>
      </c>
      <c r="G837" s="26">
        <v>45845.0</v>
      </c>
      <c r="H837" s="70">
        <f t="shared" si="1"/>
        <v>11</v>
      </c>
      <c r="I837" s="70">
        <f t="shared" si="2"/>
        <v>7</v>
      </c>
      <c r="J837" s="70">
        <f t="shared" si="3"/>
        <v>2025</v>
      </c>
      <c r="K837" s="70" t="str">
        <f t="shared" si="4"/>
        <v>07/2025</v>
      </c>
    </row>
    <row r="838" hidden="1">
      <c r="A838" s="26">
        <v>45849.0</v>
      </c>
      <c r="B838" s="28" t="s">
        <v>1511</v>
      </c>
      <c r="C838" s="28" t="s">
        <v>66</v>
      </c>
      <c r="D838" s="28" t="s">
        <v>1512</v>
      </c>
      <c r="E838" s="71">
        <v>446.25</v>
      </c>
      <c r="F838" s="29" t="s">
        <v>1516</v>
      </c>
      <c r="G838" s="26">
        <v>45849.0</v>
      </c>
      <c r="H838" s="70">
        <f t="shared" si="1"/>
        <v>11</v>
      </c>
      <c r="I838" s="70">
        <f t="shared" si="2"/>
        <v>7</v>
      </c>
      <c r="J838" s="70">
        <f t="shared" si="3"/>
        <v>2025</v>
      </c>
      <c r="K838" s="70" t="str">
        <f t="shared" si="4"/>
        <v>07/2025</v>
      </c>
    </row>
    <row r="839" hidden="1">
      <c r="A839" s="26">
        <v>45849.0</v>
      </c>
      <c r="B839" s="28" t="s">
        <v>1514</v>
      </c>
      <c r="C839" s="28" t="s">
        <v>37</v>
      </c>
      <c r="D839" s="28" t="s">
        <v>1515</v>
      </c>
      <c r="E839" s="71">
        <v>2835.73</v>
      </c>
      <c r="F839" s="29" t="s">
        <v>1516</v>
      </c>
      <c r="G839" s="26">
        <v>45849.0</v>
      </c>
      <c r="H839" s="70">
        <f t="shared" si="1"/>
        <v>11</v>
      </c>
      <c r="I839" s="70">
        <f t="shared" si="2"/>
        <v>7</v>
      </c>
      <c r="J839" s="70">
        <f t="shared" si="3"/>
        <v>2025</v>
      </c>
      <c r="K839" s="70" t="str">
        <f t="shared" si="4"/>
        <v>07/2025</v>
      </c>
    </row>
    <row r="840" hidden="1">
      <c r="A840" s="26">
        <v>45850.0</v>
      </c>
      <c r="B840" s="28" t="s">
        <v>1511</v>
      </c>
      <c r="C840" s="29" t="s">
        <v>27</v>
      </c>
      <c r="D840" s="28" t="s">
        <v>1512</v>
      </c>
      <c r="E840" s="71">
        <v>1965.08</v>
      </c>
      <c r="F840" s="29" t="s">
        <v>1513</v>
      </c>
      <c r="G840" s="26">
        <v>45850.0</v>
      </c>
      <c r="H840" s="70">
        <f t="shared" si="1"/>
        <v>12</v>
      </c>
      <c r="I840" s="70">
        <f t="shared" si="2"/>
        <v>7</v>
      </c>
      <c r="J840" s="70">
        <f t="shared" si="3"/>
        <v>2025</v>
      </c>
      <c r="K840" s="70" t="str">
        <f t="shared" si="4"/>
        <v>07/2025</v>
      </c>
    </row>
    <row r="841" hidden="1">
      <c r="A841" s="26">
        <v>45850.0</v>
      </c>
      <c r="B841" s="28" t="s">
        <v>1514</v>
      </c>
      <c r="C841" s="28" t="s">
        <v>37</v>
      </c>
      <c r="D841" s="28" t="s">
        <v>1515</v>
      </c>
      <c r="E841" s="71">
        <v>3289.89</v>
      </c>
      <c r="F841" s="29" t="s">
        <v>1516</v>
      </c>
      <c r="G841" s="26">
        <v>45850.0</v>
      </c>
      <c r="H841" s="70">
        <f t="shared" si="1"/>
        <v>12</v>
      </c>
      <c r="I841" s="70">
        <f t="shared" si="2"/>
        <v>7</v>
      </c>
      <c r="J841" s="70">
        <f t="shared" si="3"/>
        <v>2025</v>
      </c>
      <c r="K841" s="70" t="str">
        <f t="shared" si="4"/>
        <v>07/2025</v>
      </c>
    </row>
    <row r="842" hidden="1">
      <c r="A842" s="26">
        <v>45851.0</v>
      </c>
      <c r="B842" s="28" t="s">
        <v>1511</v>
      </c>
      <c r="C842" s="29" t="s">
        <v>27</v>
      </c>
      <c r="D842" s="28" t="s">
        <v>1512</v>
      </c>
      <c r="E842" s="71">
        <v>758.3</v>
      </c>
      <c r="F842" s="29" t="s">
        <v>1513</v>
      </c>
      <c r="G842" s="26">
        <v>45851.0</v>
      </c>
      <c r="H842" s="70">
        <f t="shared" si="1"/>
        <v>13</v>
      </c>
      <c r="I842" s="70">
        <f t="shared" si="2"/>
        <v>7</v>
      </c>
      <c r="J842" s="70">
        <f t="shared" si="3"/>
        <v>2025</v>
      </c>
      <c r="K842" s="70" t="str">
        <f t="shared" si="4"/>
        <v>07/2025</v>
      </c>
    </row>
    <row r="843" hidden="1">
      <c r="A843" s="26">
        <v>45851.0</v>
      </c>
      <c r="B843" s="28" t="s">
        <v>1514</v>
      </c>
      <c r="C843" s="28" t="s">
        <v>37</v>
      </c>
      <c r="D843" s="28" t="s">
        <v>1515</v>
      </c>
      <c r="E843" s="71">
        <v>2255.59</v>
      </c>
      <c r="F843" s="29" t="s">
        <v>1516</v>
      </c>
      <c r="G843" s="26">
        <v>45851.0</v>
      </c>
      <c r="H843" s="70">
        <f t="shared" si="1"/>
        <v>13</v>
      </c>
      <c r="I843" s="70">
        <f t="shared" si="2"/>
        <v>7</v>
      </c>
      <c r="J843" s="70">
        <f t="shared" si="3"/>
        <v>2025</v>
      </c>
      <c r="K843" s="70" t="str">
        <f t="shared" si="4"/>
        <v>07/2025</v>
      </c>
    </row>
    <row r="844" hidden="1">
      <c r="A844" s="26">
        <v>45852.0</v>
      </c>
      <c r="B844" s="28" t="s">
        <v>1523</v>
      </c>
      <c r="C844" s="28" t="s">
        <v>27</v>
      </c>
      <c r="D844" s="28" t="s">
        <v>1524</v>
      </c>
      <c r="E844" s="71">
        <v>10721.16</v>
      </c>
      <c r="F844" s="29" t="s">
        <v>1513</v>
      </c>
      <c r="G844" s="26">
        <v>45852.0</v>
      </c>
      <c r="H844" s="70">
        <f t="shared" si="1"/>
        <v>14</v>
      </c>
      <c r="I844" s="70">
        <f t="shared" si="2"/>
        <v>7</v>
      </c>
      <c r="J844" s="70">
        <f t="shared" si="3"/>
        <v>2025</v>
      </c>
      <c r="K844" s="70" t="str">
        <f t="shared" si="4"/>
        <v>07/2025</v>
      </c>
    </row>
    <row r="845" hidden="1">
      <c r="A845" s="26">
        <v>45852.0</v>
      </c>
      <c r="B845" s="28" t="s">
        <v>1511</v>
      </c>
      <c r="C845" s="29" t="s">
        <v>27</v>
      </c>
      <c r="D845" s="28" t="s">
        <v>1512</v>
      </c>
      <c r="E845" s="71">
        <v>360.74</v>
      </c>
      <c r="F845" s="29" t="s">
        <v>1513</v>
      </c>
      <c r="G845" s="26">
        <v>45852.0</v>
      </c>
      <c r="H845" s="70">
        <f t="shared" si="1"/>
        <v>14</v>
      </c>
      <c r="I845" s="70">
        <f t="shared" si="2"/>
        <v>7</v>
      </c>
      <c r="J845" s="70">
        <f t="shared" si="3"/>
        <v>2025</v>
      </c>
      <c r="K845" s="70" t="str">
        <f t="shared" si="4"/>
        <v>07/2025</v>
      </c>
    </row>
    <row r="846" hidden="1">
      <c r="A846" s="26">
        <v>45852.0</v>
      </c>
      <c r="B846" s="28" t="s">
        <v>1514</v>
      </c>
      <c r="C846" s="28" t="s">
        <v>37</v>
      </c>
      <c r="D846" s="28" t="s">
        <v>1515</v>
      </c>
      <c r="E846" s="71">
        <v>1054.87</v>
      </c>
      <c r="F846" s="29" t="s">
        <v>1516</v>
      </c>
      <c r="G846" s="26">
        <v>45852.0</v>
      </c>
      <c r="H846" s="70">
        <f t="shared" si="1"/>
        <v>14</v>
      </c>
      <c r="I846" s="70">
        <f t="shared" si="2"/>
        <v>7</v>
      </c>
      <c r="J846" s="70">
        <f t="shared" si="3"/>
        <v>2025</v>
      </c>
      <c r="K846" s="70" t="str">
        <f t="shared" si="4"/>
        <v>07/2025</v>
      </c>
    </row>
    <row r="847" hidden="1">
      <c r="A847" s="26">
        <v>45853.0</v>
      </c>
      <c r="B847" s="28" t="s">
        <v>1511</v>
      </c>
      <c r="C847" s="29" t="s">
        <v>27</v>
      </c>
      <c r="D847" s="28" t="s">
        <v>1512</v>
      </c>
      <c r="E847" s="71">
        <v>830.94</v>
      </c>
      <c r="F847" s="29" t="s">
        <v>1513</v>
      </c>
      <c r="G847" s="26">
        <v>45853.0</v>
      </c>
      <c r="H847" s="70">
        <f t="shared" si="1"/>
        <v>15</v>
      </c>
      <c r="I847" s="70">
        <f t="shared" si="2"/>
        <v>7</v>
      </c>
      <c r="J847" s="70">
        <f t="shared" si="3"/>
        <v>2025</v>
      </c>
      <c r="K847" s="70" t="str">
        <f t="shared" si="4"/>
        <v>07/2025</v>
      </c>
    </row>
    <row r="848" hidden="1">
      <c r="A848" s="26">
        <v>45853.0</v>
      </c>
      <c r="B848" s="28" t="s">
        <v>1514</v>
      </c>
      <c r="C848" s="28" t="s">
        <v>37</v>
      </c>
      <c r="D848" s="28" t="s">
        <v>1515</v>
      </c>
      <c r="E848" s="71">
        <v>2937.47</v>
      </c>
      <c r="F848" s="29" t="s">
        <v>1516</v>
      </c>
      <c r="G848" s="26">
        <v>45853.0</v>
      </c>
      <c r="H848" s="70">
        <f t="shared" si="1"/>
        <v>15</v>
      </c>
      <c r="I848" s="70">
        <f t="shared" si="2"/>
        <v>7</v>
      </c>
      <c r="J848" s="70">
        <f t="shared" si="3"/>
        <v>2025</v>
      </c>
      <c r="K848" s="70" t="str">
        <f t="shared" si="4"/>
        <v>07/2025</v>
      </c>
    </row>
    <row r="849" hidden="1">
      <c r="A849" s="26">
        <v>45854.0</v>
      </c>
      <c r="B849" s="28" t="s">
        <v>1511</v>
      </c>
      <c r="C849" s="29" t="s">
        <v>27</v>
      </c>
      <c r="D849" s="28" t="s">
        <v>1512</v>
      </c>
      <c r="E849" s="71">
        <v>689.37</v>
      </c>
      <c r="F849" s="29" t="s">
        <v>1513</v>
      </c>
      <c r="G849" s="26">
        <v>45854.0</v>
      </c>
      <c r="H849" s="70">
        <f t="shared" si="1"/>
        <v>16</v>
      </c>
      <c r="I849" s="70">
        <f t="shared" si="2"/>
        <v>7</v>
      </c>
      <c r="J849" s="70">
        <f t="shared" si="3"/>
        <v>2025</v>
      </c>
      <c r="K849" s="70" t="str">
        <f t="shared" si="4"/>
        <v>07/2025</v>
      </c>
    </row>
    <row r="850" hidden="1">
      <c r="A850" s="26">
        <v>45854.0</v>
      </c>
      <c r="B850" s="28" t="s">
        <v>1514</v>
      </c>
      <c r="C850" s="28" t="s">
        <v>37</v>
      </c>
      <c r="D850" s="28" t="s">
        <v>1515</v>
      </c>
      <c r="E850" s="71">
        <v>2320.28</v>
      </c>
      <c r="F850" s="29" t="s">
        <v>1516</v>
      </c>
      <c r="G850" s="26">
        <v>45863.0</v>
      </c>
      <c r="H850" s="70">
        <f t="shared" si="1"/>
        <v>16</v>
      </c>
      <c r="I850" s="70">
        <f t="shared" si="2"/>
        <v>7</v>
      </c>
      <c r="J850" s="70">
        <f t="shared" si="3"/>
        <v>2025</v>
      </c>
      <c r="K850" s="70" t="str">
        <f t="shared" si="4"/>
        <v>07/2025</v>
      </c>
    </row>
    <row r="851" hidden="1">
      <c r="A851" s="26">
        <v>45855.0</v>
      </c>
      <c r="B851" s="28" t="s">
        <v>1511</v>
      </c>
      <c r="C851" s="29" t="s">
        <v>27</v>
      </c>
      <c r="D851" s="28" t="s">
        <v>1512</v>
      </c>
      <c r="E851" s="71">
        <v>973.71</v>
      </c>
      <c r="F851" s="29" t="s">
        <v>1513</v>
      </c>
      <c r="G851" s="26">
        <v>45855.0</v>
      </c>
      <c r="H851" s="70">
        <f t="shared" si="1"/>
        <v>17</v>
      </c>
      <c r="I851" s="70">
        <f t="shared" si="2"/>
        <v>7</v>
      </c>
      <c r="J851" s="70">
        <f t="shared" si="3"/>
        <v>2025</v>
      </c>
      <c r="K851" s="70" t="str">
        <f t="shared" si="4"/>
        <v>07/2025</v>
      </c>
    </row>
    <row r="852" hidden="1">
      <c r="A852" s="26">
        <v>45855.0</v>
      </c>
      <c r="B852" s="28" t="s">
        <v>1514</v>
      </c>
      <c r="C852" s="28" t="s">
        <v>37</v>
      </c>
      <c r="D852" s="28" t="s">
        <v>1515</v>
      </c>
      <c r="E852" s="71">
        <v>2408.49</v>
      </c>
      <c r="F852" s="29" t="s">
        <v>1516</v>
      </c>
      <c r="G852" s="26">
        <v>45864.0</v>
      </c>
      <c r="H852" s="70">
        <f t="shared" si="1"/>
        <v>17</v>
      </c>
      <c r="I852" s="70">
        <f t="shared" si="2"/>
        <v>7</v>
      </c>
      <c r="J852" s="70">
        <f t="shared" si="3"/>
        <v>2025</v>
      </c>
      <c r="K852" s="70" t="str">
        <f t="shared" si="4"/>
        <v>07/2025</v>
      </c>
    </row>
    <row r="853" hidden="1">
      <c r="A853" s="26">
        <v>45856.0</v>
      </c>
      <c r="B853" s="28" t="s">
        <v>1519</v>
      </c>
      <c r="C853" s="28" t="s">
        <v>27</v>
      </c>
      <c r="D853" s="28" t="s">
        <v>1520</v>
      </c>
      <c r="E853" s="71">
        <v>18459.82</v>
      </c>
      <c r="F853" s="29" t="s">
        <v>1513</v>
      </c>
      <c r="G853" s="26">
        <v>45856.0</v>
      </c>
      <c r="H853" s="70">
        <f t="shared" si="1"/>
        <v>18</v>
      </c>
      <c r="I853" s="70">
        <f t="shared" si="2"/>
        <v>7</v>
      </c>
      <c r="J853" s="70">
        <f t="shared" si="3"/>
        <v>2025</v>
      </c>
      <c r="K853" s="70" t="str">
        <f t="shared" si="4"/>
        <v>07/2025</v>
      </c>
    </row>
    <row r="854" hidden="1">
      <c r="A854" s="26">
        <v>45856.0</v>
      </c>
      <c r="B854" s="28" t="s">
        <v>1511</v>
      </c>
      <c r="C854" s="29" t="s">
        <v>27</v>
      </c>
      <c r="D854" s="28" t="s">
        <v>1512</v>
      </c>
      <c r="E854" s="71">
        <v>931.15</v>
      </c>
      <c r="F854" s="29" t="s">
        <v>1513</v>
      </c>
      <c r="G854" s="26">
        <v>45856.0</v>
      </c>
      <c r="H854" s="70">
        <f t="shared" si="1"/>
        <v>18</v>
      </c>
      <c r="I854" s="70">
        <f t="shared" si="2"/>
        <v>7</v>
      </c>
      <c r="J854" s="70">
        <f t="shared" si="3"/>
        <v>2025</v>
      </c>
      <c r="K854" s="70" t="str">
        <f t="shared" si="4"/>
        <v>07/2025</v>
      </c>
    </row>
    <row r="855" hidden="1">
      <c r="A855" s="26">
        <v>45856.0</v>
      </c>
      <c r="B855" s="28" t="s">
        <v>1514</v>
      </c>
      <c r="C855" s="28" t="s">
        <v>37</v>
      </c>
      <c r="D855" s="28" t="s">
        <v>1515</v>
      </c>
      <c r="E855" s="71">
        <v>3600.83</v>
      </c>
      <c r="F855" s="29" t="s">
        <v>1516</v>
      </c>
      <c r="G855" s="26">
        <v>45865.0</v>
      </c>
      <c r="H855" s="70">
        <f t="shared" si="1"/>
        <v>18</v>
      </c>
      <c r="I855" s="70">
        <f t="shared" si="2"/>
        <v>7</v>
      </c>
      <c r="J855" s="70">
        <f t="shared" si="3"/>
        <v>2025</v>
      </c>
      <c r="K855" s="70" t="str">
        <f t="shared" si="4"/>
        <v>07/2025</v>
      </c>
    </row>
    <row r="856" hidden="1">
      <c r="A856" s="26">
        <v>45857.0</v>
      </c>
      <c r="B856" s="28" t="s">
        <v>1511</v>
      </c>
      <c r="C856" s="29" t="s">
        <v>27</v>
      </c>
      <c r="D856" s="28" t="s">
        <v>1512</v>
      </c>
      <c r="E856" s="71">
        <v>690.29</v>
      </c>
      <c r="F856" s="29" t="s">
        <v>1513</v>
      </c>
      <c r="G856" s="26">
        <v>45857.0</v>
      </c>
      <c r="H856" s="70">
        <f t="shared" si="1"/>
        <v>19</v>
      </c>
      <c r="I856" s="70">
        <f t="shared" si="2"/>
        <v>7</v>
      </c>
      <c r="J856" s="70">
        <f t="shared" si="3"/>
        <v>2025</v>
      </c>
      <c r="K856" s="70" t="str">
        <f t="shared" si="4"/>
        <v>07/2025</v>
      </c>
    </row>
    <row r="857" hidden="1">
      <c r="A857" s="26">
        <v>45857.0</v>
      </c>
      <c r="B857" s="28" t="s">
        <v>1514</v>
      </c>
      <c r="C857" s="28" t="s">
        <v>37</v>
      </c>
      <c r="D857" s="28" t="s">
        <v>1515</v>
      </c>
      <c r="E857" s="71">
        <v>2096.81</v>
      </c>
      <c r="F857" s="29" t="s">
        <v>1516</v>
      </c>
      <c r="G857" s="26">
        <v>45866.0</v>
      </c>
      <c r="H857" s="70">
        <f t="shared" si="1"/>
        <v>19</v>
      </c>
      <c r="I857" s="70">
        <f t="shared" si="2"/>
        <v>7</v>
      </c>
      <c r="J857" s="70">
        <f t="shared" si="3"/>
        <v>2025</v>
      </c>
      <c r="K857" s="70" t="str">
        <f t="shared" si="4"/>
        <v>07/2025</v>
      </c>
    </row>
    <row r="858" hidden="1">
      <c r="A858" s="26">
        <v>45858.0</v>
      </c>
      <c r="B858" s="28" t="s">
        <v>1511</v>
      </c>
      <c r="C858" s="29" t="s">
        <v>27</v>
      </c>
      <c r="D858" s="28" t="s">
        <v>1512</v>
      </c>
      <c r="E858" s="71">
        <v>1280.82</v>
      </c>
      <c r="F858" s="29" t="s">
        <v>1513</v>
      </c>
      <c r="G858" s="26">
        <v>45858.0</v>
      </c>
      <c r="H858" s="70">
        <f t="shared" si="1"/>
        <v>20</v>
      </c>
      <c r="I858" s="70">
        <f t="shared" si="2"/>
        <v>7</v>
      </c>
      <c r="J858" s="70">
        <f t="shared" si="3"/>
        <v>2025</v>
      </c>
      <c r="K858" s="70" t="str">
        <f t="shared" si="4"/>
        <v>07/2025</v>
      </c>
    </row>
    <row r="859" hidden="1">
      <c r="A859" s="26">
        <v>45858.0</v>
      </c>
      <c r="B859" s="28" t="s">
        <v>1514</v>
      </c>
      <c r="C859" s="28" t="s">
        <v>37</v>
      </c>
      <c r="D859" s="28" t="s">
        <v>1515</v>
      </c>
      <c r="E859" s="71">
        <v>3122.13</v>
      </c>
      <c r="F859" s="29" t="s">
        <v>1516</v>
      </c>
      <c r="G859" s="26">
        <v>45867.0</v>
      </c>
      <c r="H859" s="70">
        <f t="shared" si="1"/>
        <v>20</v>
      </c>
      <c r="I859" s="70">
        <f t="shared" si="2"/>
        <v>7</v>
      </c>
      <c r="J859" s="70">
        <f t="shared" si="3"/>
        <v>2025</v>
      </c>
      <c r="K859" s="70" t="str">
        <f t="shared" si="4"/>
        <v>07/2025</v>
      </c>
    </row>
    <row r="860" hidden="1">
      <c r="A860" s="26">
        <v>45859.0</v>
      </c>
      <c r="B860" s="28" t="s">
        <v>1511</v>
      </c>
      <c r="C860" s="29" t="s">
        <v>27</v>
      </c>
      <c r="D860" s="28" t="s">
        <v>1512</v>
      </c>
      <c r="E860" s="71">
        <v>206.16</v>
      </c>
      <c r="F860" s="29" t="s">
        <v>1513</v>
      </c>
      <c r="G860" s="26">
        <v>45859.0</v>
      </c>
      <c r="H860" s="70">
        <f t="shared" si="1"/>
        <v>21</v>
      </c>
      <c r="I860" s="70">
        <f t="shared" si="2"/>
        <v>7</v>
      </c>
      <c r="J860" s="70">
        <f t="shared" si="3"/>
        <v>2025</v>
      </c>
      <c r="K860" s="70" t="str">
        <f t="shared" si="4"/>
        <v>07/2025</v>
      </c>
    </row>
    <row r="861" hidden="1">
      <c r="A861" s="26">
        <v>45859.0</v>
      </c>
      <c r="B861" s="28" t="s">
        <v>1514</v>
      </c>
      <c r="C861" s="28" t="s">
        <v>37</v>
      </c>
      <c r="D861" s="28" t="s">
        <v>1515</v>
      </c>
      <c r="E861" s="71">
        <v>287.79</v>
      </c>
      <c r="F861" s="29" t="s">
        <v>1516</v>
      </c>
      <c r="G861" s="26">
        <v>45859.0</v>
      </c>
      <c r="H861" s="70">
        <f t="shared" si="1"/>
        <v>21</v>
      </c>
      <c r="I861" s="70">
        <f t="shared" si="2"/>
        <v>7</v>
      </c>
      <c r="J861" s="70">
        <f t="shared" si="3"/>
        <v>2025</v>
      </c>
      <c r="K861" s="70" t="str">
        <f t="shared" si="4"/>
        <v>07/2025</v>
      </c>
    </row>
    <row r="862" hidden="1">
      <c r="A862" s="26">
        <v>45860.0</v>
      </c>
      <c r="B862" s="28" t="s">
        <v>1511</v>
      </c>
      <c r="C862" s="29" t="s">
        <v>27</v>
      </c>
      <c r="D862" s="28" t="s">
        <v>1512</v>
      </c>
      <c r="E862" s="71">
        <v>539.63</v>
      </c>
      <c r="F862" s="29" t="s">
        <v>1513</v>
      </c>
      <c r="G862" s="26">
        <v>45860.0</v>
      </c>
      <c r="H862" s="70">
        <f t="shared" si="1"/>
        <v>22</v>
      </c>
      <c r="I862" s="70">
        <f t="shared" si="2"/>
        <v>7</v>
      </c>
      <c r="J862" s="70">
        <f t="shared" si="3"/>
        <v>2025</v>
      </c>
      <c r="K862" s="70" t="str">
        <f t="shared" si="4"/>
        <v>07/2025</v>
      </c>
    </row>
    <row r="863" hidden="1">
      <c r="A863" s="26">
        <v>45860.0</v>
      </c>
      <c r="B863" s="28" t="s">
        <v>1514</v>
      </c>
      <c r="C863" s="28" t="s">
        <v>37</v>
      </c>
      <c r="D863" s="28" t="s">
        <v>1515</v>
      </c>
      <c r="E863" s="71">
        <v>3060.82</v>
      </c>
      <c r="F863" s="29" t="s">
        <v>1516</v>
      </c>
      <c r="G863" s="26">
        <v>45860.0</v>
      </c>
      <c r="H863" s="70">
        <f t="shared" si="1"/>
        <v>22</v>
      </c>
      <c r="I863" s="70">
        <f t="shared" si="2"/>
        <v>7</v>
      </c>
      <c r="J863" s="70">
        <f t="shared" si="3"/>
        <v>2025</v>
      </c>
      <c r="K863" s="70" t="str">
        <f t="shared" si="4"/>
        <v>07/2025</v>
      </c>
    </row>
    <row r="864" hidden="1">
      <c r="A864" s="26">
        <v>45861.0</v>
      </c>
      <c r="B864" s="28" t="s">
        <v>1511</v>
      </c>
      <c r="C864" s="29" t="s">
        <v>27</v>
      </c>
      <c r="D864" s="28" t="s">
        <v>1512</v>
      </c>
      <c r="E864" s="71">
        <v>439.22</v>
      </c>
      <c r="F864" s="29" t="s">
        <v>1513</v>
      </c>
      <c r="G864" s="26">
        <v>45861.0</v>
      </c>
      <c r="H864" s="70">
        <f t="shared" si="1"/>
        <v>23</v>
      </c>
      <c r="I864" s="70">
        <f t="shared" si="2"/>
        <v>7</v>
      </c>
      <c r="J864" s="70">
        <f t="shared" si="3"/>
        <v>2025</v>
      </c>
      <c r="K864" s="70" t="str">
        <f t="shared" si="4"/>
        <v>07/2025</v>
      </c>
    </row>
    <row r="865" hidden="1">
      <c r="A865" s="26">
        <v>45861.0</v>
      </c>
      <c r="B865" s="28" t="s">
        <v>1514</v>
      </c>
      <c r="C865" s="28" t="s">
        <v>37</v>
      </c>
      <c r="D865" s="28" t="s">
        <v>1515</v>
      </c>
      <c r="E865" s="71">
        <v>3589.17</v>
      </c>
      <c r="F865" s="29" t="s">
        <v>1516</v>
      </c>
      <c r="G865" s="26">
        <v>45861.0</v>
      </c>
      <c r="H865" s="70">
        <f t="shared" si="1"/>
        <v>23</v>
      </c>
      <c r="I865" s="70">
        <f t="shared" si="2"/>
        <v>7</v>
      </c>
      <c r="J865" s="70">
        <f t="shared" si="3"/>
        <v>2025</v>
      </c>
      <c r="K865" s="70" t="str">
        <f t="shared" si="4"/>
        <v>07/2025</v>
      </c>
    </row>
    <row r="866" hidden="1">
      <c r="A866" s="26">
        <v>45861.0</v>
      </c>
      <c r="B866" s="28" t="s">
        <v>1521</v>
      </c>
      <c r="C866" s="28" t="s">
        <v>27</v>
      </c>
      <c r="D866" s="28" t="s">
        <v>1522</v>
      </c>
      <c r="E866" s="71">
        <v>172.7</v>
      </c>
      <c r="F866" s="28" t="s">
        <v>1513</v>
      </c>
      <c r="G866" s="26">
        <v>45861.0</v>
      </c>
      <c r="H866" s="70">
        <f t="shared" si="1"/>
        <v>23</v>
      </c>
      <c r="I866" s="70">
        <f t="shared" si="2"/>
        <v>7</v>
      </c>
      <c r="J866" s="70">
        <f t="shared" si="3"/>
        <v>2025</v>
      </c>
      <c r="K866" s="70" t="str">
        <f t="shared" si="4"/>
        <v>07/2025</v>
      </c>
    </row>
    <row r="867" hidden="1">
      <c r="A867" s="26">
        <v>45862.0</v>
      </c>
      <c r="B867" s="28" t="s">
        <v>1511</v>
      </c>
      <c r="C867" s="29" t="s">
        <v>27</v>
      </c>
      <c r="D867" s="28" t="s">
        <v>1512</v>
      </c>
      <c r="E867" s="71">
        <v>1189.05</v>
      </c>
      <c r="F867" s="29" t="s">
        <v>1513</v>
      </c>
      <c r="G867" s="26">
        <v>45862.0</v>
      </c>
      <c r="H867" s="70">
        <f t="shared" si="1"/>
        <v>24</v>
      </c>
      <c r="I867" s="70">
        <f t="shared" si="2"/>
        <v>7</v>
      </c>
      <c r="J867" s="70">
        <f t="shared" si="3"/>
        <v>2025</v>
      </c>
      <c r="K867" s="70" t="str">
        <f t="shared" si="4"/>
        <v>07/2025</v>
      </c>
    </row>
    <row r="868" hidden="1">
      <c r="A868" s="26">
        <v>45862.0</v>
      </c>
      <c r="B868" s="28" t="s">
        <v>1514</v>
      </c>
      <c r="C868" s="28" t="s">
        <v>37</v>
      </c>
      <c r="D868" s="28" t="s">
        <v>1515</v>
      </c>
      <c r="E868" s="71">
        <v>2232.4</v>
      </c>
      <c r="F868" s="29" t="s">
        <v>1516</v>
      </c>
      <c r="G868" s="26">
        <v>45862.0</v>
      </c>
      <c r="H868" s="70">
        <f t="shared" si="1"/>
        <v>24</v>
      </c>
      <c r="I868" s="70">
        <f t="shared" si="2"/>
        <v>7</v>
      </c>
      <c r="J868" s="70">
        <f t="shared" si="3"/>
        <v>2025</v>
      </c>
      <c r="K868" s="70" t="str">
        <f t="shared" si="4"/>
        <v>07/2025</v>
      </c>
    </row>
    <row r="869" hidden="1">
      <c r="A869" s="26">
        <v>45863.0</v>
      </c>
      <c r="B869" s="28" t="s">
        <v>1523</v>
      </c>
      <c r="C869" s="28" t="s">
        <v>27</v>
      </c>
      <c r="D869" s="28" t="s">
        <v>1524</v>
      </c>
      <c r="E869" s="71">
        <v>3333.97</v>
      </c>
      <c r="F869" s="29" t="s">
        <v>1513</v>
      </c>
      <c r="G869" s="26">
        <v>45859.0</v>
      </c>
      <c r="H869" s="70">
        <f t="shared" si="1"/>
        <v>25</v>
      </c>
      <c r="I869" s="70">
        <f t="shared" si="2"/>
        <v>7</v>
      </c>
      <c r="J869" s="70">
        <f t="shared" si="3"/>
        <v>2025</v>
      </c>
      <c r="K869" s="70" t="str">
        <f t="shared" si="4"/>
        <v>07/2025</v>
      </c>
    </row>
    <row r="870" hidden="1">
      <c r="A870" s="26">
        <v>45863.0</v>
      </c>
      <c r="B870" s="28" t="s">
        <v>1511</v>
      </c>
      <c r="C870" s="29" t="s">
        <v>27</v>
      </c>
      <c r="D870" s="28" t="s">
        <v>1512</v>
      </c>
      <c r="E870" s="71">
        <v>1033.98</v>
      </c>
      <c r="F870" s="29" t="s">
        <v>1513</v>
      </c>
      <c r="G870" s="26">
        <v>45863.0</v>
      </c>
      <c r="H870" s="70">
        <f t="shared" si="1"/>
        <v>25</v>
      </c>
      <c r="I870" s="70">
        <f t="shared" si="2"/>
        <v>7</v>
      </c>
      <c r="J870" s="70">
        <f t="shared" si="3"/>
        <v>2025</v>
      </c>
      <c r="K870" s="70" t="str">
        <f t="shared" si="4"/>
        <v>07/2025</v>
      </c>
    </row>
    <row r="871" hidden="1">
      <c r="A871" s="26">
        <v>45863.0</v>
      </c>
      <c r="B871" s="28" t="s">
        <v>1514</v>
      </c>
      <c r="C871" s="28" t="s">
        <v>37</v>
      </c>
      <c r="D871" s="28" t="s">
        <v>1515</v>
      </c>
      <c r="E871" s="71">
        <v>3393.73</v>
      </c>
      <c r="F871" s="29" t="s">
        <v>1516</v>
      </c>
      <c r="G871" s="26">
        <v>45863.0</v>
      </c>
      <c r="H871" s="70">
        <f t="shared" si="1"/>
        <v>25</v>
      </c>
      <c r="I871" s="70">
        <f t="shared" si="2"/>
        <v>7</v>
      </c>
      <c r="J871" s="70">
        <f t="shared" si="3"/>
        <v>2025</v>
      </c>
      <c r="K871" s="70" t="str">
        <f t="shared" si="4"/>
        <v>07/2025</v>
      </c>
    </row>
    <row r="872" hidden="1">
      <c r="A872" s="26">
        <v>45864.0</v>
      </c>
      <c r="B872" s="28" t="s">
        <v>1511</v>
      </c>
      <c r="C872" s="29" t="s">
        <v>27</v>
      </c>
      <c r="D872" s="28" t="s">
        <v>1512</v>
      </c>
      <c r="E872" s="71">
        <v>977.63</v>
      </c>
      <c r="F872" s="29" t="s">
        <v>1513</v>
      </c>
      <c r="G872" s="26">
        <v>45864.0</v>
      </c>
      <c r="H872" s="70">
        <f t="shared" si="1"/>
        <v>26</v>
      </c>
      <c r="I872" s="70">
        <f t="shared" si="2"/>
        <v>7</v>
      </c>
      <c r="J872" s="70">
        <f t="shared" si="3"/>
        <v>2025</v>
      </c>
      <c r="K872" s="70" t="str">
        <f t="shared" si="4"/>
        <v>07/2025</v>
      </c>
    </row>
    <row r="873" hidden="1">
      <c r="A873" s="26">
        <v>45864.0</v>
      </c>
      <c r="B873" s="28" t="s">
        <v>1514</v>
      </c>
      <c r="C873" s="28" t="s">
        <v>37</v>
      </c>
      <c r="D873" s="28" t="s">
        <v>1515</v>
      </c>
      <c r="E873" s="71">
        <v>3128.94</v>
      </c>
      <c r="F873" s="29" t="s">
        <v>1516</v>
      </c>
      <c r="G873" s="26">
        <v>45864.0</v>
      </c>
      <c r="H873" s="70">
        <f t="shared" si="1"/>
        <v>26</v>
      </c>
      <c r="I873" s="70">
        <f t="shared" si="2"/>
        <v>7</v>
      </c>
      <c r="J873" s="70">
        <f t="shared" si="3"/>
        <v>2025</v>
      </c>
      <c r="K873" s="70" t="str">
        <f t="shared" si="4"/>
        <v>07/2025</v>
      </c>
    </row>
    <row r="874" hidden="1">
      <c r="A874" s="26">
        <v>45865.0</v>
      </c>
      <c r="B874" s="28" t="s">
        <v>1511</v>
      </c>
      <c r="C874" s="29" t="s">
        <v>27</v>
      </c>
      <c r="D874" s="28" t="s">
        <v>1512</v>
      </c>
      <c r="E874" s="71">
        <v>802.03</v>
      </c>
      <c r="F874" s="29" t="s">
        <v>1513</v>
      </c>
      <c r="G874" s="26">
        <v>45865.0</v>
      </c>
      <c r="H874" s="70">
        <f t="shared" si="1"/>
        <v>27</v>
      </c>
      <c r="I874" s="70">
        <f t="shared" si="2"/>
        <v>7</v>
      </c>
      <c r="J874" s="70">
        <f t="shared" si="3"/>
        <v>2025</v>
      </c>
      <c r="K874" s="70" t="str">
        <f t="shared" si="4"/>
        <v>07/2025</v>
      </c>
    </row>
    <row r="875" hidden="1">
      <c r="A875" s="26">
        <v>45865.0</v>
      </c>
      <c r="B875" s="28" t="s">
        <v>1514</v>
      </c>
      <c r="C875" s="28" t="s">
        <v>37</v>
      </c>
      <c r="D875" s="28" t="s">
        <v>1515</v>
      </c>
      <c r="E875" s="71">
        <v>2352.04</v>
      </c>
      <c r="F875" s="29" t="s">
        <v>1516</v>
      </c>
      <c r="G875" s="26">
        <v>45865.0</v>
      </c>
      <c r="H875" s="70">
        <f t="shared" si="1"/>
        <v>27</v>
      </c>
      <c r="I875" s="70">
        <f t="shared" si="2"/>
        <v>7</v>
      </c>
      <c r="J875" s="70">
        <f t="shared" si="3"/>
        <v>2025</v>
      </c>
      <c r="K875" s="70" t="str">
        <f t="shared" si="4"/>
        <v>07/2025</v>
      </c>
    </row>
    <row r="876" hidden="1">
      <c r="A876" s="26">
        <v>45866.0</v>
      </c>
      <c r="B876" s="28" t="s">
        <v>1523</v>
      </c>
      <c r="C876" s="28" t="s">
        <v>27</v>
      </c>
      <c r="D876" s="28" t="s">
        <v>1524</v>
      </c>
      <c r="E876" s="71">
        <v>9681.9</v>
      </c>
      <c r="F876" s="29" t="s">
        <v>1513</v>
      </c>
      <c r="G876" s="26">
        <v>45866.0</v>
      </c>
      <c r="H876" s="70">
        <f t="shared" si="1"/>
        <v>28</v>
      </c>
      <c r="I876" s="70">
        <f t="shared" si="2"/>
        <v>7</v>
      </c>
      <c r="J876" s="70">
        <f t="shared" si="3"/>
        <v>2025</v>
      </c>
      <c r="K876" s="70" t="str">
        <f t="shared" si="4"/>
        <v>07/2025</v>
      </c>
    </row>
    <row r="877" hidden="1">
      <c r="A877" s="26">
        <v>45866.0</v>
      </c>
      <c r="B877" s="28" t="s">
        <v>1511</v>
      </c>
      <c r="C877" s="29" t="s">
        <v>27</v>
      </c>
      <c r="D877" s="28" t="s">
        <v>1512</v>
      </c>
      <c r="E877" s="71">
        <v>671.71</v>
      </c>
      <c r="F877" s="29" t="s">
        <v>1513</v>
      </c>
      <c r="G877" s="26">
        <v>45866.0</v>
      </c>
      <c r="H877" s="70">
        <f t="shared" si="1"/>
        <v>28</v>
      </c>
      <c r="I877" s="70">
        <f t="shared" si="2"/>
        <v>7</v>
      </c>
      <c r="J877" s="70">
        <f t="shared" si="3"/>
        <v>2025</v>
      </c>
      <c r="K877" s="70" t="str">
        <f t="shared" si="4"/>
        <v>07/2025</v>
      </c>
    </row>
    <row r="878" hidden="1">
      <c r="A878" s="26">
        <v>45866.0</v>
      </c>
      <c r="B878" s="28" t="s">
        <v>1514</v>
      </c>
      <c r="C878" s="28" t="s">
        <v>37</v>
      </c>
      <c r="D878" s="28" t="s">
        <v>1515</v>
      </c>
      <c r="E878" s="71">
        <v>1924.19</v>
      </c>
      <c r="F878" s="29" t="s">
        <v>1516</v>
      </c>
      <c r="G878" s="26">
        <v>45866.0</v>
      </c>
      <c r="H878" s="70">
        <f t="shared" si="1"/>
        <v>28</v>
      </c>
      <c r="I878" s="70">
        <f t="shared" si="2"/>
        <v>7</v>
      </c>
      <c r="J878" s="70">
        <f t="shared" si="3"/>
        <v>2025</v>
      </c>
      <c r="K878" s="70" t="str">
        <f t="shared" si="4"/>
        <v>07/2025</v>
      </c>
    </row>
    <row r="879" hidden="1">
      <c r="A879" s="26">
        <v>45867.0</v>
      </c>
      <c r="B879" s="28" t="s">
        <v>1511</v>
      </c>
      <c r="C879" s="29" t="s">
        <v>27</v>
      </c>
      <c r="D879" s="28" t="s">
        <v>1512</v>
      </c>
      <c r="E879" s="71">
        <v>1181.96</v>
      </c>
      <c r="F879" s="29" t="s">
        <v>1513</v>
      </c>
      <c r="G879" s="26">
        <v>45867.0</v>
      </c>
      <c r="H879" s="70">
        <f t="shared" si="1"/>
        <v>29</v>
      </c>
      <c r="I879" s="70">
        <f t="shared" si="2"/>
        <v>7</v>
      </c>
      <c r="J879" s="70">
        <f t="shared" si="3"/>
        <v>2025</v>
      </c>
      <c r="K879" s="70" t="str">
        <f t="shared" si="4"/>
        <v>07/2025</v>
      </c>
    </row>
    <row r="880" hidden="1">
      <c r="A880" s="26">
        <v>45867.0</v>
      </c>
      <c r="B880" s="28" t="s">
        <v>1514</v>
      </c>
      <c r="C880" s="28" t="s">
        <v>37</v>
      </c>
      <c r="D880" s="28" t="s">
        <v>1515</v>
      </c>
      <c r="E880" s="71">
        <v>1491.91</v>
      </c>
      <c r="F880" s="29" t="s">
        <v>1516</v>
      </c>
      <c r="G880" s="26">
        <v>45867.0</v>
      </c>
      <c r="H880" s="70">
        <f t="shared" si="1"/>
        <v>29</v>
      </c>
      <c r="I880" s="70">
        <f t="shared" si="2"/>
        <v>7</v>
      </c>
      <c r="J880" s="70">
        <f t="shared" si="3"/>
        <v>2025</v>
      </c>
      <c r="K880" s="70" t="str">
        <f t="shared" si="4"/>
        <v>07/2025</v>
      </c>
    </row>
    <row r="881" hidden="1">
      <c r="A881" s="26">
        <v>45868.0</v>
      </c>
      <c r="B881" s="28" t="s">
        <v>1514</v>
      </c>
      <c r="C881" s="28" t="s">
        <v>37</v>
      </c>
      <c r="D881" s="28" t="s">
        <v>1515</v>
      </c>
      <c r="E881" s="71">
        <v>2644.18</v>
      </c>
      <c r="F881" s="29" t="s">
        <v>1516</v>
      </c>
      <c r="G881" s="26">
        <v>45868.0</v>
      </c>
      <c r="H881" s="70">
        <f t="shared" si="1"/>
        <v>30</v>
      </c>
      <c r="I881" s="70">
        <f t="shared" si="2"/>
        <v>7</v>
      </c>
      <c r="J881" s="70">
        <f t="shared" si="3"/>
        <v>2025</v>
      </c>
      <c r="K881" s="70" t="str">
        <f t="shared" si="4"/>
        <v>07/2025</v>
      </c>
    </row>
    <row r="882" hidden="1">
      <c r="A882" s="26">
        <v>45868.0</v>
      </c>
      <c r="B882" s="28" t="s">
        <v>1511</v>
      </c>
      <c r="C882" s="29" t="s">
        <v>27</v>
      </c>
      <c r="D882" s="28" t="s">
        <v>1512</v>
      </c>
      <c r="E882" s="71">
        <v>923.03</v>
      </c>
      <c r="F882" s="29" t="s">
        <v>1513</v>
      </c>
      <c r="G882" s="26">
        <v>45868.0</v>
      </c>
      <c r="H882" s="70">
        <f t="shared" si="1"/>
        <v>30</v>
      </c>
      <c r="I882" s="70">
        <f t="shared" si="2"/>
        <v>7</v>
      </c>
      <c r="J882" s="70">
        <f t="shared" si="3"/>
        <v>2025</v>
      </c>
      <c r="K882" s="70" t="str">
        <f t="shared" si="4"/>
        <v>07/2025</v>
      </c>
    </row>
    <row r="883" hidden="1">
      <c r="A883" s="26">
        <v>45868.0</v>
      </c>
      <c r="B883" s="28" t="s">
        <v>1521</v>
      </c>
      <c r="C883" s="28" t="s">
        <v>27</v>
      </c>
      <c r="D883" s="28" t="s">
        <v>1522</v>
      </c>
      <c r="E883" s="71">
        <v>82.44</v>
      </c>
      <c r="F883" s="28" t="s">
        <v>1513</v>
      </c>
      <c r="G883" s="27">
        <v>45861.0</v>
      </c>
      <c r="H883" s="70">
        <f t="shared" si="1"/>
        <v>30</v>
      </c>
      <c r="I883" s="70">
        <f t="shared" si="2"/>
        <v>7</v>
      </c>
      <c r="J883" s="70">
        <f t="shared" si="3"/>
        <v>2025</v>
      </c>
      <c r="K883" s="70" t="str">
        <f t="shared" si="4"/>
        <v>07/2025</v>
      </c>
    </row>
    <row r="884" hidden="1">
      <c r="A884" s="26">
        <v>45869.0</v>
      </c>
      <c r="B884" s="28" t="s">
        <v>1511</v>
      </c>
      <c r="C884" s="29" t="s">
        <v>27</v>
      </c>
      <c r="D884" s="28" t="s">
        <v>1512</v>
      </c>
      <c r="E884" s="71">
        <v>752.03</v>
      </c>
      <c r="F884" s="29" t="s">
        <v>1513</v>
      </c>
      <c r="G884" s="26">
        <v>45869.0</v>
      </c>
      <c r="H884" s="70">
        <f t="shared" si="1"/>
        <v>31</v>
      </c>
      <c r="I884" s="70">
        <f t="shared" si="2"/>
        <v>7</v>
      </c>
      <c r="J884" s="70">
        <f t="shared" si="3"/>
        <v>2025</v>
      </c>
      <c r="K884" s="70" t="str">
        <f t="shared" si="4"/>
        <v>07/2025</v>
      </c>
    </row>
    <row r="885" hidden="1">
      <c r="A885" s="26">
        <v>45869.0</v>
      </c>
      <c r="B885" s="28" t="s">
        <v>1514</v>
      </c>
      <c r="C885" s="28" t="s">
        <v>37</v>
      </c>
      <c r="D885" s="28" t="s">
        <v>1515</v>
      </c>
      <c r="E885" s="71">
        <v>2128.13</v>
      </c>
      <c r="F885" s="29" t="s">
        <v>1516</v>
      </c>
      <c r="G885" s="26">
        <v>45869.0</v>
      </c>
      <c r="H885" s="70">
        <f t="shared" si="1"/>
        <v>31</v>
      </c>
      <c r="I885" s="70">
        <f t="shared" si="2"/>
        <v>7</v>
      </c>
      <c r="J885" s="70">
        <f t="shared" si="3"/>
        <v>2025</v>
      </c>
      <c r="K885" s="70" t="str">
        <f t="shared" si="4"/>
        <v>07/2025</v>
      </c>
    </row>
    <row r="886" hidden="1">
      <c r="A886" s="26">
        <v>45870.0</v>
      </c>
      <c r="B886" s="28" t="s">
        <v>1511</v>
      </c>
      <c r="C886" s="29" t="s">
        <v>27</v>
      </c>
      <c r="D886" s="28" t="s">
        <v>1512</v>
      </c>
      <c r="E886" s="71">
        <v>818.5</v>
      </c>
      <c r="F886" s="29" t="s">
        <v>1513</v>
      </c>
      <c r="G886" s="26">
        <v>45870.0</v>
      </c>
      <c r="H886" s="70">
        <f t="shared" si="1"/>
        <v>1</v>
      </c>
      <c r="I886" s="70">
        <f t="shared" si="2"/>
        <v>8</v>
      </c>
      <c r="J886" s="70">
        <f t="shared" si="3"/>
        <v>2025</v>
      </c>
      <c r="K886" s="70" t="str">
        <f t="shared" si="4"/>
        <v>08/2025</v>
      </c>
    </row>
    <row r="887" hidden="1">
      <c r="A887" s="26">
        <v>45870.0</v>
      </c>
      <c r="B887" s="28" t="s">
        <v>1514</v>
      </c>
      <c r="C887" s="28" t="s">
        <v>37</v>
      </c>
      <c r="D887" s="28" t="s">
        <v>1515</v>
      </c>
      <c r="E887" s="71">
        <v>2745.96</v>
      </c>
      <c r="F887" s="29" t="s">
        <v>1516</v>
      </c>
      <c r="G887" s="26">
        <v>45870.0</v>
      </c>
      <c r="H887" s="70">
        <f t="shared" si="1"/>
        <v>1</v>
      </c>
      <c r="I887" s="70">
        <f t="shared" si="2"/>
        <v>8</v>
      </c>
      <c r="J887" s="70">
        <f t="shared" si="3"/>
        <v>2025</v>
      </c>
      <c r="K887" s="70" t="str">
        <f t="shared" si="4"/>
        <v>08/2025</v>
      </c>
    </row>
    <row r="888" hidden="1">
      <c r="A888" s="26">
        <v>45871.0</v>
      </c>
      <c r="B888" s="28" t="s">
        <v>1511</v>
      </c>
      <c r="C888" s="29" t="s">
        <v>27</v>
      </c>
      <c r="D888" s="28" t="s">
        <v>1512</v>
      </c>
      <c r="E888" s="71">
        <v>1159.16</v>
      </c>
      <c r="F888" s="29" t="s">
        <v>1513</v>
      </c>
      <c r="G888" s="26">
        <v>45871.0</v>
      </c>
      <c r="H888" s="70">
        <f t="shared" si="1"/>
        <v>2</v>
      </c>
      <c r="I888" s="70">
        <f t="shared" si="2"/>
        <v>8</v>
      </c>
      <c r="J888" s="70">
        <f t="shared" si="3"/>
        <v>2025</v>
      </c>
      <c r="K888" s="70" t="str">
        <f t="shared" si="4"/>
        <v>08/2025</v>
      </c>
    </row>
    <row r="889" hidden="1">
      <c r="A889" s="26">
        <v>45871.0</v>
      </c>
      <c r="B889" s="28" t="s">
        <v>1514</v>
      </c>
      <c r="C889" s="28" t="s">
        <v>37</v>
      </c>
      <c r="D889" s="28" t="s">
        <v>1515</v>
      </c>
      <c r="E889" s="71">
        <v>2338.41</v>
      </c>
      <c r="F889" s="29" t="s">
        <v>1516</v>
      </c>
      <c r="G889" s="26">
        <v>45871.0</v>
      </c>
      <c r="H889" s="70">
        <f t="shared" si="1"/>
        <v>2</v>
      </c>
      <c r="I889" s="70">
        <f t="shared" si="2"/>
        <v>8</v>
      </c>
      <c r="J889" s="70">
        <f t="shared" si="3"/>
        <v>2025</v>
      </c>
      <c r="K889" s="70" t="str">
        <f t="shared" si="4"/>
        <v>08/2025</v>
      </c>
    </row>
    <row r="890" hidden="1">
      <c r="A890" s="26">
        <v>45872.0</v>
      </c>
      <c r="B890" s="28" t="s">
        <v>1511</v>
      </c>
      <c r="C890" s="29" t="s">
        <v>27</v>
      </c>
      <c r="D890" s="28" t="s">
        <v>1512</v>
      </c>
      <c r="E890" s="71">
        <v>602.33</v>
      </c>
      <c r="F890" s="29" t="s">
        <v>1513</v>
      </c>
      <c r="G890" s="26">
        <v>45872.0</v>
      </c>
      <c r="H890" s="70">
        <f t="shared" si="1"/>
        <v>3</v>
      </c>
      <c r="I890" s="70">
        <f t="shared" si="2"/>
        <v>8</v>
      </c>
      <c r="J890" s="70">
        <f t="shared" si="3"/>
        <v>2025</v>
      </c>
      <c r="K890" s="70" t="str">
        <f t="shared" si="4"/>
        <v>08/2025</v>
      </c>
    </row>
    <row r="891" hidden="1">
      <c r="A891" s="26">
        <v>45872.0</v>
      </c>
      <c r="B891" s="28" t="s">
        <v>1514</v>
      </c>
      <c r="C891" s="28" t="s">
        <v>37</v>
      </c>
      <c r="D891" s="28" t="s">
        <v>1515</v>
      </c>
      <c r="E891" s="71">
        <v>1748.94</v>
      </c>
      <c r="F891" s="29" t="s">
        <v>1516</v>
      </c>
      <c r="G891" s="26">
        <v>45872.0</v>
      </c>
      <c r="H891" s="70">
        <f t="shared" si="1"/>
        <v>3</v>
      </c>
      <c r="I891" s="70">
        <f t="shared" si="2"/>
        <v>8</v>
      </c>
      <c r="J891" s="70">
        <f t="shared" si="3"/>
        <v>2025</v>
      </c>
      <c r="K891" s="70" t="str">
        <f t="shared" si="4"/>
        <v>08/2025</v>
      </c>
    </row>
    <row r="892" hidden="1">
      <c r="A892" s="26">
        <v>45873.0</v>
      </c>
      <c r="B892" s="28" t="s">
        <v>1514</v>
      </c>
      <c r="C892" s="28" t="s">
        <v>37</v>
      </c>
      <c r="D892" s="28" t="s">
        <v>1515</v>
      </c>
      <c r="E892" s="71">
        <v>568.63</v>
      </c>
      <c r="F892" s="29" t="s">
        <v>1516</v>
      </c>
      <c r="G892" s="26">
        <v>45873.0</v>
      </c>
      <c r="H892" s="70">
        <f t="shared" si="1"/>
        <v>4</v>
      </c>
      <c r="I892" s="70">
        <f t="shared" si="2"/>
        <v>8</v>
      </c>
      <c r="J892" s="70">
        <f t="shared" si="3"/>
        <v>2025</v>
      </c>
      <c r="K892" s="70" t="str">
        <f t="shared" si="4"/>
        <v>08/2025</v>
      </c>
    </row>
    <row r="893" hidden="1">
      <c r="A893" s="26">
        <v>45873.0</v>
      </c>
      <c r="B893" s="28" t="s">
        <v>1511</v>
      </c>
      <c r="C893" s="29" t="s">
        <v>27</v>
      </c>
      <c r="D893" s="28" t="s">
        <v>1512</v>
      </c>
      <c r="E893" s="71">
        <v>709.21</v>
      </c>
      <c r="F893" s="29" t="s">
        <v>1513</v>
      </c>
      <c r="G893" s="26">
        <v>45873.0</v>
      </c>
      <c r="H893" s="70">
        <f t="shared" si="1"/>
        <v>4</v>
      </c>
      <c r="I893" s="70">
        <f t="shared" si="2"/>
        <v>8</v>
      </c>
      <c r="J893" s="70">
        <f t="shared" si="3"/>
        <v>2025</v>
      </c>
      <c r="K893" s="70" t="str">
        <f t="shared" si="4"/>
        <v>08/2025</v>
      </c>
    </row>
    <row r="894" hidden="1">
      <c r="A894" s="26">
        <v>45873.0</v>
      </c>
      <c r="B894" s="28" t="s">
        <v>44</v>
      </c>
      <c r="C894" s="28" t="s">
        <v>27</v>
      </c>
      <c r="D894" s="28" t="s">
        <v>1525</v>
      </c>
      <c r="E894" s="71">
        <v>15.26</v>
      </c>
      <c r="F894" s="28" t="s">
        <v>1513</v>
      </c>
      <c r="G894" s="26">
        <v>45873.0</v>
      </c>
      <c r="H894" s="70">
        <f t="shared" si="1"/>
        <v>4</v>
      </c>
      <c r="I894" s="70">
        <f t="shared" si="2"/>
        <v>8</v>
      </c>
      <c r="J894" s="70">
        <f t="shared" si="3"/>
        <v>2025</v>
      </c>
      <c r="K894" s="70" t="str">
        <f t="shared" si="4"/>
        <v>08/2025</v>
      </c>
    </row>
    <row r="895" hidden="1">
      <c r="A895" s="26">
        <v>45874.0</v>
      </c>
      <c r="B895" s="28" t="s">
        <v>1514</v>
      </c>
      <c r="C895" s="28" t="s">
        <v>37</v>
      </c>
      <c r="D895" s="28" t="s">
        <v>1515</v>
      </c>
      <c r="E895" s="71">
        <v>2716.09</v>
      </c>
      <c r="F895" s="29" t="s">
        <v>1516</v>
      </c>
      <c r="G895" s="26">
        <v>45874.0</v>
      </c>
      <c r="H895" s="70">
        <f t="shared" si="1"/>
        <v>5</v>
      </c>
      <c r="I895" s="70">
        <f t="shared" si="2"/>
        <v>8</v>
      </c>
      <c r="J895" s="70">
        <f t="shared" si="3"/>
        <v>2025</v>
      </c>
      <c r="K895" s="70" t="str">
        <f t="shared" si="4"/>
        <v>08/2025</v>
      </c>
    </row>
    <row r="896" hidden="1">
      <c r="A896" s="26">
        <v>45874.0</v>
      </c>
      <c r="B896" s="28" t="s">
        <v>1511</v>
      </c>
      <c r="C896" s="29" t="s">
        <v>27</v>
      </c>
      <c r="D896" s="28" t="s">
        <v>1512</v>
      </c>
      <c r="E896" s="71">
        <v>561.83</v>
      </c>
      <c r="F896" s="29" t="s">
        <v>1513</v>
      </c>
      <c r="G896" s="26">
        <v>45874.0</v>
      </c>
      <c r="H896" s="70">
        <f t="shared" si="1"/>
        <v>5</v>
      </c>
      <c r="I896" s="70">
        <f t="shared" si="2"/>
        <v>8</v>
      </c>
      <c r="J896" s="70">
        <f t="shared" si="3"/>
        <v>2025</v>
      </c>
      <c r="K896" s="70" t="str">
        <f t="shared" si="4"/>
        <v>08/2025</v>
      </c>
    </row>
    <row r="897" hidden="1">
      <c r="A897" s="26">
        <v>45875.0</v>
      </c>
      <c r="B897" s="28" t="s">
        <v>1514</v>
      </c>
      <c r="C897" s="28" t="s">
        <v>37</v>
      </c>
      <c r="D897" s="28" t="s">
        <v>1515</v>
      </c>
      <c r="E897" s="71">
        <v>1721.65</v>
      </c>
      <c r="F897" s="29" t="s">
        <v>1516</v>
      </c>
      <c r="G897" s="26">
        <v>45875.0</v>
      </c>
      <c r="H897" s="70">
        <f t="shared" si="1"/>
        <v>6</v>
      </c>
      <c r="I897" s="70">
        <f t="shared" si="2"/>
        <v>8</v>
      </c>
      <c r="J897" s="70">
        <f t="shared" si="3"/>
        <v>2025</v>
      </c>
      <c r="K897" s="70" t="str">
        <f t="shared" si="4"/>
        <v>08/2025</v>
      </c>
    </row>
    <row r="898" hidden="1">
      <c r="A898" s="26">
        <v>45875.0</v>
      </c>
      <c r="B898" s="28" t="s">
        <v>1511</v>
      </c>
      <c r="C898" s="29" t="s">
        <v>27</v>
      </c>
      <c r="D898" s="28" t="s">
        <v>1512</v>
      </c>
      <c r="E898" s="71">
        <v>985.24</v>
      </c>
      <c r="F898" s="29" t="s">
        <v>1513</v>
      </c>
      <c r="G898" s="26">
        <v>45875.0</v>
      </c>
      <c r="H898" s="70">
        <f t="shared" si="1"/>
        <v>6</v>
      </c>
      <c r="I898" s="70">
        <f t="shared" si="2"/>
        <v>8</v>
      </c>
      <c r="J898" s="70">
        <f t="shared" si="3"/>
        <v>2025</v>
      </c>
      <c r="K898" s="70" t="str">
        <f t="shared" si="4"/>
        <v>08/2025</v>
      </c>
    </row>
    <row r="899" hidden="1">
      <c r="A899" s="26">
        <v>45876.0</v>
      </c>
      <c r="B899" s="28" t="s">
        <v>1514</v>
      </c>
      <c r="C899" s="28" t="s">
        <v>37</v>
      </c>
      <c r="D899" s="28" t="s">
        <v>1515</v>
      </c>
      <c r="E899" s="71">
        <v>1853.39</v>
      </c>
      <c r="F899" s="29" t="s">
        <v>1516</v>
      </c>
      <c r="G899" s="26">
        <v>45876.0</v>
      </c>
      <c r="H899" s="70">
        <f t="shared" si="1"/>
        <v>7</v>
      </c>
      <c r="I899" s="70">
        <f t="shared" si="2"/>
        <v>8</v>
      </c>
      <c r="J899" s="70">
        <f t="shared" si="3"/>
        <v>2025</v>
      </c>
      <c r="K899" s="70" t="str">
        <f t="shared" si="4"/>
        <v>08/2025</v>
      </c>
    </row>
    <row r="900" hidden="1">
      <c r="A900" s="26">
        <v>45876.0</v>
      </c>
      <c r="B900" s="28" t="s">
        <v>1511</v>
      </c>
      <c r="C900" s="29" t="s">
        <v>27</v>
      </c>
      <c r="D900" s="28" t="s">
        <v>1512</v>
      </c>
      <c r="E900" s="71">
        <v>1016.43</v>
      </c>
      <c r="F900" s="29" t="s">
        <v>1513</v>
      </c>
      <c r="G900" s="26">
        <v>45876.0</v>
      </c>
      <c r="H900" s="70">
        <f t="shared" si="1"/>
        <v>7</v>
      </c>
      <c r="I900" s="70">
        <f t="shared" si="2"/>
        <v>8</v>
      </c>
      <c r="J900" s="70">
        <f t="shared" si="3"/>
        <v>2025</v>
      </c>
      <c r="K900" s="70" t="str">
        <f t="shared" si="4"/>
        <v>08/2025</v>
      </c>
    </row>
    <row r="901" hidden="1">
      <c r="A901" s="26">
        <v>45877.0</v>
      </c>
      <c r="B901" s="28" t="s">
        <v>1514</v>
      </c>
      <c r="C901" s="28" t="s">
        <v>37</v>
      </c>
      <c r="D901" s="28" t="s">
        <v>1515</v>
      </c>
      <c r="E901" s="71">
        <v>2219.48</v>
      </c>
      <c r="F901" s="29" t="s">
        <v>1516</v>
      </c>
      <c r="G901" s="26">
        <v>45877.0</v>
      </c>
      <c r="H901" s="70">
        <f t="shared" si="1"/>
        <v>8</v>
      </c>
      <c r="I901" s="70">
        <f t="shared" si="2"/>
        <v>8</v>
      </c>
      <c r="J901" s="70">
        <f t="shared" si="3"/>
        <v>2025</v>
      </c>
      <c r="K901" s="70" t="str">
        <f t="shared" si="4"/>
        <v>08/2025</v>
      </c>
    </row>
    <row r="902" hidden="1">
      <c r="A902" s="26">
        <v>45877.0</v>
      </c>
      <c r="B902" s="28" t="s">
        <v>1523</v>
      </c>
      <c r="C902" s="28" t="s">
        <v>27</v>
      </c>
      <c r="D902" s="28" t="s">
        <v>1524</v>
      </c>
      <c r="E902" s="71">
        <v>2224.13</v>
      </c>
      <c r="F902" s="29" t="s">
        <v>1513</v>
      </c>
      <c r="G902" s="26">
        <v>45877.0</v>
      </c>
      <c r="H902" s="70">
        <f t="shared" si="1"/>
        <v>8</v>
      </c>
      <c r="I902" s="70">
        <f t="shared" si="2"/>
        <v>8</v>
      </c>
      <c r="J902" s="70">
        <f t="shared" si="3"/>
        <v>2025</v>
      </c>
      <c r="K902" s="70" t="str">
        <f t="shared" si="4"/>
        <v>08/2025</v>
      </c>
    </row>
    <row r="903" hidden="1">
      <c r="A903" s="26">
        <v>45877.0</v>
      </c>
      <c r="B903" s="28" t="s">
        <v>1511</v>
      </c>
      <c r="C903" s="29" t="s">
        <v>27</v>
      </c>
      <c r="D903" s="28" t="s">
        <v>1512</v>
      </c>
      <c r="E903" s="71">
        <v>448.11</v>
      </c>
      <c r="F903" s="29" t="s">
        <v>1513</v>
      </c>
      <c r="G903" s="26">
        <v>45877.0</v>
      </c>
      <c r="H903" s="70">
        <f t="shared" si="1"/>
        <v>8</v>
      </c>
      <c r="I903" s="70">
        <f t="shared" si="2"/>
        <v>8</v>
      </c>
      <c r="J903" s="70">
        <f t="shared" si="3"/>
        <v>2025</v>
      </c>
      <c r="K903" s="70" t="str">
        <f t="shared" si="4"/>
        <v>08/2025</v>
      </c>
    </row>
    <row r="904" hidden="1">
      <c r="A904" s="26">
        <v>45878.0</v>
      </c>
      <c r="B904" s="28" t="s">
        <v>1514</v>
      </c>
      <c r="C904" s="28" t="s">
        <v>37</v>
      </c>
      <c r="D904" s="28" t="s">
        <v>1515</v>
      </c>
      <c r="E904" s="71">
        <v>2816.71</v>
      </c>
      <c r="F904" s="29" t="s">
        <v>1516</v>
      </c>
      <c r="G904" s="26">
        <v>45878.0</v>
      </c>
      <c r="H904" s="70">
        <f t="shared" si="1"/>
        <v>9</v>
      </c>
      <c r="I904" s="70">
        <f t="shared" si="2"/>
        <v>8</v>
      </c>
      <c r="J904" s="70">
        <f t="shared" si="3"/>
        <v>2025</v>
      </c>
      <c r="K904" s="70" t="str">
        <f t="shared" si="4"/>
        <v>08/2025</v>
      </c>
    </row>
    <row r="905" hidden="1">
      <c r="A905" s="26">
        <v>45878.0</v>
      </c>
      <c r="B905" s="28" t="s">
        <v>1511</v>
      </c>
      <c r="C905" s="29" t="s">
        <v>27</v>
      </c>
      <c r="D905" s="28" t="s">
        <v>1512</v>
      </c>
      <c r="E905" s="71">
        <v>478.84</v>
      </c>
      <c r="F905" s="29" t="s">
        <v>1513</v>
      </c>
      <c r="G905" s="26">
        <v>45878.0</v>
      </c>
      <c r="H905" s="70">
        <f t="shared" si="1"/>
        <v>9</v>
      </c>
      <c r="I905" s="70">
        <f t="shared" si="2"/>
        <v>8</v>
      </c>
      <c r="J905" s="70">
        <f t="shared" si="3"/>
        <v>2025</v>
      </c>
      <c r="K905" s="70" t="str">
        <f t="shared" si="4"/>
        <v>08/2025</v>
      </c>
    </row>
    <row r="906" hidden="1">
      <c r="A906" s="26">
        <v>45879.0</v>
      </c>
      <c r="B906" s="28" t="s">
        <v>1514</v>
      </c>
      <c r="C906" s="28" t="s">
        <v>37</v>
      </c>
      <c r="D906" s="28" t="s">
        <v>1515</v>
      </c>
      <c r="E906" s="71">
        <v>2280.11</v>
      </c>
      <c r="F906" s="29" t="s">
        <v>1516</v>
      </c>
      <c r="G906" s="26">
        <v>45879.0</v>
      </c>
      <c r="H906" s="70">
        <f t="shared" si="1"/>
        <v>10</v>
      </c>
      <c r="I906" s="70">
        <f t="shared" si="2"/>
        <v>8</v>
      </c>
      <c r="J906" s="70">
        <f t="shared" si="3"/>
        <v>2025</v>
      </c>
      <c r="K906" s="70" t="str">
        <f t="shared" si="4"/>
        <v>08/2025</v>
      </c>
    </row>
    <row r="907" hidden="1">
      <c r="A907" s="26">
        <v>45879.0</v>
      </c>
      <c r="B907" s="28" t="s">
        <v>1511</v>
      </c>
      <c r="C907" s="29" t="s">
        <v>27</v>
      </c>
      <c r="D907" s="28" t="s">
        <v>1512</v>
      </c>
      <c r="E907" s="71">
        <v>93.23</v>
      </c>
      <c r="F907" s="29" t="s">
        <v>1513</v>
      </c>
      <c r="G907" s="26">
        <v>45879.0</v>
      </c>
      <c r="H907" s="70">
        <f t="shared" si="1"/>
        <v>10</v>
      </c>
      <c r="I907" s="70">
        <f t="shared" si="2"/>
        <v>8</v>
      </c>
      <c r="J907" s="70">
        <f t="shared" si="3"/>
        <v>2025</v>
      </c>
      <c r="K907" s="70" t="str">
        <f t="shared" si="4"/>
        <v>08/2025</v>
      </c>
    </row>
    <row r="908" hidden="1">
      <c r="A908" s="26">
        <v>45880.0</v>
      </c>
      <c r="B908" s="28" t="s">
        <v>1523</v>
      </c>
      <c r="C908" s="28" t="s">
        <v>27</v>
      </c>
      <c r="D908" s="28" t="s">
        <v>1524</v>
      </c>
      <c r="E908" s="71">
        <v>12771.74</v>
      </c>
      <c r="F908" s="29" t="s">
        <v>1513</v>
      </c>
      <c r="G908" s="26">
        <v>45880.0</v>
      </c>
      <c r="H908" s="70">
        <f t="shared" si="1"/>
        <v>11</v>
      </c>
      <c r="I908" s="70">
        <f t="shared" si="2"/>
        <v>8</v>
      </c>
      <c r="J908" s="70">
        <f t="shared" si="3"/>
        <v>2025</v>
      </c>
      <c r="K908" s="70" t="str">
        <f t="shared" si="4"/>
        <v>08/2025</v>
      </c>
    </row>
    <row r="909" hidden="1">
      <c r="A909" s="26">
        <v>45880.0</v>
      </c>
      <c r="B909" s="28" t="s">
        <v>1511</v>
      </c>
      <c r="C909" s="28" t="s">
        <v>66</v>
      </c>
      <c r="D909" s="28" t="s">
        <v>1512</v>
      </c>
      <c r="E909" s="71">
        <v>616.04</v>
      </c>
      <c r="F909" s="29" t="s">
        <v>1516</v>
      </c>
      <c r="G909" s="26">
        <v>45880.0</v>
      </c>
      <c r="H909" s="70">
        <f t="shared" si="1"/>
        <v>11</v>
      </c>
      <c r="I909" s="70">
        <f t="shared" si="2"/>
        <v>8</v>
      </c>
      <c r="J909" s="70">
        <f t="shared" si="3"/>
        <v>2025</v>
      </c>
      <c r="K909" s="70" t="str">
        <f t="shared" si="4"/>
        <v>08/2025</v>
      </c>
    </row>
    <row r="910" hidden="1">
      <c r="A910" s="26">
        <v>45880.0</v>
      </c>
      <c r="B910" s="28" t="s">
        <v>1514</v>
      </c>
      <c r="C910" s="28" t="s">
        <v>37</v>
      </c>
      <c r="D910" s="28" t="s">
        <v>1515</v>
      </c>
      <c r="E910" s="71">
        <v>448.49</v>
      </c>
      <c r="F910" s="29" t="s">
        <v>1516</v>
      </c>
      <c r="G910" s="26">
        <v>45880.0</v>
      </c>
      <c r="H910" s="70">
        <f t="shared" si="1"/>
        <v>11</v>
      </c>
      <c r="I910" s="70">
        <f t="shared" si="2"/>
        <v>8</v>
      </c>
      <c r="J910" s="70">
        <f t="shared" si="3"/>
        <v>2025</v>
      </c>
      <c r="K910" s="70" t="str">
        <f t="shared" si="4"/>
        <v>08/2025</v>
      </c>
    </row>
    <row r="911" hidden="1">
      <c r="A911" s="26">
        <v>45881.0</v>
      </c>
      <c r="B911" s="28" t="s">
        <v>1511</v>
      </c>
      <c r="C911" s="29" t="s">
        <v>27</v>
      </c>
      <c r="D911" s="28" t="s">
        <v>1512</v>
      </c>
      <c r="E911" s="71">
        <v>1078.72</v>
      </c>
      <c r="F911" s="29" t="s">
        <v>1513</v>
      </c>
      <c r="G911" s="26">
        <v>45881.0</v>
      </c>
      <c r="H911" s="70">
        <f t="shared" si="1"/>
        <v>12</v>
      </c>
      <c r="I911" s="70">
        <f t="shared" si="2"/>
        <v>8</v>
      </c>
      <c r="J911" s="70">
        <f t="shared" si="3"/>
        <v>2025</v>
      </c>
      <c r="K911" s="70" t="str">
        <f t="shared" si="4"/>
        <v>08/2025</v>
      </c>
    </row>
    <row r="912" hidden="1">
      <c r="A912" s="26">
        <v>45881.0</v>
      </c>
      <c r="B912" s="28" t="s">
        <v>1514</v>
      </c>
      <c r="C912" s="28" t="s">
        <v>37</v>
      </c>
      <c r="D912" s="28" t="s">
        <v>1515</v>
      </c>
      <c r="E912" s="71">
        <v>1887.89</v>
      </c>
      <c r="F912" s="29" t="s">
        <v>1516</v>
      </c>
      <c r="G912" s="26">
        <v>45881.0</v>
      </c>
      <c r="H912" s="70">
        <f t="shared" si="1"/>
        <v>12</v>
      </c>
      <c r="I912" s="70">
        <f t="shared" si="2"/>
        <v>8</v>
      </c>
      <c r="J912" s="70">
        <f t="shared" si="3"/>
        <v>2025</v>
      </c>
      <c r="K912" s="70" t="str">
        <f t="shared" si="4"/>
        <v>08/2025</v>
      </c>
    </row>
    <row r="913" hidden="1">
      <c r="A913" s="26">
        <v>45882.0</v>
      </c>
      <c r="B913" s="28" t="s">
        <v>1511</v>
      </c>
      <c r="C913" s="29" t="s">
        <v>27</v>
      </c>
      <c r="D913" s="28" t="s">
        <v>1512</v>
      </c>
      <c r="E913" s="71">
        <v>278.95</v>
      </c>
      <c r="F913" s="29" t="s">
        <v>1513</v>
      </c>
      <c r="G913" s="26">
        <v>45882.0</v>
      </c>
      <c r="H913" s="70">
        <f t="shared" si="1"/>
        <v>13</v>
      </c>
      <c r="I913" s="70">
        <f t="shared" si="2"/>
        <v>8</v>
      </c>
      <c r="J913" s="70">
        <f t="shared" si="3"/>
        <v>2025</v>
      </c>
      <c r="K913" s="70" t="str">
        <f t="shared" si="4"/>
        <v>08/2025</v>
      </c>
    </row>
    <row r="914" hidden="1">
      <c r="A914" s="26">
        <v>45882.0</v>
      </c>
      <c r="B914" s="28" t="s">
        <v>1514</v>
      </c>
      <c r="C914" s="28" t="s">
        <v>37</v>
      </c>
      <c r="D914" s="28" t="s">
        <v>1515</v>
      </c>
      <c r="E914" s="71">
        <v>1772.03</v>
      </c>
      <c r="F914" s="29" t="s">
        <v>1516</v>
      </c>
      <c r="G914" s="26">
        <v>45882.0</v>
      </c>
      <c r="H914" s="70">
        <f t="shared" si="1"/>
        <v>13</v>
      </c>
      <c r="I914" s="70">
        <f t="shared" si="2"/>
        <v>8</v>
      </c>
      <c r="J914" s="70">
        <f t="shared" si="3"/>
        <v>2025</v>
      </c>
      <c r="K914" s="70" t="str">
        <f t="shared" si="4"/>
        <v>08/2025</v>
      </c>
    </row>
    <row r="915" hidden="1">
      <c r="A915" s="9">
        <v>45882.0</v>
      </c>
      <c r="B915" s="11" t="s">
        <v>1521</v>
      </c>
      <c r="C915" s="11" t="s">
        <v>27</v>
      </c>
      <c r="D915" s="11" t="s">
        <v>1522</v>
      </c>
      <c r="E915" s="69">
        <v>25.26</v>
      </c>
      <c r="F915" s="29" t="s">
        <v>1513</v>
      </c>
      <c r="G915" s="9">
        <v>45882.0</v>
      </c>
      <c r="H915" s="70">
        <f t="shared" si="1"/>
        <v>13</v>
      </c>
      <c r="I915" s="70">
        <f t="shared" si="2"/>
        <v>8</v>
      </c>
      <c r="J915" s="70">
        <f t="shared" si="3"/>
        <v>2025</v>
      </c>
      <c r="K915" s="70" t="str">
        <f t="shared" si="4"/>
        <v>08/2025</v>
      </c>
    </row>
    <row r="916" hidden="1">
      <c r="A916" s="26">
        <v>45883.0</v>
      </c>
      <c r="B916" s="28" t="s">
        <v>1511</v>
      </c>
      <c r="C916" s="29" t="s">
        <v>27</v>
      </c>
      <c r="D916" s="28" t="s">
        <v>1512</v>
      </c>
      <c r="E916" s="71">
        <v>381.09</v>
      </c>
      <c r="F916" s="29" t="s">
        <v>1513</v>
      </c>
      <c r="G916" s="26">
        <v>45883.0</v>
      </c>
      <c r="H916" s="70">
        <f t="shared" si="1"/>
        <v>14</v>
      </c>
      <c r="I916" s="70">
        <f t="shared" si="2"/>
        <v>8</v>
      </c>
      <c r="J916" s="70">
        <f t="shared" si="3"/>
        <v>2025</v>
      </c>
      <c r="K916" s="70" t="str">
        <f t="shared" si="4"/>
        <v>08/2025</v>
      </c>
    </row>
    <row r="917" hidden="1">
      <c r="A917" s="26">
        <v>45883.0</v>
      </c>
      <c r="B917" s="28" t="s">
        <v>1514</v>
      </c>
      <c r="C917" s="28" t="s">
        <v>37</v>
      </c>
      <c r="D917" s="28" t="s">
        <v>1515</v>
      </c>
      <c r="E917" s="71">
        <v>2263.59</v>
      </c>
      <c r="F917" s="29" t="s">
        <v>1516</v>
      </c>
      <c r="G917" s="26">
        <v>45883.0</v>
      </c>
      <c r="H917" s="70">
        <f t="shared" si="1"/>
        <v>14</v>
      </c>
      <c r="I917" s="70">
        <f t="shared" si="2"/>
        <v>8</v>
      </c>
      <c r="J917" s="70">
        <f t="shared" si="3"/>
        <v>2025</v>
      </c>
      <c r="K917" s="70" t="str">
        <f t="shared" si="4"/>
        <v>08/2025</v>
      </c>
    </row>
    <row r="918" hidden="1">
      <c r="A918" s="26">
        <v>45884.0</v>
      </c>
      <c r="B918" s="28" t="s">
        <v>1511</v>
      </c>
      <c r="C918" s="29" t="s">
        <v>27</v>
      </c>
      <c r="D918" s="28" t="s">
        <v>1512</v>
      </c>
      <c r="E918" s="71">
        <v>844.8</v>
      </c>
      <c r="F918" s="29" t="s">
        <v>1513</v>
      </c>
      <c r="G918" s="26">
        <v>45884.0</v>
      </c>
      <c r="H918" s="70">
        <f t="shared" si="1"/>
        <v>15</v>
      </c>
      <c r="I918" s="70">
        <f t="shared" si="2"/>
        <v>8</v>
      </c>
      <c r="J918" s="70">
        <f t="shared" si="3"/>
        <v>2025</v>
      </c>
      <c r="K918" s="70" t="str">
        <f t="shared" si="4"/>
        <v>08/2025</v>
      </c>
    </row>
    <row r="919" hidden="1">
      <c r="A919" s="26">
        <v>45884.0</v>
      </c>
      <c r="B919" s="28" t="s">
        <v>1514</v>
      </c>
      <c r="C919" s="28" t="s">
        <v>37</v>
      </c>
      <c r="D919" s="28" t="s">
        <v>1515</v>
      </c>
      <c r="E919" s="71">
        <v>2181.68</v>
      </c>
      <c r="F919" s="29" t="s">
        <v>1516</v>
      </c>
      <c r="G919" s="26">
        <v>45884.0</v>
      </c>
      <c r="H919" s="70">
        <f t="shared" si="1"/>
        <v>15</v>
      </c>
      <c r="I919" s="70">
        <f t="shared" si="2"/>
        <v>8</v>
      </c>
      <c r="J919" s="70">
        <f t="shared" si="3"/>
        <v>2025</v>
      </c>
      <c r="K919" s="70" t="str">
        <f t="shared" si="4"/>
        <v>08/2025</v>
      </c>
    </row>
    <row r="920" hidden="1">
      <c r="A920" s="26">
        <v>45885.0</v>
      </c>
      <c r="B920" s="28" t="s">
        <v>1511</v>
      </c>
      <c r="C920" s="29" t="s">
        <v>27</v>
      </c>
      <c r="D920" s="28" t="s">
        <v>1512</v>
      </c>
      <c r="E920" s="71">
        <v>392.08</v>
      </c>
      <c r="F920" s="29" t="s">
        <v>1513</v>
      </c>
      <c r="G920" s="26">
        <v>45885.0</v>
      </c>
      <c r="H920" s="70">
        <f t="shared" si="1"/>
        <v>16</v>
      </c>
      <c r="I920" s="70">
        <f t="shared" si="2"/>
        <v>8</v>
      </c>
      <c r="J920" s="70">
        <f t="shared" si="3"/>
        <v>2025</v>
      </c>
      <c r="K920" s="70" t="str">
        <f t="shared" si="4"/>
        <v>08/2025</v>
      </c>
    </row>
    <row r="921" hidden="1">
      <c r="A921" s="26">
        <v>45885.0</v>
      </c>
      <c r="B921" s="28" t="s">
        <v>1514</v>
      </c>
      <c r="C921" s="28" t="s">
        <v>37</v>
      </c>
      <c r="D921" s="28" t="s">
        <v>1515</v>
      </c>
      <c r="E921" s="71">
        <v>1485.59</v>
      </c>
      <c r="F921" s="29" t="s">
        <v>1516</v>
      </c>
      <c r="G921" s="26">
        <v>45885.0</v>
      </c>
      <c r="H921" s="70">
        <f t="shared" si="1"/>
        <v>16</v>
      </c>
      <c r="I921" s="70">
        <f t="shared" si="2"/>
        <v>8</v>
      </c>
      <c r="J921" s="70">
        <f t="shared" si="3"/>
        <v>2025</v>
      </c>
      <c r="K921" s="70" t="str">
        <f t="shared" si="4"/>
        <v>08/2025</v>
      </c>
    </row>
    <row r="922" hidden="1">
      <c r="A922" s="26">
        <v>45886.0</v>
      </c>
      <c r="B922" s="28" t="s">
        <v>1511</v>
      </c>
      <c r="C922" s="29" t="s">
        <v>27</v>
      </c>
      <c r="D922" s="28" t="s">
        <v>1512</v>
      </c>
      <c r="E922" s="71">
        <v>827.24</v>
      </c>
      <c r="F922" s="29" t="s">
        <v>1513</v>
      </c>
      <c r="G922" s="26">
        <v>45886.0</v>
      </c>
      <c r="H922" s="70">
        <f t="shared" si="1"/>
        <v>17</v>
      </c>
      <c r="I922" s="70">
        <f t="shared" si="2"/>
        <v>8</v>
      </c>
      <c r="J922" s="70">
        <f t="shared" si="3"/>
        <v>2025</v>
      </c>
      <c r="K922" s="70" t="str">
        <f t="shared" si="4"/>
        <v>08/2025</v>
      </c>
    </row>
    <row r="923" hidden="1">
      <c r="A923" s="26">
        <v>45886.0</v>
      </c>
      <c r="B923" s="28" t="s">
        <v>1514</v>
      </c>
      <c r="C923" s="28" t="s">
        <v>37</v>
      </c>
      <c r="D923" s="28" t="s">
        <v>1515</v>
      </c>
      <c r="E923" s="71">
        <v>1639.15</v>
      </c>
      <c r="F923" s="29" t="s">
        <v>1516</v>
      </c>
      <c r="G923" s="26">
        <v>45886.0</v>
      </c>
      <c r="H923" s="70">
        <f t="shared" si="1"/>
        <v>17</v>
      </c>
      <c r="I923" s="70">
        <f t="shared" si="2"/>
        <v>8</v>
      </c>
      <c r="J923" s="70">
        <f t="shared" si="3"/>
        <v>2025</v>
      </c>
      <c r="K923" s="70" t="str">
        <f t="shared" si="4"/>
        <v>08/2025</v>
      </c>
    </row>
    <row r="924" hidden="1">
      <c r="A924" s="26">
        <v>45887.0</v>
      </c>
      <c r="B924" s="28" t="s">
        <v>1511</v>
      </c>
      <c r="C924" s="29" t="s">
        <v>27</v>
      </c>
      <c r="D924" s="28" t="s">
        <v>1512</v>
      </c>
      <c r="E924" s="71">
        <v>617.88</v>
      </c>
      <c r="F924" s="29" t="s">
        <v>1513</v>
      </c>
      <c r="G924" s="26">
        <v>45887.0</v>
      </c>
      <c r="H924" s="70">
        <f t="shared" si="1"/>
        <v>18</v>
      </c>
      <c r="I924" s="70">
        <f t="shared" si="2"/>
        <v>8</v>
      </c>
      <c r="J924" s="70">
        <f t="shared" si="3"/>
        <v>2025</v>
      </c>
      <c r="K924" s="70" t="str">
        <f t="shared" si="4"/>
        <v>08/2025</v>
      </c>
    </row>
    <row r="925" hidden="1">
      <c r="A925" s="26">
        <v>45887.0</v>
      </c>
      <c r="B925" s="28" t="s">
        <v>1514</v>
      </c>
      <c r="C925" s="28" t="s">
        <v>37</v>
      </c>
      <c r="D925" s="28" t="s">
        <v>1515</v>
      </c>
      <c r="E925" s="71">
        <v>746.41</v>
      </c>
      <c r="F925" s="29" t="s">
        <v>1516</v>
      </c>
      <c r="G925" s="26">
        <v>45887.0</v>
      </c>
      <c r="H925" s="70">
        <f t="shared" si="1"/>
        <v>18</v>
      </c>
      <c r="I925" s="70">
        <f t="shared" si="2"/>
        <v>8</v>
      </c>
      <c r="J925" s="70">
        <f t="shared" si="3"/>
        <v>2025</v>
      </c>
      <c r="K925" s="70" t="str">
        <f t="shared" si="4"/>
        <v>08/2025</v>
      </c>
    </row>
    <row r="926" hidden="1">
      <c r="A926" s="26">
        <v>45888.0</v>
      </c>
      <c r="B926" s="28" t="s">
        <v>1511</v>
      </c>
      <c r="C926" s="29" t="s">
        <v>27</v>
      </c>
      <c r="D926" s="28" t="s">
        <v>1512</v>
      </c>
      <c r="E926" s="71">
        <v>690.83</v>
      </c>
      <c r="F926" s="29" t="s">
        <v>1513</v>
      </c>
      <c r="G926" s="26">
        <v>45888.0</v>
      </c>
      <c r="H926" s="70">
        <f t="shared" si="1"/>
        <v>19</v>
      </c>
      <c r="I926" s="70">
        <f t="shared" si="2"/>
        <v>8</v>
      </c>
      <c r="J926" s="70">
        <f t="shared" si="3"/>
        <v>2025</v>
      </c>
      <c r="K926" s="70" t="str">
        <f t="shared" si="4"/>
        <v>08/2025</v>
      </c>
    </row>
    <row r="927" hidden="1">
      <c r="A927" s="26">
        <v>45888.0</v>
      </c>
      <c r="B927" s="28" t="s">
        <v>1514</v>
      </c>
      <c r="C927" s="28" t="s">
        <v>37</v>
      </c>
      <c r="D927" s="28" t="s">
        <v>1515</v>
      </c>
      <c r="E927" s="71">
        <v>1513.58</v>
      </c>
      <c r="F927" s="29" t="s">
        <v>1516</v>
      </c>
      <c r="G927" s="26">
        <v>45888.0</v>
      </c>
      <c r="H927" s="70">
        <f t="shared" si="1"/>
        <v>19</v>
      </c>
      <c r="I927" s="70">
        <f t="shared" si="2"/>
        <v>8</v>
      </c>
      <c r="J927" s="70">
        <f t="shared" si="3"/>
        <v>2025</v>
      </c>
      <c r="K927" s="70" t="str">
        <f t="shared" si="4"/>
        <v>08/2025</v>
      </c>
    </row>
    <row r="928" hidden="1">
      <c r="A928" s="26">
        <v>45889.0</v>
      </c>
      <c r="B928" s="28" t="s">
        <v>1511</v>
      </c>
      <c r="C928" s="29" t="s">
        <v>27</v>
      </c>
      <c r="D928" s="28" t="s">
        <v>1512</v>
      </c>
      <c r="E928" s="71">
        <v>570.09</v>
      </c>
      <c r="F928" s="29" t="s">
        <v>1513</v>
      </c>
      <c r="G928" s="26">
        <v>45889.0</v>
      </c>
      <c r="H928" s="70">
        <f t="shared" si="1"/>
        <v>20</v>
      </c>
      <c r="I928" s="70">
        <f t="shared" si="2"/>
        <v>8</v>
      </c>
      <c r="J928" s="70">
        <f t="shared" si="3"/>
        <v>2025</v>
      </c>
      <c r="K928" s="70" t="str">
        <f t="shared" si="4"/>
        <v>08/2025</v>
      </c>
    </row>
    <row r="929" hidden="1">
      <c r="A929" s="26">
        <v>45889.0</v>
      </c>
      <c r="B929" s="28" t="s">
        <v>1514</v>
      </c>
      <c r="C929" s="28" t="s">
        <v>37</v>
      </c>
      <c r="D929" s="28" t="s">
        <v>1515</v>
      </c>
      <c r="E929" s="71">
        <v>2286.43</v>
      </c>
      <c r="F929" s="29" t="s">
        <v>1516</v>
      </c>
      <c r="G929" s="26">
        <v>45895.0</v>
      </c>
      <c r="H929" s="70">
        <f t="shared" si="1"/>
        <v>20</v>
      </c>
      <c r="I929" s="70">
        <f t="shared" si="2"/>
        <v>8</v>
      </c>
      <c r="J929" s="70">
        <f t="shared" si="3"/>
        <v>2025</v>
      </c>
      <c r="K929" s="70" t="str">
        <f t="shared" si="4"/>
        <v>08/2025</v>
      </c>
    </row>
    <row r="930" hidden="1">
      <c r="A930" s="26">
        <v>45890.0</v>
      </c>
      <c r="B930" s="28" t="s">
        <v>1511</v>
      </c>
      <c r="C930" s="29" t="s">
        <v>27</v>
      </c>
      <c r="D930" s="28" t="s">
        <v>1512</v>
      </c>
      <c r="E930" s="71">
        <v>570.09</v>
      </c>
      <c r="F930" s="29" t="s">
        <v>1513</v>
      </c>
      <c r="G930" s="26">
        <v>45890.0</v>
      </c>
      <c r="H930" s="70">
        <f t="shared" si="1"/>
        <v>21</v>
      </c>
      <c r="I930" s="70">
        <f t="shared" si="2"/>
        <v>8</v>
      </c>
      <c r="J930" s="70">
        <f t="shared" si="3"/>
        <v>2025</v>
      </c>
      <c r="K930" s="70" t="str">
        <f t="shared" si="4"/>
        <v>08/2025</v>
      </c>
    </row>
    <row r="931" hidden="1">
      <c r="A931" s="26">
        <v>45890.0</v>
      </c>
      <c r="B931" s="28" t="s">
        <v>1514</v>
      </c>
      <c r="C931" s="28" t="s">
        <v>37</v>
      </c>
      <c r="D931" s="28" t="s">
        <v>1515</v>
      </c>
      <c r="E931" s="71">
        <v>2286.44</v>
      </c>
      <c r="F931" s="29" t="s">
        <v>1516</v>
      </c>
      <c r="G931" s="26">
        <v>45896.0</v>
      </c>
      <c r="H931" s="70">
        <f t="shared" si="1"/>
        <v>21</v>
      </c>
      <c r="I931" s="70">
        <f t="shared" si="2"/>
        <v>8</v>
      </c>
      <c r="J931" s="70">
        <f t="shared" si="3"/>
        <v>2025</v>
      </c>
      <c r="K931" s="70" t="str">
        <f t="shared" si="4"/>
        <v>08/2025</v>
      </c>
    </row>
    <row r="932" hidden="1">
      <c r="A932" s="26">
        <v>45891.0</v>
      </c>
      <c r="B932" s="28" t="s">
        <v>1523</v>
      </c>
      <c r="C932" s="28" t="s">
        <v>27</v>
      </c>
      <c r="D932" s="28" t="s">
        <v>1524</v>
      </c>
      <c r="E932" s="71">
        <v>2033.48</v>
      </c>
      <c r="F932" s="29" t="s">
        <v>1513</v>
      </c>
      <c r="G932" s="26">
        <v>45891.0</v>
      </c>
      <c r="H932" s="70">
        <f t="shared" si="1"/>
        <v>22</v>
      </c>
      <c r="I932" s="70">
        <f t="shared" si="2"/>
        <v>8</v>
      </c>
      <c r="J932" s="70">
        <f t="shared" si="3"/>
        <v>2025</v>
      </c>
      <c r="K932" s="70" t="str">
        <f t="shared" si="4"/>
        <v>08/2025</v>
      </c>
    </row>
    <row r="933" hidden="1">
      <c r="A933" s="26">
        <v>45891.0</v>
      </c>
      <c r="B933" s="28" t="s">
        <v>1511</v>
      </c>
      <c r="C933" s="29" t="s">
        <v>27</v>
      </c>
      <c r="D933" s="28" t="s">
        <v>1512</v>
      </c>
      <c r="E933" s="71">
        <v>848.91</v>
      </c>
      <c r="F933" s="29" t="s">
        <v>1513</v>
      </c>
      <c r="G933" s="26">
        <v>45891.0</v>
      </c>
      <c r="H933" s="70">
        <f t="shared" si="1"/>
        <v>22</v>
      </c>
      <c r="I933" s="70">
        <f t="shared" si="2"/>
        <v>8</v>
      </c>
      <c r="J933" s="70">
        <f t="shared" si="3"/>
        <v>2025</v>
      </c>
      <c r="K933" s="70" t="str">
        <f t="shared" si="4"/>
        <v>08/2025</v>
      </c>
    </row>
    <row r="934" hidden="1">
      <c r="A934" s="26">
        <v>45891.0</v>
      </c>
      <c r="B934" s="28" t="s">
        <v>1514</v>
      </c>
      <c r="C934" s="28" t="s">
        <v>37</v>
      </c>
      <c r="D934" s="28" t="s">
        <v>1515</v>
      </c>
      <c r="E934" s="71">
        <v>1045.87</v>
      </c>
      <c r="F934" s="29" t="s">
        <v>1516</v>
      </c>
      <c r="G934" s="26">
        <v>45891.0</v>
      </c>
      <c r="H934" s="70">
        <f t="shared" si="1"/>
        <v>22</v>
      </c>
      <c r="I934" s="70">
        <f t="shared" si="2"/>
        <v>8</v>
      </c>
      <c r="J934" s="70">
        <f t="shared" si="3"/>
        <v>2025</v>
      </c>
      <c r="K934" s="70" t="str">
        <f t="shared" si="4"/>
        <v>08/2025</v>
      </c>
    </row>
    <row r="935" hidden="1">
      <c r="A935" s="26">
        <v>45892.0</v>
      </c>
      <c r="B935" s="28" t="s">
        <v>1511</v>
      </c>
      <c r="C935" s="29" t="s">
        <v>27</v>
      </c>
      <c r="D935" s="28" t="s">
        <v>1512</v>
      </c>
      <c r="E935" s="71">
        <v>1509.27</v>
      </c>
      <c r="F935" s="29" t="s">
        <v>1513</v>
      </c>
      <c r="G935" s="26">
        <v>45892.0</v>
      </c>
      <c r="H935" s="70">
        <f t="shared" si="1"/>
        <v>23</v>
      </c>
      <c r="I935" s="70">
        <f t="shared" si="2"/>
        <v>8</v>
      </c>
      <c r="J935" s="70">
        <f t="shared" si="3"/>
        <v>2025</v>
      </c>
      <c r="K935" s="70" t="str">
        <f t="shared" si="4"/>
        <v>08/2025</v>
      </c>
    </row>
    <row r="936" hidden="1">
      <c r="A936" s="26">
        <v>45892.0</v>
      </c>
      <c r="B936" s="28" t="s">
        <v>1514</v>
      </c>
      <c r="C936" s="28" t="s">
        <v>37</v>
      </c>
      <c r="D936" s="28" t="s">
        <v>1515</v>
      </c>
      <c r="E936" s="71">
        <v>2254.51</v>
      </c>
      <c r="F936" s="29" t="s">
        <v>1516</v>
      </c>
      <c r="G936" s="26">
        <v>45892.0</v>
      </c>
      <c r="H936" s="70">
        <f t="shared" si="1"/>
        <v>23</v>
      </c>
      <c r="I936" s="70">
        <f t="shared" si="2"/>
        <v>8</v>
      </c>
      <c r="J936" s="70">
        <f t="shared" si="3"/>
        <v>2025</v>
      </c>
      <c r="K936" s="70" t="str">
        <f t="shared" si="4"/>
        <v>08/2025</v>
      </c>
    </row>
    <row r="937" hidden="1">
      <c r="A937" s="26">
        <v>45893.0</v>
      </c>
      <c r="B937" s="28" t="s">
        <v>1511</v>
      </c>
      <c r="C937" s="29" t="s">
        <v>27</v>
      </c>
      <c r="D937" s="28" t="s">
        <v>1512</v>
      </c>
      <c r="E937" s="71">
        <v>1340.35</v>
      </c>
      <c r="F937" s="29" t="s">
        <v>1513</v>
      </c>
      <c r="G937" s="26">
        <v>45893.0</v>
      </c>
      <c r="H937" s="70">
        <f t="shared" si="1"/>
        <v>24</v>
      </c>
      <c r="I937" s="70">
        <f t="shared" si="2"/>
        <v>8</v>
      </c>
      <c r="J937" s="70">
        <f t="shared" si="3"/>
        <v>2025</v>
      </c>
      <c r="K937" s="70" t="str">
        <f t="shared" si="4"/>
        <v>08/2025</v>
      </c>
    </row>
    <row r="938" hidden="1">
      <c r="A938" s="26">
        <v>45893.0</v>
      </c>
      <c r="B938" s="28" t="s">
        <v>1514</v>
      </c>
      <c r="C938" s="28" t="s">
        <v>37</v>
      </c>
      <c r="D938" s="28" t="s">
        <v>1515</v>
      </c>
      <c r="E938" s="71">
        <v>1479.66</v>
      </c>
      <c r="F938" s="29" t="s">
        <v>1516</v>
      </c>
      <c r="G938" s="26">
        <v>45893.0</v>
      </c>
      <c r="H938" s="70">
        <f t="shared" si="1"/>
        <v>24</v>
      </c>
      <c r="I938" s="70">
        <f t="shared" si="2"/>
        <v>8</v>
      </c>
      <c r="J938" s="70">
        <f t="shared" si="3"/>
        <v>2025</v>
      </c>
      <c r="K938" s="70" t="str">
        <f t="shared" si="4"/>
        <v>08/2025</v>
      </c>
    </row>
    <row r="939" hidden="1">
      <c r="A939" s="27">
        <v>45894.0</v>
      </c>
      <c r="B939" s="28" t="s">
        <v>1523</v>
      </c>
      <c r="C939" s="28" t="s">
        <v>27</v>
      </c>
      <c r="D939" s="28" t="s">
        <v>1524</v>
      </c>
      <c r="E939" s="71">
        <v>8889.04</v>
      </c>
      <c r="F939" s="29" t="s">
        <v>1513</v>
      </c>
      <c r="G939" s="27">
        <v>45894.0</v>
      </c>
      <c r="H939" s="70">
        <f t="shared" si="1"/>
        <v>25</v>
      </c>
      <c r="I939" s="70">
        <f t="shared" si="2"/>
        <v>8</v>
      </c>
      <c r="J939" s="70">
        <f t="shared" si="3"/>
        <v>2025</v>
      </c>
      <c r="K939" s="70" t="str">
        <f t="shared" si="4"/>
        <v>08/2025</v>
      </c>
    </row>
    <row r="940" hidden="1">
      <c r="A940" s="26">
        <v>45894.0</v>
      </c>
      <c r="B940" s="28" t="s">
        <v>1511</v>
      </c>
      <c r="C940" s="29" t="s">
        <v>27</v>
      </c>
      <c r="D940" s="28" t="s">
        <v>1512</v>
      </c>
      <c r="E940" s="71">
        <v>377.1</v>
      </c>
      <c r="F940" s="29" t="s">
        <v>1513</v>
      </c>
      <c r="G940" s="26">
        <v>45894.0</v>
      </c>
      <c r="H940" s="70">
        <f t="shared" si="1"/>
        <v>25</v>
      </c>
      <c r="I940" s="70">
        <f t="shared" si="2"/>
        <v>8</v>
      </c>
      <c r="J940" s="70">
        <f t="shared" si="3"/>
        <v>2025</v>
      </c>
      <c r="K940" s="70" t="str">
        <f t="shared" si="4"/>
        <v>08/2025</v>
      </c>
    </row>
    <row r="941" hidden="1">
      <c r="A941" s="26">
        <v>45894.0</v>
      </c>
      <c r="B941" s="28" t="s">
        <v>1514</v>
      </c>
      <c r="C941" s="28" t="s">
        <v>37</v>
      </c>
      <c r="D941" s="28" t="s">
        <v>1515</v>
      </c>
      <c r="E941" s="71">
        <v>711.79</v>
      </c>
      <c r="F941" s="29" t="s">
        <v>1516</v>
      </c>
      <c r="G941" s="26">
        <v>45894.0</v>
      </c>
      <c r="H941" s="70">
        <f t="shared" si="1"/>
        <v>25</v>
      </c>
      <c r="I941" s="70">
        <f t="shared" si="2"/>
        <v>8</v>
      </c>
      <c r="J941" s="70">
        <f t="shared" si="3"/>
        <v>2025</v>
      </c>
      <c r="K941" s="70" t="str">
        <f t="shared" si="4"/>
        <v>08/2025</v>
      </c>
    </row>
    <row r="942" hidden="1">
      <c r="A942" s="26">
        <v>45895.0</v>
      </c>
      <c r="B942" s="28" t="s">
        <v>1511</v>
      </c>
      <c r="C942" s="29" t="s">
        <v>27</v>
      </c>
      <c r="D942" s="28" t="s">
        <v>1512</v>
      </c>
      <c r="E942" s="71">
        <v>977.67</v>
      </c>
      <c r="F942" s="29" t="s">
        <v>1513</v>
      </c>
      <c r="G942" s="26">
        <v>45895.0</v>
      </c>
      <c r="H942" s="70">
        <f t="shared" si="1"/>
        <v>26</v>
      </c>
      <c r="I942" s="70">
        <f t="shared" si="2"/>
        <v>8</v>
      </c>
      <c r="J942" s="70">
        <f t="shared" si="3"/>
        <v>2025</v>
      </c>
      <c r="K942" s="70" t="str">
        <f t="shared" si="4"/>
        <v>08/2025</v>
      </c>
    </row>
    <row r="943" hidden="1">
      <c r="A943" s="26">
        <v>45895.0</v>
      </c>
      <c r="B943" s="28" t="s">
        <v>1514</v>
      </c>
      <c r="C943" s="28" t="s">
        <v>37</v>
      </c>
      <c r="D943" s="28" t="s">
        <v>1515</v>
      </c>
      <c r="E943" s="71">
        <v>2278.44</v>
      </c>
      <c r="F943" s="29" t="s">
        <v>1516</v>
      </c>
      <c r="G943" s="26">
        <v>45895.0</v>
      </c>
      <c r="H943" s="70">
        <f t="shared" si="1"/>
        <v>26</v>
      </c>
      <c r="I943" s="70">
        <f t="shared" si="2"/>
        <v>8</v>
      </c>
      <c r="J943" s="70">
        <f t="shared" si="3"/>
        <v>2025</v>
      </c>
      <c r="K943" s="70" t="str">
        <f t="shared" si="4"/>
        <v>08/2025</v>
      </c>
    </row>
    <row r="944" hidden="1">
      <c r="A944" s="26">
        <v>45896.0</v>
      </c>
      <c r="B944" s="28" t="s">
        <v>1511</v>
      </c>
      <c r="C944" s="29" t="s">
        <v>27</v>
      </c>
      <c r="D944" s="28" t="s">
        <v>1512</v>
      </c>
      <c r="E944" s="71">
        <v>1063.38</v>
      </c>
      <c r="F944" s="29" t="s">
        <v>1513</v>
      </c>
      <c r="G944" s="26">
        <v>45896.0</v>
      </c>
      <c r="H944" s="70">
        <f t="shared" si="1"/>
        <v>27</v>
      </c>
      <c r="I944" s="70">
        <f t="shared" si="2"/>
        <v>8</v>
      </c>
      <c r="J944" s="70">
        <f t="shared" si="3"/>
        <v>2025</v>
      </c>
      <c r="K944" s="70" t="str">
        <f t="shared" si="4"/>
        <v>08/2025</v>
      </c>
    </row>
    <row r="945" hidden="1">
      <c r="A945" s="26">
        <v>45896.0</v>
      </c>
      <c r="B945" s="28" t="s">
        <v>1514</v>
      </c>
      <c r="C945" s="28" t="s">
        <v>37</v>
      </c>
      <c r="D945" s="28" t="s">
        <v>1515</v>
      </c>
      <c r="E945" s="71">
        <v>1590.44</v>
      </c>
      <c r="F945" s="29" t="s">
        <v>1516</v>
      </c>
      <c r="G945" s="26">
        <v>45896.0</v>
      </c>
      <c r="H945" s="70">
        <f t="shared" si="1"/>
        <v>27</v>
      </c>
      <c r="I945" s="70">
        <f t="shared" si="2"/>
        <v>8</v>
      </c>
      <c r="J945" s="70">
        <f t="shared" si="3"/>
        <v>2025</v>
      </c>
      <c r="K945" s="70" t="str">
        <f t="shared" si="4"/>
        <v>08/2025</v>
      </c>
    </row>
    <row r="946" hidden="1">
      <c r="A946" s="26">
        <v>45897.0</v>
      </c>
      <c r="B946" s="28" t="s">
        <v>1511</v>
      </c>
      <c r="C946" s="29" t="s">
        <v>27</v>
      </c>
      <c r="D946" s="28" t="s">
        <v>1512</v>
      </c>
      <c r="E946" s="71">
        <v>832.4</v>
      </c>
      <c r="F946" s="29" t="s">
        <v>1513</v>
      </c>
      <c r="G946" s="26">
        <v>45897.0</v>
      </c>
      <c r="H946" s="70">
        <f t="shared" si="1"/>
        <v>28</v>
      </c>
      <c r="I946" s="70">
        <f t="shared" si="2"/>
        <v>8</v>
      </c>
      <c r="J946" s="70">
        <f t="shared" si="3"/>
        <v>2025</v>
      </c>
      <c r="K946" s="70" t="str">
        <f t="shared" si="4"/>
        <v>08/2025</v>
      </c>
    </row>
    <row r="947" hidden="1">
      <c r="A947" s="26">
        <v>45897.0</v>
      </c>
      <c r="B947" s="28" t="s">
        <v>1514</v>
      </c>
      <c r="C947" s="28" t="s">
        <v>37</v>
      </c>
      <c r="D947" s="28" t="s">
        <v>1515</v>
      </c>
      <c r="E947" s="71">
        <v>1993.55</v>
      </c>
      <c r="F947" s="29" t="s">
        <v>1516</v>
      </c>
      <c r="G947" s="26">
        <v>45897.0</v>
      </c>
      <c r="H947" s="70">
        <f t="shared" si="1"/>
        <v>28</v>
      </c>
      <c r="I947" s="70">
        <f t="shared" si="2"/>
        <v>8</v>
      </c>
      <c r="J947" s="70">
        <f t="shared" si="3"/>
        <v>2025</v>
      </c>
      <c r="K947" s="70" t="str">
        <f t="shared" si="4"/>
        <v>08/2025</v>
      </c>
    </row>
    <row r="948" hidden="1">
      <c r="A948" s="26">
        <v>45898.0</v>
      </c>
      <c r="B948" s="28" t="s">
        <v>1511</v>
      </c>
      <c r="C948" s="29" t="s">
        <v>27</v>
      </c>
      <c r="D948" s="28" t="s">
        <v>1512</v>
      </c>
      <c r="E948" s="71">
        <v>1328.02</v>
      </c>
      <c r="F948" s="29" t="s">
        <v>1513</v>
      </c>
      <c r="G948" s="26">
        <v>45898.0</v>
      </c>
      <c r="H948" s="70">
        <f t="shared" si="1"/>
        <v>29</v>
      </c>
      <c r="I948" s="70">
        <f t="shared" si="2"/>
        <v>8</v>
      </c>
      <c r="J948" s="70">
        <f t="shared" si="3"/>
        <v>2025</v>
      </c>
      <c r="K948" s="70" t="str">
        <f t="shared" si="4"/>
        <v>08/2025</v>
      </c>
    </row>
    <row r="949" hidden="1">
      <c r="A949" s="26">
        <v>45898.0</v>
      </c>
      <c r="B949" s="28" t="s">
        <v>1514</v>
      </c>
      <c r="C949" s="28" t="s">
        <v>37</v>
      </c>
      <c r="D949" s="28" t="s">
        <v>1515</v>
      </c>
      <c r="E949" s="71">
        <v>1987.02</v>
      </c>
      <c r="F949" s="29" t="s">
        <v>1516</v>
      </c>
      <c r="G949" s="26">
        <v>45898.0</v>
      </c>
      <c r="H949" s="70">
        <f t="shared" si="1"/>
        <v>29</v>
      </c>
      <c r="I949" s="70">
        <f t="shared" si="2"/>
        <v>8</v>
      </c>
      <c r="J949" s="70">
        <f t="shared" si="3"/>
        <v>2025</v>
      </c>
      <c r="K949" s="70" t="str">
        <f t="shared" si="4"/>
        <v>08/2025</v>
      </c>
    </row>
    <row r="950" hidden="1">
      <c r="A950" s="26">
        <v>45899.0</v>
      </c>
      <c r="B950" s="28" t="s">
        <v>1511</v>
      </c>
      <c r="C950" s="29" t="s">
        <v>27</v>
      </c>
      <c r="D950" s="28" t="s">
        <v>1512</v>
      </c>
      <c r="E950" s="71">
        <v>1520.79</v>
      </c>
      <c r="F950" s="29" t="s">
        <v>1513</v>
      </c>
      <c r="G950" s="26">
        <v>45899.0</v>
      </c>
      <c r="H950" s="70">
        <f t="shared" si="1"/>
        <v>30</v>
      </c>
      <c r="I950" s="70">
        <f t="shared" si="2"/>
        <v>8</v>
      </c>
      <c r="J950" s="70">
        <f t="shared" si="3"/>
        <v>2025</v>
      </c>
      <c r="K950" s="70" t="str">
        <f t="shared" si="4"/>
        <v>08/2025</v>
      </c>
    </row>
    <row r="951" hidden="1">
      <c r="A951" s="26">
        <v>45899.0</v>
      </c>
      <c r="B951" s="28" t="s">
        <v>1514</v>
      </c>
      <c r="C951" s="28" t="s">
        <v>37</v>
      </c>
      <c r="D951" s="28" t="s">
        <v>1515</v>
      </c>
      <c r="E951" s="71">
        <v>3566.99</v>
      </c>
      <c r="F951" s="29" t="s">
        <v>1516</v>
      </c>
      <c r="G951" s="26">
        <v>45899.0</v>
      </c>
      <c r="H951" s="70">
        <f t="shared" si="1"/>
        <v>30</v>
      </c>
      <c r="I951" s="70">
        <f t="shared" si="2"/>
        <v>8</v>
      </c>
      <c r="J951" s="70">
        <f t="shared" si="3"/>
        <v>2025</v>
      </c>
      <c r="K951" s="70" t="str">
        <f t="shared" si="4"/>
        <v>08/2025</v>
      </c>
    </row>
    <row r="952" hidden="1">
      <c r="A952" s="26">
        <v>45902.0</v>
      </c>
      <c r="B952" s="28" t="s">
        <v>1519</v>
      </c>
      <c r="C952" s="28" t="s">
        <v>27</v>
      </c>
      <c r="D952" s="28" t="s">
        <v>1520</v>
      </c>
      <c r="E952" s="71">
        <v>35242.58</v>
      </c>
      <c r="F952" s="29" t="s">
        <v>1513</v>
      </c>
      <c r="G952" s="26">
        <v>45902.0</v>
      </c>
      <c r="H952" s="70">
        <f t="shared" si="1"/>
        <v>2</v>
      </c>
      <c r="I952" s="70">
        <f t="shared" si="2"/>
        <v>9</v>
      </c>
      <c r="J952" s="70">
        <f t="shared" si="3"/>
        <v>2025</v>
      </c>
      <c r="K952" s="70" t="str">
        <f t="shared" si="4"/>
        <v>09/2025</v>
      </c>
    </row>
    <row r="953" hidden="1">
      <c r="A953" s="26">
        <v>45902.0</v>
      </c>
      <c r="B953" s="28" t="s">
        <v>1511</v>
      </c>
      <c r="C953" s="29" t="s">
        <v>27</v>
      </c>
      <c r="D953" s="28" t="s">
        <v>1512</v>
      </c>
      <c r="E953" s="71">
        <v>1138.97</v>
      </c>
      <c r="F953" s="29" t="s">
        <v>1513</v>
      </c>
      <c r="G953" s="26">
        <v>45902.0</v>
      </c>
      <c r="H953" s="70">
        <f t="shared" si="1"/>
        <v>2</v>
      </c>
      <c r="I953" s="70">
        <f t="shared" si="2"/>
        <v>9</v>
      </c>
      <c r="J953" s="70">
        <f t="shared" si="3"/>
        <v>2025</v>
      </c>
      <c r="K953" s="70" t="str">
        <f t="shared" si="4"/>
        <v>09/2025</v>
      </c>
    </row>
    <row r="954" hidden="1">
      <c r="A954" s="26">
        <v>45902.0</v>
      </c>
      <c r="B954" s="28" t="s">
        <v>1514</v>
      </c>
      <c r="C954" s="28" t="s">
        <v>37</v>
      </c>
      <c r="D954" s="28" t="s">
        <v>1515</v>
      </c>
      <c r="E954" s="71">
        <v>1961.92</v>
      </c>
      <c r="F954" s="29" t="s">
        <v>1516</v>
      </c>
      <c r="G954" s="26">
        <v>45902.0</v>
      </c>
      <c r="H954" s="70">
        <f t="shared" si="1"/>
        <v>2</v>
      </c>
      <c r="I954" s="70">
        <f t="shared" si="2"/>
        <v>9</v>
      </c>
      <c r="J954" s="70">
        <f t="shared" si="3"/>
        <v>2025</v>
      </c>
      <c r="K954" s="70" t="str">
        <f t="shared" si="4"/>
        <v>09/2025</v>
      </c>
    </row>
    <row r="955" hidden="1">
      <c r="A955" s="26">
        <v>45903.0</v>
      </c>
      <c r="B955" s="28" t="s">
        <v>1511</v>
      </c>
      <c r="C955" s="29" t="s">
        <v>27</v>
      </c>
      <c r="D955" s="28" t="s">
        <v>1512</v>
      </c>
      <c r="E955" s="71">
        <v>1040.16</v>
      </c>
      <c r="F955" s="29" t="s">
        <v>1513</v>
      </c>
      <c r="G955" s="26">
        <v>45903.0</v>
      </c>
      <c r="H955" s="70">
        <f t="shared" si="1"/>
        <v>3</v>
      </c>
      <c r="I955" s="70">
        <f t="shared" si="2"/>
        <v>9</v>
      </c>
      <c r="J955" s="70">
        <f t="shared" si="3"/>
        <v>2025</v>
      </c>
      <c r="K955" s="70" t="str">
        <f t="shared" si="4"/>
        <v>09/2025</v>
      </c>
    </row>
    <row r="956" hidden="1">
      <c r="A956" s="26">
        <v>45903.0</v>
      </c>
      <c r="B956" s="28" t="s">
        <v>1514</v>
      </c>
      <c r="C956" s="28" t="s">
        <v>37</v>
      </c>
      <c r="D956" s="28" t="s">
        <v>1515</v>
      </c>
      <c r="E956" s="71">
        <v>1779.44</v>
      </c>
      <c r="F956" s="29" t="s">
        <v>1516</v>
      </c>
      <c r="G956" s="26">
        <v>45903.0</v>
      </c>
      <c r="H956" s="70">
        <f t="shared" si="1"/>
        <v>3</v>
      </c>
      <c r="I956" s="70">
        <f t="shared" si="2"/>
        <v>9</v>
      </c>
      <c r="J956" s="70">
        <f t="shared" si="3"/>
        <v>2025</v>
      </c>
      <c r="K956" s="70" t="str">
        <f t="shared" si="4"/>
        <v>09/2025</v>
      </c>
    </row>
    <row r="957" hidden="1">
      <c r="A957" s="26">
        <v>45904.0</v>
      </c>
      <c r="B957" s="28" t="s">
        <v>1511</v>
      </c>
      <c r="C957" s="29" t="s">
        <v>27</v>
      </c>
      <c r="D957" s="28" t="s">
        <v>1512</v>
      </c>
      <c r="E957" s="71">
        <v>645.56</v>
      </c>
      <c r="F957" s="29" t="s">
        <v>1513</v>
      </c>
      <c r="G957" s="26">
        <v>45904.0</v>
      </c>
      <c r="H957" s="70">
        <f t="shared" si="1"/>
        <v>4</v>
      </c>
      <c r="I957" s="70">
        <f t="shared" si="2"/>
        <v>9</v>
      </c>
      <c r="J957" s="70">
        <f t="shared" si="3"/>
        <v>2025</v>
      </c>
      <c r="K957" s="70" t="str">
        <f t="shared" si="4"/>
        <v>09/2025</v>
      </c>
    </row>
    <row r="958" hidden="1">
      <c r="A958" s="26">
        <v>45904.0</v>
      </c>
      <c r="B958" s="28" t="s">
        <v>1514</v>
      </c>
      <c r="C958" s="28" t="s">
        <v>37</v>
      </c>
      <c r="D958" s="28" t="s">
        <v>1515</v>
      </c>
      <c r="E958" s="71">
        <v>3001.87</v>
      </c>
      <c r="F958" s="29" t="s">
        <v>1516</v>
      </c>
      <c r="G958" s="26">
        <v>45904.0</v>
      </c>
      <c r="H958" s="70">
        <f t="shared" si="1"/>
        <v>4</v>
      </c>
      <c r="I958" s="70">
        <f t="shared" si="2"/>
        <v>9</v>
      </c>
      <c r="J958" s="70">
        <f t="shared" si="3"/>
        <v>2025</v>
      </c>
      <c r="K958" s="70" t="str">
        <f t="shared" si="4"/>
        <v>09/2025</v>
      </c>
    </row>
    <row r="959" hidden="1">
      <c r="A959" s="26">
        <v>45905.0</v>
      </c>
      <c r="B959" s="28" t="s">
        <v>1523</v>
      </c>
      <c r="C959" s="28" t="s">
        <v>27</v>
      </c>
      <c r="D959" s="28" t="s">
        <v>1524</v>
      </c>
      <c r="E959" s="71">
        <v>2161.05</v>
      </c>
      <c r="F959" s="29" t="s">
        <v>1513</v>
      </c>
      <c r="G959" s="26">
        <v>45905.0</v>
      </c>
      <c r="H959" s="70">
        <f t="shared" si="1"/>
        <v>5</v>
      </c>
      <c r="I959" s="70">
        <f t="shared" si="2"/>
        <v>9</v>
      </c>
      <c r="J959" s="70">
        <f t="shared" si="3"/>
        <v>2025</v>
      </c>
      <c r="K959" s="70" t="str">
        <f t="shared" si="4"/>
        <v>09/2025</v>
      </c>
    </row>
    <row r="960" hidden="1">
      <c r="A960" s="26">
        <v>45905.0</v>
      </c>
      <c r="B960" s="28" t="s">
        <v>1511</v>
      </c>
      <c r="C960" s="29" t="s">
        <v>27</v>
      </c>
      <c r="D960" s="28" t="s">
        <v>1512</v>
      </c>
      <c r="E960" s="71">
        <v>806.18</v>
      </c>
      <c r="F960" s="29" t="s">
        <v>1513</v>
      </c>
      <c r="G960" s="26">
        <v>45905.0</v>
      </c>
      <c r="H960" s="70">
        <f t="shared" si="1"/>
        <v>5</v>
      </c>
      <c r="I960" s="70">
        <f t="shared" si="2"/>
        <v>9</v>
      </c>
      <c r="J960" s="70">
        <f t="shared" si="3"/>
        <v>2025</v>
      </c>
      <c r="K960" s="70" t="str">
        <f t="shared" si="4"/>
        <v>09/2025</v>
      </c>
    </row>
    <row r="961" hidden="1">
      <c r="A961" s="26">
        <v>45905.0</v>
      </c>
      <c r="B961" s="28" t="s">
        <v>1514</v>
      </c>
      <c r="C961" s="28" t="s">
        <v>37</v>
      </c>
      <c r="D961" s="28" t="s">
        <v>1515</v>
      </c>
      <c r="E961" s="71">
        <v>1987.83</v>
      </c>
      <c r="F961" s="29" t="s">
        <v>1516</v>
      </c>
      <c r="G961" s="26">
        <v>45905.0</v>
      </c>
      <c r="H961" s="70">
        <f t="shared" si="1"/>
        <v>5</v>
      </c>
      <c r="I961" s="70">
        <f t="shared" si="2"/>
        <v>9</v>
      </c>
      <c r="J961" s="70">
        <f t="shared" si="3"/>
        <v>2025</v>
      </c>
      <c r="K961" s="70" t="str">
        <f t="shared" si="4"/>
        <v>09/2025</v>
      </c>
    </row>
    <row r="962" hidden="1">
      <c r="A962" s="26">
        <v>45906.0</v>
      </c>
      <c r="B962" s="28" t="s">
        <v>1511</v>
      </c>
      <c r="C962" s="29" t="s">
        <v>27</v>
      </c>
      <c r="D962" s="28" t="s">
        <v>1512</v>
      </c>
      <c r="E962" s="71">
        <v>1217.54</v>
      </c>
      <c r="F962" s="29" t="s">
        <v>1513</v>
      </c>
      <c r="G962" s="26">
        <v>45906.0</v>
      </c>
      <c r="H962" s="70">
        <f t="shared" si="1"/>
        <v>6</v>
      </c>
      <c r="I962" s="70">
        <f t="shared" si="2"/>
        <v>9</v>
      </c>
      <c r="J962" s="70">
        <f t="shared" si="3"/>
        <v>2025</v>
      </c>
      <c r="K962" s="70" t="str">
        <f t="shared" si="4"/>
        <v>09/2025</v>
      </c>
    </row>
    <row r="963" hidden="1">
      <c r="A963" s="26">
        <v>45906.0</v>
      </c>
      <c r="B963" s="28" t="s">
        <v>1514</v>
      </c>
      <c r="C963" s="28" t="s">
        <v>37</v>
      </c>
      <c r="D963" s="28" t="s">
        <v>1515</v>
      </c>
      <c r="E963" s="71">
        <v>2010.23</v>
      </c>
      <c r="F963" s="29" t="s">
        <v>1516</v>
      </c>
      <c r="G963" s="26">
        <v>45906.0</v>
      </c>
      <c r="H963" s="70">
        <f t="shared" si="1"/>
        <v>6</v>
      </c>
      <c r="I963" s="70">
        <f t="shared" si="2"/>
        <v>9</v>
      </c>
      <c r="J963" s="70">
        <f t="shared" si="3"/>
        <v>2025</v>
      </c>
      <c r="K963" s="70" t="str">
        <f t="shared" si="4"/>
        <v>09/2025</v>
      </c>
    </row>
    <row r="964" hidden="1">
      <c r="A964" s="26">
        <v>45907.0</v>
      </c>
      <c r="B964" s="28" t="s">
        <v>1511</v>
      </c>
      <c r="C964" s="29" t="s">
        <v>27</v>
      </c>
      <c r="D964" s="28" t="s">
        <v>1512</v>
      </c>
      <c r="E964" s="71">
        <v>822.06</v>
      </c>
      <c r="F964" s="29" t="s">
        <v>1513</v>
      </c>
      <c r="G964" s="26">
        <v>45907.0</v>
      </c>
      <c r="H964" s="70">
        <f t="shared" si="1"/>
        <v>7</v>
      </c>
      <c r="I964" s="70">
        <f t="shared" si="2"/>
        <v>9</v>
      </c>
      <c r="J964" s="70">
        <f t="shared" si="3"/>
        <v>2025</v>
      </c>
      <c r="K964" s="70" t="str">
        <f t="shared" si="4"/>
        <v>09/2025</v>
      </c>
    </row>
    <row r="965" hidden="1">
      <c r="A965" s="26">
        <v>45907.0</v>
      </c>
      <c r="B965" s="28" t="s">
        <v>1514</v>
      </c>
      <c r="C965" s="28" t="s">
        <v>37</v>
      </c>
      <c r="D965" s="28" t="s">
        <v>1515</v>
      </c>
      <c r="E965" s="71">
        <v>1919.91</v>
      </c>
      <c r="F965" s="29" t="s">
        <v>1516</v>
      </c>
      <c r="G965" s="26">
        <v>45907.0</v>
      </c>
      <c r="H965" s="70">
        <f t="shared" si="1"/>
        <v>7</v>
      </c>
      <c r="I965" s="70">
        <f t="shared" si="2"/>
        <v>9</v>
      </c>
      <c r="J965" s="70">
        <f t="shared" si="3"/>
        <v>2025</v>
      </c>
      <c r="K965" s="70" t="str">
        <f t="shared" si="4"/>
        <v>09/2025</v>
      </c>
    </row>
    <row r="966" hidden="1">
      <c r="A966" s="26">
        <v>45908.0</v>
      </c>
      <c r="B966" s="28" t="s">
        <v>1523</v>
      </c>
      <c r="C966" s="28" t="s">
        <v>27</v>
      </c>
      <c r="D966" s="28" t="s">
        <v>1524</v>
      </c>
      <c r="E966" s="71">
        <v>6403.26</v>
      </c>
      <c r="F966" s="29" t="s">
        <v>1513</v>
      </c>
      <c r="G966" s="26">
        <v>45908.0</v>
      </c>
      <c r="H966" s="70">
        <f t="shared" si="1"/>
        <v>8</v>
      </c>
      <c r="I966" s="70">
        <f t="shared" si="2"/>
        <v>9</v>
      </c>
      <c r="J966" s="70">
        <f t="shared" si="3"/>
        <v>2025</v>
      </c>
      <c r="K966" s="70" t="str">
        <f t="shared" si="4"/>
        <v>09/2025</v>
      </c>
    </row>
    <row r="967" hidden="1">
      <c r="A967" s="26">
        <v>45908.0</v>
      </c>
      <c r="B967" s="28" t="s">
        <v>1511</v>
      </c>
      <c r="C967" s="29" t="s">
        <v>27</v>
      </c>
      <c r="D967" s="28" t="s">
        <v>1512</v>
      </c>
      <c r="E967" s="71">
        <v>555.6</v>
      </c>
      <c r="F967" s="29" t="s">
        <v>1513</v>
      </c>
      <c r="G967" s="26">
        <v>45908.0</v>
      </c>
      <c r="H967" s="70">
        <f t="shared" si="1"/>
        <v>8</v>
      </c>
      <c r="I967" s="70">
        <f t="shared" si="2"/>
        <v>9</v>
      </c>
      <c r="J967" s="70">
        <f t="shared" si="3"/>
        <v>2025</v>
      </c>
      <c r="K967" s="70" t="str">
        <f t="shared" si="4"/>
        <v>09/2025</v>
      </c>
    </row>
    <row r="968" hidden="1">
      <c r="A968" s="26">
        <v>45908.0</v>
      </c>
      <c r="B968" s="28" t="s">
        <v>1514</v>
      </c>
      <c r="C968" s="28" t="s">
        <v>37</v>
      </c>
      <c r="D968" s="28" t="s">
        <v>1515</v>
      </c>
      <c r="E968" s="71">
        <v>206.74</v>
      </c>
      <c r="F968" s="29" t="s">
        <v>1516</v>
      </c>
      <c r="G968" s="26">
        <v>45908.0</v>
      </c>
      <c r="H968" s="70">
        <f t="shared" si="1"/>
        <v>8</v>
      </c>
      <c r="I968" s="70">
        <f t="shared" si="2"/>
        <v>9</v>
      </c>
      <c r="J968" s="70">
        <f t="shared" si="3"/>
        <v>2025</v>
      </c>
      <c r="K968" s="70" t="str">
        <f t="shared" si="4"/>
        <v>09/2025</v>
      </c>
    </row>
    <row r="969" hidden="1">
      <c r="A969" s="9">
        <v>45908.0</v>
      </c>
      <c r="B969" s="11" t="s">
        <v>44</v>
      </c>
      <c r="C969" s="11" t="s">
        <v>27</v>
      </c>
      <c r="D969" s="11" t="s">
        <v>1535</v>
      </c>
      <c r="E969" s="69">
        <v>19.68</v>
      </c>
      <c r="F969" s="11" t="s">
        <v>1513</v>
      </c>
      <c r="G969" s="9">
        <v>45908.0</v>
      </c>
      <c r="H969" s="70">
        <f t="shared" si="1"/>
        <v>8</v>
      </c>
      <c r="I969" s="70">
        <f t="shared" si="2"/>
        <v>9</v>
      </c>
      <c r="J969" s="70">
        <f t="shared" si="3"/>
        <v>2025</v>
      </c>
      <c r="K969" s="70" t="str">
        <f t="shared" si="4"/>
        <v>09/2025</v>
      </c>
    </row>
    <row r="970" hidden="1">
      <c r="A970" s="26">
        <v>45909.0</v>
      </c>
      <c r="B970" s="28" t="s">
        <v>1511</v>
      </c>
      <c r="C970" s="29" t="s">
        <v>27</v>
      </c>
      <c r="D970" s="28" t="s">
        <v>1512</v>
      </c>
      <c r="E970" s="71">
        <v>470.84</v>
      </c>
      <c r="F970" s="29" t="s">
        <v>1513</v>
      </c>
      <c r="G970" s="26">
        <v>45909.0</v>
      </c>
      <c r="H970" s="70">
        <f t="shared" si="1"/>
        <v>9</v>
      </c>
      <c r="I970" s="70">
        <f t="shared" si="2"/>
        <v>9</v>
      </c>
      <c r="J970" s="70">
        <f t="shared" si="3"/>
        <v>2025</v>
      </c>
      <c r="K970" s="70" t="str">
        <f t="shared" si="4"/>
        <v>09/2025</v>
      </c>
    </row>
    <row r="971" hidden="1">
      <c r="A971" s="26">
        <v>45909.0</v>
      </c>
      <c r="B971" s="28" t="s">
        <v>1514</v>
      </c>
      <c r="C971" s="28" t="s">
        <v>37</v>
      </c>
      <c r="D971" s="28" t="s">
        <v>1515</v>
      </c>
      <c r="E971" s="71">
        <v>1579.52</v>
      </c>
      <c r="F971" s="29" t="s">
        <v>1516</v>
      </c>
      <c r="G971" s="26">
        <v>45909.0</v>
      </c>
      <c r="H971" s="70">
        <f t="shared" si="1"/>
        <v>9</v>
      </c>
      <c r="I971" s="70">
        <f t="shared" si="2"/>
        <v>9</v>
      </c>
      <c r="J971" s="70">
        <f t="shared" si="3"/>
        <v>2025</v>
      </c>
      <c r="K971" s="70" t="str">
        <f t="shared" si="4"/>
        <v>09/2025</v>
      </c>
    </row>
    <row r="972" hidden="1">
      <c r="A972" s="26">
        <v>45910.0</v>
      </c>
      <c r="B972" s="28" t="s">
        <v>1511</v>
      </c>
      <c r="C972" s="29" t="s">
        <v>27</v>
      </c>
      <c r="D972" s="28" t="s">
        <v>1512</v>
      </c>
      <c r="E972" s="71">
        <v>1209.01</v>
      </c>
      <c r="F972" s="29" t="s">
        <v>1513</v>
      </c>
      <c r="G972" s="26">
        <v>45910.0</v>
      </c>
      <c r="H972" s="70">
        <f t="shared" si="1"/>
        <v>10</v>
      </c>
      <c r="I972" s="70">
        <f t="shared" si="2"/>
        <v>9</v>
      </c>
      <c r="J972" s="70">
        <f t="shared" si="3"/>
        <v>2025</v>
      </c>
      <c r="K972" s="70" t="str">
        <f t="shared" si="4"/>
        <v>09/2025</v>
      </c>
    </row>
    <row r="973" hidden="1">
      <c r="A973" s="26">
        <v>45910.0</v>
      </c>
      <c r="B973" s="28" t="s">
        <v>1514</v>
      </c>
      <c r="C973" s="28" t="s">
        <v>37</v>
      </c>
      <c r="D973" s="28" t="s">
        <v>1515</v>
      </c>
      <c r="E973" s="71">
        <v>1054.05</v>
      </c>
      <c r="F973" s="29" t="s">
        <v>1516</v>
      </c>
      <c r="G973" s="26">
        <v>45910.0</v>
      </c>
      <c r="H973" s="70">
        <f t="shared" si="1"/>
        <v>10</v>
      </c>
      <c r="I973" s="70">
        <f t="shared" si="2"/>
        <v>9</v>
      </c>
      <c r="J973" s="70">
        <f t="shared" si="3"/>
        <v>2025</v>
      </c>
      <c r="K973" s="70" t="str">
        <f t="shared" si="4"/>
        <v>09/2025</v>
      </c>
    </row>
    <row r="974" hidden="1">
      <c r="A974" s="26">
        <v>45911.0</v>
      </c>
      <c r="B974" s="28" t="s">
        <v>1511</v>
      </c>
      <c r="C974" s="29" t="s">
        <v>27</v>
      </c>
      <c r="D974" s="28" t="s">
        <v>1512</v>
      </c>
      <c r="E974" s="71">
        <v>906.43</v>
      </c>
      <c r="F974" s="29" t="s">
        <v>1513</v>
      </c>
      <c r="G974" s="26">
        <v>45911.0</v>
      </c>
      <c r="H974" s="70">
        <f t="shared" si="1"/>
        <v>11</v>
      </c>
      <c r="I974" s="70">
        <f t="shared" si="2"/>
        <v>9</v>
      </c>
      <c r="J974" s="70">
        <f t="shared" si="3"/>
        <v>2025</v>
      </c>
      <c r="K974" s="70" t="str">
        <f t="shared" si="4"/>
        <v>09/2025</v>
      </c>
    </row>
    <row r="975" hidden="1">
      <c r="A975" s="26">
        <v>45911.0</v>
      </c>
      <c r="B975" s="28" t="s">
        <v>1514</v>
      </c>
      <c r="C975" s="28" t="s">
        <v>37</v>
      </c>
      <c r="D975" s="28" t="s">
        <v>1515</v>
      </c>
      <c r="E975" s="71">
        <v>1455.41</v>
      </c>
      <c r="F975" s="29" t="s">
        <v>1516</v>
      </c>
      <c r="G975" s="26">
        <v>45911.0</v>
      </c>
      <c r="H975" s="70">
        <f t="shared" si="1"/>
        <v>11</v>
      </c>
      <c r="I975" s="70">
        <f t="shared" si="2"/>
        <v>9</v>
      </c>
      <c r="J975" s="70">
        <f t="shared" si="3"/>
        <v>2025</v>
      </c>
      <c r="K975" s="70" t="str">
        <f t="shared" si="4"/>
        <v>09/2025</v>
      </c>
    </row>
    <row r="976" hidden="1">
      <c r="A976" s="26">
        <v>45912.0</v>
      </c>
      <c r="B976" s="28" t="s">
        <v>1511</v>
      </c>
      <c r="C976" s="29" t="s">
        <v>27</v>
      </c>
      <c r="D976" s="28" t="s">
        <v>1512</v>
      </c>
      <c r="E976" s="71">
        <v>1088.71</v>
      </c>
      <c r="F976" s="29" t="s">
        <v>1513</v>
      </c>
      <c r="G976" s="26">
        <v>45912.0</v>
      </c>
      <c r="H976" s="70">
        <f t="shared" si="1"/>
        <v>12</v>
      </c>
      <c r="I976" s="70">
        <f t="shared" si="2"/>
        <v>9</v>
      </c>
      <c r="J976" s="70">
        <f t="shared" si="3"/>
        <v>2025</v>
      </c>
      <c r="K976" s="70" t="str">
        <f t="shared" si="4"/>
        <v>09/2025</v>
      </c>
    </row>
    <row r="977" hidden="1">
      <c r="A977" s="26">
        <v>45912.0</v>
      </c>
      <c r="B977" s="28" t="s">
        <v>1514</v>
      </c>
      <c r="C977" s="28" t="s">
        <v>37</v>
      </c>
      <c r="D977" s="28" t="s">
        <v>1515</v>
      </c>
      <c r="E977" s="71">
        <v>255.72</v>
      </c>
      <c r="F977" s="29" t="s">
        <v>1516</v>
      </c>
      <c r="G977" s="26">
        <v>45912.0</v>
      </c>
      <c r="H977" s="70">
        <f t="shared" si="1"/>
        <v>12</v>
      </c>
      <c r="I977" s="70">
        <f t="shared" si="2"/>
        <v>9</v>
      </c>
      <c r="J977" s="70">
        <f t="shared" si="3"/>
        <v>2025</v>
      </c>
      <c r="K977" s="70" t="str">
        <f t="shared" si="4"/>
        <v>09/2025</v>
      </c>
    </row>
    <row r="978" hidden="1">
      <c r="A978" s="26">
        <v>45913.0</v>
      </c>
      <c r="B978" s="28" t="s">
        <v>1511</v>
      </c>
      <c r="C978" s="29" t="s">
        <v>27</v>
      </c>
      <c r="D978" s="28" t="s">
        <v>1512</v>
      </c>
      <c r="E978" s="71">
        <v>835.45</v>
      </c>
      <c r="F978" s="29" t="s">
        <v>1513</v>
      </c>
      <c r="G978" s="26">
        <v>45913.0</v>
      </c>
      <c r="H978" s="70">
        <f t="shared" si="1"/>
        <v>13</v>
      </c>
      <c r="I978" s="70">
        <f t="shared" si="2"/>
        <v>9</v>
      </c>
      <c r="J978" s="70">
        <f t="shared" si="3"/>
        <v>2025</v>
      </c>
      <c r="K978" s="70" t="str">
        <f t="shared" si="4"/>
        <v>09/2025</v>
      </c>
    </row>
    <row r="979" hidden="1">
      <c r="A979" s="26">
        <v>45913.0</v>
      </c>
      <c r="B979" s="28" t="s">
        <v>1514</v>
      </c>
      <c r="C979" s="28" t="s">
        <v>37</v>
      </c>
      <c r="D979" s="28" t="s">
        <v>1515</v>
      </c>
      <c r="E979" s="71">
        <v>2042.32</v>
      </c>
      <c r="F979" s="29" t="s">
        <v>1516</v>
      </c>
      <c r="G979" s="26">
        <v>45913.0</v>
      </c>
      <c r="H979" s="70">
        <f t="shared" si="1"/>
        <v>13</v>
      </c>
      <c r="I979" s="70">
        <f t="shared" si="2"/>
        <v>9</v>
      </c>
      <c r="J979" s="70">
        <f t="shared" si="3"/>
        <v>2025</v>
      </c>
      <c r="K979" s="70" t="str">
        <f t="shared" si="4"/>
        <v>09/2025</v>
      </c>
    </row>
    <row r="980" hidden="1">
      <c r="A980" s="26">
        <v>45914.0</v>
      </c>
      <c r="B980" s="28" t="s">
        <v>1511</v>
      </c>
      <c r="C980" s="29" t="s">
        <v>27</v>
      </c>
      <c r="D980" s="28" t="s">
        <v>1512</v>
      </c>
      <c r="E980" s="71">
        <v>816.16</v>
      </c>
      <c r="F980" s="29" t="s">
        <v>1513</v>
      </c>
      <c r="G980" s="26">
        <v>45914.0</v>
      </c>
      <c r="H980" s="70">
        <f t="shared" si="1"/>
        <v>14</v>
      </c>
      <c r="I980" s="70">
        <f t="shared" si="2"/>
        <v>9</v>
      </c>
      <c r="J980" s="70">
        <f t="shared" si="3"/>
        <v>2025</v>
      </c>
      <c r="K980" s="70" t="str">
        <f t="shared" si="4"/>
        <v>09/2025</v>
      </c>
    </row>
    <row r="981" hidden="1">
      <c r="A981" s="26">
        <v>45914.0</v>
      </c>
      <c r="B981" s="28" t="s">
        <v>1514</v>
      </c>
      <c r="C981" s="28" t="s">
        <v>37</v>
      </c>
      <c r="D981" s="28" t="s">
        <v>1515</v>
      </c>
      <c r="E981" s="71">
        <v>920.23</v>
      </c>
      <c r="F981" s="29" t="s">
        <v>1516</v>
      </c>
      <c r="G981" s="26">
        <v>45914.0</v>
      </c>
      <c r="H981" s="70">
        <f t="shared" si="1"/>
        <v>14</v>
      </c>
      <c r="I981" s="70">
        <f t="shared" si="2"/>
        <v>9</v>
      </c>
      <c r="J981" s="70">
        <f t="shared" si="3"/>
        <v>2025</v>
      </c>
      <c r="K981" s="70" t="str">
        <f t="shared" si="4"/>
        <v>09/2025</v>
      </c>
    </row>
    <row r="982" hidden="1">
      <c r="A982" s="26">
        <v>45915.0</v>
      </c>
      <c r="B982" s="28" t="s">
        <v>1511</v>
      </c>
      <c r="C982" s="29" t="s">
        <v>27</v>
      </c>
      <c r="D982" s="28" t="s">
        <v>1512</v>
      </c>
      <c r="E982" s="71">
        <v>496.4</v>
      </c>
      <c r="F982" s="29" t="s">
        <v>1513</v>
      </c>
      <c r="G982" s="26">
        <v>45915.0</v>
      </c>
      <c r="H982" s="70">
        <f t="shared" si="1"/>
        <v>15</v>
      </c>
      <c r="I982" s="70">
        <f t="shared" si="2"/>
        <v>9</v>
      </c>
      <c r="J982" s="70">
        <f t="shared" si="3"/>
        <v>2025</v>
      </c>
      <c r="K982" s="70" t="str">
        <f t="shared" si="4"/>
        <v>09/2025</v>
      </c>
    </row>
    <row r="983" hidden="1">
      <c r="A983" s="26">
        <v>45915.0</v>
      </c>
      <c r="B983" s="28" t="s">
        <v>1514</v>
      </c>
      <c r="C983" s="28" t="s">
        <v>37</v>
      </c>
      <c r="D983" s="28" t="s">
        <v>1515</v>
      </c>
      <c r="E983" s="71">
        <v>4154.4</v>
      </c>
      <c r="F983" s="29" t="s">
        <v>1516</v>
      </c>
      <c r="G983" s="26">
        <v>45915.0</v>
      </c>
      <c r="H983" s="70">
        <f t="shared" si="1"/>
        <v>15</v>
      </c>
      <c r="I983" s="70">
        <f t="shared" si="2"/>
        <v>9</v>
      </c>
      <c r="J983" s="70">
        <f t="shared" si="3"/>
        <v>2025</v>
      </c>
      <c r="K983" s="70" t="str">
        <f t="shared" si="4"/>
        <v>09/2025</v>
      </c>
    </row>
    <row r="984" hidden="1">
      <c r="A984" s="26">
        <v>45916.0</v>
      </c>
      <c r="B984" s="28" t="s">
        <v>1511</v>
      </c>
      <c r="C984" s="29" t="s">
        <v>27</v>
      </c>
      <c r="D984" s="28" t="s">
        <v>1512</v>
      </c>
      <c r="E984" s="71">
        <v>184.96</v>
      </c>
      <c r="F984" s="29" t="s">
        <v>1513</v>
      </c>
      <c r="G984" s="26">
        <v>45916.0</v>
      </c>
      <c r="H984" s="70">
        <f t="shared" si="1"/>
        <v>16</v>
      </c>
      <c r="I984" s="70">
        <f t="shared" si="2"/>
        <v>9</v>
      </c>
      <c r="J984" s="70">
        <f t="shared" si="3"/>
        <v>2025</v>
      </c>
      <c r="K984" s="70" t="str">
        <f t="shared" si="4"/>
        <v>09/2025</v>
      </c>
    </row>
    <row r="985" hidden="1">
      <c r="A985" s="9">
        <v>45916.0</v>
      </c>
      <c r="B985" s="15" t="s">
        <v>1514</v>
      </c>
      <c r="C985" s="15" t="s">
        <v>37</v>
      </c>
      <c r="D985" s="15" t="s">
        <v>1515</v>
      </c>
      <c r="E985" s="69">
        <v>868.47</v>
      </c>
      <c r="F985" s="11" t="s">
        <v>1516</v>
      </c>
      <c r="G985" s="73">
        <v>45916.0</v>
      </c>
      <c r="H985" s="70">
        <f t="shared" si="1"/>
        <v>16</v>
      </c>
      <c r="I985" s="70">
        <f t="shared" si="2"/>
        <v>9</v>
      </c>
      <c r="J985" s="70">
        <f t="shared" si="3"/>
        <v>2025</v>
      </c>
      <c r="K985" s="70" t="str">
        <f t="shared" si="4"/>
        <v>09/2025</v>
      </c>
    </row>
    <row r="986" hidden="1">
      <c r="A986" s="26">
        <v>45917.0</v>
      </c>
      <c r="B986" s="28" t="s">
        <v>1511</v>
      </c>
      <c r="C986" s="29" t="s">
        <v>27</v>
      </c>
      <c r="D986" s="28" t="s">
        <v>1512</v>
      </c>
      <c r="E986" s="71">
        <v>951.89</v>
      </c>
      <c r="F986" s="29" t="s">
        <v>1513</v>
      </c>
      <c r="G986" s="26">
        <v>45917.0</v>
      </c>
      <c r="H986" s="70">
        <f t="shared" si="1"/>
        <v>17</v>
      </c>
      <c r="I986" s="70">
        <f t="shared" si="2"/>
        <v>9</v>
      </c>
      <c r="J986" s="70">
        <f t="shared" si="3"/>
        <v>2025</v>
      </c>
      <c r="K986" s="70" t="str">
        <f t="shared" si="4"/>
        <v>09/2025</v>
      </c>
    </row>
    <row r="987" hidden="1">
      <c r="A987" s="9">
        <v>45917.0</v>
      </c>
      <c r="B987" s="15" t="s">
        <v>1514</v>
      </c>
      <c r="C987" s="15" t="s">
        <v>37</v>
      </c>
      <c r="D987" s="15" t="s">
        <v>1515</v>
      </c>
      <c r="E987" s="69">
        <v>2530.91</v>
      </c>
      <c r="F987" s="11" t="s">
        <v>1516</v>
      </c>
      <c r="G987" s="73">
        <v>45917.0</v>
      </c>
      <c r="H987" s="70">
        <f t="shared" si="1"/>
        <v>17</v>
      </c>
      <c r="I987" s="70">
        <f t="shared" si="2"/>
        <v>9</v>
      </c>
      <c r="J987" s="70">
        <f t="shared" si="3"/>
        <v>2025</v>
      </c>
      <c r="K987" s="70" t="str">
        <f t="shared" si="4"/>
        <v>09/2025</v>
      </c>
    </row>
    <row r="988" hidden="1">
      <c r="A988" s="26">
        <v>45918.0</v>
      </c>
      <c r="B988" s="28" t="s">
        <v>1511</v>
      </c>
      <c r="C988" s="29" t="s">
        <v>27</v>
      </c>
      <c r="D988" s="28" t="s">
        <v>1512</v>
      </c>
      <c r="E988" s="71">
        <v>521.84</v>
      </c>
      <c r="F988" s="29" t="s">
        <v>1513</v>
      </c>
      <c r="G988" s="26">
        <v>45918.0</v>
      </c>
      <c r="H988" s="70">
        <f t="shared" si="1"/>
        <v>18</v>
      </c>
      <c r="I988" s="70">
        <f t="shared" si="2"/>
        <v>9</v>
      </c>
      <c r="J988" s="70">
        <f t="shared" si="3"/>
        <v>2025</v>
      </c>
      <c r="K988" s="70" t="str">
        <f t="shared" si="4"/>
        <v>09/2025</v>
      </c>
    </row>
    <row r="989" hidden="1">
      <c r="A989" s="9">
        <v>45918.0</v>
      </c>
      <c r="B989" s="15" t="s">
        <v>1514</v>
      </c>
      <c r="C989" s="15" t="s">
        <v>37</v>
      </c>
      <c r="D989" s="15" t="s">
        <v>1515</v>
      </c>
      <c r="E989" s="69">
        <v>2067.87</v>
      </c>
      <c r="F989" s="11" t="s">
        <v>1516</v>
      </c>
      <c r="G989" s="73">
        <v>45918.0</v>
      </c>
      <c r="H989" s="70">
        <f t="shared" si="1"/>
        <v>18</v>
      </c>
      <c r="I989" s="70">
        <f t="shared" si="2"/>
        <v>9</v>
      </c>
      <c r="J989" s="70">
        <f t="shared" si="3"/>
        <v>2025</v>
      </c>
      <c r="K989" s="70" t="str">
        <f t="shared" si="4"/>
        <v>09/2025</v>
      </c>
    </row>
    <row r="990" hidden="1">
      <c r="A990" s="26">
        <v>45919.0</v>
      </c>
      <c r="B990" s="28" t="s">
        <v>1523</v>
      </c>
      <c r="C990" s="28" t="s">
        <v>27</v>
      </c>
      <c r="D990" s="28" t="s">
        <v>1524</v>
      </c>
      <c r="E990" s="71">
        <v>2174.85</v>
      </c>
      <c r="F990" s="29" t="s">
        <v>1513</v>
      </c>
      <c r="G990" s="26">
        <v>45919.0</v>
      </c>
      <c r="H990" s="70">
        <f t="shared" si="1"/>
        <v>19</v>
      </c>
      <c r="I990" s="70">
        <f t="shared" si="2"/>
        <v>9</v>
      </c>
      <c r="J990" s="70">
        <f t="shared" si="3"/>
        <v>2025</v>
      </c>
      <c r="K990" s="70" t="str">
        <f t="shared" si="4"/>
        <v>09/2025</v>
      </c>
    </row>
    <row r="991" hidden="1">
      <c r="A991" s="26">
        <v>45919.0</v>
      </c>
      <c r="B991" s="28" t="s">
        <v>1511</v>
      </c>
      <c r="C991" s="29" t="s">
        <v>27</v>
      </c>
      <c r="D991" s="28" t="s">
        <v>1512</v>
      </c>
      <c r="E991" s="71">
        <v>1220.26</v>
      </c>
      <c r="F991" s="29" t="s">
        <v>1513</v>
      </c>
      <c r="G991" s="26">
        <v>45919.0</v>
      </c>
      <c r="H991" s="70">
        <f t="shared" si="1"/>
        <v>19</v>
      </c>
      <c r="I991" s="70">
        <f t="shared" si="2"/>
        <v>9</v>
      </c>
      <c r="J991" s="70">
        <f t="shared" si="3"/>
        <v>2025</v>
      </c>
      <c r="K991" s="70" t="str">
        <f t="shared" si="4"/>
        <v>09/2025</v>
      </c>
    </row>
    <row r="992" hidden="1">
      <c r="A992" s="9">
        <v>45919.0</v>
      </c>
      <c r="B992" s="15" t="s">
        <v>1514</v>
      </c>
      <c r="C992" s="15" t="s">
        <v>37</v>
      </c>
      <c r="D992" s="15" t="s">
        <v>1515</v>
      </c>
      <c r="E992" s="69">
        <v>1472.91</v>
      </c>
      <c r="F992" s="11" t="s">
        <v>1516</v>
      </c>
      <c r="G992" s="73">
        <v>45919.0</v>
      </c>
      <c r="H992" s="70">
        <f t="shared" si="1"/>
        <v>19</v>
      </c>
      <c r="I992" s="70">
        <f t="shared" si="2"/>
        <v>9</v>
      </c>
      <c r="J992" s="70">
        <f t="shared" si="3"/>
        <v>2025</v>
      </c>
      <c r="K992" s="70" t="str">
        <f t="shared" si="4"/>
        <v>09/2025</v>
      </c>
    </row>
    <row r="993" hidden="1">
      <c r="A993" s="26">
        <v>45920.0</v>
      </c>
      <c r="B993" s="28" t="s">
        <v>1511</v>
      </c>
      <c r="C993" s="29" t="s">
        <v>27</v>
      </c>
      <c r="D993" s="28" t="s">
        <v>1512</v>
      </c>
      <c r="E993" s="71">
        <v>684.76</v>
      </c>
      <c r="F993" s="29" t="s">
        <v>1513</v>
      </c>
      <c r="G993" s="26">
        <v>45920.0</v>
      </c>
      <c r="H993" s="70">
        <f t="shared" si="1"/>
        <v>20</v>
      </c>
      <c r="I993" s="70">
        <f t="shared" si="2"/>
        <v>9</v>
      </c>
      <c r="J993" s="70">
        <f t="shared" si="3"/>
        <v>2025</v>
      </c>
      <c r="K993" s="70" t="str">
        <f t="shared" si="4"/>
        <v>09/2025</v>
      </c>
    </row>
    <row r="994" hidden="1">
      <c r="A994" s="9">
        <v>45920.0</v>
      </c>
      <c r="B994" s="15" t="s">
        <v>1514</v>
      </c>
      <c r="C994" s="15" t="s">
        <v>37</v>
      </c>
      <c r="D994" s="15" t="s">
        <v>1515</v>
      </c>
      <c r="E994" s="69">
        <v>2482.77</v>
      </c>
      <c r="F994" s="11" t="s">
        <v>1516</v>
      </c>
      <c r="G994" s="73">
        <v>45920.0</v>
      </c>
      <c r="H994" s="70">
        <f t="shared" si="1"/>
        <v>20</v>
      </c>
      <c r="I994" s="70">
        <f t="shared" si="2"/>
        <v>9</v>
      </c>
      <c r="J994" s="70">
        <f t="shared" si="3"/>
        <v>2025</v>
      </c>
      <c r="K994" s="70" t="str">
        <f t="shared" si="4"/>
        <v>09/2025</v>
      </c>
    </row>
    <row r="995" hidden="1">
      <c r="A995" s="26">
        <v>45921.0</v>
      </c>
      <c r="B995" s="28" t="s">
        <v>1511</v>
      </c>
      <c r="C995" s="29" t="s">
        <v>27</v>
      </c>
      <c r="D995" s="28" t="s">
        <v>1512</v>
      </c>
      <c r="E995" s="71">
        <v>427.19</v>
      </c>
      <c r="F995" s="29" t="s">
        <v>1513</v>
      </c>
      <c r="G995" s="26">
        <v>45921.0</v>
      </c>
      <c r="H995" s="70">
        <f t="shared" si="1"/>
        <v>21</v>
      </c>
      <c r="I995" s="70">
        <f t="shared" si="2"/>
        <v>9</v>
      </c>
      <c r="J995" s="70">
        <f t="shared" si="3"/>
        <v>2025</v>
      </c>
      <c r="K995" s="70" t="str">
        <f t="shared" si="4"/>
        <v>09/2025</v>
      </c>
    </row>
    <row r="996" hidden="1">
      <c r="A996" s="9">
        <v>45921.0</v>
      </c>
      <c r="B996" s="15" t="s">
        <v>1514</v>
      </c>
      <c r="C996" s="15" t="s">
        <v>37</v>
      </c>
      <c r="D996" s="15" t="s">
        <v>1515</v>
      </c>
      <c r="E996" s="69">
        <v>1714.95</v>
      </c>
      <c r="F996" s="11" t="s">
        <v>1516</v>
      </c>
      <c r="G996" s="73">
        <v>45921.0</v>
      </c>
      <c r="H996" s="70">
        <f t="shared" si="1"/>
        <v>21</v>
      </c>
      <c r="I996" s="70">
        <f t="shared" si="2"/>
        <v>9</v>
      </c>
      <c r="J996" s="70">
        <f t="shared" si="3"/>
        <v>2025</v>
      </c>
      <c r="K996" s="70" t="str">
        <f t="shared" si="4"/>
        <v>09/2025</v>
      </c>
    </row>
    <row r="997" hidden="1">
      <c r="A997" s="26">
        <v>45922.0</v>
      </c>
      <c r="B997" s="28" t="s">
        <v>1523</v>
      </c>
      <c r="C997" s="28" t="s">
        <v>27</v>
      </c>
      <c r="D997" s="28" t="s">
        <v>1524</v>
      </c>
      <c r="E997" s="71">
        <v>7544.73</v>
      </c>
      <c r="F997" s="29" t="s">
        <v>1513</v>
      </c>
      <c r="G997" s="26">
        <v>45922.0</v>
      </c>
      <c r="H997" s="70">
        <f t="shared" si="1"/>
        <v>22</v>
      </c>
      <c r="I997" s="70">
        <f t="shared" si="2"/>
        <v>9</v>
      </c>
      <c r="J997" s="70">
        <f t="shared" si="3"/>
        <v>2025</v>
      </c>
      <c r="K997" s="70" t="str">
        <f t="shared" si="4"/>
        <v>09/2025</v>
      </c>
    </row>
    <row r="998" hidden="1">
      <c r="A998" s="26">
        <v>45922.0</v>
      </c>
      <c r="B998" s="28" t="s">
        <v>1511</v>
      </c>
      <c r="C998" s="29" t="s">
        <v>27</v>
      </c>
      <c r="D998" s="28" t="s">
        <v>1512</v>
      </c>
      <c r="E998" s="71">
        <v>531.66</v>
      </c>
      <c r="F998" s="29" t="s">
        <v>1513</v>
      </c>
      <c r="G998" s="26">
        <v>45922.0</v>
      </c>
      <c r="H998" s="70">
        <f t="shared" si="1"/>
        <v>22</v>
      </c>
      <c r="I998" s="70">
        <f t="shared" si="2"/>
        <v>9</v>
      </c>
      <c r="J998" s="70">
        <f t="shared" si="3"/>
        <v>2025</v>
      </c>
      <c r="K998" s="70" t="str">
        <f t="shared" si="4"/>
        <v>09/2025</v>
      </c>
    </row>
    <row r="999" hidden="1">
      <c r="A999" s="9">
        <v>45922.0</v>
      </c>
      <c r="B999" s="15" t="s">
        <v>1514</v>
      </c>
      <c r="C999" s="15" t="s">
        <v>37</v>
      </c>
      <c r="D999" s="15" t="s">
        <v>1515</v>
      </c>
      <c r="E999" s="69">
        <v>1453.58</v>
      </c>
      <c r="F999" s="11" t="s">
        <v>1516</v>
      </c>
      <c r="G999" s="73">
        <v>45922.0</v>
      </c>
      <c r="H999" s="70">
        <f t="shared" si="1"/>
        <v>22</v>
      </c>
      <c r="I999" s="70">
        <f t="shared" si="2"/>
        <v>9</v>
      </c>
      <c r="J999" s="70">
        <f t="shared" si="3"/>
        <v>2025</v>
      </c>
      <c r="K999" s="70" t="str">
        <f t="shared" si="4"/>
        <v>09/2025</v>
      </c>
    </row>
    <row r="1000" hidden="1">
      <c r="A1000" s="26">
        <v>45923.0</v>
      </c>
      <c r="B1000" s="28" t="s">
        <v>1511</v>
      </c>
      <c r="C1000" s="29" t="s">
        <v>27</v>
      </c>
      <c r="D1000" s="28" t="s">
        <v>1512</v>
      </c>
      <c r="E1000" s="71">
        <v>310.06</v>
      </c>
      <c r="F1000" s="29" t="s">
        <v>1513</v>
      </c>
      <c r="G1000" s="9">
        <v>45923.0</v>
      </c>
      <c r="H1000" s="70">
        <f t="shared" si="1"/>
        <v>23</v>
      </c>
      <c r="I1000" s="70">
        <f t="shared" si="2"/>
        <v>9</v>
      </c>
      <c r="J1000" s="70">
        <f t="shared" si="3"/>
        <v>2025</v>
      </c>
      <c r="K1000" s="70" t="str">
        <f t="shared" si="4"/>
        <v>09/2025</v>
      </c>
    </row>
    <row r="1001" hidden="1">
      <c r="A1001" s="9">
        <v>45923.0</v>
      </c>
      <c r="B1001" s="15" t="s">
        <v>1514</v>
      </c>
      <c r="C1001" s="15" t="s">
        <v>37</v>
      </c>
      <c r="D1001" s="15" t="s">
        <v>1515</v>
      </c>
      <c r="E1001" s="69">
        <v>498.78</v>
      </c>
      <c r="F1001" s="11" t="s">
        <v>1516</v>
      </c>
      <c r="G1001" s="9">
        <v>45923.0</v>
      </c>
      <c r="H1001" s="70">
        <f t="shared" si="1"/>
        <v>23</v>
      </c>
      <c r="I1001" s="70">
        <f t="shared" si="2"/>
        <v>9</v>
      </c>
      <c r="J1001" s="70">
        <f t="shared" si="3"/>
        <v>2025</v>
      </c>
      <c r="K1001" s="70" t="str">
        <f t="shared" si="4"/>
        <v>09/2025</v>
      </c>
    </row>
    <row r="1002" hidden="1">
      <c r="A1002" s="26">
        <v>45924.0</v>
      </c>
      <c r="B1002" s="28" t="s">
        <v>1511</v>
      </c>
      <c r="C1002" s="29" t="s">
        <v>27</v>
      </c>
      <c r="D1002" s="28" t="s">
        <v>1512</v>
      </c>
      <c r="E1002" s="71">
        <v>872.46</v>
      </c>
      <c r="F1002" s="29" t="s">
        <v>1513</v>
      </c>
      <c r="G1002" s="9">
        <v>45924.0</v>
      </c>
      <c r="H1002" s="70">
        <f t="shared" si="1"/>
        <v>24</v>
      </c>
      <c r="I1002" s="70">
        <f t="shared" si="2"/>
        <v>9</v>
      </c>
      <c r="J1002" s="70">
        <f t="shared" si="3"/>
        <v>2025</v>
      </c>
      <c r="K1002" s="70" t="str">
        <f t="shared" si="4"/>
        <v>09/2025</v>
      </c>
    </row>
    <row r="1003" hidden="1">
      <c r="A1003" s="9">
        <v>45924.0</v>
      </c>
      <c r="B1003" s="15" t="s">
        <v>1514</v>
      </c>
      <c r="C1003" s="15" t="s">
        <v>37</v>
      </c>
      <c r="D1003" s="15" t="s">
        <v>1515</v>
      </c>
      <c r="E1003" s="69">
        <v>2165.92</v>
      </c>
      <c r="F1003" s="11" t="s">
        <v>1516</v>
      </c>
      <c r="G1003" s="9">
        <v>45924.0</v>
      </c>
      <c r="H1003" s="70">
        <f t="shared" si="1"/>
        <v>24</v>
      </c>
      <c r="I1003" s="70">
        <f t="shared" si="2"/>
        <v>9</v>
      </c>
      <c r="J1003" s="70">
        <f t="shared" si="3"/>
        <v>2025</v>
      </c>
      <c r="K1003" s="70" t="str">
        <f t="shared" si="4"/>
        <v>09/2025</v>
      </c>
    </row>
    <row r="1004" hidden="1">
      <c r="A1004" s="26">
        <v>45925.0</v>
      </c>
      <c r="B1004" s="28" t="s">
        <v>1511</v>
      </c>
      <c r="C1004" s="29" t="s">
        <v>27</v>
      </c>
      <c r="D1004" s="28" t="s">
        <v>1512</v>
      </c>
      <c r="E1004" s="71">
        <v>825.57</v>
      </c>
      <c r="F1004" s="29" t="s">
        <v>1513</v>
      </c>
      <c r="G1004" s="9">
        <v>45925.0</v>
      </c>
      <c r="H1004" s="70">
        <f t="shared" si="1"/>
        <v>25</v>
      </c>
      <c r="I1004" s="70">
        <f t="shared" si="2"/>
        <v>9</v>
      </c>
      <c r="J1004" s="70">
        <f t="shared" si="3"/>
        <v>2025</v>
      </c>
      <c r="K1004" s="70" t="str">
        <f t="shared" si="4"/>
        <v>09/2025</v>
      </c>
    </row>
    <row r="1005" hidden="1">
      <c r="A1005" s="26">
        <v>45925.0</v>
      </c>
      <c r="B1005" s="28" t="s">
        <v>1514</v>
      </c>
      <c r="C1005" s="28" t="s">
        <v>37</v>
      </c>
      <c r="D1005" s="28" t="s">
        <v>1515</v>
      </c>
      <c r="E1005" s="71">
        <v>2214.28</v>
      </c>
      <c r="F1005" s="11" t="s">
        <v>1516</v>
      </c>
      <c r="G1005" s="9">
        <v>45925.0</v>
      </c>
      <c r="H1005" s="70">
        <f t="shared" si="1"/>
        <v>25</v>
      </c>
      <c r="I1005" s="70">
        <f t="shared" si="2"/>
        <v>9</v>
      </c>
      <c r="J1005" s="70">
        <f t="shared" si="3"/>
        <v>2025</v>
      </c>
      <c r="K1005" s="70" t="str">
        <f t="shared" si="4"/>
        <v>09/2025</v>
      </c>
    </row>
    <row r="1006" hidden="1">
      <c r="A1006" s="26">
        <v>45926.0</v>
      </c>
      <c r="B1006" s="28" t="s">
        <v>1511</v>
      </c>
      <c r="C1006" s="29" t="s">
        <v>27</v>
      </c>
      <c r="D1006" s="28" t="s">
        <v>1512</v>
      </c>
      <c r="E1006" s="71">
        <v>981.45</v>
      </c>
      <c r="F1006" s="29" t="s">
        <v>1513</v>
      </c>
      <c r="G1006" s="9">
        <v>45926.0</v>
      </c>
      <c r="H1006" s="70">
        <f t="shared" si="1"/>
        <v>26</v>
      </c>
      <c r="I1006" s="70">
        <f t="shared" si="2"/>
        <v>9</v>
      </c>
      <c r="J1006" s="70">
        <f t="shared" si="3"/>
        <v>2025</v>
      </c>
      <c r="K1006" s="70" t="str">
        <f t="shared" si="4"/>
        <v>09/2025</v>
      </c>
    </row>
    <row r="1007" hidden="1">
      <c r="A1007" s="26">
        <v>45926.0</v>
      </c>
      <c r="B1007" s="28" t="s">
        <v>1514</v>
      </c>
      <c r="C1007" s="28" t="s">
        <v>37</v>
      </c>
      <c r="D1007" s="28" t="s">
        <v>1515</v>
      </c>
      <c r="E1007" s="71">
        <v>2383.9</v>
      </c>
      <c r="F1007" s="11" t="s">
        <v>1516</v>
      </c>
      <c r="G1007" s="9">
        <v>45926.0</v>
      </c>
      <c r="H1007" s="70">
        <f t="shared" si="1"/>
        <v>26</v>
      </c>
      <c r="I1007" s="70">
        <f t="shared" si="2"/>
        <v>9</v>
      </c>
      <c r="J1007" s="70">
        <f t="shared" si="3"/>
        <v>2025</v>
      </c>
      <c r="K1007" s="70" t="str">
        <f t="shared" si="4"/>
        <v>09/2025</v>
      </c>
    </row>
    <row r="1008" hidden="1">
      <c r="A1008" s="26">
        <v>45927.0</v>
      </c>
      <c r="B1008" s="28" t="s">
        <v>1511</v>
      </c>
      <c r="C1008" s="29" t="s">
        <v>27</v>
      </c>
      <c r="D1008" s="28" t="s">
        <v>1512</v>
      </c>
      <c r="E1008" s="71">
        <v>912.17</v>
      </c>
      <c r="F1008" s="29" t="s">
        <v>1513</v>
      </c>
      <c r="G1008" s="9">
        <v>45927.0</v>
      </c>
      <c r="H1008" s="70">
        <f t="shared" si="1"/>
        <v>27</v>
      </c>
      <c r="I1008" s="70">
        <f t="shared" si="2"/>
        <v>9</v>
      </c>
      <c r="J1008" s="70">
        <f t="shared" si="3"/>
        <v>2025</v>
      </c>
      <c r="K1008" s="70" t="str">
        <f t="shared" si="4"/>
        <v>09/2025</v>
      </c>
    </row>
    <row r="1009" hidden="1">
      <c r="A1009" s="26">
        <v>45927.0</v>
      </c>
      <c r="B1009" s="28" t="s">
        <v>1514</v>
      </c>
      <c r="C1009" s="28" t="s">
        <v>37</v>
      </c>
      <c r="D1009" s="28" t="s">
        <v>1515</v>
      </c>
      <c r="E1009" s="71">
        <v>2003.63</v>
      </c>
      <c r="F1009" s="11" t="s">
        <v>1516</v>
      </c>
      <c r="G1009" s="9">
        <v>45927.0</v>
      </c>
      <c r="H1009" s="70">
        <f t="shared" si="1"/>
        <v>27</v>
      </c>
      <c r="I1009" s="70">
        <f t="shared" si="2"/>
        <v>9</v>
      </c>
      <c r="J1009" s="70">
        <f t="shared" si="3"/>
        <v>2025</v>
      </c>
      <c r="K1009" s="70" t="str">
        <f t="shared" si="4"/>
        <v>09/2025</v>
      </c>
    </row>
    <row r="1010" hidden="1">
      <c r="A1010" s="26">
        <v>45928.0</v>
      </c>
      <c r="B1010" s="28" t="s">
        <v>1511</v>
      </c>
      <c r="C1010" s="29" t="s">
        <v>27</v>
      </c>
      <c r="D1010" s="28" t="s">
        <v>1512</v>
      </c>
      <c r="E1010" s="71">
        <v>593.67</v>
      </c>
      <c r="F1010" s="29" t="s">
        <v>1513</v>
      </c>
      <c r="G1010" s="9">
        <v>45928.0</v>
      </c>
      <c r="H1010" s="70">
        <f t="shared" si="1"/>
        <v>28</v>
      </c>
      <c r="I1010" s="70">
        <f t="shared" si="2"/>
        <v>9</v>
      </c>
      <c r="J1010" s="70">
        <f t="shared" si="3"/>
        <v>2025</v>
      </c>
      <c r="K1010" s="70" t="str">
        <f t="shared" si="4"/>
        <v>09/2025</v>
      </c>
    </row>
    <row r="1011" hidden="1">
      <c r="A1011" s="26">
        <v>45928.0</v>
      </c>
      <c r="B1011" s="28" t="s">
        <v>1514</v>
      </c>
      <c r="C1011" s="28" t="s">
        <v>37</v>
      </c>
      <c r="D1011" s="28" t="s">
        <v>1515</v>
      </c>
      <c r="E1011" s="71">
        <v>1281.08</v>
      </c>
      <c r="F1011" s="11" t="s">
        <v>1516</v>
      </c>
      <c r="G1011" s="9">
        <v>45928.0</v>
      </c>
      <c r="H1011" s="70">
        <f t="shared" si="1"/>
        <v>28</v>
      </c>
      <c r="I1011" s="70">
        <f t="shared" si="2"/>
        <v>9</v>
      </c>
      <c r="J1011" s="70">
        <f t="shared" si="3"/>
        <v>2025</v>
      </c>
      <c r="K1011" s="70" t="str">
        <f t="shared" si="4"/>
        <v>09/2025</v>
      </c>
    </row>
    <row r="1012" hidden="1">
      <c r="A1012" s="26">
        <v>45929.0</v>
      </c>
      <c r="B1012" s="28" t="s">
        <v>1511</v>
      </c>
      <c r="C1012" s="29" t="s">
        <v>27</v>
      </c>
      <c r="D1012" s="28" t="s">
        <v>1512</v>
      </c>
      <c r="E1012" s="71">
        <v>334.88</v>
      </c>
      <c r="F1012" s="29" t="s">
        <v>1513</v>
      </c>
      <c r="G1012" s="9">
        <v>45929.0</v>
      </c>
      <c r="H1012" s="70">
        <f t="shared" si="1"/>
        <v>29</v>
      </c>
      <c r="I1012" s="70">
        <f t="shared" si="2"/>
        <v>9</v>
      </c>
      <c r="J1012" s="70">
        <f t="shared" si="3"/>
        <v>2025</v>
      </c>
      <c r="K1012" s="70" t="str">
        <f t="shared" si="4"/>
        <v>09/2025</v>
      </c>
    </row>
    <row r="1013" hidden="1">
      <c r="A1013" s="26">
        <v>45929.0</v>
      </c>
      <c r="B1013" s="28" t="s">
        <v>1514</v>
      </c>
      <c r="C1013" s="28" t="s">
        <v>37</v>
      </c>
      <c r="D1013" s="28" t="s">
        <v>1515</v>
      </c>
      <c r="E1013" s="71">
        <v>346.74</v>
      </c>
      <c r="F1013" s="11" t="s">
        <v>1516</v>
      </c>
      <c r="G1013" s="9">
        <v>45929.0</v>
      </c>
      <c r="H1013" s="70">
        <f t="shared" si="1"/>
        <v>29</v>
      </c>
      <c r="I1013" s="70">
        <f t="shared" si="2"/>
        <v>9</v>
      </c>
      <c r="J1013" s="70">
        <f t="shared" si="3"/>
        <v>2025</v>
      </c>
      <c r="K1013" s="70" t="str">
        <f t="shared" si="4"/>
        <v>09/2025</v>
      </c>
    </row>
    <row r="1014" hidden="1">
      <c r="A1014" s="26">
        <v>45930.0</v>
      </c>
      <c r="B1014" s="28" t="s">
        <v>1519</v>
      </c>
      <c r="C1014" s="28" t="s">
        <v>27</v>
      </c>
      <c r="D1014" s="28" t="s">
        <v>1520</v>
      </c>
      <c r="E1014" s="71">
        <v>17380.17</v>
      </c>
      <c r="F1014" s="29" t="s">
        <v>1513</v>
      </c>
      <c r="G1014" s="26">
        <v>45930.0</v>
      </c>
      <c r="H1014" s="70">
        <f t="shared" si="1"/>
        <v>30</v>
      </c>
      <c r="I1014" s="70">
        <f t="shared" si="2"/>
        <v>9</v>
      </c>
      <c r="J1014" s="70">
        <f t="shared" si="3"/>
        <v>2025</v>
      </c>
      <c r="K1014" s="70" t="str">
        <f t="shared" si="4"/>
        <v>09/2025</v>
      </c>
    </row>
    <row r="1015" hidden="1">
      <c r="A1015" s="26">
        <v>45930.0</v>
      </c>
      <c r="B1015" s="28" t="s">
        <v>1511</v>
      </c>
      <c r="C1015" s="29" t="s">
        <v>27</v>
      </c>
      <c r="D1015" s="28" t="s">
        <v>1512</v>
      </c>
      <c r="E1015" s="71">
        <v>651.93</v>
      </c>
      <c r="F1015" s="29" t="s">
        <v>1513</v>
      </c>
      <c r="G1015" s="9">
        <v>45930.0</v>
      </c>
      <c r="H1015" s="70">
        <f t="shared" si="1"/>
        <v>30</v>
      </c>
      <c r="I1015" s="70">
        <f t="shared" si="2"/>
        <v>9</v>
      </c>
      <c r="J1015" s="70">
        <f t="shared" si="3"/>
        <v>2025</v>
      </c>
      <c r="K1015" s="70" t="str">
        <f t="shared" si="4"/>
        <v>09/2025</v>
      </c>
    </row>
    <row r="1016" hidden="1">
      <c r="A1016" s="26">
        <v>45930.0</v>
      </c>
      <c r="B1016" s="28" t="s">
        <v>1514</v>
      </c>
      <c r="C1016" s="28" t="s">
        <v>37</v>
      </c>
      <c r="D1016" s="28" t="s">
        <v>1515</v>
      </c>
      <c r="E1016" s="71">
        <v>1713.57</v>
      </c>
      <c r="F1016" s="29" t="s">
        <v>1516</v>
      </c>
      <c r="G1016" s="9">
        <v>45930.0</v>
      </c>
      <c r="H1016" s="70">
        <f t="shared" si="1"/>
        <v>30</v>
      </c>
      <c r="I1016" s="70">
        <f t="shared" si="2"/>
        <v>9</v>
      </c>
      <c r="J1016" s="70">
        <f t="shared" si="3"/>
        <v>2025</v>
      </c>
      <c r="K1016" s="70" t="str">
        <f t="shared" si="4"/>
        <v>09/2025</v>
      </c>
    </row>
    <row r="1017" hidden="1">
      <c r="A1017" s="9">
        <v>45930.0</v>
      </c>
      <c r="B1017" s="11" t="s">
        <v>44</v>
      </c>
      <c r="C1017" s="11" t="s">
        <v>27</v>
      </c>
      <c r="D1017" s="11" t="s">
        <v>1536</v>
      </c>
      <c r="E1017" s="69">
        <v>59585.0</v>
      </c>
      <c r="F1017" s="11" t="s">
        <v>1513</v>
      </c>
      <c r="G1017" s="9">
        <v>45930.0</v>
      </c>
      <c r="H1017" s="70">
        <f t="shared" si="1"/>
        <v>30</v>
      </c>
      <c r="I1017" s="70">
        <f t="shared" si="2"/>
        <v>9</v>
      </c>
      <c r="J1017" s="70">
        <f t="shared" si="3"/>
        <v>2025</v>
      </c>
      <c r="K1017" s="70" t="str">
        <f t="shared" si="4"/>
        <v>09/2025</v>
      </c>
    </row>
    <row r="1018" hidden="1">
      <c r="A1018" s="26">
        <v>45931.0</v>
      </c>
      <c r="B1018" s="28" t="s">
        <v>1523</v>
      </c>
      <c r="C1018" s="28" t="s">
        <v>27</v>
      </c>
      <c r="D1018" s="28" t="s">
        <v>1524</v>
      </c>
      <c r="E1018" s="71">
        <v>1250.9</v>
      </c>
      <c r="F1018" s="29" t="s">
        <v>1513</v>
      </c>
      <c r="G1018" s="26">
        <v>45931.0</v>
      </c>
      <c r="H1018" s="70">
        <f t="shared" si="1"/>
        <v>1</v>
      </c>
      <c r="I1018" s="70">
        <f t="shared" si="2"/>
        <v>10</v>
      </c>
      <c r="J1018" s="70">
        <f t="shared" si="3"/>
        <v>2025</v>
      </c>
      <c r="K1018" s="70" t="str">
        <f t="shared" si="4"/>
        <v>10/2025</v>
      </c>
    </row>
    <row r="1019" hidden="1">
      <c r="A1019" s="26">
        <v>45931.0</v>
      </c>
      <c r="B1019" s="28" t="s">
        <v>1511</v>
      </c>
      <c r="C1019" s="29" t="s">
        <v>27</v>
      </c>
      <c r="D1019" s="28" t="s">
        <v>1512</v>
      </c>
      <c r="E1019" s="71">
        <v>537.4</v>
      </c>
      <c r="F1019" s="29" t="s">
        <v>1513</v>
      </c>
      <c r="G1019" s="9">
        <v>45931.0</v>
      </c>
      <c r="H1019" s="70">
        <f t="shared" si="1"/>
        <v>1</v>
      </c>
      <c r="I1019" s="70">
        <f t="shared" si="2"/>
        <v>10</v>
      </c>
      <c r="J1019" s="70">
        <f t="shared" si="3"/>
        <v>2025</v>
      </c>
      <c r="K1019" s="70" t="str">
        <f t="shared" si="4"/>
        <v>10/2025</v>
      </c>
    </row>
    <row r="1020" hidden="1">
      <c r="A1020" s="26">
        <v>45931.0</v>
      </c>
      <c r="B1020" s="28" t="s">
        <v>1514</v>
      </c>
      <c r="C1020" s="28" t="s">
        <v>37</v>
      </c>
      <c r="D1020" s="28" t="s">
        <v>1515</v>
      </c>
      <c r="E1020" s="71">
        <v>1388.16</v>
      </c>
      <c r="F1020" s="29" t="s">
        <v>1516</v>
      </c>
      <c r="G1020" s="9">
        <v>45931.0</v>
      </c>
      <c r="H1020" s="70">
        <f t="shared" si="1"/>
        <v>1</v>
      </c>
      <c r="I1020" s="70">
        <f t="shared" si="2"/>
        <v>10</v>
      </c>
      <c r="J1020" s="70">
        <f t="shared" si="3"/>
        <v>2025</v>
      </c>
      <c r="K1020" s="70" t="str">
        <f t="shared" si="4"/>
        <v>10/2025</v>
      </c>
    </row>
    <row r="1021" hidden="1">
      <c r="A1021" s="9">
        <v>45932.0</v>
      </c>
      <c r="B1021" s="15" t="s">
        <v>1511</v>
      </c>
      <c r="C1021" s="29" t="s">
        <v>27</v>
      </c>
      <c r="D1021" s="15" t="s">
        <v>1512</v>
      </c>
      <c r="E1021" s="69">
        <v>466.15</v>
      </c>
      <c r="F1021" s="29" t="s">
        <v>1513</v>
      </c>
      <c r="G1021" s="9">
        <v>45932.0</v>
      </c>
      <c r="H1021" s="70">
        <f t="shared" si="1"/>
        <v>2</v>
      </c>
      <c r="I1021" s="70">
        <f t="shared" si="2"/>
        <v>10</v>
      </c>
      <c r="J1021" s="70">
        <f t="shared" si="3"/>
        <v>2025</v>
      </c>
      <c r="K1021" s="70" t="str">
        <f t="shared" si="4"/>
        <v>10/2025</v>
      </c>
    </row>
    <row r="1022" hidden="1">
      <c r="A1022" s="26">
        <v>45932.0</v>
      </c>
      <c r="B1022" s="28" t="s">
        <v>1514</v>
      </c>
      <c r="C1022" s="28" t="s">
        <v>37</v>
      </c>
      <c r="D1022" s="28" t="s">
        <v>1515</v>
      </c>
      <c r="E1022" s="71">
        <v>1540.64</v>
      </c>
      <c r="F1022" s="29" t="s">
        <v>1516</v>
      </c>
      <c r="G1022" s="9">
        <v>45932.0</v>
      </c>
      <c r="H1022" s="70">
        <f t="shared" si="1"/>
        <v>2</v>
      </c>
      <c r="I1022" s="70">
        <f t="shared" si="2"/>
        <v>10</v>
      </c>
      <c r="J1022" s="70">
        <f t="shared" si="3"/>
        <v>2025</v>
      </c>
      <c r="K1022" s="70" t="str">
        <f t="shared" si="4"/>
        <v>10/2025</v>
      </c>
    </row>
    <row r="1023" hidden="1">
      <c r="A1023" s="26">
        <v>45932.0</v>
      </c>
      <c r="B1023" s="28" t="s">
        <v>1523</v>
      </c>
      <c r="C1023" s="28" t="s">
        <v>27</v>
      </c>
      <c r="D1023" s="28" t="s">
        <v>1524</v>
      </c>
      <c r="E1023" s="71">
        <v>4852.54</v>
      </c>
      <c r="F1023" s="29" t="s">
        <v>1513</v>
      </c>
      <c r="G1023" s="9">
        <v>45932.0</v>
      </c>
      <c r="H1023" s="70">
        <f t="shared" si="1"/>
        <v>2</v>
      </c>
      <c r="I1023" s="70">
        <f t="shared" si="2"/>
        <v>10</v>
      </c>
      <c r="J1023" s="70">
        <f t="shared" si="3"/>
        <v>2025</v>
      </c>
      <c r="K1023" s="70" t="str">
        <f t="shared" si="4"/>
        <v>10/2025</v>
      </c>
    </row>
    <row r="1024" hidden="1">
      <c r="A1024" s="9">
        <v>45933.0</v>
      </c>
      <c r="B1024" s="15" t="s">
        <v>1511</v>
      </c>
      <c r="C1024" s="29" t="s">
        <v>27</v>
      </c>
      <c r="D1024" s="15" t="s">
        <v>1512</v>
      </c>
      <c r="E1024" s="69">
        <v>1009.11</v>
      </c>
      <c r="F1024" s="29" t="s">
        <v>1513</v>
      </c>
      <c r="G1024" s="9">
        <v>45933.0</v>
      </c>
      <c r="H1024" s="70">
        <f t="shared" si="1"/>
        <v>3</v>
      </c>
      <c r="I1024" s="70">
        <f t="shared" si="2"/>
        <v>10</v>
      </c>
      <c r="J1024" s="70">
        <f t="shared" si="3"/>
        <v>2025</v>
      </c>
      <c r="K1024" s="70" t="str">
        <f t="shared" si="4"/>
        <v>10/2025</v>
      </c>
    </row>
    <row r="1025" hidden="1">
      <c r="A1025" s="9">
        <v>45933.0</v>
      </c>
      <c r="B1025" s="15" t="s">
        <v>1514</v>
      </c>
      <c r="C1025" s="15" t="s">
        <v>37</v>
      </c>
      <c r="D1025" s="15" t="s">
        <v>1515</v>
      </c>
      <c r="E1025" s="69">
        <v>1786.42</v>
      </c>
      <c r="F1025" s="29" t="s">
        <v>1516</v>
      </c>
      <c r="G1025" s="9">
        <v>45933.0</v>
      </c>
      <c r="H1025" s="70">
        <f t="shared" si="1"/>
        <v>3</v>
      </c>
      <c r="I1025" s="70">
        <f t="shared" si="2"/>
        <v>10</v>
      </c>
      <c r="J1025" s="70">
        <f t="shared" si="3"/>
        <v>2025</v>
      </c>
      <c r="K1025" s="70" t="str">
        <f t="shared" si="4"/>
        <v>10/2025</v>
      </c>
    </row>
    <row r="1026" hidden="1">
      <c r="A1026" s="26">
        <v>45933.0</v>
      </c>
      <c r="B1026" s="28" t="s">
        <v>1523</v>
      </c>
      <c r="C1026" s="28" t="s">
        <v>27</v>
      </c>
      <c r="D1026" s="28" t="s">
        <v>1524</v>
      </c>
      <c r="E1026" s="71">
        <v>529.64</v>
      </c>
      <c r="F1026" s="29" t="s">
        <v>1513</v>
      </c>
      <c r="G1026" s="9">
        <v>45933.0</v>
      </c>
      <c r="H1026" s="70">
        <f t="shared" si="1"/>
        <v>3</v>
      </c>
      <c r="I1026" s="70">
        <f t="shared" si="2"/>
        <v>10</v>
      </c>
      <c r="J1026" s="70">
        <f t="shared" si="3"/>
        <v>2025</v>
      </c>
      <c r="K1026" s="70" t="str">
        <f t="shared" si="4"/>
        <v>10/2025</v>
      </c>
    </row>
    <row r="1027" hidden="1">
      <c r="A1027" s="9">
        <v>45934.0</v>
      </c>
      <c r="B1027" s="15" t="s">
        <v>1511</v>
      </c>
      <c r="C1027" s="29" t="s">
        <v>27</v>
      </c>
      <c r="D1027" s="15" t="s">
        <v>1512</v>
      </c>
      <c r="E1027" s="69">
        <v>731.56</v>
      </c>
      <c r="F1027" s="29" t="s">
        <v>1513</v>
      </c>
      <c r="G1027" s="9">
        <v>45934.0</v>
      </c>
      <c r="H1027" s="70">
        <f t="shared" si="1"/>
        <v>4</v>
      </c>
      <c r="I1027" s="70">
        <f t="shared" si="2"/>
        <v>10</v>
      </c>
      <c r="J1027" s="70">
        <f t="shared" si="3"/>
        <v>2025</v>
      </c>
      <c r="K1027" s="70" t="str">
        <f t="shared" si="4"/>
        <v>10/2025</v>
      </c>
    </row>
    <row r="1028" hidden="1">
      <c r="A1028" s="9">
        <v>45934.0</v>
      </c>
      <c r="B1028" s="15" t="s">
        <v>1514</v>
      </c>
      <c r="C1028" s="15" t="s">
        <v>37</v>
      </c>
      <c r="D1028" s="15" t="s">
        <v>1515</v>
      </c>
      <c r="E1028" s="69">
        <v>2091.29</v>
      </c>
      <c r="F1028" s="29" t="s">
        <v>1516</v>
      </c>
      <c r="G1028" s="9">
        <v>45934.0</v>
      </c>
      <c r="H1028" s="70">
        <f t="shared" si="1"/>
        <v>4</v>
      </c>
      <c r="I1028" s="70">
        <f t="shared" si="2"/>
        <v>10</v>
      </c>
      <c r="J1028" s="70">
        <f t="shared" si="3"/>
        <v>2025</v>
      </c>
      <c r="K1028" s="70" t="str">
        <f t="shared" si="4"/>
        <v>10/2025</v>
      </c>
    </row>
    <row r="1029" hidden="1">
      <c r="A1029" s="9">
        <v>45935.0</v>
      </c>
      <c r="B1029" s="15" t="s">
        <v>1511</v>
      </c>
      <c r="C1029" s="29" t="s">
        <v>27</v>
      </c>
      <c r="D1029" s="15" t="s">
        <v>1512</v>
      </c>
      <c r="E1029" s="69">
        <v>447.59</v>
      </c>
      <c r="F1029" s="29" t="s">
        <v>1513</v>
      </c>
      <c r="G1029" s="9">
        <v>45935.0</v>
      </c>
      <c r="H1029" s="70">
        <f t="shared" si="1"/>
        <v>5</v>
      </c>
      <c r="I1029" s="70">
        <f t="shared" si="2"/>
        <v>10</v>
      </c>
      <c r="J1029" s="70">
        <f t="shared" si="3"/>
        <v>2025</v>
      </c>
      <c r="K1029" s="70" t="str">
        <f t="shared" si="4"/>
        <v>10/2025</v>
      </c>
    </row>
    <row r="1030" hidden="1">
      <c r="A1030" s="9">
        <v>45935.0</v>
      </c>
      <c r="B1030" s="15" t="s">
        <v>1514</v>
      </c>
      <c r="C1030" s="15" t="s">
        <v>37</v>
      </c>
      <c r="D1030" s="15" t="s">
        <v>1515</v>
      </c>
      <c r="E1030" s="69">
        <v>1290.7</v>
      </c>
      <c r="F1030" s="29" t="s">
        <v>1516</v>
      </c>
      <c r="G1030" s="9">
        <v>45935.0</v>
      </c>
      <c r="H1030" s="70">
        <f t="shared" si="1"/>
        <v>5</v>
      </c>
      <c r="I1030" s="70">
        <f t="shared" si="2"/>
        <v>10</v>
      </c>
      <c r="J1030" s="70">
        <f t="shared" si="3"/>
        <v>2025</v>
      </c>
      <c r="K1030" s="70" t="str">
        <f t="shared" si="4"/>
        <v>10/2025</v>
      </c>
    </row>
    <row r="1031" hidden="1">
      <c r="A1031" s="26">
        <v>45936.0</v>
      </c>
      <c r="B1031" s="28" t="s">
        <v>1523</v>
      </c>
      <c r="C1031" s="28" t="s">
        <v>27</v>
      </c>
      <c r="D1031" s="28" t="s">
        <v>1524</v>
      </c>
      <c r="E1031" s="71">
        <v>4365.23</v>
      </c>
      <c r="F1031" s="29" t="s">
        <v>1513</v>
      </c>
      <c r="G1031" s="9">
        <v>45936.0</v>
      </c>
      <c r="H1031" s="70">
        <f t="shared" si="1"/>
        <v>6</v>
      </c>
      <c r="I1031" s="70">
        <f t="shared" si="2"/>
        <v>10</v>
      </c>
      <c r="J1031" s="70">
        <f t="shared" si="3"/>
        <v>2025</v>
      </c>
      <c r="K1031" s="70" t="str">
        <f t="shared" si="4"/>
        <v>10/2025</v>
      </c>
    </row>
    <row r="1032" hidden="1">
      <c r="A1032" s="9">
        <v>45936.0</v>
      </c>
      <c r="B1032" s="15" t="s">
        <v>1511</v>
      </c>
      <c r="C1032" s="29" t="s">
        <v>27</v>
      </c>
      <c r="D1032" s="15" t="s">
        <v>1512</v>
      </c>
      <c r="E1032" s="69">
        <v>65.43</v>
      </c>
      <c r="F1032" s="29" t="s">
        <v>1513</v>
      </c>
      <c r="G1032" s="9">
        <v>45936.0</v>
      </c>
      <c r="H1032" s="70">
        <f t="shared" si="1"/>
        <v>6</v>
      </c>
      <c r="I1032" s="70">
        <f t="shared" si="2"/>
        <v>10</v>
      </c>
      <c r="J1032" s="70">
        <f t="shared" si="3"/>
        <v>2025</v>
      </c>
      <c r="K1032" s="70" t="str">
        <f t="shared" si="4"/>
        <v>10/2025</v>
      </c>
    </row>
    <row r="1033" hidden="1">
      <c r="A1033" s="9">
        <v>45936.0</v>
      </c>
      <c r="B1033" s="15" t="s">
        <v>1514</v>
      </c>
      <c r="C1033" s="15" t="s">
        <v>37</v>
      </c>
      <c r="D1033" s="15" t="s">
        <v>1515</v>
      </c>
      <c r="E1033" s="69">
        <v>1031.27</v>
      </c>
      <c r="F1033" s="29" t="s">
        <v>1516</v>
      </c>
      <c r="G1033" s="9">
        <v>45936.0</v>
      </c>
      <c r="H1033" s="70">
        <f t="shared" si="1"/>
        <v>6</v>
      </c>
      <c r="I1033" s="70">
        <f t="shared" si="2"/>
        <v>10</v>
      </c>
      <c r="J1033" s="70">
        <f t="shared" si="3"/>
        <v>2025</v>
      </c>
      <c r="K1033" s="70" t="str">
        <f t="shared" si="4"/>
        <v>10/2025</v>
      </c>
    </row>
    <row r="1034" hidden="1">
      <c r="A1034" s="9">
        <v>45936.0</v>
      </c>
      <c r="B1034" s="11" t="s">
        <v>44</v>
      </c>
      <c r="C1034" s="11" t="s">
        <v>37</v>
      </c>
      <c r="D1034" s="11" t="s">
        <v>1537</v>
      </c>
      <c r="E1034" s="69">
        <v>33700.0</v>
      </c>
      <c r="F1034" s="11" t="s">
        <v>1516</v>
      </c>
      <c r="G1034" s="9">
        <v>45936.0</v>
      </c>
      <c r="H1034" s="70">
        <f t="shared" si="1"/>
        <v>6</v>
      </c>
      <c r="I1034" s="70">
        <f t="shared" si="2"/>
        <v>10</v>
      </c>
      <c r="J1034" s="70">
        <f t="shared" si="3"/>
        <v>2025</v>
      </c>
      <c r="K1034" s="70" t="str">
        <f t="shared" si="4"/>
        <v>10/2025</v>
      </c>
    </row>
    <row r="1035" hidden="1">
      <c r="A1035" s="9">
        <v>45937.0</v>
      </c>
      <c r="B1035" s="15" t="s">
        <v>1511</v>
      </c>
      <c r="C1035" s="11" t="s">
        <v>27</v>
      </c>
      <c r="D1035" s="15" t="s">
        <v>1512</v>
      </c>
      <c r="E1035" s="69">
        <v>335.65</v>
      </c>
      <c r="F1035" s="11" t="s">
        <v>1513</v>
      </c>
      <c r="G1035" s="9">
        <v>45937.0</v>
      </c>
      <c r="H1035" s="70">
        <f t="shared" si="1"/>
        <v>7</v>
      </c>
      <c r="I1035" s="70">
        <f t="shared" si="2"/>
        <v>10</v>
      </c>
      <c r="J1035" s="70">
        <f t="shared" si="3"/>
        <v>2025</v>
      </c>
      <c r="K1035" s="70" t="str">
        <f t="shared" si="4"/>
        <v>10/2025</v>
      </c>
    </row>
    <row r="1036" hidden="1">
      <c r="A1036" s="9">
        <v>45937.0</v>
      </c>
      <c r="B1036" s="15" t="s">
        <v>1514</v>
      </c>
      <c r="C1036" s="15" t="s">
        <v>37</v>
      </c>
      <c r="D1036" s="15" t="s">
        <v>1515</v>
      </c>
      <c r="E1036" s="69">
        <v>1105.55</v>
      </c>
      <c r="F1036" s="11" t="s">
        <v>1516</v>
      </c>
      <c r="G1036" s="9">
        <v>45937.0</v>
      </c>
      <c r="H1036" s="70">
        <f t="shared" si="1"/>
        <v>7</v>
      </c>
      <c r="I1036" s="70">
        <f t="shared" si="2"/>
        <v>10</v>
      </c>
      <c r="J1036" s="70">
        <f t="shared" si="3"/>
        <v>2025</v>
      </c>
      <c r="K1036" s="70" t="str">
        <f t="shared" si="4"/>
        <v>10/2025</v>
      </c>
    </row>
    <row r="1037" hidden="1">
      <c r="A1037" s="26">
        <v>45938.0</v>
      </c>
      <c r="B1037" s="28" t="s">
        <v>1511</v>
      </c>
      <c r="C1037" s="29" t="s">
        <v>27</v>
      </c>
      <c r="D1037" s="28" t="s">
        <v>1512</v>
      </c>
      <c r="E1037" s="71">
        <v>631.15</v>
      </c>
      <c r="F1037" s="11" t="s">
        <v>1513</v>
      </c>
      <c r="G1037" s="26">
        <v>45938.0</v>
      </c>
      <c r="H1037" s="70">
        <f t="shared" si="1"/>
        <v>8</v>
      </c>
      <c r="I1037" s="70">
        <f t="shared" si="2"/>
        <v>10</v>
      </c>
      <c r="J1037" s="70">
        <f t="shared" si="3"/>
        <v>2025</v>
      </c>
      <c r="K1037" s="70" t="str">
        <f t="shared" si="4"/>
        <v>10/2025</v>
      </c>
    </row>
    <row r="1038" hidden="1">
      <c r="A1038" s="9">
        <v>45938.0</v>
      </c>
      <c r="B1038" s="15" t="s">
        <v>1514</v>
      </c>
      <c r="C1038" s="15" t="s">
        <v>37</v>
      </c>
      <c r="D1038" s="15" t="s">
        <v>1515</v>
      </c>
      <c r="E1038" s="69">
        <v>1825.79</v>
      </c>
      <c r="F1038" s="11" t="s">
        <v>1516</v>
      </c>
      <c r="G1038" s="9">
        <v>45938.0</v>
      </c>
      <c r="H1038" s="70">
        <f t="shared" si="1"/>
        <v>8</v>
      </c>
      <c r="I1038" s="70">
        <f t="shared" si="2"/>
        <v>10</v>
      </c>
      <c r="J1038" s="70">
        <f t="shared" si="3"/>
        <v>2025</v>
      </c>
      <c r="K1038" s="70" t="str">
        <f t="shared" si="4"/>
        <v>10/2025</v>
      </c>
    </row>
    <row r="1039" hidden="1">
      <c r="A1039" s="26">
        <v>45939.0</v>
      </c>
      <c r="B1039" s="28" t="s">
        <v>1511</v>
      </c>
      <c r="C1039" s="29" t="s">
        <v>27</v>
      </c>
      <c r="D1039" s="28" t="s">
        <v>1512</v>
      </c>
      <c r="E1039" s="71">
        <v>333.73</v>
      </c>
      <c r="F1039" s="11" t="s">
        <v>1513</v>
      </c>
      <c r="G1039" s="26">
        <v>45939.0</v>
      </c>
      <c r="H1039" s="70">
        <f t="shared" si="1"/>
        <v>9</v>
      </c>
      <c r="I1039" s="70">
        <f t="shared" si="2"/>
        <v>10</v>
      </c>
      <c r="J1039" s="70">
        <f t="shared" si="3"/>
        <v>2025</v>
      </c>
      <c r="K1039" s="70" t="str">
        <f t="shared" si="4"/>
        <v>10/2025</v>
      </c>
    </row>
    <row r="1040" hidden="1">
      <c r="A1040" s="26">
        <v>45939.0</v>
      </c>
      <c r="B1040" s="28" t="s">
        <v>1514</v>
      </c>
      <c r="C1040" s="28" t="s">
        <v>37</v>
      </c>
      <c r="D1040" s="28" t="s">
        <v>1515</v>
      </c>
      <c r="E1040" s="71">
        <v>1689.53</v>
      </c>
      <c r="F1040" s="11" t="s">
        <v>1516</v>
      </c>
      <c r="G1040" s="26">
        <v>45939.0</v>
      </c>
      <c r="H1040" s="70">
        <f t="shared" si="1"/>
        <v>9</v>
      </c>
      <c r="I1040" s="70">
        <f t="shared" si="2"/>
        <v>10</v>
      </c>
      <c r="J1040" s="70">
        <f t="shared" si="3"/>
        <v>2025</v>
      </c>
      <c r="K1040" s="70" t="str">
        <f t="shared" si="4"/>
        <v>10/2025</v>
      </c>
    </row>
    <row r="1041" hidden="1">
      <c r="A1041" s="26">
        <v>45940.0</v>
      </c>
      <c r="B1041" s="28" t="s">
        <v>1511</v>
      </c>
      <c r="C1041" s="29" t="s">
        <v>27</v>
      </c>
      <c r="D1041" s="28" t="s">
        <v>1512</v>
      </c>
      <c r="E1041" s="71">
        <v>568.44</v>
      </c>
      <c r="F1041" s="11" t="s">
        <v>1513</v>
      </c>
      <c r="G1041" s="26">
        <v>45940.0</v>
      </c>
      <c r="H1041" s="70">
        <f t="shared" si="1"/>
        <v>10</v>
      </c>
      <c r="I1041" s="70">
        <f t="shared" si="2"/>
        <v>10</v>
      </c>
      <c r="J1041" s="70">
        <f t="shared" si="3"/>
        <v>2025</v>
      </c>
      <c r="K1041" s="70" t="str">
        <f t="shared" si="4"/>
        <v>10/2025</v>
      </c>
    </row>
    <row r="1042" hidden="1">
      <c r="A1042" s="26">
        <v>45940.0</v>
      </c>
      <c r="B1042" s="28" t="s">
        <v>1514</v>
      </c>
      <c r="C1042" s="28" t="s">
        <v>37</v>
      </c>
      <c r="D1042" s="28" t="s">
        <v>1515</v>
      </c>
      <c r="E1042" s="71">
        <v>2024.28</v>
      </c>
      <c r="F1042" s="11" t="s">
        <v>1516</v>
      </c>
      <c r="G1042" s="26">
        <v>45940.0</v>
      </c>
      <c r="H1042" s="70">
        <f t="shared" si="1"/>
        <v>10</v>
      </c>
      <c r="I1042" s="70">
        <f t="shared" si="2"/>
        <v>10</v>
      </c>
      <c r="J1042" s="70">
        <f t="shared" si="3"/>
        <v>2025</v>
      </c>
      <c r="K1042" s="70" t="str">
        <f t="shared" si="4"/>
        <v>10/2025</v>
      </c>
    </row>
    <row r="1043" hidden="1">
      <c r="A1043" s="26">
        <v>45941.0</v>
      </c>
      <c r="B1043" s="28" t="s">
        <v>1511</v>
      </c>
      <c r="C1043" s="29" t="s">
        <v>27</v>
      </c>
      <c r="D1043" s="28" t="s">
        <v>1512</v>
      </c>
      <c r="E1043" s="71">
        <v>694.83</v>
      </c>
      <c r="F1043" s="11" t="s">
        <v>1513</v>
      </c>
      <c r="G1043" s="26">
        <v>45941.0</v>
      </c>
      <c r="H1043" s="70">
        <f t="shared" si="1"/>
        <v>11</v>
      </c>
      <c r="I1043" s="70">
        <f t="shared" si="2"/>
        <v>10</v>
      </c>
      <c r="J1043" s="70">
        <f t="shared" si="3"/>
        <v>2025</v>
      </c>
      <c r="K1043" s="70" t="str">
        <f t="shared" si="4"/>
        <v>10/2025</v>
      </c>
    </row>
    <row r="1044" hidden="1">
      <c r="A1044" s="26">
        <v>45941.0</v>
      </c>
      <c r="B1044" s="28" t="s">
        <v>1514</v>
      </c>
      <c r="C1044" s="28" t="s">
        <v>37</v>
      </c>
      <c r="D1044" s="28" t="s">
        <v>1515</v>
      </c>
      <c r="E1044" s="71">
        <v>1692.73</v>
      </c>
      <c r="F1044" s="11" t="s">
        <v>1516</v>
      </c>
      <c r="G1044" s="26">
        <v>45941.0</v>
      </c>
      <c r="H1044" s="70">
        <f t="shared" si="1"/>
        <v>11</v>
      </c>
      <c r="I1044" s="70">
        <f t="shared" si="2"/>
        <v>10</v>
      </c>
      <c r="J1044" s="70">
        <f t="shared" si="3"/>
        <v>2025</v>
      </c>
      <c r="K1044" s="70" t="str">
        <f t="shared" si="4"/>
        <v>10/2025</v>
      </c>
    </row>
    <row r="1045" hidden="1">
      <c r="A1045" s="26">
        <v>45942.0</v>
      </c>
      <c r="B1045" s="28" t="s">
        <v>1511</v>
      </c>
      <c r="C1045" s="29" t="s">
        <v>66</v>
      </c>
      <c r="D1045" s="28" t="s">
        <v>1512</v>
      </c>
      <c r="E1045" s="71">
        <v>216.55</v>
      </c>
      <c r="F1045" s="11" t="s">
        <v>1516</v>
      </c>
      <c r="G1045" s="26">
        <v>45942.0</v>
      </c>
      <c r="H1045" s="70">
        <f t="shared" si="1"/>
        <v>12</v>
      </c>
      <c r="I1045" s="70">
        <f t="shared" si="2"/>
        <v>10</v>
      </c>
      <c r="J1045" s="70">
        <f t="shared" si="3"/>
        <v>2025</v>
      </c>
      <c r="K1045" s="70" t="str">
        <f t="shared" si="4"/>
        <v>10/2025</v>
      </c>
    </row>
    <row r="1046" hidden="1">
      <c r="A1046" s="26">
        <v>45942.0</v>
      </c>
      <c r="B1046" s="28" t="s">
        <v>1514</v>
      </c>
      <c r="C1046" s="28" t="s">
        <v>37</v>
      </c>
      <c r="D1046" s="28" t="s">
        <v>1515</v>
      </c>
      <c r="E1046" s="71">
        <v>1475.81</v>
      </c>
      <c r="F1046" s="11" t="s">
        <v>1516</v>
      </c>
      <c r="G1046" s="26">
        <v>45942.0</v>
      </c>
      <c r="H1046" s="70">
        <f t="shared" si="1"/>
        <v>12</v>
      </c>
      <c r="I1046" s="70">
        <f t="shared" si="2"/>
        <v>10</v>
      </c>
      <c r="J1046" s="70">
        <f t="shared" si="3"/>
        <v>2025</v>
      </c>
      <c r="K1046" s="70" t="str">
        <f t="shared" si="4"/>
        <v>10/2025</v>
      </c>
    </row>
    <row r="1047" hidden="1">
      <c r="A1047" s="9">
        <v>45943.0</v>
      </c>
      <c r="B1047" s="15" t="s">
        <v>1511</v>
      </c>
      <c r="C1047" s="11" t="s">
        <v>27</v>
      </c>
      <c r="D1047" s="15" t="s">
        <v>1512</v>
      </c>
      <c r="E1047" s="69">
        <v>676.14</v>
      </c>
      <c r="F1047" s="11" t="s">
        <v>1513</v>
      </c>
      <c r="G1047" s="9">
        <v>45943.0</v>
      </c>
      <c r="H1047" s="70">
        <f t="shared" si="1"/>
        <v>13</v>
      </c>
      <c r="I1047" s="70">
        <f t="shared" si="2"/>
        <v>10</v>
      </c>
      <c r="J1047" s="70">
        <f t="shared" si="3"/>
        <v>2025</v>
      </c>
      <c r="K1047" s="70" t="str">
        <f t="shared" si="4"/>
        <v>10/2025</v>
      </c>
    </row>
    <row r="1048" hidden="1">
      <c r="A1048" s="26">
        <v>45943.0</v>
      </c>
      <c r="B1048" s="28" t="s">
        <v>1514</v>
      </c>
      <c r="C1048" s="28" t="s">
        <v>37</v>
      </c>
      <c r="D1048" s="28" t="s">
        <v>1515</v>
      </c>
      <c r="E1048" s="71">
        <v>634.68</v>
      </c>
      <c r="F1048" s="11" t="s">
        <v>1516</v>
      </c>
      <c r="G1048" s="26">
        <v>45943.0</v>
      </c>
      <c r="H1048" s="70">
        <f t="shared" si="1"/>
        <v>13</v>
      </c>
      <c r="I1048" s="70">
        <f t="shared" si="2"/>
        <v>10</v>
      </c>
      <c r="J1048" s="70">
        <f t="shared" si="3"/>
        <v>2025</v>
      </c>
      <c r="K1048" s="70" t="str">
        <f t="shared" si="4"/>
        <v>10/2025</v>
      </c>
    </row>
    <row r="1049" hidden="1">
      <c r="A1049" s="9">
        <v>45943.0</v>
      </c>
      <c r="B1049" s="11" t="s">
        <v>44</v>
      </c>
      <c r="C1049" s="11" t="s">
        <v>27</v>
      </c>
      <c r="D1049" s="11" t="s">
        <v>1535</v>
      </c>
      <c r="E1049" s="69">
        <v>12.64</v>
      </c>
      <c r="F1049" s="11" t="s">
        <v>1513</v>
      </c>
      <c r="G1049" s="9">
        <v>45943.0</v>
      </c>
      <c r="H1049" s="70">
        <f t="shared" si="1"/>
        <v>13</v>
      </c>
      <c r="I1049" s="70">
        <f t="shared" si="2"/>
        <v>10</v>
      </c>
      <c r="J1049" s="70">
        <f t="shared" si="3"/>
        <v>2025</v>
      </c>
      <c r="K1049" s="70" t="str">
        <f t="shared" si="4"/>
        <v>10/2025</v>
      </c>
    </row>
    <row r="1050" hidden="1">
      <c r="A1050" s="26">
        <v>45944.0</v>
      </c>
      <c r="B1050" s="28" t="s">
        <v>1519</v>
      </c>
      <c r="C1050" s="28" t="s">
        <v>27</v>
      </c>
      <c r="D1050" s="28" t="s">
        <v>1520</v>
      </c>
      <c r="E1050" s="71">
        <v>6622.5</v>
      </c>
      <c r="F1050" s="29" t="s">
        <v>1513</v>
      </c>
      <c r="G1050" s="26">
        <v>45944.0</v>
      </c>
      <c r="H1050" s="70">
        <f t="shared" si="1"/>
        <v>14</v>
      </c>
      <c r="I1050" s="70">
        <f t="shared" si="2"/>
        <v>10</v>
      </c>
      <c r="J1050" s="70">
        <f t="shared" si="3"/>
        <v>2025</v>
      </c>
      <c r="K1050" s="70" t="str">
        <f t="shared" si="4"/>
        <v>10/2025</v>
      </c>
    </row>
    <row r="1051" hidden="1">
      <c r="A1051" s="9">
        <v>45944.0</v>
      </c>
      <c r="B1051" s="15" t="s">
        <v>1511</v>
      </c>
      <c r="C1051" s="11" t="s">
        <v>27</v>
      </c>
      <c r="D1051" s="15" t="s">
        <v>1512</v>
      </c>
      <c r="E1051" s="69">
        <v>494.37</v>
      </c>
      <c r="F1051" s="11" t="s">
        <v>1513</v>
      </c>
      <c r="G1051" s="9">
        <v>45944.0</v>
      </c>
      <c r="H1051" s="70">
        <f t="shared" si="1"/>
        <v>14</v>
      </c>
      <c r="I1051" s="70">
        <f t="shared" si="2"/>
        <v>10</v>
      </c>
      <c r="J1051" s="70">
        <f t="shared" si="3"/>
        <v>2025</v>
      </c>
      <c r="K1051" s="70" t="str">
        <f t="shared" si="4"/>
        <v>10/2025</v>
      </c>
    </row>
    <row r="1052" hidden="1">
      <c r="A1052" s="26">
        <v>45944.0</v>
      </c>
      <c r="B1052" s="28" t="s">
        <v>1514</v>
      </c>
      <c r="C1052" s="28" t="s">
        <v>37</v>
      </c>
      <c r="D1052" s="28" t="s">
        <v>1515</v>
      </c>
      <c r="E1052" s="71">
        <v>2018.05</v>
      </c>
      <c r="F1052" s="29" t="s">
        <v>1516</v>
      </c>
      <c r="G1052" s="26">
        <v>45944.0</v>
      </c>
      <c r="H1052" s="70">
        <f t="shared" si="1"/>
        <v>14</v>
      </c>
      <c r="I1052" s="70">
        <f t="shared" si="2"/>
        <v>10</v>
      </c>
      <c r="J1052" s="70">
        <f t="shared" si="3"/>
        <v>2025</v>
      </c>
      <c r="K1052" s="70" t="str">
        <f t="shared" si="4"/>
        <v>10/2025</v>
      </c>
    </row>
    <row r="1053" hidden="1">
      <c r="A1053" s="9">
        <v>45945.0</v>
      </c>
      <c r="B1053" s="15" t="s">
        <v>1511</v>
      </c>
      <c r="C1053" s="11" t="s">
        <v>27</v>
      </c>
      <c r="D1053" s="15" t="s">
        <v>1512</v>
      </c>
      <c r="E1053" s="69">
        <v>396.62</v>
      </c>
      <c r="F1053" s="11" t="s">
        <v>1513</v>
      </c>
      <c r="G1053" s="9">
        <v>45945.0</v>
      </c>
      <c r="H1053" s="70">
        <f t="shared" si="1"/>
        <v>15</v>
      </c>
      <c r="I1053" s="70">
        <f t="shared" si="2"/>
        <v>10</v>
      </c>
      <c r="J1053" s="70">
        <f t="shared" si="3"/>
        <v>2025</v>
      </c>
      <c r="K1053" s="70" t="str">
        <f t="shared" si="4"/>
        <v>10/2025</v>
      </c>
    </row>
    <row r="1054" hidden="1">
      <c r="A1054" s="26">
        <v>45945.0</v>
      </c>
      <c r="B1054" s="28" t="s">
        <v>1514</v>
      </c>
      <c r="C1054" s="28" t="s">
        <v>37</v>
      </c>
      <c r="D1054" s="28" t="s">
        <v>1515</v>
      </c>
      <c r="E1054" s="71">
        <v>1718.59</v>
      </c>
      <c r="F1054" s="29" t="s">
        <v>1516</v>
      </c>
      <c r="G1054" s="26">
        <v>45945.0</v>
      </c>
      <c r="H1054" s="70">
        <f t="shared" si="1"/>
        <v>15</v>
      </c>
      <c r="I1054" s="70">
        <f t="shared" si="2"/>
        <v>10</v>
      </c>
      <c r="J1054" s="70">
        <f t="shared" si="3"/>
        <v>2025</v>
      </c>
      <c r="K1054" s="70" t="str">
        <f t="shared" si="4"/>
        <v>10/2025</v>
      </c>
    </row>
    <row r="1055" hidden="1">
      <c r="A1055" s="9">
        <v>45945.0</v>
      </c>
      <c r="B1055" s="15" t="s">
        <v>1523</v>
      </c>
      <c r="C1055" s="15" t="s">
        <v>27</v>
      </c>
      <c r="D1055" s="15" t="s">
        <v>1524</v>
      </c>
      <c r="E1055" s="69">
        <v>1013.33</v>
      </c>
      <c r="F1055" s="11" t="s">
        <v>1513</v>
      </c>
      <c r="G1055" s="9">
        <v>45945.0</v>
      </c>
      <c r="H1055" s="70">
        <f t="shared" si="1"/>
        <v>15</v>
      </c>
      <c r="I1055" s="70">
        <f t="shared" si="2"/>
        <v>10</v>
      </c>
      <c r="J1055" s="70">
        <f t="shared" si="3"/>
        <v>2025</v>
      </c>
      <c r="K1055" s="70" t="str">
        <f t="shared" si="4"/>
        <v>10/2025</v>
      </c>
    </row>
    <row r="1056" hidden="1">
      <c r="A1056" s="9">
        <v>45945.0</v>
      </c>
      <c r="B1056" s="11" t="s">
        <v>44</v>
      </c>
      <c r="C1056" s="11" t="s">
        <v>27</v>
      </c>
      <c r="D1056" s="11" t="s">
        <v>1538</v>
      </c>
      <c r="E1056" s="69">
        <v>550.0</v>
      </c>
      <c r="F1056" s="11" t="s">
        <v>1513</v>
      </c>
      <c r="G1056" s="9">
        <v>45976.0</v>
      </c>
      <c r="H1056" s="70">
        <f t="shared" si="1"/>
        <v>15</v>
      </c>
      <c r="I1056" s="70">
        <f t="shared" si="2"/>
        <v>10</v>
      </c>
      <c r="J1056" s="70">
        <f t="shared" si="3"/>
        <v>2025</v>
      </c>
      <c r="K1056" s="70" t="str">
        <f t="shared" si="4"/>
        <v>10/2025</v>
      </c>
    </row>
    <row r="1057" hidden="1">
      <c r="A1057" s="9">
        <v>45946.0</v>
      </c>
      <c r="B1057" s="15" t="s">
        <v>1511</v>
      </c>
      <c r="C1057" s="11" t="s">
        <v>27</v>
      </c>
      <c r="D1057" s="15" t="s">
        <v>1512</v>
      </c>
      <c r="E1057" s="69">
        <v>279.0</v>
      </c>
      <c r="F1057" s="11" t="s">
        <v>1513</v>
      </c>
      <c r="G1057" s="9">
        <v>45946.0</v>
      </c>
      <c r="H1057" s="70">
        <f t="shared" si="1"/>
        <v>16</v>
      </c>
      <c r="I1057" s="70">
        <f t="shared" si="2"/>
        <v>10</v>
      </c>
      <c r="J1057" s="70">
        <f t="shared" si="3"/>
        <v>2025</v>
      </c>
      <c r="K1057" s="70" t="str">
        <f t="shared" si="4"/>
        <v>10/2025</v>
      </c>
    </row>
    <row r="1058" hidden="1">
      <c r="A1058" s="26">
        <v>45946.0</v>
      </c>
      <c r="B1058" s="28" t="s">
        <v>1514</v>
      </c>
      <c r="C1058" s="28" t="s">
        <v>37</v>
      </c>
      <c r="D1058" s="28" t="s">
        <v>1515</v>
      </c>
      <c r="E1058" s="71">
        <v>1464.89</v>
      </c>
      <c r="F1058" s="29" t="s">
        <v>1516</v>
      </c>
      <c r="G1058" s="26">
        <v>45946.0</v>
      </c>
      <c r="H1058" s="70">
        <f t="shared" si="1"/>
        <v>16</v>
      </c>
      <c r="I1058" s="70">
        <f t="shared" si="2"/>
        <v>10</v>
      </c>
      <c r="J1058" s="70">
        <f t="shared" si="3"/>
        <v>2025</v>
      </c>
      <c r="K1058" s="70" t="str">
        <f t="shared" si="4"/>
        <v>10/2025</v>
      </c>
    </row>
    <row r="1059" hidden="1">
      <c r="A1059" s="9">
        <v>45946.0</v>
      </c>
      <c r="B1059" s="15" t="s">
        <v>1523</v>
      </c>
      <c r="C1059" s="15" t="s">
        <v>27</v>
      </c>
      <c r="D1059" s="15" t="s">
        <v>1524</v>
      </c>
      <c r="E1059" s="69">
        <v>5375.39</v>
      </c>
      <c r="F1059" s="11" t="s">
        <v>1513</v>
      </c>
      <c r="G1059" s="9">
        <v>45946.0</v>
      </c>
      <c r="H1059" s="70">
        <f t="shared" si="1"/>
        <v>16</v>
      </c>
      <c r="I1059" s="70">
        <f t="shared" si="2"/>
        <v>10</v>
      </c>
      <c r="J1059" s="70">
        <f t="shared" si="3"/>
        <v>2025</v>
      </c>
      <c r="K1059" s="70" t="str">
        <f t="shared" si="4"/>
        <v>10/2025</v>
      </c>
    </row>
    <row r="1060" hidden="1">
      <c r="A1060" s="9">
        <v>45946.0</v>
      </c>
      <c r="B1060" s="11" t="s">
        <v>44</v>
      </c>
      <c r="C1060" s="11" t="s">
        <v>27</v>
      </c>
      <c r="D1060" s="11" t="s">
        <v>1527</v>
      </c>
      <c r="E1060" s="69">
        <v>776.79</v>
      </c>
      <c r="F1060" s="11" t="s">
        <v>1513</v>
      </c>
      <c r="G1060" s="9">
        <v>45946.0</v>
      </c>
      <c r="H1060" s="70">
        <f t="shared" si="1"/>
        <v>16</v>
      </c>
      <c r="I1060" s="70">
        <f t="shared" si="2"/>
        <v>10</v>
      </c>
      <c r="J1060" s="70">
        <f t="shared" si="3"/>
        <v>2025</v>
      </c>
      <c r="K1060" s="70" t="str">
        <f t="shared" si="4"/>
        <v>10/2025</v>
      </c>
    </row>
    <row r="1061" hidden="1">
      <c r="A1061" s="9">
        <v>45947.0</v>
      </c>
      <c r="B1061" s="15" t="s">
        <v>1511</v>
      </c>
      <c r="C1061" s="11" t="s">
        <v>27</v>
      </c>
      <c r="D1061" s="15" t="s">
        <v>1512</v>
      </c>
      <c r="E1061" s="69">
        <v>431.99</v>
      </c>
      <c r="F1061" s="11" t="s">
        <v>1513</v>
      </c>
      <c r="G1061" s="9">
        <v>45947.0</v>
      </c>
      <c r="H1061" s="70">
        <f t="shared" si="1"/>
        <v>17</v>
      </c>
      <c r="I1061" s="70">
        <f t="shared" si="2"/>
        <v>10</v>
      </c>
      <c r="J1061" s="70">
        <f t="shared" si="3"/>
        <v>2025</v>
      </c>
      <c r="K1061" s="70" t="str">
        <f t="shared" si="4"/>
        <v>10/2025</v>
      </c>
    </row>
    <row r="1062" hidden="1">
      <c r="A1062" s="26">
        <v>45947.0</v>
      </c>
      <c r="B1062" s="28" t="s">
        <v>1514</v>
      </c>
      <c r="C1062" s="28" t="s">
        <v>37</v>
      </c>
      <c r="D1062" s="28" t="s">
        <v>1515</v>
      </c>
      <c r="E1062" s="71">
        <v>1866.21</v>
      </c>
      <c r="F1062" s="29" t="s">
        <v>1516</v>
      </c>
      <c r="G1062" s="26">
        <v>45947.0</v>
      </c>
      <c r="H1062" s="70">
        <f t="shared" si="1"/>
        <v>17</v>
      </c>
      <c r="I1062" s="70">
        <f t="shared" si="2"/>
        <v>10</v>
      </c>
      <c r="J1062" s="70">
        <f t="shared" si="3"/>
        <v>2025</v>
      </c>
      <c r="K1062" s="70" t="str">
        <f t="shared" si="4"/>
        <v>10/2025</v>
      </c>
    </row>
    <row r="1063" hidden="1">
      <c r="A1063" s="9">
        <v>45947.0</v>
      </c>
      <c r="B1063" s="15" t="s">
        <v>1523</v>
      </c>
      <c r="C1063" s="15" t="s">
        <v>27</v>
      </c>
      <c r="D1063" s="15" t="s">
        <v>1524</v>
      </c>
      <c r="E1063" s="69">
        <v>247.44</v>
      </c>
      <c r="F1063" s="11" t="s">
        <v>1513</v>
      </c>
      <c r="G1063" s="9">
        <v>45947.0</v>
      </c>
      <c r="H1063" s="70">
        <f t="shared" si="1"/>
        <v>17</v>
      </c>
      <c r="I1063" s="70">
        <f t="shared" si="2"/>
        <v>10</v>
      </c>
      <c r="J1063" s="70">
        <f t="shared" si="3"/>
        <v>2025</v>
      </c>
      <c r="K1063" s="70" t="str">
        <f t="shared" si="4"/>
        <v>10/2025</v>
      </c>
    </row>
    <row r="1064" hidden="1">
      <c r="A1064" s="9">
        <v>45948.0</v>
      </c>
      <c r="B1064" s="15" t="s">
        <v>1511</v>
      </c>
      <c r="C1064" s="11" t="s">
        <v>27</v>
      </c>
      <c r="D1064" s="15" t="s">
        <v>1512</v>
      </c>
      <c r="E1064" s="69">
        <v>376.62</v>
      </c>
      <c r="F1064" s="11" t="s">
        <v>1513</v>
      </c>
      <c r="G1064" s="9">
        <v>45948.0</v>
      </c>
      <c r="H1064" s="70">
        <f t="shared" si="1"/>
        <v>18</v>
      </c>
      <c r="I1064" s="70">
        <f t="shared" si="2"/>
        <v>10</v>
      </c>
      <c r="J1064" s="70">
        <f t="shared" si="3"/>
        <v>2025</v>
      </c>
      <c r="K1064" s="70" t="str">
        <f t="shared" si="4"/>
        <v>10/2025</v>
      </c>
    </row>
    <row r="1065" hidden="1">
      <c r="A1065" s="26">
        <v>45948.0</v>
      </c>
      <c r="B1065" s="28" t="s">
        <v>1514</v>
      </c>
      <c r="C1065" s="28" t="s">
        <v>37</v>
      </c>
      <c r="D1065" s="28" t="s">
        <v>1515</v>
      </c>
      <c r="E1065" s="71">
        <v>1865.41</v>
      </c>
      <c r="F1065" s="29" t="s">
        <v>1516</v>
      </c>
      <c r="G1065" s="26">
        <v>45948.0</v>
      </c>
      <c r="H1065" s="70">
        <f t="shared" si="1"/>
        <v>18</v>
      </c>
      <c r="I1065" s="70">
        <f t="shared" si="2"/>
        <v>10</v>
      </c>
      <c r="J1065" s="70">
        <f t="shared" si="3"/>
        <v>2025</v>
      </c>
      <c r="K1065" s="70" t="str">
        <f t="shared" si="4"/>
        <v>10/2025</v>
      </c>
    </row>
    <row r="1066" hidden="1">
      <c r="A1066" s="9">
        <v>45949.0</v>
      </c>
      <c r="B1066" s="15" t="s">
        <v>1511</v>
      </c>
      <c r="C1066" s="11" t="s">
        <v>27</v>
      </c>
      <c r="D1066" s="15" t="s">
        <v>1512</v>
      </c>
      <c r="E1066" s="69">
        <v>435.68</v>
      </c>
      <c r="F1066" s="11" t="s">
        <v>1513</v>
      </c>
      <c r="G1066" s="9">
        <v>45949.0</v>
      </c>
      <c r="H1066" s="70">
        <f t="shared" si="1"/>
        <v>19</v>
      </c>
      <c r="I1066" s="70">
        <f t="shared" si="2"/>
        <v>10</v>
      </c>
      <c r="J1066" s="70">
        <f t="shared" si="3"/>
        <v>2025</v>
      </c>
      <c r="K1066" s="70" t="str">
        <f t="shared" si="4"/>
        <v>10/2025</v>
      </c>
    </row>
    <row r="1067" hidden="1">
      <c r="A1067" s="9">
        <v>45949.0</v>
      </c>
      <c r="B1067" s="15" t="s">
        <v>1514</v>
      </c>
      <c r="C1067" s="15" t="s">
        <v>37</v>
      </c>
      <c r="D1067" s="15" t="s">
        <v>1515</v>
      </c>
      <c r="E1067" s="69">
        <v>552.51</v>
      </c>
      <c r="F1067" s="29" t="s">
        <v>1516</v>
      </c>
      <c r="G1067" s="9">
        <v>45949.0</v>
      </c>
      <c r="H1067" s="70">
        <f t="shared" si="1"/>
        <v>19</v>
      </c>
      <c r="I1067" s="70">
        <f t="shared" si="2"/>
        <v>10</v>
      </c>
      <c r="J1067" s="70">
        <f t="shared" si="3"/>
        <v>2025</v>
      </c>
      <c r="K1067" s="70" t="str">
        <f t="shared" si="4"/>
        <v>10/2025</v>
      </c>
    </row>
    <row r="1068" hidden="1">
      <c r="A1068" s="9">
        <v>45950.0</v>
      </c>
      <c r="B1068" s="15" t="s">
        <v>1511</v>
      </c>
      <c r="C1068" s="11" t="s">
        <v>27</v>
      </c>
      <c r="D1068" s="15" t="s">
        <v>1512</v>
      </c>
      <c r="E1068" s="69">
        <v>84.12</v>
      </c>
      <c r="F1068" s="11" t="s">
        <v>1513</v>
      </c>
      <c r="G1068" s="9">
        <v>45950.0</v>
      </c>
      <c r="H1068" s="70">
        <f t="shared" si="1"/>
        <v>20</v>
      </c>
      <c r="I1068" s="70">
        <f t="shared" si="2"/>
        <v>10</v>
      </c>
      <c r="J1068" s="70">
        <f t="shared" si="3"/>
        <v>2025</v>
      </c>
      <c r="K1068" s="70" t="str">
        <f t="shared" si="4"/>
        <v>10/2025</v>
      </c>
    </row>
    <row r="1069" hidden="1">
      <c r="A1069" s="9">
        <v>45950.0</v>
      </c>
      <c r="B1069" s="15" t="s">
        <v>1514</v>
      </c>
      <c r="C1069" s="15" t="s">
        <v>37</v>
      </c>
      <c r="D1069" s="15" t="s">
        <v>1515</v>
      </c>
      <c r="E1069" s="69">
        <v>609.82</v>
      </c>
      <c r="F1069" s="29" t="s">
        <v>1516</v>
      </c>
      <c r="G1069" s="9">
        <v>45950.0</v>
      </c>
      <c r="H1069" s="70">
        <f t="shared" si="1"/>
        <v>20</v>
      </c>
      <c r="I1069" s="70">
        <f t="shared" si="2"/>
        <v>10</v>
      </c>
      <c r="J1069" s="70">
        <f t="shared" si="3"/>
        <v>2025</v>
      </c>
      <c r="K1069" s="70" t="str">
        <f t="shared" si="4"/>
        <v>10/2025</v>
      </c>
    </row>
    <row r="1070" hidden="1">
      <c r="A1070" s="26">
        <v>45950.0</v>
      </c>
      <c r="B1070" s="28" t="s">
        <v>1523</v>
      </c>
      <c r="C1070" s="28" t="s">
        <v>27</v>
      </c>
      <c r="D1070" s="28" t="s">
        <v>1524</v>
      </c>
      <c r="E1070" s="71">
        <v>1490.65</v>
      </c>
      <c r="F1070" s="29" t="s">
        <v>1513</v>
      </c>
      <c r="G1070" s="9">
        <v>45950.0</v>
      </c>
      <c r="H1070" s="70">
        <f t="shared" si="1"/>
        <v>20</v>
      </c>
      <c r="I1070" s="70">
        <f t="shared" si="2"/>
        <v>10</v>
      </c>
      <c r="J1070" s="70">
        <f t="shared" si="3"/>
        <v>2025</v>
      </c>
      <c r="K1070" s="70" t="str">
        <f t="shared" si="4"/>
        <v>10/2025</v>
      </c>
    </row>
    <row r="1071" hidden="1">
      <c r="A1071" s="9">
        <v>45951.0</v>
      </c>
      <c r="B1071" s="15" t="s">
        <v>1511</v>
      </c>
      <c r="C1071" s="11" t="s">
        <v>27</v>
      </c>
      <c r="D1071" s="15" t="s">
        <v>1512</v>
      </c>
      <c r="E1071" s="69">
        <v>423.06</v>
      </c>
      <c r="F1071" s="11" t="s">
        <v>1513</v>
      </c>
      <c r="G1071" s="9">
        <v>45951.0</v>
      </c>
      <c r="H1071" s="70">
        <f t="shared" si="1"/>
        <v>21</v>
      </c>
      <c r="I1071" s="70">
        <f t="shared" si="2"/>
        <v>10</v>
      </c>
      <c r="J1071" s="70">
        <f t="shared" si="3"/>
        <v>2025</v>
      </c>
      <c r="K1071" s="70" t="str">
        <f t="shared" si="4"/>
        <v>10/2025</v>
      </c>
    </row>
    <row r="1072" hidden="1">
      <c r="A1072" s="9">
        <v>45951.0</v>
      </c>
      <c r="B1072" s="15" t="s">
        <v>1514</v>
      </c>
      <c r="C1072" s="15" t="s">
        <v>37</v>
      </c>
      <c r="D1072" s="15" t="s">
        <v>1515</v>
      </c>
      <c r="E1072" s="69">
        <v>2383.45</v>
      </c>
      <c r="F1072" s="11" t="s">
        <v>1516</v>
      </c>
      <c r="G1072" s="9">
        <v>45951.0</v>
      </c>
      <c r="H1072" s="70">
        <f t="shared" si="1"/>
        <v>21</v>
      </c>
      <c r="I1072" s="70">
        <f t="shared" si="2"/>
        <v>10</v>
      </c>
      <c r="J1072" s="70">
        <f t="shared" si="3"/>
        <v>2025</v>
      </c>
      <c r="K1072" s="70" t="str">
        <f t="shared" si="4"/>
        <v>10/2025</v>
      </c>
    </row>
    <row r="1073" hidden="1">
      <c r="A1073" s="9">
        <v>45952.0</v>
      </c>
      <c r="B1073" s="15" t="s">
        <v>1511</v>
      </c>
      <c r="C1073" s="11" t="s">
        <v>27</v>
      </c>
      <c r="D1073" s="15" t="s">
        <v>1512</v>
      </c>
      <c r="E1073" s="69">
        <v>1020.23</v>
      </c>
      <c r="F1073" s="11" t="s">
        <v>1513</v>
      </c>
      <c r="G1073" s="9">
        <v>45952.0</v>
      </c>
      <c r="H1073" s="70">
        <f t="shared" si="1"/>
        <v>22</v>
      </c>
      <c r="I1073" s="70">
        <f t="shared" si="2"/>
        <v>10</v>
      </c>
      <c r="J1073" s="70">
        <f t="shared" si="3"/>
        <v>2025</v>
      </c>
      <c r="K1073" s="70" t="str">
        <f t="shared" si="4"/>
        <v>10/2025</v>
      </c>
    </row>
    <row r="1074" hidden="1">
      <c r="A1074" s="9">
        <v>45952.0</v>
      </c>
      <c r="B1074" s="15" t="s">
        <v>1514</v>
      </c>
      <c r="C1074" s="15" t="s">
        <v>37</v>
      </c>
      <c r="D1074" s="15" t="s">
        <v>1515</v>
      </c>
      <c r="E1074" s="69">
        <v>1077.23</v>
      </c>
      <c r="F1074" s="11" t="s">
        <v>1516</v>
      </c>
      <c r="G1074" s="9">
        <v>45952.0</v>
      </c>
      <c r="H1074" s="70">
        <f t="shared" si="1"/>
        <v>22</v>
      </c>
      <c r="I1074" s="70">
        <f t="shared" si="2"/>
        <v>10</v>
      </c>
      <c r="J1074" s="70">
        <f t="shared" si="3"/>
        <v>2025</v>
      </c>
      <c r="K1074" s="70" t="str">
        <f t="shared" si="4"/>
        <v>10/2025</v>
      </c>
    </row>
    <row r="1075" hidden="1">
      <c r="A1075" s="9">
        <v>45953.0</v>
      </c>
      <c r="B1075" s="15" t="s">
        <v>1511</v>
      </c>
      <c r="C1075" s="11" t="s">
        <v>27</v>
      </c>
      <c r="D1075" s="15" t="s">
        <v>1512</v>
      </c>
      <c r="E1075" s="69">
        <v>483.18</v>
      </c>
      <c r="F1075" s="11" t="s">
        <v>1513</v>
      </c>
      <c r="G1075" s="9">
        <v>45953.0</v>
      </c>
      <c r="H1075" s="70">
        <f t="shared" si="1"/>
        <v>23</v>
      </c>
      <c r="I1075" s="70">
        <f t="shared" si="2"/>
        <v>10</v>
      </c>
      <c r="J1075" s="70">
        <f t="shared" si="3"/>
        <v>2025</v>
      </c>
      <c r="K1075" s="70" t="str">
        <f t="shared" si="4"/>
        <v>10/2025</v>
      </c>
    </row>
    <row r="1076" hidden="1">
      <c r="A1076" s="9">
        <v>45953.0</v>
      </c>
      <c r="B1076" s="15" t="s">
        <v>1514</v>
      </c>
      <c r="C1076" s="15" t="s">
        <v>37</v>
      </c>
      <c r="D1076" s="15" t="s">
        <v>1515</v>
      </c>
      <c r="E1076" s="69">
        <v>1487.81</v>
      </c>
      <c r="F1076" s="11" t="s">
        <v>1516</v>
      </c>
      <c r="G1076" s="9">
        <v>45953.0</v>
      </c>
      <c r="H1076" s="70">
        <f t="shared" si="1"/>
        <v>23</v>
      </c>
      <c r="I1076" s="70">
        <f t="shared" si="2"/>
        <v>10</v>
      </c>
      <c r="J1076" s="70">
        <f t="shared" si="3"/>
        <v>2025</v>
      </c>
      <c r="K1076" s="70" t="str">
        <f t="shared" si="4"/>
        <v>10/2025</v>
      </c>
    </row>
    <row r="1077" hidden="1">
      <c r="A1077" s="9">
        <v>45954.0</v>
      </c>
      <c r="B1077" s="15" t="s">
        <v>1511</v>
      </c>
      <c r="C1077" s="11" t="s">
        <v>27</v>
      </c>
      <c r="D1077" s="15" t="s">
        <v>1512</v>
      </c>
      <c r="E1077" s="69">
        <v>1000.43</v>
      </c>
      <c r="F1077" s="11" t="s">
        <v>1513</v>
      </c>
      <c r="G1077" s="9">
        <v>45954.0</v>
      </c>
      <c r="H1077" s="70">
        <f t="shared" si="1"/>
        <v>24</v>
      </c>
      <c r="I1077" s="70">
        <f t="shared" si="2"/>
        <v>10</v>
      </c>
      <c r="J1077" s="70">
        <f t="shared" si="3"/>
        <v>2025</v>
      </c>
      <c r="K1077" s="70" t="str">
        <f t="shared" si="4"/>
        <v>10/2025</v>
      </c>
    </row>
    <row r="1078" hidden="1">
      <c r="A1078" s="26">
        <v>45954.0</v>
      </c>
      <c r="B1078" s="28" t="s">
        <v>1514</v>
      </c>
      <c r="C1078" s="28" t="s">
        <v>37</v>
      </c>
      <c r="D1078" s="28" t="s">
        <v>1515</v>
      </c>
      <c r="E1078" s="71">
        <v>2469.9</v>
      </c>
      <c r="F1078" s="11" t="s">
        <v>1516</v>
      </c>
      <c r="G1078" s="26">
        <v>45954.0</v>
      </c>
      <c r="H1078" s="70">
        <f t="shared" si="1"/>
        <v>24</v>
      </c>
      <c r="I1078" s="70">
        <f t="shared" si="2"/>
        <v>10</v>
      </c>
      <c r="J1078" s="70">
        <f t="shared" si="3"/>
        <v>2025</v>
      </c>
      <c r="K1078" s="70" t="str">
        <f t="shared" si="4"/>
        <v>10/2025</v>
      </c>
    </row>
    <row r="1079" hidden="1">
      <c r="A1079" s="26">
        <v>45954.0</v>
      </c>
      <c r="B1079" s="28" t="s">
        <v>1523</v>
      </c>
      <c r="C1079" s="28" t="s">
        <v>27</v>
      </c>
      <c r="D1079" s="28" t="s">
        <v>1524</v>
      </c>
      <c r="E1079" s="71">
        <v>1642.12</v>
      </c>
      <c r="F1079" s="29" t="s">
        <v>1513</v>
      </c>
      <c r="G1079" s="9">
        <v>45951.0</v>
      </c>
      <c r="H1079" s="70">
        <f t="shared" si="1"/>
        <v>24</v>
      </c>
      <c r="I1079" s="70">
        <f t="shared" si="2"/>
        <v>10</v>
      </c>
      <c r="J1079" s="70">
        <f t="shared" si="3"/>
        <v>2025</v>
      </c>
      <c r="K1079" s="70" t="str">
        <f t="shared" si="4"/>
        <v>10/2025</v>
      </c>
    </row>
    <row r="1080" hidden="1">
      <c r="A1080" s="9">
        <v>45955.0</v>
      </c>
      <c r="B1080" s="15" t="s">
        <v>1511</v>
      </c>
      <c r="C1080" s="11" t="s">
        <v>27</v>
      </c>
      <c r="D1080" s="15" t="s">
        <v>1512</v>
      </c>
      <c r="E1080" s="69">
        <v>1826.59</v>
      </c>
      <c r="F1080" s="11" t="s">
        <v>1513</v>
      </c>
      <c r="G1080" s="9">
        <v>45955.0</v>
      </c>
      <c r="H1080" s="70">
        <f t="shared" si="1"/>
        <v>25</v>
      </c>
      <c r="I1080" s="70">
        <f t="shared" si="2"/>
        <v>10</v>
      </c>
      <c r="J1080" s="70">
        <f t="shared" si="3"/>
        <v>2025</v>
      </c>
      <c r="K1080" s="70" t="str">
        <f t="shared" si="4"/>
        <v>10/2025</v>
      </c>
    </row>
    <row r="1081" hidden="1">
      <c r="A1081" s="26">
        <v>45955.0</v>
      </c>
      <c r="B1081" s="28" t="s">
        <v>1514</v>
      </c>
      <c r="C1081" s="28" t="s">
        <v>37</v>
      </c>
      <c r="D1081" s="28" t="s">
        <v>1515</v>
      </c>
      <c r="E1081" s="71">
        <v>2474.89</v>
      </c>
      <c r="F1081" s="11" t="s">
        <v>1516</v>
      </c>
      <c r="G1081" s="26">
        <v>45955.0</v>
      </c>
      <c r="H1081" s="70">
        <f t="shared" si="1"/>
        <v>25</v>
      </c>
      <c r="I1081" s="70">
        <f t="shared" si="2"/>
        <v>10</v>
      </c>
      <c r="J1081" s="70">
        <f t="shared" si="3"/>
        <v>2025</v>
      </c>
      <c r="K1081" s="70" t="str">
        <f t="shared" si="4"/>
        <v>10/2025</v>
      </c>
    </row>
    <row r="1082" hidden="1">
      <c r="A1082" s="9">
        <v>45956.0</v>
      </c>
      <c r="B1082" s="15" t="s">
        <v>1511</v>
      </c>
      <c r="C1082" s="11" t="s">
        <v>27</v>
      </c>
      <c r="D1082" s="15" t="s">
        <v>1512</v>
      </c>
      <c r="E1082" s="69">
        <v>1475.32</v>
      </c>
      <c r="F1082" s="11" t="s">
        <v>1513</v>
      </c>
      <c r="G1082" s="9">
        <v>45956.0</v>
      </c>
      <c r="H1082" s="70">
        <f t="shared" si="1"/>
        <v>26</v>
      </c>
      <c r="I1082" s="70">
        <f t="shared" si="2"/>
        <v>10</v>
      </c>
      <c r="J1082" s="70">
        <f t="shared" si="3"/>
        <v>2025</v>
      </c>
      <c r="K1082" s="70" t="str">
        <f t="shared" si="4"/>
        <v>10/2025</v>
      </c>
    </row>
    <row r="1083" hidden="1">
      <c r="A1083" s="26">
        <v>45956.0</v>
      </c>
      <c r="B1083" s="28" t="s">
        <v>1514</v>
      </c>
      <c r="C1083" s="28" t="s">
        <v>37</v>
      </c>
      <c r="D1083" s="28" t="s">
        <v>1515</v>
      </c>
      <c r="E1083" s="71">
        <v>1196.82</v>
      </c>
      <c r="F1083" s="11" t="s">
        <v>1516</v>
      </c>
      <c r="G1083" s="26">
        <v>45956.0</v>
      </c>
      <c r="H1083" s="70">
        <f t="shared" si="1"/>
        <v>26</v>
      </c>
      <c r="I1083" s="70">
        <f t="shared" si="2"/>
        <v>10</v>
      </c>
      <c r="J1083" s="70">
        <f t="shared" si="3"/>
        <v>2025</v>
      </c>
      <c r="K1083" s="70" t="str">
        <f t="shared" si="4"/>
        <v>10/2025</v>
      </c>
    </row>
    <row r="1084" hidden="1">
      <c r="A1084" s="26">
        <v>45957.0</v>
      </c>
      <c r="B1084" s="28" t="s">
        <v>1519</v>
      </c>
      <c r="C1084" s="28" t="s">
        <v>27</v>
      </c>
      <c r="D1084" s="28" t="s">
        <v>1520</v>
      </c>
      <c r="E1084" s="71">
        <v>9003.15</v>
      </c>
      <c r="F1084" s="29" t="s">
        <v>1513</v>
      </c>
      <c r="G1084" s="26">
        <v>45950.0</v>
      </c>
      <c r="H1084" s="70">
        <f t="shared" si="1"/>
        <v>27</v>
      </c>
      <c r="I1084" s="70">
        <f t="shared" si="2"/>
        <v>10</v>
      </c>
      <c r="J1084" s="70">
        <f t="shared" si="3"/>
        <v>2025</v>
      </c>
      <c r="K1084" s="70" t="str">
        <f t="shared" si="4"/>
        <v>10/2025</v>
      </c>
    </row>
    <row r="1085" hidden="1">
      <c r="A1085" s="32">
        <v>45957.0</v>
      </c>
      <c r="B1085" s="15" t="s">
        <v>1511</v>
      </c>
      <c r="C1085" s="11" t="s">
        <v>27</v>
      </c>
      <c r="D1085" s="15" t="s">
        <v>1512</v>
      </c>
      <c r="E1085" s="69">
        <v>318.82</v>
      </c>
      <c r="F1085" s="11" t="s">
        <v>1513</v>
      </c>
      <c r="G1085" s="32">
        <v>45957.0</v>
      </c>
      <c r="H1085" s="70">
        <f t="shared" si="1"/>
        <v>27</v>
      </c>
      <c r="I1085" s="70">
        <f t="shared" si="2"/>
        <v>10</v>
      </c>
      <c r="J1085" s="70">
        <f t="shared" si="3"/>
        <v>2025</v>
      </c>
      <c r="K1085" s="70" t="str">
        <f t="shared" si="4"/>
        <v>10/2025</v>
      </c>
    </row>
    <row r="1086" hidden="1">
      <c r="A1086" s="26">
        <v>45957.0</v>
      </c>
      <c r="B1086" s="28" t="s">
        <v>1514</v>
      </c>
      <c r="C1086" s="28" t="s">
        <v>37</v>
      </c>
      <c r="D1086" s="28" t="s">
        <v>1515</v>
      </c>
      <c r="E1086" s="71">
        <v>443.87</v>
      </c>
      <c r="F1086" s="29" t="s">
        <v>1516</v>
      </c>
      <c r="G1086" s="26">
        <v>45957.0</v>
      </c>
      <c r="H1086" s="70">
        <f t="shared" si="1"/>
        <v>27</v>
      </c>
      <c r="I1086" s="70">
        <f t="shared" si="2"/>
        <v>10</v>
      </c>
      <c r="J1086" s="70">
        <f t="shared" si="3"/>
        <v>2025</v>
      </c>
      <c r="K1086" s="70" t="str">
        <f t="shared" si="4"/>
        <v>10/2025</v>
      </c>
    </row>
    <row r="1087" hidden="1">
      <c r="A1087" s="9">
        <v>45957.0</v>
      </c>
      <c r="B1087" s="11" t="s">
        <v>44</v>
      </c>
      <c r="C1087" s="11" t="s">
        <v>37</v>
      </c>
      <c r="D1087" s="11" t="s">
        <v>1539</v>
      </c>
      <c r="E1087" s="69">
        <v>15900.0</v>
      </c>
      <c r="F1087" s="11" t="s">
        <v>1516</v>
      </c>
      <c r="G1087" s="9">
        <v>45957.0</v>
      </c>
      <c r="H1087" s="70">
        <f t="shared" si="1"/>
        <v>27</v>
      </c>
      <c r="I1087" s="70">
        <f t="shared" si="2"/>
        <v>10</v>
      </c>
      <c r="J1087" s="70">
        <f t="shared" si="3"/>
        <v>2025</v>
      </c>
      <c r="K1087" s="70" t="str">
        <f t="shared" si="4"/>
        <v>10/2025</v>
      </c>
    </row>
    <row r="1088" hidden="1">
      <c r="A1088" s="32">
        <v>45958.0</v>
      </c>
      <c r="B1088" s="15" t="s">
        <v>1511</v>
      </c>
      <c r="C1088" s="11" t="s">
        <v>27</v>
      </c>
      <c r="D1088" s="15" t="s">
        <v>1512</v>
      </c>
      <c r="E1088" s="69">
        <v>190.01</v>
      </c>
      <c r="F1088" s="11" t="s">
        <v>1513</v>
      </c>
      <c r="G1088" s="32">
        <v>45958.0</v>
      </c>
      <c r="H1088" s="70">
        <f t="shared" si="1"/>
        <v>28</v>
      </c>
      <c r="I1088" s="70">
        <f t="shared" si="2"/>
        <v>10</v>
      </c>
      <c r="J1088" s="70">
        <f t="shared" si="3"/>
        <v>2025</v>
      </c>
      <c r="K1088" s="70" t="str">
        <f t="shared" si="4"/>
        <v>10/2025</v>
      </c>
    </row>
    <row r="1089" hidden="1">
      <c r="A1089" s="26">
        <v>45958.0</v>
      </c>
      <c r="B1089" s="28" t="s">
        <v>1514</v>
      </c>
      <c r="C1089" s="28" t="s">
        <v>37</v>
      </c>
      <c r="D1089" s="28" t="s">
        <v>1515</v>
      </c>
      <c r="E1089" s="71">
        <v>1031.93</v>
      </c>
      <c r="F1089" s="29" t="s">
        <v>1516</v>
      </c>
      <c r="G1089" s="26">
        <v>45958.0</v>
      </c>
      <c r="H1089" s="70">
        <f t="shared" si="1"/>
        <v>28</v>
      </c>
      <c r="I1089" s="70">
        <f t="shared" si="2"/>
        <v>10</v>
      </c>
      <c r="J1089" s="70">
        <f t="shared" si="3"/>
        <v>2025</v>
      </c>
      <c r="K1089" s="70" t="str">
        <f t="shared" si="4"/>
        <v>10/2025</v>
      </c>
    </row>
    <row r="1090" hidden="1">
      <c r="A1090" s="26">
        <v>45958.0</v>
      </c>
      <c r="B1090" s="28" t="s">
        <v>1523</v>
      </c>
      <c r="C1090" s="28" t="s">
        <v>27</v>
      </c>
      <c r="D1090" s="28" t="s">
        <v>1524</v>
      </c>
      <c r="E1090" s="71">
        <v>3350.8</v>
      </c>
      <c r="F1090" s="29" t="s">
        <v>1513</v>
      </c>
      <c r="G1090" s="9">
        <v>45958.0</v>
      </c>
      <c r="H1090" s="70">
        <f t="shared" si="1"/>
        <v>28</v>
      </c>
      <c r="I1090" s="70">
        <f t="shared" si="2"/>
        <v>10</v>
      </c>
      <c r="J1090" s="70">
        <f t="shared" si="3"/>
        <v>2025</v>
      </c>
      <c r="K1090" s="70" t="str">
        <f t="shared" si="4"/>
        <v>10/2025</v>
      </c>
    </row>
    <row r="1091" hidden="1">
      <c r="A1091" s="32">
        <v>45959.0</v>
      </c>
      <c r="B1091" s="15" t="s">
        <v>1511</v>
      </c>
      <c r="C1091" s="11" t="s">
        <v>27</v>
      </c>
      <c r="D1091" s="15" t="s">
        <v>1512</v>
      </c>
      <c r="E1091" s="69">
        <v>610.46</v>
      </c>
      <c r="F1091" s="11" t="s">
        <v>1513</v>
      </c>
      <c r="G1091" s="32">
        <v>45959.0</v>
      </c>
      <c r="H1091" s="70">
        <f t="shared" si="1"/>
        <v>29</v>
      </c>
      <c r="I1091" s="70">
        <f t="shared" si="2"/>
        <v>10</v>
      </c>
      <c r="J1091" s="70">
        <f t="shared" si="3"/>
        <v>2025</v>
      </c>
      <c r="K1091" s="70" t="str">
        <f t="shared" si="4"/>
        <v>10/2025</v>
      </c>
    </row>
    <row r="1092" hidden="1">
      <c r="A1092" s="26">
        <v>45959.0</v>
      </c>
      <c r="B1092" s="28" t="s">
        <v>1514</v>
      </c>
      <c r="C1092" s="28" t="s">
        <v>37</v>
      </c>
      <c r="D1092" s="28" t="s">
        <v>1515</v>
      </c>
      <c r="E1092" s="71">
        <v>1954.02</v>
      </c>
      <c r="F1092" s="29" t="s">
        <v>1516</v>
      </c>
      <c r="G1092" s="26">
        <v>45959.0</v>
      </c>
      <c r="H1092" s="70">
        <f t="shared" si="1"/>
        <v>29</v>
      </c>
      <c r="I1092" s="70">
        <f t="shared" si="2"/>
        <v>10</v>
      </c>
      <c r="J1092" s="70">
        <f t="shared" si="3"/>
        <v>2025</v>
      </c>
      <c r="K1092" s="70" t="str">
        <f t="shared" si="4"/>
        <v>10/2025</v>
      </c>
    </row>
    <row r="1093" hidden="1">
      <c r="A1093" s="32">
        <v>45960.0</v>
      </c>
      <c r="B1093" s="15" t="s">
        <v>1511</v>
      </c>
      <c r="C1093" s="11" t="s">
        <v>27</v>
      </c>
      <c r="D1093" s="15" t="s">
        <v>1512</v>
      </c>
      <c r="E1093" s="69">
        <v>924.07</v>
      </c>
      <c r="F1093" s="11" t="s">
        <v>1513</v>
      </c>
      <c r="G1093" s="32">
        <v>45960.0</v>
      </c>
      <c r="H1093" s="70">
        <f t="shared" si="1"/>
        <v>30</v>
      </c>
      <c r="I1093" s="70">
        <f t="shared" si="2"/>
        <v>10</v>
      </c>
      <c r="J1093" s="70">
        <f t="shared" si="3"/>
        <v>2025</v>
      </c>
      <c r="K1093" s="70" t="str">
        <f t="shared" si="4"/>
        <v>10/2025</v>
      </c>
    </row>
    <row r="1094" hidden="1">
      <c r="A1094" s="26">
        <v>45960.0</v>
      </c>
      <c r="B1094" s="28" t="s">
        <v>1514</v>
      </c>
      <c r="C1094" s="28" t="s">
        <v>37</v>
      </c>
      <c r="D1094" s="28" t="s">
        <v>1515</v>
      </c>
      <c r="E1094" s="71">
        <v>2051.49</v>
      </c>
      <c r="F1094" s="29" t="s">
        <v>1516</v>
      </c>
      <c r="G1094" s="26">
        <v>45960.0</v>
      </c>
      <c r="H1094" s="70">
        <f t="shared" si="1"/>
        <v>30</v>
      </c>
      <c r="I1094" s="70">
        <f t="shared" si="2"/>
        <v>10</v>
      </c>
      <c r="J1094" s="70">
        <f t="shared" si="3"/>
        <v>2025</v>
      </c>
      <c r="K1094" s="70" t="str">
        <f t="shared" si="4"/>
        <v>10/2025</v>
      </c>
    </row>
    <row r="1095" hidden="1">
      <c r="A1095" s="32">
        <v>45961.0</v>
      </c>
      <c r="B1095" s="15" t="s">
        <v>1511</v>
      </c>
      <c r="C1095" s="11" t="s">
        <v>27</v>
      </c>
      <c r="D1095" s="15" t="s">
        <v>1512</v>
      </c>
      <c r="E1095" s="69">
        <v>1271.15</v>
      </c>
      <c r="F1095" s="11" t="s">
        <v>1513</v>
      </c>
      <c r="G1095" s="32">
        <v>45961.0</v>
      </c>
      <c r="H1095" s="70">
        <f t="shared" si="1"/>
        <v>31</v>
      </c>
      <c r="I1095" s="70">
        <f t="shared" si="2"/>
        <v>10</v>
      </c>
      <c r="J1095" s="70">
        <f t="shared" si="3"/>
        <v>2025</v>
      </c>
      <c r="K1095" s="70" t="str">
        <f t="shared" si="4"/>
        <v>10/2025</v>
      </c>
    </row>
    <row r="1096" hidden="1">
      <c r="A1096" s="26">
        <v>45961.0</v>
      </c>
      <c r="B1096" s="28" t="s">
        <v>1514</v>
      </c>
      <c r="C1096" s="28" t="s">
        <v>37</v>
      </c>
      <c r="D1096" s="28" t="s">
        <v>1515</v>
      </c>
      <c r="E1096" s="71">
        <v>2683.89</v>
      </c>
      <c r="F1096" s="29" t="s">
        <v>1516</v>
      </c>
      <c r="G1096" s="26">
        <v>45961.0</v>
      </c>
      <c r="H1096" s="70">
        <f t="shared" si="1"/>
        <v>31</v>
      </c>
      <c r="I1096" s="70">
        <f t="shared" si="2"/>
        <v>10</v>
      </c>
      <c r="J1096" s="70">
        <f t="shared" si="3"/>
        <v>2025</v>
      </c>
      <c r="K1096" s="70" t="str">
        <f t="shared" si="4"/>
        <v>10/2025</v>
      </c>
    </row>
    <row r="1097" hidden="1">
      <c r="A1097" s="26">
        <v>45961.0</v>
      </c>
      <c r="B1097" s="28" t="s">
        <v>1523</v>
      </c>
      <c r="C1097" s="28" t="s">
        <v>27</v>
      </c>
      <c r="D1097" s="28" t="s">
        <v>1524</v>
      </c>
      <c r="E1097" s="71">
        <v>1512.07</v>
      </c>
      <c r="F1097" s="29" t="s">
        <v>1513</v>
      </c>
      <c r="G1097" s="9">
        <v>45964.0</v>
      </c>
      <c r="H1097" s="70">
        <f t="shared" si="1"/>
        <v>31</v>
      </c>
      <c r="I1097" s="70">
        <f t="shared" si="2"/>
        <v>10</v>
      </c>
      <c r="J1097" s="70">
        <f t="shared" si="3"/>
        <v>2025</v>
      </c>
      <c r="K1097" s="70" t="str">
        <f t="shared" si="4"/>
        <v>10/2025</v>
      </c>
    </row>
    <row r="1098" hidden="1">
      <c r="A1098" s="9">
        <v>45962.0</v>
      </c>
      <c r="B1098" s="15" t="s">
        <v>1511</v>
      </c>
      <c r="C1098" s="11" t="s">
        <v>27</v>
      </c>
      <c r="D1098" s="15" t="s">
        <v>1512</v>
      </c>
      <c r="E1098" s="69">
        <v>940.91</v>
      </c>
      <c r="F1098" s="11" t="s">
        <v>1513</v>
      </c>
      <c r="G1098" s="9">
        <v>45962.0</v>
      </c>
      <c r="H1098" s="70">
        <f t="shared" si="1"/>
        <v>1</v>
      </c>
      <c r="I1098" s="70">
        <f t="shared" si="2"/>
        <v>11</v>
      </c>
      <c r="J1098" s="70">
        <f t="shared" si="3"/>
        <v>2025</v>
      </c>
      <c r="K1098" s="70" t="str">
        <f t="shared" si="4"/>
        <v>11/2025</v>
      </c>
    </row>
    <row r="1099" hidden="1">
      <c r="A1099" s="26">
        <v>45962.0</v>
      </c>
      <c r="B1099" s="28" t="s">
        <v>1514</v>
      </c>
      <c r="C1099" s="28" t="s">
        <v>37</v>
      </c>
      <c r="D1099" s="28" t="s">
        <v>1515</v>
      </c>
      <c r="E1099" s="71">
        <v>2411.02</v>
      </c>
      <c r="F1099" s="29" t="s">
        <v>1516</v>
      </c>
      <c r="G1099" s="26">
        <v>45962.0</v>
      </c>
      <c r="H1099" s="70">
        <f t="shared" si="1"/>
        <v>1</v>
      </c>
      <c r="I1099" s="70">
        <f t="shared" si="2"/>
        <v>11</v>
      </c>
      <c r="J1099" s="70">
        <f t="shared" si="3"/>
        <v>2025</v>
      </c>
      <c r="K1099" s="70" t="str">
        <f t="shared" si="4"/>
        <v>11/2025</v>
      </c>
    </row>
    <row r="1100" hidden="1">
      <c r="A1100" s="9">
        <v>45963.0</v>
      </c>
      <c r="B1100" s="15" t="s">
        <v>1511</v>
      </c>
      <c r="C1100" s="11" t="s">
        <v>27</v>
      </c>
      <c r="D1100" s="15" t="s">
        <v>1512</v>
      </c>
      <c r="E1100" s="69">
        <v>1684.19</v>
      </c>
      <c r="F1100" s="11" t="s">
        <v>1513</v>
      </c>
      <c r="G1100" s="9">
        <v>45963.0</v>
      </c>
      <c r="H1100" s="70">
        <f t="shared" si="1"/>
        <v>2</v>
      </c>
      <c r="I1100" s="70">
        <f t="shared" si="2"/>
        <v>11</v>
      </c>
      <c r="J1100" s="70">
        <f t="shared" si="3"/>
        <v>2025</v>
      </c>
      <c r="K1100" s="70" t="str">
        <f t="shared" si="4"/>
        <v>11/2025</v>
      </c>
    </row>
    <row r="1101" hidden="1">
      <c r="A1101" s="26">
        <v>45963.0</v>
      </c>
      <c r="B1101" s="28" t="s">
        <v>1514</v>
      </c>
      <c r="C1101" s="28" t="s">
        <v>37</v>
      </c>
      <c r="D1101" s="28" t="s">
        <v>1515</v>
      </c>
      <c r="E1101" s="71">
        <v>3051.85</v>
      </c>
      <c r="F1101" s="29" t="s">
        <v>1516</v>
      </c>
      <c r="G1101" s="26">
        <v>45963.0</v>
      </c>
      <c r="H1101" s="70">
        <f t="shared" si="1"/>
        <v>2</v>
      </c>
      <c r="I1101" s="70">
        <f t="shared" si="2"/>
        <v>11</v>
      </c>
      <c r="J1101" s="70">
        <f t="shared" si="3"/>
        <v>2025</v>
      </c>
      <c r="K1101" s="70" t="str">
        <f t="shared" si="4"/>
        <v>11/2025</v>
      </c>
    </row>
    <row r="1102" hidden="1">
      <c r="A1102" s="9">
        <v>45964.0</v>
      </c>
      <c r="B1102" s="15" t="s">
        <v>1511</v>
      </c>
      <c r="C1102" s="11" t="s">
        <v>27</v>
      </c>
      <c r="D1102" s="15" t="s">
        <v>1512</v>
      </c>
      <c r="E1102" s="69">
        <v>192.18</v>
      </c>
      <c r="F1102" s="11" t="s">
        <v>1513</v>
      </c>
      <c r="G1102" s="9">
        <v>45964.0</v>
      </c>
      <c r="H1102" s="70">
        <f t="shared" si="1"/>
        <v>3</v>
      </c>
      <c r="I1102" s="70">
        <f t="shared" si="2"/>
        <v>11</v>
      </c>
      <c r="J1102" s="70">
        <f t="shared" si="3"/>
        <v>2025</v>
      </c>
      <c r="K1102" s="70" t="str">
        <f t="shared" si="4"/>
        <v>11/2025</v>
      </c>
    </row>
    <row r="1103" hidden="1">
      <c r="A1103" s="9">
        <v>45964.0</v>
      </c>
      <c r="B1103" s="15" t="s">
        <v>1514</v>
      </c>
      <c r="C1103" s="15" t="s">
        <v>37</v>
      </c>
      <c r="D1103" s="15" t="s">
        <v>1515</v>
      </c>
      <c r="E1103" s="69">
        <v>217.46</v>
      </c>
      <c r="F1103" s="29" t="s">
        <v>1516</v>
      </c>
      <c r="G1103" s="9">
        <v>45964.0</v>
      </c>
      <c r="H1103" s="70">
        <f t="shared" si="1"/>
        <v>3</v>
      </c>
      <c r="I1103" s="70">
        <f t="shared" si="2"/>
        <v>11</v>
      </c>
      <c r="J1103" s="70">
        <f t="shared" si="3"/>
        <v>2025</v>
      </c>
      <c r="K1103" s="70" t="str">
        <f t="shared" si="4"/>
        <v>11/2025</v>
      </c>
    </row>
    <row r="1104" hidden="1">
      <c r="A1104" s="26">
        <v>45964.0</v>
      </c>
      <c r="B1104" s="28" t="s">
        <v>1523</v>
      </c>
      <c r="C1104" s="28" t="s">
        <v>27</v>
      </c>
      <c r="D1104" s="28" t="s">
        <v>1524</v>
      </c>
      <c r="E1104" s="71">
        <v>3853.74</v>
      </c>
      <c r="F1104" s="29" t="s">
        <v>1513</v>
      </c>
      <c r="G1104" s="9">
        <v>45978.0</v>
      </c>
      <c r="H1104" s="70">
        <f t="shared" si="1"/>
        <v>3</v>
      </c>
      <c r="I1104" s="70">
        <f t="shared" si="2"/>
        <v>11</v>
      </c>
      <c r="J1104" s="70">
        <f t="shared" si="3"/>
        <v>2025</v>
      </c>
      <c r="K1104" s="70" t="str">
        <f t="shared" si="4"/>
        <v>11/2025</v>
      </c>
    </row>
    <row r="1105" hidden="1">
      <c r="A1105" s="9">
        <v>45965.0</v>
      </c>
      <c r="B1105" s="15" t="s">
        <v>1511</v>
      </c>
      <c r="C1105" s="11" t="s">
        <v>27</v>
      </c>
      <c r="D1105" s="15" t="s">
        <v>1512</v>
      </c>
      <c r="E1105" s="69">
        <v>654.6</v>
      </c>
      <c r="F1105" s="11" t="s">
        <v>1513</v>
      </c>
      <c r="G1105" s="9">
        <v>45965.0</v>
      </c>
      <c r="H1105" s="70">
        <f t="shared" si="1"/>
        <v>4</v>
      </c>
      <c r="I1105" s="70">
        <f t="shared" si="2"/>
        <v>11</v>
      </c>
      <c r="J1105" s="70">
        <f t="shared" si="3"/>
        <v>2025</v>
      </c>
      <c r="K1105" s="70" t="str">
        <f t="shared" si="4"/>
        <v>11/2025</v>
      </c>
    </row>
    <row r="1106" hidden="1">
      <c r="A1106" s="9">
        <v>45965.0</v>
      </c>
      <c r="B1106" s="15" t="s">
        <v>1514</v>
      </c>
      <c r="C1106" s="15" t="s">
        <v>37</v>
      </c>
      <c r="D1106" s="15" t="s">
        <v>1515</v>
      </c>
      <c r="E1106" s="69">
        <v>2233.8</v>
      </c>
      <c r="F1106" s="29" t="s">
        <v>1516</v>
      </c>
      <c r="G1106" s="9">
        <v>45965.0</v>
      </c>
      <c r="H1106" s="70">
        <f t="shared" si="1"/>
        <v>4</v>
      </c>
      <c r="I1106" s="70">
        <f t="shared" si="2"/>
        <v>11</v>
      </c>
      <c r="J1106" s="70">
        <f t="shared" si="3"/>
        <v>2025</v>
      </c>
      <c r="K1106" s="70" t="str">
        <f t="shared" si="4"/>
        <v>11/2025</v>
      </c>
    </row>
    <row r="1107" hidden="1">
      <c r="A1107" s="9">
        <v>45966.0</v>
      </c>
      <c r="B1107" s="15" t="s">
        <v>1511</v>
      </c>
      <c r="C1107" s="11" t="s">
        <v>27</v>
      </c>
      <c r="D1107" s="15" t="s">
        <v>1512</v>
      </c>
      <c r="E1107" s="69">
        <v>358.53</v>
      </c>
      <c r="F1107" s="11" t="s">
        <v>1513</v>
      </c>
      <c r="G1107" s="9">
        <v>45966.0</v>
      </c>
      <c r="H1107" s="70">
        <f t="shared" si="1"/>
        <v>5</v>
      </c>
      <c r="I1107" s="70">
        <f t="shared" si="2"/>
        <v>11</v>
      </c>
      <c r="J1107" s="70">
        <f t="shared" si="3"/>
        <v>2025</v>
      </c>
      <c r="K1107" s="70" t="str">
        <f t="shared" si="4"/>
        <v>11/2025</v>
      </c>
    </row>
    <row r="1108" hidden="1">
      <c r="A1108" s="9">
        <v>45966.0</v>
      </c>
      <c r="B1108" s="15" t="s">
        <v>1514</v>
      </c>
      <c r="C1108" s="15" t="s">
        <v>37</v>
      </c>
      <c r="D1108" s="15" t="s">
        <v>1515</v>
      </c>
      <c r="E1108" s="69">
        <v>1595.08</v>
      </c>
      <c r="F1108" s="29" t="s">
        <v>1516</v>
      </c>
      <c r="G1108" s="9">
        <v>45966.0</v>
      </c>
      <c r="H1108" s="70">
        <f t="shared" si="1"/>
        <v>5</v>
      </c>
      <c r="I1108" s="70">
        <f t="shared" si="2"/>
        <v>11</v>
      </c>
      <c r="J1108" s="70">
        <f t="shared" si="3"/>
        <v>2025</v>
      </c>
      <c r="K1108" s="70" t="str">
        <f t="shared" si="4"/>
        <v>11/2025</v>
      </c>
    </row>
    <row r="1109" hidden="1">
      <c r="A1109" s="26">
        <v>45966.0</v>
      </c>
      <c r="B1109" s="28" t="s">
        <v>1519</v>
      </c>
      <c r="C1109" s="28" t="s">
        <v>27</v>
      </c>
      <c r="D1109" s="28" t="s">
        <v>1520</v>
      </c>
      <c r="E1109" s="71">
        <v>14767.45</v>
      </c>
      <c r="F1109" s="29" t="s">
        <v>1513</v>
      </c>
      <c r="G1109" s="26">
        <v>45966.0</v>
      </c>
      <c r="H1109" s="70">
        <f t="shared" si="1"/>
        <v>5</v>
      </c>
      <c r="I1109" s="70">
        <f t="shared" si="2"/>
        <v>11</v>
      </c>
      <c r="J1109" s="70">
        <f t="shared" si="3"/>
        <v>2025</v>
      </c>
      <c r="K1109" s="70" t="str">
        <f t="shared" si="4"/>
        <v>11/2025</v>
      </c>
    </row>
    <row r="1110" hidden="1">
      <c r="A1110" s="9">
        <v>45967.0</v>
      </c>
      <c r="B1110" s="15" t="s">
        <v>1511</v>
      </c>
      <c r="C1110" s="11" t="s">
        <v>27</v>
      </c>
      <c r="D1110" s="15" t="s">
        <v>1512</v>
      </c>
      <c r="E1110" s="69">
        <v>951.26</v>
      </c>
      <c r="F1110" s="11" t="s">
        <v>1513</v>
      </c>
      <c r="G1110" s="9">
        <v>45967.0</v>
      </c>
      <c r="H1110" s="70">
        <f t="shared" si="1"/>
        <v>6</v>
      </c>
      <c r="I1110" s="70">
        <f t="shared" si="2"/>
        <v>11</v>
      </c>
      <c r="J1110" s="70">
        <f t="shared" si="3"/>
        <v>2025</v>
      </c>
      <c r="K1110" s="70" t="str">
        <f t="shared" si="4"/>
        <v>11/2025</v>
      </c>
    </row>
    <row r="1111" hidden="1">
      <c r="A1111" s="9">
        <v>45967.0</v>
      </c>
      <c r="B1111" s="15" t="s">
        <v>1514</v>
      </c>
      <c r="C1111" s="15" t="s">
        <v>37</v>
      </c>
      <c r="D1111" s="15" t="s">
        <v>1515</v>
      </c>
      <c r="E1111" s="69">
        <v>2795.24</v>
      </c>
      <c r="F1111" s="29" t="s">
        <v>1516</v>
      </c>
      <c r="G1111" s="9">
        <v>45967.0</v>
      </c>
      <c r="H1111" s="70">
        <f t="shared" si="1"/>
        <v>6</v>
      </c>
      <c r="I1111" s="70">
        <f t="shared" si="2"/>
        <v>11</v>
      </c>
      <c r="J1111" s="70">
        <f t="shared" si="3"/>
        <v>2025</v>
      </c>
      <c r="K1111" s="70" t="str">
        <f t="shared" si="4"/>
        <v>11/2025</v>
      </c>
    </row>
    <row r="1112" hidden="1">
      <c r="A1112" s="9">
        <v>45968.0</v>
      </c>
      <c r="B1112" s="15" t="s">
        <v>1511</v>
      </c>
      <c r="C1112" s="11" t="s">
        <v>27</v>
      </c>
      <c r="D1112" s="15" t="s">
        <v>1512</v>
      </c>
      <c r="E1112" s="69">
        <v>855.75</v>
      </c>
      <c r="F1112" s="11" t="s">
        <v>1513</v>
      </c>
      <c r="G1112" s="9">
        <v>45968.0</v>
      </c>
      <c r="H1112" s="70">
        <f t="shared" si="1"/>
        <v>7</v>
      </c>
      <c r="I1112" s="70">
        <f t="shared" si="2"/>
        <v>11</v>
      </c>
      <c r="J1112" s="70">
        <f t="shared" si="3"/>
        <v>2025</v>
      </c>
      <c r="K1112" s="70" t="str">
        <f t="shared" si="4"/>
        <v>11/2025</v>
      </c>
    </row>
    <row r="1113" hidden="1">
      <c r="A1113" s="9">
        <v>45968.0</v>
      </c>
      <c r="B1113" s="15" t="s">
        <v>1514</v>
      </c>
      <c r="C1113" s="15" t="s">
        <v>37</v>
      </c>
      <c r="D1113" s="15" t="s">
        <v>1515</v>
      </c>
      <c r="E1113" s="69">
        <v>3022.06</v>
      </c>
      <c r="F1113" s="29" t="s">
        <v>1516</v>
      </c>
      <c r="G1113" s="9">
        <v>45968.0</v>
      </c>
      <c r="H1113" s="70">
        <f t="shared" si="1"/>
        <v>7</v>
      </c>
      <c r="I1113" s="70">
        <f t="shared" si="2"/>
        <v>11</v>
      </c>
      <c r="J1113" s="70">
        <f t="shared" si="3"/>
        <v>2025</v>
      </c>
      <c r="K1113" s="70" t="str">
        <f t="shared" si="4"/>
        <v>11/2025</v>
      </c>
    </row>
    <row r="1114" hidden="1">
      <c r="A1114" s="9">
        <v>45969.0</v>
      </c>
      <c r="B1114" s="15" t="s">
        <v>1511</v>
      </c>
      <c r="C1114" s="11" t="s">
        <v>27</v>
      </c>
      <c r="D1114" s="15" t="s">
        <v>1512</v>
      </c>
      <c r="E1114" s="69">
        <v>863.29</v>
      </c>
      <c r="F1114" s="11" t="s">
        <v>1513</v>
      </c>
      <c r="G1114" s="9">
        <v>45969.0</v>
      </c>
      <c r="H1114" s="70">
        <f t="shared" si="1"/>
        <v>8</v>
      </c>
      <c r="I1114" s="70">
        <f t="shared" si="2"/>
        <v>11</v>
      </c>
      <c r="J1114" s="70">
        <f t="shared" si="3"/>
        <v>2025</v>
      </c>
      <c r="K1114" s="70" t="str">
        <f t="shared" si="4"/>
        <v>11/2025</v>
      </c>
    </row>
    <row r="1115" hidden="1">
      <c r="A1115" s="9">
        <v>45969.0</v>
      </c>
      <c r="B1115" s="15" t="s">
        <v>1514</v>
      </c>
      <c r="C1115" s="15" t="s">
        <v>37</v>
      </c>
      <c r="D1115" s="15" t="s">
        <v>1515</v>
      </c>
      <c r="E1115" s="69">
        <v>2975.11</v>
      </c>
      <c r="F1115" s="29" t="s">
        <v>1516</v>
      </c>
      <c r="G1115" s="9">
        <v>45969.0</v>
      </c>
      <c r="H1115" s="70">
        <f t="shared" si="1"/>
        <v>8</v>
      </c>
      <c r="I1115" s="70">
        <f t="shared" si="2"/>
        <v>11</v>
      </c>
      <c r="J1115" s="70">
        <f t="shared" si="3"/>
        <v>2025</v>
      </c>
      <c r="K1115" s="70" t="str">
        <f t="shared" si="4"/>
        <v>11/2025</v>
      </c>
    </row>
    <row r="1116" hidden="1">
      <c r="A1116" s="9">
        <v>45970.0</v>
      </c>
      <c r="B1116" s="15" t="s">
        <v>1511</v>
      </c>
      <c r="C1116" s="11" t="s">
        <v>27</v>
      </c>
      <c r="D1116" s="15" t="s">
        <v>1512</v>
      </c>
      <c r="E1116" s="69">
        <v>839.47</v>
      </c>
      <c r="F1116" s="11" t="s">
        <v>1513</v>
      </c>
      <c r="G1116" s="9">
        <v>45970.0</v>
      </c>
      <c r="H1116" s="70">
        <f t="shared" si="1"/>
        <v>9</v>
      </c>
      <c r="I1116" s="70">
        <f t="shared" si="2"/>
        <v>11</v>
      </c>
      <c r="J1116" s="70">
        <f t="shared" si="3"/>
        <v>2025</v>
      </c>
      <c r="K1116" s="70" t="str">
        <f t="shared" si="4"/>
        <v>11/2025</v>
      </c>
    </row>
    <row r="1117" hidden="1">
      <c r="A1117" s="9">
        <v>45970.0</v>
      </c>
      <c r="B1117" s="15" t="s">
        <v>1514</v>
      </c>
      <c r="C1117" s="15" t="s">
        <v>37</v>
      </c>
      <c r="D1117" s="15" t="s">
        <v>1515</v>
      </c>
      <c r="E1117" s="69">
        <v>2495.93</v>
      </c>
      <c r="F1117" s="29" t="s">
        <v>1516</v>
      </c>
      <c r="G1117" s="9">
        <v>45970.0</v>
      </c>
      <c r="H1117" s="70">
        <f t="shared" si="1"/>
        <v>9</v>
      </c>
      <c r="I1117" s="70">
        <f t="shared" si="2"/>
        <v>11</v>
      </c>
      <c r="J1117" s="70">
        <f t="shared" si="3"/>
        <v>2025</v>
      </c>
      <c r="K1117" s="70" t="str">
        <f t="shared" si="4"/>
        <v>11/2025</v>
      </c>
    </row>
    <row r="1118" hidden="1">
      <c r="A1118" s="9">
        <v>45971.0</v>
      </c>
      <c r="B1118" s="15" t="s">
        <v>1511</v>
      </c>
      <c r="C1118" s="11" t="s">
        <v>27</v>
      </c>
      <c r="D1118" s="15" t="s">
        <v>1512</v>
      </c>
      <c r="E1118" s="69">
        <v>173.86</v>
      </c>
      <c r="F1118" s="11" t="s">
        <v>1513</v>
      </c>
      <c r="G1118" s="9">
        <v>45971.0</v>
      </c>
      <c r="H1118" s="70">
        <f t="shared" si="1"/>
        <v>10</v>
      </c>
      <c r="I1118" s="70">
        <f t="shared" si="2"/>
        <v>11</v>
      </c>
      <c r="J1118" s="70">
        <f t="shared" si="3"/>
        <v>2025</v>
      </c>
      <c r="K1118" s="70" t="str">
        <f t="shared" si="4"/>
        <v>11/2025</v>
      </c>
    </row>
    <row r="1119" hidden="1">
      <c r="A1119" s="9">
        <v>45971.0</v>
      </c>
      <c r="B1119" s="15" t="s">
        <v>1514</v>
      </c>
      <c r="C1119" s="15" t="s">
        <v>37</v>
      </c>
      <c r="D1119" s="15" t="s">
        <v>1515</v>
      </c>
      <c r="E1119" s="69">
        <v>186.06</v>
      </c>
      <c r="F1119" s="11" t="s">
        <v>1516</v>
      </c>
      <c r="G1119" s="9">
        <v>45971.0</v>
      </c>
      <c r="H1119" s="70">
        <f t="shared" si="1"/>
        <v>10</v>
      </c>
      <c r="I1119" s="70">
        <f t="shared" si="2"/>
        <v>11</v>
      </c>
      <c r="J1119" s="70">
        <f t="shared" si="3"/>
        <v>2025</v>
      </c>
      <c r="K1119" s="70" t="str">
        <f t="shared" si="4"/>
        <v>11/2025</v>
      </c>
    </row>
    <row r="1120" hidden="1">
      <c r="A1120" s="9">
        <v>45971.0</v>
      </c>
      <c r="B1120" s="11" t="s">
        <v>44</v>
      </c>
      <c r="C1120" s="28" t="s">
        <v>27</v>
      </c>
      <c r="D1120" s="11" t="s">
        <v>1535</v>
      </c>
      <c r="E1120" s="69">
        <v>4.7</v>
      </c>
      <c r="F1120" s="11" t="s">
        <v>1513</v>
      </c>
      <c r="G1120" s="9">
        <v>45971.0</v>
      </c>
      <c r="H1120" s="70">
        <f t="shared" si="1"/>
        <v>10</v>
      </c>
      <c r="I1120" s="70">
        <f t="shared" si="2"/>
        <v>11</v>
      </c>
      <c r="J1120" s="70">
        <f t="shared" si="3"/>
        <v>2025</v>
      </c>
      <c r="K1120" s="70" t="str">
        <f t="shared" si="4"/>
        <v>11/2025</v>
      </c>
    </row>
    <row r="1121" hidden="1">
      <c r="A1121" s="9">
        <v>45972.0</v>
      </c>
      <c r="B1121" s="15" t="s">
        <v>1511</v>
      </c>
      <c r="C1121" s="11" t="s">
        <v>66</v>
      </c>
      <c r="D1121" s="15" t="s">
        <v>1512</v>
      </c>
      <c r="E1121" s="69">
        <v>319.81</v>
      </c>
      <c r="F1121" s="11" t="s">
        <v>1516</v>
      </c>
      <c r="G1121" s="9">
        <v>45972.0</v>
      </c>
      <c r="H1121" s="70">
        <f t="shared" si="1"/>
        <v>11</v>
      </c>
      <c r="I1121" s="70">
        <f t="shared" si="2"/>
        <v>11</v>
      </c>
      <c r="J1121" s="70">
        <f t="shared" si="3"/>
        <v>2025</v>
      </c>
      <c r="K1121" s="70" t="str">
        <f t="shared" si="4"/>
        <v>11/2025</v>
      </c>
    </row>
    <row r="1122" hidden="1">
      <c r="A1122" s="9">
        <v>45972.0</v>
      </c>
      <c r="B1122" s="15" t="s">
        <v>1514</v>
      </c>
      <c r="C1122" s="15" t="s">
        <v>37</v>
      </c>
      <c r="D1122" s="15" t="s">
        <v>1515</v>
      </c>
      <c r="E1122" s="69">
        <v>1823.86</v>
      </c>
      <c r="F1122" s="11" t="s">
        <v>1516</v>
      </c>
      <c r="G1122" s="9">
        <v>45972.0</v>
      </c>
      <c r="H1122" s="70">
        <f t="shared" si="1"/>
        <v>11</v>
      </c>
      <c r="I1122" s="70">
        <f t="shared" si="2"/>
        <v>11</v>
      </c>
      <c r="J1122" s="70">
        <f t="shared" si="3"/>
        <v>2025</v>
      </c>
      <c r="K1122" s="70" t="str">
        <f t="shared" si="4"/>
        <v>11/2025</v>
      </c>
    </row>
    <row r="1123" hidden="1">
      <c r="A1123" s="9">
        <v>45973.0</v>
      </c>
      <c r="B1123" s="15" t="s">
        <v>1511</v>
      </c>
      <c r="C1123" s="11" t="s">
        <v>27</v>
      </c>
      <c r="D1123" s="15" t="s">
        <v>1512</v>
      </c>
      <c r="E1123" s="69">
        <v>2154.98</v>
      </c>
      <c r="F1123" s="11" t="s">
        <v>1513</v>
      </c>
      <c r="G1123" s="9">
        <v>45973.0</v>
      </c>
      <c r="H1123" s="70">
        <f t="shared" si="1"/>
        <v>12</v>
      </c>
      <c r="I1123" s="70">
        <f t="shared" si="2"/>
        <v>11</v>
      </c>
      <c r="J1123" s="70">
        <f t="shared" si="3"/>
        <v>2025</v>
      </c>
      <c r="K1123" s="70" t="str">
        <f t="shared" si="4"/>
        <v>11/2025</v>
      </c>
    </row>
    <row r="1124" hidden="1">
      <c r="A1124" s="9">
        <v>45973.0</v>
      </c>
      <c r="B1124" s="15" t="s">
        <v>1514</v>
      </c>
      <c r="C1124" s="15" t="s">
        <v>37</v>
      </c>
      <c r="D1124" s="15" t="s">
        <v>1515</v>
      </c>
      <c r="E1124" s="69">
        <v>2717.97</v>
      </c>
      <c r="F1124" s="11" t="s">
        <v>1516</v>
      </c>
      <c r="G1124" s="9">
        <v>45973.0</v>
      </c>
      <c r="H1124" s="70">
        <f t="shared" si="1"/>
        <v>12</v>
      </c>
      <c r="I1124" s="70">
        <f t="shared" si="2"/>
        <v>11</v>
      </c>
      <c r="J1124" s="70">
        <f t="shared" si="3"/>
        <v>2025</v>
      </c>
      <c r="K1124" s="70" t="str">
        <f t="shared" si="4"/>
        <v>11/2025</v>
      </c>
    </row>
    <row r="1125" hidden="1">
      <c r="A1125" s="9">
        <v>45974.0</v>
      </c>
      <c r="B1125" s="15" t="s">
        <v>1511</v>
      </c>
      <c r="C1125" s="11" t="s">
        <v>27</v>
      </c>
      <c r="D1125" s="15" t="s">
        <v>1512</v>
      </c>
      <c r="E1125" s="69">
        <v>945.14</v>
      </c>
      <c r="F1125" s="11" t="s">
        <v>1513</v>
      </c>
      <c r="G1125" s="9">
        <v>45974.0</v>
      </c>
      <c r="H1125" s="70">
        <f t="shared" si="1"/>
        <v>13</v>
      </c>
      <c r="I1125" s="70">
        <f t="shared" si="2"/>
        <v>11</v>
      </c>
      <c r="J1125" s="70">
        <f t="shared" si="3"/>
        <v>2025</v>
      </c>
      <c r="K1125" s="70" t="str">
        <f t="shared" si="4"/>
        <v>11/2025</v>
      </c>
    </row>
    <row r="1126" hidden="1">
      <c r="A1126" s="9">
        <v>45974.0</v>
      </c>
      <c r="B1126" s="15" t="s">
        <v>1514</v>
      </c>
      <c r="C1126" s="15" t="s">
        <v>37</v>
      </c>
      <c r="D1126" s="15" t="s">
        <v>1515</v>
      </c>
      <c r="E1126" s="69">
        <v>3290.04</v>
      </c>
      <c r="F1126" s="11" t="s">
        <v>1516</v>
      </c>
      <c r="G1126" s="9">
        <v>45974.0</v>
      </c>
      <c r="H1126" s="70">
        <f t="shared" si="1"/>
        <v>13</v>
      </c>
      <c r="I1126" s="70">
        <f t="shared" si="2"/>
        <v>11</v>
      </c>
      <c r="J1126" s="70">
        <f t="shared" si="3"/>
        <v>2025</v>
      </c>
      <c r="K1126" s="70" t="str">
        <f t="shared" si="4"/>
        <v>11/2025</v>
      </c>
    </row>
    <row r="1127" hidden="1">
      <c r="A1127" s="9">
        <v>45975.0</v>
      </c>
      <c r="B1127" s="15" t="s">
        <v>1511</v>
      </c>
      <c r="C1127" s="11" t="s">
        <v>27</v>
      </c>
      <c r="D1127" s="15" t="s">
        <v>1512</v>
      </c>
      <c r="E1127" s="69">
        <v>1731.14</v>
      </c>
      <c r="F1127" s="11" t="s">
        <v>1513</v>
      </c>
      <c r="G1127" s="9">
        <v>45975.0</v>
      </c>
      <c r="H1127" s="70">
        <f t="shared" si="1"/>
        <v>14</v>
      </c>
      <c r="I1127" s="70">
        <f t="shared" si="2"/>
        <v>11</v>
      </c>
      <c r="J1127" s="70">
        <f t="shared" si="3"/>
        <v>2025</v>
      </c>
      <c r="K1127" s="70" t="str">
        <f t="shared" si="4"/>
        <v>11/2025</v>
      </c>
    </row>
    <row r="1128" hidden="1">
      <c r="A1128" s="9">
        <v>45975.0</v>
      </c>
      <c r="B1128" s="15" t="s">
        <v>1514</v>
      </c>
      <c r="C1128" s="15" t="s">
        <v>37</v>
      </c>
      <c r="D1128" s="15" t="s">
        <v>1515</v>
      </c>
      <c r="E1128" s="69">
        <v>3602.18</v>
      </c>
      <c r="F1128" s="11" t="s">
        <v>1516</v>
      </c>
      <c r="G1128" s="9">
        <v>45975.0</v>
      </c>
      <c r="H1128" s="70">
        <f t="shared" si="1"/>
        <v>14</v>
      </c>
      <c r="I1128" s="70">
        <f t="shared" si="2"/>
        <v>11</v>
      </c>
      <c r="J1128" s="70">
        <f t="shared" si="3"/>
        <v>2025</v>
      </c>
      <c r="K1128" s="70" t="str">
        <f t="shared" si="4"/>
        <v>11/2025</v>
      </c>
    </row>
    <row r="1129" hidden="1">
      <c r="A1129" s="26">
        <v>45975.0</v>
      </c>
      <c r="B1129" s="28" t="s">
        <v>1523</v>
      </c>
      <c r="C1129" s="28" t="s">
        <v>27</v>
      </c>
      <c r="D1129" s="28" t="s">
        <v>1524</v>
      </c>
      <c r="E1129" s="71">
        <v>3112.43</v>
      </c>
      <c r="F1129" s="29" t="s">
        <v>1513</v>
      </c>
      <c r="G1129" s="9">
        <v>45975.0</v>
      </c>
      <c r="H1129" s="70">
        <f t="shared" si="1"/>
        <v>14</v>
      </c>
      <c r="I1129" s="70">
        <f t="shared" si="2"/>
        <v>11</v>
      </c>
      <c r="J1129" s="70">
        <f t="shared" si="3"/>
        <v>2025</v>
      </c>
      <c r="K1129" s="70" t="str">
        <f t="shared" si="4"/>
        <v>11/2025</v>
      </c>
    </row>
    <row r="1130" hidden="1">
      <c r="A1130" s="9">
        <v>45976.0</v>
      </c>
      <c r="B1130" s="15" t="s">
        <v>1511</v>
      </c>
      <c r="C1130" s="11" t="s">
        <v>27</v>
      </c>
      <c r="D1130" s="15" t="s">
        <v>1512</v>
      </c>
      <c r="E1130" s="69">
        <v>872.07</v>
      </c>
      <c r="F1130" s="11" t="s">
        <v>1513</v>
      </c>
      <c r="G1130" s="9">
        <v>45976.0</v>
      </c>
      <c r="H1130" s="70">
        <f t="shared" si="1"/>
        <v>15</v>
      </c>
      <c r="I1130" s="70">
        <f t="shared" si="2"/>
        <v>11</v>
      </c>
      <c r="J1130" s="70">
        <f t="shared" si="3"/>
        <v>2025</v>
      </c>
      <c r="K1130" s="70" t="str">
        <f t="shared" si="4"/>
        <v>11/2025</v>
      </c>
    </row>
    <row r="1131" hidden="1">
      <c r="A1131" s="9">
        <v>45976.0</v>
      </c>
      <c r="B1131" s="15" t="s">
        <v>1514</v>
      </c>
      <c r="C1131" s="15" t="s">
        <v>37</v>
      </c>
      <c r="D1131" s="15" t="s">
        <v>1515</v>
      </c>
      <c r="E1131" s="69">
        <v>2922.55</v>
      </c>
      <c r="F1131" s="11" t="s">
        <v>1516</v>
      </c>
      <c r="G1131" s="9">
        <v>45976.0</v>
      </c>
      <c r="H1131" s="70">
        <f t="shared" si="1"/>
        <v>15</v>
      </c>
      <c r="I1131" s="70">
        <f t="shared" si="2"/>
        <v>11</v>
      </c>
      <c r="J1131" s="70">
        <f t="shared" si="3"/>
        <v>2025</v>
      </c>
      <c r="K1131" s="70" t="str">
        <f t="shared" si="4"/>
        <v>11/2025</v>
      </c>
    </row>
    <row r="1132" hidden="1">
      <c r="A1132" s="26">
        <v>45977.0</v>
      </c>
      <c r="B1132" s="28" t="s">
        <v>1511</v>
      </c>
      <c r="C1132" s="11" t="s">
        <v>27</v>
      </c>
      <c r="D1132" s="28" t="s">
        <v>1512</v>
      </c>
      <c r="E1132" s="71">
        <v>1699.42</v>
      </c>
      <c r="F1132" s="11" t="s">
        <v>1513</v>
      </c>
      <c r="G1132" s="26">
        <v>45977.0</v>
      </c>
      <c r="H1132" s="70">
        <f t="shared" si="1"/>
        <v>16</v>
      </c>
      <c r="I1132" s="70">
        <f t="shared" si="2"/>
        <v>11</v>
      </c>
      <c r="J1132" s="70">
        <f t="shared" si="3"/>
        <v>2025</v>
      </c>
      <c r="K1132" s="70" t="str">
        <f t="shared" si="4"/>
        <v>11/2025</v>
      </c>
    </row>
    <row r="1133" hidden="1">
      <c r="A1133" s="9">
        <v>45977.0</v>
      </c>
      <c r="B1133" s="15" t="s">
        <v>1514</v>
      </c>
      <c r="C1133" s="15" t="s">
        <v>37</v>
      </c>
      <c r="D1133" s="15" t="s">
        <v>1515</v>
      </c>
      <c r="E1133" s="69">
        <v>2420.61</v>
      </c>
      <c r="F1133" s="11" t="s">
        <v>1516</v>
      </c>
      <c r="G1133" s="9">
        <v>45977.0</v>
      </c>
      <c r="H1133" s="70">
        <f t="shared" si="1"/>
        <v>16</v>
      </c>
      <c r="I1133" s="70">
        <f t="shared" si="2"/>
        <v>11</v>
      </c>
      <c r="J1133" s="70">
        <f t="shared" si="3"/>
        <v>2025</v>
      </c>
      <c r="K1133" s="70" t="str">
        <f t="shared" si="4"/>
        <v>11/2025</v>
      </c>
    </row>
    <row r="1134" hidden="1">
      <c r="A1134" s="26">
        <v>45978.0</v>
      </c>
      <c r="B1134" s="28" t="s">
        <v>1511</v>
      </c>
      <c r="C1134" s="11" t="s">
        <v>27</v>
      </c>
      <c r="D1134" s="28" t="s">
        <v>1512</v>
      </c>
      <c r="E1134" s="71">
        <v>9.59</v>
      </c>
      <c r="F1134" s="11" t="s">
        <v>1513</v>
      </c>
      <c r="G1134" s="9">
        <v>45978.0</v>
      </c>
      <c r="H1134" s="70">
        <f t="shared" si="1"/>
        <v>17</v>
      </c>
      <c r="I1134" s="70">
        <f t="shared" si="2"/>
        <v>11</v>
      </c>
      <c r="J1134" s="70">
        <f t="shared" si="3"/>
        <v>2025</v>
      </c>
      <c r="K1134" s="70" t="str">
        <f t="shared" si="4"/>
        <v>11/2025</v>
      </c>
    </row>
    <row r="1135" hidden="1">
      <c r="A1135" s="9">
        <v>45978.0</v>
      </c>
      <c r="B1135" s="15" t="s">
        <v>1514</v>
      </c>
      <c r="C1135" s="15" t="s">
        <v>37</v>
      </c>
      <c r="D1135" s="15" t="s">
        <v>1515</v>
      </c>
      <c r="E1135" s="69">
        <v>1113.12</v>
      </c>
      <c r="F1135" s="11" t="s">
        <v>1516</v>
      </c>
      <c r="G1135" s="9">
        <v>45978.0</v>
      </c>
      <c r="H1135" s="70">
        <f t="shared" si="1"/>
        <v>17</v>
      </c>
      <c r="I1135" s="70">
        <f t="shared" si="2"/>
        <v>11</v>
      </c>
      <c r="J1135" s="70">
        <f t="shared" si="3"/>
        <v>2025</v>
      </c>
      <c r="K1135" s="70" t="str">
        <f t="shared" si="4"/>
        <v>11/2025</v>
      </c>
    </row>
    <row r="1136" hidden="1">
      <c r="A1136" s="26">
        <v>45978.0</v>
      </c>
      <c r="B1136" s="74" t="s">
        <v>1523</v>
      </c>
      <c r="C1136" s="74" t="s">
        <v>27</v>
      </c>
      <c r="D1136" s="74" t="s">
        <v>1524</v>
      </c>
      <c r="E1136" s="71">
        <v>8863.31</v>
      </c>
      <c r="F1136" s="75" t="s">
        <v>1513</v>
      </c>
      <c r="G1136" s="9">
        <v>45978.0</v>
      </c>
      <c r="H1136" s="70">
        <f t="shared" si="1"/>
        <v>17</v>
      </c>
      <c r="I1136" s="70">
        <f t="shared" si="2"/>
        <v>11</v>
      </c>
      <c r="J1136" s="70">
        <f t="shared" si="3"/>
        <v>2025</v>
      </c>
      <c r="K1136" s="70" t="str">
        <f t="shared" si="4"/>
        <v>11/2025</v>
      </c>
    </row>
    <row r="1137" hidden="1">
      <c r="A1137" s="9">
        <v>45979.0</v>
      </c>
      <c r="B1137" s="15" t="s">
        <v>1519</v>
      </c>
      <c r="C1137" s="15" t="s">
        <v>27</v>
      </c>
      <c r="D1137" s="15" t="s">
        <v>1520</v>
      </c>
      <c r="E1137" s="69">
        <v>28142.37</v>
      </c>
      <c r="F1137" s="11" t="s">
        <v>1513</v>
      </c>
      <c r="G1137" s="9">
        <v>45979.0</v>
      </c>
      <c r="H1137" s="70">
        <f t="shared" si="1"/>
        <v>18</v>
      </c>
      <c r="I1137" s="70">
        <f t="shared" si="2"/>
        <v>11</v>
      </c>
      <c r="J1137" s="70">
        <f t="shared" si="3"/>
        <v>2025</v>
      </c>
      <c r="K1137" s="70" t="str">
        <f t="shared" si="4"/>
        <v>11/2025</v>
      </c>
    </row>
    <row r="1138" hidden="1">
      <c r="A1138" s="26">
        <v>45979.0</v>
      </c>
      <c r="B1138" s="28" t="s">
        <v>1511</v>
      </c>
      <c r="C1138" s="29" t="s">
        <v>27</v>
      </c>
      <c r="D1138" s="28" t="s">
        <v>1512</v>
      </c>
      <c r="E1138" s="71">
        <v>911.27</v>
      </c>
      <c r="F1138" s="29" t="s">
        <v>1513</v>
      </c>
      <c r="G1138" s="9">
        <v>45979.0</v>
      </c>
      <c r="H1138" s="70">
        <f t="shared" si="1"/>
        <v>18</v>
      </c>
      <c r="I1138" s="70">
        <f t="shared" si="2"/>
        <v>11</v>
      </c>
      <c r="J1138" s="70">
        <f t="shared" si="3"/>
        <v>2025</v>
      </c>
      <c r="K1138" s="70" t="str">
        <f t="shared" si="4"/>
        <v>11/2025</v>
      </c>
    </row>
    <row r="1139" hidden="1">
      <c r="A1139" s="9">
        <v>45979.0</v>
      </c>
      <c r="B1139" s="15" t="s">
        <v>1514</v>
      </c>
      <c r="C1139" s="15" t="s">
        <v>37</v>
      </c>
      <c r="D1139" s="15" t="s">
        <v>1515</v>
      </c>
      <c r="E1139" s="69">
        <v>2399.67</v>
      </c>
      <c r="F1139" s="11" t="s">
        <v>1516</v>
      </c>
      <c r="G1139" s="9">
        <v>45979.0</v>
      </c>
      <c r="H1139" s="70">
        <f t="shared" si="1"/>
        <v>18</v>
      </c>
      <c r="I1139" s="70">
        <f t="shared" si="2"/>
        <v>11</v>
      </c>
      <c r="J1139" s="70">
        <f t="shared" si="3"/>
        <v>2025</v>
      </c>
      <c r="K1139" s="70" t="str">
        <f t="shared" si="4"/>
        <v>11/2025</v>
      </c>
    </row>
    <row r="1140" hidden="1">
      <c r="A1140" s="26">
        <v>45980.0</v>
      </c>
      <c r="B1140" s="28" t="s">
        <v>1511</v>
      </c>
      <c r="C1140" s="29" t="s">
        <v>27</v>
      </c>
      <c r="D1140" s="28" t="s">
        <v>1512</v>
      </c>
      <c r="E1140" s="71">
        <v>1190.85</v>
      </c>
      <c r="F1140" s="29" t="s">
        <v>1513</v>
      </c>
      <c r="G1140" s="9">
        <v>45980.0</v>
      </c>
      <c r="H1140" s="70">
        <f t="shared" si="1"/>
        <v>19</v>
      </c>
      <c r="I1140" s="70">
        <f t="shared" si="2"/>
        <v>11</v>
      </c>
      <c r="J1140" s="70">
        <f t="shared" si="3"/>
        <v>2025</v>
      </c>
      <c r="K1140" s="70" t="str">
        <f t="shared" si="4"/>
        <v>11/2025</v>
      </c>
    </row>
    <row r="1141" hidden="1">
      <c r="A1141" s="9">
        <v>45980.0</v>
      </c>
      <c r="B1141" s="15" t="s">
        <v>1514</v>
      </c>
      <c r="C1141" s="15" t="s">
        <v>37</v>
      </c>
      <c r="D1141" s="15" t="s">
        <v>1515</v>
      </c>
      <c r="E1141" s="69">
        <v>3004.19</v>
      </c>
      <c r="F1141" s="11" t="s">
        <v>1516</v>
      </c>
      <c r="G1141" s="9">
        <v>45980.0</v>
      </c>
      <c r="H1141" s="70">
        <f t="shared" si="1"/>
        <v>19</v>
      </c>
      <c r="I1141" s="70">
        <f t="shared" si="2"/>
        <v>11</v>
      </c>
      <c r="J1141" s="70">
        <f t="shared" si="3"/>
        <v>2025</v>
      </c>
      <c r="K1141" s="70" t="str">
        <f t="shared" si="4"/>
        <v>11/2025</v>
      </c>
    </row>
    <row r="1142" hidden="1">
      <c r="A1142" s="26">
        <v>45981.0</v>
      </c>
      <c r="B1142" s="28" t="s">
        <v>1511</v>
      </c>
      <c r="C1142" s="29" t="s">
        <v>27</v>
      </c>
      <c r="D1142" s="28" t="s">
        <v>1512</v>
      </c>
      <c r="E1142" s="71">
        <v>1957.65</v>
      </c>
      <c r="F1142" s="29" t="s">
        <v>1513</v>
      </c>
      <c r="G1142" s="9">
        <v>45981.0</v>
      </c>
      <c r="H1142" s="70">
        <f t="shared" si="1"/>
        <v>20</v>
      </c>
      <c r="I1142" s="70">
        <f t="shared" si="2"/>
        <v>11</v>
      </c>
      <c r="J1142" s="70">
        <f t="shared" si="3"/>
        <v>2025</v>
      </c>
      <c r="K1142" s="70" t="str">
        <f t="shared" si="4"/>
        <v>11/2025</v>
      </c>
    </row>
    <row r="1143" hidden="1">
      <c r="A1143" s="26">
        <v>45981.0</v>
      </c>
      <c r="B1143" s="28" t="s">
        <v>1514</v>
      </c>
      <c r="C1143" s="28" t="s">
        <v>37</v>
      </c>
      <c r="D1143" s="28" t="s">
        <v>1515</v>
      </c>
      <c r="E1143" s="71">
        <v>3322.65</v>
      </c>
      <c r="F1143" s="11" t="s">
        <v>1516</v>
      </c>
      <c r="G1143" s="26">
        <v>45981.0</v>
      </c>
      <c r="H1143" s="70">
        <f t="shared" si="1"/>
        <v>20</v>
      </c>
      <c r="I1143" s="70">
        <f t="shared" si="2"/>
        <v>11</v>
      </c>
      <c r="J1143" s="70">
        <f t="shared" si="3"/>
        <v>2025</v>
      </c>
      <c r="K1143" s="70" t="str">
        <f t="shared" si="4"/>
        <v>11/2025</v>
      </c>
    </row>
    <row r="1144" hidden="1">
      <c r="A1144" s="26">
        <v>45982.0</v>
      </c>
      <c r="B1144" s="28" t="s">
        <v>1511</v>
      </c>
      <c r="C1144" s="29" t="s">
        <v>27</v>
      </c>
      <c r="D1144" s="28" t="s">
        <v>1512</v>
      </c>
      <c r="E1144" s="71">
        <v>1291.02</v>
      </c>
      <c r="F1144" s="29" t="s">
        <v>1513</v>
      </c>
      <c r="G1144" s="9">
        <v>45982.0</v>
      </c>
      <c r="H1144" s="70">
        <f t="shared" si="1"/>
        <v>21</v>
      </c>
      <c r="I1144" s="70">
        <f t="shared" si="2"/>
        <v>11</v>
      </c>
      <c r="J1144" s="70">
        <f t="shared" si="3"/>
        <v>2025</v>
      </c>
      <c r="K1144" s="70" t="str">
        <f t="shared" si="4"/>
        <v>11/2025</v>
      </c>
    </row>
    <row r="1145" hidden="1">
      <c r="A1145" s="26">
        <v>45982.0</v>
      </c>
      <c r="B1145" s="28" t="s">
        <v>1514</v>
      </c>
      <c r="C1145" s="28" t="s">
        <v>37</v>
      </c>
      <c r="D1145" s="28" t="s">
        <v>1515</v>
      </c>
      <c r="E1145" s="71">
        <v>2619.77</v>
      </c>
      <c r="F1145" s="11" t="s">
        <v>1516</v>
      </c>
      <c r="G1145" s="26">
        <v>45982.0</v>
      </c>
      <c r="H1145" s="70">
        <f t="shared" si="1"/>
        <v>21</v>
      </c>
      <c r="I1145" s="70">
        <f t="shared" si="2"/>
        <v>11</v>
      </c>
      <c r="J1145" s="70">
        <f t="shared" si="3"/>
        <v>2025</v>
      </c>
      <c r="K1145" s="70" t="str">
        <f t="shared" si="4"/>
        <v>11/2025</v>
      </c>
    </row>
    <row r="1146" hidden="1">
      <c r="A1146" s="26">
        <v>45983.0</v>
      </c>
      <c r="B1146" s="28" t="s">
        <v>1511</v>
      </c>
      <c r="C1146" s="29" t="s">
        <v>27</v>
      </c>
      <c r="D1146" s="28" t="s">
        <v>1512</v>
      </c>
      <c r="E1146" s="71">
        <v>858.86</v>
      </c>
      <c r="F1146" s="29" t="s">
        <v>1513</v>
      </c>
      <c r="G1146" s="9">
        <v>45983.0</v>
      </c>
      <c r="H1146" s="70">
        <f t="shared" si="1"/>
        <v>22</v>
      </c>
      <c r="I1146" s="70">
        <f t="shared" si="2"/>
        <v>11</v>
      </c>
      <c r="J1146" s="70">
        <f t="shared" si="3"/>
        <v>2025</v>
      </c>
      <c r="K1146" s="70" t="str">
        <f t="shared" si="4"/>
        <v>11/2025</v>
      </c>
    </row>
    <row r="1147" hidden="1">
      <c r="A1147" s="26">
        <v>45983.0</v>
      </c>
      <c r="B1147" s="28" t="s">
        <v>1514</v>
      </c>
      <c r="C1147" s="28" t="s">
        <v>37</v>
      </c>
      <c r="D1147" s="28" t="s">
        <v>1515</v>
      </c>
      <c r="E1147" s="71">
        <v>3458.78</v>
      </c>
      <c r="F1147" s="11" t="s">
        <v>1516</v>
      </c>
      <c r="G1147" s="26">
        <v>45983.0</v>
      </c>
      <c r="H1147" s="70">
        <f t="shared" si="1"/>
        <v>22</v>
      </c>
      <c r="I1147" s="70">
        <f t="shared" si="2"/>
        <v>11</v>
      </c>
      <c r="J1147" s="70">
        <f t="shared" si="3"/>
        <v>2025</v>
      </c>
      <c r="K1147" s="70" t="str">
        <f t="shared" si="4"/>
        <v>11/2025</v>
      </c>
    </row>
    <row r="1148" hidden="1">
      <c r="A1148" s="26">
        <v>45984.0</v>
      </c>
      <c r="B1148" s="28" t="s">
        <v>1511</v>
      </c>
      <c r="C1148" s="29" t="s">
        <v>27</v>
      </c>
      <c r="D1148" s="28" t="s">
        <v>1512</v>
      </c>
      <c r="E1148" s="71">
        <v>1216.8</v>
      </c>
      <c r="F1148" s="29" t="s">
        <v>1513</v>
      </c>
      <c r="G1148" s="9">
        <v>45984.0</v>
      </c>
      <c r="H1148" s="70">
        <f t="shared" si="1"/>
        <v>23</v>
      </c>
      <c r="I1148" s="70">
        <f t="shared" si="2"/>
        <v>11</v>
      </c>
      <c r="J1148" s="70">
        <f t="shared" si="3"/>
        <v>2025</v>
      </c>
      <c r="K1148" s="70" t="str">
        <f t="shared" si="4"/>
        <v>11/2025</v>
      </c>
    </row>
    <row r="1149" hidden="1">
      <c r="A1149" s="26">
        <v>45984.0</v>
      </c>
      <c r="B1149" s="28" t="s">
        <v>1514</v>
      </c>
      <c r="C1149" s="28" t="s">
        <v>37</v>
      </c>
      <c r="D1149" s="28" t="s">
        <v>1515</v>
      </c>
      <c r="E1149" s="71">
        <v>5026.12</v>
      </c>
      <c r="F1149" s="11" t="s">
        <v>1516</v>
      </c>
      <c r="G1149" s="26">
        <v>45984.0</v>
      </c>
      <c r="H1149" s="70">
        <f t="shared" si="1"/>
        <v>23</v>
      </c>
      <c r="I1149" s="70">
        <f t="shared" si="2"/>
        <v>11</v>
      </c>
      <c r="J1149" s="70">
        <f t="shared" si="3"/>
        <v>2025</v>
      </c>
      <c r="K1149" s="70" t="str">
        <f t="shared" si="4"/>
        <v>11/2025</v>
      </c>
    </row>
    <row r="1150" hidden="1">
      <c r="A1150" s="26">
        <v>45985.0</v>
      </c>
      <c r="B1150" s="74" t="s">
        <v>1511</v>
      </c>
      <c r="C1150" s="75" t="s">
        <v>27</v>
      </c>
      <c r="D1150" s="74" t="s">
        <v>1512</v>
      </c>
      <c r="E1150" s="71">
        <v>59.74</v>
      </c>
      <c r="F1150" s="75" t="s">
        <v>1513</v>
      </c>
      <c r="G1150" s="9">
        <v>45985.0</v>
      </c>
      <c r="H1150" s="70">
        <f t="shared" si="1"/>
        <v>24</v>
      </c>
      <c r="I1150" s="70">
        <f t="shared" si="2"/>
        <v>11</v>
      </c>
      <c r="J1150" s="70">
        <f t="shared" si="3"/>
        <v>2025</v>
      </c>
      <c r="K1150" s="70" t="str">
        <f t="shared" si="4"/>
        <v>11/2025</v>
      </c>
    </row>
    <row r="1151" hidden="1">
      <c r="A1151" s="26">
        <v>45985.0</v>
      </c>
      <c r="B1151" s="28" t="s">
        <v>1514</v>
      </c>
      <c r="C1151" s="28" t="s">
        <v>37</v>
      </c>
      <c r="D1151" s="28" t="s">
        <v>1515</v>
      </c>
      <c r="E1151" s="71">
        <v>366.19</v>
      </c>
      <c r="F1151" s="11" t="s">
        <v>1516</v>
      </c>
      <c r="G1151" s="9">
        <v>45985.0</v>
      </c>
      <c r="H1151" s="70">
        <f t="shared" si="1"/>
        <v>24</v>
      </c>
      <c r="I1151" s="70">
        <f t="shared" si="2"/>
        <v>11</v>
      </c>
      <c r="J1151" s="70">
        <f t="shared" si="3"/>
        <v>2025</v>
      </c>
      <c r="K1151" s="70" t="str">
        <f t="shared" si="4"/>
        <v>11/2025</v>
      </c>
    </row>
    <row r="1152" hidden="1">
      <c r="A1152" s="26">
        <v>45986.0</v>
      </c>
      <c r="B1152" s="74" t="s">
        <v>1511</v>
      </c>
      <c r="C1152" s="75" t="s">
        <v>27</v>
      </c>
      <c r="D1152" s="74" t="s">
        <v>1512</v>
      </c>
      <c r="E1152" s="71">
        <v>748.62</v>
      </c>
      <c r="F1152" s="75" t="s">
        <v>1513</v>
      </c>
      <c r="G1152" s="9">
        <v>45986.0</v>
      </c>
      <c r="H1152" s="70">
        <f t="shared" si="1"/>
        <v>25</v>
      </c>
      <c r="I1152" s="70">
        <f t="shared" si="2"/>
        <v>11</v>
      </c>
      <c r="J1152" s="70">
        <f t="shared" si="3"/>
        <v>2025</v>
      </c>
      <c r="K1152" s="70" t="str">
        <f t="shared" si="4"/>
        <v>11/2025</v>
      </c>
    </row>
    <row r="1153" hidden="1">
      <c r="A1153" s="26">
        <v>45986.0</v>
      </c>
      <c r="B1153" s="28" t="s">
        <v>1514</v>
      </c>
      <c r="C1153" s="28" t="s">
        <v>37</v>
      </c>
      <c r="D1153" s="28" t="s">
        <v>1515</v>
      </c>
      <c r="E1153" s="71">
        <v>4622.0</v>
      </c>
      <c r="F1153" s="11" t="s">
        <v>1516</v>
      </c>
      <c r="G1153" s="9">
        <v>45986.0</v>
      </c>
      <c r="H1153" s="70">
        <f t="shared" si="1"/>
        <v>25</v>
      </c>
      <c r="I1153" s="70">
        <f t="shared" si="2"/>
        <v>11</v>
      </c>
      <c r="J1153" s="70">
        <f t="shared" si="3"/>
        <v>2025</v>
      </c>
      <c r="K1153" s="70" t="str">
        <f t="shared" si="4"/>
        <v>11/2025</v>
      </c>
    </row>
    <row r="1154" hidden="1">
      <c r="A1154" s="26">
        <v>45987.0</v>
      </c>
      <c r="B1154" s="74" t="s">
        <v>1511</v>
      </c>
      <c r="C1154" s="75" t="s">
        <v>27</v>
      </c>
      <c r="D1154" s="74" t="s">
        <v>1512</v>
      </c>
      <c r="E1154" s="71">
        <v>1887.99</v>
      </c>
      <c r="F1154" s="75" t="s">
        <v>1513</v>
      </c>
      <c r="G1154" s="9">
        <v>45987.0</v>
      </c>
      <c r="H1154" s="70">
        <f t="shared" si="1"/>
        <v>26</v>
      </c>
      <c r="I1154" s="70">
        <f t="shared" si="2"/>
        <v>11</v>
      </c>
      <c r="J1154" s="70">
        <f t="shared" si="3"/>
        <v>2025</v>
      </c>
      <c r="K1154" s="70" t="str">
        <f t="shared" si="4"/>
        <v>11/2025</v>
      </c>
    </row>
    <row r="1155" hidden="1">
      <c r="A1155" s="26">
        <v>45987.0</v>
      </c>
      <c r="B1155" s="28" t="s">
        <v>1514</v>
      </c>
      <c r="C1155" s="28" t="s">
        <v>37</v>
      </c>
      <c r="D1155" s="28" t="s">
        <v>1515</v>
      </c>
      <c r="E1155" s="71">
        <v>4745.31</v>
      </c>
      <c r="F1155" s="11" t="s">
        <v>1516</v>
      </c>
      <c r="G1155" s="9">
        <v>45987.0</v>
      </c>
      <c r="H1155" s="70">
        <f t="shared" si="1"/>
        <v>26</v>
      </c>
      <c r="I1155" s="70">
        <f t="shared" si="2"/>
        <v>11</v>
      </c>
      <c r="J1155" s="70">
        <f t="shared" si="3"/>
        <v>2025</v>
      </c>
      <c r="K1155" s="70" t="str">
        <f t="shared" si="4"/>
        <v>11/2025</v>
      </c>
    </row>
    <row r="1156" hidden="1">
      <c r="A1156" s="26">
        <v>45988.0</v>
      </c>
      <c r="B1156" s="74" t="s">
        <v>1511</v>
      </c>
      <c r="C1156" s="75" t="s">
        <v>27</v>
      </c>
      <c r="D1156" s="74" t="s">
        <v>1512</v>
      </c>
      <c r="E1156" s="71">
        <v>1648.61</v>
      </c>
      <c r="F1156" s="75" t="s">
        <v>1513</v>
      </c>
      <c r="G1156" s="9">
        <v>45988.0</v>
      </c>
      <c r="H1156" s="70">
        <f t="shared" si="1"/>
        <v>27</v>
      </c>
      <c r="I1156" s="70">
        <f t="shared" si="2"/>
        <v>11</v>
      </c>
      <c r="J1156" s="70">
        <f t="shared" si="3"/>
        <v>2025</v>
      </c>
      <c r="K1156" s="70" t="str">
        <f t="shared" si="4"/>
        <v>11/2025</v>
      </c>
    </row>
    <row r="1157" hidden="1">
      <c r="A1157" s="26">
        <v>45988.0</v>
      </c>
      <c r="B1157" s="28" t="s">
        <v>1514</v>
      </c>
      <c r="C1157" s="28" t="s">
        <v>37</v>
      </c>
      <c r="D1157" s="28" t="s">
        <v>1515</v>
      </c>
      <c r="E1157" s="71">
        <v>3844.06</v>
      </c>
      <c r="F1157" s="11" t="s">
        <v>1516</v>
      </c>
      <c r="G1157" s="9">
        <v>45988.0</v>
      </c>
      <c r="H1157" s="70">
        <f t="shared" si="1"/>
        <v>27</v>
      </c>
      <c r="I1157" s="70">
        <f t="shared" si="2"/>
        <v>11</v>
      </c>
      <c r="J1157" s="70">
        <f t="shared" si="3"/>
        <v>2025</v>
      </c>
      <c r="K1157" s="70" t="str">
        <f t="shared" si="4"/>
        <v>11/2025</v>
      </c>
    </row>
    <row r="1158" hidden="1">
      <c r="A1158" s="26">
        <v>45989.0</v>
      </c>
      <c r="B1158" s="74" t="s">
        <v>1511</v>
      </c>
      <c r="C1158" s="75" t="s">
        <v>27</v>
      </c>
      <c r="D1158" s="74" t="s">
        <v>1512</v>
      </c>
      <c r="E1158" s="71">
        <v>1965.54</v>
      </c>
      <c r="F1158" s="75" t="s">
        <v>1513</v>
      </c>
      <c r="G1158" s="9">
        <v>45989.0</v>
      </c>
      <c r="H1158" s="70">
        <f t="shared" si="1"/>
        <v>28</v>
      </c>
      <c r="I1158" s="70">
        <f t="shared" si="2"/>
        <v>11</v>
      </c>
      <c r="J1158" s="70">
        <f t="shared" si="3"/>
        <v>2025</v>
      </c>
      <c r="K1158" s="70" t="str">
        <f t="shared" si="4"/>
        <v>11/2025</v>
      </c>
    </row>
    <row r="1159" hidden="1">
      <c r="A1159" s="26">
        <v>45989.0</v>
      </c>
      <c r="B1159" s="28" t="s">
        <v>1514</v>
      </c>
      <c r="C1159" s="28" t="s">
        <v>37</v>
      </c>
      <c r="D1159" s="28" t="s">
        <v>1515</v>
      </c>
      <c r="E1159" s="71">
        <v>2502.02</v>
      </c>
      <c r="F1159" s="11" t="s">
        <v>1516</v>
      </c>
      <c r="G1159" s="9">
        <v>45989.0</v>
      </c>
      <c r="H1159" s="70">
        <f t="shared" si="1"/>
        <v>28</v>
      </c>
      <c r="I1159" s="70">
        <f t="shared" si="2"/>
        <v>11</v>
      </c>
      <c r="J1159" s="70">
        <f t="shared" si="3"/>
        <v>2025</v>
      </c>
      <c r="K1159" s="70" t="str">
        <f t="shared" si="4"/>
        <v>11/2025</v>
      </c>
    </row>
    <row r="1160" hidden="1">
      <c r="A1160" s="26">
        <v>45989.0</v>
      </c>
      <c r="B1160" s="28" t="s">
        <v>1523</v>
      </c>
      <c r="C1160" s="28" t="s">
        <v>27</v>
      </c>
      <c r="D1160" s="28" t="s">
        <v>1524</v>
      </c>
      <c r="E1160" s="71">
        <v>2741.73</v>
      </c>
      <c r="F1160" s="29" t="s">
        <v>1513</v>
      </c>
      <c r="G1160" s="26">
        <v>45989.0</v>
      </c>
      <c r="H1160" s="70">
        <f t="shared" si="1"/>
        <v>28</v>
      </c>
      <c r="I1160" s="70">
        <f t="shared" si="2"/>
        <v>11</v>
      </c>
      <c r="J1160" s="70">
        <f t="shared" si="3"/>
        <v>2025</v>
      </c>
      <c r="K1160" s="70" t="str">
        <f t="shared" si="4"/>
        <v>11/2025</v>
      </c>
    </row>
    <row r="1161" hidden="1">
      <c r="A1161" s="26">
        <v>45990.0</v>
      </c>
      <c r="B1161" s="74" t="s">
        <v>1511</v>
      </c>
      <c r="C1161" s="75" t="s">
        <v>27</v>
      </c>
      <c r="D1161" s="74" t="s">
        <v>1512</v>
      </c>
      <c r="E1161" s="71">
        <v>1056.53</v>
      </c>
      <c r="F1161" s="75" t="s">
        <v>1513</v>
      </c>
      <c r="G1161" s="9">
        <v>45990.0</v>
      </c>
      <c r="H1161" s="70">
        <f t="shared" si="1"/>
        <v>29</v>
      </c>
      <c r="I1161" s="70">
        <f t="shared" si="2"/>
        <v>11</v>
      </c>
      <c r="J1161" s="70">
        <f t="shared" si="3"/>
        <v>2025</v>
      </c>
      <c r="K1161" s="70" t="str">
        <f t="shared" si="4"/>
        <v>11/2025</v>
      </c>
    </row>
    <row r="1162" hidden="1">
      <c r="A1162" s="26">
        <v>45990.0</v>
      </c>
      <c r="B1162" s="28" t="s">
        <v>1514</v>
      </c>
      <c r="C1162" s="28" t="s">
        <v>37</v>
      </c>
      <c r="D1162" s="28" t="s">
        <v>1515</v>
      </c>
      <c r="E1162" s="71">
        <v>3449.37</v>
      </c>
      <c r="F1162" s="11" t="s">
        <v>1516</v>
      </c>
      <c r="G1162" s="9">
        <v>45990.0</v>
      </c>
      <c r="H1162" s="70">
        <f t="shared" si="1"/>
        <v>29</v>
      </c>
      <c r="I1162" s="70">
        <f t="shared" si="2"/>
        <v>11</v>
      </c>
      <c r="J1162" s="70">
        <f t="shared" si="3"/>
        <v>2025</v>
      </c>
      <c r="K1162" s="70" t="str">
        <f t="shared" si="4"/>
        <v>11/2025</v>
      </c>
    </row>
    <row r="1163" hidden="1">
      <c r="A1163" s="26">
        <v>45991.0</v>
      </c>
      <c r="B1163" s="28" t="s">
        <v>1511</v>
      </c>
      <c r="C1163" s="75" t="s">
        <v>27</v>
      </c>
      <c r="D1163" s="28" t="s">
        <v>1512</v>
      </c>
      <c r="E1163" s="71">
        <v>976.58</v>
      </c>
      <c r="F1163" s="75" t="s">
        <v>1513</v>
      </c>
      <c r="G1163" s="9">
        <v>45991.0</v>
      </c>
      <c r="H1163" s="70">
        <f t="shared" si="1"/>
        <v>30</v>
      </c>
      <c r="I1163" s="70">
        <f t="shared" si="2"/>
        <v>11</v>
      </c>
      <c r="J1163" s="70">
        <f t="shared" si="3"/>
        <v>2025</v>
      </c>
      <c r="K1163" s="70" t="str">
        <f t="shared" si="4"/>
        <v>11/2025</v>
      </c>
    </row>
    <row r="1164" hidden="1">
      <c r="A1164" s="26">
        <v>45991.0</v>
      </c>
      <c r="B1164" s="28" t="s">
        <v>1514</v>
      </c>
      <c r="C1164" s="28" t="s">
        <v>37</v>
      </c>
      <c r="D1164" s="28" t="s">
        <v>1515</v>
      </c>
      <c r="E1164" s="71">
        <v>3618.94</v>
      </c>
      <c r="F1164" s="11" t="s">
        <v>1516</v>
      </c>
      <c r="G1164" s="9">
        <v>45991.0</v>
      </c>
      <c r="H1164" s="70">
        <f t="shared" si="1"/>
        <v>30</v>
      </c>
      <c r="I1164" s="70">
        <f t="shared" si="2"/>
        <v>11</v>
      </c>
      <c r="J1164" s="70">
        <f t="shared" si="3"/>
        <v>2025</v>
      </c>
      <c r="K1164" s="70" t="str">
        <f t="shared" si="4"/>
        <v>11/2025</v>
      </c>
    </row>
    <row r="1165" hidden="1">
      <c r="A1165" s="26">
        <v>45992.0</v>
      </c>
      <c r="B1165" s="28" t="s">
        <v>1511</v>
      </c>
      <c r="C1165" s="75" t="s">
        <v>27</v>
      </c>
      <c r="D1165" s="28" t="s">
        <v>1512</v>
      </c>
      <c r="E1165" s="71">
        <v>641.85</v>
      </c>
      <c r="F1165" s="75" t="s">
        <v>1513</v>
      </c>
      <c r="G1165" s="9">
        <v>45992.0</v>
      </c>
      <c r="H1165" s="70">
        <f t="shared" si="1"/>
        <v>1</v>
      </c>
      <c r="I1165" s="70">
        <f t="shared" si="2"/>
        <v>12</v>
      </c>
      <c r="J1165" s="70">
        <f t="shared" si="3"/>
        <v>2025</v>
      </c>
      <c r="K1165" s="70" t="str">
        <f t="shared" si="4"/>
        <v>12/2025</v>
      </c>
    </row>
    <row r="1166" hidden="1">
      <c r="A1166" s="26">
        <v>45992.0</v>
      </c>
      <c r="B1166" s="28" t="s">
        <v>1514</v>
      </c>
      <c r="C1166" s="28" t="s">
        <v>37</v>
      </c>
      <c r="D1166" s="28" t="s">
        <v>1515</v>
      </c>
      <c r="E1166" s="71">
        <v>678.88</v>
      </c>
      <c r="F1166" s="11" t="s">
        <v>1516</v>
      </c>
      <c r="G1166" s="9">
        <v>45992.0</v>
      </c>
      <c r="H1166" s="70">
        <f t="shared" si="1"/>
        <v>1</v>
      </c>
      <c r="I1166" s="70">
        <f t="shared" si="2"/>
        <v>12</v>
      </c>
      <c r="J1166" s="70">
        <f t="shared" si="3"/>
        <v>2025</v>
      </c>
      <c r="K1166" s="70" t="str">
        <f t="shared" si="4"/>
        <v>12/2025</v>
      </c>
    </row>
    <row r="1167" hidden="1">
      <c r="A1167" s="26">
        <v>45992.0</v>
      </c>
      <c r="B1167" s="28" t="s">
        <v>1523</v>
      </c>
      <c r="C1167" s="28" t="s">
        <v>27</v>
      </c>
      <c r="D1167" s="28" t="s">
        <v>1524</v>
      </c>
      <c r="E1167" s="71">
        <v>9563.09</v>
      </c>
      <c r="F1167" s="29" t="s">
        <v>1513</v>
      </c>
      <c r="G1167" s="26">
        <v>45992.0</v>
      </c>
      <c r="H1167" s="70">
        <f t="shared" si="1"/>
        <v>1</v>
      </c>
      <c r="I1167" s="70">
        <f t="shared" si="2"/>
        <v>12</v>
      </c>
      <c r="J1167" s="70">
        <f t="shared" si="3"/>
        <v>2025</v>
      </c>
      <c r="K1167" s="70" t="str">
        <f t="shared" si="4"/>
        <v>12/2025</v>
      </c>
    </row>
    <row r="1168" hidden="1">
      <c r="A1168" s="9">
        <v>45992.0</v>
      </c>
      <c r="B1168" s="11" t="s">
        <v>44</v>
      </c>
      <c r="C1168" s="11" t="s">
        <v>27</v>
      </c>
      <c r="D1168" s="11" t="s">
        <v>1540</v>
      </c>
      <c r="E1168" s="69">
        <v>564.69</v>
      </c>
      <c r="F1168" s="11" t="s">
        <v>1513</v>
      </c>
      <c r="G1168" s="9">
        <v>45992.0</v>
      </c>
      <c r="H1168" s="70">
        <f t="shared" si="1"/>
        <v>1</v>
      </c>
      <c r="I1168" s="70">
        <f t="shared" si="2"/>
        <v>12</v>
      </c>
      <c r="J1168" s="70">
        <f t="shared" si="3"/>
        <v>2025</v>
      </c>
      <c r="K1168" s="70" t="str">
        <f t="shared" si="4"/>
        <v>12/2025</v>
      </c>
    </row>
    <row r="1169" hidden="1">
      <c r="A1169" s="9">
        <v>45993.0</v>
      </c>
      <c r="B1169" s="15" t="s">
        <v>1519</v>
      </c>
      <c r="C1169" s="15" t="s">
        <v>27</v>
      </c>
      <c r="D1169" s="15" t="s">
        <v>1520</v>
      </c>
      <c r="E1169" s="69">
        <v>35568.23</v>
      </c>
      <c r="F1169" s="11" t="s">
        <v>1513</v>
      </c>
      <c r="G1169" s="9">
        <v>45986.0</v>
      </c>
      <c r="H1169" s="70">
        <f t="shared" si="1"/>
        <v>2</v>
      </c>
      <c r="I1169" s="70">
        <f t="shared" si="2"/>
        <v>12</v>
      </c>
      <c r="J1169" s="70">
        <f t="shared" si="3"/>
        <v>2025</v>
      </c>
      <c r="K1169" s="70" t="str">
        <f t="shared" si="4"/>
        <v>12/2025</v>
      </c>
    </row>
    <row r="1170" hidden="1">
      <c r="A1170" s="26">
        <v>45993.0</v>
      </c>
      <c r="B1170" s="28" t="s">
        <v>1511</v>
      </c>
      <c r="C1170" s="29" t="s">
        <v>27</v>
      </c>
      <c r="D1170" s="28" t="s">
        <v>1512</v>
      </c>
      <c r="E1170" s="71">
        <v>691.38</v>
      </c>
      <c r="F1170" s="29" t="s">
        <v>1513</v>
      </c>
      <c r="G1170" s="9">
        <v>45993.0</v>
      </c>
      <c r="H1170" s="70">
        <f t="shared" si="1"/>
        <v>2</v>
      </c>
      <c r="I1170" s="70">
        <f t="shared" si="2"/>
        <v>12</v>
      </c>
      <c r="J1170" s="70">
        <f t="shared" si="3"/>
        <v>2025</v>
      </c>
      <c r="K1170" s="70" t="str">
        <f t="shared" si="4"/>
        <v>12/2025</v>
      </c>
    </row>
    <row r="1171" hidden="1">
      <c r="A1171" s="26">
        <v>45993.0</v>
      </c>
      <c r="B1171" s="28" t="s">
        <v>1514</v>
      </c>
      <c r="C1171" s="28" t="s">
        <v>37</v>
      </c>
      <c r="D1171" s="28" t="s">
        <v>1515</v>
      </c>
      <c r="E1171" s="71">
        <v>3035.42</v>
      </c>
      <c r="F1171" s="29" t="s">
        <v>1516</v>
      </c>
      <c r="G1171" s="9">
        <v>45993.0</v>
      </c>
      <c r="H1171" s="70">
        <f t="shared" si="1"/>
        <v>2</v>
      </c>
      <c r="I1171" s="70">
        <f t="shared" si="2"/>
        <v>12</v>
      </c>
      <c r="J1171" s="70">
        <f t="shared" si="3"/>
        <v>2025</v>
      </c>
      <c r="K1171" s="70" t="str">
        <f t="shared" si="4"/>
        <v>12/2025</v>
      </c>
    </row>
    <row r="1172" hidden="1">
      <c r="A1172" s="26">
        <v>45994.0</v>
      </c>
      <c r="B1172" s="28" t="s">
        <v>1511</v>
      </c>
      <c r="C1172" s="29" t="s">
        <v>27</v>
      </c>
      <c r="D1172" s="28" t="s">
        <v>1512</v>
      </c>
      <c r="E1172" s="71">
        <v>1054.95</v>
      </c>
      <c r="F1172" s="29" t="s">
        <v>1513</v>
      </c>
      <c r="G1172" s="9">
        <v>45994.0</v>
      </c>
      <c r="H1172" s="70">
        <f t="shared" si="1"/>
        <v>3</v>
      </c>
      <c r="I1172" s="70">
        <f t="shared" si="2"/>
        <v>12</v>
      </c>
      <c r="J1172" s="70">
        <f t="shared" si="3"/>
        <v>2025</v>
      </c>
      <c r="K1172" s="70" t="str">
        <f t="shared" si="4"/>
        <v>12/2025</v>
      </c>
    </row>
    <row r="1173" hidden="1">
      <c r="A1173" s="26">
        <v>45994.0</v>
      </c>
      <c r="B1173" s="28" t="s">
        <v>1514</v>
      </c>
      <c r="C1173" s="28" t="s">
        <v>37</v>
      </c>
      <c r="D1173" s="28" t="s">
        <v>1515</v>
      </c>
      <c r="E1173" s="71">
        <v>5172.64</v>
      </c>
      <c r="F1173" s="29" t="s">
        <v>1516</v>
      </c>
      <c r="G1173" s="9">
        <v>45994.0</v>
      </c>
      <c r="H1173" s="70">
        <f t="shared" si="1"/>
        <v>3</v>
      </c>
      <c r="I1173" s="70">
        <f t="shared" si="2"/>
        <v>12</v>
      </c>
      <c r="J1173" s="70">
        <f t="shared" si="3"/>
        <v>2025</v>
      </c>
      <c r="K1173" s="70" t="str">
        <f t="shared" si="4"/>
        <v>12/2025</v>
      </c>
    </row>
    <row r="1174" hidden="1">
      <c r="A1174" s="26">
        <v>45995.0</v>
      </c>
      <c r="B1174" s="28" t="s">
        <v>1511</v>
      </c>
      <c r="C1174" s="29" t="s">
        <v>27</v>
      </c>
      <c r="D1174" s="28" t="s">
        <v>1512</v>
      </c>
      <c r="E1174" s="71">
        <v>995.19</v>
      </c>
      <c r="F1174" s="29" t="s">
        <v>1513</v>
      </c>
      <c r="G1174" s="9">
        <v>45995.0</v>
      </c>
      <c r="H1174" s="70">
        <f t="shared" si="1"/>
        <v>4</v>
      </c>
      <c r="I1174" s="70">
        <f t="shared" si="2"/>
        <v>12</v>
      </c>
      <c r="J1174" s="70">
        <f t="shared" si="3"/>
        <v>2025</v>
      </c>
      <c r="K1174" s="70" t="str">
        <f t="shared" si="4"/>
        <v>12/2025</v>
      </c>
    </row>
    <row r="1175" hidden="1">
      <c r="A1175" s="26">
        <v>45995.0</v>
      </c>
      <c r="B1175" s="28" t="s">
        <v>1514</v>
      </c>
      <c r="C1175" s="28" t="s">
        <v>37</v>
      </c>
      <c r="D1175" s="28" t="s">
        <v>1515</v>
      </c>
      <c r="E1175" s="71">
        <v>5395.67</v>
      </c>
      <c r="F1175" s="29" t="s">
        <v>1516</v>
      </c>
      <c r="G1175" s="9">
        <v>45995.0</v>
      </c>
      <c r="H1175" s="70">
        <f t="shared" si="1"/>
        <v>4</v>
      </c>
      <c r="I1175" s="70">
        <f t="shared" si="2"/>
        <v>12</v>
      </c>
      <c r="J1175" s="70">
        <f t="shared" si="3"/>
        <v>2025</v>
      </c>
      <c r="K1175" s="70" t="str">
        <f t="shared" si="4"/>
        <v>12/2025</v>
      </c>
    </row>
    <row r="1176" hidden="1">
      <c r="A1176" s="26">
        <v>45996.0</v>
      </c>
      <c r="B1176" s="28" t="s">
        <v>1511</v>
      </c>
      <c r="C1176" s="29" t="s">
        <v>27</v>
      </c>
      <c r="D1176" s="28" t="s">
        <v>1512</v>
      </c>
      <c r="E1176" s="71">
        <v>1058.31</v>
      </c>
      <c r="F1176" s="29" t="s">
        <v>1513</v>
      </c>
      <c r="G1176" s="9">
        <v>45996.0</v>
      </c>
      <c r="H1176" s="70">
        <f t="shared" si="1"/>
        <v>5</v>
      </c>
      <c r="I1176" s="70">
        <f t="shared" si="2"/>
        <v>12</v>
      </c>
      <c r="J1176" s="70">
        <f t="shared" si="3"/>
        <v>2025</v>
      </c>
      <c r="K1176" s="70" t="str">
        <f t="shared" si="4"/>
        <v>12/2025</v>
      </c>
    </row>
    <row r="1177" hidden="1">
      <c r="A1177" s="26">
        <v>45996.0</v>
      </c>
      <c r="B1177" s="28" t="s">
        <v>1514</v>
      </c>
      <c r="C1177" s="28" t="s">
        <v>37</v>
      </c>
      <c r="D1177" s="28" t="s">
        <v>1515</v>
      </c>
      <c r="E1177" s="71">
        <v>5147.85</v>
      </c>
      <c r="F1177" s="29" t="s">
        <v>1516</v>
      </c>
      <c r="G1177" s="9">
        <v>45996.0</v>
      </c>
      <c r="H1177" s="70">
        <f t="shared" si="1"/>
        <v>5</v>
      </c>
      <c r="I1177" s="70">
        <f t="shared" si="2"/>
        <v>12</v>
      </c>
      <c r="J1177" s="70">
        <f t="shared" si="3"/>
        <v>2025</v>
      </c>
      <c r="K1177" s="70" t="str">
        <f t="shared" si="4"/>
        <v>12/2025</v>
      </c>
    </row>
    <row r="1178" hidden="1">
      <c r="A1178" s="26">
        <v>45997.0</v>
      </c>
      <c r="B1178" s="28" t="s">
        <v>1511</v>
      </c>
      <c r="C1178" s="29" t="s">
        <v>27</v>
      </c>
      <c r="D1178" s="28" t="s">
        <v>1512</v>
      </c>
      <c r="E1178" s="71">
        <v>664.48</v>
      </c>
      <c r="F1178" s="29" t="s">
        <v>1513</v>
      </c>
      <c r="G1178" s="9">
        <v>45997.0</v>
      </c>
      <c r="H1178" s="70">
        <f t="shared" si="1"/>
        <v>6</v>
      </c>
      <c r="I1178" s="70">
        <f t="shared" si="2"/>
        <v>12</v>
      </c>
      <c r="J1178" s="70">
        <f t="shared" si="3"/>
        <v>2025</v>
      </c>
      <c r="K1178" s="70" t="str">
        <f t="shared" si="4"/>
        <v>12/2025</v>
      </c>
    </row>
    <row r="1179" hidden="1">
      <c r="A1179" s="26">
        <v>45997.0</v>
      </c>
      <c r="B1179" s="28" t="s">
        <v>1514</v>
      </c>
      <c r="C1179" s="28" t="s">
        <v>37</v>
      </c>
      <c r="D1179" s="28" t="s">
        <v>1515</v>
      </c>
      <c r="E1179" s="71">
        <v>4897.33</v>
      </c>
      <c r="F1179" s="29" t="s">
        <v>1516</v>
      </c>
      <c r="G1179" s="9">
        <v>45997.0</v>
      </c>
      <c r="H1179" s="70">
        <f t="shared" si="1"/>
        <v>6</v>
      </c>
      <c r="I1179" s="70">
        <f t="shared" si="2"/>
        <v>12</v>
      </c>
      <c r="J1179" s="70">
        <f t="shared" si="3"/>
        <v>2025</v>
      </c>
      <c r="K1179" s="70" t="str">
        <f t="shared" si="4"/>
        <v>12/2025</v>
      </c>
    </row>
    <row r="1180" hidden="1">
      <c r="A1180" s="26">
        <v>45998.0</v>
      </c>
      <c r="B1180" s="28" t="s">
        <v>1511</v>
      </c>
      <c r="C1180" s="29" t="s">
        <v>27</v>
      </c>
      <c r="D1180" s="28" t="s">
        <v>1512</v>
      </c>
      <c r="E1180" s="71">
        <v>1758.14</v>
      </c>
      <c r="F1180" s="29" t="s">
        <v>1513</v>
      </c>
      <c r="G1180" s="9">
        <v>45998.0</v>
      </c>
      <c r="H1180" s="70">
        <f t="shared" si="1"/>
        <v>7</v>
      </c>
      <c r="I1180" s="70">
        <f t="shared" si="2"/>
        <v>12</v>
      </c>
      <c r="J1180" s="70">
        <f t="shared" si="3"/>
        <v>2025</v>
      </c>
      <c r="K1180" s="70" t="str">
        <f t="shared" si="4"/>
        <v>12/2025</v>
      </c>
    </row>
    <row r="1181" hidden="1">
      <c r="A1181" s="26">
        <v>45998.0</v>
      </c>
      <c r="B1181" s="28" t="s">
        <v>1514</v>
      </c>
      <c r="C1181" s="28" t="s">
        <v>37</v>
      </c>
      <c r="D1181" s="28" t="s">
        <v>1515</v>
      </c>
      <c r="E1181" s="71">
        <v>4617.8</v>
      </c>
      <c r="F1181" s="29" t="s">
        <v>1516</v>
      </c>
      <c r="G1181" s="9">
        <v>45998.0</v>
      </c>
      <c r="H1181" s="70">
        <f t="shared" si="1"/>
        <v>7</v>
      </c>
      <c r="I1181" s="70">
        <f t="shared" si="2"/>
        <v>12</v>
      </c>
      <c r="J1181" s="70">
        <f t="shared" si="3"/>
        <v>2025</v>
      </c>
      <c r="K1181" s="70" t="str">
        <f t="shared" si="4"/>
        <v>12/2025</v>
      </c>
    </row>
    <row r="1182" hidden="1">
      <c r="A1182" s="26">
        <v>45999.0</v>
      </c>
      <c r="B1182" s="28" t="s">
        <v>1511</v>
      </c>
      <c r="C1182" s="29" t="s">
        <v>27</v>
      </c>
      <c r="D1182" s="28" t="s">
        <v>1512</v>
      </c>
      <c r="E1182" s="71">
        <v>92.57</v>
      </c>
      <c r="F1182" s="29" t="s">
        <v>1513</v>
      </c>
      <c r="G1182" s="9">
        <v>45999.0</v>
      </c>
      <c r="H1182" s="70">
        <f t="shared" si="1"/>
        <v>8</v>
      </c>
      <c r="I1182" s="70">
        <f t="shared" si="2"/>
        <v>12</v>
      </c>
      <c r="J1182" s="70">
        <f t="shared" si="3"/>
        <v>2025</v>
      </c>
      <c r="K1182" s="70" t="str">
        <f t="shared" si="4"/>
        <v>12/2025</v>
      </c>
    </row>
    <row r="1183" hidden="1">
      <c r="A1183" s="26">
        <v>45999.0</v>
      </c>
      <c r="B1183" s="28" t="s">
        <v>1514</v>
      </c>
      <c r="C1183" s="28" t="s">
        <v>37</v>
      </c>
      <c r="D1183" s="28" t="s">
        <v>1515</v>
      </c>
      <c r="E1183" s="71">
        <v>360.86</v>
      </c>
      <c r="F1183" s="29" t="s">
        <v>1516</v>
      </c>
      <c r="G1183" s="26">
        <v>45999.0</v>
      </c>
      <c r="H1183" s="70">
        <f t="shared" si="1"/>
        <v>8</v>
      </c>
      <c r="I1183" s="70">
        <f t="shared" si="2"/>
        <v>12</v>
      </c>
      <c r="J1183" s="70">
        <f t="shared" si="3"/>
        <v>2025</v>
      </c>
      <c r="K1183" s="70" t="str">
        <f t="shared" si="4"/>
        <v>12/2025</v>
      </c>
    </row>
    <row r="1184" hidden="1">
      <c r="A1184" s="26">
        <v>46000.0</v>
      </c>
      <c r="B1184" s="28" t="s">
        <v>1511</v>
      </c>
      <c r="C1184" s="29" t="s">
        <v>27</v>
      </c>
      <c r="D1184" s="28" t="s">
        <v>1512</v>
      </c>
      <c r="E1184" s="71">
        <v>679.46</v>
      </c>
      <c r="F1184" s="29" t="s">
        <v>1513</v>
      </c>
      <c r="G1184" s="9">
        <v>46000.0</v>
      </c>
      <c r="H1184" s="70">
        <f t="shared" si="1"/>
        <v>9</v>
      </c>
      <c r="I1184" s="70">
        <f t="shared" si="2"/>
        <v>12</v>
      </c>
      <c r="J1184" s="70">
        <f t="shared" si="3"/>
        <v>2025</v>
      </c>
      <c r="K1184" s="70" t="str">
        <f t="shared" si="4"/>
        <v>12/2025</v>
      </c>
    </row>
    <row r="1185" hidden="1">
      <c r="A1185" s="26">
        <v>46000.0</v>
      </c>
      <c r="B1185" s="28" t="s">
        <v>1514</v>
      </c>
      <c r="C1185" s="28" t="s">
        <v>37</v>
      </c>
      <c r="D1185" s="28" t="s">
        <v>1515</v>
      </c>
      <c r="E1185" s="71">
        <v>3987.72</v>
      </c>
      <c r="F1185" s="29" t="s">
        <v>1516</v>
      </c>
      <c r="G1185" s="26">
        <v>46000.0</v>
      </c>
      <c r="H1185" s="70">
        <f t="shared" si="1"/>
        <v>9</v>
      </c>
      <c r="I1185" s="70">
        <f t="shared" si="2"/>
        <v>12</v>
      </c>
      <c r="J1185" s="70">
        <f t="shared" si="3"/>
        <v>2025</v>
      </c>
      <c r="K1185" s="70" t="str">
        <f t="shared" si="4"/>
        <v>12/2025</v>
      </c>
    </row>
    <row r="1186" hidden="1">
      <c r="A1186" s="26">
        <v>46001.0</v>
      </c>
      <c r="B1186" s="28" t="s">
        <v>1511</v>
      </c>
      <c r="C1186" s="29" t="s">
        <v>27</v>
      </c>
      <c r="D1186" s="28" t="s">
        <v>1512</v>
      </c>
      <c r="E1186" s="71">
        <v>1241.34</v>
      </c>
      <c r="F1186" s="29" t="s">
        <v>1513</v>
      </c>
      <c r="G1186" s="9">
        <v>46001.0</v>
      </c>
      <c r="H1186" s="70">
        <f t="shared" si="1"/>
        <v>10</v>
      </c>
      <c r="I1186" s="70">
        <f t="shared" si="2"/>
        <v>12</v>
      </c>
      <c r="J1186" s="70">
        <f t="shared" si="3"/>
        <v>2025</v>
      </c>
      <c r="K1186" s="70" t="str">
        <f t="shared" si="4"/>
        <v>12/2025</v>
      </c>
    </row>
    <row r="1187" hidden="1">
      <c r="A1187" s="26">
        <v>46001.0</v>
      </c>
      <c r="B1187" s="28" t="s">
        <v>1514</v>
      </c>
      <c r="C1187" s="28" t="s">
        <v>37</v>
      </c>
      <c r="D1187" s="28" t="s">
        <v>1515</v>
      </c>
      <c r="E1187" s="71">
        <v>3543.54</v>
      </c>
      <c r="F1187" s="29" t="s">
        <v>1516</v>
      </c>
      <c r="G1187" s="26">
        <v>46001.0</v>
      </c>
      <c r="H1187" s="70">
        <f t="shared" si="1"/>
        <v>10</v>
      </c>
      <c r="I1187" s="70">
        <f t="shared" si="2"/>
        <v>12</v>
      </c>
      <c r="J1187" s="70">
        <f t="shared" si="3"/>
        <v>2025</v>
      </c>
      <c r="K1187" s="70" t="str">
        <f t="shared" si="4"/>
        <v>12/2025</v>
      </c>
    </row>
    <row r="1188" hidden="1">
      <c r="A1188" s="26">
        <v>46002.0</v>
      </c>
      <c r="B1188" s="28" t="s">
        <v>1511</v>
      </c>
      <c r="C1188" s="28" t="s">
        <v>66</v>
      </c>
      <c r="D1188" s="28" t="s">
        <v>1512</v>
      </c>
      <c r="E1188" s="71">
        <v>247.19</v>
      </c>
      <c r="F1188" s="29" t="s">
        <v>1516</v>
      </c>
      <c r="G1188" s="9">
        <v>46002.0</v>
      </c>
      <c r="H1188" s="70">
        <f t="shared" si="1"/>
        <v>11</v>
      </c>
      <c r="I1188" s="70">
        <f t="shared" si="2"/>
        <v>12</v>
      </c>
      <c r="J1188" s="70">
        <f t="shared" si="3"/>
        <v>2025</v>
      </c>
      <c r="K1188" s="70" t="str">
        <f t="shared" si="4"/>
        <v>12/2025</v>
      </c>
    </row>
    <row r="1189" hidden="1">
      <c r="A1189" s="26">
        <v>46002.0</v>
      </c>
      <c r="B1189" s="28" t="s">
        <v>1514</v>
      </c>
      <c r="C1189" s="28" t="s">
        <v>37</v>
      </c>
      <c r="D1189" s="28" t="s">
        <v>1515</v>
      </c>
      <c r="E1189" s="71">
        <v>3850.55</v>
      </c>
      <c r="F1189" s="29" t="s">
        <v>1516</v>
      </c>
      <c r="G1189" s="26">
        <v>46002.0</v>
      </c>
      <c r="H1189" s="70">
        <f t="shared" si="1"/>
        <v>11</v>
      </c>
      <c r="I1189" s="70">
        <f t="shared" si="2"/>
        <v>12</v>
      </c>
      <c r="J1189" s="70">
        <f t="shared" si="3"/>
        <v>2025</v>
      </c>
      <c r="K1189" s="70" t="str">
        <f t="shared" si="4"/>
        <v>12/2025</v>
      </c>
    </row>
    <row r="1190" hidden="1">
      <c r="A1190" s="26">
        <v>46003.0</v>
      </c>
      <c r="B1190" s="28" t="s">
        <v>1511</v>
      </c>
      <c r="C1190" s="29" t="s">
        <v>27</v>
      </c>
      <c r="D1190" s="28" t="s">
        <v>1512</v>
      </c>
      <c r="E1190" s="71">
        <v>2493.35</v>
      </c>
      <c r="F1190" s="29" t="s">
        <v>1513</v>
      </c>
      <c r="G1190" s="9">
        <v>46003.0</v>
      </c>
      <c r="H1190" s="70">
        <f t="shared" si="1"/>
        <v>12</v>
      </c>
      <c r="I1190" s="70">
        <f t="shared" si="2"/>
        <v>12</v>
      </c>
      <c r="J1190" s="70">
        <f t="shared" si="3"/>
        <v>2025</v>
      </c>
      <c r="K1190" s="70" t="str">
        <f t="shared" si="4"/>
        <v>12/2025</v>
      </c>
    </row>
    <row r="1191" hidden="1">
      <c r="A1191" s="26">
        <v>46003.0</v>
      </c>
      <c r="B1191" s="28" t="s">
        <v>1514</v>
      </c>
      <c r="C1191" s="28" t="s">
        <v>37</v>
      </c>
      <c r="D1191" s="28" t="s">
        <v>1515</v>
      </c>
      <c r="E1191" s="71">
        <v>3501.1</v>
      </c>
      <c r="F1191" s="29" t="s">
        <v>1516</v>
      </c>
      <c r="G1191" s="26">
        <v>46003.0</v>
      </c>
      <c r="H1191" s="70">
        <f t="shared" si="1"/>
        <v>12</v>
      </c>
      <c r="I1191" s="70">
        <f t="shared" si="2"/>
        <v>12</v>
      </c>
      <c r="J1191" s="70">
        <f t="shared" si="3"/>
        <v>2025</v>
      </c>
      <c r="K1191" s="70" t="str">
        <f t="shared" si="4"/>
        <v>12/2025</v>
      </c>
    </row>
    <row r="1192" hidden="1">
      <c r="A1192" s="26">
        <v>46003.0</v>
      </c>
      <c r="B1192" s="28" t="s">
        <v>1523</v>
      </c>
      <c r="C1192" s="28" t="s">
        <v>27</v>
      </c>
      <c r="D1192" s="28" t="s">
        <v>1524</v>
      </c>
      <c r="E1192" s="71">
        <v>2368.41</v>
      </c>
      <c r="F1192" s="29" t="s">
        <v>1513</v>
      </c>
      <c r="G1192" s="26">
        <v>46003.0</v>
      </c>
      <c r="H1192" s="70">
        <f t="shared" si="1"/>
        <v>12</v>
      </c>
      <c r="I1192" s="70">
        <f t="shared" si="2"/>
        <v>12</v>
      </c>
      <c r="J1192" s="70">
        <f t="shared" si="3"/>
        <v>2025</v>
      </c>
      <c r="K1192" s="70" t="str">
        <f t="shared" si="4"/>
        <v>12/2025</v>
      </c>
    </row>
    <row r="1193" hidden="1">
      <c r="A1193" s="26">
        <v>46004.0</v>
      </c>
      <c r="B1193" s="28" t="s">
        <v>1511</v>
      </c>
      <c r="C1193" s="29" t="s">
        <v>27</v>
      </c>
      <c r="D1193" s="28" t="s">
        <v>1512</v>
      </c>
      <c r="E1193" s="71">
        <v>1496.77</v>
      </c>
      <c r="F1193" s="29" t="s">
        <v>1513</v>
      </c>
      <c r="G1193" s="9">
        <v>46004.0</v>
      </c>
      <c r="H1193" s="70">
        <f t="shared" si="1"/>
        <v>13</v>
      </c>
      <c r="I1193" s="70">
        <f t="shared" si="2"/>
        <v>12</v>
      </c>
      <c r="J1193" s="70">
        <f t="shared" si="3"/>
        <v>2025</v>
      </c>
      <c r="K1193" s="70" t="str">
        <f t="shared" si="4"/>
        <v>12/2025</v>
      </c>
    </row>
    <row r="1194" hidden="1">
      <c r="A1194" s="26">
        <v>46004.0</v>
      </c>
      <c r="B1194" s="28" t="s">
        <v>1514</v>
      </c>
      <c r="C1194" s="28" t="s">
        <v>37</v>
      </c>
      <c r="D1194" s="28" t="s">
        <v>1515</v>
      </c>
      <c r="E1194" s="71">
        <v>3097.71</v>
      </c>
      <c r="F1194" s="29" t="s">
        <v>1516</v>
      </c>
      <c r="G1194" s="26">
        <v>46004.0</v>
      </c>
      <c r="H1194" s="70">
        <f t="shared" si="1"/>
        <v>13</v>
      </c>
      <c r="I1194" s="70">
        <f t="shared" si="2"/>
        <v>12</v>
      </c>
      <c r="J1194" s="70">
        <f t="shared" si="3"/>
        <v>2025</v>
      </c>
      <c r="K1194" s="70" t="str">
        <f t="shared" si="4"/>
        <v>12/2025</v>
      </c>
    </row>
    <row r="1195" hidden="1">
      <c r="A1195" s="26">
        <v>46005.0</v>
      </c>
      <c r="B1195" s="28" t="s">
        <v>1511</v>
      </c>
      <c r="C1195" s="29" t="s">
        <v>27</v>
      </c>
      <c r="D1195" s="28" t="s">
        <v>1512</v>
      </c>
      <c r="E1195" s="71">
        <v>681.34</v>
      </c>
      <c r="F1195" s="29" t="s">
        <v>1513</v>
      </c>
      <c r="G1195" s="9">
        <v>46005.0</v>
      </c>
      <c r="H1195" s="70">
        <f t="shared" si="1"/>
        <v>14</v>
      </c>
      <c r="I1195" s="70">
        <f t="shared" si="2"/>
        <v>12</v>
      </c>
      <c r="J1195" s="70">
        <f t="shared" si="3"/>
        <v>2025</v>
      </c>
      <c r="K1195" s="70" t="str">
        <f t="shared" si="4"/>
        <v>12/2025</v>
      </c>
    </row>
    <row r="1196" hidden="1">
      <c r="A1196" s="26">
        <v>46005.0</v>
      </c>
      <c r="B1196" s="28" t="s">
        <v>1514</v>
      </c>
      <c r="C1196" s="28" t="s">
        <v>37</v>
      </c>
      <c r="D1196" s="28" t="s">
        <v>1515</v>
      </c>
      <c r="E1196" s="71">
        <v>2675.13</v>
      </c>
      <c r="F1196" s="29" t="s">
        <v>1516</v>
      </c>
      <c r="G1196" s="26">
        <v>46005.0</v>
      </c>
      <c r="H1196" s="70">
        <f t="shared" si="1"/>
        <v>14</v>
      </c>
      <c r="I1196" s="70">
        <f t="shared" si="2"/>
        <v>12</v>
      </c>
      <c r="J1196" s="70">
        <f t="shared" si="3"/>
        <v>2025</v>
      </c>
      <c r="K1196" s="70" t="str">
        <f t="shared" si="4"/>
        <v>12/2025</v>
      </c>
    </row>
    <row r="1197" hidden="1">
      <c r="A1197" s="26">
        <v>46006.0</v>
      </c>
      <c r="B1197" s="28" t="s">
        <v>1511</v>
      </c>
      <c r="C1197" s="29" t="s">
        <v>27</v>
      </c>
      <c r="D1197" s="28" t="s">
        <v>1512</v>
      </c>
      <c r="E1197" s="71">
        <v>25.74</v>
      </c>
      <c r="F1197" s="29" t="s">
        <v>1513</v>
      </c>
      <c r="G1197" s="9">
        <v>46006.0</v>
      </c>
      <c r="H1197" s="70">
        <f t="shared" si="1"/>
        <v>15</v>
      </c>
      <c r="I1197" s="70">
        <f t="shared" si="2"/>
        <v>12</v>
      </c>
      <c r="J1197" s="70">
        <f t="shared" si="3"/>
        <v>2025</v>
      </c>
      <c r="K1197" s="70" t="str">
        <f t="shared" si="4"/>
        <v>12/2025</v>
      </c>
    </row>
    <row r="1198" hidden="1">
      <c r="A1198" s="26">
        <v>46006.0</v>
      </c>
      <c r="B1198" s="28" t="s">
        <v>1514</v>
      </c>
      <c r="C1198" s="28" t="s">
        <v>37</v>
      </c>
      <c r="D1198" s="28" t="s">
        <v>1515</v>
      </c>
      <c r="E1198" s="71">
        <v>481.02</v>
      </c>
      <c r="F1198" s="29" t="s">
        <v>1516</v>
      </c>
      <c r="G1198" s="26">
        <v>46006.0</v>
      </c>
      <c r="H1198" s="70">
        <f t="shared" si="1"/>
        <v>15</v>
      </c>
      <c r="I1198" s="70">
        <f t="shared" si="2"/>
        <v>12</v>
      </c>
      <c r="J1198" s="70">
        <f t="shared" si="3"/>
        <v>2025</v>
      </c>
      <c r="K1198" s="70" t="str">
        <f t="shared" si="4"/>
        <v>12/2025</v>
      </c>
    </row>
    <row r="1199" hidden="1">
      <c r="A1199" s="26">
        <v>46006.0</v>
      </c>
      <c r="B1199" s="28" t="s">
        <v>1523</v>
      </c>
      <c r="C1199" s="28" t="s">
        <v>27</v>
      </c>
      <c r="D1199" s="28" t="s">
        <v>1524</v>
      </c>
      <c r="E1199" s="71">
        <v>9440.14</v>
      </c>
      <c r="F1199" s="29" t="s">
        <v>1513</v>
      </c>
      <c r="G1199" s="26">
        <v>46006.0</v>
      </c>
      <c r="H1199" s="70">
        <f t="shared" si="1"/>
        <v>15</v>
      </c>
      <c r="I1199" s="70">
        <f t="shared" si="2"/>
        <v>12</v>
      </c>
      <c r="J1199" s="70">
        <f t="shared" si="3"/>
        <v>2025</v>
      </c>
      <c r="K1199" s="70" t="str">
        <f t="shared" si="4"/>
        <v>12/2025</v>
      </c>
    </row>
    <row r="1200" hidden="1">
      <c r="A1200" s="9">
        <v>46007.0</v>
      </c>
      <c r="B1200" s="15" t="s">
        <v>1519</v>
      </c>
      <c r="C1200" s="15" t="s">
        <v>27</v>
      </c>
      <c r="D1200" s="15" t="s">
        <v>1520</v>
      </c>
      <c r="E1200" s="69">
        <v>30882.54</v>
      </c>
      <c r="F1200" s="11" t="s">
        <v>1513</v>
      </c>
      <c r="G1200" s="9">
        <v>46007.0</v>
      </c>
      <c r="H1200" s="70">
        <f t="shared" si="1"/>
        <v>16</v>
      </c>
      <c r="I1200" s="70">
        <f t="shared" si="2"/>
        <v>12</v>
      </c>
      <c r="J1200" s="70">
        <f t="shared" si="3"/>
        <v>2025</v>
      </c>
      <c r="K1200" s="70" t="str">
        <f t="shared" si="4"/>
        <v>12/2025</v>
      </c>
    </row>
    <row r="1201" hidden="1">
      <c r="A1201" s="26">
        <v>46007.0</v>
      </c>
      <c r="B1201" s="28" t="s">
        <v>1511</v>
      </c>
      <c r="C1201" s="29" t="s">
        <v>27</v>
      </c>
      <c r="D1201" s="28" t="s">
        <v>1512</v>
      </c>
      <c r="E1201" s="71">
        <v>1513.57</v>
      </c>
      <c r="F1201" s="29" t="s">
        <v>1513</v>
      </c>
      <c r="G1201" s="9">
        <v>46007.0</v>
      </c>
      <c r="H1201" s="70">
        <f t="shared" si="1"/>
        <v>16</v>
      </c>
      <c r="I1201" s="70">
        <f t="shared" si="2"/>
        <v>12</v>
      </c>
      <c r="J1201" s="70">
        <f t="shared" si="3"/>
        <v>2025</v>
      </c>
      <c r="K1201" s="70" t="str">
        <f t="shared" si="4"/>
        <v>12/2025</v>
      </c>
    </row>
    <row r="1202" hidden="1">
      <c r="A1202" s="26">
        <v>46007.0</v>
      </c>
      <c r="B1202" s="28" t="s">
        <v>1514</v>
      </c>
      <c r="C1202" s="28" t="s">
        <v>37</v>
      </c>
      <c r="D1202" s="28" t="s">
        <v>1515</v>
      </c>
      <c r="E1202" s="71">
        <v>1938.75</v>
      </c>
      <c r="F1202" s="29" t="s">
        <v>1516</v>
      </c>
      <c r="G1202" s="26">
        <v>46007.0</v>
      </c>
      <c r="H1202" s="70">
        <f t="shared" si="1"/>
        <v>16</v>
      </c>
      <c r="I1202" s="70">
        <f t="shared" si="2"/>
        <v>12</v>
      </c>
      <c r="J1202" s="70">
        <f t="shared" si="3"/>
        <v>2025</v>
      </c>
      <c r="K1202" s="70" t="str">
        <f t="shared" si="4"/>
        <v>12/2025</v>
      </c>
    </row>
    <row r="1203" hidden="1">
      <c r="A1203" s="26">
        <v>46008.0</v>
      </c>
      <c r="B1203" s="28" t="s">
        <v>1511</v>
      </c>
      <c r="C1203" s="29" t="s">
        <v>27</v>
      </c>
      <c r="D1203" s="28" t="s">
        <v>1512</v>
      </c>
      <c r="E1203" s="71">
        <v>837.17</v>
      </c>
      <c r="F1203" s="29" t="s">
        <v>1513</v>
      </c>
      <c r="G1203" s="9">
        <v>46008.0</v>
      </c>
      <c r="H1203" s="70">
        <f t="shared" si="1"/>
        <v>17</v>
      </c>
      <c r="I1203" s="70">
        <f t="shared" si="2"/>
        <v>12</v>
      </c>
      <c r="J1203" s="70">
        <f t="shared" si="3"/>
        <v>2025</v>
      </c>
      <c r="K1203" s="70" t="str">
        <f t="shared" si="4"/>
        <v>12/2025</v>
      </c>
    </row>
    <row r="1204" hidden="1">
      <c r="A1204" s="26">
        <v>46008.0</v>
      </c>
      <c r="B1204" s="28" t="s">
        <v>1514</v>
      </c>
      <c r="C1204" s="28" t="s">
        <v>37</v>
      </c>
      <c r="D1204" s="28" t="s">
        <v>1515</v>
      </c>
      <c r="E1204" s="71">
        <v>4689.82</v>
      </c>
      <c r="F1204" s="29" t="s">
        <v>1516</v>
      </c>
      <c r="G1204" s="26">
        <v>46008.0</v>
      </c>
      <c r="H1204" s="70">
        <f t="shared" si="1"/>
        <v>17</v>
      </c>
      <c r="I1204" s="70">
        <f t="shared" si="2"/>
        <v>12</v>
      </c>
      <c r="J1204" s="70">
        <f t="shared" si="3"/>
        <v>2025</v>
      </c>
      <c r="K1204" s="70" t="str">
        <f t="shared" si="4"/>
        <v>12/2025</v>
      </c>
    </row>
    <row r="1205" hidden="1">
      <c r="A1205" s="26">
        <v>46009.0</v>
      </c>
      <c r="B1205" s="28" t="s">
        <v>1511</v>
      </c>
      <c r="C1205" s="29" t="s">
        <v>27</v>
      </c>
      <c r="D1205" s="28" t="s">
        <v>1512</v>
      </c>
      <c r="E1205" s="71">
        <v>1609.45</v>
      </c>
      <c r="F1205" s="29" t="s">
        <v>1513</v>
      </c>
      <c r="G1205" s="9">
        <v>46009.0</v>
      </c>
      <c r="H1205" s="70">
        <f t="shared" si="1"/>
        <v>18</v>
      </c>
      <c r="I1205" s="70">
        <f t="shared" si="2"/>
        <v>12</v>
      </c>
      <c r="J1205" s="70">
        <f t="shared" si="3"/>
        <v>2025</v>
      </c>
      <c r="K1205" s="70" t="str">
        <f t="shared" si="4"/>
        <v>12/2025</v>
      </c>
    </row>
    <row r="1206" hidden="1">
      <c r="A1206" s="26">
        <v>46009.0</v>
      </c>
      <c r="B1206" s="28" t="s">
        <v>1514</v>
      </c>
      <c r="C1206" s="28" t="s">
        <v>37</v>
      </c>
      <c r="D1206" s="28" t="s">
        <v>1515</v>
      </c>
      <c r="E1206" s="71">
        <v>5022.52</v>
      </c>
      <c r="F1206" s="29" t="s">
        <v>1516</v>
      </c>
      <c r="G1206" s="26">
        <v>46009.0</v>
      </c>
      <c r="H1206" s="70">
        <f t="shared" si="1"/>
        <v>18</v>
      </c>
      <c r="I1206" s="70">
        <f t="shared" si="2"/>
        <v>12</v>
      </c>
      <c r="J1206" s="70">
        <f t="shared" si="3"/>
        <v>2025</v>
      </c>
      <c r="K1206" s="70" t="str">
        <f t="shared" si="4"/>
        <v>12/2025</v>
      </c>
    </row>
    <row r="1207" hidden="1">
      <c r="A1207" s="26">
        <v>46010.0</v>
      </c>
      <c r="B1207" s="28" t="s">
        <v>1511</v>
      </c>
      <c r="C1207" s="29" t="s">
        <v>27</v>
      </c>
      <c r="D1207" s="28" t="s">
        <v>1512</v>
      </c>
      <c r="E1207" s="71">
        <v>1287.54</v>
      </c>
      <c r="F1207" s="29" t="s">
        <v>1513</v>
      </c>
      <c r="G1207" s="9">
        <v>46010.0</v>
      </c>
      <c r="H1207" s="70">
        <f t="shared" si="1"/>
        <v>19</v>
      </c>
      <c r="I1207" s="70">
        <f t="shared" si="2"/>
        <v>12</v>
      </c>
      <c r="J1207" s="70">
        <f t="shared" si="3"/>
        <v>2025</v>
      </c>
      <c r="K1207" s="70" t="str">
        <f t="shared" si="4"/>
        <v>12/2025</v>
      </c>
    </row>
    <row r="1208" hidden="1">
      <c r="A1208" s="26">
        <v>46010.0</v>
      </c>
      <c r="B1208" s="28" t="s">
        <v>1514</v>
      </c>
      <c r="C1208" s="28" t="s">
        <v>37</v>
      </c>
      <c r="D1208" s="28" t="s">
        <v>1515</v>
      </c>
      <c r="E1208" s="71">
        <v>2670.73</v>
      </c>
      <c r="F1208" s="29" t="s">
        <v>1516</v>
      </c>
      <c r="G1208" s="26">
        <v>46010.0</v>
      </c>
      <c r="H1208" s="70">
        <f t="shared" si="1"/>
        <v>19</v>
      </c>
      <c r="I1208" s="70">
        <f t="shared" si="2"/>
        <v>12</v>
      </c>
      <c r="J1208" s="70">
        <f t="shared" si="3"/>
        <v>2025</v>
      </c>
      <c r="K1208" s="70" t="str">
        <f t="shared" si="4"/>
        <v>12/2025</v>
      </c>
    </row>
    <row r="1209" hidden="1">
      <c r="A1209" s="26">
        <v>46011.0</v>
      </c>
      <c r="B1209" s="28" t="s">
        <v>1511</v>
      </c>
      <c r="C1209" s="29" t="s">
        <v>27</v>
      </c>
      <c r="D1209" s="28" t="s">
        <v>1512</v>
      </c>
      <c r="E1209" s="71">
        <v>927.64</v>
      </c>
      <c r="F1209" s="29" t="s">
        <v>1513</v>
      </c>
      <c r="G1209" s="9">
        <v>46011.0</v>
      </c>
      <c r="H1209" s="70">
        <f t="shared" si="1"/>
        <v>20</v>
      </c>
      <c r="I1209" s="70">
        <f t="shared" si="2"/>
        <v>12</v>
      </c>
      <c r="J1209" s="70">
        <f t="shared" si="3"/>
        <v>2025</v>
      </c>
      <c r="K1209" s="70" t="str">
        <f t="shared" si="4"/>
        <v>12/2025</v>
      </c>
    </row>
    <row r="1210" hidden="1">
      <c r="A1210" s="26">
        <v>46011.0</v>
      </c>
      <c r="B1210" s="28" t="s">
        <v>1514</v>
      </c>
      <c r="C1210" s="28" t="s">
        <v>37</v>
      </c>
      <c r="D1210" s="28" t="s">
        <v>1515</v>
      </c>
      <c r="E1210" s="71">
        <v>4136.23</v>
      </c>
      <c r="F1210" s="29" t="s">
        <v>1516</v>
      </c>
      <c r="G1210" s="26">
        <v>46011.0</v>
      </c>
      <c r="H1210" s="70">
        <f t="shared" si="1"/>
        <v>20</v>
      </c>
      <c r="I1210" s="70">
        <f t="shared" si="2"/>
        <v>12</v>
      </c>
      <c r="J1210" s="70">
        <f t="shared" si="3"/>
        <v>2025</v>
      </c>
      <c r="K1210" s="70" t="str">
        <f t="shared" si="4"/>
        <v>12/2025</v>
      </c>
    </row>
    <row r="1211" hidden="1">
      <c r="A1211" s="26">
        <v>46012.0</v>
      </c>
      <c r="B1211" s="28" t="s">
        <v>1511</v>
      </c>
      <c r="C1211" s="29" t="s">
        <v>27</v>
      </c>
      <c r="D1211" s="28" t="s">
        <v>1512</v>
      </c>
      <c r="E1211" s="71">
        <v>1247.57</v>
      </c>
      <c r="F1211" s="29" t="s">
        <v>1513</v>
      </c>
      <c r="G1211" s="9">
        <v>46012.0</v>
      </c>
      <c r="H1211" s="70">
        <f t="shared" si="1"/>
        <v>21</v>
      </c>
      <c r="I1211" s="70">
        <f t="shared" si="2"/>
        <v>12</v>
      </c>
      <c r="J1211" s="70">
        <f t="shared" si="3"/>
        <v>2025</v>
      </c>
      <c r="K1211" s="70" t="str">
        <f t="shared" si="4"/>
        <v>12/2025</v>
      </c>
    </row>
    <row r="1212" hidden="1">
      <c r="A1212" s="26">
        <v>46012.0</v>
      </c>
      <c r="B1212" s="28" t="s">
        <v>1514</v>
      </c>
      <c r="C1212" s="28" t="s">
        <v>37</v>
      </c>
      <c r="D1212" s="28" t="s">
        <v>1515</v>
      </c>
      <c r="E1212" s="71">
        <v>3387.94</v>
      </c>
      <c r="F1212" s="29" t="s">
        <v>1516</v>
      </c>
      <c r="G1212" s="26">
        <v>46012.0</v>
      </c>
      <c r="H1212" s="70">
        <f t="shared" si="1"/>
        <v>21</v>
      </c>
      <c r="I1212" s="70">
        <f t="shared" si="2"/>
        <v>12</v>
      </c>
      <c r="J1212" s="70">
        <f t="shared" si="3"/>
        <v>2025</v>
      </c>
      <c r="K1212" s="70" t="str">
        <f t="shared" si="4"/>
        <v>12/2025</v>
      </c>
    </row>
    <row r="1213" hidden="1">
      <c r="A1213" s="26">
        <v>46013.0</v>
      </c>
      <c r="B1213" s="28" t="s">
        <v>1511</v>
      </c>
      <c r="C1213" s="29" t="s">
        <v>27</v>
      </c>
      <c r="D1213" s="28" t="s">
        <v>1512</v>
      </c>
      <c r="E1213" s="71">
        <v>773.7</v>
      </c>
      <c r="F1213" s="29" t="s">
        <v>1513</v>
      </c>
      <c r="G1213" s="9">
        <v>46013.0</v>
      </c>
      <c r="H1213" s="70">
        <f t="shared" si="1"/>
        <v>22</v>
      </c>
      <c r="I1213" s="70">
        <f t="shared" si="2"/>
        <v>12</v>
      </c>
      <c r="J1213" s="70">
        <f t="shared" si="3"/>
        <v>2025</v>
      </c>
      <c r="K1213" s="70" t="str">
        <f t="shared" si="4"/>
        <v>12/2025</v>
      </c>
    </row>
    <row r="1214" hidden="1">
      <c r="A1214" s="26">
        <v>46013.0</v>
      </c>
      <c r="B1214" s="28" t="s">
        <v>1514</v>
      </c>
      <c r="C1214" s="28" t="s">
        <v>37</v>
      </c>
      <c r="D1214" s="28" t="s">
        <v>1515</v>
      </c>
      <c r="E1214" s="71">
        <v>4202.88</v>
      </c>
      <c r="F1214" s="29" t="s">
        <v>1516</v>
      </c>
      <c r="G1214" s="26">
        <v>46013.0</v>
      </c>
      <c r="H1214" s="70">
        <f t="shared" si="1"/>
        <v>22</v>
      </c>
      <c r="I1214" s="70">
        <f t="shared" si="2"/>
        <v>12</v>
      </c>
      <c r="J1214" s="70">
        <f t="shared" si="3"/>
        <v>2025</v>
      </c>
      <c r="K1214" s="70" t="str">
        <f t="shared" si="4"/>
        <v>12/2025</v>
      </c>
    </row>
    <row r="1215" hidden="1">
      <c r="A1215" s="26">
        <v>46014.0</v>
      </c>
      <c r="B1215" s="28" t="s">
        <v>1511</v>
      </c>
      <c r="C1215" s="29" t="s">
        <v>27</v>
      </c>
      <c r="D1215" s="28" t="s">
        <v>1512</v>
      </c>
      <c r="E1215" s="71">
        <v>139.4</v>
      </c>
      <c r="F1215" s="29" t="s">
        <v>1513</v>
      </c>
      <c r="G1215" s="26">
        <v>46014.0</v>
      </c>
      <c r="H1215" s="70">
        <f t="shared" si="1"/>
        <v>23</v>
      </c>
      <c r="I1215" s="70">
        <f t="shared" si="2"/>
        <v>12</v>
      </c>
      <c r="J1215" s="70">
        <f t="shared" si="3"/>
        <v>2025</v>
      </c>
      <c r="K1215" s="70" t="str">
        <f t="shared" si="4"/>
        <v>12/2025</v>
      </c>
    </row>
    <row r="1216" hidden="1">
      <c r="A1216" s="26">
        <v>46014.0</v>
      </c>
      <c r="B1216" s="28" t="s">
        <v>1514</v>
      </c>
      <c r="C1216" s="28" t="s">
        <v>37</v>
      </c>
      <c r="D1216" s="28" t="s">
        <v>1515</v>
      </c>
      <c r="E1216" s="71">
        <v>202.31</v>
      </c>
      <c r="F1216" s="29" t="s">
        <v>1516</v>
      </c>
      <c r="G1216" s="26">
        <v>46014.0</v>
      </c>
      <c r="H1216" s="70">
        <f t="shared" si="1"/>
        <v>23</v>
      </c>
      <c r="I1216" s="70">
        <f t="shared" si="2"/>
        <v>12</v>
      </c>
      <c r="J1216" s="70">
        <f t="shared" si="3"/>
        <v>2025</v>
      </c>
      <c r="K1216" s="70" t="str">
        <f t="shared" si="4"/>
        <v>12/2025</v>
      </c>
    </row>
    <row r="1217" hidden="1">
      <c r="A1217" s="26">
        <v>46015.0</v>
      </c>
      <c r="B1217" s="28" t="s">
        <v>1511</v>
      </c>
      <c r="C1217" s="29" t="s">
        <v>27</v>
      </c>
      <c r="D1217" s="28" t="s">
        <v>1512</v>
      </c>
      <c r="E1217" s="71">
        <v>723.24</v>
      </c>
      <c r="F1217" s="29" t="s">
        <v>1513</v>
      </c>
      <c r="G1217" s="9">
        <v>46015.0</v>
      </c>
      <c r="H1217" s="70">
        <f t="shared" si="1"/>
        <v>24</v>
      </c>
      <c r="I1217" s="70">
        <f t="shared" si="2"/>
        <v>12</v>
      </c>
      <c r="J1217" s="70">
        <f t="shared" si="3"/>
        <v>2025</v>
      </c>
      <c r="K1217" s="70" t="str">
        <f t="shared" si="4"/>
        <v>12/2025</v>
      </c>
    </row>
    <row r="1218" hidden="1">
      <c r="A1218" s="26">
        <v>46015.0</v>
      </c>
      <c r="B1218" s="28" t="s">
        <v>1514</v>
      </c>
      <c r="C1218" s="28" t="s">
        <v>37</v>
      </c>
      <c r="D1218" s="28" t="s">
        <v>1515</v>
      </c>
      <c r="E1218" s="71">
        <v>2772.69</v>
      </c>
      <c r="F1218" s="29" t="s">
        <v>1516</v>
      </c>
      <c r="G1218" s="26">
        <v>46015.0</v>
      </c>
      <c r="H1218" s="70">
        <f t="shared" si="1"/>
        <v>24</v>
      </c>
      <c r="I1218" s="70">
        <f t="shared" si="2"/>
        <v>12</v>
      </c>
      <c r="J1218" s="70">
        <f t="shared" si="3"/>
        <v>2025</v>
      </c>
      <c r="K1218" s="70" t="str">
        <f t="shared" si="4"/>
        <v>12/2025</v>
      </c>
    </row>
    <row r="1219" hidden="1">
      <c r="A1219" s="9">
        <v>46015.0</v>
      </c>
      <c r="B1219" s="11" t="s">
        <v>1521</v>
      </c>
      <c r="C1219" s="28" t="s">
        <v>27</v>
      </c>
      <c r="D1219" s="11" t="s">
        <v>1541</v>
      </c>
      <c r="E1219" s="69">
        <v>61.91</v>
      </c>
      <c r="F1219" s="11" t="s">
        <v>1513</v>
      </c>
      <c r="G1219" s="9">
        <v>46015.0</v>
      </c>
      <c r="H1219" s="70">
        <f t="shared" si="1"/>
        <v>24</v>
      </c>
      <c r="I1219" s="70">
        <f t="shared" si="2"/>
        <v>12</v>
      </c>
      <c r="J1219" s="70">
        <f t="shared" si="3"/>
        <v>2025</v>
      </c>
      <c r="K1219" s="70" t="str">
        <f t="shared" si="4"/>
        <v>12/2025</v>
      </c>
    </row>
    <row r="1220" hidden="1">
      <c r="A1220" s="26">
        <v>46016.0</v>
      </c>
      <c r="B1220" s="28" t="s">
        <v>1511</v>
      </c>
      <c r="C1220" s="29" t="s">
        <v>27</v>
      </c>
      <c r="D1220" s="28" t="s">
        <v>1512</v>
      </c>
      <c r="E1220" s="71">
        <v>1074.67</v>
      </c>
      <c r="F1220" s="29" t="s">
        <v>1513</v>
      </c>
      <c r="G1220" s="9">
        <v>46016.0</v>
      </c>
      <c r="H1220" s="70">
        <f t="shared" si="1"/>
        <v>25</v>
      </c>
      <c r="I1220" s="70">
        <f t="shared" si="2"/>
        <v>12</v>
      </c>
      <c r="J1220" s="70">
        <f t="shared" si="3"/>
        <v>2025</v>
      </c>
      <c r="K1220" s="70" t="str">
        <f t="shared" si="4"/>
        <v>12/2025</v>
      </c>
    </row>
    <row r="1221" hidden="1">
      <c r="A1221" s="26">
        <v>46016.0</v>
      </c>
      <c r="B1221" s="28" t="s">
        <v>1514</v>
      </c>
      <c r="C1221" s="28" t="s">
        <v>37</v>
      </c>
      <c r="D1221" s="28" t="s">
        <v>1515</v>
      </c>
      <c r="E1221" s="71">
        <v>2773.87</v>
      </c>
      <c r="F1221" s="29" t="s">
        <v>1516</v>
      </c>
      <c r="G1221" s="26">
        <v>46016.0</v>
      </c>
      <c r="H1221" s="70">
        <f t="shared" si="1"/>
        <v>25</v>
      </c>
      <c r="I1221" s="70">
        <f t="shared" si="2"/>
        <v>12</v>
      </c>
      <c r="J1221" s="70">
        <f t="shared" si="3"/>
        <v>2025</v>
      </c>
      <c r="K1221" s="70" t="str">
        <f t="shared" si="4"/>
        <v>12/2025</v>
      </c>
    </row>
    <row r="1222" hidden="1">
      <c r="A1222" s="26">
        <v>46017.0</v>
      </c>
      <c r="B1222" s="28" t="s">
        <v>1511</v>
      </c>
      <c r="C1222" s="29" t="s">
        <v>27</v>
      </c>
      <c r="D1222" s="28" t="s">
        <v>1512</v>
      </c>
      <c r="E1222" s="71">
        <v>833.97</v>
      </c>
      <c r="F1222" s="29" t="s">
        <v>1513</v>
      </c>
      <c r="G1222" s="9">
        <v>46017.0</v>
      </c>
      <c r="H1222" s="70">
        <f t="shared" si="1"/>
        <v>26</v>
      </c>
      <c r="I1222" s="70">
        <f t="shared" si="2"/>
        <v>12</v>
      </c>
      <c r="J1222" s="70">
        <f t="shared" si="3"/>
        <v>2025</v>
      </c>
      <c r="K1222" s="70" t="str">
        <f t="shared" si="4"/>
        <v>12/2025</v>
      </c>
    </row>
    <row r="1223" hidden="1">
      <c r="A1223" s="26">
        <v>46017.0</v>
      </c>
      <c r="B1223" s="28" t="s">
        <v>1514</v>
      </c>
      <c r="C1223" s="28" t="s">
        <v>37</v>
      </c>
      <c r="D1223" s="28" t="s">
        <v>1515</v>
      </c>
      <c r="E1223" s="71">
        <v>3621.01</v>
      </c>
      <c r="F1223" s="29" t="s">
        <v>1516</v>
      </c>
      <c r="G1223" s="26">
        <v>46017.0</v>
      </c>
      <c r="H1223" s="70">
        <f t="shared" si="1"/>
        <v>26</v>
      </c>
      <c r="I1223" s="70">
        <f t="shared" si="2"/>
        <v>12</v>
      </c>
      <c r="J1223" s="70">
        <f t="shared" si="3"/>
        <v>2025</v>
      </c>
      <c r="K1223" s="70" t="str">
        <f t="shared" si="4"/>
        <v>12/2025</v>
      </c>
    </row>
    <row r="1224" hidden="1">
      <c r="A1224" s="26">
        <v>46017.0</v>
      </c>
      <c r="B1224" s="28" t="s">
        <v>1523</v>
      </c>
      <c r="C1224" s="28" t="s">
        <v>27</v>
      </c>
      <c r="D1224" s="28" t="s">
        <v>1524</v>
      </c>
      <c r="E1224" s="71">
        <v>4879.54</v>
      </c>
      <c r="F1224" s="29" t="s">
        <v>1513</v>
      </c>
      <c r="G1224" s="26">
        <v>46017.0</v>
      </c>
      <c r="H1224" s="70">
        <f t="shared" si="1"/>
        <v>26</v>
      </c>
      <c r="I1224" s="70">
        <f t="shared" si="2"/>
        <v>12</v>
      </c>
      <c r="J1224" s="70">
        <f t="shared" si="3"/>
        <v>2025</v>
      </c>
      <c r="K1224" s="70" t="str">
        <f t="shared" si="4"/>
        <v>12/2025</v>
      </c>
    </row>
    <row r="1225" hidden="1">
      <c r="A1225" s="9">
        <v>46017.0</v>
      </c>
      <c r="B1225" s="11" t="s">
        <v>44</v>
      </c>
      <c r="C1225" s="28" t="s">
        <v>27</v>
      </c>
      <c r="D1225" s="11" t="s">
        <v>1542</v>
      </c>
      <c r="E1225" s="69">
        <v>100146.95</v>
      </c>
      <c r="F1225" s="11" t="s">
        <v>1513</v>
      </c>
      <c r="G1225" s="9">
        <v>46017.0</v>
      </c>
      <c r="H1225" s="70">
        <f t="shared" si="1"/>
        <v>26</v>
      </c>
      <c r="I1225" s="70">
        <f t="shared" si="2"/>
        <v>12</v>
      </c>
      <c r="J1225" s="70">
        <f t="shared" si="3"/>
        <v>2025</v>
      </c>
      <c r="K1225" s="70" t="str">
        <f t="shared" si="4"/>
        <v>12/2025</v>
      </c>
    </row>
    <row r="1226" hidden="1">
      <c r="A1226" s="26">
        <v>46018.0</v>
      </c>
      <c r="B1226" s="28" t="s">
        <v>1511</v>
      </c>
      <c r="C1226" s="29" t="s">
        <v>27</v>
      </c>
      <c r="D1226" s="28" t="s">
        <v>1512</v>
      </c>
      <c r="E1226" s="71">
        <v>1295.73</v>
      </c>
      <c r="F1226" s="29" t="s">
        <v>1513</v>
      </c>
      <c r="G1226" s="9">
        <v>46018.0</v>
      </c>
      <c r="H1226" s="70">
        <f t="shared" si="1"/>
        <v>27</v>
      </c>
      <c r="I1226" s="70">
        <f t="shared" si="2"/>
        <v>12</v>
      </c>
      <c r="J1226" s="70">
        <f t="shared" si="3"/>
        <v>2025</v>
      </c>
      <c r="K1226" s="70" t="str">
        <f t="shared" si="4"/>
        <v>12/2025</v>
      </c>
    </row>
    <row r="1227" hidden="1">
      <c r="A1227" s="26">
        <v>46018.0</v>
      </c>
      <c r="B1227" s="28" t="s">
        <v>1514</v>
      </c>
      <c r="C1227" s="28" t="s">
        <v>37</v>
      </c>
      <c r="D1227" s="28" t="s">
        <v>1515</v>
      </c>
      <c r="E1227" s="71">
        <v>3817.84</v>
      </c>
      <c r="F1227" s="29" t="s">
        <v>1516</v>
      </c>
      <c r="G1227" s="26">
        <v>46018.0</v>
      </c>
      <c r="H1227" s="70">
        <f t="shared" si="1"/>
        <v>27</v>
      </c>
      <c r="I1227" s="70">
        <f t="shared" si="2"/>
        <v>12</v>
      </c>
      <c r="J1227" s="70">
        <f t="shared" si="3"/>
        <v>2025</v>
      </c>
      <c r="K1227" s="70" t="str">
        <f t="shared" si="4"/>
        <v>12/2025</v>
      </c>
    </row>
    <row r="1228" hidden="1">
      <c r="A1228" s="26">
        <v>46019.0</v>
      </c>
      <c r="B1228" s="28" t="s">
        <v>1511</v>
      </c>
      <c r="C1228" s="29" t="s">
        <v>27</v>
      </c>
      <c r="D1228" s="28" t="s">
        <v>1512</v>
      </c>
      <c r="E1228" s="71">
        <v>1193.86</v>
      </c>
      <c r="F1228" s="29" t="s">
        <v>1513</v>
      </c>
      <c r="G1228" s="9">
        <v>46019.0</v>
      </c>
      <c r="H1228" s="70">
        <f t="shared" si="1"/>
        <v>28</v>
      </c>
      <c r="I1228" s="70">
        <f t="shared" si="2"/>
        <v>12</v>
      </c>
      <c r="J1228" s="70">
        <f t="shared" si="3"/>
        <v>2025</v>
      </c>
      <c r="K1228" s="70" t="str">
        <f t="shared" si="4"/>
        <v>12/2025</v>
      </c>
    </row>
    <row r="1229" hidden="1">
      <c r="A1229" s="26">
        <v>46019.0</v>
      </c>
      <c r="B1229" s="28" t="s">
        <v>1514</v>
      </c>
      <c r="C1229" s="28" t="s">
        <v>37</v>
      </c>
      <c r="D1229" s="28" t="s">
        <v>1515</v>
      </c>
      <c r="E1229" s="71">
        <v>3381.84</v>
      </c>
      <c r="F1229" s="29" t="s">
        <v>1516</v>
      </c>
      <c r="G1229" s="26">
        <v>46019.0</v>
      </c>
      <c r="H1229" s="70">
        <f t="shared" si="1"/>
        <v>28</v>
      </c>
      <c r="I1229" s="70">
        <f t="shared" si="2"/>
        <v>12</v>
      </c>
      <c r="J1229" s="70">
        <f t="shared" si="3"/>
        <v>2025</v>
      </c>
      <c r="K1229" s="70" t="str">
        <f t="shared" si="4"/>
        <v>12/2025</v>
      </c>
    </row>
    <row r="1230" hidden="1">
      <c r="A1230" s="26">
        <v>46020.0</v>
      </c>
      <c r="B1230" s="28" t="s">
        <v>1511</v>
      </c>
      <c r="C1230" s="29" t="s">
        <v>27</v>
      </c>
      <c r="D1230" s="28" t="s">
        <v>1512</v>
      </c>
      <c r="E1230" s="71">
        <v>333.54</v>
      </c>
      <c r="F1230" s="29" t="s">
        <v>1513</v>
      </c>
      <c r="G1230" s="9">
        <v>46020.0</v>
      </c>
      <c r="H1230" s="70">
        <f t="shared" si="1"/>
        <v>29</v>
      </c>
      <c r="I1230" s="70">
        <f t="shared" si="2"/>
        <v>12</v>
      </c>
      <c r="J1230" s="70">
        <f t="shared" si="3"/>
        <v>2025</v>
      </c>
      <c r="K1230" s="70" t="str">
        <f t="shared" si="4"/>
        <v>12/2025</v>
      </c>
    </row>
    <row r="1231" hidden="1">
      <c r="A1231" s="26">
        <v>46020.0</v>
      </c>
      <c r="B1231" s="28" t="s">
        <v>1514</v>
      </c>
      <c r="C1231" s="28" t="s">
        <v>37</v>
      </c>
      <c r="D1231" s="28" t="s">
        <v>1515</v>
      </c>
      <c r="E1231" s="71">
        <v>942.67</v>
      </c>
      <c r="F1231" s="29" t="s">
        <v>1516</v>
      </c>
      <c r="G1231" s="9">
        <v>46020.0</v>
      </c>
      <c r="H1231" s="70">
        <f t="shared" si="1"/>
        <v>29</v>
      </c>
      <c r="I1231" s="70">
        <f t="shared" si="2"/>
        <v>12</v>
      </c>
      <c r="J1231" s="70">
        <f t="shared" si="3"/>
        <v>2025</v>
      </c>
      <c r="K1231" s="70" t="str">
        <f t="shared" si="4"/>
        <v>12/2025</v>
      </c>
    </row>
    <row r="1232" hidden="1">
      <c r="A1232" s="26">
        <v>46020.0</v>
      </c>
      <c r="B1232" s="28" t="s">
        <v>1523</v>
      </c>
      <c r="C1232" s="28" t="s">
        <v>27</v>
      </c>
      <c r="D1232" s="28" t="s">
        <v>1524</v>
      </c>
      <c r="E1232" s="71">
        <v>16002.18</v>
      </c>
      <c r="F1232" s="29" t="s">
        <v>1513</v>
      </c>
      <c r="G1232" s="9">
        <v>46020.0</v>
      </c>
      <c r="H1232" s="70">
        <f t="shared" si="1"/>
        <v>29</v>
      </c>
      <c r="I1232" s="70">
        <f t="shared" si="2"/>
        <v>12</v>
      </c>
      <c r="J1232" s="70">
        <f t="shared" si="3"/>
        <v>2025</v>
      </c>
      <c r="K1232" s="70" t="str">
        <f t="shared" si="4"/>
        <v>12/2025</v>
      </c>
    </row>
    <row r="1233" hidden="1">
      <c r="A1233" s="26">
        <v>46021.0</v>
      </c>
      <c r="B1233" s="28" t="s">
        <v>1511</v>
      </c>
      <c r="C1233" s="29" t="s">
        <v>27</v>
      </c>
      <c r="D1233" s="28" t="s">
        <v>1512</v>
      </c>
      <c r="E1233" s="71">
        <v>664.95</v>
      </c>
      <c r="F1233" s="29" t="s">
        <v>1513</v>
      </c>
      <c r="G1233" s="9">
        <v>46021.0</v>
      </c>
      <c r="H1233" s="70">
        <f t="shared" si="1"/>
        <v>30</v>
      </c>
      <c r="I1233" s="70">
        <f t="shared" si="2"/>
        <v>12</v>
      </c>
      <c r="J1233" s="70">
        <f t="shared" si="3"/>
        <v>2025</v>
      </c>
      <c r="K1233" s="70" t="str">
        <f t="shared" si="4"/>
        <v>12/2025</v>
      </c>
    </row>
    <row r="1234" hidden="1">
      <c r="A1234" s="26">
        <v>46021.0</v>
      </c>
      <c r="B1234" s="28" t="s">
        <v>1514</v>
      </c>
      <c r="C1234" s="28" t="s">
        <v>37</v>
      </c>
      <c r="D1234" s="28" t="s">
        <v>1515</v>
      </c>
      <c r="E1234" s="71">
        <v>2001.57</v>
      </c>
      <c r="F1234" s="29" t="s">
        <v>1516</v>
      </c>
      <c r="G1234" s="26">
        <v>46021.0</v>
      </c>
      <c r="H1234" s="70">
        <f t="shared" si="1"/>
        <v>30</v>
      </c>
      <c r="I1234" s="70">
        <f t="shared" si="2"/>
        <v>12</v>
      </c>
      <c r="J1234" s="70">
        <f t="shared" si="3"/>
        <v>2025</v>
      </c>
      <c r="K1234" s="70" t="str">
        <f t="shared" si="4"/>
        <v>12/2025</v>
      </c>
    </row>
    <row r="1235" hidden="1">
      <c r="A1235" s="26">
        <v>46022.0</v>
      </c>
      <c r="B1235" s="28" t="s">
        <v>1511</v>
      </c>
      <c r="C1235" s="29" t="s">
        <v>27</v>
      </c>
      <c r="D1235" s="28" t="s">
        <v>1512</v>
      </c>
      <c r="E1235" s="71">
        <v>1082.41</v>
      </c>
      <c r="F1235" s="29" t="s">
        <v>1513</v>
      </c>
      <c r="G1235" s="9">
        <v>46022.0</v>
      </c>
      <c r="H1235" s="70">
        <f t="shared" si="1"/>
        <v>31</v>
      </c>
      <c r="I1235" s="70">
        <f t="shared" si="2"/>
        <v>12</v>
      </c>
      <c r="J1235" s="70">
        <f t="shared" si="3"/>
        <v>2025</v>
      </c>
      <c r="K1235" s="70" t="str">
        <f t="shared" si="4"/>
        <v>12/2025</v>
      </c>
    </row>
    <row r="1236" hidden="1">
      <c r="A1236" s="26">
        <v>46022.0</v>
      </c>
      <c r="B1236" s="28" t="s">
        <v>1514</v>
      </c>
      <c r="C1236" s="28" t="s">
        <v>37</v>
      </c>
      <c r="D1236" s="28" t="s">
        <v>1515</v>
      </c>
      <c r="E1236" s="71">
        <v>3697.87</v>
      </c>
      <c r="F1236" s="29" t="s">
        <v>1516</v>
      </c>
      <c r="G1236" s="26">
        <v>46022.0</v>
      </c>
      <c r="H1236" s="70">
        <f t="shared" si="1"/>
        <v>31</v>
      </c>
      <c r="I1236" s="70">
        <f t="shared" si="2"/>
        <v>12</v>
      </c>
      <c r="J1236" s="70">
        <f t="shared" si="3"/>
        <v>2025</v>
      </c>
      <c r="K1236" s="70" t="str">
        <f t="shared" si="4"/>
        <v>12/2025</v>
      </c>
    </row>
    <row r="1237" hidden="1">
      <c r="A1237" s="26">
        <v>46023.0</v>
      </c>
      <c r="B1237" s="28" t="s">
        <v>1511</v>
      </c>
      <c r="C1237" s="29" t="s">
        <v>27</v>
      </c>
      <c r="D1237" s="28" t="s">
        <v>1512</v>
      </c>
      <c r="E1237" s="71">
        <v>815.05</v>
      </c>
      <c r="F1237" s="29" t="s">
        <v>1513</v>
      </c>
      <c r="G1237" s="9">
        <v>46023.0</v>
      </c>
      <c r="H1237" s="70">
        <f t="shared" si="1"/>
        <v>1</v>
      </c>
      <c r="I1237" s="70">
        <f t="shared" si="2"/>
        <v>1</v>
      </c>
      <c r="J1237" s="70">
        <f t="shared" si="3"/>
        <v>2026</v>
      </c>
      <c r="K1237" s="70" t="str">
        <f t="shared" si="4"/>
        <v>01/2026</v>
      </c>
    </row>
    <row r="1238" hidden="1">
      <c r="A1238" s="26">
        <v>46023.0</v>
      </c>
      <c r="B1238" s="28" t="s">
        <v>1514</v>
      </c>
      <c r="C1238" s="28" t="s">
        <v>37</v>
      </c>
      <c r="D1238" s="28" t="s">
        <v>1515</v>
      </c>
      <c r="E1238" s="71">
        <v>1013.29</v>
      </c>
      <c r="F1238" s="29" t="s">
        <v>1516</v>
      </c>
      <c r="G1238" s="9">
        <v>46023.0</v>
      </c>
      <c r="H1238" s="70">
        <f t="shared" si="1"/>
        <v>1</v>
      </c>
      <c r="I1238" s="70">
        <f t="shared" si="2"/>
        <v>1</v>
      </c>
      <c r="J1238" s="70">
        <f t="shared" si="3"/>
        <v>2026</v>
      </c>
      <c r="K1238" s="70" t="str">
        <f t="shared" si="4"/>
        <v>01/2026</v>
      </c>
    </row>
    <row r="1239" hidden="1">
      <c r="A1239" s="26">
        <v>46025.0</v>
      </c>
      <c r="B1239" s="28" t="s">
        <v>1514</v>
      </c>
      <c r="C1239" s="28" t="s">
        <v>37</v>
      </c>
      <c r="D1239" s="28" t="s">
        <v>1515</v>
      </c>
      <c r="E1239" s="71">
        <v>1789.97</v>
      </c>
      <c r="F1239" s="29" t="s">
        <v>1516</v>
      </c>
      <c r="G1239" s="9">
        <v>46025.0</v>
      </c>
      <c r="H1239" s="70">
        <f t="shared" si="1"/>
        <v>3</v>
      </c>
      <c r="I1239" s="70">
        <f t="shared" si="2"/>
        <v>1</v>
      </c>
      <c r="J1239" s="70">
        <f t="shared" si="3"/>
        <v>2026</v>
      </c>
      <c r="K1239" s="70" t="str">
        <f t="shared" si="4"/>
        <v>01/2026</v>
      </c>
    </row>
    <row r="1240" hidden="1">
      <c r="A1240" s="26">
        <v>46025.0</v>
      </c>
      <c r="B1240" s="28" t="s">
        <v>1511</v>
      </c>
      <c r="C1240" s="29" t="s">
        <v>27</v>
      </c>
      <c r="D1240" s="28" t="s">
        <v>1512</v>
      </c>
      <c r="E1240" s="71">
        <v>730.36</v>
      </c>
      <c r="F1240" s="29" t="s">
        <v>1513</v>
      </c>
      <c r="G1240" s="9">
        <v>46025.0</v>
      </c>
      <c r="H1240" s="70">
        <f t="shared" si="1"/>
        <v>3</v>
      </c>
      <c r="I1240" s="70">
        <f t="shared" si="2"/>
        <v>1</v>
      </c>
      <c r="J1240" s="70">
        <f t="shared" si="3"/>
        <v>2026</v>
      </c>
      <c r="K1240" s="70" t="str">
        <f t="shared" si="4"/>
        <v>01/2026</v>
      </c>
    </row>
    <row r="1241" hidden="1">
      <c r="A1241" s="26">
        <v>46026.0</v>
      </c>
      <c r="B1241" s="28" t="s">
        <v>1514</v>
      </c>
      <c r="C1241" s="28" t="s">
        <v>37</v>
      </c>
      <c r="D1241" s="28" t="s">
        <v>1515</v>
      </c>
      <c r="E1241" s="71">
        <v>1867.52</v>
      </c>
      <c r="F1241" s="29" t="s">
        <v>1516</v>
      </c>
      <c r="G1241" s="9">
        <v>46026.0</v>
      </c>
      <c r="H1241" s="70">
        <f t="shared" si="1"/>
        <v>4</v>
      </c>
      <c r="I1241" s="70">
        <f t="shared" si="2"/>
        <v>1</v>
      </c>
      <c r="J1241" s="70">
        <f t="shared" si="3"/>
        <v>2026</v>
      </c>
      <c r="K1241" s="70" t="str">
        <f t="shared" si="4"/>
        <v>01/2026</v>
      </c>
    </row>
    <row r="1242" hidden="1">
      <c r="A1242" s="26">
        <v>46026.0</v>
      </c>
      <c r="B1242" s="28" t="s">
        <v>1511</v>
      </c>
      <c r="C1242" s="29" t="s">
        <v>27</v>
      </c>
      <c r="D1242" s="28" t="s">
        <v>1512</v>
      </c>
      <c r="E1242" s="71">
        <v>199.5</v>
      </c>
      <c r="F1242" s="29" t="s">
        <v>1513</v>
      </c>
      <c r="G1242" s="9">
        <v>46026.0</v>
      </c>
      <c r="H1242" s="70">
        <f t="shared" si="1"/>
        <v>4</v>
      </c>
      <c r="I1242" s="70">
        <f t="shared" si="2"/>
        <v>1</v>
      </c>
      <c r="J1242" s="70">
        <f t="shared" si="3"/>
        <v>2026</v>
      </c>
      <c r="K1242" s="70" t="str">
        <f t="shared" si="4"/>
        <v>01/2026</v>
      </c>
    </row>
    <row r="1243" hidden="1">
      <c r="A1243" s="26">
        <v>46027.0</v>
      </c>
      <c r="B1243" s="28" t="s">
        <v>1514</v>
      </c>
      <c r="C1243" s="28" t="s">
        <v>37</v>
      </c>
      <c r="D1243" s="28" t="s">
        <v>1515</v>
      </c>
      <c r="E1243" s="71">
        <v>176.6</v>
      </c>
      <c r="F1243" s="29" t="s">
        <v>1516</v>
      </c>
      <c r="G1243" s="26">
        <v>46027.0</v>
      </c>
      <c r="H1243" s="70">
        <f t="shared" si="1"/>
        <v>5</v>
      </c>
      <c r="I1243" s="70">
        <f t="shared" si="2"/>
        <v>1</v>
      </c>
      <c r="J1243" s="70">
        <f t="shared" si="3"/>
        <v>2026</v>
      </c>
      <c r="K1243" s="70" t="str">
        <f t="shared" si="4"/>
        <v>01/2026</v>
      </c>
    </row>
    <row r="1244" hidden="1">
      <c r="A1244" s="26">
        <v>46027.0</v>
      </c>
      <c r="B1244" s="28" t="s">
        <v>1511</v>
      </c>
      <c r="C1244" s="29" t="s">
        <v>27</v>
      </c>
      <c r="D1244" s="28" t="s">
        <v>1512</v>
      </c>
      <c r="E1244" s="71">
        <v>67.0</v>
      </c>
      <c r="F1244" s="29" t="s">
        <v>1513</v>
      </c>
      <c r="G1244" s="9">
        <v>46027.0</v>
      </c>
      <c r="H1244" s="70">
        <f t="shared" si="1"/>
        <v>5</v>
      </c>
      <c r="I1244" s="70">
        <f t="shared" si="2"/>
        <v>1</v>
      </c>
      <c r="J1244" s="70">
        <f t="shared" si="3"/>
        <v>2026</v>
      </c>
      <c r="K1244" s="70" t="str">
        <f t="shared" si="4"/>
        <v>01/2026</v>
      </c>
    </row>
    <row r="1245" hidden="1">
      <c r="A1245" s="26">
        <v>46027.0</v>
      </c>
      <c r="B1245" s="28" t="s">
        <v>44</v>
      </c>
      <c r="C1245" s="28" t="s">
        <v>27</v>
      </c>
      <c r="D1245" s="29" t="s">
        <v>1525</v>
      </c>
      <c r="E1245" s="71">
        <v>63.02</v>
      </c>
      <c r="F1245" s="28" t="s">
        <v>1513</v>
      </c>
      <c r="G1245" s="26">
        <v>46027.0</v>
      </c>
      <c r="H1245" s="70">
        <f t="shared" si="1"/>
        <v>5</v>
      </c>
      <c r="I1245" s="70">
        <f t="shared" si="2"/>
        <v>1</v>
      </c>
      <c r="J1245" s="70">
        <f t="shared" si="3"/>
        <v>2026</v>
      </c>
      <c r="K1245" s="70" t="str">
        <f t="shared" si="4"/>
        <v>01/2026</v>
      </c>
    </row>
    <row r="1246" hidden="1">
      <c r="A1246" s="26">
        <v>46028.0</v>
      </c>
      <c r="B1246" s="28" t="s">
        <v>1514</v>
      </c>
      <c r="C1246" s="28" t="s">
        <v>37</v>
      </c>
      <c r="D1246" s="28" t="s">
        <v>1515</v>
      </c>
      <c r="E1246" s="71">
        <v>1308.35</v>
      </c>
      <c r="F1246" s="29" t="s">
        <v>1516</v>
      </c>
      <c r="G1246" s="26">
        <v>46028.0</v>
      </c>
      <c r="H1246" s="70">
        <f t="shared" si="1"/>
        <v>6</v>
      </c>
      <c r="I1246" s="70">
        <f t="shared" si="2"/>
        <v>1</v>
      </c>
      <c r="J1246" s="70">
        <f t="shared" si="3"/>
        <v>2026</v>
      </c>
      <c r="K1246" s="70" t="str">
        <f t="shared" si="4"/>
        <v>01/2026</v>
      </c>
    </row>
    <row r="1247" hidden="1">
      <c r="A1247" s="26">
        <v>46028.0</v>
      </c>
      <c r="B1247" s="28" t="s">
        <v>1511</v>
      </c>
      <c r="C1247" s="29" t="s">
        <v>27</v>
      </c>
      <c r="D1247" s="28" t="s">
        <v>1512</v>
      </c>
      <c r="E1247" s="71">
        <v>592.87</v>
      </c>
      <c r="F1247" s="29" t="s">
        <v>1513</v>
      </c>
      <c r="G1247" s="9">
        <v>46028.0</v>
      </c>
      <c r="H1247" s="70">
        <f t="shared" si="1"/>
        <v>6</v>
      </c>
      <c r="I1247" s="70">
        <f t="shared" si="2"/>
        <v>1</v>
      </c>
      <c r="J1247" s="70">
        <f t="shared" si="3"/>
        <v>2026</v>
      </c>
      <c r="K1247" s="70" t="str">
        <f t="shared" si="4"/>
        <v>01/2026</v>
      </c>
    </row>
    <row r="1248" hidden="1">
      <c r="A1248" s="26">
        <v>46029.0</v>
      </c>
      <c r="B1248" s="28" t="s">
        <v>1511</v>
      </c>
      <c r="C1248" s="29" t="s">
        <v>27</v>
      </c>
      <c r="D1248" s="28" t="s">
        <v>1512</v>
      </c>
      <c r="E1248" s="71">
        <v>1252.04</v>
      </c>
      <c r="F1248" s="29" t="s">
        <v>1513</v>
      </c>
      <c r="G1248" s="9">
        <v>46029.0</v>
      </c>
      <c r="H1248" s="70">
        <f t="shared" si="1"/>
        <v>7</v>
      </c>
      <c r="I1248" s="70">
        <f t="shared" si="2"/>
        <v>1</v>
      </c>
      <c r="J1248" s="70">
        <f t="shared" si="3"/>
        <v>2026</v>
      </c>
      <c r="K1248" s="70" t="str">
        <f t="shared" si="4"/>
        <v>01/2026</v>
      </c>
    </row>
    <row r="1249" hidden="1">
      <c r="A1249" s="26">
        <v>46029.0</v>
      </c>
      <c r="B1249" s="28" t="s">
        <v>1514</v>
      </c>
      <c r="C1249" s="28" t="s">
        <v>37</v>
      </c>
      <c r="D1249" s="28" t="s">
        <v>1515</v>
      </c>
      <c r="E1249" s="71">
        <v>2684.49</v>
      </c>
      <c r="F1249" s="29" t="s">
        <v>1516</v>
      </c>
      <c r="G1249" s="26">
        <v>46029.0</v>
      </c>
      <c r="H1249" s="70">
        <f t="shared" si="1"/>
        <v>7</v>
      </c>
      <c r="I1249" s="70">
        <f t="shared" si="2"/>
        <v>1</v>
      </c>
      <c r="J1249" s="70">
        <f t="shared" si="3"/>
        <v>2026</v>
      </c>
      <c r="K1249" s="70" t="str">
        <f t="shared" si="4"/>
        <v>01/2026</v>
      </c>
    </row>
    <row r="1250" hidden="1">
      <c r="A1250" s="26">
        <v>46030.0</v>
      </c>
      <c r="B1250" s="28" t="s">
        <v>1511</v>
      </c>
      <c r="C1250" s="29" t="s">
        <v>27</v>
      </c>
      <c r="D1250" s="28" t="s">
        <v>1512</v>
      </c>
      <c r="E1250" s="71">
        <v>653.71</v>
      </c>
      <c r="F1250" s="29" t="s">
        <v>1513</v>
      </c>
      <c r="G1250" s="9">
        <v>46030.0</v>
      </c>
      <c r="H1250" s="70">
        <f t="shared" si="1"/>
        <v>8</v>
      </c>
      <c r="I1250" s="70">
        <f t="shared" si="2"/>
        <v>1</v>
      </c>
      <c r="J1250" s="70">
        <f t="shared" si="3"/>
        <v>2026</v>
      </c>
      <c r="K1250" s="70" t="str">
        <f t="shared" si="4"/>
        <v>01/2026</v>
      </c>
    </row>
    <row r="1251" hidden="1">
      <c r="A1251" s="26">
        <v>46030.0</v>
      </c>
      <c r="B1251" s="28" t="s">
        <v>1514</v>
      </c>
      <c r="C1251" s="28" t="s">
        <v>37</v>
      </c>
      <c r="D1251" s="28" t="s">
        <v>1515</v>
      </c>
      <c r="E1251" s="71">
        <v>1406.4</v>
      </c>
      <c r="F1251" s="29" t="s">
        <v>1516</v>
      </c>
      <c r="G1251" s="26">
        <v>46030.0</v>
      </c>
      <c r="H1251" s="70">
        <f t="shared" si="1"/>
        <v>8</v>
      </c>
      <c r="I1251" s="70">
        <f t="shared" si="2"/>
        <v>1</v>
      </c>
      <c r="J1251" s="70">
        <f t="shared" si="3"/>
        <v>2026</v>
      </c>
      <c r="K1251" s="70" t="str">
        <f t="shared" si="4"/>
        <v>01/2026</v>
      </c>
    </row>
    <row r="1252" hidden="1">
      <c r="A1252" s="26">
        <v>46031.0</v>
      </c>
      <c r="B1252" s="28" t="s">
        <v>1514</v>
      </c>
      <c r="C1252" s="28" t="s">
        <v>37</v>
      </c>
      <c r="D1252" s="28" t="s">
        <v>1515</v>
      </c>
      <c r="E1252" s="71">
        <v>25.74</v>
      </c>
      <c r="F1252" s="29" t="s">
        <v>1516</v>
      </c>
      <c r="G1252" s="26">
        <v>46031.0</v>
      </c>
      <c r="H1252" s="70">
        <f t="shared" si="1"/>
        <v>9</v>
      </c>
      <c r="I1252" s="70">
        <f t="shared" si="2"/>
        <v>1</v>
      </c>
      <c r="J1252" s="70">
        <f t="shared" si="3"/>
        <v>2026</v>
      </c>
      <c r="K1252" s="70" t="str">
        <f t="shared" si="4"/>
        <v>01/2026</v>
      </c>
    </row>
    <row r="1253" hidden="1">
      <c r="A1253" s="26">
        <v>46031.0</v>
      </c>
      <c r="B1253" s="28" t="s">
        <v>1523</v>
      </c>
      <c r="C1253" s="28" t="s">
        <v>27</v>
      </c>
      <c r="D1253" s="28" t="s">
        <v>1524</v>
      </c>
      <c r="E1253" s="71">
        <v>2332.15</v>
      </c>
      <c r="F1253" s="29" t="s">
        <v>1513</v>
      </c>
      <c r="G1253" s="26">
        <v>46031.0</v>
      </c>
      <c r="H1253" s="70">
        <f t="shared" si="1"/>
        <v>9</v>
      </c>
      <c r="I1253" s="70">
        <f t="shared" si="2"/>
        <v>1</v>
      </c>
      <c r="J1253" s="70">
        <f t="shared" si="3"/>
        <v>2026</v>
      </c>
      <c r="K1253" s="70" t="str">
        <f t="shared" si="4"/>
        <v>01/2026</v>
      </c>
    </row>
    <row r="1254" hidden="1">
      <c r="A1254" s="26">
        <v>46032.0</v>
      </c>
      <c r="B1254" s="28" t="s">
        <v>1511</v>
      </c>
      <c r="C1254" s="29" t="s">
        <v>27</v>
      </c>
      <c r="D1254" s="28" t="s">
        <v>1512</v>
      </c>
      <c r="E1254" s="71">
        <v>843.49</v>
      </c>
      <c r="F1254" s="29" t="s">
        <v>1513</v>
      </c>
      <c r="G1254" s="9">
        <v>46032.0</v>
      </c>
      <c r="H1254" s="70">
        <f t="shared" si="1"/>
        <v>10</v>
      </c>
      <c r="I1254" s="70">
        <f t="shared" si="2"/>
        <v>1</v>
      </c>
      <c r="J1254" s="70">
        <f t="shared" si="3"/>
        <v>2026</v>
      </c>
      <c r="K1254" s="70" t="str">
        <f t="shared" si="4"/>
        <v>01/2026</v>
      </c>
    </row>
    <row r="1255" hidden="1">
      <c r="A1255" s="26">
        <v>46032.0</v>
      </c>
      <c r="B1255" s="28" t="s">
        <v>1514</v>
      </c>
      <c r="C1255" s="28" t="s">
        <v>37</v>
      </c>
      <c r="D1255" s="28" t="s">
        <v>1515</v>
      </c>
      <c r="E1255" s="71">
        <v>1555.13</v>
      </c>
      <c r="F1255" s="29" t="s">
        <v>1516</v>
      </c>
      <c r="G1255" s="26">
        <v>46032.0</v>
      </c>
      <c r="H1255" s="70">
        <f t="shared" si="1"/>
        <v>10</v>
      </c>
      <c r="I1255" s="70">
        <f t="shared" si="2"/>
        <v>1</v>
      </c>
      <c r="J1255" s="70">
        <f t="shared" si="3"/>
        <v>2026</v>
      </c>
      <c r="K1255" s="70" t="str">
        <f t="shared" si="4"/>
        <v>01/2026</v>
      </c>
    </row>
    <row r="1256" hidden="1">
      <c r="A1256" s="26">
        <v>46033.0</v>
      </c>
      <c r="B1256" s="28" t="s">
        <v>1511</v>
      </c>
      <c r="C1256" s="29" t="s">
        <v>27</v>
      </c>
      <c r="D1256" s="28" t="s">
        <v>1512</v>
      </c>
      <c r="E1256" s="71">
        <v>643.75</v>
      </c>
      <c r="F1256" s="29" t="s">
        <v>1513</v>
      </c>
      <c r="G1256" s="9">
        <v>46033.0</v>
      </c>
      <c r="H1256" s="70">
        <f t="shared" si="1"/>
        <v>11</v>
      </c>
      <c r="I1256" s="70">
        <f t="shared" si="2"/>
        <v>1</v>
      </c>
      <c r="J1256" s="70">
        <f t="shared" si="3"/>
        <v>2026</v>
      </c>
      <c r="K1256" s="70" t="str">
        <f t="shared" si="4"/>
        <v>01/2026</v>
      </c>
    </row>
    <row r="1257" hidden="1">
      <c r="A1257" s="26">
        <v>46033.0</v>
      </c>
      <c r="B1257" s="28" t="s">
        <v>1514</v>
      </c>
      <c r="C1257" s="28" t="s">
        <v>37</v>
      </c>
      <c r="D1257" s="28" t="s">
        <v>1515</v>
      </c>
      <c r="E1257" s="71">
        <v>2433.26</v>
      </c>
      <c r="F1257" s="29" t="s">
        <v>1516</v>
      </c>
      <c r="G1257" s="26">
        <v>46033.0</v>
      </c>
      <c r="H1257" s="70">
        <f t="shared" si="1"/>
        <v>11</v>
      </c>
      <c r="I1257" s="70">
        <f t="shared" si="2"/>
        <v>1</v>
      </c>
      <c r="J1257" s="70">
        <f t="shared" si="3"/>
        <v>2026</v>
      </c>
      <c r="K1257" s="70" t="str">
        <f t="shared" si="4"/>
        <v>01/2026</v>
      </c>
    </row>
    <row r="1258" hidden="1">
      <c r="A1258" s="26">
        <v>46034.0</v>
      </c>
      <c r="B1258" s="28" t="s">
        <v>1511</v>
      </c>
      <c r="C1258" s="28" t="s">
        <v>66</v>
      </c>
      <c r="D1258" s="28" t="s">
        <v>1512</v>
      </c>
      <c r="E1258" s="71">
        <v>189.75</v>
      </c>
      <c r="F1258" s="29" t="s">
        <v>1516</v>
      </c>
      <c r="G1258" s="9">
        <v>46034.0</v>
      </c>
      <c r="H1258" s="70">
        <f t="shared" si="1"/>
        <v>12</v>
      </c>
      <c r="I1258" s="70">
        <f t="shared" si="2"/>
        <v>1</v>
      </c>
      <c r="J1258" s="70">
        <f t="shared" si="3"/>
        <v>2026</v>
      </c>
      <c r="K1258" s="70" t="str">
        <f t="shared" si="4"/>
        <v>01/2026</v>
      </c>
    </row>
    <row r="1259" hidden="1">
      <c r="A1259" s="26">
        <v>46034.0</v>
      </c>
      <c r="B1259" s="28" t="s">
        <v>1514</v>
      </c>
      <c r="C1259" s="28" t="s">
        <v>37</v>
      </c>
      <c r="D1259" s="28" t="s">
        <v>1515</v>
      </c>
      <c r="E1259" s="71">
        <v>112.44</v>
      </c>
      <c r="F1259" s="29" t="s">
        <v>1516</v>
      </c>
      <c r="G1259" s="26">
        <v>46034.0</v>
      </c>
      <c r="H1259" s="70">
        <f t="shared" si="1"/>
        <v>12</v>
      </c>
      <c r="I1259" s="70">
        <f t="shared" si="2"/>
        <v>1</v>
      </c>
      <c r="J1259" s="70">
        <f t="shared" si="3"/>
        <v>2026</v>
      </c>
      <c r="K1259" s="70" t="str">
        <f t="shared" si="4"/>
        <v>01/2026</v>
      </c>
    </row>
    <row r="1260" hidden="1">
      <c r="A1260" s="26">
        <v>46034.0</v>
      </c>
      <c r="B1260" s="28" t="s">
        <v>1523</v>
      </c>
      <c r="C1260" s="28" t="s">
        <v>27</v>
      </c>
      <c r="D1260" s="28" t="s">
        <v>1524</v>
      </c>
      <c r="E1260" s="71">
        <v>7756.13</v>
      </c>
      <c r="F1260" s="29" t="s">
        <v>1513</v>
      </c>
      <c r="G1260" s="26">
        <v>46034.0</v>
      </c>
      <c r="H1260" s="70">
        <f t="shared" si="1"/>
        <v>12</v>
      </c>
      <c r="I1260" s="70">
        <f t="shared" si="2"/>
        <v>1</v>
      </c>
      <c r="J1260" s="70">
        <f t="shared" si="3"/>
        <v>2026</v>
      </c>
      <c r="K1260" s="70" t="str">
        <f t="shared" si="4"/>
        <v>01/2026</v>
      </c>
    </row>
    <row r="1261" hidden="1">
      <c r="A1261" s="9">
        <v>46034.0</v>
      </c>
      <c r="B1261" s="11" t="s">
        <v>1519</v>
      </c>
      <c r="C1261" s="28" t="s">
        <v>27</v>
      </c>
      <c r="D1261" s="28" t="s">
        <v>1520</v>
      </c>
      <c r="E1261" s="69">
        <v>27088.07</v>
      </c>
      <c r="F1261" s="11" t="s">
        <v>1513</v>
      </c>
      <c r="G1261" s="9">
        <v>46034.0</v>
      </c>
      <c r="H1261" s="70">
        <f t="shared" si="1"/>
        <v>12</v>
      </c>
      <c r="I1261" s="70">
        <f t="shared" si="2"/>
        <v>1</v>
      </c>
      <c r="J1261" s="70">
        <f t="shared" si="3"/>
        <v>2026</v>
      </c>
      <c r="K1261" s="70" t="str">
        <f t="shared" si="4"/>
        <v>01/2026</v>
      </c>
    </row>
    <row r="1262" hidden="1">
      <c r="A1262" s="26">
        <v>46035.0</v>
      </c>
      <c r="B1262" s="28" t="s">
        <v>1511</v>
      </c>
      <c r="C1262" s="29" t="s">
        <v>27</v>
      </c>
      <c r="D1262" s="28" t="s">
        <v>1512</v>
      </c>
      <c r="E1262" s="71">
        <v>630.21</v>
      </c>
      <c r="F1262" s="29" t="s">
        <v>1513</v>
      </c>
      <c r="G1262" s="9">
        <v>46035.0</v>
      </c>
      <c r="H1262" s="70">
        <f t="shared" si="1"/>
        <v>13</v>
      </c>
      <c r="I1262" s="70">
        <f t="shared" si="2"/>
        <v>1</v>
      </c>
      <c r="J1262" s="70">
        <f t="shared" si="3"/>
        <v>2026</v>
      </c>
      <c r="K1262" s="70" t="str">
        <f t="shared" si="4"/>
        <v>01/2026</v>
      </c>
    </row>
    <row r="1263" hidden="1">
      <c r="A1263" s="26">
        <v>46035.0</v>
      </c>
      <c r="B1263" s="28" t="s">
        <v>1514</v>
      </c>
      <c r="C1263" s="28" t="s">
        <v>37</v>
      </c>
      <c r="D1263" s="28" t="s">
        <v>1515</v>
      </c>
      <c r="E1263" s="71">
        <v>1454.03</v>
      </c>
      <c r="F1263" s="29" t="s">
        <v>1516</v>
      </c>
      <c r="G1263" s="26">
        <v>46035.0</v>
      </c>
      <c r="H1263" s="70">
        <f t="shared" si="1"/>
        <v>13</v>
      </c>
      <c r="I1263" s="70">
        <f t="shared" si="2"/>
        <v>1</v>
      </c>
      <c r="J1263" s="70">
        <f t="shared" si="3"/>
        <v>2026</v>
      </c>
      <c r="K1263" s="70" t="str">
        <f t="shared" si="4"/>
        <v>01/2026</v>
      </c>
    </row>
    <row r="1264" hidden="1">
      <c r="A1264" s="26">
        <v>46036.0</v>
      </c>
      <c r="B1264" s="28" t="s">
        <v>1514</v>
      </c>
      <c r="C1264" s="28" t="s">
        <v>37</v>
      </c>
      <c r="D1264" s="28" t="s">
        <v>1515</v>
      </c>
      <c r="E1264" s="71">
        <v>1721.8</v>
      </c>
      <c r="F1264" s="29" t="s">
        <v>1516</v>
      </c>
      <c r="G1264" s="26">
        <v>46036.0</v>
      </c>
      <c r="H1264" s="70">
        <f t="shared" si="1"/>
        <v>14</v>
      </c>
      <c r="I1264" s="70">
        <f t="shared" si="2"/>
        <v>1</v>
      </c>
      <c r="J1264" s="70">
        <f t="shared" si="3"/>
        <v>2026</v>
      </c>
      <c r="K1264" s="70" t="str">
        <f t="shared" si="4"/>
        <v>01/2026</v>
      </c>
    </row>
    <row r="1265" hidden="1">
      <c r="A1265" s="26">
        <v>46036.0</v>
      </c>
      <c r="B1265" s="28" t="s">
        <v>1511</v>
      </c>
      <c r="C1265" s="29" t="s">
        <v>27</v>
      </c>
      <c r="D1265" s="28" t="s">
        <v>1512</v>
      </c>
      <c r="E1265" s="71">
        <v>1048.88</v>
      </c>
      <c r="F1265" s="29" t="s">
        <v>1513</v>
      </c>
      <c r="G1265" s="9">
        <v>46036.0</v>
      </c>
      <c r="H1265" s="70">
        <f t="shared" si="1"/>
        <v>14</v>
      </c>
      <c r="I1265" s="70">
        <f t="shared" si="2"/>
        <v>1</v>
      </c>
      <c r="J1265" s="70">
        <f t="shared" si="3"/>
        <v>2026</v>
      </c>
      <c r="K1265" s="70" t="str">
        <f t="shared" si="4"/>
        <v>01/2026</v>
      </c>
    </row>
    <row r="1266" hidden="1">
      <c r="A1266" s="26">
        <v>46037.0</v>
      </c>
      <c r="B1266" s="28" t="s">
        <v>1514</v>
      </c>
      <c r="C1266" s="28" t="s">
        <v>37</v>
      </c>
      <c r="D1266" s="28" t="s">
        <v>1515</v>
      </c>
      <c r="E1266" s="71">
        <v>1705.51</v>
      </c>
      <c r="F1266" s="29" t="s">
        <v>1516</v>
      </c>
      <c r="G1266" s="26">
        <v>46037.0</v>
      </c>
      <c r="H1266" s="70">
        <f t="shared" si="1"/>
        <v>15</v>
      </c>
      <c r="I1266" s="70">
        <f t="shared" si="2"/>
        <v>1</v>
      </c>
      <c r="J1266" s="70">
        <f t="shared" si="3"/>
        <v>2026</v>
      </c>
      <c r="K1266" s="70" t="str">
        <f t="shared" si="4"/>
        <v>01/2026</v>
      </c>
    </row>
    <row r="1267" hidden="1">
      <c r="A1267" s="26">
        <v>46037.0</v>
      </c>
      <c r="B1267" s="28" t="s">
        <v>1511</v>
      </c>
      <c r="C1267" s="29" t="s">
        <v>27</v>
      </c>
      <c r="D1267" s="28" t="s">
        <v>1512</v>
      </c>
      <c r="E1267" s="71">
        <v>1303.44</v>
      </c>
      <c r="F1267" s="29" t="s">
        <v>1513</v>
      </c>
      <c r="G1267" s="9">
        <v>46037.0</v>
      </c>
      <c r="H1267" s="70">
        <f t="shared" si="1"/>
        <v>15</v>
      </c>
      <c r="I1267" s="70">
        <f t="shared" si="2"/>
        <v>1</v>
      </c>
      <c r="J1267" s="70">
        <f t="shared" si="3"/>
        <v>2026</v>
      </c>
      <c r="K1267" s="70" t="str">
        <f t="shared" si="4"/>
        <v>01/2026</v>
      </c>
    </row>
    <row r="1268" hidden="1">
      <c r="A1268" s="26">
        <v>46038.0</v>
      </c>
      <c r="B1268" s="28" t="s">
        <v>1511</v>
      </c>
      <c r="C1268" s="29" t="s">
        <v>27</v>
      </c>
      <c r="D1268" s="28" t="s">
        <v>1512</v>
      </c>
      <c r="E1268" s="71">
        <v>896.34</v>
      </c>
      <c r="F1268" s="29" t="s">
        <v>1513</v>
      </c>
      <c r="G1268" s="9">
        <v>46038.0</v>
      </c>
      <c r="H1268" s="70">
        <f t="shared" si="1"/>
        <v>16</v>
      </c>
      <c r="I1268" s="70">
        <f t="shared" si="2"/>
        <v>1</v>
      </c>
      <c r="J1268" s="70">
        <f t="shared" si="3"/>
        <v>2026</v>
      </c>
      <c r="K1268" s="70" t="str">
        <f t="shared" si="4"/>
        <v>01/2026</v>
      </c>
    </row>
    <row r="1269" hidden="1">
      <c r="A1269" s="26">
        <v>46038.0</v>
      </c>
      <c r="B1269" s="28" t="s">
        <v>1514</v>
      </c>
      <c r="C1269" s="28" t="s">
        <v>37</v>
      </c>
      <c r="D1269" s="28" t="s">
        <v>1515</v>
      </c>
      <c r="E1269" s="71">
        <v>1590.02</v>
      </c>
      <c r="F1269" s="29" t="s">
        <v>1516</v>
      </c>
      <c r="G1269" s="26">
        <v>46038.0</v>
      </c>
      <c r="H1269" s="70">
        <f t="shared" si="1"/>
        <v>16</v>
      </c>
      <c r="I1269" s="70">
        <f t="shared" si="2"/>
        <v>1</v>
      </c>
      <c r="J1269" s="70">
        <f t="shared" si="3"/>
        <v>2026</v>
      </c>
      <c r="K1269" s="70" t="str">
        <f t="shared" si="4"/>
        <v>01/2026</v>
      </c>
    </row>
    <row r="1270" hidden="1">
      <c r="A1270" s="26">
        <v>46039.0</v>
      </c>
      <c r="B1270" s="28" t="s">
        <v>1511</v>
      </c>
      <c r="C1270" s="29" t="s">
        <v>27</v>
      </c>
      <c r="D1270" s="28" t="s">
        <v>1512</v>
      </c>
      <c r="E1270" s="71">
        <v>1095.88</v>
      </c>
      <c r="F1270" s="29" t="s">
        <v>1513</v>
      </c>
      <c r="G1270" s="9">
        <v>46039.0</v>
      </c>
      <c r="H1270" s="70">
        <f t="shared" si="1"/>
        <v>17</v>
      </c>
      <c r="I1270" s="70">
        <f t="shared" si="2"/>
        <v>1</v>
      </c>
      <c r="J1270" s="70">
        <f t="shared" si="3"/>
        <v>2026</v>
      </c>
      <c r="K1270" s="70" t="str">
        <f t="shared" si="4"/>
        <v>01/2026</v>
      </c>
    </row>
    <row r="1271" hidden="1">
      <c r="A1271" s="26">
        <v>46039.0</v>
      </c>
      <c r="B1271" s="28" t="s">
        <v>1514</v>
      </c>
      <c r="C1271" s="28" t="s">
        <v>37</v>
      </c>
      <c r="D1271" s="28" t="s">
        <v>1515</v>
      </c>
      <c r="E1271" s="71">
        <v>2363.21</v>
      </c>
      <c r="F1271" s="29" t="s">
        <v>1516</v>
      </c>
      <c r="G1271" s="26">
        <v>46039.0</v>
      </c>
      <c r="H1271" s="70">
        <f t="shared" si="1"/>
        <v>17</v>
      </c>
      <c r="I1271" s="70">
        <f t="shared" si="2"/>
        <v>1</v>
      </c>
      <c r="J1271" s="70">
        <f t="shared" si="3"/>
        <v>2026</v>
      </c>
      <c r="K1271" s="70" t="str">
        <f t="shared" si="4"/>
        <v>01/2026</v>
      </c>
    </row>
    <row r="1272" hidden="1">
      <c r="A1272" s="26">
        <v>46040.0</v>
      </c>
      <c r="B1272" s="28" t="s">
        <v>1511</v>
      </c>
      <c r="C1272" s="29" t="s">
        <v>27</v>
      </c>
      <c r="D1272" s="28" t="s">
        <v>1512</v>
      </c>
      <c r="E1272" s="71">
        <v>360.02</v>
      </c>
      <c r="F1272" s="29" t="s">
        <v>1513</v>
      </c>
      <c r="G1272" s="9">
        <v>46040.0</v>
      </c>
      <c r="H1272" s="70">
        <f t="shared" si="1"/>
        <v>18</v>
      </c>
      <c r="I1272" s="70">
        <f t="shared" si="2"/>
        <v>1</v>
      </c>
      <c r="J1272" s="70">
        <f t="shared" si="3"/>
        <v>2026</v>
      </c>
      <c r="K1272" s="70" t="str">
        <f t="shared" si="4"/>
        <v>01/2026</v>
      </c>
    </row>
    <row r="1273" hidden="1">
      <c r="A1273" s="26">
        <v>46040.0</v>
      </c>
      <c r="B1273" s="28" t="s">
        <v>1514</v>
      </c>
      <c r="C1273" s="28" t="s">
        <v>37</v>
      </c>
      <c r="D1273" s="28" t="s">
        <v>1515</v>
      </c>
      <c r="E1273" s="71">
        <v>624.15</v>
      </c>
      <c r="F1273" s="29" t="s">
        <v>1516</v>
      </c>
      <c r="G1273" s="26">
        <v>46040.0</v>
      </c>
      <c r="H1273" s="70">
        <f t="shared" si="1"/>
        <v>18</v>
      </c>
      <c r="I1273" s="70">
        <f t="shared" si="2"/>
        <v>1</v>
      </c>
      <c r="J1273" s="70">
        <f t="shared" si="3"/>
        <v>2026</v>
      </c>
      <c r="K1273" s="70" t="str">
        <f t="shared" si="4"/>
        <v>01/2026</v>
      </c>
    </row>
    <row r="1274" hidden="1">
      <c r="A1274" s="26">
        <v>46041.0</v>
      </c>
      <c r="B1274" s="28" t="s">
        <v>1511</v>
      </c>
      <c r="C1274" s="29" t="s">
        <v>27</v>
      </c>
      <c r="D1274" s="28" t="s">
        <v>1512</v>
      </c>
      <c r="E1274" s="71">
        <v>1122.19</v>
      </c>
      <c r="F1274" s="29" t="s">
        <v>1513</v>
      </c>
      <c r="G1274" s="9">
        <v>46041.0</v>
      </c>
      <c r="H1274" s="70">
        <f t="shared" si="1"/>
        <v>19</v>
      </c>
      <c r="I1274" s="70">
        <f t="shared" si="2"/>
        <v>1</v>
      </c>
      <c r="J1274" s="70">
        <f t="shared" si="3"/>
        <v>2026</v>
      </c>
      <c r="K1274" s="70" t="str">
        <f t="shared" si="4"/>
        <v>01/2026</v>
      </c>
    </row>
    <row r="1275" hidden="1">
      <c r="A1275" s="26">
        <v>46041.0</v>
      </c>
      <c r="B1275" s="28" t="s">
        <v>1514</v>
      </c>
      <c r="C1275" s="28" t="s">
        <v>37</v>
      </c>
      <c r="D1275" s="28" t="s">
        <v>1515</v>
      </c>
      <c r="E1275" s="71">
        <v>570.61</v>
      </c>
      <c r="F1275" s="29" t="s">
        <v>1516</v>
      </c>
      <c r="G1275" s="26">
        <v>46041.0</v>
      </c>
      <c r="H1275" s="70">
        <f t="shared" si="1"/>
        <v>19</v>
      </c>
      <c r="I1275" s="70">
        <f t="shared" si="2"/>
        <v>1</v>
      </c>
      <c r="J1275" s="70">
        <f t="shared" si="3"/>
        <v>2026</v>
      </c>
      <c r="K1275" s="70" t="str">
        <f t="shared" si="4"/>
        <v>01/2026</v>
      </c>
    </row>
    <row r="1276" hidden="1">
      <c r="A1276" s="26">
        <v>46042.0</v>
      </c>
      <c r="B1276" s="28" t="s">
        <v>1511</v>
      </c>
      <c r="C1276" s="29" t="s">
        <v>27</v>
      </c>
      <c r="D1276" s="28" t="s">
        <v>1512</v>
      </c>
      <c r="E1276" s="71">
        <v>318.23</v>
      </c>
      <c r="F1276" s="29" t="s">
        <v>1513</v>
      </c>
      <c r="G1276" s="9">
        <v>46042.0</v>
      </c>
      <c r="H1276" s="70">
        <f t="shared" si="1"/>
        <v>20</v>
      </c>
      <c r="I1276" s="70">
        <f t="shared" si="2"/>
        <v>1</v>
      </c>
      <c r="J1276" s="70">
        <f t="shared" si="3"/>
        <v>2026</v>
      </c>
      <c r="K1276" s="70" t="str">
        <f t="shared" si="4"/>
        <v>01/2026</v>
      </c>
    </row>
    <row r="1277" hidden="1">
      <c r="A1277" s="26">
        <v>46042.0</v>
      </c>
      <c r="B1277" s="28" t="s">
        <v>1514</v>
      </c>
      <c r="C1277" s="28" t="s">
        <v>37</v>
      </c>
      <c r="D1277" s="28" t="s">
        <v>1515</v>
      </c>
      <c r="E1277" s="71">
        <v>1144.55</v>
      </c>
      <c r="F1277" s="29" t="s">
        <v>1516</v>
      </c>
      <c r="G1277" s="26">
        <v>46042.0</v>
      </c>
      <c r="H1277" s="70">
        <f t="shared" si="1"/>
        <v>20</v>
      </c>
      <c r="I1277" s="70">
        <f t="shared" si="2"/>
        <v>1</v>
      </c>
      <c r="J1277" s="70">
        <f t="shared" si="3"/>
        <v>2026</v>
      </c>
      <c r="K1277" s="70" t="str">
        <f t="shared" si="4"/>
        <v>01/2026</v>
      </c>
    </row>
    <row r="1278" hidden="1">
      <c r="A1278" s="26">
        <v>46043.0</v>
      </c>
      <c r="B1278" s="28" t="s">
        <v>1514</v>
      </c>
      <c r="C1278" s="28" t="s">
        <v>37</v>
      </c>
      <c r="D1278" s="28" t="s">
        <v>1515</v>
      </c>
      <c r="E1278" s="71">
        <v>1810.82</v>
      </c>
      <c r="F1278" s="29" t="s">
        <v>1516</v>
      </c>
      <c r="G1278" s="26">
        <v>46043.0</v>
      </c>
      <c r="H1278" s="70">
        <f t="shared" si="1"/>
        <v>21</v>
      </c>
      <c r="I1278" s="70">
        <f t="shared" si="2"/>
        <v>1</v>
      </c>
      <c r="J1278" s="70">
        <f t="shared" si="3"/>
        <v>2026</v>
      </c>
      <c r="K1278" s="70" t="str">
        <f t="shared" si="4"/>
        <v>01/2026</v>
      </c>
    </row>
    <row r="1279" hidden="1">
      <c r="A1279" s="26">
        <v>46043.0</v>
      </c>
      <c r="B1279" s="28" t="s">
        <v>1511</v>
      </c>
      <c r="C1279" s="29" t="s">
        <v>27</v>
      </c>
      <c r="D1279" s="28" t="s">
        <v>1512</v>
      </c>
      <c r="E1279" s="71">
        <v>1148.21</v>
      </c>
      <c r="F1279" s="29" t="s">
        <v>1513</v>
      </c>
      <c r="G1279" s="9">
        <v>46043.0</v>
      </c>
      <c r="H1279" s="70">
        <f t="shared" si="1"/>
        <v>21</v>
      </c>
      <c r="I1279" s="70">
        <f t="shared" si="2"/>
        <v>1</v>
      </c>
      <c r="J1279" s="70">
        <f t="shared" si="3"/>
        <v>2026</v>
      </c>
      <c r="K1279" s="70" t="str">
        <f t="shared" si="4"/>
        <v>01/2026</v>
      </c>
    </row>
    <row r="1280" hidden="1">
      <c r="A1280" s="26">
        <v>46044.0</v>
      </c>
      <c r="B1280" s="28" t="s">
        <v>1514</v>
      </c>
      <c r="C1280" s="28" t="s">
        <v>37</v>
      </c>
      <c r="D1280" s="28" t="s">
        <v>1515</v>
      </c>
      <c r="E1280" s="71">
        <v>2750.4</v>
      </c>
      <c r="F1280" s="29" t="s">
        <v>1516</v>
      </c>
      <c r="G1280" s="26">
        <v>46044.0</v>
      </c>
      <c r="H1280" s="70">
        <f t="shared" si="1"/>
        <v>22</v>
      </c>
      <c r="I1280" s="70">
        <f t="shared" si="2"/>
        <v>1</v>
      </c>
      <c r="J1280" s="70">
        <f t="shared" si="3"/>
        <v>2026</v>
      </c>
      <c r="K1280" s="70" t="str">
        <f t="shared" si="4"/>
        <v>01/2026</v>
      </c>
    </row>
    <row r="1281" hidden="1">
      <c r="A1281" s="26">
        <v>46044.0</v>
      </c>
      <c r="B1281" s="28" t="s">
        <v>1511</v>
      </c>
      <c r="C1281" s="29" t="s">
        <v>27</v>
      </c>
      <c r="D1281" s="28" t="s">
        <v>1512</v>
      </c>
      <c r="E1281" s="71">
        <v>1291.85</v>
      </c>
      <c r="F1281" s="29" t="s">
        <v>1513</v>
      </c>
      <c r="G1281" s="9">
        <v>46044.0</v>
      </c>
      <c r="H1281" s="70">
        <f t="shared" si="1"/>
        <v>22</v>
      </c>
      <c r="I1281" s="70">
        <f t="shared" si="2"/>
        <v>1</v>
      </c>
      <c r="J1281" s="70">
        <f t="shared" si="3"/>
        <v>2026</v>
      </c>
      <c r="K1281" s="70" t="str">
        <f t="shared" si="4"/>
        <v>01/2026</v>
      </c>
    </row>
    <row r="1282" hidden="1">
      <c r="A1282" s="26">
        <v>46045.0</v>
      </c>
      <c r="B1282" s="28" t="s">
        <v>1514</v>
      </c>
      <c r="C1282" s="28" t="s">
        <v>37</v>
      </c>
      <c r="D1282" s="28" t="s">
        <v>1515</v>
      </c>
      <c r="E1282" s="71">
        <v>2269.2</v>
      </c>
      <c r="F1282" s="29" t="s">
        <v>1516</v>
      </c>
      <c r="G1282" s="26">
        <v>46045.0</v>
      </c>
      <c r="H1282" s="70">
        <f t="shared" si="1"/>
        <v>23</v>
      </c>
      <c r="I1282" s="70">
        <f t="shared" si="2"/>
        <v>1</v>
      </c>
      <c r="J1282" s="70">
        <f t="shared" si="3"/>
        <v>2026</v>
      </c>
      <c r="K1282" s="70" t="str">
        <f t="shared" si="4"/>
        <v>01/2026</v>
      </c>
    </row>
    <row r="1283" hidden="1">
      <c r="A1283" s="26">
        <v>46045.0</v>
      </c>
      <c r="B1283" s="28" t="s">
        <v>1511</v>
      </c>
      <c r="C1283" s="29" t="s">
        <v>27</v>
      </c>
      <c r="D1283" s="28" t="s">
        <v>1512</v>
      </c>
      <c r="E1283" s="71">
        <v>807.0</v>
      </c>
      <c r="F1283" s="29" t="s">
        <v>1513</v>
      </c>
      <c r="G1283" s="9">
        <v>46045.0</v>
      </c>
      <c r="H1283" s="70">
        <f t="shared" si="1"/>
        <v>23</v>
      </c>
      <c r="I1283" s="70">
        <f t="shared" si="2"/>
        <v>1</v>
      </c>
      <c r="J1283" s="70">
        <f t="shared" si="3"/>
        <v>2026</v>
      </c>
      <c r="K1283" s="70" t="str">
        <f t="shared" si="4"/>
        <v>01/2026</v>
      </c>
    </row>
    <row r="1284" hidden="1">
      <c r="A1284" s="26">
        <v>46045.0</v>
      </c>
      <c r="B1284" s="28" t="s">
        <v>1523</v>
      </c>
      <c r="C1284" s="28" t="s">
        <v>27</v>
      </c>
      <c r="D1284" s="28" t="s">
        <v>1524</v>
      </c>
      <c r="E1284" s="71">
        <v>3248.34</v>
      </c>
      <c r="F1284" s="29" t="s">
        <v>1513</v>
      </c>
      <c r="G1284" s="26">
        <v>46045.0</v>
      </c>
      <c r="H1284" s="70">
        <f t="shared" si="1"/>
        <v>23</v>
      </c>
      <c r="I1284" s="70">
        <f t="shared" si="2"/>
        <v>1</v>
      </c>
      <c r="J1284" s="70">
        <f t="shared" si="3"/>
        <v>2026</v>
      </c>
      <c r="K1284" s="70" t="str">
        <f t="shared" si="4"/>
        <v>01/2026</v>
      </c>
    </row>
    <row r="1285" hidden="1">
      <c r="A1285" s="26">
        <v>46046.0</v>
      </c>
      <c r="B1285" s="28" t="s">
        <v>1511</v>
      </c>
      <c r="C1285" s="29" t="s">
        <v>27</v>
      </c>
      <c r="D1285" s="28" t="s">
        <v>1512</v>
      </c>
      <c r="E1285" s="71">
        <v>1122.19</v>
      </c>
      <c r="F1285" s="29" t="s">
        <v>1513</v>
      </c>
      <c r="G1285" s="9">
        <v>46046.0</v>
      </c>
      <c r="H1285" s="70">
        <f t="shared" si="1"/>
        <v>24</v>
      </c>
      <c r="I1285" s="70">
        <f t="shared" si="2"/>
        <v>1</v>
      </c>
      <c r="J1285" s="70">
        <f t="shared" si="3"/>
        <v>2026</v>
      </c>
      <c r="K1285" s="70" t="str">
        <f t="shared" si="4"/>
        <v>01/2026</v>
      </c>
    </row>
    <row r="1286" hidden="1">
      <c r="A1286" s="26">
        <v>46046.0</v>
      </c>
      <c r="B1286" s="28" t="s">
        <v>1514</v>
      </c>
      <c r="C1286" s="28" t="s">
        <v>37</v>
      </c>
      <c r="D1286" s="28" t="s">
        <v>1515</v>
      </c>
      <c r="E1286" s="71">
        <v>2515.09</v>
      </c>
      <c r="F1286" s="29" t="s">
        <v>1516</v>
      </c>
      <c r="G1286" s="26">
        <v>46046.0</v>
      </c>
      <c r="H1286" s="70">
        <f t="shared" si="1"/>
        <v>24</v>
      </c>
      <c r="I1286" s="70">
        <f t="shared" si="2"/>
        <v>1</v>
      </c>
      <c r="J1286" s="70">
        <f t="shared" si="3"/>
        <v>2026</v>
      </c>
      <c r="K1286" s="70" t="str">
        <f t="shared" si="4"/>
        <v>01/2026</v>
      </c>
    </row>
    <row r="1287" hidden="1">
      <c r="A1287" s="26">
        <v>46047.0</v>
      </c>
      <c r="B1287" s="28" t="s">
        <v>1511</v>
      </c>
      <c r="C1287" s="29" t="s">
        <v>27</v>
      </c>
      <c r="D1287" s="28" t="s">
        <v>1512</v>
      </c>
      <c r="E1287" s="71">
        <v>1181.17</v>
      </c>
      <c r="F1287" s="29" t="s">
        <v>1513</v>
      </c>
      <c r="G1287" s="9">
        <v>46047.0</v>
      </c>
      <c r="H1287" s="70">
        <f t="shared" si="1"/>
        <v>25</v>
      </c>
      <c r="I1287" s="70">
        <f t="shared" si="2"/>
        <v>1</v>
      </c>
      <c r="J1287" s="70">
        <f t="shared" si="3"/>
        <v>2026</v>
      </c>
      <c r="K1287" s="70" t="str">
        <f t="shared" si="4"/>
        <v>01/2026</v>
      </c>
    </row>
    <row r="1288" hidden="1">
      <c r="A1288" s="26">
        <v>46047.0</v>
      </c>
      <c r="B1288" s="28" t="s">
        <v>1514</v>
      </c>
      <c r="C1288" s="28" t="s">
        <v>37</v>
      </c>
      <c r="D1288" s="28" t="s">
        <v>1515</v>
      </c>
      <c r="E1288" s="71">
        <v>1691.97</v>
      </c>
      <c r="F1288" s="29" t="s">
        <v>1516</v>
      </c>
      <c r="G1288" s="26">
        <v>46047.0</v>
      </c>
      <c r="H1288" s="70">
        <f t="shared" si="1"/>
        <v>25</v>
      </c>
      <c r="I1288" s="70">
        <f t="shared" si="2"/>
        <v>1</v>
      </c>
      <c r="J1288" s="70">
        <f t="shared" si="3"/>
        <v>2026</v>
      </c>
      <c r="K1288" s="70" t="str">
        <f t="shared" si="4"/>
        <v>01/2026</v>
      </c>
    </row>
    <row r="1289" hidden="1">
      <c r="A1289" s="26">
        <v>46048.0</v>
      </c>
      <c r="B1289" s="28" t="s">
        <v>1511</v>
      </c>
      <c r="C1289" s="29" t="s">
        <v>27</v>
      </c>
      <c r="D1289" s="28" t="s">
        <v>1512</v>
      </c>
      <c r="E1289" s="71">
        <v>31.97</v>
      </c>
      <c r="F1289" s="29" t="s">
        <v>1513</v>
      </c>
      <c r="G1289" s="9">
        <v>46048.0</v>
      </c>
      <c r="H1289" s="70">
        <f t="shared" si="1"/>
        <v>26</v>
      </c>
      <c r="I1289" s="70">
        <f t="shared" si="2"/>
        <v>1</v>
      </c>
      <c r="J1289" s="70">
        <f t="shared" si="3"/>
        <v>2026</v>
      </c>
      <c r="K1289" s="70" t="str">
        <f t="shared" si="4"/>
        <v>01/2026</v>
      </c>
    </row>
    <row r="1290" hidden="1">
      <c r="A1290" s="26">
        <v>46048.0</v>
      </c>
      <c r="B1290" s="28" t="s">
        <v>1514</v>
      </c>
      <c r="C1290" s="28" t="s">
        <v>37</v>
      </c>
      <c r="D1290" s="28" t="s">
        <v>1515</v>
      </c>
      <c r="E1290" s="71">
        <v>873.24</v>
      </c>
      <c r="F1290" s="29" t="s">
        <v>1516</v>
      </c>
      <c r="G1290" s="26">
        <v>46048.0</v>
      </c>
      <c r="H1290" s="70">
        <f t="shared" si="1"/>
        <v>26</v>
      </c>
      <c r="I1290" s="70">
        <f t="shared" si="2"/>
        <v>1</v>
      </c>
      <c r="J1290" s="70">
        <f t="shared" si="3"/>
        <v>2026</v>
      </c>
      <c r="K1290" s="70" t="str">
        <f t="shared" si="4"/>
        <v>01/2026</v>
      </c>
    </row>
    <row r="1291" hidden="1">
      <c r="A1291" s="26">
        <v>46048.0</v>
      </c>
      <c r="B1291" s="28" t="s">
        <v>1523</v>
      </c>
      <c r="C1291" s="28" t="s">
        <v>27</v>
      </c>
      <c r="D1291" s="28" t="s">
        <v>1524</v>
      </c>
      <c r="E1291" s="71">
        <v>6455.09</v>
      </c>
      <c r="F1291" s="29" t="s">
        <v>1513</v>
      </c>
      <c r="G1291" s="26">
        <v>46048.0</v>
      </c>
      <c r="H1291" s="70">
        <f t="shared" si="1"/>
        <v>26</v>
      </c>
      <c r="I1291" s="70">
        <f t="shared" si="2"/>
        <v>1</v>
      </c>
      <c r="J1291" s="70">
        <f t="shared" si="3"/>
        <v>2026</v>
      </c>
      <c r="K1291" s="70" t="str">
        <f t="shared" si="4"/>
        <v>01/2026</v>
      </c>
    </row>
    <row r="1292" hidden="1">
      <c r="A1292" s="26">
        <v>46048.0</v>
      </c>
      <c r="B1292" s="28" t="s">
        <v>1519</v>
      </c>
      <c r="C1292" s="28" t="s">
        <v>27</v>
      </c>
      <c r="D1292" s="28" t="s">
        <v>1520</v>
      </c>
      <c r="E1292" s="71">
        <v>15637.38</v>
      </c>
      <c r="F1292" s="29" t="s">
        <v>1513</v>
      </c>
      <c r="G1292" s="26">
        <v>46049.0</v>
      </c>
      <c r="H1292" s="70">
        <f t="shared" si="1"/>
        <v>26</v>
      </c>
      <c r="I1292" s="70">
        <f t="shared" si="2"/>
        <v>1</v>
      </c>
      <c r="J1292" s="70">
        <f t="shared" si="3"/>
        <v>2026</v>
      </c>
      <c r="K1292" s="70" t="str">
        <f t="shared" si="4"/>
        <v>01/2026</v>
      </c>
    </row>
    <row r="1293" hidden="1">
      <c r="A1293" s="26">
        <v>46049.0</v>
      </c>
      <c r="B1293" s="28" t="s">
        <v>1511</v>
      </c>
      <c r="C1293" s="29" t="s">
        <v>27</v>
      </c>
      <c r="D1293" s="28" t="s">
        <v>1512</v>
      </c>
      <c r="E1293" s="71">
        <v>658.0</v>
      </c>
      <c r="F1293" s="29" t="s">
        <v>1513</v>
      </c>
      <c r="G1293" s="9">
        <v>46049.0</v>
      </c>
      <c r="H1293" s="70">
        <f t="shared" si="1"/>
        <v>27</v>
      </c>
      <c r="I1293" s="70">
        <f t="shared" si="2"/>
        <v>1</v>
      </c>
      <c r="J1293" s="70">
        <f t="shared" si="3"/>
        <v>2026</v>
      </c>
      <c r="K1293" s="70" t="str">
        <f t="shared" si="4"/>
        <v>01/2026</v>
      </c>
    </row>
    <row r="1294" hidden="1">
      <c r="A1294" s="26">
        <v>46049.0</v>
      </c>
      <c r="B1294" s="28" t="s">
        <v>1514</v>
      </c>
      <c r="C1294" s="28" t="s">
        <v>37</v>
      </c>
      <c r="D1294" s="28" t="s">
        <v>1515</v>
      </c>
      <c r="E1294" s="71">
        <v>2891.78</v>
      </c>
      <c r="F1294" s="29" t="s">
        <v>1516</v>
      </c>
      <c r="G1294" s="26">
        <v>46049.0</v>
      </c>
      <c r="H1294" s="70">
        <f t="shared" si="1"/>
        <v>27</v>
      </c>
      <c r="I1294" s="70">
        <f t="shared" si="2"/>
        <v>1</v>
      </c>
      <c r="J1294" s="70">
        <f t="shared" si="3"/>
        <v>2026</v>
      </c>
      <c r="K1294" s="70" t="str">
        <f t="shared" si="4"/>
        <v>01/2026</v>
      </c>
    </row>
    <row r="1295" hidden="1">
      <c r="A1295" s="9">
        <v>46049.0</v>
      </c>
      <c r="B1295" s="11" t="s">
        <v>1514</v>
      </c>
      <c r="C1295" s="28" t="s">
        <v>27</v>
      </c>
      <c r="D1295" s="11" t="s">
        <v>1543</v>
      </c>
      <c r="E1295" s="69">
        <v>37700.0</v>
      </c>
      <c r="F1295" s="11" t="s">
        <v>1513</v>
      </c>
      <c r="G1295" s="9">
        <v>46049.0</v>
      </c>
      <c r="H1295" s="70">
        <f t="shared" si="1"/>
        <v>27</v>
      </c>
      <c r="I1295" s="70">
        <f t="shared" si="2"/>
        <v>1</v>
      </c>
      <c r="J1295" s="70">
        <f t="shared" si="3"/>
        <v>2026</v>
      </c>
      <c r="K1295" s="70" t="str">
        <f t="shared" si="4"/>
        <v>01/2026</v>
      </c>
    </row>
    <row r="1296" hidden="1">
      <c r="A1296" s="9">
        <v>46049.0</v>
      </c>
      <c r="B1296" s="11" t="s">
        <v>44</v>
      </c>
      <c r="C1296" s="11" t="s">
        <v>27</v>
      </c>
      <c r="D1296" s="11" t="s">
        <v>1544</v>
      </c>
      <c r="E1296" s="69">
        <v>1587.22</v>
      </c>
      <c r="F1296" s="11" t="s">
        <v>1513</v>
      </c>
      <c r="G1296" s="9">
        <v>46049.0</v>
      </c>
      <c r="H1296" s="70">
        <f t="shared" si="1"/>
        <v>27</v>
      </c>
      <c r="I1296" s="70">
        <f t="shared" si="2"/>
        <v>1</v>
      </c>
      <c r="J1296" s="70">
        <f t="shared" si="3"/>
        <v>2026</v>
      </c>
      <c r="K1296" s="70" t="str">
        <f t="shared" si="4"/>
        <v>01/2026</v>
      </c>
    </row>
    <row r="1297" hidden="1">
      <c r="A1297" s="26">
        <v>46049.0</v>
      </c>
      <c r="B1297" s="28" t="s">
        <v>1519</v>
      </c>
      <c r="C1297" s="28" t="s">
        <v>27</v>
      </c>
      <c r="D1297" s="28" t="s">
        <v>1520</v>
      </c>
      <c r="E1297" s="71">
        <v>2165.66</v>
      </c>
      <c r="F1297" s="11" t="s">
        <v>1513</v>
      </c>
      <c r="G1297" s="26">
        <v>46049.0</v>
      </c>
      <c r="H1297" s="70">
        <f t="shared" si="1"/>
        <v>27</v>
      </c>
      <c r="I1297" s="70">
        <f t="shared" si="2"/>
        <v>1</v>
      </c>
      <c r="J1297" s="70">
        <f t="shared" si="3"/>
        <v>2026</v>
      </c>
      <c r="K1297" s="70" t="str">
        <f t="shared" si="4"/>
        <v>01/2026</v>
      </c>
    </row>
    <row r="1298" hidden="1">
      <c r="A1298" s="26">
        <v>46050.0</v>
      </c>
      <c r="B1298" s="28" t="s">
        <v>1511</v>
      </c>
      <c r="C1298" s="29" t="s">
        <v>27</v>
      </c>
      <c r="D1298" s="28" t="s">
        <v>1512</v>
      </c>
      <c r="E1298" s="71">
        <v>1157.55</v>
      </c>
      <c r="F1298" s="29" t="s">
        <v>1513</v>
      </c>
      <c r="G1298" s="9">
        <v>46050.0</v>
      </c>
      <c r="H1298" s="70">
        <f t="shared" si="1"/>
        <v>28</v>
      </c>
      <c r="I1298" s="70">
        <f t="shared" si="2"/>
        <v>1</v>
      </c>
      <c r="J1298" s="70">
        <f t="shared" si="3"/>
        <v>2026</v>
      </c>
      <c r="K1298" s="70" t="str">
        <f t="shared" si="4"/>
        <v>01/2026</v>
      </c>
    </row>
    <row r="1299" hidden="1">
      <c r="A1299" s="26">
        <v>46050.0</v>
      </c>
      <c r="B1299" s="28" t="s">
        <v>1514</v>
      </c>
      <c r="C1299" s="28" t="s">
        <v>37</v>
      </c>
      <c r="D1299" s="28" t="s">
        <v>1515</v>
      </c>
      <c r="E1299" s="71">
        <v>3201.0</v>
      </c>
      <c r="F1299" s="29" t="s">
        <v>1516</v>
      </c>
      <c r="G1299" s="26">
        <v>46050.0</v>
      </c>
      <c r="H1299" s="70">
        <f t="shared" si="1"/>
        <v>28</v>
      </c>
      <c r="I1299" s="70">
        <f t="shared" si="2"/>
        <v>1</v>
      </c>
      <c r="J1299" s="70">
        <f t="shared" si="3"/>
        <v>2026</v>
      </c>
      <c r="K1299" s="70" t="str">
        <f t="shared" si="4"/>
        <v>01/2026</v>
      </c>
    </row>
    <row r="1300" hidden="1">
      <c r="A1300" s="26">
        <v>46050.0</v>
      </c>
      <c r="B1300" s="28" t="s">
        <v>1523</v>
      </c>
      <c r="C1300" s="28" t="s">
        <v>27</v>
      </c>
      <c r="D1300" s="28" t="s">
        <v>1524</v>
      </c>
      <c r="E1300" s="71">
        <v>4486.49</v>
      </c>
      <c r="F1300" s="29" t="s">
        <v>1513</v>
      </c>
      <c r="G1300" s="26">
        <v>46050.0</v>
      </c>
      <c r="H1300" s="70">
        <f t="shared" si="1"/>
        <v>28</v>
      </c>
      <c r="I1300" s="70">
        <f t="shared" si="2"/>
        <v>1</v>
      </c>
      <c r="J1300" s="70">
        <f t="shared" si="3"/>
        <v>2026</v>
      </c>
      <c r="K1300" s="70" t="str">
        <f t="shared" si="4"/>
        <v>01/2026</v>
      </c>
    </row>
    <row r="1301" hidden="1">
      <c r="A1301" s="26">
        <v>46051.0</v>
      </c>
      <c r="B1301" s="28" t="s">
        <v>1511</v>
      </c>
      <c r="C1301" s="29" t="s">
        <v>27</v>
      </c>
      <c r="D1301" s="28" t="s">
        <v>1512</v>
      </c>
      <c r="E1301" s="71">
        <v>1205.22</v>
      </c>
      <c r="F1301" s="29" t="s">
        <v>1513</v>
      </c>
      <c r="G1301" s="9">
        <v>46051.0</v>
      </c>
      <c r="H1301" s="70">
        <f t="shared" si="1"/>
        <v>29</v>
      </c>
      <c r="I1301" s="70">
        <f t="shared" si="2"/>
        <v>1</v>
      </c>
      <c r="J1301" s="70">
        <f t="shared" si="3"/>
        <v>2026</v>
      </c>
      <c r="K1301" s="70" t="str">
        <f t="shared" si="4"/>
        <v>01/2026</v>
      </c>
    </row>
    <row r="1302" hidden="1">
      <c r="A1302" s="26">
        <v>46051.0</v>
      </c>
      <c r="B1302" s="28" t="s">
        <v>1514</v>
      </c>
      <c r="C1302" s="28" t="s">
        <v>37</v>
      </c>
      <c r="D1302" s="28" t="s">
        <v>1515</v>
      </c>
      <c r="E1302" s="71">
        <v>2938.48</v>
      </c>
      <c r="F1302" s="29" t="s">
        <v>1516</v>
      </c>
      <c r="G1302" s="26">
        <v>46051.0</v>
      </c>
      <c r="H1302" s="70">
        <f t="shared" si="1"/>
        <v>29</v>
      </c>
      <c r="I1302" s="70">
        <f t="shared" si="2"/>
        <v>1</v>
      </c>
      <c r="J1302" s="70">
        <f t="shared" si="3"/>
        <v>2026</v>
      </c>
      <c r="K1302" s="70" t="str">
        <f t="shared" si="4"/>
        <v>01/2026</v>
      </c>
    </row>
    <row r="1303" hidden="1">
      <c r="A1303" s="26">
        <v>46051.0</v>
      </c>
      <c r="B1303" s="28" t="s">
        <v>1519</v>
      </c>
      <c r="C1303" s="28" t="s">
        <v>27</v>
      </c>
      <c r="D1303" s="28" t="s">
        <v>1520</v>
      </c>
      <c r="E1303" s="71">
        <v>3480.89</v>
      </c>
      <c r="F1303" s="29" t="s">
        <v>1513</v>
      </c>
      <c r="G1303" s="26">
        <v>46051.0</v>
      </c>
      <c r="H1303" s="70">
        <f t="shared" si="1"/>
        <v>29</v>
      </c>
      <c r="I1303" s="70">
        <f t="shared" si="2"/>
        <v>1</v>
      </c>
      <c r="J1303" s="70">
        <f t="shared" si="3"/>
        <v>2026</v>
      </c>
      <c r="K1303" s="70" t="str">
        <f t="shared" si="4"/>
        <v>01/2026</v>
      </c>
    </row>
    <row r="1304" hidden="1">
      <c r="A1304" s="26">
        <v>46052.0</v>
      </c>
      <c r="B1304" s="28" t="s">
        <v>1511</v>
      </c>
      <c r="C1304" s="29" t="s">
        <v>27</v>
      </c>
      <c r="D1304" s="28" t="s">
        <v>1512</v>
      </c>
      <c r="E1304" s="71">
        <v>1575.53</v>
      </c>
      <c r="F1304" s="29" t="s">
        <v>1513</v>
      </c>
      <c r="G1304" s="9">
        <v>46052.0</v>
      </c>
      <c r="H1304" s="70">
        <f t="shared" si="1"/>
        <v>30</v>
      </c>
      <c r="I1304" s="70">
        <f t="shared" si="2"/>
        <v>1</v>
      </c>
      <c r="J1304" s="70">
        <f t="shared" si="3"/>
        <v>2026</v>
      </c>
      <c r="K1304" s="70" t="str">
        <f t="shared" si="4"/>
        <v>01/2026</v>
      </c>
    </row>
    <row r="1305" hidden="1">
      <c r="A1305" s="26">
        <v>46052.0</v>
      </c>
      <c r="B1305" s="28" t="s">
        <v>1514</v>
      </c>
      <c r="C1305" s="28" t="s">
        <v>37</v>
      </c>
      <c r="D1305" s="28" t="s">
        <v>1515</v>
      </c>
      <c r="E1305" s="71">
        <v>3567.17</v>
      </c>
      <c r="F1305" s="29" t="s">
        <v>1516</v>
      </c>
      <c r="G1305" s="26">
        <v>46052.0</v>
      </c>
      <c r="H1305" s="70">
        <f t="shared" si="1"/>
        <v>30</v>
      </c>
      <c r="I1305" s="70">
        <f t="shared" si="2"/>
        <v>1</v>
      </c>
      <c r="J1305" s="70">
        <f t="shared" si="3"/>
        <v>2026</v>
      </c>
      <c r="K1305" s="70" t="str">
        <f t="shared" si="4"/>
        <v>01/2026</v>
      </c>
    </row>
    <row r="1306" hidden="1">
      <c r="A1306" s="26">
        <v>46053.0</v>
      </c>
      <c r="B1306" s="28" t="s">
        <v>1511</v>
      </c>
      <c r="C1306" s="29" t="s">
        <v>27</v>
      </c>
      <c r="D1306" s="28" t="s">
        <v>1512</v>
      </c>
      <c r="E1306" s="71">
        <v>1721.86</v>
      </c>
      <c r="F1306" s="29" t="s">
        <v>1513</v>
      </c>
      <c r="G1306" s="9">
        <v>46053.0</v>
      </c>
      <c r="H1306" s="70">
        <f t="shared" si="1"/>
        <v>31</v>
      </c>
      <c r="I1306" s="70">
        <f t="shared" si="2"/>
        <v>1</v>
      </c>
      <c r="J1306" s="70">
        <f t="shared" si="3"/>
        <v>2026</v>
      </c>
      <c r="K1306" s="70" t="str">
        <f t="shared" si="4"/>
        <v>01/2026</v>
      </c>
    </row>
    <row r="1307" hidden="1">
      <c r="A1307" s="26">
        <v>46053.0</v>
      </c>
      <c r="B1307" s="28" t="s">
        <v>1514</v>
      </c>
      <c r="C1307" s="28" t="s">
        <v>37</v>
      </c>
      <c r="D1307" s="28" t="s">
        <v>1515</v>
      </c>
      <c r="E1307" s="71">
        <v>3412.02</v>
      </c>
      <c r="F1307" s="29" t="s">
        <v>1516</v>
      </c>
      <c r="G1307" s="26">
        <v>46053.0</v>
      </c>
      <c r="H1307" s="70">
        <f t="shared" si="1"/>
        <v>31</v>
      </c>
      <c r="I1307" s="70">
        <f t="shared" si="2"/>
        <v>1</v>
      </c>
      <c r="J1307" s="70">
        <f t="shared" si="3"/>
        <v>2026</v>
      </c>
      <c r="K1307" s="70" t="str">
        <f t="shared" si="4"/>
        <v>01/2026</v>
      </c>
    </row>
    <row r="1308" hidden="1">
      <c r="A1308" s="26">
        <v>46054.0</v>
      </c>
      <c r="B1308" s="28" t="s">
        <v>1511</v>
      </c>
      <c r="C1308" s="29" t="s">
        <v>27</v>
      </c>
      <c r="D1308" s="28" t="s">
        <v>1512</v>
      </c>
      <c r="E1308" s="71">
        <v>2219.44</v>
      </c>
      <c r="F1308" s="29" t="s">
        <v>1513</v>
      </c>
      <c r="G1308" s="9">
        <v>46054.0</v>
      </c>
      <c r="H1308" s="70">
        <f t="shared" si="1"/>
        <v>1</v>
      </c>
      <c r="I1308" s="70">
        <f t="shared" si="2"/>
        <v>2</v>
      </c>
      <c r="J1308" s="70">
        <f t="shared" si="3"/>
        <v>2026</v>
      </c>
      <c r="K1308" s="70" t="str">
        <f t="shared" si="4"/>
        <v>02/2026</v>
      </c>
    </row>
    <row r="1309" hidden="1">
      <c r="A1309" s="26">
        <v>46054.0</v>
      </c>
      <c r="B1309" s="28" t="s">
        <v>1514</v>
      </c>
      <c r="C1309" s="28" t="s">
        <v>37</v>
      </c>
      <c r="D1309" s="28" t="s">
        <v>1515</v>
      </c>
      <c r="E1309" s="71">
        <v>2038.7</v>
      </c>
      <c r="F1309" s="29" t="s">
        <v>1516</v>
      </c>
      <c r="G1309" s="26">
        <v>46054.0</v>
      </c>
      <c r="H1309" s="70">
        <f t="shared" si="1"/>
        <v>1</v>
      </c>
      <c r="I1309" s="70">
        <f t="shared" si="2"/>
        <v>2</v>
      </c>
      <c r="J1309" s="70">
        <f t="shared" si="3"/>
        <v>2026</v>
      </c>
      <c r="K1309" s="70" t="str">
        <f t="shared" si="4"/>
        <v>02/2026</v>
      </c>
    </row>
    <row r="1310" hidden="1">
      <c r="A1310" s="26">
        <v>46055.0</v>
      </c>
      <c r="B1310" s="28" t="s">
        <v>1511</v>
      </c>
      <c r="C1310" s="29" t="s">
        <v>27</v>
      </c>
      <c r="D1310" s="28" t="s">
        <v>1512</v>
      </c>
      <c r="E1310" s="71">
        <v>254.84</v>
      </c>
      <c r="F1310" s="29" t="s">
        <v>1513</v>
      </c>
      <c r="G1310" s="26">
        <v>46055.0</v>
      </c>
      <c r="H1310" s="70">
        <f t="shared" si="1"/>
        <v>2</v>
      </c>
      <c r="I1310" s="70">
        <f t="shared" si="2"/>
        <v>2</v>
      </c>
      <c r="J1310" s="70">
        <f t="shared" si="3"/>
        <v>2026</v>
      </c>
      <c r="K1310" s="70" t="str">
        <f t="shared" si="4"/>
        <v>02/2026</v>
      </c>
    </row>
    <row r="1311" hidden="1">
      <c r="A1311" s="26">
        <v>46055.0</v>
      </c>
      <c r="B1311" s="28" t="s">
        <v>1514</v>
      </c>
      <c r="C1311" s="28" t="s">
        <v>37</v>
      </c>
      <c r="D1311" s="28" t="s">
        <v>1515</v>
      </c>
      <c r="E1311" s="71">
        <v>1083.78</v>
      </c>
      <c r="F1311" s="29" t="s">
        <v>1516</v>
      </c>
      <c r="G1311" s="26">
        <v>46055.0</v>
      </c>
      <c r="H1311" s="70">
        <f t="shared" si="1"/>
        <v>2</v>
      </c>
      <c r="I1311" s="70">
        <f t="shared" si="2"/>
        <v>2</v>
      </c>
      <c r="J1311" s="70">
        <f t="shared" si="3"/>
        <v>2026</v>
      </c>
      <c r="K1311" s="70" t="str">
        <f t="shared" si="4"/>
        <v>02/2026</v>
      </c>
    </row>
    <row r="1312" hidden="1">
      <c r="A1312" s="26">
        <v>46055.0</v>
      </c>
      <c r="B1312" s="28" t="s">
        <v>1519</v>
      </c>
      <c r="C1312" s="28" t="s">
        <v>27</v>
      </c>
      <c r="D1312" s="28" t="s">
        <v>1520</v>
      </c>
      <c r="E1312" s="71">
        <v>7970.12</v>
      </c>
      <c r="F1312" s="29" t="s">
        <v>1513</v>
      </c>
      <c r="G1312" s="26">
        <v>46055.0</v>
      </c>
      <c r="H1312" s="70">
        <f t="shared" si="1"/>
        <v>2</v>
      </c>
      <c r="I1312" s="70">
        <f t="shared" si="2"/>
        <v>2</v>
      </c>
      <c r="J1312" s="70">
        <f t="shared" si="3"/>
        <v>2026</v>
      </c>
      <c r="K1312" s="70" t="str">
        <f t="shared" si="4"/>
        <v>02/2026</v>
      </c>
    </row>
    <row r="1313" hidden="1">
      <c r="A1313" s="26">
        <v>46056.0</v>
      </c>
      <c r="B1313" s="28" t="s">
        <v>1511</v>
      </c>
      <c r="C1313" s="29" t="s">
        <v>27</v>
      </c>
      <c r="D1313" s="28" t="s">
        <v>1512</v>
      </c>
      <c r="E1313" s="71">
        <v>752.04</v>
      </c>
      <c r="F1313" s="29" t="s">
        <v>1513</v>
      </c>
      <c r="G1313" s="26">
        <v>46056.0</v>
      </c>
      <c r="H1313" s="70">
        <f t="shared" si="1"/>
        <v>3</v>
      </c>
      <c r="I1313" s="70">
        <f t="shared" si="2"/>
        <v>2</v>
      </c>
      <c r="J1313" s="70">
        <f t="shared" si="3"/>
        <v>2026</v>
      </c>
      <c r="K1313" s="70" t="str">
        <f t="shared" si="4"/>
        <v>02/2026</v>
      </c>
    </row>
    <row r="1314" hidden="1">
      <c r="A1314" s="26">
        <v>46056.0</v>
      </c>
      <c r="B1314" s="28" t="s">
        <v>1514</v>
      </c>
      <c r="C1314" s="28" t="s">
        <v>37</v>
      </c>
      <c r="D1314" s="28" t="s">
        <v>1515</v>
      </c>
      <c r="E1314" s="71">
        <v>3381.99</v>
      </c>
      <c r="F1314" s="29" t="s">
        <v>1516</v>
      </c>
      <c r="G1314" s="26">
        <v>46056.0</v>
      </c>
      <c r="H1314" s="70">
        <f t="shared" si="1"/>
        <v>3</v>
      </c>
      <c r="I1314" s="70">
        <f t="shared" si="2"/>
        <v>2</v>
      </c>
      <c r="J1314" s="70">
        <f t="shared" si="3"/>
        <v>2026</v>
      </c>
      <c r="K1314" s="70" t="str">
        <f t="shared" si="4"/>
        <v>02/2026</v>
      </c>
    </row>
    <row r="1315" hidden="1">
      <c r="A1315" s="26">
        <v>46057.0</v>
      </c>
      <c r="B1315" s="28" t="s">
        <v>1514</v>
      </c>
      <c r="C1315" s="28" t="s">
        <v>37</v>
      </c>
      <c r="D1315" s="28" t="s">
        <v>1515</v>
      </c>
      <c r="E1315" s="71">
        <v>4839.98</v>
      </c>
      <c r="F1315" s="29" t="s">
        <v>1516</v>
      </c>
      <c r="G1315" s="26">
        <v>46057.0</v>
      </c>
      <c r="H1315" s="70">
        <f t="shared" si="1"/>
        <v>4</v>
      </c>
      <c r="I1315" s="70">
        <f t="shared" si="2"/>
        <v>2</v>
      </c>
      <c r="J1315" s="70">
        <f t="shared" si="3"/>
        <v>2026</v>
      </c>
      <c r="K1315" s="70" t="str">
        <f t="shared" si="4"/>
        <v>02/2026</v>
      </c>
    </row>
    <row r="1316" hidden="1">
      <c r="A1316" s="26">
        <v>46057.0</v>
      </c>
      <c r="B1316" s="28" t="s">
        <v>1511</v>
      </c>
      <c r="C1316" s="29" t="s">
        <v>27</v>
      </c>
      <c r="D1316" s="28" t="s">
        <v>1512</v>
      </c>
      <c r="E1316" s="71">
        <v>1806.57</v>
      </c>
      <c r="F1316" s="29" t="s">
        <v>1513</v>
      </c>
      <c r="G1316" s="26">
        <v>46057.0</v>
      </c>
      <c r="H1316" s="70">
        <f t="shared" si="1"/>
        <v>4</v>
      </c>
      <c r="I1316" s="70">
        <f t="shared" si="2"/>
        <v>2</v>
      </c>
      <c r="J1316" s="70">
        <f t="shared" si="3"/>
        <v>2026</v>
      </c>
      <c r="K1316" s="70" t="str">
        <f t="shared" si="4"/>
        <v>02/2026</v>
      </c>
    </row>
    <row r="1317" hidden="1">
      <c r="A1317" s="26">
        <v>46058.0</v>
      </c>
      <c r="B1317" s="28" t="s">
        <v>1511</v>
      </c>
      <c r="C1317" s="29" t="s">
        <v>27</v>
      </c>
      <c r="D1317" s="28" t="s">
        <v>1512</v>
      </c>
      <c r="E1317" s="71">
        <v>2358.27</v>
      </c>
      <c r="F1317" s="29" t="s">
        <v>1513</v>
      </c>
      <c r="G1317" s="26">
        <v>46058.0</v>
      </c>
      <c r="H1317" s="70">
        <f t="shared" si="1"/>
        <v>5</v>
      </c>
      <c r="I1317" s="70">
        <f t="shared" si="2"/>
        <v>2</v>
      </c>
      <c r="J1317" s="70">
        <f t="shared" si="3"/>
        <v>2026</v>
      </c>
      <c r="K1317" s="70" t="str">
        <f t="shared" si="4"/>
        <v>02/2026</v>
      </c>
    </row>
    <row r="1318" hidden="1">
      <c r="A1318" s="26">
        <v>46058.0</v>
      </c>
      <c r="B1318" s="28" t="s">
        <v>1514</v>
      </c>
      <c r="C1318" s="28" t="s">
        <v>37</v>
      </c>
      <c r="D1318" s="28" t="s">
        <v>1515</v>
      </c>
      <c r="E1318" s="71">
        <v>5114.18</v>
      </c>
      <c r="F1318" s="29" t="s">
        <v>1516</v>
      </c>
      <c r="G1318" s="26">
        <v>46058.0</v>
      </c>
      <c r="H1318" s="70">
        <f t="shared" si="1"/>
        <v>5</v>
      </c>
      <c r="I1318" s="70">
        <f t="shared" si="2"/>
        <v>2</v>
      </c>
      <c r="J1318" s="70">
        <f t="shared" si="3"/>
        <v>2026</v>
      </c>
      <c r="K1318" s="70" t="str">
        <f t="shared" si="4"/>
        <v>02/2026</v>
      </c>
    </row>
    <row r="1319" hidden="1">
      <c r="A1319" s="26">
        <v>46059.0</v>
      </c>
      <c r="B1319" s="28" t="s">
        <v>1511</v>
      </c>
      <c r="C1319" s="29" t="s">
        <v>27</v>
      </c>
      <c r="D1319" s="28" t="s">
        <v>1512</v>
      </c>
      <c r="E1319" s="71">
        <v>2993.99</v>
      </c>
      <c r="F1319" s="29" t="s">
        <v>1513</v>
      </c>
      <c r="G1319" s="26">
        <v>46059.0</v>
      </c>
      <c r="H1319" s="70">
        <f t="shared" si="1"/>
        <v>6</v>
      </c>
      <c r="I1319" s="70">
        <f t="shared" si="2"/>
        <v>2</v>
      </c>
      <c r="J1319" s="70">
        <f t="shared" si="3"/>
        <v>2026</v>
      </c>
      <c r="K1319" s="70" t="str">
        <f t="shared" si="4"/>
        <v>02/2026</v>
      </c>
    </row>
    <row r="1320" hidden="1">
      <c r="A1320" s="26">
        <v>46059.0</v>
      </c>
      <c r="B1320" s="28" t="s">
        <v>1514</v>
      </c>
      <c r="C1320" s="28" t="s">
        <v>37</v>
      </c>
      <c r="D1320" s="28" t="s">
        <v>1515</v>
      </c>
      <c r="E1320" s="71">
        <v>3060.07</v>
      </c>
      <c r="F1320" s="29" t="s">
        <v>1516</v>
      </c>
      <c r="G1320" s="26">
        <v>46059.0</v>
      </c>
      <c r="H1320" s="70">
        <f t="shared" si="1"/>
        <v>6</v>
      </c>
      <c r="I1320" s="70">
        <f t="shared" si="2"/>
        <v>2</v>
      </c>
      <c r="J1320" s="70">
        <f t="shared" si="3"/>
        <v>2026</v>
      </c>
      <c r="K1320" s="70" t="str">
        <f t="shared" si="4"/>
        <v>02/2026</v>
      </c>
    </row>
    <row r="1321" hidden="1">
      <c r="A1321" s="26">
        <v>46059.0</v>
      </c>
      <c r="B1321" s="28" t="s">
        <v>1523</v>
      </c>
      <c r="C1321" s="28" t="s">
        <v>27</v>
      </c>
      <c r="D1321" s="28" t="s">
        <v>1524</v>
      </c>
      <c r="E1321" s="71">
        <v>3204.29</v>
      </c>
      <c r="F1321" s="29" t="s">
        <v>1513</v>
      </c>
      <c r="G1321" s="26">
        <v>46062.0</v>
      </c>
      <c r="H1321" s="70">
        <f t="shared" si="1"/>
        <v>6</v>
      </c>
      <c r="I1321" s="70">
        <f t="shared" si="2"/>
        <v>2</v>
      </c>
      <c r="J1321" s="70">
        <f t="shared" si="3"/>
        <v>2026</v>
      </c>
      <c r="K1321" s="70" t="str">
        <f t="shared" si="4"/>
        <v>02/2026</v>
      </c>
    </row>
    <row r="1322" hidden="1">
      <c r="A1322" s="26">
        <v>46060.0</v>
      </c>
      <c r="B1322" s="28" t="s">
        <v>1511</v>
      </c>
      <c r="C1322" s="29" t="s">
        <v>27</v>
      </c>
      <c r="D1322" s="28" t="s">
        <v>1512</v>
      </c>
      <c r="E1322" s="71">
        <v>2389.28</v>
      </c>
      <c r="F1322" s="29" t="s">
        <v>1513</v>
      </c>
      <c r="G1322" s="26">
        <v>46060.0</v>
      </c>
      <c r="H1322" s="70">
        <f t="shared" si="1"/>
        <v>7</v>
      </c>
      <c r="I1322" s="70">
        <f t="shared" si="2"/>
        <v>2</v>
      </c>
      <c r="J1322" s="70">
        <f t="shared" si="3"/>
        <v>2026</v>
      </c>
      <c r="K1322" s="70" t="str">
        <f t="shared" si="4"/>
        <v>02/2026</v>
      </c>
    </row>
    <row r="1323" hidden="1">
      <c r="A1323" s="26">
        <v>46060.0</v>
      </c>
      <c r="B1323" s="28" t="s">
        <v>1514</v>
      </c>
      <c r="C1323" s="28" t="s">
        <v>37</v>
      </c>
      <c r="D1323" s="28" t="s">
        <v>1515</v>
      </c>
      <c r="E1323" s="71">
        <v>3933.14</v>
      </c>
      <c r="F1323" s="29" t="s">
        <v>1516</v>
      </c>
      <c r="G1323" s="26">
        <v>46060.0</v>
      </c>
      <c r="H1323" s="70">
        <f t="shared" si="1"/>
        <v>7</v>
      </c>
      <c r="I1323" s="70">
        <f t="shared" si="2"/>
        <v>2</v>
      </c>
      <c r="J1323" s="70">
        <f t="shared" si="3"/>
        <v>2026</v>
      </c>
      <c r="K1323" s="70" t="str">
        <f t="shared" si="4"/>
        <v>02/2026</v>
      </c>
    </row>
    <row r="1324" hidden="1">
      <c r="A1324" s="26">
        <v>46061.0</v>
      </c>
      <c r="B1324" s="28" t="s">
        <v>1511</v>
      </c>
      <c r="C1324" s="29" t="s">
        <v>27</v>
      </c>
      <c r="D1324" s="28" t="s">
        <v>1512</v>
      </c>
      <c r="E1324" s="71">
        <v>670.27</v>
      </c>
      <c r="F1324" s="29" t="s">
        <v>1513</v>
      </c>
      <c r="G1324" s="26">
        <v>46061.0</v>
      </c>
      <c r="H1324" s="70">
        <f t="shared" si="1"/>
        <v>8</v>
      </c>
      <c r="I1324" s="70">
        <f t="shared" si="2"/>
        <v>2</v>
      </c>
      <c r="J1324" s="70">
        <f t="shared" si="3"/>
        <v>2026</v>
      </c>
      <c r="K1324" s="70" t="str">
        <f t="shared" si="4"/>
        <v>02/2026</v>
      </c>
    </row>
    <row r="1325" hidden="1">
      <c r="A1325" s="26">
        <v>46061.0</v>
      </c>
      <c r="B1325" s="28" t="s">
        <v>1514</v>
      </c>
      <c r="C1325" s="28" t="s">
        <v>37</v>
      </c>
      <c r="D1325" s="28" t="s">
        <v>1515</v>
      </c>
      <c r="E1325" s="71">
        <v>2927.75</v>
      </c>
      <c r="F1325" s="29" t="s">
        <v>1516</v>
      </c>
      <c r="G1325" s="9">
        <v>46061.0</v>
      </c>
      <c r="H1325" s="70">
        <f t="shared" si="1"/>
        <v>8</v>
      </c>
      <c r="I1325" s="70">
        <f t="shared" si="2"/>
        <v>2</v>
      </c>
      <c r="J1325" s="70">
        <f t="shared" si="3"/>
        <v>2026</v>
      </c>
      <c r="K1325" s="70" t="str">
        <f t="shared" si="4"/>
        <v>02/2026</v>
      </c>
    </row>
    <row r="1326" hidden="1">
      <c r="A1326" s="26">
        <v>46062.0</v>
      </c>
      <c r="B1326" s="28" t="s">
        <v>1514</v>
      </c>
      <c r="C1326" s="28" t="s">
        <v>37</v>
      </c>
      <c r="D1326" s="28" t="s">
        <v>1515</v>
      </c>
      <c r="E1326" s="71">
        <v>6881.76</v>
      </c>
      <c r="F1326" s="29" t="s">
        <v>1516</v>
      </c>
      <c r="G1326" s="26">
        <v>46062.0</v>
      </c>
      <c r="H1326" s="70">
        <f t="shared" si="1"/>
        <v>9</v>
      </c>
      <c r="I1326" s="70">
        <f t="shared" si="2"/>
        <v>2</v>
      </c>
      <c r="J1326" s="70">
        <f t="shared" si="3"/>
        <v>2026</v>
      </c>
      <c r="K1326" s="70" t="str">
        <f t="shared" si="4"/>
        <v>02/2026</v>
      </c>
    </row>
    <row r="1327" hidden="1">
      <c r="A1327" s="26">
        <v>46062.0</v>
      </c>
      <c r="B1327" s="28" t="s">
        <v>1523</v>
      </c>
      <c r="C1327" s="28" t="s">
        <v>27</v>
      </c>
      <c r="D1327" s="28" t="s">
        <v>1524</v>
      </c>
      <c r="E1327" s="71">
        <v>7373.67</v>
      </c>
      <c r="F1327" s="29" t="s">
        <v>1513</v>
      </c>
      <c r="G1327" s="9">
        <v>46076.0</v>
      </c>
      <c r="H1327" s="70">
        <f t="shared" si="1"/>
        <v>9</v>
      </c>
      <c r="I1327" s="70">
        <f t="shared" si="2"/>
        <v>2</v>
      </c>
      <c r="J1327" s="70">
        <f t="shared" si="3"/>
        <v>2026</v>
      </c>
      <c r="K1327" s="70" t="str">
        <f t="shared" si="4"/>
        <v>02/2026</v>
      </c>
    </row>
    <row r="1328" hidden="1">
      <c r="A1328" s="26">
        <v>46063.0</v>
      </c>
      <c r="B1328" s="28" t="s">
        <v>1514</v>
      </c>
      <c r="C1328" s="28" t="s">
        <v>37</v>
      </c>
      <c r="D1328" s="28" t="s">
        <v>1515</v>
      </c>
      <c r="E1328" s="71">
        <v>5780.99</v>
      </c>
      <c r="F1328" s="29" t="s">
        <v>1516</v>
      </c>
      <c r="G1328" s="9">
        <v>46063.0</v>
      </c>
      <c r="H1328" s="70">
        <f t="shared" si="1"/>
        <v>10</v>
      </c>
      <c r="I1328" s="70">
        <f t="shared" si="2"/>
        <v>2</v>
      </c>
      <c r="J1328" s="70">
        <f t="shared" si="3"/>
        <v>2026</v>
      </c>
      <c r="K1328" s="70" t="str">
        <f t="shared" si="4"/>
        <v>02/2026</v>
      </c>
    </row>
    <row r="1329" hidden="1">
      <c r="A1329" s="26">
        <v>46064.0</v>
      </c>
      <c r="B1329" s="28" t="s">
        <v>1511</v>
      </c>
      <c r="C1329" s="28" t="s">
        <v>66</v>
      </c>
      <c r="D1329" s="28" t="s">
        <v>1512</v>
      </c>
      <c r="E1329" s="71">
        <v>462.1</v>
      </c>
      <c r="F1329" s="29" t="s">
        <v>1516</v>
      </c>
      <c r="G1329" s="26">
        <v>46064.0</v>
      </c>
      <c r="H1329" s="70">
        <f t="shared" si="1"/>
        <v>11</v>
      </c>
      <c r="I1329" s="70">
        <f t="shared" si="2"/>
        <v>2</v>
      </c>
      <c r="J1329" s="70">
        <f t="shared" si="3"/>
        <v>2026</v>
      </c>
      <c r="K1329" s="70" t="str">
        <f t="shared" si="4"/>
        <v>02/2026</v>
      </c>
    </row>
    <row r="1330" hidden="1">
      <c r="A1330" s="26">
        <v>46064.0</v>
      </c>
      <c r="B1330" s="28" t="s">
        <v>1514</v>
      </c>
      <c r="C1330" s="28" t="s">
        <v>37</v>
      </c>
      <c r="D1330" s="28" t="s">
        <v>1515</v>
      </c>
      <c r="E1330" s="71">
        <v>5820.54</v>
      </c>
      <c r="F1330" s="29" t="s">
        <v>1516</v>
      </c>
      <c r="G1330" s="9">
        <v>46064.0</v>
      </c>
      <c r="H1330" s="70">
        <f t="shared" si="1"/>
        <v>11</v>
      </c>
      <c r="I1330" s="70">
        <f t="shared" si="2"/>
        <v>2</v>
      </c>
      <c r="J1330" s="70">
        <f t="shared" si="3"/>
        <v>2026</v>
      </c>
      <c r="K1330" s="70" t="str">
        <f t="shared" si="4"/>
        <v>02/2026</v>
      </c>
    </row>
    <row r="1331" hidden="1">
      <c r="A1331" s="26">
        <v>46068.0</v>
      </c>
      <c r="B1331" s="28" t="s">
        <v>1511</v>
      </c>
      <c r="C1331" s="29" t="s">
        <v>27</v>
      </c>
      <c r="D1331" s="28" t="s">
        <v>1512</v>
      </c>
      <c r="E1331" s="71">
        <v>10820.34</v>
      </c>
      <c r="F1331" s="29" t="s">
        <v>1513</v>
      </c>
      <c r="G1331" s="26">
        <v>46068.0</v>
      </c>
      <c r="H1331" s="70">
        <f t="shared" si="1"/>
        <v>15</v>
      </c>
      <c r="I1331" s="70">
        <f t="shared" si="2"/>
        <v>2</v>
      </c>
      <c r="J1331" s="70">
        <f t="shared" si="3"/>
        <v>2026</v>
      </c>
      <c r="K1331" s="70" t="str">
        <f t="shared" si="4"/>
        <v>02/2026</v>
      </c>
    </row>
    <row r="1332" hidden="1">
      <c r="A1332" s="26">
        <v>46068.0</v>
      </c>
      <c r="B1332" s="28" t="s">
        <v>1514</v>
      </c>
      <c r="C1332" s="28" t="s">
        <v>37</v>
      </c>
      <c r="D1332" s="28" t="s">
        <v>1515</v>
      </c>
      <c r="E1332" s="71">
        <v>5799.28</v>
      </c>
      <c r="F1332" s="29" t="s">
        <v>1516</v>
      </c>
      <c r="G1332" s="9">
        <v>46069.0</v>
      </c>
      <c r="H1332" s="70">
        <f t="shared" si="1"/>
        <v>15</v>
      </c>
      <c r="I1332" s="70">
        <f t="shared" si="2"/>
        <v>2</v>
      </c>
      <c r="J1332" s="70">
        <f t="shared" si="3"/>
        <v>2026</v>
      </c>
      <c r="K1332" s="70" t="str">
        <f t="shared" si="4"/>
        <v>02/2026</v>
      </c>
    </row>
    <row r="1333" hidden="1">
      <c r="A1333" s="26">
        <v>46069.0</v>
      </c>
      <c r="B1333" s="28" t="s">
        <v>1511</v>
      </c>
      <c r="C1333" s="29" t="s">
        <v>27</v>
      </c>
      <c r="D1333" s="28" t="s">
        <v>1512</v>
      </c>
      <c r="E1333" s="71">
        <v>62.65</v>
      </c>
      <c r="F1333" s="29" t="s">
        <v>1513</v>
      </c>
      <c r="G1333" s="26">
        <v>46069.0</v>
      </c>
      <c r="H1333" s="70">
        <f t="shared" si="1"/>
        <v>16</v>
      </c>
      <c r="I1333" s="70">
        <f t="shared" si="2"/>
        <v>2</v>
      </c>
      <c r="J1333" s="70">
        <f t="shared" si="3"/>
        <v>2026</v>
      </c>
      <c r="K1333" s="70" t="str">
        <f t="shared" si="4"/>
        <v>02/2026</v>
      </c>
    </row>
    <row r="1334" hidden="1">
      <c r="A1334" s="26">
        <v>46069.0</v>
      </c>
      <c r="B1334" s="28" t="s">
        <v>1514</v>
      </c>
      <c r="C1334" s="28" t="s">
        <v>37</v>
      </c>
      <c r="D1334" s="28" t="s">
        <v>1515</v>
      </c>
      <c r="E1334" s="71">
        <v>434.58</v>
      </c>
      <c r="F1334" s="29" t="s">
        <v>1516</v>
      </c>
      <c r="G1334" s="9">
        <v>46069.0</v>
      </c>
      <c r="H1334" s="70">
        <f t="shared" si="1"/>
        <v>16</v>
      </c>
      <c r="I1334" s="70">
        <f t="shared" si="2"/>
        <v>2</v>
      </c>
      <c r="J1334" s="70">
        <f t="shared" si="3"/>
        <v>2026</v>
      </c>
      <c r="K1334" s="70" t="str">
        <f t="shared" si="4"/>
        <v>02/2026</v>
      </c>
    </row>
    <row r="1335" hidden="1">
      <c r="A1335" s="26">
        <v>46069.0</v>
      </c>
      <c r="B1335" s="28" t="s">
        <v>44</v>
      </c>
      <c r="C1335" s="28" t="s">
        <v>27</v>
      </c>
      <c r="D1335" s="28" t="s">
        <v>1525</v>
      </c>
      <c r="E1335" s="71">
        <v>4.72</v>
      </c>
      <c r="F1335" s="28" t="s">
        <v>1513</v>
      </c>
      <c r="G1335" s="27">
        <v>46027.0</v>
      </c>
      <c r="H1335" s="70">
        <f t="shared" si="1"/>
        <v>16</v>
      </c>
      <c r="I1335" s="70">
        <f t="shared" si="2"/>
        <v>2</v>
      </c>
      <c r="J1335" s="70">
        <f t="shared" si="3"/>
        <v>2026</v>
      </c>
      <c r="K1335" s="70" t="str">
        <f t="shared" si="4"/>
        <v>02/2026</v>
      </c>
    </row>
    <row r="1336" hidden="1">
      <c r="A1336" s="26">
        <v>46070.0</v>
      </c>
      <c r="B1336" s="28" t="s">
        <v>1511</v>
      </c>
      <c r="C1336" s="29" t="s">
        <v>27</v>
      </c>
      <c r="D1336" s="28" t="s">
        <v>1512</v>
      </c>
      <c r="E1336" s="71">
        <v>1211.78</v>
      </c>
      <c r="F1336" s="29" t="s">
        <v>1513</v>
      </c>
      <c r="G1336" s="26">
        <v>46070.0</v>
      </c>
      <c r="H1336" s="70">
        <f t="shared" si="1"/>
        <v>17</v>
      </c>
      <c r="I1336" s="70">
        <f t="shared" si="2"/>
        <v>2</v>
      </c>
      <c r="J1336" s="70">
        <f t="shared" si="3"/>
        <v>2026</v>
      </c>
      <c r="K1336" s="70" t="str">
        <f t="shared" si="4"/>
        <v>02/2026</v>
      </c>
    </row>
    <row r="1337" hidden="1">
      <c r="A1337" s="26">
        <v>46070.0</v>
      </c>
      <c r="B1337" s="28" t="s">
        <v>1514</v>
      </c>
      <c r="C1337" s="28" t="s">
        <v>37</v>
      </c>
      <c r="D1337" s="28" t="s">
        <v>1515</v>
      </c>
      <c r="E1337" s="71">
        <v>3690.26</v>
      </c>
      <c r="F1337" s="29" t="s">
        <v>1516</v>
      </c>
      <c r="G1337" s="9">
        <v>46070.0</v>
      </c>
      <c r="H1337" s="70">
        <f t="shared" si="1"/>
        <v>17</v>
      </c>
      <c r="I1337" s="70">
        <f t="shared" si="2"/>
        <v>2</v>
      </c>
      <c r="J1337" s="70">
        <f t="shared" si="3"/>
        <v>2026</v>
      </c>
      <c r="K1337" s="70" t="str">
        <f t="shared" si="4"/>
        <v>02/2026</v>
      </c>
    </row>
    <row r="1338" hidden="1">
      <c r="A1338" s="26">
        <v>46071.0</v>
      </c>
      <c r="B1338" s="28" t="s">
        <v>1519</v>
      </c>
      <c r="C1338" s="28" t="s">
        <v>27</v>
      </c>
      <c r="D1338" s="28" t="s">
        <v>1520</v>
      </c>
      <c r="E1338" s="71">
        <v>33118.05</v>
      </c>
      <c r="F1338" s="29" t="s">
        <v>1513</v>
      </c>
      <c r="G1338" s="26">
        <v>46070.0</v>
      </c>
      <c r="H1338" s="70">
        <f t="shared" si="1"/>
        <v>18</v>
      </c>
      <c r="I1338" s="70">
        <f t="shared" si="2"/>
        <v>2</v>
      </c>
      <c r="J1338" s="70">
        <f t="shared" si="3"/>
        <v>2026</v>
      </c>
      <c r="K1338" s="70" t="str">
        <f t="shared" si="4"/>
        <v>02/2026</v>
      </c>
    </row>
    <row r="1339" hidden="1">
      <c r="A1339" s="26">
        <v>46071.0</v>
      </c>
      <c r="B1339" s="28" t="s">
        <v>1511</v>
      </c>
      <c r="C1339" s="29" t="s">
        <v>27</v>
      </c>
      <c r="D1339" s="28" t="s">
        <v>1512</v>
      </c>
      <c r="E1339" s="71">
        <v>2187.57</v>
      </c>
      <c r="F1339" s="29" t="s">
        <v>1513</v>
      </c>
      <c r="G1339" s="26">
        <v>46071.0</v>
      </c>
      <c r="H1339" s="70">
        <f t="shared" si="1"/>
        <v>18</v>
      </c>
      <c r="I1339" s="70">
        <f t="shared" si="2"/>
        <v>2</v>
      </c>
      <c r="J1339" s="70">
        <f t="shared" si="3"/>
        <v>2026</v>
      </c>
      <c r="K1339" s="70" t="str">
        <f t="shared" si="4"/>
        <v>02/2026</v>
      </c>
    </row>
    <row r="1340" hidden="1">
      <c r="A1340" s="26">
        <v>46071.0</v>
      </c>
      <c r="B1340" s="28" t="s">
        <v>1514</v>
      </c>
      <c r="C1340" s="28" t="s">
        <v>37</v>
      </c>
      <c r="D1340" s="28" t="s">
        <v>1515</v>
      </c>
      <c r="E1340" s="71">
        <v>4481.44</v>
      </c>
      <c r="F1340" s="29" t="s">
        <v>1516</v>
      </c>
      <c r="G1340" s="9">
        <v>46071.0</v>
      </c>
      <c r="H1340" s="70">
        <f t="shared" si="1"/>
        <v>18</v>
      </c>
      <c r="I1340" s="70">
        <f t="shared" si="2"/>
        <v>2</v>
      </c>
      <c r="J1340" s="70">
        <f t="shared" si="3"/>
        <v>2026</v>
      </c>
      <c r="K1340" s="70" t="str">
        <f t="shared" si="4"/>
        <v>02/2026</v>
      </c>
    </row>
    <row r="1341" hidden="1">
      <c r="A1341" s="26">
        <v>46072.0</v>
      </c>
      <c r="B1341" s="28" t="s">
        <v>1511</v>
      </c>
      <c r="C1341" s="29" t="s">
        <v>27</v>
      </c>
      <c r="D1341" s="28" t="s">
        <v>1512</v>
      </c>
      <c r="E1341" s="71">
        <v>2218.39</v>
      </c>
      <c r="F1341" s="29" t="s">
        <v>1513</v>
      </c>
      <c r="G1341" s="26">
        <v>46072.0</v>
      </c>
      <c r="H1341" s="70">
        <f t="shared" si="1"/>
        <v>19</v>
      </c>
      <c r="I1341" s="70">
        <f t="shared" si="2"/>
        <v>2</v>
      </c>
      <c r="J1341" s="70">
        <f t="shared" si="3"/>
        <v>2026</v>
      </c>
      <c r="K1341" s="70" t="str">
        <f t="shared" si="4"/>
        <v>02/2026</v>
      </c>
    </row>
    <row r="1342" hidden="1">
      <c r="A1342" s="26">
        <v>46072.0</v>
      </c>
      <c r="B1342" s="28" t="s">
        <v>1514</v>
      </c>
      <c r="C1342" s="28" t="s">
        <v>37</v>
      </c>
      <c r="D1342" s="28" t="s">
        <v>1515</v>
      </c>
      <c r="E1342" s="71">
        <v>4895.75</v>
      </c>
      <c r="F1342" s="29" t="s">
        <v>1516</v>
      </c>
      <c r="G1342" s="9">
        <v>46072.0</v>
      </c>
      <c r="H1342" s="70">
        <f t="shared" si="1"/>
        <v>19</v>
      </c>
      <c r="I1342" s="70">
        <f t="shared" si="2"/>
        <v>2</v>
      </c>
      <c r="J1342" s="70">
        <f t="shared" si="3"/>
        <v>2026</v>
      </c>
      <c r="K1342" s="70" t="str">
        <f t="shared" si="4"/>
        <v>02/2026</v>
      </c>
    </row>
    <row r="1343" hidden="1">
      <c r="A1343" s="26">
        <v>46073.0</v>
      </c>
      <c r="B1343" s="28" t="s">
        <v>1511</v>
      </c>
      <c r="C1343" s="29" t="s">
        <v>27</v>
      </c>
      <c r="D1343" s="28" t="s">
        <v>1512</v>
      </c>
      <c r="E1343" s="71">
        <v>1507.24</v>
      </c>
      <c r="F1343" s="29" t="s">
        <v>1513</v>
      </c>
      <c r="G1343" s="26">
        <v>46073.0</v>
      </c>
      <c r="H1343" s="70">
        <f t="shared" si="1"/>
        <v>20</v>
      </c>
      <c r="I1343" s="70">
        <f t="shared" si="2"/>
        <v>2</v>
      </c>
      <c r="J1343" s="70">
        <f t="shared" si="3"/>
        <v>2026</v>
      </c>
      <c r="K1343" s="70" t="str">
        <f t="shared" si="4"/>
        <v>02/2026</v>
      </c>
    </row>
    <row r="1344" hidden="1">
      <c r="A1344" s="26">
        <v>46073.0</v>
      </c>
      <c r="B1344" s="28" t="s">
        <v>1514</v>
      </c>
      <c r="C1344" s="28" t="s">
        <v>37</v>
      </c>
      <c r="D1344" s="28" t="s">
        <v>1515</v>
      </c>
      <c r="E1344" s="71">
        <v>4139.6</v>
      </c>
      <c r="F1344" s="29" t="s">
        <v>1516</v>
      </c>
      <c r="G1344" s="9">
        <v>46073.0</v>
      </c>
      <c r="H1344" s="70">
        <f t="shared" si="1"/>
        <v>20</v>
      </c>
      <c r="I1344" s="70">
        <f t="shared" si="2"/>
        <v>2</v>
      </c>
      <c r="J1344" s="70">
        <f t="shared" si="3"/>
        <v>2026</v>
      </c>
      <c r="K1344" s="70" t="str">
        <f t="shared" si="4"/>
        <v>02/2026</v>
      </c>
    </row>
    <row r="1345" hidden="1">
      <c r="A1345" s="26">
        <v>46073.0</v>
      </c>
      <c r="B1345" s="28" t="s">
        <v>1523</v>
      </c>
      <c r="C1345" s="28" t="s">
        <v>27</v>
      </c>
      <c r="D1345" s="28" t="s">
        <v>1524</v>
      </c>
      <c r="E1345" s="71">
        <v>4258.75</v>
      </c>
      <c r="F1345" s="29" t="s">
        <v>1513</v>
      </c>
      <c r="G1345" s="9">
        <v>46073.0</v>
      </c>
      <c r="H1345" s="70">
        <f t="shared" si="1"/>
        <v>20</v>
      </c>
      <c r="I1345" s="70">
        <f t="shared" si="2"/>
        <v>2</v>
      </c>
      <c r="J1345" s="70">
        <f t="shared" si="3"/>
        <v>2026</v>
      </c>
      <c r="K1345" s="70" t="str">
        <f t="shared" si="4"/>
        <v>02/2026</v>
      </c>
    </row>
    <row r="1346" hidden="1">
      <c r="A1346" s="26">
        <v>46074.0</v>
      </c>
      <c r="B1346" s="28" t="s">
        <v>1511</v>
      </c>
      <c r="C1346" s="29" t="s">
        <v>27</v>
      </c>
      <c r="D1346" s="28" t="s">
        <v>1512</v>
      </c>
      <c r="E1346" s="71">
        <v>1803.0</v>
      </c>
      <c r="F1346" s="29" t="s">
        <v>1513</v>
      </c>
      <c r="G1346" s="26">
        <v>46074.0</v>
      </c>
      <c r="H1346" s="70">
        <f t="shared" si="1"/>
        <v>21</v>
      </c>
      <c r="I1346" s="70">
        <f t="shared" si="2"/>
        <v>2</v>
      </c>
      <c r="J1346" s="70">
        <f t="shared" si="3"/>
        <v>2026</v>
      </c>
      <c r="K1346" s="70" t="str">
        <f t="shared" si="4"/>
        <v>02/2026</v>
      </c>
    </row>
    <row r="1347" hidden="1">
      <c r="A1347" s="26">
        <v>46074.0</v>
      </c>
      <c r="B1347" s="28" t="s">
        <v>1514</v>
      </c>
      <c r="C1347" s="28" t="s">
        <v>37</v>
      </c>
      <c r="D1347" s="28" t="s">
        <v>1515</v>
      </c>
      <c r="E1347" s="71">
        <v>3063.9</v>
      </c>
      <c r="F1347" s="29" t="s">
        <v>1516</v>
      </c>
      <c r="G1347" s="9">
        <v>46074.0</v>
      </c>
      <c r="H1347" s="70">
        <f t="shared" si="1"/>
        <v>21</v>
      </c>
      <c r="I1347" s="70">
        <f t="shared" si="2"/>
        <v>2</v>
      </c>
      <c r="J1347" s="70">
        <f t="shared" si="3"/>
        <v>2026</v>
      </c>
      <c r="K1347" s="70" t="str">
        <f t="shared" si="4"/>
        <v>02/2026</v>
      </c>
    </row>
    <row r="1348" hidden="1">
      <c r="A1348" s="26">
        <v>46075.0</v>
      </c>
      <c r="B1348" s="28" t="s">
        <v>1511</v>
      </c>
      <c r="C1348" s="29" t="s">
        <v>27</v>
      </c>
      <c r="D1348" s="28" t="s">
        <v>1512</v>
      </c>
      <c r="E1348" s="71">
        <v>1259.84</v>
      </c>
      <c r="F1348" s="29" t="s">
        <v>1513</v>
      </c>
      <c r="G1348" s="26">
        <v>46075.0</v>
      </c>
      <c r="H1348" s="70">
        <f t="shared" si="1"/>
        <v>22</v>
      </c>
      <c r="I1348" s="70">
        <f t="shared" si="2"/>
        <v>2</v>
      </c>
      <c r="J1348" s="70">
        <f t="shared" si="3"/>
        <v>2026</v>
      </c>
      <c r="K1348" s="70" t="str">
        <f t="shared" si="4"/>
        <v>02/2026</v>
      </c>
    </row>
    <row r="1349" hidden="1">
      <c r="A1349" s="26">
        <v>46075.0</v>
      </c>
      <c r="B1349" s="28" t="s">
        <v>1514</v>
      </c>
      <c r="C1349" s="28" t="s">
        <v>37</v>
      </c>
      <c r="D1349" s="28" t="s">
        <v>1515</v>
      </c>
      <c r="E1349" s="71">
        <v>2813.23</v>
      </c>
      <c r="F1349" s="29" t="s">
        <v>1516</v>
      </c>
      <c r="G1349" s="9">
        <v>46075.0</v>
      </c>
      <c r="H1349" s="70">
        <f t="shared" si="1"/>
        <v>22</v>
      </c>
      <c r="I1349" s="70">
        <f t="shared" si="2"/>
        <v>2</v>
      </c>
      <c r="J1349" s="70">
        <f t="shared" si="3"/>
        <v>2026</v>
      </c>
      <c r="K1349" s="70" t="str">
        <f t="shared" si="4"/>
        <v>02/2026</v>
      </c>
    </row>
    <row r="1350" hidden="1">
      <c r="A1350" s="26">
        <v>46076.0</v>
      </c>
      <c r="B1350" s="28" t="s">
        <v>1511</v>
      </c>
      <c r="C1350" s="29" t="s">
        <v>27</v>
      </c>
      <c r="D1350" s="28" t="s">
        <v>1512</v>
      </c>
      <c r="E1350" s="71">
        <v>428.02</v>
      </c>
      <c r="F1350" s="29" t="s">
        <v>1513</v>
      </c>
      <c r="G1350" s="26">
        <v>46076.0</v>
      </c>
      <c r="H1350" s="70">
        <f t="shared" si="1"/>
        <v>23</v>
      </c>
      <c r="I1350" s="70">
        <f t="shared" si="2"/>
        <v>2</v>
      </c>
      <c r="J1350" s="70">
        <f t="shared" si="3"/>
        <v>2026</v>
      </c>
      <c r="K1350" s="70" t="str">
        <f t="shared" si="4"/>
        <v>02/2026</v>
      </c>
    </row>
    <row r="1351" hidden="1">
      <c r="A1351" s="26">
        <v>46076.0</v>
      </c>
      <c r="B1351" s="28" t="s">
        <v>1514</v>
      </c>
      <c r="C1351" s="28" t="s">
        <v>37</v>
      </c>
      <c r="D1351" s="28" t="s">
        <v>1515</v>
      </c>
      <c r="E1351" s="71">
        <v>1811.02</v>
      </c>
      <c r="F1351" s="29" t="s">
        <v>1516</v>
      </c>
      <c r="G1351" s="9">
        <v>46076.0</v>
      </c>
      <c r="H1351" s="70">
        <f t="shared" si="1"/>
        <v>23</v>
      </c>
      <c r="I1351" s="70">
        <f t="shared" si="2"/>
        <v>2</v>
      </c>
      <c r="J1351" s="70">
        <f t="shared" si="3"/>
        <v>2026</v>
      </c>
      <c r="K1351" s="70" t="str">
        <f t="shared" si="4"/>
        <v>02/2026</v>
      </c>
    </row>
    <row r="1352" hidden="1">
      <c r="A1352" s="9">
        <v>46076.0</v>
      </c>
      <c r="B1352" s="11" t="s">
        <v>1514</v>
      </c>
      <c r="C1352" s="11" t="s">
        <v>37</v>
      </c>
      <c r="D1352" s="11" t="s">
        <v>1545</v>
      </c>
      <c r="E1352" s="69">
        <v>1022.75</v>
      </c>
      <c r="F1352" s="11" t="s">
        <v>1516</v>
      </c>
      <c r="G1352" s="9">
        <v>46076.0</v>
      </c>
      <c r="H1352" s="70">
        <f t="shared" si="1"/>
        <v>23</v>
      </c>
      <c r="I1352" s="70">
        <f t="shared" si="2"/>
        <v>2</v>
      </c>
      <c r="J1352" s="70">
        <f t="shared" si="3"/>
        <v>2026</v>
      </c>
      <c r="K1352" s="70" t="str">
        <f t="shared" si="4"/>
        <v>02/2026</v>
      </c>
    </row>
    <row r="1353" hidden="1">
      <c r="A1353" s="26">
        <v>46076.0</v>
      </c>
      <c r="B1353" s="28" t="s">
        <v>1523</v>
      </c>
      <c r="C1353" s="28" t="s">
        <v>27</v>
      </c>
      <c r="D1353" s="28" t="s">
        <v>1524</v>
      </c>
      <c r="E1353" s="71">
        <v>18365.36</v>
      </c>
      <c r="F1353" s="29" t="s">
        <v>1513</v>
      </c>
      <c r="G1353" s="9">
        <v>46076.0</v>
      </c>
      <c r="H1353" s="70">
        <f t="shared" si="1"/>
        <v>23</v>
      </c>
      <c r="I1353" s="70">
        <f t="shared" si="2"/>
        <v>2</v>
      </c>
      <c r="J1353" s="70">
        <f t="shared" si="3"/>
        <v>2026</v>
      </c>
      <c r="K1353" s="70" t="str">
        <f t="shared" si="4"/>
        <v>02/2026</v>
      </c>
    </row>
    <row r="1354" hidden="1">
      <c r="A1354" s="26">
        <v>46077.0</v>
      </c>
      <c r="B1354" s="28" t="s">
        <v>1511</v>
      </c>
      <c r="C1354" s="29" t="s">
        <v>27</v>
      </c>
      <c r="D1354" s="28" t="s">
        <v>1512</v>
      </c>
      <c r="E1354" s="71">
        <v>266.73</v>
      </c>
      <c r="F1354" s="29" t="s">
        <v>1513</v>
      </c>
      <c r="G1354" s="26">
        <v>46077.0</v>
      </c>
      <c r="H1354" s="70">
        <f t="shared" si="1"/>
        <v>24</v>
      </c>
      <c r="I1354" s="70">
        <f t="shared" si="2"/>
        <v>2</v>
      </c>
      <c r="J1354" s="70">
        <f t="shared" si="3"/>
        <v>2026</v>
      </c>
      <c r="K1354" s="70" t="str">
        <f t="shared" si="4"/>
        <v>02/2026</v>
      </c>
    </row>
    <row r="1355" hidden="1">
      <c r="A1355" s="26">
        <v>46077.0</v>
      </c>
      <c r="B1355" s="28" t="s">
        <v>1514</v>
      </c>
      <c r="C1355" s="28" t="s">
        <v>37</v>
      </c>
      <c r="D1355" s="28" t="s">
        <v>1515</v>
      </c>
      <c r="E1355" s="71">
        <v>1983.56</v>
      </c>
      <c r="F1355" s="29" t="s">
        <v>1516</v>
      </c>
      <c r="G1355" s="9">
        <v>46077.0</v>
      </c>
      <c r="H1355" s="70">
        <f t="shared" si="1"/>
        <v>24</v>
      </c>
      <c r="I1355" s="70">
        <f t="shared" si="2"/>
        <v>2</v>
      </c>
      <c r="J1355" s="70">
        <f t="shared" si="3"/>
        <v>2026</v>
      </c>
      <c r="K1355" s="70" t="str">
        <f t="shared" si="4"/>
        <v>02/2026</v>
      </c>
    </row>
    <row r="1356" hidden="1">
      <c r="A1356" s="26">
        <v>46078.0</v>
      </c>
      <c r="B1356" s="28" t="s">
        <v>1514</v>
      </c>
      <c r="C1356" s="28" t="s">
        <v>37</v>
      </c>
      <c r="D1356" s="28" t="s">
        <v>1515</v>
      </c>
      <c r="E1356" s="71">
        <v>1285.78</v>
      </c>
      <c r="F1356" s="29" t="s">
        <v>1516</v>
      </c>
      <c r="G1356" s="9">
        <v>46078.0</v>
      </c>
      <c r="H1356" s="70">
        <f t="shared" si="1"/>
        <v>25</v>
      </c>
      <c r="I1356" s="70">
        <f t="shared" si="2"/>
        <v>2</v>
      </c>
      <c r="J1356" s="70">
        <f t="shared" si="3"/>
        <v>2026</v>
      </c>
      <c r="K1356" s="70" t="str">
        <f t="shared" si="4"/>
        <v>02/2026</v>
      </c>
    </row>
    <row r="1357" hidden="1">
      <c r="A1357" s="26">
        <v>46078.0</v>
      </c>
      <c r="B1357" s="28" t="s">
        <v>1511</v>
      </c>
      <c r="C1357" s="29" t="s">
        <v>27</v>
      </c>
      <c r="D1357" s="28" t="s">
        <v>1512</v>
      </c>
      <c r="E1357" s="71">
        <v>458.08</v>
      </c>
      <c r="F1357" s="29" t="s">
        <v>1513</v>
      </c>
      <c r="G1357" s="26">
        <v>46078.0</v>
      </c>
      <c r="H1357" s="70">
        <f t="shared" si="1"/>
        <v>25</v>
      </c>
      <c r="I1357" s="70">
        <f t="shared" si="2"/>
        <v>2</v>
      </c>
      <c r="J1357" s="70">
        <f t="shared" si="3"/>
        <v>2026</v>
      </c>
      <c r="K1357" s="70" t="str">
        <f t="shared" si="4"/>
        <v>02/2026</v>
      </c>
    </row>
    <row r="1358" hidden="1">
      <c r="A1358" s="26">
        <v>46079.0</v>
      </c>
      <c r="B1358" s="28" t="s">
        <v>1514</v>
      </c>
      <c r="C1358" s="28" t="s">
        <v>37</v>
      </c>
      <c r="D1358" s="28" t="s">
        <v>1515</v>
      </c>
      <c r="E1358" s="71">
        <v>1851.77</v>
      </c>
      <c r="F1358" s="29" t="s">
        <v>1516</v>
      </c>
      <c r="G1358" s="9">
        <v>46079.0</v>
      </c>
      <c r="H1358" s="70">
        <f t="shared" si="1"/>
        <v>26</v>
      </c>
      <c r="I1358" s="70">
        <f t="shared" si="2"/>
        <v>2</v>
      </c>
      <c r="J1358" s="70">
        <f t="shared" si="3"/>
        <v>2026</v>
      </c>
      <c r="K1358" s="70" t="str">
        <f t="shared" si="4"/>
        <v>02/2026</v>
      </c>
    </row>
    <row r="1359" hidden="1">
      <c r="A1359" s="26">
        <v>46079.0</v>
      </c>
      <c r="B1359" s="28" t="s">
        <v>1511</v>
      </c>
      <c r="C1359" s="29" t="s">
        <v>27</v>
      </c>
      <c r="D1359" s="28" t="s">
        <v>1512</v>
      </c>
      <c r="E1359" s="71">
        <v>512.51</v>
      </c>
      <c r="F1359" s="29" t="s">
        <v>1513</v>
      </c>
      <c r="G1359" s="9">
        <v>46079.0</v>
      </c>
      <c r="H1359" s="70">
        <f t="shared" si="1"/>
        <v>26</v>
      </c>
      <c r="I1359" s="70">
        <f t="shared" si="2"/>
        <v>2</v>
      </c>
      <c r="J1359" s="70">
        <f t="shared" si="3"/>
        <v>2026</v>
      </c>
      <c r="K1359" s="70" t="str">
        <f t="shared" si="4"/>
        <v>02/2026</v>
      </c>
    </row>
    <row r="1360" hidden="1">
      <c r="A1360" s="26">
        <v>46080.0</v>
      </c>
      <c r="B1360" s="28" t="s">
        <v>1511</v>
      </c>
      <c r="C1360" s="29" t="s">
        <v>27</v>
      </c>
      <c r="D1360" s="28" t="s">
        <v>1512</v>
      </c>
      <c r="E1360" s="71">
        <v>1720.67</v>
      </c>
      <c r="F1360" s="29" t="s">
        <v>1513</v>
      </c>
      <c r="G1360" s="9">
        <v>46080.0</v>
      </c>
      <c r="H1360" s="70">
        <f t="shared" si="1"/>
        <v>27</v>
      </c>
      <c r="I1360" s="70">
        <f t="shared" si="2"/>
        <v>2</v>
      </c>
      <c r="J1360" s="70">
        <f t="shared" si="3"/>
        <v>2026</v>
      </c>
      <c r="K1360" s="70" t="str">
        <f t="shared" si="4"/>
        <v>02/2026</v>
      </c>
    </row>
    <row r="1361" hidden="1">
      <c r="A1361" s="26">
        <v>46080.0</v>
      </c>
      <c r="B1361" s="28" t="s">
        <v>1514</v>
      </c>
      <c r="C1361" s="28" t="s">
        <v>37</v>
      </c>
      <c r="D1361" s="28" t="s">
        <v>1515</v>
      </c>
      <c r="E1361" s="71">
        <v>4349.59</v>
      </c>
      <c r="F1361" s="29" t="s">
        <v>1516</v>
      </c>
      <c r="G1361" s="9">
        <v>46080.0</v>
      </c>
      <c r="H1361" s="70">
        <f t="shared" si="1"/>
        <v>27</v>
      </c>
      <c r="I1361" s="70">
        <f t="shared" si="2"/>
        <v>2</v>
      </c>
      <c r="J1361" s="70">
        <f t="shared" si="3"/>
        <v>2026</v>
      </c>
      <c r="K1361" s="70" t="str">
        <f t="shared" si="4"/>
        <v>02/2026</v>
      </c>
    </row>
    <row r="1362" hidden="1">
      <c r="A1362" s="26">
        <v>46081.0</v>
      </c>
      <c r="B1362" s="28" t="s">
        <v>1511</v>
      </c>
      <c r="C1362" s="29" t="s">
        <v>27</v>
      </c>
      <c r="D1362" s="28" t="s">
        <v>1512</v>
      </c>
      <c r="E1362" s="71">
        <v>1582.22</v>
      </c>
      <c r="F1362" s="29" t="s">
        <v>1513</v>
      </c>
      <c r="G1362" s="9">
        <v>46081.0</v>
      </c>
      <c r="H1362" s="70">
        <f t="shared" si="1"/>
        <v>28</v>
      </c>
      <c r="I1362" s="70">
        <f t="shared" si="2"/>
        <v>2</v>
      </c>
      <c r="J1362" s="70">
        <f t="shared" si="3"/>
        <v>2026</v>
      </c>
      <c r="K1362" s="70" t="str">
        <f t="shared" si="4"/>
        <v>02/2026</v>
      </c>
    </row>
    <row r="1363" hidden="1">
      <c r="A1363" s="26">
        <v>46081.0</v>
      </c>
      <c r="B1363" s="28" t="s">
        <v>1514</v>
      </c>
      <c r="C1363" s="28" t="s">
        <v>37</v>
      </c>
      <c r="D1363" s="28" t="s">
        <v>1515</v>
      </c>
      <c r="E1363" s="71">
        <v>3347.35</v>
      </c>
      <c r="F1363" s="29" t="s">
        <v>1516</v>
      </c>
      <c r="G1363" s="9">
        <v>46081.0</v>
      </c>
      <c r="H1363" s="70">
        <f t="shared" si="1"/>
        <v>28</v>
      </c>
      <c r="I1363" s="70">
        <f t="shared" si="2"/>
        <v>2</v>
      </c>
      <c r="J1363" s="70">
        <f t="shared" si="3"/>
        <v>2026</v>
      </c>
      <c r="K1363" s="70" t="str">
        <f t="shared" si="4"/>
        <v>02/2026</v>
      </c>
    </row>
    <row r="1364" hidden="1">
      <c r="A1364" s="26">
        <v>46082.0</v>
      </c>
      <c r="B1364" s="28" t="s">
        <v>1511</v>
      </c>
      <c r="C1364" s="29" t="s">
        <v>27</v>
      </c>
      <c r="D1364" s="28" t="s">
        <v>1512</v>
      </c>
      <c r="E1364" s="71">
        <v>2615.78</v>
      </c>
      <c r="F1364" s="29" t="s">
        <v>1513</v>
      </c>
      <c r="G1364" s="9">
        <v>46082.0</v>
      </c>
      <c r="H1364" s="70">
        <f t="shared" si="1"/>
        <v>1</v>
      </c>
      <c r="I1364" s="70">
        <f t="shared" si="2"/>
        <v>3</v>
      </c>
      <c r="J1364" s="70">
        <f t="shared" si="3"/>
        <v>2026</v>
      </c>
      <c r="K1364" s="70" t="str">
        <f t="shared" si="4"/>
        <v>03/2026</v>
      </c>
    </row>
    <row r="1365" hidden="1">
      <c r="A1365" s="26">
        <v>46082.0</v>
      </c>
      <c r="B1365" s="28" t="s">
        <v>1514</v>
      </c>
      <c r="C1365" s="28" t="s">
        <v>37</v>
      </c>
      <c r="D1365" s="28" t="s">
        <v>1515</v>
      </c>
      <c r="E1365" s="71">
        <v>4887.4</v>
      </c>
      <c r="F1365" s="29" t="s">
        <v>1516</v>
      </c>
      <c r="G1365" s="9">
        <v>46082.0</v>
      </c>
      <c r="H1365" s="70">
        <f t="shared" si="1"/>
        <v>1</v>
      </c>
      <c r="I1365" s="70">
        <f t="shared" si="2"/>
        <v>3</v>
      </c>
      <c r="J1365" s="70">
        <f t="shared" si="3"/>
        <v>2026</v>
      </c>
      <c r="K1365" s="70" t="str">
        <f t="shared" si="4"/>
        <v>03/2026</v>
      </c>
    </row>
    <row r="1366" hidden="1">
      <c r="A1366" s="26">
        <v>46083.0</v>
      </c>
      <c r="B1366" s="28" t="s">
        <v>1511</v>
      </c>
      <c r="C1366" s="29" t="s">
        <v>27</v>
      </c>
      <c r="D1366" s="28" t="s">
        <v>1512</v>
      </c>
      <c r="E1366" s="71">
        <v>41.94</v>
      </c>
      <c r="F1366" s="29" t="s">
        <v>1513</v>
      </c>
      <c r="G1366" s="26">
        <v>46083.0</v>
      </c>
      <c r="H1366" s="70">
        <f t="shared" si="1"/>
        <v>2</v>
      </c>
      <c r="I1366" s="70">
        <f t="shared" si="2"/>
        <v>3</v>
      </c>
      <c r="J1366" s="70">
        <f t="shared" si="3"/>
        <v>2026</v>
      </c>
      <c r="K1366" s="70" t="str">
        <f t="shared" si="4"/>
        <v>03/2026</v>
      </c>
    </row>
    <row r="1367" hidden="1">
      <c r="A1367" s="26">
        <v>46083.0</v>
      </c>
      <c r="B1367" s="28" t="s">
        <v>1514</v>
      </c>
      <c r="C1367" s="28" t="s">
        <v>37</v>
      </c>
      <c r="D1367" s="28" t="s">
        <v>1515</v>
      </c>
      <c r="E1367" s="71">
        <v>226.04</v>
      </c>
      <c r="F1367" s="29" t="s">
        <v>1516</v>
      </c>
      <c r="G1367" s="9">
        <v>46083.0</v>
      </c>
      <c r="H1367" s="70">
        <f t="shared" si="1"/>
        <v>2</v>
      </c>
      <c r="I1367" s="70">
        <f t="shared" si="2"/>
        <v>3</v>
      </c>
      <c r="J1367" s="70">
        <f t="shared" si="3"/>
        <v>2026</v>
      </c>
      <c r="K1367" s="70" t="str">
        <f t="shared" si="4"/>
        <v>03/2026</v>
      </c>
    </row>
    <row r="1368" hidden="1">
      <c r="A1368" s="26">
        <v>46083.0</v>
      </c>
      <c r="B1368" s="28" t="s">
        <v>44</v>
      </c>
      <c r="C1368" s="28" t="s">
        <v>27</v>
      </c>
      <c r="D1368" s="28" t="s">
        <v>1525</v>
      </c>
      <c r="E1368" s="71">
        <v>67.78</v>
      </c>
      <c r="F1368" s="28" t="s">
        <v>1513</v>
      </c>
      <c r="G1368" s="26">
        <v>46083.0</v>
      </c>
      <c r="H1368" s="70">
        <f t="shared" si="1"/>
        <v>2</v>
      </c>
      <c r="I1368" s="70">
        <f t="shared" si="2"/>
        <v>3</v>
      </c>
      <c r="J1368" s="70">
        <f t="shared" si="3"/>
        <v>2026</v>
      </c>
      <c r="K1368" s="70" t="str">
        <f t="shared" si="4"/>
        <v>03/2026</v>
      </c>
    </row>
    <row r="1369" hidden="1">
      <c r="A1369" s="26">
        <v>46084.0</v>
      </c>
      <c r="B1369" s="28" t="s">
        <v>1519</v>
      </c>
      <c r="C1369" s="28" t="s">
        <v>27</v>
      </c>
      <c r="D1369" s="28" t="s">
        <v>1520</v>
      </c>
      <c r="E1369" s="71">
        <v>33477.13</v>
      </c>
      <c r="F1369" s="29" t="s">
        <v>1513</v>
      </c>
      <c r="G1369" s="26">
        <v>46083.0</v>
      </c>
      <c r="H1369" s="70">
        <f t="shared" si="1"/>
        <v>3</v>
      </c>
      <c r="I1369" s="70">
        <f t="shared" si="2"/>
        <v>3</v>
      </c>
      <c r="J1369" s="70">
        <f t="shared" si="3"/>
        <v>2026</v>
      </c>
      <c r="K1369" s="70" t="str">
        <f t="shared" si="4"/>
        <v>03/2026</v>
      </c>
    </row>
    <row r="1370" hidden="1">
      <c r="A1370" s="26">
        <v>46084.0</v>
      </c>
      <c r="B1370" s="28" t="s">
        <v>1511</v>
      </c>
      <c r="C1370" s="29" t="s">
        <v>27</v>
      </c>
      <c r="D1370" s="28" t="s">
        <v>1512</v>
      </c>
      <c r="E1370" s="71">
        <v>963.91</v>
      </c>
      <c r="F1370" s="29" t="s">
        <v>1513</v>
      </c>
      <c r="G1370" s="26">
        <v>46084.0</v>
      </c>
      <c r="H1370" s="70">
        <f t="shared" si="1"/>
        <v>3</v>
      </c>
      <c r="I1370" s="70">
        <f t="shared" si="2"/>
        <v>3</v>
      </c>
      <c r="J1370" s="70">
        <f t="shared" si="3"/>
        <v>2026</v>
      </c>
      <c r="K1370" s="70" t="str">
        <f t="shared" si="4"/>
        <v>03/2026</v>
      </c>
    </row>
    <row r="1371" hidden="1">
      <c r="A1371" s="26">
        <v>46084.0</v>
      </c>
      <c r="B1371" s="28" t="s">
        <v>1514</v>
      </c>
      <c r="C1371" s="28" t="s">
        <v>37</v>
      </c>
      <c r="D1371" s="28" t="s">
        <v>1515</v>
      </c>
      <c r="E1371" s="71">
        <v>3119.85</v>
      </c>
      <c r="F1371" s="29" t="s">
        <v>1516</v>
      </c>
      <c r="G1371" s="9">
        <v>46084.0</v>
      </c>
      <c r="H1371" s="70">
        <f t="shared" si="1"/>
        <v>3</v>
      </c>
      <c r="I1371" s="70">
        <f t="shared" si="2"/>
        <v>3</v>
      </c>
      <c r="J1371" s="70">
        <f t="shared" si="3"/>
        <v>2026</v>
      </c>
      <c r="K1371" s="70" t="str">
        <f t="shared" si="4"/>
        <v>03/2026</v>
      </c>
    </row>
    <row r="1372" hidden="1">
      <c r="A1372" s="26">
        <v>46085.0</v>
      </c>
      <c r="B1372" s="28" t="s">
        <v>1511</v>
      </c>
      <c r="C1372" s="29" t="s">
        <v>27</v>
      </c>
      <c r="D1372" s="28" t="s">
        <v>1512</v>
      </c>
      <c r="E1372" s="71">
        <v>2026.12</v>
      </c>
      <c r="F1372" s="29" t="s">
        <v>1513</v>
      </c>
      <c r="G1372" s="26">
        <v>46085.0</v>
      </c>
      <c r="H1372" s="70">
        <f t="shared" si="1"/>
        <v>4</v>
      </c>
      <c r="I1372" s="70">
        <f t="shared" si="2"/>
        <v>3</v>
      </c>
      <c r="J1372" s="70">
        <f t="shared" si="3"/>
        <v>2026</v>
      </c>
      <c r="K1372" s="70" t="str">
        <f t="shared" si="4"/>
        <v>03/2026</v>
      </c>
    </row>
    <row r="1373" hidden="1">
      <c r="A1373" s="26">
        <v>46085.0</v>
      </c>
      <c r="B1373" s="28" t="s">
        <v>1514</v>
      </c>
      <c r="C1373" s="28" t="s">
        <v>37</v>
      </c>
      <c r="D1373" s="28" t="s">
        <v>1515</v>
      </c>
      <c r="E1373" s="71">
        <v>4431.24</v>
      </c>
      <c r="F1373" s="29" t="s">
        <v>1516</v>
      </c>
      <c r="G1373" s="9">
        <v>46085.0</v>
      </c>
      <c r="H1373" s="70">
        <f t="shared" si="1"/>
        <v>4</v>
      </c>
      <c r="I1373" s="70">
        <f t="shared" si="2"/>
        <v>3</v>
      </c>
      <c r="J1373" s="70">
        <f t="shared" si="3"/>
        <v>2026</v>
      </c>
      <c r="K1373" s="70" t="str">
        <f t="shared" si="4"/>
        <v>03/2026</v>
      </c>
    </row>
    <row r="1374" hidden="1">
      <c r="A1374" s="26">
        <v>46086.0</v>
      </c>
      <c r="B1374" s="28" t="s">
        <v>1511</v>
      </c>
      <c r="C1374" s="29" t="s">
        <v>27</v>
      </c>
      <c r="D1374" s="28" t="s">
        <v>1512</v>
      </c>
      <c r="E1374" s="71">
        <v>1890.17</v>
      </c>
      <c r="F1374" s="29" t="s">
        <v>1513</v>
      </c>
      <c r="G1374" s="26">
        <v>46086.0</v>
      </c>
      <c r="H1374" s="70">
        <f t="shared" si="1"/>
        <v>5</v>
      </c>
      <c r="I1374" s="70">
        <f t="shared" si="2"/>
        <v>3</v>
      </c>
      <c r="J1374" s="70">
        <f t="shared" si="3"/>
        <v>2026</v>
      </c>
      <c r="K1374" s="70" t="str">
        <f t="shared" si="4"/>
        <v>03/2026</v>
      </c>
    </row>
    <row r="1375" hidden="1">
      <c r="A1375" s="26">
        <v>46086.0</v>
      </c>
      <c r="B1375" s="28" t="s">
        <v>1514</v>
      </c>
      <c r="C1375" s="28" t="s">
        <v>37</v>
      </c>
      <c r="D1375" s="28" t="s">
        <v>1515</v>
      </c>
      <c r="E1375" s="71">
        <v>4815.19</v>
      </c>
      <c r="F1375" s="29" t="s">
        <v>1516</v>
      </c>
      <c r="G1375" s="9">
        <v>46086.0</v>
      </c>
      <c r="H1375" s="70">
        <f t="shared" si="1"/>
        <v>5</v>
      </c>
      <c r="I1375" s="70">
        <f t="shared" si="2"/>
        <v>3</v>
      </c>
      <c r="J1375" s="70">
        <f t="shared" si="3"/>
        <v>2026</v>
      </c>
      <c r="K1375" s="70" t="str">
        <f t="shared" si="4"/>
        <v>03/2026</v>
      </c>
    </row>
    <row r="1376" hidden="1">
      <c r="A1376" s="26">
        <v>46087.0</v>
      </c>
      <c r="B1376" s="28" t="s">
        <v>1511</v>
      </c>
      <c r="C1376" s="29" t="s">
        <v>27</v>
      </c>
      <c r="D1376" s="28" t="s">
        <v>1512</v>
      </c>
      <c r="E1376" s="71">
        <v>2663.37</v>
      </c>
      <c r="F1376" s="29" t="s">
        <v>1513</v>
      </c>
      <c r="G1376" s="26">
        <v>46087.0</v>
      </c>
      <c r="H1376" s="70">
        <f t="shared" si="1"/>
        <v>6</v>
      </c>
      <c r="I1376" s="70">
        <f t="shared" si="2"/>
        <v>3</v>
      </c>
      <c r="J1376" s="70">
        <f t="shared" si="3"/>
        <v>2026</v>
      </c>
      <c r="K1376" s="70" t="str">
        <f t="shared" si="4"/>
        <v>03/2026</v>
      </c>
    </row>
    <row r="1377" hidden="1">
      <c r="A1377" s="26">
        <v>46087.0</v>
      </c>
      <c r="B1377" s="28" t="s">
        <v>1514</v>
      </c>
      <c r="C1377" s="28" t="s">
        <v>37</v>
      </c>
      <c r="D1377" s="28" t="s">
        <v>1515</v>
      </c>
      <c r="E1377" s="71">
        <v>3131.67</v>
      </c>
      <c r="F1377" s="29" t="s">
        <v>1516</v>
      </c>
      <c r="G1377" s="9">
        <v>46087.0</v>
      </c>
      <c r="H1377" s="70">
        <f t="shared" si="1"/>
        <v>6</v>
      </c>
      <c r="I1377" s="70">
        <f t="shared" si="2"/>
        <v>3</v>
      </c>
      <c r="J1377" s="70">
        <f t="shared" si="3"/>
        <v>2026</v>
      </c>
      <c r="K1377" s="70" t="str">
        <f t="shared" si="4"/>
        <v>03/2026</v>
      </c>
    </row>
    <row r="1378" hidden="1">
      <c r="A1378" s="26">
        <v>46087.0</v>
      </c>
      <c r="B1378" s="28" t="s">
        <v>1523</v>
      </c>
      <c r="C1378" s="28" t="s">
        <v>27</v>
      </c>
      <c r="D1378" s="28" t="s">
        <v>1524</v>
      </c>
      <c r="E1378" s="71">
        <v>4976.083</v>
      </c>
      <c r="F1378" s="29" t="s">
        <v>1513</v>
      </c>
      <c r="G1378" s="9">
        <v>46087.0</v>
      </c>
      <c r="H1378" s="70">
        <f t="shared" si="1"/>
        <v>6</v>
      </c>
      <c r="I1378" s="70">
        <f t="shared" si="2"/>
        <v>3</v>
      </c>
      <c r="J1378" s="70">
        <f t="shared" si="3"/>
        <v>2026</v>
      </c>
      <c r="K1378" s="70" t="str">
        <f t="shared" si="4"/>
        <v>03/2026</v>
      </c>
    </row>
    <row r="1379" hidden="1">
      <c r="A1379" s="26">
        <v>46088.0</v>
      </c>
      <c r="B1379" s="28" t="s">
        <v>1511</v>
      </c>
      <c r="C1379" s="29" t="s">
        <v>27</v>
      </c>
      <c r="D1379" s="28" t="s">
        <v>1512</v>
      </c>
      <c r="E1379" s="71">
        <v>2319.39</v>
      </c>
      <c r="F1379" s="29" t="s">
        <v>1513</v>
      </c>
      <c r="G1379" s="26">
        <v>46088.0</v>
      </c>
      <c r="H1379" s="70">
        <f t="shared" si="1"/>
        <v>7</v>
      </c>
      <c r="I1379" s="70">
        <f t="shared" si="2"/>
        <v>3</v>
      </c>
      <c r="J1379" s="70">
        <f t="shared" si="3"/>
        <v>2026</v>
      </c>
      <c r="K1379" s="70" t="str">
        <f t="shared" si="4"/>
        <v>03/2026</v>
      </c>
    </row>
    <row r="1380" hidden="1">
      <c r="A1380" s="26">
        <v>46088.0</v>
      </c>
      <c r="B1380" s="28" t="s">
        <v>1514</v>
      </c>
      <c r="C1380" s="28" t="s">
        <v>37</v>
      </c>
      <c r="D1380" s="28" t="s">
        <v>1515</v>
      </c>
      <c r="E1380" s="71">
        <v>2991.85</v>
      </c>
      <c r="F1380" s="29" t="s">
        <v>1516</v>
      </c>
      <c r="G1380" s="9">
        <v>46088.0</v>
      </c>
      <c r="H1380" s="70">
        <f t="shared" si="1"/>
        <v>7</v>
      </c>
      <c r="I1380" s="70">
        <f t="shared" si="2"/>
        <v>3</v>
      </c>
      <c r="J1380" s="70">
        <f t="shared" si="3"/>
        <v>2026</v>
      </c>
      <c r="K1380" s="70" t="str">
        <f t="shared" si="4"/>
        <v>03/2026</v>
      </c>
    </row>
    <row r="1381" hidden="1">
      <c r="A1381" s="26">
        <v>46089.0</v>
      </c>
      <c r="B1381" s="28" t="s">
        <v>1511</v>
      </c>
      <c r="C1381" s="29" t="s">
        <v>27</v>
      </c>
      <c r="D1381" s="28" t="s">
        <v>1512</v>
      </c>
      <c r="E1381" s="71">
        <v>2433.91</v>
      </c>
      <c r="F1381" s="29" t="s">
        <v>1513</v>
      </c>
      <c r="G1381" s="26">
        <v>46089.0</v>
      </c>
      <c r="H1381" s="70">
        <f t="shared" si="1"/>
        <v>8</v>
      </c>
      <c r="I1381" s="70">
        <f t="shared" si="2"/>
        <v>3</v>
      </c>
      <c r="J1381" s="70">
        <f t="shared" si="3"/>
        <v>2026</v>
      </c>
      <c r="K1381" s="70" t="str">
        <f t="shared" si="4"/>
        <v>03/2026</v>
      </c>
    </row>
    <row r="1382" hidden="1">
      <c r="A1382" s="26">
        <v>46089.0</v>
      </c>
      <c r="B1382" s="28" t="s">
        <v>1514</v>
      </c>
      <c r="C1382" s="28" t="s">
        <v>37</v>
      </c>
      <c r="D1382" s="28" t="s">
        <v>1515</v>
      </c>
      <c r="E1382" s="71">
        <v>2726.63</v>
      </c>
      <c r="F1382" s="29" t="s">
        <v>1516</v>
      </c>
      <c r="G1382" s="9">
        <v>46089.0</v>
      </c>
      <c r="H1382" s="70">
        <f t="shared" si="1"/>
        <v>8</v>
      </c>
      <c r="I1382" s="70">
        <f t="shared" si="2"/>
        <v>3</v>
      </c>
      <c r="J1382" s="70">
        <f t="shared" si="3"/>
        <v>2026</v>
      </c>
      <c r="K1382" s="70" t="str">
        <f t="shared" si="4"/>
        <v>03/2026</v>
      </c>
    </row>
    <row r="1383" hidden="1">
      <c r="A1383" s="26">
        <v>46090.0</v>
      </c>
      <c r="B1383" s="28" t="s">
        <v>1523</v>
      </c>
      <c r="C1383" s="28" t="s">
        <v>27</v>
      </c>
      <c r="D1383" s="28" t="s">
        <v>1524</v>
      </c>
      <c r="E1383" s="71">
        <v>14554.22</v>
      </c>
      <c r="F1383" s="29" t="s">
        <v>1513</v>
      </c>
      <c r="G1383" s="9">
        <v>46090.0</v>
      </c>
      <c r="H1383" s="70">
        <f t="shared" si="1"/>
        <v>9</v>
      </c>
      <c r="I1383" s="70">
        <f t="shared" si="2"/>
        <v>3</v>
      </c>
      <c r="J1383" s="70">
        <f t="shared" si="3"/>
        <v>2026</v>
      </c>
      <c r="K1383" s="70" t="str">
        <f t="shared" si="4"/>
        <v>03/2026</v>
      </c>
    </row>
    <row r="1384" hidden="1">
      <c r="A1384" s="26">
        <v>46090.0</v>
      </c>
      <c r="B1384" s="28" t="s">
        <v>1511</v>
      </c>
      <c r="C1384" s="29" t="s">
        <v>27</v>
      </c>
      <c r="D1384" s="28" t="s">
        <v>1512</v>
      </c>
      <c r="E1384" s="71">
        <v>93.62</v>
      </c>
      <c r="F1384" s="29" t="s">
        <v>1513</v>
      </c>
      <c r="G1384" s="26">
        <v>46090.0</v>
      </c>
      <c r="H1384" s="70">
        <f t="shared" si="1"/>
        <v>9</v>
      </c>
      <c r="I1384" s="70">
        <f t="shared" si="2"/>
        <v>3</v>
      </c>
      <c r="J1384" s="70">
        <f t="shared" si="3"/>
        <v>2026</v>
      </c>
      <c r="K1384" s="70" t="str">
        <f t="shared" si="4"/>
        <v>03/2026</v>
      </c>
    </row>
    <row r="1385" hidden="1">
      <c r="A1385" s="26">
        <v>46090.0</v>
      </c>
      <c r="B1385" s="28" t="s">
        <v>1514</v>
      </c>
      <c r="C1385" s="28" t="s">
        <v>37</v>
      </c>
      <c r="D1385" s="28" t="s">
        <v>1515</v>
      </c>
      <c r="E1385" s="71">
        <v>46.53</v>
      </c>
      <c r="F1385" s="29" t="s">
        <v>1516</v>
      </c>
      <c r="G1385" s="9">
        <v>46090.0</v>
      </c>
      <c r="H1385" s="70">
        <f t="shared" si="1"/>
        <v>9</v>
      </c>
      <c r="I1385" s="70">
        <f t="shared" si="2"/>
        <v>3</v>
      </c>
      <c r="J1385" s="70">
        <f t="shared" si="3"/>
        <v>2026</v>
      </c>
      <c r="K1385" s="70" t="str">
        <f t="shared" si="4"/>
        <v>03/2026</v>
      </c>
    </row>
    <row r="1386" hidden="1">
      <c r="A1386" s="26">
        <v>46091.0</v>
      </c>
      <c r="B1386" s="28" t="s">
        <v>1511</v>
      </c>
      <c r="C1386" s="29" t="s">
        <v>27</v>
      </c>
      <c r="D1386" s="28" t="s">
        <v>1512</v>
      </c>
      <c r="E1386" s="71">
        <v>1996.75</v>
      </c>
      <c r="F1386" s="29" t="s">
        <v>1513</v>
      </c>
      <c r="G1386" s="26">
        <v>46091.0</v>
      </c>
      <c r="H1386" s="70">
        <f t="shared" si="1"/>
        <v>10</v>
      </c>
      <c r="I1386" s="70">
        <f t="shared" si="2"/>
        <v>3</v>
      </c>
      <c r="J1386" s="70">
        <f t="shared" si="3"/>
        <v>2026</v>
      </c>
      <c r="K1386" s="70" t="str">
        <f t="shared" si="4"/>
        <v>03/2026</v>
      </c>
    </row>
    <row r="1387" hidden="1">
      <c r="A1387" s="26">
        <v>46091.0</v>
      </c>
      <c r="B1387" s="28" t="s">
        <v>1514</v>
      </c>
      <c r="C1387" s="28" t="s">
        <v>37</v>
      </c>
      <c r="D1387" s="28" t="s">
        <v>1515</v>
      </c>
      <c r="E1387" s="71">
        <v>2631.87</v>
      </c>
      <c r="F1387" s="29" t="s">
        <v>1516</v>
      </c>
      <c r="G1387" s="9">
        <v>46091.0</v>
      </c>
      <c r="H1387" s="70">
        <f t="shared" si="1"/>
        <v>10</v>
      </c>
      <c r="I1387" s="70">
        <f t="shared" si="2"/>
        <v>3</v>
      </c>
      <c r="J1387" s="70">
        <f t="shared" si="3"/>
        <v>2026</v>
      </c>
      <c r="K1387" s="70" t="str">
        <f t="shared" si="4"/>
        <v>03/2026</v>
      </c>
    </row>
    <row r="1388" hidden="1">
      <c r="A1388" s="26">
        <v>46092.0</v>
      </c>
      <c r="B1388" s="28" t="s">
        <v>1511</v>
      </c>
      <c r="C1388" s="28" t="s">
        <v>66</v>
      </c>
      <c r="D1388" s="28" t="s">
        <v>1512</v>
      </c>
      <c r="E1388" s="71">
        <v>385.15</v>
      </c>
      <c r="F1388" s="29" t="s">
        <v>1516</v>
      </c>
      <c r="G1388" s="26">
        <v>46092.0</v>
      </c>
      <c r="H1388" s="70">
        <f t="shared" si="1"/>
        <v>11</v>
      </c>
      <c r="I1388" s="70">
        <f t="shared" si="2"/>
        <v>3</v>
      </c>
      <c r="J1388" s="70">
        <f t="shared" si="3"/>
        <v>2026</v>
      </c>
      <c r="K1388" s="70" t="str">
        <f t="shared" si="4"/>
        <v>03/2026</v>
      </c>
    </row>
    <row r="1389" hidden="1">
      <c r="A1389" s="26">
        <v>46092.0</v>
      </c>
      <c r="B1389" s="28" t="s">
        <v>1514</v>
      </c>
      <c r="C1389" s="28" t="s">
        <v>37</v>
      </c>
      <c r="D1389" s="28" t="s">
        <v>1515</v>
      </c>
      <c r="E1389" s="71">
        <v>2515.32</v>
      </c>
      <c r="F1389" s="29" t="s">
        <v>1516</v>
      </c>
      <c r="G1389" s="9">
        <v>46092.0</v>
      </c>
      <c r="H1389" s="70">
        <f t="shared" si="1"/>
        <v>11</v>
      </c>
      <c r="I1389" s="70">
        <f t="shared" si="2"/>
        <v>3</v>
      </c>
      <c r="J1389" s="70">
        <f t="shared" si="3"/>
        <v>2026</v>
      </c>
      <c r="K1389" s="70" t="str">
        <f t="shared" si="4"/>
        <v>03/2026</v>
      </c>
    </row>
    <row r="1390" hidden="1">
      <c r="A1390" s="26">
        <v>46093.0</v>
      </c>
      <c r="B1390" s="28" t="s">
        <v>1511</v>
      </c>
      <c r="C1390" s="29" t="s">
        <v>27</v>
      </c>
      <c r="D1390" s="28" t="s">
        <v>1512</v>
      </c>
      <c r="E1390" s="71">
        <v>3444.4</v>
      </c>
      <c r="F1390" s="29" t="s">
        <v>1513</v>
      </c>
      <c r="G1390" s="26">
        <v>46093.0</v>
      </c>
      <c r="H1390" s="70">
        <f t="shared" si="1"/>
        <v>12</v>
      </c>
      <c r="I1390" s="70">
        <f t="shared" si="2"/>
        <v>3</v>
      </c>
      <c r="J1390" s="70">
        <f t="shared" si="3"/>
        <v>2026</v>
      </c>
      <c r="K1390" s="70" t="str">
        <f t="shared" si="4"/>
        <v>03/2026</v>
      </c>
    </row>
    <row r="1391" hidden="1">
      <c r="A1391" s="26">
        <v>46093.0</v>
      </c>
      <c r="B1391" s="28" t="s">
        <v>1514</v>
      </c>
      <c r="C1391" s="28" t="s">
        <v>37</v>
      </c>
      <c r="D1391" s="28" t="s">
        <v>1515</v>
      </c>
      <c r="E1391" s="71">
        <v>2881.51</v>
      </c>
      <c r="F1391" s="29" t="s">
        <v>1516</v>
      </c>
      <c r="G1391" s="9">
        <v>46093.0</v>
      </c>
      <c r="H1391" s="70">
        <f t="shared" si="1"/>
        <v>12</v>
      </c>
      <c r="I1391" s="70">
        <f t="shared" si="2"/>
        <v>3</v>
      </c>
      <c r="J1391" s="70">
        <f t="shared" si="3"/>
        <v>2026</v>
      </c>
      <c r="K1391" s="70" t="str">
        <f t="shared" si="4"/>
        <v>03/2026</v>
      </c>
    </row>
    <row r="1392" hidden="1">
      <c r="A1392" s="26">
        <v>46094.0</v>
      </c>
      <c r="B1392" s="28" t="s">
        <v>1511</v>
      </c>
      <c r="C1392" s="29" t="s">
        <v>27</v>
      </c>
      <c r="D1392" s="28" t="s">
        <v>1512</v>
      </c>
      <c r="E1392" s="71">
        <v>2077.12</v>
      </c>
      <c r="F1392" s="29" t="s">
        <v>1513</v>
      </c>
      <c r="G1392" s="26">
        <v>46094.0</v>
      </c>
      <c r="H1392" s="70">
        <f t="shared" si="1"/>
        <v>13</v>
      </c>
      <c r="I1392" s="70">
        <f t="shared" si="2"/>
        <v>3</v>
      </c>
      <c r="J1392" s="70">
        <f t="shared" si="3"/>
        <v>2026</v>
      </c>
      <c r="K1392" s="70" t="str">
        <f t="shared" si="4"/>
        <v>03/2026</v>
      </c>
    </row>
    <row r="1393" hidden="1">
      <c r="A1393" s="26">
        <v>46094.0</v>
      </c>
      <c r="B1393" s="28" t="s">
        <v>1514</v>
      </c>
      <c r="C1393" s="28" t="s">
        <v>37</v>
      </c>
      <c r="D1393" s="28" t="s">
        <v>1515</v>
      </c>
      <c r="E1393" s="71">
        <v>2225.92</v>
      </c>
      <c r="F1393" s="29" t="s">
        <v>1516</v>
      </c>
      <c r="G1393" s="9">
        <v>46094.0</v>
      </c>
      <c r="H1393" s="70">
        <f t="shared" si="1"/>
        <v>13</v>
      </c>
      <c r="I1393" s="70">
        <f t="shared" si="2"/>
        <v>3</v>
      </c>
      <c r="J1393" s="70">
        <f t="shared" si="3"/>
        <v>2026</v>
      </c>
      <c r="K1393" s="70" t="str">
        <f t="shared" si="4"/>
        <v>03/2026</v>
      </c>
    </row>
    <row r="1394" hidden="1">
      <c r="A1394" s="26">
        <v>46095.0</v>
      </c>
      <c r="B1394" s="28" t="s">
        <v>1511</v>
      </c>
      <c r="C1394" s="29" t="s">
        <v>27</v>
      </c>
      <c r="D1394" s="28" t="s">
        <v>1512</v>
      </c>
      <c r="E1394" s="71">
        <v>2658.43</v>
      </c>
      <c r="F1394" s="29" t="s">
        <v>1513</v>
      </c>
      <c r="G1394" s="26">
        <v>46095.0</v>
      </c>
      <c r="H1394" s="70">
        <f t="shared" si="1"/>
        <v>14</v>
      </c>
      <c r="I1394" s="70">
        <f t="shared" si="2"/>
        <v>3</v>
      </c>
      <c r="J1394" s="70">
        <f t="shared" si="3"/>
        <v>2026</v>
      </c>
      <c r="K1394" s="70" t="str">
        <f t="shared" si="4"/>
        <v>03/2026</v>
      </c>
    </row>
    <row r="1395" hidden="1">
      <c r="A1395" s="26">
        <v>46095.0</v>
      </c>
      <c r="B1395" s="28" t="s">
        <v>1514</v>
      </c>
      <c r="C1395" s="28" t="s">
        <v>37</v>
      </c>
      <c r="D1395" s="28" t="s">
        <v>1515</v>
      </c>
      <c r="E1395" s="71">
        <v>3024.09</v>
      </c>
      <c r="F1395" s="29" t="s">
        <v>1516</v>
      </c>
      <c r="G1395" s="9">
        <v>46095.0</v>
      </c>
      <c r="H1395" s="70">
        <f t="shared" si="1"/>
        <v>14</v>
      </c>
      <c r="I1395" s="70">
        <f t="shared" si="2"/>
        <v>3</v>
      </c>
      <c r="J1395" s="70">
        <f t="shared" si="3"/>
        <v>2026</v>
      </c>
      <c r="K1395" s="70" t="str">
        <f t="shared" si="4"/>
        <v>03/2026</v>
      </c>
    </row>
    <row r="1396" hidden="1">
      <c r="A1396" s="26">
        <v>46096.0</v>
      </c>
      <c r="B1396" s="28" t="s">
        <v>1511</v>
      </c>
      <c r="C1396" s="29" t="s">
        <v>27</v>
      </c>
      <c r="D1396" s="28" t="s">
        <v>1512</v>
      </c>
      <c r="E1396" s="71">
        <v>2045.52</v>
      </c>
      <c r="F1396" s="29" t="s">
        <v>1513</v>
      </c>
      <c r="G1396" s="26">
        <v>46096.0</v>
      </c>
      <c r="H1396" s="70">
        <f t="shared" si="1"/>
        <v>15</v>
      </c>
      <c r="I1396" s="70">
        <f t="shared" si="2"/>
        <v>3</v>
      </c>
      <c r="J1396" s="70">
        <f t="shared" si="3"/>
        <v>2026</v>
      </c>
      <c r="K1396" s="70" t="str">
        <f t="shared" si="4"/>
        <v>03/2026</v>
      </c>
    </row>
    <row r="1397" hidden="1">
      <c r="A1397" s="26">
        <v>46096.0</v>
      </c>
      <c r="B1397" s="28" t="s">
        <v>1514</v>
      </c>
      <c r="C1397" s="28" t="s">
        <v>37</v>
      </c>
      <c r="D1397" s="28" t="s">
        <v>1515</v>
      </c>
      <c r="E1397" s="71">
        <v>3184.48</v>
      </c>
      <c r="F1397" s="29" t="s">
        <v>1516</v>
      </c>
      <c r="G1397" s="9">
        <v>46096.0</v>
      </c>
      <c r="H1397" s="70">
        <f t="shared" si="1"/>
        <v>15</v>
      </c>
      <c r="I1397" s="70">
        <f t="shared" si="2"/>
        <v>3</v>
      </c>
      <c r="J1397" s="70">
        <f t="shared" si="3"/>
        <v>2026</v>
      </c>
      <c r="K1397" s="70" t="str">
        <f t="shared" si="4"/>
        <v>03/2026</v>
      </c>
    </row>
    <row r="1398" hidden="1">
      <c r="A1398" s="26">
        <v>46097.0</v>
      </c>
      <c r="B1398" s="28" t="s">
        <v>1511</v>
      </c>
      <c r="C1398" s="29" t="s">
        <v>27</v>
      </c>
      <c r="D1398" s="28" t="s">
        <v>1512</v>
      </c>
      <c r="E1398" s="71">
        <v>33.54</v>
      </c>
      <c r="F1398" s="29" t="s">
        <v>1513</v>
      </c>
      <c r="G1398" s="26">
        <v>46097.0</v>
      </c>
      <c r="H1398" s="70">
        <f t="shared" si="1"/>
        <v>16</v>
      </c>
      <c r="I1398" s="70">
        <f t="shared" si="2"/>
        <v>3</v>
      </c>
      <c r="J1398" s="70">
        <f t="shared" si="3"/>
        <v>2026</v>
      </c>
      <c r="K1398" s="70" t="str">
        <f t="shared" si="4"/>
        <v>03/2026</v>
      </c>
    </row>
    <row r="1399" hidden="1">
      <c r="A1399" s="26">
        <v>46097.0</v>
      </c>
      <c r="B1399" s="28" t="s">
        <v>1514</v>
      </c>
      <c r="C1399" s="28" t="s">
        <v>37</v>
      </c>
      <c r="D1399" s="28" t="s">
        <v>1515</v>
      </c>
      <c r="E1399" s="71">
        <v>483.5</v>
      </c>
      <c r="F1399" s="29" t="s">
        <v>1516</v>
      </c>
      <c r="G1399" s="26">
        <v>46097.0</v>
      </c>
      <c r="H1399" s="70">
        <f t="shared" si="1"/>
        <v>16</v>
      </c>
      <c r="I1399" s="70">
        <f t="shared" si="2"/>
        <v>3</v>
      </c>
      <c r="J1399" s="70">
        <f t="shared" si="3"/>
        <v>2026</v>
      </c>
      <c r="K1399" s="70" t="str">
        <f t="shared" si="4"/>
        <v>03/2026</v>
      </c>
    </row>
    <row r="1400" hidden="1">
      <c r="A1400" s="26">
        <v>46097.0</v>
      </c>
      <c r="B1400" s="28" t="s">
        <v>1519</v>
      </c>
      <c r="C1400" s="28" t="s">
        <v>27</v>
      </c>
      <c r="D1400" s="28" t="s">
        <v>1520</v>
      </c>
      <c r="E1400" s="71">
        <v>27605.14</v>
      </c>
      <c r="F1400" s="29" t="s">
        <v>1513</v>
      </c>
      <c r="G1400" s="26">
        <v>46097.0</v>
      </c>
      <c r="H1400" s="70">
        <f t="shared" si="1"/>
        <v>16</v>
      </c>
      <c r="I1400" s="70">
        <f t="shared" si="2"/>
        <v>3</v>
      </c>
      <c r="J1400" s="70">
        <f t="shared" si="3"/>
        <v>2026</v>
      </c>
      <c r="K1400" s="70" t="str">
        <f t="shared" si="4"/>
        <v>03/2026</v>
      </c>
    </row>
    <row r="1401" hidden="1">
      <c r="A1401" s="26">
        <v>46098.0</v>
      </c>
      <c r="B1401" s="28" t="s">
        <v>1511</v>
      </c>
      <c r="C1401" s="29" t="s">
        <v>27</v>
      </c>
      <c r="D1401" s="28" t="s">
        <v>1512</v>
      </c>
      <c r="E1401" s="71">
        <v>824.78</v>
      </c>
      <c r="F1401" s="29" t="s">
        <v>1513</v>
      </c>
      <c r="G1401" s="26">
        <v>46098.0</v>
      </c>
      <c r="H1401" s="70">
        <f t="shared" si="1"/>
        <v>17</v>
      </c>
      <c r="I1401" s="70">
        <f t="shared" si="2"/>
        <v>3</v>
      </c>
      <c r="J1401" s="70">
        <f t="shared" si="3"/>
        <v>2026</v>
      </c>
      <c r="K1401" s="70" t="str">
        <f t="shared" si="4"/>
        <v>03/2026</v>
      </c>
    </row>
    <row r="1402" hidden="1">
      <c r="A1402" s="26">
        <v>46098.0</v>
      </c>
      <c r="B1402" s="28" t="s">
        <v>1514</v>
      </c>
      <c r="C1402" s="28" t="s">
        <v>37</v>
      </c>
      <c r="D1402" s="28" t="s">
        <v>1515</v>
      </c>
      <c r="E1402" s="71">
        <v>3682.04</v>
      </c>
      <c r="F1402" s="29" t="s">
        <v>1516</v>
      </c>
      <c r="G1402" s="26">
        <v>46098.0</v>
      </c>
      <c r="H1402" s="70">
        <f t="shared" si="1"/>
        <v>17</v>
      </c>
      <c r="I1402" s="70">
        <f t="shared" si="2"/>
        <v>3</v>
      </c>
      <c r="J1402" s="70">
        <f t="shared" si="3"/>
        <v>2026</v>
      </c>
      <c r="K1402" s="70" t="str">
        <f t="shared" si="4"/>
        <v>03/2026</v>
      </c>
    </row>
    <row r="1403" hidden="1">
      <c r="A1403" s="26">
        <v>46099.0</v>
      </c>
      <c r="B1403" s="28" t="s">
        <v>1514</v>
      </c>
      <c r="C1403" s="28" t="s">
        <v>37</v>
      </c>
      <c r="D1403" s="28" t="s">
        <v>1515</v>
      </c>
      <c r="E1403" s="71">
        <v>4050.51</v>
      </c>
      <c r="F1403" s="29" t="s">
        <v>1516</v>
      </c>
      <c r="G1403" s="26">
        <v>46099.0</v>
      </c>
      <c r="H1403" s="70">
        <f t="shared" si="1"/>
        <v>18</v>
      </c>
      <c r="I1403" s="70">
        <f t="shared" si="2"/>
        <v>3</v>
      </c>
      <c r="J1403" s="70">
        <f t="shared" si="3"/>
        <v>2026</v>
      </c>
      <c r="K1403" s="70" t="str">
        <f t="shared" si="4"/>
        <v>03/2026</v>
      </c>
    </row>
    <row r="1404" hidden="1">
      <c r="A1404" s="26">
        <v>46099.0</v>
      </c>
      <c r="B1404" s="28" t="s">
        <v>1511</v>
      </c>
      <c r="C1404" s="29" t="s">
        <v>27</v>
      </c>
      <c r="D1404" s="28" t="s">
        <v>1512</v>
      </c>
      <c r="E1404" s="71">
        <v>1391.02</v>
      </c>
      <c r="F1404" s="29" t="s">
        <v>1513</v>
      </c>
      <c r="G1404" s="26">
        <v>46099.0</v>
      </c>
      <c r="H1404" s="70">
        <f t="shared" si="1"/>
        <v>18</v>
      </c>
      <c r="I1404" s="70">
        <f t="shared" si="2"/>
        <v>3</v>
      </c>
      <c r="J1404" s="70">
        <f t="shared" si="3"/>
        <v>2026</v>
      </c>
      <c r="K1404" s="70" t="str">
        <f t="shared" si="4"/>
        <v>03/2026</v>
      </c>
    </row>
    <row r="1405" hidden="1">
      <c r="A1405" s="26">
        <v>46100.0</v>
      </c>
      <c r="B1405" s="28" t="s">
        <v>1511</v>
      </c>
      <c r="C1405" s="29" t="s">
        <v>27</v>
      </c>
      <c r="D1405" s="28" t="s">
        <v>1512</v>
      </c>
      <c r="E1405" s="71">
        <v>1126.57</v>
      </c>
      <c r="F1405" s="29" t="s">
        <v>1513</v>
      </c>
      <c r="G1405" s="26">
        <v>46100.0</v>
      </c>
      <c r="H1405" s="70">
        <f t="shared" si="1"/>
        <v>19</v>
      </c>
      <c r="I1405" s="70">
        <f t="shared" si="2"/>
        <v>3</v>
      </c>
      <c r="J1405" s="70">
        <f t="shared" si="3"/>
        <v>2026</v>
      </c>
      <c r="K1405" s="70" t="str">
        <f t="shared" si="4"/>
        <v>03/2026</v>
      </c>
    </row>
    <row r="1406" hidden="1">
      <c r="A1406" s="26">
        <v>46100.0</v>
      </c>
      <c r="B1406" s="28" t="s">
        <v>1514</v>
      </c>
      <c r="C1406" s="28" t="s">
        <v>37</v>
      </c>
      <c r="D1406" s="28" t="s">
        <v>1515</v>
      </c>
      <c r="E1406" s="71">
        <v>4652.09</v>
      </c>
      <c r="F1406" s="29" t="s">
        <v>1516</v>
      </c>
      <c r="G1406" s="26">
        <v>46100.0</v>
      </c>
      <c r="H1406" s="70">
        <f t="shared" si="1"/>
        <v>19</v>
      </c>
      <c r="I1406" s="70">
        <f t="shared" si="2"/>
        <v>3</v>
      </c>
      <c r="J1406" s="70">
        <f t="shared" si="3"/>
        <v>2026</v>
      </c>
      <c r="K1406" s="70" t="str">
        <f t="shared" si="4"/>
        <v>03/2026</v>
      </c>
    </row>
    <row r="1407" hidden="1">
      <c r="A1407" s="26">
        <v>46101.0</v>
      </c>
      <c r="B1407" s="28" t="s">
        <v>1511</v>
      </c>
      <c r="C1407" s="29" t="s">
        <v>27</v>
      </c>
      <c r="D1407" s="28" t="s">
        <v>1512</v>
      </c>
      <c r="E1407" s="71">
        <v>1472.94</v>
      </c>
      <c r="F1407" s="29" t="s">
        <v>1513</v>
      </c>
      <c r="G1407" s="26">
        <v>46101.0</v>
      </c>
      <c r="H1407" s="70">
        <f t="shared" si="1"/>
        <v>20</v>
      </c>
      <c r="I1407" s="70">
        <f t="shared" si="2"/>
        <v>3</v>
      </c>
      <c r="J1407" s="70">
        <f t="shared" si="3"/>
        <v>2026</v>
      </c>
      <c r="K1407" s="70" t="str">
        <f t="shared" si="4"/>
        <v>03/2026</v>
      </c>
    </row>
    <row r="1408" hidden="1">
      <c r="A1408" s="26">
        <v>46101.0</v>
      </c>
      <c r="B1408" s="28" t="s">
        <v>1514</v>
      </c>
      <c r="C1408" s="28" t="s">
        <v>37</v>
      </c>
      <c r="D1408" s="28" t="s">
        <v>1515</v>
      </c>
      <c r="E1408" s="71">
        <v>4230.22</v>
      </c>
      <c r="F1408" s="29" t="s">
        <v>1516</v>
      </c>
      <c r="G1408" s="26">
        <v>46101.0</v>
      </c>
      <c r="H1408" s="70">
        <f t="shared" si="1"/>
        <v>20</v>
      </c>
      <c r="I1408" s="70">
        <f t="shared" si="2"/>
        <v>3</v>
      </c>
      <c r="J1408" s="70">
        <f t="shared" si="3"/>
        <v>2026</v>
      </c>
      <c r="K1408" s="70" t="str">
        <f t="shared" si="4"/>
        <v>03/2026</v>
      </c>
    </row>
    <row r="1409" hidden="1">
      <c r="A1409" s="26">
        <v>46101.0</v>
      </c>
      <c r="B1409" s="28" t="s">
        <v>1523</v>
      </c>
      <c r="C1409" s="28" t="s">
        <v>27</v>
      </c>
      <c r="D1409" s="28" t="s">
        <v>1524</v>
      </c>
      <c r="E1409" s="71">
        <v>3679.62</v>
      </c>
      <c r="F1409" s="29" t="s">
        <v>1513</v>
      </c>
      <c r="G1409" s="26">
        <v>46101.0</v>
      </c>
      <c r="H1409" s="70">
        <f t="shared" si="1"/>
        <v>20</v>
      </c>
      <c r="I1409" s="70">
        <f t="shared" si="2"/>
        <v>3</v>
      </c>
      <c r="J1409" s="70">
        <f t="shared" si="3"/>
        <v>2026</v>
      </c>
      <c r="K1409" s="70" t="str">
        <f t="shared" si="4"/>
        <v>03/2026</v>
      </c>
    </row>
    <row r="1410" hidden="1">
      <c r="A1410" s="26">
        <v>46102.0</v>
      </c>
      <c r="B1410" s="28" t="s">
        <v>1511</v>
      </c>
      <c r="C1410" s="29" t="s">
        <v>27</v>
      </c>
      <c r="D1410" s="28" t="s">
        <v>1512</v>
      </c>
      <c r="E1410" s="71">
        <v>1723.38</v>
      </c>
      <c r="F1410" s="29" t="s">
        <v>1513</v>
      </c>
      <c r="G1410" s="26">
        <v>46102.0</v>
      </c>
      <c r="H1410" s="70">
        <f t="shared" si="1"/>
        <v>21</v>
      </c>
      <c r="I1410" s="70">
        <f t="shared" si="2"/>
        <v>3</v>
      </c>
      <c r="J1410" s="70">
        <f t="shared" si="3"/>
        <v>2026</v>
      </c>
      <c r="K1410" s="70" t="str">
        <f t="shared" si="4"/>
        <v>03/2026</v>
      </c>
    </row>
    <row r="1411" hidden="1">
      <c r="A1411" s="26">
        <v>46102.0</v>
      </c>
      <c r="B1411" s="28" t="s">
        <v>1514</v>
      </c>
      <c r="C1411" s="28" t="s">
        <v>37</v>
      </c>
      <c r="D1411" s="28" t="s">
        <v>1515</v>
      </c>
      <c r="E1411" s="71">
        <v>4312.99</v>
      </c>
      <c r="F1411" s="29" t="s">
        <v>1516</v>
      </c>
      <c r="G1411" s="26">
        <v>46102.0</v>
      </c>
      <c r="H1411" s="70">
        <f t="shared" si="1"/>
        <v>21</v>
      </c>
      <c r="I1411" s="70">
        <f t="shared" si="2"/>
        <v>3</v>
      </c>
      <c r="J1411" s="70">
        <f t="shared" si="3"/>
        <v>2026</v>
      </c>
      <c r="K1411" s="70" t="str">
        <f t="shared" si="4"/>
        <v>03/2026</v>
      </c>
    </row>
    <row r="1412" hidden="1">
      <c r="A1412" s="26">
        <v>46103.0</v>
      </c>
      <c r="B1412" s="28" t="s">
        <v>1511</v>
      </c>
      <c r="C1412" s="29" t="s">
        <v>27</v>
      </c>
      <c r="D1412" s="28" t="s">
        <v>1512</v>
      </c>
      <c r="E1412" s="71">
        <v>860.09</v>
      </c>
      <c r="F1412" s="29" t="s">
        <v>1513</v>
      </c>
      <c r="G1412" s="26">
        <v>46103.0</v>
      </c>
      <c r="H1412" s="70">
        <f t="shared" si="1"/>
        <v>22</v>
      </c>
      <c r="I1412" s="70">
        <f t="shared" si="2"/>
        <v>3</v>
      </c>
      <c r="J1412" s="70">
        <f t="shared" si="3"/>
        <v>2026</v>
      </c>
      <c r="K1412" s="70" t="str">
        <f t="shared" si="4"/>
        <v>03/2026</v>
      </c>
    </row>
    <row r="1413" hidden="1">
      <c r="A1413" s="26">
        <v>46103.0</v>
      </c>
      <c r="B1413" s="28" t="s">
        <v>1514</v>
      </c>
      <c r="C1413" s="28" t="s">
        <v>37</v>
      </c>
      <c r="D1413" s="28" t="s">
        <v>1515</v>
      </c>
      <c r="E1413" s="71">
        <v>2858.97</v>
      </c>
      <c r="F1413" s="29" t="s">
        <v>1516</v>
      </c>
      <c r="G1413" s="26">
        <v>46103.0</v>
      </c>
      <c r="H1413" s="70">
        <f t="shared" si="1"/>
        <v>22</v>
      </c>
      <c r="I1413" s="70">
        <f t="shared" si="2"/>
        <v>3</v>
      </c>
      <c r="J1413" s="70">
        <f t="shared" si="3"/>
        <v>2026</v>
      </c>
      <c r="K1413" s="70" t="str">
        <f t="shared" si="4"/>
        <v>03/2026</v>
      </c>
    </row>
    <row r="1414" hidden="1">
      <c r="A1414" s="26">
        <v>46104.0</v>
      </c>
      <c r="B1414" s="28" t="s">
        <v>1511</v>
      </c>
      <c r="C1414" s="29" t="s">
        <v>27</v>
      </c>
      <c r="D1414" s="28" t="s">
        <v>1512</v>
      </c>
      <c r="E1414" s="71">
        <v>593.46</v>
      </c>
      <c r="F1414" s="29" t="s">
        <v>1513</v>
      </c>
      <c r="G1414" s="9">
        <v>46104.0</v>
      </c>
      <c r="H1414" s="70">
        <f t="shared" si="1"/>
        <v>23</v>
      </c>
      <c r="I1414" s="70">
        <f t="shared" si="2"/>
        <v>3</v>
      </c>
      <c r="J1414" s="70">
        <f t="shared" si="3"/>
        <v>2026</v>
      </c>
      <c r="K1414" s="70" t="str">
        <f t="shared" si="4"/>
        <v>03/2026</v>
      </c>
    </row>
    <row r="1415" hidden="1">
      <c r="A1415" s="26">
        <v>46104.0</v>
      </c>
      <c r="B1415" s="28" t="s">
        <v>1514</v>
      </c>
      <c r="C1415" s="28" t="s">
        <v>37</v>
      </c>
      <c r="D1415" s="28" t="s">
        <v>1515</v>
      </c>
      <c r="E1415" s="71">
        <v>959.45</v>
      </c>
      <c r="F1415" s="29" t="s">
        <v>1516</v>
      </c>
      <c r="G1415" s="26">
        <v>46104.0</v>
      </c>
      <c r="H1415" s="70">
        <f t="shared" si="1"/>
        <v>23</v>
      </c>
      <c r="I1415" s="70">
        <f t="shared" si="2"/>
        <v>3</v>
      </c>
      <c r="J1415" s="70">
        <f t="shared" si="3"/>
        <v>2026</v>
      </c>
      <c r="K1415" s="70" t="str">
        <f t="shared" si="4"/>
        <v>03/2026</v>
      </c>
    </row>
    <row r="1416" hidden="1">
      <c r="A1416" s="26">
        <v>46104.0</v>
      </c>
      <c r="B1416" s="28" t="s">
        <v>1523</v>
      </c>
      <c r="C1416" s="28" t="s">
        <v>27</v>
      </c>
      <c r="D1416" s="28" t="s">
        <v>1524</v>
      </c>
      <c r="E1416" s="71">
        <v>14491.49</v>
      </c>
      <c r="F1416" s="29" t="s">
        <v>1513</v>
      </c>
      <c r="G1416" s="26">
        <v>46104.0</v>
      </c>
      <c r="H1416" s="70">
        <f t="shared" si="1"/>
        <v>23</v>
      </c>
      <c r="I1416" s="70">
        <f t="shared" si="2"/>
        <v>3</v>
      </c>
      <c r="J1416" s="70">
        <f t="shared" si="3"/>
        <v>2026</v>
      </c>
      <c r="K1416" s="70" t="str">
        <f t="shared" si="4"/>
        <v>03/2026</v>
      </c>
    </row>
    <row r="1417">
      <c r="A1417" s="26">
        <v>46105.0</v>
      </c>
      <c r="B1417" s="28" t="s">
        <v>1511</v>
      </c>
      <c r="C1417" s="28" t="s">
        <v>66</v>
      </c>
      <c r="D1417" s="28" t="s">
        <v>1512</v>
      </c>
      <c r="E1417" s="71">
        <v>548.98</v>
      </c>
      <c r="F1417" s="28" t="s">
        <v>1546</v>
      </c>
      <c r="G1417" s="9">
        <v>46105.0</v>
      </c>
      <c r="H1417" s="70">
        <f t="shared" si="1"/>
        <v>24</v>
      </c>
      <c r="I1417" s="70">
        <f t="shared" si="2"/>
        <v>3</v>
      </c>
      <c r="J1417" s="70">
        <f t="shared" si="3"/>
        <v>2026</v>
      </c>
      <c r="K1417" s="70" t="str">
        <f t="shared" si="4"/>
        <v>03/2026</v>
      </c>
    </row>
    <row r="1418" hidden="1">
      <c r="A1418" s="26">
        <v>46105.0</v>
      </c>
      <c r="B1418" s="28" t="s">
        <v>1514</v>
      </c>
      <c r="C1418" s="28" t="s">
        <v>37</v>
      </c>
      <c r="D1418" s="28" t="s">
        <v>1515</v>
      </c>
      <c r="E1418" s="71">
        <v>3362.92</v>
      </c>
      <c r="F1418" s="28" t="s">
        <v>1546</v>
      </c>
      <c r="G1418" s="26">
        <v>46105.0</v>
      </c>
      <c r="H1418" s="70">
        <f t="shared" si="1"/>
        <v>24</v>
      </c>
      <c r="I1418" s="70">
        <f t="shared" si="2"/>
        <v>3</v>
      </c>
      <c r="J1418" s="70">
        <f t="shared" si="3"/>
        <v>2026</v>
      </c>
      <c r="K1418" s="70" t="str">
        <f t="shared" si="4"/>
        <v>03/2026</v>
      </c>
    </row>
    <row r="1419">
      <c r="A1419" s="26">
        <v>46106.0</v>
      </c>
      <c r="B1419" s="28" t="s">
        <v>1511</v>
      </c>
      <c r="C1419" s="28" t="s">
        <v>66</v>
      </c>
      <c r="D1419" s="28" t="s">
        <v>1512</v>
      </c>
      <c r="E1419" s="71">
        <v>1021.71</v>
      </c>
      <c r="F1419" s="28" t="s">
        <v>1546</v>
      </c>
      <c r="G1419" s="9">
        <v>46106.0</v>
      </c>
      <c r="H1419" s="70">
        <f t="shared" si="1"/>
        <v>25</v>
      </c>
      <c r="I1419" s="70">
        <f t="shared" si="2"/>
        <v>3</v>
      </c>
      <c r="J1419" s="70">
        <f t="shared" si="3"/>
        <v>2026</v>
      </c>
      <c r="K1419" s="70" t="str">
        <f t="shared" si="4"/>
        <v>03/2026</v>
      </c>
    </row>
    <row r="1420" hidden="1">
      <c r="A1420" s="26">
        <v>46106.0</v>
      </c>
      <c r="B1420" s="28" t="s">
        <v>1514</v>
      </c>
      <c r="C1420" s="28" t="s">
        <v>37</v>
      </c>
      <c r="D1420" s="28" t="s">
        <v>1515</v>
      </c>
      <c r="E1420" s="71">
        <v>4573.65</v>
      </c>
      <c r="F1420" s="28" t="s">
        <v>1546</v>
      </c>
      <c r="G1420" s="26">
        <v>46106.0</v>
      </c>
      <c r="H1420" s="70">
        <f t="shared" si="1"/>
        <v>25</v>
      </c>
      <c r="I1420" s="70">
        <f t="shared" si="2"/>
        <v>3</v>
      </c>
      <c r="J1420" s="70">
        <f t="shared" si="3"/>
        <v>2026</v>
      </c>
      <c r="K1420" s="70" t="str">
        <f t="shared" si="4"/>
        <v>03/2026</v>
      </c>
    </row>
    <row r="1421">
      <c r="A1421" s="26">
        <v>46107.0</v>
      </c>
      <c r="B1421" s="28" t="s">
        <v>1511</v>
      </c>
      <c r="C1421" s="28" t="s">
        <v>66</v>
      </c>
      <c r="D1421" s="28" t="s">
        <v>1512</v>
      </c>
      <c r="E1421" s="71">
        <v>1890.19</v>
      </c>
      <c r="F1421" s="28" t="s">
        <v>1546</v>
      </c>
      <c r="G1421" s="9">
        <v>46107.0</v>
      </c>
      <c r="H1421" s="70">
        <f t="shared" si="1"/>
        <v>26</v>
      </c>
      <c r="I1421" s="70">
        <f t="shared" si="2"/>
        <v>3</v>
      </c>
      <c r="J1421" s="70">
        <f t="shared" si="3"/>
        <v>2026</v>
      </c>
      <c r="K1421" s="70" t="str">
        <f t="shared" si="4"/>
        <v>03/2026</v>
      </c>
    </row>
    <row r="1422" hidden="1">
      <c r="A1422" s="26">
        <v>46107.0</v>
      </c>
      <c r="B1422" s="28" t="s">
        <v>1514</v>
      </c>
      <c r="C1422" s="28" t="s">
        <v>37</v>
      </c>
      <c r="D1422" s="28" t="s">
        <v>1515</v>
      </c>
      <c r="E1422" s="71">
        <v>4042.54</v>
      </c>
      <c r="F1422" s="28" t="s">
        <v>1546</v>
      </c>
      <c r="G1422" s="26">
        <v>46107.0</v>
      </c>
      <c r="H1422" s="70">
        <f t="shared" si="1"/>
        <v>26</v>
      </c>
      <c r="I1422" s="70">
        <f t="shared" si="2"/>
        <v>3</v>
      </c>
      <c r="J1422" s="70">
        <f t="shared" si="3"/>
        <v>2026</v>
      </c>
      <c r="K1422" s="70" t="str">
        <f t="shared" si="4"/>
        <v>03/2026</v>
      </c>
    </row>
    <row r="1423">
      <c r="A1423" s="26">
        <v>46108.0</v>
      </c>
      <c r="B1423" s="28" t="s">
        <v>1511</v>
      </c>
      <c r="C1423" s="28" t="s">
        <v>66</v>
      </c>
      <c r="D1423" s="28" t="s">
        <v>1512</v>
      </c>
      <c r="E1423" s="71">
        <v>872.32</v>
      </c>
      <c r="F1423" s="28" t="s">
        <v>1546</v>
      </c>
      <c r="G1423" s="9">
        <v>46108.0</v>
      </c>
      <c r="H1423" s="70">
        <f t="shared" si="1"/>
        <v>27</v>
      </c>
      <c r="I1423" s="70">
        <f t="shared" si="2"/>
        <v>3</v>
      </c>
      <c r="J1423" s="70">
        <f t="shared" si="3"/>
        <v>2026</v>
      </c>
      <c r="K1423" s="70" t="str">
        <f t="shared" si="4"/>
        <v>03/2026</v>
      </c>
    </row>
    <row r="1424" hidden="1">
      <c r="A1424" s="26">
        <v>46108.0</v>
      </c>
      <c r="B1424" s="28" t="s">
        <v>1514</v>
      </c>
      <c r="C1424" s="28" t="s">
        <v>37</v>
      </c>
      <c r="D1424" s="28" t="s">
        <v>1515</v>
      </c>
      <c r="E1424" s="71">
        <v>3759.51</v>
      </c>
      <c r="F1424" s="28" t="s">
        <v>1546</v>
      </c>
      <c r="G1424" s="26">
        <v>46108.0</v>
      </c>
      <c r="H1424" s="70">
        <f t="shared" si="1"/>
        <v>27</v>
      </c>
      <c r="I1424" s="70">
        <f t="shared" si="2"/>
        <v>3</v>
      </c>
      <c r="J1424" s="70">
        <f t="shared" si="3"/>
        <v>2026</v>
      </c>
      <c r="K1424" s="70" t="str">
        <f t="shared" si="4"/>
        <v>03/2026</v>
      </c>
    </row>
    <row r="1425">
      <c r="A1425" s="26">
        <v>46109.0</v>
      </c>
      <c r="B1425" s="28" t="s">
        <v>1511</v>
      </c>
      <c r="C1425" s="28" t="s">
        <v>66</v>
      </c>
      <c r="D1425" s="28" t="s">
        <v>1512</v>
      </c>
      <c r="E1425" s="71">
        <v>1264.39</v>
      </c>
      <c r="F1425" s="28" t="s">
        <v>1546</v>
      </c>
      <c r="G1425" s="9">
        <v>46109.0</v>
      </c>
      <c r="H1425" s="70">
        <f t="shared" si="1"/>
        <v>28</v>
      </c>
      <c r="I1425" s="70">
        <f t="shared" si="2"/>
        <v>3</v>
      </c>
      <c r="J1425" s="70">
        <f t="shared" si="3"/>
        <v>2026</v>
      </c>
      <c r="K1425" s="70" t="str">
        <f t="shared" si="4"/>
        <v>03/2026</v>
      </c>
    </row>
    <row r="1426" hidden="1">
      <c r="A1426" s="26">
        <v>46109.0</v>
      </c>
      <c r="B1426" s="28" t="s">
        <v>1514</v>
      </c>
      <c r="C1426" s="28" t="s">
        <v>37</v>
      </c>
      <c r="D1426" s="28" t="s">
        <v>1515</v>
      </c>
      <c r="E1426" s="71">
        <v>3362.37</v>
      </c>
      <c r="F1426" s="28" t="s">
        <v>1546</v>
      </c>
      <c r="G1426" s="26">
        <v>46109.0</v>
      </c>
      <c r="H1426" s="70">
        <f t="shared" si="1"/>
        <v>28</v>
      </c>
      <c r="I1426" s="70">
        <f t="shared" si="2"/>
        <v>3</v>
      </c>
      <c r="J1426" s="70">
        <f t="shared" si="3"/>
        <v>2026</v>
      </c>
      <c r="K1426" s="70" t="str">
        <f t="shared" si="4"/>
        <v>03/2026</v>
      </c>
    </row>
    <row r="1427">
      <c r="A1427" s="26">
        <v>46110.0</v>
      </c>
      <c r="B1427" s="28" t="s">
        <v>1511</v>
      </c>
      <c r="C1427" s="28" t="s">
        <v>66</v>
      </c>
      <c r="D1427" s="28" t="s">
        <v>1512</v>
      </c>
      <c r="E1427" s="71">
        <v>518.68</v>
      </c>
      <c r="F1427" s="28" t="s">
        <v>1546</v>
      </c>
      <c r="G1427" s="9">
        <v>46110.0</v>
      </c>
      <c r="H1427" s="70">
        <f t="shared" si="1"/>
        <v>29</v>
      </c>
      <c r="I1427" s="70">
        <f t="shared" si="2"/>
        <v>3</v>
      </c>
      <c r="J1427" s="70">
        <f t="shared" si="3"/>
        <v>2026</v>
      </c>
      <c r="K1427" s="70" t="str">
        <f t="shared" si="4"/>
        <v>03/2026</v>
      </c>
    </row>
    <row r="1428" hidden="1">
      <c r="A1428" s="26">
        <v>46110.0</v>
      </c>
      <c r="B1428" s="28" t="s">
        <v>1514</v>
      </c>
      <c r="C1428" s="28" t="s">
        <v>37</v>
      </c>
      <c r="D1428" s="28" t="s">
        <v>1515</v>
      </c>
      <c r="E1428" s="71">
        <v>2616.22</v>
      </c>
      <c r="F1428" s="28" t="s">
        <v>1546</v>
      </c>
      <c r="G1428" s="26">
        <v>46110.0</v>
      </c>
      <c r="H1428" s="70">
        <f t="shared" si="1"/>
        <v>29</v>
      </c>
      <c r="I1428" s="70">
        <f t="shared" si="2"/>
        <v>3</v>
      </c>
      <c r="J1428" s="70">
        <f t="shared" si="3"/>
        <v>2026</v>
      </c>
      <c r="K1428" s="70" t="str">
        <f t="shared" si="4"/>
        <v>03/2026</v>
      </c>
    </row>
    <row r="1429">
      <c r="A1429" s="26">
        <v>46111.0</v>
      </c>
      <c r="B1429" s="28" t="s">
        <v>1511</v>
      </c>
      <c r="C1429" s="28" t="s">
        <v>66</v>
      </c>
      <c r="D1429" s="28" t="s">
        <v>1512</v>
      </c>
      <c r="E1429" s="71">
        <v>448.31</v>
      </c>
      <c r="F1429" s="28" t="s">
        <v>1546</v>
      </c>
      <c r="G1429" s="9">
        <v>46111.0</v>
      </c>
      <c r="H1429" s="70">
        <f t="shared" si="1"/>
        <v>30</v>
      </c>
      <c r="I1429" s="70">
        <f t="shared" si="2"/>
        <v>3</v>
      </c>
      <c r="J1429" s="70">
        <f t="shared" si="3"/>
        <v>2026</v>
      </c>
      <c r="K1429" s="70" t="str">
        <f t="shared" si="4"/>
        <v>03/2026</v>
      </c>
    </row>
    <row r="1430" hidden="1">
      <c r="A1430" s="26">
        <v>46111.0</v>
      </c>
      <c r="B1430" s="28" t="s">
        <v>1514</v>
      </c>
      <c r="C1430" s="28" t="s">
        <v>37</v>
      </c>
      <c r="D1430" s="28" t="s">
        <v>1515</v>
      </c>
      <c r="E1430" s="71">
        <v>1344.77</v>
      </c>
      <c r="F1430" s="28" t="s">
        <v>1546</v>
      </c>
      <c r="G1430" s="26">
        <v>46111.0</v>
      </c>
      <c r="H1430" s="70">
        <f t="shared" si="1"/>
        <v>30</v>
      </c>
      <c r="I1430" s="70">
        <f t="shared" si="2"/>
        <v>3</v>
      </c>
      <c r="J1430" s="70">
        <f t="shared" si="3"/>
        <v>2026</v>
      </c>
      <c r="K1430" s="70" t="str">
        <f t="shared" si="4"/>
        <v>03/2026</v>
      </c>
    </row>
    <row r="1431" hidden="1">
      <c r="A1431" s="26">
        <v>46112.0</v>
      </c>
      <c r="B1431" s="28" t="s">
        <v>1511</v>
      </c>
      <c r="C1431" s="28" t="s">
        <v>66</v>
      </c>
      <c r="D1431" s="28" t="s">
        <v>1512</v>
      </c>
      <c r="E1431" s="71">
        <v>546.76</v>
      </c>
      <c r="F1431" s="28" t="s">
        <v>1546</v>
      </c>
      <c r="G1431" s="9">
        <v>46112.0</v>
      </c>
      <c r="H1431" s="70">
        <f t="shared" si="1"/>
        <v>31</v>
      </c>
      <c r="I1431" s="70">
        <f t="shared" si="2"/>
        <v>3</v>
      </c>
      <c r="J1431" s="70">
        <f t="shared" si="3"/>
        <v>2026</v>
      </c>
      <c r="K1431" s="70" t="str">
        <f t="shared" si="4"/>
        <v>03/2026</v>
      </c>
    </row>
    <row r="1432" hidden="1">
      <c r="A1432" s="26">
        <v>46112.0</v>
      </c>
      <c r="B1432" s="28" t="s">
        <v>1514</v>
      </c>
      <c r="C1432" s="28" t="s">
        <v>37</v>
      </c>
      <c r="D1432" s="28" t="s">
        <v>1515</v>
      </c>
      <c r="E1432" s="71">
        <v>1481.79</v>
      </c>
      <c r="F1432" s="28" t="s">
        <v>1546</v>
      </c>
      <c r="G1432" s="26">
        <v>46112.0</v>
      </c>
      <c r="H1432" s="70">
        <f t="shared" si="1"/>
        <v>31</v>
      </c>
      <c r="I1432" s="70">
        <f t="shared" si="2"/>
        <v>3</v>
      </c>
      <c r="J1432" s="70">
        <f t="shared" si="3"/>
        <v>2026</v>
      </c>
      <c r="K1432" s="70" t="str">
        <f t="shared" si="4"/>
        <v>03/2026</v>
      </c>
    </row>
    <row r="1433" hidden="1">
      <c r="A1433" s="26">
        <v>46114.0</v>
      </c>
      <c r="B1433" s="28" t="s">
        <v>1514</v>
      </c>
      <c r="C1433" s="28" t="s">
        <v>37</v>
      </c>
      <c r="D1433" s="28" t="s">
        <v>1515</v>
      </c>
      <c r="E1433" s="71">
        <v>28.97</v>
      </c>
      <c r="F1433" s="28" t="s">
        <v>1546</v>
      </c>
      <c r="G1433" s="26">
        <v>46114.0</v>
      </c>
      <c r="H1433" s="70">
        <f t="shared" si="1"/>
        <v>2</v>
      </c>
      <c r="I1433" s="70">
        <f t="shared" si="2"/>
        <v>4</v>
      </c>
      <c r="J1433" s="70">
        <f t="shared" si="3"/>
        <v>2026</v>
      </c>
      <c r="K1433" s="70" t="str">
        <f t="shared" si="4"/>
        <v>04/2026</v>
      </c>
    </row>
    <row r="1434" hidden="1">
      <c r="A1434" s="26">
        <v>46117.0</v>
      </c>
      <c r="B1434" s="28" t="s">
        <v>1514</v>
      </c>
      <c r="C1434" s="28" t="s">
        <v>37</v>
      </c>
      <c r="D1434" s="28" t="s">
        <v>1515</v>
      </c>
      <c r="E1434" s="71">
        <v>9.54</v>
      </c>
      <c r="F1434" s="28" t="s">
        <v>1546</v>
      </c>
      <c r="G1434" s="26">
        <v>46117.0</v>
      </c>
      <c r="H1434" s="70">
        <f t="shared" si="1"/>
        <v>5</v>
      </c>
      <c r="I1434" s="70">
        <f t="shared" si="2"/>
        <v>4</v>
      </c>
      <c r="J1434" s="70">
        <f t="shared" si="3"/>
        <v>2026</v>
      </c>
      <c r="K1434" s="70" t="str">
        <f t="shared" si="4"/>
        <v>04/2026</v>
      </c>
    </row>
    <row r="1435" hidden="1">
      <c r="A1435" s="26">
        <v>46118.0</v>
      </c>
      <c r="B1435" s="28" t="s">
        <v>1519</v>
      </c>
      <c r="C1435" s="28" t="s">
        <v>27</v>
      </c>
      <c r="D1435" s="28" t="s">
        <v>1520</v>
      </c>
      <c r="E1435" s="71">
        <v>6864.21</v>
      </c>
      <c r="F1435" s="28" t="s">
        <v>1546</v>
      </c>
      <c r="G1435" s="26">
        <v>46118.0</v>
      </c>
      <c r="H1435" s="70">
        <f t="shared" si="1"/>
        <v>6</v>
      </c>
      <c r="I1435" s="70">
        <f t="shared" si="2"/>
        <v>4</v>
      </c>
      <c r="J1435" s="70">
        <f t="shared" si="3"/>
        <v>2026</v>
      </c>
      <c r="K1435" s="70" t="str">
        <f t="shared" si="4"/>
        <v>04/2026</v>
      </c>
    </row>
    <row r="1436" hidden="1">
      <c r="A1436" s="26">
        <v>46118.0</v>
      </c>
      <c r="B1436" s="28" t="s">
        <v>1523</v>
      </c>
      <c r="C1436" s="28" t="s">
        <v>27</v>
      </c>
      <c r="D1436" s="28" t="s">
        <v>1524</v>
      </c>
      <c r="E1436" s="71">
        <v>5767.0</v>
      </c>
      <c r="F1436" s="28" t="s">
        <v>1546</v>
      </c>
      <c r="G1436" s="9">
        <v>46118.0</v>
      </c>
      <c r="H1436" s="70">
        <f t="shared" si="1"/>
        <v>6</v>
      </c>
      <c r="I1436" s="70">
        <f t="shared" si="2"/>
        <v>4</v>
      </c>
      <c r="J1436" s="70">
        <f t="shared" si="3"/>
        <v>2026</v>
      </c>
      <c r="K1436" s="70" t="str">
        <f t="shared" si="4"/>
        <v>04/2026</v>
      </c>
    </row>
    <row r="1437" hidden="1">
      <c r="A1437" s="26">
        <v>46118.0</v>
      </c>
      <c r="B1437" s="28" t="s">
        <v>1511</v>
      </c>
      <c r="C1437" s="28" t="s">
        <v>66</v>
      </c>
      <c r="D1437" s="28" t="s">
        <v>1512</v>
      </c>
      <c r="E1437" s="71">
        <v>90.92</v>
      </c>
      <c r="F1437" s="28" t="s">
        <v>1546</v>
      </c>
      <c r="G1437" s="9">
        <v>46118.0</v>
      </c>
      <c r="H1437" s="70">
        <f t="shared" si="1"/>
        <v>6</v>
      </c>
      <c r="I1437" s="70">
        <f t="shared" si="2"/>
        <v>4</v>
      </c>
      <c r="J1437" s="70">
        <f t="shared" si="3"/>
        <v>2026</v>
      </c>
      <c r="K1437" s="70" t="str">
        <f t="shared" si="4"/>
        <v>04/2026</v>
      </c>
    </row>
    <row r="1438" hidden="1">
      <c r="A1438" s="26">
        <v>46119.0</v>
      </c>
      <c r="B1438" s="28" t="s">
        <v>1511</v>
      </c>
      <c r="C1438" s="28" t="s">
        <v>66</v>
      </c>
      <c r="D1438" s="28" t="s">
        <v>1512</v>
      </c>
      <c r="E1438" s="71">
        <v>21.56</v>
      </c>
      <c r="F1438" s="28" t="s">
        <v>1546</v>
      </c>
      <c r="G1438" s="9">
        <v>46119.0</v>
      </c>
      <c r="H1438" s="70">
        <f t="shared" si="1"/>
        <v>7</v>
      </c>
      <c r="I1438" s="70">
        <f t="shared" si="2"/>
        <v>4</v>
      </c>
      <c r="J1438" s="70">
        <f t="shared" si="3"/>
        <v>2026</v>
      </c>
      <c r="K1438" s="70" t="str">
        <f t="shared" si="4"/>
        <v>04/2026</v>
      </c>
    </row>
    <row r="1439" hidden="1">
      <c r="A1439" s="26">
        <v>46119.0</v>
      </c>
      <c r="B1439" s="28" t="s">
        <v>1514</v>
      </c>
      <c r="C1439" s="28" t="s">
        <v>37</v>
      </c>
      <c r="D1439" s="28" t="s">
        <v>1515</v>
      </c>
      <c r="E1439" s="71">
        <v>57.14</v>
      </c>
      <c r="F1439" s="28" t="s">
        <v>1546</v>
      </c>
      <c r="G1439" s="26">
        <v>46119.0</v>
      </c>
      <c r="H1439" s="70">
        <f t="shared" si="1"/>
        <v>7</v>
      </c>
      <c r="I1439" s="70">
        <f t="shared" si="2"/>
        <v>4</v>
      </c>
      <c r="J1439" s="70">
        <f t="shared" si="3"/>
        <v>2026</v>
      </c>
      <c r="K1439" s="70" t="str">
        <f t="shared" si="4"/>
        <v>04/2026</v>
      </c>
    </row>
    <row r="1440" hidden="1">
      <c r="A1440" s="26">
        <v>46120.0</v>
      </c>
      <c r="B1440" s="28" t="s">
        <v>1514</v>
      </c>
      <c r="C1440" s="28" t="s">
        <v>37</v>
      </c>
      <c r="D1440" s="28" t="s">
        <v>1515</v>
      </c>
      <c r="E1440" s="71">
        <v>205.28</v>
      </c>
      <c r="F1440" s="28" t="s">
        <v>1546</v>
      </c>
      <c r="G1440" s="26">
        <v>46120.0</v>
      </c>
      <c r="H1440" s="70">
        <f t="shared" si="1"/>
        <v>8</v>
      </c>
      <c r="I1440" s="70">
        <f t="shared" si="2"/>
        <v>4</v>
      </c>
      <c r="J1440" s="70">
        <f t="shared" si="3"/>
        <v>2026</v>
      </c>
      <c r="K1440" s="70" t="str">
        <f t="shared" si="4"/>
        <v>04/2026</v>
      </c>
    </row>
    <row r="1441" hidden="1">
      <c r="A1441" s="26">
        <v>46121.0</v>
      </c>
      <c r="B1441" s="28" t="s">
        <v>1514</v>
      </c>
      <c r="C1441" s="28" t="s">
        <v>37</v>
      </c>
      <c r="D1441" s="28" t="s">
        <v>1515</v>
      </c>
      <c r="E1441" s="71">
        <v>9.54</v>
      </c>
      <c r="F1441" s="28" t="s">
        <v>1546</v>
      </c>
      <c r="G1441" s="26">
        <v>46121.0</v>
      </c>
      <c r="H1441" s="70">
        <f t="shared" si="1"/>
        <v>9</v>
      </c>
      <c r="I1441" s="70">
        <f t="shared" si="2"/>
        <v>4</v>
      </c>
      <c r="J1441" s="70">
        <f t="shared" si="3"/>
        <v>2026</v>
      </c>
      <c r="K1441" s="70" t="str">
        <f t="shared" si="4"/>
        <v>04/2026</v>
      </c>
    </row>
    <row r="1442" hidden="1">
      <c r="A1442" s="26">
        <v>46122.0</v>
      </c>
      <c r="B1442" s="28" t="s">
        <v>1511</v>
      </c>
      <c r="C1442" s="28" t="s">
        <v>66</v>
      </c>
      <c r="D1442" s="28" t="s">
        <v>1512</v>
      </c>
      <c r="E1442" s="71">
        <v>15.62</v>
      </c>
      <c r="F1442" s="28" t="s">
        <v>1546</v>
      </c>
      <c r="G1442" s="9">
        <v>46122.0</v>
      </c>
      <c r="H1442" s="70">
        <f t="shared" si="1"/>
        <v>10</v>
      </c>
      <c r="I1442" s="70">
        <f t="shared" si="2"/>
        <v>4</v>
      </c>
      <c r="J1442" s="70">
        <f t="shared" si="3"/>
        <v>2026</v>
      </c>
      <c r="K1442" s="70" t="str">
        <f t="shared" si="4"/>
        <v>04/2026</v>
      </c>
    </row>
    <row r="1443" hidden="1">
      <c r="A1443" s="26">
        <v>46122.0</v>
      </c>
      <c r="B1443" s="28" t="s">
        <v>1514</v>
      </c>
      <c r="C1443" s="28" t="s">
        <v>37</v>
      </c>
      <c r="D1443" s="28" t="s">
        <v>1515</v>
      </c>
      <c r="E1443" s="71">
        <v>189.08</v>
      </c>
      <c r="F1443" s="28" t="s">
        <v>1546</v>
      </c>
      <c r="G1443" s="26">
        <v>46122.0</v>
      </c>
      <c r="H1443" s="70">
        <f t="shared" si="1"/>
        <v>10</v>
      </c>
      <c r="I1443" s="70">
        <f t="shared" si="2"/>
        <v>4</v>
      </c>
      <c r="J1443" s="70">
        <f t="shared" si="3"/>
        <v>2026</v>
      </c>
      <c r="K1443" s="70" t="str">
        <f t="shared" si="4"/>
        <v>04/2026</v>
      </c>
    </row>
    <row r="1444" hidden="1">
      <c r="A1444" s="26">
        <v>46123.0</v>
      </c>
      <c r="B1444" s="28" t="s">
        <v>1514</v>
      </c>
      <c r="C1444" s="28" t="s">
        <v>37</v>
      </c>
      <c r="D1444" s="28" t="s">
        <v>1515</v>
      </c>
      <c r="E1444" s="71">
        <v>50.42</v>
      </c>
      <c r="F1444" s="28" t="s">
        <v>1546</v>
      </c>
      <c r="G1444" s="26">
        <v>46123.0</v>
      </c>
      <c r="H1444" s="70">
        <f t="shared" si="1"/>
        <v>11</v>
      </c>
      <c r="I1444" s="70">
        <f t="shared" si="2"/>
        <v>4</v>
      </c>
      <c r="J1444" s="70">
        <f t="shared" si="3"/>
        <v>2026</v>
      </c>
      <c r="K1444" s="70" t="str">
        <f t="shared" si="4"/>
        <v>04/2026</v>
      </c>
    </row>
    <row r="1445" hidden="1">
      <c r="A1445" s="26">
        <v>46124.0</v>
      </c>
      <c r="B1445" s="28" t="s">
        <v>1511</v>
      </c>
      <c r="C1445" s="28" t="s">
        <v>66</v>
      </c>
      <c r="D1445" s="28" t="s">
        <v>1512</v>
      </c>
      <c r="E1445" s="71">
        <v>252.04</v>
      </c>
      <c r="F1445" s="28" t="s">
        <v>1546</v>
      </c>
      <c r="G1445" s="9">
        <v>46124.0</v>
      </c>
      <c r="H1445" s="70">
        <f t="shared" si="1"/>
        <v>12</v>
      </c>
      <c r="I1445" s="70">
        <f t="shared" si="2"/>
        <v>4</v>
      </c>
      <c r="J1445" s="70">
        <f t="shared" si="3"/>
        <v>2026</v>
      </c>
      <c r="K1445" s="70" t="str">
        <f t="shared" si="4"/>
        <v>04/2026</v>
      </c>
    </row>
    <row r="1446" hidden="1">
      <c r="A1446" s="26">
        <v>46124.0</v>
      </c>
      <c r="B1446" s="28" t="s">
        <v>1514</v>
      </c>
      <c r="C1446" s="28" t="s">
        <v>37</v>
      </c>
      <c r="D1446" s="28" t="s">
        <v>1515</v>
      </c>
      <c r="E1446" s="71">
        <v>113.48</v>
      </c>
      <c r="F1446" s="28" t="s">
        <v>1546</v>
      </c>
      <c r="G1446" s="26">
        <v>46124.0</v>
      </c>
      <c r="H1446" s="70">
        <f t="shared" si="1"/>
        <v>12</v>
      </c>
      <c r="I1446" s="70">
        <f t="shared" si="2"/>
        <v>4</v>
      </c>
      <c r="J1446" s="70">
        <f t="shared" si="3"/>
        <v>2026</v>
      </c>
      <c r="K1446" s="70" t="str">
        <f t="shared" si="4"/>
        <v>04/2026</v>
      </c>
    </row>
    <row r="1447" hidden="1">
      <c r="A1447" s="26">
        <v>46125.0</v>
      </c>
      <c r="B1447" s="28" t="s">
        <v>1511</v>
      </c>
      <c r="C1447" s="28" t="s">
        <v>66</v>
      </c>
      <c r="D1447" s="28" t="s">
        <v>1512</v>
      </c>
      <c r="E1447" s="71">
        <v>61.46</v>
      </c>
      <c r="F1447" s="28" t="s">
        <v>1546</v>
      </c>
      <c r="G1447" s="9">
        <v>46125.0</v>
      </c>
      <c r="H1447" s="70">
        <f t="shared" si="1"/>
        <v>13</v>
      </c>
      <c r="I1447" s="70">
        <f t="shared" si="2"/>
        <v>4</v>
      </c>
      <c r="J1447" s="70">
        <f t="shared" si="3"/>
        <v>2026</v>
      </c>
      <c r="K1447" s="70" t="str">
        <f t="shared" si="4"/>
        <v>04/2026</v>
      </c>
    </row>
    <row r="1448" hidden="1">
      <c r="A1448" s="26">
        <v>46125.0</v>
      </c>
      <c r="B1448" s="28" t="s">
        <v>1514</v>
      </c>
      <c r="C1448" s="28" t="s">
        <v>37</v>
      </c>
      <c r="D1448" s="28" t="s">
        <v>1515</v>
      </c>
      <c r="E1448" s="71">
        <v>302.51</v>
      </c>
      <c r="F1448" s="28" t="s">
        <v>1546</v>
      </c>
      <c r="G1448" s="9">
        <v>46125.0</v>
      </c>
      <c r="H1448" s="70">
        <f t="shared" si="1"/>
        <v>13</v>
      </c>
      <c r="I1448" s="70">
        <f t="shared" si="2"/>
        <v>4</v>
      </c>
      <c r="J1448" s="70">
        <f t="shared" si="3"/>
        <v>2026</v>
      </c>
      <c r="K1448" s="70" t="str">
        <f t="shared" si="4"/>
        <v>04/2026</v>
      </c>
    </row>
    <row r="1449" hidden="1">
      <c r="A1449" s="26">
        <v>46126.0</v>
      </c>
      <c r="B1449" s="28" t="s">
        <v>1511</v>
      </c>
      <c r="C1449" s="28" t="s">
        <v>66</v>
      </c>
      <c r="D1449" s="28" t="s">
        <v>1512</v>
      </c>
      <c r="E1449" s="71">
        <v>166.15</v>
      </c>
      <c r="F1449" s="28" t="s">
        <v>1546</v>
      </c>
      <c r="G1449" s="9">
        <v>46126.0</v>
      </c>
      <c r="H1449" s="70">
        <f t="shared" si="1"/>
        <v>14</v>
      </c>
      <c r="I1449" s="70">
        <f t="shared" si="2"/>
        <v>4</v>
      </c>
      <c r="J1449" s="70">
        <f t="shared" si="3"/>
        <v>2026</v>
      </c>
      <c r="K1449" s="70" t="str">
        <f t="shared" si="4"/>
        <v>04/2026</v>
      </c>
    </row>
    <row r="1450" hidden="1">
      <c r="A1450" s="26">
        <v>46126.0</v>
      </c>
      <c r="B1450" s="28" t="s">
        <v>1514</v>
      </c>
      <c r="C1450" s="28" t="s">
        <v>37</v>
      </c>
      <c r="D1450" s="28" t="s">
        <v>1515</v>
      </c>
      <c r="E1450" s="71">
        <v>328.08</v>
      </c>
      <c r="F1450" s="28" t="s">
        <v>1546</v>
      </c>
      <c r="G1450" s="9">
        <v>46126.0</v>
      </c>
      <c r="H1450" s="70">
        <f t="shared" si="1"/>
        <v>14</v>
      </c>
      <c r="I1450" s="70">
        <f t="shared" si="2"/>
        <v>4</v>
      </c>
      <c r="J1450" s="70">
        <f t="shared" si="3"/>
        <v>2026</v>
      </c>
      <c r="K1450" s="70" t="str">
        <f t="shared" si="4"/>
        <v>04/2026</v>
      </c>
    </row>
    <row r="1451" hidden="1">
      <c r="A1451" s="26">
        <v>46127.0</v>
      </c>
      <c r="B1451" s="28" t="s">
        <v>1511</v>
      </c>
      <c r="C1451" s="28" t="s">
        <v>66</v>
      </c>
      <c r="D1451" s="28" t="s">
        <v>1512</v>
      </c>
      <c r="E1451" s="71">
        <v>199.99</v>
      </c>
      <c r="F1451" s="28" t="s">
        <v>1546</v>
      </c>
      <c r="G1451" s="9">
        <v>46127.0</v>
      </c>
      <c r="H1451" s="70">
        <f t="shared" si="1"/>
        <v>15</v>
      </c>
      <c r="I1451" s="70">
        <f t="shared" si="2"/>
        <v>4</v>
      </c>
      <c r="J1451" s="70">
        <f t="shared" si="3"/>
        <v>2026</v>
      </c>
      <c r="K1451" s="70" t="str">
        <f t="shared" si="4"/>
        <v>04/2026</v>
      </c>
    </row>
    <row r="1452" hidden="1">
      <c r="A1452" s="26">
        <v>46127.0</v>
      </c>
      <c r="B1452" s="28" t="s">
        <v>1514</v>
      </c>
      <c r="C1452" s="28" t="s">
        <v>37</v>
      </c>
      <c r="D1452" s="28" t="s">
        <v>1515</v>
      </c>
      <c r="E1452" s="71">
        <v>360.06</v>
      </c>
      <c r="F1452" s="28" t="s">
        <v>1546</v>
      </c>
      <c r="G1452" s="9">
        <v>46127.0</v>
      </c>
      <c r="H1452" s="70">
        <f t="shared" si="1"/>
        <v>15</v>
      </c>
      <c r="I1452" s="70">
        <f t="shared" si="2"/>
        <v>4</v>
      </c>
      <c r="J1452" s="70">
        <f t="shared" si="3"/>
        <v>2026</v>
      </c>
      <c r="K1452" s="70" t="str">
        <f t="shared" si="4"/>
        <v>04/2026</v>
      </c>
    </row>
    <row r="1453" hidden="1">
      <c r="A1453" s="26">
        <v>46128.0</v>
      </c>
      <c r="B1453" s="28" t="s">
        <v>1511</v>
      </c>
      <c r="C1453" s="28" t="s">
        <v>66</v>
      </c>
      <c r="D1453" s="28" t="s">
        <v>1512</v>
      </c>
      <c r="E1453" s="71">
        <v>180.39</v>
      </c>
      <c r="F1453" s="28" t="s">
        <v>1546</v>
      </c>
      <c r="G1453" s="9">
        <v>46128.0</v>
      </c>
      <c r="H1453" s="70">
        <f t="shared" si="1"/>
        <v>16</v>
      </c>
      <c r="I1453" s="70">
        <f t="shared" si="2"/>
        <v>4</v>
      </c>
      <c r="J1453" s="70">
        <f t="shared" si="3"/>
        <v>2026</v>
      </c>
      <c r="K1453" s="70" t="str">
        <f t="shared" si="4"/>
        <v>04/2026</v>
      </c>
    </row>
    <row r="1454" hidden="1">
      <c r="A1454" s="26">
        <v>46128.0</v>
      </c>
      <c r="B1454" s="28" t="s">
        <v>1514</v>
      </c>
      <c r="C1454" s="28" t="s">
        <v>37</v>
      </c>
      <c r="D1454" s="28" t="s">
        <v>1515</v>
      </c>
      <c r="E1454" s="71">
        <v>765.44</v>
      </c>
      <c r="F1454" s="28" t="s">
        <v>1546</v>
      </c>
      <c r="G1454" s="9">
        <v>46128.0</v>
      </c>
      <c r="H1454" s="70">
        <f t="shared" si="1"/>
        <v>16</v>
      </c>
      <c r="I1454" s="70">
        <f t="shared" si="2"/>
        <v>4</v>
      </c>
      <c r="J1454" s="70">
        <f t="shared" si="3"/>
        <v>2026</v>
      </c>
      <c r="K1454" s="70" t="str">
        <f t="shared" si="4"/>
        <v>04/2026</v>
      </c>
    </row>
    <row r="1455" hidden="1">
      <c r="A1455" s="26">
        <v>46129.0</v>
      </c>
      <c r="B1455" s="28" t="s">
        <v>1511</v>
      </c>
      <c r="C1455" s="28" t="s">
        <v>66</v>
      </c>
      <c r="D1455" s="28" t="s">
        <v>1512</v>
      </c>
      <c r="E1455" s="71">
        <v>652.52</v>
      </c>
      <c r="F1455" s="28" t="s">
        <v>1546</v>
      </c>
      <c r="G1455" s="9">
        <v>46129.0</v>
      </c>
      <c r="H1455" s="70">
        <f t="shared" si="1"/>
        <v>17</v>
      </c>
      <c r="I1455" s="70">
        <f t="shared" si="2"/>
        <v>4</v>
      </c>
      <c r="J1455" s="70">
        <f t="shared" si="3"/>
        <v>2026</v>
      </c>
      <c r="K1455" s="70" t="str">
        <f t="shared" si="4"/>
        <v>04/2026</v>
      </c>
    </row>
    <row r="1456" hidden="1">
      <c r="A1456" s="26">
        <v>46129.0</v>
      </c>
      <c r="B1456" s="28" t="s">
        <v>1514</v>
      </c>
      <c r="C1456" s="28" t="s">
        <v>37</v>
      </c>
      <c r="D1456" s="28" t="s">
        <v>1515</v>
      </c>
      <c r="E1456" s="71">
        <v>2098.11</v>
      </c>
      <c r="F1456" s="28" t="s">
        <v>1546</v>
      </c>
      <c r="G1456" s="9">
        <v>46129.0</v>
      </c>
      <c r="H1456" s="70">
        <f t="shared" si="1"/>
        <v>17</v>
      </c>
      <c r="I1456" s="70">
        <f t="shared" si="2"/>
        <v>4</v>
      </c>
      <c r="J1456" s="70">
        <f t="shared" si="3"/>
        <v>2026</v>
      </c>
      <c r="K1456" s="70" t="str">
        <f t="shared" si="4"/>
        <v>04/2026</v>
      </c>
    </row>
    <row r="1457" hidden="1">
      <c r="A1457" s="26">
        <v>46130.0</v>
      </c>
      <c r="B1457" s="28" t="s">
        <v>1511</v>
      </c>
      <c r="C1457" s="28" t="s">
        <v>66</v>
      </c>
      <c r="D1457" s="28" t="s">
        <v>1512</v>
      </c>
      <c r="E1457" s="71">
        <v>589.76</v>
      </c>
      <c r="F1457" s="28" t="s">
        <v>1546</v>
      </c>
      <c r="G1457" s="9">
        <v>46130.0</v>
      </c>
      <c r="H1457" s="70">
        <f t="shared" si="1"/>
        <v>18</v>
      </c>
      <c r="I1457" s="70">
        <f t="shared" si="2"/>
        <v>4</v>
      </c>
      <c r="J1457" s="70">
        <f t="shared" si="3"/>
        <v>2026</v>
      </c>
      <c r="K1457" s="70" t="str">
        <f t="shared" si="4"/>
        <v>04/2026</v>
      </c>
    </row>
    <row r="1458" hidden="1">
      <c r="A1458" s="26">
        <v>46130.0</v>
      </c>
      <c r="B1458" s="28" t="s">
        <v>1514</v>
      </c>
      <c r="C1458" s="28" t="s">
        <v>37</v>
      </c>
      <c r="D1458" s="28" t="s">
        <v>1515</v>
      </c>
      <c r="E1458" s="71">
        <v>732.11</v>
      </c>
      <c r="F1458" s="28" t="s">
        <v>1546</v>
      </c>
      <c r="G1458" s="9">
        <v>46130.0</v>
      </c>
      <c r="H1458" s="70">
        <f t="shared" si="1"/>
        <v>18</v>
      </c>
      <c r="I1458" s="70">
        <f t="shared" si="2"/>
        <v>4</v>
      </c>
      <c r="J1458" s="70">
        <f t="shared" si="3"/>
        <v>2026</v>
      </c>
      <c r="K1458" s="70" t="str">
        <f t="shared" si="4"/>
        <v>04/2026</v>
      </c>
    </row>
    <row r="1459" hidden="1">
      <c r="A1459" s="26">
        <v>46131.0</v>
      </c>
      <c r="B1459" s="28" t="s">
        <v>1511</v>
      </c>
      <c r="C1459" s="28" t="s">
        <v>66</v>
      </c>
      <c r="D1459" s="28" t="s">
        <v>1512</v>
      </c>
      <c r="E1459" s="71">
        <v>839.53</v>
      </c>
      <c r="F1459" s="28" t="s">
        <v>1546</v>
      </c>
      <c r="G1459" s="9">
        <v>46131.0</v>
      </c>
      <c r="H1459" s="70">
        <f t="shared" si="1"/>
        <v>19</v>
      </c>
      <c r="I1459" s="70">
        <f t="shared" si="2"/>
        <v>4</v>
      </c>
      <c r="J1459" s="70">
        <f t="shared" si="3"/>
        <v>2026</v>
      </c>
      <c r="K1459" s="70" t="str">
        <f t="shared" si="4"/>
        <v>04/2026</v>
      </c>
    </row>
    <row r="1460" hidden="1">
      <c r="A1460" s="26">
        <v>46131.0</v>
      </c>
      <c r="B1460" s="28" t="s">
        <v>1514</v>
      </c>
      <c r="C1460" s="28" t="s">
        <v>37</v>
      </c>
      <c r="D1460" s="28" t="s">
        <v>1515</v>
      </c>
      <c r="E1460" s="71">
        <v>2490.07</v>
      </c>
      <c r="F1460" s="28" t="s">
        <v>1546</v>
      </c>
      <c r="G1460" s="9">
        <v>46131.0</v>
      </c>
      <c r="H1460" s="70">
        <f t="shared" si="1"/>
        <v>19</v>
      </c>
      <c r="I1460" s="70">
        <f t="shared" si="2"/>
        <v>4</v>
      </c>
      <c r="J1460" s="70">
        <f t="shared" si="3"/>
        <v>2026</v>
      </c>
      <c r="K1460" s="70" t="str">
        <f t="shared" si="4"/>
        <v>04/2026</v>
      </c>
    </row>
    <row r="1461" hidden="1">
      <c r="A1461" s="26">
        <v>46132.0</v>
      </c>
      <c r="B1461" s="28" t="s">
        <v>1519</v>
      </c>
      <c r="C1461" s="28" t="s">
        <v>27</v>
      </c>
      <c r="D1461" s="28" t="s">
        <v>1520</v>
      </c>
      <c r="E1461" s="71">
        <v>2698.0</v>
      </c>
      <c r="F1461" s="28" t="s">
        <v>1546</v>
      </c>
      <c r="G1461" s="9">
        <v>46132.0</v>
      </c>
      <c r="H1461" s="70">
        <f t="shared" si="1"/>
        <v>20</v>
      </c>
      <c r="I1461" s="70">
        <f t="shared" si="2"/>
        <v>4</v>
      </c>
      <c r="J1461" s="70">
        <f t="shared" si="3"/>
        <v>2026</v>
      </c>
      <c r="K1461" s="70" t="str">
        <f t="shared" si="4"/>
        <v>04/2026</v>
      </c>
    </row>
    <row r="1462" hidden="1">
      <c r="A1462" s="26">
        <v>46132.0</v>
      </c>
      <c r="B1462" s="28" t="s">
        <v>1523</v>
      </c>
      <c r="C1462" s="28" t="s">
        <v>27</v>
      </c>
      <c r="D1462" s="28" t="s">
        <v>1524</v>
      </c>
      <c r="E1462" s="71">
        <v>5767.0</v>
      </c>
      <c r="F1462" s="28" t="s">
        <v>1546</v>
      </c>
      <c r="G1462" s="9">
        <v>46132.0</v>
      </c>
      <c r="H1462" s="70">
        <f t="shared" si="1"/>
        <v>20</v>
      </c>
      <c r="I1462" s="70">
        <f t="shared" si="2"/>
        <v>4</v>
      </c>
      <c r="J1462" s="70">
        <f t="shared" si="3"/>
        <v>2026</v>
      </c>
      <c r="K1462" s="70" t="str">
        <f t="shared" si="4"/>
        <v>04/2026</v>
      </c>
    </row>
    <row r="1463" hidden="1">
      <c r="A1463" s="26">
        <v>46132.0</v>
      </c>
      <c r="B1463" s="28" t="s">
        <v>1511</v>
      </c>
      <c r="C1463" s="28" t="s">
        <v>66</v>
      </c>
      <c r="D1463" s="28" t="s">
        <v>1512</v>
      </c>
      <c r="E1463" s="71">
        <v>597.78</v>
      </c>
      <c r="F1463" s="28" t="s">
        <v>1546</v>
      </c>
      <c r="G1463" s="9">
        <v>46132.0</v>
      </c>
      <c r="H1463" s="70">
        <f t="shared" si="1"/>
        <v>20</v>
      </c>
      <c r="I1463" s="70">
        <f t="shared" si="2"/>
        <v>4</v>
      </c>
      <c r="J1463" s="70">
        <f t="shared" si="3"/>
        <v>2026</v>
      </c>
      <c r="K1463" s="70" t="str">
        <f t="shared" si="4"/>
        <v>04/2026</v>
      </c>
    </row>
    <row r="1464" hidden="1">
      <c r="A1464" s="26">
        <v>46132.0</v>
      </c>
      <c r="B1464" s="28" t="s">
        <v>1514</v>
      </c>
      <c r="C1464" s="28" t="s">
        <v>37</v>
      </c>
      <c r="D1464" s="28" t="s">
        <v>1515</v>
      </c>
      <c r="E1464" s="71">
        <v>1351.89</v>
      </c>
      <c r="F1464" s="28" t="s">
        <v>1546</v>
      </c>
      <c r="G1464" s="9">
        <v>46132.0</v>
      </c>
      <c r="H1464" s="70">
        <f t="shared" si="1"/>
        <v>20</v>
      </c>
      <c r="I1464" s="70">
        <f t="shared" si="2"/>
        <v>4</v>
      </c>
      <c r="J1464" s="70">
        <f t="shared" si="3"/>
        <v>2026</v>
      </c>
      <c r="K1464" s="70" t="str">
        <f t="shared" si="4"/>
        <v>04/2026</v>
      </c>
    </row>
    <row r="1465" hidden="1">
      <c r="A1465" s="26">
        <v>46139.0</v>
      </c>
      <c r="B1465" s="28" t="s">
        <v>1519</v>
      </c>
      <c r="C1465" s="28" t="s">
        <v>27</v>
      </c>
      <c r="D1465" s="28" t="s">
        <v>1520</v>
      </c>
      <c r="E1465" s="71">
        <v>2698.0</v>
      </c>
      <c r="F1465" s="28" t="s">
        <v>1546</v>
      </c>
      <c r="G1465" s="9">
        <v>46139.0</v>
      </c>
      <c r="H1465" s="70">
        <f t="shared" si="1"/>
        <v>27</v>
      </c>
      <c r="I1465" s="70">
        <f t="shared" si="2"/>
        <v>4</v>
      </c>
      <c r="J1465" s="70">
        <f t="shared" si="3"/>
        <v>2026</v>
      </c>
      <c r="K1465" s="70" t="str">
        <f t="shared" si="4"/>
        <v>04/2026</v>
      </c>
    </row>
    <row r="1466" hidden="1">
      <c r="A1466" s="26">
        <v>46146.0</v>
      </c>
      <c r="B1466" s="28" t="s">
        <v>1523</v>
      </c>
      <c r="C1466" s="28" t="s">
        <v>27</v>
      </c>
      <c r="D1466" s="28" t="s">
        <v>1524</v>
      </c>
      <c r="E1466" s="71">
        <v>5767.0</v>
      </c>
      <c r="F1466" s="28" t="s">
        <v>1546</v>
      </c>
      <c r="G1466" s="9">
        <v>46146.0</v>
      </c>
      <c r="H1466" s="70">
        <f t="shared" si="1"/>
        <v>4</v>
      </c>
      <c r="I1466" s="70">
        <f t="shared" si="2"/>
        <v>5</v>
      </c>
      <c r="J1466" s="70">
        <f t="shared" si="3"/>
        <v>2026</v>
      </c>
      <c r="K1466" s="70" t="str">
        <f t="shared" si="4"/>
        <v>05/2026</v>
      </c>
    </row>
    <row r="1467" hidden="1">
      <c r="A1467" s="9"/>
      <c r="B1467" s="15"/>
      <c r="C1467" s="15"/>
      <c r="E1467" s="76"/>
      <c r="F1467" s="15"/>
      <c r="G1467" s="10"/>
      <c r="H1467" s="70" t="str">
        <f t="shared" si="1"/>
        <v/>
      </c>
      <c r="I1467" s="70" t="str">
        <f t="shared" si="2"/>
        <v/>
      </c>
      <c r="J1467" s="70" t="str">
        <f t="shared" si="3"/>
        <v/>
      </c>
      <c r="K1467" s="70" t="str">
        <f t="shared" si="4"/>
        <v>12/1899</v>
      </c>
    </row>
    <row r="1468" hidden="1">
      <c r="A1468" s="9"/>
      <c r="B1468" s="15"/>
      <c r="C1468" s="15"/>
      <c r="E1468" s="76"/>
      <c r="F1468" s="15"/>
      <c r="G1468" s="10"/>
      <c r="H1468" s="70" t="str">
        <f t="shared" si="1"/>
        <v/>
      </c>
      <c r="I1468" s="70" t="str">
        <f t="shared" si="2"/>
        <v/>
      </c>
      <c r="J1468" s="70" t="str">
        <f t="shared" si="3"/>
        <v/>
      </c>
      <c r="K1468" s="70" t="str">
        <f t="shared" si="4"/>
        <v>12/1899</v>
      </c>
    </row>
    <row r="1469" hidden="1">
      <c r="A1469" s="9"/>
      <c r="B1469" s="15"/>
      <c r="C1469" s="15"/>
      <c r="E1469" s="76"/>
      <c r="F1469" s="15"/>
      <c r="G1469" s="10"/>
      <c r="H1469" s="70" t="str">
        <f t="shared" si="1"/>
        <v/>
      </c>
      <c r="I1469" s="70" t="str">
        <f t="shared" si="2"/>
        <v/>
      </c>
      <c r="J1469" s="70" t="str">
        <f t="shared" si="3"/>
        <v/>
      </c>
      <c r="K1469" s="70" t="str">
        <f t="shared" si="4"/>
        <v>12/1899</v>
      </c>
    </row>
    <row r="1470" hidden="1">
      <c r="A1470" s="9"/>
      <c r="B1470" s="15"/>
      <c r="C1470" s="15"/>
      <c r="E1470" s="76"/>
      <c r="F1470" s="15"/>
      <c r="G1470" s="10"/>
      <c r="H1470" s="70" t="str">
        <f t="shared" si="1"/>
        <v/>
      </c>
      <c r="I1470" s="70" t="str">
        <f t="shared" si="2"/>
        <v/>
      </c>
      <c r="J1470" s="70" t="str">
        <f t="shared" si="3"/>
        <v/>
      </c>
      <c r="K1470" s="70" t="str">
        <f t="shared" si="4"/>
        <v>12/1899</v>
      </c>
    </row>
    <row r="1471" hidden="1">
      <c r="A1471" s="9"/>
      <c r="B1471" s="15"/>
      <c r="C1471" s="15"/>
      <c r="E1471" s="76"/>
      <c r="F1471" s="15"/>
      <c r="G1471" s="10"/>
      <c r="H1471" s="70" t="str">
        <f t="shared" si="1"/>
        <v/>
      </c>
      <c r="I1471" s="70" t="str">
        <f t="shared" si="2"/>
        <v/>
      </c>
      <c r="J1471" s="70" t="str">
        <f t="shared" si="3"/>
        <v/>
      </c>
      <c r="K1471" s="70" t="str">
        <f t="shared" si="4"/>
        <v>12/1899</v>
      </c>
    </row>
    <row r="1472" hidden="1">
      <c r="A1472" s="9"/>
      <c r="B1472" s="15"/>
      <c r="C1472" s="15"/>
      <c r="E1472" s="76"/>
      <c r="F1472" s="15"/>
      <c r="G1472" s="10"/>
      <c r="H1472" s="70" t="str">
        <f t="shared" si="1"/>
        <v/>
      </c>
      <c r="I1472" s="70" t="str">
        <f t="shared" si="2"/>
        <v/>
      </c>
      <c r="J1472" s="70" t="str">
        <f t="shared" si="3"/>
        <v/>
      </c>
      <c r="K1472" s="70" t="str">
        <f t="shared" si="4"/>
        <v>12/1899</v>
      </c>
    </row>
    <row r="1473" hidden="1">
      <c r="A1473" s="9"/>
      <c r="B1473" s="15"/>
      <c r="C1473" s="15"/>
      <c r="E1473" s="76"/>
      <c r="F1473" s="15"/>
      <c r="G1473" s="10"/>
      <c r="H1473" s="70" t="str">
        <f t="shared" si="1"/>
        <v/>
      </c>
      <c r="I1473" s="70" t="str">
        <f t="shared" si="2"/>
        <v/>
      </c>
      <c r="J1473" s="70" t="str">
        <f t="shared" si="3"/>
        <v/>
      </c>
      <c r="K1473" s="70" t="str">
        <f t="shared" si="4"/>
        <v>12/1899</v>
      </c>
    </row>
    <row r="1474" hidden="1">
      <c r="A1474" s="9"/>
      <c r="B1474" s="15"/>
      <c r="C1474" s="15"/>
      <c r="E1474" s="76"/>
      <c r="F1474" s="15"/>
      <c r="G1474" s="10"/>
      <c r="H1474" s="70" t="str">
        <f t="shared" si="1"/>
        <v/>
      </c>
      <c r="I1474" s="70" t="str">
        <f t="shared" si="2"/>
        <v/>
      </c>
      <c r="J1474" s="70" t="str">
        <f t="shared" si="3"/>
        <v/>
      </c>
      <c r="K1474" s="70" t="str">
        <f t="shared" si="4"/>
        <v>12/1899</v>
      </c>
    </row>
    <row r="1475" hidden="1">
      <c r="A1475" s="9"/>
      <c r="B1475" s="15"/>
      <c r="C1475" s="15"/>
      <c r="E1475" s="76"/>
      <c r="F1475" s="15"/>
      <c r="G1475" s="10"/>
      <c r="H1475" s="70" t="str">
        <f t="shared" si="1"/>
        <v/>
      </c>
      <c r="I1475" s="70" t="str">
        <f t="shared" si="2"/>
        <v/>
      </c>
      <c r="J1475" s="70" t="str">
        <f t="shared" si="3"/>
        <v/>
      </c>
      <c r="K1475" s="70" t="str">
        <f t="shared" si="4"/>
        <v>12/1899</v>
      </c>
    </row>
    <row r="1476" hidden="1">
      <c r="A1476" s="9"/>
      <c r="B1476" s="15"/>
      <c r="C1476" s="15"/>
      <c r="E1476" s="76"/>
      <c r="F1476" s="15"/>
      <c r="G1476" s="10"/>
      <c r="H1476" s="70" t="str">
        <f t="shared" si="1"/>
        <v/>
      </c>
      <c r="I1476" s="70" t="str">
        <f t="shared" si="2"/>
        <v/>
      </c>
      <c r="J1476" s="70" t="str">
        <f t="shared" si="3"/>
        <v/>
      </c>
      <c r="K1476" s="70" t="str">
        <f t="shared" si="4"/>
        <v>12/1899</v>
      </c>
    </row>
    <row r="1477" hidden="1">
      <c r="A1477" s="9"/>
      <c r="B1477" s="15"/>
      <c r="C1477" s="15"/>
      <c r="E1477" s="76"/>
      <c r="F1477" s="15"/>
      <c r="G1477" s="10"/>
      <c r="H1477" s="70" t="str">
        <f t="shared" si="1"/>
        <v/>
      </c>
      <c r="I1477" s="70" t="str">
        <f t="shared" si="2"/>
        <v/>
      </c>
      <c r="J1477" s="70" t="str">
        <f t="shared" si="3"/>
        <v/>
      </c>
      <c r="K1477" s="70" t="str">
        <f t="shared" si="4"/>
        <v>12/1899</v>
      </c>
    </row>
    <row r="1478" hidden="1">
      <c r="A1478" s="9"/>
      <c r="B1478" s="15"/>
      <c r="C1478" s="15"/>
      <c r="E1478" s="76"/>
      <c r="F1478" s="15"/>
      <c r="G1478" s="10"/>
      <c r="H1478" s="70" t="str">
        <f t="shared" si="1"/>
        <v/>
      </c>
      <c r="I1478" s="70" t="str">
        <f t="shared" si="2"/>
        <v/>
      </c>
      <c r="J1478" s="70" t="str">
        <f t="shared" si="3"/>
        <v/>
      </c>
      <c r="K1478" s="70" t="str">
        <f t="shared" si="4"/>
        <v>12/1899</v>
      </c>
    </row>
    <row r="1479" hidden="1">
      <c r="A1479" s="9"/>
      <c r="B1479" s="15"/>
      <c r="C1479" s="15"/>
      <c r="E1479" s="76"/>
      <c r="F1479" s="15"/>
      <c r="G1479" s="10"/>
      <c r="H1479" s="70" t="str">
        <f t="shared" si="1"/>
        <v/>
      </c>
      <c r="I1479" s="70" t="str">
        <f t="shared" si="2"/>
        <v/>
      </c>
      <c r="J1479" s="70" t="str">
        <f t="shared" si="3"/>
        <v/>
      </c>
      <c r="K1479" s="70" t="str">
        <f t="shared" si="4"/>
        <v>12/1899</v>
      </c>
    </row>
    <row r="1480" hidden="1">
      <c r="A1480" s="9"/>
      <c r="B1480" s="15"/>
      <c r="C1480" s="15"/>
      <c r="E1480" s="76"/>
      <c r="F1480" s="15"/>
      <c r="G1480" s="10"/>
      <c r="H1480" s="70" t="str">
        <f t="shared" si="1"/>
        <v/>
      </c>
      <c r="I1480" s="70" t="str">
        <f t="shared" si="2"/>
        <v/>
      </c>
      <c r="J1480" s="70" t="str">
        <f t="shared" si="3"/>
        <v/>
      </c>
      <c r="K1480" s="70" t="str">
        <f t="shared" si="4"/>
        <v>12/1899</v>
      </c>
    </row>
    <row r="1481" hidden="1">
      <c r="A1481" s="9"/>
      <c r="B1481" s="15"/>
      <c r="C1481" s="15"/>
      <c r="E1481" s="76"/>
      <c r="F1481" s="15"/>
      <c r="G1481" s="10"/>
      <c r="H1481" s="70" t="str">
        <f t="shared" si="1"/>
        <v/>
      </c>
      <c r="I1481" s="70" t="str">
        <f t="shared" si="2"/>
        <v/>
      </c>
      <c r="J1481" s="70" t="str">
        <f t="shared" si="3"/>
        <v/>
      </c>
      <c r="K1481" s="70" t="str">
        <f t="shared" si="4"/>
        <v>12/1899</v>
      </c>
    </row>
    <row r="1482" hidden="1">
      <c r="A1482" s="9"/>
      <c r="B1482" s="15"/>
      <c r="C1482" s="15"/>
      <c r="E1482" s="76"/>
      <c r="F1482" s="15"/>
      <c r="G1482" s="10"/>
      <c r="H1482" s="70" t="str">
        <f t="shared" si="1"/>
        <v/>
      </c>
      <c r="I1482" s="70" t="str">
        <f t="shared" si="2"/>
        <v/>
      </c>
      <c r="J1482" s="70" t="str">
        <f t="shared" si="3"/>
        <v/>
      </c>
      <c r="K1482" s="70" t="str">
        <f t="shared" si="4"/>
        <v>12/1899</v>
      </c>
    </row>
    <row r="1483" hidden="1">
      <c r="A1483" s="9"/>
      <c r="B1483" s="15"/>
      <c r="C1483" s="15"/>
      <c r="E1483" s="76"/>
      <c r="F1483" s="15"/>
      <c r="G1483" s="10"/>
      <c r="H1483" s="70" t="str">
        <f t="shared" si="1"/>
        <v/>
      </c>
      <c r="I1483" s="70" t="str">
        <f t="shared" si="2"/>
        <v/>
      </c>
      <c r="J1483" s="70" t="str">
        <f t="shared" si="3"/>
        <v/>
      </c>
      <c r="K1483" s="70" t="str">
        <f t="shared" si="4"/>
        <v>12/1899</v>
      </c>
    </row>
    <row r="1484" hidden="1">
      <c r="A1484" s="9"/>
      <c r="B1484" s="15"/>
      <c r="C1484" s="15"/>
      <c r="E1484" s="76"/>
      <c r="F1484" s="15"/>
      <c r="G1484" s="10"/>
      <c r="H1484" s="70" t="str">
        <f t="shared" si="1"/>
        <v/>
      </c>
      <c r="I1484" s="70" t="str">
        <f t="shared" si="2"/>
        <v/>
      </c>
      <c r="J1484" s="70" t="str">
        <f t="shared" si="3"/>
        <v/>
      </c>
      <c r="K1484" s="70" t="str">
        <f t="shared" si="4"/>
        <v>12/1899</v>
      </c>
    </row>
    <row r="1485" hidden="1">
      <c r="A1485" s="9"/>
      <c r="B1485" s="15"/>
      <c r="C1485" s="15"/>
      <c r="E1485" s="76"/>
      <c r="F1485" s="15"/>
      <c r="G1485" s="10"/>
      <c r="H1485" s="70" t="str">
        <f t="shared" si="1"/>
        <v/>
      </c>
      <c r="I1485" s="70" t="str">
        <f t="shared" si="2"/>
        <v/>
      </c>
      <c r="J1485" s="70" t="str">
        <f t="shared" si="3"/>
        <v/>
      </c>
      <c r="K1485" s="70" t="str">
        <f t="shared" si="4"/>
        <v>12/1899</v>
      </c>
    </row>
    <row r="1486" hidden="1">
      <c r="A1486" s="9"/>
      <c r="B1486" s="15"/>
      <c r="C1486" s="15"/>
      <c r="E1486" s="76"/>
      <c r="F1486" s="15"/>
      <c r="G1486" s="10"/>
      <c r="H1486" s="70" t="str">
        <f t="shared" si="1"/>
        <v/>
      </c>
      <c r="I1486" s="70" t="str">
        <f t="shared" si="2"/>
        <v/>
      </c>
      <c r="J1486" s="70" t="str">
        <f t="shared" si="3"/>
        <v/>
      </c>
      <c r="K1486" s="70" t="str">
        <f t="shared" si="4"/>
        <v>12/1899</v>
      </c>
    </row>
    <row r="1487" hidden="1">
      <c r="A1487" s="9"/>
      <c r="B1487" s="15"/>
      <c r="C1487" s="15"/>
      <c r="E1487" s="76"/>
      <c r="F1487" s="15"/>
      <c r="G1487" s="10"/>
      <c r="H1487" s="70" t="str">
        <f t="shared" si="1"/>
        <v/>
      </c>
      <c r="I1487" s="70" t="str">
        <f t="shared" si="2"/>
        <v/>
      </c>
      <c r="J1487" s="70" t="str">
        <f t="shared" si="3"/>
        <v/>
      </c>
      <c r="K1487" s="70" t="str">
        <f t="shared" si="4"/>
        <v>12/1899</v>
      </c>
    </row>
    <row r="1488" hidden="1">
      <c r="A1488" s="9"/>
      <c r="B1488" s="15"/>
      <c r="C1488" s="15"/>
      <c r="E1488" s="76"/>
      <c r="F1488" s="15"/>
      <c r="G1488" s="10"/>
      <c r="H1488" s="70" t="str">
        <f t="shared" si="1"/>
        <v/>
      </c>
      <c r="I1488" s="70" t="str">
        <f t="shared" si="2"/>
        <v/>
      </c>
      <c r="J1488" s="70" t="str">
        <f t="shared" si="3"/>
        <v/>
      </c>
      <c r="K1488" s="70" t="str">
        <f t="shared" si="4"/>
        <v>12/1899</v>
      </c>
    </row>
    <row r="1489" hidden="1">
      <c r="A1489" s="9"/>
      <c r="B1489" s="15"/>
      <c r="C1489" s="15"/>
      <c r="E1489" s="76"/>
      <c r="F1489" s="15"/>
      <c r="G1489" s="10"/>
      <c r="H1489" s="70" t="str">
        <f t="shared" si="1"/>
        <v/>
      </c>
      <c r="I1489" s="70" t="str">
        <f t="shared" si="2"/>
        <v/>
      </c>
      <c r="J1489" s="70" t="str">
        <f t="shared" si="3"/>
        <v/>
      </c>
      <c r="K1489" s="70" t="str">
        <f t="shared" si="4"/>
        <v>12/1899</v>
      </c>
    </row>
    <row r="1490" hidden="1">
      <c r="A1490" s="9"/>
      <c r="B1490" s="15"/>
      <c r="C1490" s="15"/>
      <c r="E1490" s="76"/>
      <c r="F1490" s="15"/>
      <c r="G1490" s="10"/>
      <c r="H1490" s="70" t="str">
        <f t="shared" si="1"/>
        <v/>
      </c>
      <c r="I1490" s="70" t="str">
        <f t="shared" si="2"/>
        <v/>
      </c>
      <c r="J1490" s="70" t="str">
        <f t="shared" si="3"/>
        <v/>
      </c>
      <c r="K1490" s="70" t="str">
        <f t="shared" si="4"/>
        <v>12/1899</v>
      </c>
    </row>
    <row r="1491" hidden="1">
      <c r="A1491" s="9"/>
      <c r="B1491" s="15"/>
      <c r="C1491" s="15"/>
      <c r="E1491" s="76"/>
      <c r="F1491" s="15"/>
      <c r="G1491" s="10"/>
      <c r="H1491" s="70" t="str">
        <f t="shared" si="1"/>
        <v/>
      </c>
      <c r="I1491" s="70" t="str">
        <f t="shared" si="2"/>
        <v/>
      </c>
      <c r="J1491" s="70" t="str">
        <f t="shared" si="3"/>
        <v/>
      </c>
      <c r="K1491" s="70" t="str">
        <f t="shared" si="4"/>
        <v>12/1899</v>
      </c>
    </row>
    <row r="1492" hidden="1">
      <c r="A1492" s="9"/>
      <c r="B1492" s="15"/>
      <c r="C1492" s="15"/>
      <c r="E1492" s="76"/>
      <c r="F1492" s="15"/>
      <c r="G1492" s="10"/>
      <c r="H1492" s="70" t="str">
        <f t="shared" si="1"/>
        <v/>
      </c>
      <c r="I1492" s="70" t="str">
        <f t="shared" si="2"/>
        <v/>
      </c>
      <c r="J1492" s="70" t="str">
        <f t="shared" si="3"/>
        <v/>
      </c>
      <c r="K1492" s="70" t="str">
        <f t="shared" si="4"/>
        <v>12/1899</v>
      </c>
    </row>
    <row r="1493" hidden="1">
      <c r="A1493" s="9"/>
      <c r="B1493" s="15"/>
      <c r="C1493" s="15"/>
      <c r="E1493" s="76"/>
      <c r="F1493" s="15"/>
      <c r="G1493" s="10"/>
      <c r="H1493" s="70" t="str">
        <f t="shared" si="1"/>
        <v/>
      </c>
      <c r="I1493" s="70" t="str">
        <f t="shared" si="2"/>
        <v/>
      </c>
      <c r="J1493" s="70" t="str">
        <f t="shared" si="3"/>
        <v/>
      </c>
      <c r="K1493" s="70" t="str">
        <f t="shared" si="4"/>
        <v>12/1899</v>
      </c>
    </row>
    <row r="1494" hidden="1">
      <c r="A1494" s="9"/>
      <c r="B1494" s="15"/>
      <c r="C1494" s="15"/>
      <c r="E1494" s="76"/>
      <c r="F1494" s="15"/>
      <c r="G1494" s="10"/>
      <c r="H1494" s="70" t="str">
        <f t="shared" si="1"/>
        <v/>
      </c>
      <c r="I1494" s="70" t="str">
        <f t="shared" si="2"/>
        <v/>
      </c>
      <c r="J1494" s="70" t="str">
        <f t="shared" si="3"/>
        <v/>
      </c>
      <c r="K1494" s="70" t="str">
        <f t="shared" si="4"/>
        <v>12/1899</v>
      </c>
    </row>
    <row r="1495" hidden="1">
      <c r="A1495" s="9"/>
      <c r="B1495" s="15"/>
      <c r="C1495" s="15"/>
      <c r="E1495" s="76"/>
      <c r="F1495" s="15"/>
      <c r="G1495" s="10"/>
      <c r="H1495" s="70" t="str">
        <f t="shared" si="1"/>
        <v/>
      </c>
      <c r="I1495" s="70" t="str">
        <f t="shared" si="2"/>
        <v/>
      </c>
      <c r="J1495" s="70" t="str">
        <f t="shared" si="3"/>
        <v/>
      </c>
      <c r="K1495" s="70" t="str">
        <f t="shared" si="4"/>
        <v>12/1899</v>
      </c>
    </row>
    <row r="1496" hidden="1">
      <c r="A1496" s="9"/>
      <c r="B1496" s="15"/>
      <c r="C1496" s="15"/>
      <c r="E1496" s="76"/>
      <c r="F1496" s="15"/>
      <c r="G1496" s="10"/>
      <c r="H1496" s="70" t="str">
        <f t="shared" si="1"/>
        <v/>
      </c>
      <c r="I1496" s="70" t="str">
        <f t="shared" si="2"/>
        <v/>
      </c>
      <c r="J1496" s="70" t="str">
        <f t="shared" si="3"/>
        <v/>
      </c>
      <c r="K1496" s="70" t="str">
        <f t="shared" si="4"/>
        <v>12/1899</v>
      </c>
    </row>
    <row r="1497" hidden="1">
      <c r="A1497" s="9"/>
      <c r="B1497" s="15"/>
      <c r="C1497" s="15"/>
      <c r="E1497" s="76"/>
      <c r="F1497" s="15"/>
      <c r="G1497" s="10"/>
      <c r="H1497" s="70" t="str">
        <f t="shared" si="1"/>
        <v/>
      </c>
      <c r="I1497" s="70" t="str">
        <f t="shared" si="2"/>
        <v/>
      </c>
      <c r="J1497" s="70" t="str">
        <f t="shared" si="3"/>
        <v/>
      </c>
      <c r="K1497" s="70" t="str">
        <f t="shared" si="4"/>
        <v>12/1899</v>
      </c>
    </row>
    <row r="1498" hidden="1">
      <c r="A1498" s="9"/>
      <c r="B1498" s="15"/>
      <c r="C1498" s="15"/>
      <c r="E1498" s="76"/>
      <c r="F1498" s="15"/>
      <c r="G1498" s="10"/>
      <c r="H1498" s="70" t="str">
        <f t="shared" si="1"/>
        <v/>
      </c>
      <c r="I1498" s="70" t="str">
        <f t="shared" si="2"/>
        <v/>
      </c>
      <c r="J1498" s="70" t="str">
        <f t="shared" si="3"/>
        <v/>
      </c>
      <c r="K1498" s="70" t="str">
        <f t="shared" si="4"/>
        <v>12/1899</v>
      </c>
    </row>
    <row r="1499" hidden="1">
      <c r="A1499" s="9"/>
      <c r="B1499" s="15"/>
      <c r="C1499" s="15"/>
      <c r="E1499" s="76"/>
      <c r="F1499" s="15"/>
      <c r="G1499" s="10"/>
      <c r="H1499" s="70" t="str">
        <f t="shared" si="1"/>
        <v/>
      </c>
      <c r="I1499" s="70" t="str">
        <f t="shared" si="2"/>
        <v/>
      </c>
      <c r="J1499" s="70" t="str">
        <f t="shared" si="3"/>
        <v/>
      </c>
      <c r="K1499" s="70" t="str">
        <f t="shared" si="4"/>
        <v>12/1899</v>
      </c>
    </row>
    <row r="1500" hidden="1">
      <c r="A1500" s="9"/>
      <c r="B1500" s="15"/>
      <c r="C1500" s="15"/>
      <c r="E1500" s="76"/>
      <c r="F1500" s="15"/>
      <c r="G1500" s="10"/>
      <c r="H1500" s="70" t="str">
        <f t="shared" si="1"/>
        <v/>
      </c>
      <c r="I1500" s="70" t="str">
        <f t="shared" si="2"/>
        <v/>
      </c>
      <c r="J1500" s="70" t="str">
        <f t="shared" si="3"/>
        <v/>
      </c>
      <c r="K1500" s="70" t="str">
        <f t="shared" si="4"/>
        <v>12/1899</v>
      </c>
    </row>
    <row r="1501" hidden="1">
      <c r="A1501" s="9"/>
      <c r="B1501" s="15"/>
      <c r="C1501" s="15"/>
      <c r="E1501" s="76"/>
      <c r="F1501" s="15"/>
      <c r="G1501" s="10"/>
      <c r="H1501" s="70" t="str">
        <f t="shared" si="1"/>
        <v/>
      </c>
      <c r="I1501" s="70" t="str">
        <f t="shared" si="2"/>
        <v/>
      </c>
      <c r="J1501" s="70" t="str">
        <f t="shared" si="3"/>
        <v/>
      </c>
      <c r="K1501" s="70" t="str">
        <f t="shared" si="4"/>
        <v>12/1899</v>
      </c>
    </row>
    <row r="1502" hidden="1">
      <c r="A1502" s="9"/>
      <c r="B1502" s="15"/>
      <c r="C1502" s="15"/>
      <c r="E1502" s="76"/>
      <c r="F1502" s="15"/>
      <c r="G1502" s="10"/>
      <c r="H1502" s="70" t="str">
        <f t="shared" si="1"/>
        <v/>
      </c>
      <c r="I1502" s="70" t="str">
        <f t="shared" si="2"/>
        <v/>
      </c>
      <c r="J1502" s="70" t="str">
        <f t="shared" si="3"/>
        <v/>
      </c>
      <c r="K1502" s="70" t="str">
        <f t="shared" si="4"/>
        <v>12/1899</v>
      </c>
    </row>
    <row r="1503" hidden="1">
      <c r="A1503" s="9"/>
      <c r="B1503" s="15"/>
      <c r="C1503" s="15"/>
      <c r="E1503" s="76"/>
      <c r="F1503" s="15"/>
      <c r="G1503" s="10"/>
      <c r="H1503" s="70" t="str">
        <f t="shared" si="1"/>
        <v/>
      </c>
      <c r="I1503" s="70" t="str">
        <f t="shared" si="2"/>
        <v/>
      </c>
      <c r="J1503" s="70" t="str">
        <f t="shared" si="3"/>
        <v/>
      </c>
      <c r="K1503" s="70" t="str">
        <f t="shared" si="4"/>
        <v>12/1899</v>
      </c>
    </row>
    <row r="1504" hidden="1">
      <c r="A1504" s="9"/>
      <c r="B1504" s="15"/>
      <c r="C1504" s="15"/>
      <c r="E1504" s="76"/>
      <c r="F1504" s="15"/>
      <c r="G1504" s="10"/>
      <c r="H1504" s="70" t="str">
        <f t="shared" si="1"/>
        <v/>
      </c>
      <c r="I1504" s="70" t="str">
        <f t="shared" si="2"/>
        <v/>
      </c>
      <c r="J1504" s="70" t="str">
        <f t="shared" si="3"/>
        <v/>
      </c>
      <c r="K1504" s="70" t="str">
        <f t="shared" si="4"/>
        <v>12/1899</v>
      </c>
    </row>
    <row r="1505" hidden="1">
      <c r="A1505" s="9"/>
      <c r="B1505" s="15"/>
      <c r="C1505" s="15"/>
      <c r="E1505" s="76"/>
      <c r="F1505" s="15"/>
      <c r="G1505" s="10"/>
      <c r="H1505" s="70" t="str">
        <f t="shared" si="1"/>
        <v/>
      </c>
      <c r="I1505" s="70" t="str">
        <f t="shared" si="2"/>
        <v/>
      </c>
      <c r="J1505" s="70" t="str">
        <f t="shared" si="3"/>
        <v/>
      </c>
      <c r="K1505" s="70" t="str">
        <f t="shared" si="4"/>
        <v>12/1899</v>
      </c>
    </row>
    <row r="1506" hidden="1">
      <c r="A1506" s="9"/>
      <c r="B1506" s="15"/>
      <c r="C1506" s="15"/>
      <c r="E1506" s="76"/>
      <c r="F1506" s="15"/>
      <c r="G1506" s="10"/>
      <c r="H1506" s="70" t="str">
        <f t="shared" si="1"/>
        <v/>
      </c>
      <c r="I1506" s="70" t="str">
        <f t="shared" si="2"/>
        <v/>
      </c>
      <c r="J1506" s="70" t="str">
        <f t="shared" si="3"/>
        <v/>
      </c>
      <c r="K1506" s="70" t="str">
        <f t="shared" si="4"/>
        <v>12/1899</v>
      </c>
    </row>
    <row r="1507" hidden="1">
      <c r="A1507" s="9"/>
      <c r="B1507" s="15"/>
      <c r="C1507" s="15"/>
      <c r="E1507" s="76"/>
      <c r="F1507" s="15"/>
      <c r="G1507" s="10"/>
      <c r="H1507" s="70" t="str">
        <f t="shared" si="1"/>
        <v/>
      </c>
      <c r="I1507" s="70" t="str">
        <f t="shared" si="2"/>
        <v/>
      </c>
      <c r="J1507" s="70" t="str">
        <f t="shared" si="3"/>
        <v/>
      </c>
      <c r="K1507" s="70" t="str">
        <f t="shared" si="4"/>
        <v>12/1899</v>
      </c>
    </row>
    <row r="1508" hidden="1">
      <c r="A1508" s="9"/>
      <c r="B1508" s="15"/>
      <c r="C1508" s="15"/>
      <c r="E1508" s="76"/>
      <c r="F1508" s="15"/>
      <c r="G1508" s="10"/>
      <c r="H1508" s="70" t="str">
        <f t="shared" si="1"/>
        <v/>
      </c>
      <c r="I1508" s="70" t="str">
        <f t="shared" si="2"/>
        <v/>
      </c>
      <c r="J1508" s="70" t="str">
        <f t="shared" si="3"/>
        <v/>
      </c>
      <c r="K1508" s="70" t="str">
        <f t="shared" si="4"/>
        <v>12/1899</v>
      </c>
    </row>
    <row r="1509" hidden="1">
      <c r="A1509" s="9"/>
      <c r="B1509" s="15"/>
      <c r="C1509" s="15"/>
      <c r="E1509" s="76"/>
      <c r="F1509" s="15"/>
      <c r="G1509" s="10"/>
      <c r="H1509" s="70" t="str">
        <f t="shared" si="1"/>
        <v/>
      </c>
      <c r="I1509" s="70" t="str">
        <f t="shared" si="2"/>
        <v/>
      </c>
      <c r="J1509" s="70" t="str">
        <f t="shared" si="3"/>
        <v/>
      </c>
      <c r="K1509" s="70" t="str">
        <f t="shared" si="4"/>
        <v>12/1899</v>
      </c>
    </row>
    <row r="1510" hidden="1">
      <c r="A1510" s="9"/>
      <c r="B1510" s="15"/>
      <c r="C1510" s="15"/>
      <c r="E1510" s="76"/>
      <c r="F1510" s="15"/>
      <c r="G1510" s="10"/>
      <c r="H1510" s="70" t="str">
        <f t="shared" si="1"/>
        <v/>
      </c>
      <c r="I1510" s="70" t="str">
        <f t="shared" si="2"/>
        <v/>
      </c>
      <c r="J1510" s="70" t="str">
        <f t="shared" si="3"/>
        <v/>
      </c>
      <c r="K1510" s="70" t="str">
        <f t="shared" si="4"/>
        <v>12/1899</v>
      </c>
    </row>
    <row r="1511" hidden="1">
      <c r="A1511" s="9"/>
      <c r="B1511" s="15"/>
      <c r="C1511" s="15"/>
      <c r="E1511" s="76"/>
      <c r="F1511" s="15"/>
      <c r="G1511" s="10"/>
      <c r="H1511" s="70" t="str">
        <f t="shared" si="1"/>
        <v/>
      </c>
      <c r="I1511" s="70" t="str">
        <f t="shared" si="2"/>
        <v/>
      </c>
      <c r="J1511" s="70" t="str">
        <f t="shared" si="3"/>
        <v/>
      </c>
      <c r="K1511" s="70" t="str">
        <f t="shared" si="4"/>
        <v>12/1899</v>
      </c>
    </row>
    <row r="1512" hidden="1">
      <c r="A1512" s="9"/>
      <c r="B1512" s="15"/>
      <c r="C1512" s="15"/>
      <c r="E1512" s="76"/>
      <c r="F1512" s="15"/>
      <c r="G1512" s="10"/>
      <c r="H1512" s="70" t="str">
        <f t="shared" si="1"/>
        <v/>
      </c>
      <c r="I1512" s="70" t="str">
        <f t="shared" si="2"/>
        <v/>
      </c>
      <c r="J1512" s="70" t="str">
        <f t="shared" si="3"/>
        <v/>
      </c>
      <c r="K1512" s="70" t="str">
        <f t="shared" si="4"/>
        <v>12/1899</v>
      </c>
    </row>
    <row r="1513" hidden="1">
      <c r="A1513" s="9"/>
      <c r="B1513" s="15"/>
      <c r="C1513" s="15"/>
      <c r="E1513" s="76"/>
      <c r="F1513" s="15"/>
      <c r="G1513" s="10"/>
      <c r="H1513" s="70" t="str">
        <f t="shared" si="1"/>
        <v/>
      </c>
      <c r="I1513" s="70" t="str">
        <f t="shared" si="2"/>
        <v/>
      </c>
      <c r="J1513" s="70" t="str">
        <f t="shared" si="3"/>
        <v/>
      </c>
      <c r="K1513" s="70" t="str">
        <f t="shared" si="4"/>
        <v>12/1899</v>
      </c>
    </row>
    <row r="1514" hidden="1">
      <c r="A1514" s="9"/>
      <c r="B1514" s="15"/>
      <c r="C1514" s="15"/>
      <c r="E1514" s="76"/>
      <c r="F1514" s="15"/>
      <c r="G1514" s="10"/>
      <c r="H1514" s="70" t="str">
        <f t="shared" si="1"/>
        <v/>
      </c>
      <c r="I1514" s="70" t="str">
        <f t="shared" si="2"/>
        <v/>
      </c>
      <c r="J1514" s="70" t="str">
        <f t="shared" si="3"/>
        <v/>
      </c>
      <c r="K1514" s="70" t="str">
        <f t="shared" si="4"/>
        <v>12/1899</v>
      </c>
    </row>
    <row r="1515" hidden="1">
      <c r="A1515" s="9"/>
      <c r="B1515" s="15"/>
      <c r="C1515" s="15"/>
      <c r="E1515" s="76"/>
      <c r="F1515" s="15"/>
      <c r="G1515" s="10"/>
      <c r="H1515" s="70" t="str">
        <f t="shared" si="1"/>
        <v/>
      </c>
      <c r="I1515" s="70" t="str">
        <f t="shared" si="2"/>
        <v/>
      </c>
      <c r="J1515" s="70" t="str">
        <f t="shared" si="3"/>
        <v/>
      </c>
      <c r="K1515" s="70" t="str">
        <f t="shared" si="4"/>
        <v>12/1899</v>
      </c>
    </row>
    <row r="1516" hidden="1">
      <c r="A1516" s="9"/>
      <c r="B1516" s="15"/>
      <c r="C1516" s="15"/>
      <c r="E1516" s="76"/>
      <c r="F1516" s="15"/>
      <c r="G1516" s="10"/>
      <c r="H1516" s="70" t="str">
        <f t="shared" si="1"/>
        <v/>
      </c>
      <c r="I1516" s="70" t="str">
        <f t="shared" si="2"/>
        <v/>
      </c>
      <c r="J1516" s="70" t="str">
        <f t="shared" si="3"/>
        <v/>
      </c>
      <c r="K1516" s="70" t="str">
        <f t="shared" si="4"/>
        <v>12/1899</v>
      </c>
    </row>
    <row r="1517" hidden="1">
      <c r="A1517" s="9"/>
      <c r="B1517" s="15"/>
      <c r="C1517" s="15"/>
      <c r="E1517" s="76"/>
      <c r="F1517" s="15"/>
      <c r="G1517" s="10"/>
      <c r="H1517" s="70" t="str">
        <f t="shared" si="1"/>
        <v/>
      </c>
      <c r="I1517" s="70" t="str">
        <f t="shared" si="2"/>
        <v/>
      </c>
      <c r="J1517" s="70" t="str">
        <f t="shared" si="3"/>
        <v/>
      </c>
      <c r="K1517" s="70" t="str">
        <f t="shared" si="4"/>
        <v>12/1899</v>
      </c>
    </row>
    <row r="1518" hidden="1">
      <c r="A1518" s="9"/>
      <c r="B1518" s="15"/>
      <c r="C1518" s="15"/>
      <c r="E1518" s="76"/>
      <c r="F1518" s="15"/>
      <c r="G1518" s="10"/>
      <c r="H1518" s="70" t="str">
        <f t="shared" si="1"/>
        <v/>
      </c>
      <c r="I1518" s="70" t="str">
        <f t="shared" si="2"/>
        <v/>
      </c>
      <c r="J1518" s="70" t="str">
        <f t="shared" si="3"/>
        <v/>
      </c>
      <c r="K1518" s="70" t="str">
        <f t="shared" si="4"/>
        <v>12/1899</v>
      </c>
    </row>
    <row r="1519" hidden="1">
      <c r="A1519" s="9"/>
      <c r="B1519" s="15"/>
      <c r="C1519" s="15"/>
      <c r="E1519" s="76"/>
      <c r="F1519" s="15"/>
      <c r="G1519" s="10"/>
      <c r="H1519" s="70" t="str">
        <f t="shared" si="1"/>
        <v/>
      </c>
      <c r="I1519" s="70" t="str">
        <f t="shared" si="2"/>
        <v/>
      </c>
      <c r="J1519" s="70" t="str">
        <f t="shared" si="3"/>
        <v/>
      </c>
      <c r="K1519" s="70" t="str">
        <f t="shared" si="4"/>
        <v>12/1899</v>
      </c>
    </row>
    <row r="1520" hidden="1">
      <c r="A1520" s="9"/>
      <c r="B1520" s="15"/>
      <c r="C1520" s="15"/>
      <c r="E1520" s="76"/>
      <c r="F1520" s="15"/>
      <c r="G1520" s="10"/>
      <c r="H1520" s="70" t="str">
        <f t="shared" si="1"/>
        <v/>
      </c>
      <c r="I1520" s="70" t="str">
        <f t="shared" si="2"/>
        <v/>
      </c>
      <c r="J1520" s="70" t="str">
        <f t="shared" si="3"/>
        <v/>
      </c>
      <c r="K1520" s="70" t="str">
        <f t="shared" si="4"/>
        <v>12/1899</v>
      </c>
    </row>
    <row r="1521" hidden="1">
      <c r="A1521" s="9"/>
      <c r="B1521" s="15"/>
      <c r="C1521" s="15"/>
      <c r="E1521" s="76"/>
      <c r="F1521" s="15"/>
      <c r="G1521" s="10"/>
      <c r="H1521" s="70" t="str">
        <f t="shared" si="1"/>
        <v/>
      </c>
      <c r="I1521" s="70" t="str">
        <f t="shared" si="2"/>
        <v/>
      </c>
      <c r="J1521" s="70" t="str">
        <f t="shared" si="3"/>
        <v/>
      </c>
      <c r="K1521" s="70" t="str">
        <f t="shared" si="4"/>
        <v>12/1899</v>
      </c>
    </row>
    <row r="1522" hidden="1">
      <c r="A1522" s="9"/>
      <c r="B1522" s="15"/>
      <c r="C1522" s="15"/>
      <c r="E1522" s="76"/>
      <c r="F1522" s="15"/>
      <c r="G1522" s="10"/>
      <c r="H1522" s="70" t="str">
        <f t="shared" si="1"/>
        <v/>
      </c>
      <c r="I1522" s="70" t="str">
        <f t="shared" si="2"/>
        <v/>
      </c>
      <c r="J1522" s="70" t="str">
        <f t="shared" si="3"/>
        <v/>
      </c>
      <c r="K1522" s="70" t="str">
        <f t="shared" si="4"/>
        <v>12/1899</v>
      </c>
    </row>
    <row r="1523" hidden="1">
      <c r="A1523" s="9"/>
      <c r="B1523" s="15"/>
      <c r="C1523" s="15"/>
      <c r="E1523" s="76"/>
      <c r="F1523" s="15"/>
      <c r="G1523" s="10"/>
      <c r="H1523" s="70" t="str">
        <f t="shared" si="1"/>
        <v/>
      </c>
      <c r="I1523" s="70" t="str">
        <f t="shared" si="2"/>
        <v/>
      </c>
      <c r="J1523" s="70" t="str">
        <f t="shared" si="3"/>
        <v/>
      </c>
      <c r="K1523" s="70" t="str">
        <f t="shared" si="4"/>
        <v>12/1899</v>
      </c>
    </row>
    <row r="1524" hidden="1">
      <c r="A1524" s="9"/>
      <c r="B1524" s="15"/>
      <c r="C1524" s="15"/>
      <c r="E1524" s="76"/>
      <c r="F1524" s="15"/>
      <c r="G1524" s="10"/>
      <c r="H1524" s="70" t="str">
        <f t="shared" si="1"/>
        <v/>
      </c>
      <c r="I1524" s="70" t="str">
        <f t="shared" si="2"/>
        <v/>
      </c>
      <c r="J1524" s="70" t="str">
        <f t="shared" si="3"/>
        <v/>
      </c>
      <c r="K1524" s="70" t="str">
        <f t="shared" si="4"/>
        <v>12/1899</v>
      </c>
    </row>
    <row r="1525" hidden="1">
      <c r="A1525" s="9"/>
      <c r="B1525" s="15"/>
      <c r="C1525" s="15"/>
      <c r="E1525" s="76"/>
      <c r="F1525" s="15"/>
      <c r="G1525" s="10"/>
      <c r="H1525" s="70" t="str">
        <f t="shared" si="1"/>
        <v/>
      </c>
      <c r="I1525" s="70" t="str">
        <f t="shared" si="2"/>
        <v/>
      </c>
      <c r="J1525" s="70" t="str">
        <f t="shared" si="3"/>
        <v/>
      </c>
      <c r="K1525" s="70" t="str">
        <f t="shared" si="4"/>
        <v>12/1899</v>
      </c>
    </row>
    <row r="1526" hidden="1">
      <c r="A1526" s="9"/>
      <c r="B1526" s="15"/>
      <c r="C1526" s="15"/>
      <c r="E1526" s="76"/>
      <c r="F1526" s="15"/>
      <c r="G1526" s="10"/>
      <c r="H1526" s="70" t="str">
        <f t="shared" si="1"/>
        <v/>
      </c>
      <c r="I1526" s="70" t="str">
        <f t="shared" si="2"/>
        <v/>
      </c>
      <c r="J1526" s="70" t="str">
        <f t="shared" si="3"/>
        <v/>
      </c>
      <c r="K1526" s="70" t="str">
        <f t="shared" si="4"/>
        <v>12/1899</v>
      </c>
    </row>
    <row r="1527" hidden="1">
      <c r="A1527" s="9"/>
      <c r="B1527" s="15"/>
      <c r="C1527" s="15"/>
      <c r="E1527" s="76"/>
      <c r="F1527" s="15"/>
      <c r="G1527" s="10"/>
      <c r="H1527" s="70" t="str">
        <f t="shared" si="1"/>
        <v/>
      </c>
      <c r="I1527" s="70" t="str">
        <f t="shared" si="2"/>
        <v/>
      </c>
      <c r="J1527" s="70" t="str">
        <f t="shared" si="3"/>
        <v/>
      </c>
      <c r="K1527" s="70" t="str">
        <f t="shared" si="4"/>
        <v>12/1899</v>
      </c>
    </row>
    <row r="1528" hidden="1">
      <c r="A1528" s="9"/>
      <c r="B1528" s="15"/>
      <c r="C1528" s="15"/>
      <c r="E1528" s="76"/>
      <c r="F1528" s="15"/>
      <c r="G1528" s="10"/>
      <c r="H1528" s="70" t="str">
        <f t="shared" si="1"/>
        <v/>
      </c>
      <c r="I1528" s="70" t="str">
        <f t="shared" si="2"/>
        <v/>
      </c>
      <c r="J1528" s="70" t="str">
        <f t="shared" si="3"/>
        <v/>
      </c>
      <c r="K1528" s="70" t="str">
        <f t="shared" si="4"/>
        <v>12/1899</v>
      </c>
    </row>
    <row r="1529" hidden="1">
      <c r="A1529" s="9"/>
      <c r="B1529" s="15"/>
      <c r="C1529" s="15"/>
      <c r="E1529" s="76"/>
      <c r="F1529" s="15"/>
      <c r="G1529" s="10"/>
      <c r="H1529" s="70" t="str">
        <f t="shared" si="1"/>
        <v/>
      </c>
      <c r="I1529" s="70" t="str">
        <f t="shared" si="2"/>
        <v/>
      </c>
      <c r="J1529" s="70" t="str">
        <f t="shared" si="3"/>
        <v/>
      </c>
      <c r="K1529" s="70" t="str">
        <f t="shared" si="4"/>
        <v>12/1899</v>
      </c>
    </row>
    <row r="1530" hidden="1">
      <c r="A1530" s="9"/>
      <c r="B1530" s="15"/>
      <c r="C1530" s="15"/>
      <c r="E1530" s="76"/>
      <c r="F1530" s="15"/>
      <c r="G1530" s="10"/>
      <c r="H1530" s="70" t="str">
        <f t="shared" si="1"/>
        <v/>
      </c>
      <c r="I1530" s="70" t="str">
        <f t="shared" si="2"/>
        <v/>
      </c>
      <c r="J1530" s="70" t="str">
        <f t="shared" si="3"/>
        <v/>
      </c>
      <c r="K1530" s="70" t="str">
        <f t="shared" si="4"/>
        <v>12/1899</v>
      </c>
    </row>
    <row r="1531" hidden="1">
      <c r="A1531" s="9"/>
      <c r="B1531" s="15"/>
      <c r="C1531" s="15"/>
      <c r="E1531" s="76"/>
      <c r="F1531" s="15"/>
      <c r="G1531" s="10"/>
      <c r="H1531" s="70" t="str">
        <f t="shared" si="1"/>
        <v/>
      </c>
      <c r="I1531" s="70" t="str">
        <f t="shared" si="2"/>
        <v/>
      </c>
      <c r="J1531" s="70" t="str">
        <f t="shared" si="3"/>
        <v/>
      </c>
      <c r="K1531" s="70" t="str">
        <f t="shared" si="4"/>
        <v>12/1899</v>
      </c>
    </row>
    <row r="1532" hidden="1">
      <c r="A1532" s="9"/>
      <c r="B1532" s="15"/>
      <c r="C1532" s="15"/>
      <c r="E1532" s="76"/>
      <c r="F1532" s="15"/>
      <c r="G1532" s="10"/>
      <c r="H1532" s="70" t="str">
        <f t="shared" si="1"/>
        <v/>
      </c>
      <c r="I1532" s="70" t="str">
        <f t="shared" si="2"/>
        <v/>
      </c>
      <c r="J1532" s="70" t="str">
        <f t="shared" si="3"/>
        <v/>
      </c>
      <c r="K1532" s="70" t="str">
        <f t="shared" si="4"/>
        <v>12/1899</v>
      </c>
    </row>
    <row r="1533" hidden="1">
      <c r="A1533" s="9"/>
      <c r="B1533" s="15"/>
      <c r="C1533" s="15"/>
      <c r="E1533" s="76"/>
      <c r="F1533" s="15"/>
      <c r="G1533" s="10"/>
      <c r="H1533" s="70" t="str">
        <f t="shared" si="1"/>
        <v/>
      </c>
      <c r="I1533" s="70" t="str">
        <f t="shared" si="2"/>
        <v/>
      </c>
      <c r="J1533" s="70" t="str">
        <f t="shared" si="3"/>
        <v/>
      </c>
      <c r="K1533" s="70" t="str">
        <f t="shared" si="4"/>
        <v>12/1899</v>
      </c>
    </row>
    <row r="1534" hidden="1">
      <c r="A1534" s="9"/>
      <c r="B1534" s="15"/>
      <c r="C1534" s="15"/>
      <c r="E1534" s="76"/>
      <c r="F1534" s="15"/>
      <c r="G1534" s="10"/>
      <c r="H1534" s="70" t="str">
        <f t="shared" si="1"/>
        <v/>
      </c>
      <c r="I1534" s="70" t="str">
        <f t="shared" si="2"/>
        <v/>
      </c>
      <c r="J1534" s="70" t="str">
        <f t="shared" si="3"/>
        <v/>
      </c>
      <c r="K1534" s="70" t="str">
        <f t="shared" si="4"/>
        <v>12/1899</v>
      </c>
    </row>
    <row r="1535" hidden="1">
      <c r="A1535" s="9"/>
      <c r="B1535" s="15"/>
      <c r="C1535" s="15"/>
      <c r="E1535" s="76"/>
      <c r="F1535" s="15"/>
      <c r="G1535" s="10"/>
      <c r="H1535" s="70" t="str">
        <f t="shared" si="1"/>
        <v/>
      </c>
      <c r="I1535" s="70" t="str">
        <f t="shared" si="2"/>
        <v/>
      </c>
      <c r="J1535" s="70" t="str">
        <f t="shared" si="3"/>
        <v/>
      </c>
      <c r="K1535" s="70" t="str">
        <f t="shared" si="4"/>
        <v>12/1899</v>
      </c>
    </row>
    <row r="1536" hidden="1">
      <c r="A1536" s="9"/>
      <c r="B1536" s="15"/>
      <c r="C1536" s="15"/>
      <c r="E1536" s="76"/>
      <c r="F1536" s="15"/>
      <c r="G1536" s="10"/>
      <c r="H1536" s="70" t="str">
        <f t="shared" si="1"/>
        <v/>
      </c>
      <c r="I1536" s="70" t="str">
        <f t="shared" si="2"/>
        <v/>
      </c>
      <c r="J1536" s="70" t="str">
        <f t="shared" si="3"/>
        <v/>
      </c>
      <c r="K1536" s="70" t="str">
        <f t="shared" si="4"/>
        <v>12/1899</v>
      </c>
    </row>
    <row r="1537" hidden="1">
      <c r="A1537" s="9"/>
      <c r="B1537" s="15"/>
      <c r="C1537" s="15"/>
      <c r="E1537" s="76"/>
      <c r="F1537" s="15"/>
      <c r="G1537" s="10"/>
      <c r="H1537" s="70" t="str">
        <f t="shared" si="1"/>
        <v/>
      </c>
      <c r="I1537" s="70" t="str">
        <f t="shared" si="2"/>
        <v/>
      </c>
      <c r="J1537" s="70" t="str">
        <f t="shared" si="3"/>
        <v/>
      </c>
      <c r="K1537" s="70" t="str">
        <f t="shared" si="4"/>
        <v>12/1899</v>
      </c>
    </row>
    <row r="1538" hidden="1">
      <c r="A1538" s="9"/>
      <c r="B1538" s="15"/>
      <c r="C1538" s="15"/>
      <c r="E1538" s="76"/>
      <c r="F1538" s="15"/>
      <c r="G1538" s="10"/>
      <c r="H1538" s="70" t="str">
        <f t="shared" si="1"/>
        <v/>
      </c>
      <c r="I1538" s="70" t="str">
        <f t="shared" si="2"/>
        <v/>
      </c>
      <c r="J1538" s="70" t="str">
        <f t="shared" si="3"/>
        <v/>
      </c>
      <c r="K1538" s="70" t="str">
        <f t="shared" si="4"/>
        <v>12/1899</v>
      </c>
    </row>
    <row r="1539" hidden="1">
      <c r="A1539" s="9"/>
      <c r="B1539" s="15"/>
      <c r="C1539" s="15"/>
      <c r="E1539" s="76"/>
      <c r="F1539" s="15"/>
      <c r="G1539" s="10"/>
      <c r="H1539" s="70" t="str">
        <f t="shared" si="1"/>
        <v/>
      </c>
      <c r="I1539" s="70" t="str">
        <f t="shared" si="2"/>
        <v/>
      </c>
      <c r="J1539" s="70" t="str">
        <f t="shared" si="3"/>
        <v/>
      </c>
      <c r="K1539" s="70" t="str">
        <f t="shared" si="4"/>
        <v>12/1899</v>
      </c>
    </row>
    <row r="1540" hidden="1">
      <c r="A1540" s="9"/>
      <c r="B1540" s="15"/>
      <c r="C1540" s="15"/>
      <c r="E1540" s="76"/>
      <c r="F1540" s="15"/>
      <c r="G1540" s="10"/>
      <c r="H1540" s="70" t="str">
        <f t="shared" si="1"/>
        <v/>
      </c>
      <c r="I1540" s="70" t="str">
        <f t="shared" si="2"/>
        <v/>
      </c>
      <c r="J1540" s="70" t="str">
        <f t="shared" si="3"/>
        <v/>
      </c>
      <c r="K1540" s="70" t="str">
        <f t="shared" si="4"/>
        <v>12/1899</v>
      </c>
    </row>
    <row r="1541" hidden="1">
      <c r="A1541" s="9"/>
      <c r="B1541" s="15"/>
      <c r="C1541" s="15"/>
      <c r="E1541" s="76"/>
      <c r="F1541" s="15"/>
      <c r="G1541" s="10"/>
      <c r="H1541" s="70" t="str">
        <f t="shared" si="1"/>
        <v/>
      </c>
      <c r="I1541" s="70" t="str">
        <f t="shared" si="2"/>
        <v/>
      </c>
      <c r="J1541" s="70" t="str">
        <f t="shared" si="3"/>
        <v/>
      </c>
      <c r="K1541" s="70" t="str">
        <f t="shared" si="4"/>
        <v>12/1899</v>
      </c>
    </row>
    <row r="1542" hidden="1">
      <c r="A1542" s="9"/>
      <c r="B1542" s="15"/>
      <c r="C1542" s="15"/>
      <c r="E1542" s="76"/>
      <c r="F1542" s="15"/>
      <c r="G1542" s="10"/>
      <c r="H1542" s="70" t="str">
        <f t="shared" si="1"/>
        <v/>
      </c>
      <c r="I1542" s="70" t="str">
        <f t="shared" si="2"/>
        <v/>
      </c>
      <c r="J1542" s="70" t="str">
        <f t="shared" si="3"/>
        <v/>
      </c>
      <c r="K1542" s="70" t="str">
        <f t="shared" si="4"/>
        <v>12/1899</v>
      </c>
    </row>
    <row r="1543" hidden="1">
      <c r="A1543" s="9"/>
      <c r="B1543" s="15"/>
      <c r="C1543" s="15"/>
      <c r="E1543" s="76"/>
      <c r="F1543" s="15"/>
      <c r="G1543" s="10"/>
      <c r="H1543" s="70" t="str">
        <f t="shared" si="1"/>
        <v/>
      </c>
      <c r="I1543" s="70" t="str">
        <f t="shared" si="2"/>
        <v/>
      </c>
      <c r="J1543" s="70" t="str">
        <f t="shared" si="3"/>
        <v/>
      </c>
      <c r="K1543" s="70" t="str">
        <f t="shared" si="4"/>
        <v>12/1899</v>
      </c>
    </row>
    <row r="1544" hidden="1">
      <c r="A1544" s="9"/>
      <c r="B1544" s="15"/>
      <c r="C1544" s="15"/>
      <c r="E1544" s="76"/>
      <c r="F1544" s="15"/>
      <c r="G1544" s="10"/>
      <c r="H1544" s="70" t="str">
        <f t="shared" si="1"/>
        <v/>
      </c>
      <c r="I1544" s="70" t="str">
        <f t="shared" si="2"/>
        <v/>
      </c>
      <c r="J1544" s="70" t="str">
        <f t="shared" si="3"/>
        <v/>
      </c>
      <c r="K1544" s="70" t="str">
        <f t="shared" si="4"/>
        <v>12/1899</v>
      </c>
    </row>
    <row r="1545" hidden="1">
      <c r="A1545" s="9"/>
      <c r="B1545" s="15"/>
      <c r="C1545" s="15"/>
      <c r="E1545" s="76"/>
      <c r="F1545" s="15"/>
      <c r="G1545" s="10"/>
      <c r="H1545" s="70" t="str">
        <f t="shared" si="1"/>
        <v/>
      </c>
      <c r="I1545" s="70" t="str">
        <f t="shared" si="2"/>
        <v/>
      </c>
      <c r="J1545" s="70" t="str">
        <f t="shared" si="3"/>
        <v/>
      </c>
      <c r="K1545" s="70" t="str">
        <f t="shared" si="4"/>
        <v>12/1899</v>
      </c>
    </row>
    <row r="1546" hidden="1">
      <c r="A1546" s="9"/>
      <c r="B1546" s="15"/>
      <c r="C1546" s="15"/>
      <c r="E1546" s="76"/>
      <c r="F1546" s="15"/>
      <c r="G1546" s="10"/>
      <c r="H1546" s="70" t="str">
        <f t="shared" si="1"/>
        <v/>
      </c>
      <c r="I1546" s="70" t="str">
        <f t="shared" si="2"/>
        <v/>
      </c>
      <c r="J1546" s="70" t="str">
        <f t="shared" si="3"/>
        <v/>
      </c>
      <c r="K1546" s="70" t="str">
        <f t="shared" si="4"/>
        <v>12/1899</v>
      </c>
    </row>
    <row r="1547" hidden="1">
      <c r="A1547" s="9"/>
      <c r="B1547" s="15"/>
      <c r="C1547" s="15"/>
      <c r="E1547" s="76"/>
      <c r="F1547" s="15"/>
      <c r="G1547" s="10"/>
      <c r="H1547" s="70" t="str">
        <f t="shared" si="1"/>
        <v/>
      </c>
      <c r="I1547" s="70" t="str">
        <f t="shared" si="2"/>
        <v/>
      </c>
      <c r="J1547" s="70" t="str">
        <f t="shared" si="3"/>
        <v/>
      </c>
      <c r="K1547" s="70" t="str">
        <f t="shared" si="4"/>
        <v>12/1899</v>
      </c>
    </row>
    <row r="1548" hidden="1">
      <c r="A1548" s="9"/>
      <c r="B1548" s="15"/>
      <c r="C1548" s="15"/>
      <c r="E1548" s="76"/>
      <c r="F1548" s="15"/>
      <c r="G1548" s="10"/>
      <c r="H1548" s="70" t="str">
        <f t="shared" si="1"/>
        <v/>
      </c>
      <c r="I1548" s="70" t="str">
        <f t="shared" si="2"/>
        <v/>
      </c>
      <c r="J1548" s="70" t="str">
        <f t="shared" si="3"/>
        <v/>
      </c>
      <c r="K1548" s="70" t="str">
        <f t="shared" si="4"/>
        <v>12/1899</v>
      </c>
    </row>
    <row r="1549" hidden="1">
      <c r="A1549" s="9"/>
      <c r="B1549" s="15"/>
      <c r="C1549" s="15"/>
      <c r="E1549" s="76"/>
      <c r="F1549" s="15"/>
      <c r="G1549" s="10"/>
      <c r="H1549" s="70" t="str">
        <f t="shared" si="1"/>
        <v/>
      </c>
      <c r="I1549" s="70" t="str">
        <f t="shared" si="2"/>
        <v/>
      </c>
      <c r="J1549" s="70" t="str">
        <f t="shared" si="3"/>
        <v/>
      </c>
      <c r="K1549" s="70" t="str">
        <f t="shared" si="4"/>
        <v>12/1899</v>
      </c>
    </row>
    <row r="1550" hidden="1">
      <c r="A1550" s="9"/>
      <c r="B1550" s="15"/>
      <c r="C1550" s="15"/>
      <c r="E1550" s="76"/>
      <c r="F1550" s="15"/>
      <c r="G1550" s="10"/>
      <c r="H1550" s="70" t="str">
        <f t="shared" si="1"/>
        <v/>
      </c>
      <c r="I1550" s="70" t="str">
        <f t="shared" si="2"/>
        <v/>
      </c>
      <c r="J1550" s="70" t="str">
        <f t="shared" si="3"/>
        <v/>
      </c>
      <c r="K1550" s="70" t="str">
        <f t="shared" si="4"/>
        <v>12/1899</v>
      </c>
    </row>
    <row r="1551" hidden="1">
      <c r="A1551" s="9"/>
      <c r="B1551" s="15"/>
      <c r="C1551" s="15"/>
      <c r="E1551" s="76"/>
      <c r="F1551" s="15"/>
      <c r="G1551" s="10"/>
      <c r="H1551" s="70" t="str">
        <f t="shared" si="1"/>
        <v/>
      </c>
      <c r="I1551" s="70" t="str">
        <f t="shared" si="2"/>
        <v/>
      </c>
      <c r="J1551" s="70" t="str">
        <f t="shared" si="3"/>
        <v/>
      </c>
      <c r="K1551" s="70" t="str">
        <f t="shared" si="4"/>
        <v>12/1899</v>
      </c>
    </row>
    <row r="1552" hidden="1">
      <c r="A1552" s="9"/>
      <c r="B1552" s="15"/>
      <c r="C1552" s="15"/>
      <c r="E1552" s="76"/>
      <c r="F1552" s="15"/>
      <c r="G1552" s="10"/>
      <c r="H1552" s="70" t="str">
        <f t="shared" si="1"/>
        <v/>
      </c>
      <c r="I1552" s="70" t="str">
        <f t="shared" si="2"/>
        <v/>
      </c>
      <c r="J1552" s="70" t="str">
        <f t="shared" si="3"/>
        <v/>
      </c>
      <c r="K1552" s="70" t="str">
        <f t="shared" si="4"/>
        <v>12/1899</v>
      </c>
    </row>
    <row r="1553" hidden="1">
      <c r="A1553" s="9"/>
      <c r="B1553" s="15"/>
      <c r="C1553" s="15"/>
      <c r="E1553" s="76"/>
      <c r="F1553" s="15"/>
      <c r="G1553" s="10"/>
      <c r="H1553" s="70" t="str">
        <f t="shared" si="1"/>
        <v/>
      </c>
      <c r="I1553" s="70" t="str">
        <f t="shared" si="2"/>
        <v/>
      </c>
      <c r="J1553" s="70" t="str">
        <f t="shared" si="3"/>
        <v/>
      </c>
      <c r="K1553" s="70" t="str">
        <f t="shared" si="4"/>
        <v>12/1899</v>
      </c>
    </row>
    <row r="1554" hidden="1">
      <c r="A1554" s="9"/>
      <c r="B1554" s="15"/>
      <c r="C1554" s="15"/>
      <c r="E1554" s="76"/>
      <c r="F1554" s="15"/>
      <c r="G1554" s="10"/>
      <c r="H1554" s="70" t="str">
        <f t="shared" si="1"/>
        <v/>
      </c>
      <c r="I1554" s="70" t="str">
        <f t="shared" si="2"/>
        <v/>
      </c>
      <c r="J1554" s="70" t="str">
        <f t="shared" si="3"/>
        <v/>
      </c>
      <c r="K1554" s="70" t="str">
        <f t="shared" si="4"/>
        <v>12/1899</v>
      </c>
    </row>
    <row r="1555" hidden="1">
      <c r="A1555" s="9"/>
      <c r="B1555" s="15"/>
      <c r="C1555" s="15"/>
      <c r="E1555" s="76"/>
      <c r="F1555" s="15"/>
      <c r="G1555" s="10"/>
      <c r="H1555" s="70" t="str">
        <f t="shared" si="1"/>
        <v/>
      </c>
      <c r="I1555" s="70" t="str">
        <f t="shared" si="2"/>
        <v/>
      </c>
      <c r="J1555" s="70" t="str">
        <f t="shared" si="3"/>
        <v/>
      </c>
      <c r="K1555" s="70" t="str">
        <f t="shared" si="4"/>
        <v>12/1899</v>
      </c>
    </row>
    <row r="1556" hidden="1">
      <c r="A1556" s="9"/>
      <c r="B1556" s="15"/>
      <c r="C1556" s="15"/>
      <c r="E1556" s="76"/>
      <c r="F1556" s="15"/>
      <c r="G1556" s="10"/>
      <c r="H1556" s="70" t="str">
        <f t="shared" si="1"/>
        <v/>
      </c>
      <c r="I1556" s="70" t="str">
        <f t="shared" si="2"/>
        <v/>
      </c>
      <c r="J1556" s="70" t="str">
        <f t="shared" si="3"/>
        <v/>
      </c>
      <c r="K1556" s="70" t="str">
        <f t="shared" si="4"/>
        <v>12/1899</v>
      </c>
    </row>
    <row r="1557" hidden="1">
      <c r="A1557" s="9"/>
      <c r="B1557" s="15"/>
      <c r="C1557" s="15"/>
      <c r="E1557" s="76"/>
      <c r="F1557" s="15"/>
      <c r="G1557" s="10"/>
      <c r="H1557" s="70" t="str">
        <f t="shared" si="1"/>
        <v/>
      </c>
      <c r="I1557" s="70" t="str">
        <f t="shared" si="2"/>
        <v/>
      </c>
      <c r="J1557" s="70" t="str">
        <f t="shared" si="3"/>
        <v/>
      </c>
      <c r="K1557" s="70" t="str">
        <f t="shared" si="4"/>
        <v>12/1899</v>
      </c>
    </row>
    <row r="1558" hidden="1">
      <c r="A1558" s="9"/>
      <c r="B1558" s="15"/>
      <c r="C1558" s="15"/>
      <c r="E1558" s="76"/>
      <c r="F1558" s="15"/>
      <c r="G1558" s="10"/>
      <c r="H1558" s="70" t="str">
        <f t="shared" si="1"/>
        <v/>
      </c>
      <c r="I1558" s="70" t="str">
        <f t="shared" si="2"/>
        <v/>
      </c>
      <c r="J1558" s="70" t="str">
        <f t="shared" si="3"/>
        <v/>
      </c>
      <c r="K1558" s="70" t="str">
        <f t="shared" si="4"/>
        <v>12/1899</v>
      </c>
    </row>
    <row r="1559" hidden="1">
      <c r="A1559" s="9"/>
      <c r="B1559" s="15"/>
      <c r="C1559" s="15"/>
      <c r="E1559" s="76"/>
      <c r="F1559" s="15"/>
      <c r="G1559" s="10"/>
      <c r="H1559" s="70" t="str">
        <f t="shared" si="1"/>
        <v/>
      </c>
      <c r="I1559" s="70" t="str">
        <f t="shared" si="2"/>
        <v/>
      </c>
      <c r="J1559" s="70" t="str">
        <f t="shared" si="3"/>
        <v/>
      </c>
      <c r="K1559" s="70" t="str">
        <f t="shared" si="4"/>
        <v>12/1899</v>
      </c>
    </row>
    <row r="1560" hidden="1">
      <c r="A1560" s="9"/>
      <c r="B1560" s="15"/>
      <c r="C1560" s="15"/>
      <c r="E1560" s="76"/>
      <c r="F1560" s="15"/>
      <c r="G1560" s="10"/>
      <c r="H1560" s="70" t="str">
        <f t="shared" si="1"/>
        <v/>
      </c>
      <c r="I1560" s="70" t="str">
        <f t="shared" si="2"/>
        <v/>
      </c>
      <c r="J1560" s="70" t="str">
        <f t="shared" si="3"/>
        <v/>
      </c>
      <c r="K1560" s="70" t="str">
        <f t="shared" si="4"/>
        <v>12/1899</v>
      </c>
    </row>
    <row r="1561" hidden="1">
      <c r="A1561" s="9"/>
      <c r="B1561" s="15"/>
      <c r="C1561" s="15"/>
      <c r="E1561" s="76"/>
      <c r="F1561" s="15"/>
      <c r="G1561" s="10"/>
      <c r="H1561" s="70" t="str">
        <f t="shared" si="1"/>
        <v/>
      </c>
      <c r="I1561" s="70" t="str">
        <f t="shared" si="2"/>
        <v/>
      </c>
      <c r="J1561" s="70" t="str">
        <f t="shared" si="3"/>
        <v/>
      </c>
      <c r="K1561" s="70" t="str">
        <f t="shared" si="4"/>
        <v>12/1899</v>
      </c>
    </row>
    <row r="1562" hidden="1">
      <c r="A1562" s="9"/>
      <c r="B1562" s="15"/>
      <c r="C1562" s="15"/>
      <c r="E1562" s="76"/>
      <c r="F1562" s="15"/>
      <c r="G1562" s="10"/>
      <c r="H1562" s="70" t="str">
        <f t="shared" si="1"/>
        <v/>
      </c>
      <c r="I1562" s="70" t="str">
        <f t="shared" si="2"/>
        <v/>
      </c>
      <c r="J1562" s="70" t="str">
        <f t="shared" si="3"/>
        <v/>
      </c>
      <c r="K1562" s="70" t="str">
        <f t="shared" si="4"/>
        <v>12/1899</v>
      </c>
    </row>
    <row r="1563" hidden="1">
      <c r="A1563" s="9"/>
      <c r="B1563" s="15"/>
      <c r="C1563" s="15"/>
      <c r="E1563" s="76"/>
      <c r="F1563" s="15"/>
      <c r="G1563" s="10"/>
      <c r="H1563" s="70" t="str">
        <f t="shared" si="1"/>
        <v/>
      </c>
      <c r="I1563" s="70" t="str">
        <f t="shared" si="2"/>
        <v/>
      </c>
      <c r="J1563" s="70" t="str">
        <f t="shared" si="3"/>
        <v/>
      </c>
      <c r="K1563" s="70" t="str">
        <f t="shared" si="4"/>
        <v>12/1899</v>
      </c>
    </row>
    <row r="1564" hidden="1">
      <c r="A1564" s="9"/>
      <c r="B1564" s="15"/>
      <c r="C1564" s="15"/>
      <c r="E1564" s="76"/>
      <c r="F1564" s="15"/>
      <c r="G1564" s="10"/>
      <c r="H1564" s="70" t="str">
        <f t="shared" si="1"/>
        <v/>
      </c>
      <c r="I1564" s="70" t="str">
        <f t="shared" si="2"/>
        <v/>
      </c>
      <c r="J1564" s="70" t="str">
        <f t="shared" si="3"/>
        <v/>
      </c>
      <c r="K1564" s="70" t="str">
        <f t="shared" si="4"/>
        <v>12/1899</v>
      </c>
    </row>
    <row r="1565" hidden="1">
      <c r="A1565" s="9"/>
      <c r="B1565" s="15"/>
      <c r="C1565" s="15"/>
      <c r="E1565" s="76"/>
      <c r="F1565" s="15"/>
      <c r="G1565" s="10"/>
      <c r="H1565" s="70" t="str">
        <f t="shared" si="1"/>
        <v/>
      </c>
      <c r="I1565" s="70" t="str">
        <f t="shared" si="2"/>
        <v/>
      </c>
      <c r="J1565" s="70" t="str">
        <f t="shared" si="3"/>
        <v/>
      </c>
      <c r="K1565" s="70" t="str">
        <f t="shared" si="4"/>
        <v>12/1899</v>
      </c>
    </row>
    <row r="1566" hidden="1">
      <c r="A1566" s="9"/>
      <c r="B1566" s="15"/>
      <c r="C1566" s="15"/>
      <c r="E1566" s="76"/>
      <c r="F1566" s="15"/>
      <c r="G1566" s="10"/>
      <c r="H1566" s="70" t="str">
        <f t="shared" si="1"/>
        <v/>
      </c>
      <c r="I1566" s="70" t="str">
        <f t="shared" si="2"/>
        <v/>
      </c>
      <c r="J1566" s="70" t="str">
        <f t="shared" si="3"/>
        <v/>
      </c>
      <c r="K1566" s="70" t="str">
        <f t="shared" si="4"/>
        <v>12/1899</v>
      </c>
    </row>
    <row r="1567" hidden="1">
      <c r="A1567" s="9"/>
      <c r="B1567" s="15"/>
      <c r="C1567" s="15"/>
      <c r="E1567" s="76"/>
      <c r="F1567" s="15"/>
      <c r="G1567" s="10"/>
      <c r="H1567" s="70" t="str">
        <f t="shared" si="1"/>
        <v/>
      </c>
      <c r="I1567" s="70" t="str">
        <f t="shared" si="2"/>
        <v/>
      </c>
      <c r="J1567" s="70" t="str">
        <f t="shared" si="3"/>
        <v/>
      </c>
      <c r="K1567" s="70" t="str">
        <f t="shared" si="4"/>
        <v>12/1899</v>
      </c>
    </row>
    <row r="1568" hidden="1">
      <c r="A1568" s="9"/>
      <c r="B1568" s="15"/>
      <c r="C1568" s="15"/>
      <c r="E1568" s="76"/>
      <c r="F1568" s="15"/>
      <c r="G1568" s="10"/>
      <c r="H1568" s="70" t="str">
        <f t="shared" si="1"/>
        <v/>
      </c>
      <c r="I1568" s="70" t="str">
        <f t="shared" si="2"/>
        <v/>
      </c>
      <c r="J1568" s="70" t="str">
        <f t="shared" si="3"/>
        <v/>
      </c>
      <c r="K1568" s="70" t="str">
        <f t="shared" si="4"/>
        <v>12/1899</v>
      </c>
    </row>
    <row r="1569" hidden="1">
      <c r="A1569" s="9"/>
      <c r="B1569" s="15"/>
      <c r="C1569" s="15"/>
      <c r="E1569" s="76"/>
      <c r="F1569" s="15"/>
      <c r="G1569" s="10"/>
      <c r="H1569" s="70" t="str">
        <f t="shared" si="1"/>
        <v/>
      </c>
      <c r="I1569" s="70" t="str">
        <f t="shared" si="2"/>
        <v/>
      </c>
      <c r="J1569" s="70" t="str">
        <f t="shared" si="3"/>
        <v/>
      </c>
      <c r="K1569" s="70" t="str">
        <f t="shared" si="4"/>
        <v>12/1899</v>
      </c>
    </row>
    <row r="1570" hidden="1">
      <c r="A1570" s="9"/>
      <c r="B1570" s="15"/>
      <c r="C1570" s="15"/>
      <c r="E1570" s="76"/>
      <c r="F1570" s="15"/>
      <c r="G1570" s="10"/>
      <c r="H1570" s="70" t="str">
        <f t="shared" si="1"/>
        <v/>
      </c>
      <c r="I1570" s="70" t="str">
        <f t="shared" si="2"/>
        <v/>
      </c>
      <c r="J1570" s="70" t="str">
        <f t="shared" si="3"/>
        <v/>
      </c>
      <c r="K1570" s="70" t="str">
        <f t="shared" si="4"/>
        <v>12/1899</v>
      </c>
    </row>
    <row r="1571" hidden="1">
      <c r="A1571" s="9"/>
      <c r="B1571" s="15"/>
      <c r="C1571" s="15"/>
      <c r="E1571" s="76"/>
      <c r="F1571" s="15"/>
      <c r="G1571" s="10"/>
      <c r="H1571" s="70" t="str">
        <f t="shared" si="1"/>
        <v/>
      </c>
      <c r="I1571" s="70" t="str">
        <f t="shared" si="2"/>
        <v/>
      </c>
      <c r="J1571" s="70" t="str">
        <f t="shared" si="3"/>
        <v/>
      </c>
      <c r="K1571" s="70" t="str">
        <f t="shared" si="4"/>
        <v>12/1899</v>
      </c>
    </row>
    <row r="1572" hidden="1">
      <c r="A1572" s="9"/>
      <c r="B1572" s="15"/>
      <c r="C1572" s="15"/>
      <c r="E1572" s="76"/>
      <c r="F1572" s="15"/>
      <c r="G1572" s="10"/>
      <c r="H1572" s="70" t="str">
        <f t="shared" si="1"/>
        <v/>
      </c>
      <c r="I1572" s="70" t="str">
        <f t="shared" si="2"/>
        <v/>
      </c>
      <c r="J1572" s="70" t="str">
        <f t="shared" si="3"/>
        <v/>
      </c>
      <c r="K1572" s="70" t="str">
        <f t="shared" si="4"/>
        <v>12/1899</v>
      </c>
    </row>
    <row r="1573" hidden="1">
      <c r="A1573" s="9"/>
      <c r="B1573" s="15"/>
      <c r="C1573" s="15"/>
      <c r="E1573" s="76"/>
      <c r="F1573" s="15"/>
      <c r="G1573" s="10"/>
      <c r="H1573" s="70" t="str">
        <f t="shared" si="1"/>
        <v/>
      </c>
      <c r="I1573" s="70" t="str">
        <f t="shared" si="2"/>
        <v/>
      </c>
      <c r="J1573" s="70" t="str">
        <f t="shared" si="3"/>
        <v/>
      </c>
      <c r="K1573" s="70" t="str">
        <f t="shared" si="4"/>
        <v>12/1899</v>
      </c>
    </row>
    <row r="1574" hidden="1">
      <c r="A1574" s="9"/>
      <c r="B1574" s="15"/>
      <c r="C1574" s="15"/>
      <c r="E1574" s="76"/>
      <c r="F1574" s="15"/>
      <c r="G1574" s="10"/>
      <c r="H1574" s="70" t="str">
        <f t="shared" si="1"/>
        <v/>
      </c>
      <c r="I1574" s="70" t="str">
        <f t="shared" si="2"/>
        <v/>
      </c>
      <c r="J1574" s="70" t="str">
        <f t="shared" si="3"/>
        <v/>
      </c>
      <c r="K1574" s="70" t="str">
        <f t="shared" si="4"/>
        <v>12/1899</v>
      </c>
    </row>
    <row r="1575" hidden="1">
      <c r="A1575" s="9"/>
      <c r="B1575" s="15"/>
      <c r="C1575" s="15"/>
      <c r="E1575" s="76"/>
      <c r="F1575" s="15"/>
      <c r="G1575" s="10"/>
      <c r="H1575" s="70" t="str">
        <f t="shared" si="1"/>
        <v/>
      </c>
      <c r="I1575" s="70" t="str">
        <f t="shared" si="2"/>
        <v/>
      </c>
      <c r="J1575" s="70" t="str">
        <f t="shared" si="3"/>
        <v/>
      </c>
      <c r="K1575" s="70" t="str">
        <f t="shared" si="4"/>
        <v>12/1899</v>
      </c>
    </row>
    <row r="1576" hidden="1">
      <c r="A1576" s="9"/>
      <c r="B1576" s="15"/>
      <c r="C1576" s="15"/>
      <c r="E1576" s="76"/>
      <c r="F1576" s="15"/>
      <c r="G1576" s="10"/>
      <c r="H1576" s="70" t="str">
        <f t="shared" si="1"/>
        <v/>
      </c>
      <c r="I1576" s="70" t="str">
        <f t="shared" si="2"/>
        <v/>
      </c>
      <c r="J1576" s="70" t="str">
        <f t="shared" si="3"/>
        <v/>
      </c>
      <c r="K1576" s="70" t="str">
        <f t="shared" si="4"/>
        <v>12/1899</v>
      </c>
    </row>
    <row r="1577" hidden="1">
      <c r="A1577" s="9"/>
      <c r="B1577" s="15"/>
      <c r="C1577" s="15"/>
      <c r="E1577" s="76"/>
      <c r="F1577" s="15"/>
      <c r="G1577" s="10"/>
      <c r="H1577" s="70" t="str">
        <f t="shared" si="1"/>
        <v/>
      </c>
      <c r="I1577" s="70" t="str">
        <f t="shared" si="2"/>
        <v/>
      </c>
      <c r="J1577" s="70" t="str">
        <f t="shared" si="3"/>
        <v/>
      </c>
      <c r="K1577" s="70" t="str">
        <f t="shared" si="4"/>
        <v>12/1899</v>
      </c>
    </row>
    <row r="1578" hidden="1">
      <c r="A1578" s="9"/>
      <c r="B1578" s="15"/>
      <c r="C1578" s="15"/>
      <c r="E1578" s="76"/>
      <c r="F1578" s="15"/>
      <c r="G1578" s="10"/>
      <c r="H1578" s="70" t="str">
        <f t="shared" si="1"/>
        <v/>
      </c>
      <c r="I1578" s="70" t="str">
        <f t="shared" si="2"/>
        <v/>
      </c>
      <c r="J1578" s="70" t="str">
        <f t="shared" si="3"/>
        <v/>
      </c>
      <c r="K1578" s="70" t="str">
        <f t="shared" si="4"/>
        <v>12/1899</v>
      </c>
    </row>
    <row r="1579" hidden="1">
      <c r="A1579" s="9"/>
      <c r="B1579" s="15"/>
      <c r="C1579" s="15"/>
      <c r="E1579" s="76"/>
      <c r="F1579" s="15"/>
      <c r="G1579" s="10"/>
      <c r="H1579" s="70" t="str">
        <f t="shared" si="1"/>
        <v/>
      </c>
      <c r="I1579" s="70" t="str">
        <f t="shared" si="2"/>
        <v/>
      </c>
      <c r="J1579" s="70" t="str">
        <f t="shared" si="3"/>
        <v/>
      </c>
      <c r="K1579" s="70" t="str">
        <f t="shared" si="4"/>
        <v>12/1899</v>
      </c>
    </row>
    <row r="1580" hidden="1">
      <c r="A1580" s="9"/>
      <c r="B1580" s="15"/>
      <c r="C1580" s="15"/>
      <c r="E1580" s="76"/>
      <c r="F1580" s="15"/>
      <c r="G1580" s="10"/>
      <c r="H1580" s="70" t="str">
        <f t="shared" si="1"/>
        <v/>
      </c>
      <c r="I1580" s="70" t="str">
        <f t="shared" si="2"/>
        <v/>
      </c>
      <c r="J1580" s="70" t="str">
        <f t="shared" si="3"/>
        <v/>
      </c>
      <c r="K1580" s="70" t="str">
        <f t="shared" si="4"/>
        <v>12/1899</v>
      </c>
    </row>
    <row r="1581" hidden="1">
      <c r="A1581" s="9"/>
      <c r="B1581" s="15"/>
      <c r="C1581" s="15"/>
      <c r="E1581" s="76"/>
      <c r="F1581" s="15"/>
      <c r="G1581" s="10"/>
      <c r="H1581" s="70" t="str">
        <f t="shared" si="1"/>
        <v/>
      </c>
      <c r="I1581" s="70" t="str">
        <f t="shared" si="2"/>
        <v/>
      </c>
      <c r="J1581" s="70" t="str">
        <f t="shared" si="3"/>
        <v/>
      </c>
      <c r="K1581" s="70" t="str">
        <f t="shared" si="4"/>
        <v>12/1899</v>
      </c>
    </row>
    <row r="1582" hidden="1">
      <c r="A1582" s="9"/>
      <c r="B1582" s="15"/>
      <c r="C1582" s="15"/>
      <c r="E1582" s="76"/>
      <c r="F1582" s="15"/>
      <c r="G1582" s="10"/>
      <c r="H1582" s="70" t="str">
        <f t="shared" si="1"/>
        <v/>
      </c>
      <c r="I1582" s="70" t="str">
        <f t="shared" si="2"/>
        <v/>
      </c>
      <c r="J1582" s="70" t="str">
        <f t="shared" si="3"/>
        <v/>
      </c>
      <c r="K1582" s="70" t="str">
        <f t="shared" si="4"/>
        <v>12/1899</v>
      </c>
    </row>
    <row r="1583" hidden="1">
      <c r="A1583" s="9"/>
      <c r="B1583" s="15"/>
      <c r="C1583" s="15"/>
      <c r="E1583" s="76"/>
      <c r="F1583" s="15"/>
      <c r="G1583" s="10"/>
      <c r="H1583" s="70" t="str">
        <f t="shared" si="1"/>
        <v/>
      </c>
      <c r="I1583" s="70" t="str">
        <f t="shared" si="2"/>
        <v/>
      </c>
      <c r="J1583" s="70" t="str">
        <f t="shared" si="3"/>
        <v/>
      </c>
      <c r="K1583" s="70" t="str">
        <f t="shared" si="4"/>
        <v>12/1899</v>
      </c>
    </row>
    <row r="1584" hidden="1">
      <c r="A1584" s="9"/>
      <c r="B1584" s="15"/>
      <c r="C1584" s="15"/>
      <c r="E1584" s="76"/>
      <c r="F1584" s="15"/>
      <c r="G1584" s="10"/>
      <c r="H1584" s="70" t="str">
        <f t="shared" si="1"/>
        <v/>
      </c>
      <c r="I1584" s="70" t="str">
        <f t="shared" si="2"/>
        <v/>
      </c>
      <c r="J1584" s="70" t="str">
        <f t="shared" si="3"/>
        <v/>
      </c>
      <c r="K1584" s="70" t="str">
        <f t="shared" si="4"/>
        <v>12/1899</v>
      </c>
    </row>
    <row r="1585" hidden="1">
      <c r="A1585" s="9"/>
      <c r="B1585" s="15"/>
      <c r="C1585" s="15"/>
      <c r="E1585" s="76"/>
      <c r="F1585" s="15"/>
      <c r="G1585" s="10"/>
      <c r="H1585" s="70" t="str">
        <f t="shared" si="1"/>
        <v/>
      </c>
      <c r="I1585" s="70" t="str">
        <f t="shared" si="2"/>
        <v/>
      </c>
      <c r="J1585" s="70" t="str">
        <f t="shared" si="3"/>
        <v/>
      </c>
      <c r="K1585" s="70" t="str">
        <f t="shared" si="4"/>
        <v>12/1899</v>
      </c>
    </row>
    <row r="1586" hidden="1">
      <c r="A1586" s="9"/>
      <c r="B1586" s="15"/>
      <c r="C1586" s="15"/>
      <c r="E1586" s="76"/>
      <c r="F1586" s="15"/>
      <c r="G1586" s="10"/>
      <c r="H1586" s="70" t="str">
        <f t="shared" si="1"/>
        <v/>
      </c>
      <c r="I1586" s="70" t="str">
        <f t="shared" si="2"/>
        <v/>
      </c>
      <c r="J1586" s="70" t="str">
        <f t="shared" si="3"/>
        <v/>
      </c>
      <c r="K1586" s="70" t="str">
        <f t="shared" si="4"/>
        <v>12/1899</v>
      </c>
    </row>
    <row r="1587" hidden="1">
      <c r="A1587" s="9"/>
      <c r="B1587" s="15"/>
      <c r="C1587" s="15"/>
      <c r="E1587" s="76"/>
      <c r="F1587" s="15"/>
      <c r="G1587" s="10"/>
      <c r="H1587" s="70" t="str">
        <f t="shared" si="1"/>
        <v/>
      </c>
      <c r="I1587" s="70" t="str">
        <f t="shared" si="2"/>
        <v/>
      </c>
      <c r="J1587" s="70" t="str">
        <f t="shared" si="3"/>
        <v/>
      </c>
      <c r="K1587" s="70" t="str">
        <f t="shared" si="4"/>
        <v>12/1899</v>
      </c>
    </row>
    <row r="1588" hidden="1">
      <c r="A1588" s="9"/>
      <c r="B1588" s="15"/>
      <c r="C1588" s="15"/>
      <c r="E1588" s="76"/>
      <c r="F1588" s="15"/>
      <c r="G1588" s="10"/>
      <c r="H1588" s="70" t="str">
        <f t="shared" si="1"/>
        <v/>
      </c>
      <c r="I1588" s="70" t="str">
        <f t="shared" si="2"/>
        <v/>
      </c>
      <c r="J1588" s="70" t="str">
        <f t="shared" si="3"/>
        <v/>
      </c>
      <c r="K1588" s="70" t="str">
        <f t="shared" si="4"/>
        <v>12/1899</v>
      </c>
    </row>
    <row r="1589" hidden="1">
      <c r="A1589" s="9"/>
      <c r="B1589" s="15"/>
      <c r="C1589" s="15"/>
      <c r="E1589" s="76"/>
      <c r="F1589" s="15"/>
      <c r="G1589" s="10"/>
      <c r="H1589" s="70" t="str">
        <f t="shared" si="1"/>
        <v/>
      </c>
      <c r="I1589" s="70" t="str">
        <f t="shared" si="2"/>
        <v/>
      </c>
      <c r="J1589" s="70" t="str">
        <f t="shared" si="3"/>
        <v/>
      </c>
      <c r="K1589" s="70" t="str">
        <f t="shared" si="4"/>
        <v>12/1899</v>
      </c>
    </row>
    <row r="1590" hidden="1">
      <c r="A1590" s="9"/>
      <c r="B1590" s="15"/>
      <c r="C1590" s="15"/>
      <c r="E1590" s="76"/>
      <c r="F1590" s="15"/>
      <c r="G1590" s="10"/>
      <c r="H1590" s="70" t="str">
        <f t="shared" si="1"/>
        <v/>
      </c>
      <c r="I1590" s="70" t="str">
        <f t="shared" si="2"/>
        <v/>
      </c>
      <c r="J1590" s="70" t="str">
        <f t="shared" si="3"/>
        <v/>
      </c>
      <c r="K1590" s="70" t="str">
        <f t="shared" si="4"/>
        <v>12/1899</v>
      </c>
    </row>
    <row r="1591" hidden="1">
      <c r="A1591" s="9"/>
      <c r="B1591" s="15"/>
      <c r="C1591" s="15"/>
      <c r="E1591" s="76"/>
      <c r="F1591" s="15"/>
      <c r="G1591" s="10"/>
      <c r="H1591" s="70" t="str">
        <f t="shared" si="1"/>
        <v/>
      </c>
      <c r="I1591" s="70" t="str">
        <f t="shared" si="2"/>
        <v/>
      </c>
      <c r="J1591" s="70" t="str">
        <f t="shared" si="3"/>
        <v/>
      </c>
      <c r="K1591" s="70" t="str">
        <f t="shared" si="4"/>
        <v>12/1899</v>
      </c>
    </row>
    <row r="1592" hidden="1">
      <c r="A1592" s="9"/>
      <c r="B1592" s="15"/>
      <c r="C1592" s="15"/>
      <c r="E1592" s="76"/>
      <c r="F1592" s="15"/>
      <c r="G1592" s="10"/>
      <c r="H1592" s="70" t="str">
        <f t="shared" si="1"/>
        <v/>
      </c>
      <c r="I1592" s="70" t="str">
        <f t="shared" si="2"/>
        <v/>
      </c>
      <c r="J1592" s="70" t="str">
        <f t="shared" si="3"/>
        <v/>
      </c>
      <c r="K1592" s="70" t="str">
        <f t="shared" si="4"/>
        <v>12/1899</v>
      </c>
    </row>
    <row r="1593" hidden="1">
      <c r="A1593" s="9"/>
      <c r="B1593" s="15"/>
      <c r="C1593" s="15"/>
      <c r="E1593" s="76"/>
      <c r="F1593" s="15"/>
      <c r="G1593" s="10"/>
      <c r="H1593" s="70" t="str">
        <f t="shared" si="1"/>
        <v/>
      </c>
      <c r="I1593" s="70" t="str">
        <f t="shared" si="2"/>
        <v/>
      </c>
      <c r="J1593" s="70" t="str">
        <f t="shared" si="3"/>
        <v/>
      </c>
      <c r="K1593" s="70" t="str">
        <f t="shared" si="4"/>
        <v>12/1899</v>
      </c>
    </row>
    <row r="1594" hidden="1">
      <c r="A1594" s="9"/>
      <c r="B1594" s="15"/>
      <c r="C1594" s="15"/>
      <c r="E1594" s="76"/>
      <c r="F1594" s="15"/>
      <c r="G1594" s="10"/>
      <c r="H1594" s="70" t="str">
        <f t="shared" si="1"/>
        <v/>
      </c>
      <c r="I1594" s="70" t="str">
        <f t="shared" si="2"/>
        <v/>
      </c>
      <c r="J1594" s="70" t="str">
        <f t="shared" si="3"/>
        <v/>
      </c>
      <c r="K1594" s="70" t="str">
        <f t="shared" si="4"/>
        <v>12/1899</v>
      </c>
    </row>
    <row r="1595" hidden="1">
      <c r="A1595" s="9"/>
      <c r="B1595" s="15"/>
      <c r="C1595" s="15"/>
      <c r="E1595" s="76"/>
      <c r="F1595" s="15"/>
      <c r="G1595" s="10"/>
      <c r="H1595" s="70" t="str">
        <f t="shared" si="1"/>
        <v/>
      </c>
      <c r="I1595" s="70" t="str">
        <f t="shared" si="2"/>
        <v/>
      </c>
      <c r="J1595" s="70" t="str">
        <f t="shared" si="3"/>
        <v/>
      </c>
      <c r="K1595" s="70" t="str">
        <f t="shared" si="4"/>
        <v>12/1899</v>
      </c>
    </row>
    <row r="1596" hidden="1">
      <c r="A1596" s="9"/>
      <c r="B1596" s="15"/>
      <c r="C1596" s="15"/>
      <c r="E1596" s="76"/>
      <c r="F1596" s="15"/>
      <c r="G1596" s="10"/>
      <c r="H1596" s="70" t="str">
        <f t="shared" si="1"/>
        <v/>
      </c>
      <c r="I1596" s="70" t="str">
        <f t="shared" si="2"/>
        <v/>
      </c>
      <c r="J1596" s="70" t="str">
        <f t="shared" si="3"/>
        <v/>
      </c>
      <c r="K1596" s="70" t="str">
        <f t="shared" si="4"/>
        <v>12/1899</v>
      </c>
    </row>
    <row r="1597" hidden="1">
      <c r="A1597" s="9"/>
      <c r="B1597" s="15"/>
      <c r="C1597" s="15"/>
      <c r="E1597" s="76"/>
      <c r="F1597" s="15"/>
      <c r="G1597" s="10"/>
      <c r="H1597" s="70" t="str">
        <f t="shared" si="1"/>
        <v/>
      </c>
      <c r="I1597" s="70" t="str">
        <f t="shared" si="2"/>
        <v/>
      </c>
      <c r="J1597" s="70" t="str">
        <f t="shared" si="3"/>
        <v/>
      </c>
      <c r="K1597" s="70" t="str">
        <f t="shared" si="4"/>
        <v>12/1899</v>
      </c>
    </row>
    <row r="1598" hidden="1">
      <c r="A1598" s="9"/>
      <c r="B1598" s="15"/>
      <c r="C1598" s="15"/>
      <c r="E1598" s="76"/>
      <c r="F1598" s="15"/>
      <c r="G1598" s="10"/>
      <c r="H1598" s="70" t="str">
        <f t="shared" si="1"/>
        <v/>
      </c>
      <c r="I1598" s="70" t="str">
        <f t="shared" si="2"/>
        <v/>
      </c>
      <c r="J1598" s="70" t="str">
        <f t="shared" si="3"/>
        <v/>
      </c>
      <c r="K1598" s="70" t="str">
        <f t="shared" si="4"/>
        <v>12/1899</v>
      </c>
    </row>
    <row r="1599" hidden="1">
      <c r="A1599" s="9"/>
      <c r="B1599" s="15"/>
      <c r="C1599" s="15"/>
      <c r="E1599" s="76"/>
      <c r="F1599" s="15"/>
      <c r="G1599" s="10"/>
      <c r="H1599" s="70" t="str">
        <f t="shared" si="1"/>
        <v/>
      </c>
      <c r="I1599" s="70" t="str">
        <f t="shared" si="2"/>
        <v/>
      </c>
      <c r="J1599" s="70" t="str">
        <f t="shared" si="3"/>
        <v/>
      </c>
      <c r="K1599" s="70" t="str">
        <f t="shared" si="4"/>
        <v>12/1899</v>
      </c>
    </row>
    <row r="1600" hidden="1">
      <c r="A1600" s="9"/>
      <c r="B1600" s="15"/>
      <c r="C1600" s="15"/>
      <c r="E1600" s="76"/>
      <c r="F1600" s="15"/>
      <c r="G1600" s="10"/>
      <c r="H1600" s="70" t="str">
        <f t="shared" si="1"/>
        <v/>
      </c>
      <c r="I1600" s="70" t="str">
        <f t="shared" si="2"/>
        <v/>
      </c>
      <c r="J1600" s="70" t="str">
        <f t="shared" si="3"/>
        <v/>
      </c>
      <c r="K1600" s="70" t="str">
        <f t="shared" si="4"/>
        <v>12/1899</v>
      </c>
    </row>
    <row r="1601" hidden="1">
      <c r="A1601" s="9"/>
      <c r="B1601" s="15"/>
      <c r="C1601" s="15"/>
      <c r="E1601" s="76"/>
      <c r="F1601" s="15"/>
      <c r="G1601" s="10"/>
      <c r="H1601" s="70" t="str">
        <f t="shared" si="1"/>
        <v/>
      </c>
      <c r="I1601" s="70" t="str">
        <f t="shared" si="2"/>
        <v/>
      </c>
      <c r="J1601" s="70" t="str">
        <f t="shared" si="3"/>
        <v/>
      </c>
      <c r="K1601" s="70" t="str">
        <f t="shared" si="4"/>
        <v>12/1899</v>
      </c>
    </row>
    <row r="1602" hidden="1">
      <c r="A1602" s="9"/>
      <c r="B1602" s="15"/>
      <c r="C1602" s="15"/>
      <c r="E1602" s="76"/>
      <c r="F1602" s="15"/>
      <c r="G1602" s="10"/>
      <c r="H1602" s="70" t="str">
        <f t="shared" si="1"/>
        <v/>
      </c>
      <c r="I1602" s="70" t="str">
        <f t="shared" si="2"/>
        <v/>
      </c>
      <c r="J1602" s="70" t="str">
        <f t="shared" si="3"/>
        <v/>
      </c>
      <c r="K1602" s="70" t="str">
        <f t="shared" si="4"/>
        <v>12/1899</v>
      </c>
    </row>
    <row r="1603" hidden="1">
      <c r="A1603" s="9"/>
      <c r="B1603" s="15"/>
      <c r="C1603" s="15"/>
      <c r="E1603" s="76"/>
      <c r="F1603" s="15"/>
      <c r="G1603" s="10"/>
      <c r="H1603" s="70" t="str">
        <f t="shared" si="1"/>
        <v/>
      </c>
      <c r="I1603" s="70" t="str">
        <f t="shared" si="2"/>
        <v/>
      </c>
      <c r="J1603" s="70" t="str">
        <f t="shared" si="3"/>
        <v/>
      </c>
      <c r="K1603" s="70" t="str">
        <f t="shared" si="4"/>
        <v>12/1899</v>
      </c>
    </row>
    <row r="1604" hidden="1">
      <c r="A1604" s="9"/>
      <c r="B1604" s="15"/>
      <c r="C1604" s="15"/>
      <c r="E1604" s="76"/>
      <c r="F1604" s="15"/>
      <c r="G1604" s="10"/>
      <c r="H1604" s="70" t="str">
        <f t="shared" si="1"/>
        <v/>
      </c>
      <c r="I1604" s="70" t="str">
        <f t="shared" si="2"/>
        <v/>
      </c>
      <c r="J1604" s="70" t="str">
        <f t="shared" si="3"/>
        <v/>
      </c>
      <c r="K1604" s="70" t="str">
        <f t="shared" si="4"/>
        <v>12/1899</v>
      </c>
    </row>
    <row r="1605" hidden="1">
      <c r="A1605" s="9"/>
      <c r="B1605" s="15"/>
      <c r="C1605" s="15"/>
      <c r="E1605" s="76"/>
      <c r="F1605" s="15"/>
      <c r="G1605" s="10"/>
      <c r="H1605" s="70" t="str">
        <f t="shared" si="1"/>
        <v/>
      </c>
      <c r="I1605" s="70" t="str">
        <f t="shared" si="2"/>
        <v/>
      </c>
      <c r="J1605" s="70" t="str">
        <f t="shared" si="3"/>
        <v/>
      </c>
      <c r="K1605" s="70" t="str">
        <f t="shared" si="4"/>
        <v>12/1899</v>
      </c>
    </row>
    <row r="1606" hidden="1">
      <c r="A1606" s="9"/>
      <c r="B1606" s="15"/>
      <c r="C1606" s="15"/>
      <c r="E1606" s="76"/>
      <c r="F1606" s="15"/>
      <c r="G1606" s="10"/>
      <c r="H1606" s="70" t="str">
        <f t="shared" si="1"/>
        <v/>
      </c>
      <c r="I1606" s="70" t="str">
        <f t="shared" si="2"/>
        <v/>
      </c>
      <c r="J1606" s="70" t="str">
        <f t="shared" si="3"/>
        <v/>
      </c>
      <c r="K1606" s="70" t="str">
        <f t="shared" si="4"/>
        <v>12/1899</v>
      </c>
    </row>
    <row r="1607" hidden="1">
      <c r="A1607" s="9"/>
      <c r="B1607" s="15"/>
      <c r="C1607" s="15"/>
      <c r="E1607" s="76"/>
      <c r="F1607" s="15"/>
      <c r="G1607" s="10"/>
      <c r="H1607" s="70" t="str">
        <f t="shared" si="1"/>
        <v/>
      </c>
      <c r="I1607" s="70" t="str">
        <f t="shared" si="2"/>
        <v/>
      </c>
      <c r="J1607" s="70" t="str">
        <f t="shared" si="3"/>
        <v/>
      </c>
      <c r="K1607" s="70" t="str">
        <f t="shared" si="4"/>
        <v>12/1899</v>
      </c>
    </row>
    <row r="1608" hidden="1">
      <c r="A1608" s="9"/>
      <c r="B1608" s="15"/>
      <c r="C1608" s="15"/>
      <c r="E1608" s="76"/>
      <c r="F1608" s="15"/>
      <c r="G1608" s="10"/>
      <c r="H1608" s="70" t="str">
        <f t="shared" si="1"/>
        <v/>
      </c>
      <c r="I1608" s="70" t="str">
        <f t="shared" si="2"/>
        <v/>
      </c>
      <c r="J1608" s="70" t="str">
        <f t="shared" si="3"/>
        <v/>
      </c>
      <c r="K1608" s="70" t="str">
        <f t="shared" si="4"/>
        <v>12/1899</v>
      </c>
    </row>
    <row r="1609" hidden="1">
      <c r="A1609" s="9"/>
      <c r="B1609" s="15"/>
      <c r="C1609" s="15"/>
      <c r="E1609" s="76"/>
      <c r="F1609" s="15"/>
      <c r="G1609" s="10"/>
      <c r="H1609" s="70" t="str">
        <f t="shared" si="1"/>
        <v/>
      </c>
      <c r="I1609" s="70" t="str">
        <f t="shared" si="2"/>
        <v/>
      </c>
      <c r="J1609" s="70" t="str">
        <f t="shared" si="3"/>
        <v/>
      </c>
      <c r="K1609" s="70" t="str">
        <f t="shared" si="4"/>
        <v>12/1899</v>
      </c>
    </row>
    <row r="1610" hidden="1">
      <c r="A1610" s="9"/>
      <c r="B1610" s="15"/>
      <c r="C1610" s="15"/>
      <c r="E1610" s="76"/>
      <c r="F1610" s="15"/>
      <c r="G1610" s="10"/>
      <c r="H1610" s="70" t="str">
        <f t="shared" si="1"/>
        <v/>
      </c>
      <c r="I1610" s="70" t="str">
        <f t="shared" si="2"/>
        <v/>
      </c>
      <c r="J1610" s="70" t="str">
        <f t="shared" si="3"/>
        <v/>
      </c>
      <c r="K1610" s="70" t="str">
        <f t="shared" si="4"/>
        <v>12/1899</v>
      </c>
    </row>
    <row r="1611" hidden="1">
      <c r="A1611" s="9"/>
      <c r="B1611" s="15"/>
      <c r="C1611" s="15"/>
      <c r="E1611" s="76"/>
      <c r="F1611" s="15"/>
      <c r="G1611" s="10"/>
      <c r="H1611" s="70" t="str">
        <f t="shared" si="1"/>
        <v/>
      </c>
      <c r="I1611" s="70" t="str">
        <f t="shared" si="2"/>
        <v/>
      </c>
      <c r="J1611" s="70" t="str">
        <f t="shared" si="3"/>
        <v/>
      </c>
      <c r="K1611" s="70" t="str">
        <f t="shared" si="4"/>
        <v>12/1899</v>
      </c>
    </row>
    <row r="1612" hidden="1">
      <c r="A1612" s="9"/>
      <c r="B1612" s="15"/>
      <c r="C1612" s="15"/>
      <c r="E1612" s="76"/>
      <c r="F1612" s="15"/>
      <c r="G1612" s="10"/>
      <c r="H1612" s="70" t="str">
        <f t="shared" si="1"/>
        <v/>
      </c>
      <c r="I1612" s="70" t="str">
        <f t="shared" si="2"/>
        <v/>
      </c>
      <c r="J1612" s="70" t="str">
        <f t="shared" si="3"/>
        <v/>
      </c>
      <c r="K1612" s="70" t="str">
        <f t="shared" si="4"/>
        <v>12/1899</v>
      </c>
    </row>
    <row r="1613" hidden="1">
      <c r="A1613" s="9"/>
      <c r="B1613" s="15"/>
      <c r="C1613" s="15"/>
      <c r="E1613" s="76"/>
      <c r="F1613" s="15"/>
      <c r="G1613" s="10"/>
      <c r="H1613" s="70" t="str">
        <f t="shared" si="1"/>
        <v/>
      </c>
      <c r="I1613" s="70" t="str">
        <f t="shared" si="2"/>
        <v/>
      </c>
      <c r="J1613" s="70" t="str">
        <f t="shared" si="3"/>
        <v/>
      </c>
      <c r="K1613" s="70" t="str">
        <f t="shared" si="4"/>
        <v>12/1899</v>
      </c>
    </row>
    <row r="1614" hidden="1">
      <c r="A1614" s="9"/>
      <c r="B1614" s="15"/>
      <c r="C1614" s="15"/>
      <c r="E1614" s="76"/>
      <c r="F1614" s="15"/>
      <c r="G1614" s="10"/>
      <c r="H1614" s="70" t="str">
        <f t="shared" si="1"/>
        <v/>
      </c>
      <c r="I1614" s="70" t="str">
        <f t="shared" si="2"/>
        <v/>
      </c>
      <c r="J1614" s="70" t="str">
        <f t="shared" si="3"/>
        <v/>
      </c>
      <c r="K1614" s="70" t="str">
        <f t="shared" si="4"/>
        <v>12/1899</v>
      </c>
    </row>
    <row r="1615" hidden="1">
      <c r="A1615" s="9"/>
      <c r="B1615" s="15"/>
      <c r="C1615" s="15"/>
      <c r="E1615" s="76"/>
      <c r="F1615" s="15"/>
      <c r="G1615" s="10"/>
      <c r="H1615" s="70" t="str">
        <f t="shared" si="1"/>
        <v/>
      </c>
      <c r="I1615" s="70" t="str">
        <f t="shared" si="2"/>
        <v/>
      </c>
      <c r="J1615" s="70" t="str">
        <f t="shared" si="3"/>
        <v/>
      </c>
      <c r="K1615" s="70" t="str">
        <f t="shared" si="4"/>
        <v>12/1899</v>
      </c>
    </row>
    <row r="1616" hidden="1">
      <c r="A1616" s="9"/>
      <c r="B1616" s="15"/>
      <c r="C1616" s="15"/>
      <c r="E1616" s="76"/>
      <c r="F1616" s="15"/>
      <c r="G1616" s="10"/>
      <c r="H1616" s="70" t="str">
        <f t="shared" si="1"/>
        <v/>
      </c>
      <c r="I1616" s="70" t="str">
        <f t="shared" si="2"/>
        <v/>
      </c>
      <c r="J1616" s="70" t="str">
        <f t="shared" si="3"/>
        <v/>
      </c>
      <c r="K1616" s="70" t="str">
        <f t="shared" si="4"/>
        <v>12/1899</v>
      </c>
    </row>
    <row r="1617" hidden="1">
      <c r="A1617" s="9"/>
      <c r="B1617" s="15"/>
      <c r="C1617" s="15"/>
      <c r="E1617" s="76"/>
      <c r="F1617" s="15"/>
      <c r="G1617" s="10"/>
      <c r="H1617" s="70" t="str">
        <f t="shared" si="1"/>
        <v/>
      </c>
      <c r="I1617" s="70" t="str">
        <f t="shared" si="2"/>
        <v/>
      </c>
      <c r="J1617" s="70" t="str">
        <f t="shared" si="3"/>
        <v/>
      </c>
      <c r="K1617" s="70" t="str">
        <f t="shared" si="4"/>
        <v>12/1899</v>
      </c>
    </row>
    <row r="1618" hidden="1">
      <c r="A1618" s="9"/>
      <c r="B1618" s="15"/>
      <c r="C1618" s="15"/>
      <c r="E1618" s="76"/>
      <c r="F1618" s="15"/>
      <c r="G1618" s="10"/>
      <c r="H1618" s="70" t="str">
        <f t="shared" si="1"/>
        <v/>
      </c>
      <c r="I1618" s="70" t="str">
        <f t="shared" si="2"/>
        <v/>
      </c>
      <c r="J1618" s="70" t="str">
        <f t="shared" si="3"/>
        <v/>
      </c>
      <c r="K1618" s="70" t="str">
        <f t="shared" si="4"/>
        <v>12/1899</v>
      </c>
    </row>
    <row r="1619" hidden="1">
      <c r="A1619" s="9"/>
      <c r="B1619" s="15"/>
      <c r="C1619" s="15"/>
      <c r="E1619" s="76"/>
      <c r="F1619" s="15"/>
      <c r="G1619" s="10"/>
      <c r="H1619" s="70" t="str">
        <f t="shared" si="1"/>
        <v/>
      </c>
      <c r="I1619" s="70" t="str">
        <f t="shared" si="2"/>
        <v/>
      </c>
      <c r="J1619" s="70" t="str">
        <f t="shared" si="3"/>
        <v/>
      </c>
      <c r="K1619" s="70" t="str">
        <f t="shared" si="4"/>
        <v>12/1899</v>
      </c>
    </row>
    <row r="1620" hidden="1">
      <c r="A1620" s="9"/>
      <c r="B1620" s="15"/>
      <c r="C1620" s="15"/>
      <c r="E1620" s="76"/>
      <c r="F1620" s="15"/>
      <c r="G1620" s="10"/>
      <c r="H1620" s="70" t="str">
        <f t="shared" si="1"/>
        <v/>
      </c>
      <c r="I1620" s="70" t="str">
        <f t="shared" si="2"/>
        <v/>
      </c>
      <c r="J1620" s="70" t="str">
        <f t="shared" si="3"/>
        <v/>
      </c>
      <c r="K1620" s="70" t="str">
        <f t="shared" si="4"/>
        <v>12/1899</v>
      </c>
    </row>
    <row r="1621" hidden="1">
      <c r="A1621" s="9"/>
      <c r="B1621" s="15"/>
      <c r="C1621" s="15"/>
      <c r="E1621" s="76"/>
      <c r="F1621" s="15"/>
      <c r="G1621" s="10"/>
      <c r="H1621" s="70" t="str">
        <f t="shared" si="1"/>
        <v/>
      </c>
      <c r="I1621" s="70" t="str">
        <f t="shared" si="2"/>
        <v/>
      </c>
      <c r="J1621" s="70" t="str">
        <f t="shared" si="3"/>
        <v/>
      </c>
      <c r="K1621" s="70" t="str">
        <f t="shared" si="4"/>
        <v>12/1899</v>
      </c>
    </row>
    <row r="1622" hidden="1">
      <c r="A1622" s="9"/>
      <c r="B1622" s="15"/>
      <c r="C1622" s="15"/>
      <c r="E1622" s="76"/>
      <c r="F1622" s="15"/>
      <c r="G1622" s="10"/>
      <c r="H1622" s="70" t="str">
        <f t="shared" si="1"/>
        <v/>
      </c>
      <c r="I1622" s="70" t="str">
        <f t="shared" si="2"/>
        <v/>
      </c>
      <c r="J1622" s="70" t="str">
        <f t="shared" si="3"/>
        <v/>
      </c>
      <c r="K1622" s="70" t="str">
        <f t="shared" si="4"/>
        <v>12/1899</v>
      </c>
    </row>
    <row r="1623" hidden="1">
      <c r="A1623" s="9"/>
      <c r="B1623" s="15"/>
      <c r="C1623" s="15"/>
      <c r="E1623" s="76"/>
      <c r="F1623" s="15"/>
      <c r="G1623" s="10"/>
      <c r="H1623" s="70" t="str">
        <f t="shared" si="1"/>
        <v/>
      </c>
      <c r="I1623" s="70" t="str">
        <f t="shared" si="2"/>
        <v/>
      </c>
      <c r="J1623" s="70" t="str">
        <f t="shared" si="3"/>
        <v/>
      </c>
      <c r="K1623" s="70" t="str">
        <f t="shared" si="4"/>
        <v>12/1899</v>
      </c>
    </row>
    <row r="1624" hidden="1">
      <c r="A1624" s="9"/>
      <c r="B1624" s="15"/>
      <c r="C1624" s="15"/>
      <c r="E1624" s="76"/>
      <c r="F1624" s="15"/>
      <c r="G1624" s="10"/>
      <c r="H1624" s="70" t="str">
        <f t="shared" si="1"/>
        <v/>
      </c>
      <c r="I1624" s="70" t="str">
        <f t="shared" si="2"/>
        <v/>
      </c>
      <c r="J1624" s="70" t="str">
        <f t="shared" si="3"/>
        <v/>
      </c>
      <c r="K1624" s="70" t="str">
        <f t="shared" si="4"/>
        <v>12/1899</v>
      </c>
    </row>
    <row r="1625" hidden="1">
      <c r="A1625" s="9"/>
      <c r="B1625" s="15"/>
      <c r="C1625" s="15"/>
      <c r="E1625" s="76"/>
      <c r="F1625" s="15"/>
      <c r="G1625" s="10"/>
      <c r="H1625" s="70" t="str">
        <f t="shared" si="1"/>
        <v/>
      </c>
      <c r="I1625" s="70" t="str">
        <f t="shared" si="2"/>
        <v/>
      </c>
      <c r="J1625" s="70" t="str">
        <f t="shared" si="3"/>
        <v/>
      </c>
      <c r="K1625" s="70" t="str">
        <f t="shared" si="4"/>
        <v>12/1899</v>
      </c>
    </row>
    <row r="1626" hidden="1">
      <c r="A1626" s="9"/>
      <c r="B1626" s="15"/>
      <c r="C1626" s="15"/>
      <c r="E1626" s="76"/>
      <c r="F1626" s="15"/>
      <c r="G1626" s="10"/>
      <c r="H1626" s="70" t="str">
        <f t="shared" si="1"/>
        <v/>
      </c>
      <c r="I1626" s="70" t="str">
        <f t="shared" si="2"/>
        <v/>
      </c>
      <c r="J1626" s="70" t="str">
        <f t="shared" si="3"/>
        <v/>
      </c>
      <c r="K1626" s="70" t="str">
        <f t="shared" si="4"/>
        <v>12/1899</v>
      </c>
    </row>
    <row r="1627" hidden="1">
      <c r="A1627" s="9"/>
      <c r="B1627" s="15"/>
      <c r="C1627" s="15"/>
      <c r="E1627" s="76"/>
      <c r="F1627" s="15"/>
      <c r="G1627" s="10"/>
      <c r="H1627" s="70" t="str">
        <f t="shared" si="1"/>
        <v/>
      </c>
      <c r="I1627" s="70" t="str">
        <f t="shared" si="2"/>
        <v/>
      </c>
      <c r="J1627" s="70" t="str">
        <f t="shared" si="3"/>
        <v/>
      </c>
      <c r="K1627" s="70" t="str">
        <f t="shared" si="4"/>
        <v>12/1899</v>
      </c>
    </row>
    <row r="1628" hidden="1">
      <c r="A1628" s="9"/>
      <c r="B1628" s="15"/>
      <c r="C1628" s="15"/>
      <c r="E1628" s="76"/>
      <c r="F1628" s="15"/>
      <c r="G1628" s="10"/>
      <c r="H1628" s="70" t="str">
        <f t="shared" si="1"/>
        <v/>
      </c>
      <c r="I1628" s="70" t="str">
        <f t="shared" si="2"/>
        <v/>
      </c>
      <c r="J1628" s="70" t="str">
        <f t="shared" si="3"/>
        <v/>
      </c>
      <c r="K1628" s="70" t="str">
        <f t="shared" si="4"/>
        <v>12/1899</v>
      </c>
    </row>
    <row r="1629" hidden="1">
      <c r="A1629" s="9"/>
      <c r="B1629" s="15"/>
      <c r="C1629" s="15"/>
      <c r="E1629" s="76"/>
      <c r="F1629" s="15"/>
      <c r="G1629" s="10"/>
      <c r="H1629" s="70" t="str">
        <f t="shared" si="1"/>
        <v/>
      </c>
      <c r="I1629" s="70" t="str">
        <f t="shared" si="2"/>
        <v/>
      </c>
      <c r="J1629" s="70" t="str">
        <f t="shared" si="3"/>
        <v/>
      </c>
      <c r="K1629" s="70" t="str">
        <f t="shared" si="4"/>
        <v>12/1899</v>
      </c>
    </row>
    <row r="1630" hidden="1">
      <c r="A1630" s="9"/>
      <c r="B1630" s="15"/>
      <c r="C1630" s="15"/>
      <c r="E1630" s="76"/>
      <c r="F1630" s="15"/>
      <c r="G1630" s="10"/>
      <c r="H1630" s="70" t="str">
        <f t="shared" si="1"/>
        <v/>
      </c>
      <c r="I1630" s="70" t="str">
        <f t="shared" si="2"/>
        <v/>
      </c>
      <c r="J1630" s="70" t="str">
        <f t="shared" si="3"/>
        <v/>
      </c>
      <c r="K1630" s="70" t="str">
        <f t="shared" si="4"/>
        <v>12/1899</v>
      </c>
    </row>
    <row r="1631" hidden="1">
      <c r="A1631" s="9"/>
      <c r="B1631" s="15"/>
      <c r="C1631" s="15"/>
      <c r="E1631" s="76"/>
      <c r="F1631" s="15"/>
      <c r="G1631" s="10"/>
      <c r="H1631" s="70" t="str">
        <f t="shared" si="1"/>
        <v/>
      </c>
      <c r="I1631" s="70" t="str">
        <f t="shared" si="2"/>
        <v/>
      </c>
      <c r="J1631" s="70" t="str">
        <f t="shared" si="3"/>
        <v/>
      </c>
      <c r="K1631" s="70" t="str">
        <f t="shared" si="4"/>
        <v>12/1899</v>
      </c>
    </row>
    <row r="1632" hidden="1">
      <c r="A1632" s="9"/>
      <c r="B1632" s="15"/>
      <c r="C1632" s="15"/>
      <c r="E1632" s="76"/>
      <c r="F1632" s="15"/>
      <c r="G1632" s="10"/>
      <c r="H1632" s="70" t="str">
        <f t="shared" si="1"/>
        <v/>
      </c>
      <c r="I1632" s="70" t="str">
        <f t="shared" si="2"/>
        <v/>
      </c>
      <c r="J1632" s="70" t="str">
        <f t="shared" si="3"/>
        <v/>
      </c>
      <c r="K1632" s="70" t="str">
        <f t="shared" si="4"/>
        <v>12/1899</v>
      </c>
    </row>
    <row r="1633" hidden="1">
      <c r="A1633" s="9"/>
      <c r="B1633" s="15"/>
      <c r="C1633" s="15"/>
      <c r="E1633" s="76"/>
      <c r="F1633" s="15"/>
      <c r="G1633" s="10"/>
      <c r="H1633" s="70" t="str">
        <f t="shared" si="1"/>
        <v/>
      </c>
      <c r="I1633" s="70" t="str">
        <f t="shared" si="2"/>
        <v/>
      </c>
      <c r="J1633" s="70" t="str">
        <f t="shared" si="3"/>
        <v/>
      </c>
      <c r="K1633" s="70" t="str">
        <f t="shared" si="4"/>
        <v>12/1899</v>
      </c>
    </row>
    <row r="1634" hidden="1">
      <c r="A1634" s="9"/>
      <c r="B1634" s="15"/>
      <c r="C1634" s="15"/>
      <c r="E1634" s="76"/>
      <c r="F1634" s="15"/>
      <c r="G1634" s="10"/>
      <c r="H1634" s="70" t="str">
        <f t="shared" si="1"/>
        <v/>
      </c>
      <c r="I1634" s="70" t="str">
        <f t="shared" si="2"/>
        <v/>
      </c>
      <c r="J1634" s="70" t="str">
        <f t="shared" si="3"/>
        <v/>
      </c>
      <c r="K1634" s="70" t="str">
        <f t="shared" si="4"/>
        <v>12/1899</v>
      </c>
    </row>
    <row r="1635" hidden="1">
      <c r="A1635" s="9"/>
      <c r="B1635" s="15"/>
      <c r="C1635" s="15"/>
      <c r="E1635" s="76"/>
      <c r="F1635" s="15"/>
      <c r="G1635" s="10"/>
      <c r="H1635" s="70" t="str">
        <f t="shared" si="1"/>
        <v/>
      </c>
      <c r="I1635" s="70" t="str">
        <f t="shared" si="2"/>
        <v/>
      </c>
      <c r="J1635" s="70" t="str">
        <f t="shared" si="3"/>
        <v/>
      </c>
      <c r="K1635" s="70" t="str">
        <f t="shared" si="4"/>
        <v>12/1899</v>
      </c>
    </row>
    <row r="1636" hidden="1">
      <c r="A1636" s="9"/>
      <c r="B1636" s="15"/>
      <c r="C1636" s="15"/>
      <c r="E1636" s="76"/>
      <c r="F1636" s="15"/>
      <c r="G1636" s="10"/>
      <c r="H1636" s="70" t="str">
        <f t="shared" si="1"/>
        <v/>
      </c>
      <c r="I1636" s="70" t="str">
        <f t="shared" si="2"/>
        <v/>
      </c>
      <c r="J1636" s="70" t="str">
        <f t="shared" si="3"/>
        <v/>
      </c>
      <c r="K1636" s="70" t="str">
        <f t="shared" si="4"/>
        <v>12/1899</v>
      </c>
    </row>
    <row r="1637" hidden="1">
      <c r="A1637" s="9"/>
      <c r="B1637" s="15"/>
      <c r="C1637" s="15"/>
      <c r="E1637" s="76"/>
      <c r="F1637" s="15"/>
      <c r="G1637" s="10"/>
      <c r="H1637" s="70" t="str">
        <f t="shared" si="1"/>
        <v/>
      </c>
      <c r="I1637" s="70" t="str">
        <f t="shared" si="2"/>
        <v/>
      </c>
      <c r="J1637" s="70" t="str">
        <f t="shared" si="3"/>
        <v/>
      </c>
      <c r="K1637" s="70" t="str">
        <f t="shared" si="4"/>
        <v>12/1899</v>
      </c>
    </row>
    <row r="1638" hidden="1">
      <c r="A1638" s="9"/>
      <c r="B1638" s="15"/>
      <c r="C1638" s="15"/>
      <c r="E1638" s="76"/>
      <c r="F1638" s="15"/>
      <c r="G1638" s="10"/>
      <c r="H1638" s="70" t="str">
        <f t="shared" si="1"/>
        <v/>
      </c>
      <c r="I1638" s="70" t="str">
        <f t="shared" si="2"/>
        <v/>
      </c>
      <c r="J1638" s="70" t="str">
        <f t="shared" si="3"/>
        <v/>
      </c>
      <c r="K1638" s="70" t="str">
        <f t="shared" si="4"/>
        <v>12/1899</v>
      </c>
    </row>
    <row r="1639" hidden="1">
      <c r="A1639" s="9"/>
      <c r="B1639" s="15"/>
      <c r="C1639" s="15"/>
      <c r="E1639" s="76"/>
      <c r="F1639" s="15"/>
      <c r="G1639" s="10"/>
      <c r="H1639" s="70" t="str">
        <f t="shared" si="1"/>
        <v/>
      </c>
      <c r="I1639" s="70" t="str">
        <f t="shared" si="2"/>
        <v/>
      </c>
      <c r="J1639" s="70" t="str">
        <f t="shared" si="3"/>
        <v/>
      </c>
      <c r="K1639" s="70" t="str">
        <f t="shared" si="4"/>
        <v>12/1899</v>
      </c>
    </row>
    <row r="1640" hidden="1">
      <c r="A1640" s="9"/>
      <c r="B1640" s="15"/>
      <c r="C1640" s="15"/>
      <c r="E1640" s="76"/>
      <c r="F1640" s="15"/>
      <c r="G1640" s="10"/>
      <c r="H1640" s="70" t="str">
        <f t="shared" si="1"/>
        <v/>
      </c>
      <c r="I1640" s="70" t="str">
        <f t="shared" si="2"/>
        <v/>
      </c>
      <c r="J1640" s="70" t="str">
        <f t="shared" si="3"/>
        <v/>
      </c>
      <c r="K1640" s="70" t="str">
        <f t="shared" si="4"/>
        <v>12/1899</v>
      </c>
    </row>
    <row r="1641" hidden="1">
      <c r="A1641" s="9"/>
      <c r="B1641" s="15"/>
      <c r="C1641" s="15"/>
      <c r="E1641" s="76"/>
      <c r="F1641" s="15"/>
      <c r="G1641" s="10"/>
      <c r="H1641" s="70" t="str">
        <f t="shared" si="1"/>
        <v/>
      </c>
      <c r="I1641" s="70" t="str">
        <f t="shared" si="2"/>
        <v/>
      </c>
      <c r="J1641" s="70" t="str">
        <f t="shared" si="3"/>
        <v/>
      </c>
      <c r="K1641" s="70" t="str">
        <f t="shared" si="4"/>
        <v>12/1899</v>
      </c>
    </row>
    <row r="1642" hidden="1">
      <c r="A1642" s="9"/>
      <c r="B1642" s="15"/>
      <c r="C1642" s="15"/>
      <c r="E1642" s="76"/>
      <c r="F1642" s="15"/>
      <c r="G1642" s="10"/>
      <c r="H1642" s="70" t="str">
        <f t="shared" si="1"/>
        <v/>
      </c>
      <c r="I1642" s="70" t="str">
        <f t="shared" si="2"/>
        <v/>
      </c>
      <c r="J1642" s="70" t="str">
        <f t="shared" si="3"/>
        <v/>
      </c>
      <c r="K1642" s="70" t="str">
        <f t="shared" si="4"/>
        <v>12/1899</v>
      </c>
    </row>
    <row r="1643" hidden="1">
      <c r="A1643" s="9"/>
      <c r="B1643" s="15"/>
      <c r="C1643" s="15"/>
      <c r="E1643" s="76"/>
      <c r="F1643" s="15"/>
      <c r="G1643" s="10"/>
      <c r="H1643" s="70" t="str">
        <f t="shared" si="1"/>
        <v/>
      </c>
      <c r="I1643" s="70" t="str">
        <f t="shared" si="2"/>
        <v/>
      </c>
      <c r="J1643" s="70" t="str">
        <f t="shared" si="3"/>
        <v/>
      </c>
      <c r="K1643" s="70" t="str">
        <f t="shared" si="4"/>
        <v>12/1899</v>
      </c>
    </row>
    <row r="1644" hidden="1">
      <c r="A1644" s="9"/>
      <c r="B1644" s="15"/>
      <c r="C1644" s="15"/>
      <c r="E1644" s="76"/>
      <c r="F1644" s="15"/>
      <c r="G1644" s="10"/>
      <c r="H1644" s="70" t="str">
        <f t="shared" si="1"/>
        <v/>
      </c>
      <c r="I1644" s="70" t="str">
        <f t="shared" si="2"/>
        <v/>
      </c>
      <c r="J1644" s="70" t="str">
        <f t="shared" si="3"/>
        <v/>
      </c>
      <c r="K1644" s="70" t="str">
        <f t="shared" si="4"/>
        <v>12/1899</v>
      </c>
    </row>
    <row r="1645" hidden="1">
      <c r="A1645" s="9"/>
      <c r="B1645" s="15"/>
      <c r="C1645" s="15"/>
      <c r="E1645" s="76"/>
      <c r="F1645" s="15"/>
      <c r="G1645" s="10"/>
      <c r="H1645" s="70" t="str">
        <f t="shared" si="1"/>
        <v/>
      </c>
      <c r="I1645" s="70" t="str">
        <f t="shared" si="2"/>
        <v/>
      </c>
      <c r="J1645" s="70" t="str">
        <f t="shared" si="3"/>
        <v/>
      </c>
      <c r="K1645" s="70" t="str">
        <f t="shared" si="4"/>
        <v>12/1899</v>
      </c>
    </row>
    <row r="1646" hidden="1">
      <c r="A1646" s="9"/>
      <c r="B1646" s="15"/>
      <c r="C1646" s="15"/>
      <c r="E1646" s="76"/>
      <c r="F1646" s="15"/>
      <c r="G1646" s="10"/>
      <c r="H1646" s="70" t="str">
        <f t="shared" si="1"/>
        <v/>
      </c>
      <c r="I1646" s="70" t="str">
        <f t="shared" si="2"/>
        <v/>
      </c>
      <c r="J1646" s="70" t="str">
        <f t="shared" si="3"/>
        <v/>
      </c>
      <c r="K1646" s="70" t="str">
        <f t="shared" si="4"/>
        <v>12/1899</v>
      </c>
    </row>
    <row r="1647" hidden="1">
      <c r="A1647" s="9"/>
      <c r="B1647" s="15"/>
      <c r="C1647" s="15"/>
      <c r="E1647" s="76"/>
      <c r="F1647" s="15"/>
      <c r="G1647" s="10"/>
      <c r="H1647" s="70" t="str">
        <f t="shared" si="1"/>
        <v/>
      </c>
      <c r="I1647" s="70" t="str">
        <f t="shared" si="2"/>
        <v/>
      </c>
      <c r="J1647" s="70" t="str">
        <f t="shared" si="3"/>
        <v/>
      </c>
      <c r="K1647" s="70" t="str">
        <f t="shared" si="4"/>
        <v>12/1899</v>
      </c>
    </row>
    <row r="1648" hidden="1">
      <c r="A1648" s="9"/>
      <c r="B1648" s="15"/>
      <c r="C1648" s="15"/>
      <c r="E1648" s="76"/>
      <c r="F1648" s="15"/>
      <c r="G1648" s="10"/>
      <c r="H1648" s="70" t="str">
        <f t="shared" si="1"/>
        <v/>
      </c>
      <c r="I1648" s="70" t="str">
        <f t="shared" si="2"/>
        <v/>
      </c>
      <c r="J1648" s="70" t="str">
        <f t="shared" si="3"/>
        <v/>
      </c>
      <c r="K1648" s="70" t="str">
        <f t="shared" si="4"/>
        <v>12/1899</v>
      </c>
    </row>
    <row r="1649" hidden="1">
      <c r="A1649" s="9"/>
      <c r="B1649" s="15"/>
      <c r="C1649" s="15"/>
      <c r="E1649" s="76"/>
      <c r="F1649" s="15"/>
      <c r="G1649" s="10"/>
      <c r="H1649" s="70" t="str">
        <f t="shared" si="1"/>
        <v/>
      </c>
      <c r="I1649" s="70" t="str">
        <f t="shared" si="2"/>
        <v/>
      </c>
      <c r="J1649" s="70" t="str">
        <f t="shared" si="3"/>
        <v/>
      </c>
      <c r="K1649" s="70" t="str">
        <f t="shared" si="4"/>
        <v>12/1899</v>
      </c>
    </row>
    <row r="1650" hidden="1">
      <c r="A1650" s="9"/>
      <c r="B1650" s="15"/>
      <c r="C1650" s="15"/>
      <c r="E1650" s="76"/>
      <c r="F1650" s="15"/>
      <c r="G1650" s="10"/>
      <c r="H1650" s="70" t="str">
        <f t="shared" si="1"/>
        <v/>
      </c>
      <c r="I1650" s="70" t="str">
        <f t="shared" si="2"/>
        <v/>
      </c>
      <c r="J1650" s="70" t="str">
        <f t="shared" si="3"/>
        <v/>
      </c>
      <c r="K1650" s="70" t="str">
        <f t="shared" si="4"/>
        <v>12/1899</v>
      </c>
    </row>
    <row r="1651" hidden="1">
      <c r="A1651" s="9"/>
      <c r="B1651" s="15"/>
      <c r="C1651" s="15"/>
      <c r="E1651" s="76"/>
      <c r="F1651" s="15"/>
      <c r="G1651" s="10"/>
      <c r="H1651" s="70" t="str">
        <f t="shared" si="1"/>
        <v/>
      </c>
      <c r="I1651" s="70" t="str">
        <f t="shared" si="2"/>
        <v/>
      </c>
      <c r="J1651" s="70" t="str">
        <f t="shared" si="3"/>
        <v/>
      </c>
      <c r="K1651" s="70" t="str">
        <f t="shared" si="4"/>
        <v>12/1899</v>
      </c>
    </row>
    <row r="1652" hidden="1">
      <c r="A1652" s="9"/>
      <c r="B1652" s="15"/>
      <c r="C1652" s="15"/>
      <c r="E1652" s="76"/>
      <c r="F1652" s="15"/>
      <c r="G1652" s="10"/>
      <c r="H1652" s="70" t="str">
        <f t="shared" si="1"/>
        <v/>
      </c>
      <c r="I1652" s="70" t="str">
        <f t="shared" si="2"/>
        <v/>
      </c>
      <c r="J1652" s="70" t="str">
        <f t="shared" si="3"/>
        <v/>
      </c>
      <c r="K1652" s="70" t="str">
        <f t="shared" si="4"/>
        <v>12/1899</v>
      </c>
    </row>
    <row r="1653" hidden="1">
      <c r="A1653" s="9"/>
      <c r="B1653" s="15"/>
      <c r="C1653" s="15"/>
      <c r="E1653" s="76"/>
      <c r="F1653" s="15"/>
      <c r="G1653" s="10"/>
      <c r="H1653" s="70" t="str">
        <f t="shared" si="1"/>
        <v/>
      </c>
      <c r="I1653" s="70" t="str">
        <f t="shared" si="2"/>
        <v/>
      </c>
      <c r="J1653" s="70" t="str">
        <f t="shared" si="3"/>
        <v/>
      </c>
      <c r="K1653" s="70" t="str">
        <f t="shared" si="4"/>
        <v>12/1899</v>
      </c>
    </row>
    <row r="1654" hidden="1">
      <c r="A1654" s="9"/>
      <c r="B1654" s="15"/>
      <c r="C1654" s="15"/>
      <c r="E1654" s="76"/>
      <c r="F1654" s="15"/>
      <c r="G1654" s="10"/>
      <c r="H1654" s="70" t="str">
        <f t="shared" si="1"/>
        <v/>
      </c>
      <c r="I1654" s="70" t="str">
        <f t="shared" si="2"/>
        <v/>
      </c>
      <c r="J1654" s="70" t="str">
        <f t="shared" si="3"/>
        <v/>
      </c>
      <c r="K1654" s="70" t="str">
        <f t="shared" si="4"/>
        <v>12/1899</v>
      </c>
    </row>
    <row r="1655" hidden="1">
      <c r="A1655" s="9"/>
      <c r="B1655" s="15"/>
      <c r="C1655" s="15"/>
      <c r="E1655" s="76"/>
      <c r="F1655" s="15"/>
      <c r="G1655" s="10"/>
      <c r="H1655" s="70" t="str">
        <f t="shared" si="1"/>
        <v/>
      </c>
      <c r="I1655" s="70" t="str">
        <f t="shared" si="2"/>
        <v/>
      </c>
      <c r="J1655" s="70" t="str">
        <f t="shared" si="3"/>
        <v/>
      </c>
      <c r="K1655" s="70" t="str">
        <f t="shared" si="4"/>
        <v>12/1899</v>
      </c>
    </row>
    <row r="1656" hidden="1">
      <c r="A1656" s="9"/>
      <c r="B1656" s="15"/>
      <c r="C1656" s="15"/>
      <c r="E1656" s="76"/>
      <c r="F1656" s="15"/>
      <c r="G1656" s="10"/>
      <c r="H1656" s="70" t="str">
        <f t="shared" si="1"/>
        <v/>
      </c>
      <c r="I1656" s="70" t="str">
        <f t="shared" si="2"/>
        <v/>
      </c>
      <c r="J1656" s="70" t="str">
        <f t="shared" si="3"/>
        <v/>
      </c>
      <c r="K1656" s="70" t="str">
        <f t="shared" si="4"/>
        <v>12/1899</v>
      </c>
    </row>
    <row r="1657" hidden="1">
      <c r="A1657" s="9"/>
      <c r="B1657" s="15"/>
      <c r="C1657" s="15"/>
      <c r="E1657" s="76"/>
      <c r="F1657" s="15"/>
      <c r="G1657" s="10"/>
      <c r="H1657" s="70" t="str">
        <f t="shared" si="1"/>
        <v/>
      </c>
      <c r="I1657" s="70" t="str">
        <f t="shared" si="2"/>
        <v/>
      </c>
      <c r="J1657" s="70" t="str">
        <f t="shared" si="3"/>
        <v/>
      </c>
      <c r="K1657" s="70" t="str">
        <f t="shared" si="4"/>
        <v>12/1899</v>
      </c>
    </row>
    <row r="1658" hidden="1">
      <c r="A1658" s="9"/>
      <c r="B1658" s="15"/>
      <c r="C1658" s="15"/>
      <c r="E1658" s="76"/>
      <c r="F1658" s="15"/>
      <c r="G1658" s="10"/>
      <c r="H1658" s="70" t="str">
        <f t="shared" si="1"/>
        <v/>
      </c>
      <c r="I1658" s="70" t="str">
        <f t="shared" si="2"/>
        <v/>
      </c>
      <c r="J1658" s="70" t="str">
        <f t="shared" si="3"/>
        <v/>
      </c>
      <c r="K1658" s="70" t="str">
        <f t="shared" si="4"/>
        <v>12/1899</v>
      </c>
    </row>
    <row r="1659" hidden="1">
      <c r="A1659" s="9"/>
      <c r="B1659" s="15"/>
      <c r="C1659" s="15"/>
      <c r="E1659" s="76"/>
      <c r="F1659" s="15"/>
      <c r="G1659" s="10"/>
      <c r="H1659" s="70" t="str">
        <f t="shared" si="1"/>
        <v/>
      </c>
      <c r="I1659" s="70" t="str">
        <f t="shared" si="2"/>
        <v/>
      </c>
      <c r="J1659" s="70" t="str">
        <f t="shared" si="3"/>
        <v/>
      </c>
      <c r="K1659" s="70" t="str">
        <f t="shared" si="4"/>
        <v>12/1899</v>
      </c>
    </row>
    <row r="1660" hidden="1">
      <c r="A1660" s="9"/>
      <c r="B1660" s="15"/>
      <c r="C1660" s="15"/>
      <c r="E1660" s="76"/>
      <c r="F1660" s="15"/>
      <c r="G1660" s="10"/>
      <c r="H1660" s="70" t="str">
        <f t="shared" si="1"/>
        <v/>
      </c>
      <c r="I1660" s="70" t="str">
        <f t="shared" si="2"/>
        <v/>
      </c>
      <c r="J1660" s="70" t="str">
        <f t="shared" si="3"/>
        <v/>
      </c>
      <c r="K1660" s="70" t="str">
        <f t="shared" si="4"/>
        <v>12/1899</v>
      </c>
    </row>
    <row r="1661" hidden="1">
      <c r="A1661" s="9"/>
      <c r="B1661" s="15"/>
      <c r="C1661" s="15"/>
      <c r="E1661" s="76"/>
      <c r="F1661" s="15"/>
      <c r="G1661" s="10"/>
      <c r="H1661" s="70" t="str">
        <f t="shared" si="1"/>
        <v/>
      </c>
      <c r="I1661" s="70" t="str">
        <f t="shared" si="2"/>
        <v/>
      </c>
      <c r="J1661" s="70" t="str">
        <f t="shared" si="3"/>
        <v/>
      </c>
      <c r="K1661" s="70" t="str">
        <f t="shared" si="4"/>
        <v>12/1899</v>
      </c>
    </row>
    <row r="1662" hidden="1">
      <c r="A1662" s="9"/>
      <c r="B1662" s="15"/>
      <c r="C1662" s="15"/>
      <c r="E1662" s="76"/>
      <c r="F1662" s="15"/>
      <c r="G1662" s="10"/>
      <c r="H1662" s="70" t="str">
        <f t="shared" si="1"/>
        <v/>
      </c>
      <c r="I1662" s="70" t="str">
        <f t="shared" si="2"/>
        <v/>
      </c>
      <c r="J1662" s="70" t="str">
        <f t="shared" si="3"/>
        <v/>
      </c>
      <c r="K1662" s="70" t="str">
        <f t="shared" si="4"/>
        <v>12/1899</v>
      </c>
    </row>
    <row r="1663" hidden="1">
      <c r="A1663" s="9"/>
      <c r="B1663" s="15"/>
      <c r="C1663" s="15"/>
      <c r="E1663" s="76"/>
      <c r="F1663" s="15"/>
      <c r="G1663" s="10"/>
      <c r="H1663" s="70" t="str">
        <f t="shared" si="1"/>
        <v/>
      </c>
      <c r="I1663" s="70" t="str">
        <f t="shared" si="2"/>
        <v/>
      </c>
      <c r="J1663" s="70" t="str">
        <f t="shared" si="3"/>
        <v/>
      </c>
      <c r="K1663" s="70" t="str">
        <f t="shared" si="4"/>
        <v>12/1899</v>
      </c>
    </row>
    <row r="1664" hidden="1">
      <c r="A1664" s="9"/>
      <c r="B1664" s="15"/>
      <c r="C1664" s="15"/>
      <c r="E1664" s="76"/>
      <c r="F1664" s="15"/>
      <c r="G1664" s="10"/>
      <c r="H1664" s="70" t="str">
        <f t="shared" si="1"/>
        <v/>
      </c>
      <c r="I1664" s="70" t="str">
        <f t="shared" si="2"/>
        <v/>
      </c>
      <c r="J1664" s="70" t="str">
        <f t="shared" si="3"/>
        <v/>
      </c>
      <c r="K1664" s="70" t="str">
        <f t="shared" si="4"/>
        <v>12/1899</v>
      </c>
    </row>
    <row r="1665" hidden="1">
      <c r="A1665" s="9"/>
      <c r="B1665" s="15"/>
      <c r="C1665" s="15"/>
      <c r="E1665" s="76"/>
      <c r="F1665" s="15"/>
      <c r="G1665" s="10"/>
      <c r="H1665" s="70" t="str">
        <f t="shared" si="1"/>
        <v/>
      </c>
      <c r="I1665" s="70" t="str">
        <f t="shared" si="2"/>
        <v/>
      </c>
      <c r="J1665" s="70" t="str">
        <f t="shared" si="3"/>
        <v/>
      </c>
      <c r="K1665" s="70" t="str">
        <f t="shared" si="4"/>
        <v>12/1899</v>
      </c>
    </row>
    <row r="1666" hidden="1">
      <c r="A1666" s="9"/>
      <c r="B1666" s="15"/>
      <c r="C1666" s="15"/>
      <c r="E1666" s="76"/>
      <c r="F1666" s="15"/>
      <c r="G1666" s="10"/>
      <c r="H1666" s="70" t="str">
        <f t="shared" si="1"/>
        <v/>
      </c>
      <c r="I1666" s="70" t="str">
        <f t="shared" si="2"/>
        <v/>
      </c>
      <c r="J1666" s="70" t="str">
        <f t="shared" si="3"/>
        <v/>
      </c>
      <c r="K1666" s="70" t="str">
        <f t="shared" si="4"/>
        <v>12/1899</v>
      </c>
    </row>
    <row r="1667" hidden="1">
      <c r="A1667" s="9"/>
      <c r="B1667" s="15"/>
      <c r="C1667" s="15"/>
      <c r="E1667" s="76"/>
      <c r="F1667" s="15"/>
      <c r="G1667" s="10"/>
      <c r="H1667" s="70" t="str">
        <f t="shared" si="1"/>
        <v/>
      </c>
      <c r="I1667" s="70" t="str">
        <f t="shared" si="2"/>
        <v/>
      </c>
      <c r="J1667" s="70" t="str">
        <f t="shared" si="3"/>
        <v/>
      </c>
      <c r="K1667" s="70" t="str">
        <f t="shared" si="4"/>
        <v>12/1899</v>
      </c>
    </row>
    <row r="1668" hidden="1">
      <c r="A1668" s="9"/>
      <c r="B1668" s="15"/>
      <c r="C1668" s="15"/>
      <c r="E1668" s="76"/>
      <c r="F1668" s="15"/>
      <c r="G1668" s="10"/>
      <c r="H1668" s="70" t="str">
        <f t="shared" si="1"/>
        <v/>
      </c>
      <c r="I1668" s="70" t="str">
        <f t="shared" si="2"/>
        <v/>
      </c>
      <c r="J1668" s="70" t="str">
        <f t="shared" si="3"/>
        <v/>
      </c>
      <c r="K1668" s="70" t="str">
        <f t="shared" si="4"/>
        <v>12/1899</v>
      </c>
    </row>
    <row r="1669" hidden="1">
      <c r="A1669" s="9"/>
      <c r="B1669" s="15"/>
      <c r="C1669" s="15"/>
      <c r="E1669" s="76"/>
      <c r="F1669" s="15"/>
      <c r="G1669" s="10"/>
      <c r="H1669" s="70" t="str">
        <f t="shared" si="1"/>
        <v/>
      </c>
      <c r="I1669" s="70" t="str">
        <f t="shared" si="2"/>
        <v/>
      </c>
      <c r="J1669" s="70" t="str">
        <f t="shared" si="3"/>
        <v/>
      </c>
      <c r="K1669" s="70" t="str">
        <f t="shared" si="4"/>
        <v>12/1899</v>
      </c>
    </row>
    <row r="1670" hidden="1">
      <c r="A1670" s="9"/>
      <c r="B1670" s="15"/>
      <c r="C1670" s="15"/>
      <c r="E1670" s="76"/>
      <c r="F1670" s="15"/>
      <c r="G1670" s="10"/>
      <c r="H1670" s="70" t="str">
        <f t="shared" si="1"/>
        <v/>
      </c>
      <c r="I1670" s="70" t="str">
        <f t="shared" si="2"/>
        <v/>
      </c>
      <c r="J1670" s="70" t="str">
        <f t="shared" si="3"/>
        <v/>
      </c>
      <c r="K1670" s="70" t="str">
        <f t="shared" si="4"/>
        <v>12/1899</v>
      </c>
    </row>
    <row r="1671" hidden="1">
      <c r="A1671" s="9"/>
      <c r="B1671" s="15"/>
      <c r="C1671" s="15"/>
      <c r="E1671" s="76"/>
      <c r="F1671" s="15"/>
      <c r="G1671" s="10"/>
      <c r="H1671" s="70" t="str">
        <f t="shared" si="1"/>
        <v/>
      </c>
      <c r="I1671" s="70" t="str">
        <f t="shared" si="2"/>
        <v/>
      </c>
      <c r="J1671" s="70" t="str">
        <f t="shared" si="3"/>
        <v/>
      </c>
      <c r="K1671" s="70" t="str">
        <f t="shared" si="4"/>
        <v>12/1899</v>
      </c>
    </row>
    <row r="1672" hidden="1">
      <c r="A1672" s="9"/>
      <c r="B1672" s="15"/>
      <c r="C1672" s="15"/>
      <c r="E1672" s="76"/>
      <c r="F1672" s="15"/>
      <c r="G1672" s="10"/>
      <c r="H1672" s="70" t="str">
        <f t="shared" si="1"/>
        <v/>
      </c>
      <c r="I1672" s="70" t="str">
        <f t="shared" si="2"/>
        <v/>
      </c>
      <c r="J1672" s="70" t="str">
        <f t="shared" si="3"/>
        <v/>
      </c>
      <c r="K1672" s="70" t="str">
        <f t="shared" si="4"/>
        <v>12/1899</v>
      </c>
    </row>
    <row r="1673" hidden="1">
      <c r="A1673" s="9"/>
      <c r="B1673" s="15"/>
      <c r="C1673" s="15"/>
      <c r="E1673" s="76"/>
      <c r="F1673" s="15"/>
      <c r="G1673" s="10"/>
      <c r="H1673" s="70" t="str">
        <f t="shared" si="1"/>
        <v/>
      </c>
      <c r="I1673" s="70" t="str">
        <f t="shared" si="2"/>
        <v/>
      </c>
      <c r="J1673" s="70" t="str">
        <f t="shared" si="3"/>
        <v/>
      </c>
      <c r="K1673" s="70" t="str">
        <f t="shared" si="4"/>
        <v>12/1899</v>
      </c>
    </row>
    <row r="1674" hidden="1">
      <c r="A1674" s="9"/>
      <c r="B1674" s="15"/>
      <c r="C1674" s="15"/>
      <c r="E1674" s="76"/>
      <c r="F1674" s="15"/>
      <c r="G1674" s="10"/>
      <c r="H1674" s="70" t="str">
        <f t="shared" si="1"/>
        <v/>
      </c>
      <c r="I1674" s="70" t="str">
        <f t="shared" si="2"/>
        <v/>
      </c>
      <c r="J1674" s="70" t="str">
        <f t="shared" si="3"/>
        <v/>
      </c>
      <c r="K1674" s="70" t="str">
        <f t="shared" si="4"/>
        <v>12/1899</v>
      </c>
    </row>
    <row r="1675" hidden="1">
      <c r="A1675" s="9"/>
      <c r="B1675" s="15"/>
      <c r="C1675" s="15"/>
      <c r="E1675" s="76"/>
      <c r="F1675" s="15"/>
      <c r="G1675" s="10"/>
      <c r="H1675" s="70" t="str">
        <f t="shared" si="1"/>
        <v/>
      </c>
      <c r="I1675" s="70" t="str">
        <f t="shared" si="2"/>
        <v/>
      </c>
      <c r="J1675" s="70" t="str">
        <f t="shared" si="3"/>
        <v/>
      </c>
      <c r="K1675" s="70" t="str">
        <f t="shared" si="4"/>
        <v>12/1899</v>
      </c>
    </row>
    <row r="1676" hidden="1">
      <c r="A1676" s="9"/>
      <c r="B1676" s="15"/>
      <c r="C1676" s="15"/>
      <c r="E1676" s="76"/>
      <c r="F1676" s="15"/>
      <c r="G1676" s="10"/>
      <c r="H1676" s="70" t="str">
        <f t="shared" si="1"/>
        <v/>
      </c>
      <c r="I1676" s="70" t="str">
        <f t="shared" si="2"/>
        <v/>
      </c>
      <c r="J1676" s="70" t="str">
        <f t="shared" si="3"/>
        <v/>
      </c>
      <c r="K1676" s="70" t="str">
        <f t="shared" si="4"/>
        <v>12/1899</v>
      </c>
    </row>
    <row r="1677" hidden="1">
      <c r="A1677" s="9"/>
      <c r="B1677" s="15"/>
      <c r="C1677" s="15"/>
      <c r="E1677" s="76"/>
      <c r="F1677" s="15"/>
      <c r="G1677" s="10"/>
      <c r="H1677" s="70" t="str">
        <f t="shared" si="1"/>
        <v/>
      </c>
      <c r="I1677" s="70" t="str">
        <f t="shared" si="2"/>
        <v/>
      </c>
      <c r="J1677" s="70" t="str">
        <f t="shared" si="3"/>
        <v/>
      </c>
      <c r="K1677" s="70" t="str">
        <f t="shared" si="4"/>
        <v>12/1899</v>
      </c>
    </row>
    <row r="1678" hidden="1">
      <c r="A1678" s="9"/>
      <c r="B1678" s="15"/>
      <c r="C1678" s="15"/>
      <c r="E1678" s="76"/>
      <c r="F1678" s="15"/>
      <c r="G1678" s="10"/>
      <c r="H1678" s="70" t="str">
        <f t="shared" si="1"/>
        <v/>
      </c>
      <c r="I1678" s="70" t="str">
        <f t="shared" si="2"/>
        <v/>
      </c>
      <c r="J1678" s="70" t="str">
        <f t="shared" si="3"/>
        <v/>
      </c>
      <c r="K1678" s="70" t="str">
        <f t="shared" si="4"/>
        <v>12/1899</v>
      </c>
    </row>
    <row r="1679" hidden="1">
      <c r="A1679" s="9"/>
      <c r="B1679" s="15"/>
      <c r="C1679" s="15"/>
      <c r="E1679" s="76"/>
      <c r="F1679" s="15"/>
      <c r="G1679" s="10"/>
      <c r="H1679" s="70" t="str">
        <f t="shared" si="1"/>
        <v/>
      </c>
      <c r="I1679" s="70" t="str">
        <f t="shared" si="2"/>
        <v/>
      </c>
      <c r="J1679" s="70" t="str">
        <f t="shared" si="3"/>
        <v/>
      </c>
      <c r="K1679" s="70" t="str">
        <f t="shared" si="4"/>
        <v>12/1899</v>
      </c>
    </row>
    <row r="1680" hidden="1">
      <c r="A1680" s="9"/>
      <c r="B1680" s="15"/>
      <c r="C1680" s="15"/>
      <c r="E1680" s="76"/>
      <c r="F1680" s="15"/>
      <c r="G1680" s="10"/>
      <c r="H1680" s="70" t="str">
        <f t="shared" si="1"/>
        <v/>
      </c>
      <c r="I1680" s="70" t="str">
        <f t="shared" si="2"/>
        <v/>
      </c>
      <c r="J1680" s="70" t="str">
        <f t="shared" si="3"/>
        <v/>
      </c>
      <c r="K1680" s="70" t="str">
        <f t="shared" si="4"/>
        <v>12/1899</v>
      </c>
    </row>
    <row r="1681" hidden="1">
      <c r="A1681" s="9"/>
      <c r="B1681" s="15"/>
      <c r="C1681" s="15"/>
      <c r="E1681" s="76"/>
      <c r="F1681" s="15"/>
      <c r="G1681" s="10"/>
      <c r="H1681" s="70" t="str">
        <f t="shared" si="1"/>
        <v/>
      </c>
      <c r="I1681" s="70" t="str">
        <f t="shared" si="2"/>
        <v/>
      </c>
      <c r="J1681" s="70" t="str">
        <f t="shared" si="3"/>
        <v/>
      </c>
      <c r="K1681" s="70" t="str">
        <f t="shared" si="4"/>
        <v>12/1899</v>
      </c>
    </row>
    <row r="1682" hidden="1">
      <c r="A1682" s="9"/>
      <c r="B1682" s="15"/>
      <c r="C1682" s="15"/>
      <c r="E1682" s="76"/>
      <c r="F1682" s="15"/>
      <c r="G1682" s="10"/>
      <c r="H1682" s="70" t="str">
        <f t="shared" si="1"/>
        <v/>
      </c>
      <c r="I1682" s="70" t="str">
        <f t="shared" si="2"/>
        <v/>
      </c>
      <c r="J1682" s="70" t="str">
        <f t="shared" si="3"/>
        <v/>
      </c>
      <c r="K1682" s="70" t="str">
        <f t="shared" si="4"/>
        <v>12/1899</v>
      </c>
    </row>
    <row r="1683" hidden="1">
      <c r="A1683" s="9"/>
      <c r="B1683" s="15"/>
      <c r="C1683" s="15"/>
      <c r="E1683" s="76"/>
      <c r="F1683" s="15"/>
      <c r="G1683" s="10"/>
      <c r="H1683" s="70" t="str">
        <f t="shared" si="1"/>
        <v/>
      </c>
      <c r="I1683" s="70" t="str">
        <f t="shared" si="2"/>
        <v/>
      </c>
      <c r="J1683" s="70" t="str">
        <f t="shared" si="3"/>
        <v/>
      </c>
      <c r="K1683" s="70" t="str">
        <f t="shared" si="4"/>
        <v>12/1899</v>
      </c>
    </row>
    <row r="1684" hidden="1">
      <c r="A1684" s="9"/>
      <c r="B1684" s="15"/>
      <c r="C1684" s="15"/>
      <c r="E1684" s="76"/>
      <c r="F1684" s="15"/>
      <c r="G1684" s="10"/>
      <c r="H1684" s="70" t="str">
        <f t="shared" si="1"/>
        <v/>
      </c>
      <c r="I1684" s="70" t="str">
        <f t="shared" si="2"/>
        <v/>
      </c>
      <c r="J1684" s="70" t="str">
        <f t="shared" si="3"/>
        <v/>
      </c>
      <c r="K1684" s="70" t="str">
        <f t="shared" si="4"/>
        <v>12/1899</v>
      </c>
    </row>
    <row r="1685" hidden="1">
      <c r="A1685" s="9"/>
      <c r="B1685" s="15"/>
      <c r="C1685" s="15"/>
      <c r="E1685" s="76"/>
      <c r="F1685" s="15"/>
      <c r="G1685" s="10"/>
      <c r="H1685" s="70" t="str">
        <f t="shared" si="1"/>
        <v/>
      </c>
      <c r="I1685" s="70" t="str">
        <f t="shared" si="2"/>
        <v/>
      </c>
      <c r="J1685" s="70" t="str">
        <f t="shared" si="3"/>
        <v/>
      </c>
      <c r="K1685" s="70" t="str">
        <f t="shared" si="4"/>
        <v>12/1899</v>
      </c>
    </row>
    <row r="1686" hidden="1">
      <c r="A1686" s="9"/>
      <c r="B1686" s="15"/>
      <c r="C1686" s="15"/>
      <c r="E1686" s="76"/>
      <c r="F1686" s="15"/>
      <c r="G1686" s="10"/>
      <c r="H1686" s="70" t="str">
        <f t="shared" si="1"/>
        <v/>
      </c>
      <c r="I1686" s="70" t="str">
        <f t="shared" si="2"/>
        <v/>
      </c>
      <c r="J1686" s="70" t="str">
        <f t="shared" si="3"/>
        <v/>
      </c>
      <c r="K1686" s="70" t="str">
        <f t="shared" si="4"/>
        <v>12/1899</v>
      </c>
    </row>
    <row r="1687" hidden="1">
      <c r="A1687" s="9"/>
      <c r="B1687" s="15"/>
      <c r="C1687" s="15"/>
      <c r="E1687" s="76"/>
      <c r="F1687" s="15"/>
      <c r="G1687" s="10"/>
      <c r="H1687" s="70" t="str">
        <f t="shared" si="1"/>
        <v/>
      </c>
      <c r="I1687" s="70" t="str">
        <f t="shared" si="2"/>
        <v/>
      </c>
      <c r="J1687" s="70" t="str">
        <f t="shared" si="3"/>
        <v/>
      </c>
      <c r="K1687" s="70" t="str">
        <f t="shared" si="4"/>
        <v>12/1899</v>
      </c>
    </row>
    <row r="1688" hidden="1">
      <c r="A1688" s="9"/>
      <c r="B1688" s="15"/>
      <c r="C1688" s="15"/>
      <c r="E1688" s="76"/>
      <c r="F1688" s="15"/>
      <c r="G1688" s="10"/>
      <c r="H1688" s="70" t="str">
        <f t="shared" si="1"/>
        <v/>
      </c>
      <c r="I1688" s="70" t="str">
        <f t="shared" si="2"/>
        <v/>
      </c>
      <c r="J1688" s="70" t="str">
        <f t="shared" si="3"/>
        <v/>
      </c>
      <c r="K1688" s="70" t="str">
        <f t="shared" si="4"/>
        <v>12/1899</v>
      </c>
    </row>
    <row r="1689" hidden="1">
      <c r="A1689" s="9"/>
      <c r="B1689" s="15"/>
      <c r="C1689" s="15"/>
      <c r="E1689" s="76"/>
      <c r="F1689" s="15"/>
      <c r="G1689" s="10"/>
      <c r="H1689" s="70" t="str">
        <f t="shared" si="1"/>
        <v/>
      </c>
      <c r="I1689" s="70" t="str">
        <f t="shared" si="2"/>
        <v/>
      </c>
      <c r="J1689" s="70" t="str">
        <f t="shared" si="3"/>
        <v/>
      </c>
      <c r="K1689" s="70" t="str">
        <f t="shared" si="4"/>
        <v>12/1899</v>
      </c>
    </row>
    <row r="1690" hidden="1">
      <c r="A1690" s="9"/>
      <c r="B1690" s="15"/>
      <c r="C1690" s="15"/>
      <c r="E1690" s="76"/>
      <c r="F1690" s="15"/>
      <c r="G1690" s="10"/>
      <c r="H1690" s="70" t="str">
        <f t="shared" si="1"/>
        <v/>
      </c>
      <c r="I1690" s="70" t="str">
        <f t="shared" si="2"/>
        <v/>
      </c>
      <c r="J1690" s="70" t="str">
        <f t="shared" si="3"/>
        <v/>
      </c>
      <c r="K1690" s="70" t="str">
        <f t="shared" si="4"/>
        <v>12/1899</v>
      </c>
    </row>
    <row r="1691" hidden="1">
      <c r="A1691" s="9"/>
      <c r="B1691" s="15"/>
      <c r="C1691" s="15"/>
      <c r="E1691" s="76"/>
      <c r="F1691" s="15"/>
      <c r="G1691" s="10"/>
      <c r="H1691" s="70" t="str">
        <f t="shared" si="1"/>
        <v/>
      </c>
      <c r="I1691" s="70" t="str">
        <f t="shared" si="2"/>
        <v/>
      </c>
      <c r="J1691" s="70" t="str">
        <f t="shared" si="3"/>
        <v/>
      </c>
      <c r="K1691" s="70" t="str">
        <f t="shared" si="4"/>
        <v>12/1899</v>
      </c>
    </row>
    <row r="1692" hidden="1">
      <c r="A1692" s="9"/>
      <c r="B1692" s="15"/>
      <c r="C1692" s="15"/>
      <c r="E1692" s="76"/>
      <c r="F1692" s="15"/>
      <c r="G1692" s="10"/>
      <c r="H1692" s="70" t="str">
        <f t="shared" si="1"/>
        <v/>
      </c>
      <c r="I1692" s="70" t="str">
        <f t="shared" si="2"/>
        <v/>
      </c>
      <c r="J1692" s="70" t="str">
        <f t="shared" si="3"/>
        <v/>
      </c>
      <c r="K1692" s="70" t="str">
        <f t="shared" si="4"/>
        <v>12/1899</v>
      </c>
    </row>
    <row r="1693" hidden="1">
      <c r="A1693" s="9"/>
      <c r="B1693" s="15"/>
      <c r="C1693" s="15"/>
      <c r="E1693" s="76"/>
      <c r="F1693" s="15"/>
      <c r="G1693" s="10"/>
      <c r="H1693" s="70" t="str">
        <f t="shared" si="1"/>
        <v/>
      </c>
      <c r="I1693" s="70" t="str">
        <f t="shared" si="2"/>
        <v/>
      </c>
      <c r="J1693" s="70" t="str">
        <f t="shared" si="3"/>
        <v/>
      </c>
      <c r="K1693" s="70" t="str">
        <f t="shared" si="4"/>
        <v>12/1899</v>
      </c>
    </row>
    <row r="1694" hidden="1">
      <c r="A1694" s="9"/>
      <c r="B1694" s="15"/>
      <c r="C1694" s="15"/>
      <c r="E1694" s="76"/>
      <c r="F1694" s="15"/>
      <c r="G1694" s="10"/>
      <c r="H1694" s="70" t="str">
        <f t="shared" si="1"/>
        <v/>
      </c>
      <c r="I1694" s="70" t="str">
        <f t="shared" si="2"/>
        <v/>
      </c>
      <c r="J1694" s="70" t="str">
        <f t="shared" si="3"/>
        <v/>
      </c>
      <c r="K1694" s="70" t="str">
        <f t="shared" si="4"/>
        <v>12/1899</v>
      </c>
    </row>
    <row r="1695" hidden="1">
      <c r="A1695" s="9"/>
      <c r="B1695" s="15"/>
      <c r="C1695" s="15"/>
      <c r="E1695" s="76"/>
      <c r="F1695" s="15"/>
      <c r="G1695" s="10"/>
      <c r="H1695" s="70" t="str">
        <f t="shared" si="1"/>
        <v/>
      </c>
      <c r="I1695" s="70" t="str">
        <f t="shared" si="2"/>
        <v/>
      </c>
      <c r="J1695" s="70" t="str">
        <f t="shared" si="3"/>
        <v/>
      </c>
      <c r="K1695" s="70" t="str">
        <f t="shared" si="4"/>
        <v>12/1899</v>
      </c>
    </row>
    <row r="1696" hidden="1">
      <c r="A1696" s="9"/>
      <c r="B1696" s="15"/>
      <c r="C1696" s="15"/>
      <c r="E1696" s="76"/>
      <c r="F1696" s="15"/>
      <c r="G1696" s="10"/>
      <c r="H1696" s="70" t="str">
        <f t="shared" si="1"/>
        <v/>
      </c>
      <c r="I1696" s="70" t="str">
        <f t="shared" si="2"/>
        <v/>
      </c>
      <c r="J1696" s="70" t="str">
        <f t="shared" si="3"/>
        <v/>
      </c>
      <c r="K1696" s="70" t="str">
        <f t="shared" si="4"/>
        <v>12/1899</v>
      </c>
    </row>
    <row r="1697" hidden="1">
      <c r="A1697" s="9"/>
      <c r="B1697" s="15"/>
      <c r="C1697" s="15"/>
      <c r="E1697" s="76"/>
      <c r="F1697" s="15"/>
      <c r="G1697" s="10"/>
      <c r="H1697" s="70" t="str">
        <f t="shared" si="1"/>
        <v/>
      </c>
      <c r="I1697" s="70" t="str">
        <f t="shared" si="2"/>
        <v/>
      </c>
      <c r="J1697" s="70" t="str">
        <f t="shared" si="3"/>
        <v/>
      </c>
      <c r="K1697" s="70" t="str">
        <f t="shared" si="4"/>
        <v>12/1899</v>
      </c>
    </row>
    <row r="1698" hidden="1">
      <c r="A1698" s="9"/>
      <c r="B1698" s="15"/>
      <c r="C1698" s="15"/>
      <c r="E1698" s="76"/>
      <c r="F1698" s="15"/>
      <c r="G1698" s="10"/>
      <c r="H1698" s="70" t="str">
        <f t="shared" si="1"/>
        <v/>
      </c>
      <c r="I1698" s="70" t="str">
        <f t="shared" si="2"/>
        <v/>
      </c>
      <c r="J1698" s="70" t="str">
        <f t="shared" si="3"/>
        <v/>
      </c>
      <c r="K1698" s="70" t="str">
        <f t="shared" si="4"/>
        <v>12/1899</v>
      </c>
    </row>
    <row r="1699" hidden="1">
      <c r="A1699" s="9"/>
      <c r="B1699" s="15"/>
      <c r="C1699" s="15"/>
      <c r="E1699" s="76"/>
      <c r="F1699" s="15"/>
      <c r="G1699" s="10"/>
      <c r="H1699" s="70" t="str">
        <f t="shared" si="1"/>
        <v/>
      </c>
      <c r="I1699" s="70" t="str">
        <f t="shared" si="2"/>
        <v/>
      </c>
      <c r="J1699" s="70" t="str">
        <f t="shared" si="3"/>
        <v/>
      </c>
      <c r="K1699" s="70" t="str">
        <f t="shared" si="4"/>
        <v>12/1899</v>
      </c>
    </row>
    <row r="1700" hidden="1">
      <c r="A1700" s="9"/>
      <c r="B1700" s="15"/>
      <c r="C1700" s="15"/>
      <c r="E1700" s="76"/>
      <c r="F1700" s="15"/>
      <c r="G1700" s="10"/>
      <c r="H1700" s="70" t="str">
        <f t="shared" si="1"/>
        <v/>
      </c>
      <c r="I1700" s="70" t="str">
        <f t="shared" si="2"/>
        <v/>
      </c>
      <c r="J1700" s="70" t="str">
        <f t="shared" si="3"/>
        <v/>
      </c>
      <c r="K1700" s="70" t="str">
        <f t="shared" si="4"/>
        <v>12/1899</v>
      </c>
    </row>
    <row r="1701" hidden="1">
      <c r="A1701" s="9"/>
      <c r="B1701" s="15"/>
      <c r="C1701" s="15"/>
      <c r="E1701" s="76"/>
      <c r="F1701" s="15"/>
      <c r="G1701" s="10"/>
      <c r="H1701" s="70" t="str">
        <f t="shared" si="1"/>
        <v/>
      </c>
      <c r="I1701" s="70" t="str">
        <f t="shared" si="2"/>
        <v/>
      </c>
      <c r="J1701" s="70" t="str">
        <f t="shared" si="3"/>
        <v/>
      </c>
      <c r="K1701" s="70" t="str">
        <f t="shared" si="4"/>
        <v>12/1899</v>
      </c>
    </row>
    <row r="1702" hidden="1">
      <c r="A1702" s="9"/>
      <c r="B1702" s="15"/>
      <c r="C1702" s="15"/>
      <c r="E1702" s="76"/>
      <c r="F1702" s="15"/>
      <c r="G1702" s="10"/>
      <c r="H1702" s="70" t="str">
        <f t="shared" si="1"/>
        <v/>
      </c>
      <c r="I1702" s="70" t="str">
        <f t="shared" si="2"/>
        <v/>
      </c>
      <c r="J1702" s="70" t="str">
        <f t="shared" si="3"/>
        <v/>
      </c>
      <c r="K1702" s="70" t="str">
        <f t="shared" si="4"/>
        <v>12/1899</v>
      </c>
    </row>
    <row r="1703" hidden="1">
      <c r="A1703" s="9"/>
      <c r="B1703" s="15"/>
      <c r="C1703" s="15"/>
      <c r="E1703" s="76"/>
      <c r="F1703" s="15"/>
      <c r="G1703" s="10"/>
      <c r="H1703" s="70" t="str">
        <f t="shared" si="1"/>
        <v/>
      </c>
      <c r="I1703" s="70" t="str">
        <f t="shared" si="2"/>
        <v/>
      </c>
      <c r="J1703" s="70" t="str">
        <f t="shared" si="3"/>
        <v/>
      </c>
      <c r="K1703" s="70" t="str">
        <f t="shared" si="4"/>
        <v>12/1899</v>
      </c>
    </row>
    <row r="1704" hidden="1">
      <c r="A1704" s="9"/>
      <c r="B1704" s="15"/>
      <c r="C1704" s="15"/>
      <c r="E1704" s="76"/>
      <c r="F1704" s="15"/>
      <c r="G1704" s="10"/>
      <c r="H1704" s="70" t="str">
        <f t="shared" si="1"/>
        <v/>
      </c>
      <c r="I1704" s="70" t="str">
        <f t="shared" si="2"/>
        <v/>
      </c>
      <c r="J1704" s="70" t="str">
        <f t="shared" si="3"/>
        <v/>
      </c>
      <c r="K1704" s="70" t="str">
        <f t="shared" si="4"/>
        <v>12/1899</v>
      </c>
    </row>
    <row r="1705" hidden="1">
      <c r="A1705" s="9"/>
      <c r="B1705" s="15"/>
      <c r="C1705" s="15"/>
      <c r="E1705" s="76"/>
      <c r="F1705" s="15"/>
      <c r="G1705" s="10"/>
      <c r="H1705" s="70" t="str">
        <f t="shared" si="1"/>
        <v/>
      </c>
      <c r="I1705" s="70" t="str">
        <f t="shared" si="2"/>
        <v/>
      </c>
      <c r="J1705" s="70" t="str">
        <f t="shared" si="3"/>
        <v/>
      </c>
      <c r="K1705" s="70" t="str">
        <f t="shared" si="4"/>
        <v>12/1899</v>
      </c>
    </row>
    <row r="1706" hidden="1">
      <c r="A1706" s="9"/>
      <c r="B1706" s="15"/>
      <c r="C1706" s="15"/>
      <c r="E1706" s="76"/>
      <c r="F1706" s="15"/>
      <c r="G1706" s="10"/>
      <c r="H1706" s="70" t="str">
        <f t="shared" si="1"/>
        <v/>
      </c>
      <c r="I1706" s="70" t="str">
        <f t="shared" si="2"/>
        <v/>
      </c>
      <c r="J1706" s="70" t="str">
        <f t="shared" si="3"/>
        <v/>
      </c>
      <c r="K1706" s="70" t="str">
        <f t="shared" si="4"/>
        <v>12/1899</v>
      </c>
    </row>
    <row r="1707" hidden="1">
      <c r="A1707" s="9"/>
      <c r="B1707" s="15"/>
      <c r="C1707" s="15"/>
      <c r="E1707" s="76"/>
      <c r="F1707" s="15"/>
      <c r="G1707" s="10"/>
      <c r="H1707" s="70" t="str">
        <f t="shared" si="1"/>
        <v/>
      </c>
      <c r="I1707" s="70" t="str">
        <f t="shared" si="2"/>
        <v/>
      </c>
      <c r="J1707" s="70" t="str">
        <f t="shared" si="3"/>
        <v/>
      </c>
      <c r="K1707" s="70" t="str">
        <f t="shared" si="4"/>
        <v>12/1899</v>
      </c>
    </row>
    <row r="1708" hidden="1">
      <c r="A1708" s="9"/>
      <c r="B1708" s="15"/>
      <c r="C1708" s="15"/>
      <c r="E1708" s="76"/>
      <c r="F1708" s="15"/>
      <c r="G1708" s="10"/>
      <c r="H1708" s="70" t="str">
        <f t="shared" si="1"/>
        <v/>
      </c>
      <c r="I1708" s="70" t="str">
        <f t="shared" si="2"/>
        <v/>
      </c>
      <c r="J1708" s="70" t="str">
        <f t="shared" si="3"/>
        <v/>
      </c>
      <c r="K1708" s="70" t="str">
        <f t="shared" si="4"/>
        <v>12/1899</v>
      </c>
    </row>
    <row r="1709" hidden="1">
      <c r="A1709" s="9"/>
      <c r="B1709" s="15"/>
      <c r="C1709" s="15"/>
      <c r="E1709" s="76"/>
      <c r="F1709" s="15"/>
      <c r="G1709" s="10"/>
      <c r="H1709" s="70" t="str">
        <f t="shared" si="1"/>
        <v/>
      </c>
      <c r="I1709" s="70" t="str">
        <f t="shared" si="2"/>
        <v/>
      </c>
      <c r="J1709" s="70" t="str">
        <f t="shared" si="3"/>
        <v/>
      </c>
      <c r="K1709" s="70" t="str">
        <f t="shared" si="4"/>
        <v>12/1899</v>
      </c>
    </row>
    <row r="1710" hidden="1">
      <c r="A1710" s="9"/>
      <c r="B1710" s="15"/>
      <c r="C1710" s="15"/>
      <c r="E1710" s="76"/>
      <c r="F1710" s="15"/>
      <c r="G1710" s="10"/>
      <c r="H1710" s="70" t="str">
        <f t="shared" si="1"/>
        <v/>
      </c>
      <c r="I1710" s="70" t="str">
        <f t="shared" si="2"/>
        <v/>
      </c>
      <c r="J1710" s="70" t="str">
        <f t="shared" si="3"/>
        <v/>
      </c>
      <c r="K1710" s="70" t="str">
        <f t="shared" si="4"/>
        <v>12/1899</v>
      </c>
    </row>
    <row r="1711" hidden="1">
      <c r="A1711" s="9"/>
      <c r="B1711" s="15"/>
      <c r="C1711" s="15"/>
      <c r="E1711" s="76"/>
      <c r="F1711" s="15"/>
      <c r="G1711" s="10"/>
      <c r="H1711" s="70" t="str">
        <f t="shared" si="1"/>
        <v/>
      </c>
      <c r="I1711" s="70" t="str">
        <f t="shared" si="2"/>
        <v/>
      </c>
      <c r="J1711" s="70" t="str">
        <f t="shared" si="3"/>
        <v/>
      </c>
      <c r="K1711" s="70" t="str">
        <f t="shared" si="4"/>
        <v>12/1899</v>
      </c>
    </row>
    <row r="1712" hidden="1">
      <c r="A1712" s="9"/>
      <c r="B1712" s="15"/>
      <c r="C1712" s="15"/>
      <c r="E1712" s="76"/>
      <c r="F1712" s="15"/>
      <c r="G1712" s="10"/>
      <c r="H1712" s="70" t="str">
        <f t="shared" si="1"/>
        <v/>
      </c>
      <c r="I1712" s="70" t="str">
        <f t="shared" si="2"/>
        <v/>
      </c>
      <c r="J1712" s="70" t="str">
        <f t="shared" si="3"/>
        <v/>
      </c>
      <c r="K1712" s="70" t="str">
        <f t="shared" si="4"/>
        <v>12/1899</v>
      </c>
    </row>
    <row r="1713" hidden="1">
      <c r="A1713" s="9"/>
      <c r="B1713" s="15"/>
      <c r="C1713" s="15"/>
      <c r="E1713" s="76"/>
      <c r="F1713" s="15"/>
      <c r="G1713" s="10"/>
      <c r="H1713" s="70" t="str">
        <f t="shared" si="1"/>
        <v/>
      </c>
      <c r="I1713" s="70" t="str">
        <f t="shared" si="2"/>
        <v/>
      </c>
      <c r="J1713" s="70" t="str">
        <f t="shared" si="3"/>
        <v/>
      </c>
      <c r="K1713" s="70" t="str">
        <f t="shared" si="4"/>
        <v>12/1899</v>
      </c>
    </row>
    <row r="1714" hidden="1">
      <c r="A1714" s="9"/>
      <c r="B1714" s="15"/>
      <c r="C1714" s="15"/>
      <c r="E1714" s="76"/>
      <c r="F1714" s="15"/>
      <c r="G1714" s="10"/>
      <c r="H1714" s="70" t="str">
        <f t="shared" si="1"/>
        <v/>
      </c>
      <c r="I1714" s="70" t="str">
        <f t="shared" si="2"/>
        <v/>
      </c>
      <c r="J1714" s="70" t="str">
        <f t="shared" si="3"/>
        <v/>
      </c>
      <c r="K1714" s="70" t="str">
        <f t="shared" si="4"/>
        <v>12/1899</v>
      </c>
    </row>
    <row r="1715" hidden="1">
      <c r="A1715" s="9"/>
      <c r="B1715" s="15"/>
      <c r="C1715" s="15"/>
      <c r="E1715" s="76"/>
      <c r="F1715" s="15"/>
      <c r="G1715" s="10"/>
      <c r="H1715" s="70" t="str">
        <f t="shared" si="1"/>
        <v/>
      </c>
      <c r="I1715" s="70" t="str">
        <f t="shared" si="2"/>
        <v/>
      </c>
      <c r="J1715" s="70" t="str">
        <f t="shared" si="3"/>
        <v/>
      </c>
      <c r="K1715" s="70" t="str">
        <f t="shared" si="4"/>
        <v>12/1899</v>
      </c>
    </row>
    <row r="1716" hidden="1">
      <c r="A1716" s="9"/>
      <c r="B1716" s="15"/>
      <c r="C1716" s="15"/>
      <c r="E1716" s="76"/>
      <c r="F1716" s="15"/>
      <c r="G1716" s="10"/>
      <c r="H1716" s="70" t="str">
        <f t="shared" si="1"/>
        <v/>
      </c>
      <c r="I1716" s="70" t="str">
        <f t="shared" si="2"/>
        <v/>
      </c>
      <c r="J1716" s="70" t="str">
        <f t="shared" si="3"/>
        <v/>
      </c>
      <c r="K1716" s="70" t="str">
        <f t="shared" si="4"/>
        <v>12/1899</v>
      </c>
    </row>
    <row r="1717" hidden="1">
      <c r="A1717" s="9"/>
      <c r="B1717" s="15"/>
      <c r="C1717" s="15"/>
      <c r="E1717" s="76"/>
      <c r="F1717" s="15"/>
      <c r="G1717" s="10"/>
      <c r="H1717" s="70" t="str">
        <f t="shared" si="1"/>
        <v/>
      </c>
      <c r="I1717" s="70" t="str">
        <f t="shared" si="2"/>
        <v/>
      </c>
      <c r="J1717" s="70" t="str">
        <f t="shared" si="3"/>
        <v/>
      </c>
      <c r="K1717" s="70" t="str">
        <f t="shared" si="4"/>
        <v>12/1899</v>
      </c>
    </row>
    <row r="1718" hidden="1">
      <c r="A1718" s="9"/>
      <c r="B1718" s="15"/>
      <c r="C1718" s="15"/>
      <c r="E1718" s="76"/>
      <c r="F1718" s="15"/>
      <c r="G1718" s="10"/>
      <c r="H1718" s="70" t="str">
        <f t="shared" si="1"/>
        <v/>
      </c>
      <c r="I1718" s="70" t="str">
        <f t="shared" si="2"/>
        <v/>
      </c>
      <c r="J1718" s="70" t="str">
        <f t="shared" si="3"/>
        <v/>
      </c>
      <c r="K1718" s="70" t="str">
        <f t="shared" si="4"/>
        <v>12/1899</v>
      </c>
    </row>
    <row r="1719" hidden="1">
      <c r="A1719" s="9"/>
      <c r="B1719" s="15"/>
      <c r="C1719" s="15"/>
      <c r="E1719" s="76"/>
      <c r="F1719" s="15"/>
      <c r="G1719" s="10"/>
      <c r="H1719" s="70" t="str">
        <f t="shared" si="1"/>
        <v/>
      </c>
      <c r="I1719" s="70" t="str">
        <f t="shared" si="2"/>
        <v/>
      </c>
      <c r="J1719" s="70" t="str">
        <f t="shared" si="3"/>
        <v/>
      </c>
      <c r="K1719" s="70" t="str">
        <f t="shared" si="4"/>
        <v>12/1899</v>
      </c>
    </row>
    <row r="1720" hidden="1">
      <c r="A1720" s="9"/>
      <c r="B1720" s="15"/>
      <c r="C1720" s="15"/>
      <c r="E1720" s="76"/>
      <c r="F1720" s="15"/>
      <c r="G1720" s="10"/>
      <c r="H1720" s="70" t="str">
        <f t="shared" si="1"/>
        <v/>
      </c>
      <c r="I1720" s="70" t="str">
        <f t="shared" si="2"/>
        <v/>
      </c>
      <c r="J1720" s="70" t="str">
        <f t="shared" si="3"/>
        <v/>
      </c>
      <c r="K1720" s="70" t="str">
        <f t="shared" si="4"/>
        <v>12/1899</v>
      </c>
    </row>
    <row r="1721" hidden="1">
      <c r="A1721" s="9"/>
      <c r="B1721" s="15"/>
      <c r="C1721" s="15"/>
      <c r="E1721" s="76"/>
      <c r="F1721" s="15"/>
      <c r="G1721" s="10"/>
      <c r="H1721" s="70" t="str">
        <f t="shared" si="1"/>
        <v/>
      </c>
      <c r="I1721" s="70" t="str">
        <f t="shared" si="2"/>
        <v/>
      </c>
      <c r="J1721" s="70" t="str">
        <f t="shared" si="3"/>
        <v/>
      </c>
      <c r="K1721" s="70" t="str">
        <f t="shared" si="4"/>
        <v>12/1899</v>
      </c>
    </row>
    <row r="1722" hidden="1">
      <c r="A1722" s="9"/>
      <c r="B1722" s="15"/>
      <c r="C1722" s="15"/>
      <c r="E1722" s="76"/>
      <c r="F1722" s="15"/>
      <c r="G1722" s="10"/>
      <c r="H1722" s="70" t="str">
        <f t="shared" si="1"/>
        <v/>
      </c>
      <c r="I1722" s="70" t="str">
        <f t="shared" si="2"/>
        <v/>
      </c>
      <c r="J1722" s="70" t="str">
        <f t="shared" si="3"/>
        <v/>
      </c>
      <c r="K1722" s="70" t="str">
        <f t="shared" si="4"/>
        <v>12/1899</v>
      </c>
    </row>
    <row r="1723" hidden="1">
      <c r="A1723" s="9"/>
      <c r="B1723" s="15"/>
      <c r="C1723" s="15"/>
      <c r="E1723" s="76"/>
      <c r="F1723" s="15"/>
      <c r="G1723" s="10"/>
      <c r="H1723" s="70" t="str">
        <f t="shared" si="1"/>
        <v/>
      </c>
      <c r="I1723" s="70" t="str">
        <f t="shared" si="2"/>
        <v/>
      </c>
      <c r="J1723" s="70" t="str">
        <f t="shared" si="3"/>
        <v/>
      </c>
      <c r="K1723" s="70" t="str">
        <f t="shared" si="4"/>
        <v>12/1899</v>
      </c>
    </row>
    <row r="1724" hidden="1">
      <c r="A1724" s="9"/>
      <c r="B1724" s="15"/>
      <c r="C1724" s="15"/>
      <c r="E1724" s="76"/>
      <c r="F1724" s="15"/>
      <c r="G1724" s="10"/>
      <c r="H1724" s="70" t="str">
        <f t="shared" si="1"/>
        <v/>
      </c>
      <c r="I1724" s="70" t="str">
        <f t="shared" si="2"/>
        <v/>
      </c>
      <c r="J1724" s="70" t="str">
        <f t="shared" si="3"/>
        <v/>
      </c>
      <c r="K1724" s="70" t="str">
        <f t="shared" si="4"/>
        <v>12/1899</v>
      </c>
    </row>
    <row r="1725" hidden="1">
      <c r="A1725" s="9"/>
      <c r="B1725" s="15"/>
      <c r="C1725" s="15"/>
      <c r="E1725" s="76"/>
      <c r="F1725" s="15"/>
      <c r="G1725" s="10"/>
      <c r="H1725" s="70" t="str">
        <f t="shared" si="1"/>
        <v/>
      </c>
      <c r="I1725" s="70" t="str">
        <f t="shared" si="2"/>
        <v/>
      </c>
      <c r="J1725" s="70" t="str">
        <f t="shared" si="3"/>
        <v/>
      </c>
      <c r="K1725" s="70" t="str">
        <f t="shared" si="4"/>
        <v>12/1899</v>
      </c>
    </row>
    <row r="1726" hidden="1">
      <c r="A1726" s="9"/>
      <c r="B1726" s="15"/>
      <c r="C1726" s="15"/>
      <c r="E1726" s="76"/>
      <c r="F1726" s="15"/>
      <c r="G1726" s="10"/>
      <c r="H1726" s="70" t="str">
        <f t="shared" si="1"/>
        <v/>
      </c>
      <c r="I1726" s="70" t="str">
        <f t="shared" si="2"/>
        <v/>
      </c>
      <c r="J1726" s="70" t="str">
        <f t="shared" si="3"/>
        <v/>
      </c>
      <c r="K1726" s="70" t="str">
        <f t="shared" si="4"/>
        <v>12/1899</v>
      </c>
    </row>
    <row r="1727" hidden="1">
      <c r="A1727" s="9"/>
      <c r="B1727" s="15"/>
      <c r="C1727" s="15"/>
      <c r="E1727" s="76"/>
      <c r="F1727" s="15"/>
      <c r="G1727" s="10"/>
      <c r="H1727" s="70" t="str">
        <f t="shared" si="1"/>
        <v/>
      </c>
      <c r="I1727" s="70" t="str">
        <f t="shared" si="2"/>
        <v/>
      </c>
      <c r="J1727" s="70" t="str">
        <f t="shared" si="3"/>
        <v/>
      </c>
      <c r="K1727" s="70" t="str">
        <f t="shared" si="4"/>
        <v>12/1899</v>
      </c>
    </row>
    <row r="1728" hidden="1">
      <c r="A1728" s="9"/>
      <c r="B1728" s="15"/>
      <c r="C1728" s="15"/>
      <c r="E1728" s="76"/>
      <c r="F1728" s="15"/>
      <c r="G1728" s="10"/>
      <c r="H1728" s="70" t="str">
        <f t="shared" si="1"/>
        <v/>
      </c>
      <c r="I1728" s="70" t="str">
        <f t="shared" si="2"/>
        <v/>
      </c>
      <c r="J1728" s="70" t="str">
        <f t="shared" si="3"/>
        <v/>
      </c>
      <c r="K1728" s="70" t="str">
        <f t="shared" si="4"/>
        <v>12/1899</v>
      </c>
    </row>
    <row r="1729" hidden="1">
      <c r="A1729" s="9"/>
      <c r="B1729" s="15"/>
      <c r="C1729" s="15"/>
      <c r="E1729" s="76"/>
      <c r="F1729" s="15"/>
      <c r="G1729" s="10"/>
      <c r="H1729" s="70" t="str">
        <f t="shared" si="1"/>
        <v/>
      </c>
      <c r="I1729" s="70" t="str">
        <f t="shared" si="2"/>
        <v/>
      </c>
      <c r="J1729" s="70" t="str">
        <f t="shared" si="3"/>
        <v/>
      </c>
      <c r="K1729" s="70" t="str">
        <f t="shared" si="4"/>
        <v>12/1899</v>
      </c>
    </row>
    <row r="1730" hidden="1">
      <c r="A1730" s="9"/>
      <c r="B1730" s="15"/>
      <c r="C1730" s="15"/>
      <c r="E1730" s="76"/>
      <c r="F1730" s="15"/>
      <c r="G1730" s="10"/>
      <c r="H1730" s="70" t="str">
        <f t="shared" si="1"/>
        <v/>
      </c>
      <c r="I1730" s="70" t="str">
        <f t="shared" si="2"/>
        <v/>
      </c>
      <c r="J1730" s="70" t="str">
        <f t="shared" si="3"/>
        <v/>
      </c>
      <c r="K1730" s="70" t="str">
        <f t="shared" si="4"/>
        <v>12/1899</v>
      </c>
    </row>
    <row r="1731" hidden="1">
      <c r="A1731" s="9"/>
      <c r="B1731" s="15"/>
      <c r="C1731" s="15"/>
      <c r="E1731" s="76"/>
      <c r="F1731" s="15"/>
      <c r="G1731" s="10"/>
      <c r="H1731" s="70" t="str">
        <f t="shared" si="1"/>
        <v/>
      </c>
      <c r="I1731" s="70" t="str">
        <f t="shared" si="2"/>
        <v/>
      </c>
      <c r="J1731" s="70" t="str">
        <f t="shared" si="3"/>
        <v/>
      </c>
      <c r="K1731" s="70" t="str">
        <f t="shared" si="4"/>
        <v>12/1899</v>
      </c>
    </row>
    <row r="1732" hidden="1">
      <c r="A1732" s="9"/>
      <c r="B1732" s="15"/>
      <c r="C1732" s="15"/>
      <c r="E1732" s="76"/>
      <c r="F1732" s="15"/>
      <c r="G1732" s="10"/>
      <c r="H1732" s="70" t="str">
        <f t="shared" si="1"/>
        <v/>
      </c>
      <c r="I1732" s="70" t="str">
        <f t="shared" si="2"/>
        <v/>
      </c>
      <c r="J1732" s="70" t="str">
        <f t="shared" si="3"/>
        <v/>
      </c>
      <c r="K1732" s="70" t="str">
        <f t="shared" si="4"/>
        <v>12/1899</v>
      </c>
    </row>
    <row r="1733" hidden="1">
      <c r="A1733" s="9"/>
      <c r="B1733" s="15"/>
      <c r="C1733" s="15"/>
      <c r="E1733" s="76"/>
      <c r="F1733" s="15"/>
      <c r="G1733" s="10"/>
      <c r="H1733" s="70" t="str">
        <f t="shared" si="1"/>
        <v/>
      </c>
      <c r="I1733" s="70" t="str">
        <f t="shared" si="2"/>
        <v/>
      </c>
      <c r="J1733" s="70" t="str">
        <f t="shared" si="3"/>
        <v/>
      </c>
      <c r="K1733" s="70" t="str">
        <f t="shared" si="4"/>
        <v>12/1899</v>
      </c>
    </row>
    <row r="1734" hidden="1">
      <c r="A1734" s="9"/>
      <c r="B1734" s="15"/>
      <c r="C1734" s="15"/>
      <c r="E1734" s="76"/>
      <c r="F1734" s="15"/>
      <c r="G1734" s="10"/>
      <c r="H1734" s="70" t="str">
        <f t="shared" si="1"/>
        <v/>
      </c>
      <c r="I1734" s="70" t="str">
        <f t="shared" si="2"/>
        <v/>
      </c>
      <c r="J1734" s="70" t="str">
        <f t="shared" si="3"/>
        <v/>
      </c>
      <c r="K1734" s="70" t="str">
        <f t="shared" si="4"/>
        <v>12/1899</v>
      </c>
    </row>
    <row r="1735" hidden="1">
      <c r="A1735" s="9"/>
      <c r="B1735" s="15"/>
      <c r="C1735" s="15"/>
      <c r="E1735" s="76"/>
      <c r="F1735" s="15"/>
      <c r="G1735" s="10"/>
      <c r="H1735" s="70" t="str">
        <f t="shared" si="1"/>
        <v/>
      </c>
      <c r="I1735" s="70" t="str">
        <f t="shared" si="2"/>
        <v/>
      </c>
      <c r="J1735" s="70" t="str">
        <f t="shared" si="3"/>
        <v/>
      </c>
      <c r="K1735" s="70" t="str">
        <f t="shared" si="4"/>
        <v>12/1899</v>
      </c>
    </row>
    <row r="1736" hidden="1">
      <c r="A1736" s="9"/>
      <c r="B1736" s="15"/>
      <c r="C1736" s="15"/>
      <c r="E1736" s="76"/>
      <c r="F1736" s="15"/>
      <c r="G1736" s="10"/>
      <c r="H1736" s="70" t="str">
        <f t="shared" si="1"/>
        <v/>
      </c>
      <c r="I1736" s="70" t="str">
        <f t="shared" si="2"/>
        <v/>
      </c>
      <c r="J1736" s="70" t="str">
        <f t="shared" si="3"/>
        <v/>
      </c>
      <c r="K1736" s="70" t="str">
        <f t="shared" si="4"/>
        <v>12/1899</v>
      </c>
    </row>
    <row r="1737" hidden="1">
      <c r="A1737" s="9"/>
      <c r="B1737" s="15"/>
      <c r="C1737" s="15"/>
      <c r="E1737" s="76"/>
      <c r="F1737" s="15"/>
      <c r="G1737" s="10"/>
      <c r="H1737" s="70" t="str">
        <f t="shared" si="1"/>
        <v/>
      </c>
      <c r="I1737" s="70" t="str">
        <f t="shared" si="2"/>
        <v/>
      </c>
      <c r="J1737" s="70" t="str">
        <f t="shared" si="3"/>
        <v/>
      </c>
      <c r="K1737" s="70" t="str">
        <f t="shared" si="4"/>
        <v>12/1899</v>
      </c>
    </row>
    <row r="1738" hidden="1">
      <c r="A1738" s="9"/>
      <c r="B1738" s="15"/>
      <c r="C1738" s="15"/>
      <c r="E1738" s="76"/>
      <c r="F1738" s="15"/>
      <c r="G1738" s="10"/>
      <c r="H1738" s="70" t="str">
        <f t="shared" si="1"/>
        <v/>
      </c>
      <c r="I1738" s="70" t="str">
        <f t="shared" si="2"/>
        <v/>
      </c>
      <c r="J1738" s="70" t="str">
        <f t="shared" si="3"/>
        <v/>
      </c>
      <c r="K1738" s="70" t="str">
        <f t="shared" si="4"/>
        <v>12/1899</v>
      </c>
    </row>
    <row r="1739" hidden="1">
      <c r="A1739" s="9"/>
      <c r="B1739" s="15"/>
      <c r="C1739" s="15"/>
      <c r="E1739" s="76"/>
      <c r="F1739" s="15"/>
      <c r="G1739" s="10"/>
      <c r="H1739" s="70" t="str">
        <f t="shared" si="1"/>
        <v/>
      </c>
      <c r="I1739" s="70" t="str">
        <f t="shared" si="2"/>
        <v/>
      </c>
      <c r="J1739" s="70" t="str">
        <f t="shared" si="3"/>
        <v/>
      </c>
      <c r="K1739" s="70" t="str">
        <f t="shared" si="4"/>
        <v>12/1899</v>
      </c>
    </row>
    <row r="1740" hidden="1">
      <c r="A1740" s="9"/>
      <c r="B1740" s="15"/>
      <c r="C1740" s="15"/>
      <c r="E1740" s="76"/>
      <c r="F1740" s="15"/>
      <c r="G1740" s="10"/>
      <c r="H1740" s="70" t="str">
        <f t="shared" si="1"/>
        <v/>
      </c>
      <c r="I1740" s="70" t="str">
        <f t="shared" si="2"/>
        <v/>
      </c>
      <c r="J1740" s="70" t="str">
        <f t="shared" si="3"/>
        <v/>
      </c>
      <c r="K1740" s="70" t="str">
        <f t="shared" si="4"/>
        <v>12/1899</v>
      </c>
    </row>
    <row r="1741" hidden="1">
      <c r="A1741" s="9"/>
      <c r="B1741" s="15"/>
      <c r="C1741" s="15"/>
      <c r="E1741" s="76"/>
      <c r="F1741" s="15"/>
      <c r="G1741" s="10"/>
      <c r="H1741" s="70" t="str">
        <f t="shared" si="1"/>
        <v/>
      </c>
      <c r="I1741" s="70" t="str">
        <f t="shared" si="2"/>
        <v/>
      </c>
      <c r="J1741" s="70" t="str">
        <f t="shared" si="3"/>
        <v/>
      </c>
      <c r="K1741" s="70" t="str">
        <f t="shared" si="4"/>
        <v>12/1899</v>
      </c>
    </row>
    <row r="1742" hidden="1">
      <c r="A1742" s="9"/>
      <c r="B1742" s="15"/>
      <c r="C1742" s="15"/>
      <c r="E1742" s="76"/>
      <c r="F1742" s="15"/>
      <c r="G1742" s="10"/>
      <c r="H1742" s="70" t="str">
        <f t="shared" si="1"/>
        <v/>
      </c>
      <c r="I1742" s="70" t="str">
        <f t="shared" si="2"/>
        <v/>
      </c>
      <c r="J1742" s="70" t="str">
        <f t="shared" si="3"/>
        <v/>
      </c>
      <c r="K1742" s="70" t="str">
        <f t="shared" si="4"/>
        <v>12/1899</v>
      </c>
    </row>
    <row r="1743" hidden="1">
      <c r="A1743" s="9"/>
      <c r="B1743" s="15"/>
      <c r="C1743" s="15"/>
      <c r="E1743" s="76"/>
      <c r="F1743" s="15"/>
      <c r="G1743" s="10"/>
      <c r="H1743" s="70" t="str">
        <f t="shared" si="1"/>
        <v/>
      </c>
      <c r="I1743" s="70" t="str">
        <f t="shared" si="2"/>
        <v/>
      </c>
      <c r="J1743" s="70" t="str">
        <f t="shared" si="3"/>
        <v/>
      </c>
      <c r="K1743" s="70" t="str">
        <f t="shared" si="4"/>
        <v>12/1899</v>
      </c>
    </row>
    <row r="1744" hidden="1">
      <c r="A1744" s="9"/>
      <c r="B1744" s="15"/>
      <c r="C1744" s="15"/>
      <c r="E1744" s="76"/>
      <c r="F1744" s="15"/>
      <c r="G1744" s="10"/>
      <c r="H1744" s="70" t="str">
        <f t="shared" si="1"/>
        <v/>
      </c>
      <c r="I1744" s="70" t="str">
        <f t="shared" si="2"/>
        <v/>
      </c>
      <c r="J1744" s="70" t="str">
        <f t="shared" si="3"/>
        <v/>
      </c>
      <c r="K1744" s="70" t="str">
        <f t="shared" si="4"/>
        <v>12/1899</v>
      </c>
    </row>
    <row r="1745" hidden="1">
      <c r="A1745" s="9"/>
      <c r="B1745" s="15"/>
      <c r="C1745" s="15"/>
      <c r="E1745" s="76"/>
      <c r="F1745" s="15"/>
      <c r="G1745" s="10"/>
      <c r="H1745" s="70" t="str">
        <f t="shared" si="1"/>
        <v/>
      </c>
      <c r="I1745" s="70" t="str">
        <f t="shared" si="2"/>
        <v/>
      </c>
      <c r="J1745" s="70" t="str">
        <f t="shared" si="3"/>
        <v/>
      </c>
      <c r="K1745" s="70" t="str">
        <f t="shared" si="4"/>
        <v>12/1899</v>
      </c>
    </row>
    <row r="1746" hidden="1">
      <c r="A1746" s="9"/>
      <c r="B1746" s="15"/>
      <c r="C1746" s="15"/>
      <c r="E1746" s="76"/>
      <c r="F1746" s="15"/>
      <c r="G1746" s="10"/>
      <c r="H1746" s="70" t="str">
        <f t="shared" si="1"/>
        <v/>
      </c>
      <c r="I1746" s="70" t="str">
        <f t="shared" si="2"/>
        <v/>
      </c>
      <c r="J1746" s="70" t="str">
        <f t="shared" si="3"/>
        <v/>
      </c>
      <c r="K1746" s="70" t="str">
        <f t="shared" si="4"/>
        <v>12/1899</v>
      </c>
    </row>
    <row r="1747" hidden="1">
      <c r="A1747" s="9"/>
      <c r="B1747" s="15"/>
      <c r="C1747" s="15"/>
      <c r="E1747" s="76"/>
      <c r="F1747" s="15"/>
      <c r="G1747" s="10"/>
      <c r="H1747" s="70" t="str">
        <f t="shared" si="1"/>
        <v/>
      </c>
      <c r="I1747" s="70" t="str">
        <f t="shared" si="2"/>
        <v/>
      </c>
      <c r="J1747" s="70" t="str">
        <f t="shared" si="3"/>
        <v/>
      </c>
      <c r="K1747" s="70" t="str">
        <f t="shared" si="4"/>
        <v>12/1899</v>
      </c>
    </row>
    <row r="1748" hidden="1">
      <c r="A1748" s="9"/>
      <c r="B1748" s="15"/>
      <c r="C1748" s="15"/>
      <c r="E1748" s="76"/>
      <c r="F1748" s="15"/>
      <c r="G1748" s="10"/>
      <c r="H1748" s="70" t="str">
        <f t="shared" si="1"/>
        <v/>
      </c>
      <c r="I1748" s="70" t="str">
        <f t="shared" si="2"/>
        <v/>
      </c>
      <c r="J1748" s="70" t="str">
        <f t="shared" si="3"/>
        <v/>
      </c>
      <c r="K1748" s="70" t="str">
        <f t="shared" si="4"/>
        <v>12/1899</v>
      </c>
    </row>
    <row r="1749" hidden="1">
      <c r="A1749" s="9"/>
      <c r="B1749" s="15"/>
      <c r="C1749" s="15"/>
      <c r="E1749" s="76"/>
      <c r="F1749" s="15"/>
      <c r="G1749" s="10"/>
      <c r="H1749" s="70" t="str">
        <f t="shared" si="1"/>
        <v/>
      </c>
      <c r="I1749" s="70" t="str">
        <f t="shared" si="2"/>
        <v/>
      </c>
      <c r="J1749" s="70" t="str">
        <f t="shared" si="3"/>
        <v/>
      </c>
      <c r="K1749" s="70" t="str">
        <f t="shared" si="4"/>
        <v>12/1899</v>
      </c>
    </row>
    <row r="1750" hidden="1">
      <c r="A1750" s="9"/>
      <c r="B1750" s="15"/>
      <c r="C1750" s="15"/>
      <c r="E1750" s="76"/>
      <c r="F1750" s="15"/>
      <c r="G1750" s="10"/>
      <c r="H1750" s="70" t="str">
        <f t="shared" si="1"/>
        <v/>
      </c>
      <c r="I1750" s="70" t="str">
        <f t="shared" si="2"/>
        <v/>
      </c>
      <c r="J1750" s="70" t="str">
        <f t="shared" si="3"/>
        <v/>
      </c>
      <c r="K1750" s="70" t="str">
        <f t="shared" si="4"/>
        <v>12/1899</v>
      </c>
    </row>
    <row r="1751" hidden="1">
      <c r="A1751" s="9"/>
      <c r="B1751" s="15"/>
      <c r="C1751" s="15"/>
      <c r="E1751" s="76"/>
      <c r="F1751" s="15"/>
      <c r="G1751" s="10"/>
      <c r="H1751" s="70" t="str">
        <f t="shared" si="1"/>
        <v/>
      </c>
      <c r="I1751" s="70" t="str">
        <f t="shared" si="2"/>
        <v/>
      </c>
      <c r="J1751" s="70" t="str">
        <f t="shared" si="3"/>
        <v/>
      </c>
      <c r="K1751" s="70" t="str">
        <f t="shared" si="4"/>
        <v>12/1899</v>
      </c>
    </row>
    <row r="1752" hidden="1">
      <c r="A1752" s="9"/>
      <c r="B1752" s="15"/>
      <c r="C1752" s="15"/>
      <c r="E1752" s="76"/>
      <c r="F1752" s="15"/>
      <c r="G1752" s="10"/>
      <c r="H1752" s="70" t="str">
        <f t="shared" si="1"/>
        <v/>
      </c>
      <c r="I1752" s="70" t="str">
        <f t="shared" si="2"/>
        <v/>
      </c>
      <c r="J1752" s="70" t="str">
        <f t="shared" si="3"/>
        <v/>
      </c>
      <c r="K1752" s="70" t="str">
        <f t="shared" si="4"/>
        <v>12/1899</v>
      </c>
    </row>
    <row r="1753" hidden="1">
      <c r="A1753" s="9"/>
      <c r="B1753" s="15"/>
      <c r="C1753" s="15"/>
      <c r="E1753" s="76"/>
      <c r="F1753" s="15"/>
      <c r="G1753" s="10"/>
      <c r="H1753" s="70" t="str">
        <f t="shared" si="1"/>
        <v/>
      </c>
      <c r="I1753" s="70" t="str">
        <f t="shared" si="2"/>
        <v/>
      </c>
      <c r="J1753" s="70" t="str">
        <f t="shared" si="3"/>
        <v/>
      </c>
      <c r="K1753" s="70" t="str">
        <f t="shared" si="4"/>
        <v>12/1899</v>
      </c>
    </row>
    <row r="1754" hidden="1">
      <c r="A1754" s="9"/>
      <c r="B1754" s="15"/>
      <c r="C1754" s="15"/>
      <c r="E1754" s="76"/>
      <c r="F1754" s="15"/>
      <c r="G1754" s="10"/>
      <c r="H1754" s="70" t="str">
        <f t="shared" si="1"/>
        <v/>
      </c>
      <c r="I1754" s="70" t="str">
        <f t="shared" si="2"/>
        <v/>
      </c>
      <c r="J1754" s="70" t="str">
        <f t="shared" si="3"/>
        <v/>
      </c>
      <c r="K1754" s="70" t="str">
        <f t="shared" si="4"/>
        <v>12/1899</v>
      </c>
    </row>
    <row r="1755" hidden="1">
      <c r="A1755" s="9"/>
      <c r="B1755" s="15"/>
      <c r="C1755" s="15"/>
      <c r="E1755" s="76"/>
      <c r="F1755" s="15"/>
      <c r="G1755" s="10"/>
      <c r="H1755" s="70" t="str">
        <f t="shared" si="1"/>
        <v/>
      </c>
      <c r="I1755" s="70" t="str">
        <f t="shared" si="2"/>
        <v/>
      </c>
      <c r="J1755" s="70" t="str">
        <f t="shared" si="3"/>
        <v/>
      </c>
      <c r="K1755" s="70" t="str">
        <f t="shared" si="4"/>
        <v>12/1899</v>
      </c>
    </row>
    <row r="1756" hidden="1">
      <c r="A1756" s="9"/>
      <c r="B1756" s="15"/>
      <c r="C1756" s="15"/>
      <c r="E1756" s="76"/>
      <c r="F1756" s="15"/>
      <c r="G1756" s="10"/>
      <c r="H1756" s="70" t="str">
        <f t="shared" si="1"/>
        <v/>
      </c>
      <c r="I1756" s="70" t="str">
        <f t="shared" si="2"/>
        <v/>
      </c>
      <c r="J1756" s="70" t="str">
        <f t="shared" si="3"/>
        <v/>
      </c>
      <c r="K1756" s="70" t="str">
        <f t="shared" si="4"/>
        <v>12/1899</v>
      </c>
    </row>
    <row r="1757" hidden="1">
      <c r="A1757" s="9"/>
      <c r="B1757" s="15"/>
      <c r="C1757" s="15"/>
      <c r="E1757" s="76"/>
      <c r="F1757" s="15"/>
      <c r="G1757" s="10"/>
      <c r="H1757" s="70" t="str">
        <f t="shared" si="1"/>
        <v/>
      </c>
      <c r="I1757" s="70" t="str">
        <f t="shared" si="2"/>
        <v/>
      </c>
      <c r="J1757" s="70" t="str">
        <f t="shared" si="3"/>
        <v/>
      </c>
      <c r="K1757" s="70" t="str">
        <f t="shared" si="4"/>
        <v>12/1899</v>
      </c>
    </row>
    <row r="1758" hidden="1">
      <c r="A1758" s="9"/>
      <c r="B1758" s="15"/>
      <c r="C1758" s="15"/>
      <c r="E1758" s="76"/>
      <c r="F1758" s="15"/>
      <c r="G1758" s="10"/>
      <c r="H1758" s="70" t="str">
        <f t="shared" si="1"/>
        <v/>
      </c>
      <c r="I1758" s="70" t="str">
        <f t="shared" si="2"/>
        <v/>
      </c>
      <c r="J1758" s="70" t="str">
        <f t="shared" si="3"/>
        <v/>
      </c>
      <c r="K1758" s="70" t="str">
        <f t="shared" si="4"/>
        <v>12/1899</v>
      </c>
    </row>
    <row r="1759" hidden="1">
      <c r="A1759" s="9"/>
      <c r="B1759" s="15"/>
      <c r="C1759" s="15"/>
      <c r="E1759" s="76"/>
      <c r="F1759" s="15"/>
      <c r="G1759" s="10"/>
      <c r="H1759" s="70" t="str">
        <f t="shared" si="1"/>
        <v/>
      </c>
      <c r="I1759" s="70" t="str">
        <f t="shared" si="2"/>
        <v/>
      </c>
      <c r="J1759" s="70" t="str">
        <f t="shared" si="3"/>
        <v/>
      </c>
      <c r="K1759" s="70" t="str">
        <f t="shared" si="4"/>
        <v>12/1899</v>
      </c>
    </row>
    <row r="1760" hidden="1">
      <c r="A1760" s="9"/>
      <c r="B1760" s="15"/>
      <c r="C1760" s="15"/>
      <c r="E1760" s="76"/>
      <c r="F1760" s="15"/>
      <c r="G1760" s="10"/>
      <c r="H1760" s="70" t="str">
        <f t="shared" si="1"/>
        <v/>
      </c>
      <c r="I1760" s="70" t="str">
        <f t="shared" si="2"/>
        <v/>
      </c>
      <c r="J1760" s="70" t="str">
        <f t="shared" si="3"/>
        <v/>
      </c>
      <c r="K1760" s="70" t="str">
        <f t="shared" si="4"/>
        <v>12/1899</v>
      </c>
    </row>
    <row r="1761" hidden="1">
      <c r="A1761" s="9"/>
      <c r="B1761" s="15"/>
      <c r="C1761" s="15"/>
      <c r="E1761" s="76"/>
      <c r="F1761" s="15"/>
      <c r="G1761" s="10"/>
      <c r="H1761" s="70" t="str">
        <f t="shared" si="1"/>
        <v/>
      </c>
      <c r="I1761" s="70" t="str">
        <f t="shared" si="2"/>
        <v/>
      </c>
      <c r="J1761" s="70" t="str">
        <f t="shared" si="3"/>
        <v/>
      </c>
      <c r="K1761" s="70" t="str">
        <f t="shared" si="4"/>
        <v>12/1899</v>
      </c>
    </row>
    <row r="1762" hidden="1">
      <c r="A1762" s="9"/>
      <c r="B1762" s="15"/>
      <c r="C1762" s="15"/>
      <c r="E1762" s="76"/>
      <c r="F1762" s="15"/>
      <c r="G1762" s="10"/>
      <c r="H1762" s="70" t="str">
        <f t="shared" si="1"/>
        <v/>
      </c>
      <c r="I1762" s="70" t="str">
        <f t="shared" si="2"/>
        <v/>
      </c>
      <c r="J1762" s="70" t="str">
        <f t="shared" si="3"/>
        <v/>
      </c>
      <c r="K1762" s="70" t="str">
        <f t="shared" si="4"/>
        <v>12/1899</v>
      </c>
    </row>
    <row r="1763" hidden="1">
      <c r="A1763" s="9"/>
      <c r="B1763" s="15"/>
      <c r="C1763" s="15"/>
      <c r="E1763" s="76"/>
      <c r="F1763" s="15"/>
      <c r="G1763" s="10"/>
      <c r="H1763" s="70" t="str">
        <f t="shared" si="1"/>
        <v/>
      </c>
      <c r="I1763" s="70" t="str">
        <f t="shared" si="2"/>
        <v/>
      </c>
      <c r="J1763" s="70" t="str">
        <f t="shared" si="3"/>
        <v/>
      </c>
      <c r="K1763" s="70" t="str">
        <f t="shared" si="4"/>
        <v>12/1899</v>
      </c>
    </row>
    <row r="1764" hidden="1">
      <c r="A1764" s="9"/>
      <c r="B1764" s="15"/>
      <c r="C1764" s="15"/>
      <c r="E1764" s="76"/>
      <c r="F1764" s="15"/>
      <c r="G1764" s="10"/>
      <c r="H1764" s="70" t="str">
        <f t="shared" si="1"/>
        <v/>
      </c>
      <c r="I1764" s="70" t="str">
        <f t="shared" si="2"/>
        <v/>
      </c>
      <c r="J1764" s="70" t="str">
        <f t="shared" si="3"/>
        <v/>
      </c>
      <c r="K1764" s="70" t="str">
        <f t="shared" si="4"/>
        <v>12/1899</v>
      </c>
    </row>
    <row r="1765" hidden="1">
      <c r="A1765" s="9"/>
      <c r="B1765" s="15"/>
      <c r="C1765" s="15"/>
      <c r="E1765" s="76"/>
      <c r="F1765" s="15"/>
      <c r="G1765" s="10"/>
      <c r="H1765" s="70" t="str">
        <f t="shared" si="1"/>
        <v/>
      </c>
      <c r="I1765" s="70" t="str">
        <f t="shared" si="2"/>
        <v/>
      </c>
      <c r="J1765" s="70" t="str">
        <f t="shared" si="3"/>
        <v/>
      </c>
      <c r="K1765" s="70" t="str">
        <f t="shared" si="4"/>
        <v>12/1899</v>
      </c>
    </row>
    <row r="1766" hidden="1">
      <c r="A1766" s="9"/>
      <c r="B1766" s="15"/>
      <c r="C1766" s="15"/>
      <c r="E1766" s="76"/>
      <c r="F1766" s="15"/>
      <c r="G1766" s="10"/>
      <c r="H1766" s="70" t="str">
        <f t="shared" si="1"/>
        <v/>
      </c>
      <c r="I1766" s="70" t="str">
        <f t="shared" si="2"/>
        <v/>
      </c>
      <c r="J1766" s="70" t="str">
        <f t="shared" si="3"/>
        <v/>
      </c>
      <c r="K1766" s="70" t="str">
        <f t="shared" si="4"/>
        <v>12/1899</v>
      </c>
    </row>
    <row r="1767" hidden="1">
      <c r="A1767" s="9"/>
      <c r="B1767" s="15"/>
      <c r="C1767" s="15"/>
      <c r="E1767" s="76"/>
      <c r="F1767" s="15"/>
      <c r="G1767" s="10"/>
      <c r="H1767" s="70" t="str">
        <f t="shared" si="1"/>
        <v/>
      </c>
      <c r="I1767" s="70" t="str">
        <f t="shared" si="2"/>
        <v/>
      </c>
      <c r="J1767" s="70" t="str">
        <f t="shared" si="3"/>
        <v/>
      </c>
      <c r="K1767" s="70" t="str">
        <f t="shared" si="4"/>
        <v>12/1899</v>
      </c>
    </row>
    <row r="1768" hidden="1">
      <c r="A1768" s="9"/>
      <c r="B1768" s="15"/>
      <c r="C1768" s="15"/>
      <c r="E1768" s="76"/>
      <c r="F1768" s="15"/>
      <c r="G1768" s="10"/>
      <c r="H1768" s="70" t="str">
        <f t="shared" si="1"/>
        <v/>
      </c>
      <c r="I1768" s="70" t="str">
        <f t="shared" si="2"/>
        <v/>
      </c>
      <c r="J1768" s="70" t="str">
        <f t="shared" si="3"/>
        <v/>
      </c>
      <c r="K1768" s="70" t="str">
        <f t="shared" si="4"/>
        <v>12/1899</v>
      </c>
    </row>
    <row r="1769" hidden="1">
      <c r="A1769" s="9"/>
      <c r="B1769" s="15"/>
      <c r="C1769" s="15"/>
      <c r="E1769" s="76"/>
      <c r="F1769" s="15"/>
      <c r="G1769" s="10"/>
      <c r="H1769" s="70" t="str">
        <f t="shared" si="1"/>
        <v/>
      </c>
      <c r="I1769" s="70" t="str">
        <f t="shared" si="2"/>
        <v/>
      </c>
      <c r="J1769" s="70" t="str">
        <f t="shared" si="3"/>
        <v/>
      </c>
      <c r="K1769" s="70" t="str">
        <f t="shared" si="4"/>
        <v>12/1899</v>
      </c>
    </row>
    <row r="1770" hidden="1">
      <c r="A1770" s="9"/>
      <c r="B1770" s="15"/>
      <c r="C1770" s="15"/>
      <c r="E1770" s="76"/>
      <c r="F1770" s="15"/>
      <c r="G1770" s="10"/>
      <c r="H1770" s="70" t="str">
        <f t="shared" si="1"/>
        <v/>
      </c>
      <c r="I1770" s="70" t="str">
        <f t="shared" si="2"/>
        <v/>
      </c>
      <c r="J1770" s="70" t="str">
        <f t="shared" si="3"/>
        <v/>
      </c>
      <c r="K1770" s="70" t="str">
        <f t="shared" si="4"/>
        <v>12/1899</v>
      </c>
    </row>
    <row r="1771" hidden="1">
      <c r="A1771" s="9"/>
      <c r="B1771" s="15"/>
      <c r="C1771" s="15"/>
      <c r="E1771" s="76"/>
      <c r="F1771" s="15"/>
      <c r="G1771" s="10"/>
      <c r="H1771" s="70" t="str">
        <f t="shared" si="1"/>
        <v/>
      </c>
      <c r="I1771" s="70" t="str">
        <f t="shared" si="2"/>
        <v/>
      </c>
      <c r="J1771" s="70" t="str">
        <f t="shared" si="3"/>
        <v/>
      </c>
      <c r="K1771" s="70" t="str">
        <f t="shared" si="4"/>
        <v>12/1899</v>
      </c>
    </row>
    <row r="1772" hidden="1">
      <c r="A1772" s="9"/>
      <c r="B1772" s="15"/>
      <c r="C1772" s="15"/>
      <c r="E1772" s="76"/>
      <c r="F1772" s="15"/>
      <c r="G1772" s="10"/>
      <c r="H1772" s="70" t="str">
        <f t="shared" si="1"/>
        <v/>
      </c>
      <c r="I1772" s="70" t="str">
        <f t="shared" si="2"/>
        <v/>
      </c>
      <c r="J1772" s="70" t="str">
        <f t="shared" si="3"/>
        <v/>
      </c>
      <c r="K1772" s="70" t="str">
        <f t="shared" si="4"/>
        <v>12/1899</v>
      </c>
    </row>
    <row r="1773" hidden="1">
      <c r="A1773" s="9"/>
      <c r="B1773" s="15"/>
      <c r="C1773" s="15"/>
      <c r="E1773" s="76"/>
      <c r="F1773" s="15"/>
      <c r="G1773" s="10"/>
      <c r="H1773" s="70" t="str">
        <f t="shared" si="1"/>
        <v/>
      </c>
      <c r="I1773" s="70" t="str">
        <f t="shared" si="2"/>
        <v/>
      </c>
      <c r="J1773" s="70" t="str">
        <f t="shared" si="3"/>
        <v/>
      </c>
      <c r="K1773" s="70" t="str">
        <f t="shared" si="4"/>
        <v>12/1899</v>
      </c>
    </row>
    <row r="1774" hidden="1">
      <c r="A1774" s="9"/>
      <c r="B1774" s="15"/>
      <c r="C1774" s="15"/>
      <c r="E1774" s="76"/>
      <c r="F1774" s="15"/>
      <c r="G1774" s="10"/>
      <c r="H1774" s="70" t="str">
        <f t="shared" si="1"/>
        <v/>
      </c>
      <c r="I1774" s="70" t="str">
        <f t="shared" si="2"/>
        <v/>
      </c>
      <c r="J1774" s="70" t="str">
        <f t="shared" si="3"/>
        <v/>
      </c>
      <c r="K1774" s="70" t="str">
        <f t="shared" si="4"/>
        <v>12/1899</v>
      </c>
    </row>
    <row r="1775" hidden="1">
      <c r="A1775" s="9"/>
      <c r="B1775" s="15"/>
      <c r="C1775" s="15"/>
      <c r="E1775" s="76"/>
      <c r="F1775" s="15"/>
      <c r="G1775" s="10"/>
      <c r="H1775" s="70" t="str">
        <f t="shared" si="1"/>
        <v/>
      </c>
      <c r="I1775" s="70" t="str">
        <f t="shared" si="2"/>
        <v/>
      </c>
      <c r="J1775" s="70" t="str">
        <f t="shared" si="3"/>
        <v/>
      </c>
      <c r="K1775" s="70" t="str">
        <f t="shared" si="4"/>
        <v>12/1899</v>
      </c>
    </row>
    <row r="1776" hidden="1">
      <c r="A1776" s="9"/>
      <c r="B1776" s="15"/>
      <c r="C1776" s="15"/>
      <c r="E1776" s="76"/>
      <c r="F1776" s="15"/>
      <c r="G1776" s="10"/>
      <c r="H1776" s="70" t="str">
        <f t="shared" si="1"/>
        <v/>
      </c>
      <c r="I1776" s="70" t="str">
        <f t="shared" si="2"/>
        <v/>
      </c>
      <c r="J1776" s="70" t="str">
        <f t="shared" si="3"/>
        <v/>
      </c>
      <c r="K1776" s="70" t="str">
        <f t="shared" si="4"/>
        <v>12/1899</v>
      </c>
    </row>
    <row r="1777" hidden="1">
      <c r="A1777" s="9"/>
      <c r="B1777" s="15"/>
      <c r="C1777" s="15"/>
      <c r="E1777" s="76"/>
      <c r="F1777" s="15"/>
      <c r="G1777" s="10"/>
      <c r="H1777" s="70" t="str">
        <f t="shared" si="1"/>
        <v/>
      </c>
      <c r="I1777" s="70" t="str">
        <f t="shared" si="2"/>
        <v/>
      </c>
      <c r="J1777" s="70" t="str">
        <f t="shared" si="3"/>
        <v/>
      </c>
      <c r="K1777" s="70" t="str">
        <f t="shared" si="4"/>
        <v>12/1899</v>
      </c>
    </row>
    <row r="1778" hidden="1">
      <c r="A1778" s="9"/>
      <c r="B1778" s="15"/>
      <c r="C1778" s="15"/>
      <c r="E1778" s="76"/>
      <c r="F1778" s="15"/>
      <c r="G1778" s="10"/>
      <c r="H1778" s="70" t="str">
        <f t="shared" si="1"/>
        <v/>
      </c>
      <c r="I1778" s="70" t="str">
        <f t="shared" si="2"/>
        <v/>
      </c>
      <c r="J1778" s="70" t="str">
        <f t="shared" si="3"/>
        <v/>
      </c>
      <c r="K1778" s="70" t="str">
        <f t="shared" si="4"/>
        <v>12/1899</v>
      </c>
    </row>
    <row r="1779" hidden="1">
      <c r="A1779" s="9"/>
      <c r="B1779" s="15"/>
      <c r="C1779" s="15"/>
      <c r="E1779" s="76"/>
      <c r="F1779" s="15"/>
      <c r="G1779" s="10"/>
      <c r="H1779" s="70" t="str">
        <f t="shared" si="1"/>
        <v/>
      </c>
      <c r="I1779" s="70" t="str">
        <f t="shared" si="2"/>
        <v/>
      </c>
      <c r="J1779" s="70" t="str">
        <f t="shared" si="3"/>
        <v/>
      </c>
      <c r="K1779" s="70" t="str">
        <f t="shared" si="4"/>
        <v>12/1899</v>
      </c>
    </row>
    <row r="1780" hidden="1">
      <c r="A1780" s="9"/>
      <c r="B1780" s="15"/>
      <c r="C1780" s="15"/>
      <c r="E1780" s="76"/>
      <c r="F1780" s="15"/>
      <c r="G1780" s="10"/>
      <c r="H1780" s="70" t="str">
        <f t="shared" si="1"/>
        <v/>
      </c>
      <c r="I1780" s="70" t="str">
        <f t="shared" si="2"/>
        <v/>
      </c>
      <c r="J1780" s="70" t="str">
        <f t="shared" si="3"/>
        <v/>
      </c>
      <c r="K1780" s="70" t="str">
        <f t="shared" si="4"/>
        <v>12/1899</v>
      </c>
    </row>
    <row r="1781" hidden="1">
      <c r="A1781" s="9"/>
      <c r="B1781" s="15"/>
      <c r="C1781" s="15"/>
      <c r="E1781" s="76"/>
      <c r="F1781" s="15"/>
      <c r="G1781" s="10"/>
      <c r="H1781" s="70" t="str">
        <f t="shared" si="1"/>
        <v/>
      </c>
      <c r="I1781" s="70" t="str">
        <f t="shared" si="2"/>
        <v/>
      </c>
      <c r="J1781" s="70" t="str">
        <f t="shared" si="3"/>
        <v/>
      </c>
      <c r="K1781" s="70" t="str">
        <f t="shared" si="4"/>
        <v>12/1899</v>
      </c>
    </row>
    <row r="1782" hidden="1">
      <c r="A1782" s="9"/>
      <c r="B1782" s="15"/>
      <c r="C1782" s="15"/>
      <c r="E1782" s="76"/>
      <c r="F1782" s="15"/>
      <c r="G1782" s="10"/>
      <c r="H1782" s="70" t="str">
        <f t="shared" si="1"/>
        <v/>
      </c>
      <c r="I1782" s="70" t="str">
        <f t="shared" si="2"/>
        <v/>
      </c>
      <c r="J1782" s="70" t="str">
        <f t="shared" si="3"/>
        <v/>
      </c>
      <c r="K1782" s="70" t="str">
        <f t="shared" si="4"/>
        <v>12/1899</v>
      </c>
    </row>
    <row r="1783" hidden="1">
      <c r="A1783" s="9"/>
      <c r="B1783" s="15"/>
      <c r="C1783" s="15"/>
      <c r="E1783" s="76"/>
      <c r="F1783" s="15"/>
      <c r="G1783" s="10"/>
      <c r="H1783" s="70" t="str">
        <f t="shared" si="1"/>
        <v/>
      </c>
      <c r="I1783" s="70" t="str">
        <f t="shared" si="2"/>
        <v/>
      </c>
      <c r="J1783" s="70" t="str">
        <f t="shared" si="3"/>
        <v/>
      </c>
      <c r="K1783" s="70" t="str">
        <f t="shared" si="4"/>
        <v>12/1899</v>
      </c>
    </row>
    <row r="1784" hidden="1">
      <c r="A1784" s="9"/>
      <c r="B1784" s="15"/>
      <c r="C1784" s="15"/>
      <c r="E1784" s="76"/>
      <c r="F1784" s="15"/>
      <c r="G1784" s="10"/>
      <c r="H1784" s="70" t="str">
        <f t="shared" si="1"/>
        <v/>
      </c>
      <c r="I1784" s="70" t="str">
        <f t="shared" si="2"/>
        <v/>
      </c>
      <c r="J1784" s="70" t="str">
        <f t="shared" si="3"/>
        <v/>
      </c>
      <c r="K1784" s="70" t="str">
        <f t="shared" si="4"/>
        <v>12/1899</v>
      </c>
    </row>
    <row r="1785" hidden="1">
      <c r="A1785" s="9"/>
      <c r="B1785" s="15"/>
      <c r="C1785" s="15"/>
      <c r="E1785" s="76"/>
      <c r="F1785" s="15"/>
      <c r="G1785" s="10"/>
      <c r="H1785" s="70" t="str">
        <f t="shared" si="1"/>
        <v/>
      </c>
      <c r="I1785" s="70" t="str">
        <f t="shared" si="2"/>
        <v/>
      </c>
      <c r="J1785" s="70" t="str">
        <f t="shared" si="3"/>
        <v/>
      </c>
      <c r="K1785" s="70" t="str">
        <f t="shared" si="4"/>
        <v>12/1899</v>
      </c>
    </row>
    <row r="1786" hidden="1">
      <c r="A1786" s="9"/>
      <c r="B1786" s="15"/>
      <c r="C1786" s="15"/>
      <c r="E1786" s="76"/>
      <c r="F1786" s="15"/>
      <c r="G1786" s="10"/>
      <c r="H1786" s="70" t="str">
        <f t="shared" si="1"/>
        <v/>
      </c>
      <c r="I1786" s="70" t="str">
        <f t="shared" si="2"/>
        <v/>
      </c>
      <c r="J1786" s="70" t="str">
        <f t="shared" si="3"/>
        <v/>
      </c>
      <c r="K1786" s="70" t="str">
        <f t="shared" si="4"/>
        <v>12/1899</v>
      </c>
    </row>
    <row r="1787" hidden="1">
      <c r="A1787" s="9"/>
      <c r="B1787" s="15"/>
      <c r="C1787" s="15"/>
      <c r="E1787" s="76"/>
      <c r="F1787" s="15"/>
      <c r="G1787" s="10"/>
      <c r="H1787" s="70" t="str">
        <f t="shared" si="1"/>
        <v/>
      </c>
      <c r="I1787" s="70" t="str">
        <f t="shared" si="2"/>
        <v/>
      </c>
      <c r="J1787" s="70" t="str">
        <f t="shared" si="3"/>
        <v/>
      </c>
      <c r="K1787" s="70" t="str">
        <f t="shared" si="4"/>
        <v>12/1899</v>
      </c>
    </row>
    <row r="1788" hidden="1">
      <c r="A1788" s="9"/>
      <c r="B1788" s="15"/>
      <c r="C1788" s="15"/>
      <c r="E1788" s="76"/>
      <c r="F1788" s="15"/>
      <c r="G1788" s="10"/>
      <c r="H1788" s="70" t="str">
        <f t="shared" si="1"/>
        <v/>
      </c>
      <c r="I1788" s="70" t="str">
        <f t="shared" si="2"/>
        <v/>
      </c>
      <c r="J1788" s="70" t="str">
        <f t="shared" si="3"/>
        <v/>
      </c>
      <c r="K1788" s="70" t="str">
        <f t="shared" si="4"/>
        <v>12/1899</v>
      </c>
    </row>
    <row r="1789" hidden="1">
      <c r="A1789" s="9"/>
      <c r="B1789" s="15"/>
      <c r="C1789" s="15"/>
      <c r="E1789" s="76"/>
      <c r="F1789" s="15"/>
      <c r="G1789" s="10"/>
      <c r="H1789" s="70" t="str">
        <f t="shared" si="1"/>
        <v/>
      </c>
      <c r="I1789" s="70" t="str">
        <f t="shared" si="2"/>
        <v/>
      </c>
      <c r="J1789" s="70" t="str">
        <f t="shared" si="3"/>
        <v/>
      </c>
      <c r="K1789" s="70" t="str">
        <f t="shared" si="4"/>
        <v>12/1899</v>
      </c>
    </row>
    <row r="1790" hidden="1">
      <c r="A1790" s="9"/>
      <c r="B1790" s="15"/>
      <c r="C1790" s="15"/>
      <c r="E1790" s="76"/>
      <c r="F1790" s="15"/>
      <c r="G1790" s="10"/>
      <c r="H1790" s="70" t="str">
        <f t="shared" si="1"/>
        <v/>
      </c>
      <c r="I1790" s="70" t="str">
        <f t="shared" si="2"/>
        <v/>
      </c>
      <c r="J1790" s="70" t="str">
        <f t="shared" si="3"/>
        <v/>
      </c>
      <c r="K1790" s="70" t="str">
        <f t="shared" si="4"/>
        <v>12/1899</v>
      </c>
    </row>
    <row r="1791" hidden="1">
      <c r="A1791" s="9"/>
      <c r="B1791" s="15"/>
      <c r="C1791" s="15"/>
      <c r="E1791" s="76"/>
      <c r="F1791" s="15"/>
      <c r="G1791" s="10"/>
      <c r="H1791" s="70" t="str">
        <f t="shared" si="1"/>
        <v/>
      </c>
      <c r="I1791" s="70" t="str">
        <f t="shared" si="2"/>
        <v/>
      </c>
      <c r="J1791" s="70" t="str">
        <f t="shared" si="3"/>
        <v/>
      </c>
      <c r="K1791" s="70" t="str">
        <f t="shared" si="4"/>
        <v>12/1899</v>
      </c>
    </row>
    <row r="1792" hidden="1">
      <c r="A1792" s="9"/>
      <c r="B1792" s="15"/>
      <c r="C1792" s="15"/>
      <c r="E1792" s="76"/>
      <c r="F1792" s="15"/>
      <c r="G1792" s="10"/>
      <c r="H1792" s="70" t="str">
        <f t="shared" si="1"/>
        <v/>
      </c>
      <c r="I1792" s="70" t="str">
        <f t="shared" si="2"/>
        <v/>
      </c>
      <c r="J1792" s="70" t="str">
        <f t="shared" si="3"/>
        <v/>
      </c>
      <c r="K1792" s="70" t="str">
        <f t="shared" si="4"/>
        <v>12/1899</v>
      </c>
    </row>
    <row r="1793" hidden="1">
      <c r="A1793" s="9"/>
      <c r="B1793" s="15"/>
      <c r="C1793" s="15"/>
      <c r="E1793" s="76"/>
      <c r="F1793" s="15"/>
      <c r="G1793" s="10"/>
      <c r="H1793" s="70" t="str">
        <f t="shared" si="1"/>
        <v/>
      </c>
      <c r="I1793" s="70" t="str">
        <f t="shared" si="2"/>
        <v/>
      </c>
      <c r="J1793" s="70" t="str">
        <f t="shared" si="3"/>
        <v/>
      </c>
      <c r="K1793" s="70" t="str">
        <f t="shared" si="4"/>
        <v>12/1899</v>
      </c>
    </row>
    <row r="1794" hidden="1">
      <c r="A1794" s="9"/>
      <c r="B1794" s="15"/>
      <c r="C1794" s="15"/>
      <c r="E1794" s="76"/>
      <c r="F1794" s="15"/>
      <c r="G1794" s="10"/>
      <c r="H1794" s="70" t="str">
        <f t="shared" si="1"/>
        <v/>
      </c>
      <c r="I1794" s="70" t="str">
        <f t="shared" si="2"/>
        <v/>
      </c>
      <c r="J1794" s="70" t="str">
        <f t="shared" si="3"/>
        <v/>
      </c>
      <c r="K1794" s="70" t="str">
        <f t="shared" si="4"/>
        <v>12/1899</v>
      </c>
    </row>
    <row r="1795" hidden="1">
      <c r="A1795" s="9"/>
      <c r="B1795" s="15"/>
      <c r="C1795" s="15"/>
      <c r="E1795" s="76"/>
      <c r="F1795" s="15"/>
      <c r="G1795" s="10"/>
      <c r="H1795" s="70" t="str">
        <f t="shared" si="1"/>
        <v/>
      </c>
      <c r="I1795" s="70" t="str">
        <f t="shared" si="2"/>
        <v/>
      </c>
      <c r="J1795" s="70" t="str">
        <f t="shared" si="3"/>
        <v/>
      </c>
      <c r="K1795" s="70" t="str">
        <f t="shared" si="4"/>
        <v>12/1899</v>
      </c>
    </row>
    <row r="1796" hidden="1">
      <c r="A1796" s="9"/>
      <c r="B1796" s="15"/>
      <c r="C1796" s="15"/>
      <c r="E1796" s="76"/>
      <c r="F1796" s="15"/>
      <c r="G1796" s="10"/>
      <c r="H1796" s="70" t="str">
        <f t="shared" si="1"/>
        <v/>
      </c>
      <c r="I1796" s="70" t="str">
        <f t="shared" si="2"/>
        <v/>
      </c>
      <c r="J1796" s="70" t="str">
        <f t="shared" si="3"/>
        <v/>
      </c>
      <c r="K1796" s="70" t="str">
        <f t="shared" si="4"/>
        <v>12/1899</v>
      </c>
    </row>
    <row r="1797" hidden="1">
      <c r="A1797" s="9"/>
      <c r="B1797" s="15"/>
      <c r="C1797" s="15"/>
      <c r="E1797" s="76"/>
      <c r="F1797" s="15"/>
      <c r="G1797" s="10"/>
      <c r="H1797" s="70" t="str">
        <f t="shared" si="1"/>
        <v/>
      </c>
      <c r="I1797" s="70" t="str">
        <f t="shared" si="2"/>
        <v/>
      </c>
      <c r="J1797" s="70" t="str">
        <f t="shared" si="3"/>
        <v/>
      </c>
      <c r="K1797" s="70" t="str">
        <f t="shared" si="4"/>
        <v>12/1899</v>
      </c>
    </row>
    <row r="1798" hidden="1">
      <c r="A1798" s="9"/>
      <c r="B1798" s="15"/>
      <c r="C1798" s="15"/>
      <c r="E1798" s="76"/>
      <c r="F1798" s="15"/>
      <c r="G1798" s="10"/>
      <c r="H1798" s="70" t="str">
        <f t="shared" si="1"/>
        <v/>
      </c>
      <c r="I1798" s="70" t="str">
        <f t="shared" si="2"/>
        <v/>
      </c>
      <c r="J1798" s="70" t="str">
        <f t="shared" si="3"/>
        <v/>
      </c>
      <c r="K1798" s="70" t="str">
        <f t="shared" si="4"/>
        <v>12/1899</v>
      </c>
    </row>
    <row r="1799" hidden="1">
      <c r="A1799" s="9"/>
      <c r="B1799" s="15"/>
      <c r="C1799" s="15"/>
      <c r="E1799" s="76"/>
      <c r="F1799" s="15"/>
      <c r="G1799" s="10"/>
      <c r="H1799" s="70" t="str">
        <f t="shared" si="1"/>
        <v/>
      </c>
      <c r="I1799" s="70" t="str">
        <f t="shared" si="2"/>
        <v/>
      </c>
      <c r="J1799" s="70" t="str">
        <f t="shared" si="3"/>
        <v/>
      </c>
      <c r="K1799" s="70" t="str">
        <f t="shared" si="4"/>
        <v>12/1899</v>
      </c>
    </row>
    <row r="1800" hidden="1">
      <c r="A1800" s="9"/>
      <c r="B1800" s="15"/>
      <c r="C1800" s="15"/>
      <c r="E1800" s="76"/>
      <c r="F1800" s="15"/>
      <c r="G1800" s="10"/>
      <c r="H1800" s="70" t="str">
        <f t="shared" si="1"/>
        <v/>
      </c>
      <c r="I1800" s="70" t="str">
        <f t="shared" si="2"/>
        <v/>
      </c>
      <c r="J1800" s="70" t="str">
        <f t="shared" si="3"/>
        <v/>
      </c>
      <c r="K1800" s="70" t="str">
        <f t="shared" si="4"/>
        <v>12/1899</v>
      </c>
    </row>
    <row r="1801" hidden="1">
      <c r="A1801" s="9"/>
      <c r="B1801" s="15"/>
      <c r="C1801" s="15"/>
      <c r="E1801" s="76"/>
      <c r="F1801" s="15"/>
      <c r="G1801" s="10"/>
      <c r="H1801" s="70" t="str">
        <f t="shared" si="1"/>
        <v/>
      </c>
      <c r="I1801" s="70" t="str">
        <f t="shared" si="2"/>
        <v/>
      </c>
      <c r="J1801" s="70" t="str">
        <f t="shared" si="3"/>
        <v/>
      </c>
      <c r="K1801" s="70" t="str">
        <f t="shared" si="4"/>
        <v>12/1899</v>
      </c>
    </row>
    <row r="1802" hidden="1">
      <c r="A1802" s="9"/>
      <c r="B1802" s="15"/>
      <c r="C1802" s="15"/>
      <c r="E1802" s="76"/>
      <c r="F1802" s="15"/>
      <c r="G1802" s="10"/>
      <c r="H1802" s="70" t="str">
        <f t="shared" si="1"/>
        <v/>
      </c>
      <c r="I1802" s="70" t="str">
        <f t="shared" si="2"/>
        <v/>
      </c>
      <c r="J1802" s="70" t="str">
        <f t="shared" si="3"/>
        <v/>
      </c>
      <c r="K1802" s="70" t="str">
        <f t="shared" si="4"/>
        <v>12/1899</v>
      </c>
    </row>
    <row r="1803" hidden="1">
      <c r="A1803" s="9"/>
      <c r="B1803" s="15"/>
      <c r="C1803" s="15"/>
      <c r="E1803" s="76"/>
      <c r="F1803" s="15"/>
      <c r="G1803" s="10"/>
      <c r="H1803" s="70" t="str">
        <f t="shared" si="1"/>
        <v/>
      </c>
      <c r="I1803" s="70" t="str">
        <f t="shared" si="2"/>
        <v/>
      </c>
      <c r="J1803" s="70" t="str">
        <f t="shared" si="3"/>
        <v/>
      </c>
      <c r="K1803" s="70" t="str">
        <f t="shared" si="4"/>
        <v>12/1899</v>
      </c>
    </row>
    <row r="1804" hidden="1">
      <c r="A1804" s="9"/>
      <c r="B1804" s="15"/>
      <c r="C1804" s="15"/>
      <c r="E1804" s="76"/>
      <c r="F1804" s="15"/>
      <c r="G1804" s="10"/>
      <c r="H1804" s="70" t="str">
        <f t="shared" si="1"/>
        <v/>
      </c>
      <c r="I1804" s="70" t="str">
        <f t="shared" si="2"/>
        <v/>
      </c>
      <c r="J1804" s="70" t="str">
        <f t="shared" si="3"/>
        <v/>
      </c>
      <c r="K1804" s="70" t="str">
        <f t="shared" si="4"/>
        <v>12/1899</v>
      </c>
    </row>
    <row r="1805" hidden="1">
      <c r="A1805" s="9"/>
      <c r="B1805" s="15"/>
      <c r="C1805" s="15"/>
      <c r="E1805" s="76"/>
      <c r="F1805" s="15"/>
      <c r="G1805" s="10"/>
      <c r="H1805" s="70" t="str">
        <f t="shared" si="1"/>
        <v/>
      </c>
      <c r="I1805" s="70" t="str">
        <f t="shared" si="2"/>
        <v/>
      </c>
      <c r="J1805" s="70" t="str">
        <f t="shared" si="3"/>
        <v/>
      </c>
      <c r="K1805" s="70" t="str">
        <f t="shared" si="4"/>
        <v>12/1899</v>
      </c>
    </row>
    <row r="1806" hidden="1">
      <c r="A1806" s="9"/>
      <c r="B1806" s="15"/>
      <c r="C1806" s="15"/>
      <c r="E1806" s="76"/>
      <c r="F1806" s="15"/>
      <c r="G1806" s="10"/>
      <c r="H1806" s="70" t="str">
        <f t="shared" si="1"/>
        <v/>
      </c>
      <c r="I1806" s="70" t="str">
        <f t="shared" si="2"/>
        <v/>
      </c>
      <c r="J1806" s="70" t="str">
        <f t="shared" si="3"/>
        <v/>
      </c>
      <c r="K1806" s="70" t="str">
        <f t="shared" si="4"/>
        <v>12/1899</v>
      </c>
    </row>
    <row r="1807" hidden="1">
      <c r="A1807" s="9"/>
      <c r="B1807" s="15"/>
      <c r="C1807" s="15"/>
      <c r="E1807" s="76"/>
      <c r="F1807" s="15"/>
      <c r="G1807" s="10"/>
      <c r="H1807" s="70" t="str">
        <f t="shared" si="1"/>
        <v/>
      </c>
      <c r="I1807" s="70" t="str">
        <f t="shared" si="2"/>
        <v/>
      </c>
      <c r="J1807" s="70" t="str">
        <f t="shared" si="3"/>
        <v/>
      </c>
      <c r="K1807" s="70" t="str">
        <f t="shared" si="4"/>
        <v>12/1899</v>
      </c>
    </row>
    <row r="1808" hidden="1">
      <c r="A1808" s="9"/>
      <c r="B1808" s="15"/>
      <c r="C1808" s="15"/>
      <c r="E1808" s="76"/>
      <c r="F1808" s="15"/>
      <c r="G1808" s="10"/>
      <c r="H1808" s="70" t="str">
        <f t="shared" si="1"/>
        <v/>
      </c>
      <c r="I1808" s="70" t="str">
        <f t="shared" si="2"/>
        <v/>
      </c>
      <c r="J1808" s="70" t="str">
        <f t="shared" si="3"/>
        <v/>
      </c>
      <c r="K1808" s="70" t="str">
        <f t="shared" si="4"/>
        <v>12/1899</v>
      </c>
    </row>
    <row r="1809" hidden="1">
      <c r="A1809" s="9"/>
      <c r="B1809" s="15"/>
      <c r="C1809" s="15"/>
      <c r="E1809" s="76"/>
      <c r="F1809" s="15"/>
      <c r="G1809" s="10"/>
      <c r="H1809" s="70" t="str">
        <f t="shared" si="1"/>
        <v/>
      </c>
      <c r="I1809" s="70" t="str">
        <f t="shared" si="2"/>
        <v/>
      </c>
      <c r="J1809" s="70" t="str">
        <f t="shared" si="3"/>
        <v/>
      </c>
      <c r="K1809" s="70" t="str">
        <f t="shared" si="4"/>
        <v>12/1899</v>
      </c>
    </row>
    <row r="1810" hidden="1">
      <c r="A1810" s="9"/>
      <c r="B1810" s="15"/>
      <c r="C1810" s="15"/>
      <c r="E1810" s="76"/>
      <c r="F1810" s="15"/>
      <c r="G1810" s="10"/>
      <c r="H1810" s="70" t="str">
        <f t="shared" si="1"/>
        <v/>
      </c>
      <c r="I1810" s="70" t="str">
        <f t="shared" si="2"/>
        <v/>
      </c>
      <c r="J1810" s="70" t="str">
        <f t="shared" si="3"/>
        <v/>
      </c>
      <c r="K1810" s="70" t="str">
        <f t="shared" si="4"/>
        <v>12/1899</v>
      </c>
    </row>
    <row r="1811" hidden="1">
      <c r="A1811" s="9"/>
      <c r="B1811" s="15"/>
      <c r="C1811" s="15"/>
      <c r="E1811" s="76"/>
      <c r="F1811" s="15"/>
      <c r="G1811" s="10"/>
      <c r="H1811" s="70" t="str">
        <f t="shared" si="1"/>
        <v/>
      </c>
      <c r="I1811" s="70" t="str">
        <f t="shared" si="2"/>
        <v/>
      </c>
      <c r="J1811" s="70" t="str">
        <f t="shared" si="3"/>
        <v/>
      </c>
      <c r="K1811" s="70" t="str">
        <f t="shared" si="4"/>
        <v>12/1899</v>
      </c>
    </row>
    <row r="1812" hidden="1">
      <c r="A1812" s="9"/>
      <c r="B1812" s="15"/>
      <c r="C1812" s="15"/>
      <c r="E1812" s="76"/>
      <c r="F1812" s="15"/>
      <c r="G1812" s="10"/>
      <c r="H1812" s="70" t="str">
        <f t="shared" si="1"/>
        <v/>
      </c>
      <c r="I1812" s="70" t="str">
        <f t="shared" si="2"/>
        <v/>
      </c>
      <c r="J1812" s="70" t="str">
        <f t="shared" si="3"/>
        <v/>
      </c>
      <c r="K1812" s="70" t="str">
        <f t="shared" si="4"/>
        <v>12/1899</v>
      </c>
    </row>
    <row r="1813" hidden="1">
      <c r="A1813" s="9"/>
      <c r="B1813" s="15"/>
      <c r="C1813" s="15"/>
      <c r="E1813" s="76"/>
      <c r="F1813" s="15"/>
      <c r="G1813" s="10"/>
      <c r="H1813" s="70" t="str">
        <f t="shared" si="1"/>
        <v/>
      </c>
      <c r="I1813" s="70" t="str">
        <f t="shared" si="2"/>
        <v/>
      </c>
      <c r="J1813" s="70" t="str">
        <f t="shared" si="3"/>
        <v/>
      </c>
      <c r="K1813" s="70" t="str">
        <f t="shared" si="4"/>
        <v>12/1899</v>
      </c>
    </row>
    <row r="1814" hidden="1">
      <c r="A1814" s="9"/>
      <c r="B1814" s="15"/>
      <c r="C1814" s="15"/>
      <c r="E1814" s="76"/>
      <c r="F1814" s="15"/>
      <c r="G1814" s="10"/>
      <c r="H1814" s="70" t="str">
        <f t="shared" si="1"/>
        <v/>
      </c>
      <c r="I1814" s="70" t="str">
        <f t="shared" si="2"/>
        <v/>
      </c>
      <c r="J1814" s="70" t="str">
        <f t="shared" si="3"/>
        <v/>
      </c>
      <c r="K1814" s="70" t="str">
        <f t="shared" si="4"/>
        <v>12/1899</v>
      </c>
    </row>
    <row r="1815" hidden="1">
      <c r="A1815" s="9"/>
      <c r="B1815" s="15"/>
      <c r="C1815" s="15"/>
      <c r="E1815" s="76"/>
      <c r="F1815" s="15"/>
      <c r="G1815" s="10"/>
      <c r="H1815" s="70" t="str">
        <f t="shared" si="1"/>
        <v/>
      </c>
      <c r="I1815" s="70" t="str">
        <f t="shared" si="2"/>
        <v/>
      </c>
      <c r="J1815" s="70" t="str">
        <f t="shared" si="3"/>
        <v/>
      </c>
      <c r="K1815" s="70" t="str">
        <f t="shared" si="4"/>
        <v>12/1899</v>
      </c>
    </row>
    <row r="1816" hidden="1">
      <c r="A1816" s="9"/>
      <c r="B1816" s="15"/>
      <c r="C1816" s="15"/>
      <c r="E1816" s="76"/>
      <c r="F1816" s="15"/>
      <c r="G1816" s="10"/>
      <c r="H1816" s="70" t="str">
        <f t="shared" si="1"/>
        <v/>
      </c>
      <c r="I1816" s="70" t="str">
        <f t="shared" si="2"/>
        <v/>
      </c>
      <c r="J1816" s="70" t="str">
        <f t="shared" si="3"/>
        <v/>
      </c>
      <c r="K1816" s="70" t="str">
        <f t="shared" si="4"/>
        <v>12/1899</v>
      </c>
    </row>
    <row r="1817" hidden="1">
      <c r="A1817" s="9"/>
      <c r="B1817" s="15"/>
      <c r="C1817" s="15"/>
      <c r="E1817" s="76"/>
      <c r="F1817" s="15"/>
      <c r="G1817" s="10"/>
      <c r="H1817" s="70" t="str">
        <f t="shared" si="1"/>
        <v/>
      </c>
      <c r="I1817" s="70" t="str">
        <f t="shared" si="2"/>
        <v/>
      </c>
      <c r="J1817" s="70" t="str">
        <f t="shared" si="3"/>
        <v/>
      </c>
      <c r="K1817" s="70" t="str">
        <f t="shared" si="4"/>
        <v>12/1899</v>
      </c>
    </row>
    <row r="1818" hidden="1">
      <c r="A1818" s="9"/>
      <c r="B1818" s="15"/>
      <c r="C1818" s="15"/>
      <c r="E1818" s="76"/>
      <c r="F1818" s="15"/>
      <c r="G1818" s="10"/>
      <c r="H1818" s="70" t="str">
        <f t="shared" si="1"/>
        <v/>
      </c>
      <c r="I1818" s="70" t="str">
        <f t="shared" si="2"/>
        <v/>
      </c>
      <c r="J1818" s="70" t="str">
        <f t="shared" si="3"/>
        <v/>
      </c>
      <c r="K1818" s="70" t="str">
        <f t="shared" si="4"/>
        <v>12/1899</v>
      </c>
    </row>
    <row r="1819" hidden="1">
      <c r="A1819" s="9"/>
      <c r="B1819" s="15"/>
      <c r="C1819" s="15"/>
      <c r="E1819" s="76"/>
      <c r="F1819" s="15"/>
      <c r="G1819" s="10"/>
      <c r="H1819" s="70" t="str">
        <f t="shared" si="1"/>
        <v/>
      </c>
      <c r="I1819" s="70" t="str">
        <f t="shared" si="2"/>
        <v/>
      </c>
      <c r="J1819" s="70" t="str">
        <f t="shared" si="3"/>
        <v/>
      </c>
      <c r="K1819" s="70" t="str">
        <f t="shared" si="4"/>
        <v>12/1899</v>
      </c>
    </row>
    <row r="1820" hidden="1">
      <c r="A1820" s="9"/>
      <c r="B1820" s="15"/>
      <c r="C1820" s="15"/>
      <c r="E1820" s="76"/>
      <c r="F1820" s="15"/>
      <c r="G1820" s="10"/>
      <c r="H1820" s="70" t="str">
        <f t="shared" si="1"/>
        <v/>
      </c>
      <c r="I1820" s="70" t="str">
        <f t="shared" si="2"/>
        <v/>
      </c>
      <c r="J1820" s="70" t="str">
        <f t="shared" si="3"/>
        <v/>
      </c>
      <c r="K1820" s="70" t="str">
        <f t="shared" si="4"/>
        <v>12/1899</v>
      </c>
    </row>
    <row r="1821" hidden="1">
      <c r="A1821" s="9"/>
      <c r="B1821" s="15"/>
      <c r="C1821" s="15"/>
      <c r="E1821" s="76"/>
      <c r="F1821" s="15"/>
      <c r="G1821" s="10"/>
      <c r="H1821" s="70" t="str">
        <f t="shared" si="1"/>
        <v/>
      </c>
      <c r="I1821" s="70" t="str">
        <f t="shared" si="2"/>
        <v/>
      </c>
      <c r="J1821" s="70" t="str">
        <f t="shared" si="3"/>
        <v/>
      </c>
      <c r="K1821" s="70" t="str">
        <f t="shared" si="4"/>
        <v>12/1899</v>
      </c>
    </row>
    <row r="1822" hidden="1">
      <c r="A1822" s="9"/>
      <c r="B1822" s="15"/>
      <c r="C1822" s="15"/>
      <c r="E1822" s="76"/>
      <c r="F1822" s="15"/>
      <c r="G1822" s="10"/>
      <c r="H1822" s="70" t="str">
        <f t="shared" si="1"/>
        <v/>
      </c>
      <c r="I1822" s="70" t="str">
        <f t="shared" si="2"/>
        <v/>
      </c>
      <c r="J1822" s="70" t="str">
        <f t="shared" si="3"/>
        <v/>
      </c>
      <c r="K1822" s="70" t="str">
        <f t="shared" si="4"/>
        <v>12/1899</v>
      </c>
    </row>
    <row r="1823" hidden="1">
      <c r="A1823" s="9"/>
      <c r="B1823" s="15"/>
      <c r="C1823" s="15"/>
      <c r="E1823" s="76"/>
      <c r="F1823" s="15"/>
      <c r="G1823" s="10"/>
      <c r="H1823" s="70" t="str">
        <f t="shared" si="1"/>
        <v/>
      </c>
      <c r="I1823" s="70" t="str">
        <f t="shared" si="2"/>
        <v/>
      </c>
      <c r="J1823" s="70" t="str">
        <f t="shared" si="3"/>
        <v/>
      </c>
      <c r="K1823" s="70" t="str">
        <f t="shared" si="4"/>
        <v>12/1899</v>
      </c>
    </row>
    <row r="1824" hidden="1">
      <c r="A1824" s="9"/>
      <c r="B1824" s="15"/>
      <c r="C1824" s="15"/>
      <c r="E1824" s="76"/>
      <c r="F1824" s="15"/>
      <c r="G1824" s="10"/>
      <c r="H1824" s="70" t="str">
        <f t="shared" si="1"/>
        <v/>
      </c>
      <c r="I1824" s="70" t="str">
        <f t="shared" si="2"/>
        <v/>
      </c>
      <c r="J1824" s="70" t="str">
        <f t="shared" si="3"/>
        <v/>
      </c>
      <c r="K1824" s="70" t="str">
        <f t="shared" si="4"/>
        <v>12/1899</v>
      </c>
    </row>
    <row r="1825" hidden="1">
      <c r="A1825" s="9"/>
      <c r="B1825" s="15"/>
      <c r="C1825" s="15"/>
      <c r="E1825" s="76"/>
      <c r="F1825" s="15"/>
      <c r="G1825" s="10"/>
      <c r="H1825" s="70" t="str">
        <f t="shared" si="1"/>
        <v/>
      </c>
      <c r="I1825" s="70" t="str">
        <f t="shared" si="2"/>
        <v/>
      </c>
      <c r="J1825" s="70" t="str">
        <f t="shared" si="3"/>
        <v/>
      </c>
      <c r="K1825" s="70" t="str">
        <f t="shared" si="4"/>
        <v>12/1899</v>
      </c>
    </row>
    <row r="1826" hidden="1">
      <c r="A1826" s="9"/>
      <c r="B1826" s="15"/>
      <c r="C1826" s="15"/>
      <c r="E1826" s="76"/>
      <c r="F1826" s="15"/>
      <c r="G1826" s="10"/>
      <c r="H1826" s="70" t="str">
        <f t="shared" si="1"/>
        <v/>
      </c>
      <c r="I1826" s="70" t="str">
        <f t="shared" si="2"/>
        <v/>
      </c>
      <c r="J1826" s="70" t="str">
        <f t="shared" si="3"/>
        <v/>
      </c>
      <c r="K1826" s="70" t="str">
        <f t="shared" si="4"/>
        <v>12/1899</v>
      </c>
    </row>
    <row r="1827" hidden="1">
      <c r="A1827" s="9"/>
      <c r="B1827" s="15"/>
      <c r="C1827" s="15"/>
      <c r="E1827" s="76"/>
      <c r="F1827" s="15"/>
      <c r="G1827" s="10"/>
      <c r="H1827" s="70" t="str">
        <f t="shared" si="1"/>
        <v/>
      </c>
      <c r="I1827" s="70" t="str">
        <f t="shared" si="2"/>
        <v/>
      </c>
      <c r="J1827" s="70" t="str">
        <f t="shared" si="3"/>
        <v/>
      </c>
      <c r="K1827" s="70" t="str">
        <f t="shared" si="4"/>
        <v>12/1899</v>
      </c>
    </row>
    <row r="1828" hidden="1">
      <c r="A1828" s="9"/>
      <c r="B1828" s="15"/>
      <c r="C1828" s="15"/>
      <c r="E1828" s="76"/>
      <c r="F1828" s="15"/>
      <c r="G1828" s="10"/>
      <c r="H1828" s="70" t="str">
        <f t="shared" si="1"/>
        <v/>
      </c>
      <c r="I1828" s="70" t="str">
        <f t="shared" si="2"/>
        <v/>
      </c>
      <c r="J1828" s="70" t="str">
        <f t="shared" si="3"/>
        <v/>
      </c>
      <c r="K1828" s="70" t="str">
        <f t="shared" si="4"/>
        <v>12/1899</v>
      </c>
    </row>
    <row r="1829" hidden="1">
      <c r="A1829" s="9"/>
      <c r="B1829" s="15"/>
      <c r="C1829" s="15"/>
      <c r="E1829" s="76"/>
      <c r="F1829" s="15"/>
      <c r="G1829" s="10"/>
      <c r="H1829" s="70" t="str">
        <f t="shared" si="1"/>
        <v/>
      </c>
      <c r="I1829" s="70" t="str">
        <f t="shared" si="2"/>
        <v/>
      </c>
      <c r="J1829" s="70" t="str">
        <f t="shared" si="3"/>
        <v/>
      </c>
      <c r="K1829" s="70" t="str">
        <f t="shared" si="4"/>
        <v>12/1899</v>
      </c>
    </row>
    <row r="1830" hidden="1">
      <c r="A1830" s="9"/>
      <c r="B1830" s="15"/>
      <c r="C1830" s="15"/>
      <c r="E1830" s="76"/>
      <c r="F1830" s="15"/>
      <c r="G1830" s="10"/>
      <c r="H1830" s="70" t="str">
        <f t="shared" si="1"/>
        <v/>
      </c>
      <c r="I1830" s="70" t="str">
        <f t="shared" si="2"/>
        <v/>
      </c>
      <c r="J1830" s="70" t="str">
        <f t="shared" si="3"/>
        <v/>
      </c>
      <c r="K1830" s="70" t="str">
        <f t="shared" si="4"/>
        <v>12/1899</v>
      </c>
    </row>
    <row r="1831" hidden="1">
      <c r="A1831" s="9"/>
      <c r="B1831" s="15"/>
      <c r="C1831" s="15"/>
      <c r="E1831" s="76"/>
      <c r="F1831" s="15"/>
      <c r="G1831" s="10"/>
      <c r="H1831" s="70" t="str">
        <f t="shared" si="1"/>
        <v/>
      </c>
      <c r="I1831" s="70" t="str">
        <f t="shared" si="2"/>
        <v/>
      </c>
      <c r="J1831" s="70" t="str">
        <f t="shared" si="3"/>
        <v/>
      </c>
      <c r="K1831" s="70" t="str">
        <f t="shared" si="4"/>
        <v>12/1899</v>
      </c>
    </row>
    <row r="1832" hidden="1">
      <c r="A1832" s="9"/>
      <c r="B1832" s="15"/>
      <c r="C1832" s="15"/>
      <c r="E1832" s="76"/>
      <c r="F1832" s="15"/>
      <c r="G1832" s="10"/>
      <c r="H1832" s="70" t="str">
        <f t="shared" si="1"/>
        <v/>
      </c>
      <c r="I1832" s="70" t="str">
        <f t="shared" si="2"/>
        <v/>
      </c>
      <c r="J1832" s="70" t="str">
        <f t="shared" si="3"/>
        <v/>
      </c>
      <c r="K1832" s="70" t="str">
        <f t="shared" si="4"/>
        <v>12/1899</v>
      </c>
    </row>
    <row r="1833" hidden="1">
      <c r="A1833" s="9"/>
      <c r="B1833" s="15"/>
      <c r="C1833" s="15"/>
      <c r="E1833" s="76"/>
      <c r="F1833" s="15"/>
      <c r="G1833" s="10"/>
      <c r="H1833" s="70" t="str">
        <f t="shared" si="1"/>
        <v/>
      </c>
      <c r="I1833" s="70" t="str">
        <f t="shared" si="2"/>
        <v/>
      </c>
      <c r="J1833" s="70" t="str">
        <f t="shared" si="3"/>
        <v/>
      </c>
      <c r="K1833" s="70" t="str">
        <f t="shared" si="4"/>
        <v>12/1899</v>
      </c>
    </row>
    <row r="1834" hidden="1">
      <c r="A1834" s="9"/>
      <c r="B1834" s="15"/>
      <c r="C1834" s="15"/>
      <c r="E1834" s="76"/>
      <c r="F1834" s="15"/>
      <c r="G1834" s="10"/>
      <c r="H1834" s="70" t="str">
        <f t="shared" si="1"/>
        <v/>
      </c>
      <c r="I1834" s="70" t="str">
        <f t="shared" si="2"/>
        <v/>
      </c>
      <c r="J1834" s="70" t="str">
        <f t="shared" si="3"/>
        <v/>
      </c>
      <c r="K1834" s="70" t="str">
        <f t="shared" si="4"/>
        <v>12/1899</v>
      </c>
    </row>
    <row r="1835" hidden="1">
      <c r="A1835" s="9"/>
      <c r="B1835" s="15"/>
      <c r="C1835" s="15"/>
      <c r="E1835" s="76"/>
      <c r="F1835" s="15"/>
      <c r="G1835" s="10"/>
      <c r="H1835" s="70" t="str">
        <f t="shared" si="1"/>
        <v/>
      </c>
      <c r="I1835" s="70" t="str">
        <f t="shared" si="2"/>
        <v/>
      </c>
      <c r="J1835" s="70" t="str">
        <f t="shared" si="3"/>
        <v/>
      </c>
      <c r="K1835" s="70" t="str">
        <f t="shared" si="4"/>
        <v>12/1899</v>
      </c>
    </row>
    <row r="1836" hidden="1">
      <c r="A1836" s="9"/>
      <c r="B1836" s="15"/>
      <c r="C1836" s="15"/>
      <c r="E1836" s="76"/>
      <c r="F1836" s="15"/>
      <c r="G1836" s="10"/>
      <c r="H1836" s="70" t="str">
        <f t="shared" si="1"/>
        <v/>
      </c>
      <c r="I1836" s="70" t="str">
        <f t="shared" si="2"/>
        <v/>
      </c>
      <c r="J1836" s="70" t="str">
        <f t="shared" si="3"/>
        <v/>
      </c>
      <c r="K1836" s="70" t="str">
        <f t="shared" si="4"/>
        <v>12/1899</v>
      </c>
    </row>
    <row r="1837" hidden="1">
      <c r="A1837" s="9"/>
      <c r="B1837" s="15"/>
      <c r="C1837" s="15"/>
      <c r="E1837" s="76"/>
      <c r="F1837" s="15"/>
      <c r="G1837" s="10"/>
      <c r="H1837" s="70" t="str">
        <f t="shared" si="1"/>
        <v/>
      </c>
      <c r="I1837" s="70" t="str">
        <f t="shared" si="2"/>
        <v/>
      </c>
      <c r="J1837" s="70" t="str">
        <f t="shared" si="3"/>
        <v/>
      </c>
      <c r="K1837" s="70" t="str">
        <f t="shared" si="4"/>
        <v>12/1899</v>
      </c>
    </row>
    <row r="1838" hidden="1">
      <c r="A1838" s="9"/>
      <c r="B1838" s="15"/>
      <c r="C1838" s="15"/>
      <c r="E1838" s="76"/>
      <c r="F1838" s="15"/>
      <c r="G1838" s="10"/>
      <c r="H1838" s="70" t="str">
        <f t="shared" si="1"/>
        <v/>
      </c>
      <c r="I1838" s="70" t="str">
        <f t="shared" si="2"/>
        <v/>
      </c>
      <c r="J1838" s="70" t="str">
        <f t="shared" si="3"/>
        <v/>
      </c>
      <c r="K1838" s="70" t="str">
        <f t="shared" si="4"/>
        <v>12/1899</v>
      </c>
    </row>
    <row r="1839" hidden="1">
      <c r="A1839" s="9"/>
      <c r="B1839" s="15"/>
      <c r="C1839" s="15"/>
      <c r="E1839" s="76"/>
      <c r="F1839" s="15"/>
      <c r="G1839" s="10"/>
      <c r="H1839" s="70" t="str">
        <f t="shared" si="1"/>
        <v/>
      </c>
      <c r="I1839" s="70" t="str">
        <f t="shared" si="2"/>
        <v/>
      </c>
      <c r="J1839" s="70" t="str">
        <f t="shared" si="3"/>
        <v/>
      </c>
      <c r="K1839" s="70" t="str">
        <f t="shared" si="4"/>
        <v>12/1899</v>
      </c>
    </row>
    <row r="1840" hidden="1">
      <c r="A1840" s="9"/>
      <c r="B1840" s="15"/>
      <c r="C1840" s="15"/>
      <c r="E1840" s="76"/>
      <c r="F1840" s="15"/>
      <c r="G1840" s="10"/>
      <c r="H1840" s="70" t="str">
        <f t="shared" si="1"/>
        <v/>
      </c>
      <c r="I1840" s="70" t="str">
        <f t="shared" si="2"/>
        <v/>
      </c>
      <c r="J1840" s="70" t="str">
        <f t="shared" si="3"/>
        <v/>
      </c>
      <c r="K1840" s="70" t="str">
        <f t="shared" si="4"/>
        <v>12/1899</v>
      </c>
    </row>
    <row r="1841" hidden="1">
      <c r="A1841" s="9"/>
      <c r="B1841" s="15"/>
      <c r="C1841" s="15"/>
      <c r="E1841" s="76"/>
      <c r="F1841" s="15"/>
      <c r="G1841" s="10"/>
      <c r="H1841" s="70" t="str">
        <f t="shared" si="1"/>
        <v/>
      </c>
      <c r="I1841" s="70" t="str">
        <f t="shared" si="2"/>
        <v/>
      </c>
      <c r="J1841" s="70" t="str">
        <f t="shared" si="3"/>
        <v/>
      </c>
      <c r="K1841" s="70" t="str">
        <f t="shared" si="4"/>
        <v>12/1899</v>
      </c>
    </row>
    <row r="1842" hidden="1">
      <c r="A1842" s="9"/>
      <c r="B1842" s="15"/>
      <c r="C1842" s="15"/>
      <c r="E1842" s="76"/>
      <c r="F1842" s="15"/>
      <c r="G1842" s="10"/>
      <c r="H1842" s="70" t="str">
        <f t="shared" si="1"/>
        <v/>
      </c>
      <c r="I1842" s="70" t="str">
        <f t="shared" si="2"/>
        <v/>
      </c>
      <c r="J1842" s="70" t="str">
        <f t="shared" si="3"/>
        <v/>
      </c>
      <c r="K1842" s="70" t="str">
        <f t="shared" si="4"/>
        <v>12/1899</v>
      </c>
    </row>
    <row r="1843" hidden="1">
      <c r="A1843" s="9"/>
      <c r="B1843" s="15"/>
      <c r="C1843" s="15"/>
      <c r="E1843" s="76"/>
      <c r="F1843" s="15"/>
      <c r="G1843" s="10"/>
      <c r="H1843" s="70" t="str">
        <f t="shared" si="1"/>
        <v/>
      </c>
      <c r="I1843" s="70" t="str">
        <f t="shared" si="2"/>
        <v/>
      </c>
      <c r="J1843" s="70" t="str">
        <f t="shared" si="3"/>
        <v/>
      </c>
      <c r="K1843" s="70" t="str">
        <f t="shared" si="4"/>
        <v>12/1899</v>
      </c>
    </row>
    <row r="1844" hidden="1">
      <c r="A1844" s="9"/>
      <c r="B1844" s="15"/>
      <c r="C1844" s="15"/>
      <c r="E1844" s="76"/>
      <c r="F1844" s="15"/>
      <c r="G1844" s="10"/>
      <c r="H1844" s="70" t="str">
        <f t="shared" si="1"/>
        <v/>
      </c>
      <c r="I1844" s="70" t="str">
        <f t="shared" si="2"/>
        <v/>
      </c>
      <c r="J1844" s="70" t="str">
        <f t="shared" si="3"/>
        <v/>
      </c>
      <c r="K1844" s="70" t="str">
        <f t="shared" si="4"/>
        <v>12/1899</v>
      </c>
    </row>
    <row r="1845" hidden="1">
      <c r="A1845" s="9"/>
      <c r="B1845" s="15"/>
      <c r="C1845" s="15"/>
      <c r="E1845" s="76"/>
      <c r="F1845" s="15"/>
      <c r="G1845" s="10"/>
      <c r="H1845" s="70" t="str">
        <f t="shared" si="1"/>
        <v/>
      </c>
      <c r="I1845" s="70" t="str">
        <f t="shared" si="2"/>
        <v/>
      </c>
      <c r="J1845" s="70" t="str">
        <f t="shared" si="3"/>
        <v/>
      </c>
      <c r="K1845" s="70" t="str">
        <f t="shared" si="4"/>
        <v>12/1899</v>
      </c>
    </row>
    <row r="1846" hidden="1">
      <c r="A1846" s="9"/>
      <c r="B1846" s="15"/>
      <c r="C1846" s="15"/>
      <c r="E1846" s="76"/>
      <c r="F1846" s="15"/>
      <c r="G1846" s="10"/>
      <c r="H1846" s="70" t="str">
        <f t="shared" si="1"/>
        <v/>
      </c>
      <c r="I1846" s="70" t="str">
        <f t="shared" si="2"/>
        <v/>
      </c>
      <c r="J1846" s="70" t="str">
        <f t="shared" si="3"/>
        <v/>
      </c>
      <c r="K1846" s="70" t="str">
        <f t="shared" si="4"/>
        <v>12/1899</v>
      </c>
    </row>
    <row r="1847" hidden="1">
      <c r="A1847" s="9"/>
      <c r="B1847" s="15"/>
      <c r="C1847" s="15"/>
      <c r="E1847" s="76"/>
      <c r="F1847" s="15"/>
      <c r="G1847" s="10"/>
      <c r="H1847" s="70" t="str">
        <f t="shared" si="1"/>
        <v/>
      </c>
      <c r="I1847" s="70" t="str">
        <f t="shared" si="2"/>
        <v/>
      </c>
      <c r="J1847" s="70" t="str">
        <f t="shared" si="3"/>
        <v/>
      </c>
      <c r="K1847" s="70" t="str">
        <f t="shared" si="4"/>
        <v>12/1899</v>
      </c>
    </row>
    <row r="1848" hidden="1">
      <c r="A1848" s="9"/>
      <c r="B1848" s="15"/>
      <c r="C1848" s="15"/>
      <c r="E1848" s="76"/>
      <c r="F1848" s="15"/>
      <c r="G1848" s="10"/>
      <c r="H1848" s="70" t="str">
        <f t="shared" si="1"/>
        <v/>
      </c>
      <c r="I1848" s="70" t="str">
        <f t="shared" si="2"/>
        <v/>
      </c>
      <c r="J1848" s="70" t="str">
        <f t="shared" si="3"/>
        <v/>
      </c>
      <c r="K1848" s="70" t="str">
        <f t="shared" si="4"/>
        <v>12/1899</v>
      </c>
    </row>
    <row r="1849" hidden="1">
      <c r="A1849" s="9"/>
      <c r="B1849" s="15"/>
      <c r="C1849" s="15"/>
      <c r="E1849" s="76"/>
      <c r="F1849" s="15"/>
      <c r="G1849" s="10"/>
      <c r="H1849" s="70" t="str">
        <f t="shared" si="1"/>
        <v/>
      </c>
      <c r="I1849" s="70" t="str">
        <f t="shared" si="2"/>
        <v/>
      </c>
      <c r="J1849" s="70" t="str">
        <f t="shared" si="3"/>
        <v/>
      </c>
      <c r="K1849" s="70" t="str">
        <f t="shared" si="4"/>
        <v>12/1899</v>
      </c>
    </row>
    <row r="1850" hidden="1">
      <c r="A1850" s="9"/>
      <c r="B1850" s="15"/>
      <c r="C1850" s="15"/>
      <c r="E1850" s="76"/>
      <c r="F1850" s="15"/>
      <c r="G1850" s="10"/>
      <c r="H1850" s="70" t="str">
        <f t="shared" si="1"/>
        <v/>
      </c>
      <c r="I1850" s="70" t="str">
        <f t="shared" si="2"/>
        <v/>
      </c>
      <c r="J1850" s="70" t="str">
        <f t="shared" si="3"/>
        <v/>
      </c>
      <c r="K1850" s="70" t="str">
        <f t="shared" si="4"/>
        <v>12/1899</v>
      </c>
    </row>
    <row r="1851" hidden="1">
      <c r="A1851" s="9"/>
      <c r="B1851" s="15"/>
      <c r="C1851" s="15"/>
      <c r="E1851" s="76"/>
      <c r="F1851" s="15"/>
      <c r="G1851" s="10"/>
      <c r="H1851" s="70" t="str">
        <f t="shared" si="1"/>
        <v/>
      </c>
      <c r="I1851" s="70" t="str">
        <f t="shared" si="2"/>
        <v/>
      </c>
      <c r="J1851" s="70" t="str">
        <f t="shared" si="3"/>
        <v/>
      </c>
      <c r="K1851" s="70" t="str">
        <f t="shared" si="4"/>
        <v>12/1899</v>
      </c>
    </row>
    <row r="1852" hidden="1">
      <c r="A1852" s="9"/>
      <c r="B1852" s="15"/>
      <c r="C1852" s="15"/>
      <c r="E1852" s="76"/>
      <c r="F1852" s="15"/>
      <c r="G1852" s="10"/>
      <c r="H1852" s="70" t="str">
        <f t="shared" si="1"/>
        <v/>
      </c>
      <c r="I1852" s="70" t="str">
        <f t="shared" si="2"/>
        <v/>
      </c>
      <c r="J1852" s="70" t="str">
        <f t="shared" si="3"/>
        <v/>
      </c>
      <c r="K1852" s="70" t="str">
        <f t="shared" si="4"/>
        <v>12/1899</v>
      </c>
    </row>
    <row r="1853" hidden="1">
      <c r="A1853" s="9"/>
      <c r="B1853" s="15"/>
      <c r="C1853" s="15"/>
      <c r="E1853" s="76"/>
      <c r="F1853" s="15"/>
      <c r="G1853" s="10"/>
      <c r="H1853" s="70" t="str">
        <f t="shared" si="1"/>
        <v/>
      </c>
      <c r="I1853" s="70" t="str">
        <f t="shared" si="2"/>
        <v/>
      </c>
      <c r="J1853" s="70" t="str">
        <f t="shared" si="3"/>
        <v/>
      </c>
      <c r="K1853" s="70" t="str">
        <f t="shared" si="4"/>
        <v>12/1899</v>
      </c>
    </row>
    <row r="1854" hidden="1">
      <c r="A1854" s="9"/>
      <c r="B1854" s="15"/>
      <c r="C1854" s="15"/>
      <c r="E1854" s="76"/>
      <c r="F1854" s="15"/>
      <c r="G1854" s="10"/>
      <c r="H1854" s="70" t="str">
        <f t="shared" si="1"/>
        <v/>
      </c>
      <c r="I1854" s="70" t="str">
        <f t="shared" si="2"/>
        <v/>
      </c>
      <c r="J1854" s="70" t="str">
        <f t="shared" si="3"/>
        <v/>
      </c>
      <c r="K1854" s="70" t="str">
        <f t="shared" si="4"/>
        <v>12/1899</v>
      </c>
    </row>
    <row r="1855" hidden="1">
      <c r="A1855" s="9"/>
      <c r="B1855" s="15"/>
      <c r="C1855" s="15"/>
      <c r="E1855" s="76"/>
      <c r="F1855" s="15"/>
      <c r="G1855" s="10"/>
      <c r="H1855" s="70" t="str">
        <f t="shared" si="1"/>
        <v/>
      </c>
      <c r="I1855" s="70" t="str">
        <f t="shared" si="2"/>
        <v/>
      </c>
      <c r="J1855" s="70" t="str">
        <f t="shared" si="3"/>
        <v/>
      </c>
      <c r="K1855" s="70" t="str">
        <f t="shared" si="4"/>
        <v>12/1899</v>
      </c>
    </row>
    <row r="1856" hidden="1">
      <c r="A1856" s="9"/>
      <c r="B1856" s="15"/>
      <c r="C1856" s="15"/>
      <c r="E1856" s="76"/>
      <c r="F1856" s="15"/>
      <c r="G1856" s="10"/>
      <c r="H1856" s="70" t="str">
        <f t="shared" si="1"/>
        <v/>
      </c>
      <c r="I1856" s="70" t="str">
        <f t="shared" si="2"/>
        <v/>
      </c>
      <c r="J1856" s="70" t="str">
        <f t="shared" si="3"/>
        <v/>
      </c>
      <c r="K1856" s="70" t="str">
        <f t="shared" si="4"/>
        <v>12/1899</v>
      </c>
    </row>
    <row r="1857" hidden="1">
      <c r="A1857" s="9"/>
      <c r="B1857" s="15"/>
      <c r="C1857" s="15"/>
      <c r="E1857" s="76"/>
      <c r="F1857" s="15"/>
      <c r="G1857" s="10"/>
      <c r="H1857" s="70" t="str">
        <f t="shared" si="1"/>
        <v/>
      </c>
      <c r="I1857" s="70" t="str">
        <f t="shared" si="2"/>
        <v/>
      </c>
      <c r="J1857" s="70" t="str">
        <f t="shared" si="3"/>
        <v/>
      </c>
      <c r="K1857" s="70" t="str">
        <f t="shared" si="4"/>
        <v>12/1899</v>
      </c>
    </row>
    <row r="1858" hidden="1">
      <c r="A1858" s="9"/>
      <c r="B1858" s="15"/>
      <c r="C1858" s="15"/>
      <c r="E1858" s="76"/>
      <c r="F1858" s="15"/>
      <c r="G1858" s="10"/>
      <c r="H1858" s="70" t="str">
        <f t="shared" si="1"/>
        <v/>
      </c>
      <c r="I1858" s="70" t="str">
        <f t="shared" si="2"/>
        <v/>
      </c>
      <c r="J1858" s="70" t="str">
        <f t="shared" si="3"/>
        <v/>
      </c>
      <c r="K1858" s="70" t="str">
        <f t="shared" si="4"/>
        <v>12/1899</v>
      </c>
    </row>
    <row r="1859" hidden="1">
      <c r="A1859" s="9"/>
      <c r="B1859" s="15"/>
      <c r="C1859" s="15"/>
      <c r="E1859" s="76"/>
      <c r="F1859" s="15"/>
      <c r="G1859" s="10"/>
      <c r="H1859" s="70" t="str">
        <f t="shared" si="1"/>
        <v/>
      </c>
      <c r="I1859" s="70" t="str">
        <f t="shared" si="2"/>
        <v/>
      </c>
      <c r="J1859" s="70" t="str">
        <f t="shared" si="3"/>
        <v/>
      </c>
      <c r="K1859" s="70" t="str">
        <f t="shared" si="4"/>
        <v>12/1899</v>
      </c>
    </row>
    <row r="1860" hidden="1">
      <c r="A1860" s="9"/>
      <c r="B1860" s="15"/>
      <c r="C1860" s="15"/>
      <c r="E1860" s="76"/>
      <c r="F1860" s="15"/>
      <c r="G1860" s="10"/>
      <c r="H1860" s="70" t="str">
        <f t="shared" si="1"/>
        <v/>
      </c>
      <c r="I1860" s="70" t="str">
        <f t="shared" si="2"/>
        <v/>
      </c>
      <c r="J1860" s="70" t="str">
        <f t="shared" si="3"/>
        <v/>
      </c>
      <c r="K1860" s="70" t="str">
        <f t="shared" si="4"/>
        <v>12/1899</v>
      </c>
    </row>
    <row r="1861" hidden="1">
      <c r="A1861" s="9"/>
      <c r="B1861" s="15"/>
      <c r="C1861" s="15"/>
      <c r="E1861" s="76"/>
      <c r="F1861" s="15"/>
      <c r="G1861" s="10"/>
      <c r="H1861" s="70" t="str">
        <f t="shared" si="1"/>
        <v/>
      </c>
      <c r="I1861" s="70" t="str">
        <f t="shared" si="2"/>
        <v/>
      </c>
      <c r="J1861" s="70" t="str">
        <f t="shared" si="3"/>
        <v/>
      </c>
      <c r="K1861" s="70" t="str">
        <f t="shared" si="4"/>
        <v>12/1899</v>
      </c>
    </row>
    <row r="1862" hidden="1">
      <c r="A1862" s="9"/>
      <c r="B1862" s="15"/>
      <c r="C1862" s="15"/>
      <c r="E1862" s="76"/>
      <c r="F1862" s="15"/>
      <c r="G1862" s="10"/>
      <c r="H1862" s="70" t="str">
        <f t="shared" si="1"/>
        <v/>
      </c>
      <c r="I1862" s="70" t="str">
        <f t="shared" si="2"/>
        <v/>
      </c>
      <c r="J1862" s="70" t="str">
        <f t="shared" si="3"/>
        <v/>
      </c>
      <c r="K1862" s="70" t="str">
        <f t="shared" si="4"/>
        <v>12/1899</v>
      </c>
    </row>
    <row r="1863" hidden="1">
      <c r="A1863" s="9"/>
      <c r="B1863" s="15"/>
      <c r="C1863" s="15"/>
      <c r="E1863" s="76"/>
      <c r="F1863" s="15"/>
      <c r="G1863" s="10"/>
      <c r="H1863" s="70" t="str">
        <f t="shared" si="1"/>
        <v/>
      </c>
      <c r="I1863" s="70" t="str">
        <f t="shared" si="2"/>
        <v/>
      </c>
      <c r="J1863" s="70" t="str">
        <f t="shared" si="3"/>
        <v/>
      </c>
      <c r="K1863" s="70" t="str">
        <f t="shared" si="4"/>
        <v>12/1899</v>
      </c>
    </row>
    <row r="1864" hidden="1">
      <c r="A1864" s="9"/>
      <c r="B1864" s="15"/>
      <c r="C1864" s="15"/>
      <c r="E1864" s="76"/>
      <c r="F1864" s="15"/>
      <c r="G1864" s="10"/>
      <c r="H1864" s="70" t="str">
        <f t="shared" si="1"/>
        <v/>
      </c>
      <c r="I1864" s="70" t="str">
        <f t="shared" si="2"/>
        <v/>
      </c>
      <c r="J1864" s="70" t="str">
        <f t="shared" si="3"/>
        <v/>
      </c>
      <c r="K1864" s="70" t="str">
        <f t="shared" si="4"/>
        <v>12/1899</v>
      </c>
    </row>
    <row r="1865" hidden="1">
      <c r="A1865" s="9"/>
      <c r="B1865" s="15"/>
      <c r="C1865" s="15"/>
      <c r="E1865" s="76"/>
      <c r="F1865" s="15"/>
      <c r="G1865" s="10"/>
      <c r="H1865" s="70" t="str">
        <f t="shared" si="1"/>
        <v/>
      </c>
      <c r="I1865" s="70" t="str">
        <f t="shared" si="2"/>
        <v/>
      </c>
      <c r="J1865" s="70" t="str">
        <f t="shared" si="3"/>
        <v/>
      </c>
      <c r="K1865" s="70" t="str">
        <f t="shared" si="4"/>
        <v>12/1899</v>
      </c>
    </row>
    <row r="1866" hidden="1">
      <c r="A1866" s="9"/>
      <c r="B1866" s="15"/>
      <c r="C1866" s="15"/>
      <c r="E1866" s="76"/>
      <c r="F1866" s="15"/>
      <c r="G1866" s="10"/>
      <c r="H1866" s="70" t="str">
        <f t="shared" si="1"/>
        <v/>
      </c>
      <c r="I1866" s="70" t="str">
        <f t="shared" si="2"/>
        <v/>
      </c>
      <c r="J1866" s="70" t="str">
        <f t="shared" si="3"/>
        <v/>
      </c>
      <c r="K1866" s="70" t="str">
        <f t="shared" si="4"/>
        <v>12/1899</v>
      </c>
    </row>
    <row r="1867" hidden="1">
      <c r="A1867" s="9"/>
      <c r="B1867" s="15"/>
      <c r="C1867" s="15"/>
      <c r="E1867" s="76"/>
      <c r="F1867" s="15"/>
      <c r="G1867" s="10"/>
      <c r="H1867" s="70" t="str">
        <f t="shared" si="1"/>
        <v/>
      </c>
      <c r="I1867" s="70" t="str">
        <f t="shared" si="2"/>
        <v/>
      </c>
      <c r="J1867" s="70" t="str">
        <f t="shared" si="3"/>
        <v/>
      </c>
      <c r="K1867" s="70" t="str">
        <f t="shared" si="4"/>
        <v>12/1899</v>
      </c>
    </row>
    <row r="1868" hidden="1">
      <c r="A1868" s="9"/>
      <c r="B1868" s="15"/>
      <c r="C1868" s="15"/>
      <c r="E1868" s="76"/>
      <c r="F1868" s="15"/>
      <c r="G1868" s="10"/>
      <c r="H1868" s="70" t="str">
        <f t="shared" si="1"/>
        <v/>
      </c>
      <c r="I1868" s="70" t="str">
        <f t="shared" si="2"/>
        <v/>
      </c>
      <c r="J1868" s="70" t="str">
        <f t="shared" si="3"/>
        <v/>
      </c>
      <c r="K1868" s="70" t="str">
        <f t="shared" si="4"/>
        <v>12/1899</v>
      </c>
    </row>
    <row r="1869" hidden="1">
      <c r="A1869" s="9"/>
      <c r="B1869" s="15"/>
      <c r="C1869" s="15"/>
      <c r="E1869" s="76"/>
      <c r="F1869" s="15"/>
      <c r="G1869" s="10"/>
      <c r="H1869" s="70" t="str">
        <f t="shared" si="1"/>
        <v/>
      </c>
      <c r="I1869" s="70" t="str">
        <f t="shared" si="2"/>
        <v/>
      </c>
      <c r="J1869" s="70" t="str">
        <f t="shared" si="3"/>
        <v/>
      </c>
      <c r="K1869" s="70" t="str">
        <f t="shared" si="4"/>
        <v>12/1899</v>
      </c>
    </row>
    <row r="1870" hidden="1">
      <c r="A1870" s="9"/>
      <c r="B1870" s="15"/>
      <c r="C1870" s="15"/>
      <c r="E1870" s="76"/>
      <c r="F1870" s="15"/>
      <c r="G1870" s="10"/>
      <c r="H1870" s="70" t="str">
        <f t="shared" si="1"/>
        <v/>
      </c>
      <c r="I1870" s="70" t="str">
        <f t="shared" si="2"/>
        <v/>
      </c>
      <c r="J1870" s="70" t="str">
        <f t="shared" si="3"/>
        <v/>
      </c>
      <c r="K1870" s="70" t="str">
        <f t="shared" si="4"/>
        <v>12/1899</v>
      </c>
    </row>
    <row r="1871" hidden="1">
      <c r="A1871" s="9"/>
      <c r="B1871" s="15"/>
      <c r="C1871" s="15"/>
      <c r="E1871" s="76"/>
      <c r="F1871" s="15"/>
      <c r="G1871" s="10"/>
      <c r="H1871" s="70" t="str">
        <f t="shared" si="1"/>
        <v/>
      </c>
      <c r="I1871" s="70" t="str">
        <f t="shared" si="2"/>
        <v/>
      </c>
      <c r="J1871" s="70" t="str">
        <f t="shared" si="3"/>
        <v/>
      </c>
      <c r="K1871" s="70" t="str">
        <f t="shared" si="4"/>
        <v>12/1899</v>
      </c>
    </row>
    <row r="1872" hidden="1">
      <c r="A1872" s="9"/>
      <c r="B1872" s="15"/>
      <c r="C1872" s="15"/>
      <c r="E1872" s="76"/>
      <c r="F1872" s="15"/>
      <c r="G1872" s="10"/>
      <c r="H1872" s="70" t="str">
        <f t="shared" si="1"/>
        <v/>
      </c>
      <c r="I1872" s="70" t="str">
        <f t="shared" si="2"/>
        <v/>
      </c>
      <c r="J1872" s="70" t="str">
        <f t="shared" si="3"/>
        <v/>
      </c>
      <c r="K1872" s="70" t="str">
        <f t="shared" si="4"/>
        <v>12/1899</v>
      </c>
    </row>
    <row r="1873" hidden="1">
      <c r="A1873" s="9"/>
      <c r="B1873" s="15"/>
      <c r="C1873" s="15"/>
      <c r="E1873" s="76"/>
      <c r="F1873" s="15"/>
      <c r="G1873" s="10"/>
      <c r="H1873" s="70" t="str">
        <f t="shared" si="1"/>
        <v/>
      </c>
      <c r="I1873" s="70" t="str">
        <f t="shared" si="2"/>
        <v/>
      </c>
      <c r="J1873" s="70" t="str">
        <f t="shared" si="3"/>
        <v/>
      </c>
      <c r="K1873" s="70" t="str">
        <f t="shared" si="4"/>
        <v>12/1899</v>
      </c>
    </row>
    <row r="1874" hidden="1">
      <c r="A1874" s="9"/>
      <c r="B1874" s="15"/>
      <c r="C1874" s="15"/>
      <c r="E1874" s="76"/>
      <c r="F1874" s="15"/>
      <c r="G1874" s="10"/>
      <c r="H1874" s="70" t="str">
        <f t="shared" si="1"/>
        <v/>
      </c>
      <c r="I1874" s="70" t="str">
        <f t="shared" si="2"/>
        <v/>
      </c>
      <c r="J1874" s="70" t="str">
        <f t="shared" si="3"/>
        <v/>
      </c>
      <c r="K1874" s="70" t="str">
        <f t="shared" si="4"/>
        <v>12/1899</v>
      </c>
    </row>
    <row r="1875" hidden="1">
      <c r="A1875" s="9"/>
      <c r="B1875" s="15"/>
      <c r="C1875" s="15"/>
      <c r="E1875" s="76"/>
      <c r="F1875" s="15"/>
      <c r="G1875" s="10"/>
      <c r="H1875" s="70" t="str">
        <f t="shared" si="1"/>
        <v/>
      </c>
      <c r="I1875" s="70" t="str">
        <f t="shared" si="2"/>
        <v/>
      </c>
      <c r="J1875" s="70" t="str">
        <f t="shared" si="3"/>
        <v/>
      </c>
      <c r="K1875" s="70" t="str">
        <f t="shared" si="4"/>
        <v>12/1899</v>
      </c>
    </row>
    <row r="1876" hidden="1">
      <c r="A1876" s="9"/>
      <c r="B1876" s="15"/>
      <c r="C1876" s="15"/>
      <c r="E1876" s="76"/>
      <c r="F1876" s="15"/>
      <c r="G1876" s="10"/>
      <c r="H1876" s="70" t="str">
        <f t="shared" si="1"/>
        <v/>
      </c>
      <c r="I1876" s="70" t="str">
        <f t="shared" si="2"/>
        <v/>
      </c>
      <c r="J1876" s="70" t="str">
        <f t="shared" si="3"/>
        <v/>
      </c>
      <c r="K1876" s="70" t="str">
        <f t="shared" si="4"/>
        <v>12/1899</v>
      </c>
    </row>
    <row r="1877" hidden="1">
      <c r="A1877" s="9"/>
      <c r="B1877" s="15"/>
      <c r="C1877" s="15"/>
      <c r="E1877" s="76"/>
      <c r="F1877" s="15"/>
      <c r="G1877" s="10"/>
      <c r="H1877" s="70" t="str">
        <f t="shared" si="1"/>
        <v/>
      </c>
      <c r="I1877" s="70" t="str">
        <f t="shared" si="2"/>
        <v/>
      </c>
      <c r="J1877" s="70" t="str">
        <f t="shared" si="3"/>
        <v/>
      </c>
      <c r="K1877" s="70" t="str">
        <f t="shared" si="4"/>
        <v>12/1899</v>
      </c>
    </row>
    <row r="1878" hidden="1">
      <c r="A1878" s="9"/>
      <c r="B1878" s="15"/>
      <c r="C1878" s="15"/>
      <c r="E1878" s="76"/>
      <c r="F1878" s="15"/>
      <c r="G1878" s="10"/>
      <c r="H1878" s="70" t="str">
        <f t="shared" si="1"/>
        <v/>
      </c>
      <c r="I1878" s="70" t="str">
        <f t="shared" si="2"/>
        <v/>
      </c>
      <c r="J1878" s="70" t="str">
        <f t="shared" si="3"/>
        <v/>
      </c>
      <c r="K1878" s="70" t="str">
        <f t="shared" si="4"/>
        <v>12/1899</v>
      </c>
    </row>
    <row r="1879" hidden="1">
      <c r="A1879" s="9"/>
      <c r="B1879" s="15"/>
      <c r="C1879" s="15"/>
      <c r="E1879" s="76"/>
      <c r="F1879" s="15"/>
      <c r="G1879" s="10"/>
      <c r="H1879" s="70" t="str">
        <f t="shared" si="1"/>
        <v/>
      </c>
      <c r="I1879" s="70" t="str">
        <f t="shared" si="2"/>
        <v/>
      </c>
      <c r="J1879" s="70" t="str">
        <f t="shared" si="3"/>
        <v/>
      </c>
      <c r="K1879" s="70" t="str">
        <f t="shared" si="4"/>
        <v>12/1899</v>
      </c>
    </row>
    <row r="1880" hidden="1">
      <c r="A1880" s="9"/>
      <c r="B1880" s="15"/>
      <c r="C1880" s="15"/>
      <c r="E1880" s="76"/>
      <c r="F1880" s="15"/>
      <c r="G1880" s="10"/>
      <c r="H1880" s="70" t="str">
        <f t="shared" si="1"/>
        <v/>
      </c>
      <c r="I1880" s="70" t="str">
        <f t="shared" si="2"/>
        <v/>
      </c>
      <c r="J1880" s="70" t="str">
        <f t="shared" si="3"/>
        <v/>
      </c>
      <c r="K1880" s="70" t="str">
        <f t="shared" si="4"/>
        <v>12/1899</v>
      </c>
    </row>
    <row r="1881" hidden="1">
      <c r="A1881" s="9"/>
      <c r="B1881" s="15"/>
      <c r="C1881" s="15"/>
      <c r="E1881" s="76"/>
      <c r="F1881" s="15"/>
      <c r="G1881" s="10"/>
      <c r="H1881" s="70" t="str">
        <f t="shared" si="1"/>
        <v/>
      </c>
      <c r="I1881" s="70" t="str">
        <f t="shared" si="2"/>
        <v/>
      </c>
      <c r="J1881" s="70" t="str">
        <f t="shared" si="3"/>
        <v/>
      </c>
      <c r="K1881" s="70" t="str">
        <f t="shared" si="4"/>
        <v>12/1899</v>
      </c>
    </row>
    <row r="1882" hidden="1">
      <c r="A1882" s="9"/>
      <c r="B1882" s="15"/>
      <c r="C1882" s="15"/>
      <c r="E1882" s="76"/>
      <c r="F1882" s="15"/>
      <c r="G1882" s="10"/>
      <c r="H1882" s="70" t="str">
        <f t="shared" si="1"/>
        <v/>
      </c>
      <c r="I1882" s="70" t="str">
        <f t="shared" si="2"/>
        <v/>
      </c>
      <c r="J1882" s="70" t="str">
        <f t="shared" si="3"/>
        <v/>
      </c>
      <c r="K1882" s="70" t="str">
        <f t="shared" si="4"/>
        <v>12/1899</v>
      </c>
    </row>
    <row r="1883" hidden="1">
      <c r="A1883" s="9"/>
      <c r="B1883" s="15"/>
      <c r="C1883" s="15"/>
      <c r="E1883" s="76"/>
      <c r="F1883" s="15"/>
      <c r="G1883" s="10"/>
      <c r="H1883" s="70" t="str">
        <f t="shared" si="1"/>
        <v/>
      </c>
      <c r="I1883" s="70" t="str">
        <f t="shared" si="2"/>
        <v/>
      </c>
      <c r="J1883" s="70" t="str">
        <f t="shared" si="3"/>
        <v/>
      </c>
      <c r="K1883" s="70" t="str">
        <f t="shared" si="4"/>
        <v>12/1899</v>
      </c>
    </row>
    <row r="1884" hidden="1">
      <c r="A1884" s="9"/>
      <c r="B1884" s="15"/>
      <c r="C1884" s="15"/>
      <c r="E1884" s="76"/>
      <c r="F1884" s="15"/>
      <c r="G1884" s="10"/>
      <c r="H1884" s="70" t="str">
        <f t="shared" si="1"/>
        <v/>
      </c>
      <c r="I1884" s="70" t="str">
        <f t="shared" si="2"/>
        <v/>
      </c>
      <c r="J1884" s="70" t="str">
        <f t="shared" si="3"/>
        <v/>
      </c>
      <c r="K1884" s="70" t="str">
        <f t="shared" si="4"/>
        <v>12/1899</v>
      </c>
    </row>
    <row r="1885" hidden="1">
      <c r="A1885" s="9"/>
      <c r="B1885" s="15"/>
      <c r="C1885" s="15"/>
      <c r="E1885" s="76"/>
      <c r="F1885" s="15"/>
      <c r="G1885" s="10"/>
      <c r="H1885" s="70" t="str">
        <f t="shared" si="1"/>
        <v/>
      </c>
      <c r="I1885" s="70" t="str">
        <f t="shared" si="2"/>
        <v/>
      </c>
      <c r="J1885" s="70" t="str">
        <f t="shared" si="3"/>
        <v/>
      </c>
      <c r="K1885" s="70" t="str">
        <f t="shared" si="4"/>
        <v>12/1899</v>
      </c>
    </row>
    <row r="1886" hidden="1">
      <c r="A1886" s="9"/>
      <c r="B1886" s="15"/>
      <c r="C1886" s="15"/>
      <c r="E1886" s="76"/>
      <c r="F1886" s="15"/>
      <c r="G1886" s="10"/>
      <c r="H1886" s="70" t="str">
        <f t="shared" si="1"/>
        <v/>
      </c>
      <c r="I1886" s="70" t="str">
        <f t="shared" si="2"/>
        <v/>
      </c>
      <c r="J1886" s="70" t="str">
        <f t="shared" si="3"/>
        <v/>
      </c>
      <c r="K1886" s="70" t="str">
        <f t="shared" si="4"/>
        <v>12/1899</v>
      </c>
    </row>
    <row r="1887" hidden="1">
      <c r="A1887" s="9"/>
      <c r="B1887" s="15"/>
      <c r="C1887" s="15"/>
      <c r="E1887" s="76"/>
      <c r="F1887" s="15"/>
      <c r="G1887" s="10"/>
      <c r="H1887" s="70" t="str">
        <f t="shared" si="1"/>
        <v/>
      </c>
      <c r="I1887" s="70" t="str">
        <f t="shared" si="2"/>
        <v/>
      </c>
      <c r="J1887" s="70" t="str">
        <f t="shared" si="3"/>
        <v/>
      </c>
      <c r="K1887" s="70" t="str">
        <f t="shared" si="4"/>
        <v>12/1899</v>
      </c>
    </row>
    <row r="1888" hidden="1">
      <c r="A1888" s="9"/>
      <c r="B1888" s="15"/>
      <c r="C1888" s="15"/>
      <c r="E1888" s="76"/>
      <c r="F1888" s="15"/>
      <c r="G1888" s="10"/>
      <c r="H1888" s="70" t="str">
        <f t="shared" si="1"/>
        <v/>
      </c>
      <c r="I1888" s="70" t="str">
        <f t="shared" si="2"/>
        <v/>
      </c>
      <c r="J1888" s="70" t="str">
        <f t="shared" si="3"/>
        <v/>
      </c>
      <c r="K1888" s="70" t="str">
        <f t="shared" si="4"/>
        <v>12/1899</v>
      </c>
    </row>
    <row r="1889" hidden="1">
      <c r="A1889" s="9"/>
      <c r="B1889" s="15"/>
      <c r="C1889" s="15"/>
      <c r="E1889" s="76"/>
      <c r="F1889" s="15"/>
      <c r="G1889" s="10"/>
      <c r="H1889" s="70" t="str">
        <f t="shared" si="1"/>
        <v/>
      </c>
      <c r="I1889" s="70" t="str">
        <f t="shared" si="2"/>
        <v/>
      </c>
      <c r="J1889" s="70" t="str">
        <f t="shared" si="3"/>
        <v/>
      </c>
      <c r="K1889" s="70" t="str">
        <f t="shared" si="4"/>
        <v>12/1899</v>
      </c>
    </row>
    <row r="1890" hidden="1">
      <c r="A1890" s="9"/>
      <c r="B1890" s="15"/>
      <c r="C1890" s="15"/>
      <c r="E1890" s="76"/>
      <c r="F1890" s="15"/>
      <c r="G1890" s="10"/>
      <c r="H1890" s="70" t="str">
        <f t="shared" si="1"/>
        <v/>
      </c>
      <c r="I1890" s="70" t="str">
        <f t="shared" si="2"/>
        <v/>
      </c>
      <c r="J1890" s="70" t="str">
        <f t="shared" si="3"/>
        <v/>
      </c>
      <c r="K1890" s="70" t="str">
        <f t="shared" si="4"/>
        <v>12/1899</v>
      </c>
    </row>
    <row r="1891" hidden="1">
      <c r="A1891" s="9"/>
      <c r="B1891" s="15"/>
      <c r="C1891" s="15"/>
      <c r="E1891" s="76"/>
      <c r="F1891" s="15"/>
      <c r="G1891" s="10"/>
      <c r="H1891" s="70" t="str">
        <f t="shared" si="1"/>
        <v/>
      </c>
      <c r="I1891" s="70" t="str">
        <f t="shared" si="2"/>
        <v/>
      </c>
      <c r="J1891" s="70" t="str">
        <f t="shared" si="3"/>
        <v/>
      </c>
      <c r="K1891" s="70" t="str">
        <f t="shared" si="4"/>
        <v>12/1899</v>
      </c>
    </row>
    <row r="1892" hidden="1">
      <c r="A1892" s="9"/>
      <c r="B1892" s="15"/>
      <c r="C1892" s="15"/>
      <c r="E1892" s="76"/>
      <c r="F1892" s="15"/>
      <c r="G1892" s="10"/>
      <c r="H1892" s="70" t="str">
        <f t="shared" si="1"/>
        <v/>
      </c>
      <c r="I1892" s="70" t="str">
        <f t="shared" si="2"/>
        <v/>
      </c>
      <c r="J1892" s="70" t="str">
        <f t="shared" si="3"/>
        <v/>
      </c>
      <c r="K1892" s="70" t="str">
        <f t="shared" si="4"/>
        <v>12/1899</v>
      </c>
    </row>
    <row r="1893" hidden="1">
      <c r="A1893" s="9"/>
      <c r="B1893" s="15"/>
      <c r="C1893" s="15"/>
      <c r="E1893" s="76"/>
      <c r="F1893" s="15"/>
      <c r="G1893" s="10"/>
      <c r="H1893" s="70" t="str">
        <f t="shared" si="1"/>
        <v/>
      </c>
      <c r="I1893" s="70" t="str">
        <f t="shared" si="2"/>
        <v/>
      </c>
      <c r="J1893" s="70" t="str">
        <f t="shared" si="3"/>
        <v/>
      </c>
      <c r="K1893" s="70" t="str">
        <f t="shared" si="4"/>
        <v>12/1899</v>
      </c>
    </row>
    <row r="1894" hidden="1">
      <c r="A1894" s="9"/>
      <c r="B1894" s="15"/>
      <c r="C1894" s="15"/>
      <c r="E1894" s="76"/>
      <c r="F1894" s="15"/>
      <c r="G1894" s="10"/>
      <c r="H1894" s="70" t="str">
        <f t="shared" si="1"/>
        <v/>
      </c>
      <c r="I1894" s="70" t="str">
        <f t="shared" si="2"/>
        <v/>
      </c>
      <c r="J1894" s="70" t="str">
        <f t="shared" si="3"/>
        <v/>
      </c>
      <c r="K1894" s="70" t="str">
        <f t="shared" si="4"/>
        <v>12/1899</v>
      </c>
    </row>
    <row r="1895" hidden="1">
      <c r="A1895" s="9"/>
      <c r="B1895" s="15"/>
      <c r="C1895" s="15"/>
      <c r="E1895" s="76"/>
      <c r="F1895" s="15"/>
      <c r="G1895" s="10"/>
      <c r="H1895" s="70" t="str">
        <f t="shared" si="1"/>
        <v/>
      </c>
      <c r="I1895" s="70" t="str">
        <f t="shared" si="2"/>
        <v/>
      </c>
      <c r="J1895" s="70" t="str">
        <f t="shared" si="3"/>
        <v/>
      </c>
      <c r="K1895" s="70" t="str">
        <f t="shared" si="4"/>
        <v>12/1899</v>
      </c>
    </row>
    <row r="1896" hidden="1">
      <c r="A1896" s="9"/>
      <c r="B1896" s="15"/>
      <c r="C1896" s="15"/>
      <c r="E1896" s="76"/>
      <c r="F1896" s="15"/>
      <c r="G1896" s="10"/>
      <c r="H1896" s="70" t="str">
        <f t="shared" si="1"/>
        <v/>
      </c>
      <c r="I1896" s="70" t="str">
        <f t="shared" si="2"/>
        <v/>
      </c>
      <c r="J1896" s="70" t="str">
        <f t="shared" si="3"/>
        <v/>
      </c>
      <c r="K1896" s="70" t="str">
        <f t="shared" si="4"/>
        <v>12/1899</v>
      </c>
    </row>
    <row r="1897" hidden="1">
      <c r="A1897" s="9"/>
      <c r="B1897" s="15"/>
      <c r="C1897" s="15"/>
      <c r="E1897" s="76"/>
      <c r="F1897" s="15"/>
      <c r="G1897" s="10"/>
      <c r="H1897" s="70" t="str">
        <f t="shared" si="1"/>
        <v/>
      </c>
      <c r="I1897" s="70" t="str">
        <f t="shared" si="2"/>
        <v/>
      </c>
      <c r="J1897" s="70" t="str">
        <f t="shared" si="3"/>
        <v/>
      </c>
      <c r="K1897" s="70" t="str">
        <f t="shared" si="4"/>
        <v>12/1899</v>
      </c>
    </row>
    <row r="1898" hidden="1">
      <c r="A1898" s="9"/>
      <c r="B1898" s="15"/>
      <c r="C1898" s="15"/>
      <c r="E1898" s="76"/>
      <c r="F1898" s="15"/>
      <c r="G1898" s="10"/>
      <c r="H1898" s="70" t="str">
        <f t="shared" si="1"/>
        <v/>
      </c>
      <c r="I1898" s="70" t="str">
        <f t="shared" si="2"/>
        <v/>
      </c>
      <c r="J1898" s="70" t="str">
        <f t="shared" si="3"/>
        <v/>
      </c>
      <c r="K1898" s="70" t="str">
        <f t="shared" si="4"/>
        <v>12/1899</v>
      </c>
    </row>
    <row r="1899" hidden="1">
      <c r="A1899" s="9"/>
      <c r="B1899" s="15"/>
      <c r="C1899" s="15"/>
      <c r="E1899" s="76"/>
      <c r="F1899" s="15"/>
      <c r="G1899" s="10"/>
      <c r="H1899" s="70" t="str">
        <f t="shared" si="1"/>
        <v/>
      </c>
      <c r="I1899" s="70" t="str">
        <f t="shared" si="2"/>
        <v/>
      </c>
      <c r="J1899" s="70" t="str">
        <f t="shared" si="3"/>
        <v/>
      </c>
      <c r="K1899" s="70" t="str">
        <f t="shared" si="4"/>
        <v>12/1899</v>
      </c>
    </row>
    <row r="1900" hidden="1">
      <c r="A1900" s="9"/>
      <c r="B1900" s="15"/>
      <c r="C1900" s="15"/>
      <c r="E1900" s="76"/>
      <c r="F1900" s="15"/>
      <c r="G1900" s="10"/>
      <c r="H1900" s="70" t="str">
        <f t="shared" si="1"/>
        <v/>
      </c>
      <c r="I1900" s="70" t="str">
        <f t="shared" si="2"/>
        <v/>
      </c>
      <c r="J1900" s="70" t="str">
        <f t="shared" si="3"/>
        <v/>
      </c>
      <c r="K1900" s="70" t="str">
        <f t="shared" si="4"/>
        <v>12/1899</v>
      </c>
    </row>
    <row r="1901" hidden="1">
      <c r="A1901" s="9"/>
      <c r="B1901" s="15"/>
      <c r="C1901" s="15"/>
      <c r="E1901" s="76"/>
      <c r="F1901" s="15"/>
      <c r="G1901" s="10"/>
      <c r="H1901" s="70" t="str">
        <f t="shared" si="1"/>
        <v/>
      </c>
      <c r="I1901" s="70" t="str">
        <f t="shared" si="2"/>
        <v/>
      </c>
      <c r="J1901" s="70" t="str">
        <f t="shared" si="3"/>
        <v/>
      </c>
      <c r="K1901" s="70" t="str">
        <f t="shared" si="4"/>
        <v>12/1899</v>
      </c>
    </row>
    <row r="1902" hidden="1">
      <c r="A1902" s="9"/>
      <c r="B1902" s="15"/>
      <c r="C1902" s="15"/>
      <c r="E1902" s="76"/>
      <c r="F1902" s="15"/>
      <c r="G1902" s="10"/>
      <c r="H1902" s="70" t="str">
        <f t="shared" si="1"/>
        <v/>
      </c>
      <c r="I1902" s="70" t="str">
        <f t="shared" si="2"/>
        <v/>
      </c>
      <c r="J1902" s="70" t="str">
        <f t="shared" si="3"/>
        <v/>
      </c>
      <c r="K1902" s="70" t="str">
        <f t="shared" si="4"/>
        <v>12/1899</v>
      </c>
    </row>
    <row r="1903" hidden="1">
      <c r="A1903" s="9"/>
      <c r="B1903" s="15"/>
      <c r="C1903" s="15"/>
      <c r="E1903" s="76"/>
      <c r="F1903" s="15"/>
      <c r="G1903" s="10"/>
      <c r="H1903" s="70" t="str">
        <f t="shared" si="1"/>
        <v/>
      </c>
      <c r="I1903" s="70" t="str">
        <f t="shared" si="2"/>
        <v/>
      </c>
      <c r="J1903" s="70" t="str">
        <f t="shared" si="3"/>
        <v/>
      </c>
      <c r="K1903" s="70" t="str">
        <f t="shared" si="4"/>
        <v>12/1899</v>
      </c>
    </row>
    <row r="1904" hidden="1">
      <c r="A1904" s="9"/>
      <c r="B1904" s="15"/>
      <c r="C1904" s="15"/>
      <c r="E1904" s="76"/>
      <c r="F1904" s="15"/>
      <c r="G1904" s="10"/>
      <c r="H1904" s="70" t="str">
        <f t="shared" si="1"/>
        <v/>
      </c>
      <c r="I1904" s="70" t="str">
        <f t="shared" si="2"/>
        <v/>
      </c>
      <c r="J1904" s="70" t="str">
        <f t="shared" si="3"/>
        <v/>
      </c>
      <c r="K1904" s="70" t="str">
        <f t="shared" si="4"/>
        <v>12/1899</v>
      </c>
    </row>
    <row r="1905" hidden="1">
      <c r="A1905" s="9"/>
      <c r="B1905" s="15"/>
      <c r="C1905" s="15"/>
      <c r="E1905" s="76"/>
      <c r="F1905" s="15"/>
      <c r="G1905" s="10"/>
      <c r="H1905" s="70" t="str">
        <f t="shared" si="1"/>
        <v/>
      </c>
      <c r="I1905" s="70" t="str">
        <f t="shared" si="2"/>
        <v/>
      </c>
      <c r="J1905" s="70" t="str">
        <f t="shared" si="3"/>
        <v/>
      </c>
      <c r="K1905" s="70" t="str">
        <f t="shared" si="4"/>
        <v>12/1899</v>
      </c>
    </row>
    <row r="1906" hidden="1">
      <c r="A1906" s="9"/>
      <c r="B1906" s="15"/>
      <c r="C1906" s="15"/>
      <c r="E1906" s="76"/>
      <c r="F1906" s="15"/>
      <c r="G1906" s="10"/>
      <c r="H1906" s="70" t="str">
        <f t="shared" si="1"/>
        <v/>
      </c>
      <c r="I1906" s="70" t="str">
        <f t="shared" si="2"/>
        <v/>
      </c>
      <c r="J1906" s="70" t="str">
        <f t="shared" si="3"/>
        <v/>
      </c>
      <c r="K1906" s="70" t="str">
        <f t="shared" si="4"/>
        <v>12/1899</v>
      </c>
    </row>
    <row r="1907" hidden="1">
      <c r="A1907" s="9"/>
      <c r="B1907" s="15"/>
      <c r="C1907" s="15"/>
      <c r="E1907" s="76"/>
      <c r="F1907" s="15"/>
      <c r="G1907" s="10"/>
      <c r="H1907" s="70" t="str">
        <f t="shared" si="1"/>
        <v/>
      </c>
      <c r="I1907" s="70" t="str">
        <f t="shared" si="2"/>
        <v/>
      </c>
      <c r="J1907" s="70" t="str">
        <f t="shared" si="3"/>
        <v/>
      </c>
      <c r="K1907" s="70" t="str">
        <f t="shared" si="4"/>
        <v>12/1899</v>
      </c>
    </row>
    <row r="1908" hidden="1">
      <c r="A1908" s="9"/>
      <c r="B1908" s="15"/>
      <c r="C1908" s="15"/>
      <c r="E1908" s="76"/>
      <c r="F1908" s="15"/>
      <c r="G1908" s="10"/>
      <c r="H1908" s="70" t="str">
        <f t="shared" si="1"/>
        <v/>
      </c>
      <c r="I1908" s="70" t="str">
        <f t="shared" si="2"/>
        <v/>
      </c>
      <c r="J1908" s="70" t="str">
        <f t="shared" si="3"/>
        <v/>
      </c>
      <c r="K1908" s="70" t="str">
        <f t="shared" si="4"/>
        <v>12/1899</v>
      </c>
    </row>
    <row r="1909" hidden="1">
      <c r="A1909" s="9"/>
      <c r="B1909" s="15"/>
      <c r="C1909" s="15"/>
      <c r="E1909" s="76"/>
      <c r="F1909" s="15"/>
      <c r="G1909" s="10"/>
      <c r="H1909" s="70" t="str">
        <f t="shared" si="1"/>
        <v/>
      </c>
      <c r="I1909" s="70" t="str">
        <f t="shared" si="2"/>
        <v/>
      </c>
      <c r="J1909" s="70" t="str">
        <f t="shared" si="3"/>
        <v/>
      </c>
      <c r="K1909" s="70" t="str">
        <f t="shared" si="4"/>
        <v>12/1899</v>
      </c>
    </row>
    <row r="1910" hidden="1">
      <c r="A1910" s="9"/>
      <c r="B1910" s="15"/>
      <c r="C1910" s="15"/>
      <c r="E1910" s="76"/>
      <c r="F1910" s="15"/>
      <c r="G1910" s="10"/>
      <c r="H1910" s="70" t="str">
        <f t="shared" si="1"/>
        <v/>
      </c>
      <c r="I1910" s="70" t="str">
        <f t="shared" si="2"/>
        <v/>
      </c>
      <c r="J1910" s="70" t="str">
        <f t="shared" si="3"/>
        <v/>
      </c>
      <c r="K1910" s="70" t="str">
        <f t="shared" si="4"/>
        <v>12/1899</v>
      </c>
    </row>
    <row r="1911" hidden="1">
      <c r="A1911" s="9"/>
      <c r="B1911" s="15"/>
      <c r="C1911" s="15"/>
      <c r="E1911" s="76"/>
      <c r="F1911" s="15"/>
      <c r="G1911" s="10"/>
      <c r="H1911" s="70" t="str">
        <f t="shared" si="1"/>
        <v/>
      </c>
      <c r="I1911" s="70" t="str">
        <f t="shared" si="2"/>
        <v/>
      </c>
      <c r="J1911" s="70" t="str">
        <f t="shared" si="3"/>
        <v/>
      </c>
      <c r="K1911" s="70" t="str">
        <f t="shared" si="4"/>
        <v>12/1899</v>
      </c>
    </row>
    <row r="1912" hidden="1">
      <c r="A1912" s="9"/>
      <c r="B1912" s="15"/>
      <c r="C1912" s="15"/>
      <c r="E1912" s="76"/>
      <c r="F1912" s="15"/>
      <c r="G1912" s="10"/>
      <c r="H1912" s="70" t="str">
        <f t="shared" si="1"/>
        <v/>
      </c>
      <c r="I1912" s="70" t="str">
        <f t="shared" si="2"/>
        <v/>
      </c>
      <c r="J1912" s="70" t="str">
        <f t="shared" si="3"/>
        <v/>
      </c>
      <c r="K1912" s="70" t="str">
        <f t="shared" si="4"/>
        <v>12/1899</v>
      </c>
    </row>
    <row r="1913" hidden="1">
      <c r="A1913" s="9"/>
      <c r="B1913" s="15"/>
      <c r="C1913" s="15"/>
      <c r="E1913" s="76"/>
      <c r="F1913" s="15"/>
      <c r="G1913" s="10"/>
      <c r="H1913" s="70" t="str">
        <f t="shared" si="1"/>
        <v/>
      </c>
      <c r="I1913" s="70" t="str">
        <f t="shared" si="2"/>
        <v/>
      </c>
      <c r="J1913" s="70" t="str">
        <f t="shared" si="3"/>
        <v/>
      </c>
      <c r="K1913" s="70" t="str">
        <f t="shared" si="4"/>
        <v>12/1899</v>
      </c>
    </row>
    <row r="1914" hidden="1">
      <c r="A1914" s="9"/>
      <c r="B1914" s="15"/>
      <c r="C1914" s="15"/>
      <c r="E1914" s="76"/>
      <c r="F1914" s="15"/>
      <c r="G1914" s="10"/>
      <c r="H1914" s="70" t="str">
        <f t="shared" si="1"/>
        <v/>
      </c>
      <c r="I1914" s="70" t="str">
        <f t="shared" si="2"/>
        <v/>
      </c>
      <c r="J1914" s="70" t="str">
        <f t="shared" si="3"/>
        <v/>
      </c>
      <c r="K1914" s="70" t="str">
        <f t="shared" si="4"/>
        <v>12/1899</v>
      </c>
    </row>
    <row r="1915" hidden="1">
      <c r="A1915" s="9"/>
      <c r="B1915" s="15"/>
      <c r="C1915" s="15"/>
      <c r="E1915" s="76"/>
      <c r="F1915" s="15"/>
      <c r="G1915" s="10"/>
      <c r="H1915" s="70" t="str">
        <f t="shared" si="1"/>
        <v/>
      </c>
      <c r="I1915" s="70" t="str">
        <f t="shared" si="2"/>
        <v/>
      </c>
      <c r="J1915" s="70" t="str">
        <f t="shared" si="3"/>
        <v/>
      </c>
      <c r="K1915" s="70" t="str">
        <f t="shared" si="4"/>
        <v>12/1899</v>
      </c>
    </row>
    <row r="1916" hidden="1">
      <c r="A1916" s="9"/>
      <c r="B1916" s="15"/>
      <c r="C1916" s="15"/>
      <c r="E1916" s="76"/>
      <c r="F1916" s="15"/>
      <c r="G1916" s="10"/>
      <c r="H1916" s="70" t="str">
        <f t="shared" si="1"/>
        <v/>
      </c>
      <c r="I1916" s="70" t="str">
        <f t="shared" si="2"/>
        <v/>
      </c>
      <c r="J1916" s="70" t="str">
        <f t="shared" si="3"/>
        <v/>
      </c>
      <c r="K1916" s="70" t="str">
        <f t="shared" si="4"/>
        <v>12/1899</v>
      </c>
    </row>
    <row r="1917" hidden="1">
      <c r="A1917" s="9"/>
      <c r="B1917" s="15"/>
      <c r="C1917" s="15"/>
      <c r="E1917" s="76"/>
      <c r="F1917" s="15"/>
      <c r="G1917" s="10"/>
      <c r="H1917" s="70" t="str">
        <f t="shared" si="1"/>
        <v/>
      </c>
      <c r="I1917" s="70" t="str">
        <f t="shared" si="2"/>
        <v/>
      </c>
      <c r="J1917" s="70" t="str">
        <f t="shared" si="3"/>
        <v/>
      </c>
      <c r="K1917" s="70" t="str">
        <f t="shared" si="4"/>
        <v>12/1899</v>
      </c>
    </row>
    <row r="1918" hidden="1">
      <c r="A1918" s="9"/>
      <c r="B1918" s="15"/>
      <c r="C1918" s="15"/>
      <c r="E1918" s="76"/>
      <c r="F1918" s="15"/>
      <c r="G1918" s="10"/>
      <c r="H1918" s="70" t="str">
        <f t="shared" si="1"/>
        <v/>
      </c>
      <c r="I1918" s="70" t="str">
        <f t="shared" si="2"/>
        <v/>
      </c>
      <c r="J1918" s="70" t="str">
        <f t="shared" si="3"/>
        <v/>
      </c>
      <c r="K1918" s="70" t="str">
        <f t="shared" si="4"/>
        <v>12/1899</v>
      </c>
    </row>
    <row r="1919" hidden="1">
      <c r="A1919" s="9"/>
      <c r="B1919" s="15"/>
      <c r="C1919" s="15"/>
      <c r="E1919" s="76"/>
      <c r="F1919" s="15"/>
      <c r="G1919" s="10"/>
      <c r="H1919" s="70" t="str">
        <f t="shared" si="1"/>
        <v/>
      </c>
      <c r="I1919" s="70" t="str">
        <f t="shared" si="2"/>
        <v/>
      </c>
      <c r="J1919" s="70" t="str">
        <f t="shared" si="3"/>
        <v/>
      </c>
      <c r="K1919" s="70" t="str">
        <f t="shared" si="4"/>
        <v>12/1899</v>
      </c>
    </row>
    <row r="1920" hidden="1">
      <c r="A1920" s="9"/>
      <c r="B1920" s="15"/>
      <c r="C1920" s="15"/>
      <c r="E1920" s="76"/>
      <c r="F1920" s="15"/>
      <c r="G1920" s="10"/>
      <c r="H1920" s="70" t="str">
        <f t="shared" si="1"/>
        <v/>
      </c>
      <c r="I1920" s="70" t="str">
        <f t="shared" si="2"/>
        <v/>
      </c>
      <c r="J1920" s="70" t="str">
        <f t="shared" si="3"/>
        <v/>
      </c>
      <c r="K1920" s="70" t="str">
        <f t="shared" si="4"/>
        <v>12/1899</v>
      </c>
    </row>
    <row r="1921" hidden="1">
      <c r="A1921" s="9"/>
      <c r="B1921" s="15"/>
      <c r="C1921" s="15"/>
      <c r="E1921" s="76"/>
      <c r="F1921" s="15"/>
      <c r="G1921" s="10"/>
      <c r="H1921" s="70" t="str">
        <f t="shared" si="1"/>
        <v/>
      </c>
      <c r="I1921" s="70" t="str">
        <f t="shared" si="2"/>
        <v/>
      </c>
      <c r="J1921" s="70" t="str">
        <f t="shared" si="3"/>
        <v/>
      </c>
      <c r="K1921" s="70" t="str">
        <f t="shared" si="4"/>
        <v>12/1899</v>
      </c>
    </row>
    <row r="1922" hidden="1">
      <c r="A1922" s="9"/>
      <c r="B1922" s="15"/>
      <c r="C1922" s="15"/>
      <c r="E1922" s="76"/>
      <c r="F1922" s="15"/>
      <c r="G1922" s="10"/>
      <c r="H1922" s="70" t="str">
        <f t="shared" si="1"/>
        <v/>
      </c>
      <c r="I1922" s="70" t="str">
        <f t="shared" si="2"/>
        <v/>
      </c>
      <c r="J1922" s="70" t="str">
        <f t="shared" si="3"/>
        <v/>
      </c>
      <c r="K1922" s="70" t="str">
        <f t="shared" si="4"/>
        <v>12/1899</v>
      </c>
    </row>
    <row r="1923" hidden="1">
      <c r="A1923" s="9"/>
      <c r="B1923" s="15"/>
      <c r="C1923" s="15"/>
      <c r="E1923" s="76"/>
      <c r="F1923" s="15"/>
      <c r="G1923" s="10"/>
      <c r="H1923" s="70" t="str">
        <f t="shared" si="1"/>
        <v/>
      </c>
      <c r="I1923" s="70" t="str">
        <f t="shared" si="2"/>
        <v/>
      </c>
      <c r="J1923" s="70" t="str">
        <f t="shared" si="3"/>
        <v/>
      </c>
      <c r="K1923" s="70" t="str">
        <f t="shared" si="4"/>
        <v>12/1899</v>
      </c>
    </row>
    <row r="1924" hidden="1">
      <c r="A1924" s="9"/>
      <c r="B1924" s="15"/>
      <c r="C1924" s="15"/>
      <c r="E1924" s="76"/>
      <c r="F1924" s="15"/>
      <c r="G1924" s="10"/>
      <c r="H1924" s="70" t="str">
        <f t="shared" si="1"/>
        <v/>
      </c>
      <c r="I1924" s="70" t="str">
        <f t="shared" si="2"/>
        <v/>
      </c>
      <c r="J1924" s="70" t="str">
        <f t="shared" si="3"/>
        <v/>
      </c>
      <c r="K1924" s="70" t="str">
        <f t="shared" si="4"/>
        <v>12/1899</v>
      </c>
    </row>
    <row r="1925" hidden="1">
      <c r="A1925" s="9"/>
      <c r="B1925" s="15"/>
      <c r="C1925" s="15"/>
      <c r="E1925" s="76"/>
      <c r="F1925" s="15"/>
      <c r="G1925" s="10"/>
      <c r="H1925" s="70" t="str">
        <f t="shared" si="1"/>
        <v/>
      </c>
      <c r="I1925" s="70" t="str">
        <f t="shared" si="2"/>
        <v/>
      </c>
      <c r="J1925" s="70" t="str">
        <f t="shared" si="3"/>
        <v/>
      </c>
      <c r="K1925" s="70" t="str">
        <f t="shared" si="4"/>
        <v>12/1899</v>
      </c>
    </row>
    <row r="1926" hidden="1">
      <c r="A1926" s="9"/>
      <c r="B1926" s="15"/>
      <c r="C1926" s="15"/>
      <c r="E1926" s="76"/>
      <c r="F1926" s="15"/>
      <c r="G1926" s="10"/>
      <c r="H1926" s="70" t="str">
        <f t="shared" si="1"/>
        <v/>
      </c>
      <c r="I1926" s="70" t="str">
        <f t="shared" si="2"/>
        <v/>
      </c>
      <c r="J1926" s="70" t="str">
        <f t="shared" si="3"/>
        <v/>
      </c>
      <c r="K1926" s="70" t="str">
        <f t="shared" si="4"/>
        <v>12/1899</v>
      </c>
    </row>
    <row r="1927" hidden="1">
      <c r="A1927" s="9"/>
      <c r="B1927" s="15"/>
      <c r="C1927" s="15"/>
      <c r="E1927" s="76"/>
      <c r="F1927" s="15"/>
      <c r="G1927" s="10"/>
      <c r="H1927" s="70" t="str">
        <f t="shared" si="1"/>
        <v/>
      </c>
      <c r="I1927" s="70" t="str">
        <f t="shared" si="2"/>
        <v/>
      </c>
      <c r="J1927" s="70" t="str">
        <f t="shared" si="3"/>
        <v/>
      </c>
      <c r="K1927" s="70" t="str">
        <f t="shared" si="4"/>
        <v>12/1899</v>
      </c>
    </row>
    <row r="1928" hidden="1">
      <c r="A1928" s="9"/>
      <c r="B1928" s="15"/>
      <c r="C1928" s="15"/>
      <c r="E1928" s="76"/>
      <c r="F1928" s="15"/>
      <c r="G1928" s="10"/>
      <c r="H1928" s="70" t="str">
        <f t="shared" si="1"/>
        <v/>
      </c>
      <c r="I1928" s="70" t="str">
        <f t="shared" si="2"/>
        <v/>
      </c>
      <c r="J1928" s="70" t="str">
        <f t="shared" si="3"/>
        <v/>
      </c>
      <c r="K1928" s="70" t="str">
        <f t="shared" si="4"/>
        <v>12/1899</v>
      </c>
    </row>
    <row r="1929" hidden="1">
      <c r="A1929" s="9"/>
      <c r="B1929" s="15"/>
      <c r="C1929" s="15"/>
      <c r="E1929" s="76"/>
      <c r="F1929" s="15"/>
      <c r="G1929" s="10"/>
      <c r="H1929" s="70" t="str">
        <f t="shared" si="1"/>
        <v/>
      </c>
      <c r="I1929" s="70" t="str">
        <f t="shared" si="2"/>
        <v/>
      </c>
      <c r="J1929" s="70" t="str">
        <f t="shared" si="3"/>
        <v/>
      </c>
      <c r="K1929" s="70" t="str">
        <f t="shared" si="4"/>
        <v>12/1899</v>
      </c>
    </row>
    <row r="1930" hidden="1">
      <c r="A1930" s="9"/>
      <c r="B1930" s="15"/>
      <c r="C1930" s="15"/>
      <c r="E1930" s="76"/>
      <c r="F1930" s="15"/>
      <c r="G1930" s="10"/>
      <c r="H1930" s="70" t="str">
        <f t="shared" si="1"/>
        <v/>
      </c>
      <c r="I1930" s="70" t="str">
        <f t="shared" si="2"/>
        <v/>
      </c>
      <c r="J1930" s="70" t="str">
        <f t="shared" si="3"/>
        <v/>
      </c>
      <c r="K1930" s="70" t="str">
        <f t="shared" si="4"/>
        <v>12/1899</v>
      </c>
    </row>
    <row r="1931" hidden="1">
      <c r="A1931" s="9"/>
      <c r="B1931" s="15"/>
      <c r="C1931" s="15"/>
      <c r="E1931" s="76"/>
      <c r="F1931" s="15"/>
      <c r="G1931" s="10"/>
      <c r="H1931" s="70" t="str">
        <f t="shared" si="1"/>
        <v/>
      </c>
      <c r="I1931" s="70" t="str">
        <f t="shared" si="2"/>
        <v/>
      </c>
      <c r="J1931" s="70" t="str">
        <f t="shared" si="3"/>
        <v/>
      </c>
      <c r="K1931" s="70" t="str">
        <f t="shared" si="4"/>
        <v>12/1899</v>
      </c>
    </row>
    <row r="1932" hidden="1">
      <c r="A1932" s="9"/>
      <c r="B1932" s="15"/>
      <c r="C1932" s="15"/>
      <c r="E1932" s="76"/>
      <c r="F1932" s="15"/>
      <c r="G1932" s="10"/>
      <c r="H1932" s="70" t="str">
        <f t="shared" si="1"/>
        <v/>
      </c>
      <c r="I1932" s="70" t="str">
        <f t="shared" si="2"/>
        <v/>
      </c>
      <c r="J1932" s="70" t="str">
        <f t="shared" si="3"/>
        <v/>
      </c>
      <c r="K1932" s="70" t="str">
        <f t="shared" si="4"/>
        <v>12/1899</v>
      </c>
    </row>
    <row r="1933" hidden="1">
      <c r="A1933" s="9"/>
      <c r="B1933" s="15"/>
      <c r="C1933" s="15"/>
      <c r="E1933" s="76"/>
      <c r="F1933" s="15"/>
      <c r="G1933" s="10"/>
      <c r="H1933" s="70" t="str">
        <f t="shared" si="1"/>
        <v/>
      </c>
      <c r="I1933" s="70" t="str">
        <f t="shared" si="2"/>
        <v/>
      </c>
      <c r="J1933" s="70" t="str">
        <f t="shared" si="3"/>
        <v/>
      </c>
      <c r="K1933" s="70" t="str">
        <f t="shared" si="4"/>
        <v>12/1899</v>
      </c>
    </row>
    <row r="1934" hidden="1">
      <c r="A1934" s="9"/>
      <c r="B1934" s="15"/>
      <c r="C1934" s="15"/>
      <c r="E1934" s="76"/>
      <c r="F1934" s="15"/>
      <c r="G1934" s="10"/>
      <c r="H1934" s="70" t="str">
        <f t="shared" si="1"/>
        <v/>
      </c>
      <c r="I1934" s="70" t="str">
        <f t="shared" si="2"/>
        <v/>
      </c>
      <c r="J1934" s="70" t="str">
        <f t="shared" si="3"/>
        <v/>
      </c>
      <c r="K1934" s="70" t="str">
        <f t="shared" si="4"/>
        <v>12/1899</v>
      </c>
    </row>
    <row r="1935" hidden="1">
      <c r="A1935" s="9"/>
      <c r="B1935" s="15"/>
      <c r="C1935" s="15"/>
      <c r="E1935" s="76"/>
      <c r="F1935" s="15"/>
      <c r="G1935" s="10"/>
      <c r="H1935" s="70" t="str">
        <f t="shared" si="1"/>
        <v/>
      </c>
      <c r="I1935" s="70" t="str">
        <f t="shared" si="2"/>
        <v/>
      </c>
      <c r="J1935" s="70" t="str">
        <f t="shared" si="3"/>
        <v/>
      </c>
      <c r="K1935" s="70" t="str">
        <f t="shared" si="4"/>
        <v>12/1899</v>
      </c>
    </row>
    <row r="1936" hidden="1">
      <c r="A1936" s="9"/>
      <c r="B1936" s="15"/>
      <c r="C1936" s="15"/>
      <c r="E1936" s="76"/>
      <c r="F1936" s="15"/>
      <c r="G1936" s="10"/>
      <c r="H1936" s="70" t="str">
        <f t="shared" si="1"/>
        <v/>
      </c>
      <c r="I1936" s="70" t="str">
        <f t="shared" si="2"/>
        <v/>
      </c>
      <c r="J1936" s="70" t="str">
        <f t="shared" si="3"/>
        <v/>
      </c>
      <c r="K1936" s="70" t="str">
        <f t="shared" si="4"/>
        <v>12/1899</v>
      </c>
    </row>
    <row r="1937" hidden="1">
      <c r="A1937" s="9"/>
      <c r="B1937" s="15"/>
      <c r="C1937" s="15"/>
      <c r="E1937" s="76"/>
      <c r="F1937" s="15"/>
      <c r="G1937" s="10"/>
      <c r="H1937" s="70" t="str">
        <f t="shared" si="1"/>
        <v/>
      </c>
      <c r="I1937" s="70" t="str">
        <f t="shared" si="2"/>
        <v/>
      </c>
      <c r="J1937" s="70" t="str">
        <f t="shared" si="3"/>
        <v/>
      </c>
      <c r="K1937" s="70" t="str">
        <f t="shared" si="4"/>
        <v>12/1899</v>
      </c>
    </row>
    <row r="1938" hidden="1">
      <c r="A1938" s="9"/>
      <c r="B1938" s="15"/>
      <c r="C1938" s="15"/>
      <c r="E1938" s="76"/>
      <c r="F1938" s="15"/>
      <c r="G1938" s="10"/>
      <c r="H1938" s="70" t="str">
        <f t="shared" si="1"/>
        <v/>
      </c>
      <c r="I1938" s="70" t="str">
        <f t="shared" si="2"/>
        <v/>
      </c>
      <c r="J1938" s="70" t="str">
        <f t="shared" si="3"/>
        <v/>
      </c>
      <c r="K1938" s="70" t="str">
        <f t="shared" si="4"/>
        <v>12/1899</v>
      </c>
    </row>
    <row r="1939" hidden="1">
      <c r="A1939" s="9"/>
      <c r="B1939" s="15"/>
      <c r="C1939" s="15"/>
      <c r="E1939" s="76"/>
      <c r="F1939" s="15"/>
      <c r="G1939" s="10"/>
      <c r="H1939" s="70" t="str">
        <f t="shared" si="1"/>
        <v/>
      </c>
      <c r="I1939" s="70" t="str">
        <f t="shared" si="2"/>
        <v/>
      </c>
      <c r="J1939" s="70" t="str">
        <f t="shared" si="3"/>
        <v/>
      </c>
      <c r="K1939" s="70" t="str">
        <f t="shared" si="4"/>
        <v>12/1899</v>
      </c>
    </row>
    <row r="1940" hidden="1">
      <c r="A1940" s="9"/>
      <c r="B1940" s="15"/>
      <c r="C1940" s="15"/>
      <c r="E1940" s="76"/>
      <c r="F1940" s="15"/>
      <c r="G1940" s="10"/>
      <c r="H1940" s="70" t="str">
        <f t="shared" si="1"/>
        <v/>
      </c>
      <c r="I1940" s="70" t="str">
        <f t="shared" si="2"/>
        <v/>
      </c>
      <c r="J1940" s="70" t="str">
        <f t="shared" si="3"/>
        <v/>
      </c>
      <c r="K1940" s="70" t="str">
        <f t="shared" si="4"/>
        <v>12/1899</v>
      </c>
    </row>
    <row r="1941" hidden="1">
      <c r="A1941" s="9"/>
      <c r="B1941" s="15"/>
      <c r="C1941" s="15"/>
      <c r="E1941" s="76"/>
      <c r="F1941" s="15"/>
      <c r="G1941" s="10"/>
      <c r="H1941" s="70" t="str">
        <f t="shared" si="1"/>
        <v/>
      </c>
      <c r="I1941" s="70" t="str">
        <f t="shared" si="2"/>
        <v/>
      </c>
      <c r="J1941" s="70" t="str">
        <f t="shared" si="3"/>
        <v/>
      </c>
      <c r="K1941" s="70" t="str">
        <f t="shared" si="4"/>
        <v>12/1899</v>
      </c>
    </row>
    <row r="1942" hidden="1">
      <c r="A1942" s="9"/>
      <c r="B1942" s="15"/>
      <c r="C1942" s="15"/>
      <c r="E1942" s="76"/>
      <c r="F1942" s="15"/>
      <c r="G1942" s="10"/>
      <c r="H1942" s="70" t="str">
        <f t="shared" si="1"/>
        <v/>
      </c>
      <c r="I1942" s="70" t="str">
        <f t="shared" si="2"/>
        <v/>
      </c>
      <c r="J1942" s="70" t="str">
        <f t="shared" si="3"/>
        <v/>
      </c>
      <c r="K1942" s="70" t="str">
        <f t="shared" si="4"/>
        <v>12/1899</v>
      </c>
    </row>
    <row r="1943" hidden="1">
      <c r="A1943" s="9"/>
      <c r="B1943" s="15"/>
      <c r="C1943" s="15"/>
      <c r="E1943" s="76"/>
      <c r="F1943" s="15"/>
      <c r="G1943" s="10"/>
      <c r="H1943" s="70" t="str">
        <f t="shared" si="1"/>
        <v/>
      </c>
      <c r="I1943" s="70" t="str">
        <f t="shared" si="2"/>
        <v/>
      </c>
      <c r="J1943" s="70" t="str">
        <f t="shared" si="3"/>
        <v/>
      </c>
      <c r="K1943" s="70" t="str">
        <f t="shared" si="4"/>
        <v>12/1899</v>
      </c>
    </row>
    <row r="1944" hidden="1">
      <c r="A1944" s="9"/>
      <c r="B1944" s="15"/>
      <c r="C1944" s="15"/>
      <c r="E1944" s="76"/>
      <c r="F1944" s="15"/>
      <c r="G1944" s="10"/>
      <c r="H1944" s="70" t="str">
        <f t="shared" si="1"/>
        <v/>
      </c>
      <c r="I1944" s="70" t="str">
        <f t="shared" si="2"/>
        <v/>
      </c>
      <c r="J1944" s="70" t="str">
        <f t="shared" si="3"/>
        <v/>
      </c>
      <c r="K1944" s="70" t="str">
        <f t="shared" si="4"/>
        <v>12/1899</v>
      </c>
    </row>
    <row r="1945" hidden="1">
      <c r="A1945" s="9"/>
      <c r="B1945" s="15"/>
      <c r="C1945" s="15"/>
      <c r="E1945" s="76"/>
      <c r="F1945" s="15"/>
      <c r="G1945" s="10"/>
      <c r="H1945" s="70" t="str">
        <f t="shared" si="1"/>
        <v/>
      </c>
      <c r="I1945" s="70" t="str">
        <f t="shared" si="2"/>
        <v/>
      </c>
      <c r="J1945" s="70" t="str">
        <f t="shared" si="3"/>
        <v/>
      </c>
      <c r="K1945" s="70" t="str">
        <f t="shared" si="4"/>
        <v>12/1899</v>
      </c>
    </row>
    <row r="1946" hidden="1">
      <c r="A1946" s="9"/>
      <c r="B1946" s="15"/>
      <c r="C1946" s="15"/>
      <c r="E1946" s="76"/>
      <c r="F1946" s="15"/>
      <c r="G1946" s="10"/>
      <c r="H1946" s="70" t="str">
        <f t="shared" si="1"/>
        <v/>
      </c>
      <c r="I1946" s="70" t="str">
        <f t="shared" si="2"/>
        <v/>
      </c>
      <c r="J1946" s="70" t="str">
        <f t="shared" si="3"/>
        <v/>
      </c>
      <c r="K1946" s="70" t="str">
        <f t="shared" si="4"/>
        <v>12/1899</v>
      </c>
    </row>
    <row r="1947" hidden="1">
      <c r="A1947" s="9"/>
      <c r="B1947" s="15"/>
      <c r="C1947" s="15"/>
      <c r="E1947" s="76"/>
      <c r="F1947" s="15"/>
      <c r="G1947" s="10"/>
      <c r="H1947" s="70" t="str">
        <f t="shared" si="1"/>
        <v/>
      </c>
      <c r="I1947" s="70" t="str">
        <f t="shared" si="2"/>
        <v/>
      </c>
      <c r="J1947" s="70" t="str">
        <f t="shared" si="3"/>
        <v/>
      </c>
      <c r="K1947" s="70" t="str">
        <f t="shared" si="4"/>
        <v>12/1899</v>
      </c>
    </row>
    <row r="1948" hidden="1">
      <c r="A1948" s="9"/>
      <c r="B1948" s="15"/>
      <c r="C1948" s="15"/>
      <c r="E1948" s="76"/>
      <c r="F1948" s="15"/>
      <c r="G1948" s="10"/>
      <c r="H1948" s="70" t="str">
        <f t="shared" si="1"/>
        <v/>
      </c>
      <c r="I1948" s="70" t="str">
        <f t="shared" si="2"/>
        <v/>
      </c>
      <c r="J1948" s="70" t="str">
        <f t="shared" si="3"/>
        <v/>
      </c>
      <c r="K1948" s="70" t="str">
        <f t="shared" si="4"/>
        <v>12/1899</v>
      </c>
    </row>
    <row r="1949" hidden="1">
      <c r="A1949" s="9"/>
      <c r="B1949" s="15"/>
      <c r="C1949" s="15"/>
      <c r="E1949" s="76"/>
      <c r="F1949" s="15"/>
      <c r="G1949" s="10"/>
      <c r="H1949" s="70" t="str">
        <f t="shared" si="1"/>
        <v/>
      </c>
      <c r="I1949" s="70" t="str">
        <f t="shared" si="2"/>
        <v/>
      </c>
      <c r="J1949" s="70" t="str">
        <f t="shared" si="3"/>
        <v/>
      </c>
      <c r="K1949" s="70" t="str">
        <f t="shared" si="4"/>
        <v>12/1899</v>
      </c>
    </row>
    <row r="1950" hidden="1">
      <c r="A1950" s="9"/>
      <c r="B1950" s="15"/>
      <c r="C1950" s="15"/>
      <c r="E1950" s="76"/>
      <c r="F1950" s="15"/>
      <c r="G1950" s="10"/>
      <c r="H1950" s="70" t="str">
        <f t="shared" si="1"/>
        <v/>
      </c>
      <c r="I1950" s="70" t="str">
        <f t="shared" si="2"/>
        <v/>
      </c>
      <c r="J1950" s="70" t="str">
        <f t="shared" si="3"/>
        <v/>
      </c>
      <c r="K1950" s="70" t="str">
        <f t="shared" si="4"/>
        <v>12/1899</v>
      </c>
    </row>
    <row r="1951" hidden="1">
      <c r="A1951" s="9"/>
      <c r="B1951" s="15"/>
      <c r="C1951" s="15"/>
      <c r="E1951" s="76"/>
      <c r="F1951" s="15"/>
      <c r="G1951" s="10"/>
      <c r="H1951" s="70" t="str">
        <f t="shared" si="1"/>
        <v/>
      </c>
      <c r="I1951" s="70" t="str">
        <f t="shared" si="2"/>
        <v/>
      </c>
      <c r="J1951" s="70" t="str">
        <f t="shared" si="3"/>
        <v/>
      </c>
      <c r="K1951" s="70" t="str">
        <f t="shared" si="4"/>
        <v>12/1899</v>
      </c>
    </row>
    <row r="1952" hidden="1">
      <c r="A1952" s="9"/>
      <c r="B1952" s="15"/>
      <c r="C1952" s="15"/>
      <c r="E1952" s="76"/>
      <c r="F1952" s="15"/>
      <c r="G1952" s="10"/>
      <c r="H1952" s="70" t="str">
        <f t="shared" si="1"/>
        <v/>
      </c>
      <c r="I1952" s="70" t="str">
        <f t="shared" si="2"/>
        <v/>
      </c>
      <c r="J1952" s="70" t="str">
        <f t="shared" si="3"/>
        <v/>
      </c>
      <c r="K1952" s="70" t="str">
        <f t="shared" si="4"/>
        <v>12/1899</v>
      </c>
    </row>
    <row r="1953" hidden="1">
      <c r="A1953" s="9"/>
      <c r="B1953" s="15"/>
      <c r="C1953" s="15"/>
      <c r="E1953" s="76"/>
      <c r="F1953" s="15"/>
      <c r="G1953" s="10"/>
      <c r="H1953" s="70" t="str">
        <f t="shared" si="1"/>
        <v/>
      </c>
      <c r="I1953" s="70" t="str">
        <f t="shared" si="2"/>
        <v/>
      </c>
      <c r="J1953" s="70" t="str">
        <f t="shared" si="3"/>
        <v/>
      </c>
      <c r="K1953" s="70" t="str">
        <f t="shared" si="4"/>
        <v>12/1899</v>
      </c>
    </row>
    <row r="1954" hidden="1">
      <c r="A1954" s="9"/>
      <c r="B1954" s="15"/>
      <c r="C1954" s="15"/>
      <c r="E1954" s="76"/>
      <c r="F1954" s="15"/>
      <c r="G1954" s="10"/>
      <c r="H1954" s="70" t="str">
        <f t="shared" si="1"/>
        <v/>
      </c>
      <c r="I1954" s="70" t="str">
        <f t="shared" si="2"/>
        <v/>
      </c>
      <c r="J1954" s="70" t="str">
        <f t="shared" si="3"/>
        <v/>
      </c>
      <c r="K1954" s="70" t="str">
        <f t="shared" si="4"/>
        <v>12/1899</v>
      </c>
    </row>
    <row r="1955" hidden="1">
      <c r="A1955" s="9"/>
      <c r="B1955" s="15"/>
      <c r="C1955" s="15"/>
      <c r="E1955" s="76"/>
      <c r="F1955" s="15"/>
      <c r="G1955" s="10"/>
      <c r="H1955" s="70" t="str">
        <f t="shared" si="1"/>
        <v/>
      </c>
      <c r="I1955" s="70" t="str">
        <f t="shared" si="2"/>
        <v/>
      </c>
      <c r="J1955" s="70" t="str">
        <f t="shared" si="3"/>
        <v/>
      </c>
      <c r="K1955" s="70" t="str">
        <f t="shared" si="4"/>
        <v>12/1899</v>
      </c>
    </row>
    <row r="1956" hidden="1">
      <c r="A1956" s="9"/>
      <c r="B1956" s="15"/>
      <c r="C1956" s="15"/>
      <c r="E1956" s="76"/>
      <c r="F1956" s="15"/>
      <c r="G1956" s="10"/>
      <c r="H1956" s="70" t="str">
        <f t="shared" si="1"/>
        <v/>
      </c>
      <c r="I1956" s="70" t="str">
        <f t="shared" si="2"/>
        <v/>
      </c>
      <c r="J1956" s="70" t="str">
        <f t="shared" si="3"/>
        <v/>
      </c>
      <c r="K1956" s="70" t="str">
        <f t="shared" si="4"/>
        <v>12/1899</v>
      </c>
    </row>
    <row r="1957" hidden="1">
      <c r="A1957" s="9"/>
      <c r="B1957" s="15"/>
      <c r="C1957" s="15"/>
      <c r="E1957" s="76"/>
      <c r="F1957" s="15"/>
      <c r="G1957" s="10"/>
      <c r="H1957" s="70" t="str">
        <f t="shared" si="1"/>
        <v/>
      </c>
      <c r="I1957" s="70" t="str">
        <f t="shared" si="2"/>
        <v/>
      </c>
      <c r="J1957" s="70" t="str">
        <f t="shared" si="3"/>
        <v/>
      </c>
      <c r="K1957" s="70" t="str">
        <f t="shared" si="4"/>
        <v>12/1899</v>
      </c>
    </row>
    <row r="1958" hidden="1">
      <c r="A1958" s="9"/>
      <c r="B1958" s="15"/>
      <c r="C1958" s="15"/>
      <c r="E1958" s="76"/>
      <c r="F1958" s="15"/>
      <c r="G1958" s="10"/>
      <c r="H1958" s="70" t="str">
        <f t="shared" si="1"/>
        <v/>
      </c>
      <c r="I1958" s="70" t="str">
        <f t="shared" si="2"/>
        <v/>
      </c>
      <c r="J1958" s="70" t="str">
        <f t="shared" si="3"/>
        <v/>
      </c>
      <c r="K1958" s="70" t="str">
        <f t="shared" si="4"/>
        <v>12/1899</v>
      </c>
    </row>
    <row r="1959" hidden="1">
      <c r="A1959" s="9"/>
      <c r="B1959" s="15"/>
      <c r="C1959" s="15"/>
      <c r="E1959" s="76"/>
      <c r="F1959" s="15"/>
      <c r="G1959" s="10"/>
      <c r="H1959" s="70" t="str">
        <f t="shared" si="1"/>
        <v/>
      </c>
      <c r="I1959" s="70" t="str">
        <f t="shared" si="2"/>
        <v/>
      </c>
      <c r="J1959" s="70" t="str">
        <f t="shared" si="3"/>
        <v/>
      </c>
      <c r="K1959" s="70" t="str">
        <f t="shared" si="4"/>
        <v>12/1899</v>
      </c>
    </row>
    <row r="1960" hidden="1">
      <c r="A1960" s="9"/>
      <c r="B1960" s="15"/>
      <c r="C1960" s="15"/>
      <c r="E1960" s="76"/>
      <c r="F1960" s="15"/>
      <c r="G1960" s="10"/>
      <c r="H1960" s="70" t="str">
        <f t="shared" si="1"/>
        <v/>
      </c>
      <c r="I1960" s="70" t="str">
        <f t="shared" si="2"/>
        <v/>
      </c>
      <c r="J1960" s="70" t="str">
        <f t="shared" si="3"/>
        <v/>
      </c>
      <c r="K1960" s="70" t="str">
        <f t="shared" si="4"/>
        <v>12/1899</v>
      </c>
    </row>
    <row r="1961" hidden="1">
      <c r="A1961" s="9"/>
      <c r="B1961" s="15"/>
      <c r="C1961" s="15"/>
      <c r="E1961" s="76"/>
      <c r="F1961" s="15"/>
      <c r="G1961" s="10"/>
      <c r="H1961" s="70" t="str">
        <f t="shared" si="1"/>
        <v/>
      </c>
      <c r="I1961" s="70" t="str">
        <f t="shared" si="2"/>
        <v/>
      </c>
      <c r="J1961" s="70" t="str">
        <f t="shared" si="3"/>
        <v/>
      </c>
      <c r="K1961" s="70" t="str">
        <f t="shared" si="4"/>
        <v>12/1899</v>
      </c>
    </row>
    <row r="1962" hidden="1">
      <c r="A1962" s="9"/>
      <c r="B1962" s="15"/>
      <c r="C1962" s="15"/>
      <c r="E1962" s="76"/>
      <c r="F1962" s="15"/>
      <c r="G1962" s="10"/>
      <c r="H1962" s="70" t="str">
        <f t="shared" si="1"/>
        <v/>
      </c>
      <c r="I1962" s="70" t="str">
        <f t="shared" si="2"/>
        <v/>
      </c>
      <c r="J1962" s="70" t="str">
        <f t="shared" si="3"/>
        <v/>
      </c>
      <c r="K1962" s="70" t="str">
        <f t="shared" si="4"/>
        <v>12/1899</v>
      </c>
    </row>
    <row r="1963" hidden="1">
      <c r="A1963" s="9"/>
      <c r="B1963" s="15"/>
      <c r="C1963" s="15"/>
      <c r="E1963" s="76"/>
      <c r="F1963" s="15"/>
      <c r="G1963" s="10"/>
      <c r="H1963" s="70" t="str">
        <f t="shared" si="1"/>
        <v/>
      </c>
      <c r="I1963" s="70" t="str">
        <f t="shared" si="2"/>
        <v/>
      </c>
      <c r="J1963" s="70" t="str">
        <f t="shared" si="3"/>
        <v/>
      </c>
      <c r="K1963" s="70" t="str">
        <f t="shared" si="4"/>
        <v>12/1899</v>
      </c>
    </row>
    <row r="1964" hidden="1">
      <c r="A1964" s="9"/>
      <c r="B1964" s="15"/>
      <c r="C1964" s="15"/>
      <c r="E1964" s="76"/>
      <c r="F1964" s="15"/>
      <c r="G1964" s="10"/>
      <c r="H1964" s="70" t="str">
        <f t="shared" si="1"/>
        <v/>
      </c>
      <c r="I1964" s="70" t="str">
        <f t="shared" si="2"/>
        <v/>
      </c>
      <c r="J1964" s="70" t="str">
        <f t="shared" si="3"/>
        <v/>
      </c>
      <c r="K1964" s="70" t="str">
        <f t="shared" si="4"/>
        <v>12/1899</v>
      </c>
    </row>
    <row r="1965" hidden="1">
      <c r="A1965" s="9"/>
      <c r="B1965" s="15"/>
      <c r="C1965" s="15"/>
      <c r="E1965" s="76"/>
      <c r="F1965" s="15"/>
      <c r="G1965" s="10"/>
      <c r="H1965" s="70" t="str">
        <f t="shared" si="1"/>
        <v/>
      </c>
      <c r="I1965" s="70" t="str">
        <f t="shared" si="2"/>
        <v/>
      </c>
      <c r="J1965" s="70" t="str">
        <f t="shared" si="3"/>
        <v/>
      </c>
      <c r="K1965" s="70" t="str">
        <f t="shared" si="4"/>
        <v>12/1899</v>
      </c>
    </row>
    <row r="1966" hidden="1">
      <c r="A1966" s="9"/>
      <c r="B1966" s="15"/>
      <c r="C1966" s="15"/>
      <c r="E1966" s="76"/>
      <c r="F1966" s="15"/>
      <c r="G1966" s="10"/>
      <c r="H1966" s="70" t="str">
        <f t="shared" si="1"/>
        <v/>
      </c>
      <c r="I1966" s="70" t="str">
        <f t="shared" si="2"/>
        <v/>
      </c>
      <c r="J1966" s="70" t="str">
        <f t="shared" si="3"/>
        <v/>
      </c>
      <c r="K1966" s="70" t="str">
        <f t="shared" si="4"/>
        <v>12/1899</v>
      </c>
    </row>
    <row r="1967" hidden="1">
      <c r="A1967" s="9"/>
      <c r="B1967" s="15"/>
      <c r="C1967" s="15"/>
      <c r="E1967" s="76"/>
      <c r="F1967" s="15"/>
      <c r="G1967" s="10"/>
      <c r="H1967" s="70" t="str">
        <f t="shared" si="1"/>
        <v/>
      </c>
      <c r="I1967" s="70" t="str">
        <f t="shared" si="2"/>
        <v/>
      </c>
      <c r="J1967" s="70" t="str">
        <f t="shared" si="3"/>
        <v/>
      </c>
      <c r="K1967" s="70" t="str">
        <f t="shared" si="4"/>
        <v>12/1899</v>
      </c>
    </row>
    <row r="1968" hidden="1">
      <c r="A1968" s="9"/>
      <c r="B1968" s="15"/>
      <c r="C1968" s="15"/>
      <c r="E1968" s="76"/>
      <c r="F1968" s="15"/>
      <c r="G1968" s="10"/>
      <c r="H1968" s="70" t="str">
        <f t="shared" si="1"/>
        <v/>
      </c>
      <c r="I1968" s="70" t="str">
        <f t="shared" si="2"/>
        <v/>
      </c>
      <c r="J1968" s="70" t="str">
        <f t="shared" si="3"/>
        <v/>
      </c>
      <c r="K1968" s="70" t="str">
        <f t="shared" si="4"/>
        <v>12/1899</v>
      </c>
    </row>
    <row r="1969" hidden="1">
      <c r="A1969" s="9"/>
      <c r="B1969" s="15"/>
      <c r="C1969" s="15"/>
      <c r="E1969" s="76"/>
      <c r="F1969" s="15"/>
      <c r="G1969" s="10"/>
      <c r="H1969" s="70" t="str">
        <f t="shared" si="1"/>
        <v/>
      </c>
      <c r="I1969" s="70" t="str">
        <f t="shared" si="2"/>
        <v/>
      </c>
      <c r="J1969" s="70" t="str">
        <f t="shared" si="3"/>
        <v/>
      </c>
      <c r="K1969" s="70" t="str">
        <f t="shared" si="4"/>
        <v>12/1899</v>
      </c>
    </row>
    <row r="1970" hidden="1">
      <c r="A1970" s="9"/>
      <c r="B1970" s="15"/>
      <c r="C1970" s="15"/>
      <c r="E1970" s="76"/>
      <c r="F1970" s="15"/>
      <c r="G1970" s="10"/>
      <c r="H1970" s="70" t="str">
        <f t="shared" si="1"/>
        <v/>
      </c>
      <c r="I1970" s="70" t="str">
        <f t="shared" si="2"/>
        <v/>
      </c>
      <c r="J1970" s="70" t="str">
        <f t="shared" si="3"/>
        <v/>
      </c>
      <c r="K1970" s="70" t="str">
        <f t="shared" si="4"/>
        <v>12/1899</v>
      </c>
    </row>
    <row r="1971" hidden="1">
      <c r="A1971" s="9"/>
      <c r="B1971" s="15"/>
      <c r="C1971" s="15"/>
      <c r="E1971" s="76"/>
      <c r="F1971" s="15"/>
      <c r="G1971" s="10"/>
      <c r="H1971" s="70" t="str">
        <f t="shared" si="1"/>
        <v/>
      </c>
      <c r="I1971" s="70" t="str">
        <f t="shared" si="2"/>
        <v/>
      </c>
      <c r="J1971" s="70" t="str">
        <f t="shared" si="3"/>
        <v/>
      </c>
      <c r="K1971" s="70" t="str">
        <f t="shared" si="4"/>
        <v>12/1899</v>
      </c>
    </row>
    <row r="1972" hidden="1">
      <c r="A1972" s="9"/>
      <c r="B1972" s="15"/>
      <c r="C1972" s="15"/>
      <c r="E1972" s="76"/>
      <c r="F1972" s="15"/>
      <c r="G1972" s="10"/>
      <c r="H1972" s="70" t="str">
        <f t="shared" si="1"/>
        <v/>
      </c>
      <c r="I1972" s="70" t="str">
        <f t="shared" si="2"/>
        <v/>
      </c>
      <c r="J1972" s="70" t="str">
        <f t="shared" si="3"/>
        <v/>
      </c>
      <c r="K1972" s="70" t="str">
        <f t="shared" si="4"/>
        <v>12/1899</v>
      </c>
    </row>
    <row r="1973" hidden="1">
      <c r="A1973" s="9"/>
      <c r="B1973" s="15"/>
      <c r="C1973" s="15"/>
      <c r="E1973" s="76"/>
      <c r="F1973" s="15"/>
      <c r="G1973" s="10"/>
      <c r="H1973" s="70" t="str">
        <f t="shared" si="1"/>
        <v/>
      </c>
      <c r="I1973" s="70" t="str">
        <f t="shared" si="2"/>
        <v/>
      </c>
      <c r="J1973" s="70" t="str">
        <f t="shared" si="3"/>
        <v/>
      </c>
      <c r="K1973" s="70" t="str">
        <f t="shared" si="4"/>
        <v>12/1899</v>
      </c>
    </row>
    <row r="1974" hidden="1">
      <c r="A1974" s="9"/>
      <c r="B1974" s="15"/>
      <c r="C1974" s="15"/>
      <c r="E1974" s="76"/>
      <c r="F1974" s="15"/>
      <c r="G1974" s="10"/>
      <c r="H1974" s="70" t="str">
        <f t="shared" si="1"/>
        <v/>
      </c>
      <c r="I1974" s="70" t="str">
        <f t="shared" si="2"/>
        <v/>
      </c>
      <c r="J1974" s="70" t="str">
        <f t="shared" si="3"/>
        <v/>
      </c>
      <c r="K1974" s="70" t="str">
        <f t="shared" si="4"/>
        <v>12/1899</v>
      </c>
    </row>
    <row r="1975" hidden="1">
      <c r="A1975" s="9"/>
      <c r="B1975" s="15"/>
      <c r="C1975" s="15"/>
      <c r="E1975" s="76"/>
      <c r="F1975" s="15"/>
      <c r="G1975" s="10"/>
      <c r="H1975" s="70" t="str">
        <f t="shared" si="1"/>
        <v/>
      </c>
      <c r="I1975" s="70" t="str">
        <f t="shared" si="2"/>
        <v/>
      </c>
      <c r="J1975" s="70" t="str">
        <f t="shared" si="3"/>
        <v/>
      </c>
      <c r="K1975" s="70" t="str">
        <f t="shared" si="4"/>
        <v>12/1899</v>
      </c>
    </row>
    <row r="1976" hidden="1">
      <c r="A1976" s="9"/>
      <c r="B1976" s="15"/>
      <c r="C1976" s="15"/>
      <c r="E1976" s="76"/>
      <c r="F1976" s="15"/>
      <c r="G1976" s="10"/>
      <c r="H1976" s="70" t="str">
        <f t="shared" si="1"/>
        <v/>
      </c>
      <c r="I1976" s="70" t="str">
        <f t="shared" si="2"/>
        <v/>
      </c>
      <c r="J1976" s="70" t="str">
        <f t="shared" si="3"/>
        <v/>
      </c>
      <c r="K1976" s="70" t="str">
        <f t="shared" si="4"/>
        <v>12/1899</v>
      </c>
    </row>
    <row r="1977" hidden="1">
      <c r="A1977" s="9"/>
      <c r="B1977" s="15"/>
      <c r="C1977" s="15"/>
      <c r="E1977" s="76"/>
      <c r="F1977" s="15"/>
      <c r="G1977" s="10"/>
      <c r="H1977" s="70" t="str">
        <f t="shared" si="1"/>
        <v/>
      </c>
      <c r="I1977" s="70" t="str">
        <f t="shared" si="2"/>
        <v/>
      </c>
      <c r="J1977" s="70" t="str">
        <f t="shared" si="3"/>
        <v/>
      </c>
      <c r="K1977" s="70" t="str">
        <f t="shared" si="4"/>
        <v>12/1899</v>
      </c>
    </row>
    <row r="1978" hidden="1">
      <c r="A1978" s="9"/>
      <c r="B1978" s="15"/>
      <c r="C1978" s="15"/>
      <c r="E1978" s="76"/>
      <c r="F1978" s="15"/>
      <c r="G1978" s="10"/>
      <c r="H1978" s="70" t="str">
        <f t="shared" si="1"/>
        <v/>
      </c>
      <c r="I1978" s="70" t="str">
        <f t="shared" si="2"/>
        <v/>
      </c>
      <c r="J1978" s="70" t="str">
        <f t="shared" si="3"/>
        <v/>
      </c>
      <c r="K1978" s="70" t="str">
        <f t="shared" si="4"/>
        <v>12/1899</v>
      </c>
    </row>
    <row r="1979" hidden="1">
      <c r="A1979" s="9"/>
      <c r="B1979" s="15"/>
      <c r="C1979" s="15"/>
      <c r="E1979" s="76"/>
      <c r="F1979" s="15"/>
      <c r="G1979" s="10"/>
      <c r="H1979" s="70" t="str">
        <f t="shared" si="1"/>
        <v/>
      </c>
      <c r="I1979" s="70" t="str">
        <f t="shared" si="2"/>
        <v/>
      </c>
      <c r="J1979" s="70" t="str">
        <f t="shared" si="3"/>
        <v/>
      </c>
      <c r="K1979" s="70" t="str">
        <f t="shared" si="4"/>
        <v>12/1899</v>
      </c>
    </row>
    <row r="1980" hidden="1">
      <c r="A1980" s="9"/>
      <c r="B1980" s="15"/>
      <c r="C1980" s="15"/>
      <c r="E1980" s="76"/>
      <c r="F1980" s="15"/>
      <c r="G1980" s="10"/>
      <c r="H1980" s="70" t="str">
        <f t="shared" si="1"/>
        <v/>
      </c>
      <c r="I1980" s="70" t="str">
        <f t="shared" si="2"/>
        <v/>
      </c>
      <c r="J1980" s="70" t="str">
        <f t="shared" si="3"/>
        <v/>
      </c>
      <c r="K1980" s="70" t="str">
        <f t="shared" si="4"/>
        <v>12/1899</v>
      </c>
    </row>
    <row r="1981" hidden="1">
      <c r="A1981" s="9"/>
      <c r="B1981" s="15"/>
      <c r="C1981" s="15"/>
      <c r="E1981" s="76"/>
      <c r="F1981" s="15"/>
      <c r="G1981" s="10"/>
      <c r="H1981" s="70" t="str">
        <f t="shared" si="1"/>
        <v/>
      </c>
      <c r="I1981" s="70" t="str">
        <f t="shared" si="2"/>
        <v/>
      </c>
      <c r="J1981" s="70" t="str">
        <f t="shared" si="3"/>
        <v/>
      </c>
      <c r="K1981" s="70" t="str">
        <f t="shared" si="4"/>
        <v>12/1899</v>
      </c>
    </row>
    <row r="1982" hidden="1">
      <c r="A1982" s="9"/>
      <c r="B1982" s="15"/>
      <c r="C1982" s="15"/>
      <c r="E1982" s="76"/>
      <c r="F1982" s="15"/>
      <c r="G1982" s="10"/>
      <c r="H1982" s="70" t="str">
        <f t="shared" si="1"/>
        <v/>
      </c>
      <c r="I1982" s="70" t="str">
        <f t="shared" si="2"/>
        <v/>
      </c>
      <c r="J1982" s="70" t="str">
        <f t="shared" si="3"/>
        <v/>
      </c>
      <c r="K1982" s="70" t="str">
        <f t="shared" si="4"/>
        <v>12/1899</v>
      </c>
    </row>
    <row r="1983" hidden="1">
      <c r="A1983" s="9"/>
      <c r="B1983" s="15"/>
      <c r="C1983" s="15"/>
      <c r="E1983" s="76"/>
      <c r="F1983" s="15"/>
      <c r="G1983" s="10"/>
      <c r="H1983" s="70" t="str">
        <f t="shared" si="1"/>
        <v/>
      </c>
      <c r="I1983" s="70" t="str">
        <f t="shared" si="2"/>
        <v/>
      </c>
      <c r="J1983" s="70" t="str">
        <f t="shared" si="3"/>
        <v/>
      </c>
      <c r="K1983" s="70" t="str">
        <f t="shared" si="4"/>
        <v>12/1899</v>
      </c>
    </row>
    <row r="1984" hidden="1">
      <c r="A1984" s="9"/>
      <c r="B1984" s="15"/>
      <c r="C1984" s="15"/>
      <c r="E1984" s="76"/>
      <c r="F1984" s="15"/>
      <c r="G1984" s="10"/>
      <c r="H1984" s="70" t="str">
        <f t="shared" si="1"/>
        <v/>
      </c>
      <c r="I1984" s="70" t="str">
        <f t="shared" si="2"/>
        <v/>
      </c>
      <c r="J1984" s="70" t="str">
        <f t="shared" si="3"/>
        <v/>
      </c>
      <c r="K1984" s="70" t="str">
        <f t="shared" si="4"/>
        <v>12/1899</v>
      </c>
    </row>
    <row r="1985" hidden="1">
      <c r="A1985" s="9"/>
      <c r="B1985" s="15"/>
      <c r="C1985" s="15"/>
      <c r="E1985" s="76"/>
      <c r="F1985" s="15"/>
      <c r="G1985" s="10"/>
      <c r="H1985" s="70" t="str">
        <f t="shared" si="1"/>
        <v/>
      </c>
      <c r="I1985" s="70" t="str">
        <f t="shared" si="2"/>
        <v/>
      </c>
      <c r="J1985" s="70" t="str">
        <f t="shared" si="3"/>
        <v/>
      </c>
      <c r="K1985" s="70" t="str">
        <f t="shared" si="4"/>
        <v>12/1899</v>
      </c>
    </row>
    <row r="1986" hidden="1">
      <c r="A1986" s="9"/>
      <c r="B1986" s="15"/>
      <c r="C1986" s="15"/>
      <c r="E1986" s="76"/>
      <c r="F1986" s="15"/>
      <c r="G1986" s="10"/>
      <c r="H1986" s="70" t="str">
        <f t="shared" si="1"/>
        <v/>
      </c>
      <c r="I1986" s="70" t="str">
        <f t="shared" si="2"/>
        <v/>
      </c>
      <c r="J1986" s="70" t="str">
        <f t="shared" si="3"/>
        <v/>
      </c>
      <c r="K1986" s="70" t="str">
        <f t="shared" si="4"/>
        <v>12/1899</v>
      </c>
    </row>
    <row r="1987" hidden="1">
      <c r="A1987" s="9"/>
      <c r="B1987" s="15"/>
      <c r="C1987" s="15"/>
      <c r="E1987" s="76"/>
      <c r="F1987" s="15"/>
      <c r="G1987" s="10"/>
      <c r="H1987" s="70" t="str">
        <f t="shared" si="1"/>
        <v/>
      </c>
      <c r="I1987" s="70" t="str">
        <f t="shared" si="2"/>
        <v/>
      </c>
      <c r="J1987" s="70" t="str">
        <f t="shared" si="3"/>
        <v/>
      </c>
      <c r="K1987" s="70" t="str">
        <f t="shared" si="4"/>
        <v>12/1899</v>
      </c>
    </row>
    <row r="1988" hidden="1">
      <c r="A1988" s="9"/>
      <c r="B1988" s="15"/>
      <c r="C1988" s="15"/>
      <c r="E1988" s="76"/>
      <c r="F1988" s="15"/>
      <c r="G1988" s="10"/>
      <c r="H1988" s="70" t="str">
        <f t="shared" si="1"/>
        <v/>
      </c>
      <c r="I1988" s="70" t="str">
        <f t="shared" si="2"/>
        <v/>
      </c>
      <c r="J1988" s="70" t="str">
        <f t="shared" si="3"/>
        <v/>
      </c>
      <c r="K1988" s="70" t="str">
        <f t="shared" si="4"/>
        <v>12/1899</v>
      </c>
    </row>
    <row r="1989" hidden="1">
      <c r="A1989" s="9"/>
      <c r="B1989" s="15"/>
      <c r="C1989" s="15"/>
      <c r="E1989" s="76"/>
      <c r="F1989" s="15"/>
      <c r="G1989" s="10"/>
      <c r="H1989" s="70" t="str">
        <f t="shared" si="1"/>
        <v/>
      </c>
      <c r="I1989" s="70" t="str">
        <f t="shared" si="2"/>
        <v/>
      </c>
      <c r="J1989" s="70" t="str">
        <f t="shared" si="3"/>
        <v/>
      </c>
      <c r="K1989" s="70" t="str">
        <f t="shared" si="4"/>
        <v>12/1899</v>
      </c>
    </row>
    <row r="1990" hidden="1">
      <c r="A1990" s="9"/>
      <c r="B1990" s="15"/>
      <c r="C1990" s="15"/>
      <c r="E1990" s="76"/>
      <c r="F1990" s="15"/>
      <c r="G1990" s="10"/>
      <c r="H1990" s="70" t="str">
        <f t="shared" si="1"/>
        <v/>
      </c>
      <c r="I1990" s="70" t="str">
        <f t="shared" si="2"/>
        <v/>
      </c>
      <c r="J1990" s="70" t="str">
        <f t="shared" si="3"/>
        <v/>
      </c>
      <c r="K1990" s="70" t="str">
        <f t="shared" si="4"/>
        <v>12/1899</v>
      </c>
    </row>
    <row r="1991" hidden="1">
      <c r="A1991" s="9"/>
      <c r="B1991" s="15"/>
      <c r="C1991" s="15"/>
      <c r="E1991" s="76"/>
      <c r="F1991" s="15"/>
      <c r="G1991" s="10"/>
      <c r="H1991" s="70" t="str">
        <f t="shared" si="1"/>
        <v/>
      </c>
      <c r="I1991" s="70" t="str">
        <f t="shared" si="2"/>
        <v/>
      </c>
      <c r="J1991" s="70" t="str">
        <f t="shared" si="3"/>
        <v/>
      </c>
      <c r="K1991" s="70" t="str">
        <f t="shared" si="4"/>
        <v>12/1899</v>
      </c>
    </row>
    <row r="1992" hidden="1">
      <c r="A1992" s="9"/>
      <c r="B1992" s="15"/>
      <c r="C1992" s="15"/>
      <c r="E1992" s="76"/>
      <c r="F1992" s="15"/>
      <c r="G1992" s="10"/>
      <c r="H1992" s="70" t="str">
        <f t="shared" si="1"/>
        <v/>
      </c>
      <c r="I1992" s="70" t="str">
        <f t="shared" si="2"/>
        <v/>
      </c>
      <c r="J1992" s="70" t="str">
        <f t="shared" si="3"/>
        <v/>
      </c>
      <c r="K1992" s="70" t="str">
        <f t="shared" si="4"/>
        <v>12/1899</v>
      </c>
    </row>
    <row r="1993" hidden="1">
      <c r="A1993" s="9"/>
      <c r="B1993" s="15"/>
      <c r="C1993" s="15"/>
      <c r="E1993" s="76"/>
      <c r="F1993" s="15"/>
      <c r="G1993" s="10"/>
      <c r="H1993" s="70" t="str">
        <f t="shared" si="1"/>
        <v/>
      </c>
      <c r="I1993" s="70" t="str">
        <f t="shared" si="2"/>
        <v/>
      </c>
      <c r="J1993" s="70" t="str">
        <f t="shared" si="3"/>
        <v/>
      </c>
      <c r="K1993" s="70" t="str">
        <f t="shared" si="4"/>
        <v>12/1899</v>
      </c>
    </row>
    <row r="1994" hidden="1">
      <c r="A1994" s="9"/>
      <c r="B1994" s="15"/>
      <c r="C1994" s="15"/>
      <c r="E1994" s="76"/>
      <c r="F1994" s="15"/>
      <c r="G1994" s="10"/>
      <c r="H1994" s="70" t="str">
        <f t="shared" si="1"/>
        <v/>
      </c>
      <c r="I1994" s="70" t="str">
        <f t="shared" si="2"/>
        <v/>
      </c>
      <c r="J1994" s="70" t="str">
        <f t="shared" si="3"/>
        <v/>
      </c>
      <c r="K1994" s="70" t="str">
        <f t="shared" si="4"/>
        <v>12/1899</v>
      </c>
    </row>
    <row r="1995" hidden="1">
      <c r="A1995" s="9"/>
      <c r="B1995" s="15"/>
      <c r="C1995" s="15"/>
      <c r="E1995" s="76"/>
      <c r="F1995" s="15"/>
      <c r="G1995" s="10"/>
      <c r="H1995" s="70" t="str">
        <f t="shared" si="1"/>
        <v/>
      </c>
      <c r="I1995" s="70" t="str">
        <f t="shared" si="2"/>
        <v/>
      </c>
      <c r="J1995" s="70" t="str">
        <f t="shared" si="3"/>
        <v/>
      </c>
      <c r="K1995" s="70" t="str">
        <f t="shared" si="4"/>
        <v>12/1899</v>
      </c>
    </row>
    <row r="1996" hidden="1">
      <c r="A1996" s="9"/>
      <c r="B1996" s="15"/>
      <c r="C1996" s="15"/>
      <c r="E1996" s="76"/>
      <c r="F1996" s="15"/>
      <c r="G1996" s="10"/>
      <c r="H1996" s="70" t="str">
        <f t="shared" si="1"/>
        <v/>
      </c>
      <c r="I1996" s="70" t="str">
        <f t="shared" si="2"/>
        <v/>
      </c>
      <c r="J1996" s="70" t="str">
        <f t="shared" si="3"/>
        <v/>
      </c>
      <c r="K1996" s="70" t="str">
        <f t="shared" si="4"/>
        <v>12/1899</v>
      </c>
    </row>
    <row r="1997" hidden="1">
      <c r="A1997" s="9"/>
      <c r="B1997" s="15"/>
      <c r="C1997" s="15"/>
      <c r="E1997" s="76"/>
      <c r="F1997" s="15"/>
      <c r="G1997" s="10"/>
      <c r="H1997" s="70" t="str">
        <f t="shared" si="1"/>
        <v/>
      </c>
      <c r="I1997" s="70" t="str">
        <f t="shared" si="2"/>
        <v/>
      </c>
      <c r="J1997" s="70" t="str">
        <f t="shared" si="3"/>
        <v/>
      </c>
      <c r="K1997" s="70" t="str">
        <f t="shared" si="4"/>
        <v>12/1899</v>
      </c>
    </row>
    <row r="1998" hidden="1">
      <c r="A1998" s="9"/>
      <c r="B1998" s="15"/>
      <c r="C1998" s="15"/>
      <c r="E1998" s="76"/>
      <c r="F1998" s="15"/>
      <c r="G1998" s="10"/>
      <c r="H1998" s="70" t="str">
        <f t="shared" si="1"/>
        <v/>
      </c>
      <c r="I1998" s="70" t="str">
        <f t="shared" si="2"/>
        <v/>
      </c>
      <c r="J1998" s="70" t="str">
        <f t="shared" si="3"/>
        <v/>
      </c>
      <c r="K1998" s="70" t="str">
        <f t="shared" si="4"/>
        <v>12/1899</v>
      </c>
    </row>
    <row r="1999" hidden="1">
      <c r="A1999" s="9"/>
      <c r="B1999" s="15"/>
      <c r="C1999" s="15"/>
      <c r="E1999" s="76"/>
      <c r="F1999" s="15"/>
      <c r="G1999" s="10"/>
      <c r="H1999" s="70" t="str">
        <f t="shared" si="1"/>
        <v/>
      </c>
      <c r="I1999" s="70" t="str">
        <f t="shared" si="2"/>
        <v/>
      </c>
      <c r="J1999" s="70" t="str">
        <f t="shared" si="3"/>
        <v/>
      </c>
      <c r="K1999" s="70" t="str">
        <f t="shared" si="4"/>
        <v>12/1899</v>
      </c>
    </row>
  </sheetData>
  <autoFilter ref="$A$1:$K$1999">
    <filterColumn colId="1">
      <filters>
        <filter val="MERCADO LIVRE LIVRE FARMEL"/>
      </filters>
    </filterColumn>
    <filterColumn colId="5">
      <filters blank="1">
        <filter val="ABERTO"/>
      </filters>
    </filterColumn>
    <filterColumn colId="0">
      <filters blank="1">
        <filter val="08/12/2024"/>
        <filter val="07/01/2025"/>
        <filter val="23/12/2024"/>
        <filter val="22/01/2026"/>
        <filter val="22/01/2025"/>
        <filter val="23/12/2025"/>
        <filter val="01/08/2024"/>
        <filter val="05/07/2025"/>
        <filter val="18/08/2025"/>
        <filter val="01/08/2025"/>
        <filter val="10/11/2024"/>
        <filter val="24/06/2025"/>
        <filter val="03/02/2026"/>
        <filter val="03/02/2025"/>
        <filter val="08/12/2025"/>
        <filter val="07/01/2026"/>
        <filter val="20/07/2025"/>
        <filter val="16/03/2026"/>
        <filter val="11/05/2025"/>
        <filter val="16/03/2025"/>
        <filter val="30/04/2025"/>
        <filter val="19/03/2025"/>
        <filter val="11/10/2025"/>
        <filter val="19/03/2026"/>
        <filter val="11/10/2024"/>
        <filter val="31/03/2025"/>
        <filter val="24/11/2024"/>
        <filter val="24/11/2025"/>
        <filter val="14/09/2025"/>
        <filter val="14/09/2024"/>
        <filter val="09/06/2025"/>
        <filter val="10/11/2025"/>
        <filter val="09/11/2024"/>
        <filter val="04/01/2026"/>
        <filter val="04/01/2025"/>
        <filter val="23/07/2025"/>
        <filter val="09/11/2025"/>
        <filter val="17/02/2025"/>
        <filter val="17/02/2026"/>
        <filter val="10/06/2025"/>
        <filter val="15/08/2025"/>
        <filter val="15/08/2024"/>
        <filter val="13/03/2025"/>
        <filter val="14/05/2025"/>
        <filter val="13/03/2026"/>
        <filter val="06/02/2026"/>
        <filter val="06/02/2025"/>
        <filter val="26/12/2024"/>
        <filter val="26/12/2025"/>
        <filter val="21/06/2025"/>
        <filter val="15/04/2025"/>
        <filter val="12/04/2025"/>
        <filter val="28/10/2025"/>
        <filter val="28/10/2024"/>
        <filter val="17/09/2025"/>
        <filter val="17/09/2024"/>
        <filter val="09/02/2025"/>
        <filter val="09/02/2026"/>
        <filter val="06/11/2024"/>
        <filter val="06/11/2025"/>
        <filter val="19/07/2025"/>
        <filter val="14/02/2025"/>
        <filter val="18/08/2024"/>
        <filter val="27/11/2025"/>
        <filter val="27/11/2024"/>
        <filter val="13/06/2025"/>
        <filter val="05/12/2024"/>
        <filter val="05/12/2025"/>
        <filter val="17/05/2025"/>
        <filter val="03/10/2024"/>
        <filter val="03/10/2025"/>
        <filter val="08/04/2025"/>
        <filter val="25/09/2025"/>
        <filter val="25/09/2024"/>
        <filter val="23/03/2025"/>
        <filter val="08/04/2026"/>
        <filter val="16/11/2024"/>
        <filter val="22/10/2024"/>
        <filter val="22/10/2025"/>
        <filter val="16/07/2025"/>
        <filter val="16/11/2025"/>
        <filter val="07/08/2025"/>
        <filter val="25/08/2024"/>
        <filter val="28/01/2026"/>
        <filter val="10/02/2026"/>
        <filter val="28/01/2025"/>
        <filter val="10/02/2025"/>
        <filter val="31/07/2025"/>
        <filter val="25/08/2025"/>
        <filter val="16/12/2024"/>
        <filter val="16/12/2025"/>
        <filter val="05/03/2026"/>
        <filter val="05/03/2025"/>
        <filter val="25/10/2024"/>
        <filter val="07/08/2024"/>
        <filter val="13/07/2025"/>
        <filter val="25/10/2025"/>
        <filter val="02/12/2025"/>
        <filter val="02/12/2024"/>
        <filter val="11/02/2026"/>
        <filter val="22/08/2025"/>
        <filter val="22/08/2024"/>
        <filter val="18/01/2025"/>
        <filter val="03/05/2025"/>
        <filter val="23/04/2025"/>
        <filter val="28/09/2024"/>
        <filter val="28/09/2025"/>
        <filter val="18/01/2026"/>
        <filter val="27/06/2025"/>
        <filter val="11/09/2025"/>
        <filter val="13/11/2024"/>
        <filter val="13/11/2025"/>
        <filter val="20/12/2024"/>
        <filter val="11/09/2024"/>
        <filter val="20/12/2025"/>
        <filter val="28/08/2025"/>
        <filter val="28/08/2024"/>
        <filter val="26/04/2025"/>
        <filter val="07/09/2025"/>
        <filter val="07/09/2024"/>
        <filter val="25/01/2025"/>
        <filter val="06/10/2024"/>
        <filter val="25/01/2026"/>
        <filter val="20/03/2025"/>
        <filter val="20/03/2026"/>
        <filter val="02/03/2025"/>
        <filter val="06/10/2025"/>
        <filter val="02/03/2026"/>
        <filter val="03/06/2025"/>
        <filter val="29/04/2025"/>
        <filter val="21/05/2025"/>
        <filter val="09/10/2024"/>
        <filter val="06/06/2025"/>
        <filter val="09/10/2025"/>
        <filter val="01/01/2025"/>
        <filter val="01/01/2026"/>
        <filter val="23/03/2026"/>
        <filter val="19/12/2024"/>
        <filter val="28/02/2026"/>
        <filter val="04/08/2025"/>
        <filter val="04/08/2024"/>
        <filter val="28/02/2025"/>
        <filter val="10/07/2025"/>
        <filter val="19/12/2025"/>
        <filter val="05/04/2025"/>
        <filter val="05/04/2026"/>
        <filter val="10/09/2025"/>
        <filter val="10/09/2024"/>
        <filter val="12/03/2026"/>
        <filter val="16/02/2025"/>
        <filter val="16/02/2026"/>
        <filter val="11/06/2025"/>
        <filter val="28/06/2025"/>
        <filter val="29/03/2025"/>
        <filter val="29/03/2026"/>
        <filter val="09/07/2025"/>
        <filter val="27/12/2024"/>
        <filter val="27/12/2025"/>
        <filter val="01/07/2025"/>
        <filter val="06/05/2025"/>
        <filter val="22/02/2026"/>
        <filter val="04/09/2024"/>
        <filter val="04/09/2025"/>
        <filter val="07/02/2026"/>
        <filter val="07/02/2025"/>
        <filter val="05/11/2024"/>
        <filter val="24/05/2025"/>
        <filter val="05/11/2025"/>
        <filter val="05/06/2025"/>
        <filter val="22/02/2025"/>
        <filter val="16/04/2025"/>
        <filter val="11/04/2025"/>
        <filter val="27/07/2025"/>
        <filter val="11/04/2026"/>
        <filter val="27/10/2024"/>
        <filter val="27/10/2025"/>
        <filter val="04/12/2025"/>
        <filter val="05/08/2025"/>
        <filter val="05/08/2024"/>
        <filter val="09/09/2024"/>
        <filter val="04/12/2024"/>
        <filter val="09/09/2025"/>
        <filter val="17/08/2024"/>
        <filter val="12/03/2025"/>
        <filter val="15/10/2024"/>
        <filter val="17/08/2025"/>
        <filter val="01/10/2025"/>
        <filter val="15/10/2025"/>
        <filter val="01/10/2024"/>
        <filter val="22/12/2024"/>
        <filter val="09/12/2024"/>
        <filter val="09/12/2025"/>
        <filter val="06/01/2025"/>
        <filter val="02/02/2025"/>
        <filter val="18/05/2025"/>
        <filter val="21/07/2025"/>
        <filter val="06/01/2026"/>
        <filter val="23/01/2026"/>
        <filter val="23/01/2025"/>
        <filter val="02/02/2026"/>
        <filter val="21/10/2024"/>
        <filter val="21/10/2025"/>
        <filter val="22/09/2025"/>
        <filter val="16/06/2025"/>
        <filter val="12/01/2025"/>
        <filter val="15/07/2025"/>
        <filter val="12/01/2026"/>
        <filter val="17/03/2026"/>
        <filter val="22/09/2024"/>
        <filter val="17/03/2025"/>
        <filter val="11/08/2025"/>
        <filter val="11/08/2024"/>
        <filter val="28/04/2025"/>
        <filter val="23/08/2024"/>
        <filter val="23/08/2025"/>
        <filter val="26/05/2025"/>
        <filter val="01/03/2025"/>
        <filter val="23/11/2025"/>
        <filter val="18/9/2024"/>
        <filter val="23/11/2024"/>
        <filter val="30/03/2026"/>
        <filter val="10/12/2024"/>
        <filter val="10/12/2025"/>
        <filter val="30/03/2025"/>
        <filter val="11/11/2025"/>
        <filter val="11/11/2024"/>
        <filter val="22/12/2025"/>
        <filter val="29/11/2025"/>
        <filter val="12/11/2024"/>
        <filter val="12/11/2025"/>
        <filter val="21/12/2024"/>
        <filter val="21/12/2025"/>
        <filter val="29/08/2024"/>
        <filter val="24/01/2025"/>
        <filter val="29/11/2024"/>
        <filter val="13/05/2025"/>
        <filter val="24/01/2026"/>
        <filter val="07/10/2024"/>
        <filter val="12/08/2025"/>
        <filter val="07/10/2025"/>
        <filter val="12/08/2024"/>
        <filter val="21/09/2025"/>
        <filter val="21/09/2024"/>
        <filter val="11/01/2026"/>
        <filter val="6/11/2024"/>
        <filter val="11/01/2025"/>
        <filter val="01/03/2026"/>
        <filter val="18/03/2026"/>
        <filter val="17/06/2025"/>
        <filter val="27/04/2025"/>
        <filter val="18/03/2025"/>
        <filter val="27/04/2026"/>
        <filter val="27/02/2025"/>
        <filter val="27/02/2026"/>
        <filter val="29/08/2025"/>
        <filter val="24/03/2026"/>
        <filter val="24/03/2025"/>
        <filter val="04/04/2025"/>
        <filter val="15/02/2026"/>
        <filter val="15/02/2025"/>
        <filter val="30/08/2024"/>
        <filter val="02/10/2024"/>
        <filter val="01/05/2025"/>
        <filter val="30/08/2025"/>
        <filter val="02/10/2025"/>
        <filter val="09/04/2025"/>
        <filter val="09/04/2026"/>
        <filter val="08/07/2025"/>
        <filter val="23/06/2025"/>
        <filter val="17/11/2024"/>
        <filter val="02/07/2025"/>
        <filter val="17/11/2025"/>
        <filter val="08/02/2026"/>
        <filter val="08/02/2025"/>
        <filter val="07/05/2025"/>
        <filter val="25/05/2025"/>
        <filter val="30/01/2026"/>
        <filter val="30/01/2025"/>
        <filter val="03/09/2025"/>
        <filter val="26/10/2025"/>
        <filter val="03/09/2024"/>
        <filter val="15/12/2024"/>
        <filter val="14/07/2025"/>
        <filter val="26/10/2024"/>
        <filter val="29/01/2025"/>
        <filter val="15/12/2025"/>
        <filter val="29/01/2026"/>
        <filter val="26/07/2025"/>
        <filter val="03/12/2025"/>
        <filter val="21/02/2026"/>
        <filter val="03/12/2024"/>
        <filter val="21/02/2025"/>
        <filter val="06/03/2026"/>
        <filter val="06/03/2025"/>
        <filter val="14/10/2024"/>
        <filter val="15/09/2025"/>
        <filter val="14/10/2025"/>
        <filter val="10/04/2025"/>
        <filter val="30/11/2025"/>
        <filter val="15/09/2024"/>
        <filter val="17/01/2025"/>
        <filter val="30/11/2024"/>
        <filter val="17/01/2026"/>
        <filter val="05/01/2025"/>
        <filter val="05/01/2026"/>
        <filter val="27/09/2024"/>
        <filter val="22/04/2025"/>
        <filter val="27/09/2025"/>
        <filter val="21/04/2025"/>
        <filter val="06/04/2025"/>
        <filter val="19/05/2025"/>
        <filter val="05/10/2025"/>
        <filter val="05/10/2024"/>
        <filter val="20/10/2025"/>
        <filter val="08/09/2024"/>
        <filter val="01/11/2025"/>
        <filter val="18/11/2025"/>
        <filter val="01/11/2024"/>
        <filter val="10/08/2024"/>
        <filter val="27/08/2025"/>
        <filter val="27/08/2024"/>
        <filter val="23/09/2024"/>
        <filter val="31/01/2025"/>
        <filter val="23/09/2025"/>
        <filter val="31/01/2026"/>
        <filter val="10/08/2025"/>
        <filter val="28/07/2025"/>
        <filter val="13/01/2025"/>
        <filter val="18/11/2024"/>
        <filter val="13/01/2026"/>
        <filter val="14/12/2025"/>
        <filter val="14/12/2024"/>
        <filter val="24/08/2024"/>
        <filter val="24/08/2025"/>
        <filter val="11/07/2025"/>
        <filter val="16/01/2026"/>
        <filter val="16/01/2025"/>
        <filter val="20/10/2024"/>
        <filter val="07/03/2025"/>
        <filter val="07/03/2026"/>
        <filter val="20/05/2025"/>
        <filter val="26/09/2024"/>
        <filter val="19/10/2025"/>
        <filter val="31/05/2025"/>
        <filter val="28/03/2026"/>
        <filter val="19/10/2024"/>
        <filter val="28/03/2025"/>
        <filter val="26/09/2025"/>
        <filter val="29/06/2025"/>
        <filter val="15/11/2025"/>
        <filter val="15/11/2024"/>
        <filter val="05/05/2025"/>
        <filter val="22/03/2026"/>
        <filter val="22/03/2025"/>
        <filter val="08/10/2024"/>
        <filter val="08/10/2025"/>
        <filter val="05/09/2024"/>
        <filter val="05/09/2025"/>
        <filter val="27/01/2025"/>
        <filter val="23/02/2025"/>
        <filter val="23/02/2026"/>
        <filter val="04/06/2025"/>
        <filter val="27/01/2026"/>
        <filter val="09/08/2024"/>
        <filter val="04/03/2026"/>
        <filter val="04/03/2025"/>
        <filter val="09/08/2025"/>
        <filter val="23/05/2025"/>
        <filter val="01/06/2025"/>
        <filter val="06/08/2024"/>
        <filter val="26/02/2025"/>
        <filter val="06/08/2025"/>
        <filter val="17/12/2025"/>
        <filter val="26/02/2026"/>
        <filter val="17/12/2024"/>
        <filter val="19/01/2025"/>
        <filter val="08/09/2025"/>
        <filter val="19/01/2026"/>
        <filter val="03/04/2025"/>
        <filter val="30/06/2025"/>
        <filter val="24/04/2025"/>
        <filter val="29/09/2025"/>
        <filter val="29/09/2024"/>
        <filter val="25/03/2026"/>
        <filter val="16/10/2025"/>
        <filter val="16/10/2024"/>
        <filter val="25/03/2025"/>
        <filter val="02/05/2025"/>
        <filter val="16/08/2024"/>
        <filter val="01/02/2025"/>
        <filter val="01/02/2026"/>
        <filter val="07/07/2025"/>
        <filter val="16/08/2025"/>
        <filter val="09/01/2026"/>
        <filter val="31/10/2024"/>
        <filter val="09/01/2025"/>
        <filter val="25/12/2025"/>
        <filter val="25/12/2024"/>
        <filter val="31/08/2024"/>
        <filter val="03/07/2025"/>
        <filter val="14/03/2025"/>
        <filter val="14/03/2026"/>
        <filter val="22/06/2025"/>
        <filter val="08/05/2025"/>
        <filter val="14/04/2025"/>
        <filter val="07/11/2025"/>
        <filter val="22/11/2025"/>
        <filter val="22/11/2024"/>
        <filter val="07/11/2024"/>
        <filter val="13/10/2025"/>
        <filter val="13/10/2024"/>
        <filter val="27/05/2025"/>
        <filter val="02/09/2025"/>
        <filter val="02/09/2024"/>
        <filter val="16/09/2024"/>
        <filter val="11/12/2024"/>
        <filter val="16/09/2025"/>
        <filter val="25/07/2025"/>
        <filter val="20/02/2026"/>
        <filter val="20/02/2025"/>
        <filter val="12/06/2025"/>
        <filter val="11/03/2026"/>
        <filter val="11/03/2025"/>
        <filter val="28/11/2024"/>
        <filter val="28/11/2025"/>
        <filter val="19/02/2026"/>
        <filter val="07/12/2025"/>
        <filter val="07/12/2024"/>
        <filter val="13/08/2024"/>
        <filter val="19/08/2024"/>
        <filter val="19/02/2025"/>
        <filter val="04/02/2026"/>
        <filter val="13/08/2025"/>
        <filter val="19/08/2025"/>
        <filter val="04/02/2025"/>
        <filter val="12/05/2025"/>
        <filter val="11/12/2025"/>
        <filter val="10/01/2026"/>
        <filter val="20/09/2024"/>
        <filter val="20/09/2025"/>
        <filter val="04/11/2025"/>
        <filter val="04/11/2024"/>
        <filter val="28/12/2024"/>
        <filter val="18/06/2025"/>
        <filter val="19/09/2025"/>
        <filter val="28/12/2025"/>
        <filter val="19/09/2024"/>
        <filter val="10/10/2024"/>
        <filter val="10/10/2025"/>
        <filter val="17/04/2025"/>
        <filter val="10/01/2025"/>
        <filter val="15/06/2025"/>
        <filter val="25/11/2025"/>
        <filter val="25/11/2024"/>
        <filter val="31/10/2025"/>
        <filter val="22/07/2025"/>
        <filter val="14/08/2025"/>
        <filter val="14/11/2024"/>
        <filter val="18/10/2025"/>
        <filter val="18/10/2024"/>
        <filter val="14/11/2025"/>
        <filter val="30/05/2025"/>
        <filter val="14/08/2024"/>
        <filter val="25/04/2025"/>
        <filter val="02/04/2025"/>
        <filter val="26/01/2026"/>
        <filter val="26/01/2025"/>
        <filter val="21/03/2025"/>
        <filter val="21/03/2026"/>
        <filter val="24/10/2025"/>
        <filter val="20/06/2025"/>
        <filter val="03/03/2026"/>
        <filter val="24/10/2024"/>
        <filter val="03/03/2025"/>
        <filter val="19/06/2025"/>
        <filter val="18/09/2025"/>
        <filter val="18/09/2024"/>
        <filter val="02/06/2025"/>
        <filter val="25/02/2026"/>
        <filter val="25/02/2025"/>
        <filter val="18/12/2025"/>
        <filter val="18/12/2024"/>
        <filter val="02/04/2026"/>
        <filter val="18/07/2025"/>
        <filter val="13/02/2025"/>
        <filter val="14/06/2025"/>
        <filter val="29/05/2025"/>
        <filter val="20/08/2024"/>
        <filter val="15/05/2025"/>
        <filter val="20/08/2025"/>
        <filter val="26/03/2025"/>
        <filter val="26/03/2026"/>
        <filter val="06/07/2025"/>
        <filter val="21/01/2025"/>
        <filter val="07/04/2025"/>
        <filter val="20/04/2025"/>
        <filter val="25/06/2025"/>
        <filter val="04/07/2025"/>
        <filter val="30/10/2025"/>
        <filter val="30/10/2024"/>
        <filter val="04/10/2025"/>
        <filter val="04/10/2024"/>
        <filter val="25/9/2024"/>
        <filter val="02/11/2024"/>
        <filter val="11/02/2025"/>
        <filter val="02/11/2025"/>
        <filter val="19/11/2025"/>
        <filter val="19/11/2024"/>
        <filter val="13/12/2024"/>
        <filter val="26/08/2025"/>
        <filter val="26/08/2024"/>
        <filter val="13/12/2025"/>
        <filter val="31/12/2025"/>
        <filter val="20/11/2024"/>
        <filter val="31/12/2024"/>
        <filter val="10/05/2025"/>
        <filter val="20/11/2025"/>
        <filter val="15/01/2026"/>
        <filter val="15/01/2025"/>
        <filter val="01/12/2025"/>
        <filter val="01/12/2024"/>
        <filter val="09/05/2025"/>
        <filter val="12/10/2025"/>
        <filter val="12/10/2024"/>
        <filter val="01/09/2024"/>
        <filter val="12/07/2025"/>
        <filter val="08/06/2025"/>
        <filter val="03/01/2026"/>
        <filter val="08/03/2025"/>
        <filter val="19/04/2025"/>
        <filter val="08/03/2026"/>
        <filter val="24/07/2025"/>
        <filter val="03/01/2025"/>
        <filter val="02/08/2024"/>
        <filter val="02/08/2025"/>
        <filter val="13/09/2024"/>
        <filter val="30/09/2024"/>
        <filter val="13/09/2025"/>
        <filter val="30/09/2025"/>
        <filter val="27/03/2025"/>
        <filter val="26/06/2025"/>
        <filter val="20/01/2025"/>
        <filter val="10/03/2026"/>
        <filter val="20/01/2026"/>
        <filter val="10/03/2025"/>
        <filter val="27/03/2026"/>
        <filter val="04/05/2025"/>
        <filter val="04/05/2026"/>
        <filter val="18/02/2026"/>
        <filter val="18/02/2025"/>
        <filter val="12/12/2024"/>
        <filter val="06/09/2024"/>
        <filter val="12/12/2025"/>
        <filter val="05/02/2025"/>
        <filter val="06/09/2025"/>
        <filter val="05/02/2026"/>
        <filter val="03/11/2024"/>
        <filter val="21/11/2024"/>
        <filter val="29/12/2025"/>
        <filter val="29/12/2024"/>
        <filter val="03/11/2025"/>
        <filter val="14/01/2025"/>
        <filter val="30/12/2025"/>
        <filter val="30/12/2024"/>
        <filter val="13/04/2025"/>
        <filter val="14/01/2026"/>
        <filter val="22/05/2025"/>
        <filter val="07/06/2025"/>
        <filter val="09/03/2026"/>
        <filter val="02/01/2025"/>
        <filter val="18/04/2025"/>
        <filter val="12/09/2024"/>
        <filter val="06/12/2024"/>
        <filter val="12/09/2025"/>
        <filter val="03/08/2025"/>
        <filter val="29/10/2025"/>
        <filter val="29/10/2024"/>
        <filter val="06/12/2025"/>
        <filter val="03/08/2024"/>
        <filter val="09/03/2025"/>
        <filter val="26/11/2025"/>
        <filter val="21/01/2026"/>
        <filter val="26/11/2024"/>
        <filter val="08/01/2026"/>
        <filter val="08/01/2025"/>
        <filter val="24/12/2025"/>
        <filter val="17/10/2024"/>
        <filter val="24/12/2024"/>
        <filter val="24/09/2025"/>
        <filter val="17/10/2025"/>
        <filter val="24/09/2024"/>
        <filter val="15/03/2025"/>
        <filter val="15/03/2026"/>
        <filter val="01/04/2025"/>
        <filter val="30/07/2025"/>
        <filter val="23/10/2025"/>
        <filter val="23/10/2024"/>
        <filter val="08/08/2024"/>
        <filter val="08/08/2025"/>
        <filter val="29/07/2025"/>
        <filter val="24/02/2025"/>
        <filter val="24/02/2026"/>
        <filter val="21/11/2025"/>
        <filter val="21/08/2024"/>
        <filter val="21/08/2025"/>
        <filter val="17/07/2025"/>
        <filter val="12/02/2025"/>
        <filter val="28/05/2025"/>
        <filter val="08/11/2025"/>
        <filter val="08/11/2024"/>
        <filter val="16/05/2025"/>
      </filters>
    </filterColumn>
  </autoFilter>
  <dataValidations>
    <dataValidation type="list" allowBlank="1" showErrorMessage="1" sqref="B2:B1999">
      <formula1>"MERCADO LIVRE SINCE,MERCADO LIVRE LIVRE FARMEL,SHOPEE,AMERICANAS,AMAZON,MAGALU,BANCO DO BRASIL"</formula1>
    </dataValidation>
    <dataValidation type="list" allowBlank="1" showErrorMessage="1" sqref="F2:F1999">
      <formula1>"ABERTO,LIBERADO,TRANSFERÊNCIA,PAGO"</formula1>
    </dataValidation>
    <dataValidation type="list" allowBlank="1" showErrorMessage="1" sqref="C2:C1999">
      <formula1>'Contas dos banco'!$C$2:$C$99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9.13"/>
    <col customWidth="1" min="2" max="2" width="16.13"/>
    <col customWidth="1" min="3" max="3" width="19.38"/>
    <col customWidth="1" min="4" max="4" width="17.88"/>
    <col customWidth="1" min="5" max="5" width="18.0"/>
    <col customWidth="1" min="6" max="6" width="20.63"/>
    <col customWidth="1" min="7" max="7" width="23.5"/>
    <col customWidth="1" min="8" max="8" width="19.13"/>
    <col customWidth="1" min="9" max="9" width="24.13"/>
    <col customWidth="1" min="10" max="10" width="23.75"/>
    <col customWidth="1" min="11" max="11" width="24.25"/>
    <col customWidth="1" min="12" max="12" width="27.38"/>
    <col customWidth="1" min="13" max="13" width="16.25"/>
  </cols>
  <sheetData>
    <row r="1">
      <c r="A1" s="77" t="s">
        <v>1547</v>
      </c>
      <c r="B1" s="77">
        <v>2026.0</v>
      </c>
      <c r="M1" s="10"/>
    </row>
    <row r="2">
      <c r="A2" s="77" t="s">
        <v>1548</v>
      </c>
      <c r="B2" s="77">
        <v>3.0</v>
      </c>
      <c r="M2" s="10"/>
    </row>
    <row r="4" ht="61.5" customHeight="1">
      <c r="A4" s="77" t="s">
        <v>1549</v>
      </c>
      <c r="B4" s="77" t="s">
        <v>1550</v>
      </c>
      <c r="C4" s="78" t="s">
        <v>1551</v>
      </c>
      <c r="D4" s="78" t="s">
        <v>1552</v>
      </c>
      <c r="E4" s="77" t="s">
        <v>1553</v>
      </c>
      <c r="F4" s="77" t="s">
        <v>1554</v>
      </c>
      <c r="G4" s="79" t="s">
        <v>1555</v>
      </c>
      <c r="H4" s="77" t="s">
        <v>1556</v>
      </c>
      <c r="I4" s="77" t="s">
        <v>1557</v>
      </c>
      <c r="J4" s="77" t="s">
        <v>1558</v>
      </c>
      <c r="K4" s="80" t="s">
        <v>1559</v>
      </c>
      <c r="L4" s="81" t="s">
        <v>1560</v>
      </c>
      <c r="M4" s="77" t="s">
        <v>1561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77">
        <v>1.0</v>
      </c>
      <c r="B5" s="82">
        <f>SUMIFS('COLOQUE AQUI OS SALDOS DAS CONT'!$B:$B,'COLOQUE AQUI OS SALDOS DAS CONT'!$D:$D,$A$5,'COLOQUE AQUI OS SALDOS DAS CONT'!$E:$E,$B$2,'COLOQUE AQUI OS SALDOS DAS CONT'!$F:$F,$B$1)</f>
        <v>109736.1</v>
      </c>
      <c r="C5" s="13">
        <f>SUMIFS('Lançamentos de receitas'!$E:$E,'Lançamentos de receitas'!$C:$C,'Contas dos banco'!$C$2,'Lançamentos de receitas'!$H:$H,A5,'Lançamentos de receitas'!$I:$I,$B$2,'Lançamentos de receitas'!$J:$J,$B$1,'Lançamentos de receitas'!$F:$F,"TRANSFERÊNCIA")
</f>
        <v>2615.78</v>
      </c>
      <c r="D5" s="13">
        <f>+SUMIFS('Lançamentos de receitas'!$E:$E,'Lançamentos de receitas'!$C:$C,'Contas dos banco'!$C$3,'Lançamentos de receitas'!$H:$H,A5,'Lançamentos de receitas'!$I:$I,$B$2,'Lançamentos de receitas'!$J:$J,$B$1,'Lançamentos de receitas'!$F:$F,"PAGO")+SUMIFS('Lançamentos de receitas'!$E:$E,'Lançamentos de receitas'!$C:$C,'Contas dos banco'!$C$4,'Lançamentos de receitas'!$H:$H,A5,'Lançamentos de receitas'!$I:$I,$B$2,'Lançamentos de receitas'!$J:$J,$B$1,'Lançamentos de receitas'!$F:$F,"PAGO")</f>
        <v>4887.4</v>
      </c>
      <c r="E5" s="13">
        <f>+SUMIFS('Lançamentos de receitas'!$E:$E,'Lançamentos de receitas'!$F:$F,"liberado",'Lançamentos de receitas'!$H:$H,$A5,'Lançamentos de receitas'!$I:$I,$B$2,'Lançamentos de receitas'!$J:$J,$B$1)</f>
        <v>0</v>
      </c>
      <c r="F5" s="13">
        <f>SUMIFS('Lançamentos de receitas'!$E:$E,'Lançamentos de receitas'!$F:$F,"aberto",'Lançamentos de receitas'!$H:$H,$A5,'Lançamentos de receitas'!$I:$I,$B$2,'Lançamentos de receitas'!$J:$J,$B$1)</f>
        <v>0</v>
      </c>
      <c r="G5" s="83">
        <f t="shared" ref="G5:G35" si="1">C5+E5+F5+D5</f>
        <v>7503.18</v>
      </c>
      <c r="H5" s="13">
        <f>SUMIFS('Lançamentos de despesas'!$I:$I,'Lançamentos de despesas'!$E:$E,"pago",'Lançamentos de despesas'!$V:$V,$A5,'Lançamentos de despesas'!$W:$W,$B$2,'Lançamentos de despesas'!$X:$X,$B$1)</f>
        <v>0</v>
      </c>
      <c r="I5" s="13">
        <f>SUMIFs('Lançamentos de despesas'!$I:$I,'Lançamentos de despesas'!$E:$E,"aberto",'Lançamentos de despesas'!$S:$S,A5,'Lançamentos de despesas'!$T:$T,$B$2,'Lançamentos de despesas'!$U:$U,$B$1)</f>
        <v>0</v>
      </c>
      <c r="J5" s="13">
        <f>SUMIFs('Lançamentos de despesas'!$I:$I,'Lançamentos de despesas'!$E:$E,"agendado",'Lançamentos de despesas'!$S:$S,A5,'Lançamentos de despesas'!$T:$T,$B$2,'Lançamentos de despesas'!$U:$U,$B$1)</f>
        <v>0</v>
      </c>
      <c r="K5" s="83">
        <f t="shared" ref="K5:K35" si="2">H5+I5+J5</f>
        <v>0</v>
      </c>
      <c r="L5" s="13">
        <f t="shared" ref="L5:L35" si="3">G5-K5</f>
        <v>7503.18</v>
      </c>
      <c r="M5" s="13">
        <f>L5+B5</f>
        <v>117239.28</v>
      </c>
    </row>
    <row r="6">
      <c r="A6" s="77">
        <v>2.0</v>
      </c>
      <c r="B6" s="13">
        <f t="shared" ref="B6:B35" si="4">M5</f>
        <v>117239.28</v>
      </c>
      <c r="C6" s="13">
        <f>SUMIFS('Lançamentos de receitas'!$E:$E,'Lançamentos de receitas'!$C:$C,'Contas dos banco'!$C$2,'Lançamentos de receitas'!$H:$H,A6,'Lançamentos de receitas'!$I:$I,$B$2,'Lançamentos de receitas'!$J:$J,$B$1,'Lançamentos de receitas'!$F:$F,"TRANSFERÊNCIA")
</f>
        <v>109.72</v>
      </c>
      <c r="D6" s="13">
        <f>+SUMIFS('Lançamentos de receitas'!$E:$E,'Lançamentos de receitas'!$C:$C,'Contas dos banco'!$C$3,'Lançamentos de receitas'!$H:$H,A6,'Lançamentos de receitas'!$I:$I,$B$2,'Lançamentos de receitas'!$J:$J,$B$1,'Lançamentos de receitas'!$F:$F,"PAGO")+SUMIFS('Lançamentos de receitas'!$E:$E,'Lançamentos de receitas'!$C:$C,'Contas dos banco'!$C$4,'Lançamentos de receitas'!$H:$H,A6,'Lançamentos de receitas'!$I:$I,$B$2,'Lançamentos de receitas'!$J:$J,$B$1,'Lançamentos de receitas'!$F:$F,"PAGO")</f>
        <v>226.04</v>
      </c>
      <c r="E6" s="13">
        <f>+SUMIFS('Lançamentos de receitas'!$E:$E,'Lançamentos de receitas'!$F:$F,"liberado",'Lançamentos de receitas'!$H:$H,$A6,'Lançamentos de receitas'!$I:$I,$B$2,'Lançamentos de receitas'!$J:$J,$B$1)</f>
        <v>0</v>
      </c>
      <c r="F6" s="13">
        <f>SUMIFS('Lançamentos de receitas'!$E:$E,'Lançamentos de receitas'!$F:$F,"aberto",'Lançamentos de receitas'!$H:$H,$A6,'Lançamentos de receitas'!$I:$I,$B$2,'Lançamentos de receitas'!$J:$J,$B$1)</f>
        <v>0</v>
      </c>
      <c r="G6" s="83">
        <f t="shared" si="1"/>
        <v>335.76</v>
      </c>
      <c r="H6" s="13">
        <f>SUMIFS('Lançamentos de despesas'!$I:$I,'Lançamentos de despesas'!$E:$E,"pago",'Lançamentos de despesas'!$V:$V,$A6,'Lançamentos de despesas'!$W:$W,$B$2,'Lançamentos de despesas'!$X:$X,$B$1)</f>
        <v>7283.42</v>
      </c>
      <c r="I6" s="13">
        <f>SUMIFs('Lançamentos de despesas'!$I:$I,'Lançamentos de despesas'!$E:$E,"aberto",'Lançamentos de despesas'!$S:$S,A6,'Lançamentos de despesas'!$T:$T,$B$2,'Lançamentos de despesas'!$U:$U,$B$1)</f>
        <v>0</v>
      </c>
      <c r="J6" s="13">
        <f>SUMIFs('Lançamentos de despesas'!$I:$I,'Lançamentos de despesas'!$E:$E,"agendado",'Lançamentos de despesas'!$S:$S,A6,'Lançamentos de despesas'!$T:$T,$B$2,'Lançamentos de despesas'!$U:$U,$B$1)</f>
        <v>0</v>
      </c>
      <c r="K6" s="83">
        <f t="shared" si="2"/>
        <v>7283.42</v>
      </c>
      <c r="L6" s="13">
        <f t="shared" si="3"/>
        <v>-6947.66</v>
      </c>
      <c r="M6" s="13">
        <f t="shared" ref="M6:M35" si="5">L6+M5</f>
        <v>110291.62</v>
      </c>
    </row>
    <row r="7">
      <c r="A7" s="77">
        <v>3.0</v>
      </c>
      <c r="B7" s="13">
        <f t="shared" si="4"/>
        <v>110291.62</v>
      </c>
      <c r="C7" s="13">
        <f>SUMIFS('Lançamentos de receitas'!$E:$E,'Lançamentos de receitas'!$C:$C,'Contas dos banco'!$C$2,'Lançamentos de receitas'!$H:$H,A7,'Lançamentos de receitas'!$I:$I,$B$2,'Lançamentos de receitas'!$J:$J,$B$1,'Lançamentos de receitas'!$F:$F,"TRANSFERÊNCIA")
</f>
        <v>34441.04</v>
      </c>
      <c r="D7" s="13">
        <f>+SUMIFS('Lançamentos de receitas'!$E:$E,'Lançamentos de receitas'!$C:$C,'Contas dos banco'!$C$3,'Lançamentos de receitas'!$H:$H,A7,'Lançamentos de receitas'!$I:$I,$B$2,'Lançamentos de receitas'!$J:$J,$B$1,'Lançamentos de receitas'!$F:$F,"PAGO")+SUMIFS('Lançamentos de receitas'!$E:$E,'Lançamentos de receitas'!$C:$C,'Contas dos banco'!$C$4,'Lançamentos de receitas'!$H:$H,A7,'Lançamentos de receitas'!$I:$I,$B$2,'Lançamentos de receitas'!$J:$J,$B$1,'Lançamentos de receitas'!$F:$F,"PAGO")</f>
        <v>3119.85</v>
      </c>
      <c r="E7" s="13">
        <f>+SUMIFS('Lançamentos de receitas'!$E:$E,'Lançamentos de receitas'!$F:$F,"liberado",'Lançamentos de receitas'!$H:$H,$A7,'Lançamentos de receitas'!$I:$I,$B$2,'Lançamentos de receitas'!$J:$J,$B$1)</f>
        <v>0</v>
      </c>
      <c r="F7" s="13">
        <f>SUMIFS('Lançamentos de receitas'!$E:$E,'Lançamentos de receitas'!$F:$F,"aberto",'Lançamentos de receitas'!$H:$H,$A7,'Lançamentos de receitas'!$I:$I,$B$2,'Lançamentos de receitas'!$J:$J,$B$1)</f>
        <v>0</v>
      </c>
      <c r="G7" s="83">
        <f t="shared" si="1"/>
        <v>37560.89</v>
      </c>
      <c r="H7" s="13">
        <f>SUMIFS('Lançamentos de despesas'!$I:$I,'Lançamentos de despesas'!$E:$E,"pago",'Lançamentos de despesas'!$V:$V,$A7,'Lançamentos de despesas'!$W:$W,$B$2,'Lançamentos de despesas'!$X:$X,$B$1)</f>
        <v>10408.63</v>
      </c>
      <c r="I7" s="13">
        <f>SUMIFs('Lançamentos de despesas'!$I:$I,'Lançamentos de despesas'!$E:$E,"aberto",'Lançamentos de despesas'!$S:$S,A7,'Lançamentos de despesas'!$T:$T,$B$2,'Lançamentos de despesas'!$U:$U,$B$1)</f>
        <v>0</v>
      </c>
      <c r="J7" s="13">
        <f>SUMIFs('Lançamentos de despesas'!$I:$I,'Lançamentos de despesas'!$E:$E,"agendado",'Lançamentos de despesas'!$S:$S,A7,'Lançamentos de despesas'!$T:$T,$B$2,'Lançamentos de despesas'!$U:$U,$B$1)</f>
        <v>0</v>
      </c>
      <c r="K7" s="83">
        <f t="shared" si="2"/>
        <v>10408.63</v>
      </c>
      <c r="L7" s="13">
        <f t="shared" si="3"/>
        <v>27152.26</v>
      </c>
      <c r="M7" s="13">
        <f t="shared" si="5"/>
        <v>137443.88</v>
      </c>
    </row>
    <row r="8">
      <c r="A8" s="77">
        <v>4.0</v>
      </c>
      <c r="B8" s="13">
        <f t="shared" si="4"/>
        <v>137443.88</v>
      </c>
      <c r="C8" s="13">
        <f>SUMIFS('Lançamentos de receitas'!$E:$E,'Lançamentos de receitas'!$C:$C,'Contas dos banco'!$C$2,'Lançamentos de receitas'!$H:$H,A8,'Lançamentos de receitas'!$I:$I,$B$2,'Lançamentos de receitas'!$J:$J,$B$1,'Lançamentos de receitas'!$F:$F,"TRANSFERÊNCIA")
</f>
        <v>2026.12</v>
      </c>
      <c r="D8" s="13">
        <f>+SUMIFS('Lançamentos de receitas'!$E:$E,'Lançamentos de receitas'!$C:$C,'Contas dos banco'!$C$3,'Lançamentos de receitas'!$H:$H,A8,'Lançamentos de receitas'!$I:$I,$B$2,'Lançamentos de receitas'!$J:$J,$B$1,'Lançamentos de receitas'!$F:$F,"PAGO")+SUMIFS('Lançamentos de receitas'!$E:$E,'Lançamentos de receitas'!$C:$C,'Contas dos banco'!$C$4,'Lançamentos de receitas'!$H:$H,A8,'Lançamentos de receitas'!$I:$I,$B$2,'Lançamentos de receitas'!$J:$J,$B$1,'Lançamentos de receitas'!$F:$F,"PAGO")</f>
        <v>4431.24</v>
      </c>
      <c r="E8" s="13">
        <f>+SUMIFS('Lançamentos de receitas'!$E:$E,'Lançamentos de receitas'!$F:$F,"liberado",'Lançamentos de receitas'!$H:$H,$A8,'Lançamentos de receitas'!$I:$I,$B$2,'Lançamentos de receitas'!$J:$J,$B$1)</f>
        <v>0</v>
      </c>
      <c r="F8" s="13">
        <f>SUMIFS('Lançamentos de receitas'!$E:$E,'Lançamentos de receitas'!$F:$F,"aberto",'Lançamentos de receitas'!$H:$H,$A8,'Lançamentos de receitas'!$I:$I,$B$2,'Lançamentos de receitas'!$J:$J,$B$1)</f>
        <v>0</v>
      </c>
      <c r="G8" s="83">
        <f t="shared" si="1"/>
        <v>6457.36</v>
      </c>
      <c r="H8" s="13">
        <f>SUMIFS('Lançamentos de despesas'!$I:$I,'Lançamentos de despesas'!$E:$E,"pago",'Lançamentos de despesas'!$V:$V,$A8,'Lançamentos de despesas'!$W:$W,$B$2,'Lançamentos de despesas'!$X:$X,$B$1)</f>
        <v>0</v>
      </c>
      <c r="I8" s="13">
        <f>SUMIFs('Lançamentos de despesas'!$I:$I,'Lançamentos de despesas'!$E:$E,"aberto",'Lançamentos de despesas'!$S:$S,A8,'Lançamentos de despesas'!$T:$T,$B$2,'Lançamentos de despesas'!$U:$U,$B$1)</f>
        <v>0</v>
      </c>
      <c r="J8" s="13">
        <f>SUMIFs('Lançamentos de despesas'!$I:$I,'Lançamentos de despesas'!$E:$E,"agendado",'Lançamentos de despesas'!$S:$S,A8,'Lançamentos de despesas'!$T:$T,$B$2,'Lançamentos de despesas'!$U:$U,$B$1)</f>
        <v>0</v>
      </c>
      <c r="K8" s="83">
        <f t="shared" si="2"/>
        <v>0</v>
      </c>
      <c r="L8" s="13">
        <f t="shared" si="3"/>
        <v>6457.36</v>
      </c>
      <c r="M8" s="13">
        <f t="shared" si="5"/>
        <v>143901.24</v>
      </c>
    </row>
    <row r="9">
      <c r="A9" s="77">
        <v>5.0</v>
      </c>
      <c r="B9" s="13">
        <f t="shared" si="4"/>
        <v>143901.24</v>
      </c>
      <c r="C9" s="13">
        <f>SUMIFS('Lançamentos de receitas'!$E:$E,'Lançamentos de receitas'!$C:$C,'Contas dos banco'!$C$2,'Lançamentos de receitas'!$H:$H,A9,'Lançamentos de receitas'!$I:$I,$B$2,'Lançamentos de receitas'!$J:$J,$B$1,'Lançamentos de receitas'!$F:$F,"TRANSFERÊNCIA")
</f>
        <v>1890.17</v>
      </c>
      <c r="D9" s="13">
        <f>+SUMIFS('Lançamentos de receitas'!$E:$E,'Lançamentos de receitas'!$C:$C,'Contas dos banco'!$C$3,'Lançamentos de receitas'!$H:$H,A9,'Lançamentos de receitas'!$I:$I,$B$2,'Lançamentos de receitas'!$J:$J,$B$1,'Lançamentos de receitas'!$F:$F,"PAGO")+SUMIFS('Lançamentos de receitas'!$E:$E,'Lançamentos de receitas'!$C:$C,'Contas dos banco'!$C$4,'Lançamentos de receitas'!$H:$H,A9,'Lançamentos de receitas'!$I:$I,$B$2,'Lançamentos de receitas'!$J:$J,$B$1,'Lançamentos de receitas'!$F:$F,"PAGO")</f>
        <v>4815.19</v>
      </c>
      <c r="E9" s="13">
        <f>+SUMIFS('Lançamentos de receitas'!$E:$E,'Lançamentos de receitas'!$F:$F,"liberado",'Lançamentos de receitas'!$H:$H,$A9,'Lançamentos de receitas'!$I:$I,$B$2,'Lançamentos de receitas'!$J:$J,$B$1)</f>
        <v>0</v>
      </c>
      <c r="F9" s="13">
        <f>SUMIFS('Lançamentos de receitas'!$E:$E,'Lançamentos de receitas'!$F:$F,"aberto",'Lançamentos de receitas'!$H:$H,$A9,'Lançamentos de receitas'!$I:$I,$B$2,'Lançamentos de receitas'!$J:$J,$B$1)</f>
        <v>0</v>
      </c>
      <c r="G9" s="83">
        <f t="shared" si="1"/>
        <v>6705.36</v>
      </c>
      <c r="H9" s="13">
        <f>SUMIFS('Lançamentos de despesas'!$I:$I,'Lançamentos de despesas'!$E:$E,"pago",'Lançamentos de despesas'!$V:$V,$A9,'Lançamentos de despesas'!$W:$W,$B$2,'Lançamentos de despesas'!$X:$X,$B$1)</f>
        <v>0</v>
      </c>
      <c r="I9" s="13">
        <f>SUMIFs('Lançamentos de despesas'!$I:$I,'Lançamentos de despesas'!$E:$E,"aberto",'Lançamentos de despesas'!$S:$S,A9,'Lançamentos de despesas'!$T:$T,$B$2,'Lançamentos de despesas'!$U:$U,$B$1)</f>
        <v>0</v>
      </c>
      <c r="J9" s="13">
        <f>SUMIFs('Lançamentos de despesas'!$I:$I,'Lançamentos de despesas'!$E:$E,"agendado",'Lançamentos de despesas'!$S:$S,A9,'Lançamentos de despesas'!$T:$T,$B$2,'Lançamentos de despesas'!$U:$U,$B$1)</f>
        <v>0</v>
      </c>
      <c r="K9" s="83">
        <f t="shared" si="2"/>
        <v>0</v>
      </c>
      <c r="L9" s="13">
        <f t="shared" si="3"/>
        <v>6705.36</v>
      </c>
      <c r="M9" s="13">
        <f t="shared" si="5"/>
        <v>150606.6</v>
      </c>
    </row>
    <row r="10">
      <c r="A10" s="77">
        <v>6.0</v>
      </c>
      <c r="B10" s="13">
        <f t="shared" si="4"/>
        <v>150606.6</v>
      </c>
      <c r="C10" s="13">
        <f>SUMIFS('Lançamentos de receitas'!$E:$E,'Lançamentos de receitas'!$C:$C,'Contas dos banco'!$C$2,'Lançamentos de receitas'!$H:$H,A10,'Lançamentos de receitas'!$I:$I,$B$2,'Lançamentos de receitas'!$J:$J,$B$1,'Lançamentos de receitas'!$F:$F,"TRANSFERÊNCIA")
</f>
        <v>7639.453</v>
      </c>
      <c r="D10" s="13">
        <f>+SUMIFS('Lançamentos de receitas'!$E:$E,'Lançamentos de receitas'!$C:$C,'Contas dos banco'!$C$3,'Lançamentos de receitas'!$H:$H,A10,'Lançamentos de receitas'!$I:$I,$B$2,'Lançamentos de receitas'!$J:$J,$B$1,'Lançamentos de receitas'!$F:$F,"PAGO")+SUMIFS('Lançamentos de receitas'!$E:$E,'Lançamentos de receitas'!$C:$C,'Contas dos banco'!$C$4,'Lançamentos de receitas'!$H:$H,A10,'Lançamentos de receitas'!$I:$I,$B$2,'Lançamentos de receitas'!$J:$J,$B$1,'Lançamentos de receitas'!$F:$F,"PAGO")</f>
        <v>3131.67</v>
      </c>
      <c r="E10" s="13">
        <f>+SUMIFS('Lançamentos de receitas'!$E:$E,'Lançamentos de receitas'!$F:$F,"liberado",'Lançamentos de receitas'!$H:$H,$A10,'Lançamentos de receitas'!$I:$I,$B$2,'Lançamentos de receitas'!$J:$J,$B$1)</f>
        <v>0</v>
      </c>
      <c r="F10" s="13">
        <f>SUMIFS('Lançamentos de receitas'!$E:$E,'Lançamentos de receitas'!$F:$F,"aberto",'Lançamentos de receitas'!$H:$H,$A10,'Lançamentos de receitas'!$I:$I,$B$2,'Lançamentos de receitas'!$J:$J,$B$1)</f>
        <v>0</v>
      </c>
      <c r="G10" s="83">
        <f t="shared" si="1"/>
        <v>10771.123</v>
      </c>
      <c r="H10" s="13">
        <f>SUMIFS('Lançamentos de despesas'!$I:$I,'Lançamentos de despesas'!$E:$E,"pago",'Lançamentos de despesas'!$V:$V,$A10,'Lançamentos de despesas'!$W:$W,$B$2,'Lançamentos de despesas'!$X:$X,$B$1)</f>
        <v>0</v>
      </c>
      <c r="I10" s="13">
        <f>SUMIFs('Lançamentos de despesas'!$I:$I,'Lançamentos de despesas'!$E:$E,"aberto",'Lançamentos de despesas'!$S:$S,A10,'Lançamentos de despesas'!$T:$T,$B$2,'Lançamentos de despesas'!$U:$U,$B$1)</f>
        <v>0</v>
      </c>
      <c r="J10" s="13">
        <f>SUMIFs('Lançamentos de despesas'!$I:$I,'Lançamentos de despesas'!$E:$E,"agendado",'Lançamentos de despesas'!$S:$S,A10,'Lançamentos de despesas'!$T:$T,$B$2,'Lançamentos de despesas'!$U:$U,$B$1)</f>
        <v>0</v>
      </c>
      <c r="K10" s="83">
        <f t="shared" si="2"/>
        <v>0</v>
      </c>
      <c r="L10" s="13">
        <f t="shared" si="3"/>
        <v>10771.123</v>
      </c>
      <c r="M10" s="13">
        <f t="shared" si="5"/>
        <v>161377.723</v>
      </c>
    </row>
    <row r="11">
      <c r="A11" s="77">
        <v>7.0</v>
      </c>
      <c r="B11" s="13">
        <f t="shared" si="4"/>
        <v>161377.723</v>
      </c>
      <c r="C11" s="13">
        <f>SUMIFS('Lançamentos de receitas'!$E:$E,'Lançamentos de receitas'!$C:$C,'Contas dos banco'!$C$2,'Lançamentos de receitas'!$H:$H,A11,'Lançamentos de receitas'!$I:$I,$B$2,'Lançamentos de receitas'!$J:$J,$B$1,'Lançamentos de receitas'!$F:$F,"TRANSFERÊNCIA")
</f>
        <v>2319.39</v>
      </c>
      <c r="D11" s="13">
        <f>+SUMIFS('Lançamentos de receitas'!$E:$E,'Lançamentos de receitas'!$C:$C,'Contas dos banco'!$C$3,'Lançamentos de receitas'!$H:$H,A11,'Lançamentos de receitas'!$I:$I,$B$2,'Lançamentos de receitas'!$J:$J,$B$1,'Lançamentos de receitas'!$F:$F,"PAGO")+SUMIFS('Lançamentos de receitas'!$E:$E,'Lançamentos de receitas'!$C:$C,'Contas dos banco'!$C$4,'Lançamentos de receitas'!$H:$H,A11,'Lançamentos de receitas'!$I:$I,$B$2,'Lançamentos de receitas'!$J:$J,$B$1,'Lançamentos de receitas'!$F:$F,"PAGO")</f>
        <v>2991.85</v>
      </c>
      <c r="E11" s="13">
        <f>+SUMIFS('Lançamentos de receitas'!$E:$E,'Lançamentos de receitas'!$F:$F,"liberado",'Lançamentos de receitas'!$H:$H,$A11,'Lançamentos de receitas'!$I:$I,$B$2,'Lançamentos de receitas'!$J:$J,$B$1)</f>
        <v>0</v>
      </c>
      <c r="F11" s="13">
        <f>SUMIFS('Lançamentos de receitas'!$E:$E,'Lançamentos de receitas'!$F:$F,"aberto",'Lançamentos de receitas'!$H:$H,$A11,'Lançamentos de receitas'!$I:$I,$B$2,'Lançamentos de receitas'!$J:$J,$B$1)</f>
        <v>0</v>
      </c>
      <c r="G11" s="83">
        <f t="shared" si="1"/>
        <v>5311.24</v>
      </c>
      <c r="H11" s="13">
        <f>SUMIFS('Lançamentos de despesas'!$I:$I,'Lançamentos de despesas'!$E:$E,"pago",'Lançamentos de despesas'!$V:$V,$A11,'Lançamentos de despesas'!$W:$W,$B$2,'Lançamentos de despesas'!$X:$X,$B$1)</f>
        <v>0</v>
      </c>
      <c r="I11" s="13">
        <f>SUMIFs('Lançamentos de despesas'!$I:$I,'Lançamentos de despesas'!$E:$E,"aberto",'Lançamentos de despesas'!$S:$S,A11,'Lançamentos de despesas'!$T:$T,$B$2,'Lançamentos de despesas'!$U:$U,$B$1)</f>
        <v>0</v>
      </c>
      <c r="J11" s="13">
        <f>SUMIFs('Lançamentos de despesas'!$I:$I,'Lançamentos de despesas'!$E:$E,"agendado",'Lançamentos de despesas'!$S:$S,A11,'Lançamentos de despesas'!$T:$T,$B$2,'Lançamentos de despesas'!$U:$U,$B$1)</f>
        <v>0</v>
      </c>
      <c r="K11" s="83">
        <f t="shared" si="2"/>
        <v>0</v>
      </c>
      <c r="L11" s="13">
        <f t="shared" si="3"/>
        <v>5311.24</v>
      </c>
      <c r="M11" s="13">
        <f t="shared" si="5"/>
        <v>166688.963</v>
      </c>
    </row>
    <row r="12">
      <c r="A12" s="77">
        <v>8.0</v>
      </c>
      <c r="B12" s="13">
        <f t="shared" si="4"/>
        <v>166688.963</v>
      </c>
      <c r="C12" s="13">
        <f>SUMIFS('Lançamentos de receitas'!$E:$E,'Lançamentos de receitas'!$C:$C,'Contas dos banco'!$C$2,'Lançamentos de receitas'!$H:$H,A12,'Lançamentos de receitas'!$I:$I,$B$2,'Lançamentos de receitas'!$J:$J,$B$1,'Lançamentos de receitas'!$F:$F,"TRANSFERÊNCIA")
</f>
        <v>2433.91</v>
      </c>
      <c r="D12" s="13">
        <f>+SUMIFS('Lançamentos de receitas'!$E:$E,'Lançamentos de receitas'!$C:$C,'Contas dos banco'!$C$3,'Lançamentos de receitas'!$H:$H,A12,'Lançamentos de receitas'!$I:$I,$B$2,'Lançamentos de receitas'!$J:$J,$B$1,'Lançamentos de receitas'!$F:$F,"PAGO")+SUMIFS('Lançamentos de receitas'!$E:$E,'Lançamentos de receitas'!$C:$C,'Contas dos banco'!$C$4,'Lançamentos de receitas'!$H:$H,A12,'Lançamentos de receitas'!$I:$I,$B$2,'Lançamentos de receitas'!$J:$J,$B$1,'Lançamentos de receitas'!$F:$F,"PAGO")</f>
        <v>2726.63</v>
      </c>
      <c r="E12" s="13">
        <f>+SUMIFS('Lançamentos de receitas'!$E:$E,'Lançamentos de receitas'!$F:$F,"liberado",'Lançamentos de receitas'!$H:$H,$A12,'Lançamentos de receitas'!$I:$I,$B$2,'Lançamentos de receitas'!$J:$J,$B$1)</f>
        <v>0</v>
      </c>
      <c r="F12" s="13">
        <f>SUMIFS('Lançamentos de receitas'!$E:$E,'Lançamentos de receitas'!$F:$F,"aberto",'Lançamentos de receitas'!$H:$H,$A12,'Lançamentos de receitas'!$I:$I,$B$2,'Lançamentos de receitas'!$J:$J,$B$1)</f>
        <v>0</v>
      </c>
      <c r="G12" s="83">
        <f t="shared" si="1"/>
        <v>5160.54</v>
      </c>
      <c r="H12" s="13">
        <f>SUMIFS('Lançamentos de despesas'!$I:$I,'Lançamentos de despesas'!$E:$E,"pago",'Lançamentos de despesas'!$V:$V,$A12,'Lançamentos de despesas'!$W:$W,$B$2,'Lançamentos de despesas'!$X:$X,$B$1)</f>
        <v>0</v>
      </c>
      <c r="I12" s="13">
        <f>SUMIFs('Lançamentos de despesas'!$I:$I,'Lançamentos de despesas'!$E:$E,"aberto",'Lançamentos de despesas'!$S:$S,A12,'Lançamentos de despesas'!$T:$T,$B$2,'Lançamentos de despesas'!$U:$U,$B$1)</f>
        <v>0</v>
      </c>
      <c r="J12" s="13">
        <f>SUMIFs('Lançamentos de despesas'!$I:$I,'Lançamentos de despesas'!$E:$E,"agendado",'Lançamentos de despesas'!$S:$S,A12,'Lançamentos de despesas'!$T:$T,$B$2,'Lançamentos de despesas'!$U:$U,$B$1)</f>
        <v>0</v>
      </c>
      <c r="K12" s="83">
        <f t="shared" si="2"/>
        <v>0</v>
      </c>
      <c r="L12" s="13">
        <f t="shared" si="3"/>
        <v>5160.54</v>
      </c>
      <c r="M12" s="13">
        <f t="shared" si="5"/>
        <v>171849.503</v>
      </c>
    </row>
    <row r="13">
      <c r="A13" s="77">
        <v>9.0</v>
      </c>
      <c r="B13" s="13">
        <f t="shared" si="4"/>
        <v>171849.503</v>
      </c>
      <c r="C13" s="13">
        <f>SUMIFS('Lançamentos de receitas'!$E:$E,'Lançamentos de receitas'!$C:$C,'Contas dos banco'!$C$2,'Lançamentos de receitas'!$H:$H,A13,'Lançamentos de receitas'!$I:$I,$B$2,'Lançamentos de receitas'!$J:$J,$B$1,'Lançamentos de receitas'!$F:$F,"TRANSFERÊNCIA")
</f>
        <v>14647.84</v>
      </c>
      <c r="D13" s="13">
        <f>+SUMIFS('Lançamentos de receitas'!$E:$E,'Lançamentos de receitas'!$C:$C,'Contas dos banco'!$C$3,'Lançamentos de receitas'!$H:$H,A13,'Lançamentos de receitas'!$I:$I,$B$2,'Lançamentos de receitas'!$J:$J,$B$1,'Lançamentos de receitas'!$F:$F,"PAGO")+SUMIFS('Lançamentos de receitas'!$E:$E,'Lançamentos de receitas'!$C:$C,'Contas dos banco'!$C$4,'Lançamentos de receitas'!$H:$H,A13,'Lançamentos de receitas'!$I:$I,$B$2,'Lançamentos de receitas'!$J:$J,$B$1,'Lançamentos de receitas'!$F:$F,"PAGO")</f>
        <v>46.53</v>
      </c>
      <c r="E13" s="13">
        <f>+SUMIFS('Lançamentos de receitas'!$E:$E,'Lançamentos de receitas'!$F:$F,"liberado",'Lançamentos de receitas'!$H:$H,$A13,'Lançamentos de receitas'!$I:$I,$B$2,'Lançamentos de receitas'!$J:$J,$B$1)</f>
        <v>0</v>
      </c>
      <c r="F13" s="13">
        <f>SUMIFS('Lançamentos de receitas'!$E:$E,'Lançamentos de receitas'!$F:$F,"aberto",'Lançamentos de receitas'!$H:$H,$A13,'Lançamentos de receitas'!$I:$I,$B$2,'Lançamentos de receitas'!$J:$J,$B$1)</f>
        <v>0</v>
      </c>
      <c r="G13" s="83">
        <f t="shared" si="1"/>
        <v>14694.37</v>
      </c>
      <c r="H13" s="13">
        <f>SUMIFS('Lançamentos de despesas'!$I:$I,'Lançamentos de despesas'!$E:$E,"pago",'Lançamentos de despesas'!$V:$V,$A13,'Lançamentos de despesas'!$W:$W,$B$2,'Lançamentos de despesas'!$X:$X,$B$1)</f>
        <v>3084.59</v>
      </c>
      <c r="I13" s="13">
        <f>SUMIFs('Lançamentos de despesas'!$I:$I,'Lançamentos de despesas'!$E:$E,"aberto",'Lançamentos de despesas'!$S:$S,A13,'Lançamentos de despesas'!$T:$T,$B$2,'Lançamentos de despesas'!$U:$U,$B$1)</f>
        <v>0</v>
      </c>
      <c r="J13" s="13">
        <f>SUMIFs('Lançamentos de despesas'!$I:$I,'Lançamentos de despesas'!$E:$E,"agendado",'Lançamentos de despesas'!$S:$S,A13,'Lançamentos de despesas'!$T:$T,$B$2,'Lançamentos de despesas'!$U:$U,$B$1)</f>
        <v>0</v>
      </c>
      <c r="K13" s="83">
        <f t="shared" si="2"/>
        <v>3084.59</v>
      </c>
      <c r="L13" s="13">
        <f t="shared" si="3"/>
        <v>11609.78</v>
      </c>
      <c r="M13" s="13">
        <f t="shared" si="5"/>
        <v>183459.283</v>
      </c>
    </row>
    <row r="14">
      <c r="A14" s="77">
        <v>10.0</v>
      </c>
      <c r="B14" s="13">
        <f t="shared" si="4"/>
        <v>183459.283</v>
      </c>
      <c r="C14" s="13">
        <f>SUMIFS('Lançamentos de receitas'!$E:$E,'Lançamentos de receitas'!$C:$C,'Contas dos banco'!$C$2,'Lançamentos de receitas'!$H:$H,A14,'Lançamentos de receitas'!$I:$I,$B$2,'Lançamentos de receitas'!$J:$J,$B$1,'Lançamentos de receitas'!$F:$F,"TRANSFERÊNCIA")
</f>
        <v>1996.75</v>
      </c>
      <c r="D14" s="13">
        <f>+SUMIFS('Lançamentos de receitas'!$E:$E,'Lançamentos de receitas'!$C:$C,'Contas dos banco'!$C$3,'Lançamentos de receitas'!$H:$H,A14,'Lançamentos de receitas'!$I:$I,$B$2,'Lançamentos de receitas'!$J:$J,$B$1,'Lançamentos de receitas'!$F:$F,"PAGO")+SUMIFS('Lançamentos de receitas'!$E:$E,'Lançamentos de receitas'!$C:$C,'Contas dos banco'!$C$4,'Lançamentos de receitas'!$H:$H,A14,'Lançamentos de receitas'!$I:$I,$B$2,'Lançamentos de receitas'!$J:$J,$B$1,'Lançamentos de receitas'!$F:$F,"PAGO")</f>
        <v>2631.87</v>
      </c>
      <c r="E14" s="13">
        <f>+SUMIFS('Lançamentos de receitas'!$E:$E,'Lançamentos de receitas'!$F:$F,"liberado",'Lançamentos de receitas'!$H:$H,$A14,'Lançamentos de receitas'!$I:$I,$B$2,'Lançamentos de receitas'!$J:$J,$B$1)</f>
        <v>0</v>
      </c>
      <c r="F14" s="13">
        <f>SUMIFS('Lançamentos de receitas'!$E:$E,'Lançamentos de receitas'!$F:$F,"aberto",'Lançamentos de receitas'!$H:$H,$A14,'Lançamentos de receitas'!$I:$I,$B$2,'Lançamentos de receitas'!$J:$J,$B$1)</f>
        <v>0</v>
      </c>
      <c r="G14" s="83">
        <f t="shared" si="1"/>
        <v>4628.62</v>
      </c>
      <c r="H14" s="13">
        <f>SUMIFS('Lançamentos de despesas'!$I:$I,'Lançamentos de despesas'!$E:$E,"pago",'Lançamentos de despesas'!$V:$V,$A14,'Lançamentos de despesas'!$W:$W,$B$2,'Lançamentos de despesas'!$X:$X,$B$1)</f>
        <v>7592.09</v>
      </c>
      <c r="I14" s="13">
        <f>SUMIFs('Lançamentos de despesas'!$I:$I,'Lançamentos de despesas'!$E:$E,"aberto",'Lançamentos de despesas'!$S:$S,A14,'Lançamentos de despesas'!$T:$T,$B$2,'Lançamentos de despesas'!$U:$U,$B$1)</f>
        <v>0</v>
      </c>
      <c r="J14" s="13">
        <f>SUMIFs('Lançamentos de despesas'!$I:$I,'Lançamentos de despesas'!$E:$E,"agendado",'Lançamentos de despesas'!$S:$S,A14,'Lançamentos de despesas'!$T:$T,$B$2,'Lançamentos de despesas'!$U:$U,$B$1)</f>
        <v>0</v>
      </c>
      <c r="K14" s="83">
        <f t="shared" si="2"/>
        <v>7592.09</v>
      </c>
      <c r="L14" s="13">
        <f t="shared" si="3"/>
        <v>-2963.47</v>
      </c>
      <c r="M14" s="13">
        <f t="shared" si="5"/>
        <v>180495.813</v>
      </c>
    </row>
    <row r="15">
      <c r="A15" s="77">
        <v>11.0</v>
      </c>
      <c r="B15" s="13">
        <f t="shared" si="4"/>
        <v>180495.813</v>
      </c>
      <c r="C15" s="13">
        <f>SUMIFS('Lançamentos de receitas'!$E:$E,'Lançamentos de receitas'!$C:$C,'Contas dos banco'!$C$2,'Lançamentos de receitas'!$H:$H,A15,'Lançamentos de receitas'!$I:$I,$B$2,'Lançamentos de receitas'!$J:$J,$B$1,'Lançamentos de receitas'!$F:$F,"TRANSFERÊNCIA")
</f>
        <v>0</v>
      </c>
      <c r="D15" s="13">
        <f>+SUMIFS('Lançamentos de receitas'!$E:$E,'Lançamentos de receitas'!$C:$C,'Contas dos banco'!$C$3,'Lançamentos de receitas'!$H:$H,A15,'Lançamentos de receitas'!$I:$I,$B$2,'Lançamentos de receitas'!$J:$J,$B$1,'Lançamentos de receitas'!$F:$F,"PAGO")+SUMIFS('Lançamentos de receitas'!$E:$E,'Lançamentos de receitas'!$C:$C,'Contas dos banco'!$C$4,'Lançamentos de receitas'!$H:$H,A15,'Lançamentos de receitas'!$I:$I,$B$2,'Lançamentos de receitas'!$J:$J,$B$1,'Lançamentos de receitas'!$F:$F,"PAGO")</f>
        <v>2900.47</v>
      </c>
      <c r="E15" s="13">
        <f>+SUMIFS('Lançamentos de receitas'!$E:$E,'Lançamentos de receitas'!$F:$F,"liberado",'Lançamentos de receitas'!$H:$H,$A15,'Lançamentos de receitas'!$I:$I,$B$2,'Lançamentos de receitas'!$J:$J,$B$1)</f>
        <v>0</v>
      </c>
      <c r="F15" s="13">
        <f>SUMIFS('Lançamentos de receitas'!$E:$E,'Lançamentos de receitas'!$F:$F,"aberto",'Lançamentos de receitas'!$H:$H,$A15,'Lançamentos de receitas'!$I:$I,$B$2,'Lançamentos de receitas'!$J:$J,$B$1)</f>
        <v>0</v>
      </c>
      <c r="G15" s="83">
        <f t="shared" si="1"/>
        <v>2900.47</v>
      </c>
      <c r="H15" s="13">
        <f>SUMIFS('Lançamentos de despesas'!$I:$I,'Lançamentos de despesas'!$E:$E,"pago",'Lançamentos de despesas'!$V:$V,$A15,'Lançamentos de despesas'!$W:$W,$B$2,'Lançamentos de despesas'!$X:$X,$B$1)</f>
        <v>1035.15</v>
      </c>
      <c r="I15" s="13">
        <f>SUMIFs('Lançamentos de despesas'!$I:$I,'Lançamentos de despesas'!$E:$E,"aberto",'Lançamentos de despesas'!$S:$S,A15,'Lançamentos de despesas'!$T:$T,$B$2,'Lançamentos de despesas'!$U:$U,$B$1)</f>
        <v>0</v>
      </c>
      <c r="J15" s="13">
        <f>SUMIFs('Lançamentos de despesas'!$I:$I,'Lançamentos de despesas'!$E:$E,"agendado",'Lançamentos de despesas'!$S:$S,A15,'Lançamentos de despesas'!$T:$T,$B$2,'Lançamentos de despesas'!$U:$U,$B$1)</f>
        <v>0</v>
      </c>
      <c r="K15" s="83">
        <f t="shared" si="2"/>
        <v>1035.15</v>
      </c>
      <c r="L15" s="13">
        <f t="shared" si="3"/>
        <v>1865.32</v>
      </c>
      <c r="M15" s="13">
        <f t="shared" si="5"/>
        <v>182361.133</v>
      </c>
    </row>
    <row r="16">
      <c r="A16" s="77">
        <v>12.0</v>
      </c>
      <c r="B16" s="13">
        <f t="shared" si="4"/>
        <v>182361.133</v>
      </c>
      <c r="C16" s="13">
        <f>SUMIFS('Lançamentos de receitas'!$E:$E,'Lançamentos de receitas'!$C:$C,'Contas dos banco'!$C$2,'Lançamentos de receitas'!$H:$H,A16,'Lançamentos de receitas'!$I:$I,$B$2,'Lançamentos de receitas'!$J:$J,$B$1,'Lançamentos de receitas'!$F:$F,"TRANSFERÊNCIA")
</f>
        <v>3444.4</v>
      </c>
      <c r="D16" s="13">
        <f>+SUMIFS('Lançamentos de receitas'!$E:$E,'Lançamentos de receitas'!$C:$C,'Contas dos banco'!$C$3,'Lançamentos de receitas'!$H:$H,A16,'Lançamentos de receitas'!$I:$I,$B$2,'Lançamentos de receitas'!$J:$J,$B$1,'Lançamentos de receitas'!$F:$F,"PAGO")+SUMIFS('Lançamentos de receitas'!$E:$E,'Lançamentos de receitas'!$C:$C,'Contas dos banco'!$C$4,'Lançamentos de receitas'!$H:$H,A16,'Lançamentos de receitas'!$I:$I,$B$2,'Lançamentos de receitas'!$J:$J,$B$1,'Lançamentos de receitas'!$F:$F,"PAGO")</f>
        <v>2881.51</v>
      </c>
      <c r="E16" s="13">
        <f>+SUMIFS('Lançamentos de receitas'!$E:$E,'Lançamentos de receitas'!$F:$F,"liberado",'Lançamentos de receitas'!$H:$H,$A16,'Lançamentos de receitas'!$I:$I,$B$2,'Lançamentos de receitas'!$J:$J,$B$1)</f>
        <v>0</v>
      </c>
      <c r="F16" s="13">
        <f>SUMIFS('Lançamentos de receitas'!$E:$E,'Lançamentos de receitas'!$F:$F,"aberto",'Lançamentos de receitas'!$H:$H,$A16,'Lançamentos de receitas'!$I:$I,$B$2,'Lançamentos de receitas'!$J:$J,$B$1)</f>
        <v>0</v>
      </c>
      <c r="G16" s="83">
        <f t="shared" si="1"/>
        <v>6325.91</v>
      </c>
      <c r="H16" s="13">
        <f>SUMIFS('Lançamentos de despesas'!$I:$I,'Lançamentos de despesas'!$E:$E,"pago",'Lançamentos de despesas'!$V:$V,$A16,'Lançamentos de despesas'!$W:$W,$B$2,'Lançamentos de despesas'!$X:$X,$B$1)</f>
        <v>60</v>
      </c>
      <c r="I16" s="13">
        <f>SUMIFs('Lançamentos de despesas'!$I:$I,'Lançamentos de despesas'!$E:$E,"aberto",'Lançamentos de despesas'!$S:$S,A16,'Lançamentos de despesas'!$T:$T,$B$2,'Lançamentos de despesas'!$U:$U,$B$1)</f>
        <v>0</v>
      </c>
      <c r="J16" s="13">
        <f>SUMIFs('Lançamentos de despesas'!$I:$I,'Lançamentos de despesas'!$E:$E,"agendado",'Lançamentos de despesas'!$S:$S,A16,'Lançamentos de despesas'!$T:$T,$B$2,'Lançamentos de despesas'!$U:$U,$B$1)</f>
        <v>0</v>
      </c>
      <c r="K16" s="83">
        <f t="shared" si="2"/>
        <v>60</v>
      </c>
      <c r="L16" s="13">
        <f t="shared" si="3"/>
        <v>6265.91</v>
      </c>
      <c r="M16" s="13">
        <f t="shared" si="5"/>
        <v>188627.043</v>
      </c>
    </row>
    <row r="17">
      <c r="A17" s="77">
        <v>13.0</v>
      </c>
      <c r="B17" s="13">
        <f t="shared" si="4"/>
        <v>188627.043</v>
      </c>
      <c r="C17" s="13">
        <f>SUMIFS('Lançamentos de receitas'!$E:$E,'Lançamentos de receitas'!$C:$C,'Contas dos banco'!$C$2,'Lançamentos de receitas'!$H:$H,A17,'Lançamentos de receitas'!$I:$I,$B$2,'Lançamentos de receitas'!$J:$J,$B$1,'Lançamentos de receitas'!$F:$F,"TRANSFERÊNCIA")
</f>
        <v>2077.12</v>
      </c>
      <c r="D17" s="13">
        <f>+SUMIFS('Lançamentos de receitas'!$E:$E,'Lançamentos de receitas'!$C:$C,'Contas dos banco'!$C$3,'Lançamentos de receitas'!$H:$H,A17,'Lançamentos de receitas'!$I:$I,$B$2,'Lançamentos de receitas'!$J:$J,$B$1,'Lançamentos de receitas'!$F:$F,"PAGO")+SUMIFS('Lançamentos de receitas'!$E:$E,'Lançamentos de receitas'!$C:$C,'Contas dos banco'!$C$4,'Lançamentos de receitas'!$H:$H,A17,'Lançamentos de receitas'!$I:$I,$B$2,'Lançamentos de receitas'!$J:$J,$B$1,'Lançamentos de receitas'!$F:$F,"PAGO")</f>
        <v>2225.92</v>
      </c>
      <c r="E17" s="13">
        <f>+SUMIFS('Lançamentos de receitas'!$E:$E,'Lançamentos de receitas'!$F:$F,"liberado",'Lançamentos de receitas'!$H:$H,$A17,'Lançamentos de receitas'!$I:$I,$B$2,'Lançamentos de receitas'!$J:$J,$B$1)</f>
        <v>0</v>
      </c>
      <c r="F17" s="13">
        <f>SUMIFS('Lançamentos de receitas'!$E:$E,'Lançamentos de receitas'!$F:$F,"aberto",'Lançamentos de receitas'!$H:$H,$A17,'Lançamentos de receitas'!$I:$I,$B$2,'Lançamentos de receitas'!$J:$J,$B$1)</f>
        <v>0</v>
      </c>
      <c r="G17" s="83">
        <f t="shared" si="1"/>
        <v>4303.04</v>
      </c>
      <c r="H17" s="13">
        <f>SUMIFS('Lançamentos de despesas'!$I:$I,'Lançamentos de despesas'!$E:$E,"pago",'Lançamentos de despesas'!$V:$V,$A17,'Lançamentos de despesas'!$W:$W,$B$2,'Lançamentos de despesas'!$X:$X,$B$1)</f>
        <v>8712.38</v>
      </c>
      <c r="I17" s="13">
        <f>SUMIFs('Lançamentos de despesas'!$I:$I,'Lançamentos de despesas'!$E:$E,"aberto",'Lançamentos de despesas'!$S:$S,A17,'Lançamentos de despesas'!$T:$T,$B$2,'Lançamentos de despesas'!$U:$U,$B$1)</f>
        <v>0</v>
      </c>
      <c r="J17" s="13">
        <f>SUMIFs('Lançamentos de despesas'!$I:$I,'Lançamentos de despesas'!$E:$E,"agendado",'Lançamentos de despesas'!$S:$S,A17,'Lançamentos de despesas'!$T:$T,$B$2,'Lançamentos de despesas'!$U:$U,$B$1)</f>
        <v>0</v>
      </c>
      <c r="K17" s="83">
        <f t="shared" si="2"/>
        <v>8712.38</v>
      </c>
      <c r="L17" s="13">
        <f t="shared" si="3"/>
        <v>-4409.34</v>
      </c>
      <c r="M17" s="13">
        <f t="shared" si="5"/>
        <v>184217.703</v>
      </c>
    </row>
    <row r="18">
      <c r="A18" s="77">
        <v>14.0</v>
      </c>
      <c r="B18" s="13">
        <f t="shared" si="4"/>
        <v>184217.703</v>
      </c>
      <c r="C18" s="13">
        <f>SUMIFS('Lançamentos de receitas'!$E:$E,'Lançamentos de receitas'!$C:$C,'Contas dos banco'!$C$2,'Lançamentos de receitas'!$H:$H,A18,'Lançamentos de receitas'!$I:$I,$B$2,'Lançamentos de receitas'!$J:$J,$B$1,'Lançamentos de receitas'!$F:$F,"TRANSFERÊNCIA")
</f>
        <v>2658.43</v>
      </c>
      <c r="D18" s="13">
        <f>+SUMIFS('Lançamentos de receitas'!$E:$E,'Lançamentos de receitas'!$C:$C,'Contas dos banco'!$C$3,'Lançamentos de receitas'!$H:$H,A18,'Lançamentos de receitas'!$I:$I,$B$2,'Lançamentos de receitas'!$J:$J,$B$1,'Lançamentos de receitas'!$F:$F,"PAGO")+SUMIFS('Lançamentos de receitas'!$E:$E,'Lançamentos de receitas'!$C:$C,'Contas dos banco'!$C$4,'Lançamentos de receitas'!$H:$H,A18,'Lançamentos de receitas'!$I:$I,$B$2,'Lançamentos de receitas'!$J:$J,$B$1,'Lançamentos de receitas'!$F:$F,"PAGO")</f>
        <v>3024.09</v>
      </c>
      <c r="E18" s="13">
        <f>+SUMIFS('Lançamentos de receitas'!$E:$E,'Lançamentos de receitas'!$F:$F,"liberado",'Lançamentos de receitas'!$H:$H,$A18,'Lançamentos de receitas'!$I:$I,$B$2,'Lançamentos de receitas'!$J:$J,$B$1)</f>
        <v>0</v>
      </c>
      <c r="F18" s="13">
        <f>SUMIFS('Lançamentos de receitas'!$E:$E,'Lançamentos de receitas'!$F:$F,"aberto",'Lançamentos de receitas'!$H:$H,$A18,'Lançamentos de receitas'!$I:$I,$B$2,'Lançamentos de receitas'!$J:$J,$B$1)</f>
        <v>0</v>
      </c>
      <c r="G18" s="83">
        <f t="shared" si="1"/>
        <v>5682.52</v>
      </c>
      <c r="H18" s="13">
        <f>SUMIFS('Lançamentos de despesas'!$I:$I,'Lançamentos de despesas'!$E:$E,"pago",'Lançamentos de despesas'!$V:$V,$A18,'Lançamentos de despesas'!$W:$W,$B$2,'Lançamentos de despesas'!$X:$X,$B$1)</f>
        <v>4588.04</v>
      </c>
      <c r="I18" s="13">
        <f>SUMIFs('Lançamentos de despesas'!$I:$I,'Lançamentos de despesas'!$E:$E,"aberto",'Lançamentos de despesas'!$S:$S,A18,'Lançamentos de despesas'!$T:$T,$B$2,'Lançamentos de despesas'!$U:$U,$B$1)</f>
        <v>0</v>
      </c>
      <c r="J18" s="13">
        <f>SUMIFs('Lançamentos de despesas'!$I:$I,'Lançamentos de despesas'!$E:$E,"agendado",'Lançamentos de despesas'!$S:$S,A18,'Lançamentos de despesas'!$T:$T,$B$2,'Lançamentos de despesas'!$U:$U,$B$1)</f>
        <v>0</v>
      </c>
      <c r="K18" s="83">
        <f t="shared" si="2"/>
        <v>4588.04</v>
      </c>
      <c r="L18" s="13">
        <f t="shared" si="3"/>
        <v>1094.48</v>
      </c>
      <c r="M18" s="13">
        <f t="shared" si="5"/>
        <v>185312.183</v>
      </c>
    </row>
    <row r="19">
      <c r="A19" s="77">
        <v>15.0</v>
      </c>
      <c r="B19" s="13">
        <f t="shared" si="4"/>
        <v>185312.183</v>
      </c>
      <c r="C19" s="13">
        <f>SUMIFS('Lançamentos de receitas'!$E:$E,'Lançamentos de receitas'!$C:$C,'Contas dos banco'!$C$2,'Lançamentos de receitas'!$H:$H,A19,'Lançamentos de receitas'!$I:$I,$B$2,'Lançamentos de receitas'!$J:$J,$B$1,'Lançamentos de receitas'!$F:$F,"TRANSFERÊNCIA")
</f>
        <v>2045.52</v>
      </c>
      <c r="D19" s="13">
        <f>+SUMIFS('Lançamentos de receitas'!$E:$E,'Lançamentos de receitas'!$C:$C,'Contas dos banco'!$C$3,'Lançamentos de receitas'!$H:$H,A19,'Lançamentos de receitas'!$I:$I,$B$2,'Lançamentos de receitas'!$J:$J,$B$1,'Lançamentos de receitas'!$F:$F,"PAGO")+SUMIFS('Lançamentos de receitas'!$E:$E,'Lançamentos de receitas'!$C:$C,'Contas dos banco'!$C$4,'Lançamentos de receitas'!$H:$H,A19,'Lançamentos de receitas'!$I:$I,$B$2,'Lançamentos de receitas'!$J:$J,$B$1,'Lançamentos de receitas'!$F:$F,"PAGO")</f>
        <v>3184.48</v>
      </c>
      <c r="E19" s="13">
        <f>+SUMIFS('Lançamentos de receitas'!$E:$E,'Lançamentos de receitas'!$F:$F,"liberado",'Lançamentos de receitas'!$H:$H,$A19,'Lançamentos de receitas'!$I:$I,$B$2,'Lançamentos de receitas'!$J:$J,$B$1)</f>
        <v>0</v>
      </c>
      <c r="F19" s="13">
        <f>SUMIFS('Lançamentos de receitas'!$E:$E,'Lançamentos de receitas'!$F:$F,"aberto",'Lançamentos de receitas'!$H:$H,$A19,'Lançamentos de receitas'!$I:$I,$B$2,'Lançamentos de receitas'!$J:$J,$B$1)</f>
        <v>0</v>
      </c>
      <c r="G19" s="83">
        <f t="shared" si="1"/>
        <v>5230</v>
      </c>
      <c r="H19" s="13">
        <f>SUMIFS('Lançamentos de despesas'!$I:$I,'Lançamentos de despesas'!$E:$E,"pago",'Lançamentos de despesas'!$V:$V,$A19,'Lançamentos de despesas'!$W:$W,$B$2,'Lançamentos de despesas'!$X:$X,$B$1)</f>
        <v>0</v>
      </c>
      <c r="I19" s="13">
        <f>SUMIFs('Lançamentos de despesas'!$I:$I,'Lançamentos de despesas'!$E:$E,"aberto",'Lançamentos de despesas'!$S:$S,A19,'Lançamentos de despesas'!$T:$T,$B$2,'Lançamentos de despesas'!$U:$U,$B$1)</f>
        <v>0</v>
      </c>
      <c r="J19" s="13">
        <f>SUMIFs('Lançamentos de despesas'!$I:$I,'Lançamentos de despesas'!$E:$E,"agendado",'Lançamentos de despesas'!$S:$S,A19,'Lançamentos de despesas'!$T:$T,$B$2,'Lançamentos de despesas'!$U:$U,$B$1)</f>
        <v>0</v>
      </c>
      <c r="K19" s="83">
        <f t="shared" si="2"/>
        <v>0</v>
      </c>
      <c r="L19" s="13">
        <f t="shared" si="3"/>
        <v>5230</v>
      </c>
      <c r="M19" s="13">
        <f t="shared" si="5"/>
        <v>190542.183</v>
      </c>
    </row>
    <row r="20">
      <c r="A20" s="77">
        <v>16.0</v>
      </c>
      <c r="B20" s="13">
        <f t="shared" si="4"/>
        <v>190542.183</v>
      </c>
      <c r="C20" s="13">
        <f>SUMIFS('Lançamentos de receitas'!$E:$E,'Lançamentos de receitas'!$C:$C,'Contas dos banco'!$C$2,'Lançamentos de receitas'!$H:$H,A20,'Lançamentos de receitas'!$I:$I,$B$2,'Lançamentos de receitas'!$J:$J,$B$1,'Lançamentos de receitas'!$F:$F,"TRANSFERÊNCIA")
</f>
        <v>27638.68</v>
      </c>
      <c r="D20" s="13">
        <f>+SUMIFS('Lançamentos de receitas'!$E:$E,'Lançamentos de receitas'!$C:$C,'Contas dos banco'!$C$3,'Lançamentos de receitas'!$H:$H,A20,'Lançamentos de receitas'!$I:$I,$B$2,'Lançamentos de receitas'!$J:$J,$B$1,'Lançamentos de receitas'!$F:$F,"PAGO")+SUMIFS('Lançamentos de receitas'!$E:$E,'Lançamentos de receitas'!$C:$C,'Contas dos banco'!$C$4,'Lançamentos de receitas'!$H:$H,A20,'Lançamentos de receitas'!$I:$I,$B$2,'Lançamentos de receitas'!$J:$J,$B$1,'Lançamentos de receitas'!$F:$F,"PAGO")</f>
        <v>483.5</v>
      </c>
      <c r="E20" s="13">
        <f>+SUMIFS('Lançamentos de receitas'!$E:$E,'Lançamentos de receitas'!$F:$F,"liberado",'Lançamentos de receitas'!$H:$H,$A20,'Lançamentos de receitas'!$I:$I,$B$2,'Lançamentos de receitas'!$J:$J,$B$1)</f>
        <v>0</v>
      </c>
      <c r="F20" s="13">
        <f>SUMIFS('Lançamentos de receitas'!$E:$E,'Lançamentos de receitas'!$F:$F,"aberto",'Lançamentos de receitas'!$H:$H,$A20,'Lançamentos de receitas'!$I:$I,$B$2,'Lançamentos de receitas'!$J:$J,$B$1)</f>
        <v>0</v>
      </c>
      <c r="G20" s="83">
        <f t="shared" si="1"/>
        <v>28122.18</v>
      </c>
      <c r="H20" s="13">
        <f>SUMIFS('Lançamentos de despesas'!$I:$I,'Lançamentos de despesas'!$E:$E,"pago",'Lançamentos de despesas'!$V:$V,$A20,'Lançamentos de despesas'!$W:$W,$B$2,'Lançamentos de despesas'!$X:$X,$B$1)</f>
        <v>783.26</v>
      </c>
      <c r="I20" s="13">
        <f>SUMIFs('Lançamentos de despesas'!$I:$I,'Lançamentos de despesas'!$E:$E,"aberto",'Lançamentos de despesas'!$S:$S,A20,'Lançamentos de despesas'!$T:$T,$B$2,'Lançamentos de despesas'!$U:$U,$B$1)</f>
        <v>0</v>
      </c>
      <c r="J20" s="13">
        <f>SUMIFs('Lançamentos de despesas'!$I:$I,'Lançamentos de despesas'!$E:$E,"agendado",'Lançamentos de despesas'!$S:$S,A20,'Lançamentos de despesas'!$T:$T,$B$2,'Lançamentos de despesas'!$U:$U,$B$1)</f>
        <v>0</v>
      </c>
      <c r="K20" s="83">
        <f t="shared" si="2"/>
        <v>783.26</v>
      </c>
      <c r="L20" s="13">
        <f t="shared" si="3"/>
        <v>27338.92</v>
      </c>
      <c r="M20" s="13">
        <f t="shared" si="5"/>
        <v>217881.103</v>
      </c>
    </row>
    <row r="21">
      <c r="A21" s="77">
        <v>17.0</v>
      </c>
      <c r="B21" s="13">
        <f t="shared" si="4"/>
        <v>217881.103</v>
      </c>
      <c r="C21" s="13">
        <f>SUMIFS('Lançamentos de receitas'!$E:$E,'Lançamentos de receitas'!$C:$C,'Contas dos banco'!$C$2,'Lançamentos de receitas'!$H:$H,A21,'Lançamentos de receitas'!$I:$I,$B$2,'Lançamentos de receitas'!$J:$J,$B$1,'Lançamentos de receitas'!$F:$F,"TRANSFERÊNCIA")
</f>
        <v>824.78</v>
      </c>
      <c r="D21" s="13">
        <f>+SUMIFS('Lançamentos de receitas'!$E:$E,'Lançamentos de receitas'!$C:$C,'Contas dos banco'!$C$3,'Lançamentos de receitas'!$H:$H,A21,'Lançamentos de receitas'!$I:$I,$B$2,'Lançamentos de receitas'!$J:$J,$B$1,'Lançamentos de receitas'!$F:$F,"PAGO")+SUMIFS('Lançamentos de receitas'!$E:$E,'Lançamentos de receitas'!$C:$C,'Contas dos banco'!$C$4,'Lançamentos de receitas'!$H:$H,A21,'Lançamentos de receitas'!$I:$I,$B$2,'Lançamentos de receitas'!$J:$J,$B$1,'Lançamentos de receitas'!$F:$F,"PAGO")</f>
        <v>3682.04</v>
      </c>
      <c r="E21" s="13">
        <f>+SUMIFS('Lançamentos de receitas'!$E:$E,'Lançamentos de receitas'!$F:$F,"liberado",'Lançamentos de receitas'!$H:$H,$A21,'Lançamentos de receitas'!$I:$I,$B$2,'Lançamentos de receitas'!$J:$J,$B$1)</f>
        <v>0</v>
      </c>
      <c r="F21" s="13">
        <f>SUMIFS('Lançamentos de receitas'!$E:$E,'Lançamentos de receitas'!$F:$F,"aberto",'Lançamentos de receitas'!$H:$H,$A21,'Lançamentos de receitas'!$I:$I,$B$2,'Lançamentos de receitas'!$J:$J,$B$1)</f>
        <v>0</v>
      </c>
      <c r="G21" s="83">
        <f t="shared" si="1"/>
        <v>4506.82</v>
      </c>
      <c r="H21" s="13">
        <f>SUMIFS('Lançamentos de despesas'!$I:$I,'Lançamentos de despesas'!$E:$E,"pago",'Lançamentos de despesas'!$V:$V,$A21,'Lançamentos de despesas'!$W:$W,$B$2,'Lançamentos de despesas'!$X:$X,$B$1)</f>
        <v>4000</v>
      </c>
      <c r="I21" s="13">
        <f>SUMIFs('Lançamentos de despesas'!$I:$I,'Lançamentos de despesas'!$E:$E,"aberto",'Lançamentos de despesas'!$S:$S,A21,'Lançamentos de despesas'!$T:$T,$B$2,'Lançamentos de despesas'!$U:$U,$B$1)</f>
        <v>0</v>
      </c>
      <c r="J21" s="13">
        <f>SUMIFs('Lançamentos de despesas'!$I:$I,'Lançamentos de despesas'!$E:$E,"agendado",'Lançamentos de despesas'!$S:$S,A21,'Lançamentos de despesas'!$T:$T,$B$2,'Lançamentos de despesas'!$U:$U,$B$1)</f>
        <v>0</v>
      </c>
      <c r="K21" s="83">
        <f t="shared" si="2"/>
        <v>4000</v>
      </c>
      <c r="L21" s="13">
        <f t="shared" si="3"/>
        <v>506.82</v>
      </c>
      <c r="M21" s="13">
        <f t="shared" si="5"/>
        <v>218387.923</v>
      </c>
    </row>
    <row r="22">
      <c r="A22" s="77">
        <v>18.0</v>
      </c>
      <c r="B22" s="13">
        <f t="shared" si="4"/>
        <v>218387.923</v>
      </c>
      <c r="C22" s="13">
        <f>SUMIFS('Lançamentos de receitas'!$E:$E,'Lançamentos de receitas'!$C:$C,'Contas dos banco'!$C$2,'Lançamentos de receitas'!$H:$H,A22,'Lançamentos de receitas'!$I:$I,$B$2,'Lançamentos de receitas'!$J:$J,$B$1,'Lançamentos de receitas'!$F:$F,"TRANSFERÊNCIA")
</f>
        <v>1391.02</v>
      </c>
      <c r="D22" s="13">
        <f>+SUMIFS('Lançamentos de receitas'!$E:$E,'Lançamentos de receitas'!$C:$C,'Contas dos banco'!$C$3,'Lançamentos de receitas'!$H:$H,A22,'Lançamentos de receitas'!$I:$I,$B$2,'Lançamentos de receitas'!$J:$J,$B$1,'Lançamentos de receitas'!$F:$F,"PAGO")+SUMIFS('Lançamentos de receitas'!$E:$E,'Lançamentos de receitas'!$C:$C,'Contas dos banco'!$C$4,'Lançamentos de receitas'!$H:$H,A22,'Lançamentos de receitas'!$I:$I,$B$2,'Lançamentos de receitas'!$J:$J,$B$1,'Lançamentos de receitas'!$F:$F,"PAGO")</f>
        <v>4050.51</v>
      </c>
      <c r="E22" s="13">
        <f>+SUMIFS('Lançamentos de receitas'!$E:$E,'Lançamentos de receitas'!$F:$F,"liberado",'Lançamentos de receitas'!$H:$H,$A22,'Lançamentos de receitas'!$I:$I,$B$2,'Lançamentos de receitas'!$J:$J,$B$1)</f>
        <v>0</v>
      </c>
      <c r="F22" s="13">
        <f>SUMIFS('Lançamentos de receitas'!$E:$E,'Lançamentos de receitas'!$F:$F,"aberto",'Lançamentos de receitas'!$H:$H,$A22,'Lançamentos de receitas'!$I:$I,$B$2,'Lançamentos de receitas'!$J:$J,$B$1)</f>
        <v>0</v>
      </c>
      <c r="G22" s="83">
        <f t="shared" si="1"/>
        <v>5441.53</v>
      </c>
      <c r="H22" s="13">
        <f>SUMIFS('Lançamentos de despesas'!$I:$I,'Lançamentos de despesas'!$E:$E,"pago",'Lançamentos de despesas'!$V:$V,$A22,'Lançamentos de despesas'!$W:$W,$B$2,'Lançamentos de despesas'!$X:$X,$B$1)</f>
        <v>3742.66</v>
      </c>
      <c r="I22" s="13">
        <f>SUMIFs('Lançamentos de despesas'!$I:$I,'Lançamentos de despesas'!$E:$E,"aberto",'Lançamentos de despesas'!$S:$S,A22,'Lançamentos de despesas'!$T:$T,$B$2,'Lançamentos de despesas'!$U:$U,$B$1)</f>
        <v>0</v>
      </c>
      <c r="J22" s="13">
        <f>SUMIFs('Lançamentos de despesas'!$I:$I,'Lançamentos de despesas'!$E:$E,"agendado",'Lançamentos de despesas'!$S:$S,A22,'Lançamentos de despesas'!$T:$T,$B$2,'Lançamentos de despesas'!$U:$U,$B$1)</f>
        <v>0</v>
      </c>
      <c r="K22" s="83">
        <f t="shared" si="2"/>
        <v>3742.66</v>
      </c>
      <c r="L22" s="13">
        <f t="shared" si="3"/>
        <v>1698.87</v>
      </c>
      <c r="M22" s="13">
        <f t="shared" si="5"/>
        <v>220086.793</v>
      </c>
    </row>
    <row r="23">
      <c r="A23" s="77">
        <v>19.0</v>
      </c>
      <c r="B23" s="13">
        <f t="shared" si="4"/>
        <v>220086.793</v>
      </c>
      <c r="C23" s="13">
        <f>SUMIFS('Lançamentos de receitas'!$E:$E,'Lançamentos de receitas'!$C:$C,'Contas dos banco'!$C$2,'Lançamentos de receitas'!$H:$H,A23,'Lançamentos de receitas'!$I:$I,$B$2,'Lançamentos de receitas'!$J:$J,$B$1,'Lançamentos de receitas'!$F:$F,"TRANSFERÊNCIA")
</f>
        <v>1126.57</v>
      </c>
      <c r="D23" s="13">
        <f>+SUMIFS('Lançamentos de receitas'!$E:$E,'Lançamentos de receitas'!$C:$C,'Contas dos banco'!$C$3,'Lançamentos de receitas'!$H:$H,A23,'Lançamentos de receitas'!$I:$I,$B$2,'Lançamentos de receitas'!$J:$J,$B$1,'Lançamentos de receitas'!$F:$F,"PAGO")+SUMIFS('Lançamentos de receitas'!$E:$E,'Lançamentos de receitas'!$C:$C,'Contas dos banco'!$C$4,'Lançamentos de receitas'!$H:$H,A23,'Lançamentos de receitas'!$I:$I,$B$2,'Lançamentos de receitas'!$J:$J,$B$1,'Lançamentos de receitas'!$F:$F,"PAGO")</f>
        <v>4652.09</v>
      </c>
      <c r="E23" s="13">
        <f>+SUMIFS('Lançamentos de receitas'!$E:$E,'Lançamentos de receitas'!$F:$F,"liberado",'Lançamentos de receitas'!$H:$H,$A23,'Lançamentos de receitas'!$I:$I,$B$2,'Lançamentos de receitas'!$J:$J,$B$1)</f>
        <v>0</v>
      </c>
      <c r="F23" s="13">
        <f>SUMIFS('Lançamentos de receitas'!$E:$E,'Lançamentos de receitas'!$F:$F,"aberto",'Lançamentos de receitas'!$H:$H,$A23,'Lançamentos de receitas'!$I:$I,$B$2,'Lançamentos de receitas'!$J:$J,$B$1)</f>
        <v>0</v>
      </c>
      <c r="G23" s="83">
        <f t="shared" si="1"/>
        <v>5778.66</v>
      </c>
      <c r="H23" s="13">
        <f>SUMIFS('Lançamentos de despesas'!$I:$I,'Lançamentos de despesas'!$E:$E,"pago",'Lançamentos de despesas'!$V:$V,$A23,'Lançamentos de despesas'!$W:$W,$B$2,'Lançamentos de despesas'!$X:$X,$B$1)</f>
        <v>160</v>
      </c>
      <c r="I23" s="13">
        <f>SUMIFs('Lançamentos de despesas'!$I:$I,'Lançamentos de despesas'!$E:$E,"aberto",'Lançamentos de despesas'!$S:$S,A23,'Lançamentos de despesas'!$T:$T,$B$2,'Lançamentos de despesas'!$U:$U,$B$1)</f>
        <v>0</v>
      </c>
      <c r="J23" s="13">
        <f>SUMIFs('Lançamentos de despesas'!$I:$I,'Lançamentos de despesas'!$E:$E,"agendado",'Lançamentos de despesas'!$S:$S,A23,'Lançamentos de despesas'!$T:$T,$B$2,'Lançamentos de despesas'!$U:$U,$B$1)</f>
        <v>0</v>
      </c>
      <c r="K23" s="83">
        <f t="shared" si="2"/>
        <v>160</v>
      </c>
      <c r="L23" s="13">
        <f t="shared" si="3"/>
        <v>5618.66</v>
      </c>
      <c r="M23" s="13">
        <f t="shared" si="5"/>
        <v>225705.453</v>
      </c>
    </row>
    <row r="24">
      <c r="A24" s="77">
        <v>20.0</v>
      </c>
      <c r="B24" s="13">
        <f t="shared" si="4"/>
        <v>225705.453</v>
      </c>
      <c r="C24" s="13">
        <f>SUMIFS('Lançamentos de receitas'!$E:$E,'Lançamentos de receitas'!$C:$C,'Contas dos banco'!$C$2,'Lançamentos de receitas'!$H:$H,A24,'Lançamentos de receitas'!$I:$I,$B$2,'Lançamentos de receitas'!$J:$J,$B$1,'Lançamentos de receitas'!$F:$F,"TRANSFERÊNCIA")
</f>
        <v>5152.56</v>
      </c>
      <c r="D24" s="13">
        <f>+SUMIFS('Lançamentos de receitas'!$E:$E,'Lançamentos de receitas'!$C:$C,'Contas dos banco'!$C$3,'Lançamentos de receitas'!$H:$H,A24,'Lançamentos de receitas'!$I:$I,$B$2,'Lançamentos de receitas'!$J:$J,$B$1,'Lançamentos de receitas'!$F:$F,"PAGO")+SUMIFS('Lançamentos de receitas'!$E:$E,'Lançamentos de receitas'!$C:$C,'Contas dos banco'!$C$4,'Lançamentos de receitas'!$H:$H,A24,'Lançamentos de receitas'!$I:$I,$B$2,'Lançamentos de receitas'!$J:$J,$B$1,'Lançamentos de receitas'!$F:$F,"PAGO")</f>
        <v>4230.22</v>
      </c>
      <c r="E24" s="13">
        <f>+SUMIFS('Lançamentos de receitas'!$E:$E,'Lançamentos de receitas'!$F:$F,"liberado",'Lançamentos de receitas'!$H:$H,$A24,'Lançamentos de receitas'!$I:$I,$B$2,'Lançamentos de receitas'!$J:$J,$B$1)</f>
        <v>0</v>
      </c>
      <c r="F24" s="13">
        <f>SUMIFS('Lançamentos de receitas'!$E:$E,'Lançamentos de receitas'!$F:$F,"aberto",'Lançamentos de receitas'!$H:$H,$A24,'Lançamentos de receitas'!$I:$I,$B$2,'Lançamentos de receitas'!$J:$J,$B$1)</f>
        <v>0</v>
      </c>
      <c r="G24" s="83">
        <f t="shared" si="1"/>
        <v>9382.78</v>
      </c>
      <c r="H24" s="13">
        <f>SUMIFS('Lançamentos de despesas'!$I:$I,'Lançamentos de despesas'!$E:$E,"pago",'Lançamentos de despesas'!$V:$V,$A24,'Lançamentos de despesas'!$W:$W,$B$2,'Lançamentos de despesas'!$X:$X,$B$1)</f>
        <v>40020.66</v>
      </c>
      <c r="I24" s="13">
        <f>SUMIFs('Lançamentos de despesas'!$I:$I,'Lançamentos de despesas'!$E:$E,"aberto",'Lançamentos de despesas'!$S:$S,A24,'Lançamentos de despesas'!$T:$T,$B$2,'Lançamentos de despesas'!$U:$U,$B$1)</f>
        <v>0</v>
      </c>
      <c r="J24" s="13">
        <f>SUMIFs('Lançamentos de despesas'!$I:$I,'Lançamentos de despesas'!$E:$E,"agendado",'Lançamentos de despesas'!$S:$S,A24,'Lançamentos de despesas'!$T:$T,$B$2,'Lançamentos de despesas'!$U:$U,$B$1)</f>
        <v>0</v>
      </c>
      <c r="K24" s="83">
        <f t="shared" si="2"/>
        <v>40020.66</v>
      </c>
      <c r="L24" s="13">
        <f t="shared" si="3"/>
        <v>-30637.88</v>
      </c>
      <c r="M24" s="13">
        <f t="shared" si="5"/>
        <v>195067.573</v>
      </c>
    </row>
    <row r="25">
      <c r="A25" s="77">
        <v>21.0</v>
      </c>
      <c r="B25" s="13">
        <f t="shared" si="4"/>
        <v>195067.573</v>
      </c>
      <c r="C25" s="13">
        <f>SUMIFS('Lançamentos de receitas'!$E:$E,'Lançamentos de receitas'!$C:$C,'Contas dos banco'!$C$2,'Lançamentos de receitas'!$H:$H,A25,'Lançamentos de receitas'!$I:$I,$B$2,'Lançamentos de receitas'!$J:$J,$B$1,'Lançamentos de receitas'!$F:$F,"TRANSFERÊNCIA")
</f>
        <v>1723.38</v>
      </c>
      <c r="D25" s="13">
        <f>+SUMIFS('Lançamentos de receitas'!$E:$E,'Lançamentos de receitas'!$C:$C,'Contas dos banco'!$C$3,'Lançamentos de receitas'!$H:$H,A25,'Lançamentos de receitas'!$I:$I,$B$2,'Lançamentos de receitas'!$J:$J,$B$1,'Lançamentos de receitas'!$F:$F,"PAGO")+SUMIFS('Lançamentos de receitas'!$E:$E,'Lançamentos de receitas'!$C:$C,'Contas dos banco'!$C$4,'Lançamentos de receitas'!$H:$H,A25,'Lançamentos de receitas'!$I:$I,$B$2,'Lançamentos de receitas'!$J:$J,$B$1,'Lançamentos de receitas'!$F:$F,"PAGO")</f>
        <v>4312.99</v>
      </c>
      <c r="E25" s="13">
        <f>+SUMIFS('Lançamentos de receitas'!$E:$E,'Lançamentos de receitas'!$F:$F,"liberado",'Lançamentos de receitas'!$H:$H,$A25,'Lançamentos de receitas'!$I:$I,$B$2,'Lançamentos de receitas'!$J:$J,$B$1)</f>
        <v>0</v>
      </c>
      <c r="F25" s="13">
        <f>SUMIFS('Lançamentos de receitas'!$E:$E,'Lançamentos de receitas'!$F:$F,"aberto",'Lançamentos de receitas'!$H:$H,$A25,'Lançamentos de receitas'!$I:$I,$B$2,'Lançamentos de receitas'!$J:$J,$B$1)</f>
        <v>0</v>
      </c>
      <c r="G25" s="83">
        <f t="shared" si="1"/>
        <v>6036.37</v>
      </c>
      <c r="H25" s="13">
        <f>SUMIFS('Lançamentos de despesas'!$I:$I,'Lançamentos de despesas'!$E:$E,"pago",'Lançamentos de despesas'!$V:$V,$A25,'Lançamentos de despesas'!$W:$W,$B$2,'Lançamentos de despesas'!$X:$X,$B$1)</f>
        <v>0</v>
      </c>
      <c r="I25" s="13">
        <f>SUMIFs('Lançamentos de despesas'!$I:$I,'Lançamentos de despesas'!$E:$E,"aberto",'Lançamentos de despesas'!$S:$S,A25,'Lançamentos de despesas'!$T:$T,$B$2,'Lançamentos de despesas'!$U:$U,$B$1)</f>
        <v>0</v>
      </c>
      <c r="J25" s="13">
        <f>SUMIFs('Lançamentos de despesas'!$I:$I,'Lançamentos de despesas'!$E:$E,"agendado",'Lançamentos de despesas'!$S:$S,A25,'Lançamentos de despesas'!$T:$T,$B$2,'Lançamentos de despesas'!$U:$U,$B$1)</f>
        <v>0</v>
      </c>
      <c r="K25" s="83">
        <f t="shared" si="2"/>
        <v>0</v>
      </c>
      <c r="L25" s="13">
        <f t="shared" si="3"/>
        <v>6036.37</v>
      </c>
      <c r="M25" s="13">
        <f t="shared" si="5"/>
        <v>201103.943</v>
      </c>
    </row>
    <row r="26">
      <c r="A26" s="77">
        <v>22.0</v>
      </c>
      <c r="B26" s="13">
        <f t="shared" si="4"/>
        <v>201103.943</v>
      </c>
      <c r="C26" s="13">
        <f>SUMIFS('Lançamentos de receitas'!$E:$E,'Lançamentos de receitas'!$C:$C,'Contas dos banco'!$C$2,'Lançamentos de receitas'!$H:$H,A26,'Lançamentos de receitas'!$I:$I,$B$2,'Lançamentos de receitas'!$J:$J,$B$1,'Lançamentos de receitas'!$F:$F,"TRANSFERÊNCIA")
</f>
        <v>860.09</v>
      </c>
      <c r="D26" s="13">
        <f>+SUMIFS('Lançamentos de receitas'!$E:$E,'Lançamentos de receitas'!$C:$C,'Contas dos banco'!$C$3,'Lançamentos de receitas'!$H:$H,A26,'Lançamentos de receitas'!$I:$I,$B$2,'Lançamentos de receitas'!$J:$J,$B$1,'Lançamentos de receitas'!$F:$F,"PAGO")+SUMIFS('Lançamentos de receitas'!$E:$E,'Lançamentos de receitas'!$C:$C,'Contas dos banco'!$C$4,'Lançamentos de receitas'!$H:$H,A26,'Lançamentos de receitas'!$I:$I,$B$2,'Lançamentos de receitas'!$J:$J,$B$1,'Lançamentos de receitas'!$F:$F,"PAGO")</f>
        <v>2858.97</v>
      </c>
      <c r="E26" s="13">
        <f>+SUMIFS('Lançamentos de receitas'!$E:$E,'Lançamentos de receitas'!$F:$F,"liberado",'Lançamentos de receitas'!$H:$H,$A26,'Lançamentos de receitas'!$I:$I,$B$2,'Lançamentos de receitas'!$J:$J,$B$1)</f>
        <v>0</v>
      </c>
      <c r="F26" s="13">
        <f>SUMIFS('Lançamentos de receitas'!$E:$E,'Lançamentos de receitas'!$F:$F,"aberto",'Lançamentos de receitas'!$H:$H,$A26,'Lançamentos de receitas'!$I:$I,$B$2,'Lançamentos de receitas'!$J:$J,$B$1)</f>
        <v>0</v>
      </c>
      <c r="G26" s="83">
        <f t="shared" si="1"/>
        <v>3719.06</v>
      </c>
      <c r="H26" s="13">
        <f>SUMIFS('Lançamentos de despesas'!$I:$I,'Lançamentos de despesas'!$E:$E,"pago",'Lançamentos de despesas'!$V:$V,$A26,'Lançamentos de despesas'!$W:$W,$B$2,'Lançamentos de despesas'!$X:$X,$B$1)</f>
        <v>0</v>
      </c>
      <c r="I26" s="13">
        <f>SUMIFs('Lançamentos de despesas'!$I:$I,'Lançamentos de despesas'!$E:$E,"aberto",'Lançamentos de despesas'!$S:$S,A26,'Lançamentos de despesas'!$T:$T,$B$2,'Lançamentos de despesas'!$U:$U,$B$1)</f>
        <v>0</v>
      </c>
      <c r="J26" s="13">
        <f>SUMIFs('Lançamentos de despesas'!$I:$I,'Lançamentos de despesas'!$E:$E,"agendado",'Lançamentos de despesas'!$S:$S,A26,'Lançamentos de despesas'!$T:$T,$B$2,'Lançamentos de despesas'!$U:$U,$B$1)</f>
        <v>0</v>
      </c>
      <c r="K26" s="83">
        <f t="shared" si="2"/>
        <v>0</v>
      </c>
      <c r="L26" s="13">
        <f t="shared" si="3"/>
        <v>3719.06</v>
      </c>
      <c r="M26" s="13">
        <f t="shared" si="5"/>
        <v>204823.003</v>
      </c>
    </row>
    <row r="27">
      <c r="A27" s="77">
        <v>23.0</v>
      </c>
      <c r="B27" s="13">
        <f t="shared" si="4"/>
        <v>204823.003</v>
      </c>
      <c r="C27" s="13">
        <f>SUMIFS('Lançamentos de receitas'!$E:$E,'Lançamentos de receitas'!$C:$C,'Contas dos banco'!$C$2,'Lançamentos de receitas'!$H:$H,A27,'Lançamentos de receitas'!$I:$I,$B$2,'Lançamentos de receitas'!$J:$J,$B$1,'Lançamentos de receitas'!$F:$F,"TRANSFERÊNCIA")
</f>
        <v>15084.95</v>
      </c>
      <c r="D27" s="13">
        <f>+SUMIFS('Lançamentos de receitas'!$E:$E,'Lançamentos de receitas'!$C:$C,'Contas dos banco'!$C$3,'Lançamentos de receitas'!$H:$H,A27,'Lançamentos de receitas'!$I:$I,$B$2,'Lançamentos de receitas'!$J:$J,$B$1,'Lançamentos de receitas'!$F:$F,"PAGO")+SUMIFS('Lançamentos de receitas'!$E:$E,'Lançamentos de receitas'!$C:$C,'Contas dos banco'!$C$4,'Lançamentos de receitas'!$H:$H,A27,'Lançamentos de receitas'!$I:$I,$B$2,'Lançamentos de receitas'!$J:$J,$B$1,'Lançamentos de receitas'!$F:$F,"PAGO")</f>
        <v>959.45</v>
      </c>
      <c r="E27" s="13">
        <f>+SUMIFS('Lançamentos de receitas'!$E:$E,'Lançamentos de receitas'!$F:$F,"liberado",'Lançamentos de receitas'!$H:$H,$A27,'Lançamentos de receitas'!$I:$I,$B$2,'Lançamentos de receitas'!$J:$J,$B$1)</f>
        <v>0</v>
      </c>
      <c r="F27" s="13">
        <f>SUMIFS('Lançamentos de receitas'!$E:$E,'Lançamentos de receitas'!$F:$F,"aberto",'Lançamentos de receitas'!$H:$H,$A27,'Lançamentos de receitas'!$I:$I,$B$2,'Lançamentos de receitas'!$J:$J,$B$1)</f>
        <v>0</v>
      </c>
      <c r="G27" s="83">
        <f t="shared" si="1"/>
        <v>16044.4</v>
      </c>
      <c r="H27" s="13">
        <f>SUMIFS('Lançamentos de despesas'!$I:$I,'Lançamentos de despesas'!$E:$E,"pago",'Lançamentos de despesas'!$V:$V,$A27,'Lançamentos de despesas'!$W:$W,$B$2,'Lançamentos de despesas'!$X:$X,$B$1)</f>
        <v>14588.87</v>
      </c>
      <c r="I27" s="13">
        <f>SUMIFs('Lançamentos de despesas'!$I:$I,'Lançamentos de despesas'!$E:$E,"aberto",'Lançamentos de despesas'!$S:$S,A27,'Lançamentos de despesas'!$T:$T,$B$2,'Lançamentos de despesas'!$U:$U,$B$1)</f>
        <v>0</v>
      </c>
      <c r="J27" s="13">
        <f>SUMIFs('Lançamentos de despesas'!$I:$I,'Lançamentos de despesas'!$E:$E,"agendado",'Lançamentos de despesas'!$S:$S,A27,'Lançamentos de despesas'!$T:$T,$B$2,'Lançamentos de despesas'!$U:$U,$B$1)</f>
        <v>2640</v>
      </c>
      <c r="K27" s="83">
        <f t="shared" si="2"/>
        <v>17228.87</v>
      </c>
      <c r="L27" s="13">
        <f t="shared" si="3"/>
        <v>-1184.47</v>
      </c>
      <c r="M27" s="13">
        <f t="shared" si="5"/>
        <v>203638.533</v>
      </c>
    </row>
    <row r="28">
      <c r="A28" s="77">
        <v>24.0</v>
      </c>
      <c r="B28" s="13">
        <f t="shared" si="4"/>
        <v>203638.533</v>
      </c>
      <c r="C28" s="13">
        <f>SUMIFS('Lançamentos de receitas'!$E:$E,'Lançamentos de receitas'!$C:$C,'Contas dos banco'!$C$2,'Lançamentos de receitas'!$H:$H,A28,'Lançamentos de receitas'!$I:$I,$B$2,'Lançamentos de receitas'!$J:$J,$B$1,'Lançamentos de receitas'!$F:$F,"TRANSFERÊNCIA")
</f>
        <v>0</v>
      </c>
      <c r="D28" s="13">
        <f>+SUMIFS('Lançamentos de receitas'!$E:$E,'Lançamentos de receitas'!$C:$C,'Contas dos banco'!$C$3,'Lançamentos de receitas'!$H:$H,A28,'Lançamentos de receitas'!$I:$I,$B$2,'Lançamentos de receitas'!$J:$J,$B$1,'Lançamentos de receitas'!$F:$F,"PAGO")+SUMIFS('Lançamentos de receitas'!$E:$E,'Lançamentos de receitas'!$C:$C,'Contas dos banco'!$C$4,'Lançamentos de receitas'!$H:$H,A28,'Lançamentos de receitas'!$I:$I,$B$2,'Lançamentos de receitas'!$J:$J,$B$1,'Lançamentos de receitas'!$F:$F,"PAGO")</f>
        <v>0</v>
      </c>
      <c r="E28" s="13">
        <f>+SUMIFS('Lançamentos de receitas'!$E:$E,'Lançamentos de receitas'!$F:$F,"liberado",'Lançamentos de receitas'!$H:$H,$A28,'Lançamentos de receitas'!$I:$I,$B$2,'Lançamentos de receitas'!$J:$J,$B$1)</f>
        <v>0</v>
      </c>
      <c r="F28" s="13">
        <f>SUMIFS('Lançamentos de receitas'!$E:$E,'Lançamentos de receitas'!$F:$F,"aberto",'Lançamentos de receitas'!$H:$H,$A28,'Lançamentos de receitas'!$I:$I,$B$2,'Lançamentos de receitas'!$J:$J,$B$1)</f>
        <v>3911.9</v>
      </c>
      <c r="G28" s="83">
        <f t="shared" si="1"/>
        <v>3911.9</v>
      </c>
      <c r="H28" s="13">
        <f>SUMIFS('Lançamentos de despesas'!$I:$I,'Lançamentos de despesas'!$E:$E,"pago",'Lançamentos de despesas'!$V:$V,$A28,'Lançamentos de despesas'!$W:$W,$B$2,'Lançamentos de despesas'!$X:$X,$B$1)</f>
        <v>0</v>
      </c>
      <c r="I28" s="13">
        <f>SUMIFs('Lançamentos de despesas'!$I:$I,'Lançamentos de despesas'!$E:$E,"aberto",'Lançamentos de despesas'!$S:$S,A28,'Lançamentos de despesas'!$T:$T,$B$2,'Lançamentos de despesas'!$U:$U,$B$1)</f>
        <v>5080</v>
      </c>
      <c r="J28" s="13">
        <f>SUMIFs('Lançamentos de despesas'!$I:$I,'Lançamentos de despesas'!$E:$E,"agendado",'Lançamentos de despesas'!$S:$S,A28,'Lançamentos de despesas'!$T:$T,$B$2,'Lançamentos de despesas'!$U:$U,$B$1)</f>
        <v>148.07</v>
      </c>
      <c r="K28" s="83">
        <f t="shared" si="2"/>
        <v>5228.07</v>
      </c>
      <c r="L28" s="13">
        <f t="shared" si="3"/>
        <v>-1316.17</v>
      </c>
      <c r="M28" s="13">
        <f t="shared" si="5"/>
        <v>202322.363</v>
      </c>
    </row>
    <row r="29">
      <c r="A29" s="77">
        <v>25.0</v>
      </c>
      <c r="B29" s="13">
        <f t="shared" si="4"/>
        <v>202322.363</v>
      </c>
      <c r="C29" s="13">
        <f>SUMIFS('Lançamentos de receitas'!$E:$E,'Lançamentos de receitas'!$C:$C,'Contas dos banco'!$C$2,'Lançamentos de receitas'!$H:$H,A29,'Lançamentos de receitas'!$I:$I,$B$2,'Lançamentos de receitas'!$J:$J,$B$1,'Lançamentos de receitas'!$F:$F,"TRANSFERÊNCIA")
</f>
        <v>0</v>
      </c>
      <c r="D29" s="13">
        <f>+SUMIFS('Lançamentos de receitas'!$E:$E,'Lançamentos de receitas'!$C:$C,'Contas dos banco'!$C$3,'Lançamentos de receitas'!$H:$H,A29,'Lançamentos de receitas'!$I:$I,$B$2,'Lançamentos de receitas'!$J:$J,$B$1,'Lançamentos de receitas'!$F:$F,"PAGO")+SUMIFS('Lançamentos de receitas'!$E:$E,'Lançamentos de receitas'!$C:$C,'Contas dos banco'!$C$4,'Lançamentos de receitas'!$H:$H,A29,'Lançamentos de receitas'!$I:$I,$B$2,'Lançamentos de receitas'!$J:$J,$B$1,'Lançamentos de receitas'!$F:$F,"PAGO")</f>
        <v>0</v>
      </c>
      <c r="E29" s="13">
        <f>+SUMIFS('Lançamentos de receitas'!$E:$E,'Lançamentos de receitas'!$F:$F,"liberado",'Lançamentos de receitas'!$H:$H,$A29,'Lançamentos de receitas'!$I:$I,$B$2,'Lançamentos de receitas'!$J:$J,$B$1)</f>
        <v>0</v>
      </c>
      <c r="F29" s="13">
        <f>SUMIFS('Lançamentos de receitas'!$E:$E,'Lançamentos de receitas'!$F:$F,"aberto",'Lançamentos de receitas'!$H:$H,$A29,'Lançamentos de receitas'!$I:$I,$B$2,'Lançamentos de receitas'!$J:$J,$B$1)</f>
        <v>5595.36</v>
      </c>
      <c r="G29" s="83">
        <f t="shared" si="1"/>
        <v>5595.36</v>
      </c>
      <c r="H29" s="13">
        <f>SUMIFS('Lançamentos de despesas'!$I:$I,'Lançamentos de despesas'!$E:$E,"pago",'Lançamentos de despesas'!$V:$V,$A29,'Lançamentos de despesas'!$W:$W,$B$2,'Lançamentos de despesas'!$X:$X,$B$1)</f>
        <v>0</v>
      </c>
      <c r="I29" s="13">
        <f>SUMIFs('Lançamentos de despesas'!$I:$I,'Lançamentos de despesas'!$E:$E,"aberto",'Lançamentos de despesas'!$S:$S,A29,'Lançamentos de despesas'!$T:$T,$B$2,'Lançamentos de despesas'!$U:$U,$B$1)</f>
        <v>132900</v>
      </c>
      <c r="J29" s="13">
        <f>SUMIFs('Lançamentos de despesas'!$I:$I,'Lançamentos de despesas'!$E:$E,"agendado",'Lançamentos de despesas'!$S:$S,A29,'Lançamentos de despesas'!$T:$T,$B$2,'Lançamentos de despesas'!$U:$U,$B$1)</f>
        <v>409.94</v>
      </c>
      <c r="K29" s="83">
        <f t="shared" si="2"/>
        <v>133309.94</v>
      </c>
      <c r="L29" s="13">
        <f t="shared" si="3"/>
        <v>-127714.58</v>
      </c>
      <c r="M29" s="13">
        <f t="shared" si="5"/>
        <v>74607.783</v>
      </c>
    </row>
    <row r="30">
      <c r="A30" s="77">
        <v>26.0</v>
      </c>
      <c r="B30" s="13">
        <f t="shared" si="4"/>
        <v>74607.783</v>
      </c>
      <c r="C30" s="13">
        <f>SUMIFS('Lançamentos de receitas'!$E:$E,'Lançamentos de receitas'!$C:$C,'Contas dos banco'!$C$2,'Lançamentos de receitas'!$H:$H,A30,'Lançamentos de receitas'!$I:$I,$B$2,'Lançamentos de receitas'!$J:$J,$B$1,'Lançamentos de receitas'!$F:$F,"TRANSFERÊNCIA")
</f>
        <v>0</v>
      </c>
      <c r="D30" s="13">
        <f>+SUMIFS('Lançamentos de receitas'!$E:$E,'Lançamentos de receitas'!$C:$C,'Contas dos banco'!$C$3,'Lançamentos de receitas'!$H:$H,A30,'Lançamentos de receitas'!$I:$I,$B$2,'Lançamentos de receitas'!$J:$J,$B$1,'Lançamentos de receitas'!$F:$F,"PAGO")+SUMIFS('Lançamentos de receitas'!$E:$E,'Lançamentos de receitas'!$C:$C,'Contas dos banco'!$C$4,'Lançamentos de receitas'!$H:$H,A30,'Lançamentos de receitas'!$I:$I,$B$2,'Lançamentos de receitas'!$J:$J,$B$1,'Lançamentos de receitas'!$F:$F,"PAGO")</f>
        <v>0</v>
      </c>
      <c r="E30" s="13">
        <f>+SUMIFS('Lançamentos de receitas'!$E:$E,'Lançamentos de receitas'!$F:$F,"liberado",'Lançamentos de receitas'!$H:$H,$A30,'Lançamentos de receitas'!$I:$I,$B$2,'Lançamentos de receitas'!$J:$J,$B$1)</f>
        <v>0</v>
      </c>
      <c r="F30" s="13">
        <f>SUMIFS('Lançamentos de receitas'!$E:$E,'Lançamentos de receitas'!$F:$F,"aberto",'Lançamentos de receitas'!$H:$H,$A30,'Lançamentos de receitas'!$I:$I,$B$2,'Lançamentos de receitas'!$J:$J,$B$1)</f>
        <v>5932.73</v>
      </c>
      <c r="G30" s="83">
        <f t="shared" si="1"/>
        <v>5932.73</v>
      </c>
      <c r="H30" s="13">
        <f>SUMIFS('Lançamentos de despesas'!$I:$I,'Lançamentos de despesas'!$E:$E,"pago",'Lançamentos de despesas'!$V:$V,$A30,'Lançamentos de despesas'!$W:$W,$B$2,'Lançamentos de despesas'!$X:$X,$B$1)</f>
        <v>0</v>
      </c>
      <c r="I30" s="13">
        <f>SUMIFs('Lançamentos de despesas'!$I:$I,'Lançamentos de despesas'!$E:$E,"aberto",'Lançamentos de despesas'!$S:$S,A30,'Lançamentos de despesas'!$T:$T,$B$2,'Lançamentos de despesas'!$U:$U,$B$1)</f>
        <v>9500</v>
      </c>
      <c r="J30" s="13">
        <f>SUMIFs('Lançamentos de despesas'!$I:$I,'Lançamentos de despesas'!$E:$E,"agendado",'Lançamentos de despesas'!$S:$S,A30,'Lançamentos de despesas'!$T:$T,$B$2,'Lançamentos de despesas'!$U:$U,$B$1)</f>
        <v>0</v>
      </c>
      <c r="K30" s="83">
        <f t="shared" si="2"/>
        <v>9500</v>
      </c>
      <c r="L30" s="13">
        <f t="shared" si="3"/>
        <v>-3567.27</v>
      </c>
      <c r="M30" s="13">
        <f t="shared" si="5"/>
        <v>71040.513</v>
      </c>
    </row>
    <row r="31">
      <c r="A31" s="77">
        <v>27.0</v>
      </c>
      <c r="B31" s="13">
        <f t="shared" si="4"/>
        <v>71040.513</v>
      </c>
      <c r="C31" s="13">
        <f>SUMIFS('Lançamentos de receitas'!$E:$E,'Lançamentos de receitas'!$C:$C,'Contas dos banco'!$C$2,'Lançamentos de receitas'!$H:$H,A31,'Lançamentos de receitas'!$I:$I,$B$2,'Lançamentos de receitas'!$J:$J,$B$1,'Lançamentos de receitas'!$F:$F,"TRANSFERÊNCIA")
</f>
        <v>0</v>
      </c>
      <c r="D31" s="13">
        <f>+SUMIFS('Lançamentos de receitas'!$E:$E,'Lançamentos de receitas'!$C:$C,'Contas dos banco'!$C$3,'Lançamentos de receitas'!$H:$H,A31,'Lançamentos de receitas'!$I:$I,$B$2,'Lançamentos de receitas'!$J:$J,$B$1,'Lançamentos de receitas'!$F:$F,"PAGO")+SUMIFS('Lançamentos de receitas'!$E:$E,'Lançamentos de receitas'!$C:$C,'Contas dos banco'!$C$4,'Lançamentos de receitas'!$H:$H,A31,'Lançamentos de receitas'!$I:$I,$B$2,'Lançamentos de receitas'!$J:$J,$B$1,'Lançamentos de receitas'!$F:$F,"PAGO")</f>
        <v>0</v>
      </c>
      <c r="E31" s="13">
        <f>+SUMIFS('Lançamentos de receitas'!$E:$E,'Lançamentos de receitas'!$F:$F,"liberado",'Lançamentos de receitas'!$H:$H,$A31,'Lançamentos de receitas'!$I:$I,$B$2,'Lançamentos de receitas'!$J:$J,$B$1)</f>
        <v>0</v>
      </c>
      <c r="F31" s="13">
        <f>SUMIFS('Lançamentos de receitas'!$E:$E,'Lançamentos de receitas'!$F:$F,"aberto",'Lançamentos de receitas'!$H:$H,$A31,'Lançamentos de receitas'!$I:$I,$B$2,'Lançamentos de receitas'!$J:$J,$B$1)</f>
        <v>4631.83</v>
      </c>
      <c r="G31" s="83">
        <f t="shared" si="1"/>
        <v>4631.83</v>
      </c>
      <c r="H31" s="13">
        <f>SUMIFS('Lançamentos de despesas'!$I:$I,'Lançamentos de despesas'!$E:$E,"pago",'Lançamentos de despesas'!$V:$V,$A31,'Lançamentos de despesas'!$W:$W,$B$2,'Lançamentos de despesas'!$X:$X,$B$1)</f>
        <v>0</v>
      </c>
      <c r="I31" s="13">
        <f>SUMIFs('Lançamentos de despesas'!$I:$I,'Lançamentos de despesas'!$E:$E,"aberto",'Lançamentos de despesas'!$S:$S,A31,'Lançamentos de despesas'!$T:$T,$B$2,'Lançamentos de despesas'!$U:$U,$B$1)</f>
        <v>6000</v>
      </c>
      <c r="J31" s="13">
        <f>SUMIFs('Lançamentos de despesas'!$I:$I,'Lançamentos de despesas'!$E:$E,"agendado",'Lançamentos de despesas'!$S:$S,A31,'Lançamentos de despesas'!$T:$T,$B$2,'Lançamentos de despesas'!$U:$U,$B$1)</f>
        <v>0</v>
      </c>
      <c r="K31" s="83">
        <f t="shared" si="2"/>
        <v>6000</v>
      </c>
      <c r="L31" s="13">
        <f t="shared" si="3"/>
        <v>-1368.17</v>
      </c>
      <c r="M31" s="13">
        <f t="shared" si="5"/>
        <v>69672.343</v>
      </c>
    </row>
    <row r="32">
      <c r="A32" s="77">
        <v>28.0</v>
      </c>
      <c r="B32" s="13">
        <f t="shared" si="4"/>
        <v>69672.343</v>
      </c>
      <c r="C32" s="13">
        <f>SUMIFS('Lançamentos de receitas'!$E:$E,'Lançamentos de receitas'!$C:$C,'Contas dos banco'!$C$2,'Lançamentos de receitas'!$H:$H,A32,'Lançamentos de receitas'!$I:$I,$B$2,'Lançamentos de receitas'!$J:$J,$B$1,'Lançamentos de receitas'!$F:$F,"TRANSFERÊNCIA")
</f>
        <v>0</v>
      </c>
      <c r="D32" s="13">
        <f>+SUMIFS('Lançamentos de receitas'!$E:$E,'Lançamentos de receitas'!$C:$C,'Contas dos banco'!$C$3,'Lançamentos de receitas'!$H:$H,A32,'Lançamentos de receitas'!$I:$I,$B$2,'Lançamentos de receitas'!$J:$J,$B$1,'Lançamentos de receitas'!$F:$F,"PAGO")+SUMIFS('Lançamentos de receitas'!$E:$E,'Lançamentos de receitas'!$C:$C,'Contas dos banco'!$C$4,'Lançamentos de receitas'!$H:$H,A32,'Lançamentos de receitas'!$I:$I,$B$2,'Lançamentos de receitas'!$J:$J,$B$1,'Lançamentos de receitas'!$F:$F,"PAGO")</f>
        <v>0</v>
      </c>
      <c r="E32" s="13">
        <f>+SUMIFS('Lançamentos de receitas'!$E:$E,'Lançamentos de receitas'!$F:$F,"liberado",'Lançamentos de receitas'!$H:$H,$A32,'Lançamentos de receitas'!$I:$I,$B$2,'Lançamentos de receitas'!$J:$J,$B$1)</f>
        <v>0</v>
      </c>
      <c r="F32" s="13">
        <f>SUMIFS('Lançamentos de receitas'!$E:$E,'Lançamentos de receitas'!$F:$F,"aberto",'Lançamentos de receitas'!$H:$H,$A32,'Lançamentos de receitas'!$I:$I,$B$2,'Lançamentos de receitas'!$J:$J,$B$1)</f>
        <v>4626.76</v>
      </c>
      <c r="G32" s="83">
        <f t="shared" si="1"/>
        <v>4626.76</v>
      </c>
      <c r="H32" s="13">
        <f>SUMIFS('Lançamentos de despesas'!$I:$I,'Lançamentos de despesas'!$E:$E,"pago",'Lançamentos de despesas'!$V:$V,$A32,'Lançamentos de despesas'!$W:$W,$B$2,'Lançamentos de despesas'!$X:$X,$B$1)</f>
        <v>0</v>
      </c>
      <c r="I32" s="13">
        <f>SUMIFs('Lançamentos de despesas'!$I:$I,'Lançamentos de despesas'!$E:$E,"aberto",'Lançamentos de despesas'!$S:$S,A32,'Lançamentos de despesas'!$T:$T,$B$2,'Lançamentos de despesas'!$U:$U,$B$1)</f>
        <v>0</v>
      </c>
      <c r="J32" s="13">
        <f>SUMIFs('Lançamentos de despesas'!$I:$I,'Lançamentos de despesas'!$E:$E,"agendado",'Lançamentos de despesas'!$S:$S,A32,'Lançamentos de despesas'!$T:$T,$B$2,'Lançamentos de despesas'!$U:$U,$B$1)</f>
        <v>0</v>
      </c>
      <c r="K32" s="83">
        <f t="shared" si="2"/>
        <v>0</v>
      </c>
      <c r="L32" s="13">
        <f t="shared" si="3"/>
        <v>4626.76</v>
      </c>
      <c r="M32" s="13">
        <f t="shared" si="5"/>
        <v>74299.103</v>
      </c>
    </row>
    <row r="33">
      <c r="A33" s="77">
        <v>29.0</v>
      </c>
      <c r="B33" s="13">
        <f t="shared" si="4"/>
        <v>74299.103</v>
      </c>
      <c r="C33" s="13">
        <f>SUMIFS('Lançamentos de receitas'!$E:$E,'Lançamentos de receitas'!$C:$C,'Contas dos banco'!$C$2,'Lançamentos de receitas'!$H:$H,A33,'Lançamentos de receitas'!$I:$I,$B$2,'Lançamentos de receitas'!$J:$J,$B$1,'Lançamentos de receitas'!$F:$F,"TRANSFERÊNCIA")
</f>
        <v>0</v>
      </c>
      <c r="D33" s="13">
        <f>+SUMIFS('Lançamentos de receitas'!$E:$E,'Lançamentos de receitas'!$C:$C,'Contas dos banco'!$C$3,'Lançamentos de receitas'!$H:$H,A33,'Lançamentos de receitas'!$I:$I,$B$2,'Lançamentos de receitas'!$J:$J,$B$1,'Lançamentos de receitas'!$F:$F,"PAGO")+SUMIFS('Lançamentos de receitas'!$E:$E,'Lançamentos de receitas'!$C:$C,'Contas dos banco'!$C$4,'Lançamentos de receitas'!$H:$H,A33,'Lançamentos de receitas'!$I:$I,$B$2,'Lançamentos de receitas'!$J:$J,$B$1,'Lançamentos de receitas'!$F:$F,"PAGO")</f>
        <v>0</v>
      </c>
      <c r="E33" s="13">
        <f>+SUMIFS('Lançamentos de receitas'!$E:$E,'Lançamentos de receitas'!$F:$F,"liberado",'Lançamentos de receitas'!$H:$H,$A33,'Lançamentos de receitas'!$I:$I,$B$2,'Lançamentos de receitas'!$J:$J,$B$1)</f>
        <v>0</v>
      </c>
      <c r="F33" s="13">
        <f>SUMIFS('Lançamentos de receitas'!$E:$E,'Lançamentos de receitas'!$F:$F,"aberto",'Lançamentos de receitas'!$H:$H,$A33,'Lançamentos de receitas'!$I:$I,$B$2,'Lançamentos de receitas'!$J:$J,$B$1)</f>
        <v>3134.9</v>
      </c>
      <c r="G33" s="83">
        <f t="shared" si="1"/>
        <v>3134.9</v>
      </c>
      <c r="H33" s="13">
        <f>SUMIFS('Lançamentos de despesas'!$I:$I,'Lançamentos de despesas'!$E:$E,"pago",'Lançamentos de despesas'!$V:$V,$A33,'Lançamentos de despesas'!$W:$W,$B$2,'Lançamentos de despesas'!$X:$X,$B$1)</f>
        <v>0</v>
      </c>
      <c r="I33" s="13">
        <f>SUMIFs('Lançamentos de despesas'!$I:$I,'Lançamentos de despesas'!$E:$E,"aberto",'Lançamentos de despesas'!$S:$S,A33,'Lançamentos de despesas'!$T:$T,$B$2,'Lançamentos de despesas'!$U:$U,$B$1)</f>
        <v>0</v>
      </c>
      <c r="J33" s="13">
        <f>SUMIFs('Lançamentos de despesas'!$I:$I,'Lançamentos de despesas'!$E:$E,"agendado",'Lançamentos de despesas'!$S:$S,A33,'Lançamentos de despesas'!$T:$T,$B$2,'Lançamentos de despesas'!$U:$U,$B$1)</f>
        <v>0</v>
      </c>
      <c r="K33" s="83">
        <f t="shared" si="2"/>
        <v>0</v>
      </c>
      <c r="L33" s="13">
        <f t="shared" si="3"/>
        <v>3134.9</v>
      </c>
      <c r="M33" s="13">
        <f t="shared" si="5"/>
        <v>77434.003</v>
      </c>
    </row>
    <row r="34">
      <c r="A34" s="77">
        <v>30.0</v>
      </c>
      <c r="B34" s="13">
        <f t="shared" si="4"/>
        <v>77434.003</v>
      </c>
      <c r="C34" s="13">
        <f>SUMIFS('Lançamentos de receitas'!$E:$E,'Lançamentos de receitas'!$C:$C,'Contas dos banco'!$C$2,'Lançamentos de receitas'!$H:$H,A34,'Lançamentos de receitas'!$I:$I,$B$2,'Lançamentos de receitas'!$J:$J,$B$1,'Lançamentos de receitas'!$F:$F,"TRANSFERÊNCIA")
</f>
        <v>0</v>
      </c>
      <c r="D34" s="13">
        <f>+SUMIFS('Lançamentos de receitas'!$E:$E,'Lançamentos de receitas'!$C:$C,'Contas dos banco'!$C$3,'Lançamentos de receitas'!$H:$H,A34,'Lançamentos de receitas'!$I:$I,$B$2,'Lançamentos de receitas'!$J:$J,$B$1,'Lançamentos de receitas'!$F:$F,"PAGO")+SUMIFS('Lançamentos de receitas'!$E:$E,'Lançamentos de receitas'!$C:$C,'Contas dos banco'!$C$4,'Lançamentos de receitas'!$H:$H,A34,'Lançamentos de receitas'!$I:$I,$B$2,'Lançamentos de receitas'!$J:$J,$B$1,'Lançamentos de receitas'!$F:$F,"PAGO")</f>
        <v>0</v>
      </c>
      <c r="E34" s="13">
        <f>+SUMIFS('Lançamentos de receitas'!$E:$E,'Lançamentos de receitas'!$F:$F,"liberado",'Lançamentos de receitas'!$H:$H,$A34,'Lançamentos de receitas'!$I:$I,$B$2,'Lançamentos de receitas'!$J:$J,$B$1)</f>
        <v>0</v>
      </c>
      <c r="F34" s="13">
        <f>SUMIFS('Lançamentos de receitas'!$E:$E,'Lançamentos de receitas'!$F:$F,"aberto",'Lançamentos de receitas'!$H:$H,$A34,'Lançamentos de receitas'!$I:$I,$B$2,'Lançamentos de receitas'!$J:$J,$B$1)</f>
        <v>1793.08</v>
      </c>
      <c r="G34" s="83">
        <f t="shared" si="1"/>
        <v>1793.08</v>
      </c>
      <c r="H34" s="13">
        <f>SUMIFS('Lançamentos de despesas'!$I:$I,'Lançamentos de despesas'!$E:$E,"pago",'Lançamentos de despesas'!$V:$V,$A34,'Lançamentos de despesas'!$W:$W,$B$2,'Lançamentos de despesas'!$X:$X,$B$1)</f>
        <v>0</v>
      </c>
      <c r="I34" s="13">
        <f>SUMIFs('Lançamentos de despesas'!$I:$I,'Lançamentos de despesas'!$E:$E,"aberto",'Lançamentos de despesas'!$S:$S,A34,'Lançamentos de despesas'!$T:$T,$B$2,'Lançamentos de despesas'!$U:$U,$B$1)</f>
        <v>4926</v>
      </c>
      <c r="J34" s="13">
        <f>SUMIFs('Lançamentos de despesas'!$I:$I,'Lançamentos de despesas'!$E:$E,"agendado",'Lançamentos de despesas'!$S:$S,A34,'Lançamentos de despesas'!$T:$T,$B$2,'Lançamentos de despesas'!$U:$U,$B$1)</f>
        <v>1260</v>
      </c>
      <c r="K34" s="83">
        <f t="shared" si="2"/>
        <v>6186</v>
      </c>
      <c r="L34" s="13">
        <f t="shared" si="3"/>
        <v>-4392.92</v>
      </c>
      <c r="M34" s="13">
        <f t="shared" si="5"/>
        <v>73041.083</v>
      </c>
    </row>
    <row r="35">
      <c r="A35" s="77">
        <v>31.0</v>
      </c>
      <c r="B35" s="13">
        <f t="shared" si="4"/>
        <v>73041.083</v>
      </c>
      <c r="C35" s="13">
        <f>SUMIFS('Lançamentos de receitas'!$E:$E,'Lançamentos de receitas'!$C:$C,'Contas dos banco'!$C$2,'Lançamentos de receitas'!$H:$H,A35,'Lançamentos de receitas'!$I:$I,$B$2,'Lançamentos de receitas'!$J:$J,$B$1,'Lançamentos de receitas'!$F:$F,"TRANSFERÊNCIA")
</f>
        <v>0</v>
      </c>
      <c r="D35" s="13">
        <f>+SUMIFS('Lançamentos de receitas'!$E:$E,'Lançamentos de receitas'!$C:$C,'Contas dos banco'!$C$3,'Lançamentos de receitas'!$H:$H,A35,'Lançamentos de receitas'!$I:$I,$B$2,'Lançamentos de receitas'!$J:$J,$B$1,'Lançamentos de receitas'!$F:$F,"PAGO")+SUMIFS('Lançamentos de receitas'!$E:$E,'Lançamentos de receitas'!$C:$C,'Contas dos banco'!$C$4,'Lançamentos de receitas'!$H:$H,A35,'Lançamentos de receitas'!$I:$I,$B$2,'Lançamentos de receitas'!$J:$J,$B$1,'Lançamentos de receitas'!$F:$F,"PAGO")</f>
        <v>0</v>
      </c>
      <c r="E35" s="13">
        <f>+SUMIFS('Lançamentos de receitas'!$E:$E,'Lançamentos de receitas'!$F:$F,"liberado",'Lançamentos de receitas'!$H:$H,$A35,'Lançamentos de receitas'!$I:$I,$B$2,'Lançamentos de receitas'!$J:$J,$B$1)</f>
        <v>0</v>
      </c>
      <c r="F35" s="13">
        <f>SUMIFS('Lançamentos de receitas'!$E:$E,'Lançamentos de receitas'!$F:$F,"aberto",'Lançamentos de receitas'!$H:$H,$A35,'Lançamentos de receitas'!$I:$I,$B$2,'Lançamentos de receitas'!$J:$J,$B$1)</f>
        <v>2028.55</v>
      </c>
      <c r="G35" s="83">
        <f t="shared" si="1"/>
        <v>2028.55</v>
      </c>
      <c r="H35" s="13">
        <f>SUMIFS('Lançamentos de despesas'!$I:$I,'Lançamentos de despesas'!$E:$E,"pago",'Lançamentos de despesas'!$V:$V,$A35,'Lançamentos de despesas'!$W:$W,$B$2,'Lançamentos de despesas'!$X:$X,$B$1)</f>
        <v>0</v>
      </c>
      <c r="I35" s="13">
        <f>SUMIFs('Lançamentos de despesas'!$I:$I,'Lançamentos de despesas'!$E:$E,"aberto",'Lançamentos de despesas'!$S:$S,A35,'Lançamentos de despesas'!$T:$T,$B$2,'Lançamentos de despesas'!$U:$U,$B$1)</f>
        <v>100</v>
      </c>
      <c r="J35" s="13">
        <f>SUMIFs('Lançamentos de despesas'!$I:$I,'Lançamentos de despesas'!$E:$E,"agendado",'Lançamentos de despesas'!$S:$S,A35,'Lançamentos de despesas'!$T:$T,$B$2,'Lançamentos de despesas'!$U:$U,$B$1)</f>
        <v>0</v>
      </c>
      <c r="K35" s="83">
        <f t="shared" si="2"/>
        <v>100</v>
      </c>
      <c r="L35" s="13">
        <f t="shared" si="3"/>
        <v>1928.55</v>
      </c>
      <c r="M35" s="13">
        <f t="shared" si="5"/>
        <v>74969.633</v>
      </c>
    </row>
    <row r="36">
      <c r="A36" s="84" t="s">
        <v>1562</v>
      </c>
      <c r="B36" s="13"/>
      <c r="C36" s="13">
        <f t="shared" ref="C36:L36" si="6">SUBTOTAL(9,C5:C35)</f>
        <v>134147.673</v>
      </c>
      <c r="D36" s="13">
        <f t="shared" si="6"/>
        <v>68454.51</v>
      </c>
      <c r="E36" s="13">
        <f t="shared" si="6"/>
        <v>0</v>
      </c>
      <c r="F36" s="13">
        <f t="shared" si="6"/>
        <v>31655.11</v>
      </c>
      <c r="G36" s="85">
        <f t="shared" si="6"/>
        <v>234257.293</v>
      </c>
      <c r="H36" s="13">
        <f t="shared" si="6"/>
        <v>106059.75</v>
      </c>
      <c r="I36" s="13">
        <f t="shared" si="6"/>
        <v>158506</v>
      </c>
      <c r="J36" s="13">
        <f t="shared" si="6"/>
        <v>4458.01</v>
      </c>
      <c r="K36" s="85">
        <f t="shared" si="6"/>
        <v>269023.76</v>
      </c>
      <c r="L36" s="13">
        <f t="shared" si="6"/>
        <v>-34766.467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</row>
    <row r="37">
      <c r="M37" s="10"/>
    </row>
    <row r="38">
      <c r="M38" s="10"/>
    </row>
    <row r="39">
      <c r="M39" s="10"/>
    </row>
    <row r="40">
      <c r="M40" s="10"/>
    </row>
    <row r="41">
      <c r="M41" s="10"/>
    </row>
    <row r="42">
      <c r="M42" s="10"/>
    </row>
    <row r="43">
      <c r="M43" s="10"/>
    </row>
    <row r="44">
      <c r="M44" s="10"/>
    </row>
    <row r="45">
      <c r="M45" s="10"/>
    </row>
    <row r="46">
      <c r="M46" s="10"/>
    </row>
    <row r="47">
      <c r="M47" s="10"/>
    </row>
    <row r="48">
      <c r="M48" s="10"/>
    </row>
    <row r="49">
      <c r="M49" s="10"/>
    </row>
    <row r="50">
      <c r="M50" s="10"/>
    </row>
    <row r="51">
      <c r="M51" s="10"/>
    </row>
    <row r="52">
      <c r="M52" s="10"/>
    </row>
    <row r="53">
      <c r="M53" s="10"/>
    </row>
    <row r="54">
      <c r="M54" s="10"/>
    </row>
    <row r="55">
      <c r="M55" s="10"/>
    </row>
    <row r="56">
      <c r="M56" s="10"/>
    </row>
    <row r="57">
      <c r="M57" s="10"/>
    </row>
    <row r="58">
      <c r="M58" s="10"/>
    </row>
    <row r="59">
      <c r="M59" s="10"/>
    </row>
    <row r="60">
      <c r="M60" s="10"/>
    </row>
    <row r="61">
      <c r="M61" s="10"/>
    </row>
    <row r="62">
      <c r="M62" s="10"/>
    </row>
    <row r="63">
      <c r="M63" s="10"/>
    </row>
    <row r="64">
      <c r="M64" s="10"/>
    </row>
    <row r="65">
      <c r="M65" s="10"/>
    </row>
    <row r="66">
      <c r="M66" s="10"/>
    </row>
    <row r="67">
      <c r="M67" s="10"/>
    </row>
    <row r="68">
      <c r="M68" s="10"/>
    </row>
    <row r="69">
      <c r="M69" s="10"/>
    </row>
    <row r="70">
      <c r="M70" s="10"/>
    </row>
    <row r="71">
      <c r="M71" s="10"/>
    </row>
    <row r="72">
      <c r="M72" s="10"/>
    </row>
    <row r="73">
      <c r="M73" s="10"/>
    </row>
    <row r="74">
      <c r="M74" s="10"/>
    </row>
    <row r="75">
      <c r="M75" s="10"/>
    </row>
    <row r="76">
      <c r="M76" s="10"/>
    </row>
    <row r="77">
      <c r="M77" s="10"/>
    </row>
    <row r="78">
      <c r="M78" s="10"/>
    </row>
    <row r="79">
      <c r="M79" s="10"/>
    </row>
    <row r="80">
      <c r="M80" s="10"/>
    </row>
    <row r="81">
      <c r="M81" s="10"/>
    </row>
    <row r="82">
      <c r="M82" s="10"/>
    </row>
    <row r="83">
      <c r="M83" s="10"/>
    </row>
    <row r="84">
      <c r="M84" s="10"/>
    </row>
    <row r="85">
      <c r="M85" s="10"/>
    </row>
    <row r="86">
      <c r="M86" s="10"/>
    </row>
    <row r="87">
      <c r="M87" s="10"/>
    </row>
    <row r="88">
      <c r="M88" s="10"/>
    </row>
    <row r="89">
      <c r="M89" s="10"/>
    </row>
    <row r="90">
      <c r="M90" s="10"/>
    </row>
    <row r="91">
      <c r="M91" s="10"/>
    </row>
    <row r="92">
      <c r="M92" s="10"/>
    </row>
    <row r="93">
      <c r="M93" s="10"/>
    </row>
    <row r="94">
      <c r="M94" s="10"/>
    </row>
    <row r="95">
      <c r="M95" s="10"/>
    </row>
    <row r="96">
      <c r="M96" s="10"/>
    </row>
    <row r="97">
      <c r="M97" s="10"/>
    </row>
    <row r="98">
      <c r="M98" s="10"/>
    </row>
    <row r="99">
      <c r="M99" s="10"/>
    </row>
    <row r="100">
      <c r="M100" s="10"/>
    </row>
    <row r="101">
      <c r="M101" s="10"/>
    </row>
    <row r="102">
      <c r="M102" s="10"/>
    </row>
    <row r="103">
      <c r="M103" s="10"/>
    </row>
    <row r="104">
      <c r="M104" s="10"/>
    </row>
    <row r="105">
      <c r="M105" s="10"/>
    </row>
    <row r="106">
      <c r="M106" s="10"/>
    </row>
    <row r="107">
      <c r="M107" s="10"/>
    </row>
    <row r="108">
      <c r="M108" s="10"/>
    </row>
    <row r="109">
      <c r="M109" s="10"/>
    </row>
    <row r="110">
      <c r="M110" s="10"/>
    </row>
    <row r="111">
      <c r="M111" s="10"/>
    </row>
    <row r="112">
      <c r="M112" s="10"/>
    </row>
    <row r="113">
      <c r="M113" s="10"/>
    </row>
    <row r="114">
      <c r="M114" s="10"/>
    </row>
    <row r="115">
      <c r="M115" s="10"/>
    </row>
    <row r="116">
      <c r="M116" s="10"/>
    </row>
    <row r="117">
      <c r="M117" s="10"/>
    </row>
    <row r="118">
      <c r="M118" s="10"/>
    </row>
    <row r="119">
      <c r="M119" s="10"/>
    </row>
    <row r="120">
      <c r="M120" s="10"/>
    </row>
    <row r="121">
      <c r="M121" s="10"/>
    </row>
    <row r="122">
      <c r="M122" s="10"/>
    </row>
    <row r="123">
      <c r="M123" s="10"/>
    </row>
    <row r="124">
      <c r="M124" s="10"/>
    </row>
    <row r="125">
      <c r="M125" s="10"/>
    </row>
    <row r="126">
      <c r="M126" s="10"/>
    </row>
    <row r="127">
      <c r="M127" s="10"/>
    </row>
    <row r="128">
      <c r="M128" s="10"/>
    </row>
    <row r="129">
      <c r="M129" s="10"/>
    </row>
    <row r="130">
      <c r="M130" s="10"/>
    </row>
    <row r="131">
      <c r="M131" s="10"/>
    </row>
    <row r="132">
      <c r="M132" s="10"/>
    </row>
    <row r="133">
      <c r="M133" s="10"/>
    </row>
    <row r="134">
      <c r="M134" s="10"/>
    </row>
    <row r="135">
      <c r="M135" s="10"/>
    </row>
    <row r="136">
      <c r="M136" s="10"/>
    </row>
    <row r="137">
      <c r="M137" s="10"/>
    </row>
    <row r="138">
      <c r="M138" s="10"/>
    </row>
    <row r="139">
      <c r="M139" s="10"/>
    </row>
    <row r="140">
      <c r="M140" s="10"/>
    </row>
    <row r="141">
      <c r="M141" s="10"/>
    </row>
    <row r="142">
      <c r="M142" s="10"/>
    </row>
    <row r="143">
      <c r="M143" s="10"/>
    </row>
    <row r="144">
      <c r="M144" s="10"/>
    </row>
    <row r="145">
      <c r="M145" s="10"/>
    </row>
    <row r="146">
      <c r="M146" s="10"/>
    </row>
    <row r="147">
      <c r="M147" s="10"/>
    </row>
    <row r="148">
      <c r="M148" s="10"/>
    </row>
    <row r="149">
      <c r="M149" s="10"/>
    </row>
    <row r="150">
      <c r="M150" s="10"/>
    </row>
    <row r="151">
      <c r="M151" s="10"/>
    </row>
    <row r="152">
      <c r="M152" s="10"/>
    </row>
    <row r="153">
      <c r="M153" s="10"/>
    </row>
    <row r="154">
      <c r="M154" s="10"/>
    </row>
    <row r="155">
      <c r="M155" s="10"/>
    </row>
    <row r="156">
      <c r="M156" s="10"/>
    </row>
    <row r="157">
      <c r="M157" s="10"/>
    </row>
    <row r="158">
      <c r="M158" s="10"/>
    </row>
    <row r="159">
      <c r="M159" s="10"/>
    </row>
    <row r="160">
      <c r="M160" s="10"/>
    </row>
    <row r="161">
      <c r="M161" s="10"/>
    </row>
    <row r="162">
      <c r="M162" s="10"/>
    </row>
    <row r="163">
      <c r="M163" s="10"/>
    </row>
    <row r="164">
      <c r="M164" s="10"/>
    </row>
    <row r="165">
      <c r="M165" s="10"/>
    </row>
    <row r="166">
      <c r="M166" s="10"/>
    </row>
    <row r="167">
      <c r="M167" s="10"/>
    </row>
    <row r="168">
      <c r="M168" s="10"/>
    </row>
    <row r="169">
      <c r="M169" s="10"/>
    </row>
    <row r="170">
      <c r="M170" s="10"/>
    </row>
    <row r="171">
      <c r="M171" s="10"/>
    </row>
    <row r="172">
      <c r="M172" s="10"/>
    </row>
    <row r="173">
      <c r="M173" s="10"/>
    </row>
    <row r="174">
      <c r="M174" s="10"/>
    </row>
    <row r="175">
      <c r="M175" s="10"/>
    </row>
    <row r="176">
      <c r="M176" s="10"/>
    </row>
    <row r="177">
      <c r="M177" s="10"/>
    </row>
    <row r="178">
      <c r="M178" s="10"/>
    </row>
    <row r="179">
      <c r="M179" s="10"/>
    </row>
    <row r="180">
      <c r="M180" s="10"/>
    </row>
    <row r="181">
      <c r="M181" s="10"/>
    </row>
    <row r="182">
      <c r="M182" s="10"/>
    </row>
    <row r="183">
      <c r="M183" s="10"/>
    </row>
    <row r="184">
      <c r="M184" s="10"/>
    </row>
    <row r="185">
      <c r="M185" s="10"/>
    </row>
    <row r="186">
      <c r="M186" s="10"/>
    </row>
    <row r="187">
      <c r="M187" s="10"/>
    </row>
    <row r="188">
      <c r="M188" s="10"/>
    </row>
    <row r="189">
      <c r="M189" s="10"/>
    </row>
    <row r="190">
      <c r="M190" s="10"/>
    </row>
    <row r="191">
      <c r="M191" s="10"/>
    </row>
    <row r="192">
      <c r="M192" s="10"/>
    </row>
    <row r="193">
      <c r="M193" s="10"/>
    </row>
    <row r="194">
      <c r="M194" s="10"/>
    </row>
    <row r="195">
      <c r="M195" s="10"/>
    </row>
    <row r="196">
      <c r="M196" s="10"/>
    </row>
    <row r="197">
      <c r="M197" s="10"/>
    </row>
    <row r="198">
      <c r="M198" s="10"/>
    </row>
    <row r="199">
      <c r="M199" s="10"/>
    </row>
    <row r="200">
      <c r="M200" s="10"/>
    </row>
    <row r="201">
      <c r="M201" s="10"/>
    </row>
    <row r="202">
      <c r="M202" s="10"/>
    </row>
    <row r="203">
      <c r="M203" s="10"/>
    </row>
    <row r="204">
      <c r="M204" s="10"/>
    </row>
    <row r="205">
      <c r="M205" s="10"/>
    </row>
    <row r="206">
      <c r="M206" s="10"/>
    </row>
    <row r="207">
      <c r="M207" s="10"/>
    </row>
    <row r="208">
      <c r="M208" s="10"/>
    </row>
    <row r="209">
      <c r="M209" s="10"/>
    </row>
    <row r="210">
      <c r="M210" s="10"/>
    </row>
    <row r="211">
      <c r="M211" s="10"/>
    </row>
    <row r="212">
      <c r="M212" s="10"/>
    </row>
    <row r="213">
      <c r="M213" s="10"/>
    </row>
    <row r="214">
      <c r="M214" s="10"/>
    </row>
    <row r="215">
      <c r="M215" s="10"/>
    </row>
    <row r="216">
      <c r="M216" s="10"/>
    </row>
    <row r="217">
      <c r="M217" s="10"/>
    </row>
    <row r="218">
      <c r="M218" s="10"/>
    </row>
    <row r="219">
      <c r="M219" s="10"/>
    </row>
    <row r="220">
      <c r="M220" s="10"/>
    </row>
    <row r="221">
      <c r="M221" s="10"/>
    </row>
    <row r="222">
      <c r="M222" s="10"/>
    </row>
    <row r="223">
      <c r="M223" s="10"/>
    </row>
    <row r="224">
      <c r="M224" s="10"/>
    </row>
    <row r="225">
      <c r="M225" s="10"/>
    </row>
    <row r="226">
      <c r="M226" s="10"/>
    </row>
    <row r="227">
      <c r="M227" s="10"/>
    </row>
    <row r="228">
      <c r="M228" s="10"/>
    </row>
    <row r="229">
      <c r="M229" s="10"/>
    </row>
    <row r="230">
      <c r="M230" s="10"/>
    </row>
    <row r="231">
      <c r="M231" s="10"/>
    </row>
    <row r="232">
      <c r="M232" s="10"/>
    </row>
    <row r="233">
      <c r="M233" s="10"/>
    </row>
    <row r="234">
      <c r="M234" s="10"/>
    </row>
    <row r="235">
      <c r="M235" s="10"/>
    </row>
    <row r="236">
      <c r="M236" s="10"/>
    </row>
    <row r="237">
      <c r="M237" s="10"/>
    </row>
    <row r="238">
      <c r="M238" s="10"/>
    </row>
    <row r="239">
      <c r="M239" s="10"/>
    </row>
    <row r="240">
      <c r="M240" s="10"/>
    </row>
    <row r="241">
      <c r="M241" s="10"/>
    </row>
    <row r="242">
      <c r="M242" s="10"/>
    </row>
    <row r="243">
      <c r="M243" s="10"/>
    </row>
    <row r="244">
      <c r="M244" s="10"/>
    </row>
    <row r="245">
      <c r="M245" s="10"/>
    </row>
    <row r="246">
      <c r="M246" s="10"/>
    </row>
    <row r="247">
      <c r="M247" s="10"/>
    </row>
    <row r="248">
      <c r="M248" s="10"/>
    </row>
    <row r="249">
      <c r="M249" s="10"/>
    </row>
    <row r="250">
      <c r="M250" s="10"/>
    </row>
    <row r="251">
      <c r="M251" s="10"/>
    </row>
    <row r="252">
      <c r="M252" s="10"/>
    </row>
    <row r="253">
      <c r="M253" s="10"/>
    </row>
    <row r="254">
      <c r="M254" s="10"/>
    </row>
    <row r="255">
      <c r="M255" s="10"/>
    </row>
    <row r="256">
      <c r="M256" s="10"/>
    </row>
    <row r="257">
      <c r="M257" s="10"/>
    </row>
    <row r="258">
      <c r="M258" s="10"/>
    </row>
    <row r="259">
      <c r="M259" s="10"/>
    </row>
    <row r="260">
      <c r="M260" s="10"/>
    </row>
    <row r="261">
      <c r="M261" s="10"/>
    </row>
    <row r="262">
      <c r="M262" s="10"/>
    </row>
    <row r="263">
      <c r="M263" s="10"/>
    </row>
    <row r="264">
      <c r="M264" s="10"/>
    </row>
    <row r="265">
      <c r="M265" s="10"/>
    </row>
    <row r="266">
      <c r="M266" s="10"/>
    </row>
    <row r="267">
      <c r="M267" s="10"/>
    </row>
    <row r="268">
      <c r="M268" s="10"/>
    </row>
    <row r="269">
      <c r="M269" s="10"/>
    </row>
    <row r="270">
      <c r="M270" s="10"/>
    </row>
    <row r="271">
      <c r="M271" s="10"/>
    </row>
    <row r="272">
      <c r="M272" s="10"/>
    </row>
    <row r="273">
      <c r="M273" s="10"/>
    </row>
    <row r="274">
      <c r="M274" s="10"/>
    </row>
    <row r="275">
      <c r="M275" s="10"/>
    </row>
    <row r="276">
      <c r="M276" s="10"/>
    </row>
    <row r="277">
      <c r="M277" s="10"/>
    </row>
    <row r="278">
      <c r="M278" s="10"/>
    </row>
    <row r="279">
      <c r="M279" s="10"/>
    </row>
    <row r="280">
      <c r="M280" s="10"/>
    </row>
    <row r="281">
      <c r="M281" s="10"/>
    </row>
    <row r="282">
      <c r="M282" s="10"/>
    </row>
    <row r="283">
      <c r="M283" s="10"/>
    </row>
    <row r="284">
      <c r="M284" s="10"/>
    </row>
    <row r="285">
      <c r="M285" s="10"/>
    </row>
    <row r="286">
      <c r="M286" s="10"/>
    </row>
    <row r="287">
      <c r="M287" s="10"/>
    </row>
    <row r="288">
      <c r="M288" s="10"/>
    </row>
    <row r="289">
      <c r="M289" s="10"/>
    </row>
    <row r="290">
      <c r="M290" s="10"/>
    </row>
    <row r="291">
      <c r="M291" s="10"/>
    </row>
    <row r="292">
      <c r="M292" s="10"/>
    </row>
    <row r="293">
      <c r="M293" s="10"/>
    </row>
    <row r="294">
      <c r="M294" s="10"/>
    </row>
    <row r="295">
      <c r="M295" s="10"/>
    </row>
    <row r="296">
      <c r="M296" s="10"/>
    </row>
    <row r="297">
      <c r="M297" s="10"/>
    </row>
    <row r="298">
      <c r="M298" s="10"/>
    </row>
    <row r="299">
      <c r="M299" s="10"/>
    </row>
    <row r="300">
      <c r="M300" s="10"/>
    </row>
    <row r="301">
      <c r="M301" s="10"/>
    </row>
    <row r="302">
      <c r="M302" s="10"/>
    </row>
    <row r="303">
      <c r="M303" s="10"/>
    </row>
    <row r="304">
      <c r="M304" s="10"/>
    </row>
    <row r="305">
      <c r="M305" s="10"/>
    </row>
    <row r="306">
      <c r="M306" s="10"/>
    </row>
    <row r="307">
      <c r="M307" s="10"/>
    </row>
    <row r="308">
      <c r="M308" s="10"/>
    </row>
    <row r="309">
      <c r="M309" s="10"/>
    </row>
    <row r="310">
      <c r="M310" s="10"/>
    </row>
    <row r="311">
      <c r="M311" s="10"/>
    </row>
    <row r="312">
      <c r="M312" s="10"/>
    </row>
    <row r="313">
      <c r="M313" s="10"/>
    </row>
    <row r="314">
      <c r="M314" s="10"/>
    </row>
    <row r="315">
      <c r="M315" s="10"/>
    </row>
    <row r="316">
      <c r="M316" s="10"/>
    </row>
    <row r="317">
      <c r="M317" s="10"/>
    </row>
    <row r="318">
      <c r="M318" s="10"/>
    </row>
    <row r="319">
      <c r="M319" s="10"/>
    </row>
    <row r="320">
      <c r="M320" s="10"/>
    </row>
    <row r="321">
      <c r="M321" s="10"/>
    </row>
    <row r="322">
      <c r="M322" s="10"/>
    </row>
    <row r="323">
      <c r="M323" s="10"/>
    </row>
    <row r="324">
      <c r="M324" s="10"/>
    </row>
    <row r="325">
      <c r="M325" s="10"/>
    </row>
    <row r="326">
      <c r="M326" s="10"/>
    </row>
    <row r="327">
      <c r="M327" s="10"/>
    </row>
    <row r="328">
      <c r="M328" s="10"/>
    </row>
    <row r="329">
      <c r="M329" s="10"/>
    </row>
    <row r="330">
      <c r="M330" s="10"/>
    </row>
    <row r="331">
      <c r="M331" s="10"/>
    </row>
    <row r="332">
      <c r="M332" s="10"/>
    </row>
    <row r="333">
      <c r="M333" s="10"/>
    </row>
    <row r="334">
      <c r="M334" s="10"/>
    </row>
    <row r="335">
      <c r="M335" s="10"/>
    </row>
    <row r="336">
      <c r="M336" s="10"/>
    </row>
    <row r="337">
      <c r="M337" s="10"/>
    </row>
    <row r="338">
      <c r="M338" s="10"/>
    </row>
    <row r="339">
      <c r="M339" s="10"/>
    </row>
    <row r="340">
      <c r="M340" s="10"/>
    </row>
    <row r="341">
      <c r="M341" s="10"/>
    </row>
    <row r="342">
      <c r="M342" s="10"/>
    </row>
    <row r="343">
      <c r="M343" s="10"/>
    </row>
    <row r="344">
      <c r="M344" s="10"/>
    </row>
    <row r="345">
      <c r="M345" s="10"/>
    </row>
    <row r="346">
      <c r="M346" s="10"/>
    </row>
    <row r="347">
      <c r="M347" s="10"/>
    </row>
    <row r="348">
      <c r="M348" s="10"/>
    </row>
    <row r="349">
      <c r="M349" s="10"/>
    </row>
    <row r="350">
      <c r="M350" s="10"/>
    </row>
    <row r="351">
      <c r="M351" s="10"/>
    </row>
    <row r="352">
      <c r="M352" s="10"/>
    </row>
    <row r="353">
      <c r="M353" s="10"/>
    </row>
    <row r="354">
      <c r="M354" s="10"/>
    </row>
    <row r="355">
      <c r="M355" s="10"/>
    </row>
    <row r="356">
      <c r="M356" s="10"/>
    </row>
    <row r="357">
      <c r="M357" s="10"/>
    </row>
    <row r="358">
      <c r="M358" s="10"/>
    </row>
    <row r="359">
      <c r="M359" s="10"/>
    </row>
    <row r="360">
      <c r="M360" s="10"/>
    </row>
    <row r="361">
      <c r="M361" s="10"/>
    </row>
    <row r="362">
      <c r="M362" s="10"/>
    </row>
    <row r="363">
      <c r="M363" s="10"/>
    </row>
    <row r="364">
      <c r="M364" s="10"/>
    </row>
    <row r="365">
      <c r="M365" s="10"/>
    </row>
    <row r="366">
      <c r="M366" s="10"/>
    </row>
    <row r="367">
      <c r="M367" s="10"/>
    </row>
    <row r="368">
      <c r="M368" s="10"/>
    </row>
    <row r="369">
      <c r="M369" s="10"/>
    </row>
    <row r="370">
      <c r="M370" s="10"/>
    </row>
    <row r="371">
      <c r="M371" s="10"/>
    </row>
    <row r="372">
      <c r="M372" s="10"/>
    </row>
    <row r="373">
      <c r="M373" s="10"/>
    </row>
    <row r="374">
      <c r="M374" s="10"/>
    </row>
    <row r="375">
      <c r="M375" s="10"/>
    </row>
    <row r="376">
      <c r="M376" s="10"/>
    </row>
    <row r="377">
      <c r="M377" s="10"/>
    </row>
    <row r="378">
      <c r="M378" s="10"/>
    </row>
    <row r="379">
      <c r="M379" s="10"/>
    </row>
    <row r="380">
      <c r="M380" s="10"/>
    </row>
    <row r="381">
      <c r="M381" s="10"/>
    </row>
    <row r="382">
      <c r="M382" s="10"/>
    </row>
    <row r="383">
      <c r="M383" s="10"/>
    </row>
    <row r="384">
      <c r="M384" s="10"/>
    </row>
    <row r="385">
      <c r="M385" s="10"/>
    </row>
    <row r="386">
      <c r="M386" s="10"/>
    </row>
    <row r="387">
      <c r="M387" s="10"/>
    </row>
    <row r="388">
      <c r="M388" s="10"/>
    </row>
    <row r="389">
      <c r="M389" s="10"/>
    </row>
    <row r="390">
      <c r="M390" s="10"/>
    </row>
    <row r="391">
      <c r="M391" s="10"/>
    </row>
    <row r="392">
      <c r="M392" s="10"/>
    </row>
    <row r="393">
      <c r="M393" s="10"/>
    </row>
    <row r="394">
      <c r="M394" s="10"/>
    </row>
    <row r="395">
      <c r="M395" s="10"/>
    </row>
    <row r="396">
      <c r="M396" s="10"/>
    </row>
    <row r="397">
      <c r="M397" s="10"/>
    </row>
    <row r="398">
      <c r="M398" s="10"/>
    </row>
    <row r="399">
      <c r="M399" s="10"/>
    </row>
    <row r="400">
      <c r="M400" s="10"/>
    </row>
    <row r="401">
      <c r="M401" s="10"/>
    </row>
    <row r="402">
      <c r="M402" s="10"/>
    </row>
    <row r="403">
      <c r="M403" s="10"/>
    </row>
    <row r="404">
      <c r="M404" s="10"/>
    </row>
    <row r="405">
      <c r="M405" s="10"/>
    </row>
    <row r="406">
      <c r="M406" s="10"/>
    </row>
    <row r="407">
      <c r="M407" s="10"/>
    </row>
    <row r="408">
      <c r="M408" s="10"/>
    </row>
    <row r="409">
      <c r="M409" s="10"/>
    </row>
    <row r="410">
      <c r="M410" s="10"/>
    </row>
    <row r="411">
      <c r="M411" s="10"/>
    </row>
    <row r="412">
      <c r="M412" s="10"/>
    </row>
    <row r="413">
      <c r="M413" s="10"/>
    </row>
    <row r="414">
      <c r="M414" s="10"/>
    </row>
    <row r="415">
      <c r="M415" s="10"/>
    </row>
    <row r="416">
      <c r="M416" s="10"/>
    </row>
    <row r="417">
      <c r="M417" s="10"/>
    </row>
    <row r="418">
      <c r="M418" s="10"/>
    </row>
    <row r="419">
      <c r="M419" s="10"/>
    </row>
    <row r="420">
      <c r="M420" s="10"/>
    </row>
    <row r="421">
      <c r="M421" s="10"/>
    </row>
    <row r="422">
      <c r="M422" s="10"/>
    </row>
    <row r="423">
      <c r="M423" s="10"/>
    </row>
    <row r="424">
      <c r="M424" s="10"/>
    </row>
    <row r="425">
      <c r="M425" s="10"/>
    </row>
    <row r="426">
      <c r="M426" s="10"/>
    </row>
    <row r="427">
      <c r="M427" s="10"/>
    </row>
    <row r="428">
      <c r="M428" s="10"/>
    </row>
    <row r="429">
      <c r="M429" s="10"/>
    </row>
    <row r="430">
      <c r="M430" s="10"/>
    </row>
    <row r="431">
      <c r="M431" s="10"/>
    </row>
    <row r="432">
      <c r="M432" s="10"/>
    </row>
    <row r="433">
      <c r="M433" s="10"/>
    </row>
    <row r="434">
      <c r="M434" s="10"/>
    </row>
    <row r="435">
      <c r="M435" s="10"/>
    </row>
    <row r="436">
      <c r="M436" s="10"/>
    </row>
    <row r="437">
      <c r="M437" s="10"/>
    </row>
    <row r="438">
      <c r="M438" s="10"/>
    </row>
    <row r="439">
      <c r="M439" s="10"/>
    </row>
    <row r="440">
      <c r="M440" s="10"/>
    </row>
    <row r="441">
      <c r="M441" s="10"/>
    </row>
    <row r="442">
      <c r="M442" s="10"/>
    </row>
    <row r="443">
      <c r="M443" s="10"/>
    </row>
    <row r="444">
      <c r="M444" s="10"/>
    </row>
    <row r="445">
      <c r="M445" s="10"/>
    </row>
    <row r="446">
      <c r="M446" s="10"/>
    </row>
    <row r="447">
      <c r="M447" s="10"/>
    </row>
    <row r="448">
      <c r="M448" s="10"/>
    </row>
    <row r="449">
      <c r="M449" s="10"/>
    </row>
    <row r="450">
      <c r="M450" s="10"/>
    </row>
    <row r="451">
      <c r="M451" s="10"/>
    </row>
    <row r="452">
      <c r="M452" s="10"/>
    </row>
    <row r="453">
      <c r="M453" s="10"/>
    </row>
    <row r="454">
      <c r="M454" s="10"/>
    </row>
    <row r="455">
      <c r="M455" s="10"/>
    </row>
    <row r="456">
      <c r="M456" s="10"/>
    </row>
    <row r="457">
      <c r="M457" s="10"/>
    </row>
    <row r="458">
      <c r="M458" s="10"/>
    </row>
    <row r="459">
      <c r="M459" s="10"/>
    </row>
    <row r="460">
      <c r="M460" s="10"/>
    </row>
    <row r="461">
      <c r="M461" s="10"/>
    </row>
    <row r="462">
      <c r="M462" s="10"/>
    </row>
    <row r="463">
      <c r="M463" s="10"/>
    </row>
    <row r="464">
      <c r="M464" s="10"/>
    </row>
    <row r="465">
      <c r="M465" s="10"/>
    </row>
    <row r="466">
      <c r="M466" s="10"/>
    </row>
    <row r="467">
      <c r="M467" s="10"/>
    </row>
    <row r="468">
      <c r="M468" s="10"/>
    </row>
    <row r="469">
      <c r="M469" s="10"/>
    </row>
    <row r="470">
      <c r="M470" s="10"/>
    </row>
    <row r="471">
      <c r="M471" s="10"/>
    </row>
    <row r="472">
      <c r="M472" s="10"/>
    </row>
    <row r="473">
      <c r="M473" s="10"/>
    </row>
    <row r="474">
      <c r="M474" s="10"/>
    </row>
    <row r="475">
      <c r="M475" s="10"/>
    </row>
    <row r="476">
      <c r="M476" s="10"/>
    </row>
    <row r="477">
      <c r="M477" s="10"/>
    </row>
    <row r="478">
      <c r="M478" s="10"/>
    </row>
    <row r="479">
      <c r="M479" s="10"/>
    </row>
    <row r="480">
      <c r="M480" s="10"/>
    </row>
    <row r="481">
      <c r="M481" s="10"/>
    </row>
    <row r="482">
      <c r="M482" s="10"/>
    </row>
    <row r="483">
      <c r="M483" s="10"/>
    </row>
    <row r="484">
      <c r="M484" s="10"/>
    </row>
    <row r="485">
      <c r="M485" s="10"/>
    </row>
    <row r="486">
      <c r="M486" s="10"/>
    </row>
    <row r="487">
      <c r="M487" s="10"/>
    </row>
    <row r="488">
      <c r="M488" s="10"/>
    </row>
    <row r="489">
      <c r="M489" s="10"/>
    </row>
    <row r="490">
      <c r="M490" s="10"/>
    </row>
    <row r="491">
      <c r="M491" s="10"/>
    </row>
    <row r="492">
      <c r="M492" s="10"/>
    </row>
    <row r="493">
      <c r="M493" s="10"/>
    </row>
    <row r="494">
      <c r="M494" s="10"/>
    </row>
    <row r="495">
      <c r="M495" s="10"/>
    </row>
    <row r="496">
      <c r="M496" s="10"/>
    </row>
    <row r="497">
      <c r="M497" s="10"/>
    </row>
    <row r="498">
      <c r="M498" s="10"/>
    </row>
    <row r="499">
      <c r="M499" s="10"/>
    </row>
    <row r="500">
      <c r="M500" s="10"/>
    </row>
    <row r="501">
      <c r="M501" s="10"/>
    </row>
    <row r="502">
      <c r="M502" s="10"/>
    </row>
    <row r="503">
      <c r="M503" s="10"/>
    </row>
    <row r="504">
      <c r="M504" s="10"/>
    </row>
    <row r="505">
      <c r="M505" s="10"/>
    </row>
    <row r="506">
      <c r="M506" s="10"/>
    </row>
    <row r="507">
      <c r="M507" s="10"/>
    </row>
    <row r="508">
      <c r="M508" s="10"/>
    </row>
    <row r="509">
      <c r="M509" s="10"/>
    </row>
    <row r="510">
      <c r="M510" s="10"/>
    </row>
    <row r="511">
      <c r="M511" s="10"/>
    </row>
    <row r="512">
      <c r="M512" s="10"/>
    </row>
    <row r="513">
      <c r="M513" s="10"/>
    </row>
    <row r="514">
      <c r="M514" s="10"/>
    </row>
    <row r="515">
      <c r="M515" s="10"/>
    </row>
    <row r="516">
      <c r="M516" s="10"/>
    </row>
    <row r="517">
      <c r="M517" s="10"/>
    </row>
    <row r="518">
      <c r="M518" s="10"/>
    </row>
    <row r="519">
      <c r="M519" s="10"/>
    </row>
    <row r="520">
      <c r="M520" s="10"/>
    </row>
    <row r="521">
      <c r="M521" s="10"/>
    </row>
    <row r="522">
      <c r="M522" s="10"/>
    </row>
    <row r="523">
      <c r="M523" s="10"/>
    </row>
    <row r="524">
      <c r="M524" s="10"/>
    </row>
    <row r="525">
      <c r="M525" s="10"/>
    </row>
    <row r="526">
      <c r="M526" s="10"/>
    </row>
    <row r="527">
      <c r="M527" s="10"/>
    </row>
    <row r="528">
      <c r="M528" s="10"/>
    </row>
    <row r="529">
      <c r="M529" s="10"/>
    </row>
    <row r="530">
      <c r="M530" s="10"/>
    </row>
    <row r="531">
      <c r="M531" s="10"/>
    </row>
    <row r="532">
      <c r="M532" s="10"/>
    </row>
    <row r="533">
      <c r="M533" s="10"/>
    </row>
    <row r="534">
      <c r="M534" s="10"/>
    </row>
    <row r="535">
      <c r="M535" s="10"/>
    </row>
    <row r="536">
      <c r="M536" s="10"/>
    </row>
    <row r="537">
      <c r="M537" s="10"/>
    </row>
    <row r="538">
      <c r="M538" s="10"/>
    </row>
    <row r="539">
      <c r="M539" s="10"/>
    </row>
    <row r="540">
      <c r="M540" s="10"/>
    </row>
    <row r="541">
      <c r="M541" s="10"/>
    </row>
    <row r="542">
      <c r="M542" s="10"/>
    </row>
    <row r="543">
      <c r="M543" s="10"/>
    </row>
    <row r="544">
      <c r="M544" s="10"/>
    </row>
    <row r="545">
      <c r="M545" s="10"/>
    </row>
    <row r="546">
      <c r="M546" s="10"/>
    </row>
    <row r="547">
      <c r="M547" s="10"/>
    </row>
    <row r="548">
      <c r="M548" s="10"/>
    </row>
    <row r="549">
      <c r="M549" s="10"/>
    </row>
    <row r="550">
      <c r="M550" s="10"/>
    </row>
    <row r="551">
      <c r="M551" s="10"/>
    </row>
    <row r="552">
      <c r="M552" s="10"/>
    </row>
    <row r="553">
      <c r="M553" s="10"/>
    </row>
    <row r="554">
      <c r="M554" s="10"/>
    </row>
    <row r="555">
      <c r="M555" s="10"/>
    </row>
    <row r="556">
      <c r="M556" s="10"/>
    </row>
    <row r="557">
      <c r="M557" s="10"/>
    </row>
    <row r="558">
      <c r="M558" s="10"/>
    </row>
    <row r="559">
      <c r="M559" s="10"/>
    </row>
    <row r="560">
      <c r="M560" s="10"/>
    </row>
    <row r="561">
      <c r="M561" s="10"/>
    </row>
    <row r="562">
      <c r="M562" s="10"/>
    </row>
    <row r="563">
      <c r="M563" s="10"/>
    </row>
    <row r="564">
      <c r="M564" s="10"/>
    </row>
    <row r="565">
      <c r="M565" s="10"/>
    </row>
    <row r="566">
      <c r="M566" s="10"/>
    </row>
    <row r="567">
      <c r="M567" s="10"/>
    </row>
    <row r="568">
      <c r="M568" s="10"/>
    </row>
    <row r="569">
      <c r="M569" s="10"/>
    </row>
    <row r="570">
      <c r="M570" s="10"/>
    </row>
    <row r="571">
      <c r="M571" s="10"/>
    </row>
    <row r="572">
      <c r="M572" s="10"/>
    </row>
    <row r="573">
      <c r="M573" s="10"/>
    </row>
    <row r="574">
      <c r="M574" s="10"/>
    </row>
    <row r="575">
      <c r="M575" s="10"/>
    </row>
    <row r="576">
      <c r="M576" s="10"/>
    </row>
    <row r="577">
      <c r="M577" s="10"/>
    </row>
    <row r="578">
      <c r="M578" s="10"/>
    </row>
    <row r="579">
      <c r="M579" s="10"/>
    </row>
    <row r="580">
      <c r="M580" s="10"/>
    </row>
    <row r="581">
      <c r="M581" s="10"/>
    </row>
    <row r="582">
      <c r="M582" s="10"/>
    </row>
    <row r="583">
      <c r="M583" s="10"/>
    </row>
    <row r="584">
      <c r="M584" s="10"/>
    </row>
    <row r="585">
      <c r="M585" s="10"/>
    </row>
    <row r="586">
      <c r="M586" s="10"/>
    </row>
    <row r="587">
      <c r="M587" s="10"/>
    </row>
    <row r="588">
      <c r="M588" s="10"/>
    </row>
    <row r="589">
      <c r="M589" s="10"/>
    </row>
    <row r="590">
      <c r="M590" s="10"/>
    </row>
    <row r="591">
      <c r="M591" s="10"/>
    </row>
    <row r="592">
      <c r="M592" s="10"/>
    </row>
    <row r="593">
      <c r="M593" s="10"/>
    </row>
    <row r="594">
      <c r="M594" s="10"/>
    </row>
    <row r="595">
      <c r="M595" s="10"/>
    </row>
    <row r="596">
      <c r="M596" s="10"/>
    </row>
    <row r="597">
      <c r="M597" s="10"/>
    </row>
    <row r="598">
      <c r="M598" s="10"/>
    </row>
    <row r="599">
      <c r="M599" s="10"/>
    </row>
    <row r="600">
      <c r="M600" s="10"/>
    </row>
    <row r="601">
      <c r="M601" s="10"/>
    </row>
    <row r="602">
      <c r="M602" s="10"/>
    </row>
    <row r="603">
      <c r="M603" s="10"/>
    </row>
    <row r="604">
      <c r="M604" s="10"/>
    </row>
    <row r="605">
      <c r="M605" s="10"/>
    </row>
    <row r="606">
      <c r="M606" s="10"/>
    </row>
    <row r="607">
      <c r="M607" s="10"/>
    </row>
    <row r="608">
      <c r="M608" s="10"/>
    </row>
    <row r="609">
      <c r="M609" s="10"/>
    </row>
    <row r="610">
      <c r="M610" s="10"/>
    </row>
    <row r="611">
      <c r="M611" s="10"/>
    </row>
    <row r="612">
      <c r="M612" s="10"/>
    </row>
    <row r="613">
      <c r="M613" s="10"/>
    </row>
    <row r="614">
      <c r="M614" s="10"/>
    </row>
    <row r="615">
      <c r="M615" s="10"/>
    </row>
    <row r="616">
      <c r="M616" s="10"/>
    </row>
    <row r="617">
      <c r="M617" s="10"/>
    </row>
    <row r="618">
      <c r="M618" s="10"/>
    </row>
    <row r="619">
      <c r="M619" s="10"/>
    </row>
    <row r="620">
      <c r="M620" s="10"/>
    </row>
    <row r="621">
      <c r="M621" s="10"/>
    </row>
    <row r="622">
      <c r="M622" s="10"/>
    </row>
    <row r="623">
      <c r="M623" s="10"/>
    </row>
    <row r="624">
      <c r="M624" s="10"/>
    </row>
    <row r="625">
      <c r="M625" s="10"/>
    </row>
    <row r="626">
      <c r="M626" s="10"/>
    </row>
    <row r="627">
      <c r="M627" s="10"/>
    </row>
    <row r="628">
      <c r="M628" s="10"/>
    </row>
    <row r="629">
      <c r="M629" s="10"/>
    </row>
    <row r="630">
      <c r="M630" s="10"/>
    </row>
    <row r="631">
      <c r="M631" s="10"/>
    </row>
    <row r="632">
      <c r="M632" s="10"/>
    </row>
    <row r="633">
      <c r="M633" s="10"/>
    </row>
    <row r="634">
      <c r="M634" s="10"/>
    </row>
    <row r="635">
      <c r="M635" s="10"/>
    </row>
    <row r="636">
      <c r="M636" s="10"/>
    </row>
    <row r="637">
      <c r="M637" s="10"/>
    </row>
    <row r="638">
      <c r="M638" s="10"/>
    </row>
    <row r="639">
      <c r="M639" s="10"/>
    </row>
    <row r="640">
      <c r="M640" s="10"/>
    </row>
    <row r="641">
      <c r="M641" s="10"/>
    </row>
    <row r="642">
      <c r="M642" s="10"/>
    </row>
    <row r="643">
      <c r="M643" s="10"/>
    </row>
    <row r="644">
      <c r="M644" s="10"/>
    </row>
    <row r="645">
      <c r="M645" s="10"/>
    </row>
    <row r="646">
      <c r="M646" s="10"/>
    </row>
    <row r="647">
      <c r="M647" s="10"/>
    </row>
    <row r="648">
      <c r="M648" s="10"/>
    </row>
    <row r="649">
      <c r="M649" s="10"/>
    </row>
    <row r="650">
      <c r="M650" s="10"/>
    </row>
    <row r="651">
      <c r="M651" s="10"/>
    </row>
    <row r="652">
      <c r="M652" s="10"/>
    </row>
    <row r="653">
      <c r="M653" s="10"/>
    </row>
    <row r="654">
      <c r="M654" s="10"/>
    </row>
    <row r="655">
      <c r="M655" s="10"/>
    </row>
    <row r="656">
      <c r="M656" s="10"/>
    </row>
    <row r="657">
      <c r="M657" s="10"/>
    </row>
    <row r="658">
      <c r="M658" s="10"/>
    </row>
    <row r="659">
      <c r="M659" s="10"/>
    </row>
    <row r="660">
      <c r="M660" s="10"/>
    </row>
    <row r="661">
      <c r="M661" s="10"/>
    </row>
    <row r="662">
      <c r="M662" s="10"/>
    </row>
    <row r="663">
      <c r="M663" s="10"/>
    </row>
    <row r="664">
      <c r="M664" s="10"/>
    </row>
    <row r="665">
      <c r="M665" s="10"/>
    </row>
    <row r="666">
      <c r="M666" s="10"/>
    </row>
    <row r="667">
      <c r="M667" s="10"/>
    </row>
    <row r="668">
      <c r="M668" s="10"/>
    </row>
    <row r="669">
      <c r="M669" s="10"/>
    </row>
    <row r="670">
      <c r="M670" s="10"/>
    </row>
    <row r="671">
      <c r="M671" s="10"/>
    </row>
    <row r="672">
      <c r="M672" s="10"/>
    </row>
    <row r="673">
      <c r="M673" s="10"/>
    </row>
    <row r="674">
      <c r="M674" s="10"/>
    </row>
    <row r="675">
      <c r="M675" s="10"/>
    </row>
    <row r="676">
      <c r="M676" s="10"/>
    </row>
    <row r="677">
      <c r="M677" s="10"/>
    </row>
    <row r="678">
      <c r="M678" s="10"/>
    </row>
    <row r="679">
      <c r="M679" s="10"/>
    </row>
    <row r="680">
      <c r="M680" s="10"/>
    </row>
    <row r="681">
      <c r="M681" s="10"/>
    </row>
    <row r="682">
      <c r="M682" s="10"/>
    </row>
    <row r="683">
      <c r="M683" s="10"/>
    </row>
    <row r="684">
      <c r="M684" s="10"/>
    </row>
    <row r="685">
      <c r="M685" s="10"/>
    </row>
    <row r="686">
      <c r="M686" s="10"/>
    </row>
    <row r="687">
      <c r="M687" s="10"/>
    </row>
    <row r="688">
      <c r="M688" s="10"/>
    </row>
    <row r="689">
      <c r="M689" s="10"/>
    </row>
    <row r="690">
      <c r="M690" s="10"/>
    </row>
    <row r="691">
      <c r="M691" s="10"/>
    </row>
    <row r="692">
      <c r="M692" s="10"/>
    </row>
    <row r="693">
      <c r="M693" s="10"/>
    </row>
    <row r="694">
      <c r="M694" s="10"/>
    </row>
    <row r="695">
      <c r="M695" s="10"/>
    </row>
    <row r="696">
      <c r="M696" s="10"/>
    </row>
    <row r="697">
      <c r="M697" s="10"/>
    </row>
    <row r="698">
      <c r="M698" s="10"/>
    </row>
    <row r="699">
      <c r="M699" s="10"/>
    </row>
    <row r="700">
      <c r="M700" s="10"/>
    </row>
    <row r="701">
      <c r="M701" s="10"/>
    </row>
    <row r="702">
      <c r="M702" s="10"/>
    </row>
    <row r="703">
      <c r="M703" s="10"/>
    </row>
    <row r="704">
      <c r="M704" s="10"/>
    </row>
    <row r="705">
      <c r="M705" s="10"/>
    </row>
    <row r="706">
      <c r="M706" s="10"/>
    </row>
    <row r="707">
      <c r="M707" s="10"/>
    </row>
    <row r="708">
      <c r="M708" s="10"/>
    </row>
    <row r="709">
      <c r="M709" s="10"/>
    </row>
    <row r="710">
      <c r="M710" s="10"/>
    </row>
    <row r="711">
      <c r="M711" s="10"/>
    </row>
    <row r="712">
      <c r="M712" s="10"/>
    </row>
    <row r="713">
      <c r="M713" s="10"/>
    </row>
    <row r="714">
      <c r="M714" s="10"/>
    </row>
    <row r="715">
      <c r="M715" s="10"/>
    </row>
    <row r="716">
      <c r="M716" s="10"/>
    </row>
    <row r="717">
      <c r="M717" s="10"/>
    </row>
    <row r="718">
      <c r="M718" s="10"/>
    </row>
    <row r="719">
      <c r="M719" s="10"/>
    </row>
    <row r="720">
      <c r="M720" s="10"/>
    </row>
    <row r="721">
      <c r="M721" s="10"/>
    </row>
    <row r="722">
      <c r="M722" s="10"/>
    </row>
    <row r="723">
      <c r="M723" s="10"/>
    </row>
    <row r="724">
      <c r="M724" s="10"/>
    </row>
    <row r="725">
      <c r="M725" s="10"/>
    </row>
    <row r="726">
      <c r="M726" s="10"/>
    </row>
    <row r="727">
      <c r="M727" s="10"/>
    </row>
    <row r="728">
      <c r="M728" s="10"/>
    </row>
    <row r="729">
      <c r="M729" s="10"/>
    </row>
    <row r="730">
      <c r="M730" s="10"/>
    </row>
    <row r="731">
      <c r="M731" s="10"/>
    </row>
    <row r="732">
      <c r="M732" s="10"/>
    </row>
    <row r="733">
      <c r="M733" s="10"/>
    </row>
    <row r="734">
      <c r="M734" s="10"/>
    </row>
    <row r="735">
      <c r="M735" s="10"/>
    </row>
    <row r="736">
      <c r="M736" s="10"/>
    </row>
    <row r="737">
      <c r="M737" s="10"/>
    </row>
    <row r="738">
      <c r="M738" s="10"/>
    </row>
    <row r="739">
      <c r="M739" s="10"/>
    </row>
    <row r="740">
      <c r="M740" s="10"/>
    </row>
    <row r="741">
      <c r="M741" s="10"/>
    </row>
    <row r="742">
      <c r="M742" s="10"/>
    </row>
    <row r="743">
      <c r="M743" s="10"/>
    </row>
    <row r="744">
      <c r="M744" s="10"/>
    </row>
    <row r="745">
      <c r="M745" s="10"/>
    </row>
    <row r="746">
      <c r="M746" s="10"/>
    </row>
    <row r="747">
      <c r="M747" s="10"/>
    </row>
    <row r="748">
      <c r="M748" s="10"/>
    </row>
    <row r="749">
      <c r="M749" s="10"/>
    </row>
    <row r="750">
      <c r="M750" s="10"/>
    </row>
    <row r="751">
      <c r="M751" s="10"/>
    </row>
    <row r="752">
      <c r="M752" s="10"/>
    </row>
    <row r="753">
      <c r="M753" s="10"/>
    </row>
    <row r="754">
      <c r="M754" s="10"/>
    </row>
    <row r="755">
      <c r="M755" s="10"/>
    </row>
    <row r="756">
      <c r="M756" s="10"/>
    </row>
    <row r="757">
      <c r="M757" s="10"/>
    </row>
    <row r="758">
      <c r="M758" s="10"/>
    </row>
    <row r="759">
      <c r="M759" s="10"/>
    </row>
    <row r="760">
      <c r="M760" s="10"/>
    </row>
    <row r="761">
      <c r="M761" s="10"/>
    </row>
    <row r="762">
      <c r="M762" s="10"/>
    </row>
    <row r="763">
      <c r="M763" s="10"/>
    </row>
    <row r="764">
      <c r="M764" s="10"/>
    </row>
    <row r="765">
      <c r="M765" s="10"/>
    </row>
    <row r="766">
      <c r="M766" s="10"/>
    </row>
    <row r="767">
      <c r="M767" s="10"/>
    </row>
    <row r="768">
      <c r="M768" s="10"/>
    </row>
    <row r="769">
      <c r="M769" s="10"/>
    </row>
    <row r="770">
      <c r="M770" s="10"/>
    </row>
    <row r="771">
      <c r="M771" s="10"/>
    </row>
    <row r="772">
      <c r="M772" s="10"/>
    </row>
    <row r="773">
      <c r="M773" s="10"/>
    </row>
    <row r="774">
      <c r="M774" s="10"/>
    </row>
    <row r="775">
      <c r="M775" s="10"/>
    </row>
    <row r="776">
      <c r="M776" s="10"/>
    </row>
    <row r="777">
      <c r="M777" s="10"/>
    </row>
    <row r="778">
      <c r="M778" s="10"/>
    </row>
    <row r="779">
      <c r="M779" s="10"/>
    </row>
    <row r="780">
      <c r="M780" s="10"/>
    </row>
    <row r="781">
      <c r="M781" s="10"/>
    </row>
    <row r="782">
      <c r="M782" s="10"/>
    </row>
    <row r="783">
      <c r="M783" s="10"/>
    </row>
    <row r="784">
      <c r="M784" s="10"/>
    </row>
    <row r="785">
      <c r="M785" s="10"/>
    </row>
    <row r="786">
      <c r="M786" s="10"/>
    </row>
    <row r="787">
      <c r="M787" s="10"/>
    </row>
    <row r="788">
      <c r="M788" s="10"/>
    </row>
    <row r="789">
      <c r="M789" s="10"/>
    </row>
    <row r="790">
      <c r="M790" s="10"/>
    </row>
    <row r="791">
      <c r="M791" s="10"/>
    </row>
    <row r="792">
      <c r="M792" s="10"/>
    </row>
    <row r="793">
      <c r="M793" s="10"/>
    </row>
    <row r="794">
      <c r="M794" s="10"/>
    </row>
    <row r="795">
      <c r="M795" s="10"/>
    </row>
    <row r="796">
      <c r="M796" s="10"/>
    </row>
    <row r="797">
      <c r="M797" s="10"/>
    </row>
    <row r="798">
      <c r="M798" s="10"/>
    </row>
    <row r="799">
      <c r="M799" s="10"/>
    </row>
    <row r="800">
      <c r="M800" s="10"/>
    </row>
    <row r="801">
      <c r="M801" s="10"/>
    </row>
    <row r="802">
      <c r="M802" s="10"/>
    </row>
    <row r="803">
      <c r="M803" s="10"/>
    </row>
    <row r="804">
      <c r="M804" s="10"/>
    </row>
    <row r="805">
      <c r="M805" s="10"/>
    </row>
    <row r="806">
      <c r="M806" s="10"/>
    </row>
    <row r="807">
      <c r="M807" s="10"/>
    </row>
    <row r="808">
      <c r="M808" s="10"/>
    </row>
    <row r="809">
      <c r="M809" s="10"/>
    </row>
    <row r="810">
      <c r="M810" s="10"/>
    </row>
    <row r="811">
      <c r="M811" s="10"/>
    </row>
    <row r="812">
      <c r="M812" s="10"/>
    </row>
    <row r="813">
      <c r="M813" s="10"/>
    </row>
    <row r="814">
      <c r="M814" s="10"/>
    </row>
    <row r="815">
      <c r="M815" s="10"/>
    </row>
    <row r="816">
      <c r="M816" s="10"/>
    </row>
    <row r="817">
      <c r="M817" s="10"/>
    </row>
    <row r="818">
      <c r="M818" s="10"/>
    </row>
    <row r="819">
      <c r="M819" s="10"/>
    </row>
    <row r="820">
      <c r="M820" s="10"/>
    </row>
    <row r="821">
      <c r="M821" s="10"/>
    </row>
    <row r="822">
      <c r="M822" s="10"/>
    </row>
    <row r="823">
      <c r="M823" s="10"/>
    </row>
    <row r="824">
      <c r="M824" s="10"/>
    </row>
    <row r="825">
      <c r="M825" s="10"/>
    </row>
    <row r="826">
      <c r="M826" s="10"/>
    </row>
    <row r="827">
      <c r="M827" s="10"/>
    </row>
    <row r="828">
      <c r="M828" s="10"/>
    </row>
    <row r="829">
      <c r="M829" s="10"/>
    </row>
    <row r="830">
      <c r="M830" s="10"/>
    </row>
    <row r="831">
      <c r="M831" s="10"/>
    </row>
    <row r="832">
      <c r="M832" s="10"/>
    </row>
    <row r="833">
      <c r="M833" s="10"/>
    </row>
    <row r="834">
      <c r="M834" s="10"/>
    </row>
    <row r="835">
      <c r="M835" s="10"/>
    </row>
    <row r="836">
      <c r="M836" s="10"/>
    </row>
    <row r="837">
      <c r="M837" s="10"/>
    </row>
    <row r="838">
      <c r="M838" s="10"/>
    </row>
    <row r="839">
      <c r="M839" s="10"/>
    </row>
    <row r="840">
      <c r="M840" s="10"/>
    </row>
    <row r="841">
      <c r="M841" s="10"/>
    </row>
    <row r="842">
      <c r="M842" s="10"/>
    </row>
    <row r="843">
      <c r="M843" s="10"/>
    </row>
    <row r="844">
      <c r="M844" s="10"/>
    </row>
    <row r="845">
      <c r="M845" s="10"/>
    </row>
    <row r="846">
      <c r="M846" s="10"/>
    </row>
    <row r="847">
      <c r="M847" s="10"/>
    </row>
    <row r="848">
      <c r="M848" s="10"/>
    </row>
    <row r="849">
      <c r="M849" s="10"/>
    </row>
    <row r="850">
      <c r="M850" s="10"/>
    </row>
    <row r="851">
      <c r="M851" s="10"/>
    </row>
    <row r="852">
      <c r="M852" s="10"/>
    </row>
    <row r="853">
      <c r="M853" s="10"/>
    </row>
    <row r="854">
      <c r="M854" s="10"/>
    </row>
    <row r="855">
      <c r="M855" s="10"/>
    </row>
    <row r="856">
      <c r="M856" s="10"/>
    </row>
    <row r="857">
      <c r="M857" s="10"/>
    </row>
    <row r="858">
      <c r="M858" s="10"/>
    </row>
    <row r="859">
      <c r="M859" s="10"/>
    </row>
    <row r="860">
      <c r="M860" s="10"/>
    </row>
    <row r="861">
      <c r="M861" s="10"/>
    </row>
    <row r="862">
      <c r="M862" s="10"/>
    </row>
    <row r="863">
      <c r="M863" s="10"/>
    </row>
    <row r="864">
      <c r="M864" s="10"/>
    </row>
    <row r="865">
      <c r="M865" s="10"/>
    </row>
    <row r="866">
      <c r="M866" s="10"/>
    </row>
    <row r="867">
      <c r="M867" s="10"/>
    </row>
    <row r="868">
      <c r="M868" s="10"/>
    </row>
    <row r="869">
      <c r="M869" s="10"/>
    </row>
    <row r="870">
      <c r="M870" s="10"/>
    </row>
    <row r="871">
      <c r="M871" s="10"/>
    </row>
    <row r="872">
      <c r="M872" s="10"/>
    </row>
    <row r="873">
      <c r="M873" s="10"/>
    </row>
    <row r="874">
      <c r="M874" s="10"/>
    </row>
    <row r="875">
      <c r="M875" s="10"/>
    </row>
    <row r="876">
      <c r="M876" s="10"/>
    </row>
    <row r="877">
      <c r="M877" s="10"/>
    </row>
    <row r="878">
      <c r="M878" s="10"/>
    </row>
    <row r="879">
      <c r="M879" s="10"/>
    </row>
    <row r="880">
      <c r="M880" s="10"/>
    </row>
    <row r="881">
      <c r="M881" s="10"/>
    </row>
    <row r="882">
      <c r="M882" s="10"/>
    </row>
    <row r="883">
      <c r="M883" s="10"/>
    </row>
    <row r="884">
      <c r="M884" s="10"/>
    </row>
    <row r="885">
      <c r="M885" s="10"/>
    </row>
    <row r="886">
      <c r="M886" s="10"/>
    </row>
    <row r="887">
      <c r="M887" s="10"/>
    </row>
    <row r="888">
      <c r="M888" s="10"/>
    </row>
    <row r="889">
      <c r="M889" s="10"/>
    </row>
    <row r="890">
      <c r="M890" s="10"/>
    </row>
    <row r="891">
      <c r="M891" s="10"/>
    </row>
    <row r="892">
      <c r="M892" s="10"/>
    </row>
    <row r="893">
      <c r="M893" s="10"/>
    </row>
    <row r="894">
      <c r="M894" s="10"/>
    </row>
    <row r="895">
      <c r="M895" s="10"/>
    </row>
    <row r="896">
      <c r="M896" s="10"/>
    </row>
    <row r="897">
      <c r="M897" s="10"/>
    </row>
    <row r="898">
      <c r="M898" s="10"/>
    </row>
    <row r="899">
      <c r="M899" s="10"/>
    </row>
    <row r="900">
      <c r="M900" s="10"/>
    </row>
    <row r="901">
      <c r="M901" s="10"/>
    </row>
    <row r="902">
      <c r="M902" s="10"/>
    </row>
    <row r="903">
      <c r="M903" s="10"/>
    </row>
    <row r="904">
      <c r="M904" s="10"/>
    </row>
    <row r="905">
      <c r="M905" s="10"/>
    </row>
    <row r="906">
      <c r="M906" s="10"/>
    </row>
    <row r="907">
      <c r="M907" s="10"/>
    </row>
    <row r="908">
      <c r="M908" s="10"/>
    </row>
    <row r="909">
      <c r="M909" s="10"/>
    </row>
    <row r="910">
      <c r="M910" s="10"/>
    </row>
    <row r="911">
      <c r="M911" s="10"/>
    </row>
    <row r="912">
      <c r="M912" s="10"/>
    </row>
    <row r="913">
      <c r="M913" s="10"/>
    </row>
    <row r="914">
      <c r="M914" s="10"/>
    </row>
    <row r="915">
      <c r="M915" s="10"/>
    </row>
    <row r="916">
      <c r="M916" s="10"/>
    </row>
    <row r="917">
      <c r="M917" s="10"/>
    </row>
    <row r="918">
      <c r="M918" s="10"/>
    </row>
    <row r="919">
      <c r="M919" s="10"/>
    </row>
    <row r="920">
      <c r="M920" s="10"/>
    </row>
    <row r="921">
      <c r="M921" s="10"/>
    </row>
    <row r="922">
      <c r="M922" s="10"/>
    </row>
    <row r="923">
      <c r="M923" s="10"/>
    </row>
    <row r="924">
      <c r="M924" s="10"/>
    </row>
    <row r="925">
      <c r="M925" s="10"/>
    </row>
    <row r="926">
      <c r="M926" s="10"/>
    </row>
    <row r="927">
      <c r="M927" s="10"/>
    </row>
    <row r="928">
      <c r="M928" s="10"/>
    </row>
    <row r="929">
      <c r="M929" s="10"/>
    </row>
    <row r="930">
      <c r="M930" s="10"/>
    </row>
    <row r="931">
      <c r="M931" s="10"/>
    </row>
    <row r="932">
      <c r="M932" s="10"/>
    </row>
    <row r="933">
      <c r="M933" s="10"/>
    </row>
    <row r="934">
      <c r="M934" s="10"/>
    </row>
    <row r="935">
      <c r="M935" s="10"/>
    </row>
    <row r="936">
      <c r="M936" s="10"/>
    </row>
    <row r="937">
      <c r="M937" s="10"/>
    </row>
    <row r="938">
      <c r="M938" s="10"/>
    </row>
    <row r="939">
      <c r="M939" s="10"/>
    </row>
    <row r="940">
      <c r="M940" s="10"/>
    </row>
    <row r="941">
      <c r="M941" s="10"/>
    </row>
    <row r="942">
      <c r="M942" s="10"/>
    </row>
    <row r="943">
      <c r="M943" s="10"/>
    </row>
    <row r="944">
      <c r="M944" s="10"/>
    </row>
    <row r="945">
      <c r="M945" s="10"/>
    </row>
    <row r="946">
      <c r="M946" s="10"/>
    </row>
    <row r="947">
      <c r="M947" s="10"/>
    </row>
    <row r="948">
      <c r="M948" s="10"/>
    </row>
    <row r="949">
      <c r="M949" s="10"/>
    </row>
    <row r="950">
      <c r="M950" s="10"/>
    </row>
    <row r="951">
      <c r="M951" s="10"/>
    </row>
    <row r="952">
      <c r="M952" s="10"/>
    </row>
    <row r="953">
      <c r="M953" s="10"/>
    </row>
    <row r="954">
      <c r="M954" s="10"/>
    </row>
    <row r="955">
      <c r="M955" s="10"/>
    </row>
    <row r="956">
      <c r="M956" s="10"/>
    </row>
    <row r="957">
      <c r="M957" s="10"/>
    </row>
    <row r="958">
      <c r="M958" s="10"/>
    </row>
    <row r="959">
      <c r="M959" s="10"/>
    </row>
    <row r="960">
      <c r="M960" s="10"/>
    </row>
    <row r="961">
      <c r="M961" s="10"/>
    </row>
    <row r="962">
      <c r="M962" s="10"/>
    </row>
    <row r="963">
      <c r="M963" s="10"/>
    </row>
    <row r="964">
      <c r="M964" s="10"/>
    </row>
    <row r="965">
      <c r="M965" s="10"/>
    </row>
    <row r="966">
      <c r="M966" s="10"/>
    </row>
    <row r="967">
      <c r="M967" s="10"/>
    </row>
    <row r="968">
      <c r="M968" s="10"/>
    </row>
    <row r="969">
      <c r="M969" s="10"/>
    </row>
    <row r="970">
      <c r="M970" s="10"/>
    </row>
    <row r="971">
      <c r="M971" s="10"/>
    </row>
    <row r="972">
      <c r="M972" s="10"/>
    </row>
    <row r="973">
      <c r="M973" s="10"/>
    </row>
    <row r="974">
      <c r="M974" s="10"/>
    </row>
    <row r="975">
      <c r="M975" s="10"/>
    </row>
    <row r="976">
      <c r="M976" s="10"/>
    </row>
    <row r="977">
      <c r="M977" s="10"/>
    </row>
    <row r="978">
      <c r="M978" s="10"/>
    </row>
    <row r="979">
      <c r="M979" s="10"/>
    </row>
    <row r="980">
      <c r="M980" s="10"/>
    </row>
    <row r="981">
      <c r="M981" s="10"/>
    </row>
    <row r="982">
      <c r="M982" s="10"/>
    </row>
    <row r="983">
      <c r="M983" s="10"/>
    </row>
    <row r="984">
      <c r="M984" s="10"/>
    </row>
    <row r="985">
      <c r="M985" s="10"/>
    </row>
    <row r="986">
      <c r="M986" s="10"/>
    </row>
    <row r="987">
      <c r="M987" s="10"/>
    </row>
    <row r="988">
      <c r="M988" s="10"/>
    </row>
    <row r="989">
      <c r="M989" s="10"/>
    </row>
    <row r="990">
      <c r="M990" s="10"/>
    </row>
    <row r="991">
      <c r="M991" s="10"/>
    </row>
    <row r="992">
      <c r="M992" s="10"/>
    </row>
    <row r="993">
      <c r="M993" s="10"/>
    </row>
    <row r="994">
      <c r="M994" s="10"/>
    </row>
    <row r="995">
      <c r="M995" s="10"/>
    </row>
    <row r="996">
      <c r="M996" s="10"/>
    </row>
    <row r="997">
      <c r="M997" s="10"/>
    </row>
    <row r="998">
      <c r="M998" s="10"/>
    </row>
    <row r="999">
      <c r="M999" s="10"/>
    </row>
    <row r="1000">
      <c r="M1000" s="10"/>
    </row>
    <row r="1001">
      <c r="M1001" s="10"/>
    </row>
  </sheetData>
  <conditionalFormatting sqref="L5:L36">
    <cfRule type="cellIs" dxfId="1" priority="1" operator="greaterThan">
      <formula>0</formula>
    </cfRule>
  </conditionalFormatting>
  <conditionalFormatting sqref="L5:L36">
    <cfRule type="cellIs" dxfId="2" priority="2" operator="lessThan">
      <formula>0</formula>
    </cfRule>
  </conditionalFormatting>
  <dataValidations>
    <dataValidation type="list" allowBlank="1" showErrorMessage="1" sqref="B1">
      <formula1>"2023,2024,2025,2026,2027"</formula1>
    </dataValidation>
    <dataValidation type="list" allowBlank="1" showErrorMessage="1" sqref="B2">
      <formula1>"1,2,3,4,5,6,7,8,9,10,11,12"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6.0"/>
    <col customWidth="1" min="2" max="2" width="16.75"/>
  </cols>
  <sheetData>
    <row r="1">
      <c r="A1" s="11" t="s">
        <v>1550</v>
      </c>
    </row>
    <row r="5"/>
    <row r="14"/>
    <row r="21"/>
  </sheetData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</cols>
  <sheetData>
    <row r="1">
      <c r="A1" s="11" t="s">
        <v>1563</v>
      </c>
      <c r="B1" s="86" t="s">
        <v>1564</v>
      </c>
      <c r="C1" s="11" t="s">
        <v>1549</v>
      </c>
      <c r="D1" s="87" t="s">
        <v>1565</v>
      </c>
      <c r="E1" s="87" t="s">
        <v>1566</v>
      </c>
      <c r="F1" s="87" t="s">
        <v>1548</v>
      </c>
    </row>
    <row r="2">
      <c r="A2" s="11" t="s">
        <v>27</v>
      </c>
      <c r="B2" s="86">
        <v>32217.53</v>
      </c>
      <c r="C2" s="88">
        <v>45505.0</v>
      </c>
      <c r="D2" s="10">
        <f t="shared" ref="D2:D1000" si="1">DAY(C2)</f>
        <v>1</v>
      </c>
      <c r="E2" s="10">
        <f t="shared" ref="E2:E1000" si="2">MONTH(C2)</f>
        <v>8</v>
      </c>
      <c r="F2" s="10">
        <f t="shared" ref="F2:F1000" si="3">YEAR(C2)</f>
        <v>2024</v>
      </c>
    </row>
    <row r="3">
      <c r="A3" s="15"/>
      <c r="B3" s="86">
        <v>128802.85</v>
      </c>
      <c r="C3" s="88">
        <v>45536.0</v>
      </c>
      <c r="D3" s="10">
        <f t="shared" si="1"/>
        <v>1</v>
      </c>
      <c r="E3" s="10">
        <f t="shared" si="2"/>
        <v>9</v>
      </c>
      <c r="F3" s="10">
        <f t="shared" si="3"/>
        <v>2024</v>
      </c>
    </row>
    <row r="4">
      <c r="A4" s="15"/>
      <c r="B4" s="86">
        <v>59029.8</v>
      </c>
      <c r="C4" s="88">
        <v>45566.0</v>
      </c>
      <c r="D4" s="10">
        <f t="shared" si="1"/>
        <v>1</v>
      </c>
      <c r="E4" s="10">
        <f t="shared" si="2"/>
        <v>10</v>
      </c>
      <c r="F4" s="10">
        <f t="shared" si="3"/>
        <v>2024</v>
      </c>
    </row>
    <row r="5">
      <c r="A5" s="15"/>
      <c r="B5" s="86">
        <v>124413.41</v>
      </c>
      <c r="C5" s="88">
        <v>45597.0</v>
      </c>
      <c r="D5" s="10">
        <f t="shared" si="1"/>
        <v>1</v>
      </c>
      <c r="E5" s="10">
        <f t="shared" si="2"/>
        <v>11</v>
      </c>
      <c r="F5" s="10">
        <f t="shared" si="3"/>
        <v>2024</v>
      </c>
    </row>
    <row r="6">
      <c r="A6" s="15"/>
      <c r="B6" s="86">
        <v>151003.49</v>
      </c>
      <c r="C6" s="88">
        <v>45627.0</v>
      </c>
      <c r="D6" s="10">
        <f t="shared" si="1"/>
        <v>1</v>
      </c>
      <c r="E6" s="10">
        <f t="shared" si="2"/>
        <v>12</v>
      </c>
      <c r="F6" s="10">
        <f t="shared" si="3"/>
        <v>2024</v>
      </c>
    </row>
    <row r="7">
      <c r="A7" s="15"/>
      <c r="B7" s="86">
        <v>104230.66</v>
      </c>
      <c r="C7" s="88">
        <v>45658.0</v>
      </c>
      <c r="D7" s="10">
        <f t="shared" si="1"/>
        <v>1</v>
      </c>
      <c r="E7" s="10">
        <f t="shared" si="2"/>
        <v>1</v>
      </c>
      <c r="F7" s="10">
        <f t="shared" si="3"/>
        <v>2025</v>
      </c>
    </row>
    <row r="8">
      <c r="A8" s="15"/>
      <c r="B8" s="86">
        <v>96832.38</v>
      </c>
      <c r="C8" s="88">
        <v>45689.0</v>
      </c>
      <c r="D8" s="10">
        <f t="shared" si="1"/>
        <v>1</v>
      </c>
      <c r="E8" s="10">
        <f t="shared" si="2"/>
        <v>2</v>
      </c>
      <c r="F8" s="10">
        <f t="shared" si="3"/>
        <v>2025</v>
      </c>
    </row>
    <row r="9">
      <c r="A9" s="15"/>
      <c r="B9" s="86">
        <v>59937.11</v>
      </c>
      <c r="C9" s="88">
        <v>45717.0</v>
      </c>
      <c r="D9" s="10">
        <f t="shared" si="1"/>
        <v>1</v>
      </c>
      <c r="E9" s="10">
        <f t="shared" si="2"/>
        <v>3</v>
      </c>
      <c r="F9" s="10">
        <f t="shared" si="3"/>
        <v>2025</v>
      </c>
    </row>
    <row r="10">
      <c r="A10" s="15"/>
      <c r="B10" s="86">
        <v>23910.58</v>
      </c>
      <c r="C10" s="88">
        <v>45748.0</v>
      </c>
      <c r="D10" s="10">
        <f t="shared" si="1"/>
        <v>1</v>
      </c>
      <c r="E10" s="10">
        <f t="shared" si="2"/>
        <v>4</v>
      </c>
      <c r="F10" s="10">
        <f t="shared" si="3"/>
        <v>2025</v>
      </c>
    </row>
    <row r="11">
      <c r="A11" s="15"/>
      <c r="B11" s="86">
        <v>33760.6</v>
      </c>
      <c r="C11" s="88">
        <v>45778.0</v>
      </c>
      <c r="D11" s="10">
        <f t="shared" si="1"/>
        <v>1</v>
      </c>
      <c r="E11" s="10">
        <f t="shared" si="2"/>
        <v>5</v>
      </c>
      <c r="F11" s="10">
        <f t="shared" si="3"/>
        <v>2025</v>
      </c>
    </row>
    <row r="12">
      <c r="A12" s="15"/>
      <c r="B12" s="86">
        <v>94931.8</v>
      </c>
      <c r="C12" s="88">
        <v>45809.0</v>
      </c>
      <c r="D12" s="10">
        <f t="shared" si="1"/>
        <v>1</v>
      </c>
      <c r="E12" s="10">
        <f t="shared" si="2"/>
        <v>6</v>
      </c>
      <c r="F12" s="10">
        <f t="shared" si="3"/>
        <v>2025</v>
      </c>
    </row>
    <row r="13">
      <c r="A13" s="15"/>
      <c r="B13" s="86">
        <v>66417.3</v>
      </c>
      <c r="C13" s="88">
        <v>45839.0</v>
      </c>
      <c r="D13" s="10">
        <f t="shared" si="1"/>
        <v>1</v>
      </c>
      <c r="E13" s="10">
        <f t="shared" si="2"/>
        <v>7</v>
      </c>
      <c r="F13" s="10">
        <f t="shared" si="3"/>
        <v>2025</v>
      </c>
    </row>
    <row r="14">
      <c r="A14" s="15"/>
      <c r="B14" s="86">
        <v>129400.54</v>
      </c>
      <c r="C14" s="88">
        <v>45870.0</v>
      </c>
      <c r="D14" s="10">
        <f t="shared" si="1"/>
        <v>1</v>
      </c>
      <c r="E14" s="10">
        <f t="shared" si="2"/>
        <v>8</v>
      </c>
      <c r="F14" s="10">
        <f t="shared" si="3"/>
        <v>2025</v>
      </c>
    </row>
    <row r="15">
      <c r="A15" s="15"/>
      <c r="B15" s="86">
        <v>69920.33</v>
      </c>
      <c r="C15" s="88">
        <v>45901.0</v>
      </c>
      <c r="D15" s="10">
        <f t="shared" si="1"/>
        <v>1</v>
      </c>
      <c r="E15" s="10">
        <f t="shared" si="2"/>
        <v>9</v>
      </c>
      <c r="F15" s="10">
        <f t="shared" si="3"/>
        <v>2025</v>
      </c>
    </row>
    <row r="16">
      <c r="A16" s="15"/>
      <c r="B16" s="86">
        <v>164203.85</v>
      </c>
      <c r="C16" s="88">
        <v>45931.0</v>
      </c>
      <c r="D16" s="10">
        <f t="shared" si="1"/>
        <v>1</v>
      </c>
      <c r="E16" s="10">
        <f t="shared" si="2"/>
        <v>10</v>
      </c>
      <c r="F16" s="10">
        <f t="shared" si="3"/>
        <v>2025</v>
      </c>
    </row>
    <row r="17">
      <c r="A17" s="15"/>
      <c r="B17" s="86">
        <v>12865.12</v>
      </c>
      <c r="C17" s="88">
        <v>45962.0</v>
      </c>
      <c r="D17" s="10">
        <f t="shared" si="1"/>
        <v>1</v>
      </c>
      <c r="E17" s="10">
        <f t="shared" si="2"/>
        <v>11</v>
      </c>
      <c r="F17" s="10">
        <f t="shared" si="3"/>
        <v>2025</v>
      </c>
    </row>
    <row r="18">
      <c r="A18" s="15"/>
      <c r="B18" s="86">
        <v>61854.13</v>
      </c>
      <c r="C18" s="88">
        <v>45992.0</v>
      </c>
      <c r="D18" s="10">
        <f t="shared" si="1"/>
        <v>1</v>
      </c>
      <c r="E18" s="10">
        <f t="shared" si="2"/>
        <v>12</v>
      </c>
      <c r="F18" s="10">
        <f t="shared" si="3"/>
        <v>2025</v>
      </c>
    </row>
    <row r="19">
      <c r="A19" s="15"/>
      <c r="B19" s="86">
        <v>210403.13</v>
      </c>
      <c r="C19" s="88">
        <v>46023.0</v>
      </c>
      <c r="D19" s="10">
        <f t="shared" si="1"/>
        <v>1</v>
      </c>
      <c r="E19" s="10">
        <f t="shared" si="2"/>
        <v>1</v>
      </c>
      <c r="F19" s="10">
        <f t="shared" si="3"/>
        <v>2026</v>
      </c>
    </row>
    <row r="20">
      <c r="A20" s="15"/>
      <c r="B20" s="89">
        <v>14842.289999999957</v>
      </c>
      <c r="C20" s="88">
        <v>46054.0</v>
      </c>
      <c r="D20" s="10">
        <f t="shared" si="1"/>
        <v>1</v>
      </c>
      <c r="E20" s="10">
        <f t="shared" si="2"/>
        <v>2</v>
      </c>
      <c r="F20" s="10">
        <f t="shared" si="3"/>
        <v>2026</v>
      </c>
    </row>
    <row r="21">
      <c r="A21" s="15"/>
      <c r="B21" s="89">
        <v>109736.09999999989</v>
      </c>
      <c r="C21" s="88">
        <v>46082.0</v>
      </c>
      <c r="D21" s="10">
        <f t="shared" si="1"/>
        <v>1</v>
      </c>
      <c r="E21" s="10">
        <f t="shared" si="2"/>
        <v>3</v>
      </c>
      <c r="F21" s="10">
        <f t="shared" si="3"/>
        <v>2026</v>
      </c>
    </row>
    <row r="22">
      <c r="A22" s="15"/>
      <c r="B22" s="89">
        <v>70401.82299999983</v>
      </c>
      <c r="C22" s="88">
        <v>46113.0</v>
      </c>
      <c r="D22" s="10">
        <f t="shared" si="1"/>
        <v>1</v>
      </c>
      <c r="E22" s="10">
        <f t="shared" si="2"/>
        <v>4</v>
      </c>
      <c r="F22" s="10">
        <f t="shared" si="3"/>
        <v>2026</v>
      </c>
    </row>
    <row r="23">
      <c r="A23" s="15"/>
      <c r="B23" s="89">
        <v>-130677.29277500018</v>
      </c>
      <c r="C23" s="88">
        <v>46143.0</v>
      </c>
      <c r="D23" s="10">
        <f t="shared" si="1"/>
        <v>1</v>
      </c>
      <c r="E23" s="10">
        <f t="shared" si="2"/>
        <v>5</v>
      </c>
      <c r="F23" s="10">
        <f t="shared" si="3"/>
        <v>2026</v>
      </c>
    </row>
    <row r="24">
      <c r="A24" s="15"/>
      <c r="B24" s="89">
        <v>-236541.42050000018</v>
      </c>
      <c r="C24" s="88">
        <v>46174.0</v>
      </c>
      <c r="D24" s="10">
        <f t="shared" si="1"/>
        <v>1</v>
      </c>
      <c r="E24" s="10">
        <f t="shared" si="2"/>
        <v>6</v>
      </c>
      <c r="F24" s="10">
        <f t="shared" si="3"/>
        <v>2026</v>
      </c>
    </row>
    <row r="25">
      <c r="A25" s="15"/>
      <c r="B25" s="89">
        <v>-344388.42017500027</v>
      </c>
      <c r="C25" s="88">
        <v>46204.0</v>
      </c>
      <c r="D25" s="10">
        <f t="shared" si="1"/>
        <v>1</v>
      </c>
      <c r="E25" s="10">
        <f t="shared" si="2"/>
        <v>7</v>
      </c>
      <c r="F25" s="10">
        <f t="shared" si="3"/>
        <v>2026</v>
      </c>
    </row>
    <row r="26">
      <c r="A26" s="15"/>
      <c r="B26" s="89">
        <v>-450027.0818000003</v>
      </c>
      <c r="C26" s="88">
        <v>46235.0</v>
      </c>
      <c r="D26" s="10">
        <f t="shared" si="1"/>
        <v>1</v>
      </c>
      <c r="E26" s="10">
        <f t="shared" si="2"/>
        <v>8</v>
      </c>
      <c r="F26" s="10">
        <f t="shared" si="3"/>
        <v>2026</v>
      </c>
    </row>
    <row r="27">
      <c r="A27" s="15"/>
      <c r="B27" s="89"/>
      <c r="D27" s="10">
        <f t="shared" si="1"/>
        <v>30</v>
      </c>
      <c r="E27" s="10">
        <f t="shared" si="2"/>
        <v>12</v>
      </c>
      <c r="F27" s="10">
        <f t="shared" si="3"/>
        <v>1899</v>
      </c>
    </row>
    <row r="28">
      <c r="A28" s="15"/>
      <c r="B28" s="89"/>
      <c r="D28" s="10">
        <f t="shared" si="1"/>
        <v>30</v>
      </c>
      <c r="E28" s="10">
        <f t="shared" si="2"/>
        <v>12</v>
      </c>
      <c r="F28" s="10">
        <f t="shared" si="3"/>
        <v>1899</v>
      </c>
    </row>
    <row r="29">
      <c r="A29" s="15"/>
      <c r="B29" s="89"/>
      <c r="D29" s="10">
        <f t="shared" si="1"/>
        <v>30</v>
      </c>
      <c r="E29" s="10">
        <f t="shared" si="2"/>
        <v>12</v>
      </c>
      <c r="F29" s="10">
        <f t="shared" si="3"/>
        <v>1899</v>
      </c>
    </row>
    <row r="30">
      <c r="A30" s="15"/>
      <c r="B30" s="89"/>
      <c r="D30" s="10">
        <f t="shared" si="1"/>
        <v>30</v>
      </c>
      <c r="E30" s="10">
        <f t="shared" si="2"/>
        <v>12</v>
      </c>
      <c r="F30" s="10">
        <f t="shared" si="3"/>
        <v>1899</v>
      </c>
    </row>
    <row r="31">
      <c r="A31" s="15"/>
      <c r="B31" s="89"/>
      <c r="D31" s="10">
        <f t="shared" si="1"/>
        <v>30</v>
      </c>
      <c r="E31" s="10">
        <f t="shared" si="2"/>
        <v>12</v>
      </c>
      <c r="F31" s="10">
        <f t="shared" si="3"/>
        <v>1899</v>
      </c>
    </row>
    <row r="32">
      <c r="A32" s="15"/>
      <c r="B32" s="89"/>
      <c r="D32" s="10">
        <f t="shared" si="1"/>
        <v>30</v>
      </c>
      <c r="E32" s="10">
        <f t="shared" si="2"/>
        <v>12</v>
      </c>
      <c r="F32" s="10">
        <f t="shared" si="3"/>
        <v>1899</v>
      </c>
    </row>
    <row r="33">
      <c r="A33" s="15"/>
      <c r="B33" s="89"/>
      <c r="D33" s="10">
        <f t="shared" si="1"/>
        <v>30</v>
      </c>
      <c r="E33" s="10">
        <f t="shared" si="2"/>
        <v>12</v>
      </c>
      <c r="F33" s="10">
        <f t="shared" si="3"/>
        <v>1899</v>
      </c>
    </row>
    <row r="34">
      <c r="A34" s="15"/>
      <c r="B34" s="89"/>
      <c r="D34" s="10">
        <f t="shared" si="1"/>
        <v>30</v>
      </c>
      <c r="E34" s="10">
        <f t="shared" si="2"/>
        <v>12</v>
      </c>
      <c r="F34" s="10">
        <f t="shared" si="3"/>
        <v>1899</v>
      </c>
    </row>
    <row r="35">
      <c r="A35" s="15"/>
      <c r="B35" s="89"/>
      <c r="D35" s="10">
        <f t="shared" si="1"/>
        <v>30</v>
      </c>
      <c r="E35" s="10">
        <f t="shared" si="2"/>
        <v>12</v>
      </c>
      <c r="F35" s="10">
        <f t="shared" si="3"/>
        <v>1899</v>
      </c>
    </row>
    <row r="36">
      <c r="A36" s="15"/>
      <c r="B36" s="89"/>
      <c r="D36" s="10">
        <f t="shared" si="1"/>
        <v>30</v>
      </c>
      <c r="E36" s="10">
        <f t="shared" si="2"/>
        <v>12</v>
      </c>
      <c r="F36" s="10">
        <f t="shared" si="3"/>
        <v>1899</v>
      </c>
    </row>
    <row r="37">
      <c r="A37" s="15"/>
      <c r="B37" s="89"/>
      <c r="D37" s="10">
        <f t="shared" si="1"/>
        <v>30</v>
      </c>
      <c r="E37" s="10">
        <f t="shared" si="2"/>
        <v>12</v>
      </c>
      <c r="F37" s="10">
        <f t="shared" si="3"/>
        <v>1899</v>
      </c>
    </row>
    <row r="38">
      <c r="A38" s="15"/>
      <c r="B38" s="89"/>
      <c r="D38" s="10">
        <f t="shared" si="1"/>
        <v>30</v>
      </c>
      <c r="E38" s="10">
        <f t="shared" si="2"/>
        <v>12</v>
      </c>
      <c r="F38" s="10">
        <f t="shared" si="3"/>
        <v>1899</v>
      </c>
    </row>
    <row r="39">
      <c r="A39" s="15"/>
      <c r="B39" s="89"/>
      <c r="D39" s="10">
        <f t="shared" si="1"/>
        <v>30</v>
      </c>
      <c r="E39" s="10">
        <f t="shared" si="2"/>
        <v>12</v>
      </c>
      <c r="F39" s="10">
        <f t="shared" si="3"/>
        <v>1899</v>
      </c>
    </row>
    <row r="40">
      <c r="A40" s="15"/>
      <c r="B40" s="89"/>
      <c r="D40" s="10">
        <f t="shared" si="1"/>
        <v>30</v>
      </c>
      <c r="E40" s="10">
        <f t="shared" si="2"/>
        <v>12</v>
      </c>
      <c r="F40" s="10">
        <f t="shared" si="3"/>
        <v>1899</v>
      </c>
    </row>
    <row r="41">
      <c r="A41" s="15"/>
      <c r="B41" s="89"/>
      <c r="D41" s="10">
        <f t="shared" si="1"/>
        <v>30</v>
      </c>
      <c r="E41" s="10">
        <f t="shared" si="2"/>
        <v>12</v>
      </c>
      <c r="F41" s="10">
        <f t="shared" si="3"/>
        <v>1899</v>
      </c>
    </row>
    <row r="42">
      <c r="A42" s="15"/>
      <c r="B42" s="89"/>
      <c r="D42" s="10">
        <f t="shared" si="1"/>
        <v>30</v>
      </c>
      <c r="E42" s="10">
        <f t="shared" si="2"/>
        <v>12</v>
      </c>
      <c r="F42" s="10">
        <f t="shared" si="3"/>
        <v>1899</v>
      </c>
    </row>
    <row r="43">
      <c r="A43" s="15"/>
      <c r="B43" s="89"/>
      <c r="D43" s="10">
        <f t="shared" si="1"/>
        <v>30</v>
      </c>
      <c r="E43" s="10">
        <f t="shared" si="2"/>
        <v>12</v>
      </c>
      <c r="F43" s="10">
        <f t="shared" si="3"/>
        <v>1899</v>
      </c>
    </row>
    <row r="44">
      <c r="A44" s="15"/>
      <c r="B44" s="89"/>
      <c r="D44" s="10">
        <f t="shared" si="1"/>
        <v>30</v>
      </c>
      <c r="E44" s="10">
        <f t="shared" si="2"/>
        <v>12</v>
      </c>
      <c r="F44" s="10">
        <f t="shared" si="3"/>
        <v>1899</v>
      </c>
    </row>
    <row r="45">
      <c r="A45" s="15"/>
      <c r="B45" s="89"/>
      <c r="D45" s="10">
        <f t="shared" si="1"/>
        <v>30</v>
      </c>
      <c r="E45" s="10">
        <f t="shared" si="2"/>
        <v>12</v>
      </c>
      <c r="F45" s="10">
        <f t="shared" si="3"/>
        <v>1899</v>
      </c>
    </row>
    <row r="46">
      <c r="A46" s="15"/>
      <c r="B46" s="89"/>
      <c r="D46" s="10">
        <f t="shared" si="1"/>
        <v>30</v>
      </c>
      <c r="E46" s="10">
        <f t="shared" si="2"/>
        <v>12</v>
      </c>
      <c r="F46" s="10">
        <f t="shared" si="3"/>
        <v>1899</v>
      </c>
    </row>
    <row r="47">
      <c r="A47" s="15"/>
      <c r="B47" s="89"/>
      <c r="D47" s="10">
        <f t="shared" si="1"/>
        <v>30</v>
      </c>
      <c r="E47" s="10">
        <f t="shared" si="2"/>
        <v>12</v>
      </c>
      <c r="F47" s="10">
        <f t="shared" si="3"/>
        <v>1899</v>
      </c>
    </row>
    <row r="48">
      <c r="A48" s="15"/>
      <c r="B48" s="89"/>
      <c r="D48" s="10">
        <f t="shared" si="1"/>
        <v>30</v>
      </c>
      <c r="E48" s="10">
        <f t="shared" si="2"/>
        <v>12</v>
      </c>
      <c r="F48" s="10">
        <f t="shared" si="3"/>
        <v>1899</v>
      </c>
    </row>
    <row r="49">
      <c r="A49" s="15"/>
      <c r="B49" s="89"/>
      <c r="D49" s="10">
        <f t="shared" si="1"/>
        <v>30</v>
      </c>
      <c r="E49" s="10">
        <f t="shared" si="2"/>
        <v>12</v>
      </c>
      <c r="F49" s="10">
        <f t="shared" si="3"/>
        <v>1899</v>
      </c>
    </row>
    <row r="50">
      <c r="A50" s="15"/>
      <c r="B50" s="89"/>
      <c r="D50" s="10">
        <f t="shared" si="1"/>
        <v>30</v>
      </c>
      <c r="E50" s="10">
        <f t="shared" si="2"/>
        <v>12</v>
      </c>
      <c r="F50" s="10">
        <f t="shared" si="3"/>
        <v>1899</v>
      </c>
    </row>
    <row r="51">
      <c r="A51" s="15"/>
      <c r="B51" s="89"/>
      <c r="D51" s="10">
        <f t="shared" si="1"/>
        <v>30</v>
      </c>
      <c r="E51" s="10">
        <f t="shared" si="2"/>
        <v>12</v>
      </c>
      <c r="F51" s="10">
        <f t="shared" si="3"/>
        <v>1899</v>
      </c>
    </row>
    <row r="52">
      <c r="A52" s="15"/>
      <c r="B52" s="89"/>
      <c r="D52" s="10">
        <f t="shared" si="1"/>
        <v>30</v>
      </c>
      <c r="E52" s="10">
        <f t="shared" si="2"/>
        <v>12</v>
      </c>
      <c r="F52" s="10">
        <f t="shared" si="3"/>
        <v>1899</v>
      </c>
    </row>
    <row r="53">
      <c r="A53" s="15"/>
      <c r="B53" s="89"/>
      <c r="D53" s="10">
        <f t="shared" si="1"/>
        <v>30</v>
      </c>
      <c r="E53" s="10">
        <f t="shared" si="2"/>
        <v>12</v>
      </c>
      <c r="F53" s="10">
        <f t="shared" si="3"/>
        <v>1899</v>
      </c>
    </row>
    <row r="54">
      <c r="A54" s="15"/>
      <c r="B54" s="89"/>
      <c r="D54" s="10">
        <f t="shared" si="1"/>
        <v>30</v>
      </c>
      <c r="E54" s="10">
        <f t="shared" si="2"/>
        <v>12</v>
      </c>
      <c r="F54" s="10">
        <f t="shared" si="3"/>
        <v>1899</v>
      </c>
    </row>
    <row r="55">
      <c r="A55" s="15"/>
      <c r="B55" s="89"/>
      <c r="D55" s="10">
        <f t="shared" si="1"/>
        <v>30</v>
      </c>
      <c r="E55" s="10">
        <f t="shared" si="2"/>
        <v>12</v>
      </c>
      <c r="F55" s="10">
        <f t="shared" si="3"/>
        <v>1899</v>
      </c>
    </row>
    <row r="56">
      <c r="A56" s="15"/>
      <c r="B56" s="89"/>
      <c r="D56" s="10">
        <f t="shared" si="1"/>
        <v>30</v>
      </c>
      <c r="E56" s="10">
        <f t="shared" si="2"/>
        <v>12</v>
      </c>
      <c r="F56" s="10">
        <f t="shared" si="3"/>
        <v>1899</v>
      </c>
    </row>
    <row r="57">
      <c r="A57" s="15"/>
      <c r="B57" s="89"/>
      <c r="D57" s="10">
        <f t="shared" si="1"/>
        <v>30</v>
      </c>
      <c r="E57" s="10">
        <f t="shared" si="2"/>
        <v>12</v>
      </c>
      <c r="F57" s="10">
        <f t="shared" si="3"/>
        <v>1899</v>
      </c>
    </row>
    <row r="58">
      <c r="A58" s="15"/>
      <c r="B58" s="89"/>
      <c r="D58" s="10">
        <f t="shared" si="1"/>
        <v>30</v>
      </c>
      <c r="E58" s="10">
        <f t="shared" si="2"/>
        <v>12</v>
      </c>
      <c r="F58" s="10">
        <f t="shared" si="3"/>
        <v>1899</v>
      </c>
    </row>
    <row r="59">
      <c r="A59" s="15"/>
      <c r="B59" s="89"/>
      <c r="D59" s="10">
        <f t="shared" si="1"/>
        <v>30</v>
      </c>
      <c r="E59" s="10">
        <f t="shared" si="2"/>
        <v>12</v>
      </c>
      <c r="F59" s="10">
        <f t="shared" si="3"/>
        <v>1899</v>
      </c>
    </row>
    <row r="60">
      <c r="A60" s="15"/>
      <c r="B60" s="89"/>
      <c r="D60" s="10">
        <f t="shared" si="1"/>
        <v>30</v>
      </c>
      <c r="E60" s="10">
        <f t="shared" si="2"/>
        <v>12</v>
      </c>
      <c r="F60" s="10">
        <f t="shared" si="3"/>
        <v>1899</v>
      </c>
    </row>
    <row r="61">
      <c r="A61" s="15"/>
      <c r="B61" s="89"/>
      <c r="D61" s="10">
        <f t="shared" si="1"/>
        <v>30</v>
      </c>
      <c r="E61" s="10">
        <f t="shared" si="2"/>
        <v>12</v>
      </c>
      <c r="F61" s="10">
        <f t="shared" si="3"/>
        <v>1899</v>
      </c>
    </row>
    <row r="62">
      <c r="A62" s="15"/>
      <c r="B62" s="89"/>
      <c r="D62" s="10">
        <f t="shared" si="1"/>
        <v>30</v>
      </c>
      <c r="E62" s="10">
        <f t="shared" si="2"/>
        <v>12</v>
      </c>
      <c r="F62" s="10">
        <f t="shared" si="3"/>
        <v>1899</v>
      </c>
    </row>
    <row r="63">
      <c r="A63" s="15"/>
      <c r="B63" s="89"/>
      <c r="D63" s="10">
        <f t="shared" si="1"/>
        <v>30</v>
      </c>
      <c r="E63" s="10">
        <f t="shared" si="2"/>
        <v>12</v>
      </c>
      <c r="F63" s="10">
        <f t="shared" si="3"/>
        <v>1899</v>
      </c>
    </row>
    <row r="64">
      <c r="A64" s="15"/>
      <c r="B64" s="89"/>
      <c r="D64" s="10">
        <f t="shared" si="1"/>
        <v>30</v>
      </c>
      <c r="E64" s="10">
        <f t="shared" si="2"/>
        <v>12</v>
      </c>
      <c r="F64" s="10">
        <f t="shared" si="3"/>
        <v>1899</v>
      </c>
    </row>
    <row r="65">
      <c r="A65" s="15"/>
      <c r="B65" s="89"/>
      <c r="D65" s="10">
        <f t="shared" si="1"/>
        <v>30</v>
      </c>
      <c r="E65" s="10">
        <f t="shared" si="2"/>
        <v>12</v>
      </c>
      <c r="F65" s="10">
        <f t="shared" si="3"/>
        <v>1899</v>
      </c>
    </row>
    <row r="66">
      <c r="A66" s="15"/>
      <c r="B66" s="89"/>
      <c r="D66" s="10">
        <f t="shared" si="1"/>
        <v>30</v>
      </c>
      <c r="E66" s="10">
        <f t="shared" si="2"/>
        <v>12</v>
      </c>
      <c r="F66" s="10">
        <f t="shared" si="3"/>
        <v>1899</v>
      </c>
    </row>
    <row r="67">
      <c r="A67" s="15"/>
      <c r="B67" s="89"/>
      <c r="D67" s="10">
        <f t="shared" si="1"/>
        <v>30</v>
      </c>
      <c r="E67" s="10">
        <f t="shared" si="2"/>
        <v>12</v>
      </c>
      <c r="F67" s="10">
        <f t="shared" si="3"/>
        <v>1899</v>
      </c>
    </row>
    <row r="68">
      <c r="A68" s="15"/>
      <c r="B68" s="89"/>
      <c r="D68" s="10">
        <f t="shared" si="1"/>
        <v>30</v>
      </c>
      <c r="E68" s="10">
        <f t="shared" si="2"/>
        <v>12</v>
      </c>
      <c r="F68" s="10">
        <f t="shared" si="3"/>
        <v>1899</v>
      </c>
    </row>
    <row r="69">
      <c r="A69" s="15"/>
      <c r="B69" s="89"/>
      <c r="D69" s="10">
        <f t="shared" si="1"/>
        <v>30</v>
      </c>
      <c r="E69" s="10">
        <f t="shared" si="2"/>
        <v>12</v>
      </c>
      <c r="F69" s="10">
        <f t="shared" si="3"/>
        <v>1899</v>
      </c>
    </row>
    <row r="70">
      <c r="A70" s="15"/>
      <c r="B70" s="89"/>
      <c r="D70" s="10">
        <f t="shared" si="1"/>
        <v>30</v>
      </c>
      <c r="E70" s="10">
        <f t="shared" si="2"/>
        <v>12</v>
      </c>
      <c r="F70" s="10">
        <f t="shared" si="3"/>
        <v>1899</v>
      </c>
    </row>
    <row r="71">
      <c r="A71" s="15"/>
      <c r="B71" s="89"/>
      <c r="D71" s="10">
        <f t="shared" si="1"/>
        <v>30</v>
      </c>
      <c r="E71" s="10">
        <f t="shared" si="2"/>
        <v>12</v>
      </c>
      <c r="F71" s="10">
        <f t="shared" si="3"/>
        <v>1899</v>
      </c>
    </row>
    <row r="72">
      <c r="A72" s="15"/>
      <c r="B72" s="89"/>
      <c r="D72" s="10">
        <f t="shared" si="1"/>
        <v>30</v>
      </c>
      <c r="E72" s="10">
        <f t="shared" si="2"/>
        <v>12</v>
      </c>
      <c r="F72" s="10">
        <f t="shared" si="3"/>
        <v>1899</v>
      </c>
    </row>
    <row r="73">
      <c r="A73" s="15"/>
      <c r="B73" s="89"/>
      <c r="D73" s="10">
        <f t="shared" si="1"/>
        <v>30</v>
      </c>
      <c r="E73" s="10">
        <f t="shared" si="2"/>
        <v>12</v>
      </c>
      <c r="F73" s="10">
        <f t="shared" si="3"/>
        <v>1899</v>
      </c>
    </row>
    <row r="74">
      <c r="A74" s="15"/>
      <c r="B74" s="89"/>
      <c r="D74" s="10">
        <f t="shared" si="1"/>
        <v>30</v>
      </c>
      <c r="E74" s="10">
        <f t="shared" si="2"/>
        <v>12</v>
      </c>
      <c r="F74" s="10">
        <f t="shared" si="3"/>
        <v>1899</v>
      </c>
    </row>
    <row r="75">
      <c r="A75" s="15"/>
      <c r="B75" s="89"/>
      <c r="D75" s="10">
        <f t="shared" si="1"/>
        <v>30</v>
      </c>
      <c r="E75" s="10">
        <f t="shared" si="2"/>
        <v>12</v>
      </c>
      <c r="F75" s="10">
        <f t="shared" si="3"/>
        <v>1899</v>
      </c>
    </row>
    <row r="76">
      <c r="A76" s="15"/>
      <c r="B76" s="89"/>
      <c r="D76" s="10">
        <f t="shared" si="1"/>
        <v>30</v>
      </c>
      <c r="E76" s="10">
        <f t="shared" si="2"/>
        <v>12</v>
      </c>
      <c r="F76" s="10">
        <f t="shared" si="3"/>
        <v>1899</v>
      </c>
    </row>
    <row r="77">
      <c r="A77" s="15"/>
      <c r="B77" s="89"/>
      <c r="D77" s="10">
        <f t="shared" si="1"/>
        <v>30</v>
      </c>
      <c r="E77" s="10">
        <f t="shared" si="2"/>
        <v>12</v>
      </c>
      <c r="F77" s="10">
        <f t="shared" si="3"/>
        <v>1899</v>
      </c>
    </row>
    <row r="78">
      <c r="A78" s="15"/>
      <c r="B78" s="89"/>
      <c r="D78" s="10">
        <f t="shared" si="1"/>
        <v>30</v>
      </c>
      <c r="E78" s="10">
        <f t="shared" si="2"/>
        <v>12</v>
      </c>
      <c r="F78" s="10">
        <f t="shared" si="3"/>
        <v>1899</v>
      </c>
    </row>
    <row r="79">
      <c r="A79" s="15"/>
      <c r="B79" s="89"/>
      <c r="D79" s="10">
        <f t="shared" si="1"/>
        <v>30</v>
      </c>
      <c r="E79" s="10">
        <f t="shared" si="2"/>
        <v>12</v>
      </c>
      <c r="F79" s="10">
        <f t="shared" si="3"/>
        <v>1899</v>
      </c>
    </row>
    <row r="80">
      <c r="A80" s="15"/>
      <c r="B80" s="89"/>
      <c r="D80" s="10">
        <f t="shared" si="1"/>
        <v>30</v>
      </c>
      <c r="E80" s="10">
        <f t="shared" si="2"/>
        <v>12</v>
      </c>
      <c r="F80" s="10">
        <f t="shared" si="3"/>
        <v>1899</v>
      </c>
    </row>
    <row r="81">
      <c r="A81" s="15"/>
      <c r="B81" s="89"/>
      <c r="D81" s="10">
        <f t="shared" si="1"/>
        <v>30</v>
      </c>
      <c r="E81" s="10">
        <f t="shared" si="2"/>
        <v>12</v>
      </c>
      <c r="F81" s="10">
        <f t="shared" si="3"/>
        <v>1899</v>
      </c>
    </row>
    <row r="82">
      <c r="A82" s="15"/>
      <c r="B82" s="89"/>
      <c r="D82" s="10">
        <f t="shared" si="1"/>
        <v>30</v>
      </c>
      <c r="E82" s="10">
        <f t="shared" si="2"/>
        <v>12</v>
      </c>
      <c r="F82" s="10">
        <f t="shared" si="3"/>
        <v>1899</v>
      </c>
    </row>
    <row r="83">
      <c r="A83" s="15"/>
      <c r="B83" s="89"/>
      <c r="D83" s="10">
        <f t="shared" si="1"/>
        <v>30</v>
      </c>
      <c r="E83" s="10">
        <f t="shared" si="2"/>
        <v>12</v>
      </c>
      <c r="F83" s="10">
        <f t="shared" si="3"/>
        <v>1899</v>
      </c>
    </row>
    <row r="84">
      <c r="A84" s="15"/>
      <c r="B84" s="89"/>
      <c r="D84" s="10">
        <f t="shared" si="1"/>
        <v>30</v>
      </c>
      <c r="E84" s="10">
        <f t="shared" si="2"/>
        <v>12</v>
      </c>
      <c r="F84" s="10">
        <f t="shared" si="3"/>
        <v>1899</v>
      </c>
    </row>
    <row r="85">
      <c r="A85" s="15"/>
      <c r="B85" s="89"/>
      <c r="D85" s="10">
        <f t="shared" si="1"/>
        <v>30</v>
      </c>
      <c r="E85" s="10">
        <f t="shared" si="2"/>
        <v>12</v>
      </c>
      <c r="F85" s="10">
        <f t="shared" si="3"/>
        <v>1899</v>
      </c>
    </row>
    <row r="86">
      <c r="A86" s="15"/>
      <c r="B86" s="89"/>
      <c r="D86" s="10">
        <f t="shared" si="1"/>
        <v>30</v>
      </c>
      <c r="E86" s="10">
        <f t="shared" si="2"/>
        <v>12</v>
      </c>
      <c r="F86" s="10">
        <f t="shared" si="3"/>
        <v>1899</v>
      </c>
    </row>
    <row r="87">
      <c r="A87" s="15"/>
      <c r="B87" s="89"/>
      <c r="D87" s="10">
        <f t="shared" si="1"/>
        <v>30</v>
      </c>
      <c r="E87" s="10">
        <f t="shared" si="2"/>
        <v>12</v>
      </c>
      <c r="F87" s="10">
        <f t="shared" si="3"/>
        <v>1899</v>
      </c>
    </row>
    <row r="88">
      <c r="A88" s="15"/>
      <c r="B88" s="89"/>
      <c r="D88" s="10">
        <f t="shared" si="1"/>
        <v>30</v>
      </c>
      <c r="E88" s="10">
        <f t="shared" si="2"/>
        <v>12</v>
      </c>
      <c r="F88" s="10">
        <f t="shared" si="3"/>
        <v>1899</v>
      </c>
    </row>
    <row r="89">
      <c r="A89" s="15"/>
      <c r="B89" s="89"/>
      <c r="D89" s="10">
        <f t="shared" si="1"/>
        <v>30</v>
      </c>
      <c r="E89" s="10">
        <f t="shared" si="2"/>
        <v>12</v>
      </c>
      <c r="F89" s="10">
        <f t="shared" si="3"/>
        <v>1899</v>
      </c>
    </row>
    <row r="90">
      <c r="A90" s="15"/>
      <c r="B90" s="89"/>
      <c r="D90" s="10">
        <f t="shared" si="1"/>
        <v>30</v>
      </c>
      <c r="E90" s="10">
        <f t="shared" si="2"/>
        <v>12</v>
      </c>
      <c r="F90" s="10">
        <f t="shared" si="3"/>
        <v>1899</v>
      </c>
    </row>
    <row r="91">
      <c r="A91" s="15"/>
      <c r="B91" s="89"/>
      <c r="D91" s="10">
        <f t="shared" si="1"/>
        <v>30</v>
      </c>
      <c r="E91" s="10">
        <f t="shared" si="2"/>
        <v>12</v>
      </c>
      <c r="F91" s="10">
        <f t="shared" si="3"/>
        <v>1899</v>
      </c>
    </row>
    <row r="92">
      <c r="A92" s="15"/>
      <c r="B92" s="89"/>
      <c r="D92" s="10">
        <f t="shared" si="1"/>
        <v>30</v>
      </c>
      <c r="E92" s="10">
        <f t="shared" si="2"/>
        <v>12</v>
      </c>
      <c r="F92" s="10">
        <f t="shared" si="3"/>
        <v>1899</v>
      </c>
    </row>
    <row r="93">
      <c r="A93" s="15"/>
      <c r="B93" s="89"/>
      <c r="D93" s="10">
        <f t="shared" si="1"/>
        <v>30</v>
      </c>
      <c r="E93" s="10">
        <f t="shared" si="2"/>
        <v>12</v>
      </c>
      <c r="F93" s="10">
        <f t="shared" si="3"/>
        <v>1899</v>
      </c>
    </row>
    <row r="94">
      <c r="A94" s="15"/>
      <c r="B94" s="89"/>
      <c r="D94" s="10">
        <f t="shared" si="1"/>
        <v>30</v>
      </c>
      <c r="E94" s="10">
        <f t="shared" si="2"/>
        <v>12</v>
      </c>
      <c r="F94" s="10">
        <f t="shared" si="3"/>
        <v>1899</v>
      </c>
    </row>
    <row r="95">
      <c r="A95" s="15"/>
      <c r="B95" s="89"/>
      <c r="D95" s="10">
        <f t="shared" si="1"/>
        <v>30</v>
      </c>
      <c r="E95" s="10">
        <f t="shared" si="2"/>
        <v>12</v>
      </c>
      <c r="F95" s="10">
        <f t="shared" si="3"/>
        <v>1899</v>
      </c>
    </row>
    <row r="96">
      <c r="A96" s="15"/>
      <c r="B96" s="89"/>
      <c r="D96" s="10">
        <f t="shared" si="1"/>
        <v>30</v>
      </c>
      <c r="E96" s="10">
        <f t="shared" si="2"/>
        <v>12</v>
      </c>
      <c r="F96" s="10">
        <f t="shared" si="3"/>
        <v>1899</v>
      </c>
    </row>
    <row r="97">
      <c r="A97" s="15"/>
      <c r="B97" s="89"/>
      <c r="D97" s="10">
        <f t="shared" si="1"/>
        <v>30</v>
      </c>
      <c r="E97" s="10">
        <f t="shared" si="2"/>
        <v>12</v>
      </c>
      <c r="F97" s="10">
        <f t="shared" si="3"/>
        <v>1899</v>
      </c>
    </row>
    <row r="98">
      <c r="A98" s="15"/>
      <c r="B98" s="89"/>
      <c r="D98" s="10">
        <f t="shared" si="1"/>
        <v>30</v>
      </c>
      <c r="E98" s="10">
        <f t="shared" si="2"/>
        <v>12</v>
      </c>
      <c r="F98" s="10">
        <f t="shared" si="3"/>
        <v>1899</v>
      </c>
    </row>
    <row r="99">
      <c r="A99" s="15"/>
      <c r="B99" s="89"/>
      <c r="D99" s="10">
        <f t="shared" si="1"/>
        <v>30</v>
      </c>
      <c r="E99" s="10">
        <f t="shared" si="2"/>
        <v>12</v>
      </c>
      <c r="F99" s="10">
        <f t="shared" si="3"/>
        <v>1899</v>
      </c>
    </row>
    <row r="100">
      <c r="A100" s="15"/>
      <c r="B100" s="89"/>
      <c r="D100" s="10">
        <f t="shared" si="1"/>
        <v>30</v>
      </c>
      <c r="E100" s="10">
        <f t="shared" si="2"/>
        <v>12</v>
      </c>
      <c r="F100" s="10">
        <f t="shared" si="3"/>
        <v>1899</v>
      </c>
    </row>
    <row r="101">
      <c r="A101" s="15"/>
      <c r="B101" s="89"/>
      <c r="D101" s="10">
        <f t="shared" si="1"/>
        <v>30</v>
      </c>
      <c r="E101" s="10">
        <f t="shared" si="2"/>
        <v>12</v>
      </c>
      <c r="F101" s="10">
        <f t="shared" si="3"/>
        <v>1899</v>
      </c>
    </row>
    <row r="102">
      <c r="A102" s="15"/>
      <c r="B102" s="89"/>
      <c r="D102" s="10">
        <f t="shared" si="1"/>
        <v>30</v>
      </c>
      <c r="E102" s="10">
        <f t="shared" si="2"/>
        <v>12</v>
      </c>
      <c r="F102" s="10">
        <f t="shared" si="3"/>
        <v>1899</v>
      </c>
    </row>
    <row r="103">
      <c r="A103" s="15"/>
      <c r="B103" s="89"/>
      <c r="D103" s="10">
        <f t="shared" si="1"/>
        <v>30</v>
      </c>
      <c r="E103" s="10">
        <f t="shared" si="2"/>
        <v>12</v>
      </c>
      <c r="F103" s="10">
        <f t="shared" si="3"/>
        <v>1899</v>
      </c>
    </row>
    <row r="104">
      <c r="A104" s="15"/>
      <c r="B104" s="89"/>
      <c r="D104" s="10">
        <f t="shared" si="1"/>
        <v>30</v>
      </c>
      <c r="E104" s="10">
        <f t="shared" si="2"/>
        <v>12</v>
      </c>
      <c r="F104" s="10">
        <f t="shared" si="3"/>
        <v>1899</v>
      </c>
    </row>
    <row r="105">
      <c r="A105" s="15"/>
      <c r="B105" s="89"/>
      <c r="D105" s="10">
        <f t="shared" si="1"/>
        <v>30</v>
      </c>
      <c r="E105" s="10">
        <f t="shared" si="2"/>
        <v>12</v>
      </c>
      <c r="F105" s="10">
        <f t="shared" si="3"/>
        <v>1899</v>
      </c>
    </row>
    <row r="106">
      <c r="A106" s="15"/>
      <c r="B106" s="89"/>
      <c r="D106" s="10">
        <f t="shared" si="1"/>
        <v>30</v>
      </c>
      <c r="E106" s="10">
        <f t="shared" si="2"/>
        <v>12</v>
      </c>
      <c r="F106" s="10">
        <f t="shared" si="3"/>
        <v>1899</v>
      </c>
    </row>
    <row r="107">
      <c r="A107" s="15"/>
      <c r="B107" s="89"/>
      <c r="D107" s="10">
        <f t="shared" si="1"/>
        <v>30</v>
      </c>
      <c r="E107" s="10">
        <f t="shared" si="2"/>
        <v>12</v>
      </c>
      <c r="F107" s="10">
        <f t="shared" si="3"/>
        <v>1899</v>
      </c>
    </row>
    <row r="108">
      <c r="A108" s="15"/>
      <c r="B108" s="89"/>
      <c r="D108" s="10">
        <f t="shared" si="1"/>
        <v>30</v>
      </c>
      <c r="E108" s="10">
        <f t="shared" si="2"/>
        <v>12</v>
      </c>
      <c r="F108" s="10">
        <f t="shared" si="3"/>
        <v>1899</v>
      </c>
    </row>
    <row r="109">
      <c r="A109" s="15"/>
      <c r="B109" s="89"/>
      <c r="D109" s="10">
        <f t="shared" si="1"/>
        <v>30</v>
      </c>
      <c r="E109" s="10">
        <f t="shared" si="2"/>
        <v>12</v>
      </c>
      <c r="F109" s="10">
        <f t="shared" si="3"/>
        <v>1899</v>
      </c>
    </row>
    <row r="110">
      <c r="A110" s="15"/>
      <c r="B110" s="89"/>
      <c r="D110" s="10">
        <f t="shared" si="1"/>
        <v>30</v>
      </c>
      <c r="E110" s="10">
        <f t="shared" si="2"/>
        <v>12</v>
      </c>
      <c r="F110" s="10">
        <f t="shared" si="3"/>
        <v>1899</v>
      </c>
    </row>
    <row r="111">
      <c r="A111" s="15"/>
      <c r="B111" s="89"/>
      <c r="D111" s="10">
        <f t="shared" si="1"/>
        <v>30</v>
      </c>
      <c r="E111" s="10">
        <f t="shared" si="2"/>
        <v>12</v>
      </c>
      <c r="F111" s="10">
        <f t="shared" si="3"/>
        <v>1899</v>
      </c>
    </row>
    <row r="112">
      <c r="A112" s="15"/>
      <c r="B112" s="89"/>
      <c r="D112" s="10">
        <f t="shared" si="1"/>
        <v>30</v>
      </c>
      <c r="E112" s="10">
        <f t="shared" si="2"/>
        <v>12</v>
      </c>
      <c r="F112" s="10">
        <f t="shared" si="3"/>
        <v>1899</v>
      </c>
    </row>
    <row r="113">
      <c r="A113" s="15"/>
      <c r="B113" s="89"/>
      <c r="D113" s="10">
        <f t="shared" si="1"/>
        <v>30</v>
      </c>
      <c r="E113" s="10">
        <f t="shared" si="2"/>
        <v>12</v>
      </c>
      <c r="F113" s="10">
        <f t="shared" si="3"/>
        <v>1899</v>
      </c>
    </row>
    <row r="114">
      <c r="A114" s="15"/>
      <c r="B114" s="89"/>
      <c r="D114" s="10">
        <f t="shared" si="1"/>
        <v>30</v>
      </c>
      <c r="E114" s="10">
        <f t="shared" si="2"/>
        <v>12</v>
      </c>
      <c r="F114" s="10">
        <f t="shared" si="3"/>
        <v>1899</v>
      </c>
    </row>
    <row r="115">
      <c r="A115" s="15"/>
      <c r="B115" s="89"/>
      <c r="D115" s="10">
        <f t="shared" si="1"/>
        <v>30</v>
      </c>
      <c r="E115" s="10">
        <f t="shared" si="2"/>
        <v>12</v>
      </c>
      <c r="F115" s="10">
        <f t="shared" si="3"/>
        <v>1899</v>
      </c>
    </row>
    <row r="116">
      <c r="A116" s="15"/>
      <c r="B116" s="89"/>
      <c r="D116" s="10">
        <f t="shared" si="1"/>
        <v>30</v>
      </c>
      <c r="E116" s="10">
        <f t="shared" si="2"/>
        <v>12</v>
      </c>
      <c r="F116" s="10">
        <f t="shared" si="3"/>
        <v>1899</v>
      </c>
    </row>
    <row r="117">
      <c r="A117" s="15"/>
      <c r="B117" s="89"/>
      <c r="D117" s="10">
        <f t="shared" si="1"/>
        <v>30</v>
      </c>
      <c r="E117" s="10">
        <f t="shared" si="2"/>
        <v>12</v>
      </c>
      <c r="F117" s="10">
        <f t="shared" si="3"/>
        <v>1899</v>
      </c>
    </row>
    <row r="118">
      <c r="A118" s="15"/>
      <c r="B118" s="89"/>
      <c r="D118" s="10">
        <f t="shared" si="1"/>
        <v>30</v>
      </c>
      <c r="E118" s="10">
        <f t="shared" si="2"/>
        <v>12</v>
      </c>
      <c r="F118" s="10">
        <f t="shared" si="3"/>
        <v>1899</v>
      </c>
    </row>
    <row r="119">
      <c r="A119" s="15"/>
      <c r="B119" s="89"/>
      <c r="D119" s="10">
        <f t="shared" si="1"/>
        <v>30</v>
      </c>
      <c r="E119" s="10">
        <f t="shared" si="2"/>
        <v>12</v>
      </c>
      <c r="F119" s="10">
        <f t="shared" si="3"/>
        <v>1899</v>
      </c>
    </row>
    <row r="120">
      <c r="A120" s="15"/>
      <c r="B120" s="89"/>
      <c r="D120" s="10">
        <f t="shared" si="1"/>
        <v>30</v>
      </c>
      <c r="E120" s="10">
        <f t="shared" si="2"/>
        <v>12</v>
      </c>
      <c r="F120" s="10">
        <f t="shared" si="3"/>
        <v>1899</v>
      </c>
    </row>
    <row r="121">
      <c r="A121" s="15"/>
      <c r="B121" s="89"/>
      <c r="D121" s="10">
        <f t="shared" si="1"/>
        <v>30</v>
      </c>
      <c r="E121" s="10">
        <f t="shared" si="2"/>
        <v>12</v>
      </c>
      <c r="F121" s="10">
        <f t="shared" si="3"/>
        <v>1899</v>
      </c>
    </row>
    <row r="122">
      <c r="A122" s="15"/>
      <c r="B122" s="89"/>
      <c r="D122" s="10">
        <f t="shared" si="1"/>
        <v>30</v>
      </c>
      <c r="E122" s="10">
        <f t="shared" si="2"/>
        <v>12</v>
      </c>
      <c r="F122" s="10">
        <f t="shared" si="3"/>
        <v>1899</v>
      </c>
    </row>
    <row r="123">
      <c r="A123" s="15"/>
      <c r="B123" s="89"/>
      <c r="D123" s="10">
        <f t="shared" si="1"/>
        <v>30</v>
      </c>
      <c r="E123" s="10">
        <f t="shared" si="2"/>
        <v>12</v>
      </c>
      <c r="F123" s="10">
        <f t="shared" si="3"/>
        <v>1899</v>
      </c>
    </row>
    <row r="124">
      <c r="A124" s="15"/>
      <c r="B124" s="89"/>
      <c r="D124" s="10">
        <f t="shared" si="1"/>
        <v>30</v>
      </c>
      <c r="E124" s="10">
        <f t="shared" si="2"/>
        <v>12</v>
      </c>
      <c r="F124" s="10">
        <f t="shared" si="3"/>
        <v>1899</v>
      </c>
    </row>
    <row r="125">
      <c r="A125" s="15"/>
      <c r="B125" s="89"/>
      <c r="D125" s="10">
        <f t="shared" si="1"/>
        <v>30</v>
      </c>
      <c r="E125" s="10">
        <f t="shared" si="2"/>
        <v>12</v>
      </c>
      <c r="F125" s="10">
        <f t="shared" si="3"/>
        <v>1899</v>
      </c>
    </row>
    <row r="126">
      <c r="A126" s="15"/>
      <c r="B126" s="89"/>
      <c r="D126" s="10">
        <f t="shared" si="1"/>
        <v>30</v>
      </c>
      <c r="E126" s="10">
        <f t="shared" si="2"/>
        <v>12</v>
      </c>
      <c r="F126" s="10">
        <f t="shared" si="3"/>
        <v>1899</v>
      </c>
    </row>
    <row r="127">
      <c r="A127" s="15"/>
      <c r="B127" s="89"/>
      <c r="D127" s="10">
        <f t="shared" si="1"/>
        <v>30</v>
      </c>
      <c r="E127" s="10">
        <f t="shared" si="2"/>
        <v>12</v>
      </c>
      <c r="F127" s="10">
        <f t="shared" si="3"/>
        <v>1899</v>
      </c>
    </row>
    <row r="128">
      <c r="A128" s="15"/>
      <c r="B128" s="89"/>
      <c r="D128" s="10">
        <f t="shared" si="1"/>
        <v>30</v>
      </c>
      <c r="E128" s="10">
        <f t="shared" si="2"/>
        <v>12</v>
      </c>
      <c r="F128" s="10">
        <f t="shared" si="3"/>
        <v>1899</v>
      </c>
    </row>
    <row r="129">
      <c r="A129" s="15"/>
      <c r="B129" s="89"/>
      <c r="D129" s="10">
        <f t="shared" si="1"/>
        <v>30</v>
      </c>
      <c r="E129" s="10">
        <f t="shared" si="2"/>
        <v>12</v>
      </c>
      <c r="F129" s="10">
        <f t="shared" si="3"/>
        <v>1899</v>
      </c>
    </row>
    <row r="130">
      <c r="A130" s="15"/>
      <c r="B130" s="89"/>
      <c r="D130" s="10">
        <f t="shared" si="1"/>
        <v>30</v>
      </c>
      <c r="E130" s="10">
        <f t="shared" si="2"/>
        <v>12</v>
      </c>
      <c r="F130" s="10">
        <f t="shared" si="3"/>
        <v>1899</v>
      </c>
    </row>
    <row r="131">
      <c r="A131" s="15"/>
      <c r="B131" s="89"/>
      <c r="D131" s="10">
        <f t="shared" si="1"/>
        <v>30</v>
      </c>
      <c r="E131" s="10">
        <f t="shared" si="2"/>
        <v>12</v>
      </c>
      <c r="F131" s="10">
        <f t="shared" si="3"/>
        <v>1899</v>
      </c>
    </row>
    <row r="132">
      <c r="A132" s="15"/>
      <c r="B132" s="89"/>
      <c r="D132" s="10">
        <f t="shared" si="1"/>
        <v>30</v>
      </c>
      <c r="E132" s="10">
        <f t="shared" si="2"/>
        <v>12</v>
      </c>
      <c r="F132" s="10">
        <f t="shared" si="3"/>
        <v>1899</v>
      </c>
    </row>
    <row r="133">
      <c r="A133" s="15"/>
      <c r="B133" s="89"/>
      <c r="D133" s="10">
        <f t="shared" si="1"/>
        <v>30</v>
      </c>
      <c r="E133" s="10">
        <f t="shared" si="2"/>
        <v>12</v>
      </c>
      <c r="F133" s="10">
        <f t="shared" si="3"/>
        <v>1899</v>
      </c>
    </row>
    <row r="134">
      <c r="A134" s="15"/>
      <c r="B134" s="89"/>
      <c r="D134" s="10">
        <f t="shared" si="1"/>
        <v>30</v>
      </c>
      <c r="E134" s="10">
        <f t="shared" si="2"/>
        <v>12</v>
      </c>
      <c r="F134" s="10">
        <f t="shared" si="3"/>
        <v>1899</v>
      </c>
    </row>
    <row r="135">
      <c r="A135" s="15"/>
      <c r="B135" s="89"/>
      <c r="D135" s="10">
        <f t="shared" si="1"/>
        <v>30</v>
      </c>
      <c r="E135" s="10">
        <f t="shared" si="2"/>
        <v>12</v>
      </c>
      <c r="F135" s="10">
        <f t="shared" si="3"/>
        <v>1899</v>
      </c>
    </row>
    <row r="136">
      <c r="A136" s="15"/>
      <c r="B136" s="89"/>
      <c r="D136" s="10">
        <f t="shared" si="1"/>
        <v>30</v>
      </c>
      <c r="E136" s="10">
        <f t="shared" si="2"/>
        <v>12</v>
      </c>
      <c r="F136" s="10">
        <f t="shared" si="3"/>
        <v>1899</v>
      </c>
    </row>
    <row r="137">
      <c r="A137" s="15"/>
      <c r="B137" s="89"/>
      <c r="D137" s="10">
        <f t="shared" si="1"/>
        <v>30</v>
      </c>
      <c r="E137" s="10">
        <f t="shared" si="2"/>
        <v>12</v>
      </c>
      <c r="F137" s="10">
        <f t="shared" si="3"/>
        <v>1899</v>
      </c>
    </row>
    <row r="138">
      <c r="A138" s="15"/>
      <c r="B138" s="89"/>
      <c r="D138" s="10">
        <f t="shared" si="1"/>
        <v>30</v>
      </c>
      <c r="E138" s="10">
        <f t="shared" si="2"/>
        <v>12</v>
      </c>
      <c r="F138" s="10">
        <f t="shared" si="3"/>
        <v>1899</v>
      </c>
    </row>
    <row r="139">
      <c r="A139" s="15"/>
      <c r="B139" s="89"/>
      <c r="D139" s="10">
        <f t="shared" si="1"/>
        <v>30</v>
      </c>
      <c r="E139" s="10">
        <f t="shared" si="2"/>
        <v>12</v>
      </c>
      <c r="F139" s="10">
        <f t="shared" si="3"/>
        <v>1899</v>
      </c>
    </row>
    <row r="140">
      <c r="A140" s="15"/>
      <c r="B140" s="89"/>
      <c r="D140" s="10">
        <f t="shared" si="1"/>
        <v>30</v>
      </c>
      <c r="E140" s="10">
        <f t="shared" si="2"/>
        <v>12</v>
      </c>
      <c r="F140" s="10">
        <f t="shared" si="3"/>
        <v>1899</v>
      </c>
    </row>
    <row r="141">
      <c r="A141" s="15"/>
      <c r="B141" s="89"/>
      <c r="D141" s="10">
        <f t="shared" si="1"/>
        <v>30</v>
      </c>
      <c r="E141" s="10">
        <f t="shared" si="2"/>
        <v>12</v>
      </c>
      <c r="F141" s="10">
        <f t="shared" si="3"/>
        <v>1899</v>
      </c>
    </row>
    <row r="142">
      <c r="A142" s="15"/>
      <c r="B142" s="89"/>
      <c r="D142" s="10">
        <f t="shared" si="1"/>
        <v>30</v>
      </c>
      <c r="E142" s="10">
        <f t="shared" si="2"/>
        <v>12</v>
      </c>
      <c r="F142" s="10">
        <f t="shared" si="3"/>
        <v>1899</v>
      </c>
    </row>
    <row r="143">
      <c r="A143" s="15"/>
      <c r="B143" s="89"/>
      <c r="D143" s="10">
        <f t="shared" si="1"/>
        <v>30</v>
      </c>
      <c r="E143" s="10">
        <f t="shared" si="2"/>
        <v>12</v>
      </c>
      <c r="F143" s="10">
        <f t="shared" si="3"/>
        <v>1899</v>
      </c>
    </row>
    <row r="144">
      <c r="A144" s="15"/>
      <c r="B144" s="89"/>
      <c r="D144" s="10">
        <f t="shared" si="1"/>
        <v>30</v>
      </c>
      <c r="E144" s="10">
        <f t="shared" si="2"/>
        <v>12</v>
      </c>
      <c r="F144" s="10">
        <f t="shared" si="3"/>
        <v>1899</v>
      </c>
    </row>
    <row r="145">
      <c r="A145" s="15"/>
      <c r="B145" s="89"/>
      <c r="D145" s="10">
        <f t="shared" si="1"/>
        <v>30</v>
      </c>
      <c r="E145" s="10">
        <f t="shared" si="2"/>
        <v>12</v>
      </c>
      <c r="F145" s="10">
        <f t="shared" si="3"/>
        <v>1899</v>
      </c>
    </row>
    <row r="146">
      <c r="A146" s="15"/>
      <c r="B146" s="89"/>
      <c r="D146" s="10">
        <f t="shared" si="1"/>
        <v>30</v>
      </c>
      <c r="E146" s="10">
        <f t="shared" si="2"/>
        <v>12</v>
      </c>
      <c r="F146" s="10">
        <f t="shared" si="3"/>
        <v>1899</v>
      </c>
    </row>
    <row r="147">
      <c r="A147" s="15"/>
      <c r="B147" s="89"/>
      <c r="D147" s="10">
        <f t="shared" si="1"/>
        <v>30</v>
      </c>
      <c r="E147" s="10">
        <f t="shared" si="2"/>
        <v>12</v>
      </c>
      <c r="F147" s="10">
        <f t="shared" si="3"/>
        <v>1899</v>
      </c>
    </row>
    <row r="148">
      <c r="A148" s="15"/>
      <c r="B148" s="89"/>
      <c r="D148" s="10">
        <f t="shared" si="1"/>
        <v>30</v>
      </c>
      <c r="E148" s="10">
        <f t="shared" si="2"/>
        <v>12</v>
      </c>
      <c r="F148" s="10">
        <f t="shared" si="3"/>
        <v>1899</v>
      </c>
    </row>
    <row r="149">
      <c r="A149" s="15"/>
      <c r="B149" s="89"/>
      <c r="D149" s="10">
        <f t="shared" si="1"/>
        <v>30</v>
      </c>
      <c r="E149" s="10">
        <f t="shared" si="2"/>
        <v>12</v>
      </c>
      <c r="F149" s="10">
        <f t="shared" si="3"/>
        <v>1899</v>
      </c>
    </row>
    <row r="150">
      <c r="A150" s="15"/>
      <c r="B150" s="89"/>
      <c r="D150" s="10">
        <f t="shared" si="1"/>
        <v>30</v>
      </c>
      <c r="E150" s="10">
        <f t="shared" si="2"/>
        <v>12</v>
      </c>
      <c r="F150" s="10">
        <f t="shared" si="3"/>
        <v>1899</v>
      </c>
    </row>
    <row r="151">
      <c r="A151" s="15"/>
      <c r="B151" s="89"/>
      <c r="D151" s="10">
        <f t="shared" si="1"/>
        <v>30</v>
      </c>
      <c r="E151" s="10">
        <f t="shared" si="2"/>
        <v>12</v>
      </c>
      <c r="F151" s="10">
        <f t="shared" si="3"/>
        <v>1899</v>
      </c>
    </row>
    <row r="152">
      <c r="A152" s="15"/>
      <c r="B152" s="89"/>
      <c r="D152" s="10">
        <f t="shared" si="1"/>
        <v>30</v>
      </c>
      <c r="E152" s="10">
        <f t="shared" si="2"/>
        <v>12</v>
      </c>
      <c r="F152" s="10">
        <f t="shared" si="3"/>
        <v>1899</v>
      </c>
    </row>
    <row r="153">
      <c r="A153" s="15"/>
      <c r="B153" s="89"/>
      <c r="D153" s="10">
        <f t="shared" si="1"/>
        <v>30</v>
      </c>
      <c r="E153" s="10">
        <f t="shared" si="2"/>
        <v>12</v>
      </c>
      <c r="F153" s="10">
        <f t="shared" si="3"/>
        <v>1899</v>
      </c>
    </row>
    <row r="154">
      <c r="A154" s="15"/>
      <c r="B154" s="89"/>
      <c r="D154" s="10">
        <f t="shared" si="1"/>
        <v>30</v>
      </c>
      <c r="E154" s="10">
        <f t="shared" si="2"/>
        <v>12</v>
      </c>
      <c r="F154" s="10">
        <f t="shared" si="3"/>
        <v>1899</v>
      </c>
    </row>
    <row r="155">
      <c r="A155" s="15"/>
      <c r="B155" s="89"/>
      <c r="D155" s="10">
        <f t="shared" si="1"/>
        <v>30</v>
      </c>
      <c r="E155" s="10">
        <f t="shared" si="2"/>
        <v>12</v>
      </c>
      <c r="F155" s="10">
        <f t="shared" si="3"/>
        <v>1899</v>
      </c>
    </row>
    <row r="156">
      <c r="A156" s="15"/>
      <c r="B156" s="89"/>
      <c r="D156" s="10">
        <f t="shared" si="1"/>
        <v>30</v>
      </c>
      <c r="E156" s="10">
        <f t="shared" si="2"/>
        <v>12</v>
      </c>
      <c r="F156" s="10">
        <f t="shared" si="3"/>
        <v>1899</v>
      </c>
    </row>
    <row r="157">
      <c r="A157" s="15"/>
      <c r="B157" s="89"/>
      <c r="D157" s="10">
        <f t="shared" si="1"/>
        <v>30</v>
      </c>
      <c r="E157" s="10">
        <f t="shared" si="2"/>
        <v>12</v>
      </c>
      <c r="F157" s="10">
        <f t="shared" si="3"/>
        <v>1899</v>
      </c>
    </row>
    <row r="158">
      <c r="A158" s="15"/>
      <c r="B158" s="89"/>
      <c r="D158" s="10">
        <f t="shared" si="1"/>
        <v>30</v>
      </c>
      <c r="E158" s="10">
        <f t="shared" si="2"/>
        <v>12</v>
      </c>
      <c r="F158" s="10">
        <f t="shared" si="3"/>
        <v>1899</v>
      </c>
    </row>
    <row r="159">
      <c r="A159" s="15"/>
      <c r="B159" s="89"/>
      <c r="D159" s="10">
        <f t="shared" si="1"/>
        <v>30</v>
      </c>
      <c r="E159" s="10">
        <f t="shared" si="2"/>
        <v>12</v>
      </c>
      <c r="F159" s="10">
        <f t="shared" si="3"/>
        <v>1899</v>
      </c>
    </row>
    <row r="160">
      <c r="A160" s="15"/>
      <c r="B160" s="89"/>
      <c r="D160" s="10">
        <f t="shared" si="1"/>
        <v>30</v>
      </c>
      <c r="E160" s="10">
        <f t="shared" si="2"/>
        <v>12</v>
      </c>
      <c r="F160" s="10">
        <f t="shared" si="3"/>
        <v>1899</v>
      </c>
    </row>
    <row r="161">
      <c r="A161" s="15"/>
      <c r="B161" s="89"/>
      <c r="D161" s="10">
        <f t="shared" si="1"/>
        <v>30</v>
      </c>
      <c r="E161" s="10">
        <f t="shared" si="2"/>
        <v>12</v>
      </c>
      <c r="F161" s="10">
        <f t="shared" si="3"/>
        <v>1899</v>
      </c>
    </row>
    <row r="162">
      <c r="A162" s="15"/>
      <c r="B162" s="89"/>
      <c r="D162" s="10">
        <f t="shared" si="1"/>
        <v>30</v>
      </c>
      <c r="E162" s="10">
        <f t="shared" si="2"/>
        <v>12</v>
      </c>
      <c r="F162" s="10">
        <f t="shared" si="3"/>
        <v>1899</v>
      </c>
    </row>
    <row r="163">
      <c r="A163" s="15"/>
      <c r="B163" s="89"/>
      <c r="D163" s="10">
        <f t="shared" si="1"/>
        <v>30</v>
      </c>
      <c r="E163" s="10">
        <f t="shared" si="2"/>
        <v>12</v>
      </c>
      <c r="F163" s="10">
        <f t="shared" si="3"/>
        <v>1899</v>
      </c>
    </row>
    <row r="164">
      <c r="A164" s="15"/>
      <c r="B164" s="89"/>
      <c r="D164" s="10">
        <f t="shared" si="1"/>
        <v>30</v>
      </c>
      <c r="E164" s="10">
        <f t="shared" si="2"/>
        <v>12</v>
      </c>
      <c r="F164" s="10">
        <f t="shared" si="3"/>
        <v>1899</v>
      </c>
    </row>
    <row r="165">
      <c r="A165" s="15"/>
      <c r="B165" s="89"/>
      <c r="D165" s="10">
        <f t="shared" si="1"/>
        <v>30</v>
      </c>
      <c r="E165" s="10">
        <f t="shared" si="2"/>
        <v>12</v>
      </c>
      <c r="F165" s="10">
        <f t="shared" si="3"/>
        <v>1899</v>
      </c>
    </row>
    <row r="166">
      <c r="A166" s="15"/>
      <c r="B166" s="89"/>
      <c r="D166" s="10">
        <f t="shared" si="1"/>
        <v>30</v>
      </c>
      <c r="E166" s="10">
        <f t="shared" si="2"/>
        <v>12</v>
      </c>
      <c r="F166" s="10">
        <f t="shared" si="3"/>
        <v>1899</v>
      </c>
    </row>
    <row r="167">
      <c r="A167" s="15"/>
      <c r="B167" s="89"/>
      <c r="D167" s="10">
        <f t="shared" si="1"/>
        <v>30</v>
      </c>
      <c r="E167" s="10">
        <f t="shared" si="2"/>
        <v>12</v>
      </c>
      <c r="F167" s="10">
        <f t="shared" si="3"/>
        <v>1899</v>
      </c>
    </row>
    <row r="168">
      <c r="A168" s="15"/>
      <c r="B168" s="89"/>
      <c r="D168" s="10">
        <f t="shared" si="1"/>
        <v>30</v>
      </c>
      <c r="E168" s="10">
        <f t="shared" si="2"/>
        <v>12</v>
      </c>
      <c r="F168" s="10">
        <f t="shared" si="3"/>
        <v>1899</v>
      </c>
    </row>
    <row r="169">
      <c r="A169" s="15"/>
      <c r="B169" s="89"/>
      <c r="D169" s="10">
        <f t="shared" si="1"/>
        <v>30</v>
      </c>
      <c r="E169" s="10">
        <f t="shared" si="2"/>
        <v>12</v>
      </c>
      <c r="F169" s="10">
        <f t="shared" si="3"/>
        <v>1899</v>
      </c>
    </row>
    <row r="170">
      <c r="A170" s="15"/>
      <c r="B170" s="89"/>
      <c r="D170" s="10">
        <f t="shared" si="1"/>
        <v>30</v>
      </c>
      <c r="E170" s="10">
        <f t="shared" si="2"/>
        <v>12</v>
      </c>
      <c r="F170" s="10">
        <f t="shared" si="3"/>
        <v>1899</v>
      </c>
    </row>
    <row r="171">
      <c r="A171" s="15"/>
      <c r="B171" s="89"/>
      <c r="D171" s="10">
        <f t="shared" si="1"/>
        <v>30</v>
      </c>
      <c r="E171" s="10">
        <f t="shared" si="2"/>
        <v>12</v>
      </c>
      <c r="F171" s="10">
        <f t="shared" si="3"/>
        <v>1899</v>
      </c>
    </row>
    <row r="172">
      <c r="A172" s="15"/>
      <c r="B172" s="89"/>
      <c r="D172" s="10">
        <f t="shared" si="1"/>
        <v>30</v>
      </c>
      <c r="E172" s="10">
        <f t="shared" si="2"/>
        <v>12</v>
      </c>
      <c r="F172" s="10">
        <f t="shared" si="3"/>
        <v>1899</v>
      </c>
    </row>
    <row r="173">
      <c r="A173" s="15"/>
      <c r="B173" s="89"/>
      <c r="D173" s="10">
        <f t="shared" si="1"/>
        <v>30</v>
      </c>
      <c r="E173" s="10">
        <f t="shared" si="2"/>
        <v>12</v>
      </c>
      <c r="F173" s="10">
        <f t="shared" si="3"/>
        <v>1899</v>
      </c>
    </row>
    <row r="174">
      <c r="A174" s="15"/>
      <c r="B174" s="89"/>
      <c r="D174" s="10">
        <f t="shared" si="1"/>
        <v>30</v>
      </c>
      <c r="E174" s="10">
        <f t="shared" si="2"/>
        <v>12</v>
      </c>
      <c r="F174" s="10">
        <f t="shared" si="3"/>
        <v>1899</v>
      </c>
    </row>
    <row r="175">
      <c r="A175" s="15"/>
      <c r="B175" s="89"/>
      <c r="D175" s="10">
        <f t="shared" si="1"/>
        <v>30</v>
      </c>
      <c r="E175" s="10">
        <f t="shared" si="2"/>
        <v>12</v>
      </c>
      <c r="F175" s="10">
        <f t="shared" si="3"/>
        <v>1899</v>
      </c>
    </row>
    <row r="176">
      <c r="A176" s="15"/>
      <c r="B176" s="89"/>
      <c r="D176" s="10">
        <f t="shared" si="1"/>
        <v>30</v>
      </c>
      <c r="E176" s="10">
        <f t="shared" si="2"/>
        <v>12</v>
      </c>
      <c r="F176" s="10">
        <f t="shared" si="3"/>
        <v>1899</v>
      </c>
    </row>
    <row r="177">
      <c r="A177" s="15"/>
      <c r="B177" s="89"/>
      <c r="D177" s="10">
        <f t="shared" si="1"/>
        <v>30</v>
      </c>
      <c r="E177" s="10">
        <f t="shared" si="2"/>
        <v>12</v>
      </c>
      <c r="F177" s="10">
        <f t="shared" si="3"/>
        <v>1899</v>
      </c>
    </row>
    <row r="178">
      <c r="A178" s="15"/>
      <c r="B178" s="89"/>
      <c r="D178" s="10">
        <f t="shared" si="1"/>
        <v>30</v>
      </c>
      <c r="E178" s="10">
        <f t="shared" si="2"/>
        <v>12</v>
      </c>
      <c r="F178" s="10">
        <f t="shared" si="3"/>
        <v>1899</v>
      </c>
    </row>
    <row r="179">
      <c r="A179" s="15"/>
      <c r="B179" s="89"/>
      <c r="D179" s="10">
        <f t="shared" si="1"/>
        <v>30</v>
      </c>
      <c r="E179" s="10">
        <f t="shared" si="2"/>
        <v>12</v>
      </c>
      <c r="F179" s="10">
        <f t="shared" si="3"/>
        <v>1899</v>
      </c>
    </row>
    <row r="180">
      <c r="A180" s="15"/>
      <c r="B180" s="89"/>
      <c r="D180" s="10">
        <f t="shared" si="1"/>
        <v>30</v>
      </c>
      <c r="E180" s="10">
        <f t="shared" si="2"/>
        <v>12</v>
      </c>
      <c r="F180" s="10">
        <f t="shared" si="3"/>
        <v>1899</v>
      </c>
    </row>
    <row r="181">
      <c r="A181" s="15"/>
      <c r="B181" s="89"/>
      <c r="D181" s="10">
        <f t="shared" si="1"/>
        <v>30</v>
      </c>
      <c r="E181" s="10">
        <f t="shared" si="2"/>
        <v>12</v>
      </c>
      <c r="F181" s="10">
        <f t="shared" si="3"/>
        <v>1899</v>
      </c>
    </row>
    <row r="182">
      <c r="A182" s="15"/>
      <c r="B182" s="89"/>
      <c r="D182" s="10">
        <f t="shared" si="1"/>
        <v>30</v>
      </c>
      <c r="E182" s="10">
        <f t="shared" si="2"/>
        <v>12</v>
      </c>
      <c r="F182" s="10">
        <f t="shared" si="3"/>
        <v>1899</v>
      </c>
    </row>
    <row r="183">
      <c r="A183" s="15"/>
      <c r="B183" s="89"/>
      <c r="D183" s="10">
        <f t="shared" si="1"/>
        <v>30</v>
      </c>
      <c r="E183" s="10">
        <f t="shared" si="2"/>
        <v>12</v>
      </c>
      <c r="F183" s="10">
        <f t="shared" si="3"/>
        <v>1899</v>
      </c>
    </row>
    <row r="184">
      <c r="A184" s="15"/>
      <c r="B184" s="89"/>
      <c r="D184" s="10">
        <f t="shared" si="1"/>
        <v>30</v>
      </c>
      <c r="E184" s="10">
        <f t="shared" si="2"/>
        <v>12</v>
      </c>
      <c r="F184" s="10">
        <f t="shared" si="3"/>
        <v>1899</v>
      </c>
    </row>
    <row r="185">
      <c r="A185" s="15"/>
      <c r="B185" s="89"/>
      <c r="D185" s="10">
        <f t="shared" si="1"/>
        <v>30</v>
      </c>
      <c r="E185" s="10">
        <f t="shared" si="2"/>
        <v>12</v>
      </c>
      <c r="F185" s="10">
        <f t="shared" si="3"/>
        <v>1899</v>
      </c>
    </row>
    <row r="186">
      <c r="A186" s="15"/>
      <c r="B186" s="89"/>
      <c r="D186" s="10">
        <f t="shared" si="1"/>
        <v>30</v>
      </c>
      <c r="E186" s="10">
        <f t="shared" si="2"/>
        <v>12</v>
      </c>
      <c r="F186" s="10">
        <f t="shared" si="3"/>
        <v>1899</v>
      </c>
    </row>
    <row r="187">
      <c r="A187" s="15"/>
      <c r="B187" s="89"/>
      <c r="D187" s="10">
        <f t="shared" si="1"/>
        <v>30</v>
      </c>
      <c r="E187" s="10">
        <f t="shared" si="2"/>
        <v>12</v>
      </c>
      <c r="F187" s="10">
        <f t="shared" si="3"/>
        <v>1899</v>
      </c>
    </row>
    <row r="188">
      <c r="A188" s="15"/>
      <c r="B188" s="89"/>
      <c r="D188" s="10">
        <f t="shared" si="1"/>
        <v>30</v>
      </c>
      <c r="E188" s="10">
        <f t="shared" si="2"/>
        <v>12</v>
      </c>
      <c r="F188" s="10">
        <f t="shared" si="3"/>
        <v>1899</v>
      </c>
    </row>
    <row r="189">
      <c r="A189" s="15"/>
      <c r="B189" s="89"/>
      <c r="D189" s="10">
        <f t="shared" si="1"/>
        <v>30</v>
      </c>
      <c r="E189" s="10">
        <f t="shared" si="2"/>
        <v>12</v>
      </c>
      <c r="F189" s="10">
        <f t="shared" si="3"/>
        <v>1899</v>
      </c>
    </row>
    <row r="190">
      <c r="A190" s="15"/>
      <c r="B190" s="89"/>
      <c r="D190" s="10">
        <f t="shared" si="1"/>
        <v>30</v>
      </c>
      <c r="E190" s="10">
        <f t="shared" si="2"/>
        <v>12</v>
      </c>
      <c r="F190" s="10">
        <f t="shared" si="3"/>
        <v>1899</v>
      </c>
    </row>
    <row r="191">
      <c r="A191" s="15"/>
      <c r="B191" s="89"/>
      <c r="D191" s="10">
        <f t="shared" si="1"/>
        <v>30</v>
      </c>
      <c r="E191" s="10">
        <f t="shared" si="2"/>
        <v>12</v>
      </c>
      <c r="F191" s="10">
        <f t="shared" si="3"/>
        <v>1899</v>
      </c>
    </row>
    <row r="192">
      <c r="A192" s="15"/>
      <c r="B192" s="89"/>
      <c r="D192" s="10">
        <f t="shared" si="1"/>
        <v>30</v>
      </c>
      <c r="E192" s="10">
        <f t="shared" si="2"/>
        <v>12</v>
      </c>
      <c r="F192" s="10">
        <f t="shared" si="3"/>
        <v>1899</v>
      </c>
    </row>
    <row r="193">
      <c r="A193" s="15"/>
      <c r="B193" s="89"/>
      <c r="D193" s="10">
        <f t="shared" si="1"/>
        <v>30</v>
      </c>
      <c r="E193" s="10">
        <f t="shared" si="2"/>
        <v>12</v>
      </c>
      <c r="F193" s="10">
        <f t="shared" si="3"/>
        <v>1899</v>
      </c>
    </row>
    <row r="194">
      <c r="A194" s="15"/>
      <c r="B194" s="89"/>
      <c r="D194" s="10">
        <f t="shared" si="1"/>
        <v>30</v>
      </c>
      <c r="E194" s="10">
        <f t="shared" si="2"/>
        <v>12</v>
      </c>
      <c r="F194" s="10">
        <f t="shared" si="3"/>
        <v>1899</v>
      </c>
    </row>
    <row r="195">
      <c r="A195" s="15"/>
      <c r="B195" s="89"/>
      <c r="D195" s="10">
        <f t="shared" si="1"/>
        <v>30</v>
      </c>
      <c r="E195" s="10">
        <f t="shared" si="2"/>
        <v>12</v>
      </c>
      <c r="F195" s="10">
        <f t="shared" si="3"/>
        <v>1899</v>
      </c>
    </row>
    <row r="196">
      <c r="A196" s="15"/>
      <c r="B196" s="89"/>
      <c r="D196" s="10">
        <f t="shared" si="1"/>
        <v>30</v>
      </c>
      <c r="E196" s="10">
        <f t="shared" si="2"/>
        <v>12</v>
      </c>
      <c r="F196" s="10">
        <f t="shared" si="3"/>
        <v>1899</v>
      </c>
    </row>
    <row r="197">
      <c r="A197" s="15"/>
      <c r="B197" s="89"/>
      <c r="D197" s="10">
        <f t="shared" si="1"/>
        <v>30</v>
      </c>
      <c r="E197" s="10">
        <f t="shared" si="2"/>
        <v>12</v>
      </c>
      <c r="F197" s="10">
        <f t="shared" si="3"/>
        <v>1899</v>
      </c>
    </row>
    <row r="198">
      <c r="A198" s="15"/>
      <c r="B198" s="89"/>
      <c r="D198" s="10">
        <f t="shared" si="1"/>
        <v>30</v>
      </c>
      <c r="E198" s="10">
        <f t="shared" si="2"/>
        <v>12</v>
      </c>
      <c r="F198" s="10">
        <f t="shared" si="3"/>
        <v>1899</v>
      </c>
    </row>
    <row r="199">
      <c r="A199" s="15"/>
      <c r="B199" s="89"/>
      <c r="D199" s="10">
        <f t="shared" si="1"/>
        <v>30</v>
      </c>
      <c r="E199" s="10">
        <f t="shared" si="2"/>
        <v>12</v>
      </c>
      <c r="F199" s="10">
        <f t="shared" si="3"/>
        <v>1899</v>
      </c>
    </row>
    <row r="200">
      <c r="A200" s="15"/>
      <c r="B200" s="89"/>
      <c r="D200" s="10">
        <f t="shared" si="1"/>
        <v>30</v>
      </c>
      <c r="E200" s="10">
        <f t="shared" si="2"/>
        <v>12</v>
      </c>
      <c r="F200" s="10">
        <f t="shared" si="3"/>
        <v>1899</v>
      </c>
    </row>
    <row r="201">
      <c r="A201" s="15"/>
      <c r="B201" s="89"/>
      <c r="D201" s="10">
        <f t="shared" si="1"/>
        <v>30</v>
      </c>
      <c r="E201" s="10">
        <f t="shared" si="2"/>
        <v>12</v>
      </c>
      <c r="F201" s="10">
        <f t="shared" si="3"/>
        <v>1899</v>
      </c>
    </row>
    <row r="202">
      <c r="A202" s="15"/>
      <c r="B202" s="89"/>
      <c r="D202" s="10">
        <f t="shared" si="1"/>
        <v>30</v>
      </c>
      <c r="E202" s="10">
        <f t="shared" si="2"/>
        <v>12</v>
      </c>
      <c r="F202" s="10">
        <f t="shared" si="3"/>
        <v>1899</v>
      </c>
    </row>
    <row r="203">
      <c r="A203" s="15"/>
      <c r="B203" s="89"/>
      <c r="D203" s="10">
        <f t="shared" si="1"/>
        <v>30</v>
      </c>
      <c r="E203" s="10">
        <f t="shared" si="2"/>
        <v>12</v>
      </c>
      <c r="F203" s="10">
        <f t="shared" si="3"/>
        <v>1899</v>
      </c>
    </row>
    <row r="204">
      <c r="A204" s="15"/>
      <c r="B204" s="89"/>
      <c r="D204" s="10">
        <f t="shared" si="1"/>
        <v>30</v>
      </c>
      <c r="E204" s="10">
        <f t="shared" si="2"/>
        <v>12</v>
      </c>
      <c r="F204" s="10">
        <f t="shared" si="3"/>
        <v>1899</v>
      </c>
    </row>
    <row r="205">
      <c r="A205" s="15"/>
      <c r="B205" s="89"/>
      <c r="D205" s="10">
        <f t="shared" si="1"/>
        <v>30</v>
      </c>
      <c r="E205" s="10">
        <f t="shared" si="2"/>
        <v>12</v>
      </c>
      <c r="F205" s="10">
        <f t="shared" si="3"/>
        <v>1899</v>
      </c>
    </row>
    <row r="206">
      <c r="A206" s="15"/>
      <c r="B206" s="89"/>
      <c r="D206" s="10">
        <f t="shared" si="1"/>
        <v>30</v>
      </c>
      <c r="E206" s="10">
        <f t="shared" si="2"/>
        <v>12</v>
      </c>
      <c r="F206" s="10">
        <f t="shared" si="3"/>
        <v>1899</v>
      </c>
    </row>
    <row r="207">
      <c r="A207" s="15"/>
      <c r="B207" s="89"/>
      <c r="D207" s="10">
        <f t="shared" si="1"/>
        <v>30</v>
      </c>
      <c r="E207" s="10">
        <f t="shared" si="2"/>
        <v>12</v>
      </c>
      <c r="F207" s="10">
        <f t="shared" si="3"/>
        <v>1899</v>
      </c>
    </row>
    <row r="208">
      <c r="A208" s="15"/>
      <c r="B208" s="89"/>
      <c r="D208" s="10">
        <f t="shared" si="1"/>
        <v>30</v>
      </c>
      <c r="E208" s="10">
        <f t="shared" si="2"/>
        <v>12</v>
      </c>
      <c r="F208" s="10">
        <f t="shared" si="3"/>
        <v>1899</v>
      </c>
    </row>
    <row r="209">
      <c r="A209" s="15"/>
      <c r="B209" s="89"/>
      <c r="D209" s="10">
        <f t="shared" si="1"/>
        <v>30</v>
      </c>
      <c r="E209" s="10">
        <f t="shared" si="2"/>
        <v>12</v>
      </c>
      <c r="F209" s="10">
        <f t="shared" si="3"/>
        <v>1899</v>
      </c>
    </row>
    <row r="210">
      <c r="A210" s="15"/>
      <c r="B210" s="89"/>
      <c r="D210" s="10">
        <f t="shared" si="1"/>
        <v>30</v>
      </c>
      <c r="E210" s="10">
        <f t="shared" si="2"/>
        <v>12</v>
      </c>
      <c r="F210" s="10">
        <f t="shared" si="3"/>
        <v>1899</v>
      </c>
    </row>
    <row r="211">
      <c r="A211" s="15"/>
      <c r="B211" s="89"/>
      <c r="D211" s="10">
        <f t="shared" si="1"/>
        <v>30</v>
      </c>
      <c r="E211" s="10">
        <f t="shared" si="2"/>
        <v>12</v>
      </c>
      <c r="F211" s="10">
        <f t="shared" si="3"/>
        <v>1899</v>
      </c>
    </row>
    <row r="212">
      <c r="A212" s="15"/>
      <c r="B212" s="89"/>
      <c r="D212" s="10">
        <f t="shared" si="1"/>
        <v>30</v>
      </c>
      <c r="E212" s="10">
        <f t="shared" si="2"/>
        <v>12</v>
      </c>
      <c r="F212" s="10">
        <f t="shared" si="3"/>
        <v>1899</v>
      </c>
    </row>
    <row r="213">
      <c r="A213" s="15"/>
      <c r="B213" s="89"/>
      <c r="D213" s="10">
        <f t="shared" si="1"/>
        <v>30</v>
      </c>
      <c r="E213" s="10">
        <f t="shared" si="2"/>
        <v>12</v>
      </c>
      <c r="F213" s="10">
        <f t="shared" si="3"/>
        <v>1899</v>
      </c>
    </row>
    <row r="214">
      <c r="A214" s="15"/>
      <c r="B214" s="89"/>
      <c r="D214" s="10">
        <f t="shared" si="1"/>
        <v>30</v>
      </c>
      <c r="E214" s="10">
        <f t="shared" si="2"/>
        <v>12</v>
      </c>
      <c r="F214" s="10">
        <f t="shared" si="3"/>
        <v>1899</v>
      </c>
    </row>
    <row r="215">
      <c r="A215" s="15"/>
      <c r="B215" s="89"/>
      <c r="D215" s="10">
        <f t="shared" si="1"/>
        <v>30</v>
      </c>
      <c r="E215" s="10">
        <f t="shared" si="2"/>
        <v>12</v>
      </c>
      <c r="F215" s="10">
        <f t="shared" si="3"/>
        <v>1899</v>
      </c>
    </row>
    <row r="216">
      <c r="A216" s="15"/>
      <c r="B216" s="89"/>
      <c r="D216" s="10">
        <f t="shared" si="1"/>
        <v>30</v>
      </c>
      <c r="E216" s="10">
        <f t="shared" si="2"/>
        <v>12</v>
      </c>
      <c r="F216" s="10">
        <f t="shared" si="3"/>
        <v>1899</v>
      </c>
    </row>
    <row r="217">
      <c r="A217" s="15"/>
      <c r="B217" s="89"/>
      <c r="D217" s="10">
        <f t="shared" si="1"/>
        <v>30</v>
      </c>
      <c r="E217" s="10">
        <f t="shared" si="2"/>
        <v>12</v>
      </c>
      <c r="F217" s="10">
        <f t="shared" si="3"/>
        <v>1899</v>
      </c>
    </row>
    <row r="218">
      <c r="A218" s="15"/>
      <c r="B218" s="89"/>
      <c r="D218" s="10">
        <f t="shared" si="1"/>
        <v>30</v>
      </c>
      <c r="E218" s="10">
        <f t="shared" si="2"/>
        <v>12</v>
      </c>
      <c r="F218" s="10">
        <f t="shared" si="3"/>
        <v>1899</v>
      </c>
    </row>
    <row r="219">
      <c r="A219" s="15"/>
      <c r="B219" s="89"/>
      <c r="D219" s="10">
        <f t="shared" si="1"/>
        <v>30</v>
      </c>
      <c r="E219" s="10">
        <f t="shared" si="2"/>
        <v>12</v>
      </c>
      <c r="F219" s="10">
        <f t="shared" si="3"/>
        <v>1899</v>
      </c>
    </row>
    <row r="220">
      <c r="A220" s="15"/>
      <c r="B220" s="89"/>
      <c r="D220" s="10">
        <f t="shared" si="1"/>
        <v>30</v>
      </c>
      <c r="E220" s="10">
        <f t="shared" si="2"/>
        <v>12</v>
      </c>
      <c r="F220" s="10">
        <f t="shared" si="3"/>
        <v>1899</v>
      </c>
    </row>
    <row r="221">
      <c r="A221" s="15"/>
      <c r="B221" s="89"/>
      <c r="D221" s="10">
        <f t="shared" si="1"/>
        <v>30</v>
      </c>
      <c r="E221" s="10">
        <f t="shared" si="2"/>
        <v>12</v>
      </c>
      <c r="F221" s="10">
        <f t="shared" si="3"/>
        <v>1899</v>
      </c>
    </row>
    <row r="222">
      <c r="A222" s="15"/>
      <c r="B222" s="89"/>
      <c r="D222" s="10">
        <f t="shared" si="1"/>
        <v>30</v>
      </c>
      <c r="E222" s="10">
        <f t="shared" si="2"/>
        <v>12</v>
      </c>
      <c r="F222" s="10">
        <f t="shared" si="3"/>
        <v>1899</v>
      </c>
    </row>
    <row r="223">
      <c r="A223" s="15"/>
      <c r="B223" s="89"/>
      <c r="D223" s="10">
        <f t="shared" si="1"/>
        <v>30</v>
      </c>
      <c r="E223" s="10">
        <f t="shared" si="2"/>
        <v>12</v>
      </c>
      <c r="F223" s="10">
        <f t="shared" si="3"/>
        <v>1899</v>
      </c>
    </row>
    <row r="224">
      <c r="A224" s="15"/>
      <c r="B224" s="89"/>
      <c r="D224" s="10">
        <f t="shared" si="1"/>
        <v>30</v>
      </c>
      <c r="E224" s="10">
        <f t="shared" si="2"/>
        <v>12</v>
      </c>
      <c r="F224" s="10">
        <f t="shared" si="3"/>
        <v>1899</v>
      </c>
    </row>
    <row r="225">
      <c r="A225" s="15"/>
      <c r="B225" s="89"/>
      <c r="D225" s="10">
        <f t="shared" si="1"/>
        <v>30</v>
      </c>
      <c r="E225" s="10">
        <f t="shared" si="2"/>
        <v>12</v>
      </c>
      <c r="F225" s="10">
        <f t="shared" si="3"/>
        <v>1899</v>
      </c>
    </row>
    <row r="226">
      <c r="A226" s="15"/>
      <c r="B226" s="89"/>
      <c r="D226" s="10">
        <f t="shared" si="1"/>
        <v>30</v>
      </c>
      <c r="E226" s="10">
        <f t="shared" si="2"/>
        <v>12</v>
      </c>
      <c r="F226" s="10">
        <f t="shared" si="3"/>
        <v>1899</v>
      </c>
    </row>
    <row r="227">
      <c r="A227" s="15"/>
      <c r="B227" s="89"/>
      <c r="D227" s="10">
        <f t="shared" si="1"/>
        <v>30</v>
      </c>
      <c r="E227" s="10">
        <f t="shared" si="2"/>
        <v>12</v>
      </c>
      <c r="F227" s="10">
        <f t="shared" si="3"/>
        <v>1899</v>
      </c>
    </row>
    <row r="228">
      <c r="A228" s="15"/>
      <c r="B228" s="89"/>
      <c r="D228" s="10">
        <f t="shared" si="1"/>
        <v>30</v>
      </c>
      <c r="E228" s="10">
        <f t="shared" si="2"/>
        <v>12</v>
      </c>
      <c r="F228" s="10">
        <f t="shared" si="3"/>
        <v>1899</v>
      </c>
    </row>
    <row r="229">
      <c r="A229" s="15"/>
      <c r="B229" s="89"/>
      <c r="D229" s="10">
        <f t="shared" si="1"/>
        <v>30</v>
      </c>
      <c r="E229" s="10">
        <f t="shared" si="2"/>
        <v>12</v>
      </c>
      <c r="F229" s="10">
        <f t="shared" si="3"/>
        <v>1899</v>
      </c>
    </row>
    <row r="230">
      <c r="A230" s="15"/>
      <c r="B230" s="89"/>
      <c r="D230" s="10">
        <f t="shared" si="1"/>
        <v>30</v>
      </c>
      <c r="E230" s="10">
        <f t="shared" si="2"/>
        <v>12</v>
      </c>
      <c r="F230" s="10">
        <f t="shared" si="3"/>
        <v>1899</v>
      </c>
    </row>
    <row r="231">
      <c r="A231" s="15"/>
      <c r="B231" s="89"/>
      <c r="D231" s="10">
        <f t="shared" si="1"/>
        <v>30</v>
      </c>
      <c r="E231" s="10">
        <f t="shared" si="2"/>
        <v>12</v>
      </c>
      <c r="F231" s="10">
        <f t="shared" si="3"/>
        <v>1899</v>
      </c>
    </row>
    <row r="232">
      <c r="A232" s="15"/>
      <c r="B232" s="89"/>
      <c r="D232" s="10">
        <f t="shared" si="1"/>
        <v>30</v>
      </c>
      <c r="E232" s="10">
        <f t="shared" si="2"/>
        <v>12</v>
      </c>
      <c r="F232" s="10">
        <f t="shared" si="3"/>
        <v>1899</v>
      </c>
    </row>
    <row r="233">
      <c r="A233" s="15"/>
      <c r="B233" s="89"/>
      <c r="D233" s="10">
        <f t="shared" si="1"/>
        <v>30</v>
      </c>
      <c r="E233" s="10">
        <f t="shared" si="2"/>
        <v>12</v>
      </c>
      <c r="F233" s="10">
        <f t="shared" si="3"/>
        <v>1899</v>
      </c>
    </row>
    <row r="234">
      <c r="A234" s="15"/>
      <c r="B234" s="89"/>
      <c r="D234" s="10">
        <f t="shared" si="1"/>
        <v>30</v>
      </c>
      <c r="E234" s="10">
        <f t="shared" si="2"/>
        <v>12</v>
      </c>
      <c r="F234" s="10">
        <f t="shared" si="3"/>
        <v>1899</v>
      </c>
    </row>
    <row r="235">
      <c r="A235" s="15"/>
      <c r="B235" s="89"/>
      <c r="D235" s="10">
        <f t="shared" si="1"/>
        <v>30</v>
      </c>
      <c r="E235" s="10">
        <f t="shared" si="2"/>
        <v>12</v>
      </c>
      <c r="F235" s="10">
        <f t="shared" si="3"/>
        <v>1899</v>
      </c>
    </row>
    <row r="236">
      <c r="A236" s="15"/>
      <c r="B236" s="89"/>
      <c r="D236" s="10">
        <f t="shared" si="1"/>
        <v>30</v>
      </c>
      <c r="E236" s="10">
        <f t="shared" si="2"/>
        <v>12</v>
      </c>
      <c r="F236" s="10">
        <f t="shared" si="3"/>
        <v>1899</v>
      </c>
    </row>
    <row r="237">
      <c r="A237" s="15"/>
      <c r="B237" s="89"/>
      <c r="D237" s="10">
        <f t="shared" si="1"/>
        <v>30</v>
      </c>
      <c r="E237" s="10">
        <f t="shared" si="2"/>
        <v>12</v>
      </c>
      <c r="F237" s="10">
        <f t="shared" si="3"/>
        <v>1899</v>
      </c>
    </row>
    <row r="238">
      <c r="A238" s="15"/>
      <c r="B238" s="89"/>
      <c r="D238" s="10">
        <f t="shared" si="1"/>
        <v>30</v>
      </c>
      <c r="E238" s="10">
        <f t="shared" si="2"/>
        <v>12</v>
      </c>
      <c r="F238" s="10">
        <f t="shared" si="3"/>
        <v>1899</v>
      </c>
    </row>
    <row r="239">
      <c r="A239" s="15"/>
      <c r="B239" s="89"/>
      <c r="D239" s="10">
        <f t="shared" si="1"/>
        <v>30</v>
      </c>
      <c r="E239" s="10">
        <f t="shared" si="2"/>
        <v>12</v>
      </c>
      <c r="F239" s="10">
        <f t="shared" si="3"/>
        <v>1899</v>
      </c>
    </row>
    <row r="240">
      <c r="A240" s="15"/>
      <c r="B240" s="89"/>
      <c r="D240" s="10">
        <f t="shared" si="1"/>
        <v>30</v>
      </c>
      <c r="E240" s="10">
        <f t="shared" si="2"/>
        <v>12</v>
      </c>
      <c r="F240" s="10">
        <f t="shared" si="3"/>
        <v>1899</v>
      </c>
    </row>
    <row r="241">
      <c r="A241" s="15"/>
      <c r="B241" s="89"/>
      <c r="D241" s="10">
        <f t="shared" si="1"/>
        <v>30</v>
      </c>
      <c r="E241" s="10">
        <f t="shared" si="2"/>
        <v>12</v>
      </c>
      <c r="F241" s="10">
        <f t="shared" si="3"/>
        <v>1899</v>
      </c>
    </row>
    <row r="242">
      <c r="A242" s="15"/>
      <c r="B242" s="89"/>
      <c r="D242" s="10">
        <f t="shared" si="1"/>
        <v>30</v>
      </c>
      <c r="E242" s="10">
        <f t="shared" si="2"/>
        <v>12</v>
      </c>
      <c r="F242" s="10">
        <f t="shared" si="3"/>
        <v>1899</v>
      </c>
    </row>
    <row r="243">
      <c r="A243" s="15"/>
      <c r="B243" s="89"/>
      <c r="D243" s="10">
        <f t="shared" si="1"/>
        <v>30</v>
      </c>
      <c r="E243" s="10">
        <f t="shared" si="2"/>
        <v>12</v>
      </c>
      <c r="F243" s="10">
        <f t="shared" si="3"/>
        <v>1899</v>
      </c>
    </row>
    <row r="244">
      <c r="A244" s="15"/>
      <c r="B244" s="89"/>
      <c r="D244" s="10">
        <f t="shared" si="1"/>
        <v>30</v>
      </c>
      <c r="E244" s="10">
        <f t="shared" si="2"/>
        <v>12</v>
      </c>
      <c r="F244" s="10">
        <f t="shared" si="3"/>
        <v>1899</v>
      </c>
    </row>
    <row r="245">
      <c r="A245" s="15"/>
      <c r="B245" s="89"/>
      <c r="D245" s="10">
        <f t="shared" si="1"/>
        <v>30</v>
      </c>
      <c r="E245" s="10">
        <f t="shared" si="2"/>
        <v>12</v>
      </c>
      <c r="F245" s="10">
        <f t="shared" si="3"/>
        <v>1899</v>
      </c>
    </row>
    <row r="246">
      <c r="A246" s="15"/>
      <c r="B246" s="89"/>
      <c r="D246" s="10">
        <f t="shared" si="1"/>
        <v>30</v>
      </c>
      <c r="E246" s="10">
        <f t="shared" si="2"/>
        <v>12</v>
      </c>
      <c r="F246" s="10">
        <f t="shared" si="3"/>
        <v>1899</v>
      </c>
    </row>
    <row r="247">
      <c r="A247" s="15"/>
      <c r="B247" s="89"/>
      <c r="D247" s="10">
        <f t="shared" si="1"/>
        <v>30</v>
      </c>
      <c r="E247" s="10">
        <f t="shared" si="2"/>
        <v>12</v>
      </c>
      <c r="F247" s="10">
        <f t="shared" si="3"/>
        <v>1899</v>
      </c>
    </row>
    <row r="248">
      <c r="A248" s="15"/>
      <c r="B248" s="89"/>
      <c r="D248" s="10">
        <f t="shared" si="1"/>
        <v>30</v>
      </c>
      <c r="E248" s="10">
        <f t="shared" si="2"/>
        <v>12</v>
      </c>
      <c r="F248" s="10">
        <f t="shared" si="3"/>
        <v>1899</v>
      </c>
    </row>
    <row r="249">
      <c r="A249" s="15"/>
      <c r="B249" s="89"/>
      <c r="D249" s="10">
        <f t="shared" si="1"/>
        <v>30</v>
      </c>
      <c r="E249" s="10">
        <f t="shared" si="2"/>
        <v>12</v>
      </c>
      <c r="F249" s="10">
        <f t="shared" si="3"/>
        <v>1899</v>
      </c>
    </row>
    <row r="250">
      <c r="A250" s="15"/>
      <c r="B250" s="89"/>
      <c r="D250" s="10">
        <f t="shared" si="1"/>
        <v>30</v>
      </c>
      <c r="E250" s="10">
        <f t="shared" si="2"/>
        <v>12</v>
      </c>
      <c r="F250" s="10">
        <f t="shared" si="3"/>
        <v>1899</v>
      </c>
    </row>
    <row r="251">
      <c r="A251" s="15"/>
      <c r="B251" s="89"/>
      <c r="D251" s="10">
        <f t="shared" si="1"/>
        <v>30</v>
      </c>
      <c r="E251" s="10">
        <f t="shared" si="2"/>
        <v>12</v>
      </c>
      <c r="F251" s="10">
        <f t="shared" si="3"/>
        <v>1899</v>
      </c>
    </row>
    <row r="252">
      <c r="A252" s="15"/>
      <c r="B252" s="89"/>
      <c r="D252" s="10">
        <f t="shared" si="1"/>
        <v>30</v>
      </c>
      <c r="E252" s="10">
        <f t="shared" si="2"/>
        <v>12</v>
      </c>
      <c r="F252" s="10">
        <f t="shared" si="3"/>
        <v>1899</v>
      </c>
    </row>
    <row r="253">
      <c r="A253" s="15"/>
      <c r="B253" s="89"/>
      <c r="D253" s="10">
        <f t="shared" si="1"/>
        <v>30</v>
      </c>
      <c r="E253" s="10">
        <f t="shared" si="2"/>
        <v>12</v>
      </c>
      <c r="F253" s="10">
        <f t="shared" si="3"/>
        <v>1899</v>
      </c>
    </row>
    <row r="254">
      <c r="A254" s="15"/>
      <c r="B254" s="89"/>
      <c r="D254" s="10">
        <f t="shared" si="1"/>
        <v>30</v>
      </c>
      <c r="E254" s="10">
        <f t="shared" si="2"/>
        <v>12</v>
      </c>
      <c r="F254" s="10">
        <f t="shared" si="3"/>
        <v>1899</v>
      </c>
    </row>
    <row r="255">
      <c r="A255" s="15"/>
      <c r="B255" s="89"/>
      <c r="D255" s="10">
        <f t="shared" si="1"/>
        <v>30</v>
      </c>
      <c r="E255" s="10">
        <f t="shared" si="2"/>
        <v>12</v>
      </c>
      <c r="F255" s="10">
        <f t="shared" si="3"/>
        <v>1899</v>
      </c>
    </row>
    <row r="256">
      <c r="A256" s="15"/>
      <c r="B256" s="89"/>
      <c r="D256" s="10">
        <f t="shared" si="1"/>
        <v>30</v>
      </c>
      <c r="E256" s="10">
        <f t="shared" si="2"/>
        <v>12</v>
      </c>
      <c r="F256" s="10">
        <f t="shared" si="3"/>
        <v>1899</v>
      </c>
    </row>
    <row r="257">
      <c r="A257" s="15"/>
      <c r="B257" s="89"/>
      <c r="D257" s="10">
        <f t="shared" si="1"/>
        <v>30</v>
      </c>
      <c r="E257" s="10">
        <f t="shared" si="2"/>
        <v>12</v>
      </c>
      <c r="F257" s="10">
        <f t="shared" si="3"/>
        <v>1899</v>
      </c>
    </row>
    <row r="258">
      <c r="A258" s="15"/>
      <c r="B258" s="89"/>
      <c r="D258" s="10">
        <f t="shared" si="1"/>
        <v>30</v>
      </c>
      <c r="E258" s="10">
        <f t="shared" si="2"/>
        <v>12</v>
      </c>
      <c r="F258" s="10">
        <f t="shared" si="3"/>
        <v>1899</v>
      </c>
    </row>
    <row r="259">
      <c r="A259" s="15"/>
      <c r="B259" s="89"/>
      <c r="D259" s="10">
        <f t="shared" si="1"/>
        <v>30</v>
      </c>
      <c r="E259" s="10">
        <f t="shared" si="2"/>
        <v>12</v>
      </c>
      <c r="F259" s="10">
        <f t="shared" si="3"/>
        <v>1899</v>
      </c>
    </row>
    <row r="260">
      <c r="A260" s="15"/>
      <c r="B260" s="89"/>
      <c r="D260" s="10">
        <f t="shared" si="1"/>
        <v>30</v>
      </c>
      <c r="E260" s="10">
        <f t="shared" si="2"/>
        <v>12</v>
      </c>
      <c r="F260" s="10">
        <f t="shared" si="3"/>
        <v>1899</v>
      </c>
    </row>
    <row r="261">
      <c r="A261" s="15"/>
      <c r="B261" s="89"/>
      <c r="D261" s="10">
        <f t="shared" si="1"/>
        <v>30</v>
      </c>
      <c r="E261" s="10">
        <f t="shared" si="2"/>
        <v>12</v>
      </c>
      <c r="F261" s="10">
        <f t="shared" si="3"/>
        <v>1899</v>
      </c>
    </row>
    <row r="262">
      <c r="A262" s="15"/>
      <c r="B262" s="89"/>
      <c r="D262" s="10">
        <f t="shared" si="1"/>
        <v>30</v>
      </c>
      <c r="E262" s="10">
        <f t="shared" si="2"/>
        <v>12</v>
      </c>
      <c r="F262" s="10">
        <f t="shared" si="3"/>
        <v>1899</v>
      </c>
    </row>
    <row r="263">
      <c r="A263" s="15"/>
      <c r="B263" s="89"/>
      <c r="D263" s="10">
        <f t="shared" si="1"/>
        <v>30</v>
      </c>
      <c r="E263" s="10">
        <f t="shared" si="2"/>
        <v>12</v>
      </c>
      <c r="F263" s="10">
        <f t="shared" si="3"/>
        <v>1899</v>
      </c>
    </row>
    <row r="264">
      <c r="A264" s="15"/>
      <c r="B264" s="89"/>
      <c r="D264" s="10">
        <f t="shared" si="1"/>
        <v>30</v>
      </c>
      <c r="E264" s="10">
        <f t="shared" si="2"/>
        <v>12</v>
      </c>
      <c r="F264" s="10">
        <f t="shared" si="3"/>
        <v>1899</v>
      </c>
    </row>
    <row r="265">
      <c r="A265" s="15"/>
      <c r="B265" s="89"/>
      <c r="D265" s="10">
        <f t="shared" si="1"/>
        <v>30</v>
      </c>
      <c r="E265" s="10">
        <f t="shared" si="2"/>
        <v>12</v>
      </c>
      <c r="F265" s="10">
        <f t="shared" si="3"/>
        <v>1899</v>
      </c>
    </row>
    <row r="266">
      <c r="A266" s="15"/>
      <c r="B266" s="89"/>
      <c r="D266" s="10">
        <f t="shared" si="1"/>
        <v>30</v>
      </c>
      <c r="E266" s="10">
        <f t="shared" si="2"/>
        <v>12</v>
      </c>
      <c r="F266" s="10">
        <f t="shared" si="3"/>
        <v>1899</v>
      </c>
    </row>
    <row r="267">
      <c r="A267" s="15"/>
      <c r="B267" s="89"/>
      <c r="D267" s="10">
        <f t="shared" si="1"/>
        <v>30</v>
      </c>
      <c r="E267" s="10">
        <f t="shared" si="2"/>
        <v>12</v>
      </c>
      <c r="F267" s="10">
        <f t="shared" si="3"/>
        <v>1899</v>
      </c>
    </row>
    <row r="268">
      <c r="A268" s="15"/>
      <c r="B268" s="89"/>
      <c r="D268" s="10">
        <f t="shared" si="1"/>
        <v>30</v>
      </c>
      <c r="E268" s="10">
        <f t="shared" si="2"/>
        <v>12</v>
      </c>
      <c r="F268" s="10">
        <f t="shared" si="3"/>
        <v>1899</v>
      </c>
    </row>
    <row r="269">
      <c r="A269" s="15"/>
      <c r="B269" s="89"/>
      <c r="D269" s="10">
        <f t="shared" si="1"/>
        <v>30</v>
      </c>
      <c r="E269" s="10">
        <f t="shared" si="2"/>
        <v>12</v>
      </c>
      <c r="F269" s="10">
        <f t="shared" si="3"/>
        <v>1899</v>
      </c>
    </row>
    <row r="270">
      <c r="A270" s="15"/>
      <c r="B270" s="89"/>
      <c r="D270" s="10">
        <f t="shared" si="1"/>
        <v>30</v>
      </c>
      <c r="E270" s="10">
        <f t="shared" si="2"/>
        <v>12</v>
      </c>
      <c r="F270" s="10">
        <f t="shared" si="3"/>
        <v>1899</v>
      </c>
    </row>
    <row r="271">
      <c r="A271" s="15"/>
      <c r="B271" s="89"/>
      <c r="D271" s="10">
        <f t="shared" si="1"/>
        <v>30</v>
      </c>
      <c r="E271" s="10">
        <f t="shared" si="2"/>
        <v>12</v>
      </c>
      <c r="F271" s="10">
        <f t="shared" si="3"/>
        <v>1899</v>
      </c>
    </row>
    <row r="272">
      <c r="A272" s="15"/>
      <c r="B272" s="89"/>
      <c r="D272" s="10">
        <f t="shared" si="1"/>
        <v>30</v>
      </c>
      <c r="E272" s="10">
        <f t="shared" si="2"/>
        <v>12</v>
      </c>
      <c r="F272" s="10">
        <f t="shared" si="3"/>
        <v>1899</v>
      </c>
    </row>
    <row r="273">
      <c r="A273" s="15"/>
      <c r="B273" s="89"/>
      <c r="D273" s="10">
        <f t="shared" si="1"/>
        <v>30</v>
      </c>
      <c r="E273" s="10">
        <f t="shared" si="2"/>
        <v>12</v>
      </c>
      <c r="F273" s="10">
        <f t="shared" si="3"/>
        <v>1899</v>
      </c>
    </row>
    <row r="274">
      <c r="A274" s="15"/>
      <c r="B274" s="89"/>
      <c r="D274" s="10">
        <f t="shared" si="1"/>
        <v>30</v>
      </c>
      <c r="E274" s="10">
        <f t="shared" si="2"/>
        <v>12</v>
      </c>
      <c r="F274" s="10">
        <f t="shared" si="3"/>
        <v>1899</v>
      </c>
    </row>
    <row r="275">
      <c r="A275" s="15"/>
      <c r="B275" s="89"/>
      <c r="D275" s="10">
        <f t="shared" si="1"/>
        <v>30</v>
      </c>
      <c r="E275" s="10">
        <f t="shared" si="2"/>
        <v>12</v>
      </c>
      <c r="F275" s="10">
        <f t="shared" si="3"/>
        <v>1899</v>
      </c>
    </row>
    <row r="276">
      <c r="A276" s="15"/>
      <c r="B276" s="89"/>
      <c r="D276" s="10">
        <f t="shared" si="1"/>
        <v>30</v>
      </c>
      <c r="E276" s="10">
        <f t="shared" si="2"/>
        <v>12</v>
      </c>
      <c r="F276" s="10">
        <f t="shared" si="3"/>
        <v>1899</v>
      </c>
    </row>
    <row r="277">
      <c r="A277" s="15"/>
      <c r="B277" s="89"/>
      <c r="D277" s="10">
        <f t="shared" si="1"/>
        <v>30</v>
      </c>
      <c r="E277" s="10">
        <f t="shared" si="2"/>
        <v>12</v>
      </c>
      <c r="F277" s="10">
        <f t="shared" si="3"/>
        <v>1899</v>
      </c>
    </row>
    <row r="278">
      <c r="A278" s="15"/>
      <c r="B278" s="89"/>
      <c r="D278" s="10">
        <f t="shared" si="1"/>
        <v>30</v>
      </c>
      <c r="E278" s="10">
        <f t="shared" si="2"/>
        <v>12</v>
      </c>
      <c r="F278" s="10">
        <f t="shared" si="3"/>
        <v>1899</v>
      </c>
    </row>
    <row r="279">
      <c r="A279" s="15"/>
      <c r="B279" s="89"/>
      <c r="D279" s="10">
        <f t="shared" si="1"/>
        <v>30</v>
      </c>
      <c r="E279" s="10">
        <f t="shared" si="2"/>
        <v>12</v>
      </c>
      <c r="F279" s="10">
        <f t="shared" si="3"/>
        <v>1899</v>
      </c>
    </row>
    <row r="280">
      <c r="A280" s="15"/>
      <c r="B280" s="89"/>
      <c r="D280" s="10">
        <f t="shared" si="1"/>
        <v>30</v>
      </c>
      <c r="E280" s="10">
        <f t="shared" si="2"/>
        <v>12</v>
      </c>
      <c r="F280" s="10">
        <f t="shared" si="3"/>
        <v>1899</v>
      </c>
    </row>
    <row r="281">
      <c r="A281" s="15"/>
      <c r="B281" s="89"/>
      <c r="D281" s="10">
        <f t="shared" si="1"/>
        <v>30</v>
      </c>
      <c r="E281" s="10">
        <f t="shared" si="2"/>
        <v>12</v>
      </c>
      <c r="F281" s="10">
        <f t="shared" si="3"/>
        <v>1899</v>
      </c>
    </row>
    <row r="282">
      <c r="A282" s="15"/>
      <c r="B282" s="89"/>
      <c r="D282" s="10">
        <f t="shared" si="1"/>
        <v>30</v>
      </c>
      <c r="E282" s="10">
        <f t="shared" si="2"/>
        <v>12</v>
      </c>
      <c r="F282" s="10">
        <f t="shared" si="3"/>
        <v>1899</v>
      </c>
    </row>
    <row r="283">
      <c r="A283" s="15"/>
      <c r="B283" s="89"/>
      <c r="D283" s="10">
        <f t="shared" si="1"/>
        <v>30</v>
      </c>
      <c r="E283" s="10">
        <f t="shared" si="2"/>
        <v>12</v>
      </c>
      <c r="F283" s="10">
        <f t="shared" si="3"/>
        <v>1899</v>
      </c>
    </row>
    <row r="284">
      <c r="A284" s="15"/>
      <c r="B284" s="89"/>
      <c r="D284" s="10">
        <f t="shared" si="1"/>
        <v>30</v>
      </c>
      <c r="E284" s="10">
        <f t="shared" si="2"/>
        <v>12</v>
      </c>
      <c r="F284" s="10">
        <f t="shared" si="3"/>
        <v>1899</v>
      </c>
    </row>
    <row r="285">
      <c r="A285" s="15"/>
      <c r="B285" s="89"/>
      <c r="D285" s="10">
        <f t="shared" si="1"/>
        <v>30</v>
      </c>
      <c r="E285" s="10">
        <f t="shared" si="2"/>
        <v>12</v>
      </c>
      <c r="F285" s="10">
        <f t="shared" si="3"/>
        <v>1899</v>
      </c>
    </row>
    <row r="286">
      <c r="A286" s="15"/>
      <c r="B286" s="89"/>
      <c r="D286" s="10">
        <f t="shared" si="1"/>
        <v>30</v>
      </c>
      <c r="E286" s="10">
        <f t="shared" si="2"/>
        <v>12</v>
      </c>
      <c r="F286" s="10">
        <f t="shared" si="3"/>
        <v>1899</v>
      </c>
    </row>
    <row r="287">
      <c r="A287" s="15"/>
      <c r="B287" s="89"/>
      <c r="D287" s="10">
        <f t="shared" si="1"/>
        <v>30</v>
      </c>
      <c r="E287" s="10">
        <f t="shared" si="2"/>
        <v>12</v>
      </c>
      <c r="F287" s="10">
        <f t="shared" si="3"/>
        <v>1899</v>
      </c>
    </row>
    <row r="288">
      <c r="A288" s="15"/>
      <c r="B288" s="89"/>
      <c r="D288" s="10">
        <f t="shared" si="1"/>
        <v>30</v>
      </c>
      <c r="E288" s="10">
        <f t="shared" si="2"/>
        <v>12</v>
      </c>
      <c r="F288" s="10">
        <f t="shared" si="3"/>
        <v>1899</v>
      </c>
    </row>
    <row r="289">
      <c r="A289" s="15"/>
      <c r="B289" s="89"/>
      <c r="D289" s="10">
        <f t="shared" si="1"/>
        <v>30</v>
      </c>
      <c r="E289" s="10">
        <f t="shared" si="2"/>
        <v>12</v>
      </c>
      <c r="F289" s="10">
        <f t="shared" si="3"/>
        <v>1899</v>
      </c>
    </row>
    <row r="290">
      <c r="A290" s="15"/>
      <c r="B290" s="89"/>
      <c r="D290" s="10">
        <f t="shared" si="1"/>
        <v>30</v>
      </c>
      <c r="E290" s="10">
        <f t="shared" si="2"/>
        <v>12</v>
      </c>
      <c r="F290" s="10">
        <f t="shared" si="3"/>
        <v>1899</v>
      </c>
    </row>
    <row r="291">
      <c r="A291" s="15"/>
      <c r="B291" s="89"/>
      <c r="D291" s="10">
        <f t="shared" si="1"/>
        <v>30</v>
      </c>
      <c r="E291" s="10">
        <f t="shared" si="2"/>
        <v>12</v>
      </c>
      <c r="F291" s="10">
        <f t="shared" si="3"/>
        <v>1899</v>
      </c>
    </row>
    <row r="292">
      <c r="A292" s="15"/>
      <c r="B292" s="89"/>
      <c r="D292" s="10">
        <f t="shared" si="1"/>
        <v>30</v>
      </c>
      <c r="E292" s="10">
        <f t="shared" si="2"/>
        <v>12</v>
      </c>
      <c r="F292" s="10">
        <f t="shared" si="3"/>
        <v>1899</v>
      </c>
    </row>
    <row r="293">
      <c r="A293" s="15"/>
      <c r="B293" s="89"/>
      <c r="D293" s="10">
        <f t="shared" si="1"/>
        <v>30</v>
      </c>
      <c r="E293" s="10">
        <f t="shared" si="2"/>
        <v>12</v>
      </c>
      <c r="F293" s="10">
        <f t="shared" si="3"/>
        <v>1899</v>
      </c>
    </row>
    <row r="294">
      <c r="A294" s="15"/>
      <c r="B294" s="89"/>
      <c r="D294" s="10">
        <f t="shared" si="1"/>
        <v>30</v>
      </c>
      <c r="E294" s="10">
        <f t="shared" si="2"/>
        <v>12</v>
      </c>
      <c r="F294" s="10">
        <f t="shared" si="3"/>
        <v>1899</v>
      </c>
    </row>
    <row r="295">
      <c r="A295" s="15"/>
      <c r="B295" s="89"/>
      <c r="D295" s="10">
        <f t="shared" si="1"/>
        <v>30</v>
      </c>
      <c r="E295" s="10">
        <f t="shared" si="2"/>
        <v>12</v>
      </c>
      <c r="F295" s="10">
        <f t="shared" si="3"/>
        <v>1899</v>
      </c>
    </row>
    <row r="296">
      <c r="A296" s="15"/>
      <c r="B296" s="89"/>
      <c r="D296" s="10">
        <f t="shared" si="1"/>
        <v>30</v>
      </c>
      <c r="E296" s="10">
        <f t="shared" si="2"/>
        <v>12</v>
      </c>
      <c r="F296" s="10">
        <f t="shared" si="3"/>
        <v>1899</v>
      </c>
    </row>
    <row r="297">
      <c r="A297" s="15"/>
      <c r="B297" s="89"/>
      <c r="D297" s="10">
        <f t="shared" si="1"/>
        <v>30</v>
      </c>
      <c r="E297" s="10">
        <f t="shared" si="2"/>
        <v>12</v>
      </c>
      <c r="F297" s="10">
        <f t="shared" si="3"/>
        <v>1899</v>
      </c>
    </row>
    <row r="298">
      <c r="A298" s="15"/>
      <c r="B298" s="89"/>
      <c r="D298" s="10">
        <f t="shared" si="1"/>
        <v>30</v>
      </c>
      <c r="E298" s="10">
        <f t="shared" si="2"/>
        <v>12</v>
      </c>
      <c r="F298" s="10">
        <f t="shared" si="3"/>
        <v>1899</v>
      </c>
    </row>
    <row r="299">
      <c r="A299" s="15"/>
      <c r="B299" s="89"/>
      <c r="D299" s="10">
        <f t="shared" si="1"/>
        <v>30</v>
      </c>
      <c r="E299" s="10">
        <f t="shared" si="2"/>
        <v>12</v>
      </c>
      <c r="F299" s="10">
        <f t="shared" si="3"/>
        <v>1899</v>
      </c>
    </row>
    <row r="300">
      <c r="A300" s="15"/>
      <c r="B300" s="89"/>
      <c r="D300" s="10">
        <f t="shared" si="1"/>
        <v>30</v>
      </c>
      <c r="E300" s="10">
        <f t="shared" si="2"/>
        <v>12</v>
      </c>
      <c r="F300" s="10">
        <f t="shared" si="3"/>
        <v>1899</v>
      </c>
    </row>
    <row r="301">
      <c r="A301" s="15"/>
      <c r="B301" s="89"/>
      <c r="D301" s="10">
        <f t="shared" si="1"/>
        <v>30</v>
      </c>
      <c r="E301" s="10">
        <f t="shared" si="2"/>
        <v>12</v>
      </c>
      <c r="F301" s="10">
        <f t="shared" si="3"/>
        <v>1899</v>
      </c>
    </row>
    <row r="302">
      <c r="A302" s="15"/>
      <c r="B302" s="89"/>
      <c r="D302" s="10">
        <f t="shared" si="1"/>
        <v>30</v>
      </c>
      <c r="E302" s="10">
        <f t="shared" si="2"/>
        <v>12</v>
      </c>
      <c r="F302" s="10">
        <f t="shared" si="3"/>
        <v>1899</v>
      </c>
    </row>
    <row r="303">
      <c r="A303" s="15"/>
      <c r="B303" s="89"/>
      <c r="D303" s="10">
        <f t="shared" si="1"/>
        <v>30</v>
      </c>
      <c r="E303" s="10">
        <f t="shared" si="2"/>
        <v>12</v>
      </c>
      <c r="F303" s="10">
        <f t="shared" si="3"/>
        <v>1899</v>
      </c>
    </row>
    <row r="304">
      <c r="A304" s="15"/>
      <c r="B304" s="89"/>
      <c r="D304" s="10">
        <f t="shared" si="1"/>
        <v>30</v>
      </c>
      <c r="E304" s="10">
        <f t="shared" si="2"/>
        <v>12</v>
      </c>
      <c r="F304" s="10">
        <f t="shared" si="3"/>
        <v>1899</v>
      </c>
    </row>
    <row r="305">
      <c r="A305" s="15"/>
      <c r="B305" s="89"/>
      <c r="D305" s="10">
        <f t="shared" si="1"/>
        <v>30</v>
      </c>
      <c r="E305" s="10">
        <f t="shared" si="2"/>
        <v>12</v>
      </c>
      <c r="F305" s="10">
        <f t="shared" si="3"/>
        <v>1899</v>
      </c>
    </row>
    <row r="306">
      <c r="A306" s="15"/>
      <c r="B306" s="89"/>
      <c r="D306" s="10">
        <f t="shared" si="1"/>
        <v>30</v>
      </c>
      <c r="E306" s="10">
        <f t="shared" si="2"/>
        <v>12</v>
      </c>
      <c r="F306" s="10">
        <f t="shared" si="3"/>
        <v>1899</v>
      </c>
    </row>
    <row r="307">
      <c r="A307" s="15"/>
      <c r="B307" s="89"/>
      <c r="D307" s="10">
        <f t="shared" si="1"/>
        <v>30</v>
      </c>
      <c r="E307" s="10">
        <f t="shared" si="2"/>
        <v>12</v>
      </c>
      <c r="F307" s="10">
        <f t="shared" si="3"/>
        <v>1899</v>
      </c>
    </row>
    <row r="308">
      <c r="A308" s="15"/>
      <c r="B308" s="89"/>
      <c r="D308" s="10">
        <f t="shared" si="1"/>
        <v>30</v>
      </c>
      <c r="E308" s="10">
        <f t="shared" si="2"/>
        <v>12</v>
      </c>
      <c r="F308" s="10">
        <f t="shared" si="3"/>
        <v>1899</v>
      </c>
    </row>
    <row r="309">
      <c r="A309" s="15"/>
      <c r="B309" s="89"/>
      <c r="D309" s="10">
        <f t="shared" si="1"/>
        <v>30</v>
      </c>
      <c r="E309" s="10">
        <f t="shared" si="2"/>
        <v>12</v>
      </c>
      <c r="F309" s="10">
        <f t="shared" si="3"/>
        <v>1899</v>
      </c>
    </row>
    <row r="310">
      <c r="A310" s="15"/>
      <c r="B310" s="89"/>
      <c r="D310" s="10">
        <f t="shared" si="1"/>
        <v>30</v>
      </c>
      <c r="E310" s="10">
        <f t="shared" si="2"/>
        <v>12</v>
      </c>
      <c r="F310" s="10">
        <f t="shared" si="3"/>
        <v>1899</v>
      </c>
    </row>
    <row r="311">
      <c r="A311" s="15"/>
      <c r="B311" s="89"/>
      <c r="D311" s="10">
        <f t="shared" si="1"/>
        <v>30</v>
      </c>
      <c r="E311" s="10">
        <f t="shared" si="2"/>
        <v>12</v>
      </c>
      <c r="F311" s="10">
        <f t="shared" si="3"/>
        <v>1899</v>
      </c>
    </row>
    <row r="312">
      <c r="A312" s="15"/>
      <c r="B312" s="89"/>
      <c r="D312" s="10">
        <f t="shared" si="1"/>
        <v>30</v>
      </c>
      <c r="E312" s="10">
        <f t="shared" si="2"/>
        <v>12</v>
      </c>
      <c r="F312" s="10">
        <f t="shared" si="3"/>
        <v>1899</v>
      </c>
    </row>
    <row r="313">
      <c r="A313" s="15"/>
      <c r="B313" s="89"/>
      <c r="D313" s="10">
        <f t="shared" si="1"/>
        <v>30</v>
      </c>
      <c r="E313" s="10">
        <f t="shared" si="2"/>
        <v>12</v>
      </c>
      <c r="F313" s="10">
        <f t="shared" si="3"/>
        <v>1899</v>
      </c>
    </row>
    <row r="314">
      <c r="A314" s="15"/>
      <c r="B314" s="89"/>
      <c r="D314" s="10">
        <f t="shared" si="1"/>
        <v>30</v>
      </c>
      <c r="E314" s="10">
        <f t="shared" si="2"/>
        <v>12</v>
      </c>
      <c r="F314" s="10">
        <f t="shared" si="3"/>
        <v>1899</v>
      </c>
    </row>
    <row r="315">
      <c r="A315" s="15"/>
      <c r="B315" s="89"/>
      <c r="D315" s="10">
        <f t="shared" si="1"/>
        <v>30</v>
      </c>
      <c r="E315" s="10">
        <f t="shared" si="2"/>
        <v>12</v>
      </c>
      <c r="F315" s="10">
        <f t="shared" si="3"/>
        <v>1899</v>
      </c>
    </row>
    <row r="316">
      <c r="A316" s="15"/>
      <c r="B316" s="89"/>
      <c r="D316" s="10">
        <f t="shared" si="1"/>
        <v>30</v>
      </c>
      <c r="E316" s="10">
        <f t="shared" si="2"/>
        <v>12</v>
      </c>
      <c r="F316" s="10">
        <f t="shared" si="3"/>
        <v>1899</v>
      </c>
    </row>
    <row r="317">
      <c r="A317" s="15"/>
      <c r="B317" s="89"/>
      <c r="D317" s="10">
        <f t="shared" si="1"/>
        <v>30</v>
      </c>
      <c r="E317" s="10">
        <f t="shared" si="2"/>
        <v>12</v>
      </c>
      <c r="F317" s="10">
        <f t="shared" si="3"/>
        <v>1899</v>
      </c>
    </row>
    <row r="318">
      <c r="A318" s="15"/>
      <c r="B318" s="89"/>
      <c r="D318" s="10">
        <f t="shared" si="1"/>
        <v>30</v>
      </c>
      <c r="E318" s="10">
        <f t="shared" si="2"/>
        <v>12</v>
      </c>
      <c r="F318" s="10">
        <f t="shared" si="3"/>
        <v>1899</v>
      </c>
    </row>
    <row r="319">
      <c r="A319" s="15"/>
      <c r="B319" s="89"/>
      <c r="D319" s="10">
        <f t="shared" si="1"/>
        <v>30</v>
      </c>
      <c r="E319" s="10">
        <f t="shared" si="2"/>
        <v>12</v>
      </c>
      <c r="F319" s="10">
        <f t="shared" si="3"/>
        <v>1899</v>
      </c>
    </row>
    <row r="320">
      <c r="A320" s="15"/>
      <c r="B320" s="89"/>
      <c r="D320" s="10">
        <f t="shared" si="1"/>
        <v>30</v>
      </c>
      <c r="E320" s="10">
        <f t="shared" si="2"/>
        <v>12</v>
      </c>
      <c r="F320" s="10">
        <f t="shared" si="3"/>
        <v>1899</v>
      </c>
    </row>
    <row r="321">
      <c r="A321" s="15"/>
      <c r="B321" s="89"/>
      <c r="D321" s="10">
        <f t="shared" si="1"/>
        <v>30</v>
      </c>
      <c r="E321" s="10">
        <f t="shared" si="2"/>
        <v>12</v>
      </c>
      <c r="F321" s="10">
        <f t="shared" si="3"/>
        <v>1899</v>
      </c>
    </row>
    <row r="322">
      <c r="A322" s="15"/>
      <c r="B322" s="89"/>
      <c r="D322" s="10">
        <f t="shared" si="1"/>
        <v>30</v>
      </c>
      <c r="E322" s="10">
        <f t="shared" si="2"/>
        <v>12</v>
      </c>
      <c r="F322" s="10">
        <f t="shared" si="3"/>
        <v>1899</v>
      </c>
    </row>
    <row r="323">
      <c r="A323" s="15"/>
      <c r="B323" s="89"/>
      <c r="D323" s="10">
        <f t="shared" si="1"/>
        <v>30</v>
      </c>
      <c r="E323" s="10">
        <f t="shared" si="2"/>
        <v>12</v>
      </c>
      <c r="F323" s="10">
        <f t="shared" si="3"/>
        <v>1899</v>
      </c>
    </row>
    <row r="324">
      <c r="A324" s="15"/>
      <c r="B324" s="89"/>
      <c r="D324" s="10">
        <f t="shared" si="1"/>
        <v>30</v>
      </c>
      <c r="E324" s="10">
        <f t="shared" si="2"/>
        <v>12</v>
      </c>
      <c r="F324" s="10">
        <f t="shared" si="3"/>
        <v>1899</v>
      </c>
    </row>
    <row r="325">
      <c r="A325" s="15"/>
      <c r="B325" s="89"/>
      <c r="D325" s="10">
        <f t="shared" si="1"/>
        <v>30</v>
      </c>
      <c r="E325" s="10">
        <f t="shared" si="2"/>
        <v>12</v>
      </c>
      <c r="F325" s="10">
        <f t="shared" si="3"/>
        <v>1899</v>
      </c>
    </row>
    <row r="326">
      <c r="A326" s="15"/>
      <c r="B326" s="89"/>
      <c r="D326" s="10">
        <f t="shared" si="1"/>
        <v>30</v>
      </c>
      <c r="E326" s="10">
        <f t="shared" si="2"/>
        <v>12</v>
      </c>
      <c r="F326" s="10">
        <f t="shared" si="3"/>
        <v>1899</v>
      </c>
    </row>
    <row r="327">
      <c r="A327" s="15"/>
      <c r="B327" s="89"/>
      <c r="D327" s="10">
        <f t="shared" si="1"/>
        <v>30</v>
      </c>
      <c r="E327" s="10">
        <f t="shared" si="2"/>
        <v>12</v>
      </c>
      <c r="F327" s="10">
        <f t="shared" si="3"/>
        <v>1899</v>
      </c>
    </row>
    <row r="328">
      <c r="A328" s="15"/>
      <c r="B328" s="89"/>
      <c r="D328" s="10">
        <f t="shared" si="1"/>
        <v>30</v>
      </c>
      <c r="E328" s="10">
        <f t="shared" si="2"/>
        <v>12</v>
      </c>
      <c r="F328" s="10">
        <f t="shared" si="3"/>
        <v>1899</v>
      </c>
    </row>
    <row r="329">
      <c r="A329" s="15"/>
      <c r="B329" s="89"/>
      <c r="D329" s="10">
        <f t="shared" si="1"/>
        <v>30</v>
      </c>
      <c r="E329" s="10">
        <f t="shared" si="2"/>
        <v>12</v>
      </c>
      <c r="F329" s="10">
        <f t="shared" si="3"/>
        <v>1899</v>
      </c>
    </row>
    <row r="330">
      <c r="A330" s="15"/>
      <c r="B330" s="89"/>
      <c r="D330" s="10">
        <f t="shared" si="1"/>
        <v>30</v>
      </c>
      <c r="E330" s="10">
        <f t="shared" si="2"/>
        <v>12</v>
      </c>
      <c r="F330" s="10">
        <f t="shared" si="3"/>
        <v>1899</v>
      </c>
    </row>
    <row r="331">
      <c r="A331" s="15"/>
      <c r="B331" s="89"/>
      <c r="D331" s="10">
        <f t="shared" si="1"/>
        <v>30</v>
      </c>
      <c r="E331" s="10">
        <f t="shared" si="2"/>
        <v>12</v>
      </c>
      <c r="F331" s="10">
        <f t="shared" si="3"/>
        <v>1899</v>
      </c>
    </row>
    <row r="332">
      <c r="A332" s="15"/>
      <c r="B332" s="89"/>
      <c r="D332" s="10">
        <f t="shared" si="1"/>
        <v>30</v>
      </c>
      <c r="E332" s="10">
        <f t="shared" si="2"/>
        <v>12</v>
      </c>
      <c r="F332" s="10">
        <f t="shared" si="3"/>
        <v>1899</v>
      </c>
    </row>
    <row r="333">
      <c r="A333" s="15"/>
      <c r="B333" s="89"/>
      <c r="D333" s="10">
        <f t="shared" si="1"/>
        <v>30</v>
      </c>
      <c r="E333" s="10">
        <f t="shared" si="2"/>
        <v>12</v>
      </c>
      <c r="F333" s="10">
        <f t="shared" si="3"/>
        <v>1899</v>
      </c>
    </row>
    <row r="334">
      <c r="A334" s="15"/>
      <c r="B334" s="89"/>
      <c r="D334" s="10">
        <f t="shared" si="1"/>
        <v>30</v>
      </c>
      <c r="E334" s="10">
        <f t="shared" si="2"/>
        <v>12</v>
      </c>
      <c r="F334" s="10">
        <f t="shared" si="3"/>
        <v>1899</v>
      </c>
    </row>
    <row r="335">
      <c r="A335" s="15"/>
      <c r="B335" s="89"/>
      <c r="D335" s="10">
        <f t="shared" si="1"/>
        <v>30</v>
      </c>
      <c r="E335" s="10">
        <f t="shared" si="2"/>
        <v>12</v>
      </c>
      <c r="F335" s="10">
        <f t="shared" si="3"/>
        <v>1899</v>
      </c>
    </row>
    <row r="336">
      <c r="A336" s="15"/>
      <c r="B336" s="89"/>
      <c r="D336" s="10">
        <f t="shared" si="1"/>
        <v>30</v>
      </c>
      <c r="E336" s="10">
        <f t="shared" si="2"/>
        <v>12</v>
      </c>
      <c r="F336" s="10">
        <f t="shared" si="3"/>
        <v>1899</v>
      </c>
    </row>
    <row r="337">
      <c r="A337" s="15"/>
      <c r="B337" s="89"/>
      <c r="D337" s="10">
        <f t="shared" si="1"/>
        <v>30</v>
      </c>
      <c r="E337" s="10">
        <f t="shared" si="2"/>
        <v>12</v>
      </c>
      <c r="F337" s="10">
        <f t="shared" si="3"/>
        <v>1899</v>
      </c>
    </row>
    <row r="338">
      <c r="A338" s="15"/>
      <c r="B338" s="89"/>
      <c r="D338" s="10">
        <f t="shared" si="1"/>
        <v>30</v>
      </c>
      <c r="E338" s="10">
        <f t="shared" si="2"/>
        <v>12</v>
      </c>
      <c r="F338" s="10">
        <f t="shared" si="3"/>
        <v>1899</v>
      </c>
    </row>
    <row r="339">
      <c r="A339" s="15"/>
      <c r="B339" s="89"/>
      <c r="D339" s="10">
        <f t="shared" si="1"/>
        <v>30</v>
      </c>
      <c r="E339" s="10">
        <f t="shared" si="2"/>
        <v>12</v>
      </c>
      <c r="F339" s="10">
        <f t="shared" si="3"/>
        <v>1899</v>
      </c>
    </row>
    <row r="340">
      <c r="A340" s="15"/>
      <c r="B340" s="89"/>
      <c r="D340" s="10">
        <f t="shared" si="1"/>
        <v>30</v>
      </c>
      <c r="E340" s="10">
        <f t="shared" si="2"/>
        <v>12</v>
      </c>
      <c r="F340" s="10">
        <f t="shared" si="3"/>
        <v>1899</v>
      </c>
    </row>
    <row r="341">
      <c r="A341" s="15"/>
      <c r="B341" s="89"/>
      <c r="D341" s="10">
        <f t="shared" si="1"/>
        <v>30</v>
      </c>
      <c r="E341" s="10">
        <f t="shared" si="2"/>
        <v>12</v>
      </c>
      <c r="F341" s="10">
        <f t="shared" si="3"/>
        <v>1899</v>
      </c>
    </row>
    <row r="342">
      <c r="A342" s="15"/>
      <c r="B342" s="89"/>
      <c r="D342" s="10">
        <f t="shared" si="1"/>
        <v>30</v>
      </c>
      <c r="E342" s="10">
        <f t="shared" si="2"/>
        <v>12</v>
      </c>
      <c r="F342" s="10">
        <f t="shared" si="3"/>
        <v>1899</v>
      </c>
    </row>
    <row r="343">
      <c r="A343" s="15"/>
      <c r="B343" s="89"/>
      <c r="D343" s="10">
        <f t="shared" si="1"/>
        <v>30</v>
      </c>
      <c r="E343" s="10">
        <f t="shared" si="2"/>
        <v>12</v>
      </c>
      <c r="F343" s="10">
        <f t="shared" si="3"/>
        <v>1899</v>
      </c>
    </row>
    <row r="344">
      <c r="A344" s="15"/>
      <c r="B344" s="89"/>
      <c r="D344" s="10">
        <f t="shared" si="1"/>
        <v>30</v>
      </c>
      <c r="E344" s="10">
        <f t="shared" si="2"/>
        <v>12</v>
      </c>
      <c r="F344" s="10">
        <f t="shared" si="3"/>
        <v>1899</v>
      </c>
    </row>
    <row r="345">
      <c r="A345" s="15"/>
      <c r="B345" s="89"/>
      <c r="D345" s="10">
        <f t="shared" si="1"/>
        <v>30</v>
      </c>
      <c r="E345" s="10">
        <f t="shared" si="2"/>
        <v>12</v>
      </c>
      <c r="F345" s="10">
        <f t="shared" si="3"/>
        <v>1899</v>
      </c>
    </row>
    <row r="346">
      <c r="A346" s="15"/>
      <c r="B346" s="89"/>
      <c r="D346" s="10">
        <f t="shared" si="1"/>
        <v>30</v>
      </c>
      <c r="E346" s="10">
        <f t="shared" si="2"/>
        <v>12</v>
      </c>
      <c r="F346" s="10">
        <f t="shared" si="3"/>
        <v>1899</v>
      </c>
    </row>
    <row r="347">
      <c r="A347" s="15"/>
      <c r="B347" s="89"/>
      <c r="D347" s="10">
        <f t="shared" si="1"/>
        <v>30</v>
      </c>
      <c r="E347" s="10">
        <f t="shared" si="2"/>
        <v>12</v>
      </c>
      <c r="F347" s="10">
        <f t="shared" si="3"/>
        <v>1899</v>
      </c>
    </row>
    <row r="348">
      <c r="A348" s="15"/>
      <c r="B348" s="89"/>
      <c r="D348" s="10">
        <f t="shared" si="1"/>
        <v>30</v>
      </c>
      <c r="E348" s="10">
        <f t="shared" si="2"/>
        <v>12</v>
      </c>
      <c r="F348" s="10">
        <f t="shared" si="3"/>
        <v>1899</v>
      </c>
    </row>
    <row r="349">
      <c r="A349" s="15"/>
      <c r="B349" s="89"/>
      <c r="D349" s="10">
        <f t="shared" si="1"/>
        <v>30</v>
      </c>
      <c r="E349" s="10">
        <f t="shared" si="2"/>
        <v>12</v>
      </c>
      <c r="F349" s="10">
        <f t="shared" si="3"/>
        <v>1899</v>
      </c>
    </row>
    <row r="350">
      <c r="A350" s="15"/>
      <c r="B350" s="89"/>
      <c r="D350" s="10">
        <f t="shared" si="1"/>
        <v>30</v>
      </c>
      <c r="E350" s="10">
        <f t="shared" si="2"/>
        <v>12</v>
      </c>
      <c r="F350" s="10">
        <f t="shared" si="3"/>
        <v>1899</v>
      </c>
    </row>
    <row r="351">
      <c r="A351" s="15"/>
      <c r="B351" s="89"/>
      <c r="D351" s="10">
        <f t="shared" si="1"/>
        <v>30</v>
      </c>
      <c r="E351" s="10">
        <f t="shared" si="2"/>
        <v>12</v>
      </c>
      <c r="F351" s="10">
        <f t="shared" si="3"/>
        <v>1899</v>
      </c>
    </row>
    <row r="352">
      <c r="A352" s="15"/>
      <c r="B352" s="89"/>
      <c r="D352" s="10">
        <f t="shared" si="1"/>
        <v>30</v>
      </c>
      <c r="E352" s="10">
        <f t="shared" si="2"/>
        <v>12</v>
      </c>
      <c r="F352" s="10">
        <f t="shared" si="3"/>
        <v>1899</v>
      </c>
    </row>
    <row r="353">
      <c r="A353" s="15"/>
      <c r="B353" s="89"/>
      <c r="D353" s="10">
        <f t="shared" si="1"/>
        <v>30</v>
      </c>
      <c r="E353" s="10">
        <f t="shared" si="2"/>
        <v>12</v>
      </c>
      <c r="F353" s="10">
        <f t="shared" si="3"/>
        <v>1899</v>
      </c>
    </row>
    <row r="354">
      <c r="A354" s="15"/>
      <c r="B354" s="89"/>
      <c r="D354" s="10">
        <f t="shared" si="1"/>
        <v>30</v>
      </c>
      <c r="E354" s="10">
        <f t="shared" si="2"/>
        <v>12</v>
      </c>
      <c r="F354" s="10">
        <f t="shared" si="3"/>
        <v>1899</v>
      </c>
    </row>
    <row r="355">
      <c r="A355" s="15"/>
      <c r="B355" s="89"/>
      <c r="D355" s="10">
        <f t="shared" si="1"/>
        <v>30</v>
      </c>
      <c r="E355" s="10">
        <f t="shared" si="2"/>
        <v>12</v>
      </c>
      <c r="F355" s="10">
        <f t="shared" si="3"/>
        <v>1899</v>
      </c>
    </row>
    <row r="356">
      <c r="A356" s="15"/>
      <c r="B356" s="89"/>
      <c r="D356" s="10">
        <f t="shared" si="1"/>
        <v>30</v>
      </c>
      <c r="E356" s="10">
        <f t="shared" si="2"/>
        <v>12</v>
      </c>
      <c r="F356" s="10">
        <f t="shared" si="3"/>
        <v>1899</v>
      </c>
    </row>
    <row r="357">
      <c r="A357" s="15"/>
      <c r="B357" s="89"/>
      <c r="D357" s="10">
        <f t="shared" si="1"/>
        <v>30</v>
      </c>
      <c r="E357" s="10">
        <f t="shared" si="2"/>
        <v>12</v>
      </c>
      <c r="F357" s="10">
        <f t="shared" si="3"/>
        <v>1899</v>
      </c>
    </row>
    <row r="358">
      <c r="A358" s="15"/>
      <c r="B358" s="89"/>
      <c r="D358" s="10">
        <f t="shared" si="1"/>
        <v>30</v>
      </c>
      <c r="E358" s="10">
        <f t="shared" si="2"/>
        <v>12</v>
      </c>
      <c r="F358" s="10">
        <f t="shared" si="3"/>
        <v>1899</v>
      </c>
    </row>
    <row r="359">
      <c r="A359" s="15"/>
      <c r="B359" s="89"/>
      <c r="D359" s="10">
        <f t="shared" si="1"/>
        <v>30</v>
      </c>
      <c r="E359" s="10">
        <f t="shared" si="2"/>
        <v>12</v>
      </c>
      <c r="F359" s="10">
        <f t="shared" si="3"/>
        <v>1899</v>
      </c>
    </row>
    <row r="360">
      <c r="A360" s="15"/>
      <c r="B360" s="89"/>
      <c r="D360" s="10">
        <f t="shared" si="1"/>
        <v>30</v>
      </c>
      <c r="E360" s="10">
        <f t="shared" si="2"/>
        <v>12</v>
      </c>
      <c r="F360" s="10">
        <f t="shared" si="3"/>
        <v>1899</v>
      </c>
    </row>
    <row r="361">
      <c r="A361" s="15"/>
      <c r="B361" s="89"/>
      <c r="D361" s="10">
        <f t="shared" si="1"/>
        <v>30</v>
      </c>
      <c r="E361" s="10">
        <f t="shared" si="2"/>
        <v>12</v>
      </c>
      <c r="F361" s="10">
        <f t="shared" si="3"/>
        <v>1899</v>
      </c>
    </row>
    <row r="362">
      <c r="A362" s="15"/>
      <c r="B362" s="89"/>
      <c r="D362" s="10">
        <f t="shared" si="1"/>
        <v>30</v>
      </c>
      <c r="E362" s="10">
        <f t="shared" si="2"/>
        <v>12</v>
      </c>
      <c r="F362" s="10">
        <f t="shared" si="3"/>
        <v>1899</v>
      </c>
    </row>
    <row r="363">
      <c r="A363" s="15"/>
      <c r="B363" s="89"/>
      <c r="D363" s="10">
        <f t="shared" si="1"/>
        <v>30</v>
      </c>
      <c r="E363" s="10">
        <f t="shared" si="2"/>
        <v>12</v>
      </c>
      <c r="F363" s="10">
        <f t="shared" si="3"/>
        <v>1899</v>
      </c>
    </row>
    <row r="364">
      <c r="A364" s="15"/>
      <c r="B364" s="89"/>
      <c r="D364" s="10">
        <f t="shared" si="1"/>
        <v>30</v>
      </c>
      <c r="E364" s="10">
        <f t="shared" si="2"/>
        <v>12</v>
      </c>
      <c r="F364" s="10">
        <f t="shared" si="3"/>
        <v>1899</v>
      </c>
    </row>
    <row r="365">
      <c r="A365" s="15"/>
      <c r="B365" s="89"/>
      <c r="D365" s="10">
        <f t="shared" si="1"/>
        <v>30</v>
      </c>
      <c r="E365" s="10">
        <f t="shared" si="2"/>
        <v>12</v>
      </c>
      <c r="F365" s="10">
        <f t="shared" si="3"/>
        <v>1899</v>
      </c>
    </row>
    <row r="366">
      <c r="A366" s="15"/>
      <c r="B366" s="89"/>
      <c r="D366" s="10">
        <f t="shared" si="1"/>
        <v>30</v>
      </c>
      <c r="E366" s="10">
        <f t="shared" si="2"/>
        <v>12</v>
      </c>
      <c r="F366" s="10">
        <f t="shared" si="3"/>
        <v>1899</v>
      </c>
    </row>
    <row r="367">
      <c r="A367" s="15"/>
      <c r="B367" s="89"/>
      <c r="D367" s="10">
        <f t="shared" si="1"/>
        <v>30</v>
      </c>
      <c r="E367" s="10">
        <f t="shared" si="2"/>
        <v>12</v>
      </c>
      <c r="F367" s="10">
        <f t="shared" si="3"/>
        <v>1899</v>
      </c>
    </row>
    <row r="368">
      <c r="A368" s="15"/>
      <c r="B368" s="89"/>
      <c r="D368" s="10">
        <f t="shared" si="1"/>
        <v>30</v>
      </c>
      <c r="E368" s="10">
        <f t="shared" si="2"/>
        <v>12</v>
      </c>
      <c r="F368" s="10">
        <f t="shared" si="3"/>
        <v>1899</v>
      </c>
    </row>
    <row r="369">
      <c r="A369" s="15"/>
      <c r="B369" s="89"/>
      <c r="D369" s="10">
        <f t="shared" si="1"/>
        <v>30</v>
      </c>
      <c r="E369" s="10">
        <f t="shared" si="2"/>
        <v>12</v>
      </c>
      <c r="F369" s="10">
        <f t="shared" si="3"/>
        <v>1899</v>
      </c>
    </row>
    <row r="370">
      <c r="A370" s="15"/>
      <c r="B370" s="89"/>
      <c r="D370" s="10">
        <f t="shared" si="1"/>
        <v>30</v>
      </c>
      <c r="E370" s="10">
        <f t="shared" si="2"/>
        <v>12</v>
      </c>
      <c r="F370" s="10">
        <f t="shared" si="3"/>
        <v>1899</v>
      </c>
    </row>
    <row r="371">
      <c r="A371" s="15"/>
      <c r="B371" s="89"/>
      <c r="D371" s="10">
        <f t="shared" si="1"/>
        <v>30</v>
      </c>
      <c r="E371" s="10">
        <f t="shared" si="2"/>
        <v>12</v>
      </c>
      <c r="F371" s="10">
        <f t="shared" si="3"/>
        <v>1899</v>
      </c>
    </row>
    <row r="372">
      <c r="A372" s="15"/>
      <c r="B372" s="89"/>
      <c r="D372" s="10">
        <f t="shared" si="1"/>
        <v>30</v>
      </c>
      <c r="E372" s="10">
        <f t="shared" si="2"/>
        <v>12</v>
      </c>
      <c r="F372" s="10">
        <f t="shared" si="3"/>
        <v>1899</v>
      </c>
    </row>
    <row r="373">
      <c r="A373" s="15"/>
      <c r="B373" s="89"/>
      <c r="D373" s="10">
        <f t="shared" si="1"/>
        <v>30</v>
      </c>
      <c r="E373" s="10">
        <f t="shared" si="2"/>
        <v>12</v>
      </c>
      <c r="F373" s="10">
        <f t="shared" si="3"/>
        <v>1899</v>
      </c>
    </row>
    <row r="374">
      <c r="A374" s="15"/>
      <c r="B374" s="89"/>
      <c r="D374" s="10">
        <f t="shared" si="1"/>
        <v>30</v>
      </c>
      <c r="E374" s="10">
        <f t="shared" si="2"/>
        <v>12</v>
      </c>
      <c r="F374" s="10">
        <f t="shared" si="3"/>
        <v>1899</v>
      </c>
    </row>
    <row r="375">
      <c r="A375" s="15"/>
      <c r="B375" s="89"/>
      <c r="D375" s="10">
        <f t="shared" si="1"/>
        <v>30</v>
      </c>
      <c r="E375" s="10">
        <f t="shared" si="2"/>
        <v>12</v>
      </c>
      <c r="F375" s="10">
        <f t="shared" si="3"/>
        <v>1899</v>
      </c>
    </row>
    <row r="376">
      <c r="A376" s="15"/>
      <c r="B376" s="89"/>
      <c r="D376" s="10">
        <f t="shared" si="1"/>
        <v>30</v>
      </c>
      <c r="E376" s="10">
        <f t="shared" si="2"/>
        <v>12</v>
      </c>
      <c r="F376" s="10">
        <f t="shared" si="3"/>
        <v>1899</v>
      </c>
    </row>
    <row r="377">
      <c r="A377" s="15"/>
      <c r="B377" s="89"/>
      <c r="D377" s="10">
        <f t="shared" si="1"/>
        <v>30</v>
      </c>
      <c r="E377" s="10">
        <f t="shared" si="2"/>
        <v>12</v>
      </c>
      <c r="F377" s="10">
        <f t="shared" si="3"/>
        <v>1899</v>
      </c>
    </row>
    <row r="378">
      <c r="A378" s="15"/>
      <c r="B378" s="89"/>
      <c r="D378" s="10">
        <f t="shared" si="1"/>
        <v>30</v>
      </c>
      <c r="E378" s="10">
        <f t="shared" si="2"/>
        <v>12</v>
      </c>
      <c r="F378" s="10">
        <f t="shared" si="3"/>
        <v>1899</v>
      </c>
    </row>
    <row r="379">
      <c r="A379" s="15"/>
      <c r="B379" s="89"/>
      <c r="D379" s="10">
        <f t="shared" si="1"/>
        <v>30</v>
      </c>
      <c r="E379" s="10">
        <f t="shared" si="2"/>
        <v>12</v>
      </c>
      <c r="F379" s="10">
        <f t="shared" si="3"/>
        <v>1899</v>
      </c>
    </row>
    <row r="380">
      <c r="A380" s="15"/>
      <c r="B380" s="89"/>
      <c r="D380" s="10">
        <f t="shared" si="1"/>
        <v>30</v>
      </c>
      <c r="E380" s="10">
        <f t="shared" si="2"/>
        <v>12</v>
      </c>
      <c r="F380" s="10">
        <f t="shared" si="3"/>
        <v>1899</v>
      </c>
    </row>
    <row r="381">
      <c r="A381" s="15"/>
      <c r="B381" s="89"/>
      <c r="D381" s="10">
        <f t="shared" si="1"/>
        <v>30</v>
      </c>
      <c r="E381" s="10">
        <f t="shared" si="2"/>
        <v>12</v>
      </c>
      <c r="F381" s="10">
        <f t="shared" si="3"/>
        <v>1899</v>
      </c>
    </row>
    <row r="382">
      <c r="A382" s="15"/>
      <c r="B382" s="89"/>
      <c r="D382" s="10">
        <f t="shared" si="1"/>
        <v>30</v>
      </c>
      <c r="E382" s="10">
        <f t="shared" si="2"/>
        <v>12</v>
      </c>
      <c r="F382" s="10">
        <f t="shared" si="3"/>
        <v>1899</v>
      </c>
    </row>
    <row r="383">
      <c r="A383" s="15"/>
      <c r="B383" s="89"/>
      <c r="D383" s="10">
        <f t="shared" si="1"/>
        <v>30</v>
      </c>
      <c r="E383" s="10">
        <f t="shared" si="2"/>
        <v>12</v>
      </c>
      <c r="F383" s="10">
        <f t="shared" si="3"/>
        <v>1899</v>
      </c>
    </row>
    <row r="384">
      <c r="A384" s="15"/>
      <c r="B384" s="89"/>
      <c r="D384" s="10">
        <f t="shared" si="1"/>
        <v>30</v>
      </c>
      <c r="E384" s="10">
        <f t="shared" si="2"/>
        <v>12</v>
      </c>
      <c r="F384" s="10">
        <f t="shared" si="3"/>
        <v>1899</v>
      </c>
    </row>
    <row r="385">
      <c r="A385" s="15"/>
      <c r="B385" s="89"/>
      <c r="D385" s="10">
        <f t="shared" si="1"/>
        <v>30</v>
      </c>
      <c r="E385" s="10">
        <f t="shared" si="2"/>
        <v>12</v>
      </c>
      <c r="F385" s="10">
        <f t="shared" si="3"/>
        <v>1899</v>
      </c>
    </row>
    <row r="386">
      <c r="A386" s="15"/>
      <c r="B386" s="89"/>
      <c r="D386" s="10">
        <f t="shared" si="1"/>
        <v>30</v>
      </c>
      <c r="E386" s="10">
        <f t="shared" si="2"/>
        <v>12</v>
      </c>
      <c r="F386" s="10">
        <f t="shared" si="3"/>
        <v>1899</v>
      </c>
    </row>
    <row r="387">
      <c r="A387" s="15"/>
      <c r="B387" s="89"/>
      <c r="D387" s="10">
        <f t="shared" si="1"/>
        <v>30</v>
      </c>
      <c r="E387" s="10">
        <f t="shared" si="2"/>
        <v>12</v>
      </c>
      <c r="F387" s="10">
        <f t="shared" si="3"/>
        <v>1899</v>
      </c>
    </row>
    <row r="388">
      <c r="A388" s="15"/>
      <c r="B388" s="89"/>
      <c r="D388" s="10">
        <f t="shared" si="1"/>
        <v>30</v>
      </c>
      <c r="E388" s="10">
        <f t="shared" si="2"/>
        <v>12</v>
      </c>
      <c r="F388" s="10">
        <f t="shared" si="3"/>
        <v>1899</v>
      </c>
    </row>
    <row r="389">
      <c r="A389" s="15"/>
      <c r="B389" s="89"/>
      <c r="D389" s="10">
        <f t="shared" si="1"/>
        <v>30</v>
      </c>
      <c r="E389" s="10">
        <f t="shared" si="2"/>
        <v>12</v>
      </c>
      <c r="F389" s="10">
        <f t="shared" si="3"/>
        <v>1899</v>
      </c>
    </row>
    <row r="390">
      <c r="A390" s="15"/>
      <c r="B390" s="89"/>
      <c r="D390" s="10">
        <f t="shared" si="1"/>
        <v>30</v>
      </c>
      <c r="E390" s="10">
        <f t="shared" si="2"/>
        <v>12</v>
      </c>
      <c r="F390" s="10">
        <f t="shared" si="3"/>
        <v>1899</v>
      </c>
    </row>
    <row r="391">
      <c r="A391" s="15"/>
      <c r="B391" s="89"/>
      <c r="D391" s="10">
        <f t="shared" si="1"/>
        <v>30</v>
      </c>
      <c r="E391" s="10">
        <f t="shared" si="2"/>
        <v>12</v>
      </c>
      <c r="F391" s="10">
        <f t="shared" si="3"/>
        <v>1899</v>
      </c>
    </row>
    <row r="392">
      <c r="A392" s="15"/>
      <c r="B392" s="89"/>
      <c r="D392" s="10">
        <f t="shared" si="1"/>
        <v>30</v>
      </c>
      <c r="E392" s="10">
        <f t="shared" si="2"/>
        <v>12</v>
      </c>
      <c r="F392" s="10">
        <f t="shared" si="3"/>
        <v>1899</v>
      </c>
    </row>
    <row r="393">
      <c r="A393" s="15"/>
      <c r="B393" s="89"/>
      <c r="D393" s="10">
        <f t="shared" si="1"/>
        <v>30</v>
      </c>
      <c r="E393" s="10">
        <f t="shared" si="2"/>
        <v>12</v>
      </c>
      <c r="F393" s="10">
        <f t="shared" si="3"/>
        <v>1899</v>
      </c>
    </row>
    <row r="394">
      <c r="A394" s="15"/>
      <c r="B394" s="89"/>
      <c r="D394" s="10">
        <f t="shared" si="1"/>
        <v>30</v>
      </c>
      <c r="E394" s="10">
        <f t="shared" si="2"/>
        <v>12</v>
      </c>
      <c r="F394" s="10">
        <f t="shared" si="3"/>
        <v>1899</v>
      </c>
    </row>
    <row r="395">
      <c r="A395" s="15"/>
      <c r="B395" s="89"/>
      <c r="D395" s="10">
        <f t="shared" si="1"/>
        <v>30</v>
      </c>
      <c r="E395" s="10">
        <f t="shared" si="2"/>
        <v>12</v>
      </c>
      <c r="F395" s="10">
        <f t="shared" si="3"/>
        <v>1899</v>
      </c>
    </row>
    <row r="396">
      <c r="A396" s="15"/>
      <c r="B396" s="89"/>
      <c r="D396" s="10">
        <f t="shared" si="1"/>
        <v>30</v>
      </c>
      <c r="E396" s="10">
        <f t="shared" si="2"/>
        <v>12</v>
      </c>
      <c r="F396" s="10">
        <f t="shared" si="3"/>
        <v>1899</v>
      </c>
    </row>
    <row r="397">
      <c r="A397" s="15"/>
      <c r="B397" s="89"/>
      <c r="D397" s="10">
        <f t="shared" si="1"/>
        <v>30</v>
      </c>
      <c r="E397" s="10">
        <f t="shared" si="2"/>
        <v>12</v>
      </c>
      <c r="F397" s="10">
        <f t="shared" si="3"/>
        <v>1899</v>
      </c>
    </row>
    <row r="398">
      <c r="A398" s="15"/>
      <c r="B398" s="89"/>
      <c r="D398" s="10">
        <f t="shared" si="1"/>
        <v>30</v>
      </c>
      <c r="E398" s="10">
        <f t="shared" si="2"/>
        <v>12</v>
      </c>
      <c r="F398" s="10">
        <f t="shared" si="3"/>
        <v>1899</v>
      </c>
    </row>
    <row r="399">
      <c r="A399" s="15"/>
      <c r="B399" s="89"/>
      <c r="D399" s="10">
        <f t="shared" si="1"/>
        <v>30</v>
      </c>
      <c r="E399" s="10">
        <f t="shared" si="2"/>
        <v>12</v>
      </c>
      <c r="F399" s="10">
        <f t="shared" si="3"/>
        <v>1899</v>
      </c>
    </row>
    <row r="400">
      <c r="A400" s="15"/>
      <c r="B400" s="89"/>
      <c r="D400" s="10">
        <f t="shared" si="1"/>
        <v>30</v>
      </c>
      <c r="E400" s="10">
        <f t="shared" si="2"/>
        <v>12</v>
      </c>
      <c r="F400" s="10">
        <f t="shared" si="3"/>
        <v>1899</v>
      </c>
    </row>
    <row r="401">
      <c r="A401" s="15"/>
      <c r="B401" s="89"/>
      <c r="D401" s="10">
        <f t="shared" si="1"/>
        <v>30</v>
      </c>
      <c r="E401" s="10">
        <f t="shared" si="2"/>
        <v>12</v>
      </c>
      <c r="F401" s="10">
        <f t="shared" si="3"/>
        <v>1899</v>
      </c>
    </row>
    <row r="402">
      <c r="A402" s="15"/>
      <c r="B402" s="89"/>
      <c r="D402" s="10">
        <f t="shared" si="1"/>
        <v>30</v>
      </c>
      <c r="E402" s="10">
        <f t="shared" si="2"/>
        <v>12</v>
      </c>
      <c r="F402" s="10">
        <f t="shared" si="3"/>
        <v>1899</v>
      </c>
    </row>
    <row r="403">
      <c r="A403" s="15"/>
      <c r="B403" s="89"/>
      <c r="D403" s="10">
        <f t="shared" si="1"/>
        <v>30</v>
      </c>
      <c r="E403" s="10">
        <f t="shared" si="2"/>
        <v>12</v>
      </c>
      <c r="F403" s="10">
        <f t="shared" si="3"/>
        <v>1899</v>
      </c>
    </row>
    <row r="404">
      <c r="A404" s="15"/>
      <c r="B404" s="89"/>
      <c r="D404" s="10">
        <f t="shared" si="1"/>
        <v>30</v>
      </c>
      <c r="E404" s="10">
        <f t="shared" si="2"/>
        <v>12</v>
      </c>
      <c r="F404" s="10">
        <f t="shared" si="3"/>
        <v>1899</v>
      </c>
    </row>
    <row r="405">
      <c r="A405" s="15"/>
      <c r="B405" s="89"/>
      <c r="D405" s="10">
        <f t="shared" si="1"/>
        <v>30</v>
      </c>
      <c r="E405" s="10">
        <f t="shared" si="2"/>
        <v>12</v>
      </c>
      <c r="F405" s="10">
        <f t="shared" si="3"/>
        <v>1899</v>
      </c>
    </row>
    <row r="406">
      <c r="A406" s="15"/>
      <c r="B406" s="89"/>
      <c r="D406" s="10">
        <f t="shared" si="1"/>
        <v>30</v>
      </c>
      <c r="E406" s="10">
        <f t="shared" si="2"/>
        <v>12</v>
      </c>
      <c r="F406" s="10">
        <f t="shared" si="3"/>
        <v>1899</v>
      </c>
    </row>
    <row r="407">
      <c r="A407" s="15"/>
      <c r="B407" s="89"/>
      <c r="D407" s="10">
        <f t="shared" si="1"/>
        <v>30</v>
      </c>
      <c r="E407" s="10">
        <f t="shared" si="2"/>
        <v>12</v>
      </c>
      <c r="F407" s="10">
        <f t="shared" si="3"/>
        <v>1899</v>
      </c>
    </row>
    <row r="408">
      <c r="A408" s="15"/>
      <c r="B408" s="89"/>
      <c r="D408" s="10">
        <f t="shared" si="1"/>
        <v>30</v>
      </c>
      <c r="E408" s="10">
        <f t="shared" si="2"/>
        <v>12</v>
      </c>
      <c r="F408" s="10">
        <f t="shared" si="3"/>
        <v>1899</v>
      </c>
    </row>
    <row r="409">
      <c r="A409" s="15"/>
      <c r="B409" s="89"/>
      <c r="D409" s="10">
        <f t="shared" si="1"/>
        <v>30</v>
      </c>
      <c r="E409" s="10">
        <f t="shared" si="2"/>
        <v>12</v>
      </c>
      <c r="F409" s="10">
        <f t="shared" si="3"/>
        <v>1899</v>
      </c>
    </row>
    <row r="410">
      <c r="A410" s="15"/>
      <c r="B410" s="89"/>
      <c r="D410" s="10">
        <f t="shared" si="1"/>
        <v>30</v>
      </c>
      <c r="E410" s="10">
        <f t="shared" si="2"/>
        <v>12</v>
      </c>
      <c r="F410" s="10">
        <f t="shared" si="3"/>
        <v>1899</v>
      </c>
    </row>
    <row r="411">
      <c r="A411" s="15"/>
      <c r="B411" s="89"/>
      <c r="D411" s="10">
        <f t="shared" si="1"/>
        <v>30</v>
      </c>
      <c r="E411" s="10">
        <f t="shared" si="2"/>
        <v>12</v>
      </c>
      <c r="F411" s="10">
        <f t="shared" si="3"/>
        <v>1899</v>
      </c>
    </row>
    <row r="412">
      <c r="A412" s="15"/>
      <c r="B412" s="89"/>
      <c r="D412" s="10">
        <f t="shared" si="1"/>
        <v>30</v>
      </c>
      <c r="E412" s="10">
        <f t="shared" si="2"/>
        <v>12</v>
      </c>
      <c r="F412" s="10">
        <f t="shared" si="3"/>
        <v>1899</v>
      </c>
    </row>
    <row r="413">
      <c r="A413" s="15"/>
      <c r="B413" s="89"/>
      <c r="D413" s="10">
        <f t="shared" si="1"/>
        <v>30</v>
      </c>
      <c r="E413" s="10">
        <f t="shared" si="2"/>
        <v>12</v>
      </c>
      <c r="F413" s="10">
        <f t="shared" si="3"/>
        <v>1899</v>
      </c>
    </row>
    <row r="414">
      <c r="A414" s="15"/>
      <c r="B414" s="89"/>
      <c r="D414" s="10">
        <f t="shared" si="1"/>
        <v>30</v>
      </c>
      <c r="E414" s="10">
        <f t="shared" si="2"/>
        <v>12</v>
      </c>
      <c r="F414" s="10">
        <f t="shared" si="3"/>
        <v>1899</v>
      </c>
    </row>
    <row r="415">
      <c r="A415" s="15"/>
      <c r="B415" s="89"/>
      <c r="D415" s="10">
        <f t="shared" si="1"/>
        <v>30</v>
      </c>
      <c r="E415" s="10">
        <f t="shared" si="2"/>
        <v>12</v>
      </c>
      <c r="F415" s="10">
        <f t="shared" si="3"/>
        <v>1899</v>
      </c>
    </row>
    <row r="416">
      <c r="A416" s="15"/>
      <c r="B416" s="89"/>
      <c r="D416" s="10">
        <f t="shared" si="1"/>
        <v>30</v>
      </c>
      <c r="E416" s="10">
        <f t="shared" si="2"/>
        <v>12</v>
      </c>
      <c r="F416" s="10">
        <f t="shared" si="3"/>
        <v>1899</v>
      </c>
    </row>
    <row r="417">
      <c r="A417" s="15"/>
      <c r="B417" s="89"/>
      <c r="D417" s="10">
        <f t="shared" si="1"/>
        <v>30</v>
      </c>
      <c r="E417" s="10">
        <f t="shared" si="2"/>
        <v>12</v>
      </c>
      <c r="F417" s="10">
        <f t="shared" si="3"/>
        <v>1899</v>
      </c>
    </row>
    <row r="418">
      <c r="A418" s="15"/>
      <c r="B418" s="89"/>
      <c r="D418" s="10">
        <f t="shared" si="1"/>
        <v>30</v>
      </c>
      <c r="E418" s="10">
        <f t="shared" si="2"/>
        <v>12</v>
      </c>
      <c r="F418" s="10">
        <f t="shared" si="3"/>
        <v>1899</v>
      </c>
    </row>
    <row r="419">
      <c r="A419" s="15"/>
      <c r="B419" s="89"/>
      <c r="D419" s="10">
        <f t="shared" si="1"/>
        <v>30</v>
      </c>
      <c r="E419" s="10">
        <f t="shared" si="2"/>
        <v>12</v>
      </c>
      <c r="F419" s="10">
        <f t="shared" si="3"/>
        <v>1899</v>
      </c>
    </row>
    <row r="420">
      <c r="A420" s="15"/>
      <c r="B420" s="89"/>
      <c r="D420" s="10">
        <f t="shared" si="1"/>
        <v>30</v>
      </c>
      <c r="E420" s="10">
        <f t="shared" si="2"/>
        <v>12</v>
      </c>
      <c r="F420" s="10">
        <f t="shared" si="3"/>
        <v>1899</v>
      </c>
    </row>
    <row r="421">
      <c r="A421" s="15"/>
      <c r="B421" s="89"/>
      <c r="D421" s="10">
        <f t="shared" si="1"/>
        <v>30</v>
      </c>
      <c r="E421" s="10">
        <f t="shared" si="2"/>
        <v>12</v>
      </c>
      <c r="F421" s="10">
        <f t="shared" si="3"/>
        <v>1899</v>
      </c>
    </row>
    <row r="422">
      <c r="A422" s="15"/>
      <c r="B422" s="89"/>
      <c r="D422" s="10">
        <f t="shared" si="1"/>
        <v>30</v>
      </c>
      <c r="E422" s="10">
        <f t="shared" si="2"/>
        <v>12</v>
      </c>
      <c r="F422" s="10">
        <f t="shared" si="3"/>
        <v>1899</v>
      </c>
    </row>
    <row r="423">
      <c r="A423" s="15"/>
      <c r="B423" s="89"/>
      <c r="D423" s="10">
        <f t="shared" si="1"/>
        <v>30</v>
      </c>
      <c r="E423" s="10">
        <f t="shared" si="2"/>
        <v>12</v>
      </c>
      <c r="F423" s="10">
        <f t="shared" si="3"/>
        <v>1899</v>
      </c>
    </row>
    <row r="424">
      <c r="A424" s="15"/>
      <c r="B424" s="89"/>
      <c r="D424" s="10">
        <f t="shared" si="1"/>
        <v>30</v>
      </c>
      <c r="E424" s="10">
        <f t="shared" si="2"/>
        <v>12</v>
      </c>
      <c r="F424" s="10">
        <f t="shared" si="3"/>
        <v>1899</v>
      </c>
    </row>
    <row r="425">
      <c r="A425" s="15"/>
      <c r="B425" s="89"/>
      <c r="D425" s="10">
        <f t="shared" si="1"/>
        <v>30</v>
      </c>
      <c r="E425" s="10">
        <f t="shared" si="2"/>
        <v>12</v>
      </c>
      <c r="F425" s="10">
        <f t="shared" si="3"/>
        <v>1899</v>
      </c>
    </row>
    <row r="426">
      <c r="A426" s="15"/>
      <c r="B426" s="89"/>
      <c r="D426" s="10">
        <f t="shared" si="1"/>
        <v>30</v>
      </c>
      <c r="E426" s="10">
        <f t="shared" si="2"/>
        <v>12</v>
      </c>
      <c r="F426" s="10">
        <f t="shared" si="3"/>
        <v>1899</v>
      </c>
    </row>
    <row r="427">
      <c r="A427" s="15"/>
      <c r="B427" s="89"/>
      <c r="D427" s="10">
        <f t="shared" si="1"/>
        <v>30</v>
      </c>
      <c r="E427" s="10">
        <f t="shared" si="2"/>
        <v>12</v>
      </c>
      <c r="F427" s="10">
        <f t="shared" si="3"/>
        <v>1899</v>
      </c>
    </row>
    <row r="428">
      <c r="A428" s="15"/>
      <c r="B428" s="89"/>
      <c r="D428" s="10">
        <f t="shared" si="1"/>
        <v>30</v>
      </c>
      <c r="E428" s="10">
        <f t="shared" si="2"/>
        <v>12</v>
      </c>
      <c r="F428" s="10">
        <f t="shared" si="3"/>
        <v>1899</v>
      </c>
    </row>
    <row r="429">
      <c r="A429" s="15"/>
      <c r="B429" s="89"/>
      <c r="D429" s="10">
        <f t="shared" si="1"/>
        <v>30</v>
      </c>
      <c r="E429" s="10">
        <f t="shared" si="2"/>
        <v>12</v>
      </c>
      <c r="F429" s="10">
        <f t="shared" si="3"/>
        <v>1899</v>
      </c>
    </row>
    <row r="430">
      <c r="A430" s="15"/>
      <c r="B430" s="89"/>
      <c r="D430" s="10">
        <f t="shared" si="1"/>
        <v>30</v>
      </c>
      <c r="E430" s="10">
        <f t="shared" si="2"/>
        <v>12</v>
      </c>
      <c r="F430" s="10">
        <f t="shared" si="3"/>
        <v>1899</v>
      </c>
    </row>
    <row r="431">
      <c r="A431" s="15"/>
      <c r="B431" s="89"/>
      <c r="D431" s="10">
        <f t="shared" si="1"/>
        <v>30</v>
      </c>
      <c r="E431" s="10">
        <f t="shared" si="2"/>
        <v>12</v>
      </c>
      <c r="F431" s="10">
        <f t="shared" si="3"/>
        <v>1899</v>
      </c>
    </row>
    <row r="432">
      <c r="A432" s="15"/>
      <c r="B432" s="89"/>
      <c r="D432" s="10">
        <f t="shared" si="1"/>
        <v>30</v>
      </c>
      <c r="E432" s="10">
        <f t="shared" si="2"/>
        <v>12</v>
      </c>
      <c r="F432" s="10">
        <f t="shared" si="3"/>
        <v>1899</v>
      </c>
    </row>
    <row r="433">
      <c r="A433" s="15"/>
      <c r="B433" s="89"/>
      <c r="D433" s="10">
        <f t="shared" si="1"/>
        <v>30</v>
      </c>
      <c r="E433" s="10">
        <f t="shared" si="2"/>
        <v>12</v>
      </c>
      <c r="F433" s="10">
        <f t="shared" si="3"/>
        <v>1899</v>
      </c>
    </row>
    <row r="434">
      <c r="A434" s="15"/>
      <c r="B434" s="89"/>
      <c r="D434" s="10">
        <f t="shared" si="1"/>
        <v>30</v>
      </c>
      <c r="E434" s="10">
        <f t="shared" si="2"/>
        <v>12</v>
      </c>
      <c r="F434" s="10">
        <f t="shared" si="3"/>
        <v>1899</v>
      </c>
    </row>
    <row r="435">
      <c r="A435" s="15"/>
      <c r="B435" s="89"/>
      <c r="D435" s="10">
        <f t="shared" si="1"/>
        <v>30</v>
      </c>
      <c r="E435" s="10">
        <f t="shared" si="2"/>
        <v>12</v>
      </c>
      <c r="F435" s="10">
        <f t="shared" si="3"/>
        <v>1899</v>
      </c>
    </row>
    <row r="436">
      <c r="A436" s="15"/>
      <c r="B436" s="89"/>
      <c r="D436" s="10">
        <f t="shared" si="1"/>
        <v>30</v>
      </c>
      <c r="E436" s="10">
        <f t="shared" si="2"/>
        <v>12</v>
      </c>
      <c r="F436" s="10">
        <f t="shared" si="3"/>
        <v>1899</v>
      </c>
    </row>
    <row r="437">
      <c r="A437" s="15"/>
      <c r="B437" s="89"/>
      <c r="D437" s="10">
        <f t="shared" si="1"/>
        <v>30</v>
      </c>
      <c r="E437" s="10">
        <f t="shared" si="2"/>
        <v>12</v>
      </c>
      <c r="F437" s="10">
        <f t="shared" si="3"/>
        <v>1899</v>
      </c>
    </row>
    <row r="438">
      <c r="A438" s="15"/>
      <c r="B438" s="89"/>
      <c r="D438" s="10">
        <f t="shared" si="1"/>
        <v>30</v>
      </c>
      <c r="E438" s="10">
        <f t="shared" si="2"/>
        <v>12</v>
      </c>
      <c r="F438" s="10">
        <f t="shared" si="3"/>
        <v>1899</v>
      </c>
    </row>
    <row r="439">
      <c r="A439" s="15"/>
      <c r="B439" s="89"/>
      <c r="D439" s="10">
        <f t="shared" si="1"/>
        <v>30</v>
      </c>
      <c r="E439" s="10">
        <f t="shared" si="2"/>
        <v>12</v>
      </c>
      <c r="F439" s="10">
        <f t="shared" si="3"/>
        <v>1899</v>
      </c>
    </row>
    <row r="440">
      <c r="A440" s="15"/>
      <c r="B440" s="89"/>
      <c r="D440" s="10">
        <f t="shared" si="1"/>
        <v>30</v>
      </c>
      <c r="E440" s="10">
        <f t="shared" si="2"/>
        <v>12</v>
      </c>
      <c r="F440" s="10">
        <f t="shared" si="3"/>
        <v>1899</v>
      </c>
    </row>
    <row r="441">
      <c r="A441" s="15"/>
      <c r="B441" s="89"/>
      <c r="D441" s="10">
        <f t="shared" si="1"/>
        <v>30</v>
      </c>
      <c r="E441" s="10">
        <f t="shared" si="2"/>
        <v>12</v>
      </c>
      <c r="F441" s="10">
        <f t="shared" si="3"/>
        <v>1899</v>
      </c>
    </row>
    <row r="442">
      <c r="A442" s="15"/>
      <c r="B442" s="89"/>
      <c r="D442" s="10">
        <f t="shared" si="1"/>
        <v>30</v>
      </c>
      <c r="E442" s="10">
        <f t="shared" si="2"/>
        <v>12</v>
      </c>
      <c r="F442" s="10">
        <f t="shared" si="3"/>
        <v>1899</v>
      </c>
    </row>
    <row r="443">
      <c r="A443" s="15"/>
      <c r="B443" s="89"/>
      <c r="D443" s="10">
        <f t="shared" si="1"/>
        <v>30</v>
      </c>
      <c r="E443" s="10">
        <f t="shared" si="2"/>
        <v>12</v>
      </c>
      <c r="F443" s="10">
        <f t="shared" si="3"/>
        <v>1899</v>
      </c>
    </row>
    <row r="444">
      <c r="A444" s="15"/>
      <c r="B444" s="89"/>
      <c r="D444" s="10">
        <f t="shared" si="1"/>
        <v>30</v>
      </c>
      <c r="E444" s="10">
        <f t="shared" si="2"/>
        <v>12</v>
      </c>
      <c r="F444" s="10">
        <f t="shared" si="3"/>
        <v>1899</v>
      </c>
    </row>
    <row r="445">
      <c r="A445" s="15"/>
      <c r="B445" s="89"/>
      <c r="D445" s="10">
        <f t="shared" si="1"/>
        <v>30</v>
      </c>
      <c r="E445" s="10">
        <f t="shared" si="2"/>
        <v>12</v>
      </c>
      <c r="F445" s="10">
        <f t="shared" si="3"/>
        <v>1899</v>
      </c>
    </row>
    <row r="446">
      <c r="A446" s="15"/>
      <c r="B446" s="89"/>
      <c r="D446" s="10">
        <f t="shared" si="1"/>
        <v>30</v>
      </c>
      <c r="E446" s="10">
        <f t="shared" si="2"/>
        <v>12</v>
      </c>
      <c r="F446" s="10">
        <f t="shared" si="3"/>
        <v>1899</v>
      </c>
    </row>
    <row r="447">
      <c r="A447" s="15"/>
      <c r="B447" s="89"/>
      <c r="D447" s="10">
        <f t="shared" si="1"/>
        <v>30</v>
      </c>
      <c r="E447" s="10">
        <f t="shared" si="2"/>
        <v>12</v>
      </c>
      <c r="F447" s="10">
        <f t="shared" si="3"/>
        <v>1899</v>
      </c>
    </row>
    <row r="448">
      <c r="A448" s="15"/>
      <c r="B448" s="89"/>
      <c r="D448" s="10">
        <f t="shared" si="1"/>
        <v>30</v>
      </c>
      <c r="E448" s="10">
        <f t="shared" si="2"/>
        <v>12</v>
      </c>
      <c r="F448" s="10">
        <f t="shared" si="3"/>
        <v>1899</v>
      </c>
    </row>
    <row r="449">
      <c r="A449" s="15"/>
      <c r="B449" s="89"/>
      <c r="D449" s="10">
        <f t="shared" si="1"/>
        <v>30</v>
      </c>
      <c r="E449" s="10">
        <f t="shared" si="2"/>
        <v>12</v>
      </c>
      <c r="F449" s="10">
        <f t="shared" si="3"/>
        <v>1899</v>
      </c>
    </row>
    <row r="450">
      <c r="A450" s="15"/>
      <c r="B450" s="89"/>
      <c r="D450" s="10">
        <f t="shared" si="1"/>
        <v>30</v>
      </c>
      <c r="E450" s="10">
        <f t="shared" si="2"/>
        <v>12</v>
      </c>
      <c r="F450" s="10">
        <f t="shared" si="3"/>
        <v>1899</v>
      </c>
    </row>
    <row r="451">
      <c r="A451" s="15"/>
      <c r="B451" s="89"/>
      <c r="D451" s="10">
        <f t="shared" si="1"/>
        <v>30</v>
      </c>
      <c r="E451" s="10">
        <f t="shared" si="2"/>
        <v>12</v>
      </c>
      <c r="F451" s="10">
        <f t="shared" si="3"/>
        <v>1899</v>
      </c>
    </row>
    <row r="452">
      <c r="A452" s="15"/>
      <c r="B452" s="89"/>
      <c r="D452" s="10">
        <f t="shared" si="1"/>
        <v>30</v>
      </c>
      <c r="E452" s="10">
        <f t="shared" si="2"/>
        <v>12</v>
      </c>
      <c r="F452" s="10">
        <f t="shared" si="3"/>
        <v>1899</v>
      </c>
    </row>
    <row r="453">
      <c r="A453" s="15"/>
      <c r="B453" s="89"/>
      <c r="D453" s="10">
        <f t="shared" si="1"/>
        <v>30</v>
      </c>
      <c r="E453" s="10">
        <f t="shared" si="2"/>
        <v>12</v>
      </c>
      <c r="F453" s="10">
        <f t="shared" si="3"/>
        <v>1899</v>
      </c>
    </row>
    <row r="454">
      <c r="A454" s="15"/>
      <c r="B454" s="89"/>
      <c r="D454" s="10">
        <f t="shared" si="1"/>
        <v>30</v>
      </c>
      <c r="E454" s="10">
        <f t="shared" si="2"/>
        <v>12</v>
      </c>
      <c r="F454" s="10">
        <f t="shared" si="3"/>
        <v>1899</v>
      </c>
    </row>
    <row r="455">
      <c r="A455" s="15"/>
      <c r="B455" s="89"/>
      <c r="D455" s="10">
        <f t="shared" si="1"/>
        <v>30</v>
      </c>
      <c r="E455" s="10">
        <f t="shared" si="2"/>
        <v>12</v>
      </c>
      <c r="F455" s="10">
        <f t="shared" si="3"/>
        <v>1899</v>
      </c>
    </row>
    <row r="456">
      <c r="A456" s="15"/>
      <c r="B456" s="89"/>
      <c r="D456" s="10">
        <f t="shared" si="1"/>
        <v>30</v>
      </c>
      <c r="E456" s="10">
        <f t="shared" si="2"/>
        <v>12</v>
      </c>
      <c r="F456" s="10">
        <f t="shared" si="3"/>
        <v>1899</v>
      </c>
    </row>
    <row r="457">
      <c r="A457" s="15"/>
      <c r="B457" s="89"/>
      <c r="D457" s="10">
        <f t="shared" si="1"/>
        <v>30</v>
      </c>
      <c r="E457" s="10">
        <f t="shared" si="2"/>
        <v>12</v>
      </c>
      <c r="F457" s="10">
        <f t="shared" si="3"/>
        <v>1899</v>
      </c>
    </row>
    <row r="458">
      <c r="A458" s="15"/>
      <c r="B458" s="89"/>
      <c r="D458" s="10">
        <f t="shared" si="1"/>
        <v>30</v>
      </c>
      <c r="E458" s="10">
        <f t="shared" si="2"/>
        <v>12</v>
      </c>
      <c r="F458" s="10">
        <f t="shared" si="3"/>
        <v>1899</v>
      </c>
    </row>
    <row r="459">
      <c r="A459" s="15"/>
      <c r="B459" s="89"/>
      <c r="D459" s="10">
        <f t="shared" si="1"/>
        <v>30</v>
      </c>
      <c r="E459" s="10">
        <f t="shared" si="2"/>
        <v>12</v>
      </c>
      <c r="F459" s="10">
        <f t="shared" si="3"/>
        <v>1899</v>
      </c>
    </row>
    <row r="460">
      <c r="A460" s="15"/>
      <c r="B460" s="89"/>
      <c r="D460" s="10">
        <f t="shared" si="1"/>
        <v>30</v>
      </c>
      <c r="E460" s="10">
        <f t="shared" si="2"/>
        <v>12</v>
      </c>
      <c r="F460" s="10">
        <f t="shared" si="3"/>
        <v>1899</v>
      </c>
    </row>
    <row r="461">
      <c r="A461" s="15"/>
      <c r="B461" s="89"/>
      <c r="D461" s="10">
        <f t="shared" si="1"/>
        <v>30</v>
      </c>
      <c r="E461" s="10">
        <f t="shared" si="2"/>
        <v>12</v>
      </c>
      <c r="F461" s="10">
        <f t="shared" si="3"/>
        <v>1899</v>
      </c>
    </row>
    <row r="462">
      <c r="A462" s="15"/>
      <c r="B462" s="89"/>
      <c r="D462" s="10">
        <f t="shared" si="1"/>
        <v>30</v>
      </c>
      <c r="E462" s="10">
        <f t="shared" si="2"/>
        <v>12</v>
      </c>
      <c r="F462" s="10">
        <f t="shared" si="3"/>
        <v>1899</v>
      </c>
    </row>
    <row r="463">
      <c r="A463" s="15"/>
      <c r="B463" s="89"/>
      <c r="D463" s="10">
        <f t="shared" si="1"/>
        <v>30</v>
      </c>
      <c r="E463" s="10">
        <f t="shared" si="2"/>
        <v>12</v>
      </c>
      <c r="F463" s="10">
        <f t="shared" si="3"/>
        <v>1899</v>
      </c>
    </row>
    <row r="464">
      <c r="A464" s="15"/>
      <c r="B464" s="89"/>
      <c r="D464" s="10">
        <f t="shared" si="1"/>
        <v>30</v>
      </c>
      <c r="E464" s="10">
        <f t="shared" si="2"/>
        <v>12</v>
      </c>
      <c r="F464" s="10">
        <f t="shared" si="3"/>
        <v>1899</v>
      </c>
    </row>
    <row r="465">
      <c r="A465" s="15"/>
      <c r="B465" s="89"/>
      <c r="D465" s="10">
        <f t="shared" si="1"/>
        <v>30</v>
      </c>
      <c r="E465" s="10">
        <f t="shared" si="2"/>
        <v>12</v>
      </c>
      <c r="F465" s="10">
        <f t="shared" si="3"/>
        <v>1899</v>
      </c>
    </row>
    <row r="466">
      <c r="A466" s="15"/>
      <c r="B466" s="89"/>
      <c r="D466" s="10">
        <f t="shared" si="1"/>
        <v>30</v>
      </c>
      <c r="E466" s="10">
        <f t="shared" si="2"/>
        <v>12</v>
      </c>
      <c r="F466" s="10">
        <f t="shared" si="3"/>
        <v>1899</v>
      </c>
    </row>
    <row r="467">
      <c r="A467" s="15"/>
      <c r="B467" s="89"/>
      <c r="D467" s="10">
        <f t="shared" si="1"/>
        <v>30</v>
      </c>
      <c r="E467" s="10">
        <f t="shared" si="2"/>
        <v>12</v>
      </c>
      <c r="F467" s="10">
        <f t="shared" si="3"/>
        <v>1899</v>
      </c>
    </row>
    <row r="468">
      <c r="A468" s="15"/>
      <c r="B468" s="89"/>
      <c r="D468" s="10">
        <f t="shared" si="1"/>
        <v>30</v>
      </c>
      <c r="E468" s="10">
        <f t="shared" si="2"/>
        <v>12</v>
      </c>
      <c r="F468" s="10">
        <f t="shared" si="3"/>
        <v>1899</v>
      </c>
    </row>
    <row r="469">
      <c r="A469" s="15"/>
      <c r="B469" s="89"/>
      <c r="D469" s="10">
        <f t="shared" si="1"/>
        <v>30</v>
      </c>
      <c r="E469" s="10">
        <f t="shared" si="2"/>
        <v>12</v>
      </c>
      <c r="F469" s="10">
        <f t="shared" si="3"/>
        <v>1899</v>
      </c>
    </row>
    <row r="470">
      <c r="A470" s="15"/>
      <c r="B470" s="89"/>
      <c r="D470" s="10">
        <f t="shared" si="1"/>
        <v>30</v>
      </c>
      <c r="E470" s="10">
        <f t="shared" si="2"/>
        <v>12</v>
      </c>
      <c r="F470" s="10">
        <f t="shared" si="3"/>
        <v>1899</v>
      </c>
    </row>
    <row r="471">
      <c r="A471" s="15"/>
      <c r="B471" s="89"/>
      <c r="D471" s="10">
        <f t="shared" si="1"/>
        <v>30</v>
      </c>
      <c r="E471" s="10">
        <f t="shared" si="2"/>
        <v>12</v>
      </c>
      <c r="F471" s="10">
        <f t="shared" si="3"/>
        <v>1899</v>
      </c>
    </row>
    <row r="472">
      <c r="A472" s="15"/>
      <c r="B472" s="89"/>
      <c r="D472" s="10">
        <f t="shared" si="1"/>
        <v>30</v>
      </c>
      <c r="E472" s="10">
        <f t="shared" si="2"/>
        <v>12</v>
      </c>
      <c r="F472" s="10">
        <f t="shared" si="3"/>
        <v>1899</v>
      </c>
    </row>
    <row r="473">
      <c r="A473" s="15"/>
      <c r="B473" s="89"/>
      <c r="D473" s="10">
        <f t="shared" si="1"/>
        <v>30</v>
      </c>
      <c r="E473" s="10">
        <f t="shared" si="2"/>
        <v>12</v>
      </c>
      <c r="F473" s="10">
        <f t="shared" si="3"/>
        <v>1899</v>
      </c>
    </row>
    <row r="474">
      <c r="A474" s="15"/>
      <c r="B474" s="89"/>
      <c r="D474" s="10">
        <f t="shared" si="1"/>
        <v>30</v>
      </c>
      <c r="E474" s="10">
        <f t="shared" si="2"/>
        <v>12</v>
      </c>
      <c r="F474" s="10">
        <f t="shared" si="3"/>
        <v>1899</v>
      </c>
    </row>
    <row r="475">
      <c r="A475" s="15"/>
      <c r="B475" s="89"/>
      <c r="D475" s="10">
        <f t="shared" si="1"/>
        <v>30</v>
      </c>
      <c r="E475" s="10">
        <f t="shared" si="2"/>
        <v>12</v>
      </c>
      <c r="F475" s="10">
        <f t="shared" si="3"/>
        <v>1899</v>
      </c>
    </row>
    <row r="476">
      <c r="A476" s="15"/>
      <c r="B476" s="89"/>
      <c r="D476" s="10">
        <f t="shared" si="1"/>
        <v>30</v>
      </c>
      <c r="E476" s="10">
        <f t="shared" si="2"/>
        <v>12</v>
      </c>
      <c r="F476" s="10">
        <f t="shared" si="3"/>
        <v>1899</v>
      </c>
    </row>
    <row r="477">
      <c r="A477" s="15"/>
      <c r="B477" s="89"/>
      <c r="D477" s="10">
        <f t="shared" si="1"/>
        <v>30</v>
      </c>
      <c r="E477" s="10">
        <f t="shared" si="2"/>
        <v>12</v>
      </c>
      <c r="F477" s="10">
        <f t="shared" si="3"/>
        <v>1899</v>
      </c>
    </row>
    <row r="478">
      <c r="A478" s="15"/>
      <c r="B478" s="89"/>
      <c r="D478" s="10">
        <f t="shared" si="1"/>
        <v>30</v>
      </c>
      <c r="E478" s="10">
        <f t="shared" si="2"/>
        <v>12</v>
      </c>
      <c r="F478" s="10">
        <f t="shared" si="3"/>
        <v>1899</v>
      </c>
    </row>
    <row r="479">
      <c r="A479" s="15"/>
      <c r="B479" s="89"/>
      <c r="D479" s="10">
        <f t="shared" si="1"/>
        <v>30</v>
      </c>
      <c r="E479" s="10">
        <f t="shared" si="2"/>
        <v>12</v>
      </c>
      <c r="F479" s="10">
        <f t="shared" si="3"/>
        <v>1899</v>
      </c>
    </row>
    <row r="480">
      <c r="A480" s="15"/>
      <c r="B480" s="89"/>
      <c r="D480" s="10">
        <f t="shared" si="1"/>
        <v>30</v>
      </c>
      <c r="E480" s="10">
        <f t="shared" si="2"/>
        <v>12</v>
      </c>
      <c r="F480" s="10">
        <f t="shared" si="3"/>
        <v>1899</v>
      </c>
    </row>
    <row r="481">
      <c r="A481" s="15"/>
      <c r="B481" s="89"/>
      <c r="D481" s="10">
        <f t="shared" si="1"/>
        <v>30</v>
      </c>
      <c r="E481" s="10">
        <f t="shared" si="2"/>
        <v>12</v>
      </c>
      <c r="F481" s="10">
        <f t="shared" si="3"/>
        <v>1899</v>
      </c>
    </row>
    <row r="482">
      <c r="A482" s="15"/>
      <c r="B482" s="89"/>
      <c r="D482" s="10">
        <f t="shared" si="1"/>
        <v>30</v>
      </c>
      <c r="E482" s="10">
        <f t="shared" si="2"/>
        <v>12</v>
      </c>
      <c r="F482" s="10">
        <f t="shared" si="3"/>
        <v>1899</v>
      </c>
    </row>
    <row r="483">
      <c r="A483" s="15"/>
      <c r="B483" s="89"/>
      <c r="D483" s="10">
        <f t="shared" si="1"/>
        <v>30</v>
      </c>
      <c r="E483" s="10">
        <f t="shared" si="2"/>
        <v>12</v>
      </c>
      <c r="F483" s="10">
        <f t="shared" si="3"/>
        <v>1899</v>
      </c>
    </row>
    <row r="484">
      <c r="A484" s="15"/>
      <c r="B484" s="89"/>
      <c r="D484" s="10">
        <f t="shared" si="1"/>
        <v>30</v>
      </c>
      <c r="E484" s="10">
        <f t="shared" si="2"/>
        <v>12</v>
      </c>
      <c r="F484" s="10">
        <f t="shared" si="3"/>
        <v>1899</v>
      </c>
    </row>
    <row r="485">
      <c r="A485" s="15"/>
      <c r="B485" s="89"/>
      <c r="D485" s="10">
        <f t="shared" si="1"/>
        <v>30</v>
      </c>
      <c r="E485" s="10">
        <f t="shared" si="2"/>
        <v>12</v>
      </c>
      <c r="F485" s="10">
        <f t="shared" si="3"/>
        <v>1899</v>
      </c>
    </row>
    <row r="486">
      <c r="A486" s="15"/>
      <c r="B486" s="89"/>
      <c r="D486" s="10">
        <f t="shared" si="1"/>
        <v>30</v>
      </c>
      <c r="E486" s="10">
        <f t="shared" si="2"/>
        <v>12</v>
      </c>
      <c r="F486" s="10">
        <f t="shared" si="3"/>
        <v>1899</v>
      </c>
    </row>
    <row r="487">
      <c r="A487" s="15"/>
      <c r="B487" s="89"/>
      <c r="D487" s="10">
        <f t="shared" si="1"/>
        <v>30</v>
      </c>
      <c r="E487" s="10">
        <f t="shared" si="2"/>
        <v>12</v>
      </c>
      <c r="F487" s="10">
        <f t="shared" si="3"/>
        <v>1899</v>
      </c>
    </row>
    <row r="488">
      <c r="A488" s="15"/>
      <c r="B488" s="89"/>
      <c r="D488" s="10">
        <f t="shared" si="1"/>
        <v>30</v>
      </c>
      <c r="E488" s="10">
        <f t="shared" si="2"/>
        <v>12</v>
      </c>
      <c r="F488" s="10">
        <f t="shared" si="3"/>
        <v>1899</v>
      </c>
    </row>
    <row r="489">
      <c r="A489" s="15"/>
      <c r="B489" s="89"/>
      <c r="D489" s="10">
        <f t="shared" si="1"/>
        <v>30</v>
      </c>
      <c r="E489" s="10">
        <f t="shared" si="2"/>
        <v>12</v>
      </c>
      <c r="F489" s="10">
        <f t="shared" si="3"/>
        <v>1899</v>
      </c>
    </row>
    <row r="490">
      <c r="A490" s="15"/>
      <c r="B490" s="89"/>
      <c r="D490" s="10">
        <f t="shared" si="1"/>
        <v>30</v>
      </c>
      <c r="E490" s="10">
        <f t="shared" si="2"/>
        <v>12</v>
      </c>
      <c r="F490" s="10">
        <f t="shared" si="3"/>
        <v>1899</v>
      </c>
    </row>
    <row r="491">
      <c r="A491" s="15"/>
      <c r="B491" s="89"/>
      <c r="D491" s="10">
        <f t="shared" si="1"/>
        <v>30</v>
      </c>
      <c r="E491" s="10">
        <f t="shared" si="2"/>
        <v>12</v>
      </c>
      <c r="F491" s="10">
        <f t="shared" si="3"/>
        <v>1899</v>
      </c>
    </row>
    <row r="492">
      <c r="A492" s="15"/>
      <c r="B492" s="89"/>
      <c r="D492" s="10">
        <f t="shared" si="1"/>
        <v>30</v>
      </c>
      <c r="E492" s="10">
        <f t="shared" si="2"/>
        <v>12</v>
      </c>
      <c r="F492" s="10">
        <f t="shared" si="3"/>
        <v>1899</v>
      </c>
    </row>
    <row r="493">
      <c r="A493" s="15"/>
      <c r="B493" s="89"/>
      <c r="D493" s="10">
        <f t="shared" si="1"/>
        <v>30</v>
      </c>
      <c r="E493" s="10">
        <f t="shared" si="2"/>
        <v>12</v>
      </c>
      <c r="F493" s="10">
        <f t="shared" si="3"/>
        <v>1899</v>
      </c>
    </row>
    <row r="494">
      <c r="A494" s="15"/>
      <c r="B494" s="89"/>
      <c r="D494" s="10">
        <f t="shared" si="1"/>
        <v>30</v>
      </c>
      <c r="E494" s="10">
        <f t="shared" si="2"/>
        <v>12</v>
      </c>
      <c r="F494" s="10">
        <f t="shared" si="3"/>
        <v>1899</v>
      </c>
    </row>
    <row r="495">
      <c r="A495" s="15"/>
      <c r="B495" s="89"/>
      <c r="D495" s="10">
        <f t="shared" si="1"/>
        <v>30</v>
      </c>
      <c r="E495" s="10">
        <f t="shared" si="2"/>
        <v>12</v>
      </c>
      <c r="F495" s="10">
        <f t="shared" si="3"/>
        <v>1899</v>
      </c>
    </row>
    <row r="496">
      <c r="A496" s="15"/>
      <c r="B496" s="89"/>
      <c r="D496" s="10">
        <f t="shared" si="1"/>
        <v>30</v>
      </c>
      <c r="E496" s="10">
        <f t="shared" si="2"/>
        <v>12</v>
      </c>
      <c r="F496" s="10">
        <f t="shared" si="3"/>
        <v>1899</v>
      </c>
    </row>
    <row r="497">
      <c r="A497" s="15"/>
      <c r="B497" s="89"/>
      <c r="D497" s="10">
        <f t="shared" si="1"/>
        <v>30</v>
      </c>
      <c r="E497" s="10">
        <f t="shared" si="2"/>
        <v>12</v>
      </c>
      <c r="F497" s="10">
        <f t="shared" si="3"/>
        <v>1899</v>
      </c>
    </row>
    <row r="498">
      <c r="A498" s="15"/>
      <c r="B498" s="89"/>
      <c r="D498" s="10">
        <f t="shared" si="1"/>
        <v>30</v>
      </c>
      <c r="E498" s="10">
        <f t="shared" si="2"/>
        <v>12</v>
      </c>
      <c r="F498" s="10">
        <f t="shared" si="3"/>
        <v>1899</v>
      </c>
    </row>
    <row r="499">
      <c r="A499" s="15"/>
      <c r="B499" s="89"/>
      <c r="D499" s="10">
        <f t="shared" si="1"/>
        <v>30</v>
      </c>
      <c r="E499" s="10">
        <f t="shared" si="2"/>
        <v>12</v>
      </c>
      <c r="F499" s="10">
        <f t="shared" si="3"/>
        <v>1899</v>
      </c>
    </row>
    <row r="500">
      <c r="A500" s="15"/>
      <c r="B500" s="89"/>
      <c r="D500" s="10">
        <f t="shared" si="1"/>
        <v>30</v>
      </c>
      <c r="E500" s="10">
        <f t="shared" si="2"/>
        <v>12</v>
      </c>
      <c r="F500" s="10">
        <f t="shared" si="3"/>
        <v>1899</v>
      </c>
    </row>
    <row r="501">
      <c r="A501" s="15"/>
      <c r="B501" s="89"/>
      <c r="D501" s="10">
        <f t="shared" si="1"/>
        <v>30</v>
      </c>
      <c r="E501" s="10">
        <f t="shared" si="2"/>
        <v>12</v>
      </c>
      <c r="F501" s="10">
        <f t="shared" si="3"/>
        <v>1899</v>
      </c>
    </row>
    <row r="502">
      <c r="A502" s="15"/>
      <c r="B502" s="89"/>
      <c r="D502" s="10">
        <f t="shared" si="1"/>
        <v>30</v>
      </c>
      <c r="E502" s="10">
        <f t="shared" si="2"/>
        <v>12</v>
      </c>
      <c r="F502" s="10">
        <f t="shared" si="3"/>
        <v>1899</v>
      </c>
    </row>
    <row r="503">
      <c r="A503" s="15"/>
      <c r="B503" s="89"/>
      <c r="D503" s="10">
        <f t="shared" si="1"/>
        <v>30</v>
      </c>
      <c r="E503" s="10">
        <f t="shared" si="2"/>
        <v>12</v>
      </c>
      <c r="F503" s="10">
        <f t="shared" si="3"/>
        <v>1899</v>
      </c>
    </row>
    <row r="504">
      <c r="A504" s="15"/>
      <c r="B504" s="89"/>
      <c r="D504" s="10">
        <f t="shared" si="1"/>
        <v>30</v>
      </c>
      <c r="E504" s="10">
        <f t="shared" si="2"/>
        <v>12</v>
      </c>
      <c r="F504" s="10">
        <f t="shared" si="3"/>
        <v>1899</v>
      </c>
    </row>
    <row r="505">
      <c r="A505" s="15"/>
      <c r="B505" s="89"/>
      <c r="D505" s="10">
        <f t="shared" si="1"/>
        <v>30</v>
      </c>
      <c r="E505" s="10">
        <f t="shared" si="2"/>
        <v>12</v>
      </c>
      <c r="F505" s="10">
        <f t="shared" si="3"/>
        <v>1899</v>
      </c>
    </row>
    <row r="506">
      <c r="A506" s="15"/>
      <c r="B506" s="89"/>
      <c r="D506" s="10">
        <f t="shared" si="1"/>
        <v>30</v>
      </c>
      <c r="E506" s="10">
        <f t="shared" si="2"/>
        <v>12</v>
      </c>
      <c r="F506" s="10">
        <f t="shared" si="3"/>
        <v>1899</v>
      </c>
    </row>
    <row r="507">
      <c r="A507" s="15"/>
      <c r="B507" s="89"/>
      <c r="D507" s="10">
        <f t="shared" si="1"/>
        <v>30</v>
      </c>
      <c r="E507" s="10">
        <f t="shared" si="2"/>
        <v>12</v>
      </c>
      <c r="F507" s="10">
        <f t="shared" si="3"/>
        <v>1899</v>
      </c>
    </row>
    <row r="508">
      <c r="A508" s="15"/>
      <c r="B508" s="89"/>
      <c r="D508" s="10">
        <f t="shared" si="1"/>
        <v>30</v>
      </c>
      <c r="E508" s="10">
        <f t="shared" si="2"/>
        <v>12</v>
      </c>
      <c r="F508" s="10">
        <f t="shared" si="3"/>
        <v>1899</v>
      </c>
    </row>
    <row r="509">
      <c r="A509" s="15"/>
      <c r="B509" s="89"/>
      <c r="D509" s="10">
        <f t="shared" si="1"/>
        <v>30</v>
      </c>
      <c r="E509" s="10">
        <f t="shared" si="2"/>
        <v>12</v>
      </c>
      <c r="F509" s="10">
        <f t="shared" si="3"/>
        <v>1899</v>
      </c>
    </row>
    <row r="510">
      <c r="A510" s="15"/>
      <c r="B510" s="89"/>
      <c r="D510" s="10">
        <f t="shared" si="1"/>
        <v>30</v>
      </c>
      <c r="E510" s="10">
        <f t="shared" si="2"/>
        <v>12</v>
      </c>
      <c r="F510" s="10">
        <f t="shared" si="3"/>
        <v>1899</v>
      </c>
    </row>
    <row r="511">
      <c r="A511" s="15"/>
      <c r="B511" s="89"/>
      <c r="D511" s="10">
        <f t="shared" si="1"/>
        <v>30</v>
      </c>
      <c r="E511" s="10">
        <f t="shared" si="2"/>
        <v>12</v>
      </c>
      <c r="F511" s="10">
        <f t="shared" si="3"/>
        <v>1899</v>
      </c>
    </row>
    <row r="512">
      <c r="A512" s="15"/>
      <c r="B512" s="89"/>
      <c r="D512" s="10">
        <f t="shared" si="1"/>
        <v>30</v>
      </c>
      <c r="E512" s="10">
        <f t="shared" si="2"/>
        <v>12</v>
      </c>
      <c r="F512" s="10">
        <f t="shared" si="3"/>
        <v>1899</v>
      </c>
    </row>
    <row r="513">
      <c r="A513" s="15"/>
      <c r="B513" s="89"/>
      <c r="D513" s="10">
        <f t="shared" si="1"/>
        <v>30</v>
      </c>
      <c r="E513" s="10">
        <f t="shared" si="2"/>
        <v>12</v>
      </c>
      <c r="F513" s="10">
        <f t="shared" si="3"/>
        <v>1899</v>
      </c>
    </row>
    <row r="514">
      <c r="A514" s="15"/>
      <c r="B514" s="89"/>
      <c r="D514" s="10">
        <f t="shared" si="1"/>
        <v>30</v>
      </c>
      <c r="E514" s="10">
        <f t="shared" si="2"/>
        <v>12</v>
      </c>
      <c r="F514" s="10">
        <f t="shared" si="3"/>
        <v>1899</v>
      </c>
    </row>
    <row r="515">
      <c r="A515" s="15"/>
      <c r="B515" s="89"/>
      <c r="D515" s="10">
        <f t="shared" si="1"/>
        <v>30</v>
      </c>
      <c r="E515" s="10">
        <f t="shared" si="2"/>
        <v>12</v>
      </c>
      <c r="F515" s="10">
        <f t="shared" si="3"/>
        <v>1899</v>
      </c>
    </row>
    <row r="516">
      <c r="A516" s="15"/>
      <c r="B516" s="89"/>
      <c r="D516" s="10">
        <f t="shared" si="1"/>
        <v>30</v>
      </c>
      <c r="E516" s="10">
        <f t="shared" si="2"/>
        <v>12</v>
      </c>
      <c r="F516" s="10">
        <f t="shared" si="3"/>
        <v>1899</v>
      </c>
    </row>
    <row r="517">
      <c r="A517" s="15"/>
      <c r="B517" s="89"/>
      <c r="D517" s="10">
        <f t="shared" si="1"/>
        <v>30</v>
      </c>
      <c r="E517" s="10">
        <f t="shared" si="2"/>
        <v>12</v>
      </c>
      <c r="F517" s="10">
        <f t="shared" si="3"/>
        <v>1899</v>
      </c>
    </row>
    <row r="518">
      <c r="A518" s="15"/>
      <c r="B518" s="89"/>
      <c r="D518" s="10">
        <f t="shared" si="1"/>
        <v>30</v>
      </c>
      <c r="E518" s="10">
        <f t="shared" si="2"/>
        <v>12</v>
      </c>
      <c r="F518" s="10">
        <f t="shared" si="3"/>
        <v>1899</v>
      </c>
    </row>
    <row r="519">
      <c r="A519" s="15"/>
      <c r="B519" s="89"/>
      <c r="D519" s="10">
        <f t="shared" si="1"/>
        <v>30</v>
      </c>
      <c r="E519" s="10">
        <f t="shared" si="2"/>
        <v>12</v>
      </c>
      <c r="F519" s="10">
        <f t="shared" si="3"/>
        <v>1899</v>
      </c>
    </row>
    <row r="520">
      <c r="A520" s="15"/>
      <c r="B520" s="89"/>
      <c r="D520" s="10">
        <f t="shared" si="1"/>
        <v>30</v>
      </c>
      <c r="E520" s="10">
        <f t="shared" si="2"/>
        <v>12</v>
      </c>
      <c r="F520" s="10">
        <f t="shared" si="3"/>
        <v>1899</v>
      </c>
    </row>
    <row r="521">
      <c r="A521" s="15"/>
      <c r="B521" s="89"/>
      <c r="D521" s="10">
        <f t="shared" si="1"/>
        <v>30</v>
      </c>
      <c r="E521" s="10">
        <f t="shared" si="2"/>
        <v>12</v>
      </c>
      <c r="F521" s="10">
        <f t="shared" si="3"/>
        <v>1899</v>
      </c>
    </row>
    <row r="522">
      <c r="A522" s="15"/>
      <c r="B522" s="89"/>
      <c r="D522" s="10">
        <f t="shared" si="1"/>
        <v>30</v>
      </c>
      <c r="E522" s="10">
        <f t="shared" si="2"/>
        <v>12</v>
      </c>
      <c r="F522" s="10">
        <f t="shared" si="3"/>
        <v>1899</v>
      </c>
    </row>
    <row r="523">
      <c r="A523" s="15"/>
      <c r="B523" s="89"/>
      <c r="D523" s="10">
        <f t="shared" si="1"/>
        <v>30</v>
      </c>
      <c r="E523" s="10">
        <f t="shared" si="2"/>
        <v>12</v>
      </c>
      <c r="F523" s="10">
        <f t="shared" si="3"/>
        <v>1899</v>
      </c>
    </row>
    <row r="524">
      <c r="A524" s="15"/>
      <c r="B524" s="89"/>
      <c r="D524" s="10">
        <f t="shared" si="1"/>
        <v>30</v>
      </c>
      <c r="E524" s="10">
        <f t="shared" si="2"/>
        <v>12</v>
      </c>
      <c r="F524" s="10">
        <f t="shared" si="3"/>
        <v>1899</v>
      </c>
    </row>
    <row r="525">
      <c r="A525" s="15"/>
      <c r="B525" s="89"/>
      <c r="D525" s="10">
        <f t="shared" si="1"/>
        <v>30</v>
      </c>
      <c r="E525" s="10">
        <f t="shared" si="2"/>
        <v>12</v>
      </c>
      <c r="F525" s="10">
        <f t="shared" si="3"/>
        <v>1899</v>
      </c>
    </row>
    <row r="526">
      <c r="A526" s="15"/>
      <c r="B526" s="89"/>
      <c r="D526" s="10">
        <f t="shared" si="1"/>
        <v>30</v>
      </c>
      <c r="E526" s="10">
        <f t="shared" si="2"/>
        <v>12</v>
      </c>
      <c r="F526" s="10">
        <f t="shared" si="3"/>
        <v>1899</v>
      </c>
    </row>
    <row r="527">
      <c r="A527" s="15"/>
      <c r="B527" s="89"/>
      <c r="D527" s="10">
        <f t="shared" si="1"/>
        <v>30</v>
      </c>
      <c r="E527" s="10">
        <f t="shared" si="2"/>
        <v>12</v>
      </c>
      <c r="F527" s="10">
        <f t="shared" si="3"/>
        <v>1899</v>
      </c>
    </row>
    <row r="528">
      <c r="A528" s="15"/>
      <c r="B528" s="89"/>
      <c r="D528" s="10">
        <f t="shared" si="1"/>
        <v>30</v>
      </c>
      <c r="E528" s="10">
        <f t="shared" si="2"/>
        <v>12</v>
      </c>
      <c r="F528" s="10">
        <f t="shared" si="3"/>
        <v>1899</v>
      </c>
    </row>
    <row r="529">
      <c r="A529" s="15"/>
      <c r="B529" s="89"/>
      <c r="D529" s="10">
        <f t="shared" si="1"/>
        <v>30</v>
      </c>
      <c r="E529" s="10">
        <f t="shared" si="2"/>
        <v>12</v>
      </c>
      <c r="F529" s="10">
        <f t="shared" si="3"/>
        <v>1899</v>
      </c>
    </row>
    <row r="530">
      <c r="A530" s="15"/>
      <c r="B530" s="89"/>
      <c r="D530" s="10">
        <f t="shared" si="1"/>
        <v>30</v>
      </c>
      <c r="E530" s="10">
        <f t="shared" si="2"/>
        <v>12</v>
      </c>
      <c r="F530" s="10">
        <f t="shared" si="3"/>
        <v>1899</v>
      </c>
    </row>
    <row r="531">
      <c r="A531" s="15"/>
      <c r="B531" s="89"/>
      <c r="D531" s="10">
        <f t="shared" si="1"/>
        <v>30</v>
      </c>
      <c r="E531" s="10">
        <f t="shared" si="2"/>
        <v>12</v>
      </c>
      <c r="F531" s="10">
        <f t="shared" si="3"/>
        <v>1899</v>
      </c>
    </row>
    <row r="532">
      <c r="A532" s="15"/>
      <c r="B532" s="89"/>
      <c r="D532" s="10">
        <f t="shared" si="1"/>
        <v>30</v>
      </c>
      <c r="E532" s="10">
        <f t="shared" si="2"/>
        <v>12</v>
      </c>
      <c r="F532" s="10">
        <f t="shared" si="3"/>
        <v>1899</v>
      </c>
    </row>
    <row r="533">
      <c r="A533" s="15"/>
      <c r="B533" s="89"/>
      <c r="D533" s="10">
        <f t="shared" si="1"/>
        <v>30</v>
      </c>
      <c r="E533" s="10">
        <f t="shared" si="2"/>
        <v>12</v>
      </c>
      <c r="F533" s="10">
        <f t="shared" si="3"/>
        <v>1899</v>
      </c>
    </row>
    <row r="534">
      <c r="A534" s="15"/>
      <c r="B534" s="89"/>
      <c r="D534" s="10">
        <f t="shared" si="1"/>
        <v>30</v>
      </c>
      <c r="E534" s="10">
        <f t="shared" si="2"/>
        <v>12</v>
      </c>
      <c r="F534" s="10">
        <f t="shared" si="3"/>
        <v>1899</v>
      </c>
    </row>
    <row r="535">
      <c r="A535" s="15"/>
      <c r="B535" s="89"/>
      <c r="D535" s="10">
        <f t="shared" si="1"/>
        <v>30</v>
      </c>
      <c r="E535" s="10">
        <f t="shared" si="2"/>
        <v>12</v>
      </c>
      <c r="F535" s="10">
        <f t="shared" si="3"/>
        <v>1899</v>
      </c>
    </row>
    <row r="536">
      <c r="A536" s="15"/>
      <c r="B536" s="89"/>
      <c r="D536" s="10">
        <f t="shared" si="1"/>
        <v>30</v>
      </c>
      <c r="E536" s="10">
        <f t="shared" si="2"/>
        <v>12</v>
      </c>
      <c r="F536" s="10">
        <f t="shared" si="3"/>
        <v>1899</v>
      </c>
    </row>
    <row r="537">
      <c r="A537" s="15"/>
      <c r="B537" s="89"/>
      <c r="D537" s="10">
        <f t="shared" si="1"/>
        <v>30</v>
      </c>
      <c r="E537" s="10">
        <f t="shared" si="2"/>
        <v>12</v>
      </c>
      <c r="F537" s="10">
        <f t="shared" si="3"/>
        <v>1899</v>
      </c>
    </row>
    <row r="538">
      <c r="A538" s="15"/>
      <c r="B538" s="89"/>
      <c r="D538" s="10">
        <f t="shared" si="1"/>
        <v>30</v>
      </c>
      <c r="E538" s="10">
        <f t="shared" si="2"/>
        <v>12</v>
      </c>
      <c r="F538" s="10">
        <f t="shared" si="3"/>
        <v>1899</v>
      </c>
    </row>
    <row r="539">
      <c r="A539" s="15"/>
      <c r="B539" s="89"/>
      <c r="D539" s="10">
        <f t="shared" si="1"/>
        <v>30</v>
      </c>
      <c r="E539" s="10">
        <f t="shared" si="2"/>
        <v>12</v>
      </c>
      <c r="F539" s="10">
        <f t="shared" si="3"/>
        <v>1899</v>
      </c>
    </row>
    <row r="540">
      <c r="A540" s="15"/>
      <c r="B540" s="89"/>
      <c r="D540" s="10">
        <f t="shared" si="1"/>
        <v>30</v>
      </c>
      <c r="E540" s="10">
        <f t="shared" si="2"/>
        <v>12</v>
      </c>
      <c r="F540" s="10">
        <f t="shared" si="3"/>
        <v>1899</v>
      </c>
    </row>
    <row r="541">
      <c r="A541" s="15"/>
      <c r="B541" s="89"/>
      <c r="D541" s="10">
        <f t="shared" si="1"/>
        <v>30</v>
      </c>
      <c r="E541" s="10">
        <f t="shared" si="2"/>
        <v>12</v>
      </c>
      <c r="F541" s="10">
        <f t="shared" si="3"/>
        <v>1899</v>
      </c>
    </row>
    <row r="542">
      <c r="A542" s="15"/>
      <c r="B542" s="89"/>
      <c r="D542" s="10">
        <f t="shared" si="1"/>
        <v>30</v>
      </c>
      <c r="E542" s="10">
        <f t="shared" si="2"/>
        <v>12</v>
      </c>
      <c r="F542" s="10">
        <f t="shared" si="3"/>
        <v>1899</v>
      </c>
    </row>
    <row r="543">
      <c r="A543" s="15"/>
      <c r="B543" s="89"/>
      <c r="D543" s="10">
        <f t="shared" si="1"/>
        <v>30</v>
      </c>
      <c r="E543" s="10">
        <f t="shared" si="2"/>
        <v>12</v>
      </c>
      <c r="F543" s="10">
        <f t="shared" si="3"/>
        <v>1899</v>
      </c>
    </row>
    <row r="544">
      <c r="A544" s="15"/>
      <c r="B544" s="89"/>
      <c r="D544" s="10">
        <f t="shared" si="1"/>
        <v>30</v>
      </c>
      <c r="E544" s="10">
        <f t="shared" si="2"/>
        <v>12</v>
      </c>
      <c r="F544" s="10">
        <f t="shared" si="3"/>
        <v>1899</v>
      </c>
    </row>
    <row r="545">
      <c r="A545" s="15"/>
      <c r="B545" s="89"/>
      <c r="D545" s="10">
        <f t="shared" si="1"/>
        <v>30</v>
      </c>
      <c r="E545" s="10">
        <f t="shared" si="2"/>
        <v>12</v>
      </c>
      <c r="F545" s="10">
        <f t="shared" si="3"/>
        <v>1899</v>
      </c>
    </row>
    <row r="546">
      <c r="A546" s="15"/>
      <c r="B546" s="89"/>
      <c r="D546" s="10">
        <f t="shared" si="1"/>
        <v>30</v>
      </c>
      <c r="E546" s="10">
        <f t="shared" si="2"/>
        <v>12</v>
      </c>
      <c r="F546" s="10">
        <f t="shared" si="3"/>
        <v>1899</v>
      </c>
    </row>
    <row r="547">
      <c r="A547" s="15"/>
      <c r="B547" s="89"/>
      <c r="D547" s="10">
        <f t="shared" si="1"/>
        <v>30</v>
      </c>
      <c r="E547" s="10">
        <f t="shared" si="2"/>
        <v>12</v>
      </c>
      <c r="F547" s="10">
        <f t="shared" si="3"/>
        <v>1899</v>
      </c>
    </row>
    <row r="548">
      <c r="A548" s="15"/>
      <c r="B548" s="89"/>
      <c r="D548" s="10">
        <f t="shared" si="1"/>
        <v>30</v>
      </c>
      <c r="E548" s="10">
        <f t="shared" si="2"/>
        <v>12</v>
      </c>
      <c r="F548" s="10">
        <f t="shared" si="3"/>
        <v>1899</v>
      </c>
    </row>
    <row r="549">
      <c r="A549" s="15"/>
      <c r="B549" s="89"/>
      <c r="D549" s="10">
        <f t="shared" si="1"/>
        <v>30</v>
      </c>
      <c r="E549" s="10">
        <f t="shared" si="2"/>
        <v>12</v>
      </c>
      <c r="F549" s="10">
        <f t="shared" si="3"/>
        <v>1899</v>
      </c>
    </row>
    <row r="550">
      <c r="A550" s="15"/>
      <c r="B550" s="89"/>
      <c r="D550" s="10">
        <f t="shared" si="1"/>
        <v>30</v>
      </c>
      <c r="E550" s="10">
        <f t="shared" si="2"/>
        <v>12</v>
      </c>
      <c r="F550" s="10">
        <f t="shared" si="3"/>
        <v>1899</v>
      </c>
    </row>
    <row r="551">
      <c r="A551" s="15"/>
      <c r="B551" s="89"/>
      <c r="D551" s="10">
        <f t="shared" si="1"/>
        <v>30</v>
      </c>
      <c r="E551" s="10">
        <f t="shared" si="2"/>
        <v>12</v>
      </c>
      <c r="F551" s="10">
        <f t="shared" si="3"/>
        <v>1899</v>
      </c>
    </row>
    <row r="552">
      <c r="A552" s="15"/>
      <c r="B552" s="89"/>
      <c r="D552" s="10">
        <f t="shared" si="1"/>
        <v>30</v>
      </c>
      <c r="E552" s="10">
        <f t="shared" si="2"/>
        <v>12</v>
      </c>
      <c r="F552" s="10">
        <f t="shared" si="3"/>
        <v>1899</v>
      </c>
    </row>
    <row r="553">
      <c r="A553" s="15"/>
      <c r="B553" s="89"/>
      <c r="D553" s="10">
        <f t="shared" si="1"/>
        <v>30</v>
      </c>
      <c r="E553" s="10">
        <f t="shared" si="2"/>
        <v>12</v>
      </c>
      <c r="F553" s="10">
        <f t="shared" si="3"/>
        <v>1899</v>
      </c>
    </row>
    <row r="554">
      <c r="A554" s="15"/>
      <c r="B554" s="89"/>
      <c r="D554" s="10">
        <f t="shared" si="1"/>
        <v>30</v>
      </c>
      <c r="E554" s="10">
        <f t="shared" si="2"/>
        <v>12</v>
      </c>
      <c r="F554" s="10">
        <f t="shared" si="3"/>
        <v>1899</v>
      </c>
    </row>
    <row r="555">
      <c r="A555" s="15"/>
      <c r="B555" s="89"/>
      <c r="D555" s="10">
        <f t="shared" si="1"/>
        <v>30</v>
      </c>
      <c r="E555" s="10">
        <f t="shared" si="2"/>
        <v>12</v>
      </c>
      <c r="F555" s="10">
        <f t="shared" si="3"/>
        <v>1899</v>
      </c>
    </row>
    <row r="556">
      <c r="A556" s="15"/>
      <c r="B556" s="89"/>
      <c r="D556" s="10">
        <f t="shared" si="1"/>
        <v>30</v>
      </c>
      <c r="E556" s="10">
        <f t="shared" si="2"/>
        <v>12</v>
      </c>
      <c r="F556" s="10">
        <f t="shared" si="3"/>
        <v>1899</v>
      </c>
    </row>
    <row r="557">
      <c r="A557" s="15"/>
      <c r="B557" s="89"/>
      <c r="D557" s="10">
        <f t="shared" si="1"/>
        <v>30</v>
      </c>
      <c r="E557" s="10">
        <f t="shared" si="2"/>
        <v>12</v>
      </c>
      <c r="F557" s="10">
        <f t="shared" si="3"/>
        <v>1899</v>
      </c>
    </row>
    <row r="558">
      <c r="A558" s="15"/>
      <c r="B558" s="89"/>
      <c r="D558" s="10">
        <f t="shared" si="1"/>
        <v>30</v>
      </c>
      <c r="E558" s="10">
        <f t="shared" si="2"/>
        <v>12</v>
      </c>
      <c r="F558" s="10">
        <f t="shared" si="3"/>
        <v>1899</v>
      </c>
    </row>
    <row r="559">
      <c r="A559" s="15"/>
      <c r="B559" s="89"/>
      <c r="D559" s="10">
        <f t="shared" si="1"/>
        <v>30</v>
      </c>
      <c r="E559" s="10">
        <f t="shared" si="2"/>
        <v>12</v>
      </c>
      <c r="F559" s="10">
        <f t="shared" si="3"/>
        <v>1899</v>
      </c>
    </row>
    <row r="560">
      <c r="A560" s="15"/>
      <c r="B560" s="89"/>
      <c r="D560" s="10">
        <f t="shared" si="1"/>
        <v>30</v>
      </c>
      <c r="E560" s="10">
        <f t="shared" si="2"/>
        <v>12</v>
      </c>
      <c r="F560" s="10">
        <f t="shared" si="3"/>
        <v>1899</v>
      </c>
    </row>
    <row r="561">
      <c r="A561" s="15"/>
      <c r="B561" s="89"/>
      <c r="D561" s="10">
        <f t="shared" si="1"/>
        <v>30</v>
      </c>
      <c r="E561" s="10">
        <f t="shared" si="2"/>
        <v>12</v>
      </c>
      <c r="F561" s="10">
        <f t="shared" si="3"/>
        <v>1899</v>
      </c>
    </row>
    <row r="562">
      <c r="A562" s="15"/>
      <c r="B562" s="89"/>
      <c r="D562" s="10">
        <f t="shared" si="1"/>
        <v>30</v>
      </c>
      <c r="E562" s="10">
        <f t="shared" si="2"/>
        <v>12</v>
      </c>
      <c r="F562" s="10">
        <f t="shared" si="3"/>
        <v>1899</v>
      </c>
    </row>
    <row r="563">
      <c r="A563" s="15"/>
      <c r="B563" s="89"/>
      <c r="D563" s="10">
        <f t="shared" si="1"/>
        <v>30</v>
      </c>
      <c r="E563" s="10">
        <f t="shared" si="2"/>
        <v>12</v>
      </c>
      <c r="F563" s="10">
        <f t="shared" si="3"/>
        <v>1899</v>
      </c>
    </row>
    <row r="564">
      <c r="A564" s="15"/>
      <c r="B564" s="89"/>
      <c r="D564" s="10">
        <f t="shared" si="1"/>
        <v>30</v>
      </c>
      <c r="E564" s="10">
        <f t="shared" si="2"/>
        <v>12</v>
      </c>
      <c r="F564" s="10">
        <f t="shared" si="3"/>
        <v>1899</v>
      </c>
    </row>
    <row r="565">
      <c r="A565" s="15"/>
      <c r="B565" s="89"/>
      <c r="D565" s="10">
        <f t="shared" si="1"/>
        <v>30</v>
      </c>
      <c r="E565" s="10">
        <f t="shared" si="2"/>
        <v>12</v>
      </c>
      <c r="F565" s="10">
        <f t="shared" si="3"/>
        <v>1899</v>
      </c>
    </row>
    <row r="566">
      <c r="A566" s="15"/>
      <c r="B566" s="89"/>
      <c r="D566" s="10">
        <f t="shared" si="1"/>
        <v>30</v>
      </c>
      <c r="E566" s="10">
        <f t="shared" si="2"/>
        <v>12</v>
      </c>
      <c r="F566" s="10">
        <f t="shared" si="3"/>
        <v>1899</v>
      </c>
    </row>
    <row r="567">
      <c r="A567" s="15"/>
      <c r="B567" s="89"/>
      <c r="D567" s="10">
        <f t="shared" si="1"/>
        <v>30</v>
      </c>
      <c r="E567" s="10">
        <f t="shared" si="2"/>
        <v>12</v>
      </c>
      <c r="F567" s="10">
        <f t="shared" si="3"/>
        <v>1899</v>
      </c>
    </row>
    <row r="568">
      <c r="A568" s="15"/>
      <c r="B568" s="89"/>
      <c r="D568" s="10">
        <f t="shared" si="1"/>
        <v>30</v>
      </c>
      <c r="E568" s="10">
        <f t="shared" si="2"/>
        <v>12</v>
      </c>
      <c r="F568" s="10">
        <f t="shared" si="3"/>
        <v>1899</v>
      </c>
    </row>
    <row r="569">
      <c r="A569" s="15"/>
      <c r="B569" s="89"/>
      <c r="D569" s="10">
        <f t="shared" si="1"/>
        <v>30</v>
      </c>
      <c r="E569" s="10">
        <f t="shared" si="2"/>
        <v>12</v>
      </c>
      <c r="F569" s="10">
        <f t="shared" si="3"/>
        <v>1899</v>
      </c>
    </row>
    <row r="570">
      <c r="A570" s="15"/>
      <c r="B570" s="89"/>
      <c r="D570" s="10">
        <f t="shared" si="1"/>
        <v>30</v>
      </c>
      <c r="E570" s="10">
        <f t="shared" si="2"/>
        <v>12</v>
      </c>
      <c r="F570" s="10">
        <f t="shared" si="3"/>
        <v>1899</v>
      </c>
    </row>
    <row r="571">
      <c r="A571" s="15"/>
      <c r="B571" s="89"/>
      <c r="D571" s="10">
        <f t="shared" si="1"/>
        <v>30</v>
      </c>
      <c r="E571" s="10">
        <f t="shared" si="2"/>
        <v>12</v>
      </c>
      <c r="F571" s="10">
        <f t="shared" si="3"/>
        <v>1899</v>
      </c>
    </row>
    <row r="572">
      <c r="A572" s="15"/>
      <c r="B572" s="89"/>
      <c r="D572" s="10">
        <f t="shared" si="1"/>
        <v>30</v>
      </c>
      <c r="E572" s="10">
        <f t="shared" si="2"/>
        <v>12</v>
      </c>
      <c r="F572" s="10">
        <f t="shared" si="3"/>
        <v>1899</v>
      </c>
    </row>
    <row r="573">
      <c r="A573" s="15"/>
      <c r="B573" s="89"/>
      <c r="D573" s="10">
        <f t="shared" si="1"/>
        <v>30</v>
      </c>
      <c r="E573" s="10">
        <f t="shared" si="2"/>
        <v>12</v>
      </c>
      <c r="F573" s="10">
        <f t="shared" si="3"/>
        <v>1899</v>
      </c>
    </row>
    <row r="574">
      <c r="A574" s="15"/>
      <c r="B574" s="89"/>
      <c r="D574" s="10">
        <f t="shared" si="1"/>
        <v>30</v>
      </c>
      <c r="E574" s="10">
        <f t="shared" si="2"/>
        <v>12</v>
      </c>
      <c r="F574" s="10">
        <f t="shared" si="3"/>
        <v>1899</v>
      </c>
    </row>
    <row r="575">
      <c r="A575" s="15"/>
      <c r="B575" s="89"/>
      <c r="D575" s="10">
        <f t="shared" si="1"/>
        <v>30</v>
      </c>
      <c r="E575" s="10">
        <f t="shared" si="2"/>
        <v>12</v>
      </c>
      <c r="F575" s="10">
        <f t="shared" si="3"/>
        <v>1899</v>
      </c>
    </row>
    <row r="576">
      <c r="A576" s="15"/>
      <c r="B576" s="89"/>
      <c r="D576" s="10">
        <f t="shared" si="1"/>
        <v>30</v>
      </c>
      <c r="E576" s="10">
        <f t="shared" si="2"/>
        <v>12</v>
      </c>
      <c r="F576" s="10">
        <f t="shared" si="3"/>
        <v>1899</v>
      </c>
    </row>
    <row r="577">
      <c r="A577" s="15"/>
      <c r="B577" s="89"/>
      <c r="D577" s="10">
        <f t="shared" si="1"/>
        <v>30</v>
      </c>
      <c r="E577" s="10">
        <f t="shared" si="2"/>
        <v>12</v>
      </c>
      <c r="F577" s="10">
        <f t="shared" si="3"/>
        <v>1899</v>
      </c>
    </row>
    <row r="578">
      <c r="A578" s="15"/>
      <c r="B578" s="89"/>
      <c r="D578" s="10">
        <f t="shared" si="1"/>
        <v>30</v>
      </c>
      <c r="E578" s="10">
        <f t="shared" si="2"/>
        <v>12</v>
      </c>
      <c r="F578" s="10">
        <f t="shared" si="3"/>
        <v>1899</v>
      </c>
    </row>
    <row r="579">
      <c r="A579" s="15"/>
      <c r="B579" s="89"/>
      <c r="D579" s="10">
        <f t="shared" si="1"/>
        <v>30</v>
      </c>
      <c r="E579" s="10">
        <f t="shared" si="2"/>
        <v>12</v>
      </c>
      <c r="F579" s="10">
        <f t="shared" si="3"/>
        <v>1899</v>
      </c>
    </row>
    <row r="580">
      <c r="A580" s="15"/>
      <c r="B580" s="89"/>
      <c r="D580" s="10">
        <f t="shared" si="1"/>
        <v>30</v>
      </c>
      <c r="E580" s="10">
        <f t="shared" si="2"/>
        <v>12</v>
      </c>
      <c r="F580" s="10">
        <f t="shared" si="3"/>
        <v>1899</v>
      </c>
    </row>
    <row r="581">
      <c r="A581" s="15"/>
      <c r="B581" s="89"/>
      <c r="D581" s="10">
        <f t="shared" si="1"/>
        <v>30</v>
      </c>
      <c r="E581" s="10">
        <f t="shared" si="2"/>
        <v>12</v>
      </c>
      <c r="F581" s="10">
        <f t="shared" si="3"/>
        <v>1899</v>
      </c>
    </row>
    <row r="582">
      <c r="A582" s="15"/>
      <c r="B582" s="89"/>
      <c r="D582" s="10">
        <f t="shared" si="1"/>
        <v>30</v>
      </c>
      <c r="E582" s="10">
        <f t="shared" si="2"/>
        <v>12</v>
      </c>
      <c r="F582" s="10">
        <f t="shared" si="3"/>
        <v>1899</v>
      </c>
    </row>
    <row r="583">
      <c r="A583" s="15"/>
      <c r="B583" s="89"/>
      <c r="D583" s="10">
        <f t="shared" si="1"/>
        <v>30</v>
      </c>
      <c r="E583" s="10">
        <f t="shared" si="2"/>
        <v>12</v>
      </c>
      <c r="F583" s="10">
        <f t="shared" si="3"/>
        <v>1899</v>
      </c>
    </row>
    <row r="584">
      <c r="A584" s="15"/>
      <c r="B584" s="89"/>
      <c r="D584" s="10">
        <f t="shared" si="1"/>
        <v>30</v>
      </c>
      <c r="E584" s="10">
        <f t="shared" si="2"/>
        <v>12</v>
      </c>
      <c r="F584" s="10">
        <f t="shared" si="3"/>
        <v>1899</v>
      </c>
    </row>
    <row r="585">
      <c r="A585" s="15"/>
      <c r="B585" s="89"/>
      <c r="D585" s="10">
        <f t="shared" si="1"/>
        <v>30</v>
      </c>
      <c r="E585" s="10">
        <f t="shared" si="2"/>
        <v>12</v>
      </c>
      <c r="F585" s="10">
        <f t="shared" si="3"/>
        <v>1899</v>
      </c>
    </row>
    <row r="586">
      <c r="A586" s="15"/>
      <c r="B586" s="89"/>
      <c r="D586" s="10">
        <f t="shared" si="1"/>
        <v>30</v>
      </c>
      <c r="E586" s="10">
        <f t="shared" si="2"/>
        <v>12</v>
      </c>
      <c r="F586" s="10">
        <f t="shared" si="3"/>
        <v>1899</v>
      </c>
    </row>
    <row r="587">
      <c r="A587" s="15"/>
      <c r="B587" s="89"/>
      <c r="D587" s="10">
        <f t="shared" si="1"/>
        <v>30</v>
      </c>
      <c r="E587" s="10">
        <f t="shared" si="2"/>
        <v>12</v>
      </c>
      <c r="F587" s="10">
        <f t="shared" si="3"/>
        <v>1899</v>
      </c>
    </row>
    <row r="588">
      <c r="A588" s="15"/>
      <c r="B588" s="89"/>
      <c r="D588" s="10">
        <f t="shared" si="1"/>
        <v>30</v>
      </c>
      <c r="E588" s="10">
        <f t="shared" si="2"/>
        <v>12</v>
      </c>
      <c r="F588" s="10">
        <f t="shared" si="3"/>
        <v>1899</v>
      </c>
    </row>
    <row r="589">
      <c r="A589" s="15"/>
      <c r="B589" s="89"/>
      <c r="D589" s="10">
        <f t="shared" si="1"/>
        <v>30</v>
      </c>
      <c r="E589" s="10">
        <f t="shared" si="2"/>
        <v>12</v>
      </c>
      <c r="F589" s="10">
        <f t="shared" si="3"/>
        <v>1899</v>
      </c>
    </row>
    <row r="590">
      <c r="A590" s="15"/>
      <c r="B590" s="89"/>
      <c r="D590" s="10">
        <f t="shared" si="1"/>
        <v>30</v>
      </c>
      <c r="E590" s="10">
        <f t="shared" si="2"/>
        <v>12</v>
      </c>
      <c r="F590" s="10">
        <f t="shared" si="3"/>
        <v>1899</v>
      </c>
    </row>
    <row r="591">
      <c r="A591" s="15"/>
      <c r="B591" s="89"/>
      <c r="D591" s="10">
        <f t="shared" si="1"/>
        <v>30</v>
      </c>
      <c r="E591" s="10">
        <f t="shared" si="2"/>
        <v>12</v>
      </c>
      <c r="F591" s="10">
        <f t="shared" si="3"/>
        <v>1899</v>
      </c>
    </row>
    <row r="592">
      <c r="A592" s="15"/>
      <c r="B592" s="89"/>
      <c r="D592" s="10">
        <f t="shared" si="1"/>
        <v>30</v>
      </c>
      <c r="E592" s="10">
        <f t="shared" si="2"/>
        <v>12</v>
      </c>
      <c r="F592" s="10">
        <f t="shared" si="3"/>
        <v>1899</v>
      </c>
    </row>
    <row r="593">
      <c r="A593" s="15"/>
      <c r="B593" s="89"/>
      <c r="D593" s="10">
        <f t="shared" si="1"/>
        <v>30</v>
      </c>
      <c r="E593" s="10">
        <f t="shared" si="2"/>
        <v>12</v>
      </c>
      <c r="F593" s="10">
        <f t="shared" si="3"/>
        <v>1899</v>
      </c>
    </row>
    <row r="594">
      <c r="A594" s="15"/>
      <c r="B594" s="89"/>
      <c r="D594" s="10">
        <f t="shared" si="1"/>
        <v>30</v>
      </c>
      <c r="E594" s="10">
        <f t="shared" si="2"/>
        <v>12</v>
      </c>
      <c r="F594" s="10">
        <f t="shared" si="3"/>
        <v>1899</v>
      </c>
    </row>
    <row r="595">
      <c r="A595" s="15"/>
      <c r="B595" s="89"/>
      <c r="D595" s="10">
        <f t="shared" si="1"/>
        <v>30</v>
      </c>
      <c r="E595" s="10">
        <f t="shared" si="2"/>
        <v>12</v>
      </c>
      <c r="F595" s="10">
        <f t="shared" si="3"/>
        <v>1899</v>
      </c>
    </row>
    <row r="596">
      <c r="A596" s="15"/>
      <c r="B596" s="89"/>
      <c r="D596" s="10">
        <f t="shared" si="1"/>
        <v>30</v>
      </c>
      <c r="E596" s="10">
        <f t="shared" si="2"/>
        <v>12</v>
      </c>
      <c r="F596" s="10">
        <f t="shared" si="3"/>
        <v>1899</v>
      </c>
    </row>
    <row r="597">
      <c r="A597" s="15"/>
      <c r="B597" s="89"/>
      <c r="D597" s="10">
        <f t="shared" si="1"/>
        <v>30</v>
      </c>
      <c r="E597" s="10">
        <f t="shared" si="2"/>
        <v>12</v>
      </c>
      <c r="F597" s="10">
        <f t="shared" si="3"/>
        <v>1899</v>
      </c>
    </row>
    <row r="598">
      <c r="A598" s="15"/>
      <c r="B598" s="89"/>
      <c r="D598" s="10">
        <f t="shared" si="1"/>
        <v>30</v>
      </c>
      <c r="E598" s="10">
        <f t="shared" si="2"/>
        <v>12</v>
      </c>
      <c r="F598" s="10">
        <f t="shared" si="3"/>
        <v>1899</v>
      </c>
    </row>
    <row r="599">
      <c r="A599" s="15"/>
      <c r="B599" s="89"/>
      <c r="D599" s="10">
        <f t="shared" si="1"/>
        <v>30</v>
      </c>
      <c r="E599" s="10">
        <f t="shared" si="2"/>
        <v>12</v>
      </c>
      <c r="F599" s="10">
        <f t="shared" si="3"/>
        <v>1899</v>
      </c>
    </row>
    <row r="600">
      <c r="A600" s="15"/>
      <c r="B600" s="89"/>
      <c r="D600" s="10">
        <f t="shared" si="1"/>
        <v>30</v>
      </c>
      <c r="E600" s="10">
        <f t="shared" si="2"/>
        <v>12</v>
      </c>
      <c r="F600" s="10">
        <f t="shared" si="3"/>
        <v>1899</v>
      </c>
    </row>
    <row r="601">
      <c r="A601" s="15"/>
      <c r="B601" s="89"/>
      <c r="D601" s="10">
        <f t="shared" si="1"/>
        <v>30</v>
      </c>
      <c r="E601" s="10">
        <f t="shared" si="2"/>
        <v>12</v>
      </c>
      <c r="F601" s="10">
        <f t="shared" si="3"/>
        <v>1899</v>
      </c>
    </row>
    <row r="602">
      <c r="A602" s="15"/>
      <c r="B602" s="89"/>
      <c r="D602" s="10">
        <f t="shared" si="1"/>
        <v>30</v>
      </c>
      <c r="E602" s="10">
        <f t="shared" si="2"/>
        <v>12</v>
      </c>
      <c r="F602" s="10">
        <f t="shared" si="3"/>
        <v>1899</v>
      </c>
    </row>
    <row r="603">
      <c r="A603" s="15"/>
      <c r="B603" s="89"/>
      <c r="D603" s="10">
        <f t="shared" si="1"/>
        <v>30</v>
      </c>
      <c r="E603" s="10">
        <f t="shared" si="2"/>
        <v>12</v>
      </c>
      <c r="F603" s="10">
        <f t="shared" si="3"/>
        <v>1899</v>
      </c>
    </row>
    <row r="604">
      <c r="A604" s="15"/>
      <c r="B604" s="89"/>
      <c r="D604" s="10">
        <f t="shared" si="1"/>
        <v>30</v>
      </c>
      <c r="E604" s="10">
        <f t="shared" si="2"/>
        <v>12</v>
      </c>
      <c r="F604" s="10">
        <f t="shared" si="3"/>
        <v>1899</v>
      </c>
    </row>
    <row r="605">
      <c r="A605" s="15"/>
      <c r="B605" s="89"/>
      <c r="D605" s="10">
        <f t="shared" si="1"/>
        <v>30</v>
      </c>
      <c r="E605" s="10">
        <f t="shared" si="2"/>
        <v>12</v>
      </c>
      <c r="F605" s="10">
        <f t="shared" si="3"/>
        <v>1899</v>
      </c>
    </row>
    <row r="606">
      <c r="A606" s="15"/>
      <c r="B606" s="89"/>
      <c r="D606" s="10">
        <f t="shared" si="1"/>
        <v>30</v>
      </c>
      <c r="E606" s="10">
        <f t="shared" si="2"/>
        <v>12</v>
      </c>
      <c r="F606" s="10">
        <f t="shared" si="3"/>
        <v>1899</v>
      </c>
    </row>
    <row r="607">
      <c r="A607" s="15"/>
      <c r="B607" s="89"/>
      <c r="D607" s="10">
        <f t="shared" si="1"/>
        <v>30</v>
      </c>
      <c r="E607" s="10">
        <f t="shared" si="2"/>
        <v>12</v>
      </c>
      <c r="F607" s="10">
        <f t="shared" si="3"/>
        <v>1899</v>
      </c>
    </row>
    <row r="608">
      <c r="A608" s="15"/>
      <c r="B608" s="89"/>
      <c r="D608" s="10">
        <f t="shared" si="1"/>
        <v>30</v>
      </c>
      <c r="E608" s="10">
        <f t="shared" si="2"/>
        <v>12</v>
      </c>
      <c r="F608" s="10">
        <f t="shared" si="3"/>
        <v>1899</v>
      </c>
    </row>
    <row r="609">
      <c r="A609" s="15"/>
      <c r="B609" s="89"/>
      <c r="D609" s="10">
        <f t="shared" si="1"/>
        <v>30</v>
      </c>
      <c r="E609" s="10">
        <f t="shared" si="2"/>
        <v>12</v>
      </c>
      <c r="F609" s="10">
        <f t="shared" si="3"/>
        <v>1899</v>
      </c>
    </row>
    <row r="610">
      <c r="A610" s="15"/>
      <c r="B610" s="89"/>
      <c r="D610" s="10">
        <f t="shared" si="1"/>
        <v>30</v>
      </c>
      <c r="E610" s="10">
        <f t="shared" si="2"/>
        <v>12</v>
      </c>
      <c r="F610" s="10">
        <f t="shared" si="3"/>
        <v>1899</v>
      </c>
    </row>
    <row r="611">
      <c r="A611" s="15"/>
      <c r="B611" s="89"/>
      <c r="D611" s="10">
        <f t="shared" si="1"/>
        <v>30</v>
      </c>
      <c r="E611" s="10">
        <f t="shared" si="2"/>
        <v>12</v>
      </c>
      <c r="F611" s="10">
        <f t="shared" si="3"/>
        <v>1899</v>
      </c>
    </row>
    <row r="612">
      <c r="A612" s="15"/>
      <c r="B612" s="89"/>
      <c r="D612" s="10">
        <f t="shared" si="1"/>
        <v>30</v>
      </c>
      <c r="E612" s="10">
        <f t="shared" si="2"/>
        <v>12</v>
      </c>
      <c r="F612" s="10">
        <f t="shared" si="3"/>
        <v>1899</v>
      </c>
    </row>
    <row r="613">
      <c r="A613" s="15"/>
      <c r="B613" s="89"/>
      <c r="D613" s="10">
        <f t="shared" si="1"/>
        <v>30</v>
      </c>
      <c r="E613" s="10">
        <f t="shared" si="2"/>
        <v>12</v>
      </c>
      <c r="F613" s="10">
        <f t="shared" si="3"/>
        <v>1899</v>
      </c>
    </row>
    <row r="614">
      <c r="A614" s="15"/>
      <c r="B614" s="89"/>
      <c r="D614" s="10">
        <f t="shared" si="1"/>
        <v>30</v>
      </c>
      <c r="E614" s="10">
        <f t="shared" si="2"/>
        <v>12</v>
      </c>
      <c r="F614" s="10">
        <f t="shared" si="3"/>
        <v>1899</v>
      </c>
    </row>
    <row r="615">
      <c r="A615" s="15"/>
      <c r="B615" s="89"/>
      <c r="D615" s="10">
        <f t="shared" si="1"/>
        <v>30</v>
      </c>
      <c r="E615" s="10">
        <f t="shared" si="2"/>
        <v>12</v>
      </c>
      <c r="F615" s="10">
        <f t="shared" si="3"/>
        <v>1899</v>
      </c>
    </row>
    <row r="616">
      <c r="A616" s="15"/>
      <c r="B616" s="89"/>
      <c r="D616" s="10">
        <f t="shared" si="1"/>
        <v>30</v>
      </c>
      <c r="E616" s="10">
        <f t="shared" si="2"/>
        <v>12</v>
      </c>
      <c r="F616" s="10">
        <f t="shared" si="3"/>
        <v>1899</v>
      </c>
    </row>
    <row r="617">
      <c r="A617" s="15"/>
      <c r="B617" s="89"/>
      <c r="D617" s="10">
        <f t="shared" si="1"/>
        <v>30</v>
      </c>
      <c r="E617" s="10">
        <f t="shared" si="2"/>
        <v>12</v>
      </c>
      <c r="F617" s="10">
        <f t="shared" si="3"/>
        <v>1899</v>
      </c>
    </row>
    <row r="618">
      <c r="A618" s="15"/>
      <c r="B618" s="89"/>
      <c r="D618" s="10">
        <f t="shared" si="1"/>
        <v>30</v>
      </c>
      <c r="E618" s="10">
        <f t="shared" si="2"/>
        <v>12</v>
      </c>
      <c r="F618" s="10">
        <f t="shared" si="3"/>
        <v>1899</v>
      </c>
    </row>
    <row r="619">
      <c r="A619" s="15"/>
      <c r="B619" s="89"/>
      <c r="D619" s="10">
        <f t="shared" si="1"/>
        <v>30</v>
      </c>
      <c r="E619" s="10">
        <f t="shared" si="2"/>
        <v>12</v>
      </c>
      <c r="F619" s="10">
        <f t="shared" si="3"/>
        <v>1899</v>
      </c>
    </row>
    <row r="620">
      <c r="A620" s="15"/>
      <c r="B620" s="89"/>
      <c r="D620" s="10">
        <f t="shared" si="1"/>
        <v>30</v>
      </c>
      <c r="E620" s="10">
        <f t="shared" si="2"/>
        <v>12</v>
      </c>
      <c r="F620" s="10">
        <f t="shared" si="3"/>
        <v>1899</v>
      </c>
    </row>
    <row r="621">
      <c r="A621" s="15"/>
      <c r="B621" s="89"/>
      <c r="D621" s="10">
        <f t="shared" si="1"/>
        <v>30</v>
      </c>
      <c r="E621" s="10">
        <f t="shared" si="2"/>
        <v>12</v>
      </c>
      <c r="F621" s="10">
        <f t="shared" si="3"/>
        <v>1899</v>
      </c>
    </row>
    <row r="622">
      <c r="A622" s="15"/>
      <c r="B622" s="89"/>
      <c r="D622" s="10">
        <f t="shared" si="1"/>
        <v>30</v>
      </c>
      <c r="E622" s="10">
        <f t="shared" si="2"/>
        <v>12</v>
      </c>
      <c r="F622" s="10">
        <f t="shared" si="3"/>
        <v>1899</v>
      </c>
    </row>
    <row r="623">
      <c r="A623" s="15"/>
      <c r="B623" s="89"/>
      <c r="D623" s="10">
        <f t="shared" si="1"/>
        <v>30</v>
      </c>
      <c r="E623" s="10">
        <f t="shared" si="2"/>
        <v>12</v>
      </c>
      <c r="F623" s="10">
        <f t="shared" si="3"/>
        <v>1899</v>
      </c>
    </row>
    <row r="624">
      <c r="A624" s="15"/>
      <c r="B624" s="89"/>
      <c r="D624" s="10">
        <f t="shared" si="1"/>
        <v>30</v>
      </c>
      <c r="E624" s="10">
        <f t="shared" si="2"/>
        <v>12</v>
      </c>
      <c r="F624" s="10">
        <f t="shared" si="3"/>
        <v>1899</v>
      </c>
    </row>
    <row r="625">
      <c r="A625" s="15"/>
      <c r="B625" s="89"/>
      <c r="D625" s="10">
        <f t="shared" si="1"/>
        <v>30</v>
      </c>
      <c r="E625" s="10">
        <f t="shared" si="2"/>
        <v>12</v>
      </c>
      <c r="F625" s="10">
        <f t="shared" si="3"/>
        <v>1899</v>
      </c>
    </row>
    <row r="626">
      <c r="A626" s="15"/>
      <c r="B626" s="89"/>
      <c r="D626" s="10">
        <f t="shared" si="1"/>
        <v>30</v>
      </c>
      <c r="E626" s="10">
        <f t="shared" si="2"/>
        <v>12</v>
      </c>
      <c r="F626" s="10">
        <f t="shared" si="3"/>
        <v>1899</v>
      </c>
    </row>
    <row r="627">
      <c r="A627" s="15"/>
      <c r="B627" s="89"/>
      <c r="D627" s="10">
        <f t="shared" si="1"/>
        <v>30</v>
      </c>
      <c r="E627" s="10">
        <f t="shared" si="2"/>
        <v>12</v>
      </c>
      <c r="F627" s="10">
        <f t="shared" si="3"/>
        <v>1899</v>
      </c>
    </row>
    <row r="628">
      <c r="A628" s="15"/>
      <c r="B628" s="89"/>
      <c r="D628" s="10">
        <f t="shared" si="1"/>
        <v>30</v>
      </c>
      <c r="E628" s="10">
        <f t="shared" si="2"/>
        <v>12</v>
      </c>
      <c r="F628" s="10">
        <f t="shared" si="3"/>
        <v>1899</v>
      </c>
    </row>
    <row r="629">
      <c r="A629" s="15"/>
      <c r="B629" s="89"/>
      <c r="D629" s="10">
        <f t="shared" si="1"/>
        <v>30</v>
      </c>
      <c r="E629" s="10">
        <f t="shared" si="2"/>
        <v>12</v>
      </c>
      <c r="F629" s="10">
        <f t="shared" si="3"/>
        <v>1899</v>
      </c>
    </row>
    <row r="630">
      <c r="A630" s="15"/>
      <c r="B630" s="89"/>
      <c r="D630" s="10">
        <f t="shared" si="1"/>
        <v>30</v>
      </c>
      <c r="E630" s="10">
        <f t="shared" si="2"/>
        <v>12</v>
      </c>
      <c r="F630" s="10">
        <f t="shared" si="3"/>
        <v>1899</v>
      </c>
    </row>
    <row r="631">
      <c r="A631" s="15"/>
      <c r="B631" s="89"/>
      <c r="D631" s="10">
        <f t="shared" si="1"/>
        <v>30</v>
      </c>
      <c r="E631" s="10">
        <f t="shared" si="2"/>
        <v>12</v>
      </c>
      <c r="F631" s="10">
        <f t="shared" si="3"/>
        <v>1899</v>
      </c>
    </row>
    <row r="632">
      <c r="A632" s="15"/>
      <c r="B632" s="89"/>
      <c r="D632" s="10">
        <f t="shared" si="1"/>
        <v>30</v>
      </c>
      <c r="E632" s="10">
        <f t="shared" si="2"/>
        <v>12</v>
      </c>
      <c r="F632" s="10">
        <f t="shared" si="3"/>
        <v>1899</v>
      </c>
    </row>
    <row r="633">
      <c r="A633" s="15"/>
      <c r="B633" s="89"/>
      <c r="D633" s="10">
        <f t="shared" si="1"/>
        <v>30</v>
      </c>
      <c r="E633" s="10">
        <f t="shared" si="2"/>
        <v>12</v>
      </c>
      <c r="F633" s="10">
        <f t="shared" si="3"/>
        <v>1899</v>
      </c>
    </row>
    <row r="634">
      <c r="A634" s="15"/>
      <c r="B634" s="89"/>
      <c r="D634" s="10">
        <f t="shared" si="1"/>
        <v>30</v>
      </c>
      <c r="E634" s="10">
        <f t="shared" si="2"/>
        <v>12</v>
      </c>
      <c r="F634" s="10">
        <f t="shared" si="3"/>
        <v>1899</v>
      </c>
    </row>
    <row r="635">
      <c r="A635" s="15"/>
      <c r="B635" s="89"/>
      <c r="D635" s="10">
        <f t="shared" si="1"/>
        <v>30</v>
      </c>
      <c r="E635" s="10">
        <f t="shared" si="2"/>
        <v>12</v>
      </c>
      <c r="F635" s="10">
        <f t="shared" si="3"/>
        <v>1899</v>
      </c>
    </row>
    <row r="636">
      <c r="A636" s="15"/>
      <c r="B636" s="89"/>
      <c r="D636" s="10">
        <f t="shared" si="1"/>
        <v>30</v>
      </c>
      <c r="E636" s="10">
        <f t="shared" si="2"/>
        <v>12</v>
      </c>
      <c r="F636" s="10">
        <f t="shared" si="3"/>
        <v>1899</v>
      </c>
    </row>
    <row r="637">
      <c r="A637" s="15"/>
      <c r="B637" s="89"/>
      <c r="D637" s="10">
        <f t="shared" si="1"/>
        <v>30</v>
      </c>
      <c r="E637" s="10">
        <f t="shared" si="2"/>
        <v>12</v>
      </c>
      <c r="F637" s="10">
        <f t="shared" si="3"/>
        <v>1899</v>
      </c>
    </row>
    <row r="638">
      <c r="A638" s="15"/>
      <c r="B638" s="89"/>
      <c r="D638" s="10">
        <f t="shared" si="1"/>
        <v>30</v>
      </c>
      <c r="E638" s="10">
        <f t="shared" si="2"/>
        <v>12</v>
      </c>
      <c r="F638" s="10">
        <f t="shared" si="3"/>
        <v>1899</v>
      </c>
    </row>
    <row r="639">
      <c r="A639" s="15"/>
      <c r="B639" s="89"/>
      <c r="D639" s="10">
        <f t="shared" si="1"/>
        <v>30</v>
      </c>
      <c r="E639" s="10">
        <f t="shared" si="2"/>
        <v>12</v>
      </c>
      <c r="F639" s="10">
        <f t="shared" si="3"/>
        <v>1899</v>
      </c>
    </row>
    <row r="640">
      <c r="A640" s="15"/>
      <c r="B640" s="89"/>
      <c r="D640" s="10">
        <f t="shared" si="1"/>
        <v>30</v>
      </c>
      <c r="E640" s="10">
        <f t="shared" si="2"/>
        <v>12</v>
      </c>
      <c r="F640" s="10">
        <f t="shared" si="3"/>
        <v>1899</v>
      </c>
    </row>
    <row r="641">
      <c r="A641" s="15"/>
      <c r="B641" s="89"/>
      <c r="D641" s="10">
        <f t="shared" si="1"/>
        <v>30</v>
      </c>
      <c r="E641" s="10">
        <f t="shared" si="2"/>
        <v>12</v>
      </c>
      <c r="F641" s="10">
        <f t="shared" si="3"/>
        <v>1899</v>
      </c>
    </row>
    <row r="642">
      <c r="A642" s="15"/>
      <c r="B642" s="89"/>
      <c r="D642" s="10">
        <f t="shared" si="1"/>
        <v>30</v>
      </c>
      <c r="E642" s="10">
        <f t="shared" si="2"/>
        <v>12</v>
      </c>
      <c r="F642" s="10">
        <f t="shared" si="3"/>
        <v>1899</v>
      </c>
    </row>
    <row r="643">
      <c r="A643" s="15"/>
      <c r="B643" s="89"/>
      <c r="D643" s="10">
        <f t="shared" si="1"/>
        <v>30</v>
      </c>
      <c r="E643" s="10">
        <f t="shared" si="2"/>
        <v>12</v>
      </c>
      <c r="F643" s="10">
        <f t="shared" si="3"/>
        <v>1899</v>
      </c>
    </row>
    <row r="644">
      <c r="A644" s="15"/>
      <c r="B644" s="89"/>
      <c r="D644" s="10">
        <f t="shared" si="1"/>
        <v>30</v>
      </c>
      <c r="E644" s="10">
        <f t="shared" si="2"/>
        <v>12</v>
      </c>
      <c r="F644" s="10">
        <f t="shared" si="3"/>
        <v>1899</v>
      </c>
    </row>
    <row r="645">
      <c r="A645" s="15"/>
      <c r="B645" s="89"/>
      <c r="D645" s="10">
        <f t="shared" si="1"/>
        <v>30</v>
      </c>
      <c r="E645" s="10">
        <f t="shared" si="2"/>
        <v>12</v>
      </c>
      <c r="F645" s="10">
        <f t="shared" si="3"/>
        <v>1899</v>
      </c>
    </row>
    <row r="646">
      <c r="A646" s="15"/>
      <c r="B646" s="89"/>
      <c r="D646" s="10">
        <f t="shared" si="1"/>
        <v>30</v>
      </c>
      <c r="E646" s="10">
        <f t="shared" si="2"/>
        <v>12</v>
      </c>
      <c r="F646" s="10">
        <f t="shared" si="3"/>
        <v>1899</v>
      </c>
    </row>
    <row r="647">
      <c r="A647" s="15"/>
      <c r="B647" s="89"/>
      <c r="D647" s="10">
        <f t="shared" si="1"/>
        <v>30</v>
      </c>
      <c r="E647" s="10">
        <f t="shared" si="2"/>
        <v>12</v>
      </c>
      <c r="F647" s="10">
        <f t="shared" si="3"/>
        <v>1899</v>
      </c>
    </row>
    <row r="648">
      <c r="A648" s="15"/>
      <c r="B648" s="89"/>
      <c r="D648" s="10">
        <f t="shared" si="1"/>
        <v>30</v>
      </c>
      <c r="E648" s="10">
        <f t="shared" si="2"/>
        <v>12</v>
      </c>
      <c r="F648" s="10">
        <f t="shared" si="3"/>
        <v>1899</v>
      </c>
    </row>
    <row r="649">
      <c r="A649" s="15"/>
      <c r="B649" s="89"/>
      <c r="D649" s="10">
        <f t="shared" si="1"/>
        <v>30</v>
      </c>
      <c r="E649" s="10">
        <f t="shared" si="2"/>
        <v>12</v>
      </c>
      <c r="F649" s="10">
        <f t="shared" si="3"/>
        <v>1899</v>
      </c>
    </row>
    <row r="650">
      <c r="A650" s="15"/>
      <c r="B650" s="89"/>
      <c r="D650" s="10">
        <f t="shared" si="1"/>
        <v>30</v>
      </c>
      <c r="E650" s="10">
        <f t="shared" si="2"/>
        <v>12</v>
      </c>
      <c r="F650" s="10">
        <f t="shared" si="3"/>
        <v>1899</v>
      </c>
    </row>
    <row r="651">
      <c r="A651" s="15"/>
      <c r="B651" s="89"/>
      <c r="D651" s="10">
        <f t="shared" si="1"/>
        <v>30</v>
      </c>
      <c r="E651" s="10">
        <f t="shared" si="2"/>
        <v>12</v>
      </c>
      <c r="F651" s="10">
        <f t="shared" si="3"/>
        <v>1899</v>
      </c>
    </row>
    <row r="652">
      <c r="A652" s="15"/>
      <c r="B652" s="89"/>
      <c r="D652" s="10">
        <f t="shared" si="1"/>
        <v>30</v>
      </c>
      <c r="E652" s="10">
        <f t="shared" si="2"/>
        <v>12</v>
      </c>
      <c r="F652" s="10">
        <f t="shared" si="3"/>
        <v>1899</v>
      </c>
    </row>
    <row r="653">
      <c r="A653" s="15"/>
      <c r="B653" s="89"/>
      <c r="D653" s="10">
        <f t="shared" si="1"/>
        <v>30</v>
      </c>
      <c r="E653" s="10">
        <f t="shared" si="2"/>
        <v>12</v>
      </c>
      <c r="F653" s="10">
        <f t="shared" si="3"/>
        <v>1899</v>
      </c>
    </row>
    <row r="654">
      <c r="A654" s="15"/>
      <c r="B654" s="89"/>
      <c r="D654" s="10">
        <f t="shared" si="1"/>
        <v>30</v>
      </c>
      <c r="E654" s="10">
        <f t="shared" si="2"/>
        <v>12</v>
      </c>
      <c r="F654" s="10">
        <f t="shared" si="3"/>
        <v>1899</v>
      </c>
    </row>
    <row r="655">
      <c r="A655" s="15"/>
      <c r="B655" s="89"/>
      <c r="D655" s="10">
        <f t="shared" si="1"/>
        <v>30</v>
      </c>
      <c r="E655" s="10">
        <f t="shared" si="2"/>
        <v>12</v>
      </c>
      <c r="F655" s="10">
        <f t="shared" si="3"/>
        <v>1899</v>
      </c>
    </row>
    <row r="656">
      <c r="A656" s="15"/>
      <c r="B656" s="89"/>
      <c r="D656" s="10">
        <f t="shared" si="1"/>
        <v>30</v>
      </c>
      <c r="E656" s="10">
        <f t="shared" si="2"/>
        <v>12</v>
      </c>
      <c r="F656" s="10">
        <f t="shared" si="3"/>
        <v>1899</v>
      </c>
    </row>
    <row r="657">
      <c r="A657" s="15"/>
      <c r="B657" s="89"/>
      <c r="D657" s="10">
        <f t="shared" si="1"/>
        <v>30</v>
      </c>
      <c r="E657" s="10">
        <f t="shared" si="2"/>
        <v>12</v>
      </c>
      <c r="F657" s="10">
        <f t="shared" si="3"/>
        <v>1899</v>
      </c>
    </row>
    <row r="658">
      <c r="A658" s="15"/>
      <c r="B658" s="89"/>
      <c r="D658" s="10">
        <f t="shared" si="1"/>
        <v>30</v>
      </c>
      <c r="E658" s="10">
        <f t="shared" si="2"/>
        <v>12</v>
      </c>
      <c r="F658" s="10">
        <f t="shared" si="3"/>
        <v>1899</v>
      </c>
    </row>
    <row r="659">
      <c r="A659" s="15"/>
      <c r="B659" s="89"/>
      <c r="D659" s="10">
        <f t="shared" si="1"/>
        <v>30</v>
      </c>
      <c r="E659" s="10">
        <f t="shared" si="2"/>
        <v>12</v>
      </c>
      <c r="F659" s="10">
        <f t="shared" si="3"/>
        <v>1899</v>
      </c>
    </row>
    <row r="660">
      <c r="A660" s="15"/>
      <c r="B660" s="89"/>
      <c r="D660" s="10">
        <f t="shared" si="1"/>
        <v>30</v>
      </c>
      <c r="E660" s="10">
        <f t="shared" si="2"/>
        <v>12</v>
      </c>
      <c r="F660" s="10">
        <f t="shared" si="3"/>
        <v>1899</v>
      </c>
    </row>
    <row r="661">
      <c r="A661" s="15"/>
      <c r="B661" s="89"/>
      <c r="D661" s="10">
        <f t="shared" si="1"/>
        <v>30</v>
      </c>
      <c r="E661" s="10">
        <f t="shared" si="2"/>
        <v>12</v>
      </c>
      <c r="F661" s="10">
        <f t="shared" si="3"/>
        <v>1899</v>
      </c>
    </row>
    <row r="662">
      <c r="A662" s="15"/>
      <c r="B662" s="89"/>
      <c r="D662" s="10">
        <f t="shared" si="1"/>
        <v>30</v>
      </c>
      <c r="E662" s="10">
        <f t="shared" si="2"/>
        <v>12</v>
      </c>
      <c r="F662" s="10">
        <f t="shared" si="3"/>
        <v>1899</v>
      </c>
    </row>
    <row r="663">
      <c r="A663" s="15"/>
      <c r="B663" s="89"/>
      <c r="D663" s="10">
        <f t="shared" si="1"/>
        <v>30</v>
      </c>
      <c r="E663" s="10">
        <f t="shared" si="2"/>
        <v>12</v>
      </c>
      <c r="F663" s="10">
        <f t="shared" si="3"/>
        <v>1899</v>
      </c>
    </row>
    <row r="664">
      <c r="A664" s="15"/>
      <c r="B664" s="89"/>
      <c r="D664" s="10">
        <f t="shared" si="1"/>
        <v>30</v>
      </c>
      <c r="E664" s="10">
        <f t="shared" si="2"/>
        <v>12</v>
      </c>
      <c r="F664" s="10">
        <f t="shared" si="3"/>
        <v>1899</v>
      </c>
    </row>
    <row r="665">
      <c r="A665" s="15"/>
      <c r="B665" s="89"/>
      <c r="D665" s="10">
        <f t="shared" si="1"/>
        <v>30</v>
      </c>
      <c r="E665" s="10">
        <f t="shared" si="2"/>
        <v>12</v>
      </c>
      <c r="F665" s="10">
        <f t="shared" si="3"/>
        <v>1899</v>
      </c>
    </row>
    <row r="666">
      <c r="A666" s="15"/>
      <c r="B666" s="89"/>
      <c r="D666" s="10">
        <f t="shared" si="1"/>
        <v>30</v>
      </c>
      <c r="E666" s="10">
        <f t="shared" si="2"/>
        <v>12</v>
      </c>
      <c r="F666" s="10">
        <f t="shared" si="3"/>
        <v>1899</v>
      </c>
    </row>
    <row r="667">
      <c r="A667" s="15"/>
      <c r="B667" s="89"/>
      <c r="D667" s="10">
        <f t="shared" si="1"/>
        <v>30</v>
      </c>
      <c r="E667" s="10">
        <f t="shared" si="2"/>
        <v>12</v>
      </c>
      <c r="F667" s="10">
        <f t="shared" si="3"/>
        <v>1899</v>
      </c>
    </row>
    <row r="668">
      <c r="A668" s="15"/>
      <c r="B668" s="89"/>
      <c r="D668" s="10">
        <f t="shared" si="1"/>
        <v>30</v>
      </c>
      <c r="E668" s="10">
        <f t="shared" si="2"/>
        <v>12</v>
      </c>
      <c r="F668" s="10">
        <f t="shared" si="3"/>
        <v>1899</v>
      </c>
    </row>
    <row r="669">
      <c r="A669" s="15"/>
      <c r="B669" s="89"/>
      <c r="D669" s="10">
        <f t="shared" si="1"/>
        <v>30</v>
      </c>
      <c r="E669" s="10">
        <f t="shared" si="2"/>
        <v>12</v>
      </c>
      <c r="F669" s="10">
        <f t="shared" si="3"/>
        <v>1899</v>
      </c>
    </row>
    <row r="670">
      <c r="A670" s="15"/>
      <c r="B670" s="89"/>
      <c r="D670" s="10">
        <f t="shared" si="1"/>
        <v>30</v>
      </c>
      <c r="E670" s="10">
        <f t="shared" si="2"/>
        <v>12</v>
      </c>
      <c r="F670" s="10">
        <f t="shared" si="3"/>
        <v>1899</v>
      </c>
    </row>
    <row r="671">
      <c r="A671" s="15"/>
      <c r="B671" s="89"/>
      <c r="D671" s="10">
        <f t="shared" si="1"/>
        <v>30</v>
      </c>
      <c r="E671" s="10">
        <f t="shared" si="2"/>
        <v>12</v>
      </c>
      <c r="F671" s="10">
        <f t="shared" si="3"/>
        <v>1899</v>
      </c>
    </row>
    <row r="672">
      <c r="A672" s="15"/>
      <c r="B672" s="89"/>
      <c r="D672" s="10">
        <f t="shared" si="1"/>
        <v>30</v>
      </c>
      <c r="E672" s="10">
        <f t="shared" si="2"/>
        <v>12</v>
      </c>
      <c r="F672" s="10">
        <f t="shared" si="3"/>
        <v>1899</v>
      </c>
    </row>
    <row r="673">
      <c r="A673" s="15"/>
      <c r="B673" s="89"/>
      <c r="D673" s="10">
        <f t="shared" si="1"/>
        <v>30</v>
      </c>
      <c r="E673" s="10">
        <f t="shared" si="2"/>
        <v>12</v>
      </c>
      <c r="F673" s="10">
        <f t="shared" si="3"/>
        <v>1899</v>
      </c>
    </row>
    <row r="674">
      <c r="A674" s="15"/>
      <c r="B674" s="89"/>
      <c r="D674" s="10">
        <f t="shared" si="1"/>
        <v>30</v>
      </c>
      <c r="E674" s="10">
        <f t="shared" si="2"/>
        <v>12</v>
      </c>
      <c r="F674" s="10">
        <f t="shared" si="3"/>
        <v>1899</v>
      </c>
    </row>
    <row r="675">
      <c r="A675" s="15"/>
      <c r="B675" s="89"/>
      <c r="D675" s="10">
        <f t="shared" si="1"/>
        <v>30</v>
      </c>
      <c r="E675" s="10">
        <f t="shared" si="2"/>
        <v>12</v>
      </c>
      <c r="F675" s="10">
        <f t="shared" si="3"/>
        <v>1899</v>
      </c>
    </row>
    <row r="676">
      <c r="A676" s="15"/>
      <c r="B676" s="89"/>
      <c r="D676" s="10">
        <f t="shared" si="1"/>
        <v>30</v>
      </c>
      <c r="E676" s="10">
        <f t="shared" si="2"/>
        <v>12</v>
      </c>
      <c r="F676" s="10">
        <f t="shared" si="3"/>
        <v>1899</v>
      </c>
    </row>
    <row r="677">
      <c r="A677" s="15"/>
      <c r="B677" s="89"/>
      <c r="D677" s="10">
        <f t="shared" si="1"/>
        <v>30</v>
      </c>
      <c r="E677" s="10">
        <f t="shared" si="2"/>
        <v>12</v>
      </c>
      <c r="F677" s="10">
        <f t="shared" si="3"/>
        <v>1899</v>
      </c>
    </row>
    <row r="678">
      <c r="A678" s="15"/>
      <c r="B678" s="89"/>
      <c r="D678" s="10">
        <f t="shared" si="1"/>
        <v>30</v>
      </c>
      <c r="E678" s="10">
        <f t="shared" si="2"/>
        <v>12</v>
      </c>
      <c r="F678" s="10">
        <f t="shared" si="3"/>
        <v>1899</v>
      </c>
    </row>
    <row r="679">
      <c r="A679" s="15"/>
      <c r="B679" s="89"/>
      <c r="D679" s="10">
        <f t="shared" si="1"/>
        <v>30</v>
      </c>
      <c r="E679" s="10">
        <f t="shared" si="2"/>
        <v>12</v>
      </c>
      <c r="F679" s="10">
        <f t="shared" si="3"/>
        <v>1899</v>
      </c>
    </row>
    <row r="680">
      <c r="A680" s="15"/>
      <c r="B680" s="89"/>
      <c r="D680" s="10">
        <f t="shared" si="1"/>
        <v>30</v>
      </c>
      <c r="E680" s="10">
        <f t="shared" si="2"/>
        <v>12</v>
      </c>
      <c r="F680" s="10">
        <f t="shared" si="3"/>
        <v>1899</v>
      </c>
    </row>
    <row r="681">
      <c r="A681" s="15"/>
      <c r="B681" s="89"/>
      <c r="D681" s="10">
        <f t="shared" si="1"/>
        <v>30</v>
      </c>
      <c r="E681" s="10">
        <f t="shared" si="2"/>
        <v>12</v>
      </c>
      <c r="F681" s="10">
        <f t="shared" si="3"/>
        <v>1899</v>
      </c>
    </row>
    <row r="682">
      <c r="A682" s="15"/>
      <c r="B682" s="89"/>
      <c r="D682" s="10">
        <f t="shared" si="1"/>
        <v>30</v>
      </c>
      <c r="E682" s="10">
        <f t="shared" si="2"/>
        <v>12</v>
      </c>
      <c r="F682" s="10">
        <f t="shared" si="3"/>
        <v>1899</v>
      </c>
    </row>
    <row r="683">
      <c r="A683" s="15"/>
      <c r="B683" s="89"/>
      <c r="D683" s="10">
        <f t="shared" si="1"/>
        <v>30</v>
      </c>
      <c r="E683" s="10">
        <f t="shared" si="2"/>
        <v>12</v>
      </c>
      <c r="F683" s="10">
        <f t="shared" si="3"/>
        <v>1899</v>
      </c>
    </row>
    <row r="684">
      <c r="A684" s="15"/>
      <c r="B684" s="89"/>
      <c r="D684" s="10">
        <f t="shared" si="1"/>
        <v>30</v>
      </c>
      <c r="E684" s="10">
        <f t="shared" si="2"/>
        <v>12</v>
      </c>
      <c r="F684" s="10">
        <f t="shared" si="3"/>
        <v>1899</v>
      </c>
    </row>
    <row r="685">
      <c r="A685" s="15"/>
      <c r="B685" s="89"/>
      <c r="D685" s="10">
        <f t="shared" si="1"/>
        <v>30</v>
      </c>
      <c r="E685" s="10">
        <f t="shared" si="2"/>
        <v>12</v>
      </c>
      <c r="F685" s="10">
        <f t="shared" si="3"/>
        <v>1899</v>
      </c>
    </row>
    <row r="686">
      <c r="A686" s="15"/>
      <c r="B686" s="89"/>
      <c r="D686" s="10">
        <f t="shared" si="1"/>
        <v>30</v>
      </c>
      <c r="E686" s="10">
        <f t="shared" si="2"/>
        <v>12</v>
      </c>
      <c r="F686" s="10">
        <f t="shared" si="3"/>
        <v>1899</v>
      </c>
    </row>
    <row r="687">
      <c r="A687" s="15"/>
      <c r="B687" s="89"/>
      <c r="D687" s="10">
        <f t="shared" si="1"/>
        <v>30</v>
      </c>
      <c r="E687" s="10">
        <f t="shared" si="2"/>
        <v>12</v>
      </c>
      <c r="F687" s="10">
        <f t="shared" si="3"/>
        <v>1899</v>
      </c>
    </row>
    <row r="688">
      <c r="A688" s="15"/>
      <c r="B688" s="89"/>
      <c r="D688" s="10">
        <f t="shared" si="1"/>
        <v>30</v>
      </c>
      <c r="E688" s="10">
        <f t="shared" si="2"/>
        <v>12</v>
      </c>
      <c r="F688" s="10">
        <f t="shared" si="3"/>
        <v>1899</v>
      </c>
    </row>
    <row r="689">
      <c r="A689" s="15"/>
      <c r="B689" s="89"/>
      <c r="D689" s="10">
        <f t="shared" si="1"/>
        <v>30</v>
      </c>
      <c r="E689" s="10">
        <f t="shared" si="2"/>
        <v>12</v>
      </c>
      <c r="F689" s="10">
        <f t="shared" si="3"/>
        <v>1899</v>
      </c>
    </row>
    <row r="690">
      <c r="A690" s="15"/>
      <c r="B690" s="89"/>
      <c r="D690" s="10">
        <f t="shared" si="1"/>
        <v>30</v>
      </c>
      <c r="E690" s="10">
        <f t="shared" si="2"/>
        <v>12</v>
      </c>
      <c r="F690" s="10">
        <f t="shared" si="3"/>
        <v>1899</v>
      </c>
    </row>
    <row r="691">
      <c r="A691" s="15"/>
      <c r="B691" s="89"/>
      <c r="D691" s="10">
        <f t="shared" si="1"/>
        <v>30</v>
      </c>
      <c r="E691" s="10">
        <f t="shared" si="2"/>
        <v>12</v>
      </c>
      <c r="F691" s="10">
        <f t="shared" si="3"/>
        <v>1899</v>
      </c>
    </row>
    <row r="692">
      <c r="A692" s="15"/>
      <c r="B692" s="89"/>
      <c r="D692" s="10">
        <f t="shared" si="1"/>
        <v>30</v>
      </c>
      <c r="E692" s="10">
        <f t="shared" si="2"/>
        <v>12</v>
      </c>
      <c r="F692" s="10">
        <f t="shared" si="3"/>
        <v>1899</v>
      </c>
    </row>
    <row r="693">
      <c r="A693" s="15"/>
      <c r="B693" s="89"/>
      <c r="D693" s="10">
        <f t="shared" si="1"/>
        <v>30</v>
      </c>
      <c r="E693" s="10">
        <f t="shared" si="2"/>
        <v>12</v>
      </c>
      <c r="F693" s="10">
        <f t="shared" si="3"/>
        <v>1899</v>
      </c>
    </row>
    <row r="694">
      <c r="A694" s="15"/>
      <c r="B694" s="89"/>
      <c r="D694" s="10">
        <f t="shared" si="1"/>
        <v>30</v>
      </c>
      <c r="E694" s="10">
        <f t="shared" si="2"/>
        <v>12</v>
      </c>
      <c r="F694" s="10">
        <f t="shared" si="3"/>
        <v>1899</v>
      </c>
    </row>
    <row r="695">
      <c r="A695" s="15"/>
      <c r="B695" s="89"/>
      <c r="D695" s="10">
        <f t="shared" si="1"/>
        <v>30</v>
      </c>
      <c r="E695" s="10">
        <f t="shared" si="2"/>
        <v>12</v>
      </c>
      <c r="F695" s="10">
        <f t="shared" si="3"/>
        <v>1899</v>
      </c>
    </row>
    <row r="696">
      <c r="A696" s="15"/>
      <c r="B696" s="89"/>
      <c r="D696" s="10">
        <f t="shared" si="1"/>
        <v>30</v>
      </c>
      <c r="E696" s="10">
        <f t="shared" si="2"/>
        <v>12</v>
      </c>
      <c r="F696" s="10">
        <f t="shared" si="3"/>
        <v>1899</v>
      </c>
    </row>
    <row r="697">
      <c r="A697" s="15"/>
      <c r="B697" s="89"/>
      <c r="D697" s="10">
        <f t="shared" si="1"/>
        <v>30</v>
      </c>
      <c r="E697" s="10">
        <f t="shared" si="2"/>
        <v>12</v>
      </c>
      <c r="F697" s="10">
        <f t="shared" si="3"/>
        <v>1899</v>
      </c>
    </row>
    <row r="698">
      <c r="A698" s="15"/>
      <c r="B698" s="89"/>
      <c r="D698" s="10">
        <f t="shared" si="1"/>
        <v>30</v>
      </c>
      <c r="E698" s="10">
        <f t="shared" si="2"/>
        <v>12</v>
      </c>
      <c r="F698" s="10">
        <f t="shared" si="3"/>
        <v>1899</v>
      </c>
    </row>
    <row r="699">
      <c r="A699" s="15"/>
      <c r="B699" s="89"/>
      <c r="D699" s="10">
        <f t="shared" si="1"/>
        <v>30</v>
      </c>
      <c r="E699" s="10">
        <f t="shared" si="2"/>
        <v>12</v>
      </c>
      <c r="F699" s="10">
        <f t="shared" si="3"/>
        <v>1899</v>
      </c>
    </row>
    <row r="700">
      <c r="A700" s="15"/>
      <c r="B700" s="89"/>
      <c r="D700" s="10">
        <f t="shared" si="1"/>
        <v>30</v>
      </c>
      <c r="E700" s="10">
        <f t="shared" si="2"/>
        <v>12</v>
      </c>
      <c r="F700" s="10">
        <f t="shared" si="3"/>
        <v>1899</v>
      </c>
    </row>
    <row r="701">
      <c r="A701" s="15"/>
      <c r="B701" s="89"/>
      <c r="D701" s="10">
        <f t="shared" si="1"/>
        <v>30</v>
      </c>
      <c r="E701" s="10">
        <f t="shared" si="2"/>
        <v>12</v>
      </c>
      <c r="F701" s="10">
        <f t="shared" si="3"/>
        <v>1899</v>
      </c>
    </row>
    <row r="702">
      <c r="A702" s="15"/>
      <c r="B702" s="89"/>
      <c r="D702" s="10">
        <f t="shared" si="1"/>
        <v>30</v>
      </c>
      <c r="E702" s="10">
        <f t="shared" si="2"/>
        <v>12</v>
      </c>
      <c r="F702" s="10">
        <f t="shared" si="3"/>
        <v>1899</v>
      </c>
    </row>
    <row r="703">
      <c r="A703" s="15"/>
      <c r="B703" s="89"/>
      <c r="D703" s="10">
        <f t="shared" si="1"/>
        <v>30</v>
      </c>
      <c r="E703" s="10">
        <f t="shared" si="2"/>
        <v>12</v>
      </c>
      <c r="F703" s="10">
        <f t="shared" si="3"/>
        <v>1899</v>
      </c>
    </row>
    <row r="704">
      <c r="A704" s="15"/>
      <c r="B704" s="89"/>
      <c r="D704" s="10">
        <f t="shared" si="1"/>
        <v>30</v>
      </c>
      <c r="E704" s="10">
        <f t="shared" si="2"/>
        <v>12</v>
      </c>
      <c r="F704" s="10">
        <f t="shared" si="3"/>
        <v>1899</v>
      </c>
    </row>
    <row r="705">
      <c r="A705" s="15"/>
      <c r="B705" s="89"/>
      <c r="D705" s="10">
        <f t="shared" si="1"/>
        <v>30</v>
      </c>
      <c r="E705" s="10">
        <f t="shared" si="2"/>
        <v>12</v>
      </c>
      <c r="F705" s="10">
        <f t="shared" si="3"/>
        <v>1899</v>
      </c>
    </row>
    <row r="706">
      <c r="A706" s="15"/>
      <c r="B706" s="89"/>
      <c r="D706" s="10">
        <f t="shared" si="1"/>
        <v>30</v>
      </c>
      <c r="E706" s="10">
        <f t="shared" si="2"/>
        <v>12</v>
      </c>
      <c r="F706" s="10">
        <f t="shared" si="3"/>
        <v>1899</v>
      </c>
    </row>
    <row r="707">
      <c r="A707" s="15"/>
      <c r="B707" s="89"/>
      <c r="D707" s="10">
        <f t="shared" si="1"/>
        <v>30</v>
      </c>
      <c r="E707" s="10">
        <f t="shared" si="2"/>
        <v>12</v>
      </c>
      <c r="F707" s="10">
        <f t="shared" si="3"/>
        <v>1899</v>
      </c>
    </row>
    <row r="708">
      <c r="A708" s="15"/>
      <c r="B708" s="89"/>
      <c r="D708" s="10">
        <f t="shared" si="1"/>
        <v>30</v>
      </c>
      <c r="E708" s="10">
        <f t="shared" si="2"/>
        <v>12</v>
      </c>
      <c r="F708" s="10">
        <f t="shared" si="3"/>
        <v>1899</v>
      </c>
    </row>
    <row r="709">
      <c r="A709" s="15"/>
      <c r="B709" s="89"/>
      <c r="D709" s="10">
        <f t="shared" si="1"/>
        <v>30</v>
      </c>
      <c r="E709" s="10">
        <f t="shared" si="2"/>
        <v>12</v>
      </c>
      <c r="F709" s="10">
        <f t="shared" si="3"/>
        <v>1899</v>
      </c>
    </row>
    <row r="710">
      <c r="A710" s="15"/>
      <c r="B710" s="89"/>
      <c r="D710" s="10">
        <f t="shared" si="1"/>
        <v>30</v>
      </c>
      <c r="E710" s="10">
        <f t="shared" si="2"/>
        <v>12</v>
      </c>
      <c r="F710" s="10">
        <f t="shared" si="3"/>
        <v>1899</v>
      </c>
    </row>
    <row r="711">
      <c r="A711" s="15"/>
      <c r="B711" s="89"/>
      <c r="D711" s="10">
        <f t="shared" si="1"/>
        <v>30</v>
      </c>
      <c r="E711" s="10">
        <f t="shared" si="2"/>
        <v>12</v>
      </c>
      <c r="F711" s="10">
        <f t="shared" si="3"/>
        <v>1899</v>
      </c>
    </row>
    <row r="712">
      <c r="A712" s="15"/>
      <c r="B712" s="89"/>
      <c r="D712" s="10">
        <f t="shared" si="1"/>
        <v>30</v>
      </c>
      <c r="E712" s="10">
        <f t="shared" si="2"/>
        <v>12</v>
      </c>
      <c r="F712" s="10">
        <f t="shared" si="3"/>
        <v>1899</v>
      </c>
    </row>
    <row r="713">
      <c r="A713" s="15"/>
      <c r="B713" s="89"/>
      <c r="D713" s="10">
        <f t="shared" si="1"/>
        <v>30</v>
      </c>
      <c r="E713" s="10">
        <f t="shared" si="2"/>
        <v>12</v>
      </c>
      <c r="F713" s="10">
        <f t="shared" si="3"/>
        <v>1899</v>
      </c>
    </row>
    <row r="714">
      <c r="A714" s="15"/>
      <c r="B714" s="89"/>
      <c r="D714" s="10">
        <f t="shared" si="1"/>
        <v>30</v>
      </c>
      <c r="E714" s="10">
        <f t="shared" si="2"/>
        <v>12</v>
      </c>
      <c r="F714" s="10">
        <f t="shared" si="3"/>
        <v>1899</v>
      </c>
    </row>
    <row r="715">
      <c r="A715" s="15"/>
      <c r="B715" s="89"/>
      <c r="D715" s="10">
        <f t="shared" si="1"/>
        <v>30</v>
      </c>
      <c r="E715" s="10">
        <f t="shared" si="2"/>
        <v>12</v>
      </c>
      <c r="F715" s="10">
        <f t="shared" si="3"/>
        <v>1899</v>
      </c>
    </row>
    <row r="716">
      <c r="A716" s="15"/>
      <c r="B716" s="89"/>
      <c r="D716" s="10">
        <f t="shared" si="1"/>
        <v>30</v>
      </c>
      <c r="E716" s="10">
        <f t="shared" si="2"/>
        <v>12</v>
      </c>
      <c r="F716" s="10">
        <f t="shared" si="3"/>
        <v>1899</v>
      </c>
    </row>
    <row r="717">
      <c r="A717" s="15"/>
      <c r="B717" s="89"/>
      <c r="D717" s="10">
        <f t="shared" si="1"/>
        <v>30</v>
      </c>
      <c r="E717" s="10">
        <f t="shared" si="2"/>
        <v>12</v>
      </c>
      <c r="F717" s="10">
        <f t="shared" si="3"/>
        <v>1899</v>
      </c>
    </row>
    <row r="718">
      <c r="A718" s="15"/>
      <c r="B718" s="89"/>
      <c r="D718" s="10">
        <f t="shared" si="1"/>
        <v>30</v>
      </c>
      <c r="E718" s="10">
        <f t="shared" si="2"/>
        <v>12</v>
      </c>
      <c r="F718" s="10">
        <f t="shared" si="3"/>
        <v>1899</v>
      </c>
    </row>
    <row r="719">
      <c r="A719" s="15"/>
      <c r="B719" s="89"/>
      <c r="D719" s="10">
        <f t="shared" si="1"/>
        <v>30</v>
      </c>
      <c r="E719" s="10">
        <f t="shared" si="2"/>
        <v>12</v>
      </c>
      <c r="F719" s="10">
        <f t="shared" si="3"/>
        <v>1899</v>
      </c>
    </row>
    <row r="720">
      <c r="A720" s="15"/>
      <c r="B720" s="89"/>
      <c r="D720" s="10">
        <f t="shared" si="1"/>
        <v>30</v>
      </c>
      <c r="E720" s="10">
        <f t="shared" si="2"/>
        <v>12</v>
      </c>
      <c r="F720" s="10">
        <f t="shared" si="3"/>
        <v>1899</v>
      </c>
    </row>
    <row r="721">
      <c r="A721" s="15"/>
      <c r="B721" s="89"/>
      <c r="D721" s="10">
        <f t="shared" si="1"/>
        <v>30</v>
      </c>
      <c r="E721" s="10">
        <f t="shared" si="2"/>
        <v>12</v>
      </c>
      <c r="F721" s="10">
        <f t="shared" si="3"/>
        <v>1899</v>
      </c>
    </row>
    <row r="722">
      <c r="A722" s="15"/>
      <c r="B722" s="89"/>
      <c r="D722" s="10">
        <f t="shared" si="1"/>
        <v>30</v>
      </c>
      <c r="E722" s="10">
        <f t="shared" si="2"/>
        <v>12</v>
      </c>
      <c r="F722" s="10">
        <f t="shared" si="3"/>
        <v>1899</v>
      </c>
    </row>
    <row r="723">
      <c r="A723" s="15"/>
      <c r="B723" s="89"/>
      <c r="D723" s="10">
        <f t="shared" si="1"/>
        <v>30</v>
      </c>
      <c r="E723" s="10">
        <f t="shared" si="2"/>
        <v>12</v>
      </c>
      <c r="F723" s="10">
        <f t="shared" si="3"/>
        <v>1899</v>
      </c>
    </row>
    <row r="724">
      <c r="A724" s="15"/>
      <c r="B724" s="89"/>
      <c r="D724" s="10">
        <f t="shared" si="1"/>
        <v>30</v>
      </c>
      <c r="E724" s="10">
        <f t="shared" si="2"/>
        <v>12</v>
      </c>
      <c r="F724" s="10">
        <f t="shared" si="3"/>
        <v>1899</v>
      </c>
    </row>
    <row r="725">
      <c r="A725" s="15"/>
      <c r="B725" s="89"/>
      <c r="D725" s="10">
        <f t="shared" si="1"/>
        <v>30</v>
      </c>
      <c r="E725" s="10">
        <f t="shared" si="2"/>
        <v>12</v>
      </c>
      <c r="F725" s="10">
        <f t="shared" si="3"/>
        <v>1899</v>
      </c>
    </row>
    <row r="726">
      <c r="A726" s="15"/>
      <c r="B726" s="89"/>
      <c r="D726" s="10">
        <f t="shared" si="1"/>
        <v>30</v>
      </c>
      <c r="E726" s="10">
        <f t="shared" si="2"/>
        <v>12</v>
      </c>
      <c r="F726" s="10">
        <f t="shared" si="3"/>
        <v>1899</v>
      </c>
    </row>
    <row r="727">
      <c r="A727" s="15"/>
      <c r="B727" s="89"/>
      <c r="D727" s="10">
        <f t="shared" si="1"/>
        <v>30</v>
      </c>
      <c r="E727" s="10">
        <f t="shared" si="2"/>
        <v>12</v>
      </c>
      <c r="F727" s="10">
        <f t="shared" si="3"/>
        <v>1899</v>
      </c>
    </row>
    <row r="728">
      <c r="A728" s="15"/>
      <c r="B728" s="89"/>
      <c r="D728" s="10">
        <f t="shared" si="1"/>
        <v>30</v>
      </c>
      <c r="E728" s="10">
        <f t="shared" si="2"/>
        <v>12</v>
      </c>
      <c r="F728" s="10">
        <f t="shared" si="3"/>
        <v>1899</v>
      </c>
    </row>
    <row r="729">
      <c r="A729" s="15"/>
      <c r="B729" s="89"/>
      <c r="D729" s="10">
        <f t="shared" si="1"/>
        <v>30</v>
      </c>
      <c r="E729" s="10">
        <f t="shared" si="2"/>
        <v>12</v>
      </c>
      <c r="F729" s="10">
        <f t="shared" si="3"/>
        <v>1899</v>
      </c>
    </row>
    <row r="730">
      <c r="A730" s="15"/>
      <c r="B730" s="89"/>
      <c r="D730" s="10">
        <f t="shared" si="1"/>
        <v>30</v>
      </c>
      <c r="E730" s="10">
        <f t="shared" si="2"/>
        <v>12</v>
      </c>
      <c r="F730" s="10">
        <f t="shared" si="3"/>
        <v>1899</v>
      </c>
    </row>
    <row r="731">
      <c r="A731" s="15"/>
      <c r="B731" s="89"/>
      <c r="D731" s="10">
        <f t="shared" si="1"/>
        <v>30</v>
      </c>
      <c r="E731" s="10">
        <f t="shared" si="2"/>
        <v>12</v>
      </c>
      <c r="F731" s="10">
        <f t="shared" si="3"/>
        <v>1899</v>
      </c>
    </row>
    <row r="732">
      <c r="A732" s="15"/>
      <c r="B732" s="89"/>
      <c r="D732" s="10">
        <f t="shared" si="1"/>
        <v>30</v>
      </c>
      <c r="E732" s="10">
        <f t="shared" si="2"/>
        <v>12</v>
      </c>
      <c r="F732" s="10">
        <f t="shared" si="3"/>
        <v>1899</v>
      </c>
    </row>
    <row r="733">
      <c r="A733" s="15"/>
      <c r="B733" s="89"/>
      <c r="D733" s="10">
        <f t="shared" si="1"/>
        <v>30</v>
      </c>
      <c r="E733" s="10">
        <f t="shared" si="2"/>
        <v>12</v>
      </c>
      <c r="F733" s="10">
        <f t="shared" si="3"/>
        <v>1899</v>
      </c>
    </row>
    <row r="734">
      <c r="A734" s="15"/>
      <c r="B734" s="89"/>
      <c r="D734" s="10">
        <f t="shared" si="1"/>
        <v>30</v>
      </c>
      <c r="E734" s="10">
        <f t="shared" si="2"/>
        <v>12</v>
      </c>
      <c r="F734" s="10">
        <f t="shared" si="3"/>
        <v>1899</v>
      </c>
    </row>
    <row r="735">
      <c r="A735" s="15"/>
      <c r="B735" s="89"/>
      <c r="D735" s="10">
        <f t="shared" si="1"/>
        <v>30</v>
      </c>
      <c r="E735" s="10">
        <f t="shared" si="2"/>
        <v>12</v>
      </c>
      <c r="F735" s="10">
        <f t="shared" si="3"/>
        <v>1899</v>
      </c>
    </row>
    <row r="736">
      <c r="A736" s="15"/>
      <c r="B736" s="89"/>
      <c r="D736" s="10">
        <f t="shared" si="1"/>
        <v>30</v>
      </c>
      <c r="E736" s="10">
        <f t="shared" si="2"/>
        <v>12</v>
      </c>
      <c r="F736" s="10">
        <f t="shared" si="3"/>
        <v>1899</v>
      </c>
    </row>
    <row r="737">
      <c r="A737" s="15"/>
      <c r="B737" s="89"/>
      <c r="D737" s="10">
        <f t="shared" si="1"/>
        <v>30</v>
      </c>
      <c r="E737" s="10">
        <f t="shared" si="2"/>
        <v>12</v>
      </c>
      <c r="F737" s="10">
        <f t="shared" si="3"/>
        <v>1899</v>
      </c>
    </row>
    <row r="738">
      <c r="A738" s="15"/>
      <c r="B738" s="89"/>
      <c r="D738" s="10">
        <f t="shared" si="1"/>
        <v>30</v>
      </c>
      <c r="E738" s="10">
        <f t="shared" si="2"/>
        <v>12</v>
      </c>
      <c r="F738" s="10">
        <f t="shared" si="3"/>
        <v>1899</v>
      </c>
    </row>
    <row r="739">
      <c r="A739" s="15"/>
      <c r="B739" s="89"/>
      <c r="D739" s="10">
        <f t="shared" si="1"/>
        <v>30</v>
      </c>
      <c r="E739" s="10">
        <f t="shared" si="2"/>
        <v>12</v>
      </c>
      <c r="F739" s="10">
        <f t="shared" si="3"/>
        <v>1899</v>
      </c>
    </row>
    <row r="740">
      <c r="A740" s="15"/>
      <c r="B740" s="89"/>
      <c r="D740" s="10">
        <f t="shared" si="1"/>
        <v>30</v>
      </c>
      <c r="E740" s="10">
        <f t="shared" si="2"/>
        <v>12</v>
      </c>
      <c r="F740" s="10">
        <f t="shared" si="3"/>
        <v>1899</v>
      </c>
    </row>
    <row r="741">
      <c r="A741" s="15"/>
      <c r="B741" s="89"/>
      <c r="D741" s="10">
        <f t="shared" si="1"/>
        <v>30</v>
      </c>
      <c r="E741" s="10">
        <f t="shared" si="2"/>
        <v>12</v>
      </c>
      <c r="F741" s="10">
        <f t="shared" si="3"/>
        <v>1899</v>
      </c>
    </row>
    <row r="742">
      <c r="A742" s="15"/>
      <c r="B742" s="89"/>
      <c r="D742" s="10">
        <f t="shared" si="1"/>
        <v>30</v>
      </c>
      <c r="E742" s="10">
        <f t="shared" si="2"/>
        <v>12</v>
      </c>
      <c r="F742" s="10">
        <f t="shared" si="3"/>
        <v>1899</v>
      </c>
    </row>
    <row r="743">
      <c r="A743" s="15"/>
      <c r="B743" s="89"/>
      <c r="D743" s="10">
        <f t="shared" si="1"/>
        <v>30</v>
      </c>
      <c r="E743" s="10">
        <f t="shared" si="2"/>
        <v>12</v>
      </c>
      <c r="F743" s="10">
        <f t="shared" si="3"/>
        <v>1899</v>
      </c>
    </row>
    <row r="744">
      <c r="A744" s="15"/>
      <c r="B744" s="89"/>
      <c r="D744" s="10">
        <f t="shared" si="1"/>
        <v>30</v>
      </c>
      <c r="E744" s="10">
        <f t="shared" si="2"/>
        <v>12</v>
      </c>
      <c r="F744" s="10">
        <f t="shared" si="3"/>
        <v>1899</v>
      </c>
    </row>
    <row r="745">
      <c r="A745" s="15"/>
      <c r="B745" s="89"/>
      <c r="D745" s="10">
        <f t="shared" si="1"/>
        <v>30</v>
      </c>
      <c r="E745" s="10">
        <f t="shared" si="2"/>
        <v>12</v>
      </c>
      <c r="F745" s="10">
        <f t="shared" si="3"/>
        <v>1899</v>
      </c>
    </row>
    <row r="746">
      <c r="A746" s="15"/>
      <c r="B746" s="89"/>
      <c r="D746" s="10">
        <f t="shared" si="1"/>
        <v>30</v>
      </c>
      <c r="E746" s="10">
        <f t="shared" si="2"/>
        <v>12</v>
      </c>
      <c r="F746" s="10">
        <f t="shared" si="3"/>
        <v>1899</v>
      </c>
    </row>
    <row r="747">
      <c r="A747" s="15"/>
      <c r="B747" s="89"/>
      <c r="D747" s="10">
        <f t="shared" si="1"/>
        <v>30</v>
      </c>
      <c r="E747" s="10">
        <f t="shared" si="2"/>
        <v>12</v>
      </c>
      <c r="F747" s="10">
        <f t="shared" si="3"/>
        <v>1899</v>
      </c>
    </row>
    <row r="748">
      <c r="A748" s="15"/>
      <c r="B748" s="89"/>
      <c r="D748" s="10">
        <f t="shared" si="1"/>
        <v>30</v>
      </c>
      <c r="E748" s="10">
        <f t="shared" si="2"/>
        <v>12</v>
      </c>
      <c r="F748" s="10">
        <f t="shared" si="3"/>
        <v>1899</v>
      </c>
    </row>
    <row r="749">
      <c r="A749" s="15"/>
      <c r="B749" s="89"/>
      <c r="D749" s="10">
        <f t="shared" si="1"/>
        <v>30</v>
      </c>
      <c r="E749" s="10">
        <f t="shared" si="2"/>
        <v>12</v>
      </c>
      <c r="F749" s="10">
        <f t="shared" si="3"/>
        <v>1899</v>
      </c>
    </row>
    <row r="750">
      <c r="A750" s="15"/>
      <c r="B750" s="89"/>
      <c r="D750" s="10">
        <f t="shared" si="1"/>
        <v>30</v>
      </c>
      <c r="E750" s="10">
        <f t="shared" si="2"/>
        <v>12</v>
      </c>
      <c r="F750" s="10">
        <f t="shared" si="3"/>
        <v>1899</v>
      </c>
    </row>
    <row r="751">
      <c r="A751" s="15"/>
      <c r="B751" s="89"/>
      <c r="D751" s="10">
        <f t="shared" si="1"/>
        <v>30</v>
      </c>
      <c r="E751" s="10">
        <f t="shared" si="2"/>
        <v>12</v>
      </c>
      <c r="F751" s="10">
        <f t="shared" si="3"/>
        <v>1899</v>
      </c>
    </row>
    <row r="752">
      <c r="A752" s="15"/>
      <c r="B752" s="89"/>
      <c r="D752" s="10">
        <f t="shared" si="1"/>
        <v>30</v>
      </c>
      <c r="E752" s="10">
        <f t="shared" si="2"/>
        <v>12</v>
      </c>
      <c r="F752" s="10">
        <f t="shared" si="3"/>
        <v>1899</v>
      </c>
    </row>
    <row r="753">
      <c r="A753" s="15"/>
      <c r="B753" s="89"/>
      <c r="D753" s="10">
        <f t="shared" si="1"/>
        <v>30</v>
      </c>
      <c r="E753" s="10">
        <f t="shared" si="2"/>
        <v>12</v>
      </c>
      <c r="F753" s="10">
        <f t="shared" si="3"/>
        <v>1899</v>
      </c>
    </row>
    <row r="754">
      <c r="A754" s="15"/>
      <c r="B754" s="89"/>
      <c r="D754" s="10">
        <f t="shared" si="1"/>
        <v>30</v>
      </c>
      <c r="E754" s="10">
        <f t="shared" si="2"/>
        <v>12</v>
      </c>
      <c r="F754" s="10">
        <f t="shared" si="3"/>
        <v>1899</v>
      </c>
    </row>
    <row r="755">
      <c r="A755" s="15"/>
      <c r="B755" s="89"/>
      <c r="D755" s="10">
        <f t="shared" si="1"/>
        <v>30</v>
      </c>
      <c r="E755" s="10">
        <f t="shared" si="2"/>
        <v>12</v>
      </c>
      <c r="F755" s="10">
        <f t="shared" si="3"/>
        <v>1899</v>
      </c>
    </row>
    <row r="756">
      <c r="A756" s="15"/>
      <c r="B756" s="89"/>
      <c r="D756" s="10">
        <f t="shared" si="1"/>
        <v>30</v>
      </c>
      <c r="E756" s="10">
        <f t="shared" si="2"/>
        <v>12</v>
      </c>
      <c r="F756" s="10">
        <f t="shared" si="3"/>
        <v>1899</v>
      </c>
    </row>
    <row r="757">
      <c r="A757" s="15"/>
      <c r="B757" s="89"/>
      <c r="D757" s="10">
        <f t="shared" si="1"/>
        <v>30</v>
      </c>
      <c r="E757" s="10">
        <f t="shared" si="2"/>
        <v>12</v>
      </c>
      <c r="F757" s="10">
        <f t="shared" si="3"/>
        <v>1899</v>
      </c>
    </row>
    <row r="758">
      <c r="A758" s="15"/>
      <c r="B758" s="89"/>
      <c r="D758" s="10">
        <f t="shared" si="1"/>
        <v>30</v>
      </c>
      <c r="E758" s="10">
        <f t="shared" si="2"/>
        <v>12</v>
      </c>
      <c r="F758" s="10">
        <f t="shared" si="3"/>
        <v>1899</v>
      </c>
    </row>
    <row r="759">
      <c r="A759" s="15"/>
      <c r="B759" s="89"/>
      <c r="D759" s="10">
        <f t="shared" si="1"/>
        <v>30</v>
      </c>
      <c r="E759" s="10">
        <f t="shared" si="2"/>
        <v>12</v>
      </c>
      <c r="F759" s="10">
        <f t="shared" si="3"/>
        <v>1899</v>
      </c>
    </row>
    <row r="760">
      <c r="A760" s="15"/>
      <c r="B760" s="89"/>
      <c r="D760" s="10">
        <f t="shared" si="1"/>
        <v>30</v>
      </c>
      <c r="E760" s="10">
        <f t="shared" si="2"/>
        <v>12</v>
      </c>
      <c r="F760" s="10">
        <f t="shared" si="3"/>
        <v>1899</v>
      </c>
    </row>
    <row r="761">
      <c r="A761" s="15"/>
      <c r="B761" s="89"/>
      <c r="D761" s="10">
        <f t="shared" si="1"/>
        <v>30</v>
      </c>
      <c r="E761" s="10">
        <f t="shared" si="2"/>
        <v>12</v>
      </c>
      <c r="F761" s="10">
        <f t="shared" si="3"/>
        <v>1899</v>
      </c>
    </row>
    <row r="762">
      <c r="A762" s="15"/>
      <c r="B762" s="89"/>
      <c r="D762" s="10">
        <f t="shared" si="1"/>
        <v>30</v>
      </c>
      <c r="E762" s="10">
        <f t="shared" si="2"/>
        <v>12</v>
      </c>
      <c r="F762" s="10">
        <f t="shared" si="3"/>
        <v>1899</v>
      </c>
    </row>
    <row r="763">
      <c r="A763" s="15"/>
      <c r="B763" s="89"/>
      <c r="D763" s="10">
        <f t="shared" si="1"/>
        <v>30</v>
      </c>
      <c r="E763" s="10">
        <f t="shared" si="2"/>
        <v>12</v>
      </c>
      <c r="F763" s="10">
        <f t="shared" si="3"/>
        <v>1899</v>
      </c>
    </row>
    <row r="764">
      <c r="A764" s="15"/>
      <c r="B764" s="89"/>
      <c r="D764" s="10">
        <f t="shared" si="1"/>
        <v>30</v>
      </c>
      <c r="E764" s="10">
        <f t="shared" si="2"/>
        <v>12</v>
      </c>
      <c r="F764" s="10">
        <f t="shared" si="3"/>
        <v>1899</v>
      </c>
    </row>
    <row r="765">
      <c r="A765" s="15"/>
      <c r="B765" s="89"/>
      <c r="D765" s="10">
        <f t="shared" si="1"/>
        <v>30</v>
      </c>
      <c r="E765" s="10">
        <f t="shared" si="2"/>
        <v>12</v>
      </c>
      <c r="F765" s="10">
        <f t="shared" si="3"/>
        <v>1899</v>
      </c>
    </row>
    <row r="766">
      <c r="A766" s="15"/>
      <c r="B766" s="89"/>
      <c r="D766" s="10">
        <f t="shared" si="1"/>
        <v>30</v>
      </c>
      <c r="E766" s="10">
        <f t="shared" si="2"/>
        <v>12</v>
      </c>
      <c r="F766" s="10">
        <f t="shared" si="3"/>
        <v>1899</v>
      </c>
    </row>
    <row r="767">
      <c r="A767" s="15"/>
      <c r="B767" s="89"/>
      <c r="D767" s="10">
        <f t="shared" si="1"/>
        <v>30</v>
      </c>
      <c r="E767" s="10">
        <f t="shared" si="2"/>
        <v>12</v>
      </c>
      <c r="F767" s="10">
        <f t="shared" si="3"/>
        <v>1899</v>
      </c>
    </row>
    <row r="768">
      <c r="A768" s="15"/>
      <c r="B768" s="89"/>
      <c r="D768" s="10">
        <f t="shared" si="1"/>
        <v>30</v>
      </c>
      <c r="E768" s="10">
        <f t="shared" si="2"/>
        <v>12</v>
      </c>
      <c r="F768" s="10">
        <f t="shared" si="3"/>
        <v>1899</v>
      </c>
    </row>
    <row r="769">
      <c r="A769" s="15"/>
      <c r="B769" s="89"/>
      <c r="D769" s="10">
        <f t="shared" si="1"/>
        <v>30</v>
      </c>
      <c r="E769" s="10">
        <f t="shared" si="2"/>
        <v>12</v>
      </c>
      <c r="F769" s="10">
        <f t="shared" si="3"/>
        <v>1899</v>
      </c>
    </row>
    <row r="770">
      <c r="A770" s="15"/>
      <c r="B770" s="89"/>
      <c r="D770" s="10">
        <f t="shared" si="1"/>
        <v>30</v>
      </c>
      <c r="E770" s="10">
        <f t="shared" si="2"/>
        <v>12</v>
      </c>
      <c r="F770" s="10">
        <f t="shared" si="3"/>
        <v>1899</v>
      </c>
    </row>
    <row r="771">
      <c r="A771" s="15"/>
      <c r="B771" s="89"/>
      <c r="D771" s="10">
        <f t="shared" si="1"/>
        <v>30</v>
      </c>
      <c r="E771" s="10">
        <f t="shared" si="2"/>
        <v>12</v>
      </c>
      <c r="F771" s="10">
        <f t="shared" si="3"/>
        <v>1899</v>
      </c>
    </row>
    <row r="772">
      <c r="A772" s="15"/>
      <c r="B772" s="89"/>
      <c r="D772" s="10">
        <f t="shared" si="1"/>
        <v>30</v>
      </c>
      <c r="E772" s="10">
        <f t="shared" si="2"/>
        <v>12</v>
      </c>
      <c r="F772" s="10">
        <f t="shared" si="3"/>
        <v>1899</v>
      </c>
    </row>
    <row r="773">
      <c r="A773" s="15"/>
      <c r="B773" s="89"/>
      <c r="D773" s="10">
        <f t="shared" si="1"/>
        <v>30</v>
      </c>
      <c r="E773" s="10">
        <f t="shared" si="2"/>
        <v>12</v>
      </c>
      <c r="F773" s="10">
        <f t="shared" si="3"/>
        <v>1899</v>
      </c>
    </row>
    <row r="774">
      <c r="A774" s="15"/>
      <c r="B774" s="89"/>
      <c r="D774" s="10">
        <f t="shared" si="1"/>
        <v>30</v>
      </c>
      <c r="E774" s="10">
        <f t="shared" si="2"/>
        <v>12</v>
      </c>
      <c r="F774" s="10">
        <f t="shared" si="3"/>
        <v>1899</v>
      </c>
    </row>
    <row r="775">
      <c r="A775" s="15"/>
      <c r="B775" s="89"/>
      <c r="D775" s="10">
        <f t="shared" si="1"/>
        <v>30</v>
      </c>
      <c r="E775" s="10">
        <f t="shared" si="2"/>
        <v>12</v>
      </c>
      <c r="F775" s="10">
        <f t="shared" si="3"/>
        <v>1899</v>
      </c>
    </row>
    <row r="776">
      <c r="A776" s="15"/>
      <c r="B776" s="89"/>
      <c r="D776" s="10">
        <f t="shared" si="1"/>
        <v>30</v>
      </c>
      <c r="E776" s="10">
        <f t="shared" si="2"/>
        <v>12</v>
      </c>
      <c r="F776" s="10">
        <f t="shared" si="3"/>
        <v>1899</v>
      </c>
    </row>
    <row r="777">
      <c r="A777" s="15"/>
      <c r="B777" s="89"/>
      <c r="D777" s="10">
        <f t="shared" si="1"/>
        <v>30</v>
      </c>
      <c r="E777" s="10">
        <f t="shared" si="2"/>
        <v>12</v>
      </c>
      <c r="F777" s="10">
        <f t="shared" si="3"/>
        <v>1899</v>
      </c>
    </row>
    <row r="778">
      <c r="A778" s="15"/>
      <c r="B778" s="89"/>
      <c r="D778" s="10">
        <f t="shared" si="1"/>
        <v>30</v>
      </c>
      <c r="E778" s="10">
        <f t="shared" si="2"/>
        <v>12</v>
      </c>
      <c r="F778" s="10">
        <f t="shared" si="3"/>
        <v>1899</v>
      </c>
    </row>
    <row r="779">
      <c r="A779" s="15"/>
      <c r="B779" s="89"/>
      <c r="D779" s="10">
        <f t="shared" si="1"/>
        <v>30</v>
      </c>
      <c r="E779" s="10">
        <f t="shared" si="2"/>
        <v>12</v>
      </c>
      <c r="F779" s="10">
        <f t="shared" si="3"/>
        <v>1899</v>
      </c>
    </row>
    <row r="780">
      <c r="A780" s="15"/>
      <c r="B780" s="89"/>
      <c r="D780" s="10">
        <f t="shared" si="1"/>
        <v>30</v>
      </c>
      <c r="E780" s="10">
        <f t="shared" si="2"/>
        <v>12</v>
      </c>
      <c r="F780" s="10">
        <f t="shared" si="3"/>
        <v>1899</v>
      </c>
    </row>
    <row r="781">
      <c r="A781" s="15"/>
      <c r="B781" s="89"/>
      <c r="D781" s="10">
        <f t="shared" si="1"/>
        <v>30</v>
      </c>
      <c r="E781" s="10">
        <f t="shared" si="2"/>
        <v>12</v>
      </c>
      <c r="F781" s="10">
        <f t="shared" si="3"/>
        <v>1899</v>
      </c>
    </row>
    <row r="782">
      <c r="A782" s="15"/>
      <c r="B782" s="89"/>
      <c r="D782" s="10">
        <f t="shared" si="1"/>
        <v>30</v>
      </c>
      <c r="E782" s="10">
        <f t="shared" si="2"/>
        <v>12</v>
      </c>
      <c r="F782" s="10">
        <f t="shared" si="3"/>
        <v>1899</v>
      </c>
    </row>
    <row r="783">
      <c r="A783" s="15"/>
      <c r="B783" s="89"/>
      <c r="D783" s="10">
        <f t="shared" si="1"/>
        <v>30</v>
      </c>
      <c r="E783" s="10">
        <f t="shared" si="2"/>
        <v>12</v>
      </c>
      <c r="F783" s="10">
        <f t="shared" si="3"/>
        <v>1899</v>
      </c>
    </row>
    <row r="784">
      <c r="A784" s="15"/>
      <c r="B784" s="89"/>
      <c r="D784" s="10">
        <f t="shared" si="1"/>
        <v>30</v>
      </c>
      <c r="E784" s="10">
        <f t="shared" si="2"/>
        <v>12</v>
      </c>
      <c r="F784" s="10">
        <f t="shared" si="3"/>
        <v>1899</v>
      </c>
    </row>
    <row r="785">
      <c r="A785" s="15"/>
      <c r="B785" s="89"/>
      <c r="D785" s="10">
        <f t="shared" si="1"/>
        <v>30</v>
      </c>
      <c r="E785" s="10">
        <f t="shared" si="2"/>
        <v>12</v>
      </c>
      <c r="F785" s="10">
        <f t="shared" si="3"/>
        <v>1899</v>
      </c>
    </row>
    <row r="786">
      <c r="A786" s="15"/>
      <c r="B786" s="89"/>
      <c r="D786" s="10">
        <f t="shared" si="1"/>
        <v>30</v>
      </c>
      <c r="E786" s="10">
        <f t="shared" si="2"/>
        <v>12</v>
      </c>
      <c r="F786" s="10">
        <f t="shared" si="3"/>
        <v>1899</v>
      </c>
    </row>
    <row r="787">
      <c r="A787" s="15"/>
      <c r="B787" s="89"/>
      <c r="D787" s="10">
        <f t="shared" si="1"/>
        <v>30</v>
      </c>
      <c r="E787" s="10">
        <f t="shared" si="2"/>
        <v>12</v>
      </c>
      <c r="F787" s="10">
        <f t="shared" si="3"/>
        <v>1899</v>
      </c>
    </row>
    <row r="788">
      <c r="A788" s="15"/>
      <c r="B788" s="89"/>
      <c r="D788" s="10">
        <f t="shared" si="1"/>
        <v>30</v>
      </c>
      <c r="E788" s="10">
        <f t="shared" si="2"/>
        <v>12</v>
      </c>
      <c r="F788" s="10">
        <f t="shared" si="3"/>
        <v>1899</v>
      </c>
    </row>
    <row r="789">
      <c r="A789" s="15"/>
      <c r="B789" s="89"/>
      <c r="D789" s="10">
        <f t="shared" si="1"/>
        <v>30</v>
      </c>
      <c r="E789" s="10">
        <f t="shared" si="2"/>
        <v>12</v>
      </c>
      <c r="F789" s="10">
        <f t="shared" si="3"/>
        <v>1899</v>
      </c>
    </row>
    <row r="790">
      <c r="A790" s="15"/>
      <c r="B790" s="89"/>
      <c r="D790" s="10">
        <f t="shared" si="1"/>
        <v>30</v>
      </c>
      <c r="E790" s="10">
        <f t="shared" si="2"/>
        <v>12</v>
      </c>
      <c r="F790" s="10">
        <f t="shared" si="3"/>
        <v>1899</v>
      </c>
    </row>
    <row r="791">
      <c r="A791" s="15"/>
      <c r="B791" s="89"/>
      <c r="D791" s="10">
        <f t="shared" si="1"/>
        <v>30</v>
      </c>
      <c r="E791" s="10">
        <f t="shared" si="2"/>
        <v>12</v>
      </c>
      <c r="F791" s="10">
        <f t="shared" si="3"/>
        <v>1899</v>
      </c>
    </row>
    <row r="792">
      <c r="A792" s="15"/>
      <c r="B792" s="89"/>
      <c r="D792" s="10">
        <f t="shared" si="1"/>
        <v>30</v>
      </c>
      <c r="E792" s="10">
        <f t="shared" si="2"/>
        <v>12</v>
      </c>
      <c r="F792" s="10">
        <f t="shared" si="3"/>
        <v>1899</v>
      </c>
    </row>
    <row r="793">
      <c r="A793" s="15"/>
      <c r="B793" s="89"/>
      <c r="D793" s="10">
        <f t="shared" si="1"/>
        <v>30</v>
      </c>
      <c r="E793" s="10">
        <f t="shared" si="2"/>
        <v>12</v>
      </c>
      <c r="F793" s="10">
        <f t="shared" si="3"/>
        <v>1899</v>
      </c>
    </row>
    <row r="794">
      <c r="A794" s="15"/>
      <c r="B794" s="89"/>
      <c r="D794" s="10">
        <f t="shared" si="1"/>
        <v>30</v>
      </c>
      <c r="E794" s="10">
        <f t="shared" si="2"/>
        <v>12</v>
      </c>
      <c r="F794" s="10">
        <f t="shared" si="3"/>
        <v>1899</v>
      </c>
    </row>
    <row r="795">
      <c r="A795" s="15"/>
      <c r="B795" s="89"/>
      <c r="D795" s="10">
        <f t="shared" si="1"/>
        <v>30</v>
      </c>
      <c r="E795" s="10">
        <f t="shared" si="2"/>
        <v>12</v>
      </c>
      <c r="F795" s="10">
        <f t="shared" si="3"/>
        <v>1899</v>
      </c>
    </row>
    <row r="796">
      <c r="A796" s="15"/>
      <c r="B796" s="89"/>
      <c r="D796" s="10">
        <f t="shared" si="1"/>
        <v>30</v>
      </c>
      <c r="E796" s="10">
        <f t="shared" si="2"/>
        <v>12</v>
      </c>
      <c r="F796" s="10">
        <f t="shared" si="3"/>
        <v>1899</v>
      </c>
    </row>
    <row r="797">
      <c r="A797" s="15"/>
      <c r="B797" s="89"/>
      <c r="D797" s="10">
        <f t="shared" si="1"/>
        <v>30</v>
      </c>
      <c r="E797" s="10">
        <f t="shared" si="2"/>
        <v>12</v>
      </c>
      <c r="F797" s="10">
        <f t="shared" si="3"/>
        <v>1899</v>
      </c>
    </row>
    <row r="798">
      <c r="A798" s="15"/>
      <c r="B798" s="89"/>
      <c r="D798" s="10">
        <f t="shared" si="1"/>
        <v>30</v>
      </c>
      <c r="E798" s="10">
        <f t="shared" si="2"/>
        <v>12</v>
      </c>
      <c r="F798" s="10">
        <f t="shared" si="3"/>
        <v>1899</v>
      </c>
    </row>
    <row r="799">
      <c r="A799" s="15"/>
      <c r="B799" s="89"/>
      <c r="D799" s="10">
        <f t="shared" si="1"/>
        <v>30</v>
      </c>
      <c r="E799" s="10">
        <f t="shared" si="2"/>
        <v>12</v>
      </c>
      <c r="F799" s="10">
        <f t="shared" si="3"/>
        <v>1899</v>
      </c>
    </row>
    <row r="800">
      <c r="A800" s="15"/>
      <c r="B800" s="89"/>
      <c r="D800" s="10">
        <f t="shared" si="1"/>
        <v>30</v>
      </c>
      <c r="E800" s="10">
        <f t="shared" si="2"/>
        <v>12</v>
      </c>
      <c r="F800" s="10">
        <f t="shared" si="3"/>
        <v>1899</v>
      </c>
    </row>
    <row r="801">
      <c r="A801" s="15"/>
      <c r="B801" s="89"/>
      <c r="D801" s="10">
        <f t="shared" si="1"/>
        <v>30</v>
      </c>
      <c r="E801" s="10">
        <f t="shared" si="2"/>
        <v>12</v>
      </c>
      <c r="F801" s="10">
        <f t="shared" si="3"/>
        <v>1899</v>
      </c>
    </row>
    <row r="802">
      <c r="A802" s="15"/>
      <c r="B802" s="89"/>
      <c r="D802" s="10">
        <f t="shared" si="1"/>
        <v>30</v>
      </c>
      <c r="E802" s="10">
        <f t="shared" si="2"/>
        <v>12</v>
      </c>
      <c r="F802" s="10">
        <f t="shared" si="3"/>
        <v>1899</v>
      </c>
    </row>
    <row r="803">
      <c r="A803" s="15"/>
      <c r="B803" s="89"/>
      <c r="D803" s="10">
        <f t="shared" si="1"/>
        <v>30</v>
      </c>
      <c r="E803" s="10">
        <f t="shared" si="2"/>
        <v>12</v>
      </c>
      <c r="F803" s="10">
        <f t="shared" si="3"/>
        <v>1899</v>
      </c>
    </row>
    <row r="804">
      <c r="A804" s="15"/>
      <c r="B804" s="89"/>
      <c r="D804" s="10">
        <f t="shared" si="1"/>
        <v>30</v>
      </c>
      <c r="E804" s="10">
        <f t="shared" si="2"/>
        <v>12</v>
      </c>
      <c r="F804" s="10">
        <f t="shared" si="3"/>
        <v>1899</v>
      </c>
    </row>
    <row r="805">
      <c r="A805" s="15"/>
      <c r="B805" s="89"/>
      <c r="D805" s="10">
        <f t="shared" si="1"/>
        <v>30</v>
      </c>
      <c r="E805" s="10">
        <f t="shared" si="2"/>
        <v>12</v>
      </c>
      <c r="F805" s="10">
        <f t="shared" si="3"/>
        <v>1899</v>
      </c>
    </row>
    <row r="806">
      <c r="A806" s="15"/>
      <c r="B806" s="89"/>
      <c r="D806" s="10">
        <f t="shared" si="1"/>
        <v>30</v>
      </c>
      <c r="E806" s="10">
        <f t="shared" si="2"/>
        <v>12</v>
      </c>
      <c r="F806" s="10">
        <f t="shared" si="3"/>
        <v>1899</v>
      </c>
    </row>
    <row r="807">
      <c r="A807" s="15"/>
      <c r="B807" s="89"/>
      <c r="D807" s="10">
        <f t="shared" si="1"/>
        <v>30</v>
      </c>
      <c r="E807" s="10">
        <f t="shared" si="2"/>
        <v>12</v>
      </c>
      <c r="F807" s="10">
        <f t="shared" si="3"/>
        <v>1899</v>
      </c>
    </row>
    <row r="808">
      <c r="A808" s="15"/>
      <c r="B808" s="89"/>
      <c r="D808" s="10">
        <f t="shared" si="1"/>
        <v>30</v>
      </c>
      <c r="E808" s="10">
        <f t="shared" si="2"/>
        <v>12</v>
      </c>
      <c r="F808" s="10">
        <f t="shared" si="3"/>
        <v>1899</v>
      </c>
    </row>
    <row r="809">
      <c r="A809" s="15"/>
      <c r="B809" s="89"/>
      <c r="D809" s="10">
        <f t="shared" si="1"/>
        <v>30</v>
      </c>
      <c r="E809" s="10">
        <f t="shared" si="2"/>
        <v>12</v>
      </c>
      <c r="F809" s="10">
        <f t="shared" si="3"/>
        <v>1899</v>
      </c>
    </row>
    <row r="810">
      <c r="A810" s="15"/>
      <c r="B810" s="89"/>
      <c r="D810" s="10">
        <f t="shared" si="1"/>
        <v>30</v>
      </c>
      <c r="E810" s="10">
        <f t="shared" si="2"/>
        <v>12</v>
      </c>
      <c r="F810" s="10">
        <f t="shared" si="3"/>
        <v>1899</v>
      </c>
    </row>
    <row r="811">
      <c r="A811" s="15"/>
      <c r="B811" s="89"/>
      <c r="D811" s="10">
        <f t="shared" si="1"/>
        <v>30</v>
      </c>
      <c r="E811" s="10">
        <f t="shared" si="2"/>
        <v>12</v>
      </c>
      <c r="F811" s="10">
        <f t="shared" si="3"/>
        <v>1899</v>
      </c>
    </row>
    <row r="812">
      <c r="A812" s="15"/>
      <c r="B812" s="89"/>
      <c r="D812" s="10">
        <f t="shared" si="1"/>
        <v>30</v>
      </c>
      <c r="E812" s="10">
        <f t="shared" si="2"/>
        <v>12</v>
      </c>
      <c r="F812" s="10">
        <f t="shared" si="3"/>
        <v>1899</v>
      </c>
    </row>
    <row r="813">
      <c r="A813" s="15"/>
      <c r="B813" s="89"/>
      <c r="D813" s="10">
        <f t="shared" si="1"/>
        <v>30</v>
      </c>
      <c r="E813" s="10">
        <f t="shared" si="2"/>
        <v>12</v>
      </c>
      <c r="F813" s="10">
        <f t="shared" si="3"/>
        <v>1899</v>
      </c>
    </row>
    <row r="814">
      <c r="A814" s="15"/>
      <c r="B814" s="89"/>
      <c r="D814" s="10">
        <f t="shared" si="1"/>
        <v>30</v>
      </c>
      <c r="E814" s="10">
        <f t="shared" si="2"/>
        <v>12</v>
      </c>
      <c r="F814" s="10">
        <f t="shared" si="3"/>
        <v>1899</v>
      </c>
    </row>
    <row r="815">
      <c r="A815" s="15"/>
      <c r="B815" s="89"/>
      <c r="D815" s="10">
        <f t="shared" si="1"/>
        <v>30</v>
      </c>
      <c r="E815" s="10">
        <f t="shared" si="2"/>
        <v>12</v>
      </c>
      <c r="F815" s="10">
        <f t="shared" si="3"/>
        <v>1899</v>
      </c>
    </row>
    <row r="816">
      <c r="A816" s="15"/>
      <c r="B816" s="89"/>
      <c r="D816" s="10">
        <f t="shared" si="1"/>
        <v>30</v>
      </c>
      <c r="E816" s="10">
        <f t="shared" si="2"/>
        <v>12</v>
      </c>
      <c r="F816" s="10">
        <f t="shared" si="3"/>
        <v>1899</v>
      </c>
    </row>
    <row r="817">
      <c r="A817" s="15"/>
      <c r="B817" s="89"/>
      <c r="D817" s="10">
        <f t="shared" si="1"/>
        <v>30</v>
      </c>
      <c r="E817" s="10">
        <f t="shared" si="2"/>
        <v>12</v>
      </c>
      <c r="F817" s="10">
        <f t="shared" si="3"/>
        <v>1899</v>
      </c>
    </row>
    <row r="818">
      <c r="A818" s="15"/>
      <c r="B818" s="89"/>
      <c r="D818" s="10">
        <f t="shared" si="1"/>
        <v>30</v>
      </c>
      <c r="E818" s="10">
        <f t="shared" si="2"/>
        <v>12</v>
      </c>
      <c r="F818" s="10">
        <f t="shared" si="3"/>
        <v>1899</v>
      </c>
    </row>
    <row r="819">
      <c r="A819" s="15"/>
      <c r="B819" s="89"/>
      <c r="D819" s="10">
        <f t="shared" si="1"/>
        <v>30</v>
      </c>
      <c r="E819" s="10">
        <f t="shared" si="2"/>
        <v>12</v>
      </c>
      <c r="F819" s="10">
        <f t="shared" si="3"/>
        <v>1899</v>
      </c>
    </row>
    <row r="820">
      <c r="A820" s="15"/>
      <c r="B820" s="89"/>
      <c r="D820" s="10">
        <f t="shared" si="1"/>
        <v>30</v>
      </c>
      <c r="E820" s="10">
        <f t="shared" si="2"/>
        <v>12</v>
      </c>
      <c r="F820" s="10">
        <f t="shared" si="3"/>
        <v>1899</v>
      </c>
    </row>
    <row r="821">
      <c r="A821" s="15"/>
      <c r="B821" s="89"/>
      <c r="D821" s="10">
        <f t="shared" si="1"/>
        <v>30</v>
      </c>
      <c r="E821" s="10">
        <f t="shared" si="2"/>
        <v>12</v>
      </c>
      <c r="F821" s="10">
        <f t="shared" si="3"/>
        <v>1899</v>
      </c>
    </row>
    <row r="822">
      <c r="A822" s="15"/>
      <c r="B822" s="89"/>
      <c r="D822" s="10">
        <f t="shared" si="1"/>
        <v>30</v>
      </c>
      <c r="E822" s="10">
        <f t="shared" si="2"/>
        <v>12</v>
      </c>
      <c r="F822" s="10">
        <f t="shared" si="3"/>
        <v>1899</v>
      </c>
    </row>
    <row r="823">
      <c r="A823" s="15"/>
      <c r="B823" s="89"/>
      <c r="D823" s="10">
        <f t="shared" si="1"/>
        <v>30</v>
      </c>
      <c r="E823" s="10">
        <f t="shared" si="2"/>
        <v>12</v>
      </c>
      <c r="F823" s="10">
        <f t="shared" si="3"/>
        <v>1899</v>
      </c>
    </row>
    <row r="824">
      <c r="A824" s="15"/>
      <c r="B824" s="89"/>
      <c r="D824" s="10">
        <f t="shared" si="1"/>
        <v>30</v>
      </c>
      <c r="E824" s="10">
        <f t="shared" si="2"/>
        <v>12</v>
      </c>
      <c r="F824" s="10">
        <f t="shared" si="3"/>
        <v>1899</v>
      </c>
    </row>
    <row r="825">
      <c r="A825" s="15"/>
      <c r="B825" s="89"/>
      <c r="D825" s="10">
        <f t="shared" si="1"/>
        <v>30</v>
      </c>
      <c r="E825" s="10">
        <f t="shared" si="2"/>
        <v>12</v>
      </c>
      <c r="F825" s="10">
        <f t="shared" si="3"/>
        <v>1899</v>
      </c>
    </row>
    <row r="826">
      <c r="A826" s="15"/>
      <c r="B826" s="89"/>
      <c r="D826" s="10">
        <f t="shared" si="1"/>
        <v>30</v>
      </c>
      <c r="E826" s="10">
        <f t="shared" si="2"/>
        <v>12</v>
      </c>
      <c r="F826" s="10">
        <f t="shared" si="3"/>
        <v>1899</v>
      </c>
    </row>
    <row r="827">
      <c r="A827" s="15"/>
      <c r="B827" s="89"/>
      <c r="D827" s="10">
        <f t="shared" si="1"/>
        <v>30</v>
      </c>
      <c r="E827" s="10">
        <f t="shared" si="2"/>
        <v>12</v>
      </c>
      <c r="F827" s="10">
        <f t="shared" si="3"/>
        <v>1899</v>
      </c>
    </row>
    <row r="828">
      <c r="A828" s="15"/>
      <c r="B828" s="89"/>
      <c r="D828" s="10">
        <f t="shared" si="1"/>
        <v>30</v>
      </c>
      <c r="E828" s="10">
        <f t="shared" si="2"/>
        <v>12</v>
      </c>
      <c r="F828" s="10">
        <f t="shared" si="3"/>
        <v>1899</v>
      </c>
    </row>
    <row r="829">
      <c r="A829" s="15"/>
      <c r="B829" s="89"/>
      <c r="D829" s="10">
        <f t="shared" si="1"/>
        <v>30</v>
      </c>
      <c r="E829" s="10">
        <f t="shared" si="2"/>
        <v>12</v>
      </c>
      <c r="F829" s="10">
        <f t="shared" si="3"/>
        <v>1899</v>
      </c>
    </row>
    <row r="830">
      <c r="A830" s="15"/>
      <c r="B830" s="89"/>
      <c r="D830" s="10">
        <f t="shared" si="1"/>
        <v>30</v>
      </c>
      <c r="E830" s="10">
        <f t="shared" si="2"/>
        <v>12</v>
      </c>
      <c r="F830" s="10">
        <f t="shared" si="3"/>
        <v>1899</v>
      </c>
    </row>
    <row r="831">
      <c r="A831" s="15"/>
      <c r="B831" s="89"/>
      <c r="D831" s="10">
        <f t="shared" si="1"/>
        <v>30</v>
      </c>
      <c r="E831" s="10">
        <f t="shared" si="2"/>
        <v>12</v>
      </c>
      <c r="F831" s="10">
        <f t="shared" si="3"/>
        <v>1899</v>
      </c>
    </row>
    <row r="832">
      <c r="A832" s="15"/>
      <c r="B832" s="89"/>
      <c r="D832" s="10">
        <f t="shared" si="1"/>
        <v>30</v>
      </c>
      <c r="E832" s="10">
        <f t="shared" si="2"/>
        <v>12</v>
      </c>
      <c r="F832" s="10">
        <f t="shared" si="3"/>
        <v>1899</v>
      </c>
    </row>
    <row r="833">
      <c r="A833" s="15"/>
      <c r="B833" s="89"/>
      <c r="D833" s="10">
        <f t="shared" si="1"/>
        <v>30</v>
      </c>
      <c r="E833" s="10">
        <f t="shared" si="2"/>
        <v>12</v>
      </c>
      <c r="F833" s="10">
        <f t="shared" si="3"/>
        <v>1899</v>
      </c>
    </row>
    <row r="834">
      <c r="A834" s="15"/>
      <c r="B834" s="89"/>
      <c r="D834" s="10">
        <f t="shared" si="1"/>
        <v>30</v>
      </c>
      <c r="E834" s="10">
        <f t="shared" si="2"/>
        <v>12</v>
      </c>
      <c r="F834" s="10">
        <f t="shared" si="3"/>
        <v>1899</v>
      </c>
    </row>
    <row r="835">
      <c r="A835" s="15"/>
      <c r="B835" s="89"/>
      <c r="D835" s="10">
        <f t="shared" si="1"/>
        <v>30</v>
      </c>
      <c r="E835" s="10">
        <f t="shared" si="2"/>
        <v>12</v>
      </c>
      <c r="F835" s="10">
        <f t="shared" si="3"/>
        <v>1899</v>
      </c>
    </row>
    <row r="836">
      <c r="A836" s="15"/>
      <c r="B836" s="89"/>
      <c r="D836" s="10">
        <f t="shared" si="1"/>
        <v>30</v>
      </c>
      <c r="E836" s="10">
        <f t="shared" si="2"/>
        <v>12</v>
      </c>
      <c r="F836" s="10">
        <f t="shared" si="3"/>
        <v>1899</v>
      </c>
    </row>
    <row r="837">
      <c r="A837" s="15"/>
      <c r="B837" s="89"/>
      <c r="D837" s="10">
        <f t="shared" si="1"/>
        <v>30</v>
      </c>
      <c r="E837" s="10">
        <f t="shared" si="2"/>
        <v>12</v>
      </c>
      <c r="F837" s="10">
        <f t="shared" si="3"/>
        <v>1899</v>
      </c>
    </row>
    <row r="838">
      <c r="A838" s="15"/>
      <c r="B838" s="89"/>
      <c r="D838" s="10">
        <f t="shared" si="1"/>
        <v>30</v>
      </c>
      <c r="E838" s="10">
        <f t="shared" si="2"/>
        <v>12</v>
      </c>
      <c r="F838" s="10">
        <f t="shared" si="3"/>
        <v>1899</v>
      </c>
    </row>
    <row r="839">
      <c r="A839" s="15"/>
      <c r="B839" s="89"/>
      <c r="D839" s="10">
        <f t="shared" si="1"/>
        <v>30</v>
      </c>
      <c r="E839" s="10">
        <f t="shared" si="2"/>
        <v>12</v>
      </c>
      <c r="F839" s="10">
        <f t="shared" si="3"/>
        <v>1899</v>
      </c>
    </row>
    <row r="840">
      <c r="A840" s="15"/>
      <c r="B840" s="89"/>
      <c r="D840" s="10">
        <f t="shared" si="1"/>
        <v>30</v>
      </c>
      <c r="E840" s="10">
        <f t="shared" si="2"/>
        <v>12</v>
      </c>
      <c r="F840" s="10">
        <f t="shared" si="3"/>
        <v>1899</v>
      </c>
    </row>
    <row r="841">
      <c r="A841" s="15"/>
      <c r="B841" s="89"/>
      <c r="D841" s="10">
        <f t="shared" si="1"/>
        <v>30</v>
      </c>
      <c r="E841" s="10">
        <f t="shared" si="2"/>
        <v>12</v>
      </c>
      <c r="F841" s="10">
        <f t="shared" si="3"/>
        <v>1899</v>
      </c>
    </row>
    <row r="842">
      <c r="A842" s="15"/>
      <c r="B842" s="89"/>
      <c r="D842" s="10">
        <f t="shared" si="1"/>
        <v>30</v>
      </c>
      <c r="E842" s="10">
        <f t="shared" si="2"/>
        <v>12</v>
      </c>
      <c r="F842" s="10">
        <f t="shared" si="3"/>
        <v>1899</v>
      </c>
    </row>
    <row r="843">
      <c r="A843" s="15"/>
      <c r="B843" s="89"/>
      <c r="D843" s="10">
        <f t="shared" si="1"/>
        <v>30</v>
      </c>
      <c r="E843" s="10">
        <f t="shared" si="2"/>
        <v>12</v>
      </c>
      <c r="F843" s="10">
        <f t="shared" si="3"/>
        <v>1899</v>
      </c>
    </row>
    <row r="844">
      <c r="A844" s="15"/>
      <c r="B844" s="89"/>
      <c r="D844" s="10">
        <f t="shared" si="1"/>
        <v>30</v>
      </c>
      <c r="E844" s="10">
        <f t="shared" si="2"/>
        <v>12</v>
      </c>
      <c r="F844" s="10">
        <f t="shared" si="3"/>
        <v>1899</v>
      </c>
    </row>
    <row r="845">
      <c r="A845" s="15"/>
      <c r="B845" s="89"/>
      <c r="D845" s="10">
        <f t="shared" si="1"/>
        <v>30</v>
      </c>
      <c r="E845" s="10">
        <f t="shared" si="2"/>
        <v>12</v>
      </c>
      <c r="F845" s="10">
        <f t="shared" si="3"/>
        <v>1899</v>
      </c>
    </row>
    <row r="846">
      <c r="A846" s="15"/>
      <c r="B846" s="89"/>
      <c r="D846" s="10">
        <f t="shared" si="1"/>
        <v>30</v>
      </c>
      <c r="E846" s="10">
        <f t="shared" si="2"/>
        <v>12</v>
      </c>
      <c r="F846" s="10">
        <f t="shared" si="3"/>
        <v>1899</v>
      </c>
    </row>
    <row r="847">
      <c r="A847" s="15"/>
      <c r="B847" s="89"/>
      <c r="D847" s="10">
        <f t="shared" si="1"/>
        <v>30</v>
      </c>
      <c r="E847" s="10">
        <f t="shared" si="2"/>
        <v>12</v>
      </c>
      <c r="F847" s="10">
        <f t="shared" si="3"/>
        <v>1899</v>
      </c>
    </row>
    <row r="848">
      <c r="A848" s="15"/>
      <c r="B848" s="89"/>
      <c r="D848" s="10">
        <f t="shared" si="1"/>
        <v>30</v>
      </c>
      <c r="E848" s="10">
        <f t="shared" si="2"/>
        <v>12</v>
      </c>
      <c r="F848" s="10">
        <f t="shared" si="3"/>
        <v>1899</v>
      </c>
    </row>
    <row r="849">
      <c r="A849" s="15"/>
      <c r="B849" s="89"/>
      <c r="D849" s="10">
        <f t="shared" si="1"/>
        <v>30</v>
      </c>
      <c r="E849" s="10">
        <f t="shared" si="2"/>
        <v>12</v>
      </c>
      <c r="F849" s="10">
        <f t="shared" si="3"/>
        <v>1899</v>
      </c>
    </row>
    <row r="850">
      <c r="A850" s="15"/>
      <c r="B850" s="89"/>
      <c r="D850" s="10">
        <f t="shared" si="1"/>
        <v>30</v>
      </c>
      <c r="E850" s="10">
        <f t="shared" si="2"/>
        <v>12</v>
      </c>
      <c r="F850" s="10">
        <f t="shared" si="3"/>
        <v>1899</v>
      </c>
    </row>
    <row r="851">
      <c r="A851" s="15"/>
      <c r="B851" s="89"/>
      <c r="D851" s="10">
        <f t="shared" si="1"/>
        <v>30</v>
      </c>
      <c r="E851" s="10">
        <f t="shared" si="2"/>
        <v>12</v>
      </c>
      <c r="F851" s="10">
        <f t="shared" si="3"/>
        <v>1899</v>
      </c>
    </row>
    <row r="852">
      <c r="A852" s="15"/>
      <c r="B852" s="89"/>
      <c r="D852" s="10">
        <f t="shared" si="1"/>
        <v>30</v>
      </c>
      <c r="E852" s="10">
        <f t="shared" si="2"/>
        <v>12</v>
      </c>
      <c r="F852" s="10">
        <f t="shared" si="3"/>
        <v>1899</v>
      </c>
    </row>
    <row r="853">
      <c r="A853" s="15"/>
      <c r="B853" s="89"/>
      <c r="D853" s="10">
        <f t="shared" si="1"/>
        <v>30</v>
      </c>
      <c r="E853" s="10">
        <f t="shared" si="2"/>
        <v>12</v>
      </c>
      <c r="F853" s="10">
        <f t="shared" si="3"/>
        <v>1899</v>
      </c>
    </row>
    <row r="854">
      <c r="A854" s="15"/>
      <c r="B854" s="89"/>
      <c r="D854" s="10">
        <f t="shared" si="1"/>
        <v>30</v>
      </c>
      <c r="E854" s="10">
        <f t="shared" si="2"/>
        <v>12</v>
      </c>
      <c r="F854" s="10">
        <f t="shared" si="3"/>
        <v>1899</v>
      </c>
    </row>
    <row r="855">
      <c r="A855" s="15"/>
      <c r="B855" s="89"/>
      <c r="D855" s="10">
        <f t="shared" si="1"/>
        <v>30</v>
      </c>
      <c r="E855" s="10">
        <f t="shared" si="2"/>
        <v>12</v>
      </c>
      <c r="F855" s="10">
        <f t="shared" si="3"/>
        <v>1899</v>
      </c>
    </row>
    <row r="856">
      <c r="A856" s="15"/>
      <c r="B856" s="89"/>
      <c r="D856" s="10">
        <f t="shared" si="1"/>
        <v>30</v>
      </c>
      <c r="E856" s="10">
        <f t="shared" si="2"/>
        <v>12</v>
      </c>
      <c r="F856" s="10">
        <f t="shared" si="3"/>
        <v>1899</v>
      </c>
    </row>
    <row r="857">
      <c r="A857" s="15"/>
      <c r="B857" s="89"/>
      <c r="D857" s="10">
        <f t="shared" si="1"/>
        <v>30</v>
      </c>
      <c r="E857" s="10">
        <f t="shared" si="2"/>
        <v>12</v>
      </c>
      <c r="F857" s="10">
        <f t="shared" si="3"/>
        <v>1899</v>
      </c>
    </row>
    <row r="858">
      <c r="A858" s="15"/>
      <c r="B858" s="89"/>
      <c r="D858" s="10">
        <f t="shared" si="1"/>
        <v>30</v>
      </c>
      <c r="E858" s="10">
        <f t="shared" si="2"/>
        <v>12</v>
      </c>
      <c r="F858" s="10">
        <f t="shared" si="3"/>
        <v>1899</v>
      </c>
    </row>
    <row r="859">
      <c r="A859" s="15"/>
      <c r="B859" s="89"/>
      <c r="D859" s="10">
        <f t="shared" si="1"/>
        <v>30</v>
      </c>
      <c r="E859" s="10">
        <f t="shared" si="2"/>
        <v>12</v>
      </c>
      <c r="F859" s="10">
        <f t="shared" si="3"/>
        <v>1899</v>
      </c>
    </row>
    <row r="860">
      <c r="A860" s="15"/>
      <c r="B860" s="89"/>
      <c r="D860" s="10">
        <f t="shared" si="1"/>
        <v>30</v>
      </c>
      <c r="E860" s="10">
        <f t="shared" si="2"/>
        <v>12</v>
      </c>
      <c r="F860" s="10">
        <f t="shared" si="3"/>
        <v>1899</v>
      </c>
    </row>
    <row r="861">
      <c r="A861" s="15"/>
      <c r="B861" s="89"/>
      <c r="D861" s="10">
        <f t="shared" si="1"/>
        <v>30</v>
      </c>
      <c r="E861" s="10">
        <f t="shared" si="2"/>
        <v>12</v>
      </c>
      <c r="F861" s="10">
        <f t="shared" si="3"/>
        <v>1899</v>
      </c>
    </row>
    <row r="862">
      <c r="A862" s="15"/>
      <c r="B862" s="89"/>
      <c r="D862" s="10">
        <f t="shared" si="1"/>
        <v>30</v>
      </c>
      <c r="E862" s="10">
        <f t="shared" si="2"/>
        <v>12</v>
      </c>
      <c r="F862" s="10">
        <f t="shared" si="3"/>
        <v>1899</v>
      </c>
    </row>
    <row r="863">
      <c r="A863" s="15"/>
      <c r="B863" s="89"/>
      <c r="D863" s="10">
        <f t="shared" si="1"/>
        <v>30</v>
      </c>
      <c r="E863" s="10">
        <f t="shared" si="2"/>
        <v>12</v>
      </c>
      <c r="F863" s="10">
        <f t="shared" si="3"/>
        <v>1899</v>
      </c>
    </row>
    <row r="864">
      <c r="A864" s="15"/>
      <c r="B864" s="89"/>
      <c r="D864" s="10">
        <f t="shared" si="1"/>
        <v>30</v>
      </c>
      <c r="E864" s="10">
        <f t="shared" si="2"/>
        <v>12</v>
      </c>
      <c r="F864" s="10">
        <f t="shared" si="3"/>
        <v>1899</v>
      </c>
    </row>
    <row r="865">
      <c r="A865" s="15"/>
      <c r="B865" s="89"/>
      <c r="D865" s="10">
        <f t="shared" si="1"/>
        <v>30</v>
      </c>
      <c r="E865" s="10">
        <f t="shared" si="2"/>
        <v>12</v>
      </c>
      <c r="F865" s="10">
        <f t="shared" si="3"/>
        <v>1899</v>
      </c>
    </row>
    <row r="866">
      <c r="A866" s="15"/>
      <c r="B866" s="89"/>
      <c r="D866" s="10">
        <f t="shared" si="1"/>
        <v>30</v>
      </c>
      <c r="E866" s="10">
        <f t="shared" si="2"/>
        <v>12</v>
      </c>
      <c r="F866" s="10">
        <f t="shared" si="3"/>
        <v>1899</v>
      </c>
    </row>
    <row r="867">
      <c r="A867" s="15"/>
      <c r="B867" s="89"/>
      <c r="D867" s="10">
        <f t="shared" si="1"/>
        <v>30</v>
      </c>
      <c r="E867" s="10">
        <f t="shared" si="2"/>
        <v>12</v>
      </c>
      <c r="F867" s="10">
        <f t="shared" si="3"/>
        <v>1899</v>
      </c>
    </row>
    <row r="868">
      <c r="A868" s="15"/>
      <c r="B868" s="89"/>
      <c r="D868" s="10">
        <f t="shared" si="1"/>
        <v>30</v>
      </c>
      <c r="E868" s="10">
        <f t="shared" si="2"/>
        <v>12</v>
      </c>
      <c r="F868" s="10">
        <f t="shared" si="3"/>
        <v>1899</v>
      </c>
    </row>
    <row r="869">
      <c r="A869" s="15"/>
      <c r="B869" s="89"/>
      <c r="D869" s="10">
        <f t="shared" si="1"/>
        <v>30</v>
      </c>
      <c r="E869" s="10">
        <f t="shared" si="2"/>
        <v>12</v>
      </c>
      <c r="F869" s="10">
        <f t="shared" si="3"/>
        <v>1899</v>
      </c>
    </row>
    <row r="870">
      <c r="A870" s="15"/>
      <c r="B870" s="89"/>
      <c r="D870" s="10">
        <f t="shared" si="1"/>
        <v>30</v>
      </c>
      <c r="E870" s="10">
        <f t="shared" si="2"/>
        <v>12</v>
      </c>
      <c r="F870" s="10">
        <f t="shared" si="3"/>
        <v>1899</v>
      </c>
    </row>
    <row r="871">
      <c r="A871" s="15"/>
      <c r="B871" s="89"/>
      <c r="D871" s="10">
        <f t="shared" si="1"/>
        <v>30</v>
      </c>
      <c r="E871" s="10">
        <f t="shared" si="2"/>
        <v>12</v>
      </c>
      <c r="F871" s="10">
        <f t="shared" si="3"/>
        <v>1899</v>
      </c>
    </row>
    <row r="872">
      <c r="A872" s="15"/>
      <c r="B872" s="89"/>
      <c r="D872" s="10">
        <f t="shared" si="1"/>
        <v>30</v>
      </c>
      <c r="E872" s="10">
        <f t="shared" si="2"/>
        <v>12</v>
      </c>
      <c r="F872" s="10">
        <f t="shared" si="3"/>
        <v>1899</v>
      </c>
    </row>
    <row r="873">
      <c r="A873" s="15"/>
      <c r="B873" s="89"/>
      <c r="D873" s="10">
        <f t="shared" si="1"/>
        <v>30</v>
      </c>
      <c r="E873" s="10">
        <f t="shared" si="2"/>
        <v>12</v>
      </c>
      <c r="F873" s="10">
        <f t="shared" si="3"/>
        <v>1899</v>
      </c>
    </row>
    <row r="874">
      <c r="A874" s="15"/>
      <c r="B874" s="89"/>
      <c r="D874" s="10">
        <f t="shared" si="1"/>
        <v>30</v>
      </c>
      <c r="E874" s="10">
        <f t="shared" si="2"/>
        <v>12</v>
      </c>
      <c r="F874" s="10">
        <f t="shared" si="3"/>
        <v>1899</v>
      </c>
    </row>
    <row r="875">
      <c r="A875" s="15"/>
      <c r="B875" s="89"/>
      <c r="D875" s="10">
        <f t="shared" si="1"/>
        <v>30</v>
      </c>
      <c r="E875" s="10">
        <f t="shared" si="2"/>
        <v>12</v>
      </c>
      <c r="F875" s="10">
        <f t="shared" si="3"/>
        <v>1899</v>
      </c>
    </row>
    <row r="876">
      <c r="A876" s="15"/>
      <c r="B876" s="89"/>
      <c r="D876" s="10">
        <f t="shared" si="1"/>
        <v>30</v>
      </c>
      <c r="E876" s="10">
        <f t="shared" si="2"/>
        <v>12</v>
      </c>
      <c r="F876" s="10">
        <f t="shared" si="3"/>
        <v>1899</v>
      </c>
    </row>
    <row r="877">
      <c r="A877" s="15"/>
      <c r="B877" s="89"/>
      <c r="D877" s="10">
        <f t="shared" si="1"/>
        <v>30</v>
      </c>
      <c r="E877" s="10">
        <f t="shared" si="2"/>
        <v>12</v>
      </c>
      <c r="F877" s="10">
        <f t="shared" si="3"/>
        <v>1899</v>
      </c>
    </row>
    <row r="878">
      <c r="A878" s="15"/>
      <c r="B878" s="89"/>
      <c r="D878" s="10">
        <f t="shared" si="1"/>
        <v>30</v>
      </c>
      <c r="E878" s="10">
        <f t="shared" si="2"/>
        <v>12</v>
      </c>
      <c r="F878" s="10">
        <f t="shared" si="3"/>
        <v>1899</v>
      </c>
    </row>
    <row r="879">
      <c r="A879" s="15"/>
      <c r="B879" s="89"/>
      <c r="D879" s="10">
        <f t="shared" si="1"/>
        <v>30</v>
      </c>
      <c r="E879" s="10">
        <f t="shared" si="2"/>
        <v>12</v>
      </c>
      <c r="F879" s="10">
        <f t="shared" si="3"/>
        <v>1899</v>
      </c>
    </row>
    <row r="880">
      <c r="A880" s="15"/>
      <c r="B880" s="89"/>
      <c r="D880" s="10">
        <f t="shared" si="1"/>
        <v>30</v>
      </c>
      <c r="E880" s="10">
        <f t="shared" si="2"/>
        <v>12</v>
      </c>
      <c r="F880" s="10">
        <f t="shared" si="3"/>
        <v>1899</v>
      </c>
    </row>
    <row r="881">
      <c r="A881" s="15"/>
      <c r="B881" s="89"/>
      <c r="D881" s="10">
        <f t="shared" si="1"/>
        <v>30</v>
      </c>
      <c r="E881" s="10">
        <f t="shared" si="2"/>
        <v>12</v>
      </c>
      <c r="F881" s="10">
        <f t="shared" si="3"/>
        <v>1899</v>
      </c>
    </row>
    <row r="882">
      <c r="A882" s="15"/>
      <c r="B882" s="89"/>
      <c r="D882" s="10">
        <f t="shared" si="1"/>
        <v>30</v>
      </c>
      <c r="E882" s="10">
        <f t="shared" si="2"/>
        <v>12</v>
      </c>
      <c r="F882" s="10">
        <f t="shared" si="3"/>
        <v>1899</v>
      </c>
    </row>
    <row r="883">
      <c r="A883" s="15"/>
      <c r="B883" s="89"/>
      <c r="D883" s="10">
        <f t="shared" si="1"/>
        <v>30</v>
      </c>
      <c r="E883" s="10">
        <f t="shared" si="2"/>
        <v>12</v>
      </c>
      <c r="F883" s="10">
        <f t="shared" si="3"/>
        <v>1899</v>
      </c>
    </row>
    <row r="884">
      <c r="A884" s="15"/>
      <c r="B884" s="89"/>
      <c r="D884" s="10">
        <f t="shared" si="1"/>
        <v>30</v>
      </c>
      <c r="E884" s="10">
        <f t="shared" si="2"/>
        <v>12</v>
      </c>
      <c r="F884" s="10">
        <f t="shared" si="3"/>
        <v>1899</v>
      </c>
    </row>
    <row r="885">
      <c r="A885" s="15"/>
      <c r="B885" s="89"/>
      <c r="D885" s="10">
        <f t="shared" si="1"/>
        <v>30</v>
      </c>
      <c r="E885" s="10">
        <f t="shared" si="2"/>
        <v>12</v>
      </c>
      <c r="F885" s="10">
        <f t="shared" si="3"/>
        <v>1899</v>
      </c>
    </row>
    <row r="886">
      <c r="A886" s="15"/>
      <c r="B886" s="89"/>
      <c r="D886" s="10">
        <f t="shared" si="1"/>
        <v>30</v>
      </c>
      <c r="E886" s="10">
        <f t="shared" si="2"/>
        <v>12</v>
      </c>
      <c r="F886" s="10">
        <f t="shared" si="3"/>
        <v>1899</v>
      </c>
    </row>
    <row r="887">
      <c r="A887" s="15"/>
      <c r="B887" s="89"/>
      <c r="D887" s="10">
        <f t="shared" si="1"/>
        <v>30</v>
      </c>
      <c r="E887" s="10">
        <f t="shared" si="2"/>
        <v>12</v>
      </c>
      <c r="F887" s="10">
        <f t="shared" si="3"/>
        <v>1899</v>
      </c>
    </row>
    <row r="888">
      <c r="A888" s="15"/>
      <c r="B888" s="89"/>
      <c r="D888" s="10">
        <f t="shared" si="1"/>
        <v>30</v>
      </c>
      <c r="E888" s="10">
        <f t="shared" si="2"/>
        <v>12</v>
      </c>
      <c r="F888" s="10">
        <f t="shared" si="3"/>
        <v>1899</v>
      </c>
    </row>
    <row r="889">
      <c r="A889" s="15"/>
      <c r="B889" s="89"/>
      <c r="D889" s="10">
        <f t="shared" si="1"/>
        <v>30</v>
      </c>
      <c r="E889" s="10">
        <f t="shared" si="2"/>
        <v>12</v>
      </c>
      <c r="F889" s="10">
        <f t="shared" si="3"/>
        <v>1899</v>
      </c>
    </row>
    <row r="890">
      <c r="A890" s="15"/>
      <c r="B890" s="89"/>
      <c r="D890" s="10">
        <f t="shared" si="1"/>
        <v>30</v>
      </c>
      <c r="E890" s="10">
        <f t="shared" si="2"/>
        <v>12</v>
      </c>
      <c r="F890" s="10">
        <f t="shared" si="3"/>
        <v>1899</v>
      </c>
    </row>
    <row r="891">
      <c r="A891" s="15"/>
      <c r="B891" s="89"/>
      <c r="D891" s="10">
        <f t="shared" si="1"/>
        <v>30</v>
      </c>
      <c r="E891" s="10">
        <f t="shared" si="2"/>
        <v>12</v>
      </c>
      <c r="F891" s="10">
        <f t="shared" si="3"/>
        <v>1899</v>
      </c>
    </row>
    <row r="892">
      <c r="A892" s="15"/>
      <c r="B892" s="89"/>
      <c r="D892" s="10">
        <f t="shared" si="1"/>
        <v>30</v>
      </c>
      <c r="E892" s="10">
        <f t="shared" si="2"/>
        <v>12</v>
      </c>
      <c r="F892" s="10">
        <f t="shared" si="3"/>
        <v>1899</v>
      </c>
    </row>
    <row r="893">
      <c r="A893" s="15"/>
      <c r="B893" s="89"/>
      <c r="D893" s="10">
        <f t="shared" si="1"/>
        <v>30</v>
      </c>
      <c r="E893" s="10">
        <f t="shared" si="2"/>
        <v>12</v>
      </c>
      <c r="F893" s="10">
        <f t="shared" si="3"/>
        <v>1899</v>
      </c>
    </row>
    <row r="894">
      <c r="A894" s="15"/>
      <c r="B894" s="89"/>
      <c r="D894" s="10">
        <f t="shared" si="1"/>
        <v>30</v>
      </c>
      <c r="E894" s="10">
        <f t="shared" si="2"/>
        <v>12</v>
      </c>
      <c r="F894" s="10">
        <f t="shared" si="3"/>
        <v>1899</v>
      </c>
    </row>
    <row r="895">
      <c r="A895" s="15"/>
      <c r="B895" s="89"/>
      <c r="D895" s="10">
        <f t="shared" si="1"/>
        <v>30</v>
      </c>
      <c r="E895" s="10">
        <f t="shared" si="2"/>
        <v>12</v>
      </c>
      <c r="F895" s="10">
        <f t="shared" si="3"/>
        <v>1899</v>
      </c>
    </row>
    <row r="896">
      <c r="A896" s="15"/>
      <c r="B896" s="89"/>
      <c r="D896" s="10">
        <f t="shared" si="1"/>
        <v>30</v>
      </c>
      <c r="E896" s="10">
        <f t="shared" si="2"/>
        <v>12</v>
      </c>
      <c r="F896" s="10">
        <f t="shared" si="3"/>
        <v>1899</v>
      </c>
    </row>
    <row r="897">
      <c r="A897" s="15"/>
      <c r="B897" s="89"/>
      <c r="D897" s="10">
        <f t="shared" si="1"/>
        <v>30</v>
      </c>
      <c r="E897" s="10">
        <f t="shared" si="2"/>
        <v>12</v>
      </c>
      <c r="F897" s="10">
        <f t="shared" si="3"/>
        <v>1899</v>
      </c>
    </row>
    <row r="898">
      <c r="A898" s="15"/>
      <c r="B898" s="89"/>
      <c r="D898" s="10">
        <f t="shared" si="1"/>
        <v>30</v>
      </c>
      <c r="E898" s="10">
        <f t="shared" si="2"/>
        <v>12</v>
      </c>
      <c r="F898" s="10">
        <f t="shared" si="3"/>
        <v>1899</v>
      </c>
    </row>
    <row r="899">
      <c r="A899" s="15"/>
      <c r="B899" s="89"/>
      <c r="D899" s="10">
        <f t="shared" si="1"/>
        <v>30</v>
      </c>
      <c r="E899" s="10">
        <f t="shared" si="2"/>
        <v>12</v>
      </c>
      <c r="F899" s="10">
        <f t="shared" si="3"/>
        <v>1899</v>
      </c>
    </row>
    <row r="900">
      <c r="A900" s="15"/>
      <c r="B900" s="89"/>
      <c r="D900" s="10">
        <f t="shared" si="1"/>
        <v>30</v>
      </c>
      <c r="E900" s="10">
        <f t="shared" si="2"/>
        <v>12</v>
      </c>
      <c r="F900" s="10">
        <f t="shared" si="3"/>
        <v>1899</v>
      </c>
    </row>
    <row r="901">
      <c r="A901" s="15"/>
      <c r="B901" s="89"/>
      <c r="D901" s="10">
        <f t="shared" si="1"/>
        <v>30</v>
      </c>
      <c r="E901" s="10">
        <f t="shared" si="2"/>
        <v>12</v>
      </c>
      <c r="F901" s="10">
        <f t="shared" si="3"/>
        <v>1899</v>
      </c>
    </row>
    <row r="902">
      <c r="A902" s="15"/>
      <c r="B902" s="89"/>
      <c r="D902" s="10">
        <f t="shared" si="1"/>
        <v>30</v>
      </c>
      <c r="E902" s="10">
        <f t="shared" si="2"/>
        <v>12</v>
      </c>
      <c r="F902" s="10">
        <f t="shared" si="3"/>
        <v>1899</v>
      </c>
    </row>
    <row r="903">
      <c r="A903" s="15"/>
      <c r="B903" s="89"/>
      <c r="D903" s="10">
        <f t="shared" si="1"/>
        <v>30</v>
      </c>
      <c r="E903" s="10">
        <f t="shared" si="2"/>
        <v>12</v>
      </c>
      <c r="F903" s="10">
        <f t="shared" si="3"/>
        <v>1899</v>
      </c>
    </row>
    <row r="904">
      <c r="A904" s="15"/>
      <c r="B904" s="89"/>
      <c r="D904" s="10">
        <f t="shared" si="1"/>
        <v>30</v>
      </c>
      <c r="E904" s="10">
        <f t="shared" si="2"/>
        <v>12</v>
      </c>
      <c r="F904" s="10">
        <f t="shared" si="3"/>
        <v>1899</v>
      </c>
    </row>
    <row r="905">
      <c r="A905" s="15"/>
      <c r="B905" s="89"/>
      <c r="D905" s="10">
        <f t="shared" si="1"/>
        <v>30</v>
      </c>
      <c r="E905" s="10">
        <f t="shared" si="2"/>
        <v>12</v>
      </c>
      <c r="F905" s="10">
        <f t="shared" si="3"/>
        <v>1899</v>
      </c>
    </row>
    <row r="906">
      <c r="A906" s="15"/>
      <c r="B906" s="89"/>
      <c r="D906" s="10">
        <f t="shared" si="1"/>
        <v>30</v>
      </c>
      <c r="E906" s="10">
        <f t="shared" si="2"/>
        <v>12</v>
      </c>
      <c r="F906" s="10">
        <f t="shared" si="3"/>
        <v>1899</v>
      </c>
    </row>
    <row r="907">
      <c r="A907" s="15"/>
      <c r="B907" s="89"/>
      <c r="D907" s="10">
        <f t="shared" si="1"/>
        <v>30</v>
      </c>
      <c r="E907" s="10">
        <f t="shared" si="2"/>
        <v>12</v>
      </c>
      <c r="F907" s="10">
        <f t="shared" si="3"/>
        <v>1899</v>
      </c>
    </row>
    <row r="908">
      <c r="A908" s="15"/>
      <c r="B908" s="89"/>
      <c r="D908" s="10">
        <f t="shared" si="1"/>
        <v>30</v>
      </c>
      <c r="E908" s="10">
        <f t="shared" si="2"/>
        <v>12</v>
      </c>
      <c r="F908" s="10">
        <f t="shared" si="3"/>
        <v>1899</v>
      </c>
    </row>
    <row r="909">
      <c r="A909" s="15"/>
      <c r="B909" s="89"/>
      <c r="D909" s="10">
        <f t="shared" si="1"/>
        <v>30</v>
      </c>
      <c r="E909" s="10">
        <f t="shared" si="2"/>
        <v>12</v>
      </c>
      <c r="F909" s="10">
        <f t="shared" si="3"/>
        <v>1899</v>
      </c>
    </row>
    <row r="910">
      <c r="A910" s="15"/>
      <c r="B910" s="89"/>
      <c r="D910" s="10">
        <f t="shared" si="1"/>
        <v>30</v>
      </c>
      <c r="E910" s="10">
        <f t="shared" si="2"/>
        <v>12</v>
      </c>
      <c r="F910" s="10">
        <f t="shared" si="3"/>
        <v>1899</v>
      </c>
    </row>
    <row r="911">
      <c r="A911" s="15"/>
      <c r="B911" s="89"/>
      <c r="D911" s="10">
        <f t="shared" si="1"/>
        <v>30</v>
      </c>
      <c r="E911" s="10">
        <f t="shared" si="2"/>
        <v>12</v>
      </c>
      <c r="F911" s="10">
        <f t="shared" si="3"/>
        <v>1899</v>
      </c>
    </row>
    <row r="912">
      <c r="A912" s="15"/>
      <c r="B912" s="89"/>
      <c r="D912" s="10">
        <f t="shared" si="1"/>
        <v>30</v>
      </c>
      <c r="E912" s="10">
        <f t="shared" si="2"/>
        <v>12</v>
      </c>
      <c r="F912" s="10">
        <f t="shared" si="3"/>
        <v>1899</v>
      </c>
    </row>
    <row r="913">
      <c r="A913" s="15"/>
      <c r="B913" s="89"/>
      <c r="D913" s="10">
        <f t="shared" si="1"/>
        <v>30</v>
      </c>
      <c r="E913" s="10">
        <f t="shared" si="2"/>
        <v>12</v>
      </c>
      <c r="F913" s="10">
        <f t="shared" si="3"/>
        <v>1899</v>
      </c>
    </row>
    <row r="914">
      <c r="A914" s="15"/>
      <c r="B914" s="89"/>
      <c r="D914" s="10">
        <f t="shared" si="1"/>
        <v>30</v>
      </c>
      <c r="E914" s="10">
        <f t="shared" si="2"/>
        <v>12</v>
      </c>
      <c r="F914" s="10">
        <f t="shared" si="3"/>
        <v>1899</v>
      </c>
    </row>
    <row r="915">
      <c r="A915" s="15"/>
      <c r="B915" s="89"/>
      <c r="D915" s="10">
        <f t="shared" si="1"/>
        <v>30</v>
      </c>
      <c r="E915" s="10">
        <f t="shared" si="2"/>
        <v>12</v>
      </c>
      <c r="F915" s="10">
        <f t="shared" si="3"/>
        <v>1899</v>
      </c>
    </row>
    <row r="916">
      <c r="A916" s="15"/>
      <c r="B916" s="89"/>
      <c r="D916" s="10">
        <f t="shared" si="1"/>
        <v>30</v>
      </c>
      <c r="E916" s="10">
        <f t="shared" si="2"/>
        <v>12</v>
      </c>
      <c r="F916" s="10">
        <f t="shared" si="3"/>
        <v>1899</v>
      </c>
    </row>
    <row r="917">
      <c r="A917" s="15"/>
      <c r="B917" s="89"/>
      <c r="D917" s="10">
        <f t="shared" si="1"/>
        <v>30</v>
      </c>
      <c r="E917" s="10">
        <f t="shared" si="2"/>
        <v>12</v>
      </c>
      <c r="F917" s="10">
        <f t="shared" si="3"/>
        <v>1899</v>
      </c>
    </row>
    <row r="918">
      <c r="A918" s="15"/>
      <c r="B918" s="89"/>
      <c r="D918" s="10">
        <f t="shared" si="1"/>
        <v>30</v>
      </c>
      <c r="E918" s="10">
        <f t="shared" si="2"/>
        <v>12</v>
      </c>
      <c r="F918" s="10">
        <f t="shared" si="3"/>
        <v>1899</v>
      </c>
    </row>
    <row r="919">
      <c r="A919" s="15"/>
      <c r="B919" s="89"/>
      <c r="D919" s="10">
        <f t="shared" si="1"/>
        <v>30</v>
      </c>
      <c r="E919" s="10">
        <f t="shared" si="2"/>
        <v>12</v>
      </c>
      <c r="F919" s="10">
        <f t="shared" si="3"/>
        <v>1899</v>
      </c>
    </row>
    <row r="920">
      <c r="A920" s="15"/>
      <c r="B920" s="89"/>
      <c r="D920" s="10">
        <f t="shared" si="1"/>
        <v>30</v>
      </c>
      <c r="E920" s="10">
        <f t="shared" si="2"/>
        <v>12</v>
      </c>
      <c r="F920" s="10">
        <f t="shared" si="3"/>
        <v>1899</v>
      </c>
    </row>
    <row r="921">
      <c r="A921" s="15"/>
      <c r="B921" s="89"/>
      <c r="D921" s="10">
        <f t="shared" si="1"/>
        <v>30</v>
      </c>
      <c r="E921" s="10">
        <f t="shared" si="2"/>
        <v>12</v>
      </c>
      <c r="F921" s="10">
        <f t="shared" si="3"/>
        <v>1899</v>
      </c>
    </row>
    <row r="922">
      <c r="A922" s="15"/>
      <c r="B922" s="89"/>
      <c r="D922" s="10">
        <f t="shared" si="1"/>
        <v>30</v>
      </c>
      <c r="E922" s="10">
        <f t="shared" si="2"/>
        <v>12</v>
      </c>
      <c r="F922" s="10">
        <f t="shared" si="3"/>
        <v>1899</v>
      </c>
    </row>
    <row r="923">
      <c r="A923" s="15"/>
      <c r="B923" s="89"/>
      <c r="D923" s="10">
        <f t="shared" si="1"/>
        <v>30</v>
      </c>
      <c r="E923" s="10">
        <f t="shared" si="2"/>
        <v>12</v>
      </c>
      <c r="F923" s="10">
        <f t="shared" si="3"/>
        <v>1899</v>
      </c>
    </row>
    <row r="924">
      <c r="A924" s="15"/>
      <c r="B924" s="89"/>
      <c r="D924" s="10">
        <f t="shared" si="1"/>
        <v>30</v>
      </c>
      <c r="E924" s="10">
        <f t="shared" si="2"/>
        <v>12</v>
      </c>
      <c r="F924" s="10">
        <f t="shared" si="3"/>
        <v>1899</v>
      </c>
    </row>
    <row r="925">
      <c r="A925" s="15"/>
      <c r="B925" s="89"/>
      <c r="D925" s="10">
        <f t="shared" si="1"/>
        <v>30</v>
      </c>
      <c r="E925" s="10">
        <f t="shared" si="2"/>
        <v>12</v>
      </c>
      <c r="F925" s="10">
        <f t="shared" si="3"/>
        <v>1899</v>
      </c>
    </row>
    <row r="926">
      <c r="A926" s="15"/>
      <c r="B926" s="89"/>
      <c r="D926" s="10">
        <f t="shared" si="1"/>
        <v>30</v>
      </c>
      <c r="E926" s="10">
        <f t="shared" si="2"/>
        <v>12</v>
      </c>
      <c r="F926" s="10">
        <f t="shared" si="3"/>
        <v>1899</v>
      </c>
    </row>
    <row r="927">
      <c r="A927" s="15"/>
      <c r="B927" s="89"/>
      <c r="D927" s="10">
        <f t="shared" si="1"/>
        <v>30</v>
      </c>
      <c r="E927" s="10">
        <f t="shared" si="2"/>
        <v>12</v>
      </c>
      <c r="F927" s="10">
        <f t="shared" si="3"/>
        <v>1899</v>
      </c>
    </row>
    <row r="928">
      <c r="A928" s="15"/>
      <c r="B928" s="89"/>
      <c r="D928" s="10">
        <f t="shared" si="1"/>
        <v>30</v>
      </c>
      <c r="E928" s="10">
        <f t="shared" si="2"/>
        <v>12</v>
      </c>
      <c r="F928" s="10">
        <f t="shared" si="3"/>
        <v>1899</v>
      </c>
    </row>
    <row r="929">
      <c r="A929" s="15"/>
      <c r="B929" s="89"/>
      <c r="D929" s="10">
        <f t="shared" si="1"/>
        <v>30</v>
      </c>
      <c r="E929" s="10">
        <f t="shared" si="2"/>
        <v>12</v>
      </c>
      <c r="F929" s="10">
        <f t="shared" si="3"/>
        <v>1899</v>
      </c>
    </row>
    <row r="930">
      <c r="A930" s="15"/>
      <c r="B930" s="89"/>
      <c r="D930" s="10">
        <f t="shared" si="1"/>
        <v>30</v>
      </c>
      <c r="E930" s="10">
        <f t="shared" si="2"/>
        <v>12</v>
      </c>
      <c r="F930" s="10">
        <f t="shared" si="3"/>
        <v>1899</v>
      </c>
    </row>
    <row r="931">
      <c r="A931" s="15"/>
      <c r="B931" s="89"/>
      <c r="D931" s="10">
        <f t="shared" si="1"/>
        <v>30</v>
      </c>
      <c r="E931" s="10">
        <f t="shared" si="2"/>
        <v>12</v>
      </c>
      <c r="F931" s="10">
        <f t="shared" si="3"/>
        <v>1899</v>
      </c>
    </row>
    <row r="932">
      <c r="A932" s="15"/>
      <c r="B932" s="89"/>
      <c r="D932" s="10">
        <f t="shared" si="1"/>
        <v>30</v>
      </c>
      <c r="E932" s="10">
        <f t="shared" si="2"/>
        <v>12</v>
      </c>
      <c r="F932" s="10">
        <f t="shared" si="3"/>
        <v>1899</v>
      </c>
    </row>
    <row r="933">
      <c r="A933" s="15"/>
      <c r="B933" s="89"/>
      <c r="D933" s="10">
        <f t="shared" si="1"/>
        <v>30</v>
      </c>
      <c r="E933" s="10">
        <f t="shared" si="2"/>
        <v>12</v>
      </c>
      <c r="F933" s="10">
        <f t="shared" si="3"/>
        <v>1899</v>
      </c>
    </row>
    <row r="934">
      <c r="A934" s="15"/>
      <c r="B934" s="89"/>
      <c r="D934" s="10">
        <f t="shared" si="1"/>
        <v>30</v>
      </c>
      <c r="E934" s="10">
        <f t="shared" si="2"/>
        <v>12</v>
      </c>
      <c r="F934" s="10">
        <f t="shared" si="3"/>
        <v>1899</v>
      </c>
    </row>
    <row r="935">
      <c r="A935" s="15"/>
      <c r="B935" s="89"/>
      <c r="D935" s="10">
        <f t="shared" si="1"/>
        <v>30</v>
      </c>
      <c r="E935" s="10">
        <f t="shared" si="2"/>
        <v>12</v>
      </c>
      <c r="F935" s="10">
        <f t="shared" si="3"/>
        <v>1899</v>
      </c>
    </row>
    <row r="936">
      <c r="A936" s="15"/>
      <c r="B936" s="89"/>
      <c r="D936" s="10">
        <f t="shared" si="1"/>
        <v>30</v>
      </c>
      <c r="E936" s="10">
        <f t="shared" si="2"/>
        <v>12</v>
      </c>
      <c r="F936" s="10">
        <f t="shared" si="3"/>
        <v>1899</v>
      </c>
    </row>
    <row r="937">
      <c r="A937" s="15"/>
      <c r="B937" s="89"/>
      <c r="D937" s="10">
        <f t="shared" si="1"/>
        <v>30</v>
      </c>
      <c r="E937" s="10">
        <f t="shared" si="2"/>
        <v>12</v>
      </c>
      <c r="F937" s="10">
        <f t="shared" si="3"/>
        <v>1899</v>
      </c>
    </row>
    <row r="938">
      <c r="A938" s="15"/>
      <c r="B938" s="89"/>
      <c r="D938" s="10">
        <f t="shared" si="1"/>
        <v>30</v>
      </c>
      <c r="E938" s="10">
        <f t="shared" si="2"/>
        <v>12</v>
      </c>
      <c r="F938" s="10">
        <f t="shared" si="3"/>
        <v>1899</v>
      </c>
    </row>
    <row r="939">
      <c r="A939" s="15"/>
      <c r="B939" s="89"/>
      <c r="D939" s="10">
        <f t="shared" si="1"/>
        <v>30</v>
      </c>
      <c r="E939" s="10">
        <f t="shared" si="2"/>
        <v>12</v>
      </c>
      <c r="F939" s="10">
        <f t="shared" si="3"/>
        <v>1899</v>
      </c>
    </row>
    <row r="940">
      <c r="A940" s="15"/>
      <c r="B940" s="89"/>
      <c r="D940" s="10">
        <f t="shared" si="1"/>
        <v>30</v>
      </c>
      <c r="E940" s="10">
        <f t="shared" si="2"/>
        <v>12</v>
      </c>
      <c r="F940" s="10">
        <f t="shared" si="3"/>
        <v>1899</v>
      </c>
    </row>
    <row r="941">
      <c r="A941" s="15"/>
      <c r="B941" s="89"/>
      <c r="D941" s="10">
        <f t="shared" si="1"/>
        <v>30</v>
      </c>
      <c r="E941" s="10">
        <f t="shared" si="2"/>
        <v>12</v>
      </c>
      <c r="F941" s="10">
        <f t="shared" si="3"/>
        <v>1899</v>
      </c>
    </row>
    <row r="942">
      <c r="A942" s="15"/>
      <c r="B942" s="89"/>
      <c r="D942" s="10">
        <f t="shared" si="1"/>
        <v>30</v>
      </c>
      <c r="E942" s="10">
        <f t="shared" si="2"/>
        <v>12</v>
      </c>
      <c r="F942" s="10">
        <f t="shared" si="3"/>
        <v>1899</v>
      </c>
    </row>
    <row r="943">
      <c r="A943" s="15"/>
      <c r="B943" s="89"/>
      <c r="D943" s="10">
        <f t="shared" si="1"/>
        <v>30</v>
      </c>
      <c r="E943" s="10">
        <f t="shared" si="2"/>
        <v>12</v>
      </c>
      <c r="F943" s="10">
        <f t="shared" si="3"/>
        <v>1899</v>
      </c>
    </row>
    <row r="944">
      <c r="A944" s="15"/>
      <c r="B944" s="89"/>
      <c r="D944" s="10">
        <f t="shared" si="1"/>
        <v>30</v>
      </c>
      <c r="E944" s="10">
        <f t="shared" si="2"/>
        <v>12</v>
      </c>
      <c r="F944" s="10">
        <f t="shared" si="3"/>
        <v>1899</v>
      </c>
    </row>
    <row r="945">
      <c r="A945" s="15"/>
      <c r="B945" s="89"/>
      <c r="D945" s="10">
        <f t="shared" si="1"/>
        <v>30</v>
      </c>
      <c r="E945" s="10">
        <f t="shared" si="2"/>
        <v>12</v>
      </c>
      <c r="F945" s="10">
        <f t="shared" si="3"/>
        <v>1899</v>
      </c>
    </row>
    <row r="946">
      <c r="A946" s="15"/>
      <c r="B946" s="89"/>
      <c r="D946" s="10">
        <f t="shared" si="1"/>
        <v>30</v>
      </c>
      <c r="E946" s="10">
        <f t="shared" si="2"/>
        <v>12</v>
      </c>
      <c r="F946" s="10">
        <f t="shared" si="3"/>
        <v>1899</v>
      </c>
    </row>
    <row r="947">
      <c r="A947" s="15"/>
      <c r="B947" s="89"/>
      <c r="D947" s="10">
        <f t="shared" si="1"/>
        <v>30</v>
      </c>
      <c r="E947" s="10">
        <f t="shared" si="2"/>
        <v>12</v>
      </c>
      <c r="F947" s="10">
        <f t="shared" si="3"/>
        <v>1899</v>
      </c>
    </row>
    <row r="948">
      <c r="A948" s="15"/>
      <c r="B948" s="89"/>
      <c r="D948" s="10">
        <f t="shared" si="1"/>
        <v>30</v>
      </c>
      <c r="E948" s="10">
        <f t="shared" si="2"/>
        <v>12</v>
      </c>
      <c r="F948" s="10">
        <f t="shared" si="3"/>
        <v>1899</v>
      </c>
    </row>
    <row r="949">
      <c r="A949" s="15"/>
      <c r="B949" s="89"/>
      <c r="D949" s="10">
        <f t="shared" si="1"/>
        <v>30</v>
      </c>
      <c r="E949" s="10">
        <f t="shared" si="2"/>
        <v>12</v>
      </c>
      <c r="F949" s="10">
        <f t="shared" si="3"/>
        <v>1899</v>
      </c>
    </row>
    <row r="950">
      <c r="A950" s="15"/>
      <c r="B950" s="89"/>
      <c r="D950" s="10">
        <f t="shared" si="1"/>
        <v>30</v>
      </c>
      <c r="E950" s="10">
        <f t="shared" si="2"/>
        <v>12</v>
      </c>
      <c r="F950" s="10">
        <f t="shared" si="3"/>
        <v>1899</v>
      </c>
    </row>
    <row r="951">
      <c r="A951" s="15"/>
      <c r="B951" s="89"/>
      <c r="D951" s="10">
        <f t="shared" si="1"/>
        <v>30</v>
      </c>
      <c r="E951" s="10">
        <f t="shared" si="2"/>
        <v>12</v>
      </c>
      <c r="F951" s="10">
        <f t="shared" si="3"/>
        <v>1899</v>
      </c>
    </row>
    <row r="952">
      <c r="A952" s="15"/>
      <c r="B952" s="89"/>
      <c r="D952" s="10">
        <f t="shared" si="1"/>
        <v>30</v>
      </c>
      <c r="E952" s="10">
        <f t="shared" si="2"/>
        <v>12</v>
      </c>
      <c r="F952" s="10">
        <f t="shared" si="3"/>
        <v>1899</v>
      </c>
    </row>
    <row r="953">
      <c r="A953" s="15"/>
      <c r="B953" s="89"/>
      <c r="D953" s="10">
        <f t="shared" si="1"/>
        <v>30</v>
      </c>
      <c r="E953" s="10">
        <f t="shared" si="2"/>
        <v>12</v>
      </c>
      <c r="F953" s="10">
        <f t="shared" si="3"/>
        <v>1899</v>
      </c>
    </row>
    <row r="954">
      <c r="A954" s="15"/>
      <c r="B954" s="89"/>
      <c r="D954" s="10">
        <f t="shared" si="1"/>
        <v>30</v>
      </c>
      <c r="E954" s="10">
        <f t="shared" si="2"/>
        <v>12</v>
      </c>
      <c r="F954" s="10">
        <f t="shared" si="3"/>
        <v>1899</v>
      </c>
    </row>
    <row r="955">
      <c r="A955" s="15"/>
      <c r="B955" s="89"/>
      <c r="D955" s="10">
        <f t="shared" si="1"/>
        <v>30</v>
      </c>
      <c r="E955" s="10">
        <f t="shared" si="2"/>
        <v>12</v>
      </c>
      <c r="F955" s="10">
        <f t="shared" si="3"/>
        <v>1899</v>
      </c>
    </row>
    <row r="956">
      <c r="A956" s="15"/>
      <c r="B956" s="89"/>
      <c r="D956" s="10">
        <f t="shared" si="1"/>
        <v>30</v>
      </c>
      <c r="E956" s="10">
        <f t="shared" si="2"/>
        <v>12</v>
      </c>
      <c r="F956" s="10">
        <f t="shared" si="3"/>
        <v>1899</v>
      </c>
    </row>
    <row r="957">
      <c r="A957" s="15"/>
      <c r="B957" s="89"/>
      <c r="D957" s="10">
        <f t="shared" si="1"/>
        <v>30</v>
      </c>
      <c r="E957" s="10">
        <f t="shared" si="2"/>
        <v>12</v>
      </c>
      <c r="F957" s="10">
        <f t="shared" si="3"/>
        <v>1899</v>
      </c>
    </row>
    <row r="958">
      <c r="A958" s="15"/>
      <c r="B958" s="89"/>
      <c r="D958" s="10">
        <f t="shared" si="1"/>
        <v>30</v>
      </c>
      <c r="E958" s="10">
        <f t="shared" si="2"/>
        <v>12</v>
      </c>
      <c r="F958" s="10">
        <f t="shared" si="3"/>
        <v>1899</v>
      </c>
    </row>
    <row r="959">
      <c r="A959" s="15"/>
      <c r="B959" s="89"/>
      <c r="D959" s="10">
        <f t="shared" si="1"/>
        <v>30</v>
      </c>
      <c r="E959" s="10">
        <f t="shared" si="2"/>
        <v>12</v>
      </c>
      <c r="F959" s="10">
        <f t="shared" si="3"/>
        <v>1899</v>
      </c>
    </row>
    <row r="960">
      <c r="A960" s="15"/>
      <c r="B960" s="89"/>
      <c r="D960" s="10">
        <f t="shared" si="1"/>
        <v>30</v>
      </c>
      <c r="E960" s="10">
        <f t="shared" si="2"/>
        <v>12</v>
      </c>
      <c r="F960" s="10">
        <f t="shared" si="3"/>
        <v>1899</v>
      </c>
    </row>
    <row r="961">
      <c r="A961" s="15"/>
      <c r="B961" s="89"/>
      <c r="D961" s="10">
        <f t="shared" si="1"/>
        <v>30</v>
      </c>
      <c r="E961" s="10">
        <f t="shared" si="2"/>
        <v>12</v>
      </c>
      <c r="F961" s="10">
        <f t="shared" si="3"/>
        <v>1899</v>
      </c>
    </row>
    <row r="962">
      <c r="A962" s="15"/>
      <c r="B962" s="89"/>
      <c r="D962" s="10">
        <f t="shared" si="1"/>
        <v>30</v>
      </c>
      <c r="E962" s="10">
        <f t="shared" si="2"/>
        <v>12</v>
      </c>
      <c r="F962" s="10">
        <f t="shared" si="3"/>
        <v>1899</v>
      </c>
    </row>
    <row r="963">
      <c r="A963" s="15"/>
      <c r="B963" s="89"/>
      <c r="D963" s="10">
        <f t="shared" si="1"/>
        <v>30</v>
      </c>
      <c r="E963" s="10">
        <f t="shared" si="2"/>
        <v>12</v>
      </c>
      <c r="F963" s="10">
        <f t="shared" si="3"/>
        <v>1899</v>
      </c>
    </row>
    <row r="964">
      <c r="A964" s="15"/>
      <c r="B964" s="89"/>
      <c r="D964" s="10">
        <f t="shared" si="1"/>
        <v>30</v>
      </c>
      <c r="E964" s="10">
        <f t="shared" si="2"/>
        <v>12</v>
      </c>
      <c r="F964" s="10">
        <f t="shared" si="3"/>
        <v>1899</v>
      </c>
    </row>
    <row r="965">
      <c r="A965" s="15"/>
      <c r="B965" s="89"/>
      <c r="D965" s="10">
        <f t="shared" si="1"/>
        <v>30</v>
      </c>
      <c r="E965" s="10">
        <f t="shared" si="2"/>
        <v>12</v>
      </c>
      <c r="F965" s="10">
        <f t="shared" si="3"/>
        <v>1899</v>
      </c>
    </row>
    <row r="966">
      <c r="A966" s="15"/>
      <c r="B966" s="89"/>
      <c r="D966" s="10">
        <f t="shared" si="1"/>
        <v>30</v>
      </c>
      <c r="E966" s="10">
        <f t="shared" si="2"/>
        <v>12</v>
      </c>
      <c r="F966" s="10">
        <f t="shared" si="3"/>
        <v>1899</v>
      </c>
    </row>
    <row r="967">
      <c r="A967" s="15"/>
      <c r="B967" s="89"/>
      <c r="D967" s="10">
        <f t="shared" si="1"/>
        <v>30</v>
      </c>
      <c r="E967" s="10">
        <f t="shared" si="2"/>
        <v>12</v>
      </c>
      <c r="F967" s="10">
        <f t="shared" si="3"/>
        <v>1899</v>
      </c>
    </row>
    <row r="968">
      <c r="A968" s="15"/>
      <c r="B968" s="89"/>
      <c r="D968" s="10">
        <f t="shared" si="1"/>
        <v>30</v>
      </c>
      <c r="E968" s="10">
        <f t="shared" si="2"/>
        <v>12</v>
      </c>
      <c r="F968" s="10">
        <f t="shared" si="3"/>
        <v>1899</v>
      </c>
    </row>
    <row r="969">
      <c r="A969" s="15"/>
      <c r="B969" s="89"/>
      <c r="D969" s="10">
        <f t="shared" si="1"/>
        <v>30</v>
      </c>
      <c r="E969" s="10">
        <f t="shared" si="2"/>
        <v>12</v>
      </c>
      <c r="F969" s="10">
        <f t="shared" si="3"/>
        <v>1899</v>
      </c>
    </row>
    <row r="970">
      <c r="A970" s="15"/>
      <c r="B970" s="89"/>
      <c r="D970" s="10">
        <f t="shared" si="1"/>
        <v>30</v>
      </c>
      <c r="E970" s="10">
        <f t="shared" si="2"/>
        <v>12</v>
      </c>
      <c r="F970" s="10">
        <f t="shared" si="3"/>
        <v>1899</v>
      </c>
    </row>
    <row r="971">
      <c r="A971" s="15"/>
      <c r="B971" s="89"/>
      <c r="D971" s="10">
        <f t="shared" si="1"/>
        <v>30</v>
      </c>
      <c r="E971" s="10">
        <f t="shared" si="2"/>
        <v>12</v>
      </c>
      <c r="F971" s="10">
        <f t="shared" si="3"/>
        <v>1899</v>
      </c>
    </row>
    <row r="972">
      <c r="A972" s="15"/>
      <c r="B972" s="89"/>
      <c r="D972" s="10">
        <f t="shared" si="1"/>
        <v>30</v>
      </c>
      <c r="E972" s="10">
        <f t="shared" si="2"/>
        <v>12</v>
      </c>
      <c r="F972" s="10">
        <f t="shared" si="3"/>
        <v>1899</v>
      </c>
    </row>
    <row r="973">
      <c r="A973" s="15"/>
      <c r="B973" s="89"/>
      <c r="D973" s="10">
        <f t="shared" si="1"/>
        <v>30</v>
      </c>
      <c r="E973" s="10">
        <f t="shared" si="2"/>
        <v>12</v>
      </c>
      <c r="F973" s="10">
        <f t="shared" si="3"/>
        <v>1899</v>
      </c>
    </row>
    <row r="974">
      <c r="A974" s="15"/>
      <c r="B974" s="89"/>
      <c r="D974" s="10">
        <f t="shared" si="1"/>
        <v>30</v>
      </c>
      <c r="E974" s="10">
        <f t="shared" si="2"/>
        <v>12</v>
      </c>
      <c r="F974" s="10">
        <f t="shared" si="3"/>
        <v>1899</v>
      </c>
    </row>
    <row r="975">
      <c r="A975" s="15"/>
      <c r="B975" s="89"/>
      <c r="D975" s="10">
        <f t="shared" si="1"/>
        <v>30</v>
      </c>
      <c r="E975" s="10">
        <f t="shared" si="2"/>
        <v>12</v>
      </c>
      <c r="F975" s="10">
        <f t="shared" si="3"/>
        <v>1899</v>
      </c>
    </row>
    <row r="976">
      <c r="A976" s="15"/>
      <c r="B976" s="89"/>
      <c r="D976" s="10">
        <f t="shared" si="1"/>
        <v>30</v>
      </c>
      <c r="E976" s="10">
        <f t="shared" si="2"/>
        <v>12</v>
      </c>
      <c r="F976" s="10">
        <f t="shared" si="3"/>
        <v>1899</v>
      </c>
    </row>
    <row r="977">
      <c r="A977" s="15"/>
      <c r="B977" s="89"/>
      <c r="D977" s="10">
        <f t="shared" si="1"/>
        <v>30</v>
      </c>
      <c r="E977" s="10">
        <f t="shared" si="2"/>
        <v>12</v>
      </c>
      <c r="F977" s="10">
        <f t="shared" si="3"/>
        <v>1899</v>
      </c>
    </row>
    <row r="978">
      <c r="A978" s="15"/>
      <c r="B978" s="89"/>
      <c r="D978" s="10">
        <f t="shared" si="1"/>
        <v>30</v>
      </c>
      <c r="E978" s="10">
        <f t="shared" si="2"/>
        <v>12</v>
      </c>
      <c r="F978" s="10">
        <f t="shared" si="3"/>
        <v>1899</v>
      </c>
    </row>
    <row r="979">
      <c r="A979" s="15"/>
      <c r="B979" s="89"/>
      <c r="D979" s="10">
        <f t="shared" si="1"/>
        <v>30</v>
      </c>
      <c r="E979" s="10">
        <f t="shared" si="2"/>
        <v>12</v>
      </c>
      <c r="F979" s="10">
        <f t="shared" si="3"/>
        <v>1899</v>
      </c>
    </row>
    <row r="980">
      <c r="A980" s="15"/>
      <c r="B980" s="89"/>
      <c r="D980" s="10">
        <f t="shared" si="1"/>
        <v>30</v>
      </c>
      <c r="E980" s="10">
        <f t="shared" si="2"/>
        <v>12</v>
      </c>
      <c r="F980" s="10">
        <f t="shared" si="3"/>
        <v>1899</v>
      </c>
    </row>
    <row r="981">
      <c r="A981" s="15"/>
      <c r="B981" s="89"/>
      <c r="D981" s="10">
        <f t="shared" si="1"/>
        <v>30</v>
      </c>
      <c r="E981" s="10">
        <f t="shared" si="2"/>
        <v>12</v>
      </c>
      <c r="F981" s="10">
        <f t="shared" si="3"/>
        <v>1899</v>
      </c>
    </row>
    <row r="982">
      <c r="A982" s="15"/>
      <c r="B982" s="89"/>
      <c r="D982" s="10">
        <f t="shared" si="1"/>
        <v>30</v>
      </c>
      <c r="E982" s="10">
        <f t="shared" si="2"/>
        <v>12</v>
      </c>
      <c r="F982" s="10">
        <f t="shared" si="3"/>
        <v>1899</v>
      </c>
    </row>
    <row r="983">
      <c r="A983" s="15"/>
      <c r="B983" s="89"/>
      <c r="D983" s="10">
        <f t="shared" si="1"/>
        <v>30</v>
      </c>
      <c r="E983" s="10">
        <f t="shared" si="2"/>
        <v>12</v>
      </c>
      <c r="F983" s="10">
        <f t="shared" si="3"/>
        <v>1899</v>
      </c>
    </row>
    <row r="984">
      <c r="A984" s="15"/>
      <c r="B984" s="89"/>
      <c r="D984" s="10">
        <f t="shared" si="1"/>
        <v>30</v>
      </c>
      <c r="E984" s="10">
        <f t="shared" si="2"/>
        <v>12</v>
      </c>
      <c r="F984" s="10">
        <f t="shared" si="3"/>
        <v>1899</v>
      </c>
    </row>
    <row r="985">
      <c r="A985" s="15"/>
      <c r="B985" s="89"/>
      <c r="D985" s="10">
        <f t="shared" si="1"/>
        <v>30</v>
      </c>
      <c r="E985" s="10">
        <f t="shared" si="2"/>
        <v>12</v>
      </c>
      <c r="F985" s="10">
        <f t="shared" si="3"/>
        <v>1899</v>
      </c>
    </row>
    <row r="986">
      <c r="A986" s="15"/>
      <c r="B986" s="89"/>
      <c r="D986" s="10">
        <f t="shared" si="1"/>
        <v>30</v>
      </c>
      <c r="E986" s="10">
        <f t="shared" si="2"/>
        <v>12</v>
      </c>
      <c r="F986" s="10">
        <f t="shared" si="3"/>
        <v>1899</v>
      </c>
    </row>
    <row r="987">
      <c r="A987" s="15"/>
      <c r="B987" s="89"/>
      <c r="D987" s="10">
        <f t="shared" si="1"/>
        <v>30</v>
      </c>
      <c r="E987" s="10">
        <f t="shared" si="2"/>
        <v>12</v>
      </c>
      <c r="F987" s="10">
        <f t="shared" si="3"/>
        <v>1899</v>
      </c>
    </row>
    <row r="988">
      <c r="A988" s="15"/>
      <c r="B988" s="89"/>
      <c r="D988" s="10">
        <f t="shared" si="1"/>
        <v>30</v>
      </c>
      <c r="E988" s="10">
        <f t="shared" si="2"/>
        <v>12</v>
      </c>
      <c r="F988" s="10">
        <f t="shared" si="3"/>
        <v>1899</v>
      </c>
    </row>
    <row r="989">
      <c r="A989" s="15"/>
      <c r="B989" s="89"/>
      <c r="D989" s="10">
        <f t="shared" si="1"/>
        <v>30</v>
      </c>
      <c r="E989" s="10">
        <f t="shared" si="2"/>
        <v>12</v>
      </c>
      <c r="F989" s="10">
        <f t="shared" si="3"/>
        <v>1899</v>
      </c>
    </row>
    <row r="990">
      <c r="A990" s="15"/>
      <c r="B990" s="89"/>
      <c r="D990" s="10">
        <f t="shared" si="1"/>
        <v>30</v>
      </c>
      <c r="E990" s="10">
        <f t="shared" si="2"/>
        <v>12</v>
      </c>
      <c r="F990" s="10">
        <f t="shared" si="3"/>
        <v>1899</v>
      </c>
    </row>
    <row r="991">
      <c r="A991" s="15"/>
      <c r="B991" s="89"/>
      <c r="D991" s="10">
        <f t="shared" si="1"/>
        <v>30</v>
      </c>
      <c r="E991" s="10">
        <f t="shared" si="2"/>
        <v>12</v>
      </c>
      <c r="F991" s="10">
        <f t="shared" si="3"/>
        <v>1899</v>
      </c>
    </row>
    <row r="992">
      <c r="A992" s="15"/>
      <c r="B992" s="89"/>
      <c r="D992" s="10">
        <f t="shared" si="1"/>
        <v>30</v>
      </c>
      <c r="E992" s="10">
        <f t="shared" si="2"/>
        <v>12</v>
      </c>
      <c r="F992" s="10">
        <f t="shared" si="3"/>
        <v>1899</v>
      </c>
    </row>
    <row r="993">
      <c r="A993" s="15"/>
      <c r="B993" s="89"/>
      <c r="D993" s="10">
        <f t="shared" si="1"/>
        <v>30</v>
      </c>
      <c r="E993" s="10">
        <f t="shared" si="2"/>
        <v>12</v>
      </c>
      <c r="F993" s="10">
        <f t="shared" si="3"/>
        <v>1899</v>
      </c>
    </row>
    <row r="994">
      <c r="A994" s="15"/>
      <c r="B994" s="89"/>
      <c r="D994" s="10">
        <f t="shared" si="1"/>
        <v>30</v>
      </c>
      <c r="E994" s="10">
        <f t="shared" si="2"/>
        <v>12</v>
      </c>
      <c r="F994" s="10">
        <f t="shared" si="3"/>
        <v>1899</v>
      </c>
    </row>
    <row r="995">
      <c r="A995" s="15"/>
      <c r="B995" s="89"/>
      <c r="D995" s="10">
        <f t="shared" si="1"/>
        <v>30</v>
      </c>
      <c r="E995" s="10">
        <f t="shared" si="2"/>
        <v>12</v>
      </c>
      <c r="F995" s="10">
        <f t="shared" si="3"/>
        <v>1899</v>
      </c>
    </row>
    <row r="996">
      <c r="A996" s="15"/>
      <c r="B996" s="89"/>
      <c r="D996" s="10">
        <f t="shared" si="1"/>
        <v>30</v>
      </c>
      <c r="E996" s="10">
        <f t="shared" si="2"/>
        <v>12</v>
      </c>
      <c r="F996" s="10">
        <f t="shared" si="3"/>
        <v>1899</v>
      </c>
    </row>
    <row r="997">
      <c r="A997" s="15"/>
      <c r="B997" s="89"/>
      <c r="D997" s="10">
        <f t="shared" si="1"/>
        <v>30</v>
      </c>
      <c r="E997" s="10">
        <f t="shared" si="2"/>
        <v>12</v>
      </c>
      <c r="F997" s="10">
        <f t="shared" si="3"/>
        <v>1899</v>
      </c>
    </row>
    <row r="998">
      <c r="A998" s="15"/>
      <c r="B998" s="89"/>
      <c r="D998" s="10">
        <f t="shared" si="1"/>
        <v>30</v>
      </c>
      <c r="E998" s="10">
        <f t="shared" si="2"/>
        <v>12</v>
      </c>
      <c r="F998" s="10">
        <f t="shared" si="3"/>
        <v>1899</v>
      </c>
    </row>
    <row r="999">
      <c r="A999" s="15"/>
      <c r="B999" s="89"/>
      <c r="D999" s="10">
        <f t="shared" si="1"/>
        <v>30</v>
      </c>
      <c r="E999" s="10">
        <f t="shared" si="2"/>
        <v>12</v>
      </c>
      <c r="F999" s="10">
        <f t="shared" si="3"/>
        <v>1899</v>
      </c>
    </row>
    <row r="1000">
      <c r="A1000" s="15"/>
      <c r="B1000" s="89"/>
      <c r="D1000" s="10">
        <f t="shared" si="1"/>
        <v>30</v>
      </c>
      <c r="E1000" s="10">
        <f t="shared" si="2"/>
        <v>12</v>
      </c>
      <c r="F1000" s="10">
        <f t="shared" si="3"/>
        <v>1899</v>
      </c>
    </row>
  </sheetData>
  <dataValidations>
    <dataValidation type="list" allowBlank="1" showErrorMessage="1" sqref="A2:A1000">
      <formula1>'Contas dos banco'!$C$2:$C$900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13"/>
    <col customWidth="1" min="3" max="3" width="18.25"/>
    <col customWidth="1" min="4" max="4" width="14.25"/>
  </cols>
  <sheetData>
    <row r="1">
      <c r="A1" s="77" t="s">
        <v>1563</v>
      </c>
      <c r="B1" s="77" t="s">
        <v>1549</v>
      </c>
      <c r="C1" s="77" t="s">
        <v>1567</v>
      </c>
      <c r="D1" s="12" t="s">
        <v>1568</v>
      </c>
      <c r="E1" s="11" t="s">
        <v>1548</v>
      </c>
      <c r="F1" s="12" t="s">
        <v>1566</v>
      </c>
      <c r="G1" s="11" t="s">
        <v>1565</v>
      </c>
    </row>
    <row r="2">
      <c r="A2" s="90" t="s">
        <v>27</v>
      </c>
      <c r="B2" s="91">
        <v>45505.0</v>
      </c>
      <c r="C2" s="92" t="s">
        <v>1569</v>
      </c>
      <c r="D2" s="93">
        <v>21460.86</v>
      </c>
      <c r="E2" s="15">
        <f t="shared" ref="E2:E5284" si="1">YEAR(B2)</f>
        <v>2024</v>
      </c>
      <c r="F2" s="15">
        <f t="shared" ref="F2:F5284" si="2">MONTH(B2)</f>
        <v>8</v>
      </c>
      <c r="G2" s="15">
        <f t="shared" ref="G2:G5284" si="3">DAY(B2)</f>
        <v>1</v>
      </c>
    </row>
    <row r="3">
      <c r="A3" s="10" t="s">
        <v>27</v>
      </c>
      <c r="B3" s="9">
        <v>45505.0</v>
      </c>
      <c r="C3" s="77" t="s">
        <v>1570</v>
      </c>
      <c r="D3" s="13">
        <f>SUMIFS('Lançamentos de receitas'!$E:$E,'Lançamentos de receitas'!$A:$A,B3,'Lançamentos de receitas'!$C:$C,A3,'Lançamentos de receitas'!$F:$F,"TRANSFERÊNCIA")</f>
        <v>6718.52</v>
      </c>
      <c r="E3" s="15">
        <f t="shared" si="1"/>
        <v>2024</v>
      </c>
      <c r="F3" s="15">
        <f t="shared" si="2"/>
        <v>8</v>
      </c>
      <c r="G3" s="15">
        <f t="shared" si="3"/>
        <v>1</v>
      </c>
    </row>
    <row r="4">
      <c r="A4" s="10" t="s">
        <v>27</v>
      </c>
      <c r="B4" s="9">
        <v>45505.0</v>
      </c>
      <c r="C4" s="77" t="s">
        <v>1571</v>
      </c>
      <c r="D4" s="13">
        <f>SUMIFS('Lançamentos de despesas'!$K:$K,'Lançamentos de despesas'!$C:$C,B4,'Lançamentos de despesas'!$G:$G,A4,'Lançamentos de despesas'!$E:$E,"pago")</f>
        <v>6000.63</v>
      </c>
      <c r="E4" s="15">
        <f t="shared" si="1"/>
        <v>2024</v>
      </c>
      <c r="F4" s="15">
        <f t="shared" si="2"/>
        <v>8</v>
      </c>
      <c r="G4" s="15">
        <f t="shared" si="3"/>
        <v>1</v>
      </c>
    </row>
    <row r="5">
      <c r="A5" s="10" t="s">
        <v>27</v>
      </c>
      <c r="B5" s="9">
        <v>45505.0</v>
      </c>
      <c r="C5" s="77" t="s">
        <v>1572</v>
      </c>
      <c r="D5" s="13">
        <f>D2+D3-D4</f>
        <v>22178.75</v>
      </c>
      <c r="E5" s="15">
        <f t="shared" si="1"/>
        <v>2024</v>
      </c>
      <c r="F5" s="15">
        <f t="shared" si="2"/>
        <v>8</v>
      </c>
      <c r="G5" s="15">
        <f t="shared" si="3"/>
        <v>1</v>
      </c>
    </row>
    <row r="6">
      <c r="A6" s="10" t="s">
        <v>27</v>
      </c>
      <c r="B6" s="9">
        <v>45506.0</v>
      </c>
      <c r="C6" s="77" t="s">
        <v>1569</v>
      </c>
      <c r="D6" s="12">
        <f>D5</f>
        <v>22178.75</v>
      </c>
      <c r="E6" s="15">
        <f t="shared" si="1"/>
        <v>2024</v>
      </c>
      <c r="F6" s="15">
        <f t="shared" si="2"/>
        <v>8</v>
      </c>
      <c r="G6" s="15">
        <f t="shared" si="3"/>
        <v>2</v>
      </c>
    </row>
    <row r="7">
      <c r="A7" s="10" t="s">
        <v>27</v>
      </c>
      <c r="B7" s="9">
        <v>45506.0</v>
      </c>
      <c r="C7" s="77" t="s">
        <v>1570</v>
      </c>
      <c r="D7" s="13">
        <f>SUMIFS('Lançamentos de receitas'!$E:$E,'Lançamentos de receitas'!$A:$A,B7,'Lançamentos de receitas'!$C:$C,A7,'Lançamentos de receitas'!$F:$F,"TRANSFERÊNCIA")</f>
        <v>2499.56</v>
      </c>
      <c r="E7" s="15">
        <f t="shared" si="1"/>
        <v>2024</v>
      </c>
      <c r="F7" s="15">
        <f t="shared" si="2"/>
        <v>8</v>
      </c>
      <c r="G7" s="15">
        <f t="shared" si="3"/>
        <v>2</v>
      </c>
    </row>
    <row r="8">
      <c r="A8" s="10" t="s">
        <v>27</v>
      </c>
      <c r="B8" s="9">
        <v>45506.0</v>
      </c>
      <c r="C8" s="77" t="s">
        <v>1571</v>
      </c>
      <c r="D8" s="13">
        <f>SUMIFS('Lançamentos de despesas'!$K:$K,'Lançamentos de despesas'!$C:$C,B8,'Lançamentos de despesas'!$G:$G,A8,'Lançamentos de despesas'!$E:$E,"pago")</f>
        <v>7610</v>
      </c>
      <c r="E8" s="15">
        <f t="shared" si="1"/>
        <v>2024</v>
      </c>
      <c r="F8" s="15">
        <f t="shared" si="2"/>
        <v>8</v>
      </c>
      <c r="G8" s="15">
        <f t="shared" si="3"/>
        <v>2</v>
      </c>
    </row>
    <row r="9">
      <c r="A9" s="10" t="s">
        <v>27</v>
      </c>
      <c r="B9" s="9">
        <v>45506.0</v>
      </c>
      <c r="C9" s="77" t="s">
        <v>1572</v>
      </c>
      <c r="D9" s="13">
        <f>D6+D7-D8</f>
        <v>17068.31</v>
      </c>
      <c r="E9" s="15">
        <f t="shared" si="1"/>
        <v>2024</v>
      </c>
      <c r="F9" s="15">
        <f t="shared" si="2"/>
        <v>8</v>
      </c>
      <c r="G9" s="15">
        <f t="shared" si="3"/>
        <v>2</v>
      </c>
    </row>
    <row r="10">
      <c r="A10" s="10" t="s">
        <v>27</v>
      </c>
      <c r="B10" s="9">
        <f t="shared" ref="B10:B2717" si="4">B6+1</f>
        <v>45507</v>
      </c>
      <c r="C10" s="77" t="s">
        <v>1569</v>
      </c>
      <c r="D10" s="12">
        <f>D9</f>
        <v>17068.31</v>
      </c>
      <c r="E10" s="15">
        <f t="shared" si="1"/>
        <v>2024</v>
      </c>
      <c r="F10" s="15">
        <f t="shared" si="2"/>
        <v>8</v>
      </c>
      <c r="G10" s="15">
        <f t="shared" si="3"/>
        <v>3</v>
      </c>
    </row>
    <row r="11">
      <c r="A11" s="10" t="s">
        <v>27</v>
      </c>
      <c r="B11" s="9">
        <f t="shared" si="4"/>
        <v>45507</v>
      </c>
      <c r="C11" s="77" t="s">
        <v>1570</v>
      </c>
      <c r="D11" s="13">
        <f>SUMIFS('Lançamentos de receitas'!$E:$E,'Lançamentos de receitas'!$A:$A,B11,'Lançamentos de receitas'!$C:$C,A11,'Lançamentos de receitas'!$F:$F,"TRANSFERÊNCIA")</f>
        <v>3247.92</v>
      </c>
      <c r="E11" s="15">
        <f t="shared" si="1"/>
        <v>2024</v>
      </c>
      <c r="F11" s="15">
        <f t="shared" si="2"/>
        <v>8</v>
      </c>
      <c r="G11" s="15">
        <f t="shared" si="3"/>
        <v>3</v>
      </c>
    </row>
    <row r="12">
      <c r="A12" s="10" t="s">
        <v>27</v>
      </c>
      <c r="B12" s="9">
        <f t="shared" si="4"/>
        <v>45507</v>
      </c>
      <c r="C12" s="77" t="s">
        <v>1571</v>
      </c>
      <c r="D12" s="13">
        <f>SUMIFS('Lançamentos de despesas'!$K:$K,'Lançamentos de despesas'!$C:$C,B12,'Lançamentos de despesas'!$G:$G,A12,'Lançamentos de despesas'!$E:$E,"pago")</f>
        <v>0</v>
      </c>
      <c r="E12" s="15">
        <f t="shared" si="1"/>
        <v>2024</v>
      </c>
      <c r="F12" s="15">
        <f t="shared" si="2"/>
        <v>8</v>
      </c>
      <c r="G12" s="15">
        <f t="shared" si="3"/>
        <v>3</v>
      </c>
    </row>
    <row r="13">
      <c r="A13" s="10" t="s">
        <v>27</v>
      </c>
      <c r="B13" s="9">
        <f t="shared" si="4"/>
        <v>45507</v>
      </c>
      <c r="C13" s="77" t="s">
        <v>1572</v>
      </c>
      <c r="D13" s="13">
        <f>D10+D11-D12</f>
        <v>20316.23</v>
      </c>
      <c r="E13" s="15">
        <f t="shared" si="1"/>
        <v>2024</v>
      </c>
      <c r="F13" s="15">
        <f t="shared" si="2"/>
        <v>8</v>
      </c>
      <c r="G13" s="15">
        <f t="shared" si="3"/>
        <v>3</v>
      </c>
    </row>
    <row r="14">
      <c r="A14" s="10" t="s">
        <v>27</v>
      </c>
      <c r="B14" s="9">
        <f t="shared" si="4"/>
        <v>45508</v>
      </c>
      <c r="C14" s="77" t="s">
        <v>1569</v>
      </c>
      <c r="D14" s="12">
        <f>D13</f>
        <v>20316.23</v>
      </c>
      <c r="E14" s="15">
        <f t="shared" si="1"/>
        <v>2024</v>
      </c>
      <c r="F14" s="15">
        <f t="shared" si="2"/>
        <v>8</v>
      </c>
      <c r="G14" s="15">
        <f t="shared" si="3"/>
        <v>4</v>
      </c>
    </row>
    <row r="15">
      <c r="A15" s="10" t="s">
        <v>27</v>
      </c>
      <c r="B15" s="9">
        <f t="shared" si="4"/>
        <v>45508</v>
      </c>
      <c r="C15" s="77" t="s">
        <v>1570</v>
      </c>
      <c r="D15" s="13">
        <f>SUMIFS('Lançamentos de receitas'!$E:$E,'Lançamentos de receitas'!$A:$A,B15,'Lançamentos de receitas'!$C:$C,A15,'Lançamentos de receitas'!$F:$F,"TRANSFERÊNCIA")</f>
        <v>1407.97</v>
      </c>
      <c r="E15" s="15">
        <f t="shared" si="1"/>
        <v>2024</v>
      </c>
      <c r="F15" s="15">
        <f t="shared" si="2"/>
        <v>8</v>
      </c>
      <c r="G15" s="15">
        <f t="shared" si="3"/>
        <v>4</v>
      </c>
    </row>
    <row r="16">
      <c r="A16" s="10" t="s">
        <v>27</v>
      </c>
      <c r="B16" s="9">
        <f t="shared" si="4"/>
        <v>45508</v>
      </c>
      <c r="C16" s="77" t="s">
        <v>1571</v>
      </c>
      <c r="D16" s="13">
        <f>SUMIFS('Lançamentos de despesas'!$K:$K,'Lançamentos de despesas'!$C:$C,B16,'Lançamentos de despesas'!$G:$G,A16,'Lançamentos de despesas'!$E:$E,"pago")</f>
        <v>0</v>
      </c>
      <c r="E16" s="15">
        <f t="shared" si="1"/>
        <v>2024</v>
      </c>
      <c r="F16" s="15">
        <f t="shared" si="2"/>
        <v>8</v>
      </c>
      <c r="G16" s="15">
        <f t="shared" si="3"/>
        <v>4</v>
      </c>
    </row>
    <row r="17">
      <c r="A17" s="10" t="s">
        <v>27</v>
      </c>
      <c r="B17" s="9">
        <f t="shared" si="4"/>
        <v>45508</v>
      </c>
      <c r="C17" s="77" t="s">
        <v>1572</v>
      </c>
      <c r="D17" s="13">
        <f>D14+D15-D16</f>
        <v>21724.2</v>
      </c>
      <c r="E17" s="15">
        <f t="shared" si="1"/>
        <v>2024</v>
      </c>
      <c r="F17" s="15">
        <f t="shared" si="2"/>
        <v>8</v>
      </c>
      <c r="G17" s="15">
        <f t="shared" si="3"/>
        <v>4</v>
      </c>
    </row>
    <row r="18">
      <c r="A18" s="10" t="s">
        <v>27</v>
      </c>
      <c r="B18" s="9">
        <f t="shared" si="4"/>
        <v>45509</v>
      </c>
      <c r="C18" s="77" t="s">
        <v>1569</v>
      </c>
      <c r="D18" s="12">
        <f>D17</f>
        <v>21724.2</v>
      </c>
      <c r="E18" s="15">
        <f t="shared" si="1"/>
        <v>2024</v>
      </c>
      <c r="F18" s="15">
        <f t="shared" si="2"/>
        <v>8</v>
      </c>
      <c r="G18" s="15">
        <f t="shared" si="3"/>
        <v>5</v>
      </c>
    </row>
    <row r="19">
      <c r="A19" s="10" t="s">
        <v>27</v>
      </c>
      <c r="B19" s="9">
        <f t="shared" si="4"/>
        <v>45509</v>
      </c>
      <c r="C19" s="77" t="s">
        <v>1570</v>
      </c>
      <c r="D19" s="13">
        <f>SUMIFS('Lançamentos de receitas'!$E:$E,'Lançamentos de receitas'!$A:$A,B19,'Lançamentos de receitas'!$C:$C,A19,'Lançamentos de receitas'!$F:$F,"TRANSFERÊNCIA")</f>
        <v>626.33</v>
      </c>
      <c r="E19" s="15">
        <f t="shared" si="1"/>
        <v>2024</v>
      </c>
      <c r="F19" s="15">
        <f t="shared" si="2"/>
        <v>8</v>
      </c>
      <c r="G19" s="15">
        <f t="shared" si="3"/>
        <v>5</v>
      </c>
    </row>
    <row r="20">
      <c r="A20" s="10" t="s">
        <v>27</v>
      </c>
      <c r="B20" s="9">
        <f t="shared" si="4"/>
        <v>45509</v>
      </c>
      <c r="C20" s="77" t="s">
        <v>1571</v>
      </c>
      <c r="D20" s="13">
        <f>SUMIFS('Lançamentos de despesas'!$K:$K,'Lançamentos de despesas'!$C:$C,B20,'Lançamentos de despesas'!$G:$G,A20,'Lançamentos de despesas'!$E:$E,"pago")</f>
        <v>222.66</v>
      </c>
      <c r="E20" s="15">
        <f t="shared" si="1"/>
        <v>2024</v>
      </c>
      <c r="F20" s="15">
        <f t="shared" si="2"/>
        <v>8</v>
      </c>
      <c r="G20" s="15">
        <f t="shared" si="3"/>
        <v>5</v>
      </c>
    </row>
    <row r="21">
      <c r="A21" s="10" t="s">
        <v>27</v>
      </c>
      <c r="B21" s="9">
        <f t="shared" si="4"/>
        <v>45509</v>
      </c>
      <c r="C21" s="77" t="s">
        <v>1572</v>
      </c>
      <c r="D21" s="13">
        <f>D18+D19-D20</f>
        <v>22127.87</v>
      </c>
      <c r="E21" s="15">
        <f t="shared" si="1"/>
        <v>2024</v>
      </c>
      <c r="F21" s="15">
        <f t="shared" si="2"/>
        <v>8</v>
      </c>
      <c r="G21" s="15">
        <f t="shared" si="3"/>
        <v>5</v>
      </c>
    </row>
    <row r="22">
      <c r="A22" s="10" t="s">
        <v>27</v>
      </c>
      <c r="B22" s="9">
        <f t="shared" si="4"/>
        <v>45510</v>
      </c>
      <c r="C22" s="77" t="s">
        <v>1569</v>
      </c>
      <c r="D22" s="12">
        <f>D21</f>
        <v>22127.87</v>
      </c>
      <c r="E22" s="15">
        <f t="shared" si="1"/>
        <v>2024</v>
      </c>
      <c r="F22" s="15">
        <f t="shared" si="2"/>
        <v>8</v>
      </c>
      <c r="G22" s="15">
        <f t="shared" si="3"/>
        <v>6</v>
      </c>
    </row>
    <row r="23">
      <c r="A23" s="10" t="s">
        <v>27</v>
      </c>
      <c r="B23" s="9">
        <f t="shared" si="4"/>
        <v>45510</v>
      </c>
      <c r="C23" s="77" t="s">
        <v>1570</v>
      </c>
      <c r="D23" s="13">
        <f>SUMIFS('Lançamentos de receitas'!$E:$E,'Lançamentos de receitas'!$A:$A,B23,'Lançamentos de receitas'!$C:$C,A23,'Lançamentos de receitas'!$F:$F,"TRANSFERÊNCIA")</f>
        <v>38637.57</v>
      </c>
      <c r="E23" s="15">
        <f t="shared" si="1"/>
        <v>2024</v>
      </c>
      <c r="F23" s="15">
        <f t="shared" si="2"/>
        <v>8</v>
      </c>
      <c r="G23" s="15">
        <f t="shared" si="3"/>
        <v>6</v>
      </c>
    </row>
    <row r="24">
      <c r="A24" s="10" t="s">
        <v>27</v>
      </c>
      <c r="B24" s="9">
        <f t="shared" si="4"/>
        <v>45510</v>
      </c>
      <c r="C24" s="77" t="s">
        <v>1571</v>
      </c>
      <c r="D24" s="13">
        <f>SUMIFS('Lançamentos de despesas'!$K:$K,'Lançamentos de despesas'!$C:$C,B24,'Lançamentos de despesas'!$G:$G,A24,'Lançamentos de despesas'!$E:$E,"pago")</f>
        <v>2573.8</v>
      </c>
      <c r="E24" s="15">
        <f t="shared" si="1"/>
        <v>2024</v>
      </c>
      <c r="F24" s="15">
        <f t="shared" si="2"/>
        <v>8</v>
      </c>
      <c r="G24" s="15">
        <f t="shared" si="3"/>
        <v>6</v>
      </c>
    </row>
    <row r="25">
      <c r="A25" s="10" t="s">
        <v>27</v>
      </c>
      <c r="B25" s="9">
        <f t="shared" si="4"/>
        <v>45510</v>
      </c>
      <c r="C25" s="77" t="s">
        <v>1572</v>
      </c>
      <c r="D25" s="13">
        <f>D22+D23-D24</f>
        <v>58191.64</v>
      </c>
      <c r="E25" s="15">
        <f t="shared" si="1"/>
        <v>2024</v>
      </c>
      <c r="F25" s="15">
        <f t="shared" si="2"/>
        <v>8</v>
      </c>
      <c r="G25" s="15">
        <f t="shared" si="3"/>
        <v>6</v>
      </c>
    </row>
    <row r="26">
      <c r="A26" s="10" t="s">
        <v>27</v>
      </c>
      <c r="B26" s="9">
        <f t="shared" si="4"/>
        <v>45511</v>
      </c>
      <c r="C26" s="77" t="s">
        <v>1569</v>
      </c>
      <c r="D26" s="12">
        <f>D25</f>
        <v>58191.64</v>
      </c>
      <c r="E26" s="15">
        <f t="shared" si="1"/>
        <v>2024</v>
      </c>
      <c r="F26" s="15">
        <f t="shared" si="2"/>
        <v>8</v>
      </c>
      <c r="G26" s="15">
        <f t="shared" si="3"/>
        <v>7</v>
      </c>
    </row>
    <row r="27">
      <c r="A27" s="10" t="s">
        <v>27</v>
      </c>
      <c r="B27" s="9">
        <f t="shared" si="4"/>
        <v>45511</v>
      </c>
      <c r="C27" s="77" t="s">
        <v>1570</v>
      </c>
      <c r="D27" s="13">
        <f>SUMIFS('Lançamentos de receitas'!$E:$E,'Lançamentos de receitas'!$A:$A,B27,'Lançamentos de receitas'!$C:$C,A27,'Lançamentos de receitas'!$F:$F,"TRANSFERÊNCIA")</f>
        <v>2090.04</v>
      </c>
      <c r="E27" s="15">
        <f t="shared" si="1"/>
        <v>2024</v>
      </c>
      <c r="F27" s="15">
        <f t="shared" si="2"/>
        <v>8</v>
      </c>
      <c r="G27" s="15">
        <f t="shared" si="3"/>
        <v>7</v>
      </c>
    </row>
    <row r="28">
      <c r="A28" s="10" t="s">
        <v>27</v>
      </c>
      <c r="B28" s="9">
        <f t="shared" si="4"/>
        <v>45511</v>
      </c>
      <c r="C28" s="77" t="s">
        <v>1571</v>
      </c>
      <c r="D28" s="13">
        <f>SUMIFS('Lançamentos de despesas'!$K:$K,'Lançamentos de despesas'!$C:$C,B28,'Lançamentos de despesas'!$G:$G,A28,'Lançamentos de despesas'!$E:$E,"pago")</f>
        <v>0</v>
      </c>
      <c r="E28" s="15">
        <f t="shared" si="1"/>
        <v>2024</v>
      </c>
      <c r="F28" s="15">
        <f t="shared" si="2"/>
        <v>8</v>
      </c>
      <c r="G28" s="15">
        <f t="shared" si="3"/>
        <v>7</v>
      </c>
    </row>
    <row r="29">
      <c r="A29" s="10" t="s">
        <v>27</v>
      </c>
      <c r="B29" s="9">
        <f t="shared" si="4"/>
        <v>45511</v>
      </c>
      <c r="C29" s="77" t="s">
        <v>1572</v>
      </c>
      <c r="D29" s="13">
        <f>D26+D27-D28</f>
        <v>60281.68</v>
      </c>
      <c r="E29" s="15">
        <f t="shared" si="1"/>
        <v>2024</v>
      </c>
      <c r="F29" s="15">
        <f t="shared" si="2"/>
        <v>8</v>
      </c>
      <c r="G29" s="15">
        <f t="shared" si="3"/>
        <v>7</v>
      </c>
    </row>
    <row r="30">
      <c r="A30" s="10" t="s">
        <v>27</v>
      </c>
      <c r="B30" s="9">
        <f t="shared" si="4"/>
        <v>45512</v>
      </c>
      <c r="C30" s="77" t="s">
        <v>1569</v>
      </c>
      <c r="D30" s="12">
        <f>D29</f>
        <v>60281.68</v>
      </c>
      <c r="E30" s="15">
        <f t="shared" si="1"/>
        <v>2024</v>
      </c>
      <c r="F30" s="15">
        <f t="shared" si="2"/>
        <v>8</v>
      </c>
      <c r="G30" s="15">
        <f t="shared" si="3"/>
        <v>8</v>
      </c>
    </row>
    <row r="31">
      <c r="A31" s="10" t="s">
        <v>27</v>
      </c>
      <c r="B31" s="9">
        <f t="shared" si="4"/>
        <v>45512</v>
      </c>
      <c r="C31" s="77" t="s">
        <v>1570</v>
      </c>
      <c r="D31" s="13">
        <f>SUMIFS('Lançamentos de receitas'!$E:$E,'Lançamentos de receitas'!$A:$A,B31,'Lançamentos de receitas'!$C:$C,A31,'Lançamentos de receitas'!$F:$F,"TRANSFERÊNCIA")</f>
        <v>2594.3</v>
      </c>
      <c r="E31" s="15">
        <f t="shared" si="1"/>
        <v>2024</v>
      </c>
      <c r="F31" s="15">
        <f t="shared" si="2"/>
        <v>8</v>
      </c>
      <c r="G31" s="15">
        <f t="shared" si="3"/>
        <v>8</v>
      </c>
    </row>
    <row r="32">
      <c r="A32" s="10" t="s">
        <v>27</v>
      </c>
      <c r="B32" s="9">
        <f t="shared" si="4"/>
        <v>45512</v>
      </c>
      <c r="C32" s="77" t="s">
        <v>1571</v>
      </c>
      <c r="D32" s="13">
        <f>SUMIFS('Lançamentos de despesas'!$K:$K,'Lançamentos de despesas'!$C:$C,B32,'Lançamentos de despesas'!$G:$G,A32,'Lançamentos de despesas'!$E:$E,"pago")</f>
        <v>0</v>
      </c>
      <c r="E32" s="15">
        <f t="shared" si="1"/>
        <v>2024</v>
      </c>
      <c r="F32" s="15">
        <f t="shared" si="2"/>
        <v>8</v>
      </c>
      <c r="G32" s="15">
        <f t="shared" si="3"/>
        <v>8</v>
      </c>
    </row>
    <row r="33">
      <c r="A33" s="10" t="s">
        <v>27</v>
      </c>
      <c r="B33" s="9">
        <f t="shared" si="4"/>
        <v>45512</v>
      </c>
      <c r="C33" s="77" t="s">
        <v>1572</v>
      </c>
      <c r="D33" s="13">
        <f>D30+D31-D32</f>
        <v>62875.98</v>
      </c>
      <c r="E33" s="15">
        <f t="shared" si="1"/>
        <v>2024</v>
      </c>
      <c r="F33" s="15">
        <f t="shared" si="2"/>
        <v>8</v>
      </c>
      <c r="G33" s="15">
        <f t="shared" si="3"/>
        <v>8</v>
      </c>
    </row>
    <row r="34">
      <c r="A34" s="10" t="s">
        <v>27</v>
      </c>
      <c r="B34" s="9">
        <f t="shared" si="4"/>
        <v>45513</v>
      </c>
      <c r="C34" s="77" t="s">
        <v>1569</v>
      </c>
      <c r="D34" s="12">
        <f>D33</f>
        <v>62875.98</v>
      </c>
      <c r="E34" s="15">
        <f t="shared" si="1"/>
        <v>2024</v>
      </c>
      <c r="F34" s="15">
        <f t="shared" si="2"/>
        <v>8</v>
      </c>
      <c r="G34" s="15">
        <f t="shared" si="3"/>
        <v>9</v>
      </c>
    </row>
    <row r="35">
      <c r="A35" s="10" t="s">
        <v>27</v>
      </c>
      <c r="B35" s="9">
        <f t="shared" si="4"/>
        <v>45513</v>
      </c>
      <c r="C35" s="77" t="s">
        <v>1570</v>
      </c>
      <c r="D35" s="13">
        <f>SUMIFS('Lançamentos de receitas'!$E:$E,'Lançamentos de receitas'!$A:$A,B35,'Lançamentos de receitas'!$C:$C,A35,'Lançamentos de receitas'!$F:$F,"TRANSFERÊNCIA")</f>
        <v>1963.96</v>
      </c>
      <c r="E35" s="15">
        <f t="shared" si="1"/>
        <v>2024</v>
      </c>
      <c r="F35" s="15">
        <f t="shared" si="2"/>
        <v>8</v>
      </c>
      <c r="G35" s="15">
        <f t="shared" si="3"/>
        <v>9</v>
      </c>
    </row>
    <row r="36">
      <c r="A36" s="10" t="s">
        <v>27</v>
      </c>
      <c r="B36" s="9">
        <f t="shared" si="4"/>
        <v>45513</v>
      </c>
      <c r="C36" s="77" t="s">
        <v>1571</v>
      </c>
      <c r="D36" s="13">
        <f>SUMIFS('Lançamentos de despesas'!$K:$K,'Lançamentos de despesas'!$C:$C,B36,'Lançamentos de despesas'!$G:$G,A36,'Lançamentos de despesas'!$E:$E,"pago")</f>
        <v>0</v>
      </c>
      <c r="E36" s="15">
        <f t="shared" si="1"/>
        <v>2024</v>
      </c>
      <c r="F36" s="15">
        <f t="shared" si="2"/>
        <v>8</v>
      </c>
      <c r="G36" s="15">
        <f t="shared" si="3"/>
        <v>9</v>
      </c>
    </row>
    <row r="37">
      <c r="A37" s="10" t="s">
        <v>27</v>
      </c>
      <c r="B37" s="9">
        <f t="shared" si="4"/>
        <v>45513</v>
      </c>
      <c r="C37" s="77" t="s">
        <v>1572</v>
      </c>
      <c r="D37" s="13">
        <f>D34+D35-D36</f>
        <v>64839.94</v>
      </c>
      <c r="E37" s="15">
        <f t="shared" si="1"/>
        <v>2024</v>
      </c>
      <c r="F37" s="15">
        <f t="shared" si="2"/>
        <v>8</v>
      </c>
      <c r="G37" s="15">
        <f t="shared" si="3"/>
        <v>9</v>
      </c>
    </row>
    <row r="38">
      <c r="A38" s="10" t="s">
        <v>27</v>
      </c>
      <c r="B38" s="9">
        <f t="shared" si="4"/>
        <v>45514</v>
      </c>
      <c r="C38" s="77" t="s">
        <v>1569</v>
      </c>
      <c r="D38" s="12">
        <f>D37</f>
        <v>64839.94</v>
      </c>
      <c r="E38" s="15">
        <f t="shared" si="1"/>
        <v>2024</v>
      </c>
      <c r="F38" s="15">
        <f t="shared" si="2"/>
        <v>8</v>
      </c>
      <c r="G38" s="15">
        <f t="shared" si="3"/>
        <v>10</v>
      </c>
    </row>
    <row r="39">
      <c r="A39" s="10" t="s">
        <v>27</v>
      </c>
      <c r="B39" s="9">
        <f t="shared" si="4"/>
        <v>45514</v>
      </c>
      <c r="C39" s="77" t="s">
        <v>1570</v>
      </c>
      <c r="D39" s="13">
        <f>SUMIFS('Lançamentos de receitas'!$E:$E,'Lançamentos de receitas'!$A:$A,B39,'Lançamentos de receitas'!$C:$C,A39,'Lançamentos de receitas'!$F:$F,"TRANSFERÊNCIA")</f>
        <v>1731.53</v>
      </c>
      <c r="E39" s="15">
        <f t="shared" si="1"/>
        <v>2024</v>
      </c>
      <c r="F39" s="15">
        <f t="shared" si="2"/>
        <v>8</v>
      </c>
      <c r="G39" s="15">
        <f t="shared" si="3"/>
        <v>10</v>
      </c>
    </row>
    <row r="40">
      <c r="A40" s="10" t="s">
        <v>27</v>
      </c>
      <c r="B40" s="9">
        <f t="shared" si="4"/>
        <v>45514</v>
      </c>
      <c r="C40" s="77" t="s">
        <v>1571</v>
      </c>
      <c r="D40" s="13">
        <f>SUMIFS('Lançamentos de despesas'!$K:$K,'Lançamentos de despesas'!$C:$C,B40,'Lançamentos de despesas'!$G:$G,A40,'Lançamentos de despesas'!$E:$E,"pago")</f>
        <v>0</v>
      </c>
      <c r="E40" s="15">
        <f t="shared" si="1"/>
        <v>2024</v>
      </c>
      <c r="F40" s="15">
        <f t="shared" si="2"/>
        <v>8</v>
      </c>
      <c r="G40" s="15">
        <f t="shared" si="3"/>
        <v>10</v>
      </c>
    </row>
    <row r="41">
      <c r="A41" s="10" t="s">
        <v>27</v>
      </c>
      <c r="B41" s="9">
        <f t="shared" si="4"/>
        <v>45514</v>
      </c>
      <c r="C41" s="77" t="s">
        <v>1572</v>
      </c>
      <c r="D41" s="13">
        <f>D38+D39-D40</f>
        <v>66571.47</v>
      </c>
      <c r="E41" s="15">
        <f t="shared" si="1"/>
        <v>2024</v>
      </c>
      <c r="F41" s="15">
        <f t="shared" si="2"/>
        <v>8</v>
      </c>
      <c r="G41" s="15">
        <f t="shared" si="3"/>
        <v>10</v>
      </c>
    </row>
    <row r="42">
      <c r="A42" s="10" t="s">
        <v>27</v>
      </c>
      <c r="B42" s="9">
        <f t="shared" si="4"/>
        <v>45515</v>
      </c>
      <c r="C42" s="77" t="s">
        <v>1569</v>
      </c>
      <c r="D42" s="12">
        <f>D41</f>
        <v>66571.47</v>
      </c>
      <c r="E42" s="15">
        <f t="shared" si="1"/>
        <v>2024</v>
      </c>
      <c r="F42" s="15">
        <f t="shared" si="2"/>
        <v>8</v>
      </c>
      <c r="G42" s="15">
        <f t="shared" si="3"/>
        <v>11</v>
      </c>
    </row>
    <row r="43">
      <c r="A43" s="10" t="s">
        <v>27</v>
      </c>
      <c r="B43" s="9">
        <f t="shared" si="4"/>
        <v>45515</v>
      </c>
      <c r="C43" s="77" t="s">
        <v>1570</v>
      </c>
      <c r="D43" s="13">
        <f>SUMIFS('Lançamentos de receitas'!$E:$E,'Lançamentos de receitas'!$A:$A,B43,'Lançamentos de receitas'!$C:$C,A43,'Lançamentos de receitas'!$F:$F,"TRANSFERÊNCIA")</f>
        <v>591.01</v>
      </c>
      <c r="E43" s="15">
        <f t="shared" si="1"/>
        <v>2024</v>
      </c>
      <c r="F43" s="15">
        <f t="shared" si="2"/>
        <v>8</v>
      </c>
      <c r="G43" s="15">
        <f t="shared" si="3"/>
        <v>11</v>
      </c>
    </row>
    <row r="44">
      <c r="A44" s="10" t="s">
        <v>27</v>
      </c>
      <c r="B44" s="9">
        <f t="shared" si="4"/>
        <v>45515</v>
      </c>
      <c r="C44" s="77" t="s">
        <v>1571</v>
      </c>
      <c r="D44" s="13">
        <f>SUMIFS('Lançamentos de despesas'!$K:$K,'Lançamentos de despesas'!$C:$C,B44,'Lançamentos de despesas'!$G:$G,A44,'Lançamentos de despesas'!$E:$E,"pago")</f>
        <v>0</v>
      </c>
      <c r="E44" s="15">
        <f t="shared" si="1"/>
        <v>2024</v>
      </c>
      <c r="F44" s="15">
        <f t="shared" si="2"/>
        <v>8</v>
      </c>
      <c r="G44" s="15">
        <f t="shared" si="3"/>
        <v>11</v>
      </c>
    </row>
    <row r="45">
      <c r="A45" s="10" t="s">
        <v>27</v>
      </c>
      <c r="B45" s="9">
        <f t="shared" si="4"/>
        <v>45515</v>
      </c>
      <c r="C45" s="77" t="s">
        <v>1572</v>
      </c>
      <c r="D45" s="13">
        <f>D42+D43-D44</f>
        <v>67162.48</v>
      </c>
      <c r="E45" s="15">
        <f t="shared" si="1"/>
        <v>2024</v>
      </c>
      <c r="F45" s="15">
        <f t="shared" si="2"/>
        <v>8</v>
      </c>
      <c r="G45" s="15">
        <f t="shared" si="3"/>
        <v>11</v>
      </c>
    </row>
    <row r="46">
      <c r="A46" s="10" t="s">
        <v>27</v>
      </c>
      <c r="B46" s="9">
        <f t="shared" si="4"/>
        <v>45516</v>
      </c>
      <c r="C46" s="77" t="s">
        <v>1569</v>
      </c>
      <c r="D46" s="12">
        <f>D45</f>
        <v>67162.48</v>
      </c>
      <c r="E46" s="15">
        <f t="shared" si="1"/>
        <v>2024</v>
      </c>
      <c r="F46" s="15">
        <f t="shared" si="2"/>
        <v>8</v>
      </c>
      <c r="G46" s="15">
        <f t="shared" si="3"/>
        <v>12</v>
      </c>
    </row>
    <row r="47">
      <c r="A47" s="10" t="s">
        <v>27</v>
      </c>
      <c r="B47" s="9">
        <f t="shared" si="4"/>
        <v>45516</v>
      </c>
      <c r="C47" s="77" t="s">
        <v>1570</v>
      </c>
      <c r="D47" s="13">
        <f>SUMIFS('Lançamentos de receitas'!$E:$E,'Lançamentos de receitas'!$A:$A,B47,'Lançamentos de receitas'!$C:$C,A47,'Lançamentos de receitas'!$F:$F,"TRANSFERÊNCIA")</f>
        <v>31125.84</v>
      </c>
      <c r="E47" s="15">
        <f t="shared" si="1"/>
        <v>2024</v>
      </c>
      <c r="F47" s="15">
        <f t="shared" si="2"/>
        <v>8</v>
      </c>
      <c r="G47" s="15">
        <f t="shared" si="3"/>
        <v>12</v>
      </c>
    </row>
    <row r="48">
      <c r="A48" s="10" t="s">
        <v>27</v>
      </c>
      <c r="B48" s="9">
        <f t="shared" si="4"/>
        <v>45516</v>
      </c>
      <c r="C48" s="77" t="s">
        <v>1571</v>
      </c>
      <c r="D48" s="13">
        <f>SUMIFS('Lançamentos de despesas'!$K:$K,'Lançamentos de despesas'!$C:$C,B48,'Lançamentos de despesas'!$G:$G,A48,'Lançamentos de despesas'!$E:$E,"pago")</f>
        <v>5539.13</v>
      </c>
      <c r="E48" s="15">
        <f t="shared" si="1"/>
        <v>2024</v>
      </c>
      <c r="F48" s="15">
        <f t="shared" si="2"/>
        <v>8</v>
      </c>
      <c r="G48" s="15">
        <f t="shared" si="3"/>
        <v>12</v>
      </c>
    </row>
    <row r="49">
      <c r="A49" s="10" t="s">
        <v>27</v>
      </c>
      <c r="B49" s="9">
        <f t="shared" si="4"/>
        <v>45516</v>
      </c>
      <c r="C49" s="77" t="s">
        <v>1572</v>
      </c>
      <c r="D49" s="13">
        <f>D46+D47-D48</f>
        <v>92749.19</v>
      </c>
      <c r="E49" s="15">
        <f t="shared" si="1"/>
        <v>2024</v>
      </c>
      <c r="F49" s="15">
        <f t="shared" si="2"/>
        <v>8</v>
      </c>
      <c r="G49" s="15">
        <f t="shared" si="3"/>
        <v>12</v>
      </c>
    </row>
    <row r="50">
      <c r="A50" s="10" t="s">
        <v>27</v>
      </c>
      <c r="B50" s="9">
        <f t="shared" si="4"/>
        <v>45517</v>
      </c>
      <c r="C50" s="77" t="s">
        <v>1569</v>
      </c>
      <c r="D50" s="12">
        <f>D49</f>
        <v>92749.19</v>
      </c>
      <c r="E50" s="15">
        <f t="shared" si="1"/>
        <v>2024</v>
      </c>
      <c r="F50" s="15">
        <f t="shared" si="2"/>
        <v>8</v>
      </c>
      <c r="G50" s="15">
        <f t="shared" si="3"/>
        <v>13</v>
      </c>
    </row>
    <row r="51">
      <c r="A51" s="10" t="s">
        <v>27</v>
      </c>
      <c r="B51" s="9">
        <f t="shared" si="4"/>
        <v>45517</v>
      </c>
      <c r="C51" s="77" t="s">
        <v>1570</v>
      </c>
      <c r="D51" s="13">
        <f>SUMIFS('Lançamentos de receitas'!$E:$E,'Lançamentos de receitas'!$A:$A,B51,'Lançamentos de receitas'!$C:$C,A51,'Lançamentos de receitas'!$F:$F,"TRANSFERÊNCIA")</f>
        <v>2080.36</v>
      </c>
      <c r="E51" s="15">
        <f t="shared" si="1"/>
        <v>2024</v>
      </c>
      <c r="F51" s="15">
        <f t="shared" si="2"/>
        <v>8</v>
      </c>
      <c r="G51" s="15">
        <f t="shared" si="3"/>
        <v>13</v>
      </c>
    </row>
    <row r="52">
      <c r="A52" s="10" t="s">
        <v>27</v>
      </c>
      <c r="B52" s="9">
        <f t="shared" si="4"/>
        <v>45517</v>
      </c>
      <c r="C52" s="77" t="s">
        <v>1571</v>
      </c>
      <c r="D52" s="13">
        <f>SUMIFS('Lançamentos de despesas'!$K:$K,'Lançamentos de despesas'!$C:$C,B52,'Lançamentos de despesas'!$G:$G,A52,'Lançamentos de despesas'!$E:$E,"pago")</f>
        <v>0</v>
      </c>
      <c r="E52" s="15">
        <f t="shared" si="1"/>
        <v>2024</v>
      </c>
      <c r="F52" s="15">
        <f t="shared" si="2"/>
        <v>8</v>
      </c>
      <c r="G52" s="15">
        <f t="shared" si="3"/>
        <v>13</v>
      </c>
    </row>
    <row r="53">
      <c r="A53" s="10" t="s">
        <v>27</v>
      </c>
      <c r="B53" s="9">
        <f t="shared" si="4"/>
        <v>45517</v>
      </c>
      <c r="C53" s="77" t="s">
        <v>1572</v>
      </c>
      <c r="D53" s="13">
        <f>D50+D51-D52</f>
        <v>94829.55</v>
      </c>
      <c r="E53" s="15">
        <f t="shared" si="1"/>
        <v>2024</v>
      </c>
      <c r="F53" s="15">
        <f t="shared" si="2"/>
        <v>8</v>
      </c>
      <c r="G53" s="15">
        <f t="shared" si="3"/>
        <v>13</v>
      </c>
    </row>
    <row r="54">
      <c r="A54" s="10" t="s">
        <v>27</v>
      </c>
      <c r="B54" s="9">
        <f t="shared" si="4"/>
        <v>45518</v>
      </c>
      <c r="C54" s="77" t="s">
        <v>1569</v>
      </c>
      <c r="D54" s="12">
        <f>D53</f>
        <v>94829.55</v>
      </c>
      <c r="E54" s="15">
        <f t="shared" si="1"/>
        <v>2024</v>
      </c>
      <c r="F54" s="15">
        <f t="shared" si="2"/>
        <v>8</v>
      </c>
      <c r="G54" s="15">
        <f t="shared" si="3"/>
        <v>14</v>
      </c>
    </row>
    <row r="55">
      <c r="A55" s="10" t="s">
        <v>27</v>
      </c>
      <c r="B55" s="9">
        <f t="shared" si="4"/>
        <v>45518</v>
      </c>
      <c r="C55" s="77" t="s">
        <v>1570</v>
      </c>
      <c r="D55" s="13">
        <f>SUMIFS('Lançamentos de receitas'!$E:$E,'Lançamentos de receitas'!$A:$A,B55,'Lançamentos de receitas'!$C:$C,A55,'Lançamentos de receitas'!$F:$F,"TRANSFERÊNCIA")</f>
        <v>2971.71</v>
      </c>
      <c r="E55" s="15">
        <f t="shared" si="1"/>
        <v>2024</v>
      </c>
      <c r="F55" s="15">
        <f t="shared" si="2"/>
        <v>8</v>
      </c>
      <c r="G55" s="15">
        <f t="shared" si="3"/>
        <v>14</v>
      </c>
    </row>
    <row r="56">
      <c r="A56" s="10" t="s">
        <v>27</v>
      </c>
      <c r="B56" s="9">
        <f t="shared" si="4"/>
        <v>45518</v>
      </c>
      <c r="C56" s="77" t="s">
        <v>1571</v>
      </c>
      <c r="D56" s="13">
        <f>SUMIFS('Lançamentos de despesas'!$K:$K,'Lançamentos de despesas'!$C:$C,B56,'Lançamentos de despesas'!$G:$G,A56,'Lançamentos de despesas'!$E:$E,"pago")</f>
        <v>2786.78</v>
      </c>
      <c r="E56" s="15">
        <f t="shared" si="1"/>
        <v>2024</v>
      </c>
      <c r="F56" s="15">
        <f t="shared" si="2"/>
        <v>8</v>
      </c>
      <c r="G56" s="15">
        <f t="shared" si="3"/>
        <v>14</v>
      </c>
    </row>
    <row r="57">
      <c r="A57" s="10" t="s">
        <v>27</v>
      </c>
      <c r="B57" s="9">
        <f t="shared" si="4"/>
        <v>45518</v>
      </c>
      <c r="C57" s="77" t="s">
        <v>1572</v>
      </c>
      <c r="D57" s="13">
        <f>D54+D55-D56</f>
        <v>95014.48</v>
      </c>
      <c r="E57" s="15">
        <f t="shared" si="1"/>
        <v>2024</v>
      </c>
      <c r="F57" s="15">
        <f t="shared" si="2"/>
        <v>8</v>
      </c>
      <c r="G57" s="15">
        <f t="shared" si="3"/>
        <v>14</v>
      </c>
    </row>
    <row r="58">
      <c r="A58" s="10" t="s">
        <v>27</v>
      </c>
      <c r="B58" s="9">
        <f t="shared" si="4"/>
        <v>45519</v>
      </c>
      <c r="C58" s="77" t="s">
        <v>1569</v>
      </c>
      <c r="D58" s="12">
        <f>D57</f>
        <v>95014.48</v>
      </c>
      <c r="E58" s="15">
        <f t="shared" si="1"/>
        <v>2024</v>
      </c>
      <c r="F58" s="15">
        <f t="shared" si="2"/>
        <v>8</v>
      </c>
      <c r="G58" s="15">
        <f t="shared" si="3"/>
        <v>15</v>
      </c>
    </row>
    <row r="59">
      <c r="A59" s="10" t="s">
        <v>27</v>
      </c>
      <c r="B59" s="9">
        <f t="shared" si="4"/>
        <v>45519</v>
      </c>
      <c r="C59" s="77" t="s">
        <v>1570</v>
      </c>
      <c r="D59" s="13">
        <f>SUMIFS('Lançamentos de receitas'!$E:$E,'Lançamentos de receitas'!$A:$A,B59,'Lançamentos de receitas'!$C:$C,A59,'Lançamentos de receitas'!$F:$F,"TRANSFERÊNCIA")</f>
        <v>3891.85</v>
      </c>
      <c r="E59" s="15">
        <f t="shared" si="1"/>
        <v>2024</v>
      </c>
      <c r="F59" s="15">
        <f t="shared" si="2"/>
        <v>8</v>
      </c>
      <c r="G59" s="15">
        <f t="shared" si="3"/>
        <v>15</v>
      </c>
    </row>
    <row r="60">
      <c r="A60" s="10" t="s">
        <v>27</v>
      </c>
      <c r="B60" s="9">
        <f t="shared" si="4"/>
        <v>45519</v>
      </c>
      <c r="C60" s="77" t="s">
        <v>1571</v>
      </c>
      <c r="D60" s="13">
        <f>SUMIFS('Lançamentos de despesas'!$K:$K,'Lançamentos de despesas'!$C:$C,B60,'Lançamentos de despesas'!$G:$G,A60,'Lançamentos de despesas'!$E:$E,"pago")</f>
        <v>3988</v>
      </c>
      <c r="E60" s="15">
        <f t="shared" si="1"/>
        <v>2024</v>
      </c>
      <c r="F60" s="15">
        <f t="shared" si="2"/>
        <v>8</v>
      </c>
      <c r="G60" s="15">
        <f t="shared" si="3"/>
        <v>15</v>
      </c>
    </row>
    <row r="61">
      <c r="A61" s="10" t="s">
        <v>27</v>
      </c>
      <c r="B61" s="9">
        <f t="shared" si="4"/>
        <v>45519</v>
      </c>
      <c r="C61" s="77" t="s">
        <v>1572</v>
      </c>
      <c r="D61" s="13">
        <f>D58+D59-D60</f>
        <v>94918.33</v>
      </c>
      <c r="E61" s="15">
        <f t="shared" si="1"/>
        <v>2024</v>
      </c>
      <c r="F61" s="15">
        <f t="shared" si="2"/>
        <v>8</v>
      </c>
      <c r="G61" s="15">
        <f t="shared" si="3"/>
        <v>15</v>
      </c>
    </row>
    <row r="62">
      <c r="A62" s="10" t="s">
        <v>27</v>
      </c>
      <c r="B62" s="9">
        <f t="shared" si="4"/>
        <v>45520</v>
      </c>
      <c r="C62" s="77" t="s">
        <v>1569</v>
      </c>
      <c r="D62" s="12">
        <f>D61</f>
        <v>94918.33</v>
      </c>
      <c r="E62" s="15">
        <f t="shared" si="1"/>
        <v>2024</v>
      </c>
      <c r="F62" s="15">
        <f t="shared" si="2"/>
        <v>8</v>
      </c>
      <c r="G62" s="15">
        <f t="shared" si="3"/>
        <v>16</v>
      </c>
    </row>
    <row r="63">
      <c r="A63" s="10" t="s">
        <v>27</v>
      </c>
      <c r="B63" s="9">
        <f t="shared" si="4"/>
        <v>45520</v>
      </c>
      <c r="C63" s="77" t="s">
        <v>1570</v>
      </c>
      <c r="D63" s="13">
        <f>SUMIFS('Lançamentos de receitas'!$E:$E,'Lançamentos de receitas'!$A:$A,B63,'Lançamentos de receitas'!$C:$C,A63,'Lançamentos de receitas'!$F:$F,"TRANSFERÊNCIA")</f>
        <v>2250.23</v>
      </c>
      <c r="E63" s="15">
        <f t="shared" si="1"/>
        <v>2024</v>
      </c>
      <c r="F63" s="15">
        <f t="shared" si="2"/>
        <v>8</v>
      </c>
      <c r="G63" s="15">
        <f t="shared" si="3"/>
        <v>16</v>
      </c>
    </row>
    <row r="64">
      <c r="A64" s="10" t="s">
        <v>27</v>
      </c>
      <c r="B64" s="9">
        <f t="shared" si="4"/>
        <v>45520</v>
      </c>
      <c r="C64" s="77" t="s">
        <v>1571</v>
      </c>
      <c r="D64" s="13">
        <f>SUMIFS('Lançamentos de despesas'!$K:$K,'Lançamentos de despesas'!$C:$C,B64,'Lançamentos de despesas'!$G:$G,A64,'Lançamentos de despesas'!$E:$E,"pago")</f>
        <v>3042.66</v>
      </c>
      <c r="E64" s="15">
        <f t="shared" si="1"/>
        <v>2024</v>
      </c>
      <c r="F64" s="15">
        <f t="shared" si="2"/>
        <v>8</v>
      </c>
      <c r="G64" s="15">
        <f t="shared" si="3"/>
        <v>16</v>
      </c>
    </row>
    <row r="65">
      <c r="A65" s="10" t="s">
        <v>27</v>
      </c>
      <c r="B65" s="9">
        <f t="shared" si="4"/>
        <v>45520</v>
      </c>
      <c r="C65" s="77" t="s">
        <v>1572</v>
      </c>
      <c r="D65" s="13">
        <f>D62+D63-D64</f>
        <v>94125.9</v>
      </c>
      <c r="E65" s="15">
        <f t="shared" si="1"/>
        <v>2024</v>
      </c>
      <c r="F65" s="15">
        <f t="shared" si="2"/>
        <v>8</v>
      </c>
      <c r="G65" s="15">
        <f t="shared" si="3"/>
        <v>16</v>
      </c>
    </row>
    <row r="66">
      <c r="A66" s="10" t="s">
        <v>27</v>
      </c>
      <c r="B66" s="9">
        <f t="shared" si="4"/>
        <v>45521</v>
      </c>
      <c r="C66" s="77" t="s">
        <v>1569</v>
      </c>
      <c r="D66" s="12">
        <f>D65</f>
        <v>94125.9</v>
      </c>
      <c r="E66" s="15">
        <f t="shared" si="1"/>
        <v>2024</v>
      </c>
      <c r="F66" s="15">
        <f t="shared" si="2"/>
        <v>8</v>
      </c>
      <c r="G66" s="15">
        <f t="shared" si="3"/>
        <v>17</v>
      </c>
    </row>
    <row r="67">
      <c r="A67" s="10" t="s">
        <v>27</v>
      </c>
      <c r="B67" s="9">
        <f t="shared" si="4"/>
        <v>45521</v>
      </c>
      <c r="C67" s="77" t="s">
        <v>1570</v>
      </c>
      <c r="D67" s="13">
        <f>SUMIFS('Lançamentos de receitas'!$E:$E,'Lançamentos de receitas'!$A:$A,B67,'Lançamentos de receitas'!$C:$C,A67,'Lançamentos de receitas'!$F:$F,"TRANSFERÊNCIA")</f>
        <v>3321.6</v>
      </c>
      <c r="E67" s="15">
        <f t="shared" si="1"/>
        <v>2024</v>
      </c>
      <c r="F67" s="15">
        <f t="shared" si="2"/>
        <v>8</v>
      </c>
      <c r="G67" s="15">
        <f t="shared" si="3"/>
        <v>17</v>
      </c>
    </row>
    <row r="68">
      <c r="A68" s="10" t="s">
        <v>27</v>
      </c>
      <c r="B68" s="9">
        <f t="shared" si="4"/>
        <v>45521</v>
      </c>
      <c r="C68" s="77" t="s">
        <v>1571</v>
      </c>
      <c r="D68" s="13">
        <f>SUMIFS('Lançamentos de despesas'!$K:$K,'Lançamentos de despesas'!$C:$C,B68,'Lançamentos de despesas'!$G:$G,A68,'Lançamentos de despesas'!$E:$E,"pago")</f>
        <v>0</v>
      </c>
      <c r="E68" s="15">
        <f t="shared" si="1"/>
        <v>2024</v>
      </c>
      <c r="F68" s="15">
        <f t="shared" si="2"/>
        <v>8</v>
      </c>
      <c r="G68" s="15">
        <f t="shared" si="3"/>
        <v>17</v>
      </c>
    </row>
    <row r="69">
      <c r="A69" s="10" t="s">
        <v>27</v>
      </c>
      <c r="B69" s="9">
        <f t="shared" si="4"/>
        <v>45521</v>
      </c>
      <c r="C69" s="77" t="s">
        <v>1572</v>
      </c>
      <c r="D69" s="13">
        <f>D66+D67-D68</f>
        <v>97447.5</v>
      </c>
      <c r="E69" s="15">
        <f t="shared" si="1"/>
        <v>2024</v>
      </c>
      <c r="F69" s="15">
        <f t="shared" si="2"/>
        <v>8</v>
      </c>
      <c r="G69" s="15">
        <f t="shared" si="3"/>
        <v>17</v>
      </c>
    </row>
    <row r="70">
      <c r="A70" s="10" t="s">
        <v>27</v>
      </c>
      <c r="B70" s="9">
        <f t="shared" si="4"/>
        <v>45522</v>
      </c>
      <c r="C70" s="77" t="s">
        <v>1569</v>
      </c>
      <c r="D70" s="12">
        <f>D69</f>
        <v>97447.5</v>
      </c>
      <c r="E70" s="15">
        <f t="shared" si="1"/>
        <v>2024</v>
      </c>
      <c r="F70" s="15">
        <f t="shared" si="2"/>
        <v>8</v>
      </c>
      <c r="G70" s="15">
        <f t="shared" si="3"/>
        <v>18</v>
      </c>
    </row>
    <row r="71">
      <c r="A71" s="10" t="s">
        <v>27</v>
      </c>
      <c r="B71" s="9">
        <f t="shared" si="4"/>
        <v>45522</v>
      </c>
      <c r="C71" s="77" t="s">
        <v>1570</v>
      </c>
      <c r="D71" s="13">
        <f>SUMIFS('Lançamentos de receitas'!$E:$E,'Lançamentos de receitas'!$A:$A,B71,'Lançamentos de receitas'!$C:$C,A71,'Lançamentos de receitas'!$F:$F,"TRANSFERÊNCIA")</f>
        <v>1763.25</v>
      </c>
      <c r="E71" s="15">
        <f t="shared" si="1"/>
        <v>2024</v>
      </c>
      <c r="F71" s="15">
        <f t="shared" si="2"/>
        <v>8</v>
      </c>
      <c r="G71" s="15">
        <f t="shared" si="3"/>
        <v>18</v>
      </c>
    </row>
    <row r="72">
      <c r="A72" s="10" t="s">
        <v>27</v>
      </c>
      <c r="B72" s="9">
        <f t="shared" si="4"/>
        <v>45522</v>
      </c>
      <c r="C72" s="77" t="s">
        <v>1571</v>
      </c>
      <c r="D72" s="13">
        <f>SUMIFS('Lançamentos de despesas'!$K:$K,'Lançamentos de despesas'!$C:$C,B72,'Lançamentos de despesas'!$G:$G,A72,'Lançamentos de despesas'!$E:$E,"pago")</f>
        <v>0</v>
      </c>
      <c r="E72" s="15">
        <f t="shared" si="1"/>
        <v>2024</v>
      </c>
      <c r="F72" s="15">
        <f t="shared" si="2"/>
        <v>8</v>
      </c>
      <c r="G72" s="15">
        <f t="shared" si="3"/>
        <v>18</v>
      </c>
    </row>
    <row r="73">
      <c r="A73" s="10" t="s">
        <v>27</v>
      </c>
      <c r="B73" s="9">
        <f t="shared" si="4"/>
        <v>45522</v>
      </c>
      <c r="C73" s="77" t="s">
        <v>1572</v>
      </c>
      <c r="D73" s="13">
        <f>D70+D71-D72</f>
        <v>99210.75</v>
      </c>
      <c r="E73" s="15">
        <f t="shared" si="1"/>
        <v>2024</v>
      </c>
      <c r="F73" s="15">
        <f t="shared" si="2"/>
        <v>8</v>
      </c>
      <c r="G73" s="15">
        <f t="shared" si="3"/>
        <v>18</v>
      </c>
    </row>
    <row r="74">
      <c r="A74" s="10" t="s">
        <v>27</v>
      </c>
      <c r="B74" s="9">
        <f t="shared" si="4"/>
        <v>45523</v>
      </c>
      <c r="C74" s="77" t="s">
        <v>1569</v>
      </c>
      <c r="D74" s="12">
        <f>D73</f>
        <v>99210.75</v>
      </c>
      <c r="E74" s="15">
        <f t="shared" si="1"/>
        <v>2024</v>
      </c>
      <c r="F74" s="15">
        <f t="shared" si="2"/>
        <v>8</v>
      </c>
      <c r="G74" s="15">
        <f t="shared" si="3"/>
        <v>19</v>
      </c>
    </row>
    <row r="75">
      <c r="A75" s="10" t="s">
        <v>27</v>
      </c>
      <c r="B75" s="9">
        <f t="shared" si="4"/>
        <v>45523</v>
      </c>
      <c r="C75" s="77" t="s">
        <v>1570</v>
      </c>
      <c r="D75" s="13">
        <f>SUMIFS('Lançamentos de receitas'!$E:$E,'Lançamentos de receitas'!$A:$A,B75,'Lançamentos de receitas'!$C:$C,A75,'Lançamentos de receitas'!$F:$F,"TRANSFERÊNCIA")</f>
        <v>538.9</v>
      </c>
      <c r="E75" s="15">
        <f t="shared" si="1"/>
        <v>2024</v>
      </c>
      <c r="F75" s="15">
        <f t="shared" si="2"/>
        <v>8</v>
      </c>
      <c r="G75" s="15">
        <f t="shared" si="3"/>
        <v>19</v>
      </c>
    </row>
    <row r="76">
      <c r="A76" s="10" t="s">
        <v>27</v>
      </c>
      <c r="B76" s="9">
        <f t="shared" si="4"/>
        <v>45523</v>
      </c>
      <c r="C76" s="77" t="s">
        <v>1571</v>
      </c>
      <c r="D76" s="13">
        <f>SUMIFS('Lançamentos de despesas'!$K:$K,'Lançamentos de despesas'!$C:$C,B76,'Lançamentos de despesas'!$G:$G,A76,'Lançamentos de despesas'!$E:$E,"pago")</f>
        <v>3511.72</v>
      </c>
      <c r="E76" s="15">
        <f t="shared" si="1"/>
        <v>2024</v>
      </c>
      <c r="F76" s="15">
        <f t="shared" si="2"/>
        <v>8</v>
      </c>
      <c r="G76" s="15">
        <f t="shared" si="3"/>
        <v>19</v>
      </c>
    </row>
    <row r="77">
      <c r="A77" s="10" t="s">
        <v>27</v>
      </c>
      <c r="B77" s="9">
        <f t="shared" si="4"/>
        <v>45523</v>
      </c>
      <c r="C77" s="77" t="s">
        <v>1572</v>
      </c>
      <c r="D77" s="13">
        <f>D74+D75-D76</f>
        <v>96237.93</v>
      </c>
      <c r="E77" s="15">
        <f t="shared" si="1"/>
        <v>2024</v>
      </c>
      <c r="F77" s="15">
        <f t="shared" si="2"/>
        <v>8</v>
      </c>
      <c r="G77" s="15">
        <f t="shared" si="3"/>
        <v>19</v>
      </c>
    </row>
    <row r="78">
      <c r="A78" s="10" t="s">
        <v>27</v>
      </c>
      <c r="B78" s="9">
        <f t="shared" si="4"/>
        <v>45524</v>
      </c>
      <c r="C78" s="77" t="s">
        <v>1569</v>
      </c>
      <c r="D78" s="12">
        <f>D77</f>
        <v>96237.93</v>
      </c>
      <c r="E78" s="15">
        <f t="shared" si="1"/>
        <v>2024</v>
      </c>
      <c r="F78" s="15">
        <f t="shared" si="2"/>
        <v>8</v>
      </c>
      <c r="G78" s="15">
        <f t="shared" si="3"/>
        <v>20</v>
      </c>
    </row>
    <row r="79">
      <c r="A79" s="10" t="s">
        <v>27</v>
      </c>
      <c r="B79" s="9">
        <f t="shared" si="4"/>
        <v>45524</v>
      </c>
      <c r="C79" s="77" t="s">
        <v>1570</v>
      </c>
      <c r="D79" s="13">
        <f>SUMIFS('Lançamentos de receitas'!$E:$E,'Lançamentos de receitas'!$A:$A,B79,'Lançamentos de receitas'!$C:$C,A79,'Lançamentos de receitas'!$F:$F,"TRANSFERÊNCIA")</f>
        <v>2125.62</v>
      </c>
      <c r="E79" s="15">
        <f t="shared" si="1"/>
        <v>2024</v>
      </c>
      <c r="F79" s="15">
        <f t="shared" si="2"/>
        <v>8</v>
      </c>
      <c r="G79" s="15">
        <f t="shared" si="3"/>
        <v>20</v>
      </c>
    </row>
    <row r="80">
      <c r="A80" s="10" t="s">
        <v>27</v>
      </c>
      <c r="B80" s="9">
        <f t="shared" si="4"/>
        <v>45524</v>
      </c>
      <c r="C80" s="77" t="s">
        <v>1571</v>
      </c>
      <c r="D80" s="13">
        <f>SUMIFS('Lançamentos de despesas'!$K:$K,'Lançamentos de despesas'!$C:$C,B80,'Lançamentos de despesas'!$G:$G,A80,'Lançamentos de despesas'!$E:$E,"pago")</f>
        <v>28336.451</v>
      </c>
      <c r="E80" s="15">
        <f t="shared" si="1"/>
        <v>2024</v>
      </c>
      <c r="F80" s="15">
        <f t="shared" si="2"/>
        <v>8</v>
      </c>
      <c r="G80" s="15">
        <f t="shared" si="3"/>
        <v>20</v>
      </c>
    </row>
    <row r="81">
      <c r="A81" s="10" t="s">
        <v>27</v>
      </c>
      <c r="B81" s="9">
        <f t="shared" si="4"/>
        <v>45524</v>
      </c>
      <c r="C81" s="77" t="s">
        <v>1572</v>
      </c>
      <c r="D81" s="13">
        <f>D78+D79-D80</f>
        <v>70027.099</v>
      </c>
      <c r="E81" s="15">
        <f t="shared" si="1"/>
        <v>2024</v>
      </c>
      <c r="F81" s="15">
        <f t="shared" si="2"/>
        <v>8</v>
      </c>
      <c r="G81" s="15">
        <f t="shared" si="3"/>
        <v>20</v>
      </c>
    </row>
    <row r="82">
      <c r="A82" s="10" t="s">
        <v>27</v>
      </c>
      <c r="B82" s="9">
        <f t="shared" si="4"/>
        <v>45525</v>
      </c>
      <c r="C82" s="77" t="s">
        <v>1569</v>
      </c>
      <c r="D82" s="12">
        <f>D81</f>
        <v>70027.099</v>
      </c>
      <c r="E82" s="15">
        <f t="shared" si="1"/>
        <v>2024</v>
      </c>
      <c r="F82" s="15">
        <f t="shared" si="2"/>
        <v>8</v>
      </c>
      <c r="G82" s="15">
        <f t="shared" si="3"/>
        <v>21</v>
      </c>
    </row>
    <row r="83">
      <c r="A83" s="10" t="s">
        <v>27</v>
      </c>
      <c r="B83" s="9">
        <f t="shared" si="4"/>
        <v>45525</v>
      </c>
      <c r="C83" s="77" t="s">
        <v>1570</v>
      </c>
      <c r="D83" s="13">
        <f>SUMIFS('Lançamentos de receitas'!$E:$E,'Lançamentos de receitas'!$A:$A,B83,'Lançamentos de receitas'!$C:$C,A83,'Lançamentos de receitas'!$F:$F,"TRANSFERÊNCIA")</f>
        <v>3550.19</v>
      </c>
      <c r="E83" s="15">
        <f t="shared" si="1"/>
        <v>2024</v>
      </c>
      <c r="F83" s="15">
        <f t="shared" si="2"/>
        <v>8</v>
      </c>
      <c r="G83" s="15">
        <f t="shared" si="3"/>
        <v>21</v>
      </c>
    </row>
    <row r="84">
      <c r="A84" s="10" t="s">
        <v>27</v>
      </c>
      <c r="B84" s="9">
        <f t="shared" si="4"/>
        <v>45525</v>
      </c>
      <c r="C84" s="77" t="s">
        <v>1571</v>
      </c>
      <c r="D84" s="13">
        <f>SUMIFS('Lançamentos de despesas'!$K:$K,'Lançamentos de despesas'!$C:$C,B84,'Lançamentos de despesas'!$G:$G,A84,'Lançamentos de despesas'!$E:$E,"pago")</f>
        <v>0</v>
      </c>
      <c r="E84" s="15">
        <f t="shared" si="1"/>
        <v>2024</v>
      </c>
      <c r="F84" s="15">
        <f t="shared" si="2"/>
        <v>8</v>
      </c>
      <c r="G84" s="15">
        <f t="shared" si="3"/>
        <v>21</v>
      </c>
    </row>
    <row r="85">
      <c r="A85" s="10" t="s">
        <v>27</v>
      </c>
      <c r="B85" s="9">
        <f t="shared" si="4"/>
        <v>45525</v>
      </c>
      <c r="C85" s="77" t="s">
        <v>1572</v>
      </c>
      <c r="D85" s="13">
        <f>D82+D83-D84</f>
        <v>73577.289</v>
      </c>
      <c r="E85" s="15">
        <f t="shared" si="1"/>
        <v>2024</v>
      </c>
      <c r="F85" s="15">
        <f t="shared" si="2"/>
        <v>8</v>
      </c>
      <c r="G85" s="15">
        <f t="shared" si="3"/>
        <v>21</v>
      </c>
    </row>
    <row r="86">
      <c r="A86" s="10" t="s">
        <v>27</v>
      </c>
      <c r="B86" s="9">
        <f t="shared" si="4"/>
        <v>45526</v>
      </c>
      <c r="C86" s="77" t="s">
        <v>1569</v>
      </c>
      <c r="D86" s="12">
        <f>D85</f>
        <v>73577.289</v>
      </c>
      <c r="E86" s="15">
        <f t="shared" si="1"/>
        <v>2024</v>
      </c>
      <c r="F86" s="15">
        <f t="shared" si="2"/>
        <v>8</v>
      </c>
      <c r="G86" s="15">
        <f t="shared" si="3"/>
        <v>22</v>
      </c>
    </row>
    <row r="87">
      <c r="A87" s="10" t="s">
        <v>27</v>
      </c>
      <c r="B87" s="9">
        <f t="shared" si="4"/>
        <v>45526</v>
      </c>
      <c r="C87" s="77" t="s">
        <v>1570</v>
      </c>
      <c r="D87" s="13">
        <f>SUMIFS('Lançamentos de receitas'!$E:$E,'Lançamentos de receitas'!$A:$A,B87,'Lançamentos de receitas'!$C:$C,A87,'Lançamentos de receitas'!$F:$F,"TRANSFERÊNCIA")</f>
        <v>2101.14</v>
      </c>
      <c r="E87" s="15">
        <f t="shared" si="1"/>
        <v>2024</v>
      </c>
      <c r="F87" s="15">
        <f t="shared" si="2"/>
        <v>8</v>
      </c>
      <c r="G87" s="15">
        <f t="shared" si="3"/>
        <v>22</v>
      </c>
    </row>
    <row r="88">
      <c r="A88" s="10" t="s">
        <v>27</v>
      </c>
      <c r="B88" s="9">
        <f t="shared" si="4"/>
        <v>45526</v>
      </c>
      <c r="C88" s="77" t="s">
        <v>1571</v>
      </c>
      <c r="D88" s="13">
        <f>SUMIFS('Lançamentos de despesas'!$K:$K,'Lançamentos de despesas'!$C:$C,B88,'Lançamentos de despesas'!$G:$G,A88,'Lançamentos de despesas'!$E:$E,"pago")</f>
        <v>1449.25</v>
      </c>
      <c r="E88" s="15">
        <f t="shared" si="1"/>
        <v>2024</v>
      </c>
      <c r="F88" s="15">
        <f t="shared" si="2"/>
        <v>8</v>
      </c>
      <c r="G88" s="15">
        <f t="shared" si="3"/>
        <v>22</v>
      </c>
    </row>
    <row r="89">
      <c r="A89" s="10" t="s">
        <v>27</v>
      </c>
      <c r="B89" s="9">
        <f t="shared" si="4"/>
        <v>45526</v>
      </c>
      <c r="C89" s="77" t="s">
        <v>1572</v>
      </c>
      <c r="D89" s="13">
        <f>D86+D87-D88</f>
        <v>74229.179</v>
      </c>
      <c r="E89" s="15">
        <f t="shared" si="1"/>
        <v>2024</v>
      </c>
      <c r="F89" s="15">
        <f t="shared" si="2"/>
        <v>8</v>
      </c>
      <c r="G89" s="15">
        <f t="shared" si="3"/>
        <v>22</v>
      </c>
    </row>
    <row r="90">
      <c r="A90" s="10" t="s">
        <v>27</v>
      </c>
      <c r="B90" s="9">
        <f t="shared" si="4"/>
        <v>45527</v>
      </c>
      <c r="C90" s="77" t="s">
        <v>1569</v>
      </c>
      <c r="D90" s="12">
        <f>D89</f>
        <v>74229.179</v>
      </c>
      <c r="E90" s="15">
        <f t="shared" si="1"/>
        <v>2024</v>
      </c>
      <c r="F90" s="15">
        <f t="shared" si="2"/>
        <v>8</v>
      </c>
      <c r="G90" s="15">
        <f t="shared" si="3"/>
        <v>23</v>
      </c>
    </row>
    <row r="91">
      <c r="A91" s="10" t="s">
        <v>27</v>
      </c>
      <c r="B91" s="9">
        <f t="shared" si="4"/>
        <v>45527</v>
      </c>
      <c r="C91" s="77" t="s">
        <v>1570</v>
      </c>
      <c r="D91" s="13">
        <f>SUMIFS('Lançamentos de receitas'!$E:$E,'Lançamentos de receitas'!$A:$A,B91,'Lançamentos de receitas'!$C:$C,A91,'Lançamentos de receitas'!$F:$F,"TRANSFERÊNCIA")</f>
        <v>8109.02</v>
      </c>
      <c r="E91" s="15">
        <f t="shared" si="1"/>
        <v>2024</v>
      </c>
      <c r="F91" s="15">
        <f t="shared" si="2"/>
        <v>8</v>
      </c>
      <c r="G91" s="15">
        <f t="shared" si="3"/>
        <v>23</v>
      </c>
    </row>
    <row r="92">
      <c r="A92" s="10" t="s">
        <v>27</v>
      </c>
      <c r="B92" s="9">
        <f t="shared" si="4"/>
        <v>45527</v>
      </c>
      <c r="C92" s="77" t="s">
        <v>1571</v>
      </c>
      <c r="D92" s="13">
        <f>SUMIFS('Lançamentos de despesas'!$K:$K,'Lançamentos de despesas'!$C:$C,B92,'Lançamentos de despesas'!$G:$G,A92,'Lançamentos de despesas'!$E:$E,"pago")</f>
        <v>10</v>
      </c>
      <c r="E92" s="15">
        <f t="shared" si="1"/>
        <v>2024</v>
      </c>
      <c r="F92" s="15">
        <f t="shared" si="2"/>
        <v>8</v>
      </c>
      <c r="G92" s="15">
        <f t="shared" si="3"/>
        <v>23</v>
      </c>
    </row>
    <row r="93">
      <c r="A93" s="10" t="s">
        <v>27</v>
      </c>
      <c r="B93" s="9">
        <f t="shared" si="4"/>
        <v>45527</v>
      </c>
      <c r="C93" s="77" t="s">
        <v>1572</v>
      </c>
      <c r="D93" s="13">
        <f>D90+D91-D92</f>
        <v>82328.199</v>
      </c>
      <c r="E93" s="15">
        <f t="shared" si="1"/>
        <v>2024</v>
      </c>
      <c r="F93" s="15">
        <f t="shared" si="2"/>
        <v>8</v>
      </c>
      <c r="G93" s="15">
        <f t="shared" si="3"/>
        <v>23</v>
      </c>
    </row>
    <row r="94">
      <c r="A94" s="10" t="s">
        <v>27</v>
      </c>
      <c r="B94" s="9">
        <f t="shared" si="4"/>
        <v>45528</v>
      </c>
      <c r="C94" s="77" t="s">
        <v>1569</v>
      </c>
      <c r="D94" s="12">
        <f>D93</f>
        <v>82328.199</v>
      </c>
      <c r="E94" s="15">
        <f t="shared" si="1"/>
        <v>2024</v>
      </c>
      <c r="F94" s="15">
        <f t="shared" si="2"/>
        <v>8</v>
      </c>
      <c r="G94" s="15">
        <f t="shared" si="3"/>
        <v>24</v>
      </c>
    </row>
    <row r="95">
      <c r="A95" s="10" t="s">
        <v>27</v>
      </c>
      <c r="B95" s="9">
        <f t="shared" si="4"/>
        <v>45528</v>
      </c>
      <c r="C95" s="77" t="s">
        <v>1570</v>
      </c>
      <c r="D95" s="13">
        <f>SUMIFS('Lançamentos de receitas'!$E:$E,'Lançamentos de receitas'!$A:$A,B95,'Lançamentos de receitas'!$C:$C,A95,'Lançamentos de receitas'!$F:$F,"TRANSFERÊNCIA")</f>
        <v>1962.3</v>
      </c>
      <c r="E95" s="15">
        <f t="shared" si="1"/>
        <v>2024</v>
      </c>
      <c r="F95" s="15">
        <f t="shared" si="2"/>
        <v>8</v>
      </c>
      <c r="G95" s="15">
        <f t="shared" si="3"/>
        <v>24</v>
      </c>
    </row>
    <row r="96">
      <c r="A96" s="10" t="s">
        <v>27</v>
      </c>
      <c r="B96" s="9">
        <f t="shared" si="4"/>
        <v>45528</v>
      </c>
      <c r="C96" s="77" t="s">
        <v>1571</v>
      </c>
      <c r="D96" s="13">
        <f>SUMIFS('Lançamentos de despesas'!$K:$K,'Lançamentos de despesas'!$C:$C,B96,'Lançamentos de despesas'!$G:$G,A96,'Lançamentos de despesas'!$E:$E,"pago")</f>
        <v>0</v>
      </c>
      <c r="E96" s="15">
        <f t="shared" si="1"/>
        <v>2024</v>
      </c>
      <c r="F96" s="15">
        <f t="shared" si="2"/>
        <v>8</v>
      </c>
      <c r="G96" s="15">
        <f t="shared" si="3"/>
        <v>24</v>
      </c>
    </row>
    <row r="97">
      <c r="A97" s="10" t="s">
        <v>27</v>
      </c>
      <c r="B97" s="9">
        <f t="shared" si="4"/>
        <v>45528</v>
      </c>
      <c r="C97" s="77" t="s">
        <v>1572</v>
      </c>
      <c r="D97" s="13">
        <f>D94+D95-D96</f>
        <v>84290.499</v>
      </c>
      <c r="E97" s="15">
        <f t="shared" si="1"/>
        <v>2024</v>
      </c>
      <c r="F97" s="15">
        <f t="shared" si="2"/>
        <v>8</v>
      </c>
      <c r="G97" s="15">
        <f t="shared" si="3"/>
        <v>24</v>
      </c>
    </row>
    <row r="98">
      <c r="A98" s="10" t="s">
        <v>27</v>
      </c>
      <c r="B98" s="9">
        <f t="shared" si="4"/>
        <v>45529</v>
      </c>
      <c r="C98" s="77" t="s">
        <v>1569</v>
      </c>
      <c r="D98" s="12">
        <f>D97</f>
        <v>84290.499</v>
      </c>
      <c r="E98" s="15">
        <f t="shared" si="1"/>
        <v>2024</v>
      </c>
      <c r="F98" s="15">
        <f t="shared" si="2"/>
        <v>8</v>
      </c>
      <c r="G98" s="15">
        <f t="shared" si="3"/>
        <v>25</v>
      </c>
    </row>
    <row r="99">
      <c r="A99" s="10" t="s">
        <v>27</v>
      </c>
      <c r="B99" s="9">
        <f t="shared" si="4"/>
        <v>45529</v>
      </c>
      <c r="C99" s="77" t="s">
        <v>1570</v>
      </c>
      <c r="D99" s="13">
        <f>SUMIFS('Lançamentos de receitas'!$E:$E,'Lançamentos de receitas'!$A:$A,B99,'Lançamentos de receitas'!$C:$C,A99,'Lançamentos de receitas'!$F:$F,"TRANSFERÊNCIA")</f>
        <v>1911.01</v>
      </c>
      <c r="E99" s="15">
        <f t="shared" si="1"/>
        <v>2024</v>
      </c>
      <c r="F99" s="15">
        <f t="shared" si="2"/>
        <v>8</v>
      </c>
      <c r="G99" s="15">
        <f t="shared" si="3"/>
        <v>25</v>
      </c>
    </row>
    <row r="100">
      <c r="A100" s="10" t="s">
        <v>27</v>
      </c>
      <c r="B100" s="9">
        <f t="shared" si="4"/>
        <v>45529</v>
      </c>
      <c r="C100" s="77" t="s">
        <v>1571</v>
      </c>
      <c r="D100" s="13">
        <f>SUMIFS('Lançamentos de despesas'!$K:$K,'Lançamentos de despesas'!$C:$C,B100,'Lançamentos de despesas'!$G:$G,A100,'Lançamentos de despesas'!$E:$E,"pago")</f>
        <v>0</v>
      </c>
      <c r="E100" s="15">
        <f t="shared" si="1"/>
        <v>2024</v>
      </c>
      <c r="F100" s="15">
        <f t="shared" si="2"/>
        <v>8</v>
      </c>
      <c r="G100" s="15">
        <f t="shared" si="3"/>
        <v>25</v>
      </c>
    </row>
    <row r="101">
      <c r="A101" s="10" t="s">
        <v>27</v>
      </c>
      <c r="B101" s="9">
        <f t="shared" si="4"/>
        <v>45529</v>
      </c>
      <c r="C101" s="77" t="s">
        <v>1572</v>
      </c>
      <c r="D101" s="13">
        <f>D98+D99-D100</f>
        <v>86201.509</v>
      </c>
      <c r="E101" s="15">
        <f t="shared" si="1"/>
        <v>2024</v>
      </c>
      <c r="F101" s="15">
        <f t="shared" si="2"/>
        <v>8</v>
      </c>
      <c r="G101" s="15">
        <f t="shared" si="3"/>
        <v>25</v>
      </c>
    </row>
    <row r="102">
      <c r="A102" s="10" t="s">
        <v>27</v>
      </c>
      <c r="B102" s="9">
        <f t="shared" si="4"/>
        <v>45530</v>
      </c>
      <c r="C102" s="77" t="s">
        <v>1569</v>
      </c>
      <c r="D102" s="12">
        <f>D101</f>
        <v>86201.509</v>
      </c>
      <c r="E102" s="15">
        <f t="shared" si="1"/>
        <v>2024</v>
      </c>
      <c r="F102" s="15">
        <f t="shared" si="2"/>
        <v>8</v>
      </c>
      <c r="G102" s="15">
        <f t="shared" si="3"/>
        <v>26</v>
      </c>
    </row>
    <row r="103">
      <c r="A103" s="10" t="s">
        <v>27</v>
      </c>
      <c r="B103" s="9">
        <f t="shared" si="4"/>
        <v>45530</v>
      </c>
      <c r="C103" s="77" t="s">
        <v>1570</v>
      </c>
      <c r="D103" s="13">
        <f>SUMIFS('Lançamentos de receitas'!$E:$E,'Lançamentos de receitas'!$A:$A,B103,'Lançamentos de receitas'!$C:$C,A103,'Lançamentos de receitas'!$F:$F,"TRANSFERÊNCIA")</f>
        <v>19114.48</v>
      </c>
      <c r="E103" s="15">
        <f t="shared" si="1"/>
        <v>2024</v>
      </c>
      <c r="F103" s="15">
        <f t="shared" si="2"/>
        <v>8</v>
      </c>
      <c r="G103" s="15">
        <f t="shared" si="3"/>
        <v>26</v>
      </c>
    </row>
    <row r="104">
      <c r="A104" s="10" t="s">
        <v>27</v>
      </c>
      <c r="B104" s="9">
        <f t="shared" si="4"/>
        <v>45530</v>
      </c>
      <c r="C104" s="77" t="s">
        <v>1571</v>
      </c>
      <c r="D104" s="13">
        <f>SUMIFS('Lançamentos de despesas'!$K:$K,'Lançamentos de despesas'!$C:$C,B104,'Lançamentos de despesas'!$G:$G,A104,'Lançamentos de despesas'!$E:$E,"pago")</f>
        <v>2664.97</v>
      </c>
      <c r="E104" s="15">
        <f t="shared" si="1"/>
        <v>2024</v>
      </c>
      <c r="F104" s="15">
        <f t="shared" si="2"/>
        <v>8</v>
      </c>
      <c r="G104" s="15">
        <f t="shared" si="3"/>
        <v>26</v>
      </c>
    </row>
    <row r="105">
      <c r="A105" s="10" t="s">
        <v>27</v>
      </c>
      <c r="B105" s="9">
        <f t="shared" si="4"/>
        <v>45530</v>
      </c>
      <c r="C105" s="77" t="s">
        <v>1572</v>
      </c>
      <c r="D105" s="13">
        <f>D102+D103-D104</f>
        <v>102651.019</v>
      </c>
      <c r="E105" s="15">
        <f t="shared" si="1"/>
        <v>2024</v>
      </c>
      <c r="F105" s="15">
        <f t="shared" si="2"/>
        <v>8</v>
      </c>
      <c r="G105" s="15">
        <f t="shared" si="3"/>
        <v>26</v>
      </c>
    </row>
    <row r="106">
      <c r="A106" s="10" t="s">
        <v>27</v>
      </c>
      <c r="B106" s="9">
        <f t="shared" si="4"/>
        <v>45531</v>
      </c>
      <c r="C106" s="77" t="s">
        <v>1569</v>
      </c>
      <c r="D106" s="12">
        <f>D105</f>
        <v>102651.019</v>
      </c>
      <c r="E106" s="15">
        <f t="shared" si="1"/>
        <v>2024</v>
      </c>
      <c r="F106" s="15">
        <f t="shared" si="2"/>
        <v>8</v>
      </c>
      <c r="G106" s="15">
        <f t="shared" si="3"/>
        <v>27</v>
      </c>
    </row>
    <row r="107">
      <c r="A107" s="10" t="s">
        <v>27</v>
      </c>
      <c r="B107" s="9">
        <f t="shared" si="4"/>
        <v>45531</v>
      </c>
      <c r="C107" s="77" t="s">
        <v>1570</v>
      </c>
      <c r="D107" s="13">
        <f>SUMIFS('Lançamentos de receitas'!$E:$E,'Lançamentos de receitas'!$A:$A,B107,'Lançamentos de receitas'!$C:$C,A107,'Lançamentos de receitas'!$F:$F,"TRANSFERÊNCIA")</f>
        <v>2017.7</v>
      </c>
      <c r="E107" s="15">
        <f t="shared" si="1"/>
        <v>2024</v>
      </c>
      <c r="F107" s="15">
        <f t="shared" si="2"/>
        <v>8</v>
      </c>
      <c r="G107" s="15">
        <f t="shared" si="3"/>
        <v>27</v>
      </c>
    </row>
    <row r="108">
      <c r="A108" s="10" t="s">
        <v>27</v>
      </c>
      <c r="B108" s="9">
        <f t="shared" si="4"/>
        <v>45531</v>
      </c>
      <c r="C108" s="77" t="s">
        <v>1571</v>
      </c>
      <c r="D108" s="13">
        <f>SUMIFS('Lançamentos de despesas'!$K:$K,'Lançamentos de despesas'!$C:$C,B108,'Lançamentos de despesas'!$G:$G,A108,'Lançamentos de despesas'!$E:$E,"pago")</f>
        <v>0</v>
      </c>
      <c r="E108" s="15">
        <f t="shared" si="1"/>
        <v>2024</v>
      </c>
      <c r="F108" s="15">
        <f t="shared" si="2"/>
        <v>8</v>
      </c>
      <c r="G108" s="15">
        <f t="shared" si="3"/>
        <v>27</v>
      </c>
    </row>
    <row r="109">
      <c r="A109" s="10" t="s">
        <v>27</v>
      </c>
      <c r="B109" s="9">
        <f t="shared" si="4"/>
        <v>45531</v>
      </c>
      <c r="C109" s="77" t="s">
        <v>1572</v>
      </c>
      <c r="D109" s="13">
        <f>D106+D107-D108</f>
        <v>104668.719</v>
      </c>
      <c r="E109" s="15">
        <f t="shared" si="1"/>
        <v>2024</v>
      </c>
      <c r="F109" s="15">
        <f t="shared" si="2"/>
        <v>8</v>
      </c>
      <c r="G109" s="15">
        <f t="shared" si="3"/>
        <v>27</v>
      </c>
    </row>
    <row r="110">
      <c r="A110" s="10" t="s">
        <v>27</v>
      </c>
      <c r="B110" s="9">
        <f t="shared" si="4"/>
        <v>45532</v>
      </c>
      <c r="C110" s="77" t="s">
        <v>1569</v>
      </c>
      <c r="D110" s="12">
        <f>D109</f>
        <v>104668.719</v>
      </c>
      <c r="E110" s="15">
        <f t="shared" si="1"/>
        <v>2024</v>
      </c>
      <c r="F110" s="15">
        <f t="shared" si="2"/>
        <v>8</v>
      </c>
      <c r="G110" s="15">
        <f t="shared" si="3"/>
        <v>28</v>
      </c>
    </row>
    <row r="111">
      <c r="A111" s="10" t="s">
        <v>27</v>
      </c>
      <c r="B111" s="9">
        <f t="shared" si="4"/>
        <v>45532</v>
      </c>
      <c r="C111" s="77" t="s">
        <v>1570</v>
      </c>
      <c r="D111" s="13">
        <f>SUMIFS('Lançamentos de receitas'!$E:$E,'Lançamentos de receitas'!$A:$A,B111,'Lançamentos de receitas'!$C:$C,A111,'Lançamentos de receitas'!$F:$F,"TRANSFERÊNCIA")</f>
        <v>4332.6</v>
      </c>
      <c r="E111" s="15">
        <f t="shared" si="1"/>
        <v>2024</v>
      </c>
      <c r="F111" s="15">
        <f t="shared" si="2"/>
        <v>8</v>
      </c>
      <c r="G111" s="15">
        <f t="shared" si="3"/>
        <v>28</v>
      </c>
    </row>
    <row r="112">
      <c r="A112" s="10" t="s">
        <v>27</v>
      </c>
      <c r="B112" s="9">
        <f t="shared" si="4"/>
        <v>45532</v>
      </c>
      <c r="C112" s="77" t="s">
        <v>1571</v>
      </c>
      <c r="D112" s="13">
        <f>SUMIFS('Lançamentos de despesas'!$K:$K,'Lançamentos de despesas'!$C:$C,B112,'Lançamentos de despesas'!$G:$G,A112,'Lançamentos de despesas'!$E:$E,"pago")</f>
        <v>3006.57</v>
      </c>
      <c r="E112" s="15">
        <f t="shared" si="1"/>
        <v>2024</v>
      </c>
      <c r="F112" s="15">
        <f t="shared" si="2"/>
        <v>8</v>
      </c>
      <c r="G112" s="15">
        <f t="shared" si="3"/>
        <v>28</v>
      </c>
    </row>
    <row r="113">
      <c r="A113" s="10" t="s">
        <v>27</v>
      </c>
      <c r="B113" s="9">
        <f t="shared" si="4"/>
        <v>45532</v>
      </c>
      <c r="C113" s="77" t="s">
        <v>1572</v>
      </c>
      <c r="D113" s="13">
        <f>D110+D111-D112</f>
        <v>105994.749</v>
      </c>
      <c r="E113" s="15">
        <f t="shared" si="1"/>
        <v>2024</v>
      </c>
      <c r="F113" s="15">
        <f t="shared" si="2"/>
        <v>8</v>
      </c>
      <c r="G113" s="15">
        <f t="shared" si="3"/>
        <v>28</v>
      </c>
    </row>
    <row r="114">
      <c r="A114" s="10" t="s">
        <v>27</v>
      </c>
      <c r="B114" s="9">
        <f t="shared" si="4"/>
        <v>45533</v>
      </c>
      <c r="C114" s="77" t="s">
        <v>1569</v>
      </c>
      <c r="D114" s="12">
        <f>D113</f>
        <v>105994.749</v>
      </c>
      <c r="E114" s="15">
        <f t="shared" si="1"/>
        <v>2024</v>
      </c>
      <c r="F114" s="15">
        <f t="shared" si="2"/>
        <v>8</v>
      </c>
      <c r="G114" s="15">
        <f t="shared" si="3"/>
        <v>29</v>
      </c>
    </row>
    <row r="115">
      <c r="A115" s="10" t="s">
        <v>27</v>
      </c>
      <c r="B115" s="9">
        <f t="shared" si="4"/>
        <v>45533</v>
      </c>
      <c r="C115" s="77" t="s">
        <v>1570</v>
      </c>
      <c r="D115" s="13">
        <f>SUMIFS('Lançamentos de receitas'!$E:$E,'Lançamentos de receitas'!$A:$A,B115,'Lançamentos de receitas'!$C:$C,A115,'Lançamentos de receitas'!$F:$F,"TRANSFERÊNCIA")</f>
        <v>2292.37</v>
      </c>
      <c r="E115" s="15">
        <f t="shared" si="1"/>
        <v>2024</v>
      </c>
      <c r="F115" s="15">
        <f t="shared" si="2"/>
        <v>8</v>
      </c>
      <c r="G115" s="15">
        <f t="shared" si="3"/>
        <v>29</v>
      </c>
    </row>
    <row r="116">
      <c r="A116" s="10" t="s">
        <v>27</v>
      </c>
      <c r="B116" s="9">
        <f t="shared" si="4"/>
        <v>45533</v>
      </c>
      <c r="C116" s="77" t="s">
        <v>1571</v>
      </c>
      <c r="D116" s="13">
        <f>SUMIFS('Lançamentos de despesas'!$K:$K,'Lançamentos de despesas'!$C:$C,B116,'Lançamentos de despesas'!$G:$G,A116,'Lançamentos de despesas'!$E:$E,"pago")</f>
        <v>6393.84</v>
      </c>
      <c r="E116" s="15">
        <f t="shared" si="1"/>
        <v>2024</v>
      </c>
      <c r="F116" s="15">
        <f t="shared" si="2"/>
        <v>8</v>
      </c>
      <c r="G116" s="15">
        <f t="shared" si="3"/>
        <v>29</v>
      </c>
    </row>
    <row r="117">
      <c r="A117" s="10" t="s">
        <v>27</v>
      </c>
      <c r="B117" s="9">
        <f t="shared" si="4"/>
        <v>45533</v>
      </c>
      <c r="C117" s="77" t="s">
        <v>1572</v>
      </c>
      <c r="D117" s="13">
        <f>D114+D115-D116</f>
        <v>101893.279</v>
      </c>
      <c r="E117" s="15">
        <f t="shared" si="1"/>
        <v>2024</v>
      </c>
      <c r="F117" s="15">
        <f t="shared" si="2"/>
        <v>8</v>
      </c>
      <c r="G117" s="15">
        <f t="shared" si="3"/>
        <v>29</v>
      </c>
    </row>
    <row r="118">
      <c r="A118" s="10" t="s">
        <v>27</v>
      </c>
      <c r="B118" s="9">
        <f t="shared" si="4"/>
        <v>45534</v>
      </c>
      <c r="C118" s="77" t="s">
        <v>1569</v>
      </c>
      <c r="D118" s="12">
        <f>D117</f>
        <v>101893.279</v>
      </c>
      <c r="E118" s="15">
        <f t="shared" si="1"/>
        <v>2024</v>
      </c>
      <c r="F118" s="15">
        <f t="shared" si="2"/>
        <v>8</v>
      </c>
      <c r="G118" s="15">
        <f t="shared" si="3"/>
        <v>30</v>
      </c>
    </row>
    <row r="119">
      <c r="A119" s="10" t="s">
        <v>27</v>
      </c>
      <c r="B119" s="9">
        <f t="shared" si="4"/>
        <v>45534</v>
      </c>
      <c r="C119" s="77" t="s">
        <v>1570</v>
      </c>
      <c r="D119" s="13">
        <f>SUMIFS('Lançamentos de receitas'!$E:$E,'Lançamentos de receitas'!$A:$A,B119,'Lançamentos de receitas'!$C:$C,A119,'Lançamentos de receitas'!$F:$F,"TRANSFERÊNCIA")</f>
        <v>2510.37</v>
      </c>
      <c r="E119" s="15">
        <f t="shared" si="1"/>
        <v>2024</v>
      </c>
      <c r="F119" s="15">
        <f t="shared" si="2"/>
        <v>8</v>
      </c>
      <c r="G119" s="15">
        <f t="shared" si="3"/>
        <v>30</v>
      </c>
    </row>
    <row r="120">
      <c r="A120" s="10" t="s">
        <v>27</v>
      </c>
      <c r="B120" s="9">
        <f t="shared" si="4"/>
        <v>45534</v>
      </c>
      <c r="C120" s="77" t="s">
        <v>1571</v>
      </c>
      <c r="D120" s="13">
        <f>SUMIFS('Lançamentos de despesas'!$K:$K,'Lançamentos de despesas'!$C:$C,B120,'Lançamentos de despesas'!$G:$G,A120,'Lançamentos de despesas'!$E:$E,"pago")</f>
        <v>5738.99</v>
      </c>
      <c r="E120" s="15">
        <f t="shared" si="1"/>
        <v>2024</v>
      </c>
      <c r="F120" s="15">
        <f t="shared" si="2"/>
        <v>8</v>
      </c>
      <c r="G120" s="15">
        <f t="shared" si="3"/>
        <v>30</v>
      </c>
    </row>
    <row r="121">
      <c r="A121" s="10" t="s">
        <v>27</v>
      </c>
      <c r="B121" s="9">
        <f t="shared" si="4"/>
        <v>45534</v>
      </c>
      <c r="C121" s="77" t="s">
        <v>1572</v>
      </c>
      <c r="D121" s="13">
        <f>D118+D119-D120</f>
        <v>98664.659</v>
      </c>
      <c r="E121" s="15">
        <f t="shared" si="1"/>
        <v>2024</v>
      </c>
      <c r="F121" s="15">
        <f t="shared" si="2"/>
        <v>8</v>
      </c>
      <c r="G121" s="15">
        <f t="shared" si="3"/>
        <v>30</v>
      </c>
    </row>
    <row r="122">
      <c r="A122" s="10" t="s">
        <v>27</v>
      </c>
      <c r="B122" s="9">
        <f t="shared" si="4"/>
        <v>45535</v>
      </c>
      <c r="C122" s="77" t="s">
        <v>1569</v>
      </c>
      <c r="D122" s="12">
        <f>D121</f>
        <v>98664.659</v>
      </c>
      <c r="E122" s="15">
        <f t="shared" si="1"/>
        <v>2024</v>
      </c>
      <c r="F122" s="15">
        <f t="shared" si="2"/>
        <v>8</v>
      </c>
      <c r="G122" s="15">
        <f t="shared" si="3"/>
        <v>31</v>
      </c>
    </row>
    <row r="123">
      <c r="A123" s="10" t="s">
        <v>27</v>
      </c>
      <c r="B123" s="9">
        <f t="shared" si="4"/>
        <v>45535</v>
      </c>
      <c r="C123" s="77" t="s">
        <v>1570</v>
      </c>
      <c r="D123" s="13">
        <f>SUMIFS('Lançamentos de receitas'!$E:$E,'Lançamentos de receitas'!$A:$A,B123,'Lançamentos de receitas'!$C:$C,A123,'Lançamentos de receitas'!$F:$F,"TRANSFERÊNCIA")</f>
        <v>1992.64</v>
      </c>
      <c r="E123" s="15">
        <f t="shared" si="1"/>
        <v>2024</v>
      </c>
      <c r="F123" s="15">
        <f t="shared" si="2"/>
        <v>8</v>
      </c>
      <c r="G123" s="15">
        <f t="shared" si="3"/>
        <v>31</v>
      </c>
    </row>
    <row r="124">
      <c r="A124" s="10" t="s">
        <v>27</v>
      </c>
      <c r="B124" s="9">
        <f t="shared" si="4"/>
        <v>45535</v>
      </c>
      <c r="C124" s="77" t="s">
        <v>1571</v>
      </c>
      <c r="D124" s="13">
        <f>SUMIFS('Lançamentos de despesas'!$K:$K,'Lançamentos de despesas'!$C:$C,B124,'Lançamentos de despesas'!$G:$G,A124,'Lançamentos de despesas'!$E:$E,"pago")</f>
        <v>0</v>
      </c>
      <c r="E124" s="15">
        <f t="shared" si="1"/>
        <v>2024</v>
      </c>
      <c r="F124" s="15">
        <f t="shared" si="2"/>
        <v>8</v>
      </c>
      <c r="G124" s="15">
        <f t="shared" si="3"/>
        <v>31</v>
      </c>
    </row>
    <row r="125">
      <c r="A125" s="10" t="s">
        <v>27</v>
      </c>
      <c r="B125" s="9">
        <f t="shared" si="4"/>
        <v>45535</v>
      </c>
      <c r="C125" s="77" t="s">
        <v>1572</v>
      </c>
      <c r="D125" s="13">
        <f>D122+D123-D124</f>
        <v>100657.299</v>
      </c>
      <c r="E125" s="15">
        <f t="shared" si="1"/>
        <v>2024</v>
      </c>
      <c r="F125" s="15">
        <f t="shared" si="2"/>
        <v>8</v>
      </c>
      <c r="G125" s="15">
        <f t="shared" si="3"/>
        <v>31</v>
      </c>
    </row>
    <row r="126">
      <c r="A126" s="10" t="s">
        <v>27</v>
      </c>
      <c r="B126" s="9">
        <f t="shared" si="4"/>
        <v>45536</v>
      </c>
      <c r="C126" s="77" t="s">
        <v>1569</v>
      </c>
      <c r="D126" s="12">
        <f>D125</f>
        <v>100657.299</v>
      </c>
      <c r="E126" s="15">
        <f t="shared" si="1"/>
        <v>2024</v>
      </c>
      <c r="F126" s="15">
        <f t="shared" si="2"/>
        <v>9</v>
      </c>
      <c r="G126" s="15">
        <f t="shared" si="3"/>
        <v>1</v>
      </c>
    </row>
    <row r="127">
      <c r="A127" s="10" t="s">
        <v>27</v>
      </c>
      <c r="B127" s="9">
        <f t="shared" si="4"/>
        <v>45536</v>
      </c>
      <c r="C127" s="77" t="s">
        <v>1570</v>
      </c>
      <c r="D127" s="13">
        <f>SUMIFS('Lançamentos de receitas'!$E:$E,'Lançamentos de receitas'!$A:$A,B127,'Lançamentos de receitas'!$C:$C,A127,'Lançamentos de receitas'!$F:$F,"TRANSFERÊNCIA")</f>
        <v>733.02</v>
      </c>
      <c r="E127" s="15">
        <f t="shared" si="1"/>
        <v>2024</v>
      </c>
      <c r="F127" s="15">
        <f t="shared" si="2"/>
        <v>9</v>
      </c>
      <c r="G127" s="15">
        <f t="shared" si="3"/>
        <v>1</v>
      </c>
    </row>
    <row r="128">
      <c r="A128" s="10" t="s">
        <v>27</v>
      </c>
      <c r="B128" s="9">
        <f t="shared" si="4"/>
        <v>45536</v>
      </c>
      <c r="C128" s="77" t="s">
        <v>1571</v>
      </c>
      <c r="D128" s="13">
        <f>SUMIFS('Lançamentos de despesas'!$K:$K,'Lançamentos de despesas'!$C:$C,B128,'Lançamentos de despesas'!$G:$G,A128,'Lançamentos de despesas'!$E:$E,"pago")</f>
        <v>0</v>
      </c>
      <c r="E128" s="15">
        <f t="shared" si="1"/>
        <v>2024</v>
      </c>
      <c r="F128" s="15">
        <f t="shared" si="2"/>
        <v>9</v>
      </c>
      <c r="G128" s="15">
        <f t="shared" si="3"/>
        <v>1</v>
      </c>
    </row>
    <row r="129">
      <c r="A129" s="10" t="s">
        <v>27</v>
      </c>
      <c r="B129" s="9">
        <f t="shared" si="4"/>
        <v>45536</v>
      </c>
      <c r="C129" s="77" t="s">
        <v>1572</v>
      </c>
      <c r="D129" s="13">
        <f>D126+D127-D128</f>
        <v>101390.319</v>
      </c>
      <c r="E129" s="15">
        <f t="shared" si="1"/>
        <v>2024</v>
      </c>
      <c r="F129" s="15">
        <f t="shared" si="2"/>
        <v>9</v>
      </c>
      <c r="G129" s="15">
        <f t="shared" si="3"/>
        <v>1</v>
      </c>
    </row>
    <row r="130">
      <c r="A130" s="10" t="s">
        <v>27</v>
      </c>
      <c r="B130" s="9">
        <f t="shared" si="4"/>
        <v>45537</v>
      </c>
      <c r="C130" s="77" t="s">
        <v>1569</v>
      </c>
      <c r="D130" s="12">
        <f>D129</f>
        <v>101390.319</v>
      </c>
      <c r="E130" s="15">
        <f t="shared" si="1"/>
        <v>2024</v>
      </c>
      <c r="F130" s="15">
        <f t="shared" si="2"/>
        <v>9</v>
      </c>
      <c r="G130" s="15">
        <f t="shared" si="3"/>
        <v>2</v>
      </c>
    </row>
    <row r="131">
      <c r="A131" s="10" t="s">
        <v>27</v>
      </c>
      <c r="B131" s="9">
        <f t="shared" si="4"/>
        <v>45537</v>
      </c>
      <c r="C131" s="77" t="s">
        <v>1570</v>
      </c>
      <c r="D131" s="13">
        <f>SUMIFS('Lançamentos de receitas'!$E:$E,'Lançamentos de receitas'!$A:$A,B131,'Lançamentos de receitas'!$C:$C,A131,'Lançamentos de receitas'!$F:$F,"TRANSFERÊNCIA")</f>
        <v>913.58</v>
      </c>
      <c r="E131" s="15">
        <f t="shared" si="1"/>
        <v>2024</v>
      </c>
      <c r="F131" s="15">
        <f t="shared" si="2"/>
        <v>9</v>
      </c>
      <c r="G131" s="15">
        <f t="shared" si="3"/>
        <v>2</v>
      </c>
    </row>
    <row r="132">
      <c r="A132" s="10" t="s">
        <v>27</v>
      </c>
      <c r="B132" s="9">
        <f t="shared" si="4"/>
        <v>45537</v>
      </c>
      <c r="C132" s="77" t="s">
        <v>1571</v>
      </c>
      <c r="D132" s="13">
        <f>SUMIFS('Lançamentos de despesas'!$K:$K,'Lançamentos de despesas'!$C:$C,B132,'Lançamentos de despesas'!$G:$G,A132,'Lançamentos de despesas'!$E:$E,"pago")</f>
        <v>6039.79</v>
      </c>
      <c r="E132" s="15">
        <f t="shared" si="1"/>
        <v>2024</v>
      </c>
      <c r="F132" s="15">
        <f t="shared" si="2"/>
        <v>9</v>
      </c>
      <c r="G132" s="15">
        <f t="shared" si="3"/>
        <v>2</v>
      </c>
    </row>
    <row r="133">
      <c r="A133" s="10" t="s">
        <v>27</v>
      </c>
      <c r="B133" s="9">
        <f t="shared" si="4"/>
        <v>45537</v>
      </c>
      <c r="C133" s="77" t="s">
        <v>1572</v>
      </c>
      <c r="D133" s="13">
        <f>D130+D131-D132</f>
        <v>96264.109</v>
      </c>
      <c r="E133" s="15">
        <f t="shared" si="1"/>
        <v>2024</v>
      </c>
      <c r="F133" s="15">
        <f t="shared" si="2"/>
        <v>9</v>
      </c>
      <c r="G133" s="15">
        <f t="shared" si="3"/>
        <v>2</v>
      </c>
    </row>
    <row r="134">
      <c r="A134" s="10" t="s">
        <v>27</v>
      </c>
      <c r="B134" s="9">
        <f t="shared" si="4"/>
        <v>45538</v>
      </c>
      <c r="C134" s="77" t="s">
        <v>1569</v>
      </c>
      <c r="D134" s="12">
        <f>D133</f>
        <v>96264.109</v>
      </c>
      <c r="E134" s="15">
        <f t="shared" si="1"/>
        <v>2024</v>
      </c>
      <c r="F134" s="15">
        <f t="shared" si="2"/>
        <v>9</v>
      </c>
      <c r="G134" s="15">
        <f t="shared" si="3"/>
        <v>3</v>
      </c>
    </row>
    <row r="135">
      <c r="A135" s="10" t="s">
        <v>27</v>
      </c>
      <c r="B135" s="9">
        <f t="shared" si="4"/>
        <v>45538</v>
      </c>
      <c r="C135" s="77" t="s">
        <v>1570</v>
      </c>
      <c r="D135" s="13">
        <f>SUMIFS('Lançamentos de receitas'!$E:$E,'Lançamentos de receitas'!$A:$A,B135,'Lançamentos de receitas'!$C:$C,A135,'Lançamentos de receitas'!$F:$F,"TRANSFERÊNCIA")</f>
        <v>46633.43</v>
      </c>
      <c r="E135" s="15">
        <f t="shared" si="1"/>
        <v>2024</v>
      </c>
      <c r="F135" s="15">
        <f t="shared" si="2"/>
        <v>9</v>
      </c>
      <c r="G135" s="15">
        <f t="shared" si="3"/>
        <v>3</v>
      </c>
    </row>
    <row r="136">
      <c r="A136" s="10" t="s">
        <v>27</v>
      </c>
      <c r="B136" s="9">
        <f t="shared" si="4"/>
        <v>45538</v>
      </c>
      <c r="C136" s="77" t="s">
        <v>1571</v>
      </c>
      <c r="D136" s="13">
        <f>SUMIFS('Lançamentos de despesas'!$K:$K,'Lançamentos de despesas'!$C:$C,B136,'Lançamentos de despesas'!$G:$G,A136,'Lançamentos de despesas'!$E:$E,"pago")</f>
        <v>0</v>
      </c>
      <c r="E136" s="15">
        <f t="shared" si="1"/>
        <v>2024</v>
      </c>
      <c r="F136" s="15">
        <f t="shared" si="2"/>
        <v>9</v>
      </c>
      <c r="G136" s="15">
        <f t="shared" si="3"/>
        <v>3</v>
      </c>
    </row>
    <row r="137">
      <c r="A137" s="10" t="s">
        <v>27</v>
      </c>
      <c r="B137" s="9">
        <f t="shared" si="4"/>
        <v>45538</v>
      </c>
      <c r="C137" s="77" t="s">
        <v>1572</v>
      </c>
      <c r="D137" s="13">
        <f>D134+D135-D136</f>
        <v>142897.539</v>
      </c>
      <c r="E137" s="15">
        <f t="shared" si="1"/>
        <v>2024</v>
      </c>
      <c r="F137" s="15">
        <f t="shared" si="2"/>
        <v>9</v>
      </c>
      <c r="G137" s="15">
        <f t="shared" si="3"/>
        <v>3</v>
      </c>
    </row>
    <row r="138">
      <c r="A138" s="10" t="s">
        <v>27</v>
      </c>
      <c r="B138" s="9">
        <f t="shared" si="4"/>
        <v>45539</v>
      </c>
      <c r="C138" s="77" t="s">
        <v>1569</v>
      </c>
      <c r="D138" s="12">
        <f>D137</f>
        <v>142897.539</v>
      </c>
      <c r="E138" s="15">
        <f t="shared" si="1"/>
        <v>2024</v>
      </c>
      <c r="F138" s="15">
        <f t="shared" si="2"/>
        <v>9</v>
      </c>
      <c r="G138" s="15">
        <f t="shared" si="3"/>
        <v>4</v>
      </c>
    </row>
    <row r="139">
      <c r="A139" s="10" t="s">
        <v>27</v>
      </c>
      <c r="B139" s="9">
        <f t="shared" si="4"/>
        <v>45539</v>
      </c>
      <c r="C139" s="77" t="s">
        <v>1570</v>
      </c>
      <c r="D139" s="13">
        <f>SUMIFS('Lançamentos de receitas'!$E:$E,'Lançamentos de receitas'!$A:$A,B139,'Lançamentos de receitas'!$C:$C,A139,'Lançamentos de receitas'!$F:$F,"TRANSFERÊNCIA")</f>
        <v>1499.87</v>
      </c>
      <c r="E139" s="15">
        <f t="shared" si="1"/>
        <v>2024</v>
      </c>
      <c r="F139" s="15">
        <f t="shared" si="2"/>
        <v>9</v>
      </c>
      <c r="G139" s="15">
        <f t="shared" si="3"/>
        <v>4</v>
      </c>
    </row>
    <row r="140">
      <c r="A140" s="10" t="s">
        <v>27</v>
      </c>
      <c r="B140" s="9">
        <f t="shared" si="4"/>
        <v>45539</v>
      </c>
      <c r="C140" s="77" t="s">
        <v>1571</v>
      </c>
      <c r="D140" s="13">
        <f>SUMIFS('Lançamentos de despesas'!$K:$K,'Lançamentos de despesas'!$C:$C,B140,'Lançamentos de despesas'!$G:$G,A140,'Lançamentos de despesas'!$E:$E,"pago")</f>
        <v>0</v>
      </c>
      <c r="E140" s="15">
        <f t="shared" si="1"/>
        <v>2024</v>
      </c>
      <c r="F140" s="15">
        <f t="shared" si="2"/>
        <v>9</v>
      </c>
      <c r="G140" s="15">
        <f t="shared" si="3"/>
        <v>4</v>
      </c>
    </row>
    <row r="141">
      <c r="A141" s="10" t="s">
        <v>27</v>
      </c>
      <c r="B141" s="9">
        <f t="shared" si="4"/>
        <v>45539</v>
      </c>
      <c r="C141" s="77" t="s">
        <v>1572</v>
      </c>
      <c r="D141" s="13">
        <f>D138+D139-D140</f>
        <v>144397.409</v>
      </c>
      <c r="E141" s="15">
        <f t="shared" si="1"/>
        <v>2024</v>
      </c>
      <c r="F141" s="15">
        <f t="shared" si="2"/>
        <v>9</v>
      </c>
      <c r="G141" s="15">
        <f t="shared" si="3"/>
        <v>4</v>
      </c>
    </row>
    <row r="142">
      <c r="A142" s="10" t="s">
        <v>27</v>
      </c>
      <c r="B142" s="9">
        <f t="shared" si="4"/>
        <v>45540</v>
      </c>
      <c r="C142" s="77" t="s">
        <v>1569</v>
      </c>
      <c r="D142" s="12">
        <f>D141</f>
        <v>144397.409</v>
      </c>
      <c r="E142" s="15">
        <f t="shared" si="1"/>
        <v>2024</v>
      </c>
      <c r="F142" s="15">
        <f t="shared" si="2"/>
        <v>9</v>
      </c>
      <c r="G142" s="15">
        <f t="shared" si="3"/>
        <v>5</v>
      </c>
    </row>
    <row r="143">
      <c r="A143" s="10" t="s">
        <v>27</v>
      </c>
      <c r="B143" s="9">
        <f t="shared" si="4"/>
        <v>45540</v>
      </c>
      <c r="C143" s="77" t="s">
        <v>1570</v>
      </c>
      <c r="D143" s="13">
        <f>SUMIFS('Lançamentos de receitas'!$E:$E,'Lançamentos de receitas'!$A:$A,B143,'Lançamentos de receitas'!$C:$C,A143,'Lançamentos de receitas'!$F:$F,"TRANSFERÊNCIA")</f>
        <v>1242.83</v>
      </c>
      <c r="E143" s="15">
        <f t="shared" si="1"/>
        <v>2024</v>
      </c>
      <c r="F143" s="15">
        <f t="shared" si="2"/>
        <v>9</v>
      </c>
      <c r="G143" s="15">
        <f t="shared" si="3"/>
        <v>5</v>
      </c>
    </row>
    <row r="144">
      <c r="A144" s="10" t="s">
        <v>27</v>
      </c>
      <c r="B144" s="9">
        <f t="shared" si="4"/>
        <v>45540</v>
      </c>
      <c r="C144" s="77" t="s">
        <v>1571</v>
      </c>
      <c r="D144" s="13">
        <f>SUMIFS('Lançamentos de despesas'!$K:$K,'Lançamentos de despesas'!$C:$C,B144,'Lançamentos de despesas'!$G:$G,A144,'Lançamentos de despesas'!$E:$E,"pago")</f>
        <v>879.24</v>
      </c>
      <c r="E144" s="15">
        <f t="shared" si="1"/>
        <v>2024</v>
      </c>
      <c r="F144" s="15">
        <f t="shared" si="2"/>
        <v>9</v>
      </c>
      <c r="G144" s="15">
        <f t="shared" si="3"/>
        <v>5</v>
      </c>
    </row>
    <row r="145">
      <c r="A145" s="10" t="s">
        <v>27</v>
      </c>
      <c r="B145" s="9">
        <f t="shared" si="4"/>
        <v>45540</v>
      </c>
      <c r="C145" s="77" t="s">
        <v>1572</v>
      </c>
      <c r="D145" s="13">
        <f>D142+D143-D144</f>
        <v>144760.999</v>
      </c>
      <c r="E145" s="15">
        <f t="shared" si="1"/>
        <v>2024</v>
      </c>
      <c r="F145" s="15">
        <f t="shared" si="2"/>
        <v>9</v>
      </c>
      <c r="G145" s="15">
        <f t="shared" si="3"/>
        <v>5</v>
      </c>
    </row>
    <row r="146">
      <c r="A146" s="10" t="s">
        <v>27</v>
      </c>
      <c r="B146" s="9">
        <f t="shared" si="4"/>
        <v>45541</v>
      </c>
      <c r="C146" s="77" t="s">
        <v>1569</v>
      </c>
      <c r="D146" s="12">
        <f>D145</f>
        <v>144760.999</v>
      </c>
      <c r="E146" s="15">
        <f t="shared" si="1"/>
        <v>2024</v>
      </c>
      <c r="F146" s="15">
        <f t="shared" si="2"/>
        <v>9</v>
      </c>
      <c r="G146" s="15">
        <f t="shared" si="3"/>
        <v>6</v>
      </c>
    </row>
    <row r="147">
      <c r="A147" s="10" t="s">
        <v>27</v>
      </c>
      <c r="B147" s="9">
        <f t="shared" si="4"/>
        <v>45541</v>
      </c>
      <c r="C147" s="77" t="s">
        <v>1570</v>
      </c>
      <c r="D147" s="13">
        <f>SUMIFS('Lançamentos de receitas'!$E:$E,'Lançamentos de receitas'!$A:$A,B147,'Lançamentos de receitas'!$C:$C,A147,'Lançamentos de receitas'!$F:$F,"TRANSFERÊNCIA")</f>
        <v>6407.47</v>
      </c>
      <c r="E147" s="15">
        <f t="shared" si="1"/>
        <v>2024</v>
      </c>
      <c r="F147" s="15">
        <f t="shared" si="2"/>
        <v>9</v>
      </c>
      <c r="G147" s="15">
        <f t="shared" si="3"/>
        <v>6</v>
      </c>
    </row>
    <row r="148">
      <c r="A148" s="10" t="s">
        <v>27</v>
      </c>
      <c r="B148" s="9">
        <f t="shared" si="4"/>
        <v>45541</v>
      </c>
      <c r="C148" s="77" t="s">
        <v>1571</v>
      </c>
      <c r="D148" s="13">
        <f>SUMIFS('Lançamentos de despesas'!$K:$K,'Lançamentos de despesas'!$C:$C,B148,'Lançamentos de despesas'!$G:$G,A148,'Lançamentos de despesas'!$E:$E,"pago")</f>
        <v>28073.8</v>
      </c>
      <c r="E148" s="15">
        <f t="shared" si="1"/>
        <v>2024</v>
      </c>
      <c r="F148" s="15">
        <f t="shared" si="2"/>
        <v>9</v>
      </c>
      <c r="G148" s="15">
        <f t="shared" si="3"/>
        <v>6</v>
      </c>
    </row>
    <row r="149">
      <c r="A149" s="10" t="s">
        <v>27</v>
      </c>
      <c r="B149" s="9">
        <f t="shared" si="4"/>
        <v>45541</v>
      </c>
      <c r="C149" s="77" t="s">
        <v>1572</v>
      </c>
      <c r="D149" s="13">
        <f>D146+D147-D148</f>
        <v>123094.669</v>
      </c>
      <c r="E149" s="15">
        <f t="shared" si="1"/>
        <v>2024</v>
      </c>
      <c r="F149" s="15">
        <f t="shared" si="2"/>
        <v>9</v>
      </c>
      <c r="G149" s="15">
        <f t="shared" si="3"/>
        <v>6</v>
      </c>
    </row>
    <row r="150">
      <c r="A150" s="10" t="s">
        <v>27</v>
      </c>
      <c r="B150" s="9">
        <f t="shared" si="4"/>
        <v>45542</v>
      </c>
      <c r="C150" s="77" t="s">
        <v>1569</v>
      </c>
      <c r="D150" s="12">
        <f>D149</f>
        <v>123094.669</v>
      </c>
      <c r="E150" s="15">
        <f t="shared" si="1"/>
        <v>2024</v>
      </c>
      <c r="F150" s="15">
        <f t="shared" si="2"/>
        <v>9</v>
      </c>
      <c r="G150" s="15">
        <f t="shared" si="3"/>
        <v>7</v>
      </c>
    </row>
    <row r="151">
      <c r="A151" s="10" t="s">
        <v>27</v>
      </c>
      <c r="B151" s="9">
        <f t="shared" si="4"/>
        <v>45542</v>
      </c>
      <c r="C151" s="77" t="s">
        <v>1570</v>
      </c>
      <c r="D151" s="13">
        <f>SUMIFS('Lançamentos de receitas'!$E:$E,'Lançamentos de receitas'!$A:$A,B151,'Lançamentos de receitas'!$C:$C,A151,'Lançamentos de receitas'!$F:$F,"TRANSFERÊNCIA")</f>
        <v>815.31</v>
      </c>
      <c r="E151" s="15">
        <f t="shared" si="1"/>
        <v>2024</v>
      </c>
      <c r="F151" s="15">
        <f t="shared" si="2"/>
        <v>9</v>
      </c>
      <c r="G151" s="15">
        <f t="shared" si="3"/>
        <v>7</v>
      </c>
    </row>
    <row r="152">
      <c r="A152" s="10" t="s">
        <v>27</v>
      </c>
      <c r="B152" s="9">
        <f t="shared" si="4"/>
        <v>45542</v>
      </c>
      <c r="C152" s="77" t="s">
        <v>1571</v>
      </c>
      <c r="D152" s="13">
        <f>SUMIFS('Lançamentos de despesas'!$K:$K,'Lançamentos de despesas'!$C:$C,B152,'Lançamentos de despesas'!$G:$G,A152,'Lançamentos de despesas'!$E:$E,"pago")</f>
        <v>0</v>
      </c>
      <c r="E152" s="15">
        <f t="shared" si="1"/>
        <v>2024</v>
      </c>
      <c r="F152" s="15">
        <f t="shared" si="2"/>
        <v>9</v>
      </c>
      <c r="G152" s="15">
        <f t="shared" si="3"/>
        <v>7</v>
      </c>
    </row>
    <row r="153">
      <c r="A153" s="10" t="s">
        <v>27</v>
      </c>
      <c r="B153" s="9">
        <f t="shared" si="4"/>
        <v>45542</v>
      </c>
      <c r="C153" s="77" t="s">
        <v>1572</v>
      </c>
      <c r="D153" s="13">
        <f>D150+D151-D152</f>
        <v>123909.979</v>
      </c>
      <c r="E153" s="15">
        <f t="shared" si="1"/>
        <v>2024</v>
      </c>
      <c r="F153" s="15">
        <f t="shared" si="2"/>
        <v>9</v>
      </c>
      <c r="G153" s="15">
        <f t="shared" si="3"/>
        <v>7</v>
      </c>
    </row>
    <row r="154">
      <c r="A154" s="10" t="s">
        <v>27</v>
      </c>
      <c r="B154" s="9">
        <f t="shared" si="4"/>
        <v>45543</v>
      </c>
      <c r="C154" s="77" t="s">
        <v>1569</v>
      </c>
      <c r="D154" s="12">
        <f>D153</f>
        <v>123909.979</v>
      </c>
      <c r="E154" s="15">
        <f t="shared" si="1"/>
        <v>2024</v>
      </c>
      <c r="F154" s="15">
        <f t="shared" si="2"/>
        <v>9</v>
      </c>
      <c r="G154" s="15">
        <f t="shared" si="3"/>
        <v>8</v>
      </c>
    </row>
    <row r="155">
      <c r="A155" s="10" t="s">
        <v>27</v>
      </c>
      <c r="B155" s="9">
        <f t="shared" si="4"/>
        <v>45543</v>
      </c>
      <c r="C155" s="77" t="s">
        <v>1570</v>
      </c>
      <c r="D155" s="13">
        <f>SUMIFS('Lançamentos de receitas'!$E:$E,'Lançamentos de receitas'!$A:$A,B155,'Lançamentos de receitas'!$C:$C,A155,'Lançamentos de receitas'!$F:$F,"TRANSFERÊNCIA")</f>
        <v>222.56</v>
      </c>
      <c r="E155" s="15">
        <f t="shared" si="1"/>
        <v>2024</v>
      </c>
      <c r="F155" s="15">
        <f t="shared" si="2"/>
        <v>9</v>
      </c>
      <c r="G155" s="15">
        <f t="shared" si="3"/>
        <v>8</v>
      </c>
    </row>
    <row r="156">
      <c r="A156" s="10" t="s">
        <v>27</v>
      </c>
      <c r="B156" s="9">
        <f t="shared" si="4"/>
        <v>45543</v>
      </c>
      <c r="C156" s="77" t="s">
        <v>1571</v>
      </c>
      <c r="D156" s="13">
        <f>SUMIFS('Lançamentos de despesas'!$K:$K,'Lançamentos de despesas'!$C:$C,B156,'Lançamentos de despesas'!$G:$G,A156,'Lançamentos de despesas'!$E:$E,"pago")</f>
        <v>0</v>
      </c>
      <c r="E156" s="15">
        <f t="shared" si="1"/>
        <v>2024</v>
      </c>
      <c r="F156" s="15">
        <f t="shared" si="2"/>
        <v>9</v>
      </c>
      <c r="G156" s="15">
        <f t="shared" si="3"/>
        <v>8</v>
      </c>
    </row>
    <row r="157">
      <c r="A157" s="10" t="s">
        <v>27</v>
      </c>
      <c r="B157" s="9">
        <f t="shared" si="4"/>
        <v>45543</v>
      </c>
      <c r="C157" s="77" t="s">
        <v>1572</v>
      </c>
      <c r="D157" s="13">
        <f>D154+D155-D156</f>
        <v>124132.539</v>
      </c>
      <c r="E157" s="15">
        <f t="shared" si="1"/>
        <v>2024</v>
      </c>
      <c r="F157" s="15">
        <f t="shared" si="2"/>
        <v>9</v>
      </c>
      <c r="G157" s="15">
        <f t="shared" si="3"/>
        <v>8</v>
      </c>
    </row>
    <row r="158">
      <c r="A158" s="10" t="s">
        <v>27</v>
      </c>
      <c r="B158" s="9">
        <f t="shared" si="4"/>
        <v>45544</v>
      </c>
      <c r="C158" s="77" t="s">
        <v>1569</v>
      </c>
      <c r="D158" s="12">
        <f>D157</f>
        <v>124132.539</v>
      </c>
      <c r="E158" s="15">
        <f t="shared" si="1"/>
        <v>2024</v>
      </c>
      <c r="F158" s="15">
        <f t="shared" si="2"/>
        <v>9</v>
      </c>
      <c r="G158" s="15">
        <f t="shared" si="3"/>
        <v>9</v>
      </c>
    </row>
    <row r="159">
      <c r="A159" s="10" t="s">
        <v>27</v>
      </c>
      <c r="B159" s="9">
        <f t="shared" si="4"/>
        <v>45544</v>
      </c>
      <c r="C159" s="77" t="s">
        <v>1570</v>
      </c>
      <c r="D159" s="13">
        <f>SUMIFS('Lançamentos de receitas'!$E:$E,'Lançamentos de receitas'!$A:$A,B159,'Lançamentos de receitas'!$C:$C,A159,'Lançamentos de receitas'!$F:$F,"TRANSFERÊNCIA")</f>
        <v>15765.41</v>
      </c>
      <c r="E159" s="15">
        <f t="shared" si="1"/>
        <v>2024</v>
      </c>
      <c r="F159" s="15">
        <f t="shared" si="2"/>
        <v>9</v>
      </c>
      <c r="G159" s="15">
        <f t="shared" si="3"/>
        <v>9</v>
      </c>
    </row>
    <row r="160">
      <c r="A160" s="10" t="s">
        <v>27</v>
      </c>
      <c r="B160" s="9">
        <f t="shared" si="4"/>
        <v>45544</v>
      </c>
      <c r="C160" s="77" t="s">
        <v>1571</v>
      </c>
      <c r="D160" s="13">
        <f>SUMIFS('Lançamentos de despesas'!$K:$K,'Lançamentos de despesas'!$C:$C,B160,'Lançamentos de despesas'!$G:$G,A160,'Lançamentos de despesas'!$E:$E,"pago")</f>
        <v>7559.22</v>
      </c>
      <c r="E160" s="15">
        <f t="shared" si="1"/>
        <v>2024</v>
      </c>
      <c r="F160" s="15">
        <f t="shared" si="2"/>
        <v>9</v>
      </c>
      <c r="G160" s="15">
        <f t="shared" si="3"/>
        <v>9</v>
      </c>
    </row>
    <row r="161">
      <c r="A161" s="10" t="s">
        <v>27</v>
      </c>
      <c r="B161" s="9">
        <f t="shared" si="4"/>
        <v>45544</v>
      </c>
      <c r="C161" s="77" t="s">
        <v>1572</v>
      </c>
      <c r="D161" s="13">
        <f>D158+D159-D160</f>
        <v>132338.729</v>
      </c>
      <c r="E161" s="15">
        <f t="shared" si="1"/>
        <v>2024</v>
      </c>
      <c r="F161" s="15">
        <f t="shared" si="2"/>
        <v>9</v>
      </c>
      <c r="G161" s="15">
        <f t="shared" si="3"/>
        <v>9</v>
      </c>
    </row>
    <row r="162">
      <c r="A162" s="10" t="s">
        <v>27</v>
      </c>
      <c r="B162" s="9">
        <f t="shared" si="4"/>
        <v>45545</v>
      </c>
      <c r="C162" s="77" t="s">
        <v>1569</v>
      </c>
      <c r="D162" s="12">
        <f>D161</f>
        <v>132338.729</v>
      </c>
      <c r="E162" s="15">
        <f t="shared" si="1"/>
        <v>2024</v>
      </c>
      <c r="F162" s="15">
        <f t="shared" si="2"/>
        <v>9</v>
      </c>
      <c r="G162" s="15">
        <f t="shared" si="3"/>
        <v>10</v>
      </c>
    </row>
    <row r="163">
      <c r="A163" s="10" t="s">
        <v>27</v>
      </c>
      <c r="B163" s="9">
        <f t="shared" si="4"/>
        <v>45545</v>
      </c>
      <c r="C163" s="77" t="s">
        <v>1570</v>
      </c>
      <c r="D163" s="13">
        <f>SUMIFS('Lançamentos de receitas'!$E:$E,'Lançamentos de receitas'!$A:$A,B163,'Lançamentos de receitas'!$C:$C,A163,'Lançamentos de receitas'!$F:$F,"TRANSFERÊNCIA")</f>
        <v>1242.36</v>
      </c>
      <c r="E163" s="15">
        <f t="shared" si="1"/>
        <v>2024</v>
      </c>
      <c r="F163" s="15">
        <f t="shared" si="2"/>
        <v>9</v>
      </c>
      <c r="G163" s="15">
        <f t="shared" si="3"/>
        <v>10</v>
      </c>
    </row>
    <row r="164">
      <c r="A164" s="10" t="s">
        <v>27</v>
      </c>
      <c r="B164" s="9">
        <f t="shared" si="4"/>
        <v>45545</v>
      </c>
      <c r="C164" s="77" t="s">
        <v>1571</v>
      </c>
      <c r="D164" s="13">
        <f>SUMIFS('Lançamentos de despesas'!$K:$K,'Lançamentos de despesas'!$C:$C,B164,'Lançamentos de despesas'!$G:$G,A164,'Lançamentos de despesas'!$E:$E,"pago")</f>
        <v>1520.12</v>
      </c>
      <c r="E164" s="15">
        <f t="shared" si="1"/>
        <v>2024</v>
      </c>
      <c r="F164" s="15">
        <f t="shared" si="2"/>
        <v>9</v>
      </c>
      <c r="G164" s="15">
        <f t="shared" si="3"/>
        <v>10</v>
      </c>
    </row>
    <row r="165">
      <c r="A165" s="10" t="s">
        <v>27</v>
      </c>
      <c r="B165" s="9">
        <f t="shared" si="4"/>
        <v>45545</v>
      </c>
      <c r="C165" s="77" t="s">
        <v>1572</v>
      </c>
      <c r="D165" s="13">
        <f>D162+D163-D164</f>
        <v>132060.969</v>
      </c>
      <c r="E165" s="15">
        <f t="shared" si="1"/>
        <v>2024</v>
      </c>
      <c r="F165" s="15">
        <f t="shared" si="2"/>
        <v>9</v>
      </c>
      <c r="G165" s="15">
        <f t="shared" si="3"/>
        <v>10</v>
      </c>
    </row>
    <row r="166">
      <c r="A166" s="10" t="s">
        <v>27</v>
      </c>
      <c r="B166" s="9">
        <f t="shared" si="4"/>
        <v>45546</v>
      </c>
      <c r="C166" s="77" t="s">
        <v>1569</v>
      </c>
      <c r="D166" s="12">
        <f>D165</f>
        <v>132060.969</v>
      </c>
      <c r="E166" s="15">
        <f t="shared" si="1"/>
        <v>2024</v>
      </c>
      <c r="F166" s="15">
        <f t="shared" si="2"/>
        <v>9</v>
      </c>
      <c r="G166" s="15">
        <f t="shared" si="3"/>
        <v>11</v>
      </c>
    </row>
    <row r="167">
      <c r="A167" s="10" t="s">
        <v>27</v>
      </c>
      <c r="B167" s="9">
        <f t="shared" si="4"/>
        <v>45546</v>
      </c>
      <c r="C167" s="77" t="s">
        <v>1570</v>
      </c>
      <c r="D167" s="13">
        <f>SUMIFS('Lançamentos de receitas'!$E:$E,'Lançamentos de receitas'!$A:$A,B167,'Lançamentos de receitas'!$C:$C,A167,'Lançamentos de receitas'!$F:$F,"TRANSFERÊNCIA")</f>
        <v>2584.91</v>
      </c>
      <c r="E167" s="15">
        <f t="shared" si="1"/>
        <v>2024</v>
      </c>
      <c r="F167" s="15">
        <f t="shared" si="2"/>
        <v>9</v>
      </c>
      <c r="G167" s="15">
        <f t="shared" si="3"/>
        <v>11</v>
      </c>
    </row>
    <row r="168">
      <c r="A168" s="10" t="s">
        <v>27</v>
      </c>
      <c r="B168" s="9">
        <f t="shared" si="4"/>
        <v>45546</v>
      </c>
      <c r="C168" s="77" t="s">
        <v>1571</v>
      </c>
      <c r="D168" s="13">
        <f>SUMIFS('Lançamentos de despesas'!$K:$K,'Lançamentos de despesas'!$C:$C,B168,'Lançamentos de despesas'!$G:$G,A168,'Lançamentos de despesas'!$E:$E,"pago")</f>
        <v>82428.6</v>
      </c>
      <c r="E168" s="15">
        <f t="shared" si="1"/>
        <v>2024</v>
      </c>
      <c r="F168" s="15">
        <f t="shared" si="2"/>
        <v>9</v>
      </c>
      <c r="G168" s="15">
        <f t="shared" si="3"/>
        <v>11</v>
      </c>
    </row>
    <row r="169">
      <c r="A169" s="10" t="s">
        <v>27</v>
      </c>
      <c r="B169" s="9">
        <f t="shared" si="4"/>
        <v>45546</v>
      </c>
      <c r="C169" s="77" t="s">
        <v>1572</v>
      </c>
      <c r="D169" s="13">
        <f>D166+D167-D168</f>
        <v>52217.279</v>
      </c>
      <c r="E169" s="15">
        <f t="shared" si="1"/>
        <v>2024</v>
      </c>
      <c r="F169" s="15">
        <f t="shared" si="2"/>
        <v>9</v>
      </c>
      <c r="G169" s="15">
        <f t="shared" si="3"/>
        <v>11</v>
      </c>
    </row>
    <row r="170">
      <c r="A170" s="10" t="s">
        <v>27</v>
      </c>
      <c r="B170" s="9">
        <f t="shared" si="4"/>
        <v>45547</v>
      </c>
      <c r="C170" s="77" t="s">
        <v>1569</v>
      </c>
      <c r="D170" s="12">
        <f>D169</f>
        <v>52217.279</v>
      </c>
      <c r="E170" s="15">
        <f t="shared" si="1"/>
        <v>2024</v>
      </c>
      <c r="F170" s="15">
        <f t="shared" si="2"/>
        <v>9</v>
      </c>
      <c r="G170" s="15">
        <f t="shared" si="3"/>
        <v>12</v>
      </c>
    </row>
    <row r="171">
      <c r="A171" s="10" t="s">
        <v>27</v>
      </c>
      <c r="B171" s="9">
        <f t="shared" si="4"/>
        <v>45547</v>
      </c>
      <c r="C171" s="77" t="s">
        <v>1570</v>
      </c>
      <c r="D171" s="13">
        <f>SUMIFS('Lançamentos de receitas'!$E:$E,'Lançamentos de receitas'!$A:$A,B171,'Lançamentos de receitas'!$C:$C,A171,'Lançamentos de receitas'!$F:$F,"TRANSFERÊNCIA")</f>
        <v>11893.63</v>
      </c>
      <c r="E171" s="15">
        <f t="shared" si="1"/>
        <v>2024</v>
      </c>
      <c r="F171" s="15">
        <f t="shared" si="2"/>
        <v>9</v>
      </c>
      <c r="G171" s="15">
        <f t="shared" si="3"/>
        <v>12</v>
      </c>
    </row>
    <row r="172">
      <c r="A172" s="10" t="s">
        <v>27</v>
      </c>
      <c r="B172" s="9">
        <f t="shared" si="4"/>
        <v>45547</v>
      </c>
      <c r="C172" s="77" t="s">
        <v>1571</v>
      </c>
      <c r="D172" s="13">
        <f>SUMIFS('Lançamentos de despesas'!$K:$K,'Lançamentos de despesas'!$C:$C,B172,'Lançamentos de despesas'!$G:$G,A172,'Lançamentos de despesas'!$E:$E,"pago")</f>
        <v>0</v>
      </c>
      <c r="E172" s="15">
        <f t="shared" si="1"/>
        <v>2024</v>
      </c>
      <c r="F172" s="15">
        <f t="shared" si="2"/>
        <v>9</v>
      </c>
      <c r="G172" s="15">
        <f t="shared" si="3"/>
        <v>12</v>
      </c>
    </row>
    <row r="173">
      <c r="A173" s="10" t="s">
        <v>27</v>
      </c>
      <c r="B173" s="9">
        <f t="shared" si="4"/>
        <v>45547</v>
      </c>
      <c r="C173" s="77" t="s">
        <v>1572</v>
      </c>
      <c r="D173" s="13">
        <f>D170+D171-D172</f>
        <v>64110.909</v>
      </c>
      <c r="E173" s="15">
        <f t="shared" si="1"/>
        <v>2024</v>
      </c>
      <c r="F173" s="15">
        <f t="shared" si="2"/>
        <v>9</v>
      </c>
      <c r="G173" s="15">
        <f t="shared" si="3"/>
        <v>12</v>
      </c>
    </row>
    <row r="174">
      <c r="A174" s="10" t="s">
        <v>27</v>
      </c>
      <c r="B174" s="9">
        <f t="shared" si="4"/>
        <v>45548</v>
      </c>
      <c r="C174" s="77" t="s">
        <v>1569</v>
      </c>
      <c r="D174" s="12">
        <f>D173</f>
        <v>64110.909</v>
      </c>
      <c r="E174" s="15">
        <f t="shared" si="1"/>
        <v>2024</v>
      </c>
      <c r="F174" s="15">
        <f t="shared" si="2"/>
        <v>9</v>
      </c>
      <c r="G174" s="15">
        <f t="shared" si="3"/>
        <v>13</v>
      </c>
    </row>
    <row r="175">
      <c r="A175" s="10" t="s">
        <v>27</v>
      </c>
      <c r="B175" s="9">
        <f t="shared" si="4"/>
        <v>45548</v>
      </c>
      <c r="C175" s="77" t="s">
        <v>1570</v>
      </c>
      <c r="D175" s="13">
        <f>SUMIFS('Lançamentos de receitas'!$E:$E,'Lançamentos de receitas'!$A:$A,B175,'Lançamentos de receitas'!$C:$C,A175,'Lançamentos de receitas'!$F:$F,"TRANSFERÊNCIA")</f>
        <v>1483.86</v>
      </c>
      <c r="E175" s="15">
        <f t="shared" si="1"/>
        <v>2024</v>
      </c>
      <c r="F175" s="15">
        <f t="shared" si="2"/>
        <v>9</v>
      </c>
      <c r="G175" s="15">
        <f t="shared" si="3"/>
        <v>13</v>
      </c>
    </row>
    <row r="176">
      <c r="A176" s="10" t="s">
        <v>27</v>
      </c>
      <c r="B176" s="9">
        <f t="shared" si="4"/>
        <v>45548</v>
      </c>
      <c r="C176" s="77" t="s">
        <v>1571</v>
      </c>
      <c r="D176" s="13">
        <f>SUMIFS('Lançamentos de despesas'!$K:$K,'Lançamentos de despesas'!$C:$C,B176,'Lançamentos de despesas'!$G:$G,A176,'Lançamentos de despesas'!$E:$E,"pago")</f>
        <v>2056</v>
      </c>
      <c r="E176" s="15">
        <f t="shared" si="1"/>
        <v>2024</v>
      </c>
      <c r="F176" s="15">
        <f t="shared" si="2"/>
        <v>9</v>
      </c>
      <c r="G176" s="15">
        <f t="shared" si="3"/>
        <v>13</v>
      </c>
    </row>
    <row r="177">
      <c r="A177" s="10" t="s">
        <v>27</v>
      </c>
      <c r="B177" s="9">
        <f t="shared" si="4"/>
        <v>45548</v>
      </c>
      <c r="C177" s="77" t="s">
        <v>1572</v>
      </c>
      <c r="D177" s="13">
        <f>D174+D175-D176</f>
        <v>63538.769</v>
      </c>
      <c r="E177" s="15">
        <f t="shared" si="1"/>
        <v>2024</v>
      </c>
      <c r="F177" s="15">
        <f t="shared" si="2"/>
        <v>9</v>
      </c>
      <c r="G177" s="15">
        <f t="shared" si="3"/>
        <v>13</v>
      </c>
    </row>
    <row r="178">
      <c r="A178" s="10" t="s">
        <v>27</v>
      </c>
      <c r="B178" s="9">
        <f t="shared" si="4"/>
        <v>45549</v>
      </c>
      <c r="C178" s="77" t="s">
        <v>1569</v>
      </c>
      <c r="D178" s="12">
        <f>D177</f>
        <v>63538.769</v>
      </c>
      <c r="E178" s="15">
        <f t="shared" si="1"/>
        <v>2024</v>
      </c>
      <c r="F178" s="15">
        <f t="shared" si="2"/>
        <v>9</v>
      </c>
      <c r="G178" s="15">
        <f t="shared" si="3"/>
        <v>14</v>
      </c>
    </row>
    <row r="179">
      <c r="A179" s="10" t="s">
        <v>27</v>
      </c>
      <c r="B179" s="9">
        <f t="shared" si="4"/>
        <v>45549</v>
      </c>
      <c r="C179" s="77" t="s">
        <v>1570</v>
      </c>
      <c r="D179" s="13">
        <f>SUMIFS('Lançamentos de receitas'!$E:$E,'Lançamentos de receitas'!$A:$A,B179,'Lançamentos de receitas'!$C:$C,A179,'Lançamentos de receitas'!$F:$F,"TRANSFERÊNCIA")</f>
        <v>1651.47</v>
      </c>
      <c r="E179" s="15">
        <f t="shared" si="1"/>
        <v>2024</v>
      </c>
      <c r="F179" s="15">
        <f t="shared" si="2"/>
        <v>9</v>
      </c>
      <c r="G179" s="15">
        <f t="shared" si="3"/>
        <v>14</v>
      </c>
    </row>
    <row r="180">
      <c r="A180" s="10" t="s">
        <v>27</v>
      </c>
      <c r="B180" s="9">
        <f t="shared" si="4"/>
        <v>45549</v>
      </c>
      <c r="C180" s="77" t="s">
        <v>1571</v>
      </c>
      <c r="D180" s="13">
        <f>SUMIFS('Lançamentos de despesas'!$K:$K,'Lançamentos de despesas'!$C:$C,B180,'Lançamentos de despesas'!$G:$G,A180,'Lançamentos de despesas'!$E:$E,"pago")</f>
        <v>0</v>
      </c>
      <c r="E180" s="15">
        <f t="shared" si="1"/>
        <v>2024</v>
      </c>
      <c r="F180" s="15">
        <f t="shared" si="2"/>
        <v>9</v>
      </c>
      <c r="G180" s="15">
        <f t="shared" si="3"/>
        <v>14</v>
      </c>
    </row>
    <row r="181">
      <c r="A181" s="10" t="s">
        <v>27</v>
      </c>
      <c r="B181" s="9">
        <f t="shared" si="4"/>
        <v>45549</v>
      </c>
      <c r="C181" s="77" t="s">
        <v>1572</v>
      </c>
      <c r="D181" s="13">
        <f>D178+D179-D180</f>
        <v>65190.239</v>
      </c>
      <c r="E181" s="15">
        <f t="shared" si="1"/>
        <v>2024</v>
      </c>
      <c r="F181" s="15">
        <f t="shared" si="2"/>
        <v>9</v>
      </c>
      <c r="G181" s="15">
        <f t="shared" si="3"/>
        <v>14</v>
      </c>
    </row>
    <row r="182">
      <c r="A182" s="10" t="s">
        <v>27</v>
      </c>
      <c r="B182" s="9">
        <f t="shared" si="4"/>
        <v>45550</v>
      </c>
      <c r="C182" s="77" t="s">
        <v>1569</v>
      </c>
      <c r="D182" s="12">
        <f>D181</f>
        <v>65190.239</v>
      </c>
      <c r="E182" s="15">
        <f t="shared" si="1"/>
        <v>2024</v>
      </c>
      <c r="F182" s="15">
        <f t="shared" si="2"/>
        <v>9</v>
      </c>
      <c r="G182" s="15">
        <f t="shared" si="3"/>
        <v>15</v>
      </c>
    </row>
    <row r="183">
      <c r="A183" s="10" t="s">
        <v>27</v>
      </c>
      <c r="B183" s="9">
        <f t="shared" si="4"/>
        <v>45550</v>
      </c>
      <c r="C183" s="77" t="s">
        <v>1570</v>
      </c>
      <c r="D183" s="13">
        <f>SUMIFS('Lançamentos de receitas'!$E:$E,'Lançamentos de receitas'!$A:$A,B183,'Lançamentos de receitas'!$C:$C,A183,'Lançamentos de receitas'!$F:$F,"TRANSFERÊNCIA")</f>
        <v>1557.29</v>
      </c>
      <c r="E183" s="15">
        <f t="shared" si="1"/>
        <v>2024</v>
      </c>
      <c r="F183" s="15">
        <f t="shared" si="2"/>
        <v>9</v>
      </c>
      <c r="G183" s="15">
        <f t="shared" si="3"/>
        <v>15</v>
      </c>
    </row>
    <row r="184">
      <c r="A184" s="10" t="s">
        <v>27</v>
      </c>
      <c r="B184" s="9">
        <f t="shared" si="4"/>
        <v>45550</v>
      </c>
      <c r="C184" s="77" t="s">
        <v>1571</v>
      </c>
      <c r="D184" s="13">
        <f>SUMIFS('Lançamentos de despesas'!$K:$K,'Lançamentos de despesas'!$C:$C,B184,'Lançamentos de despesas'!$G:$G,A184,'Lançamentos de despesas'!$E:$E,"pago")</f>
        <v>0</v>
      </c>
      <c r="E184" s="15">
        <f t="shared" si="1"/>
        <v>2024</v>
      </c>
      <c r="F184" s="15">
        <f t="shared" si="2"/>
        <v>9</v>
      </c>
      <c r="G184" s="15">
        <f t="shared" si="3"/>
        <v>15</v>
      </c>
    </row>
    <row r="185">
      <c r="A185" s="10" t="s">
        <v>27</v>
      </c>
      <c r="B185" s="9">
        <f t="shared" si="4"/>
        <v>45550</v>
      </c>
      <c r="C185" s="77" t="s">
        <v>1572</v>
      </c>
      <c r="D185" s="13">
        <f>D182+D183-D184</f>
        <v>66747.529</v>
      </c>
      <c r="E185" s="15">
        <f t="shared" si="1"/>
        <v>2024</v>
      </c>
      <c r="F185" s="15">
        <f t="shared" si="2"/>
        <v>9</v>
      </c>
      <c r="G185" s="15">
        <f t="shared" si="3"/>
        <v>15</v>
      </c>
    </row>
    <row r="186">
      <c r="A186" s="10" t="s">
        <v>27</v>
      </c>
      <c r="B186" s="9">
        <f t="shared" si="4"/>
        <v>45551</v>
      </c>
      <c r="C186" s="77" t="s">
        <v>1569</v>
      </c>
      <c r="D186" s="12">
        <f>D185</f>
        <v>66747.529</v>
      </c>
      <c r="E186" s="15">
        <f t="shared" si="1"/>
        <v>2024</v>
      </c>
      <c r="F186" s="15">
        <f t="shared" si="2"/>
        <v>9</v>
      </c>
      <c r="G186" s="15">
        <f t="shared" si="3"/>
        <v>16</v>
      </c>
    </row>
    <row r="187">
      <c r="A187" s="10" t="s">
        <v>27</v>
      </c>
      <c r="B187" s="9">
        <f t="shared" si="4"/>
        <v>45551</v>
      </c>
      <c r="C187" s="77" t="s">
        <v>1570</v>
      </c>
      <c r="D187" s="13">
        <f>SUMIFS('Lançamentos de receitas'!$E:$E,'Lançamentos de receitas'!$A:$A,B187,'Lançamentos de receitas'!$C:$C,A187,'Lançamentos de receitas'!$F:$F,"TRANSFERÊNCIA")</f>
        <v>625.01</v>
      </c>
      <c r="E187" s="15">
        <f t="shared" si="1"/>
        <v>2024</v>
      </c>
      <c r="F187" s="15">
        <f t="shared" si="2"/>
        <v>9</v>
      </c>
      <c r="G187" s="15">
        <f t="shared" si="3"/>
        <v>16</v>
      </c>
    </row>
    <row r="188">
      <c r="A188" s="10" t="s">
        <v>27</v>
      </c>
      <c r="B188" s="9">
        <f t="shared" si="4"/>
        <v>45551</v>
      </c>
      <c r="C188" s="77" t="s">
        <v>1571</v>
      </c>
      <c r="D188" s="13">
        <f>SUMIFS('Lançamentos de despesas'!$K:$K,'Lançamentos de despesas'!$C:$C,B188,'Lançamentos de despesas'!$G:$G,A188,'Lançamentos de despesas'!$E:$E,"pago")</f>
        <v>5595.7</v>
      </c>
      <c r="E188" s="15">
        <f t="shared" si="1"/>
        <v>2024</v>
      </c>
      <c r="F188" s="15">
        <f t="shared" si="2"/>
        <v>9</v>
      </c>
      <c r="G188" s="15">
        <f t="shared" si="3"/>
        <v>16</v>
      </c>
    </row>
    <row r="189">
      <c r="A189" s="10" t="s">
        <v>27</v>
      </c>
      <c r="B189" s="9">
        <f t="shared" si="4"/>
        <v>45551</v>
      </c>
      <c r="C189" s="77" t="s">
        <v>1572</v>
      </c>
      <c r="D189" s="13">
        <f>D186+D187-D188</f>
        <v>61776.839</v>
      </c>
      <c r="E189" s="15">
        <f t="shared" si="1"/>
        <v>2024</v>
      </c>
      <c r="F189" s="15">
        <f t="shared" si="2"/>
        <v>9</v>
      </c>
      <c r="G189" s="15">
        <f t="shared" si="3"/>
        <v>16</v>
      </c>
    </row>
    <row r="190">
      <c r="A190" s="10" t="s">
        <v>27</v>
      </c>
      <c r="B190" s="9">
        <f t="shared" si="4"/>
        <v>45552</v>
      </c>
      <c r="C190" s="77" t="s">
        <v>1569</v>
      </c>
      <c r="D190" s="12">
        <f>D189</f>
        <v>61776.839</v>
      </c>
      <c r="E190" s="15">
        <f t="shared" si="1"/>
        <v>2024</v>
      </c>
      <c r="F190" s="15">
        <f t="shared" si="2"/>
        <v>9</v>
      </c>
      <c r="G190" s="15">
        <f t="shared" si="3"/>
        <v>17</v>
      </c>
    </row>
    <row r="191">
      <c r="A191" s="10" t="s">
        <v>27</v>
      </c>
      <c r="B191" s="9">
        <f t="shared" si="4"/>
        <v>45552</v>
      </c>
      <c r="C191" s="77" t="s">
        <v>1570</v>
      </c>
      <c r="D191" s="13">
        <f>SUMIFS('Lançamentos de receitas'!$E:$E,'Lançamentos de receitas'!$A:$A,B191,'Lançamentos de receitas'!$C:$C,A191,'Lançamentos de receitas'!$F:$F,"TRANSFERÊNCIA")</f>
        <v>1945.24</v>
      </c>
      <c r="E191" s="15">
        <f t="shared" si="1"/>
        <v>2024</v>
      </c>
      <c r="F191" s="15">
        <f t="shared" si="2"/>
        <v>9</v>
      </c>
      <c r="G191" s="15">
        <f t="shared" si="3"/>
        <v>17</v>
      </c>
    </row>
    <row r="192">
      <c r="A192" s="10" t="s">
        <v>27</v>
      </c>
      <c r="B192" s="9">
        <f t="shared" si="4"/>
        <v>45552</v>
      </c>
      <c r="C192" s="77" t="s">
        <v>1571</v>
      </c>
      <c r="D192" s="13">
        <f>SUMIFS('Lançamentos de despesas'!$K:$K,'Lançamentos de despesas'!$C:$C,B192,'Lançamentos de despesas'!$G:$G,A192,'Lançamentos de despesas'!$E:$E,"pago")</f>
        <v>6102.5</v>
      </c>
      <c r="E192" s="15">
        <f t="shared" si="1"/>
        <v>2024</v>
      </c>
      <c r="F192" s="15">
        <f t="shared" si="2"/>
        <v>9</v>
      </c>
      <c r="G192" s="15">
        <f t="shared" si="3"/>
        <v>17</v>
      </c>
    </row>
    <row r="193">
      <c r="A193" s="10" t="s">
        <v>27</v>
      </c>
      <c r="B193" s="9">
        <f t="shared" si="4"/>
        <v>45552</v>
      </c>
      <c r="C193" s="77" t="s">
        <v>1572</v>
      </c>
      <c r="D193" s="13">
        <f>D190+D191-D192</f>
        <v>57619.579</v>
      </c>
      <c r="E193" s="15">
        <f t="shared" si="1"/>
        <v>2024</v>
      </c>
      <c r="F193" s="15">
        <f t="shared" si="2"/>
        <v>9</v>
      </c>
      <c r="G193" s="15">
        <f t="shared" si="3"/>
        <v>17</v>
      </c>
    </row>
    <row r="194">
      <c r="A194" s="10" t="s">
        <v>27</v>
      </c>
      <c r="B194" s="9">
        <f t="shared" si="4"/>
        <v>45553</v>
      </c>
      <c r="C194" s="77" t="s">
        <v>1569</v>
      </c>
      <c r="D194" s="12">
        <f>D193</f>
        <v>57619.579</v>
      </c>
      <c r="E194" s="15">
        <f t="shared" si="1"/>
        <v>2024</v>
      </c>
      <c r="F194" s="15">
        <f t="shared" si="2"/>
        <v>9</v>
      </c>
      <c r="G194" s="15">
        <f t="shared" si="3"/>
        <v>18</v>
      </c>
    </row>
    <row r="195">
      <c r="A195" s="10" t="s">
        <v>27</v>
      </c>
      <c r="B195" s="9">
        <f t="shared" si="4"/>
        <v>45553</v>
      </c>
      <c r="C195" s="77" t="s">
        <v>1570</v>
      </c>
      <c r="D195" s="13">
        <f>SUMIFS('Lançamentos de receitas'!$E:$E,'Lançamentos de receitas'!$A:$A,B195,'Lançamentos de receitas'!$C:$C,A195,'Lançamentos de receitas'!$F:$F,"TRANSFERÊNCIA")</f>
        <v>1907.08</v>
      </c>
      <c r="E195" s="15">
        <f t="shared" si="1"/>
        <v>2024</v>
      </c>
      <c r="F195" s="15">
        <f t="shared" si="2"/>
        <v>9</v>
      </c>
      <c r="G195" s="15">
        <f t="shared" si="3"/>
        <v>18</v>
      </c>
    </row>
    <row r="196">
      <c r="A196" s="10" t="s">
        <v>27</v>
      </c>
      <c r="B196" s="9">
        <f t="shared" si="4"/>
        <v>45553</v>
      </c>
      <c r="C196" s="77" t="s">
        <v>1571</v>
      </c>
      <c r="D196" s="13">
        <f>SUMIFS('Lançamentos de despesas'!$K:$K,'Lançamentos de despesas'!$C:$C,B196,'Lançamentos de despesas'!$G:$G,A196,'Lançamentos de despesas'!$E:$E,"pago")</f>
        <v>3939.19</v>
      </c>
      <c r="E196" s="15">
        <f t="shared" si="1"/>
        <v>2024</v>
      </c>
      <c r="F196" s="15">
        <f t="shared" si="2"/>
        <v>9</v>
      </c>
      <c r="G196" s="15">
        <f t="shared" si="3"/>
        <v>18</v>
      </c>
    </row>
    <row r="197">
      <c r="A197" s="10" t="s">
        <v>27</v>
      </c>
      <c r="B197" s="9">
        <f t="shared" si="4"/>
        <v>45553</v>
      </c>
      <c r="C197" s="77" t="s">
        <v>1572</v>
      </c>
      <c r="D197" s="13">
        <f>D194+D195-D196</f>
        <v>55587.469</v>
      </c>
      <c r="E197" s="15">
        <f t="shared" si="1"/>
        <v>2024</v>
      </c>
      <c r="F197" s="15">
        <f t="shared" si="2"/>
        <v>9</v>
      </c>
      <c r="G197" s="15">
        <f t="shared" si="3"/>
        <v>18</v>
      </c>
    </row>
    <row r="198">
      <c r="A198" s="10" t="s">
        <v>27</v>
      </c>
      <c r="B198" s="9">
        <f t="shared" si="4"/>
        <v>45554</v>
      </c>
      <c r="C198" s="77" t="s">
        <v>1569</v>
      </c>
      <c r="D198" s="12">
        <f>D197</f>
        <v>55587.469</v>
      </c>
      <c r="E198" s="15">
        <f t="shared" si="1"/>
        <v>2024</v>
      </c>
      <c r="F198" s="15">
        <f t="shared" si="2"/>
        <v>9</v>
      </c>
      <c r="G198" s="15">
        <f t="shared" si="3"/>
        <v>19</v>
      </c>
    </row>
    <row r="199">
      <c r="A199" s="10" t="s">
        <v>27</v>
      </c>
      <c r="B199" s="9">
        <f t="shared" si="4"/>
        <v>45554</v>
      </c>
      <c r="C199" s="77" t="s">
        <v>1570</v>
      </c>
      <c r="D199" s="13">
        <f>SUMIFS('Lançamentos de receitas'!$E:$E,'Lançamentos de receitas'!$A:$A,B199,'Lançamentos de receitas'!$C:$C,A199,'Lançamentos de receitas'!$F:$F,"TRANSFERÊNCIA")</f>
        <v>2515.32</v>
      </c>
      <c r="E199" s="15">
        <f t="shared" si="1"/>
        <v>2024</v>
      </c>
      <c r="F199" s="15">
        <f t="shared" si="2"/>
        <v>9</v>
      </c>
      <c r="G199" s="15">
        <f t="shared" si="3"/>
        <v>19</v>
      </c>
    </row>
    <row r="200">
      <c r="A200" s="10" t="s">
        <v>27</v>
      </c>
      <c r="B200" s="9">
        <f t="shared" si="4"/>
        <v>45554</v>
      </c>
      <c r="C200" s="77" t="s">
        <v>1571</v>
      </c>
      <c r="D200" s="13">
        <f>SUMIFS('Lançamentos de despesas'!$K:$K,'Lançamentos de despesas'!$C:$C,B200,'Lançamentos de despesas'!$G:$G,A200,'Lançamentos de despesas'!$E:$E,"pago")</f>
        <v>0</v>
      </c>
      <c r="E200" s="15">
        <f t="shared" si="1"/>
        <v>2024</v>
      </c>
      <c r="F200" s="15">
        <f t="shared" si="2"/>
        <v>9</v>
      </c>
      <c r="G200" s="15">
        <f t="shared" si="3"/>
        <v>19</v>
      </c>
    </row>
    <row r="201">
      <c r="A201" s="10" t="s">
        <v>27</v>
      </c>
      <c r="B201" s="9">
        <f t="shared" si="4"/>
        <v>45554</v>
      </c>
      <c r="C201" s="77" t="s">
        <v>1572</v>
      </c>
      <c r="D201" s="13">
        <f>D198+D199-D200</f>
        <v>58102.789</v>
      </c>
      <c r="E201" s="15">
        <f t="shared" si="1"/>
        <v>2024</v>
      </c>
      <c r="F201" s="15">
        <f t="shared" si="2"/>
        <v>9</v>
      </c>
      <c r="G201" s="15">
        <f t="shared" si="3"/>
        <v>19</v>
      </c>
    </row>
    <row r="202">
      <c r="A202" s="10" t="s">
        <v>27</v>
      </c>
      <c r="B202" s="9">
        <f t="shared" si="4"/>
        <v>45555</v>
      </c>
      <c r="C202" s="77" t="s">
        <v>1569</v>
      </c>
      <c r="D202" s="12">
        <f>D201</f>
        <v>58102.789</v>
      </c>
      <c r="E202" s="15">
        <f t="shared" si="1"/>
        <v>2024</v>
      </c>
      <c r="F202" s="15">
        <f t="shared" si="2"/>
        <v>9</v>
      </c>
      <c r="G202" s="15">
        <f t="shared" si="3"/>
        <v>20</v>
      </c>
    </row>
    <row r="203">
      <c r="A203" s="10" t="s">
        <v>27</v>
      </c>
      <c r="B203" s="9">
        <f t="shared" si="4"/>
        <v>45555</v>
      </c>
      <c r="C203" s="77" t="s">
        <v>1570</v>
      </c>
      <c r="D203" s="13">
        <f>SUMIFS('Lançamentos de receitas'!$E:$E,'Lançamentos de receitas'!$A:$A,B203,'Lançamentos de receitas'!$C:$C,A203,'Lançamentos de receitas'!$F:$F,"TRANSFERÊNCIA")</f>
        <v>7868.22</v>
      </c>
      <c r="E203" s="15">
        <f t="shared" si="1"/>
        <v>2024</v>
      </c>
      <c r="F203" s="15">
        <f t="shared" si="2"/>
        <v>9</v>
      </c>
      <c r="G203" s="15">
        <f t="shared" si="3"/>
        <v>20</v>
      </c>
    </row>
    <row r="204">
      <c r="A204" s="10" t="s">
        <v>27</v>
      </c>
      <c r="B204" s="9">
        <f t="shared" si="4"/>
        <v>45555</v>
      </c>
      <c r="C204" s="77" t="s">
        <v>1571</v>
      </c>
      <c r="D204" s="13">
        <f>SUMIFS('Lançamentos de despesas'!$K:$K,'Lançamentos de despesas'!$C:$C,B204,'Lançamentos de despesas'!$G:$G,A204,'Lançamentos de despesas'!$E:$E,"pago")</f>
        <v>29611.39</v>
      </c>
      <c r="E204" s="15">
        <f t="shared" si="1"/>
        <v>2024</v>
      </c>
      <c r="F204" s="15">
        <f t="shared" si="2"/>
        <v>9</v>
      </c>
      <c r="G204" s="15">
        <f t="shared" si="3"/>
        <v>20</v>
      </c>
    </row>
    <row r="205">
      <c r="A205" s="10" t="s">
        <v>27</v>
      </c>
      <c r="B205" s="9">
        <f t="shared" si="4"/>
        <v>45555</v>
      </c>
      <c r="C205" s="77" t="s">
        <v>1572</v>
      </c>
      <c r="D205" s="13">
        <f>D202+D203-D204</f>
        <v>36359.619</v>
      </c>
      <c r="E205" s="15">
        <f t="shared" si="1"/>
        <v>2024</v>
      </c>
      <c r="F205" s="15">
        <f t="shared" si="2"/>
        <v>9</v>
      </c>
      <c r="G205" s="15">
        <f t="shared" si="3"/>
        <v>20</v>
      </c>
    </row>
    <row r="206">
      <c r="A206" s="10" t="s">
        <v>27</v>
      </c>
      <c r="B206" s="9">
        <f t="shared" si="4"/>
        <v>45556</v>
      </c>
      <c r="C206" s="77" t="s">
        <v>1569</v>
      </c>
      <c r="D206" s="12">
        <f>D205</f>
        <v>36359.619</v>
      </c>
      <c r="E206" s="15">
        <f t="shared" si="1"/>
        <v>2024</v>
      </c>
      <c r="F206" s="15">
        <f t="shared" si="2"/>
        <v>9</v>
      </c>
      <c r="G206" s="15">
        <f t="shared" si="3"/>
        <v>21</v>
      </c>
    </row>
    <row r="207">
      <c r="A207" s="10" t="s">
        <v>27</v>
      </c>
      <c r="B207" s="9">
        <f t="shared" si="4"/>
        <v>45556</v>
      </c>
      <c r="C207" s="77" t="s">
        <v>1570</v>
      </c>
      <c r="D207" s="13">
        <f>SUMIFS('Lançamentos de receitas'!$E:$E,'Lançamentos de receitas'!$A:$A,B207,'Lançamentos de receitas'!$C:$C,A207,'Lançamentos de receitas'!$F:$F,"TRANSFERÊNCIA")</f>
        <v>2372.08</v>
      </c>
      <c r="E207" s="15">
        <f t="shared" si="1"/>
        <v>2024</v>
      </c>
      <c r="F207" s="15">
        <f t="shared" si="2"/>
        <v>9</v>
      </c>
      <c r="G207" s="15">
        <f t="shared" si="3"/>
        <v>21</v>
      </c>
    </row>
    <row r="208">
      <c r="A208" s="10" t="s">
        <v>27</v>
      </c>
      <c r="B208" s="9">
        <f t="shared" si="4"/>
        <v>45556</v>
      </c>
      <c r="C208" s="77" t="s">
        <v>1571</v>
      </c>
      <c r="D208" s="13">
        <f>SUMIFS('Lançamentos de despesas'!$K:$K,'Lançamentos de despesas'!$C:$C,B208,'Lançamentos de despesas'!$G:$G,A208,'Lançamentos de despesas'!$E:$E,"pago")</f>
        <v>0</v>
      </c>
      <c r="E208" s="15">
        <f t="shared" si="1"/>
        <v>2024</v>
      </c>
      <c r="F208" s="15">
        <f t="shared" si="2"/>
        <v>9</v>
      </c>
      <c r="G208" s="15">
        <f t="shared" si="3"/>
        <v>21</v>
      </c>
    </row>
    <row r="209">
      <c r="A209" s="10" t="s">
        <v>27</v>
      </c>
      <c r="B209" s="9">
        <f t="shared" si="4"/>
        <v>45556</v>
      </c>
      <c r="C209" s="77" t="s">
        <v>1572</v>
      </c>
      <c r="D209" s="13">
        <f>D206+D207-D208</f>
        <v>38731.699</v>
      </c>
      <c r="E209" s="15">
        <f t="shared" si="1"/>
        <v>2024</v>
      </c>
      <c r="F209" s="15">
        <f t="shared" si="2"/>
        <v>9</v>
      </c>
      <c r="G209" s="15">
        <f t="shared" si="3"/>
        <v>21</v>
      </c>
    </row>
    <row r="210">
      <c r="A210" s="10" t="s">
        <v>27</v>
      </c>
      <c r="B210" s="9">
        <f t="shared" si="4"/>
        <v>45557</v>
      </c>
      <c r="C210" s="77" t="s">
        <v>1569</v>
      </c>
      <c r="D210" s="12">
        <f>D209</f>
        <v>38731.699</v>
      </c>
      <c r="E210" s="15">
        <f t="shared" si="1"/>
        <v>2024</v>
      </c>
      <c r="F210" s="15">
        <f t="shared" si="2"/>
        <v>9</v>
      </c>
      <c r="G210" s="15">
        <f t="shared" si="3"/>
        <v>22</v>
      </c>
    </row>
    <row r="211">
      <c r="A211" s="10" t="s">
        <v>27</v>
      </c>
      <c r="B211" s="9">
        <f t="shared" si="4"/>
        <v>45557</v>
      </c>
      <c r="C211" s="77" t="s">
        <v>1570</v>
      </c>
      <c r="D211" s="13">
        <f>SUMIFS('Lançamentos de receitas'!$E:$E,'Lançamentos de receitas'!$A:$A,B211,'Lançamentos de receitas'!$C:$C,A211,'Lançamentos de receitas'!$F:$F,"TRANSFERÊNCIA")</f>
        <v>1432.05</v>
      </c>
      <c r="E211" s="15">
        <f t="shared" si="1"/>
        <v>2024</v>
      </c>
      <c r="F211" s="15">
        <f t="shared" si="2"/>
        <v>9</v>
      </c>
      <c r="G211" s="15">
        <f t="shared" si="3"/>
        <v>22</v>
      </c>
    </row>
    <row r="212">
      <c r="A212" s="10" t="s">
        <v>27</v>
      </c>
      <c r="B212" s="9">
        <f t="shared" si="4"/>
        <v>45557</v>
      </c>
      <c r="C212" s="77" t="s">
        <v>1571</v>
      </c>
      <c r="D212" s="13">
        <f>SUMIFS('Lançamentos de despesas'!$K:$K,'Lançamentos de despesas'!$C:$C,B212,'Lançamentos de despesas'!$G:$G,A212,'Lançamentos de despesas'!$E:$E,"pago")</f>
        <v>0</v>
      </c>
      <c r="E212" s="15">
        <f t="shared" si="1"/>
        <v>2024</v>
      </c>
      <c r="F212" s="15">
        <f t="shared" si="2"/>
        <v>9</v>
      </c>
      <c r="G212" s="15">
        <f t="shared" si="3"/>
        <v>22</v>
      </c>
    </row>
    <row r="213">
      <c r="A213" s="10" t="s">
        <v>27</v>
      </c>
      <c r="B213" s="9">
        <f t="shared" si="4"/>
        <v>45557</v>
      </c>
      <c r="C213" s="77" t="s">
        <v>1572</v>
      </c>
      <c r="D213" s="13">
        <f>D210+D211-D212</f>
        <v>40163.749</v>
      </c>
      <c r="E213" s="15">
        <f t="shared" si="1"/>
        <v>2024</v>
      </c>
      <c r="F213" s="15">
        <f t="shared" si="2"/>
        <v>9</v>
      </c>
      <c r="G213" s="15">
        <f t="shared" si="3"/>
        <v>22</v>
      </c>
    </row>
    <row r="214">
      <c r="A214" s="10" t="s">
        <v>27</v>
      </c>
      <c r="B214" s="9">
        <f t="shared" si="4"/>
        <v>45558</v>
      </c>
      <c r="C214" s="77" t="s">
        <v>1569</v>
      </c>
      <c r="D214" s="12">
        <f>D213</f>
        <v>40163.749</v>
      </c>
      <c r="E214" s="15">
        <f t="shared" si="1"/>
        <v>2024</v>
      </c>
      <c r="F214" s="15">
        <f t="shared" si="2"/>
        <v>9</v>
      </c>
      <c r="G214" s="15">
        <f t="shared" si="3"/>
        <v>23</v>
      </c>
    </row>
    <row r="215">
      <c r="A215" s="10" t="s">
        <v>27</v>
      </c>
      <c r="B215" s="9">
        <f t="shared" si="4"/>
        <v>45558</v>
      </c>
      <c r="C215" s="77" t="s">
        <v>1570</v>
      </c>
      <c r="D215" s="13">
        <f>SUMIFS('Lançamentos de receitas'!$E:$E,'Lançamentos de receitas'!$A:$A,B215,'Lançamentos de receitas'!$C:$C,A215,'Lançamentos de receitas'!$F:$F,"TRANSFERÊNCIA")</f>
        <v>16537.17</v>
      </c>
      <c r="E215" s="15">
        <f t="shared" si="1"/>
        <v>2024</v>
      </c>
      <c r="F215" s="15">
        <f t="shared" si="2"/>
        <v>9</v>
      </c>
      <c r="G215" s="15">
        <f t="shared" si="3"/>
        <v>23</v>
      </c>
    </row>
    <row r="216">
      <c r="A216" s="10" t="s">
        <v>27</v>
      </c>
      <c r="B216" s="9">
        <f t="shared" si="4"/>
        <v>45558</v>
      </c>
      <c r="C216" s="77" t="s">
        <v>1571</v>
      </c>
      <c r="D216" s="13">
        <f>SUMIFS('Lançamentos de despesas'!$K:$K,'Lançamentos de despesas'!$C:$C,B216,'Lançamentos de despesas'!$G:$G,A216,'Lançamentos de despesas'!$E:$E,"pago")</f>
        <v>3812.49</v>
      </c>
      <c r="E216" s="15">
        <f t="shared" si="1"/>
        <v>2024</v>
      </c>
      <c r="F216" s="15">
        <f t="shared" si="2"/>
        <v>9</v>
      </c>
      <c r="G216" s="15">
        <f t="shared" si="3"/>
        <v>23</v>
      </c>
    </row>
    <row r="217">
      <c r="A217" s="10" t="s">
        <v>27</v>
      </c>
      <c r="B217" s="9">
        <f t="shared" si="4"/>
        <v>45558</v>
      </c>
      <c r="C217" s="77" t="s">
        <v>1572</v>
      </c>
      <c r="D217" s="13">
        <f>D214+D215-D216</f>
        <v>52888.429</v>
      </c>
      <c r="E217" s="15">
        <f t="shared" si="1"/>
        <v>2024</v>
      </c>
      <c r="F217" s="15">
        <f t="shared" si="2"/>
        <v>9</v>
      </c>
      <c r="G217" s="15">
        <f t="shared" si="3"/>
        <v>23</v>
      </c>
    </row>
    <row r="218">
      <c r="A218" s="10" t="s">
        <v>27</v>
      </c>
      <c r="B218" s="9">
        <f t="shared" si="4"/>
        <v>45559</v>
      </c>
      <c r="C218" s="77" t="s">
        <v>1569</v>
      </c>
      <c r="D218" s="12">
        <f>D217</f>
        <v>52888.429</v>
      </c>
      <c r="E218" s="15">
        <f t="shared" si="1"/>
        <v>2024</v>
      </c>
      <c r="F218" s="15">
        <f t="shared" si="2"/>
        <v>9</v>
      </c>
      <c r="G218" s="15">
        <f t="shared" si="3"/>
        <v>24</v>
      </c>
    </row>
    <row r="219">
      <c r="A219" s="10" t="s">
        <v>27</v>
      </c>
      <c r="B219" s="9">
        <f t="shared" si="4"/>
        <v>45559</v>
      </c>
      <c r="C219" s="77" t="s">
        <v>1570</v>
      </c>
      <c r="D219" s="13">
        <f>SUMIFS('Lançamentos de receitas'!$E:$E,'Lançamentos de receitas'!$A:$A,B219,'Lançamentos de receitas'!$C:$C,A219,'Lançamentos de receitas'!$F:$F,"TRANSFERÊNCIA")</f>
        <v>1965.4</v>
      </c>
      <c r="E219" s="15">
        <f t="shared" si="1"/>
        <v>2024</v>
      </c>
      <c r="F219" s="15">
        <f t="shared" si="2"/>
        <v>9</v>
      </c>
      <c r="G219" s="15">
        <f t="shared" si="3"/>
        <v>24</v>
      </c>
    </row>
    <row r="220">
      <c r="A220" s="10" t="s">
        <v>27</v>
      </c>
      <c r="B220" s="9">
        <f t="shared" si="4"/>
        <v>45559</v>
      </c>
      <c r="C220" s="77" t="s">
        <v>1571</v>
      </c>
      <c r="D220" s="13">
        <f>SUMIFS('Lançamentos de despesas'!$K:$K,'Lançamentos de despesas'!$C:$C,B220,'Lançamentos de despesas'!$G:$G,A220,'Lançamentos de despesas'!$E:$E,"pago")</f>
        <v>1827.58</v>
      </c>
      <c r="E220" s="15">
        <f t="shared" si="1"/>
        <v>2024</v>
      </c>
      <c r="F220" s="15">
        <f t="shared" si="2"/>
        <v>9</v>
      </c>
      <c r="G220" s="15">
        <f t="shared" si="3"/>
        <v>24</v>
      </c>
    </row>
    <row r="221">
      <c r="A221" s="10" t="s">
        <v>27</v>
      </c>
      <c r="B221" s="9">
        <f t="shared" si="4"/>
        <v>45559</v>
      </c>
      <c r="C221" s="77" t="s">
        <v>1572</v>
      </c>
      <c r="D221" s="13">
        <f>D218+D219-D220</f>
        <v>53026.249</v>
      </c>
      <c r="E221" s="15">
        <f t="shared" si="1"/>
        <v>2024</v>
      </c>
      <c r="F221" s="15">
        <f t="shared" si="2"/>
        <v>9</v>
      </c>
      <c r="G221" s="15">
        <f t="shared" si="3"/>
        <v>24</v>
      </c>
    </row>
    <row r="222">
      <c r="A222" s="10" t="s">
        <v>27</v>
      </c>
      <c r="B222" s="9">
        <f t="shared" si="4"/>
        <v>45560</v>
      </c>
      <c r="C222" s="77" t="s">
        <v>1569</v>
      </c>
      <c r="D222" s="12">
        <f>D221</f>
        <v>53026.249</v>
      </c>
      <c r="E222" s="15">
        <f t="shared" si="1"/>
        <v>2024</v>
      </c>
      <c r="F222" s="15">
        <f t="shared" si="2"/>
        <v>9</v>
      </c>
      <c r="G222" s="15">
        <f t="shared" si="3"/>
        <v>25</v>
      </c>
    </row>
    <row r="223">
      <c r="A223" s="10" t="s">
        <v>27</v>
      </c>
      <c r="B223" s="9">
        <f t="shared" si="4"/>
        <v>45560</v>
      </c>
      <c r="C223" s="77" t="s">
        <v>1570</v>
      </c>
      <c r="D223" s="13">
        <f>SUMIFS('Lançamentos de receitas'!$E:$E,'Lançamentos de receitas'!$A:$A,B223,'Lançamentos de receitas'!$C:$C,A223,'Lançamentos de receitas'!$F:$F,"TRANSFERÊNCIA")</f>
        <v>2865.78</v>
      </c>
      <c r="E223" s="15">
        <f t="shared" si="1"/>
        <v>2024</v>
      </c>
      <c r="F223" s="15">
        <f t="shared" si="2"/>
        <v>9</v>
      </c>
      <c r="G223" s="15">
        <f t="shared" si="3"/>
        <v>25</v>
      </c>
    </row>
    <row r="224">
      <c r="A224" s="10" t="s">
        <v>27</v>
      </c>
      <c r="B224" s="9">
        <f t="shared" si="4"/>
        <v>45560</v>
      </c>
      <c r="C224" s="77" t="s">
        <v>1571</v>
      </c>
      <c r="D224" s="13">
        <f>SUMIFS('Lançamentos de despesas'!$K:$K,'Lançamentos de despesas'!$C:$C,B224,'Lançamentos de despesas'!$G:$G,A224,'Lançamentos de despesas'!$E:$E,"pago")</f>
        <v>164.97</v>
      </c>
      <c r="E224" s="15">
        <f t="shared" si="1"/>
        <v>2024</v>
      </c>
      <c r="F224" s="15">
        <f t="shared" si="2"/>
        <v>9</v>
      </c>
      <c r="G224" s="15">
        <f t="shared" si="3"/>
        <v>25</v>
      </c>
    </row>
    <row r="225">
      <c r="A225" s="10" t="s">
        <v>27</v>
      </c>
      <c r="B225" s="9">
        <f t="shared" si="4"/>
        <v>45560</v>
      </c>
      <c r="C225" s="77" t="s">
        <v>1572</v>
      </c>
      <c r="D225" s="13">
        <f>D222+D223-D224</f>
        <v>55727.059</v>
      </c>
      <c r="E225" s="15">
        <f t="shared" si="1"/>
        <v>2024</v>
      </c>
      <c r="F225" s="15">
        <f t="shared" si="2"/>
        <v>9</v>
      </c>
      <c r="G225" s="15">
        <f t="shared" si="3"/>
        <v>25</v>
      </c>
    </row>
    <row r="226">
      <c r="A226" s="10" t="s">
        <v>27</v>
      </c>
      <c r="B226" s="9">
        <f t="shared" si="4"/>
        <v>45561</v>
      </c>
      <c r="C226" s="77" t="s">
        <v>1569</v>
      </c>
      <c r="D226" s="12">
        <f>D225</f>
        <v>55727.059</v>
      </c>
      <c r="E226" s="15">
        <f t="shared" si="1"/>
        <v>2024</v>
      </c>
      <c r="F226" s="15">
        <f t="shared" si="2"/>
        <v>9</v>
      </c>
      <c r="G226" s="15">
        <f t="shared" si="3"/>
        <v>26</v>
      </c>
    </row>
    <row r="227">
      <c r="A227" s="10" t="s">
        <v>27</v>
      </c>
      <c r="B227" s="9">
        <f t="shared" si="4"/>
        <v>45561</v>
      </c>
      <c r="C227" s="77" t="s">
        <v>1570</v>
      </c>
      <c r="D227" s="13">
        <f>SUMIFS('Lançamentos de receitas'!$E:$E,'Lançamentos de receitas'!$A:$A,B227,'Lançamentos de receitas'!$C:$C,A227,'Lançamentos de receitas'!$F:$F,"TRANSFERÊNCIA")</f>
        <v>1107.22</v>
      </c>
      <c r="E227" s="15">
        <f t="shared" si="1"/>
        <v>2024</v>
      </c>
      <c r="F227" s="15">
        <f t="shared" si="2"/>
        <v>9</v>
      </c>
      <c r="G227" s="15">
        <f t="shared" si="3"/>
        <v>26</v>
      </c>
    </row>
    <row r="228">
      <c r="A228" s="10" t="s">
        <v>27</v>
      </c>
      <c r="B228" s="9">
        <f t="shared" si="4"/>
        <v>45561</v>
      </c>
      <c r="C228" s="77" t="s">
        <v>1571</v>
      </c>
      <c r="D228" s="13">
        <f>SUMIFS('Lançamentos de despesas'!$K:$K,'Lançamentos de despesas'!$C:$C,B228,'Lançamentos de despesas'!$G:$G,A228,'Lançamentos de despesas'!$E:$E,"pago")</f>
        <v>990</v>
      </c>
      <c r="E228" s="15">
        <f t="shared" si="1"/>
        <v>2024</v>
      </c>
      <c r="F228" s="15">
        <f t="shared" si="2"/>
        <v>9</v>
      </c>
      <c r="G228" s="15">
        <f t="shared" si="3"/>
        <v>26</v>
      </c>
    </row>
    <row r="229">
      <c r="A229" s="10" t="s">
        <v>27</v>
      </c>
      <c r="B229" s="9">
        <f t="shared" si="4"/>
        <v>45561</v>
      </c>
      <c r="C229" s="77" t="s">
        <v>1572</v>
      </c>
      <c r="D229" s="13">
        <f>D226+D227-D228</f>
        <v>55844.279</v>
      </c>
      <c r="E229" s="15">
        <f t="shared" si="1"/>
        <v>2024</v>
      </c>
      <c r="F229" s="15">
        <f t="shared" si="2"/>
        <v>9</v>
      </c>
      <c r="G229" s="15">
        <f t="shared" si="3"/>
        <v>26</v>
      </c>
    </row>
    <row r="230">
      <c r="A230" s="10" t="s">
        <v>27</v>
      </c>
      <c r="B230" s="9">
        <f t="shared" si="4"/>
        <v>45562</v>
      </c>
      <c r="C230" s="77" t="s">
        <v>1569</v>
      </c>
      <c r="D230" s="12">
        <f>D229</f>
        <v>55844.279</v>
      </c>
      <c r="E230" s="15">
        <f t="shared" si="1"/>
        <v>2024</v>
      </c>
      <c r="F230" s="15">
        <f t="shared" si="2"/>
        <v>9</v>
      </c>
      <c r="G230" s="15">
        <f t="shared" si="3"/>
        <v>27</v>
      </c>
    </row>
    <row r="231">
      <c r="A231" s="10" t="s">
        <v>27</v>
      </c>
      <c r="B231" s="9">
        <f t="shared" si="4"/>
        <v>45562</v>
      </c>
      <c r="C231" s="77" t="s">
        <v>1570</v>
      </c>
      <c r="D231" s="13">
        <f>SUMIFS('Lançamentos de receitas'!$E:$E,'Lançamentos de receitas'!$A:$A,B231,'Lançamentos de receitas'!$C:$C,A231,'Lançamentos de receitas'!$F:$F,"TRANSFERÊNCIA")</f>
        <v>1810.82</v>
      </c>
      <c r="E231" s="15">
        <f t="shared" si="1"/>
        <v>2024</v>
      </c>
      <c r="F231" s="15">
        <f t="shared" si="2"/>
        <v>9</v>
      </c>
      <c r="G231" s="15">
        <f t="shared" si="3"/>
        <v>27</v>
      </c>
    </row>
    <row r="232">
      <c r="A232" s="10" t="s">
        <v>27</v>
      </c>
      <c r="B232" s="9">
        <f t="shared" si="4"/>
        <v>45562</v>
      </c>
      <c r="C232" s="77" t="s">
        <v>1571</v>
      </c>
      <c r="D232" s="13">
        <f>SUMIFS('Lançamentos de despesas'!$K:$K,'Lançamentos de despesas'!$C:$C,B232,'Lançamentos de despesas'!$G:$G,A232,'Lançamentos de despesas'!$E:$E,"pago")</f>
        <v>0</v>
      </c>
      <c r="E232" s="15">
        <f t="shared" si="1"/>
        <v>2024</v>
      </c>
      <c r="F232" s="15">
        <f t="shared" si="2"/>
        <v>9</v>
      </c>
      <c r="G232" s="15">
        <f t="shared" si="3"/>
        <v>27</v>
      </c>
    </row>
    <row r="233">
      <c r="A233" s="10" t="s">
        <v>27</v>
      </c>
      <c r="B233" s="9">
        <f t="shared" si="4"/>
        <v>45562</v>
      </c>
      <c r="C233" s="77" t="s">
        <v>1572</v>
      </c>
      <c r="D233" s="13">
        <f>D230+D231-D232</f>
        <v>57655.099</v>
      </c>
      <c r="E233" s="15">
        <f t="shared" si="1"/>
        <v>2024</v>
      </c>
      <c r="F233" s="15">
        <f t="shared" si="2"/>
        <v>9</v>
      </c>
      <c r="G233" s="15">
        <f t="shared" si="3"/>
        <v>27</v>
      </c>
    </row>
    <row r="234">
      <c r="A234" s="10" t="s">
        <v>27</v>
      </c>
      <c r="B234" s="9">
        <f t="shared" si="4"/>
        <v>45563</v>
      </c>
      <c r="C234" s="77" t="s">
        <v>1569</v>
      </c>
      <c r="D234" s="12">
        <f>D233</f>
        <v>57655.099</v>
      </c>
      <c r="E234" s="15">
        <f t="shared" si="1"/>
        <v>2024</v>
      </c>
      <c r="F234" s="15">
        <f t="shared" si="2"/>
        <v>9</v>
      </c>
      <c r="G234" s="15">
        <f t="shared" si="3"/>
        <v>28</v>
      </c>
    </row>
    <row r="235">
      <c r="A235" s="10" t="s">
        <v>27</v>
      </c>
      <c r="B235" s="9">
        <f t="shared" si="4"/>
        <v>45563</v>
      </c>
      <c r="C235" s="77" t="s">
        <v>1570</v>
      </c>
      <c r="D235" s="13">
        <f>SUMIFS('Lançamentos de receitas'!$E:$E,'Lançamentos de receitas'!$A:$A,B235,'Lançamentos de receitas'!$C:$C,A235,'Lançamentos de receitas'!$F:$F,"TRANSFERÊNCIA")</f>
        <v>1168.59</v>
      </c>
      <c r="E235" s="15">
        <f t="shared" si="1"/>
        <v>2024</v>
      </c>
      <c r="F235" s="15">
        <f t="shared" si="2"/>
        <v>9</v>
      </c>
      <c r="G235" s="15">
        <f t="shared" si="3"/>
        <v>28</v>
      </c>
    </row>
    <row r="236">
      <c r="A236" s="10" t="s">
        <v>27</v>
      </c>
      <c r="B236" s="9">
        <f t="shared" si="4"/>
        <v>45563</v>
      </c>
      <c r="C236" s="77" t="s">
        <v>1571</v>
      </c>
      <c r="D236" s="13">
        <f>SUMIFS('Lançamentos de despesas'!$K:$K,'Lançamentos de despesas'!$C:$C,B236,'Lançamentos de despesas'!$G:$G,A236,'Lançamentos de despesas'!$E:$E,"pago")</f>
        <v>0</v>
      </c>
      <c r="E236" s="15">
        <f t="shared" si="1"/>
        <v>2024</v>
      </c>
      <c r="F236" s="15">
        <f t="shared" si="2"/>
        <v>9</v>
      </c>
      <c r="G236" s="15">
        <f t="shared" si="3"/>
        <v>28</v>
      </c>
    </row>
    <row r="237">
      <c r="A237" s="10" t="s">
        <v>27</v>
      </c>
      <c r="B237" s="9">
        <f t="shared" si="4"/>
        <v>45563</v>
      </c>
      <c r="C237" s="77" t="s">
        <v>1572</v>
      </c>
      <c r="D237" s="13">
        <f>D234+D235-D236</f>
        <v>58823.689</v>
      </c>
      <c r="E237" s="15">
        <f t="shared" si="1"/>
        <v>2024</v>
      </c>
      <c r="F237" s="15">
        <f t="shared" si="2"/>
        <v>9</v>
      </c>
      <c r="G237" s="15">
        <f t="shared" si="3"/>
        <v>28</v>
      </c>
    </row>
    <row r="238">
      <c r="A238" s="10" t="s">
        <v>27</v>
      </c>
      <c r="B238" s="9">
        <f t="shared" si="4"/>
        <v>45564</v>
      </c>
      <c r="C238" s="77" t="s">
        <v>1569</v>
      </c>
      <c r="D238" s="12">
        <f>D237</f>
        <v>58823.689</v>
      </c>
      <c r="E238" s="15">
        <f t="shared" si="1"/>
        <v>2024</v>
      </c>
      <c r="F238" s="15">
        <f t="shared" si="2"/>
        <v>9</v>
      </c>
      <c r="G238" s="15">
        <f t="shared" si="3"/>
        <v>29</v>
      </c>
    </row>
    <row r="239">
      <c r="A239" s="10" t="s">
        <v>27</v>
      </c>
      <c r="B239" s="9">
        <f t="shared" si="4"/>
        <v>45564</v>
      </c>
      <c r="C239" s="77" t="s">
        <v>1570</v>
      </c>
      <c r="D239" s="13">
        <f>SUMIFS('Lançamentos de receitas'!$E:$E,'Lançamentos de receitas'!$A:$A,B239,'Lançamentos de receitas'!$C:$C,A239,'Lançamentos de receitas'!$F:$F,"TRANSFERÊNCIA")</f>
        <v>1738.23</v>
      </c>
      <c r="E239" s="15">
        <f t="shared" si="1"/>
        <v>2024</v>
      </c>
      <c r="F239" s="15">
        <f t="shared" si="2"/>
        <v>9</v>
      </c>
      <c r="G239" s="15">
        <f t="shared" si="3"/>
        <v>29</v>
      </c>
    </row>
    <row r="240">
      <c r="A240" s="10" t="s">
        <v>27</v>
      </c>
      <c r="B240" s="9">
        <f t="shared" si="4"/>
        <v>45564</v>
      </c>
      <c r="C240" s="77" t="s">
        <v>1571</v>
      </c>
      <c r="D240" s="13">
        <f>SUMIFS('Lançamentos de despesas'!$K:$K,'Lançamentos de despesas'!$C:$C,B240,'Lançamentos de despesas'!$G:$G,A240,'Lançamentos de despesas'!$E:$E,"pago")</f>
        <v>0</v>
      </c>
      <c r="E240" s="15">
        <f t="shared" si="1"/>
        <v>2024</v>
      </c>
      <c r="F240" s="15">
        <f t="shared" si="2"/>
        <v>9</v>
      </c>
      <c r="G240" s="15">
        <f t="shared" si="3"/>
        <v>29</v>
      </c>
    </row>
    <row r="241">
      <c r="A241" s="10" t="s">
        <v>27</v>
      </c>
      <c r="B241" s="9">
        <f t="shared" si="4"/>
        <v>45564</v>
      </c>
      <c r="C241" s="77" t="s">
        <v>1572</v>
      </c>
      <c r="D241" s="13">
        <f>D238+D239-D240</f>
        <v>60561.919</v>
      </c>
      <c r="E241" s="15">
        <f t="shared" si="1"/>
        <v>2024</v>
      </c>
      <c r="F241" s="15">
        <f t="shared" si="2"/>
        <v>9</v>
      </c>
      <c r="G241" s="15">
        <f t="shared" si="3"/>
        <v>29</v>
      </c>
    </row>
    <row r="242">
      <c r="A242" s="10" t="s">
        <v>27</v>
      </c>
      <c r="B242" s="9">
        <f t="shared" si="4"/>
        <v>45565</v>
      </c>
      <c r="C242" s="77" t="s">
        <v>1569</v>
      </c>
      <c r="D242" s="12">
        <f>D241</f>
        <v>60561.919</v>
      </c>
      <c r="E242" s="15">
        <f t="shared" si="1"/>
        <v>2024</v>
      </c>
      <c r="F242" s="15">
        <f t="shared" si="2"/>
        <v>9</v>
      </c>
      <c r="G242" s="15">
        <f t="shared" si="3"/>
        <v>30</v>
      </c>
    </row>
    <row r="243">
      <c r="A243" s="10" t="s">
        <v>27</v>
      </c>
      <c r="B243" s="9">
        <f t="shared" si="4"/>
        <v>45565</v>
      </c>
      <c r="C243" s="77" t="s">
        <v>1570</v>
      </c>
      <c r="D243" s="13">
        <f>SUMIFS('Lançamentos de receitas'!$E:$E,'Lançamentos de receitas'!$A:$A,B243,'Lançamentos de receitas'!$C:$C,A243,'Lançamentos de receitas'!$F:$F,"TRANSFERÊNCIA")</f>
        <v>0</v>
      </c>
      <c r="E243" s="15">
        <f t="shared" si="1"/>
        <v>2024</v>
      </c>
      <c r="F243" s="15">
        <f t="shared" si="2"/>
        <v>9</v>
      </c>
      <c r="G243" s="15">
        <f t="shared" si="3"/>
        <v>30</v>
      </c>
    </row>
    <row r="244">
      <c r="A244" s="10" t="s">
        <v>27</v>
      </c>
      <c r="B244" s="9">
        <f t="shared" si="4"/>
        <v>45565</v>
      </c>
      <c r="C244" s="77" t="s">
        <v>1571</v>
      </c>
      <c r="D244" s="13">
        <f>SUMIFS('Lançamentos de despesas'!$K:$K,'Lançamentos de despesas'!$C:$C,B244,'Lançamentos de despesas'!$G:$G,A244,'Lançamentos de despesas'!$E:$E,"pago")</f>
        <v>9361.03</v>
      </c>
      <c r="E244" s="15">
        <f t="shared" si="1"/>
        <v>2024</v>
      </c>
      <c r="F244" s="15">
        <f t="shared" si="2"/>
        <v>9</v>
      </c>
      <c r="G244" s="15">
        <f t="shared" si="3"/>
        <v>30</v>
      </c>
    </row>
    <row r="245">
      <c r="A245" s="10" t="s">
        <v>27</v>
      </c>
      <c r="B245" s="9">
        <f t="shared" si="4"/>
        <v>45565</v>
      </c>
      <c r="C245" s="77" t="s">
        <v>1572</v>
      </c>
      <c r="D245" s="13">
        <f>D242+D243-D244</f>
        <v>51200.889</v>
      </c>
      <c r="E245" s="15">
        <f t="shared" si="1"/>
        <v>2024</v>
      </c>
      <c r="F245" s="15">
        <f t="shared" si="2"/>
        <v>9</v>
      </c>
      <c r="G245" s="15">
        <f t="shared" si="3"/>
        <v>30</v>
      </c>
    </row>
    <row r="246">
      <c r="A246" s="10" t="s">
        <v>27</v>
      </c>
      <c r="B246" s="9">
        <f t="shared" si="4"/>
        <v>45566</v>
      </c>
      <c r="C246" s="77" t="s">
        <v>1569</v>
      </c>
      <c r="D246" s="12">
        <f>D245</f>
        <v>51200.889</v>
      </c>
      <c r="E246" s="15">
        <f t="shared" si="1"/>
        <v>2024</v>
      </c>
      <c r="F246" s="15">
        <f t="shared" si="2"/>
        <v>10</v>
      </c>
      <c r="G246" s="15">
        <f t="shared" si="3"/>
        <v>1</v>
      </c>
    </row>
    <row r="247">
      <c r="A247" s="10" t="s">
        <v>27</v>
      </c>
      <c r="B247" s="9">
        <f t="shared" si="4"/>
        <v>45566</v>
      </c>
      <c r="C247" s="77" t="s">
        <v>1570</v>
      </c>
      <c r="D247" s="13">
        <f>SUMIFS('Lançamentos de receitas'!$E:$E,'Lançamentos de receitas'!$A:$A,B247,'Lançamentos de receitas'!$C:$C,A247,'Lançamentos de receitas'!$F:$F,"TRANSFERÊNCIA")</f>
        <v>1035.22</v>
      </c>
      <c r="E247" s="15">
        <f t="shared" si="1"/>
        <v>2024</v>
      </c>
      <c r="F247" s="15">
        <f t="shared" si="2"/>
        <v>10</v>
      </c>
      <c r="G247" s="15">
        <f t="shared" si="3"/>
        <v>1</v>
      </c>
    </row>
    <row r="248">
      <c r="A248" s="10" t="s">
        <v>27</v>
      </c>
      <c r="B248" s="9">
        <f t="shared" si="4"/>
        <v>45566</v>
      </c>
      <c r="C248" s="77" t="s">
        <v>1571</v>
      </c>
      <c r="D248" s="13">
        <f>SUMIFS('Lançamentos de despesas'!$K:$K,'Lançamentos de despesas'!$C:$C,B248,'Lançamentos de despesas'!$G:$G,A248,'Lançamentos de despesas'!$E:$E,"pago")</f>
        <v>10804.66</v>
      </c>
      <c r="E248" s="15">
        <f t="shared" si="1"/>
        <v>2024</v>
      </c>
      <c r="F248" s="15">
        <f t="shared" si="2"/>
        <v>10</v>
      </c>
      <c r="G248" s="15">
        <f t="shared" si="3"/>
        <v>1</v>
      </c>
    </row>
    <row r="249">
      <c r="A249" s="10" t="s">
        <v>27</v>
      </c>
      <c r="B249" s="9">
        <f t="shared" si="4"/>
        <v>45566</v>
      </c>
      <c r="C249" s="77" t="s">
        <v>1572</v>
      </c>
      <c r="D249" s="13">
        <f>D246+D247-D248</f>
        <v>41431.449</v>
      </c>
      <c r="E249" s="15">
        <f t="shared" si="1"/>
        <v>2024</v>
      </c>
      <c r="F249" s="15">
        <f t="shared" si="2"/>
        <v>10</v>
      </c>
      <c r="G249" s="15">
        <f t="shared" si="3"/>
        <v>1</v>
      </c>
    </row>
    <row r="250">
      <c r="A250" s="10" t="s">
        <v>27</v>
      </c>
      <c r="B250" s="9">
        <f t="shared" si="4"/>
        <v>45567</v>
      </c>
      <c r="C250" s="77" t="s">
        <v>1569</v>
      </c>
      <c r="D250" s="12">
        <f>D249</f>
        <v>41431.449</v>
      </c>
      <c r="E250" s="15">
        <f t="shared" si="1"/>
        <v>2024</v>
      </c>
      <c r="F250" s="15">
        <f t="shared" si="2"/>
        <v>10</v>
      </c>
      <c r="G250" s="15">
        <f t="shared" si="3"/>
        <v>2</v>
      </c>
    </row>
    <row r="251">
      <c r="A251" s="10" t="s">
        <v>27</v>
      </c>
      <c r="B251" s="9">
        <f t="shared" si="4"/>
        <v>45567</v>
      </c>
      <c r="C251" s="77" t="s">
        <v>1570</v>
      </c>
      <c r="D251" s="13">
        <f>SUMIFS('Lançamentos de receitas'!$E:$E,'Lançamentos de receitas'!$A:$A,B251,'Lançamentos de receitas'!$C:$C,A251,'Lançamentos de receitas'!$F:$F,"TRANSFERÊNCIA")</f>
        <v>3580.23</v>
      </c>
      <c r="E251" s="15">
        <f t="shared" si="1"/>
        <v>2024</v>
      </c>
      <c r="F251" s="15">
        <f t="shared" si="2"/>
        <v>10</v>
      </c>
      <c r="G251" s="15">
        <f t="shared" si="3"/>
        <v>2</v>
      </c>
    </row>
    <row r="252">
      <c r="A252" s="10" t="s">
        <v>27</v>
      </c>
      <c r="B252" s="9">
        <f t="shared" si="4"/>
        <v>45567</v>
      </c>
      <c r="C252" s="77" t="s">
        <v>1571</v>
      </c>
      <c r="D252" s="13">
        <f>SUMIFS('Lançamentos de despesas'!$K:$K,'Lançamentos de despesas'!$C:$C,B252,'Lançamentos de despesas'!$G:$G,A252,'Lançamentos de despesas'!$E:$E,"pago")</f>
        <v>513.09</v>
      </c>
      <c r="E252" s="15">
        <f t="shared" si="1"/>
        <v>2024</v>
      </c>
      <c r="F252" s="15">
        <f t="shared" si="2"/>
        <v>10</v>
      </c>
      <c r="G252" s="15">
        <f t="shared" si="3"/>
        <v>2</v>
      </c>
    </row>
    <row r="253">
      <c r="A253" s="10" t="s">
        <v>27</v>
      </c>
      <c r="B253" s="9">
        <f t="shared" si="4"/>
        <v>45567</v>
      </c>
      <c r="C253" s="77" t="s">
        <v>1572</v>
      </c>
      <c r="D253" s="13">
        <f>D250+D251-D252</f>
        <v>44498.589</v>
      </c>
      <c r="E253" s="15">
        <f t="shared" si="1"/>
        <v>2024</v>
      </c>
      <c r="F253" s="15">
        <f t="shared" si="2"/>
        <v>10</v>
      </c>
      <c r="G253" s="15">
        <f t="shared" si="3"/>
        <v>2</v>
      </c>
    </row>
    <row r="254">
      <c r="A254" s="10" t="s">
        <v>27</v>
      </c>
      <c r="B254" s="9">
        <f t="shared" si="4"/>
        <v>45568</v>
      </c>
      <c r="C254" s="77" t="s">
        <v>1569</v>
      </c>
      <c r="D254" s="12">
        <f>D253</f>
        <v>44498.589</v>
      </c>
      <c r="E254" s="15">
        <f t="shared" si="1"/>
        <v>2024</v>
      </c>
      <c r="F254" s="15">
        <f t="shared" si="2"/>
        <v>10</v>
      </c>
      <c r="G254" s="15">
        <f t="shared" si="3"/>
        <v>3</v>
      </c>
    </row>
    <row r="255">
      <c r="A255" s="10" t="s">
        <v>27</v>
      </c>
      <c r="B255" s="9">
        <f t="shared" si="4"/>
        <v>45568</v>
      </c>
      <c r="C255" s="77" t="s">
        <v>1570</v>
      </c>
      <c r="D255" s="13">
        <f>SUMIFS('Lançamentos de receitas'!$E:$E,'Lançamentos de receitas'!$A:$A,B255,'Lançamentos de receitas'!$C:$C,A255,'Lançamentos de receitas'!$F:$F,"TRANSFERÊNCIA")</f>
        <v>9565.12</v>
      </c>
      <c r="E255" s="15">
        <f t="shared" si="1"/>
        <v>2024</v>
      </c>
      <c r="F255" s="15">
        <f t="shared" si="2"/>
        <v>10</v>
      </c>
      <c r="G255" s="15">
        <f t="shared" si="3"/>
        <v>3</v>
      </c>
    </row>
    <row r="256">
      <c r="A256" s="10" t="s">
        <v>27</v>
      </c>
      <c r="B256" s="9">
        <f t="shared" si="4"/>
        <v>45568</v>
      </c>
      <c r="C256" s="77" t="s">
        <v>1571</v>
      </c>
      <c r="D256" s="13">
        <f>SUMIFS('Lançamentos de despesas'!$K:$K,'Lançamentos de despesas'!$C:$C,B256,'Lançamentos de despesas'!$G:$G,A256,'Lançamentos de despesas'!$E:$E,"pago")</f>
        <v>2346.67</v>
      </c>
      <c r="E256" s="15">
        <f t="shared" si="1"/>
        <v>2024</v>
      </c>
      <c r="F256" s="15">
        <f t="shared" si="2"/>
        <v>10</v>
      </c>
      <c r="G256" s="15">
        <f t="shared" si="3"/>
        <v>3</v>
      </c>
    </row>
    <row r="257">
      <c r="A257" s="10" t="s">
        <v>27</v>
      </c>
      <c r="B257" s="9">
        <f t="shared" si="4"/>
        <v>45568</v>
      </c>
      <c r="C257" s="77" t="s">
        <v>1572</v>
      </c>
      <c r="D257" s="13">
        <f>D254+D255-D256</f>
        <v>51717.039</v>
      </c>
      <c r="E257" s="15">
        <f t="shared" si="1"/>
        <v>2024</v>
      </c>
      <c r="F257" s="15">
        <f t="shared" si="2"/>
        <v>10</v>
      </c>
      <c r="G257" s="15">
        <f t="shared" si="3"/>
        <v>3</v>
      </c>
    </row>
    <row r="258">
      <c r="A258" s="10" t="s">
        <v>27</v>
      </c>
      <c r="B258" s="9">
        <f t="shared" si="4"/>
        <v>45569</v>
      </c>
      <c r="C258" s="77" t="s">
        <v>1569</v>
      </c>
      <c r="D258" s="12">
        <f>D257</f>
        <v>51717.039</v>
      </c>
      <c r="E258" s="15">
        <f t="shared" si="1"/>
        <v>2024</v>
      </c>
      <c r="F258" s="15">
        <f t="shared" si="2"/>
        <v>10</v>
      </c>
      <c r="G258" s="15">
        <f t="shared" si="3"/>
        <v>4</v>
      </c>
    </row>
    <row r="259">
      <c r="A259" s="10" t="s">
        <v>27</v>
      </c>
      <c r="B259" s="9">
        <f t="shared" si="4"/>
        <v>45569</v>
      </c>
      <c r="C259" s="77" t="s">
        <v>1570</v>
      </c>
      <c r="D259" s="13">
        <f>SUMIFS('Lançamentos de receitas'!$E:$E,'Lançamentos de receitas'!$A:$A,B259,'Lançamentos de receitas'!$C:$C,A259,'Lançamentos de receitas'!$F:$F,"TRANSFERÊNCIA")</f>
        <v>6297.59</v>
      </c>
      <c r="E259" s="15">
        <f t="shared" si="1"/>
        <v>2024</v>
      </c>
      <c r="F259" s="15">
        <f t="shared" si="2"/>
        <v>10</v>
      </c>
      <c r="G259" s="15">
        <f t="shared" si="3"/>
        <v>4</v>
      </c>
    </row>
    <row r="260">
      <c r="A260" s="10" t="s">
        <v>27</v>
      </c>
      <c r="B260" s="9">
        <f t="shared" si="4"/>
        <v>45569</v>
      </c>
      <c r="C260" s="77" t="s">
        <v>1571</v>
      </c>
      <c r="D260" s="13">
        <f>SUMIFS('Lançamentos de despesas'!$K:$K,'Lançamentos de despesas'!$C:$C,B260,'Lançamentos de despesas'!$G:$G,A260,'Lançamentos de despesas'!$E:$E,"pago")</f>
        <v>0</v>
      </c>
      <c r="E260" s="15">
        <f t="shared" si="1"/>
        <v>2024</v>
      </c>
      <c r="F260" s="15">
        <f t="shared" si="2"/>
        <v>10</v>
      </c>
      <c r="G260" s="15">
        <f t="shared" si="3"/>
        <v>4</v>
      </c>
    </row>
    <row r="261">
      <c r="A261" s="10" t="s">
        <v>27</v>
      </c>
      <c r="B261" s="9">
        <f t="shared" si="4"/>
        <v>45569</v>
      </c>
      <c r="C261" s="77" t="s">
        <v>1572</v>
      </c>
      <c r="D261" s="13">
        <f>D258+D259-D260</f>
        <v>58014.629</v>
      </c>
      <c r="E261" s="15">
        <f t="shared" si="1"/>
        <v>2024</v>
      </c>
      <c r="F261" s="15">
        <f t="shared" si="2"/>
        <v>10</v>
      </c>
      <c r="G261" s="15">
        <f t="shared" si="3"/>
        <v>4</v>
      </c>
    </row>
    <row r="262">
      <c r="A262" s="10" t="s">
        <v>27</v>
      </c>
      <c r="B262" s="9">
        <f t="shared" si="4"/>
        <v>45570</v>
      </c>
      <c r="C262" s="77" t="s">
        <v>1569</v>
      </c>
      <c r="D262" s="12">
        <f>D261</f>
        <v>58014.629</v>
      </c>
      <c r="E262" s="15">
        <f t="shared" si="1"/>
        <v>2024</v>
      </c>
      <c r="F262" s="15">
        <f t="shared" si="2"/>
        <v>10</v>
      </c>
      <c r="G262" s="15">
        <f t="shared" si="3"/>
        <v>5</v>
      </c>
    </row>
    <row r="263">
      <c r="A263" s="10" t="s">
        <v>27</v>
      </c>
      <c r="B263" s="9">
        <f t="shared" si="4"/>
        <v>45570</v>
      </c>
      <c r="C263" s="77" t="s">
        <v>1570</v>
      </c>
      <c r="D263" s="13">
        <f>SUMIFS('Lançamentos de receitas'!$E:$E,'Lançamentos de receitas'!$A:$A,B263,'Lançamentos de receitas'!$C:$C,A263,'Lançamentos de receitas'!$F:$F,"TRANSFERÊNCIA")</f>
        <v>1328.86</v>
      </c>
      <c r="E263" s="15">
        <f t="shared" si="1"/>
        <v>2024</v>
      </c>
      <c r="F263" s="15">
        <f t="shared" si="2"/>
        <v>10</v>
      </c>
      <c r="G263" s="15">
        <f t="shared" si="3"/>
        <v>5</v>
      </c>
    </row>
    <row r="264">
      <c r="A264" s="10" t="s">
        <v>27</v>
      </c>
      <c r="B264" s="9">
        <f t="shared" si="4"/>
        <v>45570</v>
      </c>
      <c r="C264" s="77" t="s">
        <v>1571</v>
      </c>
      <c r="D264" s="13">
        <f>SUMIFS('Lançamentos de despesas'!$K:$K,'Lançamentos de despesas'!$C:$C,B264,'Lançamentos de despesas'!$G:$G,A264,'Lançamentos de despesas'!$E:$E,"pago")</f>
        <v>0</v>
      </c>
      <c r="E264" s="15">
        <f t="shared" si="1"/>
        <v>2024</v>
      </c>
      <c r="F264" s="15">
        <f t="shared" si="2"/>
        <v>10</v>
      </c>
      <c r="G264" s="15">
        <f t="shared" si="3"/>
        <v>5</v>
      </c>
    </row>
    <row r="265">
      <c r="A265" s="10" t="s">
        <v>27</v>
      </c>
      <c r="B265" s="9">
        <f t="shared" si="4"/>
        <v>45570</v>
      </c>
      <c r="C265" s="77" t="s">
        <v>1572</v>
      </c>
      <c r="D265" s="13">
        <f>D262+D263-D264</f>
        <v>59343.489</v>
      </c>
      <c r="E265" s="15">
        <f t="shared" si="1"/>
        <v>2024</v>
      </c>
      <c r="F265" s="15">
        <f t="shared" si="2"/>
        <v>10</v>
      </c>
      <c r="G265" s="15">
        <f t="shared" si="3"/>
        <v>5</v>
      </c>
    </row>
    <row r="266">
      <c r="A266" s="10" t="s">
        <v>27</v>
      </c>
      <c r="B266" s="9">
        <f t="shared" si="4"/>
        <v>45571</v>
      </c>
      <c r="C266" s="77" t="s">
        <v>1569</v>
      </c>
      <c r="D266" s="12">
        <f>D265</f>
        <v>59343.489</v>
      </c>
      <c r="E266" s="15">
        <f t="shared" si="1"/>
        <v>2024</v>
      </c>
      <c r="F266" s="15">
        <f t="shared" si="2"/>
        <v>10</v>
      </c>
      <c r="G266" s="15">
        <f t="shared" si="3"/>
        <v>6</v>
      </c>
    </row>
    <row r="267">
      <c r="A267" s="10" t="s">
        <v>27</v>
      </c>
      <c r="B267" s="9">
        <f t="shared" si="4"/>
        <v>45571</v>
      </c>
      <c r="C267" s="77" t="s">
        <v>1570</v>
      </c>
      <c r="D267" s="13">
        <f>SUMIFS('Lançamentos de receitas'!$E:$E,'Lançamentos de receitas'!$A:$A,B267,'Lançamentos de receitas'!$C:$C,A267,'Lançamentos de receitas'!$F:$F,"TRANSFERÊNCIA")</f>
        <v>1896.13</v>
      </c>
      <c r="E267" s="15">
        <f t="shared" si="1"/>
        <v>2024</v>
      </c>
      <c r="F267" s="15">
        <f t="shared" si="2"/>
        <v>10</v>
      </c>
      <c r="G267" s="15">
        <f t="shared" si="3"/>
        <v>6</v>
      </c>
    </row>
    <row r="268">
      <c r="A268" s="10" t="s">
        <v>27</v>
      </c>
      <c r="B268" s="9">
        <f t="shared" si="4"/>
        <v>45571</v>
      </c>
      <c r="C268" s="77" t="s">
        <v>1571</v>
      </c>
      <c r="D268" s="13">
        <f>SUMIFS('Lançamentos de despesas'!$K:$K,'Lançamentos de despesas'!$C:$C,B268,'Lançamentos de despesas'!$G:$G,A268,'Lançamentos de despesas'!$E:$E,"pago")</f>
        <v>0</v>
      </c>
      <c r="E268" s="15">
        <f t="shared" si="1"/>
        <v>2024</v>
      </c>
      <c r="F268" s="15">
        <f t="shared" si="2"/>
        <v>10</v>
      </c>
      <c r="G268" s="15">
        <f t="shared" si="3"/>
        <v>6</v>
      </c>
    </row>
    <row r="269">
      <c r="A269" s="10" t="s">
        <v>27</v>
      </c>
      <c r="B269" s="9">
        <f t="shared" si="4"/>
        <v>45571</v>
      </c>
      <c r="C269" s="77" t="s">
        <v>1572</v>
      </c>
      <c r="D269" s="13">
        <f>D266+D267-D268</f>
        <v>61239.619</v>
      </c>
      <c r="E269" s="15">
        <f t="shared" si="1"/>
        <v>2024</v>
      </c>
      <c r="F269" s="15">
        <f t="shared" si="2"/>
        <v>10</v>
      </c>
      <c r="G269" s="15">
        <f t="shared" si="3"/>
        <v>6</v>
      </c>
    </row>
    <row r="270">
      <c r="A270" s="10" t="s">
        <v>27</v>
      </c>
      <c r="B270" s="9">
        <f t="shared" si="4"/>
        <v>45572</v>
      </c>
      <c r="C270" s="77" t="s">
        <v>1569</v>
      </c>
      <c r="D270" s="12">
        <f>D269</f>
        <v>61239.619</v>
      </c>
      <c r="E270" s="15">
        <f t="shared" si="1"/>
        <v>2024</v>
      </c>
      <c r="F270" s="15">
        <f t="shared" si="2"/>
        <v>10</v>
      </c>
      <c r="G270" s="15">
        <f t="shared" si="3"/>
        <v>7</v>
      </c>
    </row>
    <row r="271">
      <c r="A271" s="10" t="s">
        <v>27</v>
      </c>
      <c r="B271" s="9">
        <f t="shared" si="4"/>
        <v>45572</v>
      </c>
      <c r="C271" s="77" t="s">
        <v>1570</v>
      </c>
      <c r="D271" s="13">
        <f>SUMIFS('Lançamentos de receitas'!$E:$E,'Lançamentos de receitas'!$A:$A,B271,'Lançamentos de receitas'!$C:$C,A271,'Lançamentos de receitas'!$F:$F,"TRANSFERÊNCIA")</f>
        <v>63276.03</v>
      </c>
      <c r="E271" s="15">
        <f t="shared" si="1"/>
        <v>2024</v>
      </c>
      <c r="F271" s="15">
        <f t="shared" si="2"/>
        <v>10</v>
      </c>
      <c r="G271" s="15">
        <f t="shared" si="3"/>
        <v>7</v>
      </c>
    </row>
    <row r="272">
      <c r="A272" s="10" t="s">
        <v>27</v>
      </c>
      <c r="B272" s="9">
        <f t="shared" si="4"/>
        <v>45572</v>
      </c>
      <c r="C272" s="77" t="s">
        <v>1571</v>
      </c>
      <c r="D272" s="13">
        <f>SUMIFS('Lançamentos de despesas'!$K:$K,'Lançamentos de despesas'!$C:$C,B272,'Lançamentos de despesas'!$G:$G,A272,'Lançamentos de despesas'!$E:$E,"pago")</f>
        <v>1772.17</v>
      </c>
      <c r="E272" s="15">
        <f t="shared" si="1"/>
        <v>2024</v>
      </c>
      <c r="F272" s="15">
        <f t="shared" si="2"/>
        <v>10</v>
      </c>
      <c r="G272" s="15">
        <f t="shared" si="3"/>
        <v>7</v>
      </c>
    </row>
    <row r="273">
      <c r="A273" s="10" t="s">
        <v>27</v>
      </c>
      <c r="B273" s="9">
        <f t="shared" si="4"/>
        <v>45572</v>
      </c>
      <c r="C273" s="77" t="s">
        <v>1572</v>
      </c>
      <c r="D273" s="13">
        <f>D270+D271-D272</f>
        <v>122743.479</v>
      </c>
      <c r="E273" s="15">
        <f t="shared" si="1"/>
        <v>2024</v>
      </c>
      <c r="F273" s="15">
        <f t="shared" si="2"/>
        <v>10</v>
      </c>
      <c r="G273" s="15">
        <f t="shared" si="3"/>
        <v>7</v>
      </c>
    </row>
    <row r="274">
      <c r="A274" s="10" t="s">
        <v>27</v>
      </c>
      <c r="B274" s="9">
        <f t="shared" si="4"/>
        <v>45573</v>
      </c>
      <c r="C274" s="77" t="s">
        <v>1569</v>
      </c>
      <c r="D274" s="12">
        <f>D273</f>
        <v>122743.479</v>
      </c>
      <c r="E274" s="15">
        <f t="shared" si="1"/>
        <v>2024</v>
      </c>
      <c r="F274" s="15">
        <f t="shared" si="2"/>
        <v>10</v>
      </c>
      <c r="G274" s="15">
        <f t="shared" si="3"/>
        <v>8</v>
      </c>
    </row>
    <row r="275">
      <c r="A275" s="10" t="s">
        <v>27</v>
      </c>
      <c r="B275" s="9">
        <f t="shared" si="4"/>
        <v>45573</v>
      </c>
      <c r="C275" s="77" t="s">
        <v>1570</v>
      </c>
      <c r="D275" s="13">
        <f>SUMIFS('Lançamentos de receitas'!$E:$E,'Lançamentos de receitas'!$A:$A,B275,'Lançamentos de receitas'!$C:$C,A275,'Lançamentos de receitas'!$F:$F,"TRANSFERÊNCIA")</f>
        <v>2094.18</v>
      </c>
      <c r="E275" s="15">
        <f t="shared" si="1"/>
        <v>2024</v>
      </c>
      <c r="F275" s="15">
        <f t="shared" si="2"/>
        <v>10</v>
      </c>
      <c r="G275" s="15">
        <f t="shared" si="3"/>
        <v>8</v>
      </c>
    </row>
    <row r="276">
      <c r="A276" s="10" t="s">
        <v>27</v>
      </c>
      <c r="B276" s="9">
        <f t="shared" si="4"/>
        <v>45573</v>
      </c>
      <c r="C276" s="77" t="s">
        <v>1571</v>
      </c>
      <c r="D276" s="13">
        <f>SUMIFS('Lançamentos de despesas'!$K:$K,'Lançamentos de despesas'!$C:$C,B276,'Lançamentos de despesas'!$G:$G,A276,'Lançamentos de despesas'!$E:$E,"pago")</f>
        <v>7908.17</v>
      </c>
      <c r="E276" s="15">
        <f t="shared" si="1"/>
        <v>2024</v>
      </c>
      <c r="F276" s="15">
        <f t="shared" si="2"/>
        <v>10</v>
      </c>
      <c r="G276" s="15">
        <f t="shared" si="3"/>
        <v>8</v>
      </c>
    </row>
    <row r="277">
      <c r="A277" s="10" t="s">
        <v>27</v>
      </c>
      <c r="B277" s="9">
        <f t="shared" si="4"/>
        <v>45573</v>
      </c>
      <c r="C277" s="77" t="s">
        <v>1572</v>
      </c>
      <c r="D277" s="13">
        <f>D274+D275-D276</f>
        <v>116929.489</v>
      </c>
      <c r="E277" s="15">
        <f t="shared" si="1"/>
        <v>2024</v>
      </c>
      <c r="F277" s="15">
        <f t="shared" si="2"/>
        <v>10</v>
      </c>
      <c r="G277" s="15">
        <f t="shared" si="3"/>
        <v>8</v>
      </c>
    </row>
    <row r="278">
      <c r="A278" s="10" t="s">
        <v>27</v>
      </c>
      <c r="B278" s="9">
        <f t="shared" si="4"/>
        <v>45574</v>
      </c>
      <c r="C278" s="77" t="s">
        <v>1569</v>
      </c>
      <c r="D278" s="12">
        <f>D277</f>
        <v>116929.489</v>
      </c>
      <c r="E278" s="15">
        <f t="shared" si="1"/>
        <v>2024</v>
      </c>
      <c r="F278" s="15">
        <f t="shared" si="2"/>
        <v>10</v>
      </c>
      <c r="G278" s="15">
        <f t="shared" si="3"/>
        <v>9</v>
      </c>
    </row>
    <row r="279">
      <c r="A279" s="10" t="s">
        <v>27</v>
      </c>
      <c r="B279" s="9">
        <f t="shared" si="4"/>
        <v>45574</v>
      </c>
      <c r="C279" s="77" t="s">
        <v>1570</v>
      </c>
      <c r="D279" s="13">
        <f>SUMIFS('Lançamentos de receitas'!$E:$E,'Lançamentos de receitas'!$A:$A,B279,'Lançamentos de receitas'!$C:$C,A279,'Lançamentos de receitas'!$F:$F,"TRANSFERÊNCIA")</f>
        <v>3107.02</v>
      </c>
      <c r="E279" s="15">
        <f t="shared" si="1"/>
        <v>2024</v>
      </c>
      <c r="F279" s="15">
        <f t="shared" si="2"/>
        <v>10</v>
      </c>
      <c r="G279" s="15">
        <f t="shared" si="3"/>
        <v>9</v>
      </c>
    </row>
    <row r="280">
      <c r="A280" s="10" t="s">
        <v>27</v>
      </c>
      <c r="B280" s="9">
        <f t="shared" si="4"/>
        <v>45574</v>
      </c>
      <c r="C280" s="77" t="s">
        <v>1571</v>
      </c>
      <c r="D280" s="13">
        <f>SUMIFS('Lançamentos de despesas'!$K:$K,'Lançamentos de despesas'!$C:$C,B280,'Lançamentos de despesas'!$G:$G,A280,'Lançamentos de despesas'!$E:$E,"pago")</f>
        <v>0</v>
      </c>
      <c r="E280" s="15">
        <f t="shared" si="1"/>
        <v>2024</v>
      </c>
      <c r="F280" s="15">
        <f t="shared" si="2"/>
        <v>10</v>
      </c>
      <c r="G280" s="15">
        <f t="shared" si="3"/>
        <v>9</v>
      </c>
    </row>
    <row r="281">
      <c r="A281" s="10" t="s">
        <v>27</v>
      </c>
      <c r="B281" s="9">
        <f t="shared" si="4"/>
        <v>45574</v>
      </c>
      <c r="C281" s="77" t="s">
        <v>1572</v>
      </c>
      <c r="D281" s="13">
        <f>D278+D279-D280</f>
        <v>120036.509</v>
      </c>
      <c r="E281" s="15">
        <f t="shared" si="1"/>
        <v>2024</v>
      </c>
      <c r="F281" s="15">
        <f t="shared" si="2"/>
        <v>10</v>
      </c>
      <c r="G281" s="15">
        <f t="shared" si="3"/>
        <v>9</v>
      </c>
    </row>
    <row r="282">
      <c r="A282" s="10" t="s">
        <v>27</v>
      </c>
      <c r="B282" s="9">
        <f t="shared" si="4"/>
        <v>45575</v>
      </c>
      <c r="C282" s="77" t="s">
        <v>1569</v>
      </c>
      <c r="D282" s="12">
        <f>D281</f>
        <v>120036.509</v>
      </c>
      <c r="E282" s="15">
        <f t="shared" si="1"/>
        <v>2024</v>
      </c>
      <c r="F282" s="15">
        <f t="shared" si="2"/>
        <v>10</v>
      </c>
      <c r="G282" s="15">
        <f t="shared" si="3"/>
        <v>10</v>
      </c>
    </row>
    <row r="283">
      <c r="A283" s="10" t="s">
        <v>27</v>
      </c>
      <c r="B283" s="9">
        <f t="shared" si="4"/>
        <v>45575</v>
      </c>
      <c r="C283" s="77" t="s">
        <v>1570</v>
      </c>
      <c r="D283" s="13">
        <f>SUMIFS('Lançamentos de receitas'!$E:$E,'Lançamentos de receitas'!$A:$A,B283,'Lançamentos de receitas'!$C:$C,A283,'Lançamentos de receitas'!$F:$F,"TRANSFERÊNCIA")</f>
        <v>1981.89</v>
      </c>
      <c r="E283" s="15">
        <f t="shared" si="1"/>
        <v>2024</v>
      </c>
      <c r="F283" s="15">
        <f t="shared" si="2"/>
        <v>10</v>
      </c>
      <c r="G283" s="15">
        <f t="shared" si="3"/>
        <v>10</v>
      </c>
    </row>
    <row r="284">
      <c r="A284" s="10" t="s">
        <v>27</v>
      </c>
      <c r="B284" s="9">
        <f t="shared" si="4"/>
        <v>45575</v>
      </c>
      <c r="C284" s="77" t="s">
        <v>1571</v>
      </c>
      <c r="D284" s="13">
        <f>SUMIFS('Lançamentos de despesas'!$K:$K,'Lançamentos de despesas'!$C:$C,B284,'Lançamentos de despesas'!$G:$G,A284,'Lançamentos de despesas'!$E:$E,"pago")</f>
        <v>2042.65</v>
      </c>
      <c r="E284" s="15">
        <f t="shared" si="1"/>
        <v>2024</v>
      </c>
      <c r="F284" s="15">
        <f t="shared" si="2"/>
        <v>10</v>
      </c>
      <c r="G284" s="15">
        <f t="shared" si="3"/>
        <v>10</v>
      </c>
    </row>
    <row r="285">
      <c r="A285" s="10" t="s">
        <v>27</v>
      </c>
      <c r="B285" s="9">
        <f t="shared" si="4"/>
        <v>45575</v>
      </c>
      <c r="C285" s="77" t="s">
        <v>1572</v>
      </c>
      <c r="D285" s="13">
        <f>D282+D283-D284</f>
        <v>119975.749</v>
      </c>
      <c r="E285" s="15">
        <f t="shared" si="1"/>
        <v>2024</v>
      </c>
      <c r="F285" s="15">
        <f t="shared" si="2"/>
        <v>10</v>
      </c>
      <c r="G285" s="15">
        <f t="shared" si="3"/>
        <v>10</v>
      </c>
    </row>
    <row r="286">
      <c r="A286" s="10" t="s">
        <v>27</v>
      </c>
      <c r="B286" s="9">
        <f t="shared" si="4"/>
        <v>45576</v>
      </c>
      <c r="C286" s="77" t="s">
        <v>1569</v>
      </c>
      <c r="D286" s="12">
        <f>D285</f>
        <v>119975.749</v>
      </c>
      <c r="E286" s="15">
        <f t="shared" si="1"/>
        <v>2024</v>
      </c>
      <c r="F286" s="15">
        <f t="shared" si="2"/>
        <v>10</v>
      </c>
      <c r="G286" s="15">
        <f t="shared" si="3"/>
        <v>11</v>
      </c>
    </row>
    <row r="287">
      <c r="A287" s="10" t="s">
        <v>27</v>
      </c>
      <c r="B287" s="9">
        <f t="shared" si="4"/>
        <v>45576</v>
      </c>
      <c r="C287" s="77" t="s">
        <v>1570</v>
      </c>
      <c r="D287" s="13">
        <f>SUMIFS('Lançamentos de receitas'!$E:$E,'Lançamentos de receitas'!$A:$A,B287,'Lançamentos de receitas'!$C:$C,A287,'Lançamentos de receitas'!$F:$F,"TRANSFERÊNCIA")</f>
        <v>0</v>
      </c>
      <c r="E287" s="15">
        <f t="shared" si="1"/>
        <v>2024</v>
      </c>
      <c r="F287" s="15">
        <f t="shared" si="2"/>
        <v>10</v>
      </c>
      <c r="G287" s="15">
        <f t="shared" si="3"/>
        <v>11</v>
      </c>
    </row>
    <row r="288">
      <c r="A288" s="10" t="s">
        <v>27</v>
      </c>
      <c r="B288" s="9">
        <f t="shared" si="4"/>
        <v>45576</v>
      </c>
      <c r="C288" s="77" t="s">
        <v>1571</v>
      </c>
      <c r="D288" s="13">
        <f>SUMIFS('Lançamentos de despesas'!$K:$K,'Lançamentos de despesas'!$C:$C,B288,'Lançamentos de despesas'!$G:$G,A288,'Lançamentos de despesas'!$E:$E,"pago")</f>
        <v>0</v>
      </c>
      <c r="E288" s="15">
        <f t="shared" si="1"/>
        <v>2024</v>
      </c>
      <c r="F288" s="15">
        <f t="shared" si="2"/>
        <v>10</v>
      </c>
      <c r="G288" s="15">
        <f t="shared" si="3"/>
        <v>11</v>
      </c>
    </row>
    <row r="289">
      <c r="A289" s="10" t="s">
        <v>27</v>
      </c>
      <c r="B289" s="9">
        <f t="shared" si="4"/>
        <v>45576</v>
      </c>
      <c r="C289" s="77" t="s">
        <v>1572</v>
      </c>
      <c r="D289" s="13">
        <f>D286+D287-D288</f>
        <v>119975.749</v>
      </c>
      <c r="E289" s="15">
        <f t="shared" si="1"/>
        <v>2024</v>
      </c>
      <c r="F289" s="15">
        <f t="shared" si="2"/>
        <v>10</v>
      </c>
      <c r="G289" s="15">
        <f t="shared" si="3"/>
        <v>11</v>
      </c>
    </row>
    <row r="290">
      <c r="A290" s="10" t="s">
        <v>27</v>
      </c>
      <c r="B290" s="9">
        <f t="shared" si="4"/>
        <v>45577</v>
      </c>
      <c r="C290" s="77" t="s">
        <v>1569</v>
      </c>
      <c r="D290" s="12">
        <f>D289</f>
        <v>119975.749</v>
      </c>
      <c r="E290" s="15">
        <f t="shared" si="1"/>
        <v>2024</v>
      </c>
      <c r="F290" s="15">
        <f t="shared" si="2"/>
        <v>10</v>
      </c>
      <c r="G290" s="15">
        <f t="shared" si="3"/>
        <v>12</v>
      </c>
    </row>
    <row r="291">
      <c r="A291" s="10" t="s">
        <v>27</v>
      </c>
      <c r="B291" s="9">
        <f t="shared" si="4"/>
        <v>45577</v>
      </c>
      <c r="C291" s="77" t="s">
        <v>1570</v>
      </c>
      <c r="D291" s="13">
        <f>SUMIFS('Lançamentos de receitas'!$E:$E,'Lançamentos de receitas'!$A:$A,B291,'Lançamentos de receitas'!$C:$C,A291,'Lançamentos de receitas'!$F:$F,"TRANSFERÊNCIA")</f>
        <v>2095.68</v>
      </c>
      <c r="E291" s="15">
        <f t="shared" si="1"/>
        <v>2024</v>
      </c>
      <c r="F291" s="15">
        <f t="shared" si="2"/>
        <v>10</v>
      </c>
      <c r="G291" s="15">
        <f t="shared" si="3"/>
        <v>12</v>
      </c>
    </row>
    <row r="292">
      <c r="A292" s="10" t="s">
        <v>27</v>
      </c>
      <c r="B292" s="9">
        <f t="shared" si="4"/>
        <v>45577</v>
      </c>
      <c r="C292" s="77" t="s">
        <v>1571</v>
      </c>
      <c r="D292" s="13">
        <f>SUMIFS('Lançamentos de despesas'!$K:$K,'Lançamentos de despesas'!$C:$C,B292,'Lançamentos de despesas'!$G:$G,A292,'Lançamentos de despesas'!$E:$E,"pago")</f>
        <v>0</v>
      </c>
      <c r="E292" s="15">
        <f t="shared" si="1"/>
        <v>2024</v>
      </c>
      <c r="F292" s="15">
        <f t="shared" si="2"/>
        <v>10</v>
      </c>
      <c r="G292" s="15">
        <f t="shared" si="3"/>
        <v>12</v>
      </c>
    </row>
    <row r="293">
      <c r="A293" s="10" t="s">
        <v>27</v>
      </c>
      <c r="B293" s="9">
        <f t="shared" si="4"/>
        <v>45577</v>
      </c>
      <c r="C293" s="77" t="s">
        <v>1572</v>
      </c>
      <c r="D293" s="13">
        <f>D290+D291-D292</f>
        <v>122071.429</v>
      </c>
      <c r="E293" s="15">
        <f t="shared" si="1"/>
        <v>2024</v>
      </c>
      <c r="F293" s="15">
        <f t="shared" si="2"/>
        <v>10</v>
      </c>
      <c r="G293" s="15">
        <f t="shared" si="3"/>
        <v>12</v>
      </c>
    </row>
    <row r="294">
      <c r="A294" s="10" t="s">
        <v>27</v>
      </c>
      <c r="B294" s="9">
        <f t="shared" si="4"/>
        <v>45578</v>
      </c>
      <c r="C294" s="77" t="s">
        <v>1569</v>
      </c>
      <c r="D294" s="12">
        <f>D293</f>
        <v>122071.429</v>
      </c>
      <c r="E294" s="15">
        <f t="shared" si="1"/>
        <v>2024</v>
      </c>
      <c r="F294" s="15">
        <f t="shared" si="2"/>
        <v>10</v>
      </c>
      <c r="G294" s="15">
        <f t="shared" si="3"/>
        <v>13</v>
      </c>
    </row>
    <row r="295">
      <c r="A295" s="10" t="s">
        <v>27</v>
      </c>
      <c r="B295" s="9">
        <f t="shared" si="4"/>
        <v>45578</v>
      </c>
      <c r="C295" s="77" t="s">
        <v>1570</v>
      </c>
      <c r="D295" s="13">
        <f>SUMIFS('Lançamentos de receitas'!$E:$E,'Lançamentos de receitas'!$A:$A,B295,'Lançamentos de receitas'!$C:$C,A295,'Lançamentos de receitas'!$F:$F,"TRANSFERÊNCIA")</f>
        <v>1301.08</v>
      </c>
      <c r="E295" s="15">
        <f t="shared" si="1"/>
        <v>2024</v>
      </c>
      <c r="F295" s="15">
        <f t="shared" si="2"/>
        <v>10</v>
      </c>
      <c r="G295" s="15">
        <f t="shared" si="3"/>
        <v>13</v>
      </c>
    </row>
    <row r="296">
      <c r="A296" s="10" t="s">
        <v>27</v>
      </c>
      <c r="B296" s="9">
        <f t="shared" si="4"/>
        <v>45578</v>
      </c>
      <c r="C296" s="77" t="s">
        <v>1571</v>
      </c>
      <c r="D296" s="13">
        <f>SUMIFS('Lançamentos de despesas'!$K:$K,'Lançamentos de despesas'!$C:$C,B296,'Lançamentos de despesas'!$G:$G,A296,'Lançamentos de despesas'!$E:$E,"pago")</f>
        <v>0</v>
      </c>
      <c r="E296" s="15">
        <f t="shared" si="1"/>
        <v>2024</v>
      </c>
      <c r="F296" s="15">
        <f t="shared" si="2"/>
        <v>10</v>
      </c>
      <c r="G296" s="15">
        <f t="shared" si="3"/>
        <v>13</v>
      </c>
    </row>
    <row r="297">
      <c r="A297" s="10" t="s">
        <v>27</v>
      </c>
      <c r="B297" s="9">
        <f t="shared" si="4"/>
        <v>45578</v>
      </c>
      <c r="C297" s="77" t="s">
        <v>1572</v>
      </c>
      <c r="D297" s="13">
        <f>D294+D295-D296</f>
        <v>123372.509</v>
      </c>
      <c r="E297" s="15">
        <f t="shared" si="1"/>
        <v>2024</v>
      </c>
      <c r="F297" s="15">
        <f t="shared" si="2"/>
        <v>10</v>
      </c>
      <c r="G297" s="15">
        <f t="shared" si="3"/>
        <v>13</v>
      </c>
    </row>
    <row r="298">
      <c r="A298" s="10" t="s">
        <v>27</v>
      </c>
      <c r="B298" s="9">
        <f t="shared" si="4"/>
        <v>45579</v>
      </c>
      <c r="C298" s="77" t="s">
        <v>1569</v>
      </c>
      <c r="D298" s="12">
        <f>D297</f>
        <v>123372.509</v>
      </c>
      <c r="E298" s="15">
        <f t="shared" si="1"/>
        <v>2024</v>
      </c>
      <c r="F298" s="15">
        <f t="shared" si="2"/>
        <v>10</v>
      </c>
      <c r="G298" s="15">
        <f t="shared" si="3"/>
        <v>14</v>
      </c>
    </row>
    <row r="299">
      <c r="A299" s="10" t="s">
        <v>27</v>
      </c>
      <c r="B299" s="9">
        <f t="shared" si="4"/>
        <v>45579</v>
      </c>
      <c r="C299" s="77" t="s">
        <v>1570</v>
      </c>
      <c r="D299" s="13">
        <f>SUMIFS('Lançamentos de receitas'!$E:$E,'Lançamentos de receitas'!$A:$A,B299,'Lançamentos de receitas'!$C:$C,A299,'Lançamentos de receitas'!$F:$F,"TRANSFERÊNCIA")</f>
        <v>242.72</v>
      </c>
      <c r="E299" s="15">
        <f t="shared" si="1"/>
        <v>2024</v>
      </c>
      <c r="F299" s="15">
        <f t="shared" si="2"/>
        <v>10</v>
      </c>
      <c r="G299" s="15">
        <f t="shared" si="3"/>
        <v>14</v>
      </c>
    </row>
    <row r="300">
      <c r="A300" s="10" t="s">
        <v>27</v>
      </c>
      <c r="B300" s="9">
        <f t="shared" si="4"/>
        <v>45579</v>
      </c>
      <c r="C300" s="77" t="s">
        <v>1571</v>
      </c>
      <c r="D300" s="13">
        <f>SUMIFS('Lançamentos de despesas'!$K:$K,'Lançamentos de despesas'!$C:$C,B300,'Lançamentos de despesas'!$G:$G,A300,'Lançamentos de despesas'!$E:$E,"pago")</f>
        <v>2626.21</v>
      </c>
      <c r="E300" s="15">
        <f t="shared" si="1"/>
        <v>2024</v>
      </c>
      <c r="F300" s="15">
        <f t="shared" si="2"/>
        <v>10</v>
      </c>
      <c r="G300" s="15">
        <f t="shared" si="3"/>
        <v>14</v>
      </c>
    </row>
    <row r="301">
      <c r="A301" s="10" t="s">
        <v>27</v>
      </c>
      <c r="B301" s="9">
        <f t="shared" si="4"/>
        <v>45579</v>
      </c>
      <c r="C301" s="77" t="s">
        <v>1572</v>
      </c>
      <c r="D301" s="13">
        <f>D298+D299-D300</f>
        <v>120989.019</v>
      </c>
      <c r="E301" s="15">
        <f t="shared" si="1"/>
        <v>2024</v>
      </c>
      <c r="F301" s="15">
        <f t="shared" si="2"/>
        <v>10</v>
      </c>
      <c r="G301" s="15">
        <f t="shared" si="3"/>
        <v>14</v>
      </c>
    </row>
    <row r="302">
      <c r="A302" s="10" t="s">
        <v>27</v>
      </c>
      <c r="B302" s="9">
        <f t="shared" si="4"/>
        <v>45580</v>
      </c>
      <c r="C302" s="77" t="s">
        <v>1569</v>
      </c>
      <c r="D302" s="12">
        <f>D301</f>
        <v>120989.019</v>
      </c>
      <c r="E302" s="15">
        <f t="shared" si="1"/>
        <v>2024</v>
      </c>
      <c r="F302" s="15">
        <f t="shared" si="2"/>
        <v>10</v>
      </c>
      <c r="G302" s="15">
        <f t="shared" si="3"/>
        <v>15</v>
      </c>
    </row>
    <row r="303">
      <c r="A303" s="10" t="s">
        <v>27</v>
      </c>
      <c r="B303" s="9">
        <f t="shared" si="4"/>
        <v>45580</v>
      </c>
      <c r="C303" s="77" t="s">
        <v>1570</v>
      </c>
      <c r="D303" s="13">
        <f>SUMIFS('Lançamentos de receitas'!$E:$E,'Lançamentos de receitas'!$A:$A,B303,'Lançamentos de receitas'!$C:$C,A303,'Lançamentos de receitas'!$F:$F,"TRANSFERÊNCIA")</f>
        <v>2305.95</v>
      </c>
      <c r="E303" s="15">
        <f t="shared" si="1"/>
        <v>2024</v>
      </c>
      <c r="F303" s="15">
        <f t="shared" si="2"/>
        <v>10</v>
      </c>
      <c r="G303" s="15">
        <f t="shared" si="3"/>
        <v>15</v>
      </c>
    </row>
    <row r="304">
      <c r="A304" s="10" t="s">
        <v>27</v>
      </c>
      <c r="B304" s="9">
        <f t="shared" si="4"/>
        <v>45580</v>
      </c>
      <c r="C304" s="77" t="s">
        <v>1571</v>
      </c>
      <c r="D304" s="13">
        <f>SUMIFS('Lançamentos de despesas'!$K:$K,'Lançamentos de despesas'!$C:$C,B304,'Lançamentos de despesas'!$G:$G,A304,'Lançamentos de despesas'!$E:$E,"pago")</f>
        <v>4355</v>
      </c>
      <c r="E304" s="15">
        <f t="shared" si="1"/>
        <v>2024</v>
      </c>
      <c r="F304" s="15">
        <f t="shared" si="2"/>
        <v>10</v>
      </c>
      <c r="G304" s="15">
        <f t="shared" si="3"/>
        <v>15</v>
      </c>
    </row>
    <row r="305">
      <c r="A305" s="10" t="s">
        <v>27</v>
      </c>
      <c r="B305" s="9">
        <f t="shared" si="4"/>
        <v>45580</v>
      </c>
      <c r="C305" s="77" t="s">
        <v>1572</v>
      </c>
      <c r="D305" s="13">
        <f>D302+D303-D304</f>
        <v>118939.969</v>
      </c>
      <c r="E305" s="15">
        <f t="shared" si="1"/>
        <v>2024</v>
      </c>
      <c r="F305" s="15">
        <f t="shared" si="2"/>
        <v>10</v>
      </c>
      <c r="G305" s="15">
        <f t="shared" si="3"/>
        <v>15</v>
      </c>
    </row>
    <row r="306">
      <c r="A306" s="10" t="s">
        <v>27</v>
      </c>
      <c r="B306" s="9">
        <f t="shared" si="4"/>
        <v>45581</v>
      </c>
      <c r="C306" s="77" t="s">
        <v>1569</v>
      </c>
      <c r="D306" s="12">
        <f>D305</f>
        <v>118939.969</v>
      </c>
      <c r="E306" s="15">
        <f t="shared" si="1"/>
        <v>2024</v>
      </c>
      <c r="F306" s="15">
        <f t="shared" si="2"/>
        <v>10</v>
      </c>
      <c r="G306" s="15">
        <f t="shared" si="3"/>
        <v>16</v>
      </c>
    </row>
    <row r="307">
      <c r="A307" s="10" t="s">
        <v>27</v>
      </c>
      <c r="B307" s="9">
        <f t="shared" si="4"/>
        <v>45581</v>
      </c>
      <c r="C307" s="77" t="s">
        <v>1570</v>
      </c>
      <c r="D307" s="13">
        <f>SUMIFS('Lançamentos de receitas'!$E:$E,'Lançamentos de receitas'!$A:$A,B307,'Lançamentos de receitas'!$C:$C,A307,'Lançamentos de receitas'!$F:$F,"TRANSFERÊNCIA")</f>
        <v>2105.18</v>
      </c>
      <c r="E307" s="15">
        <f t="shared" si="1"/>
        <v>2024</v>
      </c>
      <c r="F307" s="15">
        <f t="shared" si="2"/>
        <v>10</v>
      </c>
      <c r="G307" s="15">
        <f t="shared" si="3"/>
        <v>16</v>
      </c>
    </row>
    <row r="308">
      <c r="A308" s="10" t="s">
        <v>27</v>
      </c>
      <c r="B308" s="9">
        <f t="shared" si="4"/>
        <v>45581</v>
      </c>
      <c r="C308" s="77" t="s">
        <v>1571</v>
      </c>
      <c r="D308" s="13">
        <f>SUMIFS('Lançamentos de despesas'!$K:$K,'Lançamentos de despesas'!$C:$C,B308,'Lançamentos de despesas'!$G:$G,A308,'Lançamentos de despesas'!$E:$E,"pago")</f>
        <v>1127.5</v>
      </c>
      <c r="E308" s="15">
        <f t="shared" si="1"/>
        <v>2024</v>
      </c>
      <c r="F308" s="15">
        <f t="shared" si="2"/>
        <v>10</v>
      </c>
      <c r="G308" s="15">
        <f t="shared" si="3"/>
        <v>16</v>
      </c>
    </row>
    <row r="309">
      <c r="A309" s="10" t="s">
        <v>27</v>
      </c>
      <c r="B309" s="9">
        <f t="shared" si="4"/>
        <v>45581</v>
      </c>
      <c r="C309" s="77" t="s">
        <v>1572</v>
      </c>
      <c r="D309" s="13">
        <f>D306+D307-D308</f>
        <v>119917.649</v>
      </c>
      <c r="E309" s="15">
        <f t="shared" si="1"/>
        <v>2024</v>
      </c>
      <c r="F309" s="15">
        <f t="shared" si="2"/>
        <v>10</v>
      </c>
      <c r="G309" s="15">
        <f t="shared" si="3"/>
        <v>16</v>
      </c>
    </row>
    <row r="310">
      <c r="A310" s="10" t="s">
        <v>27</v>
      </c>
      <c r="B310" s="9">
        <f t="shared" si="4"/>
        <v>45582</v>
      </c>
      <c r="C310" s="77" t="s">
        <v>1569</v>
      </c>
      <c r="D310" s="12">
        <f>D309</f>
        <v>119917.649</v>
      </c>
      <c r="E310" s="15">
        <f t="shared" si="1"/>
        <v>2024</v>
      </c>
      <c r="F310" s="15">
        <f t="shared" si="2"/>
        <v>10</v>
      </c>
      <c r="G310" s="15">
        <f t="shared" si="3"/>
        <v>17</v>
      </c>
    </row>
    <row r="311">
      <c r="A311" s="10" t="s">
        <v>27</v>
      </c>
      <c r="B311" s="9">
        <f t="shared" si="4"/>
        <v>45582</v>
      </c>
      <c r="C311" s="77" t="s">
        <v>1570</v>
      </c>
      <c r="D311" s="13">
        <f>SUMIFS('Lançamentos de receitas'!$E:$E,'Lançamentos de receitas'!$A:$A,B311,'Lançamentos de receitas'!$C:$C,A311,'Lançamentos de receitas'!$F:$F,"TRANSFERÊNCIA")</f>
        <v>1664.44</v>
      </c>
      <c r="E311" s="15">
        <f t="shared" si="1"/>
        <v>2024</v>
      </c>
      <c r="F311" s="15">
        <f t="shared" si="2"/>
        <v>10</v>
      </c>
      <c r="G311" s="15">
        <f t="shared" si="3"/>
        <v>17</v>
      </c>
    </row>
    <row r="312">
      <c r="A312" s="10" t="s">
        <v>27</v>
      </c>
      <c r="B312" s="9">
        <f t="shared" si="4"/>
        <v>45582</v>
      </c>
      <c r="C312" s="77" t="s">
        <v>1571</v>
      </c>
      <c r="D312" s="13">
        <f>SUMIFS('Lançamentos de despesas'!$K:$K,'Lançamentos de despesas'!$C:$C,B312,'Lançamentos de despesas'!$G:$G,A312,'Lançamentos de despesas'!$E:$E,"pago")</f>
        <v>3034.17</v>
      </c>
      <c r="E312" s="15">
        <f t="shared" si="1"/>
        <v>2024</v>
      </c>
      <c r="F312" s="15">
        <f t="shared" si="2"/>
        <v>10</v>
      </c>
      <c r="G312" s="15">
        <f t="shared" si="3"/>
        <v>17</v>
      </c>
    </row>
    <row r="313">
      <c r="A313" s="10" t="s">
        <v>27</v>
      </c>
      <c r="B313" s="9">
        <f t="shared" si="4"/>
        <v>45582</v>
      </c>
      <c r="C313" s="77" t="s">
        <v>1572</v>
      </c>
      <c r="D313" s="13">
        <f>D310+D311-D312</f>
        <v>118547.919</v>
      </c>
      <c r="E313" s="15">
        <f t="shared" si="1"/>
        <v>2024</v>
      </c>
      <c r="F313" s="15">
        <f t="shared" si="2"/>
        <v>10</v>
      </c>
      <c r="G313" s="15">
        <f t="shared" si="3"/>
        <v>17</v>
      </c>
    </row>
    <row r="314">
      <c r="A314" s="10" t="s">
        <v>27</v>
      </c>
      <c r="B314" s="9">
        <f t="shared" si="4"/>
        <v>45583</v>
      </c>
      <c r="C314" s="77" t="s">
        <v>1569</v>
      </c>
      <c r="D314" s="12">
        <f>D313</f>
        <v>118547.919</v>
      </c>
      <c r="E314" s="15">
        <f t="shared" si="1"/>
        <v>2024</v>
      </c>
      <c r="F314" s="15">
        <f t="shared" si="2"/>
        <v>10</v>
      </c>
      <c r="G314" s="15">
        <f t="shared" si="3"/>
        <v>18</v>
      </c>
    </row>
    <row r="315">
      <c r="A315" s="10" t="s">
        <v>27</v>
      </c>
      <c r="B315" s="9">
        <f t="shared" si="4"/>
        <v>45583</v>
      </c>
      <c r="C315" s="77" t="s">
        <v>1570</v>
      </c>
      <c r="D315" s="13">
        <f>SUMIFS('Lançamentos de receitas'!$E:$E,'Lançamentos de receitas'!$A:$A,B315,'Lançamentos de receitas'!$C:$C,A315,'Lançamentos de receitas'!$F:$F,"TRANSFERÊNCIA")</f>
        <v>4268.88</v>
      </c>
      <c r="E315" s="15">
        <f t="shared" si="1"/>
        <v>2024</v>
      </c>
      <c r="F315" s="15">
        <f t="shared" si="2"/>
        <v>10</v>
      </c>
      <c r="G315" s="15">
        <f t="shared" si="3"/>
        <v>18</v>
      </c>
    </row>
    <row r="316">
      <c r="A316" s="10" t="s">
        <v>27</v>
      </c>
      <c r="B316" s="9">
        <f t="shared" si="4"/>
        <v>45583</v>
      </c>
      <c r="C316" s="77" t="s">
        <v>1571</v>
      </c>
      <c r="D316" s="13">
        <f>SUMIFS('Lançamentos de despesas'!$K:$K,'Lançamentos de despesas'!$C:$C,B316,'Lançamentos de despesas'!$G:$G,A316,'Lançamentos de despesas'!$E:$E,"pago")</f>
        <v>4965.29</v>
      </c>
      <c r="E316" s="15">
        <f t="shared" si="1"/>
        <v>2024</v>
      </c>
      <c r="F316" s="15">
        <f t="shared" si="2"/>
        <v>10</v>
      </c>
      <c r="G316" s="15">
        <f t="shared" si="3"/>
        <v>18</v>
      </c>
    </row>
    <row r="317">
      <c r="A317" s="10" t="s">
        <v>27</v>
      </c>
      <c r="B317" s="9">
        <f t="shared" si="4"/>
        <v>45583</v>
      </c>
      <c r="C317" s="77" t="s">
        <v>1572</v>
      </c>
      <c r="D317" s="13">
        <f>D314+D315-D316</f>
        <v>117851.509</v>
      </c>
      <c r="E317" s="15">
        <f t="shared" si="1"/>
        <v>2024</v>
      </c>
      <c r="F317" s="15">
        <f t="shared" si="2"/>
        <v>10</v>
      </c>
      <c r="G317" s="15">
        <f t="shared" si="3"/>
        <v>18</v>
      </c>
    </row>
    <row r="318">
      <c r="A318" s="10" t="s">
        <v>27</v>
      </c>
      <c r="B318" s="9">
        <f t="shared" si="4"/>
        <v>45584</v>
      </c>
      <c r="C318" s="77" t="s">
        <v>1569</v>
      </c>
      <c r="D318" s="12">
        <f>D317</f>
        <v>117851.509</v>
      </c>
      <c r="E318" s="15">
        <f t="shared" si="1"/>
        <v>2024</v>
      </c>
      <c r="F318" s="15">
        <f t="shared" si="2"/>
        <v>10</v>
      </c>
      <c r="G318" s="15">
        <f t="shared" si="3"/>
        <v>19</v>
      </c>
    </row>
    <row r="319">
      <c r="A319" s="10" t="s">
        <v>27</v>
      </c>
      <c r="B319" s="9">
        <f t="shared" si="4"/>
        <v>45584</v>
      </c>
      <c r="C319" s="77" t="s">
        <v>1570</v>
      </c>
      <c r="D319" s="13">
        <f>SUMIFS('Lançamentos de receitas'!$E:$E,'Lançamentos de receitas'!$A:$A,B319,'Lançamentos de receitas'!$C:$C,A319,'Lançamentos de receitas'!$F:$F,"TRANSFERÊNCIA")</f>
        <v>1983.51</v>
      </c>
      <c r="E319" s="15">
        <f t="shared" si="1"/>
        <v>2024</v>
      </c>
      <c r="F319" s="15">
        <f t="shared" si="2"/>
        <v>10</v>
      </c>
      <c r="G319" s="15">
        <f t="shared" si="3"/>
        <v>19</v>
      </c>
    </row>
    <row r="320">
      <c r="A320" s="10" t="s">
        <v>27</v>
      </c>
      <c r="B320" s="9">
        <f t="shared" si="4"/>
        <v>45584</v>
      </c>
      <c r="C320" s="77" t="s">
        <v>1571</v>
      </c>
      <c r="D320" s="13">
        <f>SUMIFS('Lançamentos de despesas'!$K:$K,'Lançamentos de despesas'!$C:$C,B320,'Lançamentos de despesas'!$G:$G,A320,'Lançamentos de despesas'!$E:$E,"pago")</f>
        <v>0</v>
      </c>
      <c r="E320" s="15">
        <f t="shared" si="1"/>
        <v>2024</v>
      </c>
      <c r="F320" s="15">
        <f t="shared" si="2"/>
        <v>10</v>
      </c>
      <c r="G320" s="15">
        <f t="shared" si="3"/>
        <v>19</v>
      </c>
    </row>
    <row r="321">
      <c r="A321" s="10" t="s">
        <v>27</v>
      </c>
      <c r="B321" s="9">
        <f t="shared" si="4"/>
        <v>45584</v>
      </c>
      <c r="C321" s="77" t="s">
        <v>1572</v>
      </c>
      <c r="D321" s="13">
        <f>D318+D319-D320</f>
        <v>119835.019</v>
      </c>
      <c r="E321" s="15">
        <f t="shared" si="1"/>
        <v>2024</v>
      </c>
      <c r="F321" s="15">
        <f t="shared" si="2"/>
        <v>10</v>
      </c>
      <c r="G321" s="15">
        <f t="shared" si="3"/>
        <v>19</v>
      </c>
    </row>
    <row r="322">
      <c r="A322" s="10" t="s">
        <v>27</v>
      </c>
      <c r="B322" s="9">
        <f t="shared" si="4"/>
        <v>45585</v>
      </c>
      <c r="C322" s="77" t="s">
        <v>1569</v>
      </c>
      <c r="D322" s="12">
        <f>D321</f>
        <v>119835.019</v>
      </c>
      <c r="E322" s="15">
        <f t="shared" si="1"/>
        <v>2024</v>
      </c>
      <c r="F322" s="15">
        <f t="shared" si="2"/>
        <v>10</v>
      </c>
      <c r="G322" s="15">
        <f t="shared" si="3"/>
        <v>20</v>
      </c>
    </row>
    <row r="323">
      <c r="A323" s="10" t="s">
        <v>27</v>
      </c>
      <c r="B323" s="9">
        <f t="shared" si="4"/>
        <v>45585</v>
      </c>
      <c r="C323" s="77" t="s">
        <v>1570</v>
      </c>
      <c r="D323" s="13">
        <f>SUMIFS('Lançamentos de receitas'!$E:$E,'Lançamentos de receitas'!$A:$A,B323,'Lançamentos de receitas'!$C:$C,A323,'Lançamentos de receitas'!$F:$F,"TRANSFERÊNCIA")</f>
        <v>854.82</v>
      </c>
      <c r="E323" s="15">
        <f t="shared" si="1"/>
        <v>2024</v>
      </c>
      <c r="F323" s="15">
        <f t="shared" si="2"/>
        <v>10</v>
      </c>
      <c r="G323" s="15">
        <f t="shared" si="3"/>
        <v>20</v>
      </c>
    </row>
    <row r="324">
      <c r="A324" s="10" t="s">
        <v>27</v>
      </c>
      <c r="B324" s="9">
        <f t="shared" si="4"/>
        <v>45585</v>
      </c>
      <c r="C324" s="77" t="s">
        <v>1571</v>
      </c>
      <c r="D324" s="13">
        <f>SUMIFS('Lançamentos de despesas'!$K:$K,'Lançamentos de despesas'!$C:$C,B324,'Lançamentos de despesas'!$G:$G,A324,'Lançamentos de despesas'!$E:$E,"pago")</f>
        <v>0</v>
      </c>
      <c r="E324" s="15">
        <f t="shared" si="1"/>
        <v>2024</v>
      </c>
      <c r="F324" s="15">
        <f t="shared" si="2"/>
        <v>10</v>
      </c>
      <c r="G324" s="15">
        <f t="shared" si="3"/>
        <v>20</v>
      </c>
    </row>
    <row r="325">
      <c r="A325" s="10" t="s">
        <v>27</v>
      </c>
      <c r="B325" s="9">
        <f t="shared" si="4"/>
        <v>45585</v>
      </c>
      <c r="C325" s="77" t="s">
        <v>1572</v>
      </c>
      <c r="D325" s="13">
        <f>D322+D323-D324</f>
        <v>120689.839</v>
      </c>
      <c r="E325" s="15">
        <f t="shared" si="1"/>
        <v>2024</v>
      </c>
      <c r="F325" s="15">
        <f t="shared" si="2"/>
        <v>10</v>
      </c>
      <c r="G325" s="15">
        <f t="shared" si="3"/>
        <v>20</v>
      </c>
    </row>
    <row r="326">
      <c r="A326" s="10" t="s">
        <v>27</v>
      </c>
      <c r="B326" s="9">
        <f t="shared" si="4"/>
        <v>45586</v>
      </c>
      <c r="C326" s="77" t="s">
        <v>1569</v>
      </c>
      <c r="D326" s="12">
        <f>D325</f>
        <v>120689.839</v>
      </c>
      <c r="E326" s="15">
        <f t="shared" si="1"/>
        <v>2024</v>
      </c>
      <c r="F326" s="15">
        <f t="shared" si="2"/>
        <v>10</v>
      </c>
      <c r="G326" s="15">
        <f t="shared" si="3"/>
        <v>21</v>
      </c>
    </row>
    <row r="327">
      <c r="A327" s="10" t="s">
        <v>27</v>
      </c>
      <c r="B327" s="9">
        <f t="shared" si="4"/>
        <v>45586</v>
      </c>
      <c r="C327" s="77" t="s">
        <v>1570</v>
      </c>
      <c r="D327" s="13">
        <f>SUMIFS('Lançamentos de receitas'!$E:$E,'Lançamentos de receitas'!$A:$A,B327,'Lançamentos de receitas'!$C:$C,A327,'Lançamentos de receitas'!$F:$F,"TRANSFERÊNCIA")</f>
        <v>14103.52</v>
      </c>
      <c r="E327" s="15">
        <f t="shared" si="1"/>
        <v>2024</v>
      </c>
      <c r="F327" s="15">
        <f t="shared" si="2"/>
        <v>10</v>
      </c>
      <c r="G327" s="15">
        <f t="shared" si="3"/>
        <v>21</v>
      </c>
    </row>
    <row r="328">
      <c r="A328" s="10" t="s">
        <v>27</v>
      </c>
      <c r="B328" s="9">
        <f t="shared" si="4"/>
        <v>45586</v>
      </c>
      <c r="C328" s="77" t="s">
        <v>1571</v>
      </c>
      <c r="D328" s="13">
        <f>SUMIFS('Lançamentos de despesas'!$K:$K,'Lançamentos de despesas'!$C:$C,B328,'Lançamentos de despesas'!$G:$G,A328,'Lançamentos de despesas'!$E:$E,"pago")</f>
        <v>30821.43</v>
      </c>
      <c r="E328" s="15">
        <f t="shared" si="1"/>
        <v>2024</v>
      </c>
      <c r="F328" s="15">
        <f t="shared" si="2"/>
        <v>10</v>
      </c>
      <c r="G328" s="15">
        <f t="shared" si="3"/>
        <v>21</v>
      </c>
    </row>
    <row r="329">
      <c r="A329" s="10" t="s">
        <v>27</v>
      </c>
      <c r="B329" s="9">
        <f t="shared" si="4"/>
        <v>45586</v>
      </c>
      <c r="C329" s="77" t="s">
        <v>1572</v>
      </c>
      <c r="D329" s="13">
        <f>D326+D327-D328</f>
        <v>103971.929</v>
      </c>
      <c r="E329" s="15">
        <f t="shared" si="1"/>
        <v>2024</v>
      </c>
      <c r="F329" s="15">
        <f t="shared" si="2"/>
        <v>10</v>
      </c>
      <c r="G329" s="15">
        <f t="shared" si="3"/>
        <v>21</v>
      </c>
    </row>
    <row r="330">
      <c r="A330" s="10" t="s">
        <v>27</v>
      </c>
      <c r="B330" s="9">
        <f t="shared" si="4"/>
        <v>45587</v>
      </c>
      <c r="C330" s="77" t="s">
        <v>1569</v>
      </c>
      <c r="D330" s="12">
        <f>D329</f>
        <v>103971.929</v>
      </c>
      <c r="E330" s="15">
        <f t="shared" si="1"/>
        <v>2024</v>
      </c>
      <c r="F330" s="15">
        <f t="shared" si="2"/>
        <v>10</v>
      </c>
      <c r="G330" s="15">
        <f t="shared" si="3"/>
        <v>22</v>
      </c>
    </row>
    <row r="331">
      <c r="A331" s="10" t="s">
        <v>27</v>
      </c>
      <c r="B331" s="9">
        <f t="shared" si="4"/>
        <v>45587</v>
      </c>
      <c r="C331" s="77" t="s">
        <v>1570</v>
      </c>
      <c r="D331" s="13">
        <f>SUMIFS('Lançamentos de receitas'!$E:$E,'Lançamentos de receitas'!$A:$A,B331,'Lançamentos de receitas'!$C:$C,A331,'Lançamentos de receitas'!$F:$F,"TRANSFERÊNCIA")</f>
        <v>1091.71</v>
      </c>
      <c r="E331" s="15">
        <f t="shared" si="1"/>
        <v>2024</v>
      </c>
      <c r="F331" s="15">
        <f t="shared" si="2"/>
        <v>10</v>
      </c>
      <c r="G331" s="15">
        <f t="shared" si="3"/>
        <v>22</v>
      </c>
    </row>
    <row r="332">
      <c r="A332" s="10" t="s">
        <v>27</v>
      </c>
      <c r="B332" s="9">
        <f t="shared" si="4"/>
        <v>45587</v>
      </c>
      <c r="C332" s="77" t="s">
        <v>1571</v>
      </c>
      <c r="D332" s="13">
        <f>SUMIFS('Lançamentos de despesas'!$K:$K,'Lançamentos de despesas'!$C:$C,B332,'Lançamentos de despesas'!$G:$G,A332,'Lançamentos de despesas'!$E:$E,"pago")</f>
        <v>1279.25</v>
      </c>
      <c r="E332" s="15">
        <f t="shared" si="1"/>
        <v>2024</v>
      </c>
      <c r="F332" s="15">
        <f t="shared" si="2"/>
        <v>10</v>
      </c>
      <c r="G332" s="15">
        <f t="shared" si="3"/>
        <v>22</v>
      </c>
    </row>
    <row r="333">
      <c r="A333" s="10" t="s">
        <v>27</v>
      </c>
      <c r="B333" s="9">
        <f t="shared" si="4"/>
        <v>45587</v>
      </c>
      <c r="C333" s="77" t="s">
        <v>1572</v>
      </c>
      <c r="D333" s="13">
        <f>D330+D331-D332</f>
        <v>103784.389</v>
      </c>
      <c r="E333" s="15">
        <f t="shared" si="1"/>
        <v>2024</v>
      </c>
      <c r="F333" s="15">
        <f t="shared" si="2"/>
        <v>10</v>
      </c>
      <c r="G333" s="15">
        <f t="shared" si="3"/>
        <v>22</v>
      </c>
    </row>
    <row r="334">
      <c r="A334" s="10" t="s">
        <v>27</v>
      </c>
      <c r="B334" s="9">
        <f t="shared" si="4"/>
        <v>45588</v>
      </c>
      <c r="C334" s="77" t="s">
        <v>1569</v>
      </c>
      <c r="D334" s="12">
        <f>D333</f>
        <v>103784.389</v>
      </c>
      <c r="E334" s="15">
        <f t="shared" si="1"/>
        <v>2024</v>
      </c>
      <c r="F334" s="15">
        <f t="shared" si="2"/>
        <v>10</v>
      </c>
      <c r="G334" s="15">
        <f t="shared" si="3"/>
        <v>23</v>
      </c>
    </row>
    <row r="335">
      <c r="A335" s="10" t="s">
        <v>27</v>
      </c>
      <c r="B335" s="9">
        <f t="shared" si="4"/>
        <v>45588</v>
      </c>
      <c r="C335" s="77" t="s">
        <v>1570</v>
      </c>
      <c r="D335" s="13">
        <f>SUMIFS('Lançamentos de receitas'!$E:$E,'Lançamentos de receitas'!$A:$A,B335,'Lançamentos de receitas'!$C:$C,A335,'Lançamentos de receitas'!$F:$F,"TRANSFERÊNCIA")</f>
        <v>2762</v>
      </c>
      <c r="E335" s="15">
        <f t="shared" si="1"/>
        <v>2024</v>
      </c>
      <c r="F335" s="15">
        <f t="shared" si="2"/>
        <v>10</v>
      </c>
      <c r="G335" s="15">
        <f t="shared" si="3"/>
        <v>23</v>
      </c>
    </row>
    <row r="336">
      <c r="A336" s="10" t="s">
        <v>27</v>
      </c>
      <c r="B336" s="9">
        <f t="shared" si="4"/>
        <v>45588</v>
      </c>
      <c r="C336" s="77" t="s">
        <v>1571</v>
      </c>
      <c r="D336" s="13">
        <f>SUMIFS('Lançamentos de despesas'!$K:$K,'Lançamentos de despesas'!$C:$C,B336,'Lançamentos de despesas'!$G:$G,A336,'Lançamentos de despesas'!$E:$E,"pago")</f>
        <v>14.4</v>
      </c>
      <c r="E336" s="15">
        <f t="shared" si="1"/>
        <v>2024</v>
      </c>
      <c r="F336" s="15">
        <f t="shared" si="2"/>
        <v>10</v>
      </c>
      <c r="G336" s="15">
        <f t="shared" si="3"/>
        <v>23</v>
      </c>
    </row>
    <row r="337">
      <c r="A337" s="10" t="s">
        <v>27</v>
      </c>
      <c r="B337" s="9">
        <f t="shared" si="4"/>
        <v>45588</v>
      </c>
      <c r="C337" s="77" t="s">
        <v>1572</v>
      </c>
      <c r="D337" s="13">
        <f>D334+D335-D336</f>
        <v>106531.989</v>
      </c>
      <c r="E337" s="15">
        <f t="shared" si="1"/>
        <v>2024</v>
      </c>
      <c r="F337" s="15">
        <f t="shared" si="2"/>
        <v>10</v>
      </c>
      <c r="G337" s="15">
        <f t="shared" si="3"/>
        <v>23</v>
      </c>
    </row>
    <row r="338">
      <c r="A338" s="10" t="s">
        <v>27</v>
      </c>
      <c r="B338" s="9">
        <f t="shared" si="4"/>
        <v>45589</v>
      </c>
      <c r="C338" s="77" t="s">
        <v>1569</v>
      </c>
      <c r="D338" s="12">
        <f>D337</f>
        <v>106531.989</v>
      </c>
      <c r="E338" s="15">
        <f t="shared" si="1"/>
        <v>2024</v>
      </c>
      <c r="F338" s="15">
        <f t="shared" si="2"/>
        <v>10</v>
      </c>
      <c r="G338" s="15">
        <f t="shared" si="3"/>
        <v>24</v>
      </c>
    </row>
    <row r="339">
      <c r="A339" s="10" t="s">
        <v>27</v>
      </c>
      <c r="B339" s="9">
        <f t="shared" si="4"/>
        <v>45589</v>
      </c>
      <c r="C339" s="77" t="s">
        <v>1570</v>
      </c>
      <c r="D339" s="13">
        <f>SUMIFS('Lançamentos de receitas'!$E:$E,'Lançamentos de receitas'!$A:$A,B339,'Lançamentos de receitas'!$C:$C,A339,'Lançamentos de receitas'!$F:$F,"TRANSFERÊNCIA")</f>
        <v>1831.48</v>
      </c>
      <c r="E339" s="15">
        <f t="shared" si="1"/>
        <v>2024</v>
      </c>
      <c r="F339" s="15">
        <f t="shared" si="2"/>
        <v>10</v>
      </c>
      <c r="G339" s="15">
        <f t="shared" si="3"/>
        <v>24</v>
      </c>
    </row>
    <row r="340">
      <c r="A340" s="10" t="s">
        <v>27</v>
      </c>
      <c r="B340" s="9">
        <f t="shared" si="4"/>
        <v>45589</v>
      </c>
      <c r="C340" s="77" t="s">
        <v>1571</v>
      </c>
      <c r="D340" s="13">
        <f>SUMIFS('Lançamentos de despesas'!$K:$K,'Lançamentos de despesas'!$C:$C,B340,'Lançamentos de despesas'!$G:$G,A340,'Lançamentos de despesas'!$E:$E,"pago")</f>
        <v>0</v>
      </c>
      <c r="E340" s="15">
        <f t="shared" si="1"/>
        <v>2024</v>
      </c>
      <c r="F340" s="15">
        <f t="shared" si="2"/>
        <v>10</v>
      </c>
      <c r="G340" s="15">
        <f t="shared" si="3"/>
        <v>24</v>
      </c>
    </row>
    <row r="341">
      <c r="A341" s="10" t="s">
        <v>27</v>
      </c>
      <c r="B341" s="9">
        <f t="shared" si="4"/>
        <v>45589</v>
      </c>
      <c r="C341" s="77" t="s">
        <v>1572</v>
      </c>
      <c r="D341" s="13">
        <f>D338+D339-D340</f>
        <v>108363.469</v>
      </c>
      <c r="E341" s="15">
        <f t="shared" si="1"/>
        <v>2024</v>
      </c>
      <c r="F341" s="15">
        <f t="shared" si="2"/>
        <v>10</v>
      </c>
      <c r="G341" s="15">
        <f t="shared" si="3"/>
        <v>24</v>
      </c>
    </row>
    <row r="342">
      <c r="A342" s="10" t="s">
        <v>27</v>
      </c>
      <c r="B342" s="9">
        <f t="shared" si="4"/>
        <v>45590</v>
      </c>
      <c r="C342" s="77" t="s">
        <v>1569</v>
      </c>
      <c r="D342" s="12">
        <f>D341</f>
        <v>108363.469</v>
      </c>
      <c r="E342" s="15">
        <f t="shared" si="1"/>
        <v>2024</v>
      </c>
      <c r="F342" s="15">
        <f t="shared" si="2"/>
        <v>10</v>
      </c>
      <c r="G342" s="15">
        <f t="shared" si="3"/>
        <v>25</v>
      </c>
    </row>
    <row r="343">
      <c r="A343" s="10" t="s">
        <v>27</v>
      </c>
      <c r="B343" s="9">
        <f t="shared" si="4"/>
        <v>45590</v>
      </c>
      <c r="C343" s="77" t="s">
        <v>1570</v>
      </c>
      <c r="D343" s="13">
        <f>SUMIFS('Lançamentos de receitas'!$E:$E,'Lançamentos de receitas'!$A:$A,B343,'Lançamentos de receitas'!$C:$C,A343,'Lançamentos de receitas'!$F:$F,"TRANSFERÊNCIA")</f>
        <v>1895.85</v>
      </c>
      <c r="E343" s="15">
        <f t="shared" si="1"/>
        <v>2024</v>
      </c>
      <c r="F343" s="15">
        <f t="shared" si="2"/>
        <v>10</v>
      </c>
      <c r="G343" s="15">
        <f t="shared" si="3"/>
        <v>25</v>
      </c>
    </row>
    <row r="344">
      <c r="A344" s="10" t="s">
        <v>27</v>
      </c>
      <c r="B344" s="9">
        <f t="shared" si="4"/>
        <v>45590</v>
      </c>
      <c r="C344" s="77" t="s">
        <v>1571</v>
      </c>
      <c r="D344" s="13">
        <f>SUMIFS('Lançamentos de despesas'!$K:$K,'Lançamentos de despesas'!$C:$C,B344,'Lançamentos de despesas'!$G:$G,A344,'Lançamentos de despesas'!$E:$E,"pago")</f>
        <v>171.72</v>
      </c>
      <c r="E344" s="15">
        <f t="shared" si="1"/>
        <v>2024</v>
      </c>
      <c r="F344" s="15">
        <f t="shared" si="2"/>
        <v>10</v>
      </c>
      <c r="G344" s="15">
        <f t="shared" si="3"/>
        <v>25</v>
      </c>
    </row>
    <row r="345">
      <c r="A345" s="10" t="s">
        <v>27</v>
      </c>
      <c r="B345" s="9">
        <f t="shared" si="4"/>
        <v>45590</v>
      </c>
      <c r="C345" s="77" t="s">
        <v>1572</v>
      </c>
      <c r="D345" s="13">
        <f>D342+D343-D344</f>
        <v>110087.599</v>
      </c>
      <c r="E345" s="15">
        <f t="shared" si="1"/>
        <v>2024</v>
      </c>
      <c r="F345" s="15">
        <f t="shared" si="2"/>
        <v>10</v>
      </c>
      <c r="G345" s="15">
        <f t="shared" si="3"/>
        <v>25</v>
      </c>
    </row>
    <row r="346">
      <c r="A346" s="10" t="s">
        <v>27</v>
      </c>
      <c r="B346" s="9">
        <f t="shared" si="4"/>
        <v>45591</v>
      </c>
      <c r="C346" s="77" t="s">
        <v>1569</v>
      </c>
      <c r="D346" s="12">
        <f>D345</f>
        <v>110087.599</v>
      </c>
      <c r="E346" s="15">
        <f t="shared" si="1"/>
        <v>2024</v>
      </c>
      <c r="F346" s="15">
        <f t="shared" si="2"/>
        <v>10</v>
      </c>
      <c r="G346" s="15">
        <f t="shared" si="3"/>
        <v>26</v>
      </c>
    </row>
    <row r="347">
      <c r="A347" s="10" t="s">
        <v>27</v>
      </c>
      <c r="B347" s="9">
        <f t="shared" si="4"/>
        <v>45591</v>
      </c>
      <c r="C347" s="77" t="s">
        <v>1570</v>
      </c>
      <c r="D347" s="13">
        <f>SUMIFS('Lançamentos de receitas'!$E:$E,'Lançamentos de receitas'!$A:$A,B347,'Lançamentos de receitas'!$C:$C,A347,'Lançamentos de receitas'!$F:$F,"TRANSFERÊNCIA")</f>
        <v>1543.59</v>
      </c>
      <c r="E347" s="15">
        <f t="shared" si="1"/>
        <v>2024</v>
      </c>
      <c r="F347" s="15">
        <f t="shared" si="2"/>
        <v>10</v>
      </c>
      <c r="G347" s="15">
        <f t="shared" si="3"/>
        <v>26</v>
      </c>
    </row>
    <row r="348">
      <c r="A348" s="10" t="s">
        <v>27</v>
      </c>
      <c r="B348" s="9">
        <f t="shared" si="4"/>
        <v>45591</v>
      </c>
      <c r="C348" s="77" t="s">
        <v>1571</v>
      </c>
      <c r="D348" s="13">
        <f>SUMIFS('Lançamentos de despesas'!$K:$K,'Lançamentos de despesas'!$C:$C,B348,'Lançamentos de despesas'!$G:$G,A348,'Lançamentos de despesas'!$E:$E,"pago")</f>
        <v>0</v>
      </c>
      <c r="E348" s="15">
        <f t="shared" si="1"/>
        <v>2024</v>
      </c>
      <c r="F348" s="15">
        <f t="shared" si="2"/>
        <v>10</v>
      </c>
      <c r="G348" s="15">
        <f t="shared" si="3"/>
        <v>26</v>
      </c>
    </row>
    <row r="349">
      <c r="A349" s="10" t="s">
        <v>27</v>
      </c>
      <c r="B349" s="9">
        <f t="shared" si="4"/>
        <v>45591</v>
      </c>
      <c r="C349" s="77" t="s">
        <v>1572</v>
      </c>
      <c r="D349" s="13">
        <f>D346+D347-D348</f>
        <v>111631.189</v>
      </c>
      <c r="E349" s="15">
        <f t="shared" si="1"/>
        <v>2024</v>
      </c>
      <c r="F349" s="15">
        <f t="shared" si="2"/>
        <v>10</v>
      </c>
      <c r="G349" s="15">
        <f t="shared" si="3"/>
        <v>26</v>
      </c>
    </row>
    <row r="350">
      <c r="A350" s="10" t="s">
        <v>27</v>
      </c>
      <c r="B350" s="9">
        <f t="shared" si="4"/>
        <v>45592</v>
      </c>
      <c r="C350" s="77" t="s">
        <v>1569</v>
      </c>
      <c r="D350" s="12">
        <f>D349</f>
        <v>111631.189</v>
      </c>
      <c r="E350" s="15">
        <f t="shared" si="1"/>
        <v>2024</v>
      </c>
      <c r="F350" s="15">
        <f t="shared" si="2"/>
        <v>10</v>
      </c>
      <c r="G350" s="15">
        <f t="shared" si="3"/>
        <v>27</v>
      </c>
    </row>
    <row r="351">
      <c r="A351" s="10" t="s">
        <v>27</v>
      </c>
      <c r="B351" s="9">
        <f t="shared" si="4"/>
        <v>45592</v>
      </c>
      <c r="C351" s="77" t="s">
        <v>1570</v>
      </c>
      <c r="D351" s="13">
        <f>SUMIFS('Lançamentos de receitas'!$E:$E,'Lançamentos de receitas'!$A:$A,B351,'Lançamentos de receitas'!$C:$C,A351,'Lançamentos de receitas'!$F:$F,"TRANSFERÊNCIA")</f>
        <v>1497.56</v>
      </c>
      <c r="E351" s="15">
        <f t="shared" si="1"/>
        <v>2024</v>
      </c>
      <c r="F351" s="15">
        <f t="shared" si="2"/>
        <v>10</v>
      </c>
      <c r="G351" s="15">
        <f t="shared" si="3"/>
        <v>27</v>
      </c>
    </row>
    <row r="352">
      <c r="A352" s="10" t="s">
        <v>27</v>
      </c>
      <c r="B352" s="9">
        <f t="shared" si="4"/>
        <v>45592</v>
      </c>
      <c r="C352" s="77" t="s">
        <v>1571</v>
      </c>
      <c r="D352" s="13">
        <f>SUMIFS('Lançamentos de despesas'!$K:$K,'Lançamentos de despesas'!$C:$C,B352,'Lançamentos de despesas'!$G:$G,A352,'Lançamentos de despesas'!$E:$E,"pago")</f>
        <v>0</v>
      </c>
      <c r="E352" s="15">
        <f t="shared" si="1"/>
        <v>2024</v>
      </c>
      <c r="F352" s="15">
        <f t="shared" si="2"/>
        <v>10</v>
      </c>
      <c r="G352" s="15">
        <f t="shared" si="3"/>
        <v>27</v>
      </c>
    </row>
    <row r="353">
      <c r="A353" s="10" t="s">
        <v>27</v>
      </c>
      <c r="B353" s="9">
        <f t="shared" si="4"/>
        <v>45592</v>
      </c>
      <c r="C353" s="77" t="s">
        <v>1572</v>
      </c>
      <c r="D353" s="13">
        <f>D350+D351-D352</f>
        <v>113128.749</v>
      </c>
      <c r="E353" s="15">
        <f t="shared" si="1"/>
        <v>2024</v>
      </c>
      <c r="F353" s="15">
        <f t="shared" si="2"/>
        <v>10</v>
      </c>
      <c r="G353" s="15">
        <f t="shared" si="3"/>
        <v>27</v>
      </c>
    </row>
    <row r="354">
      <c r="A354" s="10" t="s">
        <v>27</v>
      </c>
      <c r="B354" s="9">
        <f t="shared" si="4"/>
        <v>45593</v>
      </c>
      <c r="C354" s="77" t="s">
        <v>1569</v>
      </c>
      <c r="D354" s="12">
        <f>D353</f>
        <v>113128.749</v>
      </c>
      <c r="E354" s="15">
        <f t="shared" si="1"/>
        <v>2024</v>
      </c>
      <c r="F354" s="15">
        <f t="shared" si="2"/>
        <v>10</v>
      </c>
      <c r="G354" s="15">
        <f t="shared" si="3"/>
        <v>28</v>
      </c>
    </row>
    <row r="355">
      <c r="A355" s="10" t="s">
        <v>27</v>
      </c>
      <c r="B355" s="9">
        <f t="shared" si="4"/>
        <v>45593</v>
      </c>
      <c r="C355" s="77" t="s">
        <v>1570</v>
      </c>
      <c r="D355" s="13">
        <f>SUMIFS('Lançamentos de receitas'!$E:$E,'Lançamentos de receitas'!$A:$A,B355,'Lançamentos de receitas'!$C:$C,A355,'Lançamentos de receitas'!$F:$F,"TRANSFERÊNCIA")</f>
        <v>267.49</v>
      </c>
      <c r="E355" s="15">
        <f t="shared" si="1"/>
        <v>2024</v>
      </c>
      <c r="F355" s="15">
        <f t="shared" si="2"/>
        <v>10</v>
      </c>
      <c r="G355" s="15">
        <f t="shared" si="3"/>
        <v>28</v>
      </c>
    </row>
    <row r="356">
      <c r="A356" s="10" t="s">
        <v>27</v>
      </c>
      <c r="B356" s="9">
        <f t="shared" si="4"/>
        <v>45593</v>
      </c>
      <c r="C356" s="77" t="s">
        <v>1571</v>
      </c>
      <c r="D356" s="13">
        <f>SUMIFS('Lançamentos de despesas'!$K:$K,'Lançamentos de despesas'!$C:$C,B356,'Lançamentos de despesas'!$G:$G,A356,'Lançamentos de despesas'!$E:$E,"pago")</f>
        <v>6033.3</v>
      </c>
      <c r="E356" s="15">
        <f t="shared" si="1"/>
        <v>2024</v>
      </c>
      <c r="F356" s="15">
        <f t="shared" si="2"/>
        <v>10</v>
      </c>
      <c r="G356" s="15">
        <f t="shared" si="3"/>
        <v>28</v>
      </c>
    </row>
    <row r="357">
      <c r="A357" s="10" t="s">
        <v>27</v>
      </c>
      <c r="B357" s="9">
        <f t="shared" si="4"/>
        <v>45593</v>
      </c>
      <c r="C357" s="77" t="s">
        <v>1572</v>
      </c>
      <c r="D357" s="13">
        <f>D354+D355-D356</f>
        <v>107362.939</v>
      </c>
      <c r="E357" s="15">
        <f t="shared" si="1"/>
        <v>2024</v>
      </c>
      <c r="F357" s="15">
        <f t="shared" si="2"/>
        <v>10</v>
      </c>
      <c r="G357" s="15">
        <f t="shared" si="3"/>
        <v>28</v>
      </c>
    </row>
    <row r="358">
      <c r="A358" s="10" t="s">
        <v>27</v>
      </c>
      <c r="B358" s="9">
        <f t="shared" si="4"/>
        <v>45594</v>
      </c>
      <c r="C358" s="77" t="s">
        <v>1569</v>
      </c>
      <c r="D358" s="12">
        <f>D357</f>
        <v>107362.939</v>
      </c>
      <c r="E358" s="15">
        <f t="shared" si="1"/>
        <v>2024</v>
      </c>
      <c r="F358" s="15">
        <f t="shared" si="2"/>
        <v>10</v>
      </c>
      <c r="G358" s="15">
        <f t="shared" si="3"/>
        <v>29</v>
      </c>
    </row>
    <row r="359">
      <c r="A359" s="10" t="s">
        <v>27</v>
      </c>
      <c r="B359" s="9">
        <f t="shared" si="4"/>
        <v>45594</v>
      </c>
      <c r="C359" s="77" t="s">
        <v>1570</v>
      </c>
      <c r="D359" s="13">
        <f>SUMIFS('Lançamentos de receitas'!$E:$E,'Lançamentos de receitas'!$A:$A,B359,'Lançamentos de receitas'!$C:$C,A359,'Lançamentos de receitas'!$F:$F,"TRANSFERÊNCIA")</f>
        <v>1334.19</v>
      </c>
      <c r="E359" s="15">
        <f t="shared" si="1"/>
        <v>2024</v>
      </c>
      <c r="F359" s="15">
        <f t="shared" si="2"/>
        <v>10</v>
      </c>
      <c r="G359" s="15">
        <f t="shared" si="3"/>
        <v>29</v>
      </c>
    </row>
    <row r="360">
      <c r="A360" s="10" t="s">
        <v>27</v>
      </c>
      <c r="B360" s="9">
        <f t="shared" si="4"/>
        <v>45594</v>
      </c>
      <c r="C360" s="77" t="s">
        <v>1571</v>
      </c>
      <c r="D360" s="13">
        <f>SUMIFS('Lançamentos de despesas'!$K:$K,'Lançamentos de despesas'!$C:$C,B360,'Lançamentos de despesas'!$G:$G,A360,'Lançamentos de despesas'!$E:$E,"pago")</f>
        <v>1370.54</v>
      </c>
      <c r="E360" s="15">
        <f t="shared" si="1"/>
        <v>2024</v>
      </c>
      <c r="F360" s="15">
        <f t="shared" si="2"/>
        <v>10</v>
      </c>
      <c r="G360" s="15">
        <f t="shared" si="3"/>
        <v>29</v>
      </c>
    </row>
    <row r="361">
      <c r="A361" s="10" t="s">
        <v>27</v>
      </c>
      <c r="B361" s="9">
        <f t="shared" si="4"/>
        <v>45594</v>
      </c>
      <c r="C361" s="77" t="s">
        <v>1572</v>
      </c>
      <c r="D361" s="13">
        <f>D358+D359-D360</f>
        <v>107326.589</v>
      </c>
      <c r="E361" s="15">
        <f t="shared" si="1"/>
        <v>2024</v>
      </c>
      <c r="F361" s="15">
        <f t="shared" si="2"/>
        <v>10</v>
      </c>
      <c r="G361" s="15">
        <f t="shared" si="3"/>
        <v>29</v>
      </c>
    </row>
    <row r="362">
      <c r="A362" s="10" t="s">
        <v>27</v>
      </c>
      <c r="B362" s="9">
        <f t="shared" si="4"/>
        <v>45595</v>
      </c>
      <c r="C362" s="77" t="s">
        <v>1569</v>
      </c>
      <c r="D362" s="12">
        <f>D361</f>
        <v>107326.589</v>
      </c>
      <c r="E362" s="15">
        <f t="shared" si="1"/>
        <v>2024</v>
      </c>
      <c r="F362" s="15">
        <f t="shared" si="2"/>
        <v>10</v>
      </c>
      <c r="G362" s="15">
        <f t="shared" si="3"/>
        <v>30</v>
      </c>
    </row>
    <row r="363">
      <c r="A363" s="10" t="s">
        <v>27</v>
      </c>
      <c r="B363" s="9">
        <f t="shared" si="4"/>
        <v>45595</v>
      </c>
      <c r="C363" s="77" t="s">
        <v>1570</v>
      </c>
      <c r="D363" s="13">
        <f>SUMIFS('Lançamentos de receitas'!$E:$E,'Lançamentos de receitas'!$A:$A,B363,'Lançamentos de receitas'!$C:$C,A363,'Lançamentos de receitas'!$F:$F,"TRANSFERÊNCIA")</f>
        <v>4903.58</v>
      </c>
      <c r="E363" s="15">
        <f t="shared" si="1"/>
        <v>2024</v>
      </c>
      <c r="F363" s="15">
        <f t="shared" si="2"/>
        <v>10</v>
      </c>
      <c r="G363" s="15">
        <f t="shared" si="3"/>
        <v>30</v>
      </c>
    </row>
    <row r="364">
      <c r="A364" s="10" t="s">
        <v>27</v>
      </c>
      <c r="B364" s="9">
        <f t="shared" si="4"/>
        <v>45595</v>
      </c>
      <c r="C364" s="77" t="s">
        <v>1571</v>
      </c>
      <c r="D364" s="13">
        <f>SUMIFS('Lançamentos de despesas'!$K:$K,'Lançamentos de despesas'!$C:$C,B364,'Lançamentos de despesas'!$G:$G,A364,'Lançamentos de despesas'!$E:$E,"pago")</f>
        <v>3107.73</v>
      </c>
      <c r="E364" s="15">
        <f t="shared" si="1"/>
        <v>2024</v>
      </c>
      <c r="F364" s="15">
        <f t="shared" si="2"/>
        <v>10</v>
      </c>
      <c r="G364" s="15">
        <f t="shared" si="3"/>
        <v>30</v>
      </c>
    </row>
    <row r="365">
      <c r="A365" s="10" t="s">
        <v>27</v>
      </c>
      <c r="B365" s="9">
        <f t="shared" si="4"/>
        <v>45595</v>
      </c>
      <c r="C365" s="77" t="s">
        <v>1572</v>
      </c>
      <c r="D365" s="13">
        <f>D362+D363-D364</f>
        <v>109122.439</v>
      </c>
      <c r="E365" s="15">
        <f t="shared" si="1"/>
        <v>2024</v>
      </c>
      <c r="F365" s="15">
        <f t="shared" si="2"/>
        <v>10</v>
      </c>
      <c r="G365" s="15">
        <f t="shared" si="3"/>
        <v>30</v>
      </c>
    </row>
    <row r="366">
      <c r="A366" s="10" t="s">
        <v>27</v>
      </c>
      <c r="B366" s="9">
        <f t="shared" si="4"/>
        <v>45596</v>
      </c>
      <c r="C366" s="77" t="s">
        <v>1569</v>
      </c>
      <c r="D366" s="12">
        <f>D365</f>
        <v>109122.439</v>
      </c>
      <c r="E366" s="15">
        <f t="shared" si="1"/>
        <v>2024</v>
      </c>
      <c r="F366" s="15">
        <f t="shared" si="2"/>
        <v>10</v>
      </c>
      <c r="G366" s="15">
        <f t="shared" si="3"/>
        <v>31</v>
      </c>
    </row>
    <row r="367">
      <c r="A367" s="10" t="s">
        <v>27</v>
      </c>
      <c r="B367" s="9">
        <f t="shared" si="4"/>
        <v>45596</v>
      </c>
      <c r="C367" s="77" t="s">
        <v>1570</v>
      </c>
      <c r="D367" s="13">
        <f>SUMIFS('Lançamentos de receitas'!$E:$E,'Lançamentos de receitas'!$A:$A,B367,'Lançamentos de receitas'!$C:$C,A367,'Lançamentos de receitas'!$F:$F,"TRANSFERÊNCIA")</f>
        <v>1650.93</v>
      </c>
      <c r="E367" s="15">
        <f t="shared" si="1"/>
        <v>2024</v>
      </c>
      <c r="F367" s="15">
        <f t="shared" si="2"/>
        <v>10</v>
      </c>
      <c r="G367" s="15">
        <f t="shared" si="3"/>
        <v>31</v>
      </c>
    </row>
    <row r="368">
      <c r="A368" s="10" t="s">
        <v>27</v>
      </c>
      <c r="B368" s="9">
        <f t="shared" si="4"/>
        <v>45596</v>
      </c>
      <c r="C368" s="77" t="s">
        <v>1571</v>
      </c>
      <c r="D368" s="13">
        <f>SUMIFS('Lançamentos de despesas'!$K:$K,'Lançamentos de despesas'!$C:$C,B368,'Lançamentos de despesas'!$G:$G,A368,'Lançamentos de despesas'!$E:$E,"pago")</f>
        <v>0</v>
      </c>
      <c r="E368" s="15">
        <f t="shared" si="1"/>
        <v>2024</v>
      </c>
      <c r="F368" s="15">
        <f t="shared" si="2"/>
        <v>10</v>
      </c>
      <c r="G368" s="15">
        <f t="shared" si="3"/>
        <v>31</v>
      </c>
    </row>
    <row r="369">
      <c r="A369" s="10" t="s">
        <v>27</v>
      </c>
      <c r="B369" s="9">
        <f t="shared" si="4"/>
        <v>45596</v>
      </c>
      <c r="C369" s="77" t="s">
        <v>1572</v>
      </c>
      <c r="D369" s="13">
        <f>D366+D367-D368</f>
        <v>110773.369</v>
      </c>
      <c r="E369" s="15">
        <f t="shared" si="1"/>
        <v>2024</v>
      </c>
      <c r="F369" s="15">
        <f t="shared" si="2"/>
        <v>10</v>
      </c>
      <c r="G369" s="15">
        <f t="shared" si="3"/>
        <v>31</v>
      </c>
    </row>
    <row r="370">
      <c r="A370" s="10" t="s">
        <v>27</v>
      </c>
      <c r="B370" s="9">
        <f t="shared" si="4"/>
        <v>45597</v>
      </c>
      <c r="C370" s="77" t="s">
        <v>1569</v>
      </c>
      <c r="D370" s="12">
        <f>D369</f>
        <v>110773.369</v>
      </c>
      <c r="E370" s="15">
        <f t="shared" si="1"/>
        <v>2024</v>
      </c>
      <c r="F370" s="15">
        <f t="shared" si="2"/>
        <v>11</v>
      </c>
      <c r="G370" s="15">
        <f t="shared" si="3"/>
        <v>1</v>
      </c>
    </row>
    <row r="371">
      <c r="A371" s="10" t="s">
        <v>27</v>
      </c>
      <c r="B371" s="9">
        <f t="shared" si="4"/>
        <v>45597</v>
      </c>
      <c r="C371" s="77" t="s">
        <v>1570</v>
      </c>
      <c r="D371" s="13">
        <f>SUMIFS('Lançamentos de receitas'!$E:$E,'Lançamentos de receitas'!$A:$A,B371,'Lançamentos de receitas'!$C:$C,A371,'Lançamentos de receitas'!$F:$F,"TRANSFERÊNCIA")</f>
        <v>6181.41</v>
      </c>
      <c r="E371" s="15">
        <f t="shared" si="1"/>
        <v>2024</v>
      </c>
      <c r="F371" s="15">
        <f t="shared" si="2"/>
        <v>11</v>
      </c>
      <c r="G371" s="15">
        <f t="shared" si="3"/>
        <v>1</v>
      </c>
    </row>
    <row r="372">
      <c r="A372" s="10" t="s">
        <v>27</v>
      </c>
      <c r="B372" s="9">
        <f t="shared" si="4"/>
        <v>45597</v>
      </c>
      <c r="C372" s="77" t="s">
        <v>1571</v>
      </c>
      <c r="D372" s="13">
        <f>SUMIFS('Lançamentos de despesas'!$K:$K,'Lançamentos de despesas'!$C:$C,B372,'Lançamentos de despesas'!$G:$G,A372,'Lançamentos de despesas'!$E:$E,"pago")</f>
        <v>6210.13</v>
      </c>
      <c r="E372" s="15">
        <f t="shared" si="1"/>
        <v>2024</v>
      </c>
      <c r="F372" s="15">
        <f t="shared" si="2"/>
        <v>11</v>
      </c>
      <c r="G372" s="15">
        <f t="shared" si="3"/>
        <v>1</v>
      </c>
    </row>
    <row r="373">
      <c r="A373" s="10" t="s">
        <v>27</v>
      </c>
      <c r="B373" s="9">
        <f t="shared" si="4"/>
        <v>45597</v>
      </c>
      <c r="C373" s="77" t="s">
        <v>1572</v>
      </c>
      <c r="D373" s="13">
        <f>D370+D371-D372</f>
        <v>110744.649</v>
      </c>
      <c r="E373" s="15">
        <f t="shared" si="1"/>
        <v>2024</v>
      </c>
      <c r="F373" s="15">
        <f t="shared" si="2"/>
        <v>11</v>
      </c>
      <c r="G373" s="15">
        <f t="shared" si="3"/>
        <v>1</v>
      </c>
    </row>
    <row r="374">
      <c r="A374" s="10" t="s">
        <v>27</v>
      </c>
      <c r="B374" s="9">
        <f t="shared" si="4"/>
        <v>45598</v>
      </c>
      <c r="C374" s="77" t="s">
        <v>1569</v>
      </c>
      <c r="D374" s="12">
        <f>D373</f>
        <v>110744.649</v>
      </c>
      <c r="E374" s="15">
        <f t="shared" si="1"/>
        <v>2024</v>
      </c>
      <c r="F374" s="15">
        <f t="shared" si="2"/>
        <v>11</v>
      </c>
      <c r="G374" s="15">
        <f t="shared" si="3"/>
        <v>2</v>
      </c>
    </row>
    <row r="375">
      <c r="A375" s="10" t="s">
        <v>27</v>
      </c>
      <c r="B375" s="9">
        <f t="shared" si="4"/>
        <v>45598</v>
      </c>
      <c r="C375" s="77" t="s">
        <v>1570</v>
      </c>
      <c r="D375" s="13">
        <f>SUMIFS('Lançamentos de receitas'!$E:$E,'Lançamentos de receitas'!$A:$A,B375,'Lançamentos de receitas'!$C:$C,A375,'Lançamentos de receitas'!$F:$F,"TRANSFERÊNCIA")</f>
        <v>1052.72</v>
      </c>
      <c r="E375" s="15">
        <f t="shared" si="1"/>
        <v>2024</v>
      </c>
      <c r="F375" s="15">
        <f t="shared" si="2"/>
        <v>11</v>
      </c>
      <c r="G375" s="15">
        <f t="shared" si="3"/>
        <v>2</v>
      </c>
    </row>
    <row r="376">
      <c r="A376" s="10" t="s">
        <v>27</v>
      </c>
      <c r="B376" s="9">
        <f t="shared" si="4"/>
        <v>45598</v>
      </c>
      <c r="C376" s="77" t="s">
        <v>1571</v>
      </c>
      <c r="D376" s="13">
        <f>SUMIFS('Lançamentos de despesas'!$K:$K,'Lançamentos de despesas'!$C:$C,B376,'Lançamentos de despesas'!$G:$G,A376,'Lançamentos de despesas'!$E:$E,"pago")</f>
        <v>0</v>
      </c>
      <c r="E376" s="15">
        <f t="shared" si="1"/>
        <v>2024</v>
      </c>
      <c r="F376" s="15">
        <f t="shared" si="2"/>
        <v>11</v>
      </c>
      <c r="G376" s="15">
        <f t="shared" si="3"/>
        <v>2</v>
      </c>
    </row>
    <row r="377">
      <c r="A377" s="10" t="s">
        <v>27</v>
      </c>
      <c r="B377" s="9">
        <f t="shared" si="4"/>
        <v>45598</v>
      </c>
      <c r="C377" s="77" t="s">
        <v>1572</v>
      </c>
      <c r="D377" s="13">
        <f>D374+D375-D376</f>
        <v>111797.369</v>
      </c>
      <c r="E377" s="15">
        <f t="shared" si="1"/>
        <v>2024</v>
      </c>
      <c r="F377" s="15">
        <f t="shared" si="2"/>
        <v>11</v>
      </c>
      <c r="G377" s="15">
        <f t="shared" si="3"/>
        <v>2</v>
      </c>
    </row>
    <row r="378">
      <c r="A378" s="10" t="s">
        <v>27</v>
      </c>
      <c r="B378" s="9">
        <f t="shared" si="4"/>
        <v>45599</v>
      </c>
      <c r="C378" s="77" t="s">
        <v>1569</v>
      </c>
      <c r="D378" s="12">
        <f>D377</f>
        <v>111797.369</v>
      </c>
      <c r="E378" s="15">
        <f t="shared" si="1"/>
        <v>2024</v>
      </c>
      <c r="F378" s="15">
        <f t="shared" si="2"/>
        <v>11</v>
      </c>
      <c r="G378" s="15">
        <f t="shared" si="3"/>
        <v>3</v>
      </c>
    </row>
    <row r="379">
      <c r="A379" s="10" t="s">
        <v>27</v>
      </c>
      <c r="B379" s="9">
        <f t="shared" si="4"/>
        <v>45599</v>
      </c>
      <c r="C379" s="77" t="s">
        <v>1570</v>
      </c>
      <c r="D379" s="13">
        <f>SUMIFS('Lançamentos de receitas'!$E:$E,'Lançamentos de receitas'!$A:$A,B379,'Lançamentos de receitas'!$C:$C,A379,'Lançamentos de receitas'!$F:$F,"TRANSFERÊNCIA")</f>
        <v>1311.65</v>
      </c>
      <c r="E379" s="15">
        <f t="shared" si="1"/>
        <v>2024</v>
      </c>
      <c r="F379" s="15">
        <f t="shared" si="2"/>
        <v>11</v>
      </c>
      <c r="G379" s="15">
        <f t="shared" si="3"/>
        <v>3</v>
      </c>
    </row>
    <row r="380">
      <c r="A380" s="10" t="s">
        <v>27</v>
      </c>
      <c r="B380" s="9">
        <f t="shared" si="4"/>
        <v>45599</v>
      </c>
      <c r="C380" s="77" t="s">
        <v>1571</v>
      </c>
      <c r="D380" s="13">
        <f>SUMIFS('Lançamentos de despesas'!$K:$K,'Lançamentos de despesas'!$C:$C,B380,'Lançamentos de despesas'!$G:$G,A380,'Lançamentos de despesas'!$E:$E,"pago")</f>
        <v>0</v>
      </c>
      <c r="E380" s="15">
        <f t="shared" si="1"/>
        <v>2024</v>
      </c>
      <c r="F380" s="15">
        <f t="shared" si="2"/>
        <v>11</v>
      </c>
      <c r="G380" s="15">
        <f t="shared" si="3"/>
        <v>3</v>
      </c>
    </row>
    <row r="381">
      <c r="A381" s="10" t="s">
        <v>27</v>
      </c>
      <c r="B381" s="9">
        <f t="shared" si="4"/>
        <v>45599</v>
      </c>
      <c r="C381" s="77" t="s">
        <v>1572</v>
      </c>
      <c r="D381" s="13">
        <f>D378+D379-D380</f>
        <v>113109.019</v>
      </c>
      <c r="E381" s="15">
        <f t="shared" si="1"/>
        <v>2024</v>
      </c>
      <c r="F381" s="15">
        <f t="shared" si="2"/>
        <v>11</v>
      </c>
      <c r="G381" s="15">
        <f t="shared" si="3"/>
        <v>3</v>
      </c>
    </row>
    <row r="382">
      <c r="A382" s="10" t="s">
        <v>27</v>
      </c>
      <c r="B382" s="9">
        <f t="shared" si="4"/>
        <v>45600</v>
      </c>
      <c r="C382" s="77" t="s">
        <v>1569</v>
      </c>
      <c r="D382" s="12">
        <f>D381</f>
        <v>113109.019</v>
      </c>
      <c r="E382" s="15">
        <f t="shared" si="1"/>
        <v>2024</v>
      </c>
      <c r="F382" s="15">
        <f t="shared" si="2"/>
        <v>11</v>
      </c>
      <c r="G382" s="15">
        <f t="shared" si="3"/>
        <v>4</v>
      </c>
    </row>
    <row r="383">
      <c r="A383" s="10" t="s">
        <v>27</v>
      </c>
      <c r="B383" s="9">
        <f t="shared" si="4"/>
        <v>45600</v>
      </c>
      <c r="C383" s="77" t="s">
        <v>1570</v>
      </c>
      <c r="D383" s="13">
        <f>SUMIFS('Lançamentos de receitas'!$E:$E,'Lançamentos de receitas'!$A:$A,B383,'Lançamentos de receitas'!$C:$C,A383,'Lançamentos de receitas'!$F:$F,"TRANSFERÊNCIA")</f>
        <v>15730.15</v>
      </c>
      <c r="E383" s="15">
        <f t="shared" si="1"/>
        <v>2024</v>
      </c>
      <c r="F383" s="15">
        <f t="shared" si="2"/>
        <v>11</v>
      </c>
      <c r="G383" s="15">
        <f t="shared" si="3"/>
        <v>4</v>
      </c>
    </row>
    <row r="384">
      <c r="A384" s="10" t="s">
        <v>27</v>
      </c>
      <c r="B384" s="9">
        <f t="shared" si="4"/>
        <v>45600</v>
      </c>
      <c r="C384" s="77" t="s">
        <v>1571</v>
      </c>
      <c r="D384" s="13">
        <f>SUMIFS('Lançamentos de despesas'!$K:$K,'Lançamentos de despesas'!$C:$C,B384,'Lançamentos de despesas'!$G:$G,A384,'Lançamentos de despesas'!$E:$E,"pago")</f>
        <v>6240.3</v>
      </c>
      <c r="E384" s="15">
        <f t="shared" si="1"/>
        <v>2024</v>
      </c>
      <c r="F384" s="15">
        <f t="shared" si="2"/>
        <v>11</v>
      </c>
      <c r="G384" s="15">
        <f t="shared" si="3"/>
        <v>4</v>
      </c>
    </row>
    <row r="385">
      <c r="A385" s="10" t="s">
        <v>27</v>
      </c>
      <c r="B385" s="9">
        <f t="shared" si="4"/>
        <v>45600</v>
      </c>
      <c r="C385" s="77" t="s">
        <v>1572</v>
      </c>
      <c r="D385" s="13">
        <f>D382+D383-D384</f>
        <v>122598.869</v>
      </c>
      <c r="E385" s="15">
        <f t="shared" si="1"/>
        <v>2024</v>
      </c>
      <c r="F385" s="15">
        <f t="shared" si="2"/>
        <v>11</v>
      </c>
      <c r="G385" s="15">
        <f t="shared" si="3"/>
        <v>4</v>
      </c>
    </row>
    <row r="386">
      <c r="A386" s="10" t="s">
        <v>27</v>
      </c>
      <c r="B386" s="9">
        <f t="shared" si="4"/>
        <v>45601</v>
      </c>
      <c r="C386" s="77" t="s">
        <v>1569</v>
      </c>
      <c r="D386" s="12">
        <f>D385</f>
        <v>122598.869</v>
      </c>
      <c r="E386" s="15">
        <f t="shared" si="1"/>
        <v>2024</v>
      </c>
      <c r="F386" s="15">
        <f t="shared" si="2"/>
        <v>11</v>
      </c>
      <c r="G386" s="15">
        <f t="shared" si="3"/>
        <v>5</v>
      </c>
    </row>
    <row r="387">
      <c r="A387" s="10" t="s">
        <v>27</v>
      </c>
      <c r="B387" s="9">
        <f t="shared" si="4"/>
        <v>45601</v>
      </c>
      <c r="C387" s="77" t="s">
        <v>1570</v>
      </c>
      <c r="D387" s="13">
        <f>SUMIFS('Lançamentos de receitas'!$E:$E,'Lançamentos de receitas'!$A:$A,B387,'Lançamentos de receitas'!$C:$C,A387,'Lançamentos de receitas'!$F:$F,"TRANSFERÊNCIA")</f>
        <v>21384.49</v>
      </c>
      <c r="E387" s="15">
        <f t="shared" si="1"/>
        <v>2024</v>
      </c>
      <c r="F387" s="15">
        <f t="shared" si="2"/>
        <v>11</v>
      </c>
      <c r="G387" s="15">
        <f t="shared" si="3"/>
        <v>5</v>
      </c>
    </row>
    <row r="388">
      <c r="A388" s="10" t="s">
        <v>27</v>
      </c>
      <c r="B388" s="9">
        <f t="shared" si="4"/>
        <v>45601</v>
      </c>
      <c r="C388" s="77" t="s">
        <v>1571</v>
      </c>
      <c r="D388" s="13">
        <f>SUMIFS('Lançamentos de despesas'!$K:$K,'Lançamentos de despesas'!$C:$C,B388,'Lançamentos de despesas'!$G:$G,A388,'Lançamentos de despesas'!$E:$E,"pago")</f>
        <v>9150.72</v>
      </c>
      <c r="E388" s="15">
        <f t="shared" si="1"/>
        <v>2024</v>
      </c>
      <c r="F388" s="15">
        <f t="shared" si="2"/>
        <v>11</v>
      </c>
      <c r="G388" s="15">
        <f t="shared" si="3"/>
        <v>5</v>
      </c>
    </row>
    <row r="389">
      <c r="A389" s="10" t="s">
        <v>27</v>
      </c>
      <c r="B389" s="9">
        <f t="shared" si="4"/>
        <v>45601</v>
      </c>
      <c r="C389" s="77" t="s">
        <v>1572</v>
      </c>
      <c r="D389" s="13">
        <f>D386+D387-D388</f>
        <v>134832.639</v>
      </c>
      <c r="E389" s="15">
        <f t="shared" si="1"/>
        <v>2024</v>
      </c>
      <c r="F389" s="15">
        <f t="shared" si="2"/>
        <v>11</v>
      </c>
      <c r="G389" s="15">
        <f t="shared" si="3"/>
        <v>5</v>
      </c>
    </row>
    <row r="390">
      <c r="A390" s="10" t="s">
        <v>27</v>
      </c>
      <c r="B390" s="9">
        <f t="shared" si="4"/>
        <v>45602</v>
      </c>
      <c r="C390" s="77" t="s">
        <v>1569</v>
      </c>
      <c r="D390" s="12">
        <f>D389</f>
        <v>134832.639</v>
      </c>
      <c r="E390" s="15">
        <f t="shared" si="1"/>
        <v>2024</v>
      </c>
      <c r="F390" s="15">
        <f t="shared" si="2"/>
        <v>11</v>
      </c>
      <c r="G390" s="15">
        <f t="shared" si="3"/>
        <v>6</v>
      </c>
    </row>
    <row r="391">
      <c r="A391" s="10" t="s">
        <v>27</v>
      </c>
      <c r="B391" s="9">
        <f t="shared" si="4"/>
        <v>45602</v>
      </c>
      <c r="C391" s="77" t="s">
        <v>1570</v>
      </c>
      <c r="D391" s="13">
        <f>SUMIFS('Lançamentos de receitas'!$E:$E,'Lançamentos de receitas'!$A:$A,B391,'Lançamentos de receitas'!$C:$C,A391,'Lançamentos de receitas'!$F:$F,"TRANSFERÊNCIA")</f>
        <v>1836.35</v>
      </c>
      <c r="E391" s="15">
        <f t="shared" si="1"/>
        <v>2024</v>
      </c>
      <c r="F391" s="15">
        <f t="shared" si="2"/>
        <v>11</v>
      </c>
      <c r="G391" s="15">
        <f t="shared" si="3"/>
        <v>6</v>
      </c>
    </row>
    <row r="392">
      <c r="A392" s="10" t="s">
        <v>27</v>
      </c>
      <c r="B392" s="9">
        <f t="shared" si="4"/>
        <v>45602</v>
      </c>
      <c r="C392" s="77" t="s">
        <v>1571</v>
      </c>
      <c r="D392" s="13">
        <f>SUMIFS('Lançamentos de despesas'!$K:$K,'Lançamentos de despesas'!$C:$C,B392,'Lançamentos de despesas'!$G:$G,A392,'Lançamentos de despesas'!$E:$E,"pago")</f>
        <v>3978.8</v>
      </c>
      <c r="E392" s="15">
        <f t="shared" si="1"/>
        <v>2024</v>
      </c>
      <c r="F392" s="15">
        <f t="shared" si="2"/>
        <v>11</v>
      </c>
      <c r="G392" s="15">
        <f t="shared" si="3"/>
        <v>6</v>
      </c>
    </row>
    <row r="393">
      <c r="A393" s="10" t="s">
        <v>27</v>
      </c>
      <c r="B393" s="9">
        <f t="shared" si="4"/>
        <v>45602</v>
      </c>
      <c r="C393" s="77" t="s">
        <v>1572</v>
      </c>
      <c r="D393" s="13">
        <f>D390+D391-D392</f>
        <v>132690.189</v>
      </c>
      <c r="E393" s="15">
        <f t="shared" si="1"/>
        <v>2024</v>
      </c>
      <c r="F393" s="15">
        <f t="shared" si="2"/>
        <v>11</v>
      </c>
      <c r="G393" s="15">
        <f t="shared" si="3"/>
        <v>6</v>
      </c>
    </row>
    <row r="394">
      <c r="A394" s="10" t="s">
        <v>27</v>
      </c>
      <c r="B394" s="9">
        <f t="shared" si="4"/>
        <v>45603</v>
      </c>
      <c r="C394" s="77" t="s">
        <v>1569</v>
      </c>
      <c r="D394" s="12">
        <f>D393</f>
        <v>132690.189</v>
      </c>
      <c r="E394" s="15">
        <f t="shared" si="1"/>
        <v>2024</v>
      </c>
      <c r="F394" s="15">
        <f t="shared" si="2"/>
        <v>11</v>
      </c>
      <c r="G394" s="15">
        <f t="shared" si="3"/>
        <v>7</v>
      </c>
    </row>
    <row r="395">
      <c r="A395" s="10" t="s">
        <v>27</v>
      </c>
      <c r="B395" s="9">
        <f t="shared" si="4"/>
        <v>45603</v>
      </c>
      <c r="C395" s="77" t="s">
        <v>1570</v>
      </c>
      <c r="D395" s="13">
        <f>SUMIFS('Lançamentos de receitas'!$E:$E,'Lançamentos de receitas'!$A:$A,B395,'Lançamentos de receitas'!$C:$C,A395,'Lançamentos de receitas'!$F:$F,"TRANSFERÊNCIA")</f>
        <v>1183.34</v>
      </c>
      <c r="E395" s="15">
        <f t="shared" si="1"/>
        <v>2024</v>
      </c>
      <c r="F395" s="15">
        <f t="shared" si="2"/>
        <v>11</v>
      </c>
      <c r="G395" s="15">
        <f t="shared" si="3"/>
        <v>7</v>
      </c>
    </row>
    <row r="396">
      <c r="A396" s="10" t="s">
        <v>27</v>
      </c>
      <c r="B396" s="9">
        <f t="shared" si="4"/>
        <v>45603</v>
      </c>
      <c r="C396" s="77" t="s">
        <v>1571</v>
      </c>
      <c r="D396" s="13">
        <f>SUMIFS('Lançamentos de despesas'!$K:$K,'Lançamentos de despesas'!$C:$C,B396,'Lançamentos de despesas'!$G:$G,A396,'Lançamentos de despesas'!$E:$E,"pago")</f>
        <v>0</v>
      </c>
      <c r="E396" s="15">
        <f t="shared" si="1"/>
        <v>2024</v>
      </c>
      <c r="F396" s="15">
        <f t="shared" si="2"/>
        <v>11</v>
      </c>
      <c r="G396" s="15">
        <f t="shared" si="3"/>
        <v>7</v>
      </c>
    </row>
    <row r="397">
      <c r="A397" s="10" t="s">
        <v>27</v>
      </c>
      <c r="B397" s="9">
        <f t="shared" si="4"/>
        <v>45603</v>
      </c>
      <c r="C397" s="77" t="s">
        <v>1572</v>
      </c>
      <c r="D397" s="13">
        <f>D394+D395-D396</f>
        <v>133873.529</v>
      </c>
      <c r="E397" s="15">
        <f t="shared" si="1"/>
        <v>2024</v>
      </c>
      <c r="F397" s="15">
        <f t="shared" si="2"/>
        <v>11</v>
      </c>
      <c r="G397" s="15">
        <f t="shared" si="3"/>
        <v>7</v>
      </c>
    </row>
    <row r="398">
      <c r="A398" s="10" t="s">
        <v>27</v>
      </c>
      <c r="B398" s="9">
        <f t="shared" si="4"/>
        <v>45604</v>
      </c>
      <c r="C398" s="77" t="s">
        <v>1569</v>
      </c>
      <c r="D398" s="12">
        <f>D397</f>
        <v>133873.529</v>
      </c>
      <c r="E398" s="15">
        <f t="shared" si="1"/>
        <v>2024</v>
      </c>
      <c r="F398" s="15">
        <f t="shared" si="2"/>
        <v>11</v>
      </c>
      <c r="G398" s="15">
        <f t="shared" si="3"/>
        <v>8</v>
      </c>
    </row>
    <row r="399">
      <c r="A399" s="10" t="s">
        <v>27</v>
      </c>
      <c r="B399" s="9">
        <f t="shared" si="4"/>
        <v>45604</v>
      </c>
      <c r="C399" s="77" t="s">
        <v>1570</v>
      </c>
      <c r="D399" s="13">
        <f>SUMIFS('Lançamentos de receitas'!$E:$E,'Lançamentos de receitas'!$A:$A,B399,'Lançamentos de receitas'!$C:$C,A399,'Lançamentos de receitas'!$F:$F,"TRANSFERÊNCIA")</f>
        <v>1407.97</v>
      </c>
      <c r="E399" s="15">
        <f t="shared" si="1"/>
        <v>2024</v>
      </c>
      <c r="F399" s="15">
        <f t="shared" si="2"/>
        <v>11</v>
      </c>
      <c r="G399" s="15">
        <f t="shared" si="3"/>
        <v>8</v>
      </c>
    </row>
    <row r="400">
      <c r="A400" s="10" t="s">
        <v>27</v>
      </c>
      <c r="B400" s="9">
        <f t="shared" si="4"/>
        <v>45604</v>
      </c>
      <c r="C400" s="77" t="s">
        <v>1571</v>
      </c>
      <c r="D400" s="13">
        <f>SUMIFS('Lançamentos de despesas'!$K:$K,'Lançamentos de despesas'!$C:$C,B400,'Lançamentos de despesas'!$G:$G,A400,'Lançamentos de despesas'!$E:$E,"pago")</f>
        <v>0</v>
      </c>
      <c r="E400" s="15">
        <f t="shared" si="1"/>
        <v>2024</v>
      </c>
      <c r="F400" s="15">
        <f t="shared" si="2"/>
        <v>11</v>
      </c>
      <c r="G400" s="15">
        <f t="shared" si="3"/>
        <v>8</v>
      </c>
    </row>
    <row r="401">
      <c r="A401" s="10" t="s">
        <v>27</v>
      </c>
      <c r="B401" s="9">
        <f t="shared" si="4"/>
        <v>45604</v>
      </c>
      <c r="C401" s="77" t="s">
        <v>1572</v>
      </c>
      <c r="D401" s="13">
        <f>D398+D399-D400</f>
        <v>135281.499</v>
      </c>
      <c r="E401" s="15">
        <f t="shared" si="1"/>
        <v>2024</v>
      </c>
      <c r="F401" s="15">
        <f t="shared" si="2"/>
        <v>11</v>
      </c>
      <c r="G401" s="15">
        <f t="shared" si="3"/>
        <v>8</v>
      </c>
    </row>
    <row r="402">
      <c r="A402" s="10" t="s">
        <v>27</v>
      </c>
      <c r="B402" s="9">
        <f t="shared" si="4"/>
        <v>45605</v>
      </c>
      <c r="C402" s="77" t="s">
        <v>1569</v>
      </c>
      <c r="D402" s="12">
        <f>D401</f>
        <v>135281.499</v>
      </c>
      <c r="E402" s="15">
        <f t="shared" si="1"/>
        <v>2024</v>
      </c>
      <c r="F402" s="15">
        <f t="shared" si="2"/>
        <v>11</v>
      </c>
      <c r="G402" s="15">
        <f t="shared" si="3"/>
        <v>9</v>
      </c>
    </row>
    <row r="403">
      <c r="A403" s="10" t="s">
        <v>27</v>
      </c>
      <c r="B403" s="9">
        <f t="shared" si="4"/>
        <v>45605</v>
      </c>
      <c r="C403" s="77" t="s">
        <v>1570</v>
      </c>
      <c r="D403" s="13">
        <f>SUMIFS('Lançamentos de receitas'!$E:$E,'Lançamentos de receitas'!$A:$A,B403,'Lançamentos de receitas'!$C:$C,A403,'Lançamentos de receitas'!$F:$F,"TRANSFERÊNCIA")</f>
        <v>1157.36</v>
      </c>
      <c r="E403" s="15">
        <f t="shared" si="1"/>
        <v>2024</v>
      </c>
      <c r="F403" s="15">
        <f t="shared" si="2"/>
        <v>11</v>
      </c>
      <c r="G403" s="15">
        <f t="shared" si="3"/>
        <v>9</v>
      </c>
    </row>
    <row r="404">
      <c r="A404" s="10" t="s">
        <v>27</v>
      </c>
      <c r="B404" s="9">
        <f t="shared" si="4"/>
        <v>45605</v>
      </c>
      <c r="C404" s="77" t="s">
        <v>1571</v>
      </c>
      <c r="D404" s="13">
        <f>SUMIFS('Lançamentos de despesas'!$K:$K,'Lançamentos de despesas'!$C:$C,B404,'Lançamentos de despesas'!$G:$G,A404,'Lançamentos de despesas'!$E:$E,"pago")</f>
        <v>0</v>
      </c>
      <c r="E404" s="15">
        <f t="shared" si="1"/>
        <v>2024</v>
      </c>
      <c r="F404" s="15">
        <f t="shared" si="2"/>
        <v>11</v>
      </c>
      <c r="G404" s="15">
        <f t="shared" si="3"/>
        <v>9</v>
      </c>
    </row>
    <row r="405">
      <c r="A405" s="10" t="s">
        <v>27</v>
      </c>
      <c r="B405" s="9">
        <f t="shared" si="4"/>
        <v>45605</v>
      </c>
      <c r="C405" s="77" t="s">
        <v>1572</v>
      </c>
      <c r="D405" s="13">
        <f>D402+D403-D404</f>
        <v>136438.859</v>
      </c>
      <c r="E405" s="15">
        <f t="shared" si="1"/>
        <v>2024</v>
      </c>
      <c r="F405" s="15">
        <f t="shared" si="2"/>
        <v>11</v>
      </c>
      <c r="G405" s="15">
        <f t="shared" si="3"/>
        <v>9</v>
      </c>
    </row>
    <row r="406">
      <c r="A406" s="10" t="s">
        <v>27</v>
      </c>
      <c r="B406" s="9">
        <f t="shared" si="4"/>
        <v>45606</v>
      </c>
      <c r="C406" s="77" t="s">
        <v>1569</v>
      </c>
      <c r="D406" s="12">
        <f>D405</f>
        <v>136438.859</v>
      </c>
      <c r="E406" s="15">
        <f t="shared" si="1"/>
        <v>2024</v>
      </c>
      <c r="F406" s="15">
        <f t="shared" si="2"/>
        <v>11</v>
      </c>
      <c r="G406" s="15">
        <f t="shared" si="3"/>
        <v>10</v>
      </c>
    </row>
    <row r="407">
      <c r="A407" s="10" t="s">
        <v>27</v>
      </c>
      <c r="B407" s="9">
        <f t="shared" si="4"/>
        <v>45606</v>
      </c>
      <c r="C407" s="77" t="s">
        <v>1570</v>
      </c>
      <c r="D407" s="13">
        <f>SUMIFS('Lançamentos de receitas'!$E:$E,'Lançamentos de receitas'!$A:$A,B407,'Lançamentos de receitas'!$C:$C,A407,'Lançamentos de receitas'!$F:$F,"TRANSFERÊNCIA")</f>
        <v>1234.57</v>
      </c>
      <c r="E407" s="15">
        <f t="shared" si="1"/>
        <v>2024</v>
      </c>
      <c r="F407" s="15">
        <f t="shared" si="2"/>
        <v>11</v>
      </c>
      <c r="G407" s="15">
        <f t="shared" si="3"/>
        <v>10</v>
      </c>
    </row>
    <row r="408">
      <c r="A408" s="10" t="s">
        <v>27</v>
      </c>
      <c r="B408" s="9">
        <f t="shared" si="4"/>
        <v>45606</v>
      </c>
      <c r="C408" s="77" t="s">
        <v>1571</v>
      </c>
      <c r="D408" s="13">
        <f>SUMIFS('Lançamentos de despesas'!$K:$K,'Lançamentos de despesas'!$C:$C,B408,'Lançamentos de despesas'!$G:$G,A408,'Lançamentos de despesas'!$E:$E,"pago")</f>
        <v>0</v>
      </c>
      <c r="E408" s="15">
        <f t="shared" si="1"/>
        <v>2024</v>
      </c>
      <c r="F408" s="15">
        <f t="shared" si="2"/>
        <v>11</v>
      </c>
      <c r="G408" s="15">
        <f t="shared" si="3"/>
        <v>10</v>
      </c>
    </row>
    <row r="409">
      <c r="A409" s="10" t="s">
        <v>27</v>
      </c>
      <c r="B409" s="9">
        <f t="shared" si="4"/>
        <v>45606</v>
      </c>
      <c r="C409" s="77" t="s">
        <v>1572</v>
      </c>
      <c r="D409" s="13">
        <f>D406+D407-D408</f>
        <v>137673.429</v>
      </c>
      <c r="E409" s="15">
        <f t="shared" si="1"/>
        <v>2024</v>
      </c>
      <c r="F409" s="15">
        <f t="shared" si="2"/>
        <v>11</v>
      </c>
      <c r="G409" s="15">
        <f t="shared" si="3"/>
        <v>10</v>
      </c>
    </row>
    <row r="410">
      <c r="A410" s="10" t="s">
        <v>27</v>
      </c>
      <c r="B410" s="9">
        <f t="shared" si="4"/>
        <v>45607</v>
      </c>
      <c r="C410" s="77" t="s">
        <v>1569</v>
      </c>
      <c r="D410" s="12">
        <f>D409</f>
        <v>137673.429</v>
      </c>
      <c r="E410" s="15">
        <f t="shared" si="1"/>
        <v>2024</v>
      </c>
      <c r="F410" s="15">
        <f t="shared" si="2"/>
        <v>11</v>
      </c>
      <c r="G410" s="15">
        <f t="shared" si="3"/>
        <v>11</v>
      </c>
    </row>
    <row r="411">
      <c r="A411" s="10" t="s">
        <v>27</v>
      </c>
      <c r="B411" s="9">
        <f t="shared" si="4"/>
        <v>45607</v>
      </c>
      <c r="C411" s="77" t="s">
        <v>1570</v>
      </c>
      <c r="D411" s="13">
        <f>SUMIFS('Lançamentos de receitas'!$E:$E,'Lançamentos de receitas'!$A:$A,B411,'Lançamentos de receitas'!$C:$C,A411,'Lançamentos de receitas'!$F:$F,"TRANSFERÊNCIA")</f>
        <v>54.71</v>
      </c>
      <c r="E411" s="15">
        <f t="shared" si="1"/>
        <v>2024</v>
      </c>
      <c r="F411" s="15">
        <f t="shared" si="2"/>
        <v>11</v>
      </c>
      <c r="G411" s="15">
        <f t="shared" si="3"/>
        <v>11</v>
      </c>
    </row>
    <row r="412">
      <c r="A412" s="10" t="s">
        <v>27</v>
      </c>
      <c r="B412" s="9">
        <f t="shared" si="4"/>
        <v>45607</v>
      </c>
      <c r="C412" s="77" t="s">
        <v>1571</v>
      </c>
      <c r="D412" s="13">
        <f>SUMIFS('Lançamentos de despesas'!$K:$K,'Lançamentos de despesas'!$C:$C,B412,'Lançamentos de despesas'!$G:$G,A412,'Lançamentos de despesas'!$E:$E,"pago")</f>
        <v>3791.6</v>
      </c>
      <c r="E412" s="15">
        <f t="shared" si="1"/>
        <v>2024</v>
      </c>
      <c r="F412" s="15">
        <f t="shared" si="2"/>
        <v>11</v>
      </c>
      <c r="G412" s="15">
        <f t="shared" si="3"/>
        <v>11</v>
      </c>
    </row>
    <row r="413">
      <c r="A413" s="10" t="s">
        <v>27</v>
      </c>
      <c r="B413" s="9">
        <f t="shared" si="4"/>
        <v>45607</v>
      </c>
      <c r="C413" s="77" t="s">
        <v>1572</v>
      </c>
      <c r="D413" s="13">
        <f>D410+D411-D412</f>
        <v>133936.539</v>
      </c>
      <c r="E413" s="15">
        <f t="shared" si="1"/>
        <v>2024</v>
      </c>
      <c r="F413" s="15">
        <f t="shared" si="2"/>
        <v>11</v>
      </c>
      <c r="G413" s="15">
        <f t="shared" si="3"/>
        <v>11</v>
      </c>
    </row>
    <row r="414">
      <c r="A414" s="10" t="s">
        <v>27</v>
      </c>
      <c r="B414" s="9">
        <f t="shared" si="4"/>
        <v>45608</v>
      </c>
      <c r="C414" s="77" t="s">
        <v>1569</v>
      </c>
      <c r="D414" s="12">
        <f>D413</f>
        <v>133936.539</v>
      </c>
      <c r="E414" s="15">
        <f t="shared" si="1"/>
        <v>2024</v>
      </c>
      <c r="F414" s="15">
        <f t="shared" si="2"/>
        <v>11</v>
      </c>
      <c r="G414" s="15">
        <f t="shared" si="3"/>
        <v>12</v>
      </c>
    </row>
    <row r="415">
      <c r="A415" s="10" t="s">
        <v>27</v>
      </c>
      <c r="B415" s="9">
        <f t="shared" si="4"/>
        <v>45608</v>
      </c>
      <c r="C415" s="77" t="s">
        <v>1570</v>
      </c>
      <c r="D415" s="13">
        <f>SUMIFS('Lançamentos de receitas'!$E:$E,'Lançamentos de receitas'!$A:$A,B415,'Lançamentos de receitas'!$C:$C,A415,'Lançamentos de receitas'!$F:$F,"TRANSFERÊNCIA")</f>
        <v>2290.03</v>
      </c>
      <c r="E415" s="15">
        <f t="shared" si="1"/>
        <v>2024</v>
      </c>
      <c r="F415" s="15">
        <f t="shared" si="2"/>
        <v>11</v>
      </c>
      <c r="G415" s="15">
        <f t="shared" si="3"/>
        <v>12</v>
      </c>
    </row>
    <row r="416">
      <c r="A416" s="10" t="s">
        <v>27</v>
      </c>
      <c r="B416" s="9">
        <f t="shared" si="4"/>
        <v>45608</v>
      </c>
      <c r="C416" s="77" t="s">
        <v>1571</v>
      </c>
      <c r="D416" s="13">
        <f>SUMIFS('Lançamentos de despesas'!$K:$K,'Lançamentos de despesas'!$C:$C,B416,'Lançamentos de despesas'!$G:$G,A416,'Lançamentos de despesas'!$E:$E,"pago")</f>
        <v>3034.17</v>
      </c>
      <c r="E416" s="15">
        <f t="shared" si="1"/>
        <v>2024</v>
      </c>
      <c r="F416" s="15">
        <f t="shared" si="2"/>
        <v>11</v>
      </c>
      <c r="G416" s="15">
        <f t="shared" si="3"/>
        <v>12</v>
      </c>
    </row>
    <row r="417">
      <c r="A417" s="10" t="s">
        <v>27</v>
      </c>
      <c r="B417" s="9">
        <f t="shared" si="4"/>
        <v>45608</v>
      </c>
      <c r="C417" s="77" t="s">
        <v>1572</v>
      </c>
      <c r="D417" s="13">
        <f>D414+D415-D416</f>
        <v>133192.399</v>
      </c>
      <c r="E417" s="15">
        <f t="shared" si="1"/>
        <v>2024</v>
      </c>
      <c r="F417" s="15">
        <f t="shared" si="2"/>
        <v>11</v>
      </c>
      <c r="G417" s="15">
        <f t="shared" si="3"/>
        <v>12</v>
      </c>
    </row>
    <row r="418">
      <c r="A418" s="10" t="s">
        <v>27</v>
      </c>
      <c r="B418" s="9">
        <f t="shared" si="4"/>
        <v>45609</v>
      </c>
      <c r="C418" s="77" t="s">
        <v>1569</v>
      </c>
      <c r="D418" s="12">
        <f>D417</f>
        <v>133192.399</v>
      </c>
      <c r="E418" s="15">
        <f t="shared" si="1"/>
        <v>2024</v>
      </c>
      <c r="F418" s="15">
        <f t="shared" si="2"/>
        <v>11</v>
      </c>
      <c r="G418" s="15">
        <f t="shared" si="3"/>
        <v>13</v>
      </c>
    </row>
    <row r="419">
      <c r="A419" s="10" t="s">
        <v>27</v>
      </c>
      <c r="B419" s="9">
        <f t="shared" si="4"/>
        <v>45609</v>
      </c>
      <c r="C419" s="77" t="s">
        <v>1570</v>
      </c>
      <c r="D419" s="13">
        <f>SUMIFS('Lançamentos de receitas'!$E:$E,'Lançamentos de receitas'!$A:$A,B419,'Lançamentos de receitas'!$C:$C,A419,'Lançamentos de receitas'!$F:$F,"TRANSFERÊNCIA")</f>
        <v>2849.92</v>
      </c>
      <c r="E419" s="15">
        <f t="shared" si="1"/>
        <v>2024</v>
      </c>
      <c r="F419" s="15">
        <f t="shared" si="2"/>
        <v>11</v>
      </c>
      <c r="G419" s="15">
        <f t="shared" si="3"/>
        <v>13</v>
      </c>
    </row>
    <row r="420">
      <c r="A420" s="10" t="s">
        <v>27</v>
      </c>
      <c r="B420" s="9">
        <f t="shared" si="4"/>
        <v>45609</v>
      </c>
      <c r="C420" s="77" t="s">
        <v>1571</v>
      </c>
      <c r="D420" s="13">
        <f>SUMIFS('Lançamentos de despesas'!$K:$K,'Lançamentos de despesas'!$C:$C,B420,'Lançamentos de despesas'!$G:$G,A420,'Lançamentos de despesas'!$E:$E,"pago")</f>
        <v>174.68</v>
      </c>
      <c r="E420" s="15">
        <f t="shared" si="1"/>
        <v>2024</v>
      </c>
      <c r="F420" s="15">
        <f t="shared" si="2"/>
        <v>11</v>
      </c>
      <c r="G420" s="15">
        <f t="shared" si="3"/>
        <v>13</v>
      </c>
    </row>
    <row r="421">
      <c r="A421" s="10" t="s">
        <v>27</v>
      </c>
      <c r="B421" s="9">
        <f t="shared" si="4"/>
        <v>45609</v>
      </c>
      <c r="C421" s="77" t="s">
        <v>1572</v>
      </c>
      <c r="D421" s="13">
        <f>D418+D419-D420</f>
        <v>135867.639</v>
      </c>
      <c r="E421" s="15">
        <f t="shared" si="1"/>
        <v>2024</v>
      </c>
      <c r="F421" s="15">
        <f t="shared" si="2"/>
        <v>11</v>
      </c>
      <c r="G421" s="15">
        <f t="shared" si="3"/>
        <v>13</v>
      </c>
    </row>
    <row r="422">
      <c r="A422" s="10" t="s">
        <v>27</v>
      </c>
      <c r="B422" s="9">
        <f t="shared" si="4"/>
        <v>45610</v>
      </c>
      <c r="C422" s="77" t="s">
        <v>1569</v>
      </c>
      <c r="D422" s="12">
        <f>D421</f>
        <v>135867.639</v>
      </c>
      <c r="E422" s="15">
        <f t="shared" si="1"/>
        <v>2024</v>
      </c>
      <c r="F422" s="15">
        <f t="shared" si="2"/>
        <v>11</v>
      </c>
      <c r="G422" s="15">
        <f t="shared" si="3"/>
        <v>14</v>
      </c>
    </row>
    <row r="423">
      <c r="A423" s="10" t="s">
        <v>27</v>
      </c>
      <c r="B423" s="9">
        <f t="shared" si="4"/>
        <v>45610</v>
      </c>
      <c r="C423" s="77" t="s">
        <v>1570</v>
      </c>
      <c r="D423" s="13">
        <f>SUMIFS('Lançamentos de receitas'!$E:$E,'Lançamentos de receitas'!$A:$A,B423,'Lançamentos de receitas'!$C:$C,A423,'Lançamentos de receitas'!$F:$F,"TRANSFERÊNCIA")</f>
        <v>2168.56</v>
      </c>
      <c r="E423" s="15">
        <f t="shared" si="1"/>
        <v>2024</v>
      </c>
      <c r="F423" s="15">
        <f t="shared" si="2"/>
        <v>11</v>
      </c>
      <c r="G423" s="15">
        <f t="shared" si="3"/>
        <v>14</v>
      </c>
    </row>
    <row r="424">
      <c r="A424" s="10" t="s">
        <v>27</v>
      </c>
      <c r="B424" s="9">
        <f t="shared" si="4"/>
        <v>45610</v>
      </c>
      <c r="C424" s="77" t="s">
        <v>1571</v>
      </c>
      <c r="D424" s="13">
        <f>SUMIFS('Lançamentos de despesas'!$K:$K,'Lançamentos de despesas'!$C:$C,B424,'Lançamentos de despesas'!$G:$G,A424,'Lançamentos de despesas'!$E:$E,"pago")</f>
        <v>5060.2</v>
      </c>
      <c r="E424" s="15">
        <f t="shared" si="1"/>
        <v>2024</v>
      </c>
      <c r="F424" s="15">
        <f t="shared" si="2"/>
        <v>11</v>
      </c>
      <c r="G424" s="15">
        <f t="shared" si="3"/>
        <v>14</v>
      </c>
    </row>
    <row r="425">
      <c r="A425" s="10" t="s">
        <v>27</v>
      </c>
      <c r="B425" s="9">
        <f t="shared" si="4"/>
        <v>45610</v>
      </c>
      <c r="C425" s="77" t="s">
        <v>1572</v>
      </c>
      <c r="D425" s="13">
        <f>D422+D423-D424</f>
        <v>132975.999</v>
      </c>
      <c r="E425" s="15">
        <f t="shared" si="1"/>
        <v>2024</v>
      </c>
      <c r="F425" s="15">
        <f t="shared" si="2"/>
        <v>11</v>
      </c>
      <c r="G425" s="15">
        <f t="shared" si="3"/>
        <v>14</v>
      </c>
    </row>
    <row r="426">
      <c r="A426" s="10" t="s">
        <v>27</v>
      </c>
      <c r="B426" s="9">
        <f t="shared" si="4"/>
        <v>45611</v>
      </c>
      <c r="C426" s="77" t="s">
        <v>1569</v>
      </c>
      <c r="D426" s="12">
        <f>D425</f>
        <v>132975.999</v>
      </c>
      <c r="E426" s="15">
        <f t="shared" si="1"/>
        <v>2024</v>
      </c>
      <c r="F426" s="15">
        <f t="shared" si="2"/>
        <v>11</v>
      </c>
      <c r="G426" s="15">
        <f t="shared" si="3"/>
        <v>15</v>
      </c>
    </row>
    <row r="427">
      <c r="A427" s="10" t="s">
        <v>27</v>
      </c>
      <c r="B427" s="9">
        <f t="shared" si="4"/>
        <v>45611</v>
      </c>
      <c r="C427" s="77" t="s">
        <v>1570</v>
      </c>
      <c r="D427" s="13">
        <f>SUMIFS('Lançamentos de receitas'!$E:$E,'Lançamentos de receitas'!$A:$A,B427,'Lançamentos de receitas'!$C:$C,A427,'Lançamentos de receitas'!$F:$F,"TRANSFERÊNCIA")</f>
        <v>1565.21</v>
      </c>
      <c r="E427" s="15">
        <f t="shared" si="1"/>
        <v>2024</v>
      </c>
      <c r="F427" s="15">
        <f t="shared" si="2"/>
        <v>11</v>
      </c>
      <c r="G427" s="15">
        <f t="shared" si="3"/>
        <v>15</v>
      </c>
    </row>
    <row r="428">
      <c r="A428" s="10" t="s">
        <v>27</v>
      </c>
      <c r="B428" s="9">
        <f t="shared" si="4"/>
        <v>45611</v>
      </c>
      <c r="C428" s="77" t="s">
        <v>1571</v>
      </c>
      <c r="D428" s="13">
        <f>SUMIFS('Lançamentos de despesas'!$K:$K,'Lançamentos de despesas'!$C:$C,B428,'Lançamentos de despesas'!$G:$G,A428,'Lançamentos de despesas'!$E:$E,"pago")</f>
        <v>0</v>
      </c>
      <c r="E428" s="15">
        <f t="shared" si="1"/>
        <v>2024</v>
      </c>
      <c r="F428" s="15">
        <f t="shared" si="2"/>
        <v>11</v>
      </c>
      <c r="G428" s="15">
        <f t="shared" si="3"/>
        <v>15</v>
      </c>
    </row>
    <row r="429">
      <c r="A429" s="10" t="s">
        <v>27</v>
      </c>
      <c r="B429" s="9">
        <f t="shared" si="4"/>
        <v>45611</v>
      </c>
      <c r="C429" s="77" t="s">
        <v>1572</v>
      </c>
      <c r="D429" s="13">
        <f>D426+D427-D428</f>
        <v>134541.209</v>
      </c>
      <c r="E429" s="15">
        <f t="shared" si="1"/>
        <v>2024</v>
      </c>
      <c r="F429" s="15">
        <f t="shared" si="2"/>
        <v>11</v>
      </c>
      <c r="G429" s="15">
        <f t="shared" si="3"/>
        <v>15</v>
      </c>
    </row>
    <row r="430">
      <c r="A430" s="10" t="s">
        <v>27</v>
      </c>
      <c r="B430" s="9">
        <f t="shared" si="4"/>
        <v>45612</v>
      </c>
      <c r="C430" s="77" t="s">
        <v>1569</v>
      </c>
      <c r="D430" s="12">
        <f>D429</f>
        <v>134541.209</v>
      </c>
      <c r="E430" s="15">
        <f t="shared" si="1"/>
        <v>2024</v>
      </c>
      <c r="F430" s="15">
        <f t="shared" si="2"/>
        <v>11</v>
      </c>
      <c r="G430" s="15">
        <f t="shared" si="3"/>
        <v>16</v>
      </c>
    </row>
    <row r="431">
      <c r="A431" s="10" t="s">
        <v>27</v>
      </c>
      <c r="B431" s="9">
        <f t="shared" si="4"/>
        <v>45612</v>
      </c>
      <c r="C431" s="77" t="s">
        <v>1570</v>
      </c>
      <c r="D431" s="13">
        <f>SUMIFS('Lançamentos de receitas'!$E:$E,'Lançamentos de receitas'!$A:$A,B431,'Lançamentos de receitas'!$C:$C,A431,'Lançamentos de receitas'!$F:$F,"TRANSFERÊNCIA")</f>
        <v>2076.1</v>
      </c>
      <c r="E431" s="15">
        <f t="shared" si="1"/>
        <v>2024</v>
      </c>
      <c r="F431" s="15">
        <f t="shared" si="2"/>
        <v>11</v>
      </c>
      <c r="G431" s="15">
        <f t="shared" si="3"/>
        <v>16</v>
      </c>
    </row>
    <row r="432">
      <c r="A432" s="10" t="s">
        <v>27</v>
      </c>
      <c r="B432" s="9">
        <f t="shared" si="4"/>
        <v>45612</v>
      </c>
      <c r="C432" s="77" t="s">
        <v>1571</v>
      </c>
      <c r="D432" s="13">
        <f>SUMIFS('Lançamentos de despesas'!$K:$K,'Lançamentos de despesas'!$C:$C,B432,'Lançamentos de despesas'!$G:$G,A432,'Lançamentos de despesas'!$E:$E,"pago")</f>
        <v>0</v>
      </c>
      <c r="E432" s="15">
        <f t="shared" si="1"/>
        <v>2024</v>
      </c>
      <c r="F432" s="15">
        <f t="shared" si="2"/>
        <v>11</v>
      </c>
      <c r="G432" s="15">
        <f t="shared" si="3"/>
        <v>16</v>
      </c>
    </row>
    <row r="433">
      <c r="A433" s="10" t="s">
        <v>27</v>
      </c>
      <c r="B433" s="9">
        <f t="shared" si="4"/>
        <v>45612</v>
      </c>
      <c r="C433" s="77" t="s">
        <v>1572</v>
      </c>
      <c r="D433" s="13">
        <f>D430+D431-D432</f>
        <v>136617.309</v>
      </c>
      <c r="E433" s="15">
        <f t="shared" si="1"/>
        <v>2024</v>
      </c>
      <c r="F433" s="15">
        <f t="shared" si="2"/>
        <v>11</v>
      </c>
      <c r="G433" s="15">
        <f t="shared" si="3"/>
        <v>16</v>
      </c>
    </row>
    <row r="434">
      <c r="A434" s="10" t="s">
        <v>27</v>
      </c>
      <c r="B434" s="9">
        <f t="shared" si="4"/>
        <v>45613</v>
      </c>
      <c r="C434" s="77" t="s">
        <v>1569</v>
      </c>
      <c r="D434" s="12">
        <f>D433</f>
        <v>136617.309</v>
      </c>
      <c r="E434" s="15">
        <f t="shared" si="1"/>
        <v>2024</v>
      </c>
      <c r="F434" s="15">
        <f t="shared" si="2"/>
        <v>11</v>
      </c>
      <c r="G434" s="15">
        <f t="shared" si="3"/>
        <v>17</v>
      </c>
    </row>
    <row r="435">
      <c r="A435" s="10" t="s">
        <v>27</v>
      </c>
      <c r="B435" s="9">
        <f t="shared" si="4"/>
        <v>45613</v>
      </c>
      <c r="C435" s="77" t="s">
        <v>1570</v>
      </c>
      <c r="D435" s="13">
        <f>SUMIFS('Lançamentos de receitas'!$E:$E,'Lançamentos de receitas'!$A:$A,B435,'Lançamentos de receitas'!$C:$C,A435,'Lançamentos de receitas'!$F:$F,"TRANSFERÊNCIA")</f>
        <v>1459.05</v>
      </c>
      <c r="E435" s="15">
        <f t="shared" si="1"/>
        <v>2024</v>
      </c>
      <c r="F435" s="15">
        <f t="shared" si="2"/>
        <v>11</v>
      </c>
      <c r="G435" s="15">
        <f t="shared" si="3"/>
        <v>17</v>
      </c>
    </row>
    <row r="436">
      <c r="A436" s="10" t="s">
        <v>27</v>
      </c>
      <c r="B436" s="9">
        <f t="shared" si="4"/>
        <v>45613</v>
      </c>
      <c r="C436" s="77" t="s">
        <v>1571</v>
      </c>
      <c r="D436" s="13">
        <f>SUMIFS('Lançamentos de despesas'!$K:$K,'Lançamentos de despesas'!$C:$C,B436,'Lançamentos de despesas'!$G:$G,A436,'Lançamentos de despesas'!$E:$E,"pago")</f>
        <v>0</v>
      </c>
      <c r="E436" s="15">
        <f t="shared" si="1"/>
        <v>2024</v>
      </c>
      <c r="F436" s="15">
        <f t="shared" si="2"/>
        <v>11</v>
      </c>
      <c r="G436" s="15">
        <f t="shared" si="3"/>
        <v>17</v>
      </c>
    </row>
    <row r="437">
      <c r="A437" s="10" t="s">
        <v>27</v>
      </c>
      <c r="B437" s="9">
        <f t="shared" si="4"/>
        <v>45613</v>
      </c>
      <c r="C437" s="77" t="s">
        <v>1572</v>
      </c>
      <c r="D437" s="13">
        <f>D434+D435-D436</f>
        <v>138076.359</v>
      </c>
      <c r="E437" s="15">
        <f t="shared" si="1"/>
        <v>2024</v>
      </c>
      <c r="F437" s="15">
        <f t="shared" si="2"/>
        <v>11</v>
      </c>
      <c r="G437" s="15">
        <f t="shared" si="3"/>
        <v>17</v>
      </c>
    </row>
    <row r="438">
      <c r="A438" s="10" t="s">
        <v>27</v>
      </c>
      <c r="B438" s="9">
        <f t="shared" si="4"/>
        <v>45614</v>
      </c>
      <c r="C438" s="77" t="s">
        <v>1569</v>
      </c>
      <c r="D438" s="12">
        <f>D437</f>
        <v>138076.359</v>
      </c>
      <c r="E438" s="15">
        <f t="shared" si="1"/>
        <v>2024</v>
      </c>
      <c r="F438" s="15">
        <f t="shared" si="2"/>
        <v>11</v>
      </c>
      <c r="G438" s="15">
        <f t="shared" si="3"/>
        <v>18</v>
      </c>
    </row>
    <row r="439">
      <c r="A439" s="10" t="s">
        <v>27</v>
      </c>
      <c r="B439" s="9">
        <f t="shared" si="4"/>
        <v>45614</v>
      </c>
      <c r="C439" s="77" t="s">
        <v>1570</v>
      </c>
      <c r="D439" s="13">
        <f>SUMIFS('Lançamentos de receitas'!$E:$E,'Lançamentos de receitas'!$A:$A,B439,'Lançamentos de receitas'!$C:$C,A439,'Lançamentos de receitas'!$F:$F,"TRANSFERÊNCIA")</f>
        <v>4775.44</v>
      </c>
      <c r="E439" s="15">
        <f t="shared" si="1"/>
        <v>2024</v>
      </c>
      <c r="F439" s="15">
        <f t="shared" si="2"/>
        <v>11</v>
      </c>
      <c r="G439" s="15">
        <f t="shared" si="3"/>
        <v>18</v>
      </c>
    </row>
    <row r="440">
      <c r="A440" s="10" t="s">
        <v>27</v>
      </c>
      <c r="B440" s="9">
        <f t="shared" si="4"/>
        <v>45614</v>
      </c>
      <c r="C440" s="77" t="s">
        <v>1571</v>
      </c>
      <c r="D440" s="13">
        <f>SUMIFS('Lançamentos de despesas'!$K:$K,'Lançamentos de despesas'!$C:$C,B440,'Lançamentos de despesas'!$G:$G,A440,'Lançamentos de despesas'!$E:$E,"pago")</f>
        <v>6350.72</v>
      </c>
      <c r="E440" s="15">
        <f t="shared" si="1"/>
        <v>2024</v>
      </c>
      <c r="F440" s="15">
        <f t="shared" si="2"/>
        <v>11</v>
      </c>
      <c r="G440" s="15">
        <f t="shared" si="3"/>
        <v>18</v>
      </c>
    </row>
    <row r="441">
      <c r="A441" s="10" t="s">
        <v>27</v>
      </c>
      <c r="B441" s="9">
        <f t="shared" si="4"/>
        <v>45614</v>
      </c>
      <c r="C441" s="77" t="s">
        <v>1572</v>
      </c>
      <c r="D441" s="13">
        <f>D438+D439-D440</f>
        <v>136501.079</v>
      </c>
      <c r="E441" s="15">
        <f t="shared" si="1"/>
        <v>2024</v>
      </c>
      <c r="F441" s="15">
        <f t="shared" si="2"/>
        <v>11</v>
      </c>
      <c r="G441" s="15">
        <f t="shared" si="3"/>
        <v>18</v>
      </c>
    </row>
    <row r="442">
      <c r="A442" s="10" t="s">
        <v>27</v>
      </c>
      <c r="B442" s="9">
        <f t="shared" si="4"/>
        <v>45615</v>
      </c>
      <c r="C442" s="77" t="s">
        <v>1569</v>
      </c>
      <c r="D442" s="12">
        <f>D441</f>
        <v>136501.079</v>
      </c>
      <c r="E442" s="15">
        <f t="shared" si="1"/>
        <v>2024</v>
      </c>
      <c r="F442" s="15">
        <f t="shared" si="2"/>
        <v>11</v>
      </c>
      <c r="G442" s="15">
        <f t="shared" si="3"/>
        <v>19</v>
      </c>
    </row>
    <row r="443">
      <c r="A443" s="10" t="s">
        <v>27</v>
      </c>
      <c r="B443" s="9">
        <f t="shared" si="4"/>
        <v>45615</v>
      </c>
      <c r="C443" s="77" t="s">
        <v>1570</v>
      </c>
      <c r="D443" s="13">
        <f>SUMIFS('Lançamentos de receitas'!$E:$E,'Lançamentos de receitas'!$A:$A,B443,'Lançamentos de receitas'!$C:$C,A443,'Lançamentos de receitas'!$F:$F,"TRANSFERÊNCIA")</f>
        <v>11588.61</v>
      </c>
      <c r="E443" s="15">
        <f t="shared" si="1"/>
        <v>2024</v>
      </c>
      <c r="F443" s="15">
        <f t="shared" si="2"/>
        <v>11</v>
      </c>
      <c r="G443" s="15">
        <f t="shared" si="3"/>
        <v>19</v>
      </c>
    </row>
    <row r="444">
      <c r="A444" s="10" t="s">
        <v>27</v>
      </c>
      <c r="B444" s="9">
        <f t="shared" si="4"/>
        <v>45615</v>
      </c>
      <c r="C444" s="77" t="s">
        <v>1571</v>
      </c>
      <c r="D444" s="13">
        <f>SUMIFS('Lançamentos de despesas'!$K:$K,'Lançamentos de despesas'!$C:$C,B444,'Lançamentos de despesas'!$G:$G,A444,'Lançamentos de despesas'!$E:$E,"pago")</f>
        <v>1518.92</v>
      </c>
      <c r="E444" s="15">
        <f t="shared" si="1"/>
        <v>2024</v>
      </c>
      <c r="F444" s="15">
        <f t="shared" si="2"/>
        <v>11</v>
      </c>
      <c r="G444" s="15">
        <f t="shared" si="3"/>
        <v>19</v>
      </c>
    </row>
    <row r="445">
      <c r="A445" s="10" t="s">
        <v>27</v>
      </c>
      <c r="B445" s="9">
        <f t="shared" si="4"/>
        <v>45615</v>
      </c>
      <c r="C445" s="77" t="s">
        <v>1572</v>
      </c>
      <c r="D445" s="13">
        <f>D442+D443-D444</f>
        <v>146570.769</v>
      </c>
      <c r="E445" s="15">
        <f t="shared" si="1"/>
        <v>2024</v>
      </c>
      <c r="F445" s="15">
        <f t="shared" si="2"/>
        <v>11</v>
      </c>
      <c r="G445" s="15">
        <f t="shared" si="3"/>
        <v>19</v>
      </c>
    </row>
    <row r="446">
      <c r="A446" s="10" t="s">
        <v>27</v>
      </c>
      <c r="B446" s="9">
        <f t="shared" si="4"/>
        <v>45616</v>
      </c>
      <c r="C446" s="77" t="s">
        <v>1569</v>
      </c>
      <c r="D446" s="12">
        <f>D445</f>
        <v>146570.769</v>
      </c>
      <c r="E446" s="15">
        <f t="shared" si="1"/>
        <v>2024</v>
      </c>
      <c r="F446" s="15">
        <f t="shared" si="2"/>
        <v>11</v>
      </c>
      <c r="G446" s="15">
        <f t="shared" si="3"/>
        <v>20</v>
      </c>
    </row>
    <row r="447">
      <c r="A447" s="10" t="s">
        <v>27</v>
      </c>
      <c r="B447" s="9">
        <f t="shared" si="4"/>
        <v>45616</v>
      </c>
      <c r="C447" s="77" t="s">
        <v>1570</v>
      </c>
      <c r="D447" s="13">
        <f>SUMIFS('Lançamentos de receitas'!$E:$E,'Lançamentos de receitas'!$A:$A,B447,'Lançamentos de receitas'!$C:$C,A447,'Lançamentos de receitas'!$F:$F,"TRANSFERÊNCIA")</f>
        <v>1746.03</v>
      </c>
      <c r="E447" s="15">
        <f t="shared" si="1"/>
        <v>2024</v>
      </c>
      <c r="F447" s="15">
        <f t="shared" si="2"/>
        <v>11</v>
      </c>
      <c r="G447" s="15">
        <f t="shared" si="3"/>
        <v>20</v>
      </c>
    </row>
    <row r="448">
      <c r="A448" s="10" t="s">
        <v>27</v>
      </c>
      <c r="B448" s="9">
        <f t="shared" si="4"/>
        <v>45616</v>
      </c>
      <c r="C448" s="77" t="s">
        <v>1571</v>
      </c>
      <c r="D448" s="13">
        <f>SUMIFS('Lançamentos de despesas'!$K:$K,'Lançamentos de despesas'!$C:$C,B448,'Lançamentos de despesas'!$G:$G,A448,'Lançamentos de despesas'!$E:$E,"pago")</f>
        <v>0</v>
      </c>
      <c r="E448" s="15">
        <f t="shared" si="1"/>
        <v>2024</v>
      </c>
      <c r="F448" s="15">
        <f t="shared" si="2"/>
        <v>11</v>
      </c>
      <c r="G448" s="15">
        <f t="shared" si="3"/>
        <v>20</v>
      </c>
    </row>
    <row r="449">
      <c r="A449" s="10" t="s">
        <v>27</v>
      </c>
      <c r="B449" s="9">
        <f t="shared" si="4"/>
        <v>45616</v>
      </c>
      <c r="C449" s="77" t="s">
        <v>1572</v>
      </c>
      <c r="D449" s="13">
        <f>D446+D447-D448</f>
        <v>148316.799</v>
      </c>
      <c r="E449" s="15">
        <f t="shared" si="1"/>
        <v>2024</v>
      </c>
      <c r="F449" s="15">
        <f t="shared" si="2"/>
        <v>11</v>
      </c>
      <c r="G449" s="15">
        <f t="shared" si="3"/>
        <v>20</v>
      </c>
    </row>
    <row r="450">
      <c r="A450" s="10" t="s">
        <v>27</v>
      </c>
      <c r="B450" s="9">
        <f t="shared" si="4"/>
        <v>45617</v>
      </c>
      <c r="C450" s="77" t="s">
        <v>1569</v>
      </c>
      <c r="D450" s="12">
        <f>D449</f>
        <v>148316.799</v>
      </c>
      <c r="E450" s="15">
        <f t="shared" si="1"/>
        <v>2024</v>
      </c>
      <c r="F450" s="15">
        <f t="shared" si="2"/>
        <v>11</v>
      </c>
      <c r="G450" s="15">
        <f t="shared" si="3"/>
        <v>21</v>
      </c>
    </row>
    <row r="451">
      <c r="A451" s="10" t="s">
        <v>27</v>
      </c>
      <c r="B451" s="9">
        <f t="shared" si="4"/>
        <v>45617</v>
      </c>
      <c r="C451" s="77" t="s">
        <v>1570</v>
      </c>
      <c r="D451" s="13">
        <f>SUMIFS('Lançamentos de receitas'!$E:$E,'Lançamentos de receitas'!$A:$A,B451,'Lançamentos de receitas'!$C:$C,A451,'Lançamentos de receitas'!$F:$F,"TRANSFERÊNCIA")</f>
        <v>1750.24</v>
      </c>
      <c r="E451" s="15">
        <f t="shared" si="1"/>
        <v>2024</v>
      </c>
      <c r="F451" s="15">
        <f t="shared" si="2"/>
        <v>11</v>
      </c>
      <c r="G451" s="15">
        <f t="shared" si="3"/>
        <v>21</v>
      </c>
    </row>
    <row r="452">
      <c r="A452" s="10" t="s">
        <v>27</v>
      </c>
      <c r="B452" s="9">
        <f t="shared" si="4"/>
        <v>45617</v>
      </c>
      <c r="C452" s="77" t="s">
        <v>1571</v>
      </c>
      <c r="D452" s="13">
        <f>SUMIFS('Lançamentos de despesas'!$K:$K,'Lançamentos de despesas'!$C:$C,B452,'Lançamentos de despesas'!$G:$G,A452,'Lançamentos de despesas'!$E:$E,"pago")</f>
        <v>21874.17</v>
      </c>
      <c r="E452" s="15">
        <f t="shared" si="1"/>
        <v>2024</v>
      </c>
      <c r="F452" s="15">
        <f t="shared" si="2"/>
        <v>11</v>
      </c>
      <c r="G452" s="15">
        <f t="shared" si="3"/>
        <v>21</v>
      </c>
    </row>
    <row r="453">
      <c r="A453" s="10" t="s">
        <v>27</v>
      </c>
      <c r="B453" s="9">
        <f t="shared" si="4"/>
        <v>45617</v>
      </c>
      <c r="C453" s="77" t="s">
        <v>1572</v>
      </c>
      <c r="D453" s="13">
        <f>D450+D451-D452</f>
        <v>128192.869</v>
      </c>
      <c r="E453" s="15">
        <f t="shared" si="1"/>
        <v>2024</v>
      </c>
      <c r="F453" s="15">
        <f t="shared" si="2"/>
        <v>11</v>
      </c>
      <c r="G453" s="15">
        <f t="shared" si="3"/>
        <v>21</v>
      </c>
    </row>
    <row r="454">
      <c r="A454" s="10" t="s">
        <v>27</v>
      </c>
      <c r="B454" s="9">
        <f t="shared" si="4"/>
        <v>45618</v>
      </c>
      <c r="C454" s="77" t="s">
        <v>1569</v>
      </c>
      <c r="D454" s="12">
        <f>D453</f>
        <v>128192.869</v>
      </c>
      <c r="E454" s="15">
        <f t="shared" si="1"/>
        <v>2024</v>
      </c>
      <c r="F454" s="15">
        <f t="shared" si="2"/>
        <v>11</v>
      </c>
      <c r="G454" s="15">
        <f t="shared" si="3"/>
        <v>22</v>
      </c>
    </row>
    <row r="455">
      <c r="A455" s="10" t="s">
        <v>27</v>
      </c>
      <c r="B455" s="9">
        <f t="shared" si="4"/>
        <v>45618</v>
      </c>
      <c r="C455" s="77" t="s">
        <v>1570</v>
      </c>
      <c r="D455" s="13">
        <f>SUMIFS('Lançamentos de receitas'!$E:$E,'Lançamentos de receitas'!$A:$A,B455,'Lançamentos de receitas'!$C:$C,A455,'Lançamentos de receitas'!$F:$F,"TRANSFERÊNCIA")</f>
        <v>1784</v>
      </c>
      <c r="E455" s="15">
        <f t="shared" si="1"/>
        <v>2024</v>
      </c>
      <c r="F455" s="15">
        <f t="shared" si="2"/>
        <v>11</v>
      </c>
      <c r="G455" s="15">
        <f t="shared" si="3"/>
        <v>22</v>
      </c>
    </row>
    <row r="456">
      <c r="A456" s="10" t="s">
        <v>27</v>
      </c>
      <c r="B456" s="9">
        <f t="shared" si="4"/>
        <v>45618</v>
      </c>
      <c r="C456" s="77" t="s">
        <v>1571</v>
      </c>
      <c r="D456" s="13">
        <f>SUMIFS('Lançamentos de despesas'!$K:$K,'Lançamentos de despesas'!$C:$C,B456,'Lançamentos de despesas'!$G:$G,A456,'Lançamentos de despesas'!$E:$E,"pago")</f>
        <v>7227.96</v>
      </c>
      <c r="E456" s="15">
        <f t="shared" si="1"/>
        <v>2024</v>
      </c>
      <c r="F456" s="15">
        <f t="shared" si="2"/>
        <v>11</v>
      </c>
      <c r="G456" s="15">
        <f t="shared" si="3"/>
        <v>22</v>
      </c>
    </row>
    <row r="457">
      <c r="A457" s="10" t="s">
        <v>27</v>
      </c>
      <c r="B457" s="9">
        <f t="shared" si="4"/>
        <v>45618</v>
      </c>
      <c r="C457" s="77" t="s">
        <v>1572</v>
      </c>
      <c r="D457" s="13">
        <f>D454+D455-D456</f>
        <v>122748.909</v>
      </c>
      <c r="E457" s="15">
        <f t="shared" si="1"/>
        <v>2024</v>
      </c>
      <c r="F457" s="15">
        <f t="shared" si="2"/>
        <v>11</v>
      </c>
      <c r="G457" s="15">
        <f t="shared" si="3"/>
        <v>22</v>
      </c>
    </row>
    <row r="458">
      <c r="A458" s="10" t="s">
        <v>27</v>
      </c>
      <c r="B458" s="9">
        <f t="shared" si="4"/>
        <v>45619</v>
      </c>
      <c r="C458" s="77" t="s">
        <v>1569</v>
      </c>
      <c r="D458" s="12">
        <f>D457</f>
        <v>122748.909</v>
      </c>
      <c r="E458" s="15">
        <f t="shared" si="1"/>
        <v>2024</v>
      </c>
      <c r="F458" s="15">
        <f t="shared" si="2"/>
        <v>11</v>
      </c>
      <c r="G458" s="15">
        <f t="shared" si="3"/>
        <v>23</v>
      </c>
    </row>
    <row r="459">
      <c r="A459" s="10" t="s">
        <v>27</v>
      </c>
      <c r="B459" s="9">
        <f t="shared" si="4"/>
        <v>45619</v>
      </c>
      <c r="C459" s="77" t="s">
        <v>1570</v>
      </c>
      <c r="D459" s="13">
        <f>SUMIFS('Lançamentos de receitas'!$E:$E,'Lançamentos de receitas'!$A:$A,B459,'Lançamentos de receitas'!$C:$C,A459,'Lançamentos de receitas'!$F:$F,"TRANSFERÊNCIA")</f>
        <v>875.79</v>
      </c>
      <c r="E459" s="15">
        <f t="shared" si="1"/>
        <v>2024</v>
      </c>
      <c r="F459" s="15">
        <f t="shared" si="2"/>
        <v>11</v>
      </c>
      <c r="G459" s="15">
        <f t="shared" si="3"/>
        <v>23</v>
      </c>
    </row>
    <row r="460">
      <c r="A460" s="10" t="s">
        <v>27</v>
      </c>
      <c r="B460" s="9">
        <f t="shared" si="4"/>
        <v>45619</v>
      </c>
      <c r="C460" s="77" t="s">
        <v>1571</v>
      </c>
      <c r="D460" s="13">
        <f>SUMIFS('Lançamentos de despesas'!$K:$K,'Lançamentos de despesas'!$C:$C,B460,'Lançamentos de despesas'!$G:$G,A460,'Lançamentos de despesas'!$E:$E,"pago")</f>
        <v>0</v>
      </c>
      <c r="E460" s="15">
        <f t="shared" si="1"/>
        <v>2024</v>
      </c>
      <c r="F460" s="15">
        <f t="shared" si="2"/>
        <v>11</v>
      </c>
      <c r="G460" s="15">
        <f t="shared" si="3"/>
        <v>23</v>
      </c>
    </row>
    <row r="461">
      <c r="A461" s="10" t="s">
        <v>27</v>
      </c>
      <c r="B461" s="9">
        <f t="shared" si="4"/>
        <v>45619</v>
      </c>
      <c r="C461" s="77" t="s">
        <v>1572</v>
      </c>
      <c r="D461" s="13">
        <f>D458+D459-D460</f>
        <v>123624.699</v>
      </c>
      <c r="E461" s="15">
        <f t="shared" si="1"/>
        <v>2024</v>
      </c>
      <c r="F461" s="15">
        <f t="shared" si="2"/>
        <v>11</v>
      </c>
      <c r="G461" s="15">
        <f t="shared" si="3"/>
        <v>23</v>
      </c>
    </row>
    <row r="462">
      <c r="A462" s="10" t="s">
        <v>27</v>
      </c>
      <c r="B462" s="9">
        <f t="shared" si="4"/>
        <v>45620</v>
      </c>
      <c r="C462" s="77" t="s">
        <v>1569</v>
      </c>
      <c r="D462" s="12">
        <f>D461</f>
        <v>123624.699</v>
      </c>
      <c r="E462" s="15">
        <f t="shared" si="1"/>
        <v>2024</v>
      </c>
      <c r="F462" s="15">
        <f t="shared" si="2"/>
        <v>11</v>
      </c>
      <c r="G462" s="15">
        <f t="shared" si="3"/>
        <v>24</v>
      </c>
    </row>
    <row r="463">
      <c r="A463" s="10" t="s">
        <v>27</v>
      </c>
      <c r="B463" s="9">
        <f t="shared" si="4"/>
        <v>45620</v>
      </c>
      <c r="C463" s="77" t="s">
        <v>1570</v>
      </c>
      <c r="D463" s="13">
        <f>SUMIFS('Lançamentos de receitas'!$E:$E,'Lançamentos de receitas'!$A:$A,B463,'Lançamentos de receitas'!$C:$C,A463,'Lançamentos de receitas'!$F:$F,"TRANSFERÊNCIA")</f>
        <v>1394.44</v>
      </c>
      <c r="E463" s="15">
        <f t="shared" si="1"/>
        <v>2024</v>
      </c>
      <c r="F463" s="15">
        <f t="shared" si="2"/>
        <v>11</v>
      </c>
      <c r="G463" s="15">
        <f t="shared" si="3"/>
        <v>24</v>
      </c>
    </row>
    <row r="464">
      <c r="A464" s="10" t="s">
        <v>27</v>
      </c>
      <c r="B464" s="9">
        <f t="shared" si="4"/>
        <v>45620</v>
      </c>
      <c r="C464" s="77" t="s">
        <v>1571</v>
      </c>
      <c r="D464" s="13">
        <f>SUMIFS('Lançamentos de despesas'!$K:$K,'Lançamentos de despesas'!$C:$C,B464,'Lançamentos de despesas'!$G:$G,A464,'Lançamentos de despesas'!$E:$E,"pago")</f>
        <v>0</v>
      </c>
      <c r="E464" s="15">
        <f t="shared" si="1"/>
        <v>2024</v>
      </c>
      <c r="F464" s="15">
        <f t="shared" si="2"/>
        <v>11</v>
      </c>
      <c r="G464" s="15">
        <f t="shared" si="3"/>
        <v>24</v>
      </c>
    </row>
    <row r="465">
      <c r="A465" s="10" t="s">
        <v>27</v>
      </c>
      <c r="B465" s="9">
        <f t="shared" si="4"/>
        <v>45620</v>
      </c>
      <c r="C465" s="77" t="s">
        <v>1572</v>
      </c>
      <c r="D465" s="13">
        <f>D462+D463-D464</f>
        <v>125019.139</v>
      </c>
      <c r="E465" s="15">
        <f t="shared" si="1"/>
        <v>2024</v>
      </c>
      <c r="F465" s="15">
        <f t="shared" si="2"/>
        <v>11</v>
      </c>
      <c r="G465" s="15">
        <f t="shared" si="3"/>
        <v>24</v>
      </c>
    </row>
    <row r="466">
      <c r="A466" s="10" t="s">
        <v>27</v>
      </c>
      <c r="B466" s="9">
        <f t="shared" si="4"/>
        <v>45621</v>
      </c>
      <c r="C466" s="77" t="s">
        <v>1569</v>
      </c>
      <c r="D466" s="12">
        <f>D465</f>
        <v>125019.139</v>
      </c>
      <c r="E466" s="15">
        <f t="shared" si="1"/>
        <v>2024</v>
      </c>
      <c r="F466" s="15">
        <f t="shared" si="2"/>
        <v>11</v>
      </c>
      <c r="G466" s="15">
        <f t="shared" si="3"/>
        <v>25</v>
      </c>
    </row>
    <row r="467">
      <c r="A467" s="10" t="s">
        <v>27</v>
      </c>
      <c r="B467" s="9">
        <f t="shared" si="4"/>
        <v>45621</v>
      </c>
      <c r="C467" s="77" t="s">
        <v>1570</v>
      </c>
      <c r="D467" s="13">
        <f>SUMIFS('Lançamentos de receitas'!$E:$E,'Lançamentos de receitas'!$A:$A,B467,'Lançamentos de receitas'!$C:$C,A467,'Lançamentos de receitas'!$F:$F,"TRANSFERÊNCIA")</f>
        <v>153.97</v>
      </c>
      <c r="E467" s="15">
        <f t="shared" si="1"/>
        <v>2024</v>
      </c>
      <c r="F467" s="15">
        <f t="shared" si="2"/>
        <v>11</v>
      </c>
      <c r="G467" s="15">
        <f t="shared" si="3"/>
        <v>25</v>
      </c>
    </row>
    <row r="468">
      <c r="A468" s="10" t="s">
        <v>27</v>
      </c>
      <c r="B468" s="9">
        <f t="shared" si="4"/>
        <v>45621</v>
      </c>
      <c r="C468" s="77" t="s">
        <v>1571</v>
      </c>
      <c r="D468" s="13">
        <f>SUMIFS('Lançamentos de despesas'!$K:$K,'Lançamentos de despesas'!$C:$C,B468,'Lançamentos de despesas'!$G:$G,A468,'Lançamentos de despesas'!$E:$E,"pago")</f>
        <v>6170.72</v>
      </c>
      <c r="E468" s="15">
        <f t="shared" si="1"/>
        <v>2024</v>
      </c>
      <c r="F468" s="15">
        <f t="shared" si="2"/>
        <v>11</v>
      </c>
      <c r="G468" s="15">
        <f t="shared" si="3"/>
        <v>25</v>
      </c>
    </row>
    <row r="469">
      <c r="A469" s="10" t="s">
        <v>27</v>
      </c>
      <c r="B469" s="9">
        <f t="shared" si="4"/>
        <v>45621</v>
      </c>
      <c r="C469" s="77" t="s">
        <v>1572</v>
      </c>
      <c r="D469" s="13">
        <f>D466+D467-D468</f>
        <v>119002.389</v>
      </c>
      <c r="E469" s="15">
        <f t="shared" si="1"/>
        <v>2024</v>
      </c>
      <c r="F469" s="15">
        <f t="shared" si="2"/>
        <v>11</v>
      </c>
      <c r="G469" s="15">
        <f t="shared" si="3"/>
        <v>25</v>
      </c>
    </row>
    <row r="470">
      <c r="A470" s="10" t="s">
        <v>27</v>
      </c>
      <c r="B470" s="9">
        <f t="shared" si="4"/>
        <v>45622</v>
      </c>
      <c r="C470" s="77" t="s">
        <v>1569</v>
      </c>
      <c r="D470" s="12">
        <f>D469</f>
        <v>119002.389</v>
      </c>
      <c r="E470" s="15">
        <f t="shared" si="1"/>
        <v>2024</v>
      </c>
      <c r="F470" s="15">
        <f t="shared" si="2"/>
        <v>11</v>
      </c>
      <c r="G470" s="15">
        <f t="shared" si="3"/>
        <v>26</v>
      </c>
    </row>
    <row r="471">
      <c r="A471" s="10" t="s">
        <v>27</v>
      </c>
      <c r="B471" s="9">
        <f t="shared" si="4"/>
        <v>45622</v>
      </c>
      <c r="C471" s="77" t="s">
        <v>1570</v>
      </c>
      <c r="D471" s="13">
        <f>SUMIFS('Lançamentos de receitas'!$E:$E,'Lançamentos de receitas'!$A:$A,B471,'Lançamentos de receitas'!$C:$C,A471,'Lançamentos de receitas'!$F:$F,"TRANSFERÊNCIA")</f>
        <v>2140.61</v>
      </c>
      <c r="E471" s="15">
        <f t="shared" si="1"/>
        <v>2024</v>
      </c>
      <c r="F471" s="15">
        <f t="shared" si="2"/>
        <v>11</v>
      </c>
      <c r="G471" s="15">
        <f t="shared" si="3"/>
        <v>26</v>
      </c>
    </row>
    <row r="472">
      <c r="A472" s="10" t="s">
        <v>27</v>
      </c>
      <c r="B472" s="9">
        <f t="shared" si="4"/>
        <v>45622</v>
      </c>
      <c r="C472" s="77" t="s">
        <v>1571</v>
      </c>
      <c r="D472" s="13">
        <f>SUMIFS('Lançamentos de despesas'!$K:$K,'Lançamentos de despesas'!$C:$C,B472,'Lançamentos de despesas'!$G:$G,A472,'Lançamentos de despesas'!$E:$E,"pago")</f>
        <v>0</v>
      </c>
      <c r="E472" s="15">
        <f t="shared" si="1"/>
        <v>2024</v>
      </c>
      <c r="F472" s="15">
        <f t="shared" si="2"/>
        <v>11</v>
      </c>
      <c r="G472" s="15">
        <f t="shared" si="3"/>
        <v>26</v>
      </c>
    </row>
    <row r="473">
      <c r="A473" s="10" t="s">
        <v>27</v>
      </c>
      <c r="B473" s="9">
        <f t="shared" si="4"/>
        <v>45622</v>
      </c>
      <c r="C473" s="77" t="s">
        <v>1572</v>
      </c>
      <c r="D473" s="13">
        <f>D470+D471-D472</f>
        <v>121142.999</v>
      </c>
      <c r="E473" s="15">
        <f t="shared" si="1"/>
        <v>2024</v>
      </c>
      <c r="F473" s="15">
        <f t="shared" si="2"/>
        <v>11</v>
      </c>
      <c r="G473" s="15">
        <f t="shared" si="3"/>
        <v>26</v>
      </c>
    </row>
    <row r="474">
      <c r="A474" s="10" t="s">
        <v>27</v>
      </c>
      <c r="B474" s="9">
        <f t="shared" si="4"/>
        <v>45623</v>
      </c>
      <c r="C474" s="77" t="s">
        <v>1569</v>
      </c>
      <c r="D474" s="12">
        <f>D473</f>
        <v>121142.999</v>
      </c>
      <c r="E474" s="15">
        <f t="shared" si="1"/>
        <v>2024</v>
      </c>
      <c r="F474" s="15">
        <f t="shared" si="2"/>
        <v>11</v>
      </c>
      <c r="G474" s="15">
        <f t="shared" si="3"/>
        <v>27</v>
      </c>
    </row>
    <row r="475">
      <c r="A475" s="10" t="s">
        <v>27</v>
      </c>
      <c r="B475" s="9">
        <f t="shared" si="4"/>
        <v>45623</v>
      </c>
      <c r="C475" s="77" t="s">
        <v>1570</v>
      </c>
      <c r="D475" s="13">
        <f>SUMIFS('Lançamentos de receitas'!$E:$E,'Lançamentos de receitas'!$A:$A,B475,'Lançamentos de receitas'!$C:$C,A475,'Lançamentos de receitas'!$F:$F,"TRANSFERÊNCIA")</f>
        <v>2828.84</v>
      </c>
      <c r="E475" s="15">
        <f t="shared" si="1"/>
        <v>2024</v>
      </c>
      <c r="F475" s="15">
        <f t="shared" si="2"/>
        <v>11</v>
      </c>
      <c r="G475" s="15">
        <f t="shared" si="3"/>
        <v>27</v>
      </c>
    </row>
    <row r="476">
      <c r="A476" s="10" t="s">
        <v>27</v>
      </c>
      <c r="B476" s="9">
        <f t="shared" si="4"/>
        <v>45623</v>
      </c>
      <c r="C476" s="77" t="s">
        <v>1571</v>
      </c>
      <c r="D476" s="13">
        <f>SUMIFS('Lançamentos de despesas'!$K:$K,'Lançamentos de despesas'!$C:$C,B476,'Lançamentos de despesas'!$G:$G,A476,'Lançamentos de despesas'!$E:$E,"pago")</f>
        <v>0</v>
      </c>
      <c r="E476" s="15">
        <f t="shared" si="1"/>
        <v>2024</v>
      </c>
      <c r="F476" s="15">
        <f t="shared" si="2"/>
        <v>11</v>
      </c>
      <c r="G476" s="15">
        <f t="shared" si="3"/>
        <v>27</v>
      </c>
    </row>
    <row r="477">
      <c r="A477" s="10" t="s">
        <v>27</v>
      </c>
      <c r="B477" s="9">
        <f t="shared" si="4"/>
        <v>45623</v>
      </c>
      <c r="C477" s="77" t="s">
        <v>1572</v>
      </c>
      <c r="D477" s="13">
        <f>D474+D475-D476</f>
        <v>123971.839</v>
      </c>
      <c r="E477" s="15">
        <f t="shared" si="1"/>
        <v>2024</v>
      </c>
      <c r="F477" s="15">
        <f t="shared" si="2"/>
        <v>11</v>
      </c>
      <c r="G477" s="15">
        <f t="shared" si="3"/>
        <v>27</v>
      </c>
    </row>
    <row r="478">
      <c r="A478" s="10" t="s">
        <v>27</v>
      </c>
      <c r="B478" s="9">
        <f t="shared" si="4"/>
        <v>45624</v>
      </c>
      <c r="C478" s="77" t="s">
        <v>1569</v>
      </c>
      <c r="D478" s="12">
        <f>D477</f>
        <v>123971.839</v>
      </c>
      <c r="E478" s="15">
        <f t="shared" si="1"/>
        <v>2024</v>
      </c>
      <c r="F478" s="15">
        <f t="shared" si="2"/>
        <v>11</v>
      </c>
      <c r="G478" s="15">
        <f t="shared" si="3"/>
        <v>28</v>
      </c>
    </row>
    <row r="479">
      <c r="A479" s="10" t="s">
        <v>27</v>
      </c>
      <c r="B479" s="9">
        <f t="shared" si="4"/>
        <v>45624</v>
      </c>
      <c r="C479" s="77" t="s">
        <v>1570</v>
      </c>
      <c r="D479" s="13">
        <f>SUMIFS('Lançamentos de receitas'!$E:$E,'Lançamentos de receitas'!$A:$A,B479,'Lançamentos de receitas'!$C:$C,A479,'Lançamentos de receitas'!$F:$F,"TRANSFERÊNCIA")</f>
        <v>1288.37</v>
      </c>
      <c r="E479" s="15">
        <f t="shared" si="1"/>
        <v>2024</v>
      </c>
      <c r="F479" s="15">
        <f t="shared" si="2"/>
        <v>11</v>
      </c>
      <c r="G479" s="15">
        <f t="shared" si="3"/>
        <v>28</v>
      </c>
    </row>
    <row r="480">
      <c r="A480" s="10" t="s">
        <v>27</v>
      </c>
      <c r="B480" s="9">
        <f t="shared" si="4"/>
        <v>45624</v>
      </c>
      <c r="C480" s="77" t="s">
        <v>1571</v>
      </c>
      <c r="D480" s="13">
        <f>SUMIFS('Lançamentos de despesas'!$K:$K,'Lançamentos de despesas'!$C:$C,B480,'Lançamentos de despesas'!$G:$G,A480,'Lançamentos de despesas'!$E:$E,"pago")</f>
        <v>990</v>
      </c>
      <c r="E480" s="15">
        <f t="shared" si="1"/>
        <v>2024</v>
      </c>
      <c r="F480" s="15">
        <f t="shared" si="2"/>
        <v>11</v>
      </c>
      <c r="G480" s="15">
        <f t="shared" si="3"/>
        <v>28</v>
      </c>
    </row>
    <row r="481">
      <c r="A481" s="10" t="s">
        <v>27</v>
      </c>
      <c r="B481" s="9">
        <f t="shared" si="4"/>
        <v>45624</v>
      </c>
      <c r="C481" s="77" t="s">
        <v>1572</v>
      </c>
      <c r="D481" s="13">
        <f>D478+D479-D480</f>
        <v>124270.209</v>
      </c>
      <c r="E481" s="15">
        <f t="shared" si="1"/>
        <v>2024</v>
      </c>
      <c r="F481" s="15">
        <f t="shared" si="2"/>
        <v>11</v>
      </c>
      <c r="G481" s="15">
        <f t="shared" si="3"/>
        <v>28</v>
      </c>
    </row>
    <row r="482">
      <c r="A482" s="10" t="s">
        <v>27</v>
      </c>
      <c r="B482" s="9">
        <f t="shared" si="4"/>
        <v>45625</v>
      </c>
      <c r="C482" s="77" t="s">
        <v>1569</v>
      </c>
      <c r="D482" s="12">
        <f>D481</f>
        <v>124270.209</v>
      </c>
      <c r="E482" s="15">
        <f t="shared" si="1"/>
        <v>2024</v>
      </c>
      <c r="F482" s="15">
        <f t="shared" si="2"/>
        <v>11</v>
      </c>
      <c r="G482" s="15">
        <f t="shared" si="3"/>
        <v>29</v>
      </c>
    </row>
    <row r="483">
      <c r="A483" s="10" t="s">
        <v>27</v>
      </c>
      <c r="B483" s="9">
        <f t="shared" si="4"/>
        <v>45625</v>
      </c>
      <c r="C483" s="77" t="s">
        <v>1570</v>
      </c>
      <c r="D483" s="13">
        <f>SUMIFS('Lançamentos de receitas'!$E:$E,'Lançamentos de receitas'!$A:$A,B483,'Lançamentos de receitas'!$C:$C,A483,'Lançamentos de receitas'!$F:$F,"TRANSFERÊNCIA")</f>
        <v>6830.12</v>
      </c>
      <c r="E483" s="15">
        <f t="shared" si="1"/>
        <v>2024</v>
      </c>
      <c r="F483" s="15">
        <f t="shared" si="2"/>
        <v>11</v>
      </c>
      <c r="G483" s="15">
        <f t="shared" si="3"/>
        <v>29</v>
      </c>
    </row>
    <row r="484">
      <c r="A484" s="10" t="s">
        <v>27</v>
      </c>
      <c r="B484" s="9">
        <f t="shared" si="4"/>
        <v>45625</v>
      </c>
      <c r="C484" s="77" t="s">
        <v>1571</v>
      </c>
      <c r="D484" s="13">
        <f>SUMIFS('Lançamentos de despesas'!$K:$K,'Lançamentos de despesas'!$C:$C,B484,'Lançamentos de despesas'!$G:$G,A484,'Lançamentos de despesas'!$E:$E,"pago")</f>
        <v>6060.46</v>
      </c>
      <c r="E484" s="15">
        <f t="shared" si="1"/>
        <v>2024</v>
      </c>
      <c r="F484" s="15">
        <f t="shared" si="2"/>
        <v>11</v>
      </c>
      <c r="G484" s="15">
        <f t="shared" si="3"/>
        <v>29</v>
      </c>
    </row>
    <row r="485">
      <c r="A485" s="10" t="s">
        <v>27</v>
      </c>
      <c r="B485" s="9">
        <f t="shared" si="4"/>
        <v>45625</v>
      </c>
      <c r="C485" s="77" t="s">
        <v>1572</v>
      </c>
      <c r="D485" s="13">
        <f>D482+D483-D484</f>
        <v>125039.869</v>
      </c>
      <c r="E485" s="15">
        <f t="shared" si="1"/>
        <v>2024</v>
      </c>
      <c r="F485" s="15">
        <f t="shared" si="2"/>
        <v>11</v>
      </c>
      <c r="G485" s="15">
        <f t="shared" si="3"/>
        <v>29</v>
      </c>
    </row>
    <row r="486">
      <c r="A486" s="10" t="s">
        <v>27</v>
      </c>
      <c r="B486" s="9">
        <f t="shared" si="4"/>
        <v>45626</v>
      </c>
      <c r="C486" s="77" t="s">
        <v>1569</v>
      </c>
      <c r="D486" s="12">
        <f>D485</f>
        <v>125039.869</v>
      </c>
      <c r="E486" s="15">
        <f t="shared" si="1"/>
        <v>2024</v>
      </c>
      <c r="F486" s="15">
        <f t="shared" si="2"/>
        <v>11</v>
      </c>
      <c r="G486" s="15">
        <f t="shared" si="3"/>
        <v>30</v>
      </c>
    </row>
    <row r="487">
      <c r="A487" s="10" t="s">
        <v>27</v>
      </c>
      <c r="B487" s="9">
        <f t="shared" si="4"/>
        <v>45626</v>
      </c>
      <c r="C487" s="77" t="s">
        <v>1570</v>
      </c>
      <c r="D487" s="13">
        <f>SUMIFS('Lançamentos de receitas'!$E:$E,'Lançamentos de receitas'!$A:$A,B487,'Lançamentos de receitas'!$C:$C,A487,'Lançamentos de receitas'!$F:$F,"TRANSFERÊNCIA")</f>
        <v>1324.24</v>
      </c>
      <c r="E487" s="15">
        <f t="shared" si="1"/>
        <v>2024</v>
      </c>
      <c r="F487" s="15">
        <f t="shared" si="2"/>
        <v>11</v>
      </c>
      <c r="G487" s="15">
        <f t="shared" si="3"/>
        <v>30</v>
      </c>
    </row>
    <row r="488">
      <c r="A488" s="10" t="s">
        <v>27</v>
      </c>
      <c r="B488" s="9">
        <f t="shared" si="4"/>
        <v>45626</v>
      </c>
      <c r="C488" s="77" t="s">
        <v>1571</v>
      </c>
      <c r="D488" s="13">
        <f>SUMIFS('Lançamentos de despesas'!$K:$K,'Lançamentos de despesas'!$C:$C,B488,'Lançamentos de despesas'!$G:$G,A488,'Lançamentos de despesas'!$E:$E,"pago")</f>
        <v>0</v>
      </c>
      <c r="E488" s="15">
        <f t="shared" si="1"/>
        <v>2024</v>
      </c>
      <c r="F488" s="15">
        <f t="shared" si="2"/>
        <v>11</v>
      </c>
      <c r="G488" s="15">
        <f t="shared" si="3"/>
        <v>30</v>
      </c>
    </row>
    <row r="489">
      <c r="A489" s="10" t="s">
        <v>27</v>
      </c>
      <c r="B489" s="9">
        <f t="shared" si="4"/>
        <v>45626</v>
      </c>
      <c r="C489" s="77" t="s">
        <v>1572</v>
      </c>
      <c r="D489" s="13">
        <f>D486+D487-D488</f>
        <v>126364.109</v>
      </c>
      <c r="E489" s="15">
        <f t="shared" si="1"/>
        <v>2024</v>
      </c>
      <c r="F489" s="15">
        <f t="shared" si="2"/>
        <v>11</v>
      </c>
      <c r="G489" s="15">
        <f t="shared" si="3"/>
        <v>30</v>
      </c>
    </row>
    <row r="490">
      <c r="A490" s="10" t="s">
        <v>27</v>
      </c>
      <c r="B490" s="9">
        <f t="shared" si="4"/>
        <v>45627</v>
      </c>
      <c r="C490" s="77" t="s">
        <v>1569</v>
      </c>
      <c r="D490" s="12">
        <f>D489</f>
        <v>126364.109</v>
      </c>
      <c r="E490" s="15">
        <f t="shared" si="1"/>
        <v>2024</v>
      </c>
      <c r="F490" s="15">
        <f t="shared" si="2"/>
        <v>12</v>
      </c>
      <c r="G490" s="15">
        <f t="shared" si="3"/>
        <v>1</v>
      </c>
    </row>
    <row r="491">
      <c r="A491" s="10" t="s">
        <v>27</v>
      </c>
      <c r="B491" s="9">
        <f t="shared" si="4"/>
        <v>45627</v>
      </c>
      <c r="C491" s="77" t="s">
        <v>1570</v>
      </c>
      <c r="D491" s="13">
        <f>SUMIFS('Lançamentos de receitas'!$E:$E,'Lançamentos de receitas'!$A:$A,B491,'Lançamentos de receitas'!$C:$C,A491,'Lançamentos de receitas'!$F:$F,"TRANSFERÊNCIA")</f>
        <v>689.52</v>
      </c>
      <c r="E491" s="15">
        <f t="shared" si="1"/>
        <v>2024</v>
      </c>
      <c r="F491" s="15">
        <f t="shared" si="2"/>
        <v>12</v>
      </c>
      <c r="G491" s="15">
        <f t="shared" si="3"/>
        <v>1</v>
      </c>
    </row>
    <row r="492">
      <c r="A492" s="10" t="s">
        <v>27</v>
      </c>
      <c r="B492" s="9">
        <f t="shared" si="4"/>
        <v>45627</v>
      </c>
      <c r="C492" s="77" t="s">
        <v>1571</v>
      </c>
      <c r="D492" s="13">
        <f>SUMIFS('Lançamentos de despesas'!$K:$K,'Lançamentos de despesas'!$C:$C,B492,'Lançamentos de despesas'!$G:$G,A492,'Lançamentos de despesas'!$E:$E,"pago")</f>
        <v>0</v>
      </c>
      <c r="E492" s="15">
        <f t="shared" si="1"/>
        <v>2024</v>
      </c>
      <c r="F492" s="15">
        <f t="shared" si="2"/>
        <v>12</v>
      </c>
      <c r="G492" s="15">
        <f t="shared" si="3"/>
        <v>1</v>
      </c>
    </row>
    <row r="493">
      <c r="A493" s="10" t="s">
        <v>27</v>
      </c>
      <c r="B493" s="9">
        <f t="shared" si="4"/>
        <v>45627</v>
      </c>
      <c r="C493" s="77" t="s">
        <v>1572</v>
      </c>
      <c r="D493" s="13">
        <f>D490+D491-D492</f>
        <v>127053.629</v>
      </c>
      <c r="E493" s="15">
        <f t="shared" si="1"/>
        <v>2024</v>
      </c>
      <c r="F493" s="15">
        <f t="shared" si="2"/>
        <v>12</v>
      </c>
      <c r="G493" s="15">
        <f t="shared" si="3"/>
        <v>1</v>
      </c>
    </row>
    <row r="494">
      <c r="A494" s="10" t="s">
        <v>27</v>
      </c>
      <c r="B494" s="9">
        <f t="shared" si="4"/>
        <v>45628</v>
      </c>
      <c r="C494" s="77" t="s">
        <v>1569</v>
      </c>
      <c r="D494" s="12">
        <f>D493</f>
        <v>127053.629</v>
      </c>
      <c r="E494" s="15">
        <f t="shared" si="1"/>
        <v>2024</v>
      </c>
      <c r="F494" s="15">
        <f t="shared" si="2"/>
        <v>12</v>
      </c>
      <c r="G494" s="15">
        <f t="shared" si="3"/>
        <v>2</v>
      </c>
    </row>
    <row r="495">
      <c r="A495" s="10" t="s">
        <v>27</v>
      </c>
      <c r="B495" s="9">
        <f t="shared" si="4"/>
        <v>45628</v>
      </c>
      <c r="C495" s="77" t="s">
        <v>1570</v>
      </c>
      <c r="D495" s="13">
        <f>SUMIFS('Lançamentos de receitas'!$E:$E,'Lançamentos de receitas'!$A:$A,B495,'Lançamentos de receitas'!$C:$C,A495,'Lançamentos de receitas'!$F:$F,"TRANSFERÊNCIA")</f>
        <v>15737.8</v>
      </c>
      <c r="E495" s="15">
        <f t="shared" si="1"/>
        <v>2024</v>
      </c>
      <c r="F495" s="15">
        <f t="shared" si="2"/>
        <v>12</v>
      </c>
      <c r="G495" s="15">
        <f t="shared" si="3"/>
        <v>2</v>
      </c>
    </row>
    <row r="496">
      <c r="A496" s="10" t="s">
        <v>27</v>
      </c>
      <c r="B496" s="9">
        <f t="shared" si="4"/>
        <v>45628</v>
      </c>
      <c r="C496" s="77" t="s">
        <v>1571</v>
      </c>
      <c r="D496" s="13">
        <f>SUMIFS('Lançamentos de despesas'!$K:$K,'Lançamentos de despesas'!$C:$C,B496,'Lançamentos de despesas'!$G:$G,A496,'Lançamentos de despesas'!$E:$E,"pago")</f>
        <v>6060.13</v>
      </c>
      <c r="E496" s="15">
        <f t="shared" si="1"/>
        <v>2024</v>
      </c>
      <c r="F496" s="15">
        <f t="shared" si="2"/>
        <v>12</v>
      </c>
      <c r="G496" s="15">
        <f t="shared" si="3"/>
        <v>2</v>
      </c>
    </row>
    <row r="497">
      <c r="A497" s="10" t="s">
        <v>27</v>
      </c>
      <c r="B497" s="9">
        <f t="shared" si="4"/>
        <v>45628</v>
      </c>
      <c r="C497" s="77" t="s">
        <v>1572</v>
      </c>
      <c r="D497" s="13">
        <f>D494+D495-D496</f>
        <v>136731.299</v>
      </c>
      <c r="E497" s="15">
        <f t="shared" si="1"/>
        <v>2024</v>
      </c>
      <c r="F497" s="15">
        <f t="shared" si="2"/>
        <v>12</v>
      </c>
      <c r="G497" s="15">
        <f t="shared" si="3"/>
        <v>2</v>
      </c>
    </row>
    <row r="498">
      <c r="A498" s="10" t="s">
        <v>27</v>
      </c>
      <c r="B498" s="9">
        <f t="shared" si="4"/>
        <v>45629</v>
      </c>
      <c r="C498" s="77" t="s">
        <v>1569</v>
      </c>
      <c r="D498" s="12">
        <f>D497</f>
        <v>136731.299</v>
      </c>
      <c r="E498" s="15">
        <f t="shared" si="1"/>
        <v>2024</v>
      </c>
      <c r="F498" s="15">
        <f t="shared" si="2"/>
        <v>12</v>
      </c>
      <c r="G498" s="15">
        <f t="shared" si="3"/>
        <v>3</v>
      </c>
    </row>
    <row r="499">
      <c r="A499" s="10" t="s">
        <v>27</v>
      </c>
      <c r="B499" s="9">
        <f t="shared" si="4"/>
        <v>45629</v>
      </c>
      <c r="C499" s="77" t="s">
        <v>1570</v>
      </c>
      <c r="D499" s="13">
        <f>SUMIFS('Lançamentos de receitas'!$E:$E,'Lançamentos de receitas'!$A:$A,B499,'Lançamentos de receitas'!$C:$C,A499,'Lançamentos de receitas'!$F:$F,"TRANSFERÊNCIA")</f>
        <v>1486.39</v>
      </c>
      <c r="E499" s="15">
        <f t="shared" si="1"/>
        <v>2024</v>
      </c>
      <c r="F499" s="15">
        <f t="shared" si="2"/>
        <v>12</v>
      </c>
      <c r="G499" s="15">
        <f t="shared" si="3"/>
        <v>3</v>
      </c>
    </row>
    <row r="500">
      <c r="A500" s="10" t="s">
        <v>27</v>
      </c>
      <c r="B500" s="9">
        <f t="shared" si="4"/>
        <v>45629</v>
      </c>
      <c r="C500" s="77" t="s">
        <v>1571</v>
      </c>
      <c r="D500" s="13">
        <f>SUMIFS('Lançamentos de despesas'!$K:$K,'Lançamentos de despesas'!$C:$C,B500,'Lançamentos de despesas'!$G:$G,A500,'Lançamentos de despesas'!$E:$E,"pago")</f>
        <v>3179.17</v>
      </c>
      <c r="E500" s="15">
        <f t="shared" si="1"/>
        <v>2024</v>
      </c>
      <c r="F500" s="15">
        <f t="shared" si="2"/>
        <v>12</v>
      </c>
      <c r="G500" s="15">
        <f t="shared" si="3"/>
        <v>3</v>
      </c>
    </row>
    <row r="501">
      <c r="A501" s="10" t="s">
        <v>27</v>
      </c>
      <c r="B501" s="9">
        <f t="shared" si="4"/>
        <v>45629</v>
      </c>
      <c r="C501" s="77" t="s">
        <v>1572</v>
      </c>
      <c r="D501" s="13">
        <f>D498+D499-D500</f>
        <v>135038.519</v>
      </c>
      <c r="E501" s="15">
        <f t="shared" si="1"/>
        <v>2024</v>
      </c>
      <c r="F501" s="15">
        <f t="shared" si="2"/>
        <v>12</v>
      </c>
      <c r="G501" s="15">
        <f t="shared" si="3"/>
        <v>3</v>
      </c>
    </row>
    <row r="502">
      <c r="A502" s="10" t="s">
        <v>27</v>
      </c>
      <c r="B502" s="9">
        <f t="shared" si="4"/>
        <v>45630</v>
      </c>
      <c r="C502" s="77" t="s">
        <v>1569</v>
      </c>
      <c r="D502" s="12">
        <f>D501</f>
        <v>135038.519</v>
      </c>
      <c r="E502" s="15">
        <f t="shared" si="1"/>
        <v>2024</v>
      </c>
      <c r="F502" s="15">
        <f t="shared" si="2"/>
        <v>12</v>
      </c>
      <c r="G502" s="15">
        <f t="shared" si="3"/>
        <v>4</v>
      </c>
    </row>
    <row r="503">
      <c r="A503" s="10" t="s">
        <v>27</v>
      </c>
      <c r="B503" s="9">
        <f t="shared" si="4"/>
        <v>45630</v>
      </c>
      <c r="C503" s="77" t="s">
        <v>1570</v>
      </c>
      <c r="D503" s="13">
        <f>SUMIFS('Lançamentos de receitas'!$E:$E,'Lançamentos de receitas'!$A:$A,B503,'Lançamentos de receitas'!$C:$C,A503,'Lançamentos de receitas'!$F:$F,"TRANSFERÊNCIA")</f>
        <v>2481.77</v>
      </c>
      <c r="E503" s="15">
        <f t="shared" si="1"/>
        <v>2024</v>
      </c>
      <c r="F503" s="15">
        <f t="shared" si="2"/>
        <v>12</v>
      </c>
      <c r="G503" s="15">
        <f t="shared" si="3"/>
        <v>4</v>
      </c>
    </row>
    <row r="504">
      <c r="A504" s="10" t="s">
        <v>27</v>
      </c>
      <c r="B504" s="9">
        <f t="shared" si="4"/>
        <v>45630</v>
      </c>
      <c r="C504" s="77" t="s">
        <v>1571</v>
      </c>
      <c r="D504" s="13">
        <f>SUMIFS('Lançamentos de despesas'!$K:$K,'Lançamentos de despesas'!$C:$C,B504,'Lançamentos de despesas'!$G:$G,A504,'Lançamentos de despesas'!$E:$E,"pago")</f>
        <v>0</v>
      </c>
      <c r="E504" s="15">
        <f t="shared" si="1"/>
        <v>2024</v>
      </c>
      <c r="F504" s="15">
        <f t="shared" si="2"/>
        <v>12</v>
      </c>
      <c r="G504" s="15">
        <f t="shared" si="3"/>
        <v>4</v>
      </c>
    </row>
    <row r="505">
      <c r="A505" s="10" t="s">
        <v>27</v>
      </c>
      <c r="B505" s="9">
        <f t="shared" si="4"/>
        <v>45630</v>
      </c>
      <c r="C505" s="77" t="s">
        <v>1572</v>
      </c>
      <c r="D505" s="13">
        <f>D502+D503-D504</f>
        <v>137520.289</v>
      </c>
      <c r="E505" s="15">
        <f t="shared" si="1"/>
        <v>2024</v>
      </c>
      <c r="F505" s="15">
        <f t="shared" si="2"/>
        <v>12</v>
      </c>
      <c r="G505" s="15">
        <f t="shared" si="3"/>
        <v>4</v>
      </c>
    </row>
    <row r="506">
      <c r="A506" s="10" t="s">
        <v>27</v>
      </c>
      <c r="B506" s="9">
        <f t="shared" si="4"/>
        <v>45631</v>
      </c>
      <c r="C506" s="77" t="s">
        <v>1569</v>
      </c>
      <c r="D506" s="12">
        <f>D505</f>
        <v>137520.289</v>
      </c>
      <c r="E506" s="15">
        <f t="shared" si="1"/>
        <v>2024</v>
      </c>
      <c r="F506" s="15">
        <f t="shared" si="2"/>
        <v>12</v>
      </c>
      <c r="G506" s="15">
        <f t="shared" si="3"/>
        <v>5</v>
      </c>
    </row>
    <row r="507">
      <c r="A507" s="10" t="s">
        <v>27</v>
      </c>
      <c r="B507" s="9">
        <f t="shared" si="4"/>
        <v>45631</v>
      </c>
      <c r="C507" s="77" t="s">
        <v>1570</v>
      </c>
      <c r="D507" s="13">
        <f>SUMIFS('Lançamentos de receitas'!$E:$E,'Lançamentos de receitas'!$A:$A,B507,'Lançamentos de receitas'!$C:$C,A507,'Lançamentos de receitas'!$F:$F,"TRANSFERÊNCIA")</f>
        <v>1974.64</v>
      </c>
      <c r="E507" s="15">
        <f t="shared" si="1"/>
        <v>2024</v>
      </c>
      <c r="F507" s="15">
        <f t="shared" si="2"/>
        <v>12</v>
      </c>
      <c r="G507" s="15">
        <f t="shared" si="3"/>
        <v>5</v>
      </c>
    </row>
    <row r="508">
      <c r="A508" s="10" t="s">
        <v>27</v>
      </c>
      <c r="B508" s="9">
        <f t="shared" si="4"/>
        <v>45631</v>
      </c>
      <c r="C508" s="77" t="s">
        <v>1571</v>
      </c>
      <c r="D508" s="13">
        <f>SUMIFS('Lançamentos de despesas'!$K:$K,'Lançamentos de despesas'!$C:$C,B508,'Lançamentos de despesas'!$G:$G,A508,'Lançamentos de despesas'!$E:$E,"pago")</f>
        <v>1214.27</v>
      </c>
      <c r="E508" s="15">
        <f t="shared" si="1"/>
        <v>2024</v>
      </c>
      <c r="F508" s="15">
        <f t="shared" si="2"/>
        <v>12</v>
      </c>
      <c r="G508" s="15">
        <f t="shared" si="3"/>
        <v>5</v>
      </c>
    </row>
    <row r="509">
      <c r="A509" s="10" t="s">
        <v>27</v>
      </c>
      <c r="B509" s="9">
        <f t="shared" si="4"/>
        <v>45631</v>
      </c>
      <c r="C509" s="77" t="s">
        <v>1572</v>
      </c>
      <c r="D509" s="13">
        <f>D506+D507-D508</f>
        <v>138280.659</v>
      </c>
      <c r="E509" s="15">
        <f t="shared" si="1"/>
        <v>2024</v>
      </c>
      <c r="F509" s="15">
        <f t="shared" si="2"/>
        <v>12</v>
      </c>
      <c r="G509" s="15">
        <f t="shared" si="3"/>
        <v>5</v>
      </c>
    </row>
    <row r="510">
      <c r="A510" s="10" t="s">
        <v>27</v>
      </c>
      <c r="B510" s="9">
        <f t="shared" si="4"/>
        <v>45632</v>
      </c>
      <c r="C510" s="77" t="s">
        <v>1569</v>
      </c>
      <c r="D510" s="12">
        <f>D509</f>
        <v>138280.659</v>
      </c>
      <c r="E510" s="15">
        <f t="shared" si="1"/>
        <v>2024</v>
      </c>
      <c r="F510" s="15">
        <f t="shared" si="2"/>
        <v>12</v>
      </c>
      <c r="G510" s="15">
        <f t="shared" si="3"/>
        <v>6</v>
      </c>
    </row>
    <row r="511">
      <c r="A511" s="10" t="s">
        <v>27</v>
      </c>
      <c r="B511" s="9">
        <f t="shared" si="4"/>
        <v>45632</v>
      </c>
      <c r="C511" s="77" t="s">
        <v>1570</v>
      </c>
      <c r="D511" s="13">
        <f>SUMIFS('Lançamentos de receitas'!$E:$E,'Lançamentos de receitas'!$A:$A,B511,'Lançamentos de receitas'!$C:$C,A511,'Lançamentos de receitas'!$F:$F,"TRANSFERÊNCIA")</f>
        <v>19819.9</v>
      </c>
      <c r="E511" s="15">
        <f t="shared" si="1"/>
        <v>2024</v>
      </c>
      <c r="F511" s="15">
        <f t="shared" si="2"/>
        <v>12</v>
      </c>
      <c r="G511" s="15">
        <f t="shared" si="3"/>
        <v>6</v>
      </c>
    </row>
    <row r="512">
      <c r="A512" s="10" t="s">
        <v>27</v>
      </c>
      <c r="B512" s="9">
        <f t="shared" si="4"/>
        <v>45632</v>
      </c>
      <c r="C512" s="77" t="s">
        <v>1571</v>
      </c>
      <c r="D512" s="13">
        <f>SUMIFS('Lançamentos de despesas'!$K:$K,'Lançamentos de despesas'!$C:$C,B512,'Lançamentos de despesas'!$G:$G,A512,'Lançamentos de despesas'!$E:$E,"pago")</f>
        <v>1708.8</v>
      </c>
      <c r="E512" s="15">
        <f t="shared" si="1"/>
        <v>2024</v>
      </c>
      <c r="F512" s="15">
        <f t="shared" si="2"/>
        <v>12</v>
      </c>
      <c r="G512" s="15">
        <f t="shared" si="3"/>
        <v>6</v>
      </c>
    </row>
    <row r="513">
      <c r="A513" s="10" t="s">
        <v>27</v>
      </c>
      <c r="B513" s="9">
        <f t="shared" si="4"/>
        <v>45632</v>
      </c>
      <c r="C513" s="77" t="s">
        <v>1572</v>
      </c>
      <c r="D513" s="13">
        <f>D510+D511-D512</f>
        <v>156391.759</v>
      </c>
      <c r="E513" s="15">
        <f t="shared" si="1"/>
        <v>2024</v>
      </c>
      <c r="F513" s="15">
        <f t="shared" si="2"/>
        <v>12</v>
      </c>
      <c r="G513" s="15">
        <f t="shared" si="3"/>
        <v>6</v>
      </c>
    </row>
    <row r="514">
      <c r="A514" s="10" t="s">
        <v>27</v>
      </c>
      <c r="B514" s="9">
        <f t="shared" si="4"/>
        <v>45633</v>
      </c>
      <c r="C514" s="77" t="s">
        <v>1569</v>
      </c>
      <c r="D514" s="12">
        <f>D513</f>
        <v>156391.759</v>
      </c>
      <c r="E514" s="15">
        <f t="shared" si="1"/>
        <v>2024</v>
      </c>
      <c r="F514" s="15">
        <f t="shared" si="2"/>
        <v>12</v>
      </c>
      <c r="G514" s="15">
        <f t="shared" si="3"/>
        <v>7</v>
      </c>
    </row>
    <row r="515">
      <c r="A515" s="10" t="s">
        <v>27</v>
      </c>
      <c r="B515" s="9">
        <f t="shared" si="4"/>
        <v>45633</v>
      </c>
      <c r="C515" s="77" t="s">
        <v>1570</v>
      </c>
      <c r="D515" s="13">
        <f>SUMIFS('Lançamentos de receitas'!$E:$E,'Lançamentos de receitas'!$A:$A,B515,'Lançamentos de receitas'!$C:$C,A515,'Lançamentos de receitas'!$F:$F,"TRANSFERÊNCIA")</f>
        <v>2151.99</v>
      </c>
      <c r="E515" s="15">
        <f t="shared" si="1"/>
        <v>2024</v>
      </c>
      <c r="F515" s="15">
        <f t="shared" si="2"/>
        <v>12</v>
      </c>
      <c r="G515" s="15">
        <f t="shared" si="3"/>
        <v>7</v>
      </c>
    </row>
    <row r="516">
      <c r="A516" s="10" t="s">
        <v>27</v>
      </c>
      <c r="B516" s="9">
        <f t="shared" si="4"/>
        <v>45633</v>
      </c>
      <c r="C516" s="77" t="s">
        <v>1571</v>
      </c>
      <c r="D516" s="13">
        <f>SUMIFS('Lançamentos de despesas'!$K:$K,'Lançamentos de despesas'!$C:$C,B516,'Lançamentos de despesas'!$G:$G,A516,'Lançamentos de despesas'!$E:$E,"pago")</f>
        <v>0</v>
      </c>
      <c r="E516" s="15">
        <f t="shared" si="1"/>
        <v>2024</v>
      </c>
      <c r="F516" s="15">
        <f t="shared" si="2"/>
        <v>12</v>
      </c>
      <c r="G516" s="15">
        <f t="shared" si="3"/>
        <v>7</v>
      </c>
    </row>
    <row r="517">
      <c r="A517" s="10" t="s">
        <v>27</v>
      </c>
      <c r="B517" s="9">
        <f t="shared" si="4"/>
        <v>45633</v>
      </c>
      <c r="C517" s="77" t="s">
        <v>1572</v>
      </c>
      <c r="D517" s="13">
        <f>D514+D515-D516</f>
        <v>158543.749</v>
      </c>
      <c r="E517" s="15">
        <f t="shared" si="1"/>
        <v>2024</v>
      </c>
      <c r="F517" s="15">
        <f t="shared" si="2"/>
        <v>12</v>
      </c>
      <c r="G517" s="15">
        <f t="shared" si="3"/>
        <v>7</v>
      </c>
    </row>
    <row r="518">
      <c r="A518" s="10" t="s">
        <v>27</v>
      </c>
      <c r="B518" s="9">
        <f t="shared" si="4"/>
        <v>45634</v>
      </c>
      <c r="C518" s="77" t="s">
        <v>1569</v>
      </c>
      <c r="D518" s="12">
        <f>D517</f>
        <v>158543.749</v>
      </c>
      <c r="E518" s="15">
        <f t="shared" si="1"/>
        <v>2024</v>
      </c>
      <c r="F518" s="15">
        <f t="shared" si="2"/>
        <v>12</v>
      </c>
      <c r="G518" s="15">
        <f t="shared" si="3"/>
        <v>8</v>
      </c>
    </row>
    <row r="519">
      <c r="A519" s="10" t="s">
        <v>27</v>
      </c>
      <c r="B519" s="9">
        <f t="shared" si="4"/>
        <v>45634</v>
      </c>
      <c r="C519" s="77" t="s">
        <v>1570</v>
      </c>
      <c r="D519" s="13">
        <f>SUMIFS('Lançamentos de receitas'!$E:$E,'Lançamentos de receitas'!$A:$A,B519,'Lançamentos de receitas'!$C:$C,A519,'Lançamentos de receitas'!$F:$F,"TRANSFERÊNCIA")</f>
        <v>1412.44</v>
      </c>
      <c r="E519" s="15">
        <f t="shared" si="1"/>
        <v>2024</v>
      </c>
      <c r="F519" s="15">
        <f t="shared" si="2"/>
        <v>12</v>
      </c>
      <c r="G519" s="15">
        <f t="shared" si="3"/>
        <v>8</v>
      </c>
    </row>
    <row r="520">
      <c r="A520" s="10" t="s">
        <v>27</v>
      </c>
      <c r="B520" s="9">
        <f t="shared" si="4"/>
        <v>45634</v>
      </c>
      <c r="C520" s="77" t="s">
        <v>1571</v>
      </c>
      <c r="D520" s="13">
        <f>SUMIFS('Lançamentos de despesas'!$K:$K,'Lançamentos de despesas'!$C:$C,B520,'Lançamentos de despesas'!$G:$G,A520,'Lançamentos de despesas'!$E:$E,"pago")</f>
        <v>0</v>
      </c>
      <c r="E520" s="15">
        <f t="shared" si="1"/>
        <v>2024</v>
      </c>
      <c r="F520" s="15">
        <f t="shared" si="2"/>
        <v>12</v>
      </c>
      <c r="G520" s="15">
        <f t="shared" si="3"/>
        <v>8</v>
      </c>
    </row>
    <row r="521">
      <c r="A521" s="10" t="s">
        <v>27</v>
      </c>
      <c r="B521" s="9">
        <f t="shared" si="4"/>
        <v>45634</v>
      </c>
      <c r="C521" s="77" t="s">
        <v>1572</v>
      </c>
      <c r="D521" s="13">
        <f>D518+D519-D520</f>
        <v>159956.189</v>
      </c>
      <c r="E521" s="15">
        <f t="shared" si="1"/>
        <v>2024</v>
      </c>
      <c r="F521" s="15">
        <f t="shared" si="2"/>
        <v>12</v>
      </c>
      <c r="G521" s="15">
        <f t="shared" si="3"/>
        <v>8</v>
      </c>
    </row>
    <row r="522">
      <c r="A522" s="10" t="s">
        <v>27</v>
      </c>
      <c r="B522" s="9">
        <f t="shared" si="4"/>
        <v>45635</v>
      </c>
      <c r="C522" s="77" t="s">
        <v>1569</v>
      </c>
      <c r="D522" s="12">
        <f>D521</f>
        <v>159956.189</v>
      </c>
      <c r="E522" s="15">
        <f t="shared" si="1"/>
        <v>2024</v>
      </c>
      <c r="F522" s="15">
        <f t="shared" si="2"/>
        <v>12</v>
      </c>
      <c r="G522" s="15">
        <f t="shared" si="3"/>
        <v>9</v>
      </c>
    </row>
    <row r="523">
      <c r="A523" s="10" t="s">
        <v>27</v>
      </c>
      <c r="B523" s="9">
        <f t="shared" si="4"/>
        <v>45635</v>
      </c>
      <c r="C523" s="77" t="s">
        <v>1570</v>
      </c>
      <c r="D523" s="13">
        <f>SUMIFS('Lançamentos de receitas'!$E:$E,'Lançamentos de receitas'!$A:$A,B523,'Lançamentos de receitas'!$C:$C,A523,'Lançamentos de receitas'!$F:$F,"TRANSFERÊNCIA")</f>
        <v>1290.58</v>
      </c>
      <c r="E523" s="15">
        <f t="shared" si="1"/>
        <v>2024</v>
      </c>
      <c r="F523" s="15">
        <f t="shared" si="2"/>
        <v>12</v>
      </c>
      <c r="G523" s="15">
        <f t="shared" si="3"/>
        <v>9</v>
      </c>
    </row>
    <row r="524">
      <c r="A524" s="10" t="s">
        <v>27</v>
      </c>
      <c r="B524" s="9">
        <f t="shared" si="4"/>
        <v>45635</v>
      </c>
      <c r="C524" s="77" t="s">
        <v>1571</v>
      </c>
      <c r="D524" s="13">
        <f>SUMIFS('Lançamentos de despesas'!$K:$K,'Lançamentos de despesas'!$C:$C,B524,'Lançamentos de despesas'!$G:$G,A524,'Lançamentos de despesas'!$E:$E,"pago")</f>
        <v>1017.91</v>
      </c>
      <c r="E524" s="15">
        <f t="shared" si="1"/>
        <v>2024</v>
      </c>
      <c r="F524" s="15">
        <f t="shared" si="2"/>
        <v>12</v>
      </c>
      <c r="G524" s="15">
        <f t="shared" si="3"/>
        <v>9</v>
      </c>
    </row>
    <row r="525">
      <c r="A525" s="10" t="s">
        <v>27</v>
      </c>
      <c r="B525" s="9">
        <f t="shared" si="4"/>
        <v>45635</v>
      </c>
      <c r="C525" s="77" t="s">
        <v>1572</v>
      </c>
      <c r="D525" s="13">
        <f>D522+D523-D524</f>
        <v>160228.859</v>
      </c>
      <c r="E525" s="15">
        <f t="shared" si="1"/>
        <v>2024</v>
      </c>
      <c r="F525" s="15">
        <f t="shared" si="2"/>
        <v>12</v>
      </c>
      <c r="G525" s="15">
        <f t="shared" si="3"/>
        <v>9</v>
      </c>
    </row>
    <row r="526">
      <c r="A526" s="10" t="s">
        <v>27</v>
      </c>
      <c r="B526" s="9">
        <f t="shared" si="4"/>
        <v>45636</v>
      </c>
      <c r="C526" s="77" t="s">
        <v>1569</v>
      </c>
      <c r="D526" s="12">
        <f>D525</f>
        <v>160228.859</v>
      </c>
      <c r="E526" s="15">
        <f t="shared" si="1"/>
        <v>2024</v>
      </c>
      <c r="F526" s="15">
        <f t="shared" si="2"/>
        <v>12</v>
      </c>
      <c r="G526" s="15">
        <f t="shared" si="3"/>
        <v>10</v>
      </c>
    </row>
    <row r="527">
      <c r="A527" s="10" t="s">
        <v>27</v>
      </c>
      <c r="B527" s="9">
        <f t="shared" si="4"/>
        <v>45636</v>
      </c>
      <c r="C527" s="77" t="s">
        <v>1570</v>
      </c>
      <c r="D527" s="13">
        <f>SUMIFS('Lançamentos de receitas'!$E:$E,'Lançamentos de receitas'!$A:$A,B527,'Lançamentos de receitas'!$C:$C,A527,'Lançamentos de receitas'!$F:$F,"TRANSFERÊNCIA")</f>
        <v>411.16</v>
      </c>
      <c r="E527" s="15">
        <f t="shared" si="1"/>
        <v>2024</v>
      </c>
      <c r="F527" s="15">
        <f t="shared" si="2"/>
        <v>12</v>
      </c>
      <c r="G527" s="15">
        <f t="shared" si="3"/>
        <v>10</v>
      </c>
    </row>
    <row r="528">
      <c r="A528" s="10" t="s">
        <v>27</v>
      </c>
      <c r="B528" s="9">
        <f t="shared" si="4"/>
        <v>45636</v>
      </c>
      <c r="C528" s="77" t="s">
        <v>1571</v>
      </c>
      <c r="D528" s="13">
        <f>SUMIFS('Lançamentos de despesas'!$K:$K,'Lançamentos de despesas'!$C:$C,B528,'Lançamentos de despesas'!$G:$G,A528,'Lançamentos de despesas'!$E:$E,"pago")</f>
        <v>8833.47</v>
      </c>
      <c r="E528" s="15">
        <f t="shared" si="1"/>
        <v>2024</v>
      </c>
      <c r="F528" s="15">
        <f t="shared" si="2"/>
        <v>12</v>
      </c>
      <c r="G528" s="15">
        <f t="shared" si="3"/>
        <v>10</v>
      </c>
    </row>
    <row r="529">
      <c r="A529" s="10" t="s">
        <v>27</v>
      </c>
      <c r="B529" s="9">
        <f t="shared" si="4"/>
        <v>45636</v>
      </c>
      <c r="C529" s="77" t="s">
        <v>1572</v>
      </c>
      <c r="D529" s="13">
        <f>D526+D527-D528</f>
        <v>151806.549</v>
      </c>
      <c r="E529" s="15">
        <f t="shared" si="1"/>
        <v>2024</v>
      </c>
      <c r="F529" s="15">
        <f t="shared" si="2"/>
        <v>12</v>
      </c>
      <c r="G529" s="15">
        <f t="shared" si="3"/>
        <v>10</v>
      </c>
    </row>
    <row r="530">
      <c r="A530" s="10" t="s">
        <v>27</v>
      </c>
      <c r="B530" s="9">
        <f t="shared" si="4"/>
        <v>45637</v>
      </c>
      <c r="C530" s="77" t="s">
        <v>1569</v>
      </c>
      <c r="D530" s="12">
        <f>D529</f>
        <v>151806.549</v>
      </c>
      <c r="E530" s="15">
        <f t="shared" si="1"/>
        <v>2024</v>
      </c>
      <c r="F530" s="15">
        <f t="shared" si="2"/>
        <v>12</v>
      </c>
      <c r="G530" s="15">
        <f t="shared" si="3"/>
        <v>11</v>
      </c>
    </row>
    <row r="531">
      <c r="A531" s="10" t="s">
        <v>27</v>
      </c>
      <c r="B531" s="9">
        <f t="shared" si="4"/>
        <v>45637</v>
      </c>
      <c r="C531" s="77" t="s">
        <v>1570</v>
      </c>
      <c r="D531" s="13">
        <f>SUMIFS('Lançamentos de receitas'!$E:$E,'Lançamentos de receitas'!$A:$A,B531,'Lançamentos de receitas'!$C:$C,A531,'Lançamentos de receitas'!$F:$F,"TRANSFERÊNCIA")</f>
        <v>407.58</v>
      </c>
      <c r="E531" s="15">
        <f t="shared" si="1"/>
        <v>2024</v>
      </c>
      <c r="F531" s="15">
        <f t="shared" si="2"/>
        <v>12</v>
      </c>
      <c r="G531" s="15">
        <f t="shared" si="3"/>
        <v>11</v>
      </c>
    </row>
    <row r="532">
      <c r="A532" s="10" t="s">
        <v>27</v>
      </c>
      <c r="B532" s="9">
        <f t="shared" si="4"/>
        <v>45637</v>
      </c>
      <c r="C532" s="77" t="s">
        <v>1571</v>
      </c>
      <c r="D532" s="13">
        <f>SUMIFS('Lançamentos de despesas'!$K:$K,'Lançamentos de despesas'!$C:$C,B532,'Lançamentos de despesas'!$G:$G,A532,'Lançamentos de despesas'!$E:$E,"pago")</f>
        <v>0</v>
      </c>
      <c r="E532" s="15">
        <f t="shared" si="1"/>
        <v>2024</v>
      </c>
      <c r="F532" s="15">
        <f t="shared" si="2"/>
        <v>12</v>
      </c>
      <c r="G532" s="15">
        <f t="shared" si="3"/>
        <v>11</v>
      </c>
    </row>
    <row r="533">
      <c r="A533" s="10" t="s">
        <v>27</v>
      </c>
      <c r="B533" s="9">
        <f t="shared" si="4"/>
        <v>45637</v>
      </c>
      <c r="C533" s="77" t="s">
        <v>1572</v>
      </c>
      <c r="D533" s="13">
        <f>D530+D531-D532</f>
        <v>152214.129</v>
      </c>
      <c r="E533" s="15">
        <f t="shared" si="1"/>
        <v>2024</v>
      </c>
      <c r="F533" s="15">
        <f t="shared" si="2"/>
        <v>12</v>
      </c>
      <c r="G533" s="15">
        <f t="shared" si="3"/>
        <v>11</v>
      </c>
    </row>
    <row r="534">
      <c r="A534" s="10" t="s">
        <v>27</v>
      </c>
      <c r="B534" s="9">
        <f t="shared" si="4"/>
        <v>45638</v>
      </c>
      <c r="C534" s="77" t="s">
        <v>1569</v>
      </c>
      <c r="D534" s="12">
        <f>D533</f>
        <v>152214.129</v>
      </c>
      <c r="E534" s="15">
        <f t="shared" si="1"/>
        <v>2024</v>
      </c>
      <c r="F534" s="15">
        <f t="shared" si="2"/>
        <v>12</v>
      </c>
      <c r="G534" s="15">
        <f t="shared" si="3"/>
        <v>12</v>
      </c>
    </row>
    <row r="535">
      <c r="A535" s="10" t="s">
        <v>27</v>
      </c>
      <c r="B535" s="9">
        <f t="shared" si="4"/>
        <v>45638</v>
      </c>
      <c r="C535" s="77" t="s">
        <v>1570</v>
      </c>
      <c r="D535" s="13">
        <f>SUMIFS('Lançamentos de receitas'!$E:$E,'Lançamentos de receitas'!$A:$A,B535,'Lançamentos de receitas'!$C:$C,A535,'Lançamentos de receitas'!$F:$F,"TRANSFERÊNCIA")</f>
        <v>1611.6</v>
      </c>
      <c r="E535" s="15">
        <f t="shared" si="1"/>
        <v>2024</v>
      </c>
      <c r="F535" s="15">
        <f t="shared" si="2"/>
        <v>12</v>
      </c>
      <c r="G535" s="15">
        <f t="shared" si="3"/>
        <v>12</v>
      </c>
    </row>
    <row r="536">
      <c r="A536" s="10" t="s">
        <v>27</v>
      </c>
      <c r="B536" s="9">
        <f t="shared" si="4"/>
        <v>45638</v>
      </c>
      <c r="C536" s="77" t="s">
        <v>1571</v>
      </c>
      <c r="D536" s="13">
        <f>SUMIFS('Lançamentos de despesas'!$K:$K,'Lançamentos de despesas'!$C:$C,B536,'Lançamentos de despesas'!$G:$G,A536,'Lançamentos de despesas'!$E:$E,"pago")</f>
        <v>69534.17</v>
      </c>
      <c r="E536" s="15">
        <f t="shared" si="1"/>
        <v>2024</v>
      </c>
      <c r="F536" s="15">
        <f t="shared" si="2"/>
        <v>12</v>
      </c>
      <c r="G536" s="15">
        <f t="shared" si="3"/>
        <v>12</v>
      </c>
    </row>
    <row r="537">
      <c r="A537" s="10" t="s">
        <v>27</v>
      </c>
      <c r="B537" s="9">
        <f t="shared" si="4"/>
        <v>45638</v>
      </c>
      <c r="C537" s="77" t="s">
        <v>1572</v>
      </c>
      <c r="D537" s="13">
        <f>D534+D535-D536</f>
        <v>84291.559</v>
      </c>
      <c r="E537" s="15">
        <f t="shared" si="1"/>
        <v>2024</v>
      </c>
      <c r="F537" s="15">
        <f t="shared" si="2"/>
        <v>12</v>
      </c>
      <c r="G537" s="15">
        <f t="shared" si="3"/>
        <v>12</v>
      </c>
    </row>
    <row r="538">
      <c r="A538" s="10" t="s">
        <v>27</v>
      </c>
      <c r="B538" s="9">
        <f t="shared" si="4"/>
        <v>45639</v>
      </c>
      <c r="C538" s="77" t="s">
        <v>1569</v>
      </c>
      <c r="D538" s="12">
        <f>D537</f>
        <v>84291.559</v>
      </c>
      <c r="E538" s="15">
        <f t="shared" si="1"/>
        <v>2024</v>
      </c>
      <c r="F538" s="15">
        <f t="shared" si="2"/>
        <v>12</v>
      </c>
      <c r="G538" s="15">
        <f t="shared" si="3"/>
        <v>13</v>
      </c>
    </row>
    <row r="539">
      <c r="A539" s="10" t="s">
        <v>27</v>
      </c>
      <c r="B539" s="9">
        <f t="shared" si="4"/>
        <v>45639</v>
      </c>
      <c r="C539" s="77" t="s">
        <v>1570</v>
      </c>
      <c r="D539" s="13">
        <f>SUMIFS('Lançamentos de receitas'!$E:$E,'Lançamentos de receitas'!$A:$A,B539,'Lançamentos de receitas'!$C:$C,A539,'Lançamentos de receitas'!$F:$F,"TRANSFERÊNCIA")</f>
        <v>8786.56</v>
      </c>
      <c r="E539" s="15">
        <f t="shared" si="1"/>
        <v>2024</v>
      </c>
      <c r="F539" s="15">
        <f t="shared" si="2"/>
        <v>12</v>
      </c>
      <c r="G539" s="15">
        <f t="shared" si="3"/>
        <v>13</v>
      </c>
    </row>
    <row r="540">
      <c r="A540" s="10" t="s">
        <v>27</v>
      </c>
      <c r="B540" s="9">
        <f t="shared" si="4"/>
        <v>45639</v>
      </c>
      <c r="C540" s="77" t="s">
        <v>1571</v>
      </c>
      <c r="D540" s="13">
        <f>SUMIFS('Lançamentos de despesas'!$K:$K,'Lançamentos de despesas'!$C:$C,B540,'Lançamentos de despesas'!$G:$G,A540,'Lançamentos de despesas'!$E:$E,"pago")</f>
        <v>2204</v>
      </c>
      <c r="E540" s="15">
        <f t="shared" si="1"/>
        <v>2024</v>
      </c>
      <c r="F540" s="15">
        <f t="shared" si="2"/>
        <v>12</v>
      </c>
      <c r="G540" s="15">
        <f t="shared" si="3"/>
        <v>13</v>
      </c>
    </row>
    <row r="541">
      <c r="A541" s="10" t="s">
        <v>27</v>
      </c>
      <c r="B541" s="9">
        <f t="shared" si="4"/>
        <v>45639</v>
      </c>
      <c r="C541" s="77" t="s">
        <v>1572</v>
      </c>
      <c r="D541" s="13">
        <f>D538+D539-D540</f>
        <v>90874.119</v>
      </c>
      <c r="E541" s="15">
        <f t="shared" si="1"/>
        <v>2024</v>
      </c>
      <c r="F541" s="15">
        <f t="shared" si="2"/>
        <v>12</v>
      </c>
      <c r="G541" s="15">
        <f t="shared" si="3"/>
        <v>13</v>
      </c>
    </row>
    <row r="542">
      <c r="A542" s="10" t="s">
        <v>27</v>
      </c>
      <c r="B542" s="9">
        <f t="shared" si="4"/>
        <v>45640</v>
      </c>
      <c r="C542" s="77" t="s">
        <v>1569</v>
      </c>
      <c r="D542" s="12">
        <f>D541</f>
        <v>90874.119</v>
      </c>
      <c r="E542" s="15">
        <f t="shared" si="1"/>
        <v>2024</v>
      </c>
      <c r="F542" s="15">
        <f t="shared" si="2"/>
        <v>12</v>
      </c>
      <c r="G542" s="15">
        <f t="shared" si="3"/>
        <v>14</v>
      </c>
    </row>
    <row r="543">
      <c r="A543" s="10" t="s">
        <v>27</v>
      </c>
      <c r="B543" s="9">
        <f t="shared" si="4"/>
        <v>45640</v>
      </c>
      <c r="C543" s="77" t="s">
        <v>1570</v>
      </c>
      <c r="D543" s="13">
        <f>SUMIFS('Lançamentos de receitas'!$E:$E,'Lançamentos de receitas'!$A:$A,B543,'Lançamentos de receitas'!$C:$C,A543,'Lançamentos de receitas'!$F:$F,"TRANSFERÊNCIA")</f>
        <v>1504.16</v>
      </c>
      <c r="E543" s="15">
        <f t="shared" si="1"/>
        <v>2024</v>
      </c>
      <c r="F543" s="15">
        <f t="shared" si="2"/>
        <v>12</v>
      </c>
      <c r="G543" s="15">
        <f t="shared" si="3"/>
        <v>14</v>
      </c>
    </row>
    <row r="544">
      <c r="A544" s="10" t="s">
        <v>27</v>
      </c>
      <c r="B544" s="9">
        <f t="shared" si="4"/>
        <v>45640</v>
      </c>
      <c r="C544" s="77" t="s">
        <v>1571</v>
      </c>
      <c r="D544" s="13">
        <f>SUMIFS('Lançamentos de despesas'!$K:$K,'Lançamentos de despesas'!$C:$C,B544,'Lançamentos de despesas'!$G:$G,A544,'Lançamentos de despesas'!$E:$E,"pago")</f>
        <v>0</v>
      </c>
      <c r="E544" s="15">
        <f t="shared" si="1"/>
        <v>2024</v>
      </c>
      <c r="F544" s="15">
        <f t="shared" si="2"/>
        <v>12</v>
      </c>
      <c r="G544" s="15">
        <f t="shared" si="3"/>
        <v>14</v>
      </c>
    </row>
    <row r="545">
      <c r="A545" s="10" t="s">
        <v>27</v>
      </c>
      <c r="B545" s="9">
        <f t="shared" si="4"/>
        <v>45640</v>
      </c>
      <c r="C545" s="77" t="s">
        <v>1572</v>
      </c>
      <c r="D545" s="13">
        <f>D542+D543-D544</f>
        <v>92378.279</v>
      </c>
      <c r="E545" s="15">
        <f t="shared" si="1"/>
        <v>2024</v>
      </c>
      <c r="F545" s="15">
        <f t="shared" si="2"/>
        <v>12</v>
      </c>
      <c r="G545" s="15">
        <f t="shared" si="3"/>
        <v>14</v>
      </c>
    </row>
    <row r="546">
      <c r="A546" s="10" t="s">
        <v>27</v>
      </c>
      <c r="B546" s="9">
        <f t="shared" si="4"/>
        <v>45641</v>
      </c>
      <c r="C546" s="77" t="s">
        <v>1569</v>
      </c>
      <c r="D546" s="12">
        <f>D545</f>
        <v>92378.279</v>
      </c>
      <c r="E546" s="15">
        <f t="shared" si="1"/>
        <v>2024</v>
      </c>
      <c r="F546" s="15">
        <f t="shared" si="2"/>
        <v>12</v>
      </c>
      <c r="G546" s="15">
        <f t="shared" si="3"/>
        <v>15</v>
      </c>
    </row>
    <row r="547">
      <c r="A547" s="10" t="s">
        <v>27</v>
      </c>
      <c r="B547" s="9">
        <f t="shared" si="4"/>
        <v>45641</v>
      </c>
      <c r="C547" s="77" t="s">
        <v>1570</v>
      </c>
      <c r="D547" s="13">
        <f>SUMIFS('Lançamentos de receitas'!$E:$E,'Lançamentos de receitas'!$A:$A,B547,'Lançamentos de receitas'!$C:$C,A547,'Lançamentos de receitas'!$F:$F,"TRANSFERÊNCIA")</f>
        <v>790.2</v>
      </c>
      <c r="E547" s="15">
        <f t="shared" si="1"/>
        <v>2024</v>
      </c>
      <c r="F547" s="15">
        <f t="shared" si="2"/>
        <v>12</v>
      </c>
      <c r="G547" s="15">
        <f t="shared" si="3"/>
        <v>15</v>
      </c>
    </row>
    <row r="548">
      <c r="A548" s="10" t="s">
        <v>27</v>
      </c>
      <c r="B548" s="9">
        <f t="shared" si="4"/>
        <v>45641</v>
      </c>
      <c r="C548" s="77" t="s">
        <v>1571</v>
      </c>
      <c r="D548" s="13">
        <f>SUMIFS('Lançamentos de despesas'!$K:$K,'Lançamentos de despesas'!$C:$C,B548,'Lançamentos de despesas'!$G:$G,A548,'Lançamentos de despesas'!$E:$E,"pago")</f>
        <v>0</v>
      </c>
      <c r="E548" s="15">
        <f t="shared" si="1"/>
        <v>2024</v>
      </c>
      <c r="F548" s="15">
        <f t="shared" si="2"/>
        <v>12</v>
      </c>
      <c r="G548" s="15">
        <f t="shared" si="3"/>
        <v>15</v>
      </c>
    </row>
    <row r="549">
      <c r="A549" s="10" t="s">
        <v>27</v>
      </c>
      <c r="B549" s="9">
        <f t="shared" si="4"/>
        <v>45641</v>
      </c>
      <c r="C549" s="77" t="s">
        <v>1572</v>
      </c>
      <c r="D549" s="13">
        <f>D546+D547-D548</f>
        <v>93168.479</v>
      </c>
      <c r="E549" s="15">
        <f t="shared" si="1"/>
        <v>2024</v>
      </c>
      <c r="F549" s="15">
        <f t="shared" si="2"/>
        <v>12</v>
      </c>
      <c r="G549" s="15">
        <f t="shared" si="3"/>
        <v>15</v>
      </c>
    </row>
    <row r="550">
      <c r="A550" s="10" t="s">
        <v>27</v>
      </c>
      <c r="B550" s="9">
        <f t="shared" si="4"/>
        <v>45642</v>
      </c>
      <c r="C550" s="77" t="s">
        <v>1569</v>
      </c>
      <c r="D550" s="12">
        <f>D549</f>
        <v>93168.479</v>
      </c>
      <c r="E550" s="15">
        <f t="shared" si="1"/>
        <v>2024</v>
      </c>
      <c r="F550" s="15">
        <f t="shared" si="2"/>
        <v>12</v>
      </c>
      <c r="G550" s="15">
        <f t="shared" si="3"/>
        <v>16</v>
      </c>
    </row>
    <row r="551">
      <c r="A551" s="10" t="s">
        <v>27</v>
      </c>
      <c r="B551" s="9">
        <f t="shared" si="4"/>
        <v>45642</v>
      </c>
      <c r="C551" s="77" t="s">
        <v>1570</v>
      </c>
      <c r="D551" s="13">
        <f>SUMIFS('Lançamentos de receitas'!$E:$E,'Lançamentos de receitas'!$A:$A,B551,'Lançamentos de receitas'!$C:$C,A551,'Lançamentos de receitas'!$F:$F,"TRANSFERÊNCIA")</f>
        <v>15381.79</v>
      </c>
      <c r="E551" s="15">
        <f t="shared" si="1"/>
        <v>2024</v>
      </c>
      <c r="F551" s="15">
        <f t="shared" si="2"/>
        <v>12</v>
      </c>
      <c r="G551" s="15">
        <f t="shared" si="3"/>
        <v>16</v>
      </c>
    </row>
    <row r="552">
      <c r="A552" s="10" t="s">
        <v>27</v>
      </c>
      <c r="B552" s="9">
        <f t="shared" si="4"/>
        <v>45642</v>
      </c>
      <c r="C552" s="77" t="s">
        <v>1571</v>
      </c>
      <c r="D552" s="13">
        <f>SUMIFS('Lançamentos de despesas'!$K:$K,'Lançamentos de despesas'!$C:$C,B552,'Lançamentos de despesas'!$G:$G,A552,'Lançamentos de despesas'!$E:$E,"pago")</f>
        <v>5110.65</v>
      </c>
      <c r="E552" s="15">
        <f t="shared" si="1"/>
        <v>2024</v>
      </c>
      <c r="F552" s="15">
        <f t="shared" si="2"/>
        <v>12</v>
      </c>
      <c r="G552" s="15">
        <f t="shared" si="3"/>
        <v>16</v>
      </c>
    </row>
    <row r="553">
      <c r="A553" s="10" t="s">
        <v>27</v>
      </c>
      <c r="B553" s="9">
        <f t="shared" si="4"/>
        <v>45642</v>
      </c>
      <c r="C553" s="77" t="s">
        <v>1572</v>
      </c>
      <c r="D553" s="13">
        <f>D550+D551-D552</f>
        <v>103439.619</v>
      </c>
      <c r="E553" s="15">
        <f t="shared" si="1"/>
        <v>2024</v>
      </c>
      <c r="F553" s="15">
        <f t="shared" si="2"/>
        <v>12</v>
      </c>
      <c r="G553" s="15">
        <f t="shared" si="3"/>
        <v>16</v>
      </c>
    </row>
    <row r="554">
      <c r="A554" s="10" t="s">
        <v>27</v>
      </c>
      <c r="B554" s="9">
        <f t="shared" si="4"/>
        <v>45643</v>
      </c>
      <c r="C554" s="77" t="s">
        <v>1569</v>
      </c>
      <c r="D554" s="12">
        <f>D553</f>
        <v>103439.619</v>
      </c>
      <c r="E554" s="15">
        <f t="shared" si="1"/>
        <v>2024</v>
      </c>
      <c r="F554" s="15">
        <f t="shared" si="2"/>
        <v>12</v>
      </c>
      <c r="G554" s="15">
        <f t="shared" si="3"/>
        <v>17</v>
      </c>
    </row>
    <row r="555">
      <c r="A555" s="10" t="s">
        <v>27</v>
      </c>
      <c r="B555" s="9">
        <f t="shared" si="4"/>
        <v>45643</v>
      </c>
      <c r="C555" s="77" t="s">
        <v>1570</v>
      </c>
      <c r="D555" s="13">
        <f>SUMIFS('Lançamentos de receitas'!$E:$E,'Lançamentos de receitas'!$A:$A,B555,'Lançamentos de receitas'!$C:$C,A555,'Lançamentos de receitas'!$F:$F,"TRANSFERÊNCIA")</f>
        <v>1593.69</v>
      </c>
      <c r="E555" s="15">
        <f t="shared" si="1"/>
        <v>2024</v>
      </c>
      <c r="F555" s="15">
        <f t="shared" si="2"/>
        <v>12</v>
      </c>
      <c r="G555" s="15">
        <f t="shared" si="3"/>
        <v>17</v>
      </c>
    </row>
    <row r="556">
      <c r="A556" s="10" t="s">
        <v>27</v>
      </c>
      <c r="B556" s="9">
        <f t="shared" si="4"/>
        <v>45643</v>
      </c>
      <c r="C556" s="77" t="s">
        <v>1571</v>
      </c>
      <c r="D556" s="13">
        <f>SUMIFS('Lançamentos de despesas'!$K:$K,'Lançamentos de despesas'!$C:$C,B556,'Lançamentos de despesas'!$G:$G,A556,'Lançamentos de despesas'!$E:$E,"pago")</f>
        <v>21.81</v>
      </c>
      <c r="E556" s="15">
        <f t="shared" si="1"/>
        <v>2024</v>
      </c>
      <c r="F556" s="15">
        <f t="shared" si="2"/>
        <v>12</v>
      </c>
      <c r="G556" s="15">
        <f t="shared" si="3"/>
        <v>17</v>
      </c>
    </row>
    <row r="557">
      <c r="A557" s="10" t="s">
        <v>27</v>
      </c>
      <c r="B557" s="9">
        <f t="shared" si="4"/>
        <v>45643</v>
      </c>
      <c r="C557" s="77" t="s">
        <v>1572</v>
      </c>
      <c r="D557" s="13">
        <f>D554+D555-D556</f>
        <v>105011.499</v>
      </c>
      <c r="E557" s="15">
        <f t="shared" si="1"/>
        <v>2024</v>
      </c>
      <c r="F557" s="15">
        <f t="shared" si="2"/>
        <v>12</v>
      </c>
      <c r="G557" s="15">
        <f t="shared" si="3"/>
        <v>17</v>
      </c>
    </row>
    <row r="558">
      <c r="A558" s="10" t="s">
        <v>27</v>
      </c>
      <c r="B558" s="9">
        <f t="shared" si="4"/>
        <v>45644</v>
      </c>
      <c r="C558" s="77" t="s">
        <v>1569</v>
      </c>
      <c r="D558" s="12">
        <f>D557</f>
        <v>105011.499</v>
      </c>
      <c r="E558" s="15">
        <f t="shared" si="1"/>
        <v>2024</v>
      </c>
      <c r="F558" s="15">
        <f t="shared" si="2"/>
        <v>12</v>
      </c>
      <c r="G558" s="15">
        <f t="shared" si="3"/>
        <v>18</v>
      </c>
    </row>
    <row r="559">
      <c r="A559" s="10" t="s">
        <v>27</v>
      </c>
      <c r="B559" s="9">
        <f t="shared" si="4"/>
        <v>45644</v>
      </c>
      <c r="C559" s="77" t="s">
        <v>1570</v>
      </c>
      <c r="D559" s="13">
        <f>SUMIFS('Lançamentos de receitas'!$E:$E,'Lançamentos de receitas'!$A:$A,B559,'Lançamentos de receitas'!$C:$C,A559,'Lançamentos de receitas'!$F:$F,"TRANSFERÊNCIA")</f>
        <v>1206.68</v>
      </c>
      <c r="E559" s="15">
        <f t="shared" si="1"/>
        <v>2024</v>
      </c>
      <c r="F559" s="15">
        <f t="shared" si="2"/>
        <v>12</v>
      </c>
      <c r="G559" s="15">
        <f t="shared" si="3"/>
        <v>18</v>
      </c>
    </row>
    <row r="560">
      <c r="A560" s="10" t="s">
        <v>27</v>
      </c>
      <c r="B560" s="9">
        <f t="shared" si="4"/>
        <v>45644</v>
      </c>
      <c r="C560" s="77" t="s">
        <v>1571</v>
      </c>
      <c r="D560" s="13">
        <f>SUMIFS('Lançamentos de despesas'!$K:$K,'Lançamentos de despesas'!$C:$C,B560,'Lançamentos de despesas'!$G:$G,A560,'Lançamentos de despesas'!$E:$E,"pago")</f>
        <v>4331.89</v>
      </c>
      <c r="E560" s="15">
        <f t="shared" si="1"/>
        <v>2024</v>
      </c>
      <c r="F560" s="15">
        <f t="shared" si="2"/>
        <v>12</v>
      </c>
      <c r="G560" s="15">
        <f t="shared" si="3"/>
        <v>18</v>
      </c>
    </row>
    <row r="561">
      <c r="A561" s="10" t="s">
        <v>27</v>
      </c>
      <c r="B561" s="9">
        <f t="shared" si="4"/>
        <v>45644</v>
      </c>
      <c r="C561" s="77" t="s">
        <v>1572</v>
      </c>
      <c r="D561" s="13">
        <f>D558+D559-D560</f>
        <v>101886.289</v>
      </c>
      <c r="E561" s="15">
        <f t="shared" si="1"/>
        <v>2024</v>
      </c>
      <c r="F561" s="15">
        <f t="shared" si="2"/>
        <v>12</v>
      </c>
      <c r="G561" s="15">
        <f t="shared" si="3"/>
        <v>18</v>
      </c>
    </row>
    <row r="562">
      <c r="A562" s="10" t="s">
        <v>27</v>
      </c>
      <c r="B562" s="9">
        <f t="shared" si="4"/>
        <v>45645</v>
      </c>
      <c r="C562" s="77" t="s">
        <v>1569</v>
      </c>
      <c r="D562" s="12">
        <f>D561</f>
        <v>101886.289</v>
      </c>
      <c r="E562" s="15">
        <f t="shared" si="1"/>
        <v>2024</v>
      </c>
      <c r="F562" s="15">
        <f t="shared" si="2"/>
        <v>12</v>
      </c>
      <c r="G562" s="15">
        <f t="shared" si="3"/>
        <v>19</v>
      </c>
    </row>
    <row r="563">
      <c r="A563" s="10" t="s">
        <v>27</v>
      </c>
      <c r="B563" s="9">
        <f t="shared" si="4"/>
        <v>45645</v>
      </c>
      <c r="C563" s="77" t="s">
        <v>1570</v>
      </c>
      <c r="D563" s="13">
        <f>SUMIFS('Lançamentos de receitas'!$E:$E,'Lançamentos de receitas'!$A:$A,B563,'Lançamentos de receitas'!$C:$C,A563,'Lançamentos de receitas'!$F:$F,"TRANSFERÊNCIA")</f>
        <v>748.91</v>
      </c>
      <c r="E563" s="15">
        <f t="shared" si="1"/>
        <v>2024</v>
      </c>
      <c r="F563" s="15">
        <f t="shared" si="2"/>
        <v>12</v>
      </c>
      <c r="G563" s="15">
        <f t="shared" si="3"/>
        <v>19</v>
      </c>
    </row>
    <row r="564">
      <c r="A564" s="10" t="s">
        <v>27</v>
      </c>
      <c r="B564" s="9">
        <f t="shared" si="4"/>
        <v>45645</v>
      </c>
      <c r="C564" s="77" t="s">
        <v>1571</v>
      </c>
      <c r="D564" s="13">
        <f>SUMIFS('Lançamentos de despesas'!$K:$K,'Lançamentos de despesas'!$C:$C,B564,'Lançamentos de despesas'!$G:$G,A564,'Lançamentos de despesas'!$E:$E,"pago")</f>
        <v>22692.64</v>
      </c>
      <c r="E564" s="15">
        <f t="shared" si="1"/>
        <v>2024</v>
      </c>
      <c r="F564" s="15">
        <f t="shared" si="2"/>
        <v>12</v>
      </c>
      <c r="G564" s="15">
        <f t="shared" si="3"/>
        <v>19</v>
      </c>
    </row>
    <row r="565">
      <c r="A565" s="10" t="s">
        <v>27</v>
      </c>
      <c r="B565" s="9">
        <f t="shared" si="4"/>
        <v>45645</v>
      </c>
      <c r="C565" s="77" t="s">
        <v>1572</v>
      </c>
      <c r="D565" s="13">
        <f>D562+D563-D564</f>
        <v>79942.559</v>
      </c>
      <c r="E565" s="15">
        <f t="shared" si="1"/>
        <v>2024</v>
      </c>
      <c r="F565" s="15">
        <f t="shared" si="2"/>
        <v>12</v>
      </c>
      <c r="G565" s="15">
        <f t="shared" si="3"/>
        <v>19</v>
      </c>
    </row>
    <row r="566">
      <c r="A566" s="10" t="s">
        <v>27</v>
      </c>
      <c r="B566" s="9">
        <f t="shared" si="4"/>
        <v>45646</v>
      </c>
      <c r="C566" s="77" t="s">
        <v>1569</v>
      </c>
      <c r="D566" s="12">
        <f>D565</f>
        <v>79942.559</v>
      </c>
      <c r="E566" s="15">
        <f t="shared" si="1"/>
        <v>2024</v>
      </c>
      <c r="F566" s="15">
        <f t="shared" si="2"/>
        <v>12</v>
      </c>
      <c r="G566" s="15">
        <f t="shared" si="3"/>
        <v>20</v>
      </c>
    </row>
    <row r="567">
      <c r="A567" s="10" t="s">
        <v>27</v>
      </c>
      <c r="B567" s="9">
        <f t="shared" si="4"/>
        <v>45646</v>
      </c>
      <c r="C567" s="77" t="s">
        <v>1570</v>
      </c>
      <c r="D567" s="13">
        <f>SUMIFS('Lançamentos de receitas'!$E:$E,'Lançamentos de receitas'!$A:$A,B567,'Lançamentos de receitas'!$C:$C,A567,'Lançamentos de receitas'!$F:$F,"TRANSFERÊNCIA")</f>
        <v>39364.96</v>
      </c>
      <c r="E567" s="15">
        <f t="shared" si="1"/>
        <v>2024</v>
      </c>
      <c r="F567" s="15">
        <f t="shared" si="2"/>
        <v>12</v>
      </c>
      <c r="G567" s="15">
        <f t="shared" si="3"/>
        <v>20</v>
      </c>
    </row>
    <row r="568">
      <c r="A568" s="10" t="s">
        <v>27</v>
      </c>
      <c r="B568" s="9">
        <f t="shared" si="4"/>
        <v>45646</v>
      </c>
      <c r="C568" s="77" t="s">
        <v>1571</v>
      </c>
      <c r="D568" s="13">
        <f>SUMIFS('Lançamentos de despesas'!$K:$K,'Lançamentos de despesas'!$C:$C,B568,'Lançamentos de despesas'!$G:$G,A568,'Lançamentos de despesas'!$E:$E,"pago")</f>
        <v>25830.8</v>
      </c>
      <c r="E568" s="15">
        <f t="shared" si="1"/>
        <v>2024</v>
      </c>
      <c r="F568" s="15">
        <f t="shared" si="2"/>
        <v>12</v>
      </c>
      <c r="G568" s="15">
        <f t="shared" si="3"/>
        <v>20</v>
      </c>
    </row>
    <row r="569">
      <c r="A569" s="10" t="s">
        <v>27</v>
      </c>
      <c r="B569" s="9">
        <f t="shared" si="4"/>
        <v>45646</v>
      </c>
      <c r="C569" s="77" t="s">
        <v>1572</v>
      </c>
      <c r="D569" s="13">
        <f>D566+D567-D568</f>
        <v>93476.719</v>
      </c>
      <c r="E569" s="15">
        <f t="shared" si="1"/>
        <v>2024</v>
      </c>
      <c r="F569" s="15">
        <f t="shared" si="2"/>
        <v>12</v>
      </c>
      <c r="G569" s="15">
        <f t="shared" si="3"/>
        <v>20</v>
      </c>
    </row>
    <row r="570">
      <c r="A570" s="10" t="s">
        <v>27</v>
      </c>
      <c r="B570" s="9">
        <f t="shared" si="4"/>
        <v>45647</v>
      </c>
      <c r="C570" s="77" t="s">
        <v>1569</v>
      </c>
      <c r="D570" s="12">
        <f>D569</f>
        <v>93476.719</v>
      </c>
      <c r="E570" s="15">
        <f t="shared" si="1"/>
        <v>2024</v>
      </c>
      <c r="F570" s="15">
        <f t="shared" si="2"/>
        <v>12</v>
      </c>
      <c r="G570" s="15">
        <f t="shared" si="3"/>
        <v>21</v>
      </c>
    </row>
    <row r="571">
      <c r="A571" s="10" t="s">
        <v>27</v>
      </c>
      <c r="B571" s="9">
        <f t="shared" si="4"/>
        <v>45647</v>
      </c>
      <c r="C571" s="77" t="s">
        <v>1570</v>
      </c>
      <c r="D571" s="13">
        <f>SUMIFS('Lançamentos de receitas'!$E:$E,'Lançamentos de receitas'!$A:$A,B571,'Lançamentos de receitas'!$C:$C,A571,'Lançamentos de receitas'!$F:$F,"TRANSFERÊNCIA")</f>
        <v>1224.31</v>
      </c>
      <c r="E571" s="15">
        <f t="shared" si="1"/>
        <v>2024</v>
      </c>
      <c r="F571" s="15">
        <f t="shared" si="2"/>
        <v>12</v>
      </c>
      <c r="G571" s="15">
        <f t="shared" si="3"/>
        <v>21</v>
      </c>
    </row>
    <row r="572">
      <c r="A572" s="10" t="s">
        <v>27</v>
      </c>
      <c r="B572" s="9">
        <f t="shared" si="4"/>
        <v>45647</v>
      </c>
      <c r="C572" s="77" t="s">
        <v>1571</v>
      </c>
      <c r="D572" s="13">
        <f>SUMIFS('Lançamentos de despesas'!$K:$K,'Lançamentos de despesas'!$C:$C,B572,'Lançamentos de despesas'!$G:$G,A572,'Lançamentos de despesas'!$E:$E,"pago")</f>
        <v>0</v>
      </c>
      <c r="E572" s="15">
        <f t="shared" si="1"/>
        <v>2024</v>
      </c>
      <c r="F572" s="15">
        <f t="shared" si="2"/>
        <v>12</v>
      </c>
      <c r="G572" s="15">
        <f t="shared" si="3"/>
        <v>21</v>
      </c>
    </row>
    <row r="573">
      <c r="A573" s="10" t="s">
        <v>27</v>
      </c>
      <c r="B573" s="9">
        <f t="shared" si="4"/>
        <v>45647</v>
      </c>
      <c r="C573" s="77" t="s">
        <v>1572</v>
      </c>
      <c r="D573" s="13">
        <f>D570+D571-D572</f>
        <v>94701.029</v>
      </c>
      <c r="E573" s="15">
        <f t="shared" si="1"/>
        <v>2024</v>
      </c>
      <c r="F573" s="15">
        <f t="shared" si="2"/>
        <v>12</v>
      </c>
      <c r="G573" s="15">
        <f t="shared" si="3"/>
        <v>21</v>
      </c>
    </row>
    <row r="574">
      <c r="A574" s="10" t="s">
        <v>27</v>
      </c>
      <c r="B574" s="9">
        <f t="shared" si="4"/>
        <v>45648</v>
      </c>
      <c r="C574" s="77" t="s">
        <v>1569</v>
      </c>
      <c r="D574" s="12">
        <f>D573</f>
        <v>94701.029</v>
      </c>
      <c r="E574" s="15">
        <f t="shared" si="1"/>
        <v>2024</v>
      </c>
      <c r="F574" s="15">
        <f t="shared" si="2"/>
        <v>12</v>
      </c>
      <c r="G574" s="15">
        <f t="shared" si="3"/>
        <v>22</v>
      </c>
    </row>
    <row r="575">
      <c r="A575" s="10" t="s">
        <v>27</v>
      </c>
      <c r="B575" s="9">
        <f t="shared" si="4"/>
        <v>45648</v>
      </c>
      <c r="C575" s="77" t="s">
        <v>1570</v>
      </c>
      <c r="D575" s="13">
        <f>SUMIFS('Lançamentos de receitas'!$E:$E,'Lançamentos de receitas'!$A:$A,B575,'Lançamentos de receitas'!$C:$C,A575,'Lançamentos de receitas'!$F:$F,"TRANSFERÊNCIA")</f>
        <v>1473.76</v>
      </c>
      <c r="E575" s="15">
        <f t="shared" si="1"/>
        <v>2024</v>
      </c>
      <c r="F575" s="15">
        <f t="shared" si="2"/>
        <v>12</v>
      </c>
      <c r="G575" s="15">
        <f t="shared" si="3"/>
        <v>22</v>
      </c>
    </row>
    <row r="576">
      <c r="A576" s="10" t="s">
        <v>27</v>
      </c>
      <c r="B576" s="9">
        <f t="shared" si="4"/>
        <v>45648</v>
      </c>
      <c r="C576" s="77" t="s">
        <v>1571</v>
      </c>
      <c r="D576" s="13">
        <f>SUMIFS('Lançamentos de despesas'!$K:$K,'Lançamentos de despesas'!$C:$C,B576,'Lançamentos de despesas'!$G:$G,A576,'Lançamentos de despesas'!$E:$E,"pago")</f>
        <v>0</v>
      </c>
      <c r="E576" s="15">
        <f t="shared" si="1"/>
        <v>2024</v>
      </c>
      <c r="F576" s="15">
        <f t="shared" si="2"/>
        <v>12</v>
      </c>
      <c r="G576" s="15">
        <f t="shared" si="3"/>
        <v>22</v>
      </c>
    </row>
    <row r="577">
      <c r="A577" s="10" t="s">
        <v>27</v>
      </c>
      <c r="B577" s="9">
        <f t="shared" si="4"/>
        <v>45648</v>
      </c>
      <c r="C577" s="77" t="s">
        <v>1572</v>
      </c>
      <c r="D577" s="13">
        <f>D574+D575-D576</f>
        <v>96174.789</v>
      </c>
      <c r="E577" s="15">
        <f t="shared" si="1"/>
        <v>2024</v>
      </c>
      <c r="F577" s="15">
        <f t="shared" si="2"/>
        <v>12</v>
      </c>
      <c r="G577" s="15">
        <f t="shared" si="3"/>
        <v>22</v>
      </c>
    </row>
    <row r="578">
      <c r="A578" s="10" t="s">
        <v>27</v>
      </c>
      <c r="B578" s="9">
        <f t="shared" si="4"/>
        <v>45649</v>
      </c>
      <c r="C578" s="77" t="s">
        <v>1569</v>
      </c>
      <c r="D578" s="12">
        <f>D577</f>
        <v>96174.789</v>
      </c>
      <c r="E578" s="15">
        <f t="shared" si="1"/>
        <v>2024</v>
      </c>
      <c r="F578" s="15">
        <f t="shared" si="2"/>
        <v>12</v>
      </c>
      <c r="G578" s="15">
        <f t="shared" si="3"/>
        <v>23</v>
      </c>
    </row>
    <row r="579">
      <c r="A579" s="10" t="s">
        <v>27</v>
      </c>
      <c r="B579" s="9">
        <f t="shared" si="4"/>
        <v>45649</v>
      </c>
      <c r="C579" s="77" t="s">
        <v>1570</v>
      </c>
      <c r="D579" s="13">
        <f>SUMIFS('Lançamentos de receitas'!$E:$E,'Lançamentos de receitas'!$A:$A,B579,'Lançamentos de receitas'!$C:$C,A579,'Lançamentos de receitas'!$F:$F,"TRANSFERÊNCIA")</f>
        <v>288.13</v>
      </c>
      <c r="E579" s="15">
        <f t="shared" si="1"/>
        <v>2024</v>
      </c>
      <c r="F579" s="15">
        <f t="shared" si="2"/>
        <v>12</v>
      </c>
      <c r="G579" s="15">
        <f t="shared" si="3"/>
        <v>23</v>
      </c>
    </row>
    <row r="580">
      <c r="A580" s="10" t="s">
        <v>27</v>
      </c>
      <c r="B580" s="9">
        <f t="shared" si="4"/>
        <v>45649</v>
      </c>
      <c r="C580" s="77" t="s">
        <v>1571</v>
      </c>
      <c r="D580" s="13">
        <f>SUMIFS('Lançamentos de despesas'!$K:$K,'Lançamentos de despesas'!$C:$C,B580,'Lançamentos de despesas'!$G:$G,A580,'Lançamentos de despesas'!$E:$E,"pago")</f>
        <v>11657.72</v>
      </c>
      <c r="E580" s="15">
        <f t="shared" si="1"/>
        <v>2024</v>
      </c>
      <c r="F580" s="15">
        <f t="shared" si="2"/>
        <v>12</v>
      </c>
      <c r="G580" s="15">
        <f t="shared" si="3"/>
        <v>23</v>
      </c>
    </row>
    <row r="581">
      <c r="A581" s="10" t="s">
        <v>27</v>
      </c>
      <c r="B581" s="9">
        <f t="shared" si="4"/>
        <v>45649</v>
      </c>
      <c r="C581" s="77" t="s">
        <v>1572</v>
      </c>
      <c r="D581" s="13">
        <f>D578+D579-D580</f>
        <v>84805.199</v>
      </c>
      <c r="E581" s="15">
        <f t="shared" si="1"/>
        <v>2024</v>
      </c>
      <c r="F581" s="15">
        <f t="shared" si="2"/>
        <v>12</v>
      </c>
      <c r="G581" s="15">
        <f t="shared" si="3"/>
        <v>23</v>
      </c>
    </row>
    <row r="582">
      <c r="A582" s="10" t="s">
        <v>27</v>
      </c>
      <c r="B582" s="9">
        <f t="shared" si="4"/>
        <v>45650</v>
      </c>
      <c r="C582" s="77" t="s">
        <v>1569</v>
      </c>
      <c r="D582" s="12">
        <f>D581</f>
        <v>84805.199</v>
      </c>
      <c r="E582" s="15">
        <f t="shared" si="1"/>
        <v>2024</v>
      </c>
      <c r="F582" s="15">
        <f t="shared" si="2"/>
        <v>12</v>
      </c>
      <c r="G582" s="15">
        <f t="shared" si="3"/>
        <v>24</v>
      </c>
    </row>
    <row r="583">
      <c r="A583" s="10" t="s">
        <v>27</v>
      </c>
      <c r="B583" s="9">
        <f t="shared" si="4"/>
        <v>45650</v>
      </c>
      <c r="C583" s="77" t="s">
        <v>1570</v>
      </c>
      <c r="D583" s="13">
        <f>SUMIFS('Lançamentos de receitas'!$E:$E,'Lançamentos de receitas'!$A:$A,B583,'Lançamentos de receitas'!$C:$C,A583,'Lançamentos de receitas'!$F:$F,"TRANSFERÊNCIA")</f>
        <v>838.36</v>
      </c>
      <c r="E583" s="15">
        <f t="shared" si="1"/>
        <v>2024</v>
      </c>
      <c r="F583" s="15">
        <f t="shared" si="2"/>
        <v>12</v>
      </c>
      <c r="G583" s="15">
        <f t="shared" si="3"/>
        <v>24</v>
      </c>
    </row>
    <row r="584">
      <c r="A584" s="10" t="s">
        <v>27</v>
      </c>
      <c r="B584" s="9">
        <f t="shared" si="4"/>
        <v>45650</v>
      </c>
      <c r="C584" s="77" t="s">
        <v>1571</v>
      </c>
      <c r="D584" s="13">
        <f>SUMIFS('Lançamentos de despesas'!$K:$K,'Lançamentos de despesas'!$C:$C,B584,'Lançamentos de despesas'!$G:$G,A584,'Lançamentos de despesas'!$E:$E,"pago")</f>
        <v>1686.67</v>
      </c>
      <c r="E584" s="15">
        <f t="shared" si="1"/>
        <v>2024</v>
      </c>
      <c r="F584" s="15">
        <f t="shared" si="2"/>
        <v>12</v>
      </c>
      <c r="G584" s="15">
        <f t="shared" si="3"/>
        <v>24</v>
      </c>
    </row>
    <row r="585">
      <c r="A585" s="10" t="s">
        <v>27</v>
      </c>
      <c r="B585" s="9">
        <f t="shared" si="4"/>
        <v>45650</v>
      </c>
      <c r="C585" s="77" t="s">
        <v>1572</v>
      </c>
      <c r="D585" s="13">
        <f>D582+D583-D584</f>
        <v>83956.889</v>
      </c>
      <c r="E585" s="15">
        <f t="shared" si="1"/>
        <v>2024</v>
      </c>
      <c r="F585" s="15">
        <f t="shared" si="2"/>
        <v>12</v>
      </c>
      <c r="G585" s="15">
        <f t="shared" si="3"/>
        <v>24</v>
      </c>
    </row>
    <row r="586">
      <c r="A586" s="10" t="s">
        <v>27</v>
      </c>
      <c r="B586" s="9">
        <f t="shared" si="4"/>
        <v>45651</v>
      </c>
      <c r="C586" s="77" t="s">
        <v>1569</v>
      </c>
      <c r="D586" s="12">
        <f>D585</f>
        <v>83956.889</v>
      </c>
      <c r="E586" s="15">
        <f t="shared" si="1"/>
        <v>2024</v>
      </c>
      <c r="F586" s="15">
        <f t="shared" si="2"/>
        <v>12</v>
      </c>
      <c r="G586" s="15">
        <f t="shared" si="3"/>
        <v>25</v>
      </c>
    </row>
    <row r="587">
      <c r="A587" s="10" t="s">
        <v>27</v>
      </c>
      <c r="B587" s="9">
        <f t="shared" si="4"/>
        <v>45651</v>
      </c>
      <c r="C587" s="77" t="s">
        <v>1570</v>
      </c>
      <c r="D587" s="13">
        <f>SUMIFS('Lançamentos de receitas'!$E:$E,'Lançamentos de receitas'!$A:$A,B587,'Lançamentos de receitas'!$C:$C,A587,'Lançamentos de receitas'!$F:$F,"TRANSFERÊNCIA")</f>
        <v>1383.38</v>
      </c>
      <c r="E587" s="15">
        <f t="shared" si="1"/>
        <v>2024</v>
      </c>
      <c r="F587" s="15">
        <f t="shared" si="2"/>
        <v>12</v>
      </c>
      <c r="G587" s="15">
        <f t="shared" si="3"/>
        <v>25</v>
      </c>
    </row>
    <row r="588">
      <c r="A588" s="10" t="s">
        <v>27</v>
      </c>
      <c r="B588" s="9">
        <f t="shared" si="4"/>
        <v>45651</v>
      </c>
      <c r="C588" s="77" t="s">
        <v>1571</v>
      </c>
      <c r="D588" s="13">
        <f>SUMIFS('Lançamentos de despesas'!$K:$K,'Lançamentos de despesas'!$C:$C,B588,'Lançamentos de despesas'!$G:$G,A588,'Lançamentos de despesas'!$E:$E,"pago")</f>
        <v>0</v>
      </c>
      <c r="E588" s="15">
        <f t="shared" si="1"/>
        <v>2024</v>
      </c>
      <c r="F588" s="15">
        <f t="shared" si="2"/>
        <v>12</v>
      </c>
      <c r="G588" s="15">
        <f t="shared" si="3"/>
        <v>25</v>
      </c>
    </row>
    <row r="589">
      <c r="A589" s="10" t="s">
        <v>27</v>
      </c>
      <c r="B589" s="9">
        <f t="shared" si="4"/>
        <v>45651</v>
      </c>
      <c r="C589" s="77" t="s">
        <v>1572</v>
      </c>
      <c r="D589" s="13">
        <f>D586+D587-D588</f>
        <v>85340.269</v>
      </c>
      <c r="E589" s="15">
        <f t="shared" si="1"/>
        <v>2024</v>
      </c>
      <c r="F589" s="15">
        <f t="shared" si="2"/>
        <v>12</v>
      </c>
      <c r="G589" s="15">
        <f t="shared" si="3"/>
        <v>25</v>
      </c>
    </row>
    <row r="590">
      <c r="A590" s="10" t="s">
        <v>27</v>
      </c>
      <c r="B590" s="9">
        <f t="shared" si="4"/>
        <v>45652</v>
      </c>
      <c r="C590" s="77" t="s">
        <v>1569</v>
      </c>
      <c r="D590" s="12">
        <f>D589</f>
        <v>85340.269</v>
      </c>
      <c r="E590" s="15">
        <f t="shared" si="1"/>
        <v>2024</v>
      </c>
      <c r="F590" s="15">
        <f t="shared" si="2"/>
        <v>12</v>
      </c>
      <c r="G590" s="15">
        <f t="shared" si="3"/>
        <v>26</v>
      </c>
    </row>
    <row r="591">
      <c r="A591" s="10" t="s">
        <v>27</v>
      </c>
      <c r="B591" s="9">
        <f t="shared" si="4"/>
        <v>45652</v>
      </c>
      <c r="C591" s="77" t="s">
        <v>1570</v>
      </c>
      <c r="D591" s="13">
        <f>SUMIFS('Lançamentos de receitas'!$E:$E,'Lançamentos de receitas'!$A:$A,B591,'Lançamentos de receitas'!$C:$C,A591,'Lançamentos de receitas'!$F:$F,"TRANSFERÊNCIA")</f>
        <v>2325.18</v>
      </c>
      <c r="E591" s="15">
        <f t="shared" si="1"/>
        <v>2024</v>
      </c>
      <c r="F591" s="15">
        <f t="shared" si="2"/>
        <v>12</v>
      </c>
      <c r="G591" s="15">
        <f t="shared" si="3"/>
        <v>26</v>
      </c>
    </row>
    <row r="592">
      <c r="A592" s="10" t="s">
        <v>27</v>
      </c>
      <c r="B592" s="9">
        <f t="shared" si="4"/>
        <v>45652</v>
      </c>
      <c r="C592" s="77" t="s">
        <v>1571</v>
      </c>
      <c r="D592" s="13">
        <f>SUMIFS('Lançamentos de despesas'!$K:$K,'Lançamentos de despesas'!$C:$C,B592,'Lançamentos de despesas'!$G:$G,A592,'Lançamentos de despesas'!$E:$E,"pago")</f>
        <v>171.72</v>
      </c>
      <c r="E592" s="15">
        <f t="shared" si="1"/>
        <v>2024</v>
      </c>
      <c r="F592" s="15">
        <f t="shared" si="2"/>
        <v>12</v>
      </c>
      <c r="G592" s="15">
        <f t="shared" si="3"/>
        <v>26</v>
      </c>
    </row>
    <row r="593">
      <c r="A593" s="10" t="s">
        <v>27</v>
      </c>
      <c r="B593" s="9">
        <f t="shared" si="4"/>
        <v>45652</v>
      </c>
      <c r="C593" s="77" t="s">
        <v>1572</v>
      </c>
      <c r="D593" s="13">
        <f>D590+D591-D592</f>
        <v>87493.729</v>
      </c>
      <c r="E593" s="15">
        <f t="shared" si="1"/>
        <v>2024</v>
      </c>
      <c r="F593" s="15">
        <f t="shared" si="2"/>
        <v>12</v>
      </c>
      <c r="G593" s="15">
        <f t="shared" si="3"/>
        <v>26</v>
      </c>
    </row>
    <row r="594">
      <c r="A594" s="10" t="s">
        <v>27</v>
      </c>
      <c r="B594" s="9">
        <f t="shared" si="4"/>
        <v>45653</v>
      </c>
      <c r="C594" s="77" t="s">
        <v>1569</v>
      </c>
      <c r="D594" s="12">
        <f>D593</f>
        <v>87493.729</v>
      </c>
      <c r="E594" s="15">
        <f t="shared" si="1"/>
        <v>2024</v>
      </c>
      <c r="F594" s="15">
        <f t="shared" si="2"/>
        <v>12</v>
      </c>
      <c r="G594" s="15">
        <f t="shared" si="3"/>
        <v>27</v>
      </c>
    </row>
    <row r="595">
      <c r="A595" s="10" t="s">
        <v>27</v>
      </c>
      <c r="B595" s="9">
        <f t="shared" si="4"/>
        <v>45653</v>
      </c>
      <c r="C595" s="77" t="s">
        <v>1570</v>
      </c>
      <c r="D595" s="13">
        <f>SUMIFS('Lançamentos de receitas'!$E:$E,'Lançamentos de receitas'!$A:$A,B595,'Lançamentos de receitas'!$C:$C,A595,'Lançamentos de receitas'!$F:$F,"TRANSFERÊNCIA")</f>
        <v>5695.84</v>
      </c>
      <c r="E595" s="15">
        <f t="shared" si="1"/>
        <v>2024</v>
      </c>
      <c r="F595" s="15">
        <f t="shared" si="2"/>
        <v>12</v>
      </c>
      <c r="G595" s="15">
        <f t="shared" si="3"/>
        <v>27</v>
      </c>
    </row>
    <row r="596">
      <c r="A596" s="10" t="s">
        <v>27</v>
      </c>
      <c r="B596" s="9">
        <f t="shared" si="4"/>
        <v>45653</v>
      </c>
      <c r="C596" s="77" t="s">
        <v>1571</v>
      </c>
      <c r="D596" s="13">
        <f>SUMIFS('Lançamentos de despesas'!$K:$K,'Lançamentos de despesas'!$C:$C,B596,'Lançamentos de despesas'!$G:$G,A596,'Lançamentos de despesas'!$E:$E,"pago")</f>
        <v>5255</v>
      </c>
      <c r="E596" s="15">
        <f t="shared" si="1"/>
        <v>2024</v>
      </c>
      <c r="F596" s="15">
        <f t="shared" si="2"/>
        <v>12</v>
      </c>
      <c r="G596" s="15">
        <f t="shared" si="3"/>
        <v>27</v>
      </c>
    </row>
    <row r="597">
      <c r="A597" s="10" t="s">
        <v>27</v>
      </c>
      <c r="B597" s="9">
        <f t="shared" si="4"/>
        <v>45653</v>
      </c>
      <c r="C597" s="77" t="s">
        <v>1572</v>
      </c>
      <c r="D597" s="13">
        <f>D594+D595-D596</f>
        <v>87934.569</v>
      </c>
      <c r="E597" s="15">
        <f t="shared" si="1"/>
        <v>2024</v>
      </c>
      <c r="F597" s="15">
        <f t="shared" si="2"/>
        <v>12</v>
      </c>
      <c r="G597" s="15">
        <f t="shared" si="3"/>
        <v>27</v>
      </c>
    </row>
    <row r="598">
      <c r="A598" s="10" t="s">
        <v>27</v>
      </c>
      <c r="B598" s="9">
        <f t="shared" si="4"/>
        <v>45654</v>
      </c>
      <c r="C598" s="77" t="s">
        <v>1569</v>
      </c>
      <c r="D598" s="12">
        <f>D597</f>
        <v>87934.569</v>
      </c>
      <c r="E598" s="15">
        <f t="shared" si="1"/>
        <v>2024</v>
      </c>
      <c r="F598" s="15">
        <f t="shared" si="2"/>
        <v>12</v>
      </c>
      <c r="G598" s="15">
        <f t="shared" si="3"/>
        <v>28</v>
      </c>
    </row>
    <row r="599">
      <c r="A599" s="10" t="s">
        <v>27</v>
      </c>
      <c r="B599" s="9">
        <f t="shared" si="4"/>
        <v>45654</v>
      </c>
      <c r="C599" s="77" t="s">
        <v>1570</v>
      </c>
      <c r="D599" s="13">
        <f>SUMIFS('Lançamentos de receitas'!$E:$E,'Lançamentos de receitas'!$A:$A,B599,'Lançamentos de receitas'!$C:$C,A599,'Lançamentos de receitas'!$F:$F,"TRANSFERÊNCIA")</f>
        <v>1231.25</v>
      </c>
      <c r="E599" s="15">
        <f t="shared" si="1"/>
        <v>2024</v>
      </c>
      <c r="F599" s="15">
        <f t="shared" si="2"/>
        <v>12</v>
      </c>
      <c r="G599" s="15">
        <f t="shared" si="3"/>
        <v>28</v>
      </c>
    </row>
    <row r="600">
      <c r="A600" s="10" t="s">
        <v>27</v>
      </c>
      <c r="B600" s="9">
        <f t="shared" si="4"/>
        <v>45654</v>
      </c>
      <c r="C600" s="77" t="s">
        <v>1571</v>
      </c>
      <c r="D600" s="13">
        <f>SUMIFS('Lançamentos de despesas'!$K:$K,'Lançamentos de despesas'!$C:$C,B600,'Lançamentos de despesas'!$G:$G,A600,'Lançamentos de despesas'!$E:$E,"pago")</f>
        <v>0</v>
      </c>
      <c r="E600" s="15">
        <f t="shared" si="1"/>
        <v>2024</v>
      </c>
      <c r="F600" s="15">
        <f t="shared" si="2"/>
        <v>12</v>
      </c>
      <c r="G600" s="15">
        <f t="shared" si="3"/>
        <v>28</v>
      </c>
    </row>
    <row r="601">
      <c r="A601" s="10" t="s">
        <v>27</v>
      </c>
      <c r="B601" s="9">
        <f t="shared" si="4"/>
        <v>45654</v>
      </c>
      <c r="C601" s="77" t="s">
        <v>1572</v>
      </c>
      <c r="D601" s="13">
        <f>D598+D599-D600</f>
        <v>89165.819</v>
      </c>
      <c r="E601" s="15">
        <f t="shared" si="1"/>
        <v>2024</v>
      </c>
      <c r="F601" s="15">
        <f t="shared" si="2"/>
        <v>12</v>
      </c>
      <c r="G601" s="15">
        <f t="shared" si="3"/>
        <v>28</v>
      </c>
    </row>
    <row r="602">
      <c r="A602" s="10" t="s">
        <v>27</v>
      </c>
      <c r="B602" s="9">
        <f t="shared" si="4"/>
        <v>45655</v>
      </c>
      <c r="C602" s="77" t="s">
        <v>1569</v>
      </c>
      <c r="D602" s="12">
        <f>D601</f>
        <v>89165.819</v>
      </c>
      <c r="E602" s="15">
        <f t="shared" si="1"/>
        <v>2024</v>
      </c>
      <c r="F602" s="15">
        <f t="shared" si="2"/>
        <v>12</v>
      </c>
      <c r="G602" s="15">
        <f t="shared" si="3"/>
        <v>29</v>
      </c>
    </row>
    <row r="603">
      <c r="A603" s="10" t="s">
        <v>27</v>
      </c>
      <c r="B603" s="9">
        <f t="shared" si="4"/>
        <v>45655</v>
      </c>
      <c r="C603" s="77" t="s">
        <v>1570</v>
      </c>
      <c r="D603" s="13">
        <f>SUMIFS('Lançamentos de receitas'!$E:$E,'Lançamentos de receitas'!$A:$A,B603,'Lançamentos de receitas'!$C:$C,A603,'Lançamentos de receitas'!$F:$F,"TRANSFERÊNCIA")</f>
        <v>1202.66</v>
      </c>
      <c r="E603" s="15">
        <f t="shared" si="1"/>
        <v>2024</v>
      </c>
      <c r="F603" s="15">
        <f t="shared" si="2"/>
        <v>12</v>
      </c>
      <c r="G603" s="15">
        <f t="shared" si="3"/>
        <v>29</v>
      </c>
    </row>
    <row r="604">
      <c r="A604" s="10" t="s">
        <v>27</v>
      </c>
      <c r="B604" s="9">
        <f t="shared" si="4"/>
        <v>45655</v>
      </c>
      <c r="C604" s="77" t="s">
        <v>1571</v>
      </c>
      <c r="D604" s="13">
        <f>SUMIFS('Lançamentos de despesas'!$K:$K,'Lançamentos de despesas'!$C:$C,B604,'Lançamentos de despesas'!$G:$G,A604,'Lançamentos de despesas'!$E:$E,"pago")</f>
        <v>0</v>
      </c>
      <c r="E604" s="15">
        <f t="shared" si="1"/>
        <v>2024</v>
      </c>
      <c r="F604" s="15">
        <f t="shared" si="2"/>
        <v>12</v>
      </c>
      <c r="G604" s="15">
        <f t="shared" si="3"/>
        <v>29</v>
      </c>
    </row>
    <row r="605">
      <c r="A605" s="10" t="s">
        <v>27</v>
      </c>
      <c r="B605" s="9">
        <f t="shared" si="4"/>
        <v>45655</v>
      </c>
      <c r="C605" s="77" t="s">
        <v>1572</v>
      </c>
      <c r="D605" s="13">
        <f>D602+D603-D604</f>
        <v>90368.479</v>
      </c>
      <c r="E605" s="15">
        <f t="shared" si="1"/>
        <v>2024</v>
      </c>
      <c r="F605" s="15">
        <f t="shared" si="2"/>
        <v>12</v>
      </c>
      <c r="G605" s="15">
        <f t="shared" si="3"/>
        <v>29</v>
      </c>
    </row>
    <row r="606">
      <c r="A606" s="10" t="s">
        <v>27</v>
      </c>
      <c r="B606" s="9">
        <f t="shared" si="4"/>
        <v>45656</v>
      </c>
      <c r="C606" s="77" t="s">
        <v>1569</v>
      </c>
      <c r="D606" s="12">
        <f>D605</f>
        <v>90368.479</v>
      </c>
      <c r="E606" s="15">
        <f t="shared" si="1"/>
        <v>2024</v>
      </c>
      <c r="F606" s="15">
        <f t="shared" si="2"/>
        <v>12</v>
      </c>
      <c r="G606" s="15">
        <f t="shared" si="3"/>
        <v>30</v>
      </c>
    </row>
    <row r="607">
      <c r="A607" s="10" t="s">
        <v>27</v>
      </c>
      <c r="B607" s="9">
        <f t="shared" si="4"/>
        <v>45656</v>
      </c>
      <c r="C607" s="77" t="s">
        <v>1570</v>
      </c>
      <c r="D607" s="13">
        <f>SUMIFS('Lançamentos de receitas'!$E:$E,'Lançamentos de receitas'!$A:$A,B607,'Lançamentos de receitas'!$C:$C,A607,'Lançamentos de receitas'!$F:$F,"TRANSFERÊNCIA")</f>
        <v>426.9</v>
      </c>
      <c r="E607" s="15">
        <f t="shared" si="1"/>
        <v>2024</v>
      </c>
      <c r="F607" s="15">
        <f t="shared" si="2"/>
        <v>12</v>
      </c>
      <c r="G607" s="15">
        <f t="shared" si="3"/>
        <v>30</v>
      </c>
    </row>
    <row r="608">
      <c r="A608" s="10" t="s">
        <v>27</v>
      </c>
      <c r="B608" s="9">
        <f t="shared" si="4"/>
        <v>45656</v>
      </c>
      <c r="C608" s="77" t="s">
        <v>1571</v>
      </c>
      <c r="D608" s="13">
        <f>SUMIFS('Lançamentos de despesas'!$K:$K,'Lançamentos de despesas'!$C:$C,B608,'Lançamentos de despesas'!$G:$G,A608,'Lançamentos de despesas'!$E:$E,"pago")</f>
        <v>3657.22</v>
      </c>
      <c r="E608" s="15">
        <f t="shared" si="1"/>
        <v>2024</v>
      </c>
      <c r="F608" s="15">
        <f t="shared" si="2"/>
        <v>12</v>
      </c>
      <c r="G608" s="15">
        <f t="shared" si="3"/>
        <v>30</v>
      </c>
    </row>
    <row r="609">
      <c r="A609" s="10" t="s">
        <v>27</v>
      </c>
      <c r="B609" s="9">
        <f t="shared" si="4"/>
        <v>45656</v>
      </c>
      <c r="C609" s="77" t="s">
        <v>1572</v>
      </c>
      <c r="D609" s="13">
        <f>D606+D607-D608</f>
        <v>87138.159</v>
      </c>
      <c r="E609" s="15">
        <f t="shared" si="1"/>
        <v>2024</v>
      </c>
      <c r="F609" s="15">
        <f t="shared" si="2"/>
        <v>12</v>
      </c>
      <c r="G609" s="15">
        <f t="shared" si="3"/>
        <v>30</v>
      </c>
    </row>
    <row r="610">
      <c r="A610" s="10" t="s">
        <v>27</v>
      </c>
      <c r="B610" s="9">
        <f t="shared" si="4"/>
        <v>45657</v>
      </c>
      <c r="C610" s="77" t="s">
        <v>1569</v>
      </c>
      <c r="D610" s="12">
        <f>D609</f>
        <v>87138.159</v>
      </c>
      <c r="E610" s="15">
        <f t="shared" si="1"/>
        <v>2024</v>
      </c>
      <c r="F610" s="15">
        <f t="shared" si="2"/>
        <v>12</v>
      </c>
      <c r="G610" s="15">
        <f t="shared" si="3"/>
        <v>31</v>
      </c>
    </row>
    <row r="611">
      <c r="A611" s="10" t="s">
        <v>27</v>
      </c>
      <c r="B611" s="9">
        <f t="shared" si="4"/>
        <v>45657</v>
      </c>
      <c r="C611" s="77" t="s">
        <v>1570</v>
      </c>
      <c r="D611" s="13">
        <f>SUMIFS('Lançamentos de receitas'!$E:$E,'Lançamentos de receitas'!$A:$A,B611,'Lançamentos de receitas'!$C:$C,A611,'Lançamentos de receitas'!$F:$F,"TRANSFERÊNCIA")</f>
        <v>1578.01</v>
      </c>
      <c r="E611" s="15">
        <f t="shared" si="1"/>
        <v>2024</v>
      </c>
      <c r="F611" s="15">
        <f t="shared" si="2"/>
        <v>12</v>
      </c>
      <c r="G611" s="15">
        <f t="shared" si="3"/>
        <v>31</v>
      </c>
    </row>
    <row r="612">
      <c r="A612" s="10" t="s">
        <v>27</v>
      </c>
      <c r="B612" s="9">
        <f t="shared" si="4"/>
        <v>45657</v>
      </c>
      <c r="C612" s="77" t="s">
        <v>1571</v>
      </c>
      <c r="D612" s="13">
        <f>SUMIFS('Lançamentos de despesas'!$K:$K,'Lançamentos de despesas'!$C:$C,B612,'Lançamentos de despesas'!$G:$G,A612,'Lançamentos de despesas'!$E:$E,"pago")</f>
        <v>0</v>
      </c>
      <c r="E612" s="15">
        <f t="shared" si="1"/>
        <v>2024</v>
      </c>
      <c r="F612" s="15">
        <f t="shared" si="2"/>
        <v>12</v>
      </c>
      <c r="G612" s="15">
        <f t="shared" si="3"/>
        <v>31</v>
      </c>
    </row>
    <row r="613">
      <c r="A613" s="10" t="s">
        <v>27</v>
      </c>
      <c r="B613" s="9">
        <f t="shared" si="4"/>
        <v>45657</v>
      </c>
      <c r="C613" s="77" t="s">
        <v>1572</v>
      </c>
      <c r="D613" s="13">
        <f>D610+D611-D612</f>
        <v>88716.169</v>
      </c>
      <c r="E613" s="15">
        <f t="shared" si="1"/>
        <v>2024</v>
      </c>
      <c r="F613" s="15">
        <f t="shared" si="2"/>
        <v>12</v>
      </c>
      <c r="G613" s="15">
        <f t="shared" si="3"/>
        <v>31</v>
      </c>
    </row>
    <row r="614">
      <c r="A614" s="10" t="s">
        <v>27</v>
      </c>
      <c r="B614" s="9">
        <f t="shared" si="4"/>
        <v>45658</v>
      </c>
      <c r="C614" s="77" t="s">
        <v>1569</v>
      </c>
      <c r="D614" s="12">
        <f>D613</f>
        <v>88716.169</v>
      </c>
      <c r="E614" s="15">
        <f t="shared" si="1"/>
        <v>2025</v>
      </c>
      <c r="F614" s="15">
        <f t="shared" si="2"/>
        <v>1</v>
      </c>
      <c r="G614" s="15">
        <f t="shared" si="3"/>
        <v>1</v>
      </c>
    </row>
    <row r="615">
      <c r="A615" s="10" t="s">
        <v>27</v>
      </c>
      <c r="B615" s="9">
        <f t="shared" si="4"/>
        <v>45658</v>
      </c>
      <c r="C615" s="77" t="s">
        <v>1570</v>
      </c>
      <c r="D615" s="13">
        <f>SUMIFS('Lançamentos de receitas'!$E:$E,'Lançamentos de receitas'!$A:$A,B615,'Lançamentos de receitas'!$C:$C,A615,'Lançamentos de receitas'!$F:$F,"TRANSFERÊNCIA")</f>
        <v>878.44</v>
      </c>
      <c r="E615" s="15">
        <f t="shared" si="1"/>
        <v>2025</v>
      </c>
      <c r="F615" s="15">
        <f t="shared" si="2"/>
        <v>1</v>
      </c>
      <c r="G615" s="15">
        <f t="shared" si="3"/>
        <v>1</v>
      </c>
    </row>
    <row r="616">
      <c r="A616" s="10" t="s">
        <v>27</v>
      </c>
      <c r="B616" s="9">
        <f t="shared" si="4"/>
        <v>45658</v>
      </c>
      <c r="C616" s="77" t="s">
        <v>1571</v>
      </c>
      <c r="D616" s="13">
        <f>SUMIFS('Lançamentos de despesas'!$K:$K,'Lançamentos de despesas'!$C:$C,B616,'Lançamentos de despesas'!$G:$G,A616,'Lançamentos de despesas'!$E:$E,"pago")</f>
        <v>0</v>
      </c>
      <c r="E616" s="15">
        <f t="shared" si="1"/>
        <v>2025</v>
      </c>
      <c r="F616" s="15">
        <f t="shared" si="2"/>
        <v>1</v>
      </c>
      <c r="G616" s="15">
        <f t="shared" si="3"/>
        <v>1</v>
      </c>
    </row>
    <row r="617">
      <c r="A617" s="10" t="s">
        <v>27</v>
      </c>
      <c r="B617" s="9">
        <f t="shared" si="4"/>
        <v>45658</v>
      </c>
      <c r="C617" s="77" t="s">
        <v>1572</v>
      </c>
      <c r="D617" s="13">
        <f>D614+D615-D616</f>
        <v>89594.609</v>
      </c>
      <c r="E617" s="15">
        <f t="shared" si="1"/>
        <v>2025</v>
      </c>
      <c r="F617" s="15">
        <f t="shared" si="2"/>
        <v>1</v>
      </c>
      <c r="G617" s="15">
        <f t="shared" si="3"/>
        <v>1</v>
      </c>
    </row>
    <row r="618">
      <c r="A618" s="10" t="s">
        <v>27</v>
      </c>
      <c r="B618" s="9">
        <f t="shared" si="4"/>
        <v>45659</v>
      </c>
      <c r="C618" s="77" t="s">
        <v>1569</v>
      </c>
      <c r="D618" s="12">
        <f>D617</f>
        <v>89594.609</v>
      </c>
      <c r="E618" s="15">
        <f t="shared" si="1"/>
        <v>2025</v>
      </c>
      <c r="F618" s="15">
        <f t="shared" si="2"/>
        <v>1</v>
      </c>
      <c r="G618" s="15">
        <f t="shared" si="3"/>
        <v>2</v>
      </c>
    </row>
    <row r="619">
      <c r="A619" s="10" t="s">
        <v>27</v>
      </c>
      <c r="B619" s="9">
        <f t="shared" si="4"/>
        <v>45659</v>
      </c>
      <c r="C619" s="77" t="s">
        <v>1570</v>
      </c>
      <c r="D619" s="13">
        <f>SUMIFS('Lançamentos de receitas'!$E:$E,'Lançamentos de receitas'!$A:$A,B619,'Lançamentos de receitas'!$C:$C,A619,'Lançamentos de receitas'!$F:$F,"TRANSFERÊNCIA")</f>
        <v>44.85</v>
      </c>
      <c r="E619" s="15">
        <f t="shared" si="1"/>
        <v>2025</v>
      </c>
      <c r="F619" s="15">
        <f t="shared" si="2"/>
        <v>1</v>
      </c>
      <c r="G619" s="15">
        <f t="shared" si="3"/>
        <v>2</v>
      </c>
    </row>
    <row r="620">
      <c r="A620" s="10" t="s">
        <v>27</v>
      </c>
      <c r="B620" s="9">
        <f t="shared" si="4"/>
        <v>45659</v>
      </c>
      <c r="C620" s="77" t="s">
        <v>1571</v>
      </c>
      <c r="D620" s="13">
        <f>SUMIFS('Lançamentos de despesas'!$K:$K,'Lançamentos de despesas'!$C:$C,B620,'Lançamentos de despesas'!$G:$G,A620,'Lançamentos de despesas'!$E:$E,"pago")</f>
        <v>5600</v>
      </c>
      <c r="E620" s="15">
        <f t="shared" si="1"/>
        <v>2025</v>
      </c>
      <c r="F620" s="15">
        <f t="shared" si="2"/>
        <v>1</v>
      </c>
      <c r="G620" s="15">
        <f t="shared" si="3"/>
        <v>2</v>
      </c>
    </row>
    <row r="621">
      <c r="A621" s="10" t="s">
        <v>27</v>
      </c>
      <c r="B621" s="9">
        <f t="shared" si="4"/>
        <v>45659</v>
      </c>
      <c r="C621" s="77" t="s">
        <v>1572</v>
      </c>
      <c r="D621" s="13">
        <f>D618+D619-D620</f>
        <v>84039.459</v>
      </c>
      <c r="E621" s="15">
        <f t="shared" si="1"/>
        <v>2025</v>
      </c>
      <c r="F621" s="15">
        <f t="shared" si="2"/>
        <v>1</v>
      </c>
      <c r="G621" s="15">
        <f t="shared" si="3"/>
        <v>2</v>
      </c>
    </row>
    <row r="622">
      <c r="A622" s="10" t="s">
        <v>27</v>
      </c>
      <c r="B622" s="9">
        <f t="shared" si="4"/>
        <v>45660</v>
      </c>
      <c r="C622" s="77" t="s">
        <v>1569</v>
      </c>
      <c r="D622" s="12">
        <f>D621</f>
        <v>84039.459</v>
      </c>
      <c r="E622" s="15">
        <f t="shared" si="1"/>
        <v>2025</v>
      </c>
      <c r="F622" s="15">
        <f t="shared" si="2"/>
        <v>1</v>
      </c>
      <c r="G622" s="15">
        <f t="shared" si="3"/>
        <v>3</v>
      </c>
    </row>
    <row r="623">
      <c r="A623" s="10" t="s">
        <v>27</v>
      </c>
      <c r="B623" s="9">
        <f t="shared" si="4"/>
        <v>45660</v>
      </c>
      <c r="C623" s="77" t="s">
        <v>1570</v>
      </c>
      <c r="D623" s="13">
        <f>SUMIFS('Lançamentos de receitas'!$E:$E,'Lançamentos de receitas'!$A:$A,B623,'Lançamentos de receitas'!$C:$C,A623,'Lançamentos de receitas'!$F:$F,"TRANSFERÊNCIA")</f>
        <v>627.24</v>
      </c>
      <c r="E623" s="15">
        <f t="shared" si="1"/>
        <v>2025</v>
      </c>
      <c r="F623" s="15">
        <f t="shared" si="2"/>
        <v>1</v>
      </c>
      <c r="G623" s="15">
        <f t="shared" si="3"/>
        <v>3</v>
      </c>
    </row>
    <row r="624">
      <c r="A624" s="10" t="s">
        <v>27</v>
      </c>
      <c r="B624" s="9">
        <f t="shared" si="4"/>
        <v>45660</v>
      </c>
      <c r="C624" s="77" t="s">
        <v>1571</v>
      </c>
      <c r="D624" s="13">
        <f>SUMIFS('Lançamentos de despesas'!$K:$K,'Lançamentos de despesas'!$C:$C,B624,'Lançamentos de despesas'!$G:$G,A624,'Lançamentos de despesas'!$E:$E,"pago")</f>
        <v>3296.41</v>
      </c>
      <c r="E624" s="15">
        <f t="shared" si="1"/>
        <v>2025</v>
      </c>
      <c r="F624" s="15">
        <f t="shared" si="2"/>
        <v>1</v>
      </c>
      <c r="G624" s="15">
        <f t="shared" si="3"/>
        <v>3</v>
      </c>
    </row>
    <row r="625">
      <c r="A625" s="10" t="s">
        <v>27</v>
      </c>
      <c r="B625" s="9">
        <f t="shared" si="4"/>
        <v>45660</v>
      </c>
      <c r="C625" s="77" t="s">
        <v>1572</v>
      </c>
      <c r="D625" s="13">
        <f>D622+D623-D624</f>
        <v>81370.289</v>
      </c>
      <c r="E625" s="15">
        <f t="shared" si="1"/>
        <v>2025</v>
      </c>
      <c r="F625" s="15">
        <f t="shared" si="2"/>
        <v>1</v>
      </c>
      <c r="G625" s="15">
        <f t="shared" si="3"/>
        <v>3</v>
      </c>
    </row>
    <row r="626">
      <c r="A626" s="10" t="s">
        <v>27</v>
      </c>
      <c r="B626" s="9">
        <f t="shared" si="4"/>
        <v>45661</v>
      </c>
      <c r="C626" s="77" t="s">
        <v>1569</v>
      </c>
      <c r="D626" s="12">
        <f>D625</f>
        <v>81370.289</v>
      </c>
      <c r="E626" s="15">
        <f t="shared" si="1"/>
        <v>2025</v>
      </c>
      <c r="F626" s="15">
        <f t="shared" si="2"/>
        <v>1</v>
      </c>
      <c r="G626" s="15">
        <f t="shared" si="3"/>
        <v>4</v>
      </c>
    </row>
    <row r="627">
      <c r="A627" s="10" t="s">
        <v>27</v>
      </c>
      <c r="B627" s="9">
        <f t="shared" si="4"/>
        <v>45661</v>
      </c>
      <c r="C627" s="77" t="s">
        <v>1570</v>
      </c>
      <c r="D627" s="13">
        <f>SUMIFS('Lançamentos de receitas'!$E:$E,'Lançamentos de receitas'!$A:$A,B627,'Lançamentos de receitas'!$C:$C,A627,'Lançamentos de receitas'!$F:$F,"TRANSFERÊNCIA")</f>
        <v>1532.78</v>
      </c>
      <c r="E627" s="15">
        <f t="shared" si="1"/>
        <v>2025</v>
      </c>
      <c r="F627" s="15">
        <f t="shared" si="2"/>
        <v>1</v>
      </c>
      <c r="G627" s="15">
        <f t="shared" si="3"/>
        <v>4</v>
      </c>
    </row>
    <row r="628">
      <c r="A628" s="10" t="s">
        <v>27</v>
      </c>
      <c r="B628" s="9">
        <f t="shared" si="4"/>
        <v>45661</v>
      </c>
      <c r="C628" s="77" t="s">
        <v>1571</v>
      </c>
      <c r="D628" s="13">
        <f>SUMIFS('Lançamentos de despesas'!$K:$K,'Lançamentos de despesas'!$C:$C,B628,'Lançamentos de despesas'!$G:$G,A628,'Lançamentos de despesas'!$E:$E,"pago")</f>
        <v>0</v>
      </c>
      <c r="E628" s="15">
        <f t="shared" si="1"/>
        <v>2025</v>
      </c>
      <c r="F628" s="15">
        <f t="shared" si="2"/>
        <v>1</v>
      </c>
      <c r="G628" s="15">
        <f t="shared" si="3"/>
        <v>4</v>
      </c>
    </row>
    <row r="629">
      <c r="A629" s="10" t="s">
        <v>27</v>
      </c>
      <c r="B629" s="9">
        <f t="shared" si="4"/>
        <v>45661</v>
      </c>
      <c r="C629" s="77" t="s">
        <v>1572</v>
      </c>
      <c r="D629" s="13">
        <f>D626+D627-D628</f>
        <v>82903.069</v>
      </c>
      <c r="E629" s="15">
        <f t="shared" si="1"/>
        <v>2025</v>
      </c>
      <c r="F629" s="15">
        <f t="shared" si="2"/>
        <v>1</v>
      </c>
      <c r="G629" s="15">
        <f t="shared" si="3"/>
        <v>4</v>
      </c>
    </row>
    <row r="630">
      <c r="A630" s="10" t="s">
        <v>27</v>
      </c>
      <c r="B630" s="9">
        <f t="shared" si="4"/>
        <v>45662</v>
      </c>
      <c r="C630" s="77" t="s">
        <v>1569</v>
      </c>
      <c r="D630" s="12">
        <f>D629</f>
        <v>82903.069</v>
      </c>
      <c r="E630" s="15">
        <f t="shared" si="1"/>
        <v>2025</v>
      </c>
      <c r="F630" s="15">
        <f t="shared" si="2"/>
        <v>1</v>
      </c>
      <c r="G630" s="15">
        <f t="shared" si="3"/>
        <v>5</v>
      </c>
    </row>
    <row r="631">
      <c r="A631" s="10" t="s">
        <v>27</v>
      </c>
      <c r="B631" s="9">
        <f t="shared" si="4"/>
        <v>45662</v>
      </c>
      <c r="C631" s="77" t="s">
        <v>1570</v>
      </c>
      <c r="D631" s="13">
        <f>SUMIFS('Lançamentos de receitas'!$E:$E,'Lançamentos de receitas'!$A:$A,B631,'Lançamentos de receitas'!$C:$C,A631,'Lançamentos de receitas'!$F:$F,"TRANSFERÊNCIA")</f>
        <v>1259.37</v>
      </c>
      <c r="E631" s="15">
        <f t="shared" si="1"/>
        <v>2025</v>
      </c>
      <c r="F631" s="15">
        <f t="shared" si="2"/>
        <v>1</v>
      </c>
      <c r="G631" s="15">
        <f t="shared" si="3"/>
        <v>5</v>
      </c>
    </row>
    <row r="632">
      <c r="A632" s="10" t="s">
        <v>27</v>
      </c>
      <c r="B632" s="9">
        <f t="shared" si="4"/>
        <v>45662</v>
      </c>
      <c r="C632" s="77" t="s">
        <v>1571</v>
      </c>
      <c r="D632" s="13">
        <f>SUMIFS('Lançamentos de despesas'!$K:$K,'Lançamentos de despesas'!$C:$C,B632,'Lançamentos de despesas'!$G:$G,A632,'Lançamentos de despesas'!$E:$E,"pago")</f>
        <v>0</v>
      </c>
      <c r="E632" s="15">
        <f t="shared" si="1"/>
        <v>2025</v>
      </c>
      <c r="F632" s="15">
        <f t="shared" si="2"/>
        <v>1</v>
      </c>
      <c r="G632" s="15">
        <f t="shared" si="3"/>
        <v>5</v>
      </c>
    </row>
    <row r="633">
      <c r="A633" s="10" t="s">
        <v>27</v>
      </c>
      <c r="B633" s="9">
        <f t="shared" si="4"/>
        <v>45662</v>
      </c>
      <c r="C633" s="77" t="s">
        <v>1572</v>
      </c>
      <c r="D633" s="13">
        <f>D630+D631-D632</f>
        <v>84162.439</v>
      </c>
      <c r="E633" s="15">
        <f t="shared" si="1"/>
        <v>2025</v>
      </c>
      <c r="F633" s="15">
        <f t="shared" si="2"/>
        <v>1</v>
      </c>
      <c r="G633" s="15">
        <f t="shared" si="3"/>
        <v>5</v>
      </c>
    </row>
    <row r="634">
      <c r="A634" s="10" t="s">
        <v>27</v>
      </c>
      <c r="B634" s="9">
        <f t="shared" si="4"/>
        <v>45663</v>
      </c>
      <c r="C634" s="77" t="s">
        <v>1569</v>
      </c>
      <c r="D634" s="12">
        <f>D633</f>
        <v>84162.439</v>
      </c>
      <c r="E634" s="15">
        <f t="shared" si="1"/>
        <v>2025</v>
      </c>
      <c r="F634" s="15">
        <f t="shared" si="2"/>
        <v>1</v>
      </c>
      <c r="G634" s="15">
        <f t="shared" si="3"/>
        <v>6</v>
      </c>
    </row>
    <row r="635">
      <c r="A635" s="10" t="s">
        <v>27</v>
      </c>
      <c r="B635" s="9">
        <f t="shared" si="4"/>
        <v>45663</v>
      </c>
      <c r="C635" s="77" t="s">
        <v>1570</v>
      </c>
      <c r="D635" s="13">
        <f>SUMIFS('Lançamentos de receitas'!$E:$E,'Lançamentos de receitas'!$A:$A,B635,'Lançamentos de receitas'!$C:$C,A635,'Lançamentos de receitas'!$F:$F,"TRANSFERÊNCIA")</f>
        <v>990.18</v>
      </c>
      <c r="E635" s="15">
        <f t="shared" si="1"/>
        <v>2025</v>
      </c>
      <c r="F635" s="15">
        <f t="shared" si="2"/>
        <v>1</v>
      </c>
      <c r="G635" s="15">
        <f t="shared" si="3"/>
        <v>6</v>
      </c>
    </row>
    <row r="636">
      <c r="A636" s="10" t="s">
        <v>27</v>
      </c>
      <c r="B636" s="9">
        <f t="shared" si="4"/>
        <v>45663</v>
      </c>
      <c r="C636" s="77" t="s">
        <v>1571</v>
      </c>
      <c r="D636" s="13">
        <f>SUMIFS('Lançamentos de despesas'!$K:$K,'Lançamentos de despesas'!$C:$C,B636,'Lançamentos de despesas'!$G:$G,A636,'Lançamentos de despesas'!$E:$E,"pago")</f>
        <v>2515.94</v>
      </c>
      <c r="E636" s="15">
        <f t="shared" si="1"/>
        <v>2025</v>
      </c>
      <c r="F636" s="15">
        <f t="shared" si="2"/>
        <v>1</v>
      </c>
      <c r="G636" s="15">
        <f t="shared" si="3"/>
        <v>6</v>
      </c>
    </row>
    <row r="637">
      <c r="A637" s="10" t="s">
        <v>27</v>
      </c>
      <c r="B637" s="9">
        <f t="shared" si="4"/>
        <v>45663</v>
      </c>
      <c r="C637" s="77" t="s">
        <v>1572</v>
      </c>
      <c r="D637" s="13">
        <f>D634+D635-D636</f>
        <v>82636.679</v>
      </c>
      <c r="E637" s="15">
        <f t="shared" si="1"/>
        <v>2025</v>
      </c>
      <c r="F637" s="15">
        <f t="shared" si="2"/>
        <v>1</v>
      </c>
      <c r="G637" s="15">
        <f t="shared" si="3"/>
        <v>6</v>
      </c>
    </row>
    <row r="638">
      <c r="A638" s="10" t="s">
        <v>27</v>
      </c>
      <c r="B638" s="9">
        <f t="shared" si="4"/>
        <v>45664</v>
      </c>
      <c r="C638" s="77" t="s">
        <v>1569</v>
      </c>
      <c r="D638" s="12">
        <f>D637</f>
        <v>82636.679</v>
      </c>
      <c r="E638" s="15">
        <f t="shared" si="1"/>
        <v>2025</v>
      </c>
      <c r="F638" s="15">
        <f t="shared" si="2"/>
        <v>1</v>
      </c>
      <c r="G638" s="15">
        <f t="shared" si="3"/>
        <v>7</v>
      </c>
    </row>
    <row r="639">
      <c r="A639" s="10" t="s">
        <v>27</v>
      </c>
      <c r="B639" s="9">
        <f t="shared" si="4"/>
        <v>45664</v>
      </c>
      <c r="C639" s="77" t="s">
        <v>1570</v>
      </c>
      <c r="D639" s="13">
        <f>SUMIFS('Lançamentos de receitas'!$E:$E,'Lançamentos de receitas'!$A:$A,B639,'Lançamentos de receitas'!$C:$C,A639,'Lançamentos de receitas'!$F:$F,"TRANSFERÊNCIA")</f>
        <v>82091.84</v>
      </c>
      <c r="E639" s="15">
        <f t="shared" si="1"/>
        <v>2025</v>
      </c>
      <c r="F639" s="15">
        <f t="shared" si="2"/>
        <v>1</v>
      </c>
      <c r="G639" s="15">
        <f t="shared" si="3"/>
        <v>7</v>
      </c>
    </row>
    <row r="640">
      <c r="A640" s="10" t="s">
        <v>27</v>
      </c>
      <c r="B640" s="9">
        <f t="shared" si="4"/>
        <v>45664</v>
      </c>
      <c r="C640" s="77" t="s">
        <v>1571</v>
      </c>
      <c r="D640" s="13">
        <f>SUMIFS('Lançamentos de despesas'!$K:$K,'Lançamentos de despesas'!$C:$C,B640,'Lançamentos de despesas'!$G:$G,A640,'Lançamentos de despesas'!$E:$E,"pago")</f>
        <v>81628.88</v>
      </c>
      <c r="E640" s="15">
        <f t="shared" si="1"/>
        <v>2025</v>
      </c>
      <c r="F640" s="15">
        <f t="shared" si="2"/>
        <v>1</v>
      </c>
      <c r="G640" s="15">
        <f t="shared" si="3"/>
        <v>7</v>
      </c>
    </row>
    <row r="641">
      <c r="A641" s="10" t="s">
        <v>27</v>
      </c>
      <c r="B641" s="9">
        <f t="shared" si="4"/>
        <v>45664</v>
      </c>
      <c r="C641" s="77" t="s">
        <v>1572</v>
      </c>
      <c r="D641" s="13">
        <f>D638+D639-D640</f>
        <v>83099.639</v>
      </c>
      <c r="E641" s="15">
        <f t="shared" si="1"/>
        <v>2025</v>
      </c>
      <c r="F641" s="15">
        <f t="shared" si="2"/>
        <v>1</v>
      </c>
      <c r="G641" s="15">
        <f t="shared" si="3"/>
        <v>7</v>
      </c>
    </row>
    <row r="642">
      <c r="A642" s="10" t="s">
        <v>27</v>
      </c>
      <c r="B642" s="9">
        <f t="shared" si="4"/>
        <v>45665</v>
      </c>
      <c r="C642" s="77" t="s">
        <v>1569</v>
      </c>
      <c r="D642" s="12">
        <f>D641</f>
        <v>83099.639</v>
      </c>
      <c r="E642" s="15">
        <f t="shared" si="1"/>
        <v>2025</v>
      </c>
      <c r="F642" s="15">
        <f t="shared" si="2"/>
        <v>1</v>
      </c>
      <c r="G642" s="15">
        <f t="shared" si="3"/>
        <v>8</v>
      </c>
    </row>
    <row r="643">
      <c r="A643" s="10" t="s">
        <v>27</v>
      </c>
      <c r="B643" s="9">
        <f t="shared" si="4"/>
        <v>45665</v>
      </c>
      <c r="C643" s="77" t="s">
        <v>1570</v>
      </c>
      <c r="D643" s="13">
        <f>SUMIFS('Lançamentos de receitas'!$E:$E,'Lançamentos de receitas'!$A:$A,B643,'Lançamentos de receitas'!$C:$C,A643,'Lançamentos de receitas'!$F:$F,"TRANSFERÊNCIA")</f>
        <v>849.94</v>
      </c>
      <c r="E643" s="15">
        <f t="shared" si="1"/>
        <v>2025</v>
      </c>
      <c r="F643" s="15">
        <f t="shared" si="2"/>
        <v>1</v>
      </c>
      <c r="G643" s="15">
        <f t="shared" si="3"/>
        <v>8</v>
      </c>
    </row>
    <row r="644">
      <c r="A644" s="10" t="s">
        <v>27</v>
      </c>
      <c r="B644" s="9">
        <f t="shared" si="4"/>
        <v>45665</v>
      </c>
      <c r="C644" s="77" t="s">
        <v>1571</v>
      </c>
      <c r="D644" s="13">
        <f>SUMIFS('Lançamentos de despesas'!$K:$K,'Lançamentos de despesas'!$C:$C,B644,'Lançamentos de despesas'!$G:$G,A644,'Lançamentos de despesas'!$E:$E,"pago")</f>
        <v>12.56</v>
      </c>
      <c r="E644" s="15">
        <f t="shared" si="1"/>
        <v>2025</v>
      </c>
      <c r="F644" s="15">
        <f t="shared" si="2"/>
        <v>1</v>
      </c>
      <c r="G644" s="15">
        <f t="shared" si="3"/>
        <v>8</v>
      </c>
    </row>
    <row r="645">
      <c r="A645" s="10" t="s">
        <v>27</v>
      </c>
      <c r="B645" s="9">
        <f t="shared" si="4"/>
        <v>45665</v>
      </c>
      <c r="C645" s="77" t="s">
        <v>1572</v>
      </c>
      <c r="D645" s="13">
        <f>D642+D643-D644</f>
        <v>83937.019</v>
      </c>
      <c r="E645" s="15">
        <f t="shared" si="1"/>
        <v>2025</v>
      </c>
      <c r="F645" s="15">
        <f t="shared" si="2"/>
        <v>1</v>
      </c>
      <c r="G645" s="15">
        <f t="shared" si="3"/>
        <v>8</v>
      </c>
    </row>
    <row r="646">
      <c r="A646" s="10" t="s">
        <v>27</v>
      </c>
      <c r="B646" s="9">
        <f t="shared" si="4"/>
        <v>45666</v>
      </c>
      <c r="C646" s="77" t="s">
        <v>1569</v>
      </c>
      <c r="D646" s="12">
        <f>D645</f>
        <v>83937.019</v>
      </c>
      <c r="E646" s="15">
        <f t="shared" si="1"/>
        <v>2025</v>
      </c>
      <c r="F646" s="15">
        <f t="shared" si="2"/>
        <v>1</v>
      </c>
      <c r="G646" s="15">
        <f t="shared" si="3"/>
        <v>9</v>
      </c>
    </row>
    <row r="647">
      <c r="A647" s="10" t="s">
        <v>27</v>
      </c>
      <c r="B647" s="9">
        <f t="shared" si="4"/>
        <v>45666</v>
      </c>
      <c r="C647" s="77" t="s">
        <v>1570</v>
      </c>
      <c r="D647" s="13">
        <f>SUMIFS('Lançamentos de receitas'!$E:$E,'Lançamentos de receitas'!$A:$A,B647,'Lançamentos de receitas'!$C:$C,A647,'Lançamentos de receitas'!$F:$F,"TRANSFERÊNCIA")</f>
        <v>0</v>
      </c>
      <c r="E647" s="15">
        <f t="shared" si="1"/>
        <v>2025</v>
      </c>
      <c r="F647" s="15">
        <f t="shared" si="2"/>
        <v>1</v>
      </c>
      <c r="G647" s="15">
        <f t="shared" si="3"/>
        <v>9</v>
      </c>
    </row>
    <row r="648">
      <c r="A648" s="10" t="s">
        <v>27</v>
      </c>
      <c r="B648" s="9">
        <f t="shared" si="4"/>
        <v>45666</v>
      </c>
      <c r="C648" s="77" t="s">
        <v>1571</v>
      </c>
      <c r="D648" s="13">
        <f>SUMIFS('Lançamentos de despesas'!$K:$K,'Lançamentos de despesas'!$C:$C,B648,'Lançamentos de despesas'!$G:$G,A648,'Lançamentos de despesas'!$E:$E,"pago")</f>
        <v>0</v>
      </c>
      <c r="E648" s="15">
        <f t="shared" si="1"/>
        <v>2025</v>
      </c>
      <c r="F648" s="15">
        <f t="shared" si="2"/>
        <v>1</v>
      </c>
      <c r="G648" s="15">
        <f t="shared" si="3"/>
        <v>9</v>
      </c>
    </row>
    <row r="649">
      <c r="A649" s="10" t="s">
        <v>27</v>
      </c>
      <c r="B649" s="9">
        <f t="shared" si="4"/>
        <v>45666</v>
      </c>
      <c r="C649" s="77" t="s">
        <v>1572</v>
      </c>
      <c r="D649" s="13">
        <f>D646+D647-D648</f>
        <v>83937.019</v>
      </c>
      <c r="E649" s="15">
        <f t="shared" si="1"/>
        <v>2025</v>
      </c>
      <c r="F649" s="15">
        <f t="shared" si="2"/>
        <v>1</v>
      </c>
      <c r="G649" s="15">
        <f t="shared" si="3"/>
        <v>9</v>
      </c>
    </row>
    <row r="650">
      <c r="A650" s="10" t="s">
        <v>27</v>
      </c>
      <c r="B650" s="9">
        <f t="shared" si="4"/>
        <v>45667</v>
      </c>
      <c r="C650" s="77" t="s">
        <v>1569</v>
      </c>
      <c r="D650" s="12">
        <f>D649</f>
        <v>83937.019</v>
      </c>
      <c r="E650" s="15">
        <f t="shared" si="1"/>
        <v>2025</v>
      </c>
      <c r="F650" s="15">
        <f t="shared" si="2"/>
        <v>1</v>
      </c>
      <c r="G650" s="15">
        <f t="shared" si="3"/>
        <v>10</v>
      </c>
    </row>
    <row r="651">
      <c r="A651" s="10" t="s">
        <v>27</v>
      </c>
      <c r="B651" s="9">
        <f t="shared" si="4"/>
        <v>45667</v>
      </c>
      <c r="C651" s="77" t="s">
        <v>1570</v>
      </c>
      <c r="D651" s="13">
        <f>SUMIFS('Lançamentos de receitas'!$E:$E,'Lançamentos de receitas'!$A:$A,B651,'Lançamentos de receitas'!$C:$C,A651,'Lançamentos de receitas'!$F:$F,"TRANSFERÊNCIA")</f>
        <v>2623.51</v>
      </c>
      <c r="E651" s="15">
        <f t="shared" si="1"/>
        <v>2025</v>
      </c>
      <c r="F651" s="15">
        <f t="shared" si="2"/>
        <v>1</v>
      </c>
      <c r="G651" s="15">
        <f t="shared" si="3"/>
        <v>10</v>
      </c>
    </row>
    <row r="652">
      <c r="A652" s="10" t="s">
        <v>27</v>
      </c>
      <c r="B652" s="9">
        <f t="shared" si="4"/>
        <v>45667</v>
      </c>
      <c r="C652" s="77" t="s">
        <v>1571</v>
      </c>
      <c r="D652" s="13">
        <f>SUMIFS('Lançamentos de despesas'!$K:$K,'Lançamentos de despesas'!$C:$C,B652,'Lançamentos de despesas'!$G:$G,A652,'Lançamentos de despesas'!$E:$E,"pago")</f>
        <v>2119.1</v>
      </c>
      <c r="E652" s="15">
        <f t="shared" si="1"/>
        <v>2025</v>
      </c>
      <c r="F652" s="15">
        <f t="shared" si="2"/>
        <v>1</v>
      </c>
      <c r="G652" s="15">
        <f t="shared" si="3"/>
        <v>10</v>
      </c>
    </row>
    <row r="653">
      <c r="A653" s="10" t="s">
        <v>27</v>
      </c>
      <c r="B653" s="9">
        <f t="shared" si="4"/>
        <v>45667</v>
      </c>
      <c r="C653" s="77" t="s">
        <v>1572</v>
      </c>
      <c r="D653" s="13">
        <f>D650+D651-D652</f>
        <v>84441.429</v>
      </c>
      <c r="E653" s="15">
        <f t="shared" si="1"/>
        <v>2025</v>
      </c>
      <c r="F653" s="15">
        <f t="shared" si="2"/>
        <v>1</v>
      </c>
      <c r="G653" s="15">
        <f t="shared" si="3"/>
        <v>10</v>
      </c>
    </row>
    <row r="654">
      <c r="A654" s="10" t="s">
        <v>27</v>
      </c>
      <c r="B654" s="9">
        <f t="shared" si="4"/>
        <v>45668</v>
      </c>
      <c r="C654" s="77" t="s">
        <v>1569</v>
      </c>
      <c r="D654" s="12">
        <f>D653</f>
        <v>84441.429</v>
      </c>
      <c r="E654" s="15">
        <f t="shared" si="1"/>
        <v>2025</v>
      </c>
      <c r="F654" s="15">
        <f t="shared" si="2"/>
        <v>1</v>
      </c>
      <c r="G654" s="15">
        <f t="shared" si="3"/>
        <v>11</v>
      </c>
    </row>
    <row r="655">
      <c r="A655" s="10" t="s">
        <v>27</v>
      </c>
      <c r="B655" s="9">
        <f t="shared" si="4"/>
        <v>45668</v>
      </c>
      <c r="C655" s="77" t="s">
        <v>1570</v>
      </c>
      <c r="D655" s="13">
        <f>SUMIFS('Lançamentos de receitas'!$E:$E,'Lançamentos de receitas'!$A:$A,B655,'Lançamentos de receitas'!$C:$C,A655,'Lançamentos de receitas'!$F:$F,"TRANSFERÊNCIA")</f>
        <v>863.67</v>
      </c>
      <c r="E655" s="15">
        <f t="shared" si="1"/>
        <v>2025</v>
      </c>
      <c r="F655" s="15">
        <f t="shared" si="2"/>
        <v>1</v>
      </c>
      <c r="G655" s="15">
        <f t="shared" si="3"/>
        <v>11</v>
      </c>
    </row>
    <row r="656">
      <c r="A656" s="10" t="s">
        <v>27</v>
      </c>
      <c r="B656" s="9">
        <f t="shared" si="4"/>
        <v>45668</v>
      </c>
      <c r="C656" s="77" t="s">
        <v>1571</v>
      </c>
      <c r="D656" s="13">
        <f>SUMIFS('Lançamentos de despesas'!$K:$K,'Lançamentos de despesas'!$C:$C,B656,'Lançamentos de despesas'!$G:$G,A656,'Lançamentos de despesas'!$E:$E,"pago")</f>
        <v>0</v>
      </c>
      <c r="E656" s="15">
        <f t="shared" si="1"/>
        <v>2025</v>
      </c>
      <c r="F656" s="15">
        <f t="shared" si="2"/>
        <v>1</v>
      </c>
      <c r="G656" s="15">
        <f t="shared" si="3"/>
        <v>11</v>
      </c>
    </row>
    <row r="657">
      <c r="A657" s="10" t="s">
        <v>27</v>
      </c>
      <c r="B657" s="9">
        <f t="shared" si="4"/>
        <v>45668</v>
      </c>
      <c r="C657" s="77" t="s">
        <v>1572</v>
      </c>
      <c r="D657" s="13">
        <f>D654+D655-D656</f>
        <v>85305.099</v>
      </c>
      <c r="E657" s="15">
        <f t="shared" si="1"/>
        <v>2025</v>
      </c>
      <c r="F657" s="15">
        <f t="shared" si="2"/>
        <v>1</v>
      </c>
      <c r="G657" s="15">
        <f t="shared" si="3"/>
        <v>11</v>
      </c>
    </row>
    <row r="658">
      <c r="A658" s="10" t="s">
        <v>27</v>
      </c>
      <c r="B658" s="9">
        <f t="shared" si="4"/>
        <v>45669</v>
      </c>
      <c r="C658" s="77" t="s">
        <v>1569</v>
      </c>
      <c r="D658" s="12">
        <f>D657</f>
        <v>85305.099</v>
      </c>
      <c r="E658" s="15">
        <f t="shared" si="1"/>
        <v>2025</v>
      </c>
      <c r="F658" s="15">
        <f t="shared" si="2"/>
        <v>1</v>
      </c>
      <c r="G658" s="15">
        <f t="shared" si="3"/>
        <v>12</v>
      </c>
    </row>
    <row r="659">
      <c r="A659" s="10" t="s">
        <v>27</v>
      </c>
      <c r="B659" s="9">
        <f t="shared" si="4"/>
        <v>45669</v>
      </c>
      <c r="C659" s="77" t="s">
        <v>1570</v>
      </c>
      <c r="D659" s="13">
        <f>SUMIFS('Lançamentos de receitas'!$E:$E,'Lançamentos de receitas'!$A:$A,B659,'Lançamentos de receitas'!$C:$C,A659,'Lançamentos de receitas'!$F:$F,"TRANSFERÊNCIA")</f>
        <v>1335.2</v>
      </c>
      <c r="E659" s="15">
        <f t="shared" si="1"/>
        <v>2025</v>
      </c>
      <c r="F659" s="15">
        <f t="shared" si="2"/>
        <v>1</v>
      </c>
      <c r="G659" s="15">
        <f t="shared" si="3"/>
        <v>12</v>
      </c>
    </row>
    <row r="660">
      <c r="A660" s="10" t="s">
        <v>27</v>
      </c>
      <c r="B660" s="9">
        <f t="shared" si="4"/>
        <v>45669</v>
      </c>
      <c r="C660" s="77" t="s">
        <v>1571</v>
      </c>
      <c r="D660" s="13">
        <f>SUMIFS('Lançamentos de despesas'!$K:$K,'Lançamentos de despesas'!$C:$C,B660,'Lançamentos de despesas'!$G:$G,A660,'Lançamentos de despesas'!$E:$E,"pago")</f>
        <v>0</v>
      </c>
      <c r="E660" s="15">
        <f t="shared" si="1"/>
        <v>2025</v>
      </c>
      <c r="F660" s="15">
        <f t="shared" si="2"/>
        <v>1</v>
      </c>
      <c r="G660" s="15">
        <f t="shared" si="3"/>
        <v>12</v>
      </c>
    </row>
    <row r="661">
      <c r="A661" s="10" t="s">
        <v>27</v>
      </c>
      <c r="B661" s="9">
        <f t="shared" si="4"/>
        <v>45669</v>
      </c>
      <c r="C661" s="77" t="s">
        <v>1572</v>
      </c>
      <c r="D661" s="13">
        <f>D658+D659-D660</f>
        <v>86640.299</v>
      </c>
      <c r="E661" s="15">
        <f t="shared" si="1"/>
        <v>2025</v>
      </c>
      <c r="F661" s="15">
        <f t="shared" si="2"/>
        <v>1</v>
      </c>
      <c r="G661" s="15">
        <f t="shared" si="3"/>
        <v>12</v>
      </c>
    </row>
    <row r="662">
      <c r="A662" s="10" t="s">
        <v>27</v>
      </c>
      <c r="B662" s="9">
        <f t="shared" si="4"/>
        <v>45670</v>
      </c>
      <c r="C662" s="77" t="s">
        <v>1569</v>
      </c>
      <c r="D662" s="12">
        <f>D661</f>
        <v>86640.299</v>
      </c>
      <c r="E662" s="15">
        <f t="shared" si="1"/>
        <v>2025</v>
      </c>
      <c r="F662" s="15">
        <f t="shared" si="2"/>
        <v>1</v>
      </c>
      <c r="G662" s="15">
        <f t="shared" si="3"/>
        <v>13</v>
      </c>
    </row>
    <row r="663">
      <c r="A663" s="10" t="s">
        <v>27</v>
      </c>
      <c r="B663" s="9">
        <f t="shared" si="4"/>
        <v>45670</v>
      </c>
      <c r="C663" s="77" t="s">
        <v>1570</v>
      </c>
      <c r="D663" s="13">
        <f>SUMIFS('Lançamentos de receitas'!$E:$E,'Lançamentos de receitas'!$A:$A,B663,'Lançamentos de receitas'!$C:$C,A663,'Lançamentos de receitas'!$F:$F,"TRANSFERÊNCIA")</f>
        <v>3035.53</v>
      </c>
      <c r="E663" s="15">
        <f t="shared" si="1"/>
        <v>2025</v>
      </c>
      <c r="F663" s="15">
        <f t="shared" si="2"/>
        <v>1</v>
      </c>
      <c r="G663" s="15">
        <f t="shared" si="3"/>
        <v>13</v>
      </c>
    </row>
    <row r="664">
      <c r="A664" s="10" t="s">
        <v>27</v>
      </c>
      <c r="B664" s="9">
        <f t="shared" si="4"/>
        <v>45670</v>
      </c>
      <c r="C664" s="77" t="s">
        <v>1571</v>
      </c>
      <c r="D664" s="13">
        <f>SUMIFS('Lançamentos de despesas'!$K:$K,'Lançamentos de despesas'!$C:$C,B664,'Lançamentos de despesas'!$G:$G,A664,'Lançamentos de despesas'!$E:$E,"pago")</f>
        <v>525.08</v>
      </c>
      <c r="E664" s="15">
        <f t="shared" si="1"/>
        <v>2025</v>
      </c>
      <c r="F664" s="15">
        <f t="shared" si="2"/>
        <v>1</v>
      </c>
      <c r="G664" s="15">
        <f t="shared" si="3"/>
        <v>13</v>
      </c>
    </row>
    <row r="665">
      <c r="A665" s="10" t="s">
        <v>27</v>
      </c>
      <c r="B665" s="9">
        <f t="shared" si="4"/>
        <v>45670</v>
      </c>
      <c r="C665" s="77" t="s">
        <v>1572</v>
      </c>
      <c r="D665" s="13">
        <f>D662+D663-D664</f>
        <v>89150.749</v>
      </c>
      <c r="E665" s="15">
        <f t="shared" si="1"/>
        <v>2025</v>
      </c>
      <c r="F665" s="15">
        <f t="shared" si="2"/>
        <v>1</v>
      </c>
      <c r="G665" s="15">
        <f t="shared" si="3"/>
        <v>13</v>
      </c>
    </row>
    <row r="666">
      <c r="A666" s="10" t="s">
        <v>27</v>
      </c>
      <c r="B666" s="9">
        <f t="shared" si="4"/>
        <v>45671</v>
      </c>
      <c r="C666" s="77" t="s">
        <v>1569</v>
      </c>
      <c r="D666" s="12">
        <f>D665</f>
        <v>89150.749</v>
      </c>
      <c r="E666" s="15">
        <f t="shared" si="1"/>
        <v>2025</v>
      </c>
      <c r="F666" s="15">
        <f t="shared" si="2"/>
        <v>1</v>
      </c>
      <c r="G666" s="15">
        <f t="shared" si="3"/>
        <v>14</v>
      </c>
    </row>
    <row r="667">
      <c r="A667" s="10" t="s">
        <v>27</v>
      </c>
      <c r="B667" s="9">
        <f t="shared" si="4"/>
        <v>45671</v>
      </c>
      <c r="C667" s="77" t="s">
        <v>1570</v>
      </c>
      <c r="D667" s="13">
        <f>SUMIFS('Lançamentos de receitas'!$E:$E,'Lançamentos de receitas'!$A:$A,B667,'Lançamentos de receitas'!$C:$C,A667,'Lançamentos de receitas'!$F:$F,"TRANSFERÊNCIA")</f>
        <v>1157.76</v>
      </c>
      <c r="E667" s="15">
        <f t="shared" si="1"/>
        <v>2025</v>
      </c>
      <c r="F667" s="15">
        <f t="shared" si="2"/>
        <v>1</v>
      </c>
      <c r="G667" s="15">
        <f t="shared" si="3"/>
        <v>14</v>
      </c>
    </row>
    <row r="668">
      <c r="A668" s="10" t="s">
        <v>27</v>
      </c>
      <c r="B668" s="9">
        <f t="shared" si="4"/>
        <v>45671</v>
      </c>
      <c r="C668" s="77" t="s">
        <v>1571</v>
      </c>
      <c r="D668" s="13">
        <f>SUMIFS('Lançamentos de despesas'!$K:$K,'Lançamentos de despesas'!$C:$C,B668,'Lançamentos de despesas'!$G:$G,A668,'Lançamentos de despesas'!$E:$E,"pago")</f>
        <v>12268.7</v>
      </c>
      <c r="E668" s="15">
        <f t="shared" si="1"/>
        <v>2025</v>
      </c>
      <c r="F668" s="15">
        <f t="shared" si="2"/>
        <v>1</v>
      </c>
      <c r="G668" s="15">
        <f t="shared" si="3"/>
        <v>14</v>
      </c>
    </row>
    <row r="669">
      <c r="A669" s="10" t="s">
        <v>27</v>
      </c>
      <c r="B669" s="9">
        <f t="shared" si="4"/>
        <v>45671</v>
      </c>
      <c r="C669" s="77" t="s">
        <v>1572</v>
      </c>
      <c r="D669" s="13">
        <f>D666+D667-D668</f>
        <v>78039.809</v>
      </c>
      <c r="E669" s="15">
        <f t="shared" si="1"/>
        <v>2025</v>
      </c>
      <c r="F669" s="15">
        <f t="shared" si="2"/>
        <v>1</v>
      </c>
      <c r="G669" s="15">
        <f t="shared" si="3"/>
        <v>14</v>
      </c>
    </row>
    <row r="670">
      <c r="A670" s="10" t="s">
        <v>27</v>
      </c>
      <c r="B670" s="9">
        <f t="shared" si="4"/>
        <v>45672</v>
      </c>
      <c r="C670" s="77" t="s">
        <v>1569</v>
      </c>
      <c r="D670" s="12">
        <f>D669</f>
        <v>78039.809</v>
      </c>
      <c r="E670" s="15">
        <f t="shared" si="1"/>
        <v>2025</v>
      </c>
      <c r="F670" s="15">
        <f t="shared" si="2"/>
        <v>1</v>
      </c>
      <c r="G670" s="15">
        <f t="shared" si="3"/>
        <v>15</v>
      </c>
    </row>
    <row r="671">
      <c r="A671" s="10" t="s">
        <v>27</v>
      </c>
      <c r="B671" s="9">
        <f t="shared" si="4"/>
        <v>45672</v>
      </c>
      <c r="C671" s="77" t="s">
        <v>1570</v>
      </c>
      <c r="D671" s="13">
        <f>SUMIFS('Lançamentos de receitas'!$E:$E,'Lançamentos de receitas'!$A:$A,B671,'Lançamentos de receitas'!$C:$C,A671,'Lançamentos de receitas'!$F:$F,"TRANSFERÊNCIA")</f>
        <v>1256.58</v>
      </c>
      <c r="E671" s="15">
        <f t="shared" si="1"/>
        <v>2025</v>
      </c>
      <c r="F671" s="15">
        <f t="shared" si="2"/>
        <v>1</v>
      </c>
      <c r="G671" s="15">
        <f t="shared" si="3"/>
        <v>15</v>
      </c>
    </row>
    <row r="672">
      <c r="A672" s="10" t="s">
        <v>27</v>
      </c>
      <c r="B672" s="9">
        <f t="shared" si="4"/>
        <v>45672</v>
      </c>
      <c r="C672" s="77" t="s">
        <v>1571</v>
      </c>
      <c r="D672" s="13">
        <f>SUMIFS('Lançamentos de despesas'!$K:$K,'Lançamentos de despesas'!$C:$C,B672,'Lançamentos de despesas'!$G:$G,A672,'Lançamentos de despesas'!$E:$E,"pago")</f>
        <v>2181.88</v>
      </c>
      <c r="E672" s="15">
        <f t="shared" si="1"/>
        <v>2025</v>
      </c>
      <c r="F672" s="15">
        <f t="shared" si="2"/>
        <v>1</v>
      </c>
      <c r="G672" s="15">
        <f t="shared" si="3"/>
        <v>15</v>
      </c>
    </row>
    <row r="673">
      <c r="A673" s="10" t="s">
        <v>27</v>
      </c>
      <c r="B673" s="9">
        <f t="shared" si="4"/>
        <v>45672</v>
      </c>
      <c r="C673" s="77" t="s">
        <v>1572</v>
      </c>
      <c r="D673" s="13">
        <f>D670+D671-D672</f>
        <v>77114.509</v>
      </c>
      <c r="E673" s="15">
        <f t="shared" si="1"/>
        <v>2025</v>
      </c>
      <c r="F673" s="15">
        <f t="shared" si="2"/>
        <v>1</v>
      </c>
      <c r="G673" s="15">
        <f t="shared" si="3"/>
        <v>15</v>
      </c>
    </row>
    <row r="674">
      <c r="A674" s="10" t="s">
        <v>27</v>
      </c>
      <c r="B674" s="9">
        <f t="shared" si="4"/>
        <v>45673</v>
      </c>
      <c r="C674" s="77" t="s">
        <v>1569</v>
      </c>
      <c r="D674" s="12">
        <f>D673</f>
        <v>77114.509</v>
      </c>
      <c r="E674" s="15">
        <f t="shared" si="1"/>
        <v>2025</v>
      </c>
      <c r="F674" s="15">
        <f t="shared" si="2"/>
        <v>1</v>
      </c>
      <c r="G674" s="15">
        <f t="shared" si="3"/>
        <v>16</v>
      </c>
    </row>
    <row r="675">
      <c r="A675" s="10" t="s">
        <v>27</v>
      </c>
      <c r="B675" s="9">
        <f t="shared" si="4"/>
        <v>45673</v>
      </c>
      <c r="C675" s="77" t="s">
        <v>1570</v>
      </c>
      <c r="D675" s="13">
        <f>SUMIFS('Lançamentos de receitas'!$E:$E,'Lançamentos de receitas'!$A:$A,B675,'Lançamentos de receitas'!$C:$C,A675,'Lançamentos de receitas'!$F:$F,"TRANSFERÊNCIA")</f>
        <v>1381.72</v>
      </c>
      <c r="E675" s="15">
        <f t="shared" si="1"/>
        <v>2025</v>
      </c>
      <c r="F675" s="15">
        <f t="shared" si="2"/>
        <v>1</v>
      </c>
      <c r="G675" s="15">
        <f t="shared" si="3"/>
        <v>16</v>
      </c>
    </row>
    <row r="676">
      <c r="A676" s="10" t="s">
        <v>27</v>
      </c>
      <c r="B676" s="9">
        <f t="shared" si="4"/>
        <v>45673</v>
      </c>
      <c r="C676" s="77" t="s">
        <v>1571</v>
      </c>
      <c r="D676" s="13">
        <f>SUMIFS('Lançamentos de despesas'!$K:$K,'Lançamentos de despesas'!$C:$C,B676,'Lançamentos de despesas'!$G:$G,A676,'Lançamentos de despesas'!$E:$E,"pago")</f>
        <v>63.12</v>
      </c>
      <c r="E676" s="15">
        <f t="shared" si="1"/>
        <v>2025</v>
      </c>
      <c r="F676" s="15">
        <f t="shared" si="2"/>
        <v>1</v>
      </c>
      <c r="G676" s="15">
        <f t="shared" si="3"/>
        <v>16</v>
      </c>
    </row>
    <row r="677">
      <c r="A677" s="10" t="s">
        <v>27</v>
      </c>
      <c r="B677" s="9">
        <f t="shared" si="4"/>
        <v>45673</v>
      </c>
      <c r="C677" s="77" t="s">
        <v>1572</v>
      </c>
      <c r="D677" s="13">
        <f>D674+D675-D676</f>
        <v>78433.109</v>
      </c>
      <c r="E677" s="15">
        <f t="shared" si="1"/>
        <v>2025</v>
      </c>
      <c r="F677" s="15">
        <f t="shared" si="2"/>
        <v>1</v>
      </c>
      <c r="G677" s="15">
        <f t="shared" si="3"/>
        <v>16</v>
      </c>
    </row>
    <row r="678">
      <c r="A678" s="10" t="s">
        <v>27</v>
      </c>
      <c r="B678" s="9">
        <f t="shared" si="4"/>
        <v>45674</v>
      </c>
      <c r="C678" s="77" t="s">
        <v>1569</v>
      </c>
      <c r="D678" s="12">
        <f>D677</f>
        <v>78433.109</v>
      </c>
      <c r="E678" s="15">
        <f t="shared" si="1"/>
        <v>2025</v>
      </c>
      <c r="F678" s="15">
        <f t="shared" si="2"/>
        <v>1</v>
      </c>
      <c r="G678" s="15">
        <f t="shared" si="3"/>
        <v>17</v>
      </c>
    </row>
    <row r="679">
      <c r="A679" s="10" t="s">
        <v>27</v>
      </c>
      <c r="B679" s="9">
        <f t="shared" si="4"/>
        <v>45674</v>
      </c>
      <c r="C679" s="77" t="s">
        <v>1570</v>
      </c>
      <c r="D679" s="13">
        <f>SUMIFS('Lançamentos de receitas'!$E:$E,'Lançamentos de receitas'!$A:$A,B679,'Lançamentos de receitas'!$C:$C,A679,'Lançamentos de receitas'!$F:$F,"TRANSFERÊNCIA")</f>
        <v>1379.67</v>
      </c>
      <c r="E679" s="15">
        <f t="shared" si="1"/>
        <v>2025</v>
      </c>
      <c r="F679" s="15">
        <f t="shared" si="2"/>
        <v>1</v>
      </c>
      <c r="G679" s="15">
        <f t="shared" si="3"/>
        <v>17</v>
      </c>
    </row>
    <row r="680">
      <c r="A680" s="10" t="s">
        <v>27</v>
      </c>
      <c r="B680" s="9">
        <f t="shared" si="4"/>
        <v>45674</v>
      </c>
      <c r="C680" s="77" t="s">
        <v>1571</v>
      </c>
      <c r="D680" s="13">
        <f>SUMIFS('Lançamentos de despesas'!$K:$K,'Lançamentos de despesas'!$C:$C,B680,'Lançamentos de despesas'!$G:$G,A680,'Lançamentos de despesas'!$E:$E,"pago")</f>
        <v>910.89</v>
      </c>
      <c r="E680" s="15">
        <f t="shared" si="1"/>
        <v>2025</v>
      </c>
      <c r="F680" s="15">
        <f t="shared" si="2"/>
        <v>1</v>
      </c>
      <c r="G680" s="15">
        <f t="shared" si="3"/>
        <v>17</v>
      </c>
    </row>
    <row r="681">
      <c r="A681" s="10" t="s">
        <v>27</v>
      </c>
      <c r="B681" s="9">
        <f t="shared" si="4"/>
        <v>45674</v>
      </c>
      <c r="C681" s="77" t="s">
        <v>1572</v>
      </c>
      <c r="D681" s="13">
        <f>D678+D679-D680</f>
        <v>78901.889</v>
      </c>
      <c r="E681" s="15">
        <f t="shared" si="1"/>
        <v>2025</v>
      </c>
      <c r="F681" s="15">
        <f t="shared" si="2"/>
        <v>1</v>
      </c>
      <c r="G681" s="15">
        <f t="shared" si="3"/>
        <v>17</v>
      </c>
    </row>
    <row r="682">
      <c r="A682" s="10" t="s">
        <v>27</v>
      </c>
      <c r="B682" s="9">
        <f t="shared" si="4"/>
        <v>45675</v>
      </c>
      <c r="C682" s="77" t="s">
        <v>1569</v>
      </c>
      <c r="D682" s="12">
        <f>D681</f>
        <v>78901.889</v>
      </c>
      <c r="E682" s="15">
        <f t="shared" si="1"/>
        <v>2025</v>
      </c>
      <c r="F682" s="15">
        <f t="shared" si="2"/>
        <v>1</v>
      </c>
      <c r="G682" s="15">
        <f t="shared" si="3"/>
        <v>18</v>
      </c>
    </row>
    <row r="683">
      <c r="A683" s="10" t="s">
        <v>27</v>
      </c>
      <c r="B683" s="9">
        <f t="shared" si="4"/>
        <v>45675</v>
      </c>
      <c r="C683" s="77" t="s">
        <v>1570</v>
      </c>
      <c r="D683" s="13">
        <f>SUMIFS('Lançamentos de receitas'!$E:$E,'Lançamentos de receitas'!$A:$A,B683,'Lançamentos de receitas'!$C:$C,A683,'Lançamentos de receitas'!$F:$F,"TRANSFERÊNCIA")</f>
        <v>1038.03</v>
      </c>
      <c r="E683" s="15">
        <f t="shared" si="1"/>
        <v>2025</v>
      </c>
      <c r="F683" s="15">
        <f t="shared" si="2"/>
        <v>1</v>
      </c>
      <c r="G683" s="15">
        <f t="shared" si="3"/>
        <v>18</v>
      </c>
    </row>
    <row r="684">
      <c r="A684" s="10" t="s">
        <v>27</v>
      </c>
      <c r="B684" s="9">
        <f t="shared" si="4"/>
        <v>45675</v>
      </c>
      <c r="C684" s="77" t="s">
        <v>1571</v>
      </c>
      <c r="D684" s="13">
        <f>SUMIFS('Lançamentos de despesas'!$K:$K,'Lançamentos de despesas'!$C:$C,B684,'Lançamentos de despesas'!$G:$G,A684,'Lançamentos de despesas'!$E:$E,"pago")</f>
        <v>0</v>
      </c>
      <c r="E684" s="15">
        <f t="shared" si="1"/>
        <v>2025</v>
      </c>
      <c r="F684" s="15">
        <f t="shared" si="2"/>
        <v>1</v>
      </c>
      <c r="G684" s="15">
        <f t="shared" si="3"/>
        <v>18</v>
      </c>
    </row>
    <row r="685">
      <c r="A685" s="10" t="s">
        <v>27</v>
      </c>
      <c r="B685" s="9">
        <f t="shared" si="4"/>
        <v>45675</v>
      </c>
      <c r="C685" s="77" t="s">
        <v>1572</v>
      </c>
      <c r="D685" s="13">
        <f>D682+D683-D684</f>
        <v>79939.919</v>
      </c>
      <c r="E685" s="15">
        <f t="shared" si="1"/>
        <v>2025</v>
      </c>
      <c r="F685" s="15">
        <f t="shared" si="2"/>
        <v>1</v>
      </c>
      <c r="G685" s="15">
        <f t="shared" si="3"/>
        <v>18</v>
      </c>
    </row>
    <row r="686">
      <c r="A686" s="10" t="s">
        <v>27</v>
      </c>
      <c r="B686" s="9">
        <f t="shared" si="4"/>
        <v>45676</v>
      </c>
      <c r="C686" s="77" t="s">
        <v>1569</v>
      </c>
      <c r="D686" s="12">
        <f>D685</f>
        <v>79939.919</v>
      </c>
      <c r="E686" s="15">
        <f t="shared" si="1"/>
        <v>2025</v>
      </c>
      <c r="F686" s="15">
        <f t="shared" si="2"/>
        <v>1</v>
      </c>
      <c r="G686" s="15">
        <f t="shared" si="3"/>
        <v>19</v>
      </c>
    </row>
    <row r="687">
      <c r="A687" s="10" t="s">
        <v>27</v>
      </c>
      <c r="B687" s="9">
        <f t="shared" si="4"/>
        <v>45676</v>
      </c>
      <c r="C687" s="77" t="s">
        <v>1570</v>
      </c>
      <c r="D687" s="13">
        <f>SUMIFS('Lançamentos de receitas'!$E:$E,'Lançamentos de receitas'!$A:$A,B687,'Lançamentos de receitas'!$C:$C,A687,'Lançamentos de receitas'!$F:$F,"TRANSFERÊNCIA")</f>
        <v>779.03</v>
      </c>
      <c r="E687" s="15">
        <f t="shared" si="1"/>
        <v>2025</v>
      </c>
      <c r="F687" s="15">
        <f t="shared" si="2"/>
        <v>1</v>
      </c>
      <c r="G687" s="15">
        <f t="shared" si="3"/>
        <v>19</v>
      </c>
    </row>
    <row r="688">
      <c r="A688" s="10" t="s">
        <v>27</v>
      </c>
      <c r="B688" s="9">
        <f t="shared" si="4"/>
        <v>45676</v>
      </c>
      <c r="C688" s="77" t="s">
        <v>1571</v>
      </c>
      <c r="D688" s="13">
        <f>SUMIFS('Lançamentos de despesas'!$K:$K,'Lançamentos de despesas'!$C:$C,B688,'Lançamentos de despesas'!$G:$G,A688,'Lançamentos de despesas'!$E:$E,"pago")</f>
        <v>0</v>
      </c>
      <c r="E688" s="15">
        <f t="shared" si="1"/>
        <v>2025</v>
      </c>
      <c r="F688" s="15">
        <f t="shared" si="2"/>
        <v>1</v>
      </c>
      <c r="G688" s="15">
        <f t="shared" si="3"/>
        <v>19</v>
      </c>
    </row>
    <row r="689">
      <c r="A689" s="10" t="s">
        <v>27</v>
      </c>
      <c r="B689" s="9">
        <f t="shared" si="4"/>
        <v>45676</v>
      </c>
      <c r="C689" s="77" t="s">
        <v>1572</v>
      </c>
      <c r="D689" s="13">
        <f>D686+D687-D688</f>
        <v>80718.949</v>
      </c>
      <c r="E689" s="15">
        <f t="shared" si="1"/>
        <v>2025</v>
      </c>
      <c r="F689" s="15">
        <f t="shared" si="2"/>
        <v>1</v>
      </c>
      <c r="G689" s="15">
        <f t="shared" si="3"/>
        <v>19</v>
      </c>
    </row>
    <row r="690">
      <c r="A690" s="10" t="s">
        <v>27</v>
      </c>
      <c r="B690" s="9">
        <f t="shared" si="4"/>
        <v>45677</v>
      </c>
      <c r="C690" s="77" t="s">
        <v>1569</v>
      </c>
      <c r="D690" s="12">
        <f>D689</f>
        <v>80718.949</v>
      </c>
      <c r="E690" s="15">
        <f t="shared" si="1"/>
        <v>2025</v>
      </c>
      <c r="F690" s="15">
        <f t="shared" si="2"/>
        <v>1</v>
      </c>
      <c r="G690" s="15">
        <f t="shared" si="3"/>
        <v>20</v>
      </c>
    </row>
    <row r="691">
      <c r="A691" s="10" t="s">
        <v>27</v>
      </c>
      <c r="B691" s="9">
        <f t="shared" si="4"/>
        <v>45677</v>
      </c>
      <c r="C691" s="77" t="s">
        <v>1570</v>
      </c>
      <c r="D691" s="13">
        <f>SUMIFS('Lançamentos de receitas'!$E:$E,'Lançamentos de receitas'!$A:$A,B691,'Lançamentos de receitas'!$C:$C,A691,'Lançamentos de receitas'!$F:$F,"TRANSFERÊNCIA")</f>
        <v>456.33</v>
      </c>
      <c r="E691" s="15">
        <f t="shared" si="1"/>
        <v>2025</v>
      </c>
      <c r="F691" s="15">
        <f t="shared" si="2"/>
        <v>1</v>
      </c>
      <c r="G691" s="15">
        <f t="shared" si="3"/>
        <v>20</v>
      </c>
    </row>
    <row r="692">
      <c r="A692" s="10" t="s">
        <v>27</v>
      </c>
      <c r="B692" s="9">
        <f t="shared" si="4"/>
        <v>45677</v>
      </c>
      <c r="C692" s="77" t="s">
        <v>1571</v>
      </c>
      <c r="D692" s="13">
        <f>SUMIFS('Lançamentos de despesas'!$K:$K,'Lançamentos de despesas'!$C:$C,B692,'Lançamentos de despesas'!$G:$G,A692,'Lançamentos de despesas'!$E:$E,"pago")</f>
        <v>25063.14</v>
      </c>
      <c r="E692" s="15">
        <f t="shared" si="1"/>
        <v>2025</v>
      </c>
      <c r="F692" s="15">
        <f t="shared" si="2"/>
        <v>1</v>
      </c>
      <c r="G692" s="15">
        <f t="shared" si="3"/>
        <v>20</v>
      </c>
    </row>
    <row r="693">
      <c r="A693" s="10" t="s">
        <v>27</v>
      </c>
      <c r="B693" s="9">
        <f t="shared" si="4"/>
        <v>45677</v>
      </c>
      <c r="C693" s="77" t="s">
        <v>1572</v>
      </c>
      <c r="D693" s="13">
        <f>D690+D691-D692</f>
        <v>56112.139</v>
      </c>
      <c r="E693" s="15">
        <f t="shared" si="1"/>
        <v>2025</v>
      </c>
      <c r="F693" s="15">
        <f t="shared" si="2"/>
        <v>1</v>
      </c>
      <c r="G693" s="15">
        <f t="shared" si="3"/>
        <v>20</v>
      </c>
    </row>
    <row r="694">
      <c r="A694" s="10" t="s">
        <v>27</v>
      </c>
      <c r="B694" s="9">
        <f t="shared" si="4"/>
        <v>45678</v>
      </c>
      <c r="C694" s="77" t="s">
        <v>1569</v>
      </c>
      <c r="D694" s="12">
        <f>D693</f>
        <v>56112.139</v>
      </c>
      <c r="E694" s="15">
        <f t="shared" si="1"/>
        <v>2025</v>
      </c>
      <c r="F694" s="15">
        <f t="shared" si="2"/>
        <v>1</v>
      </c>
      <c r="G694" s="15">
        <f t="shared" si="3"/>
        <v>21</v>
      </c>
    </row>
    <row r="695">
      <c r="A695" s="10" t="s">
        <v>27</v>
      </c>
      <c r="B695" s="9">
        <f t="shared" si="4"/>
        <v>45678</v>
      </c>
      <c r="C695" s="77" t="s">
        <v>1570</v>
      </c>
      <c r="D695" s="13">
        <f>SUMIFS('Lançamentos de receitas'!$E:$E,'Lançamentos de receitas'!$A:$A,B695,'Lançamentos de receitas'!$C:$C,A695,'Lançamentos de receitas'!$F:$F,"TRANSFERÊNCIA")</f>
        <v>2278.24</v>
      </c>
      <c r="E695" s="15">
        <f t="shared" si="1"/>
        <v>2025</v>
      </c>
      <c r="F695" s="15">
        <f t="shared" si="2"/>
        <v>1</v>
      </c>
      <c r="G695" s="15">
        <f t="shared" si="3"/>
        <v>21</v>
      </c>
    </row>
    <row r="696">
      <c r="A696" s="10" t="s">
        <v>27</v>
      </c>
      <c r="B696" s="9">
        <f t="shared" si="4"/>
        <v>45678</v>
      </c>
      <c r="C696" s="77" t="s">
        <v>1571</v>
      </c>
      <c r="D696" s="13">
        <f>SUMIFS('Lançamentos de despesas'!$K:$K,'Lançamentos de despesas'!$C:$C,B696,'Lançamentos de despesas'!$G:$G,A696,'Lançamentos de despesas'!$E:$E,"pago")</f>
        <v>7999</v>
      </c>
      <c r="E696" s="15">
        <f t="shared" si="1"/>
        <v>2025</v>
      </c>
      <c r="F696" s="15">
        <f t="shared" si="2"/>
        <v>1</v>
      </c>
      <c r="G696" s="15">
        <f t="shared" si="3"/>
        <v>21</v>
      </c>
    </row>
    <row r="697">
      <c r="A697" s="10" t="s">
        <v>27</v>
      </c>
      <c r="B697" s="9">
        <f t="shared" si="4"/>
        <v>45678</v>
      </c>
      <c r="C697" s="77" t="s">
        <v>1572</v>
      </c>
      <c r="D697" s="13">
        <f>D694+D695-D696</f>
        <v>50391.379</v>
      </c>
      <c r="E697" s="15">
        <f t="shared" si="1"/>
        <v>2025</v>
      </c>
      <c r="F697" s="15">
        <f t="shared" si="2"/>
        <v>1</v>
      </c>
      <c r="G697" s="15">
        <f t="shared" si="3"/>
        <v>21</v>
      </c>
    </row>
    <row r="698">
      <c r="A698" s="10" t="s">
        <v>27</v>
      </c>
      <c r="B698" s="9">
        <f t="shared" si="4"/>
        <v>45679</v>
      </c>
      <c r="C698" s="77" t="s">
        <v>1569</v>
      </c>
      <c r="D698" s="12">
        <f>D697</f>
        <v>50391.379</v>
      </c>
      <c r="E698" s="15">
        <f t="shared" si="1"/>
        <v>2025</v>
      </c>
      <c r="F698" s="15">
        <f t="shared" si="2"/>
        <v>1</v>
      </c>
      <c r="G698" s="15">
        <f t="shared" si="3"/>
        <v>22</v>
      </c>
    </row>
    <row r="699">
      <c r="A699" s="10" t="s">
        <v>27</v>
      </c>
      <c r="B699" s="9">
        <f t="shared" si="4"/>
        <v>45679</v>
      </c>
      <c r="C699" s="77" t="s">
        <v>1570</v>
      </c>
      <c r="D699" s="13">
        <f>SUMIFS('Lançamentos de receitas'!$E:$E,'Lançamentos de receitas'!$A:$A,B699,'Lançamentos de receitas'!$C:$C,A699,'Lançamentos de receitas'!$F:$F,"TRANSFERÊNCIA")</f>
        <v>911.4</v>
      </c>
      <c r="E699" s="15">
        <f t="shared" si="1"/>
        <v>2025</v>
      </c>
      <c r="F699" s="15">
        <f t="shared" si="2"/>
        <v>1</v>
      </c>
      <c r="G699" s="15">
        <f t="shared" si="3"/>
        <v>22</v>
      </c>
    </row>
    <row r="700">
      <c r="A700" s="10" t="s">
        <v>27</v>
      </c>
      <c r="B700" s="9">
        <f t="shared" si="4"/>
        <v>45679</v>
      </c>
      <c r="C700" s="77" t="s">
        <v>1571</v>
      </c>
      <c r="D700" s="13">
        <f>SUMIFS('Lançamentos de despesas'!$K:$K,'Lançamentos de despesas'!$C:$C,B700,'Lançamentos de despesas'!$G:$G,A700,'Lançamentos de despesas'!$E:$E,"pago")</f>
        <v>4020.19</v>
      </c>
      <c r="E700" s="15">
        <f t="shared" si="1"/>
        <v>2025</v>
      </c>
      <c r="F700" s="15">
        <f t="shared" si="2"/>
        <v>1</v>
      </c>
      <c r="G700" s="15">
        <f t="shared" si="3"/>
        <v>22</v>
      </c>
    </row>
    <row r="701">
      <c r="A701" s="10" t="s">
        <v>27</v>
      </c>
      <c r="B701" s="9">
        <f t="shared" si="4"/>
        <v>45679</v>
      </c>
      <c r="C701" s="77" t="s">
        <v>1572</v>
      </c>
      <c r="D701" s="13">
        <f>D698+D699-D700</f>
        <v>47282.589</v>
      </c>
      <c r="E701" s="15">
        <f t="shared" si="1"/>
        <v>2025</v>
      </c>
      <c r="F701" s="15">
        <f t="shared" si="2"/>
        <v>1</v>
      </c>
      <c r="G701" s="15">
        <f t="shared" si="3"/>
        <v>22</v>
      </c>
    </row>
    <row r="702">
      <c r="A702" s="10" t="s">
        <v>27</v>
      </c>
      <c r="B702" s="9">
        <f t="shared" si="4"/>
        <v>45680</v>
      </c>
      <c r="C702" s="77" t="s">
        <v>1569</v>
      </c>
      <c r="D702" s="12">
        <f>D701</f>
        <v>47282.589</v>
      </c>
      <c r="E702" s="15">
        <f t="shared" si="1"/>
        <v>2025</v>
      </c>
      <c r="F702" s="15">
        <f t="shared" si="2"/>
        <v>1</v>
      </c>
      <c r="G702" s="15">
        <f t="shared" si="3"/>
        <v>23</v>
      </c>
    </row>
    <row r="703">
      <c r="A703" s="10" t="s">
        <v>27</v>
      </c>
      <c r="B703" s="9">
        <f t="shared" si="4"/>
        <v>45680</v>
      </c>
      <c r="C703" s="77" t="s">
        <v>1570</v>
      </c>
      <c r="D703" s="13">
        <f>SUMIFS('Lançamentos de receitas'!$E:$E,'Lançamentos de receitas'!$A:$A,B703,'Lançamentos de receitas'!$C:$C,A703,'Lançamentos de receitas'!$F:$F,"TRANSFERÊNCIA")</f>
        <v>1460.91</v>
      </c>
      <c r="E703" s="15">
        <f t="shared" si="1"/>
        <v>2025</v>
      </c>
      <c r="F703" s="15">
        <f t="shared" si="2"/>
        <v>1</v>
      </c>
      <c r="G703" s="15">
        <f t="shared" si="3"/>
        <v>23</v>
      </c>
    </row>
    <row r="704">
      <c r="A704" s="10" t="s">
        <v>27</v>
      </c>
      <c r="B704" s="9">
        <f t="shared" si="4"/>
        <v>45680</v>
      </c>
      <c r="C704" s="77" t="s">
        <v>1571</v>
      </c>
      <c r="D704" s="13">
        <f>SUMIFS('Lançamentos de despesas'!$K:$K,'Lançamentos de despesas'!$C:$C,B704,'Lançamentos de despesas'!$G:$G,A704,'Lançamentos de despesas'!$E:$E,"pago")</f>
        <v>223.69</v>
      </c>
      <c r="E704" s="15">
        <f t="shared" si="1"/>
        <v>2025</v>
      </c>
      <c r="F704" s="15">
        <f t="shared" si="2"/>
        <v>1</v>
      </c>
      <c r="G704" s="15">
        <f t="shared" si="3"/>
        <v>23</v>
      </c>
    </row>
    <row r="705">
      <c r="A705" s="10" t="s">
        <v>27</v>
      </c>
      <c r="B705" s="9">
        <f t="shared" si="4"/>
        <v>45680</v>
      </c>
      <c r="C705" s="77" t="s">
        <v>1572</v>
      </c>
      <c r="D705" s="13">
        <f>D702+D703-D704</f>
        <v>48519.809</v>
      </c>
      <c r="E705" s="15">
        <f t="shared" si="1"/>
        <v>2025</v>
      </c>
      <c r="F705" s="15">
        <f t="shared" si="2"/>
        <v>1</v>
      </c>
      <c r="G705" s="15">
        <f t="shared" si="3"/>
        <v>23</v>
      </c>
    </row>
    <row r="706">
      <c r="A706" s="10" t="s">
        <v>27</v>
      </c>
      <c r="B706" s="9">
        <f t="shared" si="4"/>
        <v>45681</v>
      </c>
      <c r="C706" s="77" t="s">
        <v>1569</v>
      </c>
      <c r="D706" s="12">
        <f>D705</f>
        <v>48519.809</v>
      </c>
      <c r="E706" s="15">
        <f t="shared" si="1"/>
        <v>2025</v>
      </c>
      <c r="F706" s="15">
        <f t="shared" si="2"/>
        <v>1</v>
      </c>
      <c r="G706" s="15">
        <f t="shared" si="3"/>
        <v>24</v>
      </c>
    </row>
    <row r="707">
      <c r="A707" s="10" t="s">
        <v>27</v>
      </c>
      <c r="B707" s="9">
        <f t="shared" si="4"/>
        <v>45681</v>
      </c>
      <c r="C707" s="77" t="s">
        <v>1570</v>
      </c>
      <c r="D707" s="13">
        <f>SUMIFS('Lançamentos de receitas'!$E:$E,'Lançamentos de receitas'!$A:$A,B707,'Lançamentos de receitas'!$C:$C,A707,'Lançamentos de receitas'!$F:$F,"TRANSFERÊNCIA")</f>
        <v>4741.52</v>
      </c>
      <c r="E707" s="15">
        <f t="shared" si="1"/>
        <v>2025</v>
      </c>
      <c r="F707" s="15">
        <f t="shared" si="2"/>
        <v>1</v>
      </c>
      <c r="G707" s="15">
        <f t="shared" si="3"/>
        <v>24</v>
      </c>
    </row>
    <row r="708">
      <c r="A708" s="10" t="s">
        <v>27</v>
      </c>
      <c r="B708" s="9">
        <f t="shared" si="4"/>
        <v>45681</v>
      </c>
      <c r="C708" s="77" t="s">
        <v>1571</v>
      </c>
      <c r="D708" s="13">
        <f>SUMIFS('Lançamentos de despesas'!$K:$K,'Lançamentos de despesas'!$C:$C,B708,'Lançamentos de despesas'!$G:$G,A708,'Lançamentos de despesas'!$E:$E,"pago")</f>
        <v>38.33</v>
      </c>
      <c r="E708" s="15">
        <f t="shared" si="1"/>
        <v>2025</v>
      </c>
      <c r="F708" s="15">
        <f t="shared" si="2"/>
        <v>1</v>
      </c>
      <c r="G708" s="15">
        <f t="shared" si="3"/>
        <v>24</v>
      </c>
    </row>
    <row r="709">
      <c r="A709" s="10" t="s">
        <v>27</v>
      </c>
      <c r="B709" s="9">
        <f t="shared" si="4"/>
        <v>45681</v>
      </c>
      <c r="C709" s="77" t="s">
        <v>1572</v>
      </c>
      <c r="D709" s="13">
        <f>D706+D707-D708</f>
        <v>53222.999</v>
      </c>
      <c r="E709" s="15">
        <f t="shared" si="1"/>
        <v>2025</v>
      </c>
      <c r="F709" s="15">
        <f t="shared" si="2"/>
        <v>1</v>
      </c>
      <c r="G709" s="15">
        <f t="shared" si="3"/>
        <v>24</v>
      </c>
    </row>
    <row r="710">
      <c r="A710" s="10" t="s">
        <v>27</v>
      </c>
      <c r="B710" s="9">
        <f t="shared" si="4"/>
        <v>45682</v>
      </c>
      <c r="C710" s="77" t="s">
        <v>1569</v>
      </c>
      <c r="D710" s="12">
        <f>D709</f>
        <v>53222.999</v>
      </c>
      <c r="E710" s="15">
        <f t="shared" si="1"/>
        <v>2025</v>
      </c>
      <c r="F710" s="15">
        <f t="shared" si="2"/>
        <v>1</v>
      </c>
      <c r="G710" s="15">
        <f t="shared" si="3"/>
        <v>25</v>
      </c>
    </row>
    <row r="711">
      <c r="A711" s="10" t="s">
        <v>27</v>
      </c>
      <c r="B711" s="9">
        <f t="shared" si="4"/>
        <v>45682</v>
      </c>
      <c r="C711" s="77" t="s">
        <v>1570</v>
      </c>
      <c r="D711" s="13">
        <f>SUMIFS('Lançamentos de receitas'!$E:$E,'Lançamentos de receitas'!$A:$A,B711,'Lançamentos de receitas'!$C:$C,A711,'Lançamentos de receitas'!$F:$F,"TRANSFERÊNCIA")</f>
        <v>1325.36</v>
      </c>
      <c r="E711" s="15">
        <f t="shared" si="1"/>
        <v>2025</v>
      </c>
      <c r="F711" s="15">
        <f t="shared" si="2"/>
        <v>1</v>
      </c>
      <c r="G711" s="15">
        <f t="shared" si="3"/>
        <v>25</v>
      </c>
    </row>
    <row r="712">
      <c r="A712" s="10" t="s">
        <v>27</v>
      </c>
      <c r="B712" s="9">
        <f t="shared" si="4"/>
        <v>45682</v>
      </c>
      <c r="C712" s="77" t="s">
        <v>1571</v>
      </c>
      <c r="D712" s="13">
        <f>SUMIFS('Lançamentos de despesas'!$K:$K,'Lançamentos de despesas'!$C:$C,B712,'Lançamentos de despesas'!$G:$G,A712,'Lançamentos de despesas'!$E:$E,"pago")</f>
        <v>0</v>
      </c>
      <c r="E712" s="15">
        <f t="shared" si="1"/>
        <v>2025</v>
      </c>
      <c r="F712" s="15">
        <f t="shared" si="2"/>
        <v>1</v>
      </c>
      <c r="G712" s="15">
        <f t="shared" si="3"/>
        <v>25</v>
      </c>
    </row>
    <row r="713">
      <c r="A713" s="10" t="s">
        <v>27</v>
      </c>
      <c r="B713" s="9">
        <f t="shared" si="4"/>
        <v>45682</v>
      </c>
      <c r="C713" s="77" t="s">
        <v>1572</v>
      </c>
      <c r="D713" s="13">
        <f>D710+D711-D712</f>
        <v>54548.359</v>
      </c>
      <c r="E713" s="15">
        <f t="shared" si="1"/>
        <v>2025</v>
      </c>
      <c r="F713" s="15">
        <f t="shared" si="2"/>
        <v>1</v>
      </c>
      <c r="G713" s="15">
        <f t="shared" si="3"/>
        <v>25</v>
      </c>
    </row>
    <row r="714">
      <c r="A714" s="10" t="s">
        <v>27</v>
      </c>
      <c r="B714" s="9">
        <f t="shared" si="4"/>
        <v>45683</v>
      </c>
      <c r="C714" s="77" t="s">
        <v>1569</v>
      </c>
      <c r="D714" s="12">
        <f>D713</f>
        <v>54548.359</v>
      </c>
      <c r="E714" s="15">
        <f t="shared" si="1"/>
        <v>2025</v>
      </c>
      <c r="F714" s="15">
        <f t="shared" si="2"/>
        <v>1</v>
      </c>
      <c r="G714" s="15">
        <f t="shared" si="3"/>
        <v>26</v>
      </c>
    </row>
    <row r="715">
      <c r="A715" s="10" t="s">
        <v>27</v>
      </c>
      <c r="B715" s="9">
        <f t="shared" si="4"/>
        <v>45683</v>
      </c>
      <c r="C715" s="77" t="s">
        <v>1570</v>
      </c>
      <c r="D715" s="13">
        <f>SUMIFS('Lançamentos de receitas'!$E:$E,'Lançamentos de receitas'!$A:$A,B715,'Lançamentos de receitas'!$C:$C,A715,'Lançamentos de receitas'!$F:$F,"TRANSFERÊNCIA")</f>
        <v>1833.66</v>
      </c>
      <c r="E715" s="15">
        <f t="shared" si="1"/>
        <v>2025</v>
      </c>
      <c r="F715" s="15">
        <f t="shared" si="2"/>
        <v>1</v>
      </c>
      <c r="G715" s="15">
        <f t="shared" si="3"/>
        <v>26</v>
      </c>
    </row>
    <row r="716">
      <c r="A716" s="10" t="s">
        <v>27</v>
      </c>
      <c r="B716" s="9">
        <f t="shared" si="4"/>
        <v>45683</v>
      </c>
      <c r="C716" s="77" t="s">
        <v>1571</v>
      </c>
      <c r="D716" s="13">
        <f>SUMIFS('Lançamentos de despesas'!$K:$K,'Lançamentos de despesas'!$C:$C,B716,'Lançamentos de despesas'!$G:$G,A716,'Lançamentos de despesas'!$E:$E,"pago")</f>
        <v>0</v>
      </c>
      <c r="E716" s="15">
        <f t="shared" si="1"/>
        <v>2025</v>
      </c>
      <c r="F716" s="15">
        <f t="shared" si="2"/>
        <v>1</v>
      </c>
      <c r="G716" s="15">
        <f t="shared" si="3"/>
        <v>26</v>
      </c>
    </row>
    <row r="717">
      <c r="A717" s="10" t="s">
        <v>27</v>
      </c>
      <c r="B717" s="9">
        <f t="shared" si="4"/>
        <v>45683</v>
      </c>
      <c r="C717" s="77" t="s">
        <v>1572</v>
      </c>
      <c r="D717" s="13">
        <f>D714+D715-D716</f>
        <v>56382.019</v>
      </c>
      <c r="E717" s="15">
        <f t="shared" si="1"/>
        <v>2025</v>
      </c>
      <c r="F717" s="15">
        <f t="shared" si="2"/>
        <v>1</v>
      </c>
      <c r="G717" s="15">
        <f t="shared" si="3"/>
        <v>26</v>
      </c>
    </row>
    <row r="718">
      <c r="A718" s="10" t="s">
        <v>27</v>
      </c>
      <c r="B718" s="9">
        <f t="shared" si="4"/>
        <v>45684</v>
      </c>
      <c r="C718" s="77" t="s">
        <v>1569</v>
      </c>
      <c r="D718" s="12">
        <f>D717</f>
        <v>56382.019</v>
      </c>
      <c r="E718" s="15">
        <f t="shared" si="1"/>
        <v>2025</v>
      </c>
      <c r="F718" s="15">
        <f t="shared" si="2"/>
        <v>1</v>
      </c>
      <c r="G718" s="15">
        <f t="shared" si="3"/>
        <v>27</v>
      </c>
    </row>
    <row r="719">
      <c r="A719" s="10" t="s">
        <v>27</v>
      </c>
      <c r="B719" s="9">
        <f t="shared" si="4"/>
        <v>45684</v>
      </c>
      <c r="C719" s="77" t="s">
        <v>1570</v>
      </c>
      <c r="D719" s="13">
        <f>SUMIFS('Lançamentos de receitas'!$E:$E,'Lançamentos de receitas'!$A:$A,B719,'Lançamentos de receitas'!$C:$C,A719,'Lançamentos de receitas'!$F:$F,"TRANSFERÊNCIA")</f>
        <v>12234.95</v>
      </c>
      <c r="E719" s="15">
        <f t="shared" si="1"/>
        <v>2025</v>
      </c>
      <c r="F719" s="15">
        <f t="shared" si="2"/>
        <v>1</v>
      </c>
      <c r="G719" s="15">
        <f t="shared" si="3"/>
        <v>27</v>
      </c>
    </row>
    <row r="720">
      <c r="A720" s="10" t="s">
        <v>27</v>
      </c>
      <c r="B720" s="9">
        <f t="shared" si="4"/>
        <v>45684</v>
      </c>
      <c r="C720" s="77" t="s">
        <v>1571</v>
      </c>
      <c r="D720" s="13">
        <f>SUMIFS('Lançamentos de despesas'!$K:$K,'Lançamentos de despesas'!$C:$C,B720,'Lançamentos de despesas'!$G:$G,A720,'Lançamentos de despesas'!$E:$E,"pago")</f>
        <v>171.72</v>
      </c>
      <c r="E720" s="15">
        <f t="shared" si="1"/>
        <v>2025</v>
      </c>
      <c r="F720" s="15">
        <f t="shared" si="2"/>
        <v>1</v>
      </c>
      <c r="G720" s="15">
        <f t="shared" si="3"/>
        <v>27</v>
      </c>
    </row>
    <row r="721">
      <c r="A721" s="10" t="s">
        <v>27</v>
      </c>
      <c r="B721" s="9">
        <f t="shared" si="4"/>
        <v>45684</v>
      </c>
      <c r="C721" s="77" t="s">
        <v>1572</v>
      </c>
      <c r="D721" s="13">
        <f>D718+D719-D720</f>
        <v>68445.249</v>
      </c>
      <c r="E721" s="15">
        <f t="shared" si="1"/>
        <v>2025</v>
      </c>
      <c r="F721" s="15">
        <f t="shared" si="2"/>
        <v>1</v>
      </c>
      <c r="G721" s="15">
        <f t="shared" si="3"/>
        <v>27</v>
      </c>
    </row>
    <row r="722">
      <c r="A722" s="10" t="s">
        <v>27</v>
      </c>
      <c r="B722" s="9">
        <f t="shared" si="4"/>
        <v>45685</v>
      </c>
      <c r="C722" s="77" t="s">
        <v>1569</v>
      </c>
      <c r="D722" s="12">
        <f>D721</f>
        <v>68445.249</v>
      </c>
      <c r="E722" s="15">
        <f t="shared" si="1"/>
        <v>2025</v>
      </c>
      <c r="F722" s="15">
        <f t="shared" si="2"/>
        <v>1</v>
      </c>
      <c r="G722" s="15">
        <f t="shared" si="3"/>
        <v>28</v>
      </c>
    </row>
    <row r="723">
      <c r="A723" s="10" t="s">
        <v>27</v>
      </c>
      <c r="B723" s="9">
        <f t="shared" si="4"/>
        <v>45685</v>
      </c>
      <c r="C723" s="77" t="s">
        <v>1570</v>
      </c>
      <c r="D723" s="13">
        <f>SUMIFS('Lançamentos de receitas'!$E:$E,'Lançamentos de receitas'!$A:$A,B723,'Lançamentos de receitas'!$C:$C,A723,'Lançamentos de receitas'!$F:$F,"TRANSFERÊNCIA")</f>
        <v>141.58</v>
      </c>
      <c r="E723" s="15">
        <f t="shared" si="1"/>
        <v>2025</v>
      </c>
      <c r="F723" s="15">
        <f t="shared" si="2"/>
        <v>1</v>
      </c>
      <c r="G723" s="15">
        <f t="shared" si="3"/>
        <v>28</v>
      </c>
    </row>
    <row r="724">
      <c r="A724" s="10" t="s">
        <v>27</v>
      </c>
      <c r="B724" s="9">
        <f t="shared" si="4"/>
        <v>45685</v>
      </c>
      <c r="C724" s="77" t="s">
        <v>1571</v>
      </c>
      <c r="D724" s="13">
        <f>SUMIFS('Lançamentos de despesas'!$K:$K,'Lançamentos de despesas'!$C:$C,B724,'Lançamentos de despesas'!$G:$G,A724,'Lançamentos de despesas'!$E:$E,"pago")</f>
        <v>0</v>
      </c>
      <c r="E724" s="15">
        <f t="shared" si="1"/>
        <v>2025</v>
      </c>
      <c r="F724" s="15">
        <f t="shared" si="2"/>
        <v>1</v>
      </c>
      <c r="G724" s="15">
        <f t="shared" si="3"/>
        <v>28</v>
      </c>
    </row>
    <row r="725">
      <c r="A725" s="10" t="s">
        <v>27</v>
      </c>
      <c r="B725" s="9">
        <f t="shared" si="4"/>
        <v>45685</v>
      </c>
      <c r="C725" s="77" t="s">
        <v>1572</v>
      </c>
      <c r="D725" s="13">
        <f>D722+D723-D724</f>
        <v>68586.829</v>
      </c>
      <c r="E725" s="15">
        <f t="shared" si="1"/>
        <v>2025</v>
      </c>
      <c r="F725" s="15">
        <f t="shared" si="2"/>
        <v>1</v>
      </c>
      <c r="G725" s="15">
        <f t="shared" si="3"/>
        <v>28</v>
      </c>
    </row>
    <row r="726">
      <c r="A726" s="10" t="s">
        <v>27</v>
      </c>
      <c r="B726" s="9">
        <f t="shared" si="4"/>
        <v>45686</v>
      </c>
      <c r="C726" s="77" t="s">
        <v>1569</v>
      </c>
      <c r="D726" s="12">
        <f>D725</f>
        <v>68586.829</v>
      </c>
      <c r="E726" s="15">
        <f t="shared" si="1"/>
        <v>2025</v>
      </c>
      <c r="F726" s="15">
        <f t="shared" si="2"/>
        <v>1</v>
      </c>
      <c r="G726" s="15">
        <f t="shared" si="3"/>
        <v>29</v>
      </c>
    </row>
    <row r="727">
      <c r="A727" s="10" t="s">
        <v>27</v>
      </c>
      <c r="B727" s="9">
        <f t="shared" si="4"/>
        <v>45686</v>
      </c>
      <c r="C727" s="77" t="s">
        <v>1570</v>
      </c>
      <c r="D727" s="13">
        <f>SUMIFS('Lançamentos de receitas'!$E:$E,'Lançamentos de receitas'!$A:$A,B727,'Lançamentos de receitas'!$C:$C,A727,'Lançamentos de receitas'!$F:$F,"TRANSFERÊNCIA")</f>
        <v>1625.99</v>
      </c>
      <c r="E727" s="15">
        <f t="shared" si="1"/>
        <v>2025</v>
      </c>
      <c r="F727" s="15">
        <f t="shared" si="2"/>
        <v>1</v>
      </c>
      <c r="G727" s="15">
        <f t="shared" si="3"/>
        <v>29</v>
      </c>
    </row>
    <row r="728">
      <c r="A728" s="10" t="s">
        <v>27</v>
      </c>
      <c r="B728" s="9">
        <f t="shared" si="4"/>
        <v>45686</v>
      </c>
      <c r="C728" s="77" t="s">
        <v>1571</v>
      </c>
      <c r="D728" s="13">
        <f>SUMIFS('Lançamentos de despesas'!$K:$K,'Lançamentos de despesas'!$C:$C,B728,'Lançamentos de despesas'!$G:$G,A728,'Lançamentos de despesas'!$E:$E,"pago")</f>
        <v>380.54</v>
      </c>
      <c r="E728" s="15">
        <f t="shared" si="1"/>
        <v>2025</v>
      </c>
      <c r="F728" s="15">
        <f t="shared" si="2"/>
        <v>1</v>
      </c>
      <c r="G728" s="15">
        <f t="shared" si="3"/>
        <v>29</v>
      </c>
    </row>
    <row r="729">
      <c r="A729" s="10" t="s">
        <v>27</v>
      </c>
      <c r="B729" s="9">
        <f t="shared" si="4"/>
        <v>45686</v>
      </c>
      <c r="C729" s="77" t="s">
        <v>1572</v>
      </c>
      <c r="D729" s="13">
        <f>D726+D727-D728</f>
        <v>69832.279</v>
      </c>
      <c r="E729" s="15">
        <f t="shared" si="1"/>
        <v>2025</v>
      </c>
      <c r="F729" s="15">
        <f t="shared" si="2"/>
        <v>1</v>
      </c>
      <c r="G729" s="15">
        <f t="shared" si="3"/>
        <v>29</v>
      </c>
    </row>
    <row r="730">
      <c r="A730" s="10" t="s">
        <v>27</v>
      </c>
      <c r="B730" s="9">
        <f t="shared" si="4"/>
        <v>45687</v>
      </c>
      <c r="C730" s="77" t="s">
        <v>1569</v>
      </c>
      <c r="D730" s="12">
        <f>D729</f>
        <v>69832.279</v>
      </c>
      <c r="E730" s="15">
        <f t="shared" si="1"/>
        <v>2025</v>
      </c>
      <c r="F730" s="15">
        <f t="shared" si="2"/>
        <v>1</v>
      </c>
      <c r="G730" s="15">
        <f t="shared" si="3"/>
        <v>30</v>
      </c>
    </row>
    <row r="731">
      <c r="A731" s="10" t="s">
        <v>27</v>
      </c>
      <c r="B731" s="9">
        <f t="shared" si="4"/>
        <v>45687</v>
      </c>
      <c r="C731" s="77" t="s">
        <v>1570</v>
      </c>
      <c r="D731" s="13">
        <f>SUMIFS('Lançamentos de receitas'!$E:$E,'Lançamentos de receitas'!$A:$A,B731,'Lançamentos de receitas'!$C:$C,A731,'Lançamentos de receitas'!$F:$F,"TRANSFERÊNCIA")</f>
        <v>394.22</v>
      </c>
      <c r="E731" s="15">
        <f t="shared" si="1"/>
        <v>2025</v>
      </c>
      <c r="F731" s="15">
        <f t="shared" si="2"/>
        <v>1</v>
      </c>
      <c r="G731" s="15">
        <f t="shared" si="3"/>
        <v>30</v>
      </c>
    </row>
    <row r="732">
      <c r="A732" s="10" t="s">
        <v>27</v>
      </c>
      <c r="B732" s="9">
        <f t="shared" si="4"/>
        <v>45687</v>
      </c>
      <c r="C732" s="77" t="s">
        <v>1571</v>
      </c>
      <c r="D732" s="13">
        <f>SUMIFS('Lançamentos de despesas'!$K:$K,'Lançamentos de despesas'!$C:$C,B732,'Lançamentos de despesas'!$G:$G,A732,'Lançamentos de despesas'!$E:$E,"pago")</f>
        <v>4052.69</v>
      </c>
      <c r="E732" s="15">
        <f t="shared" si="1"/>
        <v>2025</v>
      </c>
      <c r="F732" s="15">
        <f t="shared" si="2"/>
        <v>1</v>
      </c>
      <c r="G732" s="15">
        <f t="shared" si="3"/>
        <v>30</v>
      </c>
    </row>
    <row r="733">
      <c r="A733" s="10" t="s">
        <v>27</v>
      </c>
      <c r="B733" s="9">
        <f t="shared" si="4"/>
        <v>45687</v>
      </c>
      <c r="C733" s="77" t="s">
        <v>1572</v>
      </c>
      <c r="D733" s="13">
        <f>D730+D731-D732</f>
        <v>66173.809</v>
      </c>
      <c r="E733" s="15">
        <f t="shared" si="1"/>
        <v>2025</v>
      </c>
      <c r="F733" s="15">
        <f t="shared" si="2"/>
        <v>1</v>
      </c>
      <c r="G733" s="15">
        <f t="shared" si="3"/>
        <v>30</v>
      </c>
    </row>
    <row r="734">
      <c r="A734" s="10" t="s">
        <v>27</v>
      </c>
      <c r="B734" s="9">
        <f t="shared" si="4"/>
        <v>45688</v>
      </c>
      <c r="C734" s="77" t="s">
        <v>1569</v>
      </c>
      <c r="D734" s="12">
        <f>D733</f>
        <v>66173.809</v>
      </c>
      <c r="E734" s="15">
        <f t="shared" si="1"/>
        <v>2025</v>
      </c>
      <c r="F734" s="15">
        <f t="shared" si="2"/>
        <v>1</v>
      </c>
      <c r="G734" s="15">
        <f t="shared" si="3"/>
        <v>31</v>
      </c>
    </row>
    <row r="735">
      <c r="A735" s="10" t="s">
        <v>27</v>
      </c>
      <c r="B735" s="9">
        <f t="shared" si="4"/>
        <v>45688</v>
      </c>
      <c r="C735" s="77" t="s">
        <v>1570</v>
      </c>
      <c r="D735" s="13">
        <f>SUMIFS('Lançamentos de receitas'!$E:$E,'Lançamentos de receitas'!$A:$A,B735,'Lançamentos de receitas'!$C:$C,A735,'Lançamentos de receitas'!$F:$F,"TRANSFERÊNCIA")</f>
        <v>1595.25</v>
      </c>
      <c r="E735" s="15">
        <f t="shared" si="1"/>
        <v>2025</v>
      </c>
      <c r="F735" s="15">
        <f t="shared" si="2"/>
        <v>1</v>
      </c>
      <c r="G735" s="15">
        <f t="shared" si="3"/>
        <v>31</v>
      </c>
    </row>
    <row r="736">
      <c r="A736" s="10" t="s">
        <v>27</v>
      </c>
      <c r="B736" s="9">
        <f t="shared" si="4"/>
        <v>45688</v>
      </c>
      <c r="C736" s="77" t="s">
        <v>1571</v>
      </c>
      <c r="D736" s="13">
        <f>SUMIFS('Lançamentos de despesas'!$K:$K,'Lançamentos de despesas'!$C:$C,B736,'Lançamentos de despesas'!$G:$G,A736,'Lançamentos de despesas'!$E:$E,"pago")</f>
        <v>119.57</v>
      </c>
      <c r="E736" s="15">
        <f t="shared" si="1"/>
        <v>2025</v>
      </c>
      <c r="F736" s="15">
        <f t="shared" si="2"/>
        <v>1</v>
      </c>
      <c r="G736" s="15">
        <f t="shared" si="3"/>
        <v>31</v>
      </c>
    </row>
    <row r="737">
      <c r="A737" s="10" t="s">
        <v>27</v>
      </c>
      <c r="B737" s="9">
        <f t="shared" si="4"/>
        <v>45688</v>
      </c>
      <c r="C737" s="77" t="s">
        <v>1572</v>
      </c>
      <c r="D737" s="13">
        <f>D734+D735-D736</f>
        <v>67649.489</v>
      </c>
      <c r="E737" s="15">
        <f t="shared" si="1"/>
        <v>2025</v>
      </c>
      <c r="F737" s="15">
        <f t="shared" si="2"/>
        <v>1</v>
      </c>
      <c r="G737" s="15">
        <f t="shared" si="3"/>
        <v>31</v>
      </c>
    </row>
    <row r="738">
      <c r="A738" s="10" t="s">
        <v>27</v>
      </c>
      <c r="B738" s="9">
        <f t="shared" si="4"/>
        <v>45689</v>
      </c>
      <c r="C738" s="77" t="s">
        <v>1569</v>
      </c>
      <c r="D738" s="12">
        <f>D737</f>
        <v>67649.489</v>
      </c>
      <c r="E738" s="15">
        <f t="shared" si="1"/>
        <v>2025</v>
      </c>
      <c r="F738" s="15">
        <f t="shared" si="2"/>
        <v>2</v>
      </c>
      <c r="G738" s="15">
        <f t="shared" si="3"/>
        <v>1</v>
      </c>
    </row>
    <row r="739">
      <c r="A739" s="10" t="s">
        <v>27</v>
      </c>
      <c r="B739" s="9">
        <f t="shared" si="4"/>
        <v>45689</v>
      </c>
      <c r="C739" s="77" t="s">
        <v>1570</v>
      </c>
      <c r="D739" s="13">
        <f>SUMIFS('Lançamentos de receitas'!$E:$E,'Lançamentos de receitas'!$A:$A,B739,'Lançamentos de receitas'!$C:$C,A739,'Lançamentos de receitas'!$F:$F,"TRANSFERÊNCIA")</f>
        <v>1351.52</v>
      </c>
      <c r="E739" s="15">
        <f t="shared" si="1"/>
        <v>2025</v>
      </c>
      <c r="F739" s="15">
        <f t="shared" si="2"/>
        <v>2</v>
      </c>
      <c r="G739" s="15">
        <f t="shared" si="3"/>
        <v>1</v>
      </c>
    </row>
    <row r="740">
      <c r="A740" s="10" t="s">
        <v>27</v>
      </c>
      <c r="B740" s="9">
        <f t="shared" si="4"/>
        <v>45689</v>
      </c>
      <c r="C740" s="77" t="s">
        <v>1571</v>
      </c>
      <c r="D740" s="13">
        <f>SUMIFS('Lançamentos de despesas'!$K:$K,'Lançamentos de despesas'!$C:$C,B740,'Lançamentos de despesas'!$G:$G,A740,'Lançamentos de despesas'!$E:$E,"pago")</f>
        <v>0</v>
      </c>
      <c r="E740" s="15">
        <f t="shared" si="1"/>
        <v>2025</v>
      </c>
      <c r="F740" s="15">
        <f t="shared" si="2"/>
        <v>2</v>
      </c>
      <c r="G740" s="15">
        <f t="shared" si="3"/>
        <v>1</v>
      </c>
    </row>
    <row r="741">
      <c r="A741" s="10" t="s">
        <v>27</v>
      </c>
      <c r="B741" s="9">
        <f t="shared" si="4"/>
        <v>45689</v>
      </c>
      <c r="C741" s="77" t="s">
        <v>1572</v>
      </c>
      <c r="D741" s="13">
        <f>D738+D739-D740</f>
        <v>69001.009</v>
      </c>
      <c r="E741" s="15">
        <f t="shared" si="1"/>
        <v>2025</v>
      </c>
      <c r="F741" s="15">
        <f t="shared" si="2"/>
        <v>2</v>
      </c>
      <c r="G741" s="15">
        <f t="shared" si="3"/>
        <v>1</v>
      </c>
    </row>
    <row r="742">
      <c r="A742" s="10" t="s">
        <v>27</v>
      </c>
      <c r="B742" s="9">
        <f t="shared" si="4"/>
        <v>45690</v>
      </c>
      <c r="C742" s="77" t="s">
        <v>1569</v>
      </c>
      <c r="D742" s="12">
        <f>D741</f>
        <v>69001.009</v>
      </c>
      <c r="E742" s="15">
        <f t="shared" si="1"/>
        <v>2025</v>
      </c>
      <c r="F742" s="15">
        <f t="shared" si="2"/>
        <v>2</v>
      </c>
      <c r="G742" s="15">
        <f t="shared" si="3"/>
        <v>2</v>
      </c>
    </row>
    <row r="743">
      <c r="A743" s="10" t="s">
        <v>27</v>
      </c>
      <c r="B743" s="9">
        <f t="shared" si="4"/>
        <v>45690</v>
      </c>
      <c r="C743" s="77" t="s">
        <v>1570</v>
      </c>
      <c r="D743" s="13">
        <f>SUMIFS('Lançamentos de receitas'!$E:$E,'Lançamentos de receitas'!$A:$A,B743,'Lançamentos de receitas'!$C:$C,A743,'Lançamentos de receitas'!$F:$F,"TRANSFERÊNCIA")</f>
        <v>1783.89</v>
      </c>
      <c r="E743" s="15">
        <f t="shared" si="1"/>
        <v>2025</v>
      </c>
      <c r="F743" s="15">
        <f t="shared" si="2"/>
        <v>2</v>
      </c>
      <c r="G743" s="15">
        <f t="shared" si="3"/>
        <v>2</v>
      </c>
    </row>
    <row r="744">
      <c r="A744" s="10" t="s">
        <v>27</v>
      </c>
      <c r="B744" s="9">
        <f t="shared" si="4"/>
        <v>45690</v>
      </c>
      <c r="C744" s="77" t="s">
        <v>1571</v>
      </c>
      <c r="D744" s="13">
        <f>SUMIFS('Lançamentos de despesas'!$K:$K,'Lançamentos de despesas'!$C:$C,B744,'Lançamentos de despesas'!$G:$G,A744,'Lançamentos de despesas'!$E:$E,"pago")</f>
        <v>0</v>
      </c>
      <c r="E744" s="15">
        <f t="shared" si="1"/>
        <v>2025</v>
      </c>
      <c r="F744" s="15">
        <f t="shared" si="2"/>
        <v>2</v>
      </c>
      <c r="G744" s="15">
        <f t="shared" si="3"/>
        <v>2</v>
      </c>
    </row>
    <row r="745">
      <c r="A745" s="10" t="s">
        <v>27</v>
      </c>
      <c r="B745" s="9">
        <f t="shared" si="4"/>
        <v>45690</v>
      </c>
      <c r="C745" s="77" t="s">
        <v>1572</v>
      </c>
      <c r="D745" s="13">
        <f>D742+D743-D744</f>
        <v>70784.899</v>
      </c>
      <c r="E745" s="15">
        <f t="shared" si="1"/>
        <v>2025</v>
      </c>
      <c r="F745" s="15">
        <f t="shared" si="2"/>
        <v>2</v>
      </c>
      <c r="G745" s="15">
        <f t="shared" si="3"/>
        <v>2</v>
      </c>
    </row>
    <row r="746">
      <c r="A746" s="10" t="s">
        <v>27</v>
      </c>
      <c r="B746" s="9">
        <f t="shared" si="4"/>
        <v>45691</v>
      </c>
      <c r="C746" s="77" t="s">
        <v>1569</v>
      </c>
      <c r="D746" s="12">
        <f>D745</f>
        <v>70784.899</v>
      </c>
      <c r="E746" s="15">
        <f t="shared" si="1"/>
        <v>2025</v>
      </c>
      <c r="F746" s="15">
        <f t="shared" si="2"/>
        <v>2</v>
      </c>
      <c r="G746" s="15">
        <f t="shared" si="3"/>
        <v>3</v>
      </c>
    </row>
    <row r="747">
      <c r="A747" s="10" t="s">
        <v>27</v>
      </c>
      <c r="B747" s="9">
        <f t="shared" si="4"/>
        <v>45691</v>
      </c>
      <c r="C747" s="77" t="s">
        <v>1570</v>
      </c>
      <c r="D747" s="13">
        <f>SUMIFS('Lançamentos de receitas'!$E:$E,'Lançamentos de receitas'!$A:$A,B747,'Lançamentos de receitas'!$C:$C,A747,'Lançamentos de receitas'!$F:$F,"TRANSFERÊNCIA")</f>
        <v>112</v>
      </c>
      <c r="E747" s="15">
        <f t="shared" si="1"/>
        <v>2025</v>
      </c>
      <c r="F747" s="15">
        <f t="shared" si="2"/>
        <v>2</v>
      </c>
      <c r="G747" s="15">
        <f t="shared" si="3"/>
        <v>3</v>
      </c>
    </row>
    <row r="748">
      <c r="A748" s="10" t="s">
        <v>27</v>
      </c>
      <c r="B748" s="9">
        <f t="shared" si="4"/>
        <v>45691</v>
      </c>
      <c r="C748" s="77" t="s">
        <v>1571</v>
      </c>
      <c r="D748" s="13">
        <f>SUMIFS('Lançamentos de despesas'!$K:$K,'Lançamentos de despesas'!$C:$C,B748,'Lançamentos de despesas'!$G:$G,A748,'Lançamentos de despesas'!$E:$E,"pago")</f>
        <v>22619.07</v>
      </c>
      <c r="E748" s="15">
        <f t="shared" si="1"/>
        <v>2025</v>
      </c>
      <c r="F748" s="15">
        <f t="shared" si="2"/>
        <v>2</v>
      </c>
      <c r="G748" s="15">
        <f t="shared" si="3"/>
        <v>3</v>
      </c>
    </row>
    <row r="749">
      <c r="A749" s="10" t="s">
        <v>27</v>
      </c>
      <c r="B749" s="9">
        <f t="shared" si="4"/>
        <v>45691</v>
      </c>
      <c r="C749" s="77" t="s">
        <v>1572</v>
      </c>
      <c r="D749" s="13">
        <f>D746+D747-D748</f>
        <v>48277.829</v>
      </c>
      <c r="E749" s="15">
        <f t="shared" si="1"/>
        <v>2025</v>
      </c>
      <c r="F749" s="15">
        <f t="shared" si="2"/>
        <v>2</v>
      </c>
      <c r="G749" s="15">
        <f t="shared" si="3"/>
        <v>3</v>
      </c>
    </row>
    <row r="750">
      <c r="A750" s="10" t="s">
        <v>27</v>
      </c>
      <c r="B750" s="9">
        <f t="shared" si="4"/>
        <v>45692</v>
      </c>
      <c r="C750" s="77" t="s">
        <v>1569</v>
      </c>
      <c r="D750" s="12">
        <f>D749</f>
        <v>48277.829</v>
      </c>
      <c r="E750" s="15">
        <f t="shared" si="1"/>
        <v>2025</v>
      </c>
      <c r="F750" s="15">
        <f t="shared" si="2"/>
        <v>2</v>
      </c>
      <c r="G750" s="15">
        <f t="shared" si="3"/>
        <v>4</v>
      </c>
    </row>
    <row r="751">
      <c r="A751" s="10" t="s">
        <v>27</v>
      </c>
      <c r="B751" s="9">
        <f t="shared" si="4"/>
        <v>45692</v>
      </c>
      <c r="C751" s="77" t="s">
        <v>1570</v>
      </c>
      <c r="D751" s="13">
        <f>SUMIFS('Lançamentos de receitas'!$E:$E,'Lançamentos de receitas'!$A:$A,B751,'Lançamentos de receitas'!$C:$C,A751,'Lançamentos de receitas'!$F:$F,"TRANSFERÊNCIA")</f>
        <v>37570.07</v>
      </c>
      <c r="E751" s="15">
        <f t="shared" si="1"/>
        <v>2025</v>
      </c>
      <c r="F751" s="15">
        <f t="shared" si="2"/>
        <v>2</v>
      </c>
      <c r="G751" s="15">
        <f t="shared" si="3"/>
        <v>4</v>
      </c>
    </row>
    <row r="752">
      <c r="A752" s="10" t="s">
        <v>27</v>
      </c>
      <c r="B752" s="9">
        <f t="shared" si="4"/>
        <v>45692</v>
      </c>
      <c r="C752" s="77" t="s">
        <v>1571</v>
      </c>
      <c r="D752" s="13">
        <f>SUMIFS('Lançamentos de despesas'!$K:$K,'Lançamentos de despesas'!$C:$C,B752,'Lançamentos de despesas'!$G:$G,A752,'Lançamentos de despesas'!$E:$E,"pago")</f>
        <v>1475.98</v>
      </c>
      <c r="E752" s="15">
        <f t="shared" si="1"/>
        <v>2025</v>
      </c>
      <c r="F752" s="15">
        <f t="shared" si="2"/>
        <v>2</v>
      </c>
      <c r="G752" s="15">
        <f t="shared" si="3"/>
        <v>4</v>
      </c>
    </row>
    <row r="753">
      <c r="A753" s="10" t="s">
        <v>27</v>
      </c>
      <c r="B753" s="9">
        <f t="shared" si="4"/>
        <v>45692</v>
      </c>
      <c r="C753" s="77" t="s">
        <v>1572</v>
      </c>
      <c r="D753" s="13">
        <f>D750+D751-D752</f>
        <v>84371.919</v>
      </c>
      <c r="E753" s="15">
        <f t="shared" si="1"/>
        <v>2025</v>
      </c>
      <c r="F753" s="15">
        <f t="shared" si="2"/>
        <v>2</v>
      </c>
      <c r="G753" s="15">
        <f t="shared" si="3"/>
        <v>4</v>
      </c>
    </row>
    <row r="754">
      <c r="A754" s="10" t="s">
        <v>27</v>
      </c>
      <c r="B754" s="9">
        <f t="shared" si="4"/>
        <v>45693</v>
      </c>
      <c r="C754" s="77" t="s">
        <v>1569</v>
      </c>
      <c r="D754" s="12">
        <f>D753</f>
        <v>84371.919</v>
      </c>
      <c r="E754" s="15">
        <f t="shared" si="1"/>
        <v>2025</v>
      </c>
      <c r="F754" s="15">
        <f t="shared" si="2"/>
        <v>2</v>
      </c>
      <c r="G754" s="15">
        <f t="shared" si="3"/>
        <v>5</v>
      </c>
    </row>
    <row r="755">
      <c r="A755" s="10" t="s">
        <v>27</v>
      </c>
      <c r="B755" s="9">
        <f t="shared" si="4"/>
        <v>45693</v>
      </c>
      <c r="C755" s="77" t="s">
        <v>1570</v>
      </c>
      <c r="D755" s="13">
        <f>SUMIFS('Lançamentos de receitas'!$E:$E,'Lançamentos de receitas'!$A:$A,B755,'Lançamentos de receitas'!$C:$C,A755,'Lançamentos de receitas'!$F:$F,"TRANSFERÊNCIA")</f>
        <v>1993.88</v>
      </c>
      <c r="E755" s="15">
        <f t="shared" si="1"/>
        <v>2025</v>
      </c>
      <c r="F755" s="15">
        <f t="shared" si="2"/>
        <v>2</v>
      </c>
      <c r="G755" s="15">
        <f t="shared" si="3"/>
        <v>5</v>
      </c>
    </row>
    <row r="756">
      <c r="A756" s="10" t="s">
        <v>27</v>
      </c>
      <c r="B756" s="9">
        <f t="shared" si="4"/>
        <v>45693</v>
      </c>
      <c r="C756" s="77" t="s">
        <v>1571</v>
      </c>
      <c r="D756" s="13">
        <f>SUMIFS('Lançamentos de despesas'!$K:$K,'Lançamentos de despesas'!$C:$C,B756,'Lançamentos de despesas'!$G:$G,A756,'Lançamentos de despesas'!$E:$E,"pago")</f>
        <v>0</v>
      </c>
      <c r="E756" s="15">
        <f t="shared" si="1"/>
        <v>2025</v>
      </c>
      <c r="F756" s="15">
        <f t="shared" si="2"/>
        <v>2</v>
      </c>
      <c r="G756" s="15">
        <f t="shared" si="3"/>
        <v>5</v>
      </c>
    </row>
    <row r="757">
      <c r="A757" s="10" t="s">
        <v>27</v>
      </c>
      <c r="B757" s="9">
        <f t="shared" si="4"/>
        <v>45693</v>
      </c>
      <c r="C757" s="77" t="s">
        <v>1572</v>
      </c>
      <c r="D757" s="13">
        <f>D754+D755-D756</f>
        <v>86365.799</v>
      </c>
      <c r="E757" s="15">
        <f t="shared" si="1"/>
        <v>2025</v>
      </c>
      <c r="F757" s="15">
        <f t="shared" si="2"/>
        <v>2</v>
      </c>
      <c r="G757" s="15">
        <f t="shared" si="3"/>
        <v>5</v>
      </c>
    </row>
    <row r="758">
      <c r="A758" s="10" t="s">
        <v>27</v>
      </c>
      <c r="B758" s="9">
        <f t="shared" si="4"/>
        <v>45694</v>
      </c>
      <c r="C758" s="77" t="s">
        <v>1569</v>
      </c>
      <c r="D758" s="12">
        <f>D757</f>
        <v>86365.799</v>
      </c>
      <c r="E758" s="15">
        <f t="shared" si="1"/>
        <v>2025</v>
      </c>
      <c r="F758" s="15">
        <f t="shared" si="2"/>
        <v>2</v>
      </c>
      <c r="G758" s="15">
        <f t="shared" si="3"/>
        <v>6</v>
      </c>
    </row>
    <row r="759">
      <c r="A759" s="10" t="s">
        <v>27</v>
      </c>
      <c r="B759" s="9">
        <f t="shared" si="4"/>
        <v>45694</v>
      </c>
      <c r="C759" s="77" t="s">
        <v>1570</v>
      </c>
      <c r="D759" s="13">
        <f>SUMIFS('Lançamentos de receitas'!$E:$E,'Lançamentos de receitas'!$A:$A,B759,'Lançamentos de receitas'!$C:$C,A759,'Lançamentos de receitas'!$F:$F,"TRANSFERÊNCIA")</f>
        <v>1238.9</v>
      </c>
      <c r="E759" s="15">
        <f t="shared" si="1"/>
        <v>2025</v>
      </c>
      <c r="F759" s="15">
        <f t="shared" si="2"/>
        <v>2</v>
      </c>
      <c r="G759" s="15">
        <f t="shared" si="3"/>
        <v>6</v>
      </c>
    </row>
    <row r="760">
      <c r="A760" s="10" t="s">
        <v>27</v>
      </c>
      <c r="B760" s="9">
        <f t="shared" si="4"/>
        <v>45694</v>
      </c>
      <c r="C760" s="77" t="s">
        <v>1571</v>
      </c>
      <c r="D760" s="13">
        <f>SUMIFS('Lançamentos de despesas'!$K:$K,'Lançamentos de despesas'!$C:$C,B760,'Lançamentos de despesas'!$G:$G,A760,'Lançamentos de despesas'!$E:$E,"pago")</f>
        <v>73.8</v>
      </c>
      <c r="E760" s="15">
        <f t="shared" si="1"/>
        <v>2025</v>
      </c>
      <c r="F760" s="15">
        <f t="shared" si="2"/>
        <v>2</v>
      </c>
      <c r="G760" s="15">
        <f t="shared" si="3"/>
        <v>6</v>
      </c>
    </row>
    <row r="761">
      <c r="A761" s="10" t="s">
        <v>27</v>
      </c>
      <c r="B761" s="9">
        <f t="shared" si="4"/>
        <v>45694</v>
      </c>
      <c r="C761" s="77" t="s">
        <v>1572</v>
      </c>
      <c r="D761" s="13">
        <f>D758+D759-D760</f>
        <v>87530.899</v>
      </c>
      <c r="E761" s="15">
        <f t="shared" si="1"/>
        <v>2025</v>
      </c>
      <c r="F761" s="15">
        <f t="shared" si="2"/>
        <v>2</v>
      </c>
      <c r="G761" s="15">
        <f t="shared" si="3"/>
        <v>6</v>
      </c>
    </row>
    <row r="762">
      <c r="A762" s="10" t="s">
        <v>27</v>
      </c>
      <c r="B762" s="9">
        <f t="shared" si="4"/>
        <v>45695</v>
      </c>
      <c r="C762" s="77" t="s">
        <v>1569</v>
      </c>
      <c r="D762" s="12">
        <f>D761</f>
        <v>87530.899</v>
      </c>
      <c r="E762" s="15">
        <f t="shared" si="1"/>
        <v>2025</v>
      </c>
      <c r="F762" s="15">
        <f t="shared" si="2"/>
        <v>2</v>
      </c>
      <c r="G762" s="15">
        <f t="shared" si="3"/>
        <v>7</v>
      </c>
    </row>
    <row r="763">
      <c r="A763" s="10" t="s">
        <v>27</v>
      </c>
      <c r="B763" s="9">
        <f t="shared" si="4"/>
        <v>45695</v>
      </c>
      <c r="C763" s="77" t="s">
        <v>1570</v>
      </c>
      <c r="D763" s="13">
        <f>SUMIFS('Lançamentos de receitas'!$E:$E,'Lançamentos de receitas'!$A:$A,B763,'Lançamentos de receitas'!$C:$C,A763,'Lançamentos de receitas'!$F:$F,"TRANSFERÊNCIA")</f>
        <v>5967.85</v>
      </c>
      <c r="E763" s="15">
        <f t="shared" si="1"/>
        <v>2025</v>
      </c>
      <c r="F763" s="15">
        <f t="shared" si="2"/>
        <v>2</v>
      </c>
      <c r="G763" s="15">
        <f t="shared" si="3"/>
        <v>7</v>
      </c>
    </row>
    <row r="764">
      <c r="A764" s="10" t="s">
        <v>27</v>
      </c>
      <c r="B764" s="9">
        <f t="shared" si="4"/>
        <v>45695</v>
      </c>
      <c r="C764" s="77" t="s">
        <v>1571</v>
      </c>
      <c r="D764" s="13">
        <f>SUMIFS('Lançamentos de despesas'!$K:$K,'Lançamentos de despesas'!$C:$C,B764,'Lançamentos de despesas'!$G:$G,A764,'Lançamentos de despesas'!$E:$E,"pago")</f>
        <v>0</v>
      </c>
      <c r="E764" s="15">
        <f t="shared" si="1"/>
        <v>2025</v>
      </c>
      <c r="F764" s="15">
        <f t="shared" si="2"/>
        <v>2</v>
      </c>
      <c r="G764" s="15">
        <f t="shared" si="3"/>
        <v>7</v>
      </c>
    </row>
    <row r="765">
      <c r="A765" s="10" t="s">
        <v>27</v>
      </c>
      <c r="B765" s="9">
        <f t="shared" si="4"/>
        <v>45695</v>
      </c>
      <c r="C765" s="77" t="s">
        <v>1572</v>
      </c>
      <c r="D765" s="13">
        <f>D762+D763-D764</f>
        <v>93498.749</v>
      </c>
      <c r="E765" s="15">
        <f t="shared" si="1"/>
        <v>2025</v>
      </c>
      <c r="F765" s="15">
        <f t="shared" si="2"/>
        <v>2</v>
      </c>
      <c r="G765" s="15">
        <f t="shared" si="3"/>
        <v>7</v>
      </c>
    </row>
    <row r="766">
      <c r="A766" s="10" t="s">
        <v>27</v>
      </c>
      <c r="B766" s="9">
        <f t="shared" si="4"/>
        <v>45696</v>
      </c>
      <c r="C766" s="77" t="s">
        <v>1569</v>
      </c>
      <c r="D766" s="12">
        <f>D765</f>
        <v>93498.749</v>
      </c>
      <c r="E766" s="15">
        <f t="shared" si="1"/>
        <v>2025</v>
      </c>
      <c r="F766" s="15">
        <f t="shared" si="2"/>
        <v>2</v>
      </c>
      <c r="G766" s="15">
        <f t="shared" si="3"/>
        <v>8</v>
      </c>
    </row>
    <row r="767">
      <c r="A767" s="10" t="s">
        <v>27</v>
      </c>
      <c r="B767" s="9">
        <f t="shared" si="4"/>
        <v>45696</v>
      </c>
      <c r="C767" s="77" t="s">
        <v>1570</v>
      </c>
      <c r="D767" s="13">
        <f>SUMIFS('Lançamentos de receitas'!$E:$E,'Lançamentos de receitas'!$A:$A,B767,'Lançamentos de receitas'!$C:$C,A767,'Lançamentos de receitas'!$F:$F,"TRANSFERÊNCIA")</f>
        <v>1821.77</v>
      </c>
      <c r="E767" s="15">
        <f t="shared" si="1"/>
        <v>2025</v>
      </c>
      <c r="F767" s="15">
        <f t="shared" si="2"/>
        <v>2</v>
      </c>
      <c r="G767" s="15">
        <f t="shared" si="3"/>
        <v>8</v>
      </c>
    </row>
    <row r="768">
      <c r="A768" s="10" t="s">
        <v>27</v>
      </c>
      <c r="B768" s="9">
        <f t="shared" si="4"/>
        <v>45696</v>
      </c>
      <c r="C768" s="77" t="s">
        <v>1571</v>
      </c>
      <c r="D768" s="13">
        <f>SUMIFS('Lançamentos de despesas'!$K:$K,'Lançamentos de despesas'!$C:$C,B768,'Lançamentos de despesas'!$G:$G,A768,'Lançamentos de despesas'!$E:$E,"pago")</f>
        <v>0</v>
      </c>
      <c r="E768" s="15">
        <f t="shared" si="1"/>
        <v>2025</v>
      </c>
      <c r="F768" s="15">
        <f t="shared" si="2"/>
        <v>2</v>
      </c>
      <c r="G768" s="15">
        <f t="shared" si="3"/>
        <v>8</v>
      </c>
    </row>
    <row r="769">
      <c r="A769" s="10" t="s">
        <v>27</v>
      </c>
      <c r="B769" s="9">
        <f t="shared" si="4"/>
        <v>45696</v>
      </c>
      <c r="C769" s="77" t="s">
        <v>1572</v>
      </c>
      <c r="D769" s="13">
        <f>D766+D767-D768</f>
        <v>95320.519</v>
      </c>
      <c r="E769" s="15">
        <f t="shared" si="1"/>
        <v>2025</v>
      </c>
      <c r="F769" s="15">
        <f t="shared" si="2"/>
        <v>2</v>
      </c>
      <c r="G769" s="15">
        <f t="shared" si="3"/>
        <v>8</v>
      </c>
    </row>
    <row r="770">
      <c r="A770" s="10" t="s">
        <v>27</v>
      </c>
      <c r="B770" s="9">
        <f t="shared" si="4"/>
        <v>45697</v>
      </c>
      <c r="C770" s="77" t="s">
        <v>1569</v>
      </c>
      <c r="D770" s="12">
        <f>D769</f>
        <v>95320.519</v>
      </c>
      <c r="E770" s="15">
        <f t="shared" si="1"/>
        <v>2025</v>
      </c>
      <c r="F770" s="15">
        <f t="shared" si="2"/>
        <v>2</v>
      </c>
      <c r="G770" s="15">
        <f t="shared" si="3"/>
        <v>9</v>
      </c>
    </row>
    <row r="771">
      <c r="A771" s="10" t="s">
        <v>27</v>
      </c>
      <c r="B771" s="9">
        <f t="shared" si="4"/>
        <v>45697</v>
      </c>
      <c r="C771" s="77" t="s">
        <v>1570</v>
      </c>
      <c r="D771" s="13">
        <f>SUMIFS('Lançamentos de receitas'!$E:$E,'Lançamentos de receitas'!$A:$A,B771,'Lançamentos de receitas'!$C:$C,A771,'Lançamentos de receitas'!$F:$F,"TRANSFERÊNCIA")</f>
        <v>2626.38</v>
      </c>
      <c r="E771" s="15">
        <f t="shared" si="1"/>
        <v>2025</v>
      </c>
      <c r="F771" s="15">
        <f t="shared" si="2"/>
        <v>2</v>
      </c>
      <c r="G771" s="15">
        <f t="shared" si="3"/>
        <v>9</v>
      </c>
    </row>
    <row r="772">
      <c r="A772" s="10" t="s">
        <v>27</v>
      </c>
      <c r="B772" s="9">
        <f t="shared" si="4"/>
        <v>45697</v>
      </c>
      <c r="C772" s="77" t="s">
        <v>1571</v>
      </c>
      <c r="D772" s="13">
        <f>SUMIFS('Lançamentos de despesas'!$K:$K,'Lançamentos de despesas'!$C:$C,B772,'Lançamentos de despesas'!$G:$G,A772,'Lançamentos de despesas'!$E:$E,"pago")</f>
        <v>0</v>
      </c>
      <c r="E772" s="15">
        <f t="shared" si="1"/>
        <v>2025</v>
      </c>
      <c r="F772" s="15">
        <f t="shared" si="2"/>
        <v>2</v>
      </c>
      <c r="G772" s="15">
        <f t="shared" si="3"/>
        <v>9</v>
      </c>
    </row>
    <row r="773">
      <c r="A773" s="10" t="s">
        <v>27</v>
      </c>
      <c r="B773" s="9">
        <f t="shared" si="4"/>
        <v>45697</v>
      </c>
      <c r="C773" s="77" t="s">
        <v>1572</v>
      </c>
      <c r="D773" s="13">
        <f>D770+D771-D772</f>
        <v>97946.899</v>
      </c>
      <c r="E773" s="15">
        <f t="shared" si="1"/>
        <v>2025</v>
      </c>
      <c r="F773" s="15">
        <f t="shared" si="2"/>
        <v>2</v>
      </c>
      <c r="G773" s="15">
        <f t="shared" si="3"/>
        <v>9</v>
      </c>
    </row>
    <row r="774">
      <c r="A774" s="10" t="s">
        <v>27</v>
      </c>
      <c r="B774" s="9">
        <f t="shared" si="4"/>
        <v>45698</v>
      </c>
      <c r="C774" s="77" t="s">
        <v>1569</v>
      </c>
      <c r="D774" s="12">
        <f>D773</f>
        <v>97946.899</v>
      </c>
      <c r="E774" s="15">
        <f t="shared" si="1"/>
        <v>2025</v>
      </c>
      <c r="F774" s="15">
        <f t="shared" si="2"/>
        <v>2</v>
      </c>
      <c r="G774" s="15">
        <f t="shared" si="3"/>
        <v>10</v>
      </c>
    </row>
    <row r="775">
      <c r="A775" s="10" t="s">
        <v>27</v>
      </c>
      <c r="B775" s="9">
        <f t="shared" si="4"/>
        <v>45698</v>
      </c>
      <c r="C775" s="77" t="s">
        <v>1570</v>
      </c>
      <c r="D775" s="13">
        <f>SUMIFS('Lançamentos de receitas'!$E:$E,'Lançamentos de receitas'!$A:$A,B775,'Lançamentos de receitas'!$C:$C,A775,'Lançamentos de receitas'!$F:$F,"TRANSFERÊNCIA")</f>
        <v>13576.1</v>
      </c>
      <c r="E775" s="15">
        <f t="shared" si="1"/>
        <v>2025</v>
      </c>
      <c r="F775" s="15">
        <f t="shared" si="2"/>
        <v>2</v>
      </c>
      <c r="G775" s="15">
        <f t="shared" si="3"/>
        <v>10</v>
      </c>
    </row>
    <row r="776">
      <c r="A776" s="10" t="s">
        <v>27</v>
      </c>
      <c r="B776" s="9">
        <f t="shared" si="4"/>
        <v>45698</v>
      </c>
      <c r="C776" s="77" t="s">
        <v>1571</v>
      </c>
      <c r="D776" s="13">
        <f>SUMIFS('Lançamentos de despesas'!$K:$K,'Lançamentos de despesas'!$C:$C,B776,'Lançamentos de despesas'!$G:$G,A776,'Lançamentos de despesas'!$E:$E,"pago")</f>
        <v>1910.87</v>
      </c>
      <c r="E776" s="15">
        <f t="shared" si="1"/>
        <v>2025</v>
      </c>
      <c r="F776" s="15">
        <f t="shared" si="2"/>
        <v>2</v>
      </c>
      <c r="G776" s="15">
        <f t="shared" si="3"/>
        <v>10</v>
      </c>
    </row>
    <row r="777">
      <c r="A777" s="10" t="s">
        <v>27</v>
      </c>
      <c r="B777" s="9">
        <f t="shared" si="4"/>
        <v>45698</v>
      </c>
      <c r="C777" s="77" t="s">
        <v>1572</v>
      </c>
      <c r="D777" s="13">
        <f>D774+D775-D776</f>
        <v>109612.129</v>
      </c>
      <c r="E777" s="15">
        <f t="shared" si="1"/>
        <v>2025</v>
      </c>
      <c r="F777" s="15">
        <f t="shared" si="2"/>
        <v>2</v>
      </c>
      <c r="G777" s="15">
        <f t="shared" si="3"/>
        <v>10</v>
      </c>
    </row>
    <row r="778">
      <c r="A778" s="10" t="s">
        <v>27</v>
      </c>
      <c r="B778" s="9">
        <f t="shared" si="4"/>
        <v>45699</v>
      </c>
      <c r="C778" s="77" t="s">
        <v>1569</v>
      </c>
      <c r="D778" s="12">
        <f>D777</f>
        <v>109612.129</v>
      </c>
      <c r="E778" s="15">
        <f t="shared" si="1"/>
        <v>2025</v>
      </c>
      <c r="F778" s="15">
        <f t="shared" si="2"/>
        <v>2</v>
      </c>
      <c r="G778" s="15">
        <f t="shared" si="3"/>
        <v>11</v>
      </c>
    </row>
    <row r="779">
      <c r="A779" s="10" t="s">
        <v>27</v>
      </c>
      <c r="B779" s="9">
        <f t="shared" si="4"/>
        <v>45699</v>
      </c>
      <c r="C779" s="77" t="s">
        <v>1570</v>
      </c>
      <c r="D779" s="13">
        <f>SUMIFS('Lançamentos de receitas'!$E:$E,'Lançamentos de receitas'!$A:$A,B779,'Lançamentos de receitas'!$C:$C,A779,'Lançamentos de receitas'!$F:$F,"TRANSFERÊNCIA")</f>
        <v>29.32</v>
      </c>
      <c r="E779" s="15">
        <f t="shared" si="1"/>
        <v>2025</v>
      </c>
      <c r="F779" s="15">
        <f t="shared" si="2"/>
        <v>2</v>
      </c>
      <c r="G779" s="15">
        <f t="shared" si="3"/>
        <v>11</v>
      </c>
    </row>
    <row r="780">
      <c r="A780" s="10" t="s">
        <v>27</v>
      </c>
      <c r="B780" s="9">
        <f t="shared" si="4"/>
        <v>45699</v>
      </c>
      <c r="C780" s="77" t="s">
        <v>1571</v>
      </c>
      <c r="D780" s="13">
        <f>SUMIFS('Lançamentos de despesas'!$K:$K,'Lançamentos de despesas'!$C:$C,B780,'Lançamentos de despesas'!$G:$G,A780,'Lançamentos de despesas'!$E:$E,"pago")</f>
        <v>525.08</v>
      </c>
      <c r="E780" s="15">
        <f t="shared" si="1"/>
        <v>2025</v>
      </c>
      <c r="F780" s="15">
        <f t="shared" si="2"/>
        <v>2</v>
      </c>
      <c r="G780" s="15">
        <f t="shared" si="3"/>
        <v>11</v>
      </c>
    </row>
    <row r="781">
      <c r="A781" s="10" t="s">
        <v>27</v>
      </c>
      <c r="B781" s="9">
        <f t="shared" si="4"/>
        <v>45699</v>
      </c>
      <c r="C781" s="77" t="s">
        <v>1572</v>
      </c>
      <c r="D781" s="13">
        <f>D778+D779-D780</f>
        <v>109116.369</v>
      </c>
      <c r="E781" s="15">
        <f t="shared" si="1"/>
        <v>2025</v>
      </c>
      <c r="F781" s="15">
        <f t="shared" si="2"/>
        <v>2</v>
      </c>
      <c r="G781" s="15">
        <f t="shared" si="3"/>
        <v>11</v>
      </c>
    </row>
    <row r="782">
      <c r="A782" s="10" t="s">
        <v>27</v>
      </c>
      <c r="B782" s="9">
        <f t="shared" si="4"/>
        <v>45700</v>
      </c>
      <c r="C782" s="77" t="s">
        <v>1569</v>
      </c>
      <c r="D782" s="12">
        <f>D781</f>
        <v>109116.369</v>
      </c>
      <c r="E782" s="15">
        <f t="shared" si="1"/>
        <v>2025</v>
      </c>
      <c r="F782" s="15">
        <f t="shared" si="2"/>
        <v>2</v>
      </c>
      <c r="G782" s="15">
        <f t="shared" si="3"/>
        <v>12</v>
      </c>
    </row>
    <row r="783">
      <c r="A783" s="10" t="s">
        <v>27</v>
      </c>
      <c r="B783" s="9">
        <f t="shared" si="4"/>
        <v>45700</v>
      </c>
      <c r="C783" s="77" t="s">
        <v>1570</v>
      </c>
      <c r="D783" s="13">
        <f>SUMIFS('Lançamentos de receitas'!$E:$E,'Lançamentos de receitas'!$A:$A,B783,'Lançamentos de receitas'!$C:$C,A783,'Lançamentos de receitas'!$F:$F,"TRANSFERÊNCIA")</f>
        <v>1488.22</v>
      </c>
      <c r="E783" s="15">
        <f t="shared" si="1"/>
        <v>2025</v>
      </c>
      <c r="F783" s="15">
        <f t="shared" si="2"/>
        <v>2</v>
      </c>
      <c r="G783" s="15">
        <f t="shared" si="3"/>
        <v>12</v>
      </c>
    </row>
    <row r="784">
      <c r="A784" s="10" t="s">
        <v>27</v>
      </c>
      <c r="B784" s="9">
        <f t="shared" si="4"/>
        <v>45700</v>
      </c>
      <c r="C784" s="77" t="s">
        <v>1571</v>
      </c>
      <c r="D784" s="13">
        <f>SUMIFS('Lançamentos de despesas'!$K:$K,'Lançamentos de despesas'!$C:$C,B784,'Lançamentos de despesas'!$G:$G,A784,'Lançamentos de despesas'!$E:$E,"pago")</f>
        <v>0</v>
      </c>
      <c r="E784" s="15">
        <f t="shared" si="1"/>
        <v>2025</v>
      </c>
      <c r="F784" s="15">
        <f t="shared" si="2"/>
        <v>2</v>
      </c>
      <c r="G784" s="15">
        <f t="shared" si="3"/>
        <v>12</v>
      </c>
    </row>
    <row r="785">
      <c r="A785" s="10" t="s">
        <v>27</v>
      </c>
      <c r="B785" s="9">
        <f t="shared" si="4"/>
        <v>45700</v>
      </c>
      <c r="C785" s="77" t="s">
        <v>1572</v>
      </c>
      <c r="D785" s="13">
        <f>D782+D783-D784</f>
        <v>110604.589</v>
      </c>
      <c r="E785" s="15">
        <f t="shared" si="1"/>
        <v>2025</v>
      </c>
      <c r="F785" s="15">
        <f t="shared" si="2"/>
        <v>2</v>
      </c>
      <c r="G785" s="15">
        <f t="shared" si="3"/>
        <v>12</v>
      </c>
    </row>
    <row r="786">
      <c r="A786" s="10" t="s">
        <v>27</v>
      </c>
      <c r="B786" s="9">
        <f t="shared" si="4"/>
        <v>45701</v>
      </c>
      <c r="C786" s="77" t="s">
        <v>1569</v>
      </c>
      <c r="D786" s="12">
        <f>D785</f>
        <v>110604.589</v>
      </c>
      <c r="E786" s="15">
        <f t="shared" si="1"/>
        <v>2025</v>
      </c>
      <c r="F786" s="15">
        <f t="shared" si="2"/>
        <v>2</v>
      </c>
      <c r="G786" s="15">
        <f t="shared" si="3"/>
        <v>13</v>
      </c>
    </row>
    <row r="787">
      <c r="A787" s="10" t="s">
        <v>27</v>
      </c>
      <c r="B787" s="9">
        <f t="shared" si="4"/>
        <v>45701</v>
      </c>
      <c r="C787" s="77" t="s">
        <v>1570</v>
      </c>
      <c r="D787" s="13">
        <f>SUMIFS('Lançamentos de receitas'!$E:$E,'Lançamentos de receitas'!$A:$A,B787,'Lançamentos de receitas'!$C:$C,A787,'Lançamentos de receitas'!$F:$F,"TRANSFERÊNCIA")</f>
        <v>1689.89</v>
      </c>
      <c r="E787" s="15">
        <f t="shared" si="1"/>
        <v>2025</v>
      </c>
      <c r="F787" s="15">
        <f t="shared" si="2"/>
        <v>2</v>
      </c>
      <c r="G787" s="15">
        <f t="shared" si="3"/>
        <v>13</v>
      </c>
    </row>
    <row r="788">
      <c r="A788" s="10" t="s">
        <v>27</v>
      </c>
      <c r="B788" s="9">
        <f t="shared" si="4"/>
        <v>45701</v>
      </c>
      <c r="C788" s="77" t="s">
        <v>1571</v>
      </c>
      <c r="D788" s="13">
        <f>SUMIFS('Lançamentos de despesas'!$K:$K,'Lançamentos de despesas'!$C:$C,B788,'Lançamentos de despesas'!$G:$G,A788,'Lançamentos de despesas'!$E:$E,"pago")</f>
        <v>0</v>
      </c>
      <c r="E788" s="15">
        <f t="shared" si="1"/>
        <v>2025</v>
      </c>
      <c r="F788" s="15">
        <f t="shared" si="2"/>
        <v>2</v>
      </c>
      <c r="G788" s="15">
        <f t="shared" si="3"/>
        <v>13</v>
      </c>
    </row>
    <row r="789">
      <c r="A789" s="10" t="s">
        <v>27</v>
      </c>
      <c r="B789" s="9">
        <f t="shared" si="4"/>
        <v>45701</v>
      </c>
      <c r="C789" s="77" t="s">
        <v>1572</v>
      </c>
      <c r="D789" s="13">
        <f>D786+D787-D788</f>
        <v>112294.479</v>
      </c>
      <c r="E789" s="15">
        <f t="shared" si="1"/>
        <v>2025</v>
      </c>
      <c r="F789" s="15">
        <f t="shared" si="2"/>
        <v>2</v>
      </c>
      <c r="G789" s="15">
        <f t="shared" si="3"/>
        <v>13</v>
      </c>
    </row>
    <row r="790">
      <c r="A790" s="10" t="s">
        <v>27</v>
      </c>
      <c r="B790" s="9">
        <f t="shared" si="4"/>
        <v>45702</v>
      </c>
      <c r="C790" s="77" t="s">
        <v>1569</v>
      </c>
      <c r="D790" s="12">
        <f>D789</f>
        <v>112294.479</v>
      </c>
      <c r="E790" s="15">
        <f t="shared" si="1"/>
        <v>2025</v>
      </c>
      <c r="F790" s="15">
        <f t="shared" si="2"/>
        <v>2</v>
      </c>
      <c r="G790" s="15">
        <f t="shared" si="3"/>
        <v>14</v>
      </c>
    </row>
    <row r="791">
      <c r="A791" s="10" t="s">
        <v>27</v>
      </c>
      <c r="B791" s="9">
        <f t="shared" si="4"/>
        <v>45702</v>
      </c>
      <c r="C791" s="77" t="s">
        <v>1570</v>
      </c>
      <c r="D791" s="13">
        <f>SUMIFS('Lançamentos de receitas'!$E:$E,'Lançamentos de receitas'!$A:$A,B791,'Lançamentos de receitas'!$C:$C,A791,'Lançamentos de receitas'!$F:$F,"TRANSFERÊNCIA")</f>
        <v>602.72</v>
      </c>
      <c r="E791" s="15">
        <f t="shared" si="1"/>
        <v>2025</v>
      </c>
      <c r="F791" s="15">
        <f t="shared" si="2"/>
        <v>2</v>
      </c>
      <c r="G791" s="15">
        <f t="shared" si="3"/>
        <v>14</v>
      </c>
    </row>
    <row r="792">
      <c r="A792" s="10" t="s">
        <v>27</v>
      </c>
      <c r="B792" s="9">
        <f t="shared" si="4"/>
        <v>45702</v>
      </c>
      <c r="C792" s="77" t="s">
        <v>1571</v>
      </c>
      <c r="D792" s="13">
        <f>SUMIFS('Lançamentos de despesas'!$K:$K,'Lançamentos de despesas'!$C:$C,B792,'Lançamentos de despesas'!$G:$G,A792,'Lançamentos de despesas'!$E:$E,"pago")</f>
        <v>7971.93</v>
      </c>
      <c r="E792" s="15">
        <f t="shared" si="1"/>
        <v>2025</v>
      </c>
      <c r="F792" s="15">
        <f t="shared" si="2"/>
        <v>2</v>
      </c>
      <c r="G792" s="15">
        <f t="shared" si="3"/>
        <v>14</v>
      </c>
    </row>
    <row r="793">
      <c r="A793" s="10" t="s">
        <v>27</v>
      </c>
      <c r="B793" s="9">
        <f t="shared" si="4"/>
        <v>45702</v>
      </c>
      <c r="C793" s="77" t="s">
        <v>1572</v>
      </c>
      <c r="D793" s="13">
        <f>D790+D791-D792</f>
        <v>104925.269</v>
      </c>
      <c r="E793" s="15">
        <f t="shared" si="1"/>
        <v>2025</v>
      </c>
      <c r="F793" s="15">
        <f t="shared" si="2"/>
        <v>2</v>
      </c>
      <c r="G793" s="15">
        <f t="shared" si="3"/>
        <v>14</v>
      </c>
    </row>
    <row r="794">
      <c r="A794" s="10" t="s">
        <v>27</v>
      </c>
      <c r="B794" s="9">
        <f t="shared" si="4"/>
        <v>45703</v>
      </c>
      <c r="C794" s="77" t="s">
        <v>1569</v>
      </c>
      <c r="D794" s="12">
        <f>D793</f>
        <v>104925.269</v>
      </c>
      <c r="E794" s="15">
        <f t="shared" si="1"/>
        <v>2025</v>
      </c>
      <c r="F794" s="15">
        <f t="shared" si="2"/>
        <v>2</v>
      </c>
      <c r="G794" s="15">
        <f t="shared" si="3"/>
        <v>15</v>
      </c>
    </row>
    <row r="795">
      <c r="A795" s="10" t="s">
        <v>27</v>
      </c>
      <c r="B795" s="9">
        <f t="shared" si="4"/>
        <v>45703</v>
      </c>
      <c r="C795" s="77" t="s">
        <v>1570</v>
      </c>
      <c r="D795" s="13">
        <f>SUMIFS('Lançamentos de receitas'!$E:$E,'Lançamentos de receitas'!$A:$A,B795,'Lançamentos de receitas'!$C:$C,A795,'Lançamentos de receitas'!$F:$F,"TRANSFERÊNCIA")</f>
        <v>1506.39</v>
      </c>
      <c r="E795" s="15">
        <f t="shared" si="1"/>
        <v>2025</v>
      </c>
      <c r="F795" s="15">
        <f t="shared" si="2"/>
        <v>2</v>
      </c>
      <c r="G795" s="15">
        <f t="shared" si="3"/>
        <v>15</v>
      </c>
    </row>
    <row r="796">
      <c r="A796" s="10" t="s">
        <v>27</v>
      </c>
      <c r="B796" s="9">
        <f t="shared" si="4"/>
        <v>45703</v>
      </c>
      <c r="C796" s="77" t="s">
        <v>1571</v>
      </c>
      <c r="D796" s="13">
        <f>SUMIFS('Lançamentos de despesas'!$K:$K,'Lançamentos de despesas'!$C:$C,B796,'Lançamentos de despesas'!$G:$G,A796,'Lançamentos de despesas'!$E:$E,"pago")</f>
        <v>0</v>
      </c>
      <c r="E796" s="15">
        <f t="shared" si="1"/>
        <v>2025</v>
      </c>
      <c r="F796" s="15">
        <f t="shared" si="2"/>
        <v>2</v>
      </c>
      <c r="G796" s="15">
        <f t="shared" si="3"/>
        <v>15</v>
      </c>
    </row>
    <row r="797">
      <c r="A797" s="10" t="s">
        <v>27</v>
      </c>
      <c r="B797" s="9">
        <f t="shared" si="4"/>
        <v>45703</v>
      </c>
      <c r="C797" s="77" t="s">
        <v>1572</v>
      </c>
      <c r="D797" s="13">
        <f>D794+D795-D796</f>
        <v>106431.659</v>
      </c>
      <c r="E797" s="15">
        <f t="shared" si="1"/>
        <v>2025</v>
      </c>
      <c r="F797" s="15">
        <f t="shared" si="2"/>
        <v>2</v>
      </c>
      <c r="G797" s="15">
        <f t="shared" si="3"/>
        <v>15</v>
      </c>
    </row>
    <row r="798">
      <c r="A798" s="10" t="s">
        <v>27</v>
      </c>
      <c r="B798" s="9">
        <f t="shared" si="4"/>
        <v>45704</v>
      </c>
      <c r="C798" s="77" t="s">
        <v>1569</v>
      </c>
      <c r="D798" s="12">
        <f>D797</f>
        <v>106431.659</v>
      </c>
      <c r="E798" s="15">
        <f t="shared" si="1"/>
        <v>2025</v>
      </c>
      <c r="F798" s="15">
        <f t="shared" si="2"/>
        <v>2</v>
      </c>
      <c r="G798" s="15">
        <f t="shared" si="3"/>
        <v>16</v>
      </c>
    </row>
    <row r="799">
      <c r="A799" s="10" t="s">
        <v>27</v>
      </c>
      <c r="B799" s="9">
        <f t="shared" si="4"/>
        <v>45704</v>
      </c>
      <c r="C799" s="77" t="s">
        <v>1570</v>
      </c>
      <c r="D799" s="13">
        <f>SUMIFS('Lançamentos de receitas'!$E:$E,'Lançamentos de receitas'!$A:$A,B799,'Lançamentos de receitas'!$C:$C,A799,'Lançamentos de receitas'!$F:$F,"TRANSFERÊNCIA")</f>
        <v>575.98</v>
      </c>
      <c r="E799" s="15">
        <f t="shared" si="1"/>
        <v>2025</v>
      </c>
      <c r="F799" s="15">
        <f t="shared" si="2"/>
        <v>2</v>
      </c>
      <c r="G799" s="15">
        <f t="shared" si="3"/>
        <v>16</v>
      </c>
    </row>
    <row r="800">
      <c r="A800" s="10" t="s">
        <v>27</v>
      </c>
      <c r="B800" s="9">
        <f t="shared" si="4"/>
        <v>45704</v>
      </c>
      <c r="C800" s="77" t="s">
        <v>1571</v>
      </c>
      <c r="D800" s="13">
        <f>SUMIFS('Lançamentos de despesas'!$K:$K,'Lançamentos de despesas'!$C:$C,B800,'Lançamentos de despesas'!$G:$G,A800,'Lançamentos de despesas'!$E:$E,"pago")</f>
        <v>0</v>
      </c>
      <c r="E800" s="15">
        <f t="shared" si="1"/>
        <v>2025</v>
      </c>
      <c r="F800" s="15">
        <f t="shared" si="2"/>
        <v>2</v>
      </c>
      <c r="G800" s="15">
        <f t="shared" si="3"/>
        <v>16</v>
      </c>
    </row>
    <row r="801">
      <c r="A801" s="10" t="s">
        <v>27</v>
      </c>
      <c r="B801" s="9">
        <f t="shared" si="4"/>
        <v>45704</v>
      </c>
      <c r="C801" s="77" t="s">
        <v>1572</v>
      </c>
      <c r="D801" s="13">
        <f>D798+D799-D800</f>
        <v>107007.639</v>
      </c>
      <c r="E801" s="15">
        <f t="shared" si="1"/>
        <v>2025</v>
      </c>
      <c r="F801" s="15">
        <f t="shared" si="2"/>
        <v>2</v>
      </c>
      <c r="G801" s="15">
        <f t="shared" si="3"/>
        <v>16</v>
      </c>
    </row>
    <row r="802">
      <c r="A802" s="10" t="s">
        <v>27</v>
      </c>
      <c r="B802" s="9">
        <f t="shared" si="4"/>
        <v>45705</v>
      </c>
      <c r="C802" s="77" t="s">
        <v>1569</v>
      </c>
      <c r="D802" s="12">
        <f>D801</f>
        <v>107007.639</v>
      </c>
      <c r="E802" s="15">
        <f t="shared" si="1"/>
        <v>2025</v>
      </c>
      <c r="F802" s="15">
        <f t="shared" si="2"/>
        <v>2</v>
      </c>
      <c r="G802" s="15">
        <f t="shared" si="3"/>
        <v>17</v>
      </c>
    </row>
    <row r="803">
      <c r="A803" s="10" t="s">
        <v>27</v>
      </c>
      <c r="B803" s="9">
        <f t="shared" si="4"/>
        <v>45705</v>
      </c>
      <c r="C803" s="77" t="s">
        <v>1570</v>
      </c>
      <c r="D803" s="13">
        <f>SUMIFS('Lançamentos de receitas'!$E:$E,'Lançamentos de receitas'!$A:$A,B803,'Lançamentos de receitas'!$C:$C,A803,'Lançamentos de receitas'!$F:$F,"TRANSFERÊNCIA")</f>
        <v>493.18</v>
      </c>
      <c r="E803" s="15">
        <f t="shared" si="1"/>
        <v>2025</v>
      </c>
      <c r="F803" s="15">
        <f t="shared" si="2"/>
        <v>2</v>
      </c>
      <c r="G803" s="15">
        <f t="shared" si="3"/>
        <v>17</v>
      </c>
    </row>
    <row r="804">
      <c r="A804" s="10" t="s">
        <v>27</v>
      </c>
      <c r="B804" s="9">
        <f t="shared" si="4"/>
        <v>45705</v>
      </c>
      <c r="C804" s="77" t="s">
        <v>1571</v>
      </c>
      <c r="D804" s="13">
        <f>SUMIFS('Lançamentos de despesas'!$K:$K,'Lançamentos de despesas'!$C:$C,B804,'Lançamentos de despesas'!$G:$G,A804,'Lançamentos de despesas'!$E:$E,"pago")</f>
        <v>0</v>
      </c>
      <c r="E804" s="15">
        <f t="shared" si="1"/>
        <v>2025</v>
      </c>
      <c r="F804" s="15">
        <f t="shared" si="2"/>
        <v>2</v>
      </c>
      <c r="G804" s="15">
        <f t="shared" si="3"/>
        <v>17</v>
      </c>
    </row>
    <row r="805">
      <c r="A805" s="10" t="s">
        <v>27</v>
      </c>
      <c r="B805" s="9">
        <f t="shared" si="4"/>
        <v>45705</v>
      </c>
      <c r="C805" s="77" t="s">
        <v>1572</v>
      </c>
      <c r="D805" s="13">
        <f>D802+D803-D804</f>
        <v>107500.819</v>
      </c>
      <c r="E805" s="15">
        <f t="shared" si="1"/>
        <v>2025</v>
      </c>
      <c r="F805" s="15">
        <f t="shared" si="2"/>
        <v>2</v>
      </c>
      <c r="G805" s="15">
        <f t="shared" si="3"/>
        <v>17</v>
      </c>
    </row>
    <row r="806">
      <c r="A806" s="10" t="s">
        <v>27</v>
      </c>
      <c r="B806" s="9">
        <f t="shared" si="4"/>
        <v>45706</v>
      </c>
      <c r="C806" s="77" t="s">
        <v>1569</v>
      </c>
      <c r="D806" s="12">
        <f>D805</f>
        <v>107500.819</v>
      </c>
      <c r="E806" s="15">
        <f t="shared" si="1"/>
        <v>2025</v>
      </c>
      <c r="F806" s="15">
        <f t="shared" si="2"/>
        <v>2</v>
      </c>
      <c r="G806" s="15">
        <f t="shared" si="3"/>
        <v>18</v>
      </c>
    </row>
    <row r="807">
      <c r="A807" s="10" t="s">
        <v>27</v>
      </c>
      <c r="B807" s="9">
        <f t="shared" si="4"/>
        <v>45706</v>
      </c>
      <c r="C807" s="77" t="s">
        <v>1570</v>
      </c>
      <c r="D807" s="13">
        <f>SUMIFS('Lançamentos de receitas'!$E:$E,'Lançamentos de receitas'!$A:$A,B807,'Lançamentos de receitas'!$C:$C,A807,'Lançamentos de receitas'!$F:$F,"TRANSFERÊNCIA")</f>
        <v>702.96</v>
      </c>
      <c r="E807" s="15">
        <f t="shared" si="1"/>
        <v>2025</v>
      </c>
      <c r="F807" s="15">
        <f t="shared" si="2"/>
        <v>2</v>
      </c>
      <c r="G807" s="15">
        <f t="shared" si="3"/>
        <v>18</v>
      </c>
    </row>
    <row r="808">
      <c r="A808" s="10" t="s">
        <v>27</v>
      </c>
      <c r="B808" s="9">
        <f t="shared" si="4"/>
        <v>45706</v>
      </c>
      <c r="C808" s="77" t="s">
        <v>1571</v>
      </c>
      <c r="D808" s="13">
        <f>SUMIFS('Lançamentos de despesas'!$K:$K,'Lançamentos de despesas'!$C:$C,B808,'Lançamentos de despesas'!$G:$G,A808,'Lançamentos de despesas'!$E:$E,"pago")</f>
        <v>3362.03</v>
      </c>
      <c r="E808" s="15">
        <f t="shared" si="1"/>
        <v>2025</v>
      </c>
      <c r="F808" s="15">
        <f t="shared" si="2"/>
        <v>2</v>
      </c>
      <c r="G808" s="15">
        <f t="shared" si="3"/>
        <v>18</v>
      </c>
    </row>
    <row r="809">
      <c r="A809" s="10" t="s">
        <v>27</v>
      </c>
      <c r="B809" s="9">
        <f t="shared" si="4"/>
        <v>45706</v>
      </c>
      <c r="C809" s="77" t="s">
        <v>1572</v>
      </c>
      <c r="D809" s="13">
        <f>D806+D807-D808</f>
        <v>104841.749</v>
      </c>
      <c r="E809" s="15">
        <f t="shared" si="1"/>
        <v>2025</v>
      </c>
      <c r="F809" s="15">
        <f t="shared" si="2"/>
        <v>2</v>
      </c>
      <c r="G809" s="15">
        <f t="shared" si="3"/>
        <v>18</v>
      </c>
    </row>
    <row r="810">
      <c r="A810" s="10" t="s">
        <v>27</v>
      </c>
      <c r="B810" s="9">
        <f t="shared" si="4"/>
        <v>45707</v>
      </c>
      <c r="C810" s="77" t="s">
        <v>1569</v>
      </c>
      <c r="D810" s="12">
        <f>D809</f>
        <v>104841.749</v>
      </c>
      <c r="E810" s="15">
        <f t="shared" si="1"/>
        <v>2025</v>
      </c>
      <c r="F810" s="15">
        <f t="shared" si="2"/>
        <v>2</v>
      </c>
      <c r="G810" s="15">
        <f t="shared" si="3"/>
        <v>19</v>
      </c>
    </row>
    <row r="811">
      <c r="A811" s="10" t="s">
        <v>27</v>
      </c>
      <c r="B811" s="9">
        <f t="shared" si="4"/>
        <v>45707</v>
      </c>
      <c r="C811" s="77" t="s">
        <v>1570</v>
      </c>
      <c r="D811" s="13">
        <f>SUMIFS('Lançamentos de receitas'!$E:$E,'Lançamentos de receitas'!$A:$A,B811,'Lançamentos de receitas'!$C:$C,A811,'Lançamentos de receitas'!$F:$F,"TRANSFERÊNCIA")</f>
        <v>1869.74</v>
      </c>
      <c r="E811" s="15">
        <f t="shared" si="1"/>
        <v>2025</v>
      </c>
      <c r="F811" s="15">
        <f t="shared" si="2"/>
        <v>2</v>
      </c>
      <c r="G811" s="15">
        <f t="shared" si="3"/>
        <v>19</v>
      </c>
    </row>
    <row r="812">
      <c r="A812" s="10" t="s">
        <v>27</v>
      </c>
      <c r="B812" s="9">
        <f t="shared" si="4"/>
        <v>45707</v>
      </c>
      <c r="C812" s="77" t="s">
        <v>1571</v>
      </c>
      <c r="D812" s="13">
        <f>SUMIFS('Lançamentos de despesas'!$K:$K,'Lançamentos de despesas'!$C:$C,B812,'Lançamentos de despesas'!$G:$G,A812,'Lançamentos de despesas'!$E:$E,"pago")</f>
        <v>0</v>
      </c>
      <c r="E812" s="15">
        <f t="shared" si="1"/>
        <v>2025</v>
      </c>
      <c r="F812" s="15">
        <f t="shared" si="2"/>
        <v>2</v>
      </c>
      <c r="G812" s="15">
        <f t="shared" si="3"/>
        <v>19</v>
      </c>
    </row>
    <row r="813">
      <c r="A813" s="10" t="s">
        <v>27</v>
      </c>
      <c r="B813" s="9">
        <f t="shared" si="4"/>
        <v>45707</v>
      </c>
      <c r="C813" s="77" t="s">
        <v>1572</v>
      </c>
      <c r="D813" s="13">
        <f>D810+D811-D812</f>
        <v>106711.489</v>
      </c>
      <c r="E813" s="15">
        <f t="shared" si="1"/>
        <v>2025</v>
      </c>
      <c r="F813" s="15">
        <f t="shared" si="2"/>
        <v>2</v>
      </c>
      <c r="G813" s="15">
        <f t="shared" si="3"/>
        <v>19</v>
      </c>
    </row>
    <row r="814">
      <c r="A814" s="10" t="s">
        <v>27</v>
      </c>
      <c r="B814" s="9">
        <f t="shared" si="4"/>
        <v>45708</v>
      </c>
      <c r="C814" s="77" t="s">
        <v>1569</v>
      </c>
      <c r="D814" s="12">
        <f>D813</f>
        <v>106711.489</v>
      </c>
      <c r="E814" s="15">
        <f t="shared" si="1"/>
        <v>2025</v>
      </c>
      <c r="F814" s="15">
        <f t="shared" si="2"/>
        <v>2</v>
      </c>
      <c r="G814" s="15">
        <f t="shared" si="3"/>
        <v>20</v>
      </c>
    </row>
    <row r="815">
      <c r="A815" s="10" t="s">
        <v>27</v>
      </c>
      <c r="B815" s="9">
        <f t="shared" si="4"/>
        <v>45708</v>
      </c>
      <c r="C815" s="77" t="s">
        <v>1570</v>
      </c>
      <c r="D815" s="13">
        <f>SUMIFS('Lançamentos de receitas'!$E:$E,'Lançamentos de receitas'!$A:$A,B815,'Lançamentos de receitas'!$C:$C,A815,'Lançamentos de receitas'!$F:$F,"TRANSFERÊNCIA")</f>
        <v>1185.78</v>
      </c>
      <c r="E815" s="15">
        <f t="shared" si="1"/>
        <v>2025</v>
      </c>
      <c r="F815" s="15">
        <f t="shared" si="2"/>
        <v>2</v>
      </c>
      <c r="G815" s="15">
        <f t="shared" si="3"/>
        <v>20</v>
      </c>
    </row>
    <row r="816">
      <c r="A816" s="10" t="s">
        <v>27</v>
      </c>
      <c r="B816" s="9">
        <f t="shared" si="4"/>
        <v>45708</v>
      </c>
      <c r="C816" s="77" t="s">
        <v>1571</v>
      </c>
      <c r="D816" s="13">
        <f>SUMIFS('Lançamentos de despesas'!$K:$K,'Lançamentos de despesas'!$C:$C,B816,'Lançamentos de despesas'!$G:$G,A816,'Lançamentos de despesas'!$E:$E,"pago")</f>
        <v>26347.08</v>
      </c>
      <c r="E816" s="15">
        <f t="shared" si="1"/>
        <v>2025</v>
      </c>
      <c r="F816" s="15">
        <f t="shared" si="2"/>
        <v>2</v>
      </c>
      <c r="G816" s="15">
        <f t="shared" si="3"/>
        <v>20</v>
      </c>
    </row>
    <row r="817">
      <c r="A817" s="10" t="s">
        <v>27</v>
      </c>
      <c r="B817" s="9">
        <f t="shared" si="4"/>
        <v>45708</v>
      </c>
      <c r="C817" s="77" t="s">
        <v>1572</v>
      </c>
      <c r="D817" s="13">
        <f>D814+D815-D816</f>
        <v>81550.189</v>
      </c>
      <c r="E817" s="15">
        <f t="shared" si="1"/>
        <v>2025</v>
      </c>
      <c r="F817" s="15">
        <f t="shared" si="2"/>
        <v>2</v>
      </c>
      <c r="G817" s="15">
        <f t="shared" si="3"/>
        <v>20</v>
      </c>
    </row>
    <row r="818">
      <c r="A818" s="10" t="s">
        <v>27</v>
      </c>
      <c r="B818" s="9">
        <f t="shared" si="4"/>
        <v>45709</v>
      </c>
      <c r="C818" s="77" t="s">
        <v>1569</v>
      </c>
      <c r="D818" s="12">
        <f>D817</f>
        <v>81550.189</v>
      </c>
      <c r="E818" s="15">
        <f t="shared" si="1"/>
        <v>2025</v>
      </c>
      <c r="F818" s="15">
        <f t="shared" si="2"/>
        <v>2</v>
      </c>
      <c r="G818" s="15">
        <f t="shared" si="3"/>
        <v>21</v>
      </c>
    </row>
    <row r="819">
      <c r="A819" s="10" t="s">
        <v>27</v>
      </c>
      <c r="B819" s="9">
        <f t="shared" si="4"/>
        <v>45709</v>
      </c>
      <c r="C819" s="77" t="s">
        <v>1570</v>
      </c>
      <c r="D819" s="13">
        <f>SUMIFS('Lançamentos de receitas'!$E:$E,'Lançamentos de receitas'!$A:$A,B819,'Lançamentos de receitas'!$C:$C,A819,'Lançamentos de receitas'!$F:$F,"TRANSFERÊNCIA")</f>
        <v>5565.92</v>
      </c>
      <c r="E819" s="15">
        <f t="shared" si="1"/>
        <v>2025</v>
      </c>
      <c r="F819" s="15">
        <f t="shared" si="2"/>
        <v>2</v>
      </c>
      <c r="G819" s="15">
        <f t="shared" si="3"/>
        <v>21</v>
      </c>
    </row>
    <row r="820">
      <c r="A820" s="10" t="s">
        <v>27</v>
      </c>
      <c r="B820" s="9">
        <f t="shared" si="4"/>
        <v>45709</v>
      </c>
      <c r="C820" s="77" t="s">
        <v>1571</v>
      </c>
      <c r="D820" s="13">
        <f>SUMIFS('Lançamentos de despesas'!$K:$K,'Lançamentos de despesas'!$C:$C,B820,'Lançamentos de despesas'!$G:$G,A820,'Lançamentos de despesas'!$E:$E,"pago")</f>
        <v>77453.22</v>
      </c>
      <c r="E820" s="15">
        <f t="shared" si="1"/>
        <v>2025</v>
      </c>
      <c r="F820" s="15">
        <f t="shared" si="2"/>
        <v>2</v>
      </c>
      <c r="G820" s="15">
        <f t="shared" si="3"/>
        <v>21</v>
      </c>
    </row>
    <row r="821">
      <c r="A821" s="10" t="s">
        <v>27</v>
      </c>
      <c r="B821" s="9">
        <f t="shared" si="4"/>
        <v>45709</v>
      </c>
      <c r="C821" s="77" t="s">
        <v>1572</v>
      </c>
      <c r="D821" s="13">
        <f>D818+D819-D820</f>
        <v>9662.889</v>
      </c>
      <c r="E821" s="15">
        <f t="shared" si="1"/>
        <v>2025</v>
      </c>
      <c r="F821" s="15">
        <f t="shared" si="2"/>
        <v>2</v>
      </c>
      <c r="G821" s="15">
        <f t="shared" si="3"/>
        <v>21</v>
      </c>
    </row>
    <row r="822">
      <c r="A822" s="10" t="s">
        <v>27</v>
      </c>
      <c r="B822" s="9">
        <f t="shared" si="4"/>
        <v>45710</v>
      </c>
      <c r="C822" s="77" t="s">
        <v>1569</v>
      </c>
      <c r="D822" s="12">
        <f>D821</f>
        <v>9662.889</v>
      </c>
      <c r="E822" s="15">
        <f t="shared" si="1"/>
        <v>2025</v>
      </c>
      <c r="F822" s="15">
        <f t="shared" si="2"/>
        <v>2</v>
      </c>
      <c r="G822" s="15">
        <f t="shared" si="3"/>
        <v>22</v>
      </c>
    </row>
    <row r="823">
      <c r="A823" s="10" t="s">
        <v>27</v>
      </c>
      <c r="B823" s="9">
        <f t="shared" si="4"/>
        <v>45710</v>
      </c>
      <c r="C823" s="77" t="s">
        <v>1570</v>
      </c>
      <c r="D823" s="13">
        <f>SUMIFS('Lançamentos de receitas'!$E:$E,'Lançamentos de receitas'!$A:$A,B823,'Lançamentos de receitas'!$C:$C,A823,'Lançamentos de receitas'!$F:$F,"TRANSFERÊNCIA")</f>
        <v>900.53</v>
      </c>
      <c r="E823" s="15">
        <f t="shared" si="1"/>
        <v>2025</v>
      </c>
      <c r="F823" s="15">
        <f t="shared" si="2"/>
        <v>2</v>
      </c>
      <c r="G823" s="15">
        <f t="shared" si="3"/>
        <v>22</v>
      </c>
    </row>
    <row r="824">
      <c r="A824" s="10" t="s">
        <v>27</v>
      </c>
      <c r="B824" s="9">
        <f t="shared" si="4"/>
        <v>45710</v>
      </c>
      <c r="C824" s="77" t="s">
        <v>1571</v>
      </c>
      <c r="D824" s="13">
        <f>SUMIFS('Lançamentos de despesas'!$K:$K,'Lançamentos de despesas'!$C:$C,B824,'Lançamentos de despesas'!$G:$G,A824,'Lançamentos de despesas'!$E:$E,"pago")</f>
        <v>0</v>
      </c>
      <c r="E824" s="15">
        <f t="shared" si="1"/>
        <v>2025</v>
      </c>
      <c r="F824" s="15">
        <f t="shared" si="2"/>
        <v>2</v>
      </c>
      <c r="G824" s="15">
        <f t="shared" si="3"/>
        <v>22</v>
      </c>
    </row>
    <row r="825">
      <c r="A825" s="10" t="s">
        <v>27</v>
      </c>
      <c r="B825" s="9">
        <f t="shared" si="4"/>
        <v>45710</v>
      </c>
      <c r="C825" s="77" t="s">
        <v>1572</v>
      </c>
      <c r="D825" s="13">
        <f>D822+D823-D824</f>
        <v>10563.419</v>
      </c>
      <c r="E825" s="15">
        <f t="shared" si="1"/>
        <v>2025</v>
      </c>
      <c r="F825" s="15">
        <f t="shared" si="2"/>
        <v>2</v>
      </c>
      <c r="G825" s="15">
        <f t="shared" si="3"/>
        <v>22</v>
      </c>
    </row>
    <row r="826">
      <c r="A826" s="10" t="s">
        <v>27</v>
      </c>
      <c r="B826" s="9">
        <f t="shared" si="4"/>
        <v>45711</v>
      </c>
      <c r="C826" s="77" t="s">
        <v>1569</v>
      </c>
      <c r="D826" s="12">
        <f>D825</f>
        <v>10563.419</v>
      </c>
      <c r="E826" s="15">
        <f t="shared" si="1"/>
        <v>2025</v>
      </c>
      <c r="F826" s="15">
        <f t="shared" si="2"/>
        <v>2</v>
      </c>
      <c r="G826" s="15">
        <f t="shared" si="3"/>
        <v>23</v>
      </c>
    </row>
    <row r="827">
      <c r="A827" s="10" t="s">
        <v>27</v>
      </c>
      <c r="B827" s="9">
        <f t="shared" si="4"/>
        <v>45711</v>
      </c>
      <c r="C827" s="77" t="s">
        <v>1570</v>
      </c>
      <c r="D827" s="13">
        <f>SUMIFS('Lançamentos de receitas'!$E:$E,'Lançamentos de receitas'!$A:$A,B827,'Lançamentos de receitas'!$C:$C,A827,'Lançamentos de receitas'!$F:$F,"TRANSFERÊNCIA")</f>
        <v>1324.27</v>
      </c>
      <c r="E827" s="15">
        <f t="shared" si="1"/>
        <v>2025</v>
      </c>
      <c r="F827" s="15">
        <f t="shared" si="2"/>
        <v>2</v>
      </c>
      <c r="G827" s="15">
        <f t="shared" si="3"/>
        <v>23</v>
      </c>
    </row>
    <row r="828">
      <c r="A828" s="10" t="s">
        <v>27</v>
      </c>
      <c r="B828" s="9">
        <f t="shared" si="4"/>
        <v>45711</v>
      </c>
      <c r="C828" s="77" t="s">
        <v>1571</v>
      </c>
      <c r="D828" s="13">
        <f>SUMIFS('Lançamentos de despesas'!$K:$K,'Lançamentos de despesas'!$C:$C,B828,'Lançamentos de despesas'!$G:$G,A828,'Lançamentos de despesas'!$E:$E,"pago")</f>
        <v>0</v>
      </c>
      <c r="E828" s="15">
        <f t="shared" si="1"/>
        <v>2025</v>
      </c>
      <c r="F828" s="15">
        <f t="shared" si="2"/>
        <v>2</v>
      </c>
      <c r="G828" s="15">
        <f t="shared" si="3"/>
        <v>23</v>
      </c>
    </row>
    <row r="829">
      <c r="A829" s="10" t="s">
        <v>27</v>
      </c>
      <c r="B829" s="9">
        <f t="shared" si="4"/>
        <v>45711</v>
      </c>
      <c r="C829" s="77" t="s">
        <v>1572</v>
      </c>
      <c r="D829" s="13">
        <f>D826+D827-D828</f>
        <v>11887.689</v>
      </c>
      <c r="E829" s="15">
        <f t="shared" si="1"/>
        <v>2025</v>
      </c>
      <c r="F829" s="15">
        <f t="shared" si="2"/>
        <v>2</v>
      </c>
      <c r="G829" s="15">
        <f t="shared" si="3"/>
        <v>23</v>
      </c>
    </row>
    <row r="830">
      <c r="A830" s="10" t="s">
        <v>27</v>
      </c>
      <c r="B830" s="9">
        <f t="shared" si="4"/>
        <v>45712</v>
      </c>
      <c r="C830" s="77" t="s">
        <v>1569</v>
      </c>
      <c r="D830" s="12">
        <f>D829</f>
        <v>11887.689</v>
      </c>
      <c r="E830" s="15">
        <f t="shared" si="1"/>
        <v>2025</v>
      </c>
      <c r="F830" s="15">
        <f t="shared" si="2"/>
        <v>2</v>
      </c>
      <c r="G830" s="15">
        <f t="shared" si="3"/>
        <v>24</v>
      </c>
    </row>
    <row r="831">
      <c r="A831" s="10" t="s">
        <v>27</v>
      </c>
      <c r="B831" s="9">
        <f t="shared" si="4"/>
        <v>45712</v>
      </c>
      <c r="C831" s="77" t="s">
        <v>1570</v>
      </c>
      <c r="D831" s="13">
        <f>SUMIFS('Lançamentos de receitas'!$E:$E,'Lançamentos de receitas'!$A:$A,B831,'Lançamentos de receitas'!$C:$C,A831,'Lançamentos de receitas'!$F:$F,"TRANSFERÊNCIA")</f>
        <v>10889.28</v>
      </c>
      <c r="E831" s="15">
        <f t="shared" si="1"/>
        <v>2025</v>
      </c>
      <c r="F831" s="15">
        <f t="shared" si="2"/>
        <v>2</v>
      </c>
      <c r="G831" s="15">
        <f t="shared" si="3"/>
        <v>24</v>
      </c>
    </row>
    <row r="832">
      <c r="A832" s="10" t="s">
        <v>27</v>
      </c>
      <c r="B832" s="9">
        <f t="shared" si="4"/>
        <v>45712</v>
      </c>
      <c r="C832" s="77" t="s">
        <v>1571</v>
      </c>
      <c r="D832" s="13">
        <f>SUMIFS('Lançamentos de despesas'!$K:$K,'Lançamentos de despesas'!$C:$C,B832,'Lançamentos de despesas'!$G:$G,A832,'Lançamentos de despesas'!$E:$E,"pago")</f>
        <v>1716.4</v>
      </c>
      <c r="E832" s="15">
        <f t="shared" si="1"/>
        <v>2025</v>
      </c>
      <c r="F832" s="15">
        <f t="shared" si="2"/>
        <v>2</v>
      </c>
      <c r="G832" s="15">
        <f t="shared" si="3"/>
        <v>24</v>
      </c>
    </row>
    <row r="833">
      <c r="A833" s="10" t="s">
        <v>27</v>
      </c>
      <c r="B833" s="9">
        <f t="shared" si="4"/>
        <v>45712</v>
      </c>
      <c r="C833" s="77" t="s">
        <v>1572</v>
      </c>
      <c r="D833" s="13">
        <f>D830+D831-D832</f>
        <v>21060.569</v>
      </c>
      <c r="E833" s="15">
        <f t="shared" si="1"/>
        <v>2025</v>
      </c>
      <c r="F833" s="15">
        <f t="shared" si="2"/>
        <v>2</v>
      </c>
      <c r="G833" s="15">
        <f t="shared" si="3"/>
        <v>24</v>
      </c>
    </row>
    <row r="834">
      <c r="A834" s="10" t="s">
        <v>27</v>
      </c>
      <c r="B834" s="9">
        <f t="shared" si="4"/>
        <v>45713</v>
      </c>
      <c r="C834" s="77" t="s">
        <v>1569</v>
      </c>
      <c r="D834" s="12">
        <f>D833</f>
        <v>21060.569</v>
      </c>
      <c r="E834" s="15">
        <f t="shared" si="1"/>
        <v>2025</v>
      </c>
      <c r="F834" s="15">
        <f t="shared" si="2"/>
        <v>2</v>
      </c>
      <c r="G834" s="15">
        <f t="shared" si="3"/>
        <v>25</v>
      </c>
    </row>
    <row r="835">
      <c r="A835" s="10" t="s">
        <v>27</v>
      </c>
      <c r="B835" s="9">
        <f t="shared" si="4"/>
        <v>45713</v>
      </c>
      <c r="C835" s="77" t="s">
        <v>1570</v>
      </c>
      <c r="D835" s="13">
        <f>SUMIFS('Lançamentos de receitas'!$E:$E,'Lançamentos de receitas'!$A:$A,B835,'Lançamentos de receitas'!$C:$C,A835,'Lançamentos de receitas'!$F:$F,"TRANSFERÊNCIA")</f>
        <v>2568.83</v>
      </c>
      <c r="E835" s="15">
        <f t="shared" si="1"/>
        <v>2025</v>
      </c>
      <c r="F835" s="15">
        <f t="shared" si="2"/>
        <v>2</v>
      </c>
      <c r="G835" s="15">
        <f t="shared" si="3"/>
        <v>25</v>
      </c>
    </row>
    <row r="836">
      <c r="A836" s="10" t="s">
        <v>27</v>
      </c>
      <c r="B836" s="9">
        <f t="shared" si="4"/>
        <v>45713</v>
      </c>
      <c r="C836" s="77" t="s">
        <v>1571</v>
      </c>
      <c r="D836" s="13">
        <f>SUMIFS('Lançamentos de despesas'!$K:$K,'Lançamentos de despesas'!$C:$C,B836,'Lançamentos de despesas'!$G:$G,A836,'Lançamentos de despesas'!$E:$E,"pago")</f>
        <v>0</v>
      </c>
      <c r="E836" s="15">
        <f t="shared" si="1"/>
        <v>2025</v>
      </c>
      <c r="F836" s="15">
        <f t="shared" si="2"/>
        <v>2</v>
      </c>
      <c r="G836" s="15">
        <f t="shared" si="3"/>
        <v>25</v>
      </c>
    </row>
    <row r="837">
      <c r="A837" s="10" t="s">
        <v>27</v>
      </c>
      <c r="B837" s="9">
        <f t="shared" si="4"/>
        <v>45713</v>
      </c>
      <c r="C837" s="77" t="s">
        <v>1572</v>
      </c>
      <c r="D837" s="13">
        <f>D834+D835-D836</f>
        <v>23629.399</v>
      </c>
      <c r="E837" s="15">
        <f t="shared" si="1"/>
        <v>2025</v>
      </c>
      <c r="F837" s="15">
        <f t="shared" si="2"/>
        <v>2</v>
      </c>
      <c r="G837" s="15">
        <f t="shared" si="3"/>
        <v>25</v>
      </c>
    </row>
    <row r="838">
      <c r="A838" s="10" t="s">
        <v>27</v>
      </c>
      <c r="B838" s="9">
        <f t="shared" si="4"/>
        <v>45714</v>
      </c>
      <c r="C838" s="77" t="s">
        <v>1569</v>
      </c>
      <c r="D838" s="12">
        <f>D837</f>
        <v>23629.399</v>
      </c>
      <c r="E838" s="15">
        <f t="shared" si="1"/>
        <v>2025</v>
      </c>
      <c r="F838" s="15">
        <f t="shared" si="2"/>
        <v>2</v>
      </c>
      <c r="G838" s="15">
        <f t="shared" si="3"/>
        <v>26</v>
      </c>
    </row>
    <row r="839">
      <c r="A839" s="10" t="s">
        <v>27</v>
      </c>
      <c r="B839" s="9">
        <f t="shared" si="4"/>
        <v>45714</v>
      </c>
      <c r="C839" s="77" t="s">
        <v>1570</v>
      </c>
      <c r="D839" s="13">
        <f>SUMIFS('Lançamentos de receitas'!$E:$E,'Lançamentos de receitas'!$A:$A,B839,'Lançamentos de receitas'!$C:$C,A839,'Lançamentos de receitas'!$F:$F,"TRANSFERÊNCIA")</f>
        <v>2334.77</v>
      </c>
      <c r="E839" s="15">
        <f t="shared" si="1"/>
        <v>2025</v>
      </c>
      <c r="F839" s="15">
        <f t="shared" si="2"/>
        <v>2</v>
      </c>
      <c r="G839" s="15">
        <f t="shared" si="3"/>
        <v>26</v>
      </c>
    </row>
    <row r="840">
      <c r="A840" s="10" t="s">
        <v>27</v>
      </c>
      <c r="B840" s="9">
        <f t="shared" si="4"/>
        <v>45714</v>
      </c>
      <c r="C840" s="77" t="s">
        <v>1571</v>
      </c>
      <c r="D840" s="13">
        <f>SUMIFS('Lançamentos de despesas'!$K:$K,'Lançamentos de despesas'!$C:$C,B840,'Lançamentos de despesas'!$G:$G,A840,'Lançamentos de despesas'!$E:$E,"pago")</f>
        <v>0</v>
      </c>
      <c r="E840" s="15">
        <f t="shared" si="1"/>
        <v>2025</v>
      </c>
      <c r="F840" s="15">
        <f t="shared" si="2"/>
        <v>2</v>
      </c>
      <c r="G840" s="15">
        <f t="shared" si="3"/>
        <v>26</v>
      </c>
    </row>
    <row r="841">
      <c r="A841" s="10" t="s">
        <v>27</v>
      </c>
      <c r="B841" s="9">
        <f t="shared" si="4"/>
        <v>45714</v>
      </c>
      <c r="C841" s="77" t="s">
        <v>1572</v>
      </c>
      <c r="D841" s="13">
        <f>D838+D839-D840</f>
        <v>25964.169</v>
      </c>
      <c r="E841" s="15">
        <f t="shared" si="1"/>
        <v>2025</v>
      </c>
      <c r="F841" s="15">
        <f t="shared" si="2"/>
        <v>2</v>
      </c>
      <c r="G841" s="15">
        <f t="shared" si="3"/>
        <v>26</v>
      </c>
    </row>
    <row r="842">
      <c r="A842" s="10" t="s">
        <v>27</v>
      </c>
      <c r="B842" s="9">
        <f t="shared" si="4"/>
        <v>45715</v>
      </c>
      <c r="C842" s="77" t="s">
        <v>1569</v>
      </c>
      <c r="D842" s="12">
        <f>D841</f>
        <v>25964.169</v>
      </c>
      <c r="E842" s="15">
        <f t="shared" si="1"/>
        <v>2025</v>
      </c>
      <c r="F842" s="15">
        <f t="shared" si="2"/>
        <v>2</v>
      </c>
      <c r="G842" s="15">
        <f t="shared" si="3"/>
        <v>27</v>
      </c>
    </row>
    <row r="843">
      <c r="A843" s="10" t="s">
        <v>27</v>
      </c>
      <c r="B843" s="9">
        <f t="shared" si="4"/>
        <v>45715</v>
      </c>
      <c r="C843" s="77" t="s">
        <v>1570</v>
      </c>
      <c r="D843" s="13">
        <f>SUMIFS('Lançamentos de receitas'!$E:$E,'Lançamentos de receitas'!$A:$A,B843,'Lançamentos de receitas'!$C:$C,A843,'Lançamentos de receitas'!$F:$F,"TRANSFERÊNCIA")</f>
        <v>1010.2</v>
      </c>
      <c r="E843" s="15">
        <f t="shared" si="1"/>
        <v>2025</v>
      </c>
      <c r="F843" s="15">
        <f t="shared" si="2"/>
        <v>2</v>
      </c>
      <c r="G843" s="15">
        <f t="shared" si="3"/>
        <v>27</v>
      </c>
    </row>
    <row r="844">
      <c r="A844" s="10" t="s">
        <v>27</v>
      </c>
      <c r="B844" s="9">
        <f t="shared" si="4"/>
        <v>45715</v>
      </c>
      <c r="C844" s="77" t="s">
        <v>1571</v>
      </c>
      <c r="D844" s="13">
        <f>SUMIFS('Lançamentos de despesas'!$K:$K,'Lançamentos de despesas'!$C:$C,B844,'Lançamentos de despesas'!$G:$G,A844,'Lançamentos de despesas'!$E:$E,"pago")</f>
        <v>1531.02</v>
      </c>
      <c r="E844" s="15">
        <f t="shared" si="1"/>
        <v>2025</v>
      </c>
      <c r="F844" s="15">
        <f t="shared" si="2"/>
        <v>2</v>
      </c>
      <c r="G844" s="15">
        <f t="shared" si="3"/>
        <v>27</v>
      </c>
    </row>
    <row r="845">
      <c r="A845" s="10" t="s">
        <v>27</v>
      </c>
      <c r="B845" s="9">
        <f t="shared" si="4"/>
        <v>45715</v>
      </c>
      <c r="C845" s="77" t="s">
        <v>1572</v>
      </c>
      <c r="D845" s="13">
        <f>D842+D843-D844</f>
        <v>25443.349</v>
      </c>
      <c r="E845" s="15">
        <f t="shared" si="1"/>
        <v>2025</v>
      </c>
      <c r="F845" s="15">
        <f t="shared" si="2"/>
        <v>2</v>
      </c>
      <c r="G845" s="15">
        <f t="shared" si="3"/>
        <v>27</v>
      </c>
    </row>
    <row r="846">
      <c r="A846" s="10" t="s">
        <v>27</v>
      </c>
      <c r="B846" s="9">
        <f t="shared" si="4"/>
        <v>45716</v>
      </c>
      <c r="C846" s="77" t="s">
        <v>1569</v>
      </c>
      <c r="D846" s="12">
        <f>D845</f>
        <v>25443.349</v>
      </c>
      <c r="E846" s="15">
        <f t="shared" si="1"/>
        <v>2025</v>
      </c>
      <c r="F846" s="15">
        <f t="shared" si="2"/>
        <v>2</v>
      </c>
      <c r="G846" s="15">
        <f t="shared" si="3"/>
        <v>28</v>
      </c>
    </row>
    <row r="847">
      <c r="A847" s="10" t="s">
        <v>27</v>
      </c>
      <c r="B847" s="9">
        <f t="shared" si="4"/>
        <v>45716</v>
      </c>
      <c r="C847" s="77" t="s">
        <v>1570</v>
      </c>
      <c r="D847" s="13">
        <f>SUMIFS('Lançamentos de receitas'!$E:$E,'Lançamentos de receitas'!$A:$A,B847,'Lançamentos de receitas'!$C:$C,A847,'Lançamentos de receitas'!$F:$F,"TRANSFERÊNCIA")</f>
        <v>1489.72</v>
      </c>
      <c r="E847" s="15">
        <f t="shared" si="1"/>
        <v>2025</v>
      </c>
      <c r="F847" s="15">
        <f t="shared" si="2"/>
        <v>2</v>
      </c>
      <c r="G847" s="15">
        <f t="shared" si="3"/>
        <v>28</v>
      </c>
    </row>
    <row r="848">
      <c r="A848" s="10" t="s">
        <v>27</v>
      </c>
      <c r="B848" s="9">
        <f t="shared" si="4"/>
        <v>45716</v>
      </c>
      <c r="C848" s="77" t="s">
        <v>1571</v>
      </c>
      <c r="D848" s="13">
        <f>SUMIFS('Lançamentos de despesas'!$K:$K,'Lançamentos de despesas'!$C:$C,B848,'Lançamentos de despesas'!$G:$G,A848,'Lançamentos de despesas'!$E:$E,"pago")</f>
        <v>5864.76</v>
      </c>
      <c r="E848" s="15">
        <f t="shared" si="1"/>
        <v>2025</v>
      </c>
      <c r="F848" s="15">
        <f t="shared" si="2"/>
        <v>2</v>
      </c>
      <c r="G848" s="15">
        <f t="shared" si="3"/>
        <v>28</v>
      </c>
    </row>
    <row r="849">
      <c r="A849" s="10" t="s">
        <v>27</v>
      </c>
      <c r="B849" s="9">
        <f t="shared" si="4"/>
        <v>45716</v>
      </c>
      <c r="C849" s="77" t="s">
        <v>1572</v>
      </c>
      <c r="D849" s="13">
        <f>D846+D847-D848</f>
        <v>21068.309</v>
      </c>
      <c r="E849" s="15">
        <f t="shared" si="1"/>
        <v>2025</v>
      </c>
      <c r="F849" s="15">
        <f t="shared" si="2"/>
        <v>2</v>
      </c>
      <c r="G849" s="15">
        <f t="shared" si="3"/>
        <v>28</v>
      </c>
    </row>
    <row r="850">
      <c r="A850" s="10" t="s">
        <v>27</v>
      </c>
      <c r="B850" s="9">
        <f t="shared" si="4"/>
        <v>45717</v>
      </c>
      <c r="C850" s="77" t="s">
        <v>1569</v>
      </c>
      <c r="D850" s="12">
        <f>D849</f>
        <v>21068.309</v>
      </c>
      <c r="E850" s="15">
        <f t="shared" si="1"/>
        <v>2025</v>
      </c>
      <c r="F850" s="15">
        <f t="shared" si="2"/>
        <v>3</v>
      </c>
      <c r="G850" s="15">
        <f t="shared" si="3"/>
        <v>1</v>
      </c>
    </row>
    <row r="851">
      <c r="A851" s="10" t="s">
        <v>27</v>
      </c>
      <c r="B851" s="9">
        <f t="shared" si="4"/>
        <v>45717</v>
      </c>
      <c r="C851" s="77" t="s">
        <v>1570</v>
      </c>
      <c r="D851" s="13">
        <f>SUMIFS('Lançamentos de receitas'!$E:$E,'Lançamentos de receitas'!$A:$A,B851,'Lançamentos de receitas'!$C:$C,A851,'Lançamentos de receitas'!$F:$F,"TRANSFERÊNCIA")</f>
        <v>1416.97</v>
      </c>
      <c r="E851" s="15">
        <f t="shared" si="1"/>
        <v>2025</v>
      </c>
      <c r="F851" s="15">
        <f t="shared" si="2"/>
        <v>3</v>
      </c>
      <c r="G851" s="15">
        <f t="shared" si="3"/>
        <v>1</v>
      </c>
    </row>
    <row r="852">
      <c r="A852" s="10" t="s">
        <v>27</v>
      </c>
      <c r="B852" s="9">
        <f t="shared" si="4"/>
        <v>45717</v>
      </c>
      <c r="C852" s="77" t="s">
        <v>1571</v>
      </c>
      <c r="D852" s="13">
        <f>SUMIFS('Lançamentos de despesas'!$K:$K,'Lançamentos de despesas'!$C:$C,B852,'Lançamentos de despesas'!$G:$G,A852,'Lançamentos de despesas'!$E:$E,"pago")</f>
        <v>0</v>
      </c>
      <c r="E852" s="15">
        <f t="shared" si="1"/>
        <v>2025</v>
      </c>
      <c r="F852" s="15">
        <f t="shared" si="2"/>
        <v>3</v>
      </c>
      <c r="G852" s="15">
        <f t="shared" si="3"/>
        <v>1</v>
      </c>
    </row>
    <row r="853">
      <c r="A853" s="10" t="s">
        <v>27</v>
      </c>
      <c r="B853" s="9">
        <f t="shared" si="4"/>
        <v>45717</v>
      </c>
      <c r="C853" s="77" t="s">
        <v>1572</v>
      </c>
      <c r="D853" s="13">
        <f>D850+D851-D852</f>
        <v>22485.279</v>
      </c>
      <c r="E853" s="15">
        <f t="shared" si="1"/>
        <v>2025</v>
      </c>
      <c r="F853" s="15">
        <f t="shared" si="2"/>
        <v>3</v>
      </c>
      <c r="G853" s="15">
        <f t="shared" si="3"/>
        <v>1</v>
      </c>
    </row>
    <row r="854">
      <c r="A854" s="10" t="s">
        <v>27</v>
      </c>
      <c r="B854" s="9">
        <f t="shared" si="4"/>
        <v>45718</v>
      </c>
      <c r="C854" s="77" t="s">
        <v>1569</v>
      </c>
      <c r="D854" s="12">
        <f>D853</f>
        <v>22485.279</v>
      </c>
      <c r="E854" s="15">
        <f t="shared" si="1"/>
        <v>2025</v>
      </c>
      <c r="F854" s="15">
        <f t="shared" si="2"/>
        <v>3</v>
      </c>
      <c r="G854" s="15">
        <f t="shared" si="3"/>
        <v>2</v>
      </c>
    </row>
    <row r="855">
      <c r="A855" s="10" t="s">
        <v>27</v>
      </c>
      <c r="B855" s="9">
        <f t="shared" si="4"/>
        <v>45718</v>
      </c>
      <c r="C855" s="77" t="s">
        <v>1570</v>
      </c>
      <c r="D855" s="13">
        <f>SUMIFS('Lançamentos de receitas'!$E:$E,'Lançamentos de receitas'!$A:$A,B855,'Lançamentos de receitas'!$C:$C,A855,'Lançamentos de receitas'!$F:$F,"TRANSFERÊNCIA")</f>
        <v>788.58</v>
      </c>
      <c r="E855" s="15">
        <f t="shared" si="1"/>
        <v>2025</v>
      </c>
      <c r="F855" s="15">
        <f t="shared" si="2"/>
        <v>3</v>
      </c>
      <c r="G855" s="15">
        <f t="shared" si="3"/>
        <v>2</v>
      </c>
    </row>
    <row r="856">
      <c r="A856" s="10" t="s">
        <v>27</v>
      </c>
      <c r="B856" s="9">
        <f t="shared" si="4"/>
        <v>45718</v>
      </c>
      <c r="C856" s="77" t="s">
        <v>1571</v>
      </c>
      <c r="D856" s="13">
        <f>SUMIFS('Lançamentos de despesas'!$K:$K,'Lançamentos de despesas'!$C:$C,B856,'Lançamentos de despesas'!$G:$G,A856,'Lançamentos de despesas'!$E:$E,"pago")</f>
        <v>0</v>
      </c>
      <c r="E856" s="15">
        <f t="shared" si="1"/>
        <v>2025</v>
      </c>
      <c r="F856" s="15">
        <f t="shared" si="2"/>
        <v>3</v>
      </c>
      <c r="G856" s="15">
        <f t="shared" si="3"/>
        <v>2</v>
      </c>
    </row>
    <row r="857">
      <c r="A857" s="10" t="s">
        <v>27</v>
      </c>
      <c r="B857" s="9">
        <f t="shared" si="4"/>
        <v>45718</v>
      </c>
      <c r="C857" s="77" t="s">
        <v>1572</v>
      </c>
      <c r="D857" s="13">
        <f>D854+D855-D856</f>
        <v>23273.859</v>
      </c>
      <c r="E857" s="15">
        <f t="shared" si="1"/>
        <v>2025</v>
      </c>
      <c r="F857" s="15">
        <f t="shared" si="2"/>
        <v>3</v>
      </c>
      <c r="G857" s="15">
        <f t="shared" si="3"/>
        <v>2</v>
      </c>
    </row>
    <row r="858">
      <c r="A858" s="10" t="s">
        <v>27</v>
      </c>
      <c r="B858" s="9">
        <f t="shared" si="4"/>
        <v>45719</v>
      </c>
      <c r="C858" s="77" t="s">
        <v>1569</v>
      </c>
      <c r="D858" s="12">
        <f>D857</f>
        <v>23273.859</v>
      </c>
      <c r="E858" s="15">
        <f t="shared" si="1"/>
        <v>2025</v>
      </c>
      <c r="F858" s="15">
        <f t="shared" si="2"/>
        <v>3</v>
      </c>
      <c r="G858" s="15">
        <f t="shared" si="3"/>
        <v>3</v>
      </c>
    </row>
    <row r="859">
      <c r="A859" s="10" t="s">
        <v>27</v>
      </c>
      <c r="B859" s="9">
        <f t="shared" si="4"/>
        <v>45719</v>
      </c>
      <c r="C859" s="77" t="s">
        <v>1570</v>
      </c>
      <c r="D859" s="13">
        <f>SUMIFS('Lançamentos de receitas'!$E:$E,'Lançamentos de receitas'!$A:$A,B859,'Lançamentos de receitas'!$C:$C,A859,'Lançamentos de receitas'!$F:$F,"TRANSFERÊNCIA")</f>
        <v>368.68</v>
      </c>
      <c r="E859" s="15">
        <f t="shared" si="1"/>
        <v>2025</v>
      </c>
      <c r="F859" s="15">
        <f t="shared" si="2"/>
        <v>3</v>
      </c>
      <c r="G859" s="15">
        <f t="shared" si="3"/>
        <v>3</v>
      </c>
    </row>
    <row r="860">
      <c r="A860" s="10" t="s">
        <v>27</v>
      </c>
      <c r="B860" s="9">
        <f t="shared" si="4"/>
        <v>45719</v>
      </c>
      <c r="C860" s="77" t="s">
        <v>1571</v>
      </c>
      <c r="D860" s="13">
        <f>SUMIFS('Lançamentos de despesas'!$K:$K,'Lançamentos de despesas'!$C:$C,B860,'Lançamentos de despesas'!$G:$G,A860,'Lançamentos de despesas'!$E:$E,"pago")</f>
        <v>0</v>
      </c>
      <c r="E860" s="15">
        <f t="shared" si="1"/>
        <v>2025</v>
      </c>
      <c r="F860" s="15">
        <f t="shared" si="2"/>
        <v>3</v>
      </c>
      <c r="G860" s="15">
        <f t="shared" si="3"/>
        <v>3</v>
      </c>
    </row>
    <row r="861">
      <c r="A861" s="10" t="s">
        <v>27</v>
      </c>
      <c r="B861" s="9">
        <f t="shared" si="4"/>
        <v>45719</v>
      </c>
      <c r="C861" s="77" t="s">
        <v>1572</v>
      </c>
      <c r="D861" s="13">
        <f>D858+D859-D860</f>
        <v>23642.539</v>
      </c>
      <c r="E861" s="15">
        <f t="shared" si="1"/>
        <v>2025</v>
      </c>
      <c r="F861" s="15">
        <f t="shared" si="2"/>
        <v>3</v>
      </c>
      <c r="G861" s="15">
        <f t="shared" si="3"/>
        <v>3</v>
      </c>
    </row>
    <row r="862">
      <c r="A862" s="10" t="s">
        <v>27</v>
      </c>
      <c r="B862" s="9">
        <f t="shared" si="4"/>
        <v>45720</v>
      </c>
      <c r="C862" s="77" t="s">
        <v>1569</v>
      </c>
      <c r="D862" s="12">
        <f>D861</f>
        <v>23642.539</v>
      </c>
      <c r="E862" s="15">
        <f t="shared" si="1"/>
        <v>2025</v>
      </c>
      <c r="F862" s="15">
        <f t="shared" si="2"/>
        <v>3</v>
      </c>
      <c r="G862" s="15">
        <f t="shared" si="3"/>
        <v>4</v>
      </c>
    </row>
    <row r="863">
      <c r="A863" s="10" t="s">
        <v>27</v>
      </c>
      <c r="B863" s="9">
        <f t="shared" si="4"/>
        <v>45720</v>
      </c>
      <c r="C863" s="77" t="s">
        <v>1570</v>
      </c>
      <c r="D863" s="13">
        <f>SUMIFS('Lançamentos de receitas'!$E:$E,'Lançamentos de receitas'!$A:$A,B863,'Lançamentos de receitas'!$C:$C,A863,'Lançamentos de receitas'!$F:$F,"TRANSFERÊNCIA")</f>
        <v>2145.08</v>
      </c>
      <c r="E863" s="15">
        <f t="shared" si="1"/>
        <v>2025</v>
      </c>
      <c r="F863" s="15">
        <f t="shared" si="2"/>
        <v>3</v>
      </c>
      <c r="G863" s="15">
        <f t="shared" si="3"/>
        <v>4</v>
      </c>
    </row>
    <row r="864">
      <c r="A864" s="10" t="s">
        <v>27</v>
      </c>
      <c r="B864" s="9">
        <f t="shared" si="4"/>
        <v>45720</v>
      </c>
      <c r="C864" s="77" t="s">
        <v>1571</v>
      </c>
      <c r="D864" s="13">
        <f>SUMIFS('Lançamentos de despesas'!$K:$K,'Lançamentos de despesas'!$C:$C,B864,'Lançamentos de despesas'!$G:$G,A864,'Lançamentos de despesas'!$E:$E,"pago")</f>
        <v>0</v>
      </c>
      <c r="E864" s="15">
        <f t="shared" si="1"/>
        <v>2025</v>
      </c>
      <c r="F864" s="15">
        <f t="shared" si="2"/>
        <v>3</v>
      </c>
      <c r="G864" s="15">
        <f t="shared" si="3"/>
        <v>4</v>
      </c>
    </row>
    <row r="865">
      <c r="A865" s="10" t="s">
        <v>27</v>
      </c>
      <c r="B865" s="9">
        <f t="shared" si="4"/>
        <v>45720</v>
      </c>
      <c r="C865" s="77" t="s">
        <v>1572</v>
      </c>
      <c r="D865" s="13">
        <f>D862+D863-D864</f>
        <v>25787.619</v>
      </c>
      <c r="E865" s="15">
        <f t="shared" si="1"/>
        <v>2025</v>
      </c>
      <c r="F865" s="15">
        <f t="shared" si="2"/>
        <v>3</v>
      </c>
      <c r="G865" s="15">
        <f t="shared" si="3"/>
        <v>4</v>
      </c>
    </row>
    <row r="866">
      <c r="A866" s="10" t="s">
        <v>27</v>
      </c>
      <c r="B866" s="9">
        <f t="shared" si="4"/>
        <v>45721</v>
      </c>
      <c r="C866" s="77" t="s">
        <v>1569</v>
      </c>
      <c r="D866" s="12">
        <f>D865</f>
        <v>25787.619</v>
      </c>
      <c r="E866" s="15">
        <f t="shared" si="1"/>
        <v>2025</v>
      </c>
      <c r="F866" s="15">
        <f t="shared" si="2"/>
        <v>3</v>
      </c>
      <c r="G866" s="15">
        <f t="shared" si="3"/>
        <v>5</v>
      </c>
    </row>
    <row r="867">
      <c r="A867" s="10" t="s">
        <v>27</v>
      </c>
      <c r="B867" s="9">
        <f t="shared" si="4"/>
        <v>45721</v>
      </c>
      <c r="C867" s="77" t="s">
        <v>1570</v>
      </c>
      <c r="D867" s="13">
        <f>SUMIFS('Lançamentos de receitas'!$E:$E,'Lançamentos de receitas'!$A:$A,B867,'Lançamentos de receitas'!$C:$C,A867,'Lançamentos de receitas'!$F:$F,"TRANSFERÊNCIA")</f>
        <v>273.41</v>
      </c>
      <c r="E867" s="15">
        <f t="shared" si="1"/>
        <v>2025</v>
      </c>
      <c r="F867" s="15">
        <f t="shared" si="2"/>
        <v>3</v>
      </c>
      <c r="G867" s="15">
        <f t="shared" si="3"/>
        <v>5</v>
      </c>
    </row>
    <row r="868">
      <c r="A868" s="10" t="s">
        <v>27</v>
      </c>
      <c r="B868" s="9">
        <f t="shared" si="4"/>
        <v>45721</v>
      </c>
      <c r="C868" s="77" t="s">
        <v>1571</v>
      </c>
      <c r="D868" s="13">
        <f>SUMIFS('Lançamentos de despesas'!$K:$K,'Lançamentos de despesas'!$C:$C,B868,'Lançamentos de despesas'!$G:$G,A868,'Lançamentos de despesas'!$E:$E,"pago")</f>
        <v>3253.35</v>
      </c>
      <c r="E868" s="15">
        <f t="shared" si="1"/>
        <v>2025</v>
      </c>
      <c r="F868" s="15">
        <f t="shared" si="2"/>
        <v>3</v>
      </c>
      <c r="G868" s="15">
        <f t="shared" si="3"/>
        <v>5</v>
      </c>
    </row>
    <row r="869">
      <c r="A869" s="10" t="s">
        <v>27</v>
      </c>
      <c r="B869" s="9">
        <f t="shared" si="4"/>
        <v>45721</v>
      </c>
      <c r="C869" s="77" t="s">
        <v>1572</v>
      </c>
      <c r="D869" s="13">
        <f>D866+D867-D868</f>
        <v>22807.679</v>
      </c>
      <c r="E869" s="15">
        <f t="shared" si="1"/>
        <v>2025</v>
      </c>
      <c r="F869" s="15">
        <f t="shared" si="2"/>
        <v>3</v>
      </c>
      <c r="G869" s="15">
        <f t="shared" si="3"/>
        <v>5</v>
      </c>
    </row>
    <row r="870">
      <c r="A870" s="10" t="s">
        <v>27</v>
      </c>
      <c r="B870" s="9">
        <f t="shared" si="4"/>
        <v>45722</v>
      </c>
      <c r="C870" s="77" t="s">
        <v>1569</v>
      </c>
      <c r="D870" s="12">
        <f>D869</f>
        <v>22807.679</v>
      </c>
      <c r="E870" s="15">
        <f t="shared" si="1"/>
        <v>2025</v>
      </c>
      <c r="F870" s="15">
        <f t="shared" si="2"/>
        <v>3</v>
      </c>
      <c r="G870" s="15">
        <f t="shared" si="3"/>
        <v>6</v>
      </c>
    </row>
    <row r="871">
      <c r="A871" s="10" t="s">
        <v>27</v>
      </c>
      <c r="B871" s="9">
        <f t="shared" si="4"/>
        <v>45722</v>
      </c>
      <c r="C871" s="77" t="s">
        <v>1570</v>
      </c>
      <c r="D871" s="13">
        <f>SUMIFS('Lançamentos de receitas'!$E:$E,'Lançamentos de receitas'!$A:$A,B871,'Lançamentos de receitas'!$C:$C,A871,'Lançamentos de receitas'!$F:$F,"TRANSFERÊNCIA")</f>
        <v>1882.19</v>
      </c>
      <c r="E871" s="15">
        <f t="shared" si="1"/>
        <v>2025</v>
      </c>
      <c r="F871" s="15">
        <f t="shared" si="2"/>
        <v>3</v>
      </c>
      <c r="G871" s="15">
        <f t="shared" si="3"/>
        <v>6</v>
      </c>
    </row>
    <row r="872">
      <c r="A872" s="10" t="s">
        <v>27</v>
      </c>
      <c r="B872" s="9">
        <f t="shared" si="4"/>
        <v>45722</v>
      </c>
      <c r="C872" s="77" t="s">
        <v>1571</v>
      </c>
      <c r="D872" s="13">
        <f>SUMIFS('Lançamentos de despesas'!$K:$K,'Lançamentos de despesas'!$C:$C,B872,'Lançamentos de despesas'!$G:$G,A872,'Lançamentos de despesas'!$E:$E,"pago")</f>
        <v>15841.28</v>
      </c>
      <c r="E872" s="15">
        <f t="shared" si="1"/>
        <v>2025</v>
      </c>
      <c r="F872" s="15">
        <f t="shared" si="2"/>
        <v>3</v>
      </c>
      <c r="G872" s="15">
        <f t="shared" si="3"/>
        <v>6</v>
      </c>
    </row>
    <row r="873">
      <c r="A873" s="10" t="s">
        <v>27</v>
      </c>
      <c r="B873" s="9">
        <f t="shared" si="4"/>
        <v>45722</v>
      </c>
      <c r="C873" s="77" t="s">
        <v>1572</v>
      </c>
      <c r="D873" s="13">
        <f>D870+D871-D872</f>
        <v>8848.589</v>
      </c>
      <c r="E873" s="15">
        <f t="shared" si="1"/>
        <v>2025</v>
      </c>
      <c r="F873" s="15">
        <f t="shared" si="2"/>
        <v>3</v>
      </c>
      <c r="G873" s="15">
        <f t="shared" si="3"/>
        <v>6</v>
      </c>
    </row>
    <row r="874">
      <c r="A874" s="10" t="s">
        <v>27</v>
      </c>
      <c r="B874" s="9">
        <f t="shared" si="4"/>
        <v>45723</v>
      </c>
      <c r="C874" s="77" t="s">
        <v>1569</v>
      </c>
      <c r="D874" s="12">
        <f>D873</f>
        <v>8848.589</v>
      </c>
      <c r="E874" s="15">
        <f t="shared" si="1"/>
        <v>2025</v>
      </c>
      <c r="F874" s="15">
        <f t="shared" si="2"/>
        <v>3</v>
      </c>
      <c r="G874" s="15">
        <f t="shared" si="3"/>
        <v>7</v>
      </c>
    </row>
    <row r="875">
      <c r="A875" s="10" t="s">
        <v>27</v>
      </c>
      <c r="B875" s="9">
        <f t="shared" si="4"/>
        <v>45723</v>
      </c>
      <c r="C875" s="77" t="s">
        <v>1570</v>
      </c>
      <c r="D875" s="13">
        <f>SUMIFS('Lançamentos de receitas'!$E:$E,'Lançamentos de receitas'!$A:$A,B875,'Lançamentos de receitas'!$C:$C,A875,'Lançamentos de receitas'!$F:$F,"TRANSFERÊNCIA")</f>
        <v>50880.18</v>
      </c>
      <c r="E875" s="15">
        <f t="shared" si="1"/>
        <v>2025</v>
      </c>
      <c r="F875" s="15">
        <f t="shared" si="2"/>
        <v>3</v>
      </c>
      <c r="G875" s="15">
        <f t="shared" si="3"/>
        <v>7</v>
      </c>
    </row>
    <row r="876">
      <c r="A876" s="10" t="s">
        <v>27</v>
      </c>
      <c r="B876" s="9">
        <f t="shared" si="4"/>
        <v>45723</v>
      </c>
      <c r="C876" s="77" t="s">
        <v>1571</v>
      </c>
      <c r="D876" s="13">
        <f>SUMIFS('Lançamentos de despesas'!$K:$K,'Lançamentos de despesas'!$C:$C,B876,'Lançamentos de despesas'!$G:$G,A876,'Lançamentos de despesas'!$E:$E,"pago")</f>
        <v>75.4</v>
      </c>
      <c r="E876" s="15">
        <f t="shared" si="1"/>
        <v>2025</v>
      </c>
      <c r="F876" s="15">
        <f t="shared" si="2"/>
        <v>3</v>
      </c>
      <c r="G876" s="15">
        <f t="shared" si="3"/>
        <v>7</v>
      </c>
    </row>
    <row r="877">
      <c r="A877" s="10" t="s">
        <v>27</v>
      </c>
      <c r="B877" s="9">
        <f t="shared" si="4"/>
        <v>45723</v>
      </c>
      <c r="C877" s="77" t="s">
        <v>1572</v>
      </c>
      <c r="D877" s="13">
        <f>D874+D875-D876</f>
        <v>59653.369</v>
      </c>
      <c r="E877" s="15">
        <f t="shared" si="1"/>
        <v>2025</v>
      </c>
      <c r="F877" s="15">
        <f t="shared" si="2"/>
        <v>3</v>
      </c>
      <c r="G877" s="15">
        <f t="shared" si="3"/>
        <v>7</v>
      </c>
    </row>
    <row r="878">
      <c r="A878" s="10" t="s">
        <v>27</v>
      </c>
      <c r="B878" s="9">
        <f t="shared" si="4"/>
        <v>45724</v>
      </c>
      <c r="C878" s="77" t="s">
        <v>1569</v>
      </c>
      <c r="D878" s="12">
        <f>D877</f>
        <v>59653.369</v>
      </c>
      <c r="E878" s="15">
        <f t="shared" si="1"/>
        <v>2025</v>
      </c>
      <c r="F878" s="15">
        <f t="shared" si="2"/>
        <v>3</v>
      </c>
      <c r="G878" s="15">
        <f t="shared" si="3"/>
        <v>8</v>
      </c>
    </row>
    <row r="879">
      <c r="A879" s="10" t="s">
        <v>27</v>
      </c>
      <c r="B879" s="9">
        <f t="shared" si="4"/>
        <v>45724</v>
      </c>
      <c r="C879" s="77" t="s">
        <v>1570</v>
      </c>
      <c r="D879" s="13">
        <f>SUMIFS('Lançamentos de receitas'!$E:$E,'Lançamentos de receitas'!$A:$A,B879,'Lançamentos de receitas'!$C:$C,A879,'Lançamentos de receitas'!$F:$F,"TRANSFERÊNCIA")</f>
        <v>1489.52</v>
      </c>
      <c r="E879" s="15">
        <f t="shared" si="1"/>
        <v>2025</v>
      </c>
      <c r="F879" s="15">
        <f t="shared" si="2"/>
        <v>3</v>
      </c>
      <c r="G879" s="15">
        <f t="shared" si="3"/>
        <v>8</v>
      </c>
    </row>
    <row r="880">
      <c r="A880" s="10" t="s">
        <v>27</v>
      </c>
      <c r="B880" s="9">
        <f t="shared" si="4"/>
        <v>45724</v>
      </c>
      <c r="C880" s="77" t="s">
        <v>1571</v>
      </c>
      <c r="D880" s="13">
        <f>SUMIFS('Lançamentos de despesas'!$K:$K,'Lançamentos de despesas'!$C:$C,B880,'Lançamentos de despesas'!$G:$G,A880,'Lançamentos de despesas'!$E:$E,"pago")</f>
        <v>0</v>
      </c>
      <c r="E880" s="15">
        <f t="shared" si="1"/>
        <v>2025</v>
      </c>
      <c r="F880" s="15">
        <f t="shared" si="2"/>
        <v>3</v>
      </c>
      <c r="G880" s="15">
        <f t="shared" si="3"/>
        <v>8</v>
      </c>
    </row>
    <row r="881">
      <c r="A881" s="10" t="s">
        <v>27</v>
      </c>
      <c r="B881" s="9">
        <f t="shared" si="4"/>
        <v>45724</v>
      </c>
      <c r="C881" s="77" t="s">
        <v>1572</v>
      </c>
      <c r="D881" s="13">
        <f>D878+D879-D880</f>
        <v>61142.889</v>
      </c>
      <c r="E881" s="15">
        <f t="shared" si="1"/>
        <v>2025</v>
      </c>
      <c r="F881" s="15">
        <f t="shared" si="2"/>
        <v>3</v>
      </c>
      <c r="G881" s="15">
        <f t="shared" si="3"/>
        <v>8</v>
      </c>
    </row>
    <row r="882">
      <c r="A882" s="10" t="s">
        <v>27</v>
      </c>
      <c r="B882" s="9">
        <f t="shared" si="4"/>
        <v>45725</v>
      </c>
      <c r="C882" s="77" t="s">
        <v>1569</v>
      </c>
      <c r="D882" s="12">
        <f>D881</f>
        <v>61142.889</v>
      </c>
      <c r="E882" s="15">
        <f t="shared" si="1"/>
        <v>2025</v>
      </c>
      <c r="F882" s="15">
        <f t="shared" si="2"/>
        <v>3</v>
      </c>
      <c r="G882" s="15">
        <f t="shared" si="3"/>
        <v>9</v>
      </c>
    </row>
    <row r="883">
      <c r="A883" s="10" t="s">
        <v>27</v>
      </c>
      <c r="B883" s="9">
        <f t="shared" si="4"/>
        <v>45725</v>
      </c>
      <c r="C883" s="77" t="s">
        <v>1570</v>
      </c>
      <c r="D883" s="13">
        <f>SUMIFS('Lançamentos de receitas'!$E:$E,'Lançamentos de receitas'!$A:$A,B883,'Lançamentos de receitas'!$C:$C,A883,'Lançamentos de receitas'!$F:$F,"TRANSFERÊNCIA")</f>
        <v>485.88</v>
      </c>
      <c r="E883" s="15">
        <f t="shared" si="1"/>
        <v>2025</v>
      </c>
      <c r="F883" s="15">
        <f t="shared" si="2"/>
        <v>3</v>
      </c>
      <c r="G883" s="15">
        <f t="shared" si="3"/>
        <v>9</v>
      </c>
    </row>
    <row r="884">
      <c r="A884" s="10" t="s">
        <v>27</v>
      </c>
      <c r="B884" s="9">
        <f t="shared" si="4"/>
        <v>45725</v>
      </c>
      <c r="C884" s="77" t="s">
        <v>1571</v>
      </c>
      <c r="D884" s="13">
        <f>SUMIFS('Lançamentos de despesas'!$K:$K,'Lançamentos de despesas'!$C:$C,B884,'Lançamentos de despesas'!$G:$G,A884,'Lançamentos de despesas'!$E:$E,"pago")</f>
        <v>0</v>
      </c>
      <c r="E884" s="15">
        <f t="shared" si="1"/>
        <v>2025</v>
      </c>
      <c r="F884" s="15">
        <f t="shared" si="2"/>
        <v>3</v>
      </c>
      <c r="G884" s="15">
        <f t="shared" si="3"/>
        <v>9</v>
      </c>
    </row>
    <row r="885">
      <c r="A885" s="10" t="s">
        <v>27</v>
      </c>
      <c r="B885" s="9">
        <f t="shared" si="4"/>
        <v>45725</v>
      </c>
      <c r="C885" s="77" t="s">
        <v>1572</v>
      </c>
      <c r="D885" s="13">
        <f>D882+D883-D884</f>
        <v>61628.769</v>
      </c>
      <c r="E885" s="15">
        <f t="shared" si="1"/>
        <v>2025</v>
      </c>
      <c r="F885" s="15">
        <f t="shared" si="2"/>
        <v>3</v>
      </c>
      <c r="G885" s="15">
        <f t="shared" si="3"/>
        <v>9</v>
      </c>
    </row>
    <row r="886">
      <c r="A886" s="10" t="s">
        <v>27</v>
      </c>
      <c r="B886" s="9">
        <f t="shared" si="4"/>
        <v>45726</v>
      </c>
      <c r="C886" s="77" t="s">
        <v>1569</v>
      </c>
      <c r="D886" s="12">
        <f>D885</f>
        <v>61628.769</v>
      </c>
      <c r="E886" s="15">
        <f t="shared" si="1"/>
        <v>2025</v>
      </c>
      <c r="F886" s="15">
        <f t="shared" si="2"/>
        <v>3</v>
      </c>
      <c r="G886" s="15">
        <f t="shared" si="3"/>
        <v>10</v>
      </c>
    </row>
    <row r="887">
      <c r="A887" s="10" t="s">
        <v>27</v>
      </c>
      <c r="B887" s="9">
        <f t="shared" si="4"/>
        <v>45726</v>
      </c>
      <c r="C887" s="77" t="s">
        <v>1570</v>
      </c>
      <c r="D887" s="13">
        <f>SUMIFS('Lançamentos de receitas'!$E:$E,'Lançamentos de receitas'!$A:$A,B887,'Lançamentos de receitas'!$C:$C,A887,'Lançamentos de receitas'!$F:$F,"TRANSFERÊNCIA")</f>
        <v>19184.88</v>
      </c>
      <c r="E887" s="15">
        <f t="shared" si="1"/>
        <v>2025</v>
      </c>
      <c r="F887" s="15">
        <f t="shared" si="2"/>
        <v>3</v>
      </c>
      <c r="G887" s="15">
        <f t="shared" si="3"/>
        <v>10</v>
      </c>
    </row>
    <row r="888">
      <c r="A888" s="10" t="s">
        <v>27</v>
      </c>
      <c r="B888" s="9">
        <f t="shared" si="4"/>
        <v>45726</v>
      </c>
      <c r="C888" s="77" t="s">
        <v>1571</v>
      </c>
      <c r="D888" s="13">
        <f>SUMIFS('Lançamentos de despesas'!$K:$K,'Lançamentos de despesas'!$C:$C,B888,'Lançamentos de despesas'!$G:$G,A888,'Lançamentos de despesas'!$E:$E,"pago")</f>
        <v>2015.33</v>
      </c>
      <c r="E888" s="15">
        <f t="shared" si="1"/>
        <v>2025</v>
      </c>
      <c r="F888" s="15">
        <f t="shared" si="2"/>
        <v>3</v>
      </c>
      <c r="G888" s="15">
        <f t="shared" si="3"/>
        <v>10</v>
      </c>
    </row>
    <row r="889">
      <c r="A889" s="10" t="s">
        <v>27</v>
      </c>
      <c r="B889" s="9">
        <f t="shared" si="4"/>
        <v>45726</v>
      </c>
      <c r="C889" s="77" t="s">
        <v>1572</v>
      </c>
      <c r="D889" s="13">
        <f>D886+D887-D888</f>
        <v>78798.319</v>
      </c>
      <c r="E889" s="15">
        <f t="shared" si="1"/>
        <v>2025</v>
      </c>
      <c r="F889" s="15">
        <f t="shared" si="2"/>
        <v>3</v>
      </c>
      <c r="G889" s="15">
        <f t="shared" si="3"/>
        <v>10</v>
      </c>
    </row>
    <row r="890">
      <c r="A890" s="10" t="s">
        <v>27</v>
      </c>
      <c r="B890" s="9">
        <f t="shared" si="4"/>
        <v>45727</v>
      </c>
      <c r="C890" s="77" t="s">
        <v>1569</v>
      </c>
      <c r="D890" s="12">
        <f>D889</f>
        <v>78798.319</v>
      </c>
      <c r="E890" s="15">
        <f t="shared" si="1"/>
        <v>2025</v>
      </c>
      <c r="F890" s="15">
        <f t="shared" si="2"/>
        <v>3</v>
      </c>
      <c r="G890" s="15">
        <f t="shared" si="3"/>
        <v>11</v>
      </c>
    </row>
    <row r="891">
      <c r="A891" s="10" t="s">
        <v>27</v>
      </c>
      <c r="B891" s="9">
        <f t="shared" si="4"/>
        <v>45727</v>
      </c>
      <c r="C891" s="77" t="s">
        <v>1570</v>
      </c>
      <c r="D891" s="13">
        <f>SUMIFS('Lançamentos de receitas'!$E:$E,'Lançamentos de receitas'!$A:$A,B891,'Lançamentos de receitas'!$C:$C,A891,'Lançamentos de receitas'!$F:$F,"TRANSFERÊNCIA")</f>
        <v>0</v>
      </c>
      <c r="E891" s="15">
        <f t="shared" si="1"/>
        <v>2025</v>
      </c>
      <c r="F891" s="15">
        <f t="shared" si="2"/>
        <v>3</v>
      </c>
      <c r="G891" s="15">
        <f t="shared" si="3"/>
        <v>11</v>
      </c>
    </row>
    <row r="892">
      <c r="A892" s="10" t="s">
        <v>27</v>
      </c>
      <c r="B892" s="9">
        <f t="shared" si="4"/>
        <v>45727</v>
      </c>
      <c r="C892" s="77" t="s">
        <v>1571</v>
      </c>
      <c r="D892" s="13">
        <f>SUMIFS('Lançamentos de despesas'!$K:$K,'Lançamentos de despesas'!$C:$C,B892,'Lançamentos de despesas'!$G:$G,A892,'Lançamentos de despesas'!$E:$E,"pago")</f>
        <v>525.08</v>
      </c>
      <c r="E892" s="15">
        <f t="shared" si="1"/>
        <v>2025</v>
      </c>
      <c r="F892" s="15">
        <f t="shared" si="2"/>
        <v>3</v>
      </c>
      <c r="G892" s="15">
        <f t="shared" si="3"/>
        <v>11</v>
      </c>
    </row>
    <row r="893">
      <c r="A893" s="10" t="s">
        <v>27</v>
      </c>
      <c r="B893" s="9">
        <f t="shared" si="4"/>
        <v>45727</v>
      </c>
      <c r="C893" s="77" t="s">
        <v>1572</v>
      </c>
      <c r="D893" s="13">
        <f>D890+D891-D892</f>
        <v>78273.239</v>
      </c>
      <c r="E893" s="15">
        <f t="shared" si="1"/>
        <v>2025</v>
      </c>
      <c r="F893" s="15">
        <f t="shared" si="2"/>
        <v>3</v>
      </c>
      <c r="G893" s="15">
        <f t="shared" si="3"/>
        <v>11</v>
      </c>
    </row>
    <row r="894">
      <c r="A894" s="10" t="s">
        <v>27</v>
      </c>
      <c r="B894" s="9">
        <f t="shared" si="4"/>
        <v>45728</v>
      </c>
      <c r="C894" s="77" t="s">
        <v>1569</v>
      </c>
      <c r="D894" s="12">
        <f>D893</f>
        <v>78273.239</v>
      </c>
      <c r="E894" s="15">
        <f t="shared" si="1"/>
        <v>2025</v>
      </c>
      <c r="F894" s="15">
        <f t="shared" si="2"/>
        <v>3</v>
      </c>
      <c r="G894" s="15">
        <f t="shared" si="3"/>
        <v>12</v>
      </c>
    </row>
    <row r="895">
      <c r="A895" s="10" t="s">
        <v>27</v>
      </c>
      <c r="B895" s="9">
        <f t="shared" si="4"/>
        <v>45728</v>
      </c>
      <c r="C895" s="77" t="s">
        <v>1570</v>
      </c>
      <c r="D895" s="13">
        <f>SUMIFS('Lançamentos de receitas'!$E:$E,'Lançamentos de receitas'!$A:$A,B895,'Lançamentos de receitas'!$C:$C,A895,'Lançamentos de receitas'!$F:$F,"TRANSFERÊNCIA")</f>
        <v>1294.16</v>
      </c>
      <c r="E895" s="15">
        <f t="shared" si="1"/>
        <v>2025</v>
      </c>
      <c r="F895" s="15">
        <f t="shared" si="2"/>
        <v>3</v>
      </c>
      <c r="G895" s="15">
        <f t="shared" si="3"/>
        <v>12</v>
      </c>
    </row>
    <row r="896">
      <c r="A896" s="10" t="s">
        <v>27</v>
      </c>
      <c r="B896" s="9">
        <f t="shared" si="4"/>
        <v>45728</v>
      </c>
      <c r="C896" s="77" t="s">
        <v>1571</v>
      </c>
      <c r="D896" s="13">
        <f>SUMIFS('Lançamentos de despesas'!$K:$K,'Lançamentos de despesas'!$C:$C,B896,'Lançamentos de despesas'!$G:$G,A896,'Lançamentos de despesas'!$E:$E,"pago")</f>
        <v>1686.66</v>
      </c>
      <c r="E896" s="15">
        <f t="shared" si="1"/>
        <v>2025</v>
      </c>
      <c r="F896" s="15">
        <f t="shared" si="2"/>
        <v>3</v>
      </c>
      <c r="G896" s="15">
        <f t="shared" si="3"/>
        <v>12</v>
      </c>
    </row>
    <row r="897">
      <c r="A897" s="10" t="s">
        <v>27</v>
      </c>
      <c r="B897" s="9">
        <f t="shared" si="4"/>
        <v>45728</v>
      </c>
      <c r="C897" s="77" t="s">
        <v>1572</v>
      </c>
      <c r="D897" s="13">
        <f>D894+D895-D896</f>
        <v>77880.739</v>
      </c>
      <c r="E897" s="15">
        <f t="shared" si="1"/>
        <v>2025</v>
      </c>
      <c r="F897" s="15">
        <f t="shared" si="2"/>
        <v>3</v>
      </c>
      <c r="G897" s="15">
        <f t="shared" si="3"/>
        <v>12</v>
      </c>
    </row>
    <row r="898">
      <c r="A898" s="10" t="s">
        <v>27</v>
      </c>
      <c r="B898" s="9">
        <f t="shared" si="4"/>
        <v>45729</v>
      </c>
      <c r="C898" s="77" t="s">
        <v>1569</v>
      </c>
      <c r="D898" s="12">
        <f>D897</f>
        <v>77880.739</v>
      </c>
      <c r="E898" s="15">
        <f t="shared" si="1"/>
        <v>2025</v>
      </c>
      <c r="F898" s="15">
        <f t="shared" si="2"/>
        <v>3</v>
      </c>
      <c r="G898" s="15">
        <f t="shared" si="3"/>
        <v>13</v>
      </c>
    </row>
    <row r="899">
      <c r="A899" s="10" t="s">
        <v>27</v>
      </c>
      <c r="B899" s="9">
        <f t="shared" si="4"/>
        <v>45729</v>
      </c>
      <c r="C899" s="77" t="s">
        <v>1570</v>
      </c>
      <c r="D899" s="13">
        <f>SUMIFS('Lançamentos de receitas'!$E:$E,'Lançamentos de receitas'!$A:$A,B899,'Lançamentos de receitas'!$C:$C,A899,'Lançamentos de receitas'!$F:$F,"TRANSFERÊNCIA")</f>
        <v>1006.46</v>
      </c>
      <c r="E899" s="15">
        <f t="shared" si="1"/>
        <v>2025</v>
      </c>
      <c r="F899" s="15">
        <f t="shared" si="2"/>
        <v>3</v>
      </c>
      <c r="G899" s="15">
        <f t="shared" si="3"/>
        <v>13</v>
      </c>
    </row>
    <row r="900">
      <c r="A900" s="10" t="s">
        <v>27</v>
      </c>
      <c r="B900" s="9">
        <f t="shared" si="4"/>
        <v>45729</v>
      </c>
      <c r="C900" s="77" t="s">
        <v>1571</v>
      </c>
      <c r="D900" s="13">
        <f>SUMIFS('Lançamentos de despesas'!$K:$K,'Lançamentos de despesas'!$C:$C,B900,'Lançamentos de despesas'!$G:$G,A900,'Lançamentos de despesas'!$E:$E,"pago")</f>
        <v>1150</v>
      </c>
      <c r="E900" s="15">
        <f t="shared" si="1"/>
        <v>2025</v>
      </c>
      <c r="F900" s="15">
        <f t="shared" si="2"/>
        <v>3</v>
      </c>
      <c r="G900" s="15">
        <f t="shared" si="3"/>
        <v>13</v>
      </c>
    </row>
    <row r="901">
      <c r="A901" s="10" t="s">
        <v>27</v>
      </c>
      <c r="B901" s="9">
        <f t="shared" si="4"/>
        <v>45729</v>
      </c>
      <c r="C901" s="77" t="s">
        <v>1572</v>
      </c>
      <c r="D901" s="13">
        <f>D898+D899-D900</f>
        <v>77737.199</v>
      </c>
      <c r="E901" s="15">
        <f t="shared" si="1"/>
        <v>2025</v>
      </c>
      <c r="F901" s="15">
        <f t="shared" si="2"/>
        <v>3</v>
      </c>
      <c r="G901" s="15">
        <f t="shared" si="3"/>
        <v>13</v>
      </c>
    </row>
    <row r="902">
      <c r="A902" s="10" t="s">
        <v>27</v>
      </c>
      <c r="B902" s="9">
        <f t="shared" si="4"/>
        <v>45730</v>
      </c>
      <c r="C902" s="77" t="s">
        <v>1569</v>
      </c>
      <c r="D902" s="12">
        <f>D901</f>
        <v>77737.199</v>
      </c>
      <c r="E902" s="15">
        <f t="shared" si="1"/>
        <v>2025</v>
      </c>
      <c r="F902" s="15">
        <f t="shared" si="2"/>
        <v>3</v>
      </c>
      <c r="G902" s="15">
        <f t="shared" si="3"/>
        <v>14</v>
      </c>
    </row>
    <row r="903">
      <c r="A903" s="10" t="s">
        <v>27</v>
      </c>
      <c r="B903" s="9">
        <f t="shared" si="4"/>
        <v>45730</v>
      </c>
      <c r="C903" s="77" t="s">
        <v>1570</v>
      </c>
      <c r="D903" s="13">
        <f>SUMIFS('Lançamentos de receitas'!$E:$E,'Lançamentos de receitas'!$A:$A,B903,'Lançamentos de receitas'!$C:$C,A903,'Lançamentos de receitas'!$F:$F,"TRANSFERÊNCIA")</f>
        <v>486.07</v>
      </c>
      <c r="E903" s="15">
        <f t="shared" si="1"/>
        <v>2025</v>
      </c>
      <c r="F903" s="15">
        <f t="shared" si="2"/>
        <v>3</v>
      </c>
      <c r="G903" s="15">
        <f t="shared" si="3"/>
        <v>14</v>
      </c>
    </row>
    <row r="904">
      <c r="A904" s="10" t="s">
        <v>27</v>
      </c>
      <c r="B904" s="9">
        <f t="shared" si="4"/>
        <v>45730</v>
      </c>
      <c r="C904" s="77" t="s">
        <v>1571</v>
      </c>
      <c r="D904" s="13">
        <f>SUMIFS('Lançamentos de despesas'!$K:$K,'Lançamentos de despesas'!$C:$C,B904,'Lançamentos de despesas'!$G:$G,A904,'Lançamentos de despesas'!$E:$E,"pago")</f>
        <v>8650.21</v>
      </c>
      <c r="E904" s="15">
        <f t="shared" si="1"/>
        <v>2025</v>
      </c>
      <c r="F904" s="15">
        <f t="shared" si="2"/>
        <v>3</v>
      </c>
      <c r="G904" s="15">
        <f t="shared" si="3"/>
        <v>14</v>
      </c>
    </row>
    <row r="905">
      <c r="A905" s="10" t="s">
        <v>27</v>
      </c>
      <c r="B905" s="9">
        <f t="shared" si="4"/>
        <v>45730</v>
      </c>
      <c r="C905" s="77" t="s">
        <v>1572</v>
      </c>
      <c r="D905" s="13">
        <f>D902+D903-D904</f>
        <v>69573.059</v>
      </c>
      <c r="E905" s="15">
        <f t="shared" si="1"/>
        <v>2025</v>
      </c>
      <c r="F905" s="15">
        <f t="shared" si="2"/>
        <v>3</v>
      </c>
      <c r="G905" s="15">
        <f t="shared" si="3"/>
        <v>14</v>
      </c>
    </row>
    <row r="906">
      <c r="A906" s="10" t="s">
        <v>27</v>
      </c>
      <c r="B906" s="9">
        <f t="shared" si="4"/>
        <v>45731</v>
      </c>
      <c r="C906" s="77" t="s">
        <v>1569</v>
      </c>
      <c r="D906" s="12">
        <f>D905</f>
        <v>69573.059</v>
      </c>
      <c r="E906" s="15">
        <f t="shared" si="1"/>
        <v>2025</v>
      </c>
      <c r="F906" s="15">
        <f t="shared" si="2"/>
        <v>3</v>
      </c>
      <c r="G906" s="15">
        <f t="shared" si="3"/>
        <v>15</v>
      </c>
    </row>
    <row r="907">
      <c r="A907" s="10" t="s">
        <v>27</v>
      </c>
      <c r="B907" s="9">
        <f t="shared" si="4"/>
        <v>45731</v>
      </c>
      <c r="C907" s="77" t="s">
        <v>1570</v>
      </c>
      <c r="D907" s="13">
        <f>SUMIFS('Lançamentos de receitas'!$E:$E,'Lançamentos de receitas'!$A:$A,B907,'Lançamentos de receitas'!$C:$C,A907,'Lançamentos de receitas'!$F:$F,"TRANSFERÊNCIA")</f>
        <v>1442.57</v>
      </c>
      <c r="E907" s="15">
        <f t="shared" si="1"/>
        <v>2025</v>
      </c>
      <c r="F907" s="15">
        <f t="shared" si="2"/>
        <v>3</v>
      </c>
      <c r="G907" s="15">
        <f t="shared" si="3"/>
        <v>15</v>
      </c>
    </row>
    <row r="908">
      <c r="A908" s="10" t="s">
        <v>27</v>
      </c>
      <c r="B908" s="9">
        <f t="shared" si="4"/>
        <v>45731</v>
      </c>
      <c r="C908" s="77" t="s">
        <v>1571</v>
      </c>
      <c r="D908" s="13">
        <f>SUMIFS('Lançamentos de despesas'!$K:$K,'Lançamentos de despesas'!$C:$C,B908,'Lançamentos de despesas'!$G:$G,A908,'Lançamentos de despesas'!$E:$E,"pago")</f>
        <v>0</v>
      </c>
      <c r="E908" s="15">
        <f t="shared" si="1"/>
        <v>2025</v>
      </c>
      <c r="F908" s="15">
        <f t="shared" si="2"/>
        <v>3</v>
      </c>
      <c r="G908" s="15">
        <f t="shared" si="3"/>
        <v>15</v>
      </c>
    </row>
    <row r="909">
      <c r="A909" s="10" t="s">
        <v>27</v>
      </c>
      <c r="B909" s="9">
        <f t="shared" si="4"/>
        <v>45731</v>
      </c>
      <c r="C909" s="77" t="s">
        <v>1572</v>
      </c>
      <c r="D909" s="13">
        <f>D906+D907-D908</f>
        <v>71015.629</v>
      </c>
      <c r="E909" s="15">
        <f t="shared" si="1"/>
        <v>2025</v>
      </c>
      <c r="F909" s="15">
        <f t="shared" si="2"/>
        <v>3</v>
      </c>
      <c r="G909" s="15">
        <f t="shared" si="3"/>
        <v>15</v>
      </c>
    </row>
    <row r="910">
      <c r="A910" s="10" t="s">
        <v>27</v>
      </c>
      <c r="B910" s="9">
        <f t="shared" si="4"/>
        <v>45732</v>
      </c>
      <c r="C910" s="77" t="s">
        <v>1569</v>
      </c>
      <c r="D910" s="12">
        <f>D909</f>
        <v>71015.629</v>
      </c>
      <c r="E910" s="15">
        <f t="shared" si="1"/>
        <v>2025</v>
      </c>
      <c r="F910" s="15">
        <f t="shared" si="2"/>
        <v>3</v>
      </c>
      <c r="G910" s="15">
        <f t="shared" si="3"/>
        <v>16</v>
      </c>
    </row>
    <row r="911">
      <c r="A911" s="10" t="s">
        <v>27</v>
      </c>
      <c r="B911" s="9">
        <f t="shared" si="4"/>
        <v>45732</v>
      </c>
      <c r="C911" s="77" t="s">
        <v>1570</v>
      </c>
      <c r="D911" s="13">
        <f>SUMIFS('Lançamentos de receitas'!$E:$E,'Lançamentos de receitas'!$A:$A,B911,'Lançamentos de receitas'!$C:$C,A911,'Lançamentos de receitas'!$F:$F,"TRANSFERÊNCIA")</f>
        <v>2205.82</v>
      </c>
      <c r="E911" s="15">
        <f t="shared" si="1"/>
        <v>2025</v>
      </c>
      <c r="F911" s="15">
        <f t="shared" si="2"/>
        <v>3</v>
      </c>
      <c r="G911" s="15">
        <f t="shared" si="3"/>
        <v>16</v>
      </c>
    </row>
    <row r="912">
      <c r="A912" s="10" t="s">
        <v>27</v>
      </c>
      <c r="B912" s="9">
        <f t="shared" si="4"/>
        <v>45732</v>
      </c>
      <c r="C912" s="77" t="s">
        <v>1571</v>
      </c>
      <c r="D912" s="13">
        <f>SUMIFS('Lançamentos de despesas'!$K:$K,'Lançamentos de despesas'!$C:$C,B912,'Lançamentos de despesas'!$G:$G,A912,'Lançamentos de despesas'!$E:$E,"pago")</f>
        <v>0</v>
      </c>
      <c r="E912" s="15">
        <f t="shared" si="1"/>
        <v>2025</v>
      </c>
      <c r="F912" s="15">
        <f t="shared" si="2"/>
        <v>3</v>
      </c>
      <c r="G912" s="15">
        <f t="shared" si="3"/>
        <v>16</v>
      </c>
    </row>
    <row r="913">
      <c r="A913" s="10" t="s">
        <v>27</v>
      </c>
      <c r="B913" s="9">
        <f t="shared" si="4"/>
        <v>45732</v>
      </c>
      <c r="C913" s="77" t="s">
        <v>1572</v>
      </c>
      <c r="D913" s="13">
        <f>D910+D911-D912</f>
        <v>73221.449</v>
      </c>
      <c r="E913" s="15">
        <f t="shared" si="1"/>
        <v>2025</v>
      </c>
      <c r="F913" s="15">
        <f t="shared" si="2"/>
        <v>3</v>
      </c>
      <c r="G913" s="15">
        <f t="shared" si="3"/>
        <v>16</v>
      </c>
    </row>
    <row r="914">
      <c r="A914" s="10" t="s">
        <v>27</v>
      </c>
      <c r="B914" s="9">
        <f t="shared" si="4"/>
        <v>45733</v>
      </c>
      <c r="C914" s="77" t="s">
        <v>1569</v>
      </c>
      <c r="D914" s="12">
        <f>D913</f>
        <v>73221.449</v>
      </c>
      <c r="E914" s="15">
        <f t="shared" si="1"/>
        <v>2025</v>
      </c>
      <c r="F914" s="15">
        <f t="shared" si="2"/>
        <v>3</v>
      </c>
      <c r="G914" s="15">
        <f t="shared" si="3"/>
        <v>17</v>
      </c>
    </row>
    <row r="915">
      <c r="A915" s="10" t="s">
        <v>27</v>
      </c>
      <c r="B915" s="9">
        <f t="shared" si="4"/>
        <v>45733</v>
      </c>
      <c r="C915" s="77" t="s">
        <v>1570</v>
      </c>
      <c r="D915" s="13">
        <f>SUMIFS('Lançamentos de receitas'!$E:$E,'Lançamentos de receitas'!$A:$A,B915,'Lançamentos de receitas'!$C:$C,A915,'Lançamentos de receitas'!$F:$F,"TRANSFERÊNCIA")</f>
        <v>224.64</v>
      </c>
      <c r="E915" s="15">
        <f t="shared" si="1"/>
        <v>2025</v>
      </c>
      <c r="F915" s="15">
        <f t="shared" si="2"/>
        <v>3</v>
      </c>
      <c r="G915" s="15">
        <f t="shared" si="3"/>
        <v>17</v>
      </c>
    </row>
    <row r="916">
      <c r="A916" s="10" t="s">
        <v>27</v>
      </c>
      <c r="B916" s="9">
        <f t="shared" si="4"/>
        <v>45733</v>
      </c>
      <c r="C916" s="77" t="s">
        <v>1571</v>
      </c>
      <c r="D916" s="13">
        <f>SUMIFS('Lançamentos de despesas'!$K:$K,'Lançamentos de despesas'!$C:$C,B916,'Lançamentos de despesas'!$G:$G,A916,'Lançamentos de despesas'!$E:$E,"pago")</f>
        <v>537.99</v>
      </c>
      <c r="E916" s="15">
        <f t="shared" si="1"/>
        <v>2025</v>
      </c>
      <c r="F916" s="15">
        <f t="shared" si="2"/>
        <v>3</v>
      </c>
      <c r="G916" s="15">
        <f t="shared" si="3"/>
        <v>17</v>
      </c>
    </row>
    <row r="917">
      <c r="A917" s="10" t="s">
        <v>27</v>
      </c>
      <c r="B917" s="9">
        <f t="shared" si="4"/>
        <v>45733</v>
      </c>
      <c r="C917" s="77" t="s">
        <v>1572</v>
      </c>
      <c r="D917" s="13">
        <f>D914+D915-D916</f>
        <v>72908.099</v>
      </c>
      <c r="E917" s="15">
        <f t="shared" si="1"/>
        <v>2025</v>
      </c>
      <c r="F917" s="15">
        <f t="shared" si="2"/>
        <v>3</v>
      </c>
      <c r="G917" s="15">
        <f t="shared" si="3"/>
        <v>17</v>
      </c>
    </row>
    <row r="918">
      <c r="A918" s="10" t="s">
        <v>27</v>
      </c>
      <c r="B918" s="9">
        <f t="shared" si="4"/>
        <v>45734</v>
      </c>
      <c r="C918" s="77" t="s">
        <v>1569</v>
      </c>
      <c r="D918" s="12">
        <f>D917</f>
        <v>72908.099</v>
      </c>
      <c r="E918" s="15">
        <f t="shared" si="1"/>
        <v>2025</v>
      </c>
      <c r="F918" s="15">
        <f t="shared" si="2"/>
        <v>3</v>
      </c>
      <c r="G918" s="15">
        <f t="shared" si="3"/>
        <v>18</v>
      </c>
    </row>
    <row r="919">
      <c r="A919" s="10" t="s">
        <v>27</v>
      </c>
      <c r="B919" s="9">
        <f t="shared" si="4"/>
        <v>45734</v>
      </c>
      <c r="C919" s="77" t="s">
        <v>1570</v>
      </c>
      <c r="D919" s="13">
        <f>SUMIFS('Lançamentos de receitas'!$E:$E,'Lançamentos de receitas'!$A:$A,B919,'Lançamentos de receitas'!$C:$C,A919,'Lançamentos de receitas'!$F:$F,"TRANSFERÊNCIA")</f>
        <v>2102.97</v>
      </c>
      <c r="E919" s="15">
        <f t="shared" si="1"/>
        <v>2025</v>
      </c>
      <c r="F919" s="15">
        <f t="shared" si="2"/>
        <v>3</v>
      </c>
      <c r="G919" s="15">
        <f t="shared" si="3"/>
        <v>18</v>
      </c>
    </row>
    <row r="920">
      <c r="A920" s="10" t="s">
        <v>27</v>
      </c>
      <c r="B920" s="9">
        <f t="shared" si="4"/>
        <v>45734</v>
      </c>
      <c r="C920" s="77" t="s">
        <v>1571</v>
      </c>
      <c r="D920" s="13">
        <f>SUMIFS('Lançamentos de despesas'!$K:$K,'Lançamentos de despesas'!$C:$C,B920,'Lançamentos de despesas'!$G:$G,A920,'Lançamentos de despesas'!$E:$E,"pago")</f>
        <v>3226.07</v>
      </c>
      <c r="E920" s="15">
        <f t="shared" si="1"/>
        <v>2025</v>
      </c>
      <c r="F920" s="15">
        <f t="shared" si="2"/>
        <v>3</v>
      </c>
      <c r="G920" s="15">
        <f t="shared" si="3"/>
        <v>18</v>
      </c>
    </row>
    <row r="921">
      <c r="A921" s="10" t="s">
        <v>27</v>
      </c>
      <c r="B921" s="9">
        <f t="shared" si="4"/>
        <v>45734</v>
      </c>
      <c r="C921" s="77" t="s">
        <v>1572</v>
      </c>
      <c r="D921" s="13">
        <f>D918+D919-D920</f>
        <v>71784.999</v>
      </c>
      <c r="E921" s="15">
        <f t="shared" si="1"/>
        <v>2025</v>
      </c>
      <c r="F921" s="15">
        <f t="shared" si="2"/>
        <v>3</v>
      </c>
      <c r="G921" s="15">
        <f t="shared" si="3"/>
        <v>18</v>
      </c>
    </row>
    <row r="922">
      <c r="A922" s="10" t="s">
        <v>27</v>
      </c>
      <c r="B922" s="9">
        <f t="shared" si="4"/>
        <v>45735</v>
      </c>
      <c r="C922" s="77" t="s">
        <v>1569</v>
      </c>
      <c r="D922" s="12">
        <f>D921</f>
        <v>71784.999</v>
      </c>
      <c r="E922" s="15">
        <f t="shared" si="1"/>
        <v>2025</v>
      </c>
      <c r="F922" s="15">
        <f t="shared" si="2"/>
        <v>3</v>
      </c>
      <c r="G922" s="15">
        <f t="shared" si="3"/>
        <v>19</v>
      </c>
    </row>
    <row r="923">
      <c r="A923" s="10" t="s">
        <v>27</v>
      </c>
      <c r="B923" s="9">
        <f t="shared" si="4"/>
        <v>45735</v>
      </c>
      <c r="C923" s="77" t="s">
        <v>1570</v>
      </c>
      <c r="D923" s="13">
        <f>SUMIFS('Lançamentos de receitas'!$E:$E,'Lançamentos de receitas'!$A:$A,B923,'Lançamentos de receitas'!$C:$C,A923,'Lançamentos de receitas'!$F:$F,"TRANSFERÊNCIA")</f>
        <v>1875.69</v>
      </c>
      <c r="E923" s="15">
        <f t="shared" si="1"/>
        <v>2025</v>
      </c>
      <c r="F923" s="15">
        <f t="shared" si="2"/>
        <v>3</v>
      </c>
      <c r="G923" s="15">
        <f t="shared" si="3"/>
        <v>19</v>
      </c>
    </row>
    <row r="924">
      <c r="A924" s="10" t="s">
        <v>27</v>
      </c>
      <c r="B924" s="9">
        <f t="shared" si="4"/>
        <v>45735</v>
      </c>
      <c r="C924" s="77" t="s">
        <v>1571</v>
      </c>
      <c r="D924" s="13">
        <f>SUMIFS('Lançamentos de despesas'!$K:$K,'Lançamentos de despesas'!$C:$C,B924,'Lançamentos de despesas'!$G:$G,A924,'Lançamentos de despesas'!$E:$E,"pago")</f>
        <v>2250</v>
      </c>
      <c r="E924" s="15">
        <f t="shared" si="1"/>
        <v>2025</v>
      </c>
      <c r="F924" s="15">
        <f t="shared" si="2"/>
        <v>3</v>
      </c>
      <c r="G924" s="15">
        <f t="shared" si="3"/>
        <v>19</v>
      </c>
    </row>
    <row r="925">
      <c r="A925" s="10" t="s">
        <v>27</v>
      </c>
      <c r="B925" s="9">
        <f t="shared" si="4"/>
        <v>45735</v>
      </c>
      <c r="C925" s="77" t="s">
        <v>1572</v>
      </c>
      <c r="D925" s="13">
        <f>D922+D923-D924</f>
        <v>71410.689</v>
      </c>
      <c r="E925" s="15">
        <f t="shared" si="1"/>
        <v>2025</v>
      </c>
      <c r="F925" s="15">
        <f t="shared" si="2"/>
        <v>3</v>
      </c>
      <c r="G925" s="15">
        <f t="shared" si="3"/>
        <v>19</v>
      </c>
    </row>
    <row r="926">
      <c r="A926" s="10" t="s">
        <v>27</v>
      </c>
      <c r="B926" s="9">
        <f t="shared" si="4"/>
        <v>45736</v>
      </c>
      <c r="C926" s="77" t="s">
        <v>1569</v>
      </c>
      <c r="D926" s="12">
        <f>D925</f>
        <v>71410.689</v>
      </c>
      <c r="E926" s="15">
        <f t="shared" si="1"/>
        <v>2025</v>
      </c>
      <c r="F926" s="15">
        <f t="shared" si="2"/>
        <v>3</v>
      </c>
      <c r="G926" s="15">
        <f t="shared" si="3"/>
        <v>20</v>
      </c>
    </row>
    <row r="927">
      <c r="A927" s="10" t="s">
        <v>27</v>
      </c>
      <c r="B927" s="9">
        <f t="shared" si="4"/>
        <v>45736</v>
      </c>
      <c r="C927" s="77" t="s">
        <v>1570</v>
      </c>
      <c r="D927" s="13">
        <f>SUMIFS('Lançamentos de receitas'!$E:$E,'Lançamentos de receitas'!$A:$A,B927,'Lançamentos de receitas'!$C:$C,A927,'Lançamentos de receitas'!$F:$F,"TRANSFERÊNCIA")</f>
        <v>17671.6</v>
      </c>
      <c r="E927" s="15">
        <f t="shared" si="1"/>
        <v>2025</v>
      </c>
      <c r="F927" s="15">
        <f t="shared" si="2"/>
        <v>3</v>
      </c>
      <c r="G927" s="15">
        <f t="shared" si="3"/>
        <v>20</v>
      </c>
    </row>
    <row r="928">
      <c r="A928" s="10" t="s">
        <v>27</v>
      </c>
      <c r="B928" s="9">
        <f t="shared" si="4"/>
        <v>45736</v>
      </c>
      <c r="C928" s="77" t="s">
        <v>1571</v>
      </c>
      <c r="D928" s="13">
        <f>SUMIFS('Lançamentos de despesas'!$K:$K,'Lançamentos de despesas'!$C:$C,B928,'Lançamentos de despesas'!$G:$G,A928,'Lançamentos de despesas'!$E:$E,"pago")</f>
        <v>23290.63</v>
      </c>
      <c r="E928" s="15">
        <f t="shared" si="1"/>
        <v>2025</v>
      </c>
      <c r="F928" s="15">
        <f t="shared" si="2"/>
        <v>3</v>
      </c>
      <c r="G928" s="15">
        <f t="shared" si="3"/>
        <v>20</v>
      </c>
    </row>
    <row r="929">
      <c r="A929" s="10" t="s">
        <v>27</v>
      </c>
      <c r="B929" s="9">
        <f t="shared" si="4"/>
        <v>45736</v>
      </c>
      <c r="C929" s="77" t="s">
        <v>1572</v>
      </c>
      <c r="D929" s="13">
        <f>D926+D927-D928</f>
        <v>65791.659</v>
      </c>
      <c r="E929" s="15">
        <f t="shared" si="1"/>
        <v>2025</v>
      </c>
      <c r="F929" s="15">
        <f t="shared" si="2"/>
        <v>3</v>
      </c>
      <c r="G929" s="15">
        <f t="shared" si="3"/>
        <v>20</v>
      </c>
    </row>
    <row r="930">
      <c r="A930" s="10" t="s">
        <v>27</v>
      </c>
      <c r="B930" s="9">
        <f t="shared" si="4"/>
        <v>45737</v>
      </c>
      <c r="C930" s="77" t="s">
        <v>1569</v>
      </c>
      <c r="D930" s="12">
        <f>D929</f>
        <v>65791.659</v>
      </c>
      <c r="E930" s="15">
        <f t="shared" si="1"/>
        <v>2025</v>
      </c>
      <c r="F930" s="15">
        <f t="shared" si="2"/>
        <v>3</v>
      </c>
      <c r="G930" s="15">
        <f t="shared" si="3"/>
        <v>21</v>
      </c>
    </row>
    <row r="931">
      <c r="A931" s="10" t="s">
        <v>27</v>
      </c>
      <c r="B931" s="9">
        <f t="shared" si="4"/>
        <v>45737</v>
      </c>
      <c r="C931" s="77" t="s">
        <v>1570</v>
      </c>
      <c r="D931" s="13">
        <f>SUMIFS('Lançamentos de receitas'!$E:$E,'Lançamentos de receitas'!$A:$A,B931,'Lançamentos de receitas'!$C:$C,A931,'Lançamentos de receitas'!$F:$F,"TRANSFERÊNCIA")</f>
        <v>47029.11</v>
      </c>
      <c r="E931" s="15">
        <f t="shared" si="1"/>
        <v>2025</v>
      </c>
      <c r="F931" s="15">
        <f t="shared" si="2"/>
        <v>3</v>
      </c>
      <c r="G931" s="15">
        <f t="shared" si="3"/>
        <v>21</v>
      </c>
    </row>
    <row r="932">
      <c r="A932" s="10" t="s">
        <v>27</v>
      </c>
      <c r="B932" s="9">
        <f t="shared" si="4"/>
        <v>45737</v>
      </c>
      <c r="C932" s="77" t="s">
        <v>1571</v>
      </c>
      <c r="D932" s="13">
        <f>SUMIFS('Lançamentos de despesas'!$K:$K,'Lançamentos de despesas'!$C:$C,B932,'Lançamentos de despesas'!$G:$G,A932,'Lançamentos de despesas'!$E:$E,"pago")</f>
        <v>0</v>
      </c>
      <c r="E932" s="15">
        <f t="shared" si="1"/>
        <v>2025</v>
      </c>
      <c r="F932" s="15">
        <f t="shared" si="2"/>
        <v>3</v>
      </c>
      <c r="G932" s="15">
        <f t="shared" si="3"/>
        <v>21</v>
      </c>
    </row>
    <row r="933">
      <c r="A933" s="10" t="s">
        <v>27</v>
      </c>
      <c r="B933" s="9">
        <f t="shared" si="4"/>
        <v>45737</v>
      </c>
      <c r="C933" s="77" t="s">
        <v>1572</v>
      </c>
      <c r="D933" s="13">
        <f>D930+D931-D932</f>
        <v>112820.769</v>
      </c>
      <c r="E933" s="15">
        <f t="shared" si="1"/>
        <v>2025</v>
      </c>
      <c r="F933" s="15">
        <f t="shared" si="2"/>
        <v>3</v>
      </c>
      <c r="G933" s="15">
        <f t="shared" si="3"/>
        <v>21</v>
      </c>
    </row>
    <row r="934">
      <c r="A934" s="10" t="s">
        <v>27</v>
      </c>
      <c r="B934" s="9">
        <f t="shared" si="4"/>
        <v>45738</v>
      </c>
      <c r="C934" s="77" t="s">
        <v>1569</v>
      </c>
      <c r="D934" s="12">
        <f>D933</f>
        <v>112820.769</v>
      </c>
      <c r="E934" s="15">
        <f t="shared" si="1"/>
        <v>2025</v>
      </c>
      <c r="F934" s="15">
        <f t="shared" si="2"/>
        <v>3</v>
      </c>
      <c r="G934" s="15">
        <f t="shared" si="3"/>
        <v>22</v>
      </c>
    </row>
    <row r="935">
      <c r="A935" s="10" t="s">
        <v>27</v>
      </c>
      <c r="B935" s="9">
        <f t="shared" si="4"/>
        <v>45738</v>
      </c>
      <c r="C935" s="77" t="s">
        <v>1570</v>
      </c>
      <c r="D935" s="13">
        <f>SUMIFS('Lançamentos de receitas'!$E:$E,'Lançamentos de receitas'!$A:$A,B935,'Lançamentos de receitas'!$C:$C,A935,'Lançamentos de receitas'!$F:$F,"TRANSFERÊNCIA")</f>
        <v>2013.54</v>
      </c>
      <c r="E935" s="15">
        <f t="shared" si="1"/>
        <v>2025</v>
      </c>
      <c r="F935" s="15">
        <f t="shared" si="2"/>
        <v>3</v>
      </c>
      <c r="G935" s="15">
        <f t="shared" si="3"/>
        <v>22</v>
      </c>
    </row>
    <row r="936">
      <c r="A936" s="10" t="s">
        <v>27</v>
      </c>
      <c r="B936" s="9">
        <f t="shared" si="4"/>
        <v>45738</v>
      </c>
      <c r="C936" s="77" t="s">
        <v>1571</v>
      </c>
      <c r="D936" s="13">
        <f>SUMIFS('Lançamentos de despesas'!$K:$K,'Lançamentos de despesas'!$C:$C,B936,'Lançamentos de despesas'!$G:$G,A936,'Lançamentos de despesas'!$E:$E,"pago")</f>
        <v>0</v>
      </c>
      <c r="E936" s="15">
        <f t="shared" si="1"/>
        <v>2025</v>
      </c>
      <c r="F936" s="15">
        <f t="shared" si="2"/>
        <v>3</v>
      </c>
      <c r="G936" s="15">
        <f t="shared" si="3"/>
        <v>22</v>
      </c>
    </row>
    <row r="937">
      <c r="A937" s="10" t="s">
        <v>27</v>
      </c>
      <c r="B937" s="9">
        <f t="shared" si="4"/>
        <v>45738</v>
      </c>
      <c r="C937" s="77" t="s">
        <v>1572</v>
      </c>
      <c r="D937" s="13">
        <f>D934+D935-D936</f>
        <v>114834.309</v>
      </c>
      <c r="E937" s="15">
        <f t="shared" si="1"/>
        <v>2025</v>
      </c>
      <c r="F937" s="15">
        <f t="shared" si="2"/>
        <v>3</v>
      </c>
      <c r="G937" s="15">
        <f t="shared" si="3"/>
        <v>22</v>
      </c>
    </row>
    <row r="938">
      <c r="A938" s="10" t="s">
        <v>27</v>
      </c>
      <c r="B938" s="9">
        <f t="shared" si="4"/>
        <v>45739</v>
      </c>
      <c r="C938" s="77" t="s">
        <v>1569</v>
      </c>
      <c r="D938" s="12">
        <f>D937</f>
        <v>114834.309</v>
      </c>
      <c r="E938" s="15">
        <f t="shared" si="1"/>
        <v>2025</v>
      </c>
      <c r="F938" s="15">
        <f t="shared" si="2"/>
        <v>3</v>
      </c>
      <c r="G938" s="15">
        <f t="shared" si="3"/>
        <v>23</v>
      </c>
    </row>
    <row r="939">
      <c r="A939" s="10" t="s">
        <v>27</v>
      </c>
      <c r="B939" s="9">
        <f t="shared" si="4"/>
        <v>45739</v>
      </c>
      <c r="C939" s="77" t="s">
        <v>1570</v>
      </c>
      <c r="D939" s="13">
        <f>SUMIFS('Lançamentos de receitas'!$E:$E,'Lançamentos de receitas'!$A:$A,B939,'Lançamentos de receitas'!$C:$C,A939,'Lançamentos de receitas'!$F:$F,"TRANSFERÊNCIA")</f>
        <v>903.83</v>
      </c>
      <c r="E939" s="15">
        <f t="shared" si="1"/>
        <v>2025</v>
      </c>
      <c r="F939" s="15">
        <f t="shared" si="2"/>
        <v>3</v>
      </c>
      <c r="G939" s="15">
        <f t="shared" si="3"/>
        <v>23</v>
      </c>
    </row>
    <row r="940">
      <c r="A940" s="10" t="s">
        <v>27</v>
      </c>
      <c r="B940" s="9">
        <f t="shared" si="4"/>
        <v>45739</v>
      </c>
      <c r="C940" s="77" t="s">
        <v>1571</v>
      </c>
      <c r="D940" s="13">
        <f>SUMIFS('Lançamentos de despesas'!$K:$K,'Lançamentos de despesas'!$C:$C,B940,'Lançamentos de despesas'!$G:$G,A940,'Lançamentos de despesas'!$E:$E,"pago")</f>
        <v>0</v>
      </c>
      <c r="E940" s="15">
        <f t="shared" si="1"/>
        <v>2025</v>
      </c>
      <c r="F940" s="15">
        <f t="shared" si="2"/>
        <v>3</v>
      </c>
      <c r="G940" s="15">
        <f t="shared" si="3"/>
        <v>23</v>
      </c>
    </row>
    <row r="941">
      <c r="A941" s="10" t="s">
        <v>27</v>
      </c>
      <c r="B941" s="9">
        <f t="shared" si="4"/>
        <v>45739</v>
      </c>
      <c r="C941" s="77" t="s">
        <v>1572</v>
      </c>
      <c r="D941" s="13">
        <f>D938+D939-D940</f>
        <v>115738.139</v>
      </c>
      <c r="E941" s="15">
        <f t="shared" si="1"/>
        <v>2025</v>
      </c>
      <c r="F941" s="15">
        <f t="shared" si="2"/>
        <v>3</v>
      </c>
      <c r="G941" s="15">
        <f t="shared" si="3"/>
        <v>23</v>
      </c>
    </row>
    <row r="942">
      <c r="A942" s="10" t="s">
        <v>27</v>
      </c>
      <c r="B942" s="9">
        <f t="shared" si="4"/>
        <v>45740</v>
      </c>
      <c r="C942" s="77" t="s">
        <v>1569</v>
      </c>
      <c r="D942" s="12">
        <f>D941</f>
        <v>115738.139</v>
      </c>
      <c r="E942" s="15">
        <f t="shared" si="1"/>
        <v>2025</v>
      </c>
      <c r="F942" s="15">
        <f t="shared" si="2"/>
        <v>3</v>
      </c>
      <c r="G942" s="15">
        <f t="shared" si="3"/>
        <v>24</v>
      </c>
    </row>
    <row r="943">
      <c r="A943" s="10" t="s">
        <v>27</v>
      </c>
      <c r="B943" s="9">
        <f t="shared" si="4"/>
        <v>45740</v>
      </c>
      <c r="C943" s="77" t="s">
        <v>1570</v>
      </c>
      <c r="D943" s="13">
        <f>SUMIFS('Lançamentos de receitas'!$E:$E,'Lançamentos de receitas'!$A:$A,B943,'Lançamentos de receitas'!$C:$C,A943,'Lançamentos de receitas'!$F:$F,"TRANSFERÊNCIA")</f>
        <v>15645.01</v>
      </c>
      <c r="E943" s="15">
        <f t="shared" si="1"/>
        <v>2025</v>
      </c>
      <c r="F943" s="15">
        <f t="shared" si="2"/>
        <v>3</v>
      </c>
      <c r="G943" s="15">
        <f t="shared" si="3"/>
        <v>24</v>
      </c>
    </row>
    <row r="944">
      <c r="A944" s="10" t="s">
        <v>27</v>
      </c>
      <c r="B944" s="9">
        <f t="shared" si="4"/>
        <v>45740</v>
      </c>
      <c r="C944" s="77" t="s">
        <v>1571</v>
      </c>
      <c r="D944" s="13">
        <f>SUMIFS('Lançamentos de despesas'!$K:$K,'Lançamentos de despesas'!$C:$C,B944,'Lançamentos de despesas'!$G:$G,A944,'Lançamentos de despesas'!$E:$E,"pago")</f>
        <v>124216.6</v>
      </c>
      <c r="E944" s="15">
        <f t="shared" si="1"/>
        <v>2025</v>
      </c>
      <c r="F944" s="15">
        <f t="shared" si="2"/>
        <v>3</v>
      </c>
      <c r="G944" s="15">
        <f t="shared" si="3"/>
        <v>24</v>
      </c>
    </row>
    <row r="945">
      <c r="A945" s="10" t="s">
        <v>27</v>
      </c>
      <c r="B945" s="9">
        <f t="shared" si="4"/>
        <v>45740</v>
      </c>
      <c r="C945" s="77" t="s">
        <v>1572</v>
      </c>
      <c r="D945" s="13">
        <f>D942+D943-D944</f>
        <v>7166.549</v>
      </c>
      <c r="E945" s="15">
        <f t="shared" si="1"/>
        <v>2025</v>
      </c>
      <c r="F945" s="15">
        <f t="shared" si="2"/>
        <v>3</v>
      </c>
      <c r="G945" s="15">
        <f t="shared" si="3"/>
        <v>24</v>
      </c>
    </row>
    <row r="946">
      <c r="A946" s="10" t="s">
        <v>27</v>
      </c>
      <c r="B946" s="9">
        <f t="shared" si="4"/>
        <v>45741</v>
      </c>
      <c r="C946" s="77" t="s">
        <v>1569</v>
      </c>
      <c r="D946" s="12">
        <f>D945</f>
        <v>7166.549</v>
      </c>
      <c r="E946" s="15">
        <f t="shared" si="1"/>
        <v>2025</v>
      </c>
      <c r="F946" s="15">
        <f t="shared" si="2"/>
        <v>3</v>
      </c>
      <c r="G946" s="15">
        <f t="shared" si="3"/>
        <v>25</v>
      </c>
    </row>
    <row r="947">
      <c r="A947" s="10" t="s">
        <v>27</v>
      </c>
      <c r="B947" s="9">
        <f t="shared" si="4"/>
        <v>45741</v>
      </c>
      <c r="C947" s="77" t="s">
        <v>1570</v>
      </c>
      <c r="D947" s="13">
        <f>SUMIFS('Lançamentos de receitas'!$E:$E,'Lançamentos de receitas'!$A:$A,B947,'Lançamentos de receitas'!$C:$C,A947,'Lançamentos de receitas'!$F:$F,"TRANSFERÊNCIA")</f>
        <v>2639.24</v>
      </c>
      <c r="E947" s="15">
        <f t="shared" si="1"/>
        <v>2025</v>
      </c>
      <c r="F947" s="15">
        <f t="shared" si="2"/>
        <v>3</v>
      </c>
      <c r="G947" s="15">
        <f t="shared" si="3"/>
        <v>25</v>
      </c>
    </row>
    <row r="948">
      <c r="A948" s="10" t="s">
        <v>27</v>
      </c>
      <c r="B948" s="9">
        <f t="shared" si="4"/>
        <v>45741</v>
      </c>
      <c r="C948" s="77" t="s">
        <v>1571</v>
      </c>
      <c r="D948" s="13">
        <f>SUMIFS('Lançamentos de despesas'!$K:$K,'Lançamentos de despesas'!$C:$C,B948,'Lançamentos de despesas'!$G:$G,A948,'Lançamentos de despesas'!$E:$E,"pago")</f>
        <v>6108.52</v>
      </c>
      <c r="E948" s="15">
        <f t="shared" si="1"/>
        <v>2025</v>
      </c>
      <c r="F948" s="15">
        <f t="shared" si="2"/>
        <v>3</v>
      </c>
      <c r="G948" s="15">
        <f t="shared" si="3"/>
        <v>25</v>
      </c>
    </row>
    <row r="949">
      <c r="A949" s="10" t="s">
        <v>27</v>
      </c>
      <c r="B949" s="9">
        <f t="shared" si="4"/>
        <v>45741</v>
      </c>
      <c r="C949" s="77" t="s">
        <v>1572</v>
      </c>
      <c r="D949" s="13">
        <f>D946+D947-D948</f>
        <v>3697.269</v>
      </c>
      <c r="E949" s="15">
        <f t="shared" si="1"/>
        <v>2025</v>
      </c>
      <c r="F949" s="15">
        <f t="shared" si="2"/>
        <v>3</v>
      </c>
      <c r="G949" s="15">
        <f t="shared" si="3"/>
        <v>25</v>
      </c>
    </row>
    <row r="950">
      <c r="A950" s="10" t="s">
        <v>27</v>
      </c>
      <c r="B950" s="9">
        <f t="shared" si="4"/>
        <v>45742</v>
      </c>
      <c r="C950" s="77" t="s">
        <v>1569</v>
      </c>
      <c r="D950" s="12">
        <f>D949</f>
        <v>3697.269</v>
      </c>
      <c r="E950" s="15">
        <f t="shared" si="1"/>
        <v>2025</v>
      </c>
      <c r="F950" s="15">
        <f t="shared" si="2"/>
        <v>3</v>
      </c>
      <c r="G950" s="15">
        <f t="shared" si="3"/>
        <v>26</v>
      </c>
    </row>
    <row r="951">
      <c r="A951" s="10" t="s">
        <v>27</v>
      </c>
      <c r="B951" s="9">
        <f t="shared" si="4"/>
        <v>45742</v>
      </c>
      <c r="C951" s="77" t="s">
        <v>1570</v>
      </c>
      <c r="D951" s="13">
        <f>SUMIFS('Lançamentos de receitas'!$E:$E,'Lançamentos de receitas'!$A:$A,B951,'Lançamentos de receitas'!$C:$C,A951,'Lançamentos de receitas'!$F:$F,"TRANSFERÊNCIA")</f>
        <v>6778.35</v>
      </c>
      <c r="E951" s="15">
        <f t="shared" si="1"/>
        <v>2025</v>
      </c>
      <c r="F951" s="15">
        <f t="shared" si="2"/>
        <v>3</v>
      </c>
      <c r="G951" s="15">
        <f t="shared" si="3"/>
        <v>26</v>
      </c>
    </row>
    <row r="952">
      <c r="A952" s="10" t="s">
        <v>27</v>
      </c>
      <c r="B952" s="9">
        <f t="shared" si="4"/>
        <v>45742</v>
      </c>
      <c r="C952" s="77" t="s">
        <v>1571</v>
      </c>
      <c r="D952" s="13">
        <f>SUMIFS('Lançamentos de despesas'!$K:$K,'Lançamentos de despesas'!$C:$C,B952,'Lançamentos de despesas'!$G:$G,A952,'Lançamentos de despesas'!$E:$E,"pago")</f>
        <v>0</v>
      </c>
      <c r="E952" s="15">
        <f t="shared" si="1"/>
        <v>2025</v>
      </c>
      <c r="F952" s="15">
        <f t="shared" si="2"/>
        <v>3</v>
      </c>
      <c r="G952" s="15">
        <f t="shared" si="3"/>
        <v>26</v>
      </c>
    </row>
    <row r="953">
      <c r="A953" s="10" t="s">
        <v>27</v>
      </c>
      <c r="B953" s="9">
        <f t="shared" si="4"/>
        <v>45742</v>
      </c>
      <c r="C953" s="77" t="s">
        <v>1572</v>
      </c>
      <c r="D953" s="13">
        <f>D950+D951-D952</f>
        <v>10475.619</v>
      </c>
      <c r="E953" s="15">
        <f t="shared" si="1"/>
        <v>2025</v>
      </c>
      <c r="F953" s="15">
        <f t="shared" si="2"/>
        <v>3</v>
      </c>
      <c r="G953" s="15">
        <f t="shared" si="3"/>
        <v>26</v>
      </c>
    </row>
    <row r="954">
      <c r="A954" s="10" t="s">
        <v>27</v>
      </c>
      <c r="B954" s="9">
        <f t="shared" si="4"/>
        <v>45743</v>
      </c>
      <c r="C954" s="77" t="s">
        <v>1569</v>
      </c>
      <c r="D954" s="12">
        <f>D953</f>
        <v>10475.619</v>
      </c>
      <c r="E954" s="15">
        <f t="shared" si="1"/>
        <v>2025</v>
      </c>
      <c r="F954" s="15">
        <f t="shared" si="2"/>
        <v>3</v>
      </c>
      <c r="G954" s="15">
        <f t="shared" si="3"/>
        <v>27</v>
      </c>
    </row>
    <row r="955">
      <c r="A955" s="10" t="s">
        <v>27</v>
      </c>
      <c r="B955" s="9">
        <f t="shared" si="4"/>
        <v>45743</v>
      </c>
      <c r="C955" s="77" t="s">
        <v>1570</v>
      </c>
      <c r="D955" s="13">
        <f>SUMIFS('Lançamentos de receitas'!$E:$E,'Lançamentos de receitas'!$A:$A,B955,'Lançamentos de receitas'!$C:$C,A955,'Lançamentos de receitas'!$F:$F,"TRANSFERÊNCIA")</f>
        <v>1085.75</v>
      </c>
      <c r="E955" s="15">
        <f t="shared" si="1"/>
        <v>2025</v>
      </c>
      <c r="F955" s="15">
        <f t="shared" si="2"/>
        <v>3</v>
      </c>
      <c r="G955" s="15">
        <f t="shared" si="3"/>
        <v>27</v>
      </c>
    </row>
    <row r="956">
      <c r="A956" s="10" t="s">
        <v>27</v>
      </c>
      <c r="B956" s="9">
        <f t="shared" si="4"/>
        <v>45743</v>
      </c>
      <c r="C956" s="77" t="s">
        <v>1571</v>
      </c>
      <c r="D956" s="13">
        <f>SUMIFS('Lançamentos de despesas'!$K:$K,'Lançamentos de despesas'!$C:$C,B956,'Lançamentos de despesas'!$G:$G,A956,'Lançamentos de despesas'!$E:$E,"pago")</f>
        <v>1420</v>
      </c>
      <c r="E956" s="15">
        <f t="shared" si="1"/>
        <v>2025</v>
      </c>
      <c r="F956" s="15">
        <f t="shared" si="2"/>
        <v>3</v>
      </c>
      <c r="G956" s="15">
        <f t="shared" si="3"/>
        <v>27</v>
      </c>
    </row>
    <row r="957">
      <c r="A957" s="10" t="s">
        <v>27</v>
      </c>
      <c r="B957" s="9">
        <f t="shared" si="4"/>
        <v>45743</v>
      </c>
      <c r="C957" s="77" t="s">
        <v>1572</v>
      </c>
      <c r="D957" s="13">
        <f>D954+D955-D956</f>
        <v>10141.369</v>
      </c>
      <c r="E957" s="15">
        <f t="shared" si="1"/>
        <v>2025</v>
      </c>
      <c r="F957" s="15">
        <f t="shared" si="2"/>
        <v>3</v>
      </c>
      <c r="G957" s="15">
        <f t="shared" si="3"/>
        <v>27</v>
      </c>
    </row>
    <row r="958">
      <c r="A958" s="10" t="s">
        <v>27</v>
      </c>
      <c r="B958" s="9">
        <f t="shared" si="4"/>
        <v>45744</v>
      </c>
      <c r="C958" s="77" t="s">
        <v>1569</v>
      </c>
      <c r="D958" s="12">
        <f>D957</f>
        <v>10141.369</v>
      </c>
      <c r="E958" s="15">
        <f t="shared" si="1"/>
        <v>2025</v>
      </c>
      <c r="F958" s="15">
        <f t="shared" si="2"/>
        <v>3</v>
      </c>
      <c r="G958" s="15">
        <f t="shared" si="3"/>
        <v>28</v>
      </c>
    </row>
    <row r="959">
      <c r="A959" s="10" t="s">
        <v>27</v>
      </c>
      <c r="B959" s="9">
        <f t="shared" si="4"/>
        <v>45744</v>
      </c>
      <c r="C959" s="77" t="s">
        <v>1570</v>
      </c>
      <c r="D959" s="13">
        <f>SUMIFS('Lançamentos de receitas'!$E:$E,'Lançamentos de receitas'!$A:$A,B959,'Lançamentos de receitas'!$C:$C,A959,'Lançamentos de receitas'!$F:$F,"TRANSFERÊNCIA")</f>
        <v>366.7</v>
      </c>
      <c r="E959" s="15">
        <f t="shared" si="1"/>
        <v>2025</v>
      </c>
      <c r="F959" s="15">
        <f t="shared" si="2"/>
        <v>3</v>
      </c>
      <c r="G959" s="15">
        <f t="shared" si="3"/>
        <v>28</v>
      </c>
    </row>
    <row r="960">
      <c r="A960" s="10" t="s">
        <v>27</v>
      </c>
      <c r="B960" s="9">
        <f t="shared" si="4"/>
        <v>45744</v>
      </c>
      <c r="C960" s="77" t="s">
        <v>1571</v>
      </c>
      <c r="D960" s="13">
        <f>SUMIFS('Lançamentos de despesas'!$K:$K,'Lançamentos de despesas'!$C:$C,B960,'Lançamentos de despesas'!$G:$G,A960,'Lançamentos de despesas'!$E:$E,"pago")</f>
        <v>6545.78</v>
      </c>
      <c r="E960" s="15">
        <f t="shared" si="1"/>
        <v>2025</v>
      </c>
      <c r="F960" s="15">
        <f t="shared" si="2"/>
        <v>3</v>
      </c>
      <c r="G960" s="15">
        <f t="shared" si="3"/>
        <v>28</v>
      </c>
    </row>
    <row r="961">
      <c r="A961" s="10" t="s">
        <v>27</v>
      </c>
      <c r="B961" s="9">
        <f t="shared" si="4"/>
        <v>45744</v>
      </c>
      <c r="C961" s="77" t="s">
        <v>1572</v>
      </c>
      <c r="D961" s="13">
        <f>D958+D959-D960</f>
        <v>3962.289</v>
      </c>
      <c r="E961" s="15">
        <f t="shared" si="1"/>
        <v>2025</v>
      </c>
      <c r="F961" s="15">
        <f t="shared" si="2"/>
        <v>3</v>
      </c>
      <c r="G961" s="15">
        <f t="shared" si="3"/>
        <v>28</v>
      </c>
    </row>
    <row r="962">
      <c r="A962" s="10" t="s">
        <v>27</v>
      </c>
      <c r="B962" s="9">
        <f t="shared" si="4"/>
        <v>45745</v>
      </c>
      <c r="C962" s="77" t="s">
        <v>1569</v>
      </c>
      <c r="D962" s="12">
        <f>D961</f>
        <v>3962.289</v>
      </c>
      <c r="E962" s="15">
        <f t="shared" si="1"/>
        <v>2025</v>
      </c>
      <c r="F962" s="15">
        <f t="shared" si="2"/>
        <v>3</v>
      </c>
      <c r="G962" s="15">
        <f t="shared" si="3"/>
        <v>29</v>
      </c>
    </row>
    <row r="963">
      <c r="A963" s="10" t="s">
        <v>27</v>
      </c>
      <c r="B963" s="9">
        <f t="shared" si="4"/>
        <v>45745</v>
      </c>
      <c r="C963" s="77" t="s">
        <v>1570</v>
      </c>
      <c r="D963" s="13">
        <f>SUMIFS('Lançamentos de receitas'!$E:$E,'Lançamentos de receitas'!$A:$A,B963,'Lançamentos de receitas'!$C:$C,A963,'Lançamentos de receitas'!$F:$F,"TRANSFERÊNCIA")</f>
        <v>1213.96</v>
      </c>
      <c r="E963" s="15">
        <f t="shared" si="1"/>
        <v>2025</v>
      </c>
      <c r="F963" s="15">
        <f t="shared" si="2"/>
        <v>3</v>
      </c>
      <c r="G963" s="15">
        <f t="shared" si="3"/>
        <v>29</v>
      </c>
    </row>
    <row r="964">
      <c r="A964" s="10" t="s">
        <v>27</v>
      </c>
      <c r="B964" s="9">
        <f t="shared" si="4"/>
        <v>45745</v>
      </c>
      <c r="C964" s="77" t="s">
        <v>1571</v>
      </c>
      <c r="D964" s="13">
        <f>SUMIFS('Lançamentos de despesas'!$K:$K,'Lançamentos de despesas'!$C:$C,B964,'Lançamentos de despesas'!$G:$G,A964,'Lançamentos de despesas'!$E:$E,"pago")</f>
        <v>0</v>
      </c>
      <c r="E964" s="15">
        <f t="shared" si="1"/>
        <v>2025</v>
      </c>
      <c r="F964" s="15">
        <f t="shared" si="2"/>
        <v>3</v>
      </c>
      <c r="G964" s="15">
        <f t="shared" si="3"/>
        <v>29</v>
      </c>
    </row>
    <row r="965">
      <c r="A965" s="10" t="s">
        <v>27</v>
      </c>
      <c r="B965" s="9">
        <f t="shared" si="4"/>
        <v>45745</v>
      </c>
      <c r="C965" s="77" t="s">
        <v>1572</v>
      </c>
      <c r="D965" s="13">
        <f>D962+D963-D964</f>
        <v>5176.249</v>
      </c>
      <c r="E965" s="15">
        <f t="shared" si="1"/>
        <v>2025</v>
      </c>
      <c r="F965" s="15">
        <f t="shared" si="2"/>
        <v>3</v>
      </c>
      <c r="G965" s="15">
        <f t="shared" si="3"/>
        <v>29</v>
      </c>
    </row>
    <row r="966">
      <c r="A966" s="10" t="s">
        <v>27</v>
      </c>
      <c r="B966" s="9">
        <f t="shared" si="4"/>
        <v>45746</v>
      </c>
      <c r="C966" s="77" t="s">
        <v>1569</v>
      </c>
      <c r="D966" s="12">
        <f>D965</f>
        <v>5176.249</v>
      </c>
      <c r="E966" s="15">
        <f t="shared" si="1"/>
        <v>2025</v>
      </c>
      <c r="F966" s="15">
        <f t="shared" si="2"/>
        <v>3</v>
      </c>
      <c r="G966" s="15">
        <f t="shared" si="3"/>
        <v>30</v>
      </c>
    </row>
    <row r="967">
      <c r="A967" s="10" t="s">
        <v>27</v>
      </c>
      <c r="B967" s="9">
        <f t="shared" si="4"/>
        <v>45746</v>
      </c>
      <c r="C967" s="77" t="s">
        <v>1570</v>
      </c>
      <c r="D967" s="13">
        <f>SUMIFS('Lançamentos de receitas'!$E:$E,'Lançamentos de receitas'!$A:$A,B967,'Lançamentos de receitas'!$C:$C,A967,'Lançamentos de receitas'!$F:$F,"TRANSFERÊNCIA")</f>
        <v>602.65</v>
      </c>
      <c r="E967" s="15">
        <f t="shared" si="1"/>
        <v>2025</v>
      </c>
      <c r="F967" s="15">
        <f t="shared" si="2"/>
        <v>3</v>
      </c>
      <c r="G967" s="15">
        <f t="shared" si="3"/>
        <v>30</v>
      </c>
    </row>
    <row r="968">
      <c r="A968" s="10" t="s">
        <v>27</v>
      </c>
      <c r="B968" s="9">
        <f t="shared" si="4"/>
        <v>45746</v>
      </c>
      <c r="C968" s="77" t="s">
        <v>1571</v>
      </c>
      <c r="D968" s="13">
        <f>SUMIFS('Lançamentos de despesas'!$K:$K,'Lançamentos de despesas'!$C:$C,B968,'Lançamentos de despesas'!$G:$G,A968,'Lançamentos de despesas'!$E:$E,"pago")</f>
        <v>0</v>
      </c>
      <c r="E968" s="15">
        <f t="shared" si="1"/>
        <v>2025</v>
      </c>
      <c r="F968" s="15">
        <f t="shared" si="2"/>
        <v>3</v>
      </c>
      <c r="G968" s="15">
        <f t="shared" si="3"/>
        <v>30</v>
      </c>
    </row>
    <row r="969">
      <c r="A969" s="10" t="s">
        <v>27</v>
      </c>
      <c r="B969" s="9">
        <f t="shared" si="4"/>
        <v>45746</v>
      </c>
      <c r="C969" s="77" t="s">
        <v>1572</v>
      </c>
      <c r="D969" s="13">
        <f>D966+D967-D968</f>
        <v>5778.899</v>
      </c>
      <c r="E969" s="15">
        <f t="shared" si="1"/>
        <v>2025</v>
      </c>
      <c r="F969" s="15">
        <f t="shared" si="2"/>
        <v>3</v>
      </c>
      <c r="G969" s="15">
        <f t="shared" si="3"/>
        <v>30</v>
      </c>
    </row>
    <row r="970">
      <c r="A970" s="10" t="s">
        <v>27</v>
      </c>
      <c r="B970" s="9">
        <f t="shared" si="4"/>
        <v>45747</v>
      </c>
      <c r="C970" s="77" t="s">
        <v>1569</v>
      </c>
      <c r="D970" s="12">
        <f>D969</f>
        <v>5778.899</v>
      </c>
      <c r="E970" s="15">
        <f t="shared" si="1"/>
        <v>2025</v>
      </c>
      <c r="F970" s="15">
        <f t="shared" si="2"/>
        <v>3</v>
      </c>
      <c r="G970" s="15">
        <f t="shared" si="3"/>
        <v>31</v>
      </c>
    </row>
    <row r="971">
      <c r="A971" s="10" t="s">
        <v>27</v>
      </c>
      <c r="B971" s="9">
        <f t="shared" si="4"/>
        <v>45747</v>
      </c>
      <c r="C971" s="77" t="s">
        <v>1570</v>
      </c>
      <c r="D971" s="13">
        <f>SUMIFS('Lançamentos de receitas'!$E:$E,'Lançamentos de receitas'!$A:$A,B971,'Lançamentos de receitas'!$C:$C,A971,'Lançamentos de receitas'!$F:$F,"TRANSFERÊNCIA")</f>
        <v>10385.98</v>
      </c>
      <c r="E971" s="15">
        <f t="shared" si="1"/>
        <v>2025</v>
      </c>
      <c r="F971" s="15">
        <f t="shared" si="2"/>
        <v>3</v>
      </c>
      <c r="G971" s="15">
        <f t="shared" si="3"/>
        <v>31</v>
      </c>
    </row>
    <row r="972">
      <c r="A972" s="10" t="s">
        <v>27</v>
      </c>
      <c r="B972" s="9">
        <f t="shared" si="4"/>
        <v>45747</v>
      </c>
      <c r="C972" s="77" t="s">
        <v>1571</v>
      </c>
      <c r="D972" s="13">
        <f>SUMIFS('Lançamentos de despesas'!$K:$K,'Lançamentos de despesas'!$C:$C,B972,'Lançamentos de despesas'!$G:$G,A972,'Lançamentos de despesas'!$E:$E,"pago")</f>
        <v>3218.1</v>
      </c>
      <c r="E972" s="15">
        <f t="shared" si="1"/>
        <v>2025</v>
      </c>
      <c r="F972" s="15">
        <f t="shared" si="2"/>
        <v>3</v>
      </c>
      <c r="G972" s="15">
        <f t="shared" si="3"/>
        <v>31</v>
      </c>
    </row>
    <row r="973">
      <c r="A973" s="10" t="s">
        <v>27</v>
      </c>
      <c r="B973" s="9">
        <f t="shared" si="4"/>
        <v>45747</v>
      </c>
      <c r="C973" s="77" t="s">
        <v>1572</v>
      </c>
      <c r="D973" s="13">
        <f>D970+D971-D972</f>
        <v>12946.779</v>
      </c>
      <c r="E973" s="15">
        <f t="shared" si="1"/>
        <v>2025</v>
      </c>
      <c r="F973" s="15">
        <f t="shared" si="2"/>
        <v>3</v>
      </c>
      <c r="G973" s="15">
        <f t="shared" si="3"/>
        <v>31</v>
      </c>
    </row>
    <row r="974">
      <c r="A974" s="10" t="s">
        <v>27</v>
      </c>
      <c r="B974" s="9">
        <f t="shared" si="4"/>
        <v>45748</v>
      </c>
      <c r="C974" s="77" t="s">
        <v>1569</v>
      </c>
      <c r="D974" s="12">
        <f>D973</f>
        <v>12946.779</v>
      </c>
      <c r="E974" s="15">
        <f t="shared" si="1"/>
        <v>2025</v>
      </c>
      <c r="F974" s="15">
        <f t="shared" si="2"/>
        <v>4</v>
      </c>
      <c r="G974" s="15">
        <f t="shared" si="3"/>
        <v>1</v>
      </c>
    </row>
    <row r="975">
      <c r="A975" s="10" t="s">
        <v>27</v>
      </c>
      <c r="B975" s="9">
        <f t="shared" si="4"/>
        <v>45748</v>
      </c>
      <c r="C975" s="77" t="s">
        <v>1570</v>
      </c>
      <c r="D975" s="13">
        <f>SUMIFS('Lançamentos de receitas'!$E:$E,'Lançamentos de receitas'!$A:$A,B975,'Lançamentos de receitas'!$C:$C,A975,'Lançamentos de receitas'!$F:$F,"TRANSFERÊNCIA")</f>
        <v>4317.21</v>
      </c>
      <c r="E975" s="15">
        <f t="shared" si="1"/>
        <v>2025</v>
      </c>
      <c r="F975" s="15">
        <f t="shared" si="2"/>
        <v>4</v>
      </c>
      <c r="G975" s="15">
        <f t="shared" si="3"/>
        <v>1</v>
      </c>
    </row>
    <row r="976">
      <c r="A976" s="10" t="s">
        <v>27</v>
      </c>
      <c r="B976" s="9">
        <f t="shared" si="4"/>
        <v>45748</v>
      </c>
      <c r="C976" s="77" t="s">
        <v>1571</v>
      </c>
      <c r="D976" s="13">
        <f>SUMIFS('Lançamentos de despesas'!$K:$K,'Lançamentos de despesas'!$C:$C,B976,'Lançamentos de despesas'!$G:$G,A976,'Lançamentos de despesas'!$E:$E,"pago")</f>
        <v>1420</v>
      </c>
      <c r="E976" s="15">
        <f t="shared" si="1"/>
        <v>2025</v>
      </c>
      <c r="F976" s="15">
        <f t="shared" si="2"/>
        <v>4</v>
      </c>
      <c r="G976" s="15">
        <f t="shared" si="3"/>
        <v>1</v>
      </c>
    </row>
    <row r="977">
      <c r="A977" s="10" t="s">
        <v>27</v>
      </c>
      <c r="B977" s="9">
        <f t="shared" si="4"/>
        <v>45748</v>
      </c>
      <c r="C977" s="77" t="s">
        <v>1572</v>
      </c>
      <c r="D977" s="13">
        <f>D974+D975-D976</f>
        <v>15843.989</v>
      </c>
      <c r="E977" s="15">
        <f t="shared" si="1"/>
        <v>2025</v>
      </c>
      <c r="F977" s="15">
        <f t="shared" si="2"/>
        <v>4</v>
      </c>
      <c r="G977" s="15">
        <f t="shared" si="3"/>
        <v>1</v>
      </c>
    </row>
    <row r="978">
      <c r="A978" s="10" t="s">
        <v>27</v>
      </c>
      <c r="B978" s="9">
        <f t="shared" si="4"/>
        <v>45749</v>
      </c>
      <c r="C978" s="77" t="s">
        <v>1569</v>
      </c>
      <c r="D978" s="12">
        <f>D977</f>
        <v>15843.989</v>
      </c>
      <c r="E978" s="15">
        <f t="shared" si="1"/>
        <v>2025</v>
      </c>
      <c r="F978" s="15">
        <f t="shared" si="2"/>
        <v>4</v>
      </c>
      <c r="G978" s="15">
        <f t="shared" si="3"/>
        <v>2</v>
      </c>
    </row>
    <row r="979">
      <c r="A979" s="10" t="s">
        <v>27</v>
      </c>
      <c r="B979" s="9">
        <f t="shared" si="4"/>
        <v>45749</v>
      </c>
      <c r="C979" s="77" t="s">
        <v>1570</v>
      </c>
      <c r="D979" s="13">
        <f>SUMIFS('Lançamentos de receitas'!$E:$E,'Lançamentos de receitas'!$A:$A,B979,'Lançamentos de receitas'!$C:$C,A979,'Lançamentos de receitas'!$F:$F,"TRANSFERÊNCIA")</f>
        <v>101080.17</v>
      </c>
      <c r="E979" s="15">
        <f t="shared" si="1"/>
        <v>2025</v>
      </c>
      <c r="F979" s="15">
        <f t="shared" si="2"/>
        <v>4</v>
      </c>
      <c r="G979" s="15">
        <f t="shared" si="3"/>
        <v>2</v>
      </c>
    </row>
    <row r="980">
      <c r="A980" s="10" t="s">
        <v>27</v>
      </c>
      <c r="B980" s="9">
        <f t="shared" si="4"/>
        <v>45749</v>
      </c>
      <c r="C980" s="77" t="s">
        <v>1571</v>
      </c>
      <c r="D980" s="13">
        <f>SUMIFS('Lançamentos de despesas'!$K:$K,'Lançamentos de despesas'!$C:$C,B980,'Lançamentos de despesas'!$G:$G,A980,'Lançamentos de despesas'!$E:$E,"pago")</f>
        <v>0</v>
      </c>
      <c r="E980" s="15">
        <f t="shared" si="1"/>
        <v>2025</v>
      </c>
      <c r="F980" s="15">
        <f t="shared" si="2"/>
        <v>4</v>
      </c>
      <c r="G980" s="15">
        <f t="shared" si="3"/>
        <v>2</v>
      </c>
    </row>
    <row r="981">
      <c r="A981" s="10" t="s">
        <v>27</v>
      </c>
      <c r="B981" s="9">
        <f t="shared" si="4"/>
        <v>45749</v>
      </c>
      <c r="C981" s="77" t="s">
        <v>1572</v>
      </c>
      <c r="D981" s="13">
        <f>D978+D979-D980</f>
        <v>116924.159</v>
      </c>
      <c r="E981" s="15">
        <f t="shared" si="1"/>
        <v>2025</v>
      </c>
      <c r="F981" s="15">
        <f t="shared" si="2"/>
        <v>4</v>
      </c>
      <c r="G981" s="15">
        <f t="shared" si="3"/>
        <v>2</v>
      </c>
    </row>
    <row r="982">
      <c r="A982" s="10" t="s">
        <v>27</v>
      </c>
      <c r="B982" s="9">
        <f t="shared" si="4"/>
        <v>45750</v>
      </c>
      <c r="C982" s="77" t="s">
        <v>1569</v>
      </c>
      <c r="D982" s="12">
        <f>D981</f>
        <v>116924.159</v>
      </c>
      <c r="E982" s="15">
        <f t="shared" si="1"/>
        <v>2025</v>
      </c>
      <c r="F982" s="15">
        <f t="shared" si="2"/>
        <v>4</v>
      </c>
      <c r="G982" s="15">
        <f t="shared" si="3"/>
        <v>3</v>
      </c>
    </row>
    <row r="983">
      <c r="A983" s="10" t="s">
        <v>27</v>
      </c>
      <c r="B983" s="9">
        <f t="shared" si="4"/>
        <v>45750</v>
      </c>
      <c r="C983" s="77" t="s">
        <v>1570</v>
      </c>
      <c r="D983" s="13">
        <f>SUMIFS('Lançamentos de receitas'!$E:$E,'Lançamentos de receitas'!$A:$A,B983,'Lançamentos de receitas'!$C:$C,A983,'Lançamentos de receitas'!$F:$F,"TRANSFERÊNCIA")</f>
        <v>1061.23</v>
      </c>
      <c r="E983" s="15">
        <f t="shared" si="1"/>
        <v>2025</v>
      </c>
      <c r="F983" s="15">
        <f t="shared" si="2"/>
        <v>4</v>
      </c>
      <c r="G983" s="15">
        <f t="shared" si="3"/>
        <v>3</v>
      </c>
    </row>
    <row r="984">
      <c r="A984" s="10" t="s">
        <v>27</v>
      </c>
      <c r="B984" s="9">
        <f t="shared" si="4"/>
        <v>45750</v>
      </c>
      <c r="C984" s="77" t="s">
        <v>1571</v>
      </c>
      <c r="D984" s="13">
        <f>SUMIFS('Lançamentos de despesas'!$K:$K,'Lançamentos de despesas'!$C:$C,B984,'Lançamentos de despesas'!$G:$G,A984,'Lançamentos de despesas'!$E:$E,"pago")</f>
        <v>3297.86</v>
      </c>
      <c r="E984" s="15">
        <f t="shared" si="1"/>
        <v>2025</v>
      </c>
      <c r="F984" s="15">
        <f t="shared" si="2"/>
        <v>4</v>
      </c>
      <c r="G984" s="15">
        <f t="shared" si="3"/>
        <v>3</v>
      </c>
    </row>
    <row r="985">
      <c r="A985" s="10" t="s">
        <v>27</v>
      </c>
      <c r="B985" s="9">
        <f t="shared" si="4"/>
        <v>45750</v>
      </c>
      <c r="C985" s="77" t="s">
        <v>1572</v>
      </c>
      <c r="D985" s="13">
        <f>D982+D983-D984</f>
        <v>114687.529</v>
      </c>
      <c r="E985" s="15">
        <f t="shared" si="1"/>
        <v>2025</v>
      </c>
      <c r="F985" s="15">
        <f t="shared" si="2"/>
        <v>4</v>
      </c>
      <c r="G985" s="15">
        <f t="shared" si="3"/>
        <v>3</v>
      </c>
    </row>
    <row r="986">
      <c r="A986" s="10" t="s">
        <v>27</v>
      </c>
      <c r="B986" s="9">
        <f t="shared" si="4"/>
        <v>45751</v>
      </c>
      <c r="C986" s="77" t="s">
        <v>1569</v>
      </c>
      <c r="D986" s="12">
        <f>D985</f>
        <v>114687.529</v>
      </c>
      <c r="E986" s="15">
        <f t="shared" si="1"/>
        <v>2025</v>
      </c>
      <c r="F986" s="15">
        <f t="shared" si="2"/>
        <v>4</v>
      </c>
      <c r="G986" s="15">
        <f t="shared" si="3"/>
        <v>4</v>
      </c>
    </row>
    <row r="987">
      <c r="A987" s="10" t="s">
        <v>27</v>
      </c>
      <c r="B987" s="9">
        <f t="shared" si="4"/>
        <v>45751</v>
      </c>
      <c r="C987" s="77" t="s">
        <v>1570</v>
      </c>
      <c r="D987" s="13">
        <f>SUMIFS('Lançamentos de receitas'!$E:$E,'Lançamentos de receitas'!$A:$A,B987,'Lançamentos de receitas'!$C:$C,A987,'Lançamentos de receitas'!$F:$F,"TRANSFERÊNCIA")</f>
        <v>2167.51</v>
      </c>
      <c r="E987" s="15">
        <f t="shared" si="1"/>
        <v>2025</v>
      </c>
      <c r="F987" s="15">
        <f t="shared" si="2"/>
        <v>4</v>
      </c>
      <c r="G987" s="15">
        <f t="shared" si="3"/>
        <v>4</v>
      </c>
    </row>
    <row r="988">
      <c r="A988" s="10" t="s">
        <v>27</v>
      </c>
      <c r="B988" s="9">
        <f t="shared" si="4"/>
        <v>45751</v>
      </c>
      <c r="C988" s="77" t="s">
        <v>1571</v>
      </c>
      <c r="D988" s="13">
        <f>SUMIFS('Lançamentos de despesas'!$K:$K,'Lançamentos de despesas'!$C:$C,B988,'Lançamentos de despesas'!$G:$G,A988,'Lançamentos de despesas'!$E:$E,"pago")</f>
        <v>0</v>
      </c>
      <c r="E988" s="15">
        <f t="shared" si="1"/>
        <v>2025</v>
      </c>
      <c r="F988" s="15">
        <f t="shared" si="2"/>
        <v>4</v>
      </c>
      <c r="G988" s="15">
        <f t="shared" si="3"/>
        <v>4</v>
      </c>
    </row>
    <row r="989">
      <c r="A989" s="10" t="s">
        <v>27</v>
      </c>
      <c r="B989" s="9">
        <f t="shared" si="4"/>
        <v>45751</v>
      </c>
      <c r="C989" s="77" t="s">
        <v>1572</v>
      </c>
      <c r="D989" s="13">
        <f>D986+D987-D988</f>
        <v>116855.039</v>
      </c>
      <c r="E989" s="15">
        <f t="shared" si="1"/>
        <v>2025</v>
      </c>
      <c r="F989" s="15">
        <f t="shared" si="2"/>
        <v>4</v>
      </c>
      <c r="G989" s="15">
        <f t="shared" si="3"/>
        <v>4</v>
      </c>
    </row>
    <row r="990">
      <c r="A990" s="10" t="s">
        <v>27</v>
      </c>
      <c r="B990" s="9">
        <f t="shared" si="4"/>
        <v>45752</v>
      </c>
      <c r="C990" s="77" t="s">
        <v>1569</v>
      </c>
      <c r="D990" s="12">
        <f>D989</f>
        <v>116855.039</v>
      </c>
      <c r="E990" s="15">
        <f t="shared" si="1"/>
        <v>2025</v>
      </c>
      <c r="F990" s="15">
        <f t="shared" si="2"/>
        <v>4</v>
      </c>
      <c r="G990" s="15">
        <f t="shared" si="3"/>
        <v>5</v>
      </c>
    </row>
    <row r="991">
      <c r="A991" s="10" t="s">
        <v>27</v>
      </c>
      <c r="B991" s="9">
        <f t="shared" si="4"/>
        <v>45752</v>
      </c>
      <c r="C991" s="77" t="s">
        <v>1570</v>
      </c>
      <c r="D991" s="13">
        <f>SUMIFS('Lançamentos de receitas'!$E:$E,'Lançamentos de receitas'!$A:$A,B991,'Lançamentos de receitas'!$C:$C,A991,'Lançamentos de receitas'!$F:$F,"TRANSFERÊNCIA")</f>
        <v>1189.27</v>
      </c>
      <c r="E991" s="15">
        <f t="shared" si="1"/>
        <v>2025</v>
      </c>
      <c r="F991" s="15">
        <f t="shared" si="2"/>
        <v>4</v>
      </c>
      <c r="G991" s="15">
        <f t="shared" si="3"/>
        <v>5</v>
      </c>
    </row>
    <row r="992">
      <c r="A992" s="10" t="s">
        <v>27</v>
      </c>
      <c r="B992" s="9">
        <f t="shared" si="4"/>
        <v>45752</v>
      </c>
      <c r="C992" s="77" t="s">
        <v>1571</v>
      </c>
      <c r="D992" s="13">
        <f>SUMIFS('Lançamentos de despesas'!$K:$K,'Lançamentos de despesas'!$C:$C,B992,'Lançamentos de despesas'!$G:$G,A992,'Lançamentos de despesas'!$E:$E,"pago")</f>
        <v>0</v>
      </c>
      <c r="E992" s="15">
        <f t="shared" si="1"/>
        <v>2025</v>
      </c>
      <c r="F992" s="15">
        <f t="shared" si="2"/>
        <v>4</v>
      </c>
      <c r="G992" s="15">
        <f t="shared" si="3"/>
        <v>5</v>
      </c>
    </row>
    <row r="993">
      <c r="A993" s="10" t="s">
        <v>27</v>
      </c>
      <c r="B993" s="9">
        <f t="shared" si="4"/>
        <v>45752</v>
      </c>
      <c r="C993" s="77" t="s">
        <v>1572</v>
      </c>
      <c r="D993" s="13">
        <f>D990+D991-D992</f>
        <v>118044.309</v>
      </c>
      <c r="E993" s="15">
        <f t="shared" si="1"/>
        <v>2025</v>
      </c>
      <c r="F993" s="15">
        <f t="shared" si="2"/>
        <v>4</v>
      </c>
      <c r="G993" s="15">
        <f t="shared" si="3"/>
        <v>5</v>
      </c>
    </row>
    <row r="994">
      <c r="A994" s="10" t="s">
        <v>27</v>
      </c>
      <c r="B994" s="9">
        <f t="shared" si="4"/>
        <v>45753</v>
      </c>
      <c r="C994" s="77" t="s">
        <v>1569</v>
      </c>
      <c r="D994" s="12">
        <f>D993</f>
        <v>118044.309</v>
      </c>
      <c r="E994" s="15">
        <f t="shared" si="1"/>
        <v>2025</v>
      </c>
      <c r="F994" s="15">
        <f t="shared" si="2"/>
        <v>4</v>
      </c>
      <c r="G994" s="15">
        <f t="shared" si="3"/>
        <v>6</v>
      </c>
    </row>
    <row r="995">
      <c r="A995" s="10" t="s">
        <v>27</v>
      </c>
      <c r="B995" s="9">
        <f t="shared" si="4"/>
        <v>45753</v>
      </c>
      <c r="C995" s="77" t="s">
        <v>1570</v>
      </c>
      <c r="D995" s="13">
        <f>SUMIFS('Lançamentos de receitas'!$E:$E,'Lançamentos de receitas'!$A:$A,B995,'Lançamentos de receitas'!$C:$C,A995,'Lançamentos de receitas'!$F:$F,"TRANSFERÊNCIA")</f>
        <v>1493.37</v>
      </c>
      <c r="E995" s="15">
        <f t="shared" si="1"/>
        <v>2025</v>
      </c>
      <c r="F995" s="15">
        <f t="shared" si="2"/>
        <v>4</v>
      </c>
      <c r="G995" s="15">
        <f t="shared" si="3"/>
        <v>6</v>
      </c>
    </row>
    <row r="996">
      <c r="A996" s="10" t="s">
        <v>27</v>
      </c>
      <c r="B996" s="9">
        <f t="shared" si="4"/>
        <v>45753</v>
      </c>
      <c r="C996" s="77" t="s">
        <v>1571</v>
      </c>
      <c r="D996" s="13">
        <f>SUMIFS('Lançamentos de despesas'!$K:$K,'Lançamentos de despesas'!$C:$C,B996,'Lançamentos de despesas'!$G:$G,A996,'Lançamentos de despesas'!$E:$E,"pago")</f>
        <v>0</v>
      </c>
      <c r="E996" s="15">
        <f t="shared" si="1"/>
        <v>2025</v>
      </c>
      <c r="F996" s="15">
        <f t="shared" si="2"/>
        <v>4</v>
      </c>
      <c r="G996" s="15">
        <f t="shared" si="3"/>
        <v>6</v>
      </c>
    </row>
    <row r="997">
      <c r="A997" s="10" t="s">
        <v>27</v>
      </c>
      <c r="B997" s="9">
        <f t="shared" si="4"/>
        <v>45753</v>
      </c>
      <c r="C997" s="77" t="s">
        <v>1572</v>
      </c>
      <c r="D997" s="13">
        <f>D994+D995-D996</f>
        <v>119537.679</v>
      </c>
      <c r="E997" s="15">
        <f t="shared" si="1"/>
        <v>2025</v>
      </c>
      <c r="F997" s="15">
        <f t="shared" si="2"/>
        <v>4</v>
      </c>
      <c r="G997" s="15">
        <f t="shared" si="3"/>
        <v>6</v>
      </c>
    </row>
    <row r="998">
      <c r="A998" s="10" t="s">
        <v>27</v>
      </c>
      <c r="B998" s="9">
        <f t="shared" si="4"/>
        <v>45754</v>
      </c>
      <c r="C998" s="77" t="s">
        <v>1569</v>
      </c>
      <c r="D998" s="12">
        <f>D997</f>
        <v>119537.679</v>
      </c>
      <c r="E998" s="15">
        <f t="shared" si="1"/>
        <v>2025</v>
      </c>
      <c r="F998" s="15">
        <f t="shared" si="2"/>
        <v>4</v>
      </c>
      <c r="G998" s="15">
        <f t="shared" si="3"/>
        <v>7</v>
      </c>
    </row>
    <row r="999">
      <c r="A999" s="10" t="s">
        <v>27</v>
      </c>
      <c r="B999" s="9">
        <f t="shared" si="4"/>
        <v>45754</v>
      </c>
      <c r="C999" s="77" t="s">
        <v>1570</v>
      </c>
      <c r="D999" s="13">
        <f>SUMIFS('Lançamentos de receitas'!$E:$E,'Lançamentos de receitas'!$A:$A,B999,'Lançamentos de receitas'!$C:$C,A999,'Lançamentos de receitas'!$F:$F,"TRANSFERÊNCIA")</f>
        <v>2983.58</v>
      </c>
      <c r="E999" s="15">
        <f t="shared" si="1"/>
        <v>2025</v>
      </c>
      <c r="F999" s="15">
        <f t="shared" si="2"/>
        <v>4</v>
      </c>
      <c r="G999" s="15">
        <f t="shared" si="3"/>
        <v>7</v>
      </c>
    </row>
    <row r="1000">
      <c r="A1000" s="10" t="s">
        <v>27</v>
      </c>
      <c r="B1000" s="9">
        <f t="shared" si="4"/>
        <v>45754</v>
      </c>
      <c r="C1000" s="77" t="s">
        <v>1571</v>
      </c>
      <c r="D1000" s="13">
        <f>SUMIFS('Lançamentos de despesas'!$K:$K,'Lançamentos de despesas'!$C:$C,B1000,'Lançamentos de despesas'!$G:$G,A1000,'Lançamentos de despesas'!$E:$E,"pago")</f>
        <v>7456.29</v>
      </c>
      <c r="E1000" s="15">
        <f t="shared" si="1"/>
        <v>2025</v>
      </c>
      <c r="F1000" s="15">
        <f t="shared" si="2"/>
        <v>4</v>
      </c>
      <c r="G1000" s="15">
        <f t="shared" si="3"/>
        <v>7</v>
      </c>
    </row>
    <row r="1001">
      <c r="A1001" s="10" t="s">
        <v>27</v>
      </c>
      <c r="B1001" s="9">
        <f t="shared" si="4"/>
        <v>45754</v>
      </c>
      <c r="C1001" s="77" t="s">
        <v>1572</v>
      </c>
      <c r="D1001" s="13">
        <f>D998+D999-D1000</f>
        <v>115064.969</v>
      </c>
      <c r="E1001" s="15">
        <f t="shared" si="1"/>
        <v>2025</v>
      </c>
      <c r="F1001" s="15">
        <f t="shared" si="2"/>
        <v>4</v>
      </c>
      <c r="G1001" s="15">
        <f t="shared" si="3"/>
        <v>7</v>
      </c>
    </row>
    <row r="1002">
      <c r="A1002" s="10" t="s">
        <v>27</v>
      </c>
      <c r="B1002" s="9">
        <f t="shared" si="4"/>
        <v>45755</v>
      </c>
      <c r="C1002" s="77" t="s">
        <v>1569</v>
      </c>
      <c r="D1002" s="12">
        <f>D1001</f>
        <v>115064.969</v>
      </c>
      <c r="E1002" s="15">
        <f t="shared" si="1"/>
        <v>2025</v>
      </c>
      <c r="F1002" s="15">
        <f t="shared" si="2"/>
        <v>4</v>
      </c>
      <c r="G1002" s="15">
        <f t="shared" si="3"/>
        <v>8</v>
      </c>
    </row>
    <row r="1003">
      <c r="A1003" s="10" t="s">
        <v>27</v>
      </c>
      <c r="B1003" s="9">
        <f t="shared" si="4"/>
        <v>45755</v>
      </c>
      <c r="C1003" s="77" t="s">
        <v>1570</v>
      </c>
      <c r="D1003" s="13">
        <f>SUMIFS('Lançamentos de receitas'!$E:$E,'Lançamentos de receitas'!$A:$A,B1003,'Lançamentos de receitas'!$C:$C,A1003,'Lançamentos de receitas'!$F:$F,"TRANSFERÊNCIA")</f>
        <v>679.58</v>
      </c>
      <c r="E1003" s="15">
        <f t="shared" si="1"/>
        <v>2025</v>
      </c>
      <c r="F1003" s="15">
        <f t="shared" si="2"/>
        <v>4</v>
      </c>
      <c r="G1003" s="15">
        <f t="shared" si="3"/>
        <v>8</v>
      </c>
    </row>
    <row r="1004">
      <c r="A1004" s="10" t="s">
        <v>27</v>
      </c>
      <c r="B1004" s="9">
        <f t="shared" si="4"/>
        <v>45755</v>
      </c>
      <c r="C1004" s="77" t="s">
        <v>1571</v>
      </c>
      <c r="D1004" s="13">
        <f>SUMIFS('Lançamentos de despesas'!$K:$K,'Lançamentos de despesas'!$C:$C,B1004,'Lançamentos de despesas'!$G:$G,A1004,'Lançamentos de despesas'!$E:$E,"pago")</f>
        <v>8280</v>
      </c>
      <c r="E1004" s="15">
        <f t="shared" si="1"/>
        <v>2025</v>
      </c>
      <c r="F1004" s="15">
        <f t="shared" si="2"/>
        <v>4</v>
      </c>
      <c r="G1004" s="15">
        <f t="shared" si="3"/>
        <v>8</v>
      </c>
    </row>
    <row r="1005">
      <c r="A1005" s="10" t="s">
        <v>27</v>
      </c>
      <c r="B1005" s="9">
        <f t="shared" si="4"/>
        <v>45755</v>
      </c>
      <c r="C1005" s="77" t="s">
        <v>1572</v>
      </c>
      <c r="D1005" s="13">
        <f>D1002+D1003-D1004</f>
        <v>107464.549</v>
      </c>
      <c r="E1005" s="15">
        <f t="shared" si="1"/>
        <v>2025</v>
      </c>
      <c r="F1005" s="15">
        <f t="shared" si="2"/>
        <v>4</v>
      </c>
      <c r="G1005" s="15">
        <f t="shared" si="3"/>
        <v>8</v>
      </c>
    </row>
    <row r="1006">
      <c r="A1006" s="10" t="s">
        <v>27</v>
      </c>
      <c r="B1006" s="9">
        <f t="shared" si="4"/>
        <v>45756</v>
      </c>
      <c r="C1006" s="77" t="s">
        <v>1569</v>
      </c>
      <c r="D1006" s="12">
        <f>D1005</f>
        <v>107464.549</v>
      </c>
      <c r="E1006" s="15">
        <f t="shared" si="1"/>
        <v>2025</v>
      </c>
      <c r="F1006" s="15">
        <f t="shared" si="2"/>
        <v>4</v>
      </c>
      <c r="G1006" s="15">
        <f t="shared" si="3"/>
        <v>9</v>
      </c>
    </row>
    <row r="1007">
      <c r="A1007" s="10" t="s">
        <v>27</v>
      </c>
      <c r="B1007" s="9">
        <f t="shared" si="4"/>
        <v>45756</v>
      </c>
      <c r="C1007" s="77" t="s">
        <v>1570</v>
      </c>
      <c r="D1007" s="13">
        <f>SUMIFS('Lançamentos de receitas'!$E:$E,'Lançamentos de receitas'!$A:$A,B1007,'Lançamentos de receitas'!$C:$C,A1007,'Lançamentos de receitas'!$F:$F,"TRANSFERÊNCIA")</f>
        <v>1188.61</v>
      </c>
      <c r="E1007" s="15">
        <f t="shared" si="1"/>
        <v>2025</v>
      </c>
      <c r="F1007" s="15">
        <f t="shared" si="2"/>
        <v>4</v>
      </c>
      <c r="G1007" s="15">
        <f t="shared" si="3"/>
        <v>9</v>
      </c>
    </row>
    <row r="1008">
      <c r="A1008" s="10" t="s">
        <v>27</v>
      </c>
      <c r="B1008" s="9">
        <f t="shared" si="4"/>
        <v>45756</v>
      </c>
      <c r="C1008" s="77" t="s">
        <v>1571</v>
      </c>
      <c r="D1008" s="13">
        <f>SUMIFS('Lançamentos de despesas'!$K:$K,'Lançamentos de despesas'!$C:$C,B1008,'Lançamentos de despesas'!$G:$G,A1008,'Lançamentos de despesas'!$E:$E,"pago")</f>
        <v>95555.85</v>
      </c>
      <c r="E1008" s="15">
        <f t="shared" si="1"/>
        <v>2025</v>
      </c>
      <c r="F1008" s="15">
        <f t="shared" si="2"/>
        <v>4</v>
      </c>
      <c r="G1008" s="15">
        <f t="shared" si="3"/>
        <v>9</v>
      </c>
    </row>
    <row r="1009">
      <c r="A1009" s="10" t="s">
        <v>27</v>
      </c>
      <c r="B1009" s="9">
        <f t="shared" si="4"/>
        <v>45756</v>
      </c>
      <c r="C1009" s="77" t="s">
        <v>1572</v>
      </c>
      <c r="D1009" s="13">
        <f>D1006+D1007-D1008</f>
        <v>13097.309</v>
      </c>
      <c r="E1009" s="15">
        <f t="shared" si="1"/>
        <v>2025</v>
      </c>
      <c r="F1009" s="15">
        <f t="shared" si="2"/>
        <v>4</v>
      </c>
      <c r="G1009" s="15">
        <f t="shared" si="3"/>
        <v>9</v>
      </c>
    </row>
    <row r="1010">
      <c r="A1010" s="10" t="s">
        <v>27</v>
      </c>
      <c r="B1010" s="9">
        <f t="shared" si="4"/>
        <v>45757</v>
      </c>
      <c r="C1010" s="77" t="s">
        <v>1569</v>
      </c>
      <c r="D1010" s="12">
        <f>D1009</f>
        <v>13097.309</v>
      </c>
      <c r="E1010" s="15">
        <f t="shared" si="1"/>
        <v>2025</v>
      </c>
      <c r="F1010" s="15">
        <f t="shared" si="2"/>
        <v>4</v>
      </c>
      <c r="G1010" s="15">
        <f t="shared" si="3"/>
        <v>10</v>
      </c>
    </row>
    <row r="1011">
      <c r="A1011" s="10" t="s">
        <v>27</v>
      </c>
      <c r="B1011" s="9">
        <f t="shared" si="4"/>
        <v>45757</v>
      </c>
      <c r="C1011" s="77" t="s">
        <v>1570</v>
      </c>
      <c r="D1011" s="13">
        <f>SUMIFS('Lançamentos de receitas'!$E:$E,'Lançamentos de receitas'!$A:$A,B1011,'Lançamentos de receitas'!$C:$C,A1011,'Lançamentos de receitas'!$F:$F,"TRANSFERÊNCIA")</f>
        <v>1043.61</v>
      </c>
      <c r="E1011" s="15">
        <f t="shared" si="1"/>
        <v>2025</v>
      </c>
      <c r="F1011" s="15">
        <f t="shared" si="2"/>
        <v>4</v>
      </c>
      <c r="G1011" s="15">
        <f t="shared" si="3"/>
        <v>10</v>
      </c>
    </row>
    <row r="1012">
      <c r="A1012" s="10" t="s">
        <v>27</v>
      </c>
      <c r="B1012" s="9">
        <f t="shared" si="4"/>
        <v>45757</v>
      </c>
      <c r="C1012" s="77" t="s">
        <v>1571</v>
      </c>
      <c r="D1012" s="13">
        <f>SUMIFS('Lançamentos de despesas'!$K:$K,'Lançamentos de despesas'!$C:$C,B1012,'Lançamentos de despesas'!$G:$G,A1012,'Lançamentos de despesas'!$E:$E,"pago")</f>
        <v>1902.92</v>
      </c>
      <c r="E1012" s="15">
        <f t="shared" si="1"/>
        <v>2025</v>
      </c>
      <c r="F1012" s="15">
        <f t="shared" si="2"/>
        <v>4</v>
      </c>
      <c r="G1012" s="15">
        <f t="shared" si="3"/>
        <v>10</v>
      </c>
    </row>
    <row r="1013">
      <c r="A1013" s="10" t="s">
        <v>27</v>
      </c>
      <c r="B1013" s="9">
        <f t="shared" si="4"/>
        <v>45757</v>
      </c>
      <c r="C1013" s="77" t="s">
        <v>1572</v>
      </c>
      <c r="D1013" s="13">
        <f>D1010+D1011-D1012</f>
        <v>12237.999</v>
      </c>
      <c r="E1013" s="15">
        <f t="shared" si="1"/>
        <v>2025</v>
      </c>
      <c r="F1013" s="15">
        <f t="shared" si="2"/>
        <v>4</v>
      </c>
      <c r="G1013" s="15">
        <f t="shared" si="3"/>
        <v>10</v>
      </c>
    </row>
    <row r="1014">
      <c r="A1014" s="10" t="s">
        <v>27</v>
      </c>
      <c r="B1014" s="9">
        <f t="shared" si="4"/>
        <v>45758</v>
      </c>
      <c r="C1014" s="77" t="s">
        <v>1569</v>
      </c>
      <c r="D1014" s="12">
        <f>D1013</f>
        <v>12237.999</v>
      </c>
      <c r="E1014" s="15">
        <f t="shared" si="1"/>
        <v>2025</v>
      </c>
      <c r="F1014" s="15">
        <f t="shared" si="2"/>
        <v>4</v>
      </c>
      <c r="G1014" s="15">
        <f t="shared" si="3"/>
        <v>11</v>
      </c>
    </row>
    <row r="1015">
      <c r="A1015" s="10" t="s">
        <v>27</v>
      </c>
      <c r="B1015" s="9">
        <f t="shared" si="4"/>
        <v>45758</v>
      </c>
      <c r="C1015" s="77" t="s">
        <v>1570</v>
      </c>
      <c r="D1015" s="13">
        <f>SUMIFS('Lançamentos de receitas'!$E:$E,'Lançamentos de receitas'!$A:$A,B1015,'Lançamentos de receitas'!$C:$C,A1015,'Lançamentos de receitas'!$F:$F,"TRANSFERÊNCIA")</f>
        <v>0</v>
      </c>
      <c r="E1015" s="15">
        <f t="shared" si="1"/>
        <v>2025</v>
      </c>
      <c r="F1015" s="15">
        <f t="shared" si="2"/>
        <v>4</v>
      </c>
      <c r="G1015" s="15">
        <f t="shared" si="3"/>
        <v>11</v>
      </c>
    </row>
    <row r="1016">
      <c r="A1016" s="10" t="s">
        <v>27</v>
      </c>
      <c r="B1016" s="9">
        <f t="shared" si="4"/>
        <v>45758</v>
      </c>
      <c r="C1016" s="77" t="s">
        <v>1571</v>
      </c>
      <c r="D1016" s="13">
        <f>SUMIFS('Lançamentos de despesas'!$K:$K,'Lançamentos de despesas'!$C:$C,B1016,'Lançamentos de despesas'!$G:$G,A1016,'Lançamentos de despesas'!$E:$E,"pago")</f>
        <v>0</v>
      </c>
      <c r="E1016" s="15">
        <f t="shared" si="1"/>
        <v>2025</v>
      </c>
      <c r="F1016" s="15">
        <f t="shared" si="2"/>
        <v>4</v>
      </c>
      <c r="G1016" s="15">
        <f t="shared" si="3"/>
        <v>11</v>
      </c>
    </row>
    <row r="1017">
      <c r="A1017" s="10" t="s">
        <v>27</v>
      </c>
      <c r="B1017" s="9">
        <f t="shared" si="4"/>
        <v>45758</v>
      </c>
      <c r="C1017" s="77" t="s">
        <v>1572</v>
      </c>
      <c r="D1017" s="13">
        <f>D1014+D1015-D1016</f>
        <v>12237.999</v>
      </c>
      <c r="E1017" s="15">
        <f t="shared" si="1"/>
        <v>2025</v>
      </c>
      <c r="F1017" s="15">
        <f t="shared" si="2"/>
        <v>4</v>
      </c>
      <c r="G1017" s="15">
        <f t="shared" si="3"/>
        <v>11</v>
      </c>
    </row>
    <row r="1018">
      <c r="A1018" s="10" t="s">
        <v>27</v>
      </c>
      <c r="B1018" s="9">
        <f t="shared" si="4"/>
        <v>45759</v>
      </c>
      <c r="C1018" s="77" t="s">
        <v>1569</v>
      </c>
      <c r="D1018" s="12">
        <f>D1017</f>
        <v>12237.999</v>
      </c>
      <c r="E1018" s="15">
        <f t="shared" si="1"/>
        <v>2025</v>
      </c>
      <c r="F1018" s="15">
        <f t="shared" si="2"/>
        <v>4</v>
      </c>
      <c r="G1018" s="15">
        <f t="shared" si="3"/>
        <v>12</v>
      </c>
    </row>
    <row r="1019">
      <c r="A1019" s="10" t="s">
        <v>27</v>
      </c>
      <c r="B1019" s="9">
        <f t="shared" si="4"/>
        <v>45759</v>
      </c>
      <c r="C1019" s="77" t="s">
        <v>1570</v>
      </c>
      <c r="D1019" s="13">
        <f>SUMIFS('Lançamentos de receitas'!$E:$E,'Lançamentos de receitas'!$A:$A,B1019,'Lançamentos de receitas'!$C:$C,A1019,'Lançamentos de receitas'!$F:$F,"TRANSFERÊNCIA")</f>
        <v>962.23</v>
      </c>
      <c r="E1019" s="15">
        <f t="shared" si="1"/>
        <v>2025</v>
      </c>
      <c r="F1019" s="15">
        <f t="shared" si="2"/>
        <v>4</v>
      </c>
      <c r="G1019" s="15">
        <f t="shared" si="3"/>
        <v>12</v>
      </c>
    </row>
    <row r="1020">
      <c r="A1020" s="10" t="s">
        <v>27</v>
      </c>
      <c r="B1020" s="9">
        <f t="shared" si="4"/>
        <v>45759</v>
      </c>
      <c r="C1020" s="77" t="s">
        <v>1571</v>
      </c>
      <c r="D1020" s="13">
        <f>SUMIFS('Lançamentos de despesas'!$K:$K,'Lançamentos de despesas'!$C:$C,B1020,'Lançamentos de despesas'!$G:$G,A1020,'Lançamentos de despesas'!$E:$E,"pago")</f>
        <v>0</v>
      </c>
      <c r="E1020" s="15">
        <f t="shared" si="1"/>
        <v>2025</v>
      </c>
      <c r="F1020" s="15">
        <f t="shared" si="2"/>
        <v>4</v>
      </c>
      <c r="G1020" s="15">
        <f t="shared" si="3"/>
        <v>12</v>
      </c>
    </row>
    <row r="1021">
      <c r="A1021" s="10" t="s">
        <v>27</v>
      </c>
      <c r="B1021" s="9">
        <f t="shared" si="4"/>
        <v>45759</v>
      </c>
      <c r="C1021" s="77" t="s">
        <v>1572</v>
      </c>
      <c r="D1021" s="13">
        <f>D1018+D1019-D1020</f>
        <v>13200.229</v>
      </c>
      <c r="E1021" s="15">
        <f t="shared" si="1"/>
        <v>2025</v>
      </c>
      <c r="F1021" s="15">
        <f t="shared" si="2"/>
        <v>4</v>
      </c>
      <c r="G1021" s="15">
        <f t="shared" si="3"/>
        <v>12</v>
      </c>
    </row>
    <row r="1022">
      <c r="A1022" s="10" t="s">
        <v>27</v>
      </c>
      <c r="B1022" s="9">
        <f t="shared" si="4"/>
        <v>45760</v>
      </c>
      <c r="C1022" s="77" t="s">
        <v>1569</v>
      </c>
      <c r="D1022" s="12">
        <f>D1021</f>
        <v>13200.229</v>
      </c>
      <c r="E1022" s="15">
        <f t="shared" si="1"/>
        <v>2025</v>
      </c>
      <c r="F1022" s="15">
        <f t="shared" si="2"/>
        <v>4</v>
      </c>
      <c r="G1022" s="15">
        <f t="shared" si="3"/>
        <v>13</v>
      </c>
    </row>
    <row r="1023">
      <c r="A1023" s="10" t="s">
        <v>27</v>
      </c>
      <c r="B1023" s="9">
        <f t="shared" si="4"/>
        <v>45760</v>
      </c>
      <c r="C1023" s="77" t="s">
        <v>1570</v>
      </c>
      <c r="D1023" s="13">
        <f>SUMIFS('Lançamentos de receitas'!$E:$E,'Lançamentos de receitas'!$A:$A,B1023,'Lançamentos de receitas'!$C:$C,A1023,'Lançamentos de receitas'!$F:$F,"TRANSFERÊNCIA")</f>
        <v>250.83</v>
      </c>
      <c r="E1023" s="15">
        <f t="shared" si="1"/>
        <v>2025</v>
      </c>
      <c r="F1023" s="15">
        <f t="shared" si="2"/>
        <v>4</v>
      </c>
      <c r="G1023" s="15">
        <f t="shared" si="3"/>
        <v>13</v>
      </c>
    </row>
    <row r="1024">
      <c r="A1024" s="10" t="s">
        <v>27</v>
      </c>
      <c r="B1024" s="9">
        <f t="shared" si="4"/>
        <v>45760</v>
      </c>
      <c r="C1024" s="77" t="s">
        <v>1571</v>
      </c>
      <c r="D1024" s="13">
        <f>SUMIFS('Lançamentos de despesas'!$K:$K,'Lançamentos de despesas'!$C:$C,B1024,'Lançamentos de despesas'!$G:$G,A1024,'Lançamentos de despesas'!$E:$E,"pago")</f>
        <v>0</v>
      </c>
      <c r="E1024" s="15">
        <f t="shared" si="1"/>
        <v>2025</v>
      </c>
      <c r="F1024" s="15">
        <f t="shared" si="2"/>
        <v>4</v>
      </c>
      <c r="G1024" s="15">
        <f t="shared" si="3"/>
        <v>13</v>
      </c>
    </row>
    <row r="1025">
      <c r="A1025" s="10" t="s">
        <v>27</v>
      </c>
      <c r="B1025" s="9">
        <f t="shared" si="4"/>
        <v>45760</v>
      </c>
      <c r="C1025" s="77" t="s">
        <v>1572</v>
      </c>
      <c r="D1025" s="13">
        <f>D1022+D1023-D1024</f>
        <v>13451.059</v>
      </c>
      <c r="E1025" s="15">
        <f t="shared" si="1"/>
        <v>2025</v>
      </c>
      <c r="F1025" s="15">
        <f t="shared" si="2"/>
        <v>4</v>
      </c>
      <c r="G1025" s="15">
        <f t="shared" si="3"/>
        <v>13</v>
      </c>
    </row>
    <row r="1026">
      <c r="A1026" s="10" t="s">
        <v>27</v>
      </c>
      <c r="B1026" s="9">
        <f t="shared" si="4"/>
        <v>45761</v>
      </c>
      <c r="C1026" s="77" t="s">
        <v>1569</v>
      </c>
      <c r="D1026" s="12">
        <f>D1025</f>
        <v>13451.059</v>
      </c>
      <c r="E1026" s="15">
        <f t="shared" si="1"/>
        <v>2025</v>
      </c>
      <c r="F1026" s="15">
        <f t="shared" si="2"/>
        <v>4</v>
      </c>
      <c r="G1026" s="15">
        <f t="shared" si="3"/>
        <v>14</v>
      </c>
    </row>
    <row r="1027">
      <c r="A1027" s="10" t="s">
        <v>27</v>
      </c>
      <c r="B1027" s="9">
        <f t="shared" si="4"/>
        <v>45761</v>
      </c>
      <c r="C1027" s="77" t="s">
        <v>1570</v>
      </c>
      <c r="D1027" s="13">
        <f>SUMIFS('Lançamentos de receitas'!$E:$E,'Lançamentos de receitas'!$A:$A,B1027,'Lançamentos de receitas'!$C:$C,A1027,'Lançamentos de receitas'!$F:$F,"TRANSFERÊNCIA")</f>
        <v>549.17</v>
      </c>
      <c r="E1027" s="15">
        <f t="shared" si="1"/>
        <v>2025</v>
      </c>
      <c r="F1027" s="15">
        <f t="shared" si="2"/>
        <v>4</v>
      </c>
      <c r="G1027" s="15">
        <f t="shared" si="3"/>
        <v>14</v>
      </c>
    </row>
    <row r="1028">
      <c r="A1028" s="10" t="s">
        <v>27</v>
      </c>
      <c r="B1028" s="9">
        <f t="shared" si="4"/>
        <v>45761</v>
      </c>
      <c r="C1028" s="77" t="s">
        <v>1571</v>
      </c>
      <c r="D1028" s="13">
        <f>SUMIFS('Lançamentos de despesas'!$K:$K,'Lançamentos de despesas'!$C:$C,B1028,'Lançamentos de despesas'!$G:$G,A1028,'Lançamentos de despesas'!$E:$E,"pago")</f>
        <v>6330.23</v>
      </c>
      <c r="E1028" s="15">
        <f t="shared" si="1"/>
        <v>2025</v>
      </c>
      <c r="F1028" s="15">
        <f t="shared" si="2"/>
        <v>4</v>
      </c>
      <c r="G1028" s="15">
        <f t="shared" si="3"/>
        <v>14</v>
      </c>
    </row>
    <row r="1029">
      <c r="A1029" s="10" t="s">
        <v>27</v>
      </c>
      <c r="B1029" s="9">
        <f t="shared" si="4"/>
        <v>45761</v>
      </c>
      <c r="C1029" s="77" t="s">
        <v>1572</v>
      </c>
      <c r="D1029" s="13">
        <f>D1026+D1027-D1028</f>
        <v>7669.999</v>
      </c>
      <c r="E1029" s="15">
        <f t="shared" si="1"/>
        <v>2025</v>
      </c>
      <c r="F1029" s="15">
        <f t="shared" si="2"/>
        <v>4</v>
      </c>
      <c r="G1029" s="15">
        <f t="shared" si="3"/>
        <v>14</v>
      </c>
    </row>
    <row r="1030">
      <c r="A1030" s="10" t="s">
        <v>27</v>
      </c>
      <c r="B1030" s="9">
        <f t="shared" si="4"/>
        <v>45762</v>
      </c>
      <c r="C1030" s="77" t="s">
        <v>1569</v>
      </c>
      <c r="D1030" s="12">
        <f>D1029</f>
        <v>7669.999</v>
      </c>
      <c r="E1030" s="15">
        <f t="shared" si="1"/>
        <v>2025</v>
      </c>
      <c r="F1030" s="15">
        <f t="shared" si="2"/>
        <v>4</v>
      </c>
      <c r="G1030" s="15">
        <f t="shared" si="3"/>
        <v>15</v>
      </c>
    </row>
    <row r="1031">
      <c r="A1031" s="10" t="s">
        <v>27</v>
      </c>
      <c r="B1031" s="9">
        <f t="shared" si="4"/>
        <v>45762</v>
      </c>
      <c r="C1031" s="77" t="s">
        <v>1570</v>
      </c>
      <c r="D1031" s="13">
        <f>SUMIFS('Lançamentos de receitas'!$E:$E,'Lançamentos de receitas'!$A:$A,B1031,'Lançamentos de receitas'!$C:$C,A1031,'Lançamentos de receitas'!$F:$F,"TRANSFERÊNCIA")</f>
        <v>18362.47</v>
      </c>
      <c r="E1031" s="15">
        <f t="shared" si="1"/>
        <v>2025</v>
      </c>
      <c r="F1031" s="15">
        <f t="shared" si="2"/>
        <v>4</v>
      </c>
      <c r="G1031" s="15">
        <f t="shared" si="3"/>
        <v>15</v>
      </c>
    </row>
    <row r="1032">
      <c r="A1032" s="10" t="s">
        <v>27</v>
      </c>
      <c r="B1032" s="9">
        <f t="shared" si="4"/>
        <v>45762</v>
      </c>
      <c r="C1032" s="77" t="s">
        <v>1571</v>
      </c>
      <c r="D1032" s="13">
        <f>SUMIFS('Lançamentos de despesas'!$K:$K,'Lançamentos de despesas'!$C:$C,B1032,'Lançamentos de despesas'!$G:$G,A1032,'Lançamentos de despesas'!$E:$E,"pago")</f>
        <v>1317.99</v>
      </c>
      <c r="E1032" s="15">
        <f t="shared" si="1"/>
        <v>2025</v>
      </c>
      <c r="F1032" s="15">
        <f t="shared" si="2"/>
        <v>4</v>
      </c>
      <c r="G1032" s="15">
        <f t="shared" si="3"/>
        <v>15</v>
      </c>
    </row>
    <row r="1033">
      <c r="A1033" s="10" t="s">
        <v>27</v>
      </c>
      <c r="B1033" s="9">
        <f t="shared" si="4"/>
        <v>45762</v>
      </c>
      <c r="C1033" s="77" t="s">
        <v>1572</v>
      </c>
      <c r="D1033" s="13">
        <f>D1030+D1031-D1032</f>
        <v>24714.479</v>
      </c>
      <c r="E1033" s="15">
        <f t="shared" si="1"/>
        <v>2025</v>
      </c>
      <c r="F1033" s="15">
        <f t="shared" si="2"/>
        <v>4</v>
      </c>
      <c r="G1033" s="15">
        <f t="shared" si="3"/>
        <v>15</v>
      </c>
    </row>
    <row r="1034">
      <c r="A1034" s="10" t="s">
        <v>27</v>
      </c>
      <c r="B1034" s="9">
        <f t="shared" si="4"/>
        <v>45763</v>
      </c>
      <c r="C1034" s="77" t="s">
        <v>1569</v>
      </c>
      <c r="D1034" s="12">
        <f>D1033</f>
        <v>24714.479</v>
      </c>
      <c r="E1034" s="15">
        <f t="shared" si="1"/>
        <v>2025</v>
      </c>
      <c r="F1034" s="15">
        <f t="shared" si="2"/>
        <v>4</v>
      </c>
      <c r="G1034" s="15">
        <f t="shared" si="3"/>
        <v>16</v>
      </c>
    </row>
    <row r="1035">
      <c r="A1035" s="10" t="s">
        <v>27</v>
      </c>
      <c r="B1035" s="9">
        <f t="shared" si="4"/>
        <v>45763</v>
      </c>
      <c r="C1035" s="77" t="s">
        <v>1570</v>
      </c>
      <c r="D1035" s="13">
        <f>SUMIFS('Lançamentos de receitas'!$E:$E,'Lançamentos de receitas'!$A:$A,B1035,'Lançamentos de receitas'!$C:$C,A1035,'Lançamentos de receitas'!$F:$F,"TRANSFERÊNCIA")</f>
        <v>1940.71</v>
      </c>
      <c r="E1035" s="15">
        <f t="shared" si="1"/>
        <v>2025</v>
      </c>
      <c r="F1035" s="15">
        <f t="shared" si="2"/>
        <v>4</v>
      </c>
      <c r="G1035" s="15">
        <f t="shared" si="3"/>
        <v>16</v>
      </c>
    </row>
    <row r="1036">
      <c r="A1036" s="10" t="s">
        <v>27</v>
      </c>
      <c r="B1036" s="9">
        <f t="shared" si="4"/>
        <v>45763</v>
      </c>
      <c r="C1036" s="77" t="s">
        <v>1571</v>
      </c>
      <c r="D1036" s="13">
        <f>SUMIFS('Lançamentos de despesas'!$K:$K,'Lançamentos de despesas'!$C:$C,B1036,'Lançamentos de despesas'!$G:$G,A1036,'Lançamentos de despesas'!$E:$E,"pago")</f>
        <v>0</v>
      </c>
      <c r="E1036" s="15">
        <f t="shared" si="1"/>
        <v>2025</v>
      </c>
      <c r="F1036" s="15">
        <f t="shared" si="2"/>
        <v>4</v>
      </c>
      <c r="G1036" s="15">
        <f t="shared" si="3"/>
        <v>16</v>
      </c>
    </row>
    <row r="1037">
      <c r="A1037" s="10" t="s">
        <v>27</v>
      </c>
      <c r="B1037" s="9">
        <f t="shared" si="4"/>
        <v>45763</v>
      </c>
      <c r="C1037" s="77" t="s">
        <v>1572</v>
      </c>
      <c r="D1037" s="13">
        <f>D1034+D1035-D1036</f>
        <v>26655.189</v>
      </c>
      <c r="E1037" s="15">
        <f t="shared" si="1"/>
        <v>2025</v>
      </c>
      <c r="F1037" s="15">
        <f t="shared" si="2"/>
        <v>4</v>
      </c>
      <c r="G1037" s="15">
        <f t="shared" si="3"/>
        <v>16</v>
      </c>
    </row>
    <row r="1038">
      <c r="A1038" s="10" t="s">
        <v>27</v>
      </c>
      <c r="B1038" s="9">
        <f t="shared" si="4"/>
        <v>45764</v>
      </c>
      <c r="C1038" s="77" t="s">
        <v>1569</v>
      </c>
      <c r="D1038" s="12">
        <f>D1037</f>
        <v>26655.189</v>
      </c>
      <c r="E1038" s="15">
        <f t="shared" si="1"/>
        <v>2025</v>
      </c>
      <c r="F1038" s="15">
        <f t="shared" si="2"/>
        <v>4</v>
      </c>
      <c r="G1038" s="15">
        <f t="shared" si="3"/>
        <v>17</v>
      </c>
    </row>
    <row r="1039">
      <c r="A1039" s="10" t="s">
        <v>27</v>
      </c>
      <c r="B1039" s="9">
        <f t="shared" si="4"/>
        <v>45764</v>
      </c>
      <c r="C1039" s="77" t="s">
        <v>1570</v>
      </c>
      <c r="D1039" s="13">
        <f>SUMIFS('Lançamentos de receitas'!$E:$E,'Lançamentos de receitas'!$A:$A,B1039,'Lançamentos de receitas'!$C:$C,A1039,'Lançamentos de receitas'!$F:$F,"TRANSFERÊNCIA")</f>
        <v>782.35</v>
      </c>
      <c r="E1039" s="15">
        <f t="shared" si="1"/>
        <v>2025</v>
      </c>
      <c r="F1039" s="15">
        <f t="shared" si="2"/>
        <v>4</v>
      </c>
      <c r="G1039" s="15">
        <f t="shared" si="3"/>
        <v>17</v>
      </c>
    </row>
    <row r="1040">
      <c r="A1040" s="10" t="s">
        <v>27</v>
      </c>
      <c r="B1040" s="9">
        <f t="shared" si="4"/>
        <v>45764</v>
      </c>
      <c r="C1040" s="77" t="s">
        <v>1571</v>
      </c>
      <c r="D1040" s="13">
        <f>SUMIFS('Lançamentos de despesas'!$K:$K,'Lançamentos de despesas'!$C:$C,B1040,'Lançamentos de despesas'!$G:$G,A1040,'Lançamentos de despesas'!$E:$E,"pago")</f>
        <v>1069.58</v>
      </c>
      <c r="E1040" s="15">
        <f t="shared" si="1"/>
        <v>2025</v>
      </c>
      <c r="F1040" s="15">
        <f t="shared" si="2"/>
        <v>4</v>
      </c>
      <c r="G1040" s="15">
        <f t="shared" si="3"/>
        <v>17</v>
      </c>
    </row>
    <row r="1041">
      <c r="A1041" s="10" t="s">
        <v>27</v>
      </c>
      <c r="B1041" s="9">
        <f t="shared" si="4"/>
        <v>45764</v>
      </c>
      <c r="C1041" s="77" t="s">
        <v>1572</v>
      </c>
      <c r="D1041" s="13">
        <f>D1038+D1039-D1040</f>
        <v>26367.959</v>
      </c>
      <c r="E1041" s="15">
        <f t="shared" si="1"/>
        <v>2025</v>
      </c>
      <c r="F1041" s="15">
        <f t="shared" si="2"/>
        <v>4</v>
      </c>
      <c r="G1041" s="15">
        <f t="shared" si="3"/>
        <v>17</v>
      </c>
    </row>
    <row r="1042">
      <c r="A1042" s="10" t="s">
        <v>27</v>
      </c>
      <c r="B1042" s="9">
        <f t="shared" si="4"/>
        <v>45765</v>
      </c>
      <c r="C1042" s="77" t="s">
        <v>1569</v>
      </c>
      <c r="D1042" s="12">
        <f>D1041</f>
        <v>26367.959</v>
      </c>
      <c r="E1042" s="15">
        <f t="shared" si="1"/>
        <v>2025</v>
      </c>
      <c r="F1042" s="15">
        <f t="shared" si="2"/>
        <v>4</v>
      </c>
      <c r="G1042" s="15">
        <f t="shared" si="3"/>
        <v>18</v>
      </c>
    </row>
    <row r="1043">
      <c r="A1043" s="10" t="s">
        <v>27</v>
      </c>
      <c r="B1043" s="9">
        <f t="shared" si="4"/>
        <v>45765</v>
      </c>
      <c r="C1043" s="77" t="s">
        <v>1570</v>
      </c>
      <c r="D1043" s="13">
        <f>SUMIFS('Lançamentos de receitas'!$E:$E,'Lançamentos de receitas'!$A:$A,B1043,'Lançamentos de receitas'!$C:$C,A1043,'Lançamentos de receitas'!$F:$F,"TRANSFERÊNCIA")</f>
        <v>1379.29</v>
      </c>
      <c r="E1043" s="15">
        <f t="shared" si="1"/>
        <v>2025</v>
      </c>
      <c r="F1043" s="15">
        <f t="shared" si="2"/>
        <v>4</v>
      </c>
      <c r="G1043" s="15">
        <f t="shared" si="3"/>
        <v>18</v>
      </c>
    </row>
    <row r="1044">
      <c r="A1044" s="10" t="s">
        <v>27</v>
      </c>
      <c r="B1044" s="9">
        <f t="shared" si="4"/>
        <v>45765</v>
      </c>
      <c r="C1044" s="77" t="s">
        <v>1571</v>
      </c>
      <c r="D1044" s="13">
        <f>SUMIFS('Lançamentos de despesas'!$K:$K,'Lançamentos de despesas'!$C:$C,B1044,'Lançamentos de despesas'!$G:$G,A1044,'Lançamentos de despesas'!$E:$E,"pago")</f>
        <v>0</v>
      </c>
      <c r="E1044" s="15">
        <f t="shared" si="1"/>
        <v>2025</v>
      </c>
      <c r="F1044" s="15">
        <f t="shared" si="2"/>
        <v>4</v>
      </c>
      <c r="G1044" s="15">
        <f t="shared" si="3"/>
        <v>18</v>
      </c>
    </row>
    <row r="1045">
      <c r="A1045" s="10" t="s">
        <v>27</v>
      </c>
      <c r="B1045" s="9">
        <f t="shared" si="4"/>
        <v>45765</v>
      </c>
      <c r="C1045" s="77" t="s">
        <v>1572</v>
      </c>
      <c r="D1045" s="13">
        <f>D1042+D1043-D1044</f>
        <v>27747.249</v>
      </c>
      <c r="E1045" s="15">
        <f t="shared" si="1"/>
        <v>2025</v>
      </c>
      <c r="F1045" s="15">
        <f t="shared" si="2"/>
        <v>4</v>
      </c>
      <c r="G1045" s="15">
        <f t="shared" si="3"/>
        <v>18</v>
      </c>
    </row>
    <row r="1046">
      <c r="A1046" s="10" t="s">
        <v>27</v>
      </c>
      <c r="B1046" s="9">
        <f t="shared" si="4"/>
        <v>45766</v>
      </c>
      <c r="C1046" s="77" t="s">
        <v>1569</v>
      </c>
      <c r="D1046" s="12">
        <f>D1045</f>
        <v>27747.249</v>
      </c>
      <c r="E1046" s="15">
        <f t="shared" si="1"/>
        <v>2025</v>
      </c>
      <c r="F1046" s="15">
        <f t="shared" si="2"/>
        <v>4</v>
      </c>
      <c r="G1046" s="15">
        <f t="shared" si="3"/>
        <v>19</v>
      </c>
    </row>
    <row r="1047">
      <c r="A1047" s="10" t="s">
        <v>27</v>
      </c>
      <c r="B1047" s="9">
        <f t="shared" si="4"/>
        <v>45766</v>
      </c>
      <c r="C1047" s="77" t="s">
        <v>1570</v>
      </c>
      <c r="D1047" s="13">
        <f>SUMIFS('Lançamentos de receitas'!$E:$E,'Lançamentos de receitas'!$A:$A,B1047,'Lançamentos de receitas'!$C:$C,A1047,'Lançamentos de receitas'!$F:$F,"TRANSFERÊNCIA")</f>
        <v>1027.55</v>
      </c>
      <c r="E1047" s="15">
        <f t="shared" si="1"/>
        <v>2025</v>
      </c>
      <c r="F1047" s="15">
        <f t="shared" si="2"/>
        <v>4</v>
      </c>
      <c r="G1047" s="15">
        <f t="shared" si="3"/>
        <v>19</v>
      </c>
    </row>
    <row r="1048">
      <c r="A1048" s="10" t="s">
        <v>27</v>
      </c>
      <c r="B1048" s="9">
        <f t="shared" si="4"/>
        <v>45766</v>
      </c>
      <c r="C1048" s="77" t="s">
        <v>1571</v>
      </c>
      <c r="D1048" s="13">
        <f>SUMIFS('Lançamentos de despesas'!$K:$K,'Lançamentos de despesas'!$C:$C,B1048,'Lançamentos de despesas'!$G:$G,A1048,'Lançamentos de despesas'!$E:$E,"pago")</f>
        <v>0</v>
      </c>
      <c r="E1048" s="15">
        <f t="shared" si="1"/>
        <v>2025</v>
      </c>
      <c r="F1048" s="15">
        <f t="shared" si="2"/>
        <v>4</v>
      </c>
      <c r="G1048" s="15">
        <f t="shared" si="3"/>
        <v>19</v>
      </c>
    </row>
    <row r="1049">
      <c r="A1049" s="10" t="s">
        <v>27</v>
      </c>
      <c r="B1049" s="9">
        <f t="shared" si="4"/>
        <v>45766</v>
      </c>
      <c r="C1049" s="77" t="s">
        <v>1572</v>
      </c>
      <c r="D1049" s="13">
        <f>D1046+D1047-D1048</f>
        <v>28774.799</v>
      </c>
      <c r="E1049" s="15">
        <f t="shared" si="1"/>
        <v>2025</v>
      </c>
      <c r="F1049" s="15">
        <f t="shared" si="2"/>
        <v>4</v>
      </c>
      <c r="G1049" s="15">
        <f t="shared" si="3"/>
        <v>19</v>
      </c>
    </row>
    <row r="1050">
      <c r="A1050" s="10" t="s">
        <v>27</v>
      </c>
      <c r="B1050" s="9">
        <f t="shared" si="4"/>
        <v>45767</v>
      </c>
      <c r="C1050" s="77" t="s">
        <v>1569</v>
      </c>
      <c r="D1050" s="12">
        <f>D1049</f>
        <v>28774.799</v>
      </c>
      <c r="E1050" s="15">
        <f t="shared" si="1"/>
        <v>2025</v>
      </c>
      <c r="F1050" s="15">
        <f t="shared" si="2"/>
        <v>4</v>
      </c>
      <c r="G1050" s="15">
        <f t="shared" si="3"/>
        <v>20</v>
      </c>
    </row>
    <row r="1051">
      <c r="A1051" s="10" t="s">
        <v>27</v>
      </c>
      <c r="B1051" s="9">
        <f t="shared" si="4"/>
        <v>45767</v>
      </c>
      <c r="C1051" s="77" t="s">
        <v>1570</v>
      </c>
      <c r="D1051" s="13">
        <f>SUMIFS('Lançamentos de receitas'!$E:$E,'Lançamentos de receitas'!$A:$A,B1051,'Lançamentos de receitas'!$C:$C,A1051,'Lançamentos de receitas'!$F:$F,"TRANSFERÊNCIA")</f>
        <v>1360.69</v>
      </c>
      <c r="E1051" s="15">
        <f t="shared" si="1"/>
        <v>2025</v>
      </c>
      <c r="F1051" s="15">
        <f t="shared" si="2"/>
        <v>4</v>
      </c>
      <c r="G1051" s="15">
        <f t="shared" si="3"/>
        <v>20</v>
      </c>
    </row>
    <row r="1052">
      <c r="A1052" s="10" t="s">
        <v>27</v>
      </c>
      <c r="B1052" s="9">
        <f t="shared" si="4"/>
        <v>45767</v>
      </c>
      <c r="C1052" s="77" t="s">
        <v>1571</v>
      </c>
      <c r="D1052" s="13">
        <f>SUMIFS('Lançamentos de despesas'!$K:$K,'Lançamentos de despesas'!$C:$C,B1052,'Lançamentos de despesas'!$G:$G,A1052,'Lançamentos de despesas'!$E:$E,"pago")</f>
        <v>551.58</v>
      </c>
      <c r="E1052" s="15">
        <f t="shared" si="1"/>
        <v>2025</v>
      </c>
      <c r="F1052" s="15">
        <f t="shared" si="2"/>
        <v>4</v>
      </c>
      <c r="G1052" s="15">
        <f t="shared" si="3"/>
        <v>20</v>
      </c>
    </row>
    <row r="1053">
      <c r="A1053" s="10" t="s">
        <v>27</v>
      </c>
      <c r="B1053" s="9">
        <f t="shared" si="4"/>
        <v>45767</v>
      </c>
      <c r="C1053" s="77" t="s">
        <v>1572</v>
      </c>
      <c r="D1053" s="13">
        <f>D1050+D1051-D1052</f>
        <v>29583.909</v>
      </c>
      <c r="E1053" s="15">
        <f t="shared" si="1"/>
        <v>2025</v>
      </c>
      <c r="F1053" s="15">
        <f t="shared" si="2"/>
        <v>4</v>
      </c>
      <c r="G1053" s="15">
        <f t="shared" si="3"/>
        <v>20</v>
      </c>
    </row>
    <row r="1054">
      <c r="A1054" s="10" t="s">
        <v>27</v>
      </c>
      <c r="B1054" s="9">
        <f t="shared" si="4"/>
        <v>45768</v>
      </c>
      <c r="C1054" s="77" t="s">
        <v>1569</v>
      </c>
      <c r="D1054" s="12">
        <f>D1053</f>
        <v>29583.909</v>
      </c>
      <c r="E1054" s="15">
        <f t="shared" si="1"/>
        <v>2025</v>
      </c>
      <c r="F1054" s="15">
        <f t="shared" si="2"/>
        <v>4</v>
      </c>
      <c r="G1054" s="15">
        <f t="shared" si="3"/>
        <v>21</v>
      </c>
    </row>
    <row r="1055">
      <c r="A1055" s="10" t="s">
        <v>27</v>
      </c>
      <c r="B1055" s="9">
        <f t="shared" si="4"/>
        <v>45768</v>
      </c>
      <c r="C1055" s="77" t="s">
        <v>1570</v>
      </c>
      <c r="D1055" s="13">
        <f>SUMIFS('Lançamentos de receitas'!$E:$E,'Lançamentos de receitas'!$A:$A,B1055,'Lançamentos de receitas'!$C:$C,A1055,'Lançamentos de receitas'!$F:$F,"TRANSFERÊNCIA")</f>
        <v>145.33</v>
      </c>
      <c r="E1055" s="15">
        <f t="shared" si="1"/>
        <v>2025</v>
      </c>
      <c r="F1055" s="15">
        <f t="shared" si="2"/>
        <v>4</v>
      </c>
      <c r="G1055" s="15">
        <f t="shared" si="3"/>
        <v>21</v>
      </c>
    </row>
    <row r="1056">
      <c r="A1056" s="10" t="s">
        <v>27</v>
      </c>
      <c r="B1056" s="9">
        <f t="shared" si="4"/>
        <v>45768</v>
      </c>
      <c r="C1056" s="77" t="s">
        <v>1571</v>
      </c>
      <c r="D1056" s="13">
        <f>SUMIFS('Lançamentos de despesas'!$K:$K,'Lançamentos de despesas'!$C:$C,B1056,'Lançamentos de despesas'!$G:$G,A1056,'Lançamentos de despesas'!$E:$E,"pago")</f>
        <v>7021.87</v>
      </c>
      <c r="E1056" s="15">
        <f t="shared" si="1"/>
        <v>2025</v>
      </c>
      <c r="F1056" s="15">
        <f t="shared" si="2"/>
        <v>4</v>
      </c>
      <c r="G1056" s="15">
        <f t="shared" si="3"/>
        <v>21</v>
      </c>
    </row>
    <row r="1057">
      <c r="A1057" s="10" t="s">
        <v>27</v>
      </c>
      <c r="B1057" s="9">
        <f t="shared" si="4"/>
        <v>45768</v>
      </c>
      <c r="C1057" s="77" t="s">
        <v>1572</v>
      </c>
      <c r="D1057" s="13">
        <f>D1054+D1055-D1056</f>
        <v>22707.369</v>
      </c>
      <c r="E1057" s="15">
        <f t="shared" si="1"/>
        <v>2025</v>
      </c>
      <c r="F1057" s="15">
        <f t="shared" si="2"/>
        <v>4</v>
      </c>
      <c r="G1057" s="15">
        <f t="shared" si="3"/>
        <v>21</v>
      </c>
    </row>
    <row r="1058">
      <c r="A1058" s="10" t="s">
        <v>27</v>
      </c>
      <c r="B1058" s="9">
        <f t="shared" si="4"/>
        <v>45769</v>
      </c>
      <c r="C1058" s="77" t="s">
        <v>1569</v>
      </c>
      <c r="D1058" s="12">
        <f>D1057</f>
        <v>22707.369</v>
      </c>
      <c r="E1058" s="15">
        <f t="shared" si="1"/>
        <v>2025</v>
      </c>
      <c r="F1058" s="15">
        <f t="shared" si="2"/>
        <v>4</v>
      </c>
      <c r="G1058" s="15">
        <f t="shared" si="3"/>
        <v>22</v>
      </c>
    </row>
    <row r="1059">
      <c r="A1059" s="10" t="s">
        <v>27</v>
      </c>
      <c r="B1059" s="9">
        <f t="shared" si="4"/>
        <v>45769</v>
      </c>
      <c r="C1059" s="77" t="s">
        <v>1570</v>
      </c>
      <c r="D1059" s="13">
        <f>SUMIFS('Lançamentos de receitas'!$E:$E,'Lançamentos de receitas'!$A:$A,B1059,'Lançamentos de receitas'!$C:$C,A1059,'Lançamentos de receitas'!$F:$F,"TRANSFERÊNCIA")</f>
        <v>11547.02</v>
      </c>
      <c r="E1059" s="15">
        <f t="shared" si="1"/>
        <v>2025</v>
      </c>
      <c r="F1059" s="15">
        <f t="shared" si="2"/>
        <v>4</v>
      </c>
      <c r="G1059" s="15">
        <f t="shared" si="3"/>
        <v>22</v>
      </c>
    </row>
    <row r="1060">
      <c r="A1060" s="10" t="s">
        <v>27</v>
      </c>
      <c r="B1060" s="9">
        <f t="shared" si="4"/>
        <v>45769</v>
      </c>
      <c r="C1060" s="77" t="s">
        <v>1571</v>
      </c>
      <c r="D1060" s="13">
        <f>SUMIFS('Lançamentos de despesas'!$K:$K,'Lançamentos de despesas'!$C:$C,B1060,'Lançamentos de despesas'!$G:$G,A1060,'Lançamentos de despesas'!$E:$E,"pago")</f>
        <v>18617.69</v>
      </c>
      <c r="E1060" s="15">
        <f t="shared" si="1"/>
        <v>2025</v>
      </c>
      <c r="F1060" s="15">
        <f t="shared" si="2"/>
        <v>4</v>
      </c>
      <c r="G1060" s="15">
        <f t="shared" si="3"/>
        <v>22</v>
      </c>
    </row>
    <row r="1061">
      <c r="A1061" s="10" t="s">
        <v>27</v>
      </c>
      <c r="B1061" s="9">
        <f t="shared" si="4"/>
        <v>45769</v>
      </c>
      <c r="C1061" s="77" t="s">
        <v>1572</v>
      </c>
      <c r="D1061" s="13">
        <f>D1058+D1059-D1060</f>
        <v>15636.699</v>
      </c>
      <c r="E1061" s="15">
        <f t="shared" si="1"/>
        <v>2025</v>
      </c>
      <c r="F1061" s="15">
        <f t="shared" si="2"/>
        <v>4</v>
      </c>
      <c r="G1061" s="15">
        <f t="shared" si="3"/>
        <v>22</v>
      </c>
    </row>
    <row r="1062">
      <c r="A1062" s="10" t="s">
        <v>27</v>
      </c>
      <c r="B1062" s="9">
        <f t="shared" si="4"/>
        <v>45770</v>
      </c>
      <c r="C1062" s="77" t="s">
        <v>1569</v>
      </c>
      <c r="D1062" s="12">
        <f>D1061</f>
        <v>15636.699</v>
      </c>
      <c r="E1062" s="15">
        <f t="shared" si="1"/>
        <v>2025</v>
      </c>
      <c r="F1062" s="15">
        <f t="shared" si="2"/>
        <v>4</v>
      </c>
      <c r="G1062" s="15">
        <f t="shared" si="3"/>
        <v>23</v>
      </c>
    </row>
    <row r="1063">
      <c r="A1063" s="10" t="s">
        <v>27</v>
      </c>
      <c r="B1063" s="9">
        <f t="shared" si="4"/>
        <v>45770</v>
      </c>
      <c r="C1063" s="77" t="s">
        <v>1570</v>
      </c>
      <c r="D1063" s="13">
        <f>SUMIFS('Lançamentos de receitas'!$E:$E,'Lançamentos de receitas'!$A:$A,B1063,'Lançamentos de receitas'!$C:$C,A1063,'Lançamentos de receitas'!$F:$F,"TRANSFERÊNCIA")</f>
        <v>15456.99</v>
      </c>
      <c r="E1063" s="15">
        <f t="shared" si="1"/>
        <v>2025</v>
      </c>
      <c r="F1063" s="15">
        <f t="shared" si="2"/>
        <v>4</v>
      </c>
      <c r="G1063" s="15">
        <f t="shared" si="3"/>
        <v>23</v>
      </c>
    </row>
    <row r="1064">
      <c r="A1064" s="10" t="s">
        <v>27</v>
      </c>
      <c r="B1064" s="9">
        <f t="shared" si="4"/>
        <v>45770</v>
      </c>
      <c r="C1064" s="77" t="s">
        <v>1571</v>
      </c>
      <c r="D1064" s="13">
        <f>SUMIFS('Lançamentos de despesas'!$K:$K,'Lançamentos de despesas'!$C:$C,B1064,'Lançamentos de despesas'!$G:$G,A1064,'Lançamentos de despesas'!$E:$E,"pago")</f>
        <v>6251</v>
      </c>
      <c r="E1064" s="15">
        <f t="shared" si="1"/>
        <v>2025</v>
      </c>
      <c r="F1064" s="15">
        <f t="shared" si="2"/>
        <v>4</v>
      </c>
      <c r="G1064" s="15">
        <f t="shared" si="3"/>
        <v>23</v>
      </c>
    </row>
    <row r="1065">
      <c r="A1065" s="10" t="s">
        <v>27</v>
      </c>
      <c r="B1065" s="9">
        <f t="shared" si="4"/>
        <v>45770</v>
      </c>
      <c r="C1065" s="77" t="s">
        <v>1572</v>
      </c>
      <c r="D1065" s="13">
        <f>D1062+D1063-D1064</f>
        <v>24842.689</v>
      </c>
      <c r="E1065" s="15">
        <f t="shared" si="1"/>
        <v>2025</v>
      </c>
      <c r="F1065" s="15">
        <f t="shared" si="2"/>
        <v>4</v>
      </c>
      <c r="G1065" s="15">
        <f t="shared" si="3"/>
        <v>23</v>
      </c>
    </row>
    <row r="1066">
      <c r="A1066" s="10" t="s">
        <v>27</v>
      </c>
      <c r="B1066" s="9">
        <f t="shared" si="4"/>
        <v>45771</v>
      </c>
      <c r="C1066" s="77" t="s">
        <v>1569</v>
      </c>
      <c r="D1066" s="12">
        <f>D1065</f>
        <v>24842.689</v>
      </c>
      <c r="E1066" s="15">
        <f t="shared" si="1"/>
        <v>2025</v>
      </c>
      <c r="F1066" s="15">
        <f t="shared" si="2"/>
        <v>4</v>
      </c>
      <c r="G1066" s="15">
        <f t="shared" si="3"/>
        <v>24</v>
      </c>
    </row>
    <row r="1067">
      <c r="A1067" s="10" t="s">
        <v>27</v>
      </c>
      <c r="B1067" s="9">
        <f t="shared" si="4"/>
        <v>45771</v>
      </c>
      <c r="C1067" s="77" t="s">
        <v>1570</v>
      </c>
      <c r="D1067" s="13">
        <f>SUMIFS('Lançamentos de receitas'!$E:$E,'Lançamentos de receitas'!$A:$A,B1067,'Lançamentos de receitas'!$C:$C,A1067,'Lançamentos de receitas'!$F:$F,"TRANSFERÊNCIA")</f>
        <v>1792.72</v>
      </c>
      <c r="E1067" s="15">
        <f t="shared" si="1"/>
        <v>2025</v>
      </c>
      <c r="F1067" s="15">
        <f t="shared" si="2"/>
        <v>4</v>
      </c>
      <c r="G1067" s="15">
        <f t="shared" si="3"/>
        <v>24</v>
      </c>
    </row>
    <row r="1068">
      <c r="A1068" s="10" t="s">
        <v>27</v>
      </c>
      <c r="B1068" s="9">
        <f t="shared" si="4"/>
        <v>45771</v>
      </c>
      <c r="C1068" s="77" t="s">
        <v>1571</v>
      </c>
      <c r="D1068" s="13">
        <f>SUMIFS('Lançamentos de despesas'!$K:$K,'Lançamentos de despesas'!$C:$C,B1068,'Lançamentos de despesas'!$G:$G,A1068,'Lançamentos de despesas'!$E:$E,"pago")</f>
        <v>142.68</v>
      </c>
      <c r="E1068" s="15">
        <f t="shared" si="1"/>
        <v>2025</v>
      </c>
      <c r="F1068" s="15">
        <f t="shared" si="2"/>
        <v>4</v>
      </c>
      <c r="G1068" s="15">
        <f t="shared" si="3"/>
        <v>24</v>
      </c>
    </row>
    <row r="1069">
      <c r="A1069" s="10" t="s">
        <v>27</v>
      </c>
      <c r="B1069" s="9">
        <f t="shared" si="4"/>
        <v>45771</v>
      </c>
      <c r="C1069" s="77" t="s">
        <v>1572</v>
      </c>
      <c r="D1069" s="13">
        <f>D1066+D1067-D1068</f>
        <v>26492.729</v>
      </c>
      <c r="E1069" s="15">
        <f t="shared" si="1"/>
        <v>2025</v>
      </c>
      <c r="F1069" s="15">
        <f t="shared" si="2"/>
        <v>4</v>
      </c>
      <c r="G1069" s="15">
        <f t="shared" si="3"/>
        <v>24</v>
      </c>
    </row>
    <row r="1070">
      <c r="A1070" s="10" t="s">
        <v>27</v>
      </c>
      <c r="B1070" s="9">
        <f t="shared" si="4"/>
        <v>45772</v>
      </c>
      <c r="C1070" s="77" t="s">
        <v>1569</v>
      </c>
      <c r="D1070" s="12">
        <f>D1069</f>
        <v>26492.729</v>
      </c>
      <c r="E1070" s="15">
        <f t="shared" si="1"/>
        <v>2025</v>
      </c>
      <c r="F1070" s="15">
        <f t="shared" si="2"/>
        <v>4</v>
      </c>
      <c r="G1070" s="15">
        <f t="shared" si="3"/>
        <v>25</v>
      </c>
    </row>
    <row r="1071">
      <c r="A1071" s="10" t="s">
        <v>27</v>
      </c>
      <c r="B1071" s="9">
        <f t="shared" si="4"/>
        <v>45772</v>
      </c>
      <c r="C1071" s="77" t="s">
        <v>1570</v>
      </c>
      <c r="D1071" s="13">
        <f>SUMIFS('Lançamentos de receitas'!$E:$E,'Lançamentos de receitas'!$A:$A,B1071,'Lançamentos de receitas'!$C:$C,A1071,'Lançamentos de receitas'!$F:$F,"TRANSFERÊNCIA")</f>
        <v>6296.27</v>
      </c>
      <c r="E1071" s="15">
        <f t="shared" si="1"/>
        <v>2025</v>
      </c>
      <c r="F1071" s="15">
        <f t="shared" si="2"/>
        <v>4</v>
      </c>
      <c r="G1071" s="15">
        <f t="shared" si="3"/>
        <v>25</v>
      </c>
    </row>
    <row r="1072">
      <c r="A1072" s="10" t="s">
        <v>27</v>
      </c>
      <c r="B1072" s="9">
        <f t="shared" si="4"/>
        <v>45772</v>
      </c>
      <c r="C1072" s="77" t="s">
        <v>1571</v>
      </c>
      <c r="D1072" s="13">
        <f>SUMIFS('Lançamentos de despesas'!$K:$K,'Lançamentos de despesas'!$C:$C,B1072,'Lançamentos de despesas'!$G:$G,A1072,'Lançamentos de despesas'!$E:$E,"pago")</f>
        <v>21881.12</v>
      </c>
      <c r="E1072" s="15">
        <f t="shared" si="1"/>
        <v>2025</v>
      </c>
      <c r="F1072" s="15">
        <f t="shared" si="2"/>
        <v>4</v>
      </c>
      <c r="G1072" s="15">
        <f t="shared" si="3"/>
        <v>25</v>
      </c>
    </row>
    <row r="1073">
      <c r="A1073" s="10" t="s">
        <v>27</v>
      </c>
      <c r="B1073" s="9">
        <f t="shared" si="4"/>
        <v>45772</v>
      </c>
      <c r="C1073" s="77" t="s">
        <v>1572</v>
      </c>
      <c r="D1073" s="13">
        <f>D1070+D1071-D1072</f>
        <v>10907.879</v>
      </c>
      <c r="E1073" s="15">
        <f t="shared" si="1"/>
        <v>2025</v>
      </c>
      <c r="F1073" s="15">
        <f t="shared" si="2"/>
        <v>4</v>
      </c>
      <c r="G1073" s="15">
        <f t="shared" si="3"/>
        <v>25</v>
      </c>
    </row>
    <row r="1074">
      <c r="A1074" s="10" t="s">
        <v>27</v>
      </c>
      <c r="B1074" s="9">
        <f t="shared" si="4"/>
        <v>45773</v>
      </c>
      <c r="C1074" s="77" t="s">
        <v>1569</v>
      </c>
      <c r="D1074" s="12">
        <f>D1073</f>
        <v>10907.879</v>
      </c>
      <c r="E1074" s="15">
        <f t="shared" si="1"/>
        <v>2025</v>
      </c>
      <c r="F1074" s="15">
        <f t="shared" si="2"/>
        <v>4</v>
      </c>
      <c r="G1074" s="15">
        <f t="shared" si="3"/>
        <v>26</v>
      </c>
    </row>
    <row r="1075">
      <c r="A1075" s="10" t="s">
        <v>27</v>
      </c>
      <c r="B1075" s="9">
        <f t="shared" si="4"/>
        <v>45773</v>
      </c>
      <c r="C1075" s="77" t="s">
        <v>1570</v>
      </c>
      <c r="D1075" s="13">
        <f>SUMIFS('Lançamentos de receitas'!$E:$E,'Lançamentos de receitas'!$A:$A,B1075,'Lançamentos de receitas'!$C:$C,A1075,'Lançamentos de receitas'!$F:$F,"TRANSFERÊNCIA")</f>
        <v>1329.2</v>
      </c>
      <c r="E1075" s="15">
        <f t="shared" si="1"/>
        <v>2025</v>
      </c>
      <c r="F1075" s="15">
        <f t="shared" si="2"/>
        <v>4</v>
      </c>
      <c r="G1075" s="15">
        <f t="shared" si="3"/>
        <v>26</v>
      </c>
    </row>
    <row r="1076">
      <c r="A1076" s="10" t="s">
        <v>27</v>
      </c>
      <c r="B1076" s="9">
        <f t="shared" si="4"/>
        <v>45773</v>
      </c>
      <c r="C1076" s="77" t="s">
        <v>1571</v>
      </c>
      <c r="D1076" s="13">
        <f>SUMIFS('Lançamentos de despesas'!$K:$K,'Lançamentos de despesas'!$C:$C,B1076,'Lançamentos de despesas'!$G:$G,A1076,'Lançamentos de despesas'!$E:$E,"pago")</f>
        <v>0</v>
      </c>
      <c r="E1076" s="15">
        <f t="shared" si="1"/>
        <v>2025</v>
      </c>
      <c r="F1076" s="15">
        <f t="shared" si="2"/>
        <v>4</v>
      </c>
      <c r="G1076" s="15">
        <f t="shared" si="3"/>
        <v>26</v>
      </c>
    </row>
    <row r="1077">
      <c r="A1077" s="10" t="s">
        <v>27</v>
      </c>
      <c r="B1077" s="9">
        <f t="shared" si="4"/>
        <v>45773</v>
      </c>
      <c r="C1077" s="77" t="s">
        <v>1572</v>
      </c>
      <c r="D1077" s="13">
        <f>D1074+D1075-D1076</f>
        <v>12237.079</v>
      </c>
      <c r="E1077" s="15">
        <f t="shared" si="1"/>
        <v>2025</v>
      </c>
      <c r="F1077" s="15">
        <f t="shared" si="2"/>
        <v>4</v>
      </c>
      <c r="G1077" s="15">
        <f t="shared" si="3"/>
        <v>26</v>
      </c>
    </row>
    <row r="1078">
      <c r="A1078" s="10" t="s">
        <v>27</v>
      </c>
      <c r="B1078" s="9">
        <f t="shared" si="4"/>
        <v>45774</v>
      </c>
      <c r="C1078" s="77" t="s">
        <v>1569</v>
      </c>
      <c r="D1078" s="12">
        <f>D1077</f>
        <v>12237.079</v>
      </c>
      <c r="E1078" s="15">
        <f t="shared" si="1"/>
        <v>2025</v>
      </c>
      <c r="F1078" s="15">
        <f t="shared" si="2"/>
        <v>4</v>
      </c>
      <c r="G1078" s="15">
        <f t="shared" si="3"/>
        <v>27</v>
      </c>
    </row>
    <row r="1079">
      <c r="A1079" s="10" t="s">
        <v>27</v>
      </c>
      <c r="B1079" s="9">
        <f t="shared" si="4"/>
        <v>45774</v>
      </c>
      <c r="C1079" s="77" t="s">
        <v>1570</v>
      </c>
      <c r="D1079" s="13">
        <f>SUMIFS('Lançamentos de receitas'!$E:$E,'Lançamentos de receitas'!$A:$A,B1079,'Lançamentos de receitas'!$C:$C,A1079,'Lançamentos de receitas'!$F:$F,"TRANSFERÊNCIA")</f>
        <v>427.12</v>
      </c>
      <c r="E1079" s="15">
        <f t="shared" si="1"/>
        <v>2025</v>
      </c>
      <c r="F1079" s="15">
        <f t="shared" si="2"/>
        <v>4</v>
      </c>
      <c r="G1079" s="15">
        <f t="shared" si="3"/>
        <v>27</v>
      </c>
    </row>
    <row r="1080">
      <c r="A1080" s="10" t="s">
        <v>27</v>
      </c>
      <c r="B1080" s="9">
        <f t="shared" si="4"/>
        <v>45774</v>
      </c>
      <c r="C1080" s="77" t="s">
        <v>1571</v>
      </c>
      <c r="D1080" s="13">
        <f>SUMIFS('Lançamentos de despesas'!$K:$K,'Lançamentos de despesas'!$C:$C,B1080,'Lançamentos de despesas'!$G:$G,A1080,'Lançamentos de despesas'!$E:$E,"pago")</f>
        <v>0</v>
      </c>
      <c r="E1080" s="15">
        <f t="shared" si="1"/>
        <v>2025</v>
      </c>
      <c r="F1080" s="15">
        <f t="shared" si="2"/>
        <v>4</v>
      </c>
      <c r="G1080" s="15">
        <f t="shared" si="3"/>
        <v>27</v>
      </c>
    </row>
    <row r="1081">
      <c r="A1081" s="10" t="s">
        <v>27</v>
      </c>
      <c r="B1081" s="9">
        <f t="shared" si="4"/>
        <v>45774</v>
      </c>
      <c r="C1081" s="77" t="s">
        <v>1572</v>
      </c>
      <c r="D1081" s="13">
        <f>D1078+D1079-D1080</f>
        <v>12664.199</v>
      </c>
      <c r="E1081" s="15">
        <f t="shared" si="1"/>
        <v>2025</v>
      </c>
      <c r="F1081" s="15">
        <f t="shared" si="2"/>
        <v>4</v>
      </c>
      <c r="G1081" s="15">
        <f t="shared" si="3"/>
        <v>27</v>
      </c>
    </row>
    <row r="1082">
      <c r="A1082" s="10" t="s">
        <v>27</v>
      </c>
      <c r="B1082" s="9">
        <f t="shared" si="4"/>
        <v>45775</v>
      </c>
      <c r="C1082" s="77" t="s">
        <v>1569</v>
      </c>
      <c r="D1082" s="12">
        <f>D1081</f>
        <v>12664.199</v>
      </c>
      <c r="E1082" s="15">
        <f t="shared" si="1"/>
        <v>2025</v>
      </c>
      <c r="F1082" s="15">
        <f t="shared" si="2"/>
        <v>4</v>
      </c>
      <c r="G1082" s="15">
        <f t="shared" si="3"/>
        <v>28</v>
      </c>
    </row>
    <row r="1083">
      <c r="A1083" s="10" t="s">
        <v>27</v>
      </c>
      <c r="B1083" s="9">
        <f t="shared" si="4"/>
        <v>45775</v>
      </c>
      <c r="C1083" s="77" t="s">
        <v>1570</v>
      </c>
      <c r="D1083" s="13">
        <f>SUMIFS('Lançamentos de receitas'!$E:$E,'Lançamentos de receitas'!$A:$A,B1083,'Lançamentos de receitas'!$C:$C,A1083,'Lançamentos de receitas'!$F:$F,"TRANSFERÊNCIA")</f>
        <v>925.09</v>
      </c>
      <c r="E1083" s="15">
        <f t="shared" si="1"/>
        <v>2025</v>
      </c>
      <c r="F1083" s="15">
        <f t="shared" si="2"/>
        <v>4</v>
      </c>
      <c r="G1083" s="15">
        <f t="shared" si="3"/>
        <v>28</v>
      </c>
    </row>
    <row r="1084">
      <c r="A1084" s="10" t="s">
        <v>27</v>
      </c>
      <c r="B1084" s="9">
        <f t="shared" si="4"/>
        <v>45775</v>
      </c>
      <c r="C1084" s="77" t="s">
        <v>1571</v>
      </c>
      <c r="D1084" s="13">
        <f>SUMIFS('Lançamentos de despesas'!$K:$K,'Lançamentos de despesas'!$C:$C,B1084,'Lançamentos de despesas'!$G:$G,A1084,'Lançamentos de despesas'!$E:$E,"pago")</f>
        <v>2457</v>
      </c>
      <c r="E1084" s="15">
        <f t="shared" si="1"/>
        <v>2025</v>
      </c>
      <c r="F1084" s="15">
        <f t="shared" si="2"/>
        <v>4</v>
      </c>
      <c r="G1084" s="15">
        <f t="shared" si="3"/>
        <v>28</v>
      </c>
    </row>
    <row r="1085">
      <c r="A1085" s="10" t="s">
        <v>27</v>
      </c>
      <c r="B1085" s="9">
        <f t="shared" si="4"/>
        <v>45775</v>
      </c>
      <c r="C1085" s="77" t="s">
        <v>1572</v>
      </c>
      <c r="D1085" s="13">
        <f>D1082+D1083-D1084</f>
        <v>11132.289</v>
      </c>
      <c r="E1085" s="15">
        <f t="shared" si="1"/>
        <v>2025</v>
      </c>
      <c r="F1085" s="15">
        <f t="shared" si="2"/>
        <v>4</v>
      </c>
      <c r="G1085" s="15">
        <f t="shared" si="3"/>
        <v>28</v>
      </c>
    </row>
    <row r="1086">
      <c r="A1086" s="10" t="s">
        <v>27</v>
      </c>
      <c r="B1086" s="9">
        <f t="shared" si="4"/>
        <v>45776</v>
      </c>
      <c r="C1086" s="77" t="s">
        <v>1569</v>
      </c>
      <c r="D1086" s="12">
        <f>D1085</f>
        <v>11132.289</v>
      </c>
      <c r="E1086" s="15">
        <f t="shared" si="1"/>
        <v>2025</v>
      </c>
      <c r="F1086" s="15">
        <f t="shared" si="2"/>
        <v>4</v>
      </c>
      <c r="G1086" s="15">
        <f t="shared" si="3"/>
        <v>29</v>
      </c>
    </row>
    <row r="1087">
      <c r="A1087" s="10" t="s">
        <v>27</v>
      </c>
      <c r="B1087" s="9">
        <f t="shared" si="4"/>
        <v>45776</v>
      </c>
      <c r="C1087" s="77" t="s">
        <v>1570</v>
      </c>
      <c r="D1087" s="13">
        <f>SUMIFS('Lançamentos de receitas'!$E:$E,'Lançamentos de receitas'!$A:$A,B1087,'Lançamentos de receitas'!$C:$C,A1087,'Lançamentos de receitas'!$F:$F,"TRANSFERÊNCIA")</f>
        <v>779.89</v>
      </c>
      <c r="E1087" s="15">
        <f t="shared" si="1"/>
        <v>2025</v>
      </c>
      <c r="F1087" s="15">
        <f t="shared" si="2"/>
        <v>4</v>
      </c>
      <c r="G1087" s="15">
        <f t="shared" si="3"/>
        <v>29</v>
      </c>
    </row>
    <row r="1088">
      <c r="A1088" s="10" t="s">
        <v>27</v>
      </c>
      <c r="B1088" s="9">
        <f t="shared" si="4"/>
        <v>45776</v>
      </c>
      <c r="C1088" s="77" t="s">
        <v>1571</v>
      </c>
      <c r="D1088" s="13">
        <f>SUMIFS('Lançamentos de despesas'!$K:$K,'Lançamentos de despesas'!$C:$C,B1088,'Lançamentos de despesas'!$G:$G,A1088,'Lançamentos de despesas'!$E:$E,"pago")</f>
        <v>1020.54</v>
      </c>
      <c r="E1088" s="15">
        <f t="shared" si="1"/>
        <v>2025</v>
      </c>
      <c r="F1088" s="15">
        <f t="shared" si="2"/>
        <v>4</v>
      </c>
      <c r="G1088" s="15">
        <f t="shared" si="3"/>
        <v>29</v>
      </c>
    </row>
    <row r="1089">
      <c r="A1089" s="10" t="s">
        <v>27</v>
      </c>
      <c r="B1089" s="9">
        <f t="shared" si="4"/>
        <v>45776</v>
      </c>
      <c r="C1089" s="77" t="s">
        <v>1572</v>
      </c>
      <c r="D1089" s="13">
        <f>D1086+D1087-D1088</f>
        <v>10891.639</v>
      </c>
      <c r="E1089" s="15">
        <f t="shared" si="1"/>
        <v>2025</v>
      </c>
      <c r="F1089" s="15">
        <f t="shared" si="2"/>
        <v>4</v>
      </c>
      <c r="G1089" s="15">
        <f t="shared" si="3"/>
        <v>29</v>
      </c>
    </row>
    <row r="1090">
      <c r="A1090" s="10" t="s">
        <v>27</v>
      </c>
      <c r="B1090" s="9">
        <f t="shared" si="4"/>
        <v>45777</v>
      </c>
      <c r="C1090" s="77" t="s">
        <v>1569</v>
      </c>
      <c r="D1090" s="12">
        <f>D1089</f>
        <v>10891.639</v>
      </c>
      <c r="E1090" s="15">
        <f t="shared" si="1"/>
        <v>2025</v>
      </c>
      <c r="F1090" s="15">
        <f t="shared" si="2"/>
        <v>4</v>
      </c>
      <c r="G1090" s="15">
        <f t="shared" si="3"/>
        <v>30</v>
      </c>
    </row>
    <row r="1091">
      <c r="A1091" s="10" t="s">
        <v>27</v>
      </c>
      <c r="B1091" s="9">
        <f t="shared" si="4"/>
        <v>45777</v>
      </c>
      <c r="C1091" s="77" t="s">
        <v>1570</v>
      </c>
      <c r="D1091" s="13">
        <f>SUMIFS('Lançamentos de receitas'!$E:$E,'Lançamentos de receitas'!$A:$A,B1091,'Lançamentos de receitas'!$C:$C,A1091,'Lançamentos de receitas'!$F:$F,"TRANSFERÊNCIA")</f>
        <v>8085.65</v>
      </c>
      <c r="E1091" s="15">
        <f t="shared" si="1"/>
        <v>2025</v>
      </c>
      <c r="F1091" s="15">
        <f t="shared" si="2"/>
        <v>4</v>
      </c>
      <c r="G1091" s="15">
        <f t="shared" si="3"/>
        <v>30</v>
      </c>
    </row>
    <row r="1092">
      <c r="A1092" s="10" t="s">
        <v>27</v>
      </c>
      <c r="B1092" s="9">
        <f t="shared" si="4"/>
        <v>45777</v>
      </c>
      <c r="C1092" s="77" t="s">
        <v>1571</v>
      </c>
      <c r="D1092" s="13">
        <f>SUMIFS('Lançamentos de despesas'!$K:$K,'Lançamentos de despesas'!$C:$C,B1092,'Lançamentos de despesas'!$G:$G,A1092,'Lançamentos de despesas'!$E:$E,"pago")</f>
        <v>2412.67</v>
      </c>
      <c r="E1092" s="15">
        <f t="shared" si="1"/>
        <v>2025</v>
      </c>
      <c r="F1092" s="15">
        <f t="shared" si="2"/>
        <v>4</v>
      </c>
      <c r="G1092" s="15">
        <f t="shared" si="3"/>
        <v>30</v>
      </c>
    </row>
    <row r="1093">
      <c r="A1093" s="10" t="s">
        <v>27</v>
      </c>
      <c r="B1093" s="9">
        <f t="shared" si="4"/>
        <v>45777</v>
      </c>
      <c r="C1093" s="77" t="s">
        <v>1572</v>
      </c>
      <c r="D1093" s="13">
        <f>D1090+D1091-D1092</f>
        <v>16564.619</v>
      </c>
      <c r="E1093" s="15">
        <f t="shared" si="1"/>
        <v>2025</v>
      </c>
      <c r="F1093" s="15">
        <f t="shared" si="2"/>
        <v>4</v>
      </c>
      <c r="G1093" s="15">
        <f t="shared" si="3"/>
        <v>30</v>
      </c>
    </row>
    <row r="1094">
      <c r="A1094" s="10" t="s">
        <v>27</v>
      </c>
      <c r="B1094" s="9">
        <f t="shared" si="4"/>
        <v>45778</v>
      </c>
      <c r="C1094" s="77" t="s">
        <v>1569</v>
      </c>
      <c r="D1094" s="12">
        <f>D1093</f>
        <v>16564.619</v>
      </c>
      <c r="E1094" s="15">
        <f t="shared" si="1"/>
        <v>2025</v>
      </c>
      <c r="F1094" s="15">
        <f t="shared" si="2"/>
        <v>5</v>
      </c>
      <c r="G1094" s="15">
        <f t="shared" si="3"/>
        <v>1</v>
      </c>
    </row>
    <row r="1095">
      <c r="A1095" s="10" t="s">
        <v>27</v>
      </c>
      <c r="B1095" s="9">
        <f t="shared" si="4"/>
        <v>45778</v>
      </c>
      <c r="C1095" s="77" t="s">
        <v>1570</v>
      </c>
      <c r="D1095" s="13">
        <f>SUMIFS('Lançamentos de receitas'!$E:$E,'Lançamentos de receitas'!$A:$A,B1095,'Lançamentos de receitas'!$C:$C,A1095,'Lançamentos de receitas'!$F:$F,"TRANSFERÊNCIA")</f>
        <v>622.59</v>
      </c>
      <c r="E1095" s="15">
        <f t="shared" si="1"/>
        <v>2025</v>
      </c>
      <c r="F1095" s="15">
        <f t="shared" si="2"/>
        <v>5</v>
      </c>
      <c r="G1095" s="15">
        <f t="shared" si="3"/>
        <v>1</v>
      </c>
    </row>
    <row r="1096">
      <c r="A1096" s="10" t="s">
        <v>27</v>
      </c>
      <c r="B1096" s="9">
        <f t="shared" si="4"/>
        <v>45778</v>
      </c>
      <c r="C1096" s="77" t="s">
        <v>1571</v>
      </c>
      <c r="D1096" s="13">
        <f>SUMIFS('Lançamentos de despesas'!$K:$K,'Lançamentos de despesas'!$C:$C,B1096,'Lançamentos de despesas'!$G:$G,A1096,'Lançamentos de despesas'!$E:$E,"pago")</f>
        <v>0</v>
      </c>
      <c r="E1096" s="15">
        <f t="shared" si="1"/>
        <v>2025</v>
      </c>
      <c r="F1096" s="15">
        <f t="shared" si="2"/>
        <v>5</v>
      </c>
      <c r="G1096" s="15">
        <f t="shared" si="3"/>
        <v>1</v>
      </c>
    </row>
    <row r="1097">
      <c r="A1097" s="10" t="s">
        <v>27</v>
      </c>
      <c r="B1097" s="9">
        <f t="shared" si="4"/>
        <v>45778</v>
      </c>
      <c r="C1097" s="77" t="s">
        <v>1572</v>
      </c>
      <c r="D1097" s="13">
        <f>D1094+D1095-D1096</f>
        <v>17187.209</v>
      </c>
      <c r="E1097" s="15">
        <f t="shared" si="1"/>
        <v>2025</v>
      </c>
      <c r="F1097" s="15">
        <f t="shared" si="2"/>
        <v>5</v>
      </c>
      <c r="G1097" s="15">
        <f t="shared" si="3"/>
        <v>1</v>
      </c>
    </row>
    <row r="1098">
      <c r="A1098" s="10" t="s">
        <v>27</v>
      </c>
      <c r="B1098" s="9">
        <f t="shared" si="4"/>
        <v>45779</v>
      </c>
      <c r="C1098" s="77" t="s">
        <v>1569</v>
      </c>
      <c r="D1098" s="12">
        <f>D1097</f>
        <v>17187.209</v>
      </c>
      <c r="E1098" s="15">
        <f t="shared" si="1"/>
        <v>2025</v>
      </c>
      <c r="F1098" s="15">
        <f t="shared" si="2"/>
        <v>5</v>
      </c>
      <c r="G1098" s="15">
        <f t="shared" si="3"/>
        <v>2</v>
      </c>
    </row>
    <row r="1099">
      <c r="A1099" s="10" t="s">
        <v>27</v>
      </c>
      <c r="B1099" s="9">
        <f t="shared" si="4"/>
        <v>45779</v>
      </c>
      <c r="C1099" s="77" t="s">
        <v>1570</v>
      </c>
      <c r="D1099" s="13">
        <f>SUMIFS('Lançamentos de receitas'!$E:$E,'Lançamentos de receitas'!$A:$A,B1099,'Lançamentos de receitas'!$C:$C,A1099,'Lançamentos de receitas'!$F:$F,"TRANSFERÊNCIA")</f>
        <v>4611.33</v>
      </c>
      <c r="E1099" s="15">
        <f t="shared" si="1"/>
        <v>2025</v>
      </c>
      <c r="F1099" s="15">
        <f t="shared" si="2"/>
        <v>5</v>
      </c>
      <c r="G1099" s="15">
        <f t="shared" si="3"/>
        <v>2</v>
      </c>
    </row>
    <row r="1100">
      <c r="A1100" s="10" t="s">
        <v>27</v>
      </c>
      <c r="B1100" s="9">
        <f t="shared" si="4"/>
        <v>45779</v>
      </c>
      <c r="C1100" s="77" t="s">
        <v>1571</v>
      </c>
      <c r="D1100" s="13">
        <f>SUMIFS('Lançamentos de despesas'!$K:$K,'Lançamentos de despesas'!$C:$C,B1100,'Lançamentos de despesas'!$G:$G,A1100,'Lançamentos de despesas'!$E:$E,"pago")</f>
        <v>0</v>
      </c>
      <c r="E1100" s="15">
        <f t="shared" si="1"/>
        <v>2025</v>
      </c>
      <c r="F1100" s="15">
        <f t="shared" si="2"/>
        <v>5</v>
      </c>
      <c r="G1100" s="15">
        <f t="shared" si="3"/>
        <v>2</v>
      </c>
    </row>
    <row r="1101">
      <c r="A1101" s="10" t="s">
        <v>27</v>
      </c>
      <c r="B1101" s="9">
        <f t="shared" si="4"/>
        <v>45779</v>
      </c>
      <c r="C1101" s="77" t="s">
        <v>1572</v>
      </c>
      <c r="D1101" s="13">
        <f>D1098+D1099-D1100</f>
        <v>21798.539</v>
      </c>
      <c r="E1101" s="15">
        <f t="shared" si="1"/>
        <v>2025</v>
      </c>
      <c r="F1101" s="15">
        <f t="shared" si="2"/>
        <v>5</v>
      </c>
      <c r="G1101" s="15">
        <f t="shared" si="3"/>
        <v>2</v>
      </c>
    </row>
    <row r="1102">
      <c r="A1102" s="10" t="s">
        <v>27</v>
      </c>
      <c r="B1102" s="9">
        <f t="shared" si="4"/>
        <v>45780</v>
      </c>
      <c r="C1102" s="77" t="s">
        <v>1569</v>
      </c>
      <c r="D1102" s="12">
        <f>D1101</f>
        <v>21798.539</v>
      </c>
      <c r="E1102" s="15">
        <f t="shared" si="1"/>
        <v>2025</v>
      </c>
      <c r="F1102" s="15">
        <f t="shared" si="2"/>
        <v>5</v>
      </c>
      <c r="G1102" s="15">
        <f t="shared" si="3"/>
        <v>3</v>
      </c>
    </row>
    <row r="1103">
      <c r="A1103" s="10" t="s">
        <v>27</v>
      </c>
      <c r="B1103" s="9">
        <f t="shared" si="4"/>
        <v>45780</v>
      </c>
      <c r="C1103" s="77" t="s">
        <v>1570</v>
      </c>
      <c r="D1103" s="13">
        <f>SUMIFS('Lançamentos de receitas'!$E:$E,'Lançamentos de receitas'!$A:$A,B1103,'Lançamentos de receitas'!$C:$C,A1103,'Lançamentos de receitas'!$F:$F,"TRANSFERÊNCIA")</f>
        <v>1340.57</v>
      </c>
      <c r="E1103" s="15">
        <f t="shared" si="1"/>
        <v>2025</v>
      </c>
      <c r="F1103" s="15">
        <f t="shared" si="2"/>
        <v>5</v>
      </c>
      <c r="G1103" s="15">
        <f t="shared" si="3"/>
        <v>3</v>
      </c>
    </row>
    <row r="1104">
      <c r="A1104" s="10" t="s">
        <v>27</v>
      </c>
      <c r="B1104" s="9">
        <f t="shared" si="4"/>
        <v>45780</v>
      </c>
      <c r="C1104" s="77" t="s">
        <v>1571</v>
      </c>
      <c r="D1104" s="13">
        <f>SUMIFS('Lançamentos de despesas'!$K:$K,'Lançamentos de despesas'!$C:$C,B1104,'Lançamentos de despesas'!$G:$G,A1104,'Lançamentos de despesas'!$E:$E,"pago")</f>
        <v>0</v>
      </c>
      <c r="E1104" s="15">
        <f t="shared" si="1"/>
        <v>2025</v>
      </c>
      <c r="F1104" s="15">
        <f t="shared" si="2"/>
        <v>5</v>
      </c>
      <c r="G1104" s="15">
        <f t="shared" si="3"/>
        <v>3</v>
      </c>
    </row>
    <row r="1105">
      <c r="A1105" s="10" t="s">
        <v>27</v>
      </c>
      <c r="B1105" s="9">
        <f t="shared" si="4"/>
        <v>45780</v>
      </c>
      <c r="C1105" s="77" t="s">
        <v>1572</v>
      </c>
      <c r="D1105" s="13">
        <f>D1102+D1103-D1104</f>
        <v>23139.109</v>
      </c>
      <c r="E1105" s="15">
        <f t="shared" si="1"/>
        <v>2025</v>
      </c>
      <c r="F1105" s="15">
        <f t="shared" si="2"/>
        <v>5</v>
      </c>
      <c r="G1105" s="15">
        <f t="shared" si="3"/>
        <v>3</v>
      </c>
    </row>
    <row r="1106">
      <c r="A1106" s="10" t="s">
        <v>27</v>
      </c>
      <c r="B1106" s="9">
        <f t="shared" si="4"/>
        <v>45781</v>
      </c>
      <c r="C1106" s="77" t="s">
        <v>1569</v>
      </c>
      <c r="D1106" s="12">
        <f>D1105</f>
        <v>23139.109</v>
      </c>
      <c r="E1106" s="15">
        <f t="shared" si="1"/>
        <v>2025</v>
      </c>
      <c r="F1106" s="15">
        <f t="shared" si="2"/>
        <v>5</v>
      </c>
      <c r="G1106" s="15">
        <f t="shared" si="3"/>
        <v>4</v>
      </c>
    </row>
    <row r="1107">
      <c r="A1107" s="10" t="s">
        <v>27</v>
      </c>
      <c r="B1107" s="9">
        <f t="shared" si="4"/>
        <v>45781</v>
      </c>
      <c r="C1107" s="77" t="s">
        <v>1570</v>
      </c>
      <c r="D1107" s="13">
        <f>SUMIFS('Lançamentos de receitas'!$E:$E,'Lançamentos de receitas'!$A:$A,B1107,'Lançamentos de receitas'!$C:$C,A1107,'Lançamentos de receitas'!$F:$F,"TRANSFERÊNCIA")</f>
        <v>392.03</v>
      </c>
      <c r="E1107" s="15">
        <f t="shared" si="1"/>
        <v>2025</v>
      </c>
      <c r="F1107" s="15">
        <f t="shared" si="2"/>
        <v>5</v>
      </c>
      <c r="G1107" s="15">
        <f t="shared" si="3"/>
        <v>4</v>
      </c>
    </row>
    <row r="1108">
      <c r="A1108" s="10" t="s">
        <v>27</v>
      </c>
      <c r="B1108" s="9">
        <f t="shared" si="4"/>
        <v>45781</v>
      </c>
      <c r="C1108" s="77" t="s">
        <v>1571</v>
      </c>
      <c r="D1108" s="13">
        <f>SUMIFS('Lançamentos de despesas'!$K:$K,'Lançamentos de despesas'!$C:$C,B1108,'Lançamentos de despesas'!$G:$G,A1108,'Lançamentos de despesas'!$E:$E,"pago")</f>
        <v>0</v>
      </c>
      <c r="E1108" s="15">
        <f t="shared" si="1"/>
        <v>2025</v>
      </c>
      <c r="F1108" s="15">
        <f t="shared" si="2"/>
        <v>5</v>
      </c>
      <c r="G1108" s="15">
        <f t="shared" si="3"/>
        <v>4</v>
      </c>
    </row>
    <row r="1109">
      <c r="A1109" s="10" t="s">
        <v>27</v>
      </c>
      <c r="B1109" s="9">
        <f t="shared" si="4"/>
        <v>45781</v>
      </c>
      <c r="C1109" s="77" t="s">
        <v>1572</v>
      </c>
      <c r="D1109" s="13">
        <f>D1106+D1107-D1108</f>
        <v>23531.139</v>
      </c>
      <c r="E1109" s="15">
        <f t="shared" si="1"/>
        <v>2025</v>
      </c>
      <c r="F1109" s="15">
        <f t="shared" si="2"/>
        <v>5</v>
      </c>
      <c r="G1109" s="15">
        <f t="shared" si="3"/>
        <v>4</v>
      </c>
    </row>
    <row r="1110">
      <c r="A1110" s="10" t="s">
        <v>27</v>
      </c>
      <c r="B1110" s="9">
        <f t="shared" si="4"/>
        <v>45782</v>
      </c>
      <c r="C1110" s="77" t="s">
        <v>1569</v>
      </c>
      <c r="D1110" s="12">
        <f>D1109</f>
        <v>23531.139</v>
      </c>
      <c r="E1110" s="15">
        <f t="shared" si="1"/>
        <v>2025</v>
      </c>
      <c r="F1110" s="15">
        <f t="shared" si="2"/>
        <v>5</v>
      </c>
      <c r="G1110" s="15">
        <f t="shared" si="3"/>
        <v>5</v>
      </c>
    </row>
    <row r="1111">
      <c r="A1111" s="10" t="s">
        <v>27</v>
      </c>
      <c r="B1111" s="9">
        <f t="shared" si="4"/>
        <v>45782</v>
      </c>
      <c r="C1111" s="77" t="s">
        <v>1570</v>
      </c>
      <c r="D1111" s="13">
        <f>SUMIFS('Lançamentos de receitas'!$E:$E,'Lançamentos de receitas'!$A:$A,B1111,'Lançamentos de receitas'!$C:$C,A1111,'Lançamentos de receitas'!$F:$F,"TRANSFERÊNCIA")</f>
        <v>10767.28</v>
      </c>
      <c r="E1111" s="15">
        <f t="shared" si="1"/>
        <v>2025</v>
      </c>
      <c r="F1111" s="15">
        <f t="shared" si="2"/>
        <v>5</v>
      </c>
      <c r="G1111" s="15">
        <f t="shared" si="3"/>
        <v>5</v>
      </c>
    </row>
    <row r="1112">
      <c r="A1112" s="10" t="s">
        <v>27</v>
      </c>
      <c r="B1112" s="9">
        <f t="shared" si="4"/>
        <v>45782</v>
      </c>
      <c r="C1112" s="77" t="s">
        <v>1571</v>
      </c>
      <c r="D1112" s="13">
        <f>SUMIFS('Lançamentos de despesas'!$K:$K,'Lançamentos de despesas'!$C:$C,B1112,'Lançamentos de despesas'!$G:$G,A1112,'Lançamentos de despesas'!$E:$E,"pago")</f>
        <v>7984.43</v>
      </c>
      <c r="E1112" s="15">
        <f t="shared" si="1"/>
        <v>2025</v>
      </c>
      <c r="F1112" s="15">
        <f t="shared" si="2"/>
        <v>5</v>
      </c>
      <c r="G1112" s="15">
        <f t="shared" si="3"/>
        <v>5</v>
      </c>
    </row>
    <row r="1113">
      <c r="A1113" s="10" t="s">
        <v>27</v>
      </c>
      <c r="B1113" s="9">
        <f t="shared" si="4"/>
        <v>45782</v>
      </c>
      <c r="C1113" s="77" t="s">
        <v>1572</v>
      </c>
      <c r="D1113" s="13">
        <f>D1110+D1111-D1112</f>
        <v>26313.989</v>
      </c>
      <c r="E1113" s="15">
        <f t="shared" si="1"/>
        <v>2025</v>
      </c>
      <c r="F1113" s="15">
        <f t="shared" si="2"/>
        <v>5</v>
      </c>
      <c r="G1113" s="15">
        <f t="shared" si="3"/>
        <v>5</v>
      </c>
    </row>
    <row r="1114">
      <c r="A1114" s="10" t="s">
        <v>27</v>
      </c>
      <c r="B1114" s="9">
        <f t="shared" si="4"/>
        <v>45783</v>
      </c>
      <c r="C1114" s="77" t="s">
        <v>1569</v>
      </c>
      <c r="D1114" s="12">
        <f>D1113</f>
        <v>26313.989</v>
      </c>
      <c r="E1114" s="15">
        <f t="shared" si="1"/>
        <v>2025</v>
      </c>
      <c r="F1114" s="15">
        <f t="shared" si="2"/>
        <v>5</v>
      </c>
      <c r="G1114" s="15">
        <f t="shared" si="3"/>
        <v>6</v>
      </c>
    </row>
    <row r="1115">
      <c r="A1115" s="10" t="s">
        <v>27</v>
      </c>
      <c r="B1115" s="9">
        <f t="shared" si="4"/>
        <v>45783</v>
      </c>
      <c r="C1115" s="77" t="s">
        <v>1570</v>
      </c>
      <c r="D1115" s="13">
        <f>SUMIFS('Lançamentos de receitas'!$E:$E,'Lançamentos de receitas'!$A:$A,B1115,'Lançamentos de receitas'!$C:$C,A1115,'Lançamentos de receitas'!$F:$F,"TRANSFERÊNCIA")</f>
        <v>1152.22</v>
      </c>
      <c r="E1115" s="15">
        <f t="shared" si="1"/>
        <v>2025</v>
      </c>
      <c r="F1115" s="15">
        <f t="shared" si="2"/>
        <v>5</v>
      </c>
      <c r="G1115" s="15">
        <f t="shared" si="3"/>
        <v>6</v>
      </c>
    </row>
    <row r="1116">
      <c r="A1116" s="10" t="s">
        <v>27</v>
      </c>
      <c r="B1116" s="9">
        <f t="shared" si="4"/>
        <v>45783</v>
      </c>
      <c r="C1116" s="77" t="s">
        <v>1571</v>
      </c>
      <c r="D1116" s="13">
        <f>SUMIFS('Lançamentos de despesas'!$K:$K,'Lançamentos de despesas'!$C:$C,B1116,'Lançamentos de despesas'!$G:$G,A1116,'Lançamentos de despesas'!$E:$E,"pago")</f>
        <v>0</v>
      </c>
      <c r="E1116" s="15">
        <f t="shared" si="1"/>
        <v>2025</v>
      </c>
      <c r="F1116" s="15">
        <f t="shared" si="2"/>
        <v>5</v>
      </c>
      <c r="G1116" s="15">
        <f t="shared" si="3"/>
        <v>6</v>
      </c>
    </row>
    <row r="1117">
      <c r="A1117" s="10" t="s">
        <v>27</v>
      </c>
      <c r="B1117" s="9">
        <f t="shared" si="4"/>
        <v>45783</v>
      </c>
      <c r="C1117" s="77" t="s">
        <v>1572</v>
      </c>
      <c r="D1117" s="13">
        <f>D1114+D1115-D1116</f>
        <v>27466.209</v>
      </c>
      <c r="E1117" s="15">
        <f t="shared" si="1"/>
        <v>2025</v>
      </c>
      <c r="F1117" s="15">
        <f t="shared" si="2"/>
        <v>5</v>
      </c>
      <c r="G1117" s="15">
        <f t="shared" si="3"/>
        <v>6</v>
      </c>
    </row>
    <row r="1118">
      <c r="A1118" s="10" t="s">
        <v>27</v>
      </c>
      <c r="B1118" s="9">
        <f t="shared" si="4"/>
        <v>45784</v>
      </c>
      <c r="C1118" s="77" t="s">
        <v>1569</v>
      </c>
      <c r="D1118" s="12">
        <f>D1117</f>
        <v>27466.209</v>
      </c>
      <c r="E1118" s="15">
        <f t="shared" si="1"/>
        <v>2025</v>
      </c>
      <c r="F1118" s="15">
        <f t="shared" si="2"/>
        <v>5</v>
      </c>
      <c r="G1118" s="15">
        <f t="shared" si="3"/>
        <v>7</v>
      </c>
    </row>
    <row r="1119">
      <c r="A1119" s="10" t="s">
        <v>27</v>
      </c>
      <c r="B1119" s="9">
        <f t="shared" si="4"/>
        <v>45784</v>
      </c>
      <c r="C1119" s="77" t="s">
        <v>1570</v>
      </c>
      <c r="D1119" s="13">
        <f>SUMIFS('Lançamentos de receitas'!$E:$E,'Lançamentos de receitas'!$A:$A,B1119,'Lançamentos de receitas'!$C:$C,A1119,'Lançamentos de receitas'!$F:$F,"TRANSFERÊNCIA")</f>
        <v>786.05</v>
      </c>
      <c r="E1119" s="15">
        <f t="shared" si="1"/>
        <v>2025</v>
      </c>
      <c r="F1119" s="15">
        <f t="shared" si="2"/>
        <v>5</v>
      </c>
      <c r="G1119" s="15">
        <f t="shared" si="3"/>
        <v>7</v>
      </c>
    </row>
    <row r="1120">
      <c r="A1120" s="10" t="s">
        <v>27</v>
      </c>
      <c r="B1120" s="9">
        <f t="shared" si="4"/>
        <v>45784</v>
      </c>
      <c r="C1120" s="77" t="s">
        <v>1571</v>
      </c>
      <c r="D1120" s="13">
        <f>SUMIFS('Lançamentos de despesas'!$K:$K,'Lançamentos de despesas'!$C:$C,B1120,'Lançamentos de despesas'!$G:$G,A1120,'Lançamentos de despesas'!$E:$E,"pago")</f>
        <v>0</v>
      </c>
      <c r="E1120" s="15">
        <f t="shared" si="1"/>
        <v>2025</v>
      </c>
      <c r="F1120" s="15">
        <f t="shared" si="2"/>
        <v>5</v>
      </c>
      <c r="G1120" s="15">
        <f t="shared" si="3"/>
        <v>7</v>
      </c>
    </row>
    <row r="1121">
      <c r="A1121" s="10" t="s">
        <v>27</v>
      </c>
      <c r="B1121" s="9">
        <f t="shared" si="4"/>
        <v>45784</v>
      </c>
      <c r="C1121" s="77" t="s">
        <v>1572</v>
      </c>
      <c r="D1121" s="13">
        <f>D1118+D1119-D1120</f>
        <v>28252.259</v>
      </c>
      <c r="E1121" s="15">
        <f t="shared" si="1"/>
        <v>2025</v>
      </c>
      <c r="F1121" s="15">
        <f t="shared" si="2"/>
        <v>5</v>
      </c>
      <c r="G1121" s="15">
        <f t="shared" si="3"/>
        <v>7</v>
      </c>
    </row>
    <row r="1122">
      <c r="A1122" s="10" t="s">
        <v>27</v>
      </c>
      <c r="B1122" s="9">
        <f t="shared" si="4"/>
        <v>45785</v>
      </c>
      <c r="C1122" s="77" t="s">
        <v>1569</v>
      </c>
      <c r="D1122" s="12">
        <f>D1121</f>
        <v>28252.259</v>
      </c>
      <c r="E1122" s="15">
        <f t="shared" si="1"/>
        <v>2025</v>
      </c>
      <c r="F1122" s="15">
        <f t="shared" si="2"/>
        <v>5</v>
      </c>
      <c r="G1122" s="15">
        <f t="shared" si="3"/>
        <v>8</v>
      </c>
    </row>
    <row r="1123">
      <c r="A1123" s="10" t="s">
        <v>27</v>
      </c>
      <c r="B1123" s="9">
        <f t="shared" si="4"/>
        <v>45785</v>
      </c>
      <c r="C1123" s="77" t="s">
        <v>1570</v>
      </c>
      <c r="D1123" s="13">
        <f>SUMIFS('Lançamentos de receitas'!$E:$E,'Lançamentos de receitas'!$A:$A,B1123,'Lançamentos de receitas'!$C:$C,A1123,'Lançamentos de receitas'!$F:$F,"TRANSFERÊNCIA")</f>
        <v>960.97</v>
      </c>
      <c r="E1123" s="15">
        <f t="shared" si="1"/>
        <v>2025</v>
      </c>
      <c r="F1123" s="15">
        <f t="shared" si="2"/>
        <v>5</v>
      </c>
      <c r="G1123" s="15">
        <f t="shared" si="3"/>
        <v>8</v>
      </c>
    </row>
    <row r="1124">
      <c r="A1124" s="10" t="s">
        <v>27</v>
      </c>
      <c r="B1124" s="9">
        <f t="shared" si="4"/>
        <v>45785</v>
      </c>
      <c r="C1124" s="77" t="s">
        <v>1571</v>
      </c>
      <c r="D1124" s="13">
        <f>SUMIFS('Lançamentos de despesas'!$K:$K,'Lançamentos de despesas'!$C:$C,B1124,'Lançamentos de despesas'!$G:$G,A1124,'Lançamentos de despesas'!$E:$E,"pago")</f>
        <v>0</v>
      </c>
      <c r="E1124" s="15">
        <f t="shared" si="1"/>
        <v>2025</v>
      </c>
      <c r="F1124" s="15">
        <f t="shared" si="2"/>
        <v>5</v>
      </c>
      <c r="G1124" s="15">
        <f t="shared" si="3"/>
        <v>8</v>
      </c>
    </row>
    <row r="1125">
      <c r="A1125" s="10" t="s">
        <v>27</v>
      </c>
      <c r="B1125" s="9">
        <f t="shared" si="4"/>
        <v>45785</v>
      </c>
      <c r="C1125" s="77" t="s">
        <v>1572</v>
      </c>
      <c r="D1125" s="13">
        <f>D1122+D1123-D1124</f>
        <v>29213.229</v>
      </c>
      <c r="E1125" s="15">
        <f t="shared" si="1"/>
        <v>2025</v>
      </c>
      <c r="F1125" s="15">
        <f t="shared" si="2"/>
        <v>5</v>
      </c>
      <c r="G1125" s="15">
        <f t="shared" si="3"/>
        <v>8</v>
      </c>
    </row>
    <row r="1126">
      <c r="A1126" s="10" t="s">
        <v>27</v>
      </c>
      <c r="B1126" s="9">
        <f t="shared" si="4"/>
        <v>45786</v>
      </c>
      <c r="C1126" s="77" t="s">
        <v>1569</v>
      </c>
      <c r="D1126" s="12">
        <f>D1125</f>
        <v>29213.229</v>
      </c>
      <c r="E1126" s="15">
        <f t="shared" si="1"/>
        <v>2025</v>
      </c>
      <c r="F1126" s="15">
        <f t="shared" si="2"/>
        <v>5</v>
      </c>
      <c r="G1126" s="15">
        <f t="shared" si="3"/>
        <v>9</v>
      </c>
    </row>
    <row r="1127">
      <c r="A1127" s="10" t="s">
        <v>27</v>
      </c>
      <c r="B1127" s="9">
        <f t="shared" si="4"/>
        <v>45786</v>
      </c>
      <c r="C1127" s="77" t="s">
        <v>1570</v>
      </c>
      <c r="D1127" s="13">
        <f>SUMIFS('Lançamentos de receitas'!$E:$E,'Lançamentos de receitas'!$A:$A,B1127,'Lançamentos de receitas'!$C:$C,A1127,'Lançamentos de receitas'!$F:$F,"TRANSFERÊNCIA")</f>
        <v>737.08</v>
      </c>
      <c r="E1127" s="15">
        <f t="shared" si="1"/>
        <v>2025</v>
      </c>
      <c r="F1127" s="15">
        <f t="shared" si="2"/>
        <v>5</v>
      </c>
      <c r="G1127" s="15">
        <f t="shared" si="3"/>
        <v>9</v>
      </c>
    </row>
    <row r="1128">
      <c r="A1128" s="10" t="s">
        <v>27</v>
      </c>
      <c r="B1128" s="9">
        <f t="shared" si="4"/>
        <v>45786</v>
      </c>
      <c r="C1128" s="77" t="s">
        <v>1571</v>
      </c>
      <c r="D1128" s="13">
        <f>SUMIFS('Lançamentos de despesas'!$K:$K,'Lançamentos de despesas'!$C:$C,B1128,'Lançamentos de despesas'!$G:$G,A1128,'Lançamentos de despesas'!$E:$E,"pago")</f>
        <v>0</v>
      </c>
      <c r="E1128" s="15">
        <f t="shared" si="1"/>
        <v>2025</v>
      </c>
      <c r="F1128" s="15">
        <f t="shared" si="2"/>
        <v>5</v>
      </c>
      <c r="G1128" s="15">
        <f t="shared" si="3"/>
        <v>9</v>
      </c>
    </row>
    <row r="1129">
      <c r="A1129" s="10" t="s">
        <v>27</v>
      </c>
      <c r="B1129" s="9">
        <f t="shared" si="4"/>
        <v>45786</v>
      </c>
      <c r="C1129" s="77" t="s">
        <v>1572</v>
      </c>
      <c r="D1129" s="13">
        <f>D1126+D1127-D1128</f>
        <v>29950.309</v>
      </c>
      <c r="E1129" s="15">
        <f t="shared" si="1"/>
        <v>2025</v>
      </c>
      <c r="F1129" s="15">
        <f t="shared" si="2"/>
        <v>5</v>
      </c>
      <c r="G1129" s="15">
        <f t="shared" si="3"/>
        <v>9</v>
      </c>
    </row>
    <row r="1130">
      <c r="A1130" s="10" t="s">
        <v>27</v>
      </c>
      <c r="B1130" s="9">
        <f t="shared" si="4"/>
        <v>45787</v>
      </c>
      <c r="C1130" s="77" t="s">
        <v>1569</v>
      </c>
      <c r="D1130" s="12">
        <f>D1129</f>
        <v>29950.309</v>
      </c>
      <c r="E1130" s="15">
        <f t="shared" si="1"/>
        <v>2025</v>
      </c>
      <c r="F1130" s="15">
        <f t="shared" si="2"/>
        <v>5</v>
      </c>
      <c r="G1130" s="15">
        <f t="shared" si="3"/>
        <v>10</v>
      </c>
    </row>
    <row r="1131">
      <c r="A1131" s="10" t="s">
        <v>27</v>
      </c>
      <c r="B1131" s="9">
        <f t="shared" si="4"/>
        <v>45787</v>
      </c>
      <c r="C1131" s="77" t="s">
        <v>1570</v>
      </c>
      <c r="D1131" s="13">
        <f>SUMIFS('Lançamentos de receitas'!$E:$E,'Lançamentos de receitas'!$A:$A,B1131,'Lançamentos de receitas'!$C:$C,A1131,'Lançamentos de receitas'!$F:$F,"TRANSFERÊNCIA")</f>
        <v>1083.37</v>
      </c>
      <c r="E1131" s="15">
        <f t="shared" si="1"/>
        <v>2025</v>
      </c>
      <c r="F1131" s="15">
        <f t="shared" si="2"/>
        <v>5</v>
      </c>
      <c r="G1131" s="15">
        <f t="shared" si="3"/>
        <v>10</v>
      </c>
    </row>
    <row r="1132">
      <c r="A1132" s="10" t="s">
        <v>27</v>
      </c>
      <c r="B1132" s="9">
        <f t="shared" si="4"/>
        <v>45787</v>
      </c>
      <c r="C1132" s="77" t="s">
        <v>1571</v>
      </c>
      <c r="D1132" s="13">
        <f>SUMIFS('Lançamentos de despesas'!$K:$K,'Lançamentos de despesas'!$C:$C,B1132,'Lançamentos de despesas'!$G:$G,A1132,'Lançamentos de despesas'!$E:$E,"pago")</f>
        <v>0</v>
      </c>
      <c r="E1132" s="15">
        <f t="shared" si="1"/>
        <v>2025</v>
      </c>
      <c r="F1132" s="15">
        <f t="shared" si="2"/>
        <v>5</v>
      </c>
      <c r="G1132" s="15">
        <f t="shared" si="3"/>
        <v>10</v>
      </c>
    </row>
    <row r="1133">
      <c r="A1133" s="10" t="s">
        <v>27</v>
      </c>
      <c r="B1133" s="9">
        <f t="shared" si="4"/>
        <v>45787</v>
      </c>
      <c r="C1133" s="77" t="s">
        <v>1572</v>
      </c>
      <c r="D1133" s="13">
        <f>D1130+D1131-D1132</f>
        <v>31033.679</v>
      </c>
      <c r="E1133" s="15">
        <f t="shared" si="1"/>
        <v>2025</v>
      </c>
      <c r="F1133" s="15">
        <f t="shared" si="2"/>
        <v>5</v>
      </c>
      <c r="G1133" s="15">
        <f t="shared" si="3"/>
        <v>10</v>
      </c>
    </row>
    <row r="1134">
      <c r="A1134" s="10" t="s">
        <v>27</v>
      </c>
      <c r="B1134" s="9">
        <f t="shared" si="4"/>
        <v>45788</v>
      </c>
      <c r="C1134" s="77" t="s">
        <v>1569</v>
      </c>
      <c r="D1134" s="12">
        <f>D1133</f>
        <v>31033.679</v>
      </c>
      <c r="E1134" s="15">
        <f t="shared" si="1"/>
        <v>2025</v>
      </c>
      <c r="F1134" s="15">
        <f t="shared" si="2"/>
        <v>5</v>
      </c>
      <c r="G1134" s="15">
        <f t="shared" si="3"/>
        <v>11</v>
      </c>
    </row>
    <row r="1135">
      <c r="A1135" s="10" t="s">
        <v>27</v>
      </c>
      <c r="B1135" s="9">
        <f t="shared" si="4"/>
        <v>45788</v>
      </c>
      <c r="C1135" s="77" t="s">
        <v>1570</v>
      </c>
      <c r="D1135" s="13">
        <f>SUMIFS('Lançamentos de receitas'!$E:$E,'Lançamentos de receitas'!$A:$A,B1135,'Lançamentos de receitas'!$C:$C,A1135,'Lançamentos de receitas'!$F:$F,"TRANSFERÊNCIA")</f>
        <v>628.4</v>
      </c>
      <c r="E1135" s="15">
        <f t="shared" si="1"/>
        <v>2025</v>
      </c>
      <c r="F1135" s="15">
        <f t="shared" si="2"/>
        <v>5</v>
      </c>
      <c r="G1135" s="15">
        <f t="shared" si="3"/>
        <v>11</v>
      </c>
    </row>
    <row r="1136">
      <c r="A1136" s="10" t="s">
        <v>27</v>
      </c>
      <c r="B1136" s="9">
        <f t="shared" si="4"/>
        <v>45788</v>
      </c>
      <c r="C1136" s="77" t="s">
        <v>1571</v>
      </c>
      <c r="D1136" s="13">
        <f>SUMIFS('Lançamentos de despesas'!$K:$K,'Lançamentos de despesas'!$C:$C,B1136,'Lançamentos de despesas'!$G:$G,A1136,'Lançamentos de despesas'!$E:$E,"pago")</f>
        <v>0</v>
      </c>
      <c r="E1136" s="15">
        <f t="shared" si="1"/>
        <v>2025</v>
      </c>
      <c r="F1136" s="15">
        <f t="shared" si="2"/>
        <v>5</v>
      </c>
      <c r="G1136" s="15">
        <f t="shared" si="3"/>
        <v>11</v>
      </c>
    </row>
    <row r="1137">
      <c r="A1137" s="10" t="s">
        <v>27</v>
      </c>
      <c r="B1137" s="9">
        <f t="shared" si="4"/>
        <v>45788</v>
      </c>
      <c r="C1137" s="77" t="s">
        <v>1572</v>
      </c>
      <c r="D1137" s="13">
        <f>D1134+D1135-D1136</f>
        <v>31662.079</v>
      </c>
      <c r="E1137" s="15">
        <f t="shared" si="1"/>
        <v>2025</v>
      </c>
      <c r="F1137" s="15">
        <f t="shared" si="2"/>
        <v>5</v>
      </c>
      <c r="G1137" s="15">
        <f t="shared" si="3"/>
        <v>11</v>
      </c>
    </row>
    <row r="1138">
      <c r="A1138" s="10" t="s">
        <v>27</v>
      </c>
      <c r="B1138" s="9">
        <f t="shared" si="4"/>
        <v>45789</v>
      </c>
      <c r="C1138" s="77" t="s">
        <v>1569</v>
      </c>
      <c r="D1138" s="12">
        <f>D1137</f>
        <v>31662.079</v>
      </c>
      <c r="E1138" s="15">
        <f t="shared" si="1"/>
        <v>2025</v>
      </c>
      <c r="F1138" s="15">
        <f t="shared" si="2"/>
        <v>5</v>
      </c>
      <c r="G1138" s="15">
        <f t="shared" si="3"/>
        <v>12</v>
      </c>
    </row>
    <row r="1139">
      <c r="A1139" s="10" t="s">
        <v>27</v>
      </c>
      <c r="B1139" s="9">
        <f t="shared" si="4"/>
        <v>45789</v>
      </c>
      <c r="C1139" s="77" t="s">
        <v>1570</v>
      </c>
      <c r="D1139" s="13">
        <f>SUMIFS('Lançamentos de receitas'!$E:$E,'Lançamentos de receitas'!$A:$A,B1139,'Lançamentos de receitas'!$C:$C,A1139,'Lançamentos de receitas'!$F:$F,"TRANSFERÊNCIA")</f>
        <v>0</v>
      </c>
      <c r="E1139" s="15">
        <f t="shared" si="1"/>
        <v>2025</v>
      </c>
      <c r="F1139" s="15">
        <f t="shared" si="2"/>
        <v>5</v>
      </c>
      <c r="G1139" s="15">
        <f t="shared" si="3"/>
        <v>12</v>
      </c>
    </row>
    <row r="1140">
      <c r="A1140" s="10" t="s">
        <v>27</v>
      </c>
      <c r="B1140" s="9">
        <f t="shared" si="4"/>
        <v>45789</v>
      </c>
      <c r="C1140" s="77" t="s">
        <v>1571</v>
      </c>
      <c r="D1140" s="13">
        <f>SUMIFS('Lançamentos de despesas'!$K:$K,'Lançamentos de despesas'!$C:$C,B1140,'Lançamentos de despesas'!$G:$G,A1140,'Lançamentos de despesas'!$E:$E,"pago")</f>
        <v>9550.09</v>
      </c>
      <c r="E1140" s="15">
        <f t="shared" si="1"/>
        <v>2025</v>
      </c>
      <c r="F1140" s="15">
        <f t="shared" si="2"/>
        <v>5</v>
      </c>
      <c r="G1140" s="15">
        <f t="shared" si="3"/>
        <v>12</v>
      </c>
    </row>
    <row r="1141">
      <c r="A1141" s="10" t="s">
        <v>27</v>
      </c>
      <c r="B1141" s="9">
        <f t="shared" si="4"/>
        <v>45789</v>
      </c>
      <c r="C1141" s="77" t="s">
        <v>1572</v>
      </c>
      <c r="D1141" s="13">
        <f>D1138+D1139-D1140</f>
        <v>22111.989</v>
      </c>
      <c r="E1141" s="15">
        <f t="shared" si="1"/>
        <v>2025</v>
      </c>
      <c r="F1141" s="15">
        <f t="shared" si="2"/>
        <v>5</v>
      </c>
      <c r="G1141" s="15">
        <f t="shared" si="3"/>
        <v>12</v>
      </c>
    </row>
    <row r="1142">
      <c r="A1142" s="10" t="s">
        <v>27</v>
      </c>
      <c r="B1142" s="9">
        <f t="shared" si="4"/>
        <v>45790</v>
      </c>
      <c r="C1142" s="77" t="s">
        <v>1569</v>
      </c>
      <c r="D1142" s="12">
        <f>D1141</f>
        <v>22111.989</v>
      </c>
      <c r="E1142" s="15">
        <f t="shared" si="1"/>
        <v>2025</v>
      </c>
      <c r="F1142" s="15">
        <f t="shared" si="2"/>
        <v>5</v>
      </c>
      <c r="G1142" s="15">
        <f t="shared" si="3"/>
        <v>13</v>
      </c>
    </row>
    <row r="1143">
      <c r="A1143" s="10" t="s">
        <v>27</v>
      </c>
      <c r="B1143" s="9">
        <f t="shared" si="4"/>
        <v>45790</v>
      </c>
      <c r="C1143" s="77" t="s">
        <v>1570</v>
      </c>
      <c r="D1143" s="13">
        <f>SUMIFS('Lançamentos de receitas'!$E:$E,'Lançamentos de receitas'!$A:$A,B1143,'Lançamentos de receitas'!$C:$C,A1143,'Lançamentos de receitas'!$F:$F,"TRANSFERÊNCIA")</f>
        <v>2316.82</v>
      </c>
      <c r="E1143" s="15">
        <f t="shared" si="1"/>
        <v>2025</v>
      </c>
      <c r="F1143" s="15">
        <f t="shared" si="2"/>
        <v>5</v>
      </c>
      <c r="G1143" s="15">
        <f t="shared" si="3"/>
        <v>13</v>
      </c>
    </row>
    <row r="1144">
      <c r="A1144" s="10" t="s">
        <v>27</v>
      </c>
      <c r="B1144" s="9">
        <f t="shared" si="4"/>
        <v>45790</v>
      </c>
      <c r="C1144" s="77" t="s">
        <v>1571</v>
      </c>
      <c r="D1144" s="13">
        <f>SUMIFS('Lançamentos de despesas'!$K:$K,'Lançamentos de despesas'!$C:$C,B1144,'Lançamentos de despesas'!$G:$G,A1144,'Lançamentos de despesas'!$E:$E,"pago")</f>
        <v>0</v>
      </c>
      <c r="E1144" s="15">
        <f t="shared" si="1"/>
        <v>2025</v>
      </c>
      <c r="F1144" s="15">
        <f t="shared" si="2"/>
        <v>5</v>
      </c>
      <c r="G1144" s="15">
        <f t="shared" si="3"/>
        <v>13</v>
      </c>
    </row>
    <row r="1145">
      <c r="A1145" s="10" t="s">
        <v>27</v>
      </c>
      <c r="B1145" s="9">
        <f t="shared" si="4"/>
        <v>45790</v>
      </c>
      <c r="C1145" s="77" t="s">
        <v>1572</v>
      </c>
      <c r="D1145" s="13">
        <f>D1142+D1143-D1144</f>
        <v>24428.809</v>
      </c>
      <c r="E1145" s="15">
        <f t="shared" si="1"/>
        <v>2025</v>
      </c>
      <c r="F1145" s="15">
        <f t="shared" si="2"/>
        <v>5</v>
      </c>
      <c r="G1145" s="15">
        <f t="shared" si="3"/>
        <v>13</v>
      </c>
    </row>
    <row r="1146">
      <c r="A1146" s="10" t="s">
        <v>27</v>
      </c>
      <c r="B1146" s="9">
        <f t="shared" si="4"/>
        <v>45791</v>
      </c>
      <c r="C1146" s="77" t="s">
        <v>1569</v>
      </c>
      <c r="D1146" s="12">
        <f>D1145</f>
        <v>24428.809</v>
      </c>
      <c r="E1146" s="15">
        <f t="shared" si="1"/>
        <v>2025</v>
      </c>
      <c r="F1146" s="15">
        <f t="shared" si="2"/>
        <v>5</v>
      </c>
      <c r="G1146" s="15">
        <f t="shared" si="3"/>
        <v>14</v>
      </c>
    </row>
    <row r="1147">
      <c r="A1147" s="10" t="s">
        <v>27</v>
      </c>
      <c r="B1147" s="9">
        <f t="shared" si="4"/>
        <v>45791</v>
      </c>
      <c r="C1147" s="77" t="s">
        <v>1570</v>
      </c>
      <c r="D1147" s="13">
        <f>SUMIFS('Lançamentos de receitas'!$E:$E,'Lançamentos de receitas'!$A:$A,B1147,'Lançamentos de receitas'!$C:$C,A1147,'Lançamentos de receitas'!$F:$F,"TRANSFERÊNCIA")</f>
        <v>1186.56</v>
      </c>
      <c r="E1147" s="15">
        <f t="shared" si="1"/>
        <v>2025</v>
      </c>
      <c r="F1147" s="15">
        <f t="shared" si="2"/>
        <v>5</v>
      </c>
      <c r="G1147" s="15">
        <f t="shared" si="3"/>
        <v>14</v>
      </c>
    </row>
    <row r="1148">
      <c r="A1148" s="10" t="s">
        <v>27</v>
      </c>
      <c r="B1148" s="9">
        <f t="shared" si="4"/>
        <v>45791</v>
      </c>
      <c r="C1148" s="77" t="s">
        <v>1571</v>
      </c>
      <c r="D1148" s="13">
        <f>SUMIFS('Lançamentos de despesas'!$K:$K,'Lançamentos de despesas'!$C:$C,B1148,'Lançamentos de despesas'!$G:$G,A1148,'Lançamentos de despesas'!$E:$E,"pago")</f>
        <v>5225.83</v>
      </c>
      <c r="E1148" s="15">
        <f t="shared" si="1"/>
        <v>2025</v>
      </c>
      <c r="F1148" s="15">
        <f t="shared" si="2"/>
        <v>5</v>
      </c>
      <c r="G1148" s="15">
        <f t="shared" si="3"/>
        <v>14</v>
      </c>
    </row>
    <row r="1149">
      <c r="A1149" s="10" t="s">
        <v>27</v>
      </c>
      <c r="B1149" s="9">
        <f t="shared" si="4"/>
        <v>45791</v>
      </c>
      <c r="C1149" s="77" t="s">
        <v>1572</v>
      </c>
      <c r="D1149" s="13">
        <f>D1146+D1147-D1148</f>
        <v>20389.539</v>
      </c>
      <c r="E1149" s="15">
        <f t="shared" si="1"/>
        <v>2025</v>
      </c>
      <c r="F1149" s="15">
        <f t="shared" si="2"/>
        <v>5</v>
      </c>
      <c r="G1149" s="15">
        <f t="shared" si="3"/>
        <v>14</v>
      </c>
    </row>
    <row r="1150">
      <c r="A1150" s="10" t="s">
        <v>27</v>
      </c>
      <c r="B1150" s="9">
        <f t="shared" si="4"/>
        <v>45792</v>
      </c>
      <c r="C1150" s="77" t="s">
        <v>1569</v>
      </c>
      <c r="D1150" s="12">
        <f>D1149</f>
        <v>20389.539</v>
      </c>
      <c r="E1150" s="15">
        <f t="shared" si="1"/>
        <v>2025</v>
      </c>
      <c r="F1150" s="15">
        <f t="shared" si="2"/>
        <v>5</v>
      </c>
      <c r="G1150" s="15">
        <f t="shared" si="3"/>
        <v>15</v>
      </c>
    </row>
    <row r="1151">
      <c r="A1151" s="10" t="s">
        <v>27</v>
      </c>
      <c r="B1151" s="9">
        <f t="shared" si="4"/>
        <v>45792</v>
      </c>
      <c r="C1151" s="77" t="s">
        <v>1570</v>
      </c>
      <c r="D1151" s="13">
        <f>SUMIFS('Lançamentos de receitas'!$E:$E,'Lançamentos de receitas'!$A:$A,B1151,'Lançamentos de receitas'!$C:$C,A1151,'Lançamentos de receitas'!$F:$F,"TRANSFERÊNCIA")</f>
        <v>929.22</v>
      </c>
      <c r="E1151" s="15">
        <f t="shared" si="1"/>
        <v>2025</v>
      </c>
      <c r="F1151" s="15">
        <f t="shared" si="2"/>
        <v>5</v>
      </c>
      <c r="G1151" s="15">
        <f t="shared" si="3"/>
        <v>15</v>
      </c>
    </row>
    <row r="1152">
      <c r="A1152" s="10" t="s">
        <v>27</v>
      </c>
      <c r="B1152" s="9">
        <f t="shared" si="4"/>
        <v>45792</v>
      </c>
      <c r="C1152" s="77" t="s">
        <v>1571</v>
      </c>
      <c r="D1152" s="13">
        <f>SUMIFS('Lançamentos de despesas'!$K:$K,'Lançamentos de despesas'!$C:$C,B1152,'Lançamentos de despesas'!$G:$G,A1152,'Lançamentos de despesas'!$E:$E,"pago")</f>
        <v>1580</v>
      </c>
      <c r="E1152" s="15">
        <f t="shared" si="1"/>
        <v>2025</v>
      </c>
      <c r="F1152" s="15">
        <f t="shared" si="2"/>
        <v>5</v>
      </c>
      <c r="G1152" s="15">
        <f t="shared" si="3"/>
        <v>15</v>
      </c>
    </row>
    <row r="1153">
      <c r="A1153" s="10" t="s">
        <v>27</v>
      </c>
      <c r="B1153" s="9">
        <f t="shared" si="4"/>
        <v>45792</v>
      </c>
      <c r="C1153" s="77" t="s">
        <v>1572</v>
      </c>
      <c r="D1153" s="13">
        <f>D1150+D1151-D1152</f>
        <v>19738.759</v>
      </c>
      <c r="E1153" s="15">
        <f t="shared" si="1"/>
        <v>2025</v>
      </c>
      <c r="F1153" s="15">
        <f t="shared" si="2"/>
        <v>5</v>
      </c>
      <c r="G1153" s="15">
        <f t="shared" si="3"/>
        <v>15</v>
      </c>
    </row>
    <row r="1154">
      <c r="A1154" s="10" t="s">
        <v>27</v>
      </c>
      <c r="B1154" s="9">
        <f t="shared" si="4"/>
        <v>45793</v>
      </c>
      <c r="C1154" s="77" t="s">
        <v>1569</v>
      </c>
      <c r="D1154" s="12">
        <f>D1153</f>
        <v>19738.759</v>
      </c>
      <c r="E1154" s="15">
        <f t="shared" si="1"/>
        <v>2025</v>
      </c>
      <c r="F1154" s="15">
        <f t="shared" si="2"/>
        <v>5</v>
      </c>
      <c r="G1154" s="15">
        <f t="shared" si="3"/>
        <v>16</v>
      </c>
    </row>
    <row r="1155">
      <c r="A1155" s="10" t="s">
        <v>27</v>
      </c>
      <c r="B1155" s="9">
        <f t="shared" si="4"/>
        <v>45793</v>
      </c>
      <c r="C1155" s="77" t="s">
        <v>1570</v>
      </c>
      <c r="D1155" s="13">
        <f>SUMIFS('Lançamentos de receitas'!$E:$E,'Lançamentos de receitas'!$A:$A,B1155,'Lançamentos de receitas'!$C:$C,A1155,'Lançamentos de receitas'!$F:$F,"TRANSFERÊNCIA")</f>
        <v>5239.24</v>
      </c>
      <c r="E1155" s="15">
        <f t="shared" si="1"/>
        <v>2025</v>
      </c>
      <c r="F1155" s="15">
        <f t="shared" si="2"/>
        <v>5</v>
      </c>
      <c r="G1155" s="15">
        <f t="shared" si="3"/>
        <v>16</v>
      </c>
    </row>
    <row r="1156">
      <c r="A1156" s="10" t="s">
        <v>27</v>
      </c>
      <c r="B1156" s="9">
        <f t="shared" si="4"/>
        <v>45793</v>
      </c>
      <c r="C1156" s="77" t="s">
        <v>1571</v>
      </c>
      <c r="D1156" s="13">
        <f>SUMIFS('Lançamentos de despesas'!$K:$K,'Lançamentos de despesas'!$C:$C,B1156,'Lançamentos de despesas'!$G:$G,A1156,'Lançamentos de despesas'!$E:$E,"pago")</f>
        <v>0</v>
      </c>
      <c r="E1156" s="15">
        <f t="shared" si="1"/>
        <v>2025</v>
      </c>
      <c r="F1156" s="15">
        <f t="shared" si="2"/>
        <v>5</v>
      </c>
      <c r="G1156" s="15">
        <f t="shared" si="3"/>
        <v>16</v>
      </c>
    </row>
    <row r="1157">
      <c r="A1157" s="10" t="s">
        <v>27</v>
      </c>
      <c r="B1157" s="9">
        <f t="shared" si="4"/>
        <v>45793</v>
      </c>
      <c r="C1157" s="77" t="s">
        <v>1572</v>
      </c>
      <c r="D1157" s="13">
        <f>D1154+D1155-D1156</f>
        <v>24977.999</v>
      </c>
      <c r="E1157" s="15">
        <f t="shared" si="1"/>
        <v>2025</v>
      </c>
      <c r="F1157" s="15">
        <f t="shared" si="2"/>
        <v>5</v>
      </c>
      <c r="G1157" s="15">
        <f t="shared" si="3"/>
        <v>16</v>
      </c>
    </row>
    <row r="1158">
      <c r="A1158" s="10" t="s">
        <v>27</v>
      </c>
      <c r="B1158" s="9">
        <f t="shared" si="4"/>
        <v>45794</v>
      </c>
      <c r="C1158" s="77" t="s">
        <v>1569</v>
      </c>
      <c r="D1158" s="12">
        <f>D1157</f>
        <v>24977.999</v>
      </c>
      <c r="E1158" s="15">
        <f t="shared" si="1"/>
        <v>2025</v>
      </c>
      <c r="F1158" s="15">
        <f t="shared" si="2"/>
        <v>5</v>
      </c>
      <c r="G1158" s="15">
        <f t="shared" si="3"/>
        <v>17</v>
      </c>
    </row>
    <row r="1159">
      <c r="A1159" s="10" t="s">
        <v>27</v>
      </c>
      <c r="B1159" s="9">
        <f t="shared" si="4"/>
        <v>45794</v>
      </c>
      <c r="C1159" s="77" t="s">
        <v>1570</v>
      </c>
      <c r="D1159" s="13">
        <f>SUMIFS('Lançamentos de receitas'!$E:$E,'Lançamentos de receitas'!$A:$A,B1159,'Lançamentos de receitas'!$C:$C,A1159,'Lançamentos de receitas'!$F:$F,"TRANSFERÊNCIA")</f>
        <v>1230.96</v>
      </c>
      <c r="E1159" s="15">
        <f t="shared" si="1"/>
        <v>2025</v>
      </c>
      <c r="F1159" s="15">
        <f t="shared" si="2"/>
        <v>5</v>
      </c>
      <c r="G1159" s="15">
        <f t="shared" si="3"/>
        <v>17</v>
      </c>
    </row>
    <row r="1160">
      <c r="A1160" s="10" t="s">
        <v>27</v>
      </c>
      <c r="B1160" s="9">
        <f t="shared" si="4"/>
        <v>45794</v>
      </c>
      <c r="C1160" s="77" t="s">
        <v>1571</v>
      </c>
      <c r="D1160" s="13">
        <f>SUMIFS('Lançamentos de despesas'!$K:$K,'Lançamentos de despesas'!$C:$C,B1160,'Lançamentos de despesas'!$G:$G,A1160,'Lançamentos de despesas'!$E:$E,"pago")</f>
        <v>0</v>
      </c>
      <c r="E1160" s="15">
        <f t="shared" si="1"/>
        <v>2025</v>
      </c>
      <c r="F1160" s="15">
        <f t="shared" si="2"/>
        <v>5</v>
      </c>
      <c r="G1160" s="15">
        <f t="shared" si="3"/>
        <v>17</v>
      </c>
    </row>
    <row r="1161">
      <c r="A1161" s="10" t="s">
        <v>27</v>
      </c>
      <c r="B1161" s="9">
        <f t="shared" si="4"/>
        <v>45794</v>
      </c>
      <c r="C1161" s="77" t="s">
        <v>1572</v>
      </c>
      <c r="D1161" s="13">
        <f>D1158+D1159-D1160</f>
        <v>26208.959</v>
      </c>
      <c r="E1161" s="15">
        <f t="shared" si="1"/>
        <v>2025</v>
      </c>
      <c r="F1161" s="15">
        <f t="shared" si="2"/>
        <v>5</v>
      </c>
      <c r="G1161" s="15">
        <f t="shared" si="3"/>
        <v>17</v>
      </c>
    </row>
    <row r="1162">
      <c r="A1162" s="10" t="s">
        <v>27</v>
      </c>
      <c r="B1162" s="9">
        <f t="shared" si="4"/>
        <v>45795</v>
      </c>
      <c r="C1162" s="77" t="s">
        <v>1569</v>
      </c>
      <c r="D1162" s="12">
        <f>D1161</f>
        <v>26208.959</v>
      </c>
      <c r="E1162" s="15">
        <f t="shared" si="1"/>
        <v>2025</v>
      </c>
      <c r="F1162" s="15">
        <f t="shared" si="2"/>
        <v>5</v>
      </c>
      <c r="G1162" s="15">
        <f t="shared" si="3"/>
        <v>18</v>
      </c>
    </row>
    <row r="1163">
      <c r="A1163" s="10" t="s">
        <v>27</v>
      </c>
      <c r="B1163" s="9">
        <f t="shared" si="4"/>
        <v>45795</v>
      </c>
      <c r="C1163" s="77" t="s">
        <v>1570</v>
      </c>
      <c r="D1163" s="13">
        <f>SUMIFS('Lançamentos de receitas'!$E:$E,'Lançamentos de receitas'!$A:$A,B1163,'Lançamentos de receitas'!$C:$C,A1163,'Lançamentos de receitas'!$F:$F,"TRANSFERÊNCIA")</f>
        <v>594.89</v>
      </c>
      <c r="E1163" s="15">
        <f t="shared" si="1"/>
        <v>2025</v>
      </c>
      <c r="F1163" s="15">
        <f t="shared" si="2"/>
        <v>5</v>
      </c>
      <c r="G1163" s="15">
        <f t="shared" si="3"/>
        <v>18</v>
      </c>
    </row>
    <row r="1164">
      <c r="A1164" s="10" t="s">
        <v>27</v>
      </c>
      <c r="B1164" s="9">
        <f t="shared" si="4"/>
        <v>45795</v>
      </c>
      <c r="C1164" s="77" t="s">
        <v>1571</v>
      </c>
      <c r="D1164" s="13">
        <f>SUMIFS('Lançamentos de despesas'!$K:$K,'Lançamentos de despesas'!$C:$C,B1164,'Lançamentos de despesas'!$G:$G,A1164,'Lançamentos de despesas'!$E:$E,"pago")</f>
        <v>0</v>
      </c>
      <c r="E1164" s="15">
        <f t="shared" si="1"/>
        <v>2025</v>
      </c>
      <c r="F1164" s="15">
        <f t="shared" si="2"/>
        <v>5</v>
      </c>
      <c r="G1164" s="15">
        <f t="shared" si="3"/>
        <v>18</v>
      </c>
    </row>
    <row r="1165">
      <c r="A1165" s="10" t="s">
        <v>27</v>
      </c>
      <c r="B1165" s="9">
        <f t="shared" si="4"/>
        <v>45795</v>
      </c>
      <c r="C1165" s="77" t="s">
        <v>1572</v>
      </c>
      <c r="D1165" s="13">
        <f>D1162+D1163-D1164</f>
        <v>26803.849</v>
      </c>
      <c r="E1165" s="15">
        <f t="shared" si="1"/>
        <v>2025</v>
      </c>
      <c r="F1165" s="15">
        <f t="shared" si="2"/>
        <v>5</v>
      </c>
      <c r="G1165" s="15">
        <f t="shared" si="3"/>
        <v>18</v>
      </c>
    </row>
    <row r="1166">
      <c r="A1166" s="10" t="s">
        <v>27</v>
      </c>
      <c r="B1166" s="9">
        <f t="shared" si="4"/>
        <v>45796</v>
      </c>
      <c r="C1166" s="77" t="s">
        <v>1569</v>
      </c>
      <c r="D1166" s="12">
        <f>D1165</f>
        <v>26803.849</v>
      </c>
      <c r="E1166" s="15">
        <f t="shared" si="1"/>
        <v>2025</v>
      </c>
      <c r="F1166" s="15">
        <f t="shared" si="2"/>
        <v>5</v>
      </c>
      <c r="G1166" s="15">
        <f t="shared" si="3"/>
        <v>19</v>
      </c>
    </row>
    <row r="1167">
      <c r="A1167" s="10" t="s">
        <v>27</v>
      </c>
      <c r="B1167" s="9">
        <f t="shared" si="4"/>
        <v>45796</v>
      </c>
      <c r="C1167" s="77" t="s">
        <v>1570</v>
      </c>
      <c r="D1167" s="13">
        <f>SUMIFS('Lançamentos de receitas'!$E:$E,'Lançamentos de receitas'!$A:$A,B1167,'Lançamentos de receitas'!$C:$C,A1167,'Lançamentos de receitas'!$F:$F,"TRANSFERÊNCIA")</f>
        <v>13509.14</v>
      </c>
      <c r="E1167" s="15">
        <f t="shared" si="1"/>
        <v>2025</v>
      </c>
      <c r="F1167" s="15">
        <f t="shared" si="2"/>
        <v>5</v>
      </c>
      <c r="G1167" s="15">
        <f t="shared" si="3"/>
        <v>19</v>
      </c>
    </row>
    <row r="1168">
      <c r="A1168" s="10" t="s">
        <v>27</v>
      </c>
      <c r="B1168" s="9">
        <f t="shared" si="4"/>
        <v>45796</v>
      </c>
      <c r="C1168" s="77" t="s">
        <v>1571</v>
      </c>
      <c r="D1168" s="13">
        <f>SUMIFS('Lançamentos de despesas'!$K:$K,'Lançamentos de despesas'!$C:$C,B1168,'Lançamentos de despesas'!$G:$G,A1168,'Lançamentos de despesas'!$E:$E,"pago")</f>
        <v>8592.04</v>
      </c>
      <c r="E1168" s="15">
        <f t="shared" si="1"/>
        <v>2025</v>
      </c>
      <c r="F1168" s="15">
        <f t="shared" si="2"/>
        <v>5</v>
      </c>
      <c r="G1168" s="15">
        <f t="shared" si="3"/>
        <v>19</v>
      </c>
    </row>
    <row r="1169">
      <c r="A1169" s="10" t="s">
        <v>27</v>
      </c>
      <c r="B1169" s="9">
        <f t="shared" si="4"/>
        <v>45796</v>
      </c>
      <c r="C1169" s="77" t="s">
        <v>1572</v>
      </c>
      <c r="D1169" s="13">
        <f>D1166+D1167-D1168</f>
        <v>31720.949</v>
      </c>
      <c r="E1169" s="15">
        <f t="shared" si="1"/>
        <v>2025</v>
      </c>
      <c r="F1169" s="15">
        <f t="shared" si="2"/>
        <v>5</v>
      </c>
      <c r="G1169" s="15">
        <f t="shared" si="3"/>
        <v>19</v>
      </c>
    </row>
    <row r="1170">
      <c r="A1170" s="10" t="s">
        <v>27</v>
      </c>
      <c r="B1170" s="9">
        <f t="shared" si="4"/>
        <v>45797</v>
      </c>
      <c r="C1170" s="77" t="s">
        <v>1569</v>
      </c>
      <c r="D1170" s="12">
        <f>D1169</f>
        <v>31720.949</v>
      </c>
      <c r="E1170" s="15">
        <f t="shared" si="1"/>
        <v>2025</v>
      </c>
      <c r="F1170" s="15">
        <f t="shared" si="2"/>
        <v>5</v>
      </c>
      <c r="G1170" s="15">
        <f t="shared" si="3"/>
        <v>20</v>
      </c>
    </row>
    <row r="1171">
      <c r="A1171" s="10" t="s">
        <v>27</v>
      </c>
      <c r="B1171" s="9">
        <f t="shared" si="4"/>
        <v>45797</v>
      </c>
      <c r="C1171" s="77" t="s">
        <v>1570</v>
      </c>
      <c r="D1171" s="13">
        <f>SUMIFS('Lançamentos de receitas'!$E:$E,'Lançamentos de receitas'!$A:$A,B1171,'Lançamentos de receitas'!$C:$C,A1171,'Lançamentos de receitas'!$F:$F,"TRANSFERÊNCIA")</f>
        <v>38030.05</v>
      </c>
      <c r="E1171" s="15">
        <f t="shared" si="1"/>
        <v>2025</v>
      </c>
      <c r="F1171" s="15">
        <f t="shared" si="2"/>
        <v>5</v>
      </c>
      <c r="G1171" s="15">
        <f t="shared" si="3"/>
        <v>20</v>
      </c>
    </row>
    <row r="1172">
      <c r="A1172" s="10" t="s">
        <v>27</v>
      </c>
      <c r="B1172" s="9">
        <f t="shared" si="4"/>
        <v>45797</v>
      </c>
      <c r="C1172" s="77" t="s">
        <v>1571</v>
      </c>
      <c r="D1172" s="13">
        <f>SUMIFS('Lançamentos de despesas'!$K:$K,'Lançamentos de despesas'!$C:$C,B1172,'Lançamentos de despesas'!$G:$G,A1172,'Lançamentos de despesas'!$E:$E,"pago")</f>
        <v>21379.67</v>
      </c>
      <c r="E1172" s="15">
        <f t="shared" si="1"/>
        <v>2025</v>
      </c>
      <c r="F1172" s="15">
        <f t="shared" si="2"/>
        <v>5</v>
      </c>
      <c r="G1172" s="15">
        <f t="shared" si="3"/>
        <v>20</v>
      </c>
    </row>
    <row r="1173">
      <c r="A1173" s="10" t="s">
        <v>27</v>
      </c>
      <c r="B1173" s="9">
        <f t="shared" si="4"/>
        <v>45797</v>
      </c>
      <c r="C1173" s="77" t="s">
        <v>1572</v>
      </c>
      <c r="D1173" s="13">
        <f>D1170+D1171-D1172</f>
        <v>48371.329</v>
      </c>
      <c r="E1173" s="15">
        <f t="shared" si="1"/>
        <v>2025</v>
      </c>
      <c r="F1173" s="15">
        <f t="shared" si="2"/>
        <v>5</v>
      </c>
      <c r="G1173" s="15">
        <f t="shared" si="3"/>
        <v>20</v>
      </c>
    </row>
    <row r="1174">
      <c r="A1174" s="10" t="s">
        <v>27</v>
      </c>
      <c r="B1174" s="9">
        <f t="shared" si="4"/>
        <v>45798</v>
      </c>
      <c r="C1174" s="77" t="s">
        <v>1569</v>
      </c>
      <c r="D1174" s="12">
        <f>D1173</f>
        <v>48371.329</v>
      </c>
      <c r="E1174" s="15">
        <f t="shared" si="1"/>
        <v>2025</v>
      </c>
      <c r="F1174" s="15">
        <f t="shared" si="2"/>
        <v>5</v>
      </c>
      <c r="G1174" s="15">
        <f t="shared" si="3"/>
        <v>21</v>
      </c>
    </row>
    <row r="1175">
      <c r="A1175" s="10" t="s">
        <v>27</v>
      </c>
      <c r="B1175" s="9">
        <f t="shared" si="4"/>
        <v>45798</v>
      </c>
      <c r="C1175" s="77" t="s">
        <v>1570</v>
      </c>
      <c r="D1175" s="13">
        <f>SUMIFS('Lançamentos de receitas'!$E:$E,'Lançamentos de receitas'!$A:$A,B1175,'Lançamentos de receitas'!$C:$C,A1175,'Lançamentos de receitas'!$F:$F,"TRANSFERÊNCIA")</f>
        <v>2535.87</v>
      </c>
      <c r="E1175" s="15">
        <f t="shared" si="1"/>
        <v>2025</v>
      </c>
      <c r="F1175" s="15">
        <f t="shared" si="2"/>
        <v>5</v>
      </c>
      <c r="G1175" s="15">
        <f t="shared" si="3"/>
        <v>21</v>
      </c>
    </row>
    <row r="1176">
      <c r="A1176" s="10" t="s">
        <v>27</v>
      </c>
      <c r="B1176" s="9">
        <f t="shared" si="4"/>
        <v>45798</v>
      </c>
      <c r="C1176" s="77" t="s">
        <v>1571</v>
      </c>
      <c r="D1176" s="13">
        <f>SUMIFS('Lançamentos de despesas'!$K:$K,'Lançamentos de despesas'!$C:$C,B1176,'Lançamentos de despesas'!$G:$G,A1176,'Lançamentos de despesas'!$E:$E,"pago")</f>
        <v>0</v>
      </c>
      <c r="E1176" s="15">
        <f t="shared" si="1"/>
        <v>2025</v>
      </c>
      <c r="F1176" s="15">
        <f t="shared" si="2"/>
        <v>5</v>
      </c>
      <c r="G1176" s="15">
        <f t="shared" si="3"/>
        <v>21</v>
      </c>
    </row>
    <row r="1177">
      <c r="A1177" s="10" t="s">
        <v>27</v>
      </c>
      <c r="B1177" s="9">
        <f t="shared" si="4"/>
        <v>45798</v>
      </c>
      <c r="C1177" s="77" t="s">
        <v>1572</v>
      </c>
      <c r="D1177" s="13">
        <f>D1174+D1175-D1176</f>
        <v>50907.199</v>
      </c>
      <c r="E1177" s="15">
        <f t="shared" si="1"/>
        <v>2025</v>
      </c>
      <c r="F1177" s="15">
        <f t="shared" si="2"/>
        <v>5</v>
      </c>
      <c r="G1177" s="15">
        <f t="shared" si="3"/>
        <v>21</v>
      </c>
    </row>
    <row r="1178">
      <c r="A1178" s="10" t="s">
        <v>27</v>
      </c>
      <c r="B1178" s="9">
        <f t="shared" si="4"/>
        <v>45799</v>
      </c>
      <c r="C1178" s="77" t="s">
        <v>1569</v>
      </c>
      <c r="D1178" s="12">
        <f>D1177</f>
        <v>50907.199</v>
      </c>
      <c r="E1178" s="15">
        <f t="shared" si="1"/>
        <v>2025</v>
      </c>
      <c r="F1178" s="15">
        <f t="shared" si="2"/>
        <v>5</v>
      </c>
      <c r="G1178" s="15">
        <f t="shared" si="3"/>
        <v>22</v>
      </c>
    </row>
    <row r="1179">
      <c r="A1179" s="10" t="s">
        <v>27</v>
      </c>
      <c r="B1179" s="9">
        <f t="shared" si="4"/>
        <v>45799</v>
      </c>
      <c r="C1179" s="77" t="s">
        <v>1570</v>
      </c>
      <c r="D1179" s="13">
        <f>SUMIFS('Lançamentos de receitas'!$E:$E,'Lançamentos de receitas'!$A:$A,B1179,'Lançamentos de receitas'!$C:$C,A1179,'Lançamentos de receitas'!$F:$F,"TRANSFERÊNCIA")</f>
        <v>1948.09</v>
      </c>
      <c r="E1179" s="15">
        <f t="shared" si="1"/>
        <v>2025</v>
      </c>
      <c r="F1179" s="15">
        <f t="shared" si="2"/>
        <v>5</v>
      </c>
      <c r="G1179" s="15">
        <f t="shared" si="3"/>
        <v>22</v>
      </c>
    </row>
    <row r="1180">
      <c r="A1180" s="10" t="s">
        <v>27</v>
      </c>
      <c r="B1180" s="9">
        <f t="shared" si="4"/>
        <v>45799</v>
      </c>
      <c r="C1180" s="77" t="s">
        <v>1571</v>
      </c>
      <c r="D1180" s="13">
        <f>SUMIFS('Lançamentos de despesas'!$K:$K,'Lançamentos de despesas'!$C:$C,B1180,'Lançamentos de despesas'!$G:$G,A1180,'Lançamentos de despesas'!$E:$E,"pago")</f>
        <v>2333.52</v>
      </c>
      <c r="E1180" s="15">
        <f t="shared" si="1"/>
        <v>2025</v>
      </c>
      <c r="F1180" s="15">
        <f t="shared" si="2"/>
        <v>5</v>
      </c>
      <c r="G1180" s="15">
        <f t="shared" si="3"/>
        <v>22</v>
      </c>
    </row>
    <row r="1181">
      <c r="A1181" s="10" t="s">
        <v>27</v>
      </c>
      <c r="B1181" s="9">
        <f t="shared" si="4"/>
        <v>45799</v>
      </c>
      <c r="C1181" s="77" t="s">
        <v>1572</v>
      </c>
      <c r="D1181" s="13">
        <f>D1178+D1179-D1180</f>
        <v>50521.769</v>
      </c>
      <c r="E1181" s="15">
        <f t="shared" si="1"/>
        <v>2025</v>
      </c>
      <c r="F1181" s="15">
        <f t="shared" si="2"/>
        <v>5</v>
      </c>
      <c r="G1181" s="15">
        <f t="shared" si="3"/>
        <v>22</v>
      </c>
    </row>
    <row r="1182">
      <c r="A1182" s="10" t="s">
        <v>27</v>
      </c>
      <c r="B1182" s="9">
        <f t="shared" si="4"/>
        <v>45800</v>
      </c>
      <c r="C1182" s="77" t="s">
        <v>1569</v>
      </c>
      <c r="D1182" s="12">
        <f>D1181</f>
        <v>50521.769</v>
      </c>
      <c r="E1182" s="15">
        <f t="shared" si="1"/>
        <v>2025</v>
      </c>
      <c r="F1182" s="15">
        <f t="shared" si="2"/>
        <v>5</v>
      </c>
      <c r="G1182" s="15">
        <f t="shared" si="3"/>
        <v>23</v>
      </c>
    </row>
    <row r="1183">
      <c r="A1183" s="10" t="s">
        <v>27</v>
      </c>
      <c r="B1183" s="9">
        <f t="shared" si="4"/>
        <v>45800</v>
      </c>
      <c r="C1183" s="77" t="s">
        <v>1570</v>
      </c>
      <c r="D1183" s="13">
        <f>SUMIFS('Lançamentos de receitas'!$E:$E,'Lançamentos de receitas'!$A:$A,B1183,'Lançamentos de receitas'!$C:$C,A1183,'Lançamentos de receitas'!$F:$F,"TRANSFERÊNCIA")</f>
        <v>1093.37</v>
      </c>
      <c r="E1183" s="15">
        <f t="shared" si="1"/>
        <v>2025</v>
      </c>
      <c r="F1183" s="15">
        <f t="shared" si="2"/>
        <v>5</v>
      </c>
      <c r="G1183" s="15">
        <f t="shared" si="3"/>
        <v>23</v>
      </c>
    </row>
    <row r="1184">
      <c r="A1184" s="10" t="s">
        <v>27</v>
      </c>
      <c r="B1184" s="9">
        <f t="shared" si="4"/>
        <v>45800</v>
      </c>
      <c r="C1184" s="77" t="s">
        <v>1571</v>
      </c>
      <c r="D1184" s="13">
        <f>SUMIFS('Lançamentos de despesas'!$K:$K,'Lançamentos de despesas'!$C:$C,B1184,'Lançamentos de despesas'!$G:$G,A1184,'Lançamentos de despesas'!$E:$E,"pago")</f>
        <v>3923.69</v>
      </c>
      <c r="E1184" s="15">
        <f t="shared" si="1"/>
        <v>2025</v>
      </c>
      <c r="F1184" s="15">
        <f t="shared" si="2"/>
        <v>5</v>
      </c>
      <c r="G1184" s="15">
        <f t="shared" si="3"/>
        <v>23</v>
      </c>
    </row>
    <row r="1185">
      <c r="A1185" s="10" t="s">
        <v>27</v>
      </c>
      <c r="B1185" s="9">
        <f t="shared" si="4"/>
        <v>45800</v>
      </c>
      <c r="C1185" s="77" t="s">
        <v>1572</v>
      </c>
      <c r="D1185" s="13">
        <f>D1182+D1183-D1184</f>
        <v>47691.449</v>
      </c>
      <c r="E1185" s="15">
        <f t="shared" si="1"/>
        <v>2025</v>
      </c>
      <c r="F1185" s="15">
        <f t="shared" si="2"/>
        <v>5</v>
      </c>
      <c r="G1185" s="15">
        <f t="shared" si="3"/>
        <v>23</v>
      </c>
    </row>
    <row r="1186">
      <c r="A1186" s="10" t="s">
        <v>27</v>
      </c>
      <c r="B1186" s="9">
        <f t="shared" si="4"/>
        <v>45801</v>
      </c>
      <c r="C1186" s="77" t="s">
        <v>1569</v>
      </c>
      <c r="D1186" s="12">
        <f>D1185</f>
        <v>47691.449</v>
      </c>
      <c r="E1186" s="15">
        <f t="shared" si="1"/>
        <v>2025</v>
      </c>
      <c r="F1186" s="15">
        <f t="shared" si="2"/>
        <v>5</v>
      </c>
      <c r="G1186" s="15">
        <f t="shared" si="3"/>
        <v>24</v>
      </c>
    </row>
    <row r="1187">
      <c r="A1187" s="10" t="s">
        <v>27</v>
      </c>
      <c r="B1187" s="9">
        <f t="shared" si="4"/>
        <v>45801</v>
      </c>
      <c r="C1187" s="77" t="s">
        <v>1570</v>
      </c>
      <c r="D1187" s="13">
        <f>SUMIFS('Lançamentos de receitas'!$E:$E,'Lançamentos de receitas'!$A:$A,B1187,'Lançamentos de receitas'!$C:$C,A1187,'Lançamentos de receitas'!$F:$F,"TRANSFERÊNCIA")</f>
        <v>1448.47</v>
      </c>
      <c r="E1187" s="15">
        <f t="shared" si="1"/>
        <v>2025</v>
      </c>
      <c r="F1187" s="15">
        <f t="shared" si="2"/>
        <v>5</v>
      </c>
      <c r="G1187" s="15">
        <f t="shared" si="3"/>
        <v>24</v>
      </c>
    </row>
    <row r="1188">
      <c r="A1188" s="10" t="s">
        <v>27</v>
      </c>
      <c r="B1188" s="9">
        <f t="shared" si="4"/>
        <v>45801</v>
      </c>
      <c r="C1188" s="77" t="s">
        <v>1571</v>
      </c>
      <c r="D1188" s="13">
        <f>SUMIFS('Lançamentos de despesas'!$K:$K,'Lançamentos de despesas'!$C:$C,B1188,'Lançamentos de despesas'!$G:$G,A1188,'Lançamentos de despesas'!$E:$E,"pago")</f>
        <v>0</v>
      </c>
      <c r="E1188" s="15">
        <f t="shared" si="1"/>
        <v>2025</v>
      </c>
      <c r="F1188" s="15">
        <f t="shared" si="2"/>
        <v>5</v>
      </c>
      <c r="G1188" s="15">
        <f t="shared" si="3"/>
        <v>24</v>
      </c>
    </row>
    <row r="1189">
      <c r="A1189" s="10" t="s">
        <v>27</v>
      </c>
      <c r="B1189" s="9">
        <f t="shared" si="4"/>
        <v>45801</v>
      </c>
      <c r="C1189" s="77" t="s">
        <v>1572</v>
      </c>
      <c r="D1189" s="13">
        <f>D1186+D1187-D1188</f>
        <v>49139.919</v>
      </c>
      <c r="E1189" s="15">
        <f t="shared" si="1"/>
        <v>2025</v>
      </c>
      <c r="F1189" s="15">
        <f t="shared" si="2"/>
        <v>5</v>
      </c>
      <c r="G1189" s="15">
        <f t="shared" si="3"/>
        <v>24</v>
      </c>
    </row>
    <row r="1190">
      <c r="A1190" s="10" t="s">
        <v>27</v>
      </c>
      <c r="B1190" s="9">
        <f t="shared" si="4"/>
        <v>45802</v>
      </c>
      <c r="C1190" s="77" t="s">
        <v>1569</v>
      </c>
      <c r="D1190" s="12">
        <f>D1189</f>
        <v>49139.919</v>
      </c>
      <c r="E1190" s="15">
        <f t="shared" si="1"/>
        <v>2025</v>
      </c>
      <c r="F1190" s="15">
        <f t="shared" si="2"/>
        <v>5</v>
      </c>
      <c r="G1190" s="15">
        <f t="shared" si="3"/>
        <v>25</v>
      </c>
    </row>
    <row r="1191">
      <c r="A1191" s="10" t="s">
        <v>27</v>
      </c>
      <c r="B1191" s="9">
        <f t="shared" si="4"/>
        <v>45802</v>
      </c>
      <c r="C1191" s="77" t="s">
        <v>1570</v>
      </c>
      <c r="D1191" s="13">
        <f>SUMIFS('Lançamentos de receitas'!$E:$E,'Lançamentos de receitas'!$A:$A,B1191,'Lançamentos de receitas'!$C:$C,A1191,'Lançamentos de receitas'!$F:$F,"TRANSFERÊNCIA")</f>
        <v>687.29</v>
      </c>
      <c r="E1191" s="15">
        <f t="shared" si="1"/>
        <v>2025</v>
      </c>
      <c r="F1191" s="15">
        <f t="shared" si="2"/>
        <v>5</v>
      </c>
      <c r="G1191" s="15">
        <f t="shared" si="3"/>
        <v>25</v>
      </c>
    </row>
    <row r="1192">
      <c r="A1192" s="10" t="s">
        <v>27</v>
      </c>
      <c r="B1192" s="9">
        <f t="shared" si="4"/>
        <v>45802</v>
      </c>
      <c r="C1192" s="77" t="s">
        <v>1571</v>
      </c>
      <c r="D1192" s="13">
        <f>SUMIFS('Lançamentos de despesas'!$K:$K,'Lançamentos de despesas'!$C:$C,B1192,'Lançamentos de despesas'!$G:$G,A1192,'Lançamentos de despesas'!$E:$E,"pago")</f>
        <v>0</v>
      </c>
      <c r="E1192" s="15">
        <f t="shared" si="1"/>
        <v>2025</v>
      </c>
      <c r="F1192" s="15">
        <f t="shared" si="2"/>
        <v>5</v>
      </c>
      <c r="G1192" s="15">
        <f t="shared" si="3"/>
        <v>25</v>
      </c>
    </row>
    <row r="1193">
      <c r="A1193" s="10" t="s">
        <v>27</v>
      </c>
      <c r="B1193" s="9">
        <f t="shared" si="4"/>
        <v>45802</v>
      </c>
      <c r="C1193" s="77" t="s">
        <v>1572</v>
      </c>
      <c r="D1193" s="13">
        <f>D1190+D1191-D1192</f>
        <v>49827.209</v>
      </c>
      <c r="E1193" s="15">
        <f t="shared" si="1"/>
        <v>2025</v>
      </c>
      <c r="F1193" s="15">
        <f t="shared" si="2"/>
        <v>5</v>
      </c>
      <c r="G1193" s="15">
        <f t="shared" si="3"/>
        <v>25</v>
      </c>
    </row>
    <row r="1194">
      <c r="A1194" s="10" t="s">
        <v>27</v>
      </c>
      <c r="B1194" s="9">
        <f t="shared" si="4"/>
        <v>45803</v>
      </c>
      <c r="C1194" s="77" t="s">
        <v>1569</v>
      </c>
      <c r="D1194" s="12">
        <f>D1193</f>
        <v>49827.209</v>
      </c>
      <c r="E1194" s="15">
        <f t="shared" si="1"/>
        <v>2025</v>
      </c>
      <c r="F1194" s="15">
        <f t="shared" si="2"/>
        <v>5</v>
      </c>
      <c r="G1194" s="15">
        <f t="shared" si="3"/>
        <v>26</v>
      </c>
    </row>
    <row r="1195">
      <c r="A1195" s="10" t="s">
        <v>27</v>
      </c>
      <c r="B1195" s="9">
        <f t="shared" si="4"/>
        <v>45803</v>
      </c>
      <c r="C1195" s="77" t="s">
        <v>1570</v>
      </c>
      <c r="D1195" s="13">
        <f>SUMIFS('Lançamentos de receitas'!$E:$E,'Lançamentos de receitas'!$A:$A,B1195,'Lançamentos de receitas'!$C:$C,A1195,'Lançamentos de receitas'!$F:$F,"TRANSFERÊNCIA")</f>
        <v>323.79</v>
      </c>
      <c r="E1195" s="15">
        <f t="shared" si="1"/>
        <v>2025</v>
      </c>
      <c r="F1195" s="15">
        <f t="shared" si="2"/>
        <v>5</v>
      </c>
      <c r="G1195" s="15">
        <f t="shared" si="3"/>
        <v>26</v>
      </c>
    </row>
    <row r="1196">
      <c r="A1196" s="10" t="s">
        <v>27</v>
      </c>
      <c r="B1196" s="9">
        <f t="shared" si="4"/>
        <v>45803</v>
      </c>
      <c r="C1196" s="77" t="s">
        <v>1571</v>
      </c>
      <c r="D1196" s="13">
        <f>SUMIFS('Lançamentos de despesas'!$K:$K,'Lançamentos de despesas'!$C:$C,B1196,'Lançamentos de despesas'!$G:$G,A1196,'Lançamentos de despesas'!$E:$E,"pago")</f>
        <v>1614.4</v>
      </c>
      <c r="E1196" s="15">
        <f t="shared" si="1"/>
        <v>2025</v>
      </c>
      <c r="F1196" s="15">
        <f t="shared" si="2"/>
        <v>5</v>
      </c>
      <c r="G1196" s="15">
        <f t="shared" si="3"/>
        <v>26</v>
      </c>
    </row>
    <row r="1197">
      <c r="A1197" s="10" t="s">
        <v>27</v>
      </c>
      <c r="B1197" s="9">
        <f t="shared" si="4"/>
        <v>45803</v>
      </c>
      <c r="C1197" s="77" t="s">
        <v>1572</v>
      </c>
      <c r="D1197" s="13">
        <f>D1194+D1195-D1196</f>
        <v>48536.599</v>
      </c>
      <c r="E1197" s="15">
        <f t="shared" si="1"/>
        <v>2025</v>
      </c>
      <c r="F1197" s="15">
        <f t="shared" si="2"/>
        <v>5</v>
      </c>
      <c r="G1197" s="15">
        <f t="shared" si="3"/>
        <v>26</v>
      </c>
    </row>
    <row r="1198">
      <c r="A1198" s="10" t="s">
        <v>27</v>
      </c>
      <c r="B1198" s="9">
        <f t="shared" si="4"/>
        <v>45804</v>
      </c>
      <c r="C1198" s="77" t="s">
        <v>1569</v>
      </c>
      <c r="D1198" s="12">
        <f>D1197</f>
        <v>48536.599</v>
      </c>
      <c r="E1198" s="15">
        <f t="shared" si="1"/>
        <v>2025</v>
      </c>
      <c r="F1198" s="15">
        <f t="shared" si="2"/>
        <v>5</v>
      </c>
      <c r="G1198" s="15">
        <f t="shared" si="3"/>
        <v>27</v>
      </c>
    </row>
    <row r="1199">
      <c r="A1199" s="10" t="s">
        <v>27</v>
      </c>
      <c r="B1199" s="9">
        <f t="shared" si="4"/>
        <v>45804</v>
      </c>
      <c r="C1199" s="77" t="s">
        <v>1570</v>
      </c>
      <c r="D1199" s="13">
        <f>SUMIFS('Lançamentos de receitas'!$E:$E,'Lançamentos de receitas'!$A:$A,B1199,'Lançamentos de receitas'!$C:$C,A1199,'Lançamentos de receitas'!$F:$F,"TRANSFERÊNCIA")</f>
        <v>1583.47</v>
      </c>
      <c r="E1199" s="15">
        <f t="shared" si="1"/>
        <v>2025</v>
      </c>
      <c r="F1199" s="15">
        <f t="shared" si="2"/>
        <v>5</v>
      </c>
      <c r="G1199" s="15">
        <f t="shared" si="3"/>
        <v>27</v>
      </c>
    </row>
    <row r="1200">
      <c r="A1200" s="10" t="s">
        <v>27</v>
      </c>
      <c r="B1200" s="9">
        <f t="shared" si="4"/>
        <v>45804</v>
      </c>
      <c r="C1200" s="77" t="s">
        <v>1571</v>
      </c>
      <c r="D1200" s="13">
        <f>SUMIFS('Lançamentos de despesas'!$K:$K,'Lançamentos de despesas'!$C:$C,B1200,'Lançamentos de despesas'!$G:$G,A1200,'Lançamentos de despesas'!$E:$E,"pago")</f>
        <v>272.43</v>
      </c>
      <c r="E1200" s="15">
        <f t="shared" si="1"/>
        <v>2025</v>
      </c>
      <c r="F1200" s="15">
        <f t="shared" si="2"/>
        <v>5</v>
      </c>
      <c r="G1200" s="15">
        <f t="shared" si="3"/>
        <v>27</v>
      </c>
    </row>
    <row r="1201">
      <c r="A1201" s="10" t="s">
        <v>27</v>
      </c>
      <c r="B1201" s="9">
        <f t="shared" si="4"/>
        <v>45804</v>
      </c>
      <c r="C1201" s="77" t="s">
        <v>1572</v>
      </c>
      <c r="D1201" s="13">
        <f>D1198+D1199-D1200</f>
        <v>49847.639</v>
      </c>
      <c r="E1201" s="15">
        <f t="shared" si="1"/>
        <v>2025</v>
      </c>
      <c r="F1201" s="15">
        <f t="shared" si="2"/>
        <v>5</v>
      </c>
      <c r="G1201" s="15">
        <f t="shared" si="3"/>
        <v>27</v>
      </c>
    </row>
    <row r="1202">
      <c r="A1202" s="10" t="s">
        <v>27</v>
      </c>
      <c r="B1202" s="9">
        <f t="shared" si="4"/>
        <v>45805</v>
      </c>
      <c r="C1202" s="77" t="s">
        <v>1569</v>
      </c>
      <c r="D1202" s="12">
        <f>D1201</f>
        <v>49847.639</v>
      </c>
      <c r="E1202" s="15">
        <f t="shared" si="1"/>
        <v>2025</v>
      </c>
      <c r="F1202" s="15">
        <f t="shared" si="2"/>
        <v>5</v>
      </c>
      <c r="G1202" s="15">
        <f t="shared" si="3"/>
        <v>28</v>
      </c>
    </row>
    <row r="1203">
      <c r="A1203" s="10" t="s">
        <v>27</v>
      </c>
      <c r="B1203" s="9">
        <f t="shared" si="4"/>
        <v>45805</v>
      </c>
      <c r="C1203" s="77" t="s">
        <v>1570</v>
      </c>
      <c r="D1203" s="13">
        <f>SUMIFS('Lançamentos de receitas'!$E:$E,'Lançamentos de receitas'!$A:$A,B1203,'Lançamentos de receitas'!$C:$C,A1203,'Lançamentos de receitas'!$F:$F,"TRANSFERÊNCIA")</f>
        <v>826.33</v>
      </c>
      <c r="E1203" s="15">
        <f t="shared" si="1"/>
        <v>2025</v>
      </c>
      <c r="F1203" s="15">
        <f t="shared" si="2"/>
        <v>5</v>
      </c>
      <c r="G1203" s="15">
        <f t="shared" si="3"/>
        <v>28</v>
      </c>
    </row>
    <row r="1204">
      <c r="A1204" s="10" t="s">
        <v>27</v>
      </c>
      <c r="B1204" s="9">
        <f t="shared" si="4"/>
        <v>45805</v>
      </c>
      <c r="C1204" s="77" t="s">
        <v>1571</v>
      </c>
      <c r="D1204" s="13">
        <f>SUMIFS('Lançamentos de despesas'!$K:$K,'Lançamentos de despesas'!$C:$C,B1204,'Lançamentos de despesas'!$G:$G,A1204,'Lançamentos de despesas'!$E:$E,"pago")</f>
        <v>0</v>
      </c>
      <c r="E1204" s="15">
        <f t="shared" si="1"/>
        <v>2025</v>
      </c>
      <c r="F1204" s="15">
        <f t="shared" si="2"/>
        <v>5</v>
      </c>
      <c r="G1204" s="15">
        <f t="shared" si="3"/>
        <v>28</v>
      </c>
    </row>
    <row r="1205">
      <c r="A1205" s="10" t="s">
        <v>27</v>
      </c>
      <c r="B1205" s="9">
        <f t="shared" si="4"/>
        <v>45805</v>
      </c>
      <c r="C1205" s="77" t="s">
        <v>1572</v>
      </c>
      <c r="D1205" s="13">
        <f>D1202+D1203-D1204</f>
        <v>50673.969</v>
      </c>
      <c r="E1205" s="15">
        <f t="shared" si="1"/>
        <v>2025</v>
      </c>
      <c r="F1205" s="15">
        <f t="shared" si="2"/>
        <v>5</v>
      </c>
      <c r="G1205" s="15">
        <f t="shared" si="3"/>
        <v>28</v>
      </c>
    </row>
    <row r="1206">
      <c r="A1206" s="10" t="s">
        <v>27</v>
      </c>
      <c r="B1206" s="9">
        <f t="shared" si="4"/>
        <v>45806</v>
      </c>
      <c r="C1206" s="77" t="s">
        <v>1569</v>
      </c>
      <c r="D1206" s="12">
        <f>D1205</f>
        <v>50673.969</v>
      </c>
      <c r="E1206" s="15">
        <f t="shared" si="1"/>
        <v>2025</v>
      </c>
      <c r="F1206" s="15">
        <f t="shared" si="2"/>
        <v>5</v>
      </c>
      <c r="G1206" s="15">
        <f t="shared" si="3"/>
        <v>29</v>
      </c>
    </row>
    <row r="1207">
      <c r="A1207" s="10" t="s">
        <v>27</v>
      </c>
      <c r="B1207" s="9">
        <f t="shared" si="4"/>
        <v>45806</v>
      </c>
      <c r="C1207" s="77" t="s">
        <v>1570</v>
      </c>
      <c r="D1207" s="13">
        <f>SUMIFS('Lançamentos de receitas'!$E:$E,'Lançamentos de receitas'!$A:$A,B1207,'Lançamentos de receitas'!$C:$C,A1207,'Lançamentos de receitas'!$F:$F,"TRANSFERÊNCIA")</f>
        <v>1137.14</v>
      </c>
      <c r="E1207" s="15">
        <f t="shared" si="1"/>
        <v>2025</v>
      </c>
      <c r="F1207" s="15">
        <f t="shared" si="2"/>
        <v>5</v>
      </c>
      <c r="G1207" s="15">
        <f t="shared" si="3"/>
        <v>29</v>
      </c>
    </row>
    <row r="1208">
      <c r="A1208" s="10" t="s">
        <v>27</v>
      </c>
      <c r="B1208" s="9">
        <f t="shared" si="4"/>
        <v>45806</v>
      </c>
      <c r="C1208" s="77" t="s">
        <v>1571</v>
      </c>
      <c r="D1208" s="13">
        <f>SUMIFS('Lançamentos de despesas'!$K:$K,'Lançamentos de despesas'!$C:$C,B1208,'Lançamentos de despesas'!$G:$G,A1208,'Lançamentos de despesas'!$E:$E,"pago")</f>
        <v>1020.54</v>
      </c>
      <c r="E1208" s="15">
        <f t="shared" si="1"/>
        <v>2025</v>
      </c>
      <c r="F1208" s="15">
        <f t="shared" si="2"/>
        <v>5</v>
      </c>
      <c r="G1208" s="15">
        <f t="shared" si="3"/>
        <v>29</v>
      </c>
    </row>
    <row r="1209">
      <c r="A1209" s="10" t="s">
        <v>27</v>
      </c>
      <c r="B1209" s="9">
        <f t="shared" si="4"/>
        <v>45806</v>
      </c>
      <c r="C1209" s="77" t="s">
        <v>1572</v>
      </c>
      <c r="D1209" s="13">
        <f>D1206+D1207-D1208</f>
        <v>50790.569</v>
      </c>
      <c r="E1209" s="15">
        <f t="shared" si="1"/>
        <v>2025</v>
      </c>
      <c r="F1209" s="15">
        <f t="shared" si="2"/>
        <v>5</v>
      </c>
      <c r="G1209" s="15">
        <f t="shared" si="3"/>
        <v>29</v>
      </c>
    </row>
    <row r="1210">
      <c r="A1210" s="10" t="s">
        <v>27</v>
      </c>
      <c r="B1210" s="9">
        <f t="shared" si="4"/>
        <v>45807</v>
      </c>
      <c r="C1210" s="77" t="s">
        <v>1569</v>
      </c>
      <c r="D1210" s="12">
        <f>D1209</f>
        <v>50790.569</v>
      </c>
      <c r="E1210" s="15">
        <f t="shared" si="1"/>
        <v>2025</v>
      </c>
      <c r="F1210" s="15">
        <f t="shared" si="2"/>
        <v>5</v>
      </c>
      <c r="G1210" s="15">
        <f t="shared" si="3"/>
        <v>30</v>
      </c>
    </row>
    <row r="1211">
      <c r="A1211" s="10" t="s">
        <v>27</v>
      </c>
      <c r="B1211" s="9">
        <f t="shared" si="4"/>
        <v>45807</v>
      </c>
      <c r="C1211" s="77" t="s">
        <v>1570</v>
      </c>
      <c r="D1211" s="13">
        <f>SUMIFS('Lançamentos de receitas'!$E:$E,'Lançamentos de receitas'!$A:$A,B1211,'Lançamentos de receitas'!$C:$C,A1211,'Lançamentos de receitas'!$F:$F,"TRANSFERÊNCIA")</f>
        <v>4017.72</v>
      </c>
      <c r="E1211" s="15">
        <f t="shared" si="1"/>
        <v>2025</v>
      </c>
      <c r="F1211" s="15">
        <f t="shared" si="2"/>
        <v>5</v>
      </c>
      <c r="G1211" s="15">
        <f t="shared" si="3"/>
        <v>30</v>
      </c>
    </row>
    <row r="1212">
      <c r="A1212" s="10" t="s">
        <v>27</v>
      </c>
      <c r="B1212" s="9">
        <f t="shared" si="4"/>
        <v>45807</v>
      </c>
      <c r="C1212" s="77" t="s">
        <v>1571</v>
      </c>
      <c r="D1212" s="13">
        <f>SUMIFS('Lançamentos de despesas'!$K:$K,'Lançamentos de despesas'!$C:$C,B1212,'Lançamentos de despesas'!$G:$G,A1212,'Lançamentos de despesas'!$E:$E,"pago")</f>
        <v>2340.45</v>
      </c>
      <c r="E1212" s="15">
        <f t="shared" si="1"/>
        <v>2025</v>
      </c>
      <c r="F1212" s="15">
        <f t="shared" si="2"/>
        <v>5</v>
      </c>
      <c r="G1212" s="15">
        <f t="shared" si="3"/>
        <v>30</v>
      </c>
    </row>
    <row r="1213">
      <c r="A1213" s="10" t="s">
        <v>27</v>
      </c>
      <c r="B1213" s="9">
        <f t="shared" si="4"/>
        <v>45807</v>
      </c>
      <c r="C1213" s="77" t="s">
        <v>1572</v>
      </c>
      <c r="D1213" s="13">
        <f>D1210+D1211-D1212</f>
        <v>52467.839</v>
      </c>
      <c r="E1213" s="15">
        <f t="shared" si="1"/>
        <v>2025</v>
      </c>
      <c r="F1213" s="15">
        <f t="shared" si="2"/>
        <v>5</v>
      </c>
      <c r="G1213" s="15">
        <f t="shared" si="3"/>
        <v>30</v>
      </c>
    </row>
    <row r="1214">
      <c r="A1214" s="10" t="s">
        <v>27</v>
      </c>
      <c r="B1214" s="9">
        <f t="shared" si="4"/>
        <v>45808</v>
      </c>
      <c r="C1214" s="77" t="s">
        <v>1569</v>
      </c>
      <c r="D1214" s="12">
        <f>D1213</f>
        <v>52467.839</v>
      </c>
      <c r="E1214" s="15">
        <f t="shared" si="1"/>
        <v>2025</v>
      </c>
      <c r="F1214" s="15">
        <f t="shared" si="2"/>
        <v>5</v>
      </c>
      <c r="G1214" s="15">
        <f t="shared" si="3"/>
        <v>31</v>
      </c>
    </row>
    <row r="1215">
      <c r="A1215" s="10" t="s">
        <v>27</v>
      </c>
      <c r="B1215" s="9">
        <f t="shared" si="4"/>
        <v>45808</v>
      </c>
      <c r="C1215" s="77" t="s">
        <v>1570</v>
      </c>
      <c r="D1215" s="13">
        <f>SUMIFS('Lançamentos de receitas'!$E:$E,'Lançamentos de receitas'!$A:$A,B1215,'Lançamentos de receitas'!$C:$C,A1215,'Lançamentos de receitas'!$F:$F,"TRANSFERÊNCIA")</f>
        <v>688.6</v>
      </c>
      <c r="E1215" s="15">
        <f t="shared" si="1"/>
        <v>2025</v>
      </c>
      <c r="F1215" s="15">
        <f t="shared" si="2"/>
        <v>5</v>
      </c>
      <c r="G1215" s="15">
        <f t="shared" si="3"/>
        <v>31</v>
      </c>
    </row>
    <row r="1216">
      <c r="A1216" s="10" t="s">
        <v>27</v>
      </c>
      <c r="B1216" s="9">
        <f t="shared" si="4"/>
        <v>45808</v>
      </c>
      <c r="C1216" s="77" t="s">
        <v>1571</v>
      </c>
      <c r="D1216" s="13">
        <f>SUMIFS('Lançamentos de despesas'!$K:$K,'Lançamentos de despesas'!$C:$C,B1216,'Lançamentos de despesas'!$G:$G,A1216,'Lançamentos de despesas'!$E:$E,"pago")</f>
        <v>0</v>
      </c>
      <c r="E1216" s="15">
        <f t="shared" si="1"/>
        <v>2025</v>
      </c>
      <c r="F1216" s="15">
        <f t="shared" si="2"/>
        <v>5</v>
      </c>
      <c r="G1216" s="15">
        <f t="shared" si="3"/>
        <v>31</v>
      </c>
    </row>
    <row r="1217">
      <c r="A1217" s="10" t="s">
        <v>27</v>
      </c>
      <c r="B1217" s="9">
        <f t="shared" si="4"/>
        <v>45808</v>
      </c>
      <c r="C1217" s="77" t="s">
        <v>1572</v>
      </c>
      <c r="D1217" s="13">
        <f>D1214+D1215-D1216</f>
        <v>53156.439</v>
      </c>
      <c r="E1217" s="15">
        <f t="shared" si="1"/>
        <v>2025</v>
      </c>
      <c r="F1217" s="15">
        <f t="shared" si="2"/>
        <v>5</v>
      </c>
      <c r="G1217" s="15">
        <f t="shared" si="3"/>
        <v>31</v>
      </c>
    </row>
    <row r="1218">
      <c r="A1218" s="10" t="s">
        <v>27</v>
      </c>
      <c r="B1218" s="9">
        <f t="shared" si="4"/>
        <v>45809</v>
      </c>
      <c r="C1218" s="77" t="s">
        <v>1569</v>
      </c>
      <c r="D1218" s="12">
        <f>D1217</f>
        <v>53156.439</v>
      </c>
      <c r="E1218" s="15">
        <f t="shared" si="1"/>
        <v>2025</v>
      </c>
      <c r="F1218" s="15">
        <f t="shared" si="2"/>
        <v>6</v>
      </c>
      <c r="G1218" s="15">
        <f t="shared" si="3"/>
        <v>1</v>
      </c>
    </row>
    <row r="1219">
      <c r="A1219" s="10" t="s">
        <v>27</v>
      </c>
      <c r="B1219" s="9">
        <f t="shared" si="4"/>
        <v>45809</v>
      </c>
      <c r="C1219" s="77" t="s">
        <v>1570</v>
      </c>
      <c r="D1219" s="13">
        <f>SUMIFS('Lançamentos de receitas'!$E:$E,'Lançamentos de receitas'!$A:$A,B1219,'Lançamentos de receitas'!$C:$C,A1219,'Lançamentos de receitas'!$F:$F,"TRANSFERÊNCIA")</f>
        <v>529.77</v>
      </c>
      <c r="E1219" s="15">
        <f t="shared" si="1"/>
        <v>2025</v>
      </c>
      <c r="F1219" s="15">
        <f t="shared" si="2"/>
        <v>6</v>
      </c>
      <c r="G1219" s="15">
        <f t="shared" si="3"/>
        <v>1</v>
      </c>
    </row>
    <row r="1220">
      <c r="A1220" s="10" t="s">
        <v>27</v>
      </c>
      <c r="B1220" s="9">
        <f t="shared" si="4"/>
        <v>45809</v>
      </c>
      <c r="C1220" s="77" t="s">
        <v>1571</v>
      </c>
      <c r="D1220" s="13">
        <f>SUMIFS('Lançamentos de despesas'!$K:$K,'Lançamentos de despesas'!$C:$C,B1220,'Lançamentos de despesas'!$G:$G,A1220,'Lançamentos de despesas'!$E:$E,"pago")</f>
        <v>0</v>
      </c>
      <c r="E1220" s="15">
        <f t="shared" si="1"/>
        <v>2025</v>
      </c>
      <c r="F1220" s="15">
        <f t="shared" si="2"/>
        <v>6</v>
      </c>
      <c r="G1220" s="15">
        <f t="shared" si="3"/>
        <v>1</v>
      </c>
    </row>
    <row r="1221">
      <c r="A1221" s="10" t="s">
        <v>27</v>
      </c>
      <c r="B1221" s="9">
        <f t="shared" si="4"/>
        <v>45809</v>
      </c>
      <c r="C1221" s="77" t="s">
        <v>1572</v>
      </c>
      <c r="D1221" s="13">
        <f>D1218+D1219-D1220</f>
        <v>53686.209</v>
      </c>
      <c r="E1221" s="15">
        <f t="shared" si="1"/>
        <v>2025</v>
      </c>
      <c r="F1221" s="15">
        <f t="shared" si="2"/>
        <v>6</v>
      </c>
      <c r="G1221" s="15">
        <f t="shared" si="3"/>
        <v>1</v>
      </c>
    </row>
    <row r="1222">
      <c r="A1222" s="10" t="s">
        <v>27</v>
      </c>
      <c r="B1222" s="9">
        <f t="shared" si="4"/>
        <v>45810</v>
      </c>
      <c r="C1222" s="77" t="s">
        <v>1569</v>
      </c>
      <c r="D1222" s="12">
        <f>D1221</f>
        <v>53686.209</v>
      </c>
      <c r="E1222" s="15">
        <f t="shared" si="1"/>
        <v>2025</v>
      </c>
      <c r="F1222" s="15">
        <f t="shared" si="2"/>
        <v>6</v>
      </c>
      <c r="G1222" s="15">
        <f t="shared" si="3"/>
        <v>2</v>
      </c>
    </row>
    <row r="1223">
      <c r="A1223" s="10" t="s">
        <v>27</v>
      </c>
      <c r="B1223" s="9">
        <f t="shared" si="4"/>
        <v>45810</v>
      </c>
      <c r="C1223" s="77" t="s">
        <v>1570</v>
      </c>
      <c r="D1223" s="13">
        <f>SUMIFS('Lançamentos de receitas'!$E:$E,'Lançamentos de receitas'!$A:$A,B1223,'Lançamentos de receitas'!$C:$C,A1223,'Lançamentos de receitas'!$F:$F,"TRANSFERÊNCIA")</f>
        <v>9170.4</v>
      </c>
      <c r="E1223" s="15">
        <f t="shared" si="1"/>
        <v>2025</v>
      </c>
      <c r="F1223" s="15">
        <f t="shared" si="2"/>
        <v>6</v>
      </c>
      <c r="G1223" s="15">
        <f t="shared" si="3"/>
        <v>2</v>
      </c>
    </row>
    <row r="1224">
      <c r="A1224" s="10" t="s">
        <v>27</v>
      </c>
      <c r="B1224" s="9">
        <f t="shared" si="4"/>
        <v>45810</v>
      </c>
      <c r="C1224" s="77" t="s">
        <v>1571</v>
      </c>
      <c r="D1224" s="13">
        <f>SUMIFS('Lançamentos de despesas'!$K:$K,'Lançamentos de despesas'!$C:$C,B1224,'Lançamentos de despesas'!$G:$G,A1224,'Lançamentos de despesas'!$E:$E,"pago")</f>
        <v>12802.29</v>
      </c>
      <c r="E1224" s="15">
        <f t="shared" si="1"/>
        <v>2025</v>
      </c>
      <c r="F1224" s="15">
        <f t="shared" si="2"/>
        <v>6</v>
      </c>
      <c r="G1224" s="15">
        <f t="shared" si="3"/>
        <v>2</v>
      </c>
    </row>
    <row r="1225">
      <c r="A1225" s="10" t="s">
        <v>27</v>
      </c>
      <c r="B1225" s="9">
        <f t="shared" si="4"/>
        <v>45810</v>
      </c>
      <c r="C1225" s="77" t="s">
        <v>1572</v>
      </c>
      <c r="D1225" s="13">
        <f>D1222+D1223-D1224</f>
        <v>50054.319</v>
      </c>
      <c r="E1225" s="15">
        <f t="shared" si="1"/>
        <v>2025</v>
      </c>
      <c r="F1225" s="15">
        <f t="shared" si="2"/>
        <v>6</v>
      </c>
      <c r="G1225" s="15">
        <f t="shared" si="3"/>
        <v>2</v>
      </c>
    </row>
    <row r="1226">
      <c r="A1226" s="10" t="s">
        <v>27</v>
      </c>
      <c r="B1226" s="9">
        <f t="shared" si="4"/>
        <v>45811</v>
      </c>
      <c r="C1226" s="77" t="s">
        <v>1569</v>
      </c>
      <c r="D1226" s="12">
        <f>D1225</f>
        <v>50054.319</v>
      </c>
      <c r="E1226" s="15">
        <f t="shared" si="1"/>
        <v>2025</v>
      </c>
      <c r="F1226" s="15">
        <f t="shared" si="2"/>
        <v>6</v>
      </c>
      <c r="G1226" s="15">
        <f t="shared" si="3"/>
        <v>3</v>
      </c>
    </row>
    <row r="1227">
      <c r="A1227" s="10" t="s">
        <v>27</v>
      </c>
      <c r="B1227" s="9">
        <f t="shared" si="4"/>
        <v>45811</v>
      </c>
      <c r="C1227" s="77" t="s">
        <v>1570</v>
      </c>
      <c r="D1227" s="13">
        <f>SUMIFS('Lançamentos de receitas'!$E:$E,'Lançamentos de receitas'!$A:$A,B1227,'Lançamentos de receitas'!$C:$C,A1227,'Lançamentos de receitas'!$F:$F,"TRANSFERÊNCIA")</f>
        <v>1867.18</v>
      </c>
      <c r="E1227" s="15">
        <f t="shared" si="1"/>
        <v>2025</v>
      </c>
      <c r="F1227" s="15">
        <f t="shared" si="2"/>
        <v>6</v>
      </c>
      <c r="G1227" s="15">
        <f t="shared" si="3"/>
        <v>3</v>
      </c>
    </row>
    <row r="1228">
      <c r="A1228" s="10" t="s">
        <v>27</v>
      </c>
      <c r="B1228" s="9">
        <f t="shared" si="4"/>
        <v>45811</v>
      </c>
      <c r="C1228" s="77" t="s">
        <v>1571</v>
      </c>
      <c r="D1228" s="13">
        <f>SUMIFS('Lançamentos de despesas'!$K:$K,'Lançamentos de despesas'!$C:$C,B1228,'Lançamentos de despesas'!$G:$G,A1228,'Lançamentos de despesas'!$E:$E,"pago")</f>
        <v>3275.83</v>
      </c>
      <c r="E1228" s="15">
        <f t="shared" si="1"/>
        <v>2025</v>
      </c>
      <c r="F1228" s="15">
        <f t="shared" si="2"/>
        <v>6</v>
      </c>
      <c r="G1228" s="15">
        <f t="shared" si="3"/>
        <v>3</v>
      </c>
    </row>
    <row r="1229">
      <c r="A1229" s="10" t="s">
        <v>27</v>
      </c>
      <c r="B1229" s="9">
        <f t="shared" si="4"/>
        <v>45811</v>
      </c>
      <c r="C1229" s="77" t="s">
        <v>1572</v>
      </c>
      <c r="D1229" s="13">
        <f>D1226+D1227-D1228</f>
        <v>48645.669</v>
      </c>
      <c r="E1229" s="15">
        <f t="shared" si="1"/>
        <v>2025</v>
      </c>
      <c r="F1229" s="15">
        <f t="shared" si="2"/>
        <v>6</v>
      </c>
      <c r="G1229" s="15">
        <f t="shared" si="3"/>
        <v>3</v>
      </c>
    </row>
    <row r="1230">
      <c r="A1230" s="10" t="s">
        <v>27</v>
      </c>
      <c r="B1230" s="9">
        <f t="shared" si="4"/>
        <v>45812</v>
      </c>
      <c r="C1230" s="77" t="s">
        <v>1569</v>
      </c>
      <c r="D1230" s="12">
        <f>D1229</f>
        <v>48645.669</v>
      </c>
      <c r="E1230" s="15">
        <f t="shared" si="1"/>
        <v>2025</v>
      </c>
      <c r="F1230" s="15">
        <f t="shared" si="2"/>
        <v>6</v>
      </c>
      <c r="G1230" s="15">
        <f t="shared" si="3"/>
        <v>4</v>
      </c>
    </row>
    <row r="1231">
      <c r="A1231" s="10" t="s">
        <v>27</v>
      </c>
      <c r="B1231" s="9">
        <f t="shared" si="4"/>
        <v>45812</v>
      </c>
      <c r="C1231" s="77" t="s">
        <v>1570</v>
      </c>
      <c r="D1231" s="13">
        <f>SUMIFS('Lançamentos de receitas'!$E:$E,'Lançamentos de receitas'!$A:$A,B1231,'Lançamentos de receitas'!$C:$C,A1231,'Lançamentos de receitas'!$F:$F,"TRANSFERÊNCIA")</f>
        <v>1404.52</v>
      </c>
      <c r="E1231" s="15">
        <f t="shared" si="1"/>
        <v>2025</v>
      </c>
      <c r="F1231" s="15">
        <f t="shared" si="2"/>
        <v>6</v>
      </c>
      <c r="G1231" s="15">
        <f t="shared" si="3"/>
        <v>4</v>
      </c>
    </row>
    <row r="1232">
      <c r="A1232" s="10" t="s">
        <v>27</v>
      </c>
      <c r="B1232" s="9">
        <f t="shared" si="4"/>
        <v>45812</v>
      </c>
      <c r="C1232" s="77" t="s">
        <v>1571</v>
      </c>
      <c r="D1232" s="13">
        <f>SUMIFS('Lançamentos de despesas'!$K:$K,'Lançamentos de despesas'!$C:$C,B1232,'Lançamentos de despesas'!$G:$G,A1232,'Lançamentos de despesas'!$E:$E,"pago")</f>
        <v>0</v>
      </c>
      <c r="E1232" s="15">
        <f t="shared" si="1"/>
        <v>2025</v>
      </c>
      <c r="F1232" s="15">
        <f t="shared" si="2"/>
        <v>6</v>
      </c>
      <c r="G1232" s="15">
        <f t="shared" si="3"/>
        <v>4</v>
      </c>
    </row>
    <row r="1233">
      <c r="A1233" s="10" t="s">
        <v>27</v>
      </c>
      <c r="B1233" s="9">
        <f t="shared" si="4"/>
        <v>45812</v>
      </c>
      <c r="C1233" s="77" t="s">
        <v>1572</v>
      </c>
      <c r="D1233" s="13">
        <f>D1230+D1231-D1232</f>
        <v>50050.189</v>
      </c>
      <c r="E1233" s="15">
        <f t="shared" si="1"/>
        <v>2025</v>
      </c>
      <c r="F1233" s="15">
        <f t="shared" si="2"/>
        <v>6</v>
      </c>
      <c r="G1233" s="15">
        <f t="shared" si="3"/>
        <v>4</v>
      </c>
    </row>
    <row r="1234">
      <c r="A1234" s="10" t="s">
        <v>27</v>
      </c>
      <c r="B1234" s="9">
        <f t="shared" si="4"/>
        <v>45813</v>
      </c>
      <c r="C1234" s="77" t="s">
        <v>1569</v>
      </c>
      <c r="D1234" s="12">
        <f>D1233</f>
        <v>50050.189</v>
      </c>
      <c r="E1234" s="15">
        <f t="shared" si="1"/>
        <v>2025</v>
      </c>
      <c r="F1234" s="15">
        <f t="shared" si="2"/>
        <v>6</v>
      </c>
      <c r="G1234" s="15">
        <f t="shared" si="3"/>
        <v>5</v>
      </c>
    </row>
    <row r="1235">
      <c r="A1235" s="10" t="s">
        <v>27</v>
      </c>
      <c r="B1235" s="9">
        <f t="shared" si="4"/>
        <v>45813</v>
      </c>
      <c r="C1235" s="77" t="s">
        <v>1570</v>
      </c>
      <c r="D1235" s="13">
        <f>SUMIFS('Lançamentos de receitas'!$E:$E,'Lançamentos de receitas'!$A:$A,B1235,'Lançamentos de receitas'!$C:$C,A1235,'Lançamentos de receitas'!$F:$F,"TRANSFERÊNCIA")</f>
        <v>1217.01</v>
      </c>
      <c r="E1235" s="15">
        <f t="shared" si="1"/>
        <v>2025</v>
      </c>
      <c r="F1235" s="15">
        <f t="shared" si="2"/>
        <v>6</v>
      </c>
      <c r="G1235" s="15">
        <f t="shared" si="3"/>
        <v>5</v>
      </c>
    </row>
    <row r="1236">
      <c r="A1236" s="10" t="s">
        <v>27</v>
      </c>
      <c r="B1236" s="9">
        <f t="shared" si="4"/>
        <v>45813</v>
      </c>
      <c r="C1236" s="77" t="s">
        <v>1571</v>
      </c>
      <c r="D1236" s="13">
        <f>SUMIFS('Lançamentos de despesas'!$K:$K,'Lançamentos de despesas'!$C:$C,B1236,'Lançamentos de despesas'!$G:$G,A1236,'Lançamentos de despesas'!$E:$E,"pago")</f>
        <v>4014.27</v>
      </c>
      <c r="E1236" s="15">
        <f t="shared" si="1"/>
        <v>2025</v>
      </c>
      <c r="F1236" s="15">
        <f t="shared" si="2"/>
        <v>6</v>
      </c>
      <c r="G1236" s="15">
        <f t="shared" si="3"/>
        <v>5</v>
      </c>
    </row>
    <row r="1237">
      <c r="A1237" s="10" t="s">
        <v>27</v>
      </c>
      <c r="B1237" s="9">
        <f t="shared" si="4"/>
        <v>45813</v>
      </c>
      <c r="C1237" s="77" t="s">
        <v>1572</v>
      </c>
      <c r="D1237" s="13">
        <f>D1234+D1235-D1236</f>
        <v>47252.929</v>
      </c>
      <c r="E1237" s="15">
        <f t="shared" si="1"/>
        <v>2025</v>
      </c>
      <c r="F1237" s="15">
        <f t="shared" si="2"/>
        <v>6</v>
      </c>
      <c r="G1237" s="15">
        <f t="shared" si="3"/>
        <v>5</v>
      </c>
    </row>
    <row r="1238">
      <c r="A1238" s="10" t="s">
        <v>27</v>
      </c>
      <c r="B1238" s="9">
        <f t="shared" si="4"/>
        <v>45814</v>
      </c>
      <c r="C1238" s="77" t="s">
        <v>1569</v>
      </c>
      <c r="D1238" s="12">
        <f>D1237</f>
        <v>47252.929</v>
      </c>
      <c r="E1238" s="15">
        <f t="shared" si="1"/>
        <v>2025</v>
      </c>
      <c r="F1238" s="15">
        <f t="shared" si="2"/>
        <v>6</v>
      </c>
      <c r="G1238" s="15">
        <f t="shared" si="3"/>
        <v>6</v>
      </c>
    </row>
    <row r="1239">
      <c r="A1239" s="10" t="s">
        <v>27</v>
      </c>
      <c r="B1239" s="9">
        <f t="shared" si="4"/>
        <v>45814</v>
      </c>
      <c r="C1239" s="77" t="s">
        <v>1570</v>
      </c>
      <c r="D1239" s="13">
        <f>SUMIFS('Lançamentos de receitas'!$E:$E,'Lançamentos de receitas'!$A:$A,B1239,'Lançamentos de receitas'!$C:$C,A1239,'Lançamentos de receitas'!$F:$F,"TRANSFERÊNCIA")</f>
        <v>1095.95</v>
      </c>
      <c r="E1239" s="15">
        <f t="shared" si="1"/>
        <v>2025</v>
      </c>
      <c r="F1239" s="15">
        <f t="shared" si="2"/>
        <v>6</v>
      </c>
      <c r="G1239" s="15">
        <f t="shared" si="3"/>
        <v>6</v>
      </c>
    </row>
    <row r="1240">
      <c r="A1240" s="10" t="s">
        <v>27</v>
      </c>
      <c r="B1240" s="9">
        <f t="shared" si="4"/>
        <v>45814</v>
      </c>
      <c r="C1240" s="77" t="s">
        <v>1571</v>
      </c>
      <c r="D1240" s="13">
        <f>SUMIFS('Lançamentos de despesas'!$K:$K,'Lançamentos de despesas'!$C:$C,B1240,'Lançamentos de despesas'!$G:$G,A1240,'Lançamentos de despesas'!$E:$E,"pago")</f>
        <v>5880</v>
      </c>
      <c r="E1240" s="15">
        <f t="shared" si="1"/>
        <v>2025</v>
      </c>
      <c r="F1240" s="15">
        <f t="shared" si="2"/>
        <v>6</v>
      </c>
      <c r="G1240" s="15">
        <f t="shared" si="3"/>
        <v>6</v>
      </c>
    </row>
    <row r="1241">
      <c r="A1241" s="10" t="s">
        <v>27</v>
      </c>
      <c r="B1241" s="9">
        <f t="shared" si="4"/>
        <v>45814</v>
      </c>
      <c r="C1241" s="77" t="s">
        <v>1572</v>
      </c>
      <c r="D1241" s="13">
        <f>D1238+D1239-D1240</f>
        <v>42468.879</v>
      </c>
      <c r="E1241" s="15">
        <f t="shared" si="1"/>
        <v>2025</v>
      </c>
      <c r="F1241" s="15">
        <f t="shared" si="2"/>
        <v>6</v>
      </c>
      <c r="G1241" s="15">
        <f t="shared" si="3"/>
        <v>6</v>
      </c>
    </row>
    <row r="1242">
      <c r="A1242" s="10" t="s">
        <v>27</v>
      </c>
      <c r="B1242" s="9">
        <f t="shared" si="4"/>
        <v>45815</v>
      </c>
      <c r="C1242" s="77" t="s">
        <v>1569</v>
      </c>
      <c r="D1242" s="12">
        <f>D1241</f>
        <v>42468.879</v>
      </c>
      <c r="E1242" s="15">
        <f t="shared" si="1"/>
        <v>2025</v>
      </c>
      <c r="F1242" s="15">
        <f t="shared" si="2"/>
        <v>6</v>
      </c>
      <c r="G1242" s="15">
        <f t="shared" si="3"/>
        <v>7</v>
      </c>
    </row>
    <row r="1243">
      <c r="A1243" s="10" t="s">
        <v>27</v>
      </c>
      <c r="B1243" s="9">
        <f t="shared" si="4"/>
        <v>45815</v>
      </c>
      <c r="C1243" s="77" t="s">
        <v>1570</v>
      </c>
      <c r="D1243" s="13">
        <f>SUMIFS('Lançamentos de receitas'!$E:$E,'Lançamentos de receitas'!$A:$A,B1243,'Lançamentos de receitas'!$C:$C,A1243,'Lançamentos de receitas'!$F:$F,"TRANSFERÊNCIA")</f>
        <v>1108.45</v>
      </c>
      <c r="E1243" s="15">
        <f t="shared" si="1"/>
        <v>2025</v>
      </c>
      <c r="F1243" s="15">
        <f t="shared" si="2"/>
        <v>6</v>
      </c>
      <c r="G1243" s="15">
        <f t="shared" si="3"/>
        <v>7</v>
      </c>
    </row>
    <row r="1244">
      <c r="A1244" s="10" t="s">
        <v>27</v>
      </c>
      <c r="B1244" s="9">
        <f t="shared" si="4"/>
        <v>45815</v>
      </c>
      <c r="C1244" s="77" t="s">
        <v>1571</v>
      </c>
      <c r="D1244" s="13">
        <f>SUMIFS('Lançamentos de despesas'!$K:$K,'Lançamentos de despesas'!$C:$C,B1244,'Lançamentos de despesas'!$G:$G,A1244,'Lançamentos de despesas'!$E:$E,"pago")</f>
        <v>0</v>
      </c>
      <c r="E1244" s="15">
        <f t="shared" si="1"/>
        <v>2025</v>
      </c>
      <c r="F1244" s="15">
        <f t="shared" si="2"/>
        <v>6</v>
      </c>
      <c r="G1244" s="15">
        <f t="shared" si="3"/>
        <v>7</v>
      </c>
    </row>
    <row r="1245">
      <c r="A1245" s="10" t="s">
        <v>27</v>
      </c>
      <c r="B1245" s="9">
        <f t="shared" si="4"/>
        <v>45815</v>
      </c>
      <c r="C1245" s="77" t="s">
        <v>1572</v>
      </c>
      <c r="D1245" s="13">
        <f>D1242+D1243-D1244</f>
        <v>43577.329</v>
      </c>
      <c r="E1245" s="15">
        <f t="shared" si="1"/>
        <v>2025</v>
      </c>
      <c r="F1245" s="15">
        <f t="shared" si="2"/>
        <v>6</v>
      </c>
      <c r="G1245" s="15">
        <f t="shared" si="3"/>
        <v>7</v>
      </c>
    </row>
    <row r="1246">
      <c r="A1246" s="10" t="s">
        <v>27</v>
      </c>
      <c r="B1246" s="9">
        <f t="shared" si="4"/>
        <v>45816</v>
      </c>
      <c r="C1246" s="77" t="s">
        <v>1569</v>
      </c>
      <c r="D1246" s="12">
        <f>D1245</f>
        <v>43577.329</v>
      </c>
      <c r="E1246" s="15">
        <f t="shared" si="1"/>
        <v>2025</v>
      </c>
      <c r="F1246" s="15">
        <f t="shared" si="2"/>
        <v>6</v>
      </c>
      <c r="G1246" s="15">
        <f t="shared" si="3"/>
        <v>8</v>
      </c>
    </row>
    <row r="1247">
      <c r="A1247" s="10" t="s">
        <v>27</v>
      </c>
      <c r="B1247" s="9">
        <f t="shared" si="4"/>
        <v>45816</v>
      </c>
      <c r="C1247" s="77" t="s">
        <v>1570</v>
      </c>
      <c r="D1247" s="13">
        <f>SUMIFS('Lançamentos de receitas'!$E:$E,'Lançamentos de receitas'!$A:$A,B1247,'Lançamentos de receitas'!$C:$C,A1247,'Lançamentos de receitas'!$F:$F,"TRANSFERÊNCIA")</f>
        <v>898.28</v>
      </c>
      <c r="E1247" s="15">
        <f t="shared" si="1"/>
        <v>2025</v>
      </c>
      <c r="F1247" s="15">
        <f t="shared" si="2"/>
        <v>6</v>
      </c>
      <c r="G1247" s="15">
        <f t="shared" si="3"/>
        <v>8</v>
      </c>
    </row>
    <row r="1248">
      <c r="A1248" s="10" t="s">
        <v>27</v>
      </c>
      <c r="B1248" s="9">
        <f t="shared" si="4"/>
        <v>45816</v>
      </c>
      <c r="C1248" s="77" t="s">
        <v>1571</v>
      </c>
      <c r="D1248" s="13">
        <f>SUMIFS('Lançamentos de despesas'!$K:$K,'Lançamentos de despesas'!$C:$C,B1248,'Lançamentos de despesas'!$G:$G,A1248,'Lançamentos de despesas'!$E:$E,"pago")</f>
        <v>0</v>
      </c>
      <c r="E1248" s="15">
        <f t="shared" si="1"/>
        <v>2025</v>
      </c>
      <c r="F1248" s="15">
        <f t="shared" si="2"/>
        <v>6</v>
      </c>
      <c r="G1248" s="15">
        <f t="shared" si="3"/>
        <v>8</v>
      </c>
    </row>
    <row r="1249">
      <c r="A1249" s="10" t="s">
        <v>27</v>
      </c>
      <c r="B1249" s="9">
        <f t="shared" si="4"/>
        <v>45816</v>
      </c>
      <c r="C1249" s="77" t="s">
        <v>1572</v>
      </c>
      <c r="D1249" s="13">
        <f>D1246+D1247-D1248</f>
        <v>44475.609</v>
      </c>
      <c r="E1249" s="15">
        <f t="shared" si="1"/>
        <v>2025</v>
      </c>
      <c r="F1249" s="15">
        <f t="shared" si="2"/>
        <v>6</v>
      </c>
      <c r="G1249" s="15">
        <f t="shared" si="3"/>
        <v>8</v>
      </c>
    </row>
    <row r="1250">
      <c r="A1250" s="10" t="s">
        <v>27</v>
      </c>
      <c r="B1250" s="9">
        <f t="shared" si="4"/>
        <v>45817</v>
      </c>
      <c r="C1250" s="77" t="s">
        <v>1569</v>
      </c>
      <c r="D1250" s="12">
        <f>D1249</f>
        <v>44475.609</v>
      </c>
      <c r="E1250" s="15">
        <f t="shared" si="1"/>
        <v>2025</v>
      </c>
      <c r="F1250" s="15">
        <f t="shared" si="2"/>
        <v>6</v>
      </c>
      <c r="G1250" s="15">
        <f t="shared" si="3"/>
        <v>9</v>
      </c>
    </row>
    <row r="1251">
      <c r="A1251" s="10" t="s">
        <v>27</v>
      </c>
      <c r="B1251" s="9">
        <f t="shared" si="4"/>
        <v>45817</v>
      </c>
      <c r="C1251" s="77" t="s">
        <v>1570</v>
      </c>
      <c r="D1251" s="13">
        <f>SUMIFS('Lançamentos de receitas'!$E:$E,'Lançamentos de receitas'!$A:$A,B1251,'Lançamentos de receitas'!$C:$C,A1251,'Lançamentos de receitas'!$F:$F,"TRANSFERÊNCIA")</f>
        <v>216.43</v>
      </c>
      <c r="E1251" s="15">
        <f t="shared" si="1"/>
        <v>2025</v>
      </c>
      <c r="F1251" s="15">
        <f t="shared" si="2"/>
        <v>6</v>
      </c>
      <c r="G1251" s="15">
        <f t="shared" si="3"/>
        <v>9</v>
      </c>
    </row>
    <row r="1252">
      <c r="A1252" s="10" t="s">
        <v>27</v>
      </c>
      <c r="B1252" s="9">
        <f t="shared" si="4"/>
        <v>45817</v>
      </c>
      <c r="C1252" s="77" t="s">
        <v>1571</v>
      </c>
      <c r="D1252" s="13">
        <f>SUMIFS('Lançamentos de despesas'!$K:$K,'Lançamentos de despesas'!$C:$C,B1252,'Lançamentos de despesas'!$G:$G,A1252,'Lançamentos de despesas'!$E:$E,"pago")</f>
        <v>3060</v>
      </c>
      <c r="E1252" s="15">
        <f t="shared" si="1"/>
        <v>2025</v>
      </c>
      <c r="F1252" s="15">
        <f t="shared" si="2"/>
        <v>6</v>
      </c>
      <c r="G1252" s="15">
        <f t="shared" si="3"/>
        <v>9</v>
      </c>
    </row>
    <row r="1253">
      <c r="A1253" s="10" t="s">
        <v>27</v>
      </c>
      <c r="B1253" s="9">
        <f t="shared" si="4"/>
        <v>45817</v>
      </c>
      <c r="C1253" s="77" t="s">
        <v>1572</v>
      </c>
      <c r="D1253" s="13">
        <f>D1250+D1251-D1252</f>
        <v>41632.039</v>
      </c>
      <c r="E1253" s="15">
        <f t="shared" si="1"/>
        <v>2025</v>
      </c>
      <c r="F1253" s="15">
        <f t="shared" si="2"/>
        <v>6</v>
      </c>
      <c r="G1253" s="15">
        <f t="shared" si="3"/>
        <v>9</v>
      </c>
    </row>
    <row r="1254">
      <c r="A1254" s="10" t="s">
        <v>27</v>
      </c>
      <c r="B1254" s="9">
        <f t="shared" si="4"/>
        <v>45818</v>
      </c>
      <c r="C1254" s="77" t="s">
        <v>1569</v>
      </c>
      <c r="D1254" s="12">
        <f>D1253</f>
        <v>41632.039</v>
      </c>
      <c r="E1254" s="15">
        <f t="shared" si="1"/>
        <v>2025</v>
      </c>
      <c r="F1254" s="15">
        <f t="shared" si="2"/>
        <v>6</v>
      </c>
      <c r="G1254" s="15">
        <f t="shared" si="3"/>
        <v>10</v>
      </c>
    </row>
    <row r="1255">
      <c r="A1255" s="10" t="s">
        <v>27</v>
      </c>
      <c r="B1255" s="9">
        <f t="shared" si="4"/>
        <v>45818</v>
      </c>
      <c r="C1255" s="77" t="s">
        <v>1570</v>
      </c>
      <c r="D1255" s="13">
        <f>SUMIFS('Lançamentos de receitas'!$E:$E,'Lançamentos de receitas'!$A:$A,B1255,'Lançamentos de receitas'!$C:$C,A1255,'Lançamentos de receitas'!$F:$F,"TRANSFERÊNCIA")</f>
        <v>28790.7</v>
      </c>
      <c r="E1255" s="15">
        <f t="shared" si="1"/>
        <v>2025</v>
      </c>
      <c r="F1255" s="15">
        <f t="shared" si="2"/>
        <v>6</v>
      </c>
      <c r="G1255" s="15">
        <f t="shared" si="3"/>
        <v>10</v>
      </c>
    </row>
    <row r="1256">
      <c r="A1256" s="10" t="s">
        <v>27</v>
      </c>
      <c r="B1256" s="9">
        <f t="shared" si="4"/>
        <v>45818</v>
      </c>
      <c r="C1256" s="77" t="s">
        <v>1571</v>
      </c>
      <c r="D1256" s="13">
        <f>SUMIFS('Lançamentos de despesas'!$K:$K,'Lançamentos de despesas'!$C:$C,B1256,'Lançamentos de despesas'!$G:$G,A1256,'Lançamentos de despesas'!$E:$E,"pago")</f>
        <v>3594.57</v>
      </c>
      <c r="E1256" s="15">
        <f t="shared" si="1"/>
        <v>2025</v>
      </c>
      <c r="F1256" s="15">
        <f t="shared" si="2"/>
        <v>6</v>
      </c>
      <c r="G1256" s="15">
        <f t="shared" si="3"/>
        <v>10</v>
      </c>
    </row>
    <row r="1257">
      <c r="A1257" s="10" t="s">
        <v>27</v>
      </c>
      <c r="B1257" s="9">
        <f t="shared" si="4"/>
        <v>45818</v>
      </c>
      <c r="C1257" s="77" t="s">
        <v>1572</v>
      </c>
      <c r="D1257" s="13">
        <f>D1254+D1255-D1256</f>
        <v>66828.169</v>
      </c>
      <c r="E1257" s="15">
        <f t="shared" si="1"/>
        <v>2025</v>
      </c>
      <c r="F1257" s="15">
        <f t="shared" si="2"/>
        <v>6</v>
      </c>
      <c r="G1257" s="15">
        <f t="shared" si="3"/>
        <v>10</v>
      </c>
    </row>
    <row r="1258">
      <c r="A1258" s="10" t="s">
        <v>27</v>
      </c>
      <c r="B1258" s="9">
        <f t="shared" si="4"/>
        <v>45819</v>
      </c>
      <c r="C1258" s="77" t="s">
        <v>1569</v>
      </c>
      <c r="D1258" s="12">
        <f>D1257</f>
        <v>66828.169</v>
      </c>
      <c r="E1258" s="15">
        <f t="shared" si="1"/>
        <v>2025</v>
      </c>
      <c r="F1258" s="15">
        <f t="shared" si="2"/>
        <v>6</v>
      </c>
      <c r="G1258" s="15">
        <f t="shared" si="3"/>
        <v>11</v>
      </c>
    </row>
    <row r="1259">
      <c r="A1259" s="10" t="s">
        <v>27</v>
      </c>
      <c r="B1259" s="9">
        <f t="shared" si="4"/>
        <v>45819</v>
      </c>
      <c r="C1259" s="77" t="s">
        <v>1570</v>
      </c>
      <c r="D1259" s="13">
        <f>SUMIFS('Lançamentos de receitas'!$E:$E,'Lançamentos de receitas'!$A:$A,B1259,'Lançamentos de receitas'!$C:$C,A1259,'Lançamentos de receitas'!$F:$F,"TRANSFERÊNCIA")</f>
        <v>101.92</v>
      </c>
      <c r="E1259" s="15">
        <f t="shared" si="1"/>
        <v>2025</v>
      </c>
      <c r="F1259" s="15">
        <f t="shared" si="2"/>
        <v>6</v>
      </c>
      <c r="G1259" s="15">
        <f t="shared" si="3"/>
        <v>11</v>
      </c>
    </row>
    <row r="1260">
      <c r="A1260" s="10" t="s">
        <v>27</v>
      </c>
      <c r="B1260" s="9">
        <f t="shared" si="4"/>
        <v>45819</v>
      </c>
      <c r="C1260" s="77" t="s">
        <v>1571</v>
      </c>
      <c r="D1260" s="13">
        <f>SUMIFS('Lançamentos de despesas'!$K:$K,'Lançamentos de despesas'!$C:$C,B1260,'Lançamentos de despesas'!$G:$G,A1260,'Lançamentos de despesas'!$E:$E,"pago")</f>
        <v>3900</v>
      </c>
      <c r="E1260" s="15">
        <f t="shared" si="1"/>
        <v>2025</v>
      </c>
      <c r="F1260" s="15">
        <f t="shared" si="2"/>
        <v>6</v>
      </c>
      <c r="G1260" s="15">
        <f t="shared" si="3"/>
        <v>11</v>
      </c>
    </row>
    <row r="1261">
      <c r="A1261" s="10" t="s">
        <v>27</v>
      </c>
      <c r="B1261" s="9">
        <f t="shared" si="4"/>
        <v>45819</v>
      </c>
      <c r="C1261" s="77" t="s">
        <v>1572</v>
      </c>
      <c r="D1261" s="13">
        <f>D1258+D1259-D1260</f>
        <v>63030.089</v>
      </c>
      <c r="E1261" s="15">
        <f t="shared" si="1"/>
        <v>2025</v>
      </c>
      <c r="F1261" s="15">
        <f t="shared" si="2"/>
        <v>6</v>
      </c>
      <c r="G1261" s="15">
        <f t="shared" si="3"/>
        <v>11</v>
      </c>
    </row>
    <row r="1262">
      <c r="A1262" s="10" t="s">
        <v>27</v>
      </c>
      <c r="B1262" s="9">
        <f t="shared" si="4"/>
        <v>45820</v>
      </c>
      <c r="C1262" s="77" t="s">
        <v>1569</v>
      </c>
      <c r="D1262" s="12">
        <f>D1261</f>
        <v>63030.089</v>
      </c>
      <c r="E1262" s="15">
        <f t="shared" si="1"/>
        <v>2025</v>
      </c>
      <c r="F1262" s="15">
        <f t="shared" si="2"/>
        <v>6</v>
      </c>
      <c r="G1262" s="15">
        <f t="shared" si="3"/>
        <v>12</v>
      </c>
    </row>
    <row r="1263">
      <c r="A1263" s="10" t="s">
        <v>27</v>
      </c>
      <c r="B1263" s="9">
        <f t="shared" si="4"/>
        <v>45820</v>
      </c>
      <c r="C1263" s="77" t="s">
        <v>1570</v>
      </c>
      <c r="D1263" s="13">
        <f>SUMIFS('Lançamentos de receitas'!$E:$E,'Lançamentos de receitas'!$A:$A,B1263,'Lançamentos de receitas'!$C:$C,A1263,'Lançamentos de receitas'!$F:$F,"TRANSFERÊNCIA")</f>
        <v>1116.12</v>
      </c>
      <c r="E1263" s="15">
        <f t="shared" si="1"/>
        <v>2025</v>
      </c>
      <c r="F1263" s="15">
        <f t="shared" si="2"/>
        <v>6</v>
      </c>
      <c r="G1263" s="15">
        <f t="shared" si="3"/>
        <v>12</v>
      </c>
    </row>
    <row r="1264">
      <c r="A1264" s="10" t="s">
        <v>27</v>
      </c>
      <c r="B1264" s="9">
        <f t="shared" si="4"/>
        <v>45820</v>
      </c>
      <c r="C1264" s="77" t="s">
        <v>1571</v>
      </c>
      <c r="D1264" s="13">
        <f>SUMIFS('Lançamentos de despesas'!$K:$K,'Lançamentos de despesas'!$C:$C,B1264,'Lançamentos de despesas'!$G:$G,A1264,'Lançamentos de despesas'!$E:$E,"pago")</f>
        <v>0</v>
      </c>
      <c r="E1264" s="15">
        <f t="shared" si="1"/>
        <v>2025</v>
      </c>
      <c r="F1264" s="15">
        <f t="shared" si="2"/>
        <v>6</v>
      </c>
      <c r="G1264" s="15">
        <f t="shared" si="3"/>
        <v>12</v>
      </c>
    </row>
    <row r="1265">
      <c r="A1265" s="10" t="s">
        <v>27</v>
      </c>
      <c r="B1265" s="9">
        <f t="shared" si="4"/>
        <v>45820</v>
      </c>
      <c r="C1265" s="77" t="s">
        <v>1572</v>
      </c>
      <c r="D1265" s="13">
        <f>D1262+D1263-D1264</f>
        <v>64146.209</v>
      </c>
      <c r="E1265" s="15">
        <f t="shared" si="1"/>
        <v>2025</v>
      </c>
      <c r="F1265" s="15">
        <f t="shared" si="2"/>
        <v>6</v>
      </c>
      <c r="G1265" s="15">
        <f t="shared" si="3"/>
        <v>12</v>
      </c>
    </row>
    <row r="1266">
      <c r="A1266" s="10" t="s">
        <v>27</v>
      </c>
      <c r="B1266" s="9">
        <f t="shared" si="4"/>
        <v>45821</v>
      </c>
      <c r="C1266" s="77" t="s">
        <v>1569</v>
      </c>
      <c r="D1266" s="12">
        <f>D1265</f>
        <v>64146.209</v>
      </c>
      <c r="E1266" s="15">
        <f t="shared" si="1"/>
        <v>2025</v>
      </c>
      <c r="F1266" s="15">
        <f t="shared" si="2"/>
        <v>6</v>
      </c>
      <c r="G1266" s="15">
        <f t="shared" si="3"/>
        <v>13</v>
      </c>
    </row>
    <row r="1267">
      <c r="A1267" s="10" t="s">
        <v>27</v>
      </c>
      <c r="B1267" s="9">
        <f t="shared" si="4"/>
        <v>45821</v>
      </c>
      <c r="C1267" s="77" t="s">
        <v>1570</v>
      </c>
      <c r="D1267" s="13">
        <f>SUMIFS('Lançamentos de receitas'!$E:$E,'Lançamentos de receitas'!$A:$A,B1267,'Lançamentos de receitas'!$C:$C,A1267,'Lançamentos de receitas'!$F:$F,"TRANSFERÊNCIA")</f>
        <v>5050.78</v>
      </c>
      <c r="E1267" s="15">
        <f t="shared" si="1"/>
        <v>2025</v>
      </c>
      <c r="F1267" s="15">
        <f t="shared" si="2"/>
        <v>6</v>
      </c>
      <c r="G1267" s="15">
        <f t="shared" si="3"/>
        <v>13</v>
      </c>
    </row>
    <row r="1268">
      <c r="A1268" s="10" t="s">
        <v>27</v>
      </c>
      <c r="B1268" s="9">
        <f t="shared" si="4"/>
        <v>45821</v>
      </c>
      <c r="C1268" s="77" t="s">
        <v>1571</v>
      </c>
      <c r="D1268" s="13">
        <f>SUMIFS('Lançamentos de despesas'!$K:$K,'Lançamentos de despesas'!$C:$C,B1268,'Lançamentos de despesas'!$G:$G,A1268,'Lançamentos de despesas'!$E:$E,"pago")</f>
        <v>780</v>
      </c>
      <c r="E1268" s="15">
        <f t="shared" si="1"/>
        <v>2025</v>
      </c>
      <c r="F1268" s="15">
        <f t="shared" si="2"/>
        <v>6</v>
      </c>
      <c r="G1268" s="15">
        <f t="shared" si="3"/>
        <v>13</v>
      </c>
    </row>
    <row r="1269">
      <c r="A1269" s="10" t="s">
        <v>27</v>
      </c>
      <c r="B1269" s="9">
        <f t="shared" si="4"/>
        <v>45821</v>
      </c>
      <c r="C1269" s="77" t="s">
        <v>1572</v>
      </c>
      <c r="D1269" s="13">
        <f>D1266+D1267-D1268</f>
        <v>68416.989</v>
      </c>
      <c r="E1269" s="15">
        <f t="shared" si="1"/>
        <v>2025</v>
      </c>
      <c r="F1269" s="15">
        <f t="shared" si="2"/>
        <v>6</v>
      </c>
      <c r="G1269" s="15">
        <f t="shared" si="3"/>
        <v>13</v>
      </c>
    </row>
    <row r="1270">
      <c r="A1270" s="10" t="s">
        <v>27</v>
      </c>
      <c r="B1270" s="9">
        <f t="shared" si="4"/>
        <v>45822</v>
      </c>
      <c r="C1270" s="77" t="s">
        <v>1569</v>
      </c>
      <c r="D1270" s="12">
        <f>D1269</f>
        <v>68416.989</v>
      </c>
      <c r="E1270" s="15">
        <f t="shared" si="1"/>
        <v>2025</v>
      </c>
      <c r="F1270" s="15">
        <f t="shared" si="2"/>
        <v>6</v>
      </c>
      <c r="G1270" s="15">
        <f t="shared" si="3"/>
        <v>14</v>
      </c>
    </row>
    <row r="1271">
      <c r="A1271" s="10" t="s">
        <v>27</v>
      </c>
      <c r="B1271" s="9">
        <f t="shared" si="4"/>
        <v>45822</v>
      </c>
      <c r="C1271" s="77" t="s">
        <v>1570</v>
      </c>
      <c r="D1271" s="13">
        <f>SUMIFS('Lançamentos de receitas'!$E:$E,'Lançamentos de receitas'!$A:$A,B1271,'Lançamentos de receitas'!$C:$C,A1271,'Lançamentos de receitas'!$F:$F,"TRANSFERÊNCIA")</f>
        <v>883.28</v>
      </c>
      <c r="E1271" s="15">
        <f t="shared" si="1"/>
        <v>2025</v>
      </c>
      <c r="F1271" s="15">
        <f t="shared" si="2"/>
        <v>6</v>
      </c>
      <c r="G1271" s="15">
        <f t="shared" si="3"/>
        <v>14</v>
      </c>
    </row>
    <row r="1272">
      <c r="A1272" s="10" t="s">
        <v>27</v>
      </c>
      <c r="B1272" s="9">
        <f t="shared" si="4"/>
        <v>45822</v>
      </c>
      <c r="C1272" s="77" t="s">
        <v>1571</v>
      </c>
      <c r="D1272" s="13">
        <f>SUMIFS('Lançamentos de despesas'!$K:$K,'Lançamentos de despesas'!$C:$C,B1272,'Lançamentos de despesas'!$G:$G,A1272,'Lançamentos de despesas'!$E:$E,"pago")</f>
        <v>0</v>
      </c>
      <c r="E1272" s="15">
        <f t="shared" si="1"/>
        <v>2025</v>
      </c>
      <c r="F1272" s="15">
        <f t="shared" si="2"/>
        <v>6</v>
      </c>
      <c r="G1272" s="15">
        <f t="shared" si="3"/>
        <v>14</v>
      </c>
    </row>
    <row r="1273">
      <c r="A1273" s="10" t="s">
        <v>27</v>
      </c>
      <c r="B1273" s="9">
        <f t="shared" si="4"/>
        <v>45822</v>
      </c>
      <c r="C1273" s="77" t="s">
        <v>1572</v>
      </c>
      <c r="D1273" s="13">
        <f>D1270+D1271-D1272</f>
        <v>69300.269</v>
      </c>
      <c r="E1273" s="15">
        <f t="shared" si="1"/>
        <v>2025</v>
      </c>
      <c r="F1273" s="15">
        <f t="shared" si="2"/>
        <v>6</v>
      </c>
      <c r="G1273" s="15">
        <f t="shared" si="3"/>
        <v>14</v>
      </c>
    </row>
    <row r="1274">
      <c r="A1274" s="10" t="s">
        <v>27</v>
      </c>
      <c r="B1274" s="9">
        <f t="shared" si="4"/>
        <v>45823</v>
      </c>
      <c r="C1274" s="77" t="s">
        <v>1569</v>
      </c>
      <c r="D1274" s="12">
        <f>D1273</f>
        <v>69300.269</v>
      </c>
      <c r="E1274" s="15">
        <f t="shared" si="1"/>
        <v>2025</v>
      </c>
      <c r="F1274" s="15">
        <f t="shared" si="2"/>
        <v>6</v>
      </c>
      <c r="G1274" s="15">
        <f t="shared" si="3"/>
        <v>15</v>
      </c>
    </row>
    <row r="1275">
      <c r="A1275" s="10" t="s">
        <v>27</v>
      </c>
      <c r="B1275" s="9">
        <f t="shared" si="4"/>
        <v>45823</v>
      </c>
      <c r="C1275" s="77" t="s">
        <v>1570</v>
      </c>
      <c r="D1275" s="13">
        <f>SUMIFS('Lançamentos de receitas'!$E:$E,'Lançamentos de receitas'!$A:$A,B1275,'Lançamentos de receitas'!$C:$C,A1275,'Lançamentos de receitas'!$F:$F,"TRANSFERÊNCIA")</f>
        <v>1429.43</v>
      </c>
      <c r="E1275" s="15">
        <f t="shared" si="1"/>
        <v>2025</v>
      </c>
      <c r="F1275" s="15">
        <f t="shared" si="2"/>
        <v>6</v>
      </c>
      <c r="G1275" s="15">
        <f t="shared" si="3"/>
        <v>15</v>
      </c>
    </row>
    <row r="1276">
      <c r="A1276" s="10" t="s">
        <v>27</v>
      </c>
      <c r="B1276" s="9">
        <f t="shared" si="4"/>
        <v>45823</v>
      </c>
      <c r="C1276" s="77" t="s">
        <v>1571</v>
      </c>
      <c r="D1276" s="13">
        <f>SUMIFS('Lançamentos de despesas'!$K:$K,'Lançamentos de despesas'!$C:$C,B1276,'Lançamentos de despesas'!$G:$G,A1276,'Lançamentos de despesas'!$E:$E,"pago")</f>
        <v>0</v>
      </c>
      <c r="E1276" s="15">
        <f t="shared" si="1"/>
        <v>2025</v>
      </c>
      <c r="F1276" s="15">
        <f t="shared" si="2"/>
        <v>6</v>
      </c>
      <c r="G1276" s="15">
        <f t="shared" si="3"/>
        <v>15</v>
      </c>
    </row>
    <row r="1277">
      <c r="A1277" s="10" t="s">
        <v>27</v>
      </c>
      <c r="B1277" s="9">
        <f t="shared" si="4"/>
        <v>45823</v>
      </c>
      <c r="C1277" s="77" t="s">
        <v>1572</v>
      </c>
      <c r="D1277" s="13">
        <f>D1274+D1275-D1276</f>
        <v>70729.699</v>
      </c>
      <c r="E1277" s="15">
        <f t="shared" si="1"/>
        <v>2025</v>
      </c>
      <c r="F1277" s="15">
        <f t="shared" si="2"/>
        <v>6</v>
      </c>
      <c r="G1277" s="15">
        <f t="shared" si="3"/>
        <v>15</v>
      </c>
    </row>
    <row r="1278">
      <c r="A1278" s="10" t="s">
        <v>27</v>
      </c>
      <c r="B1278" s="9">
        <f t="shared" si="4"/>
        <v>45824</v>
      </c>
      <c r="C1278" s="77" t="s">
        <v>1569</v>
      </c>
      <c r="D1278" s="12">
        <f>D1277</f>
        <v>70729.699</v>
      </c>
      <c r="E1278" s="15">
        <f t="shared" si="1"/>
        <v>2025</v>
      </c>
      <c r="F1278" s="15">
        <f t="shared" si="2"/>
        <v>6</v>
      </c>
      <c r="G1278" s="15">
        <f t="shared" si="3"/>
        <v>16</v>
      </c>
    </row>
    <row r="1279">
      <c r="A1279" s="10" t="s">
        <v>27</v>
      </c>
      <c r="B1279" s="9">
        <f t="shared" si="4"/>
        <v>45824</v>
      </c>
      <c r="C1279" s="77" t="s">
        <v>1570</v>
      </c>
      <c r="D1279" s="13">
        <f>SUMIFS('Lançamentos de receitas'!$E:$E,'Lançamentos de receitas'!$A:$A,B1279,'Lançamentos de receitas'!$C:$C,A1279,'Lançamentos de receitas'!$F:$F,"TRANSFERÊNCIA")</f>
        <v>17109.35</v>
      </c>
      <c r="E1279" s="15">
        <f t="shared" si="1"/>
        <v>2025</v>
      </c>
      <c r="F1279" s="15">
        <f t="shared" si="2"/>
        <v>6</v>
      </c>
      <c r="G1279" s="15">
        <f t="shared" si="3"/>
        <v>16</v>
      </c>
    </row>
    <row r="1280">
      <c r="A1280" s="10" t="s">
        <v>27</v>
      </c>
      <c r="B1280" s="9">
        <f t="shared" si="4"/>
        <v>45824</v>
      </c>
      <c r="C1280" s="77" t="s">
        <v>1571</v>
      </c>
      <c r="D1280" s="13">
        <f>SUMIFS('Lançamentos de despesas'!$K:$K,'Lançamentos de despesas'!$C:$C,B1280,'Lançamentos de despesas'!$G:$G,A1280,'Lançamentos de despesas'!$E:$E,"pago")</f>
        <v>9231.78</v>
      </c>
      <c r="E1280" s="15">
        <f t="shared" si="1"/>
        <v>2025</v>
      </c>
      <c r="F1280" s="15">
        <f t="shared" si="2"/>
        <v>6</v>
      </c>
      <c r="G1280" s="15">
        <f t="shared" si="3"/>
        <v>16</v>
      </c>
    </row>
    <row r="1281">
      <c r="A1281" s="10" t="s">
        <v>27</v>
      </c>
      <c r="B1281" s="9">
        <f t="shared" si="4"/>
        <v>45824</v>
      </c>
      <c r="C1281" s="77" t="s">
        <v>1572</v>
      </c>
      <c r="D1281" s="13">
        <f>D1278+D1279-D1280</f>
        <v>78607.269</v>
      </c>
      <c r="E1281" s="15">
        <f t="shared" si="1"/>
        <v>2025</v>
      </c>
      <c r="F1281" s="15">
        <f t="shared" si="2"/>
        <v>6</v>
      </c>
      <c r="G1281" s="15">
        <f t="shared" si="3"/>
        <v>16</v>
      </c>
    </row>
    <row r="1282">
      <c r="A1282" s="10" t="s">
        <v>27</v>
      </c>
      <c r="B1282" s="9">
        <f t="shared" si="4"/>
        <v>45825</v>
      </c>
      <c r="C1282" s="77" t="s">
        <v>1569</v>
      </c>
      <c r="D1282" s="12">
        <f>D1281</f>
        <v>78607.269</v>
      </c>
      <c r="E1282" s="15">
        <f t="shared" si="1"/>
        <v>2025</v>
      </c>
      <c r="F1282" s="15">
        <f t="shared" si="2"/>
        <v>6</v>
      </c>
      <c r="G1282" s="15">
        <f t="shared" si="3"/>
        <v>17</v>
      </c>
    </row>
    <row r="1283">
      <c r="A1283" s="10" t="s">
        <v>27</v>
      </c>
      <c r="B1283" s="9">
        <f t="shared" si="4"/>
        <v>45825</v>
      </c>
      <c r="C1283" s="77" t="s">
        <v>1570</v>
      </c>
      <c r="D1283" s="13">
        <f>SUMIFS('Lançamentos de receitas'!$E:$E,'Lançamentos de receitas'!$A:$A,B1283,'Lançamentos de receitas'!$C:$C,A1283,'Lançamentos de receitas'!$F:$F,"TRANSFERÊNCIA")</f>
        <v>1405.1</v>
      </c>
      <c r="E1283" s="15">
        <f t="shared" si="1"/>
        <v>2025</v>
      </c>
      <c r="F1283" s="15">
        <f t="shared" si="2"/>
        <v>6</v>
      </c>
      <c r="G1283" s="15">
        <f t="shared" si="3"/>
        <v>17</v>
      </c>
    </row>
    <row r="1284">
      <c r="A1284" s="10" t="s">
        <v>27</v>
      </c>
      <c r="B1284" s="9">
        <f t="shared" si="4"/>
        <v>45825</v>
      </c>
      <c r="C1284" s="77" t="s">
        <v>1571</v>
      </c>
      <c r="D1284" s="13">
        <f>SUMIFS('Lançamentos de despesas'!$K:$K,'Lançamentos de despesas'!$C:$C,B1284,'Lançamentos de despesas'!$G:$G,A1284,'Lançamentos de despesas'!$E:$E,"pago")</f>
        <v>863.97</v>
      </c>
      <c r="E1284" s="15">
        <f t="shared" si="1"/>
        <v>2025</v>
      </c>
      <c r="F1284" s="15">
        <f t="shared" si="2"/>
        <v>6</v>
      </c>
      <c r="G1284" s="15">
        <f t="shared" si="3"/>
        <v>17</v>
      </c>
    </row>
    <row r="1285">
      <c r="A1285" s="10" t="s">
        <v>27</v>
      </c>
      <c r="B1285" s="9">
        <f t="shared" si="4"/>
        <v>45825</v>
      </c>
      <c r="C1285" s="77" t="s">
        <v>1572</v>
      </c>
      <c r="D1285" s="13">
        <f>D1282+D1283-D1284</f>
        <v>79148.399</v>
      </c>
      <c r="E1285" s="15">
        <f t="shared" si="1"/>
        <v>2025</v>
      </c>
      <c r="F1285" s="15">
        <f t="shared" si="2"/>
        <v>6</v>
      </c>
      <c r="G1285" s="15">
        <f t="shared" si="3"/>
        <v>17</v>
      </c>
    </row>
    <row r="1286">
      <c r="A1286" s="10" t="s">
        <v>27</v>
      </c>
      <c r="B1286" s="9">
        <f t="shared" si="4"/>
        <v>45826</v>
      </c>
      <c r="C1286" s="77" t="s">
        <v>1569</v>
      </c>
      <c r="D1286" s="12">
        <f>D1285</f>
        <v>79148.399</v>
      </c>
      <c r="E1286" s="15">
        <f t="shared" si="1"/>
        <v>2025</v>
      </c>
      <c r="F1286" s="15">
        <f t="shared" si="2"/>
        <v>6</v>
      </c>
      <c r="G1286" s="15">
        <f t="shared" si="3"/>
        <v>18</v>
      </c>
    </row>
    <row r="1287">
      <c r="A1287" s="10" t="s">
        <v>27</v>
      </c>
      <c r="B1287" s="9">
        <f t="shared" si="4"/>
        <v>45826</v>
      </c>
      <c r="C1287" s="77" t="s">
        <v>1570</v>
      </c>
      <c r="D1287" s="13">
        <f>SUMIFS('Lançamentos de receitas'!$E:$E,'Lançamentos de receitas'!$A:$A,B1287,'Lançamentos de receitas'!$C:$C,A1287,'Lançamentos de receitas'!$F:$F,"TRANSFERÊNCIA")</f>
        <v>1105.51</v>
      </c>
      <c r="E1287" s="15">
        <f t="shared" si="1"/>
        <v>2025</v>
      </c>
      <c r="F1287" s="15">
        <f t="shared" si="2"/>
        <v>6</v>
      </c>
      <c r="G1287" s="15">
        <f t="shared" si="3"/>
        <v>18</v>
      </c>
    </row>
    <row r="1288">
      <c r="A1288" s="10" t="s">
        <v>27</v>
      </c>
      <c r="B1288" s="9">
        <f t="shared" si="4"/>
        <v>45826</v>
      </c>
      <c r="C1288" s="77" t="s">
        <v>1571</v>
      </c>
      <c r="D1288" s="13">
        <f>SUMIFS('Lançamentos de despesas'!$K:$K,'Lançamentos de despesas'!$C:$C,B1288,'Lançamentos de despesas'!$G:$G,A1288,'Lançamentos de despesas'!$E:$E,"pago")</f>
        <v>4803.89</v>
      </c>
      <c r="E1288" s="15">
        <f t="shared" si="1"/>
        <v>2025</v>
      </c>
      <c r="F1288" s="15">
        <f t="shared" si="2"/>
        <v>6</v>
      </c>
      <c r="G1288" s="15">
        <f t="shared" si="3"/>
        <v>18</v>
      </c>
    </row>
    <row r="1289">
      <c r="A1289" s="10" t="s">
        <v>27</v>
      </c>
      <c r="B1289" s="9">
        <f t="shared" si="4"/>
        <v>45826</v>
      </c>
      <c r="C1289" s="77" t="s">
        <v>1572</v>
      </c>
      <c r="D1289" s="13">
        <f>D1286+D1287-D1288</f>
        <v>75450.019</v>
      </c>
      <c r="E1289" s="15">
        <f t="shared" si="1"/>
        <v>2025</v>
      </c>
      <c r="F1289" s="15">
        <f t="shared" si="2"/>
        <v>6</v>
      </c>
      <c r="G1289" s="15">
        <f t="shared" si="3"/>
        <v>18</v>
      </c>
    </row>
    <row r="1290">
      <c r="A1290" s="10" t="s">
        <v>27</v>
      </c>
      <c r="B1290" s="9">
        <f t="shared" si="4"/>
        <v>45827</v>
      </c>
      <c r="C1290" s="77" t="s">
        <v>1569</v>
      </c>
      <c r="D1290" s="12">
        <f>D1289</f>
        <v>75450.019</v>
      </c>
      <c r="E1290" s="15">
        <f t="shared" si="1"/>
        <v>2025</v>
      </c>
      <c r="F1290" s="15">
        <f t="shared" si="2"/>
        <v>6</v>
      </c>
      <c r="G1290" s="15">
        <f t="shared" si="3"/>
        <v>19</v>
      </c>
    </row>
    <row r="1291">
      <c r="A1291" s="10" t="s">
        <v>27</v>
      </c>
      <c r="B1291" s="9">
        <f t="shared" si="4"/>
        <v>45827</v>
      </c>
      <c r="C1291" s="77" t="s">
        <v>1570</v>
      </c>
      <c r="D1291" s="13">
        <f>SUMIFS('Lançamentos de receitas'!$E:$E,'Lançamentos de receitas'!$A:$A,B1291,'Lançamentos de receitas'!$C:$C,A1291,'Lançamentos de receitas'!$F:$F,"TRANSFERÊNCIA")</f>
        <v>1135.81</v>
      </c>
      <c r="E1291" s="15">
        <f t="shared" si="1"/>
        <v>2025</v>
      </c>
      <c r="F1291" s="15">
        <f t="shared" si="2"/>
        <v>6</v>
      </c>
      <c r="G1291" s="15">
        <f t="shared" si="3"/>
        <v>19</v>
      </c>
    </row>
    <row r="1292">
      <c r="A1292" s="10" t="s">
        <v>27</v>
      </c>
      <c r="B1292" s="9">
        <f t="shared" si="4"/>
        <v>45827</v>
      </c>
      <c r="C1292" s="77" t="s">
        <v>1571</v>
      </c>
      <c r="D1292" s="13">
        <f>SUMIFS('Lançamentos de despesas'!$K:$K,'Lançamentos de despesas'!$C:$C,B1292,'Lançamentos de despesas'!$G:$G,A1292,'Lançamentos de despesas'!$E:$E,"pago")</f>
        <v>16402</v>
      </c>
      <c r="E1292" s="15">
        <f t="shared" si="1"/>
        <v>2025</v>
      </c>
      <c r="F1292" s="15">
        <f t="shared" si="2"/>
        <v>6</v>
      </c>
      <c r="G1292" s="15">
        <f t="shared" si="3"/>
        <v>19</v>
      </c>
    </row>
    <row r="1293">
      <c r="A1293" s="10" t="s">
        <v>27</v>
      </c>
      <c r="B1293" s="9">
        <f t="shared" si="4"/>
        <v>45827</v>
      </c>
      <c r="C1293" s="77" t="s">
        <v>1572</v>
      </c>
      <c r="D1293" s="13">
        <f>D1290+D1291-D1292</f>
        <v>60183.829</v>
      </c>
      <c r="E1293" s="15">
        <f t="shared" si="1"/>
        <v>2025</v>
      </c>
      <c r="F1293" s="15">
        <f t="shared" si="2"/>
        <v>6</v>
      </c>
      <c r="G1293" s="15">
        <f t="shared" si="3"/>
        <v>19</v>
      </c>
    </row>
    <row r="1294">
      <c r="A1294" s="10" t="s">
        <v>27</v>
      </c>
      <c r="B1294" s="9">
        <f t="shared" si="4"/>
        <v>45828</v>
      </c>
      <c r="C1294" s="77" t="s">
        <v>1569</v>
      </c>
      <c r="D1294" s="12">
        <f>D1293</f>
        <v>60183.829</v>
      </c>
      <c r="E1294" s="15">
        <f t="shared" si="1"/>
        <v>2025</v>
      </c>
      <c r="F1294" s="15">
        <f t="shared" si="2"/>
        <v>6</v>
      </c>
      <c r="G1294" s="15">
        <f t="shared" si="3"/>
        <v>20</v>
      </c>
    </row>
    <row r="1295">
      <c r="A1295" s="10" t="s">
        <v>27</v>
      </c>
      <c r="B1295" s="9">
        <f t="shared" si="4"/>
        <v>45828</v>
      </c>
      <c r="C1295" s="77" t="s">
        <v>1570</v>
      </c>
      <c r="D1295" s="13">
        <f>SUMIFS('Lançamentos de receitas'!$E:$E,'Lançamentos de receitas'!$A:$A,B1295,'Lançamentos de receitas'!$C:$C,A1295,'Lançamentos de receitas'!$F:$F,"TRANSFERÊNCIA")</f>
        <v>2968.34</v>
      </c>
      <c r="E1295" s="15">
        <f t="shared" si="1"/>
        <v>2025</v>
      </c>
      <c r="F1295" s="15">
        <f t="shared" si="2"/>
        <v>6</v>
      </c>
      <c r="G1295" s="15">
        <f t="shared" si="3"/>
        <v>20</v>
      </c>
    </row>
    <row r="1296">
      <c r="A1296" s="10" t="s">
        <v>27</v>
      </c>
      <c r="B1296" s="9">
        <f t="shared" si="4"/>
        <v>45828</v>
      </c>
      <c r="C1296" s="77" t="s">
        <v>1571</v>
      </c>
      <c r="D1296" s="13">
        <f>SUMIFS('Lançamentos de despesas'!$K:$K,'Lançamentos de despesas'!$C:$C,B1296,'Lançamentos de despesas'!$G:$G,A1296,'Lançamentos de despesas'!$E:$E,"pago")</f>
        <v>24025.95</v>
      </c>
      <c r="E1296" s="15">
        <f t="shared" si="1"/>
        <v>2025</v>
      </c>
      <c r="F1296" s="15">
        <f t="shared" si="2"/>
        <v>6</v>
      </c>
      <c r="G1296" s="15">
        <f t="shared" si="3"/>
        <v>20</v>
      </c>
    </row>
    <row r="1297">
      <c r="A1297" s="10" t="s">
        <v>27</v>
      </c>
      <c r="B1297" s="9">
        <f t="shared" si="4"/>
        <v>45828</v>
      </c>
      <c r="C1297" s="77" t="s">
        <v>1572</v>
      </c>
      <c r="D1297" s="13">
        <f>D1294+D1295-D1296</f>
        <v>39126.219</v>
      </c>
      <c r="E1297" s="15">
        <f t="shared" si="1"/>
        <v>2025</v>
      </c>
      <c r="F1297" s="15">
        <f t="shared" si="2"/>
        <v>6</v>
      </c>
      <c r="G1297" s="15">
        <f t="shared" si="3"/>
        <v>20</v>
      </c>
    </row>
    <row r="1298">
      <c r="A1298" s="10" t="s">
        <v>27</v>
      </c>
      <c r="B1298" s="9">
        <f t="shared" si="4"/>
        <v>45829</v>
      </c>
      <c r="C1298" s="77" t="s">
        <v>1569</v>
      </c>
      <c r="D1298" s="12">
        <f>D1297</f>
        <v>39126.219</v>
      </c>
      <c r="E1298" s="15">
        <f t="shared" si="1"/>
        <v>2025</v>
      </c>
      <c r="F1298" s="15">
        <f t="shared" si="2"/>
        <v>6</v>
      </c>
      <c r="G1298" s="15">
        <f t="shared" si="3"/>
        <v>21</v>
      </c>
    </row>
    <row r="1299">
      <c r="A1299" s="10" t="s">
        <v>27</v>
      </c>
      <c r="B1299" s="9">
        <f t="shared" si="4"/>
        <v>45829</v>
      </c>
      <c r="C1299" s="77" t="s">
        <v>1570</v>
      </c>
      <c r="D1299" s="13">
        <f>SUMIFS('Lançamentos de receitas'!$E:$E,'Lançamentos de receitas'!$A:$A,B1299,'Lançamentos de receitas'!$C:$C,A1299,'Lançamentos de receitas'!$F:$F,"TRANSFERÊNCIA")</f>
        <v>830.84</v>
      </c>
      <c r="E1299" s="15">
        <f t="shared" si="1"/>
        <v>2025</v>
      </c>
      <c r="F1299" s="15">
        <f t="shared" si="2"/>
        <v>6</v>
      </c>
      <c r="G1299" s="15">
        <f t="shared" si="3"/>
        <v>21</v>
      </c>
    </row>
    <row r="1300">
      <c r="A1300" s="10" t="s">
        <v>27</v>
      </c>
      <c r="B1300" s="9">
        <f t="shared" si="4"/>
        <v>45829</v>
      </c>
      <c r="C1300" s="77" t="s">
        <v>1571</v>
      </c>
      <c r="D1300" s="13">
        <f>SUMIFS('Lançamentos de despesas'!$K:$K,'Lançamentos de despesas'!$C:$C,B1300,'Lançamentos de despesas'!$G:$G,A1300,'Lançamentos de despesas'!$E:$E,"pago")</f>
        <v>0</v>
      </c>
      <c r="E1300" s="15">
        <f t="shared" si="1"/>
        <v>2025</v>
      </c>
      <c r="F1300" s="15">
        <f t="shared" si="2"/>
        <v>6</v>
      </c>
      <c r="G1300" s="15">
        <f t="shared" si="3"/>
        <v>21</v>
      </c>
    </row>
    <row r="1301">
      <c r="A1301" s="10" t="s">
        <v>27</v>
      </c>
      <c r="B1301" s="9">
        <f t="shared" si="4"/>
        <v>45829</v>
      </c>
      <c r="C1301" s="77" t="s">
        <v>1572</v>
      </c>
      <c r="D1301" s="13">
        <f>D1298+D1299-D1300</f>
        <v>39957.059</v>
      </c>
      <c r="E1301" s="15">
        <f t="shared" si="1"/>
        <v>2025</v>
      </c>
      <c r="F1301" s="15">
        <f t="shared" si="2"/>
        <v>6</v>
      </c>
      <c r="G1301" s="15">
        <f t="shared" si="3"/>
        <v>21</v>
      </c>
    </row>
    <row r="1302">
      <c r="A1302" s="10" t="s">
        <v>27</v>
      </c>
      <c r="B1302" s="9">
        <f t="shared" si="4"/>
        <v>45830</v>
      </c>
      <c r="C1302" s="77" t="s">
        <v>1569</v>
      </c>
      <c r="D1302" s="12">
        <f>D1301</f>
        <v>39957.059</v>
      </c>
      <c r="E1302" s="15">
        <f t="shared" si="1"/>
        <v>2025</v>
      </c>
      <c r="F1302" s="15">
        <f t="shared" si="2"/>
        <v>6</v>
      </c>
      <c r="G1302" s="15">
        <f t="shared" si="3"/>
        <v>22</v>
      </c>
    </row>
    <row r="1303">
      <c r="A1303" s="10" t="s">
        <v>27</v>
      </c>
      <c r="B1303" s="9">
        <f t="shared" si="4"/>
        <v>45830</v>
      </c>
      <c r="C1303" s="77" t="s">
        <v>1570</v>
      </c>
      <c r="D1303" s="13">
        <f>SUMIFS('Lançamentos de receitas'!$E:$E,'Lançamentos de receitas'!$A:$A,B1303,'Lançamentos de receitas'!$C:$C,A1303,'Lançamentos de receitas'!$F:$F,"TRANSFERÊNCIA")</f>
        <v>965.48</v>
      </c>
      <c r="E1303" s="15">
        <f t="shared" si="1"/>
        <v>2025</v>
      </c>
      <c r="F1303" s="15">
        <f t="shared" si="2"/>
        <v>6</v>
      </c>
      <c r="G1303" s="15">
        <f t="shared" si="3"/>
        <v>22</v>
      </c>
    </row>
    <row r="1304">
      <c r="A1304" s="10" t="s">
        <v>27</v>
      </c>
      <c r="B1304" s="9">
        <f t="shared" si="4"/>
        <v>45830</v>
      </c>
      <c r="C1304" s="77" t="s">
        <v>1571</v>
      </c>
      <c r="D1304" s="13">
        <f>SUMIFS('Lançamentos de despesas'!$K:$K,'Lançamentos de despesas'!$C:$C,B1304,'Lançamentos de despesas'!$G:$G,A1304,'Lançamentos de despesas'!$E:$E,"pago")</f>
        <v>0</v>
      </c>
      <c r="E1304" s="15">
        <f t="shared" si="1"/>
        <v>2025</v>
      </c>
      <c r="F1304" s="15">
        <f t="shared" si="2"/>
        <v>6</v>
      </c>
      <c r="G1304" s="15">
        <f t="shared" si="3"/>
        <v>22</v>
      </c>
    </row>
    <row r="1305">
      <c r="A1305" s="10" t="s">
        <v>27</v>
      </c>
      <c r="B1305" s="9">
        <f t="shared" si="4"/>
        <v>45830</v>
      </c>
      <c r="C1305" s="77" t="s">
        <v>1572</v>
      </c>
      <c r="D1305" s="13">
        <f>D1302+D1303-D1304</f>
        <v>40922.539</v>
      </c>
      <c r="E1305" s="15">
        <f t="shared" si="1"/>
        <v>2025</v>
      </c>
      <c r="F1305" s="15">
        <f t="shared" si="2"/>
        <v>6</v>
      </c>
      <c r="G1305" s="15">
        <f t="shared" si="3"/>
        <v>22</v>
      </c>
    </row>
    <row r="1306">
      <c r="A1306" s="10" t="s">
        <v>27</v>
      </c>
      <c r="B1306" s="9">
        <f t="shared" si="4"/>
        <v>45831</v>
      </c>
      <c r="C1306" s="77" t="s">
        <v>1569</v>
      </c>
      <c r="D1306" s="12">
        <f>D1305</f>
        <v>40922.539</v>
      </c>
      <c r="E1306" s="15">
        <f t="shared" si="1"/>
        <v>2025</v>
      </c>
      <c r="F1306" s="15">
        <f t="shared" si="2"/>
        <v>6</v>
      </c>
      <c r="G1306" s="15">
        <f t="shared" si="3"/>
        <v>23</v>
      </c>
    </row>
    <row r="1307">
      <c r="A1307" s="10" t="s">
        <v>27</v>
      </c>
      <c r="B1307" s="9">
        <f t="shared" si="4"/>
        <v>45831</v>
      </c>
      <c r="C1307" s="77" t="s">
        <v>1570</v>
      </c>
      <c r="D1307" s="13">
        <f>SUMIFS('Lançamentos de receitas'!$E:$E,'Lançamentos de receitas'!$A:$A,B1307,'Lançamentos de receitas'!$C:$C,A1307,'Lançamentos de receitas'!$F:$F,"TRANSFERÊNCIA")</f>
        <v>516.43</v>
      </c>
      <c r="E1307" s="15">
        <f t="shared" si="1"/>
        <v>2025</v>
      </c>
      <c r="F1307" s="15">
        <f t="shared" si="2"/>
        <v>6</v>
      </c>
      <c r="G1307" s="15">
        <f t="shared" si="3"/>
        <v>23</v>
      </c>
    </row>
    <row r="1308">
      <c r="A1308" s="10" t="s">
        <v>27</v>
      </c>
      <c r="B1308" s="9">
        <f t="shared" si="4"/>
        <v>45831</v>
      </c>
      <c r="C1308" s="77" t="s">
        <v>1571</v>
      </c>
      <c r="D1308" s="13">
        <f>SUMIFS('Lançamentos de despesas'!$K:$K,'Lançamentos de despesas'!$C:$C,B1308,'Lançamentos de despesas'!$G:$G,A1308,'Lançamentos de despesas'!$E:$E,"pago")</f>
        <v>5574.52</v>
      </c>
      <c r="E1308" s="15">
        <f t="shared" si="1"/>
        <v>2025</v>
      </c>
      <c r="F1308" s="15">
        <f t="shared" si="2"/>
        <v>6</v>
      </c>
      <c r="G1308" s="15">
        <f t="shared" si="3"/>
        <v>23</v>
      </c>
    </row>
    <row r="1309">
      <c r="A1309" s="10" t="s">
        <v>27</v>
      </c>
      <c r="B1309" s="9">
        <f t="shared" si="4"/>
        <v>45831</v>
      </c>
      <c r="C1309" s="77" t="s">
        <v>1572</v>
      </c>
      <c r="D1309" s="13">
        <f>D1306+D1307-D1308</f>
        <v>35864.449</v>
      </c>
      <c r="E1309" s="15">
        <f t="shared" si="1"/>
        <v>2025</v>
      </c>
      <c r="F1309" s="15">
        <f t="shared" si="2"/>
        <v>6</v>
      </c>
      <c r="G1309" s="15">
        <f t="shared" si="3"/>
        <v>23</v>
      </c>
    </row>
    <row r="1310">
      <c r="A1310" s="10" t="s">
        <v>27</v>
      </c>
      <c r="B1310" s="9">
        <f t="shared" si="4"/>
        <v>45832</v>
      </c>
      <c r="C1310" s="77" t="s">
        <v>1569</v>
      </c>
      <c r="D1310" s="12">
        <f>D1309</f>
        <v>35864.449</v>
      </c>
      <c r="E1310" s="15">
        <f t="shared" si="1"/>
        <v>2025</v>
      </c>
      <c r="F1310" s="15">
        <f t="shared" si="2"/>
        <v>6</v>
      </c>
      <c r="G1310" s="15">
        <f t="shared" si="3"/>
        <v>24</v>
      </c>
    </row>
    <row r="1311">
      <c r="A1311" s="10" t="s">
        <v>27</v>
      </c>
      <c r="B1311" s="9">
        <f t="shared" si="4"/>
        <v>45832</v>
      </c>
      <c r="C1311" s="77" t="s">
        <v>1570</v>
      </c>
      <c r="D1311" s="13">
        <f>SUMIFS('Lançamentos de receitas'!$E:$E,'Lançamentos de receitas'!$A:$A,B1311,'Lançamentos de receitas'!$C:$C,A1311,'Lançamentos de receitas'!$F:$F,"TRANSFERÊNCIA")</f>
        <v>1460.45</v>
      </c>
      <c r="E1311" s="15">
        <f t="shared" si="1"/>
        <v>2025</v>
      </c>
      <c r="F1311" s="15">
        <f t="shared" si="2"/>
        <v>6</v>
      </c>
      <c r="G1311" s="15">
        <f t="shared" si="3"/>
        <v>24</v>
      </c>
    </row>
    <row r="1312">
      <c r="A1312" s="10" t="s">
        <v>27</v>
      </c>
      <c r="B1312" s="9">
        <f t="shared" si="4"/>
        <v>45832</v>
      </c>
      <c r="C1312" s="77" t="s">
        <v>1571</v>
      </c>
      <c r="D1312" s="13">
        <f>SUMIFS('Lançamentos de despesas'!$K:$K,'Lançamentos de despesas'!$C:$C,B1312,'Lançamentos de despesas'!$G:$G,A1312,'Lançamentos de despesas'!$E:$E,"pago")</f>
        <v>5452.68</v>
      </c>
      <c r="E1312" s="15">
        <f t="shared" si="1"/>
        <v>2025</v>
      </c>
      <c r="F1312" s="15">
        <f t="shared" si="2"/>
        <v>6</v>
      </c>
      <c r="G1312" s="15">
        <f t="shared" si="3"/>
        <v>24</v>
      </c>
    </row>
    <row r="1313">
      <c r="A1313" s="10" t="s">
        <v>27</v>
      </c>
      <c r="B1313" s="9">
        <f t="shared" si="4"/>
        <v>45832</v>
      </c>
      <c r="C1313" s="77" t="s">
        <v>1572</v>
      </c>
      <c r="D1313" s="13">
        <f>D1310+D1311-D1312</f>
        <v>31872.219</v>
      </c>
      <c r="E1313" s="15">
        <f t="shared" si="1"/>
        <v>2025</v>
      </c>
      <c r="F1313" s="15">
        <f t="shared" si="2"/>
        <v>6</v>
      </c>
      <c r="G1313" s="15">
        <f t="shared" si="3"/>
        <v>24</v>
      </c>
    </row>
    <row r="1314">
      <c r="A1314" s="10" t="s">
        <v>27</v>
      </c>
      <c r="B1314" s="9">
        <f t="shared" si="4"/>
        <v>45833</v>
      </c>
      <c r="C1314" s="77" t="s">
        <v>1569</v>
      </c>
      <c r="D1314" s="12">
        <f>D1313</f>
        <v>31872.219</v>
      </c>
      <c r="E1314" s="15">
        <f t="shared" si="1"/>
        <v>2025</v>
      </c>
      <c r="F1314" s="15">
        <f t="shared" si="2"/>
        <v>6</v>
      </c>
      <c r="G1314" s="15">
        <f t="shared" si="3"/>
        <v>25</v>
      </c>
    </row>
    <row r="1315">
      <c r="A1315" s="10" t="s">
        <v>27</v>
      </c>
      <c r="B1315" s="9">
        <f t="shared" si="4"/>
        <v>45833</v>
      </c>
      <c r="C1315" s="77" t="s">
        <v>1570</v>
      </c>
      <c r="D1315" s="13">
        <f>SUMIFS('Lançamentos de receitas'!$E:$E,'Lançamentos de receitas'!$A:$A,B1315,'Lançamentos de receitas'!$C:$C,A1315,'Lançamentos de receitas'!$F:$F,"TRANSFERÊNCIA")</f>
        <v>1533.04</v>
      </c>
      <c r="E1315" s="15">
        <f t="shared" si="1"/>
        <v>2025</v>
      </c>
      <c r="F1315" s="15">
        <f t="shared" si="2"/>
        <v>6</v>
      </c>
      <c r="G1315" s="15">
        <f t="shared" si="3"/>
        <v>25</v>
      </c>
    </row>
    <row r="1316">
      <c r="A1316" s="10" t="s">
        <v>27</v>
      </c>
      <c r="B1316" s="9">
        <f t="shared" si="4"/>
        <v>45833</v>
      </c>
      <c r="C1316" s="77" t="s">
        <v>1571</v>
      </c>
      <c r="D1316" s="13">
        <f>SUMIFS('Lançamentos de despesas'!$K:$K,'Lançamentos de despesas'!$C:$C,B1316,'Lançamentos de despesas'!$G:$G,A1316,'Lançamentos de despesas'!$E:$E,"pago")</f>
        <v>1473.39</v>
      </c>
      <c r="E1316" s="15">
        <f t="shared" si="1"/>
        <v>2025</v>
      </c>
      <c r="F1316" s="15">
        <f t="shared" si="2"/>
        <v>6</v>
      </c>
      <c r="G1316" s="15">
        <f t="shared" si="3"/>
        <v>25</v>
      </c>
    </row>
    <row r="1317">
      <c r="A1317" s="10" t="s">
        <v>27</v>
      </c>
      <c r="B1317" s="9">
        <f t="shared" si="4"/>
        <v>45833</v>
      </c>
      <c r="C1317" s="77" t="s">
        <v>1572</v>
      </c>
      <c r="D1317" s="13">
        <f>D1314+D1315-D1316</f>
        <v>31931.869</v>
      </c>
      <c r="E1317" s="15">
        <f t="shared" si="1"/>
        <v>2025</v>
      </c>
      <c r="F1317" s="15">
        <f t="shared" si="2"/>
        <v>6</v>
      </c>
      <c r="G1317" s="15">
        <f t="shared" si="3"/>
        <v>25</v>
      </c>
    </row>
    <row r="1318">
      <c r="A1318" s="10" t="s">
        <v>27</v>
      </c>
      <c r="B1318" s="9">
        <f t="shared" si="4"/>
        <v>45834</v>
      </c>
      <c r="C1318" s="77" t="s">
        <v>1569</v>
      </c>
      <c r="D1318" s="12">
        <f>D1317</f>
        <v>31931.869</v>
      </c>
      <c r="E1318" s="15">
        <f t="shared" si="1"/>
        <v>2025</v>
      </c>
      <c r="F1318" s="15">
        <f t="shared" si="2"/>
        <v>6</v>
      </c>
      <c r="G1318" s="15">
        <f t="shared" si="3"/>
        <v>26</v>
      </c>
    </row>
    <row r="1319">
      <c r="A1319" s="10" t="s">
        <v>27</v>
      </c>
      <c r="B1319" s="9">
        <f t="shared" si="4"/>
        <v>45834</v>
      </c>
      <c r="C1319" s="77" t="s">
        <v>1570</v>
      </c>
      <c r="D1319" s="13">
        <f>SUMIFS('Lançamentos de receitas'!$E:$E,'Lançamentos de receitas'!$A:$A,B1319,'Lançamentos de receitas'!$C:$C,A1319,'Lançamentos de receitas'!$F:$F,"TRANSFERÊNCIA")</f>
        <v>1072.58</v>
      </c>
      <c r="E1319" s="15">
        <f t="shared" si="1"/>
        <v>2025</v>
      </c>
      <c r="F1319" s="15">
        <f t="shared" si="2"/>
        <v>6</v>
      </c>
      <c r="G1319" s="15">
        <f t="shared" si="3"/>
        <v>26</v>
      </c>
    </row>
    <row r="1320">
      <c r="A1320" s="10" t="s">
        <v>27</v>
      </c>
      <c r="B1320" s="9">
        <f t="shared" si="4"/>
        <v>45834</v>
      </c>
      <c r="C1320" s="77" t="s">
        <v>1571</v>
      </c>
      <c r="D1320" s="13">
        <f>SUMIFS('Lançamentos de despesas'!$K:$K,'Lançamentos de despesas'!$C:$C,B1320,'Lançamentos de despesas'!$G:$G,A1320,'Lançamentos de despesas'!$E:$E,"pago")</f>
        <v>4200</v>
      </c>
      <c r="E1320" s="15">
        <f t="shared" si="1"/>
        <v>2025</v>
      </c>
      <c r="F1320" s="15">
        <f t="shared" si="2"/>
        <v>6</v>
      </c>
      <c r="G1320" s="15">
        <f t="shared" si="3"/>
        <v>26</v>
      </c>
    </row>
    <row r="1321">
      <c r="A1321" s="10" t="s">
        <v>27</v>
      </c>
      <c r="B1321" s="9">
        <f t="shared" si="4"/>
        <v>45834</v>
      </c>
      <c r="C1321" s="77" t="s">
        <v>1572</v>
      </c>
      <c r="D1321" s="13">
        <f>D1318+D1319-D1320</f>
        <v>28804.449</v>
      </c>
      <c r="E1321" s="15">
        <f t="shared" si="1"/>
        <v>2025</v>
      </c>
      <c r="F1321" s="15">
        <f t="shared" si="2"/>
        <v>6</v>
      </c>
      <c r="G1321" s="15">
        <f t="shared" si="3"/>
        <v>26</v>
      </c>
    </row>
    <row r="1322">
      <c r="A1322" s="10" t="s">
        <v>27</v>
      </c>
      <c r="B1322" s="9">
        <f t="shared" si="4"/>
        <v>45835</v>
      </c>
      <c r="C1322" s="77" t="s">
        <v>1569</v>
      </c>
      <c r="D1322" s="12">
        <f>D1321</f>
        <v>28804.449</v>
      </c>
      <c r="E1322" s="15">
        <f t="shared" si="1"/>
        <v>2025</v>
      </c>
      <c r="F1322" s="15">
        <f t="shared" si="2"/>
        <v>6</v>
      </c>
      <c r="G1322" s="15">
        <f t="shared" si="3"/>
        <v>27</v>
      </c>
    </row>
    <row r="1323">
      <c r="A1323" s="10" t="s">
        <v>27</v>
      </c>
      <c r="B1323" s="9">
        <f t="shared" si="4"/>
        <v>45835</v>
      </c>
      <c r="C1323" s="77" t="s">
        <v>1570</v>
      </c>
      <c r="D1323" s="13">
        <f>SUMIFS('Lançamentos de receitas'!$E:$E,'Lançamentos de receitas'!$A:$A,B1323,'Lançamentos de receitas'!$C:$C,A1323,'Lançamentos de receitas'!$F:$F,"TRANSFERÊNCIA")</f>
        <v>4966.47</v>
      </c>
      <c r="E1323" s="15">
        <f t="shared" si="1"/>
        <v>2025</v>
      </c>
      <c r="F1323" s="15">
        <f t="shared" si="2"/>
        <v>6</v>
      </c>
      <c r="G1323" s="15">
        <f t="shared" si="3"/>
        <v>27</v>
      </c>
    </row>
    <row r="1324">
      <c r="A1324" s="10" t="s">
        <v>27</v>
      </c>
      <c r="B1324" s="9">
        <f t="shared" si="4"/>
        <v>45835</v>
      </c>
      <c r="C1324" s="77" t="s">
        <v>1571</v>
      </c>
      <c r="D1324" s="13">
        <f>SUMIFS('Lançamentos de despesas'!$K:$K,'Lançamentos de despesas'!$C:$C,B1324,'Lançamentos de despesas'!$G:$G,A1324,'Lançamentos de despesas'!$E:$E,"pago")</f>
        <v>0</v>
      </c>
      <c r="E1324" s="15">
        <f t="shared" si="1"/>
        <v>2025</v>
      </c>
      <c r="F1324" s="15">
        <f t="shared" si="2"/>
        <v>6</v>
      </c>
      <c r="G1324" s="15">
        <f t="shared" si="3"/>
        <v>27</v>
      </c>
    </row>
    <row r="1325">
      <c r="A1325" s="10" t="s">
        <v>27</v>
      </c>
      <c r="B1325" s="9">
        <f t="shared" si="4"/>
        <v>45835</v>
      </c>
      <c r="C1325" s="77" t="s">
        <v>1572</v>
      </c>
      <c r="D1325" s="13">
        <f>D1322+D1323-D1324</f>
        <v>33770.919</v>
      </c>
      <c r="E1325" s="15">
        <f t="shared" si="1"/>
        <v>2025</v>
      </c>
      <c r="F1325" s="15">
        <f t="shared" si="2"/>
        <v>6</v>
      </c>
      <c r="G1325" s="15">
        <f t="shared" si="3"/>
        <v>27</v>
      </c>
    </row>
    <row r="1326">
      <c r="A1326" s="10" t="s">
        <v>27</v>
      </c>
      <c r="B1326" s="9">
        <f t="shared" si="4"/>
        <v>45836</v>
      </c>
      <c r="C1326" s="77" t="s">
        <v>1569</v>
      </c>
      <c r="D1326" s="12">
        <f>D1325</f>
        <v>33770.919</v>
      </c>
      <c r="E1326" s="15">
        <f t="shared" si="1"/>
        <v>2025</v>
      </c>
      <c r="F1326" s="15">
        <f t="shared" si="2"/>
        <v>6</v>
      </c>
      <c r="G1326" s="15">
        <f t="shared" si="3"/>
        <v>28</v>
      </c>
    </row>
    <row r="1327">
      <c r="A1327" s="10" t="s">
        <v>27</v>
      </c>
      <c r="B1327" s="9">
        <f t="shared" si="4"/>
        <v>45836</v>
      </c>
      <c r="C1327" s="77" t="s">
        <v>1570</v>
      </c>
      <c r="D1327" s="13">
        <f>SUMIFS('Lançamentos de receitas'!$E:$E,'Lançamentos de receitas'!$A:$A,B1327,'Lançamentos de receitas'!$C:$C,A1327,'Lançamentos de receitas'!$F:$F,"TRANSFERÊNCIA")</f>
        <v>1338.06</v>
      </c>
      <c r="E1327" s="15">
        <f t="shared" si="1"/>
        <v>2025</v>
      </c>
      <c r="F1327" s="15">
        <f t="shared" si="2"/>
        <v>6</v>
      </c>
      <c r="G1327" s="15">
        <f t="shared" si="3"/>
        <v>28</v>
      </c>
    </row>
    <row r="1328">
      <c r="A1328" s="10" t="s">
        <v>27</v>
      </c>
      <c r="B1328" s="9">
        <f t="shared" si="4"/>
        <v>45836</v>
      </c>
      <c r="C1328" s="77" t="s">
        <v>1571</v>
      </c>
      <c r="D1328" s="13">
        <f>SUMIFS('Lançamentos de despesas'!$K:$K,'Lançamentos de despesas'!$C:$C,B1328,'Lançamentos de despesas'!$G:$G,A1328,'Lançamentos de despesas'!$E:$E,"pago")</f>
        <v>0</v>
      </c>
      <c r="E1328" s="15">
        <f t="shared" si="1"/>
        <v>2025</v>
      </c>
      <c r="F1328" s="15">
        <f t="shared" si="2"/>
        <v>6</v>
      </c>
      <c r="G1328" s="15">
        <f t="shared" si="3"/>
        <v>28</v>
      </c>
    </row>
    <row r="1329">
      <c r="A1329" s="10" t="s">
        <v>27</v>
      </c>
      <c r="B1329" s="9">
        <f t="shared" si="4"/>
        <v>45836</v>
      </c>
      <c r="C1329" s="77" t="s">
        <v>1572</v>
      </c>
      <c r="D1329" s="13">
        <f>D1326+D1327-D1328</f>
        <v>35108.979</v>
      </c>
      <c r="E1329" s="15">
        <f t="shared" si="1"/>
        <v>2025</v>
      </c>
      <c r="F1329" s="15">
        <f t="shared" si="2"/>
        <v>6</v>
      </c>
      <c r="G1329" s="15">
        <f t="shared" si="3"/>
        <v>28</v>
      </c>
    </row>
    <row r="1330">
      <c r="A1330" s="10" t="s">
        <v>27</v>
      </c>
      <c r="B1330" s="9">
        <f t="shared" si="4"/>
        <v>45837</v>
      </c>
      <c r="C1330" s="77" t="s">
        <v>1569</v>
      </c>
      <c r="D1330" s="12">
        <f>D1329</f>
        <v>35108.979</v>
      </c>
      <c r="E1330" s="15">
        <f t="shared" si="1"/>
        <v>2025</v>
      </c>
      <c r="F1330" s="15">
        <f t="shared" si="2"/>
        <v>6</v>
      </c>
      <c r="G1330" s="15">
        <f t="shared" si="3"/>
        <v>29</v>
      </c>
    </row>
    <row r="1331">
      <c r="A1331" s="10" t="s">
        <v>27</v>
      </c>
      <c r="B1331" s="9">
        <f t="shared" si="4"/>
        <v>45837</v>
      </c>
      <c r="C1331" s="77" t="s">
        <v>1570</v>
      </c>
      <c r="D1331" s="13">
        <f>SUMIFS('Lançamentos de receitas'!$E:$E,'Lançamentos de receitas'!$A:$A,B1331,'Lançamentos de receitas'!$C:$C,A1331,'Lançamentos de receitas'!$F:$F,"TRANSFERÊNCIA")</f>
        <v>597.24</v>
      </c>
      <c r="E1331" s="15">
        <f t="shared" si="1"/>
        <v>2025</v>
      </c>
      <c r="F1331" s="15">
        <f t="shared" si="2"/>
        <v>6</v>
      </c>
      <c r="G1331" s="15">
        <f t="shared" si="3"/>
        <v>29</v>
      </c>
    </row>
    <row r="1332">
      <c r="A1332" s="10" t="s">
        <v>27</v>
      </c>
      <c r="B1332" s="9">
        <f t="shared" si="4"/>
        <v>45837</v>
      </c>
      <c r="C1332" s="77" t="s">
        <v>1571</v>
      </c>
      <c r="D1332" s="13">
        <f>SUMIFS('Lançamentos de despesas'!$K:$K,'Lançamentos de despesas'!$C:$C,B1332,'Lançamentos de despesas'!$G:$G,A1332,'Lançamentos de despesas'!$E:$E,"pago")</f>
        <v>0</v>
      </c>
      <c r="E1332" s="15">
        <f t="shared" si="1"/>
        <v>2025</v>
      </c>
      <c r="F1332" s="15">
        <f t="shared" si="2"/>
        <v>6</v>
      </c>
      <c r="G1332" s="15">
        <f t="shared" si="3"/>
        <v>29</v>
      </c>
    </row>
    <row r="1333">
      <c r="A1333" s="10" t="s">
        <v>27</v>
      </c>
      <c r="B1333" s="9">
        <f t="shared" si="4"/>
        <v>45837</v>
      </c>
      <c r="C1333" s="77" t="s">
        <v>1572</v>
      </c>
      <c r="D1333" s="13">
        <f>D1330+D1331-D1332</f>
        <v>35706.219</v>
      </c>
      <c r="E1333" s="15">
        <f t="shared" si="1"/>
        <v>2025</v>
      </c>
      <c r="F1333" s="15">
        <f t="shared" si="2"/>
        <v>6</v>
      </c>
      <c r="G1333" s="15">
        <f t="shared" si="3"/>
        <v>29</v>
      </c>
    </row>
    <row r="1334">
      <c r="A1334" s="10" t="s">
        <v>27</v>
      </c>
      <c r="B1334" s="9">
        <f t="shared" si="4"/>
        <v>45838</v>
      </c>
      <c r="C1334" s="77" t="s">
        <v>1569</v>
      </c>
      <c r="D1334" s="12">
        <f>D1333</f>
        <v>35706.219</v>
      </c>
      <c r="E1334" s="15">
        <f t="shared" si="1"/>
        <v>2025</v>
      </c>
      <c r="F1334" s="15">
        <f t="shared" si="2"/>
        <v>6</v>
      </c>
      <c r="G1334" s="15">
        <f t="shared" si="3"/>
        <v>30</v>
      </c>
    </row>
    <row r="1335">
      <c r="A1335" s="10" t="s">
        <v>27</v>
      </c>
      <c r="B1335" s="9">
        <f t="shared" si="4"/>
        <v>45838</v>
      </c>
      <c r="C1335" s="77" t="s">
        <v>1570</v>
      </c>
      <c r="D1335" s="13">
        <f>SUMIFS('Lançamentos de receitas'!$E:$E,'Lançamentos de receitas'!$A:$A,B1335,'Lançamentos de receitas'!$C:$C,A1335,'Lançamentos de receitas'!$F:$F,"TRANSFERÊNCIA")</f>
        <v>10823.62</v>
      </c>
      <c r="E1335" s="15">
        <f t="shared" si="1"/>
        <v>2025</v>
      </c>
      <c r="F1335" s="15">
        <f t="shared" si="2"/>
        <v>6</v>
      </c>
      <c r="G1335" s="15">
        <f t="shared" si="3"/>
        <v>30</v>
      </c>
    </row>
    <row r="1336">
      <c r="A1336" s="10" t="s">
        <v>27</v>
      </c>
      <c r="B1336" s="9">
        <f t="shared" si="4"/>
        <v>45838</v>
      </c>
      <c r="C1336" s="77" t="s">
        <v>1571</v>
      </c>
      <c r="D1336" s="13">
        <f>SUMIFS('Lançamentos de despesas'!$K:$K,'Lançamentos de despesas'!$C:$C,B1336,'Lançamentos de despesas'!$G:$G,A1336,'Lançamentos de despesas'!$E:$E,"pago")</f>
        <v>7484.47</v>
      </c>
      <c r="E1336" s="15">
        <f t="shared" si="1"/>
        <v>2025</v>
      </c>
      <c r="F1336" s="15">
        <f t="shared" si="2"/>
        <v>6</v>
      </c>
      <c r="G1336" s="15">
        <f t="shared" si="3"/>
        <v>30</v>
      </c>
    </row>
    <row r="1337">
      <c r="A1337" s="10" t="s">
        <v>27</v>
      </c>
      <c r="B1337" s="9">
        <f t="shared" si="4"/>
        <v>45838</v>
      </c>
      <c r="C1337" s="77" t="s">
        <v>1572</v>
      </c>
      <c r="D1337" s="13">
        <f>D1334+D1335-D1336</f>
        <v>39045.369</v>
      </c>
      <c r="E1337" s="15">
        <f t="shared" si="1"/>
        <v>2025</v>
      </c>
      <c r="F1337" s="15">
        <f t="shared" si="2"/>
        <v>6</v>
      </c>
      <c r="G1337" s="15">
        <f t="shared" si="3"/>
        <v>30</v>
      </c>
    </row>
    <row r="1338">
      <c r="A1338" s="10" t="s">
        <v>27</v>
      </c>
      <c r="B1338" s="9">
        <f t="shared" si="4"/>
        <v>45839</v>
      </c>
      <c r="C1338" s="77" t="s">
        <v>1569</v>
      </c>
      <c r="D1338" s="12">
        <f>D1337</f>
        <v>39045.369</v>
      </c>
      <c r="E1338" s="15">
        <f t="shared" si="1"/>
        <v>2025</v>
      </c>
      <c r="F1338" s="15">
        <f t="shared" si="2"/>
        <v>7</v>
      </c>
      <c r="G1338" s="15">
        <f t="shared" si="3"/>
        <v>1</v>
      </c>
    </row>
    <row r="1339">
      <c r="A1339" s="10" t="s">
        <v>27</v>
      </c>
      <c r="B1339" s="9">
        <f t="shared" si="4"/>
        <v>45839</v>
      </c>
      <c r="C1339" s="77" t="s">
        <v>1570</v>
      </c>
      <c r="D1339" s="13">
        <f>SUMIFS('Lançamentos de receitas'!$E:$E,'Lançamentos de receitas'!$A:$A,B1339,'Lançamentos de receitas'!$C:$C,A1339,'Lançamentos de receitas'!$F:$F,"TRANSFERÊNCIA")</f>
        <v>22973.26</v>
      </c>
      <c r="E1339" s="15">
        <f t="shared" si="1"/>
        <v>2025</v>
      </c>
      <c r="F1339" s="15">
        <f t="shared" si="2"/>
        <v>7</v>
      </c>
      <c r="G1339" s="15">
        <f t="shared" si="3"/>
        <v>1</v>
      </c>
    </row>
    <row r="1340">
      <c r="A1340" s="10" t="s">
        <v>27</v>
      </c>
      <c r="B1340" s="9">
        <f t="shared" si="4"/>
        <v>45839</v>
      </c>
      <c r="C1340" s="77" t="s">
        <v>1571</v>
      </c>
      <c r="D1340" s="13">
        <f>SUMIFS('Lançamentos de despesas'!$K:$K,'Lançamentos de despesas'!$C:$C,B1340,'Lançamentos de despesas'!$G:$G,A1340,'Lançamentos de despesas'!$E:$E,"pago")</f>
        <v>10681.88</v>
      </c>
      <c r="E1340" s="15">
        <f t="shared" si="1"/>
        <v>2025</v>
      </c>
      <c r="F1340" s="15">
        <f t="shared" si="2"/>
        <v>7</v>
      </c>
      <c r="G1340" s="15">
        <f t="shared" si="3"/>
        <v>1</v>
      </c>
    </row>
    <row r="1341">
      <c r="A1341" s="10" t="s">
        <v>27</v>
      </c>
      <c r="B1341" s="9">
        <f t="shared" si="4"/>
        <v>45839</v>
      </c>
      <c r="C1341" s="77" t="s">
        <v>1572</v>
      </c>
      <c r="D1341" s="13">
        <f>D1338+D1339-D1340</f>
        <v>51336.749</v>
      </c>
      <c r="E1341" s="15">
        <f t="shared" si="1"/>
        <v>2025</v>
      </c>
      <c r="F1341" s="15">
        <f t="shared" si="2"/>
        <v>7</v>
      </c>
      <c r="G1341" s="15">
        <f t="shared" si="3"/>
        <v>1</v>
      </c>
    </row>
    <row r="1342">
      <c r="A1342" s="10" t="s">
        <v>27</v>
      </c>
      <c r="B1342" s="9">
        <f t="shared" si="4"/>
        <v>45840</v>
      </c>
      <c r="C1342" s="77" t="s">
        <v>1569</v>
      </c>
      <c r="D1342" s="12">
        <f>D1341</f>
        <v>51336.749</v>
      </c>
      <c r="E1342" s="15">
        <f t="shared" si="1"/>
        <v>2025</v>
      </c>
      <c r="F1342" s="15">
        <f t="shared" si="2"/>
        <v>7</v>
      </c>
      <c r="G1342" s="15">
        <f t="shared" si="3"/>
        <v>2</v>
      </c>
    </row>
    <row r="1343">
      <c r="A1343" s="10" t="s">
        <v>27</v>
      </c>
      <c r="B1343" s="9">
        <f t="shared" si="4"/>
        <v>45840</v>
      </c>
      <c r="C1343" s="77" t="s">
        <v>1570</v>
      </c>
      <c r="D1343" s="13">
        <f>SUMIFS('Lançamentos de receitas'!$E:$E,'Lançamentos de receitas'!$A:$A,B1343,'Lançamentos de receitas'!$C:$C,A1343,'Lançamentos de receitas'!$F:$F,"TRANSFERÊNCIA")</f>
        <v>831.16</v>
      </c>
      <c r="E1343" s="15">
        <f t="shared" si="1"/>
        <v>2025</v>
      </c>
      <c r="F1343" s="15">
        <f t="shared" si="2"/>
        <v>7</v>
      </c>
      <c r="G1343" s="15">
        <f t="shared" si="3"/>
        <v>2</v>
      </c>
    </row>
    <row r="1344">
      <c r="A1344" s="10" t="s">
        <v>27</v>
      </c>
      <c r="B1344" s="9">
        <f t="shared" si="4"/>
        <v>45840</v>
      </c>
      <c r="C1344" s="77" t="s">
        <v>1571</v>
      </c>
      <c r="D1344" s="13">
        <f>SUMIFS('Lançamentos de despesas'!$K:$K,'Lançamentos de despesas'!$C:$C,B1344,'Lançamentos de despesas'!$G:$G,A1344,'Lançamentos de despesas'!$E:$E,"pago")</f>
        <v>0</v>
      </c>
      <c r="E1344" s="15">
        <f t="shared" si="1"/>
        <v>2025</v>
      </c>
      <c r="F1344" s="15">
        <f t="shared" si="2"/>
        <v>7</v>
      </c>
      <c r="G1344" s="15">
        <f t="shared" si="3"/>
        <v>2</v>
      </c>
    </row>
    <row r="1345">
      <c r="A1345" s="10" t="s">
        <v>27</v>
      </c>
      <c r="B1345" s="9">
        <f t="shared" si="4"/>
        <v>45840</v>
      </c>
      <c r="C1345" s="77" t="s">
        <v>1572</v>
      </c>
      <c r="D1345" s="13">
        <f>D1342+D1343-D1344</f>
        <v>52167.909</v>
      </c>
      <c r="E1345" s="15">
        <f t="shared" si="1"/>
        <v>2025</v>
      </c>
      <c r="F1345" s="15">
        <f t="shared" si="2"/>
        <v>7</v>
      </c>
      <c r="G1345" s="15">
        <f t="shared" si="3"/>
        <v>2</v>
      </c>
    </row>
    <row r="1346">
      <c r="A1346" s="10" t="s">
        <v>27</v>
      </c>
      <c r="B1346" s="9">
        <f t="shared" si="4"/>
        <v>45841</v>
      </c>
      <c r="C1346" s="77" t="s">
        <v>1569</v>
      </c>
      <c r="D1346" s="12">
        <f>D1345</f>
        <v>52167.909</v>
      </c>
      <c r="E1346" s="15">
        <f t="shared" si="1"/>
        <v>2025</v>
      </c>
      <c r="F1346" s="15">
        <f t="shared" si="2"/>
        <v>7</v>
      </c>
      <c r="G1346" s="15">
        <f t="shared" si="3"/>
        <v>3</v>
      </c>
    </row>
    <row r="1347">
      <c r="A1347" s="10" t="s">
        <v>27</v>
      </c>
      <c r="B1347" s="9">
        <f t="shared" si="4"/>
        <v>45841</v>
      </c>
      <c r="C1347" s="77" t="s">
        <v>1570</v>
      </c>
      <c r="D1347" s="13">
        <f>SUMIFS('Lançamentos de receitas'!$E:$E,'Lançamentos de receitas'!$A:$A,B1347,'Lançamentos de receitas'!$C:$C,A1347,'Lançamentos de receitas'!$F:$F,"TRANSFERÊNCIA")</f>
        <v>715.44</v>
      </c>
      <c r="E1347" s="15">
        <f t="shared" si="1"/>
        <v>2025</v>
      </c>
      <c r="F1347" s="15">
        <f t="shared" si="2"/>
        <v>7</v>
      </c>
      <c r="G1347" s="15">
        <f t="shared" si="3"/>
        <v>3</v>
      </c>
    </row>
    <row r="1348">
      <c r="A1348" s="10" t="s">
        <v>27</v>
      </c>
      <c r="B1348" s="9">
        <f t="shared" si="4"/>
        <v>45841</v>
      </c>
      <c r="C1348" s="77" t="s">
        <v>1571</v>
      </c>
      <c r="D1348" s="13">
        <f>SUMIFS('Lançamentos de despesas'!$K:$K,'Lançamentos de despesas'!$C:$C,B1348,'Lançamentos de despesas'!$G:$G,A1348,'Lançamentos de despesas'!$E:$E,"pago")</f>
        <v>3248.35</v>
      </c>
      <c r="E1348" s="15">
        <f t="shared" si="1"/>
        <v>2025</v>
      </c>
      <c r="F1348" s="15">
        <f t="shared" si="2"/>
        <v>7</v>
      </c>
      <c r="G1348" s="15">
        <f t="shared" si="3"/>
        <v>3</v>
      </c>
    </row>
    <row r="1349">
      <c r="A1349" s="10" t="s">
        <v>27</v>
      </c>
      <c r="B1349" s="9">
        <f t="shared" si="4"/>
        <v>45841</v>
      </c>
      <c r="C1349" s="77" t="s">
        <v>1572</v>
      </c>
      <c r="D1349" s="13">
        <f>D1346+D1347-D1348</f>
        <v>49634.999</v>
      </c>
      <c r="E1349" s="15">
        <f t="shared" si="1"/>
        <v>2025</v>
      </c>
      <c r="F1349" s="15">
        <f t="shared" si="2"/>
        <v>7</v>
      </c>
      <c r="G1349" s="15">
        <f t="shared" si="3"/>
        <v>3</v>
      </c>
    </row>
    <row r="1350">
      <c r="A1350" s="10" t="s">
        <v>27</v>
      </c>
      <c r="B1350" s="9">
        <f t="shared" si="4"/>
        <v>45842</v>
      </c>
      <c r="C1350" s="77" t="s">
        <v>1569</v>
      </c>
      <c r="D1350" s="12">
        <f>D1349</f>
        <v>49634.999</v>
      </c>
      <c r="E1350" s="15">
        <f t="shared" si="1"/>
        <v>2025</v>
      </c>
      <c r="F1350" s="15">
        <f t="shared" si="2"/>
        <v>7</v>
      </c>
      <c r="G1350" s="15">
        <f t="shared" si="3"/>
        <v>4</v>
      </c>
    </row>
    <row r="1351">
      <c r="A1351" s="10" t="s">
        <v>27</v>
      </c>
      <c r="B1351" s="9">
        <f t="shared" si="4"/>
        <v>45842</v>
      </c>
      <c r="C1351" s="77" t="s">
        <v>1570</v>
      </c>
      <c r="D1351" s="13">
        <f>SUMIFS('Lançamentos de receitas'!$E:$E,'Lançamentos de receitas'!$A:$A,B1351,'Lançamentos de receitas'!$C:$C,A1351,'Lançamentos de receitas'!$F:$F,"TRANSFERÊNCIA")</f>
        <v>744.18</v>
      </c>
      <c r="E1351" s="15">
        <f t="shared" si="1"/>
        <v>2025</v>
      </c>
      <c r="F1351" s="15">
        <f t="shared" si="2"/>
        <v>7</v>
      </c>
      <c r="G1351" s="15">
        <f t="shared" si="3"/>
        <v>4</v>
      </c>
    </row>
    <row r="1352">
      <c r="A1352" s="10" t="s">
        <v>27</v>
      </c>
      <c r="B1352" s="9">
        <f t="shared" si="4"/>
        <v>45842</v>
      </c>
      <c r="C1352" s="77" t="s">
        <v>1571</v>
      </c>
      <c r="D1352" s="13">
        <f>SUMIFS('Lançamentos de despesas'!$K:$K,'Lançamentos de despesas'!$C:$C,B1352,'Lançamentos de despesas'!$G:$G,A1352,'Lançamentos de despesas'!$E:$E,"pago")</f>
        <v>0</v>
      </c>
      <c r="E1352" s="15">
        <f t="shared" si="1"/>
        <v>2025</v>
      </c>
      <c r="F1352" s="15">
        <f t="shared" si="2"/>
        <v>7</v>
      </c>
      <c r="G1352" s="15">
        <f t="shared" si="3"/>
        <v>4</v>
      </c>
    </row>
    <row r="1353">
      <c r="A1353" s="10" t="s">
        <v>27</v>
      </c>
      <c r="B1353" s="9">
        <f t="shared" si="4"/>
        <v>45842</v>
      </c>
      <c r="C1353" s="77" t="s">
        <v>1572</v>
      </c>
      <c r="D1353" s="13">
        <f>D1350+D1351-D1352</f>
        <v>50379.179</v>
      </c>
      <c r="E1353" s="15">
        <f t="shared" si="1"/>
        <v>2025</v>
      </c>
      <c r="F1353" s="15">
        <f t="shared" si="2"/>
        <v>7</v>
      </c>
      <c r="G1353" s="15">
        <f t="shared" si="3"/>
        <v>4</v>
      </c>
    </row>
    <row r="1354">
      <c r="A1354" s="10" t="s">
        <v>27</v>
      </c>
      <c r="B1354" s="9">
        <f t="shared" si="4"/>
        <v>45843</v>
      </c>
      <c r="C1354" s="77" t="s">
        <v>1569</v>
      </c>
      <c r="D1354" s="12">
        <f>D1353</f>
        <v>50379.179</v>
      </c>
      <c r="E1354" s="15">
        <f t="shared" si="1"/>
        <v>2025</v>
      </c>
      <c r="F1354" s="15">
        <f t="shared" si="2"/>
        <v>7</v>
      </c>
      <c r="G1354" s="15">
        <f t="shared" si="3"/>
        <v>5</v>
      </c>
    </row>
    <row r="1355">
      <c r="A1355" s="10" t="s">
        <v>27</v>
      </c>
      <c r="B1355" s="9">
        <f t="shared" si="4"/>
        <v>45843</v>
      </c>
      <c r="C1355" s="77" t="s">
        <v>1570</v>
      </c>
      <c r="D1355" s="13">
        <f>SUMIFS('Lançamentos de receitas'!$E:$E,'Lançamentos de receitas'!$A:$A,B1355,'Lançamentos de receitas'!$C:$C,A1355,'Lançamentos de receitas'!$F:$F,"TRANSFERÊNCIA")</f>
        <v>1151.08</v>
      </c>
      <c r="E1355" s="15">
        <f t="shared" si="1"/>
        <v>2025</v>
      </c>
      <c r="F1355" s="15">
        <f t="shared" si="2"/>
        <v>7</v>
      </c>
      <c r="G1355" s="15">
        <f t="shared" si="3"/>
        <v>5</v>
      </c>
    </row>
    <row r="1356">
      <c r="A1356" s="10" t="s">
        <v>27</v>
      </c>
      <c r="B1356" s="9">
        <f t="shared" si="4"/>
        <v>45843</v>
      </c>
      <c r="C1356" s="77" t="s">
        <v>1571</v>
      </c>
      <c r="D1356" s="13">
        <f>SUMIFS('Lançamentos de despesas'!$K:$K,'Lançamentos de despesas'!$C:$C,B1356,'Lançamentos de despesas'!$G:$G,A1356,'Lançamentos de despesas'!$E:$E,"pago")</f>
        <v>0</v>
      </c>
      <c r="E1356" s="15">
        <f t="shared" si="1"/>
        <v>2025</v>
      </c>
      <c r="F1356" s="15">
        <f t="shared" si="2"/>
        <v>7</v>
      </c>
      <c r="G1356" s="15">
        <f t="shared" si="3"/>
        <v>5</v>
      </c>
    </row>
    <row r="1357">
      <c r="A1357" s="10" t="s">
        <v>27</v>
      </c>
      <c r="B1357" s="9">
        <f t="shared" si="4"/>
        <v>45843</v>
      </c>
      <c r="C1357" s="77" t="s">
        <v>1572</v>
      </c>
      <c r="D1357" s="13">
        <f>D1354+D1355-D1356</f>
        <v>51530.259</v>
      </c>
      <c r="E1357" s="15">
        <f t="shared" si="1"/>
        <v>2025</v>
      </c>
      <c r="F1357" s="15">
        <f t="shared" si="2"/>
        <v>7</v>
      </c>
      <c r="G1357" s="15">
        <f t="shared" si="3"/>
        <v>5</v>
      </c>
    </row>
    <row r="1358">
      <c r="A1358" s="10" t="s">
        <v>27</v>
      </c>
      <c r="B1358" s="9">
        <f t="shared" si="4"/>
        <v>45844</v>
      </c>
      <c r="C1358" s="77" t="s">
        <v>1569</v>
      </c>
      <c r="D1358" s="12">
        <f>D1357</f>
        <v>51530.259</v>
      </c>
      <c r="E1358" s="15">
        <f t="shared" si="1"/>
        <v>2025</v>
      </c>
      <c r="F1358" s="15">
        <f t="shared" si="2"/>
        <v>7</v>
      </c>
      <c r="G1358" s="15">
        <f t="shared" si="3"/>
        <v>6</v>
      </c>
    </row>
    <row r="1359">
      <c r="A1359" s="10" t="s">
        <v>27</v>
      </c>
      <c r="B1359" s="9">
        <f t="shared" si="4"/>
        <v>45844</v>
      </c>
      <c r="C1359" s="77" t="s">
        <v>1570</v>
      </c>
      <c r="D1359" s="13">
        <f>SUMIFS('Lançamentos de receitas'!$E:$E,'Lançamentos de receitas'!$A:$A,B1359,'Lançamentos de receitas'!$C:$C,A1359,'Lançamentos de receitas'!$F:$F,"TRANSFERÊNCIA")</f>
        <v>1082.88</v>
      </c>
      <c r="E1359" s="15">
        <f t="shared" si="1"/>
        <v>2025</v>
      </c>
      <c r="F1359" s="15">
        <f t="shared" si="2"/>
        <v>7</v>
      </c>
      <c r="G1359" s="15">
        <f t="shared" si="3"/>
        <v>6</v>
      </c>
    </row>
    <row r="1360">
      <c r="A1360" s="10" t="s">
        <v>27</v>
      </c>
      <c r="B1360" s="9">
        <f t="shared" si="4"/>
        <v>45844</v>
      </c>
      <c r="C1360" s="77" t="s">
        <v>1571</v>
      </c>
      <c r="D1360" s="13">
        <f>SUMIFS('Lançamentos de despesas'!$K:$K,'Lançamentos de despesas'!$C:$C,B1360,'Lançamentos de despesas'!$G:$G,A1360,'Lançamentos de despesas'!$E:$E,"pago")</f>
        <v>0</v>
      </c>
      <c r="E1360" s="15">
        <f t="shared" si="1"/>
        <v>2025</v>
      </c>
      <c r="F1360" s="15">
        <f t="shared" si="2"/>
        <v>7</v>
      </c>
      <c r="G1360" s="15">
        <f t="shared" si="3"/>
        <v>6</v>
      </c>
    </row>
    <row r="1361">
      <c r="A1361" s="10" t="s">
        <v>27</v>
      </c>
      <c r="B1361" s="9">
        <f t="shared" si="4"/>
        <v>45844</v>
      </c>
      <c r="C1361" s="77" t="s">
        <v>1572</v>
      </c>
      <c r="D1361" s="13">
        <f>D1358+D1359-D1360</f>
        <v>52613.139</v>
      </c>
      <c r="E1361" s="15">
        <f t="shared" si="1"/>
        <v>2025</v>
      </c>
      <c r="F1361" s="15">
        <f t="shared" si="2"/>
        <v>7</v>
      </c>
      <c r="G1361" s="15">
        <f t="shared" si="3"/>
        <v>6</v>
      </c>
    </row>
    <row r="1362">
      <c r="A1362" s="10" t="s">
        <v>27</v>
      </c>
      <c r="B1362" s="9">
        <f t="shared" si="4"/>
        <v>45845</v>
      </c>
      <c r="C1362" s="77" t="s">
        <v>1569</v>
      </c>
      <c r="D1362" s="12">
        <f>D1361</f>
        <v>52613.139</v>
      </c>
      <c r="E1362" s="15">
        <f t="shared" si="1"/>
        <v>2025</v>
      </c>
      <c r="F1362" s="15">
        <f t="shared" si="2"/>
        <v>7</v>
      </c>
      <c r="G1362" s="15">
        <f t="shared" si="3"/>
        <v>7</v>
      </c>
    </row>
    <row r="1363">
      <c r="A1363" s="10" t="s">
        <v>27</v>
      </c>
      <c r="B1363" s="9">
        <f t="shared" si="4"/>
        <v>45845</v>
      </c>
      <c r="C1363" s="77" t="s">
        <v>1570</v>
      </c>
      <c r="D1363" s="13">
        <f>SUMIFS('Lançamentos de receitas'!$E:$E,'Lançamentos de receitas'!$A:$A,B1363,'Lançamentos de receitas'!$C:$C,A1363,'Lançamentos de receitas'!$F:$F,"TRANSFERÊNCIA")</f>
        <v>240.4</v>
      </c>
      <c r="E1363" s="15">
        <f t="shared" si="1"/>
        <v>2025</v>
      </c>
      <c r="F1363" s="15">
        <f t="shared" si="2"/>
        <v>7</v>
      </c>
      <c r="G1363" s="15">
        <f t="shared" si="3"/>
        <v>7</v>
      </c>
    </row>
    <row r="1364">
      <c r="A1364" s="10" t="s">
        <v>27</v>
      </c>
      <c r="B1364" s="9">
        <f t="shared" si="4"/>
        <v>45845</v>
      </c>
      <c r="C1364" s="77" t="s">
        <v>1571</v>
      </c>
      <c r="D1364" s="13">
        <f>SUMIFS('Lançamentos de despesas'!$K:$K,'Lançamentos de despesas'!$C:$C,B1364,'Lançamentos de despesas'!$G:$G,A1364,'Lançamentos de despesas'!$E:$E,"pago")</f>
        <v>5912.92</v>
      </c>
      <c r="E1364" s="15">
        <f t="shared" si="1"/>
        <v>2025</v>
      </c>
      <c r="F1364" s="15">
        <f t="shared" si="2"/>
        <v>7</v>
      </c>
      <c r="G1364" s="15">
        <f t="shared" si="3"/>
        <v>7</v>
      </c>
    </row>
    <row r="1365">
      <c r="A1365" s="10" t="s">
        <v>27</v>
      </c>
      <c r="B1365" s="9">
        <f t="shared" si="4"/>
        <v>45845</v>
      </c>
      <c r="C1365" s="77" t="s">
        <v>1572</v>
      </c>
      <c r="D1365" s="13">
        <f>D1362+D1363-D1364</f>
        <v>46940.619</v>
      </c>
      <c r="E1365" s="15">
        <f t="shared" si="1"/>
        <v>2025</v>
      </c>
      <c r="F1365" s="15">
        <f t="shared" si="2"/>
        <v>7</v>
      </c>
      <c r="G1365" s="15">
        <f t="shared" si="3"/>
        <v>7</v>
      </c>
    </row>
    <row r="1366">
      <c r="A1366" s="10" t="s">
        <v>27</v>
      </c>
      <c r="B1366" s="9">
        <f t="shared" si="4"/>
        <v>45846</v>
      </c>
      <c r="C1366" s="77" t="s">
        <v>1569</v>
      </c>
      <c r="D1366" s="12">
        <f>D1365</f>
        <v>46940.619</v>
      </c>
      <c r="E1366" s="15">
        <f t="shared" si="1"/>
        <v>2025</v>
      </c>
      <c r="F1366" s="15">
        <f t="shared" si="2"/>
        <v>7</v>
      </c>
      <c r="G1366" s="15">
        <f t="shared" si="3"/>
        <v>8</v>
      </c>
    </row>
    <row r="1367">
      <c r="A1367" s="10" t="s">
        <v>27</v>
      </c>
      <c r="B1367" s="9">
        <f t="shared" si="4"/>
        <v>45846</v>
      </c>
      <c r="C1367" s="77" t="s">
        <v>1570</v>
      </c>
      <c r="D1367" s="13">
        <f>SUMIFS('Lançamentos de receitas'!$E:$E,'Lançamentos de receitas'!$A:$A,B1367,'Lançamentos de receitas'!$C:$C,A1367,'Lançamentos de receitas'!$F:$F,"TRANSFERÊNCIA")</f>
        <v>1445.43</v>
      </c>
      <c r="E1367" s="15">
        <f t="shared" si="1"/>
        <v>2025</v>
      </c>
      <c r="F1367" s="15">
        <f t="shared" si="2"/>
        <v>7</v>
      </c>
      <c r="G1367" s="15">
        <f t="shared" si="3"/>
        <v>8</v>
      </c>
    </row>
    <row r="1368">
      <c r="A1368" s="10" t="s">
        <v>27</v>
      </c>
      <c r="B1368" s="9">
        <f t="shared" si="4"/>
        <v>45846</v>
      </c>
      <c r="C1368" s="77" t="s">
        <v>1571</v>
      </c>
      <c r="D1368" s="13">
        <f>SUMIFS('Lançamentos de despesas'!$K:$K,'Lançamentos de despesas'!$C:$C,B1368,'Lançamentos de despesas'!$G:$G,A1368,'Lançamentos de despesas'!$E:$E,"pago")</f>
        <v>0</v>
      </c>
      <c r="E1368" s="15">
        <f t="shared" si="1"/>
        <v>2025</v>
      </c>
      <c r="F1368" s="15">
        <f t="shared" si="2"/>
        <v>7</v>
      </c>
      <c r="G1368" s="15">
        <f t="shared" si="3"/>
        <v>8</v>
      </c>
    </row>
    <row r="1369">
      <c r="A1369" s="10" t="s">
        <v>27</v>
      </c>
      <c r="B1369" s="9">
        <f t="shared" si="4"/>
        <v>45846</v>
      </c>
      <c r="C1369" s="77" t="s">
        <v>1572</v>
      </c>
      <c r="D1369" s="13">
        <f>D1366+D1367-D1368</f>
        <v>48386.049</v>
      </c>
      <c r="E1369" s="15">
        <f t="shared" si="1"/>
        <v>2025</v>
      </c>
      <c r="F1369" s="15">
        <f t="shared" si="2"/>
        <v>7</v>
      </c>
      <c r="G1369" s="15">
        <f t="shared" si="3"/>
        <v>8</v>
      </c>
    </row>
    <row r="1370">
      <c r="A1370" s="10" t="s">
        <v>27</v>
      </c>
      <c r="B1370" s="9">
        <f t="shared" si="4"/>
        <v>45847</v>
      </c>
      <c r="C1370" s="77" t="s">
        <v>1569</v>
      </c>
      <c r="D1370" s="12">
        <f>D1369</f>
        <v>48386.049</v>
      </c>
      <c r="E1370" s="15">
        <f t="shared" si="1"/>
        <v>2025</v>
      </c>
      <c r="F1370" s="15">
        <f t="shared" si="2"/>
        <v>7</v>
      </c>
      <c r="G1370" s="15">
        <f t="shared" si="3"/>
        <v>9</v>
      </c>
    </row>
    <row r="1371">
      <c r="A1371" s="10" t="s">
        <v>27</v>
      </c>
      <c r="B1371" s="9">
        <f t="shared" si="4"/>
        <v>45847</v>
      </c>
      <c r="C1371" s="77" t="s">
        <v>1570</v>
      </c>
      <c r="D1371" s="13">
        <f>SUMIFS('Lançamentos de receitas'!$E:$E,'Lançamentos de receitas'!$A:$A,B1371,'Lançamentos de receitas'!$C:$C,A1371,'Lançamentos de receitas'!$F:$F,"TRANSFERÊNCIA")</f>
        <v>1351.83</v>
      </c>
      <c r="E1371" s="15">
        <f t="shared" si="1"/>
        <v>2025</v>
      </c>
      <c r="F1371" s="15">
        <f t="shared" si="2"/>
        <v>7</v>
      </c>
      <c r="G1371" s="15">
        <f t="shared" si="3"/>
        <v>9</v>
      </c>
    </row>
    <row r="1372">
      <c r="A1372" s="10" t="s">
        <v>27</v>
      </c>
      <c r="B1372" s="9">
        <f t="shared" si="4"/>
        <v>45847</v>
      </c>
      <c r="C1372" s="77" t="s">
        <v>1571</v>
      </c>
      <c r="D1372" s="13">
        <f>SUMIFS('Lançamentos de despesas'!$K:$K,'Lançamentos de despesas'!$C:$C,B1372,'Lançamentos de despesas'!$G:$G,A1372,'Lançamentos de despesas'!$E:$E,"pago")</f>
        <v>0</v>
      </c>
      <c r="E1372" s="15">
        <f t="shared" si="1"/>
        <v>2025</v>
      </c>
      <c r="F1372" s="15">
        <f t="shared" si="2"/>
        <v>7</v>
      </c>
      <c r="G1372" s="15">
        <f t="shared" si="3"/>
        <v>9</v>
      </c>
    </row>
    <row r="1373">
      <c r="A1373" s="10" t="s">
        <v>27</v>
      </c>
      <c r="B1373" s="9">
        <f t="shared" si="4"/>
        <v>45847</v>
      </c>
      <c r="C1373" s="77" t="s">
        <v>1572</v>
      </c>
      <c r="D1373" s="13">
        <f>D1370+D1371-D1372</f>
        <v>49737.879</v>
      </c>
      <c r="E1373" s="15">
        <f t="shared" si="1"/>
        <v>2025</v>
      </c>
      <c r="F1373" s="15">
        <f t="shared" si="2"/>
        <v>7</v>
      </c>
      <c r="G1373" s="15">
        <f t="shared" si="3"/>
        <v>9</v>
      </c>
    </row>
    <row r="1374">
      <c r="A1374" s="10" t="s">
        <v>27</v>
      </c>
      <c r="B1374" s="9">
        <f t="shared" si="4"/>
        <v>45848</v>
      </c>
      <c r="C1374" s="77" t="s">
        <v>1569</v>
      </c>
      <c r="D1374" s="12">
        <f>D1373</f>
        <v>49737.879</v>
      </c>
      <c r="E1374" s="15">
        <f t="shared" si="1"/>
        <v>2025</v>
      </c>
      <c r="F1374" s="15">
        <f t="shared" si="2"/>
        <v>7</v>
      </c>
      <c r="G1374" s="15">
        <f t="shared" si="3"/>
        <v>10</v>
      </c>
    </row>
    <row r="1375">
      <c r="A1375" s="10" t="s">
        <v>27</v>
      </c>
      <c r="B1375" s="9">
        <f t="shared" si="4"/>
        <v>45848</v>
      </c>
      <c r="C1375" s="77" t="s">
        <v>1570</v>
      </c>
      <c r="D1375" s="13">
        <f>SUMIFS('Lançamentos de receitas'!$E:$E,'Lançamentos de receitas'!$A:$A,B1375,'Lançamentos de receitas'!$C:$C,A1375,'Lançamentos de receitas'!$F:$F,"TRANSFERÊNCIA")</f>
        <v>1452.79</v>
      </c>
      <c r="E1375" s="15">
        <f t="shared" si="1"/>
        <v>2025</v>
      </c>
      <c r="F1375" s="15">
        <f t="shared" si="2"/>
        <v>7</v>
      </c>
      <c r="G1375" s="15">
        <f t="shared" si="3"/>
        <v>10</v>
      </c>
    </row>
    <row r="1376">
      <c r="A1376" s="10" t="s">
        <v>27</v>
      </c>
      <c r="B1376" s="9">
        <f t="shared" si="4"/>
        <v>45848</v>
      </c>
      <c r="C1376" s="77" t="s">
        <v>1571</v>
      </c>
      <c r="D1376" s="13">
        <f>SUMIFS('Lançamentos de despesas'!$K:$K,'Lançamentos de despesas'!$C:$C,B1376,'Lançamentos de despesas'!$G:$G,A1376,'Lançamentos de despesas'!$E:$E,"pago")</f>
        <v>8112.68</v>
      </c>
      <c r="E1376" s="15">
        <f t="shared" si="1"/>
        <v>2025</v>
      </c>
      <c r="F1376" s="15">
        <f t="shared" si="2"/>
        <v>7</v>
      </c>
      <c r="G1376" s="15">
        <f t="shared" si="3"/>
        <v>10</v>
      </c>
    </row>
    <row r="1377">
      <c r="A1377" s="10" t="s">
        <v>27</v>
      </c>
      <c r="B1377" s="9">
        <f t="shared" si="4"/>
        <v>45848</v>
      </c>
      <c r="C1377" s="77" t="s">
        <v>1572</v>
      </c>
      <c r="D1377" s="13">
        <f>D1374+D1375-D1376</f>
        <v>43077.989</v>
      </c>
      <c r="E1377" s="15">
        <f t="shared" si="1"/>
        <v>2025</v>
      </c>
      <c r="F1377" s="15">
        <f t="shared" si="2"/>
        <v>7</v>
      </c>
      <c r="G1377" s="15">
        <f t="shared" si="3"/>
        <v>10</v>
      </c>
    </row>
    <row r="1378">
      <c r="A1378" s="10" t="s">
        <v>27</v>
      </c>
      <c r="B1378" s="9">
        <f t="shared" si="4"/>
        <v>45849</v>
      </c>
      <c r="C1378" s="77" t="s">
        <v>1569</v>
      </c>
      <c r="D1378" s="12">
        <f>D1377</f>
        <v>43077.989</v>
      </c>
      <c r="E1378" s="15">
        <f t="shared" si="1"/>
        <v>2025</v>
      </c>
      <c r="F1378" s="15">
        <f t="shared" si="2"/>
        <v>7</v>
      </c>
      <c r="G1378" s="15">
        <f t="shared" si="3"/>
        <v>11</v>
      </c>
    </row>
    <row r="1379">
      <c r="A1379" s="10" t="s">
        <v>27</v>
      </c>
      <c r="B1379" s="9">
        <f t="shared" si="4"/>
        <v>45849</v>
      </c>
      <c r="C1379" s="77" t="s">
        <v>1570</v>
      </c>
      <c r="D1379" s="13">
        <f>SUMIFS('Lançamentos de receitas'!$E:$E,'Lançamentos de receitas'!$A:$A,B1379,'Lançamentos de receitas'!$C:$C,A1379,'Lançamentos de receitas'!$F:$F,"TRANSFERÊNCIA")</f>
        <v>3558.16</v>
      </c>
      <c r="E1379" s="15">
        <f t="shared" si="1"/>
        <v>2025</v>
      </c>
      <c r="F1379" s="15">
        <f t="shared" si="2"/>
        <v>7</v>
      </c>
      <c r="G1379" s="15">
        <f t="shared" si="3"/>
        <v>11</v>
      </c>
    </row>
    <row r="1380">
      <c r="A1380" s="10" t="s">
        <v>27</v>
      </c>
      <c r="B1380" s="9">
        <f t="shared" si="4"/>
        <v>45849</v>
      </c>
      <c r="C1380" s="77" t="s">
        <v>1571</v>
      </c>
      <c r="D1380" s="13">
        <f>SUMIFS('Lançamentos de despesas'!$K:$K,'Lançamentos de despesas'!$C:$C,B1380,'Lançamentos de despesas'!$G:$G,A1380,'Lançamentos de despesas'!$E:$E,"pago")</f>
        <v>1682.82</v>
      </c>
      <c r="E1380" s="15">
        <f t="shared" si="1"/>
        <v>2025</v>
      </c>
      <c r="F1380" s="15">
        <f t="shared" si="2"/>
        <v>7</v>
      </c>
      <c r="G1380" s="15">
        <f t="shared" si="3"/>
        <v>11</v>
      </c>
    </row>
    <row r="1381">
      <c r="A1381" s="10" t="s">
        <v>27</v>
      </c>
      <c r="B1381" s="9">
        <f t="shared" si="4"/>
        <v>45849</v>
      </c>
      <c r="C1381" s="77" t="s">
        <v>1572</v>
      </c>
      <c r="D1381" s="13">
        <f>D1378+D1379-D1380</f>
        <v>44953.329</v>
      </c>
      <c r="E1381" s="15">
        <f t="shared" si="1"/>
        <v>2025</v>
      </c>
      <c r="F1381" s="15">
        <f t="shared" si="2"/>
        <v>7</v>
      </c>
      <c r="G1381" s="15">
        <f t="shared" si="3"/>
        <v>11</v>
      </c>
    </row>
    <row r="1382">
      <c r="A1382" s="10" t="s">
        <v>27</v>
      </c>
      <c r="B1382" s="9">
        <f t="shared" si="4"/>
        <v>45850</v>
      </c>
      <c r="C1382" s="77" t="s">
        <v>1569</v>
      </c>
      <c r="D1382" s="12">
        <f>D1381</f>
        <v>44953.329</v>
      </c>
      <c r="E1382" s="15">
        <f t="shared" si="1"/>
        <v>2025</v>
      </c>
      <c r="F1382" s="15">
        <f t="shared" si="2"/>
        <v>7</v>
      </c>
      <c r="G1382" s="15">
        <f t="shared" si="3"/>
        <v>12</v>
      </c>
    </row>
    <row r="1383">
      <c r="A1383" s="10" t="s">
        <v>27</v>
      </c>
      <c r="B1383" s="9">
        <f t="shared" si="4"/>
        <v>45850</v>
      </c>
      <c r="C1383" s="77" t="s">
        <v>1570</v>
      </c>
      <c r="D1383" s="13">
        <f>SUMIFS('Lançamentos de receitas'!$E:$E,'Lançamentos de receitas'!$A:$A,B1383,'Lançamentos de receitas'!$C:$C,A1383,'Lançamentos de receitas'!$F:$F,"TRANSFERÊNCIA")</f>
        <v>1965.08</v>
      </c>
      <c r="E1383" s="15">
        <f t="shared" si="1"/>
        <v>2025</v>
      </c>
      <c r="F1383" s="15">
        <f t="shared" si="2"/>
        <v>7</v>
      </c>
      <c r="G1383" s="15">
        <f t="shared" si="3"/>
        <v>12</v>
      </c>
    </row>
    <row r="1384">
      <c r="A1384" s="10" t="s">
        <v>27</v>
      </c>
      <c r="B1384" s="9">
        <f t="shared" si="4"/>
        <v>45850</v>
      </c>
      <c r="C1384" s="77" t="s">
        <v>1571</v>
      </c>
      <c r="D1384" s="13">
        <f>SUMIFS('Lançamentos de despesas'!$K:$K,'Lançamentos de despesas'!$C:$C,B1384,'Lançamentos de despesas'!$G:$G,A1384,'Lançamentos de despesas'!$E:$E,"pago")</f>
        <v>0</v>
      </c>
      <c r="E1384" s="15">
        <f t="shared" si="1"/>
        <v>2025</v>
      </c>
      <c r="F1384" s="15">
        <f t="shared" si="2"/>
        <v>7</v>
      </c>
      <c r="G1384" s="15">
        <f t="shared" si="3"/>
        <v>12</v>
      </c>
    </row>
    <row r="1385">
      <c r="A1385" s="10" t="s">
        <v>27</v>
      </c>
      <c r="B1385" s="9">
        <f t="shared" si="4"/>
        <v>45850</v>
      </c>
      <c r="C1385" s="77" t="s">
        <v>1572</v>
      </c>
      <c r="D1385" s="13">
        <f>D1382+D1383-D1384</f>
        <v>46918.409</v>
      </c>
      <c r="E1385" s="15">
        <f t="shared" si="1"/>
        <v>2025</v>
      </c>
      <c r="F1385" s="15">
        <f t="shared" si="2"/>
        <v>7</v>
      </c>
      <c r="G1385" s="15">
        <f t="shared" si="3"/>
        <v>12</v>
      </c>
    </row>
    <row r="1386">
      <c r="A1386" s="10" t="s">
        <v>27</v>
      </c>
      <c r="B1386" s="9">
        <f t="shared" si="4"/>
        <v>45851</v>
      </c>
      <c r="C1386" s="77" t="s">
        <v>1569</v>
      </c>
      <c r="D1386" s="12">
        <f>D1385</f>
        <v>46918.409</v>
      </c>
      <c r="E1386" s="15">
        <f t="shared" si="1"/>
        <v>2025</v>
      </c>
      <c r="F1386" s="15">
        <f t="shared" si="2"/>
        <v>7</v>
      </c>
      <c r="G1386" s="15">
        <f t="shared" si="3"/>
        <v>13</v>
      </c>
    </row>
    <row r="1387">
      <c r="A1387" s="10" t="s">
        <v>27</v>
      </c>
      <c r="B1387" s="9">
        <f t="shared" si="4"/>
        <v>45851</v>
      </c>
      <c r="C1387" s="77" t="s">
        <v>1570</v>
      </c>
      <c r="D1387" s="13">
        <f>SUMIFS('Lançamentos de receitas'!$E:$E,'Lançamentos de receitas'!$A:$A,B1387,'Lançamentos de receitas'!$C:$C,A1387,'Lançamentos de receitas'!$F:$F,"TRANSFERÊNCIA")</f>
        <v>758.3</v>
      </c>
      <c r="E1387" s="15">
        <f t="shared" si="1"/>
        <v>2025</v>
      </c>
      <c r="F1387" s="15">
        <f t="shared" si="2"/>
        <v>7</v>
      </c>
      <c r="G1387" s="15">
        <f t="shared" si="3"/>
        <v>13</v>
      </c>
    </row>
    <row r="1388">
      <c r="A1388" s="10" t="s">
        <v>27</v>
      </c>
      <c r="B1388" s="9">
        <f t="shared" si="4"/>
        <v>45851</v>
      </c>
      <c r="C1388" s="77" t="s">
        <v>1571</v>
      </c>
      <c r="D1388" s="13">
        <f>SUMIFS('Lançamentos de despesas'!$K:$K,'Lançamentos de despesas'!$C:$C,B1388,'Lançamentos de despesas'!$G:$G,A1388,'Lançamentos de despesas'!$E:$E,"pago")</f>
        <v>0</v>
      </c>
      <c r="E1388" s="15">
        <f t="shared" si="1"/>
        <v>2025</v>
      </c>
      <c r="F1388" s="15">
        <f t="shared" si="2"/>
        <v>7</v>
      </c>
      <c r="G1388" s="15">
        <f t="shared" si="3"/>
        <v>13</v>
      </c>
    </row>
    <row r="1389">
      <c r="A1389" s="10" t="s">
        <v>27</v>
      </c>
      <c r="B1389" s="9">
        <f t="shared" si="4"/>
        <v>45851</v>
      </c>
      <c r="C1389" s="77" t="s">
        <v>1572</v>
      </c>
      <c r="D1389" s="13">
        <f>D1386+D1387-D1388</f>
        <v>47676.709</v>
      </c>
      <c r="E1389" s="15">
        <f t="shared" si="1"/>
        <v>2025</v>
      </c>
      <c r="F1389" s="15">
        <f t="shared" si="2"/>
        <v>7</v>
      </c>
      <c r="G1389" s="15">
        <f t="shared" si="3"/>
        <v>13</v>
      </c>
    </row>
    <row r="1390">
      <c r="A1390" s="10" t="s">
        <v>27</v>
      </c>
      <c r="B1390" s="9">
        <f t="shared" si="4"/>
        <v>45852</v>
      </c>
      <c r="C1390" s="77" t="s">
        <v>1569</v>
      </c>
      <c r="D1390" s="12">
        <f>D1389</f>
        <v>47676.709</v>
      </c>
      <c r="E1390" s="15">
        <f t="shared" si="1"/>
        <v>2025</v>
      </c>
      <c r="F1390" s="15">
        <f t="shared" si="2"/>
        <v>7</v>
      </c>
      <c r="G1390" s="15">
        <f t="shared" si="3"/>
        <v>14</v>
      </c>
    </row>
    <row r="1391">
      <c r="A1391" s="10" t="s">
        <v>27</v>
      </c>
      <c r="B1391" s="9">
        <f t="shared" si="4"/>
        <v>45852</v>
      </c>
      <c r="C1391" s="77" t="s">
        <v>1570</v>
      </c>
      <c r="D1391" s="13">
        <f>SUMIFS('Lançamentos de receitas'!$E:$E,'Lançamentos de receitas'!$A:$A,B1391,'Lançamentos de receitas'!$C:$C,A1391,'Lançamentos de receitas'!$F:$F,"TRANSFERÊNCIA")</f>
        <v>11081.9</v>
      </c>
      <c r="E1391" s="15">
        <f t="shared" si="1"/>
        <v>2025</v>
      </c>
      <c r="F1391" s="15">
        <f t="shared" si="2"/>
        <v>7</v>
      </c>
      <c r="G1391" s="15">
        <f t="shared" si="3"/>
        <v>14</v>
      </c>
    </row>
    <row r="1392">
      <c r="A1392" s="10" t="s">
        <v>27</v>
      </c>
      <c r="B1392" s="9">
        <f t="shared" si="4"/>
        <v>45852</v>
      </c>
      <c r="C1392" s="77" t="s">
        <v>1571</v>
      </c>
      <c r="D1392" s="13">
        <f>SUMIFS('Lançamentos de despesas'!$K:$K,'Lançamentos de despesas'!$C:$C,B1392,'Lançamentos de despesas'!$G:$G,A1392,'Lançamentos de despesas'!$E:$E,"pago")</f>
        <v>8657.69</v>
      </c>
      <c r="E1392" s="15">
        <f t="shared" si="1"/>
        <v>2025</v>
      </c>
      <c r="F1392" s="15">
        <f t="shared" si="2"/>
        <v>7</v>
      </c>
      <c r="G1392" s="15">
        <f t="shared" si="3"/>
        <v>14</v>
      </c>
    </row>
    <row r="1393">
      <c r="A1393" s="10" t="s">
        <v>27</v>
      </c>
      <c r="B1393" s="9">
        <f t="shared" si="4"/>
        <v>45852</v>
      </c>
      <c r="C1393" s="77" t="s">
        <v>1572</v>
      </c>
      <c r="D1393" s="13">
        <f>D1390+D1391-D1392</f>
        <v>50100.919</v>
      </c>
      <c r="E1393" s="15">
        <f t="shared" si="1"/>
        <v>2025</v>
      </c>
      <c r="F1393" s="15">
        <f t="shared" si="2"/>
        <v>7</v>
      </c>
      <c r="G1393" s="15">
        <f t="shared" si="3"/>
        <v>14</v>
      </c>
    </row>
    <row r="1394">
      <c r="A1394" s="10" t="s">
        <v>27</v>
      </c>
      <c r="B1394" s="9">
        <f t="shared" si="4"/>
        <v>45853</v>
      </c>
      <c r="C1394" s="77" t="s">
        <v>1569</v>
      </c>
      <c r="D1394" s="12">
        <f>D1393</f>
        <v>50100.919</v>
      </c>
      <c r="E1394" s="15">
        <f t="shared" si="1"/>
        <v>2025</v>
      </c>
      <c r="F1394" s="15">
        <f t="shared" si="2"/>
        <v>7</v>
      </c>
      <c r="G1394" s="15">
        <f t="shared" si="3"/>
        <v>15</v>
      </c>
    </row>
    <row r="1395">
      <c r="A1395" s="10" t="s">
        <v>27</v>
      </c>
      <c r="B1395" s="9">
        <f t="shared" si="4"/>
        <v>45853</v>
      </c>
      <c r="C1395" s="77" t="s">
        <v>1570</v>
      </c>
      <c r="D1395" s="13">
        <f>SUMIFS('Lançamentos de receitas'!$E:$E,'Lançamentos de receitas'!$A:$A,B1395,'Lançamentos de receitas'!$C:$C,A1395,'Lançamentos de receitas'!$F:$F,"TRANSFERÊNCIA")</f>
        <v>830.94</v>
      </c>
      <c r="E1395" s="15">
        <f t="shared" si="1"/>
        <v>2025</v>
      </c>
      <c r="F1395" s="15">
        <f t="shared" si="2"/>
        <v>7</v>
      </c>
      <c r="G1395" s="15">
        <f t="shared" si="3"/>
        <v>15</v>
      </c>
    </row>
    <row r="1396">
      <c r="A1396" s="10" t="s">
        <v>27</v>
      </c>
      <c r="B1396" s="9">
        <f t="shared" si="4"/>
        <v>45853</v>
      </c>
      <c r="C1396" s="77" t="s">
        <v>1571</v>
      </c>
      <c r="D1396" s="13">
        <f>SUMIFS('Lançamentos de despesas'!$K:$K,'Lançamentos de despesas'!$C:$C,B1396,'Lançamentos de despesas'!$G:$G,A1396,'Lançamentos de despesas'!$E:$E,"pago")</f>
        <v>3450</v>
      </c>
      <c r="E1396" s="15">
        <f t="shared" si="1"/>
        <v>2025</v>
      </c>
      <c r="F1396" s="15">
        <f t="shared" si="2"/>
        <v>7</v>
      </c>
      <c r="G1396" s="15">
        <f t="shared" si="3"/>
        <v>15</v>
      </c>
    </row>
    <row r="1397">
      <c r="A1397" s="10" t="s">
        <v>27</v>
      </c>
      <c r="B1397" s="9">
        <f t="shared" si="4"/>
        <v>45853</v>
      </c>
      <c r="C1397" s="77" t="s">
        <v>1572</v>
      </c>
      <c r="D1397" s="13">
        <f>D1394+D1395-D1396</f>
        <v>47481.859</v>
      </c>
      <c r="E1397" s="15">
        <f t="shared" si="1"/>
        <v>2025</v>
      </c>
      <c r="F1397" s="15">
        <f t="shared" si="2"/>
        <v>7</v>
      </c>
      <c r="G1397" s="15">
        <f t="shared" si="3"/>
        <v>15</v>
      </c>
    </row>
    <row r="1398">
      <c r="A1398" s="10" t="s">
        <v>27</v>
      </c>
      <c r="B1398" s="9">
        <f t="shared" si="4"/>
        <v>45854</v>
      </c>
      <c r="C1398" s="77" t="s">
        <v>1569</v>
      </c>
      <c r="D1398" s="12">
        <f>D1397</f>
        <v>47481.859</v>
      </c>
      <c r="E1398" s="15">
        <f t="shared" si="1"/>
        <v>2025</v>
      </c>
      <c r="F1398" s="15">
        <f t="shared" si="2"/>
        <v>7</v>
      </c>
      <c r="G1398" s="15">
        <f t="shared" si="3"/>
        <v>16</v>
      </c>
    </row>
    <row r="1399">
      <c r="A1399" s="10" t="s">
        <v>27</v>
      </c>
      <c r="B1399" s="9">
        <f t="shared" si="4"/>
        <v>45854</v>
      </c>
      <c r="C1399" s="77" t="s">
        <v>1570</v>
      </c>
      <c r="D1399" s="13">
        <f>SUMIFS('Lançamentos de receitas'!$E:$E,'Lançamentos de receitas'!$A:$A,B1399,'Lançamentos de receitas'!$C:$C,A1399,'Lançamentos de receitas'!$F:$F,"TRANSFERÊNCIA")</f>
        <v>689.37</v>
      </c>
      <c r="E1399" s="15">
        <f t="shared" si="1"/>
        <v>2025</v>
      </c>
      <c r="F1399" s="15">
        <f t="shared" si="2"/>
        <v>7</v>
      </c>
      <c r="G1399" s="15">
        <f t="shared" si="3"/>
        <v>16</v>
      </c>
    </row>
    <row r="1400">
      <c r="A1400" s="10" t="s">
        <v>27</v>
      </c>
      <c r="B1400" s="9">
        <f t="shared" si="4"/>
        <v>45854</v>
      </c>
      <c r="C1400" s="77" t="s">
        <v>1571</v>
      </c>
      <c r="D1400" s="13">
        <f>SUMIFS('Lançamentos de despesas'!$K:$K,'Lançamentos de despesas'!$C:$C,B1400,'Lançamentos de despesas'!$G:$G,A1400,'Lançamentos de despesas'!$E:$E,"pago")</f>
        <v>0</v>
      </c>
      <c r="E1400" s="15">
        <f t="shared" si="1"/>
        <v>2025</v>
      </c>
      <c r="F1400" s="15">
        <f t="shared" si="2"/>
        <v>7</v>
      </c>
      <c r="G1400" s="15">
        <f t="shared" si="3"/>
        <v>16</v>
      </c>
    </row>
    <row r="1401">
      <c r="A1401" s="10" t="s">
        <v>27</v>
      </c>
      <c r="B1401" s="9">
        <f t="shared" si="4"/>
        <v>45854</v>
      </c>
      <c r="C1401" s="77" t="s">
        <v>1572</v>
      </c>
      <c r="D1401" s="13">
        <f>D1398+D1399-D1400</f>
        <v>48171.229</v>
      </c>
      <c r="E1401" s="15">
        <f t="shared" si="1"/>
        <v>2025</v>
      </c>
      <c r="F1401" s="15">
        <f t="shared" si="2"/>
        <v>7</v>
      </c>
      <c r="G1401" s="15">
        <f t="shared" si="3"/>
        <v>16</v>
      </c>
    </row>
    <row r="1402">
      <c r="A1402" s="10" t="s">
        <v>27</v>
      </c>
      <c r="B1402" s="9">
        <f t="shared" si="4"/>
        <v>45855</v>
      </c>
      <c r="C1402" s="77" t="s">
        <v>1569</v>
      </c>
      <c r="D1402" s="12">
        <f>D1401</f>
        <v>48171.229</v>
      </c>
      <c r="E1402" s="15">
        <f t="shared" si="1"/>
        <v>2025</v>
      </c>
      <c r="F1402" s="15">
        <f t="shared" si="2"/>
        <v>7</v>
      </c>
      <c r="G1402" s="15">
        <f t="shared" si="3"/>
        <v>17</v>
      </c>
    </row>
    <row r="1403">
      <c r="A1403" s="10" t="s">
        <v>27</v>
      </c>
      <c r="B1403" s="9">
        <f t="shared" si="4"/>
        <v>45855</v>
      </c>
      <c r="C1403" s="77" t="s">
        <v>1570</v>
      </c>
      <c r="D1403" s="13">
        <f>SUMIFS('Lançamentos de receitas'!$E:$E,'Lançamentos de receitas'!$A:$A,B1403,'Lançamentos de receitas'!$C:$C,A1403,'Lançamentos de receitas'!$F:$F,"TRANSFERÊNCIA")</f>
        <v>973.71</v>
      </c>
      <c r="E1403" s="15">
        <f t="shared" si="1"/>
        <v>2025</v>
      </c>
      <c r="F1403" s="15">
        <f t="shared" si="2"/>
        <v>7</v>
      </c>
      <c r="G1403" s="15">
        <f t="shared" si="3"/>
        <v>17</v>
      </c>
    </row>
    <row r="1404">
      <c r="A1404" s="10" t="s">
        <v>27</v>
      </c>
      <c r="B1404" s="9">
        <f t="shared" si="4"/>
        <v>45855</v>
      </c>
      <c r="C1404" s="77" t="s">
        <v>1571</v>
      </c>
      <c r="D1404" s="13">
        <f>SUMIFS('Lançamentos de despesas'!$K:$K,'Lançamentos de despesas'!$C:$C,B1404,'Lançamentos de despesas'!$G:$G,A1404,'Lançamentos de despesas'!$E:$E,"pago")</f>
        <v>0</v>
      </c>
      <c r="E1404" s="15">
        <f t="shared" si="1"/>
        <v>2025</v>
      </c>
      <c r="F1404" s="15">
        <f t="shared" si="2"/>
        <v>7</v>
      </c>
      <c r="G1404" s="15">
        <f t="shared" si="3"/>
        <v>17</v>
      </c>
    </row>
    <row r="1405">
      <c r="A1405" s="10" t="s">
        <v>27</v>
      </c>
      <c r="B1405" s="9">
        <f t="shared" si="4"/>
        <v>45855</v>
      </c>
      <c r="C1405" s="77" t="s">
        <v>1572</v>
      </c>
      <c r="D1405" s="13">
        <f>D1402+D1403-D1404</f>
        <v>49144.939</v>
      </c>
      <c r="E1405" s="15">
        <f t="shared" si="1"/>
        <v>2025</v>
      </c>
      <c r="F1405" s="15">
        <f t="shared" si="2"/>
        <v>7</v>
      </c>
      <c r="G1405" s="15">
        <f t="shared" si="3"/>
        <v>17</v>
      </c>
    </row>
    <row r="1406">
      <c r="A1406" s="10" t="s">
        <v>27</v>
      </c>
      <c r="B1406" s="9">
        <f t="shared" si="4"/>
        <v>45856</v>
      </c>
      <c r="C1406" s="77" t="s">
        <v>1569</v>
      </c>
      <c r="D1406" s="12">
        <f>D1405</f>
        <v>49144.939</v>
      </c>
      <c r="E1406" s="15">
        <f t="shared" si="1"/>
        <v>2025</v>
      </c>
      <c r="F1406" s="15">
        <f t="shared" si="2"/>
        <v>7</v>
      </c>
      <c r="G1406" s="15">
        <f t="shared" si="3"/>
        <v>18</v>
      </c>
    </row>
    <row r="1407">
      <c r="A1407" s="10" t="s">
        <v>27</v>
      </c>
      <c r="B1407" s="9">
        <f t="shared" si="4"/>
        <v>45856</v>
      </c>
      <c r="C1407" s="77" t="s">
        <v>1570</v>
      </c>
      <c r="D1407" s="13">
        <f>SUMIFS('Lançamentos de receitas'!$E:$E,'Lançamentos de receitas'!$A:$A,B1407,'Lançamentos de receitas'!$C:$C,A1407,'Lançamentos de receitas'!$F:$F,"TRANSFERÊNCIA")</f>
        <v>19390.97</v>
      </c>
      <c r="E1407" s="15">
        <f t="shared" si="1"/>
        <v>2025</v>
      </c>
      <c r="F1407" s="15">
        <f t="shared" si="2"/>
        <v>7</v>
      </c>
      <c r="G1407" s="15">
        <f t="shared" si="3"/>
        <v>18</v>
      </c>
    </row>
    <row r="1408">
      <c r="A1408" s="10" t="s">
        <v>27</v>
      </c>
      <c r="B1408" s="9">
        <f t="shared" si="4"/>
        <v>45856</v>
      </c>
      <c r="C1408" s="77" t="s">
        <v>1571</v>
      </c>
      <c r="D1408" s="13">
        <f>SUMIFS('Lançamentos de despesas'!$K:$K,'Lançamentos de despesas'!$C:$C,B1408,'Lançamentos de despesas'!$G:$G,A1408,'Lançamentos de despesas'!$E:$E,"pago")</f>
        <v>14387.24</v>
      </c>
      <c r="E1408" s="15">
        <f t="shared" si="1"/>
        <v>2025</v>
      </c>
      <c r="F1408" s="15">
        <f t="shared" si="2"/>
        <v>7</v>
      </c>
      <c r="G1408" s="15">
        <f t="shared" si="3"/>
        <v>18</v>
      </c>
    </row>
    <row r="1409">
      <c r="A1409" s="10" t="s">
        <v>27</v>
      </c>
      <c r="B1409" s="9">
        <f t="shared" si="4"/>
        <v>45856</v>
      </c>
      <c r="C1409" s="77" t="s">
        <v>1572</v>
      </c>
      <c r="D1409" s="13">
        <f>D1406+D1407-D1408</f>
        <v>54148.669</v>
      </c>
      <c r="E1409" s="15">
        <f t="shared" si="1"/>
        <v>2025</v>
      </c>
      <c r="F1409" s="15">
        <f t="shared" si="2"/>
        <v>7</v>
      </c>
      <c r="G1409" s="15">
        <f t="shared" si="3"/>
        <v>18</v>
      </c>
    </row>
    <row r="1410">
      <c r="A1410" s="10" t="s">
        <v>27</v>
      </c>
      <c r="B1410" s="9">
        <f t="shared" si="4"/>
        <v>45857</v>
      </c>
      <c r="C1410" s="77" t="s">
        <v>1569</v>
      </c>
      <c r="D1410" s="12">
        <f>D1409</f>
        <v>54148.669</v>
      </c>
      <c r="E1410" s="15">
        <f t="shared" si="1"/>
        <v>2025</v>
      </c>
      <c r="F1410" s="15">
        <f t="shared" si="2"/>
        <v>7</v>
      </c>
      <c r="G1410" s="15">
        <f t="shared" si="3"/>
        <v>19</v>
      </c>
    </row>
    <row r="1411">
      <c r="A1411" s="10" t="s">
        <v>27</v>
      </c>
      <c r="B1411" s="9">
        <f t="shared" si="4"/>
        <v>45857</v>
      </c>
      <c r="C1411" s="77" t="s">
        <v>1570</v>
      </c>
      <c r="D1411" s="13">
        <f>SUMIFS('Lançamentos de receitas'!$E:$E,'Lançamentos de receitas'!$A:$A,B1411,'Lançamentos de receitas'!$C:$C,A1411,'Lançamentos de receitas'!$F:$F,"TRANSFERÊNCIA")</f>
        <v>690.29</v>
      </c>
      <c r="E1411" s="15">
        <f t="shared" si="1"/>
        <v>2025</v>
      </c>
      <c r="F1411" s="15">
        <f t="shared" si="2"/>
        <v>7</v>
      </c>
      <c r="G1411" s="15">
        <f t="shared" si="3"/>
        <v>19</v>
      </c>
    </row>
    <row r="1412">
      <c r="A1412" s="10" t="s">
        <v>27</v>
      </c>
      <c r="B1412" s="9">
        <f t="shared" si="4"/>
        <v>45857</v>
      </c>
      <c r="C1412" s="77" t="s">
        <v>1571</v>
      </c>
      <c r="D1412" s="13">
        <f>SUMIFS('Lançamentos de despesas'!$K:$K,'Lançamentos de despesas'!$C:$C,B1412,'Lançamentos de despesas'!$G:$G,A1412,'Lançamentos de despesas'!$E:$E,"pago")</f>
        <v>0</v>
      </c>
      <c r="E1412" s="15">
        <f t="shared" si="1"/>
        <v>2025</v>
      </c>
      <c r="F1412" s="15">
        <f t="shared" si="2"/>
        <v>7</v>
      </c>
      <c r="G1412" s="15">
        <f t="shared" si="3"/>
        <v>19</v>
      </c>
    </row>
    <row r="1413">
      <c r="A1413" s="10" t="s">
        <v>27</v>
      </c>
      <c r="B1413" s="9">
        <f t="shared" si="4"/>
        <v>45857</v>
      </c>
      <c r="C1413" s="77" t="s">
        <v>1572</v>
      </c>
      <c r="D1413" s="13">
        <f>D1410+D1411-D1412</f>
        <v>54838.959</v>
      </c>
      <c r="E1413" s="15">
        <f t="shared" si="1"/>
        <v>2025</v>
      </c>
      <c r="F1413" s="15">
        <f t="shared" si="2"/>
        <v>7</v>
      </c>
      <c r="G1413" s="15">
        <f t="shared" si="3"/>
        <v>19</v>
      </c>
    </row>
    <row r="1414">
      <c r="A1414" s="10" t="s">
        <v>27</v>
      </c>
      <c r="B1414" s="9">
        <f t="shared" si="4"/>
        <v>45858</v>
      </c>
      <c r="C1414" s="77" t="s">
        <v>1569</v>
      </c>
      <c r="D1414" s="12">
        <f>D1413</f>
        <v>54838.959</v>
      </c>
      <c r="E1414" s="15">
        <f t="shared" si="1"/>
        <v>2025</v>
      </c>
      <c r="F1414" s="15">
        <f t="shared" si="2"/>
        <v>7</v>
      </c>
      <c r="G1414" s="15">
        <f t="shared" si="3"/>
        <v>20</v>
      </c>
    </row>
    <row r="1415">
      <c r="A1415" s="10" t="s">
        <v>27</v>
      </c>
      <c r="B1415" s="9">
        <f t="shared" si="4"/>
        <v>45858</v>
      </c>
      <c r="C1415" s="77" t="s">
        <v>1570</v>
      </c>
      <c r="D1415" s="13">
        <f>SUMIFS('Lançamentos de receitas'!$E:$E,'Lançamentos de receitas'!$A:$A,B1415,'Lançamentos de receitas'!$C:$C,A1415,'Lançamentos de receitas'!$F:$F,"TRANSFERÊNCIA")</f>
        <v>1280.82</v>
      </c>
      <c r="E1415" s="15">
        <f t="shared" si="1"/>
        <v>2025</v>
      </c>
      <c r="F1415" s="15">
        <f t="shared" si="2"/>
        <v>7</v>
      </c>
      <c r="G1415" s="15">
        <f t="shared" si="3"/>
        <v>20</v>
      </c>
    </row>
    <row r="1416">
      <c r="A1416" s="10" t="s">
        <v>27</v>
      </c>
      <c r="B1416" s="9">
        <f t="shared" si="4"/>
        <v>45858</v>
      </c>
      <c r="C1416" s="77" t="s">
        <v>1571</v>
      </c>
      <c r="D1416" s="13">
        <f>SUMIFS('Lançamentos de despesas'!$K:$K,'Lançamentos de despesas'!$C:$C,B1416,'Lançamentos de despesas'!$G:$G,A1416,'Lançamentos de despesas'!$E:$E,"pago")</f>
        <v>0</v>
      </c>
      <c r="E1416" s="15">
        <f t="shared" si="1"/>
        <v>2025</v>
      </c>
      <c r="F1416" s="15">
        <f t="shared" si="2"/>
        <v>7</v>
      </c>
      <c r="G1416" s="15">
        <f t="shared" si="3"/>
        <v>20</v>
      </c>
    </row>
    <row r="1417">
      <c r="A1417" s="10" t="s">
        <v>27</v>
      </c>
      <c r="B1417" s="9">
        <f t="shared" si="4"/>
        <v>45858</v>
      </c>
      <c r="C1417" s="77" t="s">
        <v>1572</v>
      </c>
      <c r="D1417" s="13">
        <f>D1414+D1415-D1416</f>
        <v>56119.779</v>
      </c>
      <c r="E1417" s="15">
        <f t="shared" si="1"/>
        <v>2025</v>
      </c>
      <c r="F1417" s="15">
        <f t="shared" si="2"/>
        <v>7</v>
      </c>
      <c r="G1417" s="15">
        <f t="shared" si="3"/>
        <v>20</v>
      </c>
    </row>
    <row r="1418">
      <c r="A1418" s="10" t="s">
        <v>27</v>
      </c>
      <c r="B1418" s="9">
        <f t="shared" si="4"/>
        <v>45859</v>
      </c>
      <c r="C1418" s="77" t="s">
        <v>1569</v>
      </c>
      <c r="D1418" s="12">
        <f>D1417</f>
        <v>56119.779</v>
      </c>
      <c r="E1418" s="15">
        <f t="shared" si="1"/>
        <v>2025</v>
      </c>
      <c r="F1418" s="15">
        <f t="shared" si="2"/>
        <v>7</v>
      </c>
      <c r="G1418" s="15">
        <f t="shared" si="3"/>
        <v>21</v>
      </c>
    </row>
    <row r="1419">
      <c r="A1419" s="10" t="s">
        <v>27</v>
      </c>
      <c r="B1419" s="9">
        <f t="shared" si="4"/>
        <v>45859</v>
      </c>
      <c r="C1419" s="77" t="s">
        <v>1570</v>
      </c>
      <c r="D1419" s="13">
        <f>SUMIFS('Lançamentos de receitas'!$E:$E,'Lançamentos de receitas'!$A:$A,B1419,'Lançamentos de receitas'!$C:$C,A1419,'Lançamentos de receitas'!$F:$F,"TRANSFERÊNCIA")</f>
        <v>206.16</v>
      </c>
      <c r="E1419" s="15">
        <f t="shared" si="1"/>
        <v>2025</v>
      </c>
      <c r="F1419" s="15">
        <f t="shared" si="2"/>
        <v>7</v>
      </c>
      <c r="G1419" s="15">
        <f t="shared" si="3"/>
        <v>21</v>
      </c>
    </row>
    <row r="1420">
      <c r="A1420" s="10" t="s">
        <v>27</v>
      </c>
      <c r="B1420" s="9">
        <f t="shared" si="4"/>
        <v>45859</v>
      </c>
      <c r="C1420" s="77" t="s">
        <v>1571</v>
      </c>
      <c r="D1420" s="13">
        <f>SUMIFS('Lançamentos de despesas'!$K:$K,'Lançamentos de despesas'!$C:$C,B1420,'Lançamentos de despesas'!$G:$G,A1420,'Lançamentos de despesas'!$E:$E,"pago")</f>
        <v>32012.89</v>
      </c>
      <c r="E1420" s="15">
        <f t="shared" si="1"/>
        <v>2025</v>
      </c>
      <c r="F1420" s="15">
        <f t="shared" si="2"/>
        <v>7</v>
      </c>
      <c r="G1420" s="15">
        <f t="shared" si="3"/>
        <v>21</v>
      </c>
    </row>
    <row r="1421">
      <c r="A1421" s="10" t="s">
        <v>27</v>
      </c>
      <c r="B1421" s="9">
        <f t="shared" si="4"/>
        <v>45859</v>
      </c>
      <c r="C1421" s="77" t="s">
        <v>1572</v>
      </c>
      <c r="D1421" s="13">
        <f>D1418+D1419-D1420</f>
        <v>24313.049</v>
      </c>
      <c r="E1421" s="15">
        <f t="shared" si="1"/>
        <v>2025</v>
      </c>
      <c r="F1421" s="15">
        <f t="shared" si="2"/>
        <v>7</v>
      </c>
      <c r="G1421" s="15">
        <f t="shared" si="3"/>
        <v>21</v>
      </c>
    </row>
    <row r="1422">
      <c r="A1422" s="10" t="s">
        <v>27</v>
      </c>
      <c r="B1422" s="9">
        <f t="shared" si="4"/>
        <v>45860</v>
      </c>
      <c r="C1422" s="77" t="s">
        <v>1569</v>
      </c>
      <c r="D1422" s="12">
        <f>D1421</f>
        <v>24313.049</v>
      </c>
      <c r="E1422" s="15">
        <f t="shared" si="1"/>
        <v>2025</v>
      </c>
      <c r="F1422" s="15">
        <f t="shared" si="2"/>
        <v>7</v>
      </c>
      <c r="G1422" s="15">
        <f t="shared" si="3"/>
        <v>22</v>
      </c>
    </row>
    <row r="1423">
      <c r="A1423" s="10" t="s">
        <v>27</v>
      </c>
      <c r="B1423" s="9">
        <f t="shared" si="4"/>
        <v>45860</v>
      </c>
      <c r="C1423" s="77" t="s">
        <v>1570</v>
      </c>
      <c r="D1423" s="13">
        <f>SUMIFS('Lançamentos de receitas'!$E:$E,'Lançamentos de receitas'!$A:$A,B1423,'Lançamentos de receitas'!$C:$C,A1423,'Lançamentos de receitas'!$F:$F,"TRANSFERÊNCIA")</f>
        <v>539.63</v>
      </c>
      <c r="E1423" s="15">
        <f t="shared" si="1"/>
        <v>2025</v>
      </c>
      <c r="F1423" s="15">
        <f t="shared" si="2"/>
        <v>7</v>
      </c>
      <c r="G1423" s="15">
        <f t="shared" si="3"/>
        <v>22</v>
      </c>
    </row>
    <row r="1424">
      <c r="A1424" s="10" t="s">
        <v>27</v>
      </c>
      <c r="B1424" s="9">
        <f t="shared" si="4"/>
        <v>45860</v>
      </c>
      <c r="C1424" s="77" t="s">
        <v>1571</v>
      </c>
      <c r="D1424" s="13">
        <f>SUMIFS('Lançamentos de despesas'!$K:$K,'Lançamentos de despesas'!$C:$C,B1424,'Lançamentos de despesas'!$G:$G,A1424,'Lançamentos de despesas'!$E:$E,"pago")</f>
        <v>1214.27</v>
      </c>
      <c r="E1424" s="15">
        <f t="shared" si="1"/>
        <v>2025</v>
      </c>
      <c r="F1424" s="15">
        <f t="shared" si="2"/>
        <v>7</v>
      </c>
      <c r="G1424" s="15">
        <f t="shared" si="3"/>
        <v>22</v>
      </c>
    </row>
    <row r="1425">
      <c r="A1425" s="10" t="s">
        <v>27</v>
      </c>
      <c r="B1425" s="9">
        <f t="shared" si="4"/>
        <v>45860</v>
      </c>
      <c r="C1425" s="77" t="s">
        <v>1572</v>
      </c>
      <c r="D1425" s="13">
        <f>D1422+D1423-D1424</f>
        <v>23638.409</v>
      </c>
      <c r="E1425" s="15">
        <f t="shared" si="1"/>
        <v>2025</v>
      </c>
      <c r="F1425" s="15">
        <f t="shared" si="2"/>
        <v>7</v>
      </c>
      <c r="G1425" s="15">
        <f t="shared" si="3"/>
        <v>22</v>
      </c>
    </row>
    <row r="1426">
      <c r="A1426" s="10" t="s">
        <v>27</v>
      </c>
      <c r="B1426" s="9">
        <f t="shared" si="4"/>
        <v>45861</v>
      </c>
      <c r="C1426" s="77" t="s">
        <v>1569</v>
      </c>
      <c r="D1426" s="12">
        <f>D1425</f>
        <v>23638.409</v>
      </c>
      <c r="E1426" s="15">
        <f t="shared" si="1"/>
        <v>2025</v>
      </c>
      <c r="F1426" s="15">
        <f t="shared" si="2"/>
        <v>7</v>
      </c>
      <c r="G1426" s="15">
        <f t="shared" si="3"/>
        <v>23</v>
      </c>
    </row>
    <row r="1427">
      <c r="A1427" s="10" t="s">
        <v>27</v>
      </c>
      <c r="B1427" s="9">
        <f t="shared" si="4"/>
        <v>45861</v>
      </c>
      <c r="C1427" s="77" t="s">
        <v>1570</v>
      </c>
      <c r="D1427" s="13">
        <f>SUMIFS('Lançamentos de receitas'!$E:$E,'Lançamentos de receitas'!$A:$A,B1427,'Lançamentos de receitas'!$C:$C,A1427,'Lançamentos de receitas'!$F:$F,"TRANSFERÊNCIA")</f>
        <v>611.92</v>
      </c>
      <c r="E1427" s="15">
        <f t="shared" si="1"/>
        <v>2025</v>
      </c>
      <c r="F1427" s="15">
        <f t="shared" si="2"/>
        <v>7</v>
      </c>
      <c r="G1427" s="15">
        <f t="shared" si="3"/>
        <v>23</v>
      </c>
    </row>
    <row r="1428">
      <c r="A1428" s="10" t="s">
        <v>27</v>
      </c>
      <c r="B1428" s="9">
        <f t="shared" si="4"/>
        <v>45861</v>
      </c>
      <c r="C1428" s="77" t="s">
        <v>1571</v>
      </c>
      <c r="D1428" s="13">
        <f>SUMIFS('Lançamentos de despesas'!$K:$K,'Lançamentos de despesas'!$C:$C,B1428,'Lançamentos de despesas'!$G:$G,A1428,'Lançamentos de despesas'!$E:$E,"pago")</f>
        <v>1300</v>
      </c>
      <c r="E1428" s="15">
        <f t="shared" si="1"/>
        <v>2025</v>
      </c>
      <c r="F1428" s="15">
        <f t="shared" si="2"/>
        <v>7</v>
      </c>
      <c r="G1428" s="15">
        <f t="shared" si="3"/>
        <v>23</v>
      </c>
    </row>
    <row r="1429">
      <c r="A1429" s="10" t="s">
        <v>27</v>
      </c>
      <c r="B1429" s="9">
        <f t="shared" si="4"/>
        <v>45861</v>
      </c>
      <c r="C1429" s="77" t="s">
        <v>1572</v>
      </c>
      <c r="D1429" s="13">
        <f>D1426+D1427-D1428</f>
        <v>22950.329</v>
      </c>
      <c r="E1429" s="15">
        <f t="shared" si="1"/>
        <v>2025</v>
      </c>
      <c r="F1429" s="15">
        <f t="shared" si="2"/>
        <v>7</v>
      </c>
      <c r="G1429" s="15">
        <f t="shared" si="3"/>
        <v>23</v>
      </c>
    </row>
    <row r="1430">
      <c r="A1430" s="10" t="s">
        <v>27</v>
      </c>
      <c r="B1430" s="9">
        <f t="shared" si="4"/>
        <v>45862</v>
      </c>
      <c r="C1430" s="77" t="s">
        <v>1569</v>
      </c>
      <c r="D1430" s="12">
        <f>D1429</f>
        <v>22950.329</v>
      </c>
      <c r="E1430" s="15">
        <f t="shared" si="1"/>
        <v>2025</v>
      </c>
      <c r="F1430" s="15">
        <f t="shared" si="2"/>
        <v>7</v>
      </c>
      <c r="G1430" s="15">
        <f t="shared" si="3"/>
        <v>24</v>
      </c>
    </row>
    <row r="1431">
      <c r="A1431" s="10" t="s">
        <v>27</v>
      </c>
      <c r="B1431" s="9">
        <f t="shared" si="4"/>
        <v>45862</v>
      </c>
      <c r="C1431" s="77" t="s">
        <v>1570</v>
      </c>
      <c r="D1431" s="13">
        <f>SUMIFS('Lançamentos de receitas'!$E:$E,'Lançamentos de receitas'!$A:$A,B1431,'Lançamentos de receitas'!$C:$C,A1431,'Lançamentos de receitas'!$F:$F,"TRANSFERÊNCIA")</f>
        <v>1189.05</v>
      </c>
      <c r="E1431" s="15">
        <f t="shared" si="1"/>
        <v>2025</v>
      </c>
      <c r="F1431" s="15">
        <f t="shared" si="2"/>
        <v>7</v>
      </c>
      <c r="G1431" s="15">
        <f t="shared" si="3"/>
        <v>24</v>
      </c>
    </row>
    <row r="1432">
      <c r="A1432" s="10" t="s">
        <v>27</v>
      </c>
      <c r="B1432" s="9">
        <f t="shared" si="4"/>
        <v>45862</v>
      </c>
      <c r="C1432" s="77" t="s">
        <v>1571</v>
      </c>
      <c r="D1432" s="13">
        <f>SUMIFS('Lançamentos de despesas'!$K:$K,'Lançamentos de despesas'!$C:$C,B1432,'Lançamentos de despesas'!$G:$G,A1432,'Lançamentos de despesas'!$E:$E,"pago")</f>
        <v>142.68</v>
      </c>
      <c r="E1432" s="15">
        <f t="shared" si="1"/>
        <v>2025</v>
      </c>
      <c r="F1432" s="15">
        <f t="shared" si="2"/>
        <v>7</v>
      </c>
      <c r="G1432" s="15">
        <f t="shared" si="3"/>
        <v>24</v>
      </c>
    </row>
    <row r="1433">
      <c r="A1433" s="10" t="s">
        <v>27</v>
      </c>
      <c r="B1433" s="9">
        <f t="shared" si="4"/>
        <v>45862</v>
      </c>
      <c r="C1433" s="77" t="s">
        <v>1572</v>
      </c>
      <c r="D1433" s="13">
        <f>D1430+D1431-D1432</f>
        <v>23996.699</v>
      </c>
      <c r="E1433" s="15">
        <f t="shared" si="1"/>
        <v>2025</v>
      </c>
      <c r="F1433" s="15">
        <f t="shared" si="2"/>
        <v>7</v>
      </c>
      <c r="G1433" s="15">
        <f t="shared" si="3"/>
        <v>24</v>
      </c>
    </row>
    <row r="1434">
      <c r="A1434" s="10" t="s">
        <v>27</v>
      </c>
      <c r="B1434" s="9">
        <f t="shared" si="4"/>
        <v>45863</v>
      </c>
      <c r="C1434" s="77" t="s">
        <v>1569</v>
      </c>
      <c r="D1434" s="12">
        <f>D1433</f>
        <v>23996.699</v>
      </c>
      <c r="E1434" s="15">
        <f t="shared" si="1"/>
        <v>2025</v>
      </c>
      <c r="F1434" s="15">
        <f t="shared" si="2"/>
        <v>7</v>
      </c>
      <c r="G1434" s="15">
        <f t="shared" si="3"/>
        <v>25</v>
      </c>
    </row>
    <row r="1435">
      <c r="A1435" s="10" t="s">
        <v>27</v>
      </c>
      <c r="B1435" s="9">
        <f t="shared" si="4"/>
        <v>45863</v>
      </c>
      <c r="C1435" s="77" t="s">
        <v>1570</v>
      </c>
      <c r="D1435" s="13">
        <f>SUMIFS('Lançamentos de receitas'!$E:$E,'Lançamentos de receitas'!$A:$A,B1435,'Lançamentos de receitas'!$C:$C,A1435,'Lançamentos de receitas'!$F:$F,"TRANSFERÊNCIA")</f>
        <v>4367.95</v>
      </c>
      <c r="E1435" s="15">
        <f t="shared" si="1"/>
        <v>2025</v>
      </c>
      <c r="F1435" s="15">
        <f t="shared" si="2"/>
        <v>7</v>
      </c>
      <c r="G1435" s="15">
        <f t="shared" si="3"/>
        <v>25</v>
      </c>
    </row>
    <row r="1436">
      <c r="A1436" s="10" t="s">
        <v>27</v>
      </c>
      <c r="B1436" s="9">
        <f t="shared" si="4"/>
        <v>45863</v>
      </c>
      <c r="C1436" s="77" t="s">
        <v>1571</v>
      </c>
      <c r="D1436" s="13">
        <f>SUMIFS('Lançamentos de despesas'!$K:$K,'Lançamentos de despesas'!$C:$C,B1436,'Lançamentos de despesas'!$G:$G,A1436,'Lançamentos de despesas'!$E:$E,"pago")</f>
        <v>174.69</v>
      </c>
      <c r="E1436" s="15">
        <f t="shared" si="1"/>
        <v>2025</v>
      </c>
      <c r="F1436" s="15">
        <f t="shared" si="2"/>
        <v>7</v>
      </c>
      <c r="G1436" s="15">
        <f t="shared" si="3"/>
        <v>25</v>
      </c>
    </row>
    <row r="1437">
      <c r="A1437" s="10" t="s">
        <v>27</v>
      </c>
      <c r="B1437" s="9">
        <f t="shared" si="4"/>
        <v>45863</v>
      </c>
      <c r="C1437" s="77" t="s">
        <v>1572</v>
      </c>
      <c r="D1437" s="13">
        <f>D1434+D1435-D1436</f>
        <v>28189.959</v>
      </c>
      <c r="E1437" s="15">
        <f t="shared" si="1"/>
        <v>2025</v>
      </c>
      <c r="F1437" s="15">
        <f t="shared" si="2"/>
        <v>7</v>
      </c>
      <c r="G1437" s="15">
        <f t="shared" si="3"/>
        <v>25</v>
      </c>
    </row>
    <row r="1438">
      <c r="A1438" s="10" t="s">
        <v>27</v>
      </c>
      <c r="B1438" s="9">
        <f t="shared" si="4"/>
        <v>45864</v>
      </c>
      <c r="C1438" s="77" t="s">
        <v>1569</v>
      </c>
      <c r="D1438" s="12">
        <f>D1437</f>
        <v>28189.959</v>
      </c>
      <c r="E1438" s="15">
        <f t="shared" si="1"/>
        <v>2025</v>
      </c>
      <c r="F1438" s="15">
        <f t="shared" si="2"/>
        <v>7</v>
      </c>
      <c r="G1438" s="15">
        <f t="shared" si="3"/>
        <v>26</v>
      </c>
    </row>
    <row r="1439">
      <c r="A1439" s="10" t="s">
        <v>27</v>
      </c>
      <c r="B1439" s="9">
        <f t="shared" si="4"/>
        <v>45864</v>
      </c>
      <c r="C1439" s="77" t="s">
        <v>1570</v>
      </c>
      <c r="D1439" s="13">
        <f>SUMIFS('Lançamentos de receitas'!$E:$E,'Lançamentos de receitas'!$A:$A,B1439,'Lançamentos de receitas'!$C:$C,A1439,'Lançamentos de receitas'!$F:$F,"TRANSFERÊNCIA")</f>
        <v>977.63</v>
      </c>
      <c r="E1439" s="15">
        <f t="shared" si="1"/>
        <v>2025</v>
      </c>
      <c r="F1439" s="15">
        <f t="shared" si="2"/>
        <v>7</v>
      </c>
      <c r="G1439" s="15">
        <f t="shared" si="3"/>
        <v>26</v>
      </c>
    </row>
    <row r="1440">
      <c r="A1440" s="10" t="s">
        <v>27</v>
      </c>
      <c r="B1440" s="9">
        <f t="shared" si="4"/>
        <v>45864</v>
      </c>
      <c r="C1440" s="77" t="s">
        <v>1571</v>
      </c>
      <c r="D1440" s="13">
        <f>SUMIFS('Lançamentos de despesas'!$K:$K,'Lançamentos de despesas'!$C:$C,B1440,'Lançamentos de despesas'!$G:$G,A1440,'Lançamentos de despesas'!$E:$E,"pago")</f>
        <v>0</v>
      </c>
      <c r="E1440" s="15">
        <f t="shared" si="1"/>
        <v>2025</v>
      </c>
      <c r="F1440" s="15">
        <f t="shared" si="2"/>
        <v>7</v>
      </c>
      <c r="G1440" s="15">
        <f t="shared" si="3"/>
        <v>26</v>
      </c>
    </row>
    <row r="1441">
      <c r="A1441" s="10" t="s">
        <v>27</v>
      </c>
      <c r="B1441" s="9">
        <f t="shared" si="4"/>
        <v>45864</v>
      </c>
      <c r="C1441" s="77" t="s">
        <v>1572</v>
      </c>
      <c r="D1441" s="13">
        <f>D1438+D1439-D1440</f>
        <v>29167.589</v>
      </c>
      <c r="E1441" s="15">
        <f t="shared" si="1"/>
        <v>2025</v>
      </c>
      <c r="F1441" s="15">
        <f t="shared" si="2"/>
        <v>7</v>
      </c>
      <c r="G1441" s="15">
        <f t="shared" si="3"/>
        <v>26</v>
      </c>
    </row>
    <row r="1442">
      <c r="A1442" s="10" t="s">
        <v>27</v>
      </c>
      <c r="B1442" s="9">
        <f t="shared" si="4"/>
        <v>45865</v>
      </c>
      <c r="C1442" s="77" t="s">
        <v>1569</v>
      </c>
      <c r="D1442" s="12">
        <f>D1441</f>
        <v>29167.589</v>
      </c>
      <c r="E1442" s="15">
        <f t="shared" si="1"/>
        <v>2025</v>
      </c>
      <c r="F1442" s="15">
        <f t="shared" si="2"/>
        <v>7</v>
      </c>
      <c r="G1442" s="15">
        <f t="shared" si="3"/>
        <v>27</v>
      </c>
    </row>
    <row r="1443">
      <c r="A1443" s="10" t="s">
        <v>27</v>
      </c>
      <c r="B1443" s="9">
        <f t="shared" si="4"/>
        <v>45865</v>
      </c>
      <c r="C1443" s="77" t="s">
        <v>1570</v>
      </c>
      <c r="D1443" s="13">
        <f>SUMIFS('Lançamentos de receitas'!$E:$E,'Lançamentos de receitas'!$A:$A,B1443,'Lançamentos de receitas'!$C:$C,A1443,'Lançamentos de receitas'!$F:$F,"TRANSFERÊNCIA")</f>
        <v>802.03</v>
      </c>
      <c r="E1443" s="15">
        <f t="shared" si="1"/>
        <v>2025</v>
      </c>
      <c r="F1443" s="15">
        <f t="shared" si="2"/>
        <v>7</v>
      </c>
      <c r="G1443" s="15">
        <f t="shared" si="3"/>
        <v>27</v>
      </c>
    </row>
    <row r="1444">
      <c r="A1444" s="10" t="s">
        <v>27</v>
      </c>
      <c r="B1444" s="9">
        <f t="shared" si="4"/>
        <v>45865</v>
      </c>
      <c r="C1444" s="77" t="s">
        <v>1571</v>
      </c>
      <c r="D1444" s="13">
        <f>SUMIFS('Lançamentos de despesas'!$K:$K,'Lançamentos de despesas'!$C:$C,B1444,'Lançamentos de despesas'!$G:$G,A1444,'Lançamentos de despesas'!$E:$E,"pago")</f>
        <v>0</v>
      </c>
      <c r="E1444" s="15">
        <f t="shared" si="1"/>
        <v>2025</v>
      </c>
      <c r="F1444" s="15">
        <f t="shared" si="2"/>
        <v>7</v>
      </c>
      <c r="G1444" s="15">
        <f t="shared" si="3"/>
        <v>27</v>
      </c>
    </row>
    <row r="1445">
      <c r="A1445" s="10" t="s">
        <v>27</v>
      </c>
      <c r="B1445" s="9">
        <f t="shared" si="4"/>
        <v>45865</v>
      </c>
      <c r="C1445" s="77" t="s">
        <v>1572</v>
      </c>
      <c r="D1445" s="13">
        <f>D1442+D1443-D1444</f>
        <v>29969.619</v>
      </c>
      <c r="E1445" s="15">
        <f t="shared" si="1"/>
        <v>2025</v>
      </c>
      <c r="F1445" s="15">
        <f t="shared" si="2"/>
        <v>7</v>
      </c>
      <c r="G1445" s="15">
        <f t="shared" si="3"/>
        <v>27</v>
      </c>
    </row>
    <row r="1446">
      <c r="A1446" s="10" t="s">
        <v>27</v>
      </c>
      <c r="B1446" s="9">
        <f t="shared" si="4"/>
        <v>45866</v>
      </c>
      <c r="C1446" s="77" t="s">
        <v>1569</v>
      </c>
      <c r="D1446" s="12">
        <f>D1445</f>
        <v>29969.619</v>
      </c>
      <c r="E1446" s="15">
        <f t="shared" si="1"/>
        <v>2025</v>
      </c>
      <c r="F1446" s="15">
        <f t="shared" si="2"/>
        <v>7</v>
      </c>
      <c r="G1446" s="15">
        <f t="shared" si="3"/>
        <v>28</v>
      </c>
    </row>
    <row r="1447">
      <c r="A1447" s="10" t="s">
        <v>27</v>
      </c>
      <c r="B1447" s="9">
        <f t="shared" si="4"/>
        <v>45866</v>
      </c>
      <c r="C1447" s="77" t="s">
        <v>1570</v>
      </c>
      <c r="D1447" s="13">
        <f>SUMIFS('Lançamentos de receitas'!$E:$E,'Lançamentos de receitas'!$A:$A,B1447,'Lançamentos de receitas'!$C:$C,A1447,'Lançamentos de receitas'!$F:$F,"TRANSFERÊNCIA")</f>
        <v>10353.61</v>
      </c>
      <c r="E1447" s="15">
        <f t="shared" si="1"/>
        <v>2025</v>
      </c>
      <c r="F1447" s="15">
        <f t="shared" si="2"/>
        <v>7</v>
      </c>
      <c r="G1447" s="15">
        <f t="shared" si="3"/>
        <v>28</v>
      </c>
    </row>
    <row r="1448">
      <c r="A1448" s="10" t="s">
        <v>27</v>
      </c>
      <c r="B1448" s="9">
        <f t="shared" si="4"/>
        <v>45866</v>
      </c>
      <c r="C1448" s="77" t="s">
        <v>1571</v>
      </c>
      <c r="D1448" s="13">
        <f>SUMIFS('Lançamentos de despesas'!$K:$K,'Lançamentos de despesas'!$C:$C,B1448,'Lançamentos de despesas'!$G:$G,A1448,'Lançamentos de despesas'!$E:$E,"pago")</f>
        <v>0</v>
      </c>
      <c r="E1448" s="15">
        <f t="shared" si="1"/>
        <v>2025</v>
      </c>
      <c r="F1448" s="15">
        <f t="shared" si="2"/>
        <v>7</v>
      </c>
      <c r="G1448" s="15">
        <f t="shared" si="3"/>
        <v>28</v>
      </c>
    </row>
    <row r="1449">
      <c r="A1449" s="10" t="s">
        <v>27</v>
      </c>
      <c r="B1449" s="9">
        <f t="shared" si="4"/>
        <v>45866</v>
      </c>
      <c r="C1449" s="77" t="s">
        <v>1572</v>
      </c>
      <c r="D1449" s="13">
        <f>D1446+D1447-D1448</f>
        <v>40323.229</v>
      </c>
      <c r="E1449" s="15">
        <f t="shared" si="1"/>
        <v>2025</v>
      </c>
      <c r="F1449" s="15">
        <f t="shared" si="2"/>
        <v>7</v>
      </c>
      <c r="G1449" s="15">
        <f t="shared" si="3"/>
        <v>28</v>
      </c>
    </row>
    <row r="1450">
      <c r="A1450" s="10" t="s">
        <v>27</v>
      </c>
      <c r="B1450" s="9">
        <f t="shared" si="4"/>
        <v>45867</v>
      </c>
      <c r="C1450" s="77" t="s">
        <v>1569</v>
      </c>
      <c r="D1450" s="12">
        <f>D1449</f>
        <v>40323.229</v>
      </c>
      <c r="E1450" s="15">
        <f t="shared" si="1"/>
        <v>2025</v>
      </c>
      <c r="F1450" s="15">
        <f t="shared" si="2"/>
        <v>7</v>
      </c>
      <c r="G1450" s="15">
        <f t="shared" si="3"/>
        <v>29</v>
      </c>
    </row>
    <row r="1451">
      <c r="A1451" s="10" t="s">
        <v>27</v>
      </c>
      <c r="B1451" s="9">
        <f t="shared" si="4"/>
        <v>45867</v>
      </c>
      <c r="C1451" s="77" t="s">
        <v>1570</v>
      </c>
      <c r="D1451" s="13">
        <f>SUMIFS('Lançamentos de receitas'!$E:$E,'Lançamentos de receitas'!$A:$A,B1451,'Lançamentos de receitas'!$C:$C,A1451,'Lançamentos de receitas'!$F:$F,"TRANSFERÊNCIA")</f>
        <v>1181.96</v>
      </c>
      <c r="E1451" s="15">
        <f t="shared" si="1"/>
        <v>2025</v>
      </c>
      <c r="F1451" s="15">
        <f t="shared" si="2"/>
        <v>7</v>
      </c>
      <c r="G1451" s="15">
        <f t="shared" si="3"/>
        <v>29</v>
      </c>
    </row>
    <row r="1452">
      <c r="A1452" s="10" t="s">
        <v>27</v>
      </c>
      <c r="B1452" s="9">
        <f t="shared" si="4"/>
        <v>45867</v>
      </c>
      <c r="C1452" s="77" t="s">
        <v>1571</v>
      </c>
      <c r="D1452" s="13">
        <f>SUMIFS('Lançamentos de despesas'!$K:$K,'Lançamentos de despesas'!$C:$C,B1452,'Lançamentos de despesas'!$G:$G,A1452,'Lançamentos de despesas'!$E:$E,"pago")</f>
        <v>360.54</v>
      </c>
      <c r="E1452" s="15">
        <f t="shared" si="1"/>
        <v>2025</v>
      </c>
      <c r="F1452" s="15">
        <f t="shared" si="2"/>
        <v>7</v>
      </c>
      <c r="G1452" s="15">
        <f t="shared" si="3"/>
        <v>29</v>
      </c>
    </row>
    <row r="1453">
      <c r="A1453" s="10" t="s">
        <v>27</v>
      </c>
      <c r="B1453" s="9">
        <f t="shared" si="4"/>
        <v>45867</v>
      </c>
      <c r="C1453" s="77" t="s">
        <v>1572</v>
      </c>
      <c r="D1453" s="13">
        <f>D1450+D1451-D1452</f>
        <v>41144.649</v>
      </c>
      <c r="E1453" s="15">
        <f t="shared" si="1"/>
        <v>2025</v>
      </c>
      <c r="F1453" s="15">
        <f t="shared" si="2"/>
        <v>7</v>
      </c>
      <c r="G1453" s="15">
        <f t="shared" si="3"/>
        <v>29</v>
      </c>
    </row>
    <row r="1454">
      <c r="A1454" s="10" t="s">
        <v>27</v>
      </c>
      <c r="B1454" s="9">
        <f t="shared" si="4"/>
        <v>45868</v>
      </c>
      <c r="C1454" s="77" t="s">
        <v>1569</v>
      </c>
      <c r="D1454" s="12">
        <f>D1453</f>
        <v>41144.649</v>
      </c>
      <c r="E1454" s="15">
        <f t="shared" si="1"/>
        <v>2025</v>
      </c>
      <c r="F1454" s="15">
        <f t="shared" si="2"/>
        <v>7</v>
      </c>
      <c r="G1454" s="15">
        <f t="shared" si="3"/>
        <v>30</v>
      </c>
    </row>
    <row r="1455">
      <c r="A1455" s="10" t="s">
        <v>27</v>
      </c>
      <c r="B1455" s="9">
        <f t="shared" si="4"/>
        <v>45868</v>
      </c>
      <c r="C1455" s="77" t="s">
        <v>1570</v>
      </c>
      <c r="D1455" s="13">
        <f>SUMIFS('Lançamentos de receitas'!$E:$E,'Lançamentos de receitas'!$A:$A,B1455,'Lançamentos de receitas'!$C:$C,A1455,'Lançamentos de receitas'!$F:$F,"TRANSFERÊNCIA")</f>
        <v>1005.47</v>
      </c>
      <c r="E1455" s="15">
        <f t="shared" si="1"/>
        <v>2025</v>
      </c>
      <c r="F1455" s="15">
        <f t="shared" si="2"/>
        <v>7</v>
      </c>
      <c r="G1455" s="15">
        <f t="shared" si="3"/>
        <v>30</v>
      </c>
    </row>
    <row r="1456">
      <c r="A1456" s="10" t="s">
        <v>27</v>
      </c>
      <c r="B1456" s="9">
        <f t="shared" si="4"/>
        <v>45868</v>
      </c>
      <c r="C1456" s="77" t="s">
        <v>1571</v>
      </c>
      <c r="D1456" s="13">
        <f>SUMIFS('Lançamentos de despesas'!$K:$K,'Lançamentos de despesas'!$C:$C,B1456,'Lançamentos de despesas'!$G:$G,A1456,'Lançamentos de despesas'!$E:$E,"pago")</f>
        <v>1624.9</v>
      </c>
      <c r="E1456" s="15">
        <f t="shared" si="1"/>
        <v>2025</v>
      </c>
      <c r="F1456" s="15">
        <f t="shared" si="2"/>
        <v>7</v>
      </c>
      <c r="G1456" s="15">
        <f t="shared" si="3"/>
        <v>30</v>
      </c>
    </row>
    <row r="1457">
      <c r="A1457" s="10" t="s">
        <v>27</v>
      </c>
      <c r="B1457" s="9">
        <f t="shared" si="4"/>
        <v>45868</v>
      </c>
      <c r="C1457" s="77" t="s">
        <v>1572</v>
      </c>
      <c r="D1457" s="13">
        <f>D1454+D1455-D1456</f>
        <v>40525.219</v>
      </c>
      <c r="E1457" s="15">
        <f t="shared" si="1"/>
        <v>2025</v>
      </c>
      <c r="F1457" s="15">
        <f t="shared" si="2"/>
        <v>7</v>
      </c>
      <c r="G1457" s="15">
        <f t="shared" si="3"/>
        <v>30</v>
      </c>
    </row>
    <row r="1458">
      <c r="A1458" s="10" t="s">
        <v>27</v>
      </c>
      <c r="B1458" s="9">
        <f t="shared" si="4"/>
        <v>45869</v>
      </c>
      <c r="C1458" s="77" t="s">
        <v>1569</v>
      </c>
      <c r="D1458" s="12">
        <f>D1457</f>
        <v>40525.219</v>
      </c>
      <c r="E1458" s="15">
        <f t="shared" si="1"/>
        <v>2025</v>
      </c>
      <c r="F1458" s="15">
        <f t="shared" si="2"/>
        <v>7</v>
      </c>
      <c r="G1458" s="15">
        <f t="shared" si="3"/>
        <v>31</v>
      </c>
    </row>
    <row r="1459">
      <c r="A1459" s="10" t="s">
        <v>27</v>
      </c>
      <c r="B1459" s="9">
        <f t="shared" si="4"/>
        <v>45869</v>
      </c>
      <c r="C1459" s="77" t="s">
        <v>1570</v>
      </c>
      <c r="D1459" s="13">
        <f>SUMIFS('Lançamentos de receitas'!$E:$E,'Lançamentos de receitas'!$A:$A,B1459,'Lançamentos de receitas'!$C:$C,A1459,'Lançamentos de receitas'!$F:$F,"TRANSFERÊNCIA")</f>
        <v>752.03</v>
      </c>
      <c r="E1459" s="15">
        <f t="shared" si="1"/>
        <v>2025</v>
      </c>
      <c r="F1459" s="15">
        <f t="shared" si="2"/>
        <v>7</v>
      </c>
      <c r="G1459" s="15">
        <f t="shared" si="3"/>
        <v>31</v>
      </c>
    </row>
    <row r="1460">
      <c r="A1460" s="10" t="s">
        <v>27</v>
      </c>
      <c r="B1460" s="9">
        <f t="shared" si="4"/>
        <v>45869</v>
      </c>
      <c r="C1460" s="77" t="s">
        <v>1571</v>
      </c>
      <c r="D1460" s="13">
        <f>SUMIFS('Lançamentos de despesas'!$K:$K,'Lançamentos de despesas'!$C:$C,B1460,'Lançamentos de despesas'!$G:$G,A1460,'Lançamentos de despesas'!$E:$E,"pago")</f>
        <v>1100</v>
      </c>
      <c r="E1460" s="15">
        <f t="shared" si="1"/>
        <v>2025</v>
      </c>
      <c r="F1460" s="15">
        <f t="shared" si="2"/>
        <v>7</v>
      </c>
      <c r="G1460" s="15">
        <f t="shared" si="3"/>
        <v>31</v>
      </c>
    </row>
    <row r="1461">
      <c r="A1461" s="10" t="s">
        <v>27</v>
      </c>
      <c r="B1461" s="9">
        <f t="shared" si="4"/>
        <v>45869</v>
      </c>
      <c r="C1461" s="77" t="s">
        <v>1572</v>
      </c>
      <c r="D1461" s="13">
        <f>D1458+D1459-D1460</f>
        <v>40177.249</v>
      </c>
      <c r="E1461" s="15">
        <f t="shared" si="1"/>
        <v>2025</v>
      </c>
      <c r="F1461" s="15">
        <f t="shared" si="2"/>
        <v>7</v>
      </c>
      <c r="G1461" s="15">
        <f t="shared" si="3"/>
        <v>31</v>
      </c>
    </row>
    <row r="1462">
      <c r="A1462" s="10" t="s">
        <v>27</v>
      </c>
      <c r="B1462" s="9">
        <f t="shared" si="4"/>
        <v>45870</v>
      </c>
      <c r="C1462" s="77" t="s">
        <v>1569</v>
      </c>
      <c r="D1462" s="12">
        <f>D1461</f>
        <v>40177.249</v>
      </c>
      <c r="E1462" s="15">
        <f t="shared" si="1"/>
        <v>2025</v>
      </c>
      <c r="F1462" s="15">
        <f t="shared" si="2"/>
        <v>8</v>
      </c>
      <c r="G1462" s="15">
        <f t="shared" si="3"/>
        <v>1</v>
      </c>
    </row>
    <row r="1463">
      <c r="A1463" s="10" t="s">
        <v>27</v>
      </c>
      <c r="B1463" s="9">
        <f t="shared" si="4"/>
        <v>45870</v>
      </c>
      <c r="C1463" s="77" t="s">
        <v>1570</v>
      </c>
      <c r="D1463" s="13">
        <f>SUMIFS('Lançamentos de receitas'!$E:$E,'Lançamentos de receitas'!$A:$A,B1463,'Lançamentos de receitas'!$C:$C,A1463,'Lançamentos de receitas'!$F:$F,"TRANSFERÊNCIA")</f>
        <v>818.5</v>
      </c>
      <c r="E1463" s="15">
        <f t="shared" si="1"/>
        <v>2025</v>
      </c>
      <c r="F1463" s="15">
        <f t="shared" si="2"/>
        <v>8</v>
      </c>
      <c r="G1463" s="15">
        <f t="shared" si="3"/>
        <v>1</v>
      </c>
    </row>
    <row r="1464">
      <c r="A1464" s="10" t="s">
        <v>27</v>
      </c>
      <c r="B1464" s="9">
        <f t="shared" si="4"/>
        <v>45870</v>
      </c>
      <c r="C1464" s="77" t="s">
        <v>1571</v>
      </c>
      <c r="D1464" s="13">
        <f>SUMIFS('Lançamentos de despesas'!$K:$K,'Lançamentos de despesas'!$C:$C,B1464,'Lançamentos de despesas'!$G:$G,A1464,'Lançamentos de despesas'!$E:$E,"pago")</f>
        <v>6491.38</v>
      </c>
      <c r="E1464" s="15">
        <f t="shared" si="1"/>
        <v>2025</v>
      </c>
      <c r="F1464" s="15">
        <f t="shared" si="2"/>
        <v>8</v>
      </c>
      <c r="G1464" s="15">
        <f t="shared" si="3"/>
        <v>1</v>
      </c>
    </row>
    <row r="1465">
      <c r="A1465" s="10" t="s">
        <v>27</v>
      </c>
      <c r="B1465" s="9">
        <f t="shared" si="4"/>
        <v>45870</v>
      </c>
      <c r="C1465" s="77" t="s">
        <v>1572</v>
      </c>
      <c r="D1465" s="13">
        <f>D1462+D1463-D1464</f>
        <v>34504.369</v>
      </c>
      <c r="E1465" s="15">
        <f t="shared" si="1"/>
        <v>2025</v>
      </c>
      <c r="F1465" s="15">
        <f t="shared" si="2"/>
        <v>8</v>
      </c>
      <c r="G1465" s="15">
        <f t="shared" si="3"/>
        <v>1</v>
      </c>
    </row>
    <row r="1466">
      <c r="A1466" s="10" t="s">
        <v>27</v>
      </c>
      <c r="B1466" s="9">
        <f t="shared" si="4"/>
        <v>45871</v>
      </c>
      <c r="C1466" s="77" t="s">
        <v>1569</v>
      </c>
      <c r="D1466" s="12">
        <f>D1465</f>
        <v>34504.369</v>
      </c>
      <c r="E1466" s="15">
        <f t="shared" si="1"/>
        <v>2025</v>
      </c>
      <c r="F1466" s="15">
        <f t="shared" si="2"/>
        <v>8</v>
      </c>
      <c r="G1466" s="15">
        <f t="shared" si="3"/>
        <v>2</v>
      </c>
    </row>
    <row r="1467">
      <c r="A1467" s="10" t="s">
        <v>27</v>
      </c>
      <c r="B1467" s="9">
        <f t="shared" si="4"/>
        <v>45871</v>
      </c>
      <c r="C1467" s="77" t="s">
        <v>1570</v>
      </c>
      <c r="D1467" s="13">
        <f>SUMIFS('Lançamentos de receitas'!$E:$E,'Lançamentos de receitas'!$A:$A,B1467,'Lançamentos de receitas'!$C:$C,A1467,'Lançamentos de receitas'!$F:$F,"TRANSFERÊNCIA")</f>
        <v>1159.16</v>
      </c>
      <c r="E1467" s="15">
        <f t="shared" si="1"/>
        <v>2025</v>
      </c>
      <c r="F1467" s="15">
        <f t="shared" si="2"/>
        <v>8</v>
      </c>
      <c r="G1467" s="15">
        <f t="shared" si="3"/>
        <v>2</v>
      </c>
    </row>
    <row r="1468">
      <c r="A1468" s="10" t="s">
        <v>27</v>
      </c>
      <c r="B1468" s="9">
        <f t="shared" si="4"/>
        <v>45871</v>
      </c>
      <c r="C1468" s="77" t="s">
        <v>1571</v>
      </c>
      <c r="D1468" s="13">
        <f>SUMIFS('Lançamentos de despesas'!$K:$K,'Lançamentos de despesas'!$C:$C,B1468,'Lançamentos de despesas'!$G:$G,A1468,'Lançamentos de despesas'!$E:$E,"pago")</f>
        <v>0</v>
      </c>
      <c r="E1468" s="15">
        <f t="shared" si="1"/>
        <v>2025</v>
      </c>
      <c r="F1468" s="15">
        <f t="shared" si="2"/>
        <v>8</v>
      </c>
      <c r="G1468" s="15">
        <f t="shared" si="3"/>
        <v>2</v>
      </c>
    </row>
    <row r="1469">
      <c r="A1469" s="10" t="s">
        <v>27</v>
      </c>
      <c r="B1469" s="9">
        <f t="shared" si="4"/>
        <v>45871</v>
      </c>
      <c r="C1469" s="77" t="s">
        <v>1572</v>
      </c>
      <c r="D1469" s="13">
        <f>D1466+D1467-D1468</f>
        <v>35663.529</v>
      </c>
      <c r="E1469" s="15">
        <f t="shared" si="1"/>
        <v>2025</v>
      </c>
      <c r="F1469" s="15">
        <f t="shared" si="2"/>
        <v>8</v>
      </c>
      <c r="G1469" s="15">
        <f t="shared" si="3"/>
        <v>2</v>
      </c>
    </row>
    <row r="1470">
      <c r="A1470" s="10" t="s">
        <v>27</v>
      </c>
      <c r="B1470" s="9">
        <f t="shared" si="4"/>
        <v>45872</v>
      </c>
      <c r="C1470" s="77" t="s">
        <v>1569</v>
      </c>
      <c r="D1470" s="12">
        <f>D1469</f>
        <v>35663.529</v>
      </c>
      <c r="E1470" s="15">
        <f t="shared" si="1"/>
        <v>2025</v>
      </c>
      <c r="F1470" s="15">
        <f t="shared" si="2"/>
        <v>8</v>
      </c>
      <c r="G1470" s="15">
        <f t="shared" si="3"/>
        <v>3</v>
      </c>
    </row>
    <row r="1471">
      <c r="A1471" s="10" t="s">
        <v>27</v>
      </c>
      <c r="B1471" s="9">
        <f t="shared" si="4"/>
        <v>45872</v>
      </c>
      <c r="C1471" s="77" t="s">
        <v>1570</v>
      </c>
      <c r="D1471" s="13">
        <f>SUMIFS('Lançamentos de receitas'!$E:$E,'Lançamentos de receitas'!$A:$A,B1471,'Lançamentos de receitas'!$C:$C,A1471,'Lançamentos de receitas'!$F:$F,"TRANSFERÊNCIA")</f>
        <v>602.33</v>
      </c>
      <c r="E1471" s="15">
        <f t="shared" si="1"/>
        <v>2025</v>
      </c>
      <c r="F1471" s="15">
        <f t="shared" si="2"/>
        <v>8</v>
      </c>
      <c r="G1471" s="15">
        <f t="shared" si="3"/>
        <v>3</v>
      </c>
    </row>
    <row r="1472">
      <c r="A1472" s="10" t="s">
        <v>27</v>
      </c>
      <c r="B1472" s="9">
        <f t="shared" si="4"/>
        <v>45872</v>
      </c>
      <c r="C1472" s="77" t="s">
        <v>1571</v>
      </c>
      <c r="D1472" s="13">
        <f>SUMIFS('Lançamentos de despesas'!$K:$K,'Lançamentos de despesas'!$C:$C,B1472,'Lançamentos de despesas'!$G:$G,A1472,'Lançamentos de despesas'!$E:$E,"pago")</f>
        <v>0</v>
      </c>
      <c r="E1472" s="15">
        <f t="shared" si="1"/>
        <v>2025</v>
      </c>
      <c r="F1472" s="15">
        <f t="shared" si="2"/>
        <v>8</v>
      </c>
      <c r="G1472" s="15">
        <f t="shared" si="3"/>
        <v>3</v>
      </c>
    </row>
    <row r="1473">
      <c r="A1473" s="10" t="s">
        <v>27</v>
      </c>
      <c r="B1473" s="9">
        <f t="shared" si="4"/>
        <v>45872</v>
      </c>
      <c r="C1473" s="77" t="s">
        <v>1572</v>
      </c>
      <c r="D1473" s="13">
        <f>D1470+D1471-D1472</f>
        <v>36265.859</v>
      </c>
      <c r="E1473" s="15">
        <f t="shared" si="1"/>
        <v>2025</v>
      </c>
      <c r="F1473" s="15">
        <f t="shared" si="2"/>
        <v>8</v>
      </c>
      <c r="G1473" s="15">
        <f t="shared" si="3"/>
        <v>3</v>
      </c>
    </row>
    <row r="1474">
      <c r="A1474" s="10" t="s">
        <v>27</v>
      </c>
      <c r="B1474" s="9">
        <f t="shared" si="4"/>
        <v>45873</v>
      </c>
      <c r="C1474" s="77" t="s">
        <v>1569</v>
      </c>
      <c r="D1474" s="12">
        <f>D1473</f>
        <v>36265.859</v>
      </c>
      <c r="E1474" s="15">
        <f t="shared" si="1"/>
        <v>2025</v>
      </c>
      <c r="F1474" s="15">
        <f t="shared" si="2"/>
        <v>8</v>
      </c>
      <c r="G1474" s="15">
        <f t="shared" si="3"/>
        <v>4</v>
      </c>
    </row>
    <row r="1475">
      <c r="A1475" s="10" t="s">
        <v>27</v>
      </c>
      <c r="B1475" s="9">
        <f t="shared" si="4"/>
        <v>45873</v>
      </c>
      <c r="C1475" s="77" t="s">
        <v>1570</v>
      </c>
      <c r="D1475" s="13">
        <f>SUMIFS('Lançamentos de receitas'!$E:$E,'Lançamentos de receitas'!$A:$A,B1475,'Lançamentos de receitas'!$C:$C,A1475,'Lançamentos de receitas'!$F:$F,"TRANSFERÊNCIA")</f>
        <v>724.47</v>
      </c>
      <c r="E1475" s="15">
        <f t="shared" si="1"/>
        <v>2025</v>
      </c>
      <c r="F1475" s="15">
        <f t="shared" si="2"/>
        <v>8</v>
      </c>
      <c r="G1475" s="15">
        <f t="shared" si="3"/>
        <v>4</v>
      </c>
    </row>
    <row r="1476">
      <c r="A1476" s="10" t="s">
        <v>27</v>
      </c>
      <c r="B1476" s="9">
        <f t="shared" si="4"/>
        <v>45873</v>
      </c>
      <c r="C1476" s="77" t="s">
        <v>1571</v>
      </c>
      <c r="D1476" s="13">
        <f>SUMIFS('Lançamentos de despesas'!$K:$K,'Lançamentos de despesas'!$C:$C,B1476,'Lançamentos de despesas'!$G:$G,A1476,'Lançamentos de despesas'!$E:$E,"pago")</f>
        <v>14636.36</v>
      </c>
      <c r="E1476" s="15">
        <f t="shared" si="1"/>
        <v>2025</v>
      </c>
      <c r="F1476" s="15">
        <f t="shared" si="2"/>
        <v>8</v>
      </c>
      <c r="G1476" s="15">
        <f t="shared" si="3"/>
        <v>4</v>
      </c>
    </row>
    <row r="1477">
      <c r="A1477" s="10" t="s">
        <v>27</v>
      </c>
      <c r="B1477" s="9">
        <f t="shared" si="4"/>
        <v>45873</v>
      </c>
      <c r="C1477" s="77" t="s">
        <v>1572</v>
      </c>
      <c r="D1477" s="13">
        <f>D1474+D1475-D1476</f>
        <v>22353.969</v>
      </c>
      <c r="E1477" s="15">
        <f t="shared" si="1"/>
        <v>2025</v>
      </c>
      <c r="F1477" s="15">
        <f t="shared" si="2"/>
        <v>8</v>
      </c>
      <c r="G1477" s="15">
        <f t="shared" si="3"/>
        <v>4</v>
      </c>
    </row>
    <row r="1478">
      <c r="A1478" s="10" t="s">
        <v>27</v>
      </c>
      <c r="B1478" s="9">
        <f t="shared" si="4"/>
        <v>45874</v>
      </c>
      <c r="C1478" s="77" t="s">
        <v>1569</v>
      </c>
      <c r="D1478" s="12">
        <f>D1477</f>
        <v>22353.969</v>
      </c>
      <c r="E1478" s="15">
        <f t="shared" si="1"/>
        <v>2025</v>
      </c>
      <c r="F1478" s="15">
        <f t="shared" si="2"/>
        <v>8</v>
      </c>
      <c r="G1478" s="15">
        <f t="shared" si="3"/>
        <v>5</v>
      </c>
    </row>
    <row r="1479">
      <c r="A1479" s="10" t="s">
        <v>27</v>
      </c>
      <c r="B1479" s="9">
        <f t="shared" si="4"/>
        <v>45874</v>
      </c>
      <c r="C1479" s="77" t="s">
        <v>1570</v>
      </c>
      <c r="D1479" s="13">
        <f>SUMIFS('Lançamentos de receitas'!$E:$E,'Lançamentos de receitas'!$A:$A,B1479,'Lançamentos de receitas'!$C:$C,A1479,'Lançamentos de receitas'!$F:$F,"TRANSFERÊNCIA")</f>
        <v>561.83</v>
      </c>
      <c r="E1479" s="15">
        <f t="shared" si="1"/>
        <v>2025</v>
      </c>
      <c r="F1479" s="15">
        <f t="shared" si="2"/>
        <v>8</v>
      </c>
      <c r="G1479" s="15">
        <f t="shared" si="3"/>
        <v>5</v>
      </c>
    </row>
    <row r="1480">
      <c r="A1480" s="10" t="s">
        <v>27</v>
      </c>
      <c r="B1480" s="9">
        <f t="shared" si="4"/>
        <v>45874</v>
      </c>
      <c r="C1480" s="77" t="s">
        <v>1571</v>
      </c>
      <c r="D1480" s="13">
        <f>SUMIFS('Lançamentos de despesas'!$K:$K,'Lançamentos de despesas'!$C:$C,B1480,'Lançamentos de despesas'!$G:$G,A1480,'Lançamentos de despesas'!$E:$E,"pago")</f>
        <v>1214.27</v>
      </c>
      <c r="E1480" s="15">
        <f t="shared" si="1"/>
        <v>2025</v>
      </c>
      <c r="F1480" s="15">
        <f t="shared" si="2"/>
        <v>8</v>
      </c>
      <c r="G1480" s="15">
        <f t="shared" si="3"/>
        <v>5</v>
      </c>
    </row>
    <row r="1481">
      <c r="A1481" s="10" t="s">
        <v>27</v>
      </c>
      <c r="B1481" s="9">
        <f t="shared" si="4"/>
        <v>45874</v>
      </c>
      <c r="C1481" s="77" t="s">
        <v>1572</v>
      </c>
      <c r="D1481" s="13">
        <f>D1478+D1479-D1480</f>
        <v>21701.529</v>
      </c>
      <c r="E1481" s="15">
        <f t="shared" si="1"/>
        <v>2025</v>
      </c>
      <c r="F1481" s="15">
        <f t="shared" si="2"/>
        <v>8</v>
      </c>
      <c r="G1481" s="15">
        <f t="shared" si="3"/>
        <v>5</v>
      </c>
    </row>
    <row r="1482">
      <c r="A1482" s="10" t="s">
        <v>27</v>
      </c>
      <c r="B1482" s="9">
        <f t="shared" si="4"/>
        <v>45875</v>
      </c>
      <c r="C1482" s="77" t="s">
        <v>1569</v>
      </c>
      <c r="D1482" s="12">
        <f>D1481</f>
        <v>21701.529</v>
      </c>
      <c r="E1482" s="15">
        <f t="shared" si="1"/>
        <v>2025</v>
      </c>
      <c r="F1482" s="15">
        <f t="shared" si="2"/>
        <v>8</v>
      </c>
      <c r="G1482" s="15">
        <f t="shared" si="3"/>
        <v>6</v>
      </c>
    </row>
    <row r="1483">
      <c r="A1483" s="10" t="s">
        <v>27</v>
      </c>
      <c r="B1483" s="9">
        <f t="shared" si="4"/>
        <v>45875</v>
      </c>
      <c r="C1483" s="77" t="s">
        <v>1570</v>
      </c>
      <c r="D1483" s="13">
        <f>SUMIFS('Lançamentos de receitas'!$E:$E,'Lançamentos de receitas'!$A:$A,B1483,'Lançamentos de receitas'!$C:$C,A1483,'Lançamentos de receitas'!$F:$F,"TRANSFERÊNCIA")</f>
        <v>985.24</v>
      </c>
      <c r="E1483" s="15">
        <f t="shared" si="1"/>
        <v>2025</v>
      </c>
      <c r="F1483" s="15">
        <f t="shared" si="2"/>
        <v>8</v>
      </c>
      <c r="G1483" s="15">
        <f t="shared" si="3"/>
        <v>6</v>
      </c>
    </row>
    <row r="1484">
      <c r="A1484" s="10" t="s">
        <v>27</v>
      </c>
      <c r="B1484" s="9">
        <f t="shared" si="4"/>
        <v>45875</v>
      </c>
      <c r="C1484" s="77" t="s">
        <v>1571</v>
      </c>
      <c r="D1484" s="13">
        <f>SUMIFS('Lançamentos de despesas'!$K:$K,'Lançamentos de despesas'!$C:$C,B1484,'Lançamentos de despesas'!$G:$G,A1484,'Lançamentos de despesas'!$E:$E,"pago")</f>
        <v>0</v>
      </c>
      <c r="E1484" s="15">
        <f t="shared" si="1"/>
        <v>2025</v>
      </c>
      <c r="F1484" s="15">
        <f t="shared" si="2"/>
        <v>8</v>
      </c>
      <c r="G1484" s="15">
        <f t="shared" si="3"/>
        <v>6</v>
      </c>
    </row>
    <row r="1485">
      <c r="A1485" s="10" t="s">
        <v>27</v>
      </c>
      <c r="B1485" s="9">
        <f t="shared" si="4"/>
        <v>45875</v>
      </c>
      <c r="C1485" s="77" t="s">
        <v>1572</v>
      </c>
      <c r="D1485" s="13">
        <f>D1482+D1483-D1484</f>
        <v>22686.769</v>
      </c>
      <c r="E1485" s="15">
        <f t="shared" si="1"/>
        <v>2025</v>
      </c>
      <c r="F1485" s="15">
        <f t="shared" si="2"/>
        <v>8</v>
      </c>
      <c r="G1485" s="15">
        <f t="shared" si="3"/>
        <v>6</v>
      </c>
    </row>
    <row r="1486">
      <c r="A1486" s="10" t="s">
        <v>27</v>
      </c>
      <c r="B1486" s="9">
        <f t="shared" si="4"/>
        <v>45876</v>
      </c>
      <c r="C1486" s="77" t="s">
        <v>1569</v>
      </c>
      <c r="D1486" s="12">
        <f>D1485</f>
        <v>22686.769</v>
      </c>
      <c r="E1486" s="15">
        <f t="shared" si="1"/>
        <v>2025</v>
      </c>
      <c r="F1486" s="15">
        <f t="shared" si="2"/>
        <v>8</v>
      </c>
      <c r="G1486" s="15">
        <f t="shared" si="3"/>
        <v>7</v>
      </c>
    </row>
    <row r="1487">
      <c r="A1487" s="10" t="s">
        <v>27</v>
      </c>
      <c r="B1487" s="9">
        <f t="shared" si="4"/>
        <v>45876</v>
      </c>
      <c r="C1487" s="77" t="s">
        <v>1570</v>
      </c>
      <c r="D1487" s="13">
        <f>SUMIFS('Lançamentos de receitas'!$E:$E,'Lançamentos de receitas'!$A:$A,B1487,'Lançamentos de receitas'!$C:$C,A1487,'Lançamentos de receitas'!$F:$F,"TRANSFERÊNCIA")</f>
        <v>1016.43</v>
      </c>
      <c r="E1487" s="15">
        <f t="shared" si="1"/>
        <v>2025</v>
      </c>
      <c r="F1487" s="15">
        <f t="shared" si="2"/>
        <v>8</v>
      </c>
      <c r="G1487" s="15">
        <f t="shared" si="3"/>
        <v>7</v>
      </c>
    </row>
    <row r="1488">
      <c r="A1488" s="10" t="s">
        <v>27</v>
      </c>
      <c r="B1488" s="9">
        <f t="shared" si="4"/>
        <v>45876</v>
      </c>
      <c r="C1488" s="77" t="s">
        <v>1571</v>
      </c>
      <c r="D1488" s="13">
        <f>SUMIFS('Lançamentos de despesas'!$K:$K,'Lançamentos de despesas'!$C:$C,B1488,'Lançamentos de despesas'!$G:$G,A1488,'Lançamentos de despesas'!$E:$E,"pago")</f>
        <v>0</v>
      </c>
      <c r="E1488" s="15">
        <f t="shared" si="1"/>
        <v>2025</v>
      </c>
      <c r="F1488" s="15">
        <f t="shared" si="2"/>
        <v>8</v>
      </c>
      <c r="G1488" s="15">
        <f t="shared" si="3"/>
        <v>7</v>
      </c>
    </row>
    <row r="1489">
      <c r="A1489" s="10" t="s">
        <v>27</v>
      </c>
      <c r="B1489" s="9">
        <f t="shared" si="4"/>
        <v>45876</v>
      </c>
      <c r="C1489" s="77" t="s">
        <v>1572</v>
      </c>
      <c r="D1489" s="13">
        <f>D1486+D1487-D1488</f>
        <v>23703.199</v>
      </c>
      <c r="E1489" s="15">
        <f t="shared" si="1"/>
        <v>2025</v>
      </c>
      <c r="F1489" s="15">
        <f t="shared" si="2"/>
        <v>8</v>
      </c>
      <c r="G1489" s="15">
        <f t="shared" si="3"/>
        <v>7</v>
      </c>
    </row>
    <row r="1490">
      <c r="A1490" s="10" t="s">
        <v>27</v>
      </c>
      <c r="B1490" s="9">
        <f t="shared" si="4"/>
        <v>45877</v>
      </c>
      <c r="C1490" s="77" t="s">
        <v>1569</v>
      </c>
      <c r="D1490" s="12">
        <f>D1489</f>
        <v>23703.199</v>
      </c>
      <c r="E1490" s="15">
        <f t="shared" si="1"/>
        <v>2025</v>
      </c>
      <c r="F1490" s="15">
        <f t="shared" si="2"/>
        <v>8</v>
      </c>
      <c r="G1490" s="15">
        <f t="shared" si="3"/>
        <v>8</v>
      </c>
    </row>
    <row r="1491">
      <c r="A1491" s="10" t="s">
        <v>27</v>
      </c>
      <c r="B1491" s="9">
        <f t="shared" si="4"/>
        <v>45877</v>
      </c>
      <c r="C1491" s="77" t="s">
        <v>1570</v>
      </c>
      <c r="D1491" s="13">
        <f>SUMIFS('Lançamentos de receitas'!$E:$E,'Lançamentos de receitas'!$A:$A,B1491,'Lançamentos de receitas'!$C:$C,A1491,'Lançamentos de receitas'!$F:$F,"TRANSFERÊNCIA")</f>
        <v>2672.24</v>
      </c>
      <c r="E1491" s="15">
        <f t="shared" si="1"/>
        <v>2025</v>
      </c>
      <c r="F1491" s="15">
        <f t="shared" si="2"/>
        <v>8</v>
      </c>
      <c r="G1491" s="15">
        <f t="shared" si="3"/>
        <v>8</v>
      </c>
    </row>
    <row r="1492">
      <c r="A1492" s="10" t="s">
        <v>27</v>
      </c>
      <c r="B1492" s="9">
        <f t="shared" si="4"/>
        <v>45877</v>
      </c>
      <c r="C1492" s="77" t="s">
        <v>1571</v>
      </c>
      <c r="D1492" s="13">
        <f>SUMIFS('Lançamentos de despesas'!$K:$K,'Lançamentos de despesas'!$C:$C,B1492,'Lançamentos de despesas'!$G:$G,A1492,'Lançamentos de despesas'!$E:$E,"pago")</f>
        <v>1400</v>
      </c>
      <c r="E1492" s="15">
        <f t="shared" si="1"/>
        <v>2025</v>
      </c>
      <c r="F1492" s="15">
        <f t="shared" si="2"/>
        <v>8</v>
      </c>
      <c r="G1492" s="15">
        <f t="shared" si="3"/>
        <v>8</v>
      </c>
    </row>
    <row r="1493">
      <c r="A1493" s="10" t="s">
        <v>27</v>
      </c>
      <c r="B1493" s="9">
        <f t="shared" si="4"/>
        <v>45877</v>
      </c>
      <c r="C1493" s="77" t="s">
        <v>1572</v>
      </c>
      <c r="D1493" s="13">
        <f>D1490+D1491-D1492</f>
        <v>24975.439</v>
      </c>
      <c r="E1493" s="15">
        <f t="shared" si="1"/>
        <v>2025</v>
      </c>
      <c r="F1493" s="15">
        <f t="shared" si="2"/>
        <v>8</v>
      </c>
      <c r="G1493" s="15">
        <f t="shared" si="3"/>
        <v>8</v>
      </c>
    </row>
    <row r="1494">
      <c r="A1494" s="10" t="s">
        <v>27</v>
      </c>
      <c r="B1494" s="9">
        <f t="shared" si="4"/>
        <v>45878</v>
      </c>
      <c r="C1494" s="77" t="s">
        <v>1569</v>
      </c>
      <c r="D1494" s="12">
        <f>D1493</f>
        <v>24975.439</v>
      </c>
      <c r="E1494" s="15">
        <f t="shared" si="1"/>
        <v>2025</v>
      </c>
      <c r="F1494" s="15">
        <f t="shared" si="2"/>
        <v>8</v>
      </c>
      <c r="G1494" s="15">
        <f t="shared" si="3"/>
        <v>9</v>
      </c>
    </row>
    <row r="1495">
      <c r="A1495" s="10" t="s">
        <v>27</v>
      </c>
      <c r="B1495" s="9">
        <f t="shared" si="4"/>
        <v>45878</v>
      </c>
      <c r="C1495" s="77" t="s">
        <v>1570</v>
      </c>
      <c r="D1495" s="13">
        <f>SUMIFS('Lançamentos de receitas'!$E:$E,'Lançamentos de receitas'!$A:$A,B1495,'Lançamentos de receitas'!$C:$C,A1495,'Lançamentos de receitas'!$F:$F,"TRANSFERÊNCIA")</f>
        <v>478.84</v>
      </c>
      <c r="E1495" s="15">
        <f t="shared" si="1"/>
        <v>2025</v>
      </c>
      <c r="F1495" s="15">
        <f t="shared" si="2"/>
        <v>8</v>
      </c>
      <c r="G1495" s="15">
        <f t="shared" si="3"/>
        <v>9</v>
      </c>
    </row>
    <row r="1496">
      <c r="A1496" s="10" t="s">
        <v>27</v>
      </c>
      <c r="B1496" s="9">
        <f t="shared" si="4"/>
        <v>45878</v>
      </c>
      <c r="C1496" s="77" t="s">
        <v>1571</v>
      </c>
      <c r="D1496" s="13">
        <f>SUMIFS('Lançamentos de despesas'!$K:$K,'Lançamentos de despesas'!$C:$C,B1496,'Lançamentos de despesas'!$G:$G,A1496,'Lançamentos de despesas'!$E:$E,"pago")</f>
        <v>0</v>
      </c>
      <c r="E1496" s="15">
        <f t="shared" si="1"/>
        <v>2025</v>
      </c>
      <c r="F1496" s="15">
        <f t="shared" si="2"/>
        <v>8</v>
      </c>
      <c r="G1496" s="15">
        <f t="shared" si="3"/>
        <v>9</v>
      </c>
    </row>
    <row r="1497">
      <c r="A1497" s="10" t="s">
        <v>27</v>
      </c>
      <c r="B1497" s="9">
        <f t="shared" si="4"/>
        <v>45878</v>
      </c>
      <c r="C1497" s="77" t="s">
        <v>1572</v>
      </c>
      <c r="D1497" s="13">
        <f>D1494+D1495-D1496</f>
        <v>25454.279</v>
      </c>
      <c r="E1497" s="15">
        <f t="shared" si="1"/>
        <v>2025</v>
      </c>
      <c r="F1497" s="15">
        <f t="shared" si="2"/>
        <v>8</v>
      </c>
      <c r="G1497" s="15">
        <f t="shared" si="3"/>
        <v>9</v>
      </c>
    </row>
    <row r="1498">
      <c r="A1498" s="10" t="s">
        <v>27</v>
      </c>
      <c r="B1498" s="9">
        <f t="shared" si="4"/>
        <v>45879</v>
      </c>
      <c r="C1498" s="77" t="s">
        <v>1569</v>
      </c>
      <c r="D1498" s="12">
        <f>D1497</f>
        <v>25454.279</v>
      </c>
      <c r="E1498" s="15">
        <f t="shared" si="1"/>
        <v>2025</v>
      </c>
      <c r="F1498" s="15">
        <f t="shared" si="2"/>
        <v>8</v>
      </c>
      <c r="G1498" s="15">
        <f t="shared" si="3"/>
        <v>10</v>
      </c>
    </row>
    <row r="1499">
      <c r="A1499" s="10" t="s">
        <v>27</v>
      </c>
      <c r="B1499" s="9">
        <f t="shared" si="4"/>
        <v>45879</v>
      </c>
      <c r="C1499" s="77" t="s">
        <v>1570</v>
      </c>
      <c r="D1499" s="13">
        <f>SUMIFS('Lançamentos de receitas'!$E:$E,'Lançamentos de receitas'!$A:$A,B1499,'Lançamentos de receitas'!$C:$C,A1499,'Lançamentos de receitas'!$F:$F,"TRANSFERÊNCIA")</f>
        <v>93.23</v>
      </c>
      <c r="E1499" s="15">
        <f t="shared" si="1"/>
        <v>2025</v>
      </c>
      <c r="F1499" s="15">
        <f t="shared" si="2"/>
        <v>8</v>
      </c>
      <c r="G1499" s="15">
        <f t="shared" si="3"/>
        <v>10</v>
      </c>
    </row>
    <row r="1500">
      <c r="A1500" s="10" t="s">
        <v>27</v>
      </c>
      <c r="B1500" s="9">
        <f t="shared" si="4"/>
        <v>45879</v>
      </c>
      <c r="C1500" s="77" t="s">
        <v>1571</v>
      </c>
      <c r="D1500" s="13">
        <f>SUMIFS('Lançamentos de despesas'!$K:$K,'Lançamentos de despesas'!$C:$C,B1500,'Lançamentos de despesas'!$G:$G,A1500,'Lançamentos de despesas'!$E:$E,"pago")</f>
        <v>0</v>
      </c>
      <c r="E1500" s="15">
        <f t="shared" si="1"/>
        <v>2025</v>
      </c>
      <c r="F1500" s="15">
        <f t="shared" si="2"/>
        <v>8</v>
      </c>
      <c r="G1500" s="15">
        <f t="shared" si="3"/>
        <v>10</v>
      </c>
    </row>
    <row r="1501">
      <c r="A1501" s="10" t="s">
        <v>27</v>
      </c>
      <c r="B1501" s="9">
        <f t="shared" si="4"/>
        <v>45879</v>
      </c>
      <c r="C1501" s="77" t="s">
        <v>1572</v>
      </c>
      <c r="D1501" s="13">
        <f>D1498+D1499-D1500</f>
        <v>25547.509</v>
      </c>
      <c r="E1501" s="15">
        <f t="shared" si="1"/>
        <v>2025</v>
      </c>
      <c r="F1501" s="15">
        <f t="shared" si="2"/>
        <v>8</v>
      </c>
      <c r="G1501" s="15">
        <f t="shared" si="3"/>
        <v>10</v>
      </c>
    </row>
    <row r="1502">
      <c r="A1502" s="10" t="s">
        <v>27</v>
      </c>
      <c r="B1502" s="9">
        <f t="shared" si="4"/>
        <v>45880</v>
      </c>
      <c r="C1502" s="77" t="s">
        <v>1569</v>
      </c>
      <c r="D1502" s="12">
        <f>D1501</f>
        <v>25547.509</v>
      </c>
      <c r="E1502" s="15">
        <f t="shared" si="1"/>
        <v>2025</v>
      </c>
      <c r="F1502" s="15">
        <f t="shared" si="2"/>
        <v>8</v>
      </c>
      <c r="G1502" s="15">
        <f t="shared" si="3"/>
        <v>11</v>
      </c>
    </row>
    <row r="1503">
      <c r="A1503" s="10" t="s">
        <v>27</v>
      </c>
      <c r="B1503" s="9">
        <f t="shared" si="4"/>
        <v>45880</v>
      </c>
      <c r="C1503" s="77" t="s">
        <v>1570</v>
      </c>
      <c r="D1503" s="13">
        <f>SUMIFS('Lançamentos de receitas'!$E:$E,'Lançamentos de receitas'!$A:$A,B1503,'Lançamentos de receitas'!$C:$C,A1503,'Lançamentos de receitas'!$F:$F,"TRANSFERÊNCIA")</f>
        <v>12771.74</v>
      </c>
      <c r="E1503" s="15">
        <f t="shared" si="1"/>
        <v>2025</v>
      </c>
      <c r="F1503" s="15">
        <f t="shared" si="2"/>
        <v>8</v>
      </c>
      <c r="G1503" s="15">
        <f t="shared" si="3"/>
        <v>11</v>
      </c>
    </row>
    <row r="1504">
      <c r="A1504" s="10" t="s">
        <v>27</v>
      </c>
      <c r="B1504" s="9">
        <f t="shared" si="4"/>
        <v>45880</v>
      </c>
      <c r="C1504" s="77" t="s">
        <v>1571</v>
      </c>
      <c r="D1504" s="13">
        <f>SUMIFS('Lançamentos de despesas'!$K:$K,'Lançamentos de despesas'!$C:$C,B1504,'Lançamentos de despesas'!$G:$G,A1504,'Lançamentos de despesas'!$E:$E,"pago")</f>
        <v>4049.69</v>
      </c>
      <c r="E1504" s="15">
        <f t="shared" si="1"/>
        <v>2025</v>
      </c>
      <c r="F1504" s="15">
        <f t="shared" si="2"/>
        <v>8</v>
      </c>
      <c r="G1504" s="15">
        <f t="shared" si="3"/>
        <v>11</v>
      </c>
    </row>
    <row r="1505">
      <c r="A1505" s="10" t="s">
        <v>27</v>
      </c>
      <c r="B1505" s="9">
        <f t="shared" si="4"/>
        <v>45880</v>
      </c>
      <c r="C1505" s="77" t="s">
        <v>1572</v>
      </c>
      <c r="D1505" s="13">
        <f>D1502+D1503-D1504</f>
        <v>34269.559</v>
      </c>
      <c r="E1505" s="15">
        <f t="shared" si="1"/>
        <v>2025</v>
      </c>
      <c r="F1505" s="15">
        <f t="shared" si="2"/>
        <v>8</v>
      </c>
      <c r="G1505" s="15">
        <f t="shared" si="3"/>
        <v>11</v>
      </c>
    </row>
    <row r="1506">
      <c r="A1506" s="10" t="s">
        <v>27</v>
      </c>
      <c r="B1506" s="9">
        <f t="shared" si="4"/>
        <v>45881</v>
      </c>
      <c r="C1506" s="77" t="s">
        <v>1569</v>
      </c>
      <c r="D1506" s="12">
        <f>D1505</f>
        <v>34269.559</v>
      </c>
      <c r="E1506" s="15">
        <f t="shared" si="1"/>
        <v>2025</v>
      </c>
      <c r="F1506" s="15">
        <f t="shared" si="2"/>
        <v>8</v>
      </c>
      <c r="G1506" s="15">
        <f t="shared" si="3"/>
        <v>12</v>
      </c>
    </row>
    <row r="1507">
      <c r="A1507" s="10" t="s">
        <v>27</v>
      </c>
      <c r="B1507" s="9">
        <f t="shared" si="4"/>
        <v>45881</v>
      </c>
      <c r="C1507" s="77" t="s">
        <v>1570</v>
      </c>
      <c r="D1507" s="13">
        <f>SUMIFS('Lançamentos de receitas'!$E:$E,'Lançamentos de receitas'!$A:$A,B1507,'Lançamentos de receitas'!$C:$C,A1507,'Lançamentos de receitas'!$F:$F,"TRANSFERÊNCIA")</f>
        <v>1078.72</v>
      </c>
      <c r="E1507" s="15">
        <f t="shared" si="1"/>
        <v>2025</v>
      </c>
      <c r="F1507" s="15">
        <f t="shared" si="2"/>
        <v>8</v>
      </c>
      <c r="G1507" s="15">
        <f t="shared" si="3"/>
        <v>12</v>
      </c>
    </row>
    <row r="1508">
      <c r="A1508" s="10" t="s">
        <v>27</v>
      </c>
      <c r="B1508" s="9">
        <f t="shared" si="4"/>
        <v>45881</v>
      </c>
      <c r="C1508" s="77" t="s">
        <v>1571</v>
      </c>
      <c r="D1508" s="13">
        <f>SUMIFS('Lançamentos de despesas'!$K:$K,'Lançamentos de despesas'!$C:$C,B1508,'Lançamentos de despesas'!$G:$G,A1508,'Lançamentos de despesas'!$E:$E,"pago")</f>
        <v>0</v>
      </c>
      <c r="E1508" s="15">
        <f t="shared" si="1"/>
        <v>2025</v>
      </c>
      <c r="F1508" s="15">
        <f t="shared" si="2"/>
        <v>8</v>
      </c>
      <c r="G1508" s="15">
        <f t="shared" si="3"/>
        <v>12</v>
      </c>
    </row>
    <row r="1509">
      <c r="A1509" s="10" t="s">
        <v>27</v>
      </c>
      <c r="B1509" s="9">
        <f t="shared" si="4"/>
        <v>45881</v>
      </c>
      <c r="C1509" s="77" t="s">
        <v>1572</v>
      </c>
      <c r="D1509" s="13">
        <f>D1506+D1507-D1508</f>
        <v>35348.279</v>
      </c>
      <c r="E1509" s="15">
        <f t="shared" si="1"/>
        <v>2025</v>
      </c>
      <c r="F1509" s="15">
        <f t="shared" si="2"/>
        <v>8</v>
      </c>
      <c r="G1509" s="15">
        <f t="shared" si="3"/>
        <v>12</v>
      </c>
    </row>
    <row r="1510">
      <c r="A1510" s="10" t="s">
        <v>27</v>
      </c>
      <c r="B1510" s="9">
        <f t="shared" si="4"/>
        <v>45882</v>
      </c>
      <c r="C1510" s="77" t="s">
        <v>1569</v>
      </c>
      <c r="D1510" s="12">
        <f>D1509</f>
        <v>35348.279</v>
      </c>
      <c r="E1510" s="15">
        <f t="shared" si="1"/>
        <v>2025</v>
      </c>
      <c r="F1510" s="15">
        <f t="shared" si="2"/>
        <v>8</v>
      </c>
      <c r="G1510" s="15">
        <f t="shared" si="3"/>
        <v>13</v>
      </c>
    </row>
    <row r="1511">
      <c r="A1511" s="10" t="s">
        <v>27</v>
      </c>
      <c r="B1511" s="9">
        <f t="shared" si="4"/>
        <v>45882</v>
      </c>
      <c r="C1511" s="77" t="s">
        <v>1570</v>
      </c>
      <c r="D1511" s="13">
        <f>SUMIFS('Lançamentos de receitas'!$E:$E,'Lançamentos de receitas'!$A:$A,B1511,'Lançamentos de receitas'!$C:$C,A1511,'Lançamentos de receitas'!$F:$F,"TRANSFERÊNCIA")</f>
        <v>304.21</v>
      </c>
      <c r="E1511" s="15">
        <f t="shared" si="1"/>
        <v>2025</v>
      </c>
      <c r="F1511" s="15">
        <f t="shared" si="2"/>
        <v>8</v>
      </c>
      <c r="G1511" s="15">
        <f t="shared" si="3"/>
        <v>13</v>
      </c>
    </row>
    <row r="1512">
      <c r="A1512" s="10" t="s">
        <v>27</v>
      </c>
      <c r="B1512" s="9">
        <f t="shared" si="4"/>
        <v>45882</v>
      </c>
      <c r="C1512" s="77" t="s">
        <v>1571</v>
      </c>
      <c r="D1512" s="13">
        <f>SUMIFS('Lançamentos de despesas'!$K:$K,'Lançamentos de despesas'!$C:$C,B1512,'Lançamentos de despesas'!$G:$G,A1512,'Lançamentos de despesas'!$E:$E,"pago")</f>
        <v>0</v>
      </c>
      <c r="E1512" s="15">
        <f t="shared" si="1"/>
        <v>2025</v>
      </c>
      <c r="F1512" s="15">
        <f t="shared" si="2"/>
        <v>8</v>
      </c>
      <c r="G1512" s="15">
        <f t="shared" si="3"/>
        <v>13</v>
      </c>
    </row>
    <row r="1513">
      <c r="A1513" s="10" t="s">
        <v>27</v>
      </c>
      <c r="B1513" s="9">
        <f t="shared" si="4"/>
        <v>45882</v>
      </c>
      <c r="C1513" s="77" t="s">
        <v>1572</v>
      </c>
      <c r="D1513" s="13">
        <f>D1510+D1511-D1512</f>
        <v>35652.489</v>
      </c>
      <c r="E1513" s="15">
        <f t="shared" si="1"/>
        <v>2025</v>
      </c>
      <c r="F1513" s="15">
        <f t="shared" si="2"/>
        <v>8</v>
      </c>
      <c r="G1513" s="15">
        <f t="shared" si="3"/>
        <v>13</v>
      </c>
    </row>
    <row r="1514">
      <c r="A1514" s="10" t="s">
        <v>27</v>
      </c>
      <c r="B1514" s="9">
        <f t="shared" si="4"/>
        <v>45883</v>
      </c>
      <c r="C1514" s="77" t="s">
        <v>1569</v>
      </c>
      <c r="D1514" s="12">
        <f>D1513</f>
        <v>35652.489</v>
      </c>
      <c r="E1514" s="15">
        <f t="shared" si="1"/>
        <v>2025</v>
      </c>
      <c r="F1514" s="15">
        <f t="shared" si="2"/>
        <v>8</v>
      </c>
      <c r="G1514" s="15">
        <f t="shared" si="3"/>
        <v>14</v>
      </c>
    </row>
    <row r="1515">
      <c r="A1515" s="10" t="s">
        <v>27</v>
      </c>
      <c r="B1515" s="9">
        <f t="shared" si="4"/>
        <v>45883</v>
      </c>
      <c r="C1515" s="77" t="s">
        <v>1570</v>
      </c>
      <c r="D1515" s="13">
        <f>SUMIFS('Lançamentos de receitas'!$E:$E,'Lançamentos de receitas'!$A:$A,B1515,'Lançamentos de receitas'!$C:$C,A1515,'Lançamentos de receitas'!$F:$F,"TRANSFERÊNCIA")</f>
        <v>381.09</v>
      </c>
      <c r="E1515" s="15">
        <f t="shared" si="1"/>
        <v>2025</v>
      </c>
      <c r="F1515" s="15">
        <f t="shared" si="2"/>
        <v>8</v>
      </c>
      <c r="G1515" s="15">
        <f t="shared" si="3"/>
        <v>14</v>
      </c>
    </row>
    <row r="1516">
      <c r="A1516" s="10" t="s">
        <v>27</v>
      </c>
      <c r="B1516" s="9">
        <f t="shared" si="4"/>
        <v>45883</v>
      </c>
      <c r="C1516" s="77" t="s">
        <v>1571</v>
      </c>
      <c r="D1516" s="13">
        <f>SUMIFS('Lançamentos de despesas'!$K:$K,'Lançamentos de despesas'!$C:$C,B1516,'Lançamentos de despesas'!$G:$G,A1516,'Lançamentos de despesas'!$E:$E,"pago")</f>
        <v>5612.85</v>
      </c>
      <c r="E1516" s="15">
        <f t="shared" si="1"/>
        <v>2025</v>
      </c>
      <c r="F1516" s="15">
        <f t="shared" si="2"/>
        <v>8</v>
      </c>
      <c r="G1516" s="15">
        <f t="shared" si="3"/>
        <v>14</v>
      </c>
    </row>
    <row r="1517">
      <c r="A1517" s="10" t="s">
        <v>27</v>
      </c>
      <c r="B1517" s="9">
        <f t="shared" si="4"/>
        <v>45883</v>
      </c>
      <c r="C1517" s="77" t="s">
        <v>1572</v>
      </c>
      <c r="D1517" s="13">
        <f>D1514+D1515-D1516</f>
        <v>30420.729</v>
      </c>
      <c r="E1517" s="15">
        <f t="shared" si="1"/>
        <v>2025</v>
      </c>
      <c r="F1517" s="15">
        <f t="shared" si="2"/>
        <v>8</v>
      </c>
      <c r="G1517" s="15">
        <f t="shared" si="3"/>
        <v>14</v>
      </c>
    </row>
    <row r="1518">
      <c r="A1518" s="10" t="s">
        <v>27</v>
      </c>
      <c r="B1518" s="9">
        <f t="shared" si="4"/>
        <v>45884</v>
      </c>
      <c r="C1518" s="77" t="s">
        <v>1569</v>
      </c>
      <c r="D1518" s="12">
        <f>D1517</f>
        <v>30420.729</v>
      </c>
      <c r="E1518" s="15">
        <f t="shared" si="1"/>
        <v>2025</v>
      </c>
      <c r="F1518" s="15">
        <f t="shared" si="2"/>
        <v>8</v>
      </c>
      <c r="G1518" s="15">
        <f t="shared" si="3"/>
        <v>15</v>
      </c>
    </row>
    <row r="1519">
      <c r="A1519" s="10" t="s">
        <v>27</v>
      </c>
      <c r="B1519" s="9">
        <f t="shared" si="4"/>
        <v>45884</v>
      </c>
      <c r="C1519" s="77" t="s">
        <v>1570</v>
      </c>
      <c r="D1519" s="13">
        <f>SUMIFS('Lançamentos de receitas'!$E:$E,'Lançamentos de receitas'!$A:$A,B1519,'Lançamentos de receitas'!$C:$C,A1519,'Lançamentos de receitas'!$F:$F,"TRANSFERÊNCIA")</f>
        <v>844.8</v>
      </c>
      <c r="E1519" s="15">
        <f t="shared" si="1"/>
        <v>2025</v>
      </c>
      <c r="F1519" s="15">
        <f t="shared" si="2"/>
        <v>8</v>
      </c>
      <c r="G1519" s="15">
        <f t="shared" si="3"/>
        <v>15</v>
      </c>
    </row>
    <row r="1520">
      <c r="A1520" s="10" t="s">
        <v>27</v>
      </c>
      <c r="B1520" s="9">
        <f t="shared" si="4"/>
        <v>45884</v>
      </c>
      <c r="C1520" s="77" t="s">
        <v>1571</v>
      </c>
      <c r="D1520" s="13">
        <f>SUMIFS('Lançamentos de despesas'!$K:$K,'Lançamentos de despesas'!$C:$C,B1520,'Lançamentos de despesas'!$G:$G,A1520,'Lançamentos de despesas'!$E:$E,"pago")</f>
        <v>1580</v>
      </c>
      <c r="E1520" s="15">
        <f t="shared" si="1"/>
        <v>2025</v>
      </c>
      <c r="F1520" s="15">
        <f t="shared" si="2"/>
        <v>8</v>
      </c>
      <c r="G1520" s="15">
        <f t="shared" si="3"/>
        <v>15</v>
      </c>
    </row>
    <row r="1521">
      <c r="A1521" s="10" t="s">
        <v>27</v>
      </c>
      <c r="B1521" s="9">
        <f t="shared" si="4"/>
        <v>45884</v>
      </c>
      <c r="C1521" s="77" t="s">
        <v>1572</v>
      </c>
      <c r="D1521" s="13">
        <f>D1518+D1519-D1520</f>
        <v>29685.529</v>
      </c>
      <c r="E1521" s="15">
        <f t="shared" si="1"/>
        <v>2025</v>
      </c>
      <c r="F1521" s="15">
        <f t="shared" si="2"/>
        <v>8</v>
      </c>
      <c r="G1521" s="15">
        <f t="shared" si="3"/>
        <v>15</v>
      </c>
    </row>
    <row r="1522">
      <c r="A1522" s="10" t="s">
        <v>27</v>
      </c>
      <c r="B1522" s="9">
        <f t="shared" si="4"/>
        <v>45885</v>
      </c>
      <c r="C1522" s="77" t="s">
        <v>1569</v>
      </c>
      <c r="D1522" s="12">
        <f>D1521</f>
        <v>29685.529</v>
      </c>
      <c r="E1522" s="15">
        <f t="shared" si="1"/>
        <v>2025</v>
      </c>
      <c r="F1522" s="15">
        <f t="shared" si="2"/>
        <v>8</v>
      </c>
      <c r="G1522" s="15">
        <f t="shared" si="3"/>
        <v>16</v>
      </c>
    </row>
    <row r="1523">
      <c r="A1523" s="10" t="s">
        <v>27</v>
      </c>
      <c r="B1523" s="9">
        <f t="shared" si="4"/>
        <v>45885</v>
      </c>
      <c r="C1523" s="77" t="s">
        <v>1570</v>
      </c>
      <c r="D1523" s="13">
        <f>SUMIFS('Lançamentos de receitas'!$E:$E,'Lançamentos de receitas'!$A:$A,B1523,'Lançamentos de receitas'!$C:$C,A1523,'Lançamentos de receitas'!$F:$F,"TRANSFERÊNCIA")</f>
        <v>392.08</v>
      </c>
      <c r="E1523" s="15">
        <f t="shared" si="1"/>
        <v>2025</v>
      </c>
      <c r="F1523" s="15">
        <f t="shared" si="2"/>
        <v>8</v>
      </c>
      <c r="G1523" s="15">
        <f t="shared" si="3"/>
        <v>16</v>
      </c>
    </row>
    <row r="1524">
      <c r="A1524" s="10" t="s">
        <v>27</v>
      </c>
      <c r="B1524" s="9">
        <f t="shared" si="4"/>
        <v>45885</v>
      </c>
      <c r="C1524" s="77" t="s">
        <v>1571</v>
      </c>
      <c r="D1524" s="13">
        <f>SUMIFS('Lançamentos de despesas'!$K:$K,'Lançamentos de despesas'!$C:$C,B1524,'Lançamentos de despesas'!$G:$G,A1524,'Lançamentos de despesas'!$E:$E,"pago")</f>
        <v>0</v>
      </c>
      <c r="E1524" s="15">
        <f t="shared" si="1"/>
        <v>2025</v>
      </c>
      <c r="F1524" s="15">
        <f t="shared" si="2"/>
        <v>8</v>
      </c>
      <c r="G1524" s="15">
        <f t="shared" si="3"/>
        <v>16</v>
      </c>
    </row>
    <row r="1525">
      <c r="A1525" s="10" t="s">
        <v>27</v>
      </c>
      <c r="B1525" s="9">
        <f t="shared" si="4"/>
        <v>45885</v>
      </c>
      <c r="C1525" s="77" t="s">
        <v>1572</v>
      </c>
      <c r="D1525" s="13">
        <f>D1522+D1523-D1524</f>
        <v>30077.609</v>
      </c>
      <c r="E1525" s="15">
        <f t="shared" si="1"/>
        <v>2025</v>
      </c>
      <c r="F1525" s="15">
        <f t="shared" si="2"/>
        <v>8</v>
      </c>
      <c r="G1525" s="15">
        <f t="shared" si="3"/>
        <v>16</v>
      </c>
    </row>
    <row r="1526">
      <c r="A1526" s="10" t="s">
        <v>27</v>
      </c>
      <c r="B1526" s="9">
        <f t="shared" si="4"/>
        <v>45886</v>
      </c>
      <c r="C1526" s="77" t="s">
        <v>1569</v>
      </c>
      <c r="D1526" s="12">
        <f>D1525</f>
        <v>30077.609</v>
      </c>
      <c r="E1526" s="15">
        <f t="shared" si="1"/>
        <v>2025</v>
      </c>
      <c r="F1526" s="15">
        <f t="shared" si="2"/>
        <v>8</v>
      </c>
      <c r="G1526" s="15">
        <f t="shared" si="3"/>
        <v>17</v>
      </c>
    </row>
    <row r="1527">
      <c r="A1527" s="10" t="s">
        <v>27</v>
      </c>
      <c r="B1527" s="9">
        <f t="shared" si="4"/>
        <v>45886</v>
      </c>
      <c r="C1527" s="77" t="s">
        <v>1570</v>
      </c>
      <c r="D1527" s="13">
        <f>SUMIFS('Lançamentos de receitas'!$E:$E,'Lançamentos de receitas'!$A:$A,B1527,'Lançamentos de receitas'!$C:$C,A1527,'Lançamentos de receitas'!$F:$F,"TRANSFERÊNCIA")</f>
        <v>827.24</v>
      </c>
      <c r="E1527" s="15">
        <f t="shared" si="1"/>
        <v>2025</v>
      </c>
      <c r="F1527" s="15">
        <f t="shared" si="2"/>
        <v>8</v>
      </c>
      <c r="G1527" s="15">
        <f t="shared" si="3"/>
        <v>17</v>
      </c>
    </row>
    <row r="1528">
      <c r="A1528" s="10" t="s">
        <v>27</v>
      </c>
      <c r="B1528" s="9">
        <f t="shared" si="4"/>
        <v>45886</v>
      </c>
      <c r="C1528" s="77" t="s">
        <v>1571</v>
      </c>
      <c r="D1528" s="13">
        <f>SUMIFS('Lançamentos de despesas'!$K:$K,'Lançamentos de despesas'!$C:$C,B1528,'Lançamentos de despesas'!$G:$G,A1528,'Lançamentos de despesas'!$E:$E,"pago")</f>
        <v>0</v>
      </c>
      <c r="E1528" s="15">
        <f t="shared" si="1"/>
        <v>2025</v>
      </c>
      <c r="F1528" s="15">
        <f t="shared" si="2"/>
        <v>8</v>
      </c>
      <c r="G1528" s="15">
        <f t="shared" si="3"/>
        <v>17</v>
      </c>
    </row>
    <row r="1529">
      <c r="A1529" s="10" t="s">
        <v>27</v>
      </c>
      <c r="B1529" s="9">
        <f t="shared" si="4"/>
        <v>45886</v>
      </c>
      <c r="C1529" s="77" t="s">
        <v>1572</v>
      </c>
      <c r="D1529" s="13">
        <f>D1526+D1527-D1528</f>
        <v>30904.849</v>
      </c>
      <c r="E1529" s="15">
        <f t="shared" si="1"/>
        <v>2025</v>
      </c>
      <c r="F1529" s="15">
        <f t="shared" si="2"/>
        <v>8</v>
      </c>
      <c r="G1529" s="15">
        <f t="shared" si="3"/>
        <v>17</v>
      </c>
    </row>
    <row r="1530">
      <c r="A1530" s="10" t="s">
        <v>27</v>
      </c>
      <c r="B1530" s="9">
        <f t="shared" si="4"/>
        <v>45887</v>
      </c>
      <c r="C1530" s="77" t="s">
        <v>1569</v>
      </c>
      <c r="D1530" s="12">
        <f>D1529</f>
        <v>30904.849</v>
      </c>
      <c r="E1530" s="15">
        <f t="shared" si="1"/>
        <v>2025</v>
      </c>
      <c r="F1530" s="15">
        <f t="shared" si="2"/>
        <v>8</v>
      </c>
      <c r="G1530" s="15">
        <f t="shared" si="3"/>
        <v>18</v>
      </c>
    </row>
    <row r="1531">
      <c r="A1531" s="10" t="s">
        <v>27</v>
      </c>
      <c r="B1531" s="9">
        <f t="shared" si="4"/>
        <v>45887</v>
      </c>
      <c r="C1531" s="77" t="s">
        <v>1570</v>
      </c>
      <c r="D1531" s="13">
        <f>SUMIFS('Lançamentos de receitas'!$E:$E,'Lançamentos de receitas'!$A:$A,B1531,'Lançamentos de receitas'!$C:$C,A1531,'Lançamentos de receitas'!$F:$F,"TRANSFERÊNCIA")</f>
        <v>617.88</v>
      </c>
      <c r="E1531" s="15">
        <f t="shared" si="1"/>
        <v>2025</v>
      </c>
      <c r="F1531" s="15">
        <f t="shared" si="2"/>
        <v>8</v>
      </c>
      <c r="G1531" s="15">
        <f t="shared" si="3"/>
        <v>18</v>
      </c>
    </row>
    <row r="1532">
      <c r="A1532" s="10" t="s">
        <v>27</v>
      </c>
      <c r="B1532" s="9">
        <f t="shared" si="4"/>
        <v>45887</v>
      </c>
      <c r="C1532" s="77" t="s">
        <v>1571</v>
      </c>
      <c r="D1532" s="13">
        <f>SUMIFS('Lançamentos de despesas'!$K:$K,'Lançamentos de despesas'!$C:$C,B1532,'Lançamentos de despesas'!$G:$G,A1532,'Lançamentos de despesas'!$E:$E,"pago")</f>
        <v>3192.97</v>
      </c>
      <c r="E1532" s="15">
        <f t="shared" si="1"/>
        <v>2025</v>
      </c>
      <c r="F1532" s="15">
        <f t="shared" si="2"/>
        <v>8</v>
      </c>
      <c r="G1532" s="15">
        <f t="shared" si="3"/>
        <v>18</v>
      </c>
    </row>
    <row r="1533">
      <c r="A1533" s="10" t="s">
        <v>27</v>
      </c>
      <c r="B1533" s="9">
        <f t="shared" si="4"/>
        <v>45887</v>
      </c>
      <c r="C1533" s="77" t="s">
        <v>1572</v>
      </c>
      <c r="D1533" s="13">
        <f>D1530+D1531-D1532</f>
        <v>28329.759</v>
      </c>
      <c r="E1533" s="15">
        <f t="shared" si="1"/>
        <v>2025</v>
      </c>
      <c r="F1533" s="15">
        <f t="shared" si="2"/>
        <v>8</v>
      </c>
      <c r="G1533" s="15">
        <f t="shared" si="3"/>
        <v>18</v>
      </c>
    </row>
    <row r="1534">
      <c r="A1534" s="10" t="s">
        <v>27</v>
      </c>
      <c r="B1534" s="9">
        <f t="shared" si="4"/>
        <v>45888</v>
      </c>
      <c r="C1534" s="77" t="s">
        <v>1569</v>
      </c>
      <c r="D1534" s="12">
        <f>D1533</f>
        <v>28329.759</v>
      </c>
      <c r="E1534" s="15">
        <f t="shared" si="1"/>
        <v>2025</v>
      </c>
      <c r="F1534" s="15">
        <f t="shared" si="2"/>
        <v>8</v>
      </c>
      <c r="G1534" s="15">
        <f t="shared" si="3"/>
        <v>19</v>
      </c>
    </row>
    <row r="1535">
      <c r="A1535" s="10" t="s">
        <v>27</v>
      </c>
      <c r="B1535" s="9">
        <f t="shared" si="4"/>
        <v>45888</v>
      </c>
      <c r="C1535" s="77" t="s">
        <v>1570</v>
      </c>
      <c r="D1535" s="13">
        <f>SUMIFS('Lançamentos de receitas'!$E:$E,'Lançamentos de receitas'!$A:$A,B1535,'Lançamentos de receitas'!$C:$C,A1535,'Lançamentos de receitas'!$F:$F,"TRANSFERÊNCIA")</f>
        <v>690.83</v>
      </c>
      <c r="E1535" s="15">
        <f t="shared" si="1"/>
        <v>2025</v>
      </c>
      <c r="F1535" s="15">
        <f t="shared" si="2"/>
        <v>8</v>
      </c>
      <c r="G1535" s="15">
        <f t="shared" si="3"/>
        <v>19</v>
      </c>
    </row>
    <row r="1536">
      <c r="A1536" s="10" t="s">
        <v>27</v>
      </c>
      <c r="B1536" s="9">
        <f t="shared" si="4"/>
        <v>45888</v>
      </c>
      <c r="C1536" s="77" t="s">
        <v>1571</v>
      </c>
      <c r="D1536" s="13">
        <f>SUMIFS('Lançamentos de despesas'!$K:$K,'Lançamentos de despesas'!$C:$C,B1536,'Lançamentos de despesas'!$G:$G,A1536,'Lançamentos de despesas'!$E:$E,"pago")</f>
        <v>324.41</v>
      </c>
      <c r="E1536" s="15">
        <f t="shared" si="1"/>
        <v>2025</v>
      </c>
      <c r="F1536" s="15">
        <f t="shared" si="2"/>
        <v>8</v>
      </c>
      <c r="G1536" s="15">
        <f t="shared" si="3"/>
        <v>19</v>
      </c>
    </row>
    <row r="1537">
      <c r="A1537" s="10" t="s">
        <v>27</v>
      </c>
      <c r="B1537" s="9">
        <f t="shared" si="4"/>
        <v>45888</v>
      </c>
      <c r="C1537" s="77" t="s">
        <v>1572</v>
      </c>
      <c r="D1537" s="13">
        <f>D1534+D1535-D1536</f>
        <v>28696.179</v>
      </c>
      <c r="E1537" s="15">
        <f t="shared" si="1"/>
        <v>2025</v>
      </c>
      <c r="F1537" s="15">
        <f t="shared" si="2"/>
        <v>8</v>
      </c>
      <c r="G1537" s="15">
        <f t="shared" si="3"/>
        <v>19</v>
      </c>
    </row>
    <row r="1538">
      <c r="A1538" s="10" t="s">
        <v>27</v>
      </c>
      <c r="B1538" s="9">
        <f t="shared" si="4"/>
        <v>45889</v>
      </c>
      <c r="C1538" s="77" t="s">
        <v>1569</v>
      </c>
      <c r="D1538" s="12">
        <f>D1537</f>
        <v>28696.179</v>
      </c>
      <c r="E1538" s="15">
        <f t="shared" si="1"/>
        <v>2025</v>
      </c>
      <c r="F1538" s="15">
        <f t="shared" si="2"/>
        <v>8</v>
      </c>
      <c r="G1538" s="15">
        <f t="shared" si="3"/>
        <v>20</v>
      </c>
    </row>
    <row r="1539">
      <c r="A1539" s="10" t="s">
        <v>27</v>
      </c>
      <c r="B1539" s="9">
        <f t="shared" si="4"/>
        <v>45889</v>
      </c>
      <c r="C1539" s="77" t="s">
        <v>1570</v>
      </c>
      <c r="D1539" s="13">
        <f>SUMIFS('Lançamentos de receitas'!$E:$E,'Lançamentos de receitas'!$A:$A,B1539,'Lançamentos de receitas'!$C:$C,A1539,'Lançamentos de receitas'!$F:$F,"TRANSFERÊNCIA")</f>
        <v>570.09</v>
      </c>
      <c r="E1539" s="15">
        <f t="shared" si="1"/>
        <v>2025</v>
      </c>
      <c r="F1539" s="15">
        <f t="shared" si="2"/>
        <v>8</v>
      </c>
      <c r="G1539" s="15">
        <f t="shared" si="3"/>
        <v>20</v>
      </c>
    </row>
    <row r="1540">
      <c r="A1540" s="10" t="s">
        <v>27</v>
      </c>
      <c r="B1540" s="9">
        <f t="shared" si="4"/>
        <v>45889</v>
      </c>
      <c r="C1540" s="77" t="s">
        <v>1571</v>
      </c>
      <c r="D1540" s="13">
        <f>SUMIFS('Lançamentos de despesas'!$K:$K,'Lançamentos de despesas'!$C:$C,B1540,'Lançamentos de despesas'!$G:$G,A1540,'Lançamentos de despesas'!$E:$E,"pago")</f>
        <v>18772.01</v>
      </c>
      <c r="E1540" s="15">
        <f t="shared" si="1"/>
        <v>2025</v>
      </c>
      <c r="F1540" s="15">
        <f t="shared" si="2"/>
        <v>8</v>
      </c>
      <c r="G1540" s="15">
        <f t="shared" si="3"/>
        <v>20</v>
      </c>
    </row>
    <row r="1541">
      <c r="A1541" s="10" t="s">
        <v>27</v>
      </c>
      <c r="B1541" s="9">
        <f t="shared" si="4"/>
        <v>45889</v>
      </c>
      <c r="C1541" s="77" t="s">
        <v>1572</v>
      </c>
      <c r="D1541" s="13">
        <f>D1538+D1539-D1540</f>
        <v>10494.259</v>
      </c>
      <c r="E1541" s="15">
        <f t="shared" si="1"/>
        <v>2025</v>
      </c>
      <c r="F1541" s="15">
        <f t="shared" si="2"/>
        <v>8</v>
      </c>
      <c r="G1541" s="15">
        <f t="shared" si="3"/>
        <v>20</v>
      </c>
    </row>
    <row r="1542">
      <c r="A1542" s="10" t="s">
        <v>27</v>
      </c>
      <c r="B1542" s="9">
        <f t="shared" si="4"/>
        <v>45890</v>
      </c>
      <c r="C1542" s="77" t="s">
        <v>1569</v>
      </c>
      <c r="D1542" s="12">
        <f>D1541</f>
        <v>10494.259</v>
      </c>
      <c r="E1542" s="15">
        <f t="shared" si="1"/>
        <v>2025</v>
      </c>
      <c r="F1542" s="15">
        <f t="shared" si="2"/>
        <v>8</v>
      </c>
      <c r="G1542" s="15">
        <f t="shared" si="3"/>
        <v>21</v>
      </c>
    </row>
    <row r="1543">
      <c r="A1543" s="10" t="s">
        <v>27</v>
      </c>
      <c r="B1543" s="9">
        <f t="shared" si="4"/>
        <v>45890</v>
      </c>
      <c r="C1543" s="77" t="s">
        <v>1570</v>
      </c>
      <c r="D1543" s="13">
        <f>SUMIFS('Lançamentos de receitas'!$E:$E,'Lançamentos de receitas'!$A:$A,B1543,'Lançamentos de receitas'!$C:$C,A1543,'Lançamentos de receitas'!$F:$F,"TRANSFERÊNCIA")</f>
        <v>570.09</v>
      </c>
      <c r="E1543" s="15">
        <f t="shared" si="1"/>
        <v>2025</v>
      </c>
      <c r="F1543" s="15">
        <f t="shared" si="2"/>
        <v>8</v>
      </c>
      <c r="G1543" s="15">
        <f t="shared" si="3"/>
        <v>21</v>
      </c>
    </row>
    <row r="1544">
      <c r="A1544" s="10" t="s">
        <v>27</v>
      </c>
      <c r="B1544" s="9">
        <f t="shared" si="4"/>
        <v>45890</v>
      </c>
      <c r="C1544" s="77" t="s">
        <v>1571</v>
      </c>
      <c r="D1544" s="13">
        <f>SUMIFS('Lançamentos de despesas'!$K:$K,'Lançamentos de despesas'!$C:$C,B1544,'Lançamentos de despesas'!$G:$G,A1544,'Lançamentos de despesas'!$E:$E,"pago")</f>
        <v>6270</v>
      </c>
      <c r="E1544" s="15">
        <f t="shared" si="1"/>
        <v>2025</v>
      </c>
      <c r="F1544" s="15">
        <f t="shared" si="2"/>
        <v>8</v>
      </c>
      <c r="G1544" s="15">
        <f t="shared" si="3"/>
        <v>21</v>
      </c>
    </row>
    <row r="1545">
      <c r="A1545" s="10" t="s">
        <v>27</v>
      </c>
      <c r="B1545" s="9">
        <f t="shared" si="4"/>
        <v>45890</v>
      </c>
      <c r="C1545" s="77" t="s">
        <v>1572</v>
      </c>
      <c r="D1545" s="13">
        <f>D1542+D1543-D1544</f>
        <v>4794.349</v>
      </c>
      <c r="E1545" s="15">
        <f t="shared" si="1"/>
        <v>2025</v>
      </c>
      <c r="F1545" s="15">
        <f t="shared" si="2"/>
        <v>8</v>
      </c>
      <c r="G1545" s="15">
        <f t="shared" si="3"/>
        <v>21</v>
      </c>
    </row>
    <row r="1546">
      <c r="A1546" s="10" t="s">
        <v>27</v>
      </c>
      <c r="B1546" s="9">
        <f t="shared" si="4"/>
        <v>45891</v>
      </c>
      <c r="C1546" s="77" t="s">
        <v>1569</v>
      </c>
      <c r="D1546" s="12">
        <f>D1545</f>
        <v>4794.349</v>
      </c>
      <c r="E1546" s="15">
        <f t="shared" si="1"/>
        <v>2025</v>
      </c>
      <c r="F1546" s="15">
        <f t="shared" si="2"/>
        <v>8</v>
      </c>
      <c r="G1546" s="15">
        <f t="shared" si="3"/>
        <v>22</v>
      </c>
    </row>
    <row r="1547">
      <c r="A1547" s="10" t="s">
        <v>27</v>
      </c>
      <c r="B1547" s="9">
        <f t="shared" si="4"/>
        <v>45891</v>
      </c>
      <c r="C1547" s="77" t="s">
        <v>1570</v>
      </c>
      <c r="D1547" s="13">
        <f>SUMIFS('Lançamentos de receitas'!$E:$E,'Lançamentos de receitas'!$A:$A,B1547,'Lançamentos de receitas'!$C:$C,A1547,'Lançamentos de receitas'!$F:$F,"TRANSFERÊNCIA")</f>
        <v>2882.39</v>
      </c>
      <c r="E1547" s="15">
        <f t="shared" si="1"/>
        <v>2025</v>
      </c>
      <c r="F1547" s="15">
        <f t="shared" si="2"/>
        <v>8</v>
      </c>
      <c r="G1547" s="15">
        <f t="shared" si="3"/>
        <v>22</v>
      </c>
    </row>
    <row r="1548">
      <c r="A1548" s="10" t="s">
        <v>27</v>
      </c>
      <c r="B1548" s="9">
        <f t="shared" si="4"/>
        <v>45891</v>
      </c>
      <c r="C1548" s="77" t="s">
        <v>1571</v>
      </c>
      <c r="D1548" s="13">
        <f>SUMIFS('Lançamentos de despesas'!$K:$K,'Lançamentos de despesas'!$C:$C,B1548,'Lançamentos de despesas'!$G:$G,A1548,'Lançamentos de despesas'!$E:$E,"pago")</f>
        <v>3070</v>
      </c>
      <c r="E1548" s="15">
        <f t="shared" si="1"/>
        <v>2025</v>
      </c>
      <c r="F1548" s="15">
        <f t="shared" si="2"/>
        <v>8</v>
      </c>
      <c r="G1548" s="15">
        <f t="shared" si="3"/>
        <v>22</v>
      </c>
    </row>
    <row r="1549">
      <c r="A1549" s="10" t="s">
        <v>27</v>
      </c>
      <c r="B1549" s="9">
        <f t="shared" si="4"/>
        <v>45891</v>
      </c>
      <c r="C1549" s="77" t="s">
        <v>1572</v>
      </c>
      <c r="D1549" s="13">
        <f>D1546+D1547-D1548</f>
        <v>4606.739</v>
      </c>
      <c r="E1549" s="15">
        <f t="shared" si="1"/>
        <v>2025</v>
      </c>
      <c r="F1549" s="15">
        <f t="shared" si="2"/>
        <v>8</v>
      </c>
      <c r="G1549" s="15">
        <f t="shared" si="3"/>
        <v>22</v>
      </c>
    </row>
    <row r="1550">
      <c r="A1550" s="10" t="s">
        <v>27</v>
      </c>
      <c r="B1550" s="9">
        <f t="shared" si="4"/>
        <v>45892</v>
      </c>
      <c r="C1550" s="77" t="s">
        <v>1569</v>
      </c>
      <c r="D1550" s="12">
        <f>D1549</f>
        <v>4606.739</v>
      </c>
      <c r="E1550" s="15">
        <f t="shared" si="1"/>
        <v>2025</v>
      </c>
      <c r="F1550" s="15">
        <f t="shared" si="2"/>
        <v>8</v>
      </c>
      <c r="G1550" s="15">
        <f t="shared" si="3"/>
        <v>23</v>
      </c>
    </row>
    <row r="1551">
      <c r="A1551" s="10" t="s">
        <v>27</v>
      </c>
      <c r="B1551" s="9">
        <f t="shared" si="4"/>
        <v>45892</v>
      </c>
      <c r="C1551" s="77" t="s">
        <v>1570</v>
      </c>
      <c r="D1551" s="13">
        <f>SUMIFS('Lançamentos de receitas'!$E:$E,'Lançamentos de receitas'!$A:$A,B1551,'Lançamentos de receitas'!$C:$C,A1551,'Lançamentos de receitas'!$F:$F,"TRANSFERÊNCIA")</f>
        <v>1509.27</v>
      </c>
      <c r="E1551" s="15">
        <f t="shared" si="1"/>
        <v>2025</v>
      </c>
      <c r="F1551" s="15">
        <f t="shared" si="2"/>
        <v>8</v>
      </c>
      <c r="G1551" s="15">
        <f t="shared" si="3"/>
        <v>23</v>
      </c>
    </row>
    <row r="1552">
      <c r="A1552" s="10" t="s">
        <v>27</v>
      </c>
      <c r="B1552" s="9">
        <f t="shared" si="4"/>
        <v>45892</v>
      </c>
      <c r="C1552" s="77" t="s">
        <v>1571</v>
      </c>
      <c r="D1552" s="13">
        <f>SUMIFS('Lançamentos de despesas'!$K:$K,'Lançamentos de despesas'!$C:$C,B1552,'Lançamentos de despesas'!$G:$G,A1552,'Lançamentos de despesas'!$E:$E,"pago")</f>
        <v>0</v>
      </c>
      <c r="E1552" s="15">
        <f t="shared" si="1"/>
        <v>2025</v>
      </c>
      <c r="F1552" s="15">
        <f t="shared" si="2"/>
        <v>8</v>
      </c>
      <c r="G1552" s="15">
        <f t="shared" si="3"/>
        <v>23</v>
      </c>
    </row>
    <row r="1553">
      <c r="A1553" s="10" t="s">
        <v>27</v>
      </c>
      <c r="B1553" s="9">
        <f t="shared" si="4"/>
        <v>45892</v>
      </c>
      <c r="C1553" s="77" t="s">
        <v>1572</v>
      </c>
      <c r="D1553" s="13">
        <f>D1550+D1551-D1552</f>
        <v>6116.009</v>
      </c>
      <c r="E1553" s="15">
        <f t="shared" si="1"/>
        <v>2025</v>
      </c>
      <c r="F1553" s="15">
        <f t="shared" si="2"/>
        <v>8</v>
      </c>
      <c r="G1553" s="15">
        <f t="shared" si="3"/>
        <v>23</v>
      </c>
    </row>
    <row r="1554">
      <c r="A1554" s="10" t="s">
        <v>27</v>
      </c>
      <c r="B1554" s="9">
        <f t="shared" si="4"/>
        <v>45893</v>
      </c>
      <c r="C1554" s="77" t="s">
        <v>1569</v>
      </c>
      <c r="D1554" s="12">
        <f>D1553</f>
        <v>6116.009</v>
      </c>
      <c r="E1554" s="15">
        <f t="shared" si="1"/>
        <v>2025</v>
      </c>
      <c r="F1554" s="15">
        <f t="shared" si="2"/>
        <v>8</v>
      </c>
      <c r="G1554" s="15">
        <f t="shared" si="3"/>
        <v>24</v>
      </c>
    </row>
    <row r="1555">
      <c r="A1555" s="10" t="s">
        <v>27</v>
      </c>
      <c r="B1555" s="9">
        <f t="shared" si="4"/>
        <v>45893</v>
      </c>
      <c r="C1555" s="77" t="s">
        <v>1570</v>
      </c>
      <c r="D1555" s="13">
        <f>SUMIFS('Lançamentos de receitas'!$E:$E,'Lançamentos de receitas'!$A:$A,B1555,'Lançamentos de receitas'!$C:$C,A1555,'Lançamentos de receitas'!$F:$F,"TRANSFERÊNCIA")</f>
        <v>1340.35</v>
      </c>
      <c r="E1555" s="15">
        <f t="shared" si="1"/>
        <v>2025</v>
      </c>
      <c r="F1555" s="15">
        <f t="shared" si="2"/>
        <v>8</v>
      </c>
      <c r="G1555" s="15">
        <f t="shared" si="3"/>
        <v>24</v>
      </c>
    </row>
    <row r="1556">
      <c r="A1556" s="10" t="s">
        <v>27</v>
      </c>
      <c r="B1556" s="9">
        <f t="shared" si="4"/>
        <v>45893</v>
      </c>
      <c r="C1556" s="77" t="s">
        <v>1571</v>
      </c>
      <c r="D1556" s="13">
        <f>SUMIFS('Lançamentos de despesas'!$K:$K,'Lançamentos de despesas'!$C:$C,B1556,'Lançamentos de despesas'!$G:$G,A1556,'Lançamentos de despesas'!$E:$E,"pago")</f>
        <v>0</v>
      </c>
      <c r="E1556" s="15">
        <f t="shared" si="1"/>
        <v>2025</v>
      </c>
      <c r="F1556" s="15">
        <f t="shared" si="2"/>
        <v>8</v>
      </c>
      <c r="G1556" s="15">
        <f t="shared" si="3"/>
        <v>24</v>
      </c>
    </row>
    <row r="1557">
      <c r="A1557" s="10" t="s">
        <v>27</v>
      </c>
      <c r="B1557" s="9">
        <f t="shared" si="4"/>
        <v>45893</v>
      </c>
      <c r="C1557" s="77" t="s">
        <v>1572</v>
      </c>
      <c r="D1557" s="13">
        <f>D1554+D1555-D1556</f>
        <v>7456.359</v>
      </c>
      <c r="E1557" s="15">
        <f t="shared" si="1"/>
        <v>2025</v>
      </c>
      <c r="F1557" s="15">
        <f t="shared" si="2"/>
        <v>8</v>
      </c>
      <c r="G1557" s="15">
        <f t="shared" si="3"/>
        <v>24</v>
      </c>
    </row>
    <row r="1558">
      <c r="A1558" s="10" t="s">
        <v>27</v>
      </c>
      <c r="B1558" s="9">
        <f t="shared" si="4"/>
        <v>45894</v>
      </c>
      <c r="C1558" s="77" t="s">
        <v>1569</v>
      </c>
      <c r="D1558" s="12">
        <f>D1557</f>
        <v>7456.359</v>
      </c>
      <c r="E1558" s="15">
        <f t="shared" si="1"/>
        <v>2025</v>
      </c>
      <c r="F1558" s="15">
        <f t="shared" si="2"/>
        <v>8</v>
      </c>
      <c r="G1558" s="15">
        <f t="shared" si="3"/>
        <v>25</v>
      </c>
    </row>
    <row r="1559">
      <c r="A1559" s="10" t="s">
        <v>27</v>
      </c>
      <c r="B1559" s="9">
        <f t="shared" si="4"/>
        <v>45894</v>
      </c>
      <c r="C1559" s="77" t="s">
        <v>1570</v>
      </c>
      <c r="D1559" s="13">
        <f>SUMIFS('Lançamentos de receitas'!$E:$E,'Lançamentos de receitas'!$A:$A,B1559,'Lançamentos de receitas'!$C:$C,A1559,'Lançamentos de receitas'!$F:$F,"TRANSFERÊNCIA")</f>
        <v>9266.14</v>
      </c>
      <c r="E1559" s="15">
        <f t="shared" si="1"/>
        <v>2025</v>
      </c>
      <c r="F1559" s="15">
        <f t="shared" si="2"/>
        <v>8</v>
      </c>
      <c r="G1559" s="15">
        <f t="shared" si="3"/>
        <v>25</v>
      </c>
    </row>
    <row r="1560">
      <c r="A1560" s="10" t="s">
        <v>27</v>
      </c>
      <c r="B1560" s="9">
        <f t="shared" si="4"/>
        <v>45894</v>
      </c>
      <c r="C1560" s="77" t="s">
        <v>1571</v>
      </c>
      <c r="D1560" s="13">
        <f>SUMIFS('Lançamentos de despesas'!$K:$K,'Lançamentos de despesas'!$C:$C,B1560,'Lançamentos de despesas'!$G:$G,A1560,'Lançamentos de despesas'!$E:$E,"pago")</f>
        <v>142.68</v>
      </c>
      <c r="E1560" s="15">
        <f t="shared" si="1"/>
        <v>2025</v>
      </c>
      <c r="F1560" s="15">
        <f t="shared" si="2"/>
        <v>8</v>
      </c>
      <c r="G1560" s="15">
        <f t="shared" si="3"/>
        <v>25</v>
      </c>
    </row>
    <row r="1561">
      <c r="A1561" s="10" t="s">
        <v>27</v>
      </c>
      <c r="B1561" s="9">
        <f t="shared" si="4"/>
        <v>45894</v>
      </c>
      <c r="C1561" s="77" t="s">
        <v>1572</v>
      </c>
      <c r="D1561" s="13">
        <f>D1558+D1559-D1560</f>
        <v>16579.819</v>
      </c>
      <c r="E1561" s="15">
        <f t="shared" si="1"/>
        <v>2025</v>
      </c>
      <c r="F1561" s="15">
        <f t="shared" si="2"/>
        <v>8</v>
      </c>
      <c r="G1561" s="15">
        <f t="shared" si="3"/>
        <v>25</v>
      </c>
    </row>
    <row r="1562">
      <c r="A1562" s="10" t="s">
        <v>27</v>
      </c>
      <c r="B1562" s="9">
        <f t="shared" si="4"/>
        <v>45895</v>
      </c>
      <c r="C1562" s="77" t="s">
        <v>1569</v>
      </c>
      <c r="D1562" s="12">
        <f>D1561</f>
        <v>16579.819</v>
      </c>
      <c r="E1562" s="15">
        <f t="shared" si="1"/>
        <v>2025</v>
      </c>
      <c r="F1562" s="15">
        <f t="shared" si="2"/>
        <v>8</v>
      </c>
      <c r="G1562" s="15">
        <f t="shared" si="3"/>
        <v>26</v>
      </c>
    </row>
    <row r="1563">
      <c r="A1563" s="10" t="s">
        <v>27</v>
      </c>
      <c r="B1563" s="9">
        <f t="shared" si="4"/>
        <v>45895</v>
      </c>
      <c r="C1563" s="77" t="s">
        <v>1570</v>
      </c>
      <c r="D1563" s="13">
        <f>SUMIFS('Lançamentos de receitas'!$E:$E,'Lançamentos de receitas'!$A:$A,B1563,'Lançamentos de receitas'!$C:$C,A1563,'Lançamentos de receitas'!$F:$F,"TRANSFERÊNCIA")</f>
        <v>977.67</v>
      </c>
      <c r="E1563" s="15">
        <f t="shared" si="1"/>
        <v>2025</v>
      </c>
      <c r="F1563" s="15">
        <f t="shared" si="2"/>
        <v>8</v>
      </c>
      <c r="G1563" s="15">
        <f t="shared" si="3"/>
        <v>26</v>
      </c>
    </row>
    <row r="1564">
      <c r="A1564" s="10" t="s">
        <v>27</v>
      </c>
      <c r="B1564" s="9">
        <f t="shared" si="4"/>
        <v>45895</v>
      </c>
      <c r="C1564" s="77" t="s">
        <v>1571</v>
      </c>
      <c r="D1564" s="13">
        <f>SUMIFS('Lançamentos de despesas'!$K:$K,'Lançamentos de despesas'!$C:$C,B1564,'Lançamentos de despesas'!$G:$G,A1564,'Lançamentos de despesas'!$E:$E,"pago")</f>
        <v>101.71</v>
      </c>
      <c r="E1564" s="15">
        <f t="shared" si="1"/>
        <v>2025</v>
      </c>
      <c r="F1564" s="15">
        <f t="shared" si="2"/>
        <v>8</v>
      </c>
      <c r="G1564" s="15">
        <f t="shared" si="3"/>
        <v>26</v>
      </c>
    </row>
    <row r="1565">
      <c r="A1565" s="10" t="s">
        <v>27</v>
      </c>
      <c r="B1565" s="9">
        <f t="shared" si="4"/>
        <v>45895</v>
      </c>
      <c r="C1565" s="77" t="s">
        <v>1572</v>
      </c>
      <c r="D1565" s="13">
        <f>D1562+D1563-D1564</f>
        <v>17455.779</v>
      </c>
      <c r="E1565" s="15">
        <f t="shared" si="1"/>
        <v>2025</v>
      </c>
      <c r="F1565" s="15">
        <f t="shared" si="2"/>
        <v>8</v>
      </c>
      <c r="G1565" s="15">
        <f t="shared" si="3"/>
        <v>26</v>
      </c>
    </row>
    <row r="1566">
      <c r="A1566" s="10" t="s">
        <v>27</v>
      </c>
      <c r="B1566" s="9">
        <f t="shared" si="4"/>
        <v>45896</v>
      </c>
      <c r="C1566" s="77" t="s">
        <v>1569</v>
      </c>
      <c r="D1566" s="12">
        <f>D1565</f>
        <v>17455.779</v>
      </c>
      <c r="E1566" s="15">
        <f t="shared" si="1"/>
        <v>2025</v>
      </c>
      <c r="F1566" s="15">
        <f t="shared" si="2"/>
        <v>8</v>
      </c>
      <c r="G1566" s="15">
        <f t="shared" si="3"/>
        <v>27</v>
      </c>
    </row>
    <row r="1567">
      <c r="A1567" s="10" t="s">
        <v>27</v>
      </c>
      <c r="B1567" s="9">
        <f t="shared" si="4"/>
        <v>45896</v>
      </c>
      <c r="C1567" s="77" t="s">
        <v>1570</v>
      </c>
      <c r="D1567" s="13">
        <f>SUMIFS('Lançamentos de receitas'!$E:$E,'Lançamentos de receitas'!$A:$A,B1567,'Lançamentos de receitas'!$C:$C,A1567,'Lançamentos de receitas'!$F:$F,"TRANSFERÊNCIA")</f>
        <v>1063.38</v>
      </c>
      <c r="E1567" s="15">
        <f t="shared" si="1"/>
        <v>2025</v>
      </c>
      <c r="F1567" s="15">
        <f t="shared" si="2"/>
        <v>8</v>
      </c>
      <c r="G1567" s="15">
        <f t="shared" si="3"/>
        <v>27</v>
      </c>
    </row>
    <row r="1568">
      <c r="A1568" s="10" t="s">
        <v>27</v>
      </c>
      <c r="B1568" s="9">
        <f t="shared" si="4"/>
        <v>45896</v>
      </c>
      <c r="C1568" s="77" t="s">
        <v>1571</v>
      </c>
      <c r="D1568" s="13">
        <f>SUMIFS('Lançamentos de despesas'!$K:$K,'Lançamentos de despesas'!$C:$C,B1568,'Lançamentos de despesas'!$G:$G,A1568,'Lançamentos de despesas'!$E:$E,"pago")</f>
        <v>0</v>
      </c>
      <c r="E1568" s="15">
        <f t="shared" si="1"/>
        <v>2025</v>
      </c>
      <c r="F1568" s="15">
        <f t="shared" si="2"/>
        <v>8</v>
      </c>
      <c r="G1568" s="15">
        <f t="shared" si="3"/>
        <v>27</v>
      </c>
    </row>
    <row r="1569">
      <c r="A1569" s="10" t="s">
        <v>27</v>
      </c>
      <c r="B1569" s="9">
        <f t="shared" si="4"/>
        <v>45896</v>
      </c>
      <c r="C1569" s="77" t="s">
        <v>1572</v>
      </c>
      <c r="D1569" s="13">
        <f>D1566+D1567-D1568</f>
        <v>18519.159</v>
      </c>
      <c r="E1569" s="15">
        <f t="shared" si="1"/>
        <v>2025</v>
      </c>
      <c r="F1569" s="15">
        <f t="shared" si="2"/>
        <v>8</v>
      </c>
      <c r="G1569" s="15">
        <f t="shared" si="3"/>
        <v>27</v>
      </c>
    </row>
    <row r="1570">
      <c r="A1570" s="10" t="s">
        <v>27</v>
      </c>
      <c r="B1570" s="9">
        <f t="shared" si="4"/>
        <v>45897</v>
      </c>
      <c r="C1570" s="77" t="s">
        <v>1569</v>
      </c>
      <c r="D1570" s="12">
        <f>D1569</f>
        <v>18519.159</v>
      </c>
      <c r="E1570" s="15">
        <f t="shared" si="1"/>
        <v>2025</v>
      </c>
      <c r="F1570" s="15">
        <f t="shared" si="2"/>
        <v>8</v>
      </c>
      <c r="G1570" s="15">
        <f t="shared" si="3"/>
        <v>28</v>
      </c>
    </row>
    <row r="1571">
      <c r="A1571" s="10" t="s">
        <v>27</v>
      </c>
      <c r="B1571" s="9">
        <f t="shared" si="4"/>
        <v>45897</v>
      </c>
      <c r="C1571" s="77" t="s">
        <v>1570</v>
      </c>
      <c r="D1571" s="13">
        <f>SUMIFS('Lançamentos de receitas'!$E:$E,'Lançamentos de receitas'!$A:$A,B1571,'Lançamentos de receitas'!$C:$C,A1571,'Lançamentos de receitas'!$F:$F,"TRANSFERÊNCIA")</f>
        <v>832.4</v>
      </c>
      <c r="E1571" s="15">
        <f t="shared" si="1"/>
        <v>2025</v>
      </c>
      <c r="F1571" s="15">
        <f t="shared" si="2"/>
        <v>8</v>
      </c>
      <c r="G1571" s="15">
        <f t="shared" si="3"/>
        <v>28</v>
      </c>
    </row>
    <row r="1572">
      <c r="A1572" s="10" t="s">
        <v>27</v>
      </c>
      <c r="B1572" s="9">
        <f t="shared" si="4"/>
        <v>45897</v>
      </c>
      <c r="C1572" s="77" t="s">
        <v>1571</v>
      </c>
      <c r="D1572" s="13">
        <f>SUMIFS('Lançamentos de despesas'!$K:$K,'Lançamentos de despesas'!$C:$C,B1572,'Lançamentos de despesas'!$G:$G,A1572,'Lançamentos de despesas'!$E:$E,"pago")</f>
        <v>0</v>
      </c>
      <c r="E1572" s="15">
        <f t="shared" si="1"/>
        <v>2025</v>
      </c>
      <c r="F1572" s="15">
        <f t="shared" si="2"/>
        <v>8</v>
      </c>
      <c r="G1572" s="15">
        <f t="shared" si="3"/>
        <v>28</v>
      </c>
    </row>
    <row r="1573">
      <c r="A1573" s="10" t="s">
        <v>27</v>
      </c>
      <c r="B1573" s="9">
        <f t="shared" si="4"/>
        <v>45897</v>
      </c>
      <c r="C1573" s="77" t="s">
        <v>1572</v>
      </c>
      <c r="D1573" s="13">
        <f>D1570+D1571-D1572</f>
        <v>19351.559</v>
      </c>
      <c r="E1573" s="15">
        <f t="shared" si="1"/>
        <v>2025</v>
      </c>
      <c r="F1573" s="15">
        <f t="shared" si="2"/>
        <v>8</v>
      </c>
      <c r="G1573" s="15">
        <f t="shared" si="3"/>
        <v>28</v>
      </c>
    </row>
    <row r="1574">
      <c r="A1574" s="10" t="s">
        <v>27</v>
      </c>
      <c r="B1574" s="9">
        <f t="shared" si="4"/>
        <v>45898</v>
      </c>
      <c r="C1574" s="77" t="s">
        <v>1569</v>
      </c>
      <c r="D1574" s="12">
        <f>D1573</f>
        <v>19351.559</v>
      </c>
      <c r="E1574" s="15">
        <f t="shared" si="1"/>
        <v>2025</v>
      </c>
      <c r="F1574" s="15">
        <f t="shared" si="2"/>
        <v>8</v>
      </c>
      <c r="G1574" s="15">
        <f t="shared" si="3"/>
        <v>29</v>
      </c>
    </row>
    <row r="1575">
      <c r="A1575" s="10" t="s">
        <v>27</v>
      </c>
      <c r="B1575" s="9">
        <f t="shared" si="4"/>
        <v>45898</v>
      </c>
      <c r="C1575" s="77" t="s">
        <v>1570</v>
      </c>
      <c r="D1575" s="13">
        <f>SUMIFS('Lançamentos de receitas'!$E:$E,'Lançamentos de receitas'!$A:$A,B1575,'Lançamentos de receitas'!$C:$C,A1575,'Lançamentos de receitas'!$F:$F,"TRANSFERÊNCIA")</f>
        <v>1328.02</v>
      </c>
      <c r="E1575" s="15">
        <f t="shared" si="1"/>
        <v>2025</v>
      </c>
      <c r="F1575" s="15">
        <f t="shared" si="2"/>
        <v>8</v>
      </c>
      <c r="G1575" s="15">
        <f t="shared" si="3"/>
        <v>29</v>
      </c>
    </row>
    <row r="1576">
      <c r="A1576" s="10" t="s">
        <v>27</v>
      </c>
      <c r="B1576" s="9">
        <f t="shared" si="4"/>
        <v>45898</v>
      </c>
      <c r="C1576" s="77" t="s">
        <v>1571</v>
      </c>
      <c r="D1576" s="13">
        <f>SUMIFS('Lançamentos de despesas'!$K:$K,'Lançamentos de despesas'!$C:$C,B1576,'Lançamentos de despesas'!$G:$G,A1576,'Lançamentos de despesas'!$E:$E,"pago")</f>
        <v>5132.58</v>
      </c>
      <c r="E1576" s="15">
        <f t="shared" si="1"/>
        <v>2025</v>
      </c>
      <c r="F1576" s="15">
        <f t="shared" si="2"/>
        <v>8</v>
      </c>
      <c r="G1576" s="15">
        <f t="shared" si="3"/>
        <v>29</v>
      </c>
    </row>
    <row r="1577">
      <c r="A1577" s="10" t="s">
        <v>27</v>
      </c>
      <c r="B1577" s="9">
        <f t="shared" si="4"/>
        <v>45898</v>
      </c>
      <c r="C1577" s="77" t="s">
        <v>1572</v>
      </c>
      <c r="D1577" s="13">
        <f>D1574+D1575-D1576</f>
        <v>15546.999</v>
      </c>
      <c r="E1577" s="15">
        <f t="shared" si="1"/>
        <v>2025</v>
      </c>
      <c r="F1577" s="15">
        <f t="shared" si="2"/>
        <v>8</v>
      </c>
      <c r="G1577" s="15">
        <f t="shared" si="3"/>
        <v>29</v>
      </c>
    </row>
    <row r="1578">
      <c r="A1578" s="10" t="s">
        <v>27</v>
      </c>
      <c r="B1578" s="9">
        <f t="shared" si="4"/>
        <v>45899</v>
      </c>
      <c r="C1578" s="77" t="s">
        <v>1569</v>
      </c>
      <c r="D1578" s="12">
        <f>D1577</f>
        <v>15546.999</v>
      </c>
      <c r="E1578" s="15">
        <f t="shared" si="1"/>
        <v>2025</v>
      </c>
      <c r="F1578" s="15">
        <f t="shared" si="2"/>
        <v>8</v>
      </c>
      <c r="G1578" s="15">
        <f t="shared" si="3"/>
        <v>30</v>
      </c>
    </row>
    <row r="1579">
      <c r="A1579" s="10" t="s">
        <v>27</v>
      </c>
      <c r="B1579" s="9">
        <f t="shared" si="4"/>
        <v>45899</v>
      </c>
      <c r="C1579" s="77" t="s">
        <v>1570</v>
      </c>
      <c r="D1579" s="13">
        <f>SUMIFS('Lançamentos de receitas'!$E:$E,'Lançamentos de receitas'!$A:$A,B1579,'Lançamentos de receitas'!$C:$C,A1579,'Lançamentos de receitas'!$F:$F,"TRANSFERÊNCIA")</f>
        <v>1520.79</v>
      </c>
      <c r="E1579" s="15">
        <f t="shared" si="1"/>
        <v>2025</v>
      </c>
      <c r="F1579" s="15">
        <f t="shared" si="2"/>
        <v>8</v>
      </c>
      <c r="G1579" s="15">
        <f t="shared" si="3"/>
        <v>30</v>
      </c>
    </row>
    <row r="1580">
      <c r="A1580" s="10" t="s">
        <v>27</v>
      </c>
      <c r="B1580" s="9">
        <f t="shared" si="4"/>
        <v>45899</v>
      </c>
      <c r="C1580" s="77" t="s">
        <v>1571</v>
      </c>
      <c r="D1580" s="13">
        <f>SUMIFS('Lançamentos de despesas'!$K:$K,'Lançamentos de despesas'!$C:$C,B1580,'Lançamentos de despesas'!$G:$G,A1580,'Lançamentos de despesas'!$E:$E,"pago")</f>
        <v>0</v>
      </c>
      <c r="E1580" s="15">
        <f t="shared" si="1"/>
        <v>2025</v>
      </c>
      <c r="F1580" s="15">
        <f t="shared" si="2"/>
        <v>8</v>
      </c>
      <c r="G1580" s="15">
        <f t="shared" si="3"/>
        <v>30</v>
      </c>
    </row>
    <row r="1581">
      <c r="A1581" s="10" t="s">
        <v>27</v>
      </c>
      <c r="B1581" s="9">
        <f t="shared" si="4"/>
        <v>45899</v>
      </c>
      <c r="C1581" s="77" t="s">
        <v>1572</v>
      </c>
      <c r="D1581" s="13">
        <f>D1578+D1579-D1580</f>
        <v>17067.789</v>
      </c>
      <c r="E1581" s="15">
        <f t="shared" si="1"/>
        <v>2025</v>
      </c>
      <c r="F1581" s="15">
        <f t="shared" si="2"/>
        <v>8</v>
      </c>
      <c r="G1581" s="15">
        <f t="shared" si="3"/>
        <v>30</v>
      </c>
    </row>
    <row r="1582">
      <c r="A1582" s="10" t="s">
        <v>27</v>
      </c>
      <c r="B1582" s="9">
        <f t="shared" si="4"/>
        <v>45900</v>
      </c>
      <c r="C1582" s="77" t="s">
        <v>1569</v>
      </c>
      <c r="D1582" s="12">
        <f>D1581</f>
        <v>17067.789</v>
      </c>
      <c r="E1582" s="15">
        <f t="shared" si="1"/>
        <v>2025</v>
      </c>
      <c r="F1582" s="15">
        <f t="shared" si="2"/>
        <v>8</v>
      </c>
      <c r="G1582" s="15">
        <f t="shared" si="3"/>
        <v>31</v>
      </c>
    </row>
    <row r="1583">
      <c r="A1583" s="10" t="s">
        <v>27</v>
      </c>
      <c r="B1583" s="9">
        <f t="shared" si="4"/>
        <v>45900</v>
      </c>
      <c r="C1583" s="77" t="s">
        <v>1570</v>
      </c>
      <c r="D1583" s="13">
        <f>SUMIFS('Lançamentos de receitas'!$E:$E,'Lançamentos de receitas'!$A:$A,B1583,'Lançamentos de receitas'!$C:$C,A1583,'Lançamentos de receitas'!$F:$F,"TRANSFERÊNCIA")</f>
        <v>0</v>
      </c>
      <c r="E1583" s="15">
        <f t="shared" si="1"/>
        <v>2025</v>
      </c>
      <c r="F1583" s="15">
        <f t="shared" si="2"/>
        <v>8</v>
      </c>
      <c r="G1583" s="15">
        <f t="shared" si="3"/>
        <v>31</v>
      </c>
    </row>
    <row r="1584">
      <c r="A1584" s="10" t="s">
        <v>27</v>
      </c>
      <c r="B1584" s="9">
        <f t="shared" si="4"/>
        <v>45900</v>
      </c>
      <c r="C1584" s="77" t="s">
        <v>1571</v>
      </c>
      <c r="D1584" s="13">
        <f>SUMIFS('Lançamentos de despesas'!$K:$K,'Lançamentos de despesas'!$C:$C,B1584,'Lançamentos de despesas'!$G:$G,A1584,'Lançamentos de despesas'!$E:$E,"pago")</f>
        <v>0</v>
      </c>
      <c r="E1584" s="15">
        <f t="shared" si="1"/>
        <v>2025</v>
      </c>
      <c r="F1584" s="15">
        <f t="shared" si="2"/>
        <v>8</v>
      </c>
      <c r="G1584" s="15">
        <f t="shared" si="3"/>
        <v>31</v>
      </c>
    </row>
    <row r="1585">
      <c r="A1585" s="10" t="s">
        <v>27</v>
      </c>
      <c r="B1585" s="9">
        <f t="shared" si="4"/>
        <v>45900</v>
      </c>
      <c r="C1585" s="77" t="s">
        <v>1572</v>
      </c>
      <c r="D1585" s="13">
        <f>D1582+D1583-D1584</f>
        <v>17067.789</v>
      </c>
      <c r="E1585" s="15">
        <f t="shared" si="1"/>
        <v>2025</v>
      </c>
      <c r="F1585" s="15">
        <f t="shared" si="2"/>
        <v>8</v>
      </c>
      <c r="G1585" s="15">
        <f t="shared" si="3"/>
        <v>31</v>
      </c>
    </row>
    <row r="1586">
      <c r="A1586" s="10" t="s">
        <v>27</v>
      </c>
      <c r="B1586" s="9">
        <f t="shared" si="4"/>
        <v>45901</v>
      </c>
      <c r="C1586" s="77" t="s">
        <v>1569</v>
      </c>
      <c r="D1586" s="12">
        <f>D1585</f>
        <v>17067.789</v>
      </c>
      <c r="E1586" s="15">
        <f t="shared" si="1"/>
        <v>2025</v>
      </c>
      <c r="F1586" s="15">
        <f t="shared" si="2"/>
        <v>9</v>
      </c>
      <c r="G1586" s="15">
        <f t="shared" si="3"/>
        <v>1</v>
      </c>
    </row>
    <row r="1587">
      <c r="A1587" s="10" t="s">
        <v>27</v>
      </c>
      <c r="B1587" s="9">
        <f t="shared" si="4"/>
        <v>45901</v>
      </c>
      <c r="C1587" s="77" t="s">
        <v>1570</v>
      </c>
      <c r="D1587" s="13">
        <f>SUMIFS('Lançamentos de receitas'!$E:$E,'Lançamentos de receitas'!$A:$A,B1587,'Lançamentos de receitas'!$C:$C,A1587,'Lançamentos de receitas'!$F:$F,"TRANSFERÊNCIA")</f>
        <v>0</v>
      </c>
      <c r="E1587" s="15">
        <f t="shared" si="1"/>
        <v>2025</v>
      </c>
      <c r="F1587" s="15">
        <f t="shared" si="2"/>
        <v>9</v>
      </c>
      <c r="G1587" s="15">
        <f t="shared" si="3"/>
        <v>1</v>
      </c>
    </row>
    <row r="1588">
      <c r="A1588" s="10" t="s">
        <v>27</v>
      </c>
      <c r="B1588" s="9">
        <f t="shared" si="4"/>
        <v>45901</v>
      </c>
      <c r="C1588" s="77" t="s">
        <v>1571</v>
      </c>
      <c r="D1588" s="13">
        <f>SUMIFS('Lançamentos de despesas'!$K:$K,'Lançamentos de despesas'!$C:$C,B1588,'Lançamentos de despesas'!$G:$G,A1588,'Lançamentos de despesas'!$E:$E,"pago")</f>
        <v>8182.38</v>
      </c>
      <c r="E1588" s="15">
        <f t="shared" si="1"/>
        <v>2025</v>
      </c>
      <c r="F1588" s="15">
        <f t="shared" si="2"/>
        <v>9</v>
      </c>
      <c r="G1588" s="15">
        <f t="shared" si="3"/>
        <v>1</v>
      </c>
    </row>
    <row r="1589">
      <c r="A1589" s="10" t="s">
        <v>27</v>
      </c>
      <c r="B1589" s="9">
        <f t="shared" si="4"/>
        <v>45901</v>
      </c>
      <c r="C1589" s="77" t="s">
        <v>1572</v>
      </c>
      <c r="D1589" s="13">
        <f>D1586+D1587-D1588</f>
        <v>8885.409</v>
      </c>
      <c r="E1589" s="15">
        <f t="shared" si="1"/>
        <v>2025</v>
      </c>
      <c r="F1589" s="15">
        <f t="shared" si="2"/>
        <v>9</v>
      </c>
      <c r="G1589" s="15">
        <f t="shared" si="3"/>
        <v>1</v>
      </c>
    </row>
    <row r="1590">
      <c r="A1590" s="10" t="s">
        <v>27</v>
      </c>
      <c r="B1590" s="9">
        <f t="shared" si="4"/>
        <v>45902</v>
      </c>
      <c r="C1590" s="77" t="s">
        <v>1569</v>
      </c>
      <c r="D1590" s="12">
        <f>D1589</f>
        <v>8885.409</v>
      </c>
      <c r="E1590" s="15">
        <f t="shared" si="1"/>
        <v>2025</v>
      </c>
      <c r="F1590" s="15">
        <f t="shared" si="2"/>
        <v>9</v>
      </c>
      <c r="G1590" s="15">
        <f t="shared" si="3"/>
        <v>2</v>
      </c>
    </row>
    <row r="1591">
      <c r="A1591" s="10" t="s">
        <v>27</v>
      </c>
      <c r="B1591" s="9">
        <f t="shared" si="4"/>
        <v>45902</v>
      </c>
      <c r="C1591" s="77" t="s">
        <v>1570</v>
      </c>
      <c r="D1591" s="13">
        <f>SUMIFS('Lançamentos de receitas'!$E:$E,'Lançamentos de receitas'!$A:$A,B1591,'Lançamentos de receitas'!$C:$C,A1591,'Lançamentos de receitas'!$F:$F,"TRANSFERÊNCIA")</f>
        <v>36381.55</v>
      </c>
      <c r="E1591" s="15">
        <f t="shared" si="1"/>
        <v>2025</v>
      </c>
      <c r="F1591" s="15">
        <f t="shared" si="2"/>
        <v>9</v>
      </c>
      <c r="G1591" s="15">
        <f t="shared" si="3"/>
        <v>2</v>
      </c>
    </row>
    <row r="1592">
      <c r="A1592" s="10" t="s">
        <v>27</v>
      </c>
      <c r="B1592" s="9">
        <f t="shared" si="4"/>
        <v>45902</v>
      </c>
      <c r="C1592" s="77" t="s">
        <v>1571</v>
      </c>
      <c r="D1592" s="13">
        <f>SUMIFS('Lançamentos de despesas'!$K:$K,'Lançamentos de despesas'!$C:$C,B1592,'Lançamentos de despesas'!$G:$G,A1592,'Lançamentos de despesas'!$E:$E,"pago")</f>
        <v>0</v>
      </c>
      <c r="E1592" s="15">
        <f t="shared" si="1"/>
        <v>2025</v>
      </c>
      <c r="F1592" s="15">
        <f t="shared" si="2"/>
        <v>9</v>
      </c>
      <c r="G1592" s="15">
        <f t="shared" si="3"/>
        <v>2</v>
      </c>
    </row>
    <row r="1593">
      <c r="A1593" s="10" t="s">
        <v>27</v>
      </c>
      <c r="B1593" s="9">
        <f t="shared" si="4"/>
        <v>45902</v>
      </c>
      <c r="C1593" s="77" t="s">
        <v>1572</v>
      </c>
      <c r="D1593" s="13">
        <f>D1590+D1591-D1592</f>
        <v>45266.959</v>
      </c>
      <c r="E1593" s="15">
        <f t="shared" si="1"/>
        <v>2025</v>
      </c>
      <c r="F1593" s="15">
        <f t="shared" si="2"/>
        <v>9</v>
      </c>
      <c r="G1593" s="15">
        <f t="shared" si="3"/>
        <v>2</v>
      </c>
    </row>
    <row r="1594">
      <c r="A1594" s="10" t="s">
        <v>27</v>
      </c>
      <c r="B1594" s="9">
        <f t="shared" si="4"/>
        <v>45903</v>
      </c>
      <c r="C1594" s="77" t="s">
        <v>1569</v>
      </c>
      <c r="D1594" s="12">
        <f>D1593</f>
        <v>45266.959</v>
      </c>
      <c r="E1594" s="15">
        <f t="shared" si="1"/>
        <v>2025</v>
      </c>
      <c r="F1594" s="15">
        <f t="shared" si="2"/>
        <v>9</v>
      </c>
      <c r="G1594" s="15">
        <f t="shared" si="3"/>
        <v>3</v>
      </c>
    </row>
    <row r="1595">
      <c r="A1595" s="10" t="s">
        <v>27</v>
      </c>
      <c r="B1595" s="9">
        <f t="shared" si="4"/>
        <v>45903</v>
      </c>
      <c r="C1595" s="77" t="s">
        <v>1570</v>
      </c>
      <c r="D1595" s="13">
        <f>SUMIFS('Lançamentos de receitas'!$E:$E,'Lançamentos de receitas'!$A:$A,B1595,'Lançamentos de receitas'!$C:$C,A1595,'Lançamentos de receitas'!$F:$F,"TRANSFERÊNCIA")</f>
        <v>1040.16</v>
      </c>
      <c r="E1595" s="15">
        <f t="shared" si="1"/>
        <v>2025</v>
      </c>
      <c r="F1595" s="15">
        <f t="shared" si="2"/>
        <v>9</v>
      </c>
      <c r="G1595" s="15">
        <f t="shared" si="3"/>
        <v>3</v>
      </c>
    </row>
    <row r="1596">
      <c r="A1596" s="10" t="s">
        <v>27</v>
      </c>
      <c r="B1596" s="9">
        <f t="shared" si="4"/>
        <v>45903</v>
      </c>
      <c r="C1596" s="77" t="s">
        <v>1571</v>
      </c>
      <c r="D1596" s="13">
        <f>SUMIFS('Lançamentos de despesas'!$K:$K,'Lançamentos de despesas'!$C:$C,B1596,'Lançamentos de despesas'!$G:$G,A1596,'Lançamentos de despesas'!$E:$E,"pago")</f>
        <v>3229.46</v>
      </c>
      <c r="E1596" s="15">
        <f t="shared" si="1"/>
        <v>2025</v>
      </c>
      <c r="F1596" s="15">
        <f t="shared" si="2"/>
        <v>9</v>
      </c>
      <c r="G1596" s="15">
        <f t="shared" si="3"/>
        <v>3</v>
      </c>
    </row>
    <row r="1597">
      <c r="A1597" s="10" t="s">
        <v>27</v>
      </c>
      <c r="B1597" s="9">
        <f t="shared" si="4"/>
        <v>45903</v>
      </c>
      <c r="C1597" s="77" t="s">
        <v>1572</v>
      </c>
      <c r="D1597" s="13">
        <f>D1594+D1595-D1596</f>
        <v>43077.659</v>
      </c>
      <c r="E1597" s="15">
        <f t="shared" si="1"/>
        <v>2025</v>
      </c>
      <c r="F1597" s="15">
        <f t="shared" si="2"/>
        <v>9</v>
      </c>
      <c r="G1597" s="15">
        <f t="shared" si="3"/>
        <v>3</v>
      </c>
    </row>
    <row r="1598">
      <c r="A1598" s="10" t="s">
        <v>27</v>
      </c>
      <c r="B1598" s="9">
        <f t="shared" si="4"/>
        <v>45904</v>
      </c>
      <c r="C1598" s="77" t="s">
        <v>1569</v>
      </c>
      <c r="D1598" s="12">
        <f>D1597</f>
        <v>43077.659</v>
      </c>
      <c r="E1598" s="15">
        <f t="shared" si="1"/>
        <v>2025</v>
      </c>
      <c r="F1598" s="15">
        <f t="shared" si="2"/>
        <v>9</v>
      </c>
      <c r="G1598" s="15">
        <f t="shared" si="3"/>
        <v>4</v>
      </c>
    </row>
    <row r="1599">
      <c r="A1599" s="10" t="s">
        <v>27</v>
      </c>
      <c r="B1599" s="9">
        <f t="shared" si="4"/>
        <v>45904</v>
      </c>
      <c r="C1599" s="77" t="s">
        <v>1570</v>
      </c>
      <c r="D1599" s="13">
        <f>SUMIFS('Lançamentos de receitas'!$E:$E,'Lançamentos de receitas'!$A:$A,B1599,'Lançamentos de receitas'!$C:$C,A1599,'Lançamentos de receitas'!$F:$F,"TRANSFERÊNCIA")</f>
        <v>645.56</v>
      </c>
      <c r="E1599" s="15">
        <f t="shared" si="1"/>
        <v>2025</v>
      </c>
      <c r="F1599" s="15">
        <f t="shared" si="2"/>
        <v>9</v>
      </c>
      <c r="G1599" s="15">
        <f t="shared" si="3"/>
        <v>4</v>
      </c>
    </row>
    <row r="1600">
      <c r="A1600" s="10" t="s">
        <v>27</v>
      </c>
      <c r="B1600" s="9">
        <f t="shared" si="4"/>
        <v>45904</v>
      </c>
      <c r="C1600" s="77" t="s">
        <v>1571</v>
      </c>
      <c r="D1600" s="13">
        <f>SUMIFS('Lançamentos de despesas'!$K:$K,'Lançamentos de despesas'!$C:$C,B1600,'Lançamentos de despesas'!$G:$G,A1600,'Lançamentos de despesas'!$E:$E,"pago")</f>
        <v>0</v>
      </c>
      <c r="E1600" s="15">
        <f t="shared" si="1"/>
        <v>2025</v>
      </c>
      <c r="F1600" s="15">
        <f t="shared" si="2"/>
        <v>9</v>
      </c>
      <c r="G1600" s="15">
        <f t="shared" si="3"/>
        <v>4</v>
      </c>
    </row>
    <row r="1601">
      <c r="A1601" s="10" t="s">
        <v>27</v>
      </c>
      <c r="B1601" s="9">
        <f t="shared" si="4"/>
        <v>45904</v>
      </c>
      <c r="C1601" s="77" t="s">
        <v>1572</v>
      </c>
      <c r="D1601" s="13">
        <f>D1598+D1599-D1600</f>
        <v>43723.219</v>
      </c>
      <c r="E1601" s="15">
        <f t="shared" si="1"/>
        <v>2025</v>
      </c>
      <c r="F1601" s="15">
        <f t="shared" si="2"/>
        <v>9</v>
      </c>
      <c r="G1601" s="15">
        <f t="shared" si="3"/>
        <v>4</v>
      </c>
    </row>
    <row r="1602">
      <c r="A1602" s="10" t="s">
        <v>27</v>
      </c>
      <c r="B1602" s="9">
        <f t="shared" si="4"/>
        <v>45905</v>
      </c>
      <c r="C1602" s="77" t="s">
        <v>1569</v>
      </c>
      <c r="D1602" s="12">
        <f>D1601</f>
        <v>43723.219</v>
      </c>
      <c r="E1602" s="15">
        <f t="shared" si="1"/>
        <v>2025</v>
      </c>
      <c r="F1602" s="15">
        <f t="shared" si="2"/>
        <v>9</v>
      </c>
      <c r="G1602" s="15">
        <f t="shared" si="3"/>
        <v>5</v>
      </c>
    </row>
    <row r="1603">
      <c r="A1603" s="10" t="s">
        <v>27</v>
      </c>
      <c r="B1603" s="9">
        <f t="shared" si="4"/>
        <v>45905</v>
      </c>
      <c r="C1603" s="77" t="s">
        <v>1570</v>
      </c>
      <c r="D1603" s="13">
        <f>SUMIFS('Lançamentos de receitas'!$E:$E,'Lançamentos de receitas'!$A:$A,B1603,'Lançamentos de receitas'!$C:$C,A1603,'Lançamentos de receitas'!$F:$F,"TRANSFERÊNCIA")</f>
        <v>2967.23</v>
      </c>
      <c r="E1603" s="15">
        <f t="shared" si="1"/>
        <v>2025</v>
      </c>
      <c r="F1603" s="15">
        <f t="shared" si="2"/>
        <v>9</v>
      </c>
      <c r="G1603" s="15">
        <f t="shared" si="3"/>
        <v>5</v>
      </c>
    </row>
    <row r="1604">
      <c r="A1604" s="10" t="s">
        <v>27</v>
      </c>
      <c r="B1604" s="9">
        <f t="shared" si="4"/>
        <v>45905</v>
      </c>
      <c r="C1604" s="77" t="s">
        <v>1571</v>
      </c>
      <c r="D1604" s="13">
        <f>SUMIFS('Lançamentos de despesas'!$K:$K,'Lançamentos de despesas'!$C:$C,B1604,'Lançamentos de despesas'!$G:$G,A1604,'Lançamentos de despesas'!$E:$E,"pago")</f>
        <v>2412.67</v>
      </c>
      <c r="E1604" s="15">
        <f t="shared" si="1"/>
        <v>2025</v>
      </c>
      <c r="F1604" s="15">
        <f t="shared" si="2"/>
        <v>9</v>
      </c>
      <c r="G1604" s="15">
        <f t="shared" si="3"/>
        <v>5</v>
      </c>
    </row>
    <row r="1605">
      <c r="A1605" s="10" t="s">
        <v>27</v>
      </c>
      <c r="B1605" s="9">
        <f t="shared" si="4"/>
        <v>45905</v>
      </c>
      <c r="C1605" s="77" t="s">
        <v>1572</v>
      </c>
      <c r="D1605" s="13">
        <f>D1602+D1603-D1604</f>
        <v>44277.779</v>
      </c>
      <c r="E1605" s="15">
        <f t="shared" si="1"/>
        <v>2025</v>
      </c>
      <c r="F1605" s="15">
        <f t="shared" si="2"/>
        <v>9</v>
      </c>
      <c r="G1605" s="15">
        <f t="shared" si="3"/>
        <v>5</v>
      </c>
    </row>
    <row r="1606">
      <c r="A1606" s="10" t="s">
        <v>27</v>
      </c>
      <c r="B1606" s="9">
        <f t="shared" si="4"/>
        <v>45906</v>
      </c>
      <c r="C1606" s="77" t="s">
        <v>1569</v>
      </c>
      <c r="D1606" s="12">
        <f>D1605</f>
        <v>44277.779</v>
      </c>
      <c r="E1606" s="15">
        <f t="shared" si="1"/>
        <v>2025</v>
      </c>
      <c r="F1606" s="15">
        <f t="shared" si="2"/>
        <v>9</v>
      </c>
      <c r="G1606" s="15">
        <f t="shared" si="3"/>
        <v>6</v>
      </c>
    </row>
    <row r="1607">
      <c r="A1607" s="10" t="s">
        <v>27</v>
      </c>
      <c r="B1607" s="9">
        <f t="shared" si="4"/>
        <v>45906</v>
      </c>
      <c r="C1607" s="77" t="s">
        <v>1570</v>
      </c>
      <c r="D1607" s="13">
        <f>SUMIFS('Lançamentos de receitas'!$E:$E,'Lançamentos de receitas'!$A:$A,B1607,'Lançamentos de receitas'!$C:$C,A1607,'Lançamentos de receitas'!$F:$F,"TRANSFERÊNCIA")</f>
        <v>1217.54</v>
      </c>
      <c r="E1607" s="15">
        <f t="shared" si="1"/>
        <v>2025</v>
      </c>
      <c r="F1607" s="15">
        <f t="shared" si="2"/>
        <v>9</v>
      </c>
      <c r="G1607" s="15">
        <f t="shared" si="3"/>
        <v>6</v>
      </c>
    </row>
    <row r="1608">
      <c r="A1608" s="10" t="s">
        <v>27</v>
      </c>
      <c r="B1608" s="9">
        <f t="shared" si="4"/>
        <v>45906</v>
      </c>
      <c r="C1608" s="77" t="s">
        <v>1571</v>
      </c>
      <c r="D1608" s="13">
        <f>SUMIFS('Lançamentos de despesas'!$K:$K,'Lançamentos de despesas'!$C:$C,B1608,'Lançamentos de despesas'!$G:$G,A1608,'Lançamentos de despesas'!$E:$E,"pago")</f>
        <v>0</v>
      </c>
      <c r="E1608" s="15">
        <f t="shared" si="1"/>
        <v>2025</v>
      </c>
      <c r="F1608" s="15">
        <f t="shared" si="2"/>
        <v>9</v>
      </c>
      <c r="G1608" s="15">
        <f t="shared" si="3"/>
        <v>6</v>
      </c>
    </row>
    <row r="1609">
      <c r="A1609" s="10" t="s">
        <v>27</v>
      </c>
      <c r="B1609" s="9">
        <f t="shared" si="4"/>
        <v>45906</v>
      </c>
      <c r="C1609" s="77" t="s">
        <v>1572</v>
      </c>
      <c r="D1609" s="13">
        <f>D1606+D1607-D1608</f>
        <v>45495.319</v>
      </c>
      <c r="E1609" s="15">
        <f t="shared" si="1"/>
        <v>2025</v>
      </c>
      <c r="F1609" s="15">
        <f t="shared" si="2"/>
        <v>9</v>
      </c>
      <c r="G1609" s="15">
        <f t="shared" si="3"/>
        <v>6</v>
      </c>
    </row>
    <row r="1610">
      <c r="A1610" s="10" t="s">
        <v>27</v>
      </c>
      <c r="B1610" s="9">
        <f t="shared" si="4"/>
        <v>45907</v>
      </c>
      <c r="C1610" s="77" t="s">
        <v>1569</v>
      </c>
      <c r="D1610" s="12">
        <f>D1609</f>
        <v>45495.319</v>
      </c>
      <c r="E1610" s="15">
        <f t="shared" si="1"/>
        <v>2025</v>
      </c>
      <c r="F1610" s="15">
        <f t="shared" si="2"/>
        <v>9</v>
      </c>
      <c r="G1610" s="15">
        <f t="shared" si="3"/>
        <v>7</v>
      </c>
    </row>
    <row r="1611">
      <c r="A1611" s="10" t="s">
        <v>27</v>
      </c>
      <c r="B1611" s="9">
        <f t="shared" si="4"/>
        <v>45907</v>
      </c>
      <c r="C1611" s="77" t="s">
        <v>1570</v>
      </c>
      <c r="D1611" s="13">
        <f>SUMIFS('Lançamentos de receitas'!$E:$E,'Lançamentos de receitas'!$A:$A,B1611,'Lançamentos de receitas'!$C:$C,A1611,'Lançamentos de receitas'!$F:$F,"TRANSFERÊNCIA")</f>
        <v>822.06</v>
      </c>
      <c r="E1611" s="15">
        <f t="shared" si="1"/>
        <v>2025</v>
      </c>
      <c r="F1611" s="15">
        <f t="shared" si="2"/>
        <v>9</v>
      </c>
      <c r="G1611" s="15">
        <f t="shared" si="3"/>
        <v>7</v>
      </c>
    </row>
    <row r="1612">
      <c r="A1612" s="10" t="s">
        <v>27</v>
      </c>
      <c r="B1612" s="9">
        <f t="shared" si="4"/>
        <v>45907</v>
      </c>
      <c r="C1612" s="77" t="s">
        <v>1571</v>
      </c>
      <c r="D1612" s="13">
        <f>SUMIFS('Lançamentos de despesas'!$K:$K,'Lançamentos de despesas'!$C:$C,B1612,'Lançamentos de despesas'!$G:$G,A1612,'Lançamentos de despesas'!$E:$E,"pago")</f>
        <v>0</v>
      </c>
      <c r="E1612" s="15">
        <f t="shared" si="1"/>
        <v>2025</v>
      </c>
      <c r="F1612" s="15">
        <f t="shared" si="2"/>
        <v>9</v>
      </c>
      <c r="G1612" s="15">
        <f t="shared" si="3"/>
        <v>7</v>
      </c>
    </row>
    <row r="1613">
      <c r="A1613" s="10" t="s">
        <v>27</v>
      </c>
      <c r="B1613" s="9">
        <f t="shared" si="4"/>
        <v>45907</v>
      </c>
      <c r="C1613" s="77" t="s">
        <v>1572</v>
      </c>
      <c r="D1613" s="13">
        <f>D1610+D1611-D1612</f>
        <v>46317.379</v>
      </c>
      <c r="E1613" s="15">
        <f t="shared" si="1"/>
        <v>2025</v>
      </c>
      <c r="F1613" s="15">
        <f t="shared" si="2"/>
        <v>9</v>
      </c>
      <c r="G1613" s="15">
        <f t="shared" si="3"/>
        <v>7</v>
      </c>
    </row>
    <row r="1614">
      <c r="A1614" s="10" t="s">
        <v>27</v>
      </c>
      <c r="B1614" s="9">
        <f t="shared" si="4"/>
        <v>45908</v>
      </c>
      <c r="C1614" s="77" t="s">
        <v>1569</v>
      </c>
      <c r="D1614" s="12">
        <f>D1613</f>
        <v>46317.379</v>
      </c>
      <c r="E1614" s="15">
        <f t="shared" si="1"/>
        <v>2025</v>
      </c>
      <c r="F1614" s="15">
        <f t="shared" si="2"/>
        <v>9</v>
      </c>
      <c r="G1614" s="15">
        <f t="shared" si="3"/>
        <v>8</v>
      </c>
    </row>
    <row r="1615">
      <c r="A1615" s="10" t="s">
        <v>27</v>
      </c>
      <c r="B1615" s="9">
        <f t="shared" si="4"/>
        <v>45908</v>
      </c>
      <c r="C1615" s="77" t="s">
        <v>1570</v>
      </c>
      <c r="D1615" s="13">
        <f>SUMIFS('Lançamentos de receitas'!$E:$E,'Lançamentos de receitas'!$A:$A,B1615,'Lançamentos de receitas'!$C:$C,A1615,'Lançamentos de receitas'!$F:$F,"TRANSFERÊNCIA")</f>
        <v>6978.54</v>
      </c>
      <c r="E1615" s="15">
        <f t="shared" si="1"/>
        <v>2025</v>
      </c>
      <c r="F1615" s="15">
        <f t="shared" si="2"/>
        <v>9</v>
      </c>
      <c r="G1615" s="15">
        <f t="shared" si="3"/>
        <v>8</v>
      </c>
    </row>
    <row r="1616">
      <c r="A1616" s="10" t="s">
        <v>27</v>
      </c>
      <c r="B1616" s="9">
        <f t="shared" si="4"/>
        <v>45908</v>
      </c>
      <c r="C1616" s="77" t="s">
        <v>1571</v>
      </c>
      <c r="D1616" s="13">
        <f>SUMIFS('Lançamentos de despesas'!$K:$K,'Lançamentos de despesas'!$C:$C,B1616,'Lançamentos de despesas'!$G:$G,A1616,'Lançamentos de despesas'!$E:$E,"pago")</f>
        <v>62.45</v>
      </c>
      <c r="E1616" s="15">
        <f t="shared" si="1"/>
        <v>2025</v>
      </c>
      <c r="F1616" s="15">
        <f t="shared" si="2"/>
        <v>9</v>
      </c>
      <c r="G1616" s="15">
        <f t="shared" si="3"/>
        <v>8</v>
      </c>
    </row>
    <row r="1617">
      <c r="A1617" s="10" t="s">
        <v>27</v>
      </c>
      <c r="B1617" s="9">
        <f t="shared" si="4"/>
        <v>45908</v>
      </c>
      <c r="C1617" s="77" t="s">
        <v>1572</v>
      </c>
      <c r="D1617" s="13">
        <f>D1614+D1615-D1616</f>
        <v>53233.469</v>
      </c>
      <c r="E1617" s="15">
        <f t="shared" si="1"/>
        <v>2025</v>
      </c>
      <c r="F1617" s="15">
        <f t="shared" si="2"/>
        <v>9</v>
      </c>
      <c r="G1617" s="15">
        <f t="shared" si="3"/>
        <v>8</v>
      </c>
    </row>
    <row r="1618">
      <c r="A1618" s="10" t="s">
        <v>27</v>
      </c>
      <c r="B1618" s="9">
        <f t="shared" si="4"/>
        <v>45909</v>
      </c>
      <c r="C1618" s="77" t="s">
        <v>1569</v>
      </c>
      <c r="D1618" s="12">
        <f>D1617</f>
        <v>53233.469</v>
      </c>
      <c r="E1618" s="15">
        <f t="shared" si="1"/>
        <v>2025</v>
      </c>
      <c r="F1618" s="15">
        <f t="shared" si="2"/>
        <v>9</v>
      </c>
      <c r="G1618" s="15">
        <f t="shared" si="3"/>
        <v>9</v>
      </c>
    </row>
    <row r="1619">
      <c r="A1619" s="10" t="s">
        <v>27</v>
      </c>
      <c r="B1619" s="9">
        <f t="shared" si="4"/>
        <v>45909</v>
      </c>
      <c r="C1619" s="77" t="s">
        <v>1570</v>
      </c>
      <c r="D1619" s="13">
        <f>SUMIFS('Lançamentos de receitas'!$E:$E,'Lançamentos de receitas'!$A:$A,B1619,'Lançamentos de receitas'!$C:$C,A1619,'Lançamentos de receitas'!$F:$F,"TRANSFERÊNCIA")</f>
        <v>470.84</v>
      </c>
      <c r="E1619" s="15">
        <f t="shared" si="1"/>
        <v>2025</v>
      </c>
      <c r="F1619" s="15">
        <f t="shared" si="2"/>
        <v>9</v>
      </c>
      <c r="G1619" s="15">
        <f t="shared" si="3"/>
        <v>9</v>
      </c>
    </row>
    <row r="1620">
      <c r="A1620" s="10" t="s">
        <v>27</v>
      </c>
      <c r="B1620" s="9">
        <f t="shared" si="4"/>
        <v>45909</v>
      </c>
      <c r="C1620" s="77" t="s">
        <v>1571</v>
      </c>
      <c r="D1620" s="13">
        <f>SUMIFS('Lançamentos de despesas'!$K:$K,'Lançamentos de despesas'!$C:$C,B1620,'Lançamentos de despesas'!$G:$G,A1620,'Lançamentos de despesas'!$E:$E,"pago")</f>
        <v>0</v>
      </c>
      <c r="E1620" s="15">
        <f t="shared" si="1"/>
        <v>2025</v>
      </c>
      <c r="F1620" s="15">
        <f t="shared" si="2"/>
        <v>9</v>
      </c>
      <c r="G1620" s="15">
        <f t="shared" si="3"/>
        <v>9</v>
      </c>
    </row>
    <row r="1621">
      <c r="A1621" s="10" t="s">
        <v>27</v>
      </c>
      <c r="B1621" s="9">
        <f t="shared" si="4"/>
        <v>45909</v>
      </c>
      <c r="C1621" s="77" t="s">
        <v>1572</v>
      </c>
      <c r="D1621" s="13">
        <f>D1618+D1619-D1620</f>
        <v>53704.309</v>
      </c>
      <c r="E1621" s="15">
        <f t="shared" si="1"/>
        <v>2025</v>
      </c>
      <c r="F1621" s="15">
        <f t="shared" si="2"/>
        <v>9</v>
      </c>
      <c r="G1621" s="15">
        <f t="shared" si="3"/>
        <v>9</v>
      </c>
    </row>
    <row r="1622">
      <c r="A1622" s="10" t="s">
        <v>27</v>
      </c>
      <c r="B1622" s="9">
        <f t="shared" si="4"/>
        <v>45910</v>
      </c>
      <c r="C1622" s="77" t="s">
        <v>1569</v>
      </c>
      <c r="D1622" s="12">
        <f>D1621</f>
        <v>53704.309</v>
      </c>
      <c r="E1622" s="15">
        <f t="shared" si="1"/>
        <v>2025</v>
      </c>
      <c r="F1622" s="15">
        <f t="shared" si="2"/>
        <v>9</v>
      </c>
      <c r="G1622" s="15">
        <f t="shared" si="3"/>
        <v>10</v>
      </c>
    </row>
    <row r="1623">
      <c r="A1623" s="10" t="s">
        <v>27</v>
      </c>
      <c r="B1623" s="9">
        <f t="shared" si="4"/>
        <v>45910</v>
      </c>
      <c r="C1623" s="77" t="s">
        <v>1570</v>
      </c>
      <c r="D1623" s="13">
        <f>SUMIFS('Lançamentos de receitas'!$E:$E,'Lançamentos de receitas'!$A:$A,B1623,'Lançamentos de receitas'!$C:$C,A1623,'Lançamentos de receitas'!$F:$F,"TRANSFERÊNCIA")</f>
        <v>1209.01</v>
      </c>
      <c r="E1623" s="15">
        <f t="shared" si="1"/>
        <v>2025</v>
      </c>
      <c r="F1623" s="15">
        <f t="shared" si="2"/>
        <v>9</v>
      </c>
      <c r="G1623" s="15">
        <f t="shared" si="3"/>
        <v>10</v>
      </c>
    </row>
    <row r="1624">
      <c r="A1624" s="10" t="s">
        <v>27</v>
      </c>
      <c r="B1624" s="9">
        <f t="shared" si="4"/>
        <v>45910</v>
      </c>
      <c r="C1624" s="77" t="s">
        <v>1571</v>
      </c>
      <c r="D1624" s="13">
        <f>SUMIFS('Lançamentos de despesas'!$K:$K,'Lançamentos de despesas'!$C:$C,B1624,'Lançamentos de despesas'!$G:$G,A1624,'Lançamentos de despesas'!$E:$E,"pago")</f>
        <v>4168.92</v>
      </c>
      <c r="E1624" s="15">
        <f t="shared" si="1"/>
        <v>2025</v>
      </c>
      <c r="F1624" s="15">
        <f t="shared" si="2"/>
        <v>9</v>
      </c>
      <c r="G1624" s="15">
        <f t="shared" si="3"/>
        <v>10</v>
      </c>
    </row>
    <row r="1625">
      <c r="A1625" s="10" t="s">
        <v>27</v>
      </c>
      <c r="B1625" s="9">
        <f t="shared" si="4"/>
        <v>45910</v>
      </c>
      <c r="C1625" s="77" t="s">
        <v>1572</v>
      </c>
      <c r="D1625" s="13">
        <f>D1622+D1623-D1624</f>
        <v>50744.399</v>
      </c>
      <c r="E1625" s="15">
        <f t="shared" si="1"/>
        <v>2025</v>
      </c>
      <c r="F1625" s="15">
        <f t="shared" si="2"/>
        <v>9</v>
      </c>
      <c r="G1625" s="15">
        <f t="shared" si="3"/>
        <v>10</v>
      </c>
    </row>
    <row r="1626">
      <c r="A1626" s="10" t="s">
        <v>27</v>
      </c>
      <c r="B1626" s="9">
        <f t="shared" si="4"/>
        <v>45911</v>
      </c>
      <c r="C1626" s="77" t="s">
        <v>1569</v>
      </c>
      <c r="D1626" s="12">
        <f>D1625</f>
        <v>50744.399</v>
      </c>
      <c r="E1626" s="15">
        <f t="shared" si="1"/>
        <v>2025</v>
      </c>
      <c r="F1626" s="15">
        <f t="shared" si="2"/>
        <v>9</v>
      </c>
      <c r="G1626" s="15">
        <f t="shared" si="3"/>
        <v>11</v>
      </c>
    </row>
    <row r="1627">
      <c r="A1627" s="10" t="s">
        <v>27</v>
      </c>
      <c r="B1627" s="9">
        <f t="shared" si="4"/>
        <v>45911</v>
      </c>
      <c r="C1627" s="77" t="s">
        <v>1570</v>
      </c>
      <c r="D1627" s="13">
        <f>SUMIFS('Lançamentos de receitas'!$E:$E,'Lançamentos de receitas'!$A:$A,B1627,'Lançamentos de receitas'!$C:$C,A1627,'Lançamentos de receitas'!$F:$F,"TRANSFERÊNCIA")</f>
        <v>906.43</v>
      </c>
      <c r="E1627" s="15">
        <f t="shared" si="1"/>
        <v>2025</v>
      </c>
      <c r="F1627" s="15">
        <f t="shared" si="2"/>
        <v>9</v>
      </c>
      <c r="G1627" s="15">
        <f t="shared" si="3"/>
        <v>11</v>
      </c>
    </row>
    <row r="1628">
      <c r="A1628" s="10" t="s">
        <v>27</v>
      </c>
      <c r="B1628" s="9">
        <f t="shared" si="4"/>
        <v>45911</v>
      </c>
      <c r="C1628" s="77" t="s">
        <v>1571</v>
      </c>
      <c r="D1628" s="13">
        <f>SUMIFS('Lançamentos de despesas'!$K:$K,'Lançamentos de despesas'!$C:$C,B1628,'Lançamentos de despesas'!$G:$G,A1628,'Lançamentos de despesas'!$E:$E,"pago")</f>
        <v>0</v>
      </c>
      <c r="E1628" s="15">
        <f t="shared" si="1"/>
        <v>2025</v>
      </c>
      <c r="F1628" s="15">
        <f t="shared" si="2"/>
        <v>9</v>
      </c>
      <c r="G1628" s="15">
        <f t="shared" si="3"/>
        <v>11</v>
      </c>
    </row>
    <row r="1629">
      <c r="A1629" s="10" t="s">
        <v>27</v>
      </c>
      <c r="B1629" s="9">
        <f t="shared" si="4"/>
        <v>45911</v>
      </c>
      <c r="C1629" s="77" t="s">
        <v>1572</v>
      </c>
      <c r="D1629" s="13">
        <f>D1626+D1627-D1628</f>
        <v>51650.829</v>
      </c>
      <c r="E1629" s="15">
        <f t="shared" si="1"/>
        <v>2025</v>
      </c>
      <c r="F1629" s="15">
        <f t="shared" si="2"/>
        <v>9</v>
      </c>
      <c r="G1629" s="15">
        <f t="shared" si="3"/>
        <v>11</v>
      </c>
    </row>
    <row r="1630">
      <c r="A1630" s="10" t="s">
        <v>27</v>
      </c>
      <c r="B1630" s="9">
        <f t="shared" si="4"/>
        <v>45912</v>
      </c>
      <c r="C1630" s="77" t="s">
        <v>1569</v>
      </c>
      <c r="D1630" s="12">
        <f>D1629</f>
        <v>51650.829</v>
      </c>
      <c r="E1630" s="15">
        <f t="shared" si="1"/>
        <v>2025</v>
      </c>
      <c r="F1630" s="15">
        <f t="shared" si="2"/>
        <v>9</v>
      </c>
      <c r="G1630" s="15">
        <f t="shared" si="3"/>
        <v>12</v>
      </c>
    </row>
    <row r="1631">
      <c r="A1631" s="10" t="s">
        <v>27</v>
      </c>
      <c r="B1631" s="9">
        <f t="shared" si="4"/>
        <v>45912</v>
      </c>
      <c r="C1631" s="77" t="s">
        <v>1570</v>
      </c>
      <c r="D1631" s="13">
        <f>SUMIFS('Lançamentos de receitas'!$E:$E,'Lançamentos de receitas'!$A:$A,B1631,'Lançamentos de receitas'!$C:$C,A1631,'Lançamentos de receitas'!$F:$F,"TRANSFERÊNCIA")</f>
        <v>1088.71</v>
      </c>
      <c r="E1631" s="15">
        <f t="shared" si="1"/>
        <v>2025</v>
      </c>
      <c r="F1631" s="15">
        <f t="shared" si="2"/>
        <v>9</v>
      </c>
      <c r="G1631" s="15">
        <f t="shared" si="3"/>
        <v>12</v>
      </c>
    </row>
    <row r="1632">
      <c r="A1632" s="10" t="s">
        <v>27</v>
      </c>
      <c r="B1632" s="9">
        <f t="shared" si="4"/>
        <v>45912</v>
      </c>
      <c r="C1632" s="77" t="s">
        <v>1571</v>
      </c>
      <c r="D1632" s="13">
        <f>SUMIFS('Lançamentos de despesas'!$K:$K,'Lançamentos de despesas'!$C:$C,B1632,'Lançamentos de despesas'!$G:$G,A1632,'Lançamentos de despesas'!$E:$E,"pago")</f>
        <v>12</v>
      </c>
      <c r="E1632" s="15">
        <f t="shared" si="1"/>
        <v>2025</v>
      </c>
      <c r="F1632" s="15">
        <f t="shared" si="2"/>
        <v>9</v>
      </c>
      <c r="G1632" s="15">
        <f t="shared" si="3"/>
        <v>12</v>
      </c>
    </row>
    <row r="1633">
      <c r="A1633" s="10" t="s">
        <v>27</v>
      </c>
      <c r="B1633" s="9">
        <f t="shared" si="4"/>
        <v>45912</v>
      </c>
      <c r="C1633" s="77" t="s">
        <v>1572</v>
      </c>
      <c r="D1633" s="13">
        <f>D1630+D1631-D1632</f>
        <v>52727.539</v>
      </c>
      <c r="E1633" s="15">
        <f t="shared" si="1"/>
        <v>2025</v>
      </c>
      <c r="F1633" s="15">
        <f t="shared" si="2"/>
        <v>9</v>
      </c>
      <c r="G1633" s="15">
        <f t="shared" si="3"/>
        <v>12</v>
      </c>
    </row>
    <row r="1634">
      <c r="A1634" s="10" t="s">
        <v>27</v>
      </c>
      <c r="B1634" s="9">
        <f t="shared" si="4"/>
        <v>45913</v>
      </c>
      <c r="C1634" s="77" t="s">
        <v>1569</v>
      </c>
      <c r="D1634" s="12">
        <f>D1633</f>
        <v>52727.539</v>
      </c>
      <c r="E1634" s="15">
        <f t="shared" si="1"/>
        <v>2025</v>
      </c>
      <c r="F1634" s="15">
        <f t="shared" si="2"/>
        <v>9</v>
      </c>
      <c r="G1634" s="15">
        <f t="shared" si="3"/>
        <v>13</v>
      </c>
    </row>
    <row r="1635">
      <c r="A1635" s="10" t="s">
        <v>27</v>
      </c>
      <c r="B1635" s="9">
        <f t="shared" si="4"/>
        <v>45913</v>
      </c>
      <c r="C1635" s="77" t="s">
        <v>1570</v>
      </c>
      <c r="D1635" s="13">
        <f>SUMIFS('Lançamentos de receitas'!$E:$E,'Lançamentos de receitas'!$A:$A,B1635,'Lançamentos de receitas'!$C:$C,A1635,'Lançamentos de receitas'!$F:$F,"TRANSFERÊNCIA")</f>
        <v>835.45</v>
      </c>
      <c r="E1635" s="15">
        <f t="shared" si="1"/>
        <v>2025</v>
      </c>
      <c r="F1635" s="15">
        <f t="shared" si="2"/>
        <v>9</v>
      </c>
      <c r="G1635" s="15">
        <f t="shared" si="3"/>
        <v>13</v>
      </c>
    </row>
    <row r="1636">
      <c r="A1636" s="10" t="s">
        <v>27</v>
      </c>
      <c r="B1636" s="9">
        <f t="shared" si="4"/>
        <v>45913</v>
      </c>
      <c r="C1636" s="77" t="s">
        <v>1571</v>
      </c>
      <c r="D1636" s="13">
        <f>SUMIFS('Lançamentos de despesas'!$K:$K,'Lançamentos de despesas'!$C:$C,B1636,'Lançamentos de despesas'!$G:$G,A1636,'Lançamentos de despesas'!$E:$E,"pago")</f>
        <v>0</v>
      </c>
      <c r="E1636" s="15">
        <f t="shared" si="1"/>
        <v>2025</v>
      </c>
      <c r="F1636" s="15">
        <f t="shared" si="2"/>
        <v>9</v>
      </c>
      <c r="G1636" s="15">
        <f t="shared" si="3"/>
        <v>13</v>
      </c>
    </row>
    <row r="1637">
      <c r="A1637" s="10" t="s">
        <v>27</v>
      </c>
      <c r="B1637" s="9">
        <f t="shared" si="4"/>
        <v>45913</v>
      </c>
      <c r="C1637" s="77" t="s">
        <v>1572</v>
      </c>
      <c r="D1637" s="13">
        <f>D1634+D1635-D1636</f>
        <v>53562.989</v>
      </c>
      <c r="E1637" s="15">
        <f t="shared" si="1"/>
        <v>2025</v>
      </c>
      <c r="F1637" s="15">
        <f t="shared" si="2"/>
        <v>9</v>
      </c>
      <c r="G1637" s="15">
        <f t="shared" si="3"/>
        <v>13</v>
      </c>
    </row>
    <row r="1638">
      <c r="A1638" s="10" t="s">
        <v>27</v>
      </c>
      <c r="B1638" s="9">
        <f t="shared" si="4"/>
        <v>45914</v>
      </c>
      <c r="C1638" s="77" t="s">
        <v>1569</v>
      </c>
      <c r="D1638" s="12">
        <f>D1637</f>
        <v>53562.989</v>
      </c>
      <c r="E1638" s="15">
        <f t="shared" si="1"/>
        <v>2025</v>
      </c>
      <c r="F1638" s="15">
        <f t="shared" si="2"/>
        <v>9</v>
      </c>
      <c r="G1638" s="15">
        <f t="shared" si="3"/>
        <v>14</v>
      </c>
    </row>
    <row r="1639">
      <c r="A1639" s="10" t="s">
        <v>27</v>
      </c>
      <c r="B1639" s="9">
        <f t="shared" si="4"/>
        <v>45914</v>
      </c>
      <c r="C1639" s="77" t="s">
        <v>1570</v>
      </c>
      <c r="D1639" s="13">
        <f>SUMIFS('Lançamentos de receitas'!$E:$E,'Lançamentos de receitas'!$A:$A,B1639,'Lançamentos de receitas'!$C:$C,A1639,'Lançamentos de receitas'!$F:$F,"TRANSFERÊNCIA")</f>
        <v>816.16</v>
      </c>
      <c r="E1639" s="15">
        <f t="shared" si="1"/>
        <v>2025</v>
      </c>
      <c r="F1639" s="15">
        <f t="shared" si="2"/>
        <v>9</v>
      </c>
      <c r="G1639" s="15">
        <f t="shared" si="3"/>
        <v>14</v>
      </c>
    </row>
    <row r="1640">
      <c r="A1640" s="10" t="s">
        <v>27</v>
      </c>
      <c r="B1640" s="9">
        <f t="shared" si="4"/>
        <v>45914</v>
      </c>
      <c r="C1640" s="77" t="s">
        <v>1571</v>
      </c>
      <c r="D1640" s="13">
        <f>SUMIFS('Lançamentos de despesas'!$K:$K,'Lançamentos de despesas'!$C:$C,B1640,'Lançamentos de despesas'!$G:$G,A1640,'Lançamentos de despesas'!$E:$E,"pago")</f>
        <v>0</v>
      </c>
      <c r="E1640" s="15">
        <f t="shared" si="1"/>
        <v>2025</v>
      </c>
      <c r="F1640" s="15">
        <f t="shared" si="2"/>
        <v>9</v>
      </c>
      <c r="G1640" s="15">
        <f t="shared" si="3"/>
        <v>14</v>
      </c>
    </row>
    <row r="1641">
      <c r="A1641" s="10" t="s">
        <v>27</v>
      </c>
      <c r="B1641" s="9">
        <f t="shared" si="4"/>
        <v>45914</v>
      </c>
      <c r="C1641" s="77" t="s">
        <v>1572</v>
      </c>
      <c r="D1641" s="13">
        <f>D1638+D1639-D1640</f>
        <v>54379.149</v>
      </c>
      <c r="E1641" s="15">
        <f t="shared" si="1"/>
        <v>2025</v>
      </c>
      <c r="F1641" s="15">
        <f t="shared" si="2"/>
        <v>9</v>
      </c>
      <c r="G1641" s="15">
        <f t="shared" si="3"/>
        <v>14</v>
      </c>
    </row>
    <row r="1642">
      <c r="A1642" s="10" t="s">
        <v>27</v>
      </c>
      <c r="B1642" s="9">
        <f t="shared" si="4"/>
        <v>45915</v>
      </c>
      <c r="C1642" s="77" t="s">
        <v>1569</v>
      </c>
      <c r="D1642" s="12">
        <f>D1641</f>
        <v>54379.149</v>
      </c>
      <c r="E1642" s="15">
        <f t="shared" si="1"/>
        <v>2025</v>
      </c>
      <c r="F1642" s="15">
        <f t="shared" si="2"/>
        <v>9</v>
      </c>
      <c r="G1642" s="15">
        <f t="shared" si="3"/>
        <v>15</v>
      </c>
    </row>
    <row r="1643">
      <c r="A1643" s="10" t="s">
        <v>27</v>
      </c>
      <c r="B1643" s="9">
        <f t="shared" si="4"/>
        <v>45915</v>
      </c>
      <c r="C1643" s="77" t="s">
        <v>1570</v>
      </c>
      <c r="D1643" s="13">
        <f>SUMIFS('Lançamentos de receitas'!$E:$E,'Lançamentos de receitas'!$A:$A,B1643,'Lançamentos de receitas'!$C:$C,A1643,'Lançamentos de receitas'!$F:$F,"TRANSFERÊNCIA")</f>
        <v>496.4</v>
      </c>
      <c r="E1643" s="15">
        <f t="shared" si="1"/>
        <v>2025</v>
      </c>
      <c r="F1643" s="15">
        <f t="shared" si="2"/>
        <v>9</v>
      </c>
      <c r="G1643" s="15">
        <f t="shared" si="3"/>
        <v>15</v>
      </c>
    </row>
    <row r="1644">
      <c r="A1644" s="10" t="s">
        <v>27</v>
      </c>
      <c r="B1644" s="9">
        <f t="shared" si="4"/>
        <v>45915</v>
      </c>
      <c r="C1644" s="77" t="s">
        <v>1571</v>
      </c>
      <c r="D1644" s="13">
        <f>SUMIFS('Lançamentos de despesas'!$K:$K,'Lançamentos de despesas'!$C:$C,B1644,'Lançamentos de despesas'!$G:$G,A1644,'Lançamentos de despesas'!$E:$E,"pago")</f>
        <v>6197.28</v>
      </c>
      <c r="E1644" s="15">
        <f t="shared" si="1"/>
        <v>2025</v>
      </c>
      <c r="F1644" s="15">
        <f t="shared" si="2"/>
        <v>9</v>
      </c>
      <c r="G1644" s="15">
        <f t="shared" si="3"/>
        <v>15</v>
      </c>
    </row>
    <row r="1645">
      <c r="A1645" s="10" t="s">
        <v>27</v>
      </c>
      <c r="B1645" s="9">
        <f t="shared" si="4"/>
        <v>45915</v>
      </c>
      <c r="C1645" s="77" t="s">
        <v>1572</v>
      </c>
      <c r="D1645" s="13">
        <f>D1642+D1643-D1644</f>
        <v>48678.269</v>
      </c>
      <c r="E1645" s="15">
        <f t="shared" si="1"/>
        <v>2025</v>
      </c>
      <c r="F1645" s="15">
        <f t="shared" si="2"/>
        <v>9</v>
      </c>
      <c r="G1645" s="15">
        <f t="shared" si="3"/>
        <v>15</v>
      </c>
    </row>
    <row r="1646">
      <c r="A1646" s="10" t="s">
        <v>27</v>
      </c>
      <c r="B1646" s="9">
        <f t="shared" si="4"/>
        <v>45916</v>
      </c>
      <c r="C1646" s="77" t="s">
        <v>1569</v>
      </c>
      <c r="D1646" s="12">
        <f>D1645</f>
        <v>48678.269</v>
      </c>
      <c r="E1646" s="15">
        <f t="shared" si="1"/>
        <v>2025</v>
      </c>
      <c r="F1646" s="15">
        <f t="shared" si="2"/>
        <v>9</v>
      </c>
      <c r="G1646" s="15">
        <f t="shared" si="3"/>
        <v>16</v>
      </c>
    </row>
    <row r="1647">
      <c r="A1647" s="10" t="s">
        <v>27</v>
      </c>
      <c r="B1647" s="9">
        <f t="shared" si="4"/>
        <v>45916</v>
      </c>
      <c r="C1647" s="77" t="s">
        <v>1570</v>
      </c>
      <c r="D1647" s="13">
        <f>SUMIFS('Lançamentos de receitas'!$E:$E,'Lançamentos de receitas'!$A:$A,B1647,'Lançamentos de receitas'!$C:$C,A1647,'Lançamentos de receitas'!$F:$F,"TRANSFERÊNCIA")</f>
        <v>184.96</v>
      </c>
      <c r="E1647" s="15">
        <f t="shared" si="1"/>
        <v>2025</v>
      </c>
      <c r="F1647" s="15">
        <f t="shared" si="2"/>
        <v>9</v>
      </c>
      <c r="G1647" s="15">
        <f t="shared" si="3"/>
        <v>16</v>
      </c>
    </row>
    <row r="1648">
      <c r="A1648" s="10" t="s">
        <v>27</v>
      </c>
      <c r="B1648" s="9">
        <f t="shared" si="4"/>
        <v>45916</v>
      </c>
      <c r="C1648" s="77" t="s">
        <v>1571</v>
      </c>
      <c r="D1648" s="13">
        <f>SUMIFS('Lançamentos de despesas'!$K:$K,'Lançamentos de despesas'!$C:$C,B1648,'Lançamentos de despesas'!$G:$G,A1648,'Lançamentos de despesas'!$E:$E,"pago")</f>
        <v>0</v>
      </c>
      <c r="E1648" s="15">
        <f t="shared" si="1"/>
        <v>2025</v>
      </c>
      <c r="F1648" s="15">
        <f t="shared" si="2"/>
        <v>9</v>
      </c>
      <c r="G1648" s="15">
        <f t="shared" si="3"/>
        <v>16</v>
      </c>
    </row>
    <row r="1649">
      <c r="A1649" s="10" t="s">
        <v>27</v>
      </c>
      <c r="B1649" s="9">
        <f t="shared" si="4"/>
        <v>45916</v>
      </c>
      <c r="C1649" s="77" t="s">
        <v>1572</v>
      </c>
      <c r="D1649" s="13">
        <f>D1646+D1647-D1648</f>
        <v>48863.229</v>
      </c>
      <c r="E1649" s="15">
        <f t="shared" si="1"/>
        <v>2025</v>
      </c>
      <c r="F1649" s="15">
        <f t="shared" si="2"/>
        <v>9</v>
      </c>
      <c r="G1649" s="15">
        <f t="shared" si="3"/>
        <v>16</v>
      </c>
    </row>
    <row r="1650">
      <c r="A1650" s="10" t="s">
        <v>27</v>
      </c>
      <c r="B1650" s="9">
        <f t="shared" si="4"/>
        <v>45917</v>
      </c>
      <c r="C1650" s="77" t="s">
        <v>1569</v>
      </c>
      <c r="D1650" s="12">
        <f>D1649</f>
        <v>48863.229</v>
      </c>
      <c r="E1650" s="15">
        <f t="shared" si="1"/>
        <v>2025</v>
      </c>
      <c r="F1650" s="15">
        <f t="shared" si="2"/>
        <v>9</v>
      </c>
      <c r="G1650" s="15">
        <f t="shared" si="3"/>
        <v>17</v>
      </c>
    </row>
    <row r="1651">
      <c r="A1651" s="10" t="s">
        <v>27</v>
      </c>
      <c r="B1651" s="9">
        <f t="shared" si="4"/>
        <v>45917</v>
      </c>
      <c r="C1651" s="77" t="s">
        <v>1570</v>
      </c>
      <c r="D1651" s="13">
        <f>SUMIFS('Lançamentos de receitas'!$E:$E,'Lançamentos de receitas'!$A:$A,B1651,'Lançamentos de receitas'!$C:$C,A1651,'Lançamentos de receitas'!$F:$F,"TRANSFERÊNCIA")</f>
        <v>951.89</v>
      </c>
      <c r="E1651" s="15">
        <f t="shared" si="1"/>
        <v>2025</v>
      </c>
      <c r="F1651" s="15">
        <f t="shared" si="2"/>
        <v>9</v>
      </c>
      <c r="G1651" s="15">
        <f t="shared" si="3"/>
        <v>17</v>
      </c>
    </row>
    <row r="1652">
      <c r="A1652" s="10" t="s">
        <v>27</v>
      </c>
      <c r="B1652" s="9">
        <f t="shared" si="4"/>
        <v>45917</v>
      </c>
      <c r="C1652" s="77" t="s">
        <v>1571</v>
      </c>
      <c r="D1652" s="13">
        <f>SUMIFS('Lançamentos de despesas'!$K:$K,'Lançamentos de despesas'!$C:$C,B1652,'Lançamentos de despesas'!$G:$G,A1652,'Lançamentos de despesas'!$E:$E,"pago")</f>
        <v>0</v>
      </c>
      <c r="E1652" s="15">
        <f t="shared" si="1"/>
        <v>2025</v>
      </c>
      <c r="F1652" s="15">
        <f t="shared" si="2"/>
        <v>9</v>
      </c>
      <c r="G1652" s="15">
        <f t="shared" si="3"/>
        <v>17</v>
      </c>
    </row>
    <row r="1653">
      <c r="A1653" s="10" t="s">
        <v>27</v>
      </c>
      <c r="B1653" s="9">
        <f t="shared" si="4"/>
        <v>45917</v>
      </c>
      <c r="C1653" s="77" t="s">
        <v>1572</v>
      </c>
      <c r="D1653" s="13">
        <f>D1650+D1651-D1652</f>
        <v>49815.119</v>
      </c>
      <c r="E1653" s="15">
        <f t="shared" si="1"/>
        <v>2025</v>
      </c>
      <c r="F1653" s="15">
        <f t="shared" si="2"/>
        <v>9</v>
      </c>
      <c r="G1653" s="15">
        <f t="shared" si="3"/>
        <v>17</v>
      </c>
    </row>
    <row r="1654">
      <c r="A1654" s="10" t="s">
        <v>27</v>
      </c>
      <c r="B1654" s="9">
        <f t="shared" si="4"/>
        <v>45918</v>
      </c>
      <c r="C1654" s="77" t="s">
        <v>1569</v>
      </c>
      <c r="D1654" s="12">
        <f>D1653</f>
        <v>49815.119</v>
      </c>
      <c r="E1654" s="15">
        <f t="shared" si="1"/>
        <v>2025</v>
      </c>
      <c r="F1654" s="15">
        <f t="shared" si="2"/>
        <v>9</v>
      </c>
      <c r="G1654" s="15">
        <f t="shared" si="3"/>
        <v>18</v>
      </c>
    </row>
    <row r="1655">
      <c r="A1655" s="10" t="s">
        <v>27</v>
      </c>
      <c r="B1655" s="9">
        <f t="shared" si="4"/>
        <v>45918</v>
      </c>
      <c r="C1655" s="77" t="s">
        <v>1570</v>
      </c>
      <c r="D1655" s="13">
        <f>SUMIFS('Lançamentos de receitas'!$E:$E,'Lançamentos de receitas'!$A:$A,B1655,'Lançamentos de receitas'!$C:$C,A1655,'Lançamentos de receitas'!$F:$F,"TRANSFERÊNCIA")</f>
        <v>521.84</v>
      </c>
      <c r="E1655" s="15">
        <f t="shared" si="1"/>
        <v>2025</v>
      </c>
      <c r="F1655" s="15">
        <f t="shared" si="2"/>
        <v>9</v>
      </c>
      <c r="G1655" s="15">
        <f t="shared" si="3"/>
        <v>18</v>
      </c>
    </row>
    <row r="1656">
      <c r="A1656" s="10" t="s">
        <v>27</v>
      </c>
      <c r="B1656" s="9">
        <f t="shared" si="4"/>
        <v>45918</v>
      </c>
      <c r="C1656" s="77" t="s">
        <v>1571</v>
      </c>
      <c r="D1656" s="13">
        <f>SUMIFS('Lançamentos de despesas'!$K:$K,'Lançamentos de despesas'!$C:$C,B1656,'Lançamentos de despesas'!$G:$G,A1656,'Lançamentos de despesas'!$E:$E,"pago")</f>
        <v>3207.61</v>
      </c>
      <c r="E1656" s="15">
        <f t="shared" si="1"/>
        <v>2025</v>
      </c>
      <c r="F1656" s="15">
        <f t="shared" si="2"/>
        <v>9</v>
      </c>
      <c r="G1656" s="15">
        <f t="shared" si="3"/>
        <v>18</v>
      </c>
    </row>
    <row r="1657">
      <c r="A1657" s="10" t="s">
        <v>27</v>
      </c>
      <c r="B1657" s="9">
        <f t="shared" si="4"/>
        <v>45918</v>
      </c>
      <c r="C1657" s="77" t="s">
        <v>1572</v>
      </c>
      <c r="D1657" s="13">
        <f>D1654+D1655-D1656</f>
        <v>47129.349</v>
      </c>
      <c r="E1657" s="15">
        <f t="shared" si="1"/>
        <v>2025</v>
      </c>
      <c r="F1657" s="15">
        <f t="shared" si="2"/>
        <v>9</v>
      </c>
      <c r="G1657" s="15">
        <f t="shared" si="3"/>
        <v>18</v>
      </c>
    </row>
    <row r="1658">
      <c r="A1658" s="10" t="s">
        <v>27</v>
      </c>
      <c r="B1658" s="9">
        <f t="shared" si="4"/>
        <v>45919</v>
      </c>
      <c r="C1658" s="77" t="s">
        <v>1569</v>
      </c>
      <c r="D1658" s="12">
        <f>D1657</f>
        <v>47129.349</v>
      </c>
      <c r="E1658" s="15">
        <f t="shared" si="1"/>
        <v>2025</v>
      </c>
      <c r="F1658" s="15">
        <f t="shared" si="2"/>
        <v>9</v>
      </c>
      <c r="G1658" s="15">
        <f t="shared" si="3"/>
        <v>19</v>
      </c>
    </row>
    <row r="1659">
      <c r="A1659" s="10" t="s">
        <v>27</v>
      </c>
      <c r="B1659" s="9">
        <f t="shared" si="4"/>
        <v>45919</v>
      </c>
      <c r="C1659" s="77" t="s">
        <v>1570</v>
      </c>
      <c r="D1659" s="13">
        <f>SUMIFS('Lançamentos de receitas'!$E:$E,'Lançamentos de receitas'!$A:$A,B1659,'Lançamentos de receitas'!$C:$C,A1659,'Lançamentos de receitas'!$F:$F,"TRANSFERÊNCIA")</f>
        <v>3395.11</v>
      </c>
      <c r="E1659" s="15">
        <f t="shared" si="1"/>
        <v>2025</v>
      </c>
      <c r="F1659" s="15">
        <f t="shared" si="2"/>
        <v>9</v>
      </c>
      <c r="G1659" s="15">
        <f t="shared" si="3"/>
        <v>19</v>
      </c>
    </row>
    <row r="1660">
      <c r="A1660" s="10" t="s">
        <v>27</v>
      </c>
      <c r="B1660" s="9">
        <f t="shared" si="4"/>
        <v>45919</v>
      </c>
      <c r="C1660" s="77" t="s">
        <v>1571</v>
      </c>
      <c r="D1660" s="13">
        <f>SUMIFS('Lançamentos de despesas'!$K:$K,'Lançamentos de despesas'!$C:$C,B1660,'Lançamentos de despesas'!$G:$G,A1660,'Lançamentos de despesas'!$E:$E,"pago")</f>
        <v>993.92</v>
      </c>
      <c r="E1660" s="15">
        <f t="shared" si="1"/>
        <v>2025</v>
      </c>
      <c r="F1660" s="15">
        <f t="shared" si="2"/>
        <v>9</v>
      </c>
      <c r="G1660" s="15">
        <f t="shared" si="3"/>
        <v>19</v>
      </c>
    </row>
    <row r="1661">
      <c r="A1661" s="10" t="s">
        <v>27</v>
      </c>
      <c r="B1661" s="9">
        <f t="shared" si="4"/>
        <v>45919</v>
      </c>
      <c r="C1661" s="77" t="s">
        <v>1572</v>
      </c>
      <c r="D1661" s="13">
        <f>D1658+D1659-D1660</f>
        <v>49530.539</v>
      </c>
      <c r="E1661" s="15">
        <f t="shared" si="1"/>
        <v>2025</v>
      </c>
      <c r="F1661" s="15">
        <f t="shared" si="2"/>
        <v>9</v>
      </c>
      <c r="G1661" s="15">
        <f t="shared" si="3"/>
        <v>19</v>
      </c>
    </row>
    <row r="1662">
      <c r="A1662" s="10" t="s">
        <v>27</v>
      </c>
      <c r="B1662" s="9">
        <f t="shared" si="4"/>
        <v>45920</v>
      </c>
      <c r="C1662" s="77" t="s">
        <v>1569</v>
      </c>
      <c r="D1662" s="12">
        <f>D1661</f>
        <v>49530.539</v>
      </c>
      <c r="E1662" s="15">
        <f t="shared" si="1"/>
        <v>2025</v>
      </c>
      <c r="F1662" s="15">
        <f t="shared" si="2"/>
        <v>9</v>
      </c>
      <c r="G1662" s="15">
        <f t="shared" si="3"/>
        <v>20</v>
      </c>
    </row>
    <row r="1663">
      <c r="A1663" s="10" t="s">
        <v>27</v>
      </c>
      <c r="B1663" s="9">
        <f t="shared" si="4"/>
        <v>45920</v>
      </c>
      <c r="C1663" s="77" t="s">
        <v>1570</v>
      </c>
      <c r="D1663" s="13">
        <f>SUMIFS('Lançamentos de receitas'!$E:$E,'Lançamentos de receitas'!$A:$A,B1663,'Lançamentos de receitas'!$C:$C,A1663,'Lançamentos de receitas'!$F:$F,"TRANSFERÊNCIA")</f>
        <v>684.76</v>
      </c>
      <c r="E1663" s="15">
        <f t="shared" si="1"/>
        <v>2025</v>
      </c>
      <c r="F1663" s="15">
        <f t="shared" si="2"/>
        <v>9</v>
      </c>
      <c r="G1663" s="15">
        <f t="shared" si="3"/>
        <v>20</v>
      </c>
    </row>
    <row r="1664">
      <c r="A1664" s="10" t="s">
        <v>27</v>
      </c>
      <c r="B1664" s="9">
        <f t="shared" si="4"/>
        <v>45920</v>
      </c>
      <c r="C1664" s="77" t="s">
        <v>1571</v>
      </c>
      <c r="D1664" s="13">
        <f>SUMIFS('Lançamentos de despesas'!$K:$K,'Lançamentos de despesas'!$C:$C,B1664,'Lançamentos de despesas'!$G:$G,A1664,'Lançamentos de despesas'!$E:$E,"pago")</f>
        <v>0</v>
      </c>
      <c r="E1664" s="15">
        <f t="shared" si="1"/>
        <v>2025</v>
      </c>
      <c r="F1664" s="15">
        <f t="shared" si="2"/>
        <v>9</v>
      </c>
      <c r="G1664" s="15">
        <f t="shared" si="3"/>
        <v>20</v>
      </c>
    </row>
    <row r="1665">
      <c r="A1665" s="10" t="s">
        <v>27</v>
      </c>
      <c r="B1665" s="9">
        <f t="shared" si="4"/>
        <v>45920</v>
      </c>
      <c r="C1665" s="77" t="s">
        <v>1572</v>
      </c>
      <c r="D1665" s="13">
        <f>D1662+D1663-D1664</f>
        <v>50215.299</v>
      </c>
      <c r="E1665" s="15">
        <f t="shared" si="1"/>
        <v>2025</v>
      </c>
      <c r="F1665" s="15">
        <f t="shared" si="2"/>
        <v>9</v>
      </c>
      <c r="G1665" s="15">
        <f t="shared" si="3"/>
        <v>20</v>
      </c>
    </row>
    <row r="1666">
      <c r="A1666" s="10" t="s">
        <v>27</v>
      </c>
      <c r="B1666" s="9">
        <f t="shared" si="4"/>
        <v>45921</v>
      </c>
      <c r="C1666" s="77" t="s">
        <v>1569</v>
      </c>
      <c r="D1666" s="12">
        <f>D1665</f>
        <v>50215.299</v>
      </c>
      <c r="E1666" s="15">
        <f t="shared" si="1"/>
        <v>2025</v>
      </c>
      <c r="F1666" s="15">
        <f t="shared" si="2"/>
        <v>9</v>
      </c>
      <c r="G1666" s="15">
        <f t="shared" si="3"/>
        <v>21</v>
      </c>
    </row>
    <row r="1667">
      <c r="A1667" s="10" t="s">
        <v>27</v>
      </c>
      <c r="B1667" s="9">
        <f t="shared" si="4"/>
        <v>45921</v>
      </c>
      <c r="C1667" s="77" t="s">
        <v>1570</v>
      </c>
      <c r="D1667" s="13">
        <f>SUMIFS('Lançamentos de receitas'!$E:$E,'Lançamentos de receitas'!$A:$A,B1667,'Lançamentos de receitas'!$C:$C,A1667,'Lançamentos de receitas'!$F:$F,"TRANSFERÊNCIA")</f>
        <v>427.19</v>
      </c>
      <c r="E1667" s="15">
        <f t="shared" si="1"/>
        <v>2025</v>
      </c>
      <c r="F1667" s="15">
        <f t="shared" si="2"/>
        <v>9</v>
      </c>
      <c r="G1667" s="15">
        <f t="shared" si="3"/>
        <v>21</v>
      </c>
    </row>
    <row r="1668">
      <c r="A1668" s="10" t="s">
        <v>27</v>
      </c>
      <c r="B1668" s="9">
        <f t="shared" si="4"/>
        <v>45921</v>
      </c>
      <c r="C1668" s="77" t="s">
        <v>1571</v>
      </c>
      <c r="D1668" s="13">
        <f>SUMIFS('Lançamentos de despesas'!$K:$K,'Lançamentos de despesas'!$C:$C,B1668,'Lançamentos de despesas'!$G:$G,A1668,'Lançamentos de despesas'!$E:$E,"pago")</f>
        <v>0</v>
      </c>
      <c r="E1668" s="15">
        <f t="shared" si="1"/>
        <v>2025</v>
      </c>
      <c r="F1668" s="15">
        <f t="shared" si="2"/>
        <v>9</v>
      </c>
      <c r="G1668" s="15">
        <f t="shared" si="3"/>
        <v>21</v>
      </c>
    </row>
    <row r="1669">
      <c r="A1669" s="10" t="s">
        <v>27</v>
      </c>
      <c r="B1669" s="9">
        <f t="shared" si="4"/>
        <v>45921</v>
      </c>
      <c r="C1669" s="77" t="s">
        <v>1572</v>
      </c>
      <c r="D1669" s="13">
        <f>D1666+D1667-D1668</f>
        <v>50642.489</v>
      </c>
      <c r="E1669" s="15">
        <f t="shared" si="1"/>
        <v>2025</v>
      </c>
      <c r="F1669" s="15">
        <f t="shared" si="2"/>
        <v>9</v>
      </c>
      <c r="G1669" s="15">
        <f t="shared" si="3"/>
        <v>21</v>
      </c>
    </row>
    <row r="1670">
      <c r="A1670" s="10" t="s">
        <v>27</v>
      </c>
      <c r="B1670" s="9">
        <f t="shared" si="4"/>
        <v>45922</v>
      </c>
      <c r="C1670" s="77" t="s">
        <v>1569</v>
      </c>
      <c r="D1670" s="12">
        <f>D1669</f>
        <v>50642.489</v>
      </c>
      <c r="E1670" s="15">
        <f t="shared" si="1"/>
        <v>2025</v>
      </c>
      <c r="F1670" s="15">
        <f t="shared" si="2"/>
        <v>9</v>
      </c>
      <c r="G1670" s="15">
        <f t="shared" si="3"/>
        <v>22</v>
      </c>
    </row>
    <row r="1671">
      <c r="A1671" s="10" t="s">
        <v>27</v>
      </c>
      <c r="B1671" s="9">
        <f t="shared" si="4"/>
        <v>45922</v>
      </c>
      <c r="C1671" s="77" t="s">
        <v>1570</v>
      </c>
      <c r="D1671" s="13">
        <f>SUMIFS('Lançamentos de receitas'!$E:$E,'Lançamentos de receitas'!$A:$A,B1671,'Lançamentos de receitas'!$C:$C,A1671,'Lançamentos de receitas'!$F:$F,"TRANSFERÊNCIA")</f>
        <v>8076.39</v>
      </c>
      <c r="E1671" s="15">
        <f t="shared" si="1"/>
        <v>2025</v>
      </c>
      <c r="F1671" s="15">
        <f t="shared" si="2"/>
        <v>9</v>
      </c>
      <c r="G1671" s="15">
        <f t="shared" si="3"/>
        <v>22</v>
      </c>
    </row>
    <row r="1672">
      <c r="A1672" s="10" t="s">
        <v>27</v>
      </c>
      <c r="B1672" s="9">
        <f t="shared" si="4"/>
        <v>45922</v>
      </c>
      <c r="C1672" s="77" t="s">
        <v>1571</v>
      </c>
      <c r="D1672" s="13">
        <f>SUMIFS('Lançamentos de despesas'!$K:$K,'Lançamentos de despesas'!$C:$C,B1672,'Lançamentos de despesas'!$G:$G,A1672,'Lançamentos de despesas'!$E:$E,"pago")</f>
        <v>21177.21</v>
      </c>
      <c r="E1672" s="15">
        <f t="shared" si="1"/>
        <v>2025</v>
      </c>
      <c r="F1672" s="15">
        <f t="shared" si="2"/>
        <v>9</v>
      </c>
      <c r="G1672" s="15">
        <f t="shared" si="3"/>
        <v>22</v>
      </c>
    </row>
    <row r="1673">
      <c r="A1673" s="10" t="s">
        <v>27</v>
      </c>
      <c r="B1673" s="9">
        <f t="shared" si="4"/>
        <v>45922</v>
      </c>
      <c r="C1673" s="77" t="s">
        <v>1572</v>
      </c>
      <c r="D1673" s="13">
        <f>D1670+D1671-D1672</f>
        <v>37541.669</v>
      </c>
      <c r="E1673" s="15">
        <f t="shared" si="1"/>
        <v>2025</v>
      </c>
      <c r="F1673" s="15">
        <f t="shared" si="2"/>
        <v>9</v>
      </c>
      <c r="G1673" s="15">
        <f t="shared" si="3"/>
        <v>22</v>
      </c>
    </row>
    <row r="1674">
      <c r="A1674" s="10" t="s">
        <v>27</v>
      </c>
      <c r="B1674" s="9">
        <f t="shared" si="4"/>
        <v>45923</v>
      </c>
      <c r="C1674" s="77" t="s">
        <v>1569</v>
      </c>
      <c r="D1674" s="12">
        <f>D1673</f>
        <v>37541.669</v>
      </c>
      <c r="E1674" s="15">
        <f t="shared" si="1"/>
        <v>2025</v>
      </c>
      <c r="F1674" s="15">
        <f t="shared" si="2"/>
        <v>9</v>
      </c>
      <c r="G1674" s="15">
        <f t="shared" si="3"/>
        <v>23</v>
      </c>
    </row>
    <row r="1675">
      <c r="A1675" s="10" t="s">
        <v>27</v>
      </c>
      <c r="B1675" s="9">
        <f t="shared" si="4"/>
        <v>45923</v>
      </c>
      <c r="C1675" s="77" t="s">
        <v>1570</v>
      </c>
      <c r="D1675" s="13">
        <f>SUMIFS('Lançamentos de receitas'!$E:$E,'Lançamentos de receitas'!$A:$A,B1675,'Lançamentos de receitas'!$C:$C,A1675,'Lançamentos de receitas'!$F:$F,"TRANSFERÊNCIA")</f>
        <v>310.06</v>
      </c>
      <c r="E1675" s="15">
        <f t="shared" si="1"/>
        <v>2025</v>
      </c>
      <c r="F1675" s="15">
        <f t="shared" si="2"/>
        <v>9</v>
      </c>
      <c r="G1675" s="15">
        <f t="shared" si="3"/>
        <v>23</v>
      </c>
    </row>
    <row r="1676">
      <c r="A1676" s="10" t="s">
        <v>27</v>
      </c>
      <c r="B1676" s="9">
        <f t="shared" si="4"/>
        <v>45923</v>
      </c>
      <c r="C1676" s="77" t="s">
        <v>1571</v>
      </c>
      <c r="D1676" s="13">
        <f>SUMIFS('Lançamentos de despesas'!$K:$K,'Lançamentos de despesas'!$C:$C,B1676,'Lançamentos de despesas'!$G:$G,A1676,'Lançamentos de despesas'!$E:$E,"pago")</f>
        <v>9271</v>
      </c>
      <c r="E1676" s="15">
        <f t="shared" si="1"/>
        <v>2025</v>
      </c>
      <c r="F1676" s="15">
        <f t="shared" si="2"/>
        <v>9</v>
      </c>
      <c r="G1676" s="15">
        <f t="shared" si="3"/>
        <v>23</v>
      </c>
    </row>
    <row r="1677">
      <c r="A1677" s="10" t="s">
        <v>27</v>
      </c>
      <c r="B1677" s="9">
        <f t="shared" si="4"/>
        <v>45923</v>
      </c>
      <c r="C1677" s="77" t="s">
        <v>1572</v>
      </c>
      <c r="D1677" s="13">
        <f>D1674+D1675-D1676</f>
        <v>28580.729</v>
      </c>
      <c r="E1677" s="15">
        <f t="shared" si="1"/>
        <v>2025</v>
      </c>
      <c r="F1677" s="15">
        <f t="shared" si="2"/>
        <v>9</v>
      </c>
      <c r="G1677" s="15">
        <f t="shared" si="3"/>
        <v>23</v>
      </c>
    </row>
    <row r="1678">
      <c r="A1678" s="10" t="s">
        <v>27</v>
      </c>
      <c r="B1678" s="9">
        <f t="shared" si="4"/>
        <v>45924</v>
      </c>
      <c r="C1678" s="77" t="s">
        <v>1569</v>
      </c>
      <c r="D1678" s="12">
        <f>D1677</f>
        <v>28580.729</v>
      </c>
      <c r="E1678" s="15">
        <f t="shared" si="1"/>
        <v>2025</v>
      </c>
      <c r="F1678" s="15">
        <f t="shared" si="2"/>
        <v>9</v>
      </c>
      <c r="G1678" s="15">
        <f t="shared" si="3"/>
        <v>24</v>
      </c>
    </row>
    <row r="1679">
      <c r="A1679" s="10" t="s">
        <v>27</v>
      </c>
      <c r="B1679" s="9">
        <f t="shared" si="4"/>
        <v>45924</v>
      </c>
      <c r="C1679" s="77" t="s">
        <v>1570</v>
      </c>
      <c r="D1679" s="13">
        <f>SUMIFS('Lançamentos de receitas'!$E:$E,'Lançamentos de receitas'!$A:$A,B1679,'Lançamentos de receitas'!$C:$C,A1679,'Lançamentos de receitas'!$F:$F,"TRANSFERÊNCIA")</f>
        <v>872.46</v>
      </c>
      <c r="E1679" s="15">
        <f t="shared" si="1"/>
        <v>2025</v>
      </c>
      <c r="F1679" s="15">
        <f t="shared" si="2"/>
        <v>9</v>
      </c>
      <c r="G1679" s="15">
        <f t="shared" si="3"/>
        <v>24</v>
      </c>
    </row>
    <row r="1680">
      <c r="A1680" s="10" t="s">
        <v>27</v>
      </c>
      <c r="B1680" s="9">
        <f t="shared" si="4"/>
        <v>45924</v>
      </c>
      <c r="C1680" s="77" t="s">
        <v>1571</v>
      </c>
      <c r="D1680" s="13">
        <f>SUMIFS('Lançamentos de despesas'!$K:$K,'Lançamentos de despesas'!$C:$C,B1680,'Lançamentos de despesas'!$G:$G,A1680,'Lançamentos de despesas'!$E:$E,"pago")</f>
        <v>142.68</v>
      </c>
      <c r="E1680" s="15">
        <f t="shared" si="1"/>
        <v>2025</v>
      </c>
      <c r="F1680" s="15">
        <f t="shared" si="2"/>
        <v>9</v>
      </c>
      <c r="G1680" s="15">
        <f t="shared" si="3"/>
        <v>24</v>
      </c>
    </row>
    <row r="1681">
      <c r="A1681" s="10" t="s">
        <v>27</v>
      </c>
      <c r="B1681" s="9">
        <f t="shared" si="4"/>
        <v>45924</v>
      </c>
      <c r="C1681" s="77" t="s">
        <v>1572</v>
      </c>
      <c r="D1681" s="13">
        <f>D1678+D1679-D1680</f>
        <v>29310.509</v>
      </c>
      <c r="E1681" s="15">
        <f t="shared" si="1"/>
        <v>2025</v>
      </c>
      <c r="F1681" s="15">
        <f t="shared" si="2"/>
        <v>9</v>
      </c>
      <c r="G1681" s="15">
        <f t="shared" si="3"/>
        <v>24</v>
      </c>
    </row>
    <row r="1682">
      <c r="A1682" s="10" t="s">
        <v>27</v>
      </c>
      <c r="B1682" s="9">
        <f t="shared" si="4"/>
        <v>45925</v>
      </c>
      <c r="C1682" s="77" t="s">
        <v>1569</v>
      </c>
      <c r="D1682" s="12">
        <f>D1681</f>
        <v>29310.509</v>
      </c>
      <c r="E1682" s="15">
        <f t="shared" si="1"/>
        <v>2025</v>
      </c>
      <c r="F1682" s="15">
        <f t="shared" si="2"/>
        <v>9</v>
      </c>
      <c r="G1682" s="15">
        <f t="shared" si="3"/>
        <v>25</v>
      </c>
    </row>
    <row r="1683">
      <c r="A1683" s="10" t="s">
        <v>27</v>
      </c>
      <c r="B1683" s="9">
        <f t="shared" si="4"/>
        <v>45925</v>
      </c>
      <c r="C1683" s="77" t="s">
        <v>1570</v>
      </c>
      <c r="D1683" s="13">
        <f>SUMIFS('Lançamentos de receitas'!$E:$E,'Lançamentos de receitas'!$A:$A,B1683,'Lançamentos de receitas'!$C:$C,A1683,'Lançamentos de receitas'!$F:$F,"TRANSFERÊNCIA")</f>
        <v>825.57</v>
      </c>
      <c r="E1683" s="15">
        <f t="shared" si="1"/>
        <v>2025</v>
      </c>
      <c r="F1683" s="15">
        <f t="shared" si="2"/>
        <v>9</v>
      </c>
      <c r="G1683" s="15">
        <f t="shared" si="3"/>
        <v>25</v>
      </c>
    </row>
    <row r="1684">
      <c r="A1684" s="10" t="s">
        <v>27</v>
      </c>
      <c r="B1684" s="9">
        <f t="shared" si="4"/>
        <v>45925</v>
      </c>
      <c r="C1684" s="77" t="s">
        <v>1571</v>
      </c>
      <c r="D1684" s="13">
        <f>SUMIFS('Lançamentos de despesas'!$K:$K,'Lançamentos de despesas'!$C:$C,B1684,'Lançamentos de despesas'!$G:$G,A1684,'Lançamentos de despesas'!$E:$E,"pago")</f>
        <v>0</v>
      </c>
      <c r="E1684" s="15">
        <f t="shared" si="1"/>
        <v>2025</v>
      </c>
      <c r="F1684" s="15">
        <f t="shared" si="2"/>
        <v>9</v>
      </c>
      <c r="G1684" s="15">
        <f t="shared" si="3"/>
        <v>25</v>
      </c>
    </row>
    <row r="1685">
      <c r="A1685" s="10" t="s">
        <v>27</v>
      </c>
      <c r="B1685" s="9">
        <f t="shared" si="4"/>
        <v>45925</v>
      </c>
      <c r="C1685" s="77" t="s">
        <v>1572</v>
      </c>
      <c r="D1685" s="13">
        <f>D1682+D1683-D1684</f>
        <v>30136.079</v>
      </c>
      <c r="E1685" s="15">
        <f t="shared" si="1"/>
        <v>2025</v>
      </c>
      <c r="F1685" s="15">
        <f t="shared" si="2"/>
        <v>9</v>
      </c>
      <c r="G1685" s="15">
        <f t="shared" si="3"/>
        <v>25</v>
      </c>
    </row>
    <row r="1686">
      <c r="A1686" s="10" t="s">
        <v>27</v>
      </c>
      <c r="B1686" s="9">
        <f t="shared" si="4"/>
        <v>45926</v>
      </c>
      <c r="C1686" s="77" t="s">
        <v>1569</v>
      </c>
      <c r="D1686" s="12">
        <f>D1685</f>
        <v>30136.079</v>
      </c>
      <c r="E1686" s="15">
        <f t="shared" si="1"/>
        <v>2025</v>
      </c>
      <c r="F1686" s="15">
        <f t="shared" si="2"/>
        <v>9</v>
      </c>
      <c r="G1686" s="15">
        <f t="shared" si="3"/>
        <v>26</v>
      </c>
    </row>
    <row r="1687">
      <c r="A1687" s="10" t="s">
        <v>27</v>
      </c>
      <c r="B1687" s="9">
        <f t="shared" si="4"/>
        <v>45926</v>
      </c>
      <c r="C1687" s="77" t="s">
        <v>1570</v>
      </c>
      <c r="D1687" s="13">
        <f>SUMIFS('Lançamentos de receitas'!$E:$E,'Lançamentos de receitas'!$A:$A,B1687,'Lançamentos de receitas'!$C:$C,A1687,'Lançamentos de receitas'!$F:$F,"TRANSFERÊNCIA")</f>
        <v>981.45</v>
      </c>
      <c r="E1687" s="15">
        <f t="shared" si="1"/>
        <v>2025</v>
      </c>
      <c r="F1687" s="15">
        <f t="shared" si="2"/>
        <v>9</v>
      </c>
      <c r="G1687" s="15">
        <f t="shared" si="3"/>
        <v>26</v>
      </c>
    </row>
    <row r="1688">
      <c r="A1688" s="10" t="s">
        <v>27</v>
      </c>
      <c r="B1688" s="9">
        <f t="shared" si="4"/>
        <v>45926</v>
      </c>
      <c r="C1688" s="77" t="s">
        <v>1571</v>
      </c>
      <c r="D1688" s="13">
        <f>SUMIFS('Lançamentos de despesas'!$K:$K,'Lançamentos de despesas'!$C:$C,B1688,'Lançamentos de despesas'!$G:$G,A1688,'Lançamentos de despesas'!$E:$E,"pago")</f>
        <v>3854.23</v>
      </c>
      <c r="E1688" s="15">
        <f t="shared" si="1"/>
        <v>2025</v>
      </c>
      <c r="F1688" s="15">
        <f t="shared" si="2"/>
        <v>9</v>
      </c>
      <c r="G1688" s="15">
        <f t="shared" si="3"/>
        <v>26</v>
      </c>
    </row>
    <row r="1689">
      <c r="A1689" s="10" t="s">
        <v>27</v>
      </c>
      <c r="B1689" s="9">
        <f t="shared" si="4"/>
        <v>45926</v>
      </c>
      <c r="C1689" s="77" t="s">
        <v>1572</v>
      </c>
      <c r="D1689" s="13">
        <f>D1686+D1687-D1688</f>
        <v>27263.299</v>
      </c>
      <c r="E1689" s="15">
        <f t="shared" si="1"/>
        <v>2025</v>
      </c>
      <c r="F1689" s="15">
        <f t="shared" si="2"/>
        <v>9</v>
      </c>
      <c r="G1689" s="15">
        <f t="shared" si="3"/>
        <v>26</v>
      </c>
    </row>
    <row r="1690">
      <c r="A1690" s="10" t="s">
        <v>27</v>
      </c>
      <c r="B1690" s="9">
        <f t="shared" si="4"/>
        <v>45927</v>
      </c>
      <c r="C1690" s="77" t="s">
        <v>1569</v>
      </c>
      <c r="D1690" s="12">
        <f>D1689</f>
        <v>27263.299</v>
      </c>
      <c r="E1690" s="15">
        <f t="shared" si="1"/>
        <v>2025</v>
      </c>
      <c r="F1690" s="15">
        <f t="shared" si="2"/>
        <v>9</v>
      </c>
      <c r="G1690" s="15">
        <f t="shared" si="3"/>
        <v>27</v>
      </c>
    </row>
    <row r="1691">
      <c r="A1691" s="10" t="s">
        <v>27</v>
      </c>
      <c r="B1691" s="9">
        <f t="shared" si="4"/>
        <v>45927</v>
      </c>
      <c r="C1691" s="77" t="s">
        <v>1570</v>
      </c>
      <c r="D1691" s="13">
        <f>SUMIFS('Lançamentos de receitas'!$E:$E,'Lançamentos de receitas'!$A:$A,B1691,'Lançamentos de receitas'!$C:$C,A1691,'Lançamentos de receitas'!$F:$F,"TRANSFERÊNCIA")</f>
        <v>912.17</v>
      </c>
      <c r="E1691" s="15">
        <f t="shared" si="1"/>
        <v>2025</v>
      </c>
      <c r="F1691" s="15">
        <f t="shared" si="2"/>
        <v>9</v>
      </c>
      <c r="G1691" s="15">
        <f t="shared" si="3"/>
        <v>27</v>
      </c>
    </row>
    <row r="1692">
      <c r="A1692" s="10" t="s">
        <v>27</v>
      </c>
      <c r="B1692" s="9">
        <f t="shared" si="4"/>
        <v>45927</v>
      </c>
      <c r="C1692" s="77" t="s">
        <v>1571</v>
      </c>
      <c r="D1692" s="13">
        <f>SUMIFS('Lançamentos de despesas'!$K:$K,'Lançamentos de despesas'!$C:$C,B1692,'Lançamentos de despesas'!$G:$G,A1692,'Lançamentos de despesas'!$E:$E,"pago")</f>
        <v>0</v>
      </c>
      <c r="E1692" s="15">
        <f t="shared" si="1"/>
        <v>2025</v>
      </c>
      <c r="F1692" s="15">
        <f t="shared" si="2"/>
        <v>9</v>
      </c>
      <c r="G1692" s="15">
        <f t="shared" si="3"/>
        <v>27</v>
      </c>
    </row>
    <row r="1693">
      <c r="A1693" s="10" t="s">
        <v>27</v>
      </c>
      <c r="B1693" s="9">
        <f t="shared" si="4"/>
        <v>45927</v>
      </c>
      <c r="C1693" s="77" t="s">
        <v>1572</v>
      </c>
      <c r="D1693" s="13">
        <f>D1690+D1691-D1692</f>
        <v>28175.469</v>
      </c>
      <c r="E1693" s="15">
        <f t="shared" si="1"/>
        <v>2025</v>
      </c>
      <c r="F1693" s="15">
        <f t="shared" si="2"/>
        <v>9</v>
      </c>
      <c r="G1693" s="15">
        <f t="shared" si="3"/>
        <v>27</v>
      </c>
    </row>
    <row r="1694">
      <c r="A1694" s="10" t="s">
        <v>27</v>
      </c>
      <c r="B1694" s="9">
        <f t="shared" si="4"/>
        <v>45928</v>
      </c>
      <c r="C1694" s="77" t="s">
        <v>1569</v>
      </c>
      <c r="D1694" s="12">
        <f>D1693</f>
        <v>28175.469</v>
      </c>
      <c r="E1694" s="15">
        <f t="shared" si="1"/>
        <v>2025</v>
      </c>
      <c r="F1694" s="15">
        <f t="shared" si="2"/>
        <v>9</v>
      </c>
      <c r="G1694" s="15">
        <f t="shared" si="3"/>
        <v>28</v>
      </c>
    </row>
    <row r="1695">
      <c r="A1695" s="10" t="s">
        <v>27</v>
      </c>
      <c r="B1695" s="9">
        <f t="shared" si="4"/>
        <v>45928</v>
      </c>
      <c r="C1695" s="77" t="s">
        <v>1570</v>
      </c>
      <c r="D1695" s="13">
        <f>SUMIFS('Lançamentos de receitas'!$E:$E,'Lançamentos de receitas'!$A:$A,B1695,'Lançamentos de receitas'!$C:$C,A1695,'Lançamentos de receitas'!$F:$F,"TRANSFERÊNCIA")</f>
        <v>593.67</v>
      </c>
      <c r="E1695" s="15">
        <f t="shared" si="1"/>
        <v>2025</v>
      </c>
      <c r="F1695" s="15">
        <f t="shared" si="2"/>
        <v>9</v>
      </c>
      <c r="G1695" s="15">
        <f t="shared" si="3"/>
        <v>28</v>
      </c>
    </row>
    <row r="1696">
      <c r="A1696" s="10" t="s">
        <v>27</v>
      </c>
      <c r="B1696" s="9">
        <f t="shared" si="4"/>
        <v>45928</v>
      </c>
      <c r="C1696" s="77" t="s">
        <v>1571</v>
      </c>
      <c r="D1696" s="13">
        <f>SUMIFS('Lançamentos de despesas'!$K:$K,'Lançamentos de despesas'!$C:$C,B1696,'Lançamentos de despesas'!$G:$G,A1696,'Lançamentos de despesas'!$E:$E,"pago")</f>
        <v>0</v>
      </c>
      <c r="E1696" s="15">
        <f t="shared" si="1"/>
        <v>2025</v>
      </c>
      <c r="F1696" s="15">
        <f t="shared" si="2"/>
        <v>9</v>
      </c>
      <c r="G1696" s="15">
        <f t="shared" si="3"/>
        <v>28</v>
      </c>
    </row>
    <row r="1697">
      <c r="A1697" s="10" t="s">
        <v>27</v>
      </c>
      <c r="B1697" s="9">
        <f t="shared" si="4"/>
        <v>45928</v>
      </c>
      <c r="C1697" s="77" t="s">
        <v>1572</v>
      </c>
      <c r="D1697" s="13">
        <f>D1694+D1695-D1696</f>
        <v>28769.139</v>
      </c>
      <c r="E1697" s="15">
        <f t="shared" si="1"/>
        <v>2025</v>
      </c>
      <c r="F1697" s="15">
        <f t="shared" si="2"/>
        <v>9</v>
      </c>
      <c r="G1697" s="15">
        <f t="shared" si="3"/>
        <v>28</v>
      </c>
    </row>
    <row r="1698">
      <c r="A1698" s="10" t="s">
        <v>27</v>
      </c>
      <c r="B1698" s="9">
        <f t="shared" si="4"/>
        <v>45929</v>
      </c>
      <c r="C1698" s="77" t="s">
        <v>1569</v>
      </c>
      <c r="D1698" s="12">
        <f>D1697</f>
        <v>28769.139</v>
      </c>
      <c r="E1698" s="15">
        <f t="shared" si="1"/>
        <v>2025</v>
      </c>
      <c r="F1698" s="15">
        <f t="shared" si="2"/>
        <v>9</v>
      </c>
      <c r="G1698" s="15">
        <f t="shared" si="3"/>
        <v>29</v>
      </c>
    </row>
    <row r="1699">
      <c r="A1699" s="10" t="s">
        <v>27</v>
      </c>
      <c r="B1699" s="9">
        <f t="shared" si="4"/>
        <v>45929</v>
      </c>
      <c r="C1699" s="77" t="s">
        <v>1570</v>
      </c>
      <c r="D1699" s="13">
        <f>SUMIFS('Lançamentos de receitas'!$E:$E,'Lançamentos de receitas'!$A:$A,B1699,'Lançamentos de receitas'!$C:$C,A1699,'Lançamentos de receitas'!$F:$F,"TRANSFERÊNCIA")</f>
        <v>334.88</v>
      </c>
      <c r="E1699" s="15">
        <f t="shared" si="1"/>
        <v>2025</v>
      </c>
      <c r="F1699" s="15">
        <f t="shared" si="2"/>
        <v>9</v>
      </c>
      <c r="G1699" s="15">
        <f t="shared" si="3"/>
        <v>29</v>
      </c>
    </row>
    <row r="1700">
      <c r="A1700" s="10" t="s">
        <v>27</v>
      </c>
      <c r="B1700" s="9">
        <f t="shared" si="4"/>
        <v>45929</v>
      </c>
      <c r="C1700" s="77" t="s">
        <v>1571</v>
      </c>
      <c r="D1700" s="13">
        <f>SUMIFS('Lançamentos de despesas'!$K:$K,'Lançamentos de despesas'!$C:$C,B1700,'Lançamentos de despesas'!$G:$G,A1700,'Lançamentos de despesas'!$E:$E,"pago")</f>
        <v>460.54</v>
      </c>
      <c r="E1700" s="15">
        <f t="shared" si="1"/>
        <v>2025</v>
      </c>
      <c r="F1700" s="15">
        <f t="shared" si="2"/>
        <v>9</v>
      </c>
      <c r="G1700" s="15">
        <f t="shared" si="3"/>
        <v>29</v>
      </c>
    </row>
    <row r="1701">
      <c r="A1701" s="10" t="s">
        <v>27</v>
      </c>
      <c r="B1701" s="9">
        <f t="shared" si="4"/>
        <v>45929</v>
      </c>
      <c r="C1701" s="77" t="s">
        <v>1572</v>
      </c>
      <c r="D1701" s="13">
        <f>D1698+D1699-D1700</f>
        <v>28643.479</v>
      </c>
      <c r="E1701" s="15">
        <f t="shared" si="1"/>
        <v>2025</v>
      </c>
      <c r="F1701" s="15">
        <f t="shared" si="2"/>
        <v>9</v>
      </c>
      <c r="G1701" s="15">
        <f t="shared" si="3"/>
        <v>29</v>
      </c>
    </row>
    <row r="1702">
      <c r="A1702" s="10" t="s">
        <v>27</v>
      </c>
      <c r="B1702" s="9">
        <f t="shared" si="4"/>
        <v>45930</v>
      </c>
      <c r="C1702" s="77" t="s">
        <v>1569</v>
      </c>
      <c r="D1702" s="12">
        <f>D1701</f>
        <v>28643.479</v>
      </c>
      <c r="E1702" s="15">
        <f t="shared" si="1"/>
        <v>2025</v>
      </c>
      <c r="F1702" s="15">
        <f t="shared" si="2"/>
        <v>9</v>
      </c>
      <c r="G1702" s="15">
        <f t="shared" si="3"/>
        <v>30</v>
      </c>
    </row>
    <row r="1703">
      <c r="A1703" s="10" t="s">
        <v>27</v>
      </c>
      <c r="B1703" s="9">
        <f t="shared" si="4"/>
        <v>45930</v>
      </c>
      <c r="C1703" s="77" t="s">
        <v>1570</v>
      </c>
      <c r="D1703" s="13">
        <f>SUMIFS('Lançamentos de receitas'!$E:$E,'Lançamentos de receitas'!$A:$A,B1703,'Lançamentos de receitas'!$C:$C,A1703,'Lançamentos de receitas'!$F:$F,"TRANSFERÊNCIA")</f>
        <v>77617.1</v>
      </c>
      <c r="E1703" s="15">
        <f t="shared" si="1"/>
        <v>2025</v>
      </c>
      <c r="F1703" s="15">
        <f t="shared" si="2"/>
        <v>9</v>
      </c>
      <c r="G1703" s="15">
        <f t="shared" si="3"/>
        <v>30</v>
      </c>
    </row>
    <row r="1704">
      <c r="A1704" s="10" t="s">
        <v>27</v>
      </c>
      <c r="B1704" s="9">
        <f t="shared" si="4"/>
        <v>45930</v>
      </c>
      <c r="C1704" s="77" t="s">
        <v>1571</v>
      </c>
      <c r="D1704" s="13">
        <f>SUMIFS('Lançamentos de despesas'!$K:$K,'Lançamentos de despesas'!$C:$C,B1704,'Lançamentos de despesas'!$G:$G,A1704,'Lançamentos de despesas'!$E:$E,"pago")</f>
        <v>4803.25</v>
      </c>
      <c r="E1704" s="15">
        <f t="shared" si="1"/>
        <v>2025</v>
      </c>
      <c r="F1704" s="15">
        <f t="shared" si="2"/>
        <v>9</v>
      </c>
      <c r="G1704" s="15">
        <f t="shared" si="3"/>
        <v>30</v>
      </c>
    </row>
    <row r="1705">
      <c r="A1705" s="10" t="s">
        <v>27</v>
      </c>
      <c r="B1705" s="9">
        <f t="shared" si="4"/>
        <v>45930</v>
      </c>
      <c r="C1705" s="77" t="s">
        <v>1572</v>
      </c>
      <c r="D1705" s="13">
        <f>D1702+D1703-D1704</f>
        <v>101457.329</v>
      </c>
      <c r="E1705" s="15">
        <f t="shared" si="1"/>
        <v>2025</v>
      </c>
      <c r="F1705" s="15">
        <f t="shared" si="2"/>
        <v>9</v>
      </c>
      <c r="G1705" s="15">
        <f t="shared" si="3"/>
        <v>30</v>
      </c>
    </row>
    <row r="1706">
      <c r="A1706" s="10" t="s">
        <v>27</v>
      </c>
      <c r="B1706" s="9">
        <f t="shared" si="4"/>
        <v>45931</v>
      </c>
      <c r="C1706" s="77" t="s">
        <v>1569</v>
      </c>
      <c r="D1706" s="12">
        <f>D1705</f>
        <v>101457.329</v>
      </c>
      <c r="E1706" s="15">
        <f t="shared" si="1"/>
        <v>2025</v>
      </c>
      <c r="F1706" s="15">
        <f t="shared" si="2"/>
        <v>10</v>
      </c>
      <c r="G1706" s="15">
        <f t="shared" si="3"/>
        <v>1</v>
      </c>
    </row>
    <row r="1707">
      <c r="A1707" s="10" t="s">
        <v>27</v>
      </c>
      <c r="B1707" s="9">
        <f t="shared" si="4"/>
        <v>45931</v>
      </c>
      <c r="C1707" s="77" t="s">
        <v>1570</v>
      </c>
      <c r="D1707" s="13">
        <f>SUMIFS('Lançamentos de receitas'!$E:$E,'Lançamentos de receitas'!$A:$A,B1707,'Lançamentos de receitas'!$C:$C,A1707,'Lançamentos de receitas'!$F:$F,"TRANSFERÊNCIA")</f>
        <v>1788.3</v>
      </c>
      <c r="E1707" s="15">
        <f t="shared" si="1"/>
        <v>2025</v>
      </c>
      <c r="F1707" s="15">
        <f t="shared" si="2"/>
        <v>10</v>
      </c>
      <c r="G1707" s="15">
        <f t="shared" si="3"/>
        <v>1</v>
      </c>
    </row>
    <row r="1708">
      <c r="A1708" s="10" t="s">
        <v>27</v>
      </c>
      <c r="B1708" s="9">
        <f t="shared" si="4"/>
        <v>45931</v>
      </c>
      <c r="C1708" s="77" t="s">
        <v>1571</v>
      </c>
      <c r="D1708" s="13">
        <f>SUMIFS('Lançamentos de despesas'!$K:$K,'Lançamentos de despesas'!$C:$C,B1708,'Lançamentos de despesas'!$G:$G,A1708,'Lançamentos de despesas'!$E:$E,"pago")</f>
        <v>43828.08</v>
      </c>
      <c r="E1708" s="15">
        <f t="shared" si="1"/>
        <v>2025</v>
      </c>
      <c r="F1708" s="15">
        <f t="shared" si="2"/>
        <v>10</v>
      </c>
      <c r="G1708" s="15">
        <f t="shared" si="3"/>
        <v>1</v>
      </c>
    </row>
    <row r="1709">
      <c r="A1709" s="10" t="s">
        <v>27</v>
      </c>
      <c r="B1709" s="9">
        <f t="shared" si="4"/>
        <v>45931</v>
      </c>
      <c r="C1709" s="77" t="s">
        <v>1572</v>
      </c>
      <c r="D1709" s="13">
        <f>D1706+D1707-D1708</f>
        <v>59417.549</v>
      </c>
      <c r="E1709" s="15">
        <f t="shared" si="1"/>
        <v>2025</v>
      </c>
      <c r="F1709" s="15">
        <f t="shared" si="2"/>
        <v>10</v>
      </c>
      <c r="G1709" s="15">
        <f t="shared" si="3"/>
        <v>1</v>
      </c>
    </row>
    <row r="1710">
      <c r="A1710" s="10" t="s">
        <v>27</v>
      </c>
      <c r="B1710" s="9">
        <f t="shared" si="4"/>
        <v>45932</v>
      </c>
      <c r="C1710" s="77" t="s">
        <v>1569</v>
      </c>
      <c r="D1710" s="12">
        <f>D1709</f>
        <v>59417.549</v>
      </c>
      <c r="E1710" s="15">
        <f t="shared" si="1"/>
        <v>2025</v>
      </c>
      <c r="F1710" s="15">
        <f t="shared" si="2"/>
        <v>10</v>
      </c>
      <c r="G1710" s="15">
        <f t="shared" si="3"/>
        <v>2</v>
      </c>
    </row>
    <row r="1711">
      <c r="A1711" s="10" t="s">
        <v>27</v>
      </c>
      <c r="B1711" s="9">
        <f t="shared" si="4"/>
        <v>45932</v>
      </c>
      <c r="C1711" s="77" t="s">
        <v>1570</v>
      </c>
      <c r="D1711" s="13">
        <f>SUMIFS('Lançamentos de receitas'!$E:$E,'Lançamentos de receitas'!$A:$A,B1711,'Lançamentos de receitas'!$C:$C,A1711,'Lançamentos de receitas'!$F:$F,"TRANSFERÊNCIA")</f>
        <v>5318.69</v>
      </c>
      <c r="E1711" s="15">
        <f t="shared" si="1"/>
        <v>2025</v>
      </c>
      <c r="F1711" s="15">
        <f t="shared" si="2"/>
        <v>10</v>
      </c>
      <c r="G1711" s="15">
        <f t="shared" si="3"/>
        <v>2</v>
      </c>
    </row>
    <row r="1712">
      <c r="A1712" s="10" t="s">
        <v>27</v>
      </c>
      <c r="B1712" s="9">
        <f t="shared" si="4"/>
        <v>45932</v>
      </c>
      <c r="C1712" s="77" t="s">
        <v>1571</v>
      </c>
      <c r="D1712" s="13">
        <f>SUMIFS('Lançamentos de despesas'!$K:$K,'Lançamentos de despesas'!$C:$C,B1712,'Lançamentos de despesas'!$G:$G,A1712,'Lançamentos de despesas'!$E:$E,"pago")</f>
        <v>0</v>
      </c>
      <c r="E1712" s="15">
        <f t="shared" si="1"/>
        <v>2025</v>
      </c>
      <c r="F1712" s="15">
        <f t="shared" si="2"/>
        <v>10</v>
      </c>
      <c r="G1712" s="15">
        <f t="shared" si="3"/>
        <v>2</v>
      </c>
    </row>
    <row r="1713">
      <c r="A1713" s="10" t="s">
        <v>27</v>
      </c>
      <c r="B1713" s="9">
        <f t="shared" si="4"/>
        <v>45932</v>
      </c>
      <c r="C1713" s="77" t="s">
        <v>1572</v>
      </c>
      <c r="D1713" s="13">
        <f>D1710+D1711-D1712</f>
        <v>64736.239</v>
      </c>
      <c r="E1713" s="15">
        <f t="shared" si="1"/>
        <v>2025</v>
      </c>
      <c r="F1713" s="15">
        <f t="shared" si="2"/>
        <v>10</v>
      </c>
      <c r="G1713" s="15">
        <f t="shared" si="3"/>
        <v>2</v>
      </c>
    </row>
    <row r="1714">
      <c r="A1714" s="10" t="s">
        <v>27</v>
      </c>
      <c r="B1714" s="9">
        <f t="shared" si="4"/>
        <v>45933</v>
      </c>
      <c r="C1714" s="77" t="s">
        <v>1569</v>
      </c>
      <c r="D1714" s="12">
        <f>D1713</f>
        <v>64736.239</v>
      </c>
      <c r="E1714" s="15">
        <f t="shared" si="1"/>
        <v>2025</v>
      </c>
      <c r="F1714" s="15">
        <f t="shared" si="2"/>
        <v>10</v>
      </c>
      <c r="G1714" s="15">
        <f t="shared" si="3"/>
        <v>3</v>
      </c>
    </row>
    <row r="1715">
      <c r="A1715" s="10" t="s">
        <v>27</v>
      </c>
      <c r="B1715" s="9">
        <f t="shared" si="4"/>
        <v>45933</v>
      </c>
      <c r="C1715" s="77" t="s">
        <v>1570</v>
      </c>
      <c r="D1715" s="13">
        <f>SUMIFS('Lançamentos de receitas'!$E:$E,'Lançamentos de receitas'!$A:$A,B1715,'Lançamentos de receitas'!$C:$C,A1715,'Lançamentos de receitas'!$F:$F,"TRANSFERÊNCIA")</f>
        <v>1538.75</v>
      </c>
      <c r="E1715" s="15">
        <f t="shared" si="1"/>
        <v>2025</v>
      </c>
      <c r="F1715" s="15">
        <f t="shared" si="2"/>
        <v>10</v>
      </c>
      <c r="G1715" s="15">
        <f t="shared" si="3"/>
        <v>3</v>
      </c>
    </row>
    <row r="1716">
      <c r="A1716" s="10" t="s">
        <v>27</v>
      </c>
      <c r="B1716" s="9">
        <f t="shared" si="4"/>
        <v>45933</v>
      </c>
      <c r="C1716" s="77" t="s">
        <v>1571</v>
      </c>
      <c r="D1716" s="13">
        <f>SUMIFS('Lançamentos de despesas'!$K:$K,'Lançamentos de despesas'!$C:$C,B1716,'Lançamentos de despesas'!$G:$G,A1716,'Lançamentos de despesas'!$E:$E,"pago")</f>
        <v>9613.33</v>
      </c>
      <c r="E1716" s="15">
        <f t="shared" si="1"/>
        <v>2025</v>
      </c>
      <c r="F1716" s="15">
        <f t="shared" si="2"/>
        <v>10</v>
      </c>
      <c r="G1716" s="15">
        <f t="shared" si="3"/>
        <v>3</v>
      </c>
    </row>
    <row r="1717">
      <c r="A1717" s="10" t="s">
        <v>27</v>
      </c>
      <c r="B1717" s="9">
        <f t="shared" si="4"/>
        <v>45933</v>
      </c>
      <c r="C1717" s="77" t="s">
        <v>1572</v>
      </c>
      <c r="D1717" s="13">
        <f>D1714+D1715-D1716</f>
        <v>56661.659</v>
      </c>
      <c r="E1717" s="15">
        <f t="shared" si="1"/>
        <v>2025</v>
      </c>
      <c r="F1717" s="15">
        <f t="shared" si="2"/>
        <v>10</v>
      </c>
      <c r="G1717" s="15">
        <f t="shared" si="3"/>
        <v>3</v>
      </c>
    </row>
    <row r="1718">
      <c r="A1718" s="10" t="s">
        <v>27</v>
      </c>
      <c r="B1718" s="9">
        <f t="shared" si="4"/>
        <v>45934</v>
      </c>
      <c r="C1718" s="77" t="s">
        <v>1569</v>
      </c>
      <c r="D1718" s="12">
        <f>D1717</f>
        <v>56661.659</v>
      </c>
      <c r="E1718" s="15">
        <f t="shared" si="1"/>
        <v>2025</v>
      </c>
      <c r="F1718" s="15">
        <f t="shared" si="2"/>
        <v>10</v>
      </c>
      <c r="G1718" s="15">
        <f t="shared" si="3"/>
        <v>4</v>
      </c>
    </row>
    <row r="1719">
      <c r="A1719" s="10" t="s">
        <v>27</v>
      </c>
      <c r="B1719" s="9">
        <f t="shared" si="4"/>
        <v>45934</v>
      </c>
      <c r="C1719" s="77" t="s">
        <v>1570</v>
      </c>
      <c r="D1719" s="13">
        <f>SUMIFS('Lançamentos de receitas'!$E:$E,'Lançamentos de receitas'!$A:$A,B1719,'Lançamentos de receitas'!$C:$C,A1719,'Lançamentos de receitas'!$F:$F,"TRANSFERÊNCIA")</f>
        <v>731.56</v>
      </c>
      <c r="E1719" s="15">
        <f t="shared" si="1"/>
        <v>2025</v>
      </c>
      <c r="F1719" s="15">
        <f t="shared" si="2"/>
        <v>10</v>
      </c>
      <c r="G1719" s="15">
        <f t="shared" si="3"/>
        <v>4</v>
      </c>
    </row>
    <row r="1720">
      <c r="A1720" s="10" t="s">
        <v>27</v>
      </c>
      <c r="B1720" s="9">
        <f t="shared" si="4"/>
        <v>45934</v>
      </c>
      <c r="C1720" s="77" t="s">
        <v>1571</v>
      </c>
      <c r="D1720" s="13">
        <f>SUMIFS('Lançamentos de despesas'!$K:$K,'Lançamentos de despesas'!$C:$C,B1720,'Lançamentos de despesas'!$G:$G,A1720,'Lançamentos de despesas'!$E:$E,"pago")</f>
        <v>0</v>
      </c>
      <c r="E1720" s="15">
        <f t="shared" si="1"/>
        <v>2025</v>
      </c>
      <c r="F1720" s="15">
        <f t="shared" si="2"/>
        <v>10</v>
      </c>
      <c r="G1720" s="15">
        <f t="shared" si="3"/>
        <v>4</v>
      </c>
    </row>
    <row r="1721">
      <c r="A1721" s="10" t="s">
        <v>27</v>
      </c>
      <c r="B1721" s="9">
        <f t="shared" si="4"/>
        <v>45934</v>
      </c>
      <c r="C1721" s="77" t="s">
        <v>1572</v>
      </c>
      <c r="D1721" s="13">
        <f>D1718+D1719-D1720</f>
        <v>57393.219</v>
      </c>
      <c r="E1721" s="15">
        <f t="shared" si="1"/>
        <v>2025</v>
      </c>
      <c r="F1721" s="15">
        <f t="shared" si="2"/>
        <v>10</v>
      </c>
      <c r="G1721" s="15">
        <f t="shared" si="3"/>
        <v>4</v>
      </c>
    </row>
    <row r="1722">
      <c r="A1722" s="10" t="s">
        <v>27</v>
      </c>
      <c r="B1722" s="9">
        <f t="shared" si="4"/>
        <v>45935</v>
      </c>
      <c r="C1722" s="77" t="s">
        <v>1569</v>
      </c>
      <c r="D1722" s="12">
        <f>D1721</f>
        <v>57393.219</v>
      </c>
      <c r="E1722" s="15">
        <f t="shared" si="1"/>
        <v>2025</v>
      </c>
      <c r="F1722" s="15">
        <f t="shared" si="2"/>
        <v>10</v>
      </c>
      <c r="G1722" s="15">
        <f t="shared" si="3"/>
        <v>5</v>
      </c>
    </row>
    <row r="1723">
      <c r="A1723" s="10" t="s">
        <v>27</v>
      </c>
      <c r="B1723" s="9">
        <f t="shared" si="4"/>
        <v>45935</v>
      </c>
      <c r="C1723" s="77" t="s">
        <v>1570</v>
      </c>
      <c r="D1723" s="13">
        <f>SUMIFS('Lançamentos de receitas'!$E:$E,'Lançamentos de receitas'!$A:$A,B1723,'Lançamentos de receitas'!$C:$C,A1723,'Lançamentos de receitas'!$F:$F,"TRANSFERÊNCIA")</f>
        <v>447.59</v>
      </c>
      <c r="E1723" s="15">
        <f t="shared" si="1"/>
        <v>2025</v>
      </c>
      <c r="F1723" s="15">
        <f t="shared" si="2"/>
        <v>10</v>
      </c>
      <c r="G1723" s="15">
        <f t="shared" si="3"/>
        <v>5</v>
      </c>
    </row>
    <row r="1724">
      <c r="A1724" s="10" t="s">
        <v>27</v>
      </c>
      <c r="B1724" s="9">
        <f t="shared" si="4"/>
        <v>45935</v>
      </c>
      <c r="C1724" s="77" t="s">
        <v>1571</v>
      </c>
      <c r="D1724" s="13">
        <f>SUMIFS('Lançamentos de despesas'!$K:$K,'Lançamentos de despesas'!$C:$C,B1724,'Lançamentos de despesas'!$G:$G,A1724,'Lançamentos de despesas'!$E:$E,"pago")</f>
        <v>0</v>
      </c>
      <c r="E1724" s="15">
        <f t="shared" si="1"/>
        <v>2025</v>
      </c>
      <c r="F1724" s="15">
        <f t="shared" si="2"/>
        <v>10</v>
      </c>
      <c r="G1724" s="15">
        <f t="shared" si="3"/>
        <v>5</v>
      </c>
    </row>
    <row r="1725">
      <c r="A1725" s="10" t="s">
        <v>27</v>
      </c>
      <c r="B1725" s="9">
        <f t="shared" si="4"/>
        <v>45935</v>
      </c>
      <c r="C1725" s="77" t="s">
        <v>1572</v>
      </c>
      <c r="D1725" s="13">
        <f>D1722+D1723-D1724</f>
        <v>57840.809</v>
      </c>
      <c r="E1725" s="15">
        <f t="shared" si="1"/>
        <v>2025</v>
      </c>
      <c r="F1725" s="15">
        <f t="shared" si="2"/>
        <v>10</v>
      </c>
      <c r="G1725" s="15">
        <f t="shared" si="3"/>
        <v>5</v>
      </c>
    </row>
    <row r="1726">
      <c r="A1726" s="10" t="s">
        <v>27</v>
      </c>
      <c r="B1726" s="9">
        <f t="shared" si="4"/>
        <v>45936</v>
      </c>
      <c r="C1726" s="77" t="s">
        <v>1569</v>
      </c>
      <c r="D1726" s="12">
        <f>D1725</f>
        <v>57840.809</v>
      </c>
      <c r="E1726" s="15">
        <f t="shared" si="1"/>
        <v>2025</v>
      </c>
      <c r="F1726" s="15">
        <f t="shared" si="2"/>
        <v>10</v>
      </c>
      <c r="G1726" s="15">
        <f t="shared" si="3"/>
        <v>6</v>
      </c>
    </row>
    <row r="1727">
      <c r="A1727" s="10" t="s">
        <v>27</v>
      </c>
      <c r="B1727" s="9">
        <f t="shared" si="4"/>
        <v>45936</v>
      </c>
      <c r="C1727" s="77" t="s">
        <v>1570</v>
      </c>
      <c r="D1727" s="13">
        <f>SUMIFS('Lançamentos de receitas'!$E:$E,'Lançamentos de receitas'!$A:$A,B1727,'Lançamentos de receitas'!$C:$C,A1727,'Lançamentos de receitas'!$F:$F,"TRANSFERÊNCIA")</f>
        <v>4430.66</v>
      </c>
      <c r="E1727" s="15">
        <f t="shared" si="1"/>
        <v>2025</v>
      </c>
      <c r="F1727" s="15">
        <f t="shared" si="2"/>
        <v>10</v>
      </c>
      <c r="G1727" s="15">
        <f t="shared" si="3"/>
        <v>6</v>
      </c>
    </row>
    <row r="1728">
      <c r="A1728" s="10" t="s">
        <v>27</v>
      </c>
      <c r="B1728" s="9">
        <f t="shared" si="4"/>
        <v>45936</v>
      </c>
      <c r="C1728" s="77" t="s">
        <v>1571</v>
      </c>
      <c r="D1728" s="13">
        <f>SUMIFS('Lançamentos de despesas'!$K:$K,'Lançamentos de despesas'!$C:$C,B1728,'Lançamentos de despesas'!$G:$G,A1728,'Lançamentos de despesas'!$E:$E,"pago")</f>
        <v>33700</v>
      </c>
      <c r="E1728" s="15">
        <f t="shared" si="1"/>
        <v>2025</v>
      </c>
      <c r="F1728" s="15">
        <f t="shared" si="2"/>
        <v>10</v>
      </c>
      <c r="G1728" s="15">
        <f t="shared" si="3"/>
        <v>6</v>
      </c>
    </row>
    <row r="1729">
      <c r="A1729" s="10" t="s">
        <v>27</v>
      </c>
      <c r="B1729" s="9">
        <f t="shared" si="4"/>
        <v>45936</v>
      </c>
      <c r="C1729" s="77" t="s">
        <v>1572</v>
      </c>
      <c r="D1729" s="13">
        <f>D1726+D1727-D1728</f>
        <v>28571.469</v>
      </c>
      <c r="E1729" s="15">
        <f t="shared" si="1"/>
        <v>2025</v>
      </c>
      <c r="F1729" s="15">
        <f t="shared" si="2"/>
        <v>10</v>
      </c>
      <c r="G1729" s="15">
        <f t="shared" si="3"/>
        <v>6</v>
      </c>
    </row>
    <row r="1730">
      <c r="A1730" s="10" t="s">
        <v>27</v>
      </c>
      <c r="B1730" s="9">
        <f t="shared" si="4"/>
        <v>45937</v>
      </c>
      <c r="C1730" s="77" t="s">
        <v>1569</v>
      </c>
      <c r="D1730" s="12">
        <f>D1729</f>
        <v>28571.469</v>
      </c>
      <c r="E1730" s="15">
        <f t="shared" si="1"/>
        <v>2025</v>
      </c>
      <c r="F1730" s="15">
        <f t="shared" si="2"/>
        <v>10</v>
      </c>
      <c r="G1730" s="15">
        <f t="shared" si="3"/>
        <v>7</v>
      </c>
    </row>
    <row r="1731">
      <c r="A1731" s="10" t="s">
        <v>27</v>
      </c>
      <c r="B1731" s="9">
        <f t="shared" si="4"/>
        <v>45937</v>
      </c>
      <c r="C1731" s="77" t="s">
        <v>1570</v>
      </c>
      <c r="D1731" s="13">
        <f>SUMIFS('Lançamentos de receitas'!$E:$E,'Lançamentos de receitas'!$A:$A,B1731,'Lançamentos de receitas'!$C:$C,A1731,'Lançamentos de receitas'!$F:$F,"TRANSFERÊNCIA")</f>
        <v>335.65</v>
      </c>
      <c r="E1731" s="15">
        <f t="shared" si="1"/>
        <v>2025</v>
      </c>
      <c r="F1731" s="15">
        <f t="shared" si="2"/>
        <v>10</v>
      </c>
      <c r="G1731" s="15">
        <f t="shared" si="3"/>
        <v>7</v>
      </c>
    </row>
    <row r="1732">
      <c r="A1732" s="10" t="s">
        <v>27</v>
      </c>
      <c r="B1732" s="9">
        <f t="shared" si="4"/>
        <v>45937</v>
      </c>
      <c r="C1732" s="77" t="s">
        <v>1571</v>
      </c>
      <c r="D1732" s="13">
        <f>SUMIFS('Lançamentos de despesas'!$K:$K,'Lançamentos de despesas'!$C:$C,B1732,'Lançamentos de despesas'!$G:$G,A1732,'Lançamentos de despesas'!$E:$E,"pago")</f>
        <v>5951</v>
      </c>
      <c r="E1732" s="15">
        <f t="shared" si="1"/>
        <v>2025</v>
      </c>
      <c r="F1732" s="15">
        <f t="shared" si="2"/>
        <v>10</v>
      </c>
      <c r="G1732" s="15">
        <f t="shared" si="3"/>
        <v>7</v>
      </c>
    </row>
    <row r="1733">
      <c r="A1733" s="10" t="s">
        <v>27</v>
      </c>
      <c r="B1733" s="9">
        <f t="shared" si="4"/>
        <v>45937</v>
      </c>
      <c r="C1733" s="77" t="s">
        <v>1572</v>
      </c>
      <c r="D1733" s="13">
        <f>D1730+D1731-D1732</f>
        <v>22956.119</v>
      </c>
      <c r="E1733" s="15">
        <f t="shared" si="1"/>
        <v>2025</v>
      </c>
      <c r="F1733" s="15">
        <f t="shared" si="2"/>
        <v>10</v>
      </c>
      <c r="G1733" s="15">
        <f t="shared" si="3"/>
        <v>7</v>
      </c>
    </row>
    <row r="1734">
      <c r="A1734" s="10" t="s">
        <v>27</v>
      </c>
      <c r="B1734" s="9">
        <f t="shared" si="4"/>
        <v>45938</v>
      </c>
      <c r="C1734" s="77" t="s">
        <v>1569</v>
      </c>
      <c r="D1734" s="12">
        <f>D1733</f>
        <v>22956.119</v>
      </c>
      <c r="E1734" s="15">
        <f t="shared" si="1"/>
        <v>2025</v>
      </c>
      <c r="F1734" s="15">
        <f t="shared" si="2"/>
        <v>10</v>
      </c>
      <c r="G1734" s="15">
        <f t="shared" si="3"/>
        <v>8</v>
      </c>
    </row>
    <row r="1735">
      <c r="A1735" s="10" t="s">
        <v>27</v>
      </c>
      <c r="B1735" s="9">
        <f t="shared" si="4"/>
        <v>45938</v>
      </c>
      <c r="C1735" s="77" t="s">
        <v>1570</v>
      </c>
      <c r="D1735" s="13">
        <f>SUMIFS('Lançamentos de receitas'!$E:$E,'Lançamentos de receitas'!$A:$A,B1735,'Lançamentos de receitas'!$C:$C,A1735,'Lançamentos de receitas'!$F:$F,"TRANSFERÊNCIA")</f>
        <v>631.15</v>
      </c>
      <c r="E1735" s="15">
        <f t="shared" si="1"/>
        <v>2025</v>
      </c>
      <c r="F1735" s="15">
        <f t="shared" si="2"/>
        <v>10</v>
      </c>
      <c r="G1735" s="15">
        <f t="shared" si="3"/>
        <v>8</v>
      </c>
    </row>
    <row r="1736">
      <c r="A1736" s="10" t="s">
        <v>27</v>
      </c>
      <c r="B1736" s="9">
        <f t="shared" si="4"/>
        <v>45938</v>
      </c>
      <c r="C1736" s="77" t="s">
        <v>1571</v>
      </c>
      <c r="D1736" s="13">
        <f>SUMIFS('Lançamentos de despesas'!$K:$K,'Lançamentos de despesas'!$C:$C,B1736,'Lançamentos de despesas'!$G:$G,A1736,'Lançamentos de despesas'!$E:$E,"pago")</f>
        <v>680</v>
      </c>
      <c r="E1736" s="15">
        <f t="shared" si="1"/>
        <v>2025</v>
      </c>
      <c r="F1736" s="15">
        <f t="shared" si="2"/>
        <v>10</v>
      </c>
      <c r="G1736" s="15">
        <f t="shared" si="3"/>
        <v>8</v>
      </c>
    </row>
    <row r="1737">
      <c r="A1737" s="10" t="s">
        <v>27</v>
      </c>
      <c r="B1737" s="9">
        <f t="shared" si="4"/>
        <v>45938</v>
      </c>
      <c r="C1737" s="77" t="s">
        <v>1572</v>
      </c>
      <c r="D1737" s="13">
        <f>D1734+D1735-D1736</f>
        <v>22907.269</v>
      </c>
      <c r="E1737" s="15">
        <f t="shared" si="1"/>
        <v>2025</v>
      </c>
      <c r="F1737" s="15">
        <f t="shared" si="2"/>
        <v>10</v>
      </c>
      <c r="G1737" s="15">
        <f t="shared" si="3"/>
        <v>8</v>
      </c>
    </row>
    <row r="1738">
      <c r="A1738" s="10" t="s">
        <v>27</v>
      </c>
      <c r="B1738" s="9">
        <f t="shared" si="4"/>
        <v>45939</v>
      </c>
      <c r="C1738" s="77" t="s">
        <v>1569</v>
      </c>
      <c r="D1738" s="12">
        <f>D1737</f>
        <v>22907.269</v>
      </c>
      <c r="E1738" s="15">
        <f t="shared" si="1"/>
        <v>2025</v>
      </c>
      <c r="F1738" s="15">
        <f t="shared" si="2"/>
        <v>10</v>
      </c>
      <c r="G1738" s="15">
        <f t="shared" si="3"/>
        <v>9</v>
      </c>
    </row>
    <row r="1739">
      <c r="A1739" s="10" t="s">
        <v>27</v>
      </c>
      <c r="B1739" s="9">
        <f t="shared" si="4"/>
        <v>45939</v>
      </c>
      <c r="C1739" s="77" t="s">
        <v>1570</v>
      </c>
      <c r="D1739" s="13">
        <f>SUMIFS('Lançamentos de receitas'!$E:$E,'Lançamentos de receitas'!$A:$A,B1739,'Lançamentos de receitas'!$C:$C,A1739,'Lançamentos de receitas'!$F:$F,"TRANSFERÊNCIA")</f>
        <v>333.73</v>
      </c>
      <c r="E1739" s="15">
        <f t="shared" si="1"/>
        <v>2025</v>
      </c>
      <c r="F1739" s="15">
        <f t="shared" si="2"/>
        <v>10</v>
      </c>
      <c r="G1739" s="15">
        <f t="shared" si="3"/>
        <v>9</v>
      </c>
    </row>
    <row r="1740">
      <c r="A1740" s="10" t="s">
        <v>27</v>
      </c>
      <c r="B1740" s="9">
        <f t="shared" si="4"/>
        <v>45939</v>
      </c>
      <c r="C1740" s="77" t="s">
        <v>1571</v>
      </c>
      <c r="D1740" s="13">
        <f>SUMIFS('Lançamentos de despesas'!$K:$K,'Lançamentos de despesas'!$C:$C,B1740,'Lançamentos de despesas'!$G:$G,A1740,'Lançamentos de despesas'!$E:$E,"pago")</f>
        <v>0</v>
      </c>
      <c r="E1740" s="15">
        <f t="shared" si="1"/>
        <v>2025</v>
      </c>
      <c r="F1740" s="15">
        <f t="shared" si="2"/>
        <v>10</v>
      </c>
      <c r="G1740" s="15">
        <f t="shared" si="3"/>
        <v>9</v>
      </c>
    </row>
    <row r="1741">
      <c r="A1741" s="10" t="s">
        <v>27</v>
      </c>
      <c r="B1741" s="9">
        <f t="shared" si="4"/>
        <v>45939</v>
      </c>
      <c r="C1741" s="77" t="s">
        <v>1572</v>
      </c>
      <c r="D1741" s="13">
        <f>D1738+D1739-D1740</f>
        <v>23240.999</v>
      </c>
      <c r="E1741" s="15">
        <f t="shared" si="1"/>
        <v>2025</v>
      </c>
      <c r="F1741" s="15">
        <f t="shared" si="2"/>
        <v>10</v>
      </c>
      <c r="G1741" s="15">
        <f t="shared" si="3"/>
        <v>9</v>
      </c>
    </row>
    <row r="1742">
      <c r="A1742" s="10" t="s">
        <v>27</v>
      </c>
      <c r="B1742" s="9">
        <f t="shared" si="4"/>
        <v>45940</v>
      </c>
      <c r="C1742" s="77" t="s">
        <v>1569</v>
      </c>
      <c r="D1742" s="12">
        <f>D1741</f>
        <v>23240.999</v>
      </c>
      <c r="E1742" s="15">
        <f t="shared" si="1"/>
        <v>2025</v>
      </c>
      <c r="F1742" s="15">
        <f t="shared" si="2"/>
        <v>10</v>
      </c>
      <c r="G1742" s="15">
        <f t="shared" si="3"/>
        <v>10</v>
      </c>
    </row>
    <row r="1743">
      <c r="A1743" s="10" t="s">
        <v>27</v>
      </c>
      <c r="B1743" s="9">
        <f t="shared" si="4"/>
        <v>45940</v>
      </c>
      <c r="C1743" s="77" t="s">
        <v>1570</v>
      </c>
      <c r="D1743" s="13">
        <f>SUMIFS('Lançamentos de receitas'!$E:$E,'Lançamentos de receitas'!$A:$A,B1743,'Lançamentos de receitas'!$C:$C,A1743,'Lançamentos de receitas'!$F:$F,"TRANSFERÊNCIA")</f>
        <v>568.44</v>
      </c>
      <c r="E1743" s="15">
        <f t="shared" si="1"/>
        <v>2025</v>
      </c>
      <c r="F1743" s="15">
        <f t="shared" si="2"/>
        <v>10</v>
      </c>
      <c r="G1743" s="15">
        <f t="shared" si="3"/>
        <v>10</v>
      </c>
    </row>
    <row r="1744">
      <c r="A1744" s="10" t="s">
        <v>27</v>
      </c>
      <c r="B1744" s="9">
        <f t="shared" si="4"/>
        <v>45940</v>
      </c>
      <c r="C1744" s="77" t="s">
        <v>1571</v>
      </c>
      <c r="D1744" s="13">
        <f>SUMIFS('Lançamentos de despesas'!$K:$K,'Lançamentos de despesas'!$C:$C,B1744,'Lançamentos de despesas'!$G:$G,A1744,'Lançamentos de despesas'!$E:$E,"pago")</f>
        <v>2588.49</v>
      </c>
      <c r="E1744" s="15">
        <f t="shared" si="1"/>
        <v>2025</v>
      </c>
      <c r="F1744" s="15">
        <f t="shared" si="2"/>
        <v>10</v>
      </c>
      <c r="G1744" s="15">
        <f t="shared" si="3"/>
        <v>10</v>
      </c>
    </row>
    <row r="1745">
      <c r="A1745" s="10" t="s">
        <v>27</v>
      </c>
      <c r="B1745" s="9">
        <f t="shared" si="4"/>
        <v>45940</v>
      </c>
      <c r="C1745" s="77" t="s">
        <v>1572</v>
      </c>
      <c r="D1745" s="13">
        <f>D1742+D1743-D1744</f>
        <v>21220.949</v>
      </c>
      <c r="E1745" s="15">
        <f t="shared" si="1"/>
        <v>2025</v>
      </c>
      <c r="F1745" s="15">
        <f t="shared" si="2"/>
        <v>10</v>
      </c>
      <c r="G1745" s="15">
        <f t="shared" si="3"/>
        <v>10</v>
      </c>
    </row>
    <row r="1746">
      <c r="A1746" s="10" t="s">
        <v>27</v>
      </c>
      <c r="B1746" s="9">
        <f t="shared" si="4"/>
        <v>45941</v>
      </c>
      <c r="C1746" s="77" t="s">
        <v>1569</v>
      </c>
      <c r="D1746" s="12">
        <f>D1745</f>
        <v>21220.949</v>
      </c>
      <c r="E1746" s="15">
        <f t="shared" si="1"/>
        <v>2025</v>
      </c>
      <c r="F1746" s="15">
        <f t="shared" si="2"/>
        <v>10</v>
      </c>
      <c r="G1746" s="15">
        <f t="shared" si="3"/>
        <v>11</v>
      </c>
    </row>
    <row r="1747">
      <c r="A1747" s="10" t="s">
        <v>27</v>
      </c>
      <c r="B1747" s="9">
        <f t="shared" si="4"/>
        <v>45941</v>
      </c>
      <c r="C1747" s="77" t="s">
        <v>1570</v>
      </c>
      <c r="D1747" s="13">
        <f>SUMIFS('Lançamentos de receitas'!$E:$E,'Lançamentos de receitas'!$A:$A,B1747,'Lançamentos de receitas'!$C:$C,A1747,'Lançamentos de receitas'!$F:$F,"TRANSFERÊNCIA")</f>
        <v>694.83</v>
      </c>
      <c r="E1747" s="15">
        <f t="shared" si="1"/>
        <v>2025</v>
      </c>
      <c r="F1747" s="15">
        <f t="shared" si="2"/>
        <v>10</v>
      </c>
      <c r="G1747" s="15">
        <f t="shared" si="3"/>
        <v>11</v>
      </c>
    </row>
    <row r="1748">
      <c r="A1748" s="10" t="s">
        <v>27</v>
      </c>
      <c r="B1748" s="9">
        <f t="shared" si="4"/>
        <v>45941</v>
      </c>
      <c r="C1748" s="77" t="s">
        <v>1571</v>
      </c>
      <c r="D1748" s="13">
        <f>SUMIFS('Lançamentos de despesas'!$K:$K,'Lançamentos de despesas'!$C:$C,B1748,'Lançamentos de despesas'!$G:$G,A1748,'Lançamentos de despesas'!$E:$E,"pago")</f>
        <v>0</v>
      </c>
      <c r="E1748" s="15">
        <f t="shared" si="1"/>
        <v>2025</v>
      </c>
      <c r="F1748" s="15">
        <f t="shared" si="2"/>
        <v>10</v>
      </c>
      <c r="G1748" s="15">
        <f t="shared" si="3"/>
        <v>11</v>
      </c>
    </row>
    <row r="1749">
      <c r="A1749" s="10" t="s">
        <v>27</v>
      </c>
      <c r="B1749" s="9">
        <f t="shared" si="4"/>
        <v>45941</v>
      </c>
      <c r="C1749" s="77" t="s">
        <v>1572</v>
      </c>
      <c r="D1749" s="13">
        <f>D1746+D1747-D1748</f>
        <v>21915.779</v>
      </c>
      <c r="E1749" s="15">
        <f t="shared" si="1"/>
        <v>2025</v>
      </c>
      <c r="F1749" s="15">
        <f t="shared" si="2"/>
        <v>10</v>
      </c>
      <c r="G1749" s="15">
        <f t="shared" si="3"/>
        <v>11</v>
      </c>
    </row>
    <row r="1750">
      <c r="A1750" s="10" t="s">
        <v>27</v>
      </c>
      <c r="B1750" s="9">
        <f t="shared" si="4"/>
        <v>45942</v>
      </c>
      <c r="C1750" s="77" t="s">
        <v>1569</v>
      </c>
      <c r="D1750" s="12">
        <f>D1749</f>
        <v>21915.779</v>
      </c>
      <c r="E1750" s="15">
        <f t="shared" si="1"/>
        <v>2025</v>
      </c>
      <c r="F1750" s="15">
        <f t="shared" si="2"/>
        <v>10</v>
      </c>
      <c r="G1750" s="15">
        <f t="shared" si="3"/>
        <v>12</v>
      </c>
    </row>
    <row r="1751">
      <c r="A1751" s="10" t="s">
        <v>27</v>
      </c>
      <c r="B1751" s="9">
        <f t="shared" si="4"/>
        <v>45942</v>
      </c>
      <c r="C1751" s="77" t="s">
        <v>1570</v>
      </c>
      <c r="D1751" s="13">
        <f>SUMIFS('Lançamentos de receitas'!$E:$E,'Lançamentos de receitas'!$A:$A,B1751,'Lançamentos de receitas'!$C:$C,A1751,'Lançamentos de receitas'!$F:$F,"TRANSFERÊNCIA")</f>
        <v>0</v>
      </c>
      <c r="E1751" s="15">
        <f t="shared" si="1"/>
        <v>2025</v>
      </c>
      <c r="F1751" s="15">
        <f t="shared" si="2"/>
        <v>10</v>
      </c>
      <c r="G1751" s="15">
        <f t="shared" si="3"/>
        <v>12</v>
      </c>
    </row>
    <row r="1752">
      <c r="A1752" s="10" t="s">
        <v>27</v>
      </c>
      <c r="B1752" s="9">
        <f t="shared" si="4"/>
        <v>45942</v>
      </c>
      <c r="C1752" s="77" t="s">
        <v>1571</v>
      </c>
      <c r="D1752" s="13">
        <f>SUMIFS('Lançamentos de despesas'!$K:$K,'Lançamentos de despesas'!$C:$C,B1752,'Lançamentos de despesas'!$G:$G,A1752,'Lançamentos de despesas'!$E:$E,"pago")</f>
        <v>0</v>
      </c>
      <c r="E1752" s="15">
        <f t="shared" si="1"/>
        <v>2025</v>
      </c>
      <c r="F1752" s="15">
        <f t="shared" si="2"/>
        <v>10</v>
      </c>
      <c r="G1752" s="15">
        <f t="shared" si="3"/>
        <v>12</v>
      </c>
    </row>
    <row r="1753">
      <c r="A1753" s="10" t="s">
        <v>27</v>
      </c>
      <c r="B1753" s="9">
        <f t="shared" si="4"/>
        <v>45942</v>
      </c>
      <c r="C1753" s="77" t="s">
        <v>1572</v>
      </c>
      <c r="D1753" s="13">
        <f>D1750+D1751-D1752</f>
        <v>21915.779</v>
      </c>
      <c r="E1753" s="15">
        <f t="shared" si="1"/>
        <v>2025</v>
      </c>
      <c r="F1753" s="15">
        <f t="shared" si="2"/>
        <v>10</v>
      </c>
      <c r="G1753" s="15">
        <f t="shared" si="3"/>
        <v>12</v>
      </c>
    </row>
    <row r="1754">
      <c r="A1754" s="10" t="s">
        <v>27</v>
      </c>
      <c r="B1754" s="9">
        <f t="shared" si="4"/>
        <v>45943</v>
      </c>
      <c r="C1754" s="77" t="s">
        <v>1569</v>
      </c>
      <c r="D1754" s="12">
        <f>D1753</f>
        <v>21915.779</v>
      </c>
      <c r="E1754" s="15">
        <f t="shared" si="1"/>
        <v>2025</v>
      </c>
      <c r="F1754" s="15">
        <f t="shared" si="2"/>
        <v>10</v>
      </c>
      <c r="G1754" s="15">
        <f t="shared" si="3"/>
        <v>13</v>
      </c>
    </row>
    <row r="1755">
      <c r="A1755" s="10" t="s">
        <v>27</v>
      </c>
      <c r="B1755" s="9">
        <f t="shared" si="4"/>
        <v>45943</v>
      </c>
      <c r="C1755" s="77" t="s">
        <v>1570</v>
      </c>
      <c r="D1755" s="13">
        <f>SUMIFS('Lançamentos de receitas'!$E:$E,'Lançamentos de receitas'!$A:$A,B1755,'Lançamentos de receitas'!$C:$C,A1755,'Lançamentos de receitas'!$F:$F,"TRANSFERÊNCIA")</f>
        <v>688.78</v>
      </c>
      <c r="E1755" s="15">
        <f t="shared" si="1"/>
        <v>2025</v>
      </c>
      <c r="F1755" s="15">
        <f t="shared" si="2"/>
        <v>10</v>
      </c>
      <c r="G1755" s="15">
        <f t="shared" si="3"/>
        <v>13</v>
      </c>
    </row>
    <row r="1756">
      <c r="A1756" s="10" t="s">
        <v>27</v>
      </c>
      <c r="B1756" s="9">
        <f t="shared" si="4"/>
        <v>45943</v>
      </c>
      <c r="C1756" s="77" t="s">
        <v>1571</v>
      </c>
      <c r="D1756" s="13">
        <f>SUMIFS('Lançamentos de despesas'!$K:$K,'Lançamentos de despesas'!$C:$C,B1756,'Lançamentos de despesas'!$G:$G,A1756,'Lançamentos de despesas'!$E:$E,"pago")</f>
        <v>3401</v>
      </c>
      <c r="E1756" s="15">
        <f t="shared" si="1"/>
        <v>2025</v>
      </c>
      <c r="F1756" s="15">
        <f t="shared" si="2"/>
        <v>10</v>
      </c>
      <c r="G1756" s="15">
        <f t="shared" si="3"/>
        <v>13</v>
      </c>
    </row>
    <row r="1757">
      <c r="A1757" s="10" t="s">
        <v>27</v>
      </c>
      <c r="B1757" s="9">
        <f t="shared" si="4"/>
        <v>45943</v>
      </c>
      <c r="C1757" s="77" t="s">
        <v>1572</v>
      </c>
      <c r="D1757" s="13">
        <f>D1754+D1755-D1756</f>
        <v>19203.559</v>
      </c>
      <c r="E1757" s="15">
        <f t="shared" si="1"/>
        <v>2025</v>
      </c>
      <c r="F1757" s="15">
        <f t="shared" si="2"/>
        <v>10</v>
      </c>
      <c r="G1757" s="15">
        <f t="shared" si="3"/>
        <v>13</v>
      </c>
    </row>
    <row r="1758">
      <c r="A1758" s="10" t="s">
        <v>27</v>
      </c>
      <c r="B1758" s="9">
        <f t="shared" si="4"/>
        <v>45944</v>
      </c>
      <c r="C1758" s="77" t="s">
        <v>1569</v>
      </c>
      <c r="D1758" s="12">
        <f>D1757</f>
        <v>19203.559</v>
      </c>
      <c r="E1758" s="15">
        <f t="shared" si="1"/>
        <v>2025</v>
      </c>
      <c r="F1758" s="15">
        <f t="shared" si="2"/>
        <v>10</v>
      </c>
      <c r="G1758" s="15">
        <f t="shared" si="3"/>
        <v>14</v>
      </c>
    </row>
    <row r="1759">
      <c r="A1759" s="10" t="s">
        <v>27</v>
      </c>
      <c r="B1759" s="9">
        <f t="shared" si="4"/>
        <v>45944</v>
      </c>
      <c r="C1759" s="77" t="s">
        <v>1570</v>
      </c>
      <c r="D1759" s="13">
        <f>SUMIFS('Lançamentos de receitas'!$E:$E,'Lançamentos de receitas'!$A:$A,B1759,'Lançamentos de receitas'!$C:$C,A1759,'Lançamentos de receitas'!$F:$F,"TRANSFERÊNCIA")</f>
        <v>7116.87</v>
      </c>
      <c r="E1759" s="15">
        <f t="shared" si="1"/>
        <v>2025</v>
      </c>
      <c r="F1759" s="15">
        <f t="shared" si="2"/>
        <v>10</v>
      </c>
      <c r="G1759" s="15">
        <f t="shared" si="3"/>
        <v>14</v>
      </c>
    </row>
    <row r="1760">
      <c r="A1760" s="10" t="s">
        <v>27</v>
      </c>
      <c r="B1760" s="9">
        <f t="shared" si="4"/>
        <v>45944</v>
      </c>
      <c r="C1760" s="77" t="s">
        <v>1571</v>
      </c>
      <c r="D1760" s="13">
        <f>SUMIFS('Lançamentos de despesas'!$K:$K,'Lançamentos de despesas'!$C:$C,B1760,'Lançamentos de despesas'!$G:$G,A1760,'Lançamentos de despesas'!$E:$E,"pago")</f>
        <v>5228.08</v>
      </c>
      <c r="E1760" s="15">
        <f t="shared" si="1"/>
        <v>2025</v>
      </c>
      <c r="F1760" s="15">
        <f t="shared" si="2"/>
        <v>10</v>
      </c>
      <c r="G1760" s="15">
        <f t="shared" si="3"/>
        <v>14</v>
      </c>
    </row>
    <row r="1761">
      <c r="A1761" s="10" t="s">
        <v>27</v>
      </c>
      <c r="B1761" s="9">
        <f t="shared" si="4"/>
        <v>45944</v>
      </c>
      <c r="C1761" s="77" t="s">
        <v>1572</v>
      </c>
      <c r="D1761" s="13">
        <f>D1758+D1759-D1760</f>
        <v>21092.349</v>
      </c>
      <c r="E1761" s="15">
        <f t="shared" si="1"/>
        <v>2025</v>
      </c>
      <c r="F1761" s="15">
        <f t="shared" si="2"/>
        <v>10</v>
      </c>
      <c r="G1761" s="15">
        <f t="shared" si="3"/>
        <v>14</v>
      </c>
    </row>
    <row r="1762">
      <c r="A1762" s="10" t="s">
        <v>27</v>
      </c>
      <c r="B1762" s="9">
        <f t="shared" si="4"/>
        <v>45945</v>
      </c>
      <c r="C1762" s="77" t="s">
        <v>1569</v>
      </c>
      <c r="D1762" s="12">
        <f>D1761</f>
        <v>21092.349</v>
      </c>
      <c r="E1762" s="15">
        <f t="shared" si="1"/>
        <v>2025</v>
      </c>
      <c r="F1762" s="15">
        <f t="shared" si="2"/>
        <v>10</v>
      </c>
      <c r="G1762" s="15">
        <f t="shared" si="3"/>
        <v>15</v>
      </c>
    </row>
    <row r="1763">
      <c r="A1763" s="10" t="s">
        <v>27</v>
      </c>
      <c r="B1763" s="9">
        <f t="shared" si="4"/>
        <v>45945</v>
      </c>
      <c r="C1763" s="77" t="s">
        <v>1570</v>
      </c>
      <c r="D1763" s="13">
        <f>SUMIFS('Lançamentos de receitas'!$E:$E,'Lançamentos de receitas'!$A:$A,B1763,'Lançamentos de receitas'!$C:$C,A1763,'Lançamentos de receitas'!$F:$F,"TRANSFERÊNCIA")</f>
        <v>1959.95</v>
      </c>
      <c r="E1763" s="15">
        <f t="shared" si="1"/>
        <v>2025</v>
      </c>
      <c r="F1763" s="15">
        <f t="shared" si="2"/>
        <v>10</v>
      </c>
      <c r="G1763" s="15">
        <f t="shared" si="3"/>
        <v>15</v>
      </c>
    </row>
    <row r="1764">
      <c r="A1764" s="10" t="s">
        <v>27</v>
      </c>
      <c r="B1764" s="9">
        <f t="shared" si="4"/>
        <v>45945</v>
      </c>
      <c r="C1764" s="77" t="s">
        <v>1571</v>
      </c>
      <c r="D1764" s="13">
        <f>SUMIFS('Lançamentos de despesas'!$K:$K,'Lançamentos de despesas'!$C:$C,B1764,'Lançamentos de despesas'!$G:$G,A1764,'Lançamentos de despesas'!$E:$E,"pago")</f>
        <v>1668.51</v>
      </c>
      <c r="E1764" s="15">
        <f t="shared" si="1"/>
        <v>2025</v>
      </c>
      <c r="F1764" s="15">
        <f t="shared" si="2"/>
        <v>10</v>
      </c>
      <c r="G1764" s="15">
        <f t="shared" si="3"/>
        <v>15</v>
      </c>
    </row>
    <row r="1765">
      <c r="A1765" s="10" t="s">
        <v>27</v>
      </c>
      <c r="B1765" s="9">
        <f t="shared" si="4"/>
        <v>45945</v>
      </c>
      <c r="C1765" s="77" t="s">
        <v>1572</v>
      </c>
      <c r="D1765" s="13">
        <f>D1762+D1763-D1764</f>
        <v>21383.789</v>
      </c>
      <c r="E1765" s="15">
        <f t="shared" si="1"/>
        <v>2025</v>
      </c>
      <c r="F1765" s="15">
        <f t="shared" si="2"/>
        <v>10</v>
      </c>
      <c r="G1765" s="15">
        <f t="shared" si="3"/>
        <v>15</v>
      </c>
    </row>
    <row r="1766">
      <c r="A1766" s="10" t="s">
        <v>27</v>
      </c>
      <c r="B1766" s="9">
        <f t="shared" si="4"/>
        <v>45946</v>
      </c>
      <c r="C1766" s="77" t="s">
        <v>1569</v>
      </c>
      <c r="D1766" s="12">
        <f>D1765</f>
        <v>21383.789</v>
      </c>
      <c r="E1766" s="15">
        <f t="shared" si="1"/>
        <v>2025</v>
      </c>
      <c r="F1766" s="15">
        <f t="shared" si="2"/>
        <v>10</v>
      </c>
      <c r="G1766" s="15">
        <f t="shared" si="3"/>
        <v>16</v>
      </c>
    </row>
    <row r="1767">
      <c r="A1767" s="10" t="s">
        <v>27</v>
      </c>
      <c r="B1767" s="9">
        <f t="shared" si="4"/>
        <v>45946</v>
      </c>
      <c r="C1767" s="77" t="s">
        <v>1570</v>
      </c>
      <c r="D1767" s="13">
        <f>SUMIFS('Lançamentos de receitas'!$E:$E,'Lançamentos de receitas'!$A:$A,B1767,'Lançamentos de receitas'!$C:$C,A1767,'Lançamentos de receitas'!$F:$F,"TRANSFERÊNCIA")</f>
        <v>6431.18</v>
      </c>
      <c r="E1767" s="15">
        <f t="shared" si="1"/>
        <v>2025</v>
      </c>
      <c r="F1767" s="15">
        <f t="shared" si="2"/>
        <v>10</v>
      </c>
      <c r="G1767" s="15">
        <f t="shared" si="3"/>
        <v>16</v>
      </c>
    </row>
    <row r="1768">
      <c r="A1768" s="10" t="s">
        <v>27</v>
      </c>
      <c r="B1768" s="9">
        <f t="shared" si="4"/>
        <v>45946</v>
      </c>
      <c r="C1768" s="77" t="s">
        <v>1571</v>
      </c>
      <c r="D1768" s="13">
        <f>SUMIFS('Lançamentos de despesas'!$K:$K,'Lançamentos de despesas'!$C:$C,B1768,'Lançamentos de despesas'!$G:$G,A1768,'Lançamentos de despesas'!$E:$E,"pago")</f>
        <v>0</v>
      </c>
      <c r="E1768" s="15">
        <f t="shared" si="1"/>
        <v>2025</v>
      </c>
      <c r="F1768" s="15">
        <f t="shared" si="2"/>
        <v>10</v>
      </c>
      <c r="G1768" s="15">
        <f t="shared" si="3"/>
        <v>16</v>
      </c>
    </row>
    <row r="1769">
      <c r="A1769" s="10" t="s">
        <v>27</v>
      </c>
      <c r="B1769" s="9">
        <f t="shared" si="4"/>
        <v>45946</v>
      </c>
      <c r="C1769" s="77" t="s">
        <v>1572</v>
      </c>
      <c r="D1769" s="13">
        <f>D1766+D1767-D1768</f>
        <v>27814.969</v>
      </c>
      <c r="E1769" s="15">
        <f t="shared" si="1"/>
        <v>2025</v>
      </c>
      <c r="F1769" s="15">
        <f t="shared" si="2"/>
        <v>10</v>
      </c>
      <c r="G1769" s="15">
        <f t="shared" si="3"/>
        <v>16</v>
      </c>
    </row>
    <row r="1770">
      <c r="A1770" s="10" t="s">
        <v>27</v>
      </c>
      <c r="B1770" s="9">
        <f t="shared" si="4"/>
        <v>45947</v>
      </c>
      <c r="C1770" s="77" t="s">
        <v>1569</v>
      </c>
      <c r="D1770" s="12">
        <f>D1769</f>
        <v>27814.969</v>
      </c>
      <c r="E1770" s="15">
        <f t="shared" si="1"/>
        <v>2025</v>
      </c>
      <c r="F1770" s="15">
        <f t="shared" si="2"/>
        <v>10</v>
      </c>
      <c r="G1770" s="15">
        <f t="shared" si="3"/>
        <v>17</v>
      </c>
    </row>
    <row r="1771">
      <c r="A1771" s="10" t="s">
        <v>27</v>
      </c>
      <c r="B1771" s="9">
        <f t="shared" si="4"/>
        <v>45947</v>
      </c>
      <c r="C1771" s="77" t="s">
        <v>1570</v>
      </c>
      <c r="D1771" s="13">
        <f>SUMIFS('Lançamentos de receitas'!$E:$E,'Lançamentos de receitas'!$A:$A,B1771,'Lançamentos de receitas'!$C:$C,A1771,'Lançamentos de receitas'!$F:$F,"TRANSFERÊNCIA")</f>
        <v>679.43</v>
      </c>
      <c r="E1771" s="15">
        <f t="shared" si="1"/>
        <v>2025</v>
      </c>
      <c r="F1771" s="15">
        <f t="shared" si="2"/>
        <v>10</v>
      </c>
      <c r="G1771" s="15">
        <f t="shared" si="3"/>
        <v>17</v>
      </c>
    </row>
    <row r="1772">
      <c r="A1772" s="10" t="s">
        <v>27</v>
      </c>
      <c r="B1772" s="9">
        <f t="shared" si="4"/>
        <v>45947</v>
      </c>
      <c r="C1772" s="77" t="s">
        <v>1571</v>
      </c>
      <c r="D1772" s="13">
        <f>SUMIFS('Lançamentos de despesas'!$K:$K,'Lançamentos de despesas'!$C:$C,B1772,'Lançamentos de despesas'!$G:$G,A1772,'Lançamentos de despesas'!$E:$E,"pago")</f>
        <v>0</v>
      </c>
      <c r="E1772" s="15">
        <f t="shared" si="1"/>
        <v>2025</v>
      </c>
      <c r="F1772" s="15">
        <f t="shared" si="2"/>
        <v>10</v>
      </c>
      <c r="G1772" s="15">
        <f t="shared" si="3"/>
        <v>17</v>
      </c>
    </row>
    <row r="1773">
      <c r="A1773" s="10" t="s">
        <v>27</v>
      </c>
      <c r="B1773" s="9">
        <f t="shared" si="4"/>
        <v>45947</v>
      </c>
      <c r="C1773" s="77" t="s">
        <v>1572</v>
      </c>
      <c r="D1773" s="13">
        <f>D1770+D1771-D1772</f>
        <v>28494.399</v>
      </c>
      <c r="E1773" s="15">
        <f t="shared" si="1"/>
        <v>2025</v>
      </c>
      <c r="F1773" s="15">
        <f t="shared" si="2"/>
        <v>10</v>
      </c>
      <c r="G1773" s="15">
        <f t="shared" si="3"/>
        <v>17</v>
      </c>
    </row>
    <row r="1774">
      <c r="A1774" s="10" t="s">
        <v>27</v>
      </c>
      <c r="B1774" s="9">
        <f t="shared" si="4"/>
        <v>45948</v>
      </c>
      <c r="C1774" s="77" t="s">
        <v>1569</v>
      </c>
      <c r="D1774" s="12">
        <f>D1773</f>
        <v>28494.399</v>
      </c>
      <c r="E1774" s="15">
        <f t="shared" si="1"/>
        <v>2025</v>
      </c>
      <c r="F1774" s="15">
        <f t="shared" si="2"/>
        <v>10</v>
      </c>
      <c r="G1774" s="15">
        <f t="shared" si="3"/>
        <v>18</v>
      </c>
    </row>
    <row r="1775">
      <c r="A1775" s="10" t="s">
        <v>27</v>
      </c>
      <c r="B1775" s="9">
        <f t="shared" si="4"/>
        <v>45948</v>
      </c>
      <c r="C1775" s="77" t="s">
        <v>1570</v>
      </c>
      <c r="D1775" s="13">
        <f>SUMIFS('Lançamentos de receitas'!$E:$E,'Lançamentos de receitas'!$A:$A,B1775,'Lançamentos de receitas'!$C:$C,A1775,'Lançamentos de receitas'!$F:$F,"TRANSFERÊNCIA")</f>
        <v>376.62</v>
      </c>
      <c r="E1775" s="15">
        <f t="shared" si="1"/>
        <v>2025</v>
      </c>
      <c r="F1775" s="15">
        <f t="shared" si="2"/>
        <v>10</v>
      </c>
      <c r="G1775" s="15">
        <f t="shared" si="3"/>
        <v>18</v>
      </c>
    </row>
    <row r="1776">
      <c r="A1776" s="10" t="s">
        <v>27</v>
      </c>
      <c r="B1776" s="9">
        <f t="shared" si="4"/>
        <v>45948</v>
      </c>
      <c r="C1776" s="77" t="s">
        <v>1571</v>
      </c>
      <c r="D1776" s="13">
        <f>SUMIFS('Lançamentos de despesas'!$K:$K,'Lançamentos de despesas'!$C:$C,B1776,'Lançamentos de despesas'!$G:$G,A1776,'Lançamentos de despesas'!$E:$E,"pago")</f>
        <v>0</v>
      </c>
      <c r="E1776" s="15">
        <f t="shared" si="1"/>
        <v>2025</v>
      </c>
      <c r="F1776" s="15">
        <f t="shared" si="2"/>
        <v>10</v>
      </c>
      <c r="G1776" s="15">
        <f t="shared" si="3"/>
        <v>18</v>
      </c>
    </row>
    <row r="1777">
      <c r="A1777" s="10" t="s">
        <v>27</v>
      </c>
      <c r="B1777" s="9">
        <f t="shared" si="4"/>
        <v>45948</v>
      </c>
      <c r="C1777" s="77" t="s">
        <v>1572</v>
      </c>
      <c r="D1777" s="13">
        <f>D1774+D1775-D1776</f>
        <v>28871.019</v>
      </c>
      <c r="E1777" s="15">
        <f t="shared" si="1"/>
        <v>2025</v>
      </c>
      <c r="F1777" s="15">
        <f t="shared" si="2"/>
        <v>10</v>
      </c>
      <c r="G1777" s="15">
        <f t="shared" si="3"/>
        <v>18</v>
      </c>
    </row>
    <row r="1778">
      <c r="A1778" s="10" t="s">
        <v>27</v>
      </c>
      <c r="B1778" s="9">
        <f t="shared" si="4"/>
        <v>45949</v>
      </c>
      <c r="C1778" s="77" t="s">
        <v>1569</v>
      </c>
      <c r="D1778" s="12">
        <f>D1777</f>
        <v>28871.019</v>
      </c>
      <c r="E1778" s="15">
        <f t="shared" si="1"/>
        <v>2025</v>
      </c>
      <c r="F1778" s="15">
        <f t="shared" si="2"/>
        <v>10</v>
      </c>
      <c r="G1778" s="15">
        <f t="shared" si="3"/>
        <v>19</v>
      </c>
    </row>
    <row r="1779">
      <c r="A1779" s="10" t="s">
        <v>27</v>
      </c>
      <c r="B1779" s="9">
        <f t="shared" si="4"/>
        <v>45949</v>
      </c>
      <c r="C1779" s="77" t="s">
        <v>1570</v>
      </c>
      <c r="D1779" s="13">
        <f>SUMIFS('Lançamentos de receitas'!$E:$E,'Lançamentos de receitas'!$A:$A,B1779,'Lançamentos de receitas'!$C:$C,A1779,'Lançamentos de receitas'!$F:$F,"TRANSFERÊNCIA")</f>
        <v>435.68</v>
      </c>
      <c r="E1779" s="15">
        <f t="shared" si="1"/>
        <v>2025</v>
      </c>
      <c r="F1779" s="15">
        <f t="shared" si="2"/>
        <v>10</v>
      </c>
      <c r="G1779" s="15">
        <f t="shared" si="3"/>
        <v>19</v>
      </c>
    </row>
    <row r="1780">
      <c r="A1780" s="10" t="s">
        <v>27</v>
      </c>
      <c r="B1780" s="9">
        <f t="shared" si="4"/>
        <v>45949</v>
      </c>
      <c r="C1780" s="77" t="s">
        <v>1571</v>
      </c>
      <c r="D1780" s="13">
        <f>SUMIFS('Lançamentos de despesas'!$K:$K,'Lançamentos de despesas'!$C:$C,B1780,'Lançamentos de despesas'!$G:$G,A1780,'Lançamentos de despesas'!$E:$E,"pago")</f>
        <v>0</v>
      </c>
      <c r="E1780" s="15">
        <f t="shared" si="1"/>
        <v>2025</v>
      </c>
      <c r="F1780" s="15">
        <f t="shared" si="2"/>
        <v>10</v>
      </c>
      <c r="G1780" s="15">
        <f t="shared" si="3"/>
        <v>19</v>
      </c>
    </row>
    <row r="1781">
      <c r="A1781" s="10" t="s">
        <v>27</v>
      </c>
      <c r="B1781" s="9">
        <f t="shared" si="4"/>
        <v>45949</v>
      </c>
      <c r="C1781" s="77" t="s">
        <v>1572</v>
      </c>
      <c r="D1781" s="13">
        <f>D1778+D1779-D1780</f>
        <v>29306.699</v>
      </c>
      <c r="E1781" s="15">
        <f t="shared" si="1"/>
        <v>2025</v>
      </c>
      <c r="F1781" s="15">
        <f t="shared" si="2"/>
        <v>10</v>
      </c>
      <c r="G1781" s="15">
        <f t="shared" si="3"/>
        <v>19</v>
      </c>
    </row>
    <row r="1782">
      <c r="A1782" s="10" t="s">
        <v>27</v>
      </c>
      <c r="B1782" s="9">
        <f t="shared" si="4"/>
        <v>45950</v>
      </c>
      <c r="C1782" s="77" t="s">
        <v>1569</v>
      </c>
      <c r="D1782" s="12">
        <f>D1781</f>
        <v>29306.699</v>
      </c>
      <c r="E1782" s="15">
        <f t="shared" si="1"/>
        <v>2025</v>
      </c>
      <c r="F1782" s="15">
        <f t="shared" si="2"/>
        <v>10</v>
      </c>
      <c r="G1782" s="15">
        <f t="shared" si="3"/>
        <v>20</v>
      </c>
    </row>
    <row r="1783">
      <c r="A1783" s="10" t="s">
        <v>27</v>
      </c>
      <c r="B1783" s="9">
        <f t="shared" si="4"/>
        <v>45950</v>
      </c>
      <c r="C1783" s="77" t="s">
        <v>1570</v>
      </c>
      <c r="D1783" s="13">
        <f>SUMIFS('Lançamentos de receitas'!$E:$E,'Lançamentos de receitas'!$A:$A,B1783,'Lançamentos de receitas'!$C:$C,A1783,'Lançamentos de receitas'!$F:$F,"TRANSFERÊNCIA")</f>
        <v>1574.77</v>
      </c>
      <c r="E1783" s="15">
        <f t="shared" si="1"/>
        <v>2025</v>
      </c>
      <c r="F1783" s="15">
        <f t="shared" si="2"/>
        <v>10</v>
      </c>
      <c r="G1783" s="15">
        <f t="shared" si="3"/>
        <v>20</v>
      </c>
    </row>
    <row r="1784">
      <c r="A1784" s="10" t="s">
        <v>27</v>
      </c>
      <c r="B1784" s="9">
        <f t="shared" si="4"/>
        <v>45950</v>
      </c>
      <c r="C1784" s="77" t="s">
        <v>1571</v>
      </c>
      <c r="D1784" s="13">
        <f>SUMIFS('Lançamentos de despesas'!$K:$K,'Lançamentos de despesas'!$C:$C,B1784,'Lançamentos de despesas'!$G:$G,A1784,'Lançamentos de despesas'!$E:$E,"pago")</f>
        <v>21848.85</v>
      </c>
      <c r="E1784" s="15">
        <f t="shared" si="1"/>
        <v>2025</v>
      </c>
      <c r="F1784" s="15">
        <f t="shared" si="2"/>
        <v>10</v>
      </c>
      <c r="G1784" s="15">
        <f t="shared" si="3"/>
        <v>20</v>
      </c>
    </row>
    <row r="1785">
      <c r="A1785" s="10" t="s">
        <v>27</v>
      </c>
      <c r="B1785" s="9">
        <f t="shared" si="4"/>
        <v>45950</v>
      </c>
      <c r="C1785" s="77" t="s">
        <v>1572</v>
      </c>
      <c r="D1785" s="13">
        <f>D1782+D1783-D1784</f>
        <v>9032.619</v>
      </c>
      <c r="E1785" s="15">
        <f t="shared" si="1"/>
        <v>2025</v>
      </c>
      <c r="F1785" s="15">
        <f t="shared" si="2"/>
        <v>10</v>
      </c>
      <c r="G1785" s="15">
        <f t="shared" si="3"/>
        <v>20</v>
      </c>
    </row>
    <row r="1786">
      <c r="A1786" s="10" t="s">
        <v>27</v>
      </c>
      <c r="B1786" s="9">
        <f t="shared" si="4"/>
        <v>45951</v>
      </c>
      <c r="C1786" s="77" t="s">
        <v>1569</v>
      </c>
      <c r="D1786" s="12">
        <f>D1785</f>
        <v>9032.619</v>
      </c>
      <c r="E1786" s="15">
        <f t="shared" si="1"/>
        <v>2025</v>
      </c>
      <c r="F1786" s="15">
        <f t="shared" si="2"/>
        <v>10</v>
      </c>
      <c r="G1786" s="15">
        <f t="shared" si="3"/>
        <v>21</v>
      </c>
    </row>
    <row r="1787">
      <c r="A1787" s="10" t="s">
        <v>27</v>
      </c>
      <c r="B1787" s="9">
        <f t="shared" si="4"/>
        <v>45951</v>
      </c>
      <c r="C1787" s="77" t="s">
        <v>1570</v>
      </c>
      <c r="D1787" s="13">
        <f>SUMIFS('Lançamentos de receitas'!$E:$E,'Lançamentos de receitas'!$A:$A,B1787,'Lançamentos de receitas'!$C:$C,A1787,'Lançamentos de receitas'!$F:$F,"TRANSFERÊNCIA")</f>
        <v>423.06</v>
      </c>
      <c r="E1787" s="15">
        <f t="shared" si="1"/>
        <v>2025</v>
      </c>
      <c r="F1787" s="15">
        <f t="shared" si="2"/>
        <v>10</v>
      </c>
      <c r="G1787" s="15">
        <f t="shared" si="3"/>
        <v>21</v>
      </c>
    </row>
    <row r="1788">
      <c r="A1788" s="10" t="s">
        <v>27</v>
      </c>
      <c r="B1788" s="9">
        <f t="shared" si="4"/>
        <v>45951</v>
      </c>
      <c r="C1788" s="77" t="s">
        <v>1571</v>
      </c>
      <c r="D1788" s="13">
        <f>SUMIFS('Lançamentos de despesas'!$K:$K,'Lançamentos de despesas'!$C:$C,B1788,'Lançamentos de despesas'!$G:$G,A1788,'Lançamentos de despesas'!$E:$E,"pago")</f>
        <v>0</v>
      </c>
      <c r="E1788" s="15">
        <f t="shared" si="1"/>
        <v>2025</v>
      </c>
      <c r="F1788" s="15">
        <f t="shared" si="2"/>
        <v>10</v>
      </c>
      <c r="G1788" s="15">
        <f t="shared" si="3"/>
        <v>21</v>
      </c>
    </row>
    <row r="1789">
      <c r="A1789" s="10" t="s">
        <v>27</v>
      </c>
      <c r="B1789" s="9">
        <f t="shared" si="4"/>
        <v>45951</v>
      </c>
      <c r="C1789" s="77" t="s">
        <v>1572</v>
      </c>
      <c r="D1789" s="13">
        <f>D1786+D1787-D1788</f>
        <v>9455.679</v>
      </c>
      <c r="E1789" s="15">
        <f t="shared" si="1"/>
        <v>2025</v>
      </c>
      <c r="F1789" s="15">
        <f t="shared" si="2"/>
        <v>10</v>
      </c>
      <c r="G1789" s="15">
        <f t="shared" si="3"/>
        <v>21</v>
      </c>
    </row>
    <row r="1790">
      <c r="A1790" s="10" t="s">
        <v>27</v>
      </c>
      <c r="B1790" s="9">
        <f t="shared" si="4"/>
        <v>45952</v>
      </c>
      <c r="C1790" s="77" t="s">
        <v>1569</v>
      </c>
      <c r="D1790" s="12">
        <f>D1789</f>
        <v>9455.679</v>
      </c>
      <c r="E1790" s="15">
        <f t="shared" si="1"/>
        <v>2025</v>
      </c>
      <c r="F1790" s="15">
        <f t="shared" si="2"/>
        <v>10</v>
      </c>
      <c r="G1790" s="15">
        <f t="shared" si="3"/>
        <v>22</v>
      </c>
    </row>
    <row r="1791">
      <c r="A1791" s="10" t="s">
        <v>27</v>
      </c>
      <c r="B1791" s="9">
        <f t="shared" si="4"/>
        <v>45952</v>
      </c>
      <c r="C1791" s="77" t="s">
        <v>1570</v>
      </c>
      <c r="D1791" s="13">
        <f>SUMIFS('Lançamentos de receitas'!$E:$E,'Lançamentos de receitas'!$A:$A,B1791,'Lançamentos de receitas'!$C:$C,A1791,'Lançamentos de receitas'!$F:$F,"TRANSFERÊNCIA")</f>
        <v>1020.23</v>
      </c>
      <c r="E1791" s="15">
        <f t="shared" si="1"/>
        <v>2025</v>
      </c>
      <c r="F1791" s="15">
        <f t="shared" si="2"/>
        <v>10</v>
      </c>
      <c r="G1791" s="15">
        <f t="shared" si="3"/>
        <v>22</v>
      </c>
    </row>
    <row r="1792">
      <c r="A1792" s="10" t="s">
        <v>27</v>
      </c>
      <c r="B1792" s="9">
        <f t="shared" si="4"/>
        <v>45952</v>
      </c>
      <c r="C1792" s="77" t="s">
        <v>1571</v>
      </c>
      <c r="D1792" s="13">
        <f>SUMIFS('Lançamentos de despesas'!$K:$K,'Lançamentos de despesas'!$C:$C,B1792,'Lançamentos de despesas'!$G:$G,A1792,'Lançamentos de despesas'!$E:$E,"pago")</f>
        <v>0</v>
      </c>
      <c r="E1792" s="15">
        <f t="shared" si="1"/>
        <v>2025</v>
      </c>
      <c r="F1792" s="15">
        <f t="shared" si="2"/>
        <v>10</v>
      </c>
      <c r="G1792" s="15">
        <f t="shared" si="3"/>
        <v>22</v>
      </c>
    </row>
    <row r="1793">
      <c r="A1793" s="10" t="s">
        <v>27</v>
      </c>
      <c r="B1793" s="9">
        <f t="shared" si="4"/>
        <v>45952</v>
      </c>
      <c r="C1793" s="77" t="s">
        <v>1572</v>
      </c>
      <c r="D1793" s="13">
        <f>D1790+D1791-D1792</f>
        <v>10475.909</v>
      </c>
      <c r="E1793" s="15">
        <f t="shared" si="1"/>
        <v>2025</v>
      </c>
      <c r="F1793" s="15">
        <f t="shared" si="2"/>
        <v>10</v>
      </c>
      <c r="G1793" s="15">
        <f t="shared" si="3"/>
        <v>22</v>
      </c>
    </row>
    <row r="1794">
      <c r="A1794" s="10" t="s">
        <v>27</v>
      </c>
      <c r="B1794" s="9">
        <f t="shared" si="4"/>
        <v>45953</v>
      </c>
      <c r="C1794" s="77" t="s">
        <v>1569</v>
      </c>
      <c r="D1794" s="12">
        <f>D1793</f>
        <v>10475.909</v>
      </c>
      <c r="E1794" s="15">
        <f t="shared" si="1"/>
        <v>2025</v>
      </c>
      <c r="F1794" s="15">
        <f t="shared" si="2"/>
        <v>10</v>
      </c>
      <c r="G1794" s="15">
        <f t="shared" si="3"/>
        <v>23</v>
      </c>
    </row>
    <row r="1795">
      <c r="A1795" s="10" t="s">
        <v>27</v>
      </c>
      <c r="B1795" s="9">
        <f t="shared" si="4"/>
        <v>45953</v>
      </c>
      <c r="C1795" s="77" t="s">
        <v>1570</v>
      </c>
      <c r="D1795" s="13">
        <f>SUMIFS('Lançamentos de receitas'!$E:$E,'Lançamentos de receitas'!$A:$A,B1795,'Lançamentos de receitas'!$C:$C,A1795,'Lançamentos de receitas'!$F:$F,"TRANSFERÊNCIA")</f>
        <v>483.18</v>
      </c>
      <c r="E1795" s="15">
        <f t="shared" si="1"/>
        <v>2025</v>
      </c>
      <c r="F1795" s="15">
        <f t="shared" si="2"/>
        <v>10</v>
      </c>
      <c r="G1795" s="15">
        <f t="shared" si="3"/>
        <v>23</v>
      </c>
    </row>
    <row r="1796">
      <c r="A1796" s="10" t="s">
        <v>27</v>
      </c>
      <c r="B1796" s="9">
        <f t="shared" si="4"/>
        <v>45953</v>
      </c>
      <c r="C1796" s="77" t="s">
        <v>1571</v>
      </c>
      <c r="D1796" s="13">
        <f>SUMIFS('Lançamentos de despesas'!$K:$K,'Lançamentos de despesas'!$C:$C,B1796,'Lançamentos de despesas'!$G:$G,A1796,'Lançamentos de despesas'!$E:$E,"pago")</f>
        <v>1901</v>
      </c>
      <c r="E1796" s="15">
        <f t="shared" si="1"/>
        <v>2025</v>
      </c>
      <c r="F1796" s="15">
        <f t="shared" si="2"/>
        <v>10</v>
      </c>
      <c r="G1796" s="15">
        <f t="shared" si="3"/>
        <v>23</v>
      </c>
    </row>
    <row r="1797">
      <c r="A1797" s="10" t="s">
        <v>27</v>
      </c>
      <c r="B1797" s="9">
        <f t="shared" si="4"/>
        <v>45953</v>
      </c>
      <c r="C1797" s="77" t="s">
        <v>1572</v>
      </c>
      <c r="D1797" s="13">
        <f>D1794+D1795-D1796</f>
        <v>9058.089</v>
      </c>
      <c r="E1797" s="15">
        <f t="shared" si="1"/>
        <v>2025</v>
      </c>
      <c r="F1797" s="15">
        <f t="shared" si="2"/>
        <v>10</v>
      </c>
      <c r="G1797" s="15">
        <f t="shared" si="3"/>
        <v>23</v>
      </c>
    </row>
    <row r="1798">
      <c r="A1798" s="10" t="s">
        <v>27</v>
      </c>
      <c r="B1798" s="9">
        <f t="shared" si="4"/>
        <v>45954</v>
      </c>
      <c r="C1798" s="77" t="s">
        <v>1569</v>
      </c>
      <c r="D1798" s="12">
        <f>D1797</f>
        <v>9058.089</v>
      </c>
      <c r="E1798" s="15">
        <f t="shared" si="1"/>
        <v>2025</v>
      </c>
      <c r="F1798" s="15">
        <f t="shared" si="2"/>
        <v>10</v>
      </c>
      <c r="G1798" s="15">
        <f t="shared" si="3"/>
        <v>24</v>
      </c>
    </row>
    <row r="1799">
      <c r="A1799" s="10" t="s">
        <v>27</v>
      </c>
      <c r="B1799" s="9">
        <f t="shared" si="4"/>
        <v>45954</v>
      </c>
      <c r="C1799" s="77" t="s">
        <v>1570</v>
      </c>
      <c r="D1799" s="13">
        <f>SUMIFS('Lançamentos de receitas'!$E:$E,'Lançamentos de receitas'!$A:$A,B1799,'Lançamentos de receitas'!$C:$C,A1799,'Lançamentos de receitas'!$F:$F,"TRANSFERÊNCIA")</f>
        <v>2642.55</v>
      </c>
      <c r="E1799" s="15">
        <f t="shared" si="1"/>
        <v>2025</v>
      </c>
      <c r="F1799" s="15">
        <f t="shared" si="2"/>
        <v>10</v>
      </c>
      <c r="G1799" s="15">
        <f t="shared" si="3"/>
        <v>24</v>
      </c>
    </row>
    <row r="1800">
      <c r="A1800" s="10" t="s">
        <v>27</v>
      </c>
      <c r="B1800" s="9">
        <f t="shared" si="4"/>
        <v>45954</v>
      </c>
      <c r="C1800" s="77" t="s">
        <v>1571</v>
      </c>
      <c r="D1800" s="13">
        <f>SUMIFS('Lançamentos de despesas'!$K:$K,'Lançamentos de despesas'!$C:$C,B1800,'Lançamentos de despesas'!$G:$G,A1800,'Lançamentos de despesas'!$E:$E,"pago")</f>
        <v>142.68</v>
      </c>
      <c r="E1800" s="15">
        <f t="shared" si="1"/>
        <v>2025</v>
      </c>
      <c r="F1800" s="15">
        <f t="shared" si="2"/>
        <v>10</v>
      </c>
      <c r="G1800" s="15">
        <f t="shared" si="3"/>
        <v>24</v>
      </c>
    </row>
    <row r="1801">
      <c r="A1801" s="10" t="s">
        <v>27</v>
      </c>
      <c r="B1801" s="9">
        <f t="shared" si="4"/>
        <v>45954</v>
      </c>
      <c r="C1801" s="77" t="s">
        <v>1572</v>
      </c>
      <c r="D1801" s="13">
        <f>D1798+D1799-D1800</f>
        <v>11557.959</v>
      </c>
      <c r="E1801" s="15">
        <f t="shared" si="1"/>
        <v>2025</v>
      </c>
      <c r="F1801" s="15">
        <f t="shared" si="2"/>
        <v>10</v>
      </c>
      <c r="G1801" s="15">
        <f t="shared" si="3"/>
        <v>24</v>
      </c>
    </row>
    <row r="1802">
      <c r="A1802" s="10" t="s">
        <v>27</v>
      </c>
      <c r="B1802" s="9">
        <f t="shared" si="4"/>
        <v>45955</v>
      </c>
      <c r="C1802" s="77" t="s">
        <v>1569</v>
      </c>
      <c r="D1802" s="12">
        <f>D1801</f>
        <v>11557.959</v>
      </c>
      <c r="E1802" s="15">
        <f t="shared" si="1"/>
        <v>2025</v>
      </c>
      <c r="F1802" s="15">
        <f t="shared" si="2"/>
        <v>10</v>
      </c>
      <c r="G1802" s="15">
        <f t="shared" si="3"/>
        <v>25</v>
      </c>
    </row>
    <row r="1803">
      <c r="A1803" s="10" t="s">
        <v>27</v>
      </c>
      <c r="B1803" s="9">
        <f t="shared" si="4"/>
        <v>45955</v>
      </c>
      <c r="C1803" s="77" t="s">
        <v>1570</v>
      </c>
      <c r="D1803" s="13">
        <f>SUMIFS('Lançamentos de receitas'!$E:$E,'Lançamentos de receitas'!$A:$A,B1803,'Lançamentos de receitas'!$C:$C,A1803,'Lançamentos de receitas'!$F:$F,"TRANSFERÊNCIA")</f>
        <v>1826.59</v>
      </c>
      <c r="E1803" s="15">
        <f t="shared" si="1"/>
        <v>2025</v>
      </c>
      <c r="F1803" s="15">
        <f t="shared" si="2"/>
        <v>10</v>
      </c>
      <c r="G1803" s="15">
        <f t="shared" si="3"/>
        <v>25</v>
      </c>
    </row>
    <row r="1804">
      <c r="A1804" s="10" t="s">
        <v>27</v>
      </c>
      <c r="B1804" s="9">
        <f t="shared" si="4"/>
        <v>45955</v>
      </c>
      <c r="C1804" s="77" t="s">
        <v>1571</v>
      </c>
      <c r="D1804" s="13">
        <f>SUMIFS('Lançamentos de despesas'!$K:$K,'Lançamentos de despesas'!$C:$C,B1804,'Lançamentos de despesas'!$G:$G,A1804,'Lançamentos de despesas'!$E:$E,"pago")</f>
        <v>0</v>
      </c>
      <c r="E1804" s="15">
        <f t="shared" si="1"/>
        <v>2025</v>
      </c>
      <c r="F1804" s="15">
        <f t="shared" si="2"/>
        <v>10</v>
      </c>
      <c r="G1804" s="15">
        <f t="shared" si="3"/>
        <v>25</v>
      </c>
    </row>
    <row r="1805">
      <c r="A1805" s="10" t="s">
        <v>27</v>
      </c>
      <c r="B1805" s="9">
        <f t="shared" si="4"/>
        <v>45955</v>
      </c>
      <c r="C1805" s="77" t="s">
        <v>1572</v>
      </c>
      <c r="D1805" s="13">
        <f>D1802+D1803-D1804</f>
        <v>13384.549</v>
      </c>
      <c r="E1805" s="15">
        <f t="shared" si="1"/>
        <v>2025</v>
      </c>
      <c r="F1805" s="15">
        <f t="shared" si="2"/>
        <v>10</v>
      </c>
      <c r="G1805" s="15">
        <f t="shared" si="3"/>
        <v>25</v>
      </c>
    </row>
    <row r="1806">
      <c r="A1806" s="10" t="s">
        <v>27</v>
      </c>
      <c r="B1806" s="9">
        <f t="shared" si="4"/>
        <v>45956</v>
      </c>
      <c r="C1806" s="77" t="s">
        <v>1569</v>
      </c>
      <c r="D1806" s="12">
        <f>D1805</f>
        <v>13384.549</v>
      </c>
      <c r="E1806" s="15">
        <f t="shared" si="1"/>
        <v>2025</v>
      </c>
      <c r="F1806" s="15">
        <f t="shared" si="2"/>
        <v>10</v>
      </c>
      <c r="G1806" s="15">
        <f t="shared" si="3"/>
        <v>26</v>
      </c>
    </row>
    <row r="1807">
      <c r="A1807" s="10" t="s">
        <v>27</v>
      </c>
      <c r="B1807" s="9">
        <f t="shared" si="4"/>
        <v>45956</v>
      </c>
      <c r="C1807" s="77" t="s">
        <v>1570</v>
      </c>
      <c r="D1807" s="13">
        <f>SUMIFS('Lançamentos de receitas'!$E:$E,'Lançamentos de receitas'!$A:$A,B1807,'Lançamentos de receitas'!$C:$C,A1807,'Lançamentos de receitas'!$F:$F,"TRANSFERÊNCIA")</f>
        <v>1475.32</v>
      </c>
      <c r="E1807" s="15">
        <f t="shared" si="1"/>
        <v>2025</v>
      </c>
      <c r="F1807" s="15">
        <f t="shared" si="2"/>
        <v>10</v>
      </c>
      <c r="G1807" s="15">
        <f t="shared" si="3"/>
        <v>26</v>
      </c>
    </row>
    <row r="1808">
      <c r="A1808" s="10" t="s">
        <v>27</v>
      </c>
      <c r="B1808" s="9">
        <f t="shared" si="4"/>
        <v>45956</v>
      </c>
      <c r="C1808" s="77" t="s">
        <v>1571</v>
      </c>
      <c r="D1808" s="13">
        <f>SUMIFS('Lançamentos de despesas'!$K:$K,'Lançamentos de despesas'!$C:$C,B1808,'Lançamentos de despesas'!$G:$G,A1808,'Lançamentos de despesas'!$E:$E,"pago")</f>
        <v>0</v>
      </c>
      <c r="E1808" s="15">
        <f t="shared" si="1"/>
        <v>2025</v>
      </c>
      <c r="F1808" s="15">
        <f t="shared" si="2"/>
        <v>10</v>
      </c>
      <c r="G1808" s="15">
        <f t="shared" si="3"/>
        <v>26</v>
      </c>
    </row>
    <row r="1809">
      <c r="A1809" s="10" t="s">
        <v>27</v>
      </c>
      <c r="B1809" s="9">
        <f t="shared" si="4"/>
        <v>45956</v>
      </c>
      <c r="C1809" s="77" t="s">
        <v>1572</v>
      </c>
      <c r="D1809" s="13">
        <f>D1806+D1807-D1808</f>
        <v>14859.869</v>
      </c>
      <c r="E1809" s="15">
        <f t="shared" si="1"/>
        <v>2025</v>
      </c>
      <c r="F1809" s="15">
        <f t="shared" si="2"/>
        <v>10</v>
      </c>
      <c r="G1809" s="15">
        <f t="shared" si="3"/>
        <v>26</v>
      </c>
    </row>
    <row r="1810">
      <c r="A1810" s="10" t="s">
        <v>27</v>
      </c>
      <c r="B1810" s="9">
        <f t="shared" si="4"/>
        <v>45957</v>
      </c>
      <c r="C1810" s="77" t="s">
        <v>1569</v>
      </c>
      <c r="D1810" s="12">
        <f>D1809</f>
        <v>14859.869</v>
      </c>
      <c r="E1810" s="15">
        <f t="shared" si="1"/>
        <v>2025</v>
      </c>
      <c r="F1810" s="15">
        <f t="shared" si="2"/>
        <v>10</v>
      </c>
      <c r="G1810" s="15">
        <f t="shared" si="3"/>
        <v>27</v>
      </c>
    </row>
    <row r="1811">
      <c r="A1811" s="10" t="s">
        <v>27</v>
      </c>
      <c r="B1811" s="9">
        <f t="shared" si="4"/>
        <v>45957</v>
      </c>
      <c r="C1811" s="77" t="s">
        <v>1570</v>
      </c>
      <c r="D1811" s="13">
        <f>SUMIFS('Lançamentos de receitas'!$E:$E,'Lançamentos de receitas'!$A:$A,B1811,'Lançamentos de receitas'!$C:$C,A1811,'Lançamentos de receitas'!$F:$F,"TRANSFERÊNCIA")</f>
        <v>9321.97</v>
      </c>
      <c r="E1811" s="15">
        <f t="shared" si="1"/>
        <v>2025</v>
      </c>
      <c r="F1811" s="15">
        <f t="shared" si="2"/>
        <v>10</v>
      </c>
      <c r="G1811" s="15">
        <f t="shared" si="3"/>
        <v>27</v>
      </c>
    </row>
    <row r="1812">
      <c r="A1812" s="10" t="s">
        <v>27</v>
      </c>
      <c r="B1812" s="9">
        <f t="shared" si="4"/>
        <v>45957</v>
      </c>
      <c r="C1812" s="77" t="s">
        <v>1571</v>
      </c>
      <c r="D1812" s="13">
        <f>SUMIFS('Lançamentos de despesas'!$K:$K,'Lançamentos de despesas'!$C:$C,B1812,'Lançamentos de despesas'!$G:$G,A1812,'Lançamentos de despesas'!$E:$E,"pago")</f>
        <v>20923.96</v>
      </c>
      <c r="E1812" s="15">
        <f t="shared" si="1"/>
        <v>2025</v>
      </c>
      <c r="F1812" s="15">
        <f t="shared" si="2"/>
        <v>10</v>
      </c>
      <c r="G1812" s="15">
        <f t="shared" si="3"/>
        <v>27</v>
      </c>
    </row>
    <row r="1813">
      <c r="A1813" s="10" t="s">
        <v>27</v>
      </c>
      <c r="B1813" s="9">
        <f t="shared" si="4"/>
        <v>45957</v>
      </c>
      <c r="C1813" s="77" t="s">
        <v>1572</v>
      </c>
      <c r="D1813" s="13">
        <f>D1810+D1811-D1812</f>
        <v>3257.879</v>
      </c>
      <c r="E1813" s="15">
        <f t="shared" si="1"/>
        <v>2025</v>
      </c>
      <c r="F1813" s="15">
        <f t="shared" si="2"/>
        <v>10</v>
      </c>
      <c r="G1813" s="15">
        <f t="shared" si="3"/>
        <v>27</v>
      </c>
    </row>
    <row r="1814">
      <c r="A1814" s="10" t="s">
        <v>27</v>
      </c>
      <c r="B1814" s="9">
        <f t="shared" si="4"/>
        <v>45958</v>
      </c>
      <c r="C1814" s="77" t="s">
        <v>1569</v>
      </c>
      <c r="D1814" s="12">
        <f>D1813</f>
        <v>3257.879</v>
      </c>
      <c r="E1814" s="15">
        <f t="shared" si="1"/>
        <v>2025</v>
      </c>
      <c r="F1814" s="15">
        <f t="shared" si="2"/>
        <v>10</v>
      </c>
      <c r="G1814" s="15">
        <f t="shared" si="3"/>
        <v>28</v>
      </c>
    </row>
    <row r="1815">
      <c r="A1815" s="10" t="s">
        <v>27</v>
      </c>
      <c r="B1815" s="9">
        <f t="shared" si="4"/>
        <v>45958</v>
      </c>
      <c r="C1815" s="77" t="s">
        <v>1570</v>
      </c>
      <c r="D1815" s="13">
        <f>SUMIFS('Lançamentos de receitas'!$E:$E,'Lançamentos de receitas'!$A:$A,B1815,'Lançamentos de receitas'!$C:$C,A1815,'Lançamentos de receitas'!$F:$F,"TRANSFERÊNCIA")</f>
        <v>3540.81</v>
      </c>
      <c r="E1815" s="15">
        <f t="shared" si="1"/>
        <v>2025</v>
      </c>
      <c r="F1815" s="15">
        <f t="shared" si="2"/>
        <v>10</v>
      </c>
      <c r="G1815" s="15">
        <f t="shared" si="3"/>
        <v>28</v>
      </c>
    </row>
    <row r="1816">
      <c r="A1816" s="10" t="s">
        <v>27</v>
      </c>
      <c r="B1816" s="9">
        <f t="shared" si="4"/>
        <v>45958</v>
      </c>
      <c r="C1816" s="77" t="s">
        <v>1571</v>
      </c>
      <c r="D1816" s="13">
        <f>SUMIFS('Lançamentos de despesas'!$K:$K,'Lançamentos de despesas'!$C:$C,B1816,'Lançamentos de despesas'!$G:$G,A1816,'Lançamentos de despesas'!$E:$E,"pago")</f>
        <v>869</v>
      </c>
      <c r="E1816" s="15">
        <f t="shared" si="1"/>
        <v>2025</v>
      </c>
      <c r="F1816" s="15">
        <f t="shared" si="2"/>
        <v>10</v>
      </c>
      <c r="G1816" s="15">
        <f t="shared" si="3"/>
        <v>28</v>
      </c>
    </row>
    <row r="1817">
      <c r="A1817" s="10" t="s">
        <v>27</v>
      </c>
      <c r="B1817" s="9">
        <f t="shared" si="4"/>
        <v>45958</v>
      </c>
      <c r="C1817" s="77" t="s">
        <v>1572</v>
      </c>
      <c r="D1817" s="13">
        <f>D1814+D1815-D1816</f>
        <v>5929.689</v>
      </c>
      <c r="E1817" s="15">
        <f t="shared" si="1"/>
        <v>2025</v>
      </c>
      <c r="F1817" s="15">
        <f t="shared" si="2"/>
        <v>10</v>
      </c>
      <c r="G1817" s="15">
        <f t="shared" si="3"/>
        <v>28</v>
      </c>
    </row>
    <row r="1818">
      <c r="A1818" s="10" t="s">
        <v>27</v>
      </c>
      <c r="B1818" s="9">
        <f t="shared" si="4"/>
        <v>45959</v>
      </c>
      <c r="C1818" s="77" t="s">
        <v>1569</v>
      </c>
      <c r="D1818" s="12">
        <f>D1817</f>
        <v>5929.689</v>
      </c>
      <c r="E1818" s="15">
        <f t="shared" si="1"/>
        <v>2025</v>
      </c>
      <c r="F1818" s="15">
        <f t="shared" si="2"/>
        <v>10</v>
      </c>
      <c r="G1818" s="15">
        <f t="shared" si="3"/>
        <v>29</v>
      </c>
    </row>
    <row r="1819">
      <c r="A1819" s="10" t="s">
        <v>27</v>
      </c>
      <c r="B1819" s="9">
        <f t="shared" si="4"/>
        <v>45959</v>
      </c>
      <c r="C1819" s="77" t="s">
        <v>1570</v>
      </c>
      <c r="D1819" s="13">
        <f>SUMIFS('Lançamentos de receitas'!$E:$E,'Lançamentos de receitas'!$A:$A,B1819,'Lançamentos de receitas'!$C:$C,A1819,'Lançamentos de receitas'!$F:$F,"TRANSFERÊNCIA")</f>
        <v>610.46</v>
      </c>
      <c r="E1819" s="15">
        <f t="shared" si="1"/>
        <v>2025</v>
      </c>
      <c r="F1819" s="15">
        <f t="shared" si="2"/>
        <v>10</v>
      </c>
      <c r="G1819" s="15">
        <f t="shared" si="3"/>
        <v>29</v>
      </c>
    </row>
    <row r="1820">
      <c r="A1820" s="10" t="s">
        <v>27</v>
      </c>
      <c r="B1820" s="9">
        <f t="shared" si="4"/>
        <v>45959</v>
      </c>
      <c r="C1820" s="77" t="s">
        <v>1571</v>
      </c>
      <c r="D1820" s="13">
        <f>SUMIFS('Lançamentos de despesas'!$K:$K,'Lançamentos de despesas'!$C:$C,B1820,'Lançamentos de despesas'!$G:$G,A1820,'Lançamentos de despesas'!$E:$E,"pago")</f>
        <v>680</v>
      </c>
      <c r="E1820" s="15">
        <f t="shared" si="1"/>
        <v>2025</v>
      </c>
      <c r="F1820" s="15">
        <f t="shared" si="2"/>
        <v>10</v>
      </c>
      <c r="G1820" s="15">
        <f t="shared" si="3"/>
        <v>29</v>
      </c>
    </row>
    <row r="1821">
      <c r="A1821" s="10" t="s">
        <v>27</v>
      </c>
      <c r="B1821" s="9">
        <f t="shared" si="4"/>
        <v>45959</v>
      </c>
      <c r="C1821" s="77" t="s">
        <v>1572</v>
      </c>
      <c r="D1821" s="13">
        <f>D1818+D1819-D1820</f>
        <v>5860.149</v>
      </c>
      <c r="E1821" s="15">
        <f t="shared" si="1"/>
        <v>2025</v>
      </c>
      <c r="F1821" s="15">
        <f t="shared" si="2"/>
        <v>10</v>
      </c>
      <c r="G1821" s="15">
        <f t="shared" si="3"/>
        <v>29</v>
      </c>
    </row>
    <row r="1822">
      <c r="A1822" s="10" t="s">
        <v>27</v>
      </c>
      <c r="B1822" s="9">
        <f t="shared" si="4"/>
        <v>45960</v>
      </c>
      <c r="C1822" s="77" t="s">
        <v>1569</v>
      </c>
      <c r="D1822" s="12">
        <f>D1821</f>
        <v>5860.149</v>
      </c>
      <c r="E1822" s="15">
        <f t="shared" si="1"/>
        <v>2025</v>
      </c>
      <c r="F1822" s="15">
        <f t="shared" si="2"/>
        <v>10</v>
      </c>
      <c r="G1822" s="15">
        <f t="shared" si="3"/>
        <v>30</v>
      </c>
    </row>
    <row r="1823">
      <c r="A1823" s="10" t="s">
        <v>27</v>
      </c>
      <c r="B1823" s="9">
        <f t="shared" si="4"/>
        <v>45960</v>
      </c>
      <c r="C1823" s="77" t="s">
        <v>1570</v>
      </c>
      <c r="D1823" s="13">
        <f>SUMIFS('Lançamentos de receitas'!$E:$E,'Lançamentos de receitas'!$A:$A,B1823,'Lançamentos de receitas'!$C:$C,A1823,'Lançamentos de receitas'!$F:$F,"TRANSFERÊNCIA")</f>
        <v>924.07</v>
      </c>
      <c r="E1823" s="15">
        <f t="shared" si="1"/>
        <v>2025</v>
      </c>
      <c r="F1823" s="15">
        <f t="shared" si="2"/>
        <v>10</v>
      </c>
      <c r="G1823" s="15">
        <f t="shared" si="3"/>
        <v>30</v>
      </c>
    </row>
    <row r="1824">
      <c r="A1824" s="10" t="s">
        <v>27</v>
      </c>
      <c r="B1824" s="9">
        <f t="shared" si="4"/>
        <v>45960</v>
      </c>
      <c r="C1824" s="77" t="s">
        <v>1571</v>
      </c>
      <c r="D1824" s="13">
        <f>SUMIFS('Lançamentos de despesas'!$K:$K,'Lançamentos de despesas'!$C:$C,B1824,'Lançamentos de despesas'!$G:$G,A1824,'Lançamentos de despesas'!$E:$E,"pago")</f>
        <v>3645.93</v>
      </c>
      <c r="E1824" s="15">
        <f t="shared" si="1"/>
        <v>2025</v>
      </c>
      <c r="F1824" s="15">
        <f t="shared" si="2"/>
        <v>10</v>
      </c>
      <c r="G1824" s="15">
        <f t="shared" si="3"/>
        <v>30</v>
      </c>
    </row>
    <row r="1825">
      <c r="A1825" s="10" t="s">
        <v>27</v>
      </c>
      <c r="B1825" s="9">
        <f t="shared" si="4"/>
        <v>45960</v>
      </c>
      <c r="C1825" s="77" t="s">
        <v>1572</v>
      </c>
      <c r="D1825" s="13">
        <f>D1822+D1823-D1824</f>
        <v>3138.289</v>
      </c>
      <c r="E1825" s="15">
        <f t="shared" si="1"/>
        <v>2025</v>
      </c>
      <c r="F1825" s="15">
        <f t="shared" si="2"/>
        <v>10</v>
      </c>
      <c r="G1825" s="15">
        <f t="shared" si="3"/>
        <v>30</v>
      </c>
    </row>
    <row r="1826">
      <c r="A1826" s="10" t="s">
        <v>27</v>
      </c>
      <c r="B1826" s="9">
        <f t="shared" si="4"/>
        <v>45961</v>
      </c>
      <c r="C1826" s="77" t="s">
        <v>1569</v>
      </c>
      <c r="D1826" s="12">
        <f>D1825</f>
        <v>3138.289</v>
      </c>
      <c r="E1826" s="15">
        <f t="shared" si="1"/>
        <v>2025</v>
      </c>
      <c r="F1826" s="15">
        <f t="shared" si="2"/>
        <v>10</v>
      </c>
      <c r="G1826" s="15">
        <f t="shared" si="3"/>
        <v>31</v>
      </c>
    </row>
    <row r="1827">
      <c r="A1827" s="10" t="s">
        <v>27</v>
      </c>
      <c r="B1827" s="9">
        <f t="shared" si="4"/>
        <v>45961</v>
      </c>
      <c r="C1827" s="77" t="s">
        <v>1570</v>
      </c>
      <c r="D1827" s="13">
        <f>SUMIFS('Lançamentos de receitas'!$E:$E,'Lançamentos de receitas'!$A:$A,B1827,'Lançamentos de receitas'!$C:$C,A1827,'Lançamentos de receitas'!$F:$F,"TRANSFERÊNCIA")</f>
        <v>2783.22</v>
      </c>
      <c r="E1827" s="15">
        <f t="shared" si="1"/>
        <v>2025</v>
      </c>
      <c r="F1827" s="15">
        <f t="shared" si="2"/>
        <v>10</v>
      </c>
      <c r="G1827" s="15">
        <f t="shared" si="3"/>
        <v>31</v>
      </c>
    </row>
    <row r="1828">
      <c r="A1828" s="10" t="s">
        <v>27</v>
      </c>
      <c r="B1828" s="9">
        <f t="shared" si="4"/>
        <v>45961</v>
      </c>
      <c r="C1828" s="77" t="s">
        <v>1571</v>
      </c>
      <c r="D1828" s="13">
        <f>SUMIFS('Lançamentos de despesas'!$K:$K,'Lançamentos de despesas'!$C:$C,B1828,'Lançamentos de despesas'!$G:$G,A1828,'Lançamentos de despesas'!$E:$E,"pago")</f>
        <v>0</v>
      </c>
      <c r="E1828" s="15">
        <f t="shared" si="1"/>
        <v>2025</v>
      </c>
      <c r="F1828" s="15">
        <f t="shared" si="2"/>
        <v>10</v>
      </c>
      <c r="G1828" s="15">
        <f t="shared" si="3"/>
        <v>31</v>
      </c>
    </row>
    <row r="1829">
      <c r="A1829" s="10" t="s">
        <v>27</v>
      </c>
      <c r="B1829" s="9">
        <f t="shared" si="4"/>
        <v>45961</v>
      </c>
      <c r="C1829" s="77" t="s">
        <v>1572</v>
      </c>
      <c r="D1829" s="13">
        <f>D1826+D1827-D1828</f>
        <v>5921.509</v>
      </c>
      <c r="E1829" s="15">
        <f t="shared" si="1"/>
        <v>2025</v>
      </c>
      <c r="F1829" s="15">
        <f t="shared" si="2"/>
        <v>10</v>
      </c>
      <c r="G1829" s="15">
        <f t="shared" si="3"/>
        <v>31</v>
      </c>
    </row>
    <row r="1830">
      <c r="A1830" s="10" t="s">
        <v>27</v>
      </c>
      <c r="B1830" s="9">
        <f t="shared" si="4"/>
        <v>45962</v>
      </c>
      <c r="C1830" s="77" t="s">
        <v>1569</v>
      </c>
      <c r="D1830" s="12">
        <f>D1829</f>
        <v>5921.509</v>
      </c>
      <c r="E1830" s="15">
        <f t="shared" si="1"/>
        <v>2025</v>
      </c>
      <c r="F1830" s="15">
        <f t="shared" si="2"/>
        <v>11</v>
      </c>
      <c r="G1830" s="15">
        <f t="shared" si="3"/>
        <v>1</v>
      </c>
    </row>
    <row r="1831">
      <c r="A1831" s="10" t="s">
        <v>27</v>
      </c>
      <c r="B1831" s="9">
        <f t="shared" si="4"/>
        <v>45962</v>
      </c>
      <c r="C1831" s="77" t="s">
        <v>1570</v>
      </c>
      <c r="D1831" s="13">
        <f>SUMIFS('Lançamentos de receitas'!$E:$E,'Lançamentos de receitas'!$A:$A,B1831,'Lançamentos de receitas'!$C:$C,A1831,'Lançamentos de receitas'!$F:$F,"TRANSFERÊNCIA")</f>
        <v>940.91</v>
      </c>
      <c r="E1831" s="15">
        <f t="shared" si="1"/>
        <v>2025</v>
      </c>
      <c r="F1831" s="15">
        <f t="shared" si="2"/>
        <v>11</v>
      </c>
      <c r="G1831" s="15">
        <f t="shared" si="3"/>
        <v>1</v>
      </c>
    </row>
    <row r="1832">
      <c r="A1832" s="10" t="s">
        <v>27</v>
      </c>
      <c r="B1832" s="9">
        <f t="shared" si="4"/>
        <v>45962</v>
      </c>
      <c r="C1832" s="77" t="s">
        <v>1571</v>
      </c>
      <c r="D1832" s="13">
        <f>SUMIFS('Lançamentos de despesas'!$K:$K,'Lançamentos de despesas'!$C:$C,B1832,'Lançamentos de despesas'!$G:$G,A1832,'Lançamentos de despesas'!$E:$E,"pago")</f>
        <v>0</v>
      </c>
      <c r="E1832" s="15">
        <f t="shared" si="1"/>
        <v>2025</v>
      </c>
      <c r="F1832" s="15">
        <f t="shared" si="2"/>
        <v>11</v>
      </c>
      <c r="G1832" s="15">
        <f t="shared" si="3"/>
        <v>1</v>
      </c>
    </row>
    <row r="1833">
      <c r="A1833" s="10" t="s">
        <v>27</v>
      </c>
      <c r="B1833" s="9">
        <f t="shared" si="4"/>
        <v>45962</v>
      </c>
      <c r="C1833" s="77" t="s">
        <v>1572</v>
      </c>
      <c r="D1833" s="13">
        <f>D1830+D1831-D1832</f>
        <v>6862.419</v>
      </c>
      <c r="E1833" s="15">
        <f t="shared" si="1"/>
        <v>2025</v>
      </c>
      <c r="F1833" s="15">
        <f t="shared" si="2"/>
        <v>11</v>
      </c>
      <c r="G1833" s="15">
        <f t="shared" si="3"/>
        <v>1</v>
      </c>
    </row>
    <row r="1834">
      <c r="A1834" s="10" t="s">
        <v>27</v>
      </c>
      <c r="B1834" s="9">
        <f t="shared" si="4"/>
        <v>45963</v>
      </c>
      <c r="C1834" s="77" t="s">
        <v>1569</v>
      </c>
      <c r="D1834" s="12">
        <f>D1833</f>
        <v>6862.419</v>
      </c>
      <c r="E1834" s="15">
        <f t="shared" si="1"/>
        <v>2025</v>
      </c>
      <c r="F1834" s="15">
        <f t="shared" si="2"/>
        <v>11</v>
      </c>
      <c r="G1834" s="15">
        <f t="shared" si="3"/>
        <v>2</v>
      </c>
    </row>
    <row r="1835">
      <c r="A1835" s="10" t="s">
        <v>27</v>
      </c>
      <c r="B1835" s="9">
        <f t="shared" si="4"/>
        <v>45963</v>
      </c>
      <c r="C1835" s="77" t="s">
        <v>1570</v>
      </c>
      <c r="D1835" s="13">
        <f>SUMIFS('Lançamentos de receitas'!$E:$E,'Lançamentos de receitas'!$A:$A,B1835,'Lançamentos de receitas'!$C:$C,A1835,'Lançamentos de receitas'!$F:$F,"TRANSFERÊNCIA")</f>
        <v>1684.19</v>
      </c>
      <c r="E1835" s="15">
        <f t="shared" si="1"/>
        <v>2025</v>
      </c>
      <c r="F1835" s="15">
        <f t="shared" si="2"/>
        <v>11</v>
      </c>
      <c r="G1835" s="15">
        <f t="shared" si="3"/>
        <v>2</v>
      </c>
    </row>
    <row r="1836">
      <c r="A1836" s="10" t="s">
        <v>27</v>
      </c>
      <c r="B1836" s="9">
        <f t="shared" si="4"/>
        <v>45963</v>
      </c>
      <c r="C1836" s="77" t="s">
        <v>1571</v>
      </c>
      <c r="D1836" s="13">
        <f>SUMIFS('Lançamentos de despesas'!$K:$K,'Lançamentos de despesas'!$C:$C,B1836,'Lançamentos de despesas'!$G:$G,A1836,'Lançamentos de despesas'!$E:$E,"pago")</f>
        <v>0</v>
      </c>
      <c r="E1836" s="15">
        <f t="shared" si="1"/>
        <v>2025</v>
      </c>
      <c r="F1836" s="15">
        <f t="shared" si="2"/>
        <v>11</v>
      </c>
      <c r="G1836" s="15">
        <f t="shared" si="3"/>
        <v>2</v>
      </c>
    </row>
    <row r="1837">
      <c r="A1837" s="10" t="s">
        <v>27</v>
      </c>
      <c r="B1837" s="9">
        <f t="shared" si="4"/>
        <v>45963</v>
      </c>
      <c r="C1837" s="77" t="s">
        <v>1572</v>
      </c>
      <c r="D1837" s="13">
        <f>D1834+D1835-D1836</f>
        <v>8546.609</v>
      </c>
      <c r="E1837" s="15">
        <f t="shared" si="1"/>
        <v>2025</v>
      </c>
      <c r="F1837" s="15">
        <f t="shared" si="2"/>
        <v>11</v>
      </c>
      <c r="G1837" s="15">
        <f t="shared" si="3"/>
        <v>2</v>
      </c>
    </row>
    <row r="1838">
      <c r="A1838" s="10" t="s">
        <v>27</v>
      </c>
      <c r="B1838" s="9">
        <f t="shared" si="4"/>
        <v>45964</v>
      </c>
      <c r="C1838" s="77" t="s">
        <v>1569</v>
      </c>
      <c r="D1838" s="12">
        <f>D1837</f>
        <v>8546.609</v>
      </c>
      <c r="E1838" s="15">
        <f t="shared" si="1"/>
        <v>2025</v>
      </c>
      <c r="F1838" s="15">
        <f t="shared" si="2"/>
        <v>11</v>
      </c>
      <c r="G1838" s="15">
        <f t="shared" si="3"/>
        <v>3</v>
      </c>
    </row>
    <row r="1839">
      <c r="A1839" s="10" t="s">
        <v>27</v>
      </c>
      <c r="B1839" s="9">
        <f t="shared" si="4"/>
        <v>45964</v>
      </c>
      <c r="C1839" s="77" t="s">
        <v>1570</v>
      </c>
      <c r="D1839" s="13">
        <f>SUMIFS('Lançamentos de receitas'!$E:$E,'Lançamentos de receitas'!$A:$A,B1839,'Lançamentos de receitas'!$C:$C,A1839,'Lançamentos de receitas'!$F:$F,"TRANSFERÊNCIA")</f>
        <v>4045.92</v>
      </c>
      <c r="E1839" s="15">
        <f t="shared" si="1"/>
        <v>2025</v>
      </c>
      <c r="F1839" s="15">
        <f t="shared" si="2"/>
        <v>11</v>
      </c>
      <c r="G1839" s="15">
        <f t="shared" si="3"/>
        <v>3</v>
      </c>
    </row>
    <row r="1840">
      <c r="A1840" s="10" t="s">
        <v>27</v>
      </c>
      <c r="B1840" s="9">
        <f t="shared" si="4"/>
        <v>45964</v>
      </c>
      <c r="C1840" s="77" t="s">
        <v>1571</v>
      </c>
      <c r="D1840" s="13">
        <f>SUMIFS('Lançamentos de despesas'!$K:$K,'Lançamentos de despesas'!$C:$C,B1840,'Lançamentos de despesas'!$G:$G,A1840,'Lançamentos de despesas'!$E:$E,"pago")</f>
        <v>7129.37</v>
      </c>
      <c r="E1840" s="15">
        <f t="shared" si="1"/>
        <v>2025</v>
      </c>
      <c r="F1840" s="15">
        <f t="shared" si="2"/>
        <v>11</v>
      </c>
      <c r="G1840" s="15">
        <f t="shared" si="3"/>
        <v>3</v>
      </c>
    </row>
    <row r="1841">
      <c r="A1841" s="10" t="s">
        <v>27</v>
      </c>
      <c r="B1841" s="9">
        <f t="shared" si="4"/>
        <v>45964</v>
      </c>
      <c r="C1841" s="77" t="s">
        <v>1572</v>
      </c>
      <c r="D1841" s="13">
        <f>D1838+D1839-D1840</f>
        <v>5463.159</v>
      </c>
      <c r="E1841" s="15">
        <f t="shared" si="1"/>
        <v>2025</v>
      </c>
      <c r="F1841" s="15">
        <f t="shared" si="2"/>
        <v>11</v>
      </c>
      <c r="G1841" s="15">
        <f t="shared" si="3"/>
        <v>3</v>
      </c>
    </row>
    <row r="1842">
      <c r="A1842" s="10" t="s">
        <v>27</v>
      </c>
      <c r="B1842" s="9">
        <f t="shared" si="4"/>
        <v>45965</v>
      </c>
      <c r="C1842" s="77" t="s">
        <v>1569</v>
      </c>
      <c r="D1842" s="12">
        <f>D1841</f>
        <v>5463.159</v>
      </c>
      <c r="E1842" s="15">
        <f t="shared" si="1"/>
        <v>2025</v>
      </c>
      <c r="F1842" s="15">
        <f t="shared" si="2"/>
        <v>11</v>
      </c>
      <c r="G1842" s="15">
        <f t="shared" si="3"/>
        <v>4</v>
      </c>
    </row>
    <row r="1843">
      <c r="A1843" s="10" t="s">
        <v>27</v>
      </c>
      <c r="B1843" s="9">
        <f t="shared" si="4"/>
        <v>45965</v>
      </c>
      <c r="C1843" s="77" t="s">
        <v>1570</v>
      </c>
      <c r="D1843" s="13">
        <f>SUMIFS('Lançamentos de receitas'!$E:$E,'Lançamentos de receitas'!$A:$A,B1843,'Lançamentos de receitas'!$C:$C,A1843,'Lançamentos de receitas'!$F:$F,"TRANSFERÊNCIA")</f>
        <v>654.6</v>
      </c>
      <c r="E1843" s="15">
        <f t="shared" si="1"/>
        <v>2025</v>
      </c>
      <c r="F1843" s="15">
        <f t="shared" si="2"/>
        <v>11</v>
      </c>
      <c r="G1843" s="15">
        <f t="shared" si="3"/>
        <v>4</v>
      </c>
    </row>
    <row r="1844">
      <c r="A1844" s="10" t="s">
        <v>27</v>
      </c>
      <c r="B1844" s="9">
        <f t="shared" si="4"/>
        <v>45965</v>
      </c>
      <c r="C1844" s="77" t="s">
        <v>1571</v>
      </c>
      <c r="D1844" s="13">
        <f>SUMIFS('Lançamentos de despesas'!$K:$K,'Lançamentos de despesas'!$C:$C,B1844,'Lançamentos de despesas'!$G:$G,A1844,'Lançamentos de despesas'!$E:$E,"pago")</f>
        <v>0</v>
      </c>
      <c r="E1844" s="15">
        <f t="shared" si="1"/>
        <v>2025</v>
      </c>
      <c r="F1844" s="15">
        <f t="shared" si="2"/>
        <v>11</v>
      </c>
      <c r="G1844" s="15">
        <f t="shared" si="3"/>
        <v>4</v>
      </c>
    </row>
    <row r="1845">
      <c r="A1845" s="10" t="s">
        <v>27</v>
      </c>
      <c r="B1845" s="9">
        <f t="shared" si="4"/>
        <v>45965</v>
      </c>
      <c r="C1845" s="77" t="s">
        <v>1572</v>
      </c>
      <c r="D1845" s="13">
        <f>D1842+D1843-D1844</f>
        <v>6117.759</v>
      </c>
      <c r="E1845" s="15">
        <f t="shared" si="1"/>
        <v>2025</v>
      </c>
      <c r="F1845" s="15">
        <f t="shared" si="2"/>
        <v>11</v>
      </c>
      <c r="G1845" s="15">
        <f t="shared" si="3"/>
        <v>4</v>
      </c>
    </row>
    <row r="1846">
      <c r="A1846" s="10" t="s">
        <v>27</v>
      </c>
      <c r="B1846" s="9">
        <f t="shared" si="4"/>
        <v>45966</v>
      </c>
      <c r="C1846" s="77" t="s">
        <v>1569</v>
      </c>
      <c r="D1846" s="12">
        <f>D1845</f>
        <v>6117.759</v>
      </c>
      <c r="E1846" s="15">
        <f t="shared" si="1"/>
        <v>2025</v>
      </c>
      <c r="F1846" s="15">
        <f t="shared" si="2"/>
        <v>11</v>
      </c>
      <c r="G1846" s="15">
        <f t="shared" si="3"/>
        <v>5</v>
      </c>
    </row>
    <row r="1847">
      <c r="A1847" s="10" t="s">
        <v>27</v>
      </c>
      <c r="B1847" s="9">
        <f t="shared" si="4"/>
        <v>45966</v>
      </c>
      <c r="C1847" s="77" t="s">
        <v>1570</v>
      </c>
      <c r="D1847" s="13">
        <f>SUMIFS('Lançamentos de receitas'!$E:$E,'Lançamentos de receitas'!$A:$A,B1847,'Lançamentos de receitas'!$C:$C,A1847,'Lançamentos de receitas'!$F:$F,"TRANSFERÊNCIA")</f>
        <v>15125.98</v>
      </c>
      <c r="E1847" s="15">
        <f t="shared" si="1"/>
        <v>2025</v>
      </c>
      <c r="F1847" s="15">
        <f t="shared" si="2"/>
        <v>11</v>
      </c>
      <c r="G1847" s="15">
        <f t="shared" si="3"/>
        <v>5</v>
      </c>
    </row>
    <row r="1848">
      <c r="A1848" s="10" t="s">
        <v>27</v>
      </c>
      <c r="B1848" s="9">
        <f t="shared" si="4"/>
        <v>45966</v>
      </c>
      <c r="C1848" s="77" t="s">
        <v>1571</v>
      </c>
      <c r="D1848" s="13">
        <f>SUMIFS('Lançamentos de despesas'!$K:$K,'Lançamentos de despesas'!$C:$C,B1848,'Lançamentos de despesas'!$G:$G,A1848,'Lançamentos de despesas'!$E:$E,"pago")</f>
        <v>0</v>
      </c>
      <c r="E1848" s="15">
        <f t="shared" si="1"/>
        <v>2025</v>
      </c>
      <c r="F1848" s="15">
        <f t="shared" si="2"/>
        <v>11</v>
      </c>
      <c r="G1848" s="15">
        <f t="shared" si="3"/>
        <v>5</v>
      </c>
    </row>
    <row r="1849">
      <c r="A1849" s="10" t="s">
        <v>27</v>
      </c>
      <c r="B1849" s="9">
        <f t="shared" si="4"/>
        <v>45966</v>
      </c>
      <c r="C1849" s="77" t="s">
        <v>1572</v>
      </c>
      <c r="D1849" s="13">
        <f>D1846+D1847-D1848</f>
        <v>21243.739</v>
      </c>
      <c r="E1849" s="15">
        <f t="shared" si="1"/>
        <v>2025</v>
      </c>
      <c r="F1849" s="15">
        <f t="shared" si="2"/>
        <v>11</v>
      </c>
      <c r="G1849" s="15">
        <f t="shared" si="3"/>
        <v>5</v>
      </c>
    </row>
    <row r="1850">
      <c r="A1850" s="10" t="s">
        <v>27</v>
      </c>
      <c r="B1850" s="9">
        <f t="shared" si="4"/>
        <v>45967</v>
      </c>
      <c r="C1850" s="77" t="s">
        <v>1569</v>
      </c>
      <c r="D1850" s="12">
        <f>D1849</f>
        <v>21243.739</v>
      </c>
      <c r="E1850" s="15">
        <f t="shared" si="1"/>
        <v>2025</v>
      </c>
      <c r="F1850" s="15">
        <f t="shared" si="2"/>
        <v>11</v>
      </c>
      <c r="G1850" s="15">
        <f t="shared" si="3"/>
        <v>6</v>
      </c>
    </row>
    <row r="1851">
      <c r="A1851" s="10" t="s">
        <v>27</v>
      </c>
      <c r="B1851" s="9">
        <f t="shared" si="4"/>
        <v>45967</v>
      </c>
      <c r="C1851" s="77" t="s">
        <v>1570</v>
      </c>
      <c r="D1851" s="13">
        <f>SUMIFS('Lançamentos de receitas'!$E:$E,'Lançamentos de receitas'!$A:$A,B1851,'Lançamentos de receitas'!$C:$C,A1851,'Lançamentos de receitas'!$F:$F,"TRANSFERÊNCIA")</f>
        <v>951.26</v>
      </c>
      <c r="E1851" s="15">
        <f t="shared" si="1"/>
        <v>2025</v>
      </c>
      <c r="F1851" s="15">
        <f t="shared" si="2"/>
        <v>11</v>
      </c>
      <c r="G1851" s="15">
        <f t="shared" si="3"/>
        <v>6</v>
      </c>
    </row>
    <row r="1852">
      <c r="A1852" s="10" t="s">
        <v>27</v>
      </c>
      <c r="B1852" s="9">
        <f t="shared" si="4"/>
        <v>45967</v>
      </c>
      <c r="C1852" s="77" t="s">
        <v>1571</v>
      </c>
      <c r="D1852" s="13">
        <f>SUMIFS('Lançamentos de despesas'!$K:$K,'Lançamentos de despesas'!$C:$C,B1852,'Lançamentos de despesas'!$G:$G,A1852,'Lançamentos de despesas'!$E:$E,"pago")</f>
        <v>0</v>
      </c>
      <c r="E1852" s="15">
        <f t="shared" si="1"/>
        <v>2025</v>
      </c>
      <c r="F1852" s="15">
        <f t="shared" si="2"/>
        <v>11</v>
      </c>
      <c r="G1852" s="15">
        <f t="shared" si="3"/>
        <v>6</v>
      </c>
    </row>
    <row r="1853">
      <c r="A1853" s="10" t="s">
        <v>27</v>
      </c>
      <c r="B1853" s="9">
        <f t="shared" si="4"/>
        <v>45967</v>
      </c>
      <c r="C1853" s="77" t="s">
        <v>1572</v>
      </c>
      <c r="D1853" s="13">
        <f>D1850+D1851-D1852</f>
        <v>22194.999</v>
      </c>
      <c r="E1853" s="15">
        <f t="shared" si="1"/>
        <v>2025</v>
      </c>
      <c r="F1853" s="15">
        <f t="shared" si="2"/>
        <v>11</v>
      </c>
      <c r="G1853" s="15">
        <f t="shared" si="3"/>
        <v>6</v>
      </c>
    </row>
    <row r="1854">
      <c r="A1854" s="10" t="s">
        <v>27</v>
      </c>
      <c r="B1854" s="9">
        <f t="shared" si="4"/>
        <v>45968</v>
      </c>
      <c r="C1854" s="77" t="s">
        <v>1569</v>
      </c>
      <c r="D1854" s="12">
        <f>D1853</f>
        <v>22194.999</v>
      </c>
      <c r="E1854" s="15">
        <f t="shared" si="1"/>
        <v>2025</v>
      </c>
      <c r="F1854" s="15">
        <f t="shared" si="2"/>
        <v>11</v>
      </c>
      <c r="G1854" s="15">
        <f t="shared" si="3"/>
        <v>7</v>
      </c>
    </row>
    <row r="1855">
      <c r="A1855" s="10" t="s">
        <v>27</v>
      </c>
      <c r="B1855" s="9">
        <f t="shared" si="4"/>
        <v>45968</v>
      </c>
      <c r="C1855" s="77" t="s">
        <v>1570</v>
      </c>
      <c r="D1855" s="13">
        <f>SUMIFS('Lançamentos de receitas'!$E:$E,'Lançamentos de receitas'!$A:$A,B1855,'Lançamentos de receitas'!$C:$C,A1855,'Lançamentos de receitas'!$F:$F,"TRANSFERÊNCIA")</f>
        <v>855.75</v>
      </c>
      <c r="E1855" s="15">
        <f t="shared" si="1"/>
        <v>2025</v>
      </c>
      <c r="F1855" s="15">
        <f t="shared" si="2"/>
        <v>11</v>
      </c>
      <c r="G1855" s="15">
        <f t="shared" si="3"/>
        <v>7</v>
      </c>
    </row>
    <row r="1856">
      <c r="A1856" s="10" t="s">
        <v>27</v>
      </c>
      <c r="B1856" s="9">
        <f t="shared" si="4"/>
        <v>45968</v>
      </c>
      <c r="C1856" s="77" t="s">
        <v>1571</v>
      </c>
      <c r="D1856" s="13">
        <f>SUMIFS('Lançamentos de despesas'!$K:$K,'Lançamentos de despesas'!$C:$C,B1856,'Lançamentos de despesas'!$G:$G,A1856,'Lançamentos de despesas'!$E:$E,"pago")</f>
        <v>7401</v>
      </c>
      <c r="E1856" s="15">
        <f t="shared" si="1"/>
        <v>2025</v>
      </c>
      <c r="F1856" s="15">
        <f t="shared" si="2"/>
        <v>11</v>
      </c>
      <c r="G1856" s="15">
        <f t="shared" si="3"/>
        <v>7</v>
      </c>
    </row>
    <row r="1857">
      <c r="A1857" s="10" t="s">
        <v>27</v>
      </c>
      <c r="B1857" s="9">
        <f t="shared" si="4"/>
        <v>45968</v>
      </c>
      <c r="C1857" s="77" t="s">
        <v>1572</v>
      </c>
      <c r="D1857" s="13">
        <f>D1854+D1855-D1856</f>
        <v>15649.749</v>
      </c>
      <c r="E1857" s="15">
        <f t="shared" si="1"/>
        <v>2025</v>
      </c>
      <c r="F1857" s="15">
        <f t="shared" si="2"/>
        <v>11</v>
      </c>
      <c r="G1857" s="15">
        <f t="shared" si="3"/>
        <v>7</v>
      </c>
    </row>
    <row r="1858">
      <c r="A1858" s="10" t="s">
        <v>27</v>
      </c>
      <c r="B1858" s="9">
        <f t="shared" si="4"/>
        <v>45969</v>
      </c>
      <c r="C1858" s="77" t="s">
        <v>1569</v>
      </c>
      <c r="D1858" s="12">
        <f>D1857</f>
        <v>15649.749</v>
      </c>
      <c r="E1858" s="15">
        <f t="shared" si="1"/>
        <v>2025</v>
      </c>
      <c r="F1858" s="15">
        <f t="shared" si="2"/>
        <v>11</v>
      </c>
      <c r="G1858" s="15">
        <f t="shared" si="3"/>
        <v>8</v>
      </c>
    </row>
    <row r="1859">
      <c r="A1859" s="10" t="s">
        <v>27</v>
      </c>
      <c r="B1859" s="9">
        <f t="shared" si="4"/>
        <v>45969</v>
      </c>
      <c r="C1859" s="77" t="s">
        <v>1570</v>
      </c>
      <c r="D1859" s="13">
        <f>SUMIFS('Lançamentos de receitas'!$E:$E,'Lançamentos de receitas'!$A:$A,B1859,'Lançamentos de receitas'!$C:$C,A1859,'Lançamentos de receitas'!$F:$F,"TRANSFERÊNCIA")</f>
        <v>863.29</v>
      </c>
      <c r="E1859" s="15">
        <f t="shared" si="1"/>
        <v>2025</v>
      </c>
      <c r="F1859" s="15">
        <f t="shared" si="2"/>
        <v>11</v>
      </c>
      <c r="G1859" s="15">
        <f t="shared" si="3"/>
        <v>8</v>
      </c>
    </row>
    <row r="1860">
      <c r="A1860" s="10" t="s">
        <v>27</v>
      </c>
      <c r="B1860" s="9">
        <f t="shared" si="4"/>
        <v>45969</v>
      </c>
      <c r="C1860" s="77" t="s">
        <v>1571</v>
      </c>
      <c r="D1860" s="13">
        <f>SUMIFS('Lançamentos de despesas'!$K:$K,'Lançamentos de despesas'!$C:$C,B1860,'Lançamentos de despesas'!$G:$G,A1860,'Lançamentos de despesas'!$E:$E,"pago")</f>
        <v>0</v>
      </c>
      <c r="E1860" s="15">
        <f t="shared" si="1"/>
        <v>2025</v>
      </c>
      <c r="F1860" s="15">
        <f t="shared" si="2"/>
        <v>11</v>
      </c>
      <c r="G1860" s="15">
        <f t="shared" si="3"/>
        <v>8</v>
      </c>
    </row>
    <row r="1861">
      <c r="A1861" s="10" t="s">
        <v>27</v>
      </c>
      <c r="B1861" s="9">
        <f t="shared" si="4"/>
        <v>45969</v>
      </c>
      <c r="C1861" s="77" t="s">
        <v>1572</v>
      </c>
      <c r="D1861" s="13">
        <f>D1858+D1859-D1860</f>
        <v>16513.039</v>
      </c>
      <c r="E1861" s="15">
        <f t="shared" si="1"/>
        <v>2025</v>
      </c>
      <c r="F1861" s="15">
        <f t="shared" si="2"/>
        <v>11</v>
      </c>
      <c r="G1861" s="15">
        <f t="shared" si="3"/>
        <v>8</v>
      </c>
    </row>
    <row r="1862">
      <c r="A1862" s="10" t="s">
        <v>27</v>
      </c>
      <c r="B1862" s="9">
        <f t="shared" si="4"/>
        <v>45970</v>
      </c>
      <c r="C1862" s="77" t="s">
        <v>1569</v>
      </c>
      <c r="D1862" s="12">
        <f>D1861</f>
        <v>16513.039</v>
      </c>
      <c r="E1862" s="15">
        <f t="shared" si="1"/>
        <v>2025</v>
      </c>
      <c r="F1862" s="15">
        <f t="shared" si="2"/>
        <v>11</v>
      </c>
      <c r="G1862" s="15">
        <f t="shared" si="3"/>
        <v>9</v>
      </c>
    </row>
    <row r="1863">
      <c r="A1863" s="10" t="s">
        <v>27</v>
      </c>
      <c r="B1863" s="9">
        <f t="shared" si="4"/>
        <v>45970</v>
      </c>
      <c r="C1863" s="77" t="s">
        <v>1570</v>
      </c>
      <c r="D1863" s="13">
        <f>SUMIFS('Lançamentos de receitas'!$E:$E,'Lançamentos de receitas'!$A:$A,B1863,'Lançamentos de receitas'!$C:$C,A1863,'Lançamentos de receitas'!$F:$F,"TRANSFERÊNCIA")</f>
        <v>839.47</v>
      </c>
      <c r="E1863" s="15">
        <f t="shared" si="1"/>
        <v>2025</v>
      </c>
      <c r="F1863" s="15">
        <f t="shared" si="2"/>
        <v>11</v>
      </c>
      <c r="G1863" s="15">
        <f t="shared" si="3"/>
        <v>9</v>
      </c>
    </row>
    <row r="1864">
      <c r="A1864" s="10" t="s">
        <v>27</v>
      </c>
      <c r="B1864" s="9">
        <f t="shared" si="4"/>
        <v>45970</v>
      </c>
      <c r="C1864" s="77" t="s">
        <v>1571</v>
      </c>
      <c r="D1864" s="13">
        <f>SUMIFS('Lançamentos de despesas'!$K:$K,'Lançamentos de despesas'!$C:$C,B1864,'Lançamentos de despesas'!$G:$G,A1864,'Lançamentos de despesas'!$E:$E,"pago")</f>
        <v>0</v>
      </c>
      <c r="E1864" s="15">
        <f t="shared" si="1"/>
        <v>2025</v>
      </c>
      <c r="F1864" s="15">
        <f t="shared" si="2"/>
        <v>11</v>
      </c>
      <c r="G1864" s="15">
        <f t="shared" si="3"/>
        <v>9</v>
      </c>
    </row>
    <row r="1865">
      <c r="A1865" s="10" t="s">
        <v>27</v>
      </c>
      <c r="B1865" s="9">
        <f t="shared" si="4"/>
        <v>45970</v>
      </c>
      <c r="C1865" s="77" t="s">
        <v>1572</v>
      </c>
      <c r="D1865" s="13">
        <f>D1862+D1863-D1864</f>
        <v>17352.509</v>
      </c>
      <c r="E1865" s="15">
        <f t="shared" si="1"/>
        <v>2025</v>
      </c>
      <c r="F1865" s="15">
        <f t="shared" si="2"/>
        <v>11</v>
      </c>
      <c r="G1865" s="15">
        <f t="shared" si="3"/>
        <v>9</v>
      </c>
    </row>
    <row r="1866">
      <c r="A1866" s="10" t="s">
        <v>27</v>
      </c>
      <c r="B1866" s="9">
        <f t="shared" si="4"/>
        <v>45971</v>
      </c>
      <c r="C1866" s="77" t="s">
        <v>1569</v>
      </c>
      <c r="D1866" s="12">
        <f>D1865</f>
        <v>17352.509</v>
      </c>
      <c r="E1866" s="15">
        <f t="shared" si="1"/>
        <v>2025</v>
      </c>
      <c r="F1866" s="15">
        <f t="shared" si="2"/>
        <v>11</v>
      </c>
      <c r="G1866" s="15">
        <f t="shared" si="3"/>
        <v>10</v>
      </c>
    </row>
    <row r="1867">
      <c r="A1867" s="10" t="s">
        <v>27</v>
      </c>
      <c r="B1867" s="9">
        <f t="shared" si="4"/>
        <v>45971</v>
      </c>
      <c r="C1867" s="77" t="s">
        <v>1570</v>
      </c>
      <c r="D1867" s="13">
        <f>SUMIFS('Lançamentos de receitas'!$E:$E,'Lançamentos de receitas'!$A:$A,B1867,'Lançamentos de receitas'!$C:$C,A1867,'Lançamentos de receitas'!$F:$F,"TRANSFERÊNCIA")</f>
        <v>178.56</v>
      </c>
      <c r="E1867" s="15">
        <f t="shared" si="1"/>
        <v>2025</v>
      </c>
      <c r="F1867" s="15">
        <f t="shared" si="2"/>
        <v>11</v>
      </c>
      <c r="G1867" s="15">
        <f t="shared" si="3"/>
        <v>10</v>
      </c>
    </row>
    <row r="1868">
      <c r="A1868" s="10" t="s">
        <v>27</v>
      </c>
      <c r="B1868" s="9">
        <f t="shared" si="4"/>
        <v>45971</v>
      </c>
      <c r="C1868" s="77" t="s">
        <v>1571</v>
      </c>
      <c r="D1868" s="13">
        <f>SUMIFS('Lançamentos de despesas'!$K:$K,'Lançamentos de despesas'!$C:$C,B1868,'Lançamentos de despesas'!$G:$G,A1868,'Lançamentos de despesas'!$E:$E,"pago")</f>
        <v>6122.81</v>
      </c>
      <c r="E1868" s="15">
        <f t="shared" si="1"/>
        <v>2025</v>
      </c>
      <c r="F1868" s="15">
        <f t="shared" si="2"/>
        <v>11</v>
      </c>
      <c r="G1868" s="15">
        <f t="shared" si="3"/>
        <v>10</v>
      </c>
    </row>
    <row r="1869">
      <c r="A1869" s="10" t="s">
        <v>27</v>
      </c>
      <c r="B1869" s="9">
        <f t="shared" si="4"/>
        <v>45971</v>
      </c>
      <c r="C1869" s="77" t="s">
        <v>1572</v>
      </c>
      <c r="D1869" s="13">
        <f>D1866+D1867-D1868</f>
        <v>11408.259</v>
      </c>
      <c r="E1869" s="15">
        <f t="shared" si="1"/>
        <v>2025</v>
      </c>
      <c r="F1869" s="15">
        <f t="shared" si="2"/>
        <v>11</v>
      </c>
      <c r="G1869" s="15">
        <f t="shared" si="3"/>
        <v>10</v>
      </c>
    </row>
    <row r="1870">
      <c r="A1870" s="10" t="s">
        <v>27</v>
      </c>
      <c r="B1870" s="9">
        <f t="shared" si="4"/>
        <v>45972</v>
      </c>
      <c r="C1870" s="77" t="s">
        <v>1569</v>
      </c>
      <c r="D1870" s="12">
        <f>D1869</f>
        <v>11408.259</v>
      </c>
      <c r="E1870" s="15">
        <f t="shared" si="1"/>
        <v>2025</v>
      </c>
      <c r="F1870" s="15">
        <f t="shared" si="2"/>
        <v>11</v>
      </c>
      <c r="G1870" s="15">
        <f t="shared" si="3"/>
        <v>11</v>
      </c>
    </row>
    <row r="1871">
      <c r="A1871" s="10" t="s">
        <v>27</v>
      </c>
      <c r="B1871" s="9">
        <f t="shared" si="4"/>
        <v>45972</v>
      </c>
      <c r="C1871" s="77" t="s">
        <v>1570</v>
      </c>
      <c r="D1871" s="13">
        <f>SUMIFS('Lançamentos de receitas'!$E:$E,'Lançamentos de receitas'!$A:$A,B1871,'Lançamentos de receitas'!$C:$C,A1871,'Lançamentos de receitas'!$F:$F,"TRANSFERÊNCIA")</f>
        <v>0</v>
      </c>
      <c r="E1871" s="15">
        <f t="shared" si="1"/>
        <v>2025</v>
      </c>
      <c r="F1871" s="15">
        <f t="shared" si="2"/>
        <v>11</v>
      </c>
      <c r="G1871" s="15">
        <f t="shared" si="3"/>
        <v>11</v>
      </c>
    </row>
    <row r="1872">
      <c r="A1872" s="10" t="s">
        <v>27</v>
      </c>
      <c r="B1872" s="9">
        <f t="shared" si="4"/>
        <v>45972</v>
      </c>
      <c r="C1872" s="77" t="s">
        <v>1571</v>
      </c>
      <c r="D1872" s="13">
        <f>SUMIFS('Lançamentos de despesas'!$K:$K,'Lançamentos de despesas'!$C:$C,B1872,'Lançamentos de despesas'!$G:$G,A1872,'Lançamentos de despesas'!$E:$E,"pago")</f>
        <v>0</v>
      </c>
      <c r="E1872" s="15">
        <f t="shared" si="1"/>
        <v>2025</v>
      </c>
      <c r="F1872" s="15">
        <f t="shared" si="2"/>
        <v>11</v>
      </c>
      <c r="G1872" s="15">
        <f t="shared" si="3"/>
        <v>11</v>
      </c>
    </row>
    <row r="1873">
      <c r="A1873" s="10" t="s">
        <v>27</v>
      </c>
      <c r="B1873" s="9">
        <f t="shared" si="4"/>
        <v>45972</v>
      </c>
      <c r="C1873" s="77" t="s">
        <v>1572</v>
      </c>
      <c r="D1873" s="13">
        <f>D1870+D1871-D1872</f>
        <v>11408.259</v>
      </c>
      <c r="E1873" s="15">
        <f t="shared" si="1"/>
        <v>2025</v>
      </c>
      <c r="F1873" s="15">
        <f t="shared" si="2"/>
        <v>11</v>
      </c>
      <c r="G1873" s="15">
        <f t="shared" si="3"/>
        <v>11</v>
      </c>
    </row>
    <row r="1874">
      <c r="A1874" s="10" t="s">
        <v>27</v>
      </c>
      <c r="B1874" s="9">
        <f t="shared" si="4"/>
        <v>45973</v>
      </c>
      <c r="C1874" s="77" t="s">
        <v>1569</v>
      </c>
      <c r="D1874" s="12">
        <f>D1873</f>
        <v>11408.259</v>
      </c>
      <c r="E1874" s="15">
        <f t="shared" si="1"/>
        <v>2025</v>
      </c>
      <c r="F1874" s="15">
        <f t="shared" si="2"/>
        <v>11</v>
      </c>
      <c r="G1874" s="15">
        <f t="shared" si="3"/>
        <v>12</v>
      </c>
    </row>
    <row r="1875">
      <c r="A1875" s="10" t="s">
        <v>27</v>
      </c>
      <c r="B1875" s="9">
        <f t="shared" si="4"/>
        <v>45973</v>
      </c>
      <c r="C1875" s="77" t="s">
        <v>1570</v>
      </c>
      <c r="D1875" s="13">
        <f>SUMIFS('Lançamentos de receitas'!$E:$E,'Lançamentos de receitas'!$A:$A,B1875,'Lançamentos de receitas'!$C:$C,A1875,'Lançamentos de receitas'!$F:$F,"TRANSFERÊNCIA")</f>
        <v>2154.98</v>
      </c>
      <c r="E1875" s="15">
        <f t="shared" si="1"/>
        <v>2025</v>
      </c>
      <c r="F1875" s="15">
        <f t="shared" si="2"/>
        <v>11</v>
      </c>
      <c r="G1875" s="15">
        <f t="shared" si="3"/>
        <v>12</v>
      </c>
    </row>
    <row r="1876">
      <c r="A1876" s="10" t="s">
        <v>27</v>
      </c>
      <c r="B1876" s="9">
        <f t="shared" si="4"/>
        <v>45973</v>
      </c>
      <c r="C1876" s="77" t="s">
        <v>1571</v>
      </c>
      <c r="D1876" s="13">
        <f>SUMIFS('Lançamentos de despesas'!$K:$K,'Lançamentos de despesas'!$C:$C,B1876,'Lançamentos de despesas'!$G:$G,A1876,'Lançamentos de despesas'!$E:$E,"pago")</f>
        <v>0</v>
      </c>
      <c r="E1876" s="15">
        <f t="shared" si="1"/>
        <v>2025</v>
      </c>
      <c r="F1876" s="15">
        <f t="shared" si="2"/>
        <v>11</v>
      </c>
      <c r="G1876" s="15">
        <f t="shared" si="3"/>
        <v>12</v>
      </c>
    </row>
    <row r="1877">
      <c r="A1877" s="10" t="s">
        <v>27</v>
      </c>
      <c r="B1877" s="9">
        <f t="shared" si="4"/>
        <v>45973</v>
      </c>
      <c r="C1877" s="77" t="s">
        <v>1572</v>
      </c>
      <c r="D1877" s="13">
        <f>D1874+D1875-D1876</f>
        <v>13563.239</v>
      </c>
      <c r="E1877" s="15">
        <f t="shared" si="1"/>
        <v>2025</v>
      </c>
      <c r="F1877" s="15">
        <f t="shared" si="2"/>
        <v>11</v>
      </c>
      <c r="G1877" s="15">
        <f t="shared" si="3"/>
        <v>12</v>
      </c>
    </row>
    <row r="1878">
      <c r="A1878" s="10" t="s">
        <v>27</v>
      </c>
      <c r="B1878" s="9">
        <f t="shared" si="4"/>
        <v>45974</v>
      </c>
      <c r="C1878" s="77" t="s">
        <v>1569</v>
      </c>
      <c r="D1878" s="12">
        <f>D1877</f>
        <v>13563.239</v>
      </c>
      <c r="E1878" s="15">
        <f t="shared" si="1"/>
        <v>2025</v>
      </c>
      <c r="F1878" s="15">
        <f t="shared" si="2"/>
        <v>11</v>
      </c>
      <c r="G1878" s="15">
        <f t="shared" si="3"/>
        <v>13</v>
      </c>
    </row>
    <row r="1879">
      <c r="A1879" s="10" t="s">
        <v>27</v>
      </c>
      <c r="B1879" s="9">
        <f t="shared" si="4"/>
        <v>45974</v>
      </c>
      <c r="C1879" s="77" t="s">
        <v>1570</v>
      </c>
      <c r="D1879" s="13">
        <f>SUMIFS('Lançamentos de receitas'!$E:$E,'Lançamentos de receitas'!$A:$A,B1879,'Lançamentos de receitas'!$C:$C,A1879,'Lançamentos de receitas'!$F:$F,"TRANSFERÊNCIA")</f>
        <v>945.14</v>
      </c>
      <c r="E1879" s="15">
        <f t="shared" si="1"/>
        <v>2025</v>
      </c>
      <c r="F1879" s="15">
        <f t="shared" si="2"/>
        <v>11</v>
      </c>
      <c r="G1879" s="15">
        <f t="shared" si="3"/>
        <v>13</v>
      </c>
    </row>
    <row r="1880">
      <c r="A1880" s="10" t="s">
        <v>27</v>
      </c>
      <c r="B1880" s="9">
        <f t="shared" si="4"/>
        <v>45974</v>
      </c>
      <c r="C1880" s="77" t="s">
        <v>1571</v>
      </c>
      <c r="D1880" s="13">
        <f>SUMIFS('Lançamentos de despesas'!$K:$K,'Lançamentos de despesas'!$C:$C,B1880,'Lançamentos de despesas'!$G:$G,A1880,'Lançamentos de despesas'!$E:$E,"pago")</f>
        <v>0</v>
      </c>
      <c r="E1880" s="15">
        <f t="shared" si="1"/>
        <v>2025</v>
      </c>
      <c r="F1880" s="15">
        <f t="shared" si="2"/>
        <v>11</v>
      </c>
      <c r="G1880" s="15">
        <f t="shared" si="3"/>
        <v>13</v>
      </c>
    </row>
    <row r="1881">
      <c r="A1881" s="10" t="s">
        <v>27</v>
      </c>
      <c r="B1881" s="9">
        <f t="shared" si="4"/>
        <v>45974</v>
      </c>
      <c r="C1881" s="77" t="s">
        <v>1572</v>
      </c>
      <c r="D1881" s="13">
        <f>D1878+D1879-D1880</f>
        <v>14508.379</v>
      </c>
      <c r="E1881" s="15">
        <f t="shared" si="1"/>
        <v>2025</v>
      </c>
      <c r="F1881" s="15">
        <f t="shared" si="2"/>
        <v>11</v>
      </c>
      <c r="G1881" s="15">
        <f t="shared" si="3"/>
        <v>13</v>
      </c>
    </row>
    <row r="1882">
      <c r="A1882" s="10" t="s">
        <v>27</v>
      </c>
      <c r="B1882" s="9">
        <f t="shared" si="4"/>
        <v>45975</v>
      </c>
      <c r="C1882" s="77" t="s">
        <v>1569</v>
      </c>
      <c r="D1882" s="12">
        <f>D1881</f>
        <v>14508.379</v>
      </c>
      <c r="E1882" s="15">
        <f t="shared" si="1"/>
        <v>2025</v>
      </c>
      <c r="F1882" s="15">
        <f t="shared" si="2"/>
        <v>11</v>
      </c>
      <c r="G1882" s="15">
        <f t="shared" si="3"/>
        <v>14</v>
      </c>
    </row>
    <row r="1883">
      <c r="A1883" s="10" t="s">
        <v>27</v>
      </c>
      <c r="B1883" s="9">
        <f t="shared" si="4"/>
        <v>45975</v>
      </c>
      <c r="C1883" s="77" t="s">
        <v>1570</v>
      </c>
      <c r="D1883" s="13">
        <f>SUMIFS('Lançamentos de receitas'!$E:$E,'Lançamentos de receitas'!$A:$A,B1883,'Lançamentos de receitas'!$C:$C,A1883,'Lançamentos de receitas'!$F:$F,"TRANSFERÊNCIA")</f>
        <v>4843.57</v>
      </c>
      <c r="E1883" s="15">
        <f t="shared" si="1"/>
        <v>2025</v>
      </c>
      <c r="F1883" s="15">
        <f t="shared" si="2"/>
        <v>11</v>
      </c>
      <c r="G1883" s="15">
        <f t="shared" si="3"/>
        <v>14</v>
      </c>
    </row>
    <row r="1884">
      <c r="A1884" s="10" t="s">
        <v>27</v>
      </c>
      <c r="B1884" s="9">
        <f t="shared" si="4"/>
        <v>45975</v>
      </c>
      <c r="C1884" s="77" t="s">
        <v>1571</v>
      </c>
      <c r="D1884" s="13">
        <f>SUMIFS('Lançamentos de despesas'!$K:$K,'Lançamentos de despesas'!$C:$C,B1884,'Lançamentos de despesas'!$G:$G,A1884,'Lançamentos de despesas'!$E:$E,"pago")</f>
        <v>7075.12</v>
      </c>
      <c r="E1884" s="15">
        <f t="shared" si="1"/>
        <v>2025</v>
      </c>
      <c r="F1884" s="15">
        <f t="shared" si="2"/>
        <v>11</v>
      </c>
      <c r="G1884" s="15">
        <f t="shared" si="3"/>
        <v>14</v>
      </c>
    </row>
    <row r="1885">
      <c r="A1885" s="10" t="s">
        <v>27</v>
      </c>
      <c r="B1885" s="9">
        <f t="shared" si="4"/>
        <v>45975</v>
      </c>
      <c r="C1885" s="77" t="s">
        <v>1572</v>
      </c>
      <c r="D1885" s="13">
        <f>D1882+D1883-D1884</f>
        <v>12276.829</v>
      </c>
      <c r="E1885" s="15">
        <f t="shared" si="1"/>
        <v>2025</v>
      </c>
      <c r="F1885" s="15">
        <f t="shared" si="2"/>
        <v>11</v>
      </c>
      <c r="G1885" s="15">
        <f t="shared" si="3"/>
        <v>14</v>
      </c>
    </row>
    <row r="1886">
      <c r="A1886" s="10" t="s">
        <v>27</v>
      </c>
      <c r="B1886" s="9">
        <f t="shared" si="4"/>
        <v>45976</v>
      </c>
      <c r="C1886" s="77" t="s">
        <v>1569</v>
      </c>
      <c r="D1886" s="12">
        <f>D1885</f>
        <v>12276.829</v>
      </c>
      <c r="E1886" s="15">
        <f t="shared" si="1"/>
        <v>2025</v>
      </c>
      <c r="F1886" s="15">
        <f t="shared" si="2"/>
        <v>11</v>
      </c>
      <c r="G1886" s="15">
        <f t="shared" si="3"/>
        <v>15</v>
      </c>
    </row>
    <row r="1887">
      <c r="A1887" s="10" t="s">
        <v>27</v>
      </c>
      <c r="B1887" s="9">
        <f t="shared" si="4"/>
        <v>45976</v>
      </c>
      <c r="C1887" s="77" t="s">
        <v>1570</v>
      </c>
      <c r="D1887" s="13">
        <f>SUMIFS('Lançamentos de receitas'!$E:$E,'Lançamentos de receitas'!$A:$A,B1887,'Lançamentos de receitas'!$C:$C,A1887,'Lançamentos de receitas'!$F:$F,"TRANSFERÊNCIA")</f>
        <v>872.07</v>
      </c>
      <c r="E1887" s="15">
        <f t="shared" si="1"/>
        <v>2025</v>
      </c>
      <c r="F1887" s="15">
        <f t="shared" si="2"/>
        <v>11</v>
      </c>
      <c r="G1887" s="15">
        <f t="shared" si="3"/>
        <v>15</v>
      </c>
    </row>
    <row r="1888">
      <c r="A1888" s="10" t="s">
        <v>27</v>
      </c>
      <c r="B1888" s="9">
        <f t="shared" si="4"/>
        <v>45976</v>
      </c>
      <c r="C1888" s="77" t="s">
        <v>1571</v>
      </c>
      <c r="D1888" s="13">
        <f>SUMIFS('Lançamentos de despesas'!$K:$K,'Lançamentos de despesas'!$C:$C,B1888,'Lançamentos de despesas'!$G:$G,A1888,'Lançamentos de despesas'!$E:$E,"pago")</f>
        <v>0</v>
      </c>
      <c r="E1888" s="15">
        <f t="shared" si="1"/>
        <v>2025</v>
      </c>
      <c r="F1888" s="15">
        <f t="shared" si="2"/>
        <v>11</v>
      </c>
      <c r="G1888" s="15">
        <f t="shared" si="3"/>
        <v>15</v>
      </c>
    </row>
    <row r="1889">
      <c r="A1889" s="10" t="s">
        <v>27</v>
      </c>
      <c r="B1889" s="9">
        <f t="shared" si="4"/>
        <v>45976</v>
      </c>
      <c r="C1889" s="77" t="s">
        <v>1572</v>
      </c>
      <c r="D1889" s="13">
        <f>D1886+D1887-D1888</f>
        <v>13148.899</v>
      </c>
      <c r="E1889" s="15">
        <f t="shared" si="1"/>
        <v>2025</v>
      </c>
      <c r="F1889" s="15">
        <f t="shared" si="2"/>
        <v>11</v>
      </c>
      <c r="G1889" s="15">
        <f t="shared" si="3"/>
        <v>15</v>
      </c>
    </row>
    <row r="1890">
      <c r="A1890" s="10" t="s">
        <v>27</v>
      </c>
      <c r="B1890" s="9">
        <f t="shared" si="4"/>
        <v>45977</v>
      </c>
      <c r="C1890" s="77" t="s">
        <v>1569</v>
      </c>
      <c r="D1890" s="12">
        <f>D1889</f>
        <v>13148.899</v>
      </c>
      <c r="E1890" s="15">
        <f t="shared" si="1"/>
        <v>2025</v>
      </c>
      <c r="F1890" s="15">
        <f t="shared" si="2"/>
        <v>11</v>
      </c>
      <c r="G1890" s="15">
        <f t="shared" si="3"/>
        <v>16</v>
      </c>
    </row>
    <row r="1891">
      <c r="A1891" s="10" t="s">
        <v>27</v>
      </c>
      <c r="B1891" s="9">
        <f t="shared" si="4"/>
        <v>45977</v>
      </c>
      <c r="C1891" s="77" t="s">
        <v>1570</v>
      </c>
      <c r="D1891" s="13">
        <f>SUMIFS('Lançamentos de receitas'!$E:$E,'Lançamentos de receitas'!$A:$A,B1891,'Lançamentos de receitas'!$C:$C,A1891,'Lançamentos de receitas'!$F:$F,"TRANSFERÊNCIA")</f>
        <v>1699.42</v>
      </c>
      <c r="E1891" s="15">
        <f t="shared" si="1"/>
        <v>2025</v>
      </c>
      <c r="F1891" s="15">
        <f t="shared" si="2"/>
        <v>11</v>
      </c>
      <c r="G1891" s="15">
        <f t="shared" si="3"/>
        <v>16</v>
      </c>
    </row>
    <row r="1892">
      <c r="A1892" s="10" t="s">
        <v>27</v>
      </c>
      <c r="B1892" s="9">
        <f t="shared" si="4"/>
        <v>45977</v>
      </c>
      <c r="C1892" s="77" t="s">
        <v>1571</v>
      </c>
      <c r="D1892" s="13">
        <f>SUMIFS('Lançamentos de despesas'!$K:$K,'Lançamentos de despesas'!$C:$C,B1892,'Lançamentos de despesas'!$G:$G,A1892,'Lançamentos de despesas'!$E:$E,"pago")</f>
        <v>0</v>
      </c>
      <c r="E1892" s="15">
        <f t="shared" si="1"/>
        <v>2025</v>
      </c>
      <c r="F1892" s="15">
        <f t="shared" si="2"/>
        <v>11</v>
      </c>
      <c r="G1892" s="15">
        <f t="shared" si="3"/>
        <v>16</v>
      </c>
    </row>
    <row r="1893">
      <c r="A1893" s="10" t="s">
        <v>27</v>
      </c>
      <c r="B1893" s="9">
        <f t="shared" si="4"/>
        <v>45977</v>
      </c>
      <c r="C1893" s="77" t="s">
        <v>1572</v>
      </c>
      <c r="D1893" s="13">
        <f>D1890+D1891-D1892</f>
        <v>14848.319</v>
      </c>
      <c r="E1893" s="15">
        <f t="shared" si="1"/>
        <v>2025</v>
      </c>
      <c r="F1893" s="15">
        <f t="shared" si="2"/>
        <v>11</v>
      </c>
      <c r="G1893" s="15">
        <f t="shared" si="3"/>
        <v>16</v>
      </c>
    </row>
    <row r="1894">
      <c r="A1894" s="10" t="s">
        <v>27</v>
      </c>
      <c r="B1894" s="9">
        <f t="shared" si="4"/>
        <v>45978</v>
      </c>
      <c r="C1894" s="77" t="s">
        <v>1569</v>
      </c>
      <c r="D1894" s="12">
        <f>D1893</f>
        <v>14848.319</v>
      </c>
      <c r="E1894" s="15">
        <f t="shared" si="1"/>
        <v>2025</v>
      </c>
      <c r="F1894" s="15">
        <f t="shared" si="2"/>
        <v>11</v>
      </c>
      <c r="G1894" s="15">
        <f t="shared" si="3"/>
        <v>17</v>
      </c>
    </row>
    <row r="1895">
      <c r="A1895" s="10" t="s">
        <v>27</v>
      </c>
      <c r="B1895" s="9">
        <f t="shared" si="4"/>
        <v>45978</v>
      </c>
      <c r="C1895" s="77" t="s">
        <v>1570</v>
      </c>
      <c r="D1895" s="13">
        <f>SUMIFS('Lançamentos de receitas'!$E:$E,'Lançamentos de receitas'!$A:$A,B1895,'Lançamentos de receitas'!$C:$C,A1895,'Lançamentos de receitas'!$F:$F,"TRANSFERÊNCIA")</f>
        <v>8872.9</v>
      </c>
      <c r="E1895" s="15">
        <f t="shared" si="1"/>
        <v>2025</v>
      </c>
      <c r="F1895" s="15">
        <f t="shared" si="2"/>
        <v>11</v>
      </c>
      <c r="G1895" s="15">
        <f t="shared" si="3"/>
        <v>17</v>
      </c>
    </row>
    <row r="1896">
      <c r="A1896" s="10" t="s">
        <v>27</v>
      </c>
      <c r="B1896" s="9">
        <f t="shared" si="4"/>
        <v>45978</v>
      </c>
      <c r="C1896" s="77" t="s">
        <v>1571</v>
      </c>
      <c r="D1896" s="13">
        <f>SUMIFS('Lançamentos de despesas'!$K:$K,'Lançamentos de despesas'!$C:$C,B1896,'Lançamentos de despesas'!$G:$G,A1896,'Lançamentos de despesas'!$E:$E,"pago")</f>
        <v>142.68</v>
      </c>
      <c r="E1896" s="15">
        <f t="shared" si="1"/>
        <v>2025</v>
      </c>
      <c r="F1896" s="15">
        <f t="shared" si="2"/>
        <v>11</v>
      </c>
      <c r="G1896" s="15">
        <f t="shared" si="3"/>
        <v>17</v>
      </c>
    </row>
    <row r="1897">
      <c r="A1897" s="10" t="s">
        <v>27</v>
      </c>
      <c r="B1897" s="9">
        <f t="shared" si="4"/>
        <v>45978</v>
      </c>
      <c r="C1897" s="77" t="s">
        <v>1572</v>
      </c>
      <c r="D1897" s="13">
        <f>D1894+D1895-D1896</f>
        <v>23578.539</v>
      </c>
      <c r="E1897" s="15">
        <f t="shared" si="1"/>
        <v>2025</v>
      </c>
      <c r="F1897" s="15">
        <f t="shared" si="2"/>
        <v>11</v>
      </c>
      <c r="G1897" s="15">
        <f t="shared" si="3"/>
        <v>17</v>
      </c>
    </row>
    <row r="1898">
      <c r="A1898" s="10" t="s">
        <v>27</v>
      </c>
      <c r="B1898" s="9">
        <f t="shared" si="4"/>
        <v>45979</v>
      </c>
      <c r="C1898" s="77" t="s">
        <v>1569</v>
      </c>
      <c r="D1898" s="12">
        <f>D1897</f>
        <v>23578.539</v>
      </c>
      <c r="E1898" s="15">
        <f t="shared" si="1"/>
        <v>2025</v>
      </c>
      <c r="F1898" s="15">
        <f t="shared" si="2"/>
        <v>11</v>
      </c>
      <c r="G1898" s="15">
        <f t="shared" si="3"/>
        <v>18</v>
      </c>
    </row>
    <row r="1899">
      <c r="A1899" s="10" t="s">
        <v>27</v>
      </c>
      <c r="B1899" s="9">
        <f t="shared" si="4"/>
        <v>45979</v>
      </c>
      <c r="C1899" s="77" t="s">
        <v>1570</v>
      </c>
      <c r="D1899" s="13">
        <f>SUMIFS('Lançamentos de receitas'!$E:$E,'Lançamentos de receitas'!$A:$A,B1899,'Lançamentos de receitas'!$C:$C,A1899,'Lançamentos de receitas'!$F:$F,"TRANSFERÊNCIA")</f>
        <v>29053.64</v>
      </c>
      <c r="E1899" s="15">
        <f t="shared" si="1"/>
        <v>2025</v>
      </c>
      <c r="F1899" s="15">
        <f t="shared" si="2"/>
        <v>11</v>
      </c>
      <c r="G1899" s="15">
        <f t="shared" si="3"/>
        <v>18</v>
      </c>
    </row>
    <row r="1900">
      <c r="A1900" s="10" t="s">
        <v>27</v>
      </c>
      <c r="B1900" s="9">
        <f t="shared" si="4"/>
        <v>45979</v>
      </c>
      <c r="C1900" s="77" t="s">
        <v>1571</v>
      </c>
      <c r="D1900" s="13">
        <f>SUMIFS('Lançamentos de despesas'!$K:$K,'Lançamentos de despesas'!$C:$C,B1900,'Lançamentos de despesas'!$G:$G,A1900,'Lançamentos de despesas'!$E:$E,"pago")</f>
        <v>3475.74</v>
      </c>
      <c r="E1900" s="15">
        <f t="shared" si="1"/>
        <v>2025</v>
      </c>
      <c r="F1900" s="15">
        <f t="shared" si="2"/>
        <v>11</v>
      </c>
      <c r="G1900" s="15">
        <f t="shared" si="3"/>
        <v>18</v>
      </c>
    </row>
    <row r="1901">
      <c r="A1901" s="10" t="s">
        <v>27</v>
      </c>
      <c r="B1901" s="9">
        <f t="shared" si="4"/>
        <v>45979</v>
      </c>
      <c r="C1901" s="77" t="s">
        <v>1572</v>
      </c>
      <c r="D1901" s="13">
        <f>D1898+D1899-D1900</f>
        <v>49156.439</v>
      </c>
      <c r="E1901" s="15">
        <f t="shared" si="1"/>
        <v>2025</v>
      </c>
      <c r="F1901" s="15">
        <f t="shared" si="2"/>
        <v>11</v>
      </c>
      <c r="G1901" s="15">
        <f t="shared" si="3"/>
        <v>18</v>
      </c>
    </row>
    <row r="1902">
      <c r="A1902" s="10" t="s">
        <v>27</v>
      </c>
      <c r="B1902" s="9">
        <f t="shared" si="4"/>
        <v>45980</v>
      </c>
      <c r="C1902" s="77" t="s">
        <v>1569</v>
      </c>
      <c r="D1902" s="12">
        <f>D1901</f>
        <v>49156.439</v>
      </c>
      <c r="E1902" s="15">
        <f t="shared" si="1"/>
        <v>2025</v>
      </c>
      <c r="F1902" s="15">
        <f t="shared" si="2"/>
        <v>11</v>
      </c>
      <c r="G1902" s="15">
        <f t="shared" si="3"/>
        <v>19</v>
      </c>
    </row>
    <row r="1903">
      <c r="A1903" s="10" t="s">
        <v>27</v>
      </c>
      <c r="B1903" s="9">
        <f t="shared" si="4"/>
        <v>45980</v>
      </c>
      <c r="C1903" s="77" t="s">
        <v>1570</v>
      </c>
      <c r="D1903" s="13">
        <f>SUMIFS('Lançamentos de receitas'!$E:$E,'Lançamentos de receitas'!$A:$A,B1903,'Lançamentos de receitas'!$C:$C,A1903,'Lançamentos de receitas'!$F:$F,"TRANSFERÊNCIA")</f>
        <v>1190.85</v>
      </c>
      <c r="E1903" s="15">
        <f t="shared" si="1"/>
        <v>2025</v>
      </c>
      <c r="F1903" s="15">
        <f t="shared" si="2"/>
        <v>11</v>
      </c>
      <c r="G1903" s="15">
        <f t="shared" si="3"/>
        <v>19</v>
      </c>
    </row>
    <row r="1904">
      <c r="A1904" s="10" t="s">
        <v>27</v>
      </c>
      <c r="B1904" s="9">
        <f t="shared" si="4"/>
        <v>45980</v>
      </c>
      <c r="C1904" s="77" t="s">
        <v>1571</v>
      </c>
      <c r="D1904" s="13">
        <f>SUMIFS('Lançamentos de despesas'!$K:$K,'Lançamentos de despesas'!$C:$C,B1904,'Lançamentos de despesas'!$G:$G,A1904,'Lançamentos de despesas'!$E:$E,"pago")</f>
        <v>1913.92</v>
      </c>
      <c r="E1904" s="15">
        <f t="shared" si="1"/>
        <v>2025</v>
      </c>
      <c r="F1904" s="15">
        <f t="shared" si="2"/>
        <v>11</v>
      </c>
      <c r="G1904" s="15">
        <f t="shared" si="3"/>
        <v>19</v>
      </c>
    </row>
    <row r="1905">
      <c r="A1905" s="10" t="s">
        <v>27</v>
      </c>
      <c r="B1905" s="9">
        <f t="shared" si="4"/>
        <v>45980</v>
      </c>
      <c r="C1905" s="77" t="s">
        <v>1572</v>
      </c>
      <c r="D1905" s="13">
        <f>D1902+D1903-D1904</f>
        <v>48433.369</v>
      </c>
      <c r="E1905" s="15">
        <f t="shared" si="1"/>
        <v>2025</v>
      </c>
      <c r="F1905" s="15">
        <f t="shared" si="2"/>
        <v>11</v>
      </c>
      <c r="G1905" s="15">
        <f t="shared" si="3"/>
        <v>19</v>
      </c>
    </row>
    <row r="1906">
      <c r="A1906" s="10" t="s">
        <v>27</v>
      </c>
      <c r="B1906" s="9">
        <f t="shared" si="4"/>
        <v>45981</v>
      </c>
      <c r="C1906" s="77" t="s">
        <v>1569</v>
      </c>
      <c r="D1906" s="12">
        <f>D1905</f>
        <v>48433.369</v>
      </c>
      <c r="E1906" s="15">
        <f t="shared" si="1"/>
        <v>2025</v>
      </c>
      <c r="F1906" s="15">
        <f t="shared" si="2"/>
        <v>11</v>
      </c>
      <c r="G1906" s="15">
        <f t="shared" si="3"/>
        <v>20</v>
      </c>
    </row>
    <row r="1907">
      <c r="A1907" s="10" t="s">
        <v>27</v>
      </c>
      <c r="B1907" s="9">
        <f t="shared" si="4"/>
        <v>45981</v>
      </c>
      <c r="C1907" s="77" t="s">
        <v>1570</v>
      </c>
      <c r="D1907" s="13">
        <f>SUMIFS('Lançamentos de receitas'!$E:$E,'Lançamentos de receitas'!$A:$A,B1907,'Lançamentos de receitas'!$C:$C,A1907,'Lançamentos de receitas'!$F:$F,"TRANSFERÊNCIA")</f>
        <v>1957.65</v>
      </c>
      <c r="E1907" s="15">
        <f t="shared" si="1"/>
        <v>2025</v>
      </c>
      <c r="F1907" s="15">
        <f t="shared" si="2"/>
        <v>11</v>
      </c>
      <c r="G1907" s="15">
        <f t="shared" si="3"/>
        <v>20</v>
      </c>
    </row>
    <row r="1908">
      <c r="A1908" s="10" t="s">
        <v>27</v>
      </c>
      <c r="B1908" s="9">
        <f t="shared" si="4"/>
        <v>45981</v>
      </c>
      <c r="C1908" s="77" t="s">
        <v>1571</v>
      </c>
      <c r="D1908" s="13">
        <f>SUMIFS('Lançamentos de despesas'!$K:$K,'Lançamentos de despesas'!$C:$C,B1908,'Lançamentos de despesas'!$G:$G,A1908,'Lançamentos de despesas'!$E:$E,"pago")</f>
        <v>0</v>
      </c>
      <c r="E1908" s="15">
        <f t="shared" si="1"/>
        <v>2025</v>
      </c>
      <c r="F1908" s="15">
        <f t="shared" si="2"/>
        <v>11</v>
      </c>
      <c r="G1908" s="15">
        <f t="shared" si="3"/>
        <v>20</v>
      </c>
    </row>
    <row r="1909">
      <c r="A1909" s="10" t="s">
        <v>27</v>
      </c>
      <c r="B1909" s="9">
        <f t="shared" si="4"/>
        <v>45981</v>
      </c>
      <c r="C1909" s="77" t="s">
        <v>1572</v>
      </c>
      <c r="D1909" s="13">
        <f>D1906+D1907-D1908</f>
        <v>50391.019</v>
      </c>
      <c r="E1909" s="15">
        <f t="shared" si="1"/>
        <v>2025</v>
      </c>
      <c r="F1909" s="15">
        <f t="shared" si="2"/>
        <v>11</v>
      </c>
      <c r="G1909" s="15">
        <f t="shared" si="3"/>
        <v>20</v>
      </c>
    </row>
    <row r="1910">
      <c r="A1910" s="10" t="s">
        <v>27</v>
      </c>
      <c r="B1910" s="9">
        <f t="shared" si="4"/>
        <v>45982</v>
      </c>
      <c r="C1910" s="77" t="s">
        <v>1569</v>
      </c>
      <c r="D1910" s="12">
        <f>D1909</f>
        <v>50391.019</v>
      </c>
      <c r="E1910" s="15">
        <f t="shared" si="1"/>
        <v>2025</v>
      </c>
      <c r="F1910" s="15">
        <f t="shared" si="2"/>
        <v>11</v>
      </c>
      <c r="G1910" s="15">
        <f t="shared" si="3"/>
        <v>21</v>
      </c>
    </row>
    <row r="1911">
      <c r="A1911" s="10" t="s">
        <v>27</v>
      </c>
      <c r="B1911" s="9">
        <f t="shared" si="4"/>
        <v>45982</v>
      </c>
      <c r="C1911" s="77" t="s">
        <v>1570</v>
      </c>
      <c r="D1911" s="13">
        <f>SUMIFS('Lançamentos de receitas'!$E:$E,'Lançamentos de receitas'!$A:$A,B1911,'Lançamentos de receitas'!$C:$C,A1911,'Lançamentos de receitas'!$F:$F,"TRANSFERÊNCIA")</f>
        <v>1291.02</v>
      </c>
      <c r="E1911" s="15">
        <f t="shared" si="1"/>
        <v>2025</v>
      </c>
      <c r="F1911" s="15">
        <f t="shared" si="2"/>
        <v>11</v>
      </c>
      <c r="G1911" s="15">
        <f t="shared" si="3"/>
        <v>21</v>
      </c>
    </row>
    <row r="1912">
      <c r="A1912" s="10" t="s">
        <v>27</v>
      </c>
      <c r="B1912" s="9">
        <f t="shared" si="4"/>
        <v>45982</v>
      </c>
      <c r="C1912" s="77" t="s">
        <v>1571</v>
      </c>
      <c r="D1912" s="13">
        <f>SUMIFS('Lançamentos de despesas'!$K:$K,'Lançamentos de despesas'!$C:$C,B1912,'Lançamentos de despesas'!$G:$G,A1912,'Lançamentos de despesas'!$E:$E,"pago")</f>
        <v>17577.91</v>
      </c>
      <c r="E1912" s="15">
        <f t="shared" si="1"/>
        <v>2025</v>
      </c>
      <c r="F1912" s="15">
        <f t="shared" si="2"/>
        <v>11</v>
      </c>
      <c r="G1912" s="15">
        <f t="shared" si="3"/>
        <v>21</v>
      </c>
    </row>
    <row r="1913">
      <c r="A1913" s="10" t="s">
        <v>27</v>
      </c>
      <c r="B1913" s="9">
        <f t="shared" si="4"/>
        <v>45982</v>
      </c>
      <c r="C1913" s="77" t="s">
        <v>1572</v>
      </c>
      <c r="D1913" s="13">
        <f>D1910+D1911-D1912</f>
        <v>34104.129</v>
      </c>
      <c r="E1913" s="15">
        <f t="shared" si="1"/>
        <v>2025</v>
      </c>
      <c r="F1913" s="15">
        <f t="shared" si="2"/>
        <v>11</v>
      </c>
      <c r="G1913" s="15">
        <f t="shared" si="3"/>
        <v>21</v>
      </c>
    </row>
    <row r="1914">
      <c r="A1914" s="10" t="s">
        <v>27</v>
      </c>
      <c r="B1914" s="9">
        <f t="shared" si="4"/>
        <v>45983</v>
      </c>
      <c r="C1914" s="77" t="s">
        <v>1569</v>
      </c>
      <c r="D1914" s="12">
        <f>D1913</f>
        <v>34104.129</v>
      </c>
      <c r="E1914" s="15">
        <f t="shared" si="1"/>
        <v>2025</v>
      </c>
      <c r="F1914" s="15">
        <f t="shared" si="2"/>
        <v>11</v>
      </c>
      <c r="G1914" s="15">
        <f t="shared" si="3"/>
        <v>22</v>
      </c>
    </row>
    <row r="1915">
      <c r="A1915" s="10" t="s">
        <v>27</v>
      </c>
      <c r="B1915" s="9">
        <f t="shared" si="4"/>
        <v>45983</v>
      </c>
      <c r="C1915" s="77" t="s">
        <v>1570</v>
      </c>
      <c r="D1915" s="13">
        <f>SUMIFS('Lançamentos de receitas'!$E:$E,'Lançamentos de receitas'!$A:$A,B1915,'Lançamentos de receitas'!$C:$C,A1915,'Lançamentos de receitas'!$F:$F,"TRANSFERÊNCIA")</f>
        <v>858.86</v>
      </c>
      <c r="E1915" s="15">
        <f t="shared" si="1"/>
        <v>2025</v>
      </c>
      <c r="F1915" s="15">
        <f t="shared" si="2"/>
        <v>11</v>
      </c>
      <c r="G1915" s="15">
        <f t="shared" si="3"/>
        <v>22</v>
      </c>
    </row>
    <row r="1916">
      <c r="A1916" s="10" t="s">
        <v>27</v>
      </c>
      <c r="B1916" s="9">
        <f t="shared" si="4"/>
        <v>45983</v>
      </c>
      <c r="C1916" s="77" t="s">
        <v>1571</v>
      </c>
      <c r="D1916" s="13">
        <f>SUMIFS('Lançamentos de despesas'!$K:$K,'Lançamentos de despesas'!$C:$C,B1916,'Lançamentos de despesas'!$G:$G,A1916,'Lançamentos de despesas'!$E:$E,"pago")</f>
        <v>0</v>
      </c>
      <c r="E1916" s="15">
        <f t="shared" si="1"/>
        <v>2025</v>
      </c>
      <c r="F1916" s="15">
        <f t="shared" si="2"/>
        <v>11</v>
      </c>
      <c r="G1916" s="15">
        <f t="shared" si="3"/>
        <v>22</v>
      </c>
    </row>
    <row r="1917">
      <c r="A1917" s="10" t="s">
        <v>27</v>
      </c>
      <c r="B1917" s="9">
        <f t="shared" si="4"/>
        <v>45983</v>
      </c>
      <c r="C1917" s="77" t="s">
        <v>1572</v>
      </c>
      <c r="D1917" s="13">
        <f>D1914+D1915-D1916</f>
        <v>34962.989</v>
      </c>
      <c r="E1917" s="15">
        <f t="shared" si="1"/>
        <v>2025</v>
      </c>
      <c r="F1917" s="15">
        <f t="shared" si="2"/>
        <v>11</v>
      </c>
      <c r="G1917" s="15">
        <f t="shared" si="3"/>
        <v>22</v>
      </c>
    </row>
    <row r="1918">
      <c r="A1918" s="10" t="s">
        <v>27</v>
      </c>
      <c r="B1918" s="9">
        <f t="shared" si="4"/>
        <v>45984</v>
      </c>
      <c r="C1918" s="77" t="s">
        <v>1569</v>
      </c>
      <c r="D1918" s="12">
        <f>D1917</f>
        <v>34962.989</v>
      </c>
      <c r="E1918" s="15">
        <f t="shared" si="1"/>
        <v>2025</v>
      </c>
      <c r="F1918" s="15">
        <f t="shared" si="2"/>
        <v>11</v>
      </c>
      <c r="G1918" s="15">
        <f t="shared" si="3"/>
        <v>23</v>
      </c>
    </row>
    <row r="1919">
      <c r="A1919" s="10" t="s">
        <v>27</v>
      </c>
      <c r="B1919" s="9">
        <f t="shared" si="4"/>
        <v>45984</v>
      </c>
      <c r="C1919" s="77" t="s">
        <v>1570</v>
      </c>
      <c r="D1919" s="13">
        <f>SUMIFS('Lançamentos de receitas'!$E:$E,'Lançamentos de receitas'!$A:$A,B1919,'Lançamentos de receitas'!$C:$C,A1919,'Lançamentos de receitas'!$F:$F,"TRANSFERÊNCIA")</f>
        <v>1216.8</v>
      </c>
      <c r="E1919" s="15">
        <f t="shared" si="1"/>
        <v>2025</v>
      </c>
      <c r="F1919" s="15">
        <f t="shared" si="2"/>
        <v>11</v>
      </c>
      <c r="G1919" s="15">
        <f t="shared" si="3"/>
        <v>23</v>
      </c>
    </row>
    <row r="1920">
      <c r="A1920" s="10" t="s">
        <v>27</v>
      </c>
      <c r="B1920" s="9">
        <f t="shared" si="4"/>
        <v>45984</v>
      </c>
      <c r="C1920" s="77" t="s">
        <v>1571</v>
      </c>
      <c r="D1920" s="13">
        <f>SUMIFS('Lançamentos de despesas'!$K:$K,'Lançamentos de despesas'!$C:$C,B1920,'Lançamentos de despesas'!$G:$G,A1920,'Lançamentos de despesas'!$E:$E,"pago")</f>
        <v>0</v>
      </c>
      <c r="E1920" s="15">
        <f t="shared" si="1"/>
        <v>2025</v>
      </c>
      <c r="F1920" s="15">
        <f t="shared" si="2"/>
        <v>11</v>
      </c>
      <c r="G1920" s="15">
        <f t="shared" si="3"/>
        <v>23</v>
      </c>
    </row>
    <row r="1921">
      <c r="A1921" s="10" t="s">
        <v>27</v>
      </c>
      <c r="B1921" s="9">
        <f t="shared" si="4"/>
        <v>45984</v>
      </c>
      <c r="C1921" s="77" t="s">
        <v>1572</v>
      </c>
      <c r="D1921" s="13">
        <f>D1918+D1919-D1920</f>
        <v>36179.789</v>
      </c>
      <c r="E1921" s="15">
        <f t="shared" si="1"/>
        <v>2025</v>
      </c>
      <c r="F1921" s="15">
        <f t="shared" si="2"/>
        <v>11</v>
      </c>
      <c r="G1921" s="15">
        <f t="shared" si="3"/>
        <v>23</v>
      </c>
    </row>
    <row r="1922">
      <c r="A1922" s="10" t="s">
        <v>27</v>
      </c>
      <c r="B1922" s="9">
        <f t="shared" si="4"/>
        <v>45985</v>
      </c>
      <c r="C1922" s="77" t="s">
        <v>1569</v>
      </c>
      <c r="D1922" s="12">
        <f>D1921</f>
        <v>36179.789</v>
      </c>
      <c r="E1922" s="15">
        <f t="shared" si="1"/>
        <v>2025</v>
      </c>
      <c r="F1922" s="15">
        <f t="shared" si="2"/>
        <v>11</v>
      </c>
      <c r="G1922" s="15">
        <f t="shared" si="3"/>
        <v>24</v>
      </c>
    </row>
    <row r="1923">
      <c r="A1923" s="10" t="s">
        <v>27</v>
      </c>
      <c r="B1923" s="9">
        <f t="shared" si="4"/>
        <v>45985</v>
      </c>
      <c r="C1923" s="77" t="s">
        <v>1570</v>
      </c>
      <c r="D1923" s="13">
        <f>SUMIFS('Lançamentos de receitas'!$E:$E,'Lançamentos de receitas'!$A:$A,B1923,'Lançamentos de receitas'!$C:$C,A1923,'Lançamentos de receitas'!$F:$F,"TRANSFERÊNCIA")</f>
        <v>59.74</v>
      </c>
      <c r="E1923" s="15">
        <f t="shared" si="1"/>
        <v>2025</v>
      </c>
      <c r="F1923" s="15">
        <f t="shared" si="2"/>
        <v>11</v>
      </c>
      <c r="G1923" s="15">
        <f t="shared" si="3"/>
        <v>24</v>
      </c>
    </row>
    <row r="1924">
      <c r="A1924" s="10" t="s">
        <v>27</v>
      </c>
      <c r="B1924" s="9">
        <f t="shared" si="4"/>
        <v>45985</v>
      </c>
      <c r="C1924" s="77" t="s">
        <v>1571</v>
      </c>
      <c r="D1924" s="13">
        <f>SUMIFS('Lançamentos de despesas'!$K:$K,'Lançamentos de despesas'!$C:$C,B1924,'Lançamentos de despesas'!$G:$G,A1924,'Lançamentos de despesas'!$E:$E,"pago")</f>
        <v>0</v>
      </c>
      <c r="E1924" s="15">
        <f t="shared" si="1"/>
        <v>2025</v>
      </c>
      <c r="F1924" s="15">
        <f t="shared" si="2"/>
        <v>11</v>
      </c>
      <c r="G1924" s="15">
        <f t="shared" si="3"/>
        <v>24</v>
      </c>
    </row>
    <row r="1925">
      <c r="A1925" s="10" t="s">
        <v>27</v>
      </c>
      <c r="B1925" s="9">
        <f t="shared" si="4"/>
        <v>45985</v>
      </c>
      <c r="C1925" s="77" t="s">
        <v>1572</v>
      </c>
      <c r="D1925" s="13">
        <f>D1922+D1923-D1924</f>
        <v>36239.529</v>
      </c>
      <c r="E1925" s="15">
        <f t="shared" si="1"/>
        <v>2025</v>
      </c>
      <c r="F1925" s="15">
        <f t="shared" si="2"/>
        <v>11</v>
      </c>
      <c r="G1925" s="15">
        <f t="shared" si="3"/>
        <v>24</v>
      </c>
    </row>
    <row r="1926">
      <c r="A1926" s="10" t="s">
        <v>27</v>
      </c>
      <c r="B1926" s="9">
        <f t="shared" si="4"/>
        <v>45986</v>
      </c>
      <c r="C1926" s="77" t="s">
        <v>1569</v>
      </c>
      <c r="D1926" s="12">
        <f>D1925</f>
        <v>36239.529</v>
      </c>
      <c r="E1926" s="15">
        <f t="shared" si="1"/>
        <v>2025</v>
      </c>
      <c r="F1926" s="15">
        <f t="shared" si="2"/>
        <v>11</v>
      </c>
      <c r="G1926" s="15">
        <f t="shared" si="3"/>
        <v>25</v>
      </c>
    </row>
    <row r="1927">
      <c r="A1927" s="10" t="s">
        <v>27</v>
      </c>
      <c r="B1927" s="9">
        <f t="shared" si="4"/>
        <v>45986</v>
      </c>
      <c r="C1927" s="77" t="s">
        <v>1570</v>
      </c>
      <c r="D1927" s="13">
        <f>SUMIFS('Lançamentos de receitas'!$E:$E,'Lançamentos de receitas'!$A:$A,B1927,'Lançamentos de receitas'!$C:$C,A1927,'Lançamentos de receitas'!$F:$F,"TRANSFERÊNCIA")</f>
        <v>748.62</v>
      </c>
      <c r="E1927" s="15">
        <f t="shared" si="1"/>
        <v>2025</v>
      </c>
      <c r="F1927" s="15">
        <f t="shared" si="2"/>
        <v>11</v>
      </c>
      <c r="G1927" s="15">
        <f t="shared" si="3"/>
        <v>25</v>
      </c>
    </row>
    <row r="1928">
      <c r="A1928" s="10" t="s">
        <v>27</v>
      </c>
      <c r="B1928" s="9">
        <f t="shared" si="4"/>
        <v>45986</v>
      </c>
      <c r="C1928" s="77" t="s">
        <v>1571</v>
      </c>
      <c r="D1928" s="13">
        <f>SUMIFS('Lançamentos de despesas'!$K:$K,'Lançamentos de despesas'!$C:$C,B1928,'Lançamentos de despesas'!$G:$G,A1928,'Lançamentos de despesas'!$E:$E,"pago")</f>
        <v>6000.01</v>
      </c>
      <c r="E1928" s="15">
        <f t="shared" si="1"/>
        <v>2025</v>
      </c>
      <c r="F1928" s="15">
        <f t="shared" si="2"/>
        <v>11</v>
      </c>
      <c r="G1928" s="15">
        <f t="shared" si="3"/>
        <v>25</v>
      </c>
    </row>
    <row r="1929">
      <c r="A1929" s="10" t="s">
        <v>27</v>
      </c>
      <c r="B1929" s="9">
        <f t="shared" si="4"/>
        <v>45986</v>
      </c>
      <c r="C1929" s="77" t="s">
        <v>1572</v>
      </c>
      <c r="D1929" s="13">
        <f>D1926+D1927-D1928</f>
        <v>30988.139</v>
      </c>
      <c r="E1929" s="15">
        <f t="shared" si="1"/>
        <v>2025</v>
      </c>
      <c r="F1929" s="15">
        <f t="shared" si="2"/>
        <v>11</v>
      </c>
      <c r="G1929" s="15">
        <f t="shared" si="3"/>
        <v>25</v>
      </c>
    </row>
    <row r="1930">
      <c r="A1930" s="10" t="s">
        <v>27</v>
      </c>
      <c r="B1930" s="9">
        <f t="shared" si="4"/>
        <v>45987</v>
      </c>
      <c r="C1930" s="77" t="s">
        <v>1569</v>
      </c>
      <c r="D1930" s="12">
        <f>D1929</f>
        <v>30988.139</v>
      </c>
      <c r="E1930" s="15">
        <f t="shared" si="1"/>
        <v>2025</v>
      </c>
      <c r="F1930" s="15">
        <f t="shared" si="2"/>
        <v>11</v>
      </c>
      <c r="G1930" s="15">
        <f t="shared" si="3"/>
        <v>26</v>
      </c>
    </row>
    <row r="1931">
      <c r="A1931" s="10" t="s">
        <v>27</v>
      </c>
      <c r="B1931" s="9">
        <f t="shared" si="4"/>
        <v>45987</v>
      </c>
      <c r="C1931" s="77" t="s">
        <v>1570</v>
      </c>
      <c r="D1931" s="13">
        <f>SUMIFS('Lançamentos de receitas'!$E:$E,'Lançamentos de receitas'!$A:$A,B1931,'Lançamentos de receitas'!$C:$C,A1931,'Lançamentos de receitas'!$F:$F,"TRANSFERÊNCIA")</f>
        <v>1887.99</v>
      </c>
      <c r="E1931" s="15">
        <f t="shared" si="1"/>
        <v>2025</v>
      </c>
      <c r="F1931" s="15">
        <f t="shared" si="2"/>
        <v>11</v>
      </c>
      <c r="G1931" s="15">
        <f t="shared" si="3"/>
        <v>26</v>
      </c>
    </row>
    <row r="1932">
      <c r="A1932" s="10" t="s">
        <v>27</v>
      </c>
      <c r="B1932" s="9">
        <f t="shared" si="4"/>
        <v>45987</v>
      </c>
      <c r="C1932" s="77" t="s">
        <v>1571</v>
      </c>
      <c r="D1932" s="13">
        <f>SUMIFS('Lançamentos de despesas'!$K:$K,'Lançamentos de despesas'!$C:$C,B1932,'Lançamentos de despesas'!$G:$G,A1932,'Lançamentos de despesas'!$E:$E,"pago")</f>
        <v>0</v>
      </c>
      <c r="E1932" s="15">
        <f t="shared" si="1"/>
        <v>2025</v>
      </c>
      <c r="F1932" s="15">
        <f t="shared" si="2"/>
        <v>11</v>
      </c>
      <c r="G1932" s="15">
        <f t="shared" si="3"/>
        <v>26</v>
      </c>
    </row>
    <row r="1933">
      <c r="A1933" s="10" t="s">
        <v>27</v>
      </c>
      <c r="B1933" s="9">
        <f t="shared" si="4"/>
        <v>45987</v>
      </c>
      <c r="C1933" s="77" t="s">
        <v>1572</v>
      </c>
      <c r="D1933" s="13">
        <f>D1930+D1931-D1932</f>
        <v>32876.129</v>
      </c>
      <c r="E1933" s="15">
        <f t="shared" si="1"/>
        <v>2025</v>
      </c>
      <c r="F1933" s="15">
        <f t="shared" si="2"/>
        <v>11</v>
      </c>
      <c r="G1933" s="15">
        <f t="shared" si="3"/>
        <v>26</v>
      </c>
    </row>
    <row r="1934">
      <c r="A1934" s="10" t="s">
        <v>27</v>
      </c>
      <c r="B1934" s="9">
        <f t="shared" si="4"/>
        <v>45988</v>
      </c>
      <c r="C1934" s="77" t="s">
        <v>1569</v>
      </c>
      <c r="D1934" s="12">
        <f>D1933</f>
        <v>32876.129</v>
      </c>
      <c r="E1934" s="15">
        <f t="shared" si="1"/>
        <v>2025</v>
      </c>
      <c r="F1934" s="15">
        <f t="shared" si="2"/>
        <v>11</v>
      </c>
      <c r="G1934" s="15">
        <f t="shared" si="3"/>
        <v>27</v>
      </c>
    </row>
    <row r="1935">
      <c r="A1935" s="10" t="s">
        <v>27</v>
      </c>
      <c r="B1935" s="9">
        <f t="shared" si="4"/>
        <v>45988</v>
      </c>
      <c r="C1935" s="77" t="s">
        <v>1570</v>
      </c>
      <c r="D1935" s="13">
        <f>SUMIFS('Lançamentos de receitas'!$E:$E,'Lançamentos de receitas'!$A:$A,B1935,'Lançamentos de receitas'!$C:$C,A1935,'Lançamentos de receitas'!$F:$F,"TRANSFERÊNCIA")</f>
        <v>1648.61</v>
      </c>
      <c r="E1935" s="15">
        <f t="shared" si="1"/>
        <v>2025</v>
      </c>
      <c r="F1935" s="15">
        <f t="shared" si="2"/>
        <v>11</v>
      </c>
      <c r="G1935" s="15">
        <f t="shared" si="3"/>
        <v>27</v>
      </c>
    </row>
    <row r="1936">
      <c r="A1936" s="10" t="s">
        <v>27</v>
      </c>
      <c r="B1936" s="9">
        <f t="shared" si="4"/>
        <v>45988</v>
      </c>
      <c r="C1936" s="77" t="s">
        <v>1571</v>
      </c>
      <c r="D1936" s="13">
        <f>SUMIFS('Lançamentos de despesas'!$K:$K,'Lançamentos de despesas'!$C:$C,B1936,'Lançamentos de despesas'!$G:$G,A1936,'Lançamentos de despesas'!$E:$E,"pago")</f>
        <v>0</v>
      </c>
      <c r="E1936" s="15">
        <f t="shared" si="1"/>
        <v>2025</v>
      </c>
      <c r="F1936" s="15">
        <f t="shared" si="2"/>
        <v>11</v>
      </c>
      <c r="G1936" s="15">
        <f t="shared" si="3"/>
        <v>27</v>
      </c>
    </row>
    <row r="1937">
      <c r="A1937" s="10" t="s">
        <v>27</v>
      </c>
      <c r="B1937" s="9">
        <f t="shared" si="4"/>
        <v>45988</v>
      </c>
      <c r="C1937" s="77" t="s">
        <v>1572</v>
      </c>
      <c r="D1937" s="13">
        <f>D1934+D1935-D1936</f>
        <v>34524.739</v>
      </c>
      <c r="E1937" s="15">
        <f t="shared" si="1"/>
        <v>2025</v>
      </c>
      <c r="F1937" s="15">
        <f t="shared" si="2"/>
        <v>11</v>
      </c>
      <c r="G1937" s="15">
        <f t="shared" si="3"/>
        <v>27</v>
      </c>
    </row>
    <row r="1938">
      <c r="A1938" s="10" t="s">
        <v>27</v>
      </c>
      <c r="B1938" s="9">
        <f t="shared" si="4"/>
        <v>45989</v>
      </c>
      <c r="C1938" s="77" t="s">
        <v>1569</v>
      </c>
      <c r="D1938" s="12">
        <f>D1937</f>
        <v>34524.739</v>
      </c>
      <c r="E1938" s="15">
        <f t="shared" si="1"/>
        <v>2025</v>
      </c>
      <c r="F1938" s="15">
        <f t="shared" si="2"/>
        <v>11</v>
      </c>
      <c r="G1938" s="15">
        <f t="shared" si="3"/>
        <v>28</v>
      </c>
    </row>
    <row r="1939">
      <c r="A1939" s="10" t="s">
        <v>27</v>
      </c>
      <c r="B1939" s="9">
        <f t="shared" si="4"/>
        <v>45989</v>
      </c>
      <c r="C1939" s="77" t="s">
        <v>1570</v>
      </c>
      <c r="D1939" s="13">
        <f>SUMIFS('Lançamentos de receitas'!$E:$E,'Lançamentos de receitas'!$A:$A,B1939,'Lançamentos de receitas'!$C:$C,A1939,'Lançamentos de receitas'!$F:$F,"TRANSFERÊNCIA")</f>
        <v>4707.27</v>
      </c>
      <c r="E1939" s="15">
        <f t="shared" si="1"/>
        <v>2025</v>
      </c>
      <c r="F1939" s="15">
        <f t="shared" si="2"/>
        <v>11</v>
      </c>
      <c r="G1939" s="15">
        <f t="shared" si="3"/>
        <v>28</v>
      </c>
    </row>
    <row r="1940">
      <c r="A1940" s="10" t="s">
        <v>27</v>
      </c>
      <c r="B1940" s="9">
        <f t="shared" si="4"/>
        <v>45989</v>
      </c>
      <c r="C1940" s="77" t="s">
        <v>1571</v>
      </c>
      <c r="D1940" s="13">
        <f>SUMIFS('Lançamentos de despesas'!$K:$K,'Lançamentos de despesas'!$C:$C,B1940,'Lançamentos de despesas'!$G:$G,A1940,'Lançamentos de despesas'!$E:$E,"pago")</f>
        <v>11523.98</v>
      </c>
      <c r="E1940" s="15">
        <f t="shared" si="1"/>
        <v>2025</v>
      </c>
      <c r="F1940" s="15">
        <f t="shared" si="2"/>
        <v>11</v>
      </c>
      <c r="G1940" s="15">
        <f t="shared" si="3"/>
        <v>28</v>
      </c>
    </row>
    <row r="1941">
      <c r="A1941" s="10" t="s">
        <v>27</v>
      </c>
      <c r="B1941" s="9">
        <f t="shared" si="4"/>
        <v>45989</v>
      </c>
      <c r="C1941" s="77" t="s">
        <v>1572</v>
      </c>
      <c r="D1941" s="13">
        <f>D1938+D1939-D1940</f>
        <v>27708.029</v>
      </c>
      <c r="E1941" s="15">
        <f t="shared" si="1"/>
        <v>2025</v>
      </c>
      <c r="F1941" s="15">
        <f t="shared" si="2"/>
        <v>11</v>
      </c>
      <c r="G1941" s="15">
        <f t="shared" si="3"/>
        <v>28</v>
      </c>
    </row>
    <row r="1942">
      <c r="A1942" s="10" t="s">
        <v>27</v>
      </c>
      <c r="B1942" s="9">
        <f t="shared" si="4"/>
        <v>45990</v>
      </c>
      <c r="C1942" s="77" t="s">
        <v>1569</v>
      </c>
      <c r="D1942" s="12">
        <f>D1941</f>
        <v>27708.029</v>
      </c>
      <c r="E1942" s="15">
        <f t="shared" si="1"/>
        <v>2025</v>
      </c>
      <c r="F1942" s="15">
        <f t="shared" si="2"/>
        <v>11</v>
      </c>
      <c r="G1942" s="15">
        <f t="shared" si="3"/>
        <v>29</v>
      </c>
    </row>
    <row r="1943">
      <c r="A1943" s="10" t="s">
        <v>27</v>
      </c>
      <c r="B1943" s="9">
        <f t="shared" si="4"/>
        <v>45990</v>
      </c>
      <c r="C1943" s="77" t="s">
        <v>1570</v>
      </c>
      <c r="D1943" s="13">
        <f>SUMIFS('Lançamentos de receitas'!$E:$E,'Lançamentos de receitas'!$A:$A,B1943,'Lançamentos de receitas'!$C:$C,A1943,'Lançamentos de receitas'!$F:$F,"TRANSFERÊNCIA")</f>
        <v>1056.53</v>
      </c>
      <c r="E1943" s="15">
        <f t="shared" si="1"/>
        <v>2025</v>
      </c>
      <c r="F1943" s="15">
        <f t="shared" si="2"/>
        <v>11</v>
      </c>
      <c r="G1943" s="15">
        <f t="shared" si="3"/>
        <v>29</v>
      </c>
    </row>
    <row r="1944">
      <c r="A1944" s="10" t="s">
        <v>27</v>
      </c>
      <c r="B1944" s="9">
        <f t="shared" si="4"/>
        <v>45990</v>
      </c>
      <c r="C1944" s="77" t="s">
        <v>1571</v>
      </c>
      <c r="D1944" s="13">
        <f>SUMIFS('Lançamentos de despesas'!$K:$K,'Lançamentos de despesas'!$C:$C,B1944,'Lançamentos de despesas'!$G:$G,A1944,'Lançamentos de despesas'!$E:$E,"pago")</f>
        <v>0</v>
      </c>
      <c r="E1944" s="15">
        <f t="shared" si="1"/>
        <v>2025</v>
      </c>
      <c r="F1944" s="15">
        <f t="shared" si="2"/>
        <v>11</v>
      </c>
      <c r="G1944" s="15">
        <f t="shared" si="3"/>
        <v>29</v>
      </c>
    </row>
    <row r="1945">
      <c r="A1945" s="10" t="s">
        <v>27</v>
      </c>
      <c r="B1945" s="9">
        <f t="shared" si="4"/>
        <v>45990</v>
      </c>
      <c r="C1945" s="77" t="s">
        <v>1572</v>
      </c>
      <c r="D1945" s="13">
        <f>D1942+D1943-D1944</f>
        <v>28764.559</v>
      </c>
      <c r="E1945" s="15">
        <f t="shared" si="1"/>
        <v>2025</v>
      </c>
      <c r="F1945" s="15">
        <f t="shared" si="2"/>
        <v>11</v>
      </c>
      <c r="G1945" s="15">
        <f t="shared" si="3"/>
        <v>29</v>
      </c>
    </row>
    <row r="1946">
      <c r="A1946" s="10" t="s">
        <v>27</v>
      </c>
      <c r="B1946" s="9">
        <f t="shared" si="4"/>
        <v>45991</v>
      </c>
      <c r="C1946" s="77" t="s">
        <v>1569</v>
      </c>
      <c r="D1946" s="12">
        <f>D1945</f>
        <v>28764.559</v>
      </c>
      <c r="E1946" s="15">
        <f t="shared" si="1"/>
        <v>2025</v>
      </c>
      <c r="F1946" s="15">
        <f t="shared" si="2"/>
        <v>11</v>
      </c>
      <c r="G1946" s="15">
        <f t="shared" si="3"/>
        <v>30</v>
      </c>
    </row>
    <row r="1947">
      <c r="A1947" s="10" t="s">
        <v>27</v>
      </c>
      <c r="B1947" s="9">
        <f t="shared" si="4"/>
        <v>45991</v>
      </c>
      <c r="C1947" s="77" t="s">
        <v>1570</v>
      </c>
      <c r="D1947" s="13">
        <f>SUMIFS('Lançamentos de receitas'!$E:$E,'Lançamentos de receitas'!$A:$A,B1947,'Lançamentos de receitas'!$C:$C,A1947,'Lançamentos de receitas'!$F:$F,"TRANSFERÊNCIA")</f>
        <v>976.58</v>
      </c>
      <c r="E1947" s="15">
        <f t="shared" si="1"/>
        <v>2025</v>
      </c>
      <c r="F1947" s="15">
        <f t="shared" si="2"/>
        <v>11</v>
      </c>
      <c r="G1947" s="15">
        <f t="shared" si="3"/>
        <v>30</v>
      </c>
    </row>
    <row r="1948">
      <c r="A1948" s="10" t="s">
        <v>27</v>
      </c>
      <c r="B1948" s="9">
        <f t="shared" si="4"/>
        <v>45991</v>
      </c>
      <c r="C1948" s="77" t="s">
        <v>1571</v>
      </c>
      <c r="D1948" s="13">
        <f>SUMIFS('Lançamentos de despesas'!$K:$K,'Lançamentos de despesas'!$C:$C,B1948,'Lançamentos de despesas'!$G:$G,A1948,'Lançamentos de despesas'!$E:$E,"pago")</f>
        <v>0</v>
      </c>
      <c r="E1948" s="15">
        <f t="shared" si="1"/>
        <v>2025</v>
      </c>
      <c r="F1948" s="15">
        <f t="shared" si="2"/>
        <v>11</v>
      </c>
      <c r="G1948" s="15">
        <f t="shared" si="3"/>
        <v>30</v>
      </c>
    </row>
    <row r="1949">
      <c r="A1949" s="10" t="s">
        <v>27</v>
      </c>
      <c r="B1949" s="9">
        <f t="shared" si="4"/>
        <v>45991</v>
      </c>
      <c r="C1949" s="77" t="s">
        <v>1572</v>
      </c>
      <c r="D1949" s="13">
        <f>D1946+D1947-D1948</f>
        <v>29741.139</v>
      </c>
      <c r="E1949" s="15">
        <f t="shared" si="1"/>
        <v>2025</v>
      </c>
      <c r="F1949" s="15">
        <f t="shared" si="2"/>
        <v>11</v>
      </c>
      <c r="G1949" s="15">
        <f t="shared" si="3"/>
        <v>30</v>
      </c>
    </row>
    <row r="1950">
      <c r="A1950" s="10" t="s">
        <v>27</v>
      </c>
      <c r="B1950" s="9">
        <f t="shared" si="4"/>
        <v>45992</v>
      </c>
      <c r="C1950" s="77" t="s">
        <v>1569</v>
      </c>
      <c r="D1950" s="12">
        <f>D1949</f>
        <v>29741.139</v>
      </c>
      <c r="E1950" s="15">
        <f t="shared" si="1"/>
        <v>2025</v>
      </c>
      <c r="F1950" s="15">
        <f t="shared" si="2"/>
        <v>12</v>
      </c>
      <c r="G1950" s="15">
        <f t="shared" si="3"/>
        <v>1</v>
      </c>
    </row>
    <row r="1951">
      <c r="A1951" s="10" t="s">
        <v>27</v>
      </c>
      <c r="B1951" s="9">
        <f t="shared" si="4"/>
        <v>45992</v>
      </c>
      <c r="C1951" s="77" t="s">
        <v>1570</v>
      </c>
      <c r="D1951" s="13">
        <f>SUMIFS('Lançamentos de receitas'!$E:$E,'Lançamentos de receitas'!$A:$A,B1951,'Lançamentos de receitas'!$C:$C,A1951,'Lançamentos de receitas'!$F:$F,"TRANSFERÊNCIA")</f>
        <v>10769.63</v>
      </c>
      <c r="E1951" s="15">
        <f t="shared" si="1"/>
        <v>2025</v>
      </c>
      <c r="F1951" s="15">
        <f t="shared" si="2"/>
        <v>12</v>
      </c>
      <c r="G1951" s="15">
        <f t="shared" si="3"/>
        <v>1</v>
      </c>
    </row>
    <row r="1952">
      <c r="A1952" s="10" t="s">
        <v>27</v>
      </c>
      <c r="B1952" s="9">
        <f t="shared" si="4"/>
        <v>45992</v>
      </c>
      <c r="C1952" s="77" t="s">
        <v>1571</v>
      </c>
      <c r="D1952" s="13">
        <f>SUMIFS('Lançamentos de despesas'!$K:$K,'Lançamentos de despesas'!$C:$C,B1952,'Lançamentos de despesas'!$G:$G,A1952,'Lançamentos de despesas'!$E:$E,"pago")</f>
        <v>1040.54</v>
      </c>
      <c r="E1952" s="15">
        <f t="shared" si="1"/>
        <v>2025</v>
      </c>
      <c r="F1952" s="15">
        <f t="shared" si="2"/>
        <v>12</v>
      </c>
      <c r="G1952" s="15">
        <f t="shared" si="3"/>
        <v>1</v>
      </c>
    </row>
    <row r="1953">
      <c r="A1953" s="10" t="s">
        <v>27</v>
      </c>
      <c r="B1953" s="9">
        <f t="shared" si="4"/>
        <v>45992</v>
      </c>
      <c r="C1953" s="77" t="s">
        <v>1572</v>
      </c>
      <c r="D1953" s="13">
        <f>D1950+D1951-D1952</f>
        <v>39470.229</v>
      </c>
      <c r="E1953" s="15">
        <f t="shared" si="1"/>
        <v>2025</v>
      </c>
      <c r="F1953" s="15">
        <f t="shared" si="2"/>
        <v>12</v>
      </c>
      <c r="G1953" s="15">
        <f t="shared" si="3"/>
        <v>1</v>
      </c>
    </row>
    <row r="1954">
      <c r="A1954" s="10" t="s">
        <v>27</v>
      </c>
      <c r="B1954" s="9">
        <f t="shared" si="4"/>
        <v>45993</v>
      </c>
      <c r="C1954" s="77" t="s">
        <v>1569</v>
      </c>
      <c r="D1954" s="12">
        <f>D1953</f>
        <v>39470.229</v>
      </c>
      <c r="E1954" s="15">
        <f t="shared" si="1"/>
        <v>2025</v>
      </c>
      <c r="F1954" s="15">
        <f t="shared" si="2"/>
        <v>12</v>
      </c>
      <c r="G1954" s="15">
        <f t="shared" si="3"/>
        <v>2</v>
      </c>
    </row>
    <row r="1955">
      <c r="A1955" s="10" t="s">
        <v>27</v>
      </c>
      <c r="B1955" s="9">
        <f t="shared" si="4"/>
        <v>45993</v>
      </c>
      <c r="C1955" s="77" t="s">
        <v>1570</v>
      </c>
      <c r="D1955" s="13">
        <f>SUMIFS('Lançamentos de receitas'!$E:$E,'Lançamentos de receitas'!$A:$A,B1955,'Lançamentos de receitas'!$C:$C,A1955,'Lançamentos de receitas'!$F:$F,"TRANSFERÊNCIA")</f>
        <v>36259.61</v>
      </c>
      <c r="E1955" s="15">
        <f t="shared" si="1"/>
        <v>2025</v>
      </c>
      <c r="F1955" s="15">
        <f t="shared" si="2"/>
        <v>12</v>
      </c>
      <c r="G1955" s="15">
        <f t="shared" si="3"/>
        <v>2</v>
      </c>
    </row>
    <row r="1956">
      <c r="A1956" s="10" t="s">
        <v>27</v>
      </c>
      <c r="B1956" s="9">
        <f t="shared" si="4"/>
        <v>45993</v>
      </c>
      <c r="C1956" s="77" t="s">
        <v>1571</v>
      </c>
      <c r="D1956" s="13">
        <f>SUMIFS('Lançamentos de despesas'!$K:$K,'Lançamentos de despesas'!$C:$C,B1956,'Lançamentos de despesas'!$G:$G,A1956,'Lançamentos de despesas'!$E:$E,"pago")</f>
        <v>13401</v>
      </c>
      <c r="E1956" s="15">
        <f t="shared" si="1"/>
        <v>2025</v>
      </c>
      <c r="F1956" s="15">
        <f t="shared" si="2"/>
        <v>12</v>
      </c>
      <c r="G1956" s="15">
        <f t="shared" si="3"/>
        <v>2</v>
      </c>
    </row>
    <row r="1957">
      <c r="A1957" s="10" t="s">
        <v>27</v>
      </c>
      <c r="B1957" s="9">
        <f t="shared" si="4"/>
        <v>45993</v>
      </c>
      <c r="C1957" s="77" t="s">
        <v>1572</v>
      </c>
      <c r="D1957" s="13">
        <f>D1954+D1955-D1956</f>
        <v>62328.839</v>
      </c>
      <c r="E1957" s="15">
        <f t="shared" si="1"/>
        <v>2025</v>
      </c>
      <c r="F1957" s="15">
        <f t="shared" si="2"/>
        <v>12</v>
      </c>
      <c r="G1957" s="15">
        <f t="shared" si="3"/>
        <v>2</v>
      </c>
    </row>
    <row r="1958">
      <c r="A1958" s="10" t="s">
        <v>27</v>
      </c>
      <c r="B1958" s="9">
        <f t="shared" si="4"/>
        <v>45994</v>
      </c>
      <c r="C1958" s="77" t="s">
        <v>1569</v>
      </c>
      <c r="D1958" s="12">
        <f>D1957</f>
        <v>62328.839</v>
      </c>
      <c r="E1958" s="15">
        <f t="shared" si="1"/>
        <v>2025</v>
      </c>
      <c r="F1958" s="15">
        <f t="shared" si="2"/>
        <v>12</v>
      </c>
      <c r="G1958" s="15">
        <f t="shared" si="3"/>
        <v>3</v>
      </c>
    </row>
    <row r="1959">
      <c r="A1959" s="10" t="s">
        <v>27</v>
      </c>
      <c r="B1959" s="9">
        <f t="shared" si="4"/>
        <v>45994</v>
      </c>
      <c r="C1959" s="77" t="s">
        <v>1570</v>
      </c>
      <c r="D1959" s="13">
        <f>SUMIFS('Lançamentos de receitas'!$E:$E,'Lançamentos de receitas'!$A:$A,B1959,'Lançamentos de receitas'!$C:$C,A1959,'Lançamentos de receitas'!$F:$F,"TRANSFERÊNCIA")</f>
        <v>1054.95</v>
      </c>
      <c r="E1959" s="15">
        <f t="shared" si="1"/>
        <v>2025</v>
      </c>
      <c r="F1959" s="15">
        <f t="shared" si="2"/>
        <v>12</v>
      </c>
      <c r="G1959" s="15">
        <f t="shared" si="3"/>
        <v>3</v>
      </c>
    </row>
    <row r="1960">
      <c r="A1960" s="10" t="s">
        <v>27</v>
      </c>
      <c r="B1960" s="9">
        <f t="shared" si="4"/>
        <v>45994</v>
      </c>
      <c r="C1960" s="77" t="s">
        <v>1571</v>
      </c>
      <c r="D1960" s="13">
        <f>SUMIFS('Lançamentos de despesas'!$K:$K,'Lançamentos de despesas'!$C:$C,B1960,'Lançamentos de despesas'!$G:$G,A1960,'Lançamentos de despesas'!$E:$E,"pago")</f>
        <v>3072.94</v>
      </c>
      <c r="E1960" s="15">
        <f t="shared" si="1"/>
        <v>2025</v>
      </c>
      <c r="F1960" s="15">
        <f t="shared" si="2"/>
        <v>12</v>
      </c>
      <c r="G1960" s="15">
        <f t="shared" si="3"/>
        <v>3</v>
      </c>
    </row>
    <row r="1961">
      <c r="A1961" s="10" t="s">
        <v>27</v>
      </c>
      <c r="B1961" s="9">
        <f t="shared" si="4"/>
        <v>45994</v>
      </c>
      <c r="C1961" s="77" t="s">
        <v>1572</v>
      </c>
      <c r="D1961" s="13">
        <f>D1958+D1959-D1960</f>
        <v>60310.849</v>
      </c>
      <c r="E1961" s="15">
        <f t="shared" si="1"/>
        <v>2025</v>
      </c>
      <c r="F1961" s="15">
        <f t="shared" si="2"/>
        <v>12</v>
      </c>
      <c r="G1961" s="15">
        <f t="shared" si="3"/>
        <v>3</v>
      </c>
    </row>
    <row r="1962">
      <c r="A1962" s="10" t="s">
        <v>27</v>
      </c>
      <c r="B1962" s="9">
        <f t="shared" si="4"/>
        <v>45995</v>
      </c>
      <c r="C1962" s="77" t="s">
        <v>1569</v>
      </c>
      <c r="D1962" s="12">
        <f>D1961</f>
        <v>60310.849</v>
      </c>
      <c r="E1962" s="15">
        <f t="shared" si="1"/>
        <v>2025</v>
      </c>
      <c r="F1962" s="15">
        <f t="shared" si="2"/>
        <v>12</v>
      </c>
      <c r="G1962" s="15">
        <f t="shared" si="3"/>
        <v>4</v>
      </c>
    </row>
    <row r="1963">
      <c r="A1963" s="10" t="s">
        <v>27</v>
      </c>
      <c r="B1963" s="9">
        <f t="shared" si="4"/>
        <v>45995</v>
      </c>
      <c r="C1963" s="77" t="s">
        <v>1570</v>
      </c>
      <c r="D1963" s="13">
        <f>SUMIFS('Lançamentos de receitas'!$E:$E,'Lançamentos de receitas'!$A:$A,B1963,'Lançamentos de receitas'!$C:$C,A1963,'Lançamentos de receitas'!$F:$F,"TRANSFERÊNCIA")</f>
        <v>995.19</v>
      </c>
      <c r="E1963" s="15">
        <f t="shared" si="1"/>
        <v>2025</v>
      </c>
      <c r="F1963" s="15">
        <f t="shared" si="2"/>
        <v>12</v>
      </c>
      <c r="G1963" s="15">
        <f t="shared" si="3"/>
        <v>4</v>
      </c>
    </row>
    <row r="1964">
      <c r="A1964" s="10" t="s">
        <v>27</v>
      </c>
      <c r="B1964" s="9">
        <f t="shared" si="4"/>
        <v>45995</v>
      </c>
      <c r="C1964" s="77" t="s">
        <v>1571</v>
      </c>
      <c r="D1964" s="13">
        <f>SUMIFS('Lançamentos de despesas'!$K:$K,'Lançamentos de despesas'!$C:$C,B1964,'Lançamentos de despesas'!$G:$G,A1964,'Lançamentos de despesas'!$E:$E,"pago")</f>
        <v>0</v>
      </c>
      <c r="E1964" s="15">
        <f t="shared" si="1"/>
        <v>2025</v>
      </c>
      <c r="F1964" s="15">
        <f t="shared" si="2"/>
        <v>12</v>
      </c>
      <c r="G1964" s="15">
        <f t="shared" si="3"/>
        <v>4</v>
      </c>
    </row>
    <row r="1965">
      <c r="A1965" s="10" t="s">
        <v>27</v>
      </c>
      <c r="B1965" s="9">
        <f t="shared" si="4"/>
        <v>45995</v>
      </c>
      <c r="C1965" s="77" t="s">
        <v>1572</v>
      </c>
      <c r="D1965" s="13">
        <f>D1962+D1963-D1964</f>
        <v>61306.039</v>
      </c>
      <c r="E1965" s="15">
        <f t="shared" si="1"/>
        <v>2025</v>
      </c>
      <c r="F1965" s="15">
        <f t="shared" si="2"/>
        <v>12</v>
      </c>
      <c r="G1965" s="15">
        <f t="shared" si="3"/>
        <v>4</v>
      </c>
    </row>
    <row r="1966">
      <c r="A1966" s="10" t="s">
        <v>27</v>
      </c>
      <c r="B1966" s="9">
        <f t="shared" si="4"/>
        <v>45996</v>
      </c>
      <c r="C1966" s="77" t="s">
        <v>1569</v>
      </c>
      <c r="D1966" s="12">
        <f>D1965</f>
        <v>61306.039</v>
      </c>
      <c r="E1966" s="15">
        <f t="shared" si="1"/>
        <v>2025</v>
      </c>
      <c r="F1966" s="15">
        <f t="shared" si="2"/>
        <v>12</v>
      </c>
      <c r="G1966" s="15">
        <f t="shared" si="3"/>
        <v>5</v>
      </c>
    </row>
    <row r="1967">
      <c r="A1967" s="10" t="s">
        <v>27</v>
      </c>
      <c r="B1967" s="9">
        <f t="shared" si="4"/>
        <v>45996</v>
      </c>
      <c r="C1967" s="77" t="s">
        <v>1570</v>
      </c>
      <c r="D1967" s="13">
        <f>SUMIFS('Lançamentos de receitas'!$E:$E,'Lançamentos de receitas'!$A:$A,B1967,'Lançamentos de receitas'!$C:$C,A1967,'Lançamentos de receitas'!$F:$F,"TRANSFERÊNCIA")</f>
        <v>1058.31</v>
      </c>
      <c r="E1967" s="15">
        <f t="shared" si="1"/>
        <v>2025</v>
      </c>
      <c r="F1967" s="15">
        <f t="shared" si="2"/>
        <v>12</v>
      </c>
      <c r="G1967" s="15">
        <f t="shared" si="3"/>
        <v>5</v>
      </c>
    </row>
    <row r="1968">
      <c r="A1968" s="10" t="s">
        <v>27</v>
      </c>
      <c r="B1968" s="9">
        <f t="shared" si="4"/>
        <v>45996</v>
      </c>
      <c r="C1968" s="77" t="s">
        <v>1571</v>
      </c>
      <c r="D1968" s="13">
        <f>SUMIFS('Lançamentos de despesas'!$K:$K,'Lançamentos de despesas'!$C:$C,B1968,'Lançamentos de despesas'!$G:$G,A1968,'Lançamentos de despesas'!$E:$E,"pago")</f>
        <v>0</v>
      </c>
      <c r="E1968" s="15">
        <f t="shared" si="1"/>
        <v>2025</v>
      </c>
      <c r="F1968" s="15">
        <f t="shared" si="2"/>
        <v>12</v>
      </c>
      <c r="G1968" s="15">
        <f t="shared" si="3"/>
        <v>5</v>
      </c>
    </row>
    <row r="1969">
      <c r="A1969" s="10" t="s">
        <v>27</v>
      </c>
      <c r="B1969" s="9">
        <f t="shared" si="4"/>
        <v>45996</v>
      </c>
      <c r="C1969" s="77" t="s">
        <v>1572</v>
      </c>
      <c r="D1969" s="13">
        <f>D1966+D1967-D1968</f>
        <v>62364.349</v>
      </c>
      <c r="E1969" s="15">
        <f t="shared" si="1"/>
        <v>2025</v>
      </c>
      <c r="F1969" s="15">
        <f t="shared" si="2"/>
        <v>12</v>
      </c>
      <c r="G1969" s="15">
        <f t="shared" si="3"/>
        <v>5</v>
      </c>
    </row>
    <row r="1970">
      <c r="A1970" s="10" t="s">
        <v>27</v>
      </c>
      <c r="B1970" s="9">
        <f t="shared" si="4"/>
        <v>45997</v>
      </c>
      <c r="C1970" s="77" t="s">
        <v>1569</v>
      </c>
      <c r="D1970" s="12">
        <f>D1969</f>
        <v>62364.349</v>
      </c>
      <c r="E1970" s="15">
        <f t="shared" si="1"/>
        <v>2025</v>
      </c>
      <c r="F1970" s="15">
        <f t="shared" si="2"/>
        <v>12</v>
      </c>
      <c r="G1970" s="15">
        <f t="shared" si="3"/>
        <v>6</v>
      </c>
    </row>
    <row r="1971">
      <c r="A1971" s="10" t="s">
        <v>27</v>
      </c>
      <c r="B1971" s="9">
        <f t="shared" si="4"/>
        <v>45997</v>
      </c>
      <c r="C1971" s="77" t="s">
        <v>1570</v>
      </c>
      <c r="D1971" s="13">
        <f>SUMIFS('Lançamentos de receitas'!$E:$E,'Lançamentos de receitas'!$A:$A,B1971,'Lançamentos de receitas'!$C:$C,A1971,'Lançamentos de receitas'!$F:$F,"TRANSFERÊNCIA")</f>
        <v>664.48</v>
      </c>
      <c r="E1971" s="15">
        <f t="shared" si="1"/>
        <v>2025</v>
      </c>
      <c r="F1971" s="15">
        <f t="shared" si="2"/>
        <v>12</v>
      </c>
      <c r="G1971" s="15">
        <f t="shared" si="3"/>
        <v>6</v>
      </c>
    </row>
    <row r="1972">
      <c r="A1972" s="10" t="s">
        <v>27</v>
      </c>
      <c r="B1972" s="9">
        <f t="shared" si="4"/>
        <v>45997</v>
      </c>
      <c r="C1972" s="77" t="s">
        <v>1571</v>
      </c>
      <c r="D1972" s="13">
        <f>SUMIFS('Lançamentos de despesas'!$K:$K,'Lançamentos de despesas'!$C:$C,B1972,'Lançamentos de despesas'!$G:$G,A1972,'Lançamentos de despesas'!$E:$E,"pago")</f>
        <v>0</v>
      </c>
      <c r="E1972" s="15">
        <f t="shared" si="1"/>
        <v>2025</v>
      </c>
      <c r="F1972" s="15">
        <f t="shared" si="2"/>
        <v>12</v>
      </c>
      <c r="G1972" s="15">
        <f t="shared" si="3"/>
        <v>6</v>
      </c>
    </row>
    <row r="1973">
      <c r="A1973" s="10" t="s">
        <v>27</v>
      </c>
      <c r="B1973" s="9">
        <f t="shared" si="4"/>
        <v>45997</v>
      </c>
      <c r="C1973" s="77" t="s">
        <v>1572</v>
      </c>
      <c r="D1973" s="13">
        <f>D1970+D1971-D1972</f>
        <v>63028.829</v>
      </c>
      <c r="E1973" s="15">
        <f t="shared" si="1"/>
        <v>2025</v>
      </c>
      <c r="F1973" s="15">
        <f t="shared" si="2"/>
        <v>12</v>
      </c>
      <c r="G1973" s="15">
        <f t="shared" si="3"/>
        <v>6</v>
      </c>
    </row>
    <row r="1974">
      <c r="A1974" s="10" t="s">
        <v>27</v>
      </c>
      <c r="B1974" s="9">
        <f t="shared" si="4"/>
        <v>45998</v>
      </c>
      <c r="C1974" s="77" t="s">
        <v>1569</v>
      </c>
      <c r="D1974" s="12">
        <f>D1973</f>
        <v>63028.829</v>
      </c>
      <c r="E1974" s="15">
        <f t="shared" si="1"/>
        <v>2025</v>
      </c>
      <c r="F1974" s="15">
        <f t="shared" si="2"/>
        <v>12</v>
      </c>
      <c r="G1974" s="15">
        <f t="shared" si="3"/>
        <v>7</v>
      </c>
    </row>
    <row r="1975">
      <c r="A1975" s="10" t="s">
        <v>27</v>
      </c>
      <c r="B1975" s="9">
        <f t="shared" si="4"/>
        <v>45998</v>
      </c>
      <c r="C1975" s="77" t="s">
        <v>1570</v>
      </c>
      <c r="D1975" s="13">
        <f>SUMIFS('Lançamentos de receitas'!$E:$E,'Lançamentos de receitas'!$A:$A,B1975,'Lançamentos de receitas'!$C:$C,A1975,'Lançamentos de receitas'!$F:$F,"TRANSFERÊNCIA")</f>
        <v>1758.14</v>
      </c>
      <c r="E1975" s="15">
        <f t="shared" si="1"/>
        <v>2025</v>
      </c>
      <c r="F1975" s="15">
        <f t="shared" si="2"/>
        <v>12</v>
      </c>
      <c r="G1975" s="15">
        <f t="shared" si="3"/>
        <v>7</v>
      </c>
    </row>
    <row r="1976">
      <c r="A1976" s="10" t="s">
        <v>27</v>
      </c>
      <c r="B1976" s="9">
        <f t="shared" si="4"/>
        <v>45998</v>
      </c>
      <c r="C1976" s="77" t="s">
        <v>1571</v>
      </c>
      <c r="D1976" s="13">
        <f>SUMIFS('Lançamentos de despesas'!$K:$K,'Lançamentos de despesas'!$C:$C,B1976,'Lançamentos de despesas'!$G:$G,A1976,'Lançamentos de despesas'!$E:$E,"pago")</f>
        <v>0</v>
      </c>
      <c r="E1976" s="15">
        <f t="shared" si="1"/>
        <v>2025</v>
      </c>
      <c r="F1976" s="15">
        <f t="shared" si="2"/>
        <v>12</v>
      </c>
      <c r="G1976" s="15">
        <f t="shared" si="3"/>
        <v>7</v>
      </c>
    </row>
    <row r="1977">
      <c r="A1977" s="10" t="s">
        <v>27</v>
      </c>
      <c r="B1977" s="9">
        <f t="shared" si="4"/>
        <v>45998</v>
      </c>
      <c r="C1977" s="77" t="s">
        <v>1572</v>
      </c>
      <c r="D1977" s="13">
        <f>D1974+D1975-D1976</f>
        <v>64786.969</v>
      </c>
      <c r="E1977" s="15">
        <f t="shared" si="1"/>
        <v>2025</v>
      </c>
      <c r="F1977" s="15">
        <f t="shared" si="2"/>
        <v>12</v>
      </c>
      <c r="G1977" s="15">
        <f t="shared" si="3"/>
        <v>7</v>
      </c>
    </row>
    <row r="1978">
      <c r="A1978" s="10" t="s">
        <v>27</v>
      </c>
      <c r="B1978" s="9">
        <f t="shared" si="4"/>
        <v>45999</v>
      </c>
      <c r="C1978" s="77" t="s">
        <v>1569</v>
      </c>
      <c r="D1978" s="12">
        <f>D1977</f>
        <v>64786.969</v>
      </c>
      <c r="E1978" s="15">
        <f t="shared" si="1"/>
        <v>2025</v>
      </c>
      <c r="F1978" s="15">
        <f t="shared" si="2"/>
        <v>12</v>
      </c>
      <c r="G1978" s="15">
        <f t="shared" si="3"/>
        <v>8</v>
      </c>
    </row>
    <row r="1979">
      <c r="A1979" s="10" t="s">
        <v>27</v>
      </c>
      <c r="B1979" s="9">
        <f t="shared" si="4"/>
        <v>45999</v>
      </c>
      <c r="C1979" s="77" t="s">
        <v>1570</v>
      </c>
      <c r="D1979" s="13">
        <f>SUMIFS('Lançamentos de receitas'!$E:$E,'Lançamentos de receitas'!$A:$A,B1979,'Lançamentos de receitas'!$C:$C,A1979,'Lançamentos de receitas'!$F:$F,"TRANSFERÊNCIA")</f>
        <v>92.57</v>
      </c>
      <c r="E1979" s="15">
        <f t="shared" si="1"/>
        <v>2025</v>
      </c>
      <c r="F1979" s="15">
        <f t="shared" si="2"/>
        <v>12</v>
      </c>
      <c r="G1979" s="15">
        <f t="shared" si="3"/>
        <v>8</v>
      </c>
    </row>
    <row r="1980">
      <c r="A1980" s="10" t="s">
        <v>27</v>
      </c>
      <c r="B1980" s="9">
        <f t="shared" si="4"/>
        <v>45999</v>
      </c>
      <c r="C1980" s="77" t="s">
        <v>1571</v>
      </c>
      <c r="D1980" s="13">
        <f>SUMIFS('Lançamentos de despesas'!$K:$K,'Lançamentos de despesas'!$C:$C,B1980,'Lançamentos de despesas'!$G:$G,A1980,'Lançamentos de despesas'!$E:$E,"pago")</f>
        <v>0</v>
      </c>
      <c r="E1980" s="15">
        <f t="shared" si="1"/>
        <v>2025</v>
      </c>
      <c r="F1980" s="15">
        <f t="shared" si="2"/>
        <v>12</v>
      </c>
      <c r="G1980" s="15">
        <f t="shared" si="3"/>
        <v>8</v>
      </c>
    </row>
    <row r="1981">
      <c r="A1981" s="10" t="s">
        <v>27</v>
      </c>
      <c r="B1981" s="9">
        <f t="shared" si="4"/>
        <v>45999</v>
      </c>
      <c r="C1981" s="77" t="s">
        <v>1572</v>
      </c>
      <c r="D1981" s="13">
        <f>D1978+D1979-D1980</f>
        <v>64879.539</v>
      </c>
      <c r="E1981" s="15">
        <f t="shared" si="1"/>
        <v>2025</v>
      </c>
      <c r="F1981" s="15">
        <f t="shared" si="2"/>
        <v>12</v>
      </c>
      <c r="G1981" s="15">
        <f t="shared" si="3"/>
        <v>8</v>
      </c>
    </row>
    <row r="1982">
      <c r="A1982" s="10" t="s">
        <v>27</v>
      </c>
      <c r="B1982" s="9">
        <f t="shared" si="4"/>
        <v>46000</v>
      </c>
      <c r="C1982" s="77" t="s">
        <v>1569</v>
      </c>
      <c r="D1982" s="12">
        <f>D1981</f>
        <v>64879.539</v>
      </c>
      <c r="E1982" s="15">
        <f t="shared" si="1"/>
        <v>2025</v>
      </c>
      <c r="F1982" s="15">
        <f t="shared" si="2"/>
        <v>12</v>
      </c>
      <c r="G1982" s="15">
        <f t="shared" si="3"/>
        <v>9</v>
      </c>
    </row>
    <row r="1983">
      <c r="A1983" s="10" t="s">
        <v>27</v>
      </c>
      <c r="B1983" s="9">
        <f t="shared" si="4"/>
        <v>46000</v>
      </c>
      <c r="C1983" s="77" t="s">
        <v>1570</v>
      </c>
      <c r="D1983" s="13">
        <f>SUMIFS('Lançamentos de receitas'!$E:$E,'Lançamentos de receitas'!$A:$A,B1983,'Lançamentos de receitas'!$C:$C,A1983,'Lançamentos de receitas'!$F:$F,"TRANSFERÊNCIA")</f>
        <v>679.46</v>
      </c>
      <c r="E1983" s="15">
        <f t="shared" si="1"/>
        <v>2025</v>
      </c>
      <c r="F1983" s="15">
        <f t="shared" si="2"/>
        <v>12</v>
      </c>
      <c r="G1983" s="15">
        <f t="shared" si="3"/>
        <v>9</v>
      </c>
    </row>
    <row r="1984">
      <c r="A1984" s="10" t="s">
        <v>27</v>
      </c>
      <c r="B1984" s="9">
        <f t="shared" si="4"/>
        <v>46000</v>
      </c>
      <c r="C1984" s="77" t="s">
        <v>1571</v>
      </c>
      <c r="D1984" s="13">
        <f>SUMIFS('Lançamentos de despesas'!$K:$K,'Lançamentos de despesas'!$C:$C,B1984,'Lançamentos de despesas'!$G:$G,A1984,'Lançamentos de despesas'!$E:$E,"pago")</f>
        <v>0</v>
      </c>
      <c r="E1984" s="15">
        <f t="shared" si="1"/>
        <v>2025</v>
      </c>
      <c r="F1984" s="15">
        <f t="shared" si="2"/>
        <v>12</v>
      </c>
      <c r="G1984" s="15">
        <f t="shared" si="3"/>
        <v>9</v>
      </c>
    </row>
    <row r="1985">
      <c r="A1985" s="10" t="s">
        <v>27</v>
      </c>
      <c r="B1985" s="9">
        <f t="shared" si="4"/>
        <v>46000</v>
      </c>
      <c r="C1985" s="77" t="s">
        <v>1572</v>
      </c>
      <c r="D1985" s="13">
        <f>D1982+D1983-D1984</f>
        <v>65558.999</v>
      </c>
      <c r="E1985" s="15">
        <f t="shared" si="1"/>
        <v>2025</v>
      </c>
      <c r="F1985" s="15">
        <f t="shared" si="2"/>
        <v>12</v>
      </c>
      <c r="G1985" s="15">
        <f t="shared" si="3"/>
        <v>9</v>
      </c>
    </row>
    <row r="1986">
      <c r="A1986" s="10" t="s">
        <v>27</v>
      </c>
      <c r="B1986" s="9">
        <f t="shared" si="4"/>
        <v>46001</v>
      </c>
      <c r="C1986" s="77" t="s">
        <v>1569</v>
      </c>
      <c r="D1986" s="12">
        <f>D1985</f>
        <v>65558.999</v>
      </c>
      <c r="E1986" s="15">
        <f t="shared" si="1"/>
        <v>2025</v>
      </c>
      <c r="F1986" s="15">
        <f t="shared" si="2"/>
        <v>12</v>
      </c>
      <c r="G1986" s="15">
        <f t="shared" si="3"/>
        <v>10</v>
      </c>
    </row>
    <row r="1987">
      <c r="A1987" s="10" t="s">
        <v>27</v>
      </c>
      <c r="B1987" s="9">
        <f t="shared" si="4"/>
        <v>46001</v>
      </c>
      <c r="C1987" s="77" t="s">
        <v>1570</v>
      </c>
      <c r="D1987" s="13">
        <f>SUMIFS('Lançamentos de receitas'!$E:$E,'Lançamentos de receitas'!$A:$A,B1987,'Lançamentos de receitas'!$C:$C,A1987,'Lançamentos de receitas'!$F:$F,"TRANSFERÊNCIA")</f>
        <v>1241.34</v>
      </c>
      <c r="E1987" s="15">
        <f t="shared" si="1"/>
        <v>2025</v>
      </c>
      <c r="F1987" s="15">
        <f t="shared" si="2"/>
        <v>12</v>
      </c>
      <c r="G1987" s="15">
        <f t="shared" si="3"/>
        <v>10</v>
      </c>
    </row>
    <row r="1988">
      <c r="A1988" s="10" t="s">
        <v>27</v>
      </c>
      <c r="B1988" s="9">
        <f t="shared" si="4"/>
        <v>46001</v>
      </c>
      <c r="C1988" s="77" t="s">
        <v>1571</v>
      </c>
      <c r="D1988" s="13">
        <f>SUMIFS('Lançamentos de despesas'!$K:$K,'Lançamentos de despesas'!$C:$C,B1988,'Lançamentos de despesas'!$G:$G,A1988,'Lançamentos de despesas'!$E:$E,"pago")</f>
        <v>530.8</v>
      </c>
      <c r="E1988" s="15">
        <f t="shared" si="1"/>
        <v>2025</v>
      </c>
      <c r="F1988" s="15">
        <f t="shared" si="2"/>
        <v>12</v>
      </c>
      <c r="G1988" s="15">
        <f t="shared" si="3"/>
        <v>10</v>
      </c>
    </row>
    <row r="1989">
      <c r="A1989" s="10" t="s">
        <v>27</v>
      </c>
      <c r="B1989" s="9">
        <f t="shared" si="4"/>
        <v>46001</v>
      </c>
      <c r="C1989" s="77" t="s">
        <v>1572</v>
      </c>
      <c r="D1989" s="13">
        <f>D1986+D1987-D1988</f>
        <v>66269.539</v>
      </c>
      <c r="E1989" s="15">
        <f t="shared" si="1"/>
        <v>2025</v>
      </c>
      <c r="F1989" s="15">
        <f t="shared" si="2"/>
        <v>12</v>
      </c>
      <c r="G1989" s="15">
        <f t="shared" si="3"/>
        <v>10</v>
      </c>
    </row>
    <row r="1990">
      <c r="A1990" s="10" t="s">
        <v>27</v>
      </c>
      <c r="B1990" s="9">
        <f t="shared" si="4"/>
        <v>46002</v>
      </c>
      <c r="C1990" s="77" t="s">
        <v>1569</v>
      </c>
      <c r="D1990" s="12">
        <f>D1989</f>
        <v>66269.539</v>
      </c>
      <c r="E1990" s="15">
        <f t="shared" si="1"/>
        <v>2025</v>
      </c>
      <c r="F1990" s="15">
        <f t="shared" si="2"/>
        <v>12</v>
      </c>
      <c r="G1990" s="15">
        <f t="shared" si="3"/>
        <v>11</v>
      </c>
    </row>
    <row r="1991">
      <c r="A1991" s="10" t="s">
        <v>27</v>
      </c>
      <c r="B1991" s="9">
        <f t="shared" si="4"/>
        <v>46002</v>
      </c>
      <c r="C1991" s="77" t="s">
        <v>1570</v>
      </c>
      <c r="D1991" s="13">
        <f>SUMIFS('Lançamentos de receitas'!$E:$E,'Lançamentos de receitas'!$A:$A,B1991,'Lançamentos de receitas'!$C:$C,A1991,'Lançamentos de receitas'!$F:$F,"TRANSFERÊNCIA")</f>
        <v>0</v>
      </c>
      <c r="E1991" s="15">
        <f t="shared" si="1"/>
        <v>2025</v>
      </c>
      <c r="F1991" s="15">
        <f t="shared" si="2"/>
        <v>12</v>
      </c>
      <c r="G1991" s="15">
        <f t="shared" si="3"/>
        <v>11</v>
      </c>
    </row>
    <row r="1992">
      <c r="A1992" s="10" t="s">
        <v>27</v>
      </c>
      <c r="B1992" s="9">
        <f t="shared" si="4"/>
        <v>46002</v>
      </c>
      <c r="C1992" s="77" t="s">
        <v>1571</v>
      </c>
      <c r="D1992" s="13">
        <f>SUMIFS('Lançamentos de despesas'!$K:$K,'Lançamentos de despesas'!$C:$C,B1992,'Lançamentos de despesas'!$G:$G,A1992,'Lançamentos de despesas'!$E:$E,"pago")</f>
        <v>0</v>
      </c>
      <c r="E1992" s="15">
        <f t="shared" si="1"/>
        <v>2025</v>
      </c>
      <c r="F1992" s="15">
        <f t="shared" si="2"/>
        <v>12</v>
      </c>
      <c r="G1992" s="15">
        <f t="shared" si="3"/>
        <v>11</v>
      </c>
    </row>
    <row r="1993">
      <c r="A1993" s="10" t="s">
        <v>27</v>
      </c>
      <c r="B1993" s="9">
        <f t="shared" si="4"/>
        <v>46002</v>
      </c>
      <c r="C1993" s="77" t="s">
        <v>1572</v>
      </c>
      <c r="D1993" s="13">
        <f>D1990+D1991-D1992</f>
        <v>66269.539</v>
      </c>
      <c r="E1993" s="15">
        <f t="shared" si="1"/>
        <v>2025</v>
      </c>
      <c r="F1993" s="15">
        <f t="shared" si="2"/>
        <v>12</v>
      </c>
      <c r="G1993" s="15">
        <f t="shared" si="3"/>
        <v>11</v>
      </c>
    </row>
    <row r="1994">
      <c r="A1994" s="10" t="s">
        <v>27</v>
      </c>
      <c r="B1994" s="9">
        <f t="shared" si="4"/>
        <v>46003</v>
      </c>
      <c r="C1994" s="77" t="s">
        <v>1569</v>
      </c>
      <c r="D1994" s="12">
        <f>D1993</f>
        <v>66269.539</v>
      </c>
      <c r="E1994" s="15">
        <f t="shared" si="1"/>
        <v>2025</v>
      </c>
      <c r="F1994" s="15">
        <f t="shared" si="2"/>
        <v>12</v>
      </c>
      <c r="G1994" s="15">
        <f t="shared" si="3"/>
        <v>12</v>
      </c>
    </row>
    <row r="1995">
      <c r="A1995" s="10" t="s">
        <v>27</v>
      </c>
      <c r="B1995" s="9">
        <f t="shared" si="4"/>
        <v>46003</v>
      </c>
      <c r="C1995" s="77" t="s">
        <v>1570</v>
      </c>
      <c r="D1995" s="13">
        <f>SUMIFS('Lançamentos de receitas'!$E:$E,'Lançamentos de receitas'!$A:$A,B1995,'Lançamentos de receitas'!$C:$C,A1995,'Lançamentos de receitas'!$F:$F,"TRANSFERÊNCIA")</f>
        <v>4861.76</v>
      </c>
      <c r="E1995" s="15">
        <f t="shared" si="1"/>
        <v>2025</v>
      </c>
      <c r="F1995" s="15">
        <f t="shared" si="2"/>
        <v>12</v>
      </c>
      <c r="G1995" s="15">
        <f t="shared" si="3"/>
        <v>12</v>
      </c>
    </row>
    <row r="1996">
      <c r="A1996" s="10" t="s">
        <v>27</v>
      </c>
      <c r="B1996" s="9">
        <f t="shared" si="4"/>
        <v>46003</v>
      </c>
      <c r="C1996" s="77" t="s">
        <v>1571</v>
      </c>
      <c r="D1996" s="13">
        <f>SUMIFS('Lançamentos de despesas'!$K:$K,'Lançamentos de despesas'!$C:$C,B1996,'Lançamentos de despesas'!$G:$G,A1996,'Lançamentos de despesas'!$E:$E,"pago")</f>
        <v>0</v>
      </c>
      <c r="E1996" s="15">
        <f t="shared" si="1"/>
        <v>2025</v>
      </c>
      <c r="F1996" s="15">
        <f t="shared" si="2"/>
        <v>12</v>
      </c>
      <c r="G1996" s="15">
        <f t="shared" si="3"/>
        <v>12</v>
      </c>
    </row>
    <row r="1997">
      <c r="A1997" s="10" t="s">
        <v>27</v>
      </c>
      <c r="B1997" s="9">
        <f t="shared" si="4"/>
        <v>46003</v>
      </c>
      <c r="C1997" s="77" t="s">
        <v>1572</v>
      </c>
      <c r="D1997" s="13">
        <f>D1994+D1995-D1996</f>
        <v>71131.299</v>
      </c>
      <c r="E1997" s="15">
        <f t="shared" si="1"/>
        <v>2025</v>
      </c>
      <c r="F1997" s="15">
        <f t="shared" si="2"/>
        <v>12</v>
      </c>
      <c r="G1997" s="15">
        <f t="shared" si="3"/>
        <v>12</v>
      </c>
    </row>
    <row r="1998">
      <c r="A1998" s="10" t="s">
        <v>27</v>
      </c>
      <c r="B1998" s="9">
        <f t="shared" si="4"/>
        <v>46004</v>
      </c>
      <c r="C1998" s="77" t="s">
        <v>1569</v>
      </c>
      <c r="D1998" s="12">
        <f>D1997</f>
        <v>71131.299</v>
      </c>
      <c r="E1998" s="15">
        <f t="shared" si="1"/>
        <v>2025</v>
      </c>
      <c r="F1998" s="15">
        <f t="shared" si="2"/>
        <v>12</v>
      </c>
      <c r="G1998" s="15">
        <f t="shared" si="3"/>
        <v>13</v>
      </c>
    </row>
    <row r="1999">
      <c r="A1999" s="10" t="s">
        <v>27</v>
      </c>
      <c r="B1999" s="9">
        <f t="shared" si="4"/>
        <v>46004</v>
      </c>
      <c r="C1999" s="77" t="s">
        <v>1570</v>
      </c>
      <c r="D1999" s="13">
        <f>SUMIFS('Lançamentos de receitas'!$E:$E,'Lançamentos de receitas'!$A:$A,B1999,'Lançamentos de receitas'!$C:$C,A1999,'Lançamentos de receitas'!$F:$F,"TRANSFERÊNCIA")</f>
        <v>1496.77</v>
      </c>
      <c r="E1999" s="15">
        <f t="shared" si="1"/>
        <v>2025</v>
      </c>
      <c r="F1999" s="15">
        <f t="shared" si="2"/>
        <v>12</v>
      </c>
      <c r="G1999" s="15">
        <f t="shared" si="3"/>
        <v>13</v>
      </c>
    </row>
    <row r="2000">
      <c r="A2000" s="10" t="s">
        <v>27</v>
      </c>
      <c r="B2000" s="9">
        <f t="shared" si="4"/>
        <v>46004</v>
      </c>
      <c r="C2000" s="77" t="s">
        <v>1571</v>
      </c>
      <c r="D2000" s="13">
        <f>SUMIFS('Lançamentos de despesas'!$K:$K,'Lançamentos de despesas'!$C:$C,B2000,'Lançamentos de despesas'!$G:$G,A2000,'Lançamentos de despesas'!$E:$E,"pago")</f>
        <v>0</v>
      </c>
      <c r="E2000" s="15">
        <f t="shared" si="1"/>
        <v>2025</v>
      </c>
      <c r="F2000" s="15">
        <f t="shared" si="2"/>
        <v>12</v>
      </c>
      <c r="G2000" s="15">
        <f t="shared" si="3"/>
        <v>13</v>
      </c>
    </row>
    <row r="2001">
      <c r="A2001" s="10" t="s">
        <v>27</v>
      </c>
      <c r="B2001" s="9">
        <f t="shared" si="4"/>
        <v>46004</v>
      </c>
      <c r="C2001" s="77" t="s">
        <v>1572</v>
      </c>
      <c r="D2001" s="13">
        <f>D1998+D1999-D2000</f>
        <v>72628.069</v>
      </c>
      <c r="E2001" s="15">
        <f t="shared" si="1"/>
        <v>2025</v>
      </c>
      <c r="F2001" s="15">
        <f t="shared" si="2"/>
        <v>12</v>
      </c>
      <c r="G2001" s="15">
        <f t="shared" si="3"/>
        <v>13</v>
      </c>
    </row>
    <row r="2002">
      <c r="A2002" s="10" t="s">
        <v>27</v>
      </c>
      <c r="B2002" s="9">
        <f t="shared" si="4"/>
        <v>46005</v>
      </c>
      <c r="C2002" s="77" t="s">
        <v>1569</v>
      </c>
      <c r="D2002" s="12">
        <f>D2001</f>
        <v>72628.069</v>
      </c>
      <c r="E2002" s="15">
        <f t="shared" si="1"/>
        <v>2025</v>
      </c>
      <c r="F2002" s="15">
        <f t="shared" si="2"/>
        <v>12</v>
      </c>
      <c r="G2002" s="15">
        <f t="shared" si="3"/>
        <v>14</v>
      </c>
    </row>
    <row r="2003">
      <c r="A2003" s="10" t="s">
        <v>27</v>
      </c>
      <c r="B2003" s="9">
        <f t="shared" si="4"/>
        <v>46005</v>
      </c>
      <c r="C2003" s="77" t="s">
        <v>1570</v>
      </c>
      <c r="D2003" s="13">
        <f>SUMIFS('Lançamentos de receitas'!$E:$E,'Lançamentos de receitas'!$A:$A,B2003,'Lançamentos de receitas'!$C:$C,A2003,'Lançamentos de receitas'!$F:$F,"TRANSFERÊNCIA")</f>
        <v>681.34</v>
      </c>
      <c r="E2003" s="15">
        <f t="shared" si="1"/>
        <v>2025</v>
      </c>
      <c r="F2003" s="15">
        <f t="shared" si="2"/>
        <v>12</v>
      </c>
      <c r="G2003" s="15">
        <f t="shared" si="3"/>
        <v>14</v>
      </c>
    </row>
    <row r="2004">
      <c r="A2004" s="10" t="s">
        <v>27</v>
      </c>
      <c r="B2004" s="9">
        <f t="shared" si="4"/>
        <v>46005</v>
      </c>
      <c r="C2004" s="77" t="s">
        <v>1571</v>
      </c>
      <c r="D2004" s="13">
        <f>SUMIFS('Lançamentos de despesas'!$K:$K,'Lançamentos de despesas'!$C:$C,B2004,'Lançamentos de despesas'!$G:$G,A2004,'Lançamentos de despesas'!$E:$E,"pago")</f>
        <v>0</v>
      </c>
      <c r="E2004" s="15">
        <f t="shared" si="1"/>
        <v>2025</v>
      </c>
      <c r="F2004" s="15">
        <f t="shared" si="2"/>
        <v>12</v>
      </c>
      <c r="G2004" s="15">
        <f t="shared" si="3"/>
        <v>14</v>
      </c>
    </row>
    <row r="2005">
      <c r="A2005" s="10" t="s">
        <v>27</v>
      </c>
      <c r="B2005" s="9">
        <f t="shared" si="4"/>
        <v>46005</v>
      </c>
      <c r="C2005" s="77" t="s">
        <v>1572</v>
      </c>
      <c r="D2005" s="13">
        <f>D2002+D2003-D2004</f>
        <v>73309.409</v>
      </c>
      <c r="E2005" s="15">
        <f t="shared" si="1"/>
        <v>2025</v>
      </c>
      <c r="F2005" s="15">
        <f t="shared" si="2"/>
        <v>12</v>
      </c>
      <c r="G2005" s="15">
        <f t="shared" si="3"/>
        <v>14</v>
      </c>
    </row>
    <row r="2006">
      <c r="A2006" s="10" t="s">
        <v>27</v>
      </c>
      <c r="B2006" s="9">
        <f t="shared" si="4"/>
        <v>46006</v>
      </c>
      <c r="C2006" s="77" t="s">
        <v>1569</v>
      </c>
      <c r="D2006" s="12">
        <f>D2005</f>
        <v>73309.409</v>
      </c>
      <c r="E2006" s="15">
        <f t="shared" si="1"/>
        <v>2025</v>
      </c>
      <c r="F2006" s="15">
        <f t="shared" si="2"/>
        <v>12</v>
      </c>
      <c r="G2006" s="15">
        <f t="shared" si="3"/>
        <v>15</v>
      </c>
    </row>
    <row r="2007">
      <c r="A2007" s="10" t="s">
        <v>27</v>
      </c>
      <c r="B2007" s="9">
        <f t="shared" si="4"/>
        <v>46006</v>
      </c>
      <c r="C2007" s="77" t="s">
        <v>1570</v>
      </c>
      <c r="D2007" s="13">
        <f>SUMIFS('Lançamentos de receitas'!$E:$E,'Lançamentos de receitas'!$A:$A,B2007,'Lançamentos de receitas'!$C:$C,A2007,'Lançamentos de receitas'!$F:$F,"TRANSFERÊNCIA")</f>
        <v>9465.88</v>
      </c>
      <c r="E2007" s="15">
        <f t="shared" si="1"/>
        <v>2025</v>
      </c>
      <c r="F2007" s="15">
        <f t="shared" si="2"/>
        <v>12</v>
      </c>
      <c r="G2007" s="15">
        <f t="shared" si="3"/>
        <v>15</v>
      </c>
    </row>
    <row r="2008">
      <c r="A2008" s="10" t="s">
        <v>27</v>
      </c>
      <c r="B2008" s="9">
        <f t="shared" si="4"/>
        <v>46006</v>
      </c>
      <c r="C2008" s="77" t="s">
        <v>1571</v>
      </c>
      <c r="D2008" s="13">
        <f>SUMIFS('Lançamentos de despesas'!$K:$K,'Lançamentos de despesas'!$C:$C,B2008,'Lançamentos de despesas'!$G:$G,A2008,'Lançamentos de despesas'!$E:$E,"pago")</f>
        <v>52518.17</v>
      </c>
      <c r="E2008" s="15">
        <f t="shared" si="1"/>
        <v>2025</v>
      </c>
      <c r="F2008" s="15">
        <f t="shared" si="2"/>
        <v>12</v>
      </c>
      <c r="G2008" s="15">
        <f t="shared" si="3"/>
        <v>15</v>
      </c>
    </row>
    <row r="2009">
      <c r="A2009" s="10" t="s">
        <v>27</v>
      </c>
      <c r="B2009" s="9">
        <f t="shared" si="4"/>
        <v>46006</v>
      </c>
      <c r="C2009" s="77" t="s">
        <v>1572</v>
      </c>
      <c r="D2009" s="13">
        <f>D2006+D2007-D2008</f>
        <v>30257.119</v>
      </c>
      <c r="E2009" s="15">
        <f t="shared" si="1"/>
        <v>2025</v>
      </c>
      <c r="F2009" s="15">
        <f t="shared" si="2"/>
        <v>12</v>
      </c>
      <c r="G2009" s="15">
        <f t="shared" si="3"/>
        <v>15</v>
      </c>
    </row>
    <row r="2010">
      <c r="A2010" s="10" t="s">
        <v>27</v>
      </c>
      <c r="B2010" s="9">
        <f t="shared" si="4"/>
        <v>46007</v>
      </c>
      <c r="C2010" s="77" t="s">
        <v>1569</v>
      </c>
      <c r="D2010" s="12">
        <f>D2009</f>
        <v>30257.119</v>
      </c>
      <c r="E2010" s="15">
        <f t="shared" si="1"/>
        <v>2025</v>
      </c>
      <c r="F2010" s="15">
        <f t="shared" si="2"/>
        <v>12</v>
      </c>
      <c r="G2010" s="15">
        <f t="shared" si="3"/>
        <v>16</v>
      </c>
    </row>
    <row r="2011">
      <c r="A2011" s="10" t="s">
        <v>27</v>
      </c>
      <c r="B2011" s="9">
        <f t="shared" si="4"/>
        <v>46007</v>
      </c>
      <c r="C2011" s="77" t="s">
        <v>1570</v>
      </c>
      <c r="D2011" s="13">
        <f>SUMIFS('Lançamentos de receitas'!$E:$E,'Lançamentos de receitas'!$A:$A,B2011,'Lançamentos de receitas'!$C:$C,A2011,'Lançamentos de receitas'!$F:$F,"TRANSFERÊNCIA")</f>
        <v>32396.11</v>
      </c>
      <c r="E2011" s="15">
        <f t="shared" si="1"/>
        <v>2025</v>
      </c>
      <c r="F2011" s="15">
        <f t="shared" si="2"/>
        <v>12</v>
      </c>
      <c r="G2011" s="15">
        <f t="shared" si="3"/>
        <v>16</v>
      </c>
    </row>
    <row r="2012">
      <c r="A2012" s="10" t="s">
        <v>27</v>
      </c>
      <c r="B2012" s="9">
        <f t="shared" si="4"/>
        <v>46007</v>
      </c>
      <c r="C2012" s="77" t="s">
        <v>1571</v>
      </c>
      <c r="D2012" s="13">
        <f>SUMIFS('Lançamentos de despesas'!$K:$K,'Lançamentos de despesas'!$C:$C,B2012,'Lançamentos de despesas'!$G:$G,A2012,'Lançamentos de despesas'!$E:$E,"pago")</f>
        <v>0</v>
      </c>
      <c r="E2012" s="15">
        <f t="shared" si="1"/>
        <v>2025</v>
      </c>
      <c r="F2012" s="15">
        <f t="shared" si="2"/>
        <v>12</v>
      </c>
      <c r="G2012" s="15">
        <f t="shared" si="3"/>
        <v>16</v>
      </c>
    </row>
    <row r="2013">
      <c r="A2013" s="10" t="s">
        <v>27</v>
      </c>
      <c r="B2013" s="9">
        <f t="shared" si="4"/>
        <v>46007</v>
      </c>
      <c r="C2013" s="77" t="s">
        <v>1572</v>
      </c>
      <c r="D2013" s="13">
        <f>D2010+D2011-D2012</f>
        <v>62653.229</v>
      </c>
      <c r="E2013" s="15">
        <f t="shared" si="1"/>
        <v>2025</v>
      </c>
      <c r="F2013" s="15">
        <f t="shared" si="2"/>
        <v>12</v>
      </c>
      <c r="G2013" s="15">
        <f t="shared" si="3"/>
        <v>16</v>
      </c>
    </row>
    <row r="2014">
      <c r="A2014" s="10" t="s">
        <v>27</v>
      </c>
      <c r="B2014" s="9">
        <f t="shared" si="4"/>
        <v>46008</v>
      </c>
      <c r="C2014" s="77" t="s">
        <v>1569</v>
      </c>
      <c r="D2014" s="12">
        <f>D2013</f>
        <v>62653.229</v>
      </c>
      <c r="E2014" s="15">
        <f t="shared" si="1"/>
        <v>2025</v>
      </c>
      <c r="F2014" s="15">
        <f t="shared" si="2"/>
        <v>12</v>
      </c>
      <c r="G2014" s="15">
        <f t="shared" si="3"/>
        <v>17</v>
      </c>
    </row>
    <row r="2015">
      <c r="A2015" s="10" t="s">
        <v>27</v>
      </c>
      <c r="B2015" s="9">
        <f t="shared" si="4"/>
        <v>46008</v>
      </c>
      <c r="C2015" s="77" t="s">
        <v>1570</v>
      </c>
      <c r="D2015" s="13">
        <f>SUMIFS('Lançamentos de receitas'!$E:$E,'Lançamentos de receitas'!$A:$A,B2015,'Lançamentos de receitas'!$C:$C,A2015,'Lançamentos de receitas'!$F:$F,"TRANSFERÊNCIA")</f>
        <v>837.17</v>
      </c>
      <c r="E2015" s="15">
        <f t="shared" si="1"/>
        <v>2025</v>
      </c>
      <c r="F2015" s="15">
        <f t="shared" si="2"/>
        <v>12</v>
      </c>
      <c r="G2015" s="15">
        <f t="shared" si="3"/>
        <v>17</v>
      </c>
    </row>
    <row r="2016">
      <c r="A2016" s="10" t="s">
        <v>27</v>
      </c>
      <c r="B2016" s="9">
        <f t="shared" si="4"/>
        <v>46008</v>
      </c>
      <c r="C2016" s="77" t="s">
        <v>1571</v>
      </c>
      <c r="D2016" s="13">
        <f>SUMIFS('Lançamentos de despesas'!$K:$K,'Lançamentos de despesas'!$C:$C,B2016,'Lançamentos de despesas'!$G:$G,A2016,'Lançamentos de despesas'!$E:$E,"pago")</f>
        <v>0</v>
      </c>
      <c r="E2016" s="15">
        <f t="shared" si="1"/>
        <v>2025</v>
      </c>
      <c r="F2016" s="15">
        <f t="shared" si="2"/>
        <v>12</v>
      </c>
      <c r="G2016" s="15">
        <f t="shared" si="3"/>
        <v>17</v>
      </c>
    </row>
    <row r="2017">
      <c r="A2017" s="10" t="s">
        <v>27</v>
      </c>
      <c r="B2017" s="9">
        <f t="shared" si="4"/>
        <v>46008</v>
      </c>
      <c r="C2017" s="77" t="s">
        <v>1572</v>
      </c>
      <c r="D2017" s="13">
        <f>D2014+D2015-D2016</f>
        <v>63490.399</v>
      </c>
      <c r="E2017" s="15">
        <f t="shared" si="1"/>
        <v>2025</v>
      </c>
      <c r="F2017" s="15">
        <f t="shared" si="2"/>
        <v>12</v>
      </c>
      <c r="G2017" s="15">
        <f t="shared" si="3"/>
        <v>17</v>
      </c>
    </row>
    <row r="2018">
      <c r="A2018" s="10" t="s">
        <v>27</v>
      </c>
      <c r="B2018" s="9">
        <f t="shared" si="4"/>
        <v>46009</v>
      </c>
      <c r="C2018" s="77" t="s">
        <v>1569</v>
      </c>
      <c r="D2018" s="12">
        <f>D2017</f>
        <v>63490.399</v>
      </c>
      <c r="E2018" s="15">
        <f t="shared" si="1"/>
        <v>2025</v>
      </c>
      <c r="F2018" s="15">
        <f t="shared" si="2"/>
        <v>12</v>
      </c>
      <c r="G2018" s="15">
        <f t="shared" si="3"/>
        <v>18</v>
      </c>
    </row>
    <row r="2019">
      <c r="A2019" s="10" t="s">
        <v>27</v>
      </c>
      <c r="B2019" s="9">
        <f t="shared" si="4"/>
        <v>46009</v>
      </c>
      <c r="C2019" s="77" t="s">
        <v>1570</v>
      </c>
      <c r="D2019" s="13">
        <f>SUMIFS('Lançamentos de receitas'!$E:$E,'Lançamentos de receitas'!$A:$A,B2019,'Lançamentos de receitas'!$C:$C,A2019,'Lançamentos de receitas'!$F:$F,"TRANSFERÊNCIA")</f>
        <v>1609.45</v>
      </c>
      <c r="E2019" s="15">
        <f t="shared" si="1"/>
        <v>2025</v>
      </c>
      <c r="F2019" s="15">
        <f t="shared" si="2"/>
        <v>12</v>
      </c>
      <c r="G2019" s="15">
        <f t="shared" si="3"/>
        <v>18</v>
      </c>
    </row>
    <row r="2020">
      <c r="A2020" s="10" t="s">
        <v>27</v>
      </c>
      <c r="B2020" s="9">
        <f t="shared" si="4"/>
        <v>46009</v>
      </c>
      <c r="C2020" s="77" t="s">
        <v>1571</v>
      </c>
      <c r="D2020" s="13">
        <f>SUMIFS('Lançamentos de despesas'!$K:$K,'Lançamentos de despesas'!$C:$C,B2020,'Lançamentos de despesas'!$G:$G,A2020,'Lançamentos de despesas'!$E:$E,"pago")</f>
        <v>6246.34</v>
      </c>
      <c r="E2020" s="15">
        <f t="shared" si="1"/>
        <v>2025</v>
      </c>
      <c r="F2020" s="15">
        <f t="shared" si="2"/>
        <v>12</v>
      </c>
      <c r="G2020" s="15">
        <f t="shared" si="3"/>
        <v>18</v>
      </c>
    </row>
    <row r="2021">
      <c r="A2021" s="10" t="s">
        <v>27</v>
      </c>
      <c r="B2021" s="9">
        <f t="shared" si="4"/>
        <v>46009</v>
      </c>
      <c r="C2021" s="77" t="s">
        <v>1572</v>
      </c>
      <c r="D2021" s="13">
        <f>D2018+D2019-D2020</f>
        <v>58853.509</v>
      </c>
      <c r="E2021" s="15">
        <f t="shared" si="1"/>
        <v>2025</v>
      </c>
      <c r="F2021" s="15">
        <f t="shared" si="2"/>
        <v>12</v>
      </c>
      <c r="G2021" s="15">
        <f t="shared" si="3"/>
        <v>18</v>
      </c>
    </row>
    <row r="2022">
      <c r="A2022" s="10" t="s">
        <v>27</v>
      </c>
      <c r="B2022" s="9">
        <f t="shared" si="4"/>
        <v>46010</v>
      </c>
      <c r="C2022" s="77" t="s">
        <v>1569</v>
      </c>
      <c r="D2022" s="12">
        <f>D2021</f>
        <v>58853.509</v>
      </c>
      <c r="E2022" s="15">
        <f t="shared" si="1"/>
        <v>2025</v>
      </c>
      <c r="F2022" s="15">
        <f t="shared" si="2"/>
        <v>12</v>
      </c>
      <c r="G2022" s="15">
        <f t="shared" si="3"/>
        <v>19</v>
      </c>
    </row>
    <row r="2023">
      <c r="A2023" s="10" t="s">
        <v>27</v>
      </c>
      <c r="B2023" s="9">
        <f t="shared" si="4"/>
        <v>46010</v>
      </c>
      <c r="C2023" s="77" t="s">
        <v>1570</v>
      </c>
      <c r="D2023" s="13">
        <f>SUMIFS('Lançamentos de receitas'!$E:$E,'Lançamentos de receitas'!$A:$A,B2023,'Lançamentos de receitas'!$C:$C,A2023,'Lançamentos de receitas'!$F:$F,"TRANSFERÊNCIA")</f>
        <v>1287.54</v>
      </c>
      <c r="E2023" s="15">
        <f t="shared" si="1"/>
        <v>2025</v>
      </c>
      <c r="F2023" s="15">
        <f t="shared" si="2"/>
        <v>12</v>
      </c>
      <c r="G2023" s="15">
        <f t="shared" si="3"/>
        <v>19</v>
      </c>
    </row>
    <row r="2024">
      <c r="A2024" s="10" t="s">
        <v>27</v>
      </c>
      <c r="B2024" s="9">
        <f t="shared" si="4"/>
        <v>46010</v>
      </c>
      <c r="C2024" s="77" t="s">
        <v>1571</v>
      </c>
      <c r="D2024" s="13">
        <f>SUMIFS('Lançamentos de despesas'!$K:$K,'Lançamentos de despesas'!$C:$C,B2024,'Lançamentos de despesas'!$G:$G,A2024,'Lançamentos de despesas'!$E:$E,"pago")</f>
        <v>15224.83</v>
      </c>
      <c r="E2024" s="15">
        <f t="shared" si="1"/>
        <v>2025</v>
      </c>
      <c r="F2024" s="15">
        <f t="shared" si="2"/>
        <v>12</v>
      </c>
      <c r="G2024" s="15">
        <f t="shared" si="3"/>
        <v>19</v>
      </c>
    </row>
    <row r="2025">
      <c r="A2025" s="10" t="s">
        <v>27</v>
      </c>
      <c r="B2025" s="9">
        <f t="shared" si="4"/>
        <v>46010</v>
      </c>
      <c r="C2025" s="77" t="s">
        <v>1572</v>
      </c>
      <c r="D2025" s="13">
        <f>D2022+D2023-D2024</f>
        <v>44916.219</v>
      </c>
      <c r="E2025" s="15">
        <f t="shared" si="1"/>
        <v>2025</v>
      </c>
      <c r="F2025" s="15">
        <f t="shared" si="2"/>
        <v>12</v>
      </c>
      <c r="G2025" s="15">
        <f t="shared" si="3"/>
        <v>19</v>
      </c>
    </row>
    <row r="2026">
      <c r="A2026" s="10" t="s">
        <v>27</v>
      </c>
      <c r="B2026" s="9">
        <f t="shared" si="4"/>
        <v>46011</v>
      </c>
      <c r="C2026" s="77" t="s">
        <v>1569</v>
      </c>
      <c r="D2026" s="12">
        <f>D2025</f>
        <v>44916.219</v>
      </c>
      <c r="E2026" s="15">
        <f t="shared" si="1"/>
        <v>2025</v>
      </c>
      <c r="F2026" s="15">
        <f t="shared" si="2"/>
        <v>12</v>
      </c>
      <c r="G2026" s="15">
        <f t="shared" si="3"/>
        <v>20</v>
      </c>
    </row>
    <row r="2027">
      <c r="A2027" s="10" t="s">
        <v>27</v>
      </c>
      <c r="B2027" s="9">
        <f t="shared" si="4"/>
        <v>46011</v>
      </c>
      <c r="C2027" s="77" t="s">
        <v>1570</v>
      </c>
      <c r="D2027" s="13">
        <f>SUMIFS('Lançamentos de receitas'!$E:$E,'Lançamentos de receitas'!$A:$A,B2027,'Lançamentos de receitas'!$C:$C,A2027,'Lançamentos de receitas'!$F:$F,"TRANSFERÊNCIA")</f>
        <v>927.64</v>
      </c>
      <c r="E2027" s="15">
        <f t="shared" si="1"/>
        <v>2025</v>
      </c>
      <c r="F2027" s="15">
        <f t="shared" si="2"/>
        <v>12</v>
      </c>
      <c r="G2027" s="15">
        <f t="shared" si="3"/>
        <v>20</v>
      </c>
    </row>
    <row r="2028">
      <c r="A2028" s="10" t="s">
        <v>27</v>
      </c>
      <c r="B2028" s="9">
        <f t="shared" si="4"/>
        <v>46011</v>
      </c>
      <c r="C2028" s="77" t="s">
        <v>1571</v>
      </c>
      <c r="D2028" s="13">
        <f>SUMIFS('Lançamentos de despesas'!$K:$K,'Lançamentos de despesas'!$C:$C,B2028,'Lançamentos de despesas'!$G:$G,A2028,'Lançamentos de despesas'!$E:$E,"pago")</f>
        <v>0</v>
      </c>
      <c r="E2028" s="15">
        <f t="shared" si="1"/>
        <v>2025</v>
      </c>
      <c r="F2028" s="15">
        <f t="shared" si="2"/>
        <v>12</v>
      </c>
      <c r="G2028" s="15">
        <f t="shared" si="3"/>
        <v>20</v>
      </c>
    </row>
    <row r="2029">
      <c r="A2029" s="10" t="s">
        <v>27</v>
      </c>
      <c r="B2029" s="9">
        <f t="shared" si="4"/>
        <v>46011</v>
      </c>
      <c r="C2029" s="77" t="s">
        <v>1572</v>
      </c>
      <c r="D2029" s="13">
        <f>D2026+D2027-D2028</f>
        <v>45843.859</v>
      </c>
      <c r="E2029" s="15">
        <f t="shared" si="1"/>
        <v>2025</v>
      </c>
      <c r="F2029" s="15">
        <f t="shared" si="2"/>
        <v>12</v>
      </c>
      <c r="G2029" s="15">
        <f t="shared" si="3"/>
        <v>20</v>
      </c>
    </row>
    <row r="2030">
      <c r="A2030" s="10" t="s">
        <v>27</v>
      </c>
      <c r="B2030" s="9">
        <f t="shared" si="4"/>
        <v>46012</v>
      </c>
      <c r="C2030" s="77" t="s">
        <v>1569</v>
      </c>
      <c r="D2030" s="12">
        <f>D2029</f>
        <v>45843.859</v>
      </c>
      <c r="E2030" s="15">
        <f t="shared" si="1"/>
        <v>2025</v>
      </c>
      <c r="F2030" s="15">
        <f t="shared" si="2"/>
        <v>12</v>
      </c>
      <c r="G2030" s="15">
        <f t="shared" si="3"/>
        <v>21</v>
      </c>
    </row>
    <row r="2031">
      <c r="A2031" s="10" t="s">
        <v>27</v>
      </c>
      <c r="B2031" s="9">
        <f t="shared" si="4"/>
        <v>46012</v>
      </c>
      <c r="C2031" s="77" t="s">
        <v>1570</v>
      </c>
      <c r="D2031" s="13">
        <f>SUMIFS('Lançamentos de receitas'!$E:$E,'Lançamentos de receitas'!$A:$A,B2031,'Lançamentos de receitas'!$C:$C,A2031,'Lançamentos de receitas'!$F:$F,"TRANSFERÊNCIA")</f>
        <v>1247.57</v>
      </c>
      <c r="E2031" s="15">
        <f t="shared" si="1"/>
        <v>2025</v>
      </c>
      <c r="F2031" s="15">
        <f t="shared" si="2"/>
        <v>12</v>
      </c>
      <c r="G2031" s="15">
        <f t="shared" si="3"/>
        <v>21</v>
      </c>
    </row>
    <row r="2032">
      <c r="A2032" s="10" t="s">
        <v>27</v>
      </c>
      <c r="B2032" s="9">
        <f t="shared" si="4"/>
        <v>46012</v>
      </c>
      <c r="C2032" s="77" t="s">
        <v>1571</v>
      </c>
      <c r="D2032" s="13">
        <f>SUMIFS('Lançamentos de despesas'!$K:$K,'Lançamentos de despesas'!$C:$C,B2032,'Lançamentos de despesas'!$G:$G,A2032,'Lançamentos de despesas'!$E:$E,"pago")</f>
        <v>0</v>
      </c>
      <c r="E2032" s="15">
        <f t="shared" si="1"/>
        <v>2025</v>
      </c>
      <c r="F2032" s="15">
        <f t="shared" si="2"/>
        <v>12</v>
      </c>
      <c r="G2032" s="15">
        <f t="shared" si="3"/>
        <v>21</v>
      </c>
    </row>
    <row r="2033">
      <c r="A2033" s="10" t="s">
        <v>27</v>
      </c>
      <c r="B2033" s="9">
        <f t="shared" si="4"/>
        <v>46012</v>
      </c>
      <c r="C2033" s="77" t="s">
        <v>1572</v>
      </c>
      <c r="D2033" s="13">
        <f>D2030+D2031-D2032</f>
        <v>47091.429</v>
      </c>
      <c r="E2033" s="15">
        <f t="shared" si="1"/>
        <v>2025</v>
      </c>
      <c r="F2033" s="15">
        <f t="shared" si="2"/>
        <v>12</v>
      </c>
      <c r="G2033" s="15">
        <f t="shared" si="3"/>
        <v>21</v>
      </c>
    </row>
    <row r="2034">
      <c r="A2034" s="10" t="s">
        <v>27</v>
      </c>
      <c r="B2034" s="9">
        <f t="shared" si="4"/>
        <v>46013</v>
      </c>
      <c r="C2034" s="77" t="s">
        <v>1569</v>
      </c>
      <c r="D2034" s="12">
        <f>D2033</f>
        <v>47091.429</v>
      </c>
      <c r="E2034" s="15">
        <f t="shared" si="1"/>
        <v>2025</v>
      </c>
      <c r="F2034" s="15">
        <f t="shared" si="2"/>
        <v>12</v>
      </c>
      <c r="G2034" s="15">
        <f t="shared" si="3"/>
        <v>22</v>
      </c>
    </row>
    <row r="2035">
      <c r="A2035" s="10" t="s">
        <v>27</v>
      </c>
      <c r="B2035" s="9">
        <f t="shared" si="4"/>
        <v>46013</v>
      </c>
      <c r="C2035" s="77" t="s">
        <v>1570</v>
      </c>
      <c r="D2035" s="13">
        <f>SUMIFS('Lançamentos de receitas'!$E:$E,'Lançamentos de receitas'!$A:$A,B2035,'Lançamentos de receitas'!$C:$C,A2035,'Lançamentos de receitas'!$F:$F,"TRANSFERÊNCIA")</f>
        <v>773.7</v>
      </c>
      <c r="E2035" s="15">
        <f t="shared" si="1"/>
        <v>2025</v>
      </c>
      <c r="F2035" s="15">
        <f t="shared" si="2"/>
        <v>12</v>
      </c>
      <c r="G2035" s="15">
        <f t="shared" si="3"/>
        <v>22</v>
      </c>
    </row>
    <row r="2036">
      <c r="A2036" s="10" t="s">
        <v>27</v>
      </c>
      <c r="B2036" s="9">
        <f t="shared" si="4"/>
        <v>46013</v>
      </c>
      <c r="C2036" s="77" t="s">
        <v>1571</v>
      </c>
      <c r="D2036" s="13">
        <f>SUMIFS('Lançamentos de despesas'!$K:$K,'Lançamentos de despesas'!$C:$C,B2036,'Lançamentos de despesas'!$G:$G,A2036,'Lançamentos de despesas'!$E:$E,"pago")</f>
        <v>24769.86</v>
      </c>
      <c r="E2036" s="15">
        <f t="shared" si="1"/>
        <v>2025</v>
      </c>
      <c r="F2036" s="15">
        <f t="shared" si="2"/>
        <v>12</v>
      </c>
      <c r="G2036" s="15">
        <f t="shared" si="3"/>
        <v>22</v>
      </c>
    </row>
    <row r="2037">
      <c r="A2037" s="10" t="s">
        <v>27</v>
      </c>
      <c r="B2037" s="9">
        <f t="shared" si="4"/>
        <v>46013</v>
      </c>
      <c r="C2037" s="77" t="s">
        <v>1572</v>
      </c>
      <c r="D2037" s="13">
        <f>D2034+D2035-D2036</f>
        <v>23095.269</v>
      </c>
      <c r="E2037" s="15">
        <f t="shared" si="1"/>
        <v>2025</v>
      </c>
      <c r="F2037" s="15">
        <f t="shared" si="2"/>
        <v>12</v>
      </c>
      <c r="G2037" s="15">
        <f t="shared" si="3"/>
        <v>22</v>
      </c>
    </row>
    <row r="2038">
      <c r="A2038" s="10" t="s">
        <v>27</v>
      </c>
      <c r="B2038" s="9">
        <f t="shared" si="4"/>
        <v>46014</v>
      </c>
      <c r="C2038" s="77" t="s">
        <v>1569</v>
      </c>
      <c r="D2038" s="12">
        <f>D2037</f>
        <v>23095.269</v>
      </c>
      <c r="E2038" s="15">
        <f t="shared" si="1"/>
        <v>2025</v>
      </c>
      <c r="F2038" s="15">
        <f t="shared" si="2"/>
        <v>12</v>
      </c>
      <c r="G2038" s="15">
        <f t="shared" si="3"/>
        <v>23</v>
      </c>
    </row>
    <row r="2039">
      <c r="A2039" s="10" t="s">
        <v>27</v>
      </c>
      <c r="B2039" s="9">
        <f t="shared" si="4"/>
        <v>46014</v>
      </c>
      <c r="C2039" s="77" t="s">
        <v>1570</v>
      </c>
      <c r="D2039" s="13">
        <f>SUMIFS('Lançamentos de receitas'!$E:$E,'Lançamentos de receitas'!$A:$A,B2039,'Lançamentos de receitas'!$C:$C,A2039,'Lançamentos de receitas'!$F:$F,"TRANSFERÊNCIA")</f>
        <v>139.4</v>
      </c>
      <c r="E2039" s="15">
        <f t="shared" si="1"/>
        <v>2025</v>
      </c>
      <c r="F2039" s="15">
        <f t="shared" si="2"/>
        <v>12</v>
      </c>
      <c r="G2039" s="15">
        <f t="shared" si="3"/>
        <v>23</v>
      </c>
    </row>
    <row r="2040">
      <c r="A2040" s="10" t="s">
        <v>27</v>
      </c>
      <c r="B2040" s="9">
        <f t="shared" si="4"/>
        <v>46014</v>
      </c>
      <c r="C2040" s="77" t="s">
        <v>1571</v>
      </c>
      <c r="D2040" s="13">
        <f>SUMIFS('Lançamentos de despesas'!$K:$K,'Lançamentos de despesas'!$C:$C,B2040,'Lançamentos de despesas'!$G:$G,A2040,'Lançamentos de despesas'!$E:$E,"pago")</f>
        <v>0</v>
      </c>
      <c r="E2040" s="15">
        <f t="shared" si="1"/>
        <v>2025</v>
      </c>
      <c r="F2040" s="15">
        <f t="shared" si="2"/>
        <v>12</v>
      </c>
      <c r="G2040" s="15">
        <f t="shared" si="3"/>
        <v>23</v>
      </c>
    </row>
    <row r="2041">
      <c r="A2041" s="10" t="s">
        <v>27</v>
      </c>
      <c r="B2041" s="9">
        <f t="shared" si="4"/>
        <v>46014</v>
      </c>
      <c r="C2041" s="77" t="s">
        <v>1572</v>
      </c>
      <c r="D2041" s="13">
        <f>D2038+D2039-D2040</f>
        <v>23234.669</v>
      </c>
      <c r="E2041" s="15">
        <f t="shared" si="1"/>
        <v>2025</v>
      </c>
      <c r="F2041" s="15">
        <f t="shared" si="2"/>
        <v>12</v>
      </c>
      <c r="G2041" s="15">
        <f t="shared" si="3"/>
        <v>23</v>
      </c>
    </row>
    <row r="2042">
      <c r="A2042" s="10" t="s">
        <v>27</v>
      </c>
      <c r="B2042" s="9">
        <f t="shared" si="4"/>
        <v>46015</v>
      </c>
      <c r="C2042" s="77" t="s">
        <v>1569</v>
      </c>
      <c r="D2042" s="12">
        <f>D2041</f>
        <v>23234.669</v>
      </c>
      <c r="E2042" s="15">
        <f t="shared" si="1"/>
        <v>2025</v>
      </c>
      <c r="F2042" s="15">
        <f t="shared" si="2"/>
        <v>12</v>
      </c>
      <c r="G2042" s="15">
        <f t="shared" si="3"/>
        <v>24</v>
      </c>
    </row>
    <row r="2043">
      <c r="A2043" s="10" t="s">
        <v>27</v>
      </c>
      <c r="B2043" s="9">
        <f t="shared" si="4"/>
        <v>46015</v>
      </c>
      <c r="C2043" s="77" t="s">
        <v>1570</v>
      </c>
      <c r="D2043" s="13">
        <f>SUMIFS('Lançamentos de receitas'!$E:$E,'Lançamentos de receitas'!$A:$A,B2043,'Lançamentos de receitas'!$C:$C,A2043,'Lançamentos de receitas'!$F:$F,"TRANSFERÊNCIA")</f>
        <v>785.15</v>
      </c>
      <c r="E2043" s="15">
        <f t="shared" si="1"/>
        <v>2025</v>
      </c>
      <c r="F2043" s="15">
        <f t="shared" si="2"/>
        <v>12</v>
      </c>
      <c r="G2043" s="15">
        <f t="shared" si="3"/>
        <v>24</v>
      </c>
    </row>
    <row r="2044">
      <c r="A2044" s="10" t="s">
        <v>27</v>
      </c>
      <c r="B2044" s="9">
        <f t="shared" si="4"/>
        <v>46015</v>
      </c>
      <c r="C2044" s="77" t="s">
        <v>1571</v>
      </c>
      <c r="D2044" s="13">
        <f>SUMIFS('Lançamentos de despesas'!$K:$K,'Lançamentos de despesas'!$C:$C,B2044,'Lançamentos de despesas'!$G:$G,A2044,'Lançamentos de despesas'!$E:$E,"pago")</f>
        <v>365.25</v>
      </c>
      <c r="E2044" s="15">
        <f t="shared" si="1"/>
        <v>2025</v>
      </c>
      <c r="F2044" s="15">
        <f t="shared" si="2"/>
        <v>12</v>
      </c>
      <c r="G2044" s="15">
        <f t="shared" si="3"/>
        <v>24</v>
      </c>
    </row>
    <row r="2045">
      <c r="A2045" s="10" t="s">
        <v>27</v>
      </c>
      <c r="B2045" s="9">
        <f t="shared" si="4"/>
        <v>46015</v>
      </c>
      <c r="C2045" s="77" t="s">
        <v>1572</v>
      </c>
      <c r="D2045" s="13">
        <f>D2042+D2043-D2044</f>
        <v>23654.569</v>
      </c>
      <c r="E2045" s="15">
        <f t="shared" si="1"/>
        <v>2025</v>
      </c>
      <c r="F2045" s="15">
        <f t="shared" si="2"/>
        <v>12</v>
      </c>
      <c r="G2045" s="15">
        <f t="shared" si="3"/>
        <v>24</v>
      </c>
    </row>
    <row r="2046">
      <c r="A2046" s="10" t="s">
        <v>27</v>
      </c>
      <c r="B2046" s="9">
        <f t="shared" si="4"/>
        <v>46016</v>
      </c>
      <c r="C2046" s="77" t="s">
        <v>1569</v>
      </c>
      <c r="D2046" s="12">
        <f>D2045</f>
        <v>23654.569</v>
      </c>
      <c r="E2046" s="15">
        <f t="shared" si="1"/>
        <v>2025</v>
      </c>
      <c r="F2046" s="15">
        <f t="shared" si="2"/>
        <v>12</v>
      </c>
      <c r="G2046" s="15">
        <f t="shared" si="3"/>
        <v>25</v>
      </c>
    </row>
    <row r="2047">
      <c r="A2047" s="10" t="s">
        <v>27</v>
      </c>
      <c r="B2047" s="9">
        <f t="shared" si="4"/>
        <v>46016</v>
      </c>
      <c r="C2047" s="77" t="s">
        <v>1570</v>
      </c>
      <c r="D2047" s="13">
        <f>SUMIFS('Lançamentos de receitas'!$E:$E,'Lançamentos de receitas'!$A:$A,B2047,'Lançamentos de receitas'!$C:$C,A2047,'Lançamentos de receitas'!$F:$F,"TRANSFERÊNCIA")</f>
        <v>1074.67</v>
      </c>
      <c r="E2047" s="15">
        <f t="shared" si="1"/>
        <v>2025</v>
      </c>
      <c r="F2047" s="15">
        <f t="shared" si="2"/>
        <v>12</v>
      </c>
      <c r="G2047" s="15">
        <f t="shared" si="3"/>
        <v>25</v>
      </c>
    </row>
    <row r="2048">
      <c r="A2048" s="10" t="s">
        <v>27</v>
      </c>
      <c r="B2048" s="9">
        <f t="shared" si="4"/>
        <v>46016</v>
      </c>
      <c r="C2048" s="77" t="s">
        <v>1571</v>
      </c>
      <c r="D2048" s="13">
        <f>SUMIFS('Lançamentos de despesas'!$K:$K,'Lançamentos de despesas'!$C:$C,B2048,'Lançamentos de despesas'!$G:$G,A2048,'Lançamentos de despesas'!$E:$E,"pago")</f>
        <v>0</v>
      </c>
      <c r="E2048" s="15">
        <f t="shared" si="1"/>
        <v>2025</v>
      </c>
      <c r="F2048" s="15">
        <f t="shared" si="2"/>
        <v>12</v>
      </c>
      <c r="G2048" s="15">
        <f t="shared" si="3"/>
        <v>25</v>
      </c>
    </row>
    <row r="2049">
      <c r="A2049" s="10" t="s">
        <v>27</v>
      </c>
      <c r="B2049" s="9">
        <f t="shared" si="4"/>
        <v>46016</v>
      </c>
      <c r="C2049" s="77" t="s">
        <v>1572</v>
      </c>
      <c r="D2049" s="13">
        <f>D2046+D2047-D2048</f>
        <v>24729.239</v>
      </c>
      <c r="E2049" s="15">
        <f t="shared" si="1"/>
        <v>2025</v>
      </c>
      <c r="F2049" s="15">
        <f t="shared" si="2"/>
        <v>12</v>
      </c>
      <c r="G2049" s="15">
        <f t="shared" si="3"/>
        <v>25</v>
      </c>
    </row>
    <row r="2050">
      <c r="A2050" s="10" t="s">
        <v>27</v>
      </c>
      <c r="B2050" s="9">
        <f t="shared" si="4"/>
        <v>46017</v>
      </c>
      <c r="C2050" s="77" t="s">
        <v>1569</v>
      </c>
      <c r="D2050" s="12">
        <f>D2049</f>
        <v>24729.239</v>
      </c>
      <c r="E2050" s="15">
        <f t="shared" si="1"/>
        <v>2025</v>
      </c>
      <c r="F2050" s="15">
        <f t="shared" si="2"/>
        <v>12</v>
      </c>
      <c r="G2050" s="15">
        <f t="shared" si="3"/>
        <v>26</v>
      </c>
    </row>
    <row r="2051">
      <c r="A2051" s="10" t="s">
        <v>27</v>
      </c>
      <c r="B2051" s="9">
        <f t="shared" si="4"/>
        <v>46017</v>
      </c>
      <c r="C2051" s="77" t="s">
        <v>1570</v>
      </c>
      <c r="D2051" s="13">
        <f>SUMIFS('Lançamentos de receitas'!$E:$E,'Lançamentos de receitas'!$A:$A,B2051,'Lançamentos de receitas'!$C:$C,A2051,'Lançamentos de receitas'!$F:$F,"TRANSFERÊNCIA")</f>
        <v>105860.46</v>
      </c>
      <c r="E2051" s="15">
        <f t="shared" si="1"/>
        <v>2025</v>
      </c>
      <c r="F2051" s="15">
        <f t="shared" si="2"/>
        <v>12</v>
      </c>
      <c r="G2051" s="15">
        <f t="shared" si="3"/>
        <v>26</v>
      </c>
    </row>
    <row r="2052">
      <c r="A2052" s="10" t="s">
        <v>27</v>
      </c>
      <c r="B2052" s="9">
        <f t="shared" si="4"/>
        <v>46017</v>
      </c>
      <c r="C2052" s="77" t="s">
        <v>1571</v>
      </c>
      <c r="D2052" s="13">
        <f>SUMIFS('Lançamentos de despesas'!$K:$K,'Lançamentos de despesas'!$C:$C,B2052,'Lançamentos de despesas'!$G:$G,A2052,'Lançamentos de despesas'!$E:$E,"pago")</f>
        <v>0</v>
      </c>
      <c r="E2052" s="15">
        <f t="shared" si="1"/>
        <v>2025</v>
      </c>
      <c r="F2052" s="15">
        <f t="shared" si="2"/>
        <v>12</v>
      </c>
      <c r="G2052" s="15">
        <f t="shared" si="3"/>
        <v>26</v>
      </c>
    </row>
    <row r="2053">
      <c r="A2053" s="10" t="s">
        <v>27</v>
      </c>
      <c r="B2053" s="9">
        <f t="shared" si="4"/>
        <v>46017</v>
      </c>
      <c r="C2053" s="77" t="s">
        <v>1572</v>
      </c>
      <c r="D2053" s="13">
        <f>D2050+D2051-D2052</f>
        <v>130589.699</v>
      </c>
      <c r="E2053" s="15">
        <f t="shared" si="1"/>
        <v>2025</v>
      </c>
      <c r="F2053" s="15">
        <f t="shared" si="2"/>
        <v>12</v>
      </c>
      <c r="G2053" s="15">
        <f t="shared" si="3"/>
        <v>26</v>
      </c>
    </row>
    <row r="2054">
      <c r="A2054" s="10" t="s">
        <v>27</v>
      </c>
      <c r="B2054" s="9">
        <f t="shared" si="4"/>
        <v>46018</v>
      </c>
      <c r="C2054" s="77" t="s">
        <v>1569</v>
      </c>
      <c r="D2054" s="12">
        <f>D2053</f>
        <v>130589.699</v>
      </c>
      <c r="E2054" s="15">
        <f t="shared" si="1"/>
        <v>2025</v>
      </c>
      <c r="F2054" s="15">
        <f t="shared" si="2"/>
        <v>12</v>
      </c>
      <c r="G2054" s="15">
        <f t="shared" si="3"/>
        <v>27</v>
      </c>
    </row>
    <row r="2055">
      <c r="A2055" s="10" t="s">
        <v>27</v>
      </c>
      <c r="B2055" s="9">
        <f t="shared" si="4"/>
        <v>46018</v>
      </c>
      <c r="C2055" s="77" t="s">
        <v>1570</v>
      </c>
      <c r="D2055" s="13">
        <f>SUMIFS('Lançamentos de receitas'!$E:$E,'Lançamentos de receitas'!$A:$A,B2055,'Lançamentos de receitas'!$C:$C,A2055,'Lançamentos de receitas'!$F:$F,"TRANSFERÊNCIA")</f>
        <v>1295.73</v>
      </c>
      <c r="E2055" s="15">
        <f t="shared" si="1"/>
        <v>2025</v>
      </c>
      <c r="F2055" s="15">
        <f t="shared" si="2"/>
        <v>12</v>
      </c>
      <c r="G2055" s="15">
        <f t="shared" si="3"/>
        <v>27</v>
      </c>
    </row>
    <row r="2056">
      <c r="A2056" s="10" t="s">
        <v>27</v>
      </c>
      <c r="B2056" s="9">
        <f t="shared" si="4"/>
        <v>46018</v>
      </c>
      <c r="C2056" s="77" t="s">
        <v>1571</v>
      </c>
      <c r="D2056" s="13">
        <f>SUMIFS('Lançamentos de despesas'!$K:$K,'Lançamentos de despesas'!$C:$C,B2056,'Lançamentos de despesas'!$G:$G,A2056,'Lançamentos de despesas'!$E:$E,"pago")</f>
        <v>0</v>
      </c>
      <c r="E2056" s="15">
        <f t="shared" si="1"/>
        <v>2025</v>
      </c>
      <c r="F2056" s="15">
        <f t="shared" si="2"/>
        <v>12</v>
      </c>
      <c r="G2056" s="15">
        <f t="shared" si="3"/>
        <v>27</v>
      </c>
    </row>
    <row r="2057">
      <c r="A2057" s="10" t="s">
        <v>27</v>
      </c>
      <c r="B2057" s="9">
        <f t="shared" si="4"/>
        <v>46018</v>
      </c>
      <c r="C2057" s="77" t="s">
        <v>1572</v>
      </c>
      <c r="D2057" s="13">
        <f>D2054+D2055-D2056</f>
        <v>131885.429</v>
      </c>
      <c r="E2057" s="15">
        <f t="shared" si="1"/>
        <v>2025</v>
      </c>
      <c r="F2057" s="15">
        <f t="shared" si="2"/>
        <v>12</v>
      </c>
      <c r="G2057" s="15">
        <f t="shared" si="3"/>
        <v>27</v>
      </c>
    </row>
    <row r="2058">
      <c r="A2058" s="10" t="s">
        <v>27</v>
      </c>
      <c r="B2058" s="9">
        <f t="shared" si="4"/>
        <v>46019</v>
      </c>
      <c r="C2058" s="77" t="s">
        <v>1569</v>
      </c>
      <c r="D2058" s="12">
        <f>D2057</f>
        <v>131885.429</v>
      </c>
      <c r="E2058" s="15">
        <f t="shared" si="1"/>
        <v>2025</v>
      </c>
      <c r="F2058" s="15">
        <f t="shared" si="2"/>
        <v>12</v>
      </c>
      <c r="G2058" s="15">
        <f t="shared" si="3"/>
        <v>28</v>
      </c>
    </row>
    <row r="2059">
      <c r="A2059" s="10" t="s">
        <v>27</v>
      </c>
      <c r="B2059" s="9">
        <f t="shared" si="4"/>
        <v>46019</v>
      </c>
      <c r="C2059" s="77" t="s">
        <v>1570</v>
      </c>
      <c r="D2059" s="13">
        <f>SUMIFS('Lançamentos de receitas'!$E:$E,'Lançamentos de receitas'!$A:$A,B2059,'Lançamentos de receitas'!$C:$C,A2059,'Lançamentos de receitas'!$F:$F,"TRANSFERÊNCIA")</f>
        <v>1193.86</v>
      </c>
      <c r="E2059" s="15">
        <f t="shared" si="1"/>
        <v>2025</v>
      </c>
      <c r="F2059" s="15">
        <f t="shared" si="2"/>
        <v>12</v>
      </c>
      <c r="G2059" s="15">
        <f t="shared" si="3"/>
        <v>28</v>
      </c>
    </row>
    <row r="2060">
      <c r="A2060" s="10" t="s">
        <v>27</v>
      </c>
      <c r="B2060" s="9">
        <f t="shared" si="4"/>
        <v>46019</v>
      </c>
      <c r="C2060" s="77" t="s">
        <v>1571</v>
      </c>
      <c r="D2060" s="13">
        <f>SUMIFS('Lançamentos de despesas'!$K:$K,'Lançamentos de despesas'!$C:$C,B2060,'Lançamentos de despesas'!$G:$G,A2060,'Lançamentos de despesas'!$E:$E,"pago")</f>
        <v>0</v>
      </c>
      <c r="E2060" s="15">
        <f t="shared" si="1"/>
        <v>2025</v>
      </c>
      <c r="F2060" s="15">
        <f t="shared" si="2"/>
        <v>12</v>
      </c>
      <c r="G2060" s="15">
        <f t="shared" si="3"/>
        <v>28</v>
      </c>
    </row>
    <row r="2061">
      <c r="A2061" s="10" t="s">
        <v>27</v>
      </c>
      <c r="B2061" s="9">
        <f t="shared" si="4"/>
        <v>46019</v>
      </c>
      <c r="C2061" s="77" t="s">
        <v>1572</v>
      </c>
      <c r="D2061" s="13">
        <f>D2058+D2059-D2060</f>
        <v>133079.289</v>
      </c>
      <c r="E2061" s="15">
        <f t="shared" si="1"/>
        <v>2025</v>
      </c>
      <c r="F2061" s="15">
        <f t="shared" si="2"/>
        <v>12</v>
      </c>
      <c r="G2061" s="15">
        <f t="shared" si="3"/>
        <v>28</v>
      </c>
    </row>
    <row r="2062">
      <c r="A2062" s="10" t="s">
        <v>27</v>
      </c>
      <c r="B2062" s="9">
        <f t="shared" si="4"/>
        <v>46020</v>
      </c>
      <c r="C2062" s="77" t="s">
        <v>1569</v>
      </c>
      <c r="D2062" s="12">
        <f>D2061</f>
        <v>133079.289</v>
      </c>
      <c r="E2062" s="15">
        <f t="shared" si="1"/>
        <v>2025</v>
      </c>
      <c r="F2062" s="15">
        <f t="shared" si="2"/>
        <v>12</v>
      </c>
      <c r="G2062" s="15">
        <f t="shared" si="3"/>
        <v>29</v>
      </c>
    </row>
    <row r="2063">
      <c r="A2063" s="10" t="s">
        <v>27</v>
      </c>
      <c r="B2063" s="9">
        <f t="shared" si="4"/>
        <v>46020</v>
      </c>
      <c r="C2063" s="77" t="s">
        <v>1570</v>
      </c>
      <c r="D2063" s="13">
        <f>SUMIFS('Lançamentos de receitas'!$E:$E,'Lançamentos de receitas'!$A:$A,B2063,'Lançamentos de receitas'!$C:$C,A2063,'Lançamentos de receitas'!$F:$F,"TRANSFERÊNCIA")</f>
        <v>16335.72</v>
      </c>
      <c r="E2063" s="15">
        <f t="shared" si="1"/>
        <v>2025</v>
      </c>
      <c r="F2063" s="15">
        <f t="shared" si="2"/>
        <v>12</v>
      </c>
      <c r="G2063" s="15">
        <f t="shared" si="3"/>
        <v>29</v>
      </c>
    </row>
    <row r="2064">
      <c r="A2064" s="10" t="s">
        <v>27</v>
      </c>
      <c r="B2064" s="9">
        <f t="shared" si="4"/>
        <v>46020</v>
      </c>
      <c r="C2064" s="77" t="s">
        <v>1571</v>
      </c>
      <c r="D2064" s="13">
        <f>SUMIFS('Lançamentos de despesas'!$K:$K,'Lançamentos de despesas'!$C:$C,B2064,'Lançamentos de despesas'!$G:$G,A2064,'Lançamentos de despesas'!$E:$E,"pago")</f>
        <v>1205.54</v>
      </c>
      <c r="E2064" s="15">
        <f t="shared" si="1"/>
        <v>2025</v>
      </c>
      <c r="F2064" s="15">
        <f t="shared" si="2"/>
        <v>12</v>
      </c>
      <c r="G2064" s="15">
        <f t="shared" si="3"/>
        <v>29</v>
      </c>
    </row>
    <row r="2065">
      <c r="A2065" s="10" t="s">
        <v>27</v>
      </c>
      <c r="B2065" s="9">
        <f t="shared" si="4"/>
        <v>46020</v>
      </c>
      <c r="C2065" s="77" t="s">
        <v>1572</v>
      </c>
      <c r="D2065" s="13">
        <f>D2062+D2063-D2064</f>
        <v>148209.469</v>
      </c>
      <c r="E2065" s="15">
        <f t="shared" si="1"/>
        <v>2025</v>
      </c>
      <c r="F2065" s="15">
        <f t="shared" si="2"/>
        <v>12</v>
      </c>
      <c r="G2065" s="15">
        <f t="shared" si="3"/>
        <v>29</v>
      </c>
    </row>
    <row r="2066">
      <c r="A2066" s="10" t="s">
        <v>27</v>
      </c>
      <c r="B2066" s="9">
        <f t="shared" si="4"/>
        <v>46021</v>
      </c>
      <c r="C2066" s="77" t="s">
        <v>1569</v>
      </c>
      <c r="D2066" s="12">
        <f>D2065</f>
        <v>148209.469</v>
      </c>
      <c r="E2066" s="15">
        <f t="shared" si="1"/>
        <v>2025</v>
      </c>
      <c r="F2066" s="15">
        <f t="shared" si="2"/>
        <v>12</v>
      </c>
      <c r="G2066" s="15">
        <f t="shared" si="3"/>
        <v>30</v>
      </c>
    </row>
    <row r="2067">
      <c r="A2067" s="10" t="s">
        <v>27</v>
      </c>
      <c r="B2067" s="9">
        <f t="shared" si="4"/>
        <v>46021</v>
      </c>
      <c r="C2067" s="77" t="s">
        <v>1570</v>
      </c>
      <c r="D2067" s="13">
        <f>SUMIFS('Lançamentos de receitas'!$E:$E,'Lançamentos de receitas'!$A:$A,B2067,'Lançamentos de receitas'!$C:$C,A2067,'Lançamentos de receitas'!$F:$F,"TRANSFERÊNCIA")</f>
        <v>664.95</v>
      </c>
      <c r="E2067" s="15">
        <f t="shared" si="1"/>
        <v>2025</v>
      </c>
      <c r="F2067" s="15">
        <f t="shared" si="2"/>
        <v>12</v>
      </c>
      <c r="G2067" s="15">
        <f t="shared" si="3"/>
        <v>30</v>
      </c>
    </row>
    <row r="2068">
      <c r="A2068" s="10" t="s">
        <v>27</v>
      </c>
      <c r="B2068" s="9">
        <f t="shared" si="4"/>
        <v>46021</v>
      </c>
      <c r="C2068" s="77" t="s">
        <v>1571</v>
      </c>
      <c r="D2068" s="13">
        <f>SUMIFS('Lançamentos de despesas'!$K:$K,'Lançamentos de despesas'!$C:$C,B2068,'Lançamentos de despesas'!$G:$G,A2068,'Lançamentos de despesas'!$E:$E,"pago")</f>
        <v>2337.98</v>
      </c>
      <c r="E2068" s="15">
        <f t="shared" si="1"/>
        <v>2025</v>
      </c>
      <c r="F2068" s="15">
        <f t="shared" si="2"/>
        <v>12</v>
      </c>
      <c r="G2068" s="15">
        <f t="shared" si="3"/>
        <v>30</v>
      </c>
    </row>
    <row r="2069">
      <c r="A2069" s="10" t="s">
        <v>27</v>
      </c>
      <c r="B2069" s="9">
        <f t="shared" si="4"/>
        <v>46021</v>
      </c>
      <c r="C2069" s="77" t="s">
        <v>1572</v>
      </c>
      <c r="D2069" s="13">
        <f>D2066+D2067-D2068</f>
        <v>146536.439</v>
      </c>
      <c r="E2069" s="15">
        <f t="shared" si="1"/>
        <v>2025</v>
      </c>
      <c r="F2069" s="15">
        <f t="shared" si="2"/>
        <v>12</v>
      </c>
      <c r="G2069" s="15">
        <f t="shared" si="3"/>
        <v>30</v>
      </c>
    </row>
    <row r="2070">
      <c r="A2070" s="10" t="s">
        <v>27</v>
      </c>
      <c r="B2070" s="9">
        <f t="shared" si="4"/>
        <v>46022</v>
      </c>
      <c r="C2070" s="77" t="s">
        <v>1569</v>
      </c>
      <c r="D2070" s="12">
        <f>D2069</f>
        <v>146536.439</v>
      </c>
      <c r="E2070" s="15">
        <f t="shared" si="1"/>
        <v>2025</v>
      </c>
      <c r="F2070" s="15">
        <f t="shared" si="2"/>
        <v>12</v>
      </c>
      <c r="G2070" s="15">
        <f t="shared" si="3"/>
        <v>31</v>
      </c>
    </row>
    <row r="2071">
      <c r="A2071" s="10" t="s">
        <v>27</v>
      </c>
      <c r="B2071" s="9">
        <f t="shared" si="4"/>
        <v>46022</v>
      </c>
      <c r="C2071" s="77" t="s">
        <v>1570</v>
      </c>
      <c r="D2071" s="13">
        <f>SUMIFS('Lançamentos de receitas'!$E:$E,'Lançamentos de receitas'!$A:$A,B2071,'Lançamentos de receitas'!$C:$C,A2071,'Lançamentos de receitas'!$F:$F,"TRANSFERÊNCIA")</f>
        <v>1082.41</v>
      </c>
      <c r="E2071" s="15">
        <f t="shared" si="1"/>
        <v>2025</v>
      </c>
      <c r="F2071" s="15">
        <f t="shared" si="2"/>
        <v>12</v>
      </c>
      <c r="G2071" s="15">
        <f t="shared" si="3"/>
        <v>31</v>
      </c>
    </row>
    <row r="2072">
      <c r="A2072" s="10" t="s">
        <v>27</v>
      </c>
      <c r="B2072" s="9">
        <f t="shared" si="4"/>
        <v>46022</v>
      </c>
      <c r="C2072" s="77" t="s">
        <v>1571</v>
      </c>
      <c r="D2072" s="13">
        <f>SUMIFS('Lançamentos de despesas'!$K:$K,'Lançamentos de despesas'!$C:$C,B2072,'Lançamentos de despesas'!$G:$G,A2072,'Lançamentos de despesas'!$E:$E,"pago")</f>
        <v>0</v>
      </c>
      <c r="E2072" s="15">
        <f t="shared" si="1"/>
        <v>2025</v>
      </c>
      <c r="F2072" s="15">
        <f t="shared" si="2"/>
        <v>12</v>
      </c>
      <c r="G2072" s="15">
        <f t="shared" si="3"/>
        <v>31</v>
      </c>
    </row>
    <row r="2073">
      <c r="A2073" s="10" t="s">
        <v>27</v>
      </c>
      <c r="B2073" s="9">
        <f t="shared" si="4"/>
        <v>46022</v>
      </c>
      <c r="C2073" s="77" t="s">
        <v>1572</v>
      </c>
      <c r="D2073" s="13">
        <f>D2070+D2071-D2072</f>
        <v>147618.849</v>
      </c>
      <c r="E2073" s="15">
        <f t="shared" si="1"/>
        <v>2025</v>
      </c>
      <c r="F2073" s="15">
        <f t="shared" si="2"/>
        <v>12</v>
      </c>
      <c r="G2073" s="15">
        <f t="shared" si="3"/>
        <v>31</v>
      </c>
    </row>
    <row r="2074">
      <c r="A2074" s="10" t="s">
        <v>27</v>
      </c>
      <c r="B2074" s="9">
        <f t="shared" si="4"/>
        <v>46023</v>
      </c>
      <c r="C2074" s="77" t="s">
        <v>1569</v>
      </c>
      <c r="D2074" s="12">
        <f>D2073</f>
        <v>147618.849</v>
      </c>
      <c r="E2074" s="15">
        <f t="shared" si="1"/>
        <v>2026</v>
      </c>
      <c r="F2074" s="15">
        <f t="shared" si="2"/>
        <v>1</v>
      </c>
      <c r="G2074" s="15">
        <f t="shared" si="3"/>
        <v>1</v>
      </c>
    </row>
    <row r="2075">
      <c r="A2075" s="10" t="s">
        <v>27</v>
      </c>
      <c r="B2075" s="9">
        <f t="shared" si="4"/>
        <v>46023</v>
      </c>
      <c r="C2075" s="77" t="s">
        <v>1570</v>
      </c>
      <c r="D2075" s="13">
        <f>SUMIFS('Lançamentos de receitas'!$E:$E,'Lançamentos de receitas'!$A:$A,B2075,'Lançamentos de receitas'!$C:$C,A2075,'Lançamentos de receitas'!$F:$F,"TRANSFERÊNCIA")</f>
        <v>815.05</v>
      </c>
      <c r="E2075" s="15">
        <f t="shared" si="1"/>
        <v>2026</v>
      </c>
      <c r="F2075" s="15">
        <f t="shared" si="2"/>
        <v>1</v>
      </c>
      <c r="G2075" s="15">
        <f t="shared" si="3"/>
        <v>1</v>
      </c>
    </row>
    <row r="2076">
      <c r="A2076" s="10" t="s">
        <v>27</v>
      </c>
      <c r="B2076" s="9">
        <f t="shared" si="4"/>
        <v>46023</v>
      </c>
      <c r="C2076" s="77" t="s">
        <v>1571</v>
      </c>
      <c r="D2076" s="13">
        <f>SUMIFS('Lançamentos de despesas'!$K:$K,'Lançamentos de despesas'!$C:$C,B2076,'Lançamentos de despesas'!$G:$G,A2076,'Lançamentos de despesas'!$E:$E,"pago")</f>
        <v>0</v>
      </c>
      <c r="E2076" s="15">
        <f t="shared" si="1"/>
        <v>2026</v>
      </c>
      <c r="F2076" s="15">
        <f t="shared" si="2"/>
        <v>1</v>
      </c>
      <c r="G2076" s="15">
        <f t="shared" si="3"/>
        <v>1</v>
      </c>
    </row>
    <row r="2077">
      <c r="A2077" s="10" t="s">
        <v>27</v>
      </c>
      <c r="B2077" s="9">
        <f t="shared" si="4"/>
        <v>46023</v>
      </c>
      <c r="C2077" s="77" t="s">
        <v>1572</v>
      </c>
      <c r="D2077" s="13">
        <f>D2074+D2075-D2076</f>
        <v>148433.899</v>
      </c>
      <c r="E2077" s="15">
        <f t="shared" si="1"/>
        <v>2026</v>
      </c>
      <c r="F2077" s="15">
        <f t="shared" si="2"/>
        <v>1</v>
      </c>
      <c r="G2077" s="15">
        <f t="shared" si="3"/>
        <v>1</v>
      </c>
    </row>
    <row r="2078">
      <c r="A2078" s="10" t="s">
        <v>27</v>
      </c>
      <c r="B2078" s="9">
        <f t="shared" si="4"/>
        <v>46024</v>
      </c>
      <c r="C2078" s="77" t="s">
        <v>1569</v>
      </c>
      <c r="D2078" s="12">
        <f>D2077</f>
        <v>148433.899</v>
      </c>
      <c r="E2078" s="15">
        <f t="shared" si="1"/>
        <v>2026</v>
      </c>
      <c r="F2078" s="15">
        <f t="shared" si="2"/>
        <v>1</v>
      </c>
      <c r="G2078" s="15">
        <f t="shared" si="3"/>
        <v>2</v>
      </c>
    </row>
    <row r="2079">
      <c r="A2079" s="10" t="s">
        <v>27</v>
      </c>
      <c r="B2079" s="9">
        <f t="shared" si="4"/>
        <v>46024</v>
      </c>
      <c r="C2079" s="77" t="s">
        <v>1570</v>
      </c>
      <c r="D2079" s="13">
        <f>SUMIFS('Lançamentos de receitas'!$E:$E,'Lançamentos de receitas'!$A:$A,B2079,'Lançamentos de receitas'!$C:$C,A2079,'Lançamentos de receitas'!$F:$F,"TRANSFERÊNCIA")</f>
        <v>0</v>
      </c>
      <c r="E2079" s="15">
        <f t="shared" si="1"/>
        <v>2026</v>
      </c>
      <c r="F2079" s="15">
        <f t="shared" si="2"/>
        <v>1</v>
      </c>
      <c r="G2079" s="15">
        <f t="shared" si="3"/>
        <v>2</v>
      </c>
    </row>
    <row r="2080">
      <c r="A2080" s="10" t="s">
        <v>27</v>
      </c>
      <c r="B2080" s="9">
        <f t="shared" si="4"/>
        <v>46024</v>
      </c>
      <c r="C2080" s="77" t="s">
        <v>1571</v>
      </c>
      <c r="D2080" s="13">
        <f>SUMIFS('Lançamentos de despesas'!$K:$K,'Lançamentos de despesas'!$C:$C,B2080,'Lançamentos de despesas'!$G:$G,A2080,'Lançamentos de despesas'!$E:$E,"pago")</f>
        <v>0</v>
      </c>
      <c r="E2080" s="15">
        <f t="shared" si="1"/>
        <v>2026</v>
      </c>
      <c r="F2080" s="15">
        <f t="shared" si="2"/>
        <v>1</v>
      </c>
      <c r="G2080" s="15">
        <f t="shared" si="3"/>
        <v>2</v>
      </c>
    </row>
    <row r="2081">
      <c r="A2081" s="10" t="s">
        <v>27</v>
      </c>
      <c r="B2081" s="9">
        <f t="shared" si="4"/>
        <v>46024</v>
      </c>
      <c r="C2081" s="77" t="s">
        <v>1572</v>
      </c>
      <c r="D2081" s="13">
        <f>D2078+D2079-D2080</f>
        <v>148433.899</v>
      </c>
      <c r="E2081" s="15">
        <f t="shared" si="1"/>
        <v>2026</v>
      </c>
      <c r="F2081" s="15">
        <f t="shared" si="2"/>
        <v>1</v>
      </c>
      <c r="G2081" s="15">
        <f t="shared" si="3"/>
        <v>2</v>
      </c>
    </row>
    <row r="2082">
      <c r="A2082" s="10" t="s">
        <v>27</v>
      </c>
      <c r="B2082" s="9">
        <f t="shared" si="4"/>
        <v>46025</v>
      </c>
      <c r="C2082" s="77" t="s">
        <v>1569</v>
      </c>
      <c r="D2082" s="12">
        <f>D2081</f>
        <v>148433.899</v>
      </c>
      <c r="E2082" s="15">
        <f t="shared" si="1"/>
        <v>2026</v>
      </c>
      <c r="F2082" s="15">
        <f t="shared" si="2"/>
        <v>1</v>
      </c>
      <c r="G2082" s="15">
        <f t="shared" si="3"/>
        <v>3</v>
      </c>
    </row>
    <row r="2083">
      <c r="A2083" s="10" t="s">
        <v>27</v>
      </c>
      <c r="B2083" s="9">
        <f t="shared" si="4"/>
        <v>46025</v>
      </c>
      <c r="C2083" s="77" t="s">
        <v>1570</v>
      </c>
      <c r="D2083" s="13">
        <f>SUMIFS('Lançamentos de receitas'!$E:$E,'Lançamentos de receitas'!$A:$A,B2083,'Lançamentos de receitas'!$C:$C,A2083,'Lançamentos de receitas'!$F:$F,"TRANSFERÊNCIA")</f>
        <v>730.36</v>
      </c>
      <c r="E2083" s="15">
        <f t="shared" si="1"/>
        <v>2026</v>
      </c>
      <c r="F2083" s="15">
        <f t="shared" si="2"/>
        <v>1</v>
      </c>
      <c r="G2083" s="15">
        <f t="shared" si="3"/>
        <v>3</v>
      </c>
    </row>
    <row r="2084">
      <c r="A2084" s="10" t="s">
        <v>27</v>
      </c>
      <c r="B2084" s="9">
        <f t="shared" si="4"/>
        <v>46025</v>
      </c>
      <c r="C2084" s="77" t="s">
        <v>1571</v>
      </c>
      <c r="D2084" s="13">
        <f>SUMIFS('Lançamentos de despesas'!$K:$K,'Lançamentos de despesas'!$C:$C,B2084,'Lançamentos de despesas'!$G:$G,A2084,'Lançamentos de despesas'!$E:$E,"pago")</f>
        <v>0</v>
      </c>
      <c r="E2084" s="15">
        <f t="shared" si="1"/>
        <v>2026</v>
      </c>
      <c r="F2084" s="15">
        <f t="shared" si="2"/>
        <v>1</v>
      </c>
      <c r="G2084" s="15">
        <f t="shared" si="3"/>
        <v>3</v>
      </c>
    </row>
    <row r="2085">
      <c r="A2085" s="10" t="s">
        <v>27</v>
      </c>
      <c r="B2085" s="9">
        <f t="shared" si="4"/>
        <v>46025</v>
      </c>
      <c r="C2085" s="77" t="s">
        <v>1572</v>
      </c>
      <c r="D2085" s="13">
        <f>D2082+D2083-D2084</f>
        <v>149164.259</v>
      </c>
      <c r="E2085" s="15">
        <f t="shared" si="1"/>
        <v>2026</v>
      </c>
      <c r="F2085" s="15">
        <f t="shared" si="2"/>
        <v>1</v>
      </c>
      <c r="G2085" s="15">
        <f t="shared" si="3"/>
        <v>3</v>
      </c>
    </row>
    <row r="2086">
      <c r="A2086" s="10" t="s">
        <v>27</v>
      </c>
      <c r="B2086" s="9">
        <f t="shared" si="4"/>
        <v>46026</v>
      </c>
      <c r="C2086" s="77" t="s">
        <v>1569</v>
      </c>
      <c r="D2086" s="12">
        <f>D2085</f>
        <v>149164.259</v>
      </c>
      <c r="E2086" s="15">
        <f t="shared" si="1"/>
        <v>2026</v>
      </c>
      <c r="F2086" s="15">
        <f t="shared" si="2"/>
        <v>1</v>
      </c>
      <c r="G2086" s="15">
        <f t="shared" si="3"/>
        <v>4</v>
      </c>
    </row>
    <row r="2087">
      <c r="A2087" s="10" t="s">
        <v>27</v>
      </c>
      <c r="B2087" s="9">
        <f t="shared" si="4"/>
        <v>46026</v>
      </c>
      <c r="C2087" s="77" t="s">
        <v>1570</v>
      </c>
      <c r="D2087" s="13">
        <f>SUMIFS('Lançamentos de receitas'!$E:$E,'Lançamentos de receitas'!$A:$A,B2087,'Lançamentos de receitas'!$C:$C,A2087,'Lançamentos de receitas'!$F:$F,"TRANSFERÊNCIA")</f>
        <v>199.5</v>
      </c>
      <c r="E2087" s="15">
        <f t="shared" si="1"/>
        <v>2026</v>
      </c>
      <c r="F2087" s="15">
        <f t="shared" si="2"/>
        <v>1</v>
      </c>
      <c r="G2087" s="15">
        <f t="shared" si="3"/>
        <v>4</v>
      </c>
    </row>
    <row r="2088">
      <c r="A2088" s="10" t="s">
        <v>27</v>
      </c>
      <c r="B2088" s="9">
        <f t="shared" si="4"/>
        <v>46026</v>
      </c>
      <c r="C2088" s="77" t="s">
        <v>1571</v>
      </c>
      <c r="D2088" s="13">
        <f>SUMIFS('Lançamentos de despesas'!$K:$K,'Lançamentos de despesas'!$C:$C,B2088,'Lançamentos de despesas'!$G:$G,A2088,'Lançamentos de despesas'!$E:$E,"pago")</f>
        <v>0</v>
      </c>
      <c r="E2088" s="15">
        <f t="shared" si="1"/>
        <v>2026</v>
      </c>
      <c r="F2088" s="15">
        <f t="shared" si="2"/>
        <v>1</v>
      </c>
      <c r="G2088" s="15">
        <f t="shared" si="3"/>
        <v>4</v>
      </c>
    </row>
    <row r="2089">
      <c r="A2089" s="10" t="s">
        <v>27</v>
      </c>
      <c r="B2089" s="9">
        <f t="shared" si="4"/>
        <v>46026</v>
      </c>
      <c r="C2089" s="77" t="s">
        <v>1572</v>
      </c>
      <c r="D2089" s="13">
        <f>D2086+D2087-D2088</f>
        <v>149363.759</v>
      </c>
      <c r="E2089" s="15">
        <f t="shared" si="1"/>
        <v>2026</v>
      </c>
      <c r="F2089" s="15">
        <f t="shared" si="2"/>
        <v>1</v>
      </c>
      <c r="G2089" s="15">
        <f t="shared" si="3"/>
        <v>4</v>
      </c>
    </row>
    <row r="2090">
      <c r="A2090" s="10" t="s">
        <v>27</v>
      </c>
      <c r="B2090" s="9">
        <f t="shared" si="4"/>
        <v>46027</v>
      </c>
      <c r="C2090" s="77" t="s">
        <v>1569</v>
      </c>
      <c r="D2090" s="12">
        <f>D2089</f>
        <v>149363.759</v>
      </c>
      <c r="E2090" s="15">
        <f t="shared" si="1"/>
        <v>2026</v>
      </c>
      <c r="F2090" s="15">
        <f t="shared" si="2"/>
        <v>1</v>
      </c>
      <c r="G2090" s="15">
        <f t="shared" si="3"/>
        <v>5</v>
      </c>
    </row>
    <row r="2091">
      <c r="A2091" s="10" t="s">
        <v>27</v>
      </c>
      <c r="B2091" s="9">
        <f t="shared" si="4"/>
        <v>46027</v>
      </c>
      <c r="C2091" s="77" t="s">
        <v>1570</v>
      </c>
      <c r="D2091" s="13">
        <f>SUMIFS('Lançamentos de receitas'!$E:$E,'Lançamentos de receitas'!$A:$A,B2091,'Lançamentos de receitas'!$C:$C,A2091,'Lançamentos de receitas'!$F:$F,"TRANSFERÊNCIA")</f>
        <v>130.02</v>
      </c>
      <c r="E2091" s="15">
        <f t="shared" si="1"/>
        <v>2026</v>
      </c>
      <c r="F2091" s="15">
        <f t="shared" si="2"/>
        <v>1</v>
      </c>
      <c r="G2091" s="15">
        <f t="shared" si="3"/>
        <v>5</v>
      </c>
    </row>
    <row r="2092">
      <c r="A2092" s="10" t="s">
        <v>27</v>
      </c>
      <c r="B2092" s="9">
        <f t="shared" si="4"/>
        <v>46027</v>
      </c>
      <c r="C2092" s="77" t="s">
        <v>1571</v>
      </c>
      <c r="D2092" s="13">
        <f>SUMIFS('Lançamentos de despesas'!$K:$K,'Lançamentos de despesas'!$C:$C,B2092,'Lançamentos de despesas'!$G:$G,A2092,'Lançamentos de despesas'!$E:$E,"pago")</f>
        <v>3036.53</v>
      </c>
      <c r="E2092" s="15">
        <f t="shared" si="1"/>
        <v>2026</v>
      </c>
      <c r="F2092" s="15">
        <f t="shared" si="2"/>
        <v>1</v>
      </c>
      <c r="G2092" s="15">
        <f t="shared" si="3"/>
        <v>5</v>
      </c>
    </row>
    <row r="2093">
      <c r="A2093" s="10" t="s">
        <v>27</v>
      </c>
      <c r="B2093" s="9">
        <f t="shared" si="4"/>
        <v>46027</v>
      </c>
      <c r="C2093" s="77" t="s">
        <v>1572</v>
      </c>
      <c r="D2093" s="13">
        <f>D2090+D2091-D2092</f>
        <v>146457.249</v>
      </c>
      <c r="E2093" s="15">
        <f t="shared" si="1"/>
        <v>2026</v>
      </c>
      <c r="F2093" s="15">
        <f t="shared" si="2"/>
        <v>1</v>
      </c>
      <c r="G2093" s="15">
        <f t="shared" si="3"/>
        <v>5</v>
      </c>
    </row>
    <row r="2094">
      <c r="A2094" s="10" t="s">
        <v>27</v>
      </c>
      <c r="B2094" s="9">
        <f t="shared" si="4"/>
        <v>46028</v>
      </c>
      <c r="C2094" s="77" t="s">
        <v>1569</v>
      </c>
      <c r="D2094" s="12">
        <f>D2093</f>
        <v>146457.249</v>
      </c>
      <c r="E2094" s="15">
        <f t="shared" si="1"/>
        <v>2026</v>
      </c>
      <c r="F2094" s="15">
        <f t="shared" si="2"/>
        <v>1</v>
      </c>
      <c r="G2094" s="15">
        <f t="shared" si="3"/>
        <v>6</v>
      </c>
    </row>
    <row r="2095">
      <c r="A2095" s="10" t="s">
        <v>27</v>
      </c>
      <c r="B2095" s="9">
        <f t="shared" si="4"/>
        <v>46028</v>
      </c>
      <c r="C2095" s="77" t="s">
        <v>1570</v>
      </c>
      <c r="D2095" s="13">
        <f>SUMIFS('Lançamentos de receitas'!$E:$E,'Lançamentos de receitas'!$A:$A,B2095,'Lançamentos de receitas'!$C:$C,A2095,'Lançamentos de receitas'!$F:$F,"TRANSFERÊNCIA")</f>
        <v>592.87</v>
      </c>
      <c r="E2095" s="15">
        <f t="shared" si="1"/>
        <v>2026</v>
      </c>
      <c r="F2095" s="15">
        <f t="shared" si="2"/>
        <v>1</v>
      </c>
      <c r="G2095" s="15">
        <f t="shared" si="3"/>
        <v>6</v>
      </c>
    </row>
    <row r="2096">
      <c r="A2096" s="10" t="s">
        <v>27</v>
      </c>
      <c r="B2096" s="9">
        <f t="shared" si="4"/>
        <v>46028</v>
      </c>
      <c r="C2096" s="77" t="s">
        <v>1571</v>
      </c>
      <c r="D2096" s="13">
        <f>SUMIFS('Lançamentos de despesas'!$K:$K,'Lançamentos de despesas'!$C:$C,B2096,'Lançamentos de despesas'!$G:$G,A2096,'Lançamentos de despesas'!$E:$E,"pago")</f>
        <v>0</v>
      </c>
      <c r="E2096" s="15">
        <f t="shared" si="1"/>
        <v>2026</v>
      </c>
      <c r="F2096" s="15">
        <f t="shared" si="2"/>
        <v>1</v>
      </c>
      <c r="G2096" s="15">
        <f t="shared" si="3"/>
        <v>6</v>
      </c>
    </row>
    <row r="2097">
      <c r="A2097" s="10" t="s">
        <v>27</v>
      </c>
      <c r="B2097" s="9">
        <f t="shared" si="4"/>
        <v>46028</v>
      </c>
      <c r="C2097" s="77" t="s">
        <v>1572</v>
      </c>
      <c r="D2097" s="13">
        <f>D2094+D2095-D2096</f>
        <v>147050.119</v>
      </c>
      <c r="E2097" s="15">
        <f t="shared" si="1"/>
        <v>2026</v>
      </c>
      <c r="F2097" s="15">
        <f t="shared" si="2"/>
        <v>1</v>
      </c>
      <c r="G2097" s="15">
        <f t="shared" si="3"/>
        <v>6</v>
      </c>
    </row>
    <row r="2098">
      <c r="A2098" s="10" t="s">
        <v>27</v>
      </c>
      <c r="B2098" s="9">
        <f t="shared" si="4"/>
        <v>46029</v>
      </c>
      <c r="C2098" s="77" t="s">
        <v>1569</v>
      </c>
      <c r="D2098" s="12">
        <f>D2097</f>
        <v>147050.119</v>
      </c>
      <c r="E2098" s="15">
        <f t="shared" si="1"/>
        <v>2026</v>
      </c>
      <c r="F2098" s="15">
        <f t="shared" si="2"/>
        <v>1</v>
      </c>
      <c r="G2098" s="15">
        <f t="shared" si="3"/>
        <v>7</v>
      </c>
    </row>
    <row r="2099">
      <c r="A2099" s="10" t="s">
        <v>27</v>
      </c>
      <c r="B2099" s="9">
        <f t="shared" si="4"/>
        <v>46029</v>
      </c>
      <c r="C2099" s="77" t="s">
        <v>1570</v>
      </c>
      <c r="D2099" s="13">
        <f>SUMIFS('Lançamentos de receitas'!$E:$E,'Lançamentos de receitas'!$A:$A,B2099,'Lançamentos de receitas'!$C:$C,A2099,'Lançamentos de receitas'!$F:$F,"TRANSFERÊNCIA")</f>
        <v>1252.04</v>
      </c>
      <c r="E2099" s="15">
        <f t="shared" si="1"/>
        <v>2026</v>
      </c>
      <c r="F2099" s="15">
        <f t="shared" si="2"/>
        <v>1</v>
      </c>
      <c r="G2099" s="15">
        <f t="shared" si="3"/>
        <v>7</v>
      </c>
    </row>
    <row r="2100">
      <c r="A2100" s="10" t="s">
        <v>27</v>
      </c>
      <c r="B2100" s="9">
        <f t="shared" si="4"/>
        <v>46029</v>
      </c>
      <c r="C2100" s="77" t="s">
        <v>1571</v>
      </c>
      <c r="D2100" s="13">
        <f>SUMIFS('Lançamentos de despesas'!$K:$K,'Lançamentos de despesas'!$C:$C,B2100,'Lançamentos de despesas'!$G:$G,A2100,'Lançamentos de despesas'!$E:$E,"pago")</f>
        <v>77400</v>
      </c>
      <c r="E2100" s="15">
        <f t="shared" si="1"/>
        <v>2026</v>
      </c>
      <c r="F2100" s="15">
        <f t="shared" si="2"/>
        <v>1</v>
      </c>
      <c r="G2100" s="15">
        <f t="shared" si="3"/>
        <v>7</v>
      </c>
    </row>
    <row r="2101">
      <c r="A2101" s="10" t="s">
        <v>27</v>
      </c>
      <c r="B2101" s="9">
        <f t="shared" si="4"/>
        <v>46029</v>
      </c>
      <c r="C2101" s="77" t="s">
        <v>1572</v>
      </c>
      <c r="D2101" s="13">
        <f>D2098+D2099-D2100</f>
        <v>70902.159</v>
      </c>
      <c r="E2101" s="15">
        <f t="shared" si="1"/>
        <v>2026</v>
      </c>
      <c r="F2101" s="15">
        <f t="shared" si="2"/>
        <v>1</v>
      </c>
      <c r="G2101" s="15">
        <f t="shared" si="3"/>
        <v>7</v>
      </c>
    </row>
    <row r="2102">
      <c r="A2102" s="10" t="s">
        <v>27</v>
      </c>
      <c r="B2102" s="9">
        <f t="shared" si="4"/>
        <v>46030</v>
      </c>
      <c r="C2102" s="77" t="s">
        <v>1569</v>
      </c>
      <c r="D2102" s="12">
        <f>D2101</f>
        <v>70902.159</v>
      </c>
      <c r="E2102" s="15">
        <f t="shared" si="1"/>
        <v>2026</v>
      </c>
      <c r="F2102" s="15">
        <f t="shared" si="2"/>
        <v>1</v>
      </c>
      <c r="G2102" s="15">
        <f t="shared" si="3"/>
        <v>8</v>
      </c>
    </row>
    <row r="2103">
      <c r="A2103" s="10" t="s">
        <v>27</v>
      </c>
      <c r="B2103" s="9">
        <f t="shared" si="4"/>
        <v>46030</v>
      </c>
      <c r="C2103" s="77" t="s">
        <v>1570</v>
      </c>
      <c r="D2103" s="13">
        <f>SUMIFS('Lançamentos de receitas'!$E:$E,'Lançamentos de receitas'!$A:$A,B2103,'Lançamentos de receitas'!$C:$C,A2103,'Lançamentos de receitas'!$F:$F,"TRANSFERÊNCIA")</f>
        <v>653.71</v>
      </c>
      <c r="E2103" s="15">
        <f t="shared" si="1"/>
        <v>2026</v>
      </c>
      <c r="F2103" s="15">
        <f t="shared" si="2"/>
        <v>1</v>
      </c>
      <c r="G2103" s="15">
        <f t="shared" si="3"/>
        <v>8</v>
      </c>
    </row>
    <row r="2104">
      <c r="A2104" s="10" t="s">
        <v>27</v>
      </c>
      <c r="B2104" s="9">
        <f t="shared" si="4"/>
        <v>46030</v>
      </c>
      <c r="C2104" s="77" t="s">
        <v>1571</v>
      </c>
      <c r="D2104" s="13">
        <f>SUMIFS('Lançamentos de despesas'!$K:$K,'Lançamentos de despesas'!$C:$C,B2104,'Lançamentos de despesas'!$G:$G,A2104,'Lançamentos de despesas'!$E:$E,"pago")</f>
        <v>0</v>
      </c>
      <c r="E2104" s="15">
        <f t="shared" si="1"/>
        <v>2026</v>
      </c>
      <c r="F2104" s="15">
        <f t="shared" si="2"/>
        <v>1</v>
      </c>
      <c r="G2104" s="15">
        <f t="shared" si="3"/>
        <v>8</v>
      </c>
    </row>
    <row r="2105">
      <c r="A2105" s="10" t="s">
        <v>27</v>
      </c>
      <c r="B2105" s="9">
        <f t="shared" si="4"/>
        <v>46030</v>
      </c>
      <c r="C2105" s="77" t="s">
        <v>1572</v>
      </c>
      <c r="D2105" s="13">
        <f>D2102+D2103-D2104</f>
        <v>71555.869</v>
      </c>
      <c r="E2105" s="15">
        <f t="shared" si="1"/>
        <v>2026</v>
      </c>
      <c r="F2105" s="15">
        <f t="shared" si="2"/>
        <v>1</v>
      </c>
      <c r="G2105" s="15">
        <f t="shared" si="3"/>
        <v>8</v>
      </c>
    </row>
    <row r="2106">
      <c r="A2106" s="10" t="s">
        <v>27</v>
      </c>
      <c r="B2106" s="9">
        <f t="shared" si="4"/>
        <v>46031</v>
      </c>
      <c r="C2106" s="77" t="s">
        <v>1569</v>
      </c>
      <c r="D2106" s="12">
        <f>D2105</f>
        <v>71555.869</v>
      </c>
      <c r="E2106" s="15">
        <f t="shared" si="1"/>
        <v>2026</v>
      </c>
      <c r="F2106" s="15">
        <f t="shared" si="2"/>
        <v>1</v>
      </c>
      <c r="G2106" s="15">
        <f t="shared" si="3"/>
        <v>9</v>
      </c>
    </row>
    <row r="2107">
      <c r="A2107" s="10" t="s">
        <v>27</v>
      </c>
      <c r="B2107" s="9">
        <f t="shared" si="4"/>
        <v>46031</v>
      </c>
      <c r="C2107" s="77" t="s">
        <v>1570</v>
      </c>
      <c r="D2107" s="13">
        <f>SUMIFS('Lançamentos de receitas'!$E:$E,'Lançamentos de receitas'!$A:$A,B2107,'Lançamentos de receitas'!$C:$C,A2107,'Lançamentos de receitas'!$F:$F,"TRANSFERÊNCIA")</f>
        <v>2332.15</v>
      </c>
      <c r="E2107" s="15">
        <f t="shared" si="1"/>
        <v>2026</v>
      </c>
      <c r="F2107" s="15">
        <f t="shared" si="2"/>
        <v>1</v>
      </c>
      <c r="G2107" s="15">
        <f t="shared" si="3"/>
        <v>9</v>
      </c>
    </row>
    <row r="2108">
      <c r="A2108" s="10" t="s">
        <v>27</v>
      </c>
      <c r="B2108" s="9">
        <f t="shared" si="4"/>
        <v>46031</v>
      </c>
      <c r="C2108" s="77" t="s">
        <v>1571</v>
      </c>
      <c r="D2108" s="13">
        <f>SUMIFS('Lançamentos de despesas'!$K:$K,'Lançamentos de despesas'!$C:$C,B2108,'Lançamentos de despesas'!$G:$G,A2108,'Lançamentos de despesas'!$E:$E,"pago")</f>
        <v>0</v>
      </c>
      <c r="E2108" s="15">
        <f t="shared" si="1"/>
        <v>2026</v>
      </c>
      <c r="F2108" s="15">
        <f t="shared" si="2"/>
        <v>1</v>
      </c>
      <c r="G2108" s="15">
        <f t="shared" si="3"/>
        <v>9</v>
      </c>
    </row>
    <row r="2109">
      <c r="A2109" s="10" t="s">
        <v>27</v>
      </c>
      <c r="B2109" s="9">
        <f t="shared" si="4"/>
        <v>46031</v>
      </c>
      <c r="C2109" s="77" t="s">
        <v>1572</v>
      </c>
      <c r="D2109" s="13">
        <f>D2106+D2107-D2108</f>
        <v>73888.019</v>
      </c>
      <c r="E2109" s="15">
        <f t="shared" si="1"/>
        <v>2026</v>
      </c>
      <c r="F2109" s="15">
        <f t="shared" si="2"/>
        <v>1</v>
      </c>
      <c r="G2109" s="15">
        <f t="shared" si="3"/>
        <v>9</v>
      </c>
    </row>
    <row r="2110">
      <c r="A2110" s="10" t="s">
        <v>27</v>
      </c>
      <c r="B2110" s="9">
        <f t="shared" si="4"/>
        <v>46032</v>
      </c>
      <c r="C2110" s="77" t="s">
        <v>1569</v>
      </c>
      <c r="D2110" s="12">
        <f>D2109</f>
        <v>73888.019</v>
      </c>
      <c r="E2110" s="15">
        <f t="shared" si="1"/>
        <v>2026</v>
      </c>
      <c r="F2110" s="15">
        <f t="shared" si="2"/>
        <v>1</v>
      </c>
      <c r="G2110" s="15">
        <f t="shared" si="3"/>
        <v>10</v>
      </c>
    </row>
    <row r="2111">
      <c r="A2111" s="10" t="s">
        <v>27</v>
      </c>
      <c r="B2111" s="9">
        <f t="shared" si="4"/>
        <v>46032</v>
      </c>
      <c r="C2111" s="77" t="s">
        <v>1570</v>
      </c>
      <c r="D2111" s="13">
        <f>SUMIFS('Lançamentos de receitas'!$E:$E,'Lançamentos de receitas'!$A:$A,B2111,'Lançamentos de receitas'!$C:$C,A2111,'Lançamentos de receitas'!$F:$F,"TRANSFERÊNCIA")</f>
        <v>843.49</v>
      </c>
      <c r="E2111" s="15">
        <f t="shared" si="1"/>
        <v>2026</v>
      </c>
      <c r="F2111" s="15">
        <f t="shared" si="2"/>
        <v>1</v>
      </c>
      <c r="G2111" s="15">
        <f t="shared" si="3"/>
        <v>10</v>
      </c>
    </row>
    <row r="2112">
      <c r="A2112" s="10" t="s">
        <v>27</v>
      </c>
      <c r="B2112" s="9">
        <f t="shared" si="4"/>
        <v>46032</v>
      </c>
      <c r="C2112" s="77" t="s">
        <v>1571</v>
      </c>
      <c r="D2112" s="13">
        <f>SUMIFS('Lançamentos de despesas'!$K:$K,'Lançamentos de despesas'!$C:$C,B2112,'Lançamentos de despesas'!$G:$G,A2112,'Lançamentos de despesas'!$E:$E,"pago")</f>
        <v>0</v>
      </c>
      <c r="E2112" s="15">
        <f t="shared" si="1"/>
        <v>2026</v>
      </c>
      <c r="F2112" s="15">
        <f t="shared" si="2"/>
        <v>1</v>
      </c>
      <c r="G2112" s="15">
        <f t="shared" si="3"/>
        <v>10</v>
      </c>
    </row>
    <row r="2113">
      <c r="A2113" s="10" t="s">
        <v>27</v>
      </c>
      <c r="B2113" s="9">
        <f t="shared" si="4"/>
        <v>46032</v>
      </c>
      <c r="C2113" s="77" t="s">
        <v>1572</v>
      </c>
      <c r="D2113" s="13">
        <f>D2110+D2111-D2112</f>
        <v>74731.509</v>
      </c>
      <c r="E2113" s="15">
        <f t="shared" si="1"/>
        <v>2026</v>
      </c>
      <c r="F2113" s="15">
        <f t="shared" si="2"/>
        <v>1</v>
      </c>
      <c r="G2113" s="15">
        <f t="shared" si="3"/>
        <v>10</v>
      </c>
    </row>
    <row r="2114">
      <c r="A2114" s="10" t="s">
        <v>27</v>
      </c>
      <c r="B2114" s="9">
        <f t="shared" si="4"/>
        <v>46033</v>
      </c>
      <c r="C2114" s="77" t="s">
        <v>1569</v>
      </c>
      <c r="D2114" s="12">
        <f>D2113</f>
        <v>74731.509</v>
      </c>
      <c r="E2114" s="15">
        <f t="shared" si="1"/>
        <v>2026</v>
      </c>
      <c r="F2114" s="15">
        <f t="shared" si="2"/>
        <v>1</v>
      </c>
      <c r="G2114" s="15">
        <f t="shared" si="3"/>
        <v>11</v>
      </c>
    </row>
    <row r="2115">
      <c r="A2115" s="10" t="s">
        <v>27</v>
      </c>
      <c r="B2115" s="9">
        <f t="shared" si="4"/>
        <v>46033</v>
      </c>
      <c r="C2115" s="77" t="s">
        <v>1570</v>
      </c>
      <c r="D2115" s="13">
        <f>SUMIFS('Lançamentos de receitas'!$E:$E,'Lançamentos de receitas'!$A:$A,B2115,'Lançamentos de receitas'!$C:$C,A2115,'Lançamentos de receitas'!$F:$F,"TRANSFERÊNCIA")</f>
        <v>643.75</v>
      </c>
      <c r="E2115" s="15">
        <f t="shared" si="1"/>
        <v>2026</v>
      </c>
      <c r="F2115" s="15">
        <f t="shared" si="2"/>
        <v>1</v>
      </c>
      <c r="G2115" s="15">
        <f t="shared" si="3"/>
        <v>11</v>
      </c>
    </row>
    <row r="2116">
      <c r="A2116" s="10" t="s">
        <v>27</v>
      </c>
      <c r="B2116" s="9">
        <f t="shared" si="4"/>
        <v>46033</v>
      </c>
      <c r="C2116" s="77" t="s">
        <v>1571</v>
      </c>
      <c r="D2116" s="13">
        <f>SUMIFS('Lançamentos de despesas'!$K:$K,'Lançamentos de despesas'!$C:$C,B2116,'Lançamentos de despesas'!$G:$G,A2116,'Lançamentos de despesas'!$E:$E,"pago")</f>
        <v>0</v>
      </c>
      <c r="E2116" s="15">
        <f t="shared" si="1"/>
        <v>2026</v>
      </c>
      <c r="F2116" s="15">
        <f t="shared" si="2"/>
        <v>1</v>
      </c>
      <c r="G2116" s="15">
        <f t="shared" si="3"/>
        <v>11</v>
      </c>
    </row>
    <row r="2117">
      <c r="A2117" s="10" t="s">
        <v>27</v>
      </c>
      <c r="B2117" s="9">
        <f t="shared" si="4"/>
        <v>46033</v>
      </c>
      <c r="C2117" s="77" t="s">
        <v>1572</v>
      </c>
      <c r="D2117" s="13">
        <f>D2114+D2115-D2116</f>
        <v>75375.259</v>
      </c>
      <c r="E2117" s="15">
        <f t="shared" si="1"/>
        <v>2026</v>
      </c>
      <c r="F2117" s="15">
        <f t="shared" si="2"/>
        <v>1</v>
      </c>
      <c r="G2117" s="15">
        <f t="shared" si="3"/>
        <v>11</v>
      </c>
    </row>
    <row r="2118">
      <c r="A2118" s="10" t="s">
        <v>27</v>
      </c>
      <c r="B2118" s="9">
        <f t="shared" si="4"/>
        <v>46034</v>
      </c>
      <c r="C2118" s="77" t="s">
        <v>1569</v>
      </c>
      <c r="D2118" s="12">
        <f>D2117</f>
        <v>75375.259</v>
      </c>
      <c r="E2118" s="15">
        <f t="shared" si="1"/>
        <v>2026</v>
      </c>
      <c r="F2118" s="15">
        <f t="shared" si="2"/>
        <v>1</v>
      </c>
      <c r="G2118" s="15">
        <f t="shared" si="3"/>
        <v>12</v>
      </c>
    </row>
    <row r="2119">
      <c r="A2119" s="10" t="s">
        <v>27</v>
      </c>
      <c r="B2119" s="9">
        <f t="shared" si="4"/>
        <v>46034</v>
      </c>
      <c r="C2119" s="77" t="s">
        <v>1570</v>
      </c>
      <c r="D2119" s="13">
        <f>SUMIFS('Lançamentos de receitas'!$E:$E,'Lançamentos de receitas'!$A:$A,B2119,'Lançamentos de receitas'!$C:$C,A2119,'Lançamentos de receitas'!$F:$F,"TRANSFERÊNCIA")</f>
        <v>34844.2</v>
      </c>
      <c r="E2119" s="15">
        <f t="shared" si="1"/>
        <v>2026</v>
      </c>
      <c r="F2119" s="15">
        <f t="shared" si="2"/>
        <v>1</v>
      </c>
      <c r="G2119" s="15">
        <f t="shared" si="3"/>
        <v>12</v>
      </c>
    </row>
    <row r="2120">
      <c r="A2120" s="10" t="s">
        <v>27</v>
      </c>
      <c r="B2120" s="9">
        <f t="shared" si="4"/>
        <v>46034</v>
      </c>
      <c r="C2120" s="77" t="s">
        <v>1571</v>
      </c>
      <c r="D2120" s="13">
        <f>SUMIFS('Lançamentos de despesas'!$K:$K,'Lançamentos de despesas'!$C:$C,B2120,'Lançamentos de despesas'!$G:$G,A2120,'Lançamentos de despesas'!$E:$E,"pago")</f>
        <v>530.8</v>
      </c>
      <c r="E2120" s="15">
        <f t="shared" si="1"/>
        <v>2026</v>
      </c>
      <c r="F2120" s="15">
        <f t="shared" si="2"/>
        <v>1</v>
      </c>
      <c r="G2120" s="15">
        <f t="shared" si="3"/>
        <v>12</v>
      </c>
    </row>
    <row r="2121">
      <c r="A2121" s="10" t="s">
        <v>27</v>
      </c>
      <c r="B2121" s="9">
        <f t="shared" si="4"/>
        <v>46034</v>
      </c>
      <c r="C2121" s="77" t="s">
        <v>1572</v>
      </c>
      <c r="D2121" s="13">
        <f>D2118+D2119-D2120</f>
        <v>109688.659</v>
      </c>
      <c r="E2121" s="15">
        <f t="shared" si="1"/>
        <v>2026</v>
      </c>
      <c r="F2121" s="15">
        <f t="shared" si="2"/>
        <v>1</v>
      </c>
      <c r="G2121" s="15">
        <f t="shared" si="3"/>
        <v>12</v>
      </c>
    </row>
    <row r="2122">
      <c r="A2122" s="10" t="s">
        <v>27</v>
      </c>
      <c r="B2122" s="9">
        <f t="shared" si="4"/>
        <v>46035</v>
      </c>
      <c r="C2122" s="77" t="s">
        <v>1569</v>
      </c>
      <c r="D2122" s="12">
        <f>D2121</f>
        <v>109688.659</v>
      </c>
      <c r="E2122" s="15">
        <f t="shared" si="1"/>
        <v>2026</v>
      </c>
      <c r="F2122" s="15">
        <f t="shared" si="2"/>
        <v>1</v>
      </c>
      <c r="G2122" s="15">
        <f t="shared" si="3"/>
        <v>13</v>
      </c>
    </row>
    <row r="2123">
      <c r="A2123" s="10" t="s">
        <v>27</v>
      </c>
      <c r="B2123" s="9">
        <f t="shared" si="4"/>
        <v>46035</v>
      </c>
      <c r="C2123" s="77" t="s">
        <v>1570</v>
      </c>
      <c r="D2123" s="13">
        <f>SUMIFS('Lançamentos de receitas'!$E:$E,'Lançamentos de receitas'!$A:$A,B2123,'Lançamentos de receitas'!$C:$C,A2123,'Lançamentos de receitas'!$F:$F,"TRANSFERÊNCIA")</f>
        <v>630.21</v>
      </c>
      <c r="E2123" s="15">
        <f t="shared" si="1"/>
        <v>2026</v>
      </c>
      <c r="F2123" s="15">
        <f t="shared" si="2"/>
        <v>1</v>
      </c>
      <c r="G2123" s="15">
        <f t="shared" si="3"/>
        <v>13</v>
      </c>
    </row>
    <row r="2124">
      <c r="A2124" s="10" t="s">
        <v>27</v>
      </c>
      <c r="B2124" s="9">
        <f t="shared" si="4"/>
        <v>46035</v>
      </c>
      <c r="C2124" s="77" t="s">
        <v>1571</v>
      </c>
      <c r="D2124" s="13">
        <f>SUMIFS('Lançamentos de despesas'!$K:$K,'Lançamentos de despesas'!$C:$C,B2124,'Lançamentos de despesas'!$G:$G,A2124,'Lançamentos de despesas'!$E:$E,"pago")</f>
        <v>5734.77</v>
      </c>
      <c r="E2124" s="15">
        <f t="shared" si="1"/>
        <v>2026</v>
      </c>
      <c r="F2124" s="15">
        <f t="shared" si="2"/>
        <v>1</v>
      </c>
      <c r="G2124" s="15">
        <f t="shared" si="3"/>
        <v>13</v>
      </c>
    </row>
    <row r="2125">
      <c r="A2125" s="10" t="s">
        <v>27</v>
      </c>
      <c r="B2125" s="9">
        <f t="shared" si="4"/>
        <v>46035</v>
      </c>
      <c r="C2125" s="77" t="s">
        <v>1572</v>
      </c>
      <c r="D2125" s="13">
        <f>D2122+D2123-D2124</f>
        <v>104584.099</v>
      </c>
      <c r="E2125" s="15">
        <f t="shared" si="1"/>
        <v>2026</v>
      </c>
      <c r="F2125" s="15">
        <f t="shared" si="2"/>
        <v>1</v>
      </c>
      <c r="G2125" s="15">
        <f t="shared" si="3"/>
        <v>13</v>
      </c>
    </row>
    <row r="2126">
      <c r="A2126" s="10" t="s">
        <v>27</v>
      </c>
      <c r="B2126" s="9">
        <f t="shared" si="4"/>
        <v>46036</v>
      </c>
      <c r="C2126" s="77" t="s">
        <v>1569</v>
      </c>
      <c r="D2126" s="12">
        <f>D2125</f>
        <v>104584.099</v>
      </c>
      <c r="E2126" s="15">
        <f t="shared" si="1"/>
        <v>2026</v>
      </c>
      <c r="F2126" s="15">
        <f t="shared" si="2"/>
        <v>1</v>
      </c>
      <c r="G2126" s="15">
        <f t="shared" si="3"/>
        <v>14</v>
      </c>
    </row>
    <row r="2127">
      <c r="A2127" s="10" t="s">
        <v>27</v>
      </c>
      <c r="B2127" s="9">
        <f t="shared" si="4"/>
        <v>46036</v>
      </c>
      <c r="C2127" s="77" t="s">
        <v>1570</v>
      </c>
      <c r="D2127" s="13">
        <f>SUMIFS('Lançamentos de receitas'!$E:$E,'Lançamentos de receitas'!$A:$A,B2127,'Lançamentos de receitas'!$C:$C,A2127,'Lançamentos de receitas'!$F:$F,"TRANSFERÊNCIA")</f>
        <v>1048.88</v>
      </c>
      <c r="E2127" s="15">
        <f t="shared" si="1"/>
        <v>2026</v>
      </c>
      <c r="F2127" s="15">
        <f t="shared" si="2"/>
        <v>1</v>
      </c>
      <c r="G2127" s="15">
        <f t="shared" si="3"/>
        <v>14</v>
      </c>
    </row>
    <row r="2128">
      <c r="A2128" s="10" t="s">
        <v>27</v>
      </c>
      <c r="B2128" s="9">
        <f t="shared" si="4"/>
        <v>46036</v>
      </c>
      <c r="C2128" s="77" t="s">
        <v>1571</v>
      </c>
      <c r="D2128" s="13">
        <f>SUMIFS('Lançamentos de despesas'!$K:$K,'Lançamentos de despesas'!$C:$C,B2128,'Lançamentos de despesas'!$G:$G,A2128,'Lançamentos de despesas'!$E:$E,"pago")</f>
        <v>4922.24</v>
      </c>
      <c r="E2128" s="15">
        <f t="shared" si="1"/>
        <v>2026</v>
      </c>
      <c r="F2128" s="15">
        <f t="shared" si="2"/>
        <v>1</v>
      </c>
      <c r="G2128" s="15">
        <f t="shared" si="3"/>
        <v>14</v>
      </c>
    </row>
    <row r="2129">
      <c r="A2129" s="10" t="s">
        <v>27</v>
      </c>
      <c r="B2129" s="9">
        <f t="shared" si="4"/>
        <v>46036</v>
      </c>
      <c r="C2129" s="77" t="s">
        <v>1572</v>
      </c>
      <c r="D2129" s="13">
        <f>D2126+D2127-D2128</f>
        <v>100710.739</v>
      </c>
      <c r="E2129" s="15">
        <f t="shared" si="1"/>
        <v>2026</v>
      </c>
      <c r="F2129" s="15">
        <f t="shared" si="2"/>
        <v>1</v>
      </c>
      <c r="G2129" s="15">
        <f t="shared" si="3"/>
        <v>14</v>
      </c>
    </row>
    <row r="2130">
      <c r="A2130" s="10" t="s">
        <v>27</v>
      </c>
      <c r="B2130" s="9">
        <f t="shared" si="4"/>
        <v>46037</v>
      </c>
      <c r="C2130" s="77" t="s">
        <v>1569</v>
      </c>
      <c r="D2130" s="12">
        <f>D2129</f>
        <v>100710.739</v>
      </c>
      <c r="E2130" s="15">
        <f t="shared" si="1"/>
        <v>2026</v>
      </c>
      <c r="F2130" s="15">
        <f t="shared" si="2"/>
        <v>1</v>
      </c>
      <c r="G2130" s="15">
        <f t="shared" si="3"/>
        <v>15</v>
      </c>
    </row>
    <row r="2131">
      <c r="A2131" s="10" t="s">
        <v>27</v>
      </c>
      <c r="B2131" s="9">
        <f t="shared" si="4"/>
        <v>46037</v>
      </c>
      <c r="C2131" s="77" t="s">
        <v>1570</v>
      </c>
      <c r="D2131" s="13">
        <f>SUMIFS('Lançamentos de receitas'!$E:$E,'Lançamentos de receitas'!$A:$A,B2131,'Lançamentos de receitas'!$C:$C,A2131,'Lançamentos de receitas'!$F:$F,"TRANSFERÊNCIA")</f>
        <v>1303.44</v>
      </c>
      <c r="E2131" s="15">
        <f t="shared" si="1"/>
        <v>2026</v>
      </c>
      <c r="F2131" s="15">
        <f t="shared" si="2"/>
        <v>1</v>
      </c>
      <c r="G2131" s="15">
        <f t="shared" si="3"/>
        <v>15</v>
      </c>
    </row>
    <row r="2132">
      <c r="A2132" s="10" t="s">
        <v>27</v>
      </c>
      <c r="B2132" s="9">
        <f t="shared" si="4"/>
        <v>46037</v>
      </c>
      <c r="C2132" s="77" t="s">
        <v>1571</v>
      </c>
      <c r="D2132" s="13">
        <f>SUMIFS('Lançamentos de despesas'!$K:$K,'Lançamentos de despesas'!$C:$C,B2132,'Lançamentos de despesas'!$G:$G,A2132,'Lançamentos de despesas'!$E:$E,"pago")</f>
        <v>1674.8</v>
      </c>
      <c r="E2132" s="15">
        <f t="shared" si="1"/>
        <v>2026</v>
      </c>
      <c r="F2132" s="15">
        <f t="shared" si="2"/>
        <v>1</v>
      </c>
      <c r="G2132" s="15">
        <f t="shared" si="3"/>
        <v>15</v>
      </c>
    </row>
    <row r="2133">
      <c r="A2133" s="10" t="s">
        <v>27</v>
      </c>
      <c r="B2133" s="9">
        <f t="shared" si="4"/>
        <v>46037</v>
      </c>
      <c r="C2133" s="77" t="s">
        <v>1572</v>
      </c>
      <c r="D2133" s="13">
        <f>D2130+D2131-D2132</f>
        <v>100339.379</v>
      </c>
      <c r="E2133" s="15">
        <f t="shared" si="1"/>
        <v>2026</v>
      </c>
      <c r="F2133" s="15">
        <f t="shared" si="2"/>
        <v>1</v>
      </c>
      <c r="G2133" s="15">
        <f t="shared" si="3"/>
        <v>15</v>
      </c>
    </row>
    <row r="2134">
      <c r="A2134" s="10" t="s">
        <v>27</v>
      </c>
      <c r="B2134" s="9">
        <f t="shared" si="4"/>
        <v>46038</v>
      </c>
      <c r="C2134" s="77" t="s">
        <v>1569</v>
      </c>
      <c r="D2134" s="12">
        <f>D2133</f>
        <v>100339.379</v>
      </c>
      <c r="E2134" s="15">
        <f t="shared" si="1"/>
        <v>2026</v>
      </c>
      <c r="F2134" s="15">
        <f t="shared" si="2"/>
        <v>1</v>
      </c>
      <c r="G2134" s="15">
        <f t="shared" si="3"/>
        <v>16</v>
      </c>
    </row>
    <row r="2135">
      <c r="A2135" s="10" t="s">
        <v>27</v>
      </c>
      <c r="B2135" s="9">
        <f t="shared" si="4"/>
        <v>46038</v>
      </c>
      <c r="C2135" s="77" t="s">
        <v>1570</v>
      </c>
      <c r="D2135" s="13">
        <f>SUMIFS('Lançamentos de receitas'!$E:$E,'Lançamentos de receitas'!$A:$A,B2135,'Lançamentos de receitas'!$C:$C,A2135,'Lançamentos de receitas'!$F:$F,"TRANSFERÊNCIA")</f>
        <v>896.34</v>
      </c>
      <c r="E2135" s="15">
        <f t="shared" si="1"/>
        <v>2026</v>
      </c>
      <c r="F2135" s="15">
        <f t="shared" si="2"/>
        <v>1</v>
      </c>
      <c r="G2135" s="15">
        <f t="shared" si="3"/>
        <v>16</v>
      </c>
    </row>
    <row r="2136">
      <c r="A2136" s="10" t="s">
        <v>27</v>
      </c>
      <c r="B2136" s="9">
        <f t="shared" si="4"/>
        <v>46038</v>
      </c>
      <c r="C2136" s="77" t="s">
        <v>1571</v>
      </c>
      <c r="D2136" s="13">
        <f>SUMIFS('Lançamentos de despesas'!$K:$K,'Lançamentos de despesas'!$C:$C,B2136,'Lançamentos de despesas'!$G:$G,A2136,'Lançamentos de despesas'!$E:$E,"pago")</f>
        <v>0</v>
      </c>
      <c r="E2136" s="15">
        <f t="shared" si="1"/>
        <v>2026</v>
      </c>
      <c r="F2136" s="15">
        <f t="shared" si="2"/>
        <v>1</v>
      </c>
      <c r="G2136" s="15">
        <f t="shared" si="3"/>
        <v>16</v>
      </c>
    </row>
    <row r="2137">
      <c r="A2137" s="10" t="s">
        <v>27</v>
      </c>
      <c r="B2137" s="9">
        <f t="shared" si="4"/>
        <v>46038</v>
      </c>
      <c r="C2137" s="77" t="s">
        <v>1572</v>
      </c>
      <c r="D2137" s="13">
        <f>D2134+D2135-D2136</f>
        <v>101235.719</v>
      </c>
      <c r="E2137" s="15">
        <f t="shared" si="1"/>
        <v>2026</v>
      </c>
      <c r="F2137" s="15">
        <f t="shared" si="2"/>
        <v>1</v>
      </c>
      <c r="G2137" s="15">
        <f t="shared" si="3"/>
        <v>16</v>
      </c>
    </row>
    <row r="2138">
      <c r="A2138" s="10" t="s">
        <v>27</v>
      </c>
      <c r="B2138" s="9">
        <f t="shared" si="4"/>
        <v>46039</v>
      </c>
      <c r="C2138" s="77" t="s">
        <v>1569</v>
      </c>
      <c r="D2138" s="12">
        <f>D2137</f>
        <v>101235.719</v>
      </c>
      <c r="E2138" s="15">
        <f t="shared" si="1"/>
        <v>2026</v>
      </c>
      <c r="F2138" s="15">
        <f t="shared" si="2"/>
        <v>1</v>
      </c>
      <c r="G2138" s="15">
        <f t="shared" si="3"/>
        <v>17</v>
      </c>
    </row>
    <row r="2139">
      <c r="A2139" s="10" t="s">
        <v>27</v>
      </c>
      <c r="B2139" s="9">
        <f t="shared" si="4"/>
        <v>46039</v>
      </c>
      <c r="C2139" s="77" t="s">
        <v>1570</v>
      </c>
      <c r="D2139" s="13">
        <f>SUMIFS('Lançamentos de receitas'!$E:$E,'Lançamentos de receitas'!$A:$A,B2139,'Lançamentos de receitas'!$C:$C,A2139,'Lançamentos de receitas'!$F:$F,"TRANSFERÊNCIA")</f>
        <v>1095.88</v>
      </c>
      <c r="E2139" s="15">
        <f t="shared" si="1"/>
        <v>2026</v>
      </c>
      <c r="F2139" s="15">
        <f t="shared" si="2"/>
        <v>1</v>
      </c>
      <c r="G2139" s="15">
        <f t="shared" si="3"/>
        <v>17</v>
      </c>
    </row>
    <row r="2140">
      <c r="A2140" s="10" t="s">
        <v>27</v>
      </c>
      <c r="B2140" s="9">
        <f t="shared" si="4"/>
        <v>46039</v>
      </c>
      <c r="C2140" s="77" t="s">
        <v>1571</v>
      </c>
      <c r="D2140" s="13">
        <f>SUMIFS('Lançamentos de despesas'!$K:$K,'Lançamentos de despesas'!$C:$C,B2140,'Lançamentos de despesas'!$G:$G,A2140,'Lançamentos de despesas'!$E:$E,"pago")</f>
        <v>0</v>
      </c>
      <c r="E2140" s="15">
        <f t="shared" si="1"/>
        <v>2026</v>
      </c>
      <c r="F2140" s="15">
        <f t="shared" si="2"/>
        <v>1</v>
      </c>
      <c r="G2140" s="15">
        <f t="shared" si="3"/>
        <v>17</v>
      </c>
    </row>
    <row r="2141">
      <c r="A2141" s="10" t="s">
        <v>27</v>
      </c>
      <c r="B2141" s="9">
        <f t="shared" si="4"/>
        <v>46039</v>
      </c>
      <c r="C2141" s="77" t="s">
        <v>1572</v>
      </c>
      <c r="D2141" s="13">
        <f>D2138+D2139-D2140</f>
        <v>102331.599</v>
      </c>
      <c r="E2141" s="15">
        <f t="shared" si="1"/>
        <v>2026</v>
      </c>
      <c r="F2141" s="15">
        <f t="shared" si="2"/>
        <v>1</v>
      </c>
      <c r="G2141" s="15">
        <f t="shared" si="3"/>
        <v>17</v>
      </c>
    </row>
    <row r="2142">
      <c r="A2142" s="10" t="s">
        <v>27</v>
      </c>
      <c r="B2142" s="9">
        <f t="shared" si="4"/>
        <v>46040</v>
      </c>
      <c r="C2142" s="77" t="s">
        <v>1569</v>
      </c>
      <c r="D2142" s="12">
        <f>D2141</f>
        <v>102331.599</v>
      </c>
      <c r="E2142" s="15">
        <f t="shared" si="1"/>
        <v>2026</v>
      </c>
      <c r="F2142" s="15">
        <f t="shared" si="2"/>
        <v>1</v>
      </c>
      <c r="G2142" s="15">
        <f t="shared" si="3"/>
        <v>18</v>
      </c>
    </row>
    <row r="2143">
      <c r="A2143" s="10" t="s">
        <v>27</v>
      </c>
      <c r="B2143" s="9">
        <f t="shared" si="4"/>
        <v>46040</v>
      </c>
      <c r="C2143" s="77" t="s">
        <v>1570</v>
      </c>
      <c r="D2143" s="13">
        <f>SUMIFS('Lançamentos de receitas'!$E:$E,'Lançamentos de receitas'!$A:$A,B2143,'Lançamentos de receitas'!$C:$C,A2143,'Lançamentos de receitas'!$F:$F,"TRANSFERÊNCIA")</f>
        <v>360.02</v>
      </c>
      <c r="E2143" s="15">
        <f t="shared" si="1"/>
        <v>2026</v>
      </c>
      <c r="F2143" s="15">
        <f t="shared" si="2"/>
        <v>1</v>
      </c>
      <c r="G2143" s="15">
        <f t="shared" si="3"/>
        <v>18</v>
      </c>
    </row>
    <row r="2144">
      <c r="A2144" s="10" t="s">
        <v>27</v>
      </c>
      <c r="B2144" s="9">
        <f t="shared" si="4"/>
        <v>46040</v>
      </c>
      <c r="C2144" s="77" t="s">
        <v>1571</v>
      </c>
      <c r="D2144" s="13">
        <f>SUMIFS('Lançamentos de despesas'!$K:$K,'Lançamentos de despesas'!$C:$C,B2144,'Lançamentos de despesas'!$G:$G,A2144,'Lançamentos de despesas'!$E:$E,"pago")</f>
        <v>0</v>
      </c>
      <c r="E2144" s="15">
        <f t="shared" si="1"/>
        <v>2026</v>
      </c>
      <c r="F2144" s="15">
        <f t="shared" si="2"/>
        <v>1</v>
      </c>
      <c r="G2144" s="15">
        <f t="shared" si="3"/>
        <v>18</v>
      </c>
    </row>
    <row r="2145">
      <c r="A2145" s="10" t="s">
        <v>27</v>
      </c>
      <c r="B2145" s="9">
        <f t="shared" si="4"/>
        <v>46040</v>
      </c>
      <c r="C2145" s="77" t="s">
        <v>1572</v>
      </c>
      <c r="D2145" s="13">
        <f>D2142+D2143-D2144</f>
        <v>102691.619</v>
      </c>
      <c r="E2145" s="15">
        <f t="shared" si="1"/>
        <v>2026</v>
      </c>
      <c r="F2145" s="15">
        <f t="shared" si="2"/>
        <v>1</v>
      </c>
      <c r="G2145" s="15">
        <f t="shared" si="3"/>
        <v>18</v>
      </c>
    </row>
    <row r="2146">
      <c r="A2146" s="10" t="s">
        <v>27</v>
      </c>
      <c r="B2146" s="9">
        <f t="shared" si="4"/>
        <v>46041</v>
      </c>
      <c r="C2146" s="77" t="s">
        <v>1569</v>
      </c>
      <c r="D2146" s="12">
        <f>D2145</f>
        <v>102691.619</v>
      </c>
      <c r="E2146" s="15">
        <f t="shared" si="1"/>
        <v>2026</v>
      </c>
      <c r="F2146" s="15">
        <f t="shared" si="2"/>
        <v>1</v>
      </c>
      <c r="G2146" s="15">
        <f t="shared" si="3"/>
        <v>19</v>
      </c>
    </row>
    <row r="2147">
      <c r="A2147" s="10" t="s">
        <v>27</v>
      </c>
      <c r="B2147" s="9">
        <f t="shared" si="4"/>
        <v>46041</v>
      </c>
      <c r="C2147" s="77" t="s">
        <v>1570</v>
      </c>
      <c r="D2147" s="13">
        <f>SUMIFS('Lançamentos de receitas'!$E:$E,'Lançamentos de receitas'!$A:$A,B2147,'Lançamentos de receitas'!$C:$C,A2147,'Lançamentos de receitas'!$F:$F,"TRANSFERÊNCIA")</f>
        <v>1122.19</v>
      </c>
      <c r="E2147" s="15">
        <f t="shared" si="1"/>
        <v>2026</v>
      </c>
      <c r="F2147" s="15">
        <f t="shared" si="2"/>
        <v>1</v>
      </c>
      <c r="G2147" s="15">
        <f t="shared" si="3"/>
        <v>19</v>
      </c>
    </row>
    <row r="2148">
      <c r="A2148" s="10" t="s">
        <v>27</v>
      </c>
      <c r="B2148" s="9">
        <f t="shared" si="4"/>
        <v>46041</v>
      </c>
      <c r="C2148" s="77" t="s">
        <v>1571</v>
      </c>
      <c r="D2148" s="13">
        <f>SUMIFS('Lançamentos de despesas'!$K:$K,'Lançamentos de despesas'!$C:$C,B2148,'Lançamentos de despesas'!$G:$G,A2148,'Lançamentos de despesas'!$E:$E,"pago")</f>
        <v>26195.92</v>
      </c>
      <c r="E2148" s="15">
        <f t="shared" si="1"/>
        <v>2026</v>
      </c>
      <c r="F2148" s="15">
        <f t="shared" si="2"/>
        <v>1</v>
      </c>
      <c r="G2148" s="15">
        <f t="shared" si="3"/>
        <v>19</v>
      </c>
    </row>
    <row r="2149">
      <c r="A2149" s="10" t="s">
        <v>27</v>
      </c>
      <c r="B2149" s="9">
        <f t="shared" si="4"/>
        <v>46041</v>
      </c>
      <c r="C2149" s="77" t="s">
        <v>1572</v>
      </c>
      <c r="D2149" s="13">
        <f>D2146+D2147-D2148</f>
        <v>77617.889</v>
      </c>
      <c r="E2149" s="15">
        <f t="shared" si="1"/>
        <v>2026</v>
      </c>
      <c r="F2149" s="15">
        <f t="shared" si="2"/>
        <v>1</v>
      </c>
      <c r="G2149" s="15">
        <f t="shared" si="3"/>
        <v>19</v>
      </c>
    </row>
    <row r="2150">
      <c r="A2150" s="10" t="s">
        <v>27</v>
      </c>
      <c r="B2150" s="9">
        <f t="shared" si="4"/>
        <v>46042</v>
      </c>
      <c r="C2150" s="77" t="s">
        <v>1569</v>
      </c>
      <c r="D2150" s="12">
        <f>D2149</f>
        <v>77617.889</v>
      </c>
      <c r="E2150" s="15">
        <f t="shared" si="1"/>
        <v>2026</v>
      </c>
      <c r="F2150" s="15">
        <f t="shared" si="2"/>
        <v>1</v>
      </c>
      <c r="G2150" s="15">
        <f t="shared" si="3"/>
        <v>20</v>
      </c>
    </row>
    <row r="2151">
      <c r="A2151" s="10" t="s">
        <v>27</v>
      </c>
      <c r="B2151" s="9">
        <f t="shared" si="4"/>
        <v>46042</v>
      </c>
      <c r="C2151" s="77" t="s">
        <v>1570</v>
      </c>
      <c r="D2151" s="13">
        <f>SUMIFS('Lançamentos de receitas'!$E:$E,'Lançamentos de receitas'!$A:$A,B2151,'Lançamentos de receitas'!$C:$C,A2151,'Lançamentos de receitas'!$F:$F,"TRANSFERÊNCIA")</f>
        <v>318.23</v>
      </c>
      <c r="E2151" s="15">
        <f t="shared" si="1"/>
        <v>2026</v>
      </c>
      <c r="F2151" s="15">
        <f t="shared" si="2"/>
        <v>1</v>
      </c>
      <c r="G2151" s="15">
        <f t="shared" si="3"/>
        <v>20</v>
      </c>
    </row>
    <row r="2152">
      <c r="A2152" s="10" t="s">
        <v>27</v>
      </c>
      <c r="B2152" s="9">
        <f t="shared" si="4"/>
        <v>46042</v>
      </c>
      <c r="C2152" s="77" t="s">
        <v>1571</v>
      </c>
      <c r="D2152" s="13">
        <f>SUMIFS('Lançamentos de despesas'!$K:$K,'Lançamentos de despesas'!$C:$C,B2152,'Lançamentos de despesas'!$G:$G,A2152,'Lançamentos de despesas'!$E:$E,"pago")</f>
        <v>24792.58</v>
      </c>
      <c r="E2152" s="15">
        <f t="shared" si="1"/>
        <v>2026</v>
      </c>
      <c r="F2152" s="15">
        <f t="shared" si="2"/>
        <v>1</v>
      </c>
      <c r="G2152" s="15">
        <f t="shared" si="3"/>
        <v>20</v>
      </c>
    </row>
    <row r="2153">
      <c r="A2153" s="10" t="s">
        <v>27</v>
      </c>
      <c r="B2153" s="9">
        <f t="shared" si="4"/>
        <v>46042</v>
      </c>
      <c r="C2153" s="77" t="s">
        <v>1572</v>
      </c>
      <c r="D2153" s="13">
        <f>D2150+D2151-D2152</f>
        <v>53143.539</v>
      </c>
      <c r="E2153" s="15">
        <f t="shared" si="1"/>
        <v>2026</v>
      </c>
      <c r="F2153" s="15">
        <f t="shared" si="2"/>
        <v>1</v>
      </c>
      <c r="G2153" s="15">
        <f t="shared" si="3"/>
        <v>20</v>
      </c>
    </row>
    <row r="2154">
      <c r="A2154" s="10" t="s">
        <v>27</v>
      </c>
      <c r="B2154" s="9">
        <f t="shared" si="4"/>
        <v>46043</v>
      </c>
      <c r="C2154" s="77" t="s">
        <v>1569</v>
      </c>
      <c r="D2154" s="12">
        <f>D2153</f>
        <v>53143.539</v>
      </c>
      <c r="E2154" s="15">
        <f t="shared" si="1"/>
        <v>2026</v>
      </c>
      <c r="F2154" s="15">
        <f t="shared" si="2"/>
        <v>1</v>
      </c>
      <c r="G2154" s="15">
        <f t="shared" si="3"/>
        <v>21</v>
      </c>
    </row>
    <row r="2155">
      <c r="A2155" s="10" t="s">
        <v>27</v>
      </c>
      <c r="B2155" s="9">
        <f t="shared" si="4"/>
        <v>46043</v>
      </c>
      <c r="C2155" s="77" t="s">
        <v>1570</v>
      </c>
      <c r="D2155" s="13">
        <f>SUMIFS('Lançamentos de receitas'!$E:$E,'Lançamentos de receitas'!$A:$A,B2155,'Lançamentos de receitas'!$C:$C,A2155,'Lançamentos de receitas'!$F:$F,"TRANSFERÊNCIA")</f>
        <v>1148.21</v>
      </c>
      <c r="E2155" s="15">
        <f t="shared" si="1"/>
        <v>2026</v>
      </c>
      <c r="F2155" s="15">
        <f t="shared" si="2"/>
        <v>1</v>
      </c>
      <c r="G2155" s="15">
        <f t="shared" si="3"/>
        <v>21</v>
      </c>
    </row>
    <row r="2156">
      <c r="A2156" s="10" t="s">
        <v>27</v>
      </c>
      <c r="B2156" s="9">
        <f t="shared" si="4"/>
        <v>46043</v>
      </c>
      <c r="C2156" s="77" t="s">
        <v>1571</v>
      </c>
      <c r="D2156" s="13">
        <f>SUMIFS('Lançamentos de despesas'!$K:$K,'Lançamentos de despesas'!$C:$C,B2156,'Lançamentos de despesas'!$G:$G,A2156,'Lançamentos de despesas'!$E:$E,"pago")</f>
        <v>0</v>
      </c>
      <c r="E2156" s="15">
        <f t="shared" si="1"/>
        <v>2026</v>
      </c>
      <c r="F2156" s="15">
        <f t="shared" si="2"/>
        <v>1</v>
      </c>
      <c r="G2156" s="15">
        <f t="shared" si="3"/>
        <v>21</v>
      </c>
    </row>
    <row r="2157">
      <c r="A2157" s="10" t="s">
        <v>27</v>
      </c>
      <c r="B2157" s="9">
        <f t="shared" si="4"/>
        <v>46043</v>
      </c>
      <c r="C2157" s="77" t="s">
        <v>1572</v>
      </c>
      <c r="D2157" s="13">
        <f>D2154+D2155-D2156</f>
        <v>54291.749</v>
      </c>
      <c r="E2157" s="15">
        <f t="shared" si="1"/>
        <v>2026</v>
      </c>
      <c r="F2157" s="15">
        <f t="shared" si="2"/>
        <v>1</v>
      </c>
      <c r="G2157" s="15">
        <f t="shared" si="3"/>
        <v>21</v>
      </c>
    </row>
    <row r="2158">
      <c r="A2158" s="10" t="s">
        <v>27</v>
      </c>
      <c r="B2158" s="9">
        <f t="shared" si="4"/>
        <v>46044</v>
      </c>
      <c r="C2158" s="77" t="s">
        <v>1569</v>
      </c>
      <c r="D2158" s="12">
        <f>D2157</f>
        <v>54291.749</v>
      </c>
      <c r="E2158" s="15">
        <f t="shared" si="1"/>
        <v>2026</v>
      </c>
      <c r="F2158" s="15">
        <f t="shared" si="2"/>
        <v>1</v>
      </c>
      <c r="G2158" s="15">
        <f t="shared" si="3"/>
        <v>22</v>
      </c>
    </row>
    <row r="2159">
      <c r="A2159" s="10" t="s">
        <v>27</v>
      </c>
      <c r="B2159" s="9">
        <f t="shared" si="4"/>
        <v>46044</v>
      </c>
      <c r="C2159" s="77" t="s">
        <v>1570</v>
      </c>
      <c r="D2159" s="13">
        <f>SUMIFS('Lançamentos de receitas'!$E:$E,'Lançamentos de receitas'!$A:$A,B2159,'Lançamentos de receitas'!$C:$C,A2159,'Lançamentos de receitas'!$F:$F,"TRANSFERÊNCIA")</f>
        <v>1291.85</v>
      </c>
      <c r="E2159" s="15">
        <f t="shared" si="1"/>
        <v>2026</v>
      </c>
      <c r="F2159" s="15">
        <f t="shared" si="2"/>
        <v>1</v>
      </c>
      <c r="G2159" s="15">
        <f t="shared" si="3"/>
        <v>22</v>
      </c>
    </row>
    <row r="2160">
      <c r="A2160" s="10" t="s">
        <v>27</v>
      </c>
      <c r="B2160" s="9">
        <f t="shared" si="4"/>
        <v>46044</v>
      </c>
      <c r="C2160" s="77" t="s">
        <v>1571</v>
      </c>
      <c r="D2160" s="13">
        <f>SUMIFS('Lançamentos de despesas'!$K:$K,'Lançamentos de despesas'!$C:$C,B2160,'Lançamentos de despesas'!$G:$G,A2160,'Lançamentos de despesas'!$E:$E,"pago")</f>
        <v>0</v>
      </c>
      <c r="E2160" s="15">
        <f t="shared" si="1"/>
        <v>2026</v>
      </c>
      <c r="F2160" s="15">
        <f t="shared" si="2"/>
        <v>1</v>
      </c>
      <c r="G2160" s="15">
        <f t="shared" si="3"/>
        <v>22</v>
      </c>
    </row>
    <row r="2161">
      <c r="A2161" s="10" t="s">
        <v>27</v>
      </c>
      <c r="B2161" s="9">
        <f t="shared" si="4"/>
        <v>46044</v>
      </c>
      <c r="C2161" s="77" t="s">
        <v>1572</v>
      </c>
      <c r="D2161" s="13">
        <f>D2158+D2159-D2160</f>
        <v>55583.599</v>
      </c>
      <c r="E2161" s="15">
        <f t="shared" si="1"/>
        <v>2026</v>
      </c>
      <c r="F2161" s="15">
        <f t="shared" si="2"/>
        <v>1</v>
      </c>
      <c r="G2161" s="15">
        <f t="shared" si="3"/>
        <v>22</v>
      </c>
    </row>
    <row r="2162">
      <c r="A2162" s="10" t="s">
        <v>27</v>
      </c>
      <c r="B2162" s="9">
        <f t="shared" si="4"/>
        <v>46045</v>
      </c>
      <c r="C2162" s="77" t="s">
        <v>1569</v>
      </c>
      <c r="D2162" s="12">
        <f>D2161</f>
        <v>55583.599</v>
      </c>
      <c r="E2162" s="15">
        <f t="shared" si="1"/>
        <v>2026</v>
      </c>
      <c r="F2162" s="15">
        <f t="shared" si="2"/>
        <v>1</v>
      </c>
      <c r="G2162" s="15">
        <f t="shared" si="3"/>
        <v>23</v>
      </c>
    </row>
    <row r="2163">
      <c r="A2163" s="10" t="s">
        <v>27</v>
      </c>
      <c r="B2163" s="9">
        <f t="shared" si="4"/>
        <v>46045</v>
      </c>
      <c r="C2163" s="77" t="s">
        <v>1570</v>
      </c>
      <c r="D2163" s="13">
        <f>SUMIFS('Lançamentos de receitas'!$E:$E,'Lançamentos de receitas'!$A:$A,B2163,'Lançamentos de receitas'!$C:$C,A2163,'Lançamentos de receitas'!$F:$F,"TRANSFERÊNCIA")</f>
        <v>4055.34</v>
      </c>
      <c r="E2163" s="15">
        <f t="shared" si="1"/>
        <v>2026</v>
      </c>
      <c r="F2163" s="15">
        <f t="shared" si="2"/>
        <v>1</v>
      </c>
      <c r="G2163" s="15">
        <f t="shared" si="3"/>
        <v>23</v>
      </c>
    </row>
    <row r="2164">
      <c r="A2164" s="10" t="s">
        <v>27</v>
      </c>
      <c r="B2164" s="9">
        <f t="shared" si="4"/>
        <v>46045</v>
      </c>
      <c r="C2164" s="77" t="s">
        <v>1571</v>
      </c>
      <c r="D2164" s="13">
        <f>SUMIFS('Lançamentos de despesas'!$K:$K,'Lançamentos de despesas'!$C:$C,B2164,'Lançamentos de despesas'!$G:$G,A2164,'Lançamentos de despesas'!$E:$E,"pago")</f>
        <v>0</v>
      </c>
      <c r="E2164" s="15">
        <f t="shared" si="1"/>
        <v>2026</v>
      </c>
      <c r="F2164" s="15">
        <f t="shared" si="2"/>
        <v>1</v>
      </c>
      <c r="G2164" s="15">
        <f t="shared" si="3"/>
        <v>23</v>
      </c>
    </row>
    <row r="2165">
      <c r="A2165" s="10" t="s">
        <v>27</v>
      </c>
      <c r="B2165" s="9">
        <f t="shared" si="4"/>
        <v>46045</v>
      </c>
      <c r="C2165" s="77" t="s">
        <v>1572</v>
      </c>
      <c r="D2165" s="13">
        <f>D2162+D2163-D2164</f>
        <v>59638.939</v>
      </c>
      <c r="E2165" s="15">
        <f t="shared" si="1"/>
        <v>2026</v>
      </c>
      <c r="F2165" s="15">
        <f t="shared" si="2"/>
        <v>1</v>
      </c>
      <c r="G2165" s="15">
        <f t="shared" si="3"/>
        <v>23</v>
      </c>
    </row>
    <row r="2166">
      <c r="A2166" s="10" t="s">
        <v>27</v>
      </c>
      <c r="B2166" s="9">
        <f t="shared" si="4"/>
        <v>46046</v>
      </c>
      <c r="C2166" s="77" t="s">
        <v>1569</v>
      </c>
      <c r="D2166" s="12">
        <f>D2165</f>
        <v>59638.939</v>
      </c>
      <c r="E2166" s="15">
        <f t="shared" si="1"/>
        <v>2026</v>
      </c>
      <c r="F2166" s="15">
        <f t="shared" si="2"/>
        <v>1</v>
      </c>
      <c r="G2166" s="15">
        <f t="shared" si="3"/>
        <v>24</v>
      </c>
    </row>
    <row r="2167">
      <c r="A2167" s="10" t="s">
        <v>27</v>
      </c>
      <c r="B2167" s="9">
        <f t="shared" si="4"/>
        <v>46046</v>
      </c>
      <c r="C2167" s="77" t="s">
        <v>1570</v>
      </c>
      <c r="D2167" s="13">
        <f>SUMIFS('Lançamentos de receitas'!$E:$E,'Lançamentos de receitas'!$A:$A,B2167,'Lançamentos de receitas'!$C:$C,A2167,'Lançamentos de receitas'!$F:$F,"TRANSFERÊNCIA")</f>
        <v>1122.19</v>
      </c>
      <c r="E2167" s="15">
        <f t="shared" si="1"/>
        <v>2026</v>
      </c>
      <c r="F2167" s="15">
        <f t="shared" si="2"/>
        <v>1</v>
      </c>
      <c r="G2167" s="15">
        <f t="shared" si="3"/>
        <v>24</v>
      </c>
    </row>
    <row r="2168">
      <c r="A2168" s="10" t="s">
        <v>27</v>
      </c>
      <c r="B2168" s="9">
        <f t="shared" si="4"/>
        <v>46046</v>
      </c>
      <c r="C2168" s="77" t="s">
        <v>1571</v>
      </c>
      <c r="D2168" s="13">
        <f>SUMIFS('Lançamentos de despesas'!$K:$K,'Lançamentos de despesas'!$C:$C,B2168,'Lançamentos de despesas'!$G:$G,A2168,'Lançamentos de despesas'!$E:$E,"pago")</f>
        <v>0</v>
      </c>
      <c r="E2168" s="15">
        <f t="shared" si="1"/>
        <v>2026</v>
      </c>
      <c r="F2168" s="15">
        <f t="shared" si="2"/>
        <v>1</v>
      </c>
      <c r="G2168" s="15">
        <f t="shared" si="3"/>
        <v>24</v>
      </c>
    </row>
    <row r="2169">
      <c r="A2169" s="10" t="s">
        <v>27</v>
      </c>
      <c r="B2169" s="9">
        <f t="shared" si="4"/>
        <v>46046</v>
      </c>
      <c r="C2169" s="77" t="s">
        <v>1572</v>
      </c>
      <c r="D2169" s="13">
        <f>D2166+D2167-D2168</f>
        <v>60761.129</v>
      </c>
      <c r="E2169" s="15">
        <f t="shared" si="1"/>
        <v>2026</v>
      </c>
      <c r="F2169" s="15">
        <f t="shared" si="2"/>
        <v>1</v>
      </c>
      <c r="G2169" s="15">
        <f t="shared" si="3"/>
        <v>24</v>
      </c>
    </row>
    <row r="2170">
      <c r="A2170" s="10" t="s">
        <v>27</v>
      </c>
      <c r="B2170" s="9">
        <f t="shared" si="4"/>
        <v>46047</v>
      </c>
      <c r="C2170" s="77" t="s">
        <v>1569</v>
      </c>
      <c r="D2170" s="12">
        <f>D2169</f>
        <v>60761.129</v>
      </c>
      <c r="E2170" s="15">
        <f t="shared" si="1"/>
        <v>2026</v>
      </c>
      <c r="F2170" s="15">
        <f t="shared" si="2"/>
        <v>1</v>
      </c>
      <c r="G2170" s="15">
        <f t="shared" si="3"/>
        <v>25</v>
      </c>
    </row>
    <row r="2171">
      <c r="A2171" s="10" t="s">
        <v>27</v>
      </c>
      <c r="B2171" s="9">
        <f t="shared" si="4"/>
        <v>46047</v>
      </c>
      <c r="C2171" s="77" t="s">
        <v>1570</v>
      </c>
      <c r="D2171" s="13">
        <f>SUMIFS('Lançamentos de receitas'!$E:$E,'Lançamentos de receitas'!$A:$A,B2171,'Lançamentos de receitas'!$C:$C,A2171,'Lançamentos de receitas'!$F:$F,"TRANSFERÊNCIA")</f>
        <v>1181.17</v>
      </c>
      <c r="E2171" s="15">
        <f t="shared" si="1"/>
        <v>2026</v>
      </c>
      <c r="F2171" s="15">
        <f t="shared" si="2"/>
        <v>1</v>
      </c>
      <c r="G2171" s="15">
        <f t="shared" si="3"/>
        <v>25</v>
      </c>
    </row>
    <row r="2172">
      <c r="A2172" s="10" t="s">
        <v>27</v>
      </c>
      <c r="B2172" s="9">
        <f t="shared" si="4"/>
        <v>46047</v>
      </c>
      <c r="C2172" s="77" t="s">
        <v>1571</v>
      </c>
      <c r="D2172" s="13">
        <f>SUMIFS('Lançamentos de despesas'!$K:$K,'Lançamentos de despesas'!$C:$C,B2172,'Lançamentos de despesas'!$G:$G,A2172,'Lançamentos de despesas'!$E:$E,"pago")</f>
        <v>0</v>
      </c>
      <c r="E2172" s="15">
        <f t="shared" si="1"/>
        <v>2026</v>
      </c>
      <c r="F2172" s="15">
        <f t="shared" si="2"/>
        <v>1</v>
      </c>
      <c r="G2172" s="15">
        <f t="shared" si="3"/>
        <v>25</v>
      </c>
    </row>
    <row r="2173">
      <c r="A2173" s="10" t="s">
        <v>27</v>
      </c>
      <c r="B2173" s="9">
        <f t="shared" si="4"/>
        <v>46047</v>
      </c>
      <c r="C2173" s="77" t="s">
        <v>1572</v>
      </c>
      <c r="D2173" s="13">
        <f>D2170+D2171-D2172</f>
        <v>61942.299</v>
      </c>
      <c r="E2173" s="15">
        <f t="shared" si="1"/>
        <v>2026</v>
      </c>
      <c r="F2173" s="15">
        <f t="shared" si="2"/>
        <v>1</v>
      </c>
      <c r="G2173" s="15">
        <f t="shared" si="3"/>
        <v>25</v>
      </c>
    </row>
    <row r="2174">
      <c r="A2174" s="10" t="s">
        <v>27</v>
      </c>
      <c r="B2174" s="9">
        <f t="shared" si="4"/>
        <v>46048</v>
      </c>
      <c r="C2174" s="77" t="s">
        <v>1569</v>
      </c>
      <c r="D2174" s="12">
        <f>D2173</f>
        <v>61942.299</v>
      </c>
      <c r="E2174" s="15">
        <f t="shared" si="1"/>
        <v>2026</v>
      </c>
      <c r="F2174" s="15">
        <f t="shared" si="2"/>
        <v>1</v>
      </c>
      <c r="G2174" s="15">
        <f t="shared" si="3"/>
        <v>26</v>
      </c>
    </row>
    <row r="2175">
      <c r="A2175" s="10" t="s">
        <v>27</v>
      </c>
      <c r="B2175" s="9">
        <f t="shared" si="4"/>
        <v>46048</v>
      </c>
      <c r="C2175" s="77" t="s">
        <v>1570</v>
      </c>
      <c r="D2175" s="13">
        <f>SUMIFS('Lançamentos de receitas'!$E:$E,'Lançamentos de receitas'!$A:$A,B2175,'Lançamentos de receitas'!$C:$C,A2175,'Lançamentos de receitas'!$F:$F,"TRANSFERÊNCIA")</f>
        <v>22124.44</v>
      </c>
      <c r="E2175" s="15">
        <f t="shared" si="1"/>
        <v>2026</v>
      </c>
      <c r="F2175" s="15">
        <f t="shared" si="2"/>
        <v>1</v>
      </c>
      <c r="G2175" s="15">
        <f t="shared" si="3"/>
        <v>26</v>
      </c>
    </row>
    <row r="2176">
      <c r="A2176" s="10" t="s">
        <v>27</v>
      </c>
      <c r="B2176" s="9">
        <f t="shared" si="4"/>
        <v>46048</v>
      </c>
      <c r="C2176" s="77" t="s">
        <v>1571</v>
      </c>
      <c r="D2176" s="13">
        <f>SUMIFS('Lançamentos de despesas'!$K:$K,'Lançamentos de despesas'!$C:$C,B2176,'Lançamentos de despesas'!$G:$G,A2176,'Lançamentos de despesas'!$E:$E,"pago")</f>
        <v>0</v>
      </c>
      <c r="E2176" s="15">
        <f t="shared" si="1"/>
        <v>2026</v>
      </c>
      <c r="F2176" s="15">
        <f t="shared" si="2"/>
        <v>1</v>
      </c>
      <c r="G2176" s="15">
        <f t="shared" si="3"/>
        <v>26</v>
      </c>
    </row>
    <row r="2177">
      <c r="A2177" s="10" t="s">
        <v>27</v>
      </c>
      <c r="B2177" s="9">
        <f t="shared" si="4"/>
        <v>46048</v>
      </c>
      <c r="C2177" s="77" t="s">
        <v>1572</v>
      </c>
      <c r="D2177" s="13">
        <f>D2174+D2175-D2176</f>
        <v>84066.739</v>
      </c>
      <c r="E2177" s="15">
        <f t="shared" si="1"/>
        <v>2026</v>
      </c>
      <c r="F2177" s="15">
        <f t="shared" si="2"/>
        <v>1</v>
      </c>
      <c r="G2177" s="15">
        <f t="shared" si="3"/>
        <v>26</v>
      </c>
    </row>
    <row r="2178">
      <c r="A2178" s="10" t="s">
        <v>27</v>
      </c>
      <c r="B2178" s="9">
        <f t="shared" si="4"/>
        <v>46049</v>
      </c>
      <c r="C2178" s="77" t="s">
        <v>1569</v>
      </c>
      <c r="D2178" s="12">
        <f>D2177</f>
        <v>84066.739</v>
      </c>
      <c r="E2178" s="15">
        <f t="shared" si="1"/>
        <v>2026</v>
      </c>
      <c r="F2178" s="15">
        <f t="shared" si="2"/>
        <v>1</v>
      </c>
      <c r="G2178" s="15">
        <f t="shared" si="3"/>
        <v>27</v>
      </c>
    </row>
    <row r="2179">
      <c r="A2179" s="10" t="s">
        <v>27</v>
      </c>
      <c r="B2179" s="9">
        <f t="shared" si="4"/>
        <v>46049</v>
      </c>
      <c r="C2179" s="77" t="s">
        <v>1570</v>
      </c>
      <c r="D2179" s="13">
        <f>SUMIFS('Lançamentos de receitas'!$E:$E,'Lançamentos de receitas'!$A:$A,B2179,'Lançamentos de receitas'!$C:$C,A2179,'Lançamentos de receitas'!$F:$F,"TRANSFERÊNCIA")</f>
        <v>42110.88</v>
      </c>
      <c r="E2179" s="15">
        <f t="shared" si="1"/>
        <v>2026</v>
      </c>
      <c r="F2179" s="15">
        <f t="shared" si="2"/>
        <v>1</v>
      </c>
      <c r="G2179" s="15">
        <f t="shared" si="3"/>
        <v>27</v>
      </c>
    </row>
    <row r="2180">
      <c r="A2180" s="10" t="s">
        <v>27</v>
      </c>
      <c r="B2180" s="9">
        <f t="shared" si="4"/>
        <v>46049</v>
      </c>
      <c r="C2180" s="77" t="s">
        <v>1571</v>
      </c>
      <c r="D2180" s="13">
        <f>SUMIFS('Lançamentos de despesas'!$K:$K,'Lançamentos de despesas'!$C:$C,B2180,'Lançamentos de despesas'!$G:$G,A2180,'Lançamentos de despesas'!$E:$E,"pago")</f>
        <v>12027.05</v>
      </c>
      <c r="E2180" s="15">
        <f t="shared" si="1"/>
        <v>2026</v>
      </c>
      <c r="F2180" s="15">
        <f t="shared" si="2"/>
        <v>1</v>
      </c>
      <c r="G2180" s="15">
        <f t="shared" si="3"/>
        <v>27</v>
      </c>
    </row>
    <row r="2181">
      <c r="A2181" s="10" t="s">
        <v>27</v>
      </c>
      <c r="B2181" s="9">
        <f t="shared" si="4"/>
        <v>46049</v>
      </c>
      <c r="C2181" s="77" t="s">
        <v>1572</v>
      </c>
      <c r="D2181" s="13">
        <f>D2178+D2179-D2180</f>
        <v>114150.569</v>
      </c>
      <c r="E2181" s="15">
        <f t="shared" si="1"/>
        <v>2026</v>
      </c>
      <c r="F2181" s="15">
        <f t="shared" si="2"/>
        <v>1</v>
      </c>
      <c r="G2181" s="15">
        <f t="shared" si="3"/>
        <v>27</v>
      </c>
    </row>
    <row r="2182">
      <c r="A2182" s="10" t="s">
        <v>27</v>
      </c>
      <c r="B2182" s="9">
        <f t="shared" si="4"/>
        <v>46050</v>
      </c>
      <c r="C2182" s="77" t="s">
        <v>1569</v>
      </c>
      <c r="D2182" s="12">
        <f>D2181</f>
        <v>114150.569</v>
      </c>
      <c r="E2182" s="15">
        <f t="shared" si="1"/>
        <v>2026</v>
      </c>
      <c r="F2182" s="15">
        <f t="shared" si="2"/>
        <v>1</v>
      </c>
      <c r="G2182" s="15">
        <f t="shared" si="3"/>
        <v>28</v>
      </c>
    </row>
    <row r="2183">
      <c r="A2183" s="10" t="s">
        <v>27</v>
      </c>
      <c r="B2183" s="9">
        <f t="shared" si="4"/>
        <v>46050</v>
      </c>
      <c r="C2183" s="77" t="s">
        <v>1570</v>
      </c>
      <c r="D2183" s="13">
        <f>SUMIFS('Lançamentos de receitas'!$E:$E,'Lançamentos de receitas'!$A:$A,B2183,'Lançamentos de receitas'!$C:$C,A2183,'Lançamentos de receitas'!$F:$F,"TRANSFERÊNCIA")</f>
        <v>5644.04</v>
      </c>
      <c r="E2183" s="15">
        <f t="shared" si="1"/>
        <v>2026</v>
      </c>
      <c r="F2183" s="15">
        <f t="shared" si="2"/>
        <v>1</v>
      </c>
      <c r="G2183" s="15">
        <f t="shared" si="3"/>
        <v>28</v>
      </c>
    </row>
    <row r="2184">
      <c r="A2184" s="10" t="s">
        <v>27</v>
      </c>
      <c r="B2184" s="9">
        <f t="shared" si="4"/>
        <v>46050</v>
      </c>
      <c r="C2184" s="77" t="s">
        <v>1571</v>
      </c>
      <c r="D2184" s="13">
        <f>SUMIFS('Lançamentos de despesas'!$K:$K,'Lançamentos de despesas'!$C:$C,B2184,'Lançamentos de despesas'!$G:$G,A2184,'Lançamentos de despesas'!$E:$E,"pago")</f>
        <v>0</v>
      </c>
      <c r="E2184" s="15">
        <f t="shared" si="1"/>
        <v>2026</v>
      </c>
      <c r="F2184" s="15">
        <f t="shared" si="2"/>
        <v>1</v>
      </c>
      <c r="G2184" s="15">
        <f t="shared" si="3"/>
        <v>28</v>
      </c>
    </row>
    <row r="2185">
      <c r="A2185" s="10" t="s">
        <v>27</v>
      </c>
      <c r="B2185" s="9">
        <f t="shared" si="4"/>
        <v>46050</v>
      </c>
      <c r="C2185" s="77" t="s">
        <v>1572</v>
      </c>
      <c r="D2185" s="13">
        <f>D2182+D2183-D2184</f>
        <v>119794.609</v>
      </c>
      <c r="E2185" s="15">
        <f t="shared" si="1"/>
        <v>2026</v>
      </c>
      <c r="F2185" s="15">
        <f t="shared" si="2"/>
        <v>1</v>
      </c>
      <c r="G2185" s="15">
        <f t="shared" si="3"/>
        <v>28</v>
      </c>
    </row>
    <row r="2186">
      <c r="A2186" s="10" t="s">
        <v>27</v>
      </c>
      <c r="B2186" s="9">
        <f t="shared" si="4"/>
        <v>46051</v>
      </c>
      <c r="C2186" s="77" t="s">
        <v>1569</v>
      </c>
      <c r="D2186" s="12">
        <f>D2185</f>
        <v>119794.609</v>
      </c>
      <c r="E2186" s="15">
        <f t="shared" si="1"/>
        <v>2026</v>
      </c>
      <c r="F2186" s="15">
        <f t="shared" si="2"/>
        <v>1</v>
      </c>
      <c r="G2186" s="15">
        <f t="shared" si="3"/>
        <v>29</v>
      </c>
    </row>
    <row r="2187">
      <c r="A2187" s="10" t="s">
        <v>27</v>
      </c>
      <c r="B2187" s="9">
        <f t="shared" si="4"/>
        <v>46051</v>
      </c>
      <c r="C2187" s="77" t="s">
        <v>1570</v>
      </c>
      <c r="D2187" s="13">
        <f>SUMIFS('Lançamentos de receitas'!$E:$E,'Lançamentos de receitas'!$A:$A,B2187,'Lançamentos de receitas'!$C:$C,A2187,'Lançamentos de receitas'!$F:$F,"TRANSFERÊNCIA")</f>
        <v>4686.11</v>
      </c>
      <c r="E2187" s="15">
        <f t="shared" si="1"/>
        <v>2026</v>
      </c>
      <c r="F2187" s="15">
        <f t="shared" si="2"/>
        <v>1</v>
      </c>
      <c r="G2187" s="15">
        <f t="shared" si="3"/>
        <v>29</v>
      </c>
    </row>
    <row r="2188">
      <c r="A2188" s="10" t="s">
        <v>27</v>
      </c>
      <c r="B2188" s="9">
        <f t="shared" si="4"/>
        <v>46051</v>
      </c>
      <c r="C2188" s="77" t="s">
        <v>1571</v>
      </c>
      <c r="D2188" s="13">
        <f>SUMIFS('Lançamentos de despesas'!$K:$K,'Lançamentos de despesas'!$C:$C,B2188,'Lançamentos de despesas'!$G:$G,A2188,'Lançamentos de despesas'!$E:$E,"pago")</f>
        <v>118330.81</v>
      </c>
      <c r="E2188" s="15">
        <f t="shared" si="1"/>
        <v>2026</v>
      </c>
      <c r="F2188" s="15">
        <f t="shared" si="2"/>
        <v>1</v>
      </c>
      <c r="G2188" s="15">
        <f t="shared" si="3"/>
        <v>29</v>
      </c>
    </row>
    <row r="2189">
      <c r="A2189" s="10" t="s">
        <v>27</v>
      </c>
      <c r="B2189" s="9">
        <f t="shared" si="4"/>
        <v>46051</v>
      </c>
      <c r="C2189" s="77" t="s">
        <v>1572</v>
      </c>
      <c r="D2189" s="13">
        <f>D2186+D2187-D2188</f>
        <v>6149.909</v>
      </c>
      <c r="E2189" s="15">
        <f t="shared" si="1"/>
        <v>2026</v>
      </c>
      <c r="F2189" s="15">
        <f t="shared" si="2"/>
        <v>1</v>
      </c>
      <c r="G2189" s="15">
        <f t="shared" si="3"/>
        <v>29</v>
      </c>
    </row>
    <row r="2190">
      <c r="A2190" s="10" t="s">
        <v>27</v>
      </c>
      <c r="B2190" s="9">
        <f t="shared" si="4"/>
        <v>46052</v>
      </c>
      <c r="C2190" s="77" t="s">
        <v>1569</v>
      </c>
      <c r="D2190" s="12">
        <f>D2189</f>
        <v>6149.909</v>
      </c>
      <c r="E2190" s="15">
        <f t="shared" si="1"/>
        <v>2026</v>
      </c>
      <c r="F2190" s="15">
        <f t="shared" si="2"/>
        <v>1</v>
      </c>
      <c r="G2190" s="15">
        <f t="shared" si="3"/>
        <v>30</v>
      </c>
    </row>
    <row r="2191">
      <c r="A2191" s="10" t="s">
        <v>27</v>
      </c>
      <c r="B2191" s="9">
        <f t="shared" si="4"/>
        <v>46052</v>
      </c>
      <c r="C2191" s="77" t="s">
        <v>1570</v>
      </c>
      <c r="D2191" s="13">
        <f>SUMIFS('Lançamentos de receitas'!$E:$E,'Lançamentos de receitas'!$A:$A,B2191,'Lançamentos de receitas'!$C:$C,A2191,'Lançamentos de receitas'!$F:$F,"TRANSFERÊNCIA")</f>
        <v>1575.53</v>
      </c>
      <c r="E2191" s="15">
        <f t="shared" si="1"/>
        <v>2026</v>
      </c>
      <c r="F2191" s="15">
        <f t="shared" si="2"/>
        <v>1</v>
      </c>
      <c r="G2191" s="15">
        <f t="shared" si="3"/>
        <v>30</v>
      </c>
    </row>
    <row r="2192">
      <c r="A2192" s="10" t="s">
        <v>27</v>
      </c>
      <c r="B2192" s="9">
        <f t="shared" si="4"/>
        <v>46052</v>
      </c>
      <c r="C2192" s="77" t="s">
        <v>1571</v>
      </c>
      <c r="D2192" s="13">
        <f>SUMIFS('Lançamentos de despesas'!$K:$K,'Lançamentos de despesas'!$C:$C,B2192,'Lançamentos de despesas'!$G:$G,A2192,'Lançamentos de despesas'!$E:$E,"pago")</f>
        <v>3827.1</v>
      </c>
      <c r="E2192" s="15">
        <f t="shared" si="1"/>
        <v>2026</v>
      </c>
      <c r="F2192" s="15">
        <f t="shared" si="2"/>
        <v>1</v>
      </c>
      <c r="G2192" s="15">
        <f t="shared" si="3"/>
        <v>30</v>
      </c>
    </row>
    <row r="2193">
      <c r="A2193" s="10" t="s">
        <v>27</v>
      </c>
      <c r="B2193" s="9">
        <f t="shared" si="4"/>
        <v>46052</v>
      </c>
      <c r="C2193" s="77" t="s">
        <v>1572</v>
      </c>
      <c r="D2193" s="13">
        <f>D2190+D2191-D2192</f>
        <v>3898.339</v>
      </c>
      <c r="E2193" s="15">
        <f t="shared" si="1"/>
        <v>2026</v>
      </c>
      <c r="F2193" s="15">
        <f t="shared" si="2"/>
        <v>1</v>
      </c>
      <c r="G2193" s="15">
        <f t="shared" si="3"/>
        <v>30</v>
      </c>
    </row>
    <row r="2194">
      <c r="A2194" s="10" t="s">
        <v>27</v>
      </c>
      <c r="B2194" s="9">
        <f t="shared" si="4"/>
        <v>46053</v>
      </c>
      <c r="C2194" s="77" t="s">
        <v>1569</v>
      </c>
      <c r="D2194" s="12">
        <f>D2193</f>
        <v>3898.339</v>
      </c>
      <c r="E2194" s="15">
        <f t="shared" si="1"/>
        <v>2026</v>
      </c>
      <c r="F2194" s="15">
        <f t="shared" si="2"/>
        <v>1</v>
      </c>
      <c r="G2194" s="15">
        <f t="shared" si="3"/>
        <v>31</v>
      </c>
    </row>
    <row r="2195">
      <c r="A2195" s="10" t="s">
        <v>27</v>
      </c>
      <c r="B2195" s="9">
        <f t="shared" si="4"/>
        <v>46053</v>
      </c>
      <c r="C2195" s="77" t="s">
        <v>1570</v>
      </c>
      <c r="D2195" s="13">
        <f>SUMIFS('Lançamentos de receitas'!$E:$E,'Lançamentos de receitas'!$A:$A,B2195,'Lançamentos de receitas'!$C:$C,A2195,'Lançamentos de receitas'!$F:$F,"TRANSFERÊNCIA")</f>
        <v>1721.86</v>
      </c>
      <c r="E2195" s="15">
        <f t="shared" si="1"/>
        <v>2026</v>
      </c>
      <c r="F2195" s="15">
        <f t="shared" si="2"/>
        <v>1</v>
      </c>
      <c r="G2195" s="15">
        <f t="shared" si="3"/>
        <v>31</v>
      </c>
    </row>
    <row r="2196">
      <c r="A2196" s="10" t="s">
        <v>27</v>
      </c>
      <c r="B2196" s="9">
        <f t="shared" si="4"/>
        <v>46053</v>
      </c>
      <c r="C2196" s="77" t="s">
        <v>1571</v>
      </c>
      <c r="D2196" s="13">
        <f>SUMIFS('Lançamentos de despesas'!$K:$K,'Lançamentos de despesas'!$C:$C,B2196,'Lançamentos de despesas'!$G:$G,A2196,'Lançamentos de despesas'!$E:$E,"pago")</f>
        <v>0</v>
      </c>
      <c r="E2196" s="15">
        <f t="shared" si="1"/>
        <v>2026</v>
      </c>
      <c r="F2196" s="15">
        <f t="shared" si="2"/>
        <v>1</v>
      </c>
      <c r="G2196" s="15">
        <f t="shared" si="3"/>
        <v>31</v>
      </c>
    </row>
    <row r="2197">
      <c r="A2197" s="10" t="s">
        <v>27</v>
      </c>
      <c r="B2197" s="9">
        <f t="shared" si="4"/>
        <v>46053</v>
      </c>
      <c r="C2197" s="77" t="s">
        <v>1572</v>
      </c>
      <c r="D2197" s="13">
        <f>D2194+D2195-D2196</f>
        <v>5620.199</v>
      </c>
      <c r="E2197" s="15">
        <f t="shared" si="1"/>
        <v>2026</v>
      </c>
      <c r="F2197" s="15">
        <f t="shared" si="2"/>
        <v>1</v>
      </c>
      <c r="G2197" s="15">
        <f t="shared" si="3"/>
        <v>31</v>
      </c>
    </row>
    <row r="2198">
      <c r="A2198" s="10" t="s">
        <v>27</v>
      </c>
      <c r="B2198" s="9">
        <f t="shared" si="4"/>
        <v>46054</v>
      </c>
      <c r="C2198" s="77" t="s">
        <v>1569</v>
      </c>
      <c r="D2198" s="12">
        <f>D2197</f>
        <v>5620.199</v>
      </c>
      <c r="E2198" s="15">
        <f t="shared" si="1"/>
        <v>2026</v>
      </c>
      <c r="F2198" s="15">
        <f t="shared" si="2"/>
        <v>2</v>
      </c>
      <c r="G2198" s="15">
        <f t="shared" si="3"/>
        <v>1</v>
      </c>
    </row>
    <row r="2199">
      <c r="A2199" s="10" t="s">
        <v>27</v>
      </c>
      <c r="B2199" s="9">
        <f t="shared" si="4"/>
        <v>46054</v>
      </c>
      <c r="C2199" s="77" t="s">
        <v>1570</v>
      </c>
      <c r="D2199" s="13">
        <f>SUMIFS('Lançamentos de receitas'!$E:$E,'Lançamentos de receitas'!$A:$A,B2199,'Lançamentos de receitas'!$C:$C,A2199,'Lançamentos de receitas'!$F:$F,"TRANSFERÊNCIA")</f>
        <v>2219.44</v>
      </c>
      <c r="E2199" s="15">
        <f t="shared" si="1"/>
        <v>2026</v>
      </c>
      <c r="F2199" s="15">
        <f t="shared" si="2"/>
        <v>2</v>
      </c>
      <c r="G2199" s="15">
        <f t="shared" si="3"/>
        <v>1</v>
      </c>
    </row>
    <row r="2200">
      <c r="A2200" s="10" t="s">
        <v>27</v>
      </c>
      <c r="B2200" s="9">
        <f t="shared" si="4"/>
        <v>46054</v>
      </c>
      <c r="C2200" s="77" t="s">
        <v>1571</v>
      </c>
      <c r="D2200" s="13">
        <f>SUMIFS('Lançamentos de despesas'!$K:$K,'Lançamentos de despesas'!$C:$C,B2200,'Lançamentos de despesas'!$G:$G,A2200,'Lançamentos de despesas'!$E:$E,"pago")</f>
        <v>0</v>
      </c>
      <c r="E2200" s="15">
        <f t="shared" si="1"/>
        <v>2026</v>
      </c>
      <c r="F2200" s="15">
        <f t="shared" si="2"/>
        <v>2</v>
      </c>
      <c r="G2200" s="15">
        <f t="shared" si="3"/>
        <v>1</v>
      </c>
    </row>
    <row r="2201">
      <c r="A2201" s="10" t="s">
        <v>27</v>
      </c>
      <c r="B2201" s="9">
        <f t="shared" si="4"/>
        <v>46054</v>
      </c>
      <c r="C2201" s="77" t="s">
        <v>1572</v>
      </c>
      <c r="D2201" s="13">
        <f>D2198+D2199-D2200</f>
        <v>7839.639</v>
      </c>
      <c r="E2201" s="15">
        <f t="shared" si="1"/>
        <v>2026</v>
      </c>
      <c r="F2201" s="15">
        <f t="shared" si="2"/>
        <v>2</v>
      </c>
      <c r="G2201" s="15">
        <f t="shared" si="3"/>
        <v>1</v>
      </c>
    </row>
    <row r="2202">
      <c r="A2202" s="10" t="s">
        <v>27</v>
      </c>
      <c r="B2202" s="9">
        <f t="shared" si="4"/>
        <v>46055</v>
      </c>
      <c r="C2202" s="77" t="s">
        <v>1569</v>
      </c>
      <c r="D2202" s="12">
        <f>D2201</f>
        <v>7839.639</v>
      </c>
      <c r="E2202" s="15">
        <f t="shared" si="1"/>
        <v>2026</v>
      </c>
      <c r="F2202" s="15">
        <f t="shared" si="2"/>
        <v>2</v>
      </c>
      <c r="G2202" s="15">
        <f t="shared" si="3"/>
        <v>2</v>
      </c>
    </row>
    <row r="2203">
      <c r="A2203" s="10" t="s">
        <v>27</v>
      </c>
      <c r="B2203" s="9">
        <f t="shared" si="4"/>
        <v>46055</v>
      </c>
      <c r="C2203" s="77" t="s">
        <v>1570</v>
      </c>
      <c r="D2203" s="13">
        <f>SUMIFS('Lançamentos de receitas'!$E:$E,'Lançamentos de receitas'!$A:$A,B2203,'Lançamentos de receitas'!$C:$C,A2203,'Lançamentos de receitas'!$F:$F,"TRANSFERÊNCIA")</f>
        <v>8224.96</v>
      </c>
      <c r="E2203" s="15">
        <f t="shared" si="1"/>
        <v>2026</v>
      </c>
      <c r="F2203" s="15">
        <f t="shared" si="2"/>
        <v>2</v>
      </c>
      <c r="G2203" s="15">
        <f t="shared" si="3"/>
        <v>2</v>
      </c>
    </row>
    <row r="2204">
      <c r="A2204" s="10" t="s">
        <v>27</v>
      </c>
      <c r="B2204" s="9">
        <f t="shared" si="4"/>
        <v>46055</v>
      </c>
      <c r="C2204" s="77" t="s">
        <v>1571</v>
      </c>
      <c r="D2204" s="13">
        <f>SUMIFS('Lançamentos de despesas'!$K:$K,'Lançamentos de despesas'!$C:$C,B2204,'Lançamentos de despesas'!$G:$G,A2204,'Lançamentos de despesas'!$E:$E,"pago")</f>
        <v>7808.41</v>
      </c>
      <c r="E2204" s="15">
        <f t="shared" si="1"/>
        <v>2026</v>
      </c>
      <c r="F2204" s="15">
        <f t="shared" si="2"/>
        <v>2</v>
      </c>
      <c r="G2204" s="15">
        <f t="shared" si="3"/>
        <v>2</v>
      </c>
    </row>
    <row r="2205">
      <c r="A2205" s="10" t="s">
        <v>27</v>
      </c>
      <c r="B2205" s="9">
        <f t="shared" si="4"/>
        <v>46055</v>
      </c>
      <c r="C2205" s="77" t="s">
        <v>1572</v>
      </c>
      <c r="D2205" s="13">
        <f>D2202+D2203-D2204</f>
        <v>8256.189</v>
      </c>
      <c r="E2205" s="15">
        <f t="shared" si="1"/>
        <v>2026</v>
      </c>
      <c r="F2205" s="15">
        <f t="shared" si="2"/>
        <v>2</v>
      </c>
      <c r="G2205" s="15">
        <f t="shared" si="3"/>
        <v>2</v>
      </c>
    </row>
    <row r="2206">
      <c r="A2206" s="10" t="s">
        <v>27</v>
      </c>
      <c r="B2206" s="9">
        <f t="shared" si="4"/>
        <v>46056</v>
      </c>
      <c r="C2206" s="77" t="s">
        <v>1569</v>
      </c>
      <c r="D2206" s="12">
        <f>D2205</f>
        <v>8256.189</v>
      </c>
      <c r="E2206" s="15">
        <f t="shared" si="1"/>
        <v>2026</v>
      </c>
      <c r="F2206" s="15">
        <f t="shared" si="2"/>
        <v>2</v>
      </c>
      <c r="G2206" s="15">
        <f t="shared" si="3"/>
        <v>3</v>
      </c>
    </row>
    <row r="2207">
      <c r="A2207" s="10" t="s">
        <v>27</v>
      </c>
      <c r="B2207" s="9">
        <f t="shared" si="4"/>
        <v>46056</v>
      </c>
      <c r="C2207" s="77" t="s">
        <v>1570</v>
      </c>
      <c r="D2207" s="13">
        <f>SUMIFS('Lançamentos de receitas'!$E:$E,'Lançamentos de receitas'!$A:$A,B2207,'Lançamentos de receitas'!$C:$C,A2207,'Lançamentos de receitas'!$F:$F,"TRANSFERÊNCIA")</f>
        <v>752.04</v>
      </c>
      <c r="E2207" s="15">
        <f t="shared" si="1"/>
        <v>2026</v>
      </c>
      <c r="F2207" s="15">
        <f t="shared" si="2"/>
        <v>2</v>
      </c>
      <c r="G2207" s="15">
        <f t="shared" si="3"/>
        <v>3</v>
      </c>
    </row>
    <row r="2208">
      <c r="A2208" s="10" t="s">
        <v>27</v>
      </c>
      <c r="B2208" s="9">
        <f t="shared" si="4"/>
        <v>46056</v>
      </c>
      <c r="C2208" s="77" t="s">
        <v>1571</v>
      </c>
      <c r="D2208" s="13">
        <f>SUMIFS('Lançamentos de despesas'!$K:$K,'Lançamentos de despesas'!$C:$C,B2208,'Lançamentos de despesas'!$G:$G,A2208,'Lançamentos de despesas'!$E:$E,"pago")</f>
        <v>3000.09</v>
      </c>
      <c r="E2208" s="15">
        <f t="shared" si="1"/>
        <v>2026</v>
      </c>
      <c r="F2208" s="15">
        <f t="shared" si="2"/>
        <v>2</v>
      </c>
      <c r="G2208" s="15">
        <f t="shared" si="3"/>
        <v>3</v>
      </c>
    </row>
    <row r="2209">
      <c r="A2209" s="10" t="s">
        <v>27</v>
      </c>
      <c r="B2209" s="9">
        <f t="shared" si="4"/>
        <v>46056</v>
      </c>
      <c r="C2209" s="77" t="s">
        <v>1572</v>
      </c>
      <c r="D2209" s="13">
        <f>D2206+D2207-D2208</f>
        <v>6008.139</v>
      </c>
      <c r="E2209" s="15">
        <f t="shared" si="1"/>
        <v>2026</v>
      </c>
      <c r="F2209" s="15">
        <f t="shared" si="2"/>
        <v>2</v>
      </c>
      <c r="G2209" s="15">
        <f t="shared" si="3"/>
        <v>3</v>
      </c>
    </row>
    <row r="2210">
      <c r="A2210" s="10" t="s">
        <v>27</v>
      </c>
      <c r="B2210" s="9">
        <f t="shared" si="4"/>
        <v>46057</v>
      </c>
      <c r="C2210" s="77" t="s">
        <v>1569</v>
      </c>
      <c r="D2210" s="12">
        <f>D2209</f>
        <v>6008.139</v>
      </c>
      <c r="E2210" s="15">
        <f t="shared" si="1"/>
        <v>2026</v>
      </c>
      <c r="F2210" s="15">
        <f t="shared" si="2"/>
        <v>2</v>
      </c>
      <c r="G2210" s="15">
        <f t="shared" si="3"/>
        <v>4</v>
      </c>
    </row>
    <row r="2211">
      <c r="A2211" s="10" t="s">
        <v>27</v>
      </c>
      <c r="B2211" s="9">
        <f t="shared" si="4"/>
        <v>46057</v>
      </c>
      <c r="C2211" s="77" t="s">
        <v>1570</v>
      </c>
      <c r="D2211" s="13">
        <f>SUMIFS('Lançamentos de receitas'!$E:$E,'Lançamentos de receitas'!$A:$A,B2211,'Lançamentos de receitas'!$C:$C,A2211,'Lançamentos de receitas'!$F:$F,"TRANSFERÊNCIA")</f>
        <v>1806.57</v>
      </c>
      <c r="E2211" s="15">
        <f t="shared" si="1"/>
        <v>2026</v>
      </c>
      <c r="F2211" s="15">
        <f t="shared" si="2"/>
        <v>2</v>
      </c>
      <c r="G2211" s="15">
        <f t="shared" si="3"/>
        <v>4</v>
      </c>
    </row>
    <row r="2212">
      <c r="A2212" s="10" t="s">
        <v>27</v>
      </c>
      <c r="B2212" s="9">
        <f t="shared" si="4"/>
        <v>46057</v>
      </c>
      <c r="C2212" s="77" t="s">
        <v>1571</v>
      </c>
      <c r="D2212" s="13">
        <f>SUMIFS('Lançamentos de despesas'!$K:$K,'Lançamentos de despesas'!$C:$C,B2212,'Lançamentos de despesas'!$G:$G,A2212,'Lançamentos de despesas'!$E:$E,"pago")</f>
        <v>0</v>
      </c>
      <c r="E2212" s="15">
        <f t="shared" si="1"/>
        <v>2026</v>
      </c>
      <c r="F2212" s="15">
        <f t="shared" si="2"/>
        <v>2</v>
      </c>
      <c r="G2212" s="15">
        <f t="shared" si="3"/>
        <v>4</v>
      </c>
    </row>
    <row r="2213">
      <c r="A2213" s="10" t="s">
        <v>27</v>
      </c>
      <c r="B2213" s="9">
        <f t="shared" si="4"/>
        <v>46057</v>
      </c>
      <c r="C2213" s="77" t="s">
        <v>1572</v>
      </c>
      <c r="D2213" s="13">
        <f>D2210+D2211-D2212</f>
        <v>7814.709</v>
      </c>
      <c r="E2213" s="15">
        <f t="shared" si="1"/>
        <v>2026</v>
      </c>
      <c r="F2213" s="15">
        <f t="shared" si="2"/>
        <v>2</v>
      </c>
      <c r="G2213" s="15">
        <f t="shared" si="3"/>
        <v>4</v>
      </c>
    </row>
    <row r="2214">
      <c r="A2214" s="10" t="s">
        <v>27</v>
      </c>
      <c r="B2214" s="9">
        <f t="shared" si="4"/>
        <v>46058</v>
      </c>
      <c r="C2214" s="77" t="s">
        <v>1569</v>
      </c>
      <c r="D2214" s="12">
        <f>D2213</f>
        <v>7814.709</v>
      </c>
      <c r="E2214" s="15">
        <f t="shared" si="1"/>
        <v>2026</v>
      </c>
      <c r="F2214" s="15">
        <f t="shared" si="2"/>
        <v>2</v>
      </c>
      <c r="G2214" s="15">
        <f t="shared" si="3"/>
        <v>5</v>
      </c>
    </row>
    <row r="2215">
      <c r="A2215" s="10" t="s">
        <v>27</v>
      </c>
      <c r="B2215" s="9">
        <f t="shared" si="4"/>
        <v>46058</v>
      </c>
      <c r="C2215" s="77" t="s">
        <v>1570</v>
      </c>
      <c r="D2215" s="13">
        <f>SUMIFS('Lançamentos de receitas'!$E:$E,'Lançamentos de receitas'!$A:$A,B2215,'Lançamentos de receitas'!$C:$C,A2215,'Lançamentos de receitas'!$F:$F,"TRANSFERÊNCIA")</f>
        <v>2358.27</v>
      </c>
      <c r="E2215" s="15">
        <f t="shared" si="1"/>
        <v>2026</v>
      </c>
      <c r="F2215" s="15">
        <f t="shared" si="2"/>
        <v>2</v>
      </c>
      <c r="G2215" s="15">
        <f t="shared" si="3"/>
        <v>5</v>
      </c>
    </row>
    <row r="2216">
      <c r="A2216" s="10" t="s">
        <v>27</v>
      </c>
      <c r="B2216" s="9">
        <f t="shared" si="4"/>
        <v>46058</v>
      </c>
      <c r="C2216" s="77" t="s">
        <v>1571</v>
      </c>
      <c r="D2216" s="13">
        <f>SUMIFS('Lançamentos de despesas'!$K:$K,'Lançamentos de despesas'!$C:$C,B2216,'Lançamentos de despesas'!$G:$G,A2216,'Lançamentos de despesas'!$E:$E,"pago")</f>
        <v>0</v>
      </c>
      <c r="E2216" s="15">
        <f t="shared" si="1"/>
        <v>2026</v>
      </c>
      <c r="F2216" s="15">
        <f t="shared" si="2"/>
        <v>2</v>
      </c>
      <c r="G2216" s="15">
        <f t="shared" si="3"/>
        <v>5</v>
      </c>
    </row>
    <row r="2217">
      <c r="A2217" s="10" t="s">
        <v>27</v>
      </c>
      <c r="B2217" s="9">
        <f t="shared" si="4"/>
        <v>46058</v>
      </c>
      <c r="C2217" s="77" t="s">
        <v>1572</v>
      </c>
      <c r="D2217" s="13">
        <f>D2214+D2215-D2216</f>
        <v>10172.979</v>
      </c>
      <c r="E2217" s="15">
        <f t="shared" si="1"/>
        <v>2026</v>
      </c>
      <c r="F2217" s="15">
        <f t="shared" si="2"/>
        <v>2</v>
      </c>
      <c r="G2217" s="15">
        <f t="shared" si="3"/>
        <v>5</v>
      </c>
    </row>
    <row r="2218">
      <c r="A2218" s="10" t="s">
        <v>27</v>
      </c>
      <c r="B2218" s="9">
        <f t="shared" si="4"/>
        <v>46059</v>
      </c>
      <c r="C2218" s="77" t="s">
        <v>1569</v>
      </c>
      <c r="D2218" s="12">
        <f>D2217</f>
        <v>10172.979</v>
      </c>
      <c r="E2218" s="15">
        <f t="shared" si="1"/>
        <v>2026</v>
      </c>
      <c r="F2218" s="15">
        <f t="shared" si="2"/>
        <v>2</v>
      </c>
      <c r="G2218" s="15">
        <f t="shared" si="3"/>
        <v>6</v>
      </c>
    </row>
    <row r="2219">
      <c r="A2219" s="10" t="s">
        <v>27</v>
      </c>
      <c r="B2219" s="9">
        <f t="shared" si="4"/>
        <v>46059</v>
      </c>
      <c r="C2219" s="77" t="s">
        <v>1570</v>
      </c>
      <c r="D2219" s="13">
        <f>SUMIFS('Lançamentos de receitas'!$E:$E,'Lançamentos de receitas'!$A:$A,B2219,'Lançamentos de receitas'!$C:$C,A2219,'Lançamentos de receitas'!$F:$F,"TRANSFERÊNCIA")</f>
        <v>6198.28</v>
      </c>
      <c r="E2219" s="15">
        <f t="shared" si="1"/>
        <v>2026</v>
      </c>
      <c r="F2219" s="15">
        <f t="shared" si="2"/>
        <v>2</v>
      </c>
      <c r="G2219" s="15">
        <f t="shared" si="3"/>
        <v>6</v>
      </c>
    </row>
    <row r="2220">
      <c r="A2220" s="10" t="s">
        <v>27</v>
      </c>
      <c r="B2220" s="9">
        <f t="shared" si="4"/>
        <v>46059</v>
      </c>
      <c r="C2220" s="77" t="s">
        <v>1571</v>
      </c>
      <c r="D2220" s="13">
        <f>SUMIFS('Lançamentos de despesas'!$K:$K,'Lançamentos de despesas'!$C:$C,B2220,'Lançamentos de despesas'!$G:$G,A2220,'Lançamentos de despesas'!$E:$E,"pago")</f>
        <v>0</v>
      </c>
      <c r="E2220" s="15">
        <f t="shared" si="1"/>
        <v>2026</v>
      </c>
      <c r="F2220" s="15">
        <f t="shared" si="2"/>
        <v>2</v>
      </c>
      <c r="G2220" s="15">
        <f t="shared" si="3"/>
        <v>6</v>
      </c>
    </row>
    <row r="2221">
      <c r="A2221" s="10" t="s">
        <v>27</v>
      </c>
      <c r="B2221" s="9">
        <f t="shared" si="4"/>
        <v>46059</v>
      </c>
      <c r="C2221" s="77" t="s">
        <v>1572</v>
      </c>
      <c r="D2221" s="13">
        <f>D2218+D2219-D2220</f>
        <v>16371.259</v>
      </c>
      <c r="E2221" s="15">
        <f t="shared" si="1"/>
        <v>2026</v>
      </c>
      <c r="F2221" s="15">
        <f t="shared" si="2"/>
        <v>2</v>
      </c>
      <c r="G2221" s="15">
        <f t="shared" si="3"/>
        <v>6</v>
      </c>
    </row>
    <row r="2222">
      <c r="A2222" s="10" t="s">
        <v>27</v>
      </c>
      <c r="B2222" s="9">
        <f t="shared" si="4"/>
        <v>46060</v>
      </c>
      <c r="C2222" s="77" t="s">
        <v>1569</v>
      </c>
      <c r="D2222" s="12">
        <f>D2221</f>
        <v>16371.259</v>
      </c>
      <c r="E2222" s="15">
        <f t="shared" si="1"/>
        <v>2026</v>
      </c>
      <c r="F2222" s="15">
        <f t="shared" si="2"/>
        <v>2</v>
      </c>
      <c r="G2222" s="15">
        <f t="shared" si="3"/>
        <v>7</v>
      </c>
    </row>
    <row r="2223">
      <c r="A2223" s="10" t="s">
        <v>27</v>
      </c>
      <c r="B2223" s="9">
        <f t="shared" si="4"/>
        <v>46060</v>
      </c>
      <c r="C2223" s="77" t="s">
        <v>1570</v>
      </c>
      <c r="D2223" s="13">
        <f>SUMIFS('Lançamentos de receitas'!$E:$E,'Lançamentos de receitas'!$A:$A,B2223,'Lançamentos de receitas'!$C:$C,A2223,'Lançamentos de receitas'!$F:$F,"TRANSFERÊNCIA")</f>
        <v>2389.28</v>
      </c>
      <c r="E2223" s="15">
        <f t="shared" si="1"/>
        <v>2026</v>
      </c>
      <c r="F2223" s="15">
        <f t="shared" si="2"/>
        <v>2</v>
      </c>
      <c r="G2223" s="15">
        <f t="shared" si="3"/>
        <v>7</v>
      </c>
    </row>
    <row r="2224">
      <c r="A2224" s="10" t="s">
        <v>27</v>
      </c>
      <c r="B2224" s="9">
        <f t="shared" si="4"/>
        <v>46060</v>
      </c>
      <c r="C2224" s="77" t="s">
        <v>1571</v>
      </c>
      <c r="D2224" s="13">
        <f>SUMIFS('Lançamentos de despesas'!$K:$K,'Lançamentos de despesas'!$C:$C,B2224,'Lançamentos de despesas'!$G:$G,A2224,'Lançamentos de despesas'!$E:$E,"pago")</f>
        <v>0</v>
      </c>
      <c r="E2224" s="15">
        <f t="shared" si="1"/>
        <v>2026</v>
      </c>
      <c r="F2224" s="15">
        <f t="shared" si="2"/>
        <v>2</v>
      </c>
      <c r="G2224" s="15">
        <f t="shared" si="3"/>
        <v>7</v>
      </c>
    </row>
    <row r="2225">
      <c r="A2225" s="10" t="s">
        <v>27</v>
      </c>
      <c r="B2225" s="9">
        <f t="shared" si="4"/>
        <v>46060</v>
      </c>
      <c r="C2225" s="77" t="s">
        <v>1572</v>
      </c>
      <c r="D2225" s="13">
        <f>D2222+D2223-D2224</f>
        <v>18760.539</v>
      </c>
      <c r="E2225" s="15">
        <f t="shared" si="1"/>
        <v>2026</v>
      </c>
      <c r="F2225" s="15">
        <f t="shared" si="2"/>
        <v>2</v>
      </c>
      <c r="G2225" s="15">
        <f t="shared" si="3"/>
        <v>7</v>
      </c>
    </row>
    <row r="2226">
      <c r="A2226" s="10" t="s">
        <v>27</v>
      </c>
      <c r="B2226" s="9">
        <f t="shared" si="4"/>
        <v>46061</v>
      </c>
      <c r="C2226" s="77" t="s">
        <v>1569</v>
      </c>
      <c r="D2226" s="12">
        <f>D2225</f>
        <v>18760.539</v>
      </c>
      <c r="E2226" s="15">
        <f t="shared" si="1"/>
        <v>2026</v>
      </c>
      <c r="F2226" s="15">
        <f t="shared" si="2"/>
        <v>2</v>
      </c>
      <c r="G2226" s="15">
        <f t="shared" si="3"/>
        <v>8</v>
      </c>
    </row>
    <row r="2227">
      <c r="A2227" s="10" t="s">
        <v>27</v>
      </c>
      <c r="B2227" s="9">
        <f t="shared" si="4"/>
        <v>46061</v>
      </c>
      <c r="C2227" s="77" t="s">
        <v>1570</v>
      </c>
      <c r="D2227" s="13">
        <f>SUMIFS('Lançamentos de receitas'!$E:$E,'Lançamentos de receitas'!$A:$A,B2227,'Lançamentos de receitas'!$C:$C,A2227,'Lançamentos de receitas'!$F:$F,"TRANSFERÊNCIA")</f>
        <v>670.27</v>
      </c>
      <c r="E2227" s="15">
        <f t="shared" si="1"/>
        <v>2026</v>
      </c>
      <c r="F2227" s="15">
        <f t="shared" si="2"/>
        <v>2</v>
      </c>
      <c r="G2227" s="15">
        <f t="shared" si="3"/>
        <v>8</v>
      </c>
    </row>
    <row r="2228">
      <c r="A2228" s="10" t="s">
        <v>27</v>
      </c>
      <c r="B2228" s="9">
        <f t="shared" si="4"/>
        <v>46061</v>
      </c>
      <c r="C2228" s="77" t="s">
        <v>1571</v>
      </c>
      <c r="D2228" s="13">
        <f>SUMIFS('Lançamentos de despesas'!$K:$K,'Lançamentos de despesas'!$C:$C,B2228,'Lançamentos de despesas'!$G:$G,A2228,'Lançamentos de despesas'!$E:$E,"pago")</f>
        <v>0</v>
      </c>
      <c r="E2228" s="15">
        <f t="shared" si="1"/>
        <v>2026</v>
      </c>
      <c r="F2228" s="15">
        <f t="shared" si="2"/>
        <v>2</v>
      </c>
      <c r="G2228" s="15">
        <f t="shared" si="3"/>
        <v>8</v>
      </c>
    </row>
    <row r="2229">
      <c r="A2229" s="10" t="s">
        <v>27</v>
      </c>
      <c r="B2229" s="9">
        <f t="shared" si="4"/>
        <v>46061</v>
      </c>
      <c r="C2229" s="77" t="s">
        <v>1572</v>
      </c>
      <c r="D2229" s="13">
        <f>D2226+D2227-D2228</f>
        <v>19430.809</v>
      </c>
      <c r="E2229" s="15">
        <f t="shared" si="1"/>
        <v>2026</v>
      </c>
      <c r="F2229" s="15">
        <f t="shared" si="2"/>
        <v>2</v>
      </c>
      <c r="G2229" s="15">
        <f t="shared" si="3"/>
        <v>8</v>
      </c>
    </row>
    <row r="2230">
      <c r="A2230" s="10" t="s">
        <v>27</v>
      </c>
      <c r="B2230" s="9">
        <f t="shared" si="4"/>
        <v>46062</v>
      </c>
      <c r="C2230" s="77" t="s">
        <v>1569</v>
      </c>
      <c r="D2230" s="12">
        <f>D2229</f>
        <v>19430.809</v>
      </c>
      <c r="E2230" s="15">
        <f t="shared" si="1"/>
        <v>2026</v>
      </c>
      <c r="F2230" s="15">
        <f t="shared" si="2"/>
        <v>2</v>
      </c>
      <c r="G2230" s="15">
        <f t="shared" si="3"/>
        <v>9</v>
      </c>
    </row>
    <row r="2231">
      <c r="A2231" s="10" t="s">
        <v>27</v>
      </c>
      <c r="B2231" s="9">
        <f t="shared" si="4"/>
        <v>46062</v>
      </c>
      <c r="C2231" s="77" t="s">
        <v>1570</v>
      </c>
      <c r="D2231" s="13">
        <f>SUMIFS('Lançamentos de receitas'!$E:$E,'Lançamentos de receitas'!$A:$A,B2231,'Lançamentos de receitas'!$C:$C,A2231,'Lançamentos de receitas'!$F:$F,"TRANSFERÊNCIA")</f>
        <v>7373.67</v>
      </c>
      <c r="E2231" s="15">
        <f t="shared" si="1"/>
        <v>2026</v>
      </c>
      <c r="F2231" s="15">
        <f t="shared" si="2"/>
        <v>2</v>
      </c>
      <c r="G2231" s="15">
        <f t="shared" si="3"/>
        <v>9</v>
      </c>
    </row>
    <row r="2232">
      <c r="A2232" s="10" t="s">
        <v>27</v>
      </c>
      <c r="B2232" s="9">
        <f t="shared" si="4"/>
        <v>46062</v>
      </c>
      <c r="C2232" s="77" t="s">
        <v>1571</v>
      </c>
      <c r="D2232" s="13">
        <f>SUMIFS('Lançamentos de despesas'!$K:$K,'Lançamentos de despesas'!$C:$C,B2232,'Lançamentos de despesas'!$G:$G,A2232,'Lançamentos de despesas'!$E:$E,"pago")</f>
        <v>0</v>
      </c>
      <c r="E2232" s="15">
        <f t="shared" si="1"/>
        <v>2026</v>
      </c>
      <c r="F2232" s="15">
        <f t="shared" si="2"/>
        <v>2</v>
      </c>
      <c r="G2232" s="15">
        <f t="shared" si="3"/>
        <v>9</v>
      </c>
    </row>
    <row r="2233">
      <c r="A2233" s="10" t="s">
        <v>27</v>
      </c>
      <c r="B2233" s="9">
        <f t="shared" si="4"/>
        <v>46062</v>
      </c>
      <c r="C2233" s="77" t="s">
        <v>1572</v>
      </c>
      <c r="D2233" s="13">
        <f>D2230+D2231-D2232</f>
        <v>26804.479</v>
      </c>
      <c r="E2233" s="15">
        <f t="shared" si="1"/>
        <v>2026</v>
      </c>
      <c r="F2233" s="15">
        <f t="shared" si="2"/>
        <v>2</v>
      </c>
      <c r="G2233" s="15">
        <f t="shared" si="3"/>
        <v>9</v>
      </c>
    </row>
    <row r="2234">
      <c r="A2234" s="10" t="s">
        <v>27</v>
      </c>
      <c r="B2234" s="9">
        <f t="shared" si="4"/>
        <v>46063</v>
      </c>
      <c r="C2234" s="77" t="s">
        <v>1569</v>
      </c>
      <c r="D2234" s="12">
        <f>D2233</f>
        <v>26804.479</v>
      </c>
      <c r="E2234" s="15">
        <f t="shared" si="1"/>
        <v>2026</v>
      </c>
      <c r="F2234" s="15">
        <f t="shared" si="2"/>
        <v>2</v>
      </c>
      <c r="G2234" s="15">
        <f t="shared" si="3"/>
        <v>10</v>
      </c>
    </row>
    <row r="2235">
      <c r="A2235" s="10" t="s">
        <v>27</v>
      </c>
      <c r="B2235" s="9">
        <f t="shared" si="4"/>
        <v>46063</v>
      </c>
      <c r="C2235" s="77" t="s">
        <v>1570</v>
      </c>
      <c r="D2235" s="13">
        <f>SUMIFS('Lançamentos de receitas'!$E:$E,'Lançamentos de receitas'!$A:$A,B2235,'Lançamentos de receitas'!$C:$C,A2235,'Lançamentos de receitas'!$F:$F,"TRANSFERÊNCIA")</f>
        <v>0</v>
      </c>
      <c r="E2235" s="15">
        <f t="shared" si="1"/>
        <v>2026</v>
      </c>
      <c r="F2235" s="15">
        <f t="shared" si="2"/>
        <v>2</v>
      </c>
      <c r="G2235" s="15">
        <f t="shared" si="3"/>
        <v>10</v>
      </c>
    </row>
    <row r="2236">
      <c r="A2236" s="10" t="s">
        <v>27</v>
      </c>
      <c r="B2236" s="9">
        <f t="shared" si="4"/>
        <v>46063</v>
      </c>
      <c r="C2236" s="77" t="s">
        <v>1571</v>
      </c>
      <c r="D2236" s="13">
        <f>SUMIFS('Lançamentos de despesas'!$K:$K,'Lançamentos de despesas'!$C:$C,B2236,'Lançamentos de despesas'!$G:$G,A2236,'Lançamentos de despesas'!$E:$E,"pago")</f>
        <v>502.8</v>
      </c>
      <c r="E2236" s="15">
        <f t="shared" si="1"/>
        <v>2026</v>
      </c>
      <c r="F2236" s="15">
        <f t="shared" si="2"/>
        <v>2</v>
      </c>
      <c r="G2236" s="15">
        <f t="shared" si="3"/>
        <v>10</v>
      </c>
    </row>
    <row r="2237">
      <c r="A2237" s="10" t="s">
        <v>27</v>
      </c>
      <c r="B2237" s="9">
        <f t="shared" si="4"/>
        <v>46063</v>
      </c>
      <c r="C2237" s="77" t="s">
        <v>1572</v>
      </c>
      <c r="D2237" s="13">
        <f>D2234+D2235-D2236</f>
        <v>26301.679</v>
      </c>
      <c r="E2237" s="15">
        <f t="shared" si="1"/>
        <v>2026</v>
      </c>
      <c r="F2237" s="15">
        <f t="shared" si="2"/>
        <v>2</v>
      </c>
      <c r="G2237" s="15">
        <f t="shared" si="3"/>
        <v>10</v>
      </c>
    </row>
    <row r="2238">
      <c r="A2238" s="10" t="s">
        <v>27</v>
      </c>
      <c r="B2238" s="9">
        <f t="shared" si="4"/>
        <v>46064</v>
      </c>
      <c r="C2238" s="77" t="s">
        <v>1569</v>
      </c>
      <c r="D2238" s="12">
        <f>D2237</f>
        <v>26301.679</v>
      </c>
      <c r="E2238" s="15">
        <f t="shared" si="1"/>
        <v>2026</v>
      </c>
      <c r="F2238" s="15">
        <f t="shared" si="2"/>
        <v>2</v>
      </c>
      <c r="G2238" s="15">
        <f t="shared" si="3"/>
        <v>11</v>
      </c>
    </row>
    <row r="2239">
      <c r="A2239" s="10" t="s">
        <v>27</v>
      </c>
      <c r="B2239" s="9">
        <f t="shared" si="4"/>
        <v>46064</v>
      </c>
      <c r="C2239" s="77" t="s">
        <v>1570</v>
      </c>
      <c r="D2239" s="13">
        <f>SUMIFS('Lançamentos de receitas'!$E:$E,'Lançamentos de receitas'!$A:$A,B2239,'Lançamentos de receitas'!$C:$C,A2239,'Lançamentos de receitas'!$F:$F,"TRANSFERÊNCIA")</f>
        <v>0</v>
      </c>
      <c r="E2239" s="15">
        <f t="shared" si="1"/>
        <v>2026</v>
      </c>
      <c r="F2239" s="15">
        <f t="shared" si="2"/>
        <v>2</v>
      </c>
      <c r="G2239" s="15">
        <f t="shared" si="3"/>
        <v>11</v>
      </c>
    </row>
    <row r="2240">
      <c r="A2240" s="10" t="s">
        <v>27</v>
      </c>
      <c r="B2240" s="9">
        <f t="shared" si="4"/>
        <v>46064</v>
      </c>
      <c r="C2240" s="77" t="s">
        <v>1571</v>
      </c>
      <c r="D2240" s="13">
        <f>SUMIFS('Lançamentos de despesas'!$K:$K,'Lançamentos de despesas'!$C:$C,B2240,'Lançamentos de despesas'!$G:$G,A2240,'Lançamentos de despesas'!$E:$E,"pago")</f>
        <v>0</v>
      </c>
      <c r="E2240" s="15">
        <f t="shared" si="1"/>
        <v>2026</v>
      </c>
      <c r="F2240" s="15">
        <f t="shared" si="2"/>
        <v>2</v>
      </c>
      <c r="G2240" s="15">
        <f t="shared" si="3"/>
        <v>11</v>
      </c>
    </row>
    <row r="2241">
      <c r="A2241" s="10" t="s">
        <v>27</v>
      </c>
      <c r="B2241" s="9">
        <f t="shared" si="4"/>
        <v>46064</v>
      </c>
      <c r="C2241" s="77" t="s">
        <v>1572</v>
      </c>
      <c r="D2241" s="13">
        <f>D2238+D2239-D2240</f>
        <v>26301.679</v>
      </c>
      <c r="E2241" s="15">
        <f t="shared" si="1"/>
        <v>2026</v>
      </c>
      <c r="F2241" s="15">
        <f t="shared" si="2"/>
        <v>2</v>
      </c>
      <c r="G2241" s="15">
        <f t="shared" si="3"/>
        <v>11</v>
      </c>
    </row>
    <row r="2242">
      <c r="A2242" s="10" t="s">
        <v>27</v>
      </c>
      <c r="B2242" s="9">
        <f t="shared" si="4"/>
        <v>46065</v>
      </c>
      <c r="C2242" s="77" t="s">
        <v>1569</v>
      </c>
      <c r="D2242" s="12">
        <f>D2241</f>
        <v>26301.679</v>
      </c>
      <c r="E2242" s="15">
        <f t="shared" si="1"/>
        <v>2026</v>
      </c>
      <c r="F2242" s="15">
        <f t="shared" si="2"/>
        <v>2</v>
      </c>
      <c r="G2242" s="15">
        <f t="shared" si="3"/>
        <v>12</v>
      </c>
    </row>
    <row r="2243">
      <c r="A2243" s="10" t="s">
        <v>27</v>
      </c>
      <c r="B2243" s="9">
        <f t="shared" si="4"/>
        <v>46065</v>
      </c>
      <c r="C2243" s="77" t="s">
        <v>1570</v>
      </c>
      <c r="D2243" s="13">
        <f>SUMIFS('Lançamentos de receitas'!$E:$E,'Lançamentos de receitas'!$A:$A,B2243,'Lançamentos de receitas'!$C:$C,A2243,'Lançamentos de receitas'!$F:$F,"TRANSFERÊNCIA")</f>
        <v>0</v>
      </c>
      <c r="E2243" s="15">
        <f t="shared" si="1"/>
        <v>2026</v>
      </c>
      <c r="F2243" s="15">
        <f t="shared" si="2"/>
        <v>2</v>
      </c>
      <c r="G2243" s="15">
        <f t="shared" si="3"/>
        <v>12</v>
      </c>
    </row>
    <row r="2244">
      <c r="A2244" s="10" t="s">
        <v>27</v>
      </c>
      <c r="B2244" s="9">
        <f t="shared" si="4"/>
        <v>46065</v>
      </c>
      <c r="C2244" s="77" t="s">
        <v>1571</v>
      </c>
      <c r="D2244" s="13">
        <f>SUMIFS('Lançamentos de despesas'!$K:$K,'Lançamentos de despesas'!$C:$C,B2244,'Lançamentos de despesas'!$G:$G,A2244,'Lançamentos de despesas'!$E:$E,"pago")</f>
        <v>0</v>
      </c>
      <c r="E2244" s="15">
        <f t="shared" si="1"/>
        <v>2026</v>
      </c>
      <c r="F2244" s="15">
        <f t="shared" si="2"/>
        <v>2</v>
      </c>
      <c r="G2244" s="15">
        <f t="shared" si="3"/>
        <v>12</v>
      </c>
    </row>
    <row r="2245">
      <c r="A2245" s="10" t="s">
        <v>27</v>
      </c>
      <c r="B2245" s="9">
        <f t="shared" si="4"/>
        <v>46065</v>
      </c>
      <c r="C2245" s="77" t="s">
        <v>1572</v>
      </c>
      <c r="D2245" s="13">
        <f>D2242+D2243-D2244</f>
        <v>26301.679</v>
      </c>
      <c r="E2245" s="15">
        <f t="shared" si="1"/>
        <v>2026</v>
      </c>
      <c r="F2245" s="15">
        <f t="shared" si="2"/>
        <v>2</v>
      </c>
      <c r="G2245" s="15">
        <f t="shared" si="3"/>
        <v>12</v>
      </c>
    </row>
    <row r="2246">
      <c r="A2246" s="10" t="s">
        <v>27</v>
      </c>
      <c r="B2246" s="9">
        <f t="shared" si="4"/>
        <v>46066</v>
      </c>
      <c r="C2246" s="77" t="s">
        <v>1569</v>
      </c>
      <c r="D2246" s="12">
        <f>D2245</f>
        <v>26301.679</v>
      </c>
      <c r="E2246" s="15">
        <f t="shared" si="1"/>
        <v>2026</v>
      </c>
      <c r="F2246" s="15">
        <f t="shared" si="2"/>
        <v>2</v>
      </c>
      <c r="G2246" s="15">
        <f t="shared" si="3"/>
        <v>13</v>
      </c>
    </row>
    <row r="2247">
      <c r="A2247" s="10" t="s">
        <v>27</v>
      </c>
      <c r="B2247" s="9">
        <f t="shared" si="4"/>
        <v>46066</v>
      </c>
      <c r="C2247" s="77" t="s">
        <v>1570</v>
      </c>
      <c r="D2247" s="13">
        <f>SUMIFS('Lançamentos de receitas'!$E:$E,'Lançamentos de receitas'!$A:$A,B2247,'Lançamentos de receitas'!$C:$C,A2247,'Lançamentos de receitas'!$F:$F,"TRANSFERÊNCIA")</f>
        <v>0</v>
      </c>
      <c r="E2247" s="15">
        <f t="shared" si="1"/>
        <v>2026</v>
      </c>
      <c r="F2247" s="15">
        <f t="shared" si="2"/>
        <v>2</v>
      </c>
      <c r="G2247" s="15">
        <f t="shared" si="3"/>
        <v>13</v>
      </c>
    </row>
    <row r="2248">
      <c r="A2248" s="10" t="s">
        <v>27</v>
      </c>
      <c r="B2248" s="9">
        <f t="shared" si="4"/>
        <v>46066</v>
      </c>
      <c r="C2248" s="77" t="s">
        <v>1571</v>
      </c>
      <c r="D2248" s="13">
        <f>SUMIFS('Lançamentos de despesas'!$K:$K,'Lançamentos de despesas'!$C:$C,B2248,'Lançamentos de despesas'!$G:$G,A2248,'Lançamentos de despesas'!$E:$E,"pago")</f>
        <v>826.8</v>
      </c>
      <c r="E2248" s="15">
        <f t="shared" si="1"/>
        <v>2026</v>
      </c>
      <c r="F2248" s="15">
        <f t="shared" si="2"/>
        <v>2</v>
      </c>
      <c r="G2248" s="15">
        <f t="shared" si="3"/>
        <v>13</v>
      </c>
    </row>
    <row r="2249">
      <c r="A2249" s="10" t="s">
        <v>27</v>
      </c>
      <c r="B2249" s="9">
        <f t="shared" si="4"/>
        <v>46066</v>
      </c>
      <c r="C2249" s="77" t="s">
        <v>1572</v>
      </c>
      <c r="D2249" s="13">
        <f>D2246+D2247-D2248</f>
        <v>25474.879</v>
      </c>
      <c r="E2249" s="15">
        <f t="shared" si="1"/>
        <v>2026</v>
      </c>
      <c r="F2249" s="15">
        <f t="shared" si="2"/>
        <v>2</v>
      </c>
      <c r="G2249" s="15">
        <f t="shared" si="3"/>
        <v>13</v>
      </c>
    </row>
    <row r="2250">
      <c r="A2250" s="10" t="s">
        <v>27</v>
      </c>
      <c r="B2250" s="9">
        <f t="shared" si="4"/>
        <v>46067</v>
      </c>
      <c r="C2250" s="77" t="s">
        <v>1569</v>
      </c>
      <c r="D2250" s="12">
        <f>D2249</f>
        <v>25474.879</v>
      </c>
      <c r="E2250" s="15">
        <f t="shared" si="1"/>
        <v>2026</v>
      </c>
      <c r="F2250" s="15">
        <f t="shared" si="2"/>
        <v>2</v>
      </c>
      <c r="G2250" s="15">
        <f t="shared" si="3"/>
        <v>14</v>
      </c>
    </row>
    <row r="2251">
      <c r="A2251" s="10" t="s">
        <v>27</v>
      </c>
      <c r="B2251" s="9">
        <f t="shared" si="4"/>
        <v>46067</v>
      </c>
      <c r="C2251" s="77" t="s">
        <v>1570</v>
      </c>
      <c r="D2251" s="13">
        <f>SUMIFS('Lançamentos de receitas'!$E:$E,'Lançamentos de receitas'!$A:$A,B2251,'Lançamentos de receitas'!$C:$C,A2251,'Lançamentos de receitas'!$F:$F,"TRANSFERÊNCIA")</f>
        <v>0</v>
      </c>
      <c r="E2251" s="15">
        <f t="shared" si="1"/>
        <v>2026</v>
      </c>
      <c r="F2251" s="15">
        <f t="shared" si="2"/>
        <v>2</v>
      </c>
      <c r="G2251" s="15">
        <f t="shared" si="3"/>
        <v>14</v>
      </c>
    </row>
    <row r="2252">
      <c r="A2252" s="10" t="s">
        <v>27</v>
      </c>
      <c r="B2252" s="9">
        <f t="shared" si="4"/>
        <v>46067</v>
      </c>
      <c r="C2252" s="77" t="s">
        <v>1571</v>
      </c>
      <c r="D2252" s="13">
        <f>SUMIFS('Lançamentos de despesas'!$K:$K,'Lançamentos de despesas'!$C:$C,B2252,'Lançamentos de despesas'!$G:$G,A2252,'Lançamentos de despesas'!$E:$E,"pago")</f>
        <v>0</v>
      </c>
      <c r="E2252" s="15">
        <f t="shared" si="1"/>
        <v>2026</v>
      </c>
      <c r="F2252" s="15">
        <f t="shared" si="2"/>
        <v>2</v>
      </c>
      <c r="G2252" s="15">
        <f t="shared" si="3"/>
        <v>14</v>
      </c>
    </row>
    <row r="2253">
      <c r="A2253" s="10" t="s">
        <v>27</v>
      </c>
      <c r="B2253" s="9">
        <f t="shared" si="4"/>
        <v>46067</v>
      </c>
      <c r="C2253" s="77" t="s">
        <v>1572</v>
      </c>
      <c r="D2253" s="13">
        <f>D2250+D2251-D2252</f>
        <v>25474.879</v>
      </c>
      <c r="E2253" s="15">
        <f t="shared" si="1"/>
        <v>2026</v>
      </c>
      <c r="F2253" s="15">
        <f t="shared" si="2"/>
        <v>2</v>
      </c>
      <c r="G2253" s="15">
        <f t="shared" si="3"/>
        <v>14</v>
      </c>
    </row>
    <row r="2254">
      <c r="A2254" s="10" t="s">
        <v>27</v>
      </c>
      <c r="B2254" s="9">
        <f t="shared" si="4"/>
        <v>46068</v>
      </c>
      <c r="C2254" s="77" t="s">
        <v>1569</v>
      </c>
      <c r="D2254" s="12">
        <f>D2253</f>
        <v>25474.879</v>
      </c>
      <c r="E2254" s="15">
        <f t="shared" si="1"/>
        <v>2026</v>
      </c>
      <c r="F2254" s="15">
        <f t="shared" si="2"/>
        <v>2</v>
      </c>
      <c r="G2254" s="15">
        <f t="shared" si="3"/>
        <v>15</v>
      </c>
    </row>
    <row r="2255">
      <c r="A2255" s="10" t="s">
        <v>27</v>
      </c>
      <c r="B2255" s="9">
        <f t="shared" si="4"/>
        <v>46068</v>
      </c>
      <c r="C2255" s="77" t="s">
        <v>1570</v>
      </c>
      <c r="D2255" s="13">
        <f>SUMIFS('Lançamentos de receitas'!$E:$E,'Lançamentos de receitas'!$A:$A,B2255,'Lançamentos de receitas'!$C:$C,A2255,'Lançamentos de receitas'!$F:$F,"TRANSFERÊNCIA")</f>
        <v>10820.34</v>
      </c>
      <c r="E2255" s="15">
        <f t="shared" si="1"/>
        <v>2026</v>
      </c>
      <c r="F2255" s="15">
        <f t="shared" si="2"/>
        <v>2</v>
      </c>
      <c r="G2255" s="15">
        <f t="shared" si="3"/>
        <v>15</v>
      </c>
    </row>
    <row r="2256">
      <c r="A2256" s="10" t="s">
        <v>27</v>
      </c>
      <c r="B2256" s="9">
        <f t="shared" si="4"/>
        <v>46068</v>
      </c>
      <c r="C2256" s="77" t="s">
        <v>1571</v>
      </c>
      <c r="D2256" s="13">
        <f>SUMIFS('Lançamentos de despesas'!$K:$K,'Lançamentos de despesas'!$C:$C,B2256,'Lançamentos de despesas'!$G:$G,A2256,'Lançamentos de despesas'!$E:$E,"pago")</f>
        <v>0</v>
      </c>
      <c r="E2256" s="15">
        <f t="shared" si="1"/>
        <v>2026</v>
      </c>
      <c r="F2256" s="15">
        <f t="shared" si="2"/>
        <v>2</v>
      </c>
      <c r="G2256" s="15">
        <f t="shared" si="3"/>
        <v>15</v>
      </c>
    </row>
    <row r="2257">
      <c r="A2257" s="10" t="s">
        <v>27</v>
      </c>
      <c r="B2257" s="9">
        <f t="shared" si="4"/>
        <v>46068</v>
      </c>
      <c r="C2257" s="77" t="s">
        <v>1572</v>
      </c>
      <c r="D2257" s="13">
        <f>D2254+D2255-D2256</f>
        <v>36295.219</v>
      </c>
      <c r="E2257" s="15">
        <f t="shared" si="1"/>
        <v>2026</v>
      </c>
      <c r="F2257" s="15">
        <f t="shared" si="2"/>
        <v>2</v>
      </c>
      <c r="G2257" s="15">
        <f t="shared" si="3"/>
        <v>15</v>
      </c>
    </row>
    <row r="2258">
      <c r="A2258" s="10" t="s">
        <v>27</v>
      </c>
      <c r="B2258" s="9">
        <f t="shared" si="4"/>
        <v>46069</v>
      </c>
      <c r="C2258" s="77" t="s">
        <v>1569</v>
      </c>
      <c r="D2258" s="12">
        <f>D2257</f>
        <v>36295.219</v>
      </c>
      <c r="E2258" s="15">
        <f t="shared" si="1"/>
        <v>2026</v>
      </c>
      <c r="F2258" s="15">
        <f t="shared" si="2"/>
        <v>2</v>
      </c>
      <c r="G2258" s="15">
        <f t="shared" si="3"/>
        <v>16</v>
      </c>
    </row>
    <row r="2259">
      <c r="A2259" s="10" t="s">
        <v>27</v>
      </c>
      <c r="B2259" s="9">
        <f t="shared" si="4"/>
        <v>46069</v>
      </c>
      <c r="C2259" s="77" t="s">
        <v>1570</v>
      </c>
      <c r="D2259" s="13">
        <f>SUMIFS('Lançamentos de receitas'!$E:$E,'Lançamentos de receitas'!$A:$A,B2259,'Lançamentos de receitas'!$C:$C,A2259,'Lançamentos de receitas'!$F:$F,"TRANSFERÊNCIA")</f>
        <v>67.37</v>
      </c>
      <c r="E2259" s="15">
        <f t="shared" si="1"/>
        <v>2026</v>
      </c>
      <c r="F2259" s="15">
        <f t="shared" si="2"/>
        <v>2</v>
      </c>
      <c r="G2259" s="15">
        <f t="shared" si="3"/>
        <v>16</v>
      </c>
    </row>
    <row r="2260">
      <c r="A2260" s="10" t="s">
        <v>27</v>
      </c>
      <c r="B2260" s="9">
        <f t="shared" si="4"/>
        <v>46069</v>
      </c>
      <c r="C2260" s="77" t="s">
        <v>1571</v>
      </c>
      <c r="D2260" s="13">
        <f>SUMIFS('Lançamentos de despesas'!$K:$K,'Lançamentos de despesas'!$C:$C,B2260,'Lançamentos de despesas'!$G:$G,A2260,'Lançamentos de despesas'!$E:$E,"pago")</f>
        <v>516.57</v>
      </c>
      <c r="E2260" s="15">
        <f t="shared" si="1"/>
        <v>2026</v>
      </c>
      <c r="F2260" s="15">
        <f t="shared" si="2"/>
        <v>2</v>
      </c>
      <c r="G2260" s="15">
        <f t="shared" si="3"/>
        <v>16</v>
      </c>
    </row>
    <row r="2261">
      <c r="A2261" s="10" t="s">
        <v>27</v>
      </c>
      <c r="B2261" s="9">
        <f t="shared" si="4"/>
        <v>46069</v>
      </c>
      <c r="C2261" s="77" t="s">
        <v>1572</v>
      </c>
      <c r="D2261" s="13">
        <f>D2258+D2259-D2260</f>
        <v>35846.019</v>
      </c>
      <c r="E2261" s="15">
        <f t="shared" si="1"/>
        <v>2026</v>
      </c>
      <c r="F2261" s="15">
        <f t="shared" si="2"/>
        <v>2</v>
      </c>
      <c r="G2261" s="15">
        <f t="shared" si="3"/>
        <v>16</v>
      </c>
    </row>
    <row r="2262">
      <c r="A2262" s="10" t="s">
        <v>27</v>
      </c>
      <c r="B2262" s="9">
        <f t="shared" si="4"/>
        <v>46070</v>
      </c>
      <c r="C2262" s="77" t="s">
        <v>1569</v>
      </c>
      <c r="D2262" s="12">
        <f>D2261</f>
        <v>35846.019</v>
      </c>
      <c r="E2262" s="15">
        <f t="shared" si="1"/>
        <v>2026</v>
      </c>
      <c r="F2262" s="15">
        <f t="shared" si="2"/>
        <v>2</v>
      </c>
      <c r="G2262" s="15">
        <f t="shared" si="3"/>
        <v>17</v>
      </c>
    </row>
    <row r="2263">
      <c r="A2263" s="10" t="s">
        <v>27</v>
      </c>
      <c r="B2263" s="9">
        <f t="shared" si="4"/>
        <v>46070</v>
      </c>
      <c r="C2263" s="77" t="s">
        <v>1570</v>
      </c>
      <c r="D2263" s="13">
        <f>SUMIFS('Lançamentos de receitas'!$E:$E,'Lançamentos de receitas'!$A:$A,B2263,'Lançamentos de receitas'!$C:$C,A2263,'Lançamentos de receitas'!$F:$F,"TRANSFERÊNCIA")</f>
        <v>1211.78</v>
      </c>
      <c r="E2263" s="15">
        <f t="shared" si="1"/>
        <v>2026</v>
      </c>
      <c r="F2263" s="15">
        <f t="shared" si="2"/>
        <v>2</v>
      </c>
      <c r="G2263" s="15">
        <f t="shared" si="3"/>
        <v>17</v>
      </c>
    </row>
    <row r="2264">
      <c r="A2264" s="10" t="s">
        <v>27</v>
      </c>
      <c r="B2264" s="9">
        <f t="shared" si="4"/>
        <v>46070</v>
      </c>
      <c r="C2264" s="77" t="s">
        <v>1571</v>
      </c>
      <c r="D2264" s="13">
        <f>SUMIFS('Lançamentos de despesas'!$K:$K,'Lançamentos de despesas'!$C:$C,B2264,'Lançamentos de despesas'!$G:$G,A2264,'Lançamentos de despesas'!$E:$E,"pago")</f>
        <v>0</v>
      </c>
      <c r="E2264" s="15">
        <f t="shared" si="1"/>
        <v>2026</v>
      </c>
      <c r="F2264" s="15">
        <f t="shared" si="2"/>
        <v>2</v>
      </c>
      <c r="G2264" s="15">
        <f t="shared" si="3"/>
        <v>17</v>
      </c>
    </row>
    <row r="2265">
      <c r="A2265" s="10" t="s">
        <v>27</v>
      </c>
      <c r="B2265" s="9">
        <f t="shared" si="4"/>
        <v>46070</v>
      </c>
      <c r="C2265" s="77" t="s">
        <v>1572</v>
      </c>
      <c r="D2265" s="13">
        <f>D2262+D2263-D2264</f>
        <v>37057.799</v>
      </c>
      <c r="E2265" s="15">
        <f t="shared" si="1"/>
        <v>2026</v>
      </c>
      <c r="F2265" s="15">
        <f t="shared" si="2"/>
        <v>2</v>
      </c>
      <c r="G2265" s="15">
        <f t="shared" si="3"/>
        <v>17</v>
      </c>
    </row>
    <row r="2266">
      <c r="A2266" s="10" t="s">
        <v>27</v>
      </c>
      <c r="B2266" s="9">
        <f t="shared" si="4"/>
        <v>46071</v>
      </c>
      <c r="C2266" s="77" t="s">
        <v>1569</v>
      </c>
      <c r="D2266" s="12">
        <f>D2265</f>
        <v>37057.799</v>
      </c>
      <c r="E2266" s="15">
        <f t="shared" si="1"/>
        <v>2026</v>
      </c>
      <c r="F2266" s="15">
        <f t="shared" si="2"/>
        <v>2</v>
      </c>
      <c r="G2266" s="15">
        <f t="shared" si="3"/>
        <v>18</v>
      </c>
    </row>
    <row r="2267">
      <c r="A2267" s="10" t="s">
        <v>27</v>
      </c>
      <c r="B2267" s="9">
        <f t="shared" si="4"/>
        <v>46071</v>
      </c>
      <c r="C2267" s="77" t="s">
        <v>1570</v>
      </c>
      <c r="D2267" s="13">
        <f>SUMIFS('Lançamentos de receitas'!$E:$E,'Lançamentos de receitas'!$A:$A,B2267,'Lançamentos de receitas'!$C:$C,A2267,'Lançamentos de receitas'!$F:$F,"TRANSFERÊNCIA")</f>
        <v>35305.62</v>
      </c>
      <c r="E2267" s="15">
        <f t="shared" si="1"/>
        <v>2026</v>
      </c>
      <c r="F2267" s="15">
        <f t="shared" si="2"/>
        <v>2</v>
      </c>
      <c r="G2267" s="15">
        <f t="shared" si="3"/>
        <v>18</v>
      </c>
    </row>
    <row r="2268">
      <c r="A2268" s="10" t="s">
        <v>27</v>
      </c>
      <c r="B2268" s="9">
        <f t="shared" si="4"/>
        <v>46071</v>
      </c>
      <c r="C2268" s="77" t="s">
        <v>1571</v>
      </c>
      <c r="D2268" s="13">
        <f>SUMIFS('Lançamentos de despesas'!$K:$K,'Lançamentos de despesas'!$C:$C,B2268,'Lançamentos de despesas'!$G:$G,A2268,'Lançamentos de despesas'!$E:$E,"pago")</f>
        <v>8108.27</v>
      </c>
      <c r="E2268" s="15">
        <f t="shared" si="1"/>
        <v>2026</v>
      </c>
      <c r="F2268" s="15">
        <f t="shared" si="2"/>
        <v>2</v>
      </c>
      <c r="G2268" s="15">
        <f t="shared" si="3"/>
        <v>18</v>
      </c>
    </row>
    <row r="2269">
      <c r="A2269" s="10" t="s">
        <v>27</v>
      </c>
      <c r="B2269" s="9">
        <f t="shared" si="4"/>
        <v>46071</v>
      </c>
      <c r="C2269" s="77" t="s">
        <v>1572</v>
      </c>
      <c r="D2269" s="13">
        <f>D2266+D2267-D2268</f>
        <v>64255.149</v>
      </c>
      <c r="E2269" s="15">
        <f t="shared" si="1"/>
        <v>2026</v>
      </c>
      <c r="F2269" s="15">
        <f t="shared" si="2"/>
        <v>2</v>
      </c>
      <c r="G2269" s="15">
        <f t="shared" si="3"/>
        <v>18</v>
      </c>
    </row>
    <row r="2270">
      <c r="A2270" s="10" t="s">
        <v>27</v>
      </c>
      <c r="B2270" s="9">
        <f t="shared" si="4"/>
        <v>46072</v>
      </c>
      <c r="C2270" s="77" t="s">
        <v>1569</v>
      </c>
      <c r="D2270" s="12">
        <f>D2269</f>
        <v>64255.149</v>
      </c>
      <c r="E2270" s="15">
        <f t="shared" si="1"/>
        <v>2026</v>
      </c>
      <c r="F2270" s="15">
        <f t="shared" si="2"/>
        <v>2</v>
      </c>
      <c r="G2270" s="15">
        <f t="shared" si="3"/>
        <v>19</v>
      </c>
    </row>
    <row r="2271">
      <c r="A2271" s="10" t="s">
        <v>27</v>
      </c>
      <c r="B2271" s="9">
        <f t="shared" si="4"/>
        <v>46072</v>
      </c>
      <c r="C2271" s="77" t="s">
        <v>1570</v>
      </c>
      <c r="D2271" s="13">
        <f>SUMIFS('Lançamentos de receitas'!$E:$E,'Lançamentos de receitas'!$A:$A,B2271,'Lançamentos de receitas'!$C:$C,A2271,'Lançamentos de receitas'!$F:$F,"TRANSFERÊNCIA")</f>
        <v>2218.39</v>
      </c>
      <c r="E2271" s="15">
        <f t="shared" si="1"/>
        <v>2026</v>
      </c>
      <c r="F2271" s="15">
        <f t="shared" si="2"/>
        <v>2</v>
      </c>
      <c r="G2271" s="15">
        <f t="shared" si="3"/>
        <v>19</v>
      </c>
    </row>
    <row r="2272">
      <c r="A2272" s="10" t="s">
        <v>27</v>
      </c>
      <c r="B2272" s="9">
        <f t="shared" si="4"/>
        <v>46072</v>
      </c>
      <c r="C2272" s="77" t="s">
        <v>1571</v>
      </c>
      <c r="D2272" s="13">
        <f>SUMIFS('Lançamentos de despesas'!$K:$K,'Lançamentos de despesas'!$C:$C,B2272,'Lançamentos de despesas'!$G:$G,A2272,'Lançamentos de despesas'!$E:$E,"pago")</f>
        <v>2562.66</v>
      </c>
      <c r="E2272" s="15">
        <f t="shared" si="1"/>
        <v>2026</v>
      </c>
      <c r="F2272" s="15">
        <f t="shared" si="2"/>
        <v>2</v>
      </c>
      <c r="G2272" s="15">
        <f t="shared" si="3"/>
        <v>19</v>
      </c>
    </row>
    <row r="2273">
      <c r="A2273" s="10" t="s">
        <v>27</v>
      </c>
      <c r="B2273" s="9">
        <f t="shared" si="4"/>
        <v>46072</v>
      </c>
      <c r="C2273" s="77" t="s">
        <v>1572</v>
      </c>
      <c r="D2273" s="13">
        <f>D2270+D2271-D2272</f>
        <v>63910.879</v>
      </c>
      <c r="E2273" s="15">
        <f t="shared" si="1"/>
        <v>2026</v>
      </c>
      <c r="F2273" s="15">
        <f t="shared" si="2"/>
        <v>2</v>
      </c>
      <c r="G2273" s="15">
        <f t="shared" si="3"/>
        <v>19</v>
      </c>
    </row>
    <row r="2274">
      <c r="A2274" s="10" t="s">
        <v>27</v>
      </c>
      <c r="B2274" s="9">
        <f t="shared" si="4"/>
        <v>46073</v>
      </c>
      <c r="C2274" s="77" t="s">
        <v>1569</v>
      </c>
      <c r="D2274" s="12">
        <f>D2273</f>
        <v>63910.879</v>
      </c>
      <c r="E2274" s="15">
        <f t="shared" si="1"/>
        <v>2026</v>
      </c>
      <c r="F2274" s="15">
        <f t="shared" si="2"/>
        <v>2</v>
      </c>
      <c r="G2274" s="15">
        <f t="shared" si="3"/>
        <v>20</v>
      </c>
    </row>
    <row r="2275">
      <c r="A2275" s="10" t="s">
        <v>27</v>
      </c>
      <c r="B2275" s="9">
        <f t="shared" si="4"/>
        <v>46073</v>
      </c>
      <c r="C2275" s="77" t="s">
        <v>1570</v>
      </c>
      <c r="D2275" s="13">
        <f>SUMIFS('Lançamentos de receitas'!$E:$E,'Lançamentos de receitas'!$A:$A,B2275,'Lançamentos de receitas'!$C:$C,A2275,'Lançamentos de receitas'!$F:$F,"TRANSFERÊNCIA")</f>
        <v>5765.99</v>
      </c>
      <c r="E2275" s="15">
        <f t="shared" si="1"/>
        <v>2026</v>
      </c>
      <c r="F2275" s="15">
        <f t="shared" si="2"/>
        <v>2</v>
      </c>
      <c r="G2275" s="15">
        <f t="shared" si="3"/>
        <v>20</v>
      </c>
    </row>
    <row r="2276">
      <c r="A2276" s="10" t="s">
        <v>27</v>
      </c>
      <c r="B2276" s="9">
        <f t="shared" si="4"/>
        <v>46073</v>
      </c>
      <c r="C2276" s="77" t="s">
        <v>1571</v>
      </c>
      <c r="D2276" s="13">
        <f>SUMIFS('Lançamentos de despesas'!$K:$K,'Lançamentos de despesas'!$C:$C,B2276,'Lançamentos de despesas'!$G:$G,A2276,'Lançamentos de despesas'!$E:$E,"pago")</f>
        <v>24536.09</v>
      </c>
      <c r="E2276" s="15">
        <f t="shared" si="1"/>
        <v>2026</v>
      </c>
      <c r="F2276" s="15">
        <f t="shared" si="2"/>
        <v>2</v>
      </c>
      <c r="G2276" s="15">
        <f t="shared" si="3"/>
        <v>20</v>
      </c>
    </row>
    <row r="2277">
      <c r="A2277" s="10" t="s">
        <v>27</v>
      </c>
      <c r="B2277" s="9">
        <f t="shared" si="4"/>
        <v>46073</v>
      </c>
      <c r="C2277" s="77" t="s">
        <v>1572</v>
      </c>
      <c r="D2277" s="13">
        <f>D2274+D2275-D2276</f>
        <v>45140.779</v>
      </c>
      <c r="E2277" s="15">
        <f t="shared" si="1"/>
        <v>2026</v>
      </c>
      <c r="F2277" s="15">
        <f t="shared" si="2"/>
        <v>2</v>
      </c>
      <c r="G2277" s="15">
        <f t="shared" si="3"/>
        <v>20</v>
      </c>
    </row>
    <row r="2278">
      <c r="A2278" s="10" t="s">
        <v>27</v>
      </c>
      <c r="B2278" s="9">
        <f t="shared" si="4"/>
        <v>46074</v>
      </c>
      <c r="C2278" s="77" t="s">
        <v>1569</v>
      </c>
      <c r="D2278" s="12">
        <f>D2277</f>
        <v>45140.779</v>
      </c>
      <c r="E2278" s="15">
        <f t="shared" si="1"/>
        <v>2026</v>
      </c>
      <c r="F2278" s="15">
        <f t="shared" si="2"/>
        <v>2</v>
      </c>
      <c r="G2278" s="15">
        <f t="shared" si="3"/>
        <v>21</v>
      </c>
    </row>
    <row r="2279">
      <c r="A2279" s="10" t="s">
        <v>27</v>
      </c>
      <c r="B2279" s="9">
        <f t="shared" si="4"/>
        <v>46074</v>
      </c>
      <c r="C2279" s="77" t="s">
        <v>1570</v>
      </c>
      <c r="D2279" s="13">
        <f>SUMIFS('Lançamentos de receitas'!$E:$E,'Lançamentos de receitas'!$A:$A,B2279,'Lançamentos de receitas'!$C:$C,A2279,'Lançamentos de receitas'!$F:$F,"TRANSFERÊNCIA")</f>
        <v>1803</v>
      </c>
      <c r="E2279" s="15">
        <f t="shared" si="1"/>
        <v>2026</v>
      </c>
      <c r="F2279" s="15">
        <f t="shared" si="2"/>
        <v>2</v>
      </c>
      <c r="G2279" s="15">
        <f t="shared" si="3"/>
        <v>21</v>
      </c>
    </row>
    <row r="2280">
      <c r="A2280" s="10" t="s">
        <v>27</v>
      </c>
      <c r="B2280" s="9">
        <f t="shared" si="4"/>
        <v>46074</v>
      </c>
      <c r="C2280" s="77" t="s">
        <v>1571</v>
      </c>
      <c r="D2280" s="13">
        <f>SUMIFS('Lançamentos de despesas'!$K:$K,'Lançamentos de despesas'!$C:$C,B2280,'Lançamentos de despesas'!$G:$G,A2280,'Lançamentos de despesas'!$E:$E,"pago")</f>
        <v>0</v>
      </c>
      <c r="E2280" s="15">
        <f t="shared" si="1"/>
        <v>2026</v>
      </c>
      <c r="F2280" s="15">
        <f t="shared" si="2"/>
        <v>2</v>
      </c>
      <c r="G2280" s="15">
        <f t="shared" si="3"/>
        <v>21</v>
      </c>
    </row>
    <row r="2281">
      <c r="A2281" s="10" t="s">
        <v>27</v>
      </c>
      <c r="B2281" s="9">
        <f t="shared" si="4"/>
        <v>46074</v>
      </c>
      <c r="C2281" s="77" t="s">
        <v>1572</v>
      </c>
      <c r="D2281" s="13">
        <f>D2278+D2279-D2280</f>
        <v>46943.779</v>
      </c>
      <c r="E2281" s="15">
        <f t="shared" si="1"/>
        <v>2026</v>
      </c>
      <c r="F2281" s="15">
        <f t="shared" si="2"/>
        <v>2</v>
      </c>
      <c r="G2281" s="15">
        <f t="shared" si="3"/>
        <v>21</v>
      </c>
    </row>
    <row r="2282">
      <c r="A2282" s="10" t="s">
        <v>27</v>
      </c>
      <c r="B2282" s="9">
        <f t="shared" si="4"/>
        <v>46075</v>
      </c>
      <c r="C2282" s="77" t="s">
        <v>1569</v>
      </c>
      <c r="D2282" s="12">
        <f>D2281</f>
        <v>46943.779</v>
      </c>
      <c r="E2282" s="15">
        <f t="shared" si="1"/>
        <v>2026</v>
      </c>
      <c r="F2282" s="15">
        <f t="shared" si="2"/>
        <v>2</v>
      </c>
      <c r="G2282" s="15">
        <f t="shared" si="3"/>
        <v>22</v>
      </c>
    </row>
    <row r="2283">
      <c r="A2283" s="10" t="s">
        <v>27</v>
      </c>
      <c r="B2283" s="9">
        <f t="shared" si="4"/>
        <v>46075</v>
      </c>
      <c r="C2283" s="77" t="s">
        <v>1570</v>
      </c>
      <c r="D2283" s="13">
        <f>SUMIFS('Lançamentos de receitas'!$E:$E,'Lançamentos de receitas'!$A:$A,B2283,'Lançamentos de receitas'!$C:$C,A2283,'Lançamentos de receitas'!$F:$F,"TRANSFERÊNCIA")</f>
        <v>1259.84</v>
      </c>
      <c r="E2283" s="15">
        <f t="shared" si="1"/>
        <v>2026</v>
      </c>
      <c r="F2283" s="15">
        <f t="shared" si="2"/>
        <v>2</v>
      </c>
      <c r="G2283" s="15">
        <f t="shared" si="3"/>
        <v>22</v>
      </c>
    </row>
    <row r="2284">
      <c r="A2284" s="10" t="s">
        <v>27</v>
      </c>
      <c r="B2284" s="9">
        <f t="shared" si="4"/>
        <v>46075</v>
      </c>
      <c r="C2284" s="77" t="s">
        <v>1571</v>
      </c>
      <c r="D2284" s="13">
        <f>SUMIFS('Lançamentos de despesas'!$K:$K,'Lançamentos de despesas'!$C:$C,B2284,'Lançamentos de despesas'!$G:$G,A2284,'Lançamentos de despesas'!$E:$E,"pago")</f>
        <v>0</v>
      </c>
      <c r="E2284" s="15">
        <f t="shared" si="1"/>
        <v>2026</v>
      </c>
      <c r="F2284" s="15">
        <f t="shared" si="2"/>
        <v>2</v>
      </c>
      <c r="G2284" s="15">
        <f t="shared" si="3"/>
        <v>22</v>
      </c>
    </row>
    <row r="2285">
      <c r="A2285" s="10" t="s">
        <v>27</v>
      </c>
      <c r="B2285" s="9">
        <f t="shared" si="4"/>
        <v>46075</v>
      </c>
      <c r="C2285" s="77" t="s">
        <v>1572</v>
      </c>
      <c r="D2285" s="13">
        <f>D2282+D2283-D2284</f>
        <v>48203.619</v>
      </c>
      <c r="E2285" s="15">
        <f t="shared" si="1"/>
        <v>2026</v>
      </c>
      <c r="F2285" s="15">
        <f t="shared" si="2"/>
        <v>2</v>
      </c>
      <c r="G2285" s="15">
        <f t="shared" si="3"/>
        <v>22</v>
      </c>
    </row>
    <row r="2286">
      <c r="A2286" s="10" t="s">
        <v>27</v>
      </c>
      <c r="B2286" s="9">
        <f t="shared" si="4"/>
        <v>46076</v>
      </c>
      <c r="C2286" s="77" t="s">
        <v>1569</v>
      </c>
      <c r="D2286" s="12">
        <f>D2285</f>
        <v>48203.619</v>
      </c>
      <c r="E2286" s="15">
        <f t="shared" si="1"/>
        <v>2026</v>
      </c>
      <c r="F2286" s="15">
        <f t="shared" si="2"/>
        <v>2</v>
      </c>
      <c r="G2286" s="15">
        <f t="shared" si="3"/>
        <v>23</v>
      </c>
    </row>
    <row r="2287">
      <c r="A2287" s="10" t="s">
        <v>27</v>
      </c>
      <c r="B2287" s="9">
        <f t="shared" si="4"/>
        <v>46076</v>
      </c>
      <c r="C2287" s="77" t="s">
        <v>1570</v>
      </c>
      <c r="D2287" s="13">
        <f>SUMIFS('Lançamentos de receitas'!$E:$E,'Lançamentos de receitas'!$A:$A,B2287,'Lançamentos de receitas'!$C:$C,A2287,'Lançamentos de receitas'!$F:$F,"TRANSFERÊNCIA")</f>
        <v>18793.38</v>
      </c>
      <c r="E2287" s="15">
        <f t="shared" si="1"/>
        <v>2026</v>
      </c>
      <c r="F2287" s="15">
        <f t="shared" si="2"/>
        <v>2</v>
      </c>
      <c r="G2287" s="15">
        <f t="shared" si="3"/>
        <v>23</v>
      </c>
    </row>
    <row r="2288">
      <c r="A2288" s="10" t="s">
        <v>27</v>
      </c>
      <c r="B2288" s="9">
        <f t="shared" si="4"/>
        <v>46076</v>
      </c>
      <c r="C2288" s="77" t="s">
        <v>1571</v>
      </c>
      <c r="D2288" s="13">
        <f>SUMIFS('Lançamentos de despesas'!$K:$K,'Lançamentos de despesas'!$C:$C,B2288,'Lançamentos de despesas'!$G:$G,A2288,'Lançamentos de despesas'!$E:$E,"pago")</f>
        <v>0</v>
      </c>
      <c r="E2288" s="15">
        <f t="shared" si="1"/>
        <v>2026</v>
      </c>
      <c r="F2288" s="15">
        <f t="shared" si="2"/>
        <v>2</v>
      </c>
      <c r="G2288" s="15">
        <f t="shared" si="3"/>
        <v>23</v>
      </c>
    </row>
    <row r="2289">
      <c r="A2289" s="10" t="s">
        <v>27</v>
      </c>
      <c r="B2289" s="9">
        <f t="shared" si="4"/>
        <v>46076</v>
      </c>
      <c r="C2289" s="77" t="s">
        <v>1572</v>
      </c>
      <c r="D2289" s="13">
        <f>D2286+D2287-D2288</f>
        <v>66996.999</v>
      </c>
      <c r="E2289" s="15">
        <f t="shared" si="1"/>
        <v>2026</v>
      </c>
      <c r="F2289" s="15">
        <f t="shared" si="2"/>
        <v>2</v>
      </c>
      <c r="G2289" s="15">
        <f t="shared" si="3"/>
        <v>23</v>
      </c>
    </row>
    <row r="2290">
      <c r="A2290" s="10" t="s">
        <v>27</v>
      </c>
      <c r="B2290" s="9">
        <f t="shared" si="4"/>
        <v>46077</v>
      </c>
      <c r="C2290" s="77" t="s">
        <v>1569</v>
      </c>
      <c r="D2290" s="12">
        <f>D2289</f>
        <v>66996.999</v>
      </c>
      <c r="E2290" s="15">
        <f t="shared" si="1"/>
        <v>2026</v>
      </c>
      <c r="F2290" s="15">
        <f t="shared" si="2"/>
        <v>2</v>
      </c>
      <c r="G2290" s="15">
        <f t="shared" si="3"/>
        <v>24</v>
      </c>
    </row>
    <row r="2291">
      <c r="A2291" s="10" t="s">
        <v>27</v>
      </c>
      <c r="B2291" s="9">
        <f t="shared" si="4"/>
        <v>46077</v>
      </c>
      <c r="C2291" s="77" t="s">
        <v>1570</v>
      </c>
      <c r="D2291" s="13">
        <f>SUMIFS('Lançamentos de receitas'!$E:$E,'Lançamentos de receitas'!$A:$A,B2291,'Lançamentos de receitas'!$C:$C,A2291,'Lançamentos de receitas'!$F:$F,"TRANSFERÊNCIA")</f>
        <v>266.73</v>
      </c>
      <c r="E2291" s="15">
        <f t="shared" si="1"/>
        <v>2026</v>
      </c>
      <c r="F2291" s="15">
        <f t="shared" si="2"/>
        <v>2</v>
      </c>
      <c r="G2291" s="15">
        <f t="shared" si="3"/>
        <v>24</v>
      </c>
    </row>
    <row r="2292">
      <c r="A2292" s="10" t="s">
        <v>27</v>
      </c>
      <c r="B2292" s="9">
        <f t="shared" si="4"/>
        <v>46077</v>
      </c>
      <c r="C2292" s="77" t="s">
        <v>1571</v>
      </c>
      <c r="D2292" s="13">
        <f>SUMIFS('Lançamentos de despesas'!$K:$K,'Lançamentos de despesas'!$C:$C,B2292,'Lançamentos de despesas'!$G:$G,A2292,'Lançamentos de despesas'!$E:$E,"pago")</f>
        <v>3830</v>
      </c>
      <c r="E2292" s="15">
        <f t="shared" si="1"/>
        <v>2026</v>
      </c>
      <c r="F2292" s="15">
        <f t="shared" si="2"/>
        <v>2</v>
      </c>
      <c r="G2292" s="15">
        <f t="shared" si="3"/>
        <v>24</v>
      </c>
    </row>
    <row r="2293">
      <c r="A2293" s="10" t="s">
        <v>27</v>
      </c>
      <c r="B2293" s="9">
        <f t="shared" si="4"/>
        <v>46077</v>
      </c>
      <c r="C2293" s="77" t="s">
        <v>1572</v>
      </c>
      <c r="D2293" s="13">
        <f>D2290+D2291-D2292</f>
        <v>63433.729</v>
      </c>
      <c r="E2293" s="15">
        <f t="shared" si="1"/>
        <v>2026</v>
      </c>
      <c r="F2293" s="15">
        <f t="shared" si="2"/>
        <v>2</v>
      </c>
      <c r="G2293" s="15">
        <f t="shared" si="3"/>
        <v>24</v>
      </c>
    </row>
    <row r="2294">
      <c r="A2294" s="10" t="s">
        <v>27</v>
      </c>
      <c r="B2294" s="9">
        <f t="shared" si="4"/>
        <v>46078</v>
      </c>
      <c r="C2294" s="77" t="s">
        <v>1569</v>
      </c>
      <c r="D2294" s="12">
        <f>D2293</f>
        <v>63433.729</v>
      </c>
      <c r="E2294" s="15">
        <f t="shared" si="1"/>
        <v>2026</v>
      </c>
      <c r="F2294" s="15">
        <f t="shared" si="2"/>
        <v>2</v>
      </c>
      <c r="G2294" s="15">
        <f t="shared" si="3"/>
        <v>25</v>
      </c>
    </row>
    <row r="2295">
      <c r="A2295" s="10" t="s">
        <v>27</v>
      </c>
      <c r="B2295" s="9">
        <f t="shared" si="4"/>
        <v>46078</v>
      </c>
      <c r="C2295" s="77" t="s">
        <v>1570</v>
      </c>
      <c r="D2295" s="13">
        <f>SUMIFS('Lançamentos de receitas'!$E:$E,'Lançamentos de receitas'!$A:$A,B2295,'Lançamentos de receitas'!$C:$C,A2295,'Lançamentos de receitas'!$F:$F,"TRANSFERÊNCIA")</f>
        <v>458.08</v>
      </c>
      <c r="E2295" s="15">
        <f t="shared" si="1"/>
        <v>2026</v>
      </c>
      <c r="F2295" s="15">
        <f t="shared" si="2"/>
        <v>2</v>
      </c>
      <c r="G2295" s="15">
        <f t="shared" si="3"/>
        <v>25</v>
      </c>
    </row>
    <row r="2296">
      <c r="A2296" s="10" t="s">
        <v>27</v>
      </c>
      <c r="B2296" s="9">
        <f t="shared" si="4"/>
        <v>46078</v>
      </c>
      <c r="C2296" s="77" t="s">
        <v>1571</v>
      </c>
      <c r="D2296" s="13">
        <f>SUMIFS('Lançamentos de despesas'!$K:$K,'Lançamentos de despesas'!$C:$C,B2296,'Lançamentos de despesas'!$G:$G,A2296,'Lançamentos de despesas'!$E:$E,"pago")</f>
        <v>0</v>
      </c>
      <c r="E2296" s="15">
        <f t="shared" si="1"/>
        <v>2026</v>
      </c>
      <c r="F2296" s="15">
        <f t="shared" si="2"/>
        <v>2</v>
      </c>
      <c r="G2296" s="15">
        <f t="shared" si="3"/>
        <v>25</v>
      </c>
    </row>
    <row r="2297">
      <c r="A2297" s="10" t="s">
        <v>27</v>
      </c>
      <c r="B2297" s="9">
        <f t="shared" si="4"/>
        <v>46078</v>
      </c>
      <c r="C2297" s="77" t="s">
        <v>1572</v>
      </c>
      <c r="D2297" s="13">
        <f>D2294+D2295-D2296</f>
        <v>63891.809</v>
      </c>
      <c r="E2297" s="15">
        <f t="shared" si="1"/>
        <v>2026</v>
      </c>
      <c r="F2297" s="15">
        <f t="shared" si="2"/>
        <v>2</v>
      </c>
      <c r="G2297" s="15">
        <f t="shared" si="3"/>
        <v>25</v>
      </c>
    </row>
    <row r="2298">
      <c r="A2298" s="10" t="s">
        <v>27</v>
      </c>
      <c r="B2298" s="9">
        <f t="shared" si="4"/>
        <v>46079</v>
      </c>
      <c r="C2298" s="77" t="s">
        <v>1569</v>
      </c>
      <c r="D2298" s="12">
        <f>D2297</f>
        <v>63891.809</v>
      </c>
      <c r="E2298" s="15">
        <f t="shared" si="1"/>
        <v>2026</v>
      </c>
      <c r="F2298" s="15">
        <f t="shared" si="2"/>
        <v>2</v>
      </c>
      <c r="G2298" s="15">
        <f t="shared" si="3"/>
        <v>26</v>
      </c>
    </row>
    <row r="2299">
      <c r="A2299" s="10" t="s">
        <v>27</v>
      </c>
      <c r="B2299" s="9">
        <f t="shared" si="4"/>
        <v>46079</v>
      </c>
      <c r="C2299" s="77" t="s">
        <v>1570</v>
      </c>
      <c r="D2299" s="13">
        <f>SUMIFS('Lançamentos de receitas'!$E:$E,'Lançamentos de receitas'!$A:$A,B2299,'Lançamentos de receitas'!$C:$C,A2299,'Lançamentos de receitas'!$F:$F,"TRANSFERÊNCIA")</f>
        <v>512.51</v>
      </c>
      <c r="E2299" s="15">
        <f t="shared" si="1"/>
        <v>2026</v>
      </c>
      <c r="F2299" s="15">
        <f t="shared" si="2"/>
        <v>2</v>
      </c>
      <c r="G2299" s="15">
        <f t="shared" si="3"/>
        <v>26</v>
      </c>
    </row>
    <row r="2300">
      <c r="A2300" s="10" t="s">
        <v>27</v>
      </c>
      <c r="B2300" s="9">
        <f t="shared" si="4"/>
        <v>46079</v>
      </c>
      <c r="C2300" s="77" t="s">
        <v>1571</v>
      </c>
      <c r="D2300" s="13">
        <f>SUMIFS('Lançamentos de despesas'!$K:$K,'Lançamentos de despesas'!$C:$C,B2300,'Lançamentos de despesas'!$G:$G,A2300,'Lançamentos de despesas'!$E:$E,"pago")</f>
        <v>550</v>
      </c>
      <c r="E2300" s="15">
        <f t="shared" si="1"/>
        <v>2026</v>
      </c>
      <c r="F2300" s="15">
        <f t="shared" si="2"/>
        <v>2</v>
      </c>
      <c r="G2300" s="15">
        <f t="shared" si="3"/>
        <v>26</v>
      </c>
    </row>
    <row r="2301">
      <c r="A2301" s="10" t="s">
        <v>27</v>
      </c>
      <c r="B2301" s="9">
        <f t="shared" si="4"/>
        <v>46079</v>
      </c>
      <c r="C2301" s="77" t="s">
        <v>1572</v>
      </c>
      <c r="D2301" s="13">
        <f>D2298+D2299-D2300</f>
        <v>63854.319</v>
      </c>
      <c r="E2301" s="15">
        <f t="shared" si="1"/>
        <v>2026</v>
      </c>
      <c r="F2301" s="15">
        <f t="shared" si="2"/>
        <v>2</v>
      </c>
      <c r="G2301" s="15">
        <f t="shared" si="3"/>
        <v>26</v>
      </c>
    </row>
    <row r="2302">
      <c r="A2302" s="10" t="s">
        <v>27</v>
      </c>
      <c r="B2302" s="9">
        <f t="shared" si="4"/>
        <v>46080</v>
      </c>
      <c r="C2302" s="77" t="s">
        <v>1569</v>
      </c>
      <c r="D2302" s="12">
        <f>D2301</f>
        <v>63854.319</v>
      </c>
      <c r="E2302" s="15">
        <f t="shared" si="1"/>
        <v>2026</v>
      </c>
      <c r="F2302" s="15">
        <f t="shared" si="2"/>
        <v>2</v>
      </c>
      <c r="G2302" s="15">
        <f t="shared" si="3"/>
        <v>27</v>
      </c>
    </row>
    <row r="2303">
      <c r="A2303" s="10" t="s">
        <v>27</v>
      </c>
      <c r="B2303" s="9">
        <f t="shared" si="4"/>
        <v>46080</v>
      </c>
      <c r="C2303" s="77" t="s">
        <v>1570</v>
      </c>
      <c r="D2303" s="13">
        <f>SUMIFS('Lançamentos de receitas'!$E:$E,'Lançamentos de receitas'!$A:$A,B2303,'Lançamentos de receitas'!$C:$C,A2303,'Lançamentos de receitas'!$F:$F,"TRANSFERÊNCIA")</f>
        <v>1720.67</v>
      </c>
      <c r="E2303" s="15">
        <f t="shared" si="1"/>
        <v>2026</v>
      </c>
      <c r="F2303" s="15">
        <f t="shared" si="2"/>
        <v>2</v>
      </c>
      <c r="G2303" s="15">
        <f t="shared" si="3"/>
        <v>27</v>
      </c>
    </row>
    <row r="2304">
      <c r="A2304" s="10" t="s">
        <v>27</v>
      </c>
      <c r="B2304" s="9">
        <f t="shared" si="4"/>
        <v>46080</v>
      </c>
      <c r="C2304" s="77" t="s">
        <v>1571</v>
      </c>
      <c r="D2304" s="13">
        <f>SUMIFS('Lançamentos de despesas'!$K:$K,'Lançamentos de despesas'!$C:$C,B2304,'Lançamentos de despesas'!$G:$G,A2304,'Lançamentos de despesas'!$E:$E,"pago")</f>
        <v>978.38</v>
      </c>
      <c r="E2304" s="15">
        <f t="shared" si="1"/>
        <v>2026</v>
      </c>
      <c r="F2304" s="15">
        <f t="shared" si="2"/>
        <v>2</v>
      </c>
      <c r="G2304" s="15">
        <f t="shared" si="3"/>
        <v>27</v>
      </c>
    </row>
    <row r="2305">
      <c r="A2305" s="10" t="s">
        <v>27</v>
      </c>
      <c r="B2305" s="9">
        <f t="shared" si="4"/>
        <v>46080</v>
      </c>
      <c r="C2305" s="77" t="s">
        <v>1572</v>
      </c>
      <c r="D2305" s="13">
        <f>D2302+D2303-D2304</f>
        <v>64596.609</v>
      </c>
      <c r="E2305" s="15">
        <f t="shared" si="1"/>
        <v>2026</v>
      </c>
      <c r="F2305" s="15">
        <f t="shared" si="2"/>
        <v>2</v>
      </c>
      <c r="G2305" s="15">
        <f t="shared" si="3"/>
        <v>27</v>
      </c>
    </row>
    <row r="2306">
      <c r="A2306" s="10" t="s">
        <v>27</v>
      </c>
      <c r="B2306" s="9">
        <f t="shared" si="4"/>
        <v>46081</v>
      </c>
      <c r="C2306" s="77" t="s">
        <v>1569</v>
      </c>
      <c r="D2306" s="12">
        <f>D2305</f>
        <v>64596.609</v>
      </c>
      <c r="E2306" s="15">
        <f t="shared" si="1"/>
        <v>2026</v>
      </c>
      <c r="F2306" s="15">
        <f t="shared" si="2"/>
        <v>2</v>
      </c>
      <c r="G2306" s="15">
        <f t="shared" si="3"/>
        <v>28</v>
      </c>
    </row>
    <row r="2307">
      <c r="A2307" s="10" t="s">
        <v>27</v>
      </c>
      <c r="B2307" s="9">
        <f t="shared" si="4"/>
        <v>46081</v>
      </c>
      <c r="C2307" s="77" t="s">
        <v>1570</v>
      </c>
      <c r="D2307" s="13">
        <f>SUMIFS('Lançamentos de receitas'!$E:$E,'Lançamentos de receitas'!$A:$A,B2307,'Lançamentos de receitas'!$C:$C,A2307,'Lançamentos de receitas'!$F:$F,"TRANSFERÊNCIA")</f>
        <v>1582.22</v>
      </c>
      <c r="E2307" s="15">
        <f t="shared" si="1"/>
        <v>2026</v>
      </c>
      <c r="F2307" s="15">
        <f t="shared" si="2"/>
        <v>2</v>
      </c>
      <c r="G2307" s="15">
        <f t="shared" si="3"/>
        <v>28</v>
      </c>
    </row>
    <row r="2308">
      <c r="A2308" s="10" t="s">
        <v>27</v>
      </c>
      <c r="B2308" s="9">
        <f t="shared" si="4"/>
        <v>46081</v>
      </c>
      <c r="C2308" s="77" t="s">
        <v>1571</v>
      </c>
      <c r="D2308" s="13">
        <f>SUMIFS('Lançamentos de despesas'!$K:$K,'Lançamentos de despesas'!$C:$C,B2308,'Lançamentos de despesas'!$G:$G,A2308,'Lançamentos de despesas'!$E:$E,"pago")</f>
        <v>0</v>
      </c>
      <c r="E2308" s="15">
        <f t="shared" si="1"/>
        <v>2026</v>
      </c>
      <c r="F2308" s="15">
        <f t="shared" si="2"/>
        <v>2</v>
      </c>
      <c r="G2308" s="15">
        <f t="shared" si="3"/>
        <v>28</v>
      </c>
    </row>
    <row r="2309">
      <c r="A2309" s="10" t="s">
        <v>27</v>
      </c>
      <c r="B2309" s="9">
        <f t="shared" si="4"/>
        <v>46081</v>
      </c>
      <c r="C2309" s="77" t="s">
        <v>1572</v>
      </c>
      <c r="D2309" s="13">
        <f>D2306+D2307-D2308</f>
        <v>66178.829</v>
      </c>
      <c r="E2309" s="15">
        <f t="shared" si="1"/>
        <v>2026</v>
      </c>
      <c r="F2309" s="15">
        <f t="shared" si="2"/>
        <v>2</v>
      </c>
      <c r="G2309" s="15">
        <f t="shared" si="3"/>
        <v>28</v>
      </c>
    </row>
    <row r="2310">
      <c r="A2310" s="10" t="s">
        <v>27</v>
      </c>
      <c r="B2310" s="9">
        <f t="shared" si="4"/>
        <v>46082</v>
      </c>
      <c r="C2310" s="77" t="s">
        <v>1569</v>
      </c>
      <c r="D2310" s="12">
        <f>D2309</f>
        <v>66178.829</v>
      </c>
      <c r="E2310" s="15">
        <f t="shared" si="1"/>
        <v>2026</v>
      </c>
      <c r="F2310" s="15">
        <f t="shared" si="2"/>
        <v>3</v>
      </c>
      <c r="G2310" s="15">
        <f t="shared" si="3"/>
        <v>1</v>
      </c>
    </row>
    <row r="2311">
      <c r="A2311" s="10" t="s">
        <v>27</v>
      </c>
      <c r="B2311" s="9">
        <f t="shared" si="4"/>
        <v>46082</v>
      </c>
      <c r="C2311" s="77" t="s">
        <v>1570</v>
      </c>
      <c r="D2311" s="13">
        <f>SUMIFS('Lançamentos de receitas'!$E:$E,'Lançamentos de receitas'!$A:$A,B2311,'Lançamentos de receitas'!$C:$C,A2311,'Lançamentos de receitas'!$F:$F,"TRANSFERÊNCIA")</f>
        <v>2615.78</v>
      </c>
      <c r="E2311" s="15">
        <f t="shared" si="1"/>
        <v>2026</v>
      </c>
      <c r="F2311" s="15">
        <f t="shared" si="2"/>
        <v>3</v>
      </c>
      <c r="G2311" s="15">
        <f t="shared" si="3"/>
        <v>1</v>
      </c>
    </row>
    <row r="2312">
      <c r="A2312" s="10" t="s">
        <v>27</v>
      </c>
      <c r="B2312" s="9">
        <f t="shared" si="4"/>
        <v>46082</v>
      </c>
      <c r="C2312" s="77" t="s">
        <v>1571</v>
      </c>
      <c r="D2312" s="13">
        <f>SUMIFS('Lançamentos de despesas'!$K:$K,'Lançamentos de despesas'!$C:$C,B2312,'Lançamentos de despesas'!$G:$G,A2312,'Lançamentos de despesas'!$E:$E,"pago")</f>
        <v>0</v>
      </c>
      <c r="E2312" s="15">
        <f t="shared" si="1"/>
        <v>2026</v>
      </c>
      <c r="F2312" s="15">
        <f t="shared" si="2"/>
        <v>3</v>
      </c>
      <c r="G2312" s="15">
        <f t="shared" si="3"/>
        <v>1</v>
      </c>
    </row>
    <row r="2313">
      <c r="A2313" s="10" t="s">
        <v>27</v>
      </c>
      <c r="B2313" s="9">
        <f t="shared" si="4"/>
        <v>46082</v>
      </c>
      <c r="C2313" s="77" t="s">
        <v>1572</v>
      </c>
      <c r="D2313" s="13">
        <f>D2310+D2311-D2312</f>
        <v>68794.609</v>
      </c>
      <c r="E2313" s="15">
        <f t="shared" si="1"/>
        <v>2026</v>
      </c>
      <c r="F2313" s="15">
        <f t="shared" si="2"/>
        <v>3</v>
      </c>
      <c r="G2313" s="15">
        <f t="shared" si="3"/>
        <v>1</v>
      </c>
    </row>
    <row r="2314">
      <c r="A2314" s="10" t="s">
        <v>27</v>
      </c>
      <c r="B2314" s="9">
        <f t="shared" si="4"/>
        <v>46083</v>
      </c>
      <c r="C2314" s="77" t="s">
        <v>1569</v>
      </c>
      <c r="D2314" s="12">
        <f>D2313</f>
        <v>68794.609</v>
      </c>
      <c r="E2314" s="15">
        <f t="shared" si="1"/>
        <v>2026</v>
      </c>
      <c r="F2314" s="15">
        <f t="shared" si="2"/>
        <v>3</v>
      </c>
      <c r="G2314" s="15">
        <f t="shared" si="3"/>
        <v>2</v>
      </c>
    </row>
    <row r="2315">
      <c r="A2315" s="10" t="s">
        <v>27</v>
      </c>
      <c r="B2315" s="9">
        <f t="shared" si="4"/>
        <v>46083</v>
      </c>
      <c r="C2315" s="77" t="s">
        <v>1570</v>
      </c>
      <c r="D2315" s="13">
        <f>SUMIFS('Lançamentos de receitas'!$E:$E,'Lançamentos de receitas'!$A:$A,B2315,'Lançamentos de receitas'!$C:$C,A2315,'Lançamentos de receitas'!$F:$F,"TRANSFERÊNCIA")</f>
        <v>109.72</v>
      </c>
      <c r="E2315" s="15">
        <f t="shared" si="1"/>
        <v>2026</v>
      </c>
      <c r="F2315" s="15">
        <f t="shared" si="2"/>
        <v>3</v>
      </c>
      <c r="G2315" s="15">
        <f t="shared" si="3"/>
        <v>2</v>
      </c>
    </row>
    <row r="2316">
      <c r="A2316" s="10" t="s">
        <v>27</v>
      </c>
      <c r="B2316" s="9">
        <f t="shared" si="4"/>
        <v>46083</v>
      </c>
      <c r="C2316" s="77" t="s">
        <v>1571</v>
      </c>
      <c r="D2316" s="13">
        <f>SUMIFS('Lançamentos de despesas'!$K:$K,'Lançamentos de despesas'!$C:$C,B2316,'Lançamentos de despesas'!$G:$G,A2316,'Lançamentos de despesas'!$E:$E,"pago")</f>
        <v>7071.75</v>
      </c>
      <c r="E2316" s="15">
        <f t="shared" si="1"/>
        <v>2026</v>
      </c>
      <c r="F2316" s="15">
        <f t="shared" si="2"/>
        <v>3</v>
      </c>
      <c r="G2316" s="15">
        <f t="shared" si="3"/>
        <v>2</v>
      </c>
    </row>
    <row r="2317">
      <c r="A2317" s="10" t="s">
        <v>27</v>
      </c>
      <c r="B2317" s="9">
        <f t="shared" si="4"/>
        <v>46083</v>
      </c>
      <c r="C2317" s="77" t="s">
        <v>1572</v>
      </c>
      <c r="D2317" s="13">
        <f>D2314+D2315-D2316</f>
        <v>61832.579</v>
      </c>
      <c r="E2317" s="15">
        <f t="shared" si="1"/>
        <v>2026</v>
      </c>
      <c r="F2317" s="15">
        <f t="shared" si="2"/>
        <v>3</v>
      </c>
      <c r="G2317" s="15">
        <f t="shared" si="3"/>
        <v>2</v>
      </c>
    </row>
    <row r="2318">
      <c r="A2318" s="10" t="s">
        <v>27</v>
      </c>
      <c r="B2318" s="9">
        <f t="shared" si="4"/>
        <v>46084</v>
      </c>
      <c r="C2318" s="77" t="s">
        <v>1569</v>
      </c>
      <c r="D2318" s="12">
        <f>D2317</f>
        <v>61832.579</v>
      </c>
      <c r="E2318" s="15">
        <f t="shared" si="1"/>
        <v>2026</v>
      </c>
      <c r="F2318" s="15">
        <f t="shared" si="2"/>
        <v>3</v>
      </c>
      <c r="G2318" s="15">
        <f t="shared" si="3"/>
        <v>3</v>
      </c>
    </row>
    <row r="2319">
      <c r="A2319" s="10" t="s">
        <v>27</v>
      </c>
      <c r="B2319" s="9">
        <f t="shared" si="4"/>
        <v>46084</v>
      </c>
      <c r="C2319" s="77" t="s">
        <v>1570</v>
      </c>
      <c r="D2319" s="13">
        <f>SUMIFS('Lançamentos de receitas'!$E:$E,'Lançamentos de receitas'!$A:$A,B2319,'Lançamentos de receitas'!$C:$C,A2319,'Lançamentos de receitas'!$F:$F,"TRANSFERÊNCIA")</f>
        <v>34441.04</v>
      </c>
      <c r="E2319" s="15">
        <f t="shared" si="1"/>
        <v>2026</v>
      </c>
      <c r="F2319" s="15">
        <f t="shared" si="2"/>
        <v>3</v>
      </c>
      <c r="G2319" s="15">
        <f t="shared" si="3"/>
        <v>3</v>
      </c>
    </row>
    <row r="2320">
      <c r="A2320" s="10" t="s">
        <v>27</v>
      </c>
      <c r="B2320" s="9">
        <f t="shared" si="4"/>
        <v>46084</v>
      </c>
      <c r="C2320" s="77" t="s">
        <v>1571</v>
      </c>
      <c r="D2320" s="13">
        <f>SUMIFS('Lançamentos de despesas'!$K:$K,'Lançamentos de despesas'!$C:$C,B2320,'Lançamentos de despesas'!$G:$G,A2320,'Lançamentos de despesas'!$E:$E,"pago")</f>
        <v>2853.63</v>
      </c>
      <c r="E2320" s="15">
        <f t="shared" si="1"/>
        <v>2026</v>
      </c>
      <c r="F2320" s="15">
        <f t="shared" si="2"/>
        <v>3</v>
      </c>
      <c r="G2320" s="15">
        <f t="shared" si="3"/>
        <v>3</v>
      </c>
    </row>
    <row r="2321">
      <c r="A2321" s="10" t="s">
        <v>27</v>
      </c>
      <c r="B2321" s="9">
        <f t="shared" si="4"/>
        <v>46084</v>
      </c>
      <c r="C2321" s="77" t="s">
        <v>1572</v>
      </c>
      <c r="D2321" s="13">
        <f>D2318+D2319-D2320</f>
        <v>93419.989</v>
      </c>
      <c r="E2321" s="15">
        <f t="shared" si="1"/>
        <v>2026</v>
      </c>
      <c r="F2321" s="15">
        <f t="shared" si="2"/>
        <v>3</v>
      </c>
      <c r="G2321" s="15">
        <f t="shared" si="3"/>
        <v>3</v>
      </c>
    </row>
    <row r="2322">
      <c r="A2322" s="10" t="s">
        <v>27</v>
      </c>
      <c r="B2322" s="9">
        <f t="shared" si="4"/>
        <v>46085</v>
      </c>
      <c r="C2322" s="77" t="s">
        <v>1569</v>
      </c>
      <c r="D2322" s="12">
        <f>D2321</f>
        <v>93419.989</v>
      </c>
      <c r="E2322" s="15">
        <f t="shared" si="1"/>
        <v>2026</v>
      </c>
      <c r="F2322" s="15">
        <f t="shared" si="2"/>
        <v>3</v>
      </c>
      <c r="G2322" s="15">
        <f t="shared" si="3"/>
        <v>4</v>
      </c>
    </row>
    <row r="2323">
      <c r="A2323" s="10" t="s">
        <v>27</v>
      </c>
      <c r="B2323" s="9">
        <f t="shared" si="4"/>
        <v>46085</v>
      </c>
      <c r="C2323" s="77" t="s">
        <v>1570</v>
      </c>
      <c r="D2323" s="13">
        <f>SUMIFS('Lançamentos de receitas'!$E:$E,'Lançamentos de receitas'!$A:$A,B2323,'Lançamentos de receitas'!$C:$C,A2323,'Lançamentos de receitas'!$F:$F,"TRANSFERÊNCIA")</f>
        <v>2026.12</v>
      </c>
      <c r="E2323" s="15">
        <f t="shared" si="1"/>
        <v>2026</v>
      </c>
      <c r="F2323" s="15">
        <f t="shared" si="2"/>
        <v>3</v>
      </c>
      <c r="G2323" s="15">
        <f t="shared" si="3"/>
        <v>4</v>
      </c>
    </row>
    <row r="2324">
      <c r="A2324" s="10" t="s">
        <v>27</v>
      </c>
      <c r="B2324" s="9">
        <f t="shared" si="4"/>
        <v>46085</v>
      </c>
      <c r="C2324" s="77" t="s">
        <v>1571</v>
      </c>
      <c r="D2324" s="13">
        <f>SUMIFS('Lançamentos de despesas'!$K:$K,'Lançamentos de despesas'!$C:$C,B2324,'Lançamentos de despesas'!$G:$G,A2324,'Lançamentos de despesas'!$E:$E,"pago")</f>
        <v>0</v>
      </c>
      <c r="E2324" s="15">
        <f t="shared" si="1"/>
        <v>2026</v>
      </c>
      <c r="F2324" s="15">
        <f t="shared" si="2"/>
        <v>3</v>
      </c>
      <c r="G2324" s="15">
        <f t="shared" si="3"/>
        <v>4</v>
      </c>
    </row>
    <row r="2325">
      <c r="A2325" s="10" t="s">
        <v>27</v>
      </c>
      <c r="B2325" s="9">
        <f t="shared" si="4"/>
        <v>46085</v>
      </c>
      <c r="C2325" s="77" t="s">
        <v>1572</v>
      </c>
      <c r="D2325" s="13">
        <f>D2322+D2323-D2324</f>
        <v>95446.109</v>
      </c>
      <c r="E2325" s="15">
        <f t="shared" si="1"/>
        <v>2026</v>
      </c>
      <c r="F2325" s="15">
        <f t="shared" si="2"/>
        <v>3</v>
      </c>
      <c r="G2325" s="15">
        <f t="shared" si="3"/>
        <v>4</v>
      </c>
    </row>
    <row r="2326">
      <c r="A2326" s="10" t="s">
        <v>27</v>
      </c>
      <c r="B2326" s="9">
        <f t="shared" si="4"/>
        <v>46086</v>
      </c>
      <c r="C2326" s="77" t="s">
        <v>1569</v>
      </c>
      <c r="D2326" s="12">
        <f>D2325</f>
        <v>95446.109</v>
      </c>
      <c r="E2326" s="15">
        <f t="shared" si="1"/>
        <v>2026</v>
      </c>
      <c r="F2326" s="15">
        <f t="shared" si="2"/>
        <v>3</v>
      </c>
      <c r="G2326" s="15">
        <f t="shared" si="3"/>
        <v>5</v>
      </c>
    </row>
    <row r="2327">
      <c r="A2327" s="10" t="s">
        <v>27</v>
      </c>
      <c r="B2327" s="9">
        <f t="shared" si="4"/>
        <v>46086</v>
      </c>
      <c r="C2327" s="77" t="s">
        <v>1570</v>
      </c>
      <c r="D2327" s="13">
        <f>SUMIFS('Lançamentos de receitas'!$E:$E,'Lançamentos de receitas'!$A:$A,B2327,'Lançamentos de receitas'!$C:$C,A2327,'Lançamentos de receitas'!$F:$F,"TRANSFERÊNCIA")</f>
        <v>1890.17</v>
      </c>
      <c r="E2327" s="15">
        <f t="shared" si="1"/>
        <v>2026</v>
      </c>
      <c r="F2327" s="15">
        <f t="shared" si="2"/>
        <v>3</v>
      </c>
      <c r="G2327" s="15">
        <f t="shared" si="3"/>
        <v>5</v>
      </c>
    </row>
    <row r="2328">
      <c r="A2328" s="10" t="s">
        <v>27</v>
      </c>
      <c r="B2328" s="9">
        <f t="shared" si="4"/>
        <v>46086</v>
      </c>
      <c r="C2328" s="77" t="s">
        <v>1571</v>
      </c>
      <c r="D2328" s="13">
        <f>SUMIFS('Lançamentos de despesas'!$K:$K,'Lançamentos de despesas'!$C:$C,B2328,'Lançamentos de despesas'!$G:$G,A2328,'Lançamentos de despesas'!$E:$E,"pago")</f>
        <v>0</v>
      </c>
      <c r="E2328" s="15">
        <f t="shared" si="1"/>
        <v>2026</v>
      </c>
      <c r="F2328" s="15">
        <f t="shared" si="2"/>
        <v>3</v>
      </c>
      <c r="G2328" s="15">
        <f t="shared" si="3"/>
        <v>5</v>
      </c>
    </row>
    <row r="2329">
      <c r="A2329" s="10" t="s">
        <v>27</v>
      </c>
      <c r="B2329" s="9">
        <f t="shared" si="4"/>
        <v>46086</v>
      </c>
      <c r="C2329" s="77" t="s">
        <v>1572</v>
      </c>
      <c r="D2329" s="13">
        <f>D2326+D2327-D2328</f>
        <v>97336.279</v>
      </c>
      <c r="E2329" s="15">
        <f t="shared" si="1"/>
        <v>2026</v>
      </c>
      <c r="F2329" s="15">
        <f t="shared" si="2"/>
        <v>3</v>
      </c>
      <c r="G2329" s="15">
        <f t="shared" si="3"/>
        <v>5</v>
      </c>
    </row>
    <row r="2330">
      <c r="A2330" s="10" t="s">
        <v>27</v>
      </c>
      <c r="B2330" s="9">
        <f t="shared" si="4"/>
        <v>46087</v>
      </c>
      <c r="C2330" s="77" t="s">
        <v>1569</v>
      </c>
      <c r="D2330" s="12">
        <f>D2329</f>
        <v>97336.279</v>
      </c>
      <c r="E2330" s="15">
        <f t="shared" si="1"/>
        <v>2026</v>
      </c>
      <c r="F2330" s="15">
        <f t="shared" si="2"/>
        <v>3</v>
      </c>
      <c r="G2330" s="15">
        <f t="shared" si="3"/>
        <v>6</v>
      </c>
    </row>
    <row r="2331">
      <c r="A2331" s="10" t="s">
        <v>27</v>
      </c>
      <c r="B2331" s="9">
        <f t="shared" si="4"/>
        <v>46087</v>
      </c>
      <c r="C2331" s="77" t="s">
        <v>1570</v>
      </c>
      <c r="D2331" s="13">
        <f>SUMIFS('Lançamentos de receitas'!$E:$E,'Lançamentos de receitas'!$A:$A,B2331,'Lançamentos de receitas'!$C:$C,A2331,'Lançamentos de receitas'!$F:$F,"TRANSFERÊNCIA")</f>
        <v>7639.453</v>
      </c>
      <c r="E2331" s="15">
        <f t="shared" si="1"/>
        <v>2026</v>
      </c>
      <c r="F2331" s="15">
        <f t="shared" si="2"/>
        <v>3</v>
      </c>
      <c r="G2331" s="15">
        <f t="shared" si="3"/>
        <v>6</v>
      </c>
    </row>
    <row r="2332">
      <c r="A2332" s="10" t="s">
        <v>27</v>
      </c>
      <c r="B2332" s="9">
        <f t="shared" si="4"/>
        <v>46087</v>
      </c>
      <c r="C2332" s="77" t="s">
        <v>1571</v>
      </c>
      <c r="D2332" s="13">
        <f>SUMIFS('Lançamentos de despesas'!$K:$K,'Lançamentos de despesas'!$C:$C,B2332,'Lançamentos de despesas'!$G:$G,A2332,'Lançamentos de despesas'!$E:$E,"pago")</f>
        <v>0</v>
      </c>
      <c r="E2332" s="15">
        <f t="shared" si="1"/>
        <v>2026</v>
      </c>
      <c r="F2332" s="15">
        <f t="shared" si="2"/>
        <v>3</v>
      </c>
      <c r="G2332" s="15">
        <f t="shared" si="3"/>
        <v>6</v>
      </c>
    </row>
    <row r="2333">
      <c r="A2333" s="10" t="s">
        <v>27</v>
      </c>
      <c r="B2333" s="9">
        <f t="shared" si="4"/>
        <v>46087</v>
      </c>
      <c r="C2333" s="77" t="s">
        <v>1572</v>
      </c>
      <c r="D2333" s="13">
        <f>D2330+D2331-D2332</f>
        <v>104975.732</v>
      </c>
      <c r="E2333" s="15">
        <f t="shared" si="1"/>
        <v>2026</v>
      </c>
      <c r="F2333" s="15">
        <f t="shared" si="2"/>
        <v>3</v>
      </c>
      <c r="G2333" s="15">
        <f t="shared" si="3"/>
        <v>6</v>
      </c>
    </row>
    <row r="2334">
      <c r="A2334" s="10" t="s">
        <v>27</v>
      </c>
      <c r="B2334" s="9">
        <f t="shared" si="4"/>
        <v>46088</v>
      </c>
      <c r="C2334" s="77" t="s">
        <v>1569</v>
      </c>
      <c r="D2334" s="12">
        <f>D2333</f>
        <v>104975.732</v>
      </c>
      <c r="E2334" s="15">
        <f t="shared" si="1"/>
        <v>2026</v>
      </c>
      <c r="F2334" s="15">
        <f t="shared" si="2"/>
        <v>3</v>
      </c>
      <c r="G2334" s="15">
        <f t="shared" si="3"/>
        <v>7</v>
      </c>
    </row>
    <row r="2335">
      <c r="A2335" s="10" t="s">
        <v>27</v>
      </c>
      <c r="B2335" s="9">
        <f t="shared" si="4"/>
        <v>46088</v>
      </c>
      <c r="C2335" s="77" t="s">
        <v>1570</v>
      </c>
      <c r="D2335" s="13">
        <f>SUMIFS('Lançamentos de receitas'!$E:$E,'Lançamentos de receitas'!$A:$A,B2335,'Lançamentos de receitas'!$C:$C,A2335,'Lançamentos de receitas'!$F:$F,"TRANSFERÊNCIA")</f>
        <v>2319.39</v>
      </c>
      <c r="E2335" s="15">
        <f t="shared" si="1"/>
        <v>2026</v>
      </c>
      <c r="F2335" s="15">
        <f t="shared" si="2"/>
        <v>3</v>
      </c>
      <c r="G2335" s="15">
        <f t="shared" si="3"/>
        <v>7</v>
      </c>
    </row>
    <row r="2336">
      <c r="A2336" s="10" t="s">
        <v>27</v>
      </c>
      <c r="B2336" s="9">
        <f t="shared" si="4"/>
        <v>46088</v>
      </c>
      <c r="C2336" s="77" t="s">
        <v>1571</v>
      </c>
      <c r="D2336" s="13">
        <f>SUMIFS('Lançamentos de despesas'!$K:$K,'Lançamentos de despesas'!$C:$C,B2336,'Lançamentos de despesas'!$G:$G,A2336,'Lançamentos de despesas'!$E:$E,"pago")</f>
        <v>0</v>
      </c>
      <c r="E2336" s="15">
        <f t="shared" si="1"/>
        <v>2026</v>
      </c>
      <c r="F2336" s="15">
        <f t="shared" si="2"/>
        <v>3</v>
      </c>
      <c r="G2336" s="15">
        <f t="shared" si="3"/>
        <v>7</v>
      </c>
    </row>
    <row r="2337">
      <c r="A2337" s="10" t="s">
        <v>27</v>
      </c>
      <c r="B2337" s="9">
        <f t="shared" si="4"/>
        <v>46088</v>
      </c>
      <c r="C2337" s="77" t="s">
        <v>1572</v>
      </c>
      <c r="D2337" s="13">
        <f>D2334+D2335-D2336</f>
        <v>107295.122</v>
      </c>
      <c r="E2337" s="15">
        <f t="shared" si="1"/>
        <v>2026</v>
      </c>
      <c r="F2337" s="15">
        <f t="shared" si="2"/>
        <v>3</v>
      </c>
      <c r="G2337" s="15">
        <f t="shared" si="3"/>
        <v>7</v>
      </c>
    </row>
    <row r="2338">
      <c r="A2338" s="10" t="s">
        <v>27</v>
      </c>
      <c r="B2338" s="9">
        <f t="shared" si="4"/>
        <v>46089</v>
      </c>
      <c r="C2338" s="77" t="s">
        <v>1569</v>
      </c>
      <c r="D2338" s="12">
        <f>D2337</f>
        <v>107295.122</v>
      </c>
      <c r="E2338" s="15">
        <f t="shared" si="1"/>
        <v>2026</v>
      </c>
      <c r="F2338" s="15">
        <f t="shared" si="2"/>
        <v>3</v>
      </c>
      <c r="G2338" s="15">
        <f t="shared" si="3"/>
        <v>8</v>
      </c>
    </row>
    <row r="2339">
      <c r="A2339" s="10" t="s">
        <v>27</v>
      </c>
      <c r="B2339" s="9">
        <f t="shared" si="4"/>
        <v>46089</v>
      </c>
      <c r="C2339" s="77" t="s">
        <v>1570</v>
      </c>
      <c r="D2339" s="13">
        <f>SUMIFS('Lançamentos de receitas'!$E:$E,'Lançamentos de receitas'!$A:$A,B2339,'Lançamentos de receitas'!$C:$C,A2339,'Lançamentos de receitas'!$F:$F,"TRANSFERÊNCIA")</f>
        <v>2433.91</v>
      </c>
      <c r="E2339" s="15">
        <f t="shared" si="1"/>
        <v>2026</v>
      </c>
      <c r="F2339" s="15">
        <f t="shared" si="2"/>
        <v>3</v>
      </c>
      <c r="G2339" s="15">
        <f t="shared" si="3"/>
        <v>8</v>
      </c>
    </row>
    <row r="2340">
      <c r="A2340" s="10" t="s">
        <v>27</v>
      </c>
      <c r="B2340" s="9">
        <f t="shared" si="4"/>
        <v>46089</v>
      </c>
      <c r="C2340" s="77" t="s">
        <v>1571</v>
      </c>
      <c r="D2340" s="13">
        <f>SUMIFS('Lançamentos de despesas'!$K:$K,'Lançamentos de despesas'!$C:$C,B2340,'Lançamentos de despesas'!$G:$G,A2340,'Lançamentos de despesas'!$E:$E,"pago")</f>
        <v>0</v>
      </c>
      <c r="E2340" s="15">
        <f t="shared" si="1"/>
        <v>2026</v>
      </c>
      <c r="F2340" s="15">
        <f t="shared" si="2"/>
        <v>3</v>
      </c>
      <c r="G2340" s="15">
        <f t="shared" si="3"/>
        <v>8</v>
      </c>
    </row>
    <row r="2341">
      <c r="A2341" s="10" t="s">
        <v>27</v>
      </c>
      <c r="B2341" s="9">
        <f t="shared" si="4"/>
        <v>46089</v>
      </c>
      <c r="C2341" s="77" t="s">
        <v>1572</v>
      </c>
      <c r="D2341" s="13">
        <f>D2338+D2339-D2340</f>
        <v>109729.032</v>
      </c>
      <c r="E2341" s="15">
        <f t="shared" si="1"/>
        <v>2026</v>
      </c>
      <c r="F2341" s="15">
        <f t="shared" si="2"/>
        <v>3</v>
      </c>
      <c r="G2341" s="15">
        <f t="shared" si="3"/>
        <v>8</v>
      </c>
    </row>
    <row r="2342">
      <c r="A2342" s="10" t="s">
        <v>27</v>
      </c>
      <c r="B2342" s="9">
        <f t="shared" si="4"/>
        <v>46090</v>
      </c>
      <c r="C2342" s="77" t="s">
        <v>1569</v>
      </c>
      <c r="D2342" s="12">
        <f>D2341</f>
        <v>109729.032</v>
      </c>
      <c r="E2342" s="15">
        <f t="shared" si="1"/>
        <v>2026</v>
      </c>
      <c r="F2342" s="15">
        <f t="shared" si="2"/>
        <v>3</v>
      </c>
      <c r="G2342" s="15">
        <f t="shared" si="3"/>
        <v>9</v>
      </c>
    </row>
    <row r="2343">
      <c r="A2343" s="10" t="s">
        <v>27</v>
      </c>
      <c r="B2343" s="9">
        <f t="shared" si="4"/>
        <v>46090</v>
      </c>
      <c r="C2343" s="77" t="s">
        <v>1570</v>
      </c>
      <c r="D2343" s="13">
        <f>SUMIFS('Lançamentos de receitas'!$E:$E,'Lançamentos de receitas'!$A:$A,B2343,'Lançamentos de receitas'!$C:$C,A2343,'Lançamentos de receitas'!$F:$F,"TRANSFERÊNCIA")</f>
        <v>14647.84</v>
      </c>
      <c r="E2343" s="15">
        <f t="shared" si="1"/>
        <v>2026</v>
      </c>
      <c r="F2343" s="15">
        <f t="shared" si="2"/>
        <v>3</v>
      </c>
      <c r="G2343" s="15">
        <f t="shared" si="3"/>
        <v>9</v>
      </c>
    </row>
    <row r="2344">
      <c r="A2344" s="10" t="s">
        <v>27</v>
      </c>
      <c r="B2344" s="9">
        <f t="shared" si="4"/>
        <v>46090</v>
      </c>
      <c r="C2344" s="77" t="s">
        <v>1571</v>
      </c>
      <c r="D2344" s="13">
        <f>SUMIFS('Lançamentos de despesas'!$K:$K,'Lançamentos de despesas'!$C:$C,B2344,'Lançamentos de despesas'!$G:$G,A2344,'Lançamentos de despesas'!$E:$E,"pago")</f>
        <v>2539.6</v>
      </c>
      <c r="E2344" s="15">
        <f t="shared" si="1"/>
        <v>2026</v>
      </c>
      <c r="F2344" s="15">
        <f t="shared" si="2"/>
        <v>3</v>
      </c>
      <c r="G2344" s="15">
        <f t="shared" si="3"/>
        <v>9</v>
      </c>
    </row>
    <row r="2345">
      <c r="A2345" s="10" t="s">
        <v>27</v>
      </c>
      <c r="B2345" s="9">
        <f t="shared" si="4"/>
        <v>46090</v>
      </c>
      <c r="C2345" s="77" t="s">
        <v>1572</v>
      </c>
      <c r="D2345" s="13">
        <f>D2342+D2343-D2344</f>
        <v>121837.272</v>
      </c>
      <c r="E2345" s="15">
        <f t="shared" si="1"/>
        <v>2026</v>
      </c>
      <c r="F2345" s="15">
        <f t="shared" si="2"/>
        <v>3</v>
      </c>
      <c r="G2345" s="15">
        <f t="shared" si="3"/>
        <v>9</v>
      </c>
    </row>
    <row r="2346">
      <c r="A2346" s="10" t="s">
        <v>27</v>
      </c>
      <c r="B2346" s="9">
        <f t="shared" si="4"/>
        <v>46091</v>
      </c>
      <c r="C2346" s="77" t="s">
        <v>1569</v>
      </c>
      <c r="D2346" s="12">
        <f>D2345</f>
        <v>121837.272</v>
      </c>
      <c r="E2346" s="15">
        <f t="shared" si="1"/>
        <v>2026</v>
      </c>
      <c r="F2346" s="15">
        <f t="shared" si="2"/>
        <v>3</v>
      </c>
      <c r="G2346" s="15">
        <f t="shared" si="3"/>
        <v>10</v>
      </c>
    </row>
    <row r="2347">
      <c r="A2347" s="10" t="s">
        <v>27</v>
      </c>
      <c r="B2347" s="9">
        <f t="shared" si="4"/>
        <v>46091</v>
      </c>
      <c r="C2347" s="77" t="s">
        <v>1570</v>
      </c>
      <c r="D2347" s="13">
        <f>SUMIFS('Lançamentos de receitas'!$E:$E,'Lançamentos de receitas'!$A:$A,B2347,'Lançamentos de receitas'!$C:$C,A2347,'Lançamentos de receitas'!$F:$F,"TRANSFERÊNCIA")</f>
        <v>1996.75</v>
      </c>
      <c r="E2347" s="15">
        <f t="shared" si="1"/>
        <v>2026</v>
      </c>
      <c r="F2347" s="15">
        <f t="shared" si="2"/>
        <v>3</v>
      </c>
      <c r="G2347" s="15">
        <f t="shared" si="3"/>
        <v>10</v>
      </c>
    </row>
    <row r="2348">
      <c r="A2348" s="10" t="s">
        <v>27</v>
      </c>
      <c r="B2348" s="9">
        <f t="shared" si="4"/>
        <v>46091</v>
      </c>
      <c r="C2348" s="77" t="s">
        <v>1571</v>
      </c>
      <c r="D2348" s="13">
        <f>SUMIFS('Lançamentos de despesas'!$K:$K,'Lançamentos de despesas'!$C:$C,B2348,'Lançamentos de despesas'!$G:$G,A2348,'Lançamentos de despesas'!$E:$E,"pago")</f>
        <v>4444.8</v>
      </c>
      <c r="E2348" s="15">
        <f t="shared" si="1"/>
        <v>2026</v>
      </c>
      <c r="F2348" s="15">
        <f t="shared" si="2"/>
        <v>3</v>
      </c>
      <c r="G2348" s="15">
        <f t="shared" si="3"/>
        <v>10</v>
      </c>
    </row>
    <row r="2349">
      <c r="A2349" s="10" t="s">
        <v>27</v>
      </c>
      <c r="B2349" s="9">
        <f t="shared" si="4"/>
        <v>46091</v>
      </c>
      <c r="C2349" s="77" t="s">
        <v>1572</v>
      </c>
      <c r="D2349" s="13">
        <f>D2346+D2347-D2348</f>
        <v>119389.222</v>
      </c>
      <c r="E2349" s="15">
        <f t="shared" si="1"/>
        <v>2026</v>
      </c>
      <c r="F2349" s="15">
        <f t="shared" si="2"/>
        <v>3</v>
      </c>
      <c r="G2349" s="15">
        <f t="shared" si="3"/>
        <v>10</v>
      </c>
    </row>
    <row r="2350">
      <c r="A2350" s="10" t="s">
        <v>27</v>
      </c>
      <c r="B2350" s="9">
        <f t="shared" si="4"/>
        <v>46092</v>
      </c>
      <c r="C2350" s="77" t="s">
        <v>1569</v>
      </c>
      <c r="D2350" s="12">
        <f>D2349</f>
        <v>119389.222</v>
      </c>
      <c r="E2350" s="15">
        <f t="shared" si="1"/>
        <v>2026</v>
      </c>
      <c r="F2350" s="15">
        <f t="shared" si="2"/>
        <v>3</v>
      </c>
      <c r="G2350" s="15">
        <f t="shared" si="3"/>
        <v>11</v>
      </c>
    </row>
    <row r="2351">
      <c r="A2351" s="10" t="s">
        <v>27</v>
      </c>
      <c r="B2351" s="9">
        <f t="shared" si="4"/>
        <v>46092</v>
      </c>
      <c r="C2351" s="77" t="s">
        <v>1570</v>
      </c>
      <c r="D2351" s="13">
        <f>SUMIFS('Lançamentos de receitas'!$E:$E,'Lançamentos de receitas'!$A:$A,B2351,'Lançamentos de receitas'!$C:$C,A2351,'Lançamentos de receitas'!$F:$F,"TRANSFERÊNCIA")</f>
        <v>0</v>
      </c>
      <c r="E2351" s="15">
        <f t="shared" si="1"/>
        <v>2026</v>
      </c>
      <c r="F2351" s="15">
        <f t="shared" si="2"/>
        <v>3</v>
      </c>
      <c r="G2351" s="15">
        <f t="shared" si="3"/>
        <v>11</v>
      </c>
    </row>
    <row r="2352">
      <c r="A2352" s="10" t="s">
        <v>27</v>
      </c>
      <c r="B2352" s="9">
        <f t="shared" si="4"/>
        <v>46092</v>
      </c>
      <c r="C2352" s="77" t="s">
        <v>1571</v>
      </c>
      <c r="D2352" s="13">
        <f>SUMIFS('Lançamentos de despesas'!$K:$K,'Lançamentos de despesas'!$C:$C,B2352,'Lançamentos de despesas'!$G:$G,A2352,'Lançamentos de despesas'!$E:$E,"pago")</f>
        <v>0</v>
      </c>
      <c r="E2352" s="15">
        <f t="shared" si="1"/>
        <v>2026</v>
      </c>
      <c r="F2352" s="15">
        <f t="shared" si="2"/>
        <v>3</v>
      </c>
      <c r="G2352" s="15">
        <f t="shared" si="3"/>
        <v>11</v>
      </c>
    </row>
    <row r="2353">
      <c r="A2353" s="10" t="s">
        <v>27</v>
      </c>
      <c r="B2353" s="9">
        <f t="shared" si="4"/>
        <v>46092</v>
      </c>
      <c r="C2353" s="77" t="s">
        <v>1572</v>
      </c>
      <c r="D2353" s="13">
        <f>D2350+D2351-D2352</f>
        <v>119389.222</v>
      </c>
      <c r="E2353" s="15">
        <f t="shared" si="1"/>
        <v>2026</v>
      </c>
      <c r="F2353" s="15">
        <f t="shared" si="2"/>
        <v>3</v>
      </c>
      <c r="G2353" s="15">
        <f t="shared" si="3"/>
        <v>11</v>
      </c>
    </row>
    <row r="2354">
      <c r="A2354" s="10" t="s">
        <v>27</v>
      </c>
      <c r="B2354" s="9">
        <f t="shared" si="4"/>
        <v>46093</v>
      </c>
      <c r="C2354" s="77" t="s">
        <v>1569</v>
      </c>
      <c r="D2354" s="12">
        <f>D2353</f>
        <v>119389.222</v>
      </c>
      <c r="E2354" s="15">
        <f t="shared" si="1"/>
        <v>2026</v>
      </c>
      <c r="F2354" s="15">
        <f t="shared" si="2"/>
        <v>3</v>
      </c>
      <c r="G2354" s="15">
        <f t="shared" si="3"/>
        <v>12</v>
      </c>
    </row>
    <row r="2355">
      <c r="A2355" s="10" t="s">
        <v>27</v>
      </c>
      <c r="B2355" s="9">
        <f t="shared" si="4"/>
        <v>46093</v>
      </c>
      <c r="C2355" s="77" t="s">
        <v>1570</v>
      </c>
      <c r="D2355" s="13">
        <f>SUMIFS('Lançamentos de receitas'!$E:$E,'Lançamentos de receitas'!$A:$A,B2355,'Lançamentos de receitas'!$C:$C,A2355,'Lançamentos de receitas'!$F:$F,"TRANSFERÊNCIA")</f>
        <v>3444.4</v>
      </c>
      <c r="E2355" s="15">
        <f t="shared" si="1"/>
        <v>2026</v>
      </c>
      <c r="F2355" s="15">
        <f t="shared" si="2"/>
        <v>3</v>
      </c>
      <c r="G2355" s="15">
        <f t="shared" si="3"/>
        <v>12</v>
      </c>
    </row>
    <row r="2356">
      <c r="A2356" s="10" t="s">
        <v>27</v>
      </c>
      <c r="B2356" s="9">
        <f t="shared" si="4"/>
        <v>46093</v>
      </c>
      <c r="C2356" s="77" t="s">
        <v>1571</v>
      </c>
      <c r="D2356" s="13">
        <f>SUMIFS('Lançamentos de despesas'!$K:$K,'Lançamentos de despesas'!$C:$C,B2356,'Lançamentos de despesas'!$G:$G,A2356,'Lançamentos de despesas'!$E:$E,"pago")</f>
        <v>0</v>
      </c>
      <c r="E2356" s="15">
        <f t="shared" si="1"/>
        <v>2026</v>
      </c>
      <c r="F2356" s="15">
        <f t="shared" si="2"/>
        <v>3</v>
      </c>
      <c r="G2356" s="15">
        <f t="shared" si="3"/>
        <v>12</v>
      </c>
    </row>
    <row r="2357">
      <c r="A2357" s="10" t="s">
        <v>27</v>
      </c>
      <c r="B2357" s="9">
        <f t="shared" si="4"/>
        <v>46093</v>
      </c>
      <c r="C2357" s="77" t="s">
        <v>1572</v>
      </c>
      <c r="D2357" s="13">
        <f>D2354+D2355-D2356</f>
        <v>122833.622</v>
      </c>
      <c r="E2357" s="15">
        <f t="shared" si="1"/>
        <v>2026</v>
      </c>
      <c r="F2357" s="15">
        <f t="shared" si="2"/>
        <v>3</v>
      </c>
      <c r="G2357" s="15">
        <f t="shared" si="3"/>
        <v>12</v>
      </c>
    </row>
    <row r="2358">
      <c r="A2358" s="10" t="s">
        <v>27</v>
      </c>
      <c r="B2358" s="9">
        <f t="shared" si="4"/>
        <v>46094</v>
      </c>
      <c r="C2358" s="77" t="s">
        <v>1569</v>
      </c>
      <c r="D2358" s="12">
        <f>D2357</f>
        <v>122833.622</v>
      </c>
      <c r="E2358" s="15">
        <f t="shared" si="1"/>
        <v>2026</v>
      </c>
      <c r="F2358" s="15">
        <f t="shared" si="2"/>
        <v>3</v>
      </c>
      <c r="G2358" s="15">
        <f t="shared" si="3"/>
        <v>13</v>
      </c>
    </row>
    <row r="2359">
      <c r="A2359" s="10" t="s">
        <v>27</v>
      </c>
      <c r="B2359" s="9">
        <f t="shared" si="4"/>
        <v>46094</v>
      </c>
      <c r="C2359" s="77" t="s">
        <v>1570</v>
      </c>
      <c r="D2359" s="13">
        <f>SUMIFS('Lançamentos de receitas'!$E:$E,'Lançamentos de receitas'!$A:$A,B2359,'Lançamentos de receitas'!$C:$C,A2359,'Lançamentos de receitas'!$F:$F,"TRANSFERÊNCIA")</f>
        <v>2077.12</v>
      </c>
      <c r="E2359" s="15">
        <f t="shared" si="1"/>
        <v>2026</v>
      </c>
      <c r="F2359" s="15">
        <f t="shared" si="2"/>
        <v>3</v>
      </c>
      <c r="G2359" s="15">
        <f t="shared" si="3"/>
        <v>13</v>
      </c>
    </row>
    <row r="2360">
      <c r="A2360" s="10" t="s">
        <v>27</v>
      </c>
      <c r="B2360" s="9">
        <f t="shared" si="4"/>
        <v>46094</v>
      </c>
      <c r="C2360" s="77" t="s">
        <v>1571</v>
      </c>
      <c r="D2360" s="13">
        <f>SUMIFS('Lançamentos de despesas'!$K:$K,'Lançamentos de despesas'!$C:$C,B2360,'Lançamentos de despesas'!$G:$G,A2360,'Lançamentos de despesas'!$E:$E,"pago")</f>
        <v>6322.38</v>
      </c>
      <c r="E2360" s="15">
        <f t="shared" si="1"/>
        <v>2026</v>
      </c>
      <c r="F2360" s="15">
        <f t="shared" si="2"/>
        <v>3</v>
      </c>
      <c r="G2360" s="15">
        <f t="shared" si="3"/>
        <v>13</v>
      </c>
    </row>
    <row r="2361">
      <c r="A2361" s="10" t="s">
        <v>27</v>
      </c>
      <c r="B2361" s="9">
        <f t="shared" si="4"/>
        <v>46094</v>
      </c>
      <c r="C2361" s="77" t="s">
        <v>1572</v>
      </c>
      <c r="D2361" s="13">
        <f>D2358+D2359-D2360</f>
        <v>118588.362</v>
      </c>
      <c r="E2361" s="15">
        <f t="shared" si="1"/>
        <v>2026</v>
      </c>
      <c r="F2361" s="15">
        <f t="shared" si="2"/>
        <v>3</v>
      </c>
      <c r="G2361" s="15">
        <f t="shared" si="3"/>
        <v>13</v>
      </c>
    </row>
    <row r="2362">
      <c r="A2362" s="10" t="s">
        <v>27</v>
      </c>
      <c r="B2362" s="9">
        <f t="shared" si="4"/>
        <v>46095</v>
      </c>
      <c r="C2362" s="77" t="s">
        <v>1569</v>
      </c>
      <c r="D2362" s="12">
        <f>D2361</f>
        <v>118588.362</v>
      </c>
      <c r="E2362" s="15">
        <f t="shared" si="1"/>
        <v>2026</v>
      </c>
      <c r="F2362" s="15">
        <f t="shared" si="2"/>
        <v>3</v>
      </c>
      <c r="G2362" s="15">
        <f t="shared" si="3"/>
        <v>14</v>
      </c>
    </row>
    <row r="2363">
      <c r="A2363" s="10" t="s">
        <v>27</v>
      </c>
      <c r="B2363" s="9">
        <f t="shared" si="4"/>
        <v>46095</v>
      </c>
      <c r="C2363" s="77" t="s">
        <v>1570</v>
      </c>
      <c r="D2363" s="13">
        <f>SUMIFS('Lançamentos de receitas'!$E:$E,'Lançamentos de receitas'!$A:$A,B2363,'Lançamentos de receitas'!$C:$C,A2363,'Lançamentos de receitas'!$F:$F,"TRANSFERÊNCIA")</f>
        <v>2658.43</v>
      </c>
      <c r="E2363" s="15">
        <f t="shared" si="1"/>
        <v>2026</v>
      </c>
      <c r="F2363" s="15">
        <f t="shared" si="2"/>
        <v>3</v>
      </c>
      <c r="G2363" s="15">
        <f t="shared" si="3"/>
        <v>14</v>
      </c>
    </row>
    <row r="2364">
      <c r="A2364" s="10" t="s">
        <v>27</v>
      </c>
      <c r="B2364" s="9">
        <f t="shared" si="4"/>
        <v>46095</v>
      </c>
      <c r="C2364" s="77" t="s">
        <v>1571</v>
      </c>
      <c r="D2364" s="13">
        <f>SUMIFS('Lançamentos de despesas'!$K:$K,'Lançamentos de despesas'!$C:$C,B2364,'Lançamentos de despesas'!$G:$G,A2364,'Lançamentos de despesas'!$E:$E,"pago")</f>
        <v>4588.04</v>
      </c>
      <c r="E2364" s="15">
        <f t="shared" si="1"/>
        <v>2026</v>
      </c>
      <c r="F2364" s="15">
        <f t="shared" si="2"/>
        <v>3</v>
      </c>
      <c r="G2364" s="15">
        <f t="shared" si="3"/>
        <v>14</v>
      </c>
    </row>
    <row r="2365">
      <c r="A2365" s="10" t="s">
        <v>27</v>
      </c>
      <c r="B2365" s="9">
        <f t="shared" si="4"/>
        <v>46095</v>
      </c>
      <c r="C2365" s="77" t="s">
        <v>1572</v>
      </c>
      <c r="D2365" s="13">
        <f>D2362+D2363-D2364</f>
        <v>116658.752</v>
      </c>
      <c r="E2365" s="15">
        <f t="shared" si="1"/>
        <v>2026</v>
      </c>
      <c r="F2365" s="15">
        <f t="shared" si="2"/>
        <v>3</v>
      </c>
      <c r="G2365" s="15">
        <f t="shared" si="3"/>
        <v>14</v>
      </c>
    </row>
    <row r="2366">
      <c r="A2366" s="10" t="s">
        <v>27</v>
      </c>
      <c r="B2366" s="9">
        <f t="shared" si="4"/>
        <v>46096</v>
      </c>
      <c r="C2366" s="77" t="s">
        <v>1569</v>
      </c>
      <c r="D2366" s="12">
        <f>D2365</f>
        <v>116658.752</v>
      </c>
      <c r="E2366" s="15">
        <f t="shared" si="1"/>
        <v>2026</v>
      </c>
      <c r="F2366" s="15">
        <f t="shared" si="2"/>
        <v>3</v>
      </c>
      <c r="G2366" s="15">
        <f t="shared" si="3"/>
        <v>15</v>
      </c>
    </row>
    <row r="2367">
      <c r="A2367" s="10" t="s">
        <v>27</v>
      </c>
      <c r="B2367" s="9">
        <f t="shared" si="4"/>
        <v>46096</v>
      </c>
      <c r="C2367" s="77" t="s">
        <v>1570</v>
      </c>
      <c r="D2367" s="13">
        <f>SUMIFS('Lançamentos de receitas'!$E:$E,'Lançamentos de receitas'!$A:$A,B2367,'Lançamentos de receitas'!$C:$C,A2367,'Lançamentos de receitas'!$F:$F,"TRANSFERÊNCIA")</f>
        <v>2045.52</v>
      </c>
      <c r="E2367" s="15">
        <f t="shared" si="1"/>
        <v>2026</v>
      </c>
      <c r="F2367" s="15">
        <f t="shared" si="2"/>
        <v>3</v>
      </c>
      <c r="G2367" s="15">
        <f t="shared" si="3"/>
        <v>15</v>
      </c>
    </row>
    <row r="2368">
      <c r="A2368" s="10" t="s">
        <v>27</v>
      </c>
      <c r="B2368" s="9">
        <f t="shared" si="4"/>
        <v>46096</v>
      </c>
      <c r="C2368" s="77" t="s">
        <v>1571</v>
      </c>
      <c r="D2368" s="13">
        <f>SUMIFS('Lançamentos de despesas'!$K:$K,'Lançamentos de despesas'!$C:$C,B2368,'Lançamentos de despesas'!$G:$G,A2368,'Lançamentos de despesas'!$E:$E,"pago")</f>
        <v>0</v>
      </c>
      <c r="E2368" s="15">
        <f t="shared" si="1"/>
        <v>2026</v>
      </c>
      <c r="F2368" s="15">
        <f t="shared" si="2"/>
        <v>3</v>
      </c>
      <c r="G2368" s="15">
        <f t="shared" si="3"/>
        <v>15</v>
      </c>
    </row>
    <row r="2369">
      <c r="A2369" s="10" t="s">
        <v>27</v>
      </c>
      <c r="B2369" s="9">
        <f t="shared" si="4"/>
        <v>46096</v>
      </c>
      <c r="C2369" s="77" t="s">
        <v>1572</v>
      </c>
      <c r="D2369" s="13">
        <f>D2366+D2367-D2368</f>
        <v>118704.272</v>
      </c>
      <c r="E2369" s="15">
        <f t="shared" si="1"/>
        <v>2026</v>
      </c>
      <c r="F2369" s="15">
        <f t="shared" si="2"/>
        <v>3</v>
      </c>
      <c r="G2369" s="15">
        <f t="shared" si="3"/>
        <v>15</v>
      </c>
    </row>
    <row r="2370">
      <c r="A2370" s="10" t="s">
        <v>27</v>
      </c>
      <c r="B2370" s="9">
        <f t="shared" si="4"/>
        <v>46097</v>
      </c>
      <c r="C2370" s="77" t="s">
        <v>1569</v>
      </c>
      <c r="D2370" s="12">
        <f>D2369</f>
        <v>118704.272</v>
      </c>
      <c r="E2370" s="15">
        <f t="shared" si="1"/>
        <v>2026</v>
      </c>
      <c r="F2370" s="15">
        <f t="shared" si="2"/>
        <v>3</v>
      </c>
      <c r="G2370" s="15">
        <f t="shared" si="3"/>
        <v>16</v>
      </c>
    </row>
    <row r="2371">
      <c r="A2371" s="10" t="s">
        <v>27</v>
      </c>
      <c r="B2371" s="9">
        <f t="shared" si="4"/>
        <v>46097</v>
      </c>
      <c r="C2371" s="77" t="s">
        <v>1570</v>
      </c>
      <c r="D2371" s="13">
        <f>SUMIFS('Lançamentos de receitas'!$E:$E,'Lançamentos de receitas'!$A:$A,B2371,'Lançamentos de receitas'!$C:$C,A2371,'Lançamentos de receitas'!$F:$F,"TRANSFERÊNCIA")</f>
        <v>27638.68</v>
      </c>
      <c r="E2371" s="15">
        <f t="shared" si="1"/>
        <v>2026</v>
      </c>
      <c r="F2371" s="15">
        <f t="shared" si="2"/>
        <v>3</v>
      </c>
      <c r="G2371" s="15">
        <f t="shared" si="3"/>
        <v>16</v>
      </c>
    </row>
    <row r="2372">
      <c r="A2372" s="10" t="s">
        <v>27</v>
      </c>
      <c r="B2372" s="9">
        <f t="shared" si="4"/>
        <v>46097</v>
      </c>
      <c r="C2372" s="77" t="s">
        <v>1571</v>
      </c>
      <c r="D2372" s="13">
        <f>SUMIFS('Lançamentos de despesas'!$K:$K,'Lançamentos de despesas'!$C:$C,B2372,'Lançamentos de despesas'!$G:$G,A2372,'Lançamentos de despesas'!$E:$E,"pago")</f>
        <v>100</v>
      </c>
      <c r="E2372" s="15">
        <f t="shared" si="1"/>
        <v>2026</v>
      </c>
      <c r="F2372" s="15">
        <f t="shared" si="2"/>
        <v>3</v>
      </c>
      <c r="G2372" s="15">
        <f t="shared" si="3"/>
        <v>16</v>
      </c>
    </row>
    <row r="2373">
      <c r="A2373" s="10" t="s">
        <v>27</v>
      </c>
      <c r="B2373" s="9">
        <f t="shared" si="4"/>
        <v>46097</v>
      </c>
      <c r="C2373" s="77" t="s">
        <v>1572</v>
      </c>
      <c r="D2373" s="13">
        <f>D2370+D2371-D2372</f>
        <v>146242.952</v>
      </c>
      <c r="E2373" s="15">
        <f t="shared" si="1"/>
        <v>2026</v>
      </c>
      <c r="F2373" s="15">
        <f t="shared" si="2"/>
        <v>3</v>
      </c>
      <c r="G2373" s="15">
        <f t="shared" si="3"/>
        <v>16</v>
      </c>
    </row>
    <row r="2374">
      <c r="A2374" s="10" t="s">
        <v>27</v>
      </c>
      <c r="B2374" s="9">
        <f t="shared" si="4"/>
        <v>46098</v>
      </c>
      <c r="C2374" s="77" t="s">
        <v>1569</v>
      </c>
      <c r="D2374" s="12">
        <f>D2373</f>
        <v>146242.952</v>
      </c>
      <c r="E2374" s="15">
        <f t="shared" si="1"/>
        <v>2026</v>
      </c>
      <c r="F2374" s="15">
        <f t="shared" si="2"/>
        <v>3</v>
      </c>
      <c r="G2374" s="15">
        <f t="shared" si="3"/>
        <v>17</v>
      </c>
    </row>
    <row r="2375">
      <c r="A2375" s="10" t="s">
        <v>27</v>
      </c>
      <c r="B2375" s="9">
        <f t="shared" si="4"/>
        <v>46098</v>
      </c>
      <c r="C2375" s="77" t="s">
        <v>1570</v>
      </c>
      <c r="D2375" s="13">
        <f>SUMIFS('Lançamentos de receitas'!$E:$E,'Lançamentos de receitas'!$A:$A,B2375,'Lançamentos de receitas'!$C:$C,A2375,'Lançamentos de receitas'!$F:$F,"TRANSFERÊNCIA")</f>
        <v>824.78</v>
      </c>
      <c r="E2375" s="15">
        <f t="shared" si="1"/>
        <v>2026</v>
      </c>
      <c r="F2375" s="15">
        <f t="shared" si="2"/>
        <v>3</v>
      </c>
      <c r="G2375" s="15">
        <f t="shared" si="3"/>
        <v>17</v>
      </c>
    </row>
    <row r="2376">
      <c r="A2376" s="10" t="s">
        <v>27</v>
      </c>
      <c r="B2376" s="9">
        <f t="shared" si="4"/>
        <v>46098</v>
      </c>
      <c r="C2376" s="77" t="s">
        <v>1571</v>
      </c>
      <c r="D2376" s="13">
        <f>SUMIFS('Lançamentos de despesas'!$K:$K,'Lançamentos de despesas'!$C:$C,B2376,'Lançamentos de despesas'!$G:$G,A2376,'Lançamentos de despesas'!$E:$E,"pago")</f>
        <v>0</v>
      </c>
      <c r="E2376" s="15">
        <f t="shared" si="1"/>
        <v>2026</v>
      </c>
      <c r="F2376" s="15">
        <f t="shared" si="2"/>
        <v>3</v>
      </c>
      <c r="G2376" s="15">
        <f t="shared" si="3"/>
        <v>17</v>
      </c>
    </row>
    <row r="2377">
      <c r="A2377" s="10" t="s">
        <v>27</v>
      </c>
      <c r="B2377" s="9">
        <f t="shared" si="4"/>
        <v>46098</v>
      </c>
      <c r="C2377" s="77" t="s">
        <v>1572</v>
      </c>
      <c r="D2377" s="13">
        <f>D2374+D2375-D2376</f>
        <v>147067.732</v>
      </c>
      <c r="E2377" s="15">
        <f t="shared" si="1"/>
        <v>2026</v>
      </c>
      <c r="F2377" s="15">
        <f t="shared" si="2"/>
        <v>3</v>
      </c>
      <c r="G2377" s="15">
        <f t="shared" si="3"/>
        <v>17</v>
      </c>
    </row>
    <row r="2378">
      <c r="A2378" s="10" t="s">
        <v>27</v>
      </c>
      <c r="B2378" s="9">
        <f t="shared" si="4"/>
        <v>46099</v>
      </c>
      <c r="C2378" s="77" t="s">
        <v>1569</v>
      </c>
      <c r="D2378" s="12">
        <f>D2377</f>
        <v>147067.732</v>
      </c>
      <c r="E2378" s="15">
        <f t="shared" si="1"/>
        <v>2026</v>
      </c>
      <c r="F2378" s="15">
        <f t="shared" si="2"/>
        <v>3</v>
      </c>
      <c r="G2378" s="15">
        <f t="shared" si="3"/>
        <v>18</v>
      </c>
    </row>
    <row r="2379">
      <c r="A2379" s="10" t="s">
        <v>27</v>
      </c>
      <c r="B2379" s="9">
        <f t="shared" si="4"/>
        <v>46099</v>
      </c>
      <c r="C2379" s="77" t="s">
        <v>1570</v>
      </c>
      <c r="D2379" s="13">
        <f>SUMIFS('Lançamentos de receitas'!$E:$E,'Lançamentos de receitas'!$A:$A,B2379,'Lançamentos de receitas'!$C:$C,A2379,'Lançamentos de receitas'!$F:$F,"TRANSFERÊNCIA")</f>
        <v>1391.02</v>
      </c>
      <c r="E2379" s="15">
        <f t="shared" si="1"/>
        <v>2026</v>
      </c>
      <c r="F2379" s="15">
        <f t="shared" si="2"/>
        <v>3</v>
      </c>
      <c r="G2379" s="15">
        <f t="shared" si="3"/>
        <v>18</v>
      </c>
    </row>
    <row r="2380">
      <c r="A2380" s="10" t="s">
        <v>27</v>
      </c>
      <c r="B2380" s="9">
        <f t="shared" si="4"/>
        <v>46099</v>
      </c>
      <c r="C2380" s="77" t="s">
        <v>1571</v>
      </c>
      <c r="D2380" s="13">
        <f>SUMIFS('Lançamentos de despesas'!$K:$K,'Lançamentos de despesas'!$C:$C,B2380,'Lançamentos de despesas'!$G:$G,A2380,'Lançamentos de despesas'!$E:$E,"pago")</f>
        <v>2880.15</v>
      </c>
      <c r="E2380" s="15">
        <f t="shared" si="1"/>
        <v>2026</v>
      </c>
      <c r="F2380" s="15">
        <f t="shared" si="2"/>
        <v>3</v>
      </c>
      <c r="G2380" s="15">
        <f t="shared" si="3"/>
        <v>18</v>
      </c>
    </row>
    <row r="2381">
      <c r="A2381" s="10" t="s">
        <v>27</v>
      </c>
      <c r="B2381" s="9">
        <f t="shared" si="4"/>
        <v>46099</v>
      </c>
      <c r="C2381" s="77" t="s">
        <v>1572</v>
      </c>
      <c r="D2381" s="13">
        <f>D2378+D2379-D2380</f>
        <v>145578.602</v>
      </c>
      <c r="E2381" s="15">
        <f t="shared" si="1"/>
        <v>2026</v>
      </c>
      <c r="F2381" s="15">
        <f t="shared" si="2"/>
        <v>3</v>
      </c>
      <c r="G2381" s="15">
        <f t="shared" si="3"/>
        <v>18</v>
      </c>
    </row>
    <row r="2382">
      <c r="A2382" s="10" t="s">
        <v>27</v>
      </c>
      <c r="B2382" s="9">
        <f t="shared" si="4"/>
        <v>46100</v>
      </c>
      <c r="C2382" s="77" t="s">
        <v>1569</v>
      </c>
      <c r="D2382" s="12">
        <f>D2381</f>
        <v>145578.602</v>
      </c>
      <c r="E2382" s="15">
        <f t="shared" si="1"/>
        <v>2026</v>
      </c>
      <c r="F2382" s="15">
        <f t="shared" si="2"/>
        <v>3</v>
      </c>
      <c r="G2382" s="15">
        <f t="shared" si="3"/>
        <v>19</v>
      </c>
    </row>
    <row r="2383">
      <c r="A2383" s="10" t="s">
        <v>27</v>
      </c>
      <c r="B2383" s="9">
        <f t="shared" si="4"/>
        <v>46100</v>
      </c>
      <c r="C2383" s="77" t="s">
        <v>1570</v>
      </c>
      <c r="D2383" s="13">
        <f>SUMIFS('Lançamentos de receitas'!$E:$E,'Lançamentos de receitas'!$A:$A,B2383,'Lançamentos de receitas'!$C:$C,A2383,'Lançamentos de receitas'!$F:$F,"TRANSFERÊNCIA")</f>
        <v>1126.57</v>
      </c>
      <c r="E2383" s="15">
        <f t="shared" si="1"/>
        <v>2026</v>
      </c>
      <c r="F2383" s="15">
        <f t="shared" si="2"/>
        <v>3</v>
      </c>
      <c r="G2383" s="15">
        <f t="shared" si="3"/>
        <v>19</v>
      </c>
    </row>
    <row r="2384">
      <c r="A2384" s="10" t="s">
        <v>27</v>
      </c>
      <c r="B2384" s="9">
        <f t="shared" si="4"/>
        <v>46100</v>
      </c>
      <c r="C2384" s="77" t="s">
        <v>1571</v>
      </c>
      <c r="D2384" s="13">
        <f>SUMIFS('Lançamentos de despesas'!$K:$K,'Lançamentos de despesas'!$C:$C,B2384,'Lançamentos de despesas'!$G:$G,A2384,'Lançamentos de despesas'!$E:$E,"pago")</f>
        <v>0</v>
      </c>
      <c r="E2384" s="15">
        <f t="shared" si="1"/>
        <v>2026</v>
      </c>
      <c r="F2384" s="15">
        <f t="shared" si="2"/>
        <v>3</v>
      </c>
      <c r="G2384" s="15">
        <f t="shared" si="3"/>
        <v>19</v>
      </c>
    </row>
    <row r="2385">
      <c r="A2385" s="10" t="s">
        <v>27</v>
      </c>
      <c r="B2385" s="9">
        <f t="shared" si="4"/>
        <v>46100</v>
      </c>
      <c r="C2385" s="77" t="s">
        <v>1572</v>
      </c>
      <c r="D2385" s="13">
        <f>D2382+D2383-D2384</f>
        <v>146705.172</v>
      </c>
      <c r="E2385" s="15">
        <f t="shared" si="1"/>
        <v>2026</v>
      </c>
      <c r="F2385" s="15">
        <f t="shared" si="2"/>
        <v>3</v>
      </c>
      <c r="G2385" s="15">
        <f t="shared" si="3"/>
        <v>19</v>
      </c>
    </row>
    <row r="2386">
      <c r="A2386" s="10" t="s">
        <v>27</v>
      </c>
      <c r="B2386" s="9">
        <f t="shared" si="4"/>
        <v>46101</v>
      </c>
      <c r="C2386" s="77" t="s">
        <v>1569</v>
      </c>
      <c r="D2386" s="12">
        <f>D2385</f>
        <v>146705.172</v>
      </c>
      <c r="E2386" s="15">
        <f t="shared" si="1"/>
        <v>2026</v>
      </c>
      <c r="F2386" s="15">
        <f t="shared" si="2"/>
        <v>3</v>
      </c>
      <c r="G2386" s="15">
        <f t="shared" si="3"/>
        <v>20</v>
      </c>
    </row>
    <row r="2387">
      <c r="A2387" s="10" t="s">
        <v>27</v>
      </c>
      <c r="B2387" s="9">
        <f t="shared" si="4"/>
        <v>46101</v>
      </c>
      <c r="C2387" s="77" t="s">
        <v>1570</v>
      </c>
      <c r="D2387" s="13">
        <f>SUMIFS('Lançamentos de receitas'!$E:$E,'Lançamentos de receitas'!$A:$A,B2387,'Lançamentos de receitas'!$C:$C,A2387,'Lançamentos de receitas'!$F:$F,"TRANSFERÊNCIA")</f>
        <v>5152.56</v>
      </c>
      <c r="E2387" s="15">
        <f t="shared" si="1"/>
        <v>2026</v>
      </c>
      <c r="F2387" s="15">
        <f t="shared" si="2"/>
        <v>3</v>
      </c>
      <c r="G2387" s="15">
        <f t="shared" si="3"/>
        <v>20</v>
      </c>
    </row>
    <row r="2388">
      <c r="A2388" s="10" t="s">
        <v>27</v>
      </c>
      <c r="B2388" s="9">
        <f t="shared" si="4"/>
        <v>46101</v>
      </c>
      <c r="C2388" s="77" t="s">
        <v>1571</v>
      </c>
      <c r="D2388" s="13">
        <f>SUMIFS('Lançamentos de despesas'!$K:$K,'Lançamentos de despesas'!$C:$C,B2388,'Lançamentos de despesas'!$G:$G,A2388,'Lançamentos de despesas'!$E:$E,"pago")</f>
        <v>29118.06</v>
      </c>
      <c r="E2388" s="15">
        <f t="shared" si="1"/>
        <v>2026</v>
      </c>
      <c r="F2388" s="15">
        <f t="shared" si="2"/>
        <v>3</v>
      </c>
      <c r="G2388" s="15">
        <f t="shared" si="3"/>
        <v>20</v>
      </c>
    </row>
    <row r="2389">
      <c r="A2389" s="10" t="s">
        <v>27</v>
      </c>
      <c r="B2389" s="9">
        <f t="shared" si="4"/>
        <v>46101</v>
      </c>
      <c r="C2389" s="77" t="s">
        <v>1572</v>
      </c>
      <c r="D2389" s="13">
        <f>D2386+D2387-D2388</f>
        <v>122739.672</v>
      </c>
      <c r="E2389" s="15">
        <f t="shared" si="1"/>
        <v>2026</v>
      </c>
      <c r="F2389" s="15">
        <f t="shared" si="2"/>
        <v>3</v>
      </c>
      <c r="G2389" s="15">
        <f t="shared" si="3"/>
        <v>20</v>
      </c>
    </row>
    <row r="2390">
      <c r="A2390" s="10" t="s">
        <v>27</v>
      </c>
      <c r="B2390" s="9">
        <f t="shared" si="4"/>
        <v>46102</v>
      </c>
      <c r="C2390" s="77" t="s">
        <v>1569</v>
      </c>
      <c r="D2390" s="12">
        <f>D2389</f>
        <v>122739.672</v>
      </c>
      <c r="E2390" s="15">
        <f t="shared" si="1"/>
        <v>2026</v>
      </c>
      <c r="F2390" s="15">
        <f t="shared" si="2"/>
        <v>3</v>
      </c>
      <c r="G2390" s="15">
        <f t="shared" si="3"/>
        <v>21</v>
      </c>
    </row>
    <row r="2391">
      <c r="A2391" s="10" t="s">
        <v>27</v>
      </c>
      <c r="B2391" s="9">
        <f t="shared" si="4"/>
        <v>46102</v>
      </c>
      <c r="C2391" s="77" t="s">
        <v>1570</v>
      </c>
      <c r="D2391" s="13">
        <f>SUMIFS('Lançamentos de receitas'!$E:$E,'Lançamentos de receitas'!$A:$A,B2391,'Lançamentos de receitas'!$C:$C,A2391,'Lançamentos de receitas'!$F:$F,"TRANSFERÊNCIA")</f>
        <v>1723.38</v>
      </c>
      <c r="E2391" s="15">
        <f t="shared" si="1"/>
        <v>2026</v>
      </c>
      <c r="F2391" s="15">
        <f t="shared" si="2"/>
        <v>3</v>
      </c>
      <c r="G2391" s="15">
        <f t="shared" si="3"/>
        <v>21</v>
      </c>
    </row>
    <row r="2392">
      <c r="A2392" s="10" t="s">
        <v>27</v>
      </c>
      <c r="B2392" s="9">
        <f t="shared" si="4"/>
        <v>46102</v>
      </c>
      <c r="C2392" s="77" t="s">
        <v>1571</v>
      </c>
      <c r="D2392" s="13">
        <f>SUMIFS('Lançamentos de despesas'!$K:$K,'Lançamentos de despesas'!$C:$C,B2392,'Lançamentos de despesas'!$G:$G,A2392,'Lançamentos de despesas'!$E:$E,"pago")</f>
        <v>0</v>
      </c>
      <c r="E2392" s="15">
        <f t="shared" si="1"/>
        <v>2026</v>
      </c>
      <c r="F2392" s="15">
        <f t="shared" si="2"/>
        <v>3</v>
      </c>
      <c r="G2392" s="15">
        <f t="shared" si="3"/>
        <v>21</v>
      </c>
    </row>
    <row r="2393">
      <c r="A2393" s="10" t="s">
        <v>27</v>
      </c>
      <c r="B2393" s="9">
        <f t="shared" si="4"/>
        <v>46102</v>
      </c>
      <c r="C2393" s="77" t="s">
        <v>1572</v>
      </c>
      <c r="D2393" s="13">
        <f>D2390+D2391-D2392</f>
        <v>124463.052</v>
      </c>
      <c r="E2393" s="15">
        <f t="shared" si="1"/>
        <v>2026</v>
      </c>
      <c r="F2393" s="15">
        <f t="shared" si="2"/>
        <v>3</v>
      </c>
      <c r="G2393" s="15">
        <f t="shared" si="3"/>
        <v>21</v>
      </c>
    </row>
    <row r="2394">
      <c r="A2394" s="10" t="s">
        <v>27</v>
      </c>
      <c r="B2394" s="9">
        <f t="shared" si="4"/>
        <v>46103</v>
      </c>
      <c r="C2394" s="77" t="s">
        <v>1569</v>
      </c>
      <c r="D2394" s="12">
        <f>D2393</f>
        <v>124463.052</v>
      </c>
      <c r="E2394" s="15">
        <f t="shared" si="1"/>
        <v>2026</v>
      </c>
      <c r="F2394" s="15">
        <f t="shared" si="2"/>
        <v>3</v>
      </c>
      <c r="G2394" s="15">
        <f t="shared" si="3"/>
        <v>22</v>
      </c>
    </row>
    <row r="2395">
      <c r="A2395" s="10" t="s">
        <v>27</v>
      </c>
      <c r="B2395" s="9">
        <f t="shared" si="4"/>
        <v>46103</v>
      </c>
      <c r="C2395" s="77" t="s">
        <v>1570</v>
      </c>
      <c r="D2395" s="13">
        <f>SUMIFS('Lançamentos de receitas'!$E:$E,'Lançamentos de receitas'!$A:$A,B2395,'Lançamentos de receitas'!$C:$C,A2395,'Lançamentos de receitas'!$F:$F,"TRANSFERÊNCIA")</f>
        <v>860.09</v>
      </c>
      <c r="E2395" s="15">
        <f t="shared" si="1"/>
        <v>2026</v>
      </c>
      <c r="F2395" s="15">
        <f t="shared" si="2"/>
        <v>3</v>
      </c>
      <c r="G2395" s="15">
        <f t="shared" si="3"/>
        <v>22</v>
      </c>
    </row>
    <row r="2396">
      <c r="A2396" s="10" t="s">
        <v>27</v>
      </c>
      <c r="B2396" s="9">
        <f t="shared" si="4"/>
        <v>46103</v>
      </c>
      <c r="C2396" s="77" t="s">
        <v>1571</v>
      </c>
      <c r="D2396" s="13">
        <f>SUMIFS('Lançamentos de despesas'!$K:$K,'Lançamentos de despesas'!$C:$C,B2396,'Lançamentos de despesas'!$G:$G,A2396,'Lançamentos de despesas'!$E:$E,"pago")</f>
        <v>0</v>
      </c>
      <c r="E2396" s="15">
        <f t="shared" si="1"/>
        <v>2026</v>
      </c>
      <c r="F2396" s="15">
        <f t="shared" si="2"/>
        <v>3</v>
      </c>
      <c r="G2396" s="15">
        <f t="shared" si="3"/>
        <v>22</v>
      </c>
    </row>
    <row r="2397">
      <c r="A2397" s="10" t="s">
        <v>27</v>
      </c>
      <c r="B2397" s="9">
        <f t="shared" si="4"/>
        <v>46103</v>
      </c>
      <c r="C2397" s="77" t="s">
        <v>1572</v>
      </c>
      <c r="D2397" s="13">
        <f>D2394+D2395-D2396</f>
        <v>125323.142</v>
      </c>
      <c r="E2397" s="15">
        <f t="shared" si="1"/>
        <v>2026</v>
      </c>
      <c r="F2397" s="15">
        <f t="shared" si="2"/>
        <v>3</v>
      </c>
      <c r="G2397" s="15">
        <f t="shared" si="3"/>
        <v>22</v>
      </c>
    </row>
    <row r="2398">
      <c r="A2398" s="10" t="s">
        <v>27</v>
      </c>
      <c r="B2398" s="9">
        <f t="shared" si="4"/>
        <v>46104</v>
      </c>
      <c r="C2398" s="77" t="s">
        <v>1569</v>
      </c>
      <c r="D2398" s="12">
        <f>D2397</f>
        <v>125323.142</v>
      </c>
      <c r="E2398" s="15">
        <f t="shared" si="1"/>
        <v>2026</v>
      </c>
      <c r="F2398" s="15">
        <f t="shared" si="2"/>
        <v>3</v>
      </c>
      <c r="G2398" s="15">
        <f t="shared" si="3"/>
        <v>23</v>
      </c>
    </row>
    <row r="2399">
      <c r="A2399" s="10" t="s">
        <v>27</v>
      </c>
      <c r="B2399" s="9">
        <f t="shared" si="4"/>
        <v>46104</v>
      </c>
      <c r="C2399" s="77" t="s">
        <v>1570</v>
      </c>
      <c r="D2399" s="13">
        <f>SUMIFS('Lançamentos de receitas'!$E:$E,'Lançamentos de receitas'!$A:$A,B2399,'Lançamentos de receitas'!$C:$C,A2399,'Lançamentos de receitas'!$F:$F,"TRANSFERÊNCIA")</f>
        <v>15084.95</v>
      </c>
      <c r="E2399" s="15">
        <f t="shared" si="1"/>
        <v>2026</v>
      </c>
      <c r="F2399" s="15">
        <f t="shared" si="2"/>
        <v>3</v>
      </c>
      <c r="G2399" s="15">
        <f t="shared" si="3"/>
        <v>23</v>
      </c>
    </row>
    <row r="2400">
      <c r="A2400" s="10" t="s">
        <v>27</v>
      </c>
      <c r="B2400" s="9">
        <f t="shared" si="4"/>
        <v>46104</v>
      </c>
      <c r="C2400" s="77" t="s">
        <v>1571</v>
      </c>
      <c r="D2400" s="13">
        <f>SUMIFS('Lançamentos de despesas'!$K:$K,'Lançamentos de despesas'!$C:$C,B2400,'Lançamentos de despesas'!$G:$G,A2400,'Lançamentos de despesas'!$E:$E,"pago")</f>
        <v>0</v>
      </c>
      <c r="E2400" s="15">
        <f t="shared" si="1"/>
        <v>2026</v>
      </c>
      <c r="F2400" s="15">
        <f t="shared" si="2"/>
        <v>3</v>
      </c>
      <c r="G2400" s="15">
        <f t="shared" si="3"/>
        <v>23</v>
      </c>
    </row>
    <row r="2401">
      <c r="A2401" s="10" t="s">
        <v>27</v>
      </c>
      <c r="B2401" s="9">
        <f t="shared" si="4"/>
        <v>46104</v>
      </c>
      <c r="C2401" s="77" t="s">
        <v>1572</v>
      </c>
      <c r="D2401" s="13">
        <f>D2398+D2399-D2400</f>
        <v>140408.092</v>
      </c>
      <c r="E2401" s="15">
        <f t="shared" si="1"/>
        <v>2026</v>
      </c>
      <c r="F2401" s="15">
        <f t="shared" si="2"/>
        <v>3</v>
      </c>
      <c r="G2401" s="15">
        <f t="shared" si="3"/>
        <v>23</v>
      </c>
    </row>
    <row r="2402">
      <c r="A2402" s="10" t="s">
        <v>27</v>
      </c>
      <c r="B2402" s="9">
        <f t="shared" si="4"/>
        <v>46105</v>
      </c>
      <c r="C2402" s="77" t="s">
        <v>1569</v>
      </c>
      <c r="D2402" s="12">
        <f>D2401</f>
        <v>140408.092</v>
      </c>
      <c r="E2402" s="15">
        <f t="shared" si="1"/>
        <v>2026</v>
      </c>
      <c r="F2402" s="15">
        <f t="shared" si="2"/>
        <v>3</v>
      </c>
      <c r="G2402" s="15">
        <f t="shared" si="3"/>
        <v>24</v>
      </c>
    </row>
    <row r="2403">
      <c r="A2403" s="10" t="s">
        <v>27</v>
      </c>
      <c r="B2403" s="9">
        <f t="shared" si="4"/>
        <v>46105</v>
      </c>
      <c r="C2403" s="77" t="s">
        <v>1570</v>
      </c>
      <c r="D2403" s="13">
        <f>SUMIFS('Lançamentos de receitas'!$E:$E,'Lançamentos de receitas'!$A:$A,B2403,'Lançamentos de receitas'!$C:$C,A2403,'Lançamentos de receitas'!$F:$F,"TRANSFERÊNCIA")</f>
        <v>0</v>
      </c>
      <c r="E2403" s="15">
        <f t="shared" si="1"/>
        <v>2026</v>
      </c>
      <c r="F2403" s="15">
        <f t="shared" si="2"/>
        <v>3</v>
      </c>
      <c r="G2403" s="15">
        <f t="shared" si="3"/>
        <v>24</v>
      </c>
    </row>
    <row r="2404">
      <c r="A2404" s="10" t="s">
        <v>27</v>
      </c>
      <c r="B2404" s="9">
        <f t="shared" si="4"/>
        <v>46105</v>
      </c>
      <c r="C2404" s="77" t="s">
        <v>1571</v>
      </c>
      <c r="D2404" s="13">
        <f>SUMIFS('Lançamentos de despesas'!$K:$K,'Lançamentos de despesas'!$C:$C,B2404,'Lançamentos de despesas'!$G:$G,A2404,'Lançamentos de despesas'!$E:$E,"pago")</f>
        <v>0</v>
      </c>
      <c r="E2404" s="15">
        <f t="shared" si="1"/>
        <v>2026</v>
      </c>
      <c r="F2404" s="15">
        <f t="shared" si="2"/>
        <v>3</v>
      </c>
      <c r="G2404" s="15">
        <f t="shared" si="3"/>
        <v>24</v>
      </c>
    </row>
    <row r="2405">
      <c r="A2405" s="10" t="s">
        <v>27</v>
      </c>
      <c r="B2405" s="9">
        <f t="shared" si="4"/>
        <v>46105</v>
      </c>
      <c r="C2405" s="77" t="s">
        <v>1572</v>
      </c>
      <c r="D2405" s="13">
        <f>D2402+D2403-D2404</f>
        <v>140408.092</v>
      </c>
      <c r="E2405" s="15">
        <f t="shared" si="1"/>
        <v>2026</v>
      </c>
      <c r="F2405" s="15">
        <f t="shared" si="2"/>
        <v>3</v>
      </c>
      <c r="G2405" s="15">
        <f t="shared" si="3"/>
        <v>24</v>
      </c>
    </row>
    <row r="2406">
      <c r="A2406" s="10" t="s">
        <v>27</v>
      </c>
      <c r="B2406" s="9">
        <f t="shared" si="4"/>
        <v>46106</v>
      </c>
      <c r="C2406" s="77" t="s">
        <v>1569</v>
      </c>
      <c r="D2406" s="12">
        <f>D2405</f>
        <v>140408.092</v>
      </c>
      <c r="E2406" s="15">
        <f t="shared" si="1"/>
        <v>2026</v>
      </c>
      <c r="F2406" s="15">
        <f t="shared" si="2"/>
        <v>3</v>
      </c>
      <c r="G2406" s="15">
        <f t="shared" si="3"/>
        <v>25</v>
      </c>
    </row>
    <row r="2407">
      <c r="A2407" s="10" t="s">
        <v>27</v>
      </c>
      <c r="B2407" s="9">
        <f t="shared" si="4"/>
        <v>46106</v>
      </c>
      <c r="C2407" s="77" t="s">
        <v>1570</v>
      </c>
      <c r="D2407" s="13">
        <f>SUMIFS('Lançamentos de receitas'!$E:$E,'Lançamentos de receitas'!$A:$A,B2407,'Lançamentos de receitas'!$C:$C,A2407,'Lançamentos de receitas'!$F:$F,"TRANSFERÊNCIA")</f>
        <v>0</v>
      </c>
      <c r="E2407" s="15">
        <f t="shared" si="1"/>
        <v>2026</v>
      </c>
      <c r="F2407" s="15">
        <f t="shared" si="2"/>
        <v>3</v>
      </c>
      <c r="G2407" s="15">
        <f t="shared" si="3"/>
        <v>25</v>
      </c>
    </row>
    <row r="2408">
      <c r="A2408" s="10" t="s">
        <v>27</v>
      </c>
      <c r="B2408" s="9">
        <f t="shared" si="4"/>
        <v>46106</v>
      </c>
      <c r="C2408" s="77" t="s">
        <v>1571</v>
      </c>
      <c r="D2408" s="13">
        <f>SUMIFS('Lançamentos de despesas'!$K:$K,'Lançamentos de despesas'!$C:$C,B2408,'Lançamentos de despesas'!$G:$G,A2408,'Lançamentos de despesas'!$E:$E,"pago")</f>
        <v>0</v>
      </c>
      <c r="E2408" s="15">
        <f t="shared" si="1"/>
        <v>2026</v>
      </c>
      <c r="F2408" s="15">
        <f t="shared" si="2"/>
        <v>3</v>
      </c>
      <c r="G2408" s="15">
        <f t="shared" si="3"/>
        <v>25</v>
      </c>
    </row>
    <row r="2409">
      <c r="A2409" s="10" t="s">
        <v>27</v>
      </c>
      <c r="B2409" s="9">
        <f t="shared" si="4"/>
        <v>46106</v>
      </c>
      <c r="C2409" s="77" t="s">
        <v>1572</v>
      </c>
      <c r="D2409" s="13">
        <f>D2406+D2407-D2408</f>
        <v>140408.092</v>
      </c>
      <c r="E2409" s="15">
        <f t="shared" si="1"/>
        <v>2026</v>
      </c>
      <c r="F2409" s="15">
        <f t="shared" si="2"/>
        <v>3</v>
      </c>
      <c r="G2409" s="15">
        <f t="shared" si="3"/>
        <v>25</v>
      </c>
    </row>
    <row r="2410">
      <c r="A2410" s="10" t="s">
        <v>27</v>
      </c>
      <c r="B2410" s="9">
        <f t="shared" si="4"/>
        <v>46107</v>
      </c>
      <c r="C2410" s="77" t="s">
        <v>1569</v>
      </c>
      <c r="D2410" s="12">
        <f>D2409</f>
        <v>140408.092</v>
      </c>
      <c r="E2410" s="15">
        <f t="shared" si="1"/>
        <v>2026</v>
      </c>
      <c r="F2410" s="15">
        <f t="shared" si="2"/>
        <v>3</v>
      </c>
      <c r="G2410" s="15">
        <f t="shared" si="3"/>
        <v>26</v>
      </c>
    </row>
    <row r="2411">
      <c r="A2411" s="10" t="s">
        <v>27</v>
      </c>
      <c r="B2411" s="9">
        <f t="shared" si="4"/>
        <v>46107</v>
      </c>
      <c r="C2411" s="77" t="s">
        <v>1570</v>
      </c>
      <c r="D2411" s="13">
        <f>SUMIFS('Lançamentos de receitas'!$E:$E,'Lançamentos de receitas'!$A:$A,B2411,'Lançamentos de receitas'!$C:$C,A2411,'Lançamentos de receitas'!$F:$F,"TRANSFERÊNCIA")</f>
        <v>0</v>
      </c>
      <c r="E2411" s="15">
        <f t="shared" si="1"/>
        <v>2026</v>
      </c>
      <c r="F2411" s="15">
        <f t="shared" si="2"/>
        <v>3</v>
      </c>
      <c r="G2411" s="15">
        <f t="shared" si="3"/>
        <v>26</v>
      </c>
    </row>
    <row r="2412">
      <c r="A2412" s="10" t="s">
        <v>27</v>
      </c>
      <c r="B2412" s="9">
        <f t="shared" si="4"/>
        <v>46107</v>
      </c>
      <c r="C2412" s="77" t="s">
        <v>1571</v>
      </c>
      <c r="D2412" s="13">
        <f>SUMIFS('Lançamentos de despesas'!$K:$K,'Lançamentos de despesas'!$C:$C,B2412,'Lançamentos de despesas'!$G:$G,A2412,'Lançamentos de despesas'!$E:$E,"pago")</f>
        <v>0</v>
      </c>
      <c r="E2412" s="15">
        <f t="shared" si="1"/>
        <v>2026</v>
      </c>
      <c r="F2412" s="15">
        <f t="shared" si="2"/>
        <v>3</v>
      </c>
      <c r="G2412" s="15">
        <f t="shared" si="3"/>
        <v>26</v>
      </c>
    </row>
    <row r="2413">
      <c r="A2413" s="10" t="s">
        <v>27</v>
      </c>
      <c r="B2413" s="9">
        <f t="shared" si="4"/>
        <v>46107</v>
      </c>
      <c r="C2413" s="77" t="s">
        <v>1572</v>
      </c>
      <c r="D2413" s="13">
        <f>D2410+D2411-D2412</f>
        <v>140408.092</v>
      </c>
      <c r="E2413" s="15">
        <f t="shared" si="1"/>
        <v>2026</v>
      </c>
      <c r="F2413" s="15">
        <f t="shared" si="2"/>
        <v>3</v>
      </c>
      <c r="G2413" s="15">
        <f t="shared" si="3"/>
        <v>26</v>
      </c>
    </row>
    <row r="2414">
      <c r="A2414" s="10" t="s">
        <v>27</v>
      </c>
      <c r="B2414" s="9">
        <f t="shared" si="4"/>
        <v>46108</v>
      </c>
      <c r="C2414" s="77" t="s">
        <v>1569</v>
      </c>
      <c r="D2414" s="12">
        <f>D2413</f>
        <v>140408.092</v>
      </c>
      <c r="E2414" s="15">
        <f t="shared" si="1"/>
        <v>2026</v>
      </c>
      <c r="F2414" s="15">
        <f t="shared" si="2"/>
        <v>3</v>
      </c>
      <c r="G2414" s="15">
        <f t="shared" si="3"/>
        <v>27</v>
      </c>
    </row>
    <row r="2415">
      <c r="A2415" s="10" t="s">
        <v>27</v>
      </c>
      <c r="B2415" s="9">
        <f t="shared" si="4"/>
        <v>46108</v>
      </c>
      <c r="C2415" s="77" t="s">
        <v>1570</v>
      </c>
      <c r="D2415" s="13">
        <f>SUMIFS('Lançamentos de receitas'!$E:$E,'Lançamentos de receitas'!$A:$A,B2415,'Lançamentos de receitas'!$C:$C,A2415,'Lançamentos de receitas'!$F:$F,"TRANSFERÊNCIA")</f>
        <v>0</v>
      </c>
      <c r="E2415" s="15">
        <f t="shared" si="1"/>
        <v>2026</v>
      </c>
      <c r="F2415" s="15">
        <f t="shared" si="2"/>
        <v>3</v>
      </c>
      <c r="G2415" s="15">
        <f t="shared" si="3"/>
        <v>27</v>
      </c>
    </row>
    <row r="2416">
      <c r="A2416" s="10" t="s">
        <v>27</v>
      </c>
      <c r="B2416" s="9">
        <f t="shared" si="4"/>
        <v>46108</v>
      </c>
      <c r="C2416" s="77" t="s">
        <v>1571</v>
      </c>
      <c r="D2416" s="13">
        <f>SUMIFS('Lançamentos de despesas'!$K:$K,'Lançamentos de despesas'!$C:$C,B2416,'Lançamentos de despesas'!$G:$G,A2416,'Lançamentos de despesas'!$E:$E,"pago")</f>
        <v>0</v>
      </c>
      <c r="E2416" s="15">
        <f t="shared" si="1"/>
        <v>2026</v>
      </c>
      <c r="F2416" s="15">
        <f t="shared" si="2"/>
        <v>3</v>
      </c>
      <c r="G2416" s="15">
        <f t="shared" si="3"/>
        <v>27</v>
      </c>
    </row>
    <row r="2417">
      <c r="A2417" s="10" t="s">
        <v>27</v>
      </c>
      <c r="B2417" s="9">
        <f t="shared" si="4"/>
        <v>46108</v>
      </c>
      <c r="C2417" s="77" t="s">
        <v>1572</v>
      </c>
      <c r="D2417" s="13">
        <f>D2414+D2415-D2416</f>
        <v>140408.092</v>
      </c>
      <c r="E2417" s="15">
        <f t="shared" si="1"/>
        <v>2026</v>
      </c>
      <c r="F2417" s="15">
        <f t="shared" si="2"/>
        <v>3</v>
      </c>
      <c r="G2417" s="15">
        <f t="shared" si="3"/>
        <v>27</v>
      </c>
    </row>
    <row r="2418">
      <c r="A2418" s="10" t="s">
        <v>27</v>
      </c>
      <c r="B2418" s="9">
        <f t="shared" si="4"/>
        <v>46109</v>
      </c>
      <c r="C2418" s="77" t="s">
        <v>1569</v>
      </c>
      <c r="D2418" s="12">
        <f>D2417</f>
        <v>140408.092</v>
      </c>
      <c r="E2418" s="15">
        <f t="shared" si="1"/>
        <v>2026</v>
      </c>
      <c r="F2418" s="15">
        <f t="shared" si="2"/>
        <v>3</v>
      </c>
      <c r="G2418" s="15">
        <f t="shared" si="3"/>
        <v>28</v>
      </c>
    </row>
    <row r="2419">
      <c r="A2419" s="10" t="s">
        <v>27</v>
      </c>
      <c r="B2419" s="9">
        <f t="shared" si="4"/>
        <v>46109</v>
      </c>
      <c r="C2419" s="77" t="s">
        <v>1570</v>
      </c>
      <c r="D2419" s="13">
        <f>SUMIFS('Lançamentos de receitas'!$E:$E,'Lançamentos de receitas'!$A:$A,B2419,'Lançamentos de receitas'!$C:$C,A2419,'Lançamentos de receitas'!$F:$F,"TRANSFERÊNCIA")</f>
        <v>0</v>
      </c>
      <c r="E2419" s="15">
        <f t="shared" si="1"/>
        <v>2026</v>
      </c>
      <c r="F2419" s="15">
        <f t="shared" si="2"/>
        <v>3</v>
      </c>
      <c r="G2419" s="15">
        <f t="shared" si="3"/>
        <v>28</v>
      </c>
    </row>
    <row r="2420">
      <c r="A2420" s="10" t="s">
        <v>27</v>
      </c>
      <c r="B2420" s="9">
        <f t="shared" si="4"/>
        <v>46109</v>
      </c>
      <c r="C2420" s="77" t="s">
        <v>1571</v>
      </c>
      <c r="D2420" s="13">
        <f>SUMIFS('Lançamentos de despesas'!$K:$K,'Lançamentos de despesas'!$C:$C,B2420,'Lançamentos de despesas'!$G:$G,A2420,'Lançamentos de despesas'!$E:$E,"pago")</f>
        <v>0</v>
      </c>
      <c r="E2420" s="15">
        <f t="shared" si="1"/>
        <v>2026</v>
      </c>
      <c r="F2420" s="15">
        <f t="shared" si="2"/>
        <v>3</v>
      </c>
      <c r="G2420" s="15">
        <f t="shared" si="3"/>
        <v>28</v>
      </c>
    </row>
    <row r="2421">
      <c r="A2421" s="10" t="s">
        <v>27</v>
      </c>
      <c r="B2421" s="9">
        <f t="shared" si="4"/>
        <v>46109</v>
      </c>
      <c r="C2421" s="77" t="s">
        <v>1572</v>
      </c>
      <c r="D2421" s="13">
        <f>D2418+D2419-D2420</f>
        <v>140408.092</v>
      </c>
      <c r="E2421" s="15">
        <f t="shared" si="1"/>
        <v>2026</v>
      </c>
      <c r="F2421" s="15">
        <f t="shared" si="2"/>
        <v>3</v>
      </c>
      <c r="G2421" s="15">
        <f t="shared" si="3"/>
        <v>28</v>
      </c>
    </row>
    <row r="2422">
      <c r="A2422" s="10" t="s">
        <v>27</v>
      </c>
      <c r="B2422" s="9">
        <f t="shared" si="4"/>
        <v>46110</v>
      </c>
      <c r="C2422" s="77" t="s">
        <v>1569</v>
      </c>
      <c r="D2422" s="12">
        <f>D2421</f>
        <v>140408.092</v>
      </c>
      <c r="E2422" s="15">
        <f t="shared" si="1"/>
        <v>2026</v>
      </c>
      <c r="F2422" s="15">
        <f t="shared" si="2"/>
        <v>3</v>
      </c>
      <c r="G2422" s="15">
        <f t="shared" si="3"/>
        <v>29</v>
      </c>
    </row>
    <row r="2423">
      <c r="A2423" s="10" t="s">
        <v>27</v>
      </c>
      <c r="B2423" s="9">
        <f t="shared" si="4"/>
        <v>46110</v>
      </c>
      <c r="C2423" s="77" t="s">
        <v>1570</v>
      </c>
      <c r="D2423" s="13">
        <f>SUMIFS('Lançamentos de receitas'!$E:$E,'Lançamentos de receitas'!$A:$A,B2423,'Lançamentos de receitas'!$C:$C,A2423,'Lançamentos de receitas'!$F:$F,"TRANSFERÊNCIA")</f>
        <v>0</v>
      </c>
      <c r="E2423" s="15">
        <f t="shared" si="1"/>
        <v>2026</v>
      </c>
      <c r="F2423" s="15">
        <f t="shared" si="2"/>
        <v>3</v>
      </c>
      <c r="G2423" s="15">
        <f t="shared" si="3"/>
        <v>29</v>
      </c>
    </row>
    <row r="2424">
      <c r="A2424" s="10" t="s">
        <v>27</v>
      </c>
      <c r="B2424" s="9">
        <f t="shared" si="4"/>
        <v>46110</v>
      </c>
      <c r="C2424" s="77" t="s">
        <v>1571</v>
      </c>
      <c r="D2424" s="13">
        <f>SUMIFS('Lançamentos de despesas'!$K:$K,'Lançamentos de despesas'!$C:$C,B2424,'Lançamentos de despesas'!$G:$G,A2424,'Lançamentos de despesas'!$E:$E,"pago")</f>
        <v>0</v>
      </c>
      <c r="E2424" s="15">
        <f t="shared" si="1"/>
        <v>2026</v>
      </c>
      <c r="F2424" s="15">
        <f t="shared" si="2"/>
        <v>3</v>
      </c>
      <c r="G2424" s="15">
        <f t="shared" si="3"/>
        <v>29</v>
      </c>
    </row>
    <row r="2425">
      <c r="A2425" s="10" t="s">
        <v>27</v>
      </c>
      <c r="B2425" s="9">
        <f t="shared" si="4"/>
        <v>46110</v>
      </c>
      <c r="C2425" s="77" t="s">
        <v>1572</v>
      </c>
      <c r="D2425" s="13">
        <f>D2422+D2423-D2424</f>
        <v>140408.092</v>
      </c>
      <c r="E2425" s="15">
        <f t="shared" si="1"/>
        <v>2026</v>
      </c>
      <c r="F2425" s="15">
        <f t="shared" si="2"/>
        <v>3</v>
      </c>
      <c r="G2425" s="15">
        <f t="shared" si="3"/>
        <v>29</v>
      </c>
    </row>
    <row r="2426">
      <c r="A2426" s="10" t="s">
        <v>27</v>
      </c>
      <c r="B2426" s="9">
        <f t="shared" si="4"/>
        <v>46111</v>
      </c>
      <c r="C2426" s="77" t="s">
        <v>1569</v>
      </c>
      <c r="D2426" s="12">
        <f>D2425</f>
        <v>140408.092</v>
      </c>
      <c r="E2426" s="15">
        <f t="shared" si="1"/>
        <v>2026</v>
      </c>
      <c r="F2426" s="15">
        <f t="shared" si="2"/>
        <v>3</v>
      </c>
      <c r="G2426" s="15">
        <f t="shared" si="3"/>
        <v>30</v>
      </c>
    </row>
    <row r="2427">
      <c r="A2427" s="10" t="s">
        <v>27</v>
      </c>
      <c r="B2427" s="9">
        <f t="shared" si="4"/>
        <v>46111</v>
      </c>
      <c r="C2427" s="77" t="s">
        <v>1570</v>
      </c>
      <c r="D2427" s="13">
        <f>SUMIFS('Lançamentos de receitas'!$E:$E,'Lançamentos de receitas'!$A:$A,B2427,'Lançamentos de receitas'!$C:$C,A2427,'Lançamentos de receitas'!$F:$F,"TRANSFERÊNCIA")</f>
        <v>0</v>
      </c>
      <c r="E2427" s="15">
        <f t="shared" si="1"/>
        <v>2026</v>
      </c>
      <c r="F2427" s="15">
        <f t="shared" si="2"/>
        <v>3</v>
      </c>
      <c r="G2427" s="15">
        <f t="shared" si="3"/>
        <v>30</v>
      </c>
    </row>
    <row r="2428">
      <c r="A2428" s="10" t="s">
        <v>27</v>
      </c>
      <c r="B2428" s="9">
        <f t="shared" si="4"/>
        <v>46111</v>
      </c>
      <c r="C2428" s="77" t="s">
        <v>1571</v>
      </c>
      <c r="D2428" s="13">
        <f>SUMIFS('Lançamentos de despesas'!$K:$K,'Lançamentos de despesas'!$C:$C,B2428,'Lançamentos de despesas'!$G:$G,A2428,'Lançamentos de despesas'!$E:$E,"pago")</f>
        <v>0</v>
      </c>
      <c r="E2428" s="15">
        <f t="shared" si="1"/>
        <v>2026</v>
      </c>
      <c r="F2428" s="15">
        <f t="shared" si="2"/>
        <v>3</v>
      </c>
      <c r="G2428" s="15">
        <f t="shared" si="3"/>
        <v>30</v>
      </c>
    </row>
    <row r="2429">
      <c r="A2429" s="10" t="s">
        <v>27</v>
      </c>
      <c r="B2429" s="9">
        <f t="shared" si="4"/>
        <v>46111</v>
      </c>
      <c r="C2429" s="77" t="s">
        <v>1572</v>
      </c>
      <c r="D2429" s="13">
        <f>D2426+D2427-D2428</f>
        <v>140408.092</v>
      </c>
      <c r="E2429" s="15">
        <f t="shared" si="1"/>
        <v>2026</v>
      </c>
      <c r="F2429" s="15">
        <f t="shared" si="2"/>
        <v>3</v>
      </c>
      <c r="G2429" s="15">
        <f t="shared" si="3"/>
        <v>30</v>
      </c>
    </row>
    <row r="2430">
      <c r="A2430" s="10" t="s">
        <v>27</v>
      </c>
      <c r="B2430" s="9">
        <f t="shared" si="4"/>
        <v>46112</v>
      </c>
      <c r="C2430" s="77" t="s">
        <v>1569</v>
      </c>
      <c r="D2430" s="12">
        <f>D2429</f>
        <v>140408.092</v>
      </c>
      <c r="E2430" s="15">
        <f t="shared" si="1"/>
        <v>2026</v>
      </c>
      <c r="F2430" s="15">
        <f t="shared" si="2"/>
        <v>3</v>
      </c>
      <c r="G2430" s="15">
        <f t="shared" si="3"/>
        <v>31</v>
      </c>
    </row>
    <row r="2431">
      <c r="A2431" s="10" t="s">
        <v>27</v>
      </c>
      <c r="B2431" s="9">
        <f t="shared" si="4"/>
        <v>46112</v>
      </c>
      <c r="C2431" s="77" t="s">
        <v>1570</v>
      </c>
      <c r="D2431" s="13">
        <f>SUMIFS('Lançamentos de receitas'!$E:$E,'Lançamentos de receitas'!$A:$A,B2431,'Lançamentos de receitas'!$C:$C,A2431,'Lançamentos de receitas'!$F:$F,"TRANSFERÊNCIA")</f>
        <v>0</v>
      </c>
      <c r="E2431" s="15">
        <f t="shared" si="1"/>
        <v>2026</v>
      </c>
      <c r="F2431" s="15">
        <f t="shared" si="2"/>
        <v>3</v>
      </c>
      <c r="G2431" s="15">
        <f t="shared" si="3"/>
        <v>31</v>
      </c>
    </row>
    <row r="2432">
      <c r="A2432" s="10" t="s">
        <v>27</v>
      </c>
      <c r="B2432" s="9">
        <f t="shared" si="4"/>
        <v>46112</v>
      </c>
      <c r="C2432" s="77" t="s">
        <v>1571</v>
      </c>
      <c r="D2432" s="13">
        <f>SUMIFS('Lançamentos de despesas'!$K:$K,'Lançamentos de despesas'!$C:$C,B2432,'Lançamentos de despesas'!$G:$G,A2432,'Lançamentos de despesas'!$E:$E,"pago")</f>
        <v>0</v>
      </c>
      <c r="E2432" s="15">
        <f t="shared" si="1"/>
        <v>2026</v>
      </c>
      <c r="F2432" s="15">
        <f t="shared" si="2"/>
        <v>3</v>
      </c>
      <c r="G2432" s="15">
        <f t="shared" si="3"/>
        <v>31</v>
      </c>
    </row>
    <row r="2433">
      <c r="A2433" s="10" t="s">
        <v>27</v>
      </c>
      <c r="B2433" s="9">
        <f t="shared" si="4"/>
        <v>46112</v>
      </c>
      <c r="C2433" s="77" t="s">
        <v>1572</v>
      </c>
      <c r="D2433" s="13">
        <f>D2430+D2431-D2432</f>
        <v>140408.092</v>
      </c>
      <c r="E2433" s="15">
        <f t="shared" si="1"/>
        <v>2026</v>
      </c>
      <c r="F2433" s="15">
        <f t="shared" si="2"/>
        <v>3</v>
      </c>
      <c r="G2433" s="15">
        <f t="shared" si="3"/>
        <v>31</v>
      </c>
    </row>
    <row r="2434">
      <c r="A2434" s="10" t="s">
        <v>27</v>
      </c>
      <c r="B2434" s="9">
        <f t="shared" si="4"/>
        <v>46113</v>
      </c>
      <c r="C2434" s="77" t="s">
        <v>1569</v>
      </c>
      <c r="D2434" s="12">
        <f>D2433</f>
        <v>140408.092</v>
      </c>
      <c r="E2434" s="15">
        <f t="shared" si="1"/>
        <v>2026</v>
      </c>
      <c r="F2434" s="15">
        <f t="shared" si="2"/>
        <v>4</v>
      </c>
      <c r="G2434" s="15">
        <f t="shared" si="3"/>
        <v>1</v>
      </c>
    </row>
    <row r="2435">
      <c r="A2435" s="10" t="s">
        <v>27</v>
      </c>
      <c r="B2435" s="9">
        <f t="shared" si="4"/>
        <v>46113</v>
      </c>
      <c r="C2435" s="77" t="s">
        <v>1570</v>
      </c>
      <c r="D2435" s="13">
        <f>SUMIFS('Lançamentos de receitas'!$E:$E,'Lançamentos de receitas'!$A:$A,B2435,'Lançamentos de receitas'!$C:$C,A2435,'Lançamentos de receitas'!$F:$F,"TRANSFERÊNCIA")</f>
        <v>0</v>
      </c>
      <c r="E2435" s="15">
        <f t="shared" si="1"/>
        <v>2026</v>
      </c>
      <c r="F2435" s="15">
        <f t="shared" si="2"/>
        <v>4</v>
      </c>
      <c r="G2435" s="15">
        <f t="shared" si="3"/>
        <v>1</v>
      </c>
    </row>
    <row r="2436">
      <c r="A2436" s="10" t="s">
        <v>27</v>
      </c>
      <c r="B2436" s="9">
        <f t="shared" si="4"/>
        <v>46113</v>
      </c>
      <c r="C2436" s="77" t="s">
        <v>1571</v>
      </c>
      <c r="D2436" s="13">
        <f>SUMIFS('Lançamentos de despesas'!$K:$K,'Lançamentos de despesas'!$C:$C,B2436,'Lançamentos de despesas'!$G:$G,A2436,'Lançamentos de despesas'!$E:$E,"pago")</f>
        <v>0</v>
      </c>
      <c r="E2436" s="15">
        <f t="shared" si="1"/>
        <v>2026</v>
      </c>
      <c r="F2436" s="15">
        <f t="shared" si="2"/>
        <v>4</v>
      </c>
      <c r="G2436" s="15">
        <f t="shared" si="3"/>
        <v>1</v>
      </c>
    </row>
    <row r="2437">
      <c r="A2437" s="10" t="s">
        <v>27</v>
      </c>
      <c r="B2437" s="9">
        <f t="shared" si="4"/>
        <v>46113</v>
      </c>
      <c r="C2437" s="77" t="s">
        <v>1572</v>
      </c>
      <c r="D2437" s="13">
        <f>D2434+D2435-D2436</f>
        <v>140408.092</v>
      </c>
      <c r="E2437" s="15">
        <f t="shared" si="1"/>
        <v>2026</v>
      </c>
      <c r="F2437" s="15">
        <f t="shared" si="2"/>
        <v>4</v>
      </c>
      <c r="G2437" s="15">
        <f t="shared" si="3"/>
        <v>1</v>
      </c>
    </row>
    <row r="2438">
      <c r="A2438" s="10" t="s">
        <v>27</v>
      </c>
      <c r="B2438" s="9">
        <f t="shared" si="4"/>
        <v>46114</v>
      </c>
      <c r="C2438" s="77" t="s">
        <v>1569</v>
      </c>
      <c r="D2438" s="12">
        <f>D2437</f>
        <v>140408.092</v>
      </c>
      <c r="E2438" s="15">
        <f t="shared" si="1"/>
        <v>2026</v>
      </c>
      <c r="F2438" s="15">
        <f t="shared" si="2"/>
        <v>4</v>
      </c>
      <c r="G2438" s="15">
        <f t="shared" si="3"/>
        <v>2</v>
      </c>
    </row>
    <row r="2439">
      <c r="A2439" s="10" t="s">
        <v>27</v>
      </c>
      <c r="B2439" s="9">
        <f t="shared" si="4"/>
        <v>46114</v>
      </c>
      <c r="C2439" s="77" t="s">
        <v>1570</v>
      </c>
      <c r="D2439" s="13">
        <f>SUMIFS('Lançamentos de receitas'!$E:$E,'Lançamentos de receitas'!$A:$A,B2439,'Lançamentos de receitas'!$C:$C,A2439,'Lançamentos de receitas'!$F:$F,"TRANSFERÊNCIA")</f>
        <v>0</v>
      </c>
      <c r="E2439" s="15">
        <f t="shared" si="1"/>
        <v>2026</v>
      </c>
      <c r="F2439" s="15">
        <f t="shared" si="2"/>
        <v>4</v>
      </c>
      <c r="G2439" s="15">
        <f t="shared" si="3"/>
        <v>2</v>
      </c>
    </row>
    <row r="2440">
      <c r="A2440" s="10" t="s">
        <v>27</v>
      </c>
      <c r="B2440" s="9">
        <f t="shared" si="4"/>
        <v>46114</v>
      </c>
      <c r="C2440" s="77" t="s">
        <v>1571</v>
      </c>
      <c r="D2440" s="13">
        <f>SUMIFS('Lançamentos de despesas'!$K:$K,'Lançamentos de despesas'!$C:$C,B2440,'Lançamentos de despesas'!$G:$G,A2440,'Lançamentos de despesas'!$E:$E,"pago")</f>
        <v>0</v>
      </c>
      <c r="E2440" s="15">
        <f t="shared" si="1"/>
        <v>2026</v>
      </c>
      <c r="F2440" s="15">
        <f t="shared" si="2"/>
        <v>4</v>
      </c>
      <c r="G2440" s="15">
        <f t="shared" si="3"/>
        <v>2</v>
      </c>
    </row>
    <row r="2441">
      <c r="A2441" s="10" t="s">
        <v>27</v>
      </c>
      <c r="B2441" s="9">
        <f t="shared" si="4"/>
        <v>46114</v>
      </c>
      <c r="C2441" s="77" t="s">
        <v>1572</v>
      </c>
      <c r="D2441" s="13">
        <f>D2438+D2439-D2440</f>
        <v>140408.092</v>
      </c>
      <c r="E2441" s="15">
        <f t="shared" si="1"/>
        <v>2026</v>
      </c>
      <c r="F2441" s="15">
        <f t="shared" si="2"/>
        <v>4</v>
      </c>
      <c r="G2441" s="15">
        <f t="shared" si="3"/>
        <v>2</v>
      </c>
    </row>
    <row r="2442">
      <c r="A2442" s="10" t="s">
        <v>27</v>
      </c>
      <c r="B2442" s="9">
        <f t="shared" si="4"/>
        <v>46115</v>
      </c>
      <c r="C2442" s="77" t="s">
        <v>1569</v>
      </c>
      <c r="D2442" s="12">
        <f>D2441</f>
        <v>140408.092</v>
      </c>
      <c r="E2442" s="15">
        <f t="shared" si="1"/>
        <v>2026</v>
      </c>
      <c r="F2442" s="15">
        <f t="shared" si="2"/>
        <v>4</v>
      </c>
      <c r="G2442" s="15">
        <f t="shared" si="3"/>
        <v>3</v>
      </c>
    </row>
    <row r="2443">
      <c r="A2443" s="10" t="s">
        <v>27</v>
      </c>
      <c r="B2443" s="9">
        <f t="shared" si="4"/>
        <v>46115</v>
      </c>
      <c r="C2443" s="77" t="s">
        <v>1570</v>
      </c>
      <c r="D2443" s="13">
        <f>SUMIFS('Lançamentos de receitas'!$E:$E,'Lançamentos de receitas'!$A:$A,B2443,'Lançamentos de receitas'!$C:$C,A2443,'Lançamentos de receitas'!$F:$F,"TRANSFERÊNCIA")</f>
        <v>0</v>
      </c>
      <c r="E2443" s="15">
        <f t="shared" si="1"/>
        <v>2026</v>
      </c>
      <c r="F2443" s="15">
        <f t="shared" si="2"/>
        <v>4</v>
      </c>
      <c r="G2443" s="15">
        <f t="shared" si="3"/>
        <v>3</v>
      </c>
    </row>
    <row r="2444">
      <c r="A2444" s="10" t="s">
        <v>27</v>
      </c>
      <c r="B2444" s="9">
        <f t="shared" si="4"/>
        <v>46115</v>
      </c>
      <c r="C2444" s="77" t="s">
        <v>1571</v>
      </c>
      <c r="D2444" s="13">
        <f>SUMIFS('Lançamentos de despesas'!$K:$K,'Lançamentos de despesas'!$C:$C,B2444,'Lançamentos de despesas'!$G:$G,A2444,'Lançamentos de despesas'!$E:$E,"pago")</f>
        <v>0</v>
      </c>
      <c r="E2444" s="15">
        <f t="shared" si="1"/>
        <v>2026</v>
      </c>
      <c r="F2444" s="15">
        <f t="shared" si="2"/>
        <v>4</v>
      </c>
      <c r="G2444" s="15">
        <f t="shared" si="3"/>
        <v>3</v>
      </c>
    </row>
    <row r="2445">
      <c r="A2445" s="10" t="s">
        <v>27</v>
      </c>
      <c r="B2445" s="9">
        <f t="shared" si="4"/>
        <v>46115</v>
      </c>
      <c r="C2445" s="77" t="s">
        <v>1572</v>
      </c>
      <c r="D2445" s="13">
        <f>D2442+D2443-D2444</f>
        <v>140408.092</v>
      </c>
      <c r="E2445" s="15">
        <f t="shared" si="1"/>
        <v>2026</v>
      </c>
      <c r="F2445" s="15">
        <f t="shared" si="2"/>
        <v>4</v>
      </c>
      <c r="G2445" s="15">
        <f t="shared" si="3"/>
        <v>3</v>
      </c>
    </row>
    <row r="2446">
      <c r="A2446" s="10" t="s">
        <v>27</v>
      </c>
      <c r="B2446" s="9">
        <f t="shared" si="4"/>
        <v>46116</v>
      </c>
      <c r="C2446" s="77" t="s">
        <v>1569</v>
      </c>
      <c r="D2446" s="12">
        <f>D2445</f>
        <v>140408.092</v>
      </c>
      <c r="E2446" s="15">
        <f t="shared" si="1"/>
        <v>2026</v>
      </c>
      <c r="F2446" s="15">
        <f t="shared" si="2"/>
        <v>4</v>
      </c>
      <c r="G2446" s="15">
        <f t="shared" si="3"/>
        <v>4</v>
      </c>
    </row>
    <row r="2447">
      <c r="A2447" s="10" t="s">
        <v>27</v>
      </c>
      <c r="B2447" s="9">
        <f t="shared" si="4"/>
        <v>46116</v>
      </c>
      <c r="C2447" s="77" t="s">
        <v>1570</v>
      </c>
      <c r="D2447" s="13">
        <f>SUMIFS('Lançamentos de receitas'!$E:$E,'Lançamentos de receitas'!$A:$A,B2447,'Lançamentos de receitas'!$C:$C,A2447,'Lançamentos de receitas'!$F:$F,"TRANSFERÊNCIA")</f>
        <v>0</v>
      </c>
      <c r="E2447" s="15">
        <f t="shared" si="1"/>
        <v>2026</v>
      </c>
      <c r="F2447" s="15">
        <f t="shared" si="2"/>
        <v>4</v>
      </c>
      <c r="G2447" s="15">
        <f t="shared" si="3"/>
        <v>4</v>
      </c>
    </row>
    <row r="2448">
      <c r="A2448" s="10" t="s">
        <v>27</v>
      </c>
      <c r="B2448" s="9">
        <f t="shared" si="4"/>
        <v>46116</v>
      </c>
      <c r="C2448" s="77" t="s">
        <v>1571</v>
      </c>
      <c r="D2448" s="13">
        <f>SUMIFS('Lançamentos de despesas'!$K:$K,'Lançamentos de despesas'!$C:$C,B2448,'Lançamentos de despesas'!$G:$G,A2448,'Lançamentos de despesas'!$E:$E,"pago")</f>
        <v>0</v>
      </c>
      <c r="E2448" s="15">
        <f t="shared" si="1"/>
        <v>2026</v>
      </c>
      <c r="F2448" s="15">
        <f t="shared" si="2"/>
        <v>4</v>
      </c>
      <c r="G2448" s="15">
        <f t="shared" si="3"/>
        <v>4</v>
      </c>
    </row>
    <row r="2449">
      <c r="A2449" s="10" t="s">
        <v>27</v>
      </c>
      <c r="B2449" s="9">
        <f t="shared" si="4"/>
        <v>46116</v>
      </c>
      <c r="C2449" s="77" t="s">
        <v>1572</v>
      </c>
      <c r="D2449" s="13">
        <f>D2446+D2447-D2448</f>
        <v>140408.092</v>
      </c>
      <c r="E2449" s="15">
        <f t="shared" si="1"/>
        <v>2026</v>
      </c>
      <c r="F2449" s="15">
        <f t="shared" si="2"/>
        <v>4</v>
      </c>
      <c r="G2449" s="15">
        <f t="shared" si="3"/>
        <v>4</v>
      </c>
    </row>
    <row r="2450">
      <c r="A2450" s="10" t="s">
        <v>27</v>
      </c>
      <c r="B2450" s="9">
        <f t="shared" si="4"/>
        <v>46117</v>
      </c>
      <c r="C2450" s="77" t="s">
        <v>1569</v>
      </c>
      <c r="D2450" s="12">
        <f>D2449</f>
        <v>140408.092</v>
      </c>
      <c r="E2450" s="15">
        <f t="shared" si="1"/>
        <v>2026</v>
      </c>
      <c r="F2450" s="15">
        <f t="shared" si="2"/>
        <v>4</v>
      </c>
      <c r="G2450" s="15">
        <f t="shared" si="3"/>
        <v>5</v>
      </c>
    </row>
    <row r="2451">
      <c r="A2451" s="10" t="s">
        <v>27</v>
      </c>
      <c r="B2451" s="9">
        <f t="shared" si="4"/>
        <v>46117</v>
      </c>
      <c r="C2451" s="77" t="s">
        <v>1570</v>
      </c>
      <c r="D2451" s="13">
        <f>SUMIFS('Lançamentos de receitas'!$E:$E,'Lançamentos de receitas'!$A:$A,B2451,'Lançamentos de receitas'!$C:$C,A2451,'Lançamentos de receitas'!$F:$F,"TRANSFERÊNCIA")</f>
        <v>0</v>
      </c>
      <c r="E2451" s="15">
        <f t="shared" si="1"/>
        <v>2026</v>
      </c>
      <c r="F2451" s="15">
        <f t="shared" si="2"/>
        <v>4</v>
      </c>
      <c r="G2451" s="15">
        <f t="shared" si="3"/>
        <v>5</v>
      </c>
    </row>
    <row r="2452">
      <c r="A2452" s="10" t="s">
        <v>27</v>
      </c>
      <c r="B2452" s="9">
        <f t="shared" si="4"/>
        <v>46117</v>
      </c>
      <c r="C2452" s="77" t="s">
        <v>1571</v>
      </c>
      <c r="D2452" s="13">
        <f>SUMIFS('Lançamentos de despesas'!$K:$K,'Lançamentos de despesas'!$C:$C,B2452,'Lançamentos de despesas'!$G:$G,A2452,'Lançamentos de despesas'!$E:$E,"pago")</f>
        <v>0</v>
      </c>
      <c r="E2452" s="15">
        <f t="shared" si="1"/>
        <v>2026</v>
      </c>
      <c r="F2452" s="15">
        <f t="shared" si="2"/>
        <v>4</v>
      </c>
      <c r="G2452" s="15">
        <f t="shared" si="3"/>
        <v>5</v>
      </c>
    </row>
    <row r="2453">
      <c r="A2453" s="10" t="s">
        <v>27</v>
      </c>
      <c r="B2453" s="9">
        <f t="shared" si="4"/>
        <v>46117</v>
      </c>
      <c r="C2453" s="77" t="s">
        <v>1572</v>
      </c>
      <c r="D2453" s="13">
        <f>D2450+D2451-D2452</f>
        <v>140408.092</v>
      </c>
      <c r="E2453" s="15">
        <f t="shared" si="1"/>
        <v>2026</v>
      </c>
      <c r="F2453" s="15">
        <f t="shared" si="2"/>
        <v>4</v>
      </c>
      <c r="G2453" s="15">
        <f t="shared" si="3"/>
        <v>5</v>
      </c>
    </row>
    <row r="2454">
      <c r="A2454" s="10" t="s">
        <v>27</v>
      </c>
      <c r="B2454" s="9">
        <f t="shared" si="4"/>
        <v>46118</v>
      </c>
      <c r="C2454" s="77" t="s">
        <v>1569</v>
      </c>
      <c r="D2454" s="12">
        <f>D2453</f>
        <v>140408.092</v>
      </c>
      <c r="E2454" s="15">
        <f t="shared" si="1"/>
        <v>2026</v>
      </c>
      <c r="F2454" s="15">
        <f t="shared" si="2"/>
        <v>4</v>
      </c>
      <c r="G2454" s="15">
        <f t="shared" si="3"/>
        <v>6</v>
      </c>
    </row>
    <row r="2455">
      <c r="A2455" s="10" t="s">
        <v>27</v>
      </c>
      <c r="B2455" s="9">
        <f t="shared" si="4"/>
        <v>46118</v>
      </c>
      <c r="C2455" s="77" t="s">
        <v>1570</v>
      </c>
      <c r="D2455" s="13">
        <f>SUMIFS('Lançamentos de receitas'!$E:$E,'Lançamentos de receitas'!$A:$A,B2455,'Lançamentos de receitas'!$C:$C,A2455,'Lançamentos de receitas'!$F:$F,"TRANSFERÊNCIA")</f>
        <v>0</v>
      </c>
      <c r="E2455" s="15">
        <f t="shared" si="1"/>
        <v>2026</v>
      </c>
      <c r="F2455" s="15">
        <f t="shared" si="2"/>
        <v>4</v>
      </c>
      <c r="G2455" s="15">
        <f t="shared" si="3"/>
        <v>6</v>
      </c>
    </row>
    <row r="2456">
      <c r="A2456" s="10" t="s">
        <v>27</v>
      </c>
      <c r="B2456" s="9">
        <f t="shared" si="4"/>
        <v>46118</v>
      </c>
      <c r="C2456" s="77" t="s">
        <v>1571</v>
      </c>
      <c r="D2456" s="13">
        <f>SUMIFS('Lançamentos de despesas'!$K:$K,'Lançamentos de despesas'!$C:$C,B2456,'Lançamentos de despesas'!$G:$G,A2456,'Lançamentos de despesas'!$E:$E,"pago")</f>
        <v>0</v>
      </c>
      <c r="E2456" s="15">
        <f t="shared" si="1"/>
        <v>2026</v>
      </c>
      <c r="F2456" s="15">
        <f t="shared" si="2"/>
        <v>4</v>
      </c>
      <c r="G2456" s="15">
        <f t="shared" si="3"/>
        <v>6</v>
      </c>
    </row>
    <row r="2457">
      <c r="A2457" s="10" t="s">
        <v>27</v>
      </c>
      <c r="B2457" s="9">
        <f t="shared" si="4"/>
        <v>46118</v>
      </c>
      <c r="C2457" s="77" t="s">
        <v>1572</v>
      </c>
      <c r="D2457" s="13">
        <f>D2454+D2455-D2456</f>
        <v>140408.092</v>
      </c>
      <c r="E2457" s="15">
        <f t="shared" si="1"/>
        <v>2026</v>
      </c>
      <c r="F2457" s="15">
        <f t="shared" si="2"/>
        <v>4</v>
      </c>
      <c r="G2457" s="15">
        <f t="shared" si="3"/>
        <v>6</v>
      </c>
    </row>
    <row r="2458">
      <c r="A2458" s="10" t="s">
        <v>27</v>
      </c>
      <c r="B2458" s="9">
        <f t="shared" si="4"/>
        <v>46119</v>
      </c>
      <c r="C2458" s="77" t="s">
        <v>1569</v>
      </c>
      <c r="D2458" s="12">
        <f>D2457</f>
        <v>140408.092</v>
      </c>
      <c r="E2458" s="15">
        <f t="shared" si="1"/>
        <v>2026</v>
      </c>
      <c r="F2458" s="15">
        <f t="shared" si="2"/>
        <v>4</v>
      </c>
      <c r="G2458" s="15">
        <f t="shared" si="3"/>
        <v>7</v>
      </c>
    </row>
    <row r="2459">
      <c r="A2459" s="10" t="s">
        <v>27</v>
      </c>
      <c r="B2459" s="9">
        <f t="shared" si="4"/>
        <v>46119</v>
      </c>
      <c r="C2459" s="77" t="s">
        <v>1570</v>
      </c>
      <c r="D2459" s="13">
        <f>SUMIFS('Lançamentos de receitas'!$E:$E,'Lançamentos de receitas'!$A:$A,B2459,'Lançamentos de receitas'!$C:$C,A2459,'Lançamentos de receitas'!$F:$F,"TRANSFERÊNCIA")</f>
        <v>0</v>
      </c>
      <c r="E2459" s="15">
        <f t="shared" si="1"/>
        <v>2026</v>
      </c>
      <c r="F2459" s="15">
        <f t="shared" si="2"/>
        <v>4</v>
      </c>
      <c r="G2459" s="15">
        <f t="shared" si="3"/>
        <v>7</v>
      </c>
    </row>
    <row r="2460">
      <c r="A2460" s="10" t="s">
        <v>27</v>
      </c>
      <c r="B2460" s="9">
        <f t="shared" si="4"/>
        <v>46119</v>
      </c>
      <c r="C2460" s="77" t="s">
        <v>1571</v>
      </c>
      <c r="D2460" s="13">
        <f>SUMIFS('Lançamentos de despesas'!$K:$K,'Lançamentos de despesas'!$C:$C,B2460,'Lançamentos de despesas'!$G:$G,A2460,'Lançamentos de despesas'!$E:$E,"pago")</f>
        <v>0</v>
      </c>
      <c r="E2460" s="15">
        <f t="shared" si="1"/>
        <v>2026</v>
      </c>
      <c r="F2460" s="15">
        <f t="shared" si="2"/>
        <v>4</v>
      </c>
      <c r="G2460" s="15">
        <f t="shared" si="3"/>
        <v>7</v>
      </c>
    </row>
    <row r="2461">
      <c r="A2461" s="10" t="s">
        <v>27</v>
      </c>
      <c r="B2461" s="9">
        <f t="shared" si="4"/>
        <v>46119</v>
      </c>
      <c r="C2461" s="77" t="s">
        <v>1572</v>
      </c>
      <c r="D2461" s="13">
        <f>D2458+D2459-D2460</f>
        <v>140408.092</v>
      </c>
      <c r="E2461" s="15">
        <f t="shared" si="1"/>
        <v>2026</v>
      </c>
      <c r="F2461" s="15">
        <f t="shared" si="2"/>
        <v>4</v>
      </c>
      <c r="G2461" s="15">
        <f t="shared" si="3"/>
        <v>7</v>
      </c>
    </row>
    <row r="2462">
      <c r="A2462" s="10" t="s">
        <v>27</v>
      </c>
      <c r="B2462" s="9">
        <f t="shared" si="4"/>
        <v>46120</v>
      </c>
      <c r="C2462" s="77" t="s">
        <v>1569</v>
      </c>
      <c r="D2462" s="12">
        <f>D2461</f>
        <v>140408.092</v>
      </c>
      <c r="E2462" s="15">
        <f t="shared" si="1"/>
        <v>2026</v>
      </c>
      <c r="F2462" s="15">
        <f t="shared" si="2"/>
        <v>4</v>
      </c>
      <c r="G2462" s="15">
        <f t="shared" si="3"/>
        <v>8</v>
      </c>
    </row>
    <row r="2463">
      <c r="A2463" s="10" t="s">
        <v>27</v>
      </c>
      <c r="B2463" s="9">
        <f t="shared" si="4"/>
        <v>46120</v>
      </c>
      <c r="C2463" s="77" t="s">
        <v>1570</v>
      </c>
      <c r="D2463" s="13">
        <f>SUMIFS('Lançamentos de receitas'!$E:$E,'Lançamentos de receitas'!$A:$A,B2463,'Lançamentos de receitas'!$C:$C,A2463,'Lançamentos de receitas'!$F:$F,"TRANSFERÊNCIA")</f>
        <v>0</v>
      </c>
      <c r="E2463" s="15">
        <f t="shared" si="1"/>
        <v>2026</v>
      </c>
      <c r="F2463" s="15">
        <f t="shared" si="2"/>
        <v>4</v>
      </c>
      <c r="G2463" s="15">
        <f t="shared" si="3"/>
        <v>8</v>
      </c>
    </row>
    <row r="2464">
      <c r="A2464" s="10" t="s">
        <v>27</v>
      </c>
      <c r="B2464" s="9">
        <f t="shared" si="4"/>
        <v>46120</v>
      </c>
      <c r="C2464" s="77" t="s">
        <v>1571</v>
      </c>
      <c r="D2464" s="13">
        <f>SUMIFS('Lançamentos de despesas'!$K:$K,'Lançamentos de despesas'!$C:$C,B2464,'Lançamentos de despesas'!$G:$G,A2464,'Lançamentos de despesas'!$E:$E,"pago")</f>
        <v>0</v>
      </c>
      <c r="E2464" s="15">
        <f t="shared" si="1"/>
        <v>2026</v>
      </c>
      <c r="F2464" s="15">
        <f t="shared" si="2"/>
        <v>4</v>
      </c>
      <c r="G2464" s="15">
        <f t="shared" si="3"/>
        <v>8</v>
      </c>
    </row>
    <row r="2465">
      <c r="A2465" s="10" t="s">
        <v>27</v>
      </c>
      <c r="B2465" s="9">
        <f t="shared" si="4"/>
        <v>46120</v>
      </c>
      <c r="C2465" s="77" t="s">
        <v>1572</v>
      </c>
      <c r="D2465" s="13">
        <f>D2462+D2463-D2464</f>
        <v>140408.092</v>
      </c>
      <c r="E2465" s="15">
        <f t="shared" si="1"/>
        <v>2026</v>
      </c>
      <c r="F2465" s="15">
        <f t="shared" si="2"/>
        <v>4</v>
      </c>
      <c r="G2465" s="15">
        <f t="shared" si="3"/>
        <v>8</v>
      </c>
    </row>
    <row r="2466">
      <c r="A2466" s="10" t="s">
        <v>27</v>
      </c>
      <c r="B2466" s="9">
        <f t="shared" si="4"/>
        <v>46121</v>
      </c>
      <c r="C2466" s="77" t="s">
        <v>1569</v>
      </c>
      <c r="D2466" s="12">
        <f>D2465</f>
        <v>140408.092</v>
      </c>
      <c r="E2466" s="15">
        <f t="shared" si="1"/>
        <v>2026</v>
      </c>
      <c r="F2466" s="15">
        <f t="shared" si="2"/>
        <v>4</v>
      </c>
      <c r="G2466" s="15">
        <f t="shared" si="3"/>
        <v>9</v>
      </c>
    </row>
    <row r="2467">
      <c r="A2467" s="10" t="s">
        <v>27</v>
      </c>
      <c r="B2467" s="9">
        <f t="shared" si="4"/>
        <v>46121</v>
      </c>
      <c r="C2467" s="77" t="s">
        <v>1570</v>
      </c>
      <c r="D2467" s="13">
        <f>SUMIFS('Lançamentos de receitas'!$E:$E,'Lançamentos de receitas'!$A:$A,B2467,'Lançamentos de receitas'!$C:$C,A2467,'Lançamentos de receitas'!$F:$F,"TRANSFERÊNCIA")</f>
        <v>0</v>
      </c>
      <c r="E2467" s="15">
        <f t="shared" si="1"/>
        <v>2026</v>
      </c>
      <c r="F2467" s="15">
        <f t="shared" si="2"/>
        <v>4</v>
      </c>
      <c r="G2467" s="15">
        <f t="shared" si="3"/>
        <v>9</v>
      </c>
    </row>
    <row r="2468">
      <c r="A2468" s="10" t="s">
        <v>27</v>
      </c>
      <c r="B2468" s="9">
        <f t="shared" si="4"/>
        <v>46121</v>
      </c>
      <c r="C2468" s="77" t="s">
        <v>1571</v>
      </c>
      <c r="D2468" s="13">
        <f>SUMIFS('Lançamentos de despesas'!$K:$K,'Lançamentos de despesas'!$C:$C,B2468,'Lançamentos de despesas'!$G:$G,A2468,'Lançamentos de despesas'!$E:$E,"pago")</f>
        <v>0</v>
      </c>
      <c r="E2468" s="15">
        <f t="shared" si="1"/>
        <v>2026</v>
      </c>
      <c r="F2468" s="15">
        <f t="shared" si="2"/>
        <v>4</v>
      </c>
      <c r="G2468" s="15">
        <f t="shared" si="3"/>
        <v>9</v>
      </c>
    </row>
    <row r="2469">
      <c r="A2469" s="10" t="s">
        <v>27</v>
      </c>
      <c r="B2469" s="9">
        <f t="shared" si="4"/>
        <v>46121</v>
      </c>
      <c r="C2469" s="77" t="s">
        <v>1572</v>
      </c>
      <c r="D2469" s="13">
        <f>D2466+D2467-D2468</f>
        <v>140408.092</v>
      </c>
      <c r="E2469" s="15">
        <f t="shared" si="1"/>
        <v>2026</v>
      </c>
      <c r="F2469" s="15">
        <f t="shared" si="2"/>
        <v>4</v>
      </c>
      <c r="G2469" s="15">
        <f t="shared" si="3"/>
        <v>9</v>
      </c>
    </row>
    <row r="2470">
      <c r="A2470" s="10" t="s">
        <v>27</v>
      </c>
      <c r="B2470" s="9">
        <f t="shared" si="4"/>
        <v>46122</v>
      </c>
      <c r="C2470" s="77" t="s">
        <v>1569</v>
      </c>
      <c r="D2470" s="12">
        <f>D2469</f>
        <v>140408.092</v>
      </c>
      <c r="E2470" s="15">
        <f t="shared" si="1"/>
        <v>2026</v>
      </c>
      <c r="F2470" s="15">
        <f t="shared" si="2"/>
        <v>4</v>
      </c>
      <c r="G2470" s="15">
        <f t="shared" si="3"/>
        <v>10</v>
      </c>
    </row>
    <row r="2471">
      <c r="A2471" s="10" t="s">
        <v>27</v>
      </c>
      <c r="B2471" s="9">
        <f t="shared" si="4"/>
        <v>46122</v>
      </c>
      <c r="C2471" s="77" t="s">
        <v>1570</v>
      </c>
      <c r="D2471" s="13">
        <f>SUMIFS('Lançamentos de receitas'!$E:$E,'Lançamentos de receitas'!$A:$A,B2471,'Lançamentos de receitas'!$C:$C,A2471,'Lançamentos de receitas'!$F:$F,"TRANSFERÊNCIA")</f>
        <v>0</v>
      </c>
      <c r="E2471" s="15">
        <f t="shared" si="1"/>
        <v>2026</v>
      </c>
      <c r="F2471" s="15">
        <f t="shared" si="2"/>
        <v>4</v>
      </c>
      <c r="G2471" s="15">
        <f t="shared" si="3"/>
        <v>10</v>
      </c>
    </row>
    <row r="2472">
      <c r="A2472" s="10" t="s">
        <v>27</v>
      </c>
      <c r="B2472" s="9">
        <f t="shared" si="4"/>
        <v>46122</v>
      </c>
      <c r="C2472" s="77" t="s">
        <v>1571</v>
      </c>
      <c r="D2472" s="13">
        <f>SUMIFS('Lançamentos de despesas'!$K:$K,'Lançamentos de despesas'!$C:$C,B2472,'Lançamentos de despesas'!$G:$G,A2472,'Lançamentos de despesas'!$E:$E,"pago")</f>
        <v>0</v>
      </c>
      <c r="E2472" s="15">
        <f t="shared" si="1"/>
        <v>2026</v>
      </c>
      <c r="F2472" s="15">
        <f t="shared" si="2"/>
        <v>4</v>
      </c>
      <c r="G2472" s="15">
        <f t="shared" si="3"/>
        <v>10</v>
      </c>
    </row>
    <row r="2473">
      <c r="A2473" s="10" t="s">
        <v>27</v>
      </c>
      <c r="B2473" s="9">
        <f t="shared" si="4"/>
        <v>46122</v>
      </c>
      <c r="C2473" s="77" t="s">
        <v>1572</v>
      </c>
      <c r="D2473" s="13">
        <f>D2470+D2471-D2472</f>
        <v>140408.092</v>
      </c>
      <c r="E2473" s="15">
        <f t="shared" si="1"/>
        <v>2026</v>
      </c>
      <c r="F2473" s="15">
        <f t="shared" si="2"/>
        <v>4</v>
      </c>
      <c r="G2473" s="15">
        <f t="shared" si="3"/>
        <v>10</v>
      </c>
    </row>
    <row r="2474">
      <c r="A2474" s="10" t="s">
        <v>27</v>
      </c>
      <c r="B2474" s="9">
        <f t="shared" si="4"/>
        <v>46123</v>
      </c>
      <c r="C2474" s="77" t="s">
        <v>1569</v>
      </c>
      <c r="D2474" s="12">
        <f>D2473</f>
        <v>140408.092</v>
      </c>
      <c r="E2474" s="15">
        <f t="shared" si="1"/>
        <v>2026</v>
      </c>
      <c r="F2474" s="15">
        <f t="shared" si="2"/>
        <v>4</v>
      </c>
      <c r="G2474" s="15">
        <f t="shared" si="3"/>
        <v>11</v>
      </c>
    </row>
    <row r="2475">
      <c r="A2475" s="10" t="s">
        <v>27</v>
      </c>
      <c r="B2475" s="9">
        <f t="shared" si="4"/>
        <v>46123</v>
      </c>
      <c r="C2475" s="77" t="s">
        <v>1570</v>
      </c>
      <c r="D2475" s="13">
        <f>SUMIFS('Lançamentos de receitas'!$E:$E,'Lançamentos de receitas'!$A:$A,B2475,'Lançamentos de receitas'!$C:$C,A2475,'Lançamentos de receitas'!$F:$F,"TRANSFERÊNCIA")</f>
        <v>0</v>
      </c>
      <c r="E2475" s="15">
        <f t="shared" si="1"/>
        <v>2026</v>
      </c>
      <c r="F2475" s="15">
        <f t="shared" si="2"/>
        <v>4</v>
      </c>
      <c r="G2475" s="15">
        <f t="shared" si="3"/>
        <v>11</v>
      </c>
    </row>
    <row r="2476">
      <c r="A2476" s="10" t="s">
        <v>27</v>
      </c>
      <c r="B2476" s="9">
        <f t="shared" si="4"/>
        <v>46123</v>
      </c>
      <c r="C2476" s="77" t="s">
        <v>1571</v>
      </c>
      <c r="D2476" s="13">
        <f>SUMIFS('Lançamentos de despesas'!$K:$K,'Lançamentos de despesas'!$C:$C,B2476,'Lançamentos de despesas'!$G:$G,A2476,'Lançamentos de despesas'!$E:$E,"pago")</f>
        <v>0</v>
      </c>
      <c r="E2476" s="15">
        <f t="shared" si="1"/>
        <v>2026</v>
      </c>
      <c r="F2476" s="15">
        <f t="shared" si="2"/>
        <v>4</v>
      </c>
      <c r="G2476" s="15">
        <f t="shared" si="3"/>
        <v>11</v>
      </c>
    </row>
    <row r="2477">
      <c r="A2477" s="10" t="s">
        <v>27</v>
      </c>
      <c r="B2477" s="9">
        <f t="shared" si="4"/>
        <v>46123</v>
      </c>
      <c r="C2477" s="77" t="s">
        <v>1572</v>
      </c>
      <c r="D2477" s="13">
        <f>D2474+D2475-D2476</f>
        <v>140408.092</v>
      </c>
      <c r="E2477" s="15">
        <f t="shared" si="1"/>
        <v>2026</v>
      </c>
      <c r="F2477" s="15">
        <f t="shared" si="2"/>
        <v>4</v>
      </c>
      <c r="G2477" s="15">
        <f t="shared" si="3"/>
        <v>11</v>
      </c>
    </row>
    <row r="2478">
      <c r="A2478" s="10" t="s">
        <v>27</v>
      </c>
      <c r="B2478" s="9">
        <f t="shared" si="4"/>
        <v>46124</v>
      </c>
      <c r="C2478" s="77" t="s">
        <v>1569</v>
      </c>
      <c r="D2478" s="12">
        <f>D2477</f>
        <v>140408.092</v>
      </c>
      <c r="E2478" s="15">
        <f t="shared" si="1"/>
        <v>2026</v>
      </c>
      <c r="F2478" s="15">
        <f t="shared" si="2"/>
        <v>4</v>
      </c>
      <c r="G2478" s="15">
        <f t="shared" si="3"/>
        <v>12</v>
      </c>
    </row>
    <row r="2479">
      <c r="A2479" s="10" t="s">
        <v>27</v>
      </c>
      <c r="B2479" s="9">
        <f t="shared" si="4"/>
        <v>46124</v>
      </c>
      <c r="C2479" s="77" t="s">
        <v>1570</v>
      </c>
      <c r="D2479" s="13">
        <f>SUMIFS('Lançamentos de receitas'!$E:$E,'Lançamentos de receitas'!$A:$A,B2479,'Lançamentos de receitas'!$C:$C,A2479,'Lançamentos de receitas'!$F:$F,"TRANSFERÊNCIA")</f>
        <v>0</v>
      </c>
      <c r="E2479" s="15">
        <f t="shared" si="1"/>
        <v>2026</v>
      </c>
      <c r="F2479" s="15">
        <f t="shared" si="2"/>
        <v>4</v>
      </c>
      <c r="G2479" s="15">
        <f t="shared" si="3"/>
        <v>12</v>
      </c>
    </row>
    <row r="2480">
      <c r="A2480" s="10" t="s">
        <v>27</v>
      </c>
      <c r="B2480" s="9">
        <f t="shared" si="4"/>
        <v>46124</v>
      </c>
      <c r="C2480" s="77" t="s">
        <v>1571</v>
      </c>
      <c r="D2480" s="13">
        <f>SUMIFS('Lançamentos de despesas'!$K:$K,'Lançamentos de despesas'!$C:$C,B2480,'Lançamentos de despesas'!$G:$G,A2480,'Lançamentos de despesas'!$E:$E,"pago")</f>
        <v>0</v>
      </c>
      <c r="E2480" s="15">
        <f t="shared" si="1"/>
        <v>2026</v>
      </c>
      <c r="F2480" s="15">
        <f t="shared" si="2"/>
        <v>4</v>
      </c>
      <c r="G2480" s="15">
        <f t="shared" si="3"/>
        <v>12</v>
      </c>
    </row>
    <row r="2481">
      <c r="A2481" s="10" t="s">
        <v>27</v>
      </c>
      <c r="B2481" s="9">
        <f t="shared" si="4"/>
        <v>46124</v>
      </c>
      <c r="C2481" s="77" t="s">
        <v>1572</v>
      </c>
      <c r="D2481" s="13">
        <f>D2478+D2479-D2480</f>
        <v>140408.092</v>
      </c>
      <c r="E2481" s="15">
        <f t="shared" si="1"/>
        <v>2026</v>
      </c>
      <c r="F2481" s="15">
        <f t="shared" si="2"/>
        <v>4</v>
      </c>
      <c r="G2481" s="15">
        <f t="shared" si="3"/>
        <v>12</v>
      </c>
    </row>
    <row r="2482">
      <c r="A2482" s="10" t="s">
        <v>27</v>
      </c>
      <c r="B2482" s="9">
        <f t="shared" si="4"/>
        <v>46125</v>
      </c>
      <c r="C2482" s="77" t="s">
        <v>1569</v>
      </c>
      <c r="D2482" s="12">
        <f>D2481</f>
        <v>140408.092</v>
      </c>
      <c r="E2482" s="15">
        <f t="shared" si="1"/>
        <v>2026</v>
      </c>
      <c r="F2482" s="15">
        <f t="shared" si="2"/>
        <v>4</v>
      </c>
      <c r="G2482" s="15">
        <f t="shared" si="3"/>
        <v>13</v>
      </c>
    </row>
    <row r="2483">
      <c r="A2483" s="10" t="s">
        <v>27</v>
      </c>
      <c r="B2483" s="9">
        <f t="shared" si="4"/>
        <v>46125</v>
      </c>
      <c r="C2483" s="77" t="s">
        <v>1570</v>
      </c>
      <c r="D2483" s="13">
        <f>SUMIFS('Lançamentos de receitas'!$E:$E,'Lançamentos de receitas'!$A:$A,B2483,'Lançamentos de receitas'!$C:$C,A2483,'Lançamentos de receitas'!$F:$F,"TRANSFERÊNCIA")</f>
        <v>0</v>
      </c>
      <c r="E2483" s="15">
        <f t="shared" si="1"/>
        <v>2026</v>
      </c>
      <c r="F2483" s="15">
        <f t="shared" si="2"/>
        <v>4</v>
      </c>
      <c r="G2483" s="15">
        <f t="shared" si="3"/>
        <v>13</v>
      </c>
    </row>
    <row r="2484">
      <c r="A2484" s="10" t="s">
        <v>27</v>
      </c>
      <c r="B2484" s="9">
        <f t="shared" si="4"/>
        <v>46125</v>
      </c>
      <c r="C2484" s="77" t="s">
        <v>1571</v>
      </c>
      <c r="D2484" s="13">
        <f>SUMIFS('Lançamentos de despesas'!$K:$K,'Lançamentos de despesas'!$C:$C,B2484,'Lançamentos de despesas'!$G:$G,A2484,'Lançamentos de despesas'!$E:$E,"pago")</f>
        <v>0</v>
      </c>
      <c r="E2484" s="15">
        <f t="shared" si="1"/>
        <v>2026</v>
      </c>
      <c r="F2484" s="15">
        <f t="shared" si="2"/>
        <v>4</v>
      </c>
      <c r="G2484" s="15">
        <f t="shared" si="3"/>
        <v>13</v>
      </c>
    </row>
    <row r="2485">
      <c r="A2485" s="10" t="s">
        <v>27</v>
      </c>
      <c r="B2485" s="9">
        <f t="shared" si="4"/>
        <v>46125</v>
      </c>
      <c r="C2485" s="77" t="s">
        <v>1572</v>
      </c>
      <c r="D2485" s="13">
        <f>D2482+D2483-D2484</f>
        <v>140408.092</v>
      </c>
      <c r="E2485" s="15">
        <f t="shared" si="1"/>
        <v>2026</v>
      </c>
      <c r="F2485" s="15">
        <f t="shared" si="2"/>
        <v>4</v>
      </c>
      <c r="G2485" s="15">
        <f t="shared" si="3"/>
        <v>13</v>
      </c>
    </row>
    <row r="2486">
      <c r="A2486" s="10" t="s">
        <v>27</v>
      </c>
      <c r="B2486" s="9">
        <f t="shared" si="4"/>
        <v>46126</v>
      </c>
      <c r="C2486" s="77" t="s">
        <v>1569</v>
      </c>
      <c r="D2486" s="12">
        <f>D2485</f>
        <v>140408.092</v>
      </c>
      <c r="E2486" s="15">
        <f t="shared" si="1"/>
        <v>2026</v>
      </c>
      <c r="F2486" s="15">
        <f t="shared" si="2"/>
        <v>4</v>
      </c>
      <c r="G2486" s="15">
        <f t="shared" si="3"/>
        <v>14</v>
      </c>
    </row>
    <row r="2487">
      <c r="A2487" s="10" t="s">
        <v>27</v>
      </c>
      <c r="B2487" s="9">
        <f t="shared" si="4"/>
        <v>46126</v>
      </c>
      <c r="C2487" s="77" t="s">
        <v>1570</v>
      </c>
      <c r="D2487" s="13">
        <f>SUMIFS('Lançamentos de receitas'!$E:$E,'Lançamentos de receitas'!$A:$A,B2487,'Lançamentos de receitas'!$C:$C,A2487,'Lançamentos de receitas'!$F:$F,"TRANSFERÊNCIA")</f>
        <v>0</v>
      </c>
      <c r="E2487" s="15">
        <f t="shared" si="1"/>
        <v>2026</v>
      </c>
      <c r="F2487" s="15">
        <f t="shared" si="2"/>
        <v>4</v>
      </c>
      <c r="G2487" s="15">
        <f t="shared" si="3"/>
        <v>14</v>
      </c>
    </row>
    <row r="2488">
      <c r="A2488" s="10" t="s">
        <v>27</v>
      </c>
      <c r="B2488" s="9">
        <f t="shared" si="4"/>
        <v>46126</v>
      </c>
      <c r="C2488" s="77" t="s">
        <v>1571</v>
      </c>
      <c r="D2488" s="13">
        <f>SUMIFS('Lançamentos de despesas'!$K:$K,'Lançamentos de despesas'!$C:$C,B2488,'Lançamentos de despesas'!$G:$G,A2488,'Lançamentos de despesas'!$E:$E,"pago")</f>
        <v>0</v>
      </c>
      <c r="E2488" s="15">
        <f t="shared" si="1"/>
        <v>2026</v>
      </c>
      <c r="F2488" s="15">
        <f t="shared" si="2"/>
        <v>4</v>
      </c>
      <c r="G2488" s="15">
        <f t="shared" si="3"/>
        <v>14</v>
      </c>
    </row>
    <row r="2489">
      <c r="A2489" s="10" t="s">
        <v>27</v>
      </c>
      <c r="B2489" s="9">
        <f t="shared" si="4"/>
        <v>46126</v>
      </c>
      <c r="C2489" s="77" t="s">
        <v>1572</v>
      </c>
      <c r="D2489" s="13">
        <f>D2486+D2487-D2488</f>
        <v>140408.092</v>
      </c>
      <c r="E2489" s="15">
        <f t="shared" si="1"/>
        <v>2026</v>
      </c>
      <c r="F2489" s="15">
        <f t="shared" si="2"/>
        <v>4</v>
      </c>
      <c r="G2489" s="15">
        <f t="shared" si="3"/>
        <v>14</v>
      </c>
    </row>
    <row r="2490">
      <c r="A2490" s="10" t="s">
        <v>27</v>
      </c>
      <c r="B2490" s="9">
        <f t="shared" si="4"/>
        <v>46127</v>
      </c>
      <c r="C2490" s="77" t="s">
        <v>1569</v>
      </c>
      <c r="D2490" s="12">
        <f>D2489</f>
        <v>140408.092</v>
      </c>
      <c r="E2490" s="15">
        <f t="shared" si="1"/>
        <v>2026</v>
      </c>
      <c r="F2490" s="15">
        <f t="shared" si="2"/>
        <v>4</v>
      </c>
      <c r="G2490" s="15">
        <f t="shared" si="3"/>
        <v>15</v>
      </c>
    </row>
    <row r="2491">
      <c r="A2491" s="10" t="s">
        <v>27</v>
      </c>
      <c r="B2491" s="9">
        <f t="shared" si="4"/>
        <v>46127</v>
      </c>
      <c r="C2491" s="77" t="s">
        <v>1570</v>
      </c>
      <c r="D2491" s="13">
        <f>SUMIFS('Lançamentos de receitas'!$E:$E,'Lançamentos de receitas'!$A:$A,B2491,'Lançamentos de receitas'!$C:$C,A2491,'Lançamentos de receitas'!$F:$F,"TRANSFERÊNCIA")</f>
        <v>0</v>
      </c>
      <c r="E2491" s="15">
        <f t="shared" si="1"/>
        <v>2026</v>
      </c>
      <c r="F2491" s="15">
        <f t="shared" si="2"/>
        <v>4</v>
      </c>
      <c r="G2491" s="15">
        <f t="shared" si="3"/>
        <v>15</v>
      </c>
    </row>
    <row r="2492">
      <c r="A2492" s="10" t="s">
        <v>27</v>
      </c>
      <c r="B2492" s="9">
        <f t="shared" si="4"/>
        <v>46127</v>
      </c>
      <c r="C2492" s="77" t="s">
        <v>1571</v>
      </c>
      <c r="D2492" s="13">
        <f>SUMIFS('Lançamentos de despesas'!$K:$K,'Lançamentos de despesas'!$C:$C,B2492,'Lançamentos de despesas'!$G:$G,A2492,'Lançamentos de despesas'!$E:$E,"pago")</f>
        <v>0</v>
      </c>
      <c r="E2492" s="15">
        <f t="shared" si="1"/>
        <v>2026</v>
      </c>
      <c r="F2492" s="15">
        <f t="shared" si="2"/>
        <v>4</v>
      </c>
      <c r="G2492" s="15">
        <f t="shared" si="3"/>
        <v>15</v>
      </c>
    </row>
    <row r="2493">
      <c r="A2493" s="10" t="s">
        <v>27</v>
      </c>
      <c r="B2493" s="9">
        <f t="shared" si="4"/>
        <v>46127</v>
      </c>
      <c r="C2493" s="77" t="s">
        <v>1572</v>
      </c>
      <c r="D2493" s="13">
        <f>D2490+D2491-D2492</f>
        <v>140408.092</v>
      </c>
      <c r="E2493" s="15">
        <f t="shared" si="1"/>
        <v>2026</v>
      </c>
      <c r="F2493" s="15">
        <f t="shared" si="2"/>
        <v>4</v>
      </c>
      <c r="G2493" s="15">
        <f t="shared" si="3"/>
        <v>15</v>
      </c>
    </row>
    <row r="2494">
      <c r="A2494" s="10" t="s">
        <v>27</v>
      </c>
      <c r="B2494" s="9">
        <f t="shared" si="4"/>
        <v>46128</v>
      </c>
      <c r="C2494" s="77" t="s">
        <v>1569</v>
      </c>
      <c r="D2494" s="12">
        <f>D2493</f>
        <v>140408.092</v>
      </c>
      <c r="E2494" s="15">
        <f t="shared" si="1"/>
        <v>2026</v>
      </c>
      <c r="F2494" s="15">
        <f t="shared" si="2"/>
        <v>4</v>
      </c>
      <c r="G2494" s="15">
        <f t="shared" si="3"/>
        <v>16</v>
      </c>
    </row>
    <row r="2495">
      <c r="A2495" s="10" t="s">
        <v>27</v>
      </c>
      <c r="B2495" s="9">
        <f t="shared" si="4"/>
        <v>46128</v>
      </c>
      <c r="C2495" s="77" t="s">
        <v>1570</v>
      </c>
      <c r="D2495" s="13">
        <f>SUMIFS('Lançamentos de receitas'!$E:$E,'Lançamentos de receitas'!$A:$A,B2495,'Lançamentos de receitas'!$C:$C,A2495,'Lançamentos de receitas'!$F:$F,"TRANSFERÊNCIA")</f>
        <v>0</v>
      </c>
      <c r="E2495" s="15">
        <f t="shared" si="1"/>
        <v>2026</v>
      </c>
      <c r="F2495" s="15">
        <f t="shared" si="2"/>
        <v>4</v>
      </c>
      <c r="G2495" s="15">
        <f t="shared" si="3"/>
        <v>16</v>
      </c>
    </row>
    <row r="2496">
      <c r="A2496" s="10" t="s">
        <v>27</v>
      </c>
      <c r="B2496" s="9">
        <f t="shared" si="4"/>
        <v>46128</v>
      </c>
      <c r="C2496" s="77" t="s">
        <v>1571</v>
      </c>
      <c r="D2496" s="13">
        <f>SUMIFS('Lançamentos de despesas'!$K:$K,'Lançamentos de despesas'!$C:$C,B2496,'Lançamentos de despesas'!$G:$G,A2496,'Lançamentos de despesas'!$E:$E,"pago")</f>
        <v>0</v>
      </c>
      <c r="E2496" s="15">
        <f t="shared" si="1"/>
        <v>2026</v>
      </c>
      <c r="F2496" s="15">
        <f t="shared" si="2"/>
        <v>4</v>
      </c>
      <c r="G2496" s="15">
        <f t="shared" si="3"/>
        <v>16</v>
      </c>
    </row>
    <row r="2497">
      <c r="A2497" s="10" t="s">
        <v>27</v>
      </c>
      <c r="B2497" s="9">
        <f t="shared" si="4"/>
        <v>46128</v>
      </c>
      <c r="C2497" s="77" t="s">
        <v>1572</v>
      </c>
      <c r="D2497" s="13">
        <f>D2494+D2495-D2496</f>
        <v>140408.092</v>
      </c>
      <c r="E2497" s="15">
        <f t="shared" si="1"/>
        <v>2026</v>
      </c>
      <c r="F2497" s="15">
        <f t="shared" si="2"/>
        <v>4</v>
      </c>
      <c r="G2497" s="15">
        <f t="shared" si="3"/>
        <v>16</v>
      </c>
    </row>
    <row r="2498">
      <c r="A2498" s="10" t="s">
        <v>27</v>
      </c>
      <c r="B2498" s="9">
        <f t="shared" si="4"/>
        <v>46129</v>
      </c>
      <c r="C2498" s="77" t="s">
        <v>1569</v>
      </c>
      <c r="D2498" s="12">
        <f>D2497</f>
        <v>140408.092</v>
      </c>
      <c r="E2498" s="15">
        <f t="shared" si="1"/>
        <v>2026</v>
      </c>
      <c r="F2498" s="15">
        <f t="shared" si="2"/>
        <v>4</v>
      </c>
      <c r="G2498" s="15">
        <f t="shared" si="3"/>
        <v>17</v>
      </c>
    </row>
    <row r="2499">
      <c r="A2499" s="10" t="s">
        <v>27</v>
      </c>
      <c r="B2499" s="9">
        <f t="shared" si="4"/>
        <v>46129</v>
      </c>
      <c r="C2499" s="77" t="s">
        <v>1570</v>
      </c>
      <c r="D2499" s="13">
        <f>SUMIFS('Lançamentos de receitas'!$E:$E,'Lançamentos de receitas'!$A:$A,B2499,'Lançamentos de receitas'!$C:$C,A2499,'Lançamentos de receitas'!$F:$F,"TRANSFERÊNCIA")</f>
        <v>0</v>
      </c>
      <c r="E2499" s="15">
        <f t="shared" si="1"/>
        <v>2026</v>
      </c>
      <c r="F2499" s="15">
        <f t="shared" si="2"/>
        <v>4</v>
      </c>
      <c r="G2499" s="15">
        <f t="shared" si="3"/>
        <v>17</v>
      </c>
    </row>
    <row r="2500">
      <c r="A2500" s="10" t="s">
        <v>27</v>
      </c>
      <c r="B2500" s="9">
        <f t="shared" si="4"/>
        <v>46129</v>
      </c>
      <c r="C2500" s="77" t="s">
        <v>1571</v>
      </c>
      <c r="D2500" s="13">
        <f>SUMIFS('Lançamentos de despesas'!$K:$K,'Lançamentos de despesas'!$C:$C,B2500,'Lançamentos de despesas'!$G:$G,A2500,'Lançamentos de despesas'!$E:$E,"pago")</f>
        <v>0</v>
      </c>
      <c r="E2500" s="15">
        <f t="shared" si="1"/>
        <v>2026</v>
      </c>
      <c r="F2500" s="15">
        <f t="shared" si="2"/>
        <v>4</v>
      </c>
      <c r="G2500" s="15">
        <f t="shared" si="3"/>
        <v>17</v>
      </c>
    </row>
    <row r="2501">
      <c r="A2501" s="10" t="s">
        <v>27</v>
      </c>
      <c r="B2501" s="9">
        <f t="shared" si="4"/>
        <v>46129</v>
      </c>
      <c r="C2501" s="77" t="s">
        <v>1572</v>
      </c>
      <c r="D2501" s="13">
        <f>D2498+D2499-D2500</f>
        <v>140408.092</v>
      </c>
      <c r="E2501" s="15">
        <f t="shared" si="1"/>
        <v>2026</v>
      </c>
      <c r="F2501" s="15">
        <f t="shared" si="2"/>
        <v>4</v>
      </c>
      <c r="G2501" s="15">
        <f t="shared" si="3"/>
        <v>17</v>
      </c>
    </row>
    <row r="2502">
      <c r="A2502" s="10" t="s">
        <v>27</v>
      </c>
      <c r="B2502" s="9">
        <f t="shared" si="4"/>
        <v>46130</v>
      </c>
      <c r="C2502" s="77" t="s">
        <v>1569</v>
      </c>
      <c r="D2502" s="12">
        <f>D2501</f>
        <v>140408.092</v>
      </c>
      <c r="E2502" s="15">
        <f t="shared" si="1"/>
        <v>2026</v>
      </c>
      <c r="F2502" s="15">
        <f t="shared" si="2"/>
        <v>4</v>
      </c>
      <c r="G2502" s="15">
        <f t="shared" si="3"/>
        <v>18</v>
      </c>
    </row>
    <row r="2503">
      <c r="A2503" s="10" t="s">
        <v>27</v>
      </c>
      <c r="B2503" s="9">
        <f t="shared" si="4"/>
        <v>46130</v>
      </c>
      <c r="C2503" s="77" t="s">
        <v>1570</v>
      </c>
      <c r="D2503" s="13">
        <f>SUMIFS('Lançamentos de receitas'!$E:$E,'Lançamentos de receitas'!$A:$A,B2503,'Lançamentos de receitas'!$C:$C,A2503,'Lançamentos de receitas'!$F:$F,"TRANSFERÊNCIA")</f>
        <v>0</v>
      </c>
      <c r="E2503" s="15">
        <f t="shared" si="1"/>
        <v>2026</v>
      </c>
      <c r="F2503" s="15">
        <f t="shared" si="2"/>
        <v>4</v>
      </c>
      <c r="G2503" s="15">
        <f t="shared" si="3"/>
        <v>18</v>
      </c>
    </row>
    <row r="2504">
      <c r="A2504" s="10" t="s">
        <v>27</v>
      </c>
      <c r="B2504" s="9">
        <f t="shared" si="4"/>
        <v>46130</v>
      </c>
      <c r="C2504" s="77" t="s">
        <v>1571</v>
      </c>
      <c r="D2504" s="13">
        <f>SUMIFS('Lançamentos de despesas'!$K:$K,'Lançamentos de despesas'!$C:$C,B2504,'Lançamentos de despesas'!$G:$G,A2504,'Lançamentos de despesas'!$E:$E,"pago")</f>
        <v>0</v>
      </c>
      <c r="E2504" s="15">
        <f t="shared" si="1"/>
        <v>2026</v>
      </c>
      <c r="F2504" s="15">
        <f t="shared" si="2"/>
        <v>4</v>
      </c>
      <c r="G2504" s="15">
        <f t="shared" si="3"/>
        <v>18</v>
      </c>
    </row>
    <row r="2505">
      <c r="A2505" s="10" t="s">
        <v>27</v>
      </c>
      <c r="B2505" s="9">
        <f t="shared" si="4"/>
        <v>46130</v>
      </c>
      <c r="C2505" s="77" t="s">
        <v>1572</v>
      </c>
      <c r="D2505" s="13">
        <f>D2502+D2503-D2504</f>
        <v>140408.092</v>
      </c>
      <c r="E2505" s="15">
        <f t="shared" si="1"/>
        <v>2026</v>
      </c>
      <c r="F2505" s="15">
        <f t="shared" si="2"/>
        <v>4</v>
      </c>
      <c r="G2505" s="15">
        <f t="shared" si="3"/>
        <v>18</v>
      </c>
    </row>
    <row r="2506">
      <c r="A2506" s="10" t="s">
        <v>27</v>
      </c>
      <c r="B2506" s="9">
        <f t="shared" si="4"/>
        <v>46131</v>
      </c>
      <c r="C2506" s="77" t="s">
        <v>1569</v>
      </c>
      <c r="D2506" s="12">
        <f>D2505</f>
        <v>140408.092</v>
      </c>
      <c r="E2506" s="15">
        <f t="shared" si="1"/>
        <v>2026</v>
      </c>
      <c r="F2506" s="15">
        <f t="shared" si="2"/>
        <v>4</v>
      </c>
      <c r="G2506" s="15">
        <f t="shared" si="3"/>
        <v>19</v>
      </c>
    </row>
    <row r="2507">
      <c r="A2507" s="10" t="s">
        <v>27</v>
      </c>
      <c r="B2507" s="9">
        <f t="shared" si="4"/>
        <v>46131</v>
      </c>
      <c r="C2507" s="77" t="s">
        <v>1570</v>
      </c>
      <c r="D2507" s="13">
        <f>SUMIFS('Lançamentos de receitas'!$E:$E,'Lançamentos de receitas'!$A:$A,B2507,'Lançamentos de receitas'!$C:$C,A2507,'Lançamentos de receitas'!$F:$F,"TRANSFERÊNCIA")</f>
        <v>0</v>
      </c>
      <c r="E2507" s="15">
        <f t="shared" si="1"/>
        <v>2026</v>
      </c>
      <c r="F2507" s="15">
        <f t="shared" si="2"/>
        <v>4</v>
      </c>
      <c r="G2507" s="15">
        <f t="shared" si="3"/>
        <v>19</v>
      </c>
    </row>
    <row r="2508">
      <c r="A2508" s="10" t="s">
        <v>27</v>
      </c>
      <c r="B2508" s="9">
        <f t="shared" si="4"/>
        <v>46131</v>
      </c>
      <c r="C2508" s="77" t="s">
        <v>1571</v>
      </c>
      <c r="D2508" s="13">
        <f>SUMIFS('Lançamentos de despesas'!$K:$K,'Lançamentos de despesas'!$C:$C,B2508,'Lançamentos de despesas'!$G:$G,A2508,'Lançamentos de despesas'!$E:$E,"pago")</f>
        <v>0</v>
      </c>
      <c r="E2508" s="15">
        <f t="shared" si="1"/>
        <v>2026</v>
      </c>
      <c r="F2508" s="15">
        <f t="shared" si="2"/>
        <v>4</v>
      </c>
      <c r="G2508" s="15">
        <f t="shared" si="3"/>
        <v>19</v>
      </c>
    </row>
    <row r="2509">
      <c r="A2509" s="10" t="s">
        <v>27</v>
      </c>
      <c r="B2509" s="9">
        <f t="shared" si="4"/>
        <v>46131</v>
      </c>
      <c r="C2509" s="77" t="s">
        <v>1572</v>
      </c>
      <c r="D2509" s="13">
        <f>D2506+D2507-D2508</f>
        <v>140408.092</v>
      </c>
      <c r="E2509" s="15">
        <f t="shared" si="1"/>
        <v>2026</v>
      </c>
      <c r="F2509" s="15">
        <f t="shared" si="2"/>
        <v>4</v>
      </c>
      <c r="G2509" s="15">
        <f t="shared" si="3"/>
        <v>19</v>
      </c>
    </row>
    <row r="2510">
      <c r="A2510" s="10" t="s">
        <v>27</v>
      </c>
      <c r="B2510" s="9">
        <f t="shared" si="4"/>
        <v>46132</v>
      </c>
      <c r="C2510" s="77" t="s">
        <v>1569</v>
      </c>
      <c r="D2510" s="12">
        <f>D2509</f>
        <v>140408.092</v>
      </c>
      <c r="E2510" s="15">
        <f t="shared" si="1"/>
        <v>2026</v>
      </c>
      <c r="F2510" s="15">
        <f t="shared" si="2"/>
        <v>4</v>
      </c>
      <c r="G2510" s="15">
        <f t="shared" si="3"/>
        <v>20</v>
      </c>
    </row>
    <row r="2511">
      <c r="A2511" s="10" t="s">
        <v>27</v>
      </c>
      <c r="B2511" s="9">
        <f t="shared" si="4"/>
        <v>46132</v>
      </c>
      <c r="C2511" s="77" t="s">
        <v>1570</v>
      </c>
      <c r="D2511" s="13">
        <f>SUMIFS('Lançamentos de receitas'!$E:$E,'Lançamentos de receitas'!$A:$A,B2511,'Lançamentos de receitas'!$C:$C,A2511,'Lançamentos de receitas'!$F:$F,"TRANSFERÊNCIA")</f>
        <v>0</v>
      </c>
      <c r="E2511" s="15">
        <f t="shared" si="1"/>
        <v>2026</v>
      </c>
      <c r="F2511" s="15">
        <f t="shared" si="2"/>
        <v>4</v>
      </c>
      <c r="G2511" s="15">
        <f t="shared" si="3"/>
        <v>20</v>
      </c>
    </row>
    <row r="2512">
      <c r="A2512" s="10" t="s">
        <v>27</v>
      </c>
      <c r="B2512" s="9">
        <f t="shared" si="4"/>
        <v>46132</v>
      </c>
      <c r="C2512" s="77" t="s">
        <v>1571</v>
      </c>
      <c r="D2512" s="13">
        <f>SUMIFS('Lançamentos de despesas'!$K:$K,'Lançamentos de despesas'!$C:$C,B2512,'Lançamentos de despesas'!$G:$G,A2512,'Lançamentos de despesas'!$E:$E,"pago")</f>
        <v>0</v>
      </c>
      <c r="E2512" s="15">
        <f t="shared" si="1"/>
        <v>2026</v>
      </c>
      <c r="F2512" s="15">
        <f t="shared" si="2"/>
        <v>4</v>
      </c>
      <c r="G2512" s="15">
        <f t="shared" si="3"/>
        <v>20</v>
      </c>
    </row>
    <row r="2513">
      <c r="A2513" s="10" t="s">
        <v>27</v>
      </c>
      <c r="B2513" s="9">
        <f t="shared" si="4"/>
        <v>46132</v>
      </c>
      <c r="C2513" s="77" t="s">
        <v>1572</v>
      </c>
      <c r="D2513" s="13">
        <f>D2510+D2511-D2512</f>
        <v>140408.092</v>
      </c>
      <c r="E2513" s="15">
        <f t="shared" si="1"/>
        <v>2026</v>
      </c>
      <c r="F2513" s="15">
        <f t="shared" si="2"/>
        <v>4</v>
      </c>
      <c r="G2513" s="15">
        <f t="shared" si="3"/>
        <v>20</v>
      </c>
    </row>
    <row r="2514">
      <c r="A2514" s="10" t="s">
        <v>27</v>
      </c>
      <c r="B2514" s="9">
        <f t="shared" si="4"/>
        <v>46133</v>
      </c>
      <c r="C2514" s="77" t="s">
        <v>1569</v>
      </c>
      <c r="D2514" s="12">
        <f>D2513</f>
        <v>140408.092</v>
      </c>
      <c r="E2514" s="15">
        <f t="shared" si="1"/>
        <v>2026</v>
      </c>
      <c r="F2514" s="15">
        <f t="shared" si="2"/>
        <v>4</v>
      </c>
      <c r="G2514" s="15">
        <f t="shared" si="3"/>
        <v>21</v>
      </c>
    </row>
    <row r="2515">
      <c r="A2515" s="10" t="s">
        <v>27</v>
      </c>
      <c r="B2515" s="9">
        <f t="shared" si="4"/>
        <v>46133</v>
      </c>
      <c r="C2515" s="77" t="s">
        <v>1570</v>
      </c>
      <c r="D2515" s="13">
        <f>SUMIFS('Lançamentos de receitas'!$E:$E,'Lançamentos de receitas'!$A:$A,B2515,'Lançamentos de receitas'!$C:$C,A2515,'Lançamentos de receitas'!$F:$F,"TRANSFERÊNCIA")</f>
        <v>0</v>
      </c>
      <c r="E2515" s="15">
        <f t="shared" si="1"/>
        <v>2026</v>
      </c>
      <c r="F2515" s="15">
        <f t="shared" si="2"/>
        <v>4</v>
      </c>
      <c r="G2515" s="15">
        <f t="shared" si="3"/>
        <v>21</v>
      </c>
    </row>
    <row r="2516">
      <c r="A2516" s="10" t="s">
        <v>27</v>
      </c>
      <c r="B2516" s="9">
        <f t="shared" si="4"/>
        <v>46133</v>
      </c>
      <c r="C2516" s="77" t="s">
        <v>1571</v>
      </c>
      <c r="D2516" s="13">
        <f>SUMIFS('Lançamentos de despesas'!$K:$K,'Lançamentos de despesas'!$C:$C,B2516,'Lançamentos de despesas'!$G:$G,A2516,'Lançamentos de despesas'!$E:$E,"pago")</f>
        <v>0</v>
      </c>
      <c r="E2516" s="15">
        <f t="shared" si="1"/>
        <v>2026</v>
      </c>
      <c r="F2516" s="15">
        <f t="shared" si="2"/>
        <v>4</v>
      </c>
      <c r="G2516" s="15">
        <f t="shared" si="3"/>
        <v>21</v>
      </c>
    </row>
    <row r="2517">
      <c r="A2517" s="10" t="s">
        <v>27</v>
      </c>
      <c r="B2517" s="9">
        <f t="shared" si="4"/>
        <v>46133</v>
      </c>
      <c r="C2517" s="77" t="s">
        <v>1572</v>
      </c>
      <c r="D2517" s="13">
        <f>D2514+D2515-D2516</f>
        <v>140408.092</v>
      </c>
      <c r="E2517" s="15">
        <f t="shared" si="1"/>
        <v>2026</v>
      </c>
      <c r="F2517" s="15">
        <f t="shared" si="2"/>
        <v>4</v>
      </c>
      <c r="G2517" s="15">
        <f t="shared" si="3"/>
        <v>21</v>
      </c>
    </row>
    <row r="2518">
      <c r="A2518" s="10" t="s">
        <v>27</v>
      </c>
      <c r="B2518" s="9">
        <f t="shared" si="4"/>
        <v>46134</v>
      </c>
      <c r="C2518" s="77" t="s">
        <v>1569</v>
      </c>
      <c r="D2518" s="12">
        <f>D2517</f>
        <v>140408.092</v>
      </c>
      <c r="E2518" s="15">
        <f t="shared" si="1"/>
        <v>2026</v>
      </c>
      <c r="F2518" s="15">
        <f t="shared" si="2"/>
        <v>4</v>
      </c>
      <c r="G2518" s="15">
        <f t="shared" si="3"/>
        <v>22</v>
      </c>
    </row>
    <row r="2519">
      <c r="A2519" s="10" t="s">
        <v>27</v>
      </c>
      <c r="B2519" s="9">
        <f t="shared" si="4"/>
        <v>46134</v>
      </c>
      <c r="C2519" s="77" t="s">
        <v>1570</v>
      </c>
      <c r="D2519" s="13">
        <f>SUMIFS('Lançamentos de receitas'!$E:$E,'Lançamentos de receitas'!$A:$A,B2519,'Lançamentos de receitas'!$C:$C,A2519,'Lançamentos de receitas'!$F:$F,"TRANSFERÊNCIA")</f>
        <v>0</v>
      </c>
      <c r="E2519" s="15">
        <f t="shared" si="1"/>
        <v>2026</v>
      </c>
      <c r="F2519" s="15">
        <f t="shared" si="2"/>
        <v>4</v>
      </c>
      <c r="G2519" s="15">
        <f t="shared" si="3"/>
        <v>22</v>
      </c>
    </row>
    <row r="2520">
      <c r="A2520" s="10" t="s">
        <v>27</v>
      </c>
      <c r="B2520" s="9">
        <f t="shared" si="4"/>
        <v>46134</v>
      </c>
      <c r="C2520" s="77" t="s">
        <v>1571</v>
      </c>
      <c r="D2520" s="13">
        <f>SUMIFS('Lançamentos de despesas'!$K:$K,'Lançamentos de despesas'!$C:$C,B2520,'Lançamentos de despesas'!$G:$G,A2520,'Lançamentos de despesas'!$E:$E,"pago")</f>
        <v>0</v>
      </c>
      <c r="E2520" s="15">
        <f t="shared" si="1"/>
        <v>2026</v>
      </c>
      <c r="F2520" s="15">
        <f t="shared" si="2"/>
        <v>4</v>
      </c>
      <c r="G2520" s="15">
        <f t="shared" si="3"/>
        <v>22</v>
      </c>
    </row>
    <row r="2521">
      <c r="A2521" s="10" t="s">
        <v>27</v>
      </c>
      <c r="B2521" s="9">
        <f t="shared" si="4"/>
        <v>46134</v>
      </c>
      <c r="C2521" s="77" t="s">
        <v>1572</v>
      </c>
      <c r="D2521" s="13">
        <f>D2518+D2519-D2520</f>
        <v>140408.092</v>
      </c>
      <c r="E2521" s="15">
        <f t="shared" si="1"/>
        <v>2026</v>
      </c>
      <c r="F2521" s="15">
        <f t="shared" si="2"/>
        <v>4</v>
      </c>
      <c r="G2521" s="15">
        <f t="shared" si="3"/>
        <v>22</v>
      </c>
    </row>
    <row r="2522">
      <c r="A2522" s="10" t="s">
        <v>27</v>
      </c>
      <c r="B2522" s="9">
        <f t="shared" si="4"/>
        <v>46135</v>
      </c>
      <c r="C2522" s="77" t="s">
        <v>1569</v>
      </c>
      <c r="D2522" s="12">
        <f>D2521</f>
        <v>140408.092</v>
      </c>
      <c r="E2522" s="15">
        <f t="shared" si="1"/>
        <v>2026</v>
      </c>
      <c r="F2522" s="15">
        <f t="shared" si="2"/>
        <v>4</v>
      </c>
      <c r="G2522" s="15">
        <f t="shared" si="3"/>
        <v>23</v>
      </c>
    </row>
    <row r="2523">
      <c r="A2523" s="10" t="s">
        <v>27</v>
      </c>
      <c r="B2523" s="9">
        <f t="shared" si="4"/>
        <v>46135</v>
      </c>
      <c r="C2523" s="77" t="s">
        <v>1570</v>
      </c>
      <c r="D2523" s="13">
        <f>SUMIFS('Lançamentos de receitas'!$E:$E,'Lançamentos de receitas'!$A:$A,B2523,'Lançamentos de receitas'!$C:$C,A2523,'Lançamentos de receitas'!$F:$F,"TRANSFERÊNCIA")</f>
        <v>0</v>
      </c>
      <c r="E2523" s="15">
        <f t="shared" si="1"/>
        <v>2026</v>
      </c>
      <c r="F2523" s="15">
        <f t="shared" si="2"/>
        <v>4</v>
      </c>
      <c r="G2523" s="15">
        <f t="shared" si="3"/>
        <v>23</v>
      </c>
    </row>
    <row r="2524">
      <c r="A2524" s="10" t="s">
        <v>27</v>
      </c>
      <c r="B2524" s="9">
        <f t="shared" si="4"/>
        <v>46135</v>
      </c>
      <c r="C2524" s="77" t="s">
        <v>1571</v>
      </c>
      <c r="D2524" s="13">
        <f>SUMIFS('Lançamentos de despesas'!$K:$K,'Lançamentos de despesas'!$C:$C,B2524,'Lançamentos de despesas'!$G:$G,A2524,'Lançamentos de despesas'!$E:$E,"pago")</f>
        <v>0</v>
      </c>
      <c r="E2524" s="15">
        <f t="shared" si="1"/>
        <v>2026</v>
      </c>
      <c r="F2524" s="15">
        <f t="shared" si="2"/>
        <v>4</v>
      </c>
      <c r="G2524" s="15">
        <f t="shared" si="3"/>
        <v>23</v>
      </c>
    </row>
    <row r="2525">
      <c r="A2525" s="10" t="s">
        <v>27</v>
      </c>
      <c r="B2525" s="9">
        <f t="shared" si="4"/>
        <v>46135</v>
      </c>
      <c r="C2525" s="77" t="s">
        <v>1572</v>
      </c>
      <c r="D2525" s="13">
        <f>D2522+D2523-D2524</f>
        <v>140408.092</v>
      </c>
      <c r="E2525" s="15">
        <f t="shared" si="1"/>
        <v>2026</v>
      </c>
      <c r="F2525" s="15">
        <f t="shared" si="2"/>
        <v>4</v>
      </c>
      <c r="G2525" s="15">
        <f t="shared" si="3"/>
        <v>23</v>
      </c>
    </row>
    <row r="2526">
      <c r="A2526" s="10" t="s">
        <v>27</v>
      </c>
      <c r="B2526" s="9">
        <f t="shared" si="4"/>
        <v>46136</v>
      </c>
      <c r="C2526" s="77" t="s">
        <v>1569</v>
      </c>
      <c r="D2526" s="12">
        <f>D2525</f>
        <v>140408.092</v>
      </c>
      <c r="E2526" s="15">
        <f t="shared" si="1"/>
        <v>2026</v>
      </c>
      <c r="F2526" s="15">
        <f t="shared" si="2"/>
        <v>4</v>
      </c>
      <c r="G2526" s="15">
        <f t="shared" si="3"/>
        <v>24</v>
      </c>
    </row>
    <row r="2527">
      <c r="A2527" s="10" t="s">
        <v>27</v>
      </c>
      <c r="B2527" s="9">
        <f t="shared" si="4"/>
        <v>46136</v>
      </c>
      <c r="C2527" s="77" t="s">
        <v>1570</v>
      </c>
      <c r="D2527" s="13">
        <f>SUMIFS('Lançamentos de receitas'!$E:$E,'Lançamentos de receitas'!$A:$A,B2527,'Lançamentos de receitas'!$C:$C,A2527,'Lançamentos de receitas'!$F:$F,"TRANSFERÊNCIA")</f>
        <v>0</v>
      </c>
      <c r="E2527" s="15">
        <f t="shared" si="1"/>
        <v>2026</v>
      </c>
      <c r="F2527" s="15">
        <f t="shared" si="2"/>
        <v>4</v>
      </c>
      <c r="G2527" s="15">
        <f t="shared" si="3"/>
        <v>24</v>
      </c>
    </row>
    <row r="2528">
      <c r="A2528" s="10" t="s">
        <v>27</v>
      </c>
      <c r="B2528" s="9">
        <f t="shared" si="4"/>
        <v>46136</v>
      </c>
      <c r="C2528" s="77" t="s">
        <v>1571</v>
      </c>
      <c r="D2528" s="13">
        <f>SUMIFS('Lançamentos de despesas'!$K:$K,'Lançamentos de despesas'!$C:$C,B2528,'Lançamentos de despesas'!$G:$G,A2528,'Lançamentos de despesas'!$E:$E,"pago")</f>
        <v>0</v>
      </c>
      <c r="E2528" s="15">
        <f t="shared" si="1"/>
        <v>2026</v>
      </c>
      <c r="F2528" s="15">
        <f t="shared" si="2"/>
        <v>4</v>
      </c>
      <c r="G2528" s="15">
        <f t="shared" si="3"/>
        <v>24</v>
      </c>
    </row>
    <row r="2529">
      <c r="A2529" s="10" t="s">
        <v>27</v>
      </c>
      <c r="B2529" s="9">
        <f t="shared" si="4"/>
        <v>46136</v>
      </c>
      <c r="C2529" s="77" t="s">
        <v>1572</v>
      </c>
      <c r="D2529" s="13">
        <f>D2526+D2527-D2528</f>
        <v>140408.092</v>
      </c>
      <c r="E2529" s="15">
        <f t="shared" si="1"/>
        <v>2026</v>
      </c>
      <c r="F2529" s="15">
        <f t="shared" si="2"/>
        <v>4</v>
      </c>
      <c r="G2529" s="15">
        <f t="shared" si="3"/>
        <v>24</v>
      </c>
    </row>
    <row r="2530">
      <c r="A2530" s="10" t="s">
        <v>27</v>
      </c>
      <c r="B2530" s="9">
        <f t="shared" si="4"/>
        <v>46137</v>
      </c>
      <c r="C2530" s="77" t="s">
        <v>1569</v>
      </c>
      <c r="D2530" s="12">
        <f>D2529</f>
        <v>140408.092</v>
      </c>
      <c r="E2530" s="15">
        <f t="shared" si="1"/>
        <v>2026</v>
      </c>
      <c r="F2530" s="15">
        <f t="shared" si="2"/>
        <v>4</v>
      </c>
      <c r="G2530" s="15">
        <f t="shared" si="3"/>
        <v>25</v>
      </c>
    </row>
    <row r="2531">
      <c r="A2531" s="10" t="s">
        <v>27</v>
      </c>
      <c r="B2531" s="9">
        <f t="shared" si="4"/>
        <v>46137</v>
      </c>
      <c r="C2531" s="77" t="s">
        <v>1570</v>
      </c>
      <c r="D2531" s="13">
        <f>SUMIFS('Lançamentos de receitas'!$E:$E,'Lançamentos de receitas'!$A:$A,B2531,'Lançamentos de receitas'!$C:$C,A2531,'Lançamentos de receitas'!$F:$F,"TRANSFERÊNCIA")</f>
        <v>0</v>
      </c>
      <c r="E2531" s="15">
        <f t="shared" si="1"/>
        <v>2026</v>
      </c>
      <c r="F2531" s="15">
        <f t="shared" si="2"/>
        <v>4</v>
      </c>
      <c r="G2531" s="15">
        <f t="shared" si="3"/>
        <v>25</v>
      </c>
    </row>
    <row r="2532">
      <c r="A2532" s="10" t="s">
        <v>27</v>
      </c>
      <c r="B2532" s="9">
        <f t="shared" si="4"/>
        <v>46137</v>
      </c>
      <c r="C2532" s="77" t="s">
        <v>1571</v>
      </c>
      <c r="D2532" s="13">
        <f>SUMIFS('Lançamentos de despesas'!$K:$K,'Lançamentos de despesas'!$C:$C,B2532,'Lançamentos de despesas'!$G:$G,A2532,'Lançamentos de despesas'!$E:$E,"pago")</f>
        <v>0</v>
      </c>
      <c r="E2532" s="15">
        <f t="shared" si="1"/>
        <v>2026</v>
      </c>
      <c r="F2532" s="15">
        <f t="shared" si="2"/>
        <v>4</v>
      </c>
      <c r="G2532" s="15">
        <f t="shared" si="3"/>
        <v>25</v>
      </c>
    </row>
    <row r="2533">
      <c r="A2533" s="10" t="s">
        <v>27</v>
      </c>
      <c r="B2533" s="9">
        <f t="shared" si="4"/>
        <v>46137</v>
      </c>
      <c r="C2533" s="77" t="s">
        <v>1572</v>
      </c>
      <c r="D2533" s="13">
        <f>D2530+D2531-D2532</f>
        <v>140408.092</v>
      </c>
      <c r="E2533" s="15">
        <f t="shared" si="1"/>
        <v>2026</v>
      </c>
      <c r="F2533" s="15">
        <f t="shared" si="2"/>
        <v>4</v>
      </c>
      <c r="G2533" s="15">
        <f t="shared" si="3"/>
        <v>25</v>
      </c>
    </row>
    <row r="2534">
      <c r="A2534" s="10" t="s">
        <v>27</v>
      </c>
      <c r="B2534" s="9">
        <f t="shared" si="4"/>
        <v>46138</v>
      </c>
      <c r="C2534" s="77" t="s">
        <v>1569</v>
      </c>
      <c r="D2534" s="12">
        <f>D2533</f>
        <v>140408.092</v>
      </c>
      <c r="E2534" s="15">
        <f t="shared" si="1"/>
        <v>2026</v>
      </c>
      <c r="F2534" s="15">
        <f t="shared" si="2"/>
        <v>4</v>
      </c>
      <c r="G2534" s="15">
        <f t="shared" si="3"/>
        <v>26</v>
      </c>
    </row>
    <row r="2535">
      <c r="A2535" s="10" t="s">
        <v>27</v>
      </c>
      <c r="B2535" s="9">
        <f t="shared" si="4"/>
        <v>46138</v>
      </c>
      <c r="C2535" s="77" t="s">
        <v>1570</v>
      </c>
      <c r="D2535" s="13">
        <f>SUMIFS('Lançamentos de receitas'!$E:$E,'Lançamentos de receitas'!$A:$A,B2535,'Lançamentos de receitas'!$C:$C,A2535,'Lançamentos de receitas'!$F:$F,"TRANSFERÊNCIA")</f>
        <v>0</v>
      </c>
      <c r="E2535" s="15">
        <f t="shared" si="1"/>
        <v>2026</v>
      </c>
      <c r="F2535" s="15">
        <f t="shared" si="2"/>
        <v>4</v>
      </c>
      <c r="G2535" s="15">
        <f t="shared" si="3"/>
        <v>26</v>
      </c>
    </row>
    <row r="2536">
      <c r="A2536" s="10" t="s">
        <v>27</v>
      </c>
      <c r="B2536" s="9">
        <f t="shared" si="4"/>
        <v>46138</v>
      </c>
      <c r="C2536" s="77" t="s">
        <v>1571</v>
      </c>
      <c r="D2536" s="13">
        <f>SUMIFS('Lançamentos de despesas'!$K:$K,'Lançamentos de despesas'!$C:$C,B2536,'Lançamentos de despesas'!$G:$G,A2536,'Lançamentos de despesas'!$E:$E,"pago")</f>
        <v>0</v>
      </c>
      <c r="E2536" s="15">
        <f t="shared" si="1"/>
        <v>2026</v>
      </c>
      <c r="F2536" s="15">
        <f t="shared" si="2"/>
        <v>4</v>
      </c>
      <c r="G2536" s="15">
        <f t="shared" si="3"/>
        <v>26</v>
      </c>
    </row>
    <row r="2537">
      <c r="A2537" s="10" t="s">
        <v>27</v>
      </c>
      <c r="B2537" s="9">
        <f t="shared" si="4"/>
        <v>46138</v>
      </c>
      <c r="C2537" s="77" t="s">
        <v>1572</v>
      </c>
      <c r="D2537" s="13">
        <f>D2534+D2535-D2536</f>
        <v>140408.092</v>
      </c>
      <c r="E2537" s="15">
        <f t="shared" si="1"/>
        <v>2026</v>
      </c>
      <c r="F2537" s="15">
        <f t="shared" si="2"/>
        <v>4</v>
      </c>
      <c r="G2537" s="15">
        <f t="shared" si="3"/>
        <v>26</v>
      </c>
    </row>
    <row r="2538">
      <c r="A2538" s="10" t="s">
        <v>27</v>
      </c>
      <c r="B2538" s="9">
        <f t="shared" si="4"/>
        <v>46139</v>
      </c>
      <c r="C2538" s="77" t="s">
        <v>1569</v>
      </c>
      <c r="D2538" s="12">
        <f>D2537</f>
        <v>140408.092</v>
      </c>
      <c r="E2538" s="15">
        <f t="shared" si="1"/>
        <v>2026</v>
      </c>
      <c r="F2538" s="15">
        <f t="shared" si="2"/>
        <v>4</v>
      </c>
      <c r="G2538" s="15">
        <f t="shared" si="3"/>
        <v>27</v>
      </c>
    </row>
    <row r="2539">
      <c r="A2539" s="10" t="s">
        <v>27</v>
      </c>
      <c r="B2539" s="9">
        <f t="shared" si="4"/>
        <v>46139</v>
      </c>
      <c r="C2539" s="77" t="s">
        <v>1570</v>
      </c>
      <c r="D2539" s="13">
        <f>SUMIFS('Lançamentos de receitas'!$E:$E,'Lançamentos de receitas'!$A:$A,B2539,'Lançamentos de receitas'!$C:$C,A2539,'Lançamentos de receitas'!$F:$F,"TRANSFERÊNCIA")</f>
        <v>0</v>
      </c>
      <c r="E2539" s="15">
        <f t="shared" si="1"/>
        <v>2026</v>
      </c>
      <c r="F2539" s="15">
        <f t="shared" si="2"/>
        <v>4</v>
      </c>
      <c r="G2539" s="15">
        <f t="shared" si="3"/>
        <v>27</v>
      </c>
    </row>
    <row r="2540">
      <c r="A2540" s="10" t="s">
        <v>27</v>
      </c>
      <c r="B2540" s="9">
        <f t="shared" si="4"/>
        <v>46139</v>
      </c>
      <c r="C2540" s="77" t="s">
        <v>1571</v>
      </c>
      <c r="D2540" s="13">
        <f>SUMIFS('Lançamentos de despesas'!$K:$K,'Lançamentos de despesas'!$C:$C,B2540,'Lançamentos de despesas'!$G:$G,A2540,'Lançamentos de despesas'!$E:$E,"pago")</f>
        <v>0</v>
      </c>
      <c r="E2540" s="15">
        <f t="shared" si="1"/>
        <v>2026</v>
      </c>
      <c r="F2540" s="15">
        <f t="shared" si="2"/>
        <v>4</v>
      </c>
      <c r="G2540" s="15">
        <f t="shared" si="3"/>
        <v>27</v>
      </c>
    </row>
    <row r="2541">
      <c r="A2541" s="10" t="s">
        <v>27</v>
      </c>
      <c r="B2541" s="9">
        <f t="shared" si="4"/>
        <v>46139</v>
      </c>
      <c r="C2541" s="77" t="s">
        <v>1572</v>
      </c>
      <c r="D2541" s="13">
        <f>D2538+D2539-D2540</f>
        <v>140408.092</v>
      </c>
      <c r="E2541" s="15">
        <f t="shared" si="1"/>
        <v>2026</v>
      </c>
      <c r="F2541" s="15">
        <f t="shared" si="2"/>
        <v>4</v>
      </c>
      <c r="G2541" s="15">
        <f t="shared" si="3"/>
        <v>27</v>
      </c>
    </row>
    <row r="2542">
      <c r="A2542" s="10" t="s">
        <v>27</v>
      </c>
      <c r="B2542" s="9">
        <f t="shared" si="4"/>
        <v>46140</v>
      </c>
      <c r="C2542" s="77" t="s">
        <v>1569</v>
      </c>
      <c r="D2542" s="12">
        <f>D2541</f>
        <v>140408.092</v>
      </c>
      <c r="E2542" s="15">
        <f t="shared" si="1"/>
        <v>2026</v>
      </c>
      <c r="F2542" s="15">
        <f t="shared" si="2"/>
        <v>4</v>
      </c>
      <c r="G2542" s="15">
        <f t="shared" si="3"/>
        <v>28</v>
      </c>
    </row>
    <row r="2543">
      <c r="A2543" s="10" t="s">
        <v>27</v>
      </c>
      <c r="B2543" s="9">
        <f t="shared" si="4"/>
        <v>46140</v>
      </c>
      <c r="C2543" s="77" t="s">
        <v>1570</v>
      </c>
      <c r="D2543" s="13">
        <f>SUMIFS('Lançamentos de receitas'!$E:$E,'Lançamentos de receitas'!$A:$A,B2543,'Lançamentos de receitas'!$C:$C,A2543,'Lançamentos de receitas'!$F:$F,"TRANSFERÊNCIA")</f>
        <v>0</v>
      </c>
      <c r="E2543" s="15">
        <f t="shared" si="1"/>
        <v>2026</v>
      </c>
      <c r="F2543" s="15">
        <f t="shared" si="2"/>
        <v>4</v>
      </c>
      <c r="G2543" s="15">
        <f t="shared" si="3"/>
        <v>28</v>
      </c>
    </row>
    <row r="2544">
      <c r="A2544" s="10" t="s">
        <v>27</v>
      </c>
      <c r="B2544" s="9">
        <f t="shared" si="4"/>
        <v>46140</v>
      </c>
      <c r="C2544" s="77" t="s">
        <v>1571</v>
      </c>
      <c r="D2544" s="13">
        <f>SUMIFS('Lançamentos de despesas'!$K:$K,'Lançamentos de despesas'!$C:$C,B2544,'Lançamentos de despesas'!$G:$G,A2544,'Lançamentos de despesas'!$E:$E,"pago")</f>
        <v>0</v>
      </c>
      <c r="E2544" s="15">
        <f t="shared" si="1"/>
        <v>2026</v>
      </c>
      <c r="F2544" s="15">
        <f t="shared" si="2"/>
        <v>4</v>
      </c>
      <c r="G2544" s="15">
        <f t="shared" si="3"/>
        <v>28</v>
      </c>
    </row>
    <row r="2545">
      <c r="A2545" s="10" t="s">
        <v>27</v>
      </c>
      <c r="B2545" s="9">
        <f t="shared" si="4"/>
        <v>46140</v>
      </c>
      <c r="C2545" s="77" t="s">
        <v>1572</v>
      </c>
      <c r="D2545" s="13">
        <f>D2542+D2543-D2544</f>
        <v>140408.092</v>
      </c>
      <c r="E2545" s="15">
        <f t="shared" si="1"/>
        <v>2026</v>
      </c>
      <c r="F2545" s="15">
        <f t="shared" si="2"/>
        <v>4</v>
      </c>
      <c r="G2545" s="15">
        <f t="shared" si="3"/>
        <v>28</v>
      </c>
    </row>
    <row r="2546">
      <c r="A2546" s="10" t="s">
        <v>27</v>
      </c>
      <c r="B2546" s="9">
        <f t="shared" si="4"/>
        <v>46141</v>
      </c>
      <c r="C2546" s="77" t="s">
        <v>1569</v>
      </c>
      <c r="D2546" s="12">
        <f>D2545</f>
        <v>140408.092</v>
      </c>
      <c r="E2546" s="15">
        <f t="shared" si="1"/>
        <v>2026</v>
      </c>
      <c r="F2546" s="15">
        <f t="shared" si="2"/>
        <v>4</v>
      </c>
      <c r="G2546" s="15">
        <f t="shared" si="3"/>
        <v>29</v>
      </c>
    </row>
    <row r="2547">
      <c r="A2547" s="10" t="s">
        <v>27</v>
      </c>
      <c r="B2547" s="9">
        <f t="shared" si="4"/>
        <v>46141</v>
      </c>
      <c r="C2547" s="77" t="s">
        <v>1570</v>
      </c>
      <c r="D2547" s="13">
        <f>SUMIFS('Lançamentos de receitas'!$E:$E,'Lançamentos de receitas'!$A:$A,B2547,'Lançamentos de receitas'!$C:$C,A2547,'Lançamentos de receitas'!$F:$F,"TRANSFERÊNCIA")</f>
        <v>0</v>
      </c>
      <c r="E2547" s="15">
        <f t="shared" si="1"/>
        <v>2026</v>
      </c>
      <c r="F2547" s="15">
        <f t="shared" si="2"/>
        <v>4</v>
      </c>
      <c r="G2547" s="15">
        <f t="shared" si="3"/>
        <v>29</v>
      </c>
    </row>
    <row r="2548">
      <c r="A2548" s="10" t="s">
        <v>27</v>
      </c>
      <c r="B2548" s="9">
        <f t="shared" si="4"/>
        <v>46141</v>
      </c>
      <c r="C2548" s="77" t="s">
        <v>1571</v>
      </c>
      <c r="D2548" s="13">
        <f>SUMIFS('Lançamentos de despesas'!$K:$K,'Lançamentos de despesas'!$C:$C,B2548,'Lançamentos de despesas'!$G:$G,A2548,'Lançamentos de despesas'!$E:$E,"pago")</f>
        <v>0</v>
      </c>
      <c r="E2548" s="15">
        <f t="shared" si="1"/>
        <v>2026</v>
      </c>
      <c r="F2548" s="15">
        <f t="shared" si="2"/>
        <v>4</v>
      </c>
      <c r="G2548" s="15">
        <f t="shared" si="3"/>
        <v>29</v>
      </c>
    </row>
    <row r="2549">
      <c r="A2549" s="10" t="s">
        <v>27</v>
      </c>
      <c r="B2549" s="9">
        <f t="shared" si="4"/>
        <v>46141</v>
      </c>
      <c r="C2549" s="77" t="s">
        <v>1572</v>
      </c>
      <c r="D2549" s="13">
        <f>D2546+D2547-D2548</f>
        <v>140408.092</v>
      </c>
      <c r="E2549" s="15">
        <f t="shared" si="1"/>
        <v>2026</v>
      </c>
      <c r="F2549" s="15">
        <f t="shared" si="2"/>
        <v>4</v>
      </c>
      <c r="G2549" s="15">
        <f t="shared" si="3"/>
        <v>29</v>
      </c>
    </row>
    <row r="2550">
      <c r="A2550" s="10" t="s">
        <v>27</v>
      </c>
      <c r="B2550" s="9">
        <f t="shared" si="4"/>
        <v>46142</v>
      </c>
      <c r="C2550" s="77" t="s">
        <v>1569</v>
      </c>
      <c r="D2550" s="12">
        <f>D2549</f>
        <v>140408.092</v>
      </c>
      <c r="E2550" s="15">
        <f t="shared" si="1"/>
        <v>2026</v>
      </c>
      <c r="F2550" s="15">
        <f t="shared" si="2"/>
        <v>4</v>
      </c>
      <c r="G2550" s="15">
        <f t="shared" si="3"/>
        <v>30</v>
      </c>
    </row>
    <row r="2551">
      <c r="A2551" s="10" t="s">
        <v>27</v>
      </c>
      <c r="B2551" s="9">
        <f t="shared" si="4"/>
        <v>46142</v>
      </c>
      <c r="C2551" s="77" t="s">
        <v>1570</v>
      </c>
      <c r="D2551" s="13">
        <f>SUMIFS('Lançamentos de receitas'!$E:$E,'Lançamentos de receitas'!$A:$A,B2551,'Lançamentos de receitas'!$C:$C,A2551,'Lançamentos de receitas'!$F:$F,"TRANSFERÊNCIA")</f>
        <v>0</v>
      </c>
      <c r="E2551" s="15">
        <f t="shared" si="1"/>
        <v>2026</v>
      </c>
      <c r="F2551" s="15">
        <f t="shared" si="2"/>
        <v>4</v>
      </c>
      <c r="G2551" s="15">
        <f t="shared" si="3"/>
        <v>30</v>
      </c>
    </row>
    <row r="2552">
      <c r="A2552" s="10" t="s">
        <v>27</v>
      </c>
      <c r="B2552" s="9">
        <f t="shared" si="4"/>
        <v>46142</v>
      </c>
      <c r="C2552" s="77" t="s">
        <v>1571</v>
      </c>
      <c r="D2552" s="13">
        <f>SUMIFS('Lançamentos de despesas'!$K:$K,'Lançamentos de despesas'!$C:$C,B2552,'Lançamentos de despesas'!$G:$G,A2552,'Lançamentos de despesas'!$E:$E,"pago")</f>
        <v>0</v>
      </c>
      <c r="E2552" s="15">
        <f t="shared" si="1"/>
        <v>2026</v>
      </c>
      <c r="F2552" s="15">
        <f t="shared" si="2"/>
        <v>4</v>
      </c>
      <c r="G2552" s="15">
        <f t="shared" si="3"/>
        <v>30</v>
      </c>
    </row>
    <row r="2553">
      <c r="A2553" s="10" t="s">
        <v>27</v>
      </c>
      <c r="B2553" s="9">
        <f t="shared" si="4"/>
        <v>46142</v>
      </c>
      <c r="C2553" s="77" t="s">
        <v>1572</v>
      </c>
      <c r="D2553" s="13">
        <f>D2550+D2551-D2552</f>
        <v>140408.092</v>
      </c>
      <c r="E2553" s="15">
        <f t="shared" si="1"/>
        <v>2026</v>
      </c>
      <c r="F2553" s="15">
        <f t="shared" si="2"/>
        <v>4</v>
      </c>
      <c r="G2553" s="15">
        <f t="shared" si="3"/>
        <v>30</v>
      </c>
    </row>
    <row r="2554">
      <c r="A2554" s="10" t="s">
        <v>27</v>
      </c>
      <c r="B2554" s="9">
        <f t="shared" si="4"/>
        <v>46143</v>
      </c>
      <c r="C2554" s="77" t="s">
        <v>1569</v>
      </c>
      <c r="D2554" s="12">
        <f>D2553</f>
        <v>140408.092</v>
      </c>
      <c r="E2554" s="15">
        <f t="shared" si="1"/>
        <v>2026</v>
      </c>
      <c r="F2554" s="15">
        <f t="shared" si="2"/>
        <v>5</v>
      </c>
      <c r="G2554" s="15">
        <f t="shared" si="3"/>
        <v>1</v>
      </c>
    </row>
    <row r="2555">
      <c r="A2555" s="10" t="s">
        <v>27</v>
      </c>
      <c r="B2555" s="9">
        <f t="shared" si="4"/>
        <v>46143</v>
      </c>
      <c r="C2555" s="77" t="s">
        <v>1570</v>
      </c>
      <c r="D2555" s="13">
        <f>SUMIFS('Lançamentos de receitas'!$E:$E,'Lançamentos de receitas'!$A:$A,B2555,'Lançamentos de receitas'!$C:$C,A2555,'Lançamentos de receitas'!$F:$F,"TRANSFERÊNCIA")</f>
        <v>0</v>
      </c>
      <c r="E2555" s="15">
        <f t="shared" si="1"/>
        <v>2026</v>
      </c>
      <c r="F2555" s="15">
        <f t="shared" si="2"/>
        <v>5</v>
      </c>
      <c r="G2555" s="15">
        <f t="shared" si="3"/>
        <v>1</v>
      </c>
    </row>
    <row r="2556">
      <c r="A2556" s="10" t="s">
        <v>27</v>
      </c>
      <c r="B2556" s="9">
        <f t="shared" si="4"/>
        <v>46143</v>
      </c>
      <c r="C2556" s="77" t="s">
        <v>1571</v>
      </c>
      <c r="D2556" s="13">
        <f>SUMIFS('Lançamentos de despesas'!$K:$K,'Lançamentos de despesas'!$C:$C,B2556,'Lançamentos de despesas'!$G:$G,A2556,'Lançamentos de despesas'!$E:$E,"pago")</f>
        <v>0</v>
      </c>
      <c r="E2556" s="15">
        <f t="shared" si="1"/>
        <v>2026</v>
      </c>
      <c r="F2556" s="15">
        <f t="shared" si="2"/>
        <v>5</v>
      </c>
      <c r="G2556" s="15">
        <f t="shared" si="3"/>
        <v>1</v>
      </c>
    </row>
    <row r="2557">
      <c r="A2557" s="10" t="s">
        <v>27</v>
      </c>
      <c r="B2557" s="9">
        <f t="shared" si="4"/>
        <v>46143</v>
      </c>
      <c r="C2557" s="77" t="s">
        <v>1572</v>
      </c>
      <c r="D2557" s="13">
        <f>D2554+D2555-D2556</f>
        <v>140408.092</v>
      </c>
      <c r="E2557" s="15">
        <f t="shared" si="1"/>
        <v>2026</v>
      </c>
      <c r="F2557" s="15">
        <f t="shared" si="2"/>
        <v>5</v>
      </c>
      <c r="G2557" s="15">
        <f t="shared" si="3"/>
        <v>1</v>
      </c>
    </row>
    <row r="2558">
      <c r="A2558" s="10" t="s">
        <v>27</v>
      </c>
      <c r="B2558" s="9">
        <f t="shared" si="4"/>
        <v>46144</v>
      </c>
      <c r="C2558" s="77" t="s">
        <v>1569</v>
      </c>
      <c r="D2558" s="12">
        <f>D2557</f>
        <v>140408.092</v>
      </c>
      <c r="E2558" s="15">
        <f t="shared" si="1"/>
        <v>2026</v>
      </c>
      <c r="F2558" s="15">
        <f t="shared" si="2"/>
        <v>5</v>
      </c>
      <c r="G2558" s="15">
        <f t="shared" si="3"/>
        <v>2</v>
      </c>
    </row>
    <row r="2559">
      <c r="A2559" s="10" t="s">
        <v>27</v>
      </c>
      <c r="B2559" s="9">
        <f t="shared" si="4"/>
        <v>46144</v>
      </c>
      <c r="C2559" s="77" t="s">
        <v>1570</v>
      </c>
      <c r="D2559" s="13">
        <f>SUMIFS('Lançamentos de receitas'!$E:$E,'Lançamentos de receitas'!$A:$A,B2559,'Lançamentos de receitas'!$C:$C,A2559,'Lançamentos de receitas'!$F:$F,"TRANSFERÊNCIA")</f>
        <v>0</v>
      </c>
      <c r="E2559" s="15">
        <f t="shared" si="1"/>
        <v>2026</v>
      </c>
      <c r="F2559" s="15">
        <f t="shared" si="2"/>
        <v>5</v>
      </c>
      <c r="G2559" s="15">
        <f t="shared" si="3"/>
        <v>2</v>
      </c>
    </row>
    <row r="2560">
      <c r="A2560" s="10" t="s">
        <v>27</v>
      </c>
      <c r="B2560" s="9">
        <f t="shared" si="4"/>
        <v>46144</v>
      </c>
      <c r="C2560" s="77" t="s">
        <v>1571</v>
      </c>
      <c r="D2560" s="13">
        <f>SUMIFS('Lançamentos de despesas'!$K:$K,'Lançamentos de despesas'!$C:$C,B2560,'Lançamentos de despesas'!$G:$G,A2560,'Lançamentos de despesas'!$E:$E,"pago")</f>
        <v>0</v>
      </c>
      <c r="E2560" s="15">
        <f t="shared" si="1"/>
        <v>2026</v>
      </c>
      <c r="F2560" s="15">
        <f t="shared" si="2"/>
        <v>5</v>
      </c>
      <c r="G2560" s="15">
        <f t="shared" si="3"/>
        <v>2</v>
      </c>
    </row>
    <row r="2561">
      <c r="A2561" s="10" t="s">
        <v>27</v>
      </c>
      <c r="B2561" s="9">
        <f t="shared" si="4"/>
        <v>46144</v>
      </c>
      <c r="C2561" s="77" t="s">
        <v>1572</v>
      </c>
      <c r="D2561" s="13">
        <f>D2558+D2559-D2560</f>
        <v>140408.092</v>
      </c>
      <c r="E2561" s="15">
        <f t="shared" si="1"/>
        <v>2026</v>
      </c>
      <c r="F2561" s="15">
        <f t="shared" si="2"/>
        <v>5</v>
      </c>
      <c r="G2561" s="15">
        <f t="shared" si="3"/>
        <v>2</v>
      </c>
    </row>
    <row r="2562">
      <c r="A2562" s="10" t="s">
        <v>27</v>
      </c>
      <c r="B2562" s="9">
        <f t="shared" si="4"/>
        <v>46145</v>
      </c>
      <c r="C2562" s="77" t="s">
        <v>1569</v>
      </c>
      <c r="D2562" s="12">
        <f>D2561</f>
        <v>140408.092</v>
      </c>
      <c r="E2562" s="15">
        <f t="shared" si="1"/>
        <v>2026</v>
      </c>
      <c r="F2562" s="15">
        <f t="shared" si="2"/>
        <v>5</v>
      </c>
      <c r="G2562" s="15">
        <f t="shared" si="3"/>
        <v>3</v>
      </c>
    </row>
    <row r="2563">
      <c r="A2563" s="10" t="s">
        <v>27</v>
      </c>
      <c r="B2563" s="9">
        <f t="shared" si="4"/>
        <v>46145</v>
      </c>
      <c r="C2563" s="77" t="s">
        <v>1570</v>
      </c>
      <c r="D2563" s="13">
        <f>SUMIFS('Lançamentos de receitas'!$E:$E,'Lançamentos de receitas'!$A:$A,B2563,'Lançamentos de receitas'!$C:$C,A2563,'Lançamentos de receitas'!$F:$F,"TRANSFERÊNCIA")</f>
        <v>0</v>
      </c>
      <c r="E2563" s="15">
        <f t="shared" si="1"/>
        <v>2026</v>
      </c>
      <c r="F2563" s="15">
        <f t="shared" si="2"/>
        <v>5</v>
      </c>
      <c r="G2563" s="15">
        <f t="shared" si="3"/>
        <v>3</v>
      </c>
    </row>
    <row r="2564">
      <c r="A2564" s="10" t="s">
        <v>27</v>
      </c>
      <c r="B2564" s="9">
        <f t="shared" si="4"/>
        <v>46145</v>
      </c>
      <c r="C2564" s="77" t="s">
        <v>1571</v>
      </c>
      <c r="D2564" s="13">
        <f>SUMIFS('Lançamentos de despesas'!$K:$K,'Lançamentos de despesas'!$C:$C,B2564,'Lançamentos de despesas'!$G:$G,A2564,'Lançamentos de despesas'!$E:$E,"pago")</f>
        <v>0</v>
      </c>
      <c r="E2564" s="15">
        <f t="shared" si="1"/>
        <v>2026</v>
      </c>
      <c r="F2564" s="15">
        <f t="shared" si="2"/>
        <v>5</v>
      </c>
      <c r="G2564" s="15">
        <f t="shared" si="3"/>
        <v>3</v>
      </c>
    </row>
    <row r="2565">
      <c r="A2565" s="10" t="s">
        <v>27</v>
      </c>
      <c r="B2565" s="9">
        <f t="shared" si="4"/>
        <v>46145</v>
      </c>
      <c r="C2565" s="77" t="s">
        <v>1572</v>
      </c>
      <c r="D2565" s="13">
        <f>D2562+D2563-D2564</f>
        <v>140408.092</v>
      </c>
      <c r="E2565" s="15">
        <f t="shared" si="1"/>
        <v>2026</v>
      </c>
      <c r="F2565" s="15">
        <f t="shared" si="2"/>
        <v>5</v>
      </c>
      <c r="G2565" s="15">
        <f t="shared" si="3"/>
        <v>3</v>
      </c>
    </row>
    <row r="2566">
      <c r="A2566" s="10" t="s">
        <v>27</v>
      </c>
      <c r="B2566" s="9">
        <f t="shared" si="4"/>
        <v>46146</v>
      </c>
      <c r="C2566" s="77" t="s">
        <v>1569</v>
      </c>
      <c r="D2566" s="12">
        <f>D2565</f>
        <v>140408.092</v>
      </c>
      <c r="E2566" s="15">
        <f t="shared" si="1"/>
        <v>2026</v>
      </c>
      <c r="F2566" s="15">
        <f t="shared" si="2"/>
        <v>5</v>
      </c>
      <c r="G2566" s="15">
        <f t="shared" si="3"/>
        <v>4</v>
      </c>
    </row>
    <row r="2567">
      <c r="A2567" s="10" t="s">
        <v>27</v>
      </c>
      <c r="B2567" s="9">
        <f t="shared" si="4"/>
        <v>46146</v>
      </c>
      <c r="C2567" s="77" t="s">
        <v>1570</v>
      </c>
      <c r="D2567" s="13">
        <f>SUMIFS('Lançamentos de receitas'!$E:$E,'Lançamentos de receitas'!$A:$A,B2567,'Lançamentos de receitas'!$C:$C,A2567,'Lançamentos de receitas'!$F:$F,"TRANSFERÊNCIA")</f>
        <v>0</v>
      </c>
      <c r="E2567" s="15">
        <f t="shared" si="1"/>
        <v>2026</v>
      </c>
      <c r="F2567" s="15">
        <f t="shared" si="2"/>
        <v>5</v>
      </c>
      <c r="G2567" s="15">
        <f t="shared" si="3"/>
        <v>4</v>
      </c>
    </row>
    <row r="2568">
      <c r="A2568" s="10" t="s">
        <v>27</v>
      </c>
      <c r="B2568" s="9">
        <f t="shared" si="4"/>
        <v>46146</v>
      </c>
      <c r="C2568" s="77" t="s">
        <v>1571</v>
      </c>
      <c r="D2568" s="13">
        <f>SUMIFS('Lançamentos de despesas'!$K:$K,'Lançamentos de despesas'!$C:$C,B2568,'Lançamentos de despesas'!$G:$G,A2568,'Lançamentos de despesas'!$E:$E,"pago")</f>
        <v>0</v>
      </c>
      <c r="E2568" s="15">
        <f t="shared" si="1"/>
        <v>2026</v>
      </c>
      <c r="F2568" s="15">
        <f t="shared" si="2"/>
        <v>5</v>
      </c>
      <c r="G2568" s="15">
        <f t="shared" si="3"/>
        <v>4</v>
      </c>
    </row>
    <row r="2569">
      <c r="A2569" s="10" t="s">
        <v>27</v>
      </c>
      <c r="B2569" s="9">
        <f t="shared" si="4"/>
        <v>46146</v>
      </c>
      <c r="C2569" s="77" t="s">
        <v>1572</v>
      </c>
      <c r="D2569" s="13">
        <f>D2566+D2567-D2568</f>
        <v>140408.092</v>
      </c>
      <c r="E2569" s="15">
        <f t="shared" si="1"/>
        <v>2026</v>
      </c>
      <c r="F2569" s="15">
        <f t="shared" si="2"/>
        <v>5</v>
      </c>
      <c r="G2569" s="15">
        <f t="shared" si="3"/>
        <v>4</v>
      </c>
    </row>
    <row r="2570">
      <c r="A2570" s="10" t="s">
        <v>27</v>
      </c>
      <c r="B2570" s="9">
        <f t="shared" si="4"/>
        <v>46147</v>
      </c>
      <c r="C2570" s="77" t="s">
        <v>1569</v>
      </c>
      <c r="D2570" s="12">
        <f>D2569</f>
        <v>140408.092</v>
      </c>
      <c r="E2570" s="15">
        <f t="shared" si="1"/>
        <v>2026</v>
      </c>
      <c r="F2570" s="15">
        <f t="shared" si="2"/>
        <v>5</v>
      </c>
      <c r="G2570" s="15">
        <f t="shared" si="3"/>
        <v>5</v>
      </c>
    </row>
    <row r="2571">
      <c r="A2571" s="10" t="s">
        <v>27</v>
      </c>
      <c r="B2571" s="9">
        <f t="shared" si="4"/>
        <v>46147</v>
      </c>
      <c r="C2571" s="77" t="s">
        <v>1570</v>
      </c>
      <c r="D2571" s="13">
        <f>SUMIFS('Lançamentos de receitas'!$E:$E,'Lançamentos de receitas'!$A:$A,B2571,'Lançamentos de receitas'!$C:$C,A2571,'Lançamentos de receitas'!$F:$F,"TRANSFERÊNCIA")</f>
        <v>0</v>
      </c>
      <c r="E2571" s="15">
        <f t="shared" si="1"/>
        <v>2026</v>
      </c>
      <c r="F2571" s="15">
        <f t="shared" si="2"/>
        <v>5</v>
      </c>
      <c r="G2571" s="15">
        <f t="shared" si="3"/>
        <v>5</v>
      </c>
    </row>
    <row r="2572">
      <c r="A2572" s="10" t="s">
        <v>27</v>
      </c>
      <c r="B2572" s="9">
        <f t="shared" si="4"/>
        <v>46147</v>
      </c>
      <c r="C2572" s="77" t="s">
        <v>1571</v>
      </c>
      <c r="D2572" s="13">
        <f>SUMIFS('Lançamentos de despesas'!$K:$K,'Lançamentos de despesas'!$C:$C,B2572,'Lançamentos de despesas'!$G:$G,A2572,'Lançamentos de despesas'!$E:$E,"pago")</f>
        <v>0</v>
      </c>
      <c r="E2572" s="15">
        <f t="shared" si="1"/>
        <v>2026</v>
      </c>
      <c r="F2572" s="15">
        <f t="shared" si="2"/>
        <v>5</v>
      </c>
      <c r="G2572" s="15">
        <f t="shared" si="3"/>
        <v>5</v>
      </c>
    </row>
    <row r="2573">
      <c r="A2573" s="10" t="s">
        <v>27</v>
      </c>
      <c r="B2573" s="9">
        <f t="shared" si="4"/>
        <v>46147</v>
      </c>
      <c r="C2573" s="77" t="s">
        <v>1572</v>
      </c>
      <c r="D2573" s="13">
        <f>D2570+D2571-D2572</f>
        <v>140408.092</v>
      </c>
      <c r="E2573" s="15">
        <f t="shared" si="1"/>
        <v>2026</v>
      </c>
      <c r="F2573" s="15">
        <f t="shared" si="2"/>
        <v>5</v>
      </c>
      <c r="G2573" s="15">
        <f t="shared" si="3"/>
        <v>5</v>
      </c>
    </row>
    <row r="2574">
      <c r="A2574" s="10" t="s">
        <v>27</v>
      </c>
      <c r="B2574" s="9">
        <f t="shared" si="4"/>
        <v>46148</v>
      </c>
      <c r="C2574" s="77" t="s">
        <v>1569</v>
      </c>
      <c r="D2574" s="12">
        <f>D2573</f>
        <v>140408.092</v>
      </c>
      <c r="E2574" s="15">
        <f t="shared" si="1"/>
        <v>2026</v>
      </c>
      <c r="F2574" s="15">
        <f t="shared" si="2"/>
        <v>5</v>
      </c>
      <c r="G2574" s="15">
        <f t="shared" si="3"/>
        <v>6</v>
      </c>
    </row>
    <row r="2575">
      <c r="A2575" s="10" t="s">
        <v>27</v>
      </c>
      <c r="B2575" s="9">
        <f t="shared" si="4"/>
        <v>46148</v>
      </c>
      <c r="C2575" s="77" t="s">
        <v>1570</v>
      </c>
      <c r="D2575" s="13">
        <f>SUMIFS('Lançamentos de receitas'!$E:$E,'Lançamentos de receitas'!$A:$A,B2575,'Lançamentos de receitas'!$C:$C,A2575,'Lançamentos de receitas'!$F:$F,"TRANSFERÊNCIA")</f>
        <v>0</v>
      </c>
      <c r="E2575" s="15">
        <f t="shared" si="1"/>
        <v>2026</v>
      </c>
      <c r="F2575" s="15">
        <f t="shared" si="2"/>
        <v>5</v>
      </c>
      <c r="G2575" s="15">
        <f t="shared" si="3"/>
        <v>6</v>
      </c>
    </row>
    <row r="2576">
      <c r="A2576" s="10" t="s">
        <v>27</v>
      </c>
      <c r="B2576" s="9">
        <f t="shared" si="4"/>
        <v>46148</v>
      </c>
      <c r="C2576" s="77" t="s">
        <v>1571</v>
      </c>
      <c r="D2576" s="13">
        <f>SUMIFS('Lançamentos de despesas'!$K:$K,'Lançamentos de despesas'!$C:$C,B2576,'Lançamentos de despesas'!$G:$G,A2576,'Lançamentos de despesas'!$E:$E,"pago")</f>
        <v>0</v>
      </c>
      <c r="E2576" s="15">
        <f t="shared" si="1"/>
        <v>2026</v>
      </c>
      <c r="F2576" s="15">
        <f t="shared" si="2"/>
        <v>5</v>
      </c>
      <c r="G2576" s="15">
        <f t="shared" si="3"/>
        <v>6</v>
      </c>
    </row>
    <row r="2577">
      <c r="A2577" s="10" t="s">
        <v>27</v>
      </c>
      <c r="B2577" s="9">
        <f t="shared" si="4"/>
        <v>46148</v>
      </c>
      <c r="C2577" s="77" t="s">
        <v>1572</v>
      </c>
      <c r="D2577" s="13">
        <f>D2574+D2575-D2576</f>
        <v>140408.092</v>
      </c>
      <c r="E2577" s="15">
        <f t="shared" si="1"/>
        <v>2026</v>
      </c>
      <c r="F2577" s="15">
        <f t="shared" si="2"/>
        <v>5</v>
      </c>
      <c r="G2577" s="15">
        <f t="shared" si="3"/>
        <v>6</v>
      </c>
    </row>
    <row r="2578">
      <c r="A2578" s="10" t="s">
        <v>27</v>
      </c>
      <c r="B2578" s="9">
        <f t="shared" si="4"/>
        <v>46149</v>
      </c>
      <c r="C2578" s="77" t="s">
        <v>1569</v>
      </c>
      <c r="D2578" s="12">
        <f>D2577</f>
        <v>140408.092</v>
      </c>
      <c r="E2578" s="15">
        <f t="shared" si="1"/>
        <v>2026</v>
      </c>
      <c r="F2578" s="15">
        <f t="shared" si="2"/>
        <v>5</v>
      </c>
      <c r="G2578" s="15">
        <f t="shared" si="3"/>
        <v>7</v>
      </c>
    </row>
    <row r="2579">
      <c r="A2579" s="10" t="s">
        <v>27</v>
      </c>
      <c r="B2579" s="9">
        <f t="shared" si="4"/>
        <v>46149</v>
      </c>
      <c r="C2579" s="77" t="s">
        <v>1570</v>
      </c>
      <c r="D2579" s="13">
        <f>SUMIFS('Lançamentos de receitas'!$E:$E,'Lançamentos de receitas'!$A:$A,B2579,'Lançamentos de receitas'!$C:$C,A2579,'Lançamentos de receitas'!$F:$F,"TRANSFERÊNCIA")</f>
        <v>0</v>
      </c>
      <c r="E2579" s="15">
        <f t="shared" si="1"/>
        <v>2026</v>
      </c>
      <c r="F2579" s="15">
        <f t="shared" si="2"/>
        <v>5</v>
      </c>
      <c r="G2579" s="15">
        <f t="shared" si="3"/>
        <v>7</v>
      </c>
    </row>
    <row r="2580">
      <c r="A2580" s="10" t="s">
        <v>27</v>
      </c>
      <c r="B2580" s="9">
        <f t="shared" si="4"/>
        <v>46149</v>
      </c>
      <c r="C2580" s="77" t="s">
        <v>1571</v>
      </c>
      <c r="D2580" s="13">
        <f>SUMIFS('Lançamentos de despesas'!$K:$K,'Lançamentos de despesas'!$C:$C,B2580,'Lançamentos de despesas'!$G:$G,A2580,'Lançamentos de despesas'!$E:$E,"pago")</f>
        <v>0</v>
      </c>
      <c r="E2580" s="15">
        <f t="shared" si="1"/>
        <v>2026</v>
      </c>
      <c r="F2580" s="15">
        <f t="shared" si="2"/>
        <v>5</v>
      </c>
      <c r="G2580" s="15">
        <f t="shared" si="3"/>
        <v>7</v>
      </c>
    </row>
    <row r="2581">
      <c r="A2581" s="10" t="s">
        <v>27</v>
      </c>
      <c r="B2581" s="9">
        <f t="shared" si="4"/>
        <v>46149</v>
      </c>
      <c r="C2581" s="77" t="s">
        <v>1572</v>
      </c>
      <c r="D2581" s="13">
        <f>D2578+D2579-D2580</f>
        <v>140408.092</v>
      </c>
      <c r="E2581" s="15">
        <f t="shared" si="1"/>
        <v>2026</v>
      </c>
      <c r="F2581" s="15">
        <f t="shared" si="2"/>
        <v>5</v>
      </c>
      <c r="G2581" s="15">
        <f t="shared" si="3"/>
        <v>7</v>
      </c>
    </row>
    <row r="2582">
      <c r="A2582" s="10" t="s">
        <v>27</v>
      </c>
      <c r="B2582" s="9">
        <f t="shared" si="4"/>
        <v>46150</v>
      </c>
      <c r="C2582" s="77" t="s">
        <v>1569</v>
      </c>
      <c r="D2582" s="12">
        <f>D2581</f>
        <v>140408.092</v>
      </c>
      <c r="E2582" s="15">
        <f t="shared" si="1"/>
        <v>2026</v>
      </c>
      <c r="F2582" s="15">
        <f t="shared" si="2"/>
        <v>5</v>
      </c>
      <c r="G2582" s="15">
        <f t="shared" si="3"/>
        <v>8</v>
      </c>
    </row>
    <row r="2583">
      <c r="A2583" s="10" t="s">
        <v>27</v>
      </c>
      <c r="B2583" s="9">
        <f t="shared" si="4"/>
        <v>46150</v>
      </c>
      <c r="C2583" s="77" t="s">
        <v>1570</v>
      </c>
      <c r="D2583" s="13">
        <f>SUMIFS('Lançamentos de receitas'!$E:$E,'Lançamentos de receitas'!$A:$A,B2583,'Lançamentos de receitas'!$C:$C,A2583,'Lançamentos de receitas'!$F:$F,"TRANSFERÊNCIA")</f>
        <v>0</v>
      </c>
      <c r="E2583" s="15">
        <f t="shared" si="1"/>
        <v>2026</v>
      </c>
      <c r="F2583" s="15">
        <f t="shared" si="2"/>
        <v>5</v>
      </c>
      <c r="G2583" s="15">
        <f t="shared" si="3"/>
        <v>8</v>
      </c>
    </row>
    <row r="2584">
      <c r="A2584" s="10" t="s">
        <v>27</v>
      </c>
      <c r="B2584" s="9">
        <f t="shared" si="4"/>
        <v>46150</v>
      </c>
      <c r="C2584" s="77" t="s">
        <v>1571</v>
      </c>
      <c r="D2584" s="13">
        <f>SUMIFS('Lançamentos de despesas'!$K:$K,'Lançamentos de despesas'!$C:$C,B2584,'Lançamentos de despesas'!$G:$G,A2584,'Lançamentos de despesas'!$E:$E,"pago")</f>
        <v>0</v>
      </c>
      <c r="E2584" s="15">
        <f t="shared" si="1"/>
        <v>2026</v>
      </c>
      <c r="F2584" s="15">
        <f t="shared" si="2"/>
        <v>5</v>
      </c>
      <c r="G2584" s="15">
        <f t="shared" si="3"/>
        <v>8</v>
      </c>
    </row>
    <row r="2585">
      <c r="A2585" s="10" t="s">
        <v>27</v>
      </c>
      <c r="B2585" s="9">
        <f t="shared" si="4"/>
        <v>46150</v>
      </c>
      <c r="C2585" s="77" t="s">
        <v>1572</v>
      </c>
      <c r="D2585" s="13">
        <f>D2582+D2583-D2584</f>
        <v>140408.092</v>
      </c>
      <c r="E2585" s="15">
        <f t="shared" si="1"/>
        <v>2026</v>
      </c>
      <c r="F2585" s="15">
        <f t="shared" si="2"/>
        <v>5</v>
      </c>
      <c r="G2585" s="15">
        <f t="shared" si="3"/>
        <v>8</v>
      </c>
    </row>
    <row r="2586">
      <c r="A2586" s="10" t="s">
        <v>27</v>
      </c>
      <c r="B2586" s="9">
        <f t="shared" si="4"/>
        <v>46151</v>
      </c>
      <c r="C2586" s="77" t="s">
        <v>1569</v>
      </c>
      <c r="D2586" s="12">
        <f>D2585</f>
        <v>140408.092</v>
      </c>
      <c r="E2586" s="15">
        <f t="shared" si="1"/>
        <v>2026</v>
      </c>
      <c r="F2586" s="15">
        <f t="shared" si="2"/>
        <v>5</v>
      </c>
      <c r="G2586" s="15">
        <f t="shared" si="3"/>
        <v>9</v>
      </c>
    </row>
    <row r="2587">
      <c r="A2587" s="10" t="s">
        <v>27</v>
      </c>
      <c r="B2587" s="9">
        <f t="shared" si="4"/>
        <v>46151</v>
      </c>
      <c r="C2587" s="77" t="s">
        <v>1570</v>
      </c>
      <c r="D2587" s="13">
        <f>SUMIFS('Lançamentos de receitas'!$E:$E,'Lançamentos de receitas'!$A:$A,B2587,'Lançamentos de receitas'!$C:$C,A2587,'Lançamentos de receitas'!$F:$F,"TRANSFERÊNCIA")</f>
        <v>0</v>
      </c>
      <c r="E2587" s="15">
        <f t="shared" si="1"/>
        <v>2026</v>
      </c>
      <c r="F2587" s="15">
        <f t="shared" si="2"/>
        <v>5</v>
      </c>
      <c r="G2587" s="15">
        <f t="shared" si="3"/>
        <v>9</v>
      </c>
    </row>
    <row r="2588">
      <c r="A2588" s="10" t="s">
        <v>27</v>
      </c>
      <c r="B2588" s="9">
        <f t="shared" si="4"/>
        <v>46151</v>
      </c>
      <c r="C2588" s="77" t="s">
        <v>1571</v>
      </c>
      <c r="D2588" s="13">
        <f>SUMIFS('Lançamentos de despesas'!$K:$K,'Lançamentos de despesas'!$C:$C,B2588,'Lançamentos de despesas'!$G:$G,A2588,'Lançamentos de despesas'!$E:$E,"pago")</f>
        <v>0</v>
      </c>
      <c r="E2588" s="15">
        <f t="shared" si="1"/>
        <v>2026</v>
      </c>
      <c r="F2588" s="15">
        <f t="shared" si="2"/>
        <v>5</v>
      </c>
      <c r="G2588" s="15">
        <f t="shared" si="3"/>
        <v>9</v>
      </c>
    </row>
    <row r="2589">
      <c r="A2589" s="10" t="s">
        <v>27</v>
      </c>
      <c r="B2589" s="9">
        <f t="shared" si="4"/>
        <v>46151</v>
      </c>
      <c r="C2589" s="77" t="s">
        <v>1572</v>
      </c>
      <c r="D2589" s="13">
        <f>D2586+D2587-D2588</f>
        <v>140408.092</v>
      </c>
      <c r="E2589" s="15">
        <f t="shared" si="1"/>
        <v>2026</v>
      </c>
      <c r="F2589" s="15">
        <f t="shared" si="2"/>
        <v>5</v>
      </c>
      <c r="G2589" s="15">
        <f t="shared" si="3"/>
        <v>9</v>
      </c>
    </row>
    <row r="2590">
      <c r="A2590" s="10" t="s">
        <v>27</v>
      </c>
      <c r="B2590" s="9">
        <f t="shared" si="4"/>
        <v>46152</v>
      </c>
      <c r="C2590" s="77" t="s">
        <v>1569</v>
      </c>
      <c r="D2590" s="12">
        <f>D2589</f>
        <v>140408.092</v>
      </c>
      <c r="E2590" s="15">
        <f t="shared" si="1"/>
        <v>2026</v>
      </c>
      <c r="F2590" s="15">
        <f t="shared" si="2"/>
        <v>5</v>
      </c>
      <c r="G2590" s="15">
        <f t="shared" si="3"/>
        <v>10</v>
      </c>
    </row>
    <row r="2591">
      <c r="A2591" s="10" t="s">
        <v>27</v>
      </c>
      <c r="B2591" s="9">
        <f t="shared" si="4"/>
        <v>46152</v>
      </c>
      <c r="C2591" s="77" t="s">
        <v>1570</v>
      </c>
      <c r="D2591" s="13">
        <f>SUMIFS('Lançamentos de receitas'!$E:$E,'Lançamentos de receitas'!$A:$A,B2591,'Lançamentos de receitas'!$C:$C,A2591,'Lançamentos de receitas'!$F:$F,"TRANSFERÊNCIA")</f>
        <v>0</v>
      </c>
      <c r="E2591" s="15">
        <f t="shared" si="1"/>
        <v>2026</v>
      </c>
      <c r="F2591" s="15">
        <f t="shared" si="2"/>
        <v>5</v>
      </c>
      <c r="G2591" s="15">
        <f t="shared" si="3"/>
        <v>10</v>
      </c>
    </row>
    <row r="2592">
      <c r="A2592" s="10" t="s">
        <v>27</v>
      </c>
      <c r="B2592" s="9">
        <f t="shared" si="4"/>
        <v>46152</v>
      </c>
      <c r="C2592" s="77" t="s">
        <v>1571</v>
      </c>
      <c r="D2592" s="13">
        <f>SUMIFS('Lançamentos de despesas'!$K:$K,'Lançamentos de despesas'!$C:$C,B2592,'Lançamentos de despesas'!$G:$G,A2592,'Lançamentos de despesas'!$E:$E,"pago")</f>
        <v>0</v>
      </c>
      <c r="E2592" s="15">
        <f t="shared" si="1"/>
        <v>2026</v>
      </c>
      <c r="F2592" s="15">
        <f t="shared" si="2"/>
        <v>5</v>
      </c>
      <c r="G2592" s="15">
        <f t="shared" si="3"/>
        <v>10</v>
      </c>
    </row>
    <row r="2593">
      <c r="A2593" s="10" t="s">
        <v>27</v>
      </c>
      <c r="B2593" s="9">
        <f t="shared" si="4"/>
        <v>46152</v>
      </c>
      <c r="C2593" s="77" t="s">
        <v>1572</v>
      </c>
      <c r="D2593" s="13">
        <f>D2590+D2591-D2592</f>
        <v>140408.092</v>
      </c>
      <c r="E2593" s="15">
        <f t="shared" si="1"/>
        <v>2026</v>
      </c>
      <c r="F2593" s="15">
        <f t="shared" si="2"/>
        <v>5</v>
      </c>
      <c r="G2593" s="15">
        <f t="shared" si="3"/>
        <v>10</v>
      </c>
    </row>
    <row r="2594">
      <c r="A2594" s="10" t="s">
        <v>27</v>
      </c>
      <c r="B2594" s="9">
        <f t="shared" si="4"/>
        <v>46153</v>
      </c>
      <c r="C2594" s="77" t="s">
        <v>1569</v>
      </c>
      <c r="D2594" s="12">
        <f>D2593</f>
        <v>140408.092</v>
      </c>
      <c r="E2594" s="15">
        <f t="shared" si="1"/>
        <v>2026</v>
      </c>
      <c r="F2594" s="15">
        <f t="shared" si="2"/>
        <v>5</v>
      </c>
      <c r="G2594" s="15">
        <f t="shared" si="3"/>
        <v>11</v>
      </c>
    </row>
    <row r="2595">
      <c r="A2595" s="10" t="s">
        <v>27</v>
      </c>
      <c r="B2595" s="9">
        <f t="shared" si="4"/>
        <v>46153</v>
      </c>
      <c r="C2595" s="77" t="s">
        <v>1570</v>
      </c>
      <c r="D2595" s="13">
        <f>SUMIFS('Lançamentos de receitas'!$E:$E,'Lançamentos de receitas'!$A:$A,B2595,'Lançamentos de receitas'!$C:$C,A2595,'Lançamentos de receitas'!$F:$F,"TRANSFERÊNCIA")</f>
        <v>0</v>
      </c>
      <c r="E2595" s="15">
        <f t="shared" si="1"/>
        <v>2026</v>
      </c>
      <c r="F2595" s="15">
        <f t="shared" si="2"/>
        <v>5</v>
      </c>
      <c r="G2595" s="15">
        <f t="shared" si="3"/>
        <v>11</v>
      </c>
    </row>
    <row r="2596">
      <c r="A2596" s="10" t="s">
        <v>27</v>
      </c>
      <c r="B2596" s="9">
        <f t="shared" si="4"/>
        <v>46153</v>
      </c>
      <c r="C2596" s="77" t="s">
        <v>1571</v>
      </c>
      <c r="D2596" s="13">
        <f>SUMIFS('Lançamentos de despesas'!$K:$K,'Lançamentos de despesas'!$C:$C,B2596,'Lançamentos de despesas'!$G:$G,A2596,'Lançamentos de despesas'!$E:$E,"pago")</f>
        <v>0</v>
      </c>
      <c r="E2596" s="15">
        <f t="shared" si="1"/>
        <v>2026</v>
      </c>
      <c r="F2596" s="15">
        <f t="shared" si="2"/>
        <v>5</v>
      </c>
      <c r="G2596" s="15">
        <f t="shared" si="3"/>
        <v>11</v>
      </c>
    </row>
    <row r="2597">
      <c r="A2597" s="10" t="s">
        <v>27</v>
      </c>
      <c r="B2597" s="9">
        <f t="shared" si="4"/>
        <v>46153</v>
      </c>
      <c r="C2597" s="77" t="s">
        <v>1572</v>
      </c>
      <c r="D2597" s="13">
        <f>D2594+D2595-D2596</f>
        <v>140408.092</v>
      </c>
      <c r="E2597" s="15">
        <f t="shared" si="1"/>
        <v>2026</v>
      </c>
      <c r="F2597" s="15">
        <f t="shared" si="2"/>
        <v>5</v>
      </c>
      <c r="G2597" s="15">
        <f t="shared" si="3"/>
        <v>11</v>
      </c>
    </row>
    <row r="2598">
      <c r="A2598" s="10" t="s">
        <v>27</v>
      </c>
      <c r="B2598" s="9">
        <f t="shared" si="4"/>
        <v>46154</v>
      </c>
      <c r="C2598" s="77" t="s">
        <v>1569</v>
      </c>
      <c r="D2598" s="12">
        <f>D2597</f>
        <v>140408.092</v>
      </c>
      <c r="E2598" s="15">
        <f t="shared" si="1"/>
        <v>2026</v>
      </c>
      <c r="F2598" s="15">
        <f t="shared" si="2"/>
        <v>5</v>
      </c>
      <c r="G2598" s="15">
        <f t="shared" si="3"/>
        <v>12</v>
      </c>
    </row>
    <row r="2599">
      <c r="A2599" s="10" t="s">
        <v>27</v>
      </c>
      <c r="B2599" s="9">
        <f t="shared" si="4"/>
        <v>46154</v>
      </c>
      <c r="C2599" s="77" t="s">
        <v>1570</v>
      </c>
      <c r="D2599" s="13">
        <f>SUMIFS('Lançamentos de receitas'!$E:$E,'Lançamentos de receitas'!$A:$A,B2599,'Lançamentos de receitas'!$C:$C,A2599,'Lançamentos de receitas'!$F:$F,"TRANSFERÊNCIA")</f>
        <v>0</v>
      </c>
      <c r="E2599" s="15">
        <f t="shared" si="1"/>
        <v>2026</v>
      </c>
      <c r="F2599" s="15">
        <f t="shared" si="2"/>
        <v>5</v>
      </c>
      <c r="G2599" s="15">
        <f t="shared" si="3"/>
        <v>12</v>
      </c>
    </row>
    <row r="2600">
      <c r="A2600" s="10" t="s">
        <v>27</v>
      </c>
      <c r="B2600" s="9">
        <f t="shared" si="4"/>
        <v>46154</v>
      </c>
      <c r="C2600" s="77" t="s">
        <v>1571</v>
      </c>
      <c r="D2600" s="13">
        <f>SUMIFS('Lançamentos de despesas'!$K:$K,'Lançamentos de despesas'!$C:$C,B2600,'Lançamentos de despesas'!$G:$G,A2600,'Lançamentos de despesas'!$E:$E,"pago")</f>
        <v>0</v>
      </c>
      <c r="E2600" s="15">
        <f t="shared" si="1"/>
        <v>2026</v>
      </c>
      <c r="F2600" s="15">
        <f t="shared" si="2"/>
        <v>5</v>
      </c>
      <c r="G2600" s="15">
        <f t="shared" si="3"/>
        <v>12</v>
      </c>
    </row>
    <row r="2601">
      <c r="A2601" s="10" t="s">
        <v>27</v>
      </c>
      <c r="B2601" s="9">
        <f t="shared" si="4"/>
        <v>46154</v>
      </c>
      <c r="C2601" s="77" t="s">
        <v>1572</v>
      </c>
      <c r="D2601" s="13">
        <f>D2598+D2599-D2600</f>
        <v>140408.092</v>
      </c>
      <c r="E2601" s="15">
        <f t="shared" si="1"/>
        <v>2026</v>
      </c>
      <c r="F2601" s="15">
        <f t="shared" si="2"/>
        <v>5</v>
      </c>
      <c r="G2601" s="15">
        <f t="shared" si="3"/>
        <v>12</v>
      </c>
    </row>
    <row r="2602">
      <c r="A2602" s="10" t="s">
        <v>27</v>
      </c>
      <c r="B2602" s="9">
        <f t="shared" si="4"/>
        <v>46155</v>
      </c>
      <c r="C2602" s="77" t="s">
        <v>1569</v>
      </c>
      <c r="D2602" s="12">
        <f>D2601</f>
        <v>140408.092</v>
      </c>
      <c r="E2602" s="15">
        <f t="shared" si="1"/>
        <v>2026</v>
      </c>
      <c r="F2602" s="15">
        <f t="shared" si="2"/>
        <v>5</v>
      </c>
      <c r="G2602" s="15">
        <f t="shared" si="3"/>
        <v>13</v>
      </c>
    </row>
    <row r="2603">
      <c r="A2603" s="10" t="s">
        <v>27</v>
      </c>
      <c r="B2603" s="9">
        <f t="shared" si="4"/>
        <v>46155</v>
      </c>
      <c r="C2603" s="77" t="s">
        <v>1570</v>
      </c>
      <c r="D2603" s="13">
        <f>SUMIFS('Lançamentos de receitas'!$E:$E,'Lançamentos de receitas'!$A:$A,B2603,'Lançamentos de receitas'!$C:$C,A2603,'Lançamentos de receitas'!$F:$F,"TRANSFERÊNCIA")</f>
        <v>0</v>
      </c>
      <c r="E2603" s="15">
        <f t="shared" si="1"/>
        <v>2026</v>
      </c>
      <c r="F2603" s="15">
        <f t="shared" si="2"/>
        <v>5</v>
      </c>
      <c r="G2603" s="15">
        <f t="shared" si="3"/>
        <v>13</v>
      </c>
    </row>
    <row r="2604">
      <c r="A2604" s="10" t="s">
        <v>27</v>
      </c>
      <c r="B2604" s="9">
        <f t="shared" si="4"/>
        <v>46155</v>
      </c>
      <c r="C2604" s="77" t="s">
        <v>1571</v>
      </c>
      <c r="D2604" s="13">
        <f>SUMIFS('Lançamentos de despesas'!$K:$K,'Lançamentos de despesas'!$C:$C,B2604,'Lançamentos de despesas'!$G:$G,A2604,'Lançamentos de despesas'!$E:$E,"pago")</f>
        <v>0</v>
      </c>
      <c r="E2604" s="15">
        <f t="shared" si="1"/>
        <v>2026</v>
      </c>
      <c r="F2604" s="15">
        <f t="shared" si="2"/>
        <v>5</v>
      </c>
      <c r="G2604" s="15">
        <f t="shared" si="3"/>
        <v>13</v>
      </c>
    </row>
    <row r="2605">
      <c r="A2605" s="10" t="s">
        <v>27</v>
      </c>
      <c r="B2605" s="9">
        <f t="shared" si="4"/>
        <v>46155</v>
      </c>
      <c r="C2605" s="77" t="s">
        <v>1572</v>
      </c>
      <c r="D2605" s="13">
        <f>D2602+D2603-D2604</f>
        <v>140408.092</v>
      </c>
      <c r="E2605" s="15">
        <f t="shared" si="1"/>
        <v>2026</v>
      </c>
      <c r="F2605" s="15">
        <f t="shared" si="2"/>
        <v>5</v>
      </c>
      <c r="G2605" s="15">
        <f t="shared" si="3"/>
        <v>13</v>
      </c>
    </row>
    <row r="2606">
      <c r="A2606" s="10" t="s">
        <v>27</v>
      </c>
      <c r="B2606" s="9">
        <f t="shared" si="4"/>
        <v>46156</v>
      </c>
      <c r="C2606" s="77" t="s">
        <v>1569</v>
      </c>
      <c r="D2606" s="12">
        <f>D2605</f>
        <v>140408.092</v>
      </c>
      <c r="E2606" s="15">
        <f t="shared" si="1"/>
        <v>2026</v>
      </c>
      <c r="F2606" s="15">
        <f t="shared" si="2"/>
        <v>5</v>
      </c>
      <c r="G2606" s="15">
        <f t="shared" si="3"/>
        <v>14</v>
      </c>
    </row>
    <row r="2607">
      <c r="A2607" s="10" t="s">
        <v>27</v>
      </c>
      <c r="B2607" s="9">
        <f t="shared" si="4"/>
        <v>46156</v>
      </c>
      <c r="C2607" s="77" t="s">
        <v>1570</v>
      </c>
      <c r="D2607" s="13">
        <f>SUMIFS('Lançamentos de receitas'!$E:$E,'Lançamentos de receitas'!$A:$A,B2607,'Lançamentos de receitas'!$C:$C,A2607,'Lançamentos de receitas'!$F:$F,"TRANSFERÊNCIA")</f>
        <v>0</v>
      </c>
      <c r="E2607" s="15">
        <f t="shared" si="1"/>
        <v>2026</v>
      </c>
      <c r="F2607" s="15">
        <f t="shared" si="2"/>
        <v>5</v>
      </c>
      <c r="G2607" s="15">
        <f t="shared" si="3"/>
        <v>14</v>
      </c>
    </row>
    <row r="2608">
      <c r="A2608" s="10" t="s">
        <v>27</v>
      </c>
      <c r="B2608" s="9">
        <f t="shared" si="4"/>
        <v>46156</v>
      </c>
      <c r="C2608" s="77" t="s">
        <v>1571</v>
      </c>
      <c r="D2608" s="13">
        <f>SUMIFS('Lançamentos de despesas'!$K:$K,'Lançamentos de despesas'!$C:$C,B2608,'Lançamentos de despesas'!$G:$G,A2608,'Lançamentos de despesas'!$E:$E,"pago")</f>
        <v>0</v>
      </c>
      <c r="E2608" s="15">
        <f t="shared" si="1"/>
        <v>2026</v>
      </c>
      <c r="F2608" s="15">
        <f t="shared" si="2"/>
        <v>5</v>
      </c>
      <c r="G2608" s="15">
        <f t="shared" si="3"/>
        <v>14</v>
      </c>
    </row>
    <row r="2609">
      <c r="A2609" s="10" t="s">
        <v>27</v>
      </c>
      <c r="B2609" s="9">
        <f t="shared" si="4"/>
        <v>46156</v>
      </c>
      <c r="C2609" s="77" t="s">
        <v>1572</v>
      </c>
      <c r="D2609" s="13">
        <f>D2606+D2607-D2608</f>
        <v>140408.092</v>
      </c>
      <c r="E2609" s="15">
        <f t="shared" si="1"/>
        <v>2026</v>
      </c>
      <c r="F2609" s="15">
        <f t="shared" si="2"/>
        <v>5</v>
      </c>
      <c r="G2609" s="15">
        <f t="shared" si="3"/>
        <v>14</v>
      </c>
    </row>
    <row r="2610">
      <c r="A2610" s="10" t="s">
        <v>27</v>
      </c>
      <c r="B2610" s="9">
        <f t="shared" si="4"/>
        <v>46157</v>
      </c>
      <c r="C2610" s="77" t="s">
        <v>1569</v>
      </c>
      <c r="D2610" s="12">
        <f>D2609</f>
        <v>140408.092</v>
      </c>
      <c r="E2610" s="15">
        <f t="shared" si="1"/>
        <v>2026</v>
      </c>
      <c r="F2610" s="15">
        <f t="shared" si="2"/>
        <v>5</v>
      </c>
      <c r="G2610" s="15">
        <f t="shared" si="3"/>
        <v>15</v>
      </c>
    </row>
    <row r="2611">
      <c r="A2611" s="10" t="s">
        <v>27</v>
      </c>
      <c r="B2611" s="9">
        <f t="shared" si="4"/>
        <v>46157</v>
      </c>
      <c r="C2611" s="77" t="s">
        <v>1570</v>
      </c>
      <c r="D2611" s="13">
        <f>SUMIFS('Lançamentos de receitas'!$E:$E,'Lançamentos de receitas'!$A:$A,B2611,'Lançamentos de receitas'!$C:$C,A2611,'Lançamentos de receitas'!$F:$F,"TRANSFERÊNCIA")</f>
        <v>0</v>
      </c>
      <c r="E2611" s="15">
        <f t="shared" si="1"/>
        <v>2026</v>
      </c>
      <c r="F2611" s="15">
        <f t="shared" si="2"/>
        <v>5</v>
      </c>
      <c r="G2611" s="15">
        <f t="shared" si="3"/>
        <v>15</v>
      </c>
    </row>
    <row r="2612">
      <c r="A2612" s="10" t="s">
        <v>27</v>
      </c>
      <c r="B2612" s="9">
        <f t="shared" si="4"/>
        <v>46157</v>
      </c>
      <c r="C2612" s="77" t="s">
        <v>1571</v>
      </c>
      <c r="D2612" s="13">
        <f>SUMIFS('Lançamentos de despesas'!$K:$K,'Lançamentos de despesas'!$C:$C,B2612,'Lançamentos de despesas'!$G:$G,A2612,'Lançamentos de despesas'!$E:$E,"pago")</f>
        <v>0</v>
      </c>
      <c r="E2612" s="15">
        <f t="shared" si="1"/>
        <v>2026</v>
      </c>
      <c r="F2612" s="15">
        <f t="shared" si="2"/>
        <v>5</v>
      </c>
      <c r="G2612" s="15">
        <f t="shared" si="3"/>
        <v>15</v>
      </c>
    </row>
    <row r="2613">
      <c r="A2613" s="10" t="s">
        <v>27</v>
      </c>
      <c r="B2613" s="9">
        <f t="shared" si="4"/>
        <v>46157</v>
      </c>
      <c r="C2613" s="77" t="s">
        <v>1572</v>
      </c>
      <c r="D2613" s="13">
        <f>D2610+D2611-D2612</f>
        <v>140408.092</v>
      </c>
      <c r="E2613" s="15">
        <f t="shared" si="1"/>
        <v>2026</v>
      </c>
      <c r="F2613" s="15">
        <f t="shared" si="2"/>
        <v>5</v>
      </c>
      <c r="G2613" s="15">
        <f t="shared" si="3"/>
        <v>15</v>
      </c>
    </row>
    <row r="2614">
      <c r="A2614" s="10" t="s">
        <v>27</v>
      </c>
      <c r="B2614" s="9">
        <f t="shared" si="4"/>
        <v>46158</v>
      </c>
      <c r="C2614" s="77" t="s">
        <v>1569</v>
      </c>
      <c r="D2614" s="12">
        <f>D2613</f>
        <v>140408.092</v>
      </c>
      <c r="E2614" s="15">
        <f t="shared" si="1"/>
        <v>2026</v>
      </c>
      <c r="F2614" s="15">
        <f t="shared" si="2"/>
        <v>5</v>
      </c>
      <c r="G2614" s="15">
        <f t="shared" si="3"/>
        <v>16</v>
      </c>
    </row>
    <row r="2615">
      <c r="A2615" s="10" t="s">
        <v>27</v>
      </c>
      <c r="B2615" s="9">
        <f t="shared" si="4"/>
        <v>46158</v>
      </c>
      <c r="C2615" s="77" t="s">
        <v>1570</v>
      </c>
      <c r="D2615" s="13">
        <f>SUMIFS('Lançamentos de receitas'!$E:$E,'Lançamentos de receitas'!$A:$A,B2615,'Lançamentos de receitas'!$C:$C,A2615,'Lançamentos de receitas'!$F:$F,"TRANSFERÊNCIA")</f>
        <v>0</v>
      </c>
      <c r="E2615" s="15">
        <f t="shared" si="1"/>
        <v>2026</v>
      </c>
      <c r="F2615" s="15">
        <f t="shared" si="2"/>
        <v>5</v>
      </c>
      <c r="G2615" s="15">
        <f t="shared" si="3"/>
        <v>16</v>
      </c>
    </row>
    <row r="2616">
      <c r="A2616" s="10" t="s">
        <v>27</v>
      </c>
      <c r="B2616" s="9">
        <f t="shared" si="4"/>
        <v>46158</v>
      </c>
      <c r="C2616" s="77" t="s">
        <v>1571</v>
      </c>
      <c r="D2616" s="13">
        <f>SUMIFS('Lançamentos de despesas'!$K:$K,'Lançamentos de despesas'!$C:$C,B2616,'Lançamentos de despesas'!$G:$G,A2616,'Lançamentos de despesas'!$E:$E,"pago")</f>
        <v>0</v>
      </c>
      <c r="E2616" s="15">
        <f t="shared" si="1"/>
        <v>2026</v>
      </c>
      <c r="F2616" s="15">
        <f t="shared" si="2"/>
        <v>5</v>
      </c>
      <c r="G2616" s="15">
        <f t="shared" si="3"/>
        <v>16</v>
      </c>
    </row>
    <row r="2617">
      <c r="A2617" s="10" t="s">
        <v>27</v>
      </c>
      <c r="B2617" s="9">
        <f t="shared" si="4"/>
        <v>46158</v>
      </c>
      <c r="C2617" s="77" t="s">
        <v>1572</v>
      </c>
      <c r="D2617" s="13">
        <f>D2614+D2615-D2616</f>
        <v>140408.092</v>
      </c>
      <c r="E2617" s="15">
        <f t="shared" si="1"/>
        <v>2026</v>
      </c>
      <c r="F2617" s="15">
        <f t="shared" si="2"/>
        <v>5</v>
      </c>
      <c r="G2617" s="15">
        <f t="shared" si="3"/>
        <v>16</v>
      </c>
    </row>
    <row r="2618">
      <c r="A2618" s="10" t="s">
        <v>27</v>
      </c>
      <c r="B2618" s="9">
        <f t="shared" si="4"/>
        <v>46159</v>
      </c>
      <c r="C2618" s="77" t="s">
        <v>1569</v>
      </c>
      <c r="D2618" s="12">
        <f>D2617</f>
        <v>140408.092</v>
      </c>
      <c r="E2618" s="15">
        <f t="shared" si="1"/>
        <v>2026</v>
      </c>
      <c r="F2618" s="15">
        <f t="shared" si="2"/>
        <v>5</v>
      </c>
      <c r="G2618" s="15">
        <f t="shared" si="3"/>
        <v>17</v>
      </c>
    </row>
    <row r="2619">
      <c r="A2619" s="10" t="s">
        <v>27</v>
      </c>
      <c r="B2619" s="9">
        <f t="shared" si="4"/>
        <v>46159</v>
      </c>
      <c r="C2619" s="77" t="s">
        <v>1570</v>
      </c>
      <c r="D2619" s="13">
        <f>SUMIFS('Lançamentos de receitas'!$E:$E,'Lançamentos de receitas'!$A:$A,B2619,'Lançamentos de receitas'!$C:$C,A2619,'Lançamentos de receitas'!$F:$F,"TRANSFERÊNCIA")</f>
        <v>0</v>
      </c>
      <c r="E2619" s="15">
        <f t="shared" si="1"/>
        <v>2026</v>
      </c>
      <c r="F2619" s="15">
        <f t="shared" si="2"/>
        <v>5</v>
      </c>
      <c r="G2619" s="15">
        <f t="shared" si="3"/>
        <v>17</v>
      </c>
    </row>
    <row r="2620">
      <c r="A2620" s="10" t="s">
        <v>27</v>
      </c>
      <c r="B2620" s="9">
        <f t="shared" si="4"/>
        <v>46159</v>
      </c>
      <c r="C2620" s="77" t="s">
        <v>1571</v>
      </c>
      <c r="D2620" s="13">
        <f>SUMIFS('Lançamentos de despesas'!$K:$K,'Lançamentos de despesas'!$C:$C,B2620,'Lançamentos de despesas'!$G:$G,A2620,'Lançamentos de despesas'!$E:$E,"pago")</f>
        <v>0</v>
      </c>
      <c r="E2620" s="15">
        <f t="shared" si="1"/>
        <v>2026</v>
      </c>
      <c r="F2620" s="15">
        <f t="shared" si="2"/>
        <v>5</v>
      </c>
      <c r="G2620" s="15">
        <f t="shared" si="3"/>
        <v>17</v>
      </c>
    </row>
    <row r="2621">
      <c r="A2621" s="10" t="s">
        <v>27</v>
      </c>
      <c r="B2621" s="9">
        <f t="shared" si="4"/>
        <v>46159</v>
      </c>
      <c r="C2621" s="77" t="s">
        <v>1572</v>
      </c>
      <c r="D2621" s="13">
        <f>D2618+D2619-D2620</f>
        <v>140408.092</v>
      </c>
      <c r="E2621" s="15">
        <f t="shared" si="1"/>
        <v>2026</v>
      </c>
      <c r="F2621" s="15">
        <f t="shared" si="2"/>
        <v>5</v>
      </c>
      <c r="G2621" s="15">
        <f t="shared" si="3"/>
        <v>17</v>
      </c>
    </row>
    <row r="2622">
      <c r="A2622" s="10" t="s">
        <v>27</v>
      </c>
      <c r="B2622" s="9">
        <f t="shared" si="4"/>
        <v>46160</v>
      </c>
      <c r="C2622" s="77" t="s">
        <v>1569</v>
      </c>
      <c r="D2622" s="12">
        <f>D2621</f>
        <v>140408.092</v>
      </c>
      <c r="E2622" s="15">
        <f t="shared" si="1"/>
        <v>2026</v>
      </c>
      <c r="F2622" s="15">
        <f t="shared" si="2"/>
        <v>5</v>
      </c>
      <c r="G2622" s="15">
        <f t="shared" si="3"/>
        <v>18</v>
      </c>
    </row>
    <row r="2623">
      <c r="A2623" s="10" t="s">
        <v>27</v>
      </c>
      <c r="B2623" s="9">
        <f t="shared" si="4"/>
        <v>46160</v>
      </c>
      <c r="C2623" s="77" t="s">
        <v>1570</v>
      </c>
      <c r="D2623" s="13">
        <f>SUMIFS('Lançamentos de receitas'!$E:$E,'Lançamentos de receitas'!$A:$A,B2623,'Lançamentos de receitas'!$C:$C,A2623,'Lançamentos de receitas'!$F:$F,"TRANSFERÊNCIA")</f>
        <v>0</v>
      </c>
      <c r="E2623" s="15">
        <f t="shared" si="1"/>
        <v>2026</v>
      </c>
      <c r="F2623" s="15">
        <f t="shared" si="2"/>
        <v>5</v>
      </c>
      <c r="G2623" s="15">
        <f t="shared" si="3"/>
        <v>18</v>
      </c>
    </row>
    <row r="2624">
      <c r="A2624" s="10" t="s">
        <v>27</v>
      </c>
      <c r="B2624" s="9">
        <f t="shared" si="4"/>
        <v>46160</v>
      </c>
      <c r="C2624" s="77" t="s">
        <v>1571</v>
      </c>
      <c r="D2624" s="13">
        <f>SUMIFS('Lançamentos de despesas'!$K:$K,'Lançamentos de despesas'!$C:$C,B2624,'Lançamentos de despesas'!$G:$G,A2624,'Lançamentos de despesas'!$E:$E,"pago")</f>
        <v>0</v>
      </c>
      <c r="E2624" s="15">
        <f t="shared" si="1"/>
        <v>2026</v>
      </c>
      <c r="F2624" s="15">
        <f t="shared" si="2"/>
        <v>5</v>
      </c>
      <c r="G2624" s="15">
        <f t="shared" si="3"/>
        <v>18</v>
      </c>
    </row>
    <row r="2625">
      <c r="A2625" s="10" t="s">
        <v>27</v>
      </c>
      <c r="B2625" s="9">
        <f t="shared" si="4"/>
        <v>46160</v>
      </c>
      <c r="C2625" s="77" t="s">
        <v>1572</v>
      </c>
      <c r="D2625" s="13">
        <f>D2622+D2623-D2624</f>
        <v>140408.092</v>
      </c>
      <c r="E2625" s="15">
        <f t="shared" si="1"/>
        <v>2026</v>
      </c>
      <c r="F2625" s="15">
        <f t="shared" si="2"/>
        <v>5</v>
      </c>
      <c r="G2625" s="15">
        <f t="shared" si="3"/>
        <v>18</v>
      </c>
    </row>
    <row r="2626">
      <c r="A2626" s="10" t="s">
        <v>27</v>
      </c>
      <c r="B2626" s="9">
        <f t="shared" si="4"/>
        <v>46161</v>
      </c>
      <c r="C2626" s="77" t="s">
        <v>1569</v>
      </c>
      <c r="D2626" s="12">
        <f>D2625</f>
        <v>140408.092</v>
      </c>
      <c r="E2626" s="15">
        <f t="shared" si="1"/>
        <v>2026</v>
      </c>
      <c r="F2626" s="15">
        <f t="shared" si="2"/>
        <v>5</v>
      </c>
      <c r="G2626" s="15">
        <f t="shared" si="3"/>
        <v>19</v>
      </c>
    </row>
    <row r="2627">
      <c r="A2627" s="10" t="s">
        <v>27</v>
      </c>
      <c r="B2627" s="9">
        <f t="shared" si="4"/>
        <v>46161</v>
      </c>
      <c r="C2627" s="77" t="s">
        <v>1570</v>
      </c>
      <c r="D2627" s="13">
        <f>SUMIFS('Lançamentos de receitas'!$E:$E,'Lançamentos de receitas'!$A:$A,B2627,'Lançamentos de receitas'!$C:$C,A2627,'Lançamentos de receitas'!$F:$F,"TRANSFERÊNCIA")</f>
        <v>0</v>
      </c>
      <c r="E2627" s="15">
        <f t="shared" si="1"/>
        <v>2026</v>
      </c>
      <c r="F2627" s="15">
        <f t="shared" si="2"/>
        <v>5</v>
      </c>
      <c r="G2627" s="15">
        <f t="shared" si="3"/>
        <v>19</v>
      </c>
    </row>
    <row r="2628">
      <c r="A2628" s="10" t="s">
        <v>27</v>
      </c>
      <c r="B2628" s="9">
        <f t="shared" si="4"/>
        <v>46161</v>
      </c>
      <c r="C2628" s="77" t="s">
        <v>1571</v>
      </c>
      <c r="D2628" s="13">
        <f>SUMIFS('Lançamentos de despesas'!$K:$K,'Lançamentos de despesas'!$C:$C,B2628,'Lançamentos de despesas'!$G:$G,A2628,'Lançamentos de despesas'!$E:$E,"pago")</f>
        <v>0</v>
      </c>
      <c r="E2628" s="15">
        <f t="shared" si="1"/>
        <v>2026</v>
      </c>
      <c r="F2628" s="15">
        <f t="shared" si="2"/>
        <v>5</v>
      </c>
      <c r="G2628" s="15">
        <f t="shared" si="3"/>
        <v>19</v>
      </c>
    </row>
    <row r="2629">
      <c r="A2629" s="10" t="s">
        <v>27</v>
      </c>
      <c r="B2629" s="9">
        <f t="shared" si="4"/>
        <v>46161</v>
      </c>
      <c r="C2629" s="77" t="s">
        <v>1572</v>
      </c>
      <c r="D2629" s="13">
        <f>D2626+D2627-D2628</f>
        <v>140408.092</v>
      </c>
      <c r="E2629" s="15">
        <f t="shared" si="1"/>
        <v>2026</v>
      </c>
      <c r="F2629" s="15">
        <f t="shared" si="2"/>
        <v>5</v>
      </c>
      <c r="G2629" s="15">
        <f t="shared" si="3"/>
        <v>19</v>
      </c>
    </row>
    <row r="2630">
      <c r="A2630" s="10" t="s">
        <v>27</v>
      </c>
      <c r="B2630" s="9">
        <f t="shared" si="4"/>
        <v>46162</v>
      </c>
      <c r="C2630" s="77" t="s">
        <v>1569</v>
      </c>
      <c r="D2630" s="12">
        <f>D2629</f>
        <v>140408.092</v>
      </c>
      <c r="E2630" s="15">
        <f t="shared" si="1"/>
        <v>2026</v>
      </c>
      <c r="F2630" s="15">
        <f t="shared" si="2"/>
        <v>5</v>
      </c>
      <c r="G2630" s="15">
        <f t="shared" si="3"/>
        <v>20</v>
      </c>
    </row>
    <row r="2631">
      <c r="A2631" s="10" t="s">
        <v>27</v>
      </c>
      <c r="B2631" s="9">
        <f t="shared" si="4"/>
        <v>46162</v>
      </c>
      <c r="C2631" s="77" t="s">
        <v>1570</v>
      </c>
      <c r="D2631" s="13">
        <f>SUMIFS('Lançamentos de receitas'!$E:$E,'Lançamentos de receitas'!$A:$A,B2631,'Lançamentos de receitas'!$C:$C,A2631,'Lançamentos de receitas'!$F:$F,"TRANSFERÊNCIA")</f>
        <v>0</v>
      </c>
      <c r="E2631" s="15">
        <f t="shared" si="1"/>
        <v>2026</v>
      </c>
      <c r="F2631" s="15">
        <f t="shared" si="2"/>
        <v>5</v>
      </c>
      <c r="G2631" s="15">
        <f t="shared" si="3"/>
        <v>20</v>
      </c>
    </row>
    <row r="2632">
      <c r="A2632" s="10" t="s">
        <v>27</v>
      </c>
      <c r="B2632" s="9">
        <f t="shared" si="4"/>
        <v>46162</v>
      </c>
      <c r="C2632" s="77" t="s">
        <v>1571</v>
      </c>
      <c r="D2632" s="13">
        <f>SUMIFS('Lançamentos de despesas'!$K:$K,'Lançamentos de despesas'!$C:$C,B2632,'Lançamentos de despesas'!$G:$G,A2632,'Lançamentos de despesas'!$E:$E,"pago")</f>
        <v>0</v>
      </c>
      <c r="E2632" s="15">
        <f t="shared" si="1"/>
        <v>2026</v>
      </c>
      <c r="F2632" s="15">
        <f t="shared" si="2"/>
        <v>5</v>
      </c>
      <c r="G2632" s="15">
        <f t="shared" si="3"/>
        <v>20</v>
      </c>
    </row>
    <row r="2633">
      <c r="A2633" s="10" t="s">
        <v>27</v>
      </c>
      <c r="B2633" s="9">
        <f t="shared" si="4"/>
        <v>46162</v>
      </c>
      <c r="C2633" s="77" t="s">
        <v>1572</v>
      </c>
      <c r="D2633" s="13">
        <f>D2630+D2631-D2632</f>
        <v>140408.092</v>
      </c>
      <c r="E2633" s="15">
        <f t="shared" si="1"/>
        <v>2026</v>
      </c>
      <c r="F2633" s="15">
        <f t="shared" si="2"/>
        <v>5</v>
      </c>
      <c r="G2633" s="15">
        <f t="shared" si="3"/>
        <v>20</v>
      </c>
    </row>
    <row r="2634">
      <c r="A2634" s="10" t="s">
        <v>27</v>
      </c>
      <c r="B2634" s="9">
        <f t="shared" si="4"/>
        <v>46163</v>
      </c>
      <c r="C2634" s="77" t="s">
        <v>1569</v>
      </c>
      <c r="D2634" s="12">
        <f>D2633</f>
        <v>140408.092</v>
      </c>
      <c r="E2634" s="15">
        <f t="shared" si="1"/>
        <v>2026</v>
      </c>
      <c r="F2634" s="15">
        <f t="shared" si="2"/>
        <v>5</v>
      </c>
      <c r="G2634" s="15">
        <f t="shared" si="3"/>
        <v>21</v>
      </c>
    </row>
    <row r="2635">
      <c r="A2635" s="10" t="s">
        <v>27</v>
      </c>
      <c r="B2635" s="9">
        <f t="shared" si="4"/>
        <v>46163</v>
      </c>
      <c r="C2635" s="77" t="s">
        <v>1570</v>
      </c>
      <c r="D2635" s="13">
        <f>SUMIFS('Lançamentos de receitas'!$E:$E,'Lançamentos de receitas'!$A:$A,B2635,'Lançamentos de receitas'!$C:$C,A2635,'Lançamentos de receitas'!$F:$F,"TRANSFERÊNCIA")</f>
        <v>0</v>
      </c>
      <c r="E2635" s="15">
        <f t="shared" si="1"/>
        <v>2026</v>
      </c>
      <c r="F2635" s="15">
        <f t="shared" si="2"/>
        <v>5</v>
      </c>
      <c r="G2635" s="15">
        <f t="shared" si="3"/>
        <v>21</v>
      </c>
    </row>
    <row r="2636">
      <c r="A2636" s="10" t="s">
        <v>27</v>
      </c>
      <c r="B2636" s="9">
        <f t="shared" si="4"/>
        <v>46163</v>
      </c>
      <c r="C2636" s="77" t="s">
        <v>1571</v>
      </c>
      <c r="D2636" s="13">
        <f>SUMIFS('Lançamentos de despesas'!$K:$K,'Lançamentos de despesas'!$C:$C,B2636,'Lançamentos de despesas'!$G:$G,A2636,'Lançamentos de despesas'!$E:$E,"pago")</f>
        <v>0</v>
      </c>
      <c r="E2636" s="15">
        <f t="shared" si="1"/>
        <v>2026</v>
      </c>
      <c r="F2636" s="15">
        <f t="shared" si="2"/>
        <v>5</v>
      </c>
      <c r="G2636" s="15">
        <f t="shared" si="3"/>
        <v>21</v>
      </c>
    </row>
    <row r="2637">
      <c r="A2637" s="10" t="s">
        <v>27</v>
      </c>
      <c r="B2637" s="9">
        <f t="shared" si="4"/>
        <v>46163</v>
      </c>
      <c r="C2637" s="77" t="s">
        <v>1572</v>
      </c>
      <c r="D2637" s="13">
        <f>D2634+D2635-D2636</f>
        <v>140408.092</v>
      </c>
      <c r="E2637" s="15">
        <f t="shared" si="1"/>
        <v>2026</v>
      </c>
      <c r="F2637" s="15">
        <f t="shared" si="2"/>
        <v>5</v>
      </c>
      <c r="G2637" s="15">
        <f t="shared" si="3"/>
        <v>21</v>
      </c>
    </row>
    <row r="2638">
      <c r="A2638" s="10" t="s">
        <v>27</v>
      </c>
      <c r="B2638" s="9">
        <f t="shared" si="4"/>
        <v>46164</v>
      </c>
      <c r="C2638" s="77" t="s">
        <v>1569</v>
      </c>
      <c r="D2638" s="12">
        <f>D2637</f>
        <v>140408.092</v>
      </c>
      <c r="E2638" s="15">
        <f t="shared" si="1"/>
        <v>2026</v>
      </c>
      <c r="F2638" s="15">
        <f t="shared" si="2"/>
        <v>5</v>
      </c>
      <c r="G2638" s="15">
        <f t="shared" si="3"/>
        <v>22</v>
      </c>
    </row>
    <row r="2639">
      <c r="A2639" s="10" t="s">
        <v>27</v>
      </c>
      <c r="B2639" s="9">
        <f t="shared" si="4"/>
        <v>46164</v>
      </c>
      <c r="C2639" s="77" t="s">
        <v>1570</v>
      </c>
      <c r="D2639" s="13">
        <f>SUMIFS('Lançamentos de receitas'!$E:$E,'Lançamentos de receitas'!$A:$A,B2639,'Lançamentos de receitas'!$C:$C,A2639,'Lançamentos de receitas'!$F:$F,"TRANSFERÊNCIA")</f>
        <v>0</v>
      </c>
      <c r="E2639" s="15">
        <f t="shared" si="1"/>
        <v>2026</v>
      </c>
      <c r="F2639" s="15">
        <f t="shared" si="2"/>
        <v>5</v>
      </c>
      <c r="G2639" s="15">
        <f t="shared" si="3"/>
        <v>22</v>
      </c>
    </row>
    <row r="2640">
      <c r="A2640" s="10" t="s">
        <v>27</v>
      </c>
      <c r="B2640" s="9">
        <f t="shared" si="4"/>
        <v>46164</v>
      </c>
      <c r="C2640" s="77" t="s">
        <v>1571</v>
      </c>
      <c r="D2640" s="13">
        <f>SUMIFS('Lançamentos de despesas'!$K:$K,'Lançamentos de despesas'!$C:$C,B2640,'Lançamentos de despesas'!$G:$G,A2640,'Lançamentos de despesas'!$E:$E,"pago")</f>
        <v>0</v>
      </c>
      <c r="E2640" s="15">
        <f t="shared" si="1"/>
        <v>2026</v>
      </c>
      <c r="F2640" s="15">
        <f t="shared" si="2"/>
        <v>5</v>
      </c>
      <c r="G2640" s="15">
        <f t="shared" si="3"/>
        <v>22</v>
      </c>
    </row>
    <row r="2641">
      <c r="A2641" s="10" t="s">
        <v>27</v>
      </c>
      <c r="B2641" s="9">
        <f t="shared" si="4"/>
        <v>46164</v>
      </c>
      <c r="C2641" s="77" t="s">
        <v>1572</v>
      </c>
      <c r="D2641" s="13">
        <f>D2638+D2639-D2640</f>
        <v>140408.092</v>
      </c>
      <c r="E2641" s="15">
        <f t="shared" si="1"/>
        <v>2026</v>
      </c>
      <c r="F2641" s="15">
        <f t="shared" si="2"/>
        <v>5</v>
      </c>
      <c r="G2641" s="15">
        <f t="shared" si="3"/>
        <v>22</v>
      </c>
    </row>
    <row r="2642">
      <c r="A2642" s="10" t="s">
        <v>27</v>
      </c>
      <c r="B2642" s="9">
        <f t="shared" si="4"/>
        <v>46165</v>
      </c>
      <c r="C2642" s="77" t="s">
        <v>1569</v>
      </c>
      <c r="D2642" s="12">
        <f>D2641</f>
        <v>140408.092</v>
      </c>
      <c r="E2642" s="15">
        <f t="shared" si="1"/>
        <v>2026</v>
      </c>
      <c r="F2642" s="15">
        <f t="shared" si="2"/>
        <v>5</v>
      </c>
      <c r="G2642" s="15">
        <f t="shared" si="3"/>
        <v>23</v>
      </c>
    </row>
    <row r="2643">
      <c r="A2643" s="10" t="s">
        <v>27</v>
      </c>
      <c r="B2643" s="9">
        <f t="shared" si="4"/>
        <v>46165</v>
      </c>
      <c r="C2643" s="77" t="s">
        <v>1570</v>
      </c>
      <c r="D2643" s="13">
        <f>SUMIFS('Lançamentos de receitas'!$E:$E,'Lançamentos de receitas'!$A:$A,B2643,'Lançamentos de receitas'!$C:$C,A2643,'Lançamentos de receitas'!$F:$F,"TRANSFERÊNCIA")</f>
        <v>0</v>
      </c>
      <c r="E2643" s="15">
        <f t="shared" si="1"/>
        <v>2026</v>
      </c>
      <c r="F2643" s="15">
        <f t="shared" si="2"/>
        <v>5</v>
      </c>
      <c r="G2643" s="15">
        <f t="shared" si="3"/>
        <v>23</v>
      </c>
    </row>
    <row r="2644">
      <c r="A2644" s="10" t="s">
        <v>27</v>
      </c>
      <c r="B2644" s="9">
        <f t="shared" si="4"/>
        <v>46165</v>
      </c>
      <c r="C2644" s="77" t="s">
        <v>1571</v>
      </c>
      <c r="D2644" s="13">
        <f>SUMIFS('Lançamentos de despesas'!$K:$K,'Lançamentos de despesas'!$C:$C,B2644,'Lançamentos de despesas'!$G:$G,A2644,'Lançamentos de despesas'!$E:$E,"pago")</f>
        <v>0</v>
      </c>
      <c r="E2644" s="15">
        <f t="shared" si="1"/>
        <v>2026</v>
      </c>
      <c r="F2644" s="15">
        <f t="shared" si="2"/>
        <v>5</v>
      </c>
      <c r="G2644" s="15">
        <f t="shared" si="3"/>
        <v>23</v>
      </c>
    </row>
    <row r="2645">
      <c r="A2645" s="10" t="s">
        <v>27</v>
      </c>
      <c r="B2645" s="9">
        <f t="shared" si="4"/>
        <v>46165</v>
      </c>
      <c r="C2645" s="77" t="s">
        <v>1572</v>
      </c>
      <c r="D2645" s="13">
        <f>D2642+D2643-D2644</f>
        <v>140408.092</v>
      </c>
      <c r="E2645" s="15">
        <f t="shared" si="1"/>
        <v>2026</v>
      </c>
      <c r="F2645" s="15">
        <f t="shared" si="2"/>
        <v>5</v>
      </c>
      <c r="G2645" s="15">
        <f t="shared" si="3"/>
        <v>23</v>
      </c>
    </row>
    <row r="2646">
      <c r="A2646" s="10" t="s">
        <v>27</v>
      </c>
      <c r="B2646" s="9">
        <f t="shared" si="4"/>
        <v>46166</v>
      </c>
      <c r="C2646" s="77" t="s">
        <v>1569</v>
      </c>
      <c r="D2646" s="12">
        <f>D2645</f>
        <v>140408.092</v>
      </c>
      <c r="E2646" s="15">
        <f t="shared" si="1"/>
        <v>2026</v>
      </c>
      <c r="F2646" s="15">
        <f t="shared" si="2"/>
        <v>5</v>
      </c>
      <c r="G2646" s="15">
        <f t="shared" si="3"/>
        <v>24</v>
      </c>
    </row>
    <row r="2647">
      <c r="A2647" s="10" t="s">
        <v>27</v>
      </c>
      <c r="B2647" s="9">
        <f t="shared" si="4"/>
        <v>46166</v>
      </c>
      <c r="C2647" s="77" t="s">
        <v>1570</v>
      </c>
      <c r="D2647" s="13">
        <f>SUMIFS('Lançamentos de receitas'!$E:$E,'Lançamentos de receitas'!$A:$A,B2647,'Lançamentos de receitas'!$C:$C,A2647,'Lançamentos de receitas'!$F:$F,"TRANSFERÊNCIA")</f>
        <v>0</v>
      </c>
      <c r="E2647" s="15">
        <f t="shared" si="1"/>
        <v>2026</v>
      </c>
      <c r="F2647" s="15">
        <f t="shared" si="2"/>
        <v>5</v>
      </c>
      <c r="G2647" s="15">
        <f t="shared" si="3"/>
        <v>24</v>
      </c>
    </row>
    <row r="2648">
      <c r="A2648" s="10" t="s">
        <v>27</v>
      </c>
      <c r="B2648" s="9">
        <f t="shared" si="4"/>
        <v>46166</v>
      </c>
      <c r="C2648" s="77" t="s">
        <v>1571</v>
      </c>
      <c r="D2648" s="13">
        <f>SUMIFS('Lançamentos de despesas'!$K:$K,'Lançamentos de despesas'!$C:$C,B2648,'Lançamentos de despesas'!$G:$G,A2648,'Lançamentos de despesas'!$E:$E,"pago")</f>
        <v>0</v>
      </c>
      <c r="E2648" s="15">
        <f t="shared" si="1"/>
        <v>2026</v>
      </c>
      <c r="F2648" s="15">
        <f t="shared" si="2"/>
        <v>5</v>
      </c>
      <c r="G2648" s="15">
        <f t="shared" si="3"/>
        <v>24</v>
      </c>
    </row>
    <row r="2649">
      <c r="A2649" s="10" t="s">
        <v>27</v>
      </c>
      <c r="B2649" s="9">
        <f t="shared" si="4"/>
        <v>46166</v>
      </c>
      <c r="C2649" s="77" t="s">
        <v>1572</v>
      </c>
      <c r="D2649" s="13">
        <f>D2646+D2647-D2648</f>
        <v>140408.092</v>
      </c>
      <c r="E2649" s="15">
        <f t="shared" si="1"/>
        <v>2026</v>
      </c>
      <c r="F2649" s="15">
        <f t="shared" si="2"/>
        <v>5</v>
      </c>
      <c r="G2649" s="15">
        <f t="shared" si="3"/>
        <v>24</v>
      </c>
    </row>
    <row r="2650">
      <c r="A2650" s="10" t="s">
        <v>27</v>
      </c>
      <c r="B2650" s="9">
        <f t="shared" si="4"/>
        <v>46167</v>
      </c>
      <c r="C2650" s="77" t="s">
        <v>1569</v>
      </c>
      <c r="D2650" s="12">
        <f>D2649</f>
        <v>140408.092</v>
      </c>
      <c r="E2650" s="15">
        <f t="shared" si="1"/>
        <v>2026</v>
      </c>
      <c r="F2650" s="15">
        <f t="shared" si="2"/>
        <v>5</v>
      </c>
      <c r="G2650" s="15">
        <f t="shared" si="3"/>
        <v>25</v>
      </c>
    </row>
    <row r="2651">
      <c r="A2651" s="10" t="s">
        <v>27</v>
      </c>
      <c r="B2651" s="9">
        <f t="shared" si="4"/>
        <v>46167</v>
      </c>
      <c r="C2651" s="77" t="s">
        <v>1570</v>
      </c>
      <c r="D2651" s="13">
        <f>SUMIFS('Lançamentos de receitas'!$E:$E,'Lançamentos de receitas'!$A:$A,B2651,'Lançamentos de receitas'!$C:$C,A2651,'Lançamentos de receitas'!$F:$F,"TRANSFERÊNCIA")</f>
        <v>0</v>
      </c>
      <c r="E2651" s="15">
        <f t="shared" si="1"/>
        <v>2026</v>
      </c>
      <c r="F2651" s="15">
        <f t="shared" si="2"/>
        <v>5</v>
      </c>
      <c r="G2651" s="15">
        <f t="shared" si="3"/>
        <v>25</v>
      </c>
    </row>
    <row r="2652">
      <c r="A2652" s="10" t="s">
        <v>27</v>
      </c>
      <c r="B2652" s="9">
        <f t="shared" si="4"/>
        <v>46167</v>
      </c>
      <c r="C2652" s="77" t="s">
        <v>1571</v>
      </c>
      <c r="D2652" s="13">
        <f>SUMIFS('Lançamentos de despesas'!$K:$K,'Lançamentos de despesas'!$C:$C,B2652,'Lançamentos de despesas'!$G:$G,A2652,'Lançamentos de despesas'!$E:$E,"pago")</f>
        <v>0</v>
      </c>
      <c r="E2652" s="15">
        <f t="shared" si="1"/>
        <v>2026</v>
      </c>
      <c r="F2652" s="15">
        <f t="shared" si="2"/>
        <v>5</v>
      </c>
      <c r="G2652" s="15">
        <f t="shared" si="3"/>
        <v>25</v>
      </c>
    </row>
    <row r="2653">
      <c r="A2653" s="10" t="s">
        <v>27</v>
      </c>
      <c r="B2653" s="9">
        <f t="shared" si="4"/>
        <v>46167</v>
      </c>
      <c r="C2653" s="77" t="s">
        <v>1572</v>
      </c>
      <c r="D2653" s="13">
        <f>D2650+D2651-D2652</f>
        <v>140408.092</v>
      </c>
      <c r="E2653" s="15">
        <f t="shared" si="1"/>
        <v>2026</v>
      </c>
      <c r="F2653" s="15">
        <f t="shared" si="2"/>
        <v>5</v>
      </c>
      <c r="G2653" s="15">
        <f t="shared" si="3"/>
        <v>25</v>
      </c>
    </row>
    <row r="2654">
      <c r="A2654" s="10" t="s">
        <v>27</v>
      </c>
      <c r="B2654" s="9">
        <f t="shared" si="4"/>
        <v>46168</v>
      </c>
      <c r="C2654" s="77" t="s">
        <v>1569</v>
      </c>
      <c r="D2654" s="12">
        <f>D2653</f>
        <v>140408.092</v>
      </c>
      <c r="E2654" s="15">
        <f t="shared" si="1"/>
        <v>2026</v>
      </c>
      <c r="F2654" s="15">
        <f t="shared" si="2"/>
        <v>5</v>
      </c>
      <c r="G2654" s="15">
        <f t="shared" si="3"/>
        <v>26</v>
      </c>
    </row>
    <row r="2655">
      <c r="A2655" s="10" t="s">
        <v>27</v>
      </c>
      <c r="B2655" s="9">
        <f t="shared" si="4"/>
        <v>46168</v>
      </c>
      <c r="C2655" s="77" t="s">
        <v>1570</v>
      </c>
      <c r="D2655" s="13">
        <f>SUMIFS('Lançamentos de receitas'!$E:$E,'Lançamentos de receitas'!$A:$A,B2655,'Lançamentos de receitas'!$C:$C,A2655,'Lançamentos de receitas'!$F:$F,"TRANSFERÊNCIA")</f>
        <v>0</v>
      </c>
      <c r="E2655" s="15">
        <f t="shared" si="1"/>
        <v>2026</v>
      </c>
      <c r="F2655" s="15">
        <f t="shared" si="2"/>
        <v>5</v>
      </c>
      <c r="G2655" s="15">
        <f t="shared" si="3"/>
        <v>26</v>
      </c>
    </row>
    <row r="2656">
      <c r="A2656" s="10" t="s">
        <v>27</v>
      </c>
      <c r="B2656" s="9">
        <f t="shared" si="4"/>
        <v>46168</v>
      </c>
      <c r="C2656" s="77" t="s">
        <v>1571</v>
      </c>
      <c r="D2656" s="13">
        <f>SUMIFS('Lançamentos de despesas'!$K:$K,'Lançamentos de despesas'!$C:$C,B2656,'Lançamentos de despesas'!$G:$G,A2656,'Lançamentos de despesas'!$E:$E,"pago")</f>
        <v>0</v>
      </c>
      <c r="E2656" s="15">
        <f t="shared" si="1"/>
        <v>2026</v>
      </c>
      <c r="F2656" s="15">
        <f t="shared" si="2"/>
        <v>5</v>
      </c>
      <c r="G2656" s="15">
        <f t="shared" si="3"/>
        <v>26</v>
      </c>
    </row>
    <row r="2657">
      <c r="A2657" s="10" t="s">
        <v>27</v>
      </c>
      <c r="B2657" s="9">
        <f t="shared" si="4"/>
        <v>46168</v>
      </c>
      <c r="C2657" s="77" t="s">
        <v>1572</v>
      </c>
      <c r="D2657" s="13">
        <f>D2654+D2655-D2656</f>
        <v>140408.092</v>
      </c>
      <c r="E2657" s="15">
        <f t="shared" si="1"/>
        <v>2026</v>
      </c>
      <c r="F2657" s="15">
        <f t="shared" si="2"/>
        <v>5</v>
      </c>
      <c r="G2657" s="15">
        <f t="shared" si="3"/>
        <v>26</v>
      </c>
    </row>
    <row r="2658">
      <c r="A2658" s="10" t="s">
        <v>27</v>
      </c>
      <c r="B2658" s="9">
        <f t="shared" si="4"/>
        <v>46169</v>
      </c>
      <c r="C2658" s="77" t="s">
        <v>1569</v>
      </c>
      <c r="D2658" s="12">
        <f>D2657</f>
        <v>140408.092</v>
      </c>
      <c r="E2658" s="15">
        <f t="shared" si="1"/>
        <v>2026</v>
      </c>
      <c r="F2658" s="15">
        <f t="shared" si="2"/>
        <v>5</v>
      </c>
      <c r="G2658" s="15">
        <f t="shared" si="3"/>
        <v>27</v>
      </c>
    </row>
    <row r="2659">
      <c r="A2659" s="10" t="s">
        <v>27</v>
      </c>
      <c r="B2659" s="9">
        <f t="shared" si="4"/>
        <v>46169</v>
      </c>
      <c r="C2659" s="77" t="s">
        <v>1570</v>
      </c>
      <c r="D2659" s="13">
        <f>SUMIFS('Lançamentos de receitas'!$E:$E,'Lançamentos de receitas'!$A:$A,B2659,'Lançamentos de receitas'!$C:$C,A2659,'Lançamentos de receitas'!$F:$F,"TRANSFERÊNCIA")</f>
        <v>0</v>
      </c>
      <c r="E2659" s="15">
        <f t="shared" si="1"/>
        <v>2026</v>
      </c>
      <c r="F2659" s="15">
        <f t="shared" si="2"/>
        <v>5</v>
      </c>
      <c r="G2659" s="15">
        <f t="shared" si="3"/>
        <v>27</v>
      </c>
    </row>
    <row r="2660">
      <c r="A2660" s="10" t="s">
        <v>27</v>
      </c>
      <c r="B2660" s="9">
        <f t="shared" si="4"/>
        <v>46169</v>
      </c>
      <c r="C2660" s="77" t="s">
        <v>1571</v>
      </c>
      <c r="D2660" s="13">
        <f>SUMIFS('Lançamentos de despesas'!$K:$K,'Lançamentos de despesas'!$C:$C,B2660,'Lançamentos de despesas'!$G:$G,A2660,'Lançamentos de despesas'!$E:$E,"pago")</f>
        <v>0</v>
      </c>
      <c r="E2660" s="15">
        <f t="shared" si="1"/>
        <v>2026</v>
      </c>
      <c r="F2660" s="15">
        <f t="shared" si="2"/>
        <v>5</v>
      </c>
      <c r="G2660" s="15">
        <f t="shared" si="3"/>
        <v>27</v>
      </c>
    </row>
    <row r="2661">
      <c r="A2661" s="10" t="s">
        <v>27</v>
      </c>
      <c r="B2661" s="9">
        <f t="shared" si="4"/>
        <v>46169</v>
      </c>
      <c r="C2661" s="77" t="s">
        <v>1572</v>
      </c>
      <c r="D2661" s="13">
        <f>D2658+D2659-D2660</f>
        <v>140408.092</v>
      </c>
      <c r="E2661" s="15">
        <f t="shared" si="1"/>
        <v>2026</v>
      </c>
      <c r="F2661" s="15">
        <f t="shared" si="2"/>
        <v>5</v>
      </c>
      <c r="G2661" s="15">
        <f t="shared" si="3"/>
        <v>27</v>
      </c>
    </row>
    <row r="2662">
      <c r="A2662" s="10" t="s">
        <v>27</v>
      </c>
      <c r="B2662" s="9">
        <f t="shared" si="4"/>
        <v>46170</v>
      </c>
      <c r="C2662" s="77" t="s">
        <v>1569</v>
      </c>
      <c r="D2662" s="12">
        <f>D2661</f>
        <v>140408.092</v>
      </c>
      <c r="E2662" s="15">
        <f t="shared" si="1"/>
        <v>2026</v>
      </c>
      <c r="F2662" s="15">
        <f t="shared" si="2"/>
        <v>5</v>
      </c>
      <c r="G2662" s="15">
        <f t="shared" si="3"/>
        <v>28</v>
      </c>
    </row>
    <row r="2663">
      <c r="A2663" s="10" t="s">
        <v>27</v>
      </c>
      <c r="B2663" s="9">
        <f t="shared" si="4"/>
        <v>46170</v>
      </c>
      <c r="C2663" s="77" t="s">
        <v>1570</v>
      </c>
      <c r="D2663" s="13">
        <f>SUMIFS('Lançamentos de receitas'!$E:$E,'Lançamentos de receitas'!$A:$A,B2663,'Lançamentos de receitas'!$C:$C,A2663,'Lançamentos de receitas'!$F:$F,"TRANSFERÊNCIA")</f>
        <v>0</v>
      </c>
      <c r="E2663" s="15">
        <f t="shared" si="1"/>
        <v>2026</v>
      </c>
      <c r="F2663" s="15">
        <f t="shared" si="2"/>
        <v>5</v>
      </c>
      <c r="G2663" s="15">
        <f t="shared" si="3"/>
        <v>28</v>
      </c>
    </row>
    <row r="2664">
      <c r="A2664" s="10" t="s">
        <v>27</v>
      </c>
      <c r="B2664" s="9">
        <f t="shared" si="4"/>
        <v>46170</v>
      </c>
      <c r="C2664" s="77" t="s">
        <v>1571</v>
      </c>
      <c r="D2664" s="13">
        <f>SUMIFS('Lançamentos de despesas'!$K:$K,'Lançamentos de despesas'!$C:$C,B2664,'Lançamentos de despesas'!$G:$G,A2664,'Lançamentos de despesas'!$E:$E,"pago")</f>
        <v>0</v>
      </c>
      <c r="E2664" s="15">
        <f t="shared" si="1"/>
        <v>2026</v>
      </c>
      <c r="F2664" s="15">
        <f t="shared" si="2"/>
        <v>5</v>
      </c>
      <c r="G2664" s="15">
        <f t="shared" si="3"/>
        <v>28</v>
      </c>
    </row>
    <row r="2665">
      <c r="A2665" s="10" t="s">
        <v>27</v>
      </c>
      <c r="B2665" s="9">
        <f t="shared" si="4"/>
        <v>46170</v>
      </c>
      <c r="C2665" s="77" t="s">
        <v>1572</v>
      </c>
      <c r="D2665" s="13">
        <f>D2662+D2663-D2664</f>
        <v>140408.092</v>
      </c>
      <c r="E2665" s="15">
        <f t="shared" si="1"/>
        <v>2026</v>
      </c>
      <c r="F2665" s="15">
        <f t="shared" si="2"/>
        <v>5</v>
      </c>
      <c r="G2665" s="15">
        <f t="shared" si="3"/>
        <v>28</v>
      </c>
    </row>
    <row r="2666">
      <c r="A2666" s="10" t="s">
        <v>27</v>
      </c>
      <c r="B2666" s="9">
        <f t="shared" si="4"/>
        <v>46171</v>
      </c>
      <c r="C2666" s="77" t="s">
        <v>1569</v>
      </c>
      <c r="D2666" s="12">
        <f>D2665</f>
        <v>140408.092</v>
      </c>
      <c r="E2666" s="15">
        <f t="shared" si="1"/>
        <v>2026</v>
      </c>
      <c r="F2666" s="15">
        <f t="shared" si="2"/>
        <v>5</v>
      </c>
      <c r="G2666" s="15">
        <f t="shared" si="3"/>
        <v>29</v>
      </c>
    </row>
    <row r="2667">
      <c r="A2667" s="10" t="s">
        <v>27</v>
      </c>
      <c r="B2667" s="9">
        <f t="shared" si="4"/>
        <v>46171</v>
      </c>
      <c r="C2667" s="77" t="s">
        <v>1570</v>
      </c>
      <c r="D2667" s="13">
        <f>SUMIFS('Lançamentos de receitas'!$E:$E,'Lançamentos de receitas'!$A:$A,B2667,'Lançamentos de receitas'!$C:$C,A2667,'Lançamentos de receitas'!$F:$F,"TRANSFERÊNCIA")</f>
        <v>0</v>
      </c>
      <c r="E2667" s="15">
        <f t="shared" si="1"/>
        <v>2026</v>
      </c>
      <c r="F2667" s="15">
        <f t="shared" si="2"/>
        <v>5</v>
      </c>
      <c r="G2667" s="15">
        <f t="shared" si="3"/>
        <v>29</v>
      </c>
    </row>
    <row r="2668">
      <c r="A2668" s="10" t="s">
        <v>27</v>
      </c>
      <c r="B2668" s="9">
        <f t="shared" si="4"/>
        <v>46171</v>
      </c>
      <c r="C2668" s="77" t="s">
        <v>1571</v>
      </c>
      <c r="D2668" s="13">
        <f>SUMIFS('Lançamentos de despesas'!$K:$K,'Lançamentos de despesas'!$C:$C,B2668,'Lançamentos de despesas'!$G:$G,A2668,'Lançamentos de despesas'!$E:$E,"pago")</f>
        <v>0</v>
      </c>
      <c r="E2668" s="15">
        <f t="shared" si="1"/>
        <v>2026</v>
      </c>
      <c r="F2668" s="15">
        <f t="shared" si="2"/>
        <v>5</v>
      </c>
      <c r="G2668" s="15">
        <f t="shared" si="3"/>
        <v>29</v>
      </c>
    </row>
    <row r="2669">
      <c r="A2669" s="10" t="s">
        <v>27</v>
      </c>
      <c r="B2669" s="9">
        <f t="shared" si="4"/>
        <v>46171</v>
      </c>
      <c r="C2669" s="77" t="s">
        <v>1572</v>
      </c>
      <c r="D2669" s="13">
        <f>D2666+D2667-D2668</f>
        <v>140408.092</v>
      </c>
      <c r="E2669" s="15">
        <f t="shared" si="1"/>
        <v>2026</v>
      </c>
      <c r="F2669" s="15">
        <f t="shared" si="2"/>
        <v>5</v>
      </c>
      <c r="G2669" s="15">
        <f t="shared" si="3"/>
        <v>29</v>
      </c>
    </row>
    <row r="2670">
      <c r="A2670" s="10" t="s">
        <v>27</v>
      </c>
      <c r="B2670" s="9">
        <f t="shared" si="4"/>
        <v>46172</v>
      </c>
      <c r="C2670" s="77" t="s">
        <v>1569</v>
      </c>
      <c r="D2670" s="12">
        <f>D2669</f>
        <v>140408.092</v>
      </c>
      <c r="E2670" s="15">
        <f t="shared" si="1"/>
        <v>2026</v>
      </c>
      <c r="F2670" s="15">
        <f t="shared" si="2"/>
        <v>5</v>
      </c>
      <c r="G2670" s="15">
        <f t="shared" si="3"/>
        <v>30</v>
      </c>
    </row>
    <row r="2671">
      <c r="A2671" s="10" t="s">
        <v>27</v>
      </c>
      <c r="B2671" s="9">
        <f t="shared" si="4"/>
        <v>46172</v>
      </c>
      <c r="C2671" s="77" t="s">
        <v>1570</v>
      </c>
      <c r="D2671" s="13">
        <f>SUMIFS('Lançamentos de receitas'!$E:$E,'Lançamentos de receitas'!$A:$A,B2671,'Lançamentos de receitas'!$C:$C,A2671,'Lançamentos de receitas'!$F:$F,"TRANSFERÊNCIA")</f>
        <v>0</v>
      </c>
      <c r="E2671" s="15">
        <f t="shared" si="1"/>
        <v>2026</v>
      </c>
      <c r="F2671" s="15">
        <f t="shared" si="2"/>
        <v>5</v>
      </c>
      <c r="G2671" s="15">
        <f t="shared" si="3"/>
        <v>30</v>
      </c>
    </row>
    <row r="2672">
      <c r="A2672" s="10" t="s">
        <v>27</v>
      </c>
      <c r="B2672" s="9">
        <f t="shared" si="4"/>
        <v>46172</v>
      </c>
      <c r="C2672" s="77" t="s">
        <v>1571</v>
      </c>
      <c r="D2672" s="13">
        <f>SUMIFS('Lançamentos de despesas'!$K:$K,'Lançamentos de despesas'!$C:$C,B2672,'Lançamentos de despesas'!$G:$G,A2672,'Lançamentos de despesas'!$E:$E,"pago")</f>
        <v>0</v>
      </c>
      <c r="E2672" s="15">
        <f t="shared" si="1"/>
        <v>2026</v>
      </c>
      <c r="F2672" s="15">
        <f t="shared" si="2"/>
        <v>5</v>
      </c>
      <c r="G2672" s="15">
        <f t="shared" si="3"/>
        <v>30</v>
      </c>
    </row>
    <row r="2673">
      <c r="A2673" s="10" t="s">
        <v>27</v>
      </c>
      <c r="B2673" s="9">
        <f t="shared" si="4"/>
        <v>46172</v>
      </c>
      <c r="C2673" s="77" t="s">
        <v>1572</v>
      </c>
      <c r="D2673" s="13">
        <f>D2670+D2671-D2672</f>
        <v>140408.092</v>
      </c>
      <c r="E2673" s="15">
        <f t="shared" si="1"/>
        <v>2026</v>
      </c>
      <c r="F2673" s="15">
        <f t="shared" si="2"/>
        <v>5</v>
      </c>
      <c r="G2673" s="15">
        <f t="shared" si="3"/>
        <v>30</v>
      </c>
    </row>
    <row r="2674">
      <c r="A2674" s="10" t="s">
        <v>27</v>
      </c>
      <c r="B2674" s="9">
        <f t="shared" si="4"/>
        <v>46173</v>
      </c>
      <c r="C2674" s="77" t="s">
        <v>1569</v>
      </c>
      <c r="D2674" s="12">
        <f>D2673</f>
        <v>140408.092</v>
      </c>
      <c r="E2674" s="15">
        <f t="shared" si="1"/>
        <v>2026</v>
      </c>
      <c r="F2674" s="15">
        <f t="shared" si="2"/>
        <v>5</v>
      </c>
      <c r="G2674" s="15">
        <f t="shared" si="3"/>
        <v>31</v>
      </c>
    </row>
    <row r="2675">
      <c r="A2675" s="10" t="s">
        <v>27</v>
      </c>
      <c r="B2675" s="9">
        <f t="shared" si="4"/>
        <v>46173</v>
      </c>
      <c r="C2675" s="77" t="s">
        <v>1570</v>
      </c>
      <c r="D2675" s="13">
        <f>SUMIFS('Lançamentos de receitas'!$E:$E,'Lançamentos de receitas'!$A:$A,B2675,'Lançamentos de receitas'!$C:$C,A2675,'Lançamentos de receitas'!$F:$F,"TRANSFERÊNCIA")</f>
        <v>0</v>
      </c>
      <c r="E2675" s="15">
        <f t="shared" si="1"/>
        <v>2026</v>
      </c>
      <c r="F2675" s="15">
        <f t="shared" si="2"/>
        <v>5</v>
      </c>
      <c r="G2675" s="15">
        <f t="shared" si="3"/>
        <v>31</v>
      </c>
    </row>
    <row r="2676">
      <c r="A2676" s="10" t="s">
        <v>27</v>
      </c>
      <c r="B2676" s="9">
        <f t="shared" si="4"/>
        <v>46173</v>
      </c>
      <c r="C2676" s="77" t="s">
        <v>1571</v>
      </c>
      <c r="D2676" s="13">
        <f>SUMIFS('Lançamentos de despesas'!$K:$K,'Lançamentos de despesas'!$C:$C,B2676,'Lançamentos de despesas'!$G:$G,A2676,'Lançamentos de despesas'!$E:$E,"pago")</f>
        <v>0</v>
      </c>
      <c r="E2676" s="15">
        <f t="shared" si="1"/>
        <v>2026</v>
      </c>
      <c r="F2676" s="15">
        <f t="shared" si="2"/>
        <v>5</v>
      </c>
      <c r="G2676" s="15">
        <f t="shared" si="3"/>
        <v>31</v>
      </c>
    </row>
    <row r="2677">
      <c r="A2677" s="10" t="s">
        <v>27</v>
      </c>
      <c r="B2677" s="9">
        <f t="shared" si="4"/>
        <v>46173</v>
      </c>
      <c r="C2677" s="77" t="s">
        <v>1572</v>
      </c>
      <c r="D2677" s="13">
        <f>D2674+D2675-D2676</f>
        <v>140408.092</v>
      </c>
      <c r="E2677" s="15">
        <f t="shared" si="1"/>
        <v>2026</v>
      </c>
      <c r="F2677" s="15">
        <f t="shared" si="2"/>
        <v>5</v>
      </c>
      <c r="G2677" s="15">
        <f t="shared" si="3"/>
        <v>31</v>
      </c>
    </row>
    <row r="2678">
      <c r="A2678" s="10" t="s">
        <v>27</v>
      </c>
      <c r="B2678" s="9">
        <f t="shared" si="4"/>
        <v>46174</v>
      </c>
      <c r="C2678" s="77" t="s">
        <v>1569</v>
      </c>
      <c r="D2678" s="12">
        <f>D2677</f>
        <v>140408.092</v>
      </c>
      <c r="E2678" s="15">
        <f t="shared" si="1"/>
        <v>2026</v>
      </c>
      <c r="F2678" s="15">
        <f t="shared" si="2"/>
        <v>6</v>
      </c>
      <c r="G2678" s="15">
        <f t="shared" si="3"/>
        <v>1</v>
      </c>
    </row>
    <row r="2679">
      <c r="A2679" s="10" t="s">
        <v>27</v>
      </c>
      <c r="B2679" s="9">
        <f t="shared" si="4"/>
        <v>46174</v>
      </c>
      <c r="C2679" s="77" t="s">
        <v>1570</v>
      </c>
      <c r="D2679" s="13">
        <f>SUMIFS('Lançamentos de receitas'!$E:$E,'Lançamentos de receitas'!$A:$A,B2679,'Lançamentos de receitas'!$C:$C,A2679,'Lançamentos de receitas'!$F:$F,"TRANSFERÊNCIA")</f>
        <v>0</v>
      </c>
      <c r="E2679" s="15">
        <f t="shared" si="1"/>
        <v>2026</v>
      </c>
      <c r="F2679" s="15">
        <f t="shared" si="2"/>
        <v>6</v>
      </c>
      <c r="G2679" s="15">
        <f t="shared" si="3"/>
        <v>1</v>
      </c>
    </row>
    <row r="2680">
      <c r="A2680" s="10" t="s">
        <v>27</v>
      </c>
      <c r="B2680" s="9">
        <f t="shared" si="4"/>
        <v>46174</v>
      </c>
      <c r="C2680" s="77" t="s">
        <v>1571</v>
      </c>
      <c r="D2680" s="13">
        <f>SUMIFS('Lançamentos de despesas'!$K:$K,'Lançamentos de despesas'!$C:$C,B2680,'Lançamentos de despesas'!$G:$G,A2680,'Lançamentos de despesas'!$E:$E,"pago")</f>
        <v>0</v>
      </c>
      <c r="E2680" s="15">
        <f t="shared" si="1"/>
        <v>2026</v>
      </c>
      <c r="F2680" s="15">
        <f t="shared" si="2"/>
        <v>6</v>
      </c>
      <c r="G2680" s="15">
        <f t="shared" si="3"/>
        <v>1</v>
      </c>
    </row>
    <row r="2681">
      <c r="A2681" s="10" t="s">
        <v>27</v>
      </c>
      <c r="B2681" s="9">
        <f t="shared" si="4"/>
        <v>46174</v>
      </c>
      <c r="C2681" s="77" t="s">
        <v>1572</v>
      </c>
      <c r="D2681" s="13">
        <f>D2678+D2679-D2680</f>
        <v>140408.092</v>
      </c>
      <c r="E2681" s="15">
        <f t="shared" si="1"/>
        <v>2026</v>
      </c>
      <c r="F2681" s="15">
        <f t="shared" si="2"/>
        <v>6</v>
      </c>
      <c r="G2681" s="15">
        <f t="shared" si="3"/>
        <v>1</v>
      </c>
    </row>
    <row r="2682">
      <c r="A2682" s="10" t="s">
        <v>27</v>
      </c>
      <c r="B2682" s="9">
        <f t="shared" si="4"/>
        <v>46175</v>
      </c>
      <c r="C2682" s="77" t="s">
        <v>1569</v>
      </c>
      <c r="D2682" s="12">
        <f>D2681</f>
        <v>140408.092</v>
      </c>
      <c r="E2682" s="15">
        <f t="shared" si="1"/>
        <v>2026</v>
      </c>
      <c r="F2682" s="15">
        <f t="shared" si="2"/>
        <v>6</v>
      </c>
      <c r="G2682" s="15">
        <f t="shared" si="3"/>
        <v>2</v>
      </c>
    </row>
    <row r="2683">
      <c r="A2683" s="10" t="s">
        <v>27</v>
      </c>
      <c r="B2683" s="9">
        <f t="shared" si="4"/>
        <v>46175</v>
      </c>
      <c r="C2683" s="77" t="s">
        <v>1570</v>
      </c>
      <c r="D2683" s="13">
        <f>SUMIFS('Lançamentos de receitas'!$E:$E,'Lançamentos de receitas'!$A:$A,B2683,'Lançamentos de receitas'!$C:$C,A2683,'Lançamentos de receitas'!$F:$F,"TRANSFERÊNCIA")</f>
        <v>0</v>
      </c>
      <c r="E2683" s="15">
        <f t="shared" si="1"/>
        <v>2026</v>
      </c>
      <c r="F2683" s="15">
        <f t="shared" si="2"/>
        <v>6</v>
      </c>
      <c r="G2683" s="15">
        <f t="shared" si="3"/>
        <v>2</v>
      </c>
    </row>
    <row r="2684">
      <c r="A2684" s="10" t="s">
        <v>27</v>
      </c>
      <c r="B2684" s="9">
        <f t="shared" si="4"/>
        <v>46175</v>
      </c>
      <c r="C2684" s="77" t="s">
        <v>1571</v>
      </c>
      <c r="D2684" s="13">
        <f>SUMIFS('Lançamentos de despesas'!$K:$K,'Lançamentos de despesas'!$C:$C,B2684,'Lançamentos de despesas'!$G:$G,A2684,'Lançamentos de despesas'!$E:$E,"pago")</f>
        <v>0</v>
      </c>
      <c r="E2684" s="15">
        <f t="shared" si="1"/>
        <v>2026</v>
      </c>
      <c r="F2684" s="15">
        <f t="shared" si="2"/>
        <v>6</v>
      </c>
      <c r="G2684" s="15">
        <f t="shared" si="3"/>
        <v>2</v>
      </c>
    </row>
    <row r="2685">
      <c r="A2685" s="10" t="s">
        <v>27</v>
      </c>
      <c r="B2685" s="9">
        <f t="shared" si="4"/>
        <v>46175</v>
      </c>
      <c r="C2685" s="77" t="s">
        <v>1572</v>
      </c>
      <c r="D2685" s="13">
        <f>D2682+D2683-D2684</f>
        <v>140408.092</v>
      </c>
      <c r="E2685" s="15">
        <f t="shared" si="1"/>
        <v>2026</v>
      </c>
      <c r="F2685" s="15">
        <f t="shared" si="2"/>
        <v>6</v>
      </c>
      <c r="G2685" s="15">
        <f t="shared" si="3"/>
        <v>2</v>
      </c>
    </row>
    <row r="2686">
      <c r="A2686" s="10" t="s">
        <v>27</v>
      </c>
      <c r="B2686" s="9">
        <f t="shared" si="4"/>
        <v>46176</v>
      </c>
      <c r="C2686" s="77" t="s">
        <v>1569</v>
      </c>
      <c r="D2686" s="12">
        <f>D2685</f>
        <v>140408.092</v>
      </c>
      <c r="E2686" s="15">
        <f t="shared" si="1"/>
        <v>2026</v>
      </c>
      <c r="F2686" s="15">
        <f t="shared" si="2"/>
        <v>6</v>
      </c>
      <c r="G2686" s="15">
        <f t="shared" si="3"/>
        <v>3</v>
      </c>
    </row>
    <row r="2687">
      <c r="A2687" s="10" t="s">
        <v>27</v>
      </c>
      <c r="B2687" s="9">
        <f t="shared" si="4"/>
        <v>46176</v>
      </c>
      <c r="C2687" s="77" t="s">
        <v>1570</v>
      </c>
      <c r="D2687" s="13">
        <f>SUMIFS('Lançamentos de receitas'!$E:$E,'Lançamentos de receitas'!$A:$A,B2687,'Lançamentos de receitas'!$C:$C,A2687,'Lançamentos de receitas'!$F:$F,"TRANSFERÊNCIA")</f>
        <v>0</v>
      </c>
      <c r="E2687" s="15">
        <f t="shared" si="1"/>
        <v>2026</v>
      </c>
      <c r="F2687" s="15">
        <f t="shared" si="2"/>
        <v>6</v>
      </c>
      <c r="G2687" s="15">
        <f t="shared" si="3"/>
        <v>3</v>
      </c>
    </row>
    <row r="2688">
      <c r="A2688" s="10" t="s">
        <v>27</v>
      </c>
      <c r="B2688" s="9">
        <f t="shared" si="4"/>
        <v>46176</v>
      </c>
      <c r="C2688" s="77" t="s">
        <v>1571</v>
      </c>
      <c r="D2688" s="13">
        <f>SUMIFS('Lançamentos de despesas'!$K:$K,'Lançamentos de despesas'!$C:$C,B2688,'Lançamentos de despesas'!$G:$G,A2688,'Lançamentos de despesas'!$E:$E,"pago")</f>
        <v>0</v>
      </c>
      <c r="E2688" s="15">
        <f t="shared" si="1"/>
        <v>2026</v>
      </c>
      <c r="F2688" s="15">
        <f t="shared" si="2"/>
        <v>6</v>
      </c>
      <c r="G2688" s="15">
        <f t="shared" si="3"/>
        <v>3</v>
      </c>
    </row>
    <row r="2689">
      <c r="A2689" s="10" t="s">
        <v>27</v>
      </c>
      <c r="B2689" s="9">
        <f t="shared" si="4"/>
        <v>46176</v>
      </c>
      <c r="C2689" s="77" t="s">
        <v>1572</v>
      </c>
      <c r="D2689" s="13">
        <f>D2686+D2687-D2688</f>
        <v>140408.092</v>
      </c>
      <c r="E2689" s="15">
        <f t="shared" si="1"/>
        <v>2026</v>
      </c>
      <c r="F2689" s="15">
        <f t="shared" si="2"/>
        <v>6</v>
      </c>
      <c r="G2689" s="15">
        <f t="shared" si="3"/>
        <v>3</v>
      </c>
    </row>
    <row r="2690">
      <c r="A2690" s="10" t="s">
        <v>27</v>
      </c>
      <c r="B2690" s="9">
        <f t="shared" si="4"/>
        <v>46177</v>
      </c>
      <c r="C2690" s="77" t="s">
        <v>1569</v>
      </c>
      <c r="D2690" s="12">
        <f>D2689</f>
        <v>140408.092</v>
      </c>
      <c r="E2690" s="15">
        <f t="shared" si="1"/>
        <v>2026</v>
      </c>
      <c r="F2690" s="15">
        <f t="shared" si="2"/>
        <v>6</v>
      </c>
      <c r="G2690" s="15">
        <f t="shared" si="3"/>
        <v>4</v>
      </c>
    </row>
    <row r="2691">
      <c r="A2691" s="10" t="s">
        <v>27</v>
      </c>
      <c r="B2691" s="9">
        <f t="shared" si="4"/>
        <v>46177</v>
      </c>
      <c r="C2691" s="77" t="s">
        <v>1570</v>
      </c>
      <c r="D2691" s="13">
        <f>SUMIFS('Lançamentos de receitas'!$E:$E,'Lançamentos de receitas'!$A:$A,B2691,'Lançamentos de receitas'!$C:$C,A2691,'Lançamentos de receitas'!$F:$F,"TRANSFERÊNCIA")</f>
        <v>0</v>
      </c>
      <c r="E2691" s="15">
        <f t="shared" si="1"/>
        <v>2026</v>
      </c>
      <c r="F2691" s="15">
        <f t="shared" si="2"/>
        <v>6</v>
      </c>
      <c r="G2691" s="15">
        <f t="shared" si="3"/>
        <v>4</v>
      </c>
    </row>
    <row r="2692">
      <c r="A2692" s="10" t="s">
        <v>27</v>
      </c>
      <c r="B2692" s="9">
        <f t="shared" si="4"/>
        <v>46177</v>
      </c>
      <c r="C2692" s="77" t="s">
        <v>1571</v>
      </c>
      <c r="D2692" s="13">
        <f>SUMIFS('Lançamentos de despesas'!$K:$K,'Lançamentos de despesas'!$C:$C,B2692,'Lançamentos de despesas'!$G:$G,A2692,'Lançamentos de despesas'!$E:$E,"pago")</f>
        <v>0</v>
      </c>
      <c r="E2692" s="15">
        <f t="shared" si="1"/>
        <v>2026</v>
      </c>
      <c r="F2692" s="15">
        <f t="shared" si="2"/>
        <v>6</v>
      </c>
      <c r="G2692" s="15">
        <f t="shared" si="3"/>
        <v>4</v>
      </c>
    </row>
    <row r="2693">
      <c r="A2693" s="10" t="s">
        <v>27</v>
      </c>
      <c r="B2693" s="9">
        <f t="shared" si="4"/>
        <v>46177</v>
      </c>
      <c r="C2693" s="77" t="s">
        <v>1572</v>
      </c>
      <c r="D2693" s="13">
        <f>D2690+D2691-D2692</f>
        <v>140408.092</v>
      </c>
      <c r="E2693" s="15">
        <f t="shared" si="1"/>
        <v>2026</v>
      </c>
      <c r="F2693" s="15">
        <f t="shared" si="2"/>
        <v>6</v>
      </c>
      <c r="G2693" s="15">
        <f t="shared" si="3"/>
        <v>4</v>
      </c>
    </row>
    <row r="2694">
      <c r="A2694" s="10" t="s">
        <v>27</v>
      </c>
      <c r="B2694" s="9">
        <f t="shared" si="4"/>
        <v>46178</v>
      </c>
      <c r="C2694" s="77" t="s">
        <v>1569</v>
      </c>
      <c r="D2694" s="12">
        <f>D2693</f>
        <v>140408.092</v>
      </c>
      <c r="E2694" s="15">
        <f t="shared" si="1"/>
        <v>2026</v>
      </c>
      <c r="F2694" s="15">
        <f t="shared" si="2"/>
        <v>6</v>
      </c>
      <c r="G2694" s="15">
        <f t="shared" si="3"/>
        <v>5</v>
      </c>
    </row>
    <row r="2695">
      <c r="A2695" s="10" t="s">
        <v>27</v>
      </c>
      <c r="B2695" s="9">
        <f t="shared" si="4"/>
        <v>46178</v>
      </c>
      <c r="C2695" s="77" t="s">
        <v>1570</v>
      </c>
      <c r="D2695" s="13">
        <f>SUMIFS('Lançamentos de receitas'!$E:$E,'Lançamentos de receitas'!$A:$A,B2695,'Lançamentos de receitas'!$C:$C,A2695,'Lançamentos de receitas'!$F:$F,"TRANSFERÊNCIA")</f>
        <v>0</v>
      </c>
      <c r="E2695" s="15">
        <f t="shared" si="1"/>
        <v>2026</v>
      </c>
      <c r="F2695" s="15">
        <f t="shared" si="2"/>
        <v>6</v>
      </c>
      <c r="G2695" s="15">
        <f t="shared" si="3"/>
        <v>5</v>
      </c>
    </row>
    <row r="2696">
      <c r="A2696" s="10" t="s">
        <v>27</v>
      </c>
      <c r="B2696" s="9">
        <f t="shared" si="4"/>
        <v>46178</v>
      </c>
      <c r="C2696" s="77" t="s">
        <v>1571</v>
      </c>
      <c r="D2696" s="13">
        <f>SUMIFS('Lançamentos de despesas'!$K:$K,'Lançamentos de despesas'!$C:$C,B2696,'Lançamentos de despesas'!$G:$G,A2696,'Lançamentos de despesas'!$E:$E,"pago")</f>
        <v>0</v>
      </c>
      <c r="E2696" s="15">
        <f t="shared" si="1"/>
        <v>2026</v>
      </c>
      <c r="F2696" s="15">
        <f t="shared" si="2"/>
        <v>6</v>
      </c>
      <c r="G2696" s="15">
        <f t="shared" si="3"/>
        <v>5</v>
      </c>
    </row>
    <row r="2697">
      <c r="A2697" s="10" t="s">
        <v>27</v>
      </c>
      <c r="B2697" s="9">
        <f t="shared" si="4"/>
        <v>46178</v>
      </c>
      <c r="C2697" s="77" t="s">
        <v>1572</v>
      </c>
      <c r="D2697" s="13">
        <f>D2694+D2695-D2696</f>
        <v>140408.092</v>
      </c>
      <c r="E2697" s="15">
        <f t="shared" si="1"/>
        <v>2026</v>
      </c>
      <c r="F2697" s="15">
        <f t="shared" si="2"/>
        <v>6</v>
      </c>
      <c r="G2697" s="15">
        <f t="shared" si="3"/>
        <v>5</v>
      </c>
    </row>
    <row r="2698">
      <c r="A2698" s="10" t="s">
        <v>27</v>
      </c>
      <c r="B2698" s="9">
        <f t="shared" si="4"/>
        <v>46179</v>
      </c>
      <c r="C2698" s="77" t="s">
        <v>1569</v>
      </c>
      <c r="D2698" s="12">
        <f>D2697</f>
        <v>140408.092</v>
      </c>
      <c r="E2698" s="15">
        <f t="shared" si="1"/>
        <v>2026</v>
      </c>
      <c r="F2698" s="15">
        <f t="shared" si="2"/>
        <v>6</v>
      </c>
      <c r="G2698" s="15">
        <f t="shared" si="3"/>
        <v>6</v>
      </c>
    </row>
    <row r="2699">
      <c r="A2699" s="10" t="s">
        <v>27</v>
      </c>
      <c r="B2699" s="9">
        <f t="shared" si="4"/>
        <v>46179</v>
      </c>
      <c r="C2699" s="77" t="s">
        <v>1570</v>
      </c>
      <c r="D2699" s="13">
        <f>SUMIFS('Lançamentos de receitas'!$E:$E,'Lançamentos de receitas'!$A:$A,B2699,'Lançamentos de receitas'!$C:$C,A2699,'Lançamentos de receitas'!$F:$F,"TRANSFERÊNCIA")</f>
        <v>0</v>
      </c>
      <c r="E2699" s="15">
        <f t="shared" si="1"/>
        <v>2026</v>
      </c>
      <c r="F2699" s="15">
        <f t="shared" si="2"/>
        <v>6</v>
      </c>
      <c r="G2699" s="15">
        <f t="shared" si="3"/>
        <v>6</v>
      </c>
    </row>
    <row r="2700">
      <c r="A2700" s="10" t="s">
        <v>27</v>
      </c>
      <c r="B2700" s="9">
        <f t="shared" si="4"/>
        <v>46179</v>
      </c>
      <c r="C2700" s="77" t="s">
        <v>1571</v>
      </c>
      <c r="D2700" s="13">
        <f>SUMIFS('Lançamentos de despesas'!$K:$K,'Lançamentos de despesas'!$C:$C,B2700,'Lançamentos de despesas'!$G:$G,A2700,'Lançamentos de despesas'!$E:$E,"pago")</f>
        <v>0</v>
      </c>
      <c r="E2700" s="15">
        <f t="shared" si="1"/>
        <v>2026</v>
      </c>
      <c r="F2700" s="15">
        <f t="shared" si="2"/>
        <v>6</v>
      </c>
      <c r="G2700" s="15">
        <f t="shared" si="3"/>
        <v>6</v>
      </c>
    </row>
    <row r="2701">
      <c r="A2701" s="10" t="s">
        <v>27</v>
      </c>
      <c r="B2701" s="9">
        <f t="shared" si="4"/>
        <v>46179</v>
      </c>
      <c r="C2701" s="77" t="s">
        <v>1572</v>
      </c>
      <c r="D2701" s="13">
        <f>D2698+D2699-D2700</f>
        <v>140408.092</v>
      </c>
      <c r="E2701" s="15">
        <f t="shared" si="1"/>
        <v>2026</v>
      </c>
      <c r="F2701" s="15">
        <f t="shared" si="2"/>
        <v>6</v>
      </c>
      <c r="G2701" s="15">
        <f t="shared" si="3"/>
        <v>6</v>
      </c>
    </row>
    <row r="2702">
      <c r="A2702" s="10" t="s">
        <v>27</v>
      </c>
      <c r="B2702" s="9">
        <f t="shared" si="4"/>
        <v>46180</v>
      </c>
      <c r="C2702" s="77" t="s">
        <v>1569</v>
      </c>
      <c r="D2702" s="12">
        <f>D2701</f>
        <v>140408.092</v>
      </c>
      <c r="E2702" s="15">
        <f t="shared" si="1"/>
        <v>2026</v>
      </c>
      <c r="F2702" s="15">
        <f t="shared" si="2"/>
        <v>6</v>
      </c>
      <c r="G2702" s="15">
        <f t="shared" si="3"/>
        <v>7</v>
      </c>
    </row>
    <row r="2703">
      <c r="A2703" s="10" t="s">
        <v>27</v>
      </c>
      <c r="B2703" s="9">
        <f t="shared" si="4"/>
        <v>46180</v>
      </c>
      <c r="C2703" s="77" t="s">
        <v>1570</v>
      </c>
      <c r="D2703" s="13">
        <f>SUMIFS('Lançamentos de receitas'!$E:$E,'Lançamentos de receitas'!$A:$A,B2703,'Lançamentos de receitas'!$C:$C,A2703,'Lançamentos de receitas'!$F:$F,"TRANSFERÊNCIA")</f>
        <v>0</v>
      </c>
      <c r="E2703" s="15">
        <f t="shared" si="1"/>
        <v>2026</v>
      </c>
      <c r="F2703" s="15">
        <f t="shared" si="2"/>
        <v>6</v>
      </c>
      <c r="G2703" s="15">
        <f t="shared" si="3"/>
        <v>7</v>
      </c>
    </row>
    <row r="2704">
      <c r="A2704" s="10" t="s">
        <v>27</v>
      </c>
      <c r="B2704" s="9">
        <f t="shared" si="4"/>
        <v>46180</v>
      </c>
      <c r="C2704" s="77" t="s">
        <v>1571</v>
      </c>
      <c r="D2704" s="13">
        <f>SUMIFS('Lançamentos de despesas'!$K:$K,'Lançamentos de despesas'!$C:$C,B2704,'Lançamentos de despesas'!$G:$G,A2704,'Lançamentos de despesas'!$E:$E,"pago")</f>
        <v>0</v>
      </c>
      <c r="E2704" s="15">
        <f t="shared" si="1"/>
        <v>2026</v>
      </c>
      <c r="F2704" s="15">
        <f t="shared" si="2"/>
        <v>6</v>
      </c>
      <c r="G2704" s="15">
        <f t="shared" si="3"/>
        <v>7</v>
      </c>
    </row>
    <row r="2705">
      <c r="A2705" s="10" t="s">
        <v>27</v>
      </c>
      <c r="B2705" s="9">
        <f t="shared" si="4"/>
        <v>46180</v>
      </c>
      <c r="C2705" s="77" t="s">
        <v>1572</v>
      </c>
      <c r="D2705" s="13">
        <f>D2702+D2703-D2704</f>
        <v>140408.092</v>
      </c>
      <c r="E2705" s="15">
        <f t="shared" si="1"/>
        <v>2026</v>
      </c>
      <c r="F2705" s="15">
        <f t="shared" si="2"/>
        <v>6</v>
      </c>
      <c r="G2705" s="15">
        <f t="shared" si="3"/>
        <v>7</v>
      </c>
    </row>
    <row r="2706">
      <c r="A2706" s="10" t="s">
        <v>27</v>
      </c>
      <c r="B2706" s="9">
        <f t="shared" si="4"/>
        <v>46181</v>
      </c>
      <c r="C2706" s="77" t="s">
        <v>1569</v>
      </c>
      <c r="D2706" s="12">
        <f>D2705</f>
        <v>140408.092</v>
      </c>
      <c r="E2706" s="15">
        <f t="shared" si="1"/>
        <v>2026</v>
      </c>
      <c r="F2706" s="15">
        <f t="shared" si="2"/>
        <v>6</v>
      </c>
      <c r="G2706" s="15">
        <f t="shared" si="3"/>
        <v>8</v>
      </c>
    </row>
    <row r="2707">
      <c r="A2707" s="10" t="s">
        <v>27</v>
      </c>
      <c r="B2707" s="9">
        <f t="shared" si="4"/>
        <v>46181</v>
      </c>
      <c r="C2707" s="77" t="s">
        <v>1570</v>
      </c>
      <c r="D2707" s="13">
        <f>SUMIFS('Lançamentos de receitas'!$E:$E,'Lançamentos de receitas'!$A:$A,B2707,'Lançamentos de receitas'!$C:$C,A2707,'Lançamentos de receitas'!$F:$F,"TRANSFERÊNCIA")</f>
        <v>0</v>
      </c>
      <c r="E2707" s="15">
        <f t="shared" si="1"/>
        <v>2026</v>
      </c>
      <c r="F2707" s="15">
        <f t="shared" si="2"/>
        <v>6</v>
      </c>
      <c r="G2707" s="15">
        <f t="shared" si="3"/>
        <v>8</v>
      </c>
    </row>
    <row r="2708">
      <c r="A2708" s="10" t="s">
        <v>27</v>
      </c>
      <c r="B2708" s="9">
        <f t="shared" si="4"/>
        <v>46181</v>
      </c>
      <c r="C2708" s="77" t="s">
        <v>1571</v>
      </c>
      <c r="D2708" s="13">
        <f>SUMIFS('Lançamentos de despesas'!$K:$K,'Lançamentos de despesas'!$C:$C,B2708,'Lançamentos de despesas'!$G:$G,A2708,'Lançamentos de despesas'!$E:$E,"pago")</f>
        <v>0</v>
      </c>
      <c r="E2708" s="15">
        <f t="shared" si="1"/>
        <v>2026</v>
      </c>
      <c r="F2708" s="15">
        <f t="shared" si="2"/>
        <v>6</v>
      </c>
      <c r="G2708" s="15">
        <f t="shared" si="3"/>
        <v>8</v>
      </c>
    </row>
    <row r="2709">
      <c r="A2709" s="10" t="s">
        <v>27</v>
      </c>
      <c r="B2709" s="9">
        <f t="shared" si="4"/>
        <v>46181</v>
      </c>
      <c r="C2709" s="77" t="s">
        <v>1572</v>
      </c>
      <c r="D2709" s="13">
        <f>D2706+D2707-D2708</f>
        <v>140408.092</v>
      </c>
      <c r="E2709" s="15">
        <f t="shared" si="1"/>
        <v>2026</v>
      </c>
      <c r="F2709" s="15">
        <f t="shared" si="2"/>
        <v>6</v>
      </c>
      <c r="G2709" s="15">
        <f t="shared" si="3"/>
        <v>8</v>
      </c>
    </row>
    <row r="2710">
      <c r="A2710" s="10" t="s">
        <v>27</v>
      </c>
      <c r="B2710" s="9">
        <f t="shared" si="4"/>
        <v>46182</v>
      </c>
      <c r="C2710" s="77" t="s">
        <v>1569</v>
      </c>
      <c r="D2710" s="12">
        <f>D2709</f>
        <v>140408.092</v>
      </c>
      <c r="E2710" s="15">
        <f t="shared" si="1"/>
        <v>2026</v>
      </c>
      <c r="F2710" s="15">
        <f t="shared" si="2"/>
        <v>6</v>
      </c>
      <c r="G2710" s="15">
        <f t="shared" si="3"/>
        <v>9</v>
      </c>
    </row>
    <row r="2711">
      <c r="A2711" s="10" t="s">
        <v>27</v>
      </c>
      <c r="B2711" s="9">
        <f t="shared" si="4"/>
        <v>46182</v>
      </c>
      <c r="C2711" s="77" t="s">
        <v>1570</v>
      </c>
      <c r="D2711" s="13">
        <f>SUMIFS('Lançamentos de receitas'!$E:$E,'Lançamentos de receitas'!$A:$A,B2711,'Lançamentos de receitas'!$C:$C,A2711,'Lançamentos de receitas'!$F:$F,"TRANSFERÊNCIA")</f>
        <v>0</v>
      </c>
      <c r="E2711" s="15">
        <f t="shared" si="1"/>
        <v>2026</v>
      </c>
      <c r="F2711" s="15">
        <f t="shared" si="2"/>
        <v>6</v>
      </c>
      <c r="G2711" s="15">
        <f t="shared" si="3"/>
        <v>9</v>
      </c>
    </row>
    <row r="2712">
      <c r="A2712" s="10" t="s">
        <v>27</v>
      </c>
      <c r="B2712" s="9">
        <f t="shared" si="4"/>
        <v>46182</v>
      </c>
      <c r="C2712" s="77" t="s">
        <v>1571</v>
      </c>
      <c r="D2712" s="13">
        <f>SUMIFS('Lançamentos de despesas'!$K:$K,'Lançamentos de despesas'!$C:$C,B2712,'Lançamentos de despesas'!$G:$G,A2712,'Lançamentos de despesas'!$E:$E,"pago")</f>
        <v>0</v>
      </c>
      <c r="E2712" s="15">
        <f t="shared" si="1"/>
        <v>2026</v>
      </c>
      <c r="F2712" s="15">
        <f t="shared" si="2"/>
        <v>6</v>
      </c>
      <c r="G2712" s="15">
        <f t="shared" si="3"/>
        <v>9</v>
      </c>
    </row>
    <row r="2713">
      <c r="A2713" s="10" t="s">
        <v>27</v>
      </c>
      <c r="B2713" s="9">
        <f t="shared" si="4"/>
        <v>46182</v>
      </c>
      <c r="C2713" s="77" t="s">
        <v>1572</v>
      </c>
      <c r="D2713" s="13">
        <f>D2710+D2711-D2712</f>
        <v>140408.092</v>
      </c>
      <c r="E2713" s="15">
        <f t="shared" si="1"/>
        <v>2026</v>
      </c>
      <c r="F2713" s="15">
        <f t="shared" si="2"/>
        <v>6</v>
      </c>
      <c r="G2713" s="15">
        <f t="shared" si="3"/>
        <v>9</v>
      </c>
    </row>
    <row r="2714">
      <c r="A2714" s="10" t="s">
        <v>27</v>
      </c>
      <c r="B2714" s="9">
        <f t="shared" si="4"/>
        <v>46183</v>
      </c>
      <c r="C2714" s="77" t="s">
        <v>1569</v>
      </c>
      <c r="D2714" s="12">
        <f>D2713</f>
        <v>140408.092</v>
      </c>
      <c r="E2714" s="15">
        <f t="shared" si="1"/>
        <v>2026</v>
      </c>
      <c r="F2714" s="15">
        <f t="shared" si="2"/>
        <v>6</v>
      </c>
      <c r="G2714" s="15">
        <f t="shared" si="3"/>
        <v>10</v>
      </c>
    </row>
    <row r="2715">
      <c r="A2715" s="10" t="s">
        <v>27</v>
      </c>
      <c r="B2715" s="9">
        <f t="shared" si="4"/>
        <v>46183</v>
      </c>
      <c r="C2715" s="77" t="s">
        <v>1570</v>
      </c>
      <c r="D2715" s="13">
        <f>SUMIFS('Lançamentos de receitas'!$E:$E,'Lançamentos de receitas'!$A:$A,B2715,'Lançamentos de receitas'!$C:$C,A2715,'Lançamentos de receitas'!$F:$F,"TRANSFERÊNCIA")</f>
        <v>0</v>
      </c>
      <c r="E2715" s="15">
        <f t="shared" si="1"/>
        <v>2026</v>
      </c>
      <c r="F2715" s="15">
        <f t="shared" si="2"/>
        <v>6</v>
      </c>
      <c r="G2715" s="15">
        <f t="shared" si="3"/>
        <v>10</v>
      </c>
    </row>
    <row r="2716">
      <c r="A2716" s="10" t="s">
        <v>27</v>
      </c>
      <c r="B2716" s="9">
        <f t="shared" si="4"/>
        <v>46183</v>
      </c>
      <c r="C2716" s="77" t="s">
        <v>1571</v>
      </c>
      <c r="D2716" s="13">
        <f>SUMIFS('Lançamentos de despesas'!$K:$K,'Lançamentos de despesas'!$C:$C,B2716,'Lançamentos de despesas'!$G:$G,A2716,'Lançamentos de despesas'!$E:$E,"pago")</f>
        <v>0</v>
      </c>
      <c r="E2716" s="15">
        <f t="shared" si="1"/>
        <v>2026</v>
      </c>
      <c r="F2716" s="15">
        <f t="shared" si="2"/>
        <v>6</v>
      </c>
      <c r="G2716" s="15">
        <f t="shared" si="3"/>
        <v>10</v>
      </c>
    </row>
    <row r="2717">
      <c r="A2717" s="10" t="s">
        <v>27</v>
      </c>
      <c r="B2717" s="9">
        <f t="shared" si="4"/>
        <v>46183</v>
      </c>
      <c r="C2717" s="77" t="s">
        <v>1572</v>
      </c>
      <c r="D2717" s="13">
        <f>D2714+D2715-D2716</f>
        <v>140408.092</v>
      </c>
      <c r="E2717" s="15">
        <f t="shared" si="1"/>
        <v>2026</v>
      </c>
      <c r="F2717" s="15">
        <f t="shared" si="2"/>
        <v>6</v>
      </c>
      <c r="G2717" s="15">
        <f t="shared" si="3"/>
        <v>10</v>
      </c>
    </row>
    <row r="2718">
      <c r="A2718" s="90" t="s">
        <v>37</v>
      </c>
      <c r="B2718" s="91">
        <v>45505.0</v>
      </c>
      <c r="C2718" s="92" t="s">
        <v>1569</v>
      </c>
      <c r="D2718" s="93">
        <v>10756.67</v>
      </c>
      <c r="E2718" s="15">
        <f t="shared" si="1"/>
        <v>2024</v>
      </c>
      <c r="F2718" s="15">
        <f t="shared" si="2"/>
        <v>8</v>
      </c>
      <c r="G2718" s="15">
        <f t="shared" si="3"/>
        <v>1</v>
      </c>
    </row>
    <row r="2719">
      <c r="A2719" s="10" t="s">
        <v>37</v>
      </c>
      <c r="B2719" s="9">
        <v>45505.0</v>
      </c>
      <c r="C2719" s="77" t="s">
        <v>1570</v>
      </c>
      <c r="D2719" s="13">
        <f>SUMIFS('Lançamentos de receitas'!$E:$E,'Lançamentos de receitas'!$F:$F,"PAGO",'Lançamentos de receitas'!$C:$C,A2719,'Lançamentos de receitas'!$A:$A,B2719)</f>
        <v>886.86</v>
      </c>
      <c r="E2719" s="15">
        <f t="shared" si="1"/>
        <v>2024</v>
      </c>
      <c r="F2719" s="15">
        <f t="shared" si="2"/>
        <v>8</v>
      </c>
      <c r="G2719" s="15">
        <f t="shared" si="3"/>
        <v>1</v>
      </c>
    </row>
    <row r="2720">
      <c r="A2720" s="10" t="s">
        <v>37</v>
      </c>
      <c r="B2720" s="9">
        <v>45505.0</v>
      </c>
      <c r="C2720" s="77" t="s">
        <v>1571</v>
      </c>
      <c r="D2720" s="13">
        <f>SUMIFS('Lançamentos de despesas'!$I:$I,'Lançamentos de despesas'!$G:$G,A2720,'Lançamentos de despesas'!$E:$E,"PAGO",'Lançamentos de despesas'!$C:$C,B2720)</f>
        <v>0</v>
      </c>
      <c r="E2720" s="15">
        <f t="shared" si="1"/>
        <v>2024</v>
      </c>
      <c r="F2720" s="15">
        <f t="shared" si="2"/>
        <v>8</v>
      </c>
      <c r="G2720" s="15">
        <f t="shared" si="3"/>
        <v>1</v>
      </c>
    </row>
    <row r="2721">
      <c r="A2721" s="10" t="s">
        <v>37</v>
      </c>
      <c r="B2721" s="9">
        <v>45505.0</v>
      </c>
      <c r="C2721" s="77" t="s">
        <v>1572</v>
      </c>
      <c r="D2721" s="13">
        <f>D2718+D2719-D2720</f>
        <v>11643.53</v>
      </c>
      <c r="E2721" s="15">
        <f t="shared" si="1"/>
        <v>2024</v>
      </c>
      <c r="F2721" s="15">
        <f t="shared" si="2"/>
        <v>8</v>
      </c>
      <c r="G2721" s="15">
        <f t="shared" si="3"/>
        <v>1</v>
      </c>
    </row>
    <row r="2722">
      <c r="A2722" s="10" t="s">
        <v>37</v>
      </c>
      <c r="B2722" s="94">
        <f t="shared" ref="B2722:B5284" si="5">B2718+1</f>
        <v>45506</v>
      </c>
      <c r="C2722" s="77" t="s">
        <v>1569</v>
      </c>
      <c r="D2722" s="13">
        <f>D2721</f>
        <v>11643.53</v>
      </c>
      <c r="E2722" s="15">
        <f t="shared" si="1"/>
        <v>2024</v>
      </c>
      <c r="F2722" s="15">
        <f t="shared" si="2"/>
        <v>8</v>
      </c>
      <c r="G2722" s="15">
        <f t="shared" si="3"/>
        <v>2</v>
      </c>
    </row>
    <row r="2723">
      <c r="A2723" s="10" t="s">
        <v>37</v>
      </c>
      <c r="B2723" s="94">
        <f t="shared" si="5"/>
        <v>45506</v>
      </c>
      <c r="C2723" s="77" t="s">
        <v>1570</v>
      </c>
      <c r="D2723" s="13">
        <f>SUMIFS('Lançamentos de receitas'!$E:$E,'Lançamentos de receitas'!$F:$F,"PAGO",'Lançamentos de receitas'!$C:$C,A2723,'Lançamentos de receitas'!$A:$A,B2723)</f>
        <v>179.63</v>
      </c>
      <c r="E2723" s="15">
        <f t="shared" si="1"/>
        <v>2024</v>
      </c>
      <c r="F2723" s="15">
        <f t="shared" si="2"/>
        <v>8</v>
      </c>
      <c r="G2723" s="15">
        <f t="shared" si="3"/>
        <v>2</v>
      </c>
    </row>
    <row r="2724">
      <c r="A2724" s="10" t="s">
        <v>37</v>
      </c>
      <c r="B2724" s="94">
        <f t="shared" si="5"/>
        <v>45506</v>
      </c>
      <c r="C2724" s="77" t="s">
        <v>1571</v>
      </c>
      <c r="D2724" s="13">
        <f>SUMIFS('Lançamentos de despesas'!$I:$I,'Lançamentos de despesas'!$G:$G,A2724,'Lançamentos de despesas'!$E:$E,"PAGO",'Lançamentos de despesas'!$C:$C,B2724)</f>
        <v>4000</v>
      </c>
      <c r="E2724" s="15">
        <f t="shared" si="1"/>
        <v>2024</v>
      </c>
      <c r="F2724" s="15">
        <f t="shared" si="2"/>
        <v>8</v>
      </c>
      <c r="G2724" s="15">
        <f t="shared" si="3"/>
        <v>2</v>
      </c>
    </row>
    <row r="2725">
      <c r="A2725" s="10" t="s">
        <v>37</v>
      </c>
      <c r="B2725" s="94">
        <f t="shared" si="5"/>
        <v>45506</v>
      </c>
      <c r="C2725" s="77" t="s">
        <v>1572</v>
      </c>
      <c r="D2725" s="13">
        <f>D2722+D2723-D2724</f>
        <v>7823.16</v>
      </c>
      <c r="E2725" s="15">
        <f t="shared" si="1"/>
        <v>2024</v>
      </c>
      <c r="F2725" s="15">
        <f t="shared" si="2"/>
        <v>8</v>
      </c>
      <c r="G2725" s="15">
        <f t="shared" si="3"/>
        <v>2</v>
      </c>
    </row>
    <row r="2726">
      <c r="A2726" s="10" t="s">
        <v>37</v>
      </c>
      <c r="B2726" s="94">
        <f t="shared" si="5"/>
        <v>45507</v>
      </c>
      <c r="C2726" s="77" t="s">
        <v>1569</v>
      </c>
      <c r="D2726" s="13">
        <f>D2725</f>
        <v>7823.16</v>
      </c>
      <c r="E2726" s="15">
        <f t="shared" si="1"/>
        <v>2024</v>
      </c>
      <c r="F2726" s="15">
        <f t="shared" si="2"/>
        <v>8</v>
      </c>
      <c r="G2726" s="15">
        <f t="shared" si="3"/>
        <v>3</v>
      </c>
    </row>
    <row r="2727">
      <c r="A2727" s="10" t="s">
        <v>37</v>
      </c>
      <c r="B2727" s="94">
        <f t="shared" si="5"/>
        <v>45507</v>
      </c>
      <c r="C2727" s="77" t="s">
        <v>1570</v>
      </c>
      <c r="D2727" s="13">
        <f>SUMIFS('Lançamentos de receitas'!$E:$E,'Lançamentos de receitas'!$F:$F,"PAGO",'Lançamentos de receitas'!$C:$C,A2727,'Lançamentos de receitas'!$A:$A,B2727)</f>
        <v>1205.61</v>
      </c>
      <c r="E2727" s="15">
        <f t="shared" si="1"/>
        <v>2024</v>
      </c>
      <c r="F2727" s="15">
        <f t="shared" si="2"/>
        <v>8</v>
      </c>
      <c r="G2727" s="15">
        <f t="shared" si="3"/>
        <v>3</v>
      </c>
    </row>
    <row r="2728">
      <c r="A2728" s="10" t="s">
        <v>37</v>
      </c>
      <c r="B2728" s="94">
        <f t="shared" si="5"/>
        <v>45507</v>
      </c>
      <c r="C2728" s="77" t="s">
        <v>1571</v>
      </c>
      <c r="D2728" s="13">
        <f>SUMIFS('Lançamentos de despesas'!$I:$I,'Lançamentos de despesas'!$G:$G,A2728,'Lançamentos de despesas'!$E:$E,"PAGO",'Lançamentos de despesas'!$C:$C,B2728)</f>
        <v>0</v>
      </c>
      <c r="E2728" s="15">
        <f t="shared" si="1"/>
        <v>2024</v>
      </c>
      <c r="F2728" s="15">
        <f t="shared" si="2"/>
        <v>8</v>
      </c>
      <c r="G2728" s="15">
        <f t="shared" si="3"/>
        <v>3</v>
      </c>
    </row>
    <row r="2729">
      <c r="A2729" s="10" t="s">
        <v>37</v>
      </c>
      <c r="B2729" s="94">
        <f t="shared" si="5"/>
        <v>45507</v>
      </c>
      <c r="C2729" s="77" t="s">
        <v>1572</v>
      </c>
      <c r="D2729" s="13">
        <f>D2726+D2727-D2728</f>
        <v>9028.77</v>
      </c>
      <c r="E2729" s="15">
        <f t="shared" si="1"/>
        <v>2024</v>
      </c>
      <c r="F2729" s="15">
        <f t="shared" si="2"/>
        <v>8</v>
      </c>
      <c r="G2729" s="15">
        <f t="shared" si="3"/>
        <v>3</v>
      </c>
    </row>
    <row r="2730">
      <c r="A2730" s="10" t="s">
        <v>37</v>
      </c>
      <c r="B2730" s="94">
        <f t="shared" si="5"/>
        <v>45508</v>
      </c>
      <c r="C2730" s="77" t="s">
        <v>1569</v>
      </c>
      <c r="D2730" s="13">
        <f>D2729</f>
        <v>9028.77</v>
      </c>
      <c r="E2730" s="15">
        <f t="shared" si="1"/>
        <v>2024</v>
      </c>
      <c r="F2730" s="15">
        <f t="shared" si="2"/>
        <v>8</v>
      </c>
      <c r="G2730" s="15">
        <f t="shared" si="3"/>
        <v>4</v>
      </c>
    </row>
    <row r="2731">
      <c r="A2731" s="10" t="s">
        <v>37</v>
      </c>
      <c r="B2731" s="94">
        <f t="shared" si="5"/>
        <v>45508</v>
      </c>
      <c r="C2731" s="77" t="s">
        <v>1570</v>
      </c>
      <c r="D2731" s="13">
        <f>SUMIFS('Lançamentos de receitas'!$E:$E,'Lançamentos de receitas'!$F:$F,"PAGO",'Lançamentos de receitas'!$C:$C,A2731,'Lançamentos de receitas'!$A:$A,B2731)</f>
        <v>908.67</v>
      </c>
      <c r="E2731" s="15">
        <f t="shared" si="1"/>
        <v>2024</v>
      </c>
      <c r="F2731" s="15">
        <f t="shared" si="2"/>
        <v>8</v>
      </c>
      <c r="G2731" s="15">
        <f t="shared" si="3"/>
        <v>4</v>
      </c>
    </row>
    <row r="2732">
      <c r="A2732" s="10" t="s">
        <v>37</v>
      </c>
      <c r="B2732" s="94">
        <f t="shared" si="5"/>
        <v>45508</v>
      </c>
      <c r="C2732" s="77" t="s">
        <v>1571</v>
      </c>
      <c r="D2732" s="13">
        <f>SUMIFS('Lançamentos de despesas'!$I:$I,'Lançamentos de despesas'!$G:$G,A2732,'Lançamentos de despesas'!$E:$E,"PAGO",'Lançamentos de despesas'!$C:$C,B2732)</f>
        <v>0</v>
      </c>
      <c r="E2732" s="15">
        <f t="shared" si="1"/>
        <v>2024</v>
      </c>
      <c r="F2732" s="15">
        <f t="shared" si="2"/>
        <v>8</v>
      </c>
      <c r="G2732" s="15">
        <f t="shared" si="3"/>
        <v>4</v>
      </c>
    </row>
    <row r="2733">
      <c r="A2733" s="10" t="s">
        <v>37</v>
      </c>
      <c r="B2733" s="94">
        <f t="shared" si="5"/>
        <v>45508</v>
      </c>
      <c r="C2733" s="77" t="s">
        <v>1572</v>
      </c>
      <c r="D2733" s="13">
        <f>D2730+D2731-D2732</f>
        <v>9937.44</v>
      </c>
      <c r="E2733" s="15">
        <f t="shared" si="1"/>
        <v>2024</v>
      </c>
      <c r="F2733" s="15">
        <f t="shared" si="2"/>
        <v>8</v>
      </c>
      <c r="G2733" s="15">
        <f t="shared" si="3"/>
        <v>4</v>
      </c>
    </row>
    <row r="2734">
      <c r="A2734" s="10" t="s">
        <v>37</v>
      </c>
      <c r="B2734" s="94">
        <f t="shared" si="5"/>
        <v>45509</v>
      </c>
      <c r="C2734" s="77" t="s">
        <v>1569</v>
      </c>
      <c r="D2734" s="13">
        <f>D2733</f>
        <v>9937.44</v>
      </c>
      <c r="E2734" s="15">
        <f t="shared" si="1"/>
        <v>2024</v>
      </c>
      <c r="F2734" s="15">
        <f t="shared" si="2"/>
        <v>8</v>
      </c>
      <c r="G2734" s="15">
        <f t="shared" si="3"/>
        <v>5</v>
      </c>
    </row>
    <row r="2735">
      <c r="A2735" s="10" t="s">
        <v>37</v>
      </c>
      <c r="B2735" s="94">
        <f t="shared" si="5"/>
        <v>45509</v>
      </c>
      <c r="C2735" s="77" t="s">
        <v>1570</v>
      </c>
      <c r="D2735" s="13">
        <f>SUMIFS('Lançamentos de receitas'!$E:$E,'Lançamentos de receitas'!$F:$F,"PAGO",'Lançamentos de receitas'!$C:$C,A2735,'Lançamentos de receitas'!$A:$A,B2735)</f>
        <v>2385.45</v>
      </c>
      <c r="E2735" s="15">
        <f t="shared" si="1"/>
        <v>2024</v>
      </c>
      <c r="F2735" s="15">
        <f t="shared" si="2"/>
        <v>8</v>
      </c>
      <c r="G2735" s="15">
        <f t="shared" si="3"/>
        <v>5</v>
      </c>
    </row>
    <row r="2736">
      <c r="A2736" s="10" t="s">
        <v>37</v>
      </c>
      <c r="B2736" s="94">
        <f t="shared" si="5"/>
        <v>45509</v>
      </c>
      <c r="C2736" s="77" t="s">
        <v>1571</v>
      </c>
      <c r="D2736" s="13">
        <f>SUMIFS('Lançamentos de despesas'!$I:$I,'Lançamentos de despesas'!$G:$G,A2736,'Lançamentos de despesas'!$E:$E,"PAGO",'Lançamentos de despesas'!$C:$C,B2736)</f>
        <v>0</v>
      </c>
      <c r="E2736" s="15">
        <f t="shared" si="1"/>
        <v>2024</v>
      </c>
      <c r="F2736" s="15">
        <f t="shared" si="2"/>
        <v>8</v>
      </c>
      <c r="G2736" s="15">
        <f t="shared" si="3"/>
        <v>5</v>
      </c>
    </row>
    <row r="2737">
      <c r="A2737" s="10" t="s">
        <v>37</v>
      </c>
      <c r="B2737" s="94">
        <f t="shared" si="5"/>
        <v>45509</v>
      </c>
      <c r="C2737" s="77" t="s">
        <v>1572</v>
      </c>
      <c r="D2737" s="13">
        <f>D2734+D2735-D2736</f>
        <v>12322.89</v>
      </c>
      <c r="E2737" s="15">
        <f t="shared" si="1"/>
        <v>2024</v>
      </c>
      <c r="F2737" s="15">
        <f t="shared" si="2"/>
        <v>8</v>
      </c>
      <c r="G2737" s="15">
        <f t="shared" si="3"/>
        <v>5</v>
      </c>
    </row>
    <row r="2738">
      <c r="A2738" s="10" t="s">
        <v>37</v>
      </c>
      <c r="B2738" s="94">
        <f t="shared" si="5"/>
        <v>45510</v>
      </c>
      <c r="C2738" s="77" t="s">
        <v>1569</v>
      </c>
      <c r="D2738" s="13">
        <f>D2737</f>
        <v>12322.89</v>
      </c>
      <c r="E2738" s="15">
        <f t="shared" si="1"/>
        <v>2024</v>
      </c>
      <c r="F2738" s="15">
        <f t="shared" si="2"/>
        <v>8</v>
      </c>
      <c r="G2738" s="15">
        <f t="shared" si="3"/>
        <v>6</v>
      </c>
    </row>
    <row r="2739">
      <c r="A2739" s="10" t="s">
        <v>37</v>
      </c>
      <c r="B2739" s="94">
        <f t="shared" si="5"/>
        <v>45510</v>
      </c>
      <c r="C2739" s="77" t="s">
        <v>1570</v>
      </c>
      <c r="D2739" s="13">
        <f>SUMIFS('Lançamentos de receitas'!$E:$E,'Lançamentos de receitas'!$F:$F,"PAGO",'Lançamentos de receitas'!$C:$C,A2739,'Lançamentos de receitas'!$A:$A,B2739)</f>
        <v>1164.22</v>
      </c>
      <c r="E2739" s="15">
        <f t="shared" si="1"/>
        <v>2024</v>
      </c>
      <c r="F2739" s="15">
        <f t="shared" si="2"/>
        <v>8</v>
      </c>
      <c r="G2739" s="15">
        <f t="shared" si="3"/>
        <v>6</v>
      </c>
    </row>
    <row r="2740">
      <c r="A2740" s="10" t="s">
        <v>37</v>
      </c>
      <c r="B2740" s="94">
        <f t="shared" si="5"/>
        <v>45510</v>
      </c>
      <c r="C2740" s="77" t="s">
        <v>1571</v>
      </c>
      <c r="D2740" s="13">
        <f>SUMIFS('Lançamentos de despesas'!$I:$I,'Lançamentos de despesas'!$G:$G,A2740,'Lançamentos de despesas'!$E:$E,"PAGO",'Lançamentos de despesas'!$C:$C,B2740)</f>
        <v>0</v>
      </c>
      <c r="E2740" s="15">
        <f t="shared" si="1"/>
        <v>2024</v>
      </c>
      <c r="F2740" s="15">
        <f t="shared" si="2"/>
        <v>8</v>
      </c>
      <c r="G2740" s="15">
        <f t="shared" si="3"/>
        <v>6</v>
      </c>
    </row>
    <row r="2741">
      <c r="A2741" s="10" t="s">
        <v>37</v>
      </c>
      <c r="B2741" s="94">
        <f t="shared" si="5"/>
        <v>45510</v>
      </c>
      <c r="C2741" s="77" t="s">
        <v>1572</v>
      </c>
      <c r="D2741" s="13">
        <f>D2738+D2739-D2740</f>
        <v>13487.11</v>
      </c>
      <c r="E2741" s="15">
        <f t="shared" si="1"/>
        <v>2024</v>
      </c>
      <c r="F2741" s="15">
        <f t="shared" si="2"/>
        <v>8</v>
      </c>
      <c r="G2741" s="15">
        <f t="shared" si="3"/>
        <v>6</v>
      </c>
    </row>
    <row r="2742">
      <c r="A2742" s="10" t="s">
        <v>37</v>
      </c>
      <c r="B2742" s="94">
        <f t="shared" si="5"/>
        <v>45511</v>
      </c>
      <c r="C2742" s="77" t="s">
        <v>1569</v>
      </c>
      <c r="D2742" s="13">
        <f>D2741</f>
        <v>13487.11</v>
      </c>
      <c r="E2742" s="15">
        <f t="shared" si="1"/>
        <v>2024</v>
      </c>
      <c r="F2742" s="15">
        <f t="shared" si="2"/>
        <v>8</v>
      </c>
      <c r="G2742" s="15">
        <f t="shared" si="3"/>
        <v>7</v>
      </c>
    </row>
    <row r="2743">
      <c r="A2743" s="10" t="s">
        <v>37</v>
      </c>
      <c r="B2743" s="94">
        <f t="shared" si="5"/>
        <v>45511</v>
      </c>
      <c r="C2743" s="77" t="s">
        <v>1570</v>
      </c>
      <c r="D2743" s="13">
        <f>SUMIFS('Lançamentos de receitas'!$E:$E,'Lançamentos de receitas'!$F:$F,"PAGO",'Lançamentos de receitas'!$C:$C,A2743,'Lançamentos de receitas'!$A:$A,B2743)</f>
        <v>1119.56</v>
      </c>
      <c r="E2743" s="15">
        <f t="shared" si="1"/>
        <v>2024</v>
      </c>
      <c r="F2743" s="15">
        <f t="shared" si="2"/>
        <v>8</v>
      </c>
      <c r="G2743" s="15">
        <f t="shared" si="3"/>
        <v>7</v>
      </c>
    </row>
    <row r="2744">
      <c r="A2744" s="10" t="s">
        <v>37</v>
      </c>
      <c r="B2744" s="94">
        <f t="shared" si="5"/>
        <v>45511</v>
      </c>
      <c r="C2744" s="77" t="s">
        <v>1571</v>
      </c>
      <c r="D2744" s="13">
        <f>SUMIFS('Lançamentos de despesas'!$I:$I,'Lançamentos de despesas'!$G:$G,A2744,'Lançamentos de despesas'!$E:$E,"PAGO",'Lançamentos de despesas'!$C:$C,B2744)</f>
        <v>0</v>
      </c>
      <c r="E2744" s="15">
        <f t="shared" si="1"/>
        <v>2024</v>
      </c>
      <c r="F2744" s="15">
        <f t="shared" si="2"/>
        <v>8</v>
      </c>
      <c r="G2744" s="15">
        <f t="shared" si="3"/>
        <v>7</v>
      </c>
    </row>
    <row r="2745">
      <c r="A2745" s="10" t="s">
        <v>37</v>
      </c>
      <c r="B2745" s="94">
        <f t="shared" si="5"/>
        <v>45511</v>
      </c>
      <c r="C2745" s="77" t="s">
        <v>1572</v>
      </c>
      <c r="D2745" s="13">
        <f>D2742+D2743-D2744</f>
        <v>14606.67</v>
      </c>
      <c r="E2745" s="15">
        <f t="shared" si="1"/>
        <v>2024</v>
      </c>
      <c r="F2745" s="15">
        <f t="shared" si="2"/>
        <v>8</v>
      </c>
      <c r="G2745" s="15">
        <f t="shared" si="3"/>
        <v>7</v>
      </c>
    </row>
    <row r="2746">
      <c r="A2746" s="10" t="s">
        <v>37</v>
      </c>
      <c r="B2746" s="94">
        <f t="shared" si="5"/>
        <v>45512</v>
      </c>
      <c r="C2746" s="77" t="s">
        <v>1569</v>
      </c>
      <c r="D2746" s="13">
        <f>D2745</f>
        <v>14606.67</v>
      </c>
      <c r="E2746" s="15">
        <f t="shared" si="1"/>
        <v>2024</v>
      </c>
      <c r="F2746" s="15">
        <f t="shared" si="2"/>
        <v>8</v>
      </c>
      <c r="G2746" s="15">
        <f t="shared" si="3"/>
        <v>8</v>
      </c>
    </row>
    <row r="2747">
      <c r="A2747" s="10" t="s">
        <v>37</v>
      </c>
      <c r="B2747" s="94">
        <f t="shared" si="5"/>
        <v>45512</v>
      </c>
      <c r="C2747" s="77" t="s">
        <v>1570</v>
      </c>
      <c r="D2747" s="13">
        <f>SUMIFS('Lançamentos de receitas'!$E:$E,'Lançamentos de receitas'!$F:$F,"PAGO",'Lançamentos de receitas'!$C:$C,A2747,'Lançamentos de receitas'!$A:$A,B2747)</f>
        <v>1177.71</v>
      </c>
      <c r="E2747" s="15">
        <f t="shared" si="1"/>
        <v>2024</v>
      </c>
      <c r="F2747" s="15">
        <f t="shared" si="2"/>
        <v>8</v>
      </c>
      <c r="G2747" s="15">
        <f t="shared" si="3"/>
        <v>8</v>
      </c>
    </row>
    <row r="2748">
      <c r="A2748" s="10" t="s">
        <v>37</v>
      </c>
      <c r="B2748" s="94">
        <f t="shared" si="5"/>
        <v>45512</v>
      </c>
      <c r="C2748" s="77" t="s">
        <v>1571</v>
      </c>
      <c r="D2748" s="13">
        <f>SUMIFS('Lançamentos de despesas'!$I:$I,'Lançamentos de despesas'!$G:$G,A2748,'Lançamentos de despesas'!$E:$E,"PAGO",'Lançamentos de despesas'!$C:$C,B2748)</f>
        <v>0</v>
      </c>
      <c r="E2748" s="15">
        <f t="shared" si="1"/>
        <v>2024</v>
      </c>
      <c r="F2748" s="15">
        <f t="shared" si="2"/>
        <v>8</v>
      </c>
      <c r="G2748" s="15">
        <f t="shared" si="3"/>
        <v>8</v>
      </c>
    </row>
    <row r="2749">
      <c r="A2749" s="10" t="s">
        <v>37</v>
      </c>
      <c r="B2749" s="94">
        <f t="shared" si="5"/>
        <v>45512</v>
      </c>
      <c r="C2749" s="77" t="s">
        <v>1572</v>
      </c>
      <c r="D2749" s="13">
        <f>D2746+D2747-D2748</f>
        <v>15784.38</v>
      </c>
      <c r="E2749" s="15">
        <f t="shared" si="1"/>
        <v>2024</v>
      </c>
      <c r="F2749" s="15">
        <f t="shared" si="2"/>
        <v>8</v>
      </c>
      <c r="G2749" s="15">
        <f t="shared" si="3"/>
        <v>8</v>
      </c>
    </row>
    <row r="2750">
      <c r="A2750" s="10" t="s">
        <v>37</v>
      </c>
      <c r="B2750" s="94">
        <f t="shared" si="5"/>
        <v>45513</v>
      </c>
      <c r="C2750" s="77" t="s">
        <v>1569</v>
      </c>
      <c r="D2750" s="13">
        <f>D2749</f>
        <v>15784.38</v>
      </c>
      <c r="E2750" s="15">
        <f t="shared" si="1"/>
        <v>2024</v>
      </c>
      <c r="F2750" s="15">
        <f t="shared" si="2"/>
        <v>8</v>
      </c>
      <c r="G2750" s="15">
        <f t="shared" si="3"/>
        <v>9</v>
      </c>
    </row>
    <row r="2751">
      <c r="A2751" s="10" t="s">
        <v>37</v>
      </c>
      <c r="B2751" s="94">
        <f t="shared" si="5"/>
        <v>45513</v>
      </c>
      <c r="C2751" s="77" t="s">
        <v>1570</v>
      </c>
      <c r="D2751" s="13">
        <f>SUMIFS('Lançamentos de receitas'!$E:$E,'Lançamentos de receitas'!$F:$F,"PAGO",'Lançamentos de receitas'!$C:$C,A2751,'Lançamentos de receitas'!$A:$A,B2751)</f>
        <v>1523.4</v>
      </c>
      <c r="E2751" s="15">
        <f t="shared" si="1"/>
        <v>2024</v>
      </c>
      <c r="F2751" s="15">
        <f t="shared" si="2"/>
        <v>8</v>
      </c>
      <c r="G2751" s="15">
        <f t="shared" si="3"/>
        <v>9</v>
      </c>
    </row>
    <row r="2752">
      <c r="A2752" s="10" t="s">
        <v>37</v>
      </c>
      <c r="B2752" s="94">
        <f t="shared" si="5"/>
        <v>45513</v>
      </c>
      <c r="C2752" s="77" t="s">
        <v>1571</v>
      </c>
      <c r="D2752" s="13">
        <f>SUMIFS('Lançamentos de despesas'!$I:$I,'Lançamentos de despesas'!$G:$G,A2752,'Lançamentos de despesas'!$E:$E,"PAGO",'Lançamentos de despesas'!$C:$C,B2752)</f>
        <v>0</v>
      </c>
      <c r="E2752" s="15">
        <f t="shared" si="1"/>
        <v>2024</v>
      </c>
      <c r="F2752" s="15">
        <f t="shared" si="2"/>
        <v>8</v>
      </c>
      <c r="G2752" s="15">
        <f t="shared" si="3"/>
        <v>9</v>
      </c>
    </row>
    <row r="2753">
      <c r="A2753" s="10" t="s">
        <v>37</v>
      </c>
      <c r="B2753" s="94">
        <f t="shared" si="5"/>
        <v>45513</v>
      </c>
      <c r="C2753" s="77" t="s">
        <v>1572</v>
      </c>
      <c r="D2753" s="13">
        <f>D2750+D2751-D2752</f>
        <v>17307.78</v>
      </c>
      <c r="E2753" s="15">
        <f t="shared" si="1"/>
        <v>2024</v>
      </c>
      <c r="F2753" s="15">
        <f t="shared" si="2"/>
        <v>8</v>
      </c>
      <c r="G2753" s="15">
        <f t="shared" si="3"/>
        <v>9</v>
      </c>
    </row>
    <row r="2754">
      <c r="A2754" s="10" t="s">
        <v>37</v>
      </c>
      <c r="B2754" s="94">
        <f t="shared" si="5"/>
        <v>45514</v>
      </c>
      <c r="C2754" s="77" t="s">
        <v>1569</v>
      </c>
      <c r="D2754" s="13">
        <f>D2753</f>
        <v>17307.78</v>
      </c>
      <c r="E2754" s="15">
        <f t="shared" si="1"/>
        <v>2024</v>
      </c>
      <c r="F2754" s="15">
        <f t="shared" si="2"/>
        <v>8</v>
      </c>
      <c r="G2754" s="15">
        <f t="shared" si="3"/>
        <v>10</v>
      </c>
    </row>
    <row r="2755">
      <c r="A2755" s="10" t="s">
        <v>37</v>
      </c>
      <c r="B2755" s="94">
        <f t="shared" si="5"/>
        <v>45514</v>
      </c>
      <c r="C2755" s="77" t="s">
        <v>1570</v>
      </c>
      <c r="D2755" s="13">
        <f>SUMIFS('Lançamentos de receitas'!$E:$E,'Lançamentos de receitas'!$F:$F,"PAGO",'Lançamentos de receitas'!$C:$C,A2755,'Lançamentos de receitas'!$A:$A,B2755)</f>
        <v>1221.05</v>
      </c>
      <c r="E2755" s="15">
        <f t="shared" si="1"/>
        <v>2024</v>
      </c>
      <c r="F2755" s="15">
        <f t="shared" si="2"/>
        <v>8</v>
      </c>
      <c r="G2755" s="15">
        <f t="shared" si="3"/>
        <v>10</v>
      </c>
    </row>
    <row r="2756">
      <c r="A2756" s="10" t="s">
        <v>37</v>
      </c>
      <c r="B2756" s="94">
        <f t="shared" si="5"/>
        <v>45514</v>
      </c>
      <c r="C2756" s="77" t="s">
        <v>1571</v>
      </c>
      <c r="D2756" s="13">
        <f>SUMIFS('Lançamentos de despesas'!$I:$I,'Lançamentos de despesas'!$G:$G,A2756,'Lançamentos de despesas'!$E:$E,"PAGO",'Lançamentos de despesas'!$C:$C,B2756)</f>
        <v>0</v>
      </c>
      <c r="E2756" s="15">
        <f t="shared" si="1"/>
        <v>2024</v>
      </c>
      <c r="F2756" s="15">
        <f t="shared" si="2"/>
        <v>8</v>
      </c>
      <c r="G2756" s="15">
        <f t="shared" si="3"/>
        <v>10</v>
      </c>
    </row>
    <row r="2757">
      <c r="A2757" s="10" t="s">
        <v>37</v>
      </c>
      <c r="B2757" s="94">
        <f t="shared" si="5"/>
        <v>45514</v>
      </c>
      <c r="C2757" s="77" t="s">
        <v>1572</v>
      </c>
      <c r="D2757" s="13">
        <f>D2754+D2755-D2756</f>
        <v>18528.83</v>
      </c>
      <c r="E2757" s="15">
        <f t="shared" si="1"/>
        <v>2024</v>
      </c>
      <c r="F2757" s="15">
        <f t="shared" si="2"/>
        <v>8</v>
      </c>
      <c r="G2757" s="15">
        <f t="shared" si="3"/>
        <v>10</v>
      </c>
    </row>
    <row r="2758">
      <c r="A2758" s="10" t="s">
        <v>37</v>
      </c>
      <c r="B2758" s="94">
        <f t="shared" si="5"/>
        <v>45515</v>
      </c>
      <c r="C2758" s="77" t="s">
        <v>1569</v>
      </c>
      <c r="D2758" s="13">
        <f>D2757</f>
        <v>18528.83</v>
      </c>
      <c r="E2758" s="15">
        <f t="shared" si="1"/>
        <v>2024</v>
      </c>
      <c r="F2758" s="15">
        <f t="shared" si="2"/>
        <v>8</v>
      </c>
      <c r="G2758" s="15">
        <f t="shared" si="3"/>
        <v>11</v>
      </c>
    </row>
    <row r="2759">
      <c r="A2759" s="10" t="s">
        <v>37</v>
      </c>
      <c r="B2759" s="94">
        <f t="shared" si="5"/>
        <v>45515</v>
      </c>
      <c r="C2759" s="77" t="s">
        <v>1570</v>
      </c>
      <c r="D2759" s="13">
        <f>SUMIFS('Lançamentos de receitas'!$E:$E,'Lançamentos de receitas'!$F:$F,"PAGO",'Lançamentos de receitas'!$C:$C,A2759,'Lançamentos de receitas'!$A:$A,B2759)</f>
        <v>1540.37</v>
      </c>
      <c r="E2759" s="15">
        <f t="shared" si="1"/>
        <v>2024</v>
      </c>
      <c r="F2759" s="15">
        <f t="shared" si="2"/>
        <v>8</v>
      </c>
      <c r="G2759" s="15">
        <f t="shared" si="3"/>
        <v>11</v>
      </c>
    </row>
    <row r="2760">
      <c r="A2760" s="10" t="s">
        <v>37</v>
      </c>
      <c r="B2760" s="94">
        <f t="shared" si="5"/>
        <v>45515</v>
      </c>
      <c r="C2760" s="77" t="s">
        <v>1571</v>
      </c>
      <c r="D2760" s="13">
        <f>SUMIFS('Lançamentos de despesas'!$I:$I,'Lançamentos de despesas'!$G:$G,A2760,'Lançamentos de despesas'!$E:$E,"PAGO",'Lançamentos de despesas'!$C:$C,B2760)</f>
        <v>0</v>
      </c>
      <c r="E2760" s="15">
        <f t="shared" si="1"/>
        <v>2024</v>
      </c>
      <c r="F2760" s="15">
        <f t="shared" si="2"/>
        <v>8</v>
      </c>
      <c r="G2760" s="15">
        <f t="shared" si="3"/>
        <v>11</v>
      </c>
    </row>
    <row r="2761">
      <c r="A2761" s="10" t="s">
        <v>37</v>
      </c>
      <c r="B2761" s="94">
        <f t="shared" si="5"/>
        <v>45515</v>
      </c>
      <c r="C2761" s="77" t="s">
        <v>1572</v>
      </c>
      <c r="D2761" s="13">
        <f>D2758+D2759-D2760</f>
        <v>20069.2</v>
      </c>
      <c r="E2761" s="15">
        <f t="shared" si="1"/>
        <v>2024</v>
      </c>
      <c r="F2761" s="15">
        <f t="shared" si="2"/>
        <v>8</v>
      </c>
      <c r="G2761" s="15">
        <f t="shared" si="3"/>
        <v>11</v>
      </c>
    </row>
    <row r="2762">
      <c r="A2762" s="10" t="s">
        <v>37</v>
      </c>
      <c r="B2762" s="94">
        <f t="shared" si="5"/>
        <v>45516</v>
      </c>
      <c r="C2762" s="77" t="s">
        <v>1569</v>
      </c>
      <c r="D2762" s="13">
        <f>D2761</f>
        <v>20069.2</v>
      </c>
      <c r="E2762" s="15">
        <f t="shared" si="1"/>
        <v>2024</v>
      </c>
      <c r="F2762" s="15">
        <f t="shared" si="2"/>
        <v>8</v>
      </c>
      <c r="G2762" s="15">
        <f t="shared" si="3"/>
        <v>12</v>
      </c>
    </row>
    <row r="2763">
      <c r="A2763" s="10" t="s">
        <v>37</v>
      </c>
      <c r="B2763" s="94">
        <f t="shared" si="5"/>
        <v>45516</v>
      </c>
      <c r="C2763" s="77" t="s">
        <v>1570</v>
      </c>
      <c r="D2763" s="13">
        <f>SUMIFS('Lançamentos de receitas'!$E:$E,'Lançamentos de receitas'!$F:$F,"PAGO",'Lançamentos de receitas'!$C:$C,A2763,'Lançamentos de receitas'!$A:$A,B2763)</f>
        <v>319.54</v>
      </c>
      <c r="E2763" s="15">
        <f t="shared" si="1"/>
        <v>2024</v>
      </c>
      <c r="F2763" s="15">
        <f t="shared" si="2"/>
        <v>8</v>
      </c>
      <c r="G2763" s="15">
        <f t="shared" si="3"/>
        <v>12</v>
      </c>
    </row>
    <row r="2764">
      <c r="A2764" s="10" t="s">
        <v>37</v>
      </c>
      <c r="B2764" s="94">
        <f t="shared" si="5"/>
        <v>45516</v>
      </c>
      <c r="C2764" s="77" t="s">
        <v>1571</v>
      </c>
      <c r="D2764" s="13">
        <f>SUMIFS('Lançamentos de despesas'!$I:$I,'Lançamentos de despesas'!$G:$G,A2764,'Lançamentos de despesas'!$E:$E,"PAGO",'Lançamentos de despesas'!$C:$C,B2764)</f>
        <v>447</v>
      </c>
      <c r="E2764" s="15">
        <f t="shared" si="1"/>
        <v>2024</v>
      </c>
      <c r="F2764" s="15">
        <f t="shared" si="2"/>
        <v>8</v>
      </c>
      <c r="G2764" s="15">
        <f t="shared" si="3"/>
        <v>12</v>
      </c>
    </row>
    <row r="2765">
      <c r="A2765" s="10" t="s">
        <v>37</v>
      </c>
      <c r="B2765" s="94">
        <f t="shared" si="5"/>
        <v>45516</v>
      </c>
      <c r="C2765" s="77" t="s">
        <v>1572</v>
      </c>
      <c r="D2765" s="13">
        <f>D2762+D2763-D2764</f>
        <v>19941.74</v>
      </c>
      <c r="E2765" s="15">
        <f t="shared" si="1"/>
        <v>2024</v>
      </c>
      <c r="F2765" s="15">
        <f t="shared" si="2"/>
        <v>8</v>
      </c>
      <c r="G2765" s="15">
        <f t="shared" si="3"/>
        <v>12</v>
      </c>
    </row>
    <row r="2766">
      <c r="A2766" s="10" t="s">
        <v>37</v>
      </c>
      <c r="B2766" s="94">
        <f t="shared" si="5"/>
        <v>45517</v>
      </c>
      <c r="C2766" s="77" t="s">
        <v>1569</v>
      </c>
      <c r="D2766" s="13">
        <f>D2765</f>
        <v>19941.74</v>
      </c>
      <c r="E2766" s="15">
        <f t="shared" si="1"/>
        <v>2024</v>
      </c>
      <c r="F2766" s="15">
        <f t="shared" si="2"/>
        <v>8</v>
      </c>
      <c r="G2766" s="15">
        <f t="shared" si="3"/>
        <v>13</v>
      </c>
    </row>
    <row r="2767">
      <c r="A2767" s="10" t="s">
        <v>37</v>
      </c>
      <c r="B2767" s="94">
        <f t="shared" si="5"/>
        <v>45517</v>
      </c>
      <c r="C2767" s="77" t="s">
        <v>1570</v>
      </c>
      <c r="D2767" s="13">
        <f>SUMIFS('Lançamentos de receitas'!$E:$E,'Lançamentos de receitas'!$F:$F,"PAGO",'Lançamentos de receitas'!$C:$C,A2767,'Lançamentos de receitas'!$A:$A,B2767)</f>
        <v>526.75</v>
      </c>
      <c r="E2767" s="15">
        <f t="shared" si="1"/>
        <v>2024</v>
      </c>
      <c r="F2767" s="15">
        <f t="shared" si="2"/>
        <v>8</v>
      </c>
      <c r="G2767" s="15">
        <f t="shared" si="3"/>
        <v>13</v>
      </c>
    </row>
    <row r="2768">
      <c r="A2768" s="10" t="s">
        <v>37</v>
      </c>
      <c r="B2768" s="94">
        <f t="shared" si="5"/>
        <v>45517</v>
      </c>
      <c r="C2768" s="77" t="s">
        <v>1571</v>
      </c>
      <c r="D2768" s="13">
        <f>SUMIFS('Lançamentos de despesas'!$I:$I,'Lançamentos de despesas'!$G:$G,A2768,'Lançamentos de despesas'!$E:$E,"PAGO",'Lançamentos de despesas'!$C:$C,B2768)</f>
        <v>90</v>
      </c>
      <c r="E2768" s="15">
        <f t="shared" si="1"/>
        <v>2024</v>
      </c>
      <c r="F2768" s="15">
        <f t="shared" si="2"/>
        <v>8</v>
      </c>
      <c r="G2768" s="15">
        <f t="shared" si="3"/>
        <v>13</v>
      </c>
    </row>
    <row r="2769">
      <c r="A2769" s="10" t="s">
        <v>37</v>
      </c>
      <c r="B2769" s="94">
        <f t="shared" si="5"/>
        <v>45517</v>
      </c>
      <c r="C2769" s="77" t="s">
        <v>1572</v>
      </c>
      <c r="D2769" s="13">
        <f>D2766+D2767-D2768</f>
        <v>20378.49</v>
      </c>
      <c r="E2769" s="15">
        <f t="shared" si="1"/>
        <v>2024</v>
      </c>
      <c r="F2769" s="15">
        <f t="shared" si="2"/>
        <v>8</v>
      </c>
      <c r="G2769" s="15">
        <f t="shared" si="3"/>
        <v>13</v>
      </c>
    </row>
    <row r="2770">
      <c r="A2770" s="10" t="s">
        <v>37</v>
      </c>
      <c r="B2770" s="94">
        <f t="shared" si="5"/>
        <v>45518</v>
      </c>
      <c r="C2770" s="77" t="s">
        <v>1569</v>
      </c>
      <c r="D2770" s="13">
        <f>D2769</f>
        <v>20378.49</v>
      </c>
      <c r="E2770" s="15">
        <f t="shared" si="1"/>
        <v>2024</v>
      </c>
      <c r="F2770" s="15">
        <f t="shared" si="2"/>
        <v>8</v>
      </c>
      <c r="G2770" s="15">
        <f t="shared" si="3"/>
        <v>14</v>
      </c>
    </row>
    <row r="2771">
      <c r="A2771" s="10" t="s">
        <v>37</v>
      </c>
      <c r="B2771" s="94">
        <f t="shared" si="5"/>
        <v>45518</v>
      </c>
      <c r="C2771" s="77" t="s">
        <v>1570</v>
      </c>
      <c r="D2771" s="13">
        <f>SUMIFS('Lançamentos de receitas'!$E:$E,'Lançamentos de receitas'!$F:$F,"PAGO",'Lançamentos de receitas'!$C:$C,A2771,'Lançamentos de receitas'!$A:$A,B2771)</f>
        <v>1401.53</v>
      </c>
      <c r="E2771" s="15">
        <f t="shared" si="1"/>
        <v>2024</v>
      </c>
      <c r="F2771" s="15">
        <f t="shared" si="2"/>
        <v>8</v>
      </c>
      <c r="G2771" s="15">
        <f t="shared" si="3"/>
        <v>14</v>
      </c>
    </row>
    <row r="2772">
      <c r="A2772" s="10" t="s">
        <v>37</v>
      </c>
      <c r="B2772" s="94">
        <f t="shared" si="5"/>
        <v>45518</v>
      </c>
      <c r="C2772" s="77" t="s">
        <v>1571</v>
      </c>
      <c r="D2772" s="13">
        <f>SUMIFS('Lançamentos de despesas'!$I:$I,'Lançamentos de despesas'!$G:$G,A2772,'Lançamentos de despesas'!$E:$E,"PAGO",'Lançamentos de despesas'!$C:$C,B2772)</f>
        <v>0</v>
      </c>
      <c r="E2772" s="15">
        <f t="shared" si="1"/>
        <v>2024</v>
      </c>
      <c r="F2772" s="15">
        <f t="shared" si="2"/>
        <v>8</v>
      </c>
      <c r="G2772" s="15">
        <f t="shared" si="3"/>
        <v>14</v>
      </c>
    </row>
    <row r="2773">
      <c r="A2773" s="10" t="s">
        <v>37</v>
      </c>
      <c r="B2773" s="94">
        <f t="shared" si="5"/>
        <v>45518</v>
      </c>
      <c r="C2773" s="77" t="s">
        <v>1572</v>
      </c>
      <c r="D2773" s="13">
        <f>D2770+D2771-D2772</f>
        <v>21780.02</v>
      </c>
      <c r="E2773" s="15">
        <f t="shared" si="1"/>
        <v>2024</v>
      </c>
      <c r="F2773" s="15">
        <f t="shared" si="2"/>
        <v>8</v>
      </c>
      <c r="G2773" s="15">
        <f t="shared" si="3"/>
        <v>14</v>
      </c>
    </row>
    <row r="2774">
      <c r="A2774" s="10" t="s">
        <v>37</v>
      </c>
      <c r="B2774" s="94">
        <f t="shared" si="5"/>
        <v>45519</v>
      </c>
      <c r="C2774" s="77" t="s">
        <v>1569</v>
      </c>
      <c r="D2774" s="13">
        <f>D2773</f>
        <v>21780.02</v>
      </c>
      <c r="E2774" s="15">
        <f t="shared" si="1"/>
        <v>2024</v>
      </c>
      <c r="F2774" s="15">
        <f t="shared" si="2"/>
        <v>8</v>
      </c>
      <c r="G2774" s="15">
        <f t="shared" si="3"/>
        <v>15</v>
      </c>
    </row>
    <row r="2775">
      <c r="A2775" s="10" t="s">
        <v>37</v>
      </c>
      <c r="B2775" s="94">
        <f t="shared" si="5"/>
        <v>45519</v>
      </c>
      <c r="C2775" s="77" t="s">
        <v>1570</v>
      </c>
      <c r="D2775" s="13">
        <f>SUMIFS('Lançamentos de receitas'!$E:$E,'Lançamentos de receitas'!$F:$F,"PAGO",'Lançamentos de receitas'!$C:$C,A2775,'Lançamentos de receitas'!$A:$A,B2775)</f>
        <v>1222.81</v>
      </c>
      <c r="E2775" s="15">
        <f t="shared" si="1"/>
        <v>2024</v>
      </c>
      <c r="F2775" s="15">
        <f t="shared" si="2"/>
        <v>8</v>
      </c>
      <c r="G2775" s="15">
        <f t="shared" si="3"/>
        <v>15</v>
      </c>
    </row>
    <row r="2776">
      <c r="A2776" s="10" t="s">
        <v>37</v>
      </c>
      <c r="B2776" s="94">
        <f t="shared" si="5"/>
        <v>45519</v>
      </c>
      <c r="C2776" s="77" t="s">
        <v>1571</v>
      </c>
      <c r="D2776" s="13">
        <f>SUMIFS('Lançamentos de despesas'!$I:$I,'Lançamentos de despesas'!$G:$G,A2776,'Lançamentos de despesas'!$E:$E,"PAGO",'Lançamentos de despesas'!$C:$C,B2776)</f>
        <v>1362.99</v>
      </c>
      <c r="E2776" s="15">
        <f t="shared" si="1"/>
        <v>2024</v>
      </c>
      <c r="F2776" s="15">
        <f t="shared" si="2"/>
        <v>8</v>
      </c>
      <c r="G2776" s="15">
        <f t="shared" si="3"/>
        <v>15</v>
      </c>
    </row>
    <row r="2777">
      <c r="A2777" s="10" t="s">
        <v>37</v>
      </c>
      <c r="B2777" s="94">
        <f t="shared" si="5"/>
        <v>45519</v>
      </c>
      <c r="C2777" s="77" t="s">
        <v>1572</v>
      </c>
      <c r="D2777" s="13">
        <f>D2774+D2775-D2776</f>
        <v>21639.84</v>
      </c>
      <c r="E2777" s="15">
        <f t="shared" si="1"/>
        <v>2024</v>
      </c>
      <c r="F2777" s="15">
        <f t="shared" si="2"/>
        <v>8</v>
      </c>
      <c r="G2777" s="15">
        <f t="shared" si="3"/>
        <v>15</v>
      </c>
    </row>
    <row r="2778">
      <c r="A2778" s="10" t="s">
        <v>37</v>
      </c>
      <c r="B2778" s="94">
        <f t="shared" si="5"/>
        <v>45520</v>
      </c>
      <c r="C2778" s="77" t="s">
        <v>1569</v>
      </c>
      <c r="D2778" s="13">
        <f>D2777</f>
        <v>21639.84</v>
      </c>
      <c r="E2778" s="15">
        <f t="shared" si="1"/>
        <v>2024</v>
      </c>
      <c r="F2778" s="15">
        <f t="shared" si="2"/>
        <v>8</v>
      </c>
      <c r="G2778" s="15">
        <f t="shared" si="3"/>
        <v>16</v>
      </c>
    </row>
    <row r="2779">
      <c r="A2779" s="10" t="s">
        <v>37</v>
      </c>
      <c r="B2779" s="94">
        <f t="shared" si="5"/>
        <v>45520</v>
      </c>
      <c r="C2779" s="77" t="s">
        <v>1570</v>
      </c>
      <c r="D2779" s="13">
        <f>SUMIFS('Lançamentos de receitas'!$E:$E,'Lançamentos de receitas'!$F:$F,"PAGO",'Lançamentos de receitas'!$C:$C,A2779,'Lançamentos de receitas'!$A:$A,B2779)</f>
        <v>1202.56</v>
      </c>
      <c r="E2779" s="15">
        <f t="shared" si="1"/>
        <v>2024</v>
      </c>
      <c r="F2779" s="15">
        <f t="shared" si="2"/>
        <v>8</v>
      </c>
      <c r="G2779" s="15">
        <f t="shared" si="3"/>
        <v>16</v>
      </c>
    </row>
    <row r="2780">
      <c r="A2780" s="10" t="s">
        <v>37</v>
      </c>
      <c r="B2780" s="94">
        <f t="shared" si="5"/>
        <v>45520</v>
      </c>
      <c r="C2780" s="77" t="s">
        <v>1571</v>
      </c>
      <c r="D2780" s="13">
        <f>SUMIFS('Lançamentos de despesas'!$I:$I,'Lançamentos de despesas'!$G:$G,A2780,'Lançamentos de despesas'!$E:$E,"PAGO",'Lançamentos de despesas'!$C:$C,B2780)</f>
        <v>20</v>
      </c>
      <c r="E2780" s="15">
        <f t="shared" si="1"/>
        <v>2024</v>
      </c>
      <c r="F2780" s="15">
        <f t="shared" si="2"/>
        <v>8</v>
      </c>
      <c r="G2780" s="15">
        <f t="shared" si="3"/>
        <v>16</v>
      </c>
    </row>
    <row r="2781">
      <c r="A2781" s="10" t="s">
        <v>37</v>
      </c>
      <c r="B2781" s="94">
        <f t="shared" si="5"/>
        <v>45520</v>
      </c>
      <c r="C2781" s="77" t="s">
        <v>1572</v>
      </c>
      <c r="D2781" s="13">
        <f>D2778+D2779-D2780</f>
        <v>22822.4</v>
      </c>
      <c r="E2781" s="15">
        <f t="shared" si="1"/>
        <v>2024</v>
      </c>
      <c r="F2781" s="15">
        <f t="shared" si="2"/>
        <v>8</v>
      </c>
      <c r="G2781" s="15">
        <f t="shared" si="3"/>
        <v>16</v>
      </c>
    </row>
    <row r="2782">
      <c r="A2782" s="10" t="s">
        <v>37</v>
      </c>
      <c r="B2782" s="94">
        <f t="shared" si="5"/>
        <v>45521</v>
      </c>
      <c r="C2782" s="77" t="s">
        <v>1569</v>
      </c>
      <c r="D2782" s="13">
        <f>D2781</f>
        <v>22822.4</v>
      </c>
      <c r="E2782" s="15">
        <f t="shared" si="1"/>
        <v>2024</v>
      </c>
      <c r="F2782" s="15">
        <f t="shared" si="2"/>
        <v>8</v>
      </c>
      <c r="G2782" s="15">
        <f t="shared" si="3"/>
        <v>17</v>
      </c>
    </row>
    <row r="2783">
      <c r="A2783" s="10" t="s">
        <v>37</v>
      </c>
      <c r="B2783" s="94">
        <f t="shared" si="5"/>
        <v>45521</v>
      </c>
      <c r="C2783" s="77" t="s">
        <v>1570</v>
      </c>
      <c r="D2783" s="13">
        <f>SUMIFS('Lançamentos de receitas'!$E:$E,'Lançamentos de receitas'!$F:$F,"PAGO",'Lançamentos de receitas'!$C:$C,A2783,'Lançamentos de receitas'!$A:$A,B2783)</f>
        <v>977.04</v>
      </c>
      <c r="E2783" s="15">
        <f t="shared" si="1"/>
        <v>2024</v>
      </c>
      <c r="F2783" s="15">
        <f t="shared" si="2"/>
        <v>8</v>
      </c>
      <c r="G2783" s="15">
        <f t="shared" si="3"/>
        <v>17</v>
      </c>
    </row>
    <row r="2784">
      <c r="A2784" s="10" t="s">
        <v>37</v>
      </c>
      <c r="B2784" s="94">
        <f t="shared" si="5"/>
        <v>45521</v>
      </c>
      <c r="C2784" s="77" t="s">
        <v>1571</v>
      </c>
      <c r="D2784" s="13">
        <f>SUMIFS('Lançamentos de despesas'!$I:$I,'Lançamentos de despesas'!$G:$G,A2784,'Lançamentos de despesas'!$E:$E,"PAGO",'Lançamentos de despesas'!$C:$C,B2784)</f>
        <v>0</v>
      </c>
      <c r="E2784" s="15">
        <f t="shared" si="1"/>
        <v>2024</v>
      </c>
      <c r="F2784" s="15">
        <f t="shared" si="2"/>
        <v>8</v>
      </c>
      <c r="G2784" s="15">
        <f t="shared" si="3"/>
        <v>17</v>
      </c>
    </row>
    <row r="2785">
      <c r="A2785" s="10" t="s">
        <v>37</v>
      </c>
      <c r="B2785" s="94">
        <f t="shared" si="5"/>
        <v>45521</v>
      </c>
      <c r="C2785" s="77" t="s">
        <v>1572</v>
      </c>
      <c r="D2785" s="13">
        <f>D2782+D2783-D2784</f>
        <v>23799.44</v>
      </c>
      <c r="E2785" s="15">
        <f t="shared" si="1"/>
        <v>2024</v>
      </c>
      <c r="F2785" s="15">
        <f t="shared" si="2"/>
        <v>8</v>
      </c>
      <c r="G2785" s="15">
        <f t="shared" si="3"/>
        <v>17</v>
      </c>
    </row>
    <row r="2786">
      <c r="A2786" s="10" t="s">
        <v>37</v>
      </c>
      <c r="B2786" s="94">
        <f t="shared" si="5"/>
        <v>45522</v>
      </c>
      <c r="C2786" s="77" t="s">
        <v>1569</v>
      </c>
      <c r="D2786" s="13">
        <f>D2785</f>
        <v>23799.44</v>
      </c>
      <c r="E2786" s="15">
        <f t="shared" si="1"/>
        <v>2024</v>
      </c>
      <c r="F2786" s="15">
        <f t="shared" si="2"/>
        <v>8</v>
      </c>
      <c r="G2786" s="15">
        <f t="shared" si="3"/>
        <v>18</v>
      </c>
    </row>
    <row r="2787">
      <c r="A2787" s="10" t="s">
        <v>37</v>
      </c>
      <c r="B2787" s="94">
        <f t="shared" si="5"/>
        <v>45522</v>
      </c>
      <c r="C2787" s="77" t="s">
        <v>1570</v>
      </c>
      <c r="D2787" s="13">
        <f>SUMIFS('Lançamentos de receitas'!$E:$E,'Lançamentos de receitas'!$F:$F,"PAGO",'Lançamentos de receitas'!$C:$C,A2787,'Lançamentos de receitas'!$A:$A,B2787)</f>
        <v>707.76</v>
      </c>
      <c r="E2787" s="15">
        <f t="shared" si="1"/>
        <v>2024</v>
      </c>
      <c r="F2787" s="15">
        <f t="shared" si="2"/>
        <v>8</v>
      </c>
      <c r="G2787" s="15">
        <f t="shared" si="3"/>
        <v>18</v>
      </c>
    </row>
    <row r="2788">
      <c r="A2788" s="10" t="s">
        <v>37</v>
      </c>
      <c r="B2788" s="94">
        <f t="shared" si="5"/>
        <v>45522</v>
      </c>
      <c r="C2788" s="77" t="s">
        <v>1571</v>
      </c>
      <c r="D2788" s="13">
        <f>SUMIFS('Lançamentos de despesas'!$I:$I,'Lançamentos de despesas'!$G:$G,A2788,'Lançamentos de despesas'!$E:$E,"PAGO",'Lançamentos de despesas'!$C:$C,B2788)</f>
        <v>0</v>
      </c>
      <c r="E2788" s="15">
        <f t="shared" si="1"/>
        <v>2024</v>
      </c>
      <c r="F2788" s="15">
        <f t="shared" si="2"/>
        <v>8</v>
      </c>
      <c r="G2788" s="15">
        <f t="shared" si="3"/>
        <v>18</v>
      </c>
    </row>
    <row r="2789">
      <c r="A2789" s="10" t="s">
        <v>37</v>
      </c>
      <c r="B2789" s="94">
        <f t="shared" si="5"/>
        <v>45522</v>
      </c>
      <c r="C2789" s="77" t="s">
        <v>1572</v>
      </c>
      <c r="D2789" s="13">
        <f>D2786+D2787-D2788</f>
        <v>24507.2</v>
      </c>
      <c r="E2789" s="15">
        <f t="shared" si="1"/>
        <v>2024</v>
      </c>
      <c r="F2789" s="15">
        <f t="shared" si="2"/>
        <v>8</v>
      </c>
      <c r="G2789" s="15">
        <f t="shared" si="3"/>
        <v>18</v>
      </c>
    </row>
    <row r="2790">
      <c r="A2790" s="10" t="s">
        <v>37</v>
      </c>
      <c r="B2790" s="94">
        <f t="shared" si="5"/>
        <v>45523</v>
      </c>
      <c r="C2790" s="77" t="s">
        <v>1569</v>
      </c>
      <c r="D2790" s="13">
        <f>D2789</f>
        <v>24507.2</v>
      </c>
      <c r="E2790" s="15">
        <f t="shared" si="1"/>
        <v>2024</v>
      </c>
      <c r="F2790" s="15">
        <f t="shared" si="2"/>
        <v>8</v>
      </c>
      <c r="G2790" s="15">
        <f t="shared" si="3"/>
        <v>19</v>
      </c>
    </row>
    <row r="2791">
      <c r="A2791" s="10" t="s">
        <v>37</v>
      </c>
      <c r="B2791" s="94">
        <f t="shared" si="5"/>
        <v>45523</v>
      </c>
      <c r="C2791" s="77" t="s">
        <v>1570</v>
      </c>
      <c r="D2791" s="13">
        <f>SUMIFS('Lançamentos de receitas'!$E:$E,'Lançamentos de receitas'!$F:$F,"PAGO",'Lançamentos de receitas'!$C:$C,A2791,'Lançamentos de receitas'!$A:$A,B2791)</f>
        <v>192.7</v>
      </c>
      <c r="E2791" s="15">
        <f t="shared" si="1"/>
        <v>2024</v>
      </c>
      <c r="F2791" s="15">
        <f t="shared" si="2"/>
        <v>8</v>
      </c>
      <c r="G2791" s="15">
        <f t="shared" si="3"/>
        <v>19</v>
      </c>
    </row>
    <row r="2792">
      <c r="A2792" s="10" t="s">
        <v>37</v>
      </c>
      <c r="B2792" s="94">
        <f t="shared" si="5"/>
        <v>45523</v>
      </c>
      <c r="C2792" s="77" t="s">
        <v>1571</v>
      </c>
      <c r="D2792" s="13">
        <f>SUMIFS('Lançamentos de despesas'!$I:$I,'Lançamentos de despesas'!$G:$G,A2792,'Lançamentos de despesas'!$E:$E,"PAGO",'Lançamentos de despesas'!$C:$C,B2792)</f>
        <v>6578.93</v>
      </c>
      <c r="E2792" s="15">
        <f t="shared" si="1"/>
        <v>2024</v>
      </c>
      <c r="F2792" s="15">
        <f t="shared" si="2"/>
        <v>8</v>
      </c>
      <c r="G2792" s="15">
        <f t="shared" si="3"/>
        <v>19</v>
      </c>
    </row>
    <row r="2793">
      <c r="A2793" s="10" t="s">
        <v>37</v>
      </c>
      <c r="B2793" s="94">
        <f t="shared" si="5"/>
        <v>45523</v>
      </c>
      <c r="C2793" s="77" t="s">
        <v>1572</v>
      </c>
      <c r="D2793" s="13">
        <f>D2790+D2791-D2792</f>
        <v>18120.97</v>
      </c>
      <c r="E2793" s="15">
        <f t="shared" si="1"/>
        <v>2024</v>
      </c>
      <c r="F2793" s="15">
        <f t="shared" si="2"/>
        <v>8</v>
      </c>
      <c r="G2793" s="15">
        <f t="shared" si="3"/>
        <v>19</v>
      </c>
    </row>
    <row r="2794">
      <c r="A2794" s="10" t="s">
        <v>37</v>
      </c>
      <c r="B2794" s="94">
        <f t="shared" si="5"/>
        <v>45524</v>
      </c>
      <c r="C2794" s="77" t="s">
        <v>1569</v>
      </c>
      <c r="D2794" s="13">
        <f>D2793</f>
        <v>18120.97</v>
      </c>
      <c r="E2794" s="15">
        <f t="shared" si="1"/>
        <v>2024</v>
      </c>
      <c r="F2794" s="15">
        <f t="shared" si="2"/>
        <v>8</v>
      </c>
      <c r="G2794" s="15">
        <f t="shared" si="3"/>
        <v>20</v>
      </c>
    </row>
    <row r="2795">
      <c r="A2795" s="10" t="s">
        <v>37</v>
      </c>
      <c r="B2795" s="94">
        <f t="shared" si="5"/>
        <v>45524</v>
      </c>
      <c r="C2795" s="77" t="s">
        <v>1570</v>
      </c>
      <c r="D2795" s="13">
        <f>SUMIFS('Lançamentos de receitas'!$E:$E,'Lançamentos de receitas'!$F:$F,"PAGO",'Lançamentos de receitas'!$C:$C,A2795,'Lançamentos de receitas'!$A:$A,B2795)</f>
        <v>821.48</v>
      </c>
      <c r="E2795" s="15">
        <f t="shared" si="1"/>
        <v>2024</v>
      </c>
      <c r="F2795" s="15">
        <f t="shared" si="2"/>
        <v>8</v>
      </c>
      <c r="G2795" s="15">
        <f t="shared" si="3"/>
        <v>20</v>
      </c>
    </row>
    <row r="2796">
      <c r="A2796" s="10" t="s">
        <v>37</v>
      </c>
      <c r="B2796" s="94">
        <f t="shared" si="5"/>
        <v>45524</v>
      </c>
      <c r="C2796" s="77" t="s">
        <v>1571</v>
      </c>
      <c r="D2796" s="13">
        <f>SUMIFS('Lançamentos de despesas'!$I:$I,'Lançamentos de despesas'!$G:$G,A2796,'Lançamentos de despesas'!$E:$E,"PAGO",'Lançamentos de despesas'!$C:$C,B2796)</f>
        <v>2828.43</v>
      </c>
      <c r="E2796" s="15">
        <f t="shared" si="1"/>
        <v>2024</v>
      </c>
      <c r="F2796" s="15">
        <f t="shared" si="2"/>
        <v>8</v>
      </c>
      <c r="G2796" s="15">
        <f t="shared" si="3"/>
        <v>20</v>
      </c>
    </row>
    <row r="2797">
      <c r="A2797" s="10" t="s">
        <v>37</v>
      </c>
      <c r="B2797" s="94">
        <f t="shared" si="5"/>
        <v>45524</v>
      </c>
      <c r="C2797" s="77" t="s">
        <v>1572</v>
      </c>
      <c r="D2797" s="13">
        <f>D2794+D2795-D2796</f>
        <v>16114.02</v>
      </c>
      <c r="E2797" s="15">
        <f t="shared" si="1"/>
        <v>2024</v>
      </c>
      <c r="F2797" s="15">
        <f t="shared" si="2"/>
        <v>8</v>
      </c>
      <c r="G2797" s="15">
        <f t="shared" si="3"/>
        <v>20</v>
      </c>
    </row>
    <row r="2798">
      <c r="A2798" s="10" t="s">
        <v>37</v>
      </c>
      <c r="B2798" s="94">
        <f t="shared" si="5"/>
        <v>45525</v>
      </c>
      <c r="C2798" s="77" t="s">
        <v>1569</v>
      </c>
      <c r="D2798" s="13">
        <f>D2797</f>
        <v>16114.02</v>
      </c>
      <c r="E2798" s="15">
        <f t="shared" si="1"/>
        <v>2024</v>
      </c>
      <c r="F2798" s="15">
        <f t="shared" si="2"/>
        <v>8</v>
      </c>
      <c r="G2798" s="15">
        <f t="shared" si="3"/>
        <v>21</v>
      </c>
    </row>
    <row r="2799">
      <c r="A2799" s="10" t="s">
        <v>37</v>
      </c>
      <c r="B2799" s="94">
        <f t="shared" si="5"/>
        <v>45525</v>
      </c>
      <c r="C2799" s="77" t="s">
        <v>1570</v>
      </c>
      <c r="D2799" s="13">
        <f>SUMIFS('Lançamentos de receitas'!$E:$E,'Lançamentos de receitas'!$F:$F,"PAGO",'Lançamentos de receitas'!$C:$C,A2799,'Lançamentos de receitas'!$A:$A,B2799)</f>
        <v>1068.4</v>
      </c>
      <c r="E2799" s="15">
        <f t="shared" si="1"/>
        <v>2024</v>
      </c>
      <c r="F2799" s="15">
        <f t="shared" si="2"/>
        <v>8</v>
      </c>
      <c r="G2799" s="15">
        <f t="shared" si="3"/>
        <v>21</v>
      </c>
    </row>
    <row r="2800">
      <c r="A2800" s="10" t="s">
        <v>37</v>
      </c>
      <c r="B2800" s="94">
        <f t="shared" si="5"/>
        <v>45525</v>
      </c>
      <c r="C2800" s="77" t="s">
        <v>1571</v>
      </c>
      <c r="D2800" s="13">
        <f>SUMIFS('Lançamentos de despesas'!$I:$I,'Lançamentos de despesas'!$G:$G,A2800,'Lançamentos de despesas'!$E:$E,"PAGO",'Lançamentos de despesas'!$C:$C,B2800)</f>
        <v>0</v>
      </c>
      <c r="E2800" s="15">
        <f t="shared" si="1"/>
        <v>2024</v>
      </c>
      <c r="F2800" s="15">
        <f t="shared" si="2"/>
        <v>8</v>
      </c>
      <c r="G2800" s="15">
        <f t="shared" si="3"/>
        <v>21</v>
      </c>
    </row>
    <row r="2801">
      <c r="A2801" s="10" t="s">
        <v>37</v>
      </c>
      <c r="B2801" s="94">
        <f t="shared" si="5"/>
        <v>45525</v>
      </c>
      <c r="C2801" s="77" t="s">
        <v>1572</v>
      </c>
      <c r="D2801" s="13">
        <f>D2798+D2799-D2800</f>
        <v>17182.42</v>
      </c>
      <c r="E2801" s="15">
        <f t="shared" si="1"/>
        <v>2024</v>
      </c>
      <c r="F2801" s="15">
        <f t="shared" si="2"/>
        <v>8</v>
      </c>
      <c r="G2801" s="15">
        <f t="shared" si="3"/>
        <v>21</v>
      </c>
    </row>
    <row r="2802">
      <c r="A2802" s="10" t="s">
        <v>37</v>
      </c>
      <c r="B2802" s="94">
        <f t="shared" si="5"/>
        <v>45526</v>
      </c>
      <c r="C2802" s="77" t="s">
        <v>1569</v>
      </c>
      <c r="D2802" s="13">
        <f>D2801</f>
        <v>17182.42</v>
      </c>
      <c r="E2802" s="15">
        <f t="shared" si="1"/>
        <v>2024</v>
      </c>
      <c r="F2802" s="15">
        <f t="shared" si="2"/>
        <v>8</v>
      </c>
      <c r="G2802" s="15">
        <f t="shared" si="3"/>
        <v>22</v>
      </c>
    </row>
    <row r="2803">
      <c r="A2803" s="10" t="s">
        <v>37</v>
      </c>
      <c r="B2803" s="94">
        <f t="shared" si="5"/>
        <v>45526</v>
      </c>
      <c r="C2803" s="77" t="s">
        <v>1570</v>
      </c>
      <c r="D2803" s="13">
        <f>SUMIFS('Lançamentos de receitas'!$E:$E,'Lançamentos de receitas'!$F:$F,"PAGO",'Lançamentos de receitas'!$C:$C,A2803,'Lançamentos de receitas'!$A:$A,B2803)</f>
        <v>1388.75</v>
      </c>
      <c r="E2803" s="15">
        <f t="shared" si="1"/>
        <v>2024</v>
      </c>
      <c r="F2803" s="15">
        <f t="shared" si="2"/>
        <v>8</v>
      </c>
      <c r="G2803" s="15">
        <f t="shared" si="3"/>
        <v>22</v>
      </c>
    </row>
    <row r="2804">
      <c r="A2804" s="10" t="s">
        <v>37</v>
      </c>
      <c r="B2804" s="94">
        <f t="shared" si="5"/>
        <v>45526</v>
      </c>
      <c r="C2804" s="77" t="s">
        <v>1571</v>
      </c>
      <c r="D2804" s="13">
        <f>SUMIFS('Lançamentos de despesas'!$I:$I,'Lançamentos de despesas'!$G:$G,A2804,'Lançamentos de despesas'!$E:$E,"PAGO",'Lançamentos de despesas'!$C:$C,B2804)</f>
        <v>0</v>
      </c>
      <c r="E2804" s="15">
        <f t="shared" si="1"/>
        <v>2024</v>
      </c>
      <c r="F2804" s="15">
        <f t="shared" si="2"/>
        <v>8</v>
      </c>
      <c r="G2804" s="15">
        <f t="shared" si="3"/>
        <v>22</v>
      </c>
    </row>
    <row r="2805">
      <c r="A2805" s="10" t="s">
        <v>37</v>
      </c>
      <c r="B2805" s="94">
        <f t="shared" si="5"/>
        <v>45526</v>
      </c>
      <c r="C2805" s="77" t="s">
        <v>1572</v>
      </c>
      <c r="D2805" s="13">
        <f>D2802+D2803-D2804</f>
        <v>18571.17</v>
      </c>
      <c r="E2805" s="15">
        <f t="shared" si="1"/>
        <v>2024</v>
      </c>
      <c r="F2805" s="15">
        <f t="shared" si="2"/>
        <v>8</v>
      </c>
      <c r="G2805" s="15">
        <f t="shared" si="3"/>
        <v>22</v>
      </c>
    </row>
    <row r="2806">
      <c r="A2806" s="10" t="s">
        <v>37</v>
      </c>
      <c r="B2806" s="94">
        <f t="shared" si="5"/>
        <v>45527</v>
      </c>
      <c r="C2806" s="77" t="s">
        <v>1569</v>
      </c>
      <c r="D2806" s="13">
        <f>D2805</f>
        <v>18571.17</v>
      </c>
      <c r="E2806" s="15">
        <f t="shared" si="1"/>
        <v>2024</v>
      </c>
      <c r="F2806" s="15">
        <f t="shared" si="2"/>
        <v>8</v>
      </c>
      <c r="G2806" s="15">
        <f t="shared" si="3"/>
        <v>23</v>
      </c>
    </row>
    <row r="2807">
      <c r="A2807" s="10" t="s">
        <v>37</v>
      </c>
      <c r="B2807" s="94">
        <f t="shared" si="5"/>
        <v>45527</v>
      </c>
      <c r="C2807" s="77" t="s">
        <v>1570</v>
      </c>
      <c r="D2807" s="13">
        <f>SUMIFS('Lançamentos de receitas'!$E:$E,'Lançamentos de receitas'!$F:$F,"PAGO",'Lançamentos de receitas'!$C:$C,A2807,'Lançamentos de receitas'!$A:$A,B2807)</f>
        <v>796.77</v>
      </c>
      <c r="E2807" s="15">
        <f t="shared" si="1"/>
        <v>2024</v>
      </c>
      <c r="F2807" s="15">
        <f t="shared" si="2"/>
        <v>8</v>
      </c>
      <c r="G2807" s="15">
        <f t="shared" si="3"/>
        <v>23</v>
      </c>
    </row>
    <row r="2808">
      <c r="A2808" s="10" t="s">
        <v>37</v>
      </c>
      <c r="B2808" s="94">
        <f t="shared" si="5"/>
        <v>45527</v>
      </c>
      <c r="C2808" s="77" t="s">
        <v>1571</v>
      </c>
      <c r="D2808" s="13">
        <f>SUMIFS('Lançamentos de despesas'!$I:$I,'Lançamentos de despesas'!$G:$G,A2808,'Lançamentos de despesas'!$E:$E,"PAGO",'Lançamentos de despesas'!$C:$C,B2808)</f>
        <v>0</v>
      </c>
      <c r="E2808" s="15">
        <f t="shared" si="1"/>
        <v>2024</v>
      </c>
      <c r="F2808" s="15">
        <f t="shared" si="2"/>
        <v>8</v>
      </c>
      <c r="G2808" s="15">
        <f t="shared" si="3"/>
        <v>23</v>
      </c>
    </row>
    <row r="2809">
      <c r="A2809" s="10" t="s">
        <v>37</v>
      </c>
      <c r="B2809" s="94">
        <f t="shared" si="5"/>
        <v>45527</v>
      </c>
      <c r="C2809" s="77" t="s">
        <v>1572</v>
      </c>
      <c r="D2809" s="13">
        <f>D2806+D2807-D2808</f>
        <v>19367.94</v>
      </c>
      <c r="E2809" s="15">
        <f t="shared" si="1"/>
        <v>2024</v>
      </c>
      <c r="F2809" s="15">
        <f t="shared" si="2"/>
        <v>8</v>
      </c>
      <c r="G2809" s="15">
        <f t="shared" si="3"/>
        <v>23</v>
      </c>
    </row>
    <row r="2810">
      <c r="A2810" s="10" t="s">
        <v>37</v>
      </c>
      <c r="B2810" s="94">
        <f t="shared" si="5"/>
        <v>45528</v>
      </c>
      <c r="C2810" s="77" t="s">
        <v>1569</v>
      </c>
      <c r="D2810" s="13">
        <f>D2809</f>
        <v>19367.94</v>
      </c>
      <c r="E2810" s="15">
        <f t="shared" si="1"/>
        <v>2024</v>
      </c>
      <c r="F2810" s="15">
        <f t="shared" si="2"/>
        <v>8</v>
      </c>
      <c r="G2810" s="15">
        <f t="shared" si="3"/>
        <v>24</v>
      </c>
    </row>
    <row r="2811">
      <c r="A2811" s="10" t="s">
        <v>37</v>
      </c>
      <c r="B2811" s="94">
        <f t="shared" si="5"/>
        <v>45528</v>
      </c>
      <c r="C2811" s="77" t="s">
        <v>1570</v>
      </c>
      <c r="D2811" s="13">
        <f>SUMIFS('Lançamentos de receitas'!$E:$E,'Lançamentos de receitas'!$F:$F,"PAGO",'Lançamentos de receitas'!$C:$C,A2811,'Lançamentos de receitas'!$A:$A,B2811)</f>
        <v>1216.01</v>
      </c>
      <c r="E2811" s="15">
        <f t="shared" si="1"/>
        <v>2024</v>
      </c>
      <c r="F2811" s="15">
        <f t="shared" si="2"/>
        <v>8</v>
      </c>
      <c r="G2811" s="15">
        <f t="shared" si="3"/>
        <v>24</v>
      </c>
    </row>
    <row r="2812">
      <c r="A2812" s="10" t="s">
        <v>37</v>
      </c>
      <c r="B2812" s="94">
        <f t="shared" si="5"/>
        <v>45528</v>
      </c>
      <c r="C2812" s="77" t="s">
        <v>1571</v>
      </c>
      <c r="D2812" s="13">
        <f>SUMIFS('Lançamentos de despesas'!$I:$I,'Lançamentos de despesas'!$G:$G,A2812,'Lançamentos de despesas'!$E:$E,"PAGO",'Lançamentos de despesas'!$C:$C,B2812)</f>
        <v>0</v>
      </c>
      <c r="E2812" s="15">
        <f t="shared" si="1"/>
        <v>2024</v>
      </c>
      <c r="F2812" s="15">
        <f t="shared" si="2"/>
        <v>8</v>
      </c>
      <c r="G2812" s="15">
        <f t="shared" si="3"/>
        <v>24</v>
      </c>
    </row>
    <row r="2813">
      <c r="A2813" s="10" t="s">
        <v>37</v>
      </c>
      <c r="B2813" s="94">
        <f t="shared" si="5"/>
        <v>45528</v>
      </c>
      <c r="C2813" s="77" t="s">
        <v>1572</v>
      </c>
      <c r="D2813" s="13">
        <f>D2810+D2811-D2812</f>
        <v>20583.95</v>
      </c>
      <c r="E2813" s="15">
        <f t="shared" si="1"/>
        <v>2024</v>
      </c>
      <c r="F2813" s="15">
        <f t="shared" si="2"/>
        <v>8</v>
      </c>
      <c r="G2813" s="15">
        <f t="shared" si="3"/>
        <v>24</v>
      </c>
    </row>
    <row r="2814">
      <c r="A2814" s="10" t="s">
        <v>37</v>
      </c>
      <c r="B2814" s="94">
        <f t="shared" si="5"/>
        <v>45529</v>
      </c>
      <c r="C2814" s="77" t="s">
        <v>1569</v>
      </c>
      <c r="D2814" s="13">
        <f>D2813</f>
        <v>20583.95</v>
      </c>
      <c r="E2814" s="15">
        <f t="shared" si="1"/>
        <v>2024</v>
      </c>
      <c r="F2814" s="15">
        <f t="shared" si="2"/>
        <v>8</v>
      </c>
      <c r="G2814" s="15">
        <f t="shared" si="3"/>
        <v>25</v>
      </c>
    </row>
    <row r="2815">
      <c r="A2815" s="10" t="s">
        <v>37</v>
      </c>
      <c r="B2815" s="94">
        <f t="shared" si="5"/>
        <v>45529</v>
      </c>
      <c r="C2815" s="77" t="s">
        <v>1570</v>
      </c>
      <c r="D2815" s="13">
        <f>SUMIFS('Lançamentos de receitas'!$E:$E,'Lançamentos de receitas'!$F:$F,"PAGO",'Lançamentos de receitas'!$C:$C,A2815,'Lançamentos de receitas'!$A:$A,B2815)</f>
        <v>398.46</v>
      </c>
      <c r="E2815" s="15">
        <f t="shared" si="1"/>
        <v>2024</v>
      </c>
      <c r="F2815" s="15">
        <f t="shared" si="2"/>
        <v>8</v>
      </c>
      <c r="G2815" s="15">
        <f t="shared" si="3"/>
        <v>25</v>
      </c>
    </row>
    <row r="2816">
      <c r="A2816" s="10" t="s">
        <v>37</v>
      </c>
      <c r="B2816" s="94">
        <f t="shared" si="5"/>
        <v>45529</v>
      </c>
      <c r="C2816" s="77" t="s">
        <v>1571</v>
      </c>
      <c r="D2816" s="13">
        <f>SUMIFS('Lançamentos de despesas'!$I:$I,'Lançamentos de despesas'!$G:$G,A2816,'Lançamentos de despesas'!$E:$E,"PAGO",'Lançamentos de despesas'!$C:$C,B2816)</f>
        <v>89.68</v>
      </c>
      <c r="E2816" s="15">
        <f t="shared" si="1"/>
        <v>2024</v>
      </c>
      <c r="F2816" s="15">
        <f t="shared" si="2"/>
        <v>8</v>
      </c>
      <c r="G2816" s="15">
        <f t="shared" si="3"/>
        <v>25</v>
      </c>
    </row>
    <row r="2817">
      <c r="A2817" s="10" t="s">
        <v>37</v>
      </c>
      <c r="B2817" s="94">
        <f t="shared" si="5"/>
        <v>45529</v>
      </c>
      <c r="C2817" s="77" t="s">
        <v>1572</v>
      </c>
      <c r="D2817" s="13">
        <f>D2814+D2815-D2816</f>
        <v>20892.73</v>
      </c>
      <c r="E2817" s="15">
        <f t="shared" si="1"/>
        <v>2024</v>
      </c>
      <c r="F2817" s="15">
        <f t="shared" si="2"/>
        <v>8</v>
      </c>
      <c r="G2817" s="15">
        <f t="shared" si="3"/>
        <v>25</v>
      </c>
    </row>
    <row r="2818">
      <c r="A2818" s="10" t="s">
        <v>37</v>
      </c>
      <c r="B2818" s="94">
        <f t="shared" si="5"/>
        <v>45530</v>
      </c>
      <c r="C2818" s="77" t="s">
        <v>1569</v>
      </c>
      <c r="D2818" s="13">
        <f>D2817</f>
        <v>20892.73</v>
      </c>
      <c r="E2818" s="15">
        <f t="shared" si="1"/>
        <v>2024</v>
      </c>
      <c r="F2818" s="15">
        <f t="shared" si="2"/>
        <v>8</v>
      </c>
      <c r="G2818" s="15">
        <f t="shared" si="3"/>
        <v>26</v>
      </c>
    </row>
    <row r="2819">
      <c r="A2819" s="10" t="s">
        <v>37</v>
      </c>
      <c r="B2819" s="94">
        <f t="shared" si="5"/>
        <v>45530</v>
      </c>
      <c r="C2819" s="77" t="s">
        <v>1570</v>
      </c>
      <c r="D2819" s="13">
        <f>SUMIFS('Lançamentos de receitas'!$E:$E,'Lançamentos de receitas'!$F:$F,"PAGO",'Lançamentos de receitas'!$C:$C,A2819,'Lançamentos de receitas'!$A:$A,B2819)</f>
        <v>2260.5</v>
      </c>
      <c r="E2819" s="15">
        <f t="shared" si="1"/>
        <v>2024</v>
      </c>
      <c r="F2819" s="15">
        <f t="shared" si="2"/>
        <v>8</v>
      </c>
      <c r="G2819" s="15">
        <f t="shared" si="3"/>
        <v>26</v>
      </c>
    </row>
    <row r="2820">
      <c r="A2820" s="10" t="s">
        <v>37</v>
      </c>
      <c r="B2820" s="94">
        <f t="shared" si="5"/>
        <v>45530</v>
      </c>
      <c r="C2820" s="77" t="s">
        <v>1571</v>
      </c>
      <c r="D2820" s="13">
        <f>SUMIFS('Lançamentos de despesas'!$I:$I,'Lançamentos de despesas'!$G:$G,A2820,'Lançamentos de despesas'!$E:$E,"PAGO",'Lançamentos de despesas'!$C:$C,B2820)</f>
        <v>750</v>
      </c>
      <c r="E2820" s="15">
        <f t="shared" si="1"/>
        <v>2024</v>
      </c>
      <c r="F2820" s="15">
        <f t="shared" si="2"/>
        <v>8</v>
      </c>
      <c r="G2820" s="15">
        <f t="shared" si="3"/>
        <v>26</v>
      </c>
    </row>
    <row r="2821">
      <c r="A2821" s="10" t="s">
        <v>37</v>
      </c>
      <c r="B2821" s="94">
        <f t="shared" si="5"/>
        <v>45530</v>
      </c>
      <c r="C2821" s="77" t="s">
        <v>1572</v>
      </c>
      <c r="D2821" s="13">
        <f>D2818+D2819-D2820</f>
        <v>22403.23</v>
      </c>
      <c r="E2821" s="15">
        <f t="shared" si="1"/>
        <v>2024</v>
      </c>
      <c r="F2821" s="15">
        <f t="shared" si="2"/>
        <v>8</v>
      </c>
      <c r="G2821" s="15">
        <f t="shared" si="3"/>
        <v>26</v>
      </c>
    </row>
    <row r="2822">
      <c r="A2822" s="10" t="s">
        <v>37</v>
      </c>
      <c r="B2822" s="94">
        <f t="shared" si="5"/>
        <v>45531</v>
      </c>
      <c r="C2822" s="77" t="s">
        <v>1569</v>
      </c>
      <c r="D2822" s="13">
        <f>D2821</f>
        <v>22403.23</v>
      </c>
      <c r="E2822" s="15">
        <f t="shared" si="1"/>
        <v>2024</v>
      </c>
      <c r="F2822" s="15">
        <f t="shared" si="2"/>
        <v>8</v>
      </c>
      <c r="G2822" s="15">
        <f t="shared" si="3"/>
        <v>27</v>
      </c>
    </row>
    <row r="2823">
      <c r="A2823" s="10" t="s">
        <v>37</v>
      </c>
      <c r="B2823" s="94">
        <f t="shared" si="5"/>
        <v>45531</v>
      </c>
      <c r="C2823" s="77" t="s">
        <v>1570</v>
      </c>
      <c r="D2823" s="13">
        <f>SUMIFS('Lançamentos de receitas'!$E:$E,'Lançamentos de receitas'!$F:$F,"PAGO",'Lançamentos de receitas'!$C:$C,A2823,'Lançamentos de receitas'!$A:$A,B2823)</f>
        <v>105.37</v>
      </c>
      <c r="E2823" s="15">
        <f t="shared" si="1"/>
        <v>2024</v>
      </c>
      <c r="F2823" s="15">
        <f t="shared" si="2"/>
        <v>8</v>
      </c>
      <c r="G2823" s="15">
        <f t="shared" si="3"/>
        <v>27</v>
      </c>
    </row>
    <row r="2824">
      <c r="A2824" s="10" t="s">
        <v>37</v>
      </c>
      <c r="B2824" s="94">
        <f t="shared" si="5"/>
        <v>45531</v>
      </c>
      <c r="C2824" s="77" t="s">
        <v>1571</v>
      </c>
      <c r="D2824" s="13">
        <f>SUMIFS('Lançamentos de despesas'!$I:$I,'Lançamentos de despesas'!$G:$G,A2824,'Lançamentos de despesas'!$E:$E,"PAGO",'Lançamentos de despesas'!$C:$C,B2824)</f>
        <v>32</v>
      </c>
      <c r="E2824" s="15">
        <f t="shared" si="1"/>
        <v>2024</v>
      </c>
      <c r="F2824" s="15">
        <f t="shared" si="2"/>
        <v>8</v>
      </c>
      <c r="G2824" s="15">
        <f t="shared" si="3"/>
        <v>27</v>
      </c>
    </row>
    <row r="2825">
      <c r="A2825" s="10" t="s">
        <v>37</v>
      </c>
      <c r="B2825" s="94">
        <f t="shared" si="5"/>
        <v>45531</v>
      </c>
      <c r="C2825" s="77" t="s">
        <v>1572</v>
      </c>
      <c r="D2825" s="13">
        <f>D2822+D2823-D2824</f>
        <v>22476.6</v>
      </c>
      <c r="E2825" s="15">
        <f t="shared" si="1"/>
        <v>2024</v>
      </c>
      <c r="F2825" s="15">
        <f t="shared" si="2"/>
        <v>8</v>
      </c>
      <c r="G2825" s="15">
        <f t="shared" si="3"/>
        <v>27</v>
      </c>
    </row>
    <row r="2826">
      <c r="A2826" s="10" t="s">
        <v>37</v>
      </c>
      <c r="B2826" s="94">
        <f t="shared" si="5"/>
        <v>45532</v>
      </c>
      <c r="C2826" s="77" t="s">
        <v>1569</v>
      </c>
      <c r="D2826" s="13">
        <f>D2825</f>
        <v>22476.6</v>
      </c>
      <c r="E2826" s="15">
        <f t="shared" si="1"/>
        <v>2024</v>
      </c>
      <c r="F2826" s="15">
        <f t="shared" si="2"/>
        <v>8</v>
      </c>
      <c r="G2826" s="15">
        <f t="shared" si="3"/>
        <v>28</v>
      </c>
    </row>
    <row r="2827">
      <c r="A2827" s="10" t="s">
        <v>37</v>
      </c>
      <c r="B2827" s="94">
        <f t="shared" si="5"/>
        <v>45532</v>
      </c>
      <c r="C2827" s="77" t="s">
        <v>1570</v>
      </c>
      <c r="D2827" s="13">
        <f>SUMIFS('Lançamentos de receitas'!$E:$E,'Lançamentos de receitas'!$F:$F,"PAGO",'Lançamentos de receitas'!$C:$C,A2827,'Lançamentos de receitas'!$A:$A,B2827)</f>
        <v>1883.92</v>
      </c>
      <c r="E2827" s="15">
        <f t="shared" si="1"/>
        <v>2024</v>
      </c>
      <c r="F2827" s="15">
        <f t="shared" si="2"/>
        <v>8</v>
      </c>
      <c r="G2827" s="15">
        <f t="shared" si="3"/>
        <v>28</v>
      </c>
    </row>
    <row r="2828">
      <c r="A2828" s="10" t="s">
        <v>37</v>
      </c>
      <c r="B2828" s="94">
        <f t="shared" si="5"/>
        <v>45532</v>
      </c>
      <c r="C2828" s="77" t="s">
        <v>1571</v>
      </c>
      <c r="D2828" s="13">
        <f>SUMIFS('Lançamentos de despesas'!$I:$I,'Lançamentos de despesas'!$G:$G,A2828,'Lançamentos de despesas'!$E:$E,"PAGO",'Lançamentos de despesas'!$C:$C,B2828)</f>
        <v>80</v>
      </c>
      <c r="E2828" s="15">
        <f t="shared" si="1"/>
        <v>2024</v>
      </c>
      <c r="F2828" s="15">
        <f t="shared" si="2"/>
        <v>8</v>
      </c>
      <c r="G2828" s="15">
        <f t="shared" si="3"/>
        <v>28</v>
      </c>
    </row>
    <row r="2829">
      <c r="A2829" s="10" t="s">
        <v>37</v>
      </c>
      <c r="B2829" s="94">
        <f t="shared" si="5"/>
        <v>45532</v>
      </c>
      <c r="C2829" s="77" t="s">
        <v>1572</v>
      </c>
      <c r="D2829" s="13">
        <f>D2826+D2827-D2828</f>
        <v>24280.52</v>
      </c>
      <c r="E2829" s="15">
        <f t="shared" si="1"/>
        <v>2024</v>
      </c>
      <c r="F2829" s="15">
        <f t="shared" si="2"/>
        <v>8</v>
      </c>
      <c r="G2829" s="15">
        <f t="shared" si="3"/>
        <v>28</v>
      </c>
    </row>
    <row r="2830">
      <c r="A2830" s="10" t="s">
        <v>37</v>
      </c>
      <c r="B2830" s="94">
        <f t="shared" si="5"/>
        <v>45533</v>
      </c>
      <c r="C2830" s="77" t="s">
        <v>1569</v>
      </c>
      <c r="D2830" s="13">
        <f>D2829</f>
        <v>24280.52</v>
      </c>
      <c r="E2830" s="15">
        <f t="shared" si="1"/>
        <v>2024</v>
      </c>
      <c r="F2830" s="15">
        <f t="shared" si="2"/>
        <v>8</v>
      </c>
      <c r="G2830" s="15">
        <f t="shared" si="3"/>
        <v>29</v>
      </c>
    </row>
    <row r="2831">
      <c r="A2831" s="10" t="s">
        <v>37</v>
      </c>
      <c r="B2831" s="94">
        <f t="shared" si="5"/>
        <v>45533</v>
      </c>
      <c r="C2831" s="77" t="s">
        <v>1570</v>
      </c>
      <c r="D2831" s="13">
        <f>SUMIFS('Lançamentos de receitas'!$E:$E,'Lançamentos de receitas'!$F:$F,"PAGO",'Lançamentos de receitas'!$C:$C,A2831,'Lançamentos de receitas'!$A:$A,B2831)</f>
        <v>1480.28</v>
      </c>
      <c r="E2831" s="15">
        <f t="shared" si="1"/>
        <v>2024</v>
      </c>
      <c r="F2831" s="15">
        <f t="shared" si="2"/>
        <v>8</v>
      </c>
      <c r="G2831" s="15">
        <f t="shared" si="3"/>
        <v>29</v>
      </c>
    </row>
    <row r="2832">
      <c r="A2832" s="10" t="s">
        <v>37</v>
      </c>
      <c r="B2832" s="94">
        <f t="shared" si="5"/>
        <v>45533</v>
      </c>
      <c r="C2832" s="77" t="s">
        <v>1571</v>
      </c>
      <c r="D2832" s="13">
        <f>SUMIFS('Lançamentos de despesas'!$I:$I,'Lançamentos de despesas'!$G:$G,A2832,'Lançamentos de despesas'!$E:$E,"PAGO",'Lançamentos de despesas'!$C:$C,B2832)</f>
        <v>0</v>
      </c>
      <c r="E2832" s="15">
        <f t="shared" si="1"/>
        <v>2024</v>
      </c>
      <c r="F2832" s="15">
        <f t="shared" si="2"/>
        <v>8</v>
      </c>
      <c r="G2832" s="15">
        <f t="shared" si="3"/>
        <v>29</v>
      </c>
    </row>
    <row r="2833">
      <c r="A2833" s="10" t="s">
        <v>37</v>
      </c>
      <c r="B2833" s="94">
        <f t="shared" si="5"/>
        <v>45533</v>
      </c>
      <c r="C2833" s="77" t="s">
        <v>1572</v>
      </c>
      <c r="D2833" s="13">
        <f>D2830+D2831-D2832</f>
        <v>25760.8</v>
      </c>
      <c r="E2833" s="15">
        <f t="shared" si="1"/>
        <v>2024</v>
      </c>
      <c r="F2833" s="15">
        <f t="shared" si="2"/>
        <v>8</v>
      </c>
      <c r="G2833" s="15">
        <f t="shared" si="3"/>
        <v>29</v>
      </c>
    </row>
    <row r="2834">
      <c r="A2834" s="10" t="s">
        <v>37</v>
      </c>
      <c r="B2834" s="94">
        <f t="shared" si="5"/>
        <v>45534</v>
      </c>
      <c r="C2834" s="77" t="s">
        <v>1569</v>
      </c>
      <c r="D2834" s="13">
        <f>D2833</f>
        <v>25760.8</v>
      </c>
      <c r="E2834" s="15">
        <f t="shared" si="1"/>
        <v>2024</v>
      </c>
      <c r="F2834" s="15">
        <f t="shared" si="2"/>
        <v>8</v>
      </c>
      <c r="G2834" s="15">
        <f t="shared" si="3"/>
        <v>30</v>
      </c>
    </row>
    <row r="2835">
      <c r="A2835" s="10" t="s">
        <v>37</v>
      </c>
      <c r="B2835" s="94">
        <f t="shared" si="5"/>
        <v>45534</v>
      </c>
      <c r="C2835" s="77" t="s">
        <v>1570</v>
      </c>
      <c r="D2835" s="13">
        <f>SUMIFS('Lançamentos de receitas'!$E:$E,'Lançamentos de receitas'!$F:$F,"PAGO",'Lançamentos de receitas'!$C:$C,A2835,'Lançamentos de receitas'!$A:$A,B2835)</f>
        <v>1338.56</v>
      </c>
      <c r="E2835" s="15">
        <f t="shared" si="1"/>
        <v>2024</v>
      </c>
      <c r="F2835" s="15">
        <f t="shared" si="2"/>
        <v>8</v>
      </c>
      <c r="G2835" s="15">
        <f t="shared" si="3"/>
        <v>30</v>
      </c>
    </row>
    <row r="2836">
      <c r="A2836" s="10" t="s">
        <v>37</v>
      </c>
      <c r="B2836" s="94">
        <f t="shared" si="5"/>
        <v>45534</v>
      </c>
      <c r="C2836" s="77" t="s">
        <v>1571</v>
      </c>
      <c r="D2836" s="13">
        <f>SUMIFS('Lançamentos de despesas'!$I:$I,'Lançamentos de despesas'!$G:$G,A2836,'Lançamentos de despesas'!$E:$E,"PAGO",'Lançamentos de despesas'!$C:$C,B2836)</f>
        <v>0</v>
      </c>
      <c r="E2836" s="15">
        <f t="shared" si="1"/>
        <v>2024</v>
      </c>
      <c r="F2836" s="15">
        <f t="shared" si="2"/>
        <v>8</v>
      </c>
      <c r="G2836" s="15">
        <f t="shared" si="3"/>
        <v>30</v>
      </c>
    </row>
    <row r="2837">
      <c r="A2837" s="10" t="s">
        <v>37</v>
      </c>
      <c r="B2837" s="94">
        <f t="shared" si="5"/>
        <v>45534</v>
      </c>
      <c r="C2837" s="77" t="s">
        <v>1572</v>
      </c>
      <c r="D2837" s="13">
        <f>D2834+D2835-D2836</f>
        <v>27099.36</v>
      </c>
      <c r="E2837" s="15">
        <f t="shared" si="1"/>
        <v>2024</v>
      </c>
      <c r="F2837" s="15">
        <f t="shared" si="2"/>
        <v>8</v>
      </c>
      <c r="G2837" s="15">
        <f t="shared" si="3"/>
        <v>30</v>
      </c>
    </row>
    <row r="2838">
      <c r="A2838" s="10" t="s">
        <v>37</v>
      </c>
      <c r="B2838" s="94">
        <f t="shared" si="5"/>
        <v>45535</v>
      </c>
      <c r="C2838" s="77" t="s">
        <v>1569</v>
      </c>
      <c r="D2838" s="13">
        <f>D2837</f>
        <v>27099.36</v>
      </c>
      <c r="E2838" s="15">
        <f t="shared" si="1"/>
        <v>2024</v>
      </c>
      <c r="F2838" s="15">
        <f t="shared" si="2"/>
        <v>8</v>
      </c>
      <c r="G2838" s="15">
        <f t="shared" si="3"/>
        <v>31</v>
      </c>
    </row>
    <row r="2839">
      <c r="A2839" s="10" t="s">
        <v>37</v>
      </c>
      <c r="B2839" s="94">
        <f t="shared" si="5"/>
        <v>45535</v>
      </c>
      <c r="C2839" s="77" t="s">
        <v>1570</v>
      </c>
      <c r="D2839" s="13">
        <f>SUMIFS('Lançamentos de receitas'!$E:$E,'Lançamentos de receitas'!$F:$F,"PAGO",'Lançamentos de receitas'!$C:$C,A2839,'Lançamentos de receitas'!$A:$A,B2839)</f>
        <v>1043.95</v>
      </c>
      <c r="E2839" s="15">
        <f t="shared" si="1"/>
        <v>2024</v>
      </c>
      <c r="F2839" s="15">
        <f t="shared" si="2"/>
        <v>8</v>
      </c>
      <c r="G2839" s="15">
        <f t="shared" si="3"/>
        <v>31</v>
      </c>
    </row>
    <row r="2840">
      <c r="A2840" s="10" t="s">
        <v>37</v>
      </c>
      <c r="B2840" s="94">
        <f t="shared" si="5"/>
        <v>45535</v>
      </c>
      <c r="C2840" s="77" t="s">
        <v>1571</v>
      </c>
      <c r="D2840" s="13">
        <f>SUMIFS('Lançamentos de despesas'!$I:$I,'Lançamentos de despesas'!$G:$G,A2840,'Lançamentos de despesas'!$E:$E,"PAGO",'Lançamentos de despesas'!$C:$C,B2840)</f>
        <v>0</v>
      </c>
      <c r="E2840" s="15">
        <f t="shared" si="1"/>
        <v>2024</v>
      </c>
      <c r="F2840" s="15">
        <f t="shared" si="2"/>
        <v>8</v>
      </c>
      <c r="G2840" s="15">
        <f t="shared" si="3"/>
        <v>31</v>
      </c>
    </row>
    <row r="2841">
      <c r="A2841" s="10" t="s">
        <v>37</v>
      </c>
      <c r="B2841" s="94">
        <f t="shared" si="5"/>
        <v>45535</v>
      </c>
      <c r="C2841" s="77" t="s">
        <v>1572</v>
      </c>
      <c r="D2841" s="13">
        <f>D2838+D2839-D2840</f>
        <v>28143.31</v>
      </c>
      <c r="E2841" s="15">
        <f t="shared" si="1"/>
        <v>2024</v>
      </c>
      <c r="F2841" s="15">
        <f t="shared" si="2"/>
        <v>8</v>
      </c>
      <c r="G2841" s="15">
        <f t="shared" si="3"/>
        <v>31</v>
      </c>
    </row>
    <row r="2842">
      <c r="A2842" s="10" t="s">
        <v>37</v>
      </c>
      <c r="B2842" s="94">
        <f t="shared" si="5"/>
        <v>45536</v>
      </c>
      <c r="C2842" s="77" t="s">
        <v>1569</v>
      </c>
      <c r="D2842" s="13">
        <f>D2841</f>
        <v>28143.31</v>
      </c>
      <c r="E2842" s="15">
        <f t="shared" si="1"/>
        <v>2024</v>
      </c>
      <c r="F2842" s="15">
        <f t="shared" si="2"/>
        <v>9</v>
      </c>
      <c r="G2842" s="15">
        <f t="shared" si="3"/>
        <v>1</v>
      </c>
    </row>
    <row r="2843">
      <c r="A2843" s="10" t="s">
        <v>37</v>
      </c>
      <c r="B2843" s="94">
        <f t="shared" si="5"/>
        <v>45536</v>
      </c>
      <c r="C2843" s="77" t="s">
        <v>1570</v>
      </c>
      <c r="D2843" s="13">
        <f>SUMIFS('Lançamentos de receitas'!$E:$E,'Lançamentos de receitas'!$F:$F,"PAGO",'Lançamentos de receitas'!$C:$C,A2843,'Lançamentos de receitas'!$A:$A,B2843)</f>
        <v>851.72</v>
      </c>
      <c r="E2843" s="15">
        <f t="shared" si="1"/>
        <v>2024</v>
      </c>
      <c r="F2843" s="15">
        <f t="shared" si="2"/>
        <v>9</v>
      </c>
      <c r="G2843" s="15">
        <f t="shared" si="3"/>
        <v>1</v>
      </c>
    </row>
    <row r="2844">
      <c r="A2844" s="10" t="s">
        <v>37</v>
      </c>
      <c r="B2844" s="94">
        <f t="shared" si="5"/>
        <v>45536</v>
      </c>
      <c r="C2844" s="77" t="s">
        <v>1571</v>
      </c>
      <c r="D2844" s="13">
        <f>SUMIFS('Lançamentos de despesas'!$I:$I,'Lançamentos de despesas'!$G:$G,A2844,'Lançamentos de despesas'!$E:$E,"PAGO",'Lançamentos de despesas'!$C:$C,B2844)</f>
        <v>0</v>
      </c>
      <c r="E2844" s="15">
        <f t="shared" si="1"/>
        <v>2024</v>
      </c>
      <c r="F2844" s="15">
        <f t="shared" si="2"/>
        <v>9</v>
      </c>
      <c r="G2844" s="15">
        <f t="shared" si="3"/>
        <v>1</v>
      </c>
    </row>
    <row r="2845">
      <c r="A2845" s="10" t="s">
        <v>37</v>
      </c>
      <c r="B2845" s="94">
        <f t="shared" si="5"/>
        <v>45536</v>
      </c>
      <c r="C2845" s="77" t="s">
        <v>1572</v>
      </c>
      <c r="D2845" s="13">
        <f>D2842+D2843-D2844</f>
        <v>28995.03</v>
      </c>
      <c r="E2845" s="15">
        <f t="shared" si="1"/>
        <v>2024</v>
      </c>
      <c r="F2845" s="15">
        <f t="shared" si="2"/>
        <v>9</v>
      </c>
      <c r="G2845" s="15">
        <f t="shared" si="3"/>
        <v>1</v>
      </c>
    </row>
    <row r="2846">
      <c r="A2846" s="10" t="s">
        <v>37</v>
      </c>
      <c r="B2846" s="94">
        <f t="shared" si="5"/>
        <v>45537</v>
      </c>
      <c r="C2846" s="77" t="s">
        <v>1569</v>
      </c>
      <c r="D2846" s="13">
        <f>D2845</f>
        <v>28995.03</v>
      </c>
      <c r="E2846" s="15">
        <f t="shared" si="1"/>
        <v>2024</v>
      </c>
      <c r="F2846" s="15">
        <f t="shared" si="2"/>
        <v>9</v>
      </c>
      <c r="G2846" s="15">
        <f t="shared" si="3"/>
        <v>2</v>
      </c>
    </row>
    <row r="2847">
      <c r="A2847" s="10" t="s">
        <v>37</v>
      </c>
      <c r="B2847" s="94">
        <f t="shared" si="5"/>
        <v>45537</v>
      </c>
      <c r="C2847" s="77" t="s">
        <v>1570</v>
      </c>
      <c r="D2847" s="13">
        <f>SUMIFS('Lançamentos de receitas'!$E:$E,'Lançamentos de receitas'!$F:$F,"PAGO",'Lançamentos de receitas'!$C:$C,A2847,'Lançamentos de receitas'!$A:$A,B2847)</f>
        <v>428.99</v>
      </c>
      <c r="E2847" s="15">
        <f t="shared" si="1"/>
        <v>2024</v>
      </c>
      <c r="F2847" s="15">
        <f t="shared" si="2"/>
        <v>9</v>
      </c>
      <c r="G2847" s="15">
        <f t="shared" si="3"/>
        <v>2</v>
      </c>
    </row>
    <row r="2848">
      <c r="A2848" s="10" t="s">
        <v>37</v>
      </c>
      <c r="B2848" s="94">
        <f t="shared" si="5"/>
        <v>45537</v>
      </c>
      <c r="C2848" s="77" t="s">
        <v>1571</v>
      </c>
      <c r="D2848" s="13">
        <f>SUMIFS('Lançamentos de despesas'!$I:$I,'Lançamentos de despesas'!$G:$G,A2848,'Lançamentos de despesas'!$E:$E,"PAGO",'Lançamentos de despesas'!$C:$C,B2848)</f>
        <v>0</v>
      </c>
      <c r="E2848" s="15">
        <f t="shared" si="1"/>
        <v>2024</v>
      </c>
      <c r="F2848" s="15">
        <f t="shared" si="2"/>
        <v>9</v>
      </c>
      <c r="G2848" s="15">
        <f t="shared" si="3"/>
        <v>2</v>
      </c>
    </row>
    <row r="2849">
      <c r="A2849" s="10" t="s">
        <v>37</v>
      </c>
      <c r="B2849" s="94">
        <f t="shared" si="5"/>
        <v>45537</v>
      </c>
      <c r="C2849" s="77" t="s">
        <v>1572</v>
      </c>
      <c r="D2849" s="13">
        <f>D2846+D2847-D2848</f>
        <v>29424.02</v>
      </c>
      <c r="E2849" s="15">
        <f t="shared" si="1"/>
        <v>2024</v>
      </c>
      <c r="F2849" s="15">
        <f t="shared" si="2"/>
        <v>9</v>
      </c>
      <c r="G2849" s="15">
        <f t="shared" si="3"/>
        <v>2</v>
      </c>
    </row>
    <row r="2850">
      <c r="A2850" s="10" t="s">
        <v>37</v>
      </c>
      <c r="B2850" s="94">
        <f t="shared" si="5"/>
        <v>45538</v>
      </c>
      <c r="C2850" s="77" t="s">
        <v>1569</v>
      </c>
      <c r="D2850" s="13">
        <f>D2849</f>
        <v>29424.02</v>
      </c>
      <c r="E2850" s="15">
        <f t="shared" si="1"/>
        <v>2024</v>
      </c>
      <c r="F2850" s="15">
        <f t="shared" si="2"/>
        <v>9</v>
      </c>
      <c r="G2850" s="15">
        <f t="shared" si="3"/>
        <v>3</v>
      </c>
    </row>
    <row r="2851">
      <c r="A2851" s="10" t="s">
        <v>37</v>
      </c>
      <c r="B2851" s="94">
        <f t="shared" si="5"/>
        <v>45538</v>
      </c>
      <c r="C2851" s="77" t="s">
        <v>1570</v>
      </c>
      <c r="D2851" s="13">
        <f>SUMIFS('Lançamentos de receitas'!$E:$E,'Lançamentos de receitas'!$F:$F,"PAGO",'Lançamentos de receitas'!$C:$C,A2851,'Lançamentos de receitas'!$A:$A,B2851)</f>
        <v>1347.65</v>
      </c>
      <c r="E2851" s="15">
        <f t="shared" si="1"/>
        <v>2024</v>
      </c>
      <c r="F2851" s="15">
        <f t="shared" si="2"/>
        <v>9</v>
      </c>
      <c r="G2851" s="15">
        <f t="shared" si="3"/>
        <v>3</v>
      </c>
    </row>
    <row r="2852">
      <c r="A2852" s="10" t="s">
        <v>37</v>
      </c>
      <c r="B2852" s="94">
        <f t="shared" si="5"/>
        <v>45538</v>
      </c>
      <c r="C2852" s="77" t="s">
        <v>1571</v>
      </c>
      <c r="D2852" s="13">
        <f>SUMIFS('Lançamentos de despesas'!$I:$I,'Lançamentos de despesas'!$G:$G,A2852,'Lançamentos de despesas'!$E:$E,"PAGO",'Lançamentos de despesas'!$C:$C,B2852)</f>
        <v>0</v>
      </c>
      <c r="E2852" s="15">
        <f t="shared" si="1"/>
        <v>2024</v>
      </c>
      <c r="F2852" s="15">
        <f t="shared" si="2"/>
        <v>9</v>
      </c>
      <c r="G2852" s="15">
        <f t="shared" si="3"/>
        <v>3</v>
      </c>
    </row>
    <row r="2853">
      <c r="A2853" s="10" t="s">
        <v>37</v>
      </c>
      <c r="B2853" s="94">
        <f t="shared" si="5"/>
        <v>45538</v>
      </c>
      <c r="C2853" s="77" t="s">
        <v>1572</v>
      </c>
      <c r="D2853" s="13">
        <f>D2850+D2851-D2852</f>
        <v>30771.67</v>
      </c>
      <c r="E2853" s="15">
        <f t="shared" si="1"/>
        <v>2024</v>
      </c>
      <c r="F2853" s="15">
        <f t="shared" si="2"/>
        <v>9</v>
      </c>
      <c r="G2853" s="15">
        <f t="shared" si="3"/>
        <v>3</v>
      </c>
    </row>
    <row r="2854">
      <c r="A2854" s="10" t="s">
        <v>37</v>
      </c>
      <c r="B2854" s="94">
        <f t="shared" si="5"/>
        <v>45539</v>
      </c>
      <c r="C2854" s="77" t="s">
        <v>1569</v>
      </c>
      <c r="D2854" s="13">
        <f>D2853</f>
        <v>30771.67</v>
      </c>
      <c r="E2854" s="15">
        <f t="shared" si="1"/>
        <v>2024</v>
      </c>
      <c r="F2854" s="15">
        <f t="shared" si="2"/>
        <v>9</v>
      </c>
      <c r="G2854" s="15">
        <f t="shared" si="3"/>
        <v>4</v>
      </c>
    </row>
    <row r="2855">
      <c r="A2855" s="10" t="s">
        <v>37</v>
      </c>
      <c r="B2855" s="94">
        <f t="shared" si="5"/>
        <v>45539</v>
      </c>
      <c r="C2855" s="77" t="s">
        <v>1570</v>
      </c>
      <c r="D2855" s="13">
        <f>SUMIFS('Lançamentos de receitas'!$E:$E,'Lançamentos de receitas'!$F:$F,"PAGO",'Lançamentos de receitas'!$C:$C,A2855,'Lançamentos de receitas'!$A:$A,B2855)</f>
        <v>1298.27</v>
      </c>
      <c r="E2855" s="15">
        <f t="shared" si="1"/>
        <v>2024</v>
      </c>
      <c r="F2855" s="15">
        <f t="shared" si="2"/>
        <v>9</v>
      </c>
      <c r="G2855" s="15">
        <f t="shared" si="3"/>
        <v>4</v>
      </c>
    </row>
    <row r="2856">
      <c r="A2856" s="10" t="s">
        <v>37</v>
      </c>
      <c r="B2856" s="94">
        <f t="shared" si="5"/>
        <v>45539</v>
      </c>
      <c r="C2856" s="77" t="s">
        <v>1571</v>
      </c>
      <c r="D2856" s="13">
        <f>SUMIFS('Lançamentos de despesas'!$I:$I,'Lançamentos de despesas'!$G:$G,A2856,'Lançamentos de despesas'!$E:$E,"PAGO",'Lançamentos de despesas'!$C:$C,B2856)</f>
        <v>0</v>
      </c>
      <c r="E2856" s="15">
        <f t="shared" si="1"/>
        <v>2024</v>
      </c>
      <c r="F2856" s="15">
        <f t="shared" si="2"/>
        <v>9</v>
      </c>
      <c r="G2856" s="15">
        <f t="shared" si="3"/>
        <v>4</v>
      </c>
    </row>
    <row r="2857">
      <c r="A2857" s="10" t="s">
        <v>37</v>
      </c>
      <c r="B2857" s="94">
        <f t="shared" si="5"/>
        <v>45539</v>
      </c>
      <c r="C2857" s="77" t="s">
        <v>1572</v>
      </c>
      <c r="D2857" s="13">
        <f>D2854+D2855-D2856</f>
        <v>32069.94</v>
      </c>
      <c r="E2857" s="15">
        <f t="shared" si="1"/>
        <v>2024</v>
      </c>
      <c r="F2857" s="15">
        <f t="shared" si="2"/>
        <v>9</v>
      </c>
      <c r="G2857" s="15">
        <f t="shared" si="3"/>
        <v>4</v>
      </c>
    </row>
    <row r="2858">
      <c r="A2858" s="10" t="s">
        <v>37</v>
      </c>
      <c r="B2858" s="94">
        <f t="shared" si="5"/>
        <v>45540</v>
      </c>
      <c r="C2858" s="77" t="s">
        <v>1569</v>
      </c>
      <c r="D2858" s="13">
        <f>D2857</f>
        <v>32069.94</v>
      </c>
      <c r="E2858" s="15">
        <f t="shared" si="1"/>
        <v>2024</v>
      </c>
      <c r="F2858" s="15">
        <f t="shared" si="2"/>
        <v>9</v>
      </c>
      <c r="G2858" s="15">
        <f t="shared" si="3"/>
        <v>5</v>
      </c>
    </row>
    <row r="2859">
      <c r="A2859" s="10" t="s">
        <v>37</v>
      </c>
      <c r="B2859" s="94">
        <f t="shared" si="5"/>
        <v>45540</v>
      </c>
      <c r="C2859" s="77" t="s">
        <v>1570</v>
      </c>
      <c r="D2859" s="13">
        <f>SUMIFS('Lançamentos de receitas'!$E:$E,'Lançamentos de receitas'!$F:$F,"PAGO",'Lançamentos de receitas'!$C:$C,A2859,'Lançamentos de receitas'!$A:$A,B2859)</f>
        <v>1245.63</v>
      </c>
      <c r="E2859" s="15">
        <f t="shared" si="1"/>
        <v>2024</v>
      </c>
      <c r="F2859" s="15">
        <f t="shared" si="2"/>
        <v>9</v>
      </c>
      <c r="G2859" s="15">
        <f t="shared" si="3"/>
        <v>5</v>
      </c>
    </row>
    <row r="2860">
      <c r="A2860" s="10" t="s">
        <v>37</v>
      </c>
      <c r="B2860" s="94">
        <f t="shared" si="5"/>
        <v>45540</v>
      </c>
      <c r="C2860" s="77" t="s">
        <v>1571</v>
      </c>
      <c r="D2860" s="13">
        <f>SUMIFS('Lançamentos de despesas'!$I:$I,'Lançamentos de despesas'!$G:$G,A2860,'Lançamentos de despesas'!$E:$E,"PAGO",'Lançamentos de despesas'!$C:$C,B2860)</f>
        <v>0</v>
      </c>
      <c r="E2860" s="15">
        <f t="shared" si="1"/>
        <v>2024</v>
      </c>
      <c r="F2860" s="15">
        <f t="shared" si="2"/>
        <v>9</v>
      </c>
      <c r="G2860" s="15">
        <f t="shared" si="3"/>
        <v>5</v>
      </c>
    </row>
    <row r="2861">
      <c r="A2861" s="10" t="s">
        <v>37</v>
      </c>
      <c r="B2861" s="94">
        <f t="shared" si="5"/>
        <v>45540</v>
      </c>
      <c r="C2861" s="77" t="s">
        <v>1572</v>
      </c>
      <c r="D2861" s="13">
        <f>D2858+D2859-D2860</f>
        <v>33315.57</v>
      </c>
      <c r="E2861" s="15">
        <f t="shared" si="1"/>
        <v>2024</v>
      </c>
      <c r="F2861" s="15">
        <f t="shared" si="2"/>
        <v>9</v>
      </c>
      <c r="G2861" s="15">
        <f t="shared" si="3"/>
        <v>5</v>
      </c>
    </row>
    <row r="2862">
      <c r="A2862" s="10" t="s">
        <v>37</v>
      </c>
      <c r="B2862" s="94">
        <f t="shared" si="5"/>
        <v>45541</v>
      </c>
      <c r="C2862" s="77" t="s">
        <v>1569</v>
      </c>
      <c r="D2862" s="13">
        <f>D2861</f>
        <v>33315.57</v>
      </c>
      <c r="E2862" s="15">
        <f t="shared" si="1"/>
        <v>2024</v>
      </c>
      <c r="F2862" s="15">
        <f t="shared" si="2"/>
        <v>9</v>
      </c>
      <c r="G2862" s="15">
        <f t="shared" si="3"/>
        <v>6</v>
      </c>
    </row>
    <row r="2863">
      <c r="A2863" s="10" t="s">
        <v>37</v>
      </c>
      <c r="B2863" s="94">
        <f t="shared" si="5"/>
        <v>45541</v>
      </c>
      <c r="C2863" s="77" t="s">
        <v>1570</v>
      </c>
      <c r="D2863" s="13">
        <f>SUMIFS('Lançamentos de receitas'!$E:$E,'Lançamentos de receitas'!$F:$F,"PAGO",'Lançamentos de receitas'!$C:$C,A2863,'Lançamentos de receitas'!$A:$A,B2863)</f>
        <v>1719.93</v>
      </c>
      <c r="E2863" s="15">
        <f t="shared" si="1"/>
        <v>2024</v>
      </c>
      <c r="F2863" s="15">
        <f t="shared" si="2"/>
        <v>9</v>
      </c>
      <c r="G2863" s="15">
        <f t="shared" si="3"/>
        <v>6</v>
      </c>
    </row>
    <row r="2864">
      <c r="A2864" s="10" t="s">
        <v>37</v>
      </c>
      <c r="B2864" s="94">
        <f t="shared" si="5"/>
        <v>45541</v>
      </c>
      <c r="C2864" s="77" t="s">
        <v>1571</v>
      </c>
      <c r="D2864" s="13">
        <f>SUMIFS('Lançamentos de despesas'!$I:$I,'Lançamentos de despesas'!$G:$G,A2864,'Lançamentos de despesas'!$E:$E,"PAGO",'Lançamentos de despesas'!$C:$C,B2864)</f>
        <v>33728.48</v>
      </c>
      <c r="E2864" s="15">
        <f t="shared" si="1"/>
        <v>2024</v>
      </c>
      <c r="F2864" s="15">
        <f t="shared" si="2"/>
        <v>9</v>
      </c>
      <c r="G2864" s="15">
        <f t="shared" si="3"/>
        <v>6</v>
      </c>
    </row>
    <row r="2865">
      <c r="A2865" s="10" t="s">
        <v>37</v>
      </c>
      <c r="B2865" s="94">
        <f t="shared" si="5"/>
        <v>45541</v>
      </c>
      <c r="C2865" s="77" t="s">
        <v>1572</v>
      </c>
      <c r="D2865" s="13">
        <f>D2862+D2863-D2864</f>
        <v>1307.02</v>
      </c>
      <c r="E2865" s="15">
        <f t="shared" si="1"/>
        <v>2024</v>
      </c>
      <c r="F2865" s="15">
        <f t="shared" si="2"/>
        <v>9</v>
      </c>
      <c r="G2865" s="15">
        <f t="shared" si="3"/>
        <v>6</v>
      </c>
    </row>
    <row r="2866">
      <c r="A2866" s="10" t="s">
        <v>37</v>
      </c>
      <c r="B2866" s="94">
        <f t="shared" si="5"/>
        <v>45542</v>
      </c>
      <c r="C2866" s="77" t="s">
        <v>1569</v>
      </c>
      <c r="D2866" s="13">
        <f>D2865</f>
        <v>1307.02</v>
      </c>
      <c r="E2866" s="15">
        <f t="shared" si="1"/>
        <v>2024</v>
      </c>
      <c r="F2866" s="15">
        <f t="shared" si="2"/>
        <v>9</v>
      </c>
      <c r="G2866" s="15">
        <f t="shared" si="3"/>
        <v>7</v>
      </c>
    </row>
    <row r="2867">
      <c r="A2867" s="10" t="s">
        <v>37</v>
      </c>
      <c r="B2867" s="94">
        <f t="shared" si="5"/>
        <v>45542</v>
      </c>
      <c r="C2867" s="77" t="s">
        <v>1570</v>
      </c>
      <c r="D2867" s="13">
        <f>SUMIFS('Lançamentos de receitas'!$E:$E,'Lançamentos de receitas'!$F:$F,"PAGO",'Lançamentos de receitas'!$C:$C,A2867,'Lançamentos de receitas'!$A:$A,B2867)</f>
        <v>1246.28</v>
      </c>
      <c r="E2867" s="15">
        <f t="shared" si="1"/>
        <v>2024</v>
      </c>
      <c r="F2867" s="15">
        <f t="shared" si="2"/>
        <v>9</v>
      </c>
      <c r="G2867" s="15">
        <f t="shared" si="3"/>
        <v>7</v>
      </c>
    </row>
    <row r="2868">
      <c r="A2868" s="10" t="s">
        <v>37</v>
      </c>
      <c r="B2868" s="94">
        <f t="shared" si="5"/>
        <v>45542</v>
      </c>
      <c r="C2868" s="77" t="s">
        <v>1571</v>
      </c>
      <c r="D2868" s="13">
        <f>SUMIFS('Lançamentos de despesas'!$I:$I,'Lançamentos de despesas'!$G:$G,A2868,'Lançamentos de despesas'!$E:$E,"PAGO",'Lançamentos de despesas'!$C:$C,B2868)</f>
        <v>0</v>
      </c>
      <c r="E2868" s="15">
        <f t="shared" si="1"/>
        <v>2024</v>
      </c>
      <c r="F2868" s="15">
        <f t="shared" si="2"/>
        <v>9</v>
      </c>
      <c r="G2868" s="15">
        <f t="shared" si="3"/>
        <v>7</v>
      </c>
    </row>
    <row r="2869">
      <c r="A2869" s="10" t="s">
        <v>37</v>
      </c>
      <c r="B2869" s="94">
        <f t="shared" si="5"/>
        <v>45542</v>
      </c>
      <c r="C2869" s="77" t="s">
        <v>1572</v>
      </c>
      <c r="D2869" s="13">
        <f>D2866+D2867-D2868</f>
        <v>2553.3</v>
      </c>
      <c r="E2869" s="15">
        <f t="shared" si="1"/>
        <v>2024</v>
      </c>
      <c r="F2869" s="15">
        <f t="shared" si="2"/>
        <v>9</v>
      </c>
      <c r="G2869" s="15">
        <f t="shared" si="3"/>
        <v>7</v>
      </c>
    </row>
    <row r="2870">
      <c r="A2870" s="10" t="s">
        <v>37</v>
      </c>
      <c r="B2870" s="94">
        <f t="shared" si="5"/>
        <v>45543</v>
      </c>
      <c r="C2870" s="77" t="s">
        <v>1569</v>
      </c>
      <c r="D2870" s="13">
        <f>D2869</f>
        <v>2553.3</v>
      </c>
      <c r="E2870" s="15">
        <f t="shared" si="1"/>
        <v>2024</v>
      </c>
      <c r="F2870" s="15">
        <f t="shared" si="2"/>
        <v>9</v>
      </c>
      <c r="G2870" s="15">
        <f t="shared" si="3"/>
        <v>8</v>
      </c>
    </row>
    <row r="2871">
      <c r="A2871" s="10" t="s">
        <v>37</v>
      </c>
      <c r="B2871" s="94">
        <f t="shared" si="5"/>
        <v>45543</v>
      </c>
      <c r="C2871" s="77" t="s">
        <v>1570</v>
      </c>
      <c r="D2871" s="13">
        <f>SUMIFS('Lançamentos de receitas'!$E:$E,'Lançamentos de receitas'!$F:$F,"PAGO",'Lançamentos de receitas'!$C:$C,A2871,'Lançamentos de receitas'!$A:$A,B2871)</f>
        <v>1173.59</v>
      </c>
      <c r="E2871" s="15">
        <f t="shared" si="1"/>
        <v>2024</v>
      </c>
      <c r="F2871" s="15">
        <f t="shared" si="2"/>
        <v>9</v>
      </c>
      <c r="G2871" s="15">
        <f t="shared" si="3"/>
        <v>8</v>
      </c>
    </row>
    <row r="2872">
      <c r="A2872" s="10" t="s">
        <v>37</v>
      </c>
      <c r="B2872" s="94">
        <f t="shared" si="5"/>
        <v>45543</v>
      </c>
      <c r="C2872" s="77" t="s">
        <v>1571</v>
      </c>
      <c r="D2872" s="13">
        <f>SUMIFS('Lançamentos de despesas'!$I:$I,'Lançamentos de despesas'!$G:$G,A2872,'Lançamentos de despesas'!$E:$E,"PAGO",'Lançamentos de despesas'!$C:$C,B2872)</f>
        <v>0</v>
      </c>
      <c r="E2872" s="15">
        <f t="shared" si="1"/>
        <v>2024</v>
      </c>
      <c r="F2872" s="15">
        <f t="shared" si="2"/>
        <v>9</v>
      </c>
      <c r="G2872" s="15">
        <f t="shared" si="3"/>
        <v>8</v>
      </c>
    </row>
    <row r="2873">
      <c r="A2873" s="10" t="s">
        <v>37</v>
      </c>
      <c r="B2873" s="94">
        <f t="shared" si="5"/>
        <v>45543</v>
      </c>
      <c r="C2873" s="77" t="s">
        <v>1572</v>
      </c>
      <c r="D2873" s="13">
        <f>D2870+D2871-D2872</f>
        <v>3726.89</v>
      </c>
      <c r="E2873" s="15">
        <f t="shared" si="1"/>
        <v>2024</v>
      </c>
      <c r="F2873" s="15">
        <f t="shared" si="2"/>
        <v>9</v>
      </c>
      <c r="G2873" s="15">
        <f t="shared" si="3"/>
        <v>8</v>
      </c>
    </row>
    <row r="2874">
      <c r="A2874" s="10" t="s">
        <v>37</v>
      </c>
      <c r="B2874" s="94">
        <f t="shared" si="5"/>
        <v>45544</v>
      </c>
      <c r="C2874" s="77" t="s">
        <v>1569</v>
      </c>
      <c r="D2874" s="13">
        <f>D2873</f>
        <v>3726.89</v>
      </c>
      <c r="E2874" s="15">
        <f t="shared" si="1"/>
        <v>2024</v>
      </c>
      <c r="F2874" s="15">
        <f t="shared" si="2"/>
        <v>9</v>
      </c>
      <c r="G2874" s="15">
        <f t="shared" si="3"/>
        <v>9</v>
      </c>
    </row>
    <row r="2875">
      <c r="A2875" s="10" t="s">
        <v>37</v>
      </c>
      <c r="B2875" s="94">
        <f t="shared" si="5"/>
        <v>45544</v>
      </c>
      <c r="C2875" s="77" t="s">
        <v>1570</v>
      </c>
      <c r="D2875" s="13">
        <f>SUMIFS('Lançamentos de receitas'!$E:$E,'Lançamentos de receitas'!$F:$F,"PAGO",'Lançamentos de receitas'!$C:$C,A2875,'Lançamentos de receitas'!$A:$A,B2875)</f>
        <v>425.91</v>
      </c>
      <c r="E2875" s="15">
        <f t="shared" si="1"/>
        <v>2024</v>
      </c>
      <c r="F2875" s="15">
        <f t="shared" si="2"/>
        <v>9</v>
      </c>
      <c r="G2875" s="15">
        <f t="shared" si="3"/>
        <v>9</v>
      </c>
    </row>
    <row r="2876">
      <c r="A2876" s="10" t="s">
        <v>37</v>
      </c>
      <c r="B2876" s="94">
        <f t="shared" si="5"/>
        <v>45544</v>
      </c>
      <c r="C2876" s="77" t="s">
        <v>1571</v>
      </c>
      <c r="D2876" s="13">
        <f>SUMIFS('Lançamentos de despesas'!$I:$I,'Lançamentos de despesas'!$G:$G,A2876,'Lançamentos de despesas'!$E:$E,"PAGO",'Lançamentos de despesas'!$C:$C,B2876)</f>
        <v>0</v>
      </c>
      <c r="E2876" s="15">
        <f t="shared" si="1"/>
        <v>2024</v>
      </c>
      <c r="F2876" s="15">
        <f t="shared" si="2"/>
        <v>9</v>
      </c>
      <c r="G2876" s="15">
        <f t="shared" si="3"/>
        <v>9</v>
      </c>
    </row>
    <row r="2877">
      <c r="A2877" s="10" t="s">
        <v>37</v>
      </c>
      <c r="B2877" s="94">
        <f t="shared" si="5"/>
        <v>45544</v>
      </c>
      <c r="C2877" s="77" t="s">
        <v>1572</v>
      </c>
      <c r="D2877" s="13">
        <f>D2874+D2875-D2876</f>
        <v>4152.8</v>
      </c>
      <c r="E2877" s="15">
        <f t="shared" si="1"/>
        <v>2024</v>
      </c>
      <c r="F2877" s="15">
        <f t="shared" si="2"/>
        <v>9</v>
      </c>
      <c r="G2877" s="15">
        <f t="shared" si="3"/>
        <v>9</v>
      </c>
    </row>
    <row r="2878">
      <c r="A2878" s="10" t="s">
        <v>37</v>
      </c>
      <c r="B2878" s="94">
        <f t="shared" si="5"/>
        <v>45545</v>
      </c>
      <c r="C2878" s="77" t="s">
        <v>1569</v>
      </c>
      <c r="D2878" s="13">
        <f>D2877</f>
        <v>4152.8</v>
      </c>
      <c r="E2878" s="15">
        <f t="shared" si="1"/>
        <v>2024</v>
      </c>
      <c r="F2878" s="15">
        <f t="shared" si="2"/>
        <v>9</v>
      </c>
      <c r="G2878" s="15">
        <f t="shared" si="3"/>
        <v>10</v>
      </c>
    </row>
    <row r="2879">
      <c r="A2879" s="10" t="s">
        <v>37</v>
      </c>
      <c r="B2879" s="94">
        <f t="shared" si="5"/>
        <v>45545</v>
      </c>
      <c r="C2879" s="77" t="s">
        <v>1570</v>
      </c>
      <c r="D2879" s="13">
        <f>SUMIFS('Lançamentos de receitas'!$E:$E,'Lançamentos de receitas'!$F:$F,"PAGO",'Lançamentos de receitas'!$C:$C,A2879,'Lançamentos de receitas'!$A:$A,B2879)</f>
        <v>820.34</v>
      </c>
      <c r="E2879" s="15">
        <f t="shared" si="1"/>
        <v>2024</v>
      </c>
      <c r="F2879" s="15">
        <f t="shared" si="2"/>
        <v>9</v>
      </c>
      <c r="G2879" s="15">
        <f t="shared" si="3"/>
        <v>10</v>
      </c>
    </row>
    <row r="2880">
      <c r="A2880" s="10" t="s">
        <v>37</v>
      </c>
      <c r="B2880" s="94">
        <f t="shared" si="5"/>
        <v>45545</v>
      </c>
      <c r="C2880" s="77" t="s">
        <v>1571</v>
      </c>
      <c r="D2880" s="13">
        <f>SUMIFS('Lançamentos de despesas'!$I:$I,'Lançamentos de despesas'!$G:$G,A2880,'Lançamentos de despesas'!$E:$E,"PAGO",'Lançamentos de despesas'!$C:$C,B2880)</f>
        <v>397</v>
      </c>
      <c r="E2880" s="15">
        <f t="shared" si="1"/>
        <v>2024</v>
      </c>
      <c r="F2880" s="15">
        <f t="shared" si="2"/>
        <v>9</v>
      </c>
      <c r="G2880" s="15">
        <f t="shared" si="3"/>
        <v>10</v>
      </c>
    </row>
    <row r="2881">
      <c r="A2881" s="10" t="s">
        <v>37</v>
      </c>
      <c r="B2881" s="94">
        <f t="shared" si="5"/>
        <v>45545</v>
      </c>
      <c r="C2881" s="77" t="s">
        <v>1572</v>
      </c>
      <c r="D2881" s="13">
        <f>D2878+D2879-D2880</f>
        <v>4576.14</v>
      </c>
      <c r="E2881" s="15">
        <f t="shared" si="1"/>
        <v>2024</v>
      </c>
      <c r="F2881" s="15">
        <f t="shared" si="2"/>
        <v>9</v>
      </c>
      <c r="G2881" s="15">
        <f t="shared" si="3"/>
        <v>10</v>
      </c>
    </row>
    <row r="2882">
      <c r="A2882" s="10" t="s">
        <v>37</v>
      </c>
      <c r="B2882" s="94">
        <f t="shared" si="5"/>
        <v>45546</v>
      </c>
      <c r="C2882" s="77" t="s">
        <v>1569</v>
      </c>
      <c r="D2882" s="13">
        <f>D2881</f>
        <v>4576.14</v>
      </c>
      <c r="E2882" s="15">
        <f t="shared" si="1"/>
        <v>2024</v>
      </c>
      <c r="F2882" s="15">
        <f t="shared" si="2"/>
        <v>9</v>
      </c>
      <c r="G2882" s="15">
        <f t="shared" si="3"/>
        <v>11</v>
      </c>
    </row>
    <row r="2883">
      <c r="A2883" s="10" t="s">
        <v>37</v>
      </c>
      <c r="B2883" s="94">
        <f t="shared" si="5"/>
        <v>45546</v>
      </c>
      <c r="C2883" s="77" t="s">
        <v>1570</v>
      </c>
      <c r="D2883" s="13">
        <f>SUMIFS('Lançamentos de receitas'!$E:$E,'Lançamentos de receitas'!$F:$F,"PAGO",'Lançamentos de receitas'!$C:$C,A2883,'Lançamentos de receitas'!$A:$A,B2883)</f>
        <v>1150.57</v>
      </c>
      <c r="E2883" s="15">
        <f t="shared" si="1"/>
        <v>2024</v>
      </c>
      <c r="F2883" s="15">
        <f t="shared" si="2"/>
        <v>9</v>
      </c>
      <c r="G2883" s="15">
        <f t="shared" si="3"/>
        <v>11</v>
      </c>
    </row>
    <row r="2884">
      <c r="A2884" s="10" t="s">
        <v>37</v>
      </c>
      <c r="B2884" s="94">
        <f t="shared" si="5"/>
        <v>45546</v>
      </c>
      <c r="C2884" s="77" t="s">
        <v>1571</v>
      </c>
      <c r="D2884" s="13">
        <f>SUMIFS('Lançamentos de despesas'!$I:$I,'Lançamentos de despesas'!$G:$G,A2884,'Lançamentos de despesas'!$E:$E,"PAGO",'Lançamentos de despesas'!$C:$C,B2884)</f>
        <v>0</v>
      </c>
      <c r="E2884" s="15">
        <f t="shared" si="1"/>
        <v>2024</v>
      </c>
      <c r="F2884" s="15">
        <f t="shared" si="2"/>
        <v>9</v>
      </c>
      <c r="G2884" s="15">
        <f t="shared" si="3"/>
        <v>11</v>
      </c>
    </row>
    <row r="2885">
      <c r="A2885" s="10" t="s">
        <v>37</v>
      </c>
      <c r="B2885" s="94">
        <f t="shared" si="5"/>
        <v>45546</v>
      </c>
      <c r="C2885" s="77" t="s">
        <v>1572</v>
      </c>
      <c r="D2885" s="13">
        <f>D2882+D2883-D2884</f>
        <v>5726.71</v>
      </c>
      <c r="E2885" s="15">
        <f t="shared" si="1"/>
        <v>2024</v>
      </c>
      <c r="F2885" s="15">
        <f t="shared" si="2"/>
        <v>9</v>
      </c>
      <c r="G2885" s="15">
        <f t="shared" si="3"/>
        <v>11</v>
      </c>
    </row>
    <row r="2886">
      <c r="A2886" s="10" t="s">
        <v>37</v>
      </c>
      <c r="B2886" s="94">
        <f t="shared" si="5"/>
        <v>45547</v>
      </c>
      <c r="C2886" s="77" t="s">
        <v>1569</v>
      </c>
      <c r="D2886" s="13">
        <f>D2885</f>
        <v>5726.71</v>
      </c>
      <c r="E2886" s="15">
        <f t="shared" si="1"/>
        <v>2024</v>
      </c>
      <c r="F2886" s="15">
        <f t="shared" si="2"/>
        <v>9</v>
      </c>
      <c r="G2886" s="15">
        <f t="shared" si="3"/>
        <v>12</v>
      </c>
    </row>
    <row r="2887">
      <c r="A2887" s="10" t="s">
        <v>37</v>
      </c>
      <c r="B2887" s="94">
        <f t="shared" si="5"/>
        <v>45547</v>
      </c>
      <c r="C2887" s="77" t="s">
        <v>1570</v>
      </c>
      <c r="D2887" s="13">
        <f>SUMIFS('Lançamentos de receitas'!$E:$E,'Lançamentos de receitas'!$F:$F,"PAGO",'Lançamentos de receitas'!$C:$C,A2887,'Lançamentos de receitas'!$A:$A,B2887)</f>
        <v>1498.03</v>
      </c>
      <c r="E2887" s="15">
        <f t="shared" si="1"/>
        <v>2024</v>
      </c>
      <c r="F2887" s="15">
        <f t="shared" si="2"/>
        <v>9</v>
      </c>
      <c r="G2887" s="15">
        <f t="shared" si="3"/>
        <v>12</v>
      </c>
    </row>
    <row r="2888">
      <c r="A2888" s="10" t="s">
        <v>37</v>
      </c>
      <c r="B2888" s="94">
        <f t="shared" si="5"/>
        <v>45547</v>
      </c>
      <c r="C2888" s="77" t="s">
        <v>1571</v>
      </c>
      <c r="D2888" s="13">
        <f>SUMIFS('Lançamentos de despesas'!$I:$I,'Lançamentos de despesas'!$G:$G,A2888,'Lançamentos de despesas'!$E:$E,"PAGO",'Lançamentos de despesas'!$C:$C,B2888)</f>
        <v>50</v>
      </c>
      <c r="E2888" s="15">
        <f t="shared" si="1"/>
        <v>2024</v>
      </c>
      <c r="F2888" s="15">
        <f t="shared" si="2"/>
        <v>9</v>
      </c>
      <c r="G2888" s="15">
        <f t="shared" si="3"/>
        <v>12</v>
      </c>
    </row>
    <row r="2889">
      <c r="A2889" s="10" t="s">
        <v>37</v>
      </c>
      <c r="B2889" s="94">
        <f t="shared" si="5"/>
        <v>45547</v>
      </c>
      <c r="C2889" s="77" t="s">
        <v>1572</v>
      </c>
      <c r="D2889" s="13">
        <f>D2886+D2887-D2888</f>
        <v>7174.74</v>
      </c>
      <c r="E2889" s="15">
        <f t="shared" si="1"/>
        <v>2024</v>
      </c>
      <c r="F2889" s="15">
        <f t="shared" si="2"/>
        <v>9</v>
      </c>
      <c r="G2889" s="15">
        <f t="shared" si="3"/>
        <v>12</v>
      </c>
    </row>
    <row r="2890">
      <c r="A2890" s="10" t="s">
        <v>37</v>
      </c>
      <c r="B2890" s="94">
        <f t="shared" si="5"/>
        <v>45548</v>
      </c>
      <c r="C2890" s="77" t="s">
        <v>1569</v>
      </c>
      <c r="D2890" s="13">
        <f>D2889</f>
        <v>7174.74</v>
      </c>
      <c r="E2890" s="15">
        <f t="shared" si="1"/>
        <v>2024</v>
      </c>
      <c r="F2890" s="15">
        <f t="shared" si="2"/>
        <v>9</v>
      </c>
      <c r="G2890" s="15">
        <f t="shared" si="3"/>
        <v>13</v>
      </c>
    </row>
    <row r="2891">
      <c r="A2891" s="10" t="s">
        <v>37</v>
      </c>
      <c r="B2891" s="94">
        <f t="shared" si="5"/>
        <v>45548</v>
      </c>
      <c r="C2891" s="77" t="s">
        <v>1570</v>
      </c>
      <c r="D2891" s="13">
        <f>SUMIFS('Lançamentos de receitas'!$E:$E,'Lançamentos de receitas'!$F:$F,"PAGO",'Lançamentos de receitas'!$C:$C,A2891,'Lançamentos de receitas'!$A:$A,B2891)</f>
        <v>1461.44</v>
      </c>
      <c r="E2891" s="15">
        <f t="shared" si="1"/>
        <v>2024</v>
      </c>
      <c r="F2891" s="15">
        <f t="shared" si="2"/>
        <v>9</v>
      </c>
      <c r="G2891" s="15">
        <f t="shared" si="3"/>
        <v>13</v>
      </c>
    </row>
    <row r="2892">
      <c r="A2892" s="10" t="s">
        <v>37</v>
      </c>
      <c r="B2892" s="94">
        <f t="shared" si="5"/>
        <v>45548</v>
      </c>
      <c r="C2892" s="77" t="s">
        <v>1571</v>
      </c>
      <c r="D2892" s="13">
        <f>SUMIFS('Lançamentos de despesas'!$I:$I,'Lançamentos de despesas'!$G:$G,A2892,'Lançamentos de despesas'!$E:$E,"PAGO",'Lançamentos de despesas'!$C:$C,B2892)</f>
        <v>780</v>
      </c>
      <c r="E2892" s="15">
        <f t="shared" si="1"/>
        <v>2024</v>
      </c>
      <c r="F2892" s="15">
        <f t="shared" si="2"/>
        <v>9</v>
      </c>
      <c r="G2892" s="15">
        <f t="shared" si="3"/>
        <v>13</v>
      </c>
    </row>
    <row r="2893">
      <c r="A2893" s="10" t="s">
        <v>37</v>
      </c>
      <c r="B2893" s="94">
        <f t="shared" si="5"/>
        <v>45548</v>
      </c>
      <c r="C2893" s="77" t="s">
        <v>1572</v>
      </c>
      <c r="D2893" s="13">
        <f>D2890+D2891-D2892</f>
        <v>7856.18</v>
      </c>
      <c r="E2893" s="15">
        <f t="shared" si="1"/>
        <v>2024</v>
      </c>
      <c r="F2893" s="15">
        <f t="shared" si="2"/>
        <v>9</v>
      </c>
      <c r="G2893" s="15">
        <f t="shared" si="3"/>
        <v>13</v>
      </c>
    </row>
    <row r="2894">
      <c r="A2894" s="10" t="s">
        <v>37</v>
      </c>
      <c r="B2894" s="94">
        <f t="shared" si="5"/>
        <v>45549</v>
      </c>
      <c r="C2894" s="77" t="s">
        <v>1569</v>
      </c>
      <c r="D2894" s="13">
        <f>D2893</f>
        <v>7856.18</v>
      </c>
      <c r="E2894" s="15">
        <f t="shared" si="1"/>
        <v>2024</v>
      </c>
      <c r="F2894" s="15">
        <f t="shared" si="2"/>
        <v>9</v>
      </c>
      <c r="G2894" s="15">
        <f t="shared" si="3"/>
        <v>14</v>
      </c>
    </row>
    <row r="2895">
      <c r="A2895" s="10" t="s">
        <v>37</v>
      </c>
      <c r="B2895" s="94">
        <f t="shared" si="5"/>
        <v>45549</v>
      </c>
      <c r="C2895" s="77" t="s">
        <v>1570</v>
      </c>
      <c r="D2895" s="13">
        <f>SUMIFS('Lançamentos de receitas'!$E:$E,'Lançamentos de receitas'!$F:$F,"PAGO",'Lançamentos de receitas'!$C:$C,A2895,'Lançamentos de receitas'!$A:$A,B2895)</f>
        <v>1896.02</v>
      </c>
      <c r="E2895" s="15">
        <f t="shared" si="1"/>
        <v>2024</v>
      </c>
      <c r="F2895" s="15">
        <f t="shared" si="2"/>
        <v>9</v>
      </c>
      <c r="G2895" s="15">
        <f t="shared" si="3"/>
        <v>14</v>
      </c>
    </row>
    <row r="2896">
      <c r="A2896" s="10" t="s">
        <v>37</v>
      </c>
      <c r="B2896" s="94">
        <f t="shared" si="5"/>
        <v>45549</v>
      </c>
      <c r="C2896" s="77" t="s">
        <v>1571</v>
      </c>
      <c r="D2896" s="13">
        <f>SUMIFS('Lançamentos de despesas'!$I:$I,'Lançamentos de despesas'!$G:$G,A2896,'Lançamentos de despesas'!$E:$E,"PAGO",'Lançamentos de despesas'!$C:$C,B2896)</f>
        <v>0</v>
      </c>
      <c r="E2896" s="15">
        <f t="shared" si="1"/>
        <v>2024</v>
      </c>
      <c r="F2896" s="15">
        <f t="shared" si="2"/>
        <v>9</v>
      </c>
      <c r="G2896" s="15">
        <f t="shared" si="3"/>
        <v>14</v>
      </c>
    </row>
    <row r="2897">
      <c r="A2897" s="10" t="s">
        <v>37</v>
      </c>
      <c r="B2897" s="94">
        <f t="shared" si="5"/>
        <v>45549</v>
      </c>
      <c r="C2897" s="77" t="s">
        <v>1572</v>
      </c>
      <c r="D2897" s="13">
        <f>D2894+D2895-D2896</f>
        <v>9752.2</v>
      </c>
      <c r="E2897" s="15">
        <f t="shared" si="1"/>
        <v>2024</v>
      </c>
      <c r="F2897" s="15">
        <f t="shared" si="2"/>
        <v>9</v>
      </c>
      <c r="G2897" s="15">
        <f t="shared" si="3"/>
        <v>14</v>
      </c>
    </row>
    <row r="2898">
      <c r="A2898" s="10" t="s">
        <v>37</v>
      </c>
      <c r="B2898" s="94">
        <f t="shared" si="5"/>
        <v>45550</v>
      </c>
      <c r="C2898" s="77" t="s">
        <v>1569</v>
      </c>
      <c r="D2898" s="13">
        <f>D2897</f>
        <v>9752.2</v>
      </c>
      <c r="E2898" s="15">
        <f t="shared" si="1"/>
        <v>2024</v>
      </c>
      <c r="F2898" s="15">
        <f t="shared" si="2"/>
        <v>9</v>
      </c>
      <c r="G2898" s="15">
        <f t="shared" si="3"/>
        <v>15</v>
      </c>
    </row>
    <row r="2899">
      <c r="A2899" s="10" t="s">
        <v>37</v>
      </c>
      <c r="B2899" s="94">
        <f t="shared" si="5"/>
        <v>45550</v>
      </c>
      <c r="C2899" s="77" t="s">
        <v>1570</v>
      </c>
      <c r="D2899" s="13">
        <f>SUMIFS('Lançamentos de receitas'!$E:$E,'Lançamentos de receitas'!$F:$F,"PAGO",'Lançamentos de receitas'!$C:$C,A2899,'Lançamentos de receitas'!$A:$A,B2899)</f>
        <v>397.72</v>
      </c>
      <c r="E2899" s="15">
        <f t="shared" si="1"/>
        <v>2024</v>
      </c>
      <c r="F2899" s="15">
        <f t="shared" si="2"/>
        <v>9</v>
      </c>
      <c r="G2899" s="15">
        <f t="shared" si="3"/>
        <v>15</v>
      </c>
    </row>
    <row r="2900">
      <c r="A2900" s="10" t="s">
        <v>37</v>
      </c>
      <c r="B2900" s="94">
        <f t="shared" si="5"/>
        <v>45550</v>
      </c>
      <c r="C2900" s="77" t="s">
        <v>1571</v>
      </c>
      <c r="D2900" s="13">
        <f>SUMIFS('Lançamentos de despesas'!$I:$I,'Lançamentos de despesas'!$G:$G,A2900,'Lançamentos de despesas'!$E:$E,"PAGO",'Lançamentos de despesas'!$C:$C,B2900)</f>
        <v>0</v>
      </c>
      <c r="E2900" s="15">
        <f t="shared" si="1"/>
        <v>2024</v>
      </c>
      <c r="F2900" s="15">
        <f t="shared" si="2"/>
        <v>9</v>
      </c>
      <c r="G2900" s="15">
        <f t="shared" si="3"/>
        <v>15</v>
      </c>
    </row>
    <row r="2901">
      <c r="A2901" s="10" t="s">
        <v>37</v>
      </c>
      <c r="B2901" s="94">
        <f t="shared" si="5"/>
        <v>45550</v>
      </c>
      <c r="C2901" s="77" t="s">
        <v>1572</v>
      </c>
      <c r="D2901" s="13">
        <f>D2898+D2899-D2900</f>
        <v>10149.92</v>
      </c>
      <c r="E2901" s="15">
        <f t="shared" si="1"/>
        <v>2024</v>
      </c>
      <c r="F2901" s="15">
        <f t="shared" si="2"/>
        <v>9</v>
      </c>
      <c r="G2901" s="15">
        <f t="shared" si="3"/>
        <v>15</v>
      </c>
    </row>
    <row r="2902">
      <c r="A2902" s="10" t="s">
        <v>37</v>
      </c>
      <c r="B2902" s="94">
        <f t="shared" si="5"/>
        <v>45551</v>
      </c>
      <c r="C2902" s="77" t="s">
        <v>1569</v>
      </c>
      <c r="D2902" s="13">
        <f>D2901</f>
        <v>10149.92</v>
      </c>
      <c r="E2902" s="15">
        <f t="shared" si="1"/>
        <v>2024</v>
      </c>
      <c r="F2902" s="15">
        <f t="shared" si="2"/>
        <v>9</v>
      </c>
      <c r="G2902" s="15">
        <f t="shared" si="3"/>
        <v>16</v>
      </c>
    </row>
    <row r="2903">
      <c r="A2903" s="10" t="s">
        <v>37</v>
      </c>
      <c r="B2903" s="94">
        <f t="shared" si="5"/>
        <v>45551</v>
      </c>
      <c r="C2903" s="77" t="s">
        <v>1570</v>
      </c>
      <c r="D2903" s="13">
        <f>SUMIFS('Lançamentos de receitas'!$E:$E,'Lançamentos de receitas'!$F:$F,"PAGO",'Lançamentos de receitas'!$C:$C,A2903,'Lançamentos de receitas'!$A:$A,B2903)</f>
        <v>393.26</v>
      </c>
      <c r="E2903" s="15">
        <f t="shared" si="1"/>
        <v>2024</v>
      </c>
      <c r="F2903" s="15">
        <f t="shared" si="2"/>
        <v>9</v>
      </c>
      <c r="G2903" s="15">
        <f t="shared" si="3"/>
        <v>16</v>
      </c>
    </row>
    <row r="2904">
      <c r="A2904" s="10" t="s">
        <v>37</v>
      </c>
      <c r="B2904" s="94">
        <f t="shared" si="5"/>
        <v>45551</v>
      </c>
      <c r="C2904" s="77" t="s">
        <v>1571</v>
      </c>
      <c r="D2904" s="13">
        <f>SUMIFS('Lançamentos de despesas'!$I:$I,'Lançamentos de despesas'!$G:$G,A2904,'Lançamentos de despesas'!$E:$E,"PAGO",'Lançamentos de despesas'!$C:$C,B2904)</f>
        <v>3530</v>
      </c>
      <c r="E2904" s="15">
        <f t="shared" si="1"/>
        <v>2024</v>
      </c>
      <c r="F2904" s="15">
        <f t="shared" si="2"/>
        <v>9</v>
      </c>
      <c r="G2904" s="15">
        <f t="shared" si="3"/>
        <v>16</v>
      </c>
    </row>
    <row r="2905">
      <c r="A2905" s="10" t="s">
        <v>37</v>
      </c>
      <c r="B2905" s="94">
        <f t="shared" si="5"/>
        <v>45551</v>
      </c>
      <c r="C2905" s="77" t="s">
        <v>1572</v>
      </c>
      <c r="D2905" s="13">
        <f>D2902+D2903-D2904</f>
        <v>7013.18</v>
      </c>
      <c r="E2905" s="15">
        <f t="shared" si="1"/>
        <v>2024</v>
      </c>
      <c r="F2905" s="15">
        <f t="shared" si="2"/>
        <v>9</v>
      </c>
      <c r="G2905" s="15">
        <f t="shared" si="3"/>
        <v>16</v>
      </c>
    </row>
    <row r="2906">
      <c r="A2906" s="10" t="s">
        <v>37</v>
      </c>
      <c r="B2906" s="94">
        <f t="shared" si="5"/>
        <v>45552</v>
      </c>
      <c r="C2906" s="77" t="s">
        <v>1569</v>
      </c>
      <c r="D2906" s="13">
        <f>D2905</f>
        <v>7013.18</v>
      </c>
      <c r="E2906" s="15">
        <f t="shared" si="1"/>
        <v>2024</v>
      </c>
      <c r="F2906" s="15">
        <f t="shared" si="2"/>
        <v>9</v>
      </c>
      <c r="G2906" s="15">
        <f t="shared" si="3"/>
        <v>17</v>
      </c>
    </row>
    <row r="2907">
      <c r="A2907" s="10" t="s">
        <v>37</v>
      </c>
      <c r="B2907" s="94">
        <f t="shared" si="5"/>
        <v>45552</v>
      </c>
      <c r="C2907" s="77" t="s">
        <v>1570</v>
      </c>
      <c r="D2907" s="13">
        <f>SUMIFS('Lançamentos de receitas'!$E:$E,'Lançamentos de receitas'!$F:$F,"PAGO",'Lançamentos de receitas'!$C:$C,A2907,'Lançamentos de receitas'!$A:$A,B2907)</f>
        <v>1146.25</v>
      </c>
      <c r="E2907" s="15">
        <f t="shared" si="1"/>
        <v>2024</v>
      </c>
      <c r="F2907" s="15">
        <f t="shared" si="2"/>
        <v>9</v>
      </c>
      <c r="G2907" s="15">
        <f t="shared" si="3"/>
        <v>17</v>
      </c>
    </row>
    <row r="2908">
      <c r="A2908" s="10" t="s">
        <v>37</v>
      </c>
      <c r="B2908" s="94">
        <f t="shared" si="5"/>
        <v>45552</v>
      </c>
      <c r="C2908" s="77" t="s">
        <v>1571</v>
      </c>
      <c r="D2908" s="13">
        <f>SUMIFS('Lançamentos de despesas'!$I:$I,'Lançamentos de despesas'!$G:$G,A2908,'Lançamentos de despesas'!$E:$E,"PAGO",'Lançamentos de despesas'!$C:$C,B2908)</f>
        <v>3000</v>
      </c>
      <c r="E2908" s="15">
        <f t="shared" si="1"/>
        <v>2024</v>
      </c>
      <c r="F2908" s="15">
        <f t="shared" si="2"/>
        <v>9</v>
      </c>
      <c r="G2908" s="15">
        <f t="shared" si="3"/>
        <v>17</v>
      </c>
    </row>
    <row r="2909">
      <c r="A2909" s="10" t="s">
        <v>37</v>
      </c>
      <c r="B2909" s="94">
        <f t="shared" si="5"/>
        <v>45552</v>
      </c>
      <c r="C2909" s="77" t="s">
        <v>1572</v>
      </c>
      <c r="D2909" s="13">
        <f>D2906+D2907-D2908</f>
        <v>5159.43</v>
      </c>
      <c r="E2909" s="15">
        <f t="shared" si="1"/>
        <v>2024</v>
      </c>
      <c r="F2909" s="15">
        <f t="shared" si="2"/>
        <v>9</v>
      </c>
      <c r="G2909" s="15">
        <f t="shared" si="3"/>
        <v>17</v>
      </c>
    </row>
    <row r="2910">
      <c r="A2910" s="10" t="s">
        <v>37</v>
      </c>
      <c r="B2910" s="94">
        <f t="shared" si="5"/>
        <v>45553</v>
      </c>
      <c r="C2910" s="77" t="s">
        <v>1569</v>
      </c>
      <c r="D2910" s="13">
        <f>D2909</f>
        <v>5159.43</v>
      </c>
      <c r="E2910" s="15">
        <f t="shared" si="1"/>
        <v>2024</v>
      </c>
      <c r="F2910" s="15">
        <f t="shared" si="2"/>
        <v>9</v>
      </c>
      <c r="G2910" s="15">
        <f t="shared" si="3"/>
        <v>18</v>
      </c>
    </row>
    <row r="2911">
      <c r="A2911" s="10" t="s">
        <v>37</v>
      </c>
      <c r="B2911" s="94">
        <f t="shared" si="5"/>
        <v>45553</v>
      </c>
      <c r="C2911" s="77" t="s">
        <v>1570</v>
      </c>
      <c r="D2911" s="13">
        <f>SUMIFS('Lançamentos de receitas'!$E:$E,'Lançamentos de receitas'!$F:$F,"PAGO",'Lançamentos de receitas'!$C:$C,A2911,'Lançamentos de receitas'!$A:$A,B2911)</f>
        <v>909.85</v>
      </c>
      <c r="E2911" s="15">
        <f t="shared" si="1"/>
        <v>2024</v>
      </c>
      <c r="F2911" s="15">
        <f t="shared" si="2"/>
        <v>9</v>
      </c>
      <c r="G2911" s="15">
        <f t="shared" si="3"/>
        <v>18</v>
      </c>
    </row>
    <row r="2912">
      <c r="A2912" s="10" t="s">
        <v>37</v>
      </c>
      <c r="B2912" s="94">
        <f t="shared" si="5"/>
        <v>45553</v>
      </c>
      <c r="C2912" s="77" t="s">
        <v>1571</v>
      </c>
      <c r="D2912" s="13">
        <f>SUMIFS('Lançamentos de despesas'!$I:$I,'Lançamentos de despesas'!$G:$G,A2912,'Lançamentos de despesas'!$E:$E,"PAGO",'Lançamentos de despesas'!$C:$C,B2912)</f>
        <v>691.57</v>
      </c>
      <c r="E2912" s="15">
        <f t="shared" si="1"/>
        <v>2024</v>
      </c>
      <c r="F2912" s="15">
        <f t="shared" si="2"/>
        <v>9</v>
      </c>
      <c r="G2912" s="15">
        <f t="shared" si="3"/>
        <v>18</v>
      </c>
    </row>
    <row r="2913">
      <c r="A2913" s="10" t="s">
        <v>37</v>
      </c>
      <c r="B2913" s="94">
        <f t="shared" si="5"/>
        <v>45553</v>
      </c>
      <c r="C2913" s="77" t="s">
        <v>1572</v>
      </c>
      <c r="D2913" s="13">
        <f>D2910+D2911-D2912</f>
        <v>5377.71</v>
      </c>
      <c r="E2913" s="15">
        <f t="shared" si="1"/>
        <v>2024</v>
      </c>
      <c r="F2913" s="15">
        <f t="shared" si="2"/>
        <v>9</v>
      </c>
      <c r="G2913" s="15">
        <f t="shared" si="3"/>
        <v>18</v>
      </c>
    </row>
    <row r="2914">
      <c r="A2914" s="10" t="s">
        <v>37</v>
      </c>
      <c r="B2914" s="94">
        <f t="shared" si="5"/>
        <v>45554</v>
      </c>
      <c r="C2914" s="77" t="s">
        <v>1569</v>
      </c>
      <c r="D2914" s="13">
        <f>D2913</f>
        <v>5377.71</v>
      </c>
      <c r="E2914" s="15">
        <f t="shared" si="1"/>
        <v>2024</v>
      </c>
      <c r="F2914" s="15">
        <f t="shared" si="2"/>
        <v>9</v>
      </c>
      <c r="G2914" s="15">
        <f t="shared" si="3"/>
        <v>19</v>
      </c>
    </row>
    <row r="2915">
      <c r="A2915" s="10" t="s">
        <v>37</v>
      </c>
      <c r="B2915" s="94">
        <f t="shared" si="5"/>
        <v>45554</v>
      </c>
      <c r="C2915" s="77" t="s">
        <v>1570</v>
      </c>
      <c r="D2915" s="13">
        <f>SUMIFS('Lançamentos de receitas'!$E:$E,'Lançamentos de receitas'!$F:$F,"PAGO",'Lançamentos de receitas'!$C:$C,A2915,'Lançamentos de receitas'!$A:$A,B2915)</f>
        <v>1398.05</v>
      </c>
      <c r="E2915" s="15">
        <f t="shared" si="1"/>
        <v>2024</v>
      </c>
      <c r="F2915" s="15">
        <f t="shared" si="2"/>
        <v>9</v>
      </c>
      <c r="G2915" s="15">
        <f t="shared" si="3"/>
        <v>19</v>
      </c>
    </row>
    <row r="2916">
      <c r="A2916" s="10" t="s">
        <v>37</v>
      </c>
      <c r="B2916" s="94">
        <f t="shared" si="5"/>
        <v>45554</v>
      </c>
      <c r="C2916" s="77" t="s">
        <v>1571</v>
      </c>
      <c r="D2916" s="13">
        <f>SUMIFS('Lançamentos de despesas'!$I:$I,'Lançamentos de despesas'!$G:$G,A2916,'Lançamentos de despesas'!$E:$E,"PAGO",'Lançamentos de despesas'!$C:$C,B2916)</f>
        <v>0</v>
      </c>
      <c r="E2916" s="15">
        <f t="shared" si="1"/>
        <v>2024</v>
      </c>
      <c r="F2916" s="15">
        <f t="shared" si="2"/>
        <v>9</v>
      </c>
      <c r="G2916" s="15">
        <f t="shared" si="3"/>
        <v>19</v>
      </c>
    </row>
    <row r="2917">
      <c r="A2917" s="10" t="s">
        <v>37</v>
      </c>
      <c r="B2917" s="94">
        <f t="shared" si="5"/>
        <v>45554</v>
      </c>
      <c r="C2917" s="77" t="s">
        <v>1572</v>
      </c>
      <c r="D2917" s="13">
        <f>D2914+D2915-D2916</f>
        <v>6775.76</v>
      </c>
      <c r="E2917" s="15">
        <f t="shared" si="1"/>
        <v>2024</v>
      </c>
      <c r="F2917" s="15">
        <f t="shared" si="2"/>
        <v>9</v>
      </c>
      <c r="G2917" s="15">
        <f t="shared" si="3"/>
        <v>19</v>
      </c>
    </row>
    <row r="2918">
      <c r="A2918" s="10" t="s">
        <v>37</v>
      </c>
      <c r="B2918" s="94">
        <f t="shared" si="5"/>
        <v>45555</v>
      </c>
      <c r="C2918" s="77" t="s">
        <v>1569</v>
      </c>
      <c r="D2918" s="13">
        <f>D2917</f>
        <v>6775.76</v>
      </c>
      <c r="E2918" s="15">
        <f t="shared" si="1"/>
        <v>2024</v>
      </c>
      <c r="F2918" s="15">
        <f t="shared" si="2"/>
        <v>9</v>
      </c>
      <c r="G2918" s="15">
        <f t="shared" si="3"/>
        <v>20</v>
      </c>
    </row>
    <row r="2919">
      <c r="A2919" s="10" t="s">
        <v>37</v>
      </c>
      <c r="B2919" s="94">
        <f t="shared" si="5"/>
        <v>45555</v>
      </c>
      <c r="C2919" s="77" t="s">
        <v>1570</v>
      </c>
      <c r="D2919" s="13">
        <f>SUMIFS('Lançamentos de receitas'!$E:$E,'Lançamentos de receitas'!$F:$F,"PAGO",'Lançamentos de receitas'!$C:$C,A2919,'Lançamentos de receitas'!$A:$A,B2919)</f>
        <v>1542.4</v>
      </c>
      <c r="E2919" s="15">
        <f t="shared" si="1"/>
        <v>2024</v>
      </c>
      <c r="F2919" s="15">
        <f t="shared" si="2"/>
        <v>9</v>
      </c>
      <c r="G2919" s="15">
        <f t="shared" si="3"/>
        <v>20</v>
      </c>
    </row>
    <row r="2920">
      <c r="A2920" s="10" t="s">
        <v>37</v>
      </c>
      <c r="B2920" s="94">
        <f t="shared" si="5"/>
        <v>45555</v>
      </c>
      <c r="C2920" s="77" t="s">
        <v>1571</v>
      </c>
      <c r="D2920" s="13">
        <f>SUMIFS('Lançamentos de despesas'!$I:$I,'Lançamentos de despesas'!$G:$G,A2920,'Lançamentos de despesas'!$E:$E,"PAGO",'Lançamentos de despesas'!$C:$C,B2920)</f>
        <v>3112.95</v>
      </c>
      <c r="E2920" s="15">
        <f t="shared" si="1"/>
        <v>2024</v>
      </c>
      <c r="F2920" s="15">
        <f t="shared" si="2"/>
        <v>9</v>
      </c>
      <c r="G2920" s="15">
        <f t="shared" si="3"/>
        <v>20</v>
      </c>
    </row>
    <row r="2921">
      <c r="A2921" s="10" t="s">
        <v>37</v>
      </c>
      <c r="B2921" s="94">
        <f t="shared" si="5"/>
        <v>45555</v>
      </c>
      <c r="C2921" s="77" t="s">
        <v>1572</v>
      </c>
      <c r="D2921" s="13">
        <f>D2918+D2919-D2920</f>
        <v>5205.21</v>
      </c>
      <c r="E2921" s="15">
        <f t="shared" si="1"/>
        <v>2024</v>
      </c>
      <c r="F2921" s="15">
        <f t="shared" si="2"/>
        <v>9</v>
      </c>
      <c r="G2921" s="15">
        <f t="shared" si="3"/>
        <v>20</v>
      </c>
    </row>
    <row r="2922">
      <c r="A2922" s="10" t="s">
        <v>37</v>
      </c>
      <c r="B2922" s="94">
        <f t="shared" si="5"/>
        <v>45556</v>
      </c>
      <c r="C2922" s="77" t="s">
        <v>1569</v>
      </c>
      <c r="D2922" s="13">
        <f>D2921</f>
        <v>5205.21</v>
      </c>
      <c r="E2922" s="15">
        <f t="shared" si="1"/>
        <v>2024</v>
      </c>
      <c r="F2922" s="15">
        <f t="shared" si="2"/>
        <v>9</v>
      </c>
      <c r="G2922" s="15">
        <f t="shared" si="3"/>
        <v>21</v>
      </c>
    </row>
    <row r="2923">
      <c r="A2923" s="10" t="s">
        <v>37</v>
      </c>
      <c r="B2923" s="94">
        <f t="shared" si="5"/>
        <v>45556</v>
      </c>
      <c r="C2923" s="77" t="s">
        <v>1570</v>
      </c>
      <c r="D2923" s="13">
        <f>SUMIFS('Lançamentos de receitas'!$E:$E,'Lançamentos de receitas'!$F:$F,"PAGO",'Lançamentos de receitas'!$C:$C,A2923,'Lançamentos de receitas'!$A:$A,B2923)</f>
        <v>900.79</v>
      </c>
      <c r="E2923" s="15">
        <f t="shared" si="1"/>
        <v>2024</v>
      </c>
      <c r="F2923" s="15">
        <f t="shared" si="2"/>
        <v>9</v>
      </c>
      <c r="G2923" s="15">
        <f t="shared" si="3"/>
        <v>21</v>
      </c>
    </row>
    <row r="2924">
      <c r="A2924" s="10" t="s">
        <v>37</v>
      </c>
      <c r="B2924" s="94">
        <f t="shared" si="5"/>
        <v>45556</v>
      </c>
      <c r="C2924" s="77" t="s">
        <v>1571</v>
      </c>
      <c r="D2924" s="13">
        <f>SUMIFS('Lançamentos de despesas'!$I:$I,'Lançamentos de despesas'!$G:$G,A2924,'Lançamentos de despesas'!$E:$E,"PAGO",'Lançamentos de despesas'!$C:$C,B2924)</f>
        <v>0</v>
      </c>
      <c r="E2924" s="15">
        <f t="shared" si="1"/>
        <v>2024</v>
      </c>
      <c r="F2924" s="15">
        <f t="shared" si="2"/>
        <v>9</v>
      </c>
      <c r="G2924" s="15">
        <f t="shared" si="3"/>
        <v>21</v>
      </c>
    </row>
    <row r="2925">
      <c r="A2925" s="10" t="s">
        <v>37</v>
      </c>
      <c r="B2925" s="94">
        <f t="shared" si="5"/>
        <v>45556</v>
      </c>
      <c r="C2925" s="77" t="s">
        <v>1572</v>
      </c>
      <c r="D2925" s="13">
        <f>D2922+D2923-D2924</f>
        <v>6106</v>
      </c>
      <c r="E2925" s="15">
        <f t="shared" si="1"/>
        <v>2024</v>
      </c>
      <c r="F2925" s="15">
        <f t="shared" si="2"/>
        <v>9</v>
      </c>
      <c r="G2925" s="15">
        <f t="shared" si="3"/>
        <v>21</v>
      </c>
    </row>
    <row r="2926">
      <c r="A2926" s="10" t="s">
        <v>37</v>
      </c>
      <c r="B2926" s="94">
        <f t="shared" si="5"/>
        <v>45557</v>
      </c>
      <c r="C2926" s="77" t="s">
        <v>1569</v>
      </c>
      <c r="D2926" s="13">
        <f>D2925</f>
        <v>6106</v>
      </c>
      <c r="E2926" s="15">
        <f t="shared" si="1"/>
        <v>2024</v>
      </c>
      <c r="F2926" s="15">
        <f t="shared" si="2"/>
        <v>9</v>
      </c>
      <c r="G2926" s="15">
        <f t="shared" si="3"/>
        <v>22</v>
      </c>
    </row>
    <row r="2927">
      <c r="A2927" s="10" t="s">
        <v>37</v>
      </c>
      <c r="B2927" s="94">
        <f t="shared" si="5"/>
        <v>45557</v>
      </c>
      <c r="C2927" s="77" t="s">
        <v>1570</v>
      </c>
      <c r="D2927" s="13">
        <f>SUMIFS('Lançamentos de receitas'!$E:$E,'Lançamentos de receitas'!$F:$F,"PAGO",'Lançamentos de receitas'!$C:$C,A2927,'Lançamentos de receitas'!$A:$A,B2927)</f>
        <v>1212.46</v>
      </c>
      <c r="E2927" s="15">
        <f t="shared" si="1"/>
        <v>2024</v>
      </c>
      <c r="F2927" s="15">
        <f t="shared" si="2"/>
        <v>9</v>
      </c>
      <c r="G2927" s="15">
        <f t="shared" si="3"/>
        <v>22</v>
      </c>
    </row>
    <row r="2928">
      <c r="A2928" s="10" t="s">
        <v>37</v>
      </c>
      <c r="B2928" s="94">
        <f t="shared" si="5"/>
        <v>45557</v>
      </c>
      <c r="C2928" s="77" t="s">
        <v>1571</v>
      </c>
      <c r="D2928" s="13">
        <f>SUMIFS('Lançamentos de despesas'!$I:$I,'Lançamentos de despesas'!$G:$G,A2928,'Lançamentos de despesas'!$E:$E,"PAGO",'Lançamentos de despesas'!$C:$C,B2928)</f>
        <v>0</v>
      </c>
      <c r="E2928" s="15">
        <f t="shared" si="1"/>
        <v>2024</v>
      </c>
      <c r="F2928" s="15">
        <f t="shared" si="2"/>
        <v>9</v>
      </c>
      <c r="G2928" s="15">
        <f t="shared" si="3"/>
        <v>22</v>
      </c>
    </row>
    <row r="2929">
      <c r="A2929" s="10" t="s">
        <v>37</v>
      </c>
      <c r="B2929" s="94">
        <f t="shared" si="5"/>
        <v>45557</v>
      </c>
      <c r="C2929" s="77" t="s">
        <v>1572</v>
      </c>
      <c r="D2929" s="13">
        <f>D2926+D2927-D2928</f>
        <v>7318.46</v>
      </c>
      <c r="E2929" s="15">
        <f t="shared" si="1"/>
        <v>2024</v>
      </c>
      <c r="F2929" s="15">
        <f t="shared" si="2"/>
        <v>9</v>
      </c>
      <c r="G2929" s="15">
        <f t="shared" si="3"/>
        <v>22</v>
      </c>
    </row>
    <row r="2930">
      <c r="A2930" s="10" t="s">
        <v>37</v>
      </c>
      <c r="B2930" s="94">
        <f t="shared" si="5"/>
        <v>45558</v>
      </c>
      <c r="C2930" s="77" t="s">
        <v>1569</v>
      </c>
      <c r="D2930" s="13">
        <f>D2929</f>
        <v>7318.46</v>
      </c>
      <c r="E2930" s="15">
        <f t="shared" si="1"/>
        <v>2024</v>
      </c>
      <c r="F2930" s="15">
        <f t="shared" si="2"/>
        <v>9</v>
      </c>
      <c r="G2930" s="15">
        <f t="shared" si="3"/>
        <v>23</v>
      </c>
    </row>
    <row r="2931">
      <c r="A2931" s="10" t="s">
        <v>37</v>
      </c>
      <c r="B2931" s="94">
        <f t="shared" si="5"/>
        <v>45558</v>
      </c>
      <c r="C2931" s="77" t="s">
        <v>1570</v>
      </c>
      <c r="D2931" s="13">
        <f>SUMIFS('Lançamentos de receitas'!$E:$E,'Lançamentos de receitas'!$F:$F,"PAGO",'Lançamentos de receitas'!$C:$C,A2931,'Lançamentos de receitas'!$A:$A,B2931)</f>
        <v>510.31</v>
      </c>
      <c r="E2931" s="15">
        <f t="shared" si="1"/>
        <v>2024</v>
      </c>
      <c r="F2931" s="15">
        <f t="shared" si="2"/>
        <v>9</v>
      </c>
      <c r="G2931" s="15">
        <f t="shared" si="3"/>
        <v>23</v>
      </c>
    </row>
    <row r="2932">
      <c r="A2932" s="10" t="s">
        <v>37</v>
      </c>
      <c r="B2932" s="94">
        <f t="shared" si="5"/>
        <v>45558</v>
      </c>
      <c r="C2932" s="77" t="s">
        <v>1571</v>
      </c>
      <c r="D2932" s="13">
        <f>SUMIFS('Lançamentos de despesas'!$I:$I,'Lançamentos de despesas'!$G:$G,A2932,'Lançamentos de despesas'!$E:$E,"PAGO",'Lançamentos de despesas'!$C:$C,B2932)</f>
        <v>3780</v>
      </c>
      <c r="E2932" s="15">
        <f t="shared" si="1"/>
        <v>2024</v>
      </c>
      <c r="F2932" s="15">
        <f t="shared" si="2"/>
        <v>9</v>
      </c>
      <c r="G2932" s="15">
        <f t="shared" si="3"/>
        <v>23</v>
      </c>
    </row>
    <row r="2933">
      <c r="A2933" s="10" t="s">
        <v>37</v>
      </c>
      <c r="B2933" s="94">
        <f t="shared" si="5"/>
        <v>45558</v>
      </c>
      <c r="C2933" s="77" t="s">
        <v>1572</v>
      </c>
      <c r="D2933" s="13">
        <f>D2930+D2931-D2932</f>
        <v>4048.77</v>
      </c>
      <c r="E2933" s="15">
        <f t="shared" si="1"/>
        <v>2024</v>
      </c>
      <c r="F2933" s="15">
        <f t="shared" si="2"/>
        <v>9</v>
      </c>
      <c r="G2933" s="15">
        <f t="shared" si="3"/>
        <v>23</v>
      </c>
    </row>
    <row r="2934">
      <c r="A2934" s="10" t="s">
        <v>37</v>
      </c>
      <c r="B2934" s="94">
        <f t="shared" si="5"/>
        <v>45559</v>
      </c>
      <c r="C2934" s="77" t="s">
        <v>1569</v>
      </c>
      <c r="D2934" s="13">
        <f>D2933</f>
        <v>4048.77</v>
      </c>
      <c r="E2934" s="15">
        <f t="shared" si="1"/>
        <v>2024</v>
      </c>
      <c r="F2934" s="15">
        <f t="shared" si="2"/>
        <v>9</v>
      </c>
      <c r="G2934" s="15">
        <f t="shared" si="3"/>
        <v>24</v>
      </c>
    </row>
    <row r="2935">
      <c r="A2935" s="10" t="s">
        <v>37</v>
      </c>
      <c r="B2935" s="94">
        <f t="shared" si="5"/>
        <v>45559</v>
      </c>
      <c r="C2935" s="77" t="s">
        <v>1570</v>
      </c>
      <c r="D2935" s="13">
        <f>SUMIFS('Lançamentos de receitas'!$E:$E,'Lançamentos de receitas'!$F:$F,"PAGO",'Lançamentos de receitas'!$C:$C,A2935,'Lançamentos de receitas'!$A:$A,B2935)</f>
        <v>422.6</v>
      </c>
      <c r="E2935" s="15">
        <f t="shared" si="1"/>
        <v>2024</v>
      </c>
      <c r="F2935" s="15">
        <f t="shared" si="2"/>
        <v>9</v>
      </c>
      <c r="G2935" s="15">
        <f t="shared" si="3"/>
        <v>24</v>
      </c>
    </row>
    <row r="2936">
      <c r="A2936" s="10" t="s">
        <v>37</v>
      </c>
      <c r="B2936" s="94">
        <f t="shared" si="5"/>
        <v>45559</v>
      </c>
      <c r="C2936" s="77" t="s">
        <v>1571</v>
      </c>
      <c r="D2936" s="13">
        <f>SUMIFS('Lançamentos de despesas'!$I:$I,'Lançamentos de despesas'!$G:$G,A2936,'Lançamentos de despesas'!$E:$E,"PAGO",'Lançamentos de despesas'!$C:$C,B2936)</f>
        <v>0</v>
      </c>
      <c r="E2936" s="15">
        <f t="shared" si="1"/>
        <v>2024</v>
      </c>
      <c r="F2936" s="15">
        <f t="shared" si="2"/>
        <v>9</v>
      </c>
      <c r="G2936" s="15">
        <f t="shared" si="3"/>
        <v>24</v>
      </c>
    </row>
    <row r="2937">
      <c r="A2937" s="10" t="s">
        <v>37</v>
      </c>
      <c r="B2937" s="94">
        <f t="shared" si="5"/>
        <v>45559</v>
      </c>
      <c r="C2937" s="77" t="s">
        <v>1572</v>
      </c>
      <c r="D2937" s="13">
        <f>D2934+D2935-D2936</f>
        <v>4471.37</v>
      </c>
      <c r="E2937" s="15">
        <f t="shared" si="1"/>
        <v>2024</v>
      </c>
      <c r="F2937" s="15">
        <f t="shared" si="2"/>
        <v>9</v>
      </c>
      <c r="G2937" s="15">
        <f t="shared" si="3"/>
        <v>24</v>
      </c>
    </row>
    <row r="2938">
      <c r="A2938" s="10" t="s">
        <v>37</v>
      </c>
      <c r="B2938" s="94">
        <f t="shared" si="5"/>
        <v>45560</v>
      </c>
      <c r="C2938" s="77" t="s">
        <v>1569</v>
      </c>
      <c r="D2938" s="13">
        <f>D2937</f>
        <v>4471.37</v>
      </c>
      <c r="E2938" s="15">
        <f t="shared" si="1"/>
        <v>2024</v>
      </c>
      <c r="F2938" s="15">
        <f t="shared" si="2"/>
        <v>9</v>
      </c>
      <c r="G2938" s="15">
        <f t="shared" si="3"/>
        <v>25</v>
      </c>
    </row>
    <row r="2939">
      <c r="A2939" s="10" t="s">
        <v>37</v>
      </c>
      <c r="B2939" s="94">
        <f t="shared" si="5"/>
        <v>45560</v>
      </c>
      <c r="C2939" s="77" t="s">
        <v>1570</v>
      </c>
      <c r="D2939" s="13">
        <f>SUMIFS('Lançamentos de receitas'!$E:$E,'Lançamentos de receitas'!$F:$F,"PAGO",'Lançamentos de receitas'!$C:$C,A2939,'Lançamentos de receitas'!$A:$A,B2939)</f>
        <v>2027.98</v>
      </c>
      <c r="E2939" s="15">
        <f t="shared" si="1"/>
        <v>2024</v>
      </c>
      <c r="F2939" s="15">
        <f t="shared" si="2"/>
        <v>9</v>
      </c>
      <c r="G2939" s="15">
        <f t="shared" si="3"/>
        <v>25</v>
      </c>
    </row>
    <row r="2940">
      <c r="A2940" s="10" t="s">
        <v>37</v>
      </c>
      <c r="B2940" s="94">
        <f t="shared" si="5"/>
        <v>45560</v>
      </c>
      <c r="C2940" s="77" t="s">
        <v>1571</v>
      </c>
      <c r="D2940" s="13">
        <f>SUMIFS('Lançamentos de despesas'!$I:$I,'Lançamentos de despesas'!$G:$G,A2940,'Lançamentos de despesas'!$E:$E,"PAGO",'Lançamentos de despesas'!$C:$C,B2940)</f>
        <v>140</v>
      </c>
      <c r="E2940" s="15">
        <f t="shared" si="1"/>
        <v>2024</v>
      </c>
      <c r="F2940" s="15">
        <f t="shared" si="2"/>
        <v>9</v>
      </c>
      <c r="G2940" s="15">
        <f t="shared" si="3"/>
        <v>25</v>
      </c>
    </row>
    <row r="2941">
      <c r="A2941" s="10" t="s">
        <v>37</v>
      </c>
      <c r="B2941" s="94">
        <f t="shared" si="5"/>
        <v>45560</v>
      </c>
      <c r="C2941" s="77" t="s">
        <v>1572</v>
      </c>
      <c r="D2941" s="13">
        <f>D2938+D2939-D2940</f>
        <v>6359.35</v>
      </c>
      <c r="E2941" s="15">
        <f t="shared" si="1"/>
        <v>2024</v>
      </c>
      <c r="F2941" s="15">
        <f t="shared" si="2"/>
        <v>9</v>
      </c>
      <c r="G2941" s="15">
        <f t="shared" si="3"/>
        <v>25</v>
      </c>
    </row>
    <row r="2942">
      <c r="A2942" s="10" t="s">
        <v>37</v>
      </c>
      <c r="B2942" s="94">
        <f t="shared" si="5"/>
        <v>45561</v>
      </c>
      <c r="C2942" s="77" t="s">
        <v>1569</v>
      </c>
      <c r="D2942" s="13">
        <f>D2941</f>
        <v>6359.35</v>
      </c>
      <c r="E2942" s="15">
        <f t="shared" si="1"/>
        <v>2024</v>
      </c>
      <c r="F2942" s="15">
        <f t="shared" si="2"/>
        <v>9</v>
      </c>
      <c r="G2942" s="15">
        <f t="shared" si="3"/>
        <v>26</v>
      </c>
    </row>
    <row r="2943">
      <c r="A2943" s="10" t="s">
        <v>37</v>
      </c>
      <c r="B2943" s="94">
        <f t="shared" si="5"/>
        <v>45561</v>
      </c>
      <c r="C2943" s="77" t="s">
        <v>1570</v>
      </c>
      <c r="D2943" s="13">
        <f>SUMIFS('Lançamentos de receitas'!$E:$E,'Lançamentos de receitas'!$F:$F,"PAGO",'Lançamentos de receitas'!$C:$C,A2943,'Lançamentos de receitas'!$A:$A,B2943)</f>
        <v>619.25</v>
      </c>
      <c r="E2943" s="15">
        <f t="shared" si="1"/>
        <v>2024</v>
      </c>
      <c r="F2943" s="15">
        <f t="shared" si="2"/>
        <v>9</v>
      </c>
      <c r="G2943" s="15">
        <f t="shared" si="3"/>
        <v>26</v>
      </c>
    </row>
    <row r="2944">
      <c r="A2944" s="10" t="s">
        <v>37</v>
      </c>
      <c r="B2944" s="94">
        <f t="shared" si="5"/>
        <v>45561</v>
      </c>
      <c r="C2944" s="77" t="s">
        <v>1571</v>
      </c>
      <c r="D2944" s="13">
        <f>SUMIFS('Lançamentos de despesas'!$I:$I,'Lançamentos de despesas'!$G:$G,A2944,'Lançamentos de despesas'!$E:$E,"PAGO",'Lançamentos de despesas'!$C:$C,B2944)</f>
        <v>0</v>
      </c>
      <c r="E2944" s="15">
        <f t="shared" si="1"/>
        <v>2024</v>
      </c>
      <c r="F2944" s="15">
        <f t="shared" si="2"/>
        <v>9</v>
      </c>
      <c r="G2944" s="15">
        <f t="shared" si="3"/>
        <v>26</v>
      </c>
    </row>
    <row r="2945">
      <c r="A2945" s="10" t="s">
        <v>37</v>
      </c>
      <c r="B2945" s="94">
        <f t="shared" si="5"/>
        <v>45561</v>
      </c>
      <c r="C2945" s="77" t="s">
        <v>1572</v>
      </c>
      <c r="D2945" s="13">
        <f>D2942+D2943-D2944</f>
        <v>6978.6</v>
      </c>
      <c r="E2945" s="15">
        <f t="shared" si="1"/>
        <v>2024</v>
      </c>
      <c r="F2945" s="15">
        <f t="shared" si="2"/>
        <v>9</v>
      </c>
      <c r="G2945" s="15">
        <f t="shared" si="3"/>
        <v>26</v>
      </c>
    </row>
    <row r="2946">
      <c r="A2946" s="10" t="s">
        <v>37</v>
      </c>
      <c r="B2946" s="94">
        <f t="shared" si="5"/>
        <v>45562</v>
      </c>
      <c r="C2946" s="77" t="s">
        <v>1569</v>
      </c>
      <c r="D2946" s="13">
        <f>D2945</f>
        <v>6978.6</v>
      </c>
      <c r="E2946" s="15">
        <f t="shared" si="1"/>
        <v>2024</v>
      </c>
      <c r="F2946" s="15">
        <f t="shared" si="2"/>
        <v>9</v>
      </c>
      <c r="G2946" s="15">
        <f t="shared" si="3"/>
        <v>27</v>
      </c>
    </row>
    <row r="2947">
      <c r="A2947" s="10" t="s">
        <v>37</v>
      </c>
      <c r="B2947" s="94">
        <f t="shared" si="5"/>
        <v>45562</v>
      </c>
      <c r="C2947" s="77" t="s">
        <v>1570</v>
      </c>
      <c r="D2947" s="13">
        <f>SUMIFS('Lançamentos de receitas'!$E:$E,'Lançamentos de receitas'!$F:$F,"PAGO",'Lançamentos de receitas'!$C:$C,A2947,'Lançamentos de receitas'!$A:$A,B2947)</f>
        <v>454.03</v>
      </c>
      <c r="E2947" s="15">
        <f t="shared" si="1"/>
        <v>2024</v>
      </c>
      <c r="F2947" s="15">
        <f t="shared" si="2"/>
        <v>9</v>
      </c>
      <c r="G2947" s="15">
        <f t="shared" si="3"/>
        <v>27</v>
      </c>
    </row>
    <row r="2948">
      <c r="A2948" s="10" t="s">
        <v>37</v>
      </c>
      <c r="B2948" s="94">
        <f t="shared" si="5"/>
        <v>45562</v>
      </c>
      <c r="C2948" s="77" t="s">
        <v>1571</v>
      </c>
      <c r="D2948" s="13">
        <f>SUMIFS('Lançamentos de despesas'!$I:$I,'Lançamentos de despesas'!$G:$G,A2948,'Lançamentos de despesas'!$E:$E,"PAGO",'Lançamentos de despesas'!$C:$C,B2948)</f>
        <v>0</v>
      </c>
      <c r="E2948" s="15">
        <f t="shared" si="1"/>
        <v>2024</v>
      </c>
      <c r="F2948" s="15">
        <f t="shared" si="2"/>
        <v>9</v>
      </c>
      <c r="G2948" s="15">
        <f t="shared" si="3"/>
        <v>27</v>
      </c>
    </row>
    <row r="2949">
      <c r="A2949" s="10" t="s">
        <v>37</v>
      </c>
      <c r="B2949" s="94">
        <f t="shared" si="5"/>
        <v>45562</v>
      </c>
      <c r="C2949" s="77" t="s">
        <v>1572</v>
      </c>
      <c r="D2949" s="13">
        <f>D2946+D2947-D2948</f>
        <v>7432.63</v>
      </c>
      <c r="E2949" s="15">
        <f t="shared" si="1"/>
        <v>2024</v>
      </c>
      <c r="F2949" s="15">
        <f t="shared" si="2"/>
        <v>9</v>
      </c>
      <c r="G2949" s="15">
        <f t="shared" si="3"/>
        <v>27</v>
      </c>
    </row>
    <row r="2950">
      <c r="A2950" s="10" t="s">
        <v>37</v>
      </c>
      <c r="B2950" s="94">
        <f t="shared" si="5"/>
        <v>45563</v>
      </c>
      <c r="C2950" s="77" t="s">
        <v>1569</v>
      </c>
      <c r="D2950" s="13">
        <f>D2949</f>
        <v>7432.63</v>
      </c>
      <c r="E2950" s="15">
        <f t="shared" si="1"/>
        <v>2024</v>
      </c>
      <c r="F2950" s="15">
        <f t="shared" si="2"/>
        <v>9</v>
      </c>
      <c r="G2950" s="15">
        <f t="shared" si="3"/>
        <v>28</v>
      </c>
    </row>
    <row r="2951">
      <c r="A2951" s="10" t="s">
        <v>37</v>
      </c>
      <c r="B2951" s="94">
        <f t="shared" si="5"/>
        <v>45563</v>
      </c>
      <c r="C2951" s="77" t="s">
        <v>1570</v>
      </c>
      <c r="D2951" s="13">
        <f>SUMIFS('Lançamentos de receitas'!$E:$E,'Lançamentos de receitas'!$F:$F,"PAGO",'Lançamentos de receitas'!$C:$C,A2951,'Lançamentos de receitas'!$A:$A,B2951)</f>
        <v>804.54</v>
      </c>
      <c r="E2951" s="15">
        <f t="shared" si="1"/>
        <v>2024</v>
      </c>
      <c r="F2951" s="15">
        <f t="shared" si="2"/>
        <v>9</v>
      </c>
      <c r="G2951" s="15">
        <f t="shared" si="3"/>
        <v>28</v>
      </c>
    </row>
    <row r="2952">
      <c r="A2952" s="10" t="s">
        <v>37</v>
      </c>
      <c r="B2952" s="94">
        <f t="shared" si="5"/>
        <v>45563</v>
      </c>
      <c r="C2952" s="77" t="s">
        <v>1571</v>
      </c>
      <c r="D2952" s="13">
        <f>SUMIFS('Lançamentos de despesas'!$I:$I,'Lançamentos de despesas'!$G:$G,A2952,'Lançamentos de despesas'!$E:$E,"PAGO",'Lançamentos de despesas'!$C:$C,B2952)</f>
        <v>0</v>
      </c>
      <c r="E2952" s="15">
        <f t="shared" si="1"/>
        <v>2024</v>
      </c>
      <c r="F2952" s="15">
        <f t="shared" si="2"/>
        <v>9</v>
      </c>
      <c r="G2952" s="15">
        <f t="shared" si="3"/>
        <v>28</v>
      </c>
    </row>
    <row r="2953">
      <c r="A2953" s="10" t="s">
        <v>37</v>
      </c>
      <c r="B2953" s="94">
        <f t="shared" si="5"/>
        <v>45563</v>
      </c>
      <c r="C2953" s="77" t="s">
        <v>1572</v>
      </c>
      <c r="D2953" s="13">
        <f>D2950+D2951-D2952</f>
        <v>8237.17</v>
      </c>
      <c r="E2953" s="15">
        <f t="shared" si="1"/>
        <v>2024</v>
      </c>
      <c r="F2953" s="15">
        <f t="shared" si="2"/>
        <v>9</v>
      </c>
      <c r="G2953" s="15">
        <f t="shared" si="3"/>
        <v>28</v>
      </c>
    </row>
    <row r="2954">
      <c r="A2954" s="10" t="s">
        <v>37</v>
      </c>
      <c r="B2954" s="94">
        <f t="shared" si="5"/>
        <v>45564</v>
      </c>
      <c r="C2954" s="77" t="s">
        <v>1569</v>
      </c>
      <c r="D2954" s="13">
        <f>D2953</f>
        <v>8237.17</v>
      </c>
      <c r="E2954" s="15">
        <f t="shared" si="1"/>
        <v>2024</v>
      </c>
      <c r="F2954" s="15">
        <f t="shared" si="2"/>
        <v>9</v>
      </c>
      <c r="G2954" s="15">
        <f t="shared" si="3"/>
        <v>29</v>
      </c>
    </row>
    <row r="2955">
      <c r="A2955" s="10" t="s">
        <v>37</v>
      </c>
      <c r="B2955" s="94">
        <f t="shared" si="5"/>
        <v>45564</v>
      </c>
      <c r="C2955" s="77" t="s">
        <v>1570</v>
      </c>
      <c r="D2955" s="13">
        <f>SUMIFS('Lançamentos de receitas'!$E:$E,'Lançamentos de receitas'!$F:$F,"PAGO",'Lançamentos de receitas'!$C:$C,A2955,'Lançamentos de receitas'!$A:$A,B2955)</f>
        <v>1424.79</v>
      </c>
      <c r="E2955" s="15">
        <f t="shared" si="1"/>
        <v>2024</v>
      </c>
      <c r="F2955" s="15">
        <f t="shared" si="2"/>
        <v>9</v>
      </c>
      <c r="G2955" s="15">
        <f t="shared" si="3"/>
        <v>29</v>
      </c>
    </row>
    <row r="2956">
      <c r="A2956" s="10" t="s">
        <v>37</v>
      </c>
      <c r="B2956" s="94">
        <f t="shared" si="5"/>
        <v>45564</v>
      </c>
      <c r="C2956" s="77" t="s">
        <v>1571</v>
      </c>
      <c r="D2956" s="13">
        <f>SUMIFS('Lançamentos de despesas'!$I:$I,'Lançamentos de despesas'!$G:$G,A2956,'Lançamentos de despesas'!$E:$E,"PAGO",'Lançamentos de despesas'!$C:$C,B2956)</f>
        <v>0</v>
      </c>
      <c r="E2956" s="15">
        <f t="shared" si="1"/>
        <v>2024</v>
      </c>
      <c r="F2956" s="15">
        <f t="shared" si="2"/>
        <v>9</v>
      </c>
      <c r="G2956" s="15">
        <f t="shared" si="3"/>
        <v>29</v>
      </c>
    </row>
    <row r="2957">
      <c r="A2957" s="10" t="s">
        <v>37</v>
      </c>
      <c r="B2957" s="94">
        <f t="shared" si="5"/>
        <v>45564</v>
      </c>
      <c r="C2957" s="77" t="s">
        <v>1572</v>
      </c>
      <c r="D2957" s="13">
        <f>D2954+D2955-D2956</f>
        <v>9661.96</v>
      </c>
      <c r="E2957" s="15">
        <f t="shared" si="1"/>
        <v>2024</v>
      </c>
      <c r="F2957" s="15">
        <f t="shared" si="2"/>
        <v>9</v>
      </c>
      <c r="G2957" s="15">
        <f t="shared" si="3"/>
        <v>29</v>
      </c>
    </row>
    <row r="2958">
      <c r="A2958" s="10" t="s">
        <v>37</v>
      </c>
      <c r="B2958" s="94">
        <f t="shared" si="5"/>
        <v>45565</v>
      </c>
      <c r="C2958" s="77" t="s">
        <v>1569</v>
      </c>
      <c r="D2958" s="13">
        <f>D2957</f>
        <v>9661.96</v>
      </c>
      <c r="E2958" s="15">
        <f t="shared" si="1"/>
        <v>2024</v>
      </c>
      <c r="F2958" s="15">
        <f t="shared" si="2"/>
        <v>9</v>
      </c>
      <c r="G2958" s="15">
        <f t="shared" si="3"/>
        <v>30</v>
      </c>
    </row>
    <row r="2959">
      <c r="A2959" s="10" t="s">
        <v>37</v>
      </c>
      <c r="B2959" s="94">
        <f t="shared" si="5"/>
        <v>45565</v>
      </c>
      <c r="C2959" s="77" t="s">
        <v>1570</v>
      </c>
      <c r="D2959" s="13">
        <f>SUMIFS('Lançamentos de receitas'!$E:$E,'Lançamentos de receitas'!$F:$F,"PAGO",'Lançamentos de receitas'!$C:$C,A2959,'Lançamentos de receitas'!$A:$A,B2959)</f>
        <v>234.71</v>
      </c>
      <c r="E2959" s="15">
        <f t="shared" si="1"/>
        <v>2024</v>
      </c>
      <c r="F2959" s="15">
        <f t="shared" si="2"/>
        <v>9</v>
      </c>
      <c r="G2959" s="15">
        <f t="shared" si="3"/>
        <v>30</v>
      </c>
    </row>
    <row r="2960">
      <c r="A2960" s="10" t="s">
        <v>37</v>
      </c>
      <c r="B2960" s="94">
        <f t="shared" si="5"/>
        <v>45565</v>
      </c>
      <c r="C2960" s="77" t="s">
        <v>1571</v>
      </c>
      <c r="D2960" s="13">
        <f>SUMIFS('Lançamentos de despesas'!$I:$I,'Lançamentos de despesas'!$G:$G,A2960,'Lançamentos de despesas'!$E:$E,"PAGO",'Lançamentos de despesas'!$C:$C,B2960)</f>
        <v>2070</v>
      </c>
      <c r="E2960" s="15">
        <f t="shared" si="1"/>
        <v>2024</v>
      </c>
      <c r="F2960" s="15">
        <f t="shared" si="2"/>
        <v>9</v>
      </c>
      <c r="G2960" s="15">
        <f t="shared" si="3"/>
        <v>30</v>
      </c>
    </row>
    <row r="2961">
      <c r="A2961" s="10" t="s">
        <v>37</v>
      </c>
      <c r="B2961" s="94">
        <f t="shared" si="5"/>
        <v>45565</v>
      </c>
      <c r="C2961" s="77" t="s">
        <v>1572</v>
      </c>
      <c r="D2961" s="13">
        <f>D2958+D2959-D2960</f>
        <v>7826.67</v>
      </c>
      <c r="E2961" s="15">
        <f t="shared" si="1"/>
        <v>2024</v>
      </c>
      <c r="F2961" s="15">
        <f t="shared" si="2"/>
        <v>9</v>
      </c>
      <c r="G2961" s="15">
        <f t="shared" si="3"/>
        <v>30</v>
      </c>
    </row>
    <row r="2962">
      <c r="A2962" s="10" t="s">
        <v>37</v>
      </c>
      <c r="B2962" s="94">
        <f t="shared" si="5"/>
        <v>45566</v>
      </c>
      <c r="C2962" s="77" t="s">
        <v>1569</v>
      </c>
      <c r="D2962" s="13">
        <f>D2961</f>
        <v>7826.67</v>
      </c>
      <c r="E2962" s="15">
        <f t="shared" si="1"/>
        <v>2024</v>
      </c>
      <c r="F2962" s="15">
        <f t="shared" si="2"/>
        <v>10</v>
      </c>
      <c r="G2962" s="15">
        <f t="shared" si="3"/>
        <v>1</v>
      </c>
    </row>
    <row r="2963">
      <c r="A2963" s="10" t="s">
        <v>37</v>
      </c>
      <c r="B2963" s="94">
        <f t="shared" si="5"/>
        <v>45566</v>
      </c>
      <c r="C2963" s="77" t="s">
        <v>1570</v>
      </c>
      <c r="D2963" s="13">
        <f>SUMIFS('Lançamentos de receitas'!$E:$E,'Lançamentos de receitas'!$F:$F,"PAGO",'Lançamentos de receitas'!$C:$C,A2963,'Lançamentos de receitas'!$A:$A,B2963)</f>
        <v>863.47</v>
      </c>
      <c r="E2963" s="15">
        <f t="shared" si="1"/>
        <v>2024</v>
      </c>
      <c r="F2963" s="15">
        <f t="shared" si="2"/>
        <v>10</v>
      </c>
      <c r="G2963" s="15">
        <f t="shared" si="3"/>
        <v>1</v>
      </c>
    </row>
    <row r="2964">
      <c r="A2964" s="10" t="s">
        <v>37</v>
      </c>
      <c r="B2964" s="94">
        <f t="shared" si="5"/>
        <v>45566</v>
      </c>
      <c r="C2964" s="77" t="s">
        <v>1571</v>
      </c>
      <c r="D2964" s="13">
        <f>SUMIFS('Lançamentos de despesas'!$I:$I,'Lançamentos de despesas'!$G:$G,A2964,'Lançamentos de despesas'!$E:$E,"PAGO",'Lançamentos de despesas'!$C:$C,B2964)</f>
        <v>90</v>
      </c>
      <c r="E2964" s="15">
        <f t="shared" si="1"/>
        <v>2024</v>
      </c>
      <c r="F2964" s="15">
        <f t="shared" si="2"/>
        <v>10</v>
      </c>
      <c r="G2964" s="15">
        <f t="shared" si="3"/>
        <v>1</v>
      </c>
    </row>
    <row r="2965">
      <c r="A2965" s="10" t="s">
        <v>37</v>
      </c>
      <c r="B2965" s="94">
        <f t="shared" si="5"/>
        <v>45566</v>
      </c>
      <c r="C2965" s="77" t="s">
        <v>1572</v>
      </c>
      <c r="D2965" s="13">
        <f>D2962+D2963-D2964</f>
        <v>8600.14</v>
      </c>
      <c r="E2965" s="15">
        <f t="shared" si="1"/>
        <v>2024</v>
      </c>
      <c r="F2965" s="15">
        <f t="shared" si="2"/>
        <v>10</v>
      </c>
      <c r="G2965" s="15">
        <f t="shared" si="3"/>
        <v>1</v>
      </c>
    </row>
    <row r="2966">
      <c r="A2966" s="10" t="s">
        <v>37</v>
      </c>
      <c r="B2966" s="94">
        <f t="shared" si="5"/>
        <v>45567</v>
      </c>
      <c r="C2966" s="77" t="s">
        <v>1569</v>
      </c>
      <c r="D2966" s="13">
        <f>D2965</f>
        <v>8600.14</v>
      </c>
      <c r="E2966" s="15">
        <f t="shared" si="1"/>
        <v>2024</v>
      </c>
      <c r="F2966" s="15">
        <f t="shared" si="2"/>
        <v>10</v>
      </c>
      <c r="G2966" s="15">
        <f t="shared" si="3"/>
        <v>2</v>
      </c>
    </row>
    <row r="2967">
      <c r="A2967" s="10" t="s">
        <v>37</v>
      </c>
      <c r="B2967" s="94">
        <f t="shared" si="5"/>
        <v>45567</v>
      </c>
      <c r="C2967" s="77" t="s">
        <v>1570</v>
      </c>
      <c r="D2967" s="13">
        <f>SUMIFS('Lançamentos de receitas'!$E:$E,'Lançamentos de receitas'!$F:$F,"PAGO",'Lançamentos de receitas'!$C:$C,A2967,'Lançamentos de receitas'!$A:$A,B2967)</f>
        <v>1210.41</v>
      </c>
      <c r="E2967" s="15">
        <f t="shared" si="1"/>
        <v>2024</v>
      </c>
      <c r="F2967" s="15">
        <f t="shared" si="2"/>
        <v>10</v>
      </c>
      <c r="G2967" s="15">
        <f t="shared" si="3"/>
        <v>2</v>
      </c>
    </row>
    <row r="2968">
      <c r="A2968" s="10" t="s">
        <v>37</v>
      </c>
      <c r="B2968" s="94">
        <f t="shared" si="5"/>
        <v>45567</v>
      </c>
      <c r="C2968" s="77" t="s">
        <v>1571</v>
      </c>
      <c r="D2968" s="13">
        <f>SUMIFS('Lançamentos de despesas'!$I:$I,'Lançamentos de despesas'!$G:$G,A2968,'Lançamentos de despesas'!$E:$E,"PAGO",'Lançamentos de despesas'!$C:$C,B2968)</f>
        <v>0</v>
      </c>
      <c r="E2968" s="15">
        <f t="shared" si="1"/>
        <v>2024</v>
      </c>
      <c r="F2968" s="15">
        <f t="shared" si="2"/>
        <v>10</v>
      </c>
      <c r="G2968" s="15">
        <f t="shared" si="3"/>
        <v>2</v>
      </c>
    </row>
    <row r="2969">
      <c r="A2969" s="10" t="s">
        <v>37</v>
      </c>
      <c r="B2969" s="94">
        <f t="shared" si="5"/>
        <v>45567</v>
      </c>
      <c r="C2969" s="77" t="s">
        <v>1572</v>
      </c>
      <c r="D2969" s="13">
        <f>D2966+D2967-D2968</f>
        <v>9810.55</v>
      </c>
      <c r="E2969" s="15">
        <f t="shared" si="1"/>
        <v>2024</v>
      </c>
      <c r="F2969" s="15">
        <f t="shared" si="2"/>
        <v>10</v>
      </c>
      <c r="G2969" s="15">
        <f t="shared" si="3"/>
        <v>2</v>
      </c>
    </row>
    <row r="2970">
      <c r="A2970" s="10" t="s">
        <v>37</v>
      </c>
      <c r="B2970" s="94">
        <f t="shared" si="5"/>
        <v>45568</v>
      </c>
      <c r="C2970" s="77" t="s">
        <v>1569</v>
      </c>
      <c r="D2970" s="13">
        <f>D2969</f>
        <v>9810.55</v>
      </c>
      <c r="E2970" s="15">
        <f t="shared" si="1"/>
        <v>2024</v>
      </c>
      <c r="F2970" s="15">
        <f t="shared" si="2"/>
        <v>10</v>
      </c>
      <c r="G2970" s="15">
        <f t="shared" si="3"/>
        <v>3</v>
      </c>
    </row>
    <row r="2971">
      <c r="A2971" s="10" t="s">
        <v>37</v>
      </c>
      <c r="B2971" s="94">
        <f t="shared" si="5"/>
        <v>45568</v>
      </c>
      <c r="C2971" s="77" t="s">
        <v>1570</v>
      </c>
      <c r="D2971" s="13">
        <f>SUMIFS('Lançamentos de receitas'!$E:$E,'Lançamentos de receitas'!$F:$F,"PAGO",'Lançamentos de receitas'!$C:$C,A2971,'Lançamentos de receitas'!$A:$A,B2971)</f>
        <v>866.72</v>
      </c>
      <c r="E2971" s="15">
        <f t="shared" si="1"/>
        <v>2024</v>
      </c>
      <c r="F2971" s="15">
        <f t="shared" si="2"/>
        <v>10</v>
      </c>
      <c r="G2971" s="15">
        <f t="shared" si="3"/>
        <v>3</v>
      </c>
    </row>
    <row r="2972">
      <c r="A2972" s="10" t="s">
        <v>37</v>
      </c>
      <c r="B2972" s="94">
        <f t="shared" si="5"/>
        <v>45568</v>
      </c>
      <c r="C2972" s="77" t="s">
        <v>1571</v>
      </c>
      <c r="D2972" s="13">
        <f>SUMIFS('Lançamentos de despesas'!$I:$I,'Lançamentos de despesas'!$G:$G,A2972,'Lançamentos de despesas'!$E:$E,"PAGO",'Lançamentos de despesas'!$C:$C,B2972)</f>
        <v>0</v>
      </c>
      <c r="E2972" s="15">
        <f t="shared" si="1"/>
        <v>2024</v>
      </c>
      <c r="F2972" s="15">
        <f t="shared" si="2"/>
        <v>10</v>
      </c>
      <c r="G2972" s="15">
        <f t="shared" si="3"/>
        <v>3</v>
      </c>
    </row>
    <row r="2973">
      <c r="A2973" s="10" t="s">
        <v>37</v>
      </c>
      <c r="B2973" s="94">
        <f t="shared" si="5"/>
        <v>45568</v>
      </c>
      <c r="C2973" s="77" t="s">
        <v>1572</v>
      </c>
      <c r="D2973" s="13">
        <f>D2970+D2971-D2972</f>
        <v>10677.27</v>
      </c>
      <c r="E2973" s="15">
        <f t="shared" si="1"/>
        <v>2024</v>
      </c>
      <c r="F2973" s="15">
        <f t="shared" si="2"/>
        <v>10</v>
      </c>
      <c r="G2973" s="15">
        <f t="shared" si="3"/>
        <v>3</v>
      </c>
    </row>
    <row r="2974">
      <c r="A2974" s="10" t="s">
        <v>37</v>
      </c>
      <c r="B2974" s="94">
        <f t="shared" si="5"/>
        <v>45569</v>
      </c>
      <c r="C2974" s="77" t="s">
        <v>1569</v>
      </c>
      <c r="D2974" s="13">
        <f>D2973</f>
        <v>10677.27</v>
      </c>
      <c r="E2974" s="15">
        <f t="shared" si="1"/>
        <v>2024</v>
      </c>
      <c r="F2974" s="15">
        <f t="shared" si="2"/>
        <v>10</v>
      </c>
      <c r="G2974" s="15">
        <f t="shared" si="3"/>
        <v>4</v>
      </c>
    </row>
    <row r="2975">
      <c r="A2975" s="10" t="s">
        <v>37</v>
      </c>
      <c r="B2975" s="94">
        <f t="shared" si="5"/>
        <v>45569</v>
      </c>
      <c r="C2975" s="77" t="s">
        <v>1570</v>
      </c>
      <c r="D2975" s="13">
        <f>SUMIFS('Lançamentos de receitas'!$E:$E,'Lançamentos de receitas'!$F:$F,"PAGO",'Lançamentos de receitas'!$C:$C,A2975,'Lançamentos de receitas'!$A:$A,B2975)</f>
        <v>1350.46</v>
      </c>
      <c r="E2975" s="15">
        <f t="shared" si="1"/>
        <v>2024</v>
      </c>
      <c r="F2975" s="15">
        <f t="shared" si="2"/>
        <v>10</v>
      </c>
      <c r="G2975" s="15">
        <f t="shared" si="3"/>
        <v>4</v>
      </c>
    </row>
    <row r="2976">
      <c r="A2976" s="10" t="s">
        <v>37</v>
      </c>
      <c r="B2976" s="94">
        <f t="shared" si="5"/>
        <v>45569</v>
      </c>
      <c r="C2976" s="77" t="s">
        <v>1571</v>
      </c>
      <c r="D2976" s="13">
        <f>SUMIFS('Lançamentos de despesas'!$I:$I,'Lançamentos de despesas'!$G:$G,A2976,'Lançamentos de despesas'!$E:$E,"PAGO",'Lançamentos de despesas'!$C:$C,B2976)</f>
        <v>0</v>
      </c>
      <c r="E2976" s="15">
        <f t="shared" si="1"/>
        <v>2024</v>
      </c>
      <c r="F2976" s="15">
        <f t="shared" si="2"/>
        <v>10</v>
      </c>
      <c r="G2976" s="15">
        <f t="shared" si="3"/>
        <v>4</v>
      </c>
    </row>
    <row r="2977">
      <c r="A2977" s="10" t="s">
        <v>37</v>
      </c>
      <c r="B2977" s="94">
        <f t="shared" si="5"/>
        <v>45569</v>
      </c>
      <c r="C2977" s="77" t="s">
        <v>1572</v>
      </c>
      <c r="D2977" s="13">
        <f>D2974+D2975-D2976</f>
        <v>12027.73</v>
      </c>
      <c r="E2977" s="15">
        <f t="shared" si="1"/>
        <v>2024</v>
      </c>
      <c r="F2977" s="15">
        <f t="shared" si="2"/>
        <v>10</v>
      </c>
      <c r="G2977" s="15">
        <f t="shared" si="3"/>
        <v>4</v>
      </c>
    </row>
    <row r="2978">
      <c r="A2978" s="10" t="s">
        <v>37</v>
      </c>
      <c r="B2978" s="94">
        <f t="shared" si="5"/>
        <v>45570</v>
      </c>
      <c r="C2978" s="77" t="s">
        <v>1569</v>
      </c>
      <c r="D2978" s="13">
        <f>D2977</f>
        <v>12027.73</v>
      </c>
      <c r="E2978" s="15">
        <f t="shared" si="1"/>
        <v>2024</v>
      </c>
      <c r="F2978" s="15">
        <f t="shared" si="2"/>
        <v>10</v>
      </c>
      <c r="G2978" s="15">
        <f t="shared" si="3"/>
        <v>5</v>
      </c>
    </row>
    <row r="2979">
      <c r="A2979" s="10" t="s">
        <v>37</v>
      </c>
      <c r="B2979" s="94">
        <f t="shared" si="5"/>
        <v>45570</v>
      </c>
      <c r="C2979" s="77" t="s">
        <v>1570</v>
      </c>
      <c r="D2979" s="13">
        <f>SUMIFS('Lançamentos de receitas'!$E:$E,'Lançamentos de receitas'!$F:$F,"PAGO",'Lançamentos de receitas'!$C:$C,A2979,'Lançamentos de receitas'!$A:$A,B2979)</f>
        <v>1072.88</v>
      </c>
      <c r="E2979" s="15">
        <f t="shared" si="1"/>
        <v>2024</v>
      </c>
      <c r="F2979" s="15">
        <f t="shared" si="2"/>
        <v>10</v>
      </c>
      <c r="G2979" s="15">
        <f t="shared" si="3"/>
        <v>5</v>
      </c>
    </row>
    <row r="2980">
      <c r="A2980" s="10" t="s">
        <v>37</v>
      </c>
      <c r="B2980" s="94">
        <f t="shared" si="5"/>
        <v>45570</v>
      </c>
      <c r="C2980" s="77" t="s">
        <v>1571</v>
      </c>
      <c r="D2980" s="13">
        <f>SUMIFS('Lançamentos de despesas'!$I:$I,'Lançamentos de despesas'!$G:$G,A2980,'Lançamentos de despesas'!$E:$E,"PAGO",'Lançamentos de despesas'!$C:$C,B2980)</f>
        <v>0</v>
      </c>
      <c r="E2980" s="15">
        <f t="shared" si="1"/>
        <v>2024</v>
      </c>
      <c r="F2980" s="15">
        <f t="shared" si="2"/>
        <v>10</v>
      </c>
      <c r="G2980" s="15">
        <f t="shared" si="3"/>
        <v>5</v>
      </c>
    </row>
    <row r="2981">
      <c r="A2981" s="10" t="s">
        <v>37</v>
      </c>
      <c r="B2981" s="94">
        <f t="shared" si="5"/>
        <v>45570</v>
      </c>
      <c r="C2981" s="77" t="s">
        <v>1572</v>
      </c>
      <c r="D2981" s="13">
        <f>D2978+D2979-D2980</f>
        <v>13100.61</v>
      </c>
      <c r="E2981" s="15">
        <f t="shared" si="1"/>
        <v>2024</v>
      </c>
      <c r="F2981" s="15">
        <f t="shared" si="2"/>
        <v>10</v>
      </c>
      <c r="G2981" s="15">
        <f t="shared" si="3"/>
        <v>5</v>
      </c>
    </row>
    <row r="2982">
      <c r="A2982" s="10" t="s">
        <v>37</v>
      </c>
      <c r="B2982" s="94">
        <f t="shared" si="5"/>
        <v>45571</v>
      </c>
      <c r="C2982" s="77" t="s">
        <v>1569</v>
      </c>
      <c r="D2982" s="13">
        <f>D2981</f>
        <v>13100.61</v>
      </c>
      <c r="E2982" s="15">
        <f t="shared" si="1"/>
        <v>2024</v>
      </c>
      <c r="F2982" s="15">
        <f t="shared" si="2"/>
        <v>10</v>
      </c>
      <c r="G2982" s="15">
        <f t="shared" si="3"/>
        <v>6</v>
      </c>
    </row>
    <row r="2983">
      <c r="A2983" s="10" t="s">
        <v>37</v>
      </c>
      <c r="B2983" s="94">
        <f t="shared" si="5"/>
        <v>45571</v>
      </c>
      <c r="C2983" s="77" t="s">
        <v>1570</v>
      </c>
      <c r="D2983" s="13">
        <f>SUMIFS('Lançamentos de receitas'!$E:$E,'Lançamentos de receitas'!$F:$F,"PAGO",'Lançamentos de receitas'!$C:$C,A2983,'Lançamentos de receitas'!$A:$A,B2983)</f>
        <v>1688.4</v>
      </c>
      <c r="E2983" s="15">
        <f t="shared" si="1"/>
        <v>2024</v>
      </c>
      <c r="F2983" s="15">
        <f t="shared" si="2"/>
        <v>10</v>
      </c>
      <c r="G2983" s="15">
        <f t="shared" si="3"/>
        <v>6</v>
      </c>
    </row>
    <row r="2984">
      <c r="A2984" s="10" t="s">
        <v>37</v>
      </c>
      <c r="B2984" s="94">
        <f t="shared" si="5"/>
        <v>45571</v>
      </c>
      <c r="C2984" s="77" t="s">
        <v>1571</v>
      </c>
      <c r="D2984" s="13">
        <f>SUMIFS('Lançamentos de despesas'!$I:$I,'Lançamentos de despesas'!$G:$G,A2984,'Lançamentos de despesas'!$E:$E,"PAGO",'Lançamentos de despesas'!$C:$C,B2984)</f>
        <v>0</v>
      </c>
      <c r="E2984" s="15">
        <f t="shared" si="1"/>
        <v>2024</v>
      </c>
      <c r="F2984" s="15">
        <f t="shared" si="2"/>
        <v>10</v>
      </c>
      <c r="G2984" s="15">
        <f t="shared" si="3"/>
        <v>6</v>
      </c>
    </row>
    <row r="2985">
      <c r="A2985" s="10" t="s">
        <v>37</v>
      </c>
      <c r="B2985" s="94">
        <f t="shared" si="5"/>
        <v>45571</v>
      </c>
      <c r="C2985" s="77" t="s">
        <v>1572</v>
      </c>
      <c r="D2985" s="13">
        <f>D2982+D2983-D2984</f>
        <v>14789.01</v>
      </c>
      <c r="E2985" s="15">
        <f t="shared" si="1"/>
        <v>2024</v>
      </c>
      <c r="F2985" s="15">
        <f t="shared" si="2"/>
        <v>10</v>
      </c>
      <c r="G2985" s="15">
        <f t="shared" si="3"/>
        <v>6</v>
      </c>
    </row>
    <row r="2986">
      <c r="A2986" s="10" t="s">
        <v>37</v>
      </c>
      <c r="B2986" s="94">
        <f t="shared" si="5"/>
        <v>45572</v>
      </c>
      <c r="C2986" s="77" t="s">
        <v>1569</v>
      </c>
      <c r="D2986" s="13">
        <f>D2985</f>
        <v>14789.01</v>
      </c>
      <c r="E2986" s="15">
        <f t="shared" si="1"/>
        <v>2024</v>
      </c>
      <c r="F2986" s="15">
        <f t="shared" si="2"/>
        <v>10</v>
      </c>
      <c r="G2986" s="15">
        <f t="shared" si="3"/>
        <v>7</v>
      </c>
    </row>
    <row r="2987">
      <c r="A2987" s="10" t="s">
        <v>37</v>
      </c>
      <c r="B2987" s="94">
        <f t="shared" si="5"/>
        <v>45572</v>
      </c>
      <c r="C2987" s="77" t="s">
        <v>1570</v>
      </c>
      <c r="D2987" s="13">
        <f>SUMIFS('Lançamentos de receitas'!$E:$E,'Lançamentos de receitas'!$F:$F,"PAGO",'Lançamentos de receitas'!$C:$C,A2987,'Lançamentos de receitas'!$A:$A,B2987)</f>
        <v>38.17</v>
      </c>
      <c r="E2987" s="15">
        <f t="shared" si="1"/>
        <v>2024</v>
      </c>
      <c r="F2987" s="15">
        <f t="shared" si="2"/>
        <v>10</v>
      </c>
      <c r="G2987" s="15">
        <f t="shared" si="3"/>
        <v>7</v>
      </c>
    </row>
    <row r="2988">
      <c r="A2988" s="10" t="s">
        <v>37</v>
      </c>
      <c r="B2988" s="94">
        <f t="shared" si="5"/>
        <v>45572</v>
      </c>
      <c r="C2988" s="77" t="s">
        <v>1571</v>
      </c>
      <c r="D2988" s="13">
        <f>SUMIFS('Lançamentos de despesas'!$I:$I,'Lançamentos de despesas'!$G:$G,A2988,'Lançamentos de despesas'!$E:$E,"PAGO",'Lançamentos de despesas'!$C:$C,B2988)</f>
        <v>0</v>
      </c>
      <c r="E2988" s="15">
        <f t="shared" si="1"/>
        <v>2024</v>
      </c>
      <c r="F2988" s="15">
        <f t="shared" si="2"/>
        <v>10</v>
      </c>
      <c r="G2988" s="15">
        <f t="shared" si="3"/>
        <v>7</v>
      </c>
    </row>
    <row r="2989">
      <c r="A2989" s="10" t="s">
        <v>37</v>
      </c>
      <c r="B2989" s="94">
        <f t="shared" si="5"/>
        <v>45572</v>
      </c>
      <c r="C2989" s="77" t="s">
        <v>1572</v>
      </c>
      <c r="D2989" s="13">
        <f>D2986+D2987-D2988</f>
        <v>14827.18</v>
      </c>
      <c r="E2989" s="15">
        <f t="shared" si="1"/>
        <v>2024</v>
      </c>
      <c r="F2989" s="15">
        <f t="shared" si="2"/>
        <v>10</v>
      </c>
      <c r="G2989" s="15">
        <f t="shared" si="3"/>
        <v>7</v>
      </c>
    </row>
    <row r="2990">
      <c r="A2990" s="10" t="s">
        <v>37</v>
      </c>
      <c r="B2990" s="94">
        <f t="shared" si="5"/>
        <v>45573</v>
      </c>
      <c r="C2990" s="77" t="s">
        <v>1569</v>
      </c>
      <c r="D2990" s="13">
        <f>D2989</f>
        <v>14827.18</v>
      </c>
      <c r="E2990" s="15">
        <f t="shared" si="1"/>
        <v>2024</v>
      </c>
      <c r="F2990" s="15">
        <f t="shared" si="2"/>
        <v>10</v>
      </c>
      <c r="G2990" s="15">
        <f t="shared" si="3"/>
        <v>8</v>
      </c>
    </row>
    <row r="2991">
      <c r="A2991" s="10" t="s">
        <v>37</v>
      </c>
      <c r="B2991" s="94">
        <f t="shared" si="5"/>
        <v>45573</v>
      </c>
      <c r="C2991" s="77" t="s">
        <v>1570</v>
      </c>
      <c r="D2991" s="13">
        <f>SUMIFS('Lançamentos de receitas'!$E:$E,'Lançamentos de receitas'!$F:$F,"PAGO",'Lançamentos de receitas'!$C:$C,A2991,'Lançamentos de receitas'!$A:$A,B2991)</f>
        <v>2512.22</v>
      </c>
      <c r="E2991" s="15">
        <f t="shared" si="1"/>
        <v>2024</v>
      </c>
      <c r="F2991" s="15">
        <f t="shared" si="2"/>
        <v>10</v>
      </c>
      <c r="G2991" s="15">
        <f t="shared" si="3"/>
        <v>8</v>
      </c>
    </row>
    <row r="2992">
      <c r="A2992" s="10" t="s">
        <v>37</v>
      </c>
      <c r="B2992" s="94">
        <f t="shared" si="5"/>
        <v>45573</v>
      </c>
      <c r="C2992" s="77" t="s">
        <v>1571</v>
      </c>
      <c r="D2992" s="13">
        <f>SUMIFS('Lançamentos de despesas'!$I:$I,'Lançamentos de despesas'!$G:$G,A2992,'Lançamentos de despesas'!$E:$E,"PAGO",'Lançamentos de despesas'!$C:$C,B2992)</f>
        <v>0</v>
      </c>
      <c r="E2992" s="15">
        <f t="shared" si="1"/>
        <v>2024</v>
      </c>
      <c r="F2992" s="15">
        <f t="shared" si="2"/>
        <v>10</v>
      </c>
      <c r="G2992" s="15">
        <f t="shared" si="3"/>
        <v>8</v>
      </c>
    </row>
    <row r="2993">
      <c r="A2993" s="10" t="s">
        <v>37</v>
      </c>
      <c r="B2993" s="94">
        <f t="shared" si="5"/>
        <v>45573</v>
      </c>
      <c r="C2993" s="77" t="s">
        <v>1572</v>
      </c>
      <c r="D2993" s="13">
        <f>D2990+D2991-D2992</f>
        <v>17339.4</v>
      </c>
      <c r="E2993" s="15">
        <f t="shared" si="1"/>
        <v>2024</v>
      </c>
      <c r="F2993" s="15">
        <f t="shared" si="2"/>
        <v>10</v>
      </c>
      <c r="G2993" s="15">
        <f t="shared" si="3"/>
        <v>8</v>
      </c>
    </row>
    <row r="2994">
      <c r="A2994" s="10" t="s">
        <v>37</v>
      </c>
      <c r="B2994" s="94">
        <f t="shared" si="5"/>
        <v>45574</v>
      </c>
      <c r="C2994" s="77" t="s">
        <v>1569</v>
      </c>
      <c r="D2994" s="13">
        <f>D2993</f>
        <v>17339.4</v>
      </c>
      <c r="E2994" s="15">
        <f t="shared" si="1"/>
        <v>2024</v>
      </c>
      <c r="F2994" s="15">
        <f t="shared" si="2"/>
        <v>10</v>
      </c>
      <c r="G2994" s="15">
        <f t="shared" si="3"/>
        <v>9</v>
      </c>
    </row>
    <row r="2995">
      <c r="A2995" s="10" t="s">
        <v>37</v>
      </c>
      <c r="B2995" s="94">
        <f t="shared" si="5"/>
        <v>45574</v>
      </c>
      <c r="C2995" s="77" t="s">
        <v>1570</v>
      </c>
      <c r="D2995" s="13">
        <f>SUMIFS('Lançamentos de receitas'!$E:$E,'Lançamentos de receitas'!$F:$F,"PAGO",'Lançamentos de receitas'!$C:$C,A2995,'Lançamentos de receitas'!$A:$A,B2995)</f>
        <v>1037.43</v>
      </c>
      <c r="E2995" s="15">
        <f t="shared" si="1"/>
        <v>2024</v>
      </c>
      <c r="F2995" s="15">
        <f t="shared" si="2"/>
        <v>10</v>
      </c>
      <c r="G2995" s="15">
        <f t="shared" si="3"/>
        <v>9</v>
      </c>
    </row>
    <row r="2996">
      <c r="A2996" s="10" t="s">
        <v>37</v>
      </c>
      <c r="B2996" s="94">
        <f t="shared" si="5"/>
        <v>45574</v>
      </c>
      <c r="C2996" s="77" t="s">
        <v>1571</v>
      </c>
      <c r="D2996" s="13">
        <f>SUMIFS('Lançamentos de despesas'!$I:$I,'Lançamentos de despesas'!$G:$G,A2996,'Lançamentos de despesas'!$E:$E,"PAGO",'Lançamentos de despesas'!$C:$C,B2996)</f>
        <v>0</v>
      </c>
      <c r="E2996" s="15">
        <f t="shared" si="1"/>
        <v>2024</v>
      </c>
      <c r="F2996" s="15">
        <f t="shared" si="2"/>
        <v>10</v>
      </c>
      <c r="G2996" s="15">
        <f t="shared" si="3"/>
        <v>9</v>
      </c>
    </row>
    <row r="2997">
      <c r="A2997" s="10" t="s">
        <v>37</v>
      </c>
      <c r="B2997" s="94">
        <f t="shared" si="5"/>
        <v>45574</v>
      </c>
      <c r="C2997" s="77" t="s">
        <v>1572</v>
      </c>
      <c r="D2997" s="13">
        <f>D2994+D2995-D2996</f>
        <v>18376.83</v>
      </c>
      <c r="E2997" s="15">
        <f t="shared" si="1"/>
        <v>2024</v>
      </c>
      <c r="F2997" s="15">
        <f t="shared" si="2"/>
        <v>10</v>
      </c>
      <c r="G2997" s="15">
        <f t="shared" si="3"/>
        <v>9</v>
      </c>
    </row>
    <row r="2998">
      <c r="A2998" s="10" t="s">
        <v>37</v>
      </c>
      <c r="B2998" s="94">
        <f t="shared" si="5"/>
        <v>45575</v>
      </c>
      <c r="C2998" s="77" t="s">
        <v>1569</v>
      </c>
      <c r="D2998" s="13">
        <f>D2997</f>
        <v>18376.83</v>
      </c>
      <c r="E2998" s="15">
        <f t="shared" si="1"/>
        <v>2024</v>
      </c>
      <c r="F2998" s="15">
        <f t="shared" si="2"/>
        <v>10</v>
      </c>
      <c r="G2998" s="15">
        <f t="shared" si="3"/>
        <v>10</v>
      </c>
    </row>
    <row r="2999">
      <c r="A2999" s="10" t="s">
        <v>37</v>
      </c>
      <c r="B2999" s="94">
        <f t="shared" si="5"/>
        <v>45575</v>
      </c>
      <c r="C2999" s="77" t="s">
        <v>1570</v>
      </c>
      <c r="D2999" s="13">
        <f>SUMIFS('Lançamentos de receitas'!$E:$E,'Lançamentos de receitas'!$F:$F,"PAGO",'Lançamentos de receitas'!$C:$C,A2999,'Lançamentos de receitas'!$A:$A,B2999)</f>
        <v>1091.22</v>
      </c>
      <c r="E2999" s="15">
        <f t="shared" si="1"/>
        <v>2024</v>
      </c>
      <c r="F2999" s="15">
        <f t="shared" si="2"/>
        <v>10</v>
      </c>
      <c r="G2999" s="15">
        <f t="shared" si="3"/>
        <v>10</v>
      </c>
    </row>
    <row r="3000">
      <c r="A3000" s="10" t="s">
        <v>37</v>
      </c>
      <c r="B3000" s="94">
        <f t="shared" si="5"/>
        <v>45575</v>
      </c>
      <c r="C3000" s="77" t="s">
        <v>1571</v>
      </c>
      <c r="D3000" s="13">
        <f>SUMIFS('Lançamentos de despesas'!$I:$I,'Lançamentos de despesas'!$G:$G,A3000,'Lançamentos de despesas'!$E:$E,"PAGO",'Lançamentos de despesas'!$C:$C,B3000)</f>
        <v>15531.41</v>
      </c>
      <c r="E3000" s="15">
        <f t="shared" si="1"/>
        <v>2024</v>
      </c>
      <c r="F3000" s="15">
        <f t="shared" si="2"/>
        <v>10</v>
      </c>
      <c r="G3000" s="15">
        <f t="shared" si="3"/>
        <v>10</v>
      </c>
    </row>
    <row r="3001">
      <c r="A3001" s="10" t="s">
        <v>37</v>
      </c>
      <c r="B3001" s="94">
        <f t="shared" si="5"/>
        <v>45575</v>
      </c>
      <c r="C3001" s="77" t="s">
        <v>1572</v>
      </c>
      <c r="D3001" s="13">
        <f>D2998+D2999-D3000</f>
        <v>3936.64</v>
      </c>
      <c r="E3001" s="15">
        <f t="shared" si="1"/>
        <v>2024</v>
      </c>
      <c r="F3001" s="15">
        <f t="shared" si="2"/>
        <v>10</v>
      </c>
      <c r="G3001" s="15">
        <f t="shared" si="3"/>
        <v>10</v>
      </c>
    </row>
    <row r="3002">
      <c r="A3002" s="10" t="s">
        <v>37</v>
      </c>
      <c r="B3002" s="94">
        <f t="shared" si="5"/>
        <v>45576</v>
      </c>
      <c r="C3002" s="77" t="s">
        <v>1569</v>
      </c>
      <c r="D3002" s="13">
        <f>D3001</f>
        <v>3936.64</v>
      </c>
      <c r="E3002" s="15">
        <f t="shared" si="1"/>
        <v>2024</v>
      </c>
      <c r="F3002" s="15">
        <f t="shared" si="2"/>
        <v>10</v>
      </c>
      <c r="G3002" s="15">
        <f t="shared" si="3"/>
        <v>11</v>
      </c>
    </row>
    <row r="3003">
      <c r="A3003" s="10" t="s">
        <v>37</v>
      </c>
      <c r="B3003" s="94">
        <f t="shared" si="5"/>
        <v>45576</v>
      </c>
      <c r="C3003" s="77" t="s">
        <v>1570</v>
      </c>
      <c r="D3003" s="13">
        <f>SUMIFS('Lançamentos de receitas'!$E:$E,'Lançamentos de receitas'!$F:$F,"PAGO",'Lançamentos de receitas'!$C:$C,A3003,'Lançamentos de receitas'!$A:$A,B3003)</f>
        <v>1279.69</v>
      </c>
      <c r="E3003" s="15">
        <f t="shared" si="1"/>
        <v>2024</v>
      </c>
      <c r="F3003" s="15">
        <f t="shared" si="2"/>
        <v>10</v>
      </c>
      <c r="G3003" s="15">
        <f t="shared" si="3"/>
        <v>11</v>
      </c>
    </row>
    <row r="3004">
      <c r="A3004" s="10" t="s">
        <v>37</v>
      </c>
      <c r="B3004" s="94">
        <f t="shared" si="5"/>
        <v>45576</v>
      </c>
      <c r="C3004" s="77" t="s">
        <v>1571</v>
      </c>
      <c r="D3004" s="13">
        <f>SUMIFS('Lançamentos de despesas'!$I:$I,'Lançamentos de despesas'!$G:$G,A3004,'Lançamentos de despesas'!$E:$E,"PAGO",'Lançamentos de despesas'!$C:$C,B3004)</f>
        <v>50</v>
      </c>
      <c r="E3004" s="15">
        <f t="shared" si="1"/>
        <v>2024</v>
      </c>
      <c r="F3004" s="15">
        <f t="shared" si="2"/>
        <v>10</v>
      </c>
      <c r="G3004" s="15">
        <f t="shared" si="3"/>
        <v>11</v>
      </c>
    </row>
    <row r="3005">
      <c r="A3005" s="10" t="s">
        <v>37</v>
      </c>
      <c r="B3005" s="94">
        <f t="shared" si="5"/>
        <v>45576</v>
      </c>
      <c r="C3005" s="77" t="s">
        <v>1572</v>
      </c>
      <c r="D3005" s="13">
        <f>D3002+D3003-D3004</f>
        <v>5166.33</v>
      </c>
      <c r="E3005" s="15">
        <f t="shared" si="1"/>
        <v>2024</v>
      </c>
      <c r="F3005" s="15">
        <f t="shared" si="2"/>
        <v>10</v>
      </c>
      <c r="G3005" s="15">
        <f t="shared" si="3"/>
        <v>11</v>
      </c>
    </row>
    <row r="3006">
      <c r="A3006" s="10" t="s">
        <v>37</v>
      </c>
      <c r="B3006" s="94">
        <f t="shared" si="5"/>
        <v>45577</v>
      </c>
      <c r="C3006" s="77" t="s">
        <v>1569</v>
      </c>
      <c r="D3006" s="13">
        <f>D3005</f>
        <v>5166.33</v>
      </c>
      <c r="E3006" s="15">
        <f t="shared" si="1"/>
        <v>2024</v>
      </c>
      <c r="F3006" s="15">
        <f t="shared" si="2"/>
        <v>10</v>
      </c>
      <c r="G3006" s="15">
        <f t="shared" si="3"/>
        <v>12</v>
      </c>
    </row>
    <row r="3007">
      <c r="A3007" s="10" t="s">
        <v>37</v>
      </c>
      <c r="B3007" s="94">
        <f t="shared" si="5"/>
        <v>45577</v>
      </c>
      <c r="C3007" s="77" t="s">
        <v>1570</v>
      </c>
      <c r="D3007" s="13">
        <f>SUMIFS('Lançamentos de receitas'!$E:$E,'Lançamentos de receitas'!$F:$F,"PAGO",'Lançamentos de receitas'!$C:$C,A3007,'Lançamentos de receitas'!$A:$A,B3007)</f>
        <v>1510.22</v>
      </c>
      <c r="E3007" s="15">
        <f t="shared" si="1"/>
        <v>2024</v>
      </c>
      <c r="F3007" s="15">
        <f t="shared" si="2"/>
        <v>10</v>
      </c>
      <c r="G3007" s="15">
        <f t="shared" si="3"/>
        <v>12</v>
      </c>
    </row>
    <row r="3008">
      <c r="A3008" s="10" t="s">
        <v>37</v>
      </c>
      <c r="B3008" s="94">
        <f t="shared" si="5"/>
        <v>45577</v>
      </c>
      <c r="C3008" s="77" t="s">
        <v>1571</v>
      </c>
      <c r="D3008" s="13">
        <f>SUMIFS('Lançamentos de despesas'!$I:$I,'Lançamentos de despesas'!$G:$G,A3008,'Lançamentos de despesas'!$E:$E,"PAGO",'Lançamentos de despesas'!$C:$C,B3008)</f>
        <v>0</v>
      </c>
      <c r="E3008" s="15">
        <f t="shared" si="1"/>
        <v>2024</v>
      </c>
      <c r="F3008" s="15">
        <f t="shared" si="2"/>
        <v>10</v>
      </c>
      <c r="G3008" s="15">
        <f t="shared" si="3"/>
        <v>12</v>
      </c>
    </row>
    <row r="3009">
      <c r="A3009" s="10" t="s">
        <v>37</v>
      </c>
      <c r="B3009" s="94">
        <f t="shared" si="5"/>
        <v>45577</v>
      </c>
      <c r="C3009" s="77" t="s">
        <v>1572</v>
      </c>
      <c r="D3009" s="13">
        <f>D3006+D3007-D3008</f>
        <v>6676.55</v>
      </c>
      <c r="E3009" s="15">
        <f t="shared" si="1"/>
        <v>2024</v>
      </c>
      <c r="F3009" s="15">
        <f t="shared" si="2"/>
        <v>10</v>
      </c>
      <c r="G3009" s="15">
        <f t="shared" si="3"/>
        <v>12</v>
      </c>
    </row>
    <row r="3010">
      <c r="A3010" s="10" t="s">
        <v>37</v>
      </c>
      <c r="B3010" s="94">
        <f t="shared" si="5"/>
        <v>45578</v>
      </c>
      <c r="C3010" s="77" t="s">
        <v>1569</v>
      </c>
      <c r="D3010" s="13">
        <f>D3009</f>
        <v>6676.55</v>
      </c>
      <c r="E3010" s="15">
        <f t="shared" si="1"/>
        <v>2024</v>
      </c>
      <c r="F3010" s="15">
        <f t="shared" si="2"/>
        <v>10</v>
      </c>
      <c r="G3010" s="15">
        <f t="shared" si="3"/>
        <v>13</v>
      </c>
    </row>
    <row r="3011">
      <c r="A3011" s="10" t="s">
        <v>37</v>
      </c>
      <c r="B3011" s="94">
        <f t="shared" si="5"/>
        <v>45578</v>
      </c>
      <c r="C3011" s="77" t="s">
        <v>1570</v>
      </c>
      <c r="D3011" s="13">
        <f>SUMIFS('Lançamentos de receitas'!$E:$E,'Lançamentos de receitas'!$F:$F,"PAGO",'Lançamentos de receitas'!$C:$C,A3011,'Lançamentos de receitas'!$A:$A,B3011)</f>
        <v>1632.47</v>
      </c>
      <c r="E3011" s="15">
        <f t="shared" si="1"/>
        <v>2024</v>
      </c>
      <c r="F3011" s="15">
        <f t="shared" si="2"/>
        <v>10</v>
      </c>
      <c r="G3011" s="15">
        <f t="shared" si="3"/>
        <v>13</v>
      </c>
    </row>
    <row r="3012">
      <c r="A3012" s="10" t="s">
        <v>37</v>
      </c>
      <c r="B3012" s="94">
        <f t="shared" si="5"/>
        <v>45578</v>
      </c>
      <c r="C3012" s="77" t="s">
        <v>1571</v>
      </c>
      <c r="D3012" s="13">
        <f>SUMIFS('Lançamentos de despesas'!$I:$I,'Lançamentos de despesas'!$G:$G,A3012,'Lançamentos de despesas'!$E:$E,"PAGO",'Lançamentos de despesas'!$C:$C,B3012)</f>
        <v>0</v>
      </c>
      <c r="E3012" s="15">
        <f t="shared" si="1"/>
        <v>2024</v>
      </c>
      <c r="F3012" s="15">
        <f t="shared" si="2"/>
        <v>10</v>
      </c>
      <c r="G3012" s="15">
        <f t="shared" si="3"/>
        <v>13</v>
      </c>
    </row>
    <row r="3013">
      <c r="A3013" s="10" t="s">
        <v>37</v>
      </c>
      <c r="B3013" s="94">
        <f t="shared" si="5"/>
        <v>45578</v>
      </c>
      <c r="C3013" s="77" t="s">
        <v>1572</v>
      </c>
      <c r="D3013" s="13">
        <f>D3010+D3011-D3012</f>
        <v>8309.02</v>
      </c>
      <c r="E3013" s="15">
        <f t="shared" si="1"/>
        <v>2024</v>
      </c>
      <c r="F3013" s="15">
        <f t="shared" si="2"/>
        <v>10</v>
      </c>
      <c r="G3013" s="15">
        <f t="shared" si="3"/>
        <v>13</v>
      </c>
    </row>
    <row r="3014">
      <c r="A3014" s="10" t="s">
        <v>37</v>
      </c>
      <c r="B3014" s="94">
        <f t="shared" si="5"/>
        <v>45579</v>
      </c>
      <c r="C3014" s="77" t="s">
        <v>1569</v>
      </c>
      <c r="D3014" s="13">
        <f>D3013</f>
        <v>8309.02</v>
      </c>
      <c r="E3014" s="15">
        <f t="shared" si="1"/>
        <v>2024</v>
      </c>
      <c r="F3014" s="15">
        <f t="shared" si="2"/>
        <v>10</v>
      </c>
      <c r="G3014" s="15">
        <f t="shared" si="3"/>
        <v>14</v>
      </c>
    </row>
    <row r="3015">
      <c r="A3015" s="10" t="s">
        <v>37</v>
      </c>
      <c r="B3015" s="94">
        <f t="shared" si="5"/>
        <v>45579</v>
      </c>
      <c r="C3015" s="77" t="s">
        <v>1570</v>
      </c>
      <c r="D3015" s="13">
        <f>SUMIFS('Lançamentos de receitas'!$E:$E,'Lançamentos de receitas'!$F:$F,"PAGO",'Lançamentos de receitas'!$C:$C,A3015,'Lançamentos de receitas'!$A:$A,B3015)</f>
        <v>193.19</v>
      </c>
      <c r="E3015" s="15">
        <f t="shared" si="1"/>
        <v>2024</v>
      </c>
      <c r="F3015" s="15">
        <f t="shared" si="2"/>
        <v>10</v>
      </c>
      <c r="G3015" s="15">
        <f t="shared" si="3"/>
        <v>14</v>
      </c>
    </row>
    <row r="3016">
      <c r="A3016" s="10" t="s">
        <v>37</v>
      </c>
      <c r="B3016" s="94">
        <f t="shared" si="5"/>
        <v>45579</v>
      </c>
      <c r="C3016" s="77" t="s">
        <v>1571</v>
      </c>
      <c r="D3016" s="13">
        <f>SUMIFS('Lançamentos de despesas'!$I:$I,'Lançamentos de despesas'!$G:$G,A3016,'Lançamentos de despesas'!$E:$E,"PAGO",'Lançamentos de despesas'!$C:$C,B3016)</f>
        <v>688.68</v>
      </c>
      <c r="E3016" s="15">
        <f t="shared" si="1"/>
        <v>2024</v>
      </c>
      <c r="F3016" s="15">
        <f t="shared" si="2"/>
        <v>10</v>
      </c>
      <c r="G3016" s="15">
        <f t="shared" si="3"/>
        <v>14</v>
      </c>
    </row>
    <row r="3017">
      <c r="A3017" s="10" t="s">
        <v>37</v>
      </c>
      <c r="B3017" s="94">
        <f t="shared" si="5"/>
        <v>45579</v>
      </c>
      <c r="C3017" s="77" t="s">
        <v>1572</v>
      </c>
      <c r="D3017" s="13">
        <f>D3014+D3015-D3016</f>
        <v>7813.53</v>
      </c>
      <c r="E3017" s="15">
        <f t="shared" si="1"/>
        <v>2024</v>
      </c>
      <c r="F3017" s="15">
        <f t="shared" si="2"/>
        <v>10</v>
      </c>
      <c r="G3017" s="15">
        <f t="shared" si="3"/>
        <v>14</v>
      </c>
    </row>
    <row r="3018">
      <c r="A3018" s="10" t="s">
        <v>37</v>
      </c>
      <c r="B3018" s="94">
        <f t="shared" si="5"/>
        <v>45580</v>
      </c>
      <c r="C3018" s="77" t="s">
        <v>1569</v>
      </c>
      <c r="D3018" s="13">
        <f>D3017</f>
        <v>7813.53</v>
      </c>
      <c r="E3018" s="15">
        <f t="shared" si="1"/>
        <v>2024</v>
      </c>
      <c r="F3018" s="15">
        <f t="shared" si="2"/>
        <v>10</v>
      </c>
      <c r="G3018" s="15">
        <f t="shared" si="3"/>
        <v>15</v>
      </c>
    </row>
    <row r="3019">
      <c r="A3019" s="10" t="s">
        <v>37</v>
      </c>
      <c r="B3019" s="94">
        <f t="shared" si="5"/>
        <v>45580</v>
      </c>
      <c r="C3019" s="77" t="s">
        <v>1570</v>
      </c>
      <c r="D3019" s="13">
        <f>SUMIFS('Lançamentos de receitas'!$E:$E,'Lançamentos de receitas'!$F:$F,"PAGO",'Lançamentos de receitas'!$C:$C,A3019,'Lançamentos de receitas'!$A:$A,B3019)</f>
        <v>333.46</v>
      </c>
      <c r="E3019" s="15">
        <f t="shared" si="1"/>
        <v>2024</v>
      </c>
      <c r="F3019" s="15">
        <f t="shared" si="2"/>
        <v>10</v>
      </c>
      <c r="G3019" s="15">
        <f t="shared" si="3"/>
        <v>15</v>
      </c>
    </row>
    <row r="3020">
      <c r="A3020" s="10" t="s">
        <v>37</v>
      </c>
      <c r="B3020" s="94">
        <f t="shared" si="5"/>
        <v>45580</v>
      </c>
      <c r="C3020" s="77" t="s">
        <v>1571</v>
      </c>
      <c r="D3020" s="13">
        <f>SUMIFS('Lançamentos de despesas'!$I:$I,'Lançamentos de despesas'!$G:$G,A3020,'Lançamentos de despesas'!$E:$E,"PAGO",'Lançamentos de despesas'!$C:$C,B3020)</f>
        <v>0</v>
      </c>
      <c r="E3020" s="15">
        <f t="shared" si="1"/>
        <v>2024</v>
      </c>
      <c r="F3020" s="15">
        <f t="shared" si="2"/>
        <v>10</v>
      </c>
      <c r="G3020" s="15">
        <f t="shared" si="3"/>
        <v>15</v>
      </c>
    </row>
    <row r="3021">
      <c r="A3021" s="10" t="s">
        <v>37</v>
      </c>
      <c r="B3021" s="94">
        <f t="shared" si="5"/>
        <v>45580</v>
      </c>
      <c r="C3021" s="77" t="s">
        <v>1572</v>
      </c>
      <c r="D3021" s="13">
        <f>D3018+D3019-D3020</f>
        <v>8146.99</v>
      </c>
      <c r="E3021" s="15">
        <f t="shared" si="1"/>
        <v>2024</v>
      </c>
      <c r="F3021" s="15">
        <f t="shared" si="2"/>
        <v>10</v>
      </c>
      <c r="G3021" s="15">
        <f t="shared" si="3"/>
        <v>15</v>
      </c>
    </row>
    <row r="3022">
      <c r="A3022" s="10" t="s">
        <v>37</v>
      </c>
      <c r="B3022" s="94">
        <f t="shared" si="5"/>
        <v>45581</v>
      </c>
      <c r="C3022" s="77" t="s">
        <v>1569</v>
      </c>
      <c r="D3022" s="13">
        <f>D3021</f>
        <v>8146.99</v>
      </c>
      <c r="E3022" s="15">
        <f t="shared" si="1"/>
        <v>2024</v>
      </c>
      <c r="F3022" s="15">
        <f t="shared" si="2"/>
        <v>10</v>
      </c>
      <c r="G3022" s="15">
        <f t="shared" si="3"/>
        <v>16</v>
      </c>
    </row>
    <row r="3023">
      <c r="A3023" s="10" t="s">
        <v>37</v>
      </c>
      <c r="B3023" s="94">
        <f t="shared" si="5"/>
        <v>45581</v>
      </c>
      <c r="C3023" s="77" t="s">
        <v>1570</v>
      </c>
      <c r="D3023" s="13">
        <f>SUMIFS('Lançamentos de receitas'!$E:$E,'Lançamentos de receitas'!$F:$F,"PAGO",'Lançamentos de receitas'!$C:$C,A3023,'Lançamentos de receitas'!$A:$A,B3023)</f>
        <v>1011.96</v>
      </c>
      <c r="E3023" s="15">
        <f t="shared" si="1"/>
        <v>2024</v>
      </c>
      <c r="F3023" s="15">
        <f t="shared" si="2"/>
        <v>10</v>
      </c>
      <c r="G3023" s="15">
        <f t="shared" si="3"/>
        <v>16</v>
      </c>
    </row>
    <row r="3024">
      <c r="A3024" s="10" t="s">
        <v>37</v>
      </c>
      <c r="B3024" s="94">
        <f t="shared" si="5"/>
        <v>45581</v>
      </c>
      <c r="C3024" s="77" t="s">
        <v>1571</v>
      </c>
      <c r="D3024" s="13">
        <f>SUMIFS('Lançamentos de despesas'!$I:$I,'Lançamentos de despesas'!$G:$G,A3024,'Lançamentos de despesas'!$E:$E,"PAGO",'Lançamentos de despesas'!$C:$C,B3024)</f>
        <v>0</v>
      </c>
      <c r="E3024" s="15">
        <f t="shared" si="1"/>
        <v>2024</v>
      </c>
      <c r="F3024" s="15">
        <f t="shared" si="2"/>
        <v>10</v>
      </c>
      <c r="G3024" s="15">
        <f t="shared" si="3"/>
        <v>16</v>
      </c>
    </row>
    <row r="3025">
      <c r="A3025" s="10" t="s">
        <v>37</v>
      </c>
      <c r="B3025" s="94">
        <f t="shared" si="5"/>
        <v>45581</v>
      </c>
      <c r="C3025" s="77" t="s">
        <v>1572</v>
      </c>
      <c r="D3025" s="13">
        <f>D3022+D3023-D3024</f>
        <v>9158.95</v>
      </c>
      <c r="E3025" s="15">
        <f t="shared" si="1"/>
        <v>2024</v>
      </c>
      <c r="F3025" s="15">
        <f t="shared" si="2"/>
        <v>10</v>
      </c>
      <c r="G3025" s="15">
        <f t="shared" si="3"/>
        <v>16</v>
      </c>
    </row>
    <row r="3026">
      <c r="A3026" s="10" t="s">
        <v>37</v>
      </c>
      <c r="B3026" s="94">
        <f t="shared" si="5"/>
        <v>45582</v>
      </c>
      <c r="C3026" s="77" t="s">
        <v>1569</v>
      </c>
      <c r="D3026" s="13">
        <f>D3025</f>
        <v>9158.95</v>
      </c>
      <c r="E3026" s="15">
        <f t="shared" si="1"/>
        <v>2024</v>
      </c>
      <c r="F3026" s="15">
        <f t="shared" si="2"/>
        <v>10</v>
      </c>
      <c r="G3026" s="15">
        <f t="shared" si="3"/>
        <v>17</v>
      </c>
    </row>
    <row r="3027">
      <c r="A3027" s="10" t="s">
        <v>37</v>
      </c>
      <c r="B3027" s="94">
        <f t="shared" si="5"/>
        <v>45582</v>
      </c>
      <c r="C3027" s="77" t="s">
        <v>1570</v>
      </c>
      <c r="D3027" s="13">
        <f>SUMIFS('Lançamentos de receitas'!$E:$E,'Lançamentos de receitas'!$F:$F,"PAGO",'Lançamentos de receitas'!$C:$C,A3027,'Lançamentos de receitas'!$A:$A,B3027)</f>
        <v>1155.21</v>
      </c>
      <c r="E3027" s="15">
        <f t="shared" si="1"/>
        <v>2024</v>
      </c>
      <c r="F3027" s="15">
        <f t="shared" si="2"/>
        <v>10</v>
      </c>
      <c r="G3027" s="15">
        <f t="shared" si="3"/>
        <v>17</v>
      </c>
    </row>
    <row r="3028">
      <c r="A3028" s="10" t="s">
        <v>37</v>
      </c>
      <c r="B3028" s="94">
        <f t="shared" si="5"/>
        <v>45582</v>
      </c>
      <c r="C3028" s="77" t="s">
        <v>1571</v>
      </c>
      <c r="D3028" s="13">
        <f>SUMIFS('Lançamentos de despesas'!$I:$I,'Lançamentos de despesas'!$G:$G,A3028,'Lançamentos de despesas'!$E:$E,"PAGO",'Lançamentos de despesas'!$C:$C,B3028)</f>
        <v>0</v>
      </c>
      <c r="E3028" s="15">
        <f t="shared" si="1"/>
        <v>2024</v>
      </c>
      <c r="F3028" s="15">
        <f t="shared" si="2"/>
        <v>10</v>
      </c>
      <c r="G3028" s="15">
        <f t="shared" si="3"/>
        <v>17</v>
      </c>
    </row>
    <row r="3029">
      <c r="A3029" s="10" t="s">
        <v>37</v>
      </c>
      <c r="B3029" s="94">
        <f t="shared" si="5"/>
        <v>45582</v>
      </c>
      <c r="C3029" s="77" t="s">
        <v>1572</v>
      </c>
      <c r="D3029" s="13">
        <f>D3026+D3027-D3028</f>
        <v>10314.16</v>
      </c>
      <c r="E3029" s="15">
        <f t="shared" si="1"/>
        <v>2024</v>
      </c>
      <c r="F3029" s="15">
        <f t="shared" si="2"/>
        <v>10</v>
      </c>
      <c r="G3029" s="15">
        <f t="shared" si="3"/>
        <v>17</v>
      </c>
    </row>
    <row r="3030">
      <c r="A3030" s="10" t="s">
        <v>37</v>
      </c>
      <c r="B3030" s="94">
        <f t="shared" si="5"/>
        <v>45583</v>
      </c>
      <c r="C3030" s="77" t="s">
        <v>1569</v>
      </c>
      <c r="D3030" s="13">
        <f>D3029</f>
        <v>10314.16</v>
      </c>
      <c r="E3030" s="15">
        <f t="shared" si="1"/>
        <v>2024</v>
      </c>
      <c r="F3030" s="15">
        <f t="shared" si="2"/>
        <v>10</v>
      </c>
      <c r="G3030" s="15">
        <f t="shared" si="3"/>
        <v>18</v>
      </c>
    </row>
    <row r="3031">
      <c r="A3031" s="10" t="s">
        <v>37</v>
      </c>
      <c r="B3031" s="94">
        <f t="shared" si="5"/>
        <v>45583</v>
      </c>
      <c r="C3031" s="77" t="s">
        <v>1570</v>
      </c>
      <c r="D3031" s="13">
        <f>SUMIFS('Lançamentos de receitas'!$E:$E,'Lançamentos de receitas'!$F:$F,"PAGO",'Lançamentos de receitas'!$C:$C,A3031,'Lançamentos de receitas'!$A:$A,B3031)</f>
        <v>2010.22</v>
      </c>
      <c r="E3031" s="15">
        <f t="shared" si="1"/>
        <v>2024</v>
      </c>
      <c r="F3031" s="15">
        <f t="shared" si="2"/>
        <v>10</v>
      </c>
      <c r="G3031" s="15">
        <f t="shared" si="3"/>
        <v>18</v>
      </c>
    </row>
    <row r="3032">
      <c r="A3032" s="10" t="s">
        <v>37</v>
      </c>
      <c r="B3032" s="94">
        <f t="shared" si="5"/>
        <v>45583</v>
      </c>
      <c r="C3032" s="77" t="s">
        <v>1571</v>
      </c>
      <c r="D3032" s="13">
        <f>SUMIFS('Lançamentos de despesas'!$I:$I,'Lançamentos de despesas'!$G:$G,A3032,'Lançamentos de despesas'!$E:$E,"PAGO",'Lançamentos de despesas'!$C:$C,B3032)</f>
        <v>562.83</v>
      </c>
      <c r="E3032" s="15">
        <f t="shared" si="1"/>
        <v>2024</v>
      </c>
      <c r="F3032" s="15">
        <f t="shared" si="2"/>
        <v>10</v>
      </c>
      <c r="G3032" s="15">
        <f t="shared" si="3"/>
        <v>18</v>
      </c>
    </row>
    <row r="3033">
      <c r="A3033" s="10" t="s">
        <v>37</v>
      </c>
      <c r="B3033" s="94">
        <f t="shared" si="5"/>
        <v>45583</v>
      </c>
      <c r="C3033" s="77" t="s">
        <v>1572</v>
      </c>
      <c r="D3033" s="13">
        <f>D3030+D3031-D3032</f>
        <v>11761.55</v>
      </c>
      <c r="E3033" s="15">
        <f t="shared" si="1"/>
        <v>2024</v>
      </c>
      <c r="F3033" s="15">
        <f t="shared" si="2"/>
        <v>10</v>
      </c>
      <c r="G3033" s="15">
        <f t="shared" si="3"/>
        <v>18</v>
      </c>
    </row>
    <row r="3034">
      <c r="A3034" s="10" t="s">
        <v>37</v>
      </c>
      <c r="B3034" s="94">
        <f t="shared" si="5"/>
        <v>45584</v>
      </c>
      <c r="C3034" s="77" t="s">
        <v>1569</v>
      </c>
      <c r="D3034" s="13">
        <f>D3033</f>
        <v>11761.55</v>
      </c>
      <c r="E3034" s="15">
        <f t="shared" si="1"/>
        <v>2024</v>
      </c>
      <c r="F3034" s="15">
        <f t="shared" si="2"/>
        <v>10</v>
      </c>
      <c r="G3034" s="15">
        <f t="shared" si="3"/>
        <v>19</v>
      </c>
    </row>
    <row r="3035">
      <c r="A3035" s="10" t="s">
        <v>37</v>
      </c>
      <c r="B3035" s="94">
        <f t="shared" si="5"/>
        <v>45584</v>
      </c>
      <c r="C3035" s="77" t="s">
        <v>1570</v>
      </c>
      <c r="D3035" s="13">
        <f>SUMIFS('Lançamentos de receitas'!$E:$E,'Lançamentos de receitas'!$F:$F,"PAGO",'Lançamentos de receitas'!$C:$C,A3035,'Lançamentos de receitas'!$A:$A,B3035)</f>
        <v>1764.16</v>
      </c>
      <c r="E3035" s="15">
        <f t="shared" si="1"/>
        <v>2024</v>
      </c>
      <c r="F3035" s="15">
        <f t="shared" si="2"/>
        <v>10</v>
      </c>
      <c r="G3035" s="15">
        <f t="shared" si="3"/>
        <v>19</v>
      </c>
    </row>
    <row r="3036">
      <c r="A3036" s="10" t="s">
        <v>37</v>
      </c>
      <c r="B3036" s="94">
        <f t="shared" si="5"/>
        <v>45584</v>
      </c>
      <c r="C3036" s="77" t="s">
        <v>1571</v>
      </c>
      <c r="D3036" s="13">
        <f>SUMIFS('Lançamentos de despesas'!$I:$I,'Lançamentos de despesas'!$G:$G,A3036,'Lançamentos de despesas'!$E:$E,"PAGO",'Lançamentos de despesas'!$C:$C,B3036)</f>
        <v>0</v>
      </c>
      <c r="E3036" s="15">
        <f t="shared" si="1"/>
        <v>2024</v>
      </c>
      <c r="F3036" s="15">
        <f t="shared" si="2"/>
        <v>10</v>
      </c>
      <c r="G3036" s="15">
        <f t="shared" si="3"/>
        <v>19</v>
      </c>
    </row>
    <row r="3037">
      <c r="A3037" s="10" t="s">
        <v>37</v>
      </c>
      <c r="B3037" s="94">
        <f t="shared" si="5"/>
        <v>45584</v>
      </c>
      <c r="C3037" s="77" t="s">
        <v>1572</v>
      </c>
      <c r="D3037" s="13">
        <f>D3034+D3035-D3036</f>
        <v>13525.71</v>
      </c>
      <c r="E3037" s="15">
        <f t="shared" si="1"/>
        <v>2024</v>
      </c>
      <c r="F3037" s="15">
        <f t="shared" si="2"/>
        <v>10</v>
      </c>
      <c r="G3037" s="15">
        <f t="shared" si="3"/>
        <v>19</v>
      </c>
    </row>
    <row r="3038">
      <c r="A3038" s="10" t="s">
        <v>37</v>
      </c>
      <c r="B3038" s="94">
        <f t="shared" si="5"/>
        <v>45585</v>
      </c>
      <c r="C3038" s="77" t="s">
        <v>1569</v>
      </c>
      <c r="D3038" s="13">
        <f>D3037</f>
        <v>13525.71</v>
      </c>
      <c r="E3038" s="15">
        <f t="shared" si="1"/>
        <v>2024</v>
      </c>
      <c r="F3038" s="15">
        <f t="shared" si="2"/>
        <v>10</v>
      </c>
      <c r="G3038" s="15">
        <f t="shared" si="3"/>
        <v>20</v>
      </c>
    </row>
    <row r="3039">
      <c r="A3039" s="10" t="s">
        <v>37</v>
      </c>
      <c r="B3039" s="94">
        <f t="shared" si="5"/>
        <v>45585</v>
      </c>
      <c r="C3039" s="77" t="s">
        <v>1570</v>
      </c>
      <c r="D3039" s="13">
        <f>SUMIFS('Lançamentos de receitas'!$E:$E,'Lançamentos de receitas'!$F:$F,"PAGO",'Lançamentos de receitas'!$C:$C,A3039,'Lançamentos de receitas'!$A:$A,B3039)</f>
        <v>1057.69</v>
      </c>
      <c r="E3039" s="15">
        <f t="shared" si="1"/>
        <v>2024</v>
      </c>
      <c r="F3039" s="15">
        <f t="shared" si="2"/>
        <v>10</v>
      </c>
      <c r="G3039" s="15">
        <f t="shared" si="3"/>
        <v>20</v>
      </c>
    </row>
    <row r="3040">
      <c r="A3040" s="10" t="s">
        <v>37</v>
      </c>
      <c r="B3040" s="94">
        <f t="shared" si="5"/>
        <v>45585</v>
      </c>
      <c r="C3040" s="77" t="s">
        <v>1571</v>
      </c>
      <c r="D3040" s="13">
        <f>SUMIFS('Lançamentos de despesas'!$I:$I,'Lançamentos de despesas'!$G:$G,A3040,'Lançamentos de despesas'!$E:$E,"PAGO",'Lançamentos de despesas'!$C:$C,B3040)</f>
        <v>0</v>
      </c>
      <c r="E3040" s="15">
        <f t="shared" si="1"/>
        <v>2024</v>
      </c>
      <c r="F3040" s="15">
        <f t="shared" si="2"/>
        <v>10</v>
      </c>
      <c r="G3040" s="15">
        <f t="shared" si="3"/>
        <v>20</v>
      </c>
    </row>
    <row r="3041">
      <c r="A3041" s="10" t="s">
        <v>37</v>
      </c>
      <c r="B3041" s="94">
        <f t="shared" si="5"/>
        <v>45585</v>
      </c>
      <c r="C3041" s="77" t="s">
        <v>1572</v>
      </c>
      <c r="D3041" s="13">
        <f>D3038+D3039-D3040</f>
        <v>14583.4</v>
      </c>
      <c r="E3041" s="15">
        <f t="shared" si="1"/>
        <v>2024</v>
      </c>
      <c r="F3041" s="15">
        <f t="shared" si="2"/>
        <v>10</v>
      </c>
      <c r="G3041" s="15">
        <f t="shared" si="3"/>
        <v>20</v>
      </c>
    </row>
    <row r="3042">
      <c r="A3042" s="10" t="s">
        <v>37</v>
      </c>
      <c r="B3042" s="94">
        <f t="shared" si="5"/>
        <v>45586</v>
      </c>
      <c r="C3042" s="77" t="s">
        <v>1569</v>
      </c>
      <c r="D3042" s="13">
        <f>D3041</f>
        <v>14583.4</v>
      </c>
      <c r="E3042" s="15">
        <f t="shared" si="1"/>
        <v>2024</v>
      </c>
      <c r="F3042" s="15">
        <f t="shared" si="2"/>
        <v>10</v>
      </c>
      <c r="G3042" s="15">
        <f t="shared" si="3"/>
        <v>21</v>
      </c>
    </row>
    <row r="3043">
      <c r="A3043" s="10" t="s">
        <v>37</v>
      </c>
      <c r="B3043" s="94">
        <f t="shared" si="5"/>
        <v>45586</v>
      </c>
      <c r="C3043" s="77" t="s">
        <v>1570</v>
      </c>
      <c r="D3043" s="13">
        <f>SUMIFS('Lançamentos de receitas'!$E:$E,'Lançamentos de receitas'!$F:$F,"PAGO",'Lançamentos de receitas'!$C:$C,A3043,'Lançamentos de receitas'!$A:$A,B3043)</f>
        <v>345.65</v>
      </c>
      <c r="E3043" s="15">
        <f t="shared" si="1"/>
        <v>2024</v>
      </c>
      <c r="F3043" s="15">
        <f t="shared" si="2"/>
        <v>10</v>
      </c>
      <c r="G3043" s="15">
        <f t="shared" si="3"/>
        <v>21</v>
      </c>
    </row>
    <row r="3044">
      <c r="A3044" s="10" t="s">
        <v>37</v>
      </c>
      <c r="B3044" s="94">
        <f t="shared" si="5"/>
        <v>45586</v>
      </c>
      <c r="C3044" s="77" t="s">
        <v>1571</v>
      </c>
      <c r="D3044" s="13">
        <f>SUMIFS('Lançamentos de despesas'!$I:$I,'Lançamentos de despesas'!$G:$G,A3044,'Lançamentos de despesas'!$E:$E,"PAGO",'Lançamentos de despesas'!$C:$C,B3044)</f>
        <v>7988.66</v>
      </c>
      <c r="E3044" s="15">
        <f t="shared" si="1"/>
        <v>2024</v>
      </c>
      <c r="F3044" s="15">
        <f t="shared" si="2"/>
        <v>10</v>
      </c>
      <c r="G3044" s="15">
        <f t="shared" si="3"/>
        <v>21</v>
      </c>
    </row>
    <row r="3045">
      <c r="A3045" s="10" t="s">
        <v>37</v>
      </c>
      <c r="B3045" s="94">
        <f t="shared" si="5"/>
        <v>45586</v>
      </c>
      <c r="C3045" s="77" t="s">
        <v>1572</v>
      </c>
      <c r="D3045" s="13">
        <f>D3042+D3043-D3044</f>
        <v>6940.39</v>
      </c>
      <c r="E3045" s="15">
        <f t="shared" si="1"/>
        <v>2024</v>
      </c>
      <c r="F3045" s="15">
        <f t="shared" si="2"/>
        <v>10</v>
      </c>
      <c r="G3045" s="15">
        <f t="shared" si="3"/>
        <v>21</v>
      </c>
    </row>
    <row r="3046">
      <c r="A3046" s="10" t="s">
        <v>37</v>
      </c>
      <c r="B3046" s="94">
        <f t="shared" si="5"/>
        <v>45587</v>
      </c>
      <c r="C3046" s="77" t="s">
        <v>1569</v>
      </c>
      <c r="D3046" s="13">
        <f>D3045</f>
        <v>6940.39</v>
      </c>
      <c r="E3046" s="15">
        <f t="shared" si="1"/>
        <v>2024</v>
      </c>
      <c r="F3046" s="15">
        <f t="shared" si="2"/>
        <v>10</v>
      </c>
      <c r="G3046" s="15">
        <f t="shared" si="3"/>
        <v>22</v>
      </c>
    </row>
    <row r="3047">
      <c r="A3047" s="10" t="s">
        <v>37</v>
      </c>
      <c r="B3047" s="94">
        <f t="shared" si="5"/>
        <v>45587</v>
      </c>
      <c r="C3047" s="77" t="s">
        <v>1570</v>
      </c>
      <c r="D3047" s="13">
        <f>SUMIFS('Lançamentos de receitas'!$E:$E,'Lançamentos de receitas'!$F:$F,"PAGO",'Lançamentos de receitas'!$C:$C,A3047,'Lançamentos de receitas'!$A:$A,B3047)</f>
        <v>1297.15</v>
      </c>
      <c r="E3047" s="15">
        <f t="shared" si="1"/>
        <v>2024</v>
      </c>
      <c r="F3047" s="15">
        <f t="shared" si="2"/>
        <v>10</v>
      </c>
      <c r="G3047" s="15">
        <f t="shared" si="3"/>
        <v>22</v>
      </c>
    </row>
    <row r="3048">
      <c r="A3048" s="10" t="s">
        <v>37</v>
      </c>
      <c r="B3048" s="94">
        <f t="shared" si="5"/>
        <v>45587</v>
      </c>
      <c r="C3048" s="77" t="s">
        <v>1571</v>
      </c>
      <c r="D3048" s="13">
        <f>SUMIFS('Lançamentos de despesas'!$I:$I,'Lançamentos de despesas'!$G:$G,A3048,'Lançamentos de despesas'!$E:$E,"PAGO",'Lançamentos de despesas'!$C:$C,B3048)</f>
        <v>0</v>
      </c>
      <c r="E3048" s="15">
        <f t="shared" si="1"/>
        <v>2024</v>
      </c>
      <c r="F3048" s="15">
        <f t="shared" si="2"/>
        <v>10</v>
      </c>
      <c r="G3048" s="15">
        <f t="shared" si="3"/>
        <v>22</v>
      </c>
    </row>
    <row r="3049">
      <c r="A3049" s="10" t="s">
        <v>37</v>
      </c>
      <c r="B3049" s="94">
        <f t="shared" si="5"/>
        <v>45587</v>
      </c>
      <c r="C3049" s="77" t="s">
        <v>1572</v>
      </c>
      <c r="D3049" s="13">
        <f>D3046+D3047-D3048</f>
        <v>8237.54</v>
      </c>
      <c r="E3049" s="15">
        <f t="shared" si="1"/>
        <v>2024</v>
      </c>
      <c r="F3049" s="15">
        <f t="shared" si="2"/>
        <v>10</v>
      </c>
      <c r="G3049" s="15">
        <f t="shared" si="3"/>
        <v>22</v>
      </c>
    </row>
    <row r="3050">
      <c r="A3050" s="10" t="s">
        <v>37</v>
      </c>
      <c r="B3050" s="94">
        <f t="shared" si="5"/>
        <v>45588</v>
      </c>
      <c r="C3050" s="77" t="s">
        <v>1569</v>
      </c>
      <c r="D3050" s="13">
        <f>D3049</f>
        <v>8237.54</v>
      </c>
      <c r="E3050" s="15">
        <f t="shared" si="1"/>
        <v>2024</v>
      </c>
      <c r="F3050" s="15">
        <f t="shared" si="2"/>
        <v>10</v>
      </c>
      <c r="G3050" s="15">
        <f t="shared" si="3"/>
        <v>23</v>
      </c>
    </row>
    <row r="3051">
      <c r="A3051" s="10" t="s">
        <v>37</v>
      </c>
      <c r="B3051" s="94">
        <f t="shared" si="5"/>
        <v>45588</v>
      </c>
      <c r="C3051" s="77" t="s">
        <v>1570</v>
      </c>
      <c r="D3051" s="13">
        <f>SUMIFS('Lançamentos de receitas'!$E:$E,'Lançamentos de receitas'!$F:$F,"PAGO",'Lançamentos de receitas'!$C:$C,A3051,'Lançamentos de receitas'!$A:$A,B3051)</f>
        <v>1142.26</v>
      </c>
      <c r="E3051" s="15">
        <f t="shared" si="1"/>
        <v>2024</v>
      </c>
      <c r="F3051" s="15">
        <f t="shared" si="2"/>
        <v>10</v>
      </c>
      <c r="G3051" s="15">
        <f t="shared" si="3"/>
        <v>23</v>
      </c>
    </row>
    <row r="3052">
      <c r="A3052" s="10" t="s">
        <v>37</v>
      </c>
      <c r="B3052" s="94">
        <f t="shared" si="5"/>
        <v>45588</v>
      </c>
      <c r="C3052" s="77" t="s">
        <v>1571</v>
      </c>
      <c r="D3052" s="13">
        <f>SUMIFS('Lançamentos de despesas'!$I:$I,'Lançamentos de despesas'!$G:$G,A3052,'Lançamentos de despesas'!$E:$E,"PAGO",'Lançamentos de despesas'!$C:$C,B3052)</f>
        <v>600</v>
      </c>
      <c r="E3052" s="15">
        <f t="shared" si="1"/>
        <v>2024</v>
      </c>
      <c r="F3052" s="15">
        <f t="shared" si="2"/>
        <v>10</v>
      </c>
      <c r="G3052" s="15">
        <f t="shared" si="3"/>
        <v>23</v>
      </c>
    </row>
    <row r="3053">
      <c r="A3053" s="10" t="s">
        <v>37</v>
      </c>
      <c r="B3053" s="94">
        <f t="shared" si="5"/>
        <v>45588</v>
      </c>
      <c r="C3053" s="77" t="s">
        <v>1572</v>
      </c>
      <c r="D3053" s="13">
        <f>D3050+D3051-D3052</f>
        <v>8779.8</v>
      </c>
      <c r="E3053" s="15">
        <f t="shared" si="1"/>
        <v>2024</v>
      </c>
      <c r="F3053" s="15">
        <f t="shared" si="2"/>
        <v>10</v>
      </c>
      <c r="G3053" s="15">
        <f t="shared" si="3"/>
        <v>23</v>
      </c>
    </row>
    <row r="3054">
      <c r="A3054" s="10" t="s">
        <v>37</v>
      </c>
      <c r="B3054" s="94">
        <f t="shared" si="5"/>
        <v>45589</v>
      </c>
      <c r="C3054" s="77" t="s">
        <v>1569</v>
      </c>
      <c r="D3054" s="13">
        <f>D3053</f>
        <v>8779.8</v>
      </c>
      <c r="E3054" s="15">
        <f t="shared" si="1"/>
        <v>2024</v>
      </c>
      <c r="F3054" s="15">
        <f t="shared" si="2"/>
        <v>10</v>
      </c>
      <c r="G3054" s="15">
        <f t="shared" si="3"/>
        <v>24</v>
      </c>
    </row>
    <row r="3055">
      <c r="A3055" s="10" t="s">
        <v>37</v>
      </c>
      <c r="B3055" s="94">
        <f t="shared" si="5"/>
        <v>45589</v>
      </c>
      <c r="C3055" s="77" t="s">
        <v>1570</v>
      </c>
      <c r="D3055" s="13">
        <f>SUMIFS('Lançamentos de receitas'!$E:$E,'Lançamentos de receitas'!$F:$F,"PAGO",'Lançamentos de receitas'!$C:$C,A3055,'Lançamentos de receitas'!$A:$A,B3055)</f>
        <v>507.66</v>
      </c>
      <c r="E3055" s="15">
        <f t="shared" si="1"/>
        <v>2024</v>
      </c>
      <c r="F3055" s="15">
        <f t="shared" si="2"/>
        <v>10</v>
      </c>
      <c r="G3055" s="15">
        <f t="shared" si="3"/>
        <v>24</v>
      </c>
    </row>
    <row r="3056">
      <c r="A3056" s="10" t="s">
        <v>37</v>
      </c>
      <c r="B3056" s="94">
        <f t="shared" si="5"/>
        <v>45589</v>
      </c>
      <c r="C3056" s="77" t="s">
        <v>1571</v>
      </c>
      <c r="D3056" s="13">
        <f>SUMIFS('Lançamentos de despesas'!$I:$I,'Lançamentos de despesas'!$G:$G,A3056,'Lançamentos de despesas'!$E:$E,"PAGO",'Lançamentos de despesas'!$C:$C,B3056)</f>
        <v>0</v>
      </c>
      <c r="E3056" s="15">
        <f t="shared" si="1"/>
        <v>2024</v>
      </c>
      <c r="F3056" s="15">
        <f t="shared" si="2"/>
        <v>10</v>
      </c>
      <c r="G3056" s="15">
        <f t="shared" si="3"/>
        <v>24</v>
      </c>
    </row>
    <row r="3057">
      <c r="A3057" s="10" t="s">
        <v>37</v>
      </c>
      <c r="B3057" s="94">
        <f t="shared" si="5"/>
        <v>45589</v>
      </c>
      <c r="C3057" s="77" t="s">
        <v>1572</v>
      </c>
      <c r="D3057" s="13">
        <f>D3054+D3055-D3056</f>
        <v>9287.46</v>
      </c>
      <c r="E3057" s="15">
        <f t="shared" si="1"/>
        <v>2024</v>
      </c>
      <c r="F3057" s="15">
        <f t="shared" si="2"/>
        <v>10</v>
      </c>
      <c r="G3057" s="15">
        <f t="shared" si="3"/>
        <v>24</v>
      </c>
    </row>
    <row r="3058">
      <c r="A3058" s="10" t="s">
        <v>37</v>
      </c>
      <c r="B3058" s="94">
        <f t="shared" si="5"/>
        <v>45590</v>
      </c>
      <c r="C3058" s="77" t="s">
        <v>1569</v>
      </c>
      <c r="D3058" s="13">
        <f>D3057</f>
        <v>9287.46</v>
      </c>
      <c r="E3058" s="15">
        <f t="shared" si="1"/>
        <v>2024</v>
      </c>
      <c r="F3058" s="15">
        <f t="shared" si="2"/>
        <v>10</v>
      </c>
      <c r="G3058" s="15">
        <f t="shared" si="3"/>
        <v>25</v>
      </c>
    </row>
    <row r="3059">
      <c r="A3059" s="10" t="s">
        <v>37</v>
      </c>
      <c r="B3059" s="94">
        <f t="shared" si="5"/>
        <v>45590</v>
      </c>
      <c r="C3059" s="77" t="s">
        <v>1570</v>
      </c>
      <c r="D3059" s="13">
        <f>SUMIFS('Lançamentos de receitas'!$E:$E,'Lançamentos de receitas'!$F:$F,"PAGO",'Lançamentos de receitas'!$C:$C,A3059,'Lançamentos de receitas'!$A:$A,B3059)</f>
        <v>1008.47</v>
      </c>
      <c r="E3059" s="15">
        <f t="shared" si="1"/>
        <v>2024</v>
      </c>
      <c r="F3059" s="15">
        <f t="shared" si="2"/>
        <v>10</v>
      </c>
      <c r="G3059" s="15">
        <f t="shared" si="3"/>
        <v>25</v>
      </c>
    </row>
    <row r="3060">
      <c r="A3060" s="10" t="s">
        <v>37</v>
      </c>
      <c r="B3060" s="94">
        <f t="shared" si="5"/>
        <v>45590</v>
      </c>
      <c r="C3060" s="77" t="s">
        <v>1571</v>
      </c>
      <c r="D3060" s="13">
        <f>SUMIFS('Lançamentos de despesas'!$I:$I,'Lançamentos de despesas'!$G:$G,A3060,'Lançamentos de despesas'!$E:$E,"PAGO",'Lançamentos de despesas'!$C:$C,B3060)</f>
        <v>500</v>
      </c>
      <c r="E3060" s="15">
        <f t="shared" si="1"/>
        <v>2024</v>
      </c>
      <c r="F3060" s="15">
        <f t="shared" si="2"/>
        <v>10</v>
      </c>
      <c r="G3060" s="15">
        <f t="shared" si="3"/>
        <v>25</v>
      </c>
    </row>
    <row r="3061">
      <c r="A3061" s="10" t="s">
        <v>37</v>
      </c>
      <c r="B3061" s="94">
        <f t="shared" si="5"/>
        <v>45590</v>
      </c>
      <c r="C3061" s="77" t="s">
        <v>1572</v>
      </c>
      <c r="D3061" s="13">
        <f>D3058+D3059-D3060</f>
        <v>9795.93</v>
      </c>
      <c r="E3061" s="15">
        <f t="shared" si="1"/>
        <v>2024</v>
      </c>
      <c r="F3061" s="15">
        <f t="shared" si="2"/>
        <v>10</v>
      </c>
      <c r="G3061" s="15">
        <f t="shared" si="3"/>
        <v>25</v>
      </c>
    </row>
    <row r="3062">
      <c r="A3062" s="10" t="s">
        <v>37</v>
      </c>
      <c r="B3062" s="94">
        <f t="shared" si="5"/>
        <v>45591</v>
      </c>
      <c r="C3062" s="77" t="s">
        <v>1569</v>
      </c>
      <c r="D3062" s="13">
        <f>D3061</f>
        <v>9795.93</v>
      </c>
      <c r="E3062" s="15">
        <f t="shared" si="1"/>
        <v>2024</v>
      </c>
      <c r="F3062" s="15">
        <f t="shared" si="2"/>
        <v>10</v>
      </c>
      <c r="G3062" s="15">
        <f t="shared" si="3"/>
        <v>26</v>
      </c>
    </row>
    <row r="3063">
      <c r="A3063" s="10" t="s">
        <v>37</v>
      </c>
      <c r="B3063" s="94">
        <f t="shared" si="5"/>
        <v>45591</v>
      </c>
      <c r="C3063" s="77" t="s">
        <v>1570</v>
      </c>
      <c r="D3063" s="13">
        <f>SUMIFS('Lançamentos de receitas'!$E:$E,'Lançamentos de receitas'!$F:$F,"PAGO",'Lançamentos de receitas'!$C:$C,A3063,'Lançamentos de receitas'!$A:$A,B3063)</f>
        <v>748.25</v>
      </c>
      <c r="E3063" s="15">
        <f t="shared" si="1"/>
        <v>2024</v>
      </c>
      <c r="F3063" s="15">
        <f t="shared" si="2"/>
        <v>10</v>
      </c>
      <c r="G3063" s="15">
        <f t="shared" si="3"/>
        <v>26</v>
      </c>
    </row>
    <row r="3064">
      <c r="A3064" s="10" t="s">
        <v>37</v>
      </c>
      <c r="B3064" s="94">
        <f t="shared" si="5"/>
        <v>45591</v>
      </c>
      <c r="C3064" s="77" t="s">
        <v>1571</v>
      </c>
      <c r="D3064" s="13">
        <f>SUMIFS('Lançamentos de despesas'!$I:$I,'Lançamentos de despesas'!$G:$G,A3064,'Lançamentos de despesas'!$E:$E,"PAGO",'Lançamentos de despesas'!$C:$C,B3064)</f>
        <v>0</v>
      </c>
      <c r="E3064" s="15">
        <f t="shared" si="1"/>
        <v>2024</v>
      </c>
      <c r="F3064" s="15">
        <f t="shared" si="2"/>
        <v>10</v>
      </c>
      <c r="G3064" s="15">
        <f t="shared" si="3"/>
        <v>26</v>
      </c>
    </row>
    <row r="3065">
      <c r="A3065" s="10" t="s">
        <v>37</v>
      </c>
      <c r="B3065" s="94">
        <f t="shared" si="5"/>
        <v>45591</v>
      </c>
      <c r="C3065" s="77" t="s">
        <v>1572</v>
      </c>
      <c r="D3065" s="13">
        <f>D3062+D3063-D3064</f>
        <v>10544.18</v>
      </c>
      <c r="E3065" s="15">
        <f t="shared" si="1"/>
        <v>2024</v>
      </c>
      <c r="F3065" s="15">
        <f t="shared" si="2"/>
        <v>10</v>
      </c>
      <c r="G3065" s="15">
        <f t="shared" si="3"/>
        <v>26</v>
      </c>
    </row>
    <row r="3066">
      <c r="A3066" s="10" t="s">
        <v>37</v>
      </c>
      <c r="B3066" s="94">
        <f t="shared" si="5"/>
        <v>45592</v>
      </c>
      <c r="C3066" s="77" t="s">
        <v>1569</v>
      </c>
      <c r="D3066" s="13">
        <f>D3065</f>
        <v>10544.18</v>
      </c>
      <c r="E3066" s="15">
        <f t="shared" si="1"/>
        <v>2024</v>
      </c>
      <c r="F3066" s="15">
        <f t="shared" si="2"/>
        <v>10</v>
      </c>
      <c r="G3066" s="15">
        <f t="shared" si="3"/>
        <v>27</v>
      </c>
    </row>
    <row r="3067">
      <c r="A3067" s="10" t="s">
        <v>37</v>
      </c>
      <c r="B3067" s="94">
        <f t="shared" si="5"/>
        <v>45592</v>
      </c>
      <c r="C3067" s="77" t="s">
        <v>1570</v>
      </c>
      <c r="D3067" s="13">
        <f>SUMIFS('Lançamentos de receitas'!$E:$E,'Lançamentos de receitas'!$F:$F,"PAGO",'Lançamentos de receitas'!$C:$C,A3067,'Lançamentos de receitas'!$A:$A,B3067)</f>
        <v>1062.69</v>
      </c>
      <c r="E3067" s="15">
        <f t="shared" si="1"/>
        <v>2024</v>
      </c>
      <c r="F3067" s="15">
        <f t="shared" si="2"/>
        <v>10</v>
      </c>
      <c r="G3067" s="15">
        <f t="shared" si="3"/>
        <v>27</v>
      </c>
    </row>
    <row r="3068">
      <c r="A3068" s="10" t="s">
        <v>37</v>
      </c>
      <c r="B3068" s="94">
        <f t="shared" si="5"/>
        <v>45592</v>
      </c>
      <c r="C3068" s="77" t="s">
        <v>1571</v>
      </c>
      <c r="D3068" s="13">
        <f>SUMIFS('Lançamentos de despesas'!$I:$I,'Lançamentos de despesas'!$G:$G,A3068,'Lançamentos de despesas'!$E:$E,"PAGO",'Lançamentos de despesas'!$C:$C,B3068)</f>
        <v>0</v>
      </c>
      <c r="E3068" s="15">
        <f t="shared" si="1"/>
        <v>2024</v>
      </c>
      <c r="F3068" s="15">
        <f t="shared" si="2"/>
        <v>10</v>
      </c>
      <c r="G3068" s="15">
        <f t="shared" si="3"/>
        <v>27</v>
      </c>
    </row>
    <row r="3069">
      <c r="A3069" s="10" t="s">
        <v>37</v>
      </c>
      <c r="B3069" s="94">
        <f t="shared" si="5"/>
        <v>45592</v>
      </c>
      <c r="C3069" s="77" t="s">
        <v>1572</v>
      </c>
      <c r="D3069" s="13">
        <f>D3066+D3067-D3068</f>
        <v>11606.87</v>
      </c>
      <c r="E3069" s="15">
        <f t="shared" si="1"/>
        <v>2024</v>
      </c>
      <c r="F3069" s="15">
        <f t="shared" si="2"/>
        <v>10</v>
      </c>
      <c r="G3069" s="15">
        <f t="shared" si="3"/>
        <v>27</v>
      </c>
    </row>
    <row r="3070">
      <c r="A3070" s="10" t="s">
        <v>37</v>
      </c>
      <c r="B3070" s="94">
        <f t="shared" si="5"/>
        <v>45593</v>
      </c>
      <c r="C3070" s="77" t="s">
        <v>1569</v>
      </c>
      <c r="D3070" s="13">
        <f>D3069</f>
        <v>11606.87</v>
      </c>
      <c r="E3070" s="15">
        <f t="shared" si="1"/>
        <v>2024</v>
      </c>
      <c r="F3070" s="15">
        <f t="shared" si="2"/>
        <v>10</v>
      </c>
      <c r="G3070" s="15">
        <f t="shared" si="3"/>
        <v>28</v>
      </c>
    </row>
    <row r="3071">
      <c r="A3071" s="10" t="s">
        <v>37</v>
      </c>
      <c r="B3071" s="94">
        <f t="shared" si="5"/>
        <v>45593</v>
      </c>
      <c r="C3071" s="77" t="s">
        <v>1570</v>
      </c>
      <c r="D3071" s="13">
        <f>SUMIFS('Lançamentos de receitas'!$E:$E,'Lançamentos de receitas'!$F:$F,"PAGO",'Lançamentos de receitas'!$C:$C,A3071,'Lançamentos de receitas'!$A:$A,B3071)</f>
        <v>205.39</v>
      </c>
      <c r="E3071" s="15">
        <f t="shared" si="1"/>
        <v>2024</v>
      </c>
      <c r="F3071" s="15">
        <f t="shared" si="2"/>
        <v>10</v>
      </c>
      <c r="G3071" s="15">
        <f t="shared" si="3"/>
        <v>28</v>
      </c>
    </row>
    <row r="3072">
      <c r="A3072" s="10" t="s">
        <v>37</v>
      </c>
      <c r="B3072" s="94">
        <f t="shared" si="5"/>
        <v>45593</v>
      </c>
      <c r="C3072" s="77" t="s">
        <v>1571</v>
      </c>
      <c r="D3072" s="13">
        <f>SUMIFS('Lançamentos de despesas'!$I:$I,'Lançamentos de despesas'!$G:$G,A3072,'Lançamentos de despesas'!$E:$E,"PAGO",'Lançamentos de despesas'!$C:$C,B3072)</f>
        <v>700</v>
      </c>
      <c r="E3072" s="15">
        <f t="shared" si="1"/>
        <v>2024</v>
      </c>
      <c r="F3072" s="15">
        <f t="shared" si="2"/>
        <v>10</v>
      </c>
      <c r="G3072" s="15">
        <f t="shared" si="3"/>
        <v>28</v>
      </c>
    </row>
    <row r="3073">
      <c r="A3073" s="10" t="s">
        <v>37</v>
      </c>
      <c r="B3073" s="94">
        <f t="shared" si="5"/>
        <v>45593</v>
      </c>
      <c r="C3073" s="77" t="s">
        <v>1572</v>
      </c>
      <c r="D3073" s="13">
        <f>D3070+D3071-D3072</f>
        <v>11112.26</v>
      </c>
      <c r="E3073" s="15">
        <f t="shared" si="1"/>
        <v>2024</v>
      </c>
      <c r="F3073" s="15">
        <f t="shared" si="2"/>
        <v>10</v>
      </c>
      <c r="G3073" s="15">
        <f t="shared" si="3"/>
        <v>28</v>
      </c>
    </row>
    <row r="3074">
      <c r="A3074" s="10" t="s">
        <v>37</v>
      </c>
      <c r="B3074" s="94">
        <f t="shared" si="5"/>
        <v>45594</v>
      </c>
      <c r="C3074" s="77" t="s">
        <v>1569</v>
      </c>
      <c r="D3074" s="13">
        <f>D3073</f>
        <v>11112.26</v>
      </c>
      <c r="E3074" s="15">
        <f t="shared" si="1"/>
        <v>2024</v>
      </c>
      <c r="F3074" s="15">
        <f t="shared" si="2"/>
        <v>10</v>
      </c>
      <c r="G3074" s="15">
        <f t="shared" si="3"/>
        <v>29</v>
      </c>
    </row>
    <row r="3075">
      <c r="A3075" s="10" t="s">
        <v>37</v>
      </c>
      <c r="B3075" s="94">
        <f t="shared" si="5"/>
        <v>45594</v>
      </c>
      <c r="C3075" s="77" t="s">
        <v>1570</v>
      </c>
      <c r="D3075" s="13">
        <f>SUMIFS('Lançamentos de receitas'!$E:$E,'Lançamentos de receitas'!$F:$F,"PAGO",'Lançamentos de receitas'!$C:$C,A3075,'Lançamentos de receitas'!$A:$A,B3075)</f>
        <v>458.06</v>
      </c>
      <c r="E3075" s="15">
        <f t="shared" si="1"/>
        <v>2024</v>
      </c>
      <c r="F3075" s="15">
        <f t="shared" si="2"/>
        <v>10</v>
      </c>
      <c r="G3075" s="15">
        <f t="shared" si="3"/>
        <v>29</v>
      </c>
    </row>
    <row r="3076">
      <c r="A3076" s="10" t="s">
        <v>37</v>
      </c>
      <c r="B3076" s="94">
        <f t="shared" si="5"/>
        <v>45594</v>
      </c>
      <c r="C3076" s="77" t="s">
        <v>1571</v>
      </c>
      <c r="D3076" s="13">
        <f>SUMIFS('Lançamentos de despesas'!$I:$I,'Lançamentos de despesas'!$G:$G,A3076,'Lançamentos de despesas'!$E:$E,"PAGO",'Lançamentos de despesas'!$C:$C,B3076)</f>
        <v>0</v>
      </c>
      <c r="E3076" s="15">
        <f t="shared" si="1"/>
        <v>2024</v>
      </c>
      <c r="F3076" s="15">
        <f t="shared" si="2"/>
        <v>10</v>
      </c>
      <c r="G3076" s="15">
        <f t="shared" si="3"/>
        <v>29</v>
      </c>
    </row>
    <row r="3077">
      <c r="A3077" s="10" t="s">
        <v>37</v>
      </c>
      <c r="B3077" s="94">
        <f t="shared" si="5"/>
        <v>45594</v>
      </c>
      <c r="C3077" s="77" t="s">
        <v>1572</v>
      </c>
      <c r="D3077" s="13">
        <f>D3074+D3075-D3076</f>
        <v>11570.32</v>
      </c>
      <c r="E3077" s="15">
        <f t="shared" si="1"/>
        <v>2024</v>
      </c>
      <c r="F3077" s="15">
        <f t="shared" si="2"/>
        <v>10</v>
      </c>
      <c r="G3077" s="15">
        <f t="shared" si="3"/>
        <v>29</v>
      </c>
    </row>
    <row r="3078">
      <c r="A3078" s="10" t="s">
        <v>37</v>
      </c>
      <c r="B3078" s="94">
        <f t="shared" si="5"/>
        <v>45595</v>
      </c>
      <c r="C3078" s="77" t="s">
        <v>1569</v>
      </c>
      <c r="D3078" s="13">
        <f>D3077</f>
        <v>11570.32</v>
      </c>
      <c r="E3078" s="15">
        <f t="shared" si="1"/>
        <v>2024</v>
      </c>
      <c r="F3078" s="15">
        <f t="shared" si="2"/>
        <v>10</v>
      </c>
      <c r="G3078" s="15">
        <f t="shared" si="3"/>
        <v>30</v>
      </c>
    </row>
    <row r="3079">
      <c r="A3079" s="10" t="s">
        <v>37</v>
      </c>
      <c r="B3079" s="94">
        <f t="shared" si="5"/>
        <v>45595</v>
      </c>
      <c r="C3079" s="77" t="s">
        <v>1570</v>
      </c>
      <c r="D3079" s="13">
        <f>SUMIFS('Lançamentos de receitas'!$E:$E,'Lançamentos de receitas'!$F:$F,"PAGO",'Lançamentos de receitas'!$C:$C,A3079,'Lançamentos de receitas'!$A:$A,B3079)</f>
        <v>1531.49</v>
      </c>
      <c r="E3079" s="15">
        <f t="shared" si="1"/>
        <v>2024</v>
      </c>
      <c r="F3079" s="15">
        <f t="shared" si="2"/>
        <v>10</v>
      </c>
      <c r="G3079" s="15">
        <f t="shared" si="3"/>
        <v>30</v>
      </c>
    </row>
    <row r="3080">
      <c r="A3080" s="10" t="s">
        <v>37</v>
      </c>
      <c r="B3080" s="94">
        <f t="shared" si="5"/>
        <v>45595</v>
      </c>
      <c r="C3080" s="77" t="s">
        <v>1571</v>
      </c>
      <c r="D3080" s="13">
        <f>SUMIFS('Lançamentos de despesas'!$I:$I,'Lançamentos de despesas'!$G:$G,A3080,'Lançamentos de despesas'!$E:$E,"PAGO",'Lançamentos de despesas'!$C:$C,B3080)</f>
        <v>620</v>
      </c>
      <c r="E3080" s="15">
        <f t="shared" si="1"/>
        <v>2024</v>
      </c>
      <c r="F3080" s="15">
        <f t="shared" si="2"/>
        <v>10</v>
      </c>
      <c r="G3080" s="15">
        <f t="shared" si="3"/>
        <v>30</v>
      </c>
    </row>
    <row r="3081">
      <c r="A3081" s="10" t="s">
        <v>37</v>
      </c>
      <c r="B3081" s="94">
        <f t="shared" si="5"/>
        <v>45595</v>
      </c>
      <c r="C3081" s="77" t="s">
        <v>1572</v>
      </c>
      <c r="D3081" s="13">
        <f>D3078+D3079-D3080</f>
        <v>12481.81</v>
      </c>
      <c r="E3081" s="15">
        <f t="shared" si="1"/>
        <v>2024</v>
      </c>
      <c r="F3081" s="15">
        <f t="shared" si="2"/>
        <v>10</v>
      </c>
      <c r="G3081" s="15">
        <f t="shared" si="3"/>
        <v>30</v>
      </c>
    </row>
    <row r="3082">
      <c r="A3082" s="10" t="s">
        <v>37</v>
      </c>
      <c r="B3082" s="94">
        <f t="shared" si="5"/>
        <v>45596</v>
      </c>
      <c r="C3082" s="77" t="s">
        <v>1569</v>
      </c>
      <c r="D3082" s="13">
        <f>D3081</f>
        <v>12481.81</v>
      </c>
      <c r="E3082" s="15">
        <f t="shared" si="1"/>
        <v>2024</v>
      </c>
      <c r="F3082" s="15">
        <f t="shared" si="2"/>
        <v>10</v>
      </c>
      <c r="G3082" s="15">
        <f t="shared" si="3"/>
        <v>31</v>
      </c>
    </row>
    <row r="3083">
      <c r="A3083" s="10" t="s">
        <v>37</v>
      </c>
      <c r="B3083" s="94">
        <f t="shared" si="5"/>
        <v>45596</v>
      </c>
      <c r="C3083" s="77" t="s">
        <v>1570</v>
      </c>
      <c r="D3083" s="13">
        <f>SUMIFS('Lançamentos de receitas'!$E:$E,'Lançamentos de receitas'!$F:$F,"PAGO",'Lançamentos de receitas'!$C:$C,A3083,'Lançamentos de receitas'!$A:$A,B3083)</f>
        <v>1166.67</v>
      </c>
      <c r="E3083" s="15">
        <f t="shared" si="1"/>
        <v>2024</v>
      </c>
      <c r="F3083" s="15">
        <f t="shared" si="2"/>
        <v>10</v>
      </c>
      <c r="G3083" s="15">
        <f t="shared" si="3"/>
        <v>31</v>
      </c>
    </row>
    <row r="3084">
      <c r="A3084" s="10" t="s">
        <v>37</v>
      </c>
      <c r="B3084" s="94">
        <f t="shared" si="5"/>
        <v>45596</v>
      </c>
      <c r="C3084" s="77" t="s">
        <v>1571</v>
      </c>
      <c r="D3084" s="13">
        <f>SUMIFS('Lançamentos de despesas'!$I:$I,'Lançamentos de despesas'!$G:$G,A3084,'Lançamentos de despesas'!$E:$E,"PAGO",'Lançamentos de despesas'!$C:$C,B3084)</f>
        <v>10.68</v>
      </c>
      <c r="E3084" s="15">
        <f t="shared" si="1"/>
        <v>2024</v>
      </c>
      <c r="F3084" s="15">
        <f t="shared" si="2"/>
        <v>10</v>
      </c>
      <c r="G3084" s="15">
        <f t="shared" si="3"/>
        <v>31</v>
      </c>
    </row>
    <row r="3085">
      <c r="A3085" s="10" t="s">
        <v>37</v>
      </c>
      <c r="B3085" s="94">
        <f t="shared" si="5"/>
        <v>45596</v>
      </c>
      <c r="C3085" s="77" t="s">
        <v>1572</v>
      </c>
      <c r="D3085" s="13">
        <f>D3082+D3083-D3084</f>
        <v>13637.8</v>
      </c>
      <c r="E3085" s="15">
        <f t="shared" si="1"/>
        <v>2024</v>
      </c>
      <c r="F3085" s="15">
        <f t="shared" si="2"/>
        <v>10</v>
      </c>
      <c r="G3085" s="15">
        <f t="shared" si="3"/>
        <v>31</v>
      </c>
    </row>
    <row r="3086">
      <c r="A3086" s="10" t="s">
        <v>37</v>
      </c>
      <c r="B3086" s="94">
        <f t="shared" si="5"/>
        <v>45597</v>
      </c>
      <c r="C3086" s="77" t="s">
        <v>1569</v>
      </c>
      <c r="D3086" s="13">
        <f>D3085</f>
        <v>13637.8</v>
      </c>
      <c r="E3086" s="15">
        <f t="shared" si="1"/>
        <v>2024</v>
      </c>
      <c r="F3086" s="15">
        <f t="shared" si="2"/>
        <v>11</v>
      </c>
      <c r="G3086" s="15">
        <f t="shared" si="3"/>
        <v>1</v>
      </c>
    </row>
    <row r="3087">
      <c r="A3087" s="10" t="s">
        <v>37</v>
      </c>
      <c r="B3087" s="94">
        <f t="shared" si="5"/>
        <v>45597</v>
      </c>
      <c r="C3087" s="77" t="s">
        <v>1570</v>
      </c>
      <c r="D3087" s="13">
        <f>SUMIFS('Lançamentos de receitas'!$E:$E,'Lançamentos de receitas'!$F:$F,"PAGO",'Lançamentos de receitas'!$C:$C,A3087,'Lançamentos de receitas'!$A:$A,B3087)</f>
        <v>1067.63</v>
      </c>
      <c r="E3087" s="15">
        <f t="shared" si="1"/>
        <v>2024</v>
      </c>
      <c r="F3087" s="15">
        <f t="shared" si="2"/>
        <v>11</v>
      </c>
      <c r="G3087" s="15">
        <f t="shared" si="3"/>
        <v>1</v>
      </c>
    </row>
    <row r="3088">
      <c r="A3088" s="10" t="s">
        <v>37</v>
      </c>
      <c r="B3088" s="94">
        <f t="shared" si="5"/>
        <v>45597</v>
      </c>
      <c r="C3088" s="77" t="s">
        <v>1571</v>
      </c>
      <c r="D3088" s="13">
        <f>SUMIFS('Lançamentos de despesas'!$I:$I,'Lançamentos de despesas'!$G:$G,A3088,'Lançamentos de despesas'!$E:$E,"PAGO",'Lançamentos de despesas'!$C:$C,B3088)</f>
        <v>0</v>
      </c>
      <c r="E3088" s="15">
        <f t="shared" si="1"/>
        <v>2024</v>
      </c>
      <c r="F3088" s="15">
        <f t="shared" si="2"/>
        <v>11</v>
      </c>
      <c r="G3088" s="15">
        <f t="shared" si="3"/>
        <v>1</v>
      </c>
    </row>
    <row r="3089">
      <c r="A3089" s="10" t="s">
        <v>37</v>
      </c>
      <c r="B3089" s="94">
        <f t="shared" si="5"/>
        <v>45597</v>
      </c>
      <c r="C3089" s="77" t="s">
        <v>1572</v>
      </c>
      <c r="D3089" s="13">
        <f>D3086+D3087-D3088</f>
        <v>14705.43</v>
      </c>
      <c r="E3089" s="15">
        <f t="shared" si="1"/>
        <v>2024</v>
      </c>
      <c r="F3089" s="15">
        <f t="shared" si="2"/>
        <v>11</v>
      </c>
      <c r="G3089" s="15">
        <f t="shared" si="3"/>
        <v>1</v>
      </c>
    </row>
    <row r="3090">
      <c r="A3090" s="10" t="s">
        <v>37</v>
      </c>
      <c r="B3090" s="94">
        <f t="shared" si="5"/>
        <v>45598</v>
      </c>
      <c r="C3090" s="77" t="s">
        <v>1569</v>
      </c>
      <c r="D3090" s="13">
        <f>D3089</f>
        <v>14705.43</v>
      </c>
      <c r="E3090" s="15">
        <f t="shared" si="1"/>
        <v>2024</v>
      </c>
      <c r="F3090" s="15">
        <f t="shared" si="2"/>
        <v>11</v>
      </c>
      <c r="G3090" s="15">
        <f t="shared" si="3"/>
        <v>2</v>
      </c>
    </row>
    <row r="3091">
      <c r="A3091" s="10" t="s">
        <v>37</v>
      </c>
      <c r="B3091" s="94">
        <f t="shared" si="5"/>
        <v>45598</v>
      </c>
      <c r="C3091" s="77" t="s">
        <v>1570</v>
      </c>
      <c r="D3091" s="13">
        <f>SUMIFS('Lançamentos de receitas'!$E:$E,'Lançamentos de receitas'!$F:$F,"PAGO",'Lançamentos de receitas'!$C:$C,A3091,'Lançamentos de receitas'!$A:$A,B3091)</f>
        <v>1335.5</v>
      </c>
      <c r="E3091" s="15">
        <f t="shared" si="1"/>
        <v>2024</v>
      </c>
      <c r="F3091" s="15">
        <f t="shared" si="2"/>
        <v>11</v>
      </c>
      <c r="G3091" s="15">
        <f t="shared" si="3"/>
        <v>2</v>
      </c>
    </row>
    <row r="3092">
      <c r="A3092" s="10" t="s">
        <v>37</v>
      </c>
      <c r="B3092" s="94">
        <f t="shared" si="5"/>
        <v>45598</v>
      </c>
      <c r="C3092" s="77" t="s">
        <v>1571</v>
      </c>
      <c r="D3092" s="13">
        <f>SUMIFS('Lançamentos de despesas'!$I:$I,'Lançamentos de despesas'!$G:$G,A3092,'Lançamentos de despesas'!$E:$E,"PAGO",'Lançamentos de despesas'!$C:$C,B3092)</f>
        <v>0</v>
      </c>
      <c r="E3092" s="15">
        <f t="shared" si="1"/>
        <v>2024</v>
      </c>
      <c r="F3092" s="15">
        <f t="shared" si="2"/>
        <v>11</v>
      </c>
      <c r="G3092" s="15">
        <f t="shared" si="3"/>
        <v>2</v>
      </c>
    </row>
    <row r="3093">
      <c r="A3093" s="10" t="s">
        <v>37</v>
      </c>
      <c r="B3093" s="94">
        <f t="shared" si="5"/>
        <v>45598</v>
      </c>
      <c r="C3093" s="77" t="s">
        <v>1572</v>
      </c>
      <c r="D3093" s="13">
        <f>D3090+D3091-D3092</f>
        <v>16040.93</v>
      </c>
      <c r="E3093" s="15">
        <f t="shared" si="1"/>
        <v>2024</v>
      </c>
      <c r="F3093" s="15">
        <f t="shared" si="2"/>
        <v>11</v>
      </c>
      <c r="G3093" s="15">
        <f t="shared" si="3"/>
        <v>2</v>
      </c>
    </row>
    <row r="3094">
      <c r="A3094" s="10" t="s">
        <v>37</v>
      </c>
      <c r="B3094" s="94">
        <f t="shared" si="5"/>
        <v>45599</v>
      </c>
      <c r="C3094" s="77" t="s">
        <v>1569</v>
      </c>
      <c r="D3094" s="13">
        <f>D3093</f>
        <v>16040.93</v>
      </c>
      <c r="E3094" s="15">
        <f t="shared" si="1"/>
        <v>2024</v>
      </c>
      <c r="F3094" s="15">
        <f t="shared" si="2"/>
        <v>11</v>
      </c>
      <c r="G3094" s="15">
        <f t="shared" si="3"/>
        <v>3</v>
      </c>
    </row>
    <row r="3095">
      <c r="A3095" s="10" t="s">
        <v>37</v>
      </c>
      <c r="B3095" s="94">
        <f t="shared" si="5"/>
        <v>45599</v>
      </c>
      <c r="C3095" s="77" t="s">
        <v>1570</v>
      </c>
      <c r="D3095" s="13">
        <f>SUMIFS('Lançamentos de receitas'!$E:$E,'Lançamentos de receitas'!$F:$F,"PAGO",'Lançamentos de receitas'!$C:$C,A3095,'Lançamentos de receitas'!$A:$A,B3095)</f>
        <v>815.56</v>
      </c>
      <c r="E3095" s="15">
        <f t="shared" si="1"/>
        <v>2024</v>
      </c>
      <c r="F3095" s="15">
        <f t="shared" si="2"/>
        <v>11</v>
      </c>
      <c r="G3095" s="15">
        <f t="shared" si="3"/>
        <v>3</v>
      </c>
    </row>
    <row r="3096">
      <c r="A3096" s="10" t="s">
        <v>37</v>
      </c>
      <c r="B3096" s="94">
        <f t="shared" si="5"/>
        <v>45599</v>
      </c>
      <c r="C3096" s="77" t="s">
        <v>1571</v>
      </c>
      <c r="D3096" s="13">
        <f>SUMIFS('Lançamentos de despesas'!$I:$I,'Lançamentos de despesas'!$G:$G,A3096,'Lançamentos de despesas'!$E:$E,"PAGO",'Lançamentos de despesas'!$C:$C,B3096)</f>
        <v>0</v>
      </c>
      <c r="E3096" s="15">
        <f t="shared" si="1"/>
        <v>2024</v>
      </c>
      <c r="F3096" s="15">
        <f t="shared" si="2"/>
        <v>11</v>
      </c>
      <c r="G3096" s="15">
        <f t="shared" si="3"/>
        <v>3</v>
      </c>
    </row>
    <row r="3097">
      <c r="A3097" s="10" t="s">
        <v>37</v>
      </c>
      <c r="B3097" s="94">
        <f t="shared" si="5"/>
        <v>45599</v>
      </c>
      <c r="C3097" s="77" t="s">
        <v>1572</v>
      </c>
      <c r="D3097" s="13">
        <f>D3094+D3095-D3096</f>
        <v>16856.49</v>
      </c>
      <c r="E3097" s="15">
        <f t="shared" si="1"/>
        <v>2024</v>
      </c>
      <c r="F3097" s="15">
        <f t="shared" si="2"/>
        <v>11</v>
      </c>
      <c r="G3097" s="15">
        <f t="shared" si="3"/>
        <v>3</v>
      </c>
    </row>
    <row r="3098">
      <c r="A3098" s="10" t="s">
        <v>37</v>
      </c>
      <c r="B3098" s="94">
        <f t="shared" si="5"/>
        <v>45600</v>
      </c>
      <c r="C3098" s="77" t="s">
        <v>1569</v>
      </c>
      <c r="D3098" s="13">
        <f>D3097</f>
        <v>16856.49</v>
      </c>
      <c r="E3098" s="15">
        <f t="shared" si="1"/>
        <v>2024</v>
      </c>
      <c r="F3098" s="15">
        <f t="shared" si="2"/>
        <v>11</v>
      </c>
      <c r="G3098" s="15">
        <f t="shared" si="3"/>
        <v>4</v>
      </c>
    </row>
    <row r="3099">
      <c r="A3099" s="10" t="s">
        <v>37</v>
      </c>
      <c r="B3099" s="94">
        <f t="shared" si="5"/>
        <v>45600</v>
      </c>
      <c r="C3099" s="77" t="s">
        <v>1570</v>
      </c>
      <c r="D3099" s="13">
        <f>SUMIFS('Lançamentos de receitas'!$E:$E,'Lançamentos de receitas'!$F:$F,"PAGO",'Lançamentos de receitas'!$C:$C,A3099,'Lançamentos de receitas'!$A:$A,B3099)</f>
        <v>552.76</v>
      </c>
      <c r="E3099" s="15">
        <f t="shared" si="1"/>
        <v>2024</v>
      </c>
      <c r="F3099" s="15">
        <f t="shared" si="2"/>
        <v>11</v>
      </c>
      <c r="G3099" s="15">
        <f t="shared" si="3"/>
        <v>4</v>
      </c>
    </row>
    <row r="3100">
      <c r="A3100" s="10" t="s">
        <v>37</v>
      </c>
      <c r="B3100" s="94">
        <f t="shared" si="5"/>
        <v>45600</v>
      </c>
      <c r="C3100" s="77" t="s">
        <v>1571</v>
      </c>
      <c r="D3100" s="13">
        <f>SUMIFS('Lançamentos de despesas'!$I:$I,'Lançamentos de despesas'!$G:$G,A3100,'Lançamentos de despesas'!$E:$E,"PAGO",'Lançamentos de despesas'!$C:$C,B3100)</f>
        <v>5000</v>
      </c>
      <c r="E3100" s="15">
        <f t="shared" si="1"/>
        <v>2024</v>
      </c>
      <c r="F3100" s="15">
        <f t="shared" si="2"/>
        <v>11</v>
      </c>
      <c r="G3100" s="15">
        <f t="shared" si="3"/>
        <v>4</v>
      </c>
    </row>
    <row r="3101">
      <c r="A3101" s="10" t="s">
        <v>37</v>
      </c>
      <c r="B3101" s="94">
        <f t="shared" si="5"/>
        <v>45600</v>
      </c>
      <c r="C3101" s="77" t="s">
        <v>1572</v>
      </c>
      <c r="D3101" s="13">
        <f>D3098+D3099-D3100</f>
        <v>12409.25</v>
      </c>
      <c r="E3101" s="15">
        <f t="shared" si="1"/>
        <v>2024</v>
      </c>
      <c r="F3101" s="15">
        <f t="shared" si="2"/>
        <v>11</v>
      </c>
      <c r="G3101" s="15">
        <f t="shared" si="3"/>
        <v>4</v>
      </c>
    </row>
    <row r="3102">
      <c r="A3102" s="10" t="s">
        <v>37</v>
      </c>
      <c r="B3102" s="94">
        <f t="shared" si="5"/>
        <v>45601</v>
      </c>
      <c r="C3102" s="77" t="s">
        <v>1569</v>
      </c>
      <c r="D3102" s="13">
        <f>D3101</f>
        <v>12409.25</v>
      </c>
      <c r="E3102" s="15">
        <f t="shared" si="1"/>
        <v>2024</v>
      </c>
      <c r="F3102" s="15">
        <f t="shared" si="2"/>
        <v>11</v>
      </c>
      <c r="G3102" s="15">
        <f t="shared" si="3"/>
        <v>5</v>
      </c>
    </row>
    <row r="3103">
      <c r="A3103" s="10" t="s">
        <v>37</v>
      </c>
      <c r="B3103" s="94">
        <f t="shared" si="5"/>
        <v>45601</v>
      </c>
      <c r="C3103" s="77" t="s">
        <v>1570</v>
      </c>
      <c r="D3103" s="13">
        <f>SUMIFS('Lançamentos de receitas'!$E:$E,'Lançamentos de receitas'!$F:$F,"PAGO",'Lançamentos de receitas'!$C:$C,A3103,'Lançamentos de receitas'!$A:$A,B3103)</f>
        <v>385.09</v>
      </c>
      <c r="E3103" s="15">
        <f t="shared" si="1"/>
        <v>2024</v>
      </c>
      <c r="F3103" s="15">
        <f t="shared" si="2"/>
        <v>11</v>
      </c>
      <c r="G3103" s="15">
        <f t="shared" si="3"/>
        <v>5</v>
      </c>
    </row>
    <row r="3104">
      <c r="A3104" s="10" t="s">
        <v>37</v>
      </c>
      <c r="B3104" s="94">
        <f t="shared" si="5"/>
        <v>45601</v>
      </c>
      <c r="C3104" s="77" t="s">
        <v>1571</v>
      </c>
      <c r="D3104" s="13">
        <f>SUMIFS('Lançamentos de despesas'!$I:$I,'Lançamentos de despesas'!$G:$G,A3104,'Lançamentos de despesas'!$E:$E,"PAGO",'Lançamentos de despesas'!$C:$C,B3104)</f>
        <v>0</v>
      </c>
      <c r="E3104" s="15">
        <f t="shared" si="1"/>
        <v>2024</v>
      </c>
      <c r="F3104" s="15">
        <f t="shared" si="2"/>
        <v>11</v>
      </c>
      <c r="G3104" s="15">
        <f t="shared" si="3"/>
        <v>5</v>
      </c>
    </row>
    <row r="3105">
      <c r="A3105" s="10" t="s">
        <v>37</v>
      </c>
      <c r="B3105" s="94">
        <f t="shared" si="5"/>
        <v>45601</v>
      </c>
      <c r="C3105" s="77" t="s">
        <v>1572</v>
      </c>
      <c r="D3105" s="13">
        <f>D3102+D3103-D3104</f>
        <v>12794.34</v>
      </c>
      <c r="E3105" s="15">
        <f t="shared" si="1"/>
        <v>2024</v>
      </c>
      <c r="F3105" s="15">
        <f t="shared" si="2"/>
        <v>11</v>
      </c>
      <c r="G3105" s="15">
        <f t="shared" si="3"/>
        <v>5</v>
      </c>
    </row>
    <row r="3106">
      <c r="A3106" s="10" t="s">
        <v>37</v>
      </c>
      <c r="B3106" s="94">
        <f t="shared" si="5"/>
        <v>45602</v>
      </c>
      <c r="C3106" s="77" t="s">
        <v>1569</v>
      </c>
      <c r="D3106" s="13">
        <f>D3105</f>
        <v>12794.34</v>
      </c>
      <c r="E3106" s="15">
        <f t="shared" si="1"/>
        <v>2024</v>
      </c>
      <c r="F3106" s="15">
        <f t="shared" si="2"/>
        <v>11</v>
      </c>
      <c r="G3106" s="15">
        <f t="shared" si="3"/>
        <v>6</v>
      </c>
    </row>
    <row r="3107">
      <c r="A3107" s="10" t="s">
        <v>37</v>
      </c>
      <c r="B3107" s="94">
        <f t="shared" si="5"/>
        <v>45602</v>
      </c>
      <c r="C3107" s="77" t="s">
        <v>1570</v>
      </c>
      <c r="D3107" s="13">
        <f>SUMIFS('Lançamentos de receitas'!$E:$E,'Lançamentos de receitas'!$F:$F,"PAGO",'Lançamentos de receitas'!$C:$C,A3107,'Lançamentos de receitas'!$A:$A,B3107)</f>
        <v>527.28</v>
      </c>
      <c r="E3107" s="15">
        <f t="shared" si="1"/>
        <v>2024</v>
      </c>
      <c r="F3107" s="15">
        <f t="shared" si="2"/>
        <v>11</v>
      </c>
      <c r="G3107" s="15">
        <f t="shared" si="3"/>
        <v>6</v>
      </c>
    </row>
    <row r="3108">
      <c r="A3108" s="10" t="s">
        <v>37</v>
      </c>
      <c r="B3108" s="94">
        <f t="shared" si="5"/>
        <v>45602</v>
      </c>
      <c r="C3108" s="77" t="s">
        <v>1571</v>
      </c>
      <c r="D3108" s="13">
        <f>SUMIFS('Lançamentos de despesas'!$I:$I,'Lançamentos de despesas'!$G:$G,A3108,'Lançamentos de despesas'!$E:$E,"PAGO",'Lançamentos de despesas'!$C:$C,B3108)</f>
        <v>333.34</v>
      </c>
      <c r="E3108" s="15">
        <f t="shared" si="1"/>
        <v>2024</v>
      </c>
      <c r="F3108" s="15">
        <f t="shared" si="2"/>
        <v>11</v>
      </c>
      <c r="G3108" s="15">
        <f t="shared" si="3"/>
        <v>6</v>
      </c>
    </row>
    <row r="3109">
      <c r="A3109" s="10" t="s">
        <v>37</v>
      </c>
      <c r="B3109" s="94">
        <f t="shared" si="5"/>
        <v>45602</v>
      </c>
      <c r="C3109" s="77" t="s">
        <v>1572</v>
      </c>
      <c r="D3109" s="13">
        <f>D3106+D3107-D3108</f>
        <v>12988.28</v>
      </c>
      <c r="E3109" s="15">
        <f t="shared" si="1"/>
        <v>2024</v>
      </c>
      <c r="F3109" s="15">
        <f t="shared" si="2"/>
        <v>11</v>
      </c>
      <c r="G3109" s="15">
        <f t="shared" si="3"/>
        <v>6</v>
      </c>
    </row>
    <row r="3110">
      <c r="A3110" s="10" t="s">
        <v>37</v>
      </c>
      <c r="B3110" s="94">
        <f t="shared" si="5"/>
        <v>45603</v>
      </c>
      <c r="C3110" s="77" t="s">
        <v>1569</v>
      </c>
      <c r="D3110" s="13">
        <f>D3109</f>
        <v>12988.28</v>
      </c>
      <c r="E3110" s="15">
        <f t="shared" si="1"/>
        <v>2024</v>
      </c>
      <c r="F3110" s="15">
        <f t="shared" si="2"/>
        <v>11</v>
      </c>
      <c r="G3110" s="15">
        <f t="shared" si="3"/>
        <v>7</v>
      </c>
    </row>
    <row r="3111">
      <c r="A3111" s="10" t="s">
        <v>37</v>
      </c>
      <c r="B3111" s="94">
        <f t="shared" si="5"/>
        <v>45603</v>
      </c>
      <c r="C3111" s="77" t="s">
        <v>1570</v>
      </c>
      <c r="D3111" s="13">
        <f>SUMIFS('Lançamentos de receitas'!$E:$E,'Lançamentos de receitas'!$F:$F,"PAGO",'Lançamentos de receitas'!$C:$C,A3111,'Lançamentos de receitas'!$A:$A,B3111)</f>
        <v>1238.35</v>
      </c>
      <c r="E3111" s="15">
        <f t="shared" si="1"/>
        <v>2024</v>
      </c>
      <c r="F3111" s="15">
        <f t="shared" si="2"/>
        <v>11</v>
      </c>
      <c r="G3111" s="15">
        <f t="shared" si="3"/>
        <v>7</v>
      </c>
    </row>
    <row r="3112">
      <c r="A3112" s="10" t="s">
        <v>37</v>
      </c>
      <c r="B3112" s="94">
        <f t="shared" si="5"/>
        <v>45603</v>
      </c>
      <c r="C3112" s="77" t="s">
        <v>1571</v>
      </c>
      <c r="D3112" s="13">
        <f>SUMIFS('Lançamentos de despesas'!$I:$I,'Lançamentos de despesas'!$G:$G,A3112,'Lançamentos de despesas'!$E:$E,"PAGO",'Lançamentos de despesas'!$C:$C,B3112)</f>
        <v>0</v>
      </c>
      <c r="E3112" s="15">
        <f t="shared" si="1"/>
        <v>2024</v>
      </c>
      <c r="F3112" s="15">
        <f t="shared" si="2"/>
        <v>11</v>
      </c>
      <c r="G3112" s="15">
        <f t="shared" si="3"/>
        <v>7</v>
      </c>
    </row>
    <row r="3113">
      <c r="A3113" s="10" t="s">
        <v>37</v>
      </c>
      <c r="B3113" s="94">
        <f t="shared" si="5"/>
        <v>45603</v>
      </c>
      <c r="C3113" s="77" t="s">
        <v>1572</v>
      </c>
      <c r="D3113" s="13">
        <f>D3110+D3111-D3112</f>
        <v>14226.63</v>
      </c>
      <c r="E3113" s="15">
        <f t="shared" si="1"/>
        <v>2024</v>
      </c>
      <c r="F3113" s="15">
        <f t="shared" si="2"/>
        <v>11</v>
      </c>
      <c r="G3113" s="15">
        <f t="shared" si="3"/>
        <v>7</v>
      </c>
    </row>
    <row r="3114">
      <c r="A3114" s="10" t="s">
        <v>37</v>
      </c>
      <c r="B3114" s="94">
        <f t="shared" si="5"/>
        <v>45604</v>
      </c>
      <c r="C3114" s="77" t="s">
        <v>1569</v>
      </c>
      <c r="D3114" s="13">
        <f>D3113</f>
        <v>14226.63</v>
      </c>
      <c r="E3114" s="15">
        <f t="shared" si="1"/>
        <v>2024</v>
      </c>
      <c r="F3114" s="15">
        <f t="shared" si="2"/>
        <v>11</v>
      </c>
      <c r="G3114" s="15">
        <f t="shared" si="3"/>
        <v>8</v>
      </c>
    </row>
    <row r="3115">
      <c r="A3115" s="10" t="s">
        <v>37</v>
      </c>
      <c r="B3115" s="94">
        <f t="shared" si="5"/>
        <v>45604</v>
      </c>
      <c r="C3115" s="77" t="s">
        <v>1570</v>
      </c>
      <c r="D3115" s="13">
        <f>SUMIFS('Lançamentos de receitas'!$E:$E,'Lançamentos de receitas'!$F:$F,"PAGO",'Lançamentos de receitas'!$C:$C,A3115,'Lançamentos de receitas'!$A:$A,B3115)</f>
        <v>633.72</v>
      </c>
      <c r="E3115" s="15">
        <f t="shared" si="1"/>
        <v>2024</v>
      </c>
      <c r="F3115" s="15">
        <f t="shared" si="2"/>
        <v>11</v>
      </c>
      <c r="G3115" s="15">
        <f t="shared" si="3"/>
        <v>8</v>
      </c>
    </row>
    <row r="3116">
      <c r="A3116" s="10" t="s">
        <v>37</v>
      </c>
      <c r="B3116" s="94">
        <f t="shared" si="5"/>
        <v>45604</v>
      </c>
      <c r="C3116" s="77" t="s">
        <v>1571</v>
      </c>
      <c r="D3116" s="13">
        <f>SUMIFS('Lançamentos de despesas'!$I:$I,'Lançamentos de despesas'!$G:$G,A3116,'Lançamentos de despesas'!$E:$E,"PAGO",'Lançamentos de despesas'!$C:$C,B3116)</f>
        <v>0</v>
      </c>
      <c r="E3116" s="15">
        <f t="shared" si="1"/>
        <v>2024</v>
      </c>
      <c r="F3116" s="15">
        <f t="shared" si="2"/>
        <v>11</v>
      </c>
      <c r="G3116" s="15">
        <f t="shared" si="3"/>
        <v>8</v>
      </c>
    </row>
    <row r="3117">
      <c r="A3117" s="10" t="s">
        <v>37</v>
      </c>
      <c r="B3117" s="94">
        <f t="shared" si="5"/>
        <v>45604</v>
      </c>
      <c r="C3117" s="77" t="s">
        <v>1572</v>
      </c>
      <c r="D3117" s="13">
        <f>D3114+D3115-D3116</f>
        <v>14860.35</v>
      </c>
      <c r="E3117" s="15">
        <f t="shared" si="1"/>
        <v>2024</v>
      </c>
      <c r="F3117" s="15">
        <f t="shared" si="2"/>
        <v>11</v>
      </c>
      <c r="G3117" s="15">
        <f t="shared" si="3"/>
        <v>8</v>
      </c>
    </row>
    <row r="3118">
      <c r="A3118" s="10" t="s">
        <v>37</v>
      </c>
      <c r="B3118" s="94">
        <f t="shared" si="5"/>
        <v>45605</v>
      </c>
      <c r="C3118" s="77" t="s">
        <v>1569</v>
      </c>
      <c r="D3118" s="13">
        <f>D3117</f>
        <v>14860.35</v>
      </c>
      <c r="E3118" s="15">
        <f t="shared" si="1"/>
        <v>2024</v>
      </c>
      <c r="F3118" s="15">
        <f t="shared" si="2"/>
        <v>11</v>
      </c>
      <c r="G3118" s="15">
        <f t="shared" si="3"/>
        <v>9</v>
      </c>
    </row>
    <row r="3119">
      <c r="A3119" s="10" t="s">
        <v>37</v>
      </c>
      <c r="B3119" s="94">
        <f t="shared" si="5"/>
        <v>45605</v>
      </c>
      <c r="C3119" s="77" t="s">
        <v>1570</v>
      </c>
      <c r="D3119" s="13">
        <f>SUMIFS('Lançamentos de receitas'!$E:$E,'Lançamentos de receitas'!$F:$F,"PAGO",'Lançamentos de receitas'!$C:$C,A3119,'Lançamentos de receitas'!$A:$A,B3119)</f>
        <v>486.31</v>
      </c>
      <c r="E3119" s="15">
        <f t="shared" si="1"/>
        <v>2024</v>
      </c>
      <c r="F3119" s="15">
        <f t="shared" si="2"/>
        <v>11</v>
      </c>
      <c r="G3119" s="15">
        <f t="shared" si="3"/>
        <v>9</v>
      </c>
    </row>
    <row r="3120">
      <c r="A3120" s="10" t="s">
        <v>37</v>
      </c>
      <c r="B3120" s="94">
        <f t="shared" si="5"/>
        <v>45605</v>
      </c>
      <c r="C3120" s="77" t="s">
        <v>1571</v>
      </c>
      <c r="D3120" s="13">
        <f>SUMIFS('Lançamentos de despesas'!$I:$I,'Lançamentos de despesas'!$G:$G,A3120,'Lançamentos de despesas'!$E:$E,"PAGO",'Lançamentos de despesas'!$C:$C,B3120)</f>
        <v>0</v>
      </c>
      <c r="E3120" s="15">
        <f t="shared" si="1"/>
        <v>2024</v>
      </c>
      <c r="F3120" s="15">
        <f t="shared" si="2"/>
        <v>11</v>
      </c>
      <c r="G3120" s="15">
        <f t="shared" si="3"/>
        <v>9</v>
      </c>
    </row>
    <row r="3121">
      <c r="A3121" s="10" t="s">
        <v>37</v>
      </c>
      <c r="B3121" s="94">
        <f t="shared" si="5"/>
        <v>45605</v>
      </c>
      <c r="C3121" s="77" t="s">
        <v>1572</v>
      </c>
      <c r="D3121" s="13">
        <f>D3118+D3119-D3120</f>
        <v>15346.66</v>
      </c>
      <c r="E3121" s="15">
        <f t="shared" si="1"/>
        <v>2024</v>
      </c>
      <c r="F3121" s="15">
        <f t="shared" si="2"/>
        <v>11</v>
      </c>
      <c r="G3121" s="15">
        <f t="shared" si="3"/>
        <v>9</v>
      </c>
    </row>
    <row r="3122">
      <c r="A3122" s="10" t="s">
        <v>37</v>
      </c>
      <c r="B3122" s="94">
        <f t="shared" si="5"/>
        <v>45606</v>
      </c>
      <c r="C3122" s="77" t="s">
        <v>1569</v>
      </c>
      <c r="D3122" s="13">
        <f>D3121</f>
        <v>15346.66</v>
      </c>
      <c r="E3122" s="15">
        <f t="shared" si="1"/>
        <v>2024</v>
      </c>
      <c r="F3122" s="15">
        <f t="shared" si="2"/>
        <v>11</v>
      </c>
      <c r="G3122" s="15">
        <f t="shared" si="3"/>
        <v>10</v>
      </c>
    </row>
    <row r="3123">
      <c r="A3123" s="10" t="s">
        <v>37</v>
      </c>
      <c r="B3123" s="94">
        <f t="shared" si="5"/>
        <v>45606</v>
      </c>
      <c r="C3123" s="77" t="s">
        <v>1570</v>
      </c>
      <c r="D3123" s="13">
        <f>SUMIFS('Lançamentos de receitas'!$E:$E,'Lançamentos de receitas'!$F:$F,"PAGO",'Lançamentos de receitas'!$C:$C,A3123,'Lançamentos de receitas'!$A:$A,B3123)</f>
        <v>312.56</v>
      </c>
      <c r="E3123" s="15">
        <f t="shared" si="1"/>
        <v>2024</v>
      </c>
      <c r="F3123" s="15">
        <f t="shared" si="2"/>
        <v>11</v>
      </c>
      <c r="G3123" s="15">
        <f t="shared" si="3"/>
        <v>10</v>
      </c>
    </row>
    <row r="3124">
      <c r="A3124" s="10" t="s">
        <v>37</v>
      </c>
      <c r="B3124" s="94">
        <f t="shared" si="5"/>
        <v>45606</v>
      </c>
      <c r="C3124" s="77" t="s">
        <v>1571</v>
      </c>
      <c r="D3124" s="13">
        <f>SUMIFS('Lançamentos de despesas'!$I:$I,'Lançamentos de despesas'!$G:$G,A3124,'Lançamentos de despesas'!$E:$E,"PAGO",'Lançamentos de despesas'!$C:$C,B3124)</f>
        <v>397</v>
      </c>
      <c r="E3124" s="15">
        <f t="shared" si="1"/>
        <v>2024</v>
      </c>
      <c r="F3124" s="15">
        <f t="shared" si="2"/>
        <v>11</v>
      </c>
      <c r="G3124" s="15">
        <f t="shared" si="3"/>
        <v>10</v>
      </c>
    </row>
    <row r="3125">
      <c r="A3125" s="10" t="s">
        <v>37</v>
      </c>
      <c r="B3125" s="94">
        <f t="shared" si="5"/>
        <v>45606</v>
      </c>
      <c r="C3125" s="77" t="s">
        <v>1572</v>
      </c>
      <c r="D3125" s="13">
        <f>D3122+D3123-D3124</f>
        <v>15262.22</v>
      </c>
      <c r="E3125" s="15">
        <f t="shared" si="1"/>
        <v>2024</v>
      </c>
      <c r="F3125" s="15">
        <f t="shared" si="2"/>
        <v>11</v>
      </c>
      <c r="G3125" s="15">
        <f t="shared" si="3"/>
        <v>10</v>
      </c>
    </row>
    <row r="3126">
      <c r="A3126" s="10" t="s">
        <v>37</v>
      </c>
      <c r="B3126" s="94">
        <f t="shared" si="5"/>
        <v>45607</v>
      </c>
      <c r="C3126" s="77" t="s">
        <v>1569</v>
      </c>
      <c r="D3126" s="13">
        <f>D3125</f>
        <v>15262.22</v>
      </c>
      <c r="E3126" s="15">
        <f t="shared" si="1"/>
        <v>2024</v>
      </c>
      <c r="F3126" s="15">
        <f t="shared" si="2"/>
        <v>11</v>
      </c>
      <c r="G3126" s="15">
        <f t="shared" si="3"/>
        <v>11</v>
      </c>
    </row>
    <row r="3127">
      <c r="A3127" s="10" t="s">
        <v>37</v>
      </c>
      <c r="B3127" s="94">
        <f t="shared" si="5"/>
        <v>45607</v>
      </c>
      <c r="C3127" s="77" t="s">
        <v>1570</v>
      </c>
      <c r="D3127" s="13">
        <f>SUMIFS('Lançamentos de receitas'!$E:$E,'Lançamentos de receitas'!$F:$F,"PAGO",'Lançamentos de receitas'!$C:$C,A3127,'Lançamentos de receitas'!$A:$A,B3127)</f>
        <v>373.55</v>
      </c>
      <c r="E3127" s="15">
        <f t="shared" si="1"/>
        <v>2024</v>
      </c>
      <c r="F3127" s="15">
        <f t="shared" si="2"/>
        <v>11</v>
      </c>
      <c r="G3127" s="15">
        <f t="shared" si="3"/>
        <v>11</v>
      </c>
    </row>
    <row r="3128">
      <c r="A3128" s="10" t="s">
        <v>37</v>
      </c>
      <c r="B3128" s="94">
        <f t="shared" si="5"/>
        <v>45607</v>
      </c>
      <c r="C3128" s="77" t="s">
        <v>1571</v>
      </c>
      <c r="D3128" s="13">
        <f>SUMIFS('Lançamentos de despesas'!$I:$I,'Lançamentos de despesas'!$G:$G,A3128,'Lançamentos de despesas'!$E:$E,"PAGO",'Lançamentos de despesas'!$C:$C,B3128)</f>
        <v>0</v>
      </c>
      <c r="E3128" s="15">
        <f t="shared" si="1"/>
        <v>2024</v>
      </c>
      <c r="F3128" s="15">
        <f t="shared" si="2"/>
        <v>11</v>
      </c>
      <c r="G3128" s="15">
        <f t="shared" si="3"/>
        <v>11</v>
      </c>
    </row>
    <row r="3129">
      <c r="A3129" s="10" t="s">
        <v>37</v>
      </c>
      <c r="B3129" s="94">
        <f t="shared" si="5"/>
        <v>45607</v>
      </c>
      <c r="C3129" s="77" t="s">
        <v>1572</v>
      </c>
      <c r="D3129" s="13">
        <f>D3126+D3127-D3128</f>
        <v>15635.77</v>
      </c>
      <c r="E3129" s="15">
        <f t="shared" si="1"/>
        <v>2024</v>
      </c>
      <c r="F3129" s="15">
        <f t="shared" si="2"/>
        <v>11</v>
      </c>
      <c r="G3129" s="15">
        <f t="shared" si="3"/>
        <v>11</v>
      </c>
    </row>
    <row r="3130">
      <c r="A3130" s="10" t="s">
        <v>37</v>
      </c>
      <c r="B3130" s="94">
        <f t="shared" si="5"/>
        <v>45608</v>
      </c>
      <c r="C3130" s="77" t="s">
        <v>1569</v>
      </c>
      <c r="D3130" s="13">
        <f>D3129</f>
        <v>15635.77</v>
      </c>
      <c r="E3130" s="15">
        <f t="shared" si="1"/>
        <v>2024</v>
      </c>
      <c r="F3130" s="15">
        <f t="shared" si="2"/>
        <v>11</v>
      </c>
      <c r="G3130" s="15">
        <f t="shared" si="3"/>
        <v>12</v>
      </c>
    </row>
    <row r="3131">
      <c r="A3131" s="10" t="s">
        <v>37</v>
      </c>
      <c r="B3131" s="94">
        <f t="shared" si="5"/>
        <v>45608</v>
      </c>
      <c r="C3131" s="77" t="s">
        <v>1570</v>
      </c>
      <c r="D3131" s="13">
        <f>SUMIFS('Lançamentos de receitas'!$E:$E,'Lançamentos de receitas'!$F:$F,"PAGO",'Lançamentos de receitas'!$C:$C,A3131,'Lançamentos de receitas'!$A:$A,B3131)</f>
        <v>1211.81</v>
      </c>
      <c r="E3131" s="15">
        <f t="shared" si="1"/>
        <v>2024</v>
      </c>
      <c r="F3131" s="15">
        <f t="shared" si="2"/>
        <v>11</v>
      </c>
      <c r="G3131" s="15">
        <f t="shared" si="3"/>
        <v>12</v>
      </c>
    </row>
    <row r="3132">
      <c r="A3132" s="10" t="s">
        <v>37</v>
      </c>
      <c r="B3132" s="94">
        <f t="shared" si="5"/>
        <v>45608</v>
      </c>
      <c r="C3132" s="77" t="s">
        <v>1571</v>
      </c>
      <c r="D3132" s="13">
        <f>SUMIFS('Lançamentos de despesas'!$I:$I,'Lançamentos de despesas'!$G:$G,A3132,'Lançamentos de despesas'!$E:$E,"PAGO",'Lançamentos de despesas'!$C:$C,B3132)</f>
        <v>50</v>
      </c>
      <c r="E3132" s="15">
        <f t="shared" si="1"/>
        <v>2024</v>
      </c>
      <c r="F3132" s="15">
        <f t="shared" si="2"/>
        <v>11</v>
      </c>
      <c r="G3132" s="15">
        <f t="shared" si="3"/>
        <v>12</v>
      </c>
    </row>
    <row r="3133">
      <c r="A3133" s="10" t="s">
        <v>37</v>
      </c>
      <c r="B3133" s="94">
        <f t="shared" si="5"/>
        <v>45608</v>
      </c>
      <c r="C3133" s="77" t="s">
        <v>1572</v>
      </c>
      <c r="D3133" s="13">
        <f>D3130+D3131-D3132</f>
        <v>16797.58</v>
      </c>
      <c r="E3133" s="15">
        <f t="shared" si="1"/>
        <v>2024</v>
      </c>
      <c r="F3133" s="15">
        <f t="shared" si="2"/>
        <v>11</v>
      </c>
      <c r="G3133" s="15">
        <f t="shared" si="3"/>
        <v>12</v>
      </c>
    </row>
    <row r="3134">
      <c r="A3134" s="10" t="s">
        <v>37</v>
      </c>
      <c r="B3134" s="94">
        <f t="shared" si="5"/>
        <v>45609</v>
      </c>
      <c r="C3134" s="77" t="s">
        <v>1569</v>
      </c>
      <c r="D3134" s="13">
        <f>D3133</f>
        <v>16797.58</v>
      </c>
      <c r="E3134" s="15">
        <f t="shared" si="1"/>
        <v>2024</v>
      </c>
      <c r="F3134" s="15">
        <f t="shared" si="2"/>
        <v>11</v>
      </c>
      <c r="G3134" s="15">
        <f t="shared" si="3"/>
        <v>13</v>
      </c>
    </row>
    <row r="3135">
      <c r="A3135" s="10" t="s">
        <v>37</v>
      </c>
      <c r="B3135" s="94">
        <f t="shared" si="5"/>
        <v>45609</v>
      </c>
      <c r="C3135" s="77" t="s">
        <v>1570</v>
      </c>
      <c r="D3135" s="13">
        <f>SUMIFS('Lançamentos de receitas'!$E:$E,'Lançamentos de receitas'!$F:$F,"PAGO",'Lançamentos de receitas'!$C:$C,A3135,'Lançamentos de receitas'!$A:$A,B3135)</f>
        <v>818.29</v>
      </c>
      <c r="E3135" s="15">
        <f t="shared" si="1"/>
        <v>2024</v>
      </c>
      <c r="F3135" s="15">
        <f t="shared" si="2"/>
        <v>11</v>
      </c>
      <c r="G3135" s="15">
        <f t="shared" si="3"/>
        <v>13</v>
      </c>
    </row>
    <row r="3136">
      <c r="A3136" s="10" t="s">
        <v>37</v>
      </c>
      <c r="B3136" s="94">
        <f t="shared" si="5"/>
        <v>45609</v>
      </c>
      <c r="C3136" s="77" t="s">
        <v>1571</v>
      </c>
      <c r="D3136" s="13">
        <f>SUMIFS('Lançamentos de despesas'!$I:$I,'Lançamentos de despesas'!$G:$G,A3136,'Lançamentos de despesas'!$E:$E,"PAGO",'Lançamentos de despesas'!$C:$C,B3136)</f>
        <v>0</v>
      </c>
      <c r="E3136" s="15">
        <f t="shared" si="1"/>
        <v>2024</v>
      </c>
      <c r="F3136" s="15">
        <f t="shared" si="2"/>
        <v>11</v>
      </c>
      <c r="G3136" s="15">
        <f t="shared" si="3"/>
        <v>13</v>
      </c>
    </row>
    <row r="3137">
      <c r="A3137" s="10" t="s">
        <v>37</v>
      </c>
      <c r="B3137" s="94">
        <f t="shared" si="5"/>
        <v>45609</v>
      </c>
      <c r="C3137" s="77" t="s">
        <v>1572</v>
      </c>
      <c r="D3137" s="13">
        <f>D3134+D3135-D3136</f>
        <v>17615.87</v>
      </c>
      <c r="E3137" s="15">
        <f t="shared" si="1"/>
        <v>2024</v>
      </c>
      <c r="F3137" s="15">
        <f t="shared" si="2"/>
        <v>11</v>
      </c>
      <c r="G3137" s="15">
        <f t="shared" si="3"/>
        <v>13</v>
      </c>
    </row>
    <row r="3138">
      <c r="A3138" s="10" t="s">
        <v>37</v>
      </c>
      <c r="B3138" s="94">
        <f t="shared" si="5"/>
        <v>45610</v>
      </c>
      <c r="C3138" s="77" t="s">
        <v>1569</v>
      </c>
      <c r="D3138" s="13">
        <f>D3137</f>
        <v>17615.87</v>
      </c>
      <c r="E3138" s="15">
        <f t="shared" si="1"/>
        <v>2024</v>
      </c>
      <c r="F3138" s="15">
        <f t="shared" si="2"/>
        <v>11</v>
      </c>
      <c r="G3138" s="15">
        <f t="shared" si="3"/>
        <v>14</v>
      </c>
    </row>
    <row r="3139">
      <c r="A3139" s="10" t="s">
        <v>37</v>
      </c>
      <c r="B3139" s="94">
        <f t="shared" si="5"/>
        <v>45610</v>
      </c>
      <c r="C3139" s="77" t="s">
        <v>1570</v>
      </c>
      <c r="D3139" s="13">
        <f>SUMIFS('Lançamentos de receitas'!$E:$E,'Lançamentos de receitas'!$F:$F,"PAGO",'Lançamentos de receitas'!$C:$C,A3139,'Lançamentos de receitas'!$A:$A,B3139)</f>
        <v>1004.03</v>
      </c>
      <c r="E3139" s="15">
        <f t="shared" si="1"/>
        <v>2024</v>
      </c>
      <c r="F3139" s="15">
        <f t="shared" si="2"/>
        <v>11</v>
      </c>
      <c r="G3139" s="15">
        <f t="shared" si="3"/>
        <v>14</v>
      </c>
    </row>
    <row r="3140">
      <c r="A3140" s="10" t="s">
        <v>37</v>
      </c>
      <c r="B3140" s="94">
        <f t="shared" si="5"/>
        <v>45610</v>
      </c>
      <c r="C3140" s="77" t="s">
        <v>1571</v>
      </c>
      <c r="D3140" s="13">
        <f>SUMIFS('Lançamentos de despesas'!$I:$I,'Lançamentos de despesas'!$G:$G,A3140,'Lançamentos de despesas'!$E:$E,"PAGO",'Lançamentos de despesas'!$C:$C,B3140)</f>
        <v>0</v>
      </c>
      <c r="E3140" s="15">
        <f t="shared" si="1"/>
        <v>2024</v>
      </c>
      <c r="F3140" s="15">
        <f t="shared" si="2"/>
        <v>11</v>
      </c>
      <c r="G3140" s="15">
        <f t="shared" si="3"/>
        <v>14</v>
      </c>
    </row>
    <row r="3141">
      <c r="A3141" s="10" t="s">
        <v>37</v>
      </c>
      <c r="B3141" s="94">
        <f t="shared" si="5"/>
        <v>45610</v>
      </c>
      <c r="C3141" s="77" t="s">
        <v>1572</v>
      </c>
      <c r="D3141" s="13">
        <f>D3138+D3139-D3140</f>
        <v>18619.9</v>
      </c>
      <c r="E3141" s="15">
        <f t="shared" si="1"/>
        <v>2024</v>
      </c>
      <c r="F3141" s="15">
        <f t="shared" si="2"/>
        <v>11</v>
      </c>
      <c r="G3141" s="15">
        <f t="shared" si="3"/>
        <v>14</v>
      </c>
    </row>
    <row r="3142">
      <c r="A3142" s="10" t="s">
        <v>37</v>
      </c>
      <c r="B3142" s="94">
        <f t="shared" si="5"/>
        <v>45611</v>
      </c>
      <c r="C3142" s="77" t="s">
        <v>1569</v>
      </c>
      <c r="D3142" s="13">
        <f>D3141</f>
        <v>18619.9</v>
      </c>
      <c r="E3142" s="15">
        <f t="shared" si="1"/>
        <v>2024</v>
      </c>
      <c r="F3142" s="15">
        <f t="shared" si="2"/>
        <v>11</v>
      </c>
      <c r="G3142" s="15">
        <f t="shared" si="3"/>
        <v>15</v>
      </c>
    </row>
    <row r="3143">
      <c r="A3143" s="10" t="s">
        <v>37</v>
      </c>
      <c r="B3143" s="94">
        <f t="shared" si="5"/>
        <v>45611</v>
      </c>
      <c r="C3143" s="77" t="s">
        <v>1570</v>
      </c>
      <c r="D3143" s="13">
        <f>SUMIFS('Lançamentos de receitas'!$E:$E,'Lançamentos de receitas'!$F:$F,"PAGO",'Lançamentos de receitas'!$C:$C,A3143,'Lançamentos de receitas'!$A:$A,B3143)</f>
        <v>1019.82</v>
      </c>
      <c r="E3143" s="15">
        <f t="shared" si="1"/>
        <v>2024</v>
      </c>
      <c r="F3143" s="15">
        <f t="shared" si="2"/>
        <v>11</v>
      </c>
      <c r="G3143" s="15">
        <f t="shared" si="3"/>
        <v>15</v>
      </c>
    </row>
    <row r="3144">
      <c r="A3144" s="10" t="s">
        <v>37</v>
      </c>
      <c r="B3144" s="94">
        <f t="shared" si="5"/>
        <v>45611</v>
      </c>
      <c r="C3144" s="77" t="s">
        <v>1571</v>
      </c>
      <c r="D3144" s="13">
        <f>SUMIFS('Lançamentos de despesas'!$I:$I,'Lançamentos de despesas'!$G:$G,A3144,'Lançamentos de despesas'!$E:$E,"PAGO",'Lançamentos de despesas'!$C:$C,B3144)</f>
        <v>750</v>
      </c>
      <c r="E3144" s="15">
        <f t="shared" si="1"/>
        <v>2024</v>
      </c>
      <c r="F3144" s="15">
        <f t="shared" si="2"/>
        <v>11</v>
      </c>
      <c r="G3144" s="15">
        <f t="shared" si="3"/>
        <v>15</v>
      </c>
    </row>
    <row r="3145">
      <c r="A3145" s="10" t="s">
        <v>37</v>
      </c>
      <c r="B3145" s="94">
        <f t="shared" si="5"/>
        <v>45611</v>
      </c>
      <c r="C3145" s="77" t="s">
        <v>1572</v>
      </c>
      <c r="D3145" s="13">
        <f>D3142+D3143-D3144</f>
        <v>18889.72</v>
      </c>
      <c r="E3145" s="15">
        <f t="shared" si="1"/>
        <v>2024</v>
      </c>
      <c r="F3145" s="15">
        <f t="shared" si="2"/>
        <v>11</v>
      </c>
      <c r="G3145" s="15">
        <f t="shared" si="3"/>
        <v>15</v>
      </c>
    </row>
    <row r="3146">
      <c r="A3146" s="10" t="s">
        <v>37</v>
      </c>
      <c r="B3146" s="94">
        <f t="shared" si="5"/>
        <v>45612</v>
      </c>
      <c r="C3146" s="77" t="s">
        <v>1569</v>
      </c>
      <c r="D3146" s="13">
        <f>D3145</f>
        <v>18889.72</v>
      </c>
      <c r="E3146" s="15">
        <f t="shared" si="1"/>
        <v>2024</v>
      </c>
      <c r="F3146" s="15">
        <f t="shared" si="2"/>
        <v>11</v>
      </c>
      <c r="G3146" s="15">
        <f t="shared" si="3"/>
        <v>16</v>
      </c>
    </row>
    <row r="3147">
      <c r="A3147" s="10" t="s">
        <v>37</v>
      </c>
      <c r="B3147" s="94">
        <f t="shared" si="5"/>
        <v>45612</v>
      </c>
      <c r="C3147" s="77" t="s">
        <v>1570</v>
      </c>
      <c r="D3147" s="13">
        <f>SUMIFS('Lançamentos de receitas'!$E:$E,'Lançamentos de receitas'!$F:$F,"PAGO",'Lançamentos de receitas'!$C:$C,A3147,'Lançamentos de receitas'!$A:$A,B3147)</f>
        <v>751.87</v>
      </c>
      <c r="E3147" s="15">
        <f t="shared" si="1"/>
        <v>2024</v>
      </c>
      <c r="F3147" s="15">
        <f t="shared" si="2"/>
        <v>11</v>
      </c>
      <c r="G3147" s="15">
        <f t="shared" si="3"/>
        <v>16</v>
      </c>
    </row>
    <row r="3148">
      <c r="A3148" s="10" t="s">
        <v>37</v>
      </c>
      <c r="B3148" s="94">
        <f t="shared" si="5"/>
        <v>45612</v>
      </c>
      <c r="C3148" s="77" t="s">
        <v>1571</v>
      </c>
      <c r="D3148" s="13">
        <f>SUMIFS('Lançamentos de despesas'!$I:$I,'Lançamentos de despesas'!$G:$G,A3148,'Lançamentos de despesas'!$E:$E,"PAGO",'Lançamentos de despesas'!$C:$C,B3148)</f>
        <v>0</v>
      </c>
      <c r="E3148" s="15">
        <f t="shared" si="1"/>
        <v>2024</v>
      </c>
      <c r="F3148" s="15">
        <f t="shared" si="2"/>
        <v>11</v>
      </c>
      <c r="G3148" s="15">
        <f t="shared" si="3"/>
        <v>16</v>
      </c>
    </row>
    <row r="3149">
      <c r="A3149" s="10" t="s">
        <v>37</v>
      </c>
      <c r="B3149" s="94">
        <f t="shared" si="5"/>
        <v>45612</v>
      </c>
      <c r="C3149" s="77" t="s">
        <v>1572</v>
      </c>
      <c r="D3149" s="13">
        <f>D3146+D3147-D3148</f>
        <v>19641.59</v>
      </c>
      <c r="E3149" s="15">
        <f t="shared" si="1"/>
        <v>2024</v>
      </c>
      <c r="F3149" s="15">
        <f t="shared" si="2"/>
        <v>11</v>
      </c>
      <c r="G3149" s="15">
        <f t="shared" si="3"/>
        <v>16</v>
      </c>
    </row>
    <row r="3150">
      <c r="A3150" s="10" t="s">
        <v>37</v>
      </c>
      <c r="B3150" s="94">
        <f t="shared" si="5"/>
        <v>45613</v>
      </c>
      <c r="C3150" s="77" t="s">
        <v>1569</v>
      </c>
      <c r="D3150" s="13">
        <f>D3149</f>
        <v>19641.59</v>
      </c>
      <c r="E3150" s="15">
        <f t="shared" si="1"/>
        <v>2024</v>
      </c>
      <c r="F3150" s="15">
        <f t="shared" si="2"/>
        <v>11</v>
      </c>
      <c r="G3150" s="15">
        <f t="shared" si="3"/>
        <v>17</v>
      </c>
    </row>
    <row r="3151">
      <c r="A3151" s="10" t="s">
        <v>37</v>
      </c>
      <c r="B3151" s="94">
        <f t="shared" si="5"/>
        <v>45613</v>
      </c>
      <c r="C3151" s="77" t="s">
        <v>1570</v>
      </c>
      <c r="D3151" s="13">
        <f>SUMIFS('Lançamentos de receitas'!$E:$E,'Lançamentos de receitas'!$F:$F,"PAGO",'Lançamentos de receitas'!$C:$C,A3151,'Lançamentos de receitas'!$A:$A,B3151)</f>
        <v>932.52</v>
      </c>
      <c r="E3151" s="15">
        <f t="shared" si="1"/>
        <v>2024</v>
      </c>
      <c r="F3151" s="15">
        <f t="shared" si="2"/>
        <v>11</v>
      </c>
      <c r="G3151" s="15">
        <f t="shared" si="3"/>
        <v>17</v>
      </c>
    </row>
    <row r="3152">
      <c r="A3152" s="10" t="s">
        <v>37</v>
      </c>
      <c r="B3152" s="94">
        <f t="shared" si="5"/>
        <v>45613</v>
      </c>
      <c r="C3152" s="77" t="s">
        <v>1571</v>
      </c>
      <c r="D3152" s="13">
        <f>SUMIFS('Lançamentos de despesas'!$I:$I,'Lançamentos de despesas'!$G:$G,A3152,'Lançamentos de despesas'!$E:$E,"PAGO",'Lançamentos de despesas'!$C:$C,B3152)</f>
        <v>0</v>
      </c>
      <c r="E3152" s="15">
        <f t="shared" si="1"/>
        <v>2024</v>
      </c>
      <c r="F3152" s="15">
        <f t="shared" si="2"/>
        <v>11</v>
      </c>
      <c r="G3152" s="15">
        <f t="shared" si="3"/>
        <v>17</v>
      </c>
    </row>
    <row r="3153">
      <c r="A3153" s="10" t="s">
        <v>37</v>
      </c>
      <c r="B3153" s="94">
        <f t="shared" si="5"/>
        <v>45613</v>
      </c>
      <c r="C3153" s="77" t="s">
        <v>1572</v>
      </c>
      <c r="D3153" s="13">
        <f>D3150+D3151-D3152</f>
        <v>20574.11</v>
      </c>
      <c r="E3153" s="15">
        <f t="shared" si="1"/>
        <v>2024</v>
      </c>
      <c r="F3153" s="15">
        <f t="shared" si="2"/>
        <v>11</v>
      </c>
      <c r="G3153" s="15">
        <f t="shared" si="3"/>
        <v>17</v>
      </c>
    </row>
    <row r="3154">
      <c r="A3154" s="10" t="s">
        <v>37</v>
      </c>
      <c r="B3154" s="94">
        <f t="shared" si="5"/>
        <v>45614</v>
      </c>
      <c r="C3154" s="77" t="s">
        <v>1569</v>
      </c>
      <c r="D3154" s="13">
        <f>D3153</f>
        <v>20574.11</v>
      </c>
      <c r="E3154" s="15">
        <f t="shared" si="1"/>
        <v>2024</v>
      </c>
      <c r="F3154" s="15">
        <f t="shared" si="2"/>
        <v>11</v>
      </c>
      <c r="G3154" s="15">
        <f t="shared" si="3"/>
        <v>18</v>
      </c>
    </row>
    <row r="3155">
      <c r="A3155" s="10" t="s">
        <v>37</v>
      </c>
      <c r="B3155" s="94">
        <f t="shared" si="5"/>
        <v>45614</v>
      </c>
      <c r="C3155" s="77" t="s">
        <v>1570</v>
      </c>
      <c r="D3155" s="13">
        <f>SUMIFS('Lançamentos de receitas'!$E:$E,'Lançamentos de receitas'!$F:$F,"PAGO",'Lançamentos de receitas'!$C:$C,A3155,'Lançamentos de receitas'!$A:$A,B3155)</f>
        <v>408.65</v>
      </c>
      <c r="E3155" s="15">
        <f t="shared" si="1"/>
        <v>2024</v>
      </c>
      <c r="F3155" s="15">
        <f t="shared" si="2"/>
        <v>11</v>
      </c>
      <c r="G3155" s="15">
        <f t="shared" si="3"/>
        <v>18</v>
      </c>
    </row>
    <row r="3156">
      <c r="A3156" s="10" t="s">
        <v>37</v>
      </c>
      <c r="B3156" s="94">
        <f t="shared" si="5"/>
        <v>45614</v>
      </c>
      <c r="C3156" s="77" t="s">
        <v>1571</v>
      </c>
      <c r="D3156" s="13">
        <f>SUMIFS('Lançamentos de despesas'!$I:$I,'Lançamentos de despesas'!$G:$G,A3156,'Lançamentos de despesas'!$E:$E,"PAGO",'Lançamentos de despesas'!$C:$C,B3156)</f>
        <v>4032.06</v>
      </c>
      <c r="E3156" s="15">
        <f t="shared" si="1"/>
        <v>2024</v>
      </c>
      <c r="F3156" s="15">
        <f t="shared" si="2"/>
        <v>11</v>
      </c>
      <c r="G3156" s="15">
        <f t="shared" si="3"/>
        <v>18</v>
      </c>
    </row>
    <row r="3157">
      <c r="A3157" s="10" t="s">
        <v>37</v>
      </c>
      <c r="B3157" s="94">
        <f t="shared" si="5"/>
        <v>45614</v>
      </c>
      <c r="C3157" s="77" t="s">
        <v>1572</v>
      </c>
      <c r="D3157" s="13">
        <f>D3154+D3155-D3156</f>
        <v>16950.7</v>
      </c>
      <c r="E3157" s="15">
        <f t="shared" si="1"/>
        <v>2024</v>
      </c>
      <c r="F3157" s="15">
        <f t="shared" si="2"/>
        <v>11</v>
      </c>
      <c r="G3157" s="15">
        <f t="shared" si="3"/>
        <v>18</v>
      </c>
    </row>
    <row r="3158">
      <c r="A3158" s="10" t="s">
        <v>37</v>
      </c>
      <c r="B3158" s="94">
        <f t="shared" si="5"/>
        <v>45615</v>
      </c>
      <c r="C3158" s="77" t="s">
        <v>1569</v>
      </c>
      <c r="D3158" s="13">
        <f>D3157</f>
        <v>16950.7</v>
      </c>
      <c r="E3158" s="15">
        <f t="shared" si="1"/>
        <v>2024</v>
      </c>
      <c r="F3158" s="15">
        <f t="shared" si="2"/>
        <v>11</v>
      </c>
      <c r="G3158" s="15">
        <f t="shared" si="3"/>
        <v>19</v>
      </c>
    </row>
    <row r="3159">
      <c r="A3159" s="10" t="s">
        <v>37</v>
      </c>
      <c r="B3159" s="94">
        <f t="shared" si="5"/>
        <v>45615</v>
      </c>
      <c r="C3159" s="77" t="s">
        <v>1570</v>
      </c>
      <c r="D3159" s="13">
        <f>SUMIFS('Lançamentos de receitas'!$E:$E,'Lançamentos de receitas'!$F:$F,"PAGO",'Lançamentos de receitas'!$C:$C,A3159,'Lançamentos de receitas'!$A:$A,B3159)</f>
        <v>1257.13</v>
      </c>
      <c r="E3159" s="15">
        <f t="shared" si="1"/>
        <v>2024</v>
      </c>
      <c r="F3159" s="15">
        <f t="shared" si="2"/>
        <v>11</v>
      </c>
      <c r="G3159" s="15">
        <f t="shared" si="3"/>
        <v>19</v>
      </c>
    </row>
    <row r="3160">
      <c r="A3160" s="10" t="s">
        <v>37</v>
      </c>
      <c r="B3160" s="94">
        <f t="shared" si="5"/>
        <v>45615</v>
      </c>
      <c r="C3160" s="77" t="s">
        <v>1571</v>
      </c>
      <c r="D3160" s="13">
        <f>SUMIFS('Lançamentos de despesas'!$I:$I,'Lançamentos de despesas'!$G:$G,A3160,'Lançamentos de despesas'!$E:$E,"PAGO",'Lançamentos de despesas'!$C:$C,B3160)</f>
        <v>0</v>
      </c>
      <c r="E3160" s="15">
        <f t="shared" si="1"/>
        <v>2024</v>
      </c>
      <c r="F3160" s="15">
        <f t="shared" si="2"/>
        <v>11</v>
      </c>
      <c r="G3160" s="15">
        <f t="shared" si="3"/>
        <v>19</v>
      </c>
    </row>
    <row r="3161">
      <c r="A3161" s="10" t="s">
        <v>37</v>
      </c>
      <c r="B3161" s="94">
        <f t="shared" si="5"/>
        <v>45615</v>
      </c>
      <c r="C3161" s="77" t="s">
        <v>1572</v>
      </c>
      <c r="D3161" s="13">
        <f>D3158+D3159-D3160</f>
        <v>18207.83</v>
      </c>
      <c r="E3161" s="15">
        <f t="shared" si="1"/>
        <v>2024</v>
      </c>
      <c r="F3161" s="15">
        <f t="shared" si="2"/>
        <v>11</v>
      </c>
      <c r="G3161" s="15">
        <f t="shared" si="3"/>
        <v>19</v>
      </c>
    </row>
    <row r="3162">
      <c r="A3162" s="10" t="s">
        <v>37</v>
      </c>
      <c r="B3162" s="94">
        <f t="shared" si="5"/>
        <v>45616</v>
      </c>
      <c r="C3162" s="77" t="s">
        <v>1569</v>
      </c>
      <c r="D3162" s="13">
        <f>D3161</f>
        <v>18207.83</v>
      </c>
      <c r="E3162" s="15">
        <f t="shared" si="1"/>
        <v>2024</v>
      </c>
      <c r="F3162" s="15">
        <f t="shared" si="2"/>
        <v>11</v>
      </c>
      <c r="G3162" s="15">
        <f t="shared" si="3"/>
        <v>20</v>
      </c>
    </row>
    <row r="3163">
      <c r="A3163" s="10" t="s">
        <v>37</v>
      </c>
      <c r="B3163" s="94">
        <f t="shared" si="5"/>
        <v>45616</v>
      </c>
      <c r="C3163" s="77" t="s">
        <v>1570</v>
      </c>
      <c r="D3163" s="13">
        <f>SUMIFS('Lançamentos de receitas'!$E:$E,'Lançamentos de receitas'!$F:$F,"PAGO",'Lançamentos de receitas'!$C:$C,A3163,'Lançamentos de receitas'!$A:$A,B3163)</f>
        <v>983.96</v>
      </c>
      <c r="E3163" s="15">
        <f t="shared" si="1"/>
        <v>2024</v>
      </c>
      <c r="F3163" s="15">
        <f t="shared" si="2"/>
        <v>11</v>
      </c>
      <c r="G3163" s="15">
        <f t="shared" si="3"/>
        <v>20</v>
      </c>
    </row>
    <row r="3164">
      <c r="A3164" s="10" t="s">
        <v>37</v>
      </c>
      <c r="B3164" s="94">
        <f t="shared" si="5"/>
        <v>45616</v>
      </c>
      <c r="C3164" s="77" t="s">
        <v>1571</v>
      </c>
      <c r="D3164" s="13">
        <f>SUMIFS('Lançamentos de despesas'!$I:$I,'Lançamentos de despesas'!$G:$G,A3164,'Lançamentos de despesas'!$E:$E,"PAGO",'Lançamentos de despesas'!$C:$C,B3164)</f>
        <v>0</v>
      </c>
      <c r="E3164" s="15">
        <f t="shared" si="1"/>
        <v>2024</v>
      </c>
      <c r="F3164" s="15">
        <f t="shared" si="2"/>
        <v>11</v>
      </c>
      <c r="G3164" s="15">
        <f t="shared" si="3"/>
        <v>20</v>
      </c>
    </row>
    <row r="3165">
      <c r="A3165" s="10" t="s">
        <v>37</v>
      </c>
      <c r="B3165" s="94">
        <f t="shared" si="5"/>
        <v>45616</v>
      </c>
      <c r="C3165" s="77" t="s">
        <v>1572</v>
      </c>
      <c r="D3165" s="13">
        <f>D3162+D3163-D3164</f>
        <v>19191.79</v>
      </c>
      <c r="E3165" s="15">
        <f t="shared" si="1"/>
        <v>2024</v>
      </c>
      <c r="F3165" s="15">
        <f t="shared" si="2"/>
        <v>11</v>
      </c>
      <c r="G3165" s="15">
        <f t="shared" si="3"/>
        <v>20</v>
      </c>
    </row>
    <row r="3166">
      <c r="A3166" s="10" t="s">
        <v>37</v>
      </c>
      <c r="B3166" s="94">
        <f t="shared" si="5"/>
        <v>45617</v>
      </c>
      <c r="C3166" s="77" t="s">
        <v>1569</v>
      </c>
      <c r="D3166" s="13">
        <f>D3165</f>
        <v>19191.79</v>
      </c>
      <c r="E3166" s="15">
        <f t="shared" si="1"/>
        <v>2024</v>
      </c>
      <c r="F3166" s="15">
        <f t="shared" si="2"/>
        <v>11</v>
      </c>
      <c r="G3166" s="15">
        <f t="shared" si="3"/>
        <v>21</v>
      </c>
    </row>
    <row r="3167">
      <c r="A3167" s="10" t="s">
        <v>37</v>
      </c>
      <c r="B3167" s="94">
        <f t="shared" si="5"/>
        <v>45617</v>
      </c>
      <c r="C3167" s="77" t="s">
        <v>1570</v>
      </c>
      <c r="D3167" s="13">
        <f>SUMIFS('Lançamentos de receitas'!$E:$E,'Lançamentos de receitas'!$F:$F,"PAGO",'Lançamentos de receitas'!$C:$C,A3167,'Lançamentos de receitas'!$A:$A,B3167)</f>
        <v>1063.71</v>
      </c>
      <c r="E3167" s="15">
        <f t="shared" si="1"/>
        <v>2024</v>
      </c>
      <c r="F3167" s="15">
        <f t="shared" si="2"/>
        <v>11</v>
      </c>
      <c r="G3167" s="15">
        <f t="shared" si="3"/>
        <v>21</v>
      </c>
    </row>
    <row r="3168">
      <c r="A3168" s="10" t="s">
        <v>37</v>
      </c>
      <c r="B3168" s="94">
        <f t="shared" si="5"/>
        <v>45617</v>
      </c>
      <c r="C3168" s="77" t="s">
        <v>1571</v>
      </c>
      <c r="D3168" s="13">
        <f>SUMIFS('Lançamentos de despesas'!$I:$I,'Lançamentos de despesas'!$G:$G,A3168,'Lançamentos de despesas'!$E:$E,"PAGO",'Lançamentos de despesas'!$C:$C,B3168)</f>
        <v>1447.19</v>
      </c>
      <c r="E3168" s="15">
        <f t="shared" si="1"/>
        <v>2024</v>
      </c>
      <c r="F3168" s="15">
        <f t="shared" si="2"/>
        <v>11</v>
      </c>
      <c r="G3168" s="15">
        <f t="shared" si="3"/>
        <v>21</v>
      </c>
    </row>
    <row r="3169">
      <c r="A3169" s="10" t="s">
        <v>37</v>
      </c>
      <c r="B3169" s="94">
        <f t="shared" si="5"/>
        <v>45617</v>
      </c>
      <c r="C3169" s="77" t="s">
        <v>1572</v>
      </c>
      <c r="D3169" s="13">
        <f>D3166+D3167-D3168</f>
        <v>18808.31</v>
      </c>
      <c r="E3169" s="15">
        <f t="shared" si="1"/>
        <v>2024</v>
      </c>
      <c r="F3169" s="15">
        <f t="shared" si="2"/>
        <v>11</v>
      </c>
      <c r="G3169" s="15">
        <f t="shared" si="3"/>
        <v>21</v>
      </c>
    </row>
    <row r="3170">
      <c r="A3170" s="10" t="s">
        <v>37</v>
      </c>
      <c r="B3170" s="94">
        <f t="shared" si="5"/>
        <v>45618</v>
      </c>
      <c r="C3170" s="77" t="s">
        <v>1569</v>
      </c>
      <c r="D3170" s="13">
        <f>D3169</f>
        <v>18808.31</v>
      </c>
      <c r="E3170" s="15">
        <f t="shared" si="1"/>
        <v>2024</v>
      </c>
      <c r="F3170" s="15">
        <f t="shared" si="2"/>
        <v>11</v>
      </c>
      <c r="G3170" s="15">
        <f t="shared" si="3"/>
        <v>22</v>
      </c>
    </row>
    <row r="3171">
      <c r="A3171" s="10" t="s">
        <v>37</v>
      </c>
      <c r="B3171" s="94">
        <f t="shared" si="5"/>
        <v>45618</v>
      </c>
      <c r="C3171" s="77" t="s">
        <v>1570</v>
      </c>
      <c r="D3171" s="13">
        <f>SUMIFS('Lançamentos de receitas'!$E:$E,'Lançamentos de receitas'!$F:$F,"PAGO",'Lançamentos de receitas'!$C:$C,A3171,'Lançamentos de receitas'!$A:$A,B3171)</f>
        <v>1251.32</v>
      </c>
      <c r="E3171" s="15">
        <f t="shared" si="1"/>
        <v>2024</v>
      </c>
      <c r="F3171" s="15">
        <f t="shared" si="2"/>
        <v>11</v>
      </c>
      <c r="G3171" s="15">
        <f t="shared" si="3"/>
        <v>22</v>
      </c>
    </row>
    <row r="3172">
      <c r="A3172" s="10" t="s">
        <v>37</v>
      </c>
      <c r="B3172" s="94">
        <f t="shared" si="5"/>
        <v>45618</v>
      </c>
      <c r="C3172" s="77" t="s">
        <v>1571</v>
      </c>
      <c r="D3172" s="13">
        <f>SUMIFS('Lançamentos de despesas'!$I:$I,'Lançamentos de despesas'!$G:$G,A3172,'Lançamentos de despesas'!$E:$E,"PAGO",'Lançamentos de despesas'!$C:$C,B3172)</f>
        <v>1617.91</v>
      </c>
      <c r="E3172" s="15">
        <f t="shared" si="1"/>
        <v>2024</v>
      </c>
      <c r="F3172" s="15">
        <f t="shared" si="2"/>
        <v>11</v>
      </c>
      <c r="G3172" s="15">
        <f t="shared" si="3"/>
        <v>22</v>
      </c>
    </row>
    <row r="3173">
      <c r="A3173" s="10" t="s">
        <v>37</v>
      </c>
      <c r="B3173" s="94">
        <f t="shared" si="5"/>
        <v>45618</v>
      </c>
      <c r="C3173" s="77" t="s">
        <v>1572</v>
      </c>
      <c r="D3173" s="13">
        <f>D3170+D3171-D3172</f>
        <v>18441.72</v>
      </c>
      <c r="E3173" s="15">
        <f t="shared" si="1"/>
        <v>2024</v>
      </c>
      <c r="F3173" s="15">
        <f t="shared" si="2"/>
        <v>11</v>
      </c>
      <c r="G3173" s="15">
        <f t="shared" si="3"/>
        <v>22</v>
      </c>
    </row>
    <row r="3174">
      <c r="A3174" s="10" t="s">
        <v>37</v>
      </c>
      <c r="B3174" s="94">
        <f t="shared" si="5"/>
        <v>45619</v>
      </c>
      <c r="C3174" s="77" t="s">
        <v>1569</v>
      </c>
      <c r="D3174" s="13">
        <f>D3173</f>
        <v>18441.72</v>
      </c>
      <c r="E3174" s="15">
        <f t="shared" si="1"/>
        <v>2024</v>
      </c>
      <c r="F3174" s="15">
        <f t="shared" si="2"/>
        <v>11</v>
      </c>
      <c r="G3174" s="15">
        <f t="shared" si="3"/>
        <v>23</v>
      </c>
    </row>
    <row r="3175">
      <c r="A3175" s="10" t="s">
        <v>37</v>
      </c>
      <c r="B3175" s="94">
        <f t="shared" si="5"/>
        <v>45619</v>
      </c>
      <c r="C3175" s="77" t="s">
        <v>1570</v>
      </c>
      <c r="D3175" s="13">
        <f>SUMIFS('Lançamentos de receitas'!$E:$E,'Lançamentos de receitas'!$F:$F,"PAGO",'Lançamentos de receitas'!$C:$C,A3175,'Lançamentos de receitas'!$A:$A,B3175)</f>
        <v>613.93</v>
      </c>
      <c r="E3175" s="15">
        <f t="shared" si="1"/>
        <v>2024</v>
      </c>
      <c r="F3175" s="15">
        <f t="shared" si="2"/>
        <v>11</v>
      </c>
      <c r="G3175" s="15">
        <f t="shared" si="3"/>
        <v>23</v>
      </c>
    </row>
    <row r="3176">
      <c r="A3176" s="10" t="s">
        <v>37</v>
      </c>
      <c r="B3176" s="94">
        <f t="shared" si="5"/>
        <v>45619</v>
      </c>
      <c r="C3176" s="77" t="s">
        <v>1571</v>
      </c>
      <c r="D3176" s="13">
        <f>SUMIFS('Lançamentos de despesas'!$I:$I,'Lançamentos de despesas'!$G:$G,A3176,'Lançamentos de despesas'!$E:$E,"PAGO",'Lançamentos de despesas'!$C:$C,B3176)</f>
        <v>0</v>
      </c>
      <c r="E3176" s="15">
        <f t="shared" si="1"/>
        <v>2024</v>
      </c>
      <c r="F3176" s="15">
        <f t="shared" si="2"/>
        <v>11</v>
      </c>
      <c r="G3176" s="15">
        <f t="shared" si="3"/>
        <v>23</v>
      </c>
    </row>
    <row r="3177">
      <c r="A3177" s="10" t="s">
        <v>37</v>
      </c>
      <c r="B3177" s="94">
        <f t="shared" si="5"/>
        <v>45619</v>
      </c>
      <c r="C3177" s="77" t="s">
        <v>1572</v>
      </c>
      <c r="D3177" s="13">
        <f>D3174+D3175-D3176</f>
        <v>19055.65</v>
      </c>
      <c r="E3177" s="15">
        <f t="shared" si="1"/>
        <v>2024</v>
      </c>
      <c r="F3177" s="15">
        <f t="shared" si="2"/>
        <v>11</v>
      </c>
      <c r="G3177" s="15">
        <f t="shared" si="3"/>
        <v>23</v>
      </c>
    </row>
    <row r="3178">
      <c r="A3178" s="10" t="s">
        <v>37</v>
      </c>
      <c r="B3178" s="94">
        <f t="shared" si="5"/>
        <v>45620</v>
      </c>
      <c r="C3178" s="77" t="s">
        <v>1569</v>
      </c>
      <c r="D3178" s="13">
        <f>D3177</f>
        <v>19055.65</v>
      </c>
      <c r="E3178" s="15">
        <f t="shared" si="1"/>
        <v>2024</v>
      </c>
      <c r="F3178" s="15">
        <f t="shared" si="2"/>
        <v>11</v>
      </c>
      <c r="G3178" s="15">
        <f t="shared" si="3"/>
        <v>24</v>
      </c>
    </row>
    <row r="3179">
      <c r="A3179" s="10" t="s">
        <v>37</v>
      </c>
      <c r="B3179" s="94">
        <f t="shared" si="5"/>
        <v>45620</v>
      </c>
      <c r="C3179" s="77" t="s">
        <v>1570</v>
      </c>
      <c r="D3179" s="13">
        <f>SUMIFS('Lançamentos de receitas'!$E:$E,'Lançamentos de receitas'!$F:$F,"PAGO",'Lançamentos de receitas'!$C:$C,A3179,'Lançamentos de receitas'!$A:$A,B3179)</f>
        <v>739.24</v>
      </c>
      <c r="E3179" s="15">
        <f t="shared" si="1"/>
        <v>2024</v>
      </c>
      <c r="F3179" s="15">
        <f t="shared" si="2"/>
        <v>11</v>
      </c>
      <c r="G3179" s="15">
        <f t="shared" si="3"/>
        <v>24</v>
      </c>
    </row>
    <row r="3180">
      <c r="A3180" s="10" t="s">
        <v>37</v>
      </c>
      <c r="B3180" s="94">
        <f t="shared" si="5"/>
        <v>45620</v>
      </c>
      <c r="C3180" s="77" t="s">
        <v>1571</v>
      </c>
      <c r="D3180" s="13">
        <f>SUMIFS('Lançamentos de despesas'!$I:$I,'Lançamentos de despesas'!$G:$G,A3180,'Lançamentos de despesas'!$E:$E,"PAGO",'Lançamentos de despesas'!$C:$C,B3180)</f>
        <v>150</v>
      </c>
      <c r="E3180" s="15">
        <f t="shared" si="1"/>
        <v>2024</v>
      </c>
      <c r="F3180" s="15">
        <f t="shared" si="2"/>
        <v>11</v>
      </c>
      <c r="G3180" s="15">
        <f t="shared" si="3"/>
        <v>24</v>
      </c>
    </row>
    <row r="3181">
      <c r="A3181" s="10" t="s">
        <v>37</v>
      </c>
      <c r="B3181" s="94">
        <f t="shared" si="5"/>
        <v>45620</v>
      </c>
      <c r="C3181" s="77" t="s">
        <v>1572</v>
      </c>
      <c r="D3181" s="13">
        <f>D3178+D3179-D3180</f>
        <v>19644.89</v>
      </c>
      <c r="E3181" s="15">
        <f t="shared" si="1"/>
        <v>2024</v>
      </c>
      <c r="F3181" s="15">
        <f t="shared" si="2"/>
        <v>11</v>
      </c>
      <c r="G3181" s="15">
        <f t="shared" si="3"/>
        <v>24</v>
      </c>
    </row>
    <row r="3182">
      <c r="A3182" s="10" t="s">
        <v>37</v>
      </c>
      <c r="B3182" s="94">
        <f t="shared" si="5"/>
        <v>45621</v>
      </c>
      <c r="C3182" s="77" t="s">
        <v>1569</v>
      </c>
      <c r="D3182" s="13">
        <f>D3181</f>
        <v>19644.89</v>
      </c>
      <c r="E3182" s="15">
        <f t="shared" si="1"/>
        <v>2024</v>
      </c>
      <c r="F3182" s="15">
        <f t="shared" si="2"/>
        <v>11</v>
      </c>
      <c r="G3182" s="15">
        <f t="shared" si="3"/>
        <v>25</v>
      </c>
    </row>
    <row r="3183">
      <c r="A3183" s="10" t="s">
        <v>37</v>
      </c>
      <c r="B3183" s="94">
        <f t="shared" si="5"/>
        <v>45621</v>
      </c>
      <c r="C3183" s="77" t="s">
        <v>1570</v>
      </c>
      <c r="D3183" s="13">
        <f>SUMIFS('Lançamentos de receitas'!$E:$E,'Lançamentos de receitas'!$F:$F,"PAGO",'Lançamentos de receitas'!$C:$C,A3183,'Lançamentos de receitas'!$A:$A,B3183)</f>
        <v>638.59</v>
      </c>
      <c r="E3183" s="15">
        <f t="shared" si="1"/>
        <v>2024</v>
      </c>
      <c r="F3183" s="15">
        <f t="shared" si="2"/>
        <v>11</v>
      </c>
      <c r="G3183" s="15">
        <f t="shared" si="3"/>
        <v>25</v>
      </c>
    </row>
    <row r="3184">
      <c r="A3184" s="10" t="s">
        <v>37</v>
      </c>
      <c r="B3184" s="94">
        <f t="shared" si="5"/>
        <v>45621</v>
      </c>
      <c r="C3184" s="77" t="s">
        <v>1571</v>
      </c>
      <c r="D3184" s="13">
        <f>SUMIFS('Lançamentos de despesas'!$I:$I,'Lançamentos de despesas'!$G:$G,A3184,'Lançamentos de despesas'!$E:$E,"PAGO",'Lançamentos de despesas'!$C:$C,B3184)</f>
        <v>0</v>
      </c>
      <c r="E3184" s="15">
        <f t="shared" si="1"/>
        <v>2024</v>
      </c>
      <c r="F3184" s="15">
        <f t="shared" si="2"/>
        <v>11</v>
      </c>
      <c r="G3184" s="15">
        <f t="shared" si="3"/>
        <v>25</v>
      </c>
    </row>
    <row r="3185">
      <c r="A3185" s="10" t="s">
        <v>37</v>
      </c>
      <c r="B3185" s="94">
        <f t="shared" si="5"/>
        <v>45621</v>
      </c>
      <c r="C3185" s="77" t="s">
        <v>1572</v>
      </c>
      <c r="D3185" s="13">
        <f>D3182+D3183-D3184</f>
        <v>20283.48</v>
      </c>
      <c r="E3185" s="15">
        <f t="shared" si="1"/>
        <v>2024</v>
      </c>
      <c r="F3185" s="15">
        <f t="shared" si="2"/>
        <v>11</v>
      </c>
      <c r="G3185" s="15">
        <f t="shared" si="3"/>
        <v>25</v>
      </c>
    </row>
    <row r="3186">
      <c r="A3186" s="10" t="s">
        <v>37</v>
      </c>
      <c r="B3186" s="94">
        <f t="shared" si="5"/>
        <v>45622</v>
      </c>
      <c r="C3186" s="77" t="s">
        <v>1569</v>
      </c>
      <c r="D3186" s="13">
        <f>D3185</f>
        <v>20283.48</v>
      </c>
      <c r="E3186" s="15">
        <f t="shared" si="1"/>
        <v>2024</v>
      </c>
      <c r="F3186" s="15">
        <f t="shared" si="2"/>
        <v>11</v>
      </c>
      <c r="G3186" s="15">
        <f t="shared" si="3"/>
        <v>26</v>
      </c>
    </row>
    <row r="3187">
      <c r="A3187" s="10" t="s">
        <v>37</v>
      </c>
      <c r="B3187" s="94">
        <f t="shared" si="5"/>
        <v>45622</v>
      </c>
      <c r="C3187" s="77" t="s">
        <v>1570</v>
      </c>
      <c r="D3187" s="13">
        <f>SUMIFS('Lançamentos de receitas'!$E:$E,'Lançamentos de receitas'!$F:$F,"PAGO",'Lançamentos de receitas'!$C:$C,A3187,'Lançamentos de receitas'!$A:$A,B3187)</f>
        <v>1511.4</v>
      </c>
      <c r="E3187" s="15">
        <f t="shared" si="1"/>
        <v>2024</v>
      </c>
      <c r="F3187" s="15">
        <f t="shared" si="2"/>
        <v>11</v>
      </c>
      <c r="G3187" s="15">
        <f t="shared" si="3"/>
        <v>26</v>
      </c>
    </row>
    <row r="3188">
      <c r="A3188" s="10" t="s">
        <v>37</v>
      </c>
      <c r="B3188" s="94">
        <f t="shared" si="5"/>
        <v>45622</v>
      </c>
      <c r="C3188" s="77" t="s">
        <v>1571</v>
      </c>
      <c r="D3188" s="13">
        <f>SUMIFS('Lançamentos de despesas'!$I:$I,'Lançamentos de despesas'!$G:$G,A3188,'Lançamentos de despesas'!$E:$E,"PAGO",'Lançamentos de despesas'!$C:$C,B3188)</f>
        <v>0</v>
      </c>
      <c r="E3188" s="15">
        <f t="shared" si="1"/>
        <v>2024</v>
      </c>
      <c r="F3188" s="15">
        <f t="shared" si="2"/>
        <v>11</v>
      </c>
      <c r="G3188" s="15">
        <f t="shared" si="3"/>
        <v>26</v>
      </c>
    </row>
    <row r="3189">
      <c r="A3189" s="10" t="s">
        <v>37</v>
      </c>
      <c r="B3189" s="94">
        <f t="shared" si="5"/>
        <v>45622</v>
      </c>
      <c r="C3189" s="77" t="s">
        <v>1572</v>
      </c>
      <c r="D3189" s="13">
        <f>D3186+D3187-D3188</f>
        <v>21794.88</v>
      </c>
      <c r="E3189" s="15">
        <f t="shared" si="1"/>
        <v>2024</v>
      </c>
      <c r="F3189" s="15">
        <f t="shared" si="2"/>
        <v>11</v>
      </c>
      <c r="G3189" s="15">
        <f t="shared" si="3"/>
        <v>26</v>
      </c>
    </row>
    <row r="3190">
      <c r="A3190" s="10" t="s">
        <v>37</v>
      </c>
      <c r="B3190" s="94">
        <f t="shared" si="5"/>
        <v>45623</v>
      </c>
      <c r="C3190" s="77" t="s">
        <v>1569</v>
      </c>
      <c r="D3190" s="13">
        <f>D3189</f>
        <v>21794.88</v>
      </c>
      <c r="E3190" s="15">
        <f t="shared" si="1"/>
        <v>2024</v>
      </c>
      <c r="F3190" s="15">
        <f t="shared" si="2"/>
        <v>11</v>
      </c>
      <c r="G3190" s="15">
        <f t="shared" si="3"/>
        <v>27</v>
      </c>
    </row>
    <row r="3191">
      <c r="A3191" s="10" t="s">
        <v>37</v>
      </c>
      <c r="B3191" s="94">
        <f t="shared" si="5"/>
        <v>45623</v>
      </c>
      <c r="C3191" s="77" t="s">
        <v>1570</v>
      </c>
      <c r="D3191" s="13">
        <f>SUMIFS('Lançamentos de receitas'!$E:$E,'Lançamentos de receitas'!$F:$F,"PAGO",'Lançamentos de receitas'!$C:$C,A3191,'Lançamentos de receitas'!$A:$A,B3191)</f>
        <v>1189.23</v>
      </c>
      <c r="E3191" s="15">
        <f t="shared" si="1"/>
        <v>2024</v>
      </c>
      <c r="F3191" s="15">
        <f t="shared" si="2"/>
        <v>11</v>
      </c>
      <c r="G3191" s="15">
        <f t="shared" si="3"/>
        <v>27</v>
      </c>
    </row>
    <row r="3192">
      <c r="A3192" s="10" t="s">
        <v>37</v>
      </c>
      <c r="B3192" s="94">
        <f t="shared" si="5"/>
        <v>45623</v>
      </c>
      <c r="C3192" s="77" t="s">
        <v>1571</v>
      </c>
      <c r="D3192" s="13">
        <f>SUMIFS('Lançamentos de despesas'!$I:$I,'Lançamentos de despesas'!$G:$G,A3192,'Lançamentos de despesas'!$E:$E,"PAGO",'Lançamentos de despesas'!$C:$C,B3192)</f>
        <v>0</v>
      </c>
      <c r="E3192" s="15">
        <f t="shared" si="1"/>
        <v>2024</v>
      </c>
      <c r="F3192" s="15">
        <f t="shared" si="2"/>
        <v>11</v>
      </c>
      <c r="G3192" s="15">
        <f t="shared" si="3"/>
        <v>27</v>
      </c>
    </row>
    <row r="3193">
      <c r="A3193" s="10" t="s">
        <v>37</v>
      </c>
      <c r="B3193" s="94">
        <f t="shared" si="5"/>
        <v>45623</v>
      </c>
      <c r="C3193" s="77" t="s">
        <v>1572</v>
      </c>
      <c r="D3193" s="13">
        <f>D3190+D3191-D3192</f>
        <v>22984.11</v>
      </c>
      <c r="E3193" s="15">
        <f t="shared" si="1"/>
        <v>2024</v>
      </c>
      <c r="F3193" s="15">
        <f t="shared" si="2"/>
        <v>11</v>
      </c>
      <c r="G3193" s="15">
        <f t="shared" si="3"/>
        <v>27</v>
      </c>
    </row>
    <row r="3194">
      <c r="A3194" s="10" t="s">
        <v>37</v>
      </c>
      <c r="B3194" s="94">
        <f t="shared" si="5"/>
        <v>45624</v>
      </c>
      <c r="C3194" s="77" t="s">
        <v>1569</v>
      </c>
      <c r="D3194" s="13">
        <f>D3193</f>
        <v>22984.11</v>
      </c>
      <c r="E3194" s="15">
        <f t="shared" si="1"/>
        <v>2024</v>
      </c>
      <c r="F3194" s="15">
        <f t="shared" si="2"/>
        <v>11</v>
      </c>
      <c r="G3194" s="15">
        <f t="shared" si="3"/>
        <v>28</v>
      </c>
    </row>
    <row r="3195">
      <c r="A3195" s="10" t="s">
        <v>37</v>
      </c>
      <c r="B3195" s="94">
        <f t="shared" si="5"/>
        <v>45624</v>
      </c>
      <c r="C3195" s="77" t="s">
        <v>1570</v>
      </c>
      <c r="D3195" s="13">
        <f>SUMIFS('Lançamentos de receitas'!$E:$E,'Lançamentos de receitas'!$F:$F,"PAGO",'Lançamentos de receitas'!$C:$C,A3195,'Lançamentos de receitas'!$A:$A,B3195)</f>
        <v>1452.09</v>
      </c>
      <c r="E3195" s="15">
        <f t="shared" si="1"/>
        <v>2024</v>
      </c>
      <c r="F3195" s="15">
        <f t="shared" si="2"/>
        <v>11</v>
      </c>
      <c r="G3195" s="15">
        <f t="shared" si="3"/>
        <v>28</v>
      </c>
    </row>
    <row r="3196">
      <c r="A3196" s="10" t="s">
        <v>37</v>
      </c>
      <c r="B3196" s="94">
        <f t="shared" si="5"/>
        <v>45624</v>
      </c>
      <c r="C3196" s="77" t="s">
        <v>1571</v>
      </c>
      <c r="D3196" s="13">
        <f>SUMIFS('Lançamentos de despesas'!$I:$I,'Lançamentos de despesas'!$G:$G,A3196,'Lançamentos de despesas'!$E:$E,"PAGO",'Lançamentos de despesas'!$C:$C,B3196)</f>
        <v>0</v>
      </c>
      <c r="E3196" s="15">
        <f t="shared" si="1"/>
        <v>2024</v>
      </c>
      <c r="F3196" s="15">
        <f t="shared" si="2"/>
        <v>11</v>
      </c>
      <c r="G3196" s="15">
        <f t="shared" si="3"/>
        <v>28</v>
      </c>
    </row>
    <row r="3197">
      <c r="A3197" s="10" t="s">
        <v>37</v>
      </c>
      <c r="B3197" s="94">
        <f t="shared" si="5"/>
        <v>45624</v>
      </c>
      <c r="C3197" s="77" t="s">
        <v>1572</v>
      </c>
      <c r="D3197" s="13">
        <f>D3194+D3195-D3196</f>
        <v>24436.2</v>
      </c>
      <c r="E3197" s="15">
        <f t="shared" si="1"/>
        <v>2024</v>
      </c>
      <c r="F3197" s="15">
        <f t="shared" si="2"/>
        <v>11</v>
      </c>
      <c r="G3197" s="15">
        <f t="shared" si="3"/>
        <v>28</v>
      </c>
    </row>
    <row r="3198">
      <c r="A3198" s="10" t="s">
        <v>37</v>
      </c>
      <c r="B3198" s="94">
        <f t="shared" si="5"/>
        <v>45625</v>
      </c>
      <c r="C3198" s="77" t="s">
        <v>1569</v>
      </c>
      <c r="D3198" s="13">
        <f>D3197</f>
        <v>24436.2</v>
      </c>
      <c r="E3198" s="15">
        <f t="shared" si="1"/>
        <v>2024</v>
      </c>
      <c r="F3198" s="15">
        <f t="shared" si="2"/>
        <v>11</v>
      </c>
      <c r="G3198" s="15">
        <f t="shared" si="3"/>
        <v>29</v>
      </c>
    </row>
    <row r="3199">
      <c r="A3199" s="10" t="s">
        <v>37</v>
      </c>
      <c r="B3199" s="94">
        <f t="shared" si="5"/>
        <v>45625</v>
      </c>
      <c r="C3199" s="77" t="s">
        <v>1570</v>
      </c>
      <c r="D3199" s="13">
        <f>SUMIFS('Lançamentos de receitas'!$E:$E,'Lançamentos de receitas'!$F:$F,"PAGO",'Lançamentos de receitas'!$C:$C,A3199,'Lançamentos de receitas'!$A:$A,B3199)</f>
        <v>954.37</v>
      </c>
      <c r="E3199" s="15">
        <f t="shared" si="1"/>
        <v>2024</v>
      </c>
      <c r="F3199" s="15">
        <f t="shared" si="2"/>
        <v>11</v>
      </c>
      <c r="G3199" s="15">
        <f t="shared" si="3"/>
        <v>29</v>
      </c>
    </row>
    <row r="3200">
      <c r="A3200" s="10" t="s">
        <v>37</v>
      </c>
      <c r="B3200" s="94">
        <f t="shared" si="5"/>
        <v>45625</v>
      </c>
      <c r="C3200" s="77" t="s">
        <v>1571</v>
      </c>
      <c r="D3200" s="13">
        <f>SUMIFS('Lançamentos de despesas'!$I:$I,'Lançamentos de despesas'!$G:$G,A3200,'Lançamentos de despesas'!$E:$E,"PAGO",'Lançamentos de despesas'!$C:$C,B3200)</f>
        <v>1643.89</v>
      </c>
      <c r="E3200" s="15">
        <f t="shared" si="1"/>
        <v>2024</v>
      </c>
      <c r="F3200" s="15">
        <f t="shared" si="2"/>
        <v>11</v>
      </c>
      <c r="G3200" s="15">
        <f t="shared" si="3"/>
        <v>29</v>
      </c>
    </row>
    <row r="3201">
      <c r="A3201" s="10" t="s">
        <v>37</v>
      </c>
      <c r="B3201" s="94">
        <f t="shared" si="5"/>
        <v>45625</v>
      </c>
      <c r="C3201" s="77" t="s">
        <v>1572</v>
      </c>
      <c r="D3201" s="13">
        <f>D3198+D3199-D3200</f>
        <v>23746.68</v>
      </c>
      <c r="E3201" s="15">
        <f t="shared" si="1"/>
        <v>2024</v>
      </c>
      <c r="F3201" s="15">
        <f t="shared" si="2"/>
        <v>11</v>
      </c>
      <c r="G3201" s="15">
        <f t="shared" si="3"/>
        <v>29</v>
      </c>
    </row>
    <row r="3202">
      <c r="A3202" s="10" t="s">
        <v>37</v>
      </c>
      <c r="B3202" s="94">
        <f t="shared" si="5"/>
        <v>45626</v>
      </c>
      <c r="C3202" s="77" t="s">
        <v>1569</v>
      </c>
      <c r="D3202" s="13">
        <f>D3201</f>
        <v>23746.68</v>
      </c>
      <c r="E3202" s="15">
        <f t="shared" si="1"/>
        <v>2024</v>
      </c>
      <c r="F3202" s="15">
        <f t="shared" si="2"/>
        <v>11</v>
      </c>
      <c r="G3202" s="15">
        <f t="shared" si="3"/>
        <v>30</v>
      </c>
    </row>
    <row r="3203">
      <c r="A3203" s="10" t="s">
        <v>37</v>
      </c>
      <c r="B3203" s="94">
        <f t="shared" si="5"/>
        <v>45626</v>
      </c>
      <c r="C3203" s="77" t="s">
        <v>1570</v>
      </c>
      <c r="D3203" s="13">
        <f>SUMIFS('Lançamentos de receitas'!$E:$E,'Lançamentos de receitas'!$F:$F,"PAGO",'Lançamentos de receitas'!$C:$C,A3203,'Lançamentos de receitas'!$A:$A,B3203)</f>
        <v>940.46</v>
      </c>
      <c r="E3203" s="15">
        <f t="shared" si="1"/>
        <v>2024</v>
      </c>
      <c r="F3203" s="15">
        <f t="shared" si="2"/>
        <v>11</v>
      </c>
      <c r="G3203" s="15">
        <f t="shared" si="3"/>
        <v>30</v>
      </c>
    </row>
    <row r="3204">
      <c r="A3204" s="10" t="s">
        <v>37</v>
      </c>
      <c r="B3204" s="94">
        <f t="shared" si="5"/>
        <v>45626</v>
      </c>
      <c r="C3204" s="77" t="s">
        <v>1571</v>
      </c>
      <c r="D3204" s="13">
        <f>SUMIFS('Lançamentos de despesas'!$I:$I,'Lançamentos de despesas'!$G:$G,A3204,'Lançamentos de despesas'!$E:$E,"PAGO",'Lançamentos de despesas'!$C:$C,B3204)</f>
        <v>50</v>
      </c>
      <c r="E3204" s="15">
        <f t="shared" si="1"/>
        <v>2024</v>
      </c>
      <c r="F3204" s="15">
        <f t="shared" si="2"/>
        <v>11</v>
      </c>
      <c r="G3204" s="15">
        <f t="shared" si="3"/>
        <v>30</v>
      </c>
    </row>
    <row r="3205">
      <c r="A3205" s="10" t="s">
        <v>37</v>
      </c>
      <c r="B3205" s="94">
        <f t="shared" si="5"/>
        <v>45626</v>
      </c>
      <c r="C3205" s="77" t="s">
        <v>1572</v>
      </c>
      <c r="D3205" s="13">
        <f>D3202+D3203-D3204</f>
        <v>24637.14</v>
      </c>
      <c r="E3205" s="15">
        <f t="shared" si="1"/>
        <v>2024</v>
      </c>
      <c r="F3205" s="15">
        <f t="shared" si="2"/>
        <v>11</v>
      </c>
      <c r="G3205" s="15">
        <f t="shared" si="3"/>
        <v>30</v>
      </c>
    </row>
    <row r="3206">
      <c r="A3206" s="10" t="s">
        <v>37</v>
      </c>
      <c r="B3206" s="94">
        <f t="shared" si="5"/>
        <v>45627</v>
      </c>
      <c r="C3206" s="77" t="s">
        <v>1569</v>
      </c>
      <c r="D3206" s="13">
        <f>D3205</f>
        <v>24637.14</v>
      </c>
      <c r="E3206" s="15">
        <f t="shared" si="1"/>
        <v>2024</v>
      </c>
      <c r="F3206" s="15">
        <f t="shared" si="2"/>
        <v>12</v>
      </c>
      <c r="G3206" s="15">
        <f t="shared" si="3"/>
        <v>1</v>
      </c>
    </row>
    <row r="3207">
      <c r="A3207" s="10" t="s">
        <v>37</v>
      </c>
      <c r="B3207" s="94">
        <f t="shared" si="5"/>
        <v>45627</v>
      </c>
      <c r="C3207" s="77" t="s">
        <v>1570</v>
      </c>
      <c r="D3207" s="13">
        <f>SUMIFS('Lançamentos de receitas'!$E:$E,'Lançamentos de receitas'!$F:$F,"PAGO",'Lançamentos de receitas'!$C:$C,A3207,'Lançamentos de receitas'!$A:$A,B3207)</f>
        <v>1159.18</v>
      </c>
      <c r="E3207" s="15">
        <f t="shared" si="1"/>
        <v>2024</v>
      </c>
      <c r="F3207" s="15">
        <f t="shared" si="2"/>
        <v>12</v>
      </c>
      <c r="G3207" s="15">
        <f t="shared" si="3"/>
        <v>1</v>
      </c>
    </row>
    <row r="3208">
      <c r="A3208" s="10" t="s">
        <v>37</v>
      </c>
      <c r="B3208" s="94">
        <f t="shared" si="5"/>
        <v>45627</v>
      </c>
      <c r="C3208" s="77" t="s">
        <v>1571</v>
      </c>
      <c r="D3208" s="13">
        <f>SUMIFS('Lançamentos de despesas'!$I:$I,'Lançamentos de despesas'!$G:$G,A3208,'Lançamentos de despesas'!$E:$E,"PAGO",'Lançamentos de despesas'!$C:$C,B3208)</f>
        <v>0</v>
      </c>
      <c r="E3208" s="15">
        <f t="shared" si="1"/>
        <v>2024</v>
      </c>
      <c r="F3208" s="15">
        <f t="shared" si="2"/>
        <v>12</v>
      </c>
      <c r="G3208" s="15">
        <f t="shared" si="3"/>
        <v>1</v>
      </c>
    </row>
    <row r="3209">
      <c r="A3209" s="10" t="s">
        <v>37</v>
      </c>
      <c r="B3209" s="94">
        <f t="shared" si="5"/>
        <v>45627</v>
      </c>
      <c r="C3209" s="77" t="s">
        <v>1572</v>
      </c>
      <c r="D3209" s="13">
        <f>D3206+D3207-D3208</f>
        <v>25796.32</v>
      </c>
      <c r="E3209" s="15">
        <f t="shared" si="1"/>
        <v>2024</v>
      </c>
      <c r="F3209" s="15">
        <f t="shared" si="2"/>
        <v>12</v>
      </c>
      <c r="G3209" s="15">
        <f t="shared" si="3"/>
        <v>1</v>
      </c>
    </row>
    <row r="3210">
      <c r="A3210" s="10" t="s">
        <v>37</v>
      </c>
      <c r="B3210" s="94">
        <f t="shared" si="5"/>
        <v>45628</v>
      </c>
      <c r="C3210" s="77" t="s">
        <v>1569</v>
      </c>
      <c r="D3210" s="13">
        <f>D3209</f>
        <v>25796.32</v>
      </c>
      <c r="E3210" s="15">
        <f t="shared" si="1"/>
        <v>2024</v>
      </c>
      <c r="F3210" s="15">
        <f t="shared" si="2"/>
        <v>12</v>
      </c>
      <c r="G3210" s="15">
        <f t="shared" si="3"/>
        <v>2</v>
      </c>
    </row>
    <row r="3211">
      <c r="A3211" s="10" t="s">
        <v>37</v>
      </c>
      <c r="B3211" s="94">
        <f t="shared" si="5"/>
        <v>45628</v>
      </c>
      <c r="C3211" s="77" t="s">
        <v>1570</v>
      </c>
      <c r="D3211" s="13">
        <f>SUMIFS('Lançamentos de receitas'!$E:$E,'Lançamentos de receitas'!$F:$F,"PAGO",'Lançamentos de receitas'!$C:$C,A3211,'Lançamentos de receitas'!$A:$A,B3211)</f>
        <v>999.12</v>
      </c>
      <c r="E3211" s="15">
        <f t="shared" si="1"/>
        <v>2024</v>
      </c>
      <c r="F3211" s="15">
        <f t="shared" si="2"/>
        <v>12</v>
      </c>
      <c r="G3211" s="15">
        <f t="shared" si="3"/>
        <v>2</v>
      </c>
    </row>
    <row r="3212">
      <c r="A3212" s="10" t="s">
        <v>37</v>
      </c>
      <c r="B3212" s="94">
        <f t="shared" si="5"/>
        <v>45628</v>
      </c>
      <c r="C3212" s="77" t="s">
        <v>1571</v>
      </c>
      <c r="D3212" s="13">
        <f>SUMIFS('Lançamentos de despesas'!$I:$I,'Lançamentos de despesas'!$G:$G,A3212,'Lançamentos de despesas'!$E:$E,"PAGO",'Lançamentos de despesas'!$C:$C,B3212)</f>
        <v>400</v>
      </c>
      <c r="E3212" s="15">
        <f t="shared" si="1"/>
        <v>2024</v>
      </c>
      <c r="F3212" s="15">
        <f t="shared" si="2"/>
        <v>12</v>
      </c>
      <c r="G3212" s="15">
        <f t="shared" si="3"/>
        <v>2</v>
      </c>
    </row>
    <row r="3213">
      <c r="A3213" s="10" t="s">
        <v>37</v>
      </c>
      <c r="B3213" s="94">
        <f t="shared" si="5"/>
        <v>45628</v>
      </c>
      <c r="C3213" s="77" t="s">
        <v>1572</v>
      </c>
      <c r="D3213" s="13">
        <f>D3210+D3211-D3212</f>
        <v>26395.44</v>
      </c>
      <c r="E3213" s="15">
        <f t="shared" si="1"/>
        <v>2024</v>
      </c>
      <c r="F3213" s="15">
        <f t="shared" si="2"/>
        <v>12</v>
      </c>
      <c r="G3213" s="15">
        <f t="shared" si="3"/>
        <v>2</v>
      </c>
    </row>
    <row r="3214">
      <c r="A3214" s="10" t="s">
        <v>37</v>
      </c>
      <c r="B3214" s="94">
        <f t="shared" si="5"/>
        <v>45629</v>
      </c>
      <c r="C3214" s="77" t="s">
        <v>1569</v>
      </c>
      <c r="D3214" s="13">
        <f>D3213</f>
        <v>26395.44</v>
      </c>
      <c r="E3214" s="15">
        <f t="shared" si="1"/>
        <v>2024</v>
      </c>
      <c r="F3214" s="15">
        <f t="shared" si="2"/>
        <v>12</v>
      </c>
      <c r="G3214" s="15">
        <f t="shared" si="3"/>
        <v>3</v>
      </c>
    </row>
    <row r="3215">
      <c r="A3215" s="10" t="s">
        <v>37</v>
      </c>
      <c r="B3215" s="94">
        <f t="shared" si="5"/>
        <v>45629</v>
      </c>
      <c r="C3215" s="77" t="s">
        <v>1570</v>
      </c>
      <c r="D3215" s="13">
        <f>SUMIFS('Lançamentos de receitas'!$E:$E,'Lançamentos de receitas'!$F:$F,"PAGO",'Lançamentos de receitas'!$C:$C,A3215,'Lançamentos de receitas'!$A:$A,B3215)</f>
        <v>1265.25</v>
      </c>
      <c r="E3215" s="15">
        <f t="shared" si="1"/>
        <v>2024</v>
      </c>
      <c r="F3215" s="15">
        <f t="shared" si="2"/>
        <v>12</v>
      </c>
      <c r="G3215" s="15">
        <f t="shared" si="3"/>
        <v>3</v>
      </c>
    </row>
    <row r="3216">
      <c r="A3216" s="10" t="s">
        <v>37</v>
      </c>
      <c r="B3216" s="94">
        <f t="shared" si="5"/>
        <v>45629</v>
      </c>
      <c r="C3216" s="77" t="s">
        <v>1571</v>
      </c>
      <c r="D3216" s="13">
        <f>SUMIFS('Lançamentos de despesas'!$I:$I,'Lançamentos de despesas'!$G:$G,A3216,'Lançamentos de despesas'!$E:$E,"PAGO",'Lançamentos de despesas'!$C:$C,B3216)</f>
        <v>0</v>
      </c>
      <c r="E3216" s="15">
        <f t="shared" si="1"/>
        <v>2024</v>
      </c>
      <c r="F3216" s="15">
        <f t="shared" si="2"/>
        <v>12</v>
      </c>
      <c r="G3216" s="15">
        <f t="shared" si="3"/>
        <v>3</v>
      </c>
    </row>
    <row r="3217">
      <c r="A3217" s="10" t="s">
        <v>37</v>
      </c>
      <c r="B3217" s="94">
        <f t="shared" si="5"/>
        <v>45629</v>
      </c>
      <c r="C3217" s="77" t="s">
        <v>1572</v>
      </c>
      <c r="D3217" s="13">
        <f>D3214+D3215-D3216</f>
        <v>27660.69</v>
      </c>
      <c r="E3217" s="15">
        <f t="shared" si="1"/>
        <v>2024</v>
      </c>
      <c r="F3217" s="15">
        <f t="shared" si="2"/>
        <v>12</v>
      </c>
      <c r="G3217" s="15">
        <f t="shared" si="3"/>
        <v>3</v>
      </c>
    </row>
    <row r="3218">
      <c r="A3218" s="10" t="s">
        <v>37</v>
      </c>
      <c r="B3218" s="94">
        <f t="shared" si="5"/>
        <v>45630</v>
      </c>
      <c r="C3218" s="77" t="s">
        <v>1569</v>
      </c>
      <c r="D3218" s="13">
        <f>D3217</f>
        <v>27660.69</v>
      </c>
      <c r="E3218" s="15">
        <f t="shared" si="1"/>
        <v>2024</v>
      </c>
      <c r="F3218" s="15">
        <f t="shared" si="2"/>
        <v>12</v>
      </c>
      <c r="G3218" s="15">
        <f t="shared" si="3"/>
        <v>4</v>
      </c>
    </row>
    <row r="3219">
      <c r="A3219" s="10" t="s">
        <v>37</v>
      </c>
      <c r="B3219" s="94">
        <f t="shared" si="5"/>
        <v>45630</v>
      </c>
      <c r="C3219" s="77" t="s">
        <v>1570</v>
      </c>
      <c r="D3219" s="13">
        <f>SUMIFS('Lançamentos de receitas'!$E:$E,'Lançamentos de receitas'!$F:$F,"PAGO",'Lançamentos de receitas'!$C:$C,A3219,'Lançamentos de receitas'!$A:$A,B3219)</f>
        <v>1593.55</v>
      </c>
      <c r="E3219" s="15">
        <f t="shared" si="1"/>
        <v>2024</v>
      </c>
      <c r="F3219" s="15">
        <f t="shared" si="2"/>
        <v>12</v>
      </c>
      <c r="G3219" s="15">
        <f t="shared" si="3"/>
        <v>4</v>
      </c>
    </row>
    <row r="3220">
      <c r="A3220" s="10" t="s">
        <v>37</v>
      </c>
      <c r="B3220" s="94">
        <f t="shared" si="5"/>
        <v>45630</v>
      </c>
      <c r="C3220" s="77" t="s">
        <v>1571</v>
      </c>
      <c r="D3220" s="13">
        <f>SUMIFS('Lançamentos de despesas'!$I:$I,'Lançamentos de despesas'!$G:$G,A3220,'Lançamentos de despesas'!$E:$E,"PAGO",'Lançamentos de despesas'!$C:$C,B3220)</f>
        <v>0</v>
      </c>
      <c r="E3220" s="15">
        <f t="shared" si="1"/>
        <v>2024</v>
      </c>
      <c r="F3220" s="15">
        <f t="shared" si="2"/>
        <v>12</v>
      </c>
      <c r="G3220" s="15">
        <f t="shared" si="3"/>
        <v>4</v>
      </c>
    </row>
    <row r="3221">
      <c r="A3221" s="10" t="s">
        <v>37</v>
      </c>
      <c r="B3221" s="94">
        <f t="shared" si="5"/>
        <v>45630</v>
      </c>
      <c r="C3221" s="77" t="s">
        <v>1572</v>
      </c>
      <c r="D3221" s="13">
        <f>D3218+D3219-D3220</f>
        <v>29254.24</v>
      </c>
      <c r="E3221" s="15">
        <f t="shared" si="1"/>
        <v>2024</v>
      </c>
      <c r="F3221" s="15">
        <f t="shared" si="2"/>
        <v>12</v>
      </c>
      <c r="G3221" s="15">
        <f t="shared" si="3"/>
        <v>4</v>
      </c>
    </row>
    <row r="3222">
      <c r="A3222" s="10" t="s">
        <v>37</v>
      </c>
      <c r="B3222" s="94">
        <f t="shared" si="5"/>
        <v>45631</v>
      </c>
      <c r="C3222" s="77" t="s">
        <v>1569</v>
      </c>
      <c r="D3222" s="13">
        <f>D3221</f>
        <v>29254.24</v>
      </c>
      <c r="E3222" s="15">
        <f t="shared" si="1"/>
        <v>2024</v>
      </c>
      <c r="F3222" s="15">
        <f t="shared" si="2"/>
        <v>12</v>
      </c>
      <c r="G3222" s="15">
        <f t="shared" si="3"/>
        <v>5</v>
      </c>
    </row>
    <row r="3223">
      <c r="A3223" s="10" t="s">
        <v>37</v>
      </c>
      <c r="B3223" s="94">
        <f t="shared" si="5"/>
        <v>45631</v>
      </c>
      <c r="C3223" s="77" t="s">
        <v>1570</v>
      </c>
      <c r="D3223" s="13">
        <f>SUMIFS('Lançamentos de receitas'!$E:$E,'Lançamentos de receitas'!$F:$F,"PAGO",'Lançamentos de receitas'!$C:$C,A3223,'Lançamentos de receitas'!$A:$A,B3223)</f>
        <v>715.15</v>
      </c>
      <c r="E3223" s="15">
        <f t="shared" si="1"/>
        <v>2024</v>
      </c>
      <c r="F3223" s="15">
        <f t="shared" si="2"/>
        <v>12</v>
      </c>
      <c r="G3223" s="15">
        <f t="shared" si="3"/>
        <v>5</v>
      </c>
    </row>
    <row r="3224">
      <c r="A3224" s="10" t="s">
        <v>37</v>
      </c>
      <c r="B3224" s="94">
        <f t="shared" si="5"/>
        <v>45631</v>
      </c>
      <c r="C3224" s="77" t="s">
        <v>1571</v>
      </c>
      <c r="D3224" s="13">
        <f>SUMIFS('Lançamentos de despesas'!$I:$I,'Lançamentos de despesas'!$G:$G,A3224,'Lançamentos de despesas'!$E:$E,"PAGO",'Lançamentos de despesas'!$C:$C,B3224)</f>
        <v>0</v>
      </c>
      <c r="E3224" s="15">
        <f t="shared" si="1"/>
        <v>2024</v>
      </c>
      <c r="F3224" s="15">
        <f t="shared" si="2"/>
        <v>12</v>
      </c>
      <c r="G3224" s="15">
        <f t="shared" si="3"/>
        <v>5</v>
      </c>
    </row>
    <row r="3225">
      <c r="A3225" s="10" t="s">
        <v>37</v>
      </c>
      <c r="B3225" s="94">
        <f t="shared" si="5"/>
        <v>45631</v>
      </c>
      <c r="C3225" s="77" t="s">
        <v>1572</v>
      </c>
      <c r="D3225" s="13">
        <f>D3222+D3223-D3224</f>
        <v>29969.39</v>
      </c>
      <c r="E3225" s="15">
        <f t="shared" si="1"/>
        <v>2024</v>
      </c>
      <c r="F3225" s="15">
        <f t="shared" si="2"/>
        <v>12</v>
      </c>
      <c r="G3225" s="15">
        <f t="shared" si="3"/>
        <v>5</v>
      </c>
    </row>
    <row r="3226">
      <c r="A3226" s="10" t="s">
        <v>37</v>
      </c>
      <c r="B3226" s="94">
        <f t="shared" si="5"/>
        <v>45632</v>
      </c>
      <c r="C3226" s="77" t="s">
        <v>1569</v>
      </c>
      <c r="D3226" s="13">
        <f>D3225</f>
        <v>29969.39</v>
      </c>
      <c r="E3226" s="15">
        <f t="shared" si="1"/>
        <v>2024</v>
      </c>
      <c r="F3226" s="15">
        <f t="shared" si="2"/>
        <v>12</v>
      </c>
      <c r="G3226" s="15">
        <f t="shared" si="3"/>
        <v>6</v>
      </c>
    </row>
    <row r="3227">
      <c r="A3227" s="10" t="s">
        <v>37</v>
      </c>
      <c r="B3227" s="94">
        <f t="shared" si="5"/>
        <v>45632</v>
      </c>
      <c r="C3227" s="77" t="s">
        <v>1570</v>
      </c>
      <c r="D3227" s="13">
        <f>SUMIFS('Lançamentos de receitas'!$E:$E,'Lançamentos de receitas'!$F:$F,"PAGO",'Lançamentos de receitas'!$C:$C,A3227,'Lançamentos de receitas'!$A:$A,B3227)</f>
        <v>488.64</v>
      </c>
      <c r="E3227" s="15">
        <f t="shared" si="1"/>
        <v>2024</v>
      </c>
      <c r="F3227" s="15">
        <f t="shared" si="2"/>
        <v>12</v>
      </c>
      <c r="G3227" s="15">
        <f t="shared" si="3"/>
        <v>6</v>
      </c>
    </row>
    <row r="3228">
      <c r="A3228" s="10" t="s">
        <v>37</v>
      </c>
      <c r="B3228" s="94">
        <f t="shared" si="5"/>
        <v>45632</v>
      </c>
      <c r="C3228" s="77" t="s">
        <v>1571</v>
      </c>
      <c r="D3228" s="13">
        <f>SUMIFS('Lançamentos de despesas'!$I:$I,'Lançamentos de despesas'!$G:$G,A3228,'Lançamentos de despesas'!$E:$E,"PAGO",'Lançamentos de despesas'!$C:$C,B3228)</f>
        <v>0</v>
      </c>
      <c r="E3228" s="15">
        <f t="shared" si="1"/>
        <v>2024</v>
      </c>
      <c r="F3228" s="15">
        <f t="shared" si="2"/>
        <v>12</v>
      </c>
      <c r="G3228" s="15">
        <f t="shared" si="3"/>
        <v>6</v>
      </c>
    </row>
    <row r="3229">
      <c r="A3229" s="10" t="s">
        <v>37</v>
      </c>
      <c r="B3229" s="94">
        <f t="shared" si="5"/>
        <v>45632</v>
      </c>
      <c r="C3229" s="77" t="s">
        <v>1572</v>
      </c>
      <c r="D3229" s="13">
        <f>D3226+D3227-D3228</f>
        <v>30458.03</v>
      </c>
      <c r="E3229" s="15">
        <f t="shared" si="1"/>
        <v>2024</v>
      </c>
      <c r="F3229" s="15">
        <f t="shared" si="2"/>
        <v>12</v>
      </c>
      <c r="G3229" s="15">
        <f t="shared" si="3"/>
        <v>6</v>
      </c>
    </row>
    <row r="3230">
      <c r="A3230" s="10" t="s">
        <v>37</v>
      </c>
      <c r="B3230" s="94">
        <f t="shared" si="5"/>
        <v>45633</v>
      </c>
      <c r="C3230" s="77" t="s">
        <v>1569</v>
      </c>
      <c r="D3230" s="13">
        <f>D3229</f>
        <v>30458.03</v>
      </c>
      <c r="E3230" s="15">
        <f t="shared" si="1"/>
        <v>2024</v>
      </c>
      <c r="F3230" s="15">
        <f t="shared" si="2"/>
        <v>12</v>
      </c>
      <c r="G3230" s="15">
        <f t="shared" si="3"/>
        <v>7</v>
      </c>
    </row>
    <row r="3231">
      <c r="A3231" s="10" t="s">
        <v>37</v>
      </c>
      <c r="B3231" s="94">
        <f t="shared" si="5"/>
        <v>45633</v>
      </c>
      <c r="C3231" s="77" t="s">
        <v>1570</v>
      </c>
      <c r="D3231" s="13">
        <f>SUMIFS('Lançamentos de receitas'!$E:$E,'Lançamentos de receitas'!$F:$F,"PAGO",'Lançamentos de receitas'!$C:$C,A3231,'Lançamentos de receitas'!$A:$A,B3231)</f>
        <v>322.31</v>
      </c>
      <c r="E3231" s="15">
        <f t="shared" si="1"/>
        <v>2024</v>
      </c>
      <c r="F3231" s="15">
        <f t="shared" si="2"/>
        <v>12</v>
      </c>
      <c r="G3231" s="15">
        <f t="shared" si="3"/>
        <v>7</v>
      </c>
    </row>
    <row r="3232">
      <c r="A3232" s="10" t="s">
        <v>37</v>
      </c>
      <c r="B3232" s="94">
        <f t="shared" si="5"/>
        <v>45633</v>
      </c>
      <c r="C3232" s="77" t="s">
        <v>1571</v>
      </c>
      <c r="D3232" s="13">
        <f>SUMIFS('Lançamentos de despesas'!$I:$I,'Lançamentos de despesas'!$G:$G,A3232,'Lançamentos de despesas'!$E:$E,"PAGO",'Lançamentos de despesas'!$C:$C,B3232)</f>
        <v>0</v>
      </c>
      <c r="E3232" s="15">
        <f t="shared" si="1"/>
        <v>2024</v>
      </c>
      <c r="F3232" s="15">
        <f t="shared" si="2"/>
        <v>12</v>
      </c>
      <c r="G3232" s="15">
        <f t="shared" si="3"/>
        <v>7</v>
      </c>
    </row>
    <row r="3233">
      <c r="A3233" s="10" t="s">
        <v>37</v>
      </c>
      <c r="B3233" s="94">
        <f t="shared" si="5"/>
        <v>45633</v>
      </c>
      <c r="C3233" s="77" t="s">
        <v>1572</v>
      </c>
      <c r="D3233" s="13">
        <f>D3230+D3231-D3232</f>
        <v>30780.34</v>
      </c>
      <c r="E3233" s="15">
        <f t="shared" si="1"/>
        <v>2024</v>
      </c>
      <c r="F3233" s="15">
        <f t="shared" si="2"/>
        <v>12</v>
      </c>
      <c r="G3233" s="15">
        <f t="shared" si="3"/>
        <v>7</v>
      </c>
    </row>
    <row r="3234">
      <c r="A3234" s="10" t="s">
        <v>37</v>
      </c>
      <c r="B3234" s="94">
        <f t="shared" si="5"/>
        <v>45634</v>
      </c>
      <c r="C3234" s="77" t="s">
        <v>1569</v>
      </c>
      <c r="D3234" s="13">
        <f>D3233</f>
        <v>30780.34</v>
      </c>
      <c r="E3234" s="15">
        <f t="shared" si="1"/>
        <v>2024</v>
      </c>
      <c r="F3234" s="15">
        <f t="shared" si="2"/>
        <v>12</v>
      </c>
      <c r="G3234" s="15">
        <f t="shared" si="3"/>
        <v>8</v>
      </c>
    </row>
    <row r="3235">
      <c r="A3235" s="10" t="s">
        <v>37</v>
      </c>
      <c r="B3235" s="94">
        <f t="shared" si="5"/>
        <v>45634</v>
      </c>
      <c r="C3235" s="77" t="s">
        <v>1570</v>
      </c>
      <c r="D3235" s="13">
        <f>SUMIFS('Lançamentos de receitas'!$E:$E,'Lançamentos de receitas'!$F:$F,"PAGO",'Lançamentos de receitas'!$C:$C,A3235,'Lançamentos de receitas'!$A:$A,B3235)</f>
        <v>898.13</v>
      </c>
      <c r="E3235" s="15">
        <f t="shared" si="1"/>
        <v>2024</v>
      </c>
      <c r="F3235" s="15">
        <f t="shared" si="2"/>
        <v>12</v>
      </c>
      <c r="G3235" s="15">
        <f t="shared" si="3"/>
        <v>8</v>
      </c>
    </row>
    <row r="3236">
      <c r="A3236" s="10" t="s">
        <v>37</v>
      </c>
      <c r="B3236" s="94">
        <f t="shared" si="5"/>
        <v>45634</v>
      </c>
      <c r="C3236" s="77" t="s">
        <v>1571</v>
      </c>
      <c r="D3236" s="13">
        <f>SUMIFS('Lançamentos de despesas'!$I:$I,'Lançamentos de despesas'!$G:$G,A3236,'Lançamentos de despesas'!$E:$E,"PAGO",'Lançamentos de despesas'!$C:$C,B3236)</f>
        <v>3000</v>
      </c>
      <c r="E3236" s="15">
        <f t="shared" si="1"/>
        <v>2024</v>
      </c>
      <c r="F3236" s="15">
        <f t="shared" si="2"/>
        <v>12</v>
      </c>
      <c r="G3236" s="15">
        <f t="shared" si="3"/>
        <v>8</v>
      </c>
    </row>
    <row r="3237">
      <c r="A3237" s="10" t="s">
        <v>37</v>
      </c>
      <c r="B3237" s="94">
        <f t="shared" si="5"/>
        <v>45634</v>
      </c>
      <c r="C3237" s="77" t="s">
        <v>1572</v>
      </c>
      <c r="D3237" s="13">
        <f>D3234+D3235-D3236</f>
        <v>28678.47</v>
      </c>
      <c r="E3237" s="15">
        <f t="shared" si="1"/>
        <v>2024</v>
      </c>
      <c r="F3237" s="15">
        <f t="shared" si="2"/>
        <v>12</v>
      </c>
      <c r="G3237" s="15">
        <f t="shared" si="3"/>
        <v>8</v>
      </c>
    </row>
    <row r="3238">
      <c r="A3238" s="10" t="s">
        <v>37</v>
      </c>
      <c r="B3238" s="94">
        <f t="shared" si="5"/>
        <v>45635</v>
      </c>
      <c r="C3238" s="77" t="s">
        <v>1569</v>
      </c>
      <c r="D3238" s="13">
        <f>D3237</f>
        <v>28678.47</v>
      </c>
      <c r="E3238" s="15">
        <f t="shared" si="1"/>
        <v>2024</v>
      </c>
      <c r="F3238" s="15">
        <f t="shared" si="2"/>
        <v>12</v>
      </c>
      <c r="G3238" s="15">
        <f t="shared" si="3"/>
        <v>9</v>
      </c>
    </row>
    <row r="3239">
      <c r="A3239" s="10" t="s">
        <v>37</v>
      </c>
      <c r="B3239" s="94">
        <f t="shared" si="5"/>
        <v>45635</v>
      </c>
      <c r="C3239" s="77" t="s">
        <v>1570</v>
      </c>
      <c r="D3239" s="13">
        <f>SUMIFS('Lançamentos de receitas'!$E:$E,'Lançamentos de receitas'!$F:$F,"PAGO",'Lançamentos de receitas'!$C:$C,A3239,'Lançamentos de receitas'!$A:$A,B3239)</f>
        <v>1676.3</v>
      </c>
      <c r="E3239" s="15">
        <f t="shared" si="1"/>
        <v>2024</v>
      </c>
      <c r="F3239" s="15">
        <f t="shared" si="2"/>
        <v>12</v>
      </c>
      <c r="G3239" s="15">
        <f t="shared" si="3"/>
        <v>9</v>
      </c>
    </row>
    <row r="3240">
      <c r="A3240" s="10" t="s">
        <v>37</v>
      </c>
      <c r="B3240" s="94">
        <f t="shared" si="5"/>
        <v>45635</v>
      </c>
      <c r="C3240" s="77" t="s">
        <v>1571</v>
      </c>
      <c r="D3240" s="13">
        <f>SUMIFS('Lançamentos de despesas'!$I:$I,'Lançamentos de despesas'!$G:$G,A3240,'Lançamentos de despesas'!$E:$E,"PAGO",'Lançamentos de despesas'!$C:$C,B3240)</f>
        <v>1017.91</v>
      </c>
      <c r="E3240" s="15">
        <f t="shared" si="1"/>
        <v>2024</v>
      </c>
      <c r="F3240" s="15">
        <f t="shared" si="2"/>
        <v>12</v>
      </c>
      <c r="G3240" s="15">
        <f t="shared" si="3"/>
        <v>9</v>
      </c>
    </row>
    <row r="3241">
      <c r="A3241" s="10" t="s">
        <v>37</v>
      </c>
      <c r="B3241" s="94">
        <f t="shared" si="5"/>
        <v>45635</v>
      </c>
      <c r="C3241" s="77" t="s">
        <v>1572</v>
      </c>
      <c r="D3241" s="13">
        <f>D3238+D3239-D3240</f>
        <v>29336.86</v>
      </c>
      <c r="E3241" s="15">
        <f t="shared" si="1"/>
        <v>2024</v>
      </c>
      <c r="F3241" s="15">
        <f t="shared" si="2"/>
        <v>12</v>
      </c>
      <c r="G3241" s="15">
        <f t="shared" si="3"/>
        <v>9</v>
      </c>
    </row>
    <row r="3242">
      <c r="A3242" s="10" t="s">
        <v>37</v>
      </c>
      <c r="B3242" s="94">
        <f t="shared" si="5"/>
        <v>45636</v>
      </c>
      <c r="C3242" s="77" t="s">
        <v>1569</v>
      </c>
      <c r="D3242" s="13">
        <f>D3241</f>
        <v>29336.86</v>
      </c>
      <c r="E3242" s="15">
        <f t="shared" si="1"/>
        <v>2024</v>
      </c>
      <c r="F3242" s="15">
        <f t="shared" si="2"/>
        <v>12</v>
      </c>
      <c r="G3242" s="15">
        <f t="shared" si="3"/>
        <v>10</v>
      </c>
    </row>
    <row r="3243">
      <c r="A3243" s="10" t="s">
        <v>37</v>
      </c>
      <c r="B3243" s="94">
        <f t="shared" si="5"/>
        <v>45636</v>
      </c>
      <c r="C3243" s="77" t="s">
        <v>1570</v>
      </c>
      <c r="D3243" s="13">
        <f>SUMIFS('Lançamentos de receitas'!$E:$E,'Lançamentos de receitas'!$F:$F,"PAGO",'Lançamentos de receitas'!$C:$C,A3243,'Lançamentos de receitas'!$A:$A,B3243)</f>
        <v>183.41</v>
      </c>
      <c r="E3243" s="15">
        <f t="shared" si="1"/>
        <v>2024</v>
      </c>
      <c r="F3243" s="15">
        <f t="shared" si="2"/>
        <v>12</v>
      </c>
      <c r="G3243" s="15">
        <f t="shared" si="3"/>
        <v>10</v>
      </c>
    </row>
    <row r="3244">
      <c r="A3244" s="10" t="s">
        <v>37</v>
      </c>
      <c r="B3244" s="94">
        <f t="shared" si="5"/>
        <v>45636</v>
      </c>
      <c r="C3244" s="77" t="s">
        <v>1571</v>
      </c>
      <c r="D3244" s="13">
        <f>SUMIFS('Lançamentos de despesas'!$I:$I,'Lançamentos de despesas'!$G:$G,A3244,'Lançamentos de despesas'!$E:$E,"PAGO",'Lançamentos de despesas'!$C:$C,B3244)</f>
        <v>424.5</v>
      </c>
      <c r="E3244" s="15">
        <f t="shared" si="1"/>
        <v>2024</v>
      </c>
      <c r="F3244" s="15">
        <f t="shared" si="2"/>
        <v>12</v>
      </c>
      <c r="G3244" s="15">
        <f t="shared" si="3"/>
        <v>10</v>
      </c>
    </row>
    <row r="3245">
      <c r="A3245" s="10" t="s">
        <v>37</v>
      </c>
      <c r="B3245" s="94">
        <f t="shared" si="5"/>
        <v>45636</v>
      </c>
      <c r="C3245" s="77" t="s">
        <v>1572</v>
      </c>
      <c r="D3245" s="13">
        <f>D3242+D3243-D3244</f>
        <v>29095.77</v>
      </c>
      <c r="E3245" s="15">
        <f t="shared" si="1"/>
        <v>2024</v>
      </c>
      <c r="F3245" s="15">
        <f t="shared" si="2"/>
        <v>12</v>
      </c>
      <c r="G3245" s="15">
        <f t="shared" si="3"/>
        <v>10</v>
      </c>
    </row>
    <row r="3246">
      <c r="A3246" s="10" t="s">
        <v>37</v>
      </c>
      <c r="B3246" s="94">
        <f t="shared" si="5"/>
        <v>45637</v>
      </c>
      <c r="C3246" s="77" t="s">
        <v>1569</v>
      </c>
      <c r="D3246" s="13">
        <f>D3245</f>
        <v>29095.77</v>
      </c>
      <c r="E3246" s="15">
        <f t="shared" si="1"/>
        <v>2024</v>
      </c>
      <c r="F3246" s="15">
        <f t="shared" si="2"/>
        <v>12</v>
      </c>
      <c r="G3246" s="15">
        <f t="shared" si="3"/>
        <v>11</v>
      </c>
    </row>
    <row r="3247">
      <c r="A3247" s="10" t="s">
        <v>37</v>
      </c>
      <c r="B3247" s="94">
        <f t="shared" si="5"/>
        <v>45637</v>
      </c>
      <c r="C3247" s="77" t="s">
        <v>1570</v>
      </c>
      <c r="D3247" s="13">
        <f>SUMIFS('Lançamentos de receitas'!$E:$E,'Lançamentos de receitas'!$F:$F,"PAGO",'Lançamentos de receitas'!$C:$C,A3247,'Lançamentos de receitas'!$A:$A,B3247)</f>
        <v>621.87</v>
      </c>
      <c r="E3247" s="15">
        <f t="shared" si="1"/>
        <v>2024</v>
      </c>
      <c r="F3247" s="15">
        <f t="shared" si="2"/>
        <v>12</v>
      </c>
      <c r="G3247" s="15">
        <f t="shared" si="3"/>
        <v>11</v>
      </c>
    </row>
    <row r="3248">
      <c r="A3248" s="10" t="s">
        <v>37</v>
      </c>
      <c r="B3248" s="94">
        <f t="shared" si="5"/>
        <v>45637</v>
      </c>
      <c r="C3248" s="77" t="s">
        <v>1571</v>
      </c>
      <c r="D3248" s="13">
        <f>SUMIFS('Lançamentos de despesas'!$I:$I,'Lançamentos de despesas'!$G:$G,A3248,'Lançamentos de despesas'!$E:$E,"PAGO",'Lançamentos de despesas'!$C:$C,B3248)</f>
        <v>0</v>
      </c>
      <c r="E3248" s="15">
        <f t="shared" si="1"/>
        <v>2024</v>
      </c>
      <c r="F3248" s="15">
        <f t="shared" si="2"/>
        <v>12</v>
      </c>
      <c r="G3248" s="15">
        <f t="shared" si="3"/>
        <v>11</v>
      </c>
    </row>
    <row r="3249">
      <c r="A3249" s="10" t="s">
        <v>37</v>
      </c>
      <c r="B3249" s="94">
        <f t="shared" si="5"/>
        <v>45637</v>
      </c>
      <c r="C3249" s="77" t="s">
        <v>1572</v>
      </c>
      <c r="D3249" s="13">
        <f>D3246+D3247-D3248</f>
        <v>29717.64</v>
      </c>
      <c r="E3249" s="15">
        <f t="shared" si="1"/>
        <v>2024</v>
      </c>
      <c r="F3249" s="15">
        <f t="shared" si="2"/>
        <v>12</v>
      </c>
      <c r="G3249" s="15">
        <f t="shared" si="3"/>
        <v>11</v>
      </c>
    </row>
    <row r="3250">
      <c r="A3250" s="10" t="s">
        <v>37</v>
      </c>
      <c r="B3250" s="94">
        <f t="shared" si="5"/>
        <v>45638</v>
      </c>
      <c r="C3250" s="77" t="s">
        <v>1569</v>
      </c>
      <c r="D3250" s="13">
        <f>D3249</f>
        <v>29717.64</v>
      </c>
      <c r="E3250" s="15">
        <f t="shared" si="1"/>
        <v>2024</v>
      </c>
      <c r="F3250" s="15">
        <f t="shared" si="2"/>
        <v>12</v>
      </c>
      <c r="G3250" s="15">
        <f t="shared" si="3"/>
        <v>12</v>
      </c>
    </row>
    <row r="3251">
      <c r="A3251" s="10" t="s">
        <v>37</v>
      </c>
      <c r="B3251" s="94">
        <f t="shared" si="5"/>
        <v>45638</v>
      </c>
      <c r="C3251" s="77" t="s">
        <v>1570</v>
      </c>
      <c r="D3251" s="13">
        <f>SUMIFS('Lançamentos de receitas'!$E:$E,'Lançamentos de receitas'!$F:$F,"PAGO",'Lançamentos de receitas'!$C:$C,A3251,'Lançamentos de receitas'!$A:$A,B3251)</f>
        <v>68562.81</v>
      </c>
      <c r="E3251" s="15">
        <f t="shared" si="1"/>
        <v>2024</v>
      </c>
      <c r="F3251" s="15">
        <f t="shared" si="2"/>
        <v>12</v>
      </c>
      <c r="G3251" s="15">
        <f t="shared" si="3"/>
        <v>12</v>
      </c>
    </row>
    <row r="3252">
      <c r="A3252" s="10" t="s">
        <v>37</v>
      </c>
      <c r="B3252" s="94">
        <f t="shared" si="5"/>
        <v>45638</v>
      </c>
      <c r="C3252" s="77" t="s">
        <v>1571</v>
      </c>
      <c r="D3252" s="13">
        <f>SUMIFS('Lançamentos de despesas'!$I:$I,'Lançamentos de despesas'!$G:$G,A3252,'Lançamentos de despesas'!$E:$E,"PAGO",'Lançamentos de despesas'!$C:$C,B3252)</f>
        <v>86201.55</v>
      </c>
      <c r="E3252" s="15">
        <f t="shared" si="1"/>
        <v>2024</v>
      </c>
      <c r="F3252" s="15">
        <f t="shared" si="2"/>
        <v>12</v>
      </c>
      <c r="G3252" s="15">
        <f t="shared" si="3"/>
        <v>12</v>
      </c>
    </row>
    <row r="3253">
      <c r="A3253" s="10" t="s">
        <v>37</v>
      </c>
      <c r="B3253" s="94">
        <f t="shared" si="5"/>
        <v>45638</v>
      </c>
      <c r="C3253" s="77" t="s">
        <v>1572</v>
      </c>
      <c r="D3253" s="13">
        <f>D3250+D3251-D3252</f>
        <v>12078.9</v>
      </c>
      <c r="E3253" s="15">
        <f t="shared" si="1"/>
        <v>2024</v>
      </c>
      <c r="F3253" s="15">
        <f t="shared" si="2"/>
        <v>12</v>
      </c>
      <c r="G3253" s="15">
        <f t="shared" si="3"/>
        <v>12</v>
      </c>
    </row>
    <row r="3254">
      <c r="A3254" s="10" t="s">
        <v>37</v>
      </c>
      <c r="B3254" s="94">
        <f t="shared" si="5"/>
        <v>45639</v>
      </c>
      <c r="C3254" s="77" t="s">
        <v>1569</v>
      </c>
      <c r="D3254" s="13">
        <f>D3253</f>
        <v>12078.9</v>
      </c>
      <c r="E3254" s="15">
        <f t="shared" si="1"/>
        <v>2024</v>
      </c>
      <c r="F3254" s="15">
        <f t="shared" si="2"/>
        <v>12</v>
      </c>
      <c r="G3254" s="15">
        <f t="shared" si="3"/>
        <v>13</v>
      </c>
    </row>
    <row r="3255">
      <c r="A3255" s="10" t="s">
        <v>37</v>
      </c>
      <c r="B3255" s="94">
        <f t="shared" si="5"/>
        <v>45639</v>
      </c>
      <c r="C3255" s="77" t="s">
        <v>1570</v>
      </c>
      <c r="D3255" s="13">
        <f>SUMIFS('Lançamentos de receitas'!$E:$E,'Lançamentos de receitas'!$F:$F,"PAGO",'Lançamentos de receitas'!$C:$C,A3255,'Lançamentos de receitas'!$A:$A,B3255)</f>
        <v>2171.62</v>
      </c>
      <c r="E3255" s="15">
        <f t="shared" si="1"/>
        <v>2024</v>
      </c>
      <c r="F3255" s="15">
        <f t="shared" si="2"/>
        <v>12</v>
      </c>
      <c r="G3255" s="15">
        <f t="shared" si="3"/>
        <v>13</v>
      </c>
    </row>
    <row r="3256">
      <c r="A3256" s="10" t="s">
        <v>37</v>
      </c>
      <c r="B3256" s="94">
        <f t="shared" si="5"/>
        <v>45639</v>
      </c>
      <c r="C3256" s="77" t="s">
        <v>1571</v>
      </c>
      <c r="D3256" s="13">
        <f>SUMIFS('Lançamentos de despesas'!$I:$I,'Lançamentos de despesas'!$G:$G,A3256,'Lançamentos de despesas'!$E:$E,"PAGO",'Lançamentos de despesas'!$C:$C,B3256)</f>
        <v>0</v>
      </c>
      <c r="E3256" s="15">
        <f t="shared" si="1"/>
        <v>2024</v>
      </c>
      <c r="F3256" s="15">
        <f t="shared" si="2"/>
        <v>12</v>
      </c>
      <c r="G3256" s="15">
        <f t="shared" si="3"/>
        <v>13</v>
      </c>
    </row>
    <row r="3257">
      <c r="A3257" s="10" t="s">
        <v>37</v>
      </c>
      <c r="B3257" s="94">
        <f t="shared" si="5"/>
        <v>45639</v>
      </c>
      <c r="C3257" s="77" t="s">
        <v>1572</v>
      </c>
      <c r="D3257" s="13">
        <f>D3254+D3255-D3256</f>
        <v>14250.52</v>
      </c>
      <c r="E3257" s="15">
        <f t="shared" si="1"/>
        <v>2024</v>
      </c>
      <c r="F3257" s="15">
        <f t="shared" si="2"/>
        <v>12</v>
      </c>
      <c r="G3257" s="15">
        <f t="shared" si="3"/>
        <v>13</v>
      </c>
    </row>
    <row r="3258">
      <c r="A3258" s="10" t="s">
        <v>37</v>
      </c>
      <c r="B3258" s="94">
        <f t="shared" si="5"/>
        <v>45640</v>
      </c>
      <c r="C3258" s="77" t="s">
        <v>1569</v>
      </c>
      <c r="D3258" s="13">
        <f>D3257</f>
        <v>14250.52</v>
      </c>
      <c r="E3258" s="15">
        <f t="shared" si="1"/>
        <v>2024</v>
      </c>
      <c r="F3258" s="15">
        <f t="shared" si="2"/>
        <v>12</v>
      </c>
      <c r="G3258" s="15">
        <f t="shared" si="3"/>
        <v>14</v>
      </c>
    </row>
    <row r="3259">
      <c r="A3259" s="10" t="s">
        <v>37</v>
      </c>
      <c r="B3259" s="94">
        <f t="shared" si="5"/>
        <v>45640</v>
      </c>
      <c r="C3259" s="77" t="s">
        <v>1570</v>
      </c>
      <c r="D3259" s="13">
        <f>SUMIFS('Lançamentos de receitas'!$E:$E,'Lançamentos de receitas'!$F:$F,"PAGO",'Lançamentos de receitas'!$C:$C,A3259,'Lançamentos de receitas'!$A:$A,B3259)</f>
        <v>1234.03</v>
      </c>
      <c r="E3259" s="15">
        <f t="shared" si="1"/>
        <v>2024</v>
      </c>
      <c r="F3259" s="15">
        <f t="shared" si="2"/>
        <v>12</v>
      </c>
      <c r="G3259" s="15">
        <f t="shared" si="3"/>
        <v>14</v>
      </c>
    </row>
    <row r="3260">
      <c r="A3260" s="10" t="s">
        <v>37</v>
      </c>
      <c r="B3260" s="94">
        <f t="shared" si="5"/>
        <v>45640</v>
      </c>
      <c r="C3260" s="77" t="s">
        <v>1571</v>
      </c>
      <c r="D3260" s="13">
        <f>SUMIFS('Lançamentos de despesas'!$I:$I,'Lançamentos de despesas'!$G:$G,A3260,'Lançamentos de despesas'!$E:$E,"PAGO",'Lançamentos de despesas'!$C:$C,B3260)</f>
        <v>0</v>
      </c>
      <c r="E3260" s="15">
        <f t="shared" si="1"/>
        <v>2024</v>
      </c>
      <c r="F3260" s="15">
        <f t="shared" si="2"/>
        <v>12</v>
      </c>
      <c r="G3260" s="15">
        <f t="shared" si="3"/>
        <v>14</v>
      </c>
    </row>
    <row r="3261">
      <c r="A3261" s="10" t="s">
        <v>37</v>
      </c>
      <c r="B3261" s="94">
        <f t="shared" si="5"/>
        <v>45640</v>
      </c>
      <c r="C3261" s="77" t="s">
        <v>1572</v>
      </c>
      <c r="D3261" s="13">
        <f>D3258+D3259-D3260</f>
        <v>15484.55</v>
      </c>
      <c r="E3261" s="15">
        <f t="shared" si="1"/>
        <v>2024</v>
      </c>
      <c r="F3261" s="15">
        <f t="shared" si="2"/>
        <v>12</v>
      </c>
      <c r="G3261" s="15">
        <f t="shared" si="3"/>
        <v>14</v>
      </c>
    </row>
    <row r="3262">
      <c r="A3262" s="10" t="s">
        <v>37</v>
      </c>
      <c r="B3262" s="94">
        <f t="shared" si="5"/>
        <v>45641</v>
      </c>
      <c r="C3262" s="77" t="s">
        <v>1569</v>
      </c>
      <c r="D3262" s="13">
        <f>D3261</f>
        <v>15484.55</v>
      </c>
      <c r="E3262" s="15">
        <f t="shared" si="1"/>
        <v>2024</v>
      </c>
      <c r="F3262" s="15">
        <f t="shared" si="2"/>
        <v>12</v>
      </c>
      <c r="G3262" s="15">
        <f t="shared" si="3"/>
        <v>15</v>
      </c>
    </row>
    <row r="3263">
      <c r="A3263" s="10" t="s">
        <v>37</v>
      </c>
      <c r="B3263" s="94">
        <f t="shared" si="5"/>
        <v>45641</v>
      </c>
      <c r="C3263" s="77" t="s">
        <v>1570</v>
      </c>
      <c r="D3263" s="13">
        <f>SUMIFS('Lançamentos de receitas'!$E:$E,'Lançamentos de receitas'!$F:$F,"PAGO",'Lançamentos de receitas'!$C:$C,A3263,'Lançamentos de receitas'!$A:$A,B3263)</f>
        <v>756.83</v>
      </c>
      <c r="E3263" s="15">
        <f t="shared" si="1"/>
        <v>2024</v>
      </c>
      <c r="F3263" s="15">
        <f t="shared" si="2"/>
        <v>12</v>
      </c>
      <c r="G3263" s="15">
        <f t="shared" si="3"/>
        <v>15</v>
      </c>
    </row>
    <row r="3264">
      <c r="A3264" s="10" t="s">
        <v>37</v>
      </c>
      <c r="B3264" s="94">
        <f t="shared" si="5"/>
        <v>45641</v>
      </c>
      <c r="C3264" s="77" t="s">
        <v>1571</v>
      </c>
      <c r="D3264" s="13">
        <f>SUMIFS('Lançamentos de despesas'!$I:$I,'Lançamentos de despesas'!$G:$G,A3264,'Lançamentos de despesas'!$E:$E,"PAGO",'Lançamentos de despesas'!$C:$C,B3264)</f>
        <v>0</v>
      </c>
      <c r="E3264" s="15">
        <f t="shared" si="1"/>
        <v>2024</v>
      </c>
      <c r="F3264" s="15">
        <f t="shared" si="2"/>
        <v>12</v>
      </c>
      <c r="G3264" s="15">
        <f t="shared" si="3"/>
        <v>15</v>
      </c>
    </row>
    <row r="3265">
      <c r="A3265" s="10" t="s">
        <v>37</v>
      </c>
      <c r="B3265" s="94">
        <f t="shared" si="5"/>
        <v>45641</v>
      </c>
      <c r="C3265" s="77" t="s">
        <v>1572</v>
      </c>
      <c r="D3265" s="13">
        <f>D3262+D3263-D3264</f>
        <v>16241.38</v>
      </c>
      <c r="E3265" s="15">
        <f t="shared" si="1"/>
        <v>2024</v>
      </c>
      <c r="F3265" s="15">
        <f t="shared" si="2"/>
        <v>12</v>
      </c>
      <c r="G3265" s="15">
        <f t="shared" si="3"/>
        <v>15</v>
      </c>
    </row>
    <row r="3266">
      <c r="A3266" s="10" t="s">
        <v>37</v>
      </c>
      <c r="B3266" s="94">
        <f t="shared" si="5"/>
        <v>45642</v>
      </c>
      <c r="C3266" s="77" t="s">
        <v>1569</v>
      </c>
      <c r="D3266" s="13">
        <f>D3265</f>
        <v>16241.38</v>
      </c>
      <c r="E3266" s="15">
        <f t="shared" si="1"/>
        <v>2024</v>
      </c>
      <c r="F3266" s="15">
        <f t="shared" si="2"/>
        <v>12</v>
      </c>
      <c r="G3266" s="15">
        <f t="shared" si="3"/>
        <v>16</v>
      </c>
    </row>
    <row r="3267">
      <c r="A3267" s="10" t="s">
        <v>37</v>
      </c>
      <c r="B3267" s="94">
        <f t="shared" si="5"/>
        <v>45642</v>
      </c>
      <c r="C3267" s="77" t="s">
        <v>1570</v>
      </c>
      <c r="D3267" s="13">
        <f>SUMIFS('Lançamentos de receitas'!$E:$E,'Lançamentos de receitas'!$F:$F,"PAGO",'Lançamentos de receitas'!$C:$C,A3267,'Lançamentos de receitas'!$A:$A,B3267)</f>
        <v>1590.54</v>
      </c>
      <c r="E3267" s="15">
        <f t="shared" si="1"/>
        <v>2024</v>
      </c>
      <c r="F3267" s="15">
        <f t="shared" si="2"/>
        <v>12</v>
      </c>
      <c r="G3267" s="15">
        <f t="shared" si="3"/>
        <v>16</v>
      </c>
    </row>
    <row r="3268">
      <c r="A3268" s="10" t="s">
        <v>37</v>
      </c>
      <c r="B3268" s="94">
        <f t="shared" si="5"/>
        <v>45642</v>
      </c>
      <c r="C3268" s="77" t="s">
        <v>1571</v>
      </c>
      <c r="D3268" s="13">
        <f>SUMIFS('Lançamentos de despesas'!$I:$I,'Lançamentos de despesas'!$G:$G,A3268,'Lançamentos de despesas'!$E:$E,"PAGO",'Lançamentos de despesas'!$C:$C,B3268)</f>
        <v>1013</v>
      </c>
      <c r="E3268" s="15">
        <f t="shared" si="1"/>
        <v>2024</v>
      </c>
      <c r="F3268" s="15">
        <f t="shared" si="2"/>
        <v>12</v>
      </c>
      <c r="G3268" s="15">
        <f t="shared" si="3"/>
        <v>16</v>
      </c>
    </row>
    <row r="3269">
      <c r="A3269" s="10" t="s">
        <v>37</v>
      </c>
      <c r="B3269" s="94">
        <f t="shared" si="5"/>
        <v>45642</v>
      </c>
      <c r="C3269" s="77" t="s">
        <v>1572</v>
      </c>
      <c r="D3269" s="13">
        <f>D3266+D3267-D3268</f>
        <v>16818.92</v>
      </c>
      <c r="E3269" s="15">
        <f t="shared" si="1"/>
        <v>2024</v>
      </c>
      <c r="F3269" s="15">
        <f t="shared" si="2"/>
        <v>12</v>
      </c>
      <c r="G3269" s="15">
        <f t="shared" si="3"/>
        <v>16</v>
      </c>
    </row>
    <row r="3270">
      <c r="A3270" s="10" t="s">
        <v>37</v>
      </c>
      <c r="B3270" s="94">
        <f t="shared" si="5"/>
        <v>45643</v>
      </c>
      <c r="C3270" s="77" t="s">
        <v>1569</v>
      </c>
      <c r="D3270" s="13">
        <f>D3269</f>
        <v>16818.92</v>
      </c>
      <c r="E3270" s="15">
        <f t="shared" si="1"/>
        <v>2024</v>
      </c>
      <c r="F3270" s="15">
        <f t="shared" si="2"/>
        <v>12</v>
      </c>
      <c r="G3270" s="15">
        <f t="shared" si="3"/>
        <v>17</v>
      </c>
    </row>
    <row r="3271">
      <c r="A3271" s="10" t="s">
        <v>37</v>
      </c>
      <c r="B3271" s="94">
        <f t="shared" si="5"/>
        <v>45643</v>
      </c>
      <c r="C3271" s="77" t="s">
        <v>1570</v>
      </c>
      <c r="D3271" s="13">
        <f>SUMIFS('Lançamentos de receitas'!$E:$E,'Lançamentos de receitas'!$F:$F,"PAGO",'Lançamentos de receitas'!$C:$C,A3271,'Lançamentos de receitas'!$A:$A,B3271)</f>
        <v>152.68</v>
      </c>
      <c r="E3271" s="15">
        <f t="shared" si="1"/>
        <v>2024</v>
      </c>
      <c r="F3271" s="15">
        <f t="shared" si="2"/>
        <v>12</v>
      </c>
      <c r="G3271" s="15">
        <f t="shared" si="3"/>
        <v>17</v>
      </c>
    </row>
    <row r="3272">
      <c r="A3272" s="10" t="s">
        <v>37</v>
      </c>
      <c r="B3272" s="94">
        <f t="shared" si="5"/>
        <v>45643</v>
      </c>
      <c r="C3272" s="77" t="s">
        <v>1571</v>
      </c>
      <c r="D3272" s="13">
        <f>SUMIFS('Lançamentos de despesas'!$I:$I,'Lançamentos de despesas'!$G:$G,A3272,'Lançamentos de despesas'!$E:$E,"PAGO",'Lançamentos de despesas'!$C:$C,B3272)</f>
        <v>26.71</v>
      </c>
      <c r="E3272" s="15">
        <f t="shared" si="1"/>
        <v>2024</v>
      </c>
      <c r="F3272" s="15">
        <f t="shared" si="2"/>
        <v>12</v>
      </c>
      <c r="G3272" s="15">
        <f t="shared" si="3"/>
        <v>17</v>
      </c>
    </row>
    <row r="3273">
      <c r="A3273" s="10" t="s">
        <v>37</v>
      </c>
      <c r="B3273" s="94">
        <f t="shared" si="5"/>
        <v>45643</v>
      </c>
      <c r="C3273" s="77" t="s">
        <v>1572</v>
      </c>
      <c r="D3273" s="13">
        <f>D3270+D3271-D3272</f>
        <v>16944.89</v>
      </c>
      <c r="E3273" s="15">
        <f t="shared" si="1"/>
        <v>2024</v>
      </c>
      <c r="F3273" s="15">
        <f t="shared" si="2"/>
        <v>12</v>
      </c>
      <c r="G3273" s="15">
        <f t="shared" si="3"/>
        <v>17</v>
      </c>
    </row>
    <row r="3274">
      <c r="A3274" s="10" t="s">
        <v>37</v>
      </c>
      <c r="B3274" s="94">
        <f t="shared" si="5"/>
        <v>45644</v>
      </c>
      <c r="C3274" s="77" t="s">
        <v>1569</v>
      </c>
      <c r="D3274" s="13">
        <f>D3273</f>
        <v>16944.89</v>
      </c>
      <c r="E3274" s="15">
        <f t="shared" si="1"/>
        <v>2024</v>
      </c>
      <c r="F3274" s="15">
        <f t="shared" si="2"/>
        <v>12</v>
      </c>
      <c r="G3274" s="15">
        <f t="shared" si="3"/>
        <v>18</v>
      </c>
    </row>
    <row r="3275">
      <c r="A3275" s="10" t="s">
        <v>37</v>
      </c>
      <c r="B3275" s="94">
        <f t="shared" si="5"/>
        <v>45644</v>
      </c>
      <c r="C3275" s="77" t="s">
        <v>1570</v>
      </c>
      <c r="D3275" s="13">
        <f>SUMIFS('Lançamentos de receitas'!$E:$E,'Lançamentos de receitas'!$F:$F,"PAGO",'Lançamentos de receitas'!$C:$C,A3275,'Lançamentos de receitas'!$A:$A,B3275)</f>
        <v>1661.08</v>
      </c>
      <c r="E3275" s="15">
        <f t="shared" si="1"/>
        <v>2024</v>
      </c>
      <c r="F3275" s="15">
        <f t="shared" si="2"/>
        <v>12</v>
      </c>
      <c r="G3275" s="15">
        <f t="shared" si="3"/>
        <v>18</v>
      </c>
    </row>
    <row r="3276">
      <c r="A3276" s="10" t="s">
        <v>37</v>
      </c>
      <c r="B3276" s="94">
        <f t="shared" si="5"/>
        <v>45644</v>
      </c>
      <c r="C3276" s="77" t="s">
        <v>1571</v>
      </c>
      <c r="D3276" s="13">
        <f>SUMIFS('Lançamentos de despesas'!$I:$I,'Lançamentos de despesas'!$G:$G,A3276,'Lançamentos de despesas'!$E:$E,"PAGO",'Lançamentos de despesas'!$C:$C,B3276)</f>
        <v>1023.1</v>
      </c>
      <c r="E3276" s="15">
        <f t="shared" si="1"/>
        <v>2024</v>
      </c>
      <c r="F3276" s="15">
        <f t="shared" si="2"/>
        <v>12</v>
      </c>
      <c r="G3276" s="15">
        <f t="shared" si="3"/>
        <v>18</v>
      </c>
    </row>
    <row r="3277">
      <c r="A3277" s="10" t="s">
        <v>37</v>
      </c>
      <c r="B3277" s="94">
        <f t="shared" si="5"/>
        <v>45644</v>
      </c>
      <c r="C3277" s="77" t="s">
        <v>1572</v>
      </c>
      <c r="D3277" s="13">
        <f>D3274+D3275-D3276</f>
        <v>17582.87</v>
      </c>
      <c r="E3277" s="15">
        <f t="shared" si="1"/>
        <v>2024</v>
      </c>
      <c r="F3277" s="15">
        <f t="shared" si="2"/>
        <v>12</v>
      </c>
      <c r="G3277" s="15">
        <f t="shared" si="3"/>
        <v>18</v>
      </c>
    </row>
    <row r="3278">
      <c r="A3278" s="10" t="s">
        <v>37</v>
      </c>
      <c r="B3278" s="94">
        <f t="shared" si="5"/>
        <v>45645</v>
      </c>
      <c r="C3278" s="77" t="s">
        <v>1569</v>
      </c>
      <c r="D3278" s="13">
        <f>D3277</f>
        <v>17582.87</v>
      </c>
      <c r="E3278" s="15">
        <f t="shared" si="1"/>
        <v>2024</v>
      </c>
      <c r="F3278" s="15">
        <f t="shared" si="2"/>
        <v>12</v>
      </c>
      <c r="G3278" s="15">
        <f t="shared" si="3"/>
        <v>19</v>
      </c>
    </row>
    <row r="3279">
      <c r="A3279" s="10" t="s">
        <v>37</v>
      </c>
      <c r="B3279" s="94">
        <f t="shared" si="5"/>
        <v>45645</v>
      </c>
      <c r="C3279" s="77" t="s">
        <v>1570</v>
      </c>
      <c r="D3279" s="13">
        <f>SUMIFS('Lançamentos de receitas'!$E:$E,'Lançamentos de receitas'!$F:$F,"PAGO",'Lançamentos de receitas'!$C:$C,A3279,'Lançamentos de receitas'!$A:$A,B3279)</f>
        <v>1497.6</v>
      </c>
      <c r="E3279" s="15">
        <f t="shared" si="1"/>
        <v>2024</v>
      </c>
      <c r="F3279" s="15">
        <f t="shared" si="2"/>
        <v>12</v>
      </c>
      <c r="G3279" s="15">
        <f t="shared" si="3"/>
        <v>19</v>
      </c>
    </row>
    <row r="3280">
      <c r="A3280" s="10" t="s">
        <v>37</v>
      </c>
      <c r="B3280" s="94">
        <f t="shared" si="5"/>
        <v>45645</v>
      </c>
      <c r="C3280" s="77" t="s">
        <v>1571</v>
      </c>
      <c r="D3280" s="13">
        <f>SUMIFS('Lançamentos de despesas'!$I:$I,'Lançamentos de despesas'!$G:$G,A3280,'Lançamentos de despesas'!$E:$E,"PAGO",'Lançamentos de despesas'!$C:$C,B3280)</f>
        <v>320</v>
      </c>
      <c r="E3280" s="15">
        <f t="shared" si="1"/>
        <v>2024</v>
      </c>
      <c r="F3280" s="15">
        <f t="shared" si="2"/>
        <v>12</v>
      </c>
      <c r="G3280" s="15">
        <f t="shared" si="3"/>
        <v>19</v>
      </c>
    </row>
    <row r="3281">
      <c r="A3281" s="10" t="s">
        <v>37</v>
      </c>
      <c r="B3281" s="94">
        <f t="shared" si="5"/>
        <v>45645</v>
      </c>
      <c r="C3281" s="77" t="s">
        <v>1572</v>
      </c>
      <c r="D3281" s="13">
        <f>D3278+D3279-D3280</f>
        <v>18760.47</v>
      </c>
      <c r="E3281" s="15">
        <f t="shared" si="1"/>
        <v>2024</v>
      </c>
      <c r="F3281" s="15">
        <f t="shared" si="2"/>
        <v>12</v>
      </c>
      <c r="G3281" s="15">
        <f t="shared" si="3"/>
        <v>19</v>
      </c>
    </row>
    <row r="3282">
      <c r="A3282" s="10" t="s">
        <v>37</v>
      </c>
      <c r="B3282" s="94">
        <f t="shared" si="5"/>
        <v>45646</v>
      </c>
      <c r="C3282" s="77" t="s">
        <v>1569</v>
      </c>
      <c r="D3282" s="13">
        <f>D3281</f>
        <v>18760.47</v>
      </c>
      <c r="E3282" s="15">
        <f t="shared" si="1"/>
        <v>2024</v>
      </c>
      <c r="F3282" s="15">
        <f t="shared" si="2"/>
        <v>12</v>
      </c>
      <c r="G3282" s="15">
        <f t="shared" si="3"/>
        <v>20</v>
      </c>
    </row>
    <row r="3283">
      <c r="A3283" s="10" t="s">
        <v>37</v>
      </c>
      <c r="B3283" s="94">
        <f t="shared" si="5"/>
        <v>45646</v>
      </c>
      <c r="C3283" s="77" t="s">
        <v>1570</v>
      </c>
      <c r="D3283" s="13">
        <f>SUMIFS('Lançamentos de receitas'!$E:$E,'Lançamentos de receitas'!$F:$F,"PAGO",'Lançamentos de receitas'!$C:$C,A3283,'Lançamentos de receitas'!$A:$A,B3283)</f>
        <v>1514.31</v>
      </c>
      <c r="E3283" s="15">
        <f t="shared" si="1"/>
        <v>2024</v>
      </c>
      <c r="F3283" s="15">
        <f t="shared" si="2"/>
        <v>12</v>
      </c>
      <c r="G3283" s="15">
        <f t="shared" si="3"/>
        <v>20</v>
      </c>
    </row>
    <row r="3284">
      <c r="A3284" s="10" t="s">
        <v>37</v>
      </c>
      <c r="B3284" s="94">
        <f t="shared" si="5"/>
        <v>45646</v>
      </c>
      <c r="C3284" s="77" t="s">
        <v>1571</v>
      </c>
      <c r="D3284" s="13">
        <f>SUMIFS('Lançamentos de despesas'!$I:$I,'Lançamentos de despesas'!$G:$G,A3284,'Lançamentos de despesas'!$E:$E,"PAGO",'Lançamentos de despesas'!$C:$C,B3284)</f>
        <v>2503.12</v>
      </c>
      <c r="E3284" s="15">
        <f t="shared" si="1"/>
        <v>2024</v>
      </c>
      <c r="F3284" s="15">
        <f t="shared" si="2"/>
        <v>12</v>
      </c>
      <c r="G3284" s="15">
        <f t="shared" si="3"/>
        <v>20</v>
      </c>
    </row>
    <row r="3285">
      <c r="A3285" s="10" t="s">
        <v>37</v>
      </c>
      <c r="B3285" s="94">
        <f t="shared" si="5"/>
        <v>45646</v>
      </c>
      <c r="C3285" s="77" t="s">
        <v>1572</v>
      </c>
      <c r="D3285" s="13">
        <f>D3282+D3283-D3284</f>
        <v>17771.66</v>
      </c>
      <c r="E3285" s="15">
        <f t="shared" si="1"/>
        <v>2024</v>
      </c>
      <c r="F3285" s="15">
        <f t="shared" si="2"/>
        <v>12</v>
      </c>
      <c r="G3285" s="15">
        <f t="shared" si="3"/>
        <v>20</v>
      </c>
    </row>
    <row r="3286">
      <c r="A3286" s="10" t="s">
        <v>37</v>
      </c>
      <c r="B3286" s="94">
        <f t="shared" si="5"/>
        <v>45647</v>
      </c>
      <c r="C3286" s="77" t="s">
        <v>1569</v>
      </c>
      <c r="D3286" s="13">
        <f>D3285</f>
        <v>17771.66</v>
      </c>
      <c r="E3286" s="15">
        <f t="shared" si="1"/>
        <v>2024</v>
      </c>
      <c r="F3286" s="15">
        <f t="shared" si="2"/>
        <v>12</v>
      </c>
      <c r="G3286" s="15">
        <f t="shared" si="3"/>
        <v>21</v>
      </c>
    </row>
    <row r="3287">
      <c r="A3287" s="10" t="s">
        <v>37</v>
      </c>
      <c r="B3287" s="94">
        <f t="shared" si="5"/>
        <v>45647</v>
      </c>
      <c r="C3287" s="77" t="s">
        <v>1570</v>
      </c>
      <c r="D3287" s="13">
        <f>SUMIFS('Lançamentos de receitas'!$E:$E,'Lançamentos de receitas'!$F:$F,"PAGO",'Lançamentos de receitas'!$C:$C,A3287,'Lançamentos de receitas'!$A:$A,B3287)</f>
        <v>866.34</v>
      </c>
      <c r="E3287" s="15">
        <f t="shared" si="1"/>
        <v>2024</v>
      </c>
      <c r="F3287" s="15">
        <f t="shared" si="2"/>
        <v>12</v>
      </c>
      <c r="G3287" s="15">
        <f t="shared" si="3"/>
        <v>21</v>
      </c>
    </row>
    <row r="3288">
      <c r="A3288" s="10" t="s">
        <v>37</v>
      </c>
      <c r="B3288" s="94">
        <f t="shared" si="5"/>
        <v>45647</v>
      </c>
      <c r="C3288" s="77" t="s">
        <v>1571</v>
      </c>
      <c r="D3288" s="13">
        <f>SUMIFS('Lançamentos de despesas'!$I:$I,'Lançamentos de despesas'!$G:$G,A3288,'Lançamentos de despesas'!$E:$E,"PAGO",'Lançamentos de despesas'!$C:$C,B3288)</f>
        <v>143.89</v>
      </c>
      <c r="E3288" s="15">
        <f t="shared" si="1"/>
        <v>2024</v>
      </c>
      <c r="F3288" s="15">
        <f t="shared" si="2"/>
        <v>12</v>
      </c>
      <c r="G3288" s="15">
        <f t="shared" si="3"/>
        <v>21</v>
      </c>
    </row>
    <row r="3289">
      <c r="A3289" s="10" t="s">
        <v>37</v>
      </c>
      <c r="B3289" s="94">
        <f t="shared" si="5"/>
        <v>45647</v>
      </c>
      <c r="C3289" s="77" t="s">
        <v>1572</v>
      </c>
      <c r="D3289" s="13">
        <f>D3286+D3287-D3288</f>
        <v>18494.11</v>
      </c>
      <c r="E3289" s="15">
        <f t="shared" si="1"/>
        <v>2024</v>
      </c>
      <c r="F3289" s="15">
        <f t="shared" si="2"/>
        <v>12</v>
      </c>
      <c r="G3289" s="15">
        <f t="shared" si="3"/>
        <v>21</v>
      </c>
    </row>
    <row r="3290">
      <c r="A3290" s="10" t="s">
        <v>37</v>
      </c>
      <c r="B3290" s="94">
        <f t="shared" si="5"/>
        <v>45648</v>
      </c>
      <c r="C3290" s="77" t="s">
        <v>1569</v>
      </c>
      <c r="D3290" s="13">
        <f>D3289</f>
        <v>18494.11</v>
      </c>
      <c r="E3290" s="15">
        <f t="shared" si="1"/>
        <v>2024</v>
      </c>
      <c r="F3290" s="15">
        <f t="shared" si="2"/>
        <v>12</v>
      </c>
      <c r="G3290" s="15">
        <f t="shared" si="3"/>
        <v>22</v>
      </c>
    </row>
    <row r="3291">
      <c r="A3291" s="10" t="s">
        <v>37</v>
      </c>
      <c r="B3291" s="94">
        <f t="shared" si="5"/>
        <v>45648</v>
      </c>
      <c r="C3291" s="77" t="s">
        <v>1570</v>
      </c>
      <c r="D3291" s="13">
        <f>SUMIFS('Lançamentos de receitas'!$E:$E,'Lançamentos de receitas'!$F:$F,"PAGO",'Lançamentos de receitas'!$C:$C,A3291,'Lançamentos de receitas'!$A:$A,B3291)</f>
        <v>526.72</v>
      </c>
      <c r="E3291" s="15">
        <f t="shared" si="1"/>
        <v>2024</v>
      </c>
      <c r="F3291" s="15">
        <f t="shared" si="2"/>
        <v>12</v>
      </c>
      <c r="G3291" s="15">
        <f t="shared" si="3"/>
        <v>22</v>
      </c>
    </row>
    <row r="3292">
      <c r="A3292" s="10" t="s">
        <v>37</v>
      </c>
      <c r="B3292" s="94">
        <f t="shared" si="5"/>
        <v>45648</v>
      </c>
      <c r="C3292" s="77" t="s">
        <v>1571</v>
      </c>
      <c r="D3292" s="13">
        <f>SUMIFS('Lançamentos de despesas'!$I:$I,'Lançamentos de despesas'!$G:$G,A3292,'Lançamentos de despesas'!$E:$E,"PAGO",'Lançamentos de despesas'!$C:$C,B3292)</f>
        <v>0</v>
      </c>
      <c r="E3292" s="15">
        <f t="shared" si="1"/>
        <v>2024</v>
      </c>
      <c r="F3292" s="15">
        <f t="shared" si="2"/>
        <v>12</v>
      </c>
      <c r="G3292" s="15">
        <f t="shared" si="3"/>
        <v>22</v>
      </c>
    </row>
    <row r="3293">
      <c r="A3293" s="10" t="s">
        <v>37</v>
      </c>
      <c r="B3293" s="94">
        <f t="shared" si="5"/>
        <v>45648</v>
      </c>
      <c r="C3293" s="77" t="s">
        <v>1572</v>
      </c>
      <c r="D3293" s="13">
        <f>D3290+D3291-D3292</f>
        <v>19020.83</v>
      </c>
      <c r="E3293" s="15">
        <f t="shared" si="1"/>
        <v>2024</v>
      </c>
      <c r="F3293" s="15">
        <f t="shared" si="2"/>
        <v>12</v>
      </c>
      <c r="G3293" s="15">
        <f t="shared" si="3"/>
        <v>22</v>
      </c>
    </row>
    <row r="3294">
      <c r="A3294" s="10" t="s">
        <v>37</v>
      </c>
      <c r="B3294" s="94">
        <f t="shared" si="5"/>
        <v>45649</v>
      </c>
      <c r="C3294" s="77" t="s">
        <v>1569</v>
      </c>
      <c r="D3294" s="13">
        <f>D3293</f>
        <v>19020.83</v>
      </c>
      <c r="E3294" s="15">
        <f t="shared" si="1"/>
        <v>2024</v>
      </c>
      <c r="F3294" s="15">
        <f t="shared" si="2"/>
        <v>12</v>
      </c>
      <c r="G3294" s="15">
        <f t="shared" si="3"/>
        <v>23</v>
      </c>
    </row>
    <row r="3295">
      <c r="A3295" s="10" t="s">
        <v>37</v>
      </c>
      <c r="B3295" s="94">
        <f t="shared" si="5"/>
        <v>45649</v>
      </c>
      <c r="C3295" s="77" t="s">
        <v>1570</v>
      </c>
      <c r="D3295" s="13">
        <f>SUMIFS('Lançamentos de receitas'!$E:$E,'Lançamentos de receitas'!$F:$F,"PAGO",'Lançamentos de receitas'!$C:$C,A3295,'Lançamentos de receitas'!$A:$A,B3295)</f>
        <v>108.3</v>
      </c>
      <c r="E3295" s="15">
        <f t="shared" si="1"/>
        <v>2024</v>
      </c>
      <c r="F3295" s="15">
        <f t="shared" si="2"/>
        <v>12</v>
      </c>
      <c r="G3295" s="15">
        <f t="shared" si="3"/>
        <v>23</v>
      </c>
    </row>
    <row r="3296">
      <c r="A3296" s="10" t="s">
        <v>37</v>
      </c>
      <c r="B3296" s="94">
        <f t="shared" si="5"/>
        <v>45649</v>
      </c>
      <c r="C3296" s="77" t="s">
        <v>1571</v>
      </c>
      <c r="D3296" s="13">
        <f>SUMIFS('Lançamentos de despesas'!$I:$I,'Lançamentos de despesas'!$G:$G,A3296,'Lançamentos de despesas'!$E:$E,"PAGO",'Lançamentos de despesas'!$C:$C,B3296)</f>
        <v>10269.34</v>
      </c>
      <c r="E3296" s="15">
        <f t="shared" si="1"/>
        <v>2024</v>
      </c>
      <c r="F3296" s="15">
        <f t="shared" si="2"/>
        <v>12</v>
      </c>
      <c r="G3296" s="15">
        <f t="shared" si="3"/>
        <v>23</v>
      </c>
    </row>
    <row r="3297">
      <c r="A3297" s="10" t="s">
        <v>37</v>
      </c>
      <c r="B3297" s="94">
        <f t="shared" si="5"/>
        <v>45649</v>
      </c>
      <c r="C3297" s="77" t="s">
        <v>1572</v>
      </c>
      <c r="D3297" s="13">
        <f>D3294+D3295-D3296</f>
        <v>8859.79</v>
      </c>
      <c r="E3297" s="15">
        <f t="shared" si="1"/>
        <v>2024</v>
      </c>
      <c r="F3297" s="15">
        <f t="shared" si="2"/>
        <v>12</v>
      </c>
      <c r="G3297" s="15">
        <f t="shared" si="3"/>
        <v>23</v>
      </c>
    </row>
    <row r="3298">
      <c r="A3298" s="10" t="s">
        <v>37</v>
      </c>
      <c r="B3298" s="94">
        <f t="shared" si="5"/>
        <v>45650</v>
      </c>
      <c r="C3298" s="77" t="s">
        <v>1569</v>
      </c>
      <c r="D3298" s="13">
        <f>D3297</f>
        <v>8859.79</v>
      </c>
      <c r="E3298" s="15">
        <f t="shared" si="1"/>
        <v>2024</v>
      </c>
      <c r="F3298" s="15">
        <f t="shared" si="2"/>
        <v>12</v>
      </c>
      <c r="G3298" s="15">
        <f t="shared" si="3"/>
        <v>24</v>
      </c>
    </row>
    <row r="3299">
      <c r="A3299" s="10" t="s">
        <v>37</v>
      </c>
      <c r="B3299" s="94">
        <f t="shared" si="5"/>
        <v>45650</v>
      </c>
      <c r="C3299" s="77" t="s">
        <v>1570</v>
      </c>
      <c r="D3299" s="13">
        <f>SUMIFS('Lançamentos de receitas'!$E:$E,'Lançamentos de receitas'!$F:$F,"PAGO",'Lançamentos de receitas'!$C:$C,A3299,'Lançamentos de receitas'!$A:$A,B3299)</f>
        <v>820.84</v>
      </c>
      <c r="E3299" s="15">
        <f t="shared" si="1"/>
        <v>2024</v>
      </c>
      <c r="F3299" s="15">
        <f t="shared" si="2"/>
        <v>12</v>
      </c>
      <c r="G3299" s="15">
        <f t="shared" si="3"/>
        <v>24</v>
      </c>
    </row>
    <row r="3300">
      <c r="A3300" s="10" t="s">
        <v>37</v>
      </c>
      <c r="B3300" s="94">
        <f t="shared" si="5"/>
        <v>45650</v>
      </c>
      <c r="C3300" s="77" t="s">
        <v>1571</v>
      </c>
      <c r="D3300" s="13">
        <f>SUMIFS('Lançamentos de despesas'!$I:$I,'Lançamentos de despesas'!$G:$G,A3300,'Lançamentos de despesas'!$E:$E,"PAGO",'Lançamentos de despesas'!$C:$C,B3300)</f>
        <v>0</v>
      </c>
      <c r="E3300" s="15">
        <f t="shared" si="1"/>
        <v>2024</v>
      </c>
      <c r="F3300" s="15">
        <f t="shared" si="2"/>
        <v>12</v>
      </c>
      <c r="G3300" s="15">
        <f t="shared" si="3"/>
        <v>24</v>
      </c>
    </row>
    <row r="3301">
      <c r="A3301" s="10" t="s">
        <v>37</v>
      </c>
      <c r="B3301" s="94">
        <f t="shared" si="5"/>
        <v>45650</v>
      </c>
      <c r="C3301" s="77" t="s">
        <v>1572</v>
      </c>
      <c r="D3301" s="13">
        <f>D3298+D3299-D3300</f>
        <v>9680.63</v>
      </c>
      <c r="E3301" s="15">
        <f t="shared" si="1"/>
        <v>2024</v>
      </c>
      <c r="F3301" s="15">
        <f t="shared" si="2"/>
        <v>12</v>
      </c>
      <c r="G3301" s="15">
        <f t="shared" si="3"/>
        <v>24</v>
      </c>
    </row>
    <row r="3302">
      <c r="A3302" s="10" t="s">
        <v>37</v>
      </c>
      <c r="B3302" s="94">
        <f t="shared" si="5"/>
        <v>45651</v>
      </c>
      <c r="C3302" s="77" t="s">
        <v>1569</v>
      </c>
      <c r="D3302" s="13">
        <f>D3301</f>
        <v>9680.63</v>
      </c>
      <c r="E3302" s="15">
        <f t="shared" si="1"/>
        <v>2024</v>
      </c>
      <c r="F3302" s="15">
        <f t="shared" si="2"/>
        <v>12</v>
      </c>
      <c r="G3302" s="15">
        <f t="shared" si="3"/>
        <v>25</v>
      </c>
    </row>
    <row r="3303">
      <c r="A3303" s="10" t="s">
        <v>37</v>
      </c>
      <c r="B3303" s="94">
        <f t="shared" si="5"/>
        <v>45651</v>
      </c>
      <c r="C3303" s="77" t="s">
        <v>1570</v>
      </c>
      <c r="D3303" s="13">
        <f>SUMIFS('Lançamentos de receitas'!$E:$E,'Lançamentos de receitas'!$F:$F,"PAGO",'Lançamentos de receitas'!$C:$C,A3303,'Lançamentos de receitas'!$A:$A,B3303)</f>
        <v>726.91</v>
      </c>
      <c r="E3303" s="15">
        <f t="shared" si="1"/>
        <v>2024</v>
      </c>
      <c r="F3303" s="15">
        <f t="shared" si="2"/>
        <v>12</v>
      </c>
      <c r="G3303" s="15">
        <f t="shared" si="3"/>
        <v>25</v>
      </c>
    </row>
    <row r="3304">
      <c r="A3304" s="10" t="s">
        <v>37</v>
      </c>
      <c r="B3304" s="94">
        <f t="shared" si="5"/>
        <v>45651</v>
      </c>
      <c r="C3304" s="77" t="s">
        <v>1571</v>
      </c>
      <c r="D3304" s="13">
        <f>SUMIFS('Lançamentos de despesas'!$I:$I,'Lançamentos de despesas'!$G:$G,A3304,'Lançamentos de despesas'!$E:$E,"PAGO",'Lançamentos de despesas'!$C:$C,B3304)</f>
        <v>0</v>
      </c>
      <c r="E3304" s="15">
        <f t="shared" si="1"/>
        <v>2024</v>
      </c>
      <c r="F3304" s="15">
        <f t="shared" si="2"/>
        <v>12</v>
      </c>
      <c r="G3304" s="15">
        <f t="shared" si="3"/>
        <v>25</v>
      </c>
    </row>
    <row r="3305">
      <c r="A3305" s="10" t="s">
        <v>37</v>
      </c>
      <c r="B3305" s="94">
        <f t="shared" si="5"/>
        <v>45651</v>
      </c>
      <c r="C3305" s="77" t="s">
        <v>1572</v>
      </c>
      <c r="D3305" s="13">
        <f>D3302+D3303-D3304</f>
        <v>10407.54</v>
      </c>
      <c r="E3305" s="15">
        <f t="shared" si="1"/>
        <v>2024</v>
      </c>
      <c r="F3305" s="15">
        <f t="shared" si="2"/>
        <v>12</v>
      </c>
      <c r="G3305" s="15">
        <f t="shared" si="3"/>
        <v>25</v>
      </c>
    </row>
    <row r="3306">
      <c r="A3306" s="10" t="s">
        <v>37</v>
      </c>
      <c r="B3306" s="94">
        <f t="shared" si="5"/>
        <v>45652</v>
      </c>
      <c r="C3306" s="77" t="s">
        <v>1569</v>
      </c>
      <c r="D3306" s="13">
        <f>D3305</f>
        <v>10407.54</v>
      </c>
      <c r="E3306" s="15">
        <f t="shared" si="1"/>
        <v>2024</v>
      </c>
      <c r="F3306" s="15">
        <f t="shared" si="2"/>
        <v>12</v>
      </c>
      <c r="G3306" s="15">
        <f t="shared" si="3"/>
        <v>26</v>
      </c>
    </row>
    <row r="3307">
      <c r="A3307" s="10" t="s">
        <v>37</v>
      </c>
      <c r="B3307" s="94">
        <f t="shared" si="5"/>
        <v>45652</v>
      </c>
      <c r="C3307" s="77" t="s">
        <v>1570</v>
      </c>
      <c r="D3307" s="13">
        <f>SUMIFS('Lançamentos de receitas'!$E:$E,'Lançamentos de receitas'!$F:$F,"PAGO",'Lançamentos de receitas'!$C:$C,A3307,'Lançamentos de receitas'!$A:$A,B3307)</f>
        <v>635.58</v>
      </c>
      <c r="E3307" s="15">
        <f t="shared" si="1"/>
        <v>2024</v>
      </c>
      <c r="F3307" s="15">
        <f t="shared" si="2"/>
        <v>12</v>
      </c>
      <c r="G3307" s="15">
        <f t="shared" si="3"/>
        <v>26</v>
      </c>
    </row>
    <row r="3308">
      <c r="A3308" s="10" t="s">
        <v>37</v>
      </c>
      <c r="B3308" s="94">
        <f t="shared" si="5"/>
        <v>45652</v>
      </c>
      <c r="C3308" s="77" t="s">
        <v>1571</v>
      </c>
      <c r="D3308" s="13">
        <f>SUMIFS('Lançamentos de despesas'!$I:$I,'Lançamentos de despesas'!$G:$G,A3308,'Lançamentos de despesas'!$E:$E,"PAGO",'Lançamentos de despesas'!$C:$C,B3308)</f>
        <v>0</v>
      </c>
      <c r="E3308" s="15">
        <f t="shared" si="1"/>
        <v>2024</v>
      </c>
      <c r="F3308" s="15">
        <f t="shared" si="2"/>
        <v>12</v>
      </c>
      <c r="G3308" s="15">
        <f t="shared" si="3"/>
        <v>26</v>
      </c>
    </row>
    <row r="3309">
      <c r="A3309" s="10" t="s">
        <v>37</v>
      </c>
      <c r="B3309" s="94">
        <f t="shared" si="5"/>
        <v>45652</v>
      </c>
      <c r="C3309" s="77" t="s">
        <v>1572</v>
      </c>
      <c r="D3309" s="13">
        <f>D3306+D3307-D3308</f>
        <v>11043.12</v>
      </c>
      <c r="E3309" s="15">
        <f t="shared" si="1"/>
        <v>2024</v>
      </c>
      <c r="F3309" s="15">
        <f t="shared" si="2"/>
        <v>12</v>
      </c>
      <c r="G3309" s="15">
        <f t="shared" si="3"/>
        <v>26</v>
      </c>
    </row>
    <row r="3310">
      <c r="A3310" s="10" t="s">
        <v>37</v>
      </c>
      <c r="B3310" s="94">
        <f t="shared" si="5"/>
        <v>45653</v>
      </c>
      <c r="C3310" s="77" t="s">
        <v>1569</v>
      </c>
      <c r="D3310" s="13">
        <f>D3309</f>
        <v>11043.12</v>
      </c>
      <c r="E3310" s="15">
        <f t="shared" si="1"/>
        <v>2024</v>
      </c>
      <c r="F3310" s="15">
        <f t="shared" si="2"/>
        <v>12</v>
      </c>
      <c r="G3310" s="15">
        <f t="shared" si="3"/>
        <v>27</v>
      </c>
    </row>
    <row r="3311">
      <c r="A3311" s="10" t="s">
        <v>37</v>
      </c>
      <c r="B3311" s="94">
        <f t="shared" si="5"/>
        <v>45653</v>
      </c>
      <c r="C3311" s="77" t="s">
        <v>1570</v>
      </c>
      <c r="D3311" s="13">
        <f>SUMIFS('Lançamentos de receitas'!$E:$E,'Lançamentos de receitas'!$F:$F,"PAGO",'Lançamentos de receitas'!$C:$C,A3311,'Lançamentos de receitas'!$A:$A,B3311)</f>
        <v>1048.77</v>
      </c>
      <c r="E3311" s="15">
        <f t="shared" si="1"/>
        <v>2024</v>
      </c>
      <c r="F3311" s="15">
        <f t="shared" si="2"/>
        <v>12</v>
      </c>
      <c r="G3311" s="15">
        <f t="shared" si="3"/>
        <v>27</v>
      </c>
    </row>
    <row r="3312">
      <c r="A3312" s="10" t="s">
        <v>37</v>
      </c>
      <c r="B3312" s="94">
        <f t="shared" si="5"/>
        <v>45653</v>
      </c>
      <c r="C3312" s="77" t="s">
        <v>1571</v>
      </c>
      <c r="D3312" s="13">
        <f>SUMIFS('Lançamentos de despesas'!$I:$I,'Lançamentos de despesas'!$G:$G,A3312,'Lançamentos de despesas'!$E:$E,"PAGO",'Lançamentos de despesas'!$C:$C,B3312)</f>
        <v>0</v>
      </c>
      <c r="E3312" s="15">
        <f t="shared" si="1"/>
        <v>2024</v>
      </c>
      <c r="F3312" s="15">
        <f t="shared" si="2"/>
        <v>12</v>
      </c>
      <c r="G3312" s="15">
        <f t="shared" si="3"/>
        <v>27</v>
      </c>
    </row>
    <row r="3313">
      <c r="A3313" s="10" t="s">
        <v>37</v>
      </c>
      <c r="B3313" s="94">
        <f t="shared" si="5"/>
        <v>45653</v>
      </c>
      <c r="C3313" s="77" t="s">
        <v>1572</v>
      </c>
      <c r="D3313" s="13">
        <f>D3310+D3311-D3312</f>
        <v>12091.89</v>
      </c>
      <c r="E3313" s="15">
        <f t="shared" si="1"/>
        <v>2024</v>
      </c>
      <c r="F3313" s="15">
        <f t="shared" si="2"/>
        <v>12</v>
      </c>
      <c r="G3313" s="15">
        <f t="shared" si="3"/>
        <v>27</v>
      </c>
    </row>
    <row r="3314">
      <c r="A3314" s="10" t="s">
        <v>37</v>
      </c>
      <c r="B3314" s="94">
        <f t="shared" si="5"/>
        <v>45654</v>
      </c>
      <c r="C3314" s="77" t="s">
        <v>1569</v>
      </c>
      <c r="D3314" s="13">
        <f>D3313</f>
        <v>12091.89</v>
      </c>
      <c r="E3314" s="15">
        <f t="shared" si="1"/>
        <v>2024</v>
      </c>
      <c r="F3314" s="15">
        <f t="shared" si="2"/>
        <v>12</v>
      </c>
      <c r="G3314" s="15">
        <f t="shared" si="3"/>
        <v>28</v>
      </c>
    </row>
    <row r="3315">
      <c r="A3315" s="10" t="s">
        <v>37</v>
      </c>
      <c r="B3315" s="94">
        <f t="shared" si="5"/>
        <v>45654</v>
      </c>
      <c r="C3315" s="77" t="s">
        <v>1570</v>
      </c>
      <c r="D3315" s="13">
        <f>SUMIFS('Lançamentos de receitas'!$E:$E,'Lançamentos de receitas'!$F:$F,"PAGO",'Lançamentos de receitas'!$C:$C,A3315,'Lançamentos de receitas'!$A:$A,B3315)</f>
        <v>904.56</v>
      </c>
      <c r="E3315" s="15">
        <f t="shared" si="1"/>
        <v>2024</v>
      </c>
      <c r="F3315" s="15">
        <f t="shared" si="2"/>
        <v>12</v>
      </c>
      <c r="G3315" s="15">
        <f t="shared" si="3"/>
        <v>28</v>
      </c>
    </row>
    <row r="3316">
      <c r="A3316" s="10" t="s">
        <v>37</v>
      </c>
      <c r="B3316" s="94">
        <f t="shared" si="5"/>
        <v>45654</v>
      </c>
      <c r="C3316" s="77" t="s">
        <v>1571</v>
      </c>
      <c r="D3316" s="13">
        <f>SUMIFS('Lançamentos de despesas'!$I:$I,'Lançamentos de despesas'!$G:$G,A3316,'Lançamentos de despesas'!$E:$E,"PAGO",'Lançamentos de despesas'!$C:$C,B3316)</f>
        <v>0</v>
      </c>
      <c r="E3316" s="15">
        <f t="shared" si="1"/>
        <v>2024</v>
      </c>
      <c r="F3316" s="15">
        <f t="shared" si="2"/>
        <v>12</v>
      </c>
      <c r="G3316" s="15">
        <f t="shared" si="3"/>
        <v>28</v>
      </c>
    </row>
    <row r="3317">
      <c r="A3317" s="10" t="s">
        <v>37</v>
      </c>
      <c r="B3317" s="94">
        <f t="shared" si="5"/>
        <v>45654</v>
      </c>
      <c r="C3317" s="77" t="s">
        <v>1572</v>
      </c>
      <c r="D3317" s="13">
        <f>D3314+D3315-D3316</f>
        <v>12996.45</v>
      </c>
      <c r="E3317" s="15">
        <f t="shared" si="1"/>
        <v>2024</v>
      </c>
      <c r="F3317" s="15">
        <f t="shared" si="2"/>
        <v>12</v>
      </c>
      <c r="G3317" s="15">
        <f t="shared" si="3"/>
        <v>28</v>
      </c>
    </row>
    <row r="3318">
      <c r="A3318" s="10" t="s">
        <v>37</v>
      </c>
      <c r="B3318" s="94">
        <f t="shared" si="5"/>
        <v>45655</v>
      </c>
      <c r="C3318" s="77" t="s">
        <v>1569</v>
      </c>
      <c r="D3318" s="13">
        <f>D3317</f>
        <v>12996.45</v>
      </c>
      <c r="E3318" s="15">
        <f t="shared" si="1"/>
        <v>2024</v>
      </c>
      <c r="F3318" s="15">
        <f t="shared" si="2"/>
        <v>12</v>
      </c>
      <c r="G3318" s="15">
        <f t="shared" si="3"/>
        <v>29</v>
      </c>
    </row>
    <row r="3319">
      <c r="A3319" s="10" t="s">
        <v>37</v>
      </c>
      <c r="B3319" s="94">
        <f t="shared" si="5"/>
        <v>45655</v>
      </c>
      <c r="C3319" s="77" t="s">
        <v>1570</v>
      </c>
      <c r="D3319" s="13">
        <f>SUMIFS('Lançamentos de receitas'!$E:$E,'Lançamentos de receitas'!$F:$F,"PAGO",'Lançamentos de receitas'!$C:$C,A3319,'Lançamentos de receitas'!$A:$A,B3319)</f>
        <v>1344.31</v>
      </c>
      <c r="E3319" s="15">
        <f t="shared" si="1"/>
        <v>2024</v>
      </c>
      <c r="F3319" s="15">
        <f t="shared" si="2"/>
        <v>12</v>
      </c>
      <c r="G3319" s="15">
        <f t="shared" si="3"/>
        <v>29</v>
      </c>
    </row>
    <row r="3320">
      <c r="A3320" s="10" t="s">
        <v>37</v>
      </c>
      <c r="B3320" s="94">
        <f t="shared" si="5"/>
        <v>45655</v>
      </c>
      <c r="C3320" s="77" t="s">
        <v>1571</v>
      </c>
      <c r="D3320" s="13">
        <f>SUMIFS('Lançamentos de despesas'!$I:$I,'Lançamentos de despesas'!$G:$G,A3320,'Lançamentos de despesas'!$E:$E,"PAGO",'Lançamentos de despesas'!$C:$C,B3320)</f>
        <v>0</v>
      </c>
      <c r="E3320" s="15">
        <f t="shared" si="1"/>
        <v>2024</v>
      </c>
      <c r="F3320" s="15">
        <f t="shared" si="2"/>
        <v>12</v>
      </c>
      <c r="G3320" s="15">
        <f t="shared" si="3"/>
        <v>29</v>
      </c>
    </row>
    <row r="3321">
      <c r="A3321" s="10" t="s">
        <v>37</v>
      </c>
      <c r="B3321" s="94">
        <f t="shared" si="5"/>
        <v>45655</v>
      </c>
      <c r="C3321" s="77" t="s">
        <v>1572</v>
      </c>
      <c r="D3321" s="13">
        <f>D3318+D3319-D3320</f>
        <v>14340.76</v>
      </c>
      <c r="E3321" s="15">
        <f t="shared" si="1"/>
        <v>2024</v>
      </c>
      <c r="F3321" s="15">
        <f t="shared" si="2"/>
        <v>12</v>
      </c>
      <c r="G3321" s="15">
        <f t="shared" si="3"/>
        <v>29</v>
      </c>
    </row>
    <row r="3322">
      <c r="A3322" s="10" t="s">
        <v>37</v>
      </c>
      <c r="B3322" s="94">
        <f t="shared" si="5"/>
        <v>45656</v>
      </c>
      <c r="C3322" s="77" t="s">
        <v>1569</v>
      </c>
      <c r="D3322" s="13">
        <f>D3321</f>
        <v>14340.76</v>
      </c>
      <c r="E3322" s="15">
        <f t="shared" si="1"/>
        <v>2024</v>
      </c>
      <c r="F3322" s="15">
        <f t="shared" si="2"/>
        <v>12</v>
      </c>
      <c r="G3322" s="15">
        <f t="shared" si="3"/>
        <v>30</v>
      </c>
    </row>
    <row r="3323">
      <c r="A3323" s="10" t="s">
        <v>37</v>
      </c>
      <c r="B3323" s="94">
        <f t="shared" si="5"/>
        <v>45656</v>
      </c>
      <c r="C3323" s="77" t="s">
        <v>1570</v>
      </c>
      <c r="D3323" s="13">
        <f>SUMIFS('Lançamentos de receitas'!$E:$E,'Lançamentos de receitas'!$F:$F,"PAGO",'Lançamentos de receitas'!$C:$C,A3323,'Lançamentos de receitas'!$A:$A,B3323)</f>
        <v>277.28</v>
      </c>
      <c r="E3323" s="15">
        <f t="shared" si="1"/>
        <v>2024</v>
      </c>
      <c r="F3323" s="15">
        <f t="shared" si="2"/>
        <v>12</v>
      </c>
      <c r="G3323" s="15">
        <f t="shared" si="3"/>
        <v>30</v>
      </c>
    </row>
    <row r="3324">
      <c r="A3324" s="10" t="s">
        <v>37</v>
      </c>
      <c r="B3324" s="94">
        <f t="shared" si="5"/>
        <v>45656</v>
      </c>
      <c r="C3324" s="77" t="s">
        <v>1571</v>
      </c>
      <c r="D3324" s="13">
        <f>SUMIFS('Lançamentos de despesas'!$I:$I,'Lançamentos de despesas'!$G:$G,A3324,'Lançamentos de despesas'!$E:$E,"PAGO",'Lançamentos de despesas'!$C:$C,B3324)</f>
        <v>0</v>
      </c>
      <c r="E3324" s="15">
        <f t="shared" si="1"/>
        <v>2024</v>
      </c>
      <c r="F3324" s="15">
        <f t="shared" si="2"/>
        <v>12</v>
      </c>
      <c r="G3324" s="15">
        <f t="shared" si="3"/>
        <v>30</v>
      </c>
    </row>
    <row r="3325">
      <c r="A3325" s="10" t="s">
        <v>37</v>
      </c>
      <c r="B3325" s="94">
        <f t="shared" si="5"/>
        <v>45656</v>
      </c>
      <c r="C3325" s="77" t="s">
        <v>1572</v>
      </c>
      <c r="D3325" s="13">
        <f>D3322+D3323-D3324</f>
        <v>14618.04</v>
      </c>
      <c r="E3325" s="15">
        <f t="shared" si="1"/>
        <v>2024</v>
      </c>
      <c r="F3325" s="15">
        <f t="shared" si="2"/>
        <v>12</v>
      </c>
      <c r="G3325" s="15">
        <f t="shared" si="3"/>
        <v>30</v>
      </c>
    </row>
    <row r="3326">
      <c r="A3326" s="10" t="s">
        <v>37</v>
      </c>
      <c r="B3326" s="94">
        <f t="shared" si="5"/>
        <v>45657</v>
      </c>
      <c r="C3326" s="77" t="s">
        <v>1569</v>
      </c>
      <c r="D3326" s="13">
        <f>D3325</f>
        <v>14618.04</v>
      </c>
      <c r="E3326" s="15">
        <f t="shared" si="1"/>
        <v>2024</v>
      </c>
      <c r="F3326" s="15">
        <f t="shared" si="2"/>
        <v>12</v>
      </c>
      <c r="G3326" s="15">
        <f t="shared" si="3"/>
        <v>31</v>
      </c>
    </row>
    <row r="3327">
      <c r="A3327" s="10" t="s">
        <v>37</v>
      </c>
      <c r="B3327" s="94">
        <f t="shared" si="5"/>
        <v>45657</v>
      </c>
      <c r="C3327" s="77" t="s">
        <v>1570</v>
      </c>
      <c r="D3327" s="13">
        <f>SUMIFS('Lançamentos de receitas'!$E:$E,'Lançamentos de receitas'!$F:$F,"PAGO",'Lançamentos de receitas'!$C:$C,A3327,'Lançamentos de receitas'!$A:$A,B3327)</f>
        <v>894.21</v>
      </c>
      <c r="E3327" s="15">
        <f t="shared" si="1"/>
        <v>2024</v>
      </c>
      <c r="F3327" s="15">
        <f t="shared" si="2"/>
        <v>12</v>
      </c>
      <c r="G3327" s="15">
        <f t="shared" si="3"/>
        <v>31</v>
      </c>
    </row>
    <row r="3328">
      <c r="A3328" s="10" t="s">
        <v>37</v>
      </c>
      <c r="B3328" s="94">
        <f t="shared" si="5"/>
        <v>45657</v>
      </c>
      <c r="C3328" s="77" t="s">
        <v>1571</v>
      </c>
      <c r="D3328" s="13">
        <f>SUMIFS('Lançamentos de despesas'!$I:$I,'Lançamentos de despesas'!$G:$G,A3328,'Lançamentos de despesas'!$E:$E,"PAGO",'Lançamentos de despesas'!$C:$C,B3328)</f>
        <v>0</v>
      </c>
      <c r="E3328" s="15">
        <f t="shared" si="1"/>
        <v>2024</v>
      </c>
      <c r="F3328" s="15">
        <f t="shared" si="2"/>
        <v>12</v>
      </c>
      <c r="G3328" s="15">
        <f t="shared" si="3"/>
        <v>31</v>
      </c>
    </row>
    <row r="3329">
      <c r="A3329" s="10" t="s">
        <v>37</v>
      </c>
      <c r="B3329" s="94">
        <f t="shared" si="5"/>
        <v>45657</v>
      </c>
      <c r="C3329" s="77" t="s">
        <v>1572</v>
      </c>
      <c r="D3329" s="13">
        <f>D3326+D3327-D3328</f>
        <v>15512.25</v>
      </c>
      <c r="E3329" s="15">
        <f t="shared" si="1"/>
        <v>2024</v>
      </c>
      <c r="F3329" s="15">
        <f t="shared" si="2"/>
        <v>12</v>
      </c>
      <c r="G3329" s="15">
        <f t="shared" si="3"/>
        <v>31</v>
      </c>
    </row>
    <row r="3330">
      <c r="A3330" s="10" t="s">
        <v>37</v>
      </c>
      <c r="B3330" s="94">
        <f t="shared" si="5"/>
        <v>45658</v>
      </c>
      <c r="C3330" s="77" t="s">
        <v>1569</v>
      </c>
      <c r="D3330" s="13">
        <f>D3329</f>
        <v>15512.25</v>
      </c>
      <c r="E3330" s="15">
        <f t="shared" si="1"/>
        <v>2025</v>
      </c>
      <c r="F3330" s="15">
        <f t="shared" si="2"/>
        <v>1</v>
      </c>
      <c r="G3330" s="15">
        <f t="shared" si="3"/>
        <v>1</v>
      </c>
    </row>
    <row r="3331">
      <c r="A3331" s="10" t="s">
        <v>37</v>
      </c>
      <c r="B3331" s="94">
        <f t="shared" si="5"/>
        <v>45658</v>
      </c>
      <c r="C3331" s="77" t="s">
        <v>1570</v>
      </c>
      <c r="D3331" s="13">
        <f>SUMIFS('Lançamentos de receitas'!$E:$E,'Lançamentos de receitas'!$F:$F,"PAGO",'Lançamentos de receitas'!$C:$C,A3331,'Lançamentos de receitas'!$A:$A,B3331)</f>
        <v>537.99</v>
      </c>
      <c r="E3331" s="15">
        <f t="shared" si="1"/>
        <v>2025</v>
      </c>
      <c r="F3331" s="15">
        <f t="shared" si="2"/>
        <v>1</v>
      </c>
      <c r="G3331" s="15">
        <f t="shared" si="3"/>
        <v>1</v>
      </c>
    </row>
    <row r="3332">
      <c r="A3332" s="10" t="s">
        <v>37</v>
      </c>
      <c r="B3332" s="94">
        <f t="shared" si="5"/>
        <v>45658</v>
      </c>
      <c r="C3332" s="77" t="s">
        <v>1571</v>
      </c>
      <c r="D3332" s="13">
        <f>SUMIFS('Lançamentos de despesas'!$I:$I,'Lançamentos de despesas'!$G:$G,A3332,'Lançamentos de despesas'!$E:$E,"PAGO",'Lançamentos de despesas'!$C:$C,B3332)</f>
        <v>0</v>
      </c>
      <c r="E3332" s="15">
        <f t="shared" si="1"/>
        <v>2025</v>
      </c>
      <c r="F3332" s="15">
        <f t="shared" si="2"/>
        <v>1</v>
      </c>
      <c r="G3332" s="15">
        <f t="shared" si="3"/>
        <v>1</v>
      </c>
    </row>
    <row r="3333">
      <c r="A3333" s="10" t="s">
        <v>37</v>
      </c>
      <c r="B3333" s="94">
        <f t="shared" si="5"/>
        <v>45658</v>
      </c>
      <c r="C3333" s="77" t="s">
        <v>1572</v>
      </c>
      <c r="D3333" s="13">
        <f>D3330+D3331-D3332</f>
        <v>16050.24</v>
      </c>
      <c r="E3333" s="15">
        <f t="shared" si="1"/>
        <v>2025</v>
      </c>
      <c r="F3333" s="15">
        <f t="shared" si="2"/>
        <v>1</v>
      </c>
      <c r="G3333" s="15">
        <f t="shared" si="3"/>
        <v>1</v>
      </c>
    </row>
    <row r="3334">
      <c r="A3334" s="10" t="s">
        <v>37</v>
      </c>
      <c r="B3334" s="94">
        <f t="shared" si="5"/>
        <v>45659</v>
      </c>
      <c r="C3334" s="77" t="s">
        <v>1569</v>
      </c>
      <c r="D3334" s="13">
        <f>D3333</f>
        <v>16050.24</v>
      </c>
      <c r="E3334" s="15">
        <f t="shared" si="1"/>
        <v>2025</v>
      </c>
      <c r="F3334" s="15">
        <f t="shared" si="2"/>
        <v>1</v>
      </c>
      <c r="G3334" s="15">
        <f t="shared" si="3"/>
        <v>2</v>
      </c>
    </row>
    <row r="3335">
      <c r="A3335" s="10" t="s">
        <v>37</v>
      </c>
      <c r="B3335" s="94">
        <f t="shared" si="5"/>
        <v>45659</v>
      </c>
      <c r="C3335" s="77" t="s">
        <v>1570</v>
      </c>
      <c r="D3335" s="13">
        <f>SUMIFS('Lançamentos de receitas'!$E:$E,'Lançamentos de receitas'!$F:$F,"PAGO",'Lançamentos de receitas'!$C:$C,A3335,'Lançamentos de receitas'!$A:$A,B3335)</f>
        <v>0</v>
      </c>
      <c r="E3335" s="15">
        <f t="shared" si="1"/>
        <v>2025</v>
      </c>
      <c r="F3335" s="15">
        <f t="shared" si="2"/>
        <v>1</v>
      </c>
      <c r="G3335" s="15">
        <f t="shared" si="3"/>
        <v>2</v>
      </c>
    </row>
    <row r="3336">
      <c r="A3336" s="10" t="s">
        <v>37</v>
      </c>
      <c r="B3336" s="94">
        <f t="shared" si="5"/>
        <v>45659</v>
      </c>
      <c r="C3336" s="77" t="s">
        <v>1571</v>
      </c>
      <c r="D3336" s="13">
        <f>SUMIFS('Lançamentos de despesas'!$I:$I,'Lançamentos de despesas'!$G:$G,A3336,'Lançamentos de despesas'!$E:$E,"PAGO",'Lançamentos de despesas'!$C:$C,B3336)</f>
        <v>392.84</v>
      </c>
      <c r="E3336" s="15">
        <f t="shared" si="1"/>
        <v>2025</v>
      </c>
      <c r="F3336" s="15">
        <f t="shared" si="2"/>
        <v>1</v>
      </c>
      <c r="G3336" s="15">
        <f t="shared" si="3"/>
        <v>2</v>
      </c>
    </row>
    <row r="3337">
      <c r="A3337" s="10" t="s">
        <v>37</v>
      </c>
      <c r="B3337" s="94">
        <f t="shared" si="5"/>
        <v>45659</v>
      </c>
      <c r="C3337" s="77" t="s">
        <v>1572</v>
      </c>
      <c r="D3337" s="13">
        <f>D3334+D3335-D3336</f>
        <v>15657.4</v>
      </c>
      <c r="E3337" s="15">
        <f t="shared" si="1"/>
        <v>2025</v>
      </c>
      <c r="F3337" s="15">
        <f t="shared" si="2"/>
        <v>1</v>
      </c>
      <c r="G3337" s="15">
        <f t="shared" si="3"/>
        <v>2</v>
      </c>
    </row>
    <row r="3338">
      <c r="A3338" s="10" t="s">
        <v>37</v>
      </c>
      <c r="B3338" s="94">
        <f t="shared" si="5"/>
        <v>45660</v>
      </c>
      <c r="C3338" s="77" t="s">
        <v>1569</v>
      </c>
      <c r="D3338" s="13">
        <f>D3337</f>
        <v>15657.4</v>
      </c>
      <c r="E3338" s="15">
        <f t="shared" si="1"/>
        <v>2025</v>
      </c>
      <c r="F3338" s="15">
        <f t="shared" si="2"/>
        <v>1</v>
      </c>
      <c r="G3338" s="15">
        <f t="shared" si="3"/>
        <v>3</v>
      </c>
    </row>
    <row r="3339">
      <c r="A3339" s="10" t="s">
        <v>37</v>
      </c>
      <c r="B3339" s="94">
        <f t="shared" si="5"/>
        <v>45660</v>
      </c>
      <c r="C3339" s="77" t="s">
        <v>1570</v>
      </c>
      <c r="D3339" s="13">
        <f>SUMIFS('Lançamentos de receitas'!$E:$E,'Lançamentos de receitas'!$F:$F,"PAGO",'Lançamentos de receitas'!$C:$C,A3339,'Lançamentos de receitas'!$A:$A,B3339)</f>
        <v>494.48</v>
      </c>
      <c r="E3339" s="15">
        <f t="shared" si="1"/>
        <v>2025</v>
      </c>
      <c r="F3339" s="15">
        <f t="shared" si="2"/>
        <v>1</v>
      </c>
      <c r="G3339" s="15">
        <f t="shared" si="3"/>
        <v>3</v>
      </c>
    </row>
    <row r="3340">
      <c r="A3340" s="10" t="s">
        <v>37</v>
      </c>
      <c r="B3340" s="94">
        <f t="shared" si="5"/>
        <v>45660</v>
      </c>
      <c r="C3340" s="77" t="s">
        <v>1571</v>
      </c>
      <c r="D3340" s="13">
        <f>SUMIFS('Lançamentos de despesas'!$I:$I,'Lançamentos de despesas'!$G:$G,A3340,'Lançamentos de despesas'!$E:$E,"PAGO",'Lançamentos de despesas'!$C:$C,B3340)</f>
        <v>0</v>
      </c>
      <c r="E3340" s="15">
        <f t="shared" si="1"/>
        <v>2025</v>
      </c>
      <c r="F3340" s="15">
        <f t="shared" si="2"/>
        <v>1</v>
      </c>
      <c r="G3340" s="15">
        <f t="shared" si="3"/>
        <v>3</v>
      </c>
    </row>
    <row r="3341">
      <c r="A3341" s="10" t="s">
        <v>37</v>
      </c>
      <c r="B3341" s="94">
        <f t="shared" si="5"/>
        <v>45660</v>
      </c>
      <c r="C3341" s="77" t="s">
        <v>1572</v>
      </c>
      <c r="D3341" s="13">
        <f>D3338+D3339-D3340</f>
        <v>16151.88</v>
      </c>
      <c r="E3341" s="15">
        <f t="shared" si="1"/>
        <v>2025</v>
      </c>
      <c r="F3341" s="15">
        <f t="shared" si="2"/>
        <v>1</v>
      </c>
      <c r="G3341" s="15">
        <f t="shared" si="3"/>
        <v>3</v>
      </c>
    </row>
    <row r="3342">
      <c r="A3342" s="10" t="s">
        <v>37</v>
      </c>
      <c r="B3342" s="94">
        <f t="shared" si="5"/>
        <v>45661</v>
      </c>
      <c r="C3342" s="77" t="s">
        <v>1569</v>
      </c>
      <c r="D3342" s="13">
        <f>D3341</f>
        <v>16151.88</v>
      </c>
      <c r="E3342" s="15">
        <f t="shared" si="1"/>
        <v>2025</v>
      </c>
      <c r="F3342" s="15">
        <f t="shared" si="2"/>
        <v>1</v>
      </c>
      <c r="G3342" s="15">
        <f t="shared" si="3"/>
        <v>4</v>
      </c>
    </row>
    <row r="3343">
      <c r="A3343" s="10" t="s">
        <v>37</v>
      </c>
      <c r="B3343" s="94">
        <f t="shared" si="5"/>
        <v>45661</v>
      </c>
      <c r="C3343" s="77" t="s">
        <v>1570</v>
      </c>
      <c r="D3343" s="13">
        <f>SUMIFS('Lançamentos de receitas'!$E:$E,'Lançamentos de receitas'!$F:$F,"PAGO",'Lançamentos de receitas'!$C:$C,A3343,'Lançamentos de receitas'!$A:$A,B3343)</f>
        <v>1596.28</v>
      </c>
      <c r="E3343" s="15">
        <f t="shared" si="1"/>
        <v>2025</v>
      </c>
      <c r="F3343" s="15">
        <f t="shared" si="2"/>
        <v>1</v>
      </c>
      <c r="G3343" s="15">
        <f t="shared" si="3"/>
        <v>4</v>
      </c>
    </row>
    <row r="3344">
      <c r="A3344" s="10" t="s">
        <v>37</v>
      </c>
      <c r="B3344" s="94">
        <f t="shared" si="5"/>
        <v>45661</v>
      </c>
      <c r="C3344" s="77" t="s">
        <v>1571</v>
      </c>
      <c r="D3344" s="13">
        <f>SUMIFS('Lançamentos de despesas'!$I:$I,'Lançamentos de despesas'!$G:$G,A3344,'Lançamentos de despesas'!$E:$E,"PAGO",'Lançamentos de despesas'!$C:$C,B3344)</f>
        <v>0</v>
      </c>
      <c r="E3344" s="15">
        <f t="shared" si="1"/>
        <v>2025</v>
      </c>
      <c r="F3344" s="15">
        <f t="shared" si="2"/>
        <v>1</v>
      </c>
      <c r="G3344" s="15">
        <f t="shared" si="3"/>
        <v>4</v>
      </c>
    </row>
    <row r="3345">
      <c r="A3345" s="10" t="s">
        <v>37</v>
      </c>
      <c r="B3345" s="94">
        <f t="shared" si="5"/>
        <v>45661</v>
      </c>
      <c r="C3345" s="77" t="s">
        <v>1572</v>
      </c>
      <c r="D3345" s="13">
        <f>D3342+D3343-D3344</f>
        <v>17748.16</v>
      </c>
      <c r="E3345" s="15">
        <f t="shared" si="1"/>
        <v>2025</v>
      </c>
      <c r="F3345" s="15">
        <f t="shared" si="2"/>
        <v>1</v>
      </c>
      <c r="G3345" s="15">
        <f t="shared" si="3"/>
        <v>4</v>
      </c>
    </row>
    <row r="3346">
      <c r="A3346" s="10" t="s">
        <v>37</v>
      </c>
      <c r="B3346" s="94">
        <f t="shared" si="5"/>
        <v>45662</v>
      </c>
      <c r="C3346" s="77" t="s">
        <v>1569</v>
      </c>
      <c r="D3346" s="13">
        <f>D3345</f>
        <v>17748.16</v>
      </c>
      <c r="E3346" s="15">
        <f t="shared" si="1"/>
        <v>2025</v>
      </c>
      <c r="F3346" s="15">
        <f t="shared" si="2"/>
        <v>1</v>
      </c>
      <c r="G3346" s="15">
        <f t="shared" si="3"/>
        <v>5</v>
      </c>
    </row>
    <row r="3347">
      <c r="A3347" s="10" t="s">
        <v>37</v>
      </c>
      <c r="B3347" s="94">
        <f t="shared" si="5"/>
        <v>45662</v>
      </c>
      <c r="C3347" s="77" t="s">
        <v>1570</v>
      </c>
      <c r="D3347" s="13">
        <f>SUMIFS('Lançamentos de receitas'!$E:$E,'Lançamentos de receitas'!$F:$F,"PAGO",'Lançamentos de receitas'!$C:$C,A3347,'Lançamentos de receitas'!$A:$A,B3347)</f>
        <v>678.16</v>
      </c>
      <c r="E3347" s="15">
        <f t="shared" si="1"/>
        <v>2025</v>
      </c>
      <c r="F3347" s="15">
        <f t="shared" si="2"/>
        <v>1</v>
      </c>
      <c r="G3347" s="15">
        <f t="shared" si="3"/>
        <v>5</v>
      </c>
    </row>
    <row r="3348">
      <c r="A3348" s="10" t="s">
        <v>37</v>
      </c>
      <c r="B3348" s="94">
        <f t="shared" si="5"/>
        <v>45662</v>
      </c>
      <c r="C3348" s="77" t="s">
        <v>1571</v>
      </c>
      <c r="D3348" s="13">
        <f>SUMIFS('Lançamentos de despesas'!$I:$I,'Lançamentos de despesas'!$G:$G,A3348,'Lançamentos de despesas'!$E:$E,"PAGO",'Lançamentos de despesas'!$C:$C,B3348)</f>
        <v>0</v>
      </c>
      <c r="E3348" s="15">
        <f t="shared" si="1"/>
        <v>2025</v>
      </c>
      <c r="F3348" s="15">
        <f t="shared" si="2"/>
        <v>1</v>
      </c>
      <c r="G3348" s="15">
        <f t="shared" si="3"/>
        <v>5</v>
      </c>
    </row>
    <row r="3349">
      <c r="A3349" s="10" t="s">
        <v>37</v>
      </c>
      <c r="B3349" s="94">
        <f t="shared" si="5"/>
        <v>45662</v>
      </c>
      <c r="C3349" s="77" t="s">
        <v>1572</v>
      </c>
      <c r="D3349" s="13">
        <f>D3346+D3347-D3348</f>
        <v>18426.32</v>
      </c>
      <c r="E3349" s="15">
        <f t="shared" si="1"/>
        <v>2025</v>
      </c>
      <c r="F3349" s="15">
        <f t="shared" si="2"/>
        <v>1</v>
      </c>
      <c r="G3349" s="15">
        <f t="shared" si="3"/>
        <v>5</v>
      </c>
    </row>
    <row r="3350">
      <c r="A3350" s="10" t="s">
        <v>37</v>
      </c>
      <c r="B3350" s="94">
        <f t="shared" si="5"/>
        <v>45663</v>
      </c>
      <c r="C3350" s="77" t="s">
        <v>1569</v>
      </c>
      <c r="D3350" s="13">
        <f>D3349</f>
        <v>18426.32</v>
      </c>
      <c r="E3350" s="15">
        <f t="shared" si="1"/>
        <v>2025</v>
      </c>
      <c r="F3350" s="15">
        <f t="shared" si="2"/>
        <v>1</v>
      </c>
      <c r="G3350" s="15">
        <f t="shared" si="3"/>
        <v>6</v>
      </c>
    </row>
    <row r="3351">
      <c r="A3351" s="10" t="s">
        <v>37</v>
      </c>
      <c r="B3351" s="94">
        <f t="shared" si="5"/>
        <v>45663</v>
      </c>
      <c r="C3351" s="77" t="s">
        <v>1570</v>
      </c>
      <c r="D3351" s="13">
        <f>SUMIFS('Lançamentos de receitas'!$E:$E,'Lançamentos de receitas'!$F:$F,"PAGO",'Lançamentos de receitas'!$C:$C,A3351,'Lançamentos de receitas'!$A:$A,B3351)</f>
        <v>1009.34</v>
      </c>
      <c r="E3351" s="15">
        <f t="shared" si="1"/>
        <v>2025</v>
      </c>
      <c r="F3351" s="15">
        <f t="shared" si="2"/>
        <v>1</v>
      </c>
      <c r="G3351" s="15">
        <f t="shared" si="3"/>
        <v>6</v>
      </c>
    </row>
    <row r="3352">
      <c r="A3352" s="10" t="s">
        <v>37</v>
      </c>
      <c r="B3352" s="94">
        <f t="shared" si="5"/>
        <v>45663</v>
      </c>
      <c r="C3352" s="77" t="s">
        <v>1571</v>
      </c>
      <c r="D3352" s="13">
        <f>SUMIFS('Lançamentos de despesas'!$I:$I,'Lançamentos de despesas'!$G:$G,A3352,'Lançamentos de despesas'!$E:$E,"PAGO",'Lançamentos de despesas'!$C:$C,B3352)</f>
        <v>0</v>
      </c>
      <c r="E3352" s="15">
        <f t="shared" si="1"/>
        <v>2025</v>
      </c>
      <c r="F3352" s="15">
        <f t="shared" si="2"/>
        <v>1</v>
      </c>
      <c r="G3352" s="15">
        <f t="shared" si="3"/>
        <v>6</v>
      </c>
    </row>
    <row r="3353">
      <c r="A3353" s="10" t="s">
        <v>37</v>
      </c>
      <c r="B3353" s="94">
        <f t="shared" si="5"/>
        <v>45663</v>
      </c>
      <c r="C3353" s="77" t="s">
        <v>1572</v>
      </c>
      <c r="D3353" s="13">
        <f>D3350+D3351-D3352</f>
        <v>19435.66</v>
      </c>
      <c r="E3353" s="15">
        <f t="shared" si="1"/>
        <v>2025</v>
      </c>
      <c r="F3353" s="15">
        <f t="shared" si="2"/>
        <v>1</v>
      </c>
      <c r="G3353" s="15">
        <f t="shared" si="3"/>
        <v>6</v>
      </c>
    </row>
    <row r="3354">
      <c r="A3354" s="10" t="s">
        <v>37</v>
      </c>
      <c r="B3354" s="94">
        <f t="shared" si="5"/>
        <v>45664</v>
      </c>
      <c r="C3354" s="77" t="s">
        <v>1569</v>
      </c>
      <c r="D3354" s="13">
        <f>D3353</f>
        <v>19435.66</v>
      </c>
      <c r="E3354" s="15">
        <f t="shared" si="1"/>
        <v>2025</v>
      </c>
      <c r="F3354" s="15">
        <f t="shared" si="2"/>
        <v>1</v>
      </c>
      <c r="G3354" s="15">
        <f t="shared" si="3"/>
        <v>7</v>
      </c>
    </row>
    <row r="3355">
      <c r="A3355" s="10" t="s">
        <v>37</v>
      </c>
      <c r="B3355" s="94">
        <f t="shared" si="5"/>
        <v>45664</v>
      </c>
      <c r="C3355" s="77" t="s">
        <v>1570</v>
      </c>
      <c r="D3355" s="13">
        <f>SUMIFS('Lançamentos de receitas'!$E:$E,'Lançamentos de receitas'!$F:$F,"PAGO",'Lançamentos de receitas'!$C:$C,A3355,'Lançamentos de receitas'!$A:$A,B3355)</f>
        <v>471.89</v>
      </c>
      <c r="E3355" s="15">
        <f t="shared" si="1"/>
        <v>2025</v>
      </c>
      <c r="F3355" s="15">
        <f t="shared" si="2"/>
        <v>1</v>
      </c>
      <c r="G3355" s="15">
        <f t="shared" si="3"/>
        <v>7</v>
      </c>
    </row>
    <row r="3356">
      <c r="A3356" s="10" t="s">
        <v>37</v>
      </c>
      <c r="B3356" s="94">
        <f t="shared" si="5"/>
        <v>45664</v>
      </c>
      <c r="C3356" s="77" t="s">
        <v>1571</v>
      </c>
      <c r="D3356" s="13">
        <f>SUMIFS('Lançamentos de despesas'!$I:$I,'Lançamentos de despesas'!$G:$G,A3356,'Lançamentos de despesas'!$E:$E,"PAGO",'Lançamentos de despesas'!$C:$C,B3356)</f>
        <v>0</v>
      </c>
      <c r="E3356" s="15">
        <f t="shared" si="1"/>
        <v>2025</v>
      </c>
      <c r="F3356" s="15">
        <f t="shared" si="2"/>
        <v>1</v>
      </c>
      <c r="G3356" s="15">
        <f t="shared" si="3"/>
        <v>7</v>
      </c>
    </row>
    <row r="3357">
      <c r="A3357" s="10" t="s">
        <v>37</v>
      </c>
      <c r="B3357" s="94">
        <f t="shared" si="5"/>
        <v>45664</v>
      </c>
      <c r="C3357" s="77" t="s">
        <v>1572</v>
      </c>
      <c r="D3357" s="13">
        <f>D3354+D3355-D3356</f>
        <v>19907.55</v>
      </c>
      <c r="E3357" s="15">
        <f t="shared" si="1"/>
        <v>2025</v>
      </c>
      <c r="F3357" s="15">
        <f t="shared" si="2"/>
        <v>1</v>
      </c>
      <c r="G3357" s="15">
        <f t="shared" si="3"/>
        <v>7</v>
      </c>
    </row>
    <row r="3358">
      <c r="A3358" s="10" t="s">
        <v>37</v>
      </c>
      <c r="B3358" s="94">
        <f t="shared" si="5"/>
        <v>45665</v>
      </c>
      <c r="C3358" s="77" t="s">
        <v>1569</v>
      </c>
      <c r="D3358" s="13">
        <f>D3357</f>
        <v>19907.55</v>
      </c>
      <c r="E3358" s="15">
        <f t="shared" si="1"/>
        <v>2025</v>
      </c>
      <c r="F3358" s="15">
        <f t="shared" si="2"/>
        <v>1</v>
      </c>
      <c r="G3358" s="15">
        <f t="shared" si="3"/>
        <v>8</v>
      </c>
    </row>
    <row r="3359">
      <c r="A3359" s="10" t="s">
        <v>37</v>
      </c>
      <c r="B3359" s="94">
        <f t="shared" si="5"/>
        <v>45665</v>
      </c>
      <c r="C3359" s="77" t="s">
        <v>1570</v>
      </c>
      <c r="D3359" s="13">
        <f>SUMIFS('Lançamentos de receitas'!$E:$E,'Lançamentos de receitas'!$F:$F,"PAGO",'Lançamentos de receitas'!$C:$C,A3359,'Lançamentos de receitas'!$A:$A,B3359)</f>
        <v>626.45</v>
      </c>
      <c r="E3359" s="15">
        <f t="shared" si="1"/>
        <v>2025</v>
      </c>
      <c r="F3359" s="15">
        <f t="shared" si="2"/>
        <v>1</v>
      </c>
      <c r="G3359" s="15">
        <f t="shared" si="3"/>
        <v>8</v>
      </c>
    </row>
    <row r="3360">
      <c r="A3360" s="10" t="s">
        <v>37</v>
      </c>
      <c r="B3360" s="94">
        <f t="shared" si="5"/>
        <v>45665</v>
      </c>
      <c r="C3360" s="77" t="s">
        <v>1571</v>
      </c>
      <c r="D3360" s="13">
        <f>SUMIFS('Lançamentos de despesas'!$I:$I,'Lançamentos de despesas'!$G:$G,A3360,'Lançamentos de despesas'!$E:$E,"PAGO",'Lançamentos de despesas'!$C:$C,B3360)</f>
        <v>0</v>
      </c>
      <c r="E3360" s="15">
        <f t="shared" si="1"/>
        <v>2025</v>
      </c>
      <c r="F3360" s="15">
        <f t="shared" si="2"/>
        <v>1</v>
      </c>
      <c r="G3360" s="15">
        <f t="shared" si="3"/>
        <v>8</v>
      </c>
    </row>
    <row r="3361">
      <c r="A3361" s="10" t="s">
        <v>37</v>
      </c>
      <c r="B3361" s="94">
        <f t="shared" si="5"/>
        <v>45665</v>
      </c>
      <c r="C3361" s="77" t="s">
        <v>1572</v>
      </c>
      <c r="D3361" s="13">
        <f>D3358+D3359-D3360</f>
        <v>20534</v>
      </c>
      <c r="E3361" s="15">
        <f t="shared" si="1"/>
        <v>2025</v>
      </c>
      <c r="F3361" s="15">
        <f t="shared" si="2"/>
        <v>1</v>
      </c>
      <c r="G3361" s="15">
        <f t="shared" si="3"/>
        <v>8</v>
      </c>
    </row>
    <row r="3362">
      <c r="A3362" s="10" t="s">
        <v>37</v>
      </c>
      <c r="B3362" s="94">
        <f t="shared" si="5"/>
        <v>45666</v>
      </c>
      <c r="C3362" s="77" t="s">
        <v>1569</v>
      </c>
      <c r="D3362" s="13">
        <f>D3361</f>
        <v>20534</v>
      </c>
      <c r="E3362" s="15">
        <f t="shared" si="1"/>
        <v>2025</v>
      </c>
      <c r="F3362" s="15">
        <f t="shared" si="2"/>
        <v>1</v>
      </c>
      <c r="G3362" s="15">
        <f t="shared" si="3"/>
        <v>9</v>
      </c>
    </row>
    <row r="3363">
      <c r="A3363" s="10" t="s">
        <v>37</v>
      </c>
      <c r="B3363" s="94">
        <f t="shared" si="5"/>
        <v>45666</v>
      </c>
      <c r="C3363" s="77" t="s">
        <v>1570</v>
      </c>
      <c r="D3363" s="13">
        <f>SUMIFS('Lançamentos de receitas'!$E:$E,'Lançamentos de receitas'!$F:$F,"PAGO",'Lançamentos de receitas'!$C:$C,A3363,'Lançamentos de receitas'!$A:$A,B3363)</f>
        <v>4.38</v>
      </c>
      <c r="E3363" s="15">
        <f t="shared" si="1"/>
        <v>2025</v>
      </c>
      <c r="F3363" s="15">
        <f t="shared" si="2"/>
        <v>1</v>
      </c>
      <c r="G3363" s="15">
        <f t="shared" si="3"/>
        <v>9</v>
      </c>
    </row>
    <row r="3364">
      <c r="A3364" s="10" t="s">
        <v>37</v>
      </c>
      <c r="B3364" s="94">
        <f t="shared" si="5"/>
        <v>45666</v>
      </c>
      <c r="C3364" s="77" t="s">
        <v>1571</v>
      </c>
      <c r="D3364" s="13">
        <f>SUMIFS('Lançamentos de despesas'!$I:$I,'Lançamentos de despesas'!$G:$G,A3364,'Lançamentos de despesas'!$E:$E,"PAGO",'Lançamentos de despesas'!$C:$C,B3364)</f>
        <v>0</v>
      </c>
      <c r="E3364" s="15">
        <f t="shared" si="1"/>
        <v>2025</v>
      </c>
      <c r="F3364" s="15">
        <f t="shared" si="2"/>
        <v>1</v>
      </c>
      <c r="G3364" s="15">
        <f t="shared" si="3"/>
        <v>9</v>
      </c>
    </row>
    <row r="3365">
      <c r="A3365" s="10" t="s">
        <v>37</v>
      </c>
      <c r="B3365" s="94">
        <f t="shared" si="5"/>
        <v>45666</v>
      </c>
      <c r="C3365" s="77" t="s">
        <v>1572</v>
      </c>
      <c r="D3365" s="13">
        <f>D3362+D3363-D3364</f>
        <v>20538.38</v>
      </c>
      <c r="E3365" s="15">
        <f t="shared" si="1"/>
        <v>2025</v>
      </c>
      <c r="F3365" s="15">
        <f t="shared" si="2"/>
        <v>1</v>
      </c>
      <c r="G3365" s="15">
        <f t="shared" si="3"/>
        <v>9</v>
      </c>
    </row>
    <row r="3366">
      <c r="A3366" s="10" t="s">
        <v>37</v>
      </c>
      <c r="B3366" s="94">
        <f t="shared" si="5"/>
        <v>45667</v>
      </c>
      <c r="C3366" s="77" t="s">
        <v>1569</v>
      </c>
      <c r="D3366" s="13">
        <f>D3365</f>
        <v>20538.38</v>
      </c>
      <c r="E3366" s="15">
        <f t="shared" si="1"/>
        <v>2025</v>
      </c>
      <c r="F3366" s="15">
        <f t="shared" si="2"/>
        <v>1</v>
      </c>
      <c r="G3366" s="15">
        <f t="shared" si="3"/>
        <v>10</v>
      </c>
    </row>
    <row r="3367">
      <c r="A3367" s="10" t="s">
        <v>37</v>
      </c>
      <c r="B3367" s="94">
        <f t="shared" si="5"/>
        <v>45667</v>
      </c>
      <c r="C3367" s="77" t="s">
        <v>1570</v>
      </c>
      <c r="D3367" s="13">
        <f>SUMIFS('Lançamentos de receitas'!$E:$E,'Lançamentos de receitas'!$F:$F,"PAGO",'Lançamentos de receitas'!$C:$C,A3367,'Lançamentos de receitas'!$A:$A,B3367)</f>
        <v>974.54</v>
      </c>
      <c r="E3367" s="15">
        <f t="shared" si="1"/>
        <v>2025</v>
      </c>
      <c r="F3367" s="15">
        <f t="shared" si="2"/>
        <v>1</v>
      </c>
      <c r="G3367" s="15">
        <f t="shared" si="3"/>
        <v>10</v>
      </c>
    </row>
    <row r="3368">
      <c r="A3368" s="10" t="s">
        <v>37</v>
      </c>
      <c r="B3368" s="94">
        <f t="shared" si="5"/>
        <v>45667</v>
      </c>
      <c r="C3368" s="77" t="s">
        <v>1571</v>
      </c>
      <c r="D3368" s="13">
        <f>SUMIFS('Lançamentos de despesas'!$I:$I,'Lançamentos de despesas'!$G:$G,A3368,'Lançamentos de despesas'!$E:$E,"PAGO",'Lançamentos de despesas'!$C:$C,B3368)</f>
        <v>474.5</v>
      </c>
      <c r="E3368" s="15">
        <f t="shared" si="1"/>
        <v>2025</v>
      </c>
      <c r="F3368" s="15">
        <f t="shared" si="2"/>
        <v>1</v>
      </c>
      <c r="G3368" s="15">
        <f t="shared" si="3"/>
        <v>10</v>
      </c>
    </row>
    <row r="3369">
      <c r="A3369" s="10" t="s">
        <v>37</v>
      </c>
      <c r="B3369" s="94">
        <f t="shared" si="5"/>
        <v>45667</v>
      </c>
      <c r="C3369" s="77" t="s">
        <v>1572</v>
      </c>
      <c r="D3369" s="13">
        <f>D3366+D3367-D3368</f>
        <v>21038.42</v>
      </c>
      <c r="E3369" s="15">
        <f t="shared" si="1"/>
        <v>2025</v>
      </c>
      <c r="F3369" s="15">
        <f t="shared" si="2"/>
        <v>1</v>
      </c>
      <c r="G3369" s="15">
        <f t="shared" si="3"/>
        <v>10</v>
      </c>
    </row>
    <row r="3370">
      <c r="A3370" s="10" t="s">
        <v>37</v>
      </c>
      <c r="B3370" s="94">
        <f t="shared" si="5"/>
        <v>45668</v>
      </c>
      <c r="C3370" s="77" t="s">
        <v>1569</v>
      </c>
      <c r="D3370" s="13">
        <f>D3369</f>
        <v>21038.42</v>
      </c>
      <c r="E3370" s="15">
        <f t="shared" si="1"/>
        <v>2025</v>
      </c>
      <c r="F3370" s="15">
        <f t="shared" si="2"/>
        <v>1</v>
      </c>
      <c r="G3370" s="15">
        <f t="shared" si="3"/>
        <v>11</v>
      </c>
    </row>
    <row r="3371">
      <c r="A3371" s="10" t="s">
        <v>37</v>
      </c>
      <c r="B3371" s="94">
        <f t="shared" si="5"/>
        <v>45668</v>
      </c>
      <c r="C3371" s="77" t="s">
        <v>1570</v>
      </c>
      <c r="D3371" s="13">
        <f>SUMIFS('Lançamentos de receitas'!$E:$E,'Lançamentos de receitas'!$F:$F,"PAGO",'Lançamentos de receitas'!$C:$C,A3371,'Lançamentos de receitas'!$A:$A,B3371)</f>
        <v>1326.77</v>
      </c>
      <c r="E3371" s="15">
        <f t="shared" si="1"/>
        <v>2025</v>
      </c>
      <c r="F3371" s="15">
        <f t="shared" si="2"/>
        <v>1</v>
      </c>
      <c r="G3371" s="15">
        <f t="shared" si="3"/>
        <v>11</v>
      </c>
    </row>
    <row r="3372">
      <c r="A3372" s="10" t="s">
        <v>37</v>
      </c>
      <c r="B3372" s="94">
        <f t="shared" si="5"/>
        <v>45668</v>
      </c>
      <c r="C3372" s="77" t="s">
        <v>1571</v>
      </c>
      <c r="D3372" s="13">
        <f>SUMIFS('Lançamentos de despesas'!$I:$I,'Lançamentos de despesas'!$G:$G,A3372,'Lançamentos de despesas'!$E:$E,"PAGO",'Lançamentos de despesas'!$C:$C,B3372)</f>
        <v>0</v>
      </c>
      <c r="E3372" s="15">
        <f t="shared" si="1"/>
        <v>2025</v>
      </c>
      <c r="F3372" s="15">
        <f t="shared" si="2"/>
        <v>1</v>
      </c>
      <c r="G3372" s="15">
        <f t="shared" si="3"/>
        <v>11</v>
      </c>
    </row>
    <row r="3373">
      <c r="A3373" s="10" t="s">
        <v>37</v>
      </c>
      <c r="B3373" s="94">
        <f t="shared" si="5"/>
        <v>45668</v>
      </c>
      <c r="C3373" s="77" t="s">
        <v>1572</v>
      </c>
      <c r="D3373" s="13">
        <f>D3370+D3371-D3372</f>
        <v>22365.19</v>
      </c>
      <c r="E3373" s="15">
        <f t="shared" si="1"/>
        <v>2025</v>
      </c>
      <c r="F3373" s="15">
        <f t="shared" si="2"/>
        <v>1</v>
      </c>
      <c r="G3373" s="15">
        <f t="shared" si="3"/>
        <v>11</v>
      </c>
    </row>
    <row r="3374">
      <c r="A3374" s="10" t="s">
        <v>37</v>
      </c>
      <c r="B3374" s="94">
        <f t="shared" si="5"/>
        <v>45669</v>
      </c>
      <c r="C3374" s="77" t="s">
        <v>1569</v>
      </c>
      <c r="D3374" s="13">
        <f>D3373</f>
        <v>22365.19</v>
      </c>
      <c r="E3374" s="15">
        <f t="shared" si="1"/>
        <v>2025</v>
      </c>
      <c r="F3374" s="15">
        <f t="shared" si="2"/>
        <v>1</v>
      </c>
      <c r="G3374" s="15">
        <f t="shared" si="3"/>
        <v>12</v>
      </c>
    </row>
    <row r="3375">
      <c r="A3375" s="10" t="s">
        <v>37</v>
      </c>
      <c r="B3375" s="94">
        <f t="shared" si="5"/>
        <v>45669</v>
      </c>
      <c r="C3375" s="77" t="s">
        <v>1570</v>
      </c>
      <c r="D3375" s="13">
        <f>SUMIFS('Lançamentos de receitas'!$E:$E,'Lançamentos de receitas'!$F:$F,"PAGO",'Lançamentos de receitas'!$C:$C,A3375,'Lançamentos de receitas'!$A:$A,B3375)</f>
        <v>662.06</v>
      </c>
      <c r="E3375" s="15">
        <f t="shared" si="1"/>
        <v>2025</v>
      </c>
      <c r="F3375" s="15">
        <f t="shared" si="2"/>
        <v>1</v>
      </c>
      <c r="G3375" s="15">
        <f t="shared" si="3"/>
        <v>12</v>
      </c>
    </row>
    <row r="3376">
      <c r="A3376" s="10" t="s">
        <v>37</v>
      </c>
      <c r="B3376" s="94">
        <f t="shared" si="5"/>
        <v>45669</v>
      </c>
      <c r="C3376" s="77" t="s">
        <v>1571</v>
      </c>
      <c r="D3376" s="13">
        <f>SUMIFS('Lançamentos de despesas'!$I:$I,'Lançamentos de despesas'!$G:$G,A3376,'Lançamentos de despesas'!$E:$E,"PAGO",'Lançamentos de despesas'!$C:$C,B3376)</f>
        <v>0</v>
      </c>
      <c r="E3376" s="15">
        <f t="shared" si="1"/>
        <v>2025</v>
      </c>
      <c r="F3376" s="15">
        <f t="shared" si="2"/>
        <v>1</v>
      </c>
      <c r="G3376" s="15">
        <f t="shared" si="3"/>
        <v>12</v>
      </c>
    </row>
    <row r="3377">
      <c r="A3377" s="10" t="s">
        <v>37</v>
      </c>
      <c r="B3377" s="94">
        <f t="shared" si="5"/>
        <v>45669</v>
      </c>
      <c r="C3377" s="77" t="s">
        <v>1572</v>
      </c>
      <c r="D3377" s="13">
        <f>D3374+D3375-D3376</f>
        <v>23027.25</v>
      </c>
      <c r="E3377" s="15">
        <f t="shared" si="1"/>
        <v>2025</v>
      </c>
      <c r="F3377" s="15">
        <f t="shared" si="2"/>
        <v>1</v>
      </c>
      <c r="G3377" s="15">
        <f t="shared" si="3"/>
        <v>12</v>
      </c>
    </row>
    <row r="3378">
      <c r="A3378" s="10" t="s">
        <v>37</v>
      </c>
      <c r="B3378" s="94">
        <f t="shared" si="5"/>
        <v>45670</v>
      </c>
      <c r="C3378" s="77" t="s">
        <v>1569</v>
      </c>
      <c r="D3378" s="13">
        <f>D3377</f>
        <v>23027.25</v>
      </c>
      <c r="E3378" s="15">
        <f t="shared" si="1"/>
        <v>2025</v>
      </c>
      <c r="F3378" s="15">
        <f t="shared" si="2"/>
        <v>1</v>
      </c>
      <c r="G3378" s="15">
        <f t="shared" si="3"/>
        <v>13</v>
      </c>
    </row>
    <row r="3379">
      <c r="A3379" s="10" t="s">
        <v>37</v>
      </c>
      <c r="B3379" s="94">
        <f t="shared" si="5"/>
        <v>45670</v>
      </c>
      <c r="C3379" s="77" t="s">
        <v>1570</v>
      </c>
      <c r="D3379" s="13">
        <f>SUMIFS('Lançamentos de receitas'!$E:$E,'Lançamentos de receitas'!$F:$F,"PAGO",'Lançamentos de receitas'!$C:$C,A3379,'Lançamentos de receitas'!$A:$A,B3379)</f>
        <v>1607.17</v>
      </c>
      <c r="E3379" s="15">
        <f t="shared" si="1"/>
        <v>2025</v>
      </c>
      <c r="F3379" s="15">
        <f t="shared" si="2"/>
        <v>1</v>
      </c>
      <c r="G3379" s="15">
        <f t="shared" si="3"/>
        <v>13</v>
      </c>
    </row>
    <row r="3380">
      <c r="A3380" s="10" t="s">
        <v>37</v>
      </c>
      <c r="B3380" s="94">
        <f t="shared" si="5"/>
        <v>45670</v>
      </c>
      <c r="C3380" s="77" t="s">
        <v>1571</v>
      </c>
      <c r="D3380" s="13">
        <f>SUMIFS('Lançamentos de despesas'!$I:$I,'Lançamentos de despesas'!$G:$G,A3380,'Lançamentos de despesas'!$E:$E,"PAGO",'Lançamentos de despesas'!$C:$C,B3380)</f>
        <v>2700</v>
      </c>
      <c r="E3380" s="15">
        <f t="shared" si="1"/>
        <v>2025</v>
      </c>
      <c r="F3380" s="15">
        <f t="shared" si="2"/>
        <v>1</v>
      </c>
      <c r="G3380" s="15">
        <f t="shared" si="3"/>
        <v>13</v>
      </c>
    </row>
    <row r="3381">
      <c r="A3381" s="10" t="s">
        <v>37</v>
      </c>
      <c r="B3381" s="94">
        <f t="shared" si="5"/>
        <v>45670</v>
      </c>
      <c r="C3381" s="77" t="s">
        <v>1572</v>
      </c>
      <c r="D3381" s="13">
        <f>D3378+D3379-D3380</f>
        <v>21934.42</v>
      </c>
      <c r="E3381" s="15">
        <f t="shared" si="1"/>
        <v>2025</v>
      </c>
      <c r="F3381" s="15">
        <f t="shared" si="2"/>
        <v>1</v>
      </c>
      <c r="G3381" s="15">
        <f t="shared" si="3"/>
        <v>13</v>
      </c>
    </row>
    <row r="3382">
      <c r="A3382" s="10" t="s">
        <v>37</v>
      </c>
      <c r="B3382" s="94">
        <f t="shared" si="5"/>
        <v>45671</v>
      </c>
      <c r="C3382" s="77" t="s">
        <v>1569</v>
      </c>
      <c r="D3382" s="13">
        <f>D3381</f>
        <v>21934.42</v>
      </c>
      <c r="E3382" s="15">
        <f t="shared" si="1"/>
        <v>2025</v>
      </c>
      <c r="F3382" s="15">
        <f t="shared" si="2"/>
        <v>1</v>
      </c>
      <c r="G3382" s="15">
        <f t="shared" si="3"/>
        <v>14</v>
      </c>
    </row>
    <row r="3383">
      <c r="A3383" s="10" t="s">
        <v>37</v>
      </c>
      <c r="B3383" s="94">
        <f t="shared" si="5"/>
        <v>45671</v>
      </c>
      <c r="C3383" s="77" t="s">
        <v>1570</v>
      </c>
      <c r="D3383" s="13">
        <f>SUMIFS('Lançamentos de receitas'!$E:$E,'Lançamentos de receitas'!$F:$F,"PAGO",'Lançamentos de receitas'!$C:$C,A3383,'Lançamentos de receitas'!$A:$A,B3383)</f>
        <v>436.87</v>
      </c>
      <c r="E3383" s="15">
        <f t="shared" si="1"/>
        <v>2025</v>
      </c>
      <c r="F3383" s="15">
        <f t="shared" si="2"/>
        <v>1</v>
      </c>
      <c r="G3383" s="15">
        <f t="shared" si="3"/>
        <v>14</v>
      </c>
    </row>
    <row r="3384">
      <c r="A3384" s="10" t="s">
        <v>37</v>
      </c>
      <c r="B3384" s="94">
        <f t="shared" si="5"/>
        <v>45671</v>
      </c>
      <c r="C3384" s="77" t="s">
        <v>1571</v>
      </c>
      <c r="D3384" s="13">
        <f>SUMIFS('Lançamentos de despesas'!$I:$I,'Lançamentos de despesas'!$G:$G,A3384,'Lançamentos de despesas'!$E:$E,"PAGO",'Lançamentos de despesas'!$C:$C,B3384)</f>
        <v>0</v>
      </c>
      <c r="E3384" s="15">
        <f t="shared" si="1"/>
        <v>2025</v>
      </c>
      <c r="F3384" s="15">
        <f t="shared" si="2"/>
        <v>1</v>
      </c>
      <c r="G3384" s="15">
        <f t="shared" si="3"/>
        <v>14</v>
      </c>
    </row>
    <row r="3385">
      <c r="A3385" s="10" t="s">
        <v>37</v>
      </c>
      <c r="B3385" s="94">
        <f t="shared" si="5"/>
        <v>45671</v>
      </c>
      <c r="C3385" s="77" t="s">
        <v>1572</v>
      </c>
      <c r="D3385" s="13">
        <f>D3382+D3383-D3384</f>
        <v>22371.29</v>
      </c>
      <c r="E3385" s="15">
        <f t="shared" si="1"/>
        <v>2025</v>
      </c>
      <c r="F3385" s="15">
        <f t="shared" si="2"/>
        <v>1</v>
      </c>
      <c r="G3385" s="15">
        <f t="shared" si="3"/>
        <v>14</v>
      </c>
    </row>
    <row r="3386">
      <c r="A3386" s="10" t="s">
        <v>37</v>
      </c>
      <c r="B3386" s="94">
        <f t="shared" si="5"/>
        <v>45672</v>
      </c>
      <c r="C3386" s="77" t="s">
        <v>1569</v>
      </c>
      <c r="D3386" s="13">
        <f>D3385</f>
        <v>22371.29</v>
      </c>
      <c r="E3386" s="15">
        <f t="shared" si="1"/>
        <v>2025</v>
      </c>
      <c r="F3386" s="15">
        <f t="shared" si="2"/>
        <v>1</v>
      </c>
      <c r="G3386" s="15">
        <f t="shared" si="3"/>
        <v>15</v>
      </c>
    </row>
    <row r="3387">
      <c r="A3387" s="10" t="s">
        <v>37</v>
      </c>
      <c r="B3387" s="94">
        <f t="shared" si="5"/>
        <v>45672</v>
      </c>
      <c r="C3387" s="77" t="s">
        <v>1570</v>
      </c>
      <c r="D3387" s="13">
        <f>SUMIFS('Lançamentos de receitas'!$E:$E,'Lançamentos de receitas'!$F:$F,"PAGO",'Lançamentos de receitas'!$C:$C,A3387,'Lançamentos de receitas'!$A:$A,B3387)</f>
        <v>1418.01</v>
      </c>
      <c r="E3387" s="15">
        <f t="shared" si="1"/>
        <v>2025</v>
      </c>
      <c r="F3387" s="15">
        <f t="shared" si="2"/>
        <v>1</v>
      </c>
      <c r="G3387" s="15">
        <f t="shared" si="3"/>
        <v>15</v>
      </c>
    </row>
    <row r="3388">
      <c r="A3388" s="10" t="s">
        <v>37</v>
      </c>
      <c r="B3388" s="94">
        <f t="shared" si="5"/>
        <v>45672</v>
      </c>
      <c r="C3388" s="77" t="s">
        <v>1571</v>
      </c>
      <c r="D3388" s="13">
        <f>SUMIFS('Lançamentos de despesas'!$I:$I,'Lançamentos de despesas'!$G:$G,A3388,'Lançamentos de despesas'!$E:$E,"PAGO",'Lançamentos de despesas'!$C:$C,B3388)</f>
        <v>0</v>
      </c>
      <c r="E3388" s="15">
        <f t="shared" si="1"/>
        <v>2025</v>
      </c>
      <c r="F3388" s="15">
        <f t="shared" si="2"/>
        <v>1</v>
      </c>
      <c r="G3388" s="15">
        <f t="shared" si="3"/>
        <v>15</v>
      </c>
    </row>
    <row r="3389">
      <c r="A3389" s="10" t="s">
        <v>37</v>
      </c>
      <c r="B3389" s="94">
        <f t="shared" si="5"/>
        <v>45672</v>
      </c>
      <c r="C3389" s="77" t="s">
        <v>1572</v>
      </c>
      <c r="D3389" s="13">
        <f>D3386+D3387-D3388</f>
        <v>23789.3</v>
      </c>
      <c r="E3389" s="15">
        <f t="shared" si="1"/>
        <v>2025</v>
      </c>
      <c r="F3389" s="15">
        <f t="shared" si="2"/>
        <v>1</v>
      </c>
      <c r="G3389" s="15">
        <f t="shared" si="3"/>
        <v>15</v>
      </c>
    </row>
    <row r="3390">
      <c r="A3390" s="10" t="s">
        <v>37</v>
      </c>
      <c r="B3390" s="94">
        <f t="shared" si="5"/>
        <v>45673</v>
      </c>
      <c r="C3390" s="77" t="s">
        <v>1569</v>
      </c>
      <c r="D3390" s="13">
        <f>D3389</f>
        <v>23789.3</v>
      </c>
      <c r="E3390" s="15">
        <f t="shared" si="1"/>
        <v>2025</v>
      </c>
      <c r="F3390" s="15">
        <f t="shared" si="2"/>
        <v>1</v>
      </c>
      <c r="G3390" s="15">
        <f t="shared" si="3"/>
        <v>16</v>
      </c>
    </row>
    <row r="3391">
      <c r="A3391" s="10" t="s">
        <v>37</v>
      </c>
      <c r="B3391" s="94">
        <f t="shared" si="5"/>
        <v>45673</v>
      </c>
      <c r="C3391" s="77" t="s">
        <v>1570</v>
      </c>
      <c r="D3391" s="13">
        <f>SUMIFS('Lançamentos de receitas'!$E:$E,'Lançamentos de receitas'!$F:$F,"PAGO",'Lançamentos de receitas'!$C:$C,A3391,'Lançamentos de receitas'!$A:$A,B3391)</f>
        <v>853.59</v>
      </c>
      <c r="E3391" s="15">
        <f t="shared" si="1"/>
        <v>2025</v>
      </c>
      <c r="F3391" s="15">
        <f t="shared" si="2"/>
        <v>1</v>
      </c>
      <c r="G3391" s="15">
        <f t="shared" si="3"/>
        <v>16</v>
      </c>
    </row>
    <row r="3392">
      <c r="A3392" s="10" t="s">
        <v>37</v>
      </c>
      <c r="B3392" s="94">
        <f t="shared" si="5"/>
        <v>45673</v>
      </c>
      <c r="C3392" s="77" t="s">
        <v>1571</v>
      </c>
      <c r="D3392" s="13">
        <f>SUMIFS('Lançamentos de despesas'!$I:$I,'Lançamentos de despesas'!$G:$G,A3392,'Lançamentos de despesas'!$E:$E,"PAGO",'Lançamentos de despesas'!$C:$C,B3392)</f>
        <v>4260</v>
      </c>
      <c r="E3392" s="15">
        <f t="shared" si="1"/>
        <v>2025</v>
      </c>
      <c r="F3392" s="15">
        <f t="shared" si="2"/>
        <v>1</v>
      </c>
      <c r="G3392" s="15">
        <f t="shared" si="3"/>
        <v>16</v>
      </c>
    </row>
    <row r="3393">
      <c r="A3393" s="10" t="s">
        <v>37</v>
      </c>
      <c r="B3393" s="94">
        <f t="shared" si="5"/>
        <v>45673</v>
      </c>
      <c r="C3393" s="77" t="s">
        <v>1572</v>
      </c>
      <c r="D3393" s="13">
        <f>D3390+D3391-D3392</f>
        <v>20382.89</v>
      </c>
      <c r="E3393" s="15">
        <f t="shared" si="1"/>
        <v>2025</v>
      </c>
      <c r="F3393" s="15">
        <f t="shared" si="2"/>
        <v>1</v>
      </c>
      <c r="G3393" s="15">
        <f t="shared" si="3"/>
        <v>16</v>
      </c>
    </row>
    <row r="3394">
      <c r="A3394" s="10" t="s">
        <v>37</v>
      </c>
      <c r="B3394" s="94">
        <f t="shared" si="5"/>
        <v>45674</v>
      </c>
      <c r="C3394" s="77" t="s">
        <v>1569</v>
      </c>
      <c r="D3394" s="13">
        <f>D3393</f>
        <v>20382.89</v>
      </c>
      <c r="E3394" s="15">
        <f t="shared" si="1"/>
        <v>2025</v>
      </c>
      <c r="F3394" s="15">
        <f t="shared" si="2"/>
        <v>1</v>
      </c>
      <c r="G3394" s="15">
        <f t="shared" si="3"/>
        <v>17</v>
      </c>
    </row>
    <row r="3395">
      <c r="A3395" s="10" t="s">
        <v>37</v>
      </c>
      <c r="B3395" s="94">
        <f t="shared" si="5"/>
        <v>45674</v>
      </c>
      <c r="C3395" s="77" t="s">
        <v>1570</v>
      </c>
      <c r="D3395" s="13">
        <f>SUMIFS('Lançamentos de receitas'!$E:$E,'Lançamentos de receitas'!$F:$F,"PAGO",'Lançamentos de receitas'!$C:$C,A3395,'Lançamentos de receitas'!$A:$A,B3395)</f>
        <v>1136.61</v>
      </c>
      <c r="E3395" s="15">
        <f t="shared" si="1"/>
        <v>2025</v>
      </c>
      <c r="F3395" s="15">
        <f t="shared" si="2"/>
        <v>1</v>
      </c>
      <c r="G3395" s="15">
        <f t="shared" si="3"/>
        <v>17</v>
      </c>
    </row>
    <row r="3396">
      <c r="A3396" s="10" t="s">
        <v>37</v>
      </c>
      <c r="B3396" s="94">
        <f t="shared" si="5"/>
        <v>45674</v>
      </c>
      <c r="C3396" s="77" t="s">
        <v>1571</v>
      </c>
      <c r="D3396" s="13">
        <f>SUMIFS('Lançamentos de despesas'!$I:$I,'Lançamentos de despesas'!$G:$G,A3396,'Lançamentos de despesas'!$E:$E,"PAGO",'Lançamentos de despesas'!$C:$C,B3396)</f>
        <v>477.13</v>
      </c>
      <c r="E3396" s="15">
        <f t="shared" si="1"/>
        <v>2025</v>
      </c>
      <c r="F3396" s="15">
        <f t="shared" si="2"/>
        <v>1</v>
      </c>
      <c r="G3396" s="15">
        <f t="shared" si="3"/>
        <v>17</v>
      </c>
    </row>
    <row r="3397">
      <c r="A3397" s="10" t="s">
        <v>37</v>
      </c>
      <c r="B3397" s="94">
        <f t="shared" si="5"/>
        <v>45674</v>
      </c>
      <c r="C3397" s="77" t="s">
        <v>1572</v>
      </c>
      <c r="D3397" s="13">
        <f>D3394+D3395-D3396</f>
        <v>21042.37</v>
      </c>
      <c r="E3397" s="15">
        <f t="shared" si="1"/>
        <v>2025</v>
      </c>
      <c r="F3397" s="15">
        <f t="shared" si="2"/>
        <v>1</v>
      </c>
      <c r="G3397" s="15">
        <f t="shared" si="3"/>
        <v>17</v>
      </c>
    </row>
    <row r="3398">
      <c r="A3398" s="10" t="s">
        <v>37</v>
      </c>
      <c r="B3398" s="94">
        <f t="shared" si="5"/>
        <v>45675</v>
      </c>
      <c r="C3398" s="77" t="s">
        <v>1569</v>
      </c>
      <c r="D3398" s="13">
        <f>D3397</f>
        <v>21042.37</v>
      </c>
      <c r="E3398" s="15">
        <f t="shared" si="1"/>
        <v>2025</v>
      </c>
      <c r="F3398" s="15">
        <f t="shared" si="2"/>
        <v>1</v>
      </c>
      <c r="G3398" s="15">
        <f t="shared" si="3"/>
        <v>18</v>
      </c>
    </row>
    <row r="3399">
      <c r="A3399" s="10" t="s">
        <v>37</v>
      </c>
      <c r="B3399" s="94">
        <f t="shared" si="5"/>
        <v>45675</v>
      </c>
      <c r="C3399" s="77" t="s">
        <v>1570</v>
      </c>
      <c r="D3399" s="13">
        <f>SUMIFS('Lançamentos de receitas'!$E:$E,'Lançamentos de receitas'!$F:$F,"PAGO",'Lançamentos de receitas'!$C:$C,A3399,'Lançamentos de receitas'!$A:$A,B3399)</f>
        <v>947.32</v>
      </c>
      <c r="E3399" s="15">
        <f t="shared" si="1"/>
        <v>2025</v>
      </c>
      <c r="F3399" s="15">
        <f t="shared" si="2"/>
        <v>1</v>
      </c>
      <c r="G3399" s="15">
        <f t="shared" si="3"/>
        <v>18</v>
      </c>
    </row>
    <row r="3400">
      <c r="A3400" s="10" t="s">
        <v>37</v>
      </c>
      <c r="B3400" s="94">
        <f t="shared" si="5"/>
        <v>45675</v>
      </c>
      <c r="C3400" s="77" t="s">
        <v>1571</v>
      </c>
      <c r="D3400" s="13">
        <f>SUMIFS('Lançamentos de despesas'!$I:$I,'Lançamentos de despesas'!$G:$G,A3400,'Lançamentos de despesas'!$E:$E,"PAGO",'Lançamentos de despesas'!$C:$C,B3400)</f>
        <v>0</v>
      </c>
      <c r="E3400" s="15">
        <f t="shared" si="1"/>
        <v>2025</v>
      </c>
      <c r="F3400" s="15">
        <f t="shared" si="2"/>
        <v>1</v>
      </c>
      <c r="G3400" s="15">
        <f t="shared" si="3"/>
        <v>18</v>
      </c>
    </row>
    <row r="3401">
      <c r="A3401" s="10" t="s">
        <v>37</v>
      </c>
      <c r="B3401" s="94">
        <f t="shared" si="5"/>
        <v>45675</v>
      </c>
      <c r="C3401" s="77" t="s">
        <v>1572</v>
      </c>
      <c r="D3401" s="13">
        <f>D3398+D3399-D3400</f>
        <v>21989.69</v>
      </c>
      <c r="E3401" s="15">
        <f t="shared" si="1"/>
        <v>2025</v>
      </c>
      <c r="F3401" s="15">
        <f t="shared" si="2"/>
        <v>1</v>
      </c>
      <c r="G3401" s="15">
        <f t="shared" si="3"/>
        <v>18</v>
      </c>
    </row>
    <row r="3402">
      <c r="A3402" s="10" t="s">
        <v>37</v>
      </c>
      <c r="B3402" s="94">
        <f t="shared" si="5"/>
        <v>45676</v>
      </c>
      <c r="C3402" s="77" t="s">
        <v>1569</v>
      </c>
      <c r="D3402" s="13">
        <f>D3401</f>
        <v>21989.69</v>
      </c>
      <c r="E3402" s="15">
        <f t="shared" si="1"/>
        <v>2025</v>
      </c>
      <c r="F3402" s="15">
        <f t="shared" si="2"/>
        <v>1</v>
      </c>
      <c r="G3402" s="15">
        <f t="shared" si="3"/>
        <v>19</v>
      </c>
    </row>
    <row r="3403">
      <c r="A3403" s="10" t="s">
        <v>37</v>
      </c>
      <c r="B3403" s="94">
        <f t="shared" si="5"/>
        <v>45676</v>
      </c>
      <c r="C3403" s="77" t="s">
        <v>1570</v>
      </c>
      <c r="D3403" s="13">
        <f>SUMIFS('Lançamentos de receitas'!$E:$E,'Lançamentos de receitas'!$F:$F,"PAGO",'Lançamentos de receitas'!$C:$C,A3403,'Lançamentos de receitas'!$A:$A,B3403)</f>
        <v>963.19</v>
      </c>
      <c r="E3403" s="15">
        <f t="shared" si="1"/>
        <v>2025</v>
      </c>
      <c r="F3403" s="15">
        <f t="shared" si="2"/>
        <v>1</v>
      </c>
      <c r="G3403" s="15">
        <f t="shared" si="3"/>
        <v>19</v>
      </c>
    </row>
    <row r="3404">
      <c r="A3404" s="10" t="s">
        <v>37</v>
      </c>
      <c r="B3404" s="94">
        <f t="shared" si="5"/>
        <v>45676</v>
      </c>
      <c r="C3404" s="77" t="s">
        <v>1571</v>
      </c>
      <c r="D3404" s="13">
        <f>SUMIFS('Lançamentos de despesas'!$I:$I,'Lançamentos de despesas'!$G:$G,A3404,'Lançamentos de despesas'!$E:$E,"PAGO",'Lançamentos de despesas'!$C:$C,B3404)</f>
        <v>0</v>
      </c>
      <c r="E3404" s="15">
        <f t="shared" si="1"/>
        <v>2025</v>
      </c>
      <c r="F3404" s="15">
        <f t="shared" si="2"/>
        <v>1</v>
      </c>
      <c r="G3404" s="15">
        <f t="shared" si="3"/>
        <v>19</v>
      </c>
    </row>
    <row r="3405">
      <c r="A3405" s="10" t="s">
        <v>37</v>
      </c>
      <c r="B3405" s="94">
        <f t="shared" si="5"/>
        <v>45676</v>
      </c>
      <c r="C3405" s="77" t="s">
        <v>1572</v>
      </c>
      <c r="D3405" s="13">
        <f>D3402+D3403-D3404</f>
        <v>22952.88</v>
      </c>
      <c r="E3405" s="15">
        <f t="shared" si="1"/>
        <v>2025</v>
      </c>
      <c r="F3405" s="15">
        <f t="shared" si="2"/>
        <v>1</v>
      </c>
      <c r="G3405" s="15">
        <f t="shared" si="3"/>
        <v>19</v>
      </c>
    </row>
    <row r="3406">
      <c r="A3406" s="10" t="s">
        <v>37</v>
      </c>
      <c r="B3406" s="94">
        <f t="shared" si="5"/>
        <v>45677</v>
      </c>
      <c r="C3406" s="77" t="s">
        <v>1569</v>
      </c>
      <c r="D3406" s="13">
        <f>D3405</f>
        <v>22952.88</v>
      </c>
      <c r="E3406" s="15">
        <f t="shared" si="1"/>
        <v>2025</v>
      </c>
      <c r="F3406" s="15">
        <f t="shared" si="2"/>
        <v>1</v>
      </c>
      <c r="G3406" s="15">
        <f t="shared" si="3"/>
        <v>20</v>
      </c>
    </row>
    <row r="3407">
      <c r="A3407" s="10" t="s">
        <v>37</v>
      </c>
      <c r="B3407" s="94">
        <f t="shared" si="5"/>
        <v>45677</v>
      </c>
      <c r="C3407" s="77" t="s">
        <v>1570</v>
      </c>
      <c r="D3407" s="13">
        <f>SUMIFS('Lançamentos de receitas'!$E:$E,'Lançamentos de receitas'!$F:$F,"PAGO",'Lançamentos de receitas'!$C:$C,A3407,'Lançamentos de receitas'!$A:$A,B3407)</f>
        <v>567.96</v>
      </c>
      <c r="E3407" s="15">
        <f t="shared" si="1"/>
        <v>2025</v>
      </c>
      <c r="F3407" s="15">
        <f t="shared" si="2"/>
        <v>1</v>
      </c>
      <c r="G3407" s="15">
        <f t="shared" si="3"/>
        <v>20</v>
      </c>
    </row>
    <row r="3408">
      <c r="A3408" s="10" t="s">
        <v>37</v>
      </c>
      <c r="B3408" s="94">
        <f t="shared" si="5"/>
        <v>45677</v>
      </c>
      <c r="C3408" s="77" t="s">
        <v>1571</v>
      </c>
      <c r="D3408" s="13">
        <f>SUMIFS('Lançamentos de despesas'!$I:$I,'Lançamentos de despesas'!$G:$G,A3408,'Lançamentos de despesas'!$E:$E,"PAGO",'Lançamentos de despesas'!$C:$C,B3408)</f>
        <v>1953.43</v>
      </c>
      <c r="E3408" s="15">
        <f t="shared" si="1"/>
        <v>2025</v>
      </c>
      <c r="F3408" s="15">
        <f t="shared" si="2"/>
        <v>1</v>
      </c>
      <c r="G3408" s="15">
        <f t="shared" si="3"/>
        <v>20</v>
      </c>
    </row>
    <row r="3409">
      <c r="A3409" s="10" t="s">
        <v>37</v>
      </c>
      <c r="B3409" s="94">
        <f t="shared" si="5"/>
        <v>45677</v>
      </c>
      <c r="C3409" s="77" t="s">
        <v>1572</v>
      </c>
      <c r="D3409" s="13">
        <f>D3406+D3407-D3408</f>
        <v>21567.41</v>
      </c>
      <c r="E3409" s="15">
        <f t="shared" si="1"/>
        <v>2025</v>
      </c>
      <c r="F3409" s="15">
        <f t="shared" si="2"/>
        <v>1</v>
      </c>
      <c r="G3409" s="15">
        <f t="shared" si="3"/>
        <v>20</v>
      </c>
    </row>
    <row r="3410">
      <c r="A3410" s="10" t="s">
        <v>37</v>
      </c>
      <c r="B3410" s="94">
        <f t="shared" si="5"/>
        <v>45678</v>
      </c>
      <c r="C3410" s="77" t="s">
        <v>1569</v>
      </c>
      <c r="D3410" s="13">
        <f>D3409</f>
        <v>21567.41</v>
      </c>
      <c r="E3410" s="15">
        <f t="shared" si="1"/>
        <v>2025</v>
      </c>
      <c r="F3410" s="15">
        <f t="shared" si="2"/>
        <v>1</v>
      </c>
      <c r="G3410" s="15">
        <f t="shared" si="3"/>
        <v>21</v>
      </c>
    </row>
    <row r="3411">
      <c r="A3411" s="10" t="s">
        <v>37</v>
      </c>
      <c r="B3411" s="94">
        <f t="shared" si="5"/>
        <v>45678</v>
      </c>
      <c r="C3411" s="77" t="s">
        <v>1570</v>
      </c>
      <c r="D3411" s="13">
        <f>SUMIFS('Lançamentos de receitas'!$E:$E,'Lançamentos de receitas'!$F:$F,"PAGO",'Lançamentos de receitas'!$C:$C,A3411,'Lançamentos de receitas'!$A:$A,B3411)</f>
        <v>2937.39</v>
      </c>
      <c r="E3411" s="15">
        <f t="shared" si="1"/>
        <v>2025</v>
      </c>
      <c r="F3411" s="15">
        <f t="shared" si="2"/>
        <v>1</v>
      </c>
      <c r="G3411" s="15">
        <f t="shared" si="3"/>
        <v>21</v>
      </c>
    </row>
    <row r="3412">
      <c r="A3412" s="10" t="s">
        <v>37</v>
      </c>
      <c r="B3412" s="94">
        <f t="shared" si="5"/>
        <v>45678</v>
      </c>
      <c r="C3412" s="77" t="s">
        <v>1571</v>
      </c>
      <c r="D3412" s="13">
        <f>SUMIFS('Lançamentos de despesas'!$I:$I,'Lançamentos de despesas'!$G:$G,A3412,'Lançamentos de despesas'!$E:$E,"PAGO",'Lançamentos de despesas'!$C:$C,B3412)</f>
        <v>6970.11</v>
      </c>
      <c r="E3412" s="15">
        <f t="shared" si="1"/>
        <v>2025</v>
      </c>
      <c r="F3412" s="15">
        <f t="shared" si="2"/>
        <v>1</v>
      </c>
      <c r="G3412" s="15">
        <f t="shared" si="3"/>
        <v>21</v>
      </c>
    </row>
    <row r="3413">
      <c r="A3413" s="10" t="s">
        <v>37</v>
      </c>
      <c r="B3413" s="94">
        <f t="shared" si="5"/>
        <v>45678</v>
      </c>
      <c r="C3413" s="77" t="s">
        <v>1572</v>
      </c>
      <c r="D3413" s="13">
        <f>D3410+D3411-D3412</f>
        <v>17534.69</v>
      </c>
      <c r="E3413" s="15">
        <f t="shared" si="1"/>
        <v>2025</v>
      </c>
      <c r="F3413" s="15">
        <f t="shared" si="2"/>
        <v>1</v>
      </c>
      <c r="G3413" s="15">
        <f t="shared" si="3"/>
        <v>21</v>
      </c>
    </row>
    <row r="3414">
      <c r="A3414" s="10" t="s">
        <v>37</v>
      </c>
      <c r="B3414" s="94">
        <f t="shared" si="5"/>
        <v>45679</v>
      </c>
      <c r="C3414" s="77" t="s">
        <v>1569</v>
      </c>
      <c r="D3414" s="13">
        <f>D3413</f>
        <v>17534.69</v>
      </c>
      <c r="E3414" s="15">
        <f t="shared" si="1"/>
        <v>2025</v>
      </c>
      <c r="F3414" s="15">
        <f t="shared" si="2"/>
        <v>1</v>
      </c>
      <c r="G3414" s="15">
        <f t="shared" si="3"/>
        <v>22</v>
      </c>
    </row>
    <row r="3415">
      <c r="A3415" s="10" t="s">
        <v>37</v>
      </c>
      <c r="B3415" s="94">
        <f t="shared" si="5"/>
        <v>45679</v>
      </c>
      <c r="C3415" s="77" t="s">
        <v>1570</v>
      </c>
      <c r="D3415" s="13">
        <f>SUMIFS('Lançamentos de receitas'!$E:$E,'Lançamentos de receitas'!$F:$F,"PAGO",'Lançamentos de receitas'!$C:$C,A3415,'Lançamentos de receitas'!$A:$A,B3415)</f>
        <v>509.94</v>
      </c>
      <c r="E3415" s="15">
        <f t="shared" si="1"/>
        <v>2025</v>
      </c>
      <c r="F3415" s="15">
        <f t="shared" si="2"/>
        <v>1</v>
      </c>
      <c r="G3415" s="15">
        <f t="shared" si="3"/>
        <v>22</v>
      </c>
    </row>
    <row r="3416">
      <c r="A3416" s="10" t="s">
        <v>37</v>
      </c>
      <c r="B3416" s="94">
        <f t="shared" si="5"/>
        <v>45679</v>
      </c>
      <c r="C3416" s="77" t="s">
        <v>1571</v>
      </c>
      <c r="D3416" s="13">
        <f>SUMIFS('Lançamentos de despesas'!$I:$I,'Lançamentos de despesas'!$G:$G,A3416,'Lançamentos de despesas'!$E:$E,"PAGO",'Lançamentos de despesas'!$C:$C,B3416)</f>
        <v>250</v>
      </c>
      <c r="E3416" s="15">
        <f t="shared" si="1"/>
        <v>2025</v>
      </c>
      <c r="F3416" s="15">
        <f t="shared" si="2"/>
        <v>1</v>
      </c>
      <c r="G3416" s="15">
        <f t="shared" si="3"/>
        <v>22</v>
      </c>
    </row>
    <row r="3417">
      <c r="A3417" s="10" t="s">
        <v>37</v>
      </c>
      <c r="B3417" s="94">
        <f t="shared" si="5"/>
        <v>45679</v>
      </c>
      <c r="C3417" s="77" t="s">
        <v>1572</v>
      </c>
      <c r="D3417" s="13">
        <f>D3414+D3415-D3416</f>
        <v>17794.63</v>
      </c>
      <c r="E3417" s="15">
        <f t="shared" si="1"/>
        <v>2025</v>
      </c>
      <c r="F3417" s="15">
        <f t="shared" si="2"/>
        <v>1</v>
      </c>
      <c r="G3417" s="15">
        <f t="shared" si="3"/>
        <v>22</v>
      </c>
    </row>
    <row r="3418">
      <c r="A3418" s="10" t="s">
        <v>37</v>
      </c>
      <c r="B3418" s="94">
        <f t="shared" si="5"/>
        <v>45680</v>
      </c>
      <c r="C3418" s="77" t="s">
        <v>1569</v>
      </c>
      <c r="D3418" s="13">
        <f>D3417</f>
        <v>17794.63</v>
      </c>
      <c r="E3418" s="15">
        <f t="shared" si="1"/>
        <v>2025</v>
      </c>
      <c r="F3418" s="15">
        <f t="shared" si="2"/>
        <v>1</v>
      </c>
      <c r="G3418" s="15">
        <f t="shared" si="3"/>
        <v>23</v>
      </c>
    </row>
    <row r="3419">
      <c r="A3419" s="10" t="s">
        <v>37</v>
      </c>
      <c r="B3419" s="94">
        <f t="shared" si="5"/>
        <v>45680</v>
      </c>
      <c r="C3419" s="77" t="s">
        <v>1570</v>
      </c>
      <c r="D3419" s="13">
        <f>SUMIFS('Lançamentos de receitas'!$E:$E,'Lançamentos de receitas'!$F:$F,"PAGO",'Lançamentos de receitas'!$C:$C,A3419,'Lançamentos de receitas'!$A:$A,B3419)</f>
        <v>1663.82</v>
      </c>
      <c r="E3419" s="15">
        <f t="shared" si="1"/>
        <v>2025</v>
      </c>
      <c r="F3419" s="15">
        <f t="shared" si="2"/>
        <v>1</v>
      </c>
      <c r="G3419" s="15">
        <f t="shared" si="3"/>
        <v>23</v>
      </c>
    </row>
    <row r="3420">
      <c r="A3420" s="10" t="s">
        <v>37</v>
      </c>
      <c r="B3420" s="94">
        <f t="shared" si="5"/>
        <v>45680</v>
      </c>
      <c r="C3420" s="77" t="s">
        <v>1571</v>
      </c>
      <c r="D3420" s="13">
        <f>SUMIFS('Lançamentos de despesas'!$I:$I,'Lançamentos de despesas'!$G:$G,A3420,'Lançamentos de despesas'!$E:$E,"PAGO",'Lançamentos de despesas'!$C:$C,B3420)</f>
        <v>630</v>
      </c>
      <c r="E3420" s="15">
        <f t="shared" si="1"/>
        <v>2025</v>
      </c>
      <c r="F3420" s="15">
        <f t="shared" si="2"/>
        <v>1</v>
      </c>
      <c r="G3420" s="15">
        <f t="shared" si="3"/>
        <v>23</v>
      </c>
    </row>
    <row r="3421">
      <c r="A3421" s="10" t="s">
        <v>37</v>
      </c>
      <c r="B3421" s="94">
        <f t="shared" si="5"/>
        <v>45680</v>
      </c>
      <c r="C3421" s="77" t="s">
        <v>1572</v>
      </c>
      <c r="D3421" s="13">
        <f>D3418+D3419-D3420</f>
        <v>18828.45</v>
      </c>
      <c r="E3421" s="15">
        <f t="shared" si="1"/>
        <v>2025</v>
      </c>
      <c r="F3421" s="15">
        <f t="shared" si="2"/>
        <v>1</v>
      </c>
      <c r="G3421" s="15">
        <f t="shared" si="3"/>
        <v>23</v>
      </c>
    </row>
    <row r="3422">
      <c r="A3422" s="10" t="s">
        <v>37</v>
      </c>
      <c r="B3422" s="94">
        <f t="shared" si="5"/>
        <v>45681</v>
      </c>
      <c r="C3422" s="77" t="s">
        <v>1569</v>
      </c>
      <c r="D3422" s="13">
        <f>D3421</f>
        <v>18828.45</v>
      </c>
      <c r="E3422" s="15">
        <f t="shared" si="1"/>
        <v>2025</v>
      </c>
      <c r="F3422" s="15">
        <f t="shared" si="2"/>
        <v>1</v>
      </c>
      <c r="G3422" s="15">
        <f t="shared" si="3"/>
        <v>24</v>
      </c>
    </row>
    <row r="3423">
      <c r="A3423" s="10" t="s">
        <v>37</v>
      </c>
      <c r="B3423" s="94">
        <f t="shared" si="5"/>
        <v>45681</v>
      </c>
      <c r="C3423" s="77" t="s">
        <v>1570</v>
      </c>
      <c r="D3423" s="13">
        <f>SUMIFS('Lançamentos de receitas'!$E:$E,'Lançamentos de receitas'!$F:$F,"PAGO",'Lançamentos de receitas'!$C:$C,A3423,'Lançamentos de receitas'!$A:$A,B3423)</f>
        <v>1383.48</v>
      </c>
      <c r="E3423" s="15">
        <f t="shared" si="1"/>
        <v>2025</v>
      </c>
      <c r="F3423" s="15">
        <f t="shared" si="2"/>
        <v>1</v>
      </c>
      <c r="G3423" s="15">
        <f t="shared" si="3"/>
        <v>24</v>
      </c>
    </row>
    <row r="3424">
      <c r="A3424" s="10" t="s">
        <v>37</v>
      </c>
      <c r="B3424" s="94">
        <f t="shared" si="5"/>
        <v>45681</v>
      </c>
      <c r="C3424" s="77" t="s">
        <v>1571</v>
      </c>
      <c r="D3424" s="13">
        <f>SUMIFS('Lançamentos de despesas'!$I:$I,'Lançamentos de despesas'!$G:$G,A3424,'Lançamentos de despesas'!$E:$E,"PAGO",'Lançamentos de despesas'!$C:$C,B3424)</f>
        <v>0</v>
      </c>
      <c r="E3424" s="15">
        <f t="shared" si="1"/>
        <v>2025</v>
      </c>
      <c r="F3424" s="15">
        <f t="shared" si="2"/>
        <v>1</v>
      </c>
      <c r="G3424" s="15">
        <f t="shared" si="3"/>
        <v>24</v>
      </c>
    </row>
    <row r="3425">
      <c r="A3425" s="10" t="s">
        <v>37</v>
      </c>
      <c r="B3425" s="94">
        <f t="shared" si="5"/>
        <v>45681</v>
      </c>
      <c r="C3425" s="77" t="s">
        <v>1572</v>
      </c>
      <c r="D3425" s="13">
        <f>D3422+D3423-D3424</f>
        <v>20211.93</v>
      </c>
      <c r="E3425" s="15">
        <f t="shared" si="1"/>
        <v>2025</v>
      </c>
      <c r="F3425" s="15">
        <f t="shared" si="2"/>
        <v>1</v>
      </c>
      <c r="G3425" s="15">
        <f t="shared" si="3"/>
        <v>24</v>
      </c>
    </row>
    <row r="3426">
      <c r="A3426" s="10" t="s">
        <v>37</v>
      </c>
      <c r="B3426" s="94">
        <f t="shared" si="5"/>
        <v>45682</v>
      </c>
      <c r="C3426" s="77" t="s">
        <v>1569</v>
      </c>
      <c r="D3426" s="13">
        <f>D3425</f>
        <v>20211.93</v>
      </c>
      <c r="E3426" s="15">
        <f t="shared" si="1"/>
        <v>2025</v>
      </c>
      <c r="F3426" s="15">
        <f t="shared" si="2"/>
        <v>1</v>
      </c>
      <c r="G3426" s="15">
        <f t="shared" si="3"/>
        <v>25</v>
      </c>
    </row>
    <row r="3427">
      <c r="A3427" s="10" t="s">
        <v>37</v>
      </c>
      <c r="B3427" s="94">
        <f t="shared" si="5"/>
        <v>45682</v>
      </c>
      <c r="C3427" s="77" t="s">
        <v>1570</v>
      </c>
      <c r="D3427" s="13">
        <f>SUMIFS('Lançamentos de receitas'!$E:$E,'Lançamentos de receitas'!$F:$F,"PAGO",'Lançamentos de receitas'!$C:$C,A3427,'Lançamentos de receitas'!$A:$A,B3427)</f>
        <v>1662.36</v>
      </c>
      <c r="E3427" s="15">
        <f t="shared" si="1"/>
        <v>2025</v>
      </c>
      <c r="F3427" s="15">
        <f t="shared" si="2"/>
        <v>1</v>
      </c>
      <c r="G3427" s="15">
        <f t="shared" si="3"/>
        <v>25</v>
      </c>
    </row>
    <row r="3428">
      <c r="A3428" s="10" t="s">
        <v>37</v>
      </c>
      <c r="B3428" s="94">
        <f t="shared" si="5"/>
        <v>45682</v>
      </c>
      <c r="C3428" s="77" t="s">
        <v>1571</v>
      </c>
      <c r="D3428" s="13">
        <f>SUMIFS('Lançamentos de despesas'!$I:$I,'Lançamentos de despesas'!$G:$G,A3428,'Lançamentos de despesas'!$E:$E,"PAGO",'Lançamentos de despesas'!$C:$C,B3428)</f>
        <v>0</v>
      </c>
      <c r="E3428" s="15">
        <f t="shared" si="1"/>
        <v>2025</v>
      </c>
      <c r="F3428" s="15">
        <f t="shared" si="2"/>
        <v>1</v>
      </c>
      <c r="G3428" s="15">
        <f t="shared" si="3"/>
        <v>25</v>
      </c>
    </row>
    <row r="3429">
      <c r="A3429" s="10" t="s">
        <v>37</v>
      </c>
      <c r="B3429" s="94">
        <f t="shared" si="5"/>
        <v>45682</v>
      </c>
      <c r="C3429" s="77" t="s">
        <v>1572</v>
      </c>
      <c r="D3429" s="13">
        <f>D3426+D3427-D3428</f>
        <v>21874.29</v>
      </c>
      <c r="E3429" s="15">
        <f t="shared" si="1"/>
        <v>2025</v>
      </c>
      <c r="F3429" s="15">
        <f t="shared" si="2"/>
        <v>1</v>
      </c>
      <c r="G3429" s="15">
        <f t="shared" si="3"/>
        <v>25</v>
      </c>
    </row>
    <row r="3430">
      <c r="A3430" s="10" t="s">
        <v>37</v>
      </c>
      <c r="B3430" s="94">
        <f t="shared" si="5"/>
        <v>45683</v>
      </c>
      <c r="C3430" s="77" t="s">
        <v>1569</v>
      </c>
      <c r="D3430" s="13">
        <f>D3429</f>
        <v>21874.29</v>
      </c>
      <c r="E3430" s="15">
        <f t="shared" si="1"/>
        <v>2025</v>
      </c>
      <c r="F3430" s="15">
        <f t="shared" si="2"/>
        <v>1</v>
      </c>
      <c r="G3430" s="15">
        <f t="shared" si="3"/>
        <v>26</v>
      </c>
    </row>
    <row r="3431">
      <c r="A3431" s="10" t="s">
        <v>37</v>
      </c>
      <c r="B3431" s="94">
        <f t="shared" si="5"/>
        <v>45683</v>
      </c>
      <c r="C3431" s="77" t="s">
        <v>1570</v>
      </c>
      <c r="D3431" s="13">
        <f>SUMIFS('Lançamentos de receitas'!$E:$E,'Lançamentos de receitas'!$F:$F,"PAGO",'Lançamentos de receitas'!$C:$C,A3431,'Lançamentos de receitas'!$A:$A,B3431)</f>
        <v>1038.61</v>
      </c>
      <c r="E3431" s="15">
        <f t="shared" si="1"/>
        <v>2025</v>
      </c>
      <c r="F3431" s="15">
        <f t="shared" si="2"/>
        <v>1</v>
      </c>
      <c r="G3431" s="15">
        <f t="shared" si="3"/>
        <v>26</v>
      </c>
    </row>
    <row r="3432">
      <c r="A3432" s="10" t="s">
        <v>37</v>
      </c>
      <c r="B3432" s="94">
        <f t="shared" si="5"/>
        <v>45683</v>
      </c>
      <c r="C3432" s="77" t="s">
        <v>1571</v>
      </c>
      <c r="D3432" s="13">
        <f>SUMIFS('Lançamentos de despesas'!$I:$I,'Lançamentos de despesas'!$G:$G,A3432,'Lançamentos de despesas'!$E:$E,"PAGO",'Lançamentos de despesas'!$C:$C,B3432)</f>
        <v>0</v>
      </c>
      <c r="E3432" s="15">
        <f t="shared" si="1"/>
        <v>2025</v>
      </c>
      <c r="F3432" s="15">
        <f t="shared" si="2"/>
        <v>1</v>
      </c>
      <c r="G3432" s="15">
        <f t="shared" si="3"/>
        <v>26</v>
      </c>
    </row>
    <row r="3433">
      <c r="A3433" s="10" t="s">
        <v>37</v>
      </c>
      <c r="B3433" s="94">
        <f t="shared" si="5"/>
        <v>45683</v>
      </c>
      <c r="C3433" s="77" t="s">
        <v>1572</v>
      </c>
      <c r="D3433" s="13">
        <f>D3430+D3431-D3432</f>
        <v>22912.9</v>
      </c>
      <c r="E3433" s="15">
        <f t="shared" si="1"/>
        <v>2025</v>
      </c>
      <c r="F3433" s="15">
        <f t="shared" si="2"/>
        <v>1</v>
      </c>
      <c r="G3433" s="15">
        <f t="shared" si="3"/>
        <v>26</v>
      </c>
    </row>
    <row r="3434">
      <c r="A3434" s="10" t="s">
        <v>37</v>
      </c>
      <c r="B3434" s="94">
        <f t="shared" si="5"/>
        <v>45684</v>
      </c>
      <c r="C3434" s="77" t="s">
        <v>1569</v>
      </c>
      <c r="D3434" s="13">
        <f>D3433</f>
        <v>22912.9</v>
      </c>
      <c r="E3434" s="15">
        <f t="shared" si="1"/>
        <v>2025</v>
      </c>
      <c r="F3434" s="15">
        <f t="shared" si="2"/>
        <v>1</v>
      </c>
      <c r="G3434" s="15">
        <f t="shared" si="3"/>
        <v>27</v>
      </c>
    </row>
    <row r="3435">
      <c r="A3435" s="10" t="s">
        <v>37</v>
      </c>
      <c r="B3435" s="94">
        <f t="shared" si="5"/>
        <v>45684</v>
      </c>
      <c r="C3435" s="77" t="s">
        <v>1570</v>
      </c>
      <c r="D3435" s="13">
        <f>SUMIFS('Lançamentos de receitas'!$E:$E,'Lançamentos de receitas'!$F:$F,"PAGO",'Lançamentos de receitas'!$C:$C,A3435,'Lançamentos de receitas'!$A:$A,B3435)</f>
        <v>2421.84</v>
      </c>
      <c r="E3435" s="15">
        <f t="shared" si="1"/>
        <v>2025</v>
      </c>
      <c r="F3435" s="15">
        <f t="shared" si="2"/>
        <v>1</v>
      </c>
      <c r="G3435" s="15">
        <f t="shared" si="3"/>
        <v>27</v>
      </c>
    </row>
    <row r="3436">
      <c r="A3436" s="10" t="s">
        <v>37</v>
      </c>
      <c r="B3436" s="94">
        <f t="shared" si="5"/>
        <v>45684</v>
      </c>
      <c r="C3436" s="77" t="s">
        <v>1571</v>
      </c>
      <c r="D3436" s="13">
        <f>SUMIFS('Lançamentos de despesas'!$I:$I,'Lançamentos de despesas'!$G:$G,A3436,'Lançamentos de despesas'!$E:$E,"PAGO",'Lançamentos de despesas'!$C:$C,B3436)</f>
        <v>0</v>
      </c>
      <c r="E3436" s="15">
        <f t="shared" si="1"/>
        <v>2025</v>
      </c>
      <c r="F3436" s="15">
        <f t="shared" si="2"/>
        <v>1</v>
      </c>
      <c r="G3436" s="15">
        <f t="shared" si="3"/>
        <v>27</v>
      </c>
    </row>
    <row r="3437">
      <c r="A3437" s="10" t="s">
        <v>37</v>
      </c>
      <c r="B3437" s="94">
        <f t="shared" si="5"/>
        <v>45684</v>
      </c>
      <c r="C3437" s="77" t="s">
        <v>1572</v>
      </c>
      <c r="D3437" s="13">
        <f>D3434+D3435-D3436</f>
        <v>25334.74</v>
      </c>
      <c r="E3437" s="15">
        <f t="shared" si="1"/>
        <v>2025</v>
      </c>
      <c r="F3437" s="15">
        <f t="shared" si="2"/>
        <v>1</v>
      </c>
      <c r="G3437" s="15">
        <f t="shared" si="3"/>
        <v>27</v>
      </c>
    </row>
    <row r="3438">
      <c r="A3438" s="10" t="s">
        <v>37</v>
      </c>
      <c r="B3438" s="94">
        <f t="shared" si="5"/>
        <v>45685</v>
      </c>
      <c r="C3438" s="77" t="s">
        <v>1569</v>
      </c>
      <c r="D3438" s="13">
        <f>D3437</f>
        <v>25334.74</v>
      </c>
      <c r="E3438" s="15">
        <f t="shared" si="1"/>
        <v>2025</v>
      </c>
      <c r="F3438" s="15">
        <f t="shared" si="2"/>
        <v>1</v>
      </c>
      <c r="G3438" s="15">
        <f t="shared" si="3"/>
        <v>28</v>
      </c>
    </row>
    <row r="3439">
      <c r="A3439" s="10" t="s">
        <v>37</v>
      </c>
      <c r="B3439" s="94">
        <f t="shared" si="5"/>
        <v>45685</v>
      </c>
      <c r="C3439" s="77" t="s">
        <v>1570</v>
      </c>
      <c r="D3439" s="13">
        <f>SUMIFS('Lançamentos de receitas'!$E:$E,'Lançamentos de receitas'!$F:$F,"PAGO",'Lançamentos de receitas'!$C:$C,A3439,'Lançamentos de receitas'!$A:$A,B3439)</f>
        <v>295.01</v>
      </c>
      <c r="E3439" s="15">
        <f t="shared" si="1"/>
        <v>2025</v>
      </c>
      <c r="F3439" s="15">
        <f t="shared" si="2"/>
        <v>1</v>
      </c>
      <c r="G3439" s="15">
        <f t="shared" si="3"/>
        <v>28</v>
      </c>
    </row>
    <row r="3440">
      <c r="A3440" s="10" t="s">
        <v>37</v>
      </c>
      <c r="B3440" s="94">
        <f t="shared" si="5"/>
        <v>45685</v>
      </c>
      <c r="C3440" s="77" t="s">
        <v>1571</v>
      </c>
      <c r="D3440" s="13">
        <f>SUMIFS('Lançamentos de despesas'!$I:$I,'Lançamentos de despesas'!$G:$G,A3440,'Lançamentos de despesas'!$E:$E,"PAGO",'Lançamentos de despesas'!$C:$C,B3440)</f>
        <v>0</v>
      </c>
      <c r="E3440" s="15">
        <f t="shared" si="1"/>
        <v>2025</v>
      </c>
      <c r="F3440" s="15">
        <f t="shared" si="2"/>
        <v>1</v>
      </c>
      <c r="G3440" s="15">
        <f t="shared" si="3"/>
        <v>28</v>
      </c>
    </row>
    <row r="3441">
      <c r="A3441" s="10" t="s">
        <v>37</v>
      </c>
      <c r="B3441" s="94">
        <f t="shared" si="5"/>
        <v>45685</v>
      </c>
      <c r="C3441" s="77" t="s">
        <v>1572</v>
      </c>
      <c r="D3441" s="13">
        <f>D3438+D3439-D3440</f>
        <v>25629.75</v>
      </c>
      <c r="E3441" s="15">
        <f t="shared" si="1"/>
        <v>2025</v>
      </c>
      <c r="F3441" s="15">
        <f t="shared" si="2"/>
        <v>1</v>
      </c>
      <c r="G3441" s="15">
        <f t="shared" si="3"/>
        <v>28</v>
      </c>
    </row>
    <row r="3442">
      <c r="A3442" s="10" t="s">
        <v>37</v>
      </c>
      <c r="B3442" s="94">
        <f t="shared" si="5"/>
        <v>45686</v>
      </c>
      <c r="C3442" s="77" t="s">
        <v>1569</v>
      </c>
      <c r="D3442" s="13">
        <f>D3441</f>
        <v>25629.75</v>
      </c>
      <c r="E3442" s="15">
        <f t="shared" si="1"/>
        <v>2025</v>
      </c>
      <c r="F3442" s="15">
        <f t="shared" si="2"/>
        <v>1</v>
      </c>
      <c r="G3442" s="15">
        <f t="shared" si="3"/>
        <v>29</v>
      </c>
    </row>
    <row r="3443">
      <c r="A3443" s="10" t="s">
        <v>37</v>
      </c>
      <c r="B3443" s="94">
        <f t="shared" si="5"/>
        <v>45686</v>
      </c>
      <c r="C3443" s="77" t="s">
        <v>1570</v>
      </c>
      <c r="D3443" s="13">
        <f>SUMIFS('Lançamentos de receitas'!$E:$E,'Lançamentos de receitas'!$F:$F,"PAGO",'Lançamentos de receitas'!$C:$C,A3443,'Lançamentos de receitas'!$A:$A,B3443)</f>
        <v>1224.73</v>
      </c>
      <c r="E3443" s="15">
        <f t="shared" si="1"/>
        <v>2025</v>
      </c>
      <c r="F3443" s="15">
        <f t="shared" si="2"/>
        <v>1</v>
      </c>
      <c r="G3443" s="15">
        <f t="shared" si="3"/>
        <v>29</v>
      </c>
    </row>
    <row r="3444">
      <c r="A3444" s="10" t="s">
        <v>37</v>
      </c>
      <c r="B3444" s="94">
        <f t="shared" si="5"/>
        <v>45686</v>
      </c>
      <c r="C3444" s="77" t="s">
        <v>1571</v>
      </c>
      <c r="D3444" s="13">
        <f>SUMIFS('Lançamentos de despesas'!$I:$I,'Lançamentos de despesas'!$G:$G,A3444,'Lançamentos de despesas'!$E:$E,"PAGO",'Lançamentos de despesas'!$C:$C,B3444)</f>
        <v>420</v>
      </c>
      <c r="E3444" s="15">
        <f t="shared" si="1"/>
        <v>2025</v>
      </c>
      <c r="F3444" s="15">
        <f t="shared" si="2"/>
        <v>1</v>
      </c>
      <c r="G3444" s="15">
        <f t="shared" si="3"/>
        <v>29</v>
      </c>
    </row>
    <row r="3445">
      <c r="A3445" s="10" t="s">
        <v>37</v>
      </c>
      <c r="B3445" s="94">
        <f t="shared" si="5"/>
        <v>45686</v>
      </c>
      <c r="C3445" s="77" t="s">
        <v>1572</v>
      </c>
      <c r="D3445" s="13">
        <f>D3442+D3443-D3444</f>
        <v>26434.48</v>
      </c>
      <c r="E3445" s="15">
        <f t="shared" si="1"/>
        <v>2025</v>
      </c>
      <c r="F3445" s="15">
        <f t="shared" si="2"/>
        <v>1</v>
      </c>
      <c r="G3445" s="15">
        <f t="shared" si="3"/>
        <v>29</v>
      </c>
    </row>
    <row r="3446">
      <c r="A3446" s="10" t="s">
        <v>37</v>
      </c>
      <c r="B3446" s="94">
        <f t="shared" si="5"/>
        <v>45687</v>
      </c>
      <c r="C3446" s="77" t="s">
        <v>1569</v>
      </c>
      <c r="D3446" s="13">
        <f>D3445</f>
        <v>26434.48</v>
      </c>
      <c r="E3446" s="15">
        <f t="shared" si="1"/>
        <v>2025</v>
      </c>
      <c r="F3446" s="15">
        <f t="shared" si="2"/>
        <v>1</v>
      </c>
      <c r="G3446" s="15">
        <f t="shared" si="3"/>
        <v>30</v>
      </c>
    </row>
    <row r="3447">
      <c r="A3447" s="10" t="s">
        <v>37</v>
      </c>
      <c r="B3447" s="94">
        <f t="shared" si="5"/>
        <v>45687</v>
      </c>
      <c r="C3447" s="77" t="s">
        <v>1570</v>
      </c>
      <c r="D3447" s="13">
        <f>SUMIFS('Lançamentos de receitas'!$E:$E,'Lançamentos de receitas'!$F:$F,"PAGO",'Lançamentos de receitas'!$C:$C,A3447,'Lançamentos de receitas'!$A:$A,B3447)</f>
        <v>719.82</v>
      </c>
      <c r="E3447" s="15">
        <f t="shared" si="1"/>
        <v>2025</v>
      </c>
      <c r="F3447" s="15">
        <f t="shared" si="2"/>
        <v>1</v>
      </c>
      <c r="G3447" s="15">
        <f t="shared" si="3"/>
        <v>30</v>
      </c>
    </row>
    <row r="3448">
      <c r="A3448" s="10" t="s">
        <v>37</v>
      </c>
      <c r="B3448" s="94">
        <f t="shared" si="5"/>
        <v>45687</v>
      </c>
      <c r="C3448" s="77" t="s">
        <v>1571</v>
      </c>
      <c r="D3448" s="13">
        <f>SUMIFS('Lançamentos de despesas'!$I:$I,'Lançamentos de despesas'!$G:$G,A3448,'Lançamentos de despesas'!$E:$E,"PAGO",'Lançamentos de despesas'!$C:$C,B3448)</f>
        <v>0</v>
      </c>
      <c r="E3448" s="15">
        <f t="shared" si="1"/>
        <v>2025</v>
      </c>
      <c r="F3448" s="15">
        <f t="shared" si="2"/>
        <v>1</v>
      </c>
      <c r="G3448" s="15">
        <f t="shared" si="3"/>
        <v>30</v>
      </c>
    </row>
    <row r="3449">
      <c r="A3449" s="10" t="s">
        <v>37</v>
      </c>
      <c r="B3449" s="94">
        <f t="shared" si="5"/>
        <v>45687</v>
      </c>
      <c r="C3449" s="77" t="s">
        <v>1572</v>
      </c>
      <c r="D3449" s="13">
        <f>D3446+D3447-D3448</f>
        <v>27154.3</v>
      </c>
      <c r="E3449" s="15">
        <f t="shared" si="1"/>
        <v>2025</v>
      </c>
      <c r="F3449" s="15">
        <f t="shared" si="2"/>
        <v>1</v>
      </c>
      <c r="G3449" s="15">
        <f t="shared" si="3"/>
        <v>30</v>
      </c>
    </row>
    <row r="3450">
      <c r="A3450" s="10" t="s">
        <v>37</v>
      </c>
      <c r="B3450" s="94">
        <f t="shared" si="5"/>
        <v>45688</v>
      </c>
      <c r="C3450" s="77" t="s">
        <v>1569</v>
      </c>
      <c r="D3450" s="13">
        <f>D3449</f>
        <v>27154.3</v>
      </c>
      <c r="E3450" s="15">
        <f t="shared" si="1"/>
        <v>2025</v>
      </c>
      <c r="F3450" s="15">
        <f t="shared" si="2"/>
        <v>1</v>
      </c>
      <c r="G3450" s="15">
        <f t="shared" si="3"/>
        <v>31</v>
      </c>
    </row>
    <row r="3451">
      <c r="A3451" s="10" t="s">
        <v>37</v>
      </c>
      <c r="B3451" s="94">
        <f t="shared" si="5"/>
        <v>45688</v>
      </c>
      <c r="C3451" s="77" t="s">
        <v>1570</v>
      </c>
      <c r="D3451" s="13">
        <f>SUMIFS('Lançamentos de receitas'!$E:$E,'Lançamentos de receitas'!$F:$F,"PAGO",'Lançamentos de receitas'!$C:$C,A3451,'Lançamentos de receitas'!$A:$A,B3451)</f>
        <v>2126.35</v>
      </c>
      <c r="E3451" s="15">
        <f t="shared" si="1"/>
        <v>2025</v>
      </c>
      <c r="F3451" s="15">
        <f t="shared" si="2"/>
        <v>1</v>
      </c>
      <c r="G3451" s="15">
        <f t="shared" si="3"/>
        <v>31</v>
      </c>
    </row>
    <row r="3452">
      <c r="A3452" s="10" t="s">
        <v>37</v>
      </c>
      <c r="B3452" s="94">
        <f t="shared" si="5"/>
        <v>45688</v>
      </c>
      <c r="C3452" s="77" t="s">
        <v>1571</v>
      </c>
      <c r="D3452" s="13">
        <f>SUMIFS('Lançamentos de despesas'!$I:$I,'Lançamentos de despesas'!$G:$G,A3452,'Lançamentos de despesas'!$E:$E,"PAGO",'Lançamentos de despesas'!$C:$C,B3452)</f>
        <v>100</v>
      </c>
      <c r="E3452" s="15">
        <f t="shared" si="1"/>
        <v>2025</v>
      </c>
      <c r="F3452" s="15">
        <f t="shared" si="2"/>
        <v>1</v>
      </c>
      <c r="G3452" s="15">
        <f t="shared" si="3"/>
        <v>31</v>
      </c>
    </row>
    <row r="3453">
      <c r="A3453" s="10" t="s">
        <v>37</v>
      </c>
      <c r="B3453" s="94">
        <f t="shared" si="5"/>
        <v>45688</v>
      </c>
      <c r="C3453" s="77" t="s">
        <v>1572</v>
      </c>
      <c r="D3453" s="13">
        <f>D3450+D3451-D3452</f>
        <v>29180.65</v>
      </c>
      <c r="E3453" s="15">
        <f t="shared" si="1"/>
        <v>2025</v>
      </c>
      <c r="F3453" s="15">
        <f t="shared" si="2"/>
        <v>1</v>
      </c>
      <c r="G3453" s="15">
        <f t="shared" si="3"/>
        <v>31</v>
      </c>
    </row>
    <row r="3454">
      <c r="A3454" s="10" t="s">
        <v>37</v>
      </c>
      <c r="B3454" s="94">
        <f t="shared" si="5"/>
        <v>45689</v>
      </c>
      <c r="C3454" s="77" t="s">
        <v>1569</v>
      </c>
      <c r="D3454" s="13">
        <f>D3453</f>
        <v>29180.65</v>
      </c>
      <c r="E3454" s="15">
        <f t="shared" si="1"/>
        <v>2025</v>
      </c>
      <c r="F3454" s="15">
        <f t="shared" si="2"/>
        <v>2</v>
      </c>
      <c r="G3454" s="15">
        <f t="shared" si="3"/>
        <v>1</v>
      </c>
    </row>
    <row r="3455">
      <c r="A3455" s="10" t="s">
        <v>37</v>
      </c>
      <c r="B3455" s="94">
        <f t="shared" si="5"/>
        <v>45689</v>
      </c>
      <c r="C3455" s="77" t="s">
        <v>1570</v>
      </c>
      <c r="D3455" s="13">
        <f>SUMIFS('Lançamentos de receitas'!$E:$E,'Lançamentos de receitas'!$F:$F,"PAGO",'Lançamentos de receitas'!$C:$C,A3455,'Lançamentos de receitas'!$A:$A,B3455)</f>
        <v>1614.22</v>
      </c>
      <c r="E3455" s="15">
        <f t="shared" si="1"/>
        <v>2025</v>
      </c>
      <c r="F3455" s="15">
        <f t="shared" si="2"/>
        <v>2</v>
      </c>
      <c r="G3455" s="15">
        <f t="shared" si="3"/>
        <v>1</v>
      </c>
    </row>
    <row r="3456">
      <c r="A3456" s="10" t="s">
        <v>37</v>
      </c>
      <c r="B3456" s="94">
        <f t="shared" si="5"/>
        <v>45689</v>
      </c>
      <c r="C3456" s="77" t="s">
        <v>1571</v>
      </c>
      <c r="D3456" s="13">
        <f>SUMIFS('Lançamentos de despesas'!$I:$I,'Lançamentos de despesas'!$G:$G,A3456,'Lançamentos de despesas'!$E:$E,"PAGO",'Lançamentos de despesas'!$C:$C,B3456)</f>
        <v>59.5</v>
      </c>
      <c r="E3456" s="15">
        <f t="shared" si="1"/>
        <v>2025</v>
      </c>
      <c r="F3456" s="15">
        <f t="shared" si="2"/>
        <v>2</v>
      </c>
      <c r="G3456" s="15">
        <f t="shared" si="3"/>
        <v>1</v>
      </c>
    </row>
    <row r="3457">
      <c r="A3457" s="10" t="s">
        <v>37</v>
      </c>
      <c r="B3457" s="94">
        <f t="shared" si="5"/>
        <v>45689</v>
      </c>
      <c r="C3457" s="77" t="s">
        <v>1572</v>
      </c>
      <c r="D3457" s="13">
        <f>D3454+D3455-D3456</f>
        <v>30735.37</v>
      </c>
      <c r="E3457" s="15">
        <f t="shared" si="1"/>
        <v>2025</v>
      </c>
      <c r="F3457" s="15">
        <f t="shared" si="2"/>
        <v>2</v>
      </c>
      <c r="G3457" s="15">
        <f t="shared" si="3"/>
        <v>1</v>
      </c>
    </row>
    <row r="3458">
      <c r="A3458" s="10" t="s">
        <v>37</v>
      </c>
      <c r="B3458" s="94">
        <f t="shared" si="5"/>
        <v>45690</v>
      </c>
      <c r="C3458" s="77" t="s">
        <v>1569</v>
      </c>
      <c r="D3458" s="13">
        <f>D3457</f>
        <v>30735.37</v>
      </c>
      <c r="E3458" s="15">
        <f t="shared" si="1"/>
        <v>2025</v>
      </c>
      <c r="F3458" s="15">
        <f t="shared" si="2"/>
        <v>2</v>
      </c>
      <c r="G3458" s="15">
        <f t="shared" si="3"/>
        <v>2</v>
      </c>
    </row>
    <row r="3459">
      <c r="A3459" s="10" t="s">
        <v>37</v>
      </c>
      <c r="B3459" s="94">
        <f t="shared" si="5"/>
        <v>45690</v>
      </c>
      <c r="C3459" s="77" t="s">
        <v>1570</v>
      </c>
      <c r="D3459" s="13">
        <f>SUMIFS('Lançamentos de receitas'!$E:$E,'Lançamentos de receitas'!$F:$F,"PAGO",'Lançamentos de receitas'!$C:$C,A3459,'Lançamentos de receitas'!$A:$A,B3459)</f>
        <v>1261.5</v>
      </c>
      <c r="E3459" s="15">
        <f t="shared" si="1"/>
        <v>2025</v>
      </c>
      <c r="F3459" s="15">
        <f t="shared" si="2"/>
        <v>2</v>
      </c>
      <c r="G3459" s="15">
        <f t="shared" si="3"/>
        <v>2</v>
      </c>
    </row>
    <row r="3460">
      <c r="A3460" s="10" t="s">
        <v>37</v>
      </c>
      <c r="B3460" s="94">
        <f t="shared" si="5"/>
        <v>45690</v>
      </c>
      <c r="C3460" s="77" t="s">
        <v>1571</v>
      </c>
      <c r="D3460" s="13">
        <f>SUMIFS('Lançamentos de despesas'!$I:$I,'Lançamentos de despesas'!$G:$G,A3460,'Lançamentos de despesas'!$E:$E,"PAGO",'Lançamentos de despesas'!$C:$C,B3460)</f>
        <v>0</v>
      </c>
      <c r="E3460" s="15">
        <f t="shared" si="1"/>
        <v>2025</v>
      </c>
      <c r="F3460" s="15">
        <f t="shared" si="2"/>
        <v>2</v>
      </c>
      <c r="G3460" s="15">
        <f t="shared" si="3"/>
        <v>2</v>
      </c>
    </row>
    <row r="3461">
      <c r="A3461" s="10" t="s">
        <v>37</v>
      </c>
      <c r="B3461" s="94">
        <f t="shared" si="5"/>
        <v>45690</v>
      </c>
      <c r="C3461" s="77" t="s">
        <v>1572</v>
      </c>
      <c r="D3461" s="13">
        <f>D3458+D3459-D3460</f>
        <v>31996.87</v>
      </c>
      <c r="E3461" s="15">
        <f t="shared" si="1"/>
        <v>2025</v>
      </c>
      <c r="F3461" s="15">
        <f t="shared" si="2"/>
        <v>2</v>
      </c>
      <c r="G3461" s="15">
        <f t="shared" si="3"/>
        <v>2</v>
      </c>
    </row>
    <row r="3462">
      <c r="A3462" s="10" t="s">
        <v>37</v>
      </c>
      <c r="B3462" s="94">
        <f t="shared" si="5"/>
        <v>45691</v>
      </c>
      <c r="C3462" s="77" t="s">
        <v>1569</v>
      </c>
      <c r="D3462" s="13">
        <f>D3461</f>
        <v>31996.87</v>
      </c>
      <c r="E3462" s="15">
        <f t="shared" si="1"/>
        <v>2025</v>
      </c>
      <c r="F3462" s="15">
        <f t="shared" si="2"/>
        <v>2</v>
      </c>
      <c r="G3462" s="15">
        <f t="shared" si="3"/>
        <v>3</v>
      </c>
    </row>
    <row r="3463">
      <c r="A3463" s="10" t="s">
        <v>37</v>
      </c>
      <c r="B3463" s="94">
        <f t="shared" si="5"/>
        <v>45691</v>
      </c>
      <c r="C3463" s="77" t="s">
        <v>1570</v>
      </c>
      <c r="D3463" s="13">
        <f>SUMIFS('Lançamentos de receitas'!$E:$E,'Lançamentos de receitas'!$F:$F,"PAGO",'Lançamentos de receitas'!$C:$C,A3463,'Lançamentos de receitas'!$A:$A,B3463)</f>
        <v>310.19</v>
      </c>
      <c r="E3463" s="15">
        <f t="shared" si="1"/>
        <v>2025</v>
      </c>
      <c r="F3463" s="15">
        <f t="shared" si="2"/>
        <v>2</v>
      </c>
      <c r="G3463" s="15">
        <f t="shared" si="3"/>
        <v>3</v>
      </c>
    </row>
    <row r="3464">
      <c r="A3464" s="10" t="s">
        <v>37</v>
      </c>
      <c r="B3464" s="94">
        <f t="shared" si="5"/>
        <v>45691</v>
      </c>
      <c r="C3464" s="77" t="s">
        <v>1571</v>
      </c>
      <c r="D3464" s="13">
        <f>SUMIFS('Lançamentos de despesas'!$I:$I,'Lançamentos de despesas'!$G:$G,A3464,'Lançamentos de despesas'!$E:$E,"PAGO",'Lançamentos de despesas'!$C:$C,B3464)</f>
        <v>1980.09</v>
      </c>
      <c r="E3464" s="15">
        <f t="shared" si="1"/>
        <v>2025</v>
      </c>
      <c r="F3464" s="15">
        <f t="shared" si="2"/>
        <v>2</v>
      </c>
      <c r="G3464" s="15">
        <f t="shared" si="3"/>
        <v>3</v>
      </c>
    </row>
    <row r="3465">
      <c r="A3465" s="10" t="s">
        <v>37</v>
      </c>
      <c r="B3465" s="94">
        <f t="shared" si="5"/>
        <v>45691</v>
      </c>
      <c r="C3465" s="77" t="s">
        <v>1572</v>
      </c>
      <c r="D3465" s="13">
        <f>D3462+D3463-D3464</f>
        <v>30326.97</v>
      </c>
      <c r="E3465" s="15">
        <f t="shared" si="1"/>
        <v>2025</v>
      </c>
      <c r="F3465" s="15">
        <f t="shared" si="2"/>
        <v>2</v>
      </c>
      <c r="G3465" s="15">
        <f t="shared" si="3"/>
        <v>3</v>
      </c>
    </row>
    <row r="3466">
      <c r="A3466" s="10" t="s">
        <v>37</v>
      </c>
      <c r="B3466" s="94">
        <f t="shared" si="5"/>
        <v>45692</v>
      </c>
      <c r="C3466" s="77" t="s">
        <v>1569</v>
      </c>
      <c r="D3466" s="13">
        <f>D3465</f>
        <v>30326.97</v>
      </c>
      <c r="E3466" s="15">
        <f t="shared" si="1"/>
        <v>2025</v>
      </c>
      <c r="F3466" s="15">
        <f t="shared" si="2"/>
        <v>2</v>
      </c>
      <c r="G3466" s="15">
        <f t="shared" si="3"/>
        <v>4</v>
      </c>
    </row>
    <row r="3467">
      <c r="A3467" s="10" t="s">
        <v>37</v>
      </c>
      <c r="B3467" s="94">
        <f t="shared" si="5"/>
        <v>45692</v>
      </c>
      <c r="C3467" s="77" t="s">
        <v>1570</v>
      </c>
      <c r="D3467" s="13">
        <f>SUMIFS('Lançamentos de receitas'!$E:$E,'Lançamentos de receitas'!$F:$F,"PAGO",'Lançamentos de receitas'!$C:$C,A3467,'Lançamentos de receitas'!$A:$A,B3467)</f>
        <v>1440.97</v>
      </c>
      <c r="E3467" s="15">
        <f t="shared" si="1"/>
        <v>2025</v>
      </c>
      <c r="F3467" s="15">
        <f t="shared" si="2"/>
        <v>2</v>
      </c>
      <c r="G3467" s="15">
        <f t="shared" si="3"/>
        <v>4</v>
      </c>
    </row>
    <row r="3468">
      <c r="A3468" s="10" t="s">
        <v>37</v>
      </c>
      <c r="B3468" s="94">
        <f t="shared" si="5"/>
        <v>45692</v>
      </c>
      <c r="C3468" s="77" t="s">
        <v>1571</v>
      </c>
      <c r="D3468" s="13">
        <f>SUMIFS('Lançamentos de despesas'!$I:$I,'Lançamentos de despesas'!$G:$G,A3468,'Lançamentos de despesas'!$E:$E,"PAGO",'Lançamentos de despesas'!$C:$C,B3468)</f>
        <v>0</v>
      </c>
      <c r="E3468" s="15">
        <f t="shared" si="1"/>
        <v>2025</v>
      </c>
      <c r="F3468" s="15">
        <f t="shared" si="2"/>
        <v>2</v>
      </c>
      <c r="G3468" s="15">
        <f t="shared" si="3"/>
        <v>4</v>
      </c>
    </row>
    <row r="3469">
      <c r="A3469" s="10" t="s">
        <v>37</v>
      </c>
      <c r="B3469" s="94">
        <f t="shared" si="5"/>
        <v>45692</v>
      </c>
      <c r="C3469" s="77" t="s">
        <v>1572</v>
      </c>
      <c r="D3469" s="13">
        <f>D3466+D3467-D3468</f>
        <v>31767.94</v>
      </c>
      <c r="E3469" s="15">
        <f t="shared" si="1"/>
        <v>2025</v>
      </c>
      <c r="F3469" s="15">
        <f t="shared" si="2"/>
        <v>2</v>
      </c>
      <c r="G3469" s="15">
        <f t="shared" si="3"/>
        <v>4</v>
      </c>
    </row>
    <row r="3470">
      <c r="A3470" s="10" t="s">
        <v>37</v>
      </c>
      <c r="B3470" s="94">
        <f t="shared" si="5"/>
        <v>45693</v>
      </c>
      <c r="C3470" s="77" t="s">
        <v>1569</v>
      </c>
      <c r="D3470" s="13">
        <f>D3469</f>
        <v>31767.94</v>
      </c>
      <c r="E3470" s="15">
        <f t="shared" si="1"/>
        <v>2025</v>
      </c>
      <c r="F3470" s="15">
        <f t="shared" si="2"/>
        <v>2</v>
      </c>
      <c r="G3470" s="15">
        <f t="shared" si="3"/>
        <v>5</v>
      </c>
    </row>
    <row r="3471">
      <c r="A3471" s="10" t="s">
        <v>37</v>
      </c>
      <c r="B3471" s="94">
        <f t="shared" si="5"/>
        <v>45693</v>
      </c>
      <c r="C3471" s="77" t="s">
        <v>1570</v>
      </c>
      <c r="D3471" s="13">
        <f>SUMIFS('Lançamentos de receitas'!$E:$E,'Lançamentos de receitas'!$F:$F,"PAGO",'Lançamentos de receitas'!$C:$C,A3471,'Lançamentos de receitas'!$A:$A,B3471)</f>
        <v>1501.9</v>
      </c>
      <c r="E3471" s="15">
        <f t="shared" si="1"/>
        <v>2025</v>
      </c>
      <c r="F3471" s="15">
        <f t="shared" si="2"/>
        <v>2</v>
      </c>
      <c r="G3471" s="15">
        <f t="shared" si="3"/>
        <v>5</v>
      </c>
    </row>
    <row r="3472">
      <c r="A3472" s="10" t="s">
        <v>37</v>
      </c>
      <c r="B3472" s="94">
        <f t="shared" si="5"/>
        <v>45693</v>
      </c>
      <c r="C3472" s="77" t="s">
        <v>1571</v>
      </c>
      <c r="D3472" s="13">
        <f>SUMIFS('Lançamentos de despesas'!$I:$I,'Lançamentos de despesas'!$G:$G,A3472,'Lançamentos de despesas'!$E:$E,"PAGO",'Lançamentos de despesas'!$C:$C,B3472)</f>
        <v>229.5</v>
      </c>
      <c r="E3472" s="15">
        <f t="shared" si="1"/>
        <v>2025</v>
      </c>
      <c r="F3472" s="15">
        <f t="shared" si="2"/>
        <v>2</v>
      </c>
      <c r="G3472" s="15">
        <f t="shared" si="3"/>
        <v>5</v>
      </c>
    </row>
    <row r="3473">
      <c r="A3473" s="10" t="s">
        <v>37</v>
      </c>
      <c r="B3473" s="94">
        <f t="shared" si="5"/>
        <v>45693</v>
      </c>
      <c r="C3473" s="77" t="s">
        <v>1572</v>
      </c>
      <c r="D3473" s="13">
        <f>D3470+D3471-D3472</f>
        <v>33040.34</v>
      </c>
      <c r="E3473" s="15">
        <f t="shared" si="1"/>
        <v>2025</v>
      </c>
      <c r="F3473" s="15">
        <f t="shared" si="2"/>
        <v>2</v>
      </c>
      <c r="G3473" s="15">
        <f t="shared" si="3"/>
        <v>5</v>
      </c>
    </row>
    <row r="3474">
      <c r="A3474" s="10" t="s">
        <v>37</v>
      </c>
      <c r="B3474" s="94">
        <f t="shared" si="5"/>
        <v>45694</v>
      </c>
      <c r="C3474" s="77" t="s">
        <v>1569</v>
      </c>
      <c r="D3474" s="13">
        <f>D3473</f>
        <v>33040.34</v>
      </c>
      <c r="E3474" s="15">
        <f t="shared" si="1"/>
        <v>2025</v>
      </c>
      <c r="F3474" s="15">
        <f t="shared" si="2"/>
        <v>2</v>
      </c>
      <c r="G3474" s="15">
        <f t="shared" si="3"/>
        <v>6</v>
      </c>
    </row>
    <row r="3475">
      <c r="A3475" s="10" t="s">
        <v>37</v>
      </c>
      <c r="B3475" s="94">
        <f t="shared" si="5"/>
        <v>45694</v>
      </c>
      <c r="C3475" s="77" t="s">
        <v>1570</v>
      </c>
      <c r="D3475" s="13">
        <f>SUMIFS('Lançamentos de receitas'!$E:$E,'Lançamentos de receitas'!$F:$F,"PAGO",'Lançamentos de receitas'!$C:$C,A3475,'Lançamentos de receitas'!$A:$A,B3475)</f>
        <v>1194.84</v>
      </c>
      <c r="E3475" s="15">
        <f t="shared" si="1"/>
        <v>2025</v>
      </c>
      <c r="F3475" s="15">
        <f t="shared" si="2"/>
        <v>2</v>
      </c>
      <c r="G3475" s="15">
        <f t="shared" si="3"/>
        <v>6</v>
      </c>
    </row>
    <row r="3476">
      <c r="A3476" s="10" t="s">
        <v>37</v>
      </c>
      <c r="B3476" s="94">
        <f t="shared" si="5"/>
        <v>45694</v>
      </c>
      <c r="C3476" s="77" t="s">
        <v>1571</v>
      </c>
      <c r="D3476" s="13">
        <f>SUMIFS('Lançamentos de despesas'!$I:$I,'Lançamentos de despesas'!$G:$G,A3476,'Lançamentos de despesas'!$E:$E,"PAGO",'Lançamentos de despesas'!$C:$C,B3476)</f>
        <v>3450</v>
      </c>
      <c r="E3476" s="15">
        <f t="shared" si="1"/>
        <v>2025</v>
      </c>
      <c r="F3476" s="15">
        <f t="shared" si="2"/>
        <v>2</v>
      </c>
      <c r="G3476" s="15">
        <f t="shared" si="3"/>
        <v>6</v>
      </c>
    </row>
    <row r="3477">
      <c r="A3477" s="10" t="s">
        <v>37</v>
      </c>
      <c r="B3477" s="94">
        <f t="shared" si="5"/>
        <v>45694</v>
      </c>
      <c r="C3477" s="77" t="s">
        <v>1572</v>
      </c>
      <c r="D3477" s="13">
        <f>D3474+D3475-D3476</f>
        <v>30785.18</v>
      </c>
      <c r="E3477" s="15">
        <f t="shared" si="1"/>
        <v>2025</v>
      </c>
      <c r="F3477" s="15">
        <f t="shared" si="2"/>
        <v>2</v>
      </c>
      <c r="G3477" s="15">
        <f t="shared" si="3"/>
        <v>6</v>
      </c>
    </row>
    <row r="3478">
      <c r="A3478" s="10" t="s">
        <v>37</v>
      </c>
      <c r="B3478" s="94">
        <f t="shared" si="5"/>
        <v>45695</v>
      </c>
      <c r="C3478" s="77" t="s">
        <v>1569</v>
      </c>
      <c r="D3478" s="13">
        <f>D3477</f>
        <v>30785.18</v>
      </c>
      <c r="E3478" s="15">
        <f t="shared" si="1"/>
        <v>2025</v>
      </c>
      <c r="F3478" s="15">
        <f t="shared" si="2"/>
        <v>2</v>
      </c>
      <c r="G3478" s="15">
        <f t="shared" si="3"/>
        <v>7</v>
      </c>
    </row>
    <row r="3479">
      <c r="A3479" s="10" t="s">
        <v>37</v>
      </c>
      <c r="B3479" s="94">
        <f t="shared" si="5"/>
        <v>45695</v>
      </c>
      <c r="C3479" s="77" t="s">
        <v>1570</v>
      </c>
      <c r="D3479" s="13">
        <f>SUMIFS('Lançamentos de receitas'!$E:$E,'Lançamentos de receitas'!$F:$F,"PAGO",'Lançamentos de receitas'!$C:$C,A3479,'Lançamentos de receitas'!$A:$A,B3479)</f>
        <v>1565.45</v>
      </c>
      <c r="E3479" s="15">
        <f t="shared" si="1"/>
        <v>2025</v>
      </c>
      <c r="F3479" s="15">
        <f t="shared" si="2"/>
        <v>2</v>
      </c>
      <c r="G3479" s="15">
        <f t="shared" si="3"/>
        <v>7</v>
      </c>
    </row>
    <row r="3480">
      <c r="A3480" s="10" t="s">
        <v>37</v>
      </c>
      <c r="B3480" s="94">
        <f t="shared" si="5"/>
        <v>45695</v>
      </c>
      <c r="C3480" s="77" t="s">
        <v>1571</v>
      </c>
      <c r="D3480" s="13">
        <f>SUMIFS('Lançamentos de despesas'!$I:$I,'Lançamentos de despesas'!$G:$G,A3480,'Lançamentos de despesas'!$E:$E,"PAGO",'Lançamentos de despesas'!$C:$C,B3480)</f>
        <v>0</v>
      </c>
      <c r="E3480" s="15">
        <f t="shared" si="1"/>
        <v>2025</v>
      </c>
      <c r="F3480" s="15">
        <f t="shared" si="2"/>
        <v>2</v>
      </c>
      <c r="G3480" s="15">
        <f t="shared" si="3"/>
        <v>7</v>
      </c>
    </row>
    <row r="3481">
      <c r="A3481" s="10" t="s">
        <v>37</v>
      </c>
      <c r="B3481" s="94">
        <f t="shared" si="5"/>
        <v>45695</v>
      </c>
      <c r="C3481" s="77" t="s">
        <v>1572</v>
      </c>
      <c r="D3481" s="13">
        <f>D3478+D3479-D3480</f>
        <v>32350.63</v>
      </c>
      <c r="E3481" s="15">
        <f t="shared" si="1"/>
        <v>2025</v>
      </c>
      <c r="F3481" s="15">
        <f t="shared" si="2"/>
        <v>2</v>
      </c>
      <c r="G3481" s="15">
        <f t="shared" si="3"/>
        <v>7</v>
      </c>
    </row>
    <row r="3482">
      <c r="A3482" s="10" t="s">
        <v>37</v>
      </c>
      <c r="B3482" s="94">
        <f t="shared" si="5"/>
        <v>45696</v>
      </c>
      <c r="C3482" s="77" t="s">
        <v>1569</v>
      </c>
      <c r="D3482" s="13">
        <f>D3481</f>
        <v>32350.63</v>
      </c>
      <c r="E3482" s="15">
        <f t="shared" si="1"/>
        <v>2025</v>
      </c>
      <c r="F3482" s="15">
        <f t="shared" si="2"/>
        <v>2</v>
      </c>
      <c r="G3482" s="15">
        <f t="shared" si="3"/>
        <v>8</v>
      </c>
    </row>
    <row r="3483">
      <c r="A3483" s="10" t="s">
        <v>37</v>
      </c>
      <c r="B3483" s="94">
        <f t="shared" si="5"/>
        <v>45696</v>
      </c>
      <c r="C3483" s="77" t="s">
        <v>1570</v>
      </c>
      <c r="D3483" s="13">
        <f>SUMIFS('Lançamentos de receitas'!$E:$E,'Lançamentos de receitas'!$F:$F,"PAGO",'Lançamentos de receitas'!$C:$C,A3483,'Lançamentos de receitas'!$A:$A,B3483)</f>
        <v>1351.1</v>
      </c>
      <c r="E3483" s="15">
        <f t="shared" si="1"/>
        <v>2025</v>
      </c>
      <c r="F3483" s="15">
        <f t="shared" si="2"/>
        <v>2</v>
      </c>
      <c r="G3483" s="15">
        <f t="shared" si="3"/>
        <v>8</v>
      </c>
    </row>
    <row r="3484">
      <c r="A3484" s="10" t="s">
        <v>37</v>
      </c>
      <c r="B3484" s="94">
        <f t="shared" si="5"/>
        <v>45696</v>
      </c>
      <c r="C3484" s="77" t="s">
        <v>1571</v>
      </c>
      <c r="D3484" s="13">
        <f>SUMIFS('Lançamentos de despesas'!$I:$I,'Lançamentos de despesas'!$G:$G,A3484,'Lançamentos de despesas'!$E:$E,"PAGO",'Lançamentos de despesas'!$C:$C,B3484)</f>
        <v>0</v>
      </c>
      <c r="E3484" s="15">
        <f t="shared" si="1"/>
        <v>2025</v>
      </c>
      <c r="F3484" s="15">
        <f t="shared" si="2"/>
        <v>2</v>
      </c>
      <c r="G3484" s="15">
        <f t="shared" si="3"/>
        <v>8</v>
      </c>
    </row>
    <row r="3485">
      <c r="A3485" s="10" t="s">
        <v>37</v>
      </c>
      <c r="B3485" s="94">
        <f t="shared" si="5"/>
        <v>45696</v>
      </c>
      <c r="C3485" s="77" t="s">
        <v>1572</v>
      </c>
      <c r="D3485" s="13">
        <f>D3482+D3483-D3484</f>
        <v>33701.73</v>
      </c>
      <c r="E3485" s="15">
        <f t="shared" si="1"/>
        <v>2025</v>
      </c>
      <c r="F3485" s="15">
        <f t="shared" si="2"/>
        <v>2</v>
      </c>
      <c r="G3485" s="15">
        <f t="shared" si="3"/>
        <v>8</v>
      </c>
    </row>
    <row r="3486">
      <c r="A3486" s="10" t="s">
        <v>37</v>
      </c>
      <c r="B3486" s="94">
        <f t="shared" si="5"/>
        <v>45697</v>
      </c>
      <c r="C3486" s="77" t="s">
        <v>1569</v>
      </c>
      <c r="D3486" s="13">
        <f>D3485</f>
        <v>33701.73</v>
      </c>
      <c r="E3486" s="15">
        <f t="shared" si="1"/>
        <v>2025</v>
      </c>
      <c r="F3486" s="15">
        <f t="shared" si="2"/>
        <v>2</v>
      </c>
      <c r="G3486" s="15">
        <f t="shared" si="3"/>
        <v>9</v>
      </c>
    </row>
    <row r="3487">
      <c r="A3487" s="10" t="s">
        <v>37</v>
      </c>
      <c r="B3487" s="94">
        <f t="shared" si="5"/>
        <v>45697</v>
      </c>
      <c r="C3487" s="77" t="s">
        <v>1570</v>
      </c>
      <c r="D3487" s="13">
        <f>SUMIFS('Lançamentos de receitas'!$E:$E,'Lançamentos de receitas'!$F:$F,"PAGO",'Lançamentos de receitas'!$C:$C,A3487,'Lançamentos de receitas'!$A:$A,B3487)</f>
        <v>1219.62</v>
      </c>
      <c r="E3487" s="15">
        <f t="shared" si="1"/>
        <v>2025</v>
      </c>
      <c r="F3487" s="15">
        <f t="shared" si="2"/>
        <v>2</v>
      </c>
      <c r="G3487" s="15">
        <f t="shared" si="3"/>
        <v>9</v>
      </c>
    </row>
    <row r="3488">
      <c r="A3488" s="10" t="s">
        <v>37</v>
      </c>
      <c r="B3488" s="94">
        <f t="shared" si="5"/>
        <v>45697</v>
      </c>
      <c r="C3488" s="77" t="s">
        <v>1571</v>
      </c>
      <c r="D3488" s="13">
        <f>SUMIFS('Lançamentos de despesas'!$I:$I,'Lançamentos de despesas'!$G:$G,A3488,'Lançamentos de despesas'!$E:$E,"PAGO",'Lançamentos de despesas'!$C:$C,B3488)</f>
        <v>0</v>
      </c>
      <c r="E3488" s="15">
        <f t="shared" si="1"/>
        <v>2025</v>
      </c>
      <c r="F3488" s="15">
        <f t="shared" si="2"/>
        <v>2</v>
      </c>
      <c r="G3488" s="15">
        <f t="shared" si="3"/>
        <v>9</v>
      </c>
    </row>
    <row r="3489">
      <c r="A3489" s="10" t="s">
        <v>37</v>
      </c>
      <c r="B3489" s="94">
        <f t="shared" si="5"/>
        <v>45697</v>
      </c>
      <c r="C3489" s="77" t="s">
        <v>1572</v>
      </c>
      <c r="D3489" s="13">
        <f>D3486+D3487-D3488</f>
        <v>34921.35</v>
      </c>
      <c r="E3489" s="15">
        <f t="shared" si="1"/>
        <v>2025</v>
      </c>
      <c r="F3489" s="15">
        <f t="shared" si="2"/>
        <v>2</v>
      </c>
      <c r="G3489" s="15">
        <f t="shared" si="3"/>
        <v>9</v>
      </c>
    </row>
    <row r="3490">
      <c r="A3490" s="10" t="s">
        <v>37</v>
      </c>
      <c r="B3490" s="94">
        <f t="shared" si="5"/>
        <v>45698</v>
      </c>
      <c r="C3490" s="77" t="s">
        <v>1569</v>
      </c>
      <c r="D3490" s="13">
        <f>D3489</f>
        <v>34921.35</v>
      </c>
      <c r="E3490" s="15">
        <f t="shared" si="1"/>
        <v>2025</v>
      </c>
      <c r="F3490" s="15">
        <f t="shared" si="2"/>
        <v>2</v>
      </c>
      <c r="G3490" s="15">
        <f t="shared" si="3"/>
        <v>10</v>
      </c>
    </row>
    <row r="3491">
      <c r="A3491" s="10" t="s">
        <v>37</v>
      </c>
      <c r="B3491" s="94">
        <f t="shared" si="5"/>
        <v>45698</v>
      </c>
      <c r="C3491" s="77" t="s">
        <v>1570</v>
      </c>
      <c r="D3491" s="13">
        <f>SUMIFS('Lançamentos de receitas'!$E:$E,'Lançamentos de receitas'!$F:$F,"PAGO",'Lançamentos de receitas'!$C:$C,A3491,'Lançamentos de receitas'!$A:$A,B3491)</f>
        <v>1801.08</v>
      </c>
      <c r="E3491" s="15">
        <f t="shared" si="1"/>
        <v>2025</v>
      </c>
      <c r="F3491" s="15">
        <f t="shared" si="2"/>
        <v>2</v>
      </c>
      <c r="G3491" s="15">
        <f t="shared" si="3"/>
        <v>10</v>
      </c>
    </row>
    <row r="3492">
      <c r="A3492" s="10" t="s">
        <v>37</v>
      </c>
      <c r="B3492" s="94">
        <f t="shared" si="5"/>
        <v>45698</v>
      </c>
      <c r="C3492" s="77" t="s">
        <v>1571</v>
      </c>
      <c r="D3492" s="13">
        <f>SUMIFS('Lançamentos de despesas'!$I:$I,'Lançamentos de despesas'!$G:$G,A3492,'Lançamentos de despesas'!$E:$E,"PAGO",'Lançamentos de despesas'!$C:$C,B3492)</f>
        <v>497</v>
      </c>
      <c r="E3492" s="15">
        <f t="shared" si="1"/>
        <v>2025</v>
      </c>
      <c r="F3492" s="15">
        <f t="shared" si="2"/>
        <v>2</v>
      </c>
      <c r="G3492" s="15">
        <f t="shared" si="3"/>
        <v>10</v>
      </c>
    </row>
    <row r="3493">
      <c r="A3493" s="10" t="s">
        <v>37</v>
      </c>
      <c r="B3493" s="94">
        <f t="shared" si="5"/>
        <v>45698</v>
      </c>
      <c r="C3493" s="77" t="s">
        <v>1572</v>
      </c>
      <c r="D3493" s="13">
        <f>D3490+D3491-D3492</f>
        <v>36225.43</v>
      </c>
      <c r="E3493" s="15">
        <f t="shared" si="1"/>
        <v>2025</v>
      </c>
      <c r="F3493" s="15">
        <f t="shared" si="2"/>
        <v>2</v>
      </c>
      <c r="G3493" s="15">
        <f t="shared" si="3"/>
        <v>10</v>
      </c>
    </row>
    <row r="3494">
      <c r="A3494" s="10" t="s">
        <v>37</v>
      </c>
      <c r="B3494" s="94">
        <f t="shared" si="5"/>
        <v>45699</v>
      </c>
      <c r="C3494" s="77" t="s">
        <v>1569</v>
      </c>
      <c r="D3494" s="13">
        <f>D3493</f>
        <v>36225.43</v>
      </c>
      <c r="E3494" s="15">
        <f t="shared" si="1"/>
        <v>2025</v>
      </c>
      <c r="F3494" s="15">
        <f t="shared" si="2"/>
        <v>2</v>
      </c>
      <c r="G3494" s="15">
        <f t="shared" si="3"/>
        <v>11</v>
      </c>
    </row>
    <row r="3495">
      <c r="A3495" s="10" t="s">
        <v>37</v>
      </c>
      <c r="B3495" s="94">
        <f t="shared" si="5"/>
        <v>45699</v>
      </c>
      <c r="C3495" s="77" t="s">
        <v>1570</v>
      </c>
      <c r="D3495" s="13">
        <f>SUMIFS('Lançamentos de receitas'!$E:$E,'Lançamentos de receitas'!$F:$F,"PAGO",'Lançamentos de receitas'!$C:$C,A3495,'Lançamentos de receitas'!$A:$A,B3495)</f>
        <v>105.88</v>
      </c>
      <c r="E3495" s="15">
        <f t="shared" si="1"/>
        <v>2025</v>
      </c>
      <c r="F3495" s="15">
        <f t="shared" si="2"/>
        <v>2</v>
      </c>
      <c r="G3495" s="15">
        <f t="shared" si="3"/>
        <v>11</v>
      </c>
    </row>
    <row r="3496">
      <c r="A3496" s="10" t="s">
        <v>37</v>
      </c>
      <c r="B3496" s="94">
        <f t="shared" si="5"/>
        <v>45699</v>
      </c>
      <c r="C3496" s="77" t="s">
        <v>1571</v>
      </c>
      <c r="D3496" s="13">
        <f>SUMIFS('Lançamentos de despesas'!$I:$I,'Lançamentos de despesas'!$G:$G,A3496,'Lançamentos de despesas'!$E:$E,"PAGO",'Lançamentos de despesas'!$C:$C,B3496)</f>
        <v>616.47</v>
      </c>
      <c r="E3496" s="15">
        <f t="shared" si="1"/>
        <v>2025</v>
      </c>
      <c r="F3496" s="15">
        <f t="shared" si="2"/>
        <v>2</v>
      </c>
      <c r="G3496" s="15">
        <f t="shared" si="3"/>
        <v>11</v>
      </c>
    </row>
    <row r="3497">
      <c r="A3497" s="10" t="s">
        <v>37</v>
      </c>
      <c r="B3497" s="94">
        <f t="shared" si="5"/>
        <v>45699</v>
      </c>
      <c r="C3497" s="77" t="s">
        <v>1572</v>
      </c>
      <c r="D3497" s="13">
        <f>D3494+D3495-D3496</f>
        <v>35714.84</v>
      </c>
      <c r="E3497" s="15">
        <f t="shared" si="1"/>
        <v>2025</v>
      </c>
      <c r="F3497" s="15">
        <f t="shared" si="2"/>
        <v>2</v>
      </c>
      <c r="G3497" s="15">
        <f t="shared" si="3"/>
        <v>11</v>
      </c>
    </row>
    <row r="3498">
      <c r="A3498" s="10" t="s">
        <v>37</v>
      </c>
      <c r="B3498" s="94">
        <f t="shared" si="5"/>
        <v>45700</v>
      </c>
      <c r="C3498" s="77" t="s">
        <v>1569</v>
      </c>
      <c r="D3498" s="13">
        <f>D3497</f>
        <v>35714.84</v>
      </c>
      <c r="E3498" s="15">
        <f t="shared" si="1"/>
        <v>2025</v>
      </c>
      <c r="F3498" s="15">
        <f t="shared" si="2"/>
        <v>2</v>
      </c>
      <c r="G3498" s="15">
        <f t="shared" si="3"/>
        <v>12</v>
      </c>
    </row>
    <row r="3499">
      <c r="A3499" s="10" t="s">
        <v>37</v>
      </c>
      <c r="B3499" s="94">
        <f t="shared" si="5"/>
        <v>45700</v>
      </c>
      <c r="C3499" s="77" t="s">
        <v>1570</v>
      </c>
      <c r="D3499" s="13">
        <f>SUMIFS('Lançamentos de receitas'!$E:$E,'Lançamentos de receitas'!$F:$F,"PAGO",'Lançamentos de receitas'!$C:$C,A3499,'Lançamentos de receitas'!$A:$A,B3499)</f>
        <v>1552.23</v>
      </c>
      <c r="E3499" s="15">
        <f t="shared" si="1"/>
        <v>2025</v>
      </c>
      <c r="F3499" s="15">
        <f t="shared" si="2"/>
        <v>2</v>
      </c>
      <c r="G3499" s="15">
        <f t="shared" si="3"/>
        <v>12</v>
      </c>
    </row>
    <row r="3500">
      <c r="A3500" s="10" t="s">
        <v>37</v>
      </c>
      <c r="B3500" s="94">
        <f t="shared" si="5"/>
        <v>45700</v>
      </c>
      <c r="C3500" s="77" t="s">
        <v>1571</v>
      </c>
      <c r="D3500" s="13">
        <f>SUMIFS('Lançamentos de despesas'!$I:$I,'Lançamentos de despesas'!$G:$G,A3500,'Lançamentos de despesas'!$E:$E,"PAGO",'Lançamentos de despesas'!$C:$C,B3500)</f>
        <v>77.5</v>
      </c>
      <c r="E3500" s="15">
        <f t="shared" si="1"/>
        <v>2025</v>
      </c>
      <c r="F3500" s="15">
        <f t="shared" si="2"/>
        <v>2</v>
      </c>
      <c r="G3500" s="15">
        <f t="shared" si="3"/>
        <v>12</v>
      </c>
    </row>
    <row r="3501">
      <c r="A3501" s="10" t="s">
        <v>37</v>
      </c>
      <c r="B3501" s="94">
        <f t="shared" si="5"/>
        <v>45700</v>
      </c>
      <c r="C3501" s="77" t="s">
        <v>1572</v>
      </c>
      <c r="D3501" s="13">
        <f>D3498+D3499-D3500</f>
        <v>37189.57</v>
      </c>
      <c r="E3501" s="15">
        <f t="shared" si="1"/>
        <v>2025</v>
      </c>
      <c r="F3501" s="15">
        <f t="shared" si="2"/>
        <v>2</v>
      </c>
      <c r="G3501" s="15">
        <f t="shared" si="3"/>
        <v>12</v>
      </c>
    </row>
    <row r="3502">
      <c r="A3502" s="10" t="s">
        <v>37</v>
      </c>
      <c r="B3502" s="94">
        <f t="shared" si="5"/>
        <v>45701</v>
      </c>
      <c r="C3502" s="77" t="s">
        <v>1569</v>
      </c>
      <c r="D3502" s="13">
        <f>D3501</f>
        <v>37189.57</v>
      </c>
      <c r="E3502" s="15">
        <f t="shared" si="1"/>
        <v>2025</v>
      </c>
      <c r="F3502" s="15">
        <f t="shared" si="2"/>
        <v>2</v>
      </c>
      <c r="G3502" s="15">
        <f t="shared" si="3"/>
        <v>13</v>
      </c>
    </row>
    <row r="3503">
      <c r="A3503" s="10" t="s">
        <v>37</v>
      </c>
      <c r="B3503" s="94">
        <f t="shared" si="5"/>
        <v>45701</v>
      </c>
      <c r="C3503" s="77" t="s">
        <v>1570</v>
      </c>
      <c r="D3503" s="13">
        <f>SUMIFS('Lançamentos de receitas'!$E:$E,'Lançamentos de receitas'!$F:$F,"PAGO",'Lançamentos de receitas'!$C:$C,A3503,'Lançamentos de receitas'!$A:$A,B3503)</f>
        <v>1526.4</v>
      </c>
      <c r="E3503" s="15">
        <f t="shared" si="1"/>
        <v>2025</v>
      </c>
      <c r="F3503" s="15">
        <f t="shared" si="2"/>
        <v>2</v>
      </c>
      <c r="G3503" s="15">
        <f t="shared" si="3"/>
        <v>13</v>
      </c>
    </row>
    <row r="3504">
      <c r="A3504" s="10" t="s">
        <v>37</v>
      </c>
      <c r="B3504" s="94">
        <f t="shared" si="5"/>
        <v>45701</v>
      </c>
      <c r="C3504" s="77" t="s">
        <v>1571</v>
      </c>
      <c r="D3504" s="13">
        <f>SUMIFS('Lançamentos de despesas'!$I:$I,'Lançamentos de despesas'!$G:$G,A3504,'Lançamentos de despesas'!$E:$E,"PAGO",'Lançamentos de despesas'!$C:$C,B3504)</f>
        <v>0</v>
      </c>
      <c r="E3504" s="15">
        <f t="shared" si="1"/>
        <v>2025</v>
      </c>
      <c r="F3504" s="15">
        <f t="shared" si="2"/>
        <v>2</v>
      </c>
      <c r="G3504" s="15">
        <f t="shared" si="3"/>
        <v>13</v>
      </c>
    </row>
    <row r="3505">
      <c r="A3505" s="10" t="s">
        <v>37</v>
      </c>
      <c r="B3505" s="94">
        <f t="shared" si="5"/>
        <v>45701</v>
      </c>
      <c r="C3505" s="77" t="s">
        <v>1572</v>
      </c>
      <c r="D3505" s="13">
        <f>D3502+D3503-D3504</f>
        <v>38715.97</v>
      </c>
      <c r="E3505" s="15">
        <f t="shared" si="1"/>
        <v>2025</v>
      </c>
      <c r="F3505" s="15">
        <f t="shared" si="2"/>
        <v>2</v>
      </c>
      <c r="G3505" s="15">
        <f t="shared" si="3"/>
        <v>13</v>
      </c>
    </row>
    <row r="3506">
      <c r="A3506" s="10" t="s">
        <v>37</v>
      </c>
      <c r="B3506" s="94">
        <f t="shared" si="5"/>
        <v>45702</v>
      </c>
      <c r="C3506" s="77" t="s">
        <v>1569</v>
      </c>
      <c r="D3506" s="13">
        <f>D3505</f>
        <v>38715.97</v>
      </c>
      <c r="E3506" s="15">
        <f t="shared" si="1"/>
        <v>2025</v>
      </c>
      <c r="F3506" s="15">
        <f t="shared" si="2"/>
        <v>2</v>
      </c>
      <c r="G3506" s="15">
        <f t="shared" si="3"/>
        <v>14</v>
      </c>
    </row>
    <row r="3507">
      <c r="A3507" s="10" t="s">
        <v>37</v>
      </c>
      <c r="B3507" s="94">
        <f t="shared" si="5"/>
        <v>45702</v>
      </c>
      <c r="C3507" s="77" t="s">
        <v>1570</v>
      </c>
      <c r="D3507" s="13">
        <f>SUMIFS('Lançamentos de receitas'!$E:$E,'Lançamentos de receitas'!$F:$F,"PAGO",'Lançamentos de receitas'!$C:$C,A3507,'Lançamentos de receitas'!$A:$A,B3507)</f>
        <v>1853.83</v>
      </c>
      <c r="E3507" s="15">
        <f t="shared" si="1"/>
        <v>2025</v>
      </c>
      <c r="F3507" s="15">
        <f t="shared" si="2"/>
        <v>2</v>
      </c>
      <c r="G3507" s="15">
        <f t="shared" si="3"/>
        <v>14</v>
      </c>
    </row>
    <row r="3508">
      <c r="A3508" s="10" t="s">
        <v>37</v>
      </c>
      <c r="B3508" s="94">
        <f t="shared" si="5"/>
        <v>45702</v>
      </c>
      <c r="C3508" s="77" t="s">
        <v>1571</v>
      </c>
      <c r="D3508" s="13">
        <f>SUMIFS('Lançamentos de despesas'!$I:$I,'Lançamentos de despesas'!$G:$G,A3508,'Lançamentos de despesas'!$E:$E,"PAGO",'Lançamentos de despesas'!$C:$C,B3508)</f>
        <v>500</v>
      </c>
      <c r="E3508" s="15">
        <f t="shared" si="1"/>
        <v>2025</v>
      </c>
      <c r="F3508" s="15">
        <f t="shared" si="2"/>
        <v>2</v>
      </c>
      <c r="G3508" s="15">
        <f t="shared" si="3"/>
        <v>14</v>
      </c>
    </row>
    <row r="3509">
      <c r="A3509" s="10" t="s">
        <v>37</v>
      </c>
      <c r="B3509" s="94">
        <f t="shared" si="5"/>
        <v>45702</v>
      </c>
      <c r="C3509" s="77" t="s">
        <v>1572</v>
      </c>
      <c r="D3509" s="13">
        <f>D3506+D3507-D3508</f>
        <v>40069.8</v>
      </c>
      <c r="E3509" s="15">
        <f t="shared" si="1"/>
        <v>2025</v>
      </c>
      <c r="F3509" s="15">
        <f t="shared" si="2"/>
        <v>2</v>
      </c>
      <c r="G3509" s="15">
        <f t="shared" si="3"/>
        <v>14</v>
      </c>
    </row>
    <row r="3510">
      <c r="A3510" s="10" t="s">
        <v>37</v>
      </c>
      <c r="B3510" s="94">
        <f t="shared" si="5"/>
        <v>45703</v>
      </c>
      <c r="C3510" s="77" t="s">
        <v>1569</v>
      </c>
      <c r="D3510" s="13">
        <f>D3509</f>
        <v>40069.8</v>
      </c>
      <c r="E3510" s="15">
        <f t="shared" si="1"/>
        <v>2025</v>
      </c>
      <c r="F3510" s="15">
        <f t="shared" si="2"/>
        <v>2</v>
      </c>
      <c r="G3510" s="15">
        <f t="shared" si="3"/>
        <v>15</v>
      </c>
    </row>
    <row r="3511">
      <c r="A3511" s="10" t="s">
        <v>37</v>
      </c>
      <c r="B3511" s="94">
        <f t="shared" si="5"/>
        <v>45703</v>
      </c>
      <c r="C3511" s="77" t="s">
        <v>1570</v>
      </c>
      <c r="D3511" s="13">
        <f>SUMIFS('Lançamentos de receitas'!$E:$E,'Lançamentos de receitas'!$F:$F,"PAGO",'Lançamentos de receitas'!$C:$C,A3511,'Lançamentos de receitas'!$A:$A,B3511)</f>
        <v>1405.89</v>
      </c>
      <c r="E3511" s="15">
        <f t="shared" si="1"/>
        <v>2025</v>
      </c>
      <c r="F3511" s="15">
        <f t="shared" si="2"/>
        <v>2</v>
      </c>
      <c r="G3511" s="15">
        <f t="shared" si="3"/>
        <v>15</v>
      </c>
    </row>
    <row r="3512">
      <c r="A3512" s="10" t="s">
        <v>37</v>
      </c>
      <c r="B3512" s="94">
        <f t="shared" si="5"/>
        <v>45703</v>
      </c>
      <c r="C3512" s="77" t="s">
        <v>1571</v>
      </c>
      <c r="D3512" s="13">
        <f>SUMIFS('Lançamentos de despesas'!$I:$I,'Lançamentos de despesas'!$G:$G,A3512,'Lançamentos de despesas'!$E:$E,"PAGO",'Lançamentos de despesas'!$C:$C,B3512)</f>
        <v>0</v>
      </c>
      <c r="E3512" s="15">
        <f t="shared" si="1"/>
        <v>2025</v>
      </c>
      <c r="F3512" s="15">
        <f t="shared" si="2"/>
        <v>2</v>
      </c>
      <c r="G3512" s="15">
        <f t="shared" si="3"/>
        <v>15</v>
      </c>
    </row>
    <row r="3513">
      <c r="A3513" s="10" t="s">
        <v>37</v>
      </c>
      <c r="B3513" s="94">
        <f t="shared" si="5"/>
        <v>45703</v>
      </c>
      <c r="C3513" s="77" t="s">
        <v>1572</v>
      </c>
      <c r="D3513" s="13">
        <f>D3510+D3511-D3512</f>
        <v>41475.69</v>
      </c>
      <c r="E3513" s="15">
        <f t="shared" si="1"/>
        <v>2025</v>
      </c>
      <c r="F3513" s="15">
        <f t="shared" si="2"/>
        <v>2</v>
      </c>
      <c r="G3513" s="15">
        <f t="shared" si="3"/>
        <v>15</v>
      </c>
    </row>
    <row r="3514">
      <c r="A3514" s="10" t="s">
        <v>37</v>
      </c>
      <c r="B3514" s="94">
        <f t="shared" si="5"/>
        <v>45704</v>
      </c>
      <c r="C3514" s="77" t="s">
        <v>1569</v>
      </c>
      <c r="D3514" s="13">
        <f>D3513</f>
        <v>41475.69</v>
      </c>
      <c r="E3514" s="15">
        <f t="shared" si="1"/>
        <v>2025</v>
      </c>
      <c r="F3514" s="15">
        <f t="shared" si="2"/>
        <v>2</v>
      </c>
      <c r="G3514" s="15">
        <f t="shared" si="3"/>
        <v>16</v>
      </c>
    </row>
    <row r="3515">
      <c r="A3515" s="10" t="s">
        <v>37</v>
      </c>
      <c r="B3515" s="94">
        <f t="shared" si="5"/>
        <v>45704</v>
      </c>
      <c r="C3515" s="77" t="s">
        <v>1570</v>
      </c>
      <c r="D3515" s="13">
        <f>SUMIFS('Lançamentos de receitas'!$E:$E,'Lançamentos de receitas'!$F:$F,"PAGO",'Lançamentos de receitas'!$C:$C,A3515,'Lançamentos de receitas'!$A:$A,B3515)</f>
        <v>1337</v>
      </c>
      <c r="E3515" s="15">
        <f t="shared" si="1"/>
        <v>2025</v>
      </c>
      <c r="F3515" s="15">
        <f t="shared" si="2"/>
        <v>2</v>
      </c>
      <c r="G3515" s="15">
        <f t="shared" si="3"/>
        <v>16</v>
      </c>
    </row>
    <row r="3516">
      <c r="A3516" s="10" t="s">
        <v>37</v>
      </c>
      <c r="B3516" s="94">
        <f t="shared" si="5"/>
        <v>45704</v>
      </c>
      <c r="C3516" s="77" t="s">
        <v>1571</v>
      </c>
      <c r="D3516" s="13">
        <f>SUMIFS('Lançamentos de despesas'!$I:$I,'Lançamentos de despesas'!$G:$G,A3516,'Lançamentos de despesas'!$E:$E,"PAGO",'Lançamentos de despesas'!$C:$C,B3516)</f>
        <v>0</v>
      </c>
      <c r="E3516" s="15">
        <f t="shared" si="1"/>
        <v>2025</v>
      </c>
      <c r="F3516" s="15">
        <f t="shared" si="2"/>
        <v>2</v>
      </c>
      <c r="G3516" s="15">
        <f t="shared" si="3"/>
        <v>16</v>
      </c>
    </row>
    <row r="3517">
      <c r="A3517" s="10" t="s">
        <v>37</v>
      </c>
      <c r="B3517" s="94">
        <f t="shared" si="5"/>
        <v>45704</v>
      </c>
      <c r="C3517" s="77" t="s">
        <v>1572</v>
      </c>
      <c r="D3517" s="13">
        <f>D3514+D3515-D3516</f>
        <v>42812.69</v>
      </c>
      <c r="E3517" s="15">
        <f t="shared" si="1"/>
        <v>2025</v>
      </c>
      <c r="F3517" s="15">
        <f t="shared" si="2"/>
        <v>2</v>
      </c>
      <c r="G3517" s="15">
        <f t="shared" si="3"/>
        <v>16</v>
      </c>
    </row>
    <row r="3518">
      <c r="A3518" s="10" t="s">
        <v>37</v>
      </c>
      <c r="B3518" s="94">
        <f t="shared" si="5"/>
        <v>45705</v>
      </c>
      <c r="C3518" s="77" t="s">
        <v>1569</v>
      </c>
      <c r="D3518" s="13">
        <f>D3517</f>
        <v>42812.69</v>
      </c>
      <c r="E3518" s="15">
        <f t="shared" si="1"/>
        <v>2025</v>
      </c>
      <c r="F3518" s="15">
        <f t="shared" si="2"/>
        <v>2</v>
      </c>
      <c r="G3518" s="15">
        <f t="shared" si="3"/>
        <v>17</v>
      </c>
    </row>
    <row r="3519">
      <c r="A3519" s="10" t="s">
        <v>37</v>
      </c>
      <c r="B3519" s="94">
        <f t="shared" si="5"/>
        <v>45705</v>
      </c>
      <c r="C3519" s="77" t="s">
        <v>1570</v>
      </c>
      <c r="D3519" s="13">
        <f>SUMIFS('Lançamentos de receitas'!$E:$E,'Lançamentos de receitas'!$F:$F,"PAGO",'Lançamentos de receitas'!$C:$C,A3519,'Lançamentos de receitas'!$A:$A,B3519)</f>
        <v>646.94</v>
      </c>
      <c r="E3519" s="15">
        <f t="shared" si="1"/>
        <v>2025</v>
      </c>
      <c r="F3519" s="15">
        <f t="shared" si="2"/>
        <v>2</v>
      </c>
      <c r="G3519" s="15">
        <f t="shared" si="3"/>
        <v>17</v>
      </c>
    </row>
    <row r="3520">
      <c r="A3520" s="10" t="s">
        <v>37</v>
      </c>
      <c r="B3520" s="94">
        <f t="shared" si="5"/>
        <v>45705</v>
      </c>
      <c r="C3520" s="77" t="s">
        <v>1571</v>
      </c>
      <c r="D3520" s="13">
        <f>SUMIFS('Lançamentos de despesas'!$I:$I,'Lançamentos de despesas'!$G:$G,A3520,'Lançamentos de despesas'!$E:$E,"PAGO",'Lançamentos de despesas'!$C:$C,B3520)</f>
        <v>4623.11</v>
      </c>
      <c r="E3520" s="15">
        <f t="shared" si="1"/>
        <v>2025</v>
      </c>
      <c r="F3520" s="15">
        <f t="shared" si="2"/>
        <v>2</v>
      </c>
      <c r="G3520" s="15">
        <f t="shared" si="3"/>
        <v>17</v>
      </c>
    </row>
    <row r="3521">
      <c r="A3521" s="10" t="s">
        <v>37</v>
      </c>
      <c r="B3521" s="94">
        <f t="shared" si="5"/>
        <v>45705</v>
      </c>
      <c r="C3521" s="77" t="s">
        <v>1572</v>
      </c>
      <c r="D3521" s="13">
        <f>D3518+D3519-D3520</f>
        <v>38836.52</v>
      </c>
      <c r="E3521" s="15">
        <f t="shared" si="1"/>
        <v>2025</v>
      </c>
      <c r="F3521" s="15">
        <f t="shared" si="2"/>
        <v>2</v>
      </c>
      <c r="G3521" s="15">
        <f t="shared" si="3"/>
        <v>17</v>
      </c>
    </row>
    <row r="3522">
      <c r="A3522" s="10" t="s">
        <v>37</v>
      </c>
      <c r="B3522" s="94">
        <f t="shared" si="5"/>
        <v>45706</v>
      </c>
      <c r="C3522" s="77" t="s">
        <v>1569</v>
      </c>
      <c r="D3522" s="13">
        <f>D3521</f>
        <v>38836.52</v>
      </c>
      <c r="E3522" s="15">
        <f t="shared" si="1"/>
        <v>2025</v>
      </c>
      <c r="F3522" s="15">
        <f t="shared" si="2"/>
        <v>2</v>
      </c>
      <c r="G3522" s="15">
        <f t="shared" si="3"/>
        <v>18</v>
      </c>
    </row>
    <row r="3523">
      <c r="A3523" s="10" t="s">
        <v>37</v>
      </c>
      <c r="B3523" s="94">
        <f t="shared" si="5"/>
        <v>45706</v>
      </c>
      <c r="C3523" s="77" t="s">
        <v>1570</v>
      </c>
      <c r="D3523" s="13">
        <f>SUMIFS('Lançamentos de receitas'!$E:$E,'Lançamentos de receitas'!$F:$F,"PAGO",'Lançamentos de receitas'!$C:$C,A3523,'Lançamentos de receitas'!$A:$A,B3523)</f>
        <v>1324.58</v>
      </c>
      <c r="E3523" s="15">
        <f t="shared" si="1"/>
        <v>2025</v>
      </c>
      <c r="F3523" s="15">
        <f t="shared" si="2"/>
        <v>2</v>
      </c>
      <c r="G3523" s="15">
        <f t="shared" si="3"/>
        <v>18</v>
      </c>
    </row>
    <row r="3524">
      <c r="A3524" s="10" t="s">
        <v>37</v>
      </c>
      <c r="B3524" s="94">
        <f t="shared" si="5"/>
        <v>45706</v>
      </c>
      <c r="C3524" s="77" t="s">
        <v>1571</v>
      </c>
      <c r="D3524" s="13">
        <f>SUMIFS('Lançamentos de despesas'!$I:$I,'Lançamentos de despesas'!$G:$G,A3524,'Lançamentos de despesas'!$E:$E,"PAGO",'Lançamentos de despesas'!$C:$C,B3524)</f>
        <v>1080.65</v>
      </c>
      <c r="E3524" s="15">
        <f t="shared" si="1"/>
        <v>2025</v>
      </c>
      <c r="F3524" s="15">
        <f t="shared" si="2"/>
        <v>2</v>
      </c>
      <c r="G3524" s="15">
        <f t="shared" si="3"/>
        <v>18</v>
      </c>
    </row>
    <row r="3525">
      <c r="A3525" s="10" t="s">
        <v>37</v>
      </c>
      <c r="B3525" s="94">
        <f t="shared" si="5"/>
        <v>45706</v>
      </c>
      <c r="C3525" s="77" t="s">
        <v>1572</v>
      </c>
      <c r="D3525" s="13">
        <f>D3522+D3523-D3524</f>
        <v>39080.45</v>
      </c>
      <c r="E3525" s="15">
        <f t="shared" si="1"/>
        <v>2025</v>
      </c>
      <c r="F3525" s="15">
        <f t="shared" si="2"/>
        <v>2</v>
      </c>
      <c r="G3525" s="15">
        <f t="shared" si="3"/>
        <v>18</v>
      </c>
    </row>
    <row r="3526">
      <c r="A3526" s="10" t="s">
        <v>37</v>
      </c>
      <c r="B3526" s="94">
        <f t="shared" si="5"/>
        <v>45707</v>
      </c>
      <c r="C3526" s="77" t="s">
        <v>1569</v>
      </c>
      <c r="D3526" s="13">
        <f>D3525</f>
        <v>39080.45</v>
      </c>
      <c r="E3526" s="15">
        <f t="shared" si="1"/>
        <v>2025</v>
      </c>
      <c r="F3526" s="15">
        <f t="shared" si="2"/>
        <v>2</v>
      </c>
      <c r="G3526" s="15">
        <f t="shared" si="3"/>
        <v>19</v>
      </c>
    </row>
    <row r="3527">
      <c r="A3527" s="10" t="s">
        <v>37</v>
      </c>
      <c r="B3527" s="94">
        <f t="shared" si="5"/>
        <v>45707</v>
      </c>
      <c r="C3527" s="77" t="s">
        <v>1570</v>
      </c>
      <c r="D3527" s="13">
        <f>SUMIFS('Lançamentos de receitas'!$E:$E,'Lançamentos de receitas'!$F:$F,"PAGO",'Lançamentos de receitas'!$C:$C,A3527,'Lançamentos de receitas'!$A:$A,B3527)</f>
        <v>1557.88</v>
      </c>
      <c r="E3527" s="15">
        <f t="shared" si="1"/>
        <v>2025</v>
      </c>
      <c r="F3527" s="15">
        <f t="shared" si="2"/>
        <v>2</v>
      </c>
      <c r="G3527" s="15">
        <f t="shared" si="3"/>
        <v>19</v>
      </c>
    </row>
    <row r="3528">
      <c r="A3528" s="10" t="s">
        <v>37</v>
      </c>
      <c r="B3528" s="94">
        <f t="shared" si="5"/>
        <v>45707</v>
      </c>
      <c r="C3528" s="77" t="s">
        <v>1571</v>
      </c>
      <c r="D3528" s="13">
        <f>SUMIFS('Lançamentos de despesas'!$I:$I,'Lançamentos de despesas'!$G:$G,A3528,'Lançamentos de despesas'!$E:$E,"PAGO",'Lançamentos de despesas'!$C:$C,B3528)</f>
        <v>0</v>
      </c>
      <c r="E3528" s="15">
        <f t="shared" si="1"/>
        <v>2025</v>
      </c>
      <c r="F3528" s="15">
        <f t="shared" si="2"/>
        <v>2</v>
      </c>
      <c r="G3528" s="15">
        <f t="shared" si="3"/>
        <v>19</v>
      </c>
    </row>
    <row r="3529">
      <c r="A3529" s="10" t="s">
        <v>37</v>
      </c>
      <c r="B3529" s="94">
        <f t="shared" si="5"/>
        <v>45707</v>
      </c>
      <c r="C3529" s="77" t="s">
        <v>1572</v>
      </c>
      <c r="D3529" s="13">
        <f>D3526+D3527-D3528</f>
        <v>40638.33</v>
      </c>
      <c r="E3529" s="15">
        <f t="shared" si="1"/>
        <v>2025</v>
      </c>
      <c r="F3529" s="15">
        <f t="shared" si="2"/>
        <v>2</v>
      </c>
      <c r="G3529" s="15">
        <f t="shared" si="3"/>
        <v>19</v>
      </c>
    </row>
    <row r="3530">
      <c r="A3530" s="10" t="s">
        <v>37</v>
      </c>
      <c r="B3530" s="94">
        <f t="shared" si="5"/>
        <v>45708</v>
      </c>
      <c r="C3530" s="77" t="s">
        <v>1569</v>
      </c>
      <c r="D3530" s="13">
        <f>D3529</f>
        <v>40638.33</v>
      </c>
      <c r="E3530" s="15">
        <f t="shared" si="1"/>
        <v>2025</v>
      </c>
      <c r="F3530" s="15">
        <f t="shared" si="2"/>
        <v>2</v>
      </c>
      <c r="G3530" s="15">
        <f t="shared" si="3"/>
        <v>20</v>
      </c>
    </row>
    <row r="3531">
      <c r="A3531" s="10" t="s">
        <v>37</v>
      </c>
      <c r="B3531" s="94">
        <f t="shared" si="5"/>
        <v>45708</v>
      </c>
      <c r="C3531" s="77" t="s">
        <v>1570</v>
      </c>
      <c r="D3531" s="13">
        <f>SUMIFS('Lançamentos de receitas'!$E:$E,'Lançamentos de receitas'!$F:$F,"PAGO",'Lançamentos de receitas'!$C:$C,A3531,'Lançamentos de receitas'!$A:$A,B3531)</f>
        <v>1827</v>
      </c>
      <c r="E3531" s="15">
        <f t="shared" si="1"/>
        <v>2025</v>
      </c>
      <c r="F3531" s="15">
        <f t="shared" si="2"/>
        <v>2</v>
      </c>
      <c r="G3531" s="15">
        <f t="shared" si="3"/>
        <v>20</v>
      </c>
    </row>
    <row r="3532">
      <c r="A3532" s="10" t="s">
        <v>37</v>
      </c>
      <c r="B3532" s="94">
        <f t="shared" si="5"/>
        <v>45708</v>
      </c>
      <c r="C3532" s="77" t="s">
        <v>1571</v>
      </c>
      <c r="D3532" s="13">
        <f>SUMIFS('Lançamentos de despesas'!$I:$I,'Lançamentos de despesas'!$G:$G,A3532,'Lançamentos de despesas'!$E:$E,"PAGO",'Lançamentos de despesas'!$C:$C,B3532)</f>
        <v>2878.62</v>
      </c>
      <c r="E3532" s="15">
        <f t="shared" si="1"/>
        <v>2025</v>
      </c>
      <c r="F3532" s="15">
        <f t="shared" si="2"/>
        <v>2</v>
      </c>
      <c r="G3532" s="15">
        <f t="shared" si="3"/>
        <v>20</v>
      </c>
    </row>
    <row r="3533">
      <c r="A3533" s="10" t="s">
        <v>37</v>
      </c>
      <c r="B3533" s="94">
        <f t="shared" si="5"/>
        <v>45708</v>
      </c>
      <c r="C3533" s="77" t="s">
        <v>1572</v>
      </c>
      <c r="D3533" s="13">
        <f>D3530+D3531-D3532</f>
        <v>39586.71</v>
      </c>
      <c r="E3533" s="15">
        <f t="shared" si="1"/>
        <v>2025</v>
      </c>
      <c r="F3533" s="15">
        <f t="shared" si="2"/>
        <v>2</v>
      </c>
      <c r="G3533" s="15">
        <f t="shared" si="3"/>
        <v>20</v>
      </c>
    </row>
    <row r="3534">
      <c r="A3534" s="10" t="s">
        <v>37</v>
      </c>
      <c r="B3534" s="94">
        <f t="shared" si="5"/>
        <v>45709</v>
      </c>
      <c r="C3534" s="77" t="s">
        <v>1569</v>
      </c>
      <c r="D3534" s="13">
        <f>D3533</f>
        <v>39586.71</v>
      </c>
      <c r="E3534" s="15">
        <f t="shared" si="1"/>
        <v>2025</v>
      </c>
      <c r="F3534" s="15">
        <f t="shared" si="2"/>
        <v>2</v>
      </c>
      <c r="G3534" s="15">
        <f t="shared" si="3"/>
        <v>21</v>
      </c>
    </row>
    <row r="3535">
      <c r="A3535" s="10" t="s">
        <v>37</v>
      </c>
      <c r="B3535" s="94">
        <f t="shared" si="5"/>
        <v>45709</v>
      </c>
      <c r="C3535" s="77" t="s">
        <v>1570</v>
      </c>
      <c r="D3535" s="13">
        <f>SUMIFS('Lançamentos de receitas'!$E:$E,'Lançamentos de receitas'!$F:$F,"PAGO",'Lançamentos de receitas'!$C:$C,A3535,'Lançamentos de receitas'!$A:$A,B3535)</f>
        <v>2093.08</v>
      </c>
      <c r="E3535" s="15">
        <f t="shared" si="1"/>
        <v>2025</v>
      </c>
      <c r="F3535" s="15">
        <f t="shared" si="2"/>
        <v>2</v>
      </c>
      <c r="G3535" s="15">
        <f t="shared" si="3"/>
        <v>21</v>
      </c>
    </row>
    <row r="3536">
      <c r="A3536" s="10" t="s">
        <v>37</v>
      </c>
      <c r="B3536" s="94">
        <f t="shared" si="5"/>
        <v>45709</v>
      </c>
      <c r="C3536" s="77" t="s">
        <v>1571</v>
      </c>
      <c r="D3536" s="13">
        <f>SUMIFS('Lançamentos de despesas'!$I:$I,'Lançamentos de despesas'!$G:$G,A3536,'Lançamentos de despesas'!$E:$E,"PAGO",'Lançamentos de despesas'!$C:$C,B3536)</f>
        <v>630</v>
      </c>
      <c r="E3536" s="15">
        <f t="shared" si="1"/>
        <v>2025</v>
      </c>
      <c r="F3536" s="15">
        <f t="shared" si="2"/>
        <v>2</v>
      </c>
      <c r="G3536" s="15">
        <f t="shared" si="3"/>
        <v>21</v>
      </c>
    </row>
    <row r="3537">
      <c r="A3537" s="10" t="s">
        <v>37</v>
      </c>
      <c r="B3537" s="94">
        <f t="shared" si="5"/>
        <v>45709</v>
      </c>
      <c r="C3537" s="77" t="s">
        <v>1572</v>
      </c>
      <c r="D3537" s="13">
        <f>D3534+D3535-D3536</f>
        <v>41049.79</v>
      </c>
      <c r="E3537" s="15">
        <f t="shared" si="1"/>
        <v>2025</v>
      </c>
      <c r="F3537" s="15">
        <f t="shared" si="2"/>
        <v>2</v>
      </c>
      <c r="G3537" s="15">
        <f t="shared" si="3"/>
        <v>21</v>
      </c>
    </row>
    <row r="3538">
      <c r="A3538" s="10" t="s">
        <v>37</v>
      </c>
      <c r="B3538" s="94">
        <f t="shared" si="5"/>
        <v>45710</v>
      </c>
      <c r="C3538" s="77" t="s">
        <v>1569</v>
      </c>
      <c r="D3538" s="13">
        <f>D3537</f>
        <v>41049.79</v>
      </c>
      <c r="E3538" s="15">
        <f t="shared" si="1"/>
        <v>2025</v>
      </c>
      <c r="F3538" s="15">
        <f t="shared" si="2"/>
        <v>2</v>
      </c>
      <c r="G3538" s="15">
        <f t="shared" si="3"/>
        <v>22</v>
      </c>
    </row>
    <row r="3539">
      <c r="A3539" s="10" t="s">
        <v>37</v>
      </c>
      <c r="B3539" s="94">
        <f t="shared" si="5"/>
        <v>45710</v>
      </c>
      <c r="C3539" s="77" t="s">
        <v>1570</v>
      </c>
      <c r="D3539" s="13">
        <f>SUMIFS('Lançamentos de receitas'!$E:$E,'Lançamentos de receitas'!$F:$F,"PAGO",'Lançamentos de receitas'!$C:$C,A3539,'Lançamentos de receitas'!$A:$A,B3539)</f>
        <v>1220.7</v>
      </c>
      <c r="E3539" s="15">
        <f t="shared" si="1"/>
        <v>2025</v>
      </c>
      <c r="F3539" s="15">
        <f t="shared" si="2"/>
        <v>2</v>
      </c>
      <c r="G3539" s="15">
        <f t="shared" si="3"/>
        <v>22</v>
      </c>
    </row>
    <row r="3540">
      <c r="A3540" s="10" t="s">
        <v>37</v>
      </c>
      <c r="B3540" s="94">
        <f t="shared" si="5"/>
        <v>45710</v>
      </c>
      <c r="C3540" s="77" t="s">
        <v>1571</v>
      </c>
      <c r="D3540" s="13">
        <f>SUMIFS('Lançamentos de despesas'!$I:$I,'Lançamentos de despesas'!$G:$G,A3540,'Lançamentos de despesas'!$E:$E,"PAGO",'Lançamentos de despesas'!$C:$C,B3540)</f>
        <v>300</v>
      </c>
      <c r="E3540" s="15">
        <f t="shared" si="1"/>
        <v>2025</v>
      </c>
      <c r="F3540" s="15">
        <f t="shared" si="2"/>
        <v>2</v>
      </c>
      <c r="G3540" s="15">
        <f t="shared" si="3"/>
        <v>22</v>
      </c>
    </row>
    <row r="3541">
      <c r="A3541" s="10" t="s">
        <v>37</v>
      </c>
      <c r="B3541" s="94">
        <f t="shared" si="5"/>
        <v>45710</v>
      </c>
      <c r="C3541" s="77" t="s">
        <v>1572</v>
      </c>
      <c r="D3541" s="13">
        <f>D3538+D3539-D3540</f>
        <v>41970.49</v>
      </c>
      <c r="E3541" s="15">
        <f t="shared" si="1"/>
        <v>2025</v>
      </c>
      <c r="F3541" s="15">
        <f t="shared" si="2"/>
        <v>2</v>
      </c>
      <c r="G3541" s="15">
        <f t="shared" si="3"/>
        <v>22</v>
      </c>
    </row>
    <row r="3542">
      <c r="A3542" s="10" t="s">
        <v>37</v>
      </c>
      <c r="B3542" s="94">
        <f t="shared" si="5"/>
        <v>45711</v>
      </c>
      <c r="C3542" s="77" t="s">
        <v>1569</v>
      </c>
      <c r="D3542" s="13">
        <f>D3541</f>
        <v>41970.49</v>
      </c>
      <c r="E3542" s="15">
        <f t="shared" si="1"/>
        <v>2025</v>
      </c>
      <c r="F3542" s="15">
        <f t="shared" si="2"/>
        <v>2</v>
      </c>
      <c r="G3542" s="15">
        <f t="shared" si="3"/>
        <v>23</v>
      </c>
    </row>
    <row r="3543">
      <c r="A3543" s="10" t="s">
        <v>37</v>
      </c>
      <c r="B3543" s="94">
        <f t="shared" si="5"/>
        <v>45711</v>
      </c>
      <c r="C3543" s="77" t="s">
        <v>1570</v>
      </c>
      <c r="D3543" s="13">
        <f>SUMIFS('Lançamentos de receitas'!$E:$E,'Lançamentos de receitas'!$F:$F,"PAGO",'Lançamentos de receitas'!$C:$C,A3543,'Lançamentos de receitas'!$A:$A,B3543)</f>
        <v>1933.92</v>
      </c>
      <c r="E3543" s="15">
        <f t="shared" si="1"/>
        <v>2025</v>
      </c>
      <c r="F3543" s="15">
        <f t="shared" si="2"/>
        <v>2</v>
      </c>
      <c r="G3543" s="15">
        <f t="shared" si="3"/>
        <v>23</v>
      </c>
    </row>
    <row r="3544">
      <c r="A3544" s="10" t="s">
        <v>37</v>
      </c>
      <c r="B3544" s="94">
        <f t="shared" si="5"/>
        <v>45711</v>
      </c>
      <c r="C3544" s="77" t="s">
        <v>1571</v>
      </c>
      <c r="D3544" s="13">
        <f>SUMIFS('Lançamentos de despesas'!$I:$I,'Lançamentos de despesas'!$G:$G,A3544,'Lançamentos de despesas'!$E:$E,"PAGO",'Lançamentos de despesas'!$C:$C,B3544)</f>
        <v>0</v>
      </c>
      <c r="E3544" s="15">
        <f t="shared" si="1"/>
        <v>2025</v>
      </c>
      <c r="F3544" s="15">
        <f t="shared" si="2"/>
        <v>2</v>
      </c>
      <c r="G3544" s="15">
        <f t="shared" si="3"/>
        <v>23</v>
      </c>
    </row>
    <row r="3545">
      <c r="A3545" s="10" t="s">
        <v>37</v>
      </c>
      <c r="B3545" s="94">
        <f t="shared" si="5"/>
        <v>45711</v>
      </c>
      <c r="C3545" s="77" t="s">
        <v>1572</v>
      </c>
      <c r="D3545" s="13">
        <f>D3542+D3543-D3544</f>
        <v>43904.41</v>
      </c>
      <c r="E3545" s="15">
        <f t="shared" si="1"/>
        <v>2025</v>
      </c>
      <c r="F3545" s="15">
        <f t="shared" si="2"/>
        <v>2</v>
      </c>
      <c r="G3545" s="15">
        <f t="shared" si="3"/>
        <v>23</v>
      </c>
    </row>
    <row r="3546">
      <c r="A3546" s="10" t="s">
        <v>37</v>
      </c>
      <c r="B3546" s="94">
        <f t="shared" si="5"/>
        <v>45712</v>
      </c>
      <c r="C3546" s="77" t="s">
        <v>1569</v>
      </c>
      <c r="D3546" s="13">
        <f>D3545</f>
        <v>43904.41</v>
      </c>
      <c r="E3546" s="15">
        <f t="shared" si="1"/>
        <v>2025</v>
      </c>
      <c r="F3546" s="15">
        <f t="shared" si="2"/>
        <v>2</v>
      </c>
      <c r="G3546" s="15">
        <f t="shared" si="3"/>
        <v>24</v>
      </c>
    </row>
    <row r="3547">
      <c r="A3547" s="10" t="s">
        <v>37</v>
      </c>
      <c r="B3547" s="94">
        <f t="shared" si="5"/>
        <v>45712</v>
      </c>
      <c r="C3547" s="77" t="s">
        <v>1570</v>
      </c>
      <c r="D3547" s="13">
        <f>SUMIFS('Lançamentos de receitas'!$E:$E,'Lançamentos de receitas'!$F:$F,"PAGO",'Lançamentos de receitas'!$C:$C,A3547,'Lançamentos de receitas'!$A:$A,B3547)</f>
        <v>817.11</v>
      </c>
      <c r="E3547" s="15">
        <f t="shared" si="1"/>
        <v>2025</v>
      </c>
      <c r="F3547" s="15">
        <f t="shared" si="2"/>
        <v>2</v>
      </c>
      <c r="G3547" s="15">
        <f t="shared" si="3"/>
        <v>24</v>
      </c>
    </row>
    <row r="3548">
      <c r="A3548" s="10" t="s">
        <v>37</v>
      </c>
      <c r="B3548" s="94">
        <f t="shared" si="5"/>
        <v>45712</v>
      </c>
      <c r="C3548" s="77" t="s">
        <v>1571</v>
      </c>
      <c r="D3548" s="13">
        <f>SUMIFS('Lançamentos de despesas'!$I:$I,'Lançamentos de despesas'!$G:$G,A3548,'Lançamentos de despesas'!$E:$E,"PAGO",'Lançamentos de despesas'!$C:$C,B3548)</f>
        <v>12187.32</v>
      </c>
      <c r="E3548" s="15">
        <f t="shared" si="1"/>
        <v>2025</v>
      </c>
      <c r="F3548" s="15">
        <f t="shared" si="2"/>
        <v>2</v>
      </c>
      <c r="G3548" s="15">
        <f t="shared" si="3"/>
        <v>24</v>
      </c>
    </row>
    <row r="3549">
      <c r="A3549" s="10" t="s">
        <v>37</v>
      </c>
      <c r="B3549" s="94">
        <f t="shared" si="5"/>
        <v>45712</v>
      </c>
      <c r="C3549" s="77" t="s">
        <v>1572</v>
      </c>
      <c r="D3549" s="13">
        <f>D3546+D3547-D3548</f>
        <v>32534.2</v>
      </c>
      <c r="E3549" s="15">
        <f t="shared" si="1"/>
        <v>2025</v>
      </c>
      <c r="F3549" s="15">
        <f t="shared" si="2"/>
        <v>2</v>
      </c>
      <c r="G3549" s="15">
        <f t="shared" si="3"/>
        <v>24</v>
      </c>
    </row>
    <row r="3550">
      <c r="A3550" s="10" t="s">
        <v>37</v>
      </c>
      <c r="B3550" s="94">
        <f t="shared" si="5"/>
        <v>45713</v>
      </c>
      <c r="C3550" s="77" t="s">
        <v>1569</v>
      </c>
      <c r="D3550" s="13">
        <f>D3549</f>
        <v>32534.2</v>
      </c>
      <c r="E3550" s="15">
        <f t="shared" si="1"/>
        <v>2025</v>
      </c>
      <c r="F3550" s="15">
        <f t="shared" si="2"/>
        <v>2</v>
      </c>
      <c r="G3550" s="15">
        <f t="shared" si="3"/>
        <v>25</v>
      </c>
    </row>
    <row r="3551">
      <c r="A3551" s="10" t="s">
        <v>37</v>
      </c>
      <c r="B3551" s="94">
        <f t="shared" si="5"/>
        <v>45713</v>
      </c>
      <c r="C3551" s="77" t="s">
        <v>1570</v>
      </c>
      <c r="D3551" s="13">
        <f>SUMIFS('Lançamentos de receitas'!$E:$E,'Lançamentos de receitas'!$F:$F,"PAGO",'Lançamentos de receitas'!$C:$C,A3551,'Lançamentos de receitas'!$A:$A,B3551)</f>
        <v>1876.83</v>
      </c>
      <c r="E3551" s="15">
        <f t="shared" si="1"/>
        <v>2025</v>
      </c>
      <c r="F3551" s="15">
        <f t="shared" si="2"/>
        <v>2</v>
      </c>
      <c r="G3551" s="15">
        <f t="shared" si="3"/>
        <v>25</v>
      </c>
    </row>
    <row r="3552">
      <c r="A3552" s="10" t="s">
        <v>37</v>
      </c>
      <c r="B3552" s="94">
        <f t="shared" si="5"/>
        <v>45713</v>
      </c>
      <c r="C3552" s="77" t="s">
        <v>1571</v>
      </c>
      <c r="D3552" s="13">
        <f>SUMIFS('Lançamentos de despesas'!$I:$I,'Lançamentos de despesas'!$G:$G,A3552,'Lançamentos de despesas'!$E:$E,"PAGO",'Lançamentos de despesas'!$C:$C,B3552)</f>
        <v>171.72</v>
      </c>
      <c r="E3552" s="15">
        <f t="shared" si="1"/>
        <v>2025</v>
      </c>
      <c r="F3552" s="15">
        <f t="shared" si="2"/>
        <v>2</v>
      </c>
      <c r="G3552" s="15">
        <f t="shared" si="3"/>
        <v>25</v>
      </c>
    </row>
    <row r="3553">
      <c r="A3553" s="10" t="s">
        <v>37</v>
      </c>
      <c r="B3553" s="94">
        <f t="shared" si="5"/>
        <v>45713</v>
      </c>
      <c r="C3553" s="77" t="s">
        <v>1572</v>
      </c>
      <c r="D3553" s="13">
        <f>D3550+D3551-D3552</f>
        <v>34239.31</v>
      </c>
      <c r="E3553" s="15">
        <f t="shared" si="1"/>
        <v>2025</v>
      </c>
      <c r="F3553" s="15">
        <f t="shared" si="2"/>
        <v>2</v>
      </c>
      <c r="G3553" s="15">
        <f t="shared" si="3"/>
        <v>25</v>
      </c>
    </row>
    <row r="3554">
      <c r="A3554" s="10" t="s">
        <v>37</v>
      </c>
      <c r="B3554" s="94">
        <f t="shared" si="5"/>
        <v>45714</v>
      </c>
      <c r="C3554" s="77" t="s">
        <v>1569</v>
      </c>
      <c r="D3554" s="13">
        <f>D3553</f>
        <v>34239.31</v>
      </c>
      <c r="E3554" s="15">
        <f t="shared" si="1"/>
        <v>2025</v>
      </c>
      <c r="F3554" s="15">
        <f t="shared" si="2"/>
        <v>2</v>
      </c>
      <c r="G3554" s="15">
        <f t="shared" si="3"/>
        <v>26</v>
      </c>
    </row>
    <row r="3555">
      <c r="A3555" s="10" t="s">
        <v>37</v>
      </c>
      <c r="B3555" s="94">
        <f t="shared" si="5"/>
        <v>45714</v>
      </c>
      <c r="C3555" s="77" t="s">
        <v>1570</v>
      </c>
      <c r="D3555" s="13">
        <f>SUMIFS('Lançamentos de receitas'!$E:$E,'Lançamentos de receitas'!$F:$F,"PAGO",'Lançamentos de receitas'!$C:$C,A3555,'Lançamentos de receitas'!$A:$A,B3555)</f>
        <v>1719.45</v>
      </c>
      <c r="E3555" s="15">
        <f t="shared" si="1"/>
        <v>2025</v>
      </c>
      <c r="F3555" s="15">
        <f t="shared" si="2"/>
        <v>2</v>
      </c>
      <c r="G3555" s="15">
        <f t="shared" si="3"/>
        <v>26</v>
      </c>
    </row>
    <row r="3556">
      <c r="A3556" s="10" t="s">
        <v>37</v>
      </c>
      <c r="B3556" s="94">
        <f t="shared" si="5"/>
        <v>45714</v>
      </c>
      <c r="C3556" s="77" t="s">
        <v>1571</v>
      </c>
      <c r="D3556" s="13">
        <f>SUMIFS('Lançamentos de despesas'!$I:$I,'Lançamentos de despesas'!$G:$G,A3556,'Lançamentos de despesas'!$E:$E,"PAGO",'Lançamentos de despesas'!$C:$C,B3556)</f>
        <v>0</v>
      </c>
      <c r="E3556" s="15">
        <f t="shared" si="1"/>
        <v>2025</v>
      </c>
      <c r="F3556" s="15">
        <f t="shared" si="2"/>
        <v>2</v>
      </c>
      <c r="G3556" s="15">
        <f t="shared" si="3"/>
        <v>26</v>
      </c>
    </row>
    <row r="3557">
      <c r="A3557" s="10" t="s">
        <v>37</v>
      </c>
      <c r="B3557" s="94">
        <f t="shared" si="5"/>
        <v>45714</v>
      </c>
      <c r="C3557" s="77" t="s">
        <v>1572</v>
      </c>
      <c r="D3557" s="13">
        <f>D3554+D3555-D3556</f>
        <v>35958.76</v>
      </c>
      <c r="E3557" s="15">
        <f t="shared" si="1"/>
        <v>2025</v>
      </c>
      <c r="F3557" s="15">
        <f t="shared" si="2"/>
        <v>2</v>
      </c>
      <c r="G3557" s="15">
        <f t="shared" si="3"/>
        <v>26</v>
      </c>
    </row>
    <row r="3558">
      <c r="A3558" s="10" t="s">
        <v>37</v>
      </c>
      <c r="B3558" s="94">
        <f t="shared" si="5"/>
        <v>45715</v>
      </c>
      <c r="C3558" s="77" t="s">
        <v>1569</v>
      </c>
      <c r="D3558" s="13">
        <f>D3557</f>
        <v>35958.76</v>
      </c>
      <c r="E3558" s="15">
        <f t="shared" si="1"/>
        <v>2025</v>
      </c>
      <c r="F3558" s="15">
        <f t="shared" si="2"/>
        <v>2</v>
      </c>
      <c r="G3558" s="15">
        <f t="shared" si="3"/>
        <v>27</v>
      </c>
    </row>
    <row r="3559">
      <c r="A3559" s="10" t="s">
        <v>37</v>
      </c>
      <c r="B3559" s="94">
        <f t="shared" si="5"/>
        <v>45715</v>
      </c>
      <c r="C3559" s="77" t="s">
        <v>1570</v>
      </c>
      <c r="D3559" s="13">
        <f>SUMIFS('Lançamentos de receitas'!$E:$E,'Lançamentos de receitas'!$F:$F,"PAGO",'Lançamentos de receitas'!$C:$C,A3559,'Lançamentos de receitas'!$A:$A,B3559)</f>
        <v>1608.81</v>
      </c>
      <c r="E3559" s="15">
        <f t="shared" si="1"/>
        <v>2025</v>
      </c>
      <c r="F3559" s="15">
        <f t="shared" si="2"/>
        <v>2</v>
      </c>
      <c r="G3559" s="15">
        <f t="shared" si="3"/>
        <v>27</v>
      </c>
    </row>
    <row r="3560">
      <c r="A3560" s="10" t="s">
        <v>37</v>
      </c>
      <c r="B3560" s="94">
        <f t="shared" si="5"/>
        <v>45715</v>
      </c>
      <c r="C3560" s="77" t="s">
        <v>1571</v>
      </c>
      <c r="D3560" s="13">
        <f>SUMIFS('Lançamentos de despesas'!$I:$I,'Lançamentos de despesas'!$G:$G,A3560,'Lançamentos de despesas'!$E:$E,"PAGO",'Lançamentos de despesas'!$C:$C,B3560)</f>
        <v>551.4</v>
      </c>
      <c r="E3560" s="15">
        <f t="shared" si="1"/>
        <v>2025</v>
      </c>
      <c r="F3560" s="15">
        <f t="shared" si="2"/>
        <v>2</v>
      </c>
      <c r="G3560" s="15">
        <f t="shared" si="3"/>
        <v>27</v>
      </c>
    </row>
    <row r="3561">
      <c r="A3561" s="10" t="s">
        <v>37</v>
      </c>
      <c r="B3561" s="94">
        <f t="shared" si="5"/>
        <v>45715</v>
      </c>
      <c r="C3561" s="77" t="s">
        <v>1572</v>
      </c>
      <c r="D3561" s="13">
        <f>D3558+D3559-D3560</f>
        <v>37016.17</v>
      </c>
      <c r="E3561" s="15">
        <f t="shared" si="1"/>
        <v>2025</v>
      </c>
      <c r="F3561" s="15">
        <f t="shared" si="2"/>
        <v>2</v>
      </c>
      <c r="G3561" s="15">
        <f t="shared" si="3"/>
        <v>27</v>
      </c>
    </row>
    <row r="3562">
      <c r="A3562" s="10" t="s">
        <v>37</v>
      </c>
      <c r="B3562" s="94">
        <f t="shared" si="5"/>
        <v>45716</v>
      </c>
      <c r="C3562" s="77" t="s">
        <v>1569</v>
      </c>
      <c r="D3562" s="13">
        <f>D3561</f>
        <v>37016.17</v>
      </c>
      <c r="E3562" s="15">
        <f t="shared" si="1"/>
        <v>2025</v>
      </c>
      <c r="F3562" s="15">
        <f t="shared" si="2"/>
        <v>2</v>
      </c>
      <c r="G3562" s="15">
        <f t="shared" si="3"/>
        <v>28</v>
      </c>
    </row>
    <row r="3563">
      <c r="A3563" s="10" t="s">
        <v>37</v>
      </c>
      <c r="B3563" s="94">
        <f t="shared" si="5"/>
        <v>45716</v>
      </c>
      <c r="C3563" s="77" t="s">
        <v>1570</v>
      </c>
      <c r="D3563" s="13">
        <f>SUMIFS('Lançamentos de receitas'!$E:$E,'Lançamentos de receitas'!$F:$F,"PAGO",'Lançamentos de receitas'!$C:$C,A3563,'Lançamentos de receitas'!$A:$A,B3563)</f>
        <v>1850.39</v>
      </c>
      <c r="E3563" s="15">
        <f t="shared" si="1"/>
        <v>2025</v>
      </c>
      <c r="F3563" s="15">
        <f t="shared" si="2"/>
        <v>2</v>
      </c>
      <c r="G3563" s="15">
        <f t="shared" si="3"/>
        <v>28</v>
      </c>
    </row>
    <row r="3564">
      <c r="A3564" s="10" t="s">
        <v>37</v>
      </c>
      <c r="B3564" s="94">
        <f t="shared" si="5"/>
        <v>45716</v>
      </c>
      <c r="C3564" s="77" t="s">
        <v>1571</v>
      </c>
      <c r="D3564" s="13">
        <f>SUMIFS('Lançamentos de despesas'!$I:$I,'Lançamentos de despesas'!$G:$G,A3564,'Lançamentos de despesas'!$E:$E,"PAGO",'Lançamentos de despesas'!$C:$C,B3564)</f>
        <v>0</v>
      </c>
      <c r="E3564" s="15">
        <f t="shared" si="1"/>
        <v>2025</v>
      </c>
      <c r="F3564" s="15">
        <f t="shared" si="2"/>
        <v>2</v>
      </c>
      <c r="G3564" s="15">
        <f t="shared" si="3"/>
        <v>28</v>
      </c>
    </row>
    <row r="3565">
      <c r="A3565" s="10" t="s">
        <v>37</v>
      </c>
      <c r="B3565" s="94">
        <f t="shared" si="5"/>
        <v>45716</v>
      </c>
      <c r="C3565" s="77" t="s">
        <v>1572</v>
      </c>
      <c r="D3565" s="13">
        <f>D3562+D3563-D3564</f>
        <v>38866.56</v>
      </c>
      <c r="E3565" s="15">
        <f t="shared" si="1"/>
        <v>2025</v>
      </c>
      <c r="F3565" s="15">
        <f t="shared" si="2"/>
        <v>2</v>
      </c>
      <c r="G3565" s="15">
        <f t="shared" si="3"/>
        <v>28</v>
      </c>
    </row>
    <row r="3566">
      <c r="A3566" s="10" t="s">
        <v>37</v>
      </c>
      <c r="B3566" s="94">
        <f t="shared" si="5"/>
        <v>45717</v>
      </c>
      <c r="C3566" s="77" t="s">
        <v>1569</v>
      </c>
      <c r="D3566" s="13">
        <f>D3565</f>
        <v>38866.56</v>
      </c>
      <c r="E3566" s="15">
        <f t="shared" si="1"/>
        <v>2025</v>
      </c>
      <c r="F3566" s="15">
        <f t="shared" si="2"/>
        <v>3</v>
      </c>
      <c r="G3566" s="15">
        <f t="shared" si="3"/>
        <v>1</v>
      </c>
    </row>
    <row r="3567">
      <c r="A3567" s="10" t="s">
        <v>37</v>
      </c>
      <c r="B3567" s="94">
        <f t="shared" si="5"/>
        <v>45717</v>
      </c>
      <c r="C3567" s="77" t="s">
        <v>1570</v>
      </c>
      <c r="D3567" s="13">
        <f>SUMIFS('Lançamentos de receitas'!$E:$E,'Lançamentos de receitas'!$F:$F,"PAGO",'Lançamentos de receitas'!$C:$C,A3567,'Lançamentos de receitas'!$A:$A,B3567)</f>
        <v>1934.31</v>
      </c>
      <c r="E3567" s="15">
        <f t="shared" si="1"/>
        <v>2025</v>
      </c>
      <c r="F3567" s="15">
        <f t="shared" si="2"/>
        <v>3</v>
      </c>
      <c r="G3567" s="15">
        <f t="shared" si="3"/>
        <v>1</v>
      </c>
    </row>
    <row r="3568">
      <c r="A3568" s="10" t="s">
        <v>37</v>
      </c>
      <c r="B3568" s="94">
        <f t="shared" si="5"/>
        <v>45717</v>
      </c>
      <c r="C3568" s="77" t="s">
        <v>1571</v>
      </c>
      <c r="D3568" s="13">
        <f>SUMIFS('Lançamentos de despesas'!$I:$I,'Lançamentos de despesas'!$G:$G,A3568,'Lançamentos de despesas'!$E:$E,"PAGO",'Lançamentos de despesas'!$C:$C,B3568)</f>
        <v>59.5</v>
      </c>
      <c r="E3568" s="15">
        <f t="shared" si="1"/>
        <v>2025</v>
      </c>
      <c r="F3568" s="15">
        <f t="shared" si="2"/>
        <v>3</v>
      </c>
      <c r="G3568" s="15">
        <f t="shared" si="3"/>
        <v>1</v>
      </c>
    </row>
    <row r="3569">
      <c r="A3569" s="10" t="s">
        <v>37</v>
      </c>
      <c r="B3569" s="94">
        <f t="shared" si="5"/>
        <v>45717</v>
      </c>
      <c r="C3569" s="77" t="s">
        <v>1572</v>
      </c>
      <c r="D3569" s="13">
        <f>D3566+D3567-D3568</f>
        <v>40741.37</v>
      </c>
      <c r="E3569" s="15">
        <f t="shared" si="1"/>
        <v>2025</v>
      </c>
      <c r="F3569" s="15">
        <f t="shared" si="2"/>
        <v>3</v>
      </c>
      <c r="G3569" s="15">
        <f t="shared" si="3"/>
        <v>1</v>
      </c>
    </row>
    <row r="3570">
      <c r="A3570" s="10" t="s">
        <v>37</v>
      </c>
      <c r="B3570" s="94">
        <f t="shared" si="5"/>
        <v>45718</v>
      </c>
      <c r="C3570" s="77" t="s">
        <v>1569</v>
      </c>
      <c r="D3570" s="13">
        <f>D3569</f>
        <v>40741.37</v>
      </c>
      <c r="E3570" s="15">
        <f t="shared" si="1"/>
        <v>2025</v>
      </c>
      <c r="F3570" s="15">
        <f t="shared" si="2"/>
        <v>3</v>
      </c>
      <c r="G3570" s="15">
        <f t="shared" si="3"/>
        <v>2</v>
      </c>
    </row>
    <row r="3571">
      <c r="A3571" s="10" t="s">
        <v>37</v>
      </c>
      <c r="B3571" s="94">
        <f t="shared" si="5"/>
        <v>45718</v>
      </c>
      <c r="C3571" s="77" t="s">
        <v>1570</v>
      </c>
      <c r="D3571" s="13">
        <f>SUMIFS('Lançamentos de receitas'!$E:$E,'Lançamentos de receitas'!$F:$F,"PAGO",'Lançamentos de receitas'!$C:$C,A3571,'Lançamentos de receitas'!$A:$A,B3571)</f>
        <v>2029.31</v>
      </c>
      <c r="E3571" s="15">
        <f t="shared" si="1"/>
        <v>2025</v>
      </c>
      <c r="F3571" s="15">
        <f t="shared" si="2"/>
        <v>3</v>
      </c>
      <c r="G3571" s="15">
        <f t="shared" si="3"/>
        <v>2</v>
      </c>
    </row>
    <row r="3572">
      <c r="A3572" s="10" t="s">
        <v>37</v>
      </c>
      <c r="B3572" s="94">
        <f t="shared" si="5"/>
        <v>45718</v>
      </c>
      <c r="C3572" s="77" t="s">
        <v>1571</v>
      </c>
      <c r="D3572" s="13">
        <f>SUMIFS('Lançamentos de despesas'!$I:$I,'Lançamentos de despesas'!$G:$G,A3572,'Lançamentos de despesas'!$E:$E,"PAGO",'Lançamentos de despesas'!$C:$C,B3572)</f>
        <v>0</v>
      </c>
      <c r="E3572" s="15">
        <f t="shared" si="1"/>
        <v>2025</v>
      </c>
      <c r="F3572" s="15">
        <f t="shared" si="2"/>
        <v>3</v>
      </c>
      <c r="G3572" s="15">
        <f t="shared" si="3"/>
        <v>2</v>
      </c>
    </row>
    <row r="3573">
      <c r="A3573" s="10" t="s">
        <v>37</v>
      </c>
      <c r="B3573" s="94">
        <f t="shared" si="5"/>
        <v>45718</v>
      </c>
      <c r="C3573" s="77" t="s">
        <v>1572</v>
      </c>
      <c r="D3573" s="13">
        <f>D3570+D3571-D3572</f>
        <v>42770.68</v>
      </c>
      <c r="E3573" s="15">
        <f t="shared" si="1"/>
        <v>2025</v>
      </c>
      <c r="F3573" s="15">
        <f t="shared" si="2"/>
        <v>3</v>
      </c>
      <c r="G3573" s="15">
        <f t="shared" si="3"/>
        <v>2</v>
      </c>
    </row>
    <row r="3574">
      <c r="A3574" s="10" t="s">
        <v>37</v>
      </c>
      <c r="B3574" s="94">
        <f t="shared" si="5"/>
        <v>45719</v>
      </c>
      <c r="C3574" s="77" t="s">
        <v>1569</v>
      </c>
      <c r="D3574" s="13">
        <f>D3573</f>
        <v>42770.68</v>
      </c>
      <c r="E3574" s="15">
        <f t="shared" si="1"/>
        <v>2025</v>
      </c>
      <c r="F3574" s="15">
        <f t="shared" si="2"/>
        <v>3</v>
      </c>
      <c r="G3574" s="15">
        <f t="shared" si="3"/>
        <v>3</v>
      </c>
    </row>
    <row r="3575">
      <c r="A3575" s="10" t="s">
        <v>37</v>
      </c>
      <c r="B3575" s="94">
        <f t="shared" si="5"/>
        <v>45719</v>
      </c>
      <c r="C3575" s="77" t="s">
        <v>1570</v>
      </c>
      <c r="D3575" s="13">
        <f>SUMIFS('Lançamentos de receitas'!$E:$E,'Lançamentos de receitas'!$F:$F,"PAGO",'Lançamentos de receitas'!$C:$C,A3575,'Lançamentos de receitas'!$A:$A,B3575)</f>
        <v>889.01</v>
      </c>
      <c r="E3575" s="15">
        <f t="shared" si="1"/>
        <v>2025</v>
      </c>
      <c r="F3575" s="15">
        <f t="shared" si="2"/>
        <v>3</v>
      </c>
      <c r="G3575" s="15">
        <f t="shared" si="3"/>
        <v>3</v>
      </c>
    </row>
    <row r="3576">
      <c r="A3576" s="10" t="s">
        <v>37</v>
      </c>
      <c r="B3576" s="94">
        <f t="shared" si="5"/>
        <v>45719</v>
      </c>
      <c r="C3576" s="77" t="s">
        <v>1571</v>
      </c>
      <c r="D3576" s="13">
        <f>SUMIFS('Lançamentos de despesas'!$I:$I,'Lançamentos de despesas'!$G:$G,A3576,'Lançamentos de despesas'!$E:$E,"PAGO",'Lançamentos de despesas'!$C:$C,B3576)</f>
        <v>0</v>
      </c>
      <c r="E3576" s="15">
        <f t="shared" si="1"/>
        <v>2025</v>
      </c>
      <c r="F3576" s="15">
        <f t="shared" si="2"/>
        <v>3</v>
      </c>
      <c r="G3576" s="15">
        <f t="shared" si="3"/>
        <v>3</v>
      </c>
    </row>
    <row r="3577">
      <c r="A3577" s="10" t="s">
        <v>37</v>
      </c>
      <c r="B3577" s="94">
        <f t="shared" si="5"/>
        <v>45719</v>
      </c>
      <c r="C3577" s="77" t="s">
        <v>1572</v>
      </c>
      <c r="D3577" s="13">
        <f>D3574+D3575-D3576</f>
        <v>43659.69</v>
      </c>
      <c r="E3577" s="15">
        <f t="shared" si="1"/>
        <v>2025</v>
      </c>
      <c r="F3577" s="15">
        <f t="shared" si="2"/>
        <v>3</v>
      </c>
      <c r="G3577" s="15">
        <f t="shared" si="3"/>
        <v>3</v>
      </c>
    </row>
    <row r="3578">
      <c r="A3578" s="10" t="s">
        <v>37</v>
      </c>
      <c r="B3578" s="94">
        <f t="shared" si="5"/>
        <v>45720</v>
      </c>
      <c r="C3578" s="77" t="s">
        <v>1569</v>
      </c>
      <c r="D3578" s="13">
        <f>D3577</f>
        <v>43659.69</v>
      </c>
      <c r="E3578" s="15">
        <f t="shared" si="1"/>
        <v>2025</v>
      </c>
      <c r="F3578" s="15">
        <f t="shared" si="2"/>
        <v>3</v>
      </c>
      <c r="G3578" s="15">
        <f t="shared" si="3"/>
        <v>4</v>
      </c>
    </row>
    <row r="3579">
      <c r="A3579" s="10" t="s">
        <v>37</v>
      </c>
      <c r="B3579" s="94">
        <f t="shared" si="5"/>
        <v>45720</v>
      </c>
      <c r="C3579" s="77" t="s">
        <v>1570</v>
      </c>
      <c r="D3579" s="13">
        <f>SUMIFS('Lançamentos de receitas'!$E:$E,'Lançamentos de receitas'!$F:$F,"PAGO",'Lançamentos de receitas'!$C:$C,A3579,'Lançamentos de receitas'!$A:$A,B3579)</f>
        <v>2797.46</v>
      </c>
      <c r="E3579" s="15">
        <f t="shared" si="1"/>
        <v>2025</v>
      </c>
      <c r="F3579" s="15">
        <f t="shared" si="2"/>
        <v>3</v>
      </c>
      <c r="G3579" s="15">
        <f t="shared" si="3"/>
        <v>4</v>
      </c>
    </row>
    <row r="3580">
      <c r="A3580" s="10" t="s">
        <v>37</v>
      </c>
      <c r="B3580" s="94">
        <f t="shared" si="5"/>
        <v>45720</v>
      </c>
      <c r="C3580" s="77" t="s">
        <v>1571</v>
      </c>
      <c r="D3580" s="13">
        <f>SUMIFS('Lançamentos de despesas'!$I:$I,'Lançamentos de despesas'!$G:$G,A3580,'Lançamentos de despesas'!$E:$E,"PAGO",'Lançamentos de despesas'!$C:$C,B3580)</f>
        <v>0</v>
      </c>
      <c r="E3580" s="15">
        <f t="shared" si="1"/>
        <v>2025</v>
      </c>
      <c r="F3580" s="15">
        <f t="shared" si="2"/>
        <v>3</v>
      </c>
      <c r="G3580" s="15">
        <f t="shared" si="3"/>
        <v>4</v>
      </c>
    </row>
    <row r="3581">
      <c r="A3581" s="10" t="s">
        <v>37</v>
      </c>
      <c r="B3581" s="94">
        <f t="shared" si="5"/>
        <v>45720</v>
      </c>
      <c r="C3581" s="77" t="s">
        <v>1572</v>
      </c>
      <c r="D3581" s="13">
        <f>D3578+D3579-D3580</f>
        <v>46457.15</v>
      </c>
      <c r="E3581" s="15">
        <f t="shared" si="1"/>
        <v>2025</v>
      </c>
      <c r="F3581" s="15">
        <f t="shared" si="2"/>
        <v>3</v>
      </c>
      <c r="G3581" s="15">
        <f t="shared" si="3"/>
        <v>4</v>
      </c>
    </row>
    <row r="3582">
      <c r="A3582" s="10" t="s">
        <v>37</v>
      </c>
      <c r="B3582" s="94">
        <f t="shared" si="5"/>
        <v>45721</v>
      </c>
      <c r="C3582" s="77" t="s">
        <v>1569</v>
      </c>
      <c r="D3582" s="13">
        <f>D3581</f>
        <v>46457.15</v>
      </c>
      <c r="E3582" s="15">
        <f t="shared" si="1"/>
        <v>2025</v>
      </c>
      <c r="F3582" s="15">
        <f t="shared" si="2"/>
        <v>3</v>
      </c>
      <c r="G3582" s="15">
        <f t="shared" si="3"/>
        <v>5</v>
      </c>
    </row>
    <row r="3583">
      <c r="A3583" s="10" t="s">
        <v>37</v>
      </c>
      <c r="B3583" s="94">
        <f t="shared" si="5"/>
        <v>45721</v>
      </c>
      <c r="C3583" s="77" t="s">
        <v>1570</v>
      </c>
      <c r="D3583" s="13">
        <f>SUMIFS('Lançamentos de receitas'!$E:$E,'Lançamentos de receitas'!$F:$F,"PAGO",'Lançamentos de receitas'!$C:$C,A3583,'Lançamentos de receitas'!$A:$A,B3583)</f>
        <v>1271.23</v>
      </c>
      <c r="E3583" s="15">
        <f t="shared" si="1"/>
        <v>2025</v>
      </c>
      <c r="F3583" s="15">
        <f t="shared" si="2"/>
        <v>3</v>
      </c>
      <c r="G3583" s="15">
        <f t="shared" si="3"/>
        <v>5</v>
      </c>
    </row>
    <row r="3584">
      <c r="A3584" s="10" t="s">
        <v>37</v>
      </c>
      <c r="B3584" s="94">
        <f t="shared" si="5"/>
        <v>45721</v>
      </c>
      <c r="C3584" s="77" t="s">
        <v>1571</v>
      </c>
      <c r="D3584" s="13">
        <f>SUMIFS('Lançamentos de despesas'!$I:$I,'Lançamentos de despesas'!$G:$G,A3584,'Lançamentos de despesas'!$E:$E,"PAGO",'Lançamentos de despesas'!$C:$C,B3584)</f>
        <v>16192.84</v>
      </c>
      <c r="E3584" s="15">
        <f t="shared" si="1"/>
        <v>2025</v>
      </c>
      <c r="F3584" s="15">
        <f t="shared" si="2"/>
        <v>3</v>
      </c>
      <c r="G3584" s="15">
        <f t="shared" si="3"/>
        <v>5</v>
      </c>
    </row>
    <row r="3585">
      <c r="A3585" s="10" t="s">
        <v>37</v>
      </c>
      <c r="B3585" s="94">
        <f t="shared" si="5"/>
        <v>45721</v>
      </c>
      <c r="C3585" s="77" t="s">
        <v>1572</v>
      </c>
      <c r="D3585" s="13">
        <f>D3582+D3583-D3584</f>
        <v>31535.54</v>
      </c>
      <c r="E3585" s="15">
        <f t="shared" si="1"/>
        <v>2025</v>
      </c>
      <c r="F3585" s="15">
        <f t="shared" si="2"/>
        <v>3</v>
      </c>
      <c r="G3585" s="15">
        <f t="shared" si="3"/>
        <v>5</v>
      </c>
    </row>
    <row r="3586">
      <c r="A3586" s="10" t="s">
        <v>37</v>
      </c>
      <c r="B3586" s="94">
        <f t="shared" si="5"/>
        <v>45722</v>
      </c>
      <c r="C3586" s="77" t="s">
        <v>1569</v>
      </c>
      <c r="D3586" s="13">
        <f>D3585</f>
        <v>31535.54</v>
      </c>
      <c r="E3586" s="15">
        <f t="shared" si="1"/>
        <v>2025</v>
      </c>
      <c r="F3586" s="15">
        <f t="shared" si="2"/>
        <v>3</v>
      </c>
      <c r="G3586" s="15">
        <f t="shared" si="3"/>
        <v>6</v>
      </c>
    </row>
    <row r="3587">
      <c r="A3587" s="10" t="s">
        <v>37</v>
      </c>
      <c r="B3587" s="94">
        <f t="shared" si="5"/>
        <v>45722</v>
      </c>
      <c r="C3587" s="77" t="s">
        <v>1570</v>
      </c>
      <c r="D3587" s="13">
        <f>SUMIFS('Lançamentos de receitas'!$E:$E,'Lançamentos de receitas'!$F:$F,"PAGO",'Lançamentos de receitas'!$C:$C,A3587,'Lançamentos de receitas'!$A:$A,B3587)</f>
        <v>2547.08</v>
      </c>
      <c r="E3587" s="15">
        <f t="shared" si="1"/>
        <v>2025</v>
      </c>
      <c r="F3587" s="15">
        <f t="shared" si="2"/>
        <v>3</v>
      </c>
      <c r="G3587" s="15">
        <f t="shared" si="3"/>
        <v>6</v>
      </c>
    </row>
    <row r="3588">
      <c r="A3588" s="10" t="s">
        <v>37</v>
      </c>
      <c r="B3588" s="94">
        <f t="shared" si="5"/>
        <v>45722</v>
      </c>
      <c r="C3588" s="77" t="s">
        <v>1571</v>
      </c>
      <c r="D3588" s="13">
        <f>SUMIFS('Lançamentos de despesas'!$I:$I,'Lançamentos de despesas'!$G:$G,A3588,'Lançamentos de despesas'!$E:$E,"PAGO",'Lançamentos de despesas'!$C:$C,B3588)</f>
        <v>0</v>
      </c>
      <c r="E3588" s="15">
        <f t="shared" si="1"/>
        <v>2025</v>
      </c>
      <c r="F3588" s="15">
        <f t="shared" si="2"/>
        <v>3</v>
      </c>
      <c r="G3588" s="15">
        <f t="shared" si="3"/>
        <v>6</v>
      </c>
    </row>
    <row r="3589">
      <c r="A3589" s="10" t="s">
        <v>37</v>
      </c>
      <c r="B3589" s="94">
        <f t="shared" si="5"/>
        <v>45722</v>
      </c>
      <c r="C3589" s="77" t="s">
        <v>1572</v>
      </c>
      <c r="D3589" s="13">
        <f>D3586+D3587-D3588</f>
        <v>34082.62</v>
      </c>
      <c r="E3589" s="15">
        <f t="shared" si="1"/>
        <v>2025</v>
      </c>
      <c r="F3589" s="15">
        <f t="shared" si="2"/>
        <v>3</v>
      </c>
      <c r="G3589" s="15">
        <f t="shared" si="3"/>
        <v>6</v>
      </c>
    </row>
    <row r="3590">
      <c r="A3590" s="10" t="s">
        <v>37</v>
      </c>
      <c r="B3590" s="94">
        <f t="shared" si="5"/>
        <v>45723</v>
      </c>
      <c r="C3590" s="77" t="s">
        <v>1569</v>
      </c>
      <c r="D3590" s="13">
        <f>D3589</f>
        <v>34082.62</v>
      </c>
      <c r="E3590" s="15">
        <f t="shared" si="1"/>
        <v>2025</v>
      </c>
      <c r="F3590" s="15">
        <f t="shared" si="2"/>
        <v>3</v>
      </c>
      <c r="G3590" s="15">
        <f t="shared" si="3"/>
        <v>7</v>
      </c>
    </row>
    <row r="3591">
      <c r="A3591" s="10" t="s">
        <v>37</v>
      </c>
      <c r="B3591" s="94">
        <f t="shared" si="5"/>
        <v>45723</v>
      </c>
      <c r="C3591" s="77" t="s">
        <v>1570</v>
      </c>
      <c r="D3591" s="13">
        <f>SUMIFS('Lançamentos de receitas'!$E:$E,'Lançamentos de receitas'!$F:$F,"PAGO",'Lançamentos de receitas'!$C:$C,A3591,'Lançamentos de receitas'!$A:$A,B3591)</f>
        <v>1910.29</v>
      </c>
      <c r="E3591" s="15">
        <f t="shared" si="1"/>
        <v>2025</v>
      </c>
      <c r="F3591" s="15">
        <f t="shared" si="2"/>
        <v>3</v>
      </c>
      <c r="G3591" s="15">
        <f t="shared" si="3"/>
        <v>7</v>
      </c>
    </row>
    <row r="3592">
      <c r="A3592" s="10" t="s">
        <v>37</v>
      </c>
      <c r="B3592" s="94">
        <f t="shared" si="5"/>
        <v>45723</v>
      </c>
      <c r="C3592" s="77" t="s">
        <v>1571</v>
      </c>
      <c r="D3592" s="13">
        <f>SUMIFS('Lançamentos de despesas'!$I:$I,'Lançamentos de despesas'!$G:$G,A3592,'Lançamentos de despesas'!$E:$E,"PAGO",'Lançamentos de despesas'!$C:$C,B3592)</f>
        <v>78</v>
      </c>
      <c r="E3592" s="15">
        <f t="shared" si="1"/>
        <v>2025</v>
      </c>
      <c r="F3592" s="15">
        <f t="shared" si="2"/>
        <v>3</v>
      </c>
      <c r="G3592" s="15">
        <f t="shared" si="3"/>
        <v>7</v>
      </c>
    </row>
    <row r="3593">
      <c r="A3593" s="10" t="s">
        <v>37</v>
      </c>
      <c r="B3593" s="94">
        <f t="shared" si="5"/>
        <v>45723</v>
      </c>
      <c r="C3593" s="77" t="s">
        <v>1572</v>
      </c>
      <c r="D3593" s="13">
        <f>D3590+D3591-D3592</f>
        <v>35914.91</v>
      </c>
      <c r="E3593" s="15">
        <f t="shared" si="1"/>
        <v>2025</v>
      </c>
      <c r="F3593" s="15">
        <f t="shared" si="2"/>
        <v>3</v>
      </c>
      <c r="G3593" s="15">
        <f t="shared" si="3"/>
        <v>7</v>
      </c>
    </row>
    <row r="3594">
      <c r="A3594" s="10" t="s">
        <v>37</v>
      </c>
      <c r="B3594" s="94">
        <f t="shared" si="5"/>
        <v>45724</v>
      </c>
      <c r="C3594" s="77" t="s">
        <v>1569</v>
      </c>
      <c r="D3594" s="13">
        <f>D3593</f>
        <v>35914.91</v>
      </c>
      <c r="E3594" s="15">
        <f t="shared" si="1"/>
        <v>2025</v>
      </c>
      <c r="F3594" s="15">
        <f t="shared" si="2"/>
        <v>3</v>
      </c>
      <c r="G3594" s="15">
        <f t="shared" si="3"/>
        <v>8</v>
      </c>
    </row>
    <row r="3595">
      <c r="A3595" s="10" t="s">
        <v>37</v>
      </c>
      <c r="B3595" s="94">
        <f t="shared" si="5"/>
        <v>45724</v>
      </c>
      <c r="C3595" s="77" t="s">
        <v>1570</v>
      </c>
      <c r="D3595" s="13">
        <f>SUMIFS('Lançamentos de receitas'!$E:$E,'Lançamentos de receitas'!$F:$F,"PAGO",'Lançamentos de receitas'!$C:$C,A3595,'Lançamentos de receitas'!$A:$A,B3595)</f>
        <v>3420.41</v>
      </c>
      <c r="E3595" s="15">
        <f t="shared" si="1"/>
        <v>2025</v>
      </c>
      <c r="F3595" s="15">
        <f t="shared" si="2"/>
        <v>3</v>
      </c>
      <c r="G3595" s="15">
        <f t="shared" si="3"/>
        <v>8</v>
      </c>
    </row>
    <row r="3596">
      <c r="A3596" s="10" t="s">
        <v>37</v>
      </c>
      <c r="B3596" s="94">
        <f t="shared" si="5"/>
        <v>45724</v>
      </c>
      <c r="C3596" s="77" t="s">
        <v>1571</v>
      </c>
      <c r="D3596" s="13">
        <f>SUMIFS('Lançamentos de despesas'!$I:$I,'Lançamentos de despesas'!$G:$G,A3596,'Lançamentos de despesas'!$E:$E,"PAGO",'Lançamentos de despesas'!$C:$C,B3596)</f>
        <v>0</v>
      </c>
      <c r="E3596" s="15">
        <f t="shared" si="1"/>
        <v>2025</v>
      </c>
      <c r="F3596" s="15">
        <f t="shared" si="2"/>
        <v>3</v>
      </c>
      <c r="G3596" s="15">
        <f t="shared" si="3"/>
        <v>8</v>
      </c>
    </row>
    <row r="3597">
      <c r="A3597" s="10" t="s">
        <v>37</v>
      </c>
      <c r="B3597" s="94">
        <f t="shared" si="5"/>
        <v>45724</v>
      </c>
      <c r="C3597" s="77" t="s">
        <v>1572</v>
      </c>
      <c r="D3597" s="13">
        <f>D3594+D3595-D3596</f>
        <v>39335.32</v>
      </c>
      <c r="E3597" s="15">
        <f t="shared" si="1"/>
        <v>2025</v>
      </c>
      <c r="F3597" s="15">
        <f t="shared" si="2"/>
        <v>3</v>
      </c>
      <c r="G3597" s="15">
        <f t="shared" si="3"/>
        <v>8</v>
      </c>
    </row>
    <row r="3598">
      <c r="A3598" s="10" t="s">
        <v>37</v>
      </c>
      <c r="B3598" s="94">
        <f t="shared" si="5"/>
        <v>45725</v>
      </c>
      <c r="C3598" s="77" t="s">
        <v>1569</v>
      </c>
      <c r="D3598" s="13">
        <f>D3597</f>
        <v>39335.32</v>
      </c>
      <c r="E3598" s="15">
        <f t="shared" si="1"/>
        <v>2025</v>
      </c>
      <c r="F3598" s="15">
        <f t="shared" si="2"/>
        <v>3</v>
      </c>
      <c r="G3598" s="15">
        <f t="shared" si="3"/>
        <v>9</v>
      </c>
    </row>
    <row r="3599">
      <c r="A3599" s="10" t="s">
        <v>37</v>
      </c>
      <c r="B3599" s="94">
        <f t="shared" si="5"/>
        <v>45725</v>
      </c>
      <c r="C3599" s="77" t="s">
        <v>1570</v>
      </c>
      <c r="D3599" s="13">
        <f>SUMIFS('Lançamentos de receitas'!$E:$E,'Lançamentos de receitas'!$F:$F,"PAGO",'Lançamentos de receitas'!$C:$C,A3599,'Lançamentos de receitas'!$A:$A,B3599)</f>
        <v>1581.75</v>
      </c>
      <c r="E3599" s="15">
        <f t="shared" si="1"/>
        <v>2025</v>
      </c>
      <c r="F3599" s="15">
        <f t="shared" si="2"/>
        <v>3</v>
      </c>
      <c r="G3599" s="15">
        <f t="shared" si="3"/>
        <v>9</v>
      </c>
    </row>
    <row r="3600">
      <c r="A3600" s="10" t="s">
        <v>37</v>
      </c>
      <c r="B3600" s="94">
        <f t="shared" si="5"/>
        <v>45725</v>
      </c>
      <c r="C3600" s="77" t="s">
        <v>1571</v>
      </c>
      <c r="D3600" s="13">
        <f>SUMIFS('Lançamentos de despesas'!$I:$I,'Lançamentos de despesas'!$G:$G,A3600,'Lançamentos de despesas'!$E:$E,"PAGO",'Lançamentos de despesas'!$C:$C,B3600)</f>
        <v>0</v>
      </c>
      <c r="E3600" s="15">
        <f t="shared" si="1"/>
        <v>2025</v>
      </c>
      <c r="F3600" s="15">
        <f t="shared" si="2"/>
        <v>3</v>
      </c>
      <c r="G3600" s="15">
        <f t="shared" si="3"/>
        <v>9</v>
      </c>
    </row>
    <row r="3601">
      <c r="A3601" s="10" t="s">
        <v>37</v>
      </c>
      <c r="B3601" s="94">
        <f t="shared" si="5"/>
        <v>45725</v>
      </c>
      <c r="C3601" s="77" t="s">
        <v>1572</v>
      </c>
      <c r="D3601" s="13">
        <f>D3598+D3599-D3600</f>
        <v>40917.07</v>
      </c>
      <c r="E3601" s="15">
        <f t="shared" si="1"/>
        <v>2025</v>
      </c>
      <c r="F3601" s="15">
        <f t="shared" si="2"/>
        <v>3</v>
      </c>
      <c r="G3601" s="15">
        <f t="shared" si="3"/>
        <v>9</v>
      </c>
    </row>
    <row r="3602">
      <c r="A3602" s="10" t="s">
        <v>37</v>
      </c>
      <c r="B3602" s="94">
        <f t="shared" si="5"/>
        <v>45726</v>
      </c>
      <c r="C3602" s="77" t="s">
        <v>1569</v>
      </c>
      <c r="D3602" s="13">
        <f>D3601</f>
        <v>40917.07</v>
      </c>
      <c r="E3602" s="15">
        <f t="shared" si="1"/>
        <v>2025</v>
      </c>
      <c r="F3602" s="15">
        <f t="shared" si="2"/>
        <v>3</v>
      </c>
      <c r="G3602" s="15">
        <f t="shared" si="3"/>
        <v>10</v>
      </c>
    </row>
    <row r="3603">
      <c r="A3603" s="10" t="s">
        <v>37</v>
      </c>
      <c r="B3603" s="94">
        <f t="shared" si="5"/>
        <v>45726</v>
      </c>
      <c r="C3603" s="77" t="s">
        <v>1570</v>
      </c>
      <c r="D3603" s="13">
        <f>SUMIFS('Lançamentos de receitas'!$E:$E,'Lançamentos de receitas'!$F:$F,"PAGO",'Lançamentos de receitas'!$C:$C,A3603,'Lançamentos de receitas'!$A:$A,B3603)</f>
        <v>946.13</v>
      </c>
      <c r="E3603" s="15">
        <f t="shared" si="1"/>
        <v>2025</v>
      </c>
      <c r="F3603" s="15">
        <f t="shared" si="2"/>
        <v>3</v>
      </c>
      <c r="G3603" s="15">
        <f t="shared" si="3"/>
        <v>10</v>
      </c>
    </row>
    <row r="3604">
      <c r="A3604" s="10" t="s">
        <v>37</v>
      </c>
      <c r="B3604" s="94">
        <f t="shared" si="5"/>
        <v>45726</v>
      </c>
      <c r="C3604" s="77" t="s">
        <v>1571</v>
      </c>
      <c r="D3604" s="13">
        <f>SUMIFS('Lançamentos de despesas'!$I:$I,'Lançamentos de despesas'!$G:$G,A3604,'Lançamentos de despesas'!$E:$E,"PAGO",'Lançamentos de despesas'!$C:$C,B3604)</f>
        <v>664.49</v>
      </c>
      <c r="E3604" s="15">
        <f t="shared" si="1"/>
        <v>2025</v>
      </c>
      <c r="F3604" s="15">
        <f t="shared" si="2"/>
        <v>3</v>
      </c>
      <c r="G3604" s="15">
        <f t="shared" si="3"/>
        <v>10</v>
      </c>
    </row>
    <row r="3605">
      <c r="A3605" s="10" t="s">
        <v>37</v>
      </c>
      <c r="B3605" s="94">
        <f t="shared" si="5"/>
        <v>45726</v>
      </c>
      <c r="C3605" s="77" t="s">
        <v>1572</v>
      </c>
      <c r="D3605" s="13">
        <f>D3602+D3603-D3604</f>
        <v>41198.71</v>
      </c>
      <c r="E3605" s="15">
        <f t="shared" si="1"/>
        <v>2025</v>
      </c>
      <c r="F3605" s="15">
        <f t="shared" si="2"/>
        <v>3</v>
      </c>
      <c r="G3605" s="15">
        <f t="shared" si="3"/>
        <v>10</v>
      </c>
    </row>
    <row r="3606">
      <c r="A3606" s="10" t="s">
        <v>37</v>
      </c>
      <c r="B3606" s="94">
        <f t="shared" si="5"/>
        <v>45727</v>
      </c>
      <c r="C3606" s="77" t="s">
        <v>1569</v>
      </c>
      <c r="D3606" s="13">
        <f>D3605</f>
        <v>41198.71</v>
      </c>
      <c r="E3606" s="15">
        <f t="shared" si="1"/>
        <v>2025</v>
      </c>
      <c r="F3606" s="15">
        <f t="shared" si="2"/>
        <v>3</v>
      </c>
      <c r="G3606" s="15">
        <f t="shared" si="3"/>
        <v>11</v>
      </c>
    </row>
    <row r="3607">
      <c r="A3607" s="10" t="s">
        <v>37</v>
      </c>
      <c r="B3607" s="94">
        <f t="shared" si="5"/>
        <v>45727</v>
      </c>
      <c r="C3607" s="77" t="s">
        <v>1570</v>
      </c>
      <c r="D3607" s="13">
        <f>SUMIFS('Lançamentos de receitas'!$E:$E,'Lançamentos de receitas'!$F:$F,"PAGO",'Lançamentos de receitas'!$C:$C,A3607,'Lançamentos de receitas'!$A:$A,B3607)</f>
        <v>1517.16</v>
      </c>
      <c r="E3607" s="15">
        <f t="shared" si="1"/>
        <v>2025</v>
      </c>
      <c r="F3607" s="15">
        <f t="shared" si="2"/>
        <v>3</v>
      </c>
      <c r="G3607" s="15">
        <f t="shared" si="3"/>
        <v>11</v>
      </c>
    </row>
    <row r="3608">
      <c r="A3608" s="10" t="s">
        <v>37</v>
      </c>
      <c r="B3608" s="94">
        <f t="shared" si="5"/>
        <v>45727</v>
      </c>
      <c r="C3608" s="77" t="s">
        <v>1571</v>
      </c>
      <c r="D3608" s="13">
        <f>SUMIFS('Lançamentos de despesas'!$I:$I,'Lançamentos de despesas'!$G:$G,A3608,'Lançamentos de despesas'!$E:$E,"PAGO",'Lançamentos de despesas'!$C:$C,B3608)</f>
        <v>332.5</v>
      </c>
      <c r="E3608" s="15">
        <f t="shared" si="1"/>
        <v>2025</v>
      </c>
      <c r="F3608" s="15">
        <f t="shared" si="2"/>
        <v>3</v>
      </c>
      <c r="G3608" s="15">
        <f t="shared" si="3"/>
        <v>11</v>
      </c>
    </row>
    <row r="3609">
      <c r="A3609" s="10" t="s">
        <v>37</v>
      </c>
      <c r="B3609" s="94">
        <f t="shared" si="5"/>
        <v>45727</v>
      </c>
      <c r="C3609" s="77" t="s">
        <v>1572</v>
      </c>
      <c r="D3609" s="13">
        <f>D3606+D3607-D3608</f>
        <v>42383.37</v>
      </c>
      <c r="E3609" s="15">
        <f t="shared" si="1"/>
        <v>2025</v>
      </c>
      <c r="F3609" s="15">
        <f t="shared" si="2"/>
        <v>3</v>
      </c>
      <c r="G3609" s="15">
        <f t="shared" si="3"/>
        <v>11</v>
      </c>
    </row>
    <row r="3610">
      <c r="A3610" s="10" t="s">
        <v>37</v>
      </c>
      <c r="B3610" s="94">
        <f t="shared" si="5"/>
        <v>45728</v>
      </c>
      <c r="C3610" s="77" t="s">
        <v>1569</v>
      </c>
      <c r="D3610" s="13">
        <f>D3609</f>
        <v>42383.37</v>
      </c>
      <c r="E3610" s="15">
        <f t="shared" si="1"/>
        <v>2025</v>
      </c>
      <c r="F3610" s="15">
        <f t="shared" si="2"/>
        <v>3</v>
      </c>
      <c r="G3610" s="15">
        <f t="shared" si="3"/>
        <v>12</v>
      </c>
    </row>
    <row r="3611">
      <c r="A3611" s="10" t="s">
        <v>37</v>
      </c>
      <c r="B3611" s="94">
        <f t="shared" si="5"/>
        <v>45728</v>
      </c>
      <c r="C3611" s="77" t="s">
        <v>1570</v>
      </c>
      <c r="D3611" s="13">
        <f>SUMIFS('Lançamentos de receitas'!$E:$E,'Lançamentos de receitas'!$F:$F,"PAGO",'Lançamentos de receitas'!$C:$C,A3611,'Lançamentos de receitas'!$A:$A,B3611)</f>
        <v>671.2</v>
      </c>
      <c r="E3611" s="15">
        <f t="shared" si="1"/>
        <v>2025</v>
      </c>
      <c r="F3611" s="15">
        <f t="shared" si="2"/>
        <v>3</v>
      </c>
      <c r="G3611" s="15">
        <f t="shared" si="3"/>
        <v>12</v>
      </c>
    </row>
    <row r="3612">
      <c r="A3612" s="10" t="s">
        <v>37</v>
      </c>
      <c r="B3612" s="94">
        <f t="shared" si="5"/>
        <v>45728</v>
      </c>
      <c r="C3612" s="77" t="s">
        <v>1571</v>
      </c>
      <c r="D3612" s="13">
        <f>SUMIFS('Lançamentos de despesas'!$I:$I,'Lançamentos de despesas'!$G:$G,A3612,'Lançamentos de despesas'!$E:$E,"PAGO",'Lançamentos de despesas'!$C:$C,B3612)</f>
        <v>50</v>
      </c>
      <c r="E3612" s="15">
        <f t="shared" si="1"/>
        <v>2025</v>
      </c>
      <c r="F3612" s="15">
        <f t="shared" si="2"/>
        <v>3</v>
      </c>
      <c r="G3612" s="15">
        <f t="shared" si="3"/>
        <v>12</v>
      </c>
    </row>
    <row r="3613">
      <c r="A3613" s="10" t="s">
        <v>37</v>
      </c>
      <c r="B3613" s="94">
        <f t="shared" si="5"/>
        <v>45728</v>
      </c>
      <c r="C3613" s="77" t="s">
        <v>1572</v>
      </c>
      <c r="D3613" s="13">
        <f>D3610+D3611-D3612</f>
        <v>43004.57</v>
      </c>
      <c r="E3613" s="15">
        <f t="shared" si="1"/>
        <v>2025</v>
      </c>
      <c r="F3613" s="15">
        <f t="shared" si="2"/>
        <v>3</v>
      </c>
      <c r="G3613" s="15">
        <f t="shared" si="3"/>
        <v>12</v>
      </c>
    </row>
    <row r="3614">
      <c r="A3614" s="10" t="s">
        <v>37</v>
      </c>
      <c r="B3614" s="94">
        <f t="shared" si="5"/>
        <v>45729</v>
      </c>
      <c r="C3614" s="77" t="s">
        <v>1569</v>
      </c>
      <c r="D3614" s="13">
        <f>D3613</f>
        <v>43004.57</v>
      </c>
      <c r="E3614" s="15">
        <f t="shared" si="1"/>
        <v>2025</v>
      </c>
      <c r="F3614" s="15">
        <f t="shared" si="2"/>
        <v>3</v>
      </c>
      <c r="G3614" s="15">
        <f t="shared" si="3"/>
        <v>13</v>
      </c>
    </row>
    <row r="3615">
      <c r="A3615" s="10" t="s">
        <v>37</v>
      </c>
      <c r="B3615" s="94">
        <f t="shared" si="5"/>
        <v>45729</v>
      </c>
      <c r="C3615" s="77" t="s">
        <v>1570</v>
      </c>
      <c r="D3615" s="13">
        <f>SUMIFS('Lançamentos de receitas'!$E:$E,'Lançamentos de receitas'!$F:$F,"PAGO",'Lançamentos de receitas'!$C:$C,A3615,'Lançamentos de receitas'!$A:$A,B3615)</f>
        <v>1135.59</v>
      </c>
      <c r="E3615" s="15">
        <f t="shared" si="1"/>
        <v>2025</v>
      </c>
      <c r="F3615" s="15">
        <f t="shared" si="2"/>
        <v>3</v>
      </c>
      <c r="G3615" s="15">
        <f t="shared" si="3"/>
        <v>13</v>
      </c>
    </row>
    <row r="3616">
      <c r="A3616" s="10" t="s">
        <v>37</v>
      </c>
      <c r="B3616" s="94">
        <f t="shared" si="5"/>
        <v>45729</v>
      </c>
      <c r="C3616" s="77" t="s">
        <v>1571</v>
      </c>
      <c r="D3616" s="13">
        <f>SUMIFS('Lançamentos de despesas'!$I:$I,'Lançamentos de despesas'!$G:$G,A3616,'Lançamentos de despesas'!$E:$E,"PAGO",'Lançamentos de despesas'!$C:$C,B3616)</f>
        <v>0</v>
      </c>
      <c r="E3616" s="15">
        <f t="shared" si="1"/>
        <v>2025</v>
      </c>
      <c r="F3616" s="15">
        <f t="shared" si="2"/>
        <v>3</v>
      </c>
      <c r="G3616" s="15">
        <f t="shared" si="3"/>
        <v>13</v>
      </c>
    </row>
    <row r="3617">
      <c r="A3617" s="10" t="s">
        <v>37</v>
      </c>
      <c r="B3617" s="94">
        <f t="shared" si="5"/>
        <v>45729</v>
      </c>
      <c r="C3617" s="77" t="s">
        <v>1572</v>
      </c>
      <c r="D3617" s="13">
        <f>D3614+D3615-D3616</f>
        <v>44140.16</v>
      </c>
      <c r="E3617" s="15">
        <f t="shared" si="1"/>
        <v>2025</v>
      </c>
      <c r="F3617" s="15">
        <f t="shared" si="2"/>
        <v>3</v>
      </c>
      <c r="G3617" s="15">
        <f t="shared" si="3"/>
        <v>13</v>
      </c>
    </row>
    <row r="3618">
      <c r="A3618" s="10" t="s">
        <v>37</v>
      </c>
      <c r="B3618" s="94">
        <f t="shared" si="5"/>
        <v>45730</v>
      </c>
      <c r="C3618" s="77" t="s">
        <v>1569</v>
      </c>
      <c r="D3618" s="13">
        <f>D3617</f>
        <v>44140.16</v>
      </c>
      <c r="E3618" s="15">
        <f t="shared" si="1"/>
        <v>2025</v>
      </c>
      <c r="F3618" s="15">
        <f t="shared" si="2"/>
        <v>3</v>
      </c>
      <c r="G3618" s="15">
        <f t="shared" si="3"/>
        <v>14</v>
      </c>
    </row>
    <row r="3619">
      <c r="A3619" s="10" t="s">
        <v>37</v>
      </c>
      <c r="B3619" s="94">
        <f t="shared" si="5"/>
        <v>45730</v>
      </c>
      <c r="C3619" s="77" t="s">
        <v>1570</v>
      </c>
      <c r="D3619" s="13">
        <f>SUMIFS('Lançamentos de receitas'!$E:$E,'Lançamentos de receitas'!$F:$F,"PAGO",'Lançamentos de receitas'!$C:$C,A3619,'Lançamentos de receitas'!$A:$A,B3619)</f>
        <v>1653.36</v>
      </c>
      <c r="E3619" s="15">
        <f t="shared" si="1"/>
        <v>2025</v>
      </c>
      <c r="F3619" s="15">
        <f t="shared" si="2"/>
        <v>3</v>
      </c>
      <c r="G3619" s="15">
        <f t="shared" si="3"/>
        <v>14</v>
      </c>
    </row>
    <row r="3620">
      <c r="A3620" s="10" t="s">
        <v>37</v>
      </c>
      <c r="B3620" s="94">
        <f t="shared" si="5"/>
        <v>45730</v>
      </c>
      <c r="C3620" s="77" t="s">
        <v>1571</v>
      </c>
      <c r="D3620" s="13">
        <f>SUMIFS('Lançamentos de despesas'!$I:$I,'Lançamentos de despesas'!$G:$G,A3620,'Lançamentos de despesas'!$E:$E,"PAGO",'Lançamentos de despesas'!$C:$C,B3620)</f>
        <v>1657.42</v>
      </c>
      <c r="E3620" s="15">
        <f t="shared" si="1"/>
        <v>2025</v>
      </c>
      <c r="F3620" s="15">
        <f t="shared" si="2"/>
        <v>3</v>
      </c>
      <c r="G3620" s="15">
        <f t="shared" si="3"/>
        <v>14</v>
      </c>
    </row>
    <row r="3621">
      <c r="A3621" s="10" t="s">
        <v>37</v>
      </c>
      <c r="B3621" s="94">
        <f t="shared" si="5"/>
        <v>45730</v>
      </c>
      <c r="C3621" s="77" t="s">
        <v>1572</v>
      </c>
      <c r="D3621" s="13">
        <f>D3618+D3619-D3620</f>
        <v>44136.1</v>
      </c>
      <c r="E3621" s="15">
        <f t="shared" si="1"/>
        <v>2025</v>
      </c>
      <c r="F3621" s="15">
        <f t="shared" si="2"/>
        <v>3</v>
      </c>
      <c r="G3621" s="15">
        <f t="shared" si="3"/>
        <v>14</v>
      </c>
    </row>
    <row r="3622">
      <c r="A3622" s="10" t="s">
        <v>37</v>
      </c>
      <c r="B3622" s="94">
        <f t="shared" si="5"/>
        <v>45731</v>
      </c>
      <c r="C3622" s="77" t="s">
        <v>1569</v>
      </c>
      <c r="D3622" s="13">
        <f>D3621</f>
        <v>44136.1</v>
      </c>
      <c r="E3622" s="15">
        <f t="shared" si="1"/>
        <v>2025</v>
      </c>
      <c r="F3622" s="15">
        <f t="shared" si="2"/>
        <v>3</v>
      </c>
      <c r="G3622" s="15">
        <f t="shared" si="3"/>
        <v>15</v>
      </c>
    </row>
    <row r="3623">
      <c r="A3623" s="10" t="s">
        <v>37</v>
      </c>
      <c r="B3623" s="94">
        <f t="shared" si="5"/>
        <v>45731</v>
      </c>
      <c r="C3623" s="77" t="s">
        <v>1570</v>
      </c>
      <c r="D3623" s="13">
        <f>SUMIFS('Lançamentos de receitas'!$E:$E,'Lançamentos de receitas'!$F:$F,"PAGO",'Lançamentos de receitas'!$C:$C,A3623,'Lançamentos de receitas'!$A:$A,B3623)</f>
        <v>2548.87</v>
      </c>
      <c r="E3623" s="15">
        <f t="shared" si="1"/>
        <v>2025</v>
      </c>
      <c r="F3623" s="15">
        <f t="shared" si="2"/>
        <v>3</v>
      </c>
      <c r="G3623" s="15">
        <f t="shared" si="3"/>
        <v>15</v>
      </c>
    </row>
    <row r="3624">
      <c r="A3624" s="10" t="s">
        <v>37</v>
      </c>
      <c r="B3624" s="94">
        <f t="shared" si="5"/>
        <v>45731</v>
      </c>
      <c r="C3624" s="77" t="s">
        <v>1571</v>
      </c>
      <c r="D3624" s="13">
        <f>SUMIFS('Lançamentos de despesas'!$I:$I,'Lançamentos de despesas'!$G:$G,A3624,'Lançamentos de despesas'!$E:$E,"PAGO",'Lançamentos de despesas'!$C:$C,B3624)</f>
        <v>400</v>
      </c>
      <c r="E3624" s="15">
        <f t="shared" si="1"/>
        <v>2025</v>
      </c>
      <c r="F3624" s="15">
        <f t="shared" si="2"/>
        <v>3</v>
      </c>
      <c r="G3624" s="15">
        <f t="shared" si="3"/>
        <v>15</v>
      </c>
    </row>
    <row r="3625">
      <c r="A3625" s="10" t="s">
        <v>37</v>
      </c>
      <c r="B3625" s="94">
        <f t="shared" si="5"/>
        <v>45731</v>
      </c>
      <c r="C3625" s="77" t="s">
        <v>1572</v>
      </c>
      <c r="D3625" s="13">
        <f>D3622+D3623-D3624</f>
        <v>46284.97</v>
      </c>
      <c r="E3625" s="15">
        <f t="shared" si="1"/>
        <v>2025</v>
      </c>
      <c r="F3625" s="15">
        <f t="shared" si="2"/>
        <v>3</v>
      </c>
      <c r="G3625" s="15">
        <f t="shared" si="3"/>
        <v>15</v>
      </c>
    </row>
    <row r="3626">
      <c r="A3626" s="10" t="s">
        <v>37</v>
      </c>
      <c r="B3626" s="94">
        <f t="shared" si="5"/>
        <v>45732</v>
      </c>
      <c r="C3626" s="77" t="s">
        <v>1569</v>
      </c>
      <c r="D3626" s="13">
        <f>D3625</f>
        <v>46284.97</v>
      </c>
      <c r="E3626" s="15">
        <f t="shared" si="1"/>
        <v>2025</v>
      </c>
      <c r="F3626" s="15">
        <f t="shared" si="2"/>
        <v>3</v>
      </c>
      <c r="G3626" s="15">
        <f t="shared" si="3"/>
        <v>16</v>
      </c>
    </row>
    <row r="3627">
      <c r="A3627" s="10" t="s">
        <v>37</v>
      </c>
      <c r="B3627" s="94">
        <f t="shared" si="5"/>
        <v>45732</v>
      </c>
      <c r="C3627" s="77" t="s">
        <v>1570</v>
      </c>
      <c r="D3627" s="13">
        <f>SUMIFS('Lançamentos de receitas'!$E:$E,'Lançamentos de receitas'!$F:$F,"PAGO",'Lançamentos de receitas'!$C:$C,A3627,'Lançamentos de receitas'!$A:$A,B3627)</f>
        <v>497.36</v>
      </c>
      <c r="E3627" s="15">
        <f t="shared" si="1"/>
        <v>2025</v>
      </c>
      <c r="F3627" s="15">
        <f t="shared" si="2"/>
        <v>3</v>
      </c>
      <c r="G3627" s="15">
        <f t="shared" si="3"/>
        <v>16</v>
      </c>
    </row>
    <row r="3628">
      <c r="A3628" s="10" t="s">
        <v>37</v>
      </c>
      <c r="B3628" s="94">
        <f t="shared" si="5"/>
        <v>45732</v>
      </c>
      <c r="C3628" s="77" t="s">
        <v>1571</v>
      </c>
      <c r="D3628" s="13">
        <f>SUMIFS('Lançamentos de despesas'!$I:$I,'Lançamentos de despesas'!$G:$G,A3628,'Lançamentos de despesas'!$E:$E,"PAGO",'Lançamentos de despesas'!$C:$C,B3628)</f>
        <v>0</v>
      </c>
      <c r="E3628" s="15">
        <f t="shared" si="1"/>
        <v>2025</v>
      </c>
      <c r="F3628" s="15">
        <f t="shared" si="2"/>
        <v>3</v>
      </c>
      <c r="G3628" s="15">
        <f t="shared" si="3"/>
        <v>16</v>
      </c>
    </row>
    <row r="3629">
      <c r="A3629" s="10" t="s">
        <v>37</v>
      </c>
      <c r="B3629" s="94">
        <f t="shared" si="5"/>
        <v>45732</v>
      </c>
      <c r="C3629" s="77" t="s">
        <v>1572</v>
      </c>
      <c r="D3629" s="13">
        <f>D3626+D3627-D3628</f>
        <v>46782.33</v>
      </c>
      <c r="E3629" s="15">
        <f t="shared" si="1"/>
        <v>2025</v>
      </c>
      <c r="F3629" s="15">
        <f t="shared" si="2"/>
        <v>3</v>
      </c>
      <c r="G3629" s="15">
        <f t="shared" si="3"/>
        <v>16</v>
      </c>
    </row>
    <row r="3630">
      <c r="A3630" s="10" t="s">
        <v>37</v>
      </c>
      <c r="B3630" s="94">
        <f t="shared" si="5"/>
        <v>45733</v>
      </c>
      <c r="C3630" s="77" t="s">
        <v>1569</v>
      </c>
      <c r="D3630" s="13">
        <f>D3629</f>
        <v>46782.33</v>
      </c>
      <c r="E3630" s="15">
        <f t="shared" si="1"/>
        <v>2025</v>
      </c>
      <c r="F3630" s="15">
        <f t="shared" si="2"/>
        <v>3</v>
      </c>
      <c r="G3630" s="15">
        <f t="shared" si="3"/>
        <v>17</v>
      </c>
    </row>
    <row r="3631">
      <c r="A3631" s="10" t="s">
        <v>37</v>
      </c>
      <c r="B3631" s="94">
        <f t="shared" si="5"/>
        <v>45733</v>
      </c>
      <c r="C3631" s="77" t="s">
        <v>1570</v>
      </c>
      <c r="D3631" s="13">
        <f>SUMIFS('Lançamentos de receitas'!$E:$E,'Lançamentos de receitas'!$F:$F,"PAGO",'Lançamentos de receitas'!$C:$C,A3631,'Lançamentos de receitas'!$A:$A,B3631)</f>
        <v>786.09</v>
      </c>
      <c r="E3631" s="15">
        <f t="shared" si="1"/>
        <v>2025</v>
      </c>
      <c r="F3631" s="15">
        <f t="shared" si="2"/>
        <v>3</v>
      </c>
      <c r="G3631" s="15">
        <f t="shared" si="3"/>
        <v>17</v>
      </c>
    </row>
    <row r="3632">
      <c r="A3632" s="10" t="s">
        <v>37</v>
      </c>
      <c r="B3632" s="94">
        <f t="shared" si="5"/>
        <v>45733</v>
      </c>
      <c r="C3632" s="77" t="s">
        <v>1571</v>
      </c>
      <c r="D3632" s="13">
        <f>SUMIFS('Lançamentos de despesas'!$I:$I,'Lançamentos de despesas'!$G:$G,A3632,'Lançamentos de despesas'!$E:$E,"PAGO",'Lançamentos de despesas'!$C:$C,B3632)</f>
        <v>6108</v>
      </c>
      <c r="E3632" s="15">
        <f t="shared" si="1"/>
        <v>2025</v>
      </c>
      <c r="F3632" s="15">
        <f t="shared" si="2"/>
        <v>3</v>
      </c>
      <c r="G3632" s="15">
        <f t="shared" si="3"/>
        <v>17</v>
      </c>
    </row>
    <row r="3633">
      <c r="A3633" s="10" t="s">
        <v>37</v>
      </c>
      <c r="B3633" s="94">
        <f t="shared" si="5"/>
        <v>45733</v>
      </c>
      <c r="C3633" s="77" t="s">
        <v>1572</v>
      </c>
      <c r="D3633" s="13">
        <f>D3630+D3631-D3632</f>
        <v>41460.42</v>
      </c>
      <c r="E3633" s="15">
        <f t="shared" si="1"/>
        <v>2025</v>
      </c>
      <c r="F3633" s="15">
        <f t="shared" si="2"/>
        <v>3</v>
      </c>
      <c r="G3633" s="15">
        <f t="shared" si="3"/>
        <v>17</v>
      </c>
    </row>
    <row r="3634">
      <c r="A3634" s="10" t="s">
        <v>37</v>
      </c>
      <c r="B3634" s="94">
        <f t="shared" si="5"/>
        <v>45734</v>
      </c>
      <c r="C3634" s="77" t="s">
        <v>1569</v>
      </c>
      <c r="D3634" s="13">
        <f>D3633</f>
        <v>41460.42</v>
      </c>
      <c r="E3634" s="15">
        <f t="shared" si="1"/>
        <v>2025</v>
      </c>
      <c r="F3634" s="15">
        <f t="shared" si="2"/>
        <v>3</v>
      </c>
      <c r="G3634" s="15">
        <f t="shared" si="3"/>
        <v>18</v>
      </c>
    </row>
    <row r="3635">
      <c r="A3635" s="10" t="s">
        <v>37</v>
      </c>
      <c r="B3635" s="94">
        <f t="shared" si="5"/>
        <v>45734</v>
      </c>
      <c r="C3635" s="77" t="s">
        <v>1570</v>
      </c>
      <c r="D3635" s="13">
        <f>SUMIFS('Lançamentos de receitas'!$E:$E,'Lançamentos de receitas'!$F:$F,"PAGO",'Lançamentos de receitas'!$C:$C,A3635,'Lançamentos de receitas'!$A:$A,B3635)</f>
        <v>1855.03</v>
      </c>
      <c r="E3635" s="15">
        <f t="shared" si="1"/>
        <v>2025</v>
      </c>
      <c r="F3635" s="15">
        <f t="shared" si="2"/>
        <v>3</v>
      </c>
      <c r="G3635" s="15">
        <f t="shared" si="3"/>
        <v>18</v>
      </c>
    </row>
    <row r="3636">
      <c r="A3636" s="10" t="s">
        <v>37</v>
      </c>
      <c r="B3636" s="94">
        <f t="shared" si="5"/>
        <v>45734</v>
      </c>
      <c r="C3636" s="77" t="s">
        <v>1571</v>
      </c>
      <c r="D3636" s="13">
        <f>SUMIFS('Lançamentos de despesas'!$I:$I,'Lançamentos de despesas'!$G:$G,A3636,'Lançamentos de despesas'!$E:$E,"PAGO",'Lançamentos de despesas'!$C:$C,B3636)</f>
        <v>3066.61</v>
      </c>
      <c r="E3636" s="15">
        <f t="shared" si="1"/>
        <v>2025</v>
      </c>
      <c r="F3636" s="15">
        <f t="shared" si="2"/>
        <v>3</v>
      </c>
      <c r="G3636" s="15">
        <f t="shared" si="3"/>
        <v>18</v>
      </c>
    </row>
    <row r="3637">
      <c r="A3637" s="10" t="s">
        <v>37</v>
      </c>
      <c r="B3637" s="94">
        <f t="shared" si="5"/>
        <v>45734</v>
      </c>
      <c r="C3637" s="77" t="s">
        <v>1572</v>
      </c>
      <c r="D3637" s="13">
        <f>D3634+D3635-D3636</f>
        <v>40248.84</v>
      </c>
      <c r="E3637" s="15">
        <f t="shared" si="1"/>
        <v>2025</v>
      </c>
      <c r="F3637" s="15">
        <f t="shared" si="2"/>
        <v>3</v>
      </c>
      <c r="G3637" s="15">
        <f t="shared" si="3"/>
        <v>18</v>
      </c>
    </row>
    <row r="3638">
      <c r="A3638" s="10" t="s">
        <v>37</v>
      </c>
      <c r="B3638" s="94">
        <f t="shared" si="5"/>
        <v>45735</v>
      </c>
      <c r="C3638" s="77" t="s">
        <v>1569</v>
      </c>
      <c r="D3638" s="13">
        <f>D3637</f>
        <v>40248.84</v>
      </c>
      <c r="E3638" s="15">
        <f t="shared" si="1"/>
        <v>2025</v>
      </c>
      <c r="F3638" s="15">
        <f t="shared" si="2"/>
        <v>3</v>
      </c>
      <c r="G3638" s="15">
        <f t="shared" si="3"/>
        <v>19</v>
      </c>
    </row>
    <row r="3639">
      <c r="A3639" s="10" t="s">
        <v>37</v>
      </c>
      <c r="B3639" s="94">
        <f t="shared" si="5"/>
        <v>45735</v>
      </c>
      <c r="C3639" s="77" t="s">
        <v>1570</v>
      </c>
      <c r="D3639" s="13">
        <f>SUMIFS('Lançamentos de receitas'!$E:$E,'Lançamentos de receitas'!$F:$F,"PAGO",'Lançamentos de receitas'!$C:$C,A3639,'Lançamentos de receitas'!$A:$A,B3639)</f>
        <v>2479.65</v>
      </c>
      <c r="E3639" s="15">
        <f t="shared" si="1"/>
        <v>2025</v>
      </c>
      <c r="F3639" s="15">
        <f t="shared" si="2"/>
        <v>3</v>
      </c>
      <c r="G3639" s="15">
        <f t="shared" si="3"/>
        <v>19</v>
      </c>
    </row>
    <row r="3640">
      <c r="A3640" s="10" t="s">
        <v>37</v>
      </c>
      <c r="B3640" s="94">
        <f t="shared" si="5"/>
        <v>45735</v>
      </c>
      <c r="C3640" s="77" t="s">
        <v>1571</v>
      </c>
      <c r="D3640" s="13">
        <f>SUMIFS('Lançamentos de despesas'!$I:$I,'Lançamentos de despesas'!$G:$G,A3640,'Lançamentos de despesas'!$E:$E,"PAGO",'Lançamentos de despesas'!$C:$C,B3640)</f>
        <v>578</v>
      </c>
      <c r="E3640" s="15">
        <f t="shared" si="1"/>
        <v>2025</v>
      </c>
      <c r="F3640" s="15">
        <f t="shared" si="2"/>
        <v>3</v>
      </c>
      <c r="G3640" s="15">
        <f t="shared" si="3"/>
        <v>19</v>
      </c>
    </row>
    <row r="3641">
      <c r="A3641" s="10" t="s">
        <v>37</v>
      </c>
      <c r="B3641" s="94">
        <f t="shared" si="5"/>
        <v>45735</v>
      </c>
      <c r="C3641" s="77" t="s">
        <v>1572</v>
      </c>
      <c r="D3641" s="13">
        <f>D3638+D3639-D3640</f>
        <v>42150.49</v>
      </c>
      <c r="E3641" s="15">
        <f t="shared" si="1"/>
        <v>2025</v>
      </c>
      <c r="F3641" s="15">
        <f t="shared" si="2"/>
        <v>3</v>
      </c>
      <c r="G3641" s="15">
        <f t="shared" si="3"/>
        <v>19</v>
      </c>
    </row>
    <row r="3642">
      <c r="A3642" s="10" t="s">
        <v>37</v>
      </c>
      <c r="B3642" s="94">
        <f t="shared" si="5"/>
        <v>45736</v>
      </c>
      <c r="C3642" s="77" t="s">
        <v>1569</v>
      </c>
      <c r="D3642" s="13">
        <f>D3641</f>
        <v>42150.49</v>
      </c>
      <c r="E3642" s="15">
        <f t="shared" si="1"/>
        <v>2025</v>
      </c>
      <c r="F3642" s="15">
        <f t="shared" si="2"/>
        <v>3</v>
      </c>
      <c r="G3642" s="15">
        <f t="shared" si="3"/>
        <v>20</v>
      </c>
    </row>
    <row r="3643">
      <c r="A3643" s="10" t="s">
        <v>37</v>
      </c>
      <c r="B3643" s="94">
        <f t="shared" si="5"/>
        <v>45736</v>
      </c>
      <c r="C3643" s="77" t="s">
        <v>1570</v>
      </c>
      <c r="D3643" s="13">
        <f>SUMIFS('Lançamentos de receitas'!$E:$E,'Lançamentos de receitas'!$F:$F,"PAGO",'Lançamentos de receitas'!$C:$C,A3643,'Lançamentos de receitas'!$A:$A,B3643)</f>
        <v>2256.88</v>
      </c>
      <c r="E3643" s="15">
        <f t="shared" si="1"/>
        <v>2025</v>
      </c>
      <c r="F3643" s="15">
        <f t="shared" si="2"/>
        <v>3</v>
      </c>
      <c r="G3643" s="15">
        <f t="shared" si="3"/>
        <v>20</v>
      </c>
    </row>
    <row r="3644">
      <c r="A3644" s="10" t="s">
        <v>37</v>
      </c>
      <c r="B3644" s="94">
        <f t="shared" si="5"/>
        <v>45736</v>
      </c>
      <c r="C3644" s="77" t="s">
        <v>1571</v>
      </c>
      <c r="D3644" s="13">
        <f>SUMIFS('Lançamentos de despesas'!$I:$I,'Lançamentos de despesas'!$G:$G,A3644,'Lançamentos de despesas'!$E:$E,"PAGO",'Lançamentos de despesas'!$C:$C,B3644)</f>
        <v>3558.51</v>
      </c>
      <c r="E3644" s="15">
        <f t="shared" si="1"/>
        <v>2025</v>
      </c>
      <c r="F3644" s="15">
        <f t="shared" si="2"/>
        <v>3</v>
      </c>
      <c r="G3644" s="15">
        <f t="shared" si="3"/>
        <v>20</v>
      </c>
    </row>
    <row r="3645">
      <c r="A3645" s="10" t="s">
        <v>37</v>
      </c>
      <c r="B3645" s="94">
        <f t="shared" si="5"/>
        <v>45736</v>
      </c>
      <c r="C3645" s="77" t="s">
        <v>1572</v>
      </c>
      <c r="D3645" s="13">
        <f>D3642+D3643-D3644</f>
        <v>40848.86</v>
      </c>
      <c r="E3645" s="15">
        <f t="shared" si="1"/>
        <v>2025</v>
      </c>
      <c r="F3645" s="15">
        <f t="shared" si="2"/>
        <v>3</v>
      </c>
      <c r="G3645" s="15">
        <f t="shared" si="3"/>
        <v>20</v>
      </c>
    </row>
    <row r="3646">
      <c r="A3646" s="10" t="s">
        <v>37</v>
      </c>
      <c r="B3646" s="94">
        <f t="shared" si="5"/>
        <v>45737</v>
      </c>
      <c r="C3646" s="77" t="s">
        <v>1569</v>
      </c>
      <c r="D3646" s="13">
        <f>D3645</f>
        <v>40848.86</v>
      </c>
      <c r="E3646" s="15">
        <f t="shared" si="1"/>
        <v>2025</v>
      </c>
      <c r="F3646" s="15">
        <f t="shared" si="2"/>
        <v>3</v>
      </c>
      <c r="G3646" s="15">
        <f t="shared" si="3"/>
        <v>21</v>
      </c>
    </row>
    <row r="3647">
      <c r="A3647" s="10" t="s">
        <v>37</v>
      </c>
      <c r="B3647" s="94">
        <f t="shared" si="5"/>
        <v>45737</v>
      </c>
      <c r="C3647" s="77" t="s">
        <v>1570</v>
      </c>
      <c r="D3647" s="13">
        <f>SUMIFS('Lançamentos de receitas'!$E:$E,'Lançamentos de receitas'!$F:$F,"PAGO",'Lançamentos de receitas'!$C:$C,A3647,'Lançamentos de receitas'!$A:$A,B3647)</f>
        <v>1711.66</v>
      </c>
      <c r="E3647" s="15">
        <f t="shared" si="1"/>
        <v>2025</v>
      </c>
      <c r="F3647" s="15">
        <f t="shared" si="2"/>
        <v>3</v>
      </c>
      <c r="G3647" s="15">
        <f t="shared" si="3"/>
        <v>21</v>
      </c>
    </row>
    <row r="3648">
      <c r="A3648" s="10" t="s">
        <v>37</v>
      </c>
      <c r="B3648" s="94">
        <f t="shared" si="5"/>
        <v>45737</v>
      </c>
      <c r="C3648" s="77" t="s">
        <v>1571</v>
      </c>
      <c r="D3648" s="13">
        <f>SUMIFS('Lançamentos de despesas'!$I:$I,'Lançamentos de despesas'!$G:$G,A3648,'Lançamentos de despesas'!$E:$E,"PAGO",'Lançamentos de despesas'!$C:$C,B3648)</f>
        <v>42560.52</v>
      </c>
      <c r="E3648" s="15">
        <f t="shared" si="1"/>
        <v>2025</v>
      </c>
      <c r="F3648" s="15">
        <f t="shared" si="2"/>
        <v>3</v>
      </c>
      <c r="G3648" s="15">
        <f t="shared" si="3"/>
        <v>21</v>
      </c>
    </row>
    <row r="3649">
      <c r="A3649" s="10" t="s">
        <v>37</v>
      </c>
      <c r="B3649" s="94">
        <f t="shared" si="5"/>
        <v>45737</v>
      </c>
      <c r="C3649" s="77" t="s">
        <v>1572</v>
      </c>
      <c r="D3649" s="13">
        <f>D3646+D3647-D3648</f>
        <v>0</v>
      </c>
      <c r="E3649" s="15">
        <f t="shared" si="1"/>
        <v>2025</v>
      </c>
      <c r="F3649" s="15">
        <f t="shared" si="2"/>
        <v>3</v>
      </c>
      <c r="G3649" s="15">
        <f t="shared" si="3"/>
        <v>21</v>
      </c>
    </row>
    <row r="3650">
      <c r="A3650" s="10" t="s">
        <v>37</v>
      </c>
      <c r="B3650" s="94">
        <f t="shared" si="5"/>
        <v>45738</v>
      </c>
      <c r="C3650" s="77" t="s">
        <v>1569</v>
      </c>
      <c r="D3650" s="13">
        <f>D3649</f>
        <v>0</v>
      </c>
      <c r="E3650" s="15">
        <f t="shared" si="1"/>
        <v>2025</v>
      </c>
      <c r="F3650" s="15">
        <f t="shared" si="2"/>
        <v>3</v>
      </c>
      <c r="G3650" s="15">
        <f t="shared" si="3"/>
        <v>22</v>
      </c>
    </row>
    <row r="3651">
      <c r="A3651" s="10" t="s">
        <v>37</v>
      </c>
      <c r="B3651" s="94">
        <f t="shared" si="5"/>
        <v>45738</v>
      </c>
      <c r="C3651" s="77" t="s">
        <v>1570</v>
      </c>
      <c r="D3651" s="13">
        <f>SUMIFS('Lançamentos de receitas'!$E:$E,'Lançamentos de receitas'!$F:$F,"PAGO",'Lançamentos de receitas'!$C:$C,A3651,'Lançamentos de receitas'!$A:$A,B3651)</f>
        <v>2199.73</v>
      </c>
      <c r="E3651" s="15">
        <f t="shared" si="1"/>
        <v>2025</v>
      </c>
      <c r="F3651" s="15">
        <f t="shared" si="2"/>
        <v>3</v>
      </c>
      <c r="G3651" s="15">
        <f t="shared" si="3"/>
        <v>22</v>
      </c>
    </row>
    <row r="3652">
      <c r="A3652" s="10" t="s">
        <v>37</v>
      </c>
      <c r="B3652" s="94">
        <f t="shared" si="5"/>
        <v>45738</v>
      </c>
      <c r="C3652" s="77" t="s">
        <v>1571</v>
      </c>
      <c r="D3652" s="13">
        <f>SUMIFS('Lançamentos de despesas'!$I:$I,'Lançamentos de despesas'!$G:$G,A3652,'Lançamentos de despesas'!$E:$E,"PAGO",'Lançamentos de despesas'!$C:$C,B3652)</f>
        <v>0</v>
      </c>
      <c r="E3652" s="15">
        <f t="shared" si="1"/>
        <v>2025</v>
      </c>
      <c r="F3652" s="15">
        <f t="shared" si="2"/>
        <v>3</v>
      </c>
      <c r="G3652" s="15">
        <f t="shared" si="3"/>
        <v>22</v>
      </c>
    </row>
    <row r="3653">
      <c r="A3653" s="10" t="s">
        <v>37</v>
      </c>
      <c r="B3653" s="94">
        <f t="shared" si="5"/>
        <v>45738</v>
      </c>
      <c r="C3653" s="77" t="s">
        <v>1572</v>
      </c>
      <c r="D3653" s="13">
        <f>D3650+D3651-D3652</f>
        <v>2199.73</v>
      </c>
      <c r="E3653" s="15">
        <f t="shared" si="1"/>
        <v>2025</v>
      </c>
      <c r="F3653" s="15">
        <f t="shared" si="2"/>
        <v>3</v>
      </c>
      <c r="G3653" s="15">
        <f t="shared" si="3"/>
        <v>22</v>
      </c>
    </row>
    <row r="3654">
      <c r="A3654" s="10" t="s">
        <v>37</v>
      </c>
      <c r="B3654" s="94">
        <f t="shared" si="5"/>
        <v>45739</v>
      </c>
      <c r="C3654" s="77" t="s">
        <v>1569</v>
      </c>
      <c r="D3654" s="13">
        <f>D3653</f>
        <v>2199.73</v>
      </c>
      <c r="E3654" s="15">
        <f t="shared" si="1"/>
        <v>2025</v>
      </c>
      <c r="F3654" s="15">
        <f t="shared" si="2"/>
        <v>3</v>
      </c>
      <c r="G3654" s="15">
        <f t="shared" si="3"/>
        <v>23</v>
      </c>
    </row>
    <row r="3655">
      <c r="A3655" s="10" t="s">
        <v>37</v>
      </c>
      <c r="B3655" s="94">
        <f t="shared" si="5"/>
        <v>45739</v>
      </c>
      <c r="C3655" s="77" t="s">
        <v>1570</v>
      </c>
      <c r="D3655" s="13">
        <f>SUMIFS('Lançamentos de receitas'!$E:$E,'Lançamentos de receitas'!$F:$F,"PAGO",'Lançamentos de receitas'!$C:$C,A3655,'Lançamentos de receitas'!$A:$A,B3655)</f>
        <v>1577.09</v>
      </c>
      <c r="E3655" s="15">
        <f t="shared" si="1"/>
        <v>2025</v>
      </c>
      <c r="F3655" s="15">
        <f t="shared" si="2"/>
        <v>3</v>
      </c>
      <c r="G3655" s="15">
        <f t="shared" si="3"/>
        <v>23</v>
      </c>
    </row>
    <row r="3656">
      <c r="A3656" s="10" t="s">
        <v>37</v>
      </c>
      <c r="B3656" s="94">
        <f t="shared" si="5"/>
        <v>45739</v>
      </c>
      <c r="C3656" s="77" t="s">
        <v>1571</v>
      </c>
      <c r="D3656" s="13">
        <f>SUMIFS('Lançamentos de despesas'!$I:$I,'Lançamentos de despesas'!$G:$G,A3656,'Lançamentos de despesas'!$E:$E,"PAGO",'Lançamentos de despesas'!$C:$C,B3656)</f>
        <v>0</v>
      </c>
      <c r="E3656" s="15">
        <f t="shared" si="1"/>
        <v>2025</v>
      </c>
      <c r="F3656" s="15">
        <f t="shared" si="2"/>
        <v>3</v>
      </c>
      <c r="G3656" s="15">
        <f t="shared" si="3"/>
        <v>23</v>
      </c>
    </row>
    <row r="3657">
      <c r="A3657" s="10" t="s">
        <v>37</v>
      </c>
      <c r="B3657" s="94">
        <f t="shared" si="5"/>
        <v>45739</v>
      </c>
      <c r="C3657" s="77" t="s">
        <v>1572</v>
      </c>
      <c r="D3657" s="13">
        <f>D3654+D3655-D3656</f>
        <v>3776.82</v>
      </c>
      <c r="E3657" s="15">
        <f t="shared" si="1"/>
        <v>2025</v>
      </c>
      <c r="F3657" s="15">
        <f t="shared" si="2"/>
        <v>3</v>
      </c>
      <c r="G3657" s="15">
        <f t="shared" si="3"/>
        <v>23</v>
      </c>
    </row>
    <row r="3658">
      <c r="A3658" s="10" t="s">
        <v>37</v>
      </c>
      <c r="B3658" s="94">
        <f t="shared" si="5"/>
        <v>45740</v>
      </c>
      <c r="C3658" s="77" t="s">
        <v>1569</v>
      </c>
      <c r="D3658" s="13">
        <f>D3657</f>
        <v>3776.82</v>
      </c>
      <c r="E3658" s="15">
        <f t="shared" si="1"/>
        <v>2025</v>
      </c>
      <c r="F3658" s="15">
        <f t="shared" si="2"/>
        <v>3</v>
      </c>
      <c r="G3658" s="15">
        <f t="shared" si="3"/>
        <v>24</v>
      </c>
    </row>
    <row r="3659">
      <c r="A3659" s="10" t="s">
        <v>37</v>
      </c>
      <c r="B3659" s="94">
        <f t="shared" si="5"/>
        <v>45740</v>
      </c>
      <c r="C3659" s="77" t="s">
        <v>1570</v>
      </c>
      <c r="D3659" s="13">
        <f>SUMIFS('Lançamentos de receitas'!$E:$E,'Lançamentos de receitas'!$F:$F,"PAGO",'Lançamentos de receitas'!$C:$C,A3659,'Lançamentos de receitas'!$A:$A,B3659)</f>
        <v>766.63</v>
      </c>
      <c r="E3659" s="15">
        <f t="shared" si="1"/>
        <v>2025</v>
      </c>
      <c r="F3659" s="15">
        <f t="shared" si="2"/>
        <v>3</v>
      </c>
      <c r="G3659" s="15">
        <f t="shared" si="3"/>
        <v>24</v>
      </c>
    </row>
    <row r="3660">
      <c r="A3660" s="10" t="s">
        <v>37</v>
      </c>
      <c r="B3660" s="94">
        <f t="shared" si="5"/>
        <v>45740</v>
      </c>
      <c r="C3660" s="77" t="s">
        <v>1571</v>
      </c>
      <c r="D3660" s="13">
        <f>SUMIFS('Lançamentos de despesas'!$I:$I,'Lançamentos de despesas'!$G:$G,A3660,'Lançamentos de despesas'!$E:$E,"PAGO",'Lançamentos de despesas'!$C:$C,B3660)</f>
        <v>539.97</v>
      </c>
      <c r="E3660" s="15">
        <f t="shared" si="1"/>
        <v>2025</v>
      </c>
      <c r="F3660" s="15">
        <f t="shared" si="2"/>
        <v>3</v>
      </c>
      <c r="G3660" s="15">
        <f t="shared" si="3"/>
        <v>24</v>
      </c>
    </row>
    <row r="3661">
      <c r="A3661" s="10" t="s">
        <v>37</v>
      </c>
      <c r="B3661" s="94">
        <f t="shared" si="5"/>
        <v>45740</v>
      </c>
      <c r="C3661" s="77" t="s">
        <v>1572</v>
      </c>
      <c r="D3661" s="13">
        <f>D3658+D3659-D3660</f>
        <v>4003.48</v>
      </c>
      <c r="E3661" s="15">
        <f t="shared" si="1"/>
        <v>2025</v>
      </c>
      <c r="F3661" s="15">
        <f t="shared" si="2"/>
        <v>3</v>
      </c>
      <c r="G3661" s="15">
        <f t="shared" si="3"/>
        <v>24</v>
      </c>
    </row>
    <row r="3662">
      <c r="A3662" s="10" t="s">
        <v>37</v>
      </c>
      <c r="B3662" s="94">
        <f t="shared" si="5"/>
        <v>45741</v>
      </c>
      <c r="C3662" s="77" t="s">
        <v>1569</v>
      </c>
      <c r="D3662" s="13">
        <f>D3661</f>
        <v>4003.48</v>
      </c>
      <c r="E3662" s="15">
        <f t="shared" si="1"/>
        <v>2025</v>
      </c>
      <c r="F3662" s="15">
        <f t="shared" si="2"/>
        <v>3</v>
      </c>
      <c r="G3662" s="15">
        <f t="shared" si="3"/>
        <v>25</v>
      </c>
    </row>
    <row r="3663">
      <c r="A3663" s="10" t="s">
        <v>37</v>
      </c>
      <c r="B3663" s="94">
        <f t="shared" si="5"/>
        <v>45741</v>
      </c>
      <c r="C3663" s="77" t="s">
        <v>1570</v>
      </c>
      <c r="D3663" s="13">
        <f>SUMIFS('Lançamentos de receitas'!$E:$E,'Lançamentos de receitas'!$F:$F,"PAGO",'Lançamentos de receitas'!$C:$C,A3663,'Lançamentos de receitas'!$A:$A,B3663)</f>
        <v>1999.74</v>
      </c>
      <c r="E3663" s="15">
        <f t="shared" si="1"/>
        <v>2025</v>
      </c>
      <c r="F3663" s="15">
        <f t="shared" si="2"/>
        <v>3</v>
      </c>
      <c r="G3663" s="15">
        <f t="shared" si="3"/>
        <v>25</v>
      </c>
    </row>
    <row r="3664">
      <c r="A3664" s="10" t="s">
        <v>37</v>
      </c>
      <c r="B3664" s="94">
        <f t="shared" si="5"/>
        <v>45741</v>
      </c>
      <c r="C3664" s="77" t="s">
        <v>1571</v>
      </c>
      <c r="D3664" s="13">
        <f>SUMIFS('Lançamentos de despesas'!$I:$I,'Lançamentos de despesas'!$G:$G,A3664,'Lançamentos de despesas'!$E:$E,"PAGO",'Lançamentos de despesas'!$C:$C,B3664)</f>
        <v>4404.68</v>
      </c>
      <c r="E3664" s="15">
        <f t="shared" si="1"/>
        <v>2025</v>
      </c>
      <c r="F3664" s="15">
        <f t="shared" si="2"/>
        <v>3</v>
      </c>
      <c r="G3664" s="15">
        <f t="shared" si="3"/>
        <v>25</v>
      </c>
    </row>
    <row r="3665">
      <c r="A3665" s="10" t="s">
        <v>37</v>
      </c>
      <c r="B3665" s="94">
        <f t="shared" si="5"/>
        <v>45741</v>
      </c>
      <c r="C3665" s="77" t="s">
        <v>1572</v>
      </c>
      <c r="D3665" s="13">
        <f>D3662+D3663-D3664</f>
        <v>1598.54</v>
      </c>
      <c r="E3665" s="15">
        <f t="shared" si="1"/>
        <v>2025</v>
      </c>
      <c r="F3665" s="15">
        <f t="shared" si="2"/>
        <v>3</v>
      </c>
      <c r="G3665" s="15">
        <f t="shared" si="3"/>
        <v>25</v>
      </c>
    </row>
    <row r="3666">
      <c r="A3666" s="10" t="s">
        <v>37</v>
      </c>
      <c r="B3666" s="94">
        <f t="shared" si="5"/>
        <v>45742</v>
      </c>
      <c r="C3666" s="77" t="s">
        <v>1569</v>
      </c>
      <c r="D3666" s="13">
        <f>D3665</f>
        <v>1598.54</v>
      </c>
      <c r="E3666" s="15">
        <f t="shared" si="1"/>
        <v>2025</v>
      </c>
      <c r="F3666" s="15">
        <f t="shared" si="2"/>
        <v>3</v>
      </c>
      <c r="G3666" s="15">
        <f t="shared" si="3"/>
        <v>26</v>
      </c>
    </row>
    <row r="3667">
      <c r="A3667" s="10" t="s">
        <v>37</v>
      </c>
      <c r="B3667" s="94">
        <f t="shared" si="5"/>
        <v>45742</v>
      </c>
      <c r="C3667" s="77" t="s">
        <v>1570</v>
      </c>
      <c r="D3667" s="13">
        <f>SUMIFS('Lançamentos de receitas'!$E:$E,'Lançamentos de receitas'!$F:$F,"PAGO",'Lançamentos de receitas'!$C:$C,A3667,'Lançamentos de receitas'!$A:$A,B3667)</f>
        <v>2661.31</v>
      </c>
      <c r="E3667" s="15">
        <f t="shared" si="1"/>
        <v>2025</v>
      </c>
      <c r="F3667" s="15">
        <f t="shared" si="2"/>
        <v>3</v>
      </c>
      <c r="G3667" s="15">
        <f t="shared" si="3"/>
        <v>26</v>
      </c>
    </row>
    <row r="3668">
      <c r="A3668" s="10" t="s">
        <v>37</v>
      </c>
      <c r="B3668" s="94">
        <f t="shared" si="5"/>
        <v>45742</v>
      </c>
      <c r="C3668" s="77" t="s">
        <v>1571</v>
      </c>
      <c r="D3668" s="13">
        <f>SUMIFS('Lançamentos de despesas'!$I:$I,'Lançamentos de despesas'!$G:$G,A3668,'Lançamentos de despesas'!$E:$E,"PAGO",'Lançamentos de despesas'!$C:$C,B3668)</f>
        <v>162.5</v>
      </c>
      <c r="E3668" s="15">
        <f t="shared" si="1"/>
        <v>2025</v>
      </c>
      <c r="F3668" s="15">
        <f t="shared" si="2"/>
        <v>3</v>
      </c>
      <c r="G3668" s="15">
        <f t="shared" si="3"/>
        <v>26</v>
      </c>
    </row>
    <row r="3669">
      <c r="A3669" s="10" t="s">
        <v>37</v>
      </c>
      <c r="B3669" s="94">
        <f t="shared" si="5"/>
        <v>45742</v>
      </c>
      <c r="C3669" s="77" t="s">
        <v>1572</v>
      </c>
      <c r="D3669" s="13">
        <f>D3666+D3667-D3668</f>
        <v>4097.35</v>
      </c>
      <c r="E3669" s="15">
        <f t="shared" si="1"/>
        <v>2025</v>
      </c>
      <c r="F3669" s="15">
        <f t="shared" si="2"/>
        <v>3</v>
      </c>
      <c r="G3669" s="15">
        <f t="shared" si="3"/>
        <v>26</v>
      </c>
    </row>
    <row r="3670">
      <c r="A3670" s="10" t="s">
        <v>37</v>
      </c>
      <c r="B3670" s="94">
        <f t="shared" si="5"/>
        <v>45743</v>
      </c>
      <c r="C3670" s="77" t="s">
        <v>1569</v>
      </c>
      <c r="D3670" s="13">
        <f>D3669</f>
        <v>4097.35</v>
      </c>
      <c r="E3670" s="15">
        <f t="shared" si="1"/>
        <v>2025</v>
      </c>
      <c r="F3670" s="15">
        <f t="shared" si="2"/>
        <v>3</v>
      </c>
      <c r="G3670" s="15">
        <f t="shared" si="3"/>
        <v>27</v>
      </c>
    </row>
    <row r="3671">
      <c r="A3671" s="10" t="s">
        <v>37</v>
      </c>
      <c r="B3671" s="94">
        <f t="shared" si="5"/>
        <v>45743</v>
      </c>
      <c r="C3671" s="77" t="s">
        <v>1570</v>
      </c>
      <c r="D3671" s="13">
        <f>SUMIFS('Lançamentos de receitas'!$E:$E,'Lançamentos de receitas'!$F:$F,"PAGO",'Lançamentos de receitas'!$C:$C,A3671,'Lançamentos de receitas'!$A:$A,B3671)</f>
        <v>1500</v>
      </c>
      <c r="E3671" s="15">
        <f t="shared" si="1"/>
        <v>2025</v>
      </c>
      <c r="F3671" s="15">
        <f t="shared" si="2"/>
        <v>3</v>
      </c>
      <c r="G3671" s="15">
        <f t="shared" si="3"/>
        <v>27</v>
      </c>
    </row>
    <row r="3672">
      <c r="A3672" s="10" t="s">
        <v>37</v>
      </c>
      <c r="B3672" s="94">
        <f t="shared" si="5"/>
        <v>45743</v>
      </c>
      <c r="C3672" s="77" t="s">
        <v>1571</v>
      </c>
      <c r="D3672" s="13">
        <f>SUMIFS('Lançamentos de despesas'!$I:$I,'Lançamentos de despesas'!$G:$G,A3672,'Lançamentos de despesas'!$E:$E,"PAGO",'Lançamentos de despesas'!$C:$C,B3672)</f>
        <v>245</v>
      </c>
      <c r="E3672" s="15">
        <f t="shared" si="1"/>
        <v>2025</v>
      </c>
      <c r="F3672" s="15">
        <f t="shared" si="2"/>
        <v>3</v>
      </c>
      <c r="G3672" s="15">
        <f t="shared" si="3"/>
        <v>27</v>
      </c>
    </row>
    <row r="3673">
      <c r="A3673" s="10" t="s">
        <v>37</v>
      </c>
      <c r="B3673" s="94">
        <f t="shared" si="5"/>
        <v>45743</v>
      </c>
      <c r="C3673" s="77" t="s">
        <v>1572</v>
      </c>
      <c r="D3673" s="13">
        <f>D3670+D3671-D3672</f>
        <v>5352.35</v>
      </c>
      <c r="E3673" s="15">
        <f t="shared" si="1"/>
        <v>2025</v>
      </c>
      <c r="F3673" s="15">
        <f t="shared" si="2"/>
        <v>3</v>
      </c>
      <c r="G3673" s="15">
        <f t="shared" si="3"/>
        <v>27</v>
      </c>
    </row>
    <row r="3674">
      <c r="A3674" s="10" t="s">
        <v>37</v>
      </c>
      <c r="B3674" s="94">
        <f t="shared" si="5"/>
        <v>45744</v>
      </c>
      <c r="C3674" s="77" t="s">
        <v>1569</v>
      </c>
      <c r="D3674" s="13">
        <f>D3673</f>
        <v>5352.35</v>
      </c>
      <c r="E3674" s="15">
        <f t="shared" si="1"/>
        <v>2025</v>
      </c>
      <c r="F3674" s="15">
        <f t="shared" si="2"/>
        <v>3</v>
      </c>
      <c r="G3674" s="15">
        <f t="shared" si="3"/>
        <v>28</v>
      </c>
    </row>
    <row r="3675">
      <c r="A3675" s="10" t="s">
        <v>37</v>
      </c>
      <c r="B3675" s="94">
        <f t="shared" si="5"/>
        <v>45744</v>
      </c>
      <c r="C3675" s="77" t="s">
        <v>1570</v>
      </c>
      <c r="D3675" s="13">
        <f>SUMIFS('Lançamentos de receitas'!$E:$E,'Lançamentos de receitas'!$F:$F,"PAGO",'Lançamentos de receitas'!$C:$C,A3675,'Lançamentos de receitas'!$A:$A,B3675)</f>
        <v>1209.72</v>
      </c>
      <c r="E3675" s="15">
        <f t="shared" si="1"/>
        <v>2025</v>
      </c>
      <c r="F3675" s="15">
        <f t="shared" si="2"/>
        <v>3</v>
      </c>
      <c r="G3675" s="15">
        <f t="shared" si="3"/>
        <v>28</v>
      </c>
    </row>
    <row r="3676">
      <c r="A3676" s="10" t="s">
        <v>37</v>
      </c>
      <c r="B3676" s="94">
        <f t="shared" si="5"/>
        <v>45744</v>
      </c>
      <c r="C3676" s="77" t="s">
        <v>1571</v>
      </c>
      <c r="D3676" s="13">
        <f>SUMIFS('Lançamentos de despesas'!$I:$I,'Lançamentos de despesas'!$G:$G,A3676,'Lançamentos de despesas'!$E:$E,"PAGO",'Lançamentos de despesas'!$C:$C,B3676)</f>
        <v>0</v>
      </c>
      <c r="E3676" s="15">
        <f t="shared" si="1"/>
        <v>2025</v>
      </c>
      <c r="F3676" s="15">
        <f t="shared" si="2"/>
        <v>3</v>
      </c>
      <c r="G3676" s="15">
        <f t="shared" si="3"/>
        <v>28</v>
      </c>
    </row>
    <row r="3677">
      <c r="A3677" s="10" t="s">
        <v>37</v>
      </c>
      <c r="B3677" s="94">
        <f t="shared" si="5"/>
        <v>45744</v>
      </c>
      <c r="C3677" s="77" t="s">
        <v>1572</v>
      </c>
      <c r="D3677" s="13">
        <f>D3674+D3675-D3676</f>
        <v>6562.07</v>
      </c>
      <c r="E3677" s="15">
        <f t="shared" si="1"/>
        <v>2025</v>
      </c>
      <c r="F3677" s="15">
        <f t="shared" si="2"/>
        <v>3</v>
      </c>
      <c r="G3677" s="15">
        <f t="shared" si="3"/>
        <v>28</v>
      </c>
    </row>
    <row r="3678">
      <c r="A3678" s="10" t="s">
        <v>37</v>
      </c>
      <c r="B3678" s="94">
        <f t="shared" si="5"/>
        <v>45745</v>
      </c>
      <c r="C3678" s="77" t="s">
        <v>1569</v>
      </c>
      <c r="D3678" s="13">
        <f>D3677</f>
        <v>6562.07</v>
      </c>
      <c r="E3678" s="15">
        <f t="shared" si="1"/>
        <v>2025</v>
      </c>
      <c r="F3678" s="15">
        <f t="shared" si="2"/>
        <v>3</v>
      </c>
      <c r="G3678" s="15">
        <f t="shared" si="3"/>
        <v>29</v>
      </c>
    </row>
    <row r="3679">
      <c r="A3679" s="10" t="s">
        <v>37</v>
      </c>
      <c r="B3679" s="94">
        <f t="shared" si="5"/>
        <v>45745</v>
      </c>
      <c r="C3679" s="77" t="s">
        <v>1570</v>
      </c>
      <c r="D3679" s="13">
        <f>SUMIFS('Lançamentos de receitas'!$E:$E,'Lançamentos de receitas'!$F:$F,"PAGO",'Lançamentos de receitas'!$C:$C,A3679,'Lançamentos de receitas'!$A:$A,B3679)</f>
        <v>3806.56</v>
      </c>
      <c r="E3679" s="15">
        <f t="shared" si="1"/>
        <v>2025</v>
      </c>
      <c r="F3679" s="15">
        <f t="shared" si="2"/>
        <v>3</v>
      </c>
      <c r="G3679" s="15">
        <f t="shared" si="3"/>
        <v>29</v>
      </c>
    </row>
    <row r="3680">
      <c r="A3680" s="10" t="s">
        <v>37</v>
      </c>
      <c r="B3680" s="94">
        <f t="shared" si="5"/>
        <v>45745</v>
      </c>
      <c r="C3680" s="77" t="s">
        <v>1571</v>
      </c>
      <c r="D3680" s="13">
        <f>SUMIFS('Lançamentos de despesas'!$I:$I,'Lançamentos de despesas'!$G:$G,A3680,'Lançamentos de despesas'!$E:$E,"PAGO",'Lançamentos de despesas'!$C:$C,B3680)</f>
        <v>0</v>
      </c>
      <c r="E3680" s="15">
        <f t="shared" si="1"/>
        <v>2025</v>
      </c>
      <c r="F3680" s="15">
        <f t="shared" si="2"/>
        <v>3</v>
      </c>
      <c r="G3680" s="15">
        <f t="shared" si="3"/>
        <v>29</v>
      </c>
    </row>
    <row r="3681">
      <c r="A3681" s="10" t="s">
        <v>37</v>
      </c>
      <c r="B3681" s="94">
        <f t="shared" si="5"/>
        <v>45745</v>
      </c>
      <c r="C3681" s="77" t="s">
        <v>1572</v>
      </c>
      <c r="D3681" s="13">
        <f>D3678+D3679-D3680</f>
        <v>10368.63</v>
      </c>
      <c r="E3681" s="15">
        <f t="shared" si="1"/>
        <v>2025</v>
      </c>
      <c r="F3681" s="15">
        <f t="shared" si="2"/>
        <v>3</v>
      </c>
      <c r="G3681" s="15">
        <f t="shared" si="3"/>
        <v>29</v>
      </c>
    </row>
    <row r="3682">
      <c r="A3682" s="10" t="s">
        <v>37</v>
      </c>
      <c r="B3682" s="94">
        <f t="shared" si="5"/>
        <v>45746</v>
      </c>
      <c r="C3682" s="77" t="s">
        <v>1569</v>
      </c>
      <c r="D3682" s="13">
        <f>D3681</f>
        <v>10368.63</v>
      </c>
      <c r="E3682" s="15">
        <f t="shared" si="1"/>
        <v>2025</v>
      </c>
      <c r="F3682" s="15">
        <f t="shared" si="2"/>
        <v>3</v>
      </c>
      <c r="G3682" s="15">
        <f t="shared" si="3"/>
        <v>30</v>
      </c>
    </row>
    <row r="3683">
      <c r="A3683" s="10" t="s">
        <v>37</v>
      </c>
      <c r="B3683" s="94">
        <f t="shared" si="5"/>
        <v>45746</v>
      </c>
      <c r="C3683" s="77" t="s">
        <v>1570</v>
      </c>
      <c r="D3683" s="13">
        <f>SUMIFS('Lançamentos de receitas'!$E:$E,'Lançamentos de receitas'!$F:$F,"PAGO",'Lançamentos de receitas'!$C:$C,A3683,'Lançamentos de receitas'!$A:$A,B3683)</f>
        <v>2242.56</v>
      </c>
      <c r="E3683" s="15">
        <f t="shared" si="1"/>
        <v>2025</v>
      </c>
      <c r="F3683" s="15">
        <f t="shared" si="2"/>
        <v>3</v>
      </c>
      <c r="G3683" s="15">
        <f t="shared" si="3"/>
        <v>30</v>
      </c>
    </row>
    <row r="3684">
      <c r="A3684" s="10" t="s">
        <v>37</v>
      </c>
      <c r="B3684" s="94">
        <f t="shared" si="5"/>
        <v>45746</v>
      </c>
      <c r="C3684" s="77" t="s">
        <v>1571</v>
      </c>
      <c r="D3684" s="13">
        <f>SUMIFS('Lançamentos de despesas'!$I:$I,'Lançamentos de despesas'!$G:$G,A3684,'Lançamentos de despesas'!$E:$E,"PAGO",'Lançamentos de despesas'!$C:$C,B3684)</f>
        <v>0</v>
      </c>
      <c r="E3684" s="15">
        <f t="shared" si="1"/>
        <v>2025</v>
      </c>
      <c r="F3684" s="15">
        <f t="shared" si="2"/>
        <v>3</v>
      </c>
      <c r="G3684" s="15">
        <f t="shared" si="3"/>
        <v>30</v>
      </c>
    </row>
    <row r="3685">
      <c r="A3685" s="10" t="s">
        <v>37</v>
      </c>
      <c r="B3685" s="94">
        <f t="shared" si="5"/>
        <v>45746</v>
      </c>
      <c r="C3685" s="77" t="s">
        <v>1572</v>
      </c>
      <c r="D3685" s="13">
        <f>D3682+D3683-D3684</f>
        <v>12611.19</v>
      </c>
      <c r="E3685" s="15">
        <f t="shared" si="1"/>
        <v>2025</v>
      </c>
      <c r="F3685" s="15">
        <f t="shared" si="2"/>
        <v>3</v>
      </c>
      <c r="G3685" s="15">
        <f t="shared" si="3"/>
        <v>30</v>
      </c>
    </row>
    <row r="3686">
      <c r="A3686" s="10" t="s">
        <v>37</v>
      </c>
      <c r="B3686" s="94">
        <f t="shared" si="5"/>
        <v>45747</v>
      </c>
      <c r="C3686" s="77" t="s">
        <v>1569</v>
      </c>
      <c r="D3686" s="13">
        <f>D3685</f>
        <v>12611.19</v>
      </c>
      <c r="E3686" s="15">
        <f t="shared" si="1"/>
        <v>2025</v>
      </c>
      <c r="F3686" s="15">
        <f t="shared" si="2"/>
        <v>3</v>
      </c>
      <c r="G3686" s="15">
        <f t="shared" si="3"/>
        <v>31</v>
      </c>
    </row>
    <row r="3687">
      <c r="A3687" s="10" t="s">
        <v>37</v>
      </c>
      <c r="B3687" s="94">
        <f t="shared" si="5"/>
        <v>45747</v>
      </c>
      <c r="C3687" s="77" t="s">
        <v>1570</v>
      </c>
      <c r="D3687" s="13">
        <f>SUMIFS('Lançamentos de receitas'!$E:$E,'Lançamentos de receitas'!$F:$F,"PAGO",'Lançamentos de receitas'!$C:$C,A3687,'Lançamentos de receitas'!$A:$A,B3687)</f>
        <v>491.38</v>
      </c>
      <c r="E3687" s="15">
        <f t="shared" si="1"/>
        <v>2025</v>
      </c>
      <c r="F3687" s="15">
        <f t="shared" si="2"/>
        <v>3</v>
      </c>
      <c r="G3687" s="15">
        <f t="shared" si="3"/>
        <v>31</v>
      </c>
    </row>
    <row r="3688">
      <c r="A3688" s="10" t="s">
        <v>37</v>
      </c>
      <c r="B3688" s="94">
        <f t="shared" si="5"/>
        <v>45747</v>
      </c>
      <c r="C3688" s="77" t="s">
        <v>1571</v>
      </c>
      <c r="D3688" s="13">
        <f>SUMIFS('Lançamentos de despesas'!$I:$I,'Lançamentos de despesas'!$G:$G,A3688,'Lançamentos de despesas'!$E:$E,"PAGO",'Lançamentos de despesas'!$C:$C,B3688)</f>
        <v>2141.01</v>
      </c>
      <c r="E3688" s="15">
        <f t="shared" si="1"/>
        <v>2025</v>
      </c>
      <c r="F3688" s="15">
        <f t="shared" si="2"/>
        <v>3</v>
      </c>
      <c r="G3688" s="15">
        <f t="shared" si="3"/>
        <v>31</v>
      </c>
    </row>
    <row r="3689">
      <c r="A3689" s="10" t="s">
        <v>37</v>
      </c>
      <c r="B3689" s="94">
        <f t="shared" si="5"/>
        <v>45747</v>
      </c>
      <c r="C3689" s="77" t="s">
        <v>1572</v>
      </c>
      <c r="D3689" s="13">
        <f>D3686+D3687-D3688</f>
        <v>10961.56</v>
      </c>
      <c r="E3689" s="15">
        <f t="shared" si="1"/>
        <v>2025</v>
      </c>
      <c r="F3689" s="15">
        <f t="shared" si="2"/>
        <v>3</v>
      </c>
      <c r="G3689" s="15">
        <f t="shared" si="3"/>
        <v>31</v>
      </c>
    </row>
    <row r="3690">
      <c r="A3690" s="10" t="s">
        <v>37</v>
      </c>
      <c r="B3690" s="94">
        <f t="shared" si="5"/>
        <v>45748</v>
      </c>
      <c r="C3690" s="77" t="s">
        <v>1569</v>
      </c>
      <c r="D3690" s="13">
        <f>D3689</f>
        <v>10961.56</v>
      </c>
      <c r="E3690" s="15">
        <f t="shared" si="1"/>
        <v>2025</v>
      </c>
      <c r="F3690" s="15">
        <f t="shared" si="2"/>
        <v>4</v>
      </c>
      <c r="G3690" s="15">
        <f t="shared" si="3"/>
        <v>1</v>
      </c>
    </row>
    <row r="3691">
      <c r="A3691" s="10" t="s">
        <v>37</v>
      </c>
      <c r="B3691" s="94">
        <f t="shared" si="5"/>
        <v>45748</v>
      </c>
      <c r="C3691" s="77" t="s">
        <v>1570</v>
      </c>
      <c r="D3691" s="13">
        <f>SUMIFS('Lançamentos de receitas'!$E:$E,'Lançamentos de receitas'!$F:$F,"PAGO",'Lançamentos de receitas'!$C:$C,A3691,'Lançamentos de receitas'!$A:$A,B3691)</f>
        <v>2075.12</v>
      </c>
      <c r="E3691" s="15">
        <f t="shared" si="1"/>
        <v>2025</v>
      </c>
      <c r="F3691" s="15">
        <f t="shared" si="2"/>
        <v>4</v>
      </c>
      <c r="G3691" s="15">
        <f t="shared" si="3"/>
        <v>1</v>
      </c>
    </row>
    <row r="3692">
      <c r="A3692" s="10" t="s">
        <v>37</v>
      </c>
      <c r="B3692" s="94">
        <f t="shared" si="5"/>
        <v>45748</v>
      </c>
      <c r="C3692" s="77" t="s">
        <v>1571</v>
      </c>
      <c r="D3692" s="13">
        <f>SUMIFS('Lançamentos de despesas'!$I:$I,'Lançamentos de despesas'!$G:$G,A3692,'Lançamentos de despesas'!$E:$E,"PAGO",'Lançamentos de despesas'!$C:$C,B3692)</f>
        <v>6445.18</v>
      </c>
      <c r="E3692" s="15">
        <f t="shared" si="1"/>
        <v>2025</v>
      </c>
      <c r="F3692" s="15">
        <f t="shared" si="2"/>
        <v>4</v>
      </c>
      <c r="G3692" s="15">
        <f t="shared" si="3"/>
        <v>1</v>
      </c>
    </row>
    <row r="3693">
      <c r="A3693" s="10" t="s">
        <v>37</v>
      </c>
      <c r="B3693" s="94">
        <f t="shared" si="5"/>
        <v>45748</v>
      </c>
      <c r="C3693" s="77" t="s">
        <v>1572</v>
      </c>
      <c r="D3693" s="13">
        <f>D3690+D3691-D3692</f>
        <v>6591.5</v>
      </c>
      <c r="E3693" s="15">
        <f t="shared" si="1"/>
        <v>2025</v>
      </c>
      <c r="F3693" s="15">
        <f t="shared" si="2"/>
        <v>4</v>
      </c>
      <c r="G3693" s="15">
        <f t="shared" si="3"/>
        <v>1</v>
      </c>
    </row>
    <row r="3694">
      <c r="A3694" s="10" t="s">
        <v>37</v>
      </c>
      <c r="B3694" s="94">
        <f t="shared" si="5"/>
        <v>45749</v>
      </c>
      <c r="C3694" s="77" t="s">
        <v>1569</v>
      </c>
      <c r="D3694" s="13">
        <f>D3693</f>
        <v>6591.5</v>
      </c>
      <c r="E3694" s="15">
        <f t="shared" si="1"/>
        <v>2025</v>
      </c>
      <c r="F3694" s="15">
        <f t="shared" si="2"/>
        <v>4</v>
      </c>
      <c r="G3694" s="15">
        <f t="shared" si="3"/>
        <v>2</v>
      </c>
    </row>
    <row r="3695">
      <c r="A3695" s="10" t="s">
        <v>37</v>
      </c>
      <c r="B3695" s="94">
        <f t="shared" si="5"/>
        <v>45749</v>
      </c>
      <c r="C3695" s="77" t="s">
        <v>1570</v>
      </c>
      <c r="D3695" s="13">
        <f>SUMIFS('Lançamentos de receitas'!$E:$E,'Lançamentos de receitas'!$F:$F,"PAGO",'Lançamentos de receitas'!$C:$C,A3695,'Lançamentos de receitas'!$A:$A,B3695)</f>
        <v>1732.21</v>
      </c>
      <c r="E3695" s="15">
        <f t="shared" si="1"/>
        <v>2025</v>
      </c>
      <c r="F3695" s="15">
        <f t="shared" si="2"/>
        <v>4</v>
      </c>
      <c r="G3695" s="15">
        <f t="shared" si="3"/>
        <v>2</v>
      </c>
    </row>
    <row r="3696">
      <c r="A3696" s="10" t="s">
        <v>37</v>
      </c>
      <c r="B3696" s="94">
        <f t="shared" si="5"/>
        <v>45749</v>
      </c>
      <c r="C3696" s="77" t="s">
        <v>1571</v>
      </c>
      <c r="D3696" s="13">
        <f>SUMIFS('Lançamentos de despesas'!$I:$I,'Lançamentos de despesas'!$G:$G,A3696,'Lançamentos de despesas'!$E:$E,"PAGO",'Lançamentos de despesas'!$C:$C,B3696)</f>
        <v>0</v>
      </c>
      <c r="E3696" s="15">
        <f t="shared" si="1"/>
        <v>2025</v>
      </c>
      <c r="F3696" s="15">
        <f t="shared" si="2"/>
        <v>4</v>
      </c>
      <c r="G3696" s="15">
        <f t="shared" si="3"/>
        <v>2</v>
      </c>
    </row>
    <row r="3697">
      <c r="A3697" s="10" t="s">
        <v>37</v>
      </c>
      <c r="B3697" s="94">
        <f t="shared" si="5"/>
        <v>45749</v>
      </c>
      <c r="C3697" s="77" t="s">
        <v>1572</v>
      </c>
      <c r="D3697" s="13">
        <f>D3694+D3695-D3696</f>
        <v>8323.71</v>
      </c>
      <c r="E3697" s="15">
        <f t="shared" si="1"/>
        <v>2025</v>
      </c>
      <c r="F3697" s="15">
        <f t="shared" si="2"/>
        <v>4</v>
      </c>
      <c r="G3697" s="15">
        <f t="shared" si="3"/>
        <v>2</v>
      </c>
    </row>
    <row r="3698">
      <c r="A3698" s="10" t="s">
        <v>37</v>
      </c>
      <c r="B3698" s="94">
        <f t="shared" si="5"/>
        <v>45750</v>
      </c>
      <c r="C3698" s="77" t="s">
        <v>1569</v>
      </c>
      <c r="D3698" s="13">
        <f>D3697</f>
        <v>8323.71</v>
      </c>
      <c r="E3698" s="15">
        <f t="shared" si="1"/>
        <v>2025</v>
      </c>
      <c r="F3698" s="15">
        <f t="shared" si="2"/>
        <v>4</v>
      </c>
      <c r="G3698" s="15">
        <f t="shared" si="3"/>
        <v>3</v>
      </c>
    </row>
    <row r="3699">
      <c r="A3699" s="10" t="s">
        <v>37</v>
      </c>
      <c r="B3699" s="94">
        <f t="shared" si="5"/>
        <v>45750</v>
      </c>
      <c r="C3699" s="77" t="s">
        <v>1570</v>
      </c>
      <c r="D3699" s="13">
        <f>SUMIFS('Lançamentos de receitas'!$E:$E,'Lançamentos de receitas'!$F:$F,"PAGO",'Lançamentos de receitas'!$C:$C,A3699,'Lançamentos de receitas'!$A:$A,B3699)</f>
        <v>1669.55</v>
      </c>
      <c r="E3699" s="15">
        <f t="shared" si="1"/>
        <v>2025</v>
      </c>
      <c r="F3699" s="15">
        <f t="shared" si="2"/>
        <v>4</v>
      </c>
      <c r="G3699" s="15">
        <f t="shared" si="3"/>
        <v>3</v>
      </c>
    </row>
    <row r="3700">
      <c r="A3700" s="10" t="s">
        <v>37</v>
      </c>
      <c r="B3700" s="94">
        <f t="shared" si="5"/>
        <v>45750</v>
      </c>
      <c r="C3700" s="77" t="s">
        <v>1571</v>
      </c>
      <c r="D3700" s="13">
        <f>SUMIFS('Lançamentos de despesas'!$I:$I,'Lançamentos de despesas'!$G:$G,A3700,'Lançamentos de despesas'!$E:$E,"PAGO",'Lançamentos de despesas'!$C:$C,B3700)</f>
        <v>200</v>
      </c>
      <c r="E3700" s="15">
        <f t="shared" si="1"/>
        <v>2025</v>
      </c>
      <c r="F3700" s="15">
        <f t="shared" si="2"/>
        <v>4</v>
      </c>
      <c r="G3700" s="15">
        <f t="shared" si="3"/>
        <v>3</v>
      </c>
    </row>
    <row r="3701">
      <c r="A3701" s="10" t="s">
        <v>37</v>
      </c>
      <c r="B3701" s="94">
        <f t="shared" si="5"/>
        <v>45750</v>
      </c>
      <c r="C3701" s="77" t="s">
        <v>1572</v>
      </c>
      <c r="D3701" s="13">
        <f>D3698+D3699-D3700</f>
        <v>9793.26</v>
      </c>
      <c r="E3701" s="15">
        <f t="shared" si="1"/>
        <v>2025</v>
      </c>
      <c r="F3701" s="15">
        <f t="shared" si="2"/>
        <v>4</v>
      </c>
      <c r="G3701" s="15">
        <f t="shared" si="3"/>
        <v>3</v>
      </c>
    </row>
    <row r="3702">
      <c r="A3702" s="10" t="s">
        <v>37</v>
      </c>
      <c r="B3702" s="94">
        <f t="shared" si="5"/>
        <v>45751</v>
      </c>
      <c r="C3702" s="77" t="s">
        <v>1569</v>
      </c>
      <c r="D3702" s="13">
        <f>D3701</f>
        <v>9793.26</v>
      </c>
      <c r="E3702" s="15">
        <f t="shared" si="1"/>
        <v>2025</v>
      </c>
      <c r="F3702" s="15">
        <f t="shared" si="2"/>
        <v>4</v>
      </c>
      <c r="G3702" s="15">
        <f t="shared" si="3"/>
        <v>4</v>
      </c>
    </row>
    <row r="3703">
      <c r="A3703" s="10" t="s">
        <v>37</v>
      </c>
      <c r="B3703" s="94">
        <f t="shared" si="5"/>
        <v>45751</v>
      </c>
      <c r="C3703" s="77" t="s">
        <v>1570</v>
      </c>
      <c r="D3703" s="13">
        <f>SUMIFS('Lançamentos de receitas'!$E:$E,'Lançamentos de receitas'!$F:$F,"PAGO",'Lançamentos de receitas'!$C:$C,A3703,'Lançamentos de receitas'!$A:$A,B3703)</f>
        <v>1185.57</v>
      </c>
      <c r="E3703" s="15">
        <f t="shared" si="1"/>
        <v>2025</v>
      </c>
      <c r="F3703" s="15">
        <f t="shared" si="2"/>
        <v>4</v>
      </c>
      <c r="G3703" s="15">
        <f t="shared" si="3"/>
        <v>4</v>
      </c>
    </row>
    <row r="3704">
      <c r="A3704" s="10" t="s">
        <v>37</v>
      </c>
      <c r="B3704" s="94">
        <f t="shared" si="5"/>
        <v>45751</v>
      </c>
      <c r="C3704" s="77" t="s">
        <v>1571</v>
      </c>
      <c r="D3704" s="13">
        <f>SUMIFS('Lançamentos de despesas'!$I:$I,'Lançamentos de despesas'!$G:$G,A3704,'Lançamentos de despesas'!$E:$E,"PAGO",'Lançamentos de despesas'!$C:$C,B3704)</f>
        <v>0</v>
      </c>
      <c r="E3704" s="15">
        <f t="shared" si="1"/>
        <v>2025</v>
      </c>
      <c r="F3704" s="15">
        <f t="shared" si="2"/>
        <v>4</v>
      </c>
      <c r="G3704" s="15">
        <f t="shared" si="3"/>
        <v>4</v>
      </c>
    </row>
    <row r="3705">
      <c r="A3705" s="10" t="s">
        <v>37</v>
      </c>
      <c r="B3705" s="94">
        <f t="shared" si="5"/>
        <v>45751</v>
      </c>
      <c r="C3705" s="77" t="s">
        <v>1572</v>
      </c>
      <c r="D3705" s="13">
        <f>D3702+D3703-D3704</f>
        <v>10978.83</v>
      </c>
      <c r="E3705" s="15">
        <f t="shared" si="1"/>
        <v>2025</v>
      </c>
      <c r="F3705" s="15">
        <f t="shared" si="2"/>
        <v>4</v>
      </c>
      <c r="G3705" s="15">
        <f t="shared" si="3"/>
        <v>4</v>
      </c>
    </row>
    <row r="3706">
      <c r="A3706" s="10" t="s">
        <v>37</v>
      </c>
      <c r="B3706" s="94">
        <f t="shared" si="5"/>
        <v>45752</v>
      </c>
      <c r="C3706" s="77" t="s">
        <v>1569</v>
      </c>
      <c r="D3706" s="13">
        <f>D3705</f>
        <v>10978.83</v>
      </c>
      <c r="E3706" s="15">
        <f t="shared" si="1"/>
        <v>2025</v>
      </c>
      <c r="F3706" s="15">
        <f t="shared" si="2"/>
        <v>4</v>
      </c>
      <c r="G3706" s="15">
        <f t="shared" si="3"/>
        <v>5</v>
      </c>
    </row>
    <row r="3707">
      <c r="A3707" s="10" t="s">
        <v>37</v>
      </c>
      <c r="B3707" s="94">
        <f t="shared" si="5"/>
        <v>45752</v>
      </c>
      <c r="C3707" s="77" t="s">
        <v>1570</v>
      </c>
      <c r="D3707" s="13">
        <f>SUMIFS('Lançamentos de receitas'!$E:$E,'Lançamentos de receitas'!$F:$F,"PAGO",'Lançamentos de receitas'!$C:$C,A3707,'Lançamentos de receitas'!$A:$A,B3707)</f>
        <v>1121.28</v>
      </c>
      <c r="E3707" s="15">
        <f t="shared" si="1"/>
        <v>2025</v>
      </c>
      <c r="F3707" s="15">
        <f t="shared" si="2"/>
        <v>4</v>
      </c>
      <c r="G3707" s="15">
        <f t="shared" si="3"/>
        <v>5</v>
      </c>
    </row>
    <row r="3708">
      <c r="A3708" s="10" t="s">
        <v>37</v>
      </c>
      <c r="B3708" s="94">
        <f t="shared" si="5"/>
        <v>45752</v>
      </c>
      <c r="C3708" s="77" t="s">
        <v>1571</v>
      </c>
      <c r="D3708" s="13">
        <f>SUMIFS('Lançamentos de despesas'!$I:$I,'Lançamentos de despesas'!$G:$G,A3708,'Lançamentos de despesas'!$E:$E,"PAGO",'Lançamentos de despesas'!$C:$C,B3708)</f>
        <v>0</v>
      </c>
      <c r="E3708" s="15">
        <f t="shared" si="1"/>
        <v>2025</v>
      </c>
      <c r="F3708" s="15">
        <f t="shared" si="2"/>
        <v>4</v>
      </c>
      <c r="G3708" s="15">
        <f t="shared" si="3"/>
        <v>5</v>
      </c>
    </row>
    <row r="3709">
      <c r="A3709" s="10" t="s">
        <v>37</v>
      </c>
      <c r="B3709" s="94">
        <f t="shared" si="5"/>
        <v>45752</v>
      </c>
      <c r="C3709" s="77" t="s">
        <v>1572</v>
      </c>
      <c r="D3709" s="13">
        <f>D3706+D3707-D3708</f>
        <v>12100.11</v>
      </c>
      <c r="E3709" s="15">
        <f t="shared" si="1"/>
        <v>2025</v>
      </c>
      <c r="F3709" s="15">
        <f t="shared" si="2"/>
        <v>4</v>
      </c>
      <c r="G3709" s="15">
        <f t="shared" si="3"/>
        <v>5</v>
      </c>
    </row>
    <row r="3710">
      <c r="A3710" s="10" t="s">
        <v>37</v>
      </c>
      <c r="B3710" s="94">
        <f t="shared" si="5"/>
        <v>45753</v>
      </c>
      <c r="C3710" s="77" t="s">
        <v>1569</v>
      </c>
      <c r="D3710" s="13">
        <f>D3709</f>
        <v>12100.11</v>
      </c>
      <c r="E3710" s="15">
        <f t="shared" si="1"/>
        <v>2025</v>
      </c>
      <c r="F3710" s="15">
        <f t="shared" si="2"/>
        <v>4</v>
      </c>
      <c r="G3710" s="15">
        <f t="shared" si="3"/>
        <v>6</v>
      </c>
    </row>
    <row r="3711">
      <c r="A3711" s="10" t="s">
        <v>37</v>
      </c>
      <c r="B3711" s="94">
        <f t="shared" si="5"/>
        <v>45753</v>
      </c>
      <c r="C3711" s="77" t="s">
        <v>1570</v>
      </c>
      <c r="D3711" s="13">
        <f>SUMIFS('Lançamentos de receitas'!$E:$E,'Lançamentos de receitas'!$F:$F,"PAGO",'Lançamentos de receitas'!$C:$C,A3711,'Lançamentos de receitas'!$A:$A,B3711)</f>
        <v>1725.18</v>
      </c>
      <c r="E3711" s="15">
        <f t="shared" si="1"/>
        <v>2025</v>
      </c>
      <c r="F3711" s="15">
        <f t="shared" si="2"/>
        <v>4</v>
      </c>
      <c r="G3711" s="15">
        <f t="shared" si="3"/>
        <v>6</v>
      </c>
    </row>
    <row r="3712">
      <c r="A3712" s="10" t="s">
        <v>37</v>
      </c>
      <c r="B3712" s="94">
        <f t="shared" si="5"/>
        <v>45753</v>
      </c>
      <c r="C3712" s="77" t="s">
        <v>1571</v>
      </c>
      <c r="D3712" s="13">
        <f>SUMIFS('Lançamentos de despesas'!$I:$I,'Lançamentos de despesas'!$G:$G,A3712,'Lançamentos de despesas'!$E:$E,"PAGO",'Lançamentos de despesas'!$C:$C,B3712)</f>
        <v>0</v>
      </c>
      <c r="E3712" s="15">
        <f t="shared" si="1"/>
        <v>2025</v>
      </c>
      <c r="F3712" s="15">
        <f t="shared" si="2"/>
        <v>4</v>
      </c>
      <c r="G3712" s="15">
        <f t="shared" si="3"/>
        <v>6</v>
      </c>
    </row>
    <row r="3713">
      <c r="A3713" s="10" t="s">
        <v>37</v>
      </c>
      <c r="B3713" s="94">
        <f t="shared" si="5"/>
        <v>45753</v>
      </c>
      <c r="C3713" s="77" t="s">
        <v>1572</v>
      </c>
      <c r="D3713" s="13">
        <f>D3710+D3711-D3712</f>
        <v>13825.29</v>
      </c>
      <c r="E3713" s="15">
        <f t="shared" si="1"/>
        <v>2025</v>
      </c>
      <c r="F3713" s="15">
        <f t="shared" si="2"/>
        <v>4</v>
      </c>
      <c r="G3713" s="15">
        <f t="shared" si="3"/>
        <v>6</v>
      </c>
    </row>
    <row r="3714">
      <c r="A3714" s="10" t="s">
        <v>37</v>
      </c>
      <c r="B3714" s="94">
        <f t="shared" si="5"/>
        <v>45754</v>
      </c>
      <c r="C3714" s="77" t="s">
        <v>1569</v>
      </c>
      <c r="D3714" s="13">
        <f>D3713</f>
        <v>13825.29</v>
      </c>
      <c r="E3714" s="15">
        <f t="shared" si="1"/>
        <v>2025</v>
      </c>
      <c r="F3714" s="15">
        <f t="shared" si="2"/>
        <v>4</v>
      </c>
      <c r="G3714" s="15">
        <f t="shared" si="3"/>
        <v>7</v>
      </c>
    </row>
    <row r="3715">
      <c r="A3715" s="10" t="s">
        <v>37</v>
      </c>
      <c r="B3715" s="94">
        <f t="shared" si="5"/>
        <v>45754</v>
      </c>
      <c r="C3715" s="77" t="s">
        <v>1570</v>
      </c>
      <c r="D3715" s="13">
        <f>SUMIFS('Lançamentos de receitas'!$E:$E,'Lançamentos de receitas'!$F:$F,"PAGO",'Lançamentos de receitas'!$C:$C,A3715,'Lançamentos de receitas'!$A:$A,B3715)</f>
        <v>7.03</v>
      </c>
      <c r="E3715" s="15">
        <f t="shared" si="1"/>
        <v>2025</v>
      </c>
      <c r="F3715" s="15">
        <f t="shared" si="2"/>
        <v>4</v>
      </c>
      <c r="G3715" s="15">
        <f t="shared" si="3"/>
        <v>7</v>
      </c>
    </row>
    <row r="3716">
      <c r="A3716" s="10" t="s">
        <v>37</v>
      </c>
      <c r="B3716" s="94">
        <f t="shared" si="5"/>
        <v>45754</v>
      </c>
      <c r="C3716" s="77" t="s">
        <v>1571</v>
      </c>
      <c r="D3716" s="13">
        <f>SUMIFS('Lançamentos de despesas'!$I:$I,'Lançamentos de despesas'!$G:$G,A3716,'Lançamentos de despesas'!$E:$E,"PAGO",'Lançamentos de despesas'!$C:$C,B3716)</f>
        <v>2080.67</v>
      </c>
      <c r="E3716" s="15">
        <f t="shared" si="1"/>
        <v>2025</v>
      </c>
      <c r="F3716" s="15">
        <f t="shared" si="2"/>
        <v>4</v>
      </c>
      <c r="G3716" s="15">
        <f t="shared" si="3"/>
        <v>7</v>
      </c>
    </row>
    <row r="3717">
      <c r="A3717" s="10" t="s">
        <v>37</v>
      </c>
      <c r="B3717" s="94">
        <f t="shared" si="5"/>
        <v>45754</v>
      </c>
      <c r="C3717" s="77" t="s">
        <v>1572</v>
      </c>
      <c r="D3717" s="13">
        <f>D3714+D3715-D3716</f>
        <v>11751.65</v>
      </c>
      <c r="E3717" s="15">
        <f t="shared" si="1"/>
        <v>2025</v>
      </c>
      <c r="F3717" s="15">
        <f t="shared" si="2"/>
        <v>4</v>
      </c>
      <c r="G3717" s="15">
        <f t="shared" si="3"/>
        <v>7</v>
      </c>
    </row>
    <row r="3718">
      <c r="A3718" s="10" t="s">
        <v>37</v>
      </c>
      <c r="B3718" s="94">
        <f t="shared" si="5"/>
        <v>45755</v>
      </c>
      <c r="C3718" s="77" t="s">
        <v>1569</v>
      </c>
      <c r="D3718" s="13">
        <f>D3717</f>
        <v>11751.65</v>
      </c>
      <c r="E3718" s="15">
        <f t="shared" si="1"/>
        <v>2025</v>
      </c>
      <c r="F3718" s="15">
        <f t="shared" si="2"/>
        <v>4</v>
      </c>
      <c r="G3718" s="15">
        <f t="shared" si="3"/>
        <v>8</v>
      </c>
    </row>
    <row r="3719">
      <c r="A3719" s="10" t="s">
        <v>37</v>
      </c>
      <c r="B3719" s="94">
        <f t="shared" si="5"/>
        <v>45755</v>
      </c>
      <c r="C3719" s="77" t="s">
        <v>1570</v>
      </c>
      <c r="D3719" s="13">
        <f>SUMIFS('Lançamentos de receitas'!$E:$E,'Lançamentos de receitas'!$F:$F,"PAGO",'Lançamentos de receitas'!$C:$C,A3719,'Lançamentos de receitas'!$A:$A,B3719)</f>
        <v>1386.96</v>
      </c>
      <c r="E3719" s="15">
        <f t="shared" si="1"/>
        <v>2025</v>
      </c>
      <c r="F3719" s="15">
        <f t="shared" si="2"/>
        <v>4</v>
      </c>
      <c r="G3719" s="15">
        <f t="shared" si="3"/>
        <v>8</v>
      </c>
    </row>
    <row r="3720">
      <c r="A3720" s="10" t="s">
        <v>37</v>
      </c>
      <c r="B3720" s="94">
        <f t="shared" si="5"/>
        <v>45755</v>
      </c>
      <c r="C3720" s="77" t="s">
        <v>1571</v>
      </c>
      <c r="D3720" s="13">
        <f>SUMIFS('Lançamentos de despesas'!$I:$I,'Lançamentos de despesas'!$G:$G,A3720,'Lançamentos de despesas'!$E:$E,"PAGO",'Lançamentos de despesas'!$C:$C,B3720)</f>
        <v>110.87</v>
      </c>
      <c r="E3720" s="15">
        <f t="shared" si="1"/>
        <v>2025</v>
      </c>
      <c r="F3720" s="15">
        <f t="shared" si="2"/>
        <v>4</v>
      </c>
      <c r="G3720" s="15">
        <f t="shared" si="3"/>
        <v>8</v>
      </c>
    </row>
    <row r="3721">
      <c r="A3721" s="10" t="s">
        <v>37</v>
      </c>
      <c r="B3721" s="94">
        <f t="shared" si="5"/>
        <v>45755</v>
      </c>
      <c r="C3721" s="77" t="s">
        <v>1572</v>
      </c>
      <c r="D3721" s="13">
        <f>D3718+D3719-D3720</f>
        <v>13027.74</v>
      </c>
      <c r="E3721" s="15">
        <f t="shared" si="1"/>
        <v>2025</v>
      </c>
      <c r="F3721" s="15">
        <f t="shared" si="2"/>
        <v>4</v>
      </c>
      <c r="G3721" s="15">
        <f t="shared" si="3"/>
        <v>8</v>
      </c>
    </row>
    <row r="3722">
      <c r="A3722" s="10" t="s">
        <v>37</v>
      </c>
      <c r="B3722" s="94">
        <f t="shared" si="5"/>
        <v>45756</v>
      </c>
      <c r="C3722" s="77" t="s">
        <v>1569</v>
      </c>
      <c r="D3722" s="13">
        <f>D3721</f>
        <v>13027.74</v>
      </c>
      <c r="E3722" s="15">
        <f t="shared" si="1"/>
        <v>2025</v>
      </c>
      <c r="F3722" s="15">
        <f t="shared" si="2"/>
        <v>4</v>
      </c>
      <c r="G3722" s="15">
        <f t="shared" si="3"/>
        <v>9</v>
      </c>
    </row>
    <row r="3723">
      <c r="A3723" s="10" t="s">
        <v>37</v>
      </c>
      <c r="B3723" s="94">
        <f t="shared" si="5"/>
        <v>45756</v>
      </c>
      <c r="C3723" s="77" t="s">
        <v>1570</v>
      </c>
      <c r="D3723" s="13">
        <f>SUMIFS('Lançamentos de receitas'!$E:$E,'Lançamentos de receitas'!$F:$F,"PAGO",'Lançamentos de receitas'!$C:$C,A3723,'Lançamentos de receitas'!$A:$A,B3723)</f>
        <v>1147.75</v>
      </c>
      <c r="E3723" s="15">
        <f t="shared" si="1"/>
        <v>2025</v>
      </c>
      <c r="F3723" s="15">
        <f t="shared" si="2"/>
        <v>4</v>
      </c>
      <c r="G3723" s="15">
        <f t="shared" si="3"/>
        <v>9</v>
      </c>
    </row>
    <row r="3724">
      <c r="A3724" s="10" t="s">
        <v>37</v>
      </c>
      <c r="B3724" s="94">
        <f t="shared" si="5"/>
        <v>45756</v>
      </c>
      <c r="C3724" s="77" t="s">
        <v>1571</v>
      </c>
      <c r="D3724" s="13">
        <f>SUMIFS('Lançamentos de despesas'!$I:$I,'Lançamentos de despesas'!$G:$G,A3724,'Lançamentos de despesas'!$E:$E,"PAGO",'Lançamentos de despesas'!$C:$C,B3724)</f>
        <v>0</v>
      </c>
      <c r="E3724" s="15">
        <f t="shared" si="1"/>
        <v>2025</v>
      </c>
      <c r="F3724" s="15">
        <f t="shared" si="2"/>
        <v>4</v>
      </c>
      <c r="G3724" s="15">
        <f t="shared" si="3"/>
        <v>9</v>
      </c>
    </row>
    <row r="3725">
      <c r="A3725" s="10" t="s">
        <v>37</v>
      </c>
      <c r="B3725" s="94">
        <f t="shared" si="5"/>
        <v>45756</v>
      </c>
      <c r="C3725" s="77" t="s">
        <v>1572</v>
      </c>
      <c r="D3725" s="13">
        <f>D3722+D3723-D3724</f>
        <v>14175.49</v>
      </c>
      <c r="E3725" s="15">
        <f t="shared" si="1"/>
        <v>2025</v>
      </c>
      <c r="F3725" s="15">
        <f t="shared" si="2"/>
        <v>4</v>
      </c>
      <c r="G3725" s="15">
        <f t="shared" si="3"/>
        <v>9</v>
      </c>
    </row>
    <row r="3726">
      <c r="A3726" s="10" t="s">
        <v>37</v>
      </c>
      <c r="B3726" s="94">
        <f t="shared" si="5"/>
        <v>45757</v>
      </c>
      <c r="C3726" s="77" t="s">
        <v>1569</v>
      </c>
      <c r="D3726" s="13">
        <f>D3725</f>
        <v>14175.49</v>
      </c>
      <c r="E3726" s="15">
        <f t="shared" si="1"/>
        <v>2025</v>
      </c>
      <c r="F3726" s="15">
        <f t="shared" si="2"/>
        <v>4</v>
      </c>
      <c r="G3726" s="15">
        <f t="shared" si="3"/>
        <v>10</v>
      </c>
    </row>
    <row r="3727">
      <c r="A3727" s="10" t="s">
        <v>37</v>
      </c>
      <c r="B3727" s="94">
        <f t="shared" si="5"/>
        <v>45757</v>
      </c>
      <c r="C3727" s="77" t="s">
        <v>1570</v>
      </c>
      <c r="D3727" s="13">
        <f>SUMIFS('Lançamentos de receitas'!$E:$E,'Lançamentos de receitas'!$F:$F,"PAGO",'Lançamentos de receitas'!$C:$C,A3727,'Lançamentos de receitas'!$A:$A,B3727)</f>
        <v>1812.92</v>
      </c>
      <c r="E3727" s="15">
        <f t="shared" si="1"/>
        <v>2025</v>
      </c>
      <c r="F3727" s="15">
        <f t="shared" si="2"/>
        <v>4</v>
      </c>
      <c r="G3727" s="15">
        <f t="shared" si="3"/>
        <v>10</v>
      </c>
    </row>
    <row r="3728">
      <c r="A3728" s="10" t="s">
        <v>37</v>
      </c>
      <c r="B3728" s="94">
        <f t="shared" si="5"/>
        <v>45757</v>
      </c>
      <c r="C3728" s="77" t="s">
        <v>1571</v>
      </c>
      <c r="D3728" s="13">
        <f>SUMIFS('Lançamentos de despesas'!$I:$I,'Lançamentos de despesas'!$G:$G,A3728,'Lançamentos de despesas'!$E:$E,"PAGO",'Lançamentos de despesas'!$C:$C,B3728)</f>
        <v>424.5</v>
      </c>
      <c r="E3728" s="15">
        <f t="shared" si="1"/>
        <v>2025</v>
      </c>
      <c r="F3728" s="15">
        <f t="shared" si="2"/>
        <v>4</v>
      </c>
      <c r="G3728" s="15">
        <f t="shared" si="3"/>
        <v>10</v>
      </c>
    </row>
    <row r="3729">
      <c r="A3729" s="10" t="s">
        <v>37</v>
      </c>
      <c r="B3729" s="94">
        <f t="shared" si="5"/>
        <v>45757</v>
      </c>
      <c r="C3729" s="77" t="s">
        <v>1572</v>
      </c>
      <c r="D3729" s="13">
        <f>D3726+D3727-D3728</f>
        <v>15563.91</v>
      </c>
      <c r="E3729" s="15">
        <f t="shared" si="1"/>
        <v>2025</v>
      </c>
      <c r="F3729" s="15">
        <f t="shared" si="2"/>
        <v>4</v>
      </c>
      <c r="G3729" s="15">
        <f t="shared" si="3"/>
        <v>10</v>
      </c>
    </row>
    <row r="3730">
      <c r="A3730" s="10" t="s">
        <v>37</v>
      </c>
      <c r="B3730" s="94">
        <f t="shared" si="5"/>
        <v>45758</v>
      </c>
      <c r="C3730" s="77" t="s">
        <v>1569</v>
      </c>
      <c r="D3730" s="13">
        <f>D3729</f>
        <v>15563.91</v>
      </c>
      <c r="E3730" s="15">
        <f t="shared" si="1"/>
        <v>2025</v>
      </c>
      <c r="F3730" s="15">
        <f t="shared" si="2"/>
        <v>4</v>
      </c>
      <c r="G3730" s="15">
        <f t="shared" si="3"/>
        <v>11</v>
      </c>
    </row>
    <row r="3731">
      <c r="A3731" s="10" t="s">
        <v>37</v>
      </c>
      <c r="B3731" s="94">
        <f t="shared" si="5"/>
        <v>45758</v>
      </c>
      <c r="C3731" s="77" t="s">
        <v>1570</v>
      </c>
      <c r="D3731" s="13">
        <f>SUMIFS('Lançamentos de receitas'!$E:$E,'Lançamentos de receitas'!$F:$F,"PAGO",'Lançamentos de receitas'!$C:$C,A3731,'Lançamentos de receitas'!$A:$A,B3731)</f>
        <v>1193.04</v>
      </c>
      <c r="E3731" s="15">
        <f t="shared" si="1"/>
        <v>2025</v>
      </c>
      <c r="F3731" s="15">
        <f t="shared" si="2"/>
        <v>4</v>
      </c>
      <c r="G3731" s="15">
        <f t="shared" si="3"/>
        <v>11</v>
      </c>
    </row>
    <row r="3732">
      <c r="A3732" s="10" t="s">
        <v>37</v>
      </c>
      <c r="B3732" s="94">
        <f t="shared" si="5"/>
        <v>45758</v>
      </c>
      <c r="C3732" s="77" t="s">
        <v>1571</v>
      </c>
      <c r="D3732" s="13">
        <f>SUMIFS('Lançamentos de despesas'!$I:$I,'Lançamentos de despesas'!$G:$G,A3732,'Lançamentos de despesas'!$E:$E,"PAGO",'Lançamentos de despesas'!$C:$C,B3732)</f>
        <v>150</v>
      </c>
      <c r="E3732" s="15">
        <f t="shared" si="1"/>
        <v>2025</v>
      </c>
      <c r="F3732" s="15">
        <f t="shared" si="2"/>
        <v>4</v>
      </c>
      <c r="G3732" s="15">
        <f t="shared" si="3"/>
        <v>11</v>
      </c>
    </row>
    <row r="3733">
      <c r="A3733" s="10" t="s">
        <v>37</v>
      </c>
      <c r="B3733" s="94">
        <f t="shared" si="5"/>
        <v>45758</v>
      </c>
      <c r="C3733" s="77" t="s">
        <v>1572</v>
      </c>
      <c r="D3733" s="13">
        <f>D3730+D3731-D3732</f>
        <v>16606.95</v>
      </c>
      <c r="E3733" s="15">
        <f t="shared" si="1"/>
        <v>2025</v>
      </c>
      <c r="F3733" s="15">
        <f t="shared" si="2"/>
        <v>4</v>
      </c>
      <c r="G3733" s="15">
        <f t="shared" si="3"/>
        <v>11</v>
      </c>
    </row>
    <row r="3734">
      <c r="A3734" s="10" t="s">
        <v>37</v>
      </c>
      <c r="B3734" s="94">
        <f t="shared" si="5"/>
        <v>45759</v>
      </c>
      <c r="C3734" s="77" t="s">
        <v>1569</v>
      </c>
      <c r="D3734" s="13">
        <f>D3733</f>
        <v>16606.95</v>
      </c>
      <c r="E3734" s="15">
        <f t="shared" si="1"/>
        <v>2025</v>
      </c>
      <c r="F3734" s="15">
        <f t="shared" si="2"/>
        <v>4</v>
      </c>
      <c r="G3734" s="15">
        <f t="shared" si="3"/>
        <v>12</v>
      </c>
    </row>
    <row r="3735">
      <c r="A3735" s="10" t="s">
        <v>37</v>
      </c>
      <c r="B3735" s="94">
        <f t="shared" si="5"/>
        <v>45759</v>
      </c>
      <c r="C3735" s="77" t="s">
        <v>1570</v>
      </c>
      <c r="D3735" s="13">
        <f>SUMIFS('Lançamentos de receitas'!$E:$E,'Lançamentos de receitas'!$F:$F,"PAGO",'Lançamentos de receitas'!$C:$C,A3735,'Lançamentos de receitas'!$A:$A,B3735)</f>
        <v>903.01</v>
      </c>
      <c r="E3735" s="15">
        <f t="shared" si="1"/>
        <v>2025</v>
      </c>
      <c r="F3735" s="15">
        <f t="shared" si="2"/>
        <v>4</v>
      </c>
      <c r="G3735" s="15">
        <f t="shared" si="3"/>
        <v>12</v>
      </c>
    </row>
    <row r="3736">
      <c r="A3736" s="10" t="s">
        <v>37</v>
      </c>
      <c r="B3736" s="94">
        <f t="shared" si="5"/>
        <v>45759</v>
      </c>
      <c r="C3736" s="77" t="s">
        <v>1571</v>
      </c>
      <c r="D3736" s="13">
        <f>SUMIFS('Lançamentos de despesas'!$I:$I,'Lançamentos de despesas'!$G:$G,A3736,'Lançamentos de despesas'!$E:$E,"PAGO",'Lançamentos de despesas'!$C:$C,B3736)</f>
        <v>0</v>
      </c>
      <c r="E3736" s="15">
        <f t="shared" si="1"/>
        <v>2025</v>
      </c>
      <c r="F3736" s="15">
        <f t="shared" si="2"/>
        <v>4</v>
      </c>
      <c r="G3736" s="15">
        <f t="shared" si="3"/>
        <v>12</v>
      </c>
    </row>
    <row r="3737">
      <c r="A3737" s="10" t="s">
        <v>37</v>
      </c>
      <c r="B3737" s="94">
        <f t="shared" si="5"/>
        <v>45759</v>
      </c>
      <c r="C3737" s="77" t="s">
        <v>1572</v>
      </c>
      <c r="D3737" s="13">
        <f>D3734+D3735-D3736</f>
        <v>17509.96</v>
      </c>
      <c r="E3737" s="15">
        <f t="shared" si="1"/>
        <v>2025</v>
      </c>
      <c r="F3737" s="15">
        <f t="shared" si="2"/>
        <v>4</v>
      </c>
      <c r="G3737" s="15">
        <f t="shared" si="3"/>
        <v>12</v>
      </c>
    </row>
    <row r="3738">
      <c r="A3738" s="10" t="s">
        <v>37</v>
      </c>
      <c r="B3738" s="94">
        <f t="shared" si="5"/>
        <v>45760</v>
      </c>
      <c r="C3738" s="77" t="s">
        <v>1569</v>
      </c>
      <c r="D3738" s="13">
        <f>D3737</f>
        <v>17509.96</v>
      </c>
      <c r="E3738" s="15">
        <f t="shared" si="1"/>
        <v>2025</v>
      </c>
      <c r="F3738" s="15">
        <f t="shared" si="2"/>
        <v>4</v>
      </c>
      <c r="G3738" s="15">
        <f t="shared" si="3"/>
        <v>13</v>
      </c>
    </row>
    <row r="3739">
      <c r="A3739" s="10" t="s">
        <v>37</v>
      </c>
      <c r="B3739" s="94">
        <f t="shared" si="5"/>
        <v>45760</v>
      </c>
      <c r="C3739" s="77" t="s">
        <v>1570</v>
      </c>
      <c r="D3739" s="13">
        <f>SUMIFS('Lançamentos de receitas'!$E:$E,'Lançamentos de receitas'!$F:$F,"PAGO",'Lançamentos de receitas'!$C:$C,A3739,'Lançamentos de receitas'!$A:$A,B3739)</f>
        <v>1553.57</v>
      </c>
      <c r="E3739" s="15">
        <f t="shared" si="1"/>
        <v>2025</v>
      </c>
      <c r="F3739" s="15">
        <f t="shared" si="2"/>
        <v>4</v>
      </c>
      <c r="G3739" s="15">
        <f t="shared" si="3"/>
        <v>13</v>
      </c>
    </row>
    <row r="3740">
      <c r="A3740" s="10" t="s">
        <v>37</v>
      </c>
      <c r="B3740" s="94">
        <f t="shared" si="5"/>
        <v>45760</v>
      </c>
      <c r="C3740" s="77" t="s">
        <v>1571</v>
      </c>
      <c r="D3740" s="13">
        <f>SUMIFS('Lançamentos de despesas'!$I:$I,'Lançamentos de despesas'!$G:$G,A3740,'Lançamentos de despesas'!$E:$E,"PAGO",'Lançamentos de despesas'!$C:$C,B3740)</f>
        <v>0</v>
      </c>
      <c r="E3740" s="15">
        <f t="shared" si="1"/>
        <v>2025</v>
      </c>
      <c r="F3740" s="15">
        <f t="shared" si="2"/>
        <v>4</v>
      </c>
      <c r="G3740" s="15">
        <f t="shared" si="3"/>
        <v>13</v>
      </c>
    </row>
    <row r="3741">
      <c r="A3741" s="10" t="s">
        <v>37</v>
      </c>
      <c r="B3741" s="94">
        <f t="shared" si="5"/>
        <v>45760</v>
      </c>
      <c r="C3741" s="77" t="s">
        <v>1572</v>
      </c>
      <c r="D3741" s="13">
        <f>D3738+D3739-D3740</f>
        <v>19063.53</v>
      </c>
      <c r="E3741" s="15">
        <f t="shared" si="1"/>
        <v>2025</v>
      </c>
      <c r="F3741" s="15">
        <f t="shared" si="2"/>
        <v>4</v>
      </c>
      <c r="G3741" s="15">
        <f t="shared" si="3"/>
        <v>13</v>
      </c>
    </row>
    <row r="3742">
      <c r="A3742" s="10" t="s">
        <v>37</v>
      </c>
      <c r="B3742" s="94">
        <f t="shared" si="5"/>
        <v>45761</v>
      </c>
      <c r="C3742" s="77" t="s">
        <v>1569</v>
      </c>
      <c r="D3742" s="13">
        <f>D3741</f>
        <v>19063.53</v>
      </c>
      <c r="E3742" s="15">
        <f t="shared" si="1"/>
        <v>2025</v>
      </c>
      <c r="F3742" s="15">
        <f t="shared" si="2"/>
        <v>4</v>
      </c>
      <c r="G3742" s="15">
        <f t="shared" si="3"/>
        <v>14</v>
      </c>
    </row>
    <row r="3743">
      <c r="A3743" s="10" t="s">
        <v>37</v>
      </c>
      <c r="B3743" s="94">
        <f t="shared" si="5"/>
        <v>45761</v>
      </c>
      <c r="C3743" s="77" t="s">
        <v>1570</v>
      </c>
      <c r="D3743" s="13">
        <f>SUMIFS('Lançamentos de receitas'!$E:$E,'Lançamentos de receitas'!$F:$F,"PAGO",'Lançamentos de receitas'!$C:$C,A3743,'Lançamentos de receitas'!$A:$A,B3743)</f>
        <v>813.27</v>
      </c>
      <c r="E3743" s="15">
        <f t="shared" si="1"/>
        <v>2025</v>
      </c>
      <c r="F3743" s="15">
        <f t="shared" si="2"/>
        <v>4</v>
      </c>
      <c r="G3743" s="15">
        <f t="shared" si="3"/>
        <v>14</v>
      </c>
    </row>
    <row r="3744">
      <c r="A3744" s="10" t="s">
        <v>37</v>
      </c>
      <c r="B3744" s="94">
        <f t="shared" si="5"/>
        <v>45761</v>
      </c>
      <c r="C3744" s="77" t="s">
        <v>1571</v>
      </c>
      <c r="D3744" s="13">
        <f>SUMIFS('Lançamentos de despesas'!$I:$I,'Lançamentos de despesas'!$G:$G,A3744,'Lançamentos de despesas'!$E:$E,"PAGO",'Lançamentos de despesas'!$C:$C,B3744)</f>
        <v>0</v>
      </c>
      <c r="E3744" s="15">
        <f t="shared" si="1"/>
        <v>2025</v>
      </c>
      <c r="F3744" s="15">
        <f t="shared" si="2"/>
        <v>4</v>
      </c>
      <c r="G3744" s="15">
        <f t="shared" si="3"/>
        <v>14</v>
      </c>
    </row>
    <row r="3745">
      <c r="A3745" s="10" t="s">
        <v>37</v>
      </c>
      <c r="B3745" s="94">
        <f t="shared" si="5"/>
        <v>45761</v>
      </c>
      <c r="C3745" s="77" t="s">
        <v>1572</v>
      </c>
      <c r="D3745" s="13">
        <f>D3742+D3743-D3744</f>
        <v>19876.8</v>
      </c>
      <c r="E3745" s="15">
        <f t="shared" si="1"/>
        <v>2025</v>
      </c>
      <c r="F3745" s="15">
        <f t="shared" si="2"/>
        <v>4</v>
      </c>
      <c r="G3745" s="15">
        <f t="shared" si="3"/>
        <v>14</v>
      </c>
    </row>
    <row r="3746">
      <c r="A3746" s="10" t="s">
        <v>37</v>
      </c>
      <c r="B3746" s="94">
        <f t="shared" si="5"/>
        <v>45762</v>
      </c>
      <c r="C3746" s="77" t="s">
        <v>1569</v>
      </c>
      <c r="D3746" s="13">
        <f>D3745</f>
        <v>19876.8</v>
      </c>
      <c r="E3746" s="15">
        <f t="shared" si="1"/>
        <v>2025</v>
      </c>
      <c r="F3746" s="15">
        <f t="shared" si="2"/>
        <v>4</v>
      </c>
      <c r="G3746" s="15">
        <f t="shared" si="3"/>
        <v>15</v>
      </c>
    </row>
    <row r="3747">
      <c r="A3747" s="10" t="s">
        <v>37</v>
      </c>
      <c r="B3747" s="94">
        <f t="shared" si="5"/>
        <v>45762</v>
      </c>
      <c r="C3747" s="77" t="s">
        <v>1570</v>
      </c>
      <c r="D3747" s="13">
        <f>SUMIFS('Lançamentos de receitas'!$E:$E,'Lançamentos de receitas'!$F:$F,"PAGO",'Lançamentos de receitas'!$C:$C,A3747,'Lançamentos de receitas'!$A:$A,B3747)</f>
        <v>779.92</v>
      </c>
      <c r="E3747" s="15">
        <f t="shared" si="1"/>
        <v>2025</v>
      </c>
      <c r="F3747" s="15">
        <f t="shared" si="2"/>
        <v>4</v>
      </c>
      <c r="G3747" s="15">
        <f t="shared" si="3"/>
        <v>15</v>
      </c>
    </row>
    <row r="3748">
      <c r="A3748" s="10" t="s">
        <v>37</v>
      </c>
      <c r="B3748" s="94">
        <f t="shared" si="5"/>
        <v>45762</v>
      </c>
      <c r="C3748" s="77" t="s">
        <v>1571</v>
      </c>
      <c r="D3748" s="13">
        <f>SUMIFS('Lançamentos de despesas'!$I:$I,'Lançamentos de despesas'!$G:$G,A3748,'Lançamentos de despesas'!$E:$E,"PAGO",'Lançamentos de despesas'!$C:$C,B3748)</f>
        <v>4804.46</v>
      </c>
      <c r="E3748" s="15">
        <f t="shared" si="1"/>
        <v>2025</v>
      </c>
      <c r="F3748" s="15">
        <f t="shared" si="2"/>
        <v>4</v>
      </c>
      <c r="G3748" s="15">
        <f t="shared" si="3"/>
        <v>15</v>
      </c>
    </row>
    <row r="3749">
      <c r="A3749" s="10" t="s">
        <v>37</v>
      </c>
      <c r="B3749" s="94">
        <f t="shared" si="5"/>
        <v>45762</v>
      </c>
      <c r="C3749" s="77" t="s">
        <v>1572</v>
      </c>
      <c r="D3749" s="13">
        <f>D3746+D3747-D3748</f>
        <v>15852.26</v>
      </c>
      <c r="E3749" s="15">
        <f t="shared" si="1"/>
        <v>2025</v>
      </c>
      <c r="F3749" s="15">
        <f t="shared" si="2"/>
        <v>4</v>
      </c>
      <c r="G3749" s="15">
        <f t="shared" si="3"/>
        <v>15</v>
      </c>
    </row>
    <row r="3750">
      <c r="A3750" s="10" t="s">
        <v>37</v>
      </c>
      <c r="B3750" s="94">
        <f t="shared" si="5"/>
        <v>45763</v>
      </c>
      <c r="C3750" s="77" t="s">
        <v>1569</v>
      </c>
      <c r="D3750" s="13">
        <f>D3749</f>
        <v>15852.26</v>
      </c>
      <c r="E3750" s="15">
        <f t="shared" si="1"/>
        <v>2025</v>
      </c>
      <c r="F3750" s="15">
        <f t="shared" si="2"/>
        <v>4</v>
      </c>
      <c r="G3750" s="15">
        <f t="shared" si="3"/>
        <v>16</v>
      </c>
    </row>
    <row r="3751">
      <c r="A3751" s="10" t="s">
        <v>37</v>
      </c>
      <c r="B3751" s="94">
        <f t="shared" si="5"/>
        <v>45763</v>
      </c>
      <c r="C3751" s="77" t="s">
        <v>1570</v>
      </c>
      <c r="D3751" s="13">
        <f>SUMIFS('Lançamentos de receitas'!$E:$E,'Lançamentos de receitas'!$F:$F,"PAGO",'Lançamentos de receitas'!$C:$C,A3751,'Lançamentos de receitas'!$A:$A,B3751)</f>
        <v>1460.58</v>
      </c>
      <c r="E3751" s="15">
        <f t="shared" si="1"/>
        <v>2025</v>
      </c>
      <c r="F3751" s="15">
        <f t="shared" si="2"/>
        <v>4</v>
      </c>
      <c r="G3751" s="15">
        <f t="shared" si="3"/>
        <v>16</v>
      </c>
    </row>
    <row r="3752">
      <c r="A3752" s="10" t="s">
        <v>37</v>
      </c>
      <c r="B3752" s="94">
        <f t="shared" si="5"/>
        <v>45763</v>
      </c>
      <c r="C3752" s="77" t="s">
        <v>1571</v>
      </c>
      <c r="D3752" s="13">
        <f>SUMIFS('Lançamentos de despesas'!$I:$I,'Lançamentos de despesas'!$G:$G,A3752,'Lançamentos de despesas'!$E:$E,"PAGO",'Lançamentos de despesas'!$C:$C,B3752)</f>
        <v>462.36</v>
      </c>
      <c r="E3752" s="15">
        <f t="shared" si="1"/>
        <v>2025</v>
      </c>
      <c r="F3752" s="15">
        <f t="shared" si="2"/>
        <v>4</v>
      </c>
      <c r="G3752" s="15">
        <f t="shared" si="3"/>
        <v>16</v>
      </c>
    </row>
    <row r="3753">
      <c r="A3753" s="10" t="s">
        <v>37</v>
      </c>
      <c r="B3753" s="94">
        <f t="shared" si="5"/>
        <v>45763</v>
      </c>
      <c r="C3753" s="77" t="s">
        <v>1572</v>
      </c>
      <c r="D3753" s="13">
        <f>D3750+D3751-D3752</f>
        <v>16850.48</v>
      </c>
      <c r="E3753" s="15">
        <f t="shared" si="1"/>
        <v>2025</v>
      </c>
      <c r="F3753" s="15">
        <f t="shared" si="2"/>
        <v>4</v>
      </c>
      <c r="G3753" s="15">
        <f t="shared" si="3"/>
        <v>16</v>
      </c>
    </row>
    <row r="3754">
      <c r="A3754" s="10" t="s">
        <v>37</v>
      </c>
      <c r="B3754" s="94">
        <f t="shared" si="5"/>
        <v>45764</v>
      </c>
      <c r="C3754" s="77" t="s">
        <v>1569</v>
      </c>
      <c r="D3754" s="13">
        <f>D3753</f>
        <v>16850.48</v>
      </c>
      <c r="E3754" s="15">
        <f t="shared" si="1"/>
        <v>2025</v>
      </c>
      <c r="F3754" s="15">
        <f t="shared" si="2"/>
        <v>4</v>
      </c>
      <c r="G3754" s="15">
        <f t="shared" si="3"/>
        <v>17</v>
      </c>
    </row>
    <row r="3755">
      <c r="A3755" s="10" t="s">
        <v>37</v>
      </c>
      <c r="B3755" s="94">
        <f t="shared" si="5"/>
        <v>45764</v>
      </c>
      <c r="C3755" s="77" t="s">
        <v>1570</v>
      </c>
      <c r="D3755" s="13">
        <f>SUMIFS('Lançamentos de receitas'!$E:$E,'Lançamentos de receitas'!$F:$F,"PAGO",'Lançamentos de receitas'!$C:$C,A3755,'Lançamentos de receitas'!$A:$A,B3755)</f>
        <v>1536.95</v>
      </c>
      <c r="E3755" s="15">
        <f t="shared" si="1"/>
        <v>2025</v>
      </c>
      <c r="F3755" s="15">
        <f t="shared" si="2"/>
        <v>4</v>
      </c>
      <c r="G3755" s="15">
        <f t="shared" si="3"/>
        <v>17</v>
      </c>
    </row>
    <row r="3756">
      <c r="A3756" s="10" t="s">
        <v>37</v>
      </c>
      <c r="B3756" s="94">
        <f t="shared" si="5"/>
        <v>45764</v>
      </c>
      <c r="C3756" s="77" t="s">
        <v>1571</v>
      </c>
      <c r="D3756" s="13">
        <f>SUMIFS('Lançamentos de despesas'!$I:$I,'Lançamentos de despesas'!$G:$G,A3756,'Lançamentos de despesas'!$E:$E,"PAGO",'Lançamentos de despesas'!$C:$C,B3756)</f>
        <v>100</v>
      </c>
      <c r="E3756" s="15">
        <f t="shared" si="1"/>
        <v>2025</v>
      </c>
      <c r="F3756" s="15">
        <f t="shared" si="2"/>
        <v>4</v>
      </c>
      <c r="G3756" s="15">
        <f t="shared" si="3"/>
        <v>17</v>
      </c>
    </row>
    <row r="3757">
      <c r="A3757" s="10" t="s">
        <v>37</v>
      </c>
      <c r="B3757" s="94">
        <f t="shared" si="5"/>
        <v>45764</v>
      </c>
      <c r="C3757" s="77" t="s">
        <v>1572</v>
      </c>
      <c r="D3757" s="13">
        <f>D3754+D3755-D3756</f>
        <v>18287.43</v>
      </c>
      <c r="E3757" s="15">
        <f t="shared" si="1"/>
        <v>2025</v>
      </c>
      <c r="F3757" s="15">
        <f t="shared" si="2"/>
        <v>4</v>
      </c>
      <c r="G3757" s="15">
        <f t="shared" si="3"/>
        <v>17</v>
      </c>
    </row>
    <row r="3758">
      <c r="A3758" s="10" t="s">
        <v>37</v>
      </c>
      <c r="B3758" s="94">
        <f t="shared" si="5"/>
        <v>45765</v>
      </c>
      <c r="C3758" s="77" t="s">
        <v>1569</v>
      </c>
      <c r="D3758" s="13">
        <f>D3757</f>
        <v>18287.43</v>
      </c>
      <c r="E3758" s="15">
        <f t="shared" si="1"/>
        <v>2025</v>
      </c>
      <c r="F3758" s="15">
        <f t="shared" si="2"/>
        <v>4</v>
      </c>
      <c r="G3758" s="15">
        <f t="shared" si="3"/>
        <v>18</v>
      </c>
    </row>
    <row r="3759">
      <c r="A3759" s="10" t="s">
        <v>37</v>
      </c>
      <c r="B3759" s="94">
        <f t="shared" si="5"/>
        <v>45765</v>
      </c>
      <c r="C3759" s="77" t="s">
        <v>1570</v>
      </c>
      <c r="D3759" s="13">
        <f>SUMIFS('Lançamentos de receitas'!$E:$E,'Lançamentos de receitas'!$F:$F,"PAGO",'Lançamentos de receitas'!$C:$C,A3759,'Lançamentos de receitas'!$A:$A,B3759)</f>
        <v>1604.46</v>
      </c>
      <c r="E3759" s="15">
        <f t="shared" si="1"/>
        <v>2025</v>
      </c>
      <c r="F3759" s="15">
        <f t="shared" si="2"/>
        <v>4</v>
      </c>
      <c r="G3759" s="15">
        <f t="shared" si="3"/>
        <v>18</v>
      </c>
    </row>
    <row r="3760">
      <c r="A3760" s="10" t="s">
        <v>37</v>
      </c>
      <c r="B3760" s="94">
        <f t="shared" si="5"/>
        <v>45765</v>
      </c>
      <c r="C3760" s="77" t="s">
        <v>1571</v>
      </c>
      <c r="D3760" s="13">
        <f>SUMIFS('Lançamentos de despesas'!$I:$I,'Lançamentos de despesas'!$G:$G,A3760,'Lançamentos de despesas'!$E:$E,"PAGO",'Lançamentos de despesas'!$C:$C,B3760)</f>
        <v>930.92</v>
      </c>
      <c r="E3760" s="15">
        <f t="shared" si="1"/>
        <v>2025</v>
      </c>
      <c r="F3760" s="15">
        <f t="shared" si="2"/>
        <v>4</v>
      </c>
      <c r="G3760" s="15">
        <f t="shared" si="3"/>
        <v>18</v>
      </c>
    </row>
    <row r="3761">
      <c r="A3761" s="10" t="s">
        <v>37</v>
      </c>
      <c r="B3761" s="94">
        <f t="shared" si="5"/>
        <v>45765</v>
      </c>
      <c r="C3761" s="77" t="s">
        <v>1572</v>
      </c>
      <c r="D3761" s="13">
        <f>D3758+D3759-D3760</f>
        <v>18960.97</v>
      </c>
      <c r="E3761" s="15">
        <f t="shared" si="1"/>
        <v>2025</v>
      </c>
      <c r="F3761" s="15">
        <f t="shared" si="2"/>
        <v>4</v>
      </c>
      <c r="G3761" s="15">
        <f t="shared" si="3"/>
        <v>18</v>
      </c>
    </row>
    <row r="3762">
      <c r="A3762" s="10" t="s">
        <v>37</v>
      </c>
      <c r="B3762" s="94">
        <f t="shared" si="5"/>
        <v>45766</v>
      </c>
      <c r="C3762" s="77" t="s">
        <v>1569</v>
      </c>
      <c r="D3762" s="13">
        <f>D3761</f>
        <v>18960.97</v>
      </c>
      <c r="E3762" s="15">
        <f t="shared" si="1"/>
        <v>2025</v>
      </c>
      <c r="F3762" s="15">
        <f t="shared" si="2"/>
        <v>4</v>
      </c>
      <c r="G3762" s="15">
        <f t="shared" si="3"/>
        <v>19</v>
      </c>
    </row>
    <row r="3763">
      <c r="A3763" s="10" t="s">
        <v>37</v>
      </c>
      <c r="B3763" s="94">
        <f t="shared" si="5"/>
        <v>45766</v>
      </c>
      <c r="C3763" s="77" t="s">
        <v>1570</v>
      </c>
      <c r="D3763" s="13">
        <f>SUMIFS('Lançamentos de receitas'!$E:$E,'Lançamentos de receitas'!$F:$F,"PAGO",'Lançamentos de receitas'!$C:$C,A3763,'Lançamentos de receitas'!$A:$A,B3763)</f>
        <v>3168.34</v>
      </c>
      <c r="E3763" s="15">
        <f t="shared" si="1"/>
        <v>2025</v>
      </c>
      <c r="F3763" s="15">
        <f t="shared" si="2"/>
        <v>4</v>
      </c>
      <c r="G3763" s="15">
        <f t="shared" si="3"/>
        <v>19</v>
      </c>
    </row>
    <row r="3764">
      <c r="A3764" s="10" t="s">
        <v>37</v>
      </c>
      <c r="B3764" s="94">
        <f t="shared" si="5"/>
        <v>45766</v>
      </c>
      <c r="C3764" s="77" t="s">
        <v>1571</v>
      </c>
      <c r="D3764" s="13">
        <f>SUMIFS('Lançamentos de despesas'!$I:$I,'Lançamentos de despesas'!$G:$G,A3764,'Lançamentos de despesas'!$E:$E,"PAGO",'Lançamentos de despesas'!$C:$C,B3764)</f>
        <v>0</v>
      </c>
      <c r="E3764" s="15">
        <f t="shared" si="1"/>
        <v>2025</v>
      </c>
      <c r="F3764" s="15">
        <f t="shared" si="2"/>
        <v>4</v>
      </c>
      <c r="G3764" s="15">
        <f t="shared" si="3"/>
        <v>19</v>
      </c>
    </row>
    <row r="3765">
      <c r="A3765" s="10" t="s">
        <v>37</v>
      </c>
      <c r="B3765" s="94">
        <f t="shared" si="5"/>
        <v>45766</v>
      </c>
      <c r="C3765" s="77" t="s">
        <v>1572</v>
      </c>
      <c r="D3765" s="13">
        <f>D3762+D3763-D3764</f>
        <v>22129.31</v>
      </c>
      <c r="E3765" s="15">
        <f t="shared" si="1"/>
        <v>2025</v>
      </c>
      <c r="F3765" s="15">
        <f t="shared" si="2"/>
        <v>4</v>
      </c>
      <c r="G3765" s="15">
        <f t="shared" si="3"/>
        <v>19</v>
      </c>
    </row>
    <row r="3766">
      <c r="A3766" s="10" t="s">
        <v>37</v>
      </c>
      <c r="B3766" s="94">
        <f t="shared" si="5"/>
        <v>45767</v>
      </c>
      <c r="C3766" s="77" t="s">
        <v>1569</v>
      </c>
      <c r="D3766" s="13">
        <f>D3765</f>
        <v>22129.31</v>
      </c>
      <c r="E3766" s="15">
        <f t="shared" si="1"/>
        <v>2025</v>
      </c>
      <c r="F3766" s="15">
        <f t="shared" si="2"/>
        <v>4</v>
      </c>
      <c r="G3766" s="15">
        <f t="shared" si="3"/>
        <v>20</v>
      </c>
    </row>
    <row r="3767">
      <c r="A3767" s="10" t="s">
        <v>37</v>
      </c>
      <c r="B3767" s="94">
        <f t="shared" si="5"/>
        <v>45767</v>
      </c>
      <c r="C3767" s="77" t="s">
        <v>1570</v>
      </c>
      <c r="D3767" s="13">
        <f>SUMIFS('Lançamentos de receitas'!$E:$E,'Lançamentos de receitas'!$F:$F,"PAGO",'Lançamentos de receitas'!$C:$C,A3767,'Lançamentos de receitas'!$A:$A,B3767)</f>
        <v>1269.78</v>
      </c>
      <c r="E3767" s="15">
        <f t="shared" si="1"/>
        <v>2025</v>
      </c>
      <c r="F3767" s="15">
        <f t="shared" si="2"/>
        <v>4</v>
      </c>
      <c r="G3767" s="15">
        <f t="shared" si="3"/>
        <v>20</v>
      </c>
    </row>
    <row r="3768">
      <c r="A3768" s="10" t="s">
        <v>37</v>
      </c>
      <c r="B3768" s="94">
        <f t="shared" si="5"/>
        <v>45767</v>
      </c>
      <c r="C3768" s="77" t="s">
        <v>1571</v>
      </c>
      <c r="D3768" s="13">
        <f>SUMIFS('Lançamentos de despesas'!$I:$I,'Lançamentos de despesas'!$G:$G,A3768,'Lançamentos de despesas'!$E:$E,"PAGO",'Lançamentos de despesas'!$C:$C,B3768)</f>
        <v>0</v>
      </c>
      <c r="E3768" s="15">
        <f t="shared" si="1"/>
        <v>2025</v>
      </c>
      <c r="F3768" s="15">
        <f t="shared" si="2"/>
        <v>4</v>
      </c>
      <c r="G3768" s="15">
        <f t="shared" si="3"/>
        <v>20</v>
      </c>
    </row>
    <row r="3769">
      <c r="A3769" s="10" t="s">
        <v>37</v>
      </c>
      <c r="B3769" s="94">
        <f t="shared" si="5"/>
        <v>45767</v>
      </c>
      <c r="C3769" s="77" t="s">
        <v>1572</v>
      </c>
      <c r="D3769" s="13">
        <f>D3766+D3767-D3768</f>
        <v>23399.09</v>
      </c>
      <c r="E3769" s="15">
        <f t="shared" si="1"/>
        <v>2025</v>
      </c>
      <c r="F3769" s="15">
        <f t="shared" si="2"/>
        <v>4</v>
      </c>
      <c r="G3769" s="15">
        <f t="shared" si="3"/>
        <v>20</v>
      </c>
    </row>
    <row r="3770">
      <c r="A3770" s="10" t="s">
        <v>37</v>
      </c>
      <c r="B3770" s="94">
        <f t="shared" si="5"/>
        <v>45768</v>
      </c>
      <c r="C3770" s="77" t="s">
        <v>1569</v>
      </c>
      <c r="D3770" s="13">
        <f>D3769</f>
        <v>23399.09</v>
      </c>
      <c r="E3770" s="15">
        <f t="shared" si="1"/>
        <v>2025</v>
      </c>
      <c r="F3770" s="15">
        <f t="shared" si="2"/>
        <v>4</v>
      </c>
      <c r="G3770" s="15">
        <f t="shared" si="3"/>
        <v>21</v>
      </c>
    </row>
    <row r="3771">
      <c r="A3771" s="10" t="s">
        <v>37</v>
      </c>
      <c r="B3771" s="94">
        <f t="shared" si="5"/>
        <v>45768</v>
      </c>
      <c r="C3771" s="77" t="s">
        <v>1570</v>
      </c>
      <c r="D3771" s="13">
        <f>SUMIFS('Lançamentos de receitas'!$E:$E,'Lançamentos de receitas'!$F:$F,"PAGO",'Lançamentos de receitas'!$C:$C,A3771,'Lançamentos de receitas'!$A:$A,B3771)</f>
        <v>266.53</v>
      </c>
      <c r="E3771" s="15">
        <f t="shared" si="1"/>
        <v>2025</v>
      </c>
      <c r="F3771" s="15">
        <f t="shared" si="2"/>
        <v>4</v>
      </c>
      <c r="G3771" s="15">
        <f t="shared" si="3"/>
        <v>21</v>
      </c>
    </row>
    <row r="3772">
      <c r="A3772" s="10" t="s">
        <v>37</v>
      </c>
      <c r="B3772" s="94">
        <f t="shared" si="5"/>
        <v>45768</v>
      </c>
      <c r="C3772" s="77" t="s">
        <v>1571</v>
      </c>
      <c r="D3772" s="13">
        <f>SUMIFS('Lançamentos de despesas'!$I:$I,'Lançamentos de despesas'!$G:$G,A3772,'Lançamentos de despesas'!$E:$E,"PAGO",'Lançamentos de despesas'!$C:$C,B3772)</f>
        <v>727.64</v>
      </c>
      <c r="E3772" s="15">
        <f t="shared" si="1"/>
        <v>2025</v>
      </c>
      <c r="F3772" s="15">
        <f t="shared" si="2"/>
        <v>4</v>
      </c>
      <c r="G3772" s="15">
        <f t="shared" si="3"/>
        <v>21</v>
      </c>
    </row>
    <row r="3773">
      <c r="A3773" s="10" t="s">
        <v>37</v>
      </c>
      <c r="B3773" s="94">
        <f t="shared" si="5"/>
        <v>45768</v>
      </c>
      <c r="C3773" s="77" t="s">
        <v>1572</v>
      </c>
      <c r="D3773" s="13">
        <f>D3770+D3771-D3772</f>
        <v>22937.98</v>
      </c>
      <c r="E3773" s="15">
        <f t="shared" si="1"/>
        <v>2025</v>
      </c>
      <c r="F3773" s="15">
        <f t="shared" si="2"/>
        <v>4</v>
      </c>
      <c r="G3773" s="15">
        <f t="shared" si="3"/>
        <v>21</v>
      </c>
    </row>
    <row r="3774">
      <c r="A3774" s="10" t="s">
        <v>37</v>
      </c>
      <c r="B3774" s="94">
        <f t="shared" si="5"/>
        <v>45769</v>
      </c>
      <c r="C3774" s="77" t="s">
        <v>1569</v>
      </c>
      <c r="D3774" s="13">
        <f>D3773</f>
        <v>22937.98</v>
      </c>
      <c r="E3774" s="15">
        <f t="shared" si="1"/>
        <v>2025</v>
      </c>
      <c r="F3774" s="15">
        <f t="shared" si="2"/>
        <v>4</v>
      </c>
      <c r="G3774" s="15">
        <f t="shared" si="3"/>
        <v>22</v>
      </c>
    </row>
    <row r="3775">
      <c r="A3775" s="10" t="s">
        <v>37</v>
      </c>
      <c r="B3775" s="94">
        <f t="shared" si="5"/>
        <v>45769</v>
      </c>
      <c r="C3775" s="77" t="s">
        <v>1570</v>
      </c>
      <c r="D3775" s="13">
        <f>SUMIFS('Lançamentos de receitas'!$E:$E,'Lançamentos de receitas'!$F:$F,"PAGO",'Lançamentos de receitas'!$C:$C,A3775,'Lançamentos de receitas'!$A:$A,B3775)</f>
        <v>2242.43</v>
      </c>
      <c r="E3775" s="15">
        <f t="shared" si="1"/>
        <v>2025</v>
      </c>
      <c r="F3775" s="15">
        <f t="shared" si="2"/>
        <v>4</v>
      </c>
      <c r="G3775" s="15">
        <f t="shared" si="3"/>
        <v>22</v>
      </c>
    </row>
    <row r="3776">
      <c r="A3776" s="10" t="s">
        <v>37</v>
      </c>
      <c r="B3776" s="94">
        <f t="shared" si="5"/>
        <v>45769</v>
      </c>
      <c r="C3776" s="77" t="s">
        <v>1571</v>
      </c>
      <c r="D3776" s="13">
        <f>SUMIFS('Lançamentos de despesas'!$I:$I,'Lançamentos de despesas'!$G:$G,A3776,'Lançamentos de despesas'!$E:$E,"PAGO",'Lançamentos de despesas'!$C:$C,B3776)</f>
        <v>5718.52</v>
      </c>
      <c r="E3776" s="15">
        <f t="shared" si="1"/>
        <v>2025</v>
      </c>
      <c r="F3776" s="15">
        <f t="shared" si="2"/>
        <v>4</v>
      </c>
      <c r="G3776" s="15">
        <f t="shared" si="3"/>
        <v>22</v>
      </c>
    </row>
    <row r="3777">
      <c r="A3777" s="10" t="s">
        <v>37</v>
      </c>
      <c r="B3777" s="94">
        <f t="shared" si="5"/>
        <v>45769</v>
      </c>
      <c r="C3777" s="77" t="s">
        <v>1572</v>
      </c>
      <c r="D3777" s="13">
        <f>D3774+D3775-D3776</f>
        <v>19461.89</v>
      </c>
      <c r="E3777" s="15">
        <f t="shared" si="1"/>
        <v>2025</v>
      </c>
      <c r="F3777" s="15">
        <f t="shared" si="2"/>
        <v>4</v>
      </c>
      <c r="G3777" s="15">
        <f t="shared" si="3"/>
        <v>22</v>
      </c>
    </row>
    <row r="3778">
      <c r="A3778" s="10" t="s">
        <v>37</v>
      </c>
      <c r="B3778" s="94">
        <f t="shared" si="5"/>
        <v>45770</v>
      </c>
      <c r="C3778" s="77" t="s">
        <v>1569</v>
      </c>
      <c r="D3778" s="13">
        <f>D3777</f>
        <v>19461.89</v>
      </c>
      <c r="E3778" s="15">
        <f t="shared" si="1"/>
        <v>2025</v>
      </c>
      <c r="F3778" s="15">
        <f t="shared" si="2"/>
        <v>4</v>
      </c>
      <c r="G3778" s="15">
        <f t="shared" si="3"/>
        <v>23</v>
      </c>
    </row>
    <row r="3779">
      <c r="A3779" s="10" t="s">
        <v>37</v>
      </c>
      <c r="B3779" s="94">
        <f t="shared" si="5"/>
        <v>45770</v>
      </c>
      <c r="C3779" s="77" t="s">
        <v>1570</v>
      </c>
      <c r="D3779" s="13">
        <f>SUMIFS('Lançamentos de receitas'!$E:$E,'Lançamentos de receitas'!$F:$F,"PAGO",'Lançamentos de receitas'!$C:$C,A3779,'Lançamentos de receitas'!$A:$A,B3779)</f>
        <v>1296.42</v>
      </c>
      <c r="E3779" s="15">
        <f t="shared" si="1"/>
        <v>2025</v>
      </c>
      <c r="F3779" s="15">
        <f t="shared" si="2"/>
        <v>4</v>
      </c>
      <c r="G3779" s="15">
        <f t="shared" si="3"/>
        <v>23</v>
      </c>
    </row>
    <row r="3780">
      <c r="A3780" s="10" t="s">
        <v>37</v>
      </c>
      <c r="B3780" s="94">
        <f t="shared" si="5"/>
        <v>45770</v>
      </c>
      <c r="C3780" s="77" t="s">
        <v>1571</v>
      </c>
      <c r="D3780" s="13">
        <f>SUMIFS('Lançamentos de despesas'!$I:$I,'Lançamentos de despesas'!$G:$G,A3780,'Lançamentos de despesas'!$E:$E,"PAGO",'Lançamentos de despesas'!$C:$C,B3780)</f>
        <v>7174.17</v>
      </c>
      <c r="E3780" s="15">
        <f t="shared" si="1"/>
        <v>2025</v>
      </c>
      <c r="F3780" s="15">
        <f t="shared" si="2"/>
        <v>4</v>
      </c>
      <c r="G3780" s="15">
        <f t="shared" si="3"/>
        <v>23</v>
      </c>
    </row>
    <row r="3781">
      <c r="A3781" s="10" t="s">
        <v>37</v>
      </c>
      <c r="B3781" s="94">
        <f t="shared" si="5"/>
        <v>45770</v>
      </c>
      <c r="C3781" s="77" t="s">
        <v>1572</v>
      </c>
      <c r="D3781" s="13">
        <f>D3778+D3779-D3780</f>
        <v>13584.14</v>
      </c>
      <c r="E3781" s="15">
        <f t="shared" si="1"/>
        <v>2025</v>
      </c>
      <c r="F3781" s="15">
        <f t="shared" si="2"/>
        <v>4</v>
      </c>
      <c r="G3781" s="15">
        <f t="shared" si="3"/>
        <v>23</v>
      </c>
    </row>
    <row r="3782">
      <c r="A3782" s="10" t="s">
        <v>37</v>
      </c>
      <c r="B3782" s="94">
        <f t="shared" si="5"/>
        <v>45771</v>
      </c>
      <c r="C3782" s="77" t="s">
        <v>1569</v>
      </c>
      <c r="D3782" s="13">
        <f>D3781</f>
        <v>13584.14</v>
      </c>
      <c r="E3782" s="15">
        <f t="shared" si="1"/>
        <v>2025</v>
      </c>
      <c r="F3782" s="15">
        <f t="shared" si="2"/>
        <v>4</v>
      </c>
      <c r="G3782" s="15">
        <f t="shared" si="3"/>
        <v>24</v>
      </c>
    </row>
    <row r="3783">
      <c r="A3783" s="10" t="s">
        <v>37</v>
      </c>
      <c r="B3783" s="94">
        <f t="shared" si="5"/>
        <v>45771</v>
      </c>
      <c r="C3783" s="77" t="s">
        <v>1570</v>
      </c>
      <c r="D3783" s="13">
        <f>SUMIFS('Lançamentos de receitas'!$E:$E,'Lançamentos de receitas'!$F:$F,"PAGO",'Lançamentos de receitas'!$C:$C,A3783,'Lançamentos de receitas'!$A:$A,B3783)</f>
        <v>3078.21</v>
      </c>
      <c r="E3783" s="15">
        <f t="shared" si="1"/>
        <v>2025</v>
      </c>
      <c r="F3783" s="15">
        <f t="shared" si="2"/>
        <v>4</v>
      </c>
      <c r="G3783" s="15">
        <f t="shared" si="3"/>
        <v>24</v>
      </c>
    </row>
    <row r="3784">
      <c r="A3784" s="10" t="s">
        <v>37</v>
      </c>
      <c r="B3784" s="94">
        <f t="shared" si="5"/>
        <v>45771</v>
      </c>
      <c r="C3784" s="77" t="s">
        <v>1571</v>
      </c>
      <c r="D3784" s="13">
        <f>SUMIFS('Lançamentos de despesas'!$I:$I,'Lançamentos de despesas'!$G:$G,A3784,'Lançamentos de despesas'!$E:$E,"PAGO",'Lançamentos de despesas'!$C:$C,B3784)</f>
        <v>318.52</v>
      </c>
      <c r="E3784" s="15">
        <f t="shared" si="1"/>
        <v>2025</v>
      </c>
      <c r="F3784" s="15">
        <f t="shared" si="2"/>
        <v>4</v>
      </c>
      <c r="G3784" s="15">
        <f t="shared" si="3"/>
        <v>24</v>
      </c>
    </row>
    <row r="3785">
      <c r="A3785" s="10" t="s">
        <v>37</v>
      </c>
      <c r="B3785" s="94">
        <f t="shared" si="5"/>
        <v>45771</v>
      </c>
      <c r="C3785" s="77" t="s">
        <v>1572</v>
      </c>
      <c r="D3785" s="13">
        <f>D3782+D3783-D3784</f>
        <v>16343.83</v>
      </c>
      <c r="E3785" s="15">
        <f t="shared" si="1"/>
        <v>2025</v>
      </c>
      <c r="F3785" s="15">
        <f t="shared" si="2"/>
        <v>4</v>
      </c>
      <c r="G3785" s="15">
        <f t="shared" si="3"/>
        <v>24</v>
      </c>
    </row>
    <row r="3786">
      <c r="A3786" s="10" t="s">
        <v>37</v>
      </c>
      <c r="B3786" s="94">
        <f t="shared" si="5"/>
        <v>45772</v>
      </c>
      <c r="C3786" s="77" t="s">
        <v>1569</v>
      </c>
      <c r="D3786" s="13">
        <f>D3785</f>
        <v>16343.83</v>
      </c>
      <c r="E3786" s="15">
        <f t="shared" si="1"/>
        <v>2025</v>
      </c>
      <c r="F3786" s="15">
        <f t="shared" si="2"/>
        <v>4</v>
      </c>
      <c r="G3786" s="15">
        <f t="shared" si="3"/>
        <v>25</v>
      </c>
    </row>
    <row r="3787">
      <c r="A3787" s="10" t="s">
        <v>37</v>
      </c>
      <c r="B3787" s="94">
        <f t="shared" si="5"/>
        <v>45772</v>
      </c>
      <c r="C3787" s="77" t="s">
        <v>1570</v>
      </c>
      <c r="D3787" s="13">
        <f>SUMIFS('Lançamentos de receitas'!$E:$E,'Lançamentos de receitas'!$F:$F,"PAGO",'Lançamentos de receitas'!$C:$C,A3787,'Lançamentos de receitas'!$A:$A,B3787)</f>
        <v>1447.2</v>
      </c>
      <c r="E3787" s="15">
        <f t="shared" si="1"/>
        <v>2025</v>
      </c>
      <c r="F3787" s="15">
        <f t="shared" si="2"/>
        <v>4</v>
      </c>
      <c r="G3787" s="15">
        <f t="shared" si="3"/>
        <v>25</v>
      </c>
    </row>
    <row r="3788">
      <c r="A3788" s="10" t="s">
        <v>37</v>
      </c>
      <c r="B3788" s="94">
        <f t="shared" si="5"/>
        <v>45772</v>
      </c>
      <c r="C3788" s="77" t="s">
        <v>1571</v>
      </c>
      <c r="D3788" s="13">
        <f>SUMIFS('Lançamentos de despesas'!$I:$I,'Lançamentos de despesas'!$G:$G,A3788,'Lançamentos de despesas'!$E:$E,"PAGO",'Lançamentos de despesas'!$C:$C,B3788)</f>
        <v>952.86</v>
      </c>
      <c r="E3788" s="15">
        <f t="shared" si="1"/>
        <v>2025</v>
      </c>
      <c r="F3788" s="15">
        <f t="shared" si="2"/>
        <v>4</v>
      </c>
      <c r="G3788" s="15">
        <f t="shared" si="3"/>
        <v>25</v>
      </c>
    </row>
    <row r="3789">
      <c r="A3789" s="10" t="s">
        <v>37</v>
      </c>
      <c r="B3789" s="94">
        <f t="shared" si="5"/>
        <v>45772</v>
      </c>
      <c r="C3789" s="77" t="s">
        <v>1572</v>
      </c>
      <c r="D3789" s="13">
        <f>D3786+D3787-D3788</f>
        <v>16838.17</v>
      </c>
      <c r="E3789" s="15">
        <f t="shared" si="1"/>
        <v>2025</v>
      </c>
      <c r="F3789" s="15">
        <f t="shared" si="2"/>
        <v>4</v>
      </c>
      <c r="G3789" s="15">
        <f t="shared" si="3"/>
        <v>25</v>
      </c>
    </row>
    <row r="3790">
      <c r="A3790" s="10" t="s">
        <v>37</v>
      </c>
      <c r="B3790" s="94">
        <f t="shared" si="5"/>
        <v>45773</v>
      </c>
      <c r="C3790" s="77" t="s">
        <v>1569</v>
      </c>
      <c r="D3790" s="13">
        <f>D3789</f>
        <v>16838.17</v>
      </c>
      <c r="E3790" s="15">
        <f t="shared" si="1"/>
        <v>2025</v>
      </c>
      <c r="F3790" s="15">
        <f t="shared" si="2"/>
        <v>4</v>
      </c>
      <c r="G3790" s="15">
        <f t="shared" si="3"/>
        <v>26</v>
      </c>
    </row>
    <row r="3791">
      <c r="A3791" s="10" t="s">
        <v>37</v>
      </c>
      <c r="B3791" s="94">
        <f t="shared" si="5"/>
        <v>45773</v>
      </c>
      <c r="C3791" s="77" t="s">
        <v>1570</v>
      </c>
      <c r="D3791" s="13">
        <f>SUMIFS('Lançamentos de receitas'!$E:$E,'Lançamentos de receitas'!$F:$F,"PAGO",'Lançamentos de receitas'!$C:$C,A3791,'Lançamentos de receitas'!$A:$A,B3791)</f>
        <v>1480.22</v>
      </c>
      <c r="E3791" s="15">
        <f t="shared" si="1"/>
        <v>2025</v>
      </c>
      <c r="F3791" s="15">
        <f t="shared" si="2"/>
        <v>4</v>
      </c>
      <c r="G3791" s="15">
        <f t="shared" si="3"/>
        <v>26</v>
      </c>
    </row>
    <row r="3792">
      <c r="A3792" s="10" t="s">
        <v>37</v>
      </c>
      <c r="B3792" s="94">
        <f t="shared" si="5"/>
        <v>45773</v>
      </c>
      <c r="C3792" s="77" t="s">
        <v>1571</v>
      </c>
      <c r="D3792" s="13">
        <f>SUMIFS('Lançamentos de despesas'!$I:$I,'Lançamentos de despesas'!$G:$G,A3792,'Lançamentos de despesas'!$E:$E,"PAGO",'Lançamentos de despesas'!$C:$C,B3792)</f>
        <v>0</v>
      </c>
      <c r="E3792" s="15">
        <f t="shared" si="1"/>
        <v>2025</v>
      </c>
      <c r="F3792" s="15">
        <f t="shared" si="2"/>
        <v>4</v>
      </c>
      <c r="G3792" s="15">
        <f t="shared" si="3"/>
        <v>26</v>
      </c>
    </row>
    <row r="3793">
      <c r="A3793" s="10" t="s">
        <v>37</v>
      </c>
      <c r="B3793" s="94">
        <f t="shared" si="5"/>
        <v>45773</v>
      </c>
      <c r="C3793" s="77" t="s">
        <v>1572</v>
      </c>
      <c r="D3793" s="13">
        <f>D3790+D3791-D3792</f>
        <v>18318.39</v>
      </c>
      <c r="E3793" s="15">
        <f t="shared" si="1"/>
        <v>2025</v>
      </c>
      <c r="F3793" s="15">
        <f t="shared" si="2"/>
        <v>4</v>
      </c>
      <c r="G3793" s="15">
        <f t="shared" si="3"/>
        <v>26</v>
      </c>
    </row>
    <row r="3794">
      <c r="A3794" s="10" t="s">
        <v>37</v>
      </c>
      <c r="B3794" s="94">
        <f t="shared" si="5"/>
        <v>45774</v>
      </c>
      <c r="C3794" s="77" t="s">
        <v>1569</v>
      </c>
      <c r="D3794" s="13">
        <f>D3793</f>
        <v>18318.39</v>
      </c>
      <c r="E3794" s="15">
        <f t="shared" si="1"/>
        <v>2025</v>
      </c>
      <c r="F3794" s="15">
        <f t="shared" si="2"/>
        <v>4</v>
      </c>
      <c r="G3794" s="15">
        <f t="shared" si="3"/>
        <v>27</v>
      </c>
    </row>
    <row r="3795">
      <c r="A3795" s="10" t="s">
        <v>37</v>
      </c>
      <c r="B3795" s="94">
        <f t="shared" si="5"/>
        <v>45774</v>
      </c>
      <c r="C3795" s="77" t="s">
        <v>1570</v>
      </c>
      <c r="D3795" s="13">
        <f>SUMIFS('Lançamentos de receitas'!$E:$E,'Lançamentos de receitas'!$F:$F,"PAGO",'Lançamentos de receitas'!$C:$C,A3795,'Lançamentos de receitas'!$A:$A,B3795)</f>
        <v>1631.74</v>
      </c>
      <c r="E3795" s="15">
        <f t="shared" si="1"/>
        <v>2025</v>
      </c>
      <c r="F3795" s="15">
        <f t="shared" si="2"/>
        <v>4</v>
      </c>
      <c r="G3795" s="15">
        <f t="shared" si="3"/>
        <v>27</v>
      </c>
    </row>
    <row r="3796">
      <c r="A3796" s="10" t="s">
        <v>37</v>
      </c>
      <c r="B3796" s="94">
        <f t="shared" si="5"/>
        <v>45774</v>
      </c>
      <c r="C3796" s="77" t="s">
        <v>1571</v>
      </c>
      <c r="D3796" s="13">
        <f>SUMIFS('Lançamentos de despesas'!$I:$I,'Lançamentos de despesas'!$G:$G,A3796,'Lançamentos de despesas'!$E:$E,"PAGO",'Lançamentos de despesas'!$C:$C,B3796)</f>
        <v>0</v>
      </c>
      <c r="E3796" s="15">
        <f t="shared" si="1"/>
        <v>2025</v>
      </c>
      <c r="F3796" s="15">
        <f t="shared" si="2"/>
        <v>4</v>
      </c>
      <c r="G3796" s="15">
        <f t="shared" si="3"/>
        <v>27</v>
      </c>
    </row>
    <row r="3797">
      <c r="A3797" s="10" t="s">
        <v>37</v>
      </c>
      <c r="B3797" s="94">
        <f t="shared" si="5"/>
        <v>45774</v>
      </c>
      <c r="C3797" s="77" t="s">
        <v>1572</v>
      </c>
      <c r="D3797" s="13">
        <f>D3794+D3795-D3796</f>
        <v>19950.13</v>
      </c>
      <c r="E3797" s="15">
        <f t="shared" si="1"/>
        <v>2025</v>
      </c>
      <c r="F3797" s="15">
        <f t="shared" si="2"/>
        <v>4</v>
      </c>
      <c r="G3797" s="15">
        <f t="shared" si="3"/>
        <v>27</v>
      </c>
    </row>
    <row r="3798">
      <c r="A3798" s="10" t="s">
        <v>37</v>
      </c>
      <c r="B3798" s="94">
        <f t="shared" si="5"/>
        <v>45775</v>
      </c>
      <c r="C3798" s="77" t="s">
        <v>1569</v>
      </c>
      <c r="D3798" s="13">
        <f>D3797</f>
        <v>19950.13</v>
      </c>
      <c r="E3798" s="15">
        <f t="shared" si="1"/>
        <v>2025</v>
      </c>
      <c r="F3798" s="15">
        <f t="shared" si="2"/>
        <v>4</v>
      </c>
      <c r="G3798" s="15">
        <f t="shared" si="3"/>
        <v>28</v>
      </c>
    </row>
    <row r="3799">
      <c r="A3799" s="10" t="s">
        <v>37</v>
      </c>
      <c r="B3799" s="94">
        <f t="shared" si="5"/>
        <v>45775</v>
      </c>
      <c r="C3799" s="77" t="s">
        <v>1570</v>
      </c>
      <c r="D3799" s="13">
        <f>SUMIFS('Lançamentos de receitas'!$E:$E,'Lançamentos de receitas'!$F:$F,"PAGO",'Lançamentos de receitas'!$C:$C,A3799,'Lançamentos de receitas'!$A:$A,B3799)</f>
        <v>537.11</v>
      </c>
      <c r="E3799" s="15">
        <f t="shared" si="1"/>
        <v>2025</v>
      </c>
      <c r="F3799" s="15">
        <f t="shared" si="2"/>
        <v>4</v>
      </c>
      <c r="G3799" s="15">
        <f t="shared" si="3"/>
        <v>28</v>
      </c>
    </row>
    <row r="3800">
      <c r="A3800" s="10" t="s">
        <v>37</v>
      </c>
      <c r="B3800" s="94">
        <f t="shared" si="5"/>
        <v>45775</v>
      </c>
      <c r="C3800" s="77" t="s">
        <v>1571</v>
      </c>
      <c r="D3800" s="13">
        <f>SUMIFS('Lançamentos de despesas'!$I:$I,'Lançamentos de despesas'!$G:$G,A3800,'Lançamentos de despesas'!$E:$E,"PAGO",'Lançamentos de despesas'!$C:$C,B3800)</f>
        <v>268.95</v>
      </c>
      <c r="E3800" s="15">
        <f t="shared" si="1"/>
        <v>2025</v>
      </c>
      <c r="F3800" s="15">
        <f t="shared" si="2"/>
        <v>4</v>
      </c>
      <c r="G3800" s="15">
        <f t="shared" si="3"/>
        <v>28</v>
      </c>
    </row>
    <row r="3801">
      <c r="A3801" s="10" t="s">
        <v>37</v>
      </c>
      <c r="B3801" s="94">
        <f t="shared" si="5"/>
        <v>45775</v>
      </c>
      <c r="C3801" s="77" t="s">
        <v>1572</v>
      </c>
      <c r="D3801" s="13">
        <f>D3798+D3799-D3800</f>
        <v>20218.29</v>
      </c>
      <c r="E3801" s="15">
        <f t="shared" si="1"/>
        <v>2025</v>
      </c>
      <c r="F3801" s="15">
        <f t="shared" si="2"/>
        <v>4</v>
      </c>
      <c r="G3801" s="15">
        <f t="shared" si="3"/>
        <v>28</v>
      </c>
    </row>
    <row r="3802">
      <c r="A3802" s="10" t="s">
        <v>37</v>
      </c>
      <c r="B3802" s="94">
        <f t="shared" si="5"/>
        <v>45776</v>
      </c>
      <c r="C3802" s="77" t="s">
        <v>1569</v>
      </c>
      <c r="D3802" s="13">
        <f>D3801</f>
        <v>20218.29</v>
      </c>
      <c r="E3802" s="15">
        <f t="shared" si="1"/>
        <v>2025</v>
      </c>
      <c r="F3802" s="15">
        <f t="shared" si="2"/>
        <v>4</v>
      </c>
      <c r="G3802" s="15">
        <f t="shared" si="3"/>
        <v>29</v>
      </c>
    </row>
    <row r="3803">
      <c r="A3803" s="10" t="s">
        <v>37</v>
      </c>
      <c r="B3803" s="94">
        <f t="shared" si="5"/>
        <v>45776</v>
      </c>
      <c r="C3803" s="77" t="s">
        <v>1570</v>
      </c>
      <c r="D3803" s="13">
        <f>SUMIFS('Lançamentos de receitas'!$E:$E,'Lançamentos de receitas'!$F:$F,"PAGO",'Lançamentos de receitas'!$C:$C,A3803,'Lançamentos de receitas'!$A:$A,B3803)</f>
        <v>997.3</v>
      </c>
      <c r="E3803" s="15">
        <f t="shared" si="1"/>
        <v>2025</v>
      </c>
      <c r="F3803" s="15">
        <f t="shared" si="2"/>
        <v>4</v>
      </c>
      <c r="G3803" s="15">
        <f t="shared" si="3"/>
        <v>29</v>
      </c>
    </row>
    <row r="3804">
      <c r="A3804" s="10" t="s">
        <v>37</v>
      </c>
      <c r="B3804" s="94">
        <f t="shared" si="5"/>
        <v>45776</v>
      </c>
      <c r="C3804" s="77" t="s">
        <v>1571</v>
      </c>
      <c r="D3804" s="13">
        <f>SUMIFS('Lançamentos de despesas'!$I:$I,'Lançamentos de despesas'!$G:$G,A3804,'Lançamentos de despesas'!$E:$E,"PAGO",'Lançamentos de despesas'!$C:$C,B3804)</f>
        <v>5159.23</v>
      </c>
      <c r="E3804" s="15">
        <f t="shared" si="1"/>
        <v>2025</v>
      </c>
      <c r="F3804" s="15">
        <f t="shared" si="2"/>
        <v>4</v>
      </c>
      <c r="G3804" s="15">
        <f t="shared" si="3"/>
        <v>29</v>
      </c>
    </row>
    <row r="3805">
      <c r="A3805" s="10" t="s">
        <v>37</v>
      </c>
      <c r="B3805" s="94">
        <f t="shared" si="5"/>
        <v>45776</v>
      </c>
      <c r="C3805" s="77" t="s">
        <v>1572</v>
      </c>
      <c r="D3805" s="13">
        <f>D3802+D3803-D3804</f>
        <v>16056.36</v>
      </c>
      <c r="E3805" s="15">
        <f t="shared" si="1"/>
        <v>2025</v>
      </c>
      <c r="F3805" s="15">
        <f t="shared" si="2"/>
        <v>4</v>
      </c>
      <c r="G3805" s="15">
        <f t="shared" si="3"/>
        <v>29</v>
      </c>
    </row>
    <row r="3806">
      <c r="A3806" s="10" t="s">
        <v>37</v>
      </c>
      <c r="B3806" s="94">
        <f t="shared" si="5"/>
        <v>45777</v>
      </c>
      <c r="C3806" s="77" t="s">
        <v>1569</v>
      </c>
      <c r="D3806" s="13">
        <f>D3805</f>
        <v>16056.36</v>
      </c>
      <c r="E3806" s="15">
        <f t="shared" si="1"/>
        <v>2025</v>
      </c>
      <c r="F3806" s="15">
        <f t="shared" si="2"/>
        <v>4</v>
      </c>
      <c r="G3806" s="15">
        <f t="shared" si="3"/>
        <v>30</v>
      </c>
    </row>
    <row r="3807">
      <c r="A3807" s="10" t="s">
        <v>37</v>
      </c>
      <c r="B3807" s="94">
        <f t="shared" si="5"/>
        <v>45777</v>
      </c>
      <c r="C3807" s="77" t="s">
        <v>1570</v>
      </c>
      <c r="D3807" s="13">
        <f>SUMIFS('Lançamentos de receitas'!$E:$E,'Lançamentos de receitas'!$F:$F,"PAGO",'Lançamentos de receitas'!$C:$C,A3807,'Lançamentos de receitas'!$A:$A,B3807)</f>
        <v>1287.38</v>
      </c>
      <c r="E3807" s="15">
        <f t="shared" si="1"/>
        <v>2025</v>
      </c>
      <c r="F3807" s="15">
        <f t="shared" si="2"/>
        <v>4</v>
      </c>
      <c r="G3807" s="15">
        <f t="shared" si="3"/>
        <v>30</v>
      </c>
    </row>
    <row r="3808">
      <c r="A3808" s="10" t="s">
        <v>37</v>
      </c>
      <c r="B3808" s="94">
        <f t="shared" si="5"/>
        <v>45777</v>
      </c>
      <c r="C3808" s="77" t="s">
        <v>1571</v>
      </c>
      <c r="D3808" s="13">
        <f>SUMIFS('Lançamentos de despesas'!$I:$I,'Lançamentos de despesas'!$G:$G,A3808,'Lançamentos de despesas'!$E:$E,"PAGO",'Lançamentos de despesas'!$C:$C,B3808)</f>
        <v>150</v>
      </c>
      <c r="E3808" s="15">
        <f t="shared" si="1"/>
        <v>2025</v>
      </c>
      <c r="F3808" s="15">
        <f t="shared" si="2"/>
        <v>4</v>
      </c>
      <c r="G3808" s="15">
        <f t="shared" si="3"/>
        <v>30</v>
      </c>
    </row>
    <row r="3809">
      <c r="A3809" s="10" t="s">
        <v>37</v>
      </c>
      <c r="B3809" s="94">
        <f t="shared" si="5"/>
        <v>45777</v>
      </c>
      <c r="C3809" s="77" t="s">
        <v>1572</v>
      </c>
      <c r="D3809" s="13">
        <f>D3806+D3807-D3808</f>
        <v>17193.74</v>
      </c>
      <c r="E3809" s="15">
        <f t="shared" si="1"/>
        <v>2025</v>
      </c>
      <c r="F3809" s="15">
        <f t="shared" si="2"/>
        <v>4</v>
      </c>
      <c r="G3809" s="15">
        <f t="shared" si="3"/>
        <v>30</v>
      </c>
    </row>
    <row r="3810">
      <c r="A3810" s="10" t="s">
        <v>37</v>
      </c>
      <c r="B3810" s="94">
        <f t="shared" si="5"/>
        <v>45778</v>
      </c>
      <c r="C3810" s="77" t="s">
        <v>1569</v>
      </c>
      <c r="D3810" s="13">
        <f>D3809</f>
        <v>17193.74</v>
      </c>
      <c r="E3810" s="15">
        <f t="shared" si="1"/>
        <v>2025</v>
      </c>
      <c r="F3810" s="15">
        <f t="shared" si="2"/>
        <v>5</v>
      </c>
      <c r="G3810" s="15">
        <f t="shared" si="3"/>
        <v>1</v>
      </c>
    </row>
    <row r="3811">
      <c r="A3811" s="10" t="s">
        <v>37</v>
      </c>
      <c r="B3811" s="94">
        <f t="shared" si="5"/>
        <v>45778</v>
      </c>
      <c r="C3811" s="77" t="s">
        <v>1570</v>
      </c>
      <c r="D3811" s="13">
        <f>SUMIFS('Lançamentos de receitas'!$E:$E,'Lançamentos de receitas'!$F:$F,"PAGO",'Lançamentos de receitas'!$C:$C,A3811,'Lançamentos de receitas'!$A:$A,B3811)</f>
        <v>2344.67</v>
      </c>
      <c r="E3811" s="15">
        <f t="shared" si="1"/>
        <v>2025</v>
      </c>
      <c r="F3811" s="15">
        <f t="shared" si="2"/>
        <v>5</v>
      </c>
      <c r="G3811" s="15">
        <f t="shared" si="3"/>
        <v>1</v>
      </c>
    </row>
    <row r="3812">
      <c r="A3812" s="10" t="s">
        <v>37</v>
      </c>
      <c r="B3812" s="94">
        <f t="shared" si="5"/>
        <v>45778</v>
      </c>
      <c r="C3812" s="77" t="s">
        <v>1571</v>
      </c>
      <c r="D3812" s="13">
        <f>SUMIFS('Lançamentos de despesas'!$I:$I,'Lançamentos de despesas'!$G:$G,A3812,'Lançamentos de despesas'!$E:$E,"PAGO",'Lançamentos de despesas'!$C:$C,B3812)</f>
        <v>0</v>
      </c>
      <c r="E3812" s="15">
        <f t="shared" si="1"/>
        <v>2025</v>
      </c>
      <c r="F3812" s="15">
        <f t="shared" si="2"/>
        <v>5</v>
      </c>
      <c r="G3812" s="15">
        <f t="shared" si="3"/>
        <v>1</v>
      </c>
    </row>
    <row r="3813">
      <c r="A3813" s="10" t="s">
        <v>37</v>
      </c>
      <c r="B3813" s="94">
        <f t="shared" si="5"/>
        <v>45778</v>
      </c>
      <c r="C3813" s="77" t="s">
        <v>1572</v>
      </c>
      <c r="D3813" s="13">
        <f>D3810+D3811-D3812</f>
        <v>19538.41</v>
      </c>
      <c r="E3813" s="15">
        <f t="shared" si="1"/>
        <v>2025</v>
      </c>
      <c r="F3813" s="15">
        <f t="shared" si="2"/>
        <v>5</v>
      </c>
      <c r="G3813" s="15">
        <f t="shared" si="3"/>
        <v>1</v>
      </c>
    </row>
    <row r="3814">
      <c r="A3814" s="10" t="s">
        <v>37</v>
      </c>
      <c r="B3814" s="94">
        <f t="shared" si="5"/>
        <v>45779</v>
      </c>
      <c r="C3814" s="77" t="s">
        <v>1569</v>
      </c>
      <c r="D3814" s="13">
        <f>D3813</f>
        <v>19538.41</v>
      </c>
      <c r="E3814" s="15">
        <f t="shared" si="1"/>
        <v>2025</v>
      </c>
      <c r="F3814" s="15">
        <f t="shared" si="2"/>
        <v>5</v>
      </c>
      <c r="G3814" s="15">
        <f t="shared" si="3"/>
        <v>2</v>
      </c>
    </row>
    <row r="3815">
      <c r="A3815" s="10" t="s">
        <v>37</v>
      </c>
      <c r="B3815" s="94">
        <f t="shared" si="5"/>
        <v>45779</v>
      </c>
      <c r="C3815" s="77" t="s">
        <v>1570</v>
      </c>
      <c r="D3815" s="13">
        <f>SUMIFS('Lançamentos de receitas'!$E:$E,'Lançamentos de receitas'!$F:$F,"PAGO",'Lançamentos de receitas'!$C:$C,A3815,'Lançamentos de receitas'!$A:$A,B3815)</f>
        <v>1387.31</v>
      </c>
      <c r="E3815" s="15">
        <f t="shared" si="1"/>
        <v>2025</v>
      </c>
      <c r="F3815" s="15">
        <f t="shared" si="2"/>
        <v>5</v>
      </c>
      <c r="G3815" s="15">
        <f t="shared" si="3"/>
        <v>2</v>
      </c>
    </row>
    <row r="3816">
      <c r="A3816" s="10" t="s">
        <v>37</v>
      </c>
      <c r="B3816" s="94">
        <f t="shared" si="5"/>
        <v>45779</v>
      </c>
      <c r="C3816" s="77" t="s">
        <v>1571</v>
      </c>
      <c r="D3816" s="13">
        <f>SUMIFS('Lançamentos de despesas'!$I:$I,'Lançamentos de despesas'!$G:$G,A3816,'Lançamentos de despesas'!$E:$E,"PAGO",'Lançamentos de despesas'!$C:$C,B3816)</f>
        <v>6445.18</v>
      </c>
      <c r="E3816" s="15">
        <f t="shared" si="1"/>
        <v>2025</v>
      </c>
      <c r="F3816" s="15">
        <f t="shared" si="2"/>
        <v>5</v>
      </c>
      <c r="G3816" s="15">
        <f t="shared" si="3"/>
        <v>2</v>
      </c>
    </row>
    <row r="3817">
      <c r="A3817" s="10" t="s">
        <v>37</v>
      </c>
      <c r="B3817" s="94">
        <f t="shared" si="5"/>
        <v>45779</v>
      </c>
      <c r="C3817" s="77" t="s">
        <v>1572</v>
      </c>
      <c r="D3817" s="13">
        <f>D3814+D3815-D3816</f>
        <v>14480.54</v>
      </c>
      <c r="E3817" s="15">
        <f t="shared" si="1"/>
        <v>2025</v>
      </c>
      <c r="F3817" s="15">
        <f t="shared" si="2"/>
        <v>5</v>
      </c>
      <c r="G3817" s="15">
        <f t="shared" si="3"/>
        <v>2</v>
      </c>
    </row>
    <row r="3818">
      <c r="A3818" s="10" t="s">
        <v>37</v>
      </c>
      <c r="B3818" s="94">
        <f t="shared" si="5"/>
        <v>45780</v>
      </c>
      <c r="C3818" s="77" t="s">
        <v>1569</v>
      </c>
      <c r="D3818" s="13">
        <f>D3817</f>
        <v>14480.54</v>
      </c>
      <c r="E3818" s="15">
        <f t="shared" si="1"/>
        <v>2025</v>
      </c>
      <c r="F3818" s="15">
        <f t="shared" si="2"/>
        <v>5</v>
      </c>
      <c r="G3818" s="15">
        <f t="shared" si="3"/>
        <v>3</v>
      </c>
    </row>
    <row r="3819">
      <c r="A3819" s="10" t="s">
        <v>37</v>
      </c>
      <c r="B3819" s="94">
        <f t="shared" si="5"/>
        <v>45780</v>
      </c>
      <c r="C3819" s="77" t="s">
        <v>1570</v>
      </c>
      <c r="D3819" s="13">
        <f>SUMIFS('Lançamentos de receitas'!$E:$E,'Lançamentos de receitas'!$F:$F,"PAGO",'Lançamentos de receitas'!$C:$C,A3819,'Lançamentos de receitas'!$A:$A,B3819)</f>
        <v>1514.89</v>
      </c>
      <c r="E3819" s="15">
        <f t="shared" si="1"/>
        <v>2025</v>
      </c>
      <c r="F3819" s="15">
        <f t="shared" si="2"/>
        <v>5</v>
      </c>
      <c r="G3819" s="15">
        <f t="shared" si="3"/>
        <v>3</v>
      </c>
    </row>
    <row r="3820">
      <c r="A3820" s="10" t="s">
        <v>37</v>
      </c>
      <c r="B3820" s="94">
        <f t="shared" si="5"/>
        <v>45780</v>
      </c>
      <c r="C3820" s="77" t="s">
        <v>1571</v>
      </c>
      <c r="D3820" s="13">
        <f>SUMIFS('Lançamentos de despesas'!$I:$I,'Lançamentos de despesas'!$G:$G,A3820,'Lançamentos de despesas'!$E:$E,"PAGO",'Lançamentos de despesas'!$C:$C,B3820)</f>
        <v>0</v>
      </c>
      <c r="E3820" s="15">
        <f t="shared" si="1"/>
        <v>2025</v>
      </c>
      <c r="F3820" s="15">
        <f t="shared" si="2"/>
        <v>5</v>
      </c>
      <c r="G3820" s="15">
        <f t="shared" si="3"/>
        <v>3</v>
      </c>
    </row>
    <row r="3821">
      <c r="A3821" s="10" t="s">
        <v>37</v>
      </c>
      <c r="B3821" s="94">
        <f t="shared" si="5"/>
        <v>45780</v>
      </c>
      <c r="C3821" s="77" t="s">
        <v>1572</v>
      </c>
      <c r="D3821" s="13">
        <f>D3818+D3819-D3820</f>
        <v>15995.43</v>
      </c>
      <c r="E3821" s="15">
        <f t="shared" si="1"/>
        <v>2025</v>
      </c>
      <c r="F3821" s="15">
        <f t="shared" si="2"/>
        <v>5</v>
      </c>
      <c r="G3821" s="15">
        <f t="shared" si="3"/>
        <v>3</v>
      </c>
    </row>
    <row r="3822">
      <c r="A3822" s="10" t="s">
        <v>37</v>
      </c>
      <c r="B3822" s="94">
        <f t="shared" si="5"/>
        <v>45781</v>
      </c>
      <c r="C3822" s="77" t="s">
        <v>1569</v>
      </c>
      <c r="D3822" s="13">
        <f>D3821</f>
        <v>15995.43</v>
      </c>
      <c r="E3822" s="15">
        <f t="shared" si="1"/>
        <v>2025</v>
      </c>
      <c r="F3822" s="15">
        <f t="shared" si="2"/>
        <v>5</v>
      </c>
      <c r="G3822" s="15">
        <f t="shared" si="3"/>
        <v>4</v>
      </c>
    </row>
    <row r="3823">
      <c r="A3823" s="10" t="s">
        <v>37</v>
      </c>
      <c r="B3823" s="94">
        <f t="shared" si="5"/>
        <v>45781</v>
      </c>
      <c r="C3823" s="77" t="s">
        <v>1570</v>
      </c>
      <c r="D3823" s="13">
        <f>SUMIFS('Lançamentos de receitas'!$E:$E,'Lançamentos de receitas'!$F:$F,"PAGO",'Lançamentos de receitas'!$C:$C,A3823,'Lançamentos de receitas'!$A:$A,B3823)</f>
        <v>2029.07</v>
      </c>
      <c r="E3823" s="15">
        <f t="shared" si="1"/>
        <v>2025</v>
      </c>
      <c r="F3823" s="15">
        <f t="shared" si="2"/>
        <v>5</v>
      </c>
      <c r="G3823" s="15">
        <f t="shared" si="3"/>
        <v>4</v>
      </c>
    </row>
    <row r="3824">
      <c r="A3824" s="10" t="s">
        <v>37</v>
      </c>
      <c r="B3824" s="94">
        <f t="shared" si="5"/>
        <v>45781</v>
      </c>
      <c r="C3824" s="77" t="s">
        <v>1571</v>
      </c>
      <c r="D3824" s="13">
        <f>SUMIFS('Lançamentos de despesas'!$I:$I,'Lançamentos de despesas'!$G:$G,A3824,'Lançamentos de despesas'!$E:$E,"PAGO",'Lançamentos de despesas'!$C:$C,B3824)</f>
        <v>0</v>
      </c>
      <c r="E3824" s="15">
        <f t="shared" si="1"/>
        <v>2025</v>
      </c>
      <c r="F3824" s="15">
        <f t="shared" si="2"/>
        <v>5</v>
      </c>
      <c r="G3824" s="15">
        <f t="shared" si="3"/>
        <v>4</v>
      </c>
    </row>
    <row r="3825">
      <c r="A3825" s="10" t="s">
        <v>37</v>
      </c>
      <c r="B3825" s="94">
        <f t="shared" si="5"/>
        <v>45781</v>
      </c>
      <c r="C3825" s="77" t="s">
        <v>1572</v>
      </c>
      <c r="D3825" s="13">
        <f>D3822+D3823-D3824</f>
        <v>18024.5</v>
      </c>
      <c r="E3825" s="15">
        <f t="shared" si="1"/>
        <v>2025</v>
      </c>
      <c r="F3825" s="15">
        <f t="shared" si="2"/>
        <v>5</v>
      </c>
      <c r="G3825" s="15">
        <f t="shared" si="3"/>
        <v>4</v>
      </c>
    </row>
    <row r="3826">
      <c r="A3826" s="10" t="s">
        <v>37</v>
      </c>
      <c r="B3826" s="94">
        <f t="shared" si="5"/>
        <v>45782</v>
      </c>
      <c r="C3826" s="77" t="s">
        <v>1569</v>
      </c>
      <c r="D3826" s="13">
        <f>D3825</f>
        <v>18024.5</v>
      </c>
      <c r="E3826" s="15">
        <f t="shared" si="1"/>
        <v>2025</v>
      </c>
      <c r="F3826" s="15">
        <f t="shared" si="2"/>
        <v>5</v>
      </c>
      <c r="G3826" s="15">
        <f t="shared" si="3"/>
        <v>5</v>
      </c>
    </row>
    <row r="3827">
      <c r="A3827" s="10" t="s">
        <v>37</v>
      </c>
      <c r="B3827" s="94">
        <f t="shared" si="5"/>
        <v>45782</v>
      </c>
      <c r="C3827" s="77" t="s">
        <v>1570</v>
      </c>
      <c r="D3827" s="13">
        <f>SUMIFS('Lançamentos de receitas'!$E:$E,'Lançamentos de receitas'!$F:$F,"PAGO",'Lançamentos de receitas'!$C:$C,A3827,'Lançamentos de receitas'!$A:$A,B3827)</f>
        <v>973.45</v>
      </c>
      <c r="E3827" s="15">
        <f t="shared" si="1"/>
        <v>2025</v>
      </c>
      <c r="F3827" s="15">
        <f t="shared" si="2"/>
        <v>5</v>
      </c>
      <c r="G3827" s="15">
        <f t="shared" si="3"/>
        <v>5</v>
      </c>
    </row>
    <row r="3828">
      <c r="A3828" s="10" t="s">
        <v>37</v>
      </c>
      <c r="B3828" s="94">
        <f t="shared" si="5"/>
        <v>45782</v>
      </c>
      <c r="C3828" s="77" t="s">
        <v>1571</v>
      </c>
      <c r="D3828" s="13">
        <f>SUMIFS('Lançamentos de despesas'!$I:$I,'Lançamentos de despesas'!$G:$G,A3828,'Lançamentos de despesas'!$E:$E,"PAGO",'Lançamentos de despesas'!$C:$C,B3828)</f>
        <v>6750.67</v>
      </c>
      <c r="E3828" s="15">
        <f t="shared" si="1"/>
        <v>2025</v>
      </c>
      <c r="F3828" s="15">
        <f t="shared" si="2"/>
        <v>5</v>
      </c>
      <c r="G3828" s="15">
        <f t="shared" si="3"/>
        <v>5</v>
      </c>
    </row>
    <row r="3829">
      <c r="A3829" s="10" t="s">
        <v>37</v>
      </c>
      <c r="B3829" s="94">
        <f t="shared" si="5"/>
        <v>45782</v>
      </c>
      <c r="C3829" s="77" t="s">
        <v>1572</v>
      </c>
      <c r="D3829" s="13">
        <f>D3826+D3827-D3828</f>
        <v>12247.28</v>
      </c>
      <c r="E3829" s="15">
        <f t="shared" si="1"/>
        <v>2025</v>
      </c>
      <c r="F3829" s="15">
        <f t="shared" si="2"/>
        <v>5</v>
      </c>
      <c r="G3829" s="15">
        <f t="shared" si="3"/>
        <v>5</v>
      </c>
    </row>
    <row r="3830">
      <c r="A3830" s="10" t="s">
        <v>37</v>
      </c>
      <c r="B3830" s="94">
        <f t="shared" si="5"/>
        <v>45783</v>
      </c>
      <c r="C3830" s="77" t="s">
        <v>1569</v>
      </c>
      <c r="D3830" s="13">
        <f>D3829</f>
        <v>12247.28</v>
      </c>
      <c r="E3830" s="15">
        <f t="shared" si="1"/>
        <v>2025</v>
      </c>
      <c r="F3830" s="15">
        <f t="shared" si="2"/>
        <v>5</v>
      </c>
      <c r="G3830" s="15">
        <f t="shared" si="3"/>
        <v>6</v>
      </c>
    </row>
    <row r="3831">
      <c r="A3831" s="10" t="s">
        <v>37</v>
      </c>
      <c r="B3831" s="94">
        <f t="shared" si="5"/>
        <v>45783</v>
      </c>
      <c r="C3831" s="77" t="s">
        <v>1570</v>
      </c>
      <c r="D3831" s="13">
        <f>SUMIFS('Lançamentos de receitas'!$E:$E,'Lançamentos de receitas'!$F:$F,"PAGO",'Lançamentos de receitas'!$C:$C,A3831,'Lançamentos de receitas'!$A:$A,B3831)</f>
        <v>849.63</v>
      </c>
      <c r="E3831" s="15">
        <f t="shared" si="1"/>
        <v>2025</v>
      </c>
      <c r="F3831" s="15">
        <f t="shared" si="2"/>
        <v>5</v>
      </c>
      <c r="G3831" s="15">
        <f t="shared" si="3"/>
        <v>6</v>
      </c>
    </row>
    <row r="3832">
      <c r="A3832" s="10" t="s">
        <v>37</v>
      </c>
      <c r="B3832" s="94">
        <f t="shared" si="5"/>
        <v>45783</v>
      </c>
      <c r="C3832" s="77" t="s">
        <v>1571</v>
      </c>
      <c r="D3832" s="13">
        <f>SUMIFS('Lançamentos de despesas'!$I:$I,'Lançamentos de despesas'!$G:$G,A3832,'Lançamentos de despesas'!$E:$E,"PAGO",'Lançamentos de despesas'!$C:$C,B3832)</f>
        <v>0</v>
      </c>
      <c r="E3832" s="15">
        <f t="shared" si="1"/>
        <v>2025</v>
      </c>
      <c r="F3832" s="15">
        <f t="shared" si="2"/>
        <v>5</v>
      </c>
      <c r="G3832" s="15">
        <f t="shared" si="3"/>
        <v>6</v>
      </c>
    </row>
    <row r="3833">
      <c r="A3833" s="10" t="s">
        <v>37</v>
      </c>
      <c r="B3833" s="94">
        <f t="shared" si="5"/>
        <v>45783</v>
      </c>
      <c r="C3833" s="77" t="s">
        <v>1572</v>
      </c>
      <c r="D3833" s="13">
        <f>D3830+D3831-D3832</f>
        <v>13096.91</v>
      </c>
      <c r="E3833" s="15">
        <f t="shared" si="1"/>
        <v>2025</v>
      </c>
      <c r="F3833" s="15">
        <f t="shared" si="2"/>
        <v>5</v>
      </c>
      <c r="G3833" s="15">
        <f t="shared" si="3"/>
        <v>6</v>
      </c>
    </row>
    <row r="3834">
      <c r="A3834" s="10" t="s">
        <v>37</v>
      </c>
      <c r="B3834" s="94">
        <f t="shared" si="5"/>
        <v>45784</v>
      </c>
      <c r="C3834" s="77" t="s">
        <v>1569</v>
      </c>
      <c r="D3834" s="13">
        <f>D3833</f>
        <v>13096.91</v>
      </c>
      <c r="E3834" s="15">
        <f t="shared" si="1"/>
        <v>2025</v>
      </c>
      <c r="F3834" s="15">
        <f t="shared" si="2"/>
        <v>5</v>
      </c>
      <c r="G3834" s="15">
        <f t="shared" si="3"/>
        <v>7</v>
      </c>
    </row>
    <row r="3835">
      <c r="A3835" s="10" t="s">
        <v>37</v>
      </c>
      <c r="B3835" s="94">
        <f t="shared" si="5"/>
        <v>45784</v>
      </c>
      <c r="C3835" s="77" t="s">
        <v>1570</v>
      </c>
      <c r="D3835" s="13">
        <f>SUMIFS('Lançamentos de receitas'!$E:$E,'Lançamentos de receitas'!$F:$F,"PAGO",'Lançamentos de receitas'!$C:$C,A3835,'Lançamentos de receitas'!$A:$A,B3835)</f>
        <v>2054.41</v>
      </c>
      <c r="E3835" s="15">
        <f t="shared" si="1"/>
        <v>2025</v>
      </c>
      <c r="F3835" s="15">
        <f t="shared" si="2"/>
        <v>5</v>
      </c>
      <c r="G3835" s="15">
        <f t="shared" si="3"/>
        <v>7</v>
      </c>
    </row>
    <row r="3836">
      <c r="A3836" s="10" t="s">
        <v>37</v>
      </c>
      <c r="B3836" s="94">
        <f t="shared" si="5"/>
        <v>45784</v>
      </c>
      <c r="C3836" s="77" t="s">
        <v>1571</v>
      </c>
      <c r="D3836" s="13">
        <f>SUMIFS('Lançamentos de despesas'!$I:$I,'Lançamentos de despesas'!$G:$G,A3836,'Lançamentos de despesas'!$E:$E,"PAGO",'Lançamentos de despesas'!$C:$C,B3836)</f>
        <v>0</v>
      </c>
      <c r="E3836" s="15">
        <f t="shared" si="1"/>
        <v>2025</v>
      </c>
      <c r="F3836" s="15">
        <f t="shared" si="2"/>
        <v>5</v>
      </c>
      <c r="G3836" s="15">
        <f t="shared" si="3"/>
        <v>7</v>
      </c>
    </row>
    <row r="3837">
      <c r="A3837" s="10" t="s">
        <v>37</v>
      </c>
      <c r="B3837" s="94">
        <f t="shared" si="5"/>
        <v>45784</v>
      </c>
      <c r="C3837" s="77" t="s">
        <v>1572</v>
      </c>
      <c r="D3837" s="13">
        <f>D3834+D3835-D3836</f>
        <v>15151.32</v>
      </c>
      <c r="E3837" s="15">
        <f t="shared" si="1"/>
        <v>2025</v>
      </c>
      <c r="F3837" s="15">
        <f t="shared" si="2"/>
        <v>5</v>
      </c>
      <c r="G3837" s="15">
        <f t="shared" si="3"/>
        <v>7</v>
      </c>
    </row>
    <row r="3838">
      <c r="A3838" s="10" t="s">
        <v>37</v>
      </c>
      <c r="B3838" s="94">
        <f t="shared" si="5"/>
        <v>45785</v>
      </c>
      <c r="C3838" s="77" t="s">
        <v>1569</v>
      </c>
      <c r="D3838" s="13">
        <f>D3837</f>
        <v>15151.32</v>
      </c>
      <c r="E3838" s="15">
        <f t="shared" si="1"/>
        <v>2025</v>
      </c>
      <c r="F3838" s="15">
        <f t="shared" si="2"/>
        <v>5</v>
      </c>
      <c r="G3838" s="15">
        <f t="shared" si="3"/>
        <v>8</v>
      </c>
    </row>
    <row r="3839">
      <c r="A3839" s="10" t="s">
        <v>37</v>
      </c>
      <c r="B3839" s="94">
        <f t="shared" si="5"/>
        <v>45785</v>
      </c>
      <c r="C3839" s="77" t="s">
        <v>1570</v>
      </c>
      <c r="D3839" s="13">
        <f>SUMIFS('Lançamentos de receitas'!$E:$E,'Lançamentos de receitas'!$F:$F,"PAGO",'Lançamentos de receitas'!$C:$C,A3839,'Lançamentos de receitas'!$A:$A,B3839)</f>
        <v>2078.21</v>
      </c>
      <c r="E3839" s="15">
        <f t="shared" si="1"/>
        <v>2025</v>
      </c>
      <c r="F3839" s="15">
        <f t="shared" si="2"/>
        <v>5</v>
      </c>
      <c r="G3839" s="15">
        <f t="shared" si="3"/>
        <v>8</v>
      </c>
    </row>
    <row r="3840">
      <c r="A3840" s="10" t="s">
        <v>37</v>
      </c>
      <c r="B3840" s="94">
        <f t="shared" si="5"/>
        <v>45785</v>
      </c>
      <c r="C3840" s="77" t="s">
        <v>1571</v>
      </c>
      <c r="D3840" s="13">
        <f>SUMIFS('Lançamentos de despesas'!$I:$I,'Lançamentos de despesas'!$G:$G,A3840,'Lançamentos de despesas'!$E:$E,"PAGO",'Lançamentos de despesas'!$C:$C,B3840)</f>
        <v>422.5</v>
      </c>
      <c r="E3840" s="15">
        <f t="shared" si="1"/>
        <v>2025</v>
      </c>
      <c r="F3840" s="15">
        <f t="shared" si="2"/>
        <v>5</v>
      </c>
      <c r="G3840" s="15">
        <f t="shared" si="3"/>
        <v>8</v>
      </c>
    </row>
    <row r="3841">
      <c r="A3841" s="10" t="s">
        <v>37</v>
      </c>
      <c r="B3841" s="94">
        <f t="shared" si="5"/>
        <v>45785</v>
      </c>
      <c r="C3841" s="77" t="s">
        <v>1572</v>
      </c>
      <c r="D3841" s="13">
        <f>D3838+D3839-D3840</f>
        <v>16807.03</v>
      </c>
      <c r="E3841" s="15">
        <f t="shared" si="1"/>
        <v>2025</v>
      </c>
      <c r="F3841" s="15">
        <f t="shared" si="2"/>
        <v>5</v>
      </c>
      <c r="G3841" s="15">
        <f t="shared" si="3"/>
        <v>8</v>
      </c>
    </row>
    <row r="3842">
      <c r="A3842" s="10" t="s">
        <v>37</v>
      </c>
      <c r="B3842" s="94">
        <f t="shared" si="5"/>
        <v>45786</v>
      </c>
      <c r="C3842" s="77" t="s">
        <v>1569</v>
      </c>
      <c r="D3842" s="13">
        <f>D3841</f>
        <v>16807.03</v>
      </c>
      <c r="E3842" s="15">
        <f t="shared" si="1"/>
        <v>2025</v>
      </c>
      <c r="F3842" s="15">
        <f t="shared" si="2"/>
        <v>5</v>
      </c>
      <c r="G3842" s="15">
        <f t="shared" si="3"/>
        <v>9</v>
      </c>
    </row>
    <row r="3843">
      <c r="A3843" s="10" t="s">
        <v>37</v>
      </c>
      <c r="B3843" s="94">
        <f t="shared" si="5"/>
        <v>45786</v>
      </c>
      <c r="C3843" s="77" t="s">
        <v>1570</v>
      </c>
      <c r="D3843" s="13">
        <f>SUMIFS('Lançamentos de receitas'!$E:$E,'Lançamentos de receitas'!$F:$F,"PAGO",'Lançamentos de receitas'!$C:$C,A3843,'Lançamentos de receitas'!$A:$A,B3843)</f>
        <v>1913.89</v>
      </c>
      <c r="E3843" s="15">
        <f t="shared" si="1"/>
        <v>2025</v>
      </c>
      <c r="F3843" s="15">
        <f t="shared" si="2"/>
        <v>5</v>
      </c>
      <c r="G3843" s="15">
        <f t="shared" si="3"/>
        <v>9</v>
      </c>
    </row>
    <row r="3844">
      <c r="A3844" s="10" t="s">
        <v>37</v>
      </c>
      <c r="B3844" s="94">
        <f t="shared" si="5"/>
        <v>45786</v>
      </c>
      <c r="C3844" s="77" t="s">
        <v>1571</v>
      </c>
      <c r="D3844" s="13">
        <f>SUMIFS('Lançamentos de despesas'!$I:$I,'Lançamentos de despesas'!$G:$G,A3844,'Lançamentos de despesas'!$E:$E,"PAGO",'Lançamentos de despesas'!$C:$C,B3844)</f>
        <v>0</v>
      </c>
      <c r="E3844" s="15">
        <f t="shared" si="1"/>
        <v>2025</v>
      </c>
      <c r="F3844" s="15">
        <f t="shared" si="2"/>
        <v>5</v>
      </c>
      <c r="G3844" s="15">
        <f t="shared" si="3"/>
        <v>9</v>
      </c>
    </row>
    <row r="3845">
      <c r="A3845" s="10" t="s">
        <v>37</v>
      </c>
      <c r="B3845" s="94">
        <f t="shared" si="5"/>
        <v>45786</v>
      </c>
      <c r="C3845" s="77" t="s">
        <v>1572</v>
      </c>
      <c r="D3845" s="13">
        <f>D3842+D3843-D3844</f>
        <v>18720.92</v>
      </c>
      <c r="E3845" s="15">
        <f t="shared" si="1"/>
        <v>2025</v>
      </c>
      <c r="F3845" s="15">
        <f t="shared" si="2"/>
        <v>5</v>
      </c>
      <c r="G3845" s="15">
        <f t="shared" si="3"/>
        <v>9</v>
      </c>
    </row>
    <row r="3846">
      <c r="A3846" s="10" t="s">
        <v>37</v>
      </c>
      <c r="B3846" s="94">
        <f t="shared" si="5"/>
        <v>45787</v>
      </c>
      <c r="C3846" s="77" t="s">
        <v>1569</v>
      </c>
      <c r="D3846" s="13">
        <f>D3845</f>
        <v>18720.92</v>
      </c>
      <c r="E3846" s="15">
        <f t="shared" si="1"/>
        <v>2025</v>
      </c>
      <c r="F3846" s="15">
        <f t="shared" si="2"/>
        <v>5</v>
      </c>
      <c r="G3846" s="15">
        <f t="shared" si="3"/>
        <v>10</v>
      </c>
    </row>
    <row r="3847">
      <c r="A3847" s="10" t="s">
        <v>37</v>
      </c>
      <c r="B3847" s="94">
        <f t="shared" si="5"/>
        <v>45787</v>
      </c>
      <c r="C3847" s="77" t="s">
        <v>1570</v>
      </c>
      <c r="D3847" s="13">
        <f>SUMIFS('Lançamentos de receitas'!$E:$E,'Lançamentos de receitas'!$F:$F,"PAGO",'Lançamentos de receitas'!$C:$C,A3847,'Lançamentos de receitas'!$A:$A,B3847)</f>
        <v>1976.92</v>
      </c>
      <c r="E3847" s="15">
        <f t="shared" si="1"/>
        <v>2025</v>
      </c>
      <c r="F3847" s="15">
        <f t="shared" si="2"/>
        <v>5</v>
      </c>
      <c r="G3847" s="15">
        <f t="shared" si="3"/>
        <v>10</v>
      </c>
    </row>
    <row r="3848">
      <c r="A3848" s="10" t="s">
        <v>37</v>
      </c>
      <c r="B3848" s="94">
        <f t="shared" si="5"/>
        <v>45787</v>
      </c>
      <c r="C3848" s="77" t="s">
        <v>1571</v>
      </c>
      <c r="D3848" s="13">
        <f>SUMIFS('Lançamentos de despesas'!$I:$I,'Lançamentos de despesas'!$G:$G,A3848,'Lançamentos de despesas'!$E:$E,"PAGO",'Lançamentos de despesas'!$C:$C,B3848)</f>
        <v>0</v>
      </c>
      <c r="E3848" s="15">
        <f t="shared" si="1"/>
        <v>2025</v>
      </c>
      <c r="F3848" s="15">
        <f t="shared" si="2"/>
        <v>5</v>
      </c>
      <c r="G3848" s="15">
        <f t="shared" si="3"/>
        <v>10</v>
      </c>
    </row>
    <row r="3849">
      <c r="A3849" s="10" t="s">
        <v>37</v>
      </c>
      <c r="B3849" s="94">
        <f t="shared" si="5"/>
        <v>45787</v>
      </c>
      <c r="C3849" s="77" t="s">
        <v>1572</v>
      </c>
      <c r="D3849" s="13">
        <f>D3846+D3847-D3848</f>
        <v>20697.84</v>
      </c>
      <c r="E3849" s="15">
        <f t="shared" si="1"/>
        <v>2025</v>
      </c>
      <c r="F3849" s="15">
        <f t="shared" si="2"/>
        <v>5</v>
      </c>
      <c r="G3849" s="15">
        <f t="shared" si="3"/>
        <v>10</v>
      </c>
    </row>
    <row r="3850">
      <c r="A3850" s="10" t="s">
        <v>37</v>
      </c>
      <c r="B3850" s="94">
        <f t="shared" si="5"/>
        <v>45788</v>
      </c>
      <c r="C3850" s="77" t="s">
        <v>1569</v>
      </c>
      <c r="D3850" s="13">
        <f>D3849</f>
        <v>20697.84</v>
      </c>
      <c r="E3850" s="15">
        <f t="shared" si="1"/>
        <v>2025</v>
      </c>
      <c r="F3850" s="15">
        <f t="shared" si="2"/>
        <v>5</v>
      </c>
      <c r="G3850" s="15">
        <f t="shared" si="3"/>
        <v>11</v>
      </c>
    </row>
    <row r="3851">
      <c r="A3851" s="10" t="s">
        <v>37</v>
      </c>
      <c r="B3851" s="94">
        <f t="shared" si="5"/>
        <v>45788</v>
      </c>
      <c r="C3851" s="77" t="s">
        <v>1570</v>
      </c>
      <c r="D3851" s="13">
        <f>SUMIFS('Lançamentos de receitas'!$E:$E,'Lançamentos de receitas'!$F:$F,"PAGO",'Lançamentos de receitas'!$C:$C,A3851,'Lançamentos de receitas'!$A:$A,B3851)</f>
        <v>1404.34</v>
      </c>
      <c r="E3851" s="15">
        <f t="shared" si="1"/>
        <v>2025</v>
      </c>
      <c r="F3851" s="15">
        <f t="shared" si="2"/>
        <v>5</v>
      </c>
      <c r="G3851" s="15">
        <f t="shared" si="3"/>
        <v>11</v>
      </c>
    </row>
    <row r="3852">
      <c r="A3852" s="10" t="s">
        <v>37</v>
      </c>
      <c r="B3852" s="94">
        <f t="shared" si="5"/>
        <v>45788</v>
      </c>
      <c r="C3852" s="77" t="s">
        <v>1571</v>
      </c>
      <c r="D3852" s="13">
        <f>SUMIFS('Lançamentos de despesas'!$I:$I,'Lançamentos de despesas'!$G:$G,A3852,'Lançamentos de despesas'!$E:$E,"PAGO",'Lançamentos de despesas'!$C:$C,B3852)</f>
        <v>0</v>
      </c>
      <c r="E3852" s="15">
        <f t="shared" si="1"/>
        <v>2025</v>
      </c>
      <c r="F3852" s="15">
        <f t="shared" si="2"/>
        <v>5</v>
      </c>
      <c r="G3852" s="15">
        <f t="shared" si="3"/>
        <v>11</v>
      </c>
    </row>
    <row r="3853">
      <c r="A3853" s="10" t="s">
        <v>37</v>
      </c>
      <c r="B3853" s="94">
        <f t="shared" si="5"/>
        <v>45788</v>
      </c>
      <c r="C3853" s="77" t="s">
        <v>1572</v>
      </c>
      <c r="D3853" s="13">
        <f>D3850+D3851-D3852</f>
        <v>22102.18</v>
      </c>
      <c r="E3853" s="15">
        <f t="shared" si="1"/>
        <v>2025</v>
      </c>
      <c r="F3853" s="15">
        <f t="shared" si="2"/>
        <v>5</v>
      </c>
      <c r="G3853" s="15">
        <f t="shared" si="3"/>
        <v>11</v>
      </c>
    </row>
    <row r="3854">
      <c r="A3854" s="10" t="s">
        <v>37</v>
      </c>
      <c r="B3854" s="94">
        <f t="shared" si="5"/>
        <v>45789</v>
      </c>
      <c r="C3854" s="77" t="s">
        <v>1569</v>
      </c>
      <c r="D3854" s="13">
        <f>D3853</f>
        <v>22102.18</v>
      </c>
      <c r="E3854" s="15">
        <f t="shared" si="1"/>
        <v>2025</v>
      </c>
      <c r="F3854" s="15">
        <f t="shared" si="2"/>
        <v>5</v>
      </c>
      <c r="G3854" s="15">
        <f t="shared" si="3"/>
        <v>12</v>
      </c>
    </row>
    <row r="3855">
      <c r="A3855" s="10" t="s">
        <v>37</v>
      </c>
      <c r="B3855" s="94">
        <f t="shared" si="5"/>
        <v>45789</v>
      </c>
      <c r="C3855" s="77" t="s">
        <v>1570</v>
      </c>
      <c r="D3855" s="13">
        <f>SUMIFS('Lançamentos de receitas'!$E:$E,'Lançamentos de receitas'!$F:$F,"PAGO",'Lançamentos de receitas'!$C:$C,A3855,'Lançamentos de receitas'!$A:$A,B3855)</f>
        <v>145.45</v>
      </c>
      <c r="E3855" s="15">
        <f t="shared" si="1"/>
        <v>2025</v>
      </c>
      <c r="F3855" s="15">
        <f t="shared" si="2"/>
        <v>5</v>
      </c>
      <c r="G3855" s="15">
        <f t="shared" si="3"/>
        <v>12</v>
      </c>
    </row>
    <row r="3856">
      <c r="A3856" s="10" t="s">
        <v>37</v>
      </c>
      <c r="B3856" s="94">
        <f t="shared" si="5"/>
        <v>45789</v>
      </c>
      <c r="C3856" s="77" t="s">
        <v>1571</v>
      </c>
      <c r="D3856" s="13">
        <f>SUMIFS('Lançamentos de despesas'!$I:$I,'Lançamentos de despesas'!$G:$G,A3856,'Lançamentos de despesas'!$E:$E,"PAGO",'Lançamentos de despesas'!$C:$C,B3856)</f>
        <v>474.5</v>
      </c>
      <c r="E3856" s="15">
        <f t="shared" si="1"/>
        <v>2025</v>
      </c>
      <c r="F3856" s="15">
        <f t="shared" si="2"/>
        <v>5</v>
      </c>
      <c r="G3856" s="15">
        <f t="shared" si="3"/>
        <v>12</v>
      </c>
    </row>
    <row r="3857">
      <c r="A3857" s="10" t="s">
        <v>37</v>
      </c>
      <c r="B3857" s="94">
        <f t="shared" si="5"/>
        <v>45789</v>
      </c>
      <c r="C3857" s="77" t="s">
        <v>1572</v>
      </c>
      <c r="D3857" s="13">
        <f>D3854+D3855-D3856</f>
        <v>21773.13</v>
      </c>
      <c r="E3857" s="15">
        <f t="shared" si="1"/>
        <v>2025</v>
      </c>
      <c r="F3857" s="15">
        <f t="shared" si="2"/>
        <v>5</v>
      </c>
      <c r="G3857" s="15">
        <f t="shared" si="3"/>
        <v>12</v>
      </c>
    </row>
    <row r="3858">
      <c r="A3858" s="10" t="s">
        <v>37</v>
      </c>
      <c r="B3858" s="94">
        <f t="shared" si="5"/>
        <v>45790</v>
      </c>
      <c r="C3858" s="77" t="s">
        <v>1569</v>
      </c>
      <c r="D3858" s="13">
        <f>D3857</f>
        <v>21773.13</v>
      </c>
      <c r="E3858" s="15">
        <f t="shared" si="1"/>
        <v>2025</v>
      </c>
      <c r="F3858" s="15">
        <f t="shared" si="2"/>
        <v>5</v>
      </c>
      <c r="G3858" s="15">
        <f t="shared" si="3"/>
        <v>13</v>
      </c>
    </row>
    <row r="3859">
      <c r="A3859" s="10" t="s">
        <v>37</v>
      </c>
      <c r="B3859" s="94">
        <f t="shared" si="5"/>
        <v>45790</v>
      </c>
      <c r="C3859" s="77" t="s">
        <v>1570</v>
      </c>
      <c r="D3859" s="13">
        <f>SUMIFS('Lançamentos de receitas'!$E:$E,'Lançamentos de receitas'!$F:$F,"PAGO",'Lançamentos de receitas'!$C:$C,A3859,'Lançamentos de receitas'!$A:$A,B3859)</f>
        <v>2312.9</v>
      </c>
      <c r="E3859" s="15">
        <f t="shared" si="1"/>
        <v>2025</v>
      </c>
      <c r="F3859" s="15">
        <f t="shared" si="2"/>
        <v>5</v>
      </c>
      <c r="G3859" s="15">
        <f t="shared" si="3"/>
        <v>13</v>
      </c>
    </row>
    <row r="3860">
      <c r="A3860" s="10" t="s">
        <v>37</v>
      </c>
      <c r="B3860" s="94">
        <f t="shared" si="5"/>
        <v>45790</v>
      </c>
      <c r="C3860" s="77" t="s">
        <v>1571</v>
      </c>
      <c r="D3860" s="13">
        <f>SUMIFS('Lançamentos de despesas'!$I:$I,'Lançamentos de despesas'!$G:$G,A3860,'Lançamentos de despesas'!$E:$E,"PAGO",'Lançamentos de despesas'!$C:$C,B3860)</f>
        <v>0</v>
      </c>
      <c r="E3860" s="15">
        <f t="shared" si="1"/>
        <v>2025</v>
      </c>
      <c r="F3860" s="15">
        <f t="shared" si="2"/>
        <v>5</v>
      </c>
      <c r="G3860" s="15">
        <f t="shared" si="3"/>
        <v>13</v>
      </c>
    </row>
    <row r="3861">
      <c r="A3861" s="10" t="s">
        <v>37</v>
      </c>
      <c r="B3861" s="94">
        <f t="shared" si="5"/>
        <v>45790</v>
      </c>
      <c r="C3861" s="77" t="s">
        <v>1572</v>
      </c>
      <c r="D3861" s="13">
        <f>D3858+D3859-D3860</f>
        <v>24086.03</v>
      </c>
      <c r="E3861" s="15">
        <f t="shared" si="1"/>
        <v>2025</v>
      </c>
      <c r="F3861" s="15">
        <f t="shared" si="2"/>
        <v>5</v>
      </c>
      <c r="G3861" s="15">
        <f t="shared" si="3"/>
        <v>13</v>
      </c>
    </row>
    <row r="3862">
      <c r="A3862" s="10" t="s">
        <v>37</v>
      </c>
      <c r="B3862" s="94">
        <f t="shared" si="5"/>
        <v>45791</v>
      </c>
      <c r="C3862" s="77" t="s">
        <v>1569</v>
      </c>
      <c r="D3862" s="13">
        <f>D3861</f>
        <v>24086.03</v>
      </c>
      <c r="E3862" s="15">
        <f t="shared" si="1"/>
        <v>2025</v>
      </c>
      <c r="F3862" s="15">
        <f t="shared" si="2"/>
        <v>5</v>
      </c>
      <c r="G3862" s="15">
        <f t="shared" si="3"/>
        <v>14</v>
      </c>
    </row>
    <row r="3863">
      <c r="A3863" s="10" t="s">
        <v>37</v>
      </c>
      <c r="B3863" s="94">
        <f t="shared" si="5"/>
        <v>45791</v>
      </c>
      <c r="C3863" s="77" t="s">
        <v>1570</v>
      </c>
      <c r="D3863" s="13">
        <f>SUMIFS('Lançamentos de receitas'!$E:$E,'Lançamentos de receitas'!$F:$F,"PAGO",'Lançamentos de receitas'!$C:$C,A3863,'Lançamentos de receitas'!$A:$A,B3863)</f>
        <v>2067.81</v>
      </c>
      <c r="E3863" s="15">
        <f t="shared" si="1"/>
        <v>2025</v>
      </c>
      <c r="F3863" s="15">
        <f t="shared" si="2"/>
        <v>5</v>
      </c>
      <c r="G3863" s="15">
        <f t="shared" si="3"/>
        <v>14</v>
      </c>
    </row>
    <row r="3864">
      <c r="A3864" s="10" t="s">
        <v>37</v>
      </c>
      <c r="B3864" s="94">
        <f t="shared" si="5"/>
        <v>45791</v>
      </c>
      <c r="C3864" s="77" t="s">
        <v>1571</v>
      </c>
      <c r="D3864" s="13">
        <f>SUMIFS('Lançamentos de despesas'!$I:$I,'Lançamentos de despesas'!$G:$G,A3864,'Lançamentos de despesas'!$E:$E,"PAGO",'Lançamentos de despesas'!$C:$C,B3864)</f>
        <v>0</v>
      </c>
      <c r="E3864" s="15">
        <f t="shared" si="1"/>
        <v>2025</v>
      </c>
      <c r="F3864" s="15">
        <f t="shared" si="2"/>
        <v>5</v>
      </c>
      <c r="G3864" s="15">
        <f t="shared" si="3"/>
        <v>14</v>
      </c>
    </row>
    <row r="3865">
      <c r="A3865" s="10" t="s">
        <v>37</v>
      </c>
      <c r="B3865" s="94">
        <f t="shared" si="5"/>
        <v>45791</v>
      </c>
      <c r="C3865" s="77" t="s">
        <v>1572</v>
      </c>
      <c r="D3865" s="13">
        <f>D3862+D3863-D3864</f>
        <v>26153.84</v>
      </c>
      <c r="E3865" s="15">
        <f t="shared" si="1"/>
        <v>2025</v>
      </c>
      <c r="F3865" s="15">
        <f t="shared" si="2"/>
        <v>5</v>
      </c>
      <c r="G3865" s="15">
        <f t="shared" si="3"/>
        <v>14</v>
      </c>
    </row>
    <row r="3866">
      <c r="A3866" s="10" t="s">
        <v>37</v>
      </c>
      <c r="B3866" s="94">
        <f t="shared" si="5"/>
        <v>45792</v>
      </c>
      <c r="C3866" s="77" t="s">
        <v>1569</v>
      </c>
      <c r="D3866" s="13">
        <f>D3865</f>
        <v>26153.84</v>
      </c>
      <c r="E3866" s="15">
        <f t="shared" si="1"/>
        <v>2025</v>
      </c>
      <c r="F3866" s="15">
        <f t="shared" si="2"/>
        <v>5</v>
      </c>
      <c r="G3866" s="15">
        <f t="shared" si="3"/>
        <v>15</v>
      </c>
    </row>
    <row r="3867">
      <c r="A3867" s="10" t="s">
        <v>37</v>
      </c>
      <c r="B3867" s="94">
        <f t="shared" si="5"/>
        <v>45792</v>
      </c>
      <c r="C3867" s="77" t="s">
        <v>1570</v>
      </c>
      <c r="D3867" s="13">
        <f>SUMIFS('Lançamentos de receitas'!$E:$E,'Lançamentos de receitas'!$F:$F,"PAGO",'Lançamentos de receitas'!$C:$C,A3867,'Lançamentos de receitas'!$A:$A,B3867)</f>
        <v>2565.11</v>
      </c>
      <c r="E3867" s="15">
        <f t="shared" si="1"/>
        <v>2025</v>
      </c>
      <c r="F3867" s="15">
        <f t="shared" si="2"/>
        <v>5</v>
      </c>
      <c r="G3867" s="15">
        <f t="shared" si="3"/>
        <v>15</v>
      </c>
    </row>
    <row r="3868">
      <c r="A3868" s="10" t="s">
        <v>37</v>
      </c>
      <c r="B3868" s="94">
        <f t="shared" si="5"/>
        <v>45792</v>
      </c>
      <c r="C3868" s="77" t="s">
        <v>1571</v>
      </c>
      <c r="D3868" s="13">
        <f>SUMIFS('Lançamentos de despesas'!$I:$I,'Lançamentos de despesas'!$G:$G,A3868,'Lançamentos de despesas'!$E:$E,"PAGO",'Lançamentos de despesas'!$C:$C,B3868)</f>
        <v>1467</v>
      </c>
      <c r="E3868" s="15">
        <f t="shared" si="1"/>
        <v>2025</v>
      </c>
      <c r="F3868" s="15">
        <f t="shared" si="2"/>
        <v>5</v>
      </c>
      <c r="G3868" s="15">
        <f t="shared" si="3"/>
        <v>15</v>
      </c>
    </row>
    <row r="3869">
      <c r="A3869" s="10" t="s">
        <v>37</v>
      </c>
      <c r="B3869" s="94">
        <f t="shared" si="5"/>
        <v>45792</v>
      </c>
      <c r="C3869" s="77" t="s">
        <v>1572</v>
      </c>
      <c r="D3869" s="13">
        <f>D3866+D3867-D3868</f>
        <v>27251.95</v>
      </c>
      <c r="E3869" s="15">
        <f t="shared" si="1"/>
        <v>2025</v>
      </c>
      <c r="F3869" s="15">
        <f t="shared" si="2"/>
        <v>5</v>
      </c>
      <c r="G3869" s="15">
        <f t="shared" si="3"/>
        <v>15</v>
      </c>
    </row>
    <row r="3870">
      <c r="A3870" s="10" t="s">
        <v>37</v>
      </c>
      <c r="B3870" s="94">
        <f t="shared" si="5"/>
        <v>45793</v>
      </c>
      <c r="C3870" s="77" t="s">
        <v>1569</v>
      </c>
      <c r="D3870" s="13">
        <f>D3869</f>
        <v>27251.95</v>
      </c>
      <c r="E3870" s="15">
        <f t="shared" si="1"/>
        <v>2025</v>
      </c>
      <c r="F3870" s="15">
        <f t="shared" si="2"/>
        <v>5</v>
      </c>
      <c r="G3870" s="15">
        <f t="shared" si="3"/>
        <v>16</v>
      </c>
    </row>
    <row r="3871">
      <c r="A3871" s="10" t="s">
        <v>37</v>
      </c>
      <c r="B3871" s="94">
        <f t="shared" si="5"/>
        <v>45793</v>
      </c>
      <c r="C3871" s="77" t="s">
        <v>1570</v>
      </c>
      <c r="D3871" s="13">
        <f>SUMIFS('Lançamentos de receitas'!$E:$E,'Lançamentos de receitas'!$F:$F,"PAGO",'Lançamentos de receitas'!$C:$C,A3871,'Lançamentos de receitas'!$A:$A,B3871)</f>
        <v>1924.9</v>
      </c>
      <c r="E3871" s="15">
        <f t="shared" si="1"/>
        <v>2025</v>
      </c>
      <c r="F3871" s="15">
        <f t="shared" si="2"/>
        <v>5</v>
      </c>
      <c r="G3871" s="15">
        <f t="shared" si="3"/>
        <v>16</v>
      </c>
    </row>
    <row r="3872">
      <c r="A3872" s="10" t="s">
        <v>37</v>
      </c>
      <c r="B3872" s="94">
        <f t="shared" si="5"/>
        <v>45793</v>
      </c>
      <c r="C3872" s="77" t="s">
        <v>1571</v>
      </c>
      <c r="D3872" s="13">
        <f>SUMIFS('Lançamentos de despesas'!$I:$I,'Lançamentos de despesas'!$G:$G,A3872,'Lançamentos de despesas'!$E:$E,"PAGO",'Lançamentos de despesas'!$C:$C,B3872)</f>
        <v>0</v>
      </c>
      <c r="E3872" s="15">
        <f t="shared" si="1"/>
        <v>2025</v>
      </c>
      <c r="F3872" s="15">
        <f t="shared" si="2"/>
        <v>5</v>
      </c>
      <c r="G3872" s="15">
        <f t="shared" si="3"/>
        <v>16</v>
      </c>
    </row>
    <row r="3873">
      <c r="A3873" s="10" t="s">
        <v>37</v>
      </c>
      <c r="B3873" s="94">
        <f t="shared" si="5"/>
        <v>45793</v>
      </c>
      <c r="C3873" s="77" t="s">
        <v>1572</v>
      </c>
      <c r="D3873" s="13">
        <f>D3870+D3871-D3872</f>
        <v>29176.85</v>
      </c>
      <c r="E3873" s="15">
        <f t="shared" si="1"/>
        <v>2025</v>
      </c>
      <c r="F3873" s="15">
        <f t="shared" si="2"/>
        <v>5</v>
      </c>
      <c r="G3873" s="15">
        <f t="shared" si="3"/>
        <v>16</v>
      </c>
    </row>
    <row r="3874">
      <c r="A3874" s="10" t="s">
        <v>37</v>
      </c>
      <c r="B3874" s="94">
        <f t="shared" si="5"/>
        <v>45794</v>
      </c>
      <c r="C3874" s="77" t="s">
        <v>1569</v>
      </c>
      <c r="D3874" s="13">
        <f>D3873</f>
        <v>29176.85</v>
      </c>
      <c r="E3874" s="15">
        <f t="shared" si="1"/>
        <v>2025</v>
      </c>
      <c r="F3874" s="15">
        <f t="shared" si="2"/>
        <v>5</v>
      </c>
      <c r="G3874" s="15">
        <f t="shared" si="3"/>
        <v>17</v>
      </c>
    </row>
    <row r="3875">
      <c r="A3875" s="10" t="s">
        <v>37</v>
      </c>
      <c r="B3875" s="94">
        <f t="shared" si="5"/>
        <v>45794</v>
      </c>
      <c r="C3875" s="77" t="s">
        <v>1570</v>
      </c>
      <c r="D3875" s="13">
        <f>SUMIFS('Lançamentos de receitas'!$E:$E,'Lançamentos de receitas'!$F:$F,"PAGO",'Lançamentos de receitas'!$C:$C,A3875,'Lançamentos de receitas'!$A:$A,B3875)</f>
        <v>2230.39</v>
      </c>
      <c r="E3875" s="15">
        <f t="shared" si="1"/>
        <v>2025</v>
      </c>
      <c r="F3875" s="15">
        <f t="shared" si="2"/>
        <v>5</v>
      </c>
      <c r="G3875" s="15">
        <f t="shared" si="3"/>
        <v>17</v>
      </c>
    </row>
    <row r="3876">
      <c r="A3876" s="10" t="s">
        <v>37</v>
      </c>
      <c r="B3876" s="94">
        <f t="shared" si="5"/>
        <v>45794</v>
      </c>
      <c r="C3876" s="77" t="s">
        <v>1571</v>
      </c>
      <c r="D3876" s="13">
        <f>SUMIFS('Lançamentos de despesas'!$I:$I,'Lançamentos de despesas'!$G:$G,A3876,'Lançamentos de despesas'!$E:$E,"PAGO",'Lançamentos de despesas'!$C:$C,B3876)</f>
        <v>0</v>
      </c>
      <c r="E3876" s="15">
        <f t="shared" si="1"/>
        <v>2025</v>
      </c>
      <c r="F3876" s="15">
        <f t="shared" si="2"/>
        <v>5</v>
      </c>
      <c r="G3876" s="15">
        <f t="shared" si="3"/>
        <v>17</v>
      </c>
    </row>
    <row r="3877">
      <c r="A3877" s="10" t="s">
        <v>37</v>
      </c>
      <c r="B3877" s="94">
        <f t="shared" si="5"/>
        <v>45794</v>
      </c>
      <c r="C3877" s="77" t="s">
        <v>1572</v>
      </c>
      <c r="D3877" s="13">
        <f>D3874+D3875-D3876</f>
        <v>31407.24</v>
      </c>
      <c r="E3877" s="15">
        <f t="shared" si="1"/>
        <v>2025</v>
      </c>
      <c r="F3877" s="15">
        <f t="shared" si="2"/>
        <v>5</v>
      </c>
      <c r="G3877" s="15">
        <f t="shared" si="3"/>
        <v>17</v>
      </c>
    </row>
    <row r="3878">
      <c r="A3878" s="10" t="s">
        <v>37</v>
      </c>
      <c r="B3878" s="94">
        <f t="shared" si="5"/>
        <v>45795</v>
      </c>
      <c r="C3878" s="77" t="s">
        <v>1569</v>
      </c>
      <c r="D3878" s="13">
        <f>D3877</f>
        <v>31407.24</v>
      </c>
      <c r="E3878" s="15">
        <f t="shared" si="1"/>
        <v>2025</v>
      </c>
      <c r="F3878" s="15">
        <f t="shared" si="2"/>
        <v>5</v>
      </c>
      <c r="G3878" s="15">
        <f t="shared" si="3"/>
        <v>18</v>
      </c>
    </row>
    <row r="3879">
      <c r="A3879" s="10" t="s">
        <v>37</v>
      </c>
      <c r="B3879" s="94">
        <f t="shared" si="5"/>
        <v>45795</v>
      </c>
      <c r="C3879" s="77" t="s">
        <v>1570</v>
      </c>
      <c r="D3879" s="13">
        <f>SUMIFS('Lançamentos de receitas'!$E:$E,'Lançamentos de receitas'!$F:$F,"PAGO",'Lançamentos de receitas'!$C:$C,A3879,'Lançamentos de receitas'!$A:$A,B3879)</f>
        <v>2923.04</v>
      </c>
      <c r="E3879" s="15">
        <f t="shared" si="1"/>
        <v>2025</v>
      </c>
      <c r="F3879" s="15">
        <f t="shared" si="2"/>
        <v>5</v>
      </c>
      <c r="G3879" s="15">
        <f t="shared" si="3"/>
        <v>18</v>
      </c>
    </row>
    <row r="3880">
      <c r="A3880" s="10" t="s">
        <v>37</v>
      </c>
      <c r="B3880" s="94">
        <f t="shared" si="5"/>
        <v>45795</v>
      </c>
      <c r="C3880" s="77" t="s">
        <v>1571</v>
      </c>
      <c r="D3880" s="13">
        <f>SUMIFS('Lançamentos de despesas'!$I:$I,'Lançamentos de despesas'!$G:$G,A3880,'Lançamentos de despesas'!$E:$E,"PAGO",'Lançamentos de despesas'!$C:$C,B3880)</f>
        <v>0</v>
      </c>
      <c r="E3880" s="15">
        <f t="shared" si="1"/>
        <v>2025</v>
      </c>
      <c r="F3880" s="15">
        <f t="shared" si="2"/>
        <v>5</v>
      </c>
      <c r="G3880" s="15">
        <f t="shared" si="3"/>
        <v>18</v>
      </c>
    </row>
    <row r="3881">
      <c r="A3881" s="10" t="s">
        <v>37</v>
      </c>
      <c r="B3881" s="94">
        <f t="shared" si="5"/>
        <v>45795</v>
      </c>
      <c r="C3881" s="77" t="s">
        <v>1572</v>
      </c>
      <c r="D3881" s="13">
        <f>D3878+D3879-D3880</f>
        <v>34330.28</v>
      </c>
      <c r="E3881" s="15">
        <f t="shared" si="1"/>
        <v>2025</v>
      </c>
      <c r="F3881" s="15">
        <f t="shared" si="2"/>
        <v>5</v>
      </c>
      <c r="G3881" s="15">
        <f t="shared" si="3"/>
        <v>18</v>
      </c>
    </row>
    <row r="3882">
      <c r="A3882" s="10" t="s">
        <v>37</v>
      </c>
      <c r="B3882" s="94">
        <f t="shared" si="5"/>
        <v>45796</v>
      </c>
      <c r="C3882" s="77" t="s">
        <v>1569</v>
      </c>
      <c r="D3882" s="13">
        <f>D3881</f>
        <v>34330.28</v>
      </c>
      <c r="E3882" s="15">
        <f t="shared" si="1"/>
        <v>2025</v>
      </c>
      <c r="F3882" s="15">
        <f t="shared" si="2"/>
        <v>5</v>
      </c>
      <c r="G3882" s="15">
        <f t="shared" si="3"/>
        <v>19</v>
      </c>
    </row>
    <row r="3883">
      <c r="A3883" s="10" t="s">
        <v>37</v>
      </c>
      <c r="B3883" s="94">
        <f t="shared" si="5"/>
        <v>45796</v>
      </c>
      <c r="C3883" s="77" t="s">
        <v>1570</v>
      </c>
      <c r="D3883" s="13">
        <f>SUMIFS('Lançamentos de receitas'!$E:$E,'Lançamentos de receitas'!$F:$F,"PAGO",'Lançamentos de receitas'!$C:$C,A3883,'Lançamentos de receitas'!$A:$A,B3883)</f>
        <v>215.59</v>
      </c>
      <c r="E3883" s="15">
        <f t="shared" si="1"/>
        <v>2025</v>
      </c>
      <c r="F3883" s="15">
        <f t="shared" si="2"/>
        <v>5</v>
      </c>
      <c r="G3883" s="15">
        <f t="shared" si="3"/>
        <v>19</v>
      </c>
    </row>
    <row r="3884">
      <c r="A3884" s="10" t="s">
        <v>37</v>
      </c>
      <c r="B3884" s="94">
        <f t="shared" si="5"/>
        <v>45796</v>
      </c>
      <c r="C3884" s="77" t="s">
        <v>1571</v>
      </c>
      <c r="D3884" s="13">
        <f>SUMIFS('Lançamentos de despesas'!$I:$I,'Lançamentos de despesas'!$G:$G,A3884,'Lançamentos de despesas'!$E:$E,"PAGO",'Lançamentos de despesas'!$C:$C,B3884)</f>
        <v>861.64</v>
      </c>
      <c r="E3884" s="15">
        <f t="shared" si="1"/>
        <v>2025</v>
      </c>
      <c r="F3884" s="15">
        <f t="shared" si="2"/>
        <v>5</v>
      </c>
      <c r="G3884" s="15">
        <f t="shared" si="3"/>
        <v>19</v>
      </c>
    </row>
    <row r="3885">
      <c r="A3885" s="10" t="s">
        <v>37</v>
      </c>
      <c r="B3885" s="94">
        <f t="shared" si="5"/>
        <v>45796</v>
      </c>
      <c r="C3885" s="77" t="s">
        <v>1572</v>
      </c>
      <c r="D3885" s="13">
        <f>D3882+D3883-D3884</f>
        <v>33684.23</v>
      </c>
      <c r="E3885" s="15">
        <f t="shared" si="1"/>
        <v>2025</v>
      </c>
      <c r="F3885" s="15">
        <f t="shared" si="2"/>
        <v>5</v>
      </c>
      <c r="G3885" s="15">
        <f t="shared" si="3"/>
        <v>19</v>
      </c>
    </row>
    <row r="3886">
      <c r="A3886" s="10" t="s">
        <v>37</v>
      </c>
      <c r="B3886" s="94">
        <f t="shared" si="5"/>
        <v>45797</v>
      </c>
      <c r="C3886" s="77" t="s">
        <v>1569</v>
      </c>
      <c r="D3886" s="13">
        <f>D3885</f>
        <v>33684.23</v>
      </c>
      <c r="E3886" s="15">
        <f t="shared" si="1"/>
        <v>2025</v>
      </c>
      <c r="F3886" s="15">
        <f t="shared" si="2"/>
        <v>5</v>
      </c>
      <c r="G3886" s="15">
        <f t="shared" si="3"/>
        <v>20</v>
      </c>
    </row>
    <row r="3887">
      <c r="A3887" s="10" t="s">
        <v>37</v>
      </c>
      <c r="B3887" s="94">
        <f t="shared" si="5"/>
        <v>45797</v>
      </c>
      <c r="C3887" s="77" t="s">
        <v>1570</v>
      </c>
      <c r="D3887" s="13">
        <f>SUMIFS('Lançamentos de receitas'!$E:$E,'Lançamentos de receitas'!$F:$F,"PAGO",'Lançamentos de receitas'!$C:$C,A3887,'Lançamentos de receitas'!$A:$A,B3887)</f>
        <v>938.46</v>
      </c>
      <c r="E3887" s="15">
        <f t="shared" si="1"/>
        <v>2025</v>
      </c>
      <c r="F3887" s="15">
        <f t="shared" si="2"/>
        <v>5</v>
      </c>
      <c r="G3887" s="15">
        <f t="shared" si="3"/>
        <v>20</v>
      </c>
    </row>
    <row r="3888">
      <c r="A3888" s="10" t="s">
        <v>37</v>
      </c>
      <c r="B3888" s="94">
        <f t="shared" si="5"/>
        <v>45797</v>
      </c>
      <c r="C3888" s="77" t="s">
        <v>1571</v>
      </c>
      <c r="D3888" s="13">
        <f>SUMIFS('Lançamentos de despesas'!$I:$I,'Lançamentos de despesas'!$G:$G,A3888,'Lançamentos de despesas'!$E:$E,"PAGO",'Lançamentos de despesas'!$C:$C,B3888)</f>
        <v>3456.91</v>
      </c>
      <c r="E3888" s="15">
        <f t="shared" si="1"/>
        <v>2025</v>
      </c>
      <c r="F3888" s="15">
        <f t="shared" si="2"/>
        <v>5</v>
      </c>
      <c r="G3888" s="15">
        <f t="shared" si="3"/>
        <v>20</v>
      </c>
    </row>
    <row r="3889">
      <c r="A3889" s="10" t="s">
        <v>37</v>
      </c>
      <c r="B3889" s="94">
        <f t="shared" si="5"/>
        <v>45797</v>
      </c>
      <c r="C3889" s="77" t="s">
        <v>1572</v>
      </c>
      <c r="D3889" s="13">
        <f>D3886+D3887-D3888</f>
        <v>31165.78</v>
      </c>
      <c r="E3889" s="15">
        <f t="shared" si="1"/>
        <v>2025</v>
      </c>
      <c r="F3889" s="15">
        <f t="shared" si="2"/>
        <v>5</v>
      </c>
      <c r="G3889" s="15">
        <f t="shared" si="3"/>
        <v>20</v>
      </c>
    </row>
    <row r="3890">
      <c r="A3890" s="10" t="s">
        <v>37</v>
      </c>
      <c r="B3890" s="94">
        <f t="shared" si="5"/>
        <v>45798</v>
      </c>
      <c r="C3890" s="77" t="s">
        <v>1569</v>
      </c>
      <c r="D3890" s="13">
        <f>D3889</f>
        <v>31165.78</v>
      </c>
      <c r="E3890" s="15">
        <f t="shared" si="1"/>
        <v>2025</v>
      </c>
      <c r="F3890" s="15">
        <f t="shared" si="2"/>
        <v>5</v>
      </c>
      <c r="G3890" s="15">
        <f t="shared" si="3"/>
        <v>21</v>
      </c>
    </row>
    <row r="3891">
      <c r="A3891" s="10" t="s">
        <v>37</v>
      </c>
      <c r="B3891" s="94">
        <f t="shared" si="5"/>
        <v>45798</v>
      </c>
      <c r="C3891" s="77" t="s">
        <v>1570</v>
      </c>
      <c r="D3891" s="13">
        <f>SUMIFS('Lançamentos de receitas'!$E:$E,'Lançamentos de receitas'!$F:$F,"PAGO",'Lançamentos de receitas'!$C:$C,A3891,'Lançamentos de receitas'!$A:$A,B3891)</f>
        <v>2166.78</v>
      </c>
      <c r="E3891" s="15">
        <f t="shared" si="1"/>
        <v>2025</v>
      </c>
      <c r="F3891" s="15">
        <f t="shared" si="2"/>
        <v>5</v>
      </c>
      <c r="G3891" s="15">
        <f t="shared" si="3"/>
        <v>21</v>
      </c>
    </row>
    <row r="3892">
      <c r="A3892" s="10" t="s">
        <v>37</v>
      </c>
      <c r="B3892" s="94">
        <f t="shared" si="5"/>
        <v>45798</v>
      </c>
      <c r="C3892" s="77" t="s">
        <v>1571</v>
      </c>
      <c r="D3892" s="13">
        <f>SUMIFS('Lançamentos de despesas'!$I:$I,'Lançamentos de despesas'!$G:$G,A3892,'Lançamentos de despesas'!$E:$E,"PAGO",'Lançamentos de despesas'!$C:$C,B3892)</f>
        <v>100</v>
      </c>
      <c r="E3892" s="15">
        <f t="shared" si="1"/>
        <v>2025</v>
      </c>
      <c r="F3892" s="15">
        <f t="shared" si="2"/>
        <v>5</v>
      </c>
      <c r="G3892" s="15">
        <f t="shared" si="3"/>
        <v>21</v>
      </c>
    </row>
    <row r="3893">
      <c r="A3893" s="10" t="s">
        <v>37</v>
      </c>
      <c r="B3893" s="94">
        <f t="shared" si="5"/>
        <v>45798</v>
      </c>
      <c r="C3893" s="77" t="s">
        <v>1572</v>
      </c>
      <c r="D3893" s="13">
        <f>D3890+D3891-D3892</f>
        <v>33232.56</v>
      </c>
      <c r="E3893" s="15">
        <f t="shared" si="1"/>
        <v>2025</v>
      </c>
      <c r="F3893" s="15">
        <f t="shared" si="2"/>
        <v>5</v>
      </c>
      <c r="G3893" s="15">
        <f t="shared" si="3"/>
        <v>21</v>
      </c>
    </row>
    <row r="3894">
      <c r="A3894" s="10" t="s">
        <v>37</v>
      </c>
      <c r="B3894" s="94">
        <f t="shared" si="5"/>
        <v>45799</v>
      </c>
      <c r="C3894" s="77" t="s">
        <v>1569</v>
      </c>
      <c r="D3894" s="13">
        <f>D3893</f>
        <v>33232.56</v>
      </c>
      <c r="E3894" s="15">
        <f t="shared" si="1"/>
        <v>2025</v>
      </c>
      <c r="F3894" s="15">
        <f t="shared" si="2"/>
        <v>5</v>
      </c>
      <c r="G3894" s="15">
        <f t="shared" si="3"/>
        <v>22</v>
      </c>
    </row>
    <row r="3895">
      <c r="A3895" s="10" t="s">
        <v>37</v>
      </c>
      <c r="B3895" s="94">
        <f t="shared" si="5"/>
        <v>45799</v>
      </c>
      <c r="C3895" s="77" t="s">
        <v>1570</v>
      </c>
      <c r="D3895" s="13">
        <f>SUMIFS('Lançamentos de receitas'!$E:$E,'Lançamentos de receitas'!$F:$F,"PAGO",'Lançamentos de receitas'!$C:$C,A3895,'Lançamentos de receitas'!$A:$A,B3895)</f>
        <v>3350.08</v>
      </c>
      <c r="E3895" s="15">
        <f t="shared" si="1"/>
        <v>2025</v>
      </c>
      <c r="F3895" s="15">
        <f t="shared" si="2"/>
        <v>5</v>
      </c>
      <c r="G3895" s="15">
        <f t="shared" si="3"/>
        <v>22</v>
      </c>
    </row>
    <row r="3896">
      <c r="A3896" s="10" t="s">
        <v>37</v>
      </c>
      <c r="B3896" s="94">
        <f t="shared" si="5"/>
        <v>45799</v>
      </c>
      <c r="C3896" s="77" t="s">
        <v>1571</v>
      </c>
      <c r="D3896" s="13">
        <f>SUMIFS('Lançamentos de despesas'!$I:$I,'Lançamentos de despesas'!$G:$G,A3896,'Lançamentos de despesas'!$E:$E,"PAGO",'Lançamentos de despesas'!$C:$C,B3896)</f>
        <v>0</v>
      </c>
      <c r="E3896" s="15">
        <f t="shared" si="1"/>
        <v>2025</v>
      </c>
      <c r="F3896" s="15">
        <f t="shared" si="2"/>
        <v>5</v>
      </c>
      <c r="G3896" s="15">
        <f t="shared" si="3"/>
        <v>22</v>
      </c>
    </row>
    <row r="3897">
      <c r="A3897" s="10" t="s">
        <v>37</v>
      </c>
      <c r="B3897" s="94">
        <f t="shared" si="5"/>
        <v>45799</v>
      </c>
      <c r="C3897" s="77" t="s">
        <v>1572</v>
      </c>
      <c r="D3897" s="13">
        <f>D3894+D3895-D3896</f>
        <v>36582.64</v>
      </c>
      <c r="E3897" s="15">
        <f t="shared" si="1"/>
        <v>2025</v>
      </c>
      <c r="F3897" s="15">
        <f t="shared" si="2"/>
        <v>5</v>
      </c>
      <c r="G3897" s="15">
        <f t="shared" si="3"/>
        <v>22</v>
      </c>
    </row>
    <row r="3898">
      <c r="A3898" s="10" t="s">
        <v>37</v>
      </c>
      <c r="B3898" s="94">
        <f t="shared" si="5"/>
        <v>45800</v>
      </c>
      <c r="C3898" s="77" t="s">
        <v>1569</v>
      </c>
      <c r="D3898" s="13">
        <f>D3897</f>
        <v>36582.64</v>
      </c>
      <c r="E3898" s="15">
        <f t="shared" si="1"/>
        <v>2025</v>
      </c>
      <c r="F3898" s="15">
        <f t="shared" si="2"/>
        <v>5</v>
      </c>
      <c r="G3898" s="15">
        <f t="shared" si="3"/>
        <v>23</v>
      </c>
    </row>
    <row r="3899">
      <c r="A3899" s="10" t="s">
        <v>37</v>
      </c>
      <c r="B3899" s="94">
        <f t="shared" si="5"/>
        <v>45800</v>
      </c>
      <c r="C3899" s="77" t="s">
        <v>1570</v>
      </c>
      <c r="D3899" s="13">
        <f>SUMIFS('Lançamentos de receitas'!$E:$E,'Lançamentos de receitas'!$F:$F,"PAGO",'Lançamentos de receitas'!$C:$C,A3899,'Lançamentos de receitas'!$A:$A,B3899)</f>
        <v>1532.26</v>
      </c>
      <c r="E3899" s="15">
        <f t="shared" si="1"/>
        <v>2025</v>
      </c>
      <c r="F3899" s="15">
        <f t="shared" si="2"/>
        <v>5</v>
      </c>
      <c r="G3899" s="15">
        <f t="shared" si="3"/>
        <v>23</v>
      </c>
    </row>
    <row r="3900">
      <c r="A3900" s="10" t="s">
        <v>37</v>
      </c>
      <c r="B3900" s="94">
        <f t="shared" si="5"/>
        <v>45800</v>
      </c>
      <c r="C3900" s="77" t="s">
        <v>1571</v>
      </c>
      <c r="D3900" s="13">
        <f>SUMIFS('Lançamentos de despesas'!$I:$I,'Lançamentos de despesas'!$G:$G,A3900,'Lançamentos de despesas'!$E:$E,"PAGO",'Lançamentos de despesas'!$C:$C,B3900)</f>
        <v>600.46</v>
      </c>
      <c r="E3900" s="15">
        <f t="shared" si="1"/>
        <v>2025</v>
      </c>
      <c r="F3900" s="15">
        <f t="shared" si="2"/>
        <v>5</v>
      </c>
      <c r="G3900" s="15">
        <f t="shared" si="3"/>
        <v>23</v>
      </c>
    </row>
    <row r="3901">
      <c r="A3901" s="10" t="s">
        <v>37</v>
      </c>
      <c r="B3901" s="94">
        <f t="shared" si="5"/>
        <v>45800</v>
      </c>
      <c r="C3901" s="77" t="s">
        <v>1572</v>
      </c>
      <c r="D3901" s="13">
        <f>D3898+D3899-D3900</f>
        <v>37514.44</v>
      </c>
      <c r="E3901" s="15">
        <f t="shared" si="1"/>
        <v>2025</v>
      </c>
      <c r="F3901" s="15">
        <f t="shared" si="2"/>
        <v>5</v>
      </c>
      <c r="G3901" s="15">
        <f t="shared" si="3"/>
        <v>23</v>
      </c>
    </row>
    <row r="3902">
      <c r="A3902" s="10" t="s">
        <v>37</v>
      </c>
      <c r="B3902" s="94">
        <f t="shared" si="5"/>
        <v>45801</v>
      </c>
      <c r="C3902" s="77" t="s">
        <v>1569</v>
      </c>
      <c r="D3902" s="13">
        <f>D3901</f>
        <v>37514.44</v>
      </c>
      <c r="E3902" s="15">
        <f t="shared" si="1"/>
        <v>2025</v>
      </c>
      <c r="F3902" s="15">
        <f t="shared" si="2"/>
        <v>5</v>
      </c>
      <c r="G3902" s="15">
        <f t="shared" si="3"/>
        <v>24</v>
      </c>
    </row>
    <row r="3903">
      <c r="A3903" s="10" t="s">
        <v>37</v>
      </c>
      <c r="B3903" s="94">
        <f t="shared" si="5"/>
        <v>45801</v>
      </c>
      <c r="C3903" s="77" t="s">
        <v>1570</v>
      </c>
      <c r="D3903" s="13">
        <f>SUMIFS('Lançamentos de receitas'!$E:$E,'Lançamentos de receitas'!$F:$F,"PAGO",'Lançamentos de receitas'!$C:$C,A3903,'Lançamentos de receitas'!$A:$A,B3903)</f>
        <v>2185.25</v>
      </c>
      <c r="E3903" s="15">
        <f t="shared" si="1"/>
        <v>2025</v>
      </c>
      <c r="F3903" s="15">
        <f t="shared" si="2"/>
        <v>5</v>
      </c>
      <c r="G3903" s="15">
        <f t="shared" si="3"/>
        <v>24</v>
      </c>
    </row>
    <row r="3904">
      <c r="A3904" s="10" t="s">
        <v>37</v>
      </c>
      <c r="B3904" s="94">
        <f t="shared" si="5"/>
        <v>45801</v>
      </c>
      <c r="C3904" s="77" t="s">
        <v>1571</v>
      </c>
      <c r="D3904" s="13">
        <f>SUMIFS('Lançamentos de despesas'!$I:$I,'Lançamentos de despesas'!$G:$G,A3904,'Lançamentos de despesas'!$E:$E,"PAGO",'Lançamentos de despesas'!$C:$C,B3904)</f>
        <v>0</v>
      </c>
      <c r="E3904" s="15">
        <f t="shared" si="1"/>
        <v>2025</v>
      </c>
      <c r="F3904" s="15">
        <f t="shared" si="2"/>
        <v>5</v>
      </c>
      <c r="G3904" s="15">
        <f t="shared" si="3"/>
        <v>24</v>
      </c>
    </row>
    <row r="3905">
      <c r="A3905" s="10" t="s">
        <v>37</v>
      </c>
      <c r="B3905" s="94">
        <f t="shared" si="5"/>
        <v>45801</v>
      </c>
      <c r="C3905" s="77" t="s">
        <v>1572</v>
      </c>
      <c r="D3905" s="13">
        <f>D3902+D3903-D3904</f>
        <v>39699.69</v>
      </c>
      <c r="E3905" s="15">
        <f t="shared" si="1"/>
        <v>2025</v>
      </c>
      <c r="F3905" s="15">
        <f t="shared" si="2"/>
        <v>5</v>
      </c>
      <c r="G3905" s="15">
        <f t="shared" si="3"/>
        <v>24</v>
      </c>
    </row>
    <row r="3906">
      <c r="A3906" s="10" t="s">
        <v>37</v>
      </c>
      <c r="B3906" s="94">
        <f t="shared" si="5"/>
        <v>45802</v>
      </c>
      <c r="C3906" s="77" t="s">
        <v>1569</v>
      </c>
      <c r="D3906" s="13">
        <f>D3905</f>
        <v>39699.69</v>
      </c>
      <c r="E3906" s="15">
        <f t="shared" si="1"/>
        <v>2025</v>
      </c>
      <c r="F3906" s="15">
        <f t="shared" si="2"/>
        <v>5</v>
      </c>
      <c r="G3906" s="15">
        <f t="shared" si="3"/>
        <v>25</v>
      </c>
    </row>
    <row r="3907">
      <c r="A3907" s="10" t="s">
        <v>37</v>
      </c>
      <c r="B3907" s="94">
        <f t="shared" si="5"/>
        <v>45802</v>
      </c>
      <c r="C3907" s="77" t="s">
        <v>1570</v>
      </c>
      <c r="D3907" s="13">
        <f>SUMIFS('Lançamentos de receitas'!$E:$E,'Lançamentos de receitas'!$F:$F,"PAGO",'Lançamentos de receitas'!$C:$C,A3907,'Lançamentos de receitas'!$A:$A,B3907)</f>
        <v>1117.85</v>
      </c>
      <c r="E3907" s="15">
        <f t="shared" si="1"/>
        <v>2025</v>
      </c>
      <c r="F3907" s="15">
        <f t="shared" si="2"/>
        <v>5</v>
      </c>
      <c r="G3907" s="15">
        <f t="shared" si="3"/>
        <v>25</v>
      </c>
    </row>
    <row r="3908">
      <c r="A3908" s="10" t="s">
        <v>37</v>
      </c>
      <c r="B3908" s="94">
        <f t="shared" si="5"/>
        <v>45802</v>
      </c>
      <c r="C3908" s="77" t="s">
        <v>1571</v>
      </c>
      <c r="D3908" s="13">
        <f>SUMIFS('Lançamentos de despesas'!$I:$I,'Lançamentos de despesas'!$G:$G,A3908,'Lançamentos de despesas'!$E:$E,"PAGO",'Lançamentos de despesas'!$C:$C,B3908)</f>
        <v>0</v>
      </c>
      <c r="E3908" s="15">
        <f t="shared" si="1"/>
        <v>2025</v>
      </c>
      <c r="F3908" s="15">
        <f t="shared" si="2"/>
        <v>5</v>
      </c>
      <c r="G3908" s="15">
        <f t="shared" si="3"/>
        <v>25</v>
      </c>
    </row>
    <row r="3909">
      <c r="A3909" s="10" t="s">
        <v>37</v>
      </c>
      <c r="B3909" s="94">
        <f t="shared" si="5"/>
        <v>45802</v>
      </c>
      <c r="C3909" s="77" t="s">
        <v>1572</v>
      </c>
      <c r="D3909" s="13">
        <f>D3906+D3907-D3908</f>
        <v>40817.54</v>
      </c>
      <c r="E3909" s="15">
        <f t="shared" si="1"/>
        <v>2025</v>
      </c>
      <c r="F3909" s="15">
        <f t="shared" si="2"/>
        <v>5</v>
      </c>
      <c r="G3909" s="15">
        <f t="shared" si="3"/>
        <v>25</v>
      </c>
    </row>
    <row r="3910">
      <c r="A3910" s="10" t="s">
        <v>37</v>
      </c>
      <c r="B3910" s="94">
        <f t="shared" si="5"/>
        <v>45803</v>
      </c>
      <c r="C3910" s="77" t="s">
        <v>1569</v>
      </c>
      <c r="D3910" s="13">
        <f>D3909</f>
        <v>40817.54</v>
      </c>
      <c r="E3910" s="15">
        <f t="shared" si="1"/>
        <v>2025</v>
      </c>
      <c r="F3910" s="15">
        <f t="shared" si="2"/>
        <v>5</v>
      </c>
      <c r="G3910" s="15">
        <f t="shared" si="3"/>
        <v>26</v>
      </c>
    </row>
    <row r="3911">
      <c r="A3911" s="10" t="s">
        <v>37</v>
      </c>
      <c r="B3911" s="94">
        <f t="shared" si="5"/>
        <v>45803</v>
      </c>
      <c r="C3911" s="77" t="s">
        <v>1570</v>
      </c>
      <c r="D3911" s="13">
        <f>SUMIFS('Lançamentos de receitas'!$E:$E,'Lançamentos de receitas'!$F:$F,"PAGO",'Lançamentos de receitas'!$C:$C,A3911,'Lançamentos de receitas'!$A:$A,B3911)</f>
        <v>711.51</v>
      </c>
      <c r="E3911" s="15">
        <f t="shared" si="1"/>
        <v>2025</v>
      </c>
      <c r="F3911" s="15">
        <f t="shared" si="2"/>
        <v>5</v>
      </c>
      <c r="G3911" s="15">
        <f t="shared" si="3"/>
        <v>26</v>
      </c>
    </row>
    <row r="3912">
      <c r="A3912" s="10" t="s">
        <v>37</v>
      </c>
      <c r="B3912" s="94">
        <f t="shared" si="5"/>
        <v>45803</v>
      </c>
      <c r="C3912" s="77" t="s">
        <v>1571</v>
      </c>
      <c r="D3912" s="13">
        <f>SUMIFS('Lançamentos de despesas'!$I:$I,'Lançamentos de despesas'!$G:$G,A3912,'Lançamentos de despesas'!$E:$E,"PAGO",'Lançamentos de despesas'!$C:$C,B3912)</f>
        <v>7255.61</v>
      </c>
      <c r="E3912" s="15">
        <f t="shared" si="1"/>
        <v>2025</v>
      </c>
      <c r="F3912" s="15">
        <f t="shared" si="2"/>
        <v>5</v>
      </c>
      <c r="G3912" s="15">
        <f t="shared" si="3"/>
        <v>26</v>
      </c>
    </row>
    <row r="3913">
      <c r="A3913" s="10" t="s">
        <v>37</v>
      </c>
      <c r="B3913" s="94">
        <f t="shared" si="5"/>
        <v>45803</v>
      </c>
      <c r="C3913" s="77" t="s">
        <v>1572</v>
      </c>
      <c r="D3913" s="13">
        <f>D3910+D3911-D3912</f>
        <v>34273.44</v>
      </c>
      <c r="E3913" s="15">
        <f t="shared" si="1"/>
        <v>2025</v>
      </c>
      <c r="F3913" s="15">
        <f t="shared" si="2"/>
        <v>5</v>
      </c>
      <c r="G3913" s="15">
        <f t="shared" si="3"/>
        <v>26</v>
      </c>
    </row>
    <row r="3914">
      <c r="A3914" s="10" t="s">
        <v>37</v>
      </c>
      <c r="B3914" s="94">
        <f t="shared" si="5"/>
        <v>45804</v>
      </c>
      <c r="C3914" s="77" t="s">
        <v>1569</v>
      </c>
      <c r="D3914" s="13">
        <f>D3913</f>
        <v>34273.44</v>
      </c>
      <c r="E3914" s="15">
        <f t="shared" si="1"/>
        <v>2025</v>
      </c>
      <c r="F3914" s="15">
        <f t="shared" si="2"/>
        <v>5</v>
      </c>
      <c r="G3914" s="15">
        <f t="shared" si="3"/>
        <v>27</v>
      </c>
    </row>
    <row r="3915">
      <c r="A3915" s="10" t="s">
        <v>37</v>
      </c>
      <c r="B3915" s="94">
        <f t="shared" si="5"/>
        <v>45804</v>
      </c>
      <c r="C3915" s="77" t="s">
        <v>1570</v>
      </c>
      <c r="D3915" s="13">
        <f>SUMIFS('Lançamentos de receitas'!$E:$E,'Lançamentos de receitas'!$F:$F,"PAGO",'Lançamentos de receitas'!$C:$C,A3915,'Lançamentos de receitas'!$A:$A,B3915)</f>
        <v>1767.26</v>
      </c>
      <c r="E3915" s="15">
        <f t="shared" si="1"/>
        <v>2025</v>
      </c>
      <c r="F3915" s="15">
        <f t="shared" si="2"/>
        <v>5</v>
      </c>
      <c r="G3915" s="15">
        <f t="shared" si="3"/>
        <v>27</v>
      </c>
    </row>
    <row r="3916">
      <c r="A3916" s="10" t="s">
        <v>37</v>
      </c>
      <c r="B3916" s="94">
        <f t="shared" si="5"/>
        <v>45804</v>
      </c>
      <c r="C3916" s="77" t="s">
        <v>1571</v>
      </c>
      <c r="D3916" s="13">
        <f>SUMIFS('Lançamentos de despesas'!$I:$I,'Lançamentos de despesas'!$G:$G,A3916,'Lançamentos de despesas'!$E:$E,"PAGO",'Lançamentos de despesas'!$C:$C,B3916)</f>
        <v>0</v>
      </c>
      <c r="E3916" s="15">
        <f t="shared" si="1"/>
        <v>2025</v>
      </c>
      <c r="F3916" s="15">
        <f t="shared" si="2"/>
        <v>5</v>
      </c>
      <c r="G3916" s="15">
        <f t="shared" si="3"/>
        <v>27</v>
      </c>
    </row>
    <row r="3917">
      <c r="A3917" s="10" t="s">
        <v>37</v>
      </c>
      <c r="B3917" s="94">
        <f t="shared" si="5"/>
        <v>45804</v>
      </c>
      <c r="C3917" s="77" t="s">
        <v>1572</v>
      </c>
      <c r="D3917" s="13">
        <f>D3914+D3915-D3916</f>
        <v>36040.7</v>
      </c>
      <c r="E3917" s="15">
        <f t="shared" si="1"/>
        <v>2025</v>
      </c>
      <c r="F3917" s="15">
        <f t="shared" si="2"/>
        <v>5</v>
      </c>
      <c r="G3917" s="15">
        <f t="shared" si="3"/>
        <v>27</v>
      </c>
    </row>
    <row r="3918">
      <c r="A3918" s="10" t="s">
        <v>37</v>
      </c>
      <c r="B3918" s="94">
        <f t="shared" si="5"/>
        <v>45805</v>
      </c>
      <c r="C3918" s="77" t="s">
        <v>1569</v>
      </c>
      <c r="D3918" s="13">
        <f>D3917</f>
        <v>36040.7</v>
      </c>
      <c r="E3918" s="15">
        <f t="shared" si="1"/>
        <v>2025</v>
      </c>
      <c r="F3918" s="15">
        <f t="shared" si="2"/>
        <v>5</v>
      </c>
      <c r="G3918" s="15">
        <f t="shared" si="3"/>
        <v>28</v>
      </c>
    </row>
    <row r="3919">
      <c r="A3919" s="10" t="s">
        <v>37</v>
      </c>
      <c r="B3919" s="94">
        <f t="shared" si="5"/>
        <v>45805</v>
      </c>
      <c r="C3919" s="77" t="s">
        <v>1570</v>
      </c>
      <c r="D3919" s="13">
        <f>SUMIFS('Lançamentos de receitas'!$E:$E,'Lançamentos de receitas'!$F:$F,"PAGO",'Lançamentos de receitas'!$C:$C,A3919,'Lançamentos de receitas'!$A:$A,B3919)</f>
        <v>1870.95</v>
      </c>
      <c r="E3919" s="15">
        <f t="shared" si="1"/>
        <v>2025</v>
      </c>
      <c r="F3919" s="15">
        <f t="shared" si="2"/>
        <v>5</v>
      </c>
      <c r="G3919" s="15">
        <f t="shared" si="3"/>
        <v>28</v>
      </c>
    </row>
    <row r="3920">
      <c r="A3920" s="10" t="s">
        <v>37</v>
      </c>
      <c r="B3920" s="94">
        <f t="shared" si="5"/>
        <v>45805</v>
      </c>
      <c r="C3920" s="77" t="s">
        <v>1571</v>
      </c>
      <c r="D3920" s="13">
        <f>SUMIFS('Lançamentos de despesas'!$I:$I,'Lançamentos de despesas'!$G:$G,A3920,'Lançamentos de despesas'!$E:$E,"PAGO",'Lançamentos de despesas'!$C:$C,B3920)</f>
        <v>0</v>
      </c>
      <c r="E3920" s="15">
        <f t="shared" si="1"/>
        <v>2025</v>
      </c>
      <c r="F3920" s="15">
        <f t="shared" si="2"/>
        <v>5</v>
      </c>
      <c r="G3920" s="15">
        <f t="shared" si="3"/>
        <v>28</v>
      </c>
    </row>
    <row r="3921">
      <c r="A3921" s="10" t="s">
        <v>37</v>
      </c>
      <c r="B3921" s="94">
        <f t="shared" si="5"/>
        <v>45805</v>
      </c>
      <c r="C3921" s="77" t="s">
        <v>1572</v>
      </c>
      <c r="D3921" s="13">
        <f>D3918+D3919-D3920</f>
        <v>37911.65</v>
      </c>
      <c r="E3921" s="15">
        <f t="shared" si="1"/>
        <v>2025</v>
      </c>
      <c r="F3921" s="15">
        <f t="shared" si="2"/>
        <v>5</v>
      </c>
      <c r="G3921" s="15">
        <f t="shared" si="3"/>
        <v>28</v>
      </c>
    </row>
    <row r="3922">
      <c r="A3922" s="10" t="s">
        <v>37</v>
      </c>
      <c r="B3922" s="94">
        <f t="shared" si="5"/>
        <v>45806</v>
      </c>
      <c r="C3922" s="77" t="s">
        <v>1569</v>
      </c>
      <c r="D3922" s="13">
        <f>D3921</f>
        <v>37911.65</v>
      </c>
      <c r="E3922" s="15">
        <f t="shared" si="1"/>
        <v>2025</v>
      </c>
      <c r="F3922" s="15">
        <f t="shared" si="2"/>
        <v>5</v>
      </c>
      <c r="G3922" s="15">
        <f t="shared" si="3"/>
        <v>29</v>
      </c>
    </row>
    <row r="3923">
      <c r="A3923" s="10" t="s">
        <v>37</v>
      </c>
      <c r="B3923" s="94">
        <f t="shared" si="5"/>
        <v>45806</v>
      </c>
      <c r="C3923" s="77" t="s">
        <v>1570</v>
      </c>
      <c r="D3923" s="13">
        <f>SUMIFS('Lançamentos de receitas'!$E:$E,'Lançamentos de receitas'!$F:$F,"PAGO",'Lançamentos de receitas'!$C:$C,A3923,'Lançamentos de receitas'!$A:$A,B3923)</f>
        <v>1960.64</v>
      </c>
      <c r="E3923" s="15">
        <f t="shared" si="1"/>
        <v>2025</v>
      </c>
      <c r="F3923" s="15">
        <f t="shared" si="2"/>
        <v>5</v>
      </c>
      <c r="G3923" s="15">
        <f t="shared" si="3"/>
        <v>29</v>
      </c>
    </row>
    <row r="3924">
      <c r="A3924" s="10" t="s">
        <v>37</v>
      </c>
      <c r="B3924" s="94">
        <f t="shared" si="5"/>
        <v>45806</v>
      </c>
      <c r="C3924" s="77" t="s">
        <v>1571</v>
      </c>
      <c r="D3924" s="13">
        <f>SUMIFS('Lançamentos de despesas'!$I:$I,'Lançamentos de despesas'!$G:$G,A3924,'Lançamentos de despesas'!$E:$E,"PAGO",'Lançamentos de despesas'!$C:$C,B3924)</f>
        <v>450</v>
      </c>
      <c r="E3924" s="15">
        <f t="shared" si="1"/>
        <v>2025</v>
      </c>
      <c r="F3924" s="15">
        <f t="shared" si="2"/>
        <v>5</v>
      </c>
      <c r="G3924" s="15">
        <f t="shared" si="3"/>
        <v>29</v>
      </c>
    </row>
    <row r="3925">
      <c r="A3925" s="10" t="s">
        <v>37</v>
      </c>
      <c r="B3925" s="94">
        <f t="shared" si="5"/>
        <v>45806</v>
      </c>
      <c r="C3925" s="77" t="s">
        <v>1572</v>
      </c>
      <c r="D3925" s="13">
        <f>D3922+D3923-D3924</f>
        <v>39422.29</v>
      </c>
      <c r="E3925" s="15">
        <f t="shared" si="1"/>
        <v>2025</v>
      </c>
      <c r="F3925" s="15">
        <f t="shared" si="2"/>
        <v>5</v>
      </c>
      <c r="G3925" s="15">
        <f t="shared" si="3"/>
        <v>29</v>
      </c>
    </row>
    <row r="3926">
      <c r="A3926" s="10" t="s">
        <v>37</v>
      </c>
      <c r="B3926" s="94">
        <f t="shared" si="5"/>
        <v>45807</v>
      </c>
      <c r="C3926" s="77" t="s">
        <v>1569</v>
      </c>
      <c r="D3926" s="13">
        <f>D3925</f>
        <v>39422.29</v>
      </c>
      <c r="E3926" s="15">
        <f t="shared" si="1"/>
        <v>2025</v>
      </c>
      <c r="F3926" s="15">
        <f t="shared" si="2"/>
        <v>5</v>
      </c>
      <c r="G3926" s="15">
        <f t="shared" si="3"/>
        <v>30</v>
      </c>
    </row>
    <row r="3927">
      <c r="A3927" s="10" t="s">
        <v>37</v>
      </c>
      <c r="B3927" s="94">
        <f t="shared" si="5"/>
        <v>45807</v>
      </c>
      <c r="C3927" s="77" t="s">
        <v>1570</v>
      </c>
      <c r="D3927" s="13">
        <f>SUMIFS('Lançamentos de receitas'!$E:$E,'Lançamentos de receitas'!$F:$F,"PAGO",'Lançamentos de receitas'!$C:$C,A3927,'Lançamentos de receitas'!$A:$A,B3927)</f>
        <v>1290</v>
      </c>
      <c r="E3927" s="15">
        <f t="shared" si="1"/>
        <v>2025</v>
      </c>
      <c r="F3927" s="15">
        <f t="shared" si="2"/>
        <v>5</v>
      </c>
      <c r="G3927" s="15">
        <f t="shared" si="3"/>
        <v>30</v>
      </c>
    </row>
    <row r="3928">
      <c r="A3928" s="10" t="s">
        <v>37</v>
      </c>
      <c r="B3928" s="94">
        <f t="shared" si="5"/>
        <v>45807</v>
      </c>
      <c r="C3928" s="77" t="s">
        <v>1571</v>
      </c>
      <c r="D3928" s="13">
        <f>SUMIFS('Lançamentos de despesas'!$I:$I,'Lançamentos de despesas'!$G:$G,A3928,'Lançamentos de despesas'!$E:$E,"PAGO",'Lançamentos de despesas'!$C:$C,B3928)</f>
        <v>0</v>
      </c>
      <c r="E3928" s="15">
        <f t="shared" si="1"/>
        <v>2025</v>
      </c>
      <c r="F3928" s="15">
        <f t="shared" si="2"/>
        <v>5</v>
      </c>
      <c r="G3928" s="15">
        <f t="shared" si="3"/>
        <v>30</v>
      </c>
    </row>
    <row r="3929">
      <c r="A3929" s="10" t="s">
        <v>37</v>
      </c>
      <c r="B3929" s="94">
        <f t="shared" si="5"/>
        <v>45807</v>
      </c>
      <c r="C3929" s="77" t="s">
        <v>1572</v>
      </c>
      <c r="D3929" s="13">
        <f>D3926+D3927-D3928</f>
        <v>40712.29</v>
      </c>
      <c r="E3929" s="15">
        <f t="shared" si="1"/>
        <v>2025</v>
      </c>
      <c r="F3929" s="15">
        <f t="shared" si="2"/>
        <v>5</v>
      </c>
      <c r="G3929" s="15">
        <f t="shared" si="3"/>
        <v>30</v>
      </c>
    </row>
    <row r="3930">
      <c r="A3930" s="10" t="s">
        <v>37</v>
      </c>
      <c r="B3930" s="94">
        <f t="shared" si="5"/>
        <v>45808</v>
      </c>
      <c r="C3930" s="77" t="s">
        <v>1569</v>
      </c>
      <c r="D3930" s="13">
        <f>D3929</f>
        <v>40712.29</v>
      </c>
      <c r="E3930" s="15">
        <f t="shared" si="1"/>
        <v>2025</v>
      </c>
      <c r="F3930" s="15">
        <f t="shared" si="2"/>
        <v>5</v>
      </c>
      <c r="G3930" s="15">
        <f t="shared" si="3"/>
        <v>31</v>
      </c>
    </row>
    <row r="3931">
      <c r="A3931" s="10" t="s">
        <v>37</v>
      </c>
      <c r="B3931" s="94">
        <f t="shared" si="5"/>
        <v>45808</v>
      </c>
      <c r="C3931" s="77" t="s">
        <v>1570</v>
      </c>
      <c r="D3931" s="13">
        <f>SUMIFS('Lançamentos de receitas'!$E:$E,'Lançamentos de receitas'!$F:$F,"PAGO",'Lançamentos de receitas'!$C:$C,A3931,'Lançamentos de receitas'!$A:$A,B3931)</f>
        <v>1060.83</v>
      </c>
      <c r="E3931" s="15">
        <f t="shared" si="1"/>
        <v>2025</v>
      </c>
      <c r="F3931" s="15">
        <f t="shared" si="2"/>
        <v>5</v>
      </c>
      <c r="G3931" s="15">
        <f t="shared" si="3"/>
        <v>31</v>
      </c>
    </row>
    <row r="3932">
      <c r="A3932" s="10" t="s">
        <v>37</v>
      </c>
      <c r="B3932" s="94">
        <f t="shared" si="5"/>
        <v>45808</v>
      </c>
      <c r="C3932" s="77" t="s">
        <v>1571</v>
      </c>
      <c r="D3932" s="13">
        <f>SUMIFS('Lançamentos de despesas'!$I:$I,'Lançamentos de despesas'!$G:$G,A3932,'Lançamentos de despesas'!$E:$E,"PAGO",'Lançamentos de despesas'!$C:$C,B3932)</f>
        <v>0</v>
      </c>
      <c r="E3932" s="15">
        <f t="shared" si="1"/>
        <v>2025</v>
      </c>
      <c r="F3932" s="15">
        <f t="shared" si="2"/>
        <v>5</v>
      </c>
      <c r="G3932" s="15">
        <f t="shared" si="3"/>
        <v>31</v>
      </c>
    </row>
    <row r="3933">
      <c r="A3933" s="10" t="s">
        <v>37</v>
      </c>
      <c r="B3933" s="94">
        <f t="shared" si="5"/>
        <v>45808</v>
      </c>
      <c r="C3933" s="77" t="s">
        <v>1572</v>
      </c>
      <c r="D3933" s="13">
        <f>D3930+D3931-D3932</f>
        <v>41773.12</v>
      </c>
      <c r="E3933" s="15">
        <f t="shared" si="1"/>
        <v>2025</v>
      </c>
      <c r="F3933" s="15">
        <f t="shared" si="2"/>
        <v>5</v>
      </c>
      <c r="G3933" s="15">
        <f t="shared" si="3"/>
        <v>31</v>
      </c>
    </row>
    <row r="3934">
      <c r="A3934" s="10" t="s">
        <v>37</v>
      </c>
      <c r="B3934" s="94">
        <f t="shared" si="5"/>
        <v>45809</v>
      </c>
      <c r="C3934" s="77" t="s">
        <v>1569</v>
      </c>
      <c r="D3934" s="13">
        <f>D3933</f>
        <v>41773.12</v>
      </c>
      <c r="E3934" s="15">
        <f t="shared" si="1"/>
        <v>2025</v>
      </c>
      <c r="F3934" s="15">
        <f t="shared" si="2"/>
        <v>6</v>
      </c>
      <c r="G3934" s="15">
        <f t="shared" si="3"/>
        <v>1</v>
      </c>
    </row>
    <row r="3935">
      <c r="A3935" s="10" t="s">
        <v>37</v>
      </c>
      <c r="B3935" s="94">
        <f t="shared" si="5"/>
        <v>45809</v>
      </c>
      <c r="C3935" s="77" t="s">
        <v>1570</v>
      </c>
      <c r="D3935" s="13">
        <f>SUMIFS('Lançamentos de receitas'!$E:$E,'Lançamentos de receitas'!$F:$F,"PAGO",'Lançamentos de receitas'!$C:$C,A3935,'Lançamentos de receitas'!$A:$A,B3935)</f>
        <v>696.75</v>
      </c>
      <c r="E3935" s="15">
        <f t="shared" si="1"/>
        <v>2025</v>
      </c>
      <c r="F3935" s="15">
        <f t="shared" si="2"/>
        <v>6</v>
      </c>
      <c r="G3935" s="15">
        <f t="shared" si="3"/>
        <v>1</v>
      </c>
    </row>
    <row r="3936">
      <c r="A3936" s="10" t="s">
        <v>37</v>
      </c>
      <c r="B3936" s="94">
        <f t="shared" si="5"/>
        <v>45809</v>
      </c>
      <c r="C3936" s="77" t="s">
        <v>1571</v>
      </c>
      <c r="D3936" s="13">
        <f>SUMIFS('Lançamentos de despesas'!$I:$I,'Lançamentos de despesas'!$G:$G,A3936,'Lançamentos de despesas'!$E:$E,"PAGO",'Lançamentos de despesas'!$C:$C,B3936)</f>
        <v>0</v>
      </c>
      <c r="E3936" s="15">
        <f t="shared" si="1"/>
        <v>2025</v>
      </c>
      <c r="F3936" s="15">
        <f t="shared" si="2"/>
        <v>6</v>
      </c>
      <c r="G3936" s="15">
        <f t="shared" si="3"/>
        <v>1</v>
      </c>
    </row>
    <row r="3937">
      <c r="A3937" s="10" t="s">
        <v>37</v>
      </c>
      <c r="B3937" s="94">
        <f t="shared" si="5"/>
        <v>45809</v>
      </c>
      <c r="C3937" s="77" t="s">
        <v>1572</v>
      </c>
      <c r="D3937" s="13">
        <f>D3934+D3935-D3936</f>
        <v>42469.87</v>
      </c>
      <c r="E3937" s="15">
        <f t="shared" si="1"/>
        <v>2025</v>
      </c>
      <c r="F3937" s="15">
        <f t="shared" si="2"/>
        <v>6</v>
      </c>
      <c r="G3937" s="15">
        <f t="shared" si="3"/>
        <v>1</v>
      </c>
    </row>
    <row r="3938">
      <c r="A3938" s="10" t="s">
        <v>37</v>
      </c>
      <c r="B3938" s="94">
        <f t="shared" si="5"/>
        <v>45810</v>
      </c>
      <c r="C3938" s="77" t="s">
        <v>1569</v>
      </c>
      <c r="D3938" s="13">
        <f>D3937</f>
        <v>42469.87</v>
      </c>
      <c r="E3938" s="15">
        <f t="shared" si="1"/>
        <v>2025</v>
      </c>
      <c r="F3938" s="15">
        <f t="shared" si="2"/>
        <v>6</v>
      </c>
      <c r="G3938" s="15">
        <f t="shared" si="3"/>
        <v>2</v>
      </c>
    </row>
    <row r="3939">
      <c r="A3939" s="10" t="s">
        <v>37</v>
      </c>
      <c r="B3939" s="94">
        <f t="shared" si="5"/>
        <v>45810</v>
      </c>
      <c r="C3939" s="77" t="s">
        <v>1570</v>
      </c>
      <c r="D3939" s="13">
        <f>SUMIFS('Lançamentos de receitas'!$E:$E,'Lançamentos de receitas'!$F:$F,"PAGO",'Lançamentos de receitas'!$C:$C,A3939,'Lançamentos de receitas'!$A:$A,B3939)</f>
        <v>300.18</v>
      </c>
      <c r="E3939" s="15">
        <f t="shared" si="1"/>
        <v>2025</v>
      </c>
      <c r="F3939" s="15">
        <f t="shared" si="2"/>
        <v>6</v>
      </c>
      <c r="G3939" s="15">
        <f t="shared" si="3"/>
        <v>2</v>
      </c>
    </row>
    <row r="3940">
      <c r="A3940" s="10" t="s">
        <v>37</v>
      </c>
      <c r="B3940" s="94">
        <f t="shared" si="5"/>
        <v>45810</v>
      </c>
      <c r="C3940" s="77" t="s">
        <v>1571</v>
      </c>
      <c r="D3940" s="13">
        <f>SUMIFS('Lançamentos de despesas'!$I:$I,'Lançamentos de despesas'!$G:$G,A3940,'Lançamentos de despesas'!$E:$E,"PAGO",'Lançamentos de despesas'!$C:$C,B3940)</f>
        <v>6210</v>
      </c>
      <c r="E3940" s="15">
        <f t="shared" si="1"/>
        <v>2025</v>
      </c>
      <c r="F3940" s="15">
        <f t="shared" si="2"/>
        <v>6</v>
      </c>
      <c r="G3940" s="15">
        <f t="shared" si="3"/>
        <v>2</v>
      </c>
    </row>
    <row r="3941">
      <c r="A3941" s="10" t="s">
        <v>37</v>
      </c>
      <c r="B3941" s="94">
        <f t="shared" si="5"/>
        <v>45810</v>
      </c>
      <c r="C3941" s="77" t="s">
        <v>1572</v>
      </c>
      <c r="D3941" s="13">
        <f>D3938+D3939-D3940</f>
        <v>36560.05</v>
      </c>
      <c r="E3941" s="15">
        <f t="shared" si="1"/>
        <v>2025</v>
      </c>
      <c r="F3941" s="15">
        <f t="shared" si="2"/>
        <v>6</v>
      </c>
      <c r="G3941" s="15">
        <f t="shared" si="3"/>
        <v>2</v>
      </c>
    </row>
    <row r="3942">
      <c r="A3942" s="10" t="s">
        <v>37</v>
      </c>
      <c r="B3942" s="94">
        <f t="shared" si="5"/>
        <v>45811</v>
      </c>
      <c r="C3942" s="77" t="s">
        <v>1569</v>
      </c>
      <c r="D3942" s="13">
        <f>D3941</f>
        <v>36560.05</v>
      </c>
      <c r="E3942" s="15">
        <f t="shared" si="1"/>
        <v>2025</v>
      </c>
      <c r="F3942" s="15">
        <f t="shared" si="2"/>
        <v>6</v>
      </c>
      <c r="G3942" s="15">
        <f t="shared" si="3"/>
        <v>3</v>
      </c>
    </row>
    <row r="3943">
      <c r="A3943" s="10" t="s">
        <v>37</v>
      </c>
      <c r="B3943" s="94">
        <f t="shared" si="5"/>
        <v>45811</v>
      </c>
      <c r="C3943" s="77" t="s">
        <v>1570</v>
      </c>
      <c r="D3943" s="13">
        <f>SUMIFS('Lançamentos de receitas'!$E:$E,'Lançamentos de receitas'!$F:$F,"PAGO",'Lançamentos de receitas'!$C:$C,A3943,'Lançamentos de receitas'!$A:$A,B3943)</f>
        <v>2370.29</v>
      </c>
      <c r="E3943" s="15">
        <f t="shared" si="1"/>
        <v>2025</v>
      </c>
      <c r="F3943" s="15">
        <f t="shared" si="2"/>
        <v>6</v>
      </c>
      <c r="G3943" s="15">
        <f t="shared" si="3"/>
        <v>3</v>
      </c>
    </row>
    <row r="3944">
      <c r="A3944" s="10" t="s">
        <v>37</v>
      </c>
      <c r="B3944" s="94">
        <f t="shared" si="5"/>
        <v>45811</v>
      </c>
      <c r="C3944" s="77" t="s">
        <v>1571</v>
      </c>
      <c r="D3944" s="13">
        <f>SUMIFS('Lançamentos de despesas'!$I:$I,'Lançamentos de despesas'!$G:$G,A3944,'Lançamentos de despesas'!$E:$E,"PAGO",'Lançamentos de despesas'!$C:$C,B3944)</f>
        <v>0</v>
      </c>
      <c r="E3944" s="15">
        <f t="shared" si="1"/>
        <v>2025</v>
      </c>
      <c r="F3944" s="15">
        <f t="shared" si="2"/>
        <v>6</v>
      </c>
      <c r="G3944" s="15">
        <f t="shared" si="3"/>
        <v>3</v>
      </c>
    </row>
    <row r="3945">
      <c r="A3945" s="10" t="s">
        <v>37</v>
      </c>
      <c r="B3945" s="94">
        <f t="shared" si="5"/>
        <v>45811</v>
      </c>
      <c r="C3945" s="77" t="s">
        <v>1572</v>
      </c>
      <c r="D3945" s="13">
        <f>D3942+D3943-D3944</f>
        <v>38930.34</v>
      </c>
      <c r="E3945" s="15">
        <f t="shared" si="1"/>
        <v>2025</v>
      </c>
      <c r="F3945" s="15">
        <f t="shared" si="2"/>
        <v>6</v>
      </c>
      <c r="G3945" s="15">
        <f t="shared" si="3"/>
        <v>3</v>
      </c>
    </row>
    <row r="3946">
      <c r="A3946" s="10" t="s">
        <v>37</v>
      </c>
      <c r="B3946" s="94">
        <f t="shared" si="5"/>
        <v>45812</v>
      </c>
      <c r="C3946" s="77" t="s">
        <v>1569</v>
      </c>
      <c r="D3946" s="13">
        <f>D3945</f>
        <v>38930.34</v>
      </c>
      <c r="E3946" s="15">
        <f t="shared" si="1"/>
        <v>2025</v>
      </c>
      <c r="F3946" s="15">
        <f t="shared" si="2"/>
        <v>6</v>
      </c>
      <c r="G3946" s="15">
        <f t="shared" si="3"/>
        <v>4</v>
      </c>
    </row>
    <row r="3947">
      <c r="A3947" s="10" t="s">
        <v>37</v>
      </c>
      <c r="B3947" s="94">
        <f t="shared" si="5"/>
        <v>45812</v>
      </c>
      <c r="C3947" s="77" t="s">
        <v>1570</v>
      </c>
      <c r="D3947" s="13">
        <f>SUMIFS('Lançamentos de receitas'!$E:$E,'Lançamentos de receitas'!$F:$F,"PAGO",'Lançamentos de receitas'!$C:$C,A3947,'Lançamentos de receitas'!$A:$A,B3947)</f>
        <v>2679.67</v>
      </c>
      <c r="E3947" s="15">
        <f t="shared" si="1"/>
        <v>2025</v>
      </c>
      <c r="F3947" s="15">
        <f t="shared" si="2"/>
        <v>6</v>
      </c>
      <c r="G3947" s="15">
        <f t="shared" si="3"/>
        <v>4</v>
      </c>
    </row>
    <row r="3948">
      <c r="A3948" s="10" t="s">
        <v>37</v>
      </c>
      <c r="B3948" s="94">
        <f t="shared" si="5"/>
        <v>45812</v>
      </c>
      <c r="C3948" s="77" t="s">
        <v>1571</v>
      </c>
      <c r="D3948" s="13">
        <f>SUMIFS('Lançamentos de despesas'!$I:$I,'Lançamentos de despesas'!$G:$G,A3948,'Lançamentos de despesas'!$E:$E,"PAGO",'Lançamentos de despesas'!$C:$C,B3948)</f>
        <v>0</v>
      </c>
      <c r="E3948" s="15">
        <f t="shared" si="1"/>
        <v>2025</v>
      </c>
      <c r="F3948" s="15">
        <f t="shared" si="2"/>
        <v>6</v>
      </c>
      <c r="G3948" s="15">
        <f t="shared" si="3"/>
        <v>4</v>
      </c>
    </row>
    <row r="3949">
      <c r="A3949" s="10" t="s">
        <v>37</v>
      </c>
      <c r="B3949" s="94">
        <f t="shared" si="5"/>
        <v>45812</v>
      </c>
      <c r="C3949" s="77" t="s">
        <v>1572</v>
      </c>
      <c r="D3949" s="13">
        <f>D3946+D3947-D3948</f>
        <v>41610.01</v>
      </c>
      <c r="E3949" s="15">
        <f t="shared" si="1"/>
        <v>2025</v>
      </c>
      <c r="F3949" s="15">
        <f t="shared" si="2"/>
        <v>6</v>
      </c>
      <c r="G3949" s="15">
        <f t="shared" si="3"/>
        <v>4</v>
      </c>
    </row>
    <row r="3950">
      <c r="A3950" s="10" t="s">
        <v>37</v>
      </c>
      <c r="B3950" s="94">
        <f t="shared" si="5"/>
        <v>45813</v>
      </c>
      <c r="C3950" s="77" t="s">
        <v>1569</v>
      </c>
      <c r="D3950" s="13">
        <f>D3949</f>
        <v>41610.01</v>
      </c>
      <c r="E3950" s="15">
        <f t="shared" si="1"/>
        <v>2025</v>
      </c>
      <c r="F3950" s="15">
        <f t="shared" si="2"/>
        <v>6</v>
      </c>
      <c r="G3950" s="15">
        <f t="shared" si="3"/>
        <v>5</v>
      </c>
    </row>
    <row r="3951">
      <c r="A3951" s="10" t="s">
        <v>37</v>
      </c>
      <c r="B3951" s="94">
        <f t="shared" si="5"/>
        <v>45813</v>
      </c>
      <c r="C3951" s="77" t="s">
        <v>1570</v>
      </c>
      <c r="D3951" s="13">
        <f>SUMIFS('Lançamentos de receitas'!$E:$E,'Lançamentos de receitas'!$F:$F,"PAGO",'Lançamentos de receitas'!$C:$C,A3951,'Lançamentos de receitas'!$A:$A,B3951)</f>
        <v>1701.14</v>
      </c>
      <c r="E3951" s="15">
        <f t="shared" si="1"/>
        <v>2025</v>
      </c>
      <c r="F3951" s="15">
        <f t="shared" si="2"/>
        <v>6</v>
      </c>
      <c r="G3951" s="15">
        <f t="shared" si="3"/>
        <v>5</v>
      </c>
    </row>
    <row r="3952">
      <c r="A3952" s="10" t="s">
        <v>37</v>
      </c>
      <c r="B3952" s="94">
        <f t="shared" si="5"/>
        <v>45813</v>
      </c>
      <c r="C3952" s="77" t="s">
        <v>1571</v>
      </c>
      <c r="D3952" s="13">
        <f>SUMIFS('Lançamentos de despesas'!$I:$I,'Lançamentos de despesas'!$G:$G,A3952,'Lançamentos de despesas'!$E:$E,"PAGO",'Lançamentos de despesas'!$C:$C,B3952)</f>
        <v>0</v>
      </c>
      <c r="E3952" s="15">
        <f t="shared" si="1"/>
        <v>2025</v>
      </c>
      <c r="F3952" s="15">
        <f t="shared" si="2"/>
        <v>6</v>
      </c>
      <c r="G3952" s="15">
        <f t="shared" si="3"/>
        <v>5</v>
      </c>
    </row>
    <row r="3953">
      <c r="A3953" s="10" t="s">
        <v>37</v>
      </c>
      <c r="B3953" s="94">
        <f t="shared" si="5"/>
        <v>45813</v>
      </c>
      <c r="C3953" s="77" t="s">
        <v>1572</v>
      </c>
      <c r="D3953" s="13">
        <f>D3950+D3951-D3952</f>
        <v>43311.15</v>
      </c>
      <c r="E3953" s="15">
        <f t="shared" si="1"/>
        <v>2025</v>
      </c>
      <c r="F3953" s="15">
        <f t="shared" si="2"/>
        <v>6</v>
      </c>
      <c r="G3953" s="15">
        <f t="shared" si="3"/>
        <v>5</v>
      </c>
    </row>
    <row r="3954">
      <c r="A3954" s="10" t="s">
        <v>37</v>
      </c>
      <c r="B3954" s="94">
        <f t="shared" si="5"/>
        <v>45814</v>
      </c>
      <c r="C3954" s="77" t="s">
        <v>1569</v>
      </c>
      <c r="D3954" s="13">
        <f>D3953</f>
        <v>43311.15</v>
      </c>
      <c r="E3954" s="15">
        <f t="shared" si="1"/>
        <v>2025</v>
      </c>
      <c r="F3954" s="15">
        <f t="shared" si="2"/>
        <v>6</v>
      </c>
      <c r="G3954" s="15">
        <f t="shared" si="3"/>
        <v>6</v>
      </c>
    </row>
    <row r="3955">
      <c r="A3955" s="10" t="s">
        <v>37</v>
      </c>
      <c r="B3955" s="94">
        <f t="shared" si="5"/>
        <v>45814</v>
      </c>
      <c r="C3955" s="77" t="s">
        <v>1570</v>
      </c>
      <c r="D3955" s="13">
        <f>SUMIFS('Lançamentos de receitas'!$E:$E,'Lançamentos de receitas'!$F:$F,"PAGO",'Lançamentos de receitas'!$C:$C,A3955,'Lançamentos de receitas'!$A:$A,B3955)</f>
        <v>2402.82</v>
      </c>
      <c r="E3955" s="15">
        <f t="shared" si="1"/>
        <v>2025</v>
      </c>
      <c r="F3955" s="15">
        <f t="shared" si="2"/>
        <v>6</v>
      </c>
      <c r="G3955" s="15">
        <f t="shared" si="3"/>
        <v>6</v>
      </c>
    </row>
    <row r="3956">
      <c r="A3956" s="10" t="s">
        <v>37</v>
      </c>
      <c r="B3956" s="94">
        <f t="shared" si="5"/>
        <v>45814</v>
      </c>
      <c r="C3956" s="77" t="s">
        <v>1571</v>
      </c>
      <c r="D3956" s="13">
        <f>SUMIFS('Lançamentos de despesas'!$I:$I,'Lançamentos de despesas'!$G:$G,A3956,'Lançamentos de despesas'!$E:$E,"PAGO",'Lançamentos de despesas'!$C:$C,B3956)</f>
        <v>265</v>
      </c>
      <c r="E3956" s="15">
        <f t="shared" si="1"/>
        <v>2025</v>
      </c>
      <c r="F3956" s="15">
        <f t="shared" si="2"/>
        <v>6</v>
      </c>
      <c r="G3956" s="15">
        <f t="shared" si="3"/>
        <v>6</v>
      </c>
    </row>
    <row r="3957">
      <c r="A3957" s="10" t="s">
        <v>37</v>
      </c>
      <c r="B3957" s="94">
        <f t="shared" si="5"/>
        <v>45814</v>
      </c>
      <c r="C3957" s="77" t="s">
        <v>1572</v>
      </c>
      <c r="D3957" s="13">
        <f>D3954+D3955-D3956</f>
        <v>45448.97</v>
      </c>
      <c r="E3957" s="15">
        <f t="shared" si="1"/>
        <v>2025</v>
      </c>
      <c r="F3957" s="15">
        <f t="shared" si="2"/>
        <v>6</v>
      </c>
      <c r="G3957" s="15">
        <f t="shared" si="3"/>
        <v>6</v>
      </c>
    </row>
    <row r="3958">
      <c r="A3958" s="10" t="s">
        <v>37</v>
      </c>
      <c r="B3958" s="94">
        <f t="shared" si="5"/>
        <v>45815</v>
      </c>
      <c r="C3958" s="77" t="s">
        <v>1569</v>
      </c>
      <c r="D3958" s="13">
        <f>D3957</f>
        <v>45448.97</v>
      </c>
      <c r="E3958" s="15">
        <f t="shared" si="1"/>
        <v>2025</v>
      </c>
      <c r="F3958" s="15">
        <f t="shared" si="2"/>
        <v>6</v>
      </c>
      <c r="G3958" s="15">
        <f t="shared" si="3"/>
        <v>7</v>
      </c>
    </row>
    <row r="3959">
      <c r="A3959" s="10" t="s">
        <v>37</v>
      </c>
      <c r="B3959" s="94">
        <f t="shared" si="5"/>
        <v>45815</v>
      </c>
      <c r="C3959" s="77" t="s">
        <v>1570</v>
      </c>
      <c r="D3959" s="13">
        <f>SUMIFS('Lançamentos de receitas'!$E:$E,'Lançamentos de receitas'!$F:$F,"PAGO",'Lançamentos de receitas'!$C:$C,A3959,'Lançamentos de receitas'!$A:$A,B3959)</f>
        <v>1907.05</v>
      </c>
      <c r="E3959" s="15">
        <f t="shared" si="1"/>
        <v>2025</v>
      </c>
      <c r="F3959" s="15">
        <f t="shared" si="2"/>
        <v>6</v>
      </c>
      <c r="G3959" s="15">
        <f t="shared" si="3"/>
        <v>7</v>
      </c>
    </row>
    <row r="3960">
      <c r="A3960" s="10" t="s">
        <v>37</v>
      </c>
      <c r="B3960" s="94">
        <f t="shared" si="5"/>
        <v>45815</v>
      </c>
      <c r="C3960" s="77" t="s">
        <v>1571</v>
      </c>
      <c r="D3960" s="13">
        <f>SUMIFS('Lançamentos de despesas'!$I:$I,'Lançamentos de despesas'!$G:$G,A3960,'Lançamentos de despesas'!$E:$E,"PAGO",'Lançamentos de despesas'!$C:$C,B3960)</f>
        <v>200</v>
      </c>
      <c r="E3960" s="15">
        <f t="shared" si="1"/>
        <v>2025</v>
      </c>
      <c r="F3960" s="15">
        <f t="shared" si="2"/>
        <v>6</v>
      </c>
      <c r="G3960" s="15">
        <f t="shared" si="3"/>
        <v>7</v>
      </c>
    </row>
    <row r="3961">
      <c r="A3961" s="10" t="s">
        <v>37</v>
      </c>
      <c r="B3961" s="94">
        <f t="shared" si="5"/>
        <v>45815</v>
      </c>
      <c r="C3961" s="77" t="s">
        <v>1572</v>
      </c>
      <c r="D3961" s="13">
        <f>D3958+D3959-D3960</f>
        <v>47156.02</v>
      </c>
      <c r="E3961" s="15">
        <f t="shared" si="1"/>
        <v>2025</v>
      </c>
      <c r="F3961" s="15">
        <f t="shared" si="2"/>
        <v>6</v>
      </c>
      <c r="G3961" s="15">
        <f t="shared" si="3"/>
        <v>7</v>
      </c>
    </row>
    <row r="3962">
      <c r="A3962" s="10" t="s">
        <v>37</v>
      </c>
      <c r="B3962" s="94">
        <f t="shared" si="5"/>
        <v>45816</v>
      </c>
      <c r="C3962" s="77" t="s">
        <v>1569</v>
      </c>
      <c r="D3962" s="13">
        <f>D3961</f>
        <v>47156.02</v>
      </c>
      <c r="E3962" s="15">
        <f t="shared" si="1"/>
        <v>2025</v>
      </c>
      <c r="F3962" s="15">
        <f t="shared" si="2"/>
        <v>6</v>
      </c>
      <c r="G3962" s="15">
        <f t="shared" si="3"/>
        <v>8</v>
      </c>
    </row>
    <row r="3963">
      <c r="A3963" s="10" t="s">
        <v>37</v>
      </c>
      <c r="B3963" s="94">
        <f t="shared" si="5"/>
        <v>45816</v>
      </c>
      <c r="C3963" s="77" t="s">
        <v>1570</v>
      </c>
      <c r="D3963" s="13">
        <f>SUMIFS('Lançamentos de receitas'!$E:$E,'Lançamentos de receitas'!$F:$F,"PAGO",'Lançamentos de receitas'!$C:$C,A3963,'Lançamentos de receitas'!$A:$A,B3963)</f>
        <v>2128.48</v>
      </c>
      <c r="E3963" s="15">
        <f t="shared" si="1"/>
        <v>2025</v>
      </c>
      <c r="F3963" s="15">
        <f t="shared" si="2"/>
        <v>6</v>
      </c>
      <c r="G3963" s="15">
        <f t="shared" si="3"/>
        <v>8</v>
      </c>
    </row>
    <row r="3964">
      <c r="A3964" s="10" t="s">
        <v>37</v>
      </c>
      <c r="B3964" s="94">
        <f t="shared" si="5"/>
        <v>45816</v>
      </c>
      <c r="C3964" s="77" t="s">
        <v>1571</v>
      </c>
      <c r="D3964" s="13">
        <f>SUMIFS('Lançamentos de despesas'!$I:$I,'Lançamentos de despesas'!$G:$G,A3964,'Lançamentos de despesas'!$E:$E,"PAGO",'Lançamentos de despesas'!$C:$C,B3964)</f>
        <v>0</v>
      </c>
      <c r="E3964" s="15">
        <f t="shared" si="1"/>
        <v>2025</v>
      </c>
      <c r="F3964" s="15">
        <f t="shared" si="2"/>
        <v>6</v>
      </c>
      <c r="G3964" s="15">
        <f t="shared" si="3"/>
        <v>8</v>
      </c>
    </row>
    <row r="3965">
      <c r="A3965" s="10" t="s">
        <v>37</v>
      </c>
      <c r="B3965" s="94">
        <f t="shared" si="5"/>
        <v>45816</v>
      </c>
      <c r="C3965" s="77" t="s">
        <v>1572</v>
      </c>
      <c r="D3965" s="13">
        <f>D3962+D3963-D3964</f>
        <v>49284.5</v>
      </c>
      <c r="E3965" s="15">
        <f t="shared" si="1"/>
        <v>2025</v>
      </c>
      <c r="F3965" s="15">
        <f t="shared" si="2"/>
        <v>6</v>
      </c>
      <c r="G3965" s="15">
        <f t="shared" si="3"/>
        <v>8</v>
      </c>
    </row>
    <row r="3966">
      <c r="A3966" s="10" t="s">
        <v>37</v>
      </c>
      <c r="B3966" s="94">
        <f t="shared" si="5"/>
        <v>45817</v>
      </c>
      <c r="C3966" s="77" t="s">
        <v>1569</v>
      </c>
      <c r="D3966" s="13">
        <f>D3965</f>
        <v>49284.5</v>
      </c>
      <c r="E3966" s="15">
        <f t="shared" si="1"/>
        <v>2025</v>
      </c>
      <c r="F3966" s="15">
        <f t="shared" si="2"/>
        <v>6</v>
      </c>
      <c r="G3966" s="15">
        <f t="shared" si="3"/>
        <v>9</v>
      </c>
    </row>
    <row r="3967">
      <c r="A3967" s="10" t="s">
        <v>37</v>
      </c>
      <c r="B3967" s="94">
        <f t="shared" si="5"/>
        <v>45817</v>
      </c>
      <c r="C3967" s="77" t="s">
        <v>1570</v>
      </c>
      <c r="D3967" s="13">
        <f>SUMIFS('Lançamentos de receitas'!$E:$E,'Lançamentos de receitas'!$F:$F,"PAGO",'Lançamentos de receitas'!$C:$C,A3967,'Lançamentos de receitas'!$A:$A,B3967)</f>
        <v>763.43</v>
      </c>
      <c r="E3967" s="15">
        <f t="shared" si="1"/>
        <v>2025</v>
      </c>
      <c r="F3967" s="15">
        <f t="shared" si="2"/>
        <v>6</v>
      </c>
      <c r="G3967" s="15">
        <f t="shared" si="3"/>
        <v>9</v>
      </c>
    </row>
    <row r="3968">
      <c r="A3968" s="10" t="s">
        <v>37</v>
      </c>
      <c r="B3968" s="94">
        <f t="shared" si="5"/>
        <v>45817</v>
      </c>
      <c r="C3968" s="77" t="s">
        <v>1571</v>
      </c>
      <c r="D3968" s="13">
        <f>SUMIFS('Lançamentos de despesas'!$I:$I,'Lançamentos de despesas'!$G:$G,A3968,'Lançamentos de despesas'!$E:$E,"PAGO",'Lançamentos de despesas'!$C:$C,B3968)</f>
        <v>3182.35</v>
      </c>
      <c r="E3968" s="15">
        <f t="shared" si="1"/>
        <v>2025</v>
      </c>
      <c r="F3968" s="15">
        <f t="shared" si="2"/>
        <v>6</v>
      </c>
      <c r="G3968" s="15">
        <f t="shared" si="3"/>
        <v>9</v>
      </c>
    </row>
    <row r="3969">
      <c r="A3969" s="10" t="s">
        <v>37</v>
      </c>
      <c r="B3969" s="94">
        <f t="shared" si="5"/>
        <v>45817</v>
      </c>
      <c r="C3969" s="77" t="s">
        <v>1572</v>
      </c>
      <c r="D3969" s="13">
        <f>D3966+D3967-D3968</f>
        <v>46865.58</v>
      </c>
      <c r="E3969" s="15">
        <f t="shared" si="1"/>
        <v>2025</v>
      </c>
      <c r="F3969" s="15">
        <f t="shared" si="2"/>
        <v>6</v>
      </c>
      <c r="G3969" s="15">
        <f t="shared" si="3"/>
        <v>9</v>
      </c>
    </row>
    <row r="3970">
      <c r="A3970" s="10" t="s">
        <v>37</v>
      </c>
      <c r="B3970" s="94">
        <f t="shared" si="5"/>
        <v>45818</v>
      </c>
      <c r="C3970" s="77" t="s">
        <v>1569</v>
      </c>
      <c r="D3970" s="13">
        <f>D3969</f>
        <v>46865.58</v>
      </c>
      <c r="E3970" s="15">
        <f t="shared" si="1"/>
        <v>2025</v>
      </c>
      <c r="F3970" s="15">
        <f t="shared" si="2"/>
        <v>6</v>
      </c>
      <c r="G3970" s="15">
        <f t="shared" si="3"/>
        <v>10</v>
      </c>
    </row>
    <row r="3971">
      <c r="A3971" s="10" t="s">
        <v>37</v>
      </c>
      <c r="B3971" s="94">
        <f t="shared" si="5"/>
        <v>45818</v>
      </c>
      <c r="C3971" s="77" t="s">
        <v>1570</v>
      </c>
      <c r="D3971" s="13">
        <f>SUMIFS('Lançamentos de receitas'!$E:$E,'Lançamentos de receitas'!$F:$F,"PAGO",'Lançamentos de receitas'!$C:$C,A3971,'Lançamentos de receitas'!$A:$A,B3971)</f>
        <v>3000.54</v>
      </c>
      <c r="E3971" s="15">
        <f t="shared" si="1"/>
        <v>2025</v>
      </c>
      <c r="F3971" s="15">
        <f t="shared" si="2"/>
        <v>6</v>
      </c>
      <c r="G3971" s="15">
        <f t="shared" si="3"/>
        <v>10</v>
      </c>
    </row>
    <row r="3972">
      <c r="A3972" s="10" t="s">
        <v>37</v>
      </c>
      <c r="B3972" s="94">
        <f t="shared" si="5"/>
        <v>45818</v>
      </c>
      <c r="C3972" s="77" t="s">
        <v>1571</v>
      </c>
      <c r="D3972" s="13">
        <f>SUMIFS('Lançamentos de despesas'!$I:$I,'Lançamentos de despesas'!$G:$G,A3972,'Lançamentos de despesas'!$E:$E,"PAGO",'Lançamentos de despesas'!$C:$C,B3972)</f>
        <v>424.5</v>
      </c>
      <c r="E3972" s="15">
        <f t="shared" si="1"/>
        <v>2025</v>
      </c>
      <c r="F3972" s="15">
        <f t="shared" si="2"/>
        <v>6</v>
      </c>
      <c r="G3972" s="15">
        <f t="shared" si="3"/>
        <v>10</v>
      </c>
    </row>
    <row r="3973">
      <c r="A3973" s="10" t="s">
        <v>37</v>
      </c>
      <c r="B3973" s="94">
        <f t="shared" si="5"/>
        <v>45818</v>
      </c>
      <c r="C3973" s="77" t="s">
        <v>1572</v>
      </c>
      <c r="D3973" s="13">
        <f>D3970+D3971-D3972</f>
        <v>49441.62</v>
      </c>
      <c r="E3973" s="15">
        <f t="shared" si="1"/>
        <v>2025</v>
      </c>
      <c r="F3973" s="15">
        <f t="shared" si="2"/>
        <v>6</v>
      </c>
      <c r="G3973" s="15">
        <f t="shared" si="3"/>
        <v>10</v>
      </c>
    </row>
    <row r="3974">
      <c r="A3974" s="10" t="s">
        <v>37</v>
      </c>
      <c r="B3974" s="94">
        <f t="shared" si="5"/>
        <v>45819</v>
      </c>
      <c r="C3974" s="77" t="s">
        <v>1569</v>
      </c>
      <c r="D3974" s="13">
        <f>D3973</f>
        <v>49441.62</v>
      </c>
      <c r="E3974" s="15">
        <f t="shared" si="1"/>
        <v>2025</v>
      </c>
      <c r="F3974" s="15">
        <f t="shared" si="2"/>
        <v>6</v>
      </c>
      <c r="G3974" s="15">
        <f t="shared" si="3"/>
        <v>11</v>
      </c>
    </row>
    <row r="3975">
      <c r="A3975" s="10" t="s">
        <v>37</v>
      </c>
      <c r="B3975" s="94">
        <f t="shared" si="5"/>
        <v>45819</v>
      </c>
      <c r="C3975" s="77" t="s">
        <v>1570</v>
      </c>
      <c r="D3975" s="13">
        <f>SUMIFS('Lançamentos de receitas'!$E:$E,'Lançamentos de receitas'!$F:$F,"PAGO",'Lançamentos de receitas'!$C:$C,A3975,'Lançamentos de receitas'!$A:$A,B3975)</f>
        <v>1674.15</v>
      </c>
      <c r="E3975" s="15">
        <f t="shared" si="1"/>
        <v>2025</v>
      </c>
      <c r="F3975" s="15">
        <f t="shared" si="2"/>
        <v>6</v>
      </c>
      <c r="G3975" s="15">
        <f t="shared" si="3"/>
        <v>11</v>
      </c>
    </row>
    <row r="3976">
      <c r="A3976" s="10" t="s">
        <v>37</v>
      </c>
      <c r="B3976" s="94">
        <f t="shared" si="5"/>
        <v>45819</v>
      </c>
      <c r="C3976" s="77" t="s">
        <v>1571</v>
      </c>
      <c r="D3976" s="13">
        <f>SUMIFS('Lançamentos de despesas'!$I:$I,'Lançamentos de despesas'!$G:$G,A3976,'Lançamentos de despesas'!$E:$E,"PAGO",'Lançamentos de despesas'!$C:$C,B3976)</f>
        <v>0</v>
      </c>
      <c r="E3976" s="15">
        <f t="shared" si="1"/>
        <v>2025</v>
      </c>
      <c r="F3976" s="15">
        <f t="shared" si="2"/>
        <v>6</v>
      </c>
      <c r="G3976" s="15">
        <f t="shared" si="3"/>
        <v>11</v>
      </c>
    </row>
    <row r="3977">
      <c r="A3977" s="10" t="s">
        <v>37</v>
      </c>
      <c r="B3977" s="94">
        <f t="shared" si="5"/>
        <v>45819</v>
      </c>
      <c r="C3977" s="77" t="s">
        <v>1572</v>
      </c>
      <c r="D3977" s="13">
        <f>D3974+D3975-D3976</f>
        <v>51115.77</v>
      </c>
      <c r="E3977" s="15">
        <f t="shared" si="1"/>
        <v>2025</v>
      </c>
      <c r="F3977" s="15">
        <f t="shared" si="2"/>
        <v>6</v>
      </c>
      <c r="G3977" s="15">
        <f t="shared" si="3"/>
        <v>11</v>
      </c>
    </row>
    <row r="3978">
      <c r="A3978" s="10" t="s">
        <v>37</v>
      </c>
      <c r="B3978" s="94">
        <f t="shared" si="5"/>
        <v>45820</v>
      </c>
      <c r="C3978" s="77" t="s">
        <v>1569</v>
      </c>
      <c r="D3978" s="13">
        <f>D3977</f>
        <v>51115.77</v>
      </c>
      <c r="E3978" s="15">
        <f t="shared" si="1"/>
        <v>2025</v>
      </c>
      <c r="F3978" s="15">
        <f t="shared" si="2"/>
        <v>6</v>
      </c>
      <c r="G3978" s="15">
        <f t="shared" si="3"/>
        <v>12</v>
      </c>
    </row>
    <row r="3979">
      <c r="A3979" s="10" t="s">
        <v>37</v>
      </c>
      <c r="B3979" s="94">
        <f t="shared" si="5"/>
        <v>45820</v>
      </c>
      <c r="C3979" s="77" t="s">
        <v>1570</v>
      </c>
      <c r="D3979" s="13">
        <f>SUMIFS('Lançamentos de receitas'!$E:$E,'Lançamentos de receitas'!$F:$F,"PAGO",'Lançamentos de receitas'!$C:$C,A3979,'Lançamentos de receitas'!$A:$A,B3979)</f>
        <v>2367.76</v>
      </c>
      <c r="E3979" s="15">
        <f t="shared" si="1"/>
        <v>2025</v>
      </c>
      <c r="F3979" s="15">
        <f t="shared" si="2"/>
        <v>6</v>
      </c>
      <c r="G3979" s="15">
        <f t="shared" si="3"/>
        <v>12</v>
      </c>
    </row>
    <row r="3980">
      <c r="A3980" s="10" t="s">
        <v>37</v>
      </c>
      <c r="B3980" s="94">
        <f t="shared" si="5"/>
        <v>45820</v>
      </c>
      <c r="C3980" s="77" t="s">
        <v>1571</v>
      </c>
      <c r="D3980" s="13">
        <f>SUMIFS('Lançamentos de despesas'!$I:$I,'Lançamentos de despesas'!$G:$G,A3980,'Lançamentos de despesas'!$E:$E,"PAGO",'Lançamentos de despesas'!$C:$C,B3980)</f>
        <v>50</v>
      </c>
      <c r="E3980" s="15">
        <f t="shared" si="1"/>
        <v>2025</v>
      </c>
      <c r="F3980" s="15">
        <f t="shared" si="2"/>
        <v>6</v>
      </c>
      <c r="G3980" s="15">
        <f t="shared" si="3"/>
        <v>12</v>
      </c>
    </row>
    <row r="3981">
      <c r="A3981" s="10" t="s">
        <v>37</v>
      </c>
      <c r="B3981" s="94">
        <f t="shared" si="5"/>
        <v>45820</v>
      </c>
      <c r="C3981" s="77" t="s">
        <v>1572</v>
      </c>
      <c r="D3981" s="13">
        <f>D3978+D3979-D3980</f>
        <v>53433.53</v>
      </c>
      <c r="E3981" s="15">
        <f t="shared" si="1"/>
        <v>2025</v>
      </c>
      <c r="F3981" s="15">
        <f t="shared" si="2"/>
        <v>6</v>
      </c>
      <c r="G3981" s="15">
        <f t="shared" si="3"/>
        <v>12</v>
      </c>
    </row>
    <row r="3982">
      <c r="A3982" s="10" t="s">
        <v>37</v>
      </c>
      <c r="B3982" s="94">
        <f t="shared" si="5"/>
        <v>45821</v>
      </c>
      <c r="C3982" s="77" t="s">
        <v>1569</v>
      </c>
      <c r="D3982" s="13">
        <f>D3981</f>
        <v>53433.53</v>
      </c>
      <c r="E3982" s="15">
        <f t="shared" si="1"/>
        <v>2025</v>
      </c>
      <c r="F3982" s="15">
        <f t="shared" si="2"/>
        <v>6</v>
      </c>
      <c r="G3982" s="15">
        <f t="shared" si="3"/>
        <v>13</v>
      </c>
    </row>
    <row r="3983">
      <c r="A3983" s="10" t="s">
        <v>37</v>
      </c>
      <c r="B3983" s="94">
        <f t="shared" si="5"/>
        <v>45821</v>
      </c>
      <c r="C3983" s="77" t="s">
        <v>1570</v>
      </c>
      <c r="D3983" s="13">
        <f>SUMIFS('Lançamentos de receitas'!$E:$E,'Lançamentos de receitas'!$F:$F,"PAGO",'Lançamentos de receitas'!$C:$C,A3983,'Lançamentos de receitas'!$A:$A,B3983)</f>
        <v>2865.73</v>
      </c>
      <c r="E3983" s="15">
        <f t="shared" si="1"/>
        <v>2025</v>
      </c>
      <c r="F3983" s="15">
        <f t="shared" si="2"/>
        <v>6</v>
      </c>
      <c r="G3983" s="15">
        <f t="shared" si="3"/>
        <v>13</v>
      </c>
    </row>
    <row r="3984">
      <c r="A3984" s="10" t="s">
        <v>37</v>
      </c>
      <c r="B3984" s="94">
        <f t="shared" si="5"/>
        <v>45821</v>
      </c>
      <c r="C3984" s="77" t="s">
        <v>1571</v>
      </c>
      <c r="D3984" s="13">
        <f>SUMIFS('Lançamentos de despesas'!$I:$I,'Lançamentos de despesas'!$G:$G,A3984,'Lançamentos de despesas'!$E:$E,"PAGO",'Lançamentos de despesas'!$C:$C,B3984)</f>
        <v>1406.46</v>
      </c>
      <c r="E3984" s="15">
        <f t="shared" si="1"/>
        <v>2025</v>
      </c>
      <c r="F3984" s="15">
        <f t="shared" si="2"/>
        <v>6</v>
      </c>
      <c r="G3984" s="15">
        <f t="shared" si="3"/>
        <v>13</v>
      </c>
    </row>
    <row r="3985">
      <c r="A3985" s="10" t="s">
        <v>37</v>
      </c>
      <c r="B3985" s="94">
        <f t="shared" si="5"/>
        <v>45821</v>
      </c>
      <c r="C3985" s="77" t="s">
        <v>1572</v>
      </c>
      <c r="D3985" s="13">
        <f>D3982+D3983-D3984</f>
        <v>54892.8</v>
      </c>
      <c r="E3985" s="15">
        <f t="shared" si="1"/>
        <v>2025</v>
      </c>
      <c r="F3985" s="15">
        <f t="shared" si="2"/>
        <v>6</v>
      </c>
      <c r="G3985" s="15">
        <f t="shared" si="3"/>
        <v>13</v>
      </c>
    </row>
    <row r="3986">
      <c r="A3986" s="10" t="s">
        <v>37</v>
      </c>
      <c r="B3986" s="94">
        <f t="shared" si="5"/>
        <v>45822</v>
      </c>
      <c r="C3986" s="77" t="s">
        <v>1569</v>
      </c>
      <c r="D3986" s="13">
        <f>D3985</f>
        <v>54892.8</v>
      </c>
      <c r="E3986" s="15">
        <f t="shared" si="1"/>
        <v>2025</v>
      </c>
      <c r="F3986" s="15">
        <f t="shared" si="2"/>
        <v>6</v>
      </c>
      <c r="G3986" s="15">
        <f t="shared" si="3"/>
        <v>14</v>
      </c>
    </row>
    <row r="3987">
      <c r="A3987" s="10" t="s">
        <v>37</v>
      </c>
      <c r="B3987" s="94">
        <f t="shared" si="5"/>
        <v>45822</v>
      </c>
      <c r="C3987" s="77" t="s">
        <v>1570</v>
      </c>
      <c r="D3987" s="13">
        <f>SUMIFS('Lançamentos de receitas'!$E:$E,'Lançamentos de receitas'!$F:$F,"PAGO",'Lançamentos de receitas'!$C:$C,A3987,'Lançamentos de receitas'!$A:$A,B3987)</f>
        <v>2879.26</v>
      </c>
      <c r="E3987" s="15">
        <f t="shared" si="1"/>
        <v>2025</v>
      </c>
      <c r="F3987" s="15">
        <f t="shared" si="2"/>
        <v>6</v>
      </c>
      <c r="G3987" s="15">
        <f t="shared" si="3"/>
        <v>14</v>
      </c>
    </row>
    <row r="3988">
      <c r="A3988" s="10" t="s">
        <v>37</v>
      </c>
      <c r="B3988" s="94">
        <f t="shared" si="5"/>
        <v>45822</v>
      </c>
      <c r="C3988" s="77" t="s">
        <v>1571</v>
      </c>
      <c r="D3988" s="13">
        <f>SUMIFS('Lançamentos de despesas'!$I:$I,'Lançamentos de despesas'!$G:$G,A3988,'Lançamentos de despesas'!$E:$E,"PAGO",'Lançamentos de despesas'!$C:$C,B3988)</f>
        <v>0</v>
      </c>
      <c r="E3988" s="15">
        <f t="shared" si="1"/>
        <v>2025</v>
      </c>
      <c r="F3988" s="15">
        <f t="shared" si="2"/>
        <v>6</v>
      </c>
      <c r="G3988" s="15">
        <f t="shared" si="3"/>
        <v>14</v>
      </c>
    </row>
    <row r="3989">
      <c r="A3989" s="10" t="s">
        <v>37</v>
      </c>
      <c r="B3989" s="94">
        <f t="shared" si="5"/>
        <v>45822</v>
      </c>
      <c r="C3989" s="77" t="s">
        <v>1572</v>
      </c>
      <c r="D3989" s="13">
        <f>D3986+D3987-D3988</f>
        <v>57772.06</v>
      </c>
      <c r="E3989" s="15">
        <f t="shared" si="1"/>
        <v>2025</v>
      </c>
      <c r="F3989" s="15">
        <f t="shared" si="2"/>
        <v>6</v>
      </c>
      <c r="G3989" s="15">
        <f t="shared" si="3"/>
        <v>14</v>
      </c>
    </row>
    <row r="3990">
      <c r="A3990" s="10" t="s">
        <v>37</v>
      </c>
      <c r="B3990" s="94">
        <f t="shared" si="5"/>
        <v>45823</v>
      </c>
      <c r="C3990" s="77" t="s">
        <v>1569</v>
      </c>
      <c r="D3990" s="13">
        <f>D3989</f>
        <v>57772.06</v>
      </c>
      <c r="E3990" s="15">
        <f t="shared" si="1"/>
        <v>2025</v>
      </c>
      <c r="F3990" s="15">
        <f t="shared" si="2"/>
        <v>6</v>
      </c>
      <c r="G3990" s="15">
        <f t="shared" si="3"/>
        <v>15</v>
      </c>
    </row>
    <row r="3991">
      <c r="A3991" s="10" t="s">
        <v>37</v>
      </c>
      <c r="B3991" s="94">
        <f t="shared" si="5"/>
        <v>45823</v>
      </c>
      <c r="C3991" s="77" t="s">
        <v>1570</v>
      </c>
      <c r="D3991" s="13">
        <f>SUMIFS('Lançamentos de receitas'!$E:$E,'Lançamentos de receitas'!$F:$F,"PAGO",'Lançamentos de receitas'!$C:$C,A3991,'Lançamentos de receitas'!$A:$A,B3991)</f>
        <v>3183</v>
      </c>
      <c r="E3991" s="15">
        <f t="shared" si="1"/>
        <v>2025</v>
      </c>
      <c r="F3991" s="15">
        <f t="shared" si="2"/>
        <v>6</v>
      </c>
      <c r="G3991" s="15">
        <f t="shared" si="3"/>
        <v>15</v>
      </c>
    </row>
    <row r="3992">
      <c r="A3992" s="10" t="s">
        <v>37</v>
      </c>
      <c r="B3992" s="94">
        <f t="shared" si="5"/>
        <v>45823</v>
      </c>
      <c r="C3992" s="77" t="s">
        <v>1571</v>
      </c>
      <c r="D3992" s="13">
        <f>SUMIFS('Lançamentos de despesas'!$I:$I,'Lançamentos de despesas'!$G:$G,A3992,'Lançamentos de despesas'!$E:$E,"PAGO",'Lançamentos de despesas'!$C:$C,B3992)</f>
        <v>0</v>
      </c>
      <c r="E3992" s="15">
        <f t="shared" si="1"/>
        <v>2025</v>
      </c>
      <c r="F3992" s="15">
        <f t="shared" si="2"/>
        <v>6</v>
      </c>
      <c r="G3992" s="15">
        <f t="shared" si="3"/>
        <v>15</v>
      </c>
    </row>
    <row r="3993">
      <c r="A3993" s="10" t="s">
        <v>37</v>
      </c>
      <c r="B3993" s="94">
        <f t="shared" si="5"/>
        <v>45823</v>
      </c>
      <c r="C3993" s="77" t="s">
        <v>1572</v>
      </c>
      <c r="D3993" s="13">
        <f>D3990+D3991-D3992</f>
        <v>60955.06</v>
      </c>
      <c r="E3993" s="15">
        <f t="shared" si="1"/>
        <v>2025</v>
      </c>
      <c r="F3993" s="15">
        <f t="shared" si="2"/>
        <v>6</v>
      </c>
      <c r="G3993" s="15">
        <f t="shared" si="3"/>
        <v>15</v>
      </c>
    </row>
    <row r="3994">
      <c r="A3994" s="10" t="s">
        <v>37</v>
      </c>
      <c r="B3994" s="94">
        <f t="shared" si="5"/>
        <v>45824</v>
      </c>
      <c r="C3994" s="77" t="s">
        <v>1569</v>
      </c>
      <c r="D3994" s="13">
        <f>D3993</f>
        <v>60955.06</v>
      </c>
      <c r="E3994" s="15">
        <f t="shared" si="1"/>
        <v>2025</v>
      </c>
      <c r="F3994" s="15">
        <f t="shared" si="2"/>
        <v>6</v>
      </c>
      <c r="G3994" s="15">
        <f t="shared" si="3"/>
        <v>16</v>
      </c>
    </row>
    <row r="3995">
      <c r="A3995" s="10" t="s">
        <v>37</v>
      </c>
      <c r="B3995" s="94">
        <f t="shared" si="5"/>
        <v>45824</v>
      </c>
      <c r="C3995" s="77" t="s">
        <v>1570</v>
      </c>
      <c r="D3995" s="13">
        <f>SUMIFS('Lançamentos de receitas'!$E:$E,'Lançamentos de receitas'!$F:$F,"PAGO",'Lançamentos de receitas'!$C:$C,A3995,'Lançamentos de receitas'!$A:$A,B3995)</f>
        <v>186.94</v>
      </c>
      <c r="E3995" s="15">
        <f t="shared" si="1"/>
        <v>2025</v>
      </c>
      <c r="F3995" s="15">
        <f t="shared" si="2"/>
        <v>6</v>
      </c>
      <c r="G3995" s="15">
        <f t="shared" si="3"/>
        <v>16</v>
      </c>
    </row>
    <row r="3996">
      <c r="A3996" s="10" t="s">
        <v>37</v>
      </c>
      <c r="B3996" s="94">
        <f t="shared" si="5"/>
        <v>45824</v>
      </c>
      <c r="C3996" s="77" t="s">
        <v>1571</v>
      </c>
      <c r="D3996" s="13">
        <f>SUMIFS('Lançamentos de despesas'!$I:$I,'Lançamentos de despesas'!$G:$G,A3996,'Lançamentos de despesas'!$E:$E,"PAGO",'Lançamentos de despesas'!$C:$C,B3996)</f>
        <v>0</v>
      </c>
      <c r="E3996" s="15">
        <f t="shared" si="1"/>
        <v>2025</v>
      </c>
      <c r="F3996" s="15">
        <f t="shared" si="2"/>
        <v>6</v>
      </c>
      <c r="G3996" s="15">
        <f t="shared" si="3"/>
        <v>16</v>
      </c>
    </row>
    <row r="3997">
      <c r="A3997" s="10" t="s">
        <v>37</v>
      </c>
      <c r="B3997" s="94">
        <f t="shared" si="5"/>
        <v>45824</v>
      </c>
      <c r="C3997" s="77" t="s">
        <v>1572</v>
      </c>
      <c r="D3997" s="13">
        <f>D3994+D3995-D3996</f>
        <v>61142</v>
      </c>
      <c r="E3997" s="15">
        <f t="shared" si="1"/>
        <v>2025</v>
      </c>
      <c r="F3997" s="15">
        <f t="shared" si="2"/>
        <v>6</v>
      </c>
      <c r="G3997" s="15">
        <f t="shared" si="3"/>
        <v>16</v>
      </c>
    </row>
    <row r="3998">
      <c r="A3998" s="10" t="s">
        <v>37</v>
      </c>
      <c r="B3998" s="94">
        <f t="shared" si="5"/>
        <v>45825</v>
      </c>
      <c r="C3998" s="77" t="s">
        <v>1569</v>
      </c>
      <c r="D3998" s="13">
        <f>D3997</f>
        <v>61142</v>
      </c>
      <c r="E3998" s="15">
        <f t="shared" si="1"/>
        <v>2025</v>
      </c>
      <c r="F3998" s="15">
        <f t="shared" si="2"/>
        <v>6</v>
      </c>
      <c r="G3998" s="15">
        <f t="shared" si="3"/>
        <v>17</v>
      </c>
    </row>
    <row r="3999">
      <c r="A3999" s="10" t="s">
        <v>37</v>
      </c>
      <c r="B3999" s="94">
        <f t="shared" si="5"/>
        <v>45825</v>
      </c>
      <c r="C3999" s="77" t="s">
        <v>1570</v>
      </c>
      <c r="D3999" s="13">
        <f>SUMIFS('Lançamentos de receitas'!$E:$E,'Lançamentos de receitas'!$F:$F,"PAGO",'Lançamentos de receitas'!$C:$C,A3999,'Lançamentos de receitas'!$A:$A,B3999)</f>
        <v>1715.45</v>
      </c>
      <c r="E3999" s="15">
        <f t="shared" si="1"/>
        <v>2025</v>
      </c>
      <c r="F3999" s="15">
        <f t="shared" si="2"/>
        <v>6</v>
      </c>
      <c r="G3999" s="15">
        <f t="shared" si="3"/>
        <v>17</v>
      </c>
    </row>
    <row r="4000">
      <c r="A4000" s="10" t="s">
        <v>37</v>
      </c>
      <c r="B4000" s="94">
        <f t="shared" si="5"/>
        <v>45825</v>
      </c>
      <c r="C4000" s="77" t="s">
        <v>1571</v>
      </c>
      <c r="D4000" s="13">
        <f>SUMIFS('Lançamentos de despesas'!$I:$I,'Lançamentos de despesas'!$G:$G,A4000,'Lançamentos de despesas'!$E:$E,"PAGO",'Lançamentos de despesas'!$C:$C,B4000)</f>
        <v>100</v>
      </c>
      <c r="E4000" s="15">
        <f t="shared" si="1"/>
        <v>2025</v>
      </c>
      <c r="F4000" s="15">
        <f t="shared" si="2"/>
        <v>6</v>
      </c>
      <c r="G4000" s="15">
        <f t="shared" si="3"/>
        <v>17</v>
      </c>
    </row>
    <row r="4001">
      <c r="A4001" s="10" t="s">
        <v>37</v>
      </c>
      <c r="B4001" s="94">
        <f t="shared" si="5"/>
        <v>45825</v>
      </c>
      <c r="C4001" s="77" t="s">
        <v>1572</v>
      </c>
      <c r="D4001" s="13">
        <f>D3998+D3999-D4000</f>
        <v>62757.45</v>
      </c>
      <c r="E4001" s="15">
        <f t="shared" si="1"/>
        <v>2025</v>
      </c>
      <c r="F4001" s="15">
        <f t="shared" si="2"/>
        <v>6</v>
      </c>
      <c r="G4001" s="15">
        <f t="shared" si="3"/>
        <v>17</v>
      </c>
    </row>
    <row r="4002">
      <c r="A4002" s="10" t="s">
        <v>37</v>
      </c>
      <c r="B4002" s="94">
        <f t="shared" si="5"/>
        <v>45826</v>
      </c>
      <c r="C4002" s="77" t="s">
        <v>1569</v>
      </c>
      <c r="D4002" s="13">
        <f>D4001</f>
        <v>62757.45</v>
      </c>
      <c r="E4002" s="15">
        <f t="shared" si="1"/>
        <v>2025</v>
      </c>
      <c r="F4002" s="15">
        <f t="shared" si="2"/>
        <v>6</v>
      </c>
      <c r="G4002" s="15">
        <f t="shared" si="3"/>
        <v>18</v>
      </c>
    </row>
    <row r="4003">
      <c r="A4003" s="10" t="s">
        <v>37</v>
      </c>
      <c r="B4003" s="94">
        <f t="shared" si="5"/>
        <v>45826</v>
      </c>
      <c r="C4003" s="77" t="s">
        <v>1570</v>
      </c>
      <c r="D4003" s="13">
        <f>SUMIFS('Lançamentos de receitas'!$E:$E,'Lançamentos de receitas'!$F:$F,"PAGO",'Lançamentos de receitas'!$C:$C,A4003,'Lançamentos de receitas'!$A:$A,B4003)</f>
        <v>2349.65</v>
      </c>
      <c r="E4003" s="15">
        <f t="shared" si="1"/>
        <v>2025</v>
      </c>
      <c r="F4003" s="15">
        <f t="shared" si="2"/>
        <v>6</v>
      </c>
      <c r="G4003" s="15">
        <f t="shared" si="3"/>
        <v>18</v>
      </c>
    </row>
    <row r="4004">
      <c r="A4004" s="10" t="s">
        <v>37</v>
      </c>
      <c r="B4004" s="94">
        <f t="shared" si="5"/>
        <v>45826</v>
      </c>
      <c r="C4004" s="77" t="s">
        <v>1571</v>
      </c>
      <c r="D4004" s="13">
        <f>SUMIFS('Lançamentos de despesas'!$I:$I,'Lançamentos de despesas'!$G:$G,A4004,'Lançamentos de despesas'!$E:$E,"PAGO",'Lançamentos de despesas'!$C:$C,B4004)</f>
        <v>794.64</v>
      </c>
      <c r="E4004" s="15">
        <f t="shared" si="1"/>
        <v>2025</v>
      </c>
      <c r="F4004" s="15">
        <f t="shared" si="2"/>
        <v>6</v>
      </c>
      <c r="G4004" s="15">
        <f t="shared" si="3"/>
        <v>18</v>
      </c>
    </row>
    <row r="4005">
      <c r="A4005" s="10" t="s">
        <v>37</v>
      </c>
      <c r="B4005" s="94">
        <f t="shared" si="5"/>
        <v>45826</v>
      </c>
      <c r="C4005" s="77" t="s">
        <v>1572</v>
      </c>
      <c r="D4005" s="13">
        <f>D4002+D4003-D4004</f>
        <v>64312.46</v>
      </c>
      <c r="E4005" s="15">
        <f t="shared" si="1"/>
        <v>2025</v>
      </c>
      <c r="F4005" s="15">
        <f t="shared" si="2"/>
        <v>6</v>
      </c>
      <c r="G4005" s="15">
        <f t="shared" si="3"/>
        <v>18</v>
      </c>
    </row>
    <row r="4006">
      <c r="A4006" s="10" t="s">
        <v>37</v>
      </c>
      <c r="B4006" s="94">
        <f t="shared" si="5"/>
        <v>45827</v>
      </c>
      <c r="C4006" s="77" t="s">
        <v>1569</v>
      </c>
      <c r="D4006" s="13">
        <f>D4005</f>
        <v>64312.46</v>
      </c>
      <c r="E4006" s="15">
        <f t="shared" si="1"/>
        <v>2025</v>
      </c>
      <c r="F4006" s="15">
        <f t="shared" si="2"/>
        <v>6</v>
      </c>
      <c r="G4006" s="15">
        <f t="shared" si="3"/>
        <v>19</v>
      </c>
    </row>
    <row r="4007">
      <c r="A4007" s="10" t="s">
        <v>37</v>
      </c>
      <c r="B4007" s="94">
        <f t="shared" si="5"/>
        <v>45827</v>
      </c>
      <c r="C4007" s="77" t="s">
        <v>1570</v>
      </c>
      <c r="D4007" s="13">
        <f>SUMIFS('Lançamentos de receitas'!$E:$E,'Lançamentos de receitas'!$F:$F,"PAGO",'Lançamentos de receitas'!$C:$C,A4007,'Lançamentos de receitas'!$A:$A,B4007)</f>
        <v>2240.97</v>
      </c>
      <c r="E4007" s="15">
        <f t="shared" si="1"/>
        <v>2025</v>
      </c>
      <c r="F4007" s="15">
        <f t="shared" si="2"/>
        <v>6</v>
      </c>
      <c r="G4007" s="15">
        <f t="shared" si="3"/>
        <v>19</v>
      </c>
    </row>
    <row r="4008">
      <c r="A4008" s="10" t="s">
        <v>37</v>
      </c>
      <c r="B4008" s="94">
        <f t="shared" si="5"/>
        <v>45827</v>
      </c>
      <c r="C4008" s="77" t="s">
        <v>1571</v>
      </c>
      <c r="D4008" s="13">
        <f>SUMIFS('Lançamentos de despesas'!$I:$I,'Lançamentos de despesas'!$G:$G,A4008,'Lançamentos de despesas'!$E:$E,"PAGO",'Lançamentos de despesas'!$C:$C,B4008)</f>
        <v>4400</v>
      </c>
      <c r="E4008" s="15">
        <f t="shared" si="1"/>
        <v>2025</v>
      </c>
      <c r="F4008" s="15">
        <f t="shared" si="2"/>
        <v>6</v>
      </c>
      <c r="G4008" s="15">
        <f t="shared" si="3"/>
        <v>19</v>
      </c>
    </row>
    <row r="4009">
      <c r="A4009" s="10" t="s">
        <v>37</v>
      </c>
      <c r="B4009" s="94">
        <f t="shared" si="5"/>
        <v>45827</v>
      </c>
      <c r="C4009" s="77" t="s">
        <v>1572</v>
      </c>
      <c r="D4009" s="13">
        <f>D4006+D4007-D4008</f>
        <v>62153.43</v>
      </c>
      <c r="E4009" s="15">
        <f t="shared" si="1"/>
        <v>2025</v>
      </c>
      <c r="F4009" s="15">
        <f t="shared" si="2"/>
        <v>6</v>
      </c>
      <c r="G4009" s="15">
        <f t="shared" si="3"/>
        <v>19</v>
      </c>
    </row>
    <row r="4010">
      <c r="A4010" s="10" t="s">
        <v>37</v>
      </c>
      <c r="B4010" s="94">
        <f t="shared" si="5"/>
        <v>45828</v>
      </c>
      <c r="C4010" s="77" t="s">
        <v>1569</v>
      </c>
      <c r="D4010" s="13">
        <f>D4009</f>
        <v>62153.43</v>
      </c>
      <c r="E4010" s="15">
        <f t="shared" si="1"/>
        <v>2025</v>
      </c>
      <c r="F4010" s="15">
        <f t="shared" si="2"/>
        <v>6</v>
      </c>
      <c r="G4010" s="15">
        <f t="shared" si="3"/>
        <v>20</v>
      </c>
    </row>
    <row r="4011">
      <c r="A4011" s="10" t="s">
        <v>37</v>
      </c>
      <c r="B4011" s="94">
        <f t="shared" si="5"/>
        <v>45828</v>
      </c>
      <c r="C4011" s="77" t="s">
        <v>1570</v>
      </c>
      <c r="D4011" s="13">
        <f>SUMIFS('Lançamentos de receitas'!$E:$E,'Lançamentos de receitas'!$F:$F,"PAGO",'Lançamentos de receitas'!$C:$C,A4011,'Lançamentos de receitas'!$A:$A,B4011)</f>
        <v>2338.62</v>
      </c>
      <c r="E4011" s="15">
        <f t="shared" si="1"/>
        <v>2025</v>
      </c>
      <c r="F4011" s="15">
        <f t="shared" si="2"/>
        <v>6</v>
      </c>
      <c r="G4011" s="15">
        <f t="shared" si="3"/>
        <v>20</v>
      </c>
    </row>
    <row r="4012">
      <c r="A4012" s="10" t="s">
        <v>37</v>
      </c>
      <c r="B4012" s="94">
        <f t="shared" si="5"/>
        <v>45828</v>
      </c>
      <c r="C4012" s="77" t="s">
        <v>1571</v>
      </c>
      <c r="D4012" s="13">
        <f>SUMIFS('Lançamentos de despesas'!$I:$I,'Lançamentos de despesas'!$G:$G,A4012,'Lançamentos de despesas'!$E:$E,"PAGO",'Lançamentos de despesas'!$C:$C,B4012)</f>
        <v>50992.83</v>
      </c>
      <c r="E4012" s="15">
        <f t="shared" si="1"/>
        <v>2025</v>
      </c>
      <c r="F4012" s="15">
        <f t="shared" si="2"/>
        <v>6</v>
      </c>
      <c r="G4012" s="15">
        <f t="shared" si="3"/>
        <v>20</v>
      </c>
    </row>
    <row r="4013">
      <c r="A4013" s="10" t="s">
        <v>37</v>
      </c>
      <c r="B4013" s="94">
        <f t="shared" si="5"/>
        <v>45828</v>
      </c>
      <c r="C4013" s="77" t="s">
        <v>1572</v>
      </c>
      <c r="D4013" s="13">
        <f>D4010+D4011-D4012</f>
        <v>13499.22</v>
      </c>
      <c r="E4013" s="15">
        <f t="shared" si="1"/>
        <v>2025</v>
      </c>
      <c r="F4013" s="15">
        <f t="shared" si="2"/>
        <v>6</v>
      </c>
      <c r="G4013" s="15">
        <f t="shared" si="3"/>
        <v>20</v>
      </c>
    </row>
    <row r="4014">
      <c r="A4014" s="10" t="s">
        <v>37</v>
      </c>
      <c r="B4014" s="94">
        <f t="shared" si="5"/>
        <v>45829</v>
      </c>
      <c r="C4014" s="77" t="s">
        <v>1569</v>
      </c>
      <c r="D4014" s="13">
        <f>D4013</f>
        <v>13499.22</v>
      </c>
      <c r="E4014" s="15">
        <f t="shared" si="1"/>
        <v>2025</v>
      </c>
      <c r="F4014" s="15">
        <f t="shared" si="2"/>
        <v>6</v>
      </c>
      <c r="G4014" s="15">
        <f t="shared" si="3"/>
        <v>21</v>
      </c>
    </row>
    <row r="4015">
      <c r="A4015" s="10" t="s">
        <v>37</v>
      </c>
      <c r="B4015" s="94">
        <f t="shared" si="5"/>
        <v>45829</v>
      </c>
      <c r="C4015" s="77" t="s">
        <v>1570</v>
      </c>
      <c r="D4015" s="13">
        <f>SUMIFS('Lançamentos de receitas'!$E:$E,'Lançamentos de receitas'!$F:$F,"PAGO",'Lançamentos de receitas'!$C:$C,A4015,'Lançamentos de receitas'!$A:$A,B4015)</f>
        <v>2595.83</v>
      </c>
      <c r="E4015" s="15">
        <f t="shared" si="1"/>
        <v>2025</v>
      </c>
      <c r="F4015" s="15">
        <f t="shared" si="2"/>
        <v>6</v>
      </c>
      <c r="G4015" s="15">
        <f t="shared" si="3"/>
        <v>21</v>
      </c>
    </row>
    <row r="4016">
      <c r="A4016" s="10" t="s">
        <v>37</v>
      </c>
      <c r="B4016" s="94">
        <f t="shared" si="5"/>
        <v>45829</v>
      </c>
      <c r="C4016" s="77" t="s">
        <v>1571</v>
      </c>
      <c r="D4016" s="13">
        <f>SUMIFS('Lançamentos de despesas'!$I:$I,'Lançamentos de despesas'!$G:$G,A4016,'Lançamentos de despesas'!$E:$E,"PAGO",'Lançamentos de despesas'!$C:$C,B4016)</f>
        <v>0</v>
      </c>
      <c r="E4016" s="15">
        <f t="shared" si="1"/>
        <v>2025</v>
      </c>
      <c r="F4016" s="15">
        <f t="shared" si="2"/>
        <v>6</v>
      </c>
      <c r="G4016" s="15">
        <f t="shared" si="3"/>
        <v>21</v>
      </c>
    </row>
    <row r="4017">
      <c r="A4017" s="10" t="s">
        <v>37</v>
      </c>
      <c r="B4017" s="94">
        <f t="shared" si="5"/>
        <v>45829</v>
      </c>
      <c r="C4017" s="77" t="s">
        <v>1572</v>
      </c>
      <c r="D4017" s="13">
        <f>D4014+D4015-D4016</f>
        <v>16095.05</v>
      </c>
      <c r="E4017" s="15">
        <f t="shared" si="1"/>
        <v>2025</v>
      </c>
      <c r="F4017" s="15">
        <f t="shared" si="2"/>
        <v>6</v>
      </c>
      <c r="G4017" s="15">
        <f t="shared" si="3"/>
        <v>21</v>
      </c>
    </row>
    <row r="4018">
      <c r="A4018" s="10" t="s">
        <v>37</v>
      </c>
      <c r="B4018" s="94">
        <f t="shared" si="5"/>
        <v>45830</v>
      </c>
      <c r="C4018" s="77" t="s">
        <v>1569</v>
      </c>
      <c r="D4018" s="13">
        <f>D4017</f>
        <v>16095.05</v>
      </c>
      <c r="E4018" s="15">
        <f t="shared" si="1"/>
        <v>2025</v>
      </c>
      <c r="F4018" s="15">
        <f t="shared" si="2"/>
        <v>6</v>
      </c>
      <c r="G4018" s="15">
        <f t="shared" si="3"/>
        <v>22</v>
      </c>
    </row>
    <row r="4019">
      <c r="A4019" s="10" t="s">
        <v>37</v>
      </c>
      <c r="B4019" s="94">
        <f t="shared" si="5"/>
        <v>45830</v>
      </c>
      <c r="C4019" s="77" t="s">
        <v>1570</v>
      </c>
      <c r="D4019" s="13">
        <f>SUMIFS('Lançamentos de receitas'!$E:$E,'Lançamentos de receitas'!$F:$F,"PAGO",'Lançamentos de receitas'!$C:$C,A4019,'Lançamentos de receitas'!$A:$A,B4019)</f>
        <v>1986.17</v>
      </c>
      <c r="E4019" s="15">
        <f t="shared" si="1"/>
        <v>2025</v>
      </c>
      <c r="F4019" s="15">
        <f t="shared" si="2"/>
        <v>6</v>
      </c>
      <c r="G4019" s="15">
        <f t="shared" si="3"/>
        <v>22</v>
      </c>
    </row>
    <row r="4020">
      <c r="A4020" s="10" t="s">
        <v>37</v>
      </c>
      <c r="B4020" s="94">
        <f t="shared" si="5"/>
        <v>45830</v>
      </c>
      <c r="C4020" s="77" t="s">
        <v>1571</v>
      </c>
      <c r="D4020" s="13">
        <f>SUMIFS('Lançamentos de despesas'!$I:$I,'Lançamentos de despesas'!$G:$G,A4020,'Lançamentos de despesas'!$E:$E,"PAGO",'Lançamentos de despesas'!$C:$C,B4020)</f>
        <v>0</v>
      </c>
      <c r="E4020" s="15">
        <f t="shared" si="1"/>
        <v>2025</v>
      </c>
      <c r="F4020" s="15">
        <f t="shared" si="2"/>
        <v>6</v>
      </c>
      <c r="G4020" s="15">
        <f t="shared" si="3"/>
        <v>22</v>
      </c>
    </row>
    <row r="4021">
      <c r="A4021" s="10" t="s">
        <v>37</v>
      </c>
      <c r="B4021" s="94">
        <f t="shared" si="5"/>
        <v>45830</v>
      </c>
      <c r="C4021" s="77" t="s">
        <v>1572</v>
      </c>
      <c r="D4021" s="13">
        <f>D4018+D4019-D4020</f>
        <v>18081.22</v>
      </c>
      <c r="E4021" s="15">
        <f t="shared" si="1"/>
        <v>2025</v>
      </c>
      <c r="F4021" s="15">
        <f t="shared" si="2"/>
        <v>6</v>
      </c>
      <c r="G4021" s="15">
        <f t="shared" si="3"/>
        <v>22</v>
      </c>
    </row>
    <row r="4022">
      <c r="A4022" s="10" t="s">
        <v>37</v>
      </c>
      <c r="B4022" s="94">
        <f t="shared" si="5"/>
        <v>45831</v>
      </c>
      <c r="C4022" s="77" t="s">
        <v>1569</v>
      </c>
      <c r="D4022" s="13">
        <f>D4021</f>
        <v>18081.22</v>
      </c>
      <c r="E4022" s="15">
        <f t="shared" si="1"/>
        <v>2025</v>
      </c>
      <c r="F4022" s="15">
        <f t="shared" si="2"/>
        <v>6</v>
      </c>
      <c r="G4022" s="15">
        <f t="shared" si="3"/>
        <v>23</v>
      </c>
    </row>
    <row r="4023">
      <c r="A4023" s="10" t="s">
        <v>37</v>
      </c>
      <c r="B4023" s="94">
        <f t="shared" si="5"/>
        <v>45831</v>
      </c>
      <c r="C4023" s="77" t="s">
        <v>1570</v>
      </c>
      <c r="D4023" s="13">
        <f>SUMIFS('Lançamentos de receitas'!$E:$E,'Lançamentos de receitas'!$F:$F,"PAGO",'Lançamentos de receitas'!$C:$C,A4023,'Lançamentos de receitas'!$A:$A,B4023)</f>
        <v>2674.68</v>
      </c>
      <c r="E4023" s="15">
        <f t="shared" si="1"/>
        <v>2025</v>
      </c>
      <c r="F4023" s="15">
        <f t="shared" si="2"/>
        <v>6</v>
      </c>
      <c r="G4023" s="15">
        <f t="shared" si="3"/>
        <v>23</v>
      </c>
    </row>
    <row r="4024">
      <c r="A4024" s="10" t="s">
        <v>37</v>
      </c>
      <c r="B4024" s="94">
        <f t="shared" si="5"/>
        <v>45831</v>
      </c>
      <c r="C4024" s="77" t="s">
        <v>1571</v>
      </c>
      <c r="D4024" s="13">
        <f>SUMIFS('Lançamentos de despesas'!$I:$I,'Lançamentos de despesas'!$G:$G,A4024,'Lançamentos de despesas'!$E:$E,"PAGO",'Lançamentos de despesas'!$C:$C,B4024)</f>
        <v>8950.98</v>
      </c>
      <c r="E4024" s="15">
        <f t="shared" si="1"/>
        <v>2025</v>
      </c>
      <c r="F4024" s="15">
        <f t="shared" si="2"/>
        <v>6</v>
      </c>
      <c r="G4024" s="15">
        <f t="shared" si="3"/>
        <v>23</v>
      </c>
    </row>
    <row r="4025">
      <c r="A4025" s="10" t="s">
        <v>37</v>
      </c>
      <c r="B4025" s="94">
        <f t="shared" si="5"/>
        <v>45831</v>
      </c>
      <c r="C4025" s="77" t="s">
        <v>1572</v>
      </c>
      <c r="D4025" s="13">
        <f>D4022+D4023-D4024</f>
        <v>11804.92</v>
      </c>
      <c r="E4025" s="15">
        <f t="shared" si="1"/>
        <v>2025</v>
      </c>
      <c r="F4025" s="15">
        <f t="shared" si="2"/>
        <v>6</v>
      </c>
      <c r="G4025" s="15">
        <f t="shared" si="3"/>
        <v>23</v>
      </c>
    </row>
    <row r="4026">
      <c r="A4026" s="10" t="s">
        <v>37</v>
      </c>
      <c r="B4026" s="94">
        <f t="shared" si="5"/>
        <v>45832</v>
      </c>
      <c r="C4026" s="77" t="s">
        <v>1569</v>
      </c>
      <c r="D4026" s="13">
        <f>D4025</f>
        <v>11804.92</v>
      </c>
      <c r="E4026" s="15">
        <f t="shared" si="1"/>
        <v>2025</v>
      </c>
      <c r="F4026" s="15">
        <f t="shared" si="2"/>
        <v>6</v>
      </c>
      <c r="G4026" s="15">
        <f t="shared" si="3"/>
        <v>24</v>
      </c>
    </row>
    <row r="4027">
      <c r="A4027" s="10" t="s">
        <v>37</v>
      </c>
      <c r="B4027" s="94">
        <f t="shared" si="5"/>
        <v>45832</v>
      </c>
      <c r="C4027" s="77" t="s">
        <v>1570</v>
      </c>
      <c r="D4027" s="13">
        <f>SUMIFS('Lançamentos de receitas'!$E:$E,'Lançamentos de receitas'!$F:$F,"PAGO",'Lançamentos de receitas'!$C:$C,A4027,'Lançamentos de receitas'!$A:$A,B4027)</f>
        <v>2418.42</v>
      </c>
      <c r="E4027" s="15">
        <f t="shared" si="1"/>
        <v>2025</v>
      </c>
      <c r="F4027" s="15">
        <f t="shared" si="2"/>
        <v>6</v>
      </c>
      <c r="G4027" s="15">
        <f t="shared" si="3"/>
        <v>24</v>
      </c>
    </row>
    <row r="4028">
      <c r="A4028" s="10" t="s">
        <v>37</v>
      </c>
      <c r="B4028" s="94">
        <f t="shared" si="5"/>
        <v>45832</v>
      </c>
      <c r="C4028" s="77" t="s">
        <v>1571</v>
      </c>
      <c r="D4028" s="13">
        <f>SUMIFS('Lançamentos de despesas'!$I:$I,'Lançamentos de despesas'!$G:$G,A4028,'Lançamentos de despesas'!$E:$E,"PAGO",'Lançamentos de despesas'!$C:$C,B4028)</f>
        <v>0</v>
      </c>
      <c r="E4028" s="15">
        <f t="shared" si="1"/>
        <v>2025</v>
      </c>
      <c r="F4028" s="15">
        <f t="shared" si="2"/>
        <v>6</v>
      </c>
      <c r="G4028" s="15">
        <f t="shared" si="3"/>
        <v>24</v>
      </c>
    </row>
    <row r="4029">
      <c r="A4029" s="10" t="s">
        <v>37</v>
      </c>
      <c r="B4029" s="94">
        <f t="shared" si="5"/>
        <v>45832</v>
      </c>
      <c r="C4029" s="77" t="s">
        <v>1572</v>
      </c>
      <c r="D4029" s="13">
        <f>D4026+D4027-D4028</f>
        <v>14223.34</v>
      </c>
      <c r="E4029" s="15">
        <f t="shared" si="1"/>
        <v>2025</v>
      </c>
      <c r="F4029" s="15">
        <f t="shared" si="2"/>
        <v>6</v>
      </c>
      <c r="G4029" s="15">
        <f t="shared" si="3"/>
        <v>24</v>
      </c>
    </row>
    <row r="4030">
      <c r="A4030" s="10" t="s">
        <v>37</v>
      </c>
      <c r="B4030" s="94">
        <f t="shared" si="5"/>
        <v>45833</v>
      </c>
      <c r="C4030" s="77" t="s">
        <v>1569</v>
      </c>
      <c r="D4030" s="13">
        <f>D4029</f>
        <v>14223.34</v>
      </c>
      <c r="E4030" s="15">
        <f t="shared" si="1"/>
        <v>2025</v>
      </c>
      <c r="F4030" s="15">
        <f t="shared" si="2"/>
        <v>6</v>
      </c>
      <c r="G4030" s="15">
        <f t="shared" si="3"/>
        <v>25</v>
      </c>
    </row>
    <row r="4031">
      <c r="A4031" s="10" t="s">
        <v>37</v>
      </c>
      <c r="B4031" s="94">
        <f t="shared" si="5"/>
        <v>45833</v>
      </c>
      <c r="C4031" s="77" t="s">
        <v>1570</v>
      </c>
      <c r="D4031" s="13">
        <f>SUMIFS('Lançamentos de receitas'!$E:$E,'Lançamentos de receitas'!$F:$F,"PAGO",'Lançamentos de receitas'!$C:$C,A4031,'Lançamentos de receitas'!$A:$A,B4031)</f>
        <v>2719.66</v>
      </c>
      <c r="E4031" s="15">
        <f t="shared" si="1"/>
        <v>2025</v>
      </c>
      <c r="F4031" s="15">
        <f t="shared" si="2"/>
        <v>6</v>
      </c>
      <c r="G4031" s="15">
        <f t="shared" si="3"/>
        <v>25</v>
      </c>
    </row>
    <row r="4032">
      <c r="A4032" s="10" t="s">
        <v>37</v>
      </c>
      <c r="B4032" s="94">
        <f t="shared" si="5"/>
        <v>45833</v>
      </c>
      <c r="C4032" s="77" t="s">
        <v>1571</v>
      </c>
      <c r="D4032" s="13">
        <f>SUMIFS('Lançamentos de despesas'!$I:$I,'Lançamentos de despesas'!$G:$G,A4032,'Lançamentos de despesas'!$E:$E,"PAGO",'Lançamentos de despesas'!$C:$C,B4032)</f>
        <v>0</v>
      </c>
      <c r="E4032" s="15">
        <f t="shared" si="1"/>
        <v>2025</v>
      </c>
      <c r="F4032" s="15">
        <f t="shared" si="2"/>
        <v>6</v>
      </c>
      <c r="G4032" s="15">
        <f t="shared" si="3"/>
        <v>25</v>
      </c>
    </row>
    <row r="4033">
      <c r="A4033" s="10" t="s">
        <v>37</v>
      </c>
      <c r="B4033" s="94">
        <f t="shared" si="5"/>
        <v>45833</v>
      </c>
      <c r="C4033" s="77" t="s">
        <v>1572</v>
      </c>
      <c r="D4033" s="13">
        <f>D4030+D4031-D4032</f>
        <v>16943</v>
      </c>
      <c r="E4033" s="15">
        <f t="shared" si="1"/>
        <v>2025</v>
      </c>
      <c r="F4033" s="15">
        <f t="shared" si="2"/>
        <v>6</v>
      </c>
      <c r="G4033" s="15">
        <f t="shared" si="3"/>
        <v>25</v>
      </c>
    </row>
    <row r="4034">
      <c r="A4034" s="10" t="s">
        <v>37</v>
      </c>
      <c r="B4034" s="94">
        <f t="shared" si="5"/>
        <v>45834</v>
      </c>
      <c r="C4034" s="77" t="s">
        <v>1569</v>
      </c>
      <c r="D4034" s="13">
        <f>D4033</f>
        <v>16943</v>
      </c>
      <c r="E4034" s="15">
        <f t="shared" si="1"/>
        <v>2025</v>
      </c>
      <c r="F4034" s="15">
        <f t="shared" si="2"/>
        <v>6</v>
      </c>
      <c r="G4034" s="15">
        <f t="shared" si="3"/>
        <v>26</v>
      </c>
    </row>
    <row r="4035">
      <c r="A4035" s="10" t="s">
        <v>37</v>
      </c>
      <c r="B4035" s="94">
        <f t="shared" si="5"/>
        <v>45834</v>
      </c>
      <c r="C4035" s="77" t="s">
        <v>1570</v>
      </c>
      <c r="D4035" s="13">
        <f>SUMIFS('Lançamentos de receitas'!$E:$E,'Lançamentos de receitas'!$F:$F,"PAGO",'Lançamentos de receitas'!$C:$C,A4035,'Lançamentos de receitas'!$A:$A,B4035)</f>
        <v>2642.04</v>
      </c>
      <c r="E4035" s="15">
        <f t="shared" si="1"/>
        <v>2025</v>
      </c>
      <c r="F4035" s="15">
        <f t="shared" si="2"/>
        <v>6</v>
      </c>
      <c r="G4035" s="15">
        <f t="shared" si="3"/>
        <v>26</v>
      </c>
    </row>
    <row r="4036">
      <c r="A4036" s="10" t="s">
        <v>37</v>
      </c>
      <c r="B4036" s="94">
        <f t="shared" si="5"/>
        <v>45834</v>
      </c>
      <c r="C4036" s="77" t="s">
        <v>1571</v>
      </c>
      <c r="D4036" s="13">
        <f>SUMIFS('Lançamentos de despesas'!$I:$I,'Lançamentos de despesas'!$G:$G,A4036,'Lançamentos de despesas'!$E:$E,"PAGO",'Lançamentos de despesas'!$C:$C,B4036)</f>
        <v>100</v>
      </c>
      <c r="E4036" s="15">
        <f t="shared" si="1"/>
        <v>2025</v>
      </c>
      <c r="F4036" s="15">
        <f t="shared" si="2"/>
        <v>6</v>
      </c>
      <c r="G4036" s="15">
        <f t="shared" si="3"/>
        <v>26</v>
      </c>
    </row>
    <row r="4037">
      <c r="A4037" s="10" t="s">
        <v>37</v>
      </c>
      <c r="B4037" s="94">
        <f t="shared" si="5"/>
        <v>45834</v>
      </c>
      <c r="C4037" s="77" t="s">
        <v>1572</v>
      </c>
      <c r="D4037" s="13">
        <f>D4034+D4035-D4036</f>
        <v>19485.04</v>
      </c>
      <c r="E4037" s="15">
        <f t="shared" si="1"/>
        <v>2025</v>
      </c>
      <c r="F4037" s="15">
        <f t="shared" si="2"/>
        <v>6</v>
      </c>
      <c r="G4037" s="15">
        <f t="shared" si="3"/>
        <v>26</v>
      </c>
    </row>
    <row r="4038">
      <c r="A4038" s="10" t="s">
        <v>37</v>
      </c>
      <c r="B4038" s="94">
        <f t="shared" si="5"/>
        <v>45835</v>
      </c>
      <c r="C4038" s="77" t="s">
        <v>1569</v>
      </c>
      <c r="D4038" s="13">
        <f>D4037</f>
        <v>19485.04</v>
      </c>
      <c r="E4038" s="15">
        <f t="shared" si="1"/>
        <v>2025</v>
      </c>
      <c r="F4038" s="15">
        <f t="shared" si="2"/>
        <v>6</v>
      </c>
      <c r="G4038" s="15">
        <f t="shared" si="3"/>
        <v>27</v>
      </c>
    </row>
    <row r="4039">
      <c r="A4039" s="10" t="s">
        <v>37</v>
      </c>
      <c r="B4039" s="94">
        <f t="shared" si="5"/>
        <v>45835</v>
      </c>
      <c r="C4039" s="77" t="s">
        <v>1570</v>
      </c>
      <c r="D4039" s="13">
        <f>SUMIFS('Lançamentos de receitas'!$E:$E,'Lançamentos de receitas'!$F:$F,"PAGO",'Lançamentos de receitas'!$C:$C,A4039,'Lançamentos de receitas'!$A:$A,B4039)</f>
        <v>2723</v>
      </c>
      <c r="E4039" s="15">
        <f t="shared" si="1"/>
        <v>2025</v>
      </c>
      <c r="F4039" s="15">
        <f t="shared" si="2"/>
        <v>6</v>
      </c>
      <c r="G4039" s="15">
        <f t="shared" si="3"/>
        <v>27</v>
      </c>
    </row>
    <row r="4040">
      <c r="A4040" s="10" t="s">
        <v>37</v>
      </c>
      <c r="B4040" s="94">
        <f t="shared" si="5"/>
        <v>45835</v>
      </c>
      <c r="C4040" s="77" t="s">
        <v>1571</v>
      </c>
      <c r="D4040" s="13">
        <f>SUMIFS('Lançamentos de despesas'!$I:$I,'Lançamentos de despesas'!$G:$G,A4040,'Lançamentos de despesas'!$E:$E,"PAGO",'Lançamentos de despesas'!$C:$C,B4040)</f>
        <v>0</v>
      </c>
      <c r="E4040" s="15">
        <f t="shared" si="1"/>
        <v>2025</v>
      </c>
      <c r="F4040" s="15">
        <f t="shared" si="2"/>
        <v>6</v>
      </c>
      <c r="G4040" s="15">
        <f t="shared" si="3"/>
        <v>27</v>
      </c>
    </row>
    <row r="4041">
      <c r="A4041" s="10" t="s">
        <v>37</v>
      </c>
      <c r="B4041" s="94">
        <f t="shared" si="5"/>
        <v>45835</v>
      </c>
      <c r="C4041" s="77" t="s">
        <v>1572</v>
      </c>
      <c r="D4041" s="13">
        <f>D4038+D4039-D4040</f>
        <v>22208.04</v>
      </c>
      <c r="E4041" s="15">
        <f t="shared" si="1"/>
        <v>2025</v>
      </c>
      <c r="F4041" s="15">
        <f t="shared" si="2"/>
        <v>6</v>
      </c>
      <c r="G4041" s="15">
        <f t="shared" si="3"/>
        <v>27</v>
      </c>
    </row>
    <row r="4042">
      <c r="A4042" s="10" t="s">
        <v>37</v>
      </c>
      <c r="B4042" s="94">
        <f t="shared" si="5"/>
        <v>45836</v>
      </c>
      <c r="C4042" s="77" t="s">
        <v>1569</v>
      </c>
      <c r="D4042" s="13">
        <f>D4041</f>
        <v>22208.04</v>
      </c>
      <c r="E4042" s="15">
        <f t="shared" si="1"/>
        <v>2025</v>
      </c>
      <c r="F4042" s="15">
        <f t="shared" si="2"/>
        <v>6</v>
      </c>
      <c r="G4042" s="15">
        <f t="shared" si="3"/>
        <v>28</v>
      </c>
    </row>
    <row r="4043">
      <c r="A4043" s="10" t="s">
        <v>37</v>
      </c>
      <c r="B4043" s="94">
        <f t="shared" si="5"/>
        <v>45836</v>
      </c>
      <c r="C4043" s="77" t="s">
        <v>1570</v>
      </c>
      <c r="D4043" s="13">
        <f>SUMIFS('Lançamentos de receitas'!$E:$E,'Lançamentos de receitas'!$F:$F,"PAGO",'Lançamentos de receitas'!$C:$C,A4043,'Lançamentos de receitas'!$A:$A,B4043)</f>
        <v>2625.19</v>
      </c>
      <c r="E4043" s="15">
        <f t="shared" si="1"/>
        <v>2025</v>
      </c>
      <c r="F4043" s="15">
        <f t="shared" si="2"/>
        <v>6</v>
      </c>
      <c r="G4043" s="15">
        <f t="shared" si="3"/>
        <v>28</v>
      </c>
    </row>
    <row r="4044">
      <c r="A4044" s="10" t="s">
        <v>37</v>
      </c>
      <c r="B4044" s="94">
        <f t="shared" si="5"/>
        <v>45836</v>
      </c>
      <c r="C4044" s="77" t="s">
        <v>1571</v>
      </c>
      <c r="D4044" s="13">
        <f>SUMIFS('Lançamentos de despesas'!$I:$I,'Lançamentos de despesas'!$G:$G,A4044,'Lançamentos de despesas'!$E:$E,"PAGO",'Lançamentos de despesas'!$C:$C,B4044)</f>
        <v>0</v>
      </c>
      <c r="E4044" s="15">
        <f t="shared" si="1"/>
        <v>2025</v>
      </c>
      <c r="F4044" s="15">
        <f t="shared" si="2"/>
        <v>6</v>
      </c>
      <c r="G4044" s="15">
        <f t="shared" si="3"/>
        <v>28</v>
      </c>
    </row>
    <row r="4045">
      <c r="A4045" s="10" t="s">
        <v>37</v>
      </c>
      <c r="B4045" s="94">
        <f t="shared" si="5"/>
        <v>45836</v>
      </c>
      <c r="C4045" s="77" t="s">
        <v>1572</v>
      </c>
      <c r="D4045" s="13">
        <f>D4042+D4043-D4044</f>
        <v>24833.23</v>
      </c>
      <c r="E4045" s="15">
        <f t="shared" si="1"/>
        <v>2025</v>
      </c>
      <c r="F4045" s="15">
        <f t="shared" si="2"/>
        <v>6</v>
      </c>
      <c r="G4045" s="15">
        <f t="shared" si="3"/>
        <v>28</v>
      </c>
    </row>
    <row r="4046">
      <c r="A4046" s="10" t="s">
        <v>37</v>
      </c>
      <c r="B4046" s="94">
        <f t="shared" si="5"/>
        <v>45837</v>
      </c>
      <c r="C4046" s="77" t="s">
        <v>1569</v>
      </c>
      <c r="D4046" s="13">
        <f>D4045</f>
        <v>24833.23</v>
      </c>
      <c r="E4046" s="15">
        <f t="shared" si="1"/>
        <v>2025</v>
      </c>
      <c r="F4046" s="15">
        <f t="shared" si="2"/>
        <v>6</v>
      </c>
      <c r="G4046" s="15">
        <f t="shared" si="3"/>
        <v>29</v>
      </c>
    </row>
    <row r="4047">
      <c r="A4047" s="10" t="s">
        <v>37</v>
      </c>
      <c r="B4047" s="94">
        <f t="shared" si="5"/>
        <v>45837</v>
      </c>
      <c r="C4047" s="77" t="s">
        <v>1570</v>
      </c>
      <c r="D4047" s="13">
        <f>SUMIFS('Lançamentos de receitas'!$E:$E,'Lançamentos de receitas'!$F:$F,"PAGO",'Lançamentos de receitas'!$C:$C,A4047,'Lançamentos de receitas'!$A:$A,B4047)</f>
        <v>2571.97</v>
      </c>
      <c r="E4047" s="15">
        <f t="shared" si="1"/>
        <v>2025</v>
      </c>
      <c r="F4047" s="15">
        <f t="shared" si="2"/>
        <v>6</v>
      </c>
      <c r="G4047" s="15">
        <f t="shared" si="3"/>
        <v>29</v>
      </c>
    </row>
    <row r="4048">
      <c r="A4048" s="10" t="s">
        <v>37</v>
      </c>
      <c r="B4048" s="94">
        <f t="shared" si="5"/>
        <v>45837</v>
      </c>
      <c r="C4048" s="77" t="s">
        <v>1571</v>
      </c>
      <c r="D4048" s="13">
        <f>SUMIFS('Lançamentos de despesas'!$I:$I,'Lançamentos de despesas'!$G:$G,A4048,'Lançamentos de despesas'!$E:$E,"PAGO",'Lançamentos de despesas'!$C:$C,B4048)</f>
        <v>350</v>
      </c>
      <c r="E4048" s="15">
        <f t="shared" si="1"/>
        <v>2025</v>
      </c>
      <c r="F4048" s="15">
        <f t="shared" si="2"/>
        <v>6</v>
      </c>
      <c r="G4048" s="15">
        <f t="shared" si="3"/>
        <v>29</v>
      </c>
    </row>
    <row r="4049">
      <c r="A4049" s="10" t="s">
        <v>37</v>
      </c>
      <c r="B4049" s="94">
        <f t="shared" si="5"/>
        <v>45837</v>
      </c>
      <c r="C4049" s="77" t="s">
        <v>1572</v>
      </c>
      <c r="D4049" s="13">
        <f>D4046+D4047-D4048</f>
        <v>27055.2</v>
      </c>
      <c r="E4049" s="15">
        <f t="shared" si="1"/>
        <v>2025</v>
      </c>
      <c r="F4049" s="15">
        <f t="shared" si="2"/>
        <v>6</v>
      </c>
      <c r="G4049" s="15">
        <f t="shared" si="3"/>
        <v>29</v>
      </c>
    </row>
    <row r="4050">
      <c r="A4050" s="10" t="s">
        <v>37</v>
      </c>
      <c r="B4050" s="94">
        <f t="shared" si="5"/>
        <v>45838</v>
      </c>
      <c r="C4050" s="77" t="s">
        <v>1569</v>
      </c>
      <c r="D4050" s="13">
        <f>D4049</f>
        <v>27055.2</v>
      </c>
      <c r="E4050" s="15">
        <f t="shared" si="1"/>
        <v>2025</v>
      </c>
      <c r="F4050" s="15">
        <f t="shared" si="2"/>
        <v>6</v>
      </c>
      <c r="G4050" s="15">
        <f t="shared" si="3"/>
        <v>30</v>
      </c>
    </row>
    <row r="4051">
      <c r="A4051" s="10" t="s">
        <v>37</v>
      </c>
      <c r="B4051" s="94">
        <f t="shared" si="5"/>
        <v>45838</v>
      </c>
      <c r="C4051" s="77" t="s">
        <v>1570</v>
      </c>
      <c r="D4051" s="13">
        <f>SUMIFS('Lançamentos de receitas'!$E:$E,'Lançamentos de receitas'!$F:$F,"PAGO",'Lançamentos de receitas'!$C:$C,A4051,'Lançamentos de receitas'!$A:$A,B4051)</f>
        <v>492.49</v>
      </c>
      <c r="E4051" s="15">
        <f t="shared" si="1"/>
        <v>2025</v>
      </c>
      <c r="F4051" s="15">
        <f t="shared" si="2"/>
        <v>6</v>
      </c>
      <c r="G4051" s="15">
        <f t="shared" si="3"/>
        <v>30</v>
      </c>
    </row>
    <row r="4052">
      <c r="A4052" s="10" t="s">
        <v>37</v>
      </c>
      <c r="B4052" s="94">
        <f t="shared" si="5"/>
        <v>45838</v>
      </c>
      <c r="C4052" s="77" t="s">
        <v>1571</v>
      </c>
      <c r="D4052" s="13">
        <f>SUMIFS('Lançamentos de despesas'!$I:$I,'Lançamentos de despesas'!$G:$G,A4052,'Lançamentos de despesas'!$E:$E,"PAGO",'Lançamentos de despesas'!$C:$C,B4052)</f>
        <v>178</v>
      </c>
      <c r="E4052" s="15">
        <f t="shared" si="1"/>
        <v>2025</v>
      </c>
      <c r="F4052" s="15">
        <f t="shared" si="2"/>
        <v>6</v>
      </c>
      <c r="G4052" s="15">
        <f t="shared" si="3"/>
        <v>30</v>
      </c>
    </row>
    <row r="4053">
      <c r="A4053" s="10" t="s">
        <v>37</v>
      </c>
      <c r="B4053" s="94">
        <f t="shared" si="5"/>
        <v>45838</v>
      </c>
      <c r="C4053" s="77" t="s">
        <v>1572</v>
      </c>
      <c r="D4053" s="13">
        <f>D4050+D4051-D4052</f>
        <v>27369.69</v>
      </c>
      <c r="E4053" s="15">
        <f t="shared" si="1"/>
        <v>2025</v>
      </c>
      <c r="F4053" s="15">
        <f t="shared" si="2"/>
        <v>6</v>
      </c>
      <c r="G4053" s="15">
        <f t="shared" si="3"/>
        <v>30</v>
      </c>
    </row>
    <row r="4054">
      <c r="A4054" s="10" t="s">
        <v>37</v>
      </c>
      <c r="B4054" s="94">
        <f t="shared" si="5"/>
        <v>45839</v>
      </c>
      <c r="C4054" s="77" t="s">
        <v>1569</v>
      </c>
      <c r="D4054" s="13">
        <f>D4053</f>
        <v>27369.69</v>
      </c>
      <c r="E4054" s="15">
        <f t="shared" si="1"/>
        <v>2025</v>
      </c>
      <c r="F4054" s="15">
        <f t="shared" si="2"/>
        <v>7</v>
      </c>
      <c r="G4054" s="15">
        <f t="shared" si="3"/>
        <v>1</v>
      </c>
    </row>
    <row r="4055">
      <c r="A4055" s="10" t="s">
        <v>37</v>
      </c>
      <c r="B4055" s="94">
        <f t="shared" si="5"/>
        <v>45839</v>
      </c>
      <c r="C4055" s="77" t="s">
        <v>1570</v>
      </c>
      <c r="D4055" s="13">
        <f>SUMIFS('Lançamentos de receitas'!$E:$E,'Lançamentos de receitas'!$F:$F,"PAGO",'Lançamentos de receitas'!$C:$C,A4055,'Lançamentos de receitas'!$A:$A,B4055)</f>
        <v>2494.05</v>
      </c>
      <c r="E4055" s="15">
        <f t="shared" si="1"/>
        <v>2025</v>
      </c>
      <c r="F4055" s="15">
        <f t="shared" si="2"/>
        <v>7</v>
      </c>
      <c r="G4055" s="15">
        <f t="shared" si="3"/>
        <v>1</v>
      </c>
    </row>
    <row r="4056">
      <c r="A4056" s="10" t="s">
        <v>37</v>
      </c>
      <c r="B4056" s="94">
        <f t="shared" si="5"/>
        <v>45839</v>
      </c>
      <c r="C4056" s="77" t="s">
        <v>1571</v>
      </c>
      <c r="D4056" s="13">
        <f>SUMIFS('Lançamentos de despesas'!$I:$I,'Lançamentos de despesas'!$G:$G,A4056,'Lançamentos de despesas'!$E:$E,"PAGO",'Lançamentos de despesas'!$C:$C,B4056)</f>
        <v>59.5</v>
      </c>
      <c r="E4056" s="15">
        <f t="shared" si="1"/>
        <v>2025</v>
      </c>
      <c r="F4056" s="15">
        <f t="shared" si="2"/>
        <v>7</v>
      </c>
      <c r="G4056" s="15">
        <f t="shared" si="3"/>
        <v>1</v>
      </c>
    </row>
    <row r="4057">
      <c r="A4057" s="10" t="s">
        <v>37</v>
      </c>
      <c r="B4057" s="94">
        <f t="shared" si="5"/>
        <v>45839</v>
      </c>
      <c r="C4057" s="77" t="s">
        <v>1572</v>
      </c>
      <c r="D4057" s="13">
        <f>D4054+D4055-D4056</f>
        <v>29804.24</v>
      </c>
      <c r="E4057" s="15">
        <f t="shared" si="1"/>
        <v>2025</v>
      </c>
      <c r="F4057" s="15">
        <f t="shared" si="2"/>
        <v>7</v>
      </c>
      <c r="G4057" s="15">
        <f t="shared" si="3"/>
        <v>1</v>
      </c>
    </row>
    <row r="4058">
      <c r="A4058" s="10" t="s">
        <v>37</v>
      </c>
      <c r="B4058" s="94">
        <f t="shared" si="5"/>
        <v>45840</v>
      </c>
      <c r="C4058" s="77" t="s">
        <v>1569</v>
      </c>
      <c r="D4058" s="13">
        <f>D4057</f>
        <v>29804.24</v>
      </c>
      <c r="E4058" s="15">
        <f t="shared" si="1"/>
        <v>2025</v>
      </c>
      <c r="F4058" s="15">
        <f t="shared" si="2"/>
        <v>7</v>
      </c>
      <c r="G4058" s="15">
        <f t="shared" si="3"/>
        <v>2</v>
      </c>
    </row>
    <row r="4059">
      <c r="A4059" s="10" t="s">
        <v>37</v>
      </c>
      <c r="B4059" s="94">
        <f t="shared" si="5"/>
        <v>45840</v>
      </c>
      <c r="C4059" s="77" t="s">
        <v>1570</v>
      </c>
      <c r="D4059" s="13">
        <f>SUMIFS('Lançamentos de receitas'!$E:$E,'Lançamentos de receitas'!$F:$F,"PAGO",'Lançamentos de receitas'!$C:$C,A4059,'Lançamentos de receitas'!$A:$A,B4059)</f>
        <v>2429.24</v>
      </c>
      <c r="E4059" s="15">
        <f t="shared" si="1"/>
        <v>2025</v>
      </c>
      <c r="F4059" s="15">
        <f t="shared" si="2"/>
        <v>7</v>
      </c>
      <c r="G4059" s="15">
        <f t="shared" si="3"/>
        <v>2</v>
      </c>
    </row>
    <row r="4060">
      <c r="A4060" s="10" t="s">
        <v>37</v>
      </c>
      <c r="B4060" s="94">
        <f t="shared" si="5"/>
        <v>45840</v>
      </c>
      <c r="C4060" s="77" t="s">
        <v>1571</v>
      </c>
      <c r="D4060" s="13">
        <f>SUMIFS('Lançamentos de despesas'!$I:$I,'Lançamentos de despesas'!$G:$G,A4060,'Lançamentos de despesas'!$E:$E,"PAGO",'Lançamentos de despesas'!$C:$C,B4060)</f>
        <v>0</v>
      </c>
      <c r="E4060" s="15">
        <f t="shared" si="1"/>
        <v>2025</v>
      </c>
      <c r="F4060" s="15">
        <f t="shared" si="2"/>
        <v>7</v>
      </c>
      <c r="G4060" s="15">
        <f t="shared" si="3"/>
        <v>2</v>
      </c>
    </row>
    <row r="4061">
      <c r="A4061" s="10" t="s">
        <v>37</v>
      </c>
      <c r="B4061" s="94">
        <f t="shared" si="5"/>
        <v>45840</v>
      </c>
      <c r="C4061" s="77" t="s">
        <v>1572</v>
      </c>
      <c r="D4061" s="13">
        <f>D4058+D4059-D4060</f>
        <v>32233.48</v>
      </c>
      <c r="E4061" s="15">
        <f t="shared" si="1"/>
        <v>2025</v>
      </c>
      <c r="F4061" s="15">
        <f t="shared" si="2"/>
        <v>7</v>
      </c>
      <c r="G4061" s="15">
        <f t="shared" si="3"/>
        <v>2</v>
      </c>
    </row>
    <row r="4062">
      <c r="A4062" s="10" t="s">
        <v>37</v>
      </c>
      <c r="B4062" s="94">
        <f t="shared" si="5"/>
        <v>45841</v>
      </c>
      <c r="C4062" s="77" t="s">
        <v>1569</v>
      </c>
      <c r="D4062" s="13">
        <f>D4061</f>
        <v>32233.48</v>
      </c>
      <c r="E4062" s="15">
        <f t="shared" si="1"/>
        <v>2025</v>
      </c>
      <c r="F4062" s="15">
        <f t="shared" si="2"/>
        <v>7</v>
      </c>
      <c r="G4062" s="15">
        <f t="shared" si="3"/>
        <v>3</v>
      </c>
    </row>
    <row r="4063">
      <c r="A4063" s="10" t="s">
        <v>37</v>
      </c>
      <c r="B4063" s="94">
        <f t="shared" si="5"/>
        <v>45841</v>
      </c>
      <c r="C4063" s="77" t="s">
        <v>1570</v>
      </c>
      <c r="D4063" s="13">
        <f>SUMIFS('Lançamentos de receitas'!$E:$E,'Lançamentos de receitas'!$F:$F,"PAGO",'Lançamentos de receitas'!$C:$C,A4063,'Lançamentos de receitas'!$A:$A,B4063)</f>
        <v>2512.22</v>
      </c>
      <c r="E4063" s="15">
        <f t="shared" si="1"/>
        <v>2025</v>
      </c>
      <c r="F4063" s="15">
        <f t="shared" si="2"/>
        <v>7</v>
      </c>
      <c r="G4063" s="15">
        <f t="shared" si="3"/>
        <v>3</v>
      </c>
    </row>
    <row r="4064">
      <c r="A4064" s="10" t="s">
        <v>37</v>
      </c>
      <c r="B4064" s="94">
        <f t="shared" si="5"/>
        <v>45841</v>
      </c>
      <c r="C4064" s="77" t="s">
        <v>1571</v>
      </c>
      <c r="D4064" s="13">
        <f>SUMIFS('Lançamentos de despesas'!$I:$I,'Lançamentos de despesas'!$G:$G,A4064,'Lançamentos de despesas'!$E:$E,"PAGO",'Lançamentos de despesas'!$C:$C,B4064)</f>
        <v>0</v>
      </c>
      <c r="E4064" s="15">
        <f t="shared" si="1"/>
        <v>2025</v>
      </c>
      <c r="F4064" s="15">
        <f t="shared" si="2"/>
        <v>7</v>
      </c>
      <c r="G4064" s="15">
        <f t="shared" si="3"/>
        <v>3</v>
      </c>
    </row>
    <row r="4065">
      <c r="A4065" s="10" t="s">
        <v>37</v>
      </c>
      <c r="B4065" s="94">
        <f t="shared" si="5"/>
        <v>45841</v>
      </c>
      <c r="C4065" s="77" t="s">
        <v>1572</v>
      </c>
      <c r="D4065" s="13">
        <f>D4062+D4063-D4064</f>
        <v>34745.7</v>
      </c>
      <c r="E4065" s="15">
        <f t="shared" si="1"/>
        <v>2025</v>
      </c>
      <c r="F4065" s="15">
        <f t="shared" si="2"/>
        <v>7</v>
      </c>
      <c r="G4065" s="15">
        <f t="shared" si="3"/>
        <v>3</v>
      </c>
    </row>
    <row r="4066">
      <c r="A4066" s="10" t="s">
        <v>37</v>
      </c>
      <c r="B4066" s="94">
        <f t="shared" si="5"/>
        <v>45842</v>
      </c>
      <c r="C4066" s="77" t="s">
        <v>1569</v>
      </c>
      <c r="D4066" s="13">
        <f>D4065</f>
        <v>34745.7</v>
      </c>
      <c r="E4066" s="15">
        <f t="shared" si="1"/>
        <v>2025</v>
      </c>
      <c r="F4066" s="15">
        <f t="shared" si="2"/>
        <v>7</v>
      </c>
      <c r="G4066" s="15">
        <f t="shared" si="3"/>
        <v>4</v>
      </c>
    </row>
    <row r="4067">
      <c r="A4067" s="10" t="s">
        <v>37</v>
      </c>
      <c r="B4067" s="94">
        <f t="shared" si="5"/>
        <v>45842</v>
      </c>
      <c r="C4067" s="77" t="s">
        <v>1570</v>
      </c>
      <c r="D4067" s="13">
        <f>SUMIFS('Lançamentos de receitas'!$E:$E,'Lançamentos de receitas'!$F:$F,"PAGO",'Lançamentos de receitas'!$C:$C,A4067,'Lançamentos de receitas'!$A:$A,B4067)</f>
        <v>2848.87</v>
      </c>
      <c r="E4067" s="15">
        <f t="shared" si="1"/>
        <v>2025</v>
      </c>
      <c r="F4067" s="15">
        <f t="shared" si="2"/>
        <v>7</v>
      </c>
      <c r="G4067" s="15">
        <f t="shared" si="3"/>
        <v>4</v>
      </c>
    </row>
    <row r="4068">
      <c r="A4068" s="10" t="s">
        <v>37</v>
      </c>
      <c r="B4068" s="94">
        <f t="shared" si="5"/>
        <v>45842</v>
      </c>
      <c r="C4068" s="77" t="s">
        <v>1571</v>
      </c>
      <c r="D4068" s="13">
        <f>SUMIFS('Lançamentos de despesas'!$I:$I,'Lançamentos de despesas'!$G:$G,A4068,'Lançamentos de despesas'!$E:$E,"PAGO",'Lançamentos de despesas'!$C:$C,B4068)</f>
        <v>0</v>
      </c>
      <c r="E4068" s="15">
        <f t="shared" si="1"/>
        <v>2025</v>
      </c>
      <c r="F4068" s="15">
        <f t="shared" si="2"/>
        <v>7</v>
      </c>
      <c r="G4068" s="15">
        <f t="shared" si="3"/>
        <v>4</v>
      </c>
    </row>
    <row r="4069">
      <c r="A4069" s="10" t="s">
        <v>37</v>
      </c>
      <c r="B4069" s="94">
        <f t="shared" si="5"/>
        <v>45842</v>
      </c>
      <c r="C4069" s="77" t="s">
        <v>1572</v>
      </c>
      <c r="D4069" s="13">
        <f>D4066+D4067-D4068</f>
        <v>37594.57</v>
      </c>
      <c r="E4069" s="15">
        <f t="shared" si="1"/>
        <v>2025</v>
      </c>
      <c r="F4069" s="15">
        <f t="shared" si="2"/>
        <v>7</v>
      </c>
      <c r="G4069" s="15">
        <f t="shared" si="3"/>
        <v>4</v>
      </c>
    </row>
    <row r="4070">
      <c r="A4070" s="10" t="s">
        <v>37</v>
      </c>
      <c r="B4070" s="94">
        <f t="shared" si="5"/>
        <v>45843</v>
      </c>
      <c r="C4070" s="77" t="s">
        <v>1569</v>
      </c>
      <c r="D4070" s="13">
        <f>D4069</f>
        <v>37594.57</v>
      </c>
      <c r="E4070" s="15">
        <f t="shared" si="1"/>
        <v>2025</v>
      </c>
      <c r="F4070" s="15">
        <f t="shared" si="2"/>
        <v>7</v>
      </c>
      <c r="G4070" s="15">
        <f t="shared" si="3"/>
        <v>5</v>
      </c>
    </row>
    <row r="4071">
      <c r="A4071" s="10" t="s">
        <v>37</v>
      </c>
      <c r="B4071" s="94">
        <f t="shared" si="5"/>
        <v>45843</v>
      </c>
      <c r="C4071" s="77" t="s">
        <v>1570</v>
      </c>
      <c r="D4071" s="13">
        <f>SUMIFS('Lançamentos de receitas'!$E:$E,'Lançamentos de receitas'!$F:$F,"PAGO",'Lançamentos de receitas'!$C:$C,A4071,'Lançamentos de receitas'!$A:$A,B4071)</f>
        <v>2165.83</v>
      </c>
      <c r="E4071" s="15">
        <f t="shared" si="1"/>
        <v>2025</v>
      </c>
      <c r="F4071" s="15">
        <f t="shared" si="2"/>
        <v>7</v>
      </c>
      <c r="G4071" s="15">
        <f t="shared" si="3"/>
        <v>5</v>
      </c>
    </row>
    <row r="4072">
      <c r="A4072" s="10" t="s">
        <v>37</v>
      </c>
      <c r="B4072" s="94">
        <f t="shared" si="5"/>
        <v>45843</v>
      </c>
      <c r="C4072" s="77" t="s">
        <v>1571</v>
      </c>
      <c r="D4072" s="13">
        <f>SUMIFS('Lançamentos de despesas'!$I:$I,'Lançamentos de despesas'!$G:$G,A4072,'Lançamentos de despesas'!$E:$E,"PAGO",'Lançamentos de despesas'!$C:$C,B4072)</f>
        <v>0</v>
      </c>
      <c r="E4072" s="15">
        <f t="shared" si="1"/>
        <v>2025</v>
      </c>
      <c r="F4072" s="15">
        <f t="shared" si="2"/>
        <v>7</v>
      </c>
      <c r="G4072" s="15">
        <f t="shared" si="3"/>
        <v>5</v>
      </c>
    </row>
    <row r="4073">
      <c r="A4073" s="10" t="s">
        <v>37</v>
      </c>
      <c r="B4073" s="94">
        <f t="shared" si="5"/>
        <v>45843</v>
      </c>
      <c r="C4073" s="77" t="s">
        <v>1572</v>
      </c>
      <c r="D4073" s="13">
        <f>D4070+D4071-D4072</f>
        <v>39760.4</v>
      </c>
      <c r="E4073" s="15">
        <f t="shared" si="1"/>
        <v>2025</v>
      </c>
      <c r="F4073" s="15">
        <f t="shared" si="2"/>
        <v>7</v>
      </c>
      <c r="G4073" s="15">
        <f t="shared" si="3"/>
        <v>5</v>
      </c>
    </row>
    <row r="4074">
      <c r="A4074" s="10" t="s">
        <v>37</v>
      </c>
      <c r="B4074" s="94">
        <f t="shared" si="5"/>
        <v>45844</v>
      </c>
      <c r="C4074" s="77" t="s">
        <v>1569</v>
      </c>
      <c r="D4074" s="13">
        <f>D4073</f>
        <v>39760.4</v>
      </c>
      <c r="E4074" s="15">
        <f t="shared" si="1"/>
        <v>2025</v>
      </c>
      <c r="F4074" s="15">
        <f t="shared" si="2"/>
        <v>7</v>
      </c>
      <c r="G4074" s="15">
        <f t="shared" si="3"/>
        <v>6</v>
      </c>
    </row>
    <row r="4075">
      <c r="A4075" s="10" t="s">
        <v>37</v>
      </c>
      <c r="B4075" s="94">
        <f t="shared" si="5"/>
        <v>45844</v>
      </c>
      <c r="C4075" s="77" t="s">
        <v>1570</v>
      </c>
      <c r="D4075" s="13">
        <f>SUMIFS('Lançamentos de receitas'!$E:$E,'Lançamentos de receitas'!$F:$F,"PAGO",'Lançamentos de receitas'!$C:$C,A4075,'Lançamentos de receitas'!$A:$A,B4075)</f>
        <v>2342.85</v>
      </c>
      <c r="E4075" s="15">
        <f t="shared" si="1"/>
        <v>2025</v>
      </c>
      <c r="F4075" s="15">
        <f t="shared" si="2"/>
        <v>7</v>
      </c>
      <c r="G4075" s="15">
        <f t="shared" si="3"/>
        <v>6</v>
      </c>
    </row>
    <row r="4076">
      <c r="A4076" s="10" t="s">
        <v>37</v>
      </c>
      <c r="B4076" s="94">
        <f t="shared" si="5"/>
        <v>45844</v>
      </c>
      <c r="C4076" s="77" t="s">
        <v>1571</v>
      </c>
      <c r="D4076" s="13">
        <f>SUMIFS('Lançamentos de despesas'!$I:$I,'Lançamentos de despesas'!$G:$G,A4076,'Lançamentos de despesas'!$E:$E,"PAGO",'Lançamentos de despesas'!$C:$C,B4076)</f>
        <v>200</v>
      </c>
      <c r="E4076" s="15">
        <f t="shared" si="1"/>
        <v>2025</v>
      </c>
      <c r="F4076" s="15">
        <f t="shared" si="2"/>
        <v>7</v>
      </c>
      <c r="G4076" s="15">
        <f t="shared" si="3"/>
        <v>6</v>
      </c>
    </row>
    <row r="4077">
      <c r="A4077" s="10" t="s">
        <v>37</v>
      </c>
      <c r="B4077" s="94">
        <f t="shared" si="5"/>
        <v>45844</v>
      </c>
      <c r="C4077" s="77" t="s">
        <v>1572</v>
      </c>
      <c r="D4077" s="13">
        <f>D4074+D4075-D4076</f>
        <v>41903.25</v>
      </c>
      <c r="E4077" s="15">
        <f t="shared" si="1"/>
        <v>2025</v>
      </c>
      <c r="F4077" s="15">
        <f t="shared" si="2"/>
        <v>7</v>
      </c>
      <c r="G4077" s="15">
        <f t="shared" si="3"/>
        <v>6</v>
      </c>
    </row>
    <row r="4078">
      <c r="A4078" s="10" t="s">
        <v>37</v>
      </c>
      <c r="B4078" s="94">
        <f t="shared" si="5"/>
        <v>45845</v>
      </c>
      <c r="C4078" s="77" t="s">
        <v>1569</v>
      </c>
      <c r="D4078" s="13">
        <f>D4077</f>
        <v>41903.25</v>
      </c>
      <c r="E4078" s="15">
        <f t="shared" si="1"/>
        <v>2025</v>
      </c>
      <c r="F4078" s="15">
        <f t="shared" si="2"/>
        <v>7</v>
      </c>
      <c r="G4078" s="15">
        <f t="shared" si="3"/>
        <v>7</v>
      </c>
    </row>
    <row r="4079">
      <c r="A4079" s="10" t="s">
        <v>37</v>
      </c>
      <c r="B4079" s="94">
        <f t="shared" si="5"/>
        <v>45845</v>
      </c>
      <c r="C4079" s="77" t="s">
        <v>1570</v>
      </c>
      <c r="D4079" s="13">
        <f>SUMIFS('Lançamentos de receitas'!$E:$E,'Lançamentos de receitas'!$F:$F,"PAGO",'Lançamentos de receitas'!$C:$C,A4079,'Lançamentos de receitas'!$A:$A,B4079)</f>
        <v>292.17</v>
      </c>
      <c r="E4079" s="15">
        <f t="shared" si="1"/>
        <v>2025</v>
      </c>
      <c r="F4079" s="15">
        <f t="shared" si="2"/>
        <v>7</v>
      </c>
      <c r="G4079" s="15">
        <f t="shared" si="3"/>
        <v>7</v>
      </c>
    </row>
    <row r="4080">
      <c r="A4080" s="10" t="s">
        <v>37</v>
      </c>
      <c r="B4080" s="94">
        <f t="shared" si="5"/>
        <v>45845</v>
      </c>
      <c r="C4080" s="77" t="s">
        <v>1571</v>
      </c>
      <c r="D4080" s="13">
        <f>SUMIFS('Lançamentos de despesas'!$I:$I,'Lançamentos de despesas'!$G:$G,A4080,'Lançamentos de despesas'!$E:$E,"PAGO",'Lançamentos de despesas'!$C:$C,B4080)</f>
        <v>2300</v>
      </c>
      <c r="E4080" s="15">
        <f t="shared" si="1"/>
        <v>2025</v>
      </c>
      <c r="F4080" s="15">
        <f t="shared" si="2"/>
        <v>7</v>
      </c>
      <c r="G4080" s="15">
        <f t="shared" si="3"/>
        <v>7</v>
      </c>
    </row>
    <row r="4081">
      <c r="A4081" s="10" t="s">
        <v>37</v>
      </c>
      <c r="B4081" s="94">
        <f t="shared" si="5"/>
        <v>45845</v>
      </c>
      <c r="C4081" s="77" t="s">
        <v>1572</v>
      </c>
      <c r="D4081" s="13">
        <f>D4078+D4079-D4080</f>
        <v>39895.42</v>
      </c>
      <c r="E4081" s="15">
        <f t="shared" si="1"/>
        <v>2025</v>
      </c>
      <c r="F4081" s="15">
        <f t="shared" si="2"/>
        <v>7</v>
      </c>
      <c r="G4081" s="15">
        <f t="shared" si="3"/>
        <v>7</v>
      </c>
    </row>
    <row r="4082">
      <c r="A4082" s="10" t="s">
        <v>37</v>
      </c>
      <c r="B4082" s="94">
        <f t="shared" si="5"/>
        <v>45846</v>
      </c>
      <c r="C4082" s="77" t="s">
        <v>1569</v>
      </c>
      <c r="D4082" s="13">
        <f>D4081</f>
        <v>39895.42</v>
      </c>
      <c r="E4082" s="15">
        <f t="shared" si="1"/>
        <v>2025</v>
      </c>
      <c r="F4082" s="15">
        <f t="shared" si="2"/>
        <v>7</v>
      </c>
      <c r="G4082" s="15">
        <f t="shared" si="3"/>
        <v>8</v>
      </c>
    </row>
    <row r="4083">
      <c r="A4083" s="10" t="s">
        <v>37</v>
      </c>
      <c r="B4083" s="94">
        <f t="shared" si="5"/>
        <v>45846</v>
      </c>
      <c r="C4083" s="77" t="s">
        <v>1570</v>
      </c>
      <c r="D4083" s="13">
        <f>SUMIFS('Lançamentos de receitas'!$E:$E,'Lançamentos de receitas'!$F:$F,"PAGO",'Lançamentos de receitas'!$C:$C,A4083,'Lançamentos de receitas'!$A:$A,B4083)</f>
        <v>2565.29</v>
      </c>
      <c r="E4083" s="15">
        <f t="shared" si="1"/>
        <v>2025</v>
      </c>
      <c r="F4083" s="15">
        <f t="shared" si="2"/>
        <v>7</v>
      </c>
      <c r="G4083" s="15">
        <f t="shared" si="3"/>
        <v>8</v>
      </c>
    </row>
    <row r="4084">
      <c r="A4084" s="10" t="s">
        <v>37</v>
      </c>
      <c r="B4084" s="94">
        <f t="shared" si="5"/>
        <v>45846</v>
      </c>
      <c r="C4084" s="77" t="s">
        <v>1571</v>
      </c>
      <c r="D4084" s="13">
        <f>SUMIFS('Lançamentos de despesas'!$I:$I,'Lançamentos de despesas'!$G:$G,A4084,'Lançamentos de despesas'!$E:$E,"PAGO",'Lançamentos de despesas'!$C:$C,B4084)</f>
        <v>112.5</v>
      </c>
      <c r="E4084" s="15">
        <f t="shared" si="1"/>
        <v>2025</v>
      </c>
      <c r="F4084" s="15">
        <f t="shared" si="2"/>
        <v>7</v>
      </c>
      <c r="G4084" s="15">
        <f t="shared" si="3"/>
        <v>8</v>
      </c>
    </row>
    <row r="4085">
      <c r="A4085" s="10" t="s">
        <v>37</v>
      </c>
      <c r="B4085" s="94">
        <f t="shared" si="5"/>
        <v>45846</v>
      </c>
      <c r="C4085" s="77" t="s">
        <v>1572</v>
      </c>
      <c r="D4085" s="13">
        <f>D4082+D4083-D4084</f>
        <v>42348.21</v>
      </c>
      <c r="E4085" s="15">
        <f t="shared" si="1"/>
        <v>2025</v>
      </c>
      <c r="F4085" s="15">
        <f t="shared" si="2"/>
        <v>7</v>
      </c>
      <c r="G4085" s="15">
        <f t="shared" si="3"/>
        <v>8</v>
      </c>
    </row>
    <row r="4086">
      <c r="A4086" s="10" t="s">
        <v>37</v>
      </c>
      <c r="B4086" s="94">
        <f t="shared" si="5"/>
        <v>45847</v>
      </c>
      <c r="C4086" s="77" t="s">
        <v>1569</v>
      </c>
      <c r="D4086" s="13">
        <f>D4085</f>
        <v>42348.21</v>
      </c>
      <c r="E4086" s="15">
        <f t="shared" si="1"/>
        <v>2025</v>
      </c>
      <c r="F4086" s="15">
        <f t="shared" si="2"/>
        <v>7</v>
      </c>
      <c r="G4086" s="15">
        <f t="shared" si="3"/>
        <v>9</v>
      </c>
    </row>
    <row r="4087">
      <c r="A4087" s="10" t="s">
        <v>37</v>
      </c>
      <c r="B4087" s="94">
        <f t="shared" si="5"/>
        <v>45847</v>
      </c>
      <c r="C4087" s="77" t="s">
        <v>1570</v>
      </c>
      <c r="D4087" s="13">
        <f>SUMIFS('Lançamentos de receitas'!$E:$E,'Lançamentos de receitas'!$F:$F,"PAGO",'Lançamentos de receitas'!$C:$C,A4087,'Lançamentos de receitas'!$A:$A,B4087)</f>
        <v>2164.6</v>
      </c>
      <c r="E4087" s="15">
        <f t="shared" si="1"/>
        <v>2025</v>
      </c>
      <c r="F4087" s="15">
        <f t="shared" si="2"/>
        <v>7</v>
      </c>
      <c r="G4087" s="15">
        <f t="shared" si="3"/>
        <v>9</v>
      </c>
    </row>
    <row r="4088">
      <c r="A4088" s="10" t="s">
        <v>37</v>
      </c>
      <c r="B4088" s="94">
        <f t="shared" si="5"/>
        <v>45847</v>
      </c>
      <c r="C4088" s="77" t="s">
        <v>1571</v>
      </c>
      <c r="D4088" s="13">
        <f>SUMIFS('Lançamentos de despesas'!$I:$I,'Lançamentos de despesas'!$G:$G,A4088,'Lançamentos de despesas'!$E:$E,"PAGO",'Lançamentos de despesas'!$C:$C,B4088)</f>
        <v>0</v>
      </c>
      <c r="E4088" s="15">
        <f t="shared" si="1"/>
        <v>2025</v>
      </c>
      <c r="F4088" s="15">
        <f t="shared" si="2"/>
        <v>7</v>
      </c>
      <c r="G4088" s="15">
        <f t="shared" si="3"/>
        <v>9</v>
      </c>
    </row>
    <row r="4089">
      <c r="A4089" s="10" t="s">
        <v>37</v>
      </c>
      <c r="B4089" s="94">
        <f t="shared" si="5"/>
        <v>45847</v>
      </c>
      <c r="C4089" s="77" t="s">
        <v>1572</v>
      </c>
      <c r="D4089" s="13">
        <f>D4086+D4087-D4088</f>
        <v>44512.81</v>
      </c>
      <c r="E4089" s="15">
        <f t="shared" si="1"/>
        <v>2025</v>
      </c>
      <c r="F4089" s="15">
        <f t="shared" si="2"/>
        <v>7</v>
      </c>
      <c r="G4089" s="15">
        <f t="shared" si="3"/>
        <v>9</v>
      </c>
    </row>
    <row r="4090">
      <c r="A4090" s="10" t="s">
        <v>37</v>
      </c>
      <c r="B4090" s="94">
        <f t="shared" si="5"/>
        <v>45848</v>
      </c>
      <c r="C4090" s="77" t="s">
        <v>1569</v>
      </c>
      <c r="D4090" s="13">
        <f>D4089</f>
        <v>44512.81</v>
      </c>
      <c r="E4090" s="15">
        <f t="shared" si="1"/>
        <v>2025</v>
      </c>
      <c r="F4090" s="15">
        <f t="shared" si="2"/>
        <v>7</v>
      </c>
      <c r="G4090" s="15">
        <f t="shared" si="3"/>
        <v>10</v>
      </c>
    </row>
    <row r="4091">
      <c r="A4091" s="10" t="s">
        <v>37</v>
      </c>
      <c r="B4091" s="94">
        <f t="shared" si="5"/>
        <v>45848</v>
      </c>
      <c r="C4091" s="77" t="s">
        <v>1570</v>
      </c>
      <c r="D4091" s="13">
        <f>SUMIFS('Lançamentos de receitas'!$E:$E,'Lançamentos de receitas'!$F:$F,"PAGO",'Lançamentos de receitas'!$C:$C,A4091,'Lançamentos de receitas'!$A:$A,B4091)</f>
        <v>2662.43</v>
      </c>
      <c r="E4091" s="15">
        <f t="shared" si="1"/>
        <v>2025</v>
      </c>
      <c r="F4091" s="15">
        <f t="shared" si="2"/>
        <v>7</v>
      </c>
      <c r="G4091" s="15">
        <f t="shared" si="3"/>
        <v>10</v>
      </c>
    </row>
    <row r="4092">
      <c r="A4092" s="10" t="s">
        <v>37</v>
      </c>
      <c r="B4092" s="94">
        <f t="shared" si="5"/>
        <v>45848</v>
      </c>
      <c r="C4092" s="77" t="s">
        <v>1571</v>
      </c>
      <c r="D4092" s="13">
        <f>SUMIFS('Lançamentos de despesas'!$I:$I,'Lançamentos de despesas'!$G:$G,A4092,'Lançamentos de despesas'!$E:$E,"PAGO",'Lançamentos de despesas'!$C:$C,B4092)</f>
        <v>475.5</v>
      </c>
      <c r="E4092" s="15">
        <f t="shared" si="1"/>
        <v>2025</v>
      </c>
      <c r="F4092" s="15">
        <f t="shared" si="2"/>
        <v>7</v>
      </c>
      <c r="G4092" s="15">
        <f t="shared" si="3"/>
        <v>10</v>
      </c>
    </row>
    <row r="4093">
      <c r="A4093" s="10" t="s">
        <v>37</v>
      </c>
      <c r="B4093" s="94">
        <f t="shared" si="5"/>
        <v>45848</v>
      </c>
      <c r="C4093" s="77" t="s">
        <v>1572</v>
      </c>
      <c r="D4093" s="13">
        <f>D4090+D4091-D4092</f>
        <v>46699.74</v>
      </c>
      <c r="E4093" s="15">
        <f t="shared" si="1"/>
        <v>2025</v>
      </c>
      <c r="F4093" s="15">
        <f t="shared" si="2"/>
        <v>7</v>
      </c>
      <c r="G4093" s="15">
        <f t="shared" si="3"/>
        <v>10</v>
      </c>
    </row>
    <row r="4094">
      <c r="A4094" s="10" t="s">
        <v>37</v>
      </c>
      <c r="B4094" s="94">
        <f t="shared" si="5"/>
        <v>45849</v>
      </c>
      <c r="C4094" s="77" t="s">
        <v>1569</v>
      </c>
      <c r="D4094" s="13">
        <f>D4093</f>
        <v>46699.74</v>
      </c>
      <c r="E4094" s="15">
        <f t="shared" si="1"/>
        <v>2025</v>
      </c>
      <c r="F4094" s="15">
        <f t="shared" si="2"/>
        <v>7</v>
      </c>
      <c r="G4094" s="15">
        <f t="shared" si="3"/>
        <v>11</v>
      </c>
    </row>
    <row r="4095">
      <c r="A4095" s="10" t="s">
        <v>37</v>
      </c>
      <c r="B4095" s="94">
        <f t="shared" si="5"/>
        <v>45849</v>
      </c>
      <c r="C4095" s="77" t="s">
        <v>1570</v>
      </c>
      <c r="D4095" s="13">
        <f>SUMIFS('Lançamentos de receitas'!$E:$E,'Lançamentos de receitas'!$F:$F,"PAGO",'Lançamentos de receitas'!$C:$C,A4095,'Lançamentos de receitas'!$A:$A,B4095)</f>
        <v>2835.73</v>
      </c>
      <c r="E4095" s="15">
        <f t="shared" si="1"/>
        <v>2025</v>
      </c>
      <c r="F4095" s="15">
        <f t="shared" si="2"/>
        <v>7</v>
      </c>
      <c r="G4095" s="15">
        <f t="shared" si="3"/>
        <v>11</v>
      </c>
    </row>
    <row r="4096">
      <c r="A4096" s="10" t="s">
        <v>37</v>
      </c>
      <c r="B4096" s="94">
        <f t="shared" si="5"/>
        <v>45849</v>
      </c>
      <c r="C4096" s="77" t="s">
        <v>1571</v>
      </c>
      <c r="D4096" s="13">
        <f>SUMIFS('Lançamentos de despesas'!$I:$I,'Lançamentos de despesas'!$G:$G,A4096,'Lançamentos de despesas'!$E:$E,"PAGO",'Lançamentos de despesas'!$C:$C,B4096)</f>
        <v>50</v>
      </c>
      <c r="E4096" s="15">
        <f t="shared" si="1"/>
        <v>2025</v>
      </c>
      <c r="F4096" s="15">
        <f t="shared" si="2"/>
        <v>7</v>
      </c>
      <c r="G4096" s="15">
        <f t="shared" si="3"/>
        <v>11</v>
      </c>
    </row>
    <row r="4097">
      <c r="A4097" s="10" t="s">
        <v>37</v>
      </c>
      <c r="B4097" s="94">
        <f t="shared" si="5"/>
        <v>45849</v>
      </c>
      <c r="C4097" s="77" t="s">
        <v>1572</v>
      </c>
      <c r="D4097" s="13">
        <f>D4094+D4095-D4096</f>
        <v>49485.47</v>
      </c>
      <c r="E4097" s="15">
        <f t="shared" si="1"/>
        <v>2025</v>
      </c>
      <c r="F4097" s="15">
        <f t="shared" si="2"/>
        <v>7</v>
      </c>
      <c r="G4097" s="15">
        <f t="shared" si="3"/>
        <v>11</v>
      </c>
    </row>
    <row r="4098">
      <c r="A4098" s="10" t="s">
        <v>37</v>
      </c>
      <c r="B4098" s="94">
        <f t="shared" si="5"/>
        <v>45850</v>
      </c>
      <c r="C4098" s="77" t="s">
        <v>1569</v>
      </c>
      <c r="D4098" s="13">
        <f>D4097</f>
        <v>49485.47</v>
      </c>
      <c r="E4098" s="15">
        <f t="shared" si="1"/>
        <v>2025</v>
      </c>
      <c r="F4098" s="15">
        <f t="shared" si="2"/>
        <v>7</v>
      </c>
      <c r="G4098" s="15">
        <f t="shared" si="3"/>
        <v>12</v>
      </c>
    </row>
    <row r="4099">
      <c r="A4099" s="10" t="s">
        <v>37</v>
      </c>
      <c r="B4099" s="94">
        <f t="shared" si="5"/>
        <v>45850</v>
      </c>
      <c r="C4099" s="77" t="s">
        <v>1570</v>
      </c>
      <c r="D4099" s="13">
        <f>SUMIFS('Lançamentos de receitas'!$E:$E,'Lançamentos de receitas'!$F:$F,"PAGO",'Lançamentos de receitas'!$C:$C,A4099,'Lançamentos de receitas'!$A:$A,B4099)</f>
        <v>3289.89</v>
      </c>
      <c r="E4099" s="15">
        <f t="shared" si="1"/>
        <v>2025</v>
      </c>
      <c r="F4099" s="15">
        <f t="shared" si="2"/>
        <v>7</v>
      </c>
      <c r="G4099" s="15">
        <f t="shared" si="3"/>
        <v>12</v>
      </c>
    </row>
    <row r="4100">
      <c r="A4100" s="10" t="s">
        <v>37</v>
      </c>
      <c r="B4100" s="94">
        <f t="shared" si="5"/>
        <v>45850</v>
      </c>
      <c r="C4100" s="77" t="s">
        <v>1571</v>
      </c>
      <c r="D4100" s="13">
        <f>SUMIFS('Lançamentos de despesas'!$I:$I,'Lançamentos de despesas'!$G:$G,A4100,'Lançamentos de despesas'!$E:$E,"PAGO",'Lançamentos de despesas'!$C:$C,B4100)</f>
        <v>0</v>
      </c>
      <c r="E4100" s="15">
        <f t="shared" si="1"/>
        <v>2025</v>
      </c>
      <c r="F4100" s="15">
        <f t="shared" si="2"/>
        <v>7</v>
      </c>
      <c r="G4100" s="15">
        <f t="shared" si="3"/>
        <v>12</v>
      </c>
    </row>
    <row r="4101">
      <c r="A4101" s="10" t="s">
        <v>37</v>
      </c>
      <c r="B4101" s="94">
        <f t="shared" si="5"/>
        <v>45850</v>
      </c>
      <c r="C4101" s="77" t="s">
        <v>1572</v>
      </c>
      <c r="D4101" s="13">
        <f>D4098+D4099-D4100</f>
        <v>52775.36</v>
      </c>
      <c r="E4101" s="15">
        <f t="shared" si="1"/>
        <v>2025</v>
      </c>
      <c r="F4101" s="15">
        <f t="shared" si="2"/>
        <v>7</v>
      </c>
      <c r="G4101" s="15">
        <f t="shared" si="3"/>
        <v>12</v>
      </c>
    </row>
    <row r="4102">
      <c r="A4102" s="10" t="s">
        <v>37</v>
      </c>
      <c r="B4102" s="94">
        <f t="shared" si="5"/>
        <v>45851</v>
      </c>
      <c r="C4102" s="77" t="s">
        <v>1569</v>
      </c>
      <c r="D4102" s="13">
        <f>D4101</f>
        <v>52775.36</v>
      </c>
      <c r="E4102" s="15">
        <f t="shared" si="1"/>
        <v>2025</v>
      </c>
      <c r="F4102" s="15">
        <f t="shared" si="2"/>
        <v>7</v>
      </c>
      <c r="G4102" s="15">
        <f t="shared" si="3"/>
        <v>13</v>
      </c>
    </row>
    <row r="4103">
      <c r="A4103" s="10" t="s">
        <v>37</v>
      </c>
      <c r="B4103" s="94">
        <f t="shared" si="5"/>
        <v>45851</v>
      </c>
      <c r="C4103" s="77" t="s">
        <v>1570</v>
      </c>
      <c r="D4103" s="13">
        <f>SUMIFS('Lançamentos de receitas'!$E:$E,'Lançamentos de receitas'!$F:$F,"PAGO",'Lançamentos de receitas'!$C:$C,A4103,'Lançamentos de receitas'!$A:$A,B4103)</f>
        <v>2255.59</v>
      </c>
      <c r="E4103" s="15">
        <f t="shared" si="1"/>
        <v>2025</v>
      </c>
      <c r="F4103" s="15">
        <f t="shared" si="2"/>
        <v>7</v>
      </c>
      <c r="G4103" s="15">
        <f t="shared" si="3"/>
        <v>13</v>
      </c>
    </row>
    <row r="4104">
      <c r="A4104" s="10" t="s">
        <v>37</v>
      </c>
      <c r="B4104" s="94">
        <f t="shared" si="5"/>
        <v>45851</v>
      </c>
      <c r="C4104" s="77" t="s">
        <v>1571</v>
      </c>
      <c r="D4104" s="13">
        <f>SUMIFS('Lançamentos de despesas'!$I:$I,'Lançamentos de despesas'!$G:$G,A4104,'Lançamentos de despesas'!$E:$E,"PAGO",'Lançamentos de despesas'!$C:$C,B4104)</f>
        <v>0</v>
      </c>
      <c r="E4104" s="15">
        <f t="shared" si="1"/>
        <v>2025</v>
      </c>
      <c r="F4104" s="15">
        <f t="shared" si="2"/>
        <v>7</v>
      </c>
      <c r="G4104" s="15">
        <f t="shared" si="3"/>
        <v>13</v>
      </c>
    </row>
    <row r="4105">
      <c r="A4105" s="10" t="s">
        <v>37</v>
      </c>
      <c r="B4105" s="94">
        <f t="shared" si="5"/>
        <v>45851</v>
      </c>
      <c r="C4105" s="77" t="s">
        <v>1572</v>
      </c>
      <c r="D4105" s="13">
        <f>D4102+D4103-D4104</f>
        <v>55030.95</v>
      </c>
      <c r="E4105" s="15">
        <f t="shared" si="1"/>
        <v>2025</v>
      </c>
      <c r="F4105" s="15">
        <f t="shared" si="2"/>
        <v>7</v>
      </c>
      <c r="G4105" s="15">
        <f t="shared" si="3"/>
        <v>13</v>
      </c>
    </row>
    <row r="4106">
      <c r="A4106" s="10" t="s">
        <v>37</v>
      </c>
      <c r="B4106" s="94">
        <f t="shared" si="5"/>
        <v>45852</v>
      </c>
      <c r="C4106" s="77" t="s">
        <v>1569</v>
      </c>
      <c r="D4106" s="13">
        <f>D4105</f>
        <v>55030.95</v>
      </c>
      <c r="E4106" s="15">
        <f t="shared" si="1"/>
        <v>2025</v>
      </c>
      <c r="F4106" s="15">
        <f t="shared" si="2"/>
        <v>7</v>
      </c>
      <c r="G4106" s="15">
        <f t="shared" si="3"/>
        <v>14</v>
      </c>
    </row>
    <row r="4107">
      <c r="A4107" s="10" t="s">
        <v>37</v>
      </c>
      <c r="B4107" s="94">
        <f t="shared" si="5"/>
        <v>45852</v>
      </c>
      <c r="C4107" s="77" t="s">
        <v>1570</v>
      </c>
      <c r="D4107" s="13">
        <f>SUMIFS('Lançamentos de receitas'!$E:$E,'Lançamentos de receitas'!$F:$F,"PAGO",'Lançamentos de receitas'!$C:$C,A4107,'Lançamentos de receitas'!$A:$A,B4107)</f>
        <v>1054.87</v>
      </c>
      <c r="E4107" s="15">
        <f t="shared" si="1"/>
        <v>2025</v>
      </c>
      <c r="F4107" s="15">
        <f t="shared" si="2"/>
        <v>7</v>
      </c>
      <c r="G4107" s="15">
        <f t="shared" si="3"/>
        <v>14</v>
      </c>
    </row>
    <row r="4108">
      <c r="A4108" s="10" t="s">
        <v>37</v>
      </c>
      <c r="B4108" s="94">
        <f t="shared" si="5"/>
        <v>45852</v>
      </c>
      <c r="C4108" s="77" t="s">
        <v>1571</v>
      </c>
      <c r="D4108" s="13">
        <f>SUMIFS('Lançamentos de despesas'!$I:$I,'Lançamentos de despesas'!$G:$G,A4108,'Lançamentos de despesas'!$E:$E,"PAGO",'Lançamentos de despesas'!$C:$C,B4108)</f>
        <v>1394.69</v>
      </c>
      <c r="E4108" s="15">
        <f t="shared" si="1"/>
        <v>2025</v>
      </c>
      <c r="F4108" s="15">
        <f t="shared" si="2"/>
        <v>7</v>
      </c>
      <c r="G4108" s="15">
        <f t="shared" si="3"/>
        <v>14</v>
      </c>
    </row>
    <row r="4109">
      <c r="A4109" s="10" t="s">
        <v>37</v>
      </c>
      <c r="B4109" s="94">
        <f t="shared" si="5"/>
        <v>45852</v>
      </c>
      <c r="C4109" s="77" t="s">
        <v>1572</v>
      </c>
      <c r="D4109" s="13">
        <f>D4106+D4107-D4108</f>
        <v>54691.13</v>
      </c>
      <c r="E4109" s="15">
        <f t="shared" si="1"/>
        <v>2025</v>
      </c>
      <c r="F4109" s="15">
        <f t="shared" si="2"/>
        <v>7</v>
      </c>
      <c r="G4109" s="15">
        <f t="shared" si="3"/>
        <v>14</v>
      </c>
    </row>
    <row r="4110">
      <c r="A4110" s="10" t="s">
        <v>37</v>
      </c>
      <c r="B4110" s="94">
        <f t="shared" si="5"/>
        <v>45853</v>
      </c>
      <c r="C4110" s="77" t="s">
        <v>1569</v>
      </c>
      <c r="D4110" s="13">
        <f>D4109</f>
        <v>54691.13</v>
      </c>
      <c r="E4110" s="15">
        <f t="shared" si="1"/>
        <v>2025</v>
      </c>
      <c r="F4110" s="15">
        <f t="shared" si="2"/>
        <v>7</v>
      </c>
      <c r="G4110" s="15">
        <f t="shared" si="3"/>
        <v>15</v>
      </c>
    </row>
    <row r="4111">
      <c r="A4111" s="10" t="s">
        <v>37</v>
      </c>
      <c r="B4111" s="94">
        <f t="shared" si="5"/>
        <v>45853</v>
      </c>
      <c r="C4111" s="77" t="s">
        <v>1570</v>
      </c>
      <c r="D4111" s="13">
        <f>SUMIFS('Lançamentos de receitas'!$E:$E,'Lançamentos de receitas'!$F:$F,"PAGO",'Lançamentos de receitas'!$C:$C,A4111,'Lançamentos de receitas'!$A:$A,B4111)</f>
        <v>2937.47</v>
      </c>
      <c r="E4111" s="15">
        <f t="shared" si="1"/>
        <v>2025</v>
      </c>
      <c r="F4111" s="15">
        <f t="shared" si="2"/>
        <v>7</v>
      </c>
      <c r="G4111" s="15">
        <f t="shared" si="3"/>
        <v>15</v>
      </c>
    </row>
    <row r="4112">
      <c r="A4112" s="10" t="s">
        <v>37</v>
      </c>
      <c r="B4112" s="94">
        <f t="shared" si="5"/>
        <v>45853</v>
      </c>
      <c r="C4112" s="77" t="s">
        <v>1571</v>
      </c>
      <c r="D4112" s="13">
        <f>SUMIFS('Lançamentos de despesas'!$I:$I,'Lançamentos de despesas'!$G:$G,A4112,'Lançamentos de despesas'!$E:$E,"PAGO",'Lançamentos de despesas'!$C:$C,B4112)</f>
        <v>0</v>
      </c>
      <c r="E4112" s="15">
        <f t="shared" si="1"/>
        <v>2025</v>
      </c>
      <c r="F4112" s="15">
        <f t="shared" si="2"/>
        <v>7</v>
      </c>
      <c r="G4112" s="15">
        <f t="shared" si="3"/>
        <v>15</v>
      </c>
    </row>
    <row r="4113">
      <c r="A4113" s="10" t="s">
        <v>37</v>
      </c>
      <c r="B4113" s="94">
        <f t="shared" si="5"/>
        <v>45853</v>
      </c>
      <c r="C4113" s="77" t="s">
        <v>1572</v>
      </c>
      <c r="D4113" s="13">
        <f>D4110+D4111-D4112</f>
        <v>57628.6</v>
      </c>
      <c r="E4113" s="15">
        <f t="shared" si="1"/>
        <v>2025</v>
      </c>
      <c r="F4113" s="15">
        <f t="shared" si="2"/>
        <v>7</v>
      </c>
      <c r="G4113" s="15">
        <f t="shared" si="3"/>
        <v>15</v>
      </c>
    </row>
    <row r="4114">
      <c r="A4114" s="10" t="s">
        <v>37</v>
      </c>
      <c r="B4114" s="94">
        <f t="shared" si="5"/>
        <v>45854</v>
      </c>
      <c r="C4114" s="77" t="s">
        <v>1569</v>
      </c>
      <c r="D4114" s="13">
        <f>D4113</f>
        <v>57628.6</v>
      </c>
      <c r="E4114" s="15">
        <f t="shared" si="1"/>
        <v>2025</v>
      </c>
      <c r="F4114" s="15">
        <f t="shared" si="2"/>
        <v>7</v>
      </c>
      <c r="G4114" s="15">
        <f t="shared" si="3"/>
        <v>16</v>
      </c>
    </row>
    <row r="4115">
      <c r="A4115" s="10" t="s">
        <v>37</v>
      </c>
      <c r="B4115" s="94">
        <f t="shared" si="5"/>
        <v>45854</v>
      </c>
      <c r="C4115" s="77" t="s">
        <v>1570</v>
      </c>
      <c r="D4115" s="13">
        <f>SUMIFS('Lançamentos de receitas'!$E:$E,'Lançamentos de receitas'!$F:$F,"PAGO",'Lançamentos de receitas'!$C:$C,A4115,'Lançamentos de receitas'!$A:$A,B4115)</f>
        <v>2320.28</v>
      </c>
      <c r="E4115" s="15">
        <f t="shared" si="1"/>
        <v>2025</v>
      </c>
      <c r="F4115" s="15">
        <f t="shared" si="2"/>
        <v>7</v>
      </c>
      <c r="G4115" s="15">
        <f t="shared" si="3"/>
        <v>16</v>
      </c>
    </row>
    <row r="4116">
      <c r="A4116" s="10" t="s">
        <v>37</v>
      </c>
      <c r="B4116" s="94">
        <f t="shared" si="5"/>
        <v>45854</v>
      </c>
      <c r="C4116" s="77" t="s">
        <v>1571</v>
      </c>
      <c r="D4116" s="13">
        <f>SUMIFS('Lançamentos de despesas'!$I:$I,'Lançamentos de despesas'!$G:$G,A4116,'Lançamentos de despesas'!$E:$E,"PAGO",'Lançamentos de despesas'!$C:$C,B4116)</f>
        <v>0</v>
      </c>
      <c r="E4116" s="15">
        <f t="shared" si="1"/>
        <v>2025</v>
      </c>
      <c r="F4116" s="15">
        <f t="shared" si="2"/>
        <v>7</v>
      </c>
      <c r="G4116" s="15">
        <f t="shared" si="3"/>
        <v>16</v>
      </c>
    </row>
    <row r="4117">
      <c r="A4117" s="10" t="s">
        <v>37</v>
      </c>
      <c r="B4117" s="94">
        <f t="shared" si="5"/>
        <v>45854</v>
      </c>
      <c r="C4117" s="77" t="s">
        <v>1572</v>
      </c>
      <c r="D4117" s="13">
        <f>D4114+D4115-D4116</f>
        <v>59948.88</v>
      </c>
      <c r="E4117" s="15">
        <f t="shared" si="1"/>
        <v>2025</v>
      </c>
      <c r="F4117" s="15">
        <f t="shared" si="2"/>
        <v>7</v>
      </c>
      <c r="G4117" s="15">
        <f t="shared" si="3"/>
        <v>16</v>
      </c>
    </row>
    <row r="4118">
      <c r="A4118" s="10" t="s">
        <v>37</v>
      </c>
      <c r="B4118" s="94">
        <f t="shared" si="5"/>
        <v>45855</v>
      </c>
      <c r="C4118" s="77" t="s">
        <v>1569</v>
      </c>
      <c r="D4118" s="13">
        <f>D4117</f>
        <v>59948.88</v>
      </c>
      <c r="E4118" s="15">
        <f t="shared" si="1"/>
        <v>2025</v>
      </c>
      <c r="F4118" s="15">
        <f t="shared" si="2"/>
        <v>7</v>
      </c>
      <c r="G4118" s="15">
        <f t="shared" si="3"/>
        <v>17</v>
      </c>
    </row>
    <row r="4119">
      <c r="A4119" s="10" t="s">
        <v>37</v>
      </c>
      <c r="B4119" s="94">
        <f t="shared" si="5"/>
        <v>45855</v>
      </c>
      <c r="C4119" s="77" t="s">
        <v>1570</v>
      </c>
      <c r="D4119" s="13">
        <f>SUMIFS('Lançamentos de receitas'!$E:$E,'Lançamentos de receitas'!$F:$F,"PAGO",'Lançamentos de receitas'!$C:$C,A4119,'Lançamentos de receitas'!$A:$A,B4119)</f>
        <v>2408.49</v>
      </c>
      <c r="E4119" s="15">
        <f t="shared" si="1"/>
        <v>2025</v>
      </c>
      <c r="F4119" s="15">
        <f t="shared" si="2"/>
        <v>7</v>
      </c>
      <c r="G4119" s="15">
        <f t="shared" si="3"/>
        <v>17</v>
      </c>
    </row>
    <row r="4120">
      <c r="A4120" s="10" t="s">
        <v>37</v>
      </c>
      <c r="B4120" s="94">
        <f t="shared" si="5"/>
        <v>45855</v>
      </c>
      <c r="C4120" s="77" t="s">
        <v>1571</v>
      </c>
      <c r="D4120" s="13">
        <f>SUMIFS('Lançamentos de despesas'!$I:$I,'Lançamentos de despesas'!$G:$G,A4120,'Lançamentos de despesas'!$E:$E,"PAGO",'Lançamentos de despesas'!$C:$C,B4120)</f>
        <v>28</v>
      </c>
      <c r="E4120" s="15">
        <f t="shared" si="1"/>
        <v>2025</v>
      </c>
      <c r="F4120" s="15">
        <f t="shared" si="2"/>
        <v>7</v>
      </c>
      <c r="G4120" s="15">
        <f t="shared" si="3"/>
        <v>17</v>
      </c>
    </row>
    <row r="4121">
      <c r="A4121" s="10" t="s">
        <v>37</v>
      </c>
      <c r="B4121" s="94">
        <f t="shared" si="5"/>
        <v>45855</v>
      </c>
      <c r="C4121" s="77" t="s">
        <v>1572</v>
      </c>
      <c r="D4121" s="13">
        <f>D4118+D4119-D4120</f>
        <v>62329.37</v>
      </c>
      <c r="E4121" s="15">
        <f t="shared" si="1"/>
        <v>2025</v>
      </c>
      <c r="F4121" s="15">
        <f t="shared" si="2"/>
        <v>7</v>
      </c>
      <c r="G4121" s="15">
        <f t="shared" si="3"/>
        <v>17</v>
      </c>
    </row>
    <row r="4122">
      <c r="A4122" s="10" t="s">
        <v>37</v>
      </c>
      <c r="B4122" s="94">
        <f t="shared" si="5"/>
        <v>45856</v>
      </c>
      <c r="C4122" s="77" t="s">
        <v>1569</v>
      </c>
      <c r="D4122" s="13">
        <f>D4121</f>
        <v>62329.37</v>
      </c>
      <c r="E4122" s="15">
        <f t="shared" si="1"/>
        <v>2025</v>
      </c>
      <c r="F4122" s="15">
        <f t="shared" si="2"/>
        <v>7</v>
      </c>
      <c r="G4122" s="15">
        <f t="shared" si="3"/>
        <v>18</v>
      </c>
    </row>
    <row r="4123">
      <c r="A4123" s="10" t="s">
        <v>37</v>
      </c>
      <c r="B4123" s="94">
        <f t="shared" si="5"/>
        <v>45856</v>
      </c>
      <c r="C4123" s="77" t="s">
        <v>1570</v>
      </c>
      <c r="D4123" s="13">
        <f>SUMIFS('Lançamentos de receitas'!$E:$E,'Lançamentos de receitas'!$F:$F,"PAGO",'Lançamentos de receitas'!$C:$C,A4123,'Lançamentos de receitas'!$A:$A,B4123)</f>
        <v>3600.83</v>
      </c>
      <c r="E4123" s="15">
        <f t="shared" si="1"/>
        <v>2025</v>
      </c>
      <c r="F4123" s="15">
        <f t="shared" si="2"/>
        <v>7</v>
      </c>
      <c r="G4123" s="15">
        <f t="shared" si="3"/>
        <v>18</v>
      </c>
    </row>
    <row r="4124">
      <c r="A4124" s="10" t="s">
        <v>37</v>
      </c>
      <c r="B4124" s="94">
        <f t="shared" si="5"/>
        <v>45856</v>
      </c>
      <c r="C4124" s="77" t="s">
        <v>1571</v>
      </c>
      <c r="D4124" s="13">
        <f>SUMIFS('Lançamentos de despesas'!$I:$I,'Lançamentos de despesas'!$G:$G,A4124,'Lançamentos de despesas'!$E:$E,"PAGO",'Lançamentos de despesas'!$C:$C,B4124)</f>
        <v>931.99</v>
      </c>
      <c r="E4124" s="15">
        <f t="shared" si="1"/>
        <v>2025</v>
      </c>
      <c r="F4124" s="15">
        <f t="shared" si="2"/>
        <v>7</v>
      </c>
      <c r="G4124" s="15">
        <f t="shared" si="3"/>
        <v>18</v>
      </c>
    </row>
    <row r="4125">
      <c r="A4125" s="10" t="s">
        <v>37</v>
      </c>
      <c r="B4125" s="94">
        <f t="shared" si="5"/>
        <v>45856</v>
      </c>
      <c r="C4125" s="77" t="s">
        <v>1572</v>
      </c>
      <c r="D4125" s="13">
        <f>D4122+D4123-D4124</f>
        <v>64998.21</v>
      </c>
      <c r="E4125" s="15">
        <f t="shared" si="1"/>
        <v>2025</v>
      </c>
      <c r="F4125" s="15">
        <f t="shared" si="2"/>
        <v>7</v>
      </c>
      <c r="G4125" s="15">
        <f t="shared" si="3"/>
        <v>18</v>
      </c>
    </row>
    <row r="4126">
      <c r="A4126" s="10" t="s">
        <v>37</v>
      </c>
      <c r="B4126" s="94">
        <f t="shared" si="5"/>
        <v>45857</v>
      </c>
      <c r="C4126" s="77" t="s">
        <v>1569</v>
      </c>
      <c r="D4126" s="13">
        <f>D4125</f>
        <v>64998.21</v>
      </c>
      <c r="E4126" s="15">
        <f t="shared" si="1"/>
        <v>2025</v>
      </c>
      <c r="F4126" s="15">
        <f t="shared" si="2"/>
        <v>7</v>
      </c>
      <c r="G4126" s="15">
        <f t="shared" si="3"/>
        <v>19</v>
      </c>
    </row>
    <row r="4127">
      <c r="A4127" s="10" t="s">
        <v>37</v>
      </c>
      <c r="B4127" s="94">
        <f t="shared" si="5"/>
        <v>45857</v>
      </c>
      <c r="C4127" s="77" t="s">
        <v>1570</v>
      </c>
      <c r="D4127" s="13">
        <f>SUMIFS('Lançamentos de receitas'!$E:$E,'Lançamentos de receitas'!$F:$F,"PAGO",'Lançamentos de receitas'!$C:$C,A4127,'Lançamentos de receitas'!$A:$A,B4127)</f>
        <v>2096.81</v>
      </c>
      <c r="E4127" s="15">
        <f t="shared" si="1"/>
        <v>2025</v>
      </c>
      <c r="F4127" s="15">
        <f t="shared" si="2"/>
        <v>7</v>
      </c>
      <c r="G4127" s="15">
        <f t="shared" si="3"/>
        <v>19</v>
      </c>
    </row>
    <row r="4128">
      <c r="A4128" s="10" t="s">
        <v>37</v>
      </c>
      <c r="B4128" s="94">
        <f t="shared" si="5"/>
        <v>45857</v>
      </c>
      <c r="C4128" s="77" t="s">
        <v>1571</v>
      </c>
      <c r="D4128" s="13">
        <f>SUMIFS('Lançamentos de despesas'!$I:$I,'Lançamentos de despesas'!$G:$G,A4128,'Lançamentos de despesas'!$E:$E,"PAGO",'Lançamentos de despesas'!$C:$C,B4128)</f>
        <v>0</v>
      </c>
      <c r="E4128" s="15">
        <f t="shared" si="1"/>
        <v>2025</v>
      </c>
      <c r="F4128" s="15">
        <f t="shared" si="2"/>
        <v>7</v>
      </c>
      <c r="G4128" s="15">
        <f t="shared" si="3"/>
        <v>19</v>
      </c>
    </row>
    <row r="4129">
      <c r="A4129" s="10" t="s">
        <v>37</v>
      </c>
      <c r="B4129" s="94">
        <f t="shared" si="5"/>
        <v>45857</v>
      </c>
      <c r="C4129" s="77" t="s">
        <v>1572</v>
      </c>
      <c r="D4129" s="13">
        <f>D4126+D4127-D4128</f>
        <v>67095.02</v>
      </c>
      <c r="E4129" s="15">
        <f t="shared" si="1"/>
        <v>2025</v>
      </c>
      <c r="F4129" s="15">
        <f t="shared" si="2"/>
        <v>7</v>
      </c>
      <c r="G4129" s="15">
        <f t="shared" si="3"/>
        <v>19</v>
      </c>
    </row>
    <row r="4130">
      <c r="A4130" s="10" t="s">
        <v>37</v>
      </c>
      <c r="B4130" s="94">
        <f t="shared" si="5"/>
        <v>45858</v>
      </c>
      <c r="C4130" s="77" t="s">
        <v>1569</v>
      </c>
      <c r="D4130" s="13">
        <f>D4129</f>
        <v>67095.02</v>
      </c>
      <c r="E4130" s="15">
        <f t="shared" si="1"/>
        <v>2025</v>
      </c>
      <c r="F4130" s="15">
        <f t="shared" si="2"/>
        <v>7</v>
      </c>
      <c r="G4130" s="15">
        <f t="shared" si="3"/>
        <v>20</v>
      </c>
    </row>
    <row r="4131">
      <c r="A4131" s="10" t="s">
        <v>37</v>
      </c>
      <c r="B4131" s="94">
        <f t="shared" si="5"/>
        <v>45858</v>
      </c>
      <c r="C4131" s="77" t="s">
        <v>1570</v>
      </c>
      <c r="D4131" s="13">
        <f>SUMIFS('Lançamentos de receitas'!$E:$E,'Lançamentos de receitas'!$F:$F,"PAGO",'Lançamentos de receitas'!$C:$C,A4131,'Lançamentos de receitas'!$A:$A,B4131)</f>
        <v>3122.13</v>
      </c>
      <c r="E4131" s="15">
        <f t="shared" si="1"/>
        <v>2025</v>
      </c>
      <c r="F4131" s="15">
        <f t="shared" si="2"/>
        <v>7</v>
      </c>
      <c r="G4131" s="15">
        <f t="shared" si="3"/>
        <v>20</v>
      </c>
    </row>
    <row r="4132">
      <c r="A4132" s="10" t="s">
        <v>37</v>
      </c>
      <c r="B4132" s="94">
        <f t="shared" si="5"/>
        <v>45858</v>
      </c>
      <c r="C4132" s="77" t="s">
        <v>1571</v>
      </c>
      <c r="D4132" s="13">
        <f>SUMIFS('Lançamentos de despesas'!$I:$I,'Lançamentos de despesas'!$G:$G,A4132,'Lançamentos de despesas'!$E:$E,"PAGO",'Lançamentos de despesas'!$C:$C,B4132)</f>
        <v>0</v>
      </c>
      <c r="E4132" s="15">
        <f t="shared" si="1"/>
        <v>2025</v>
      </c>
      <c r="F4132" s="15">
        <f t="shared" si="2"/>
        <v>7</v>
      </c>
      <c r="G4132" s="15">
        <f t="shared" si="3"/>
        <v>20</v>
      </c>
    </row>
    <row r="4133">
      <c r="A4133" s="10" t="s">
        <v>37</v>
      </c>
      <c r="B4133" s="94">
        <f t="shared" si="5"/>
        <v>45858</v>
      </c>
      <c r="C4133" s="77" t="s">
        <v>1572</v>
      </c>
      <c r="D4133" s="13">
        <f>D4130+D4131-D4132</f>
        <v>70217.15</v>
      </c>
      <c r="E4133" s="15">
        <f t="shared" si="1"/>
        <v>2025</v>
      </c>
      <c r="F4133" s="15">
        <f t="shared" si="2"/>
        <v>7</v>
      </c>
      <c r="G4133" s="15">
        <f t="shared" si="3"/>
        <v>20</v>
      </c>
    </row>
    <row r="4134">
      <c r="A4134" s="10" t="s">
        <v>37</v>
      </c>
      <c r="B4134" s="94">
        <f t="shared" si="5"/>
        <v>45859</v>
      </c>
      <c r="C4134" s="77" t="s">
        <v>1569</v>
      </c>
      <c r="D4134" s="13">
        <f>D4133</f>
        <v>70217.15</v>
      </c>
      <c r="E4134" s="15">
        <f t="shared" si="1"/>
        <v>2025</v>
      </c>
      <c r="F4134" s="15">
        <f t="shared" si="2"/>
        <v>7</v>
      </c>
      <c r="G4134" s="15">
        <f t="shared" si="3"/>
        <v>21</v>
      </c>
    </row>
    <row r="4135">
      <c r="A4135" s="10" t="s">
        <v>37</v>
      </c>
      <c r="B4135" s="94">
        <f t="shared" si="5"/>
        <v>45859</v>
      </c>
      <c r="C4135" s="77" t="s">
        <v>1570</v>
      </c>
      <c r="D4135" s="13">
        <f>SUMIFS('Lançamentos de receitas'!$E:$E,'Lançamentos de receitas'!$F:$F,"PAGO",'Lançamentos de receitas'!$C:$C,A4135,'Lançamentos de receitas'!$A:$A,B4135)</f>
        <v>287.79</v>
      </c>
      <c r="E4135" s="15">
        <f t="shared" si="1"/>
        <v>2025</v>
      </c>
      <c r="F4135" s="15">
        <f t="shared" si="2"/>
        <v>7</v>
      </c>
      <c r="G4135" s="15">
        <f t="shared" si="3"/>
        <v>21</v>
      </c>
    </row>
    <row r="4136">
      <c r="A4136" s="10" t="s">
        <v>37</v>
      </c>
      <c r="B4136" s="94">
        <f t="shared" si="5"/>
        <v>45859</v>
      </c>
      <c r="C4136" s="77" t="s">
        <v>1571</v>
      </c>
      <c r="D4136" s="13">
        <f>SUMIFS('Lançamentos de despesas'!$I:$I,'Lançamentos de despesas'!$G:$G,A4136,'Lançamentos de despesas'!$E:$E,"PAGO",'Lançamentos de despesas'!$C:$C,B4136)</f>
        <v>6779.4</v>
      </c>
      <c r="E4136" s="15">
        <f t="shared" si="1"/>
        <v>2025</v>
      </c>
      <c r="F4136" s="15">
        <f t="shared" si="2"/>
        <v>7</v>
      </c>
      <c r="G4136" s="15">
        <f t="shared" si="3"/>
        <v>21</v>
      </c>
    </row>
    <row r="4137">
      <c r="A4137" s="10" t="s">
        <v>37</v>
      </c>
      <c r="B4137" s="94">
        <f t="shared" si="5"/>
        <v>45859</v>
      </c>
      <c r="C4137" s="77" t="s">
        <v>1572</v>
      </c>
      <c r="D4137" s="13">
        <f>D4134+D4135-D4136</f>
        <v>63725.54</v>
      </c>
      <c r="E4137" s="15">
        <f t="shared" si="1"/>
        <v>2025</v>
      </c>
      <c r="F4137" s="15">
        <f t="shared" si="2"/>
        <v>7</v>
      </c>
      <c r="G4137" s="15">
        <f t="shared" si="3"/>
        <v>21</v>
      </c>
    </row>
    <row r="4138">
      <c r="A4138" s="10" t="s">
        <v>37</v>
      </c>
      <c r="B4138" s="94">
        <f t="shared" si="5"/>
        <v>45860</v>
      </c>
      <c r="C4138" s="77" t="s">
        <v>1569</v>
      </c>
      <c r="D4138" s="13">
        <f>D4137</f>
        <v>63725.54</v>
      </c>
      <c r="E4138" s="15">
        <f t="shared" si="1"/>
        <v>2025</v>
      </c>
      <c r="F4138" s="15">
        <f t="shared" si="2"/>
        <v>7</v>
      </c>
      <c r="G4138" s="15">
        <f t="shared" si="3"/>
        <v>22</v>
      </c>
    </row>
    <row r="4139">
      <c r="A4139" s="10" t="s">
        <v>37</v>
      </c>
      <c r="B4139" s="94">
        <f t="shared" si="5"/>
        <v>45860</v>
      </c>
      <c r="C4139" s="77" t="s">
        <v>1570</v>
      </c>
      <c r="D4139" s="13">
        <f>SUMIFS('Lançamentos de receitas'!$E:$E,'Lançamentos de receitas'!$F:$F,"PAGO",'Lançamentos de receitas'!$C:$C,A4139,'Lançamentos de receitas'!$A:$A,B4139)</f>
        <v>3060.82</v>
      </c>
      <c r="E4139" s="15">
        <f t="shared" si="1"/>
        <v>2025</v>
      </c>
      <c r="F4139" s="15">
        <f t="shared" si="2"/>
        <v>7</v>
      </c>
      <c r="G4139" s="15">
        <f t="shared" si="3"/>
        <v>22</v>
      </c>
    </row>
    <row r="4140">
      <c r="A4140" s="10" t="s">
        <v>37</v>
      </c>
      <c r="B4140" s="94">
        <f t="shared" si="5"/>
        <v>45860</v>
      </c>
      <c r="C4140" s="77" t="s">
        <v>1571</v>
      </c>
      <c r="D4140" s="13">
        <f>SUMIFS('Lançamentos de despesas'!$I:$I,'Lançamentos de despesas'!$G:$G,A4140,'Lançamentos de despesas'!$E:$E,"PAGO",'Lançamentos de despesas'!$C:$C,B4140)</f>
        <v>0</v>
      </c>
      <c r="E4140" s="15">
        <f t="shared" si="1"/>
        <v>2025</v>
      </c>
      <c r="F4140" s="15">
        <f t="shared" si="2"/>
        <v>7</v>
      </c>
      <c r="G4140" s="15">
        <f t="shared" si="3"/>
        <v>22</v>
      </c>
    </row>
    <row r="4141">
      <c r="A4141" s="10" t="s">
        <v>37</v>
      </c>
      <c r="B4141" s="94">
        <f t="shared" si="5"/>
        <v>45860</v>
      </c>
      <c r="C4141" s="77" t="s">
        <v>1572</v>
      </c>
      <c r="D4141" s="13">
        <f>D4138+D4139-D4140</f>
        <v>66786.36</v>
      </c>
      <c r="E4141" s="15">
        <f t="shared" si="1"/>
        <v>2025</v>
      </c>
      <c r="F4141" s="15">
        <f t="shared" si="2"/>
        <v>7</v>
      </c>
      <c r="G4141" s="15">
        <f t="shared" si="3"/>
        <v>22</v>
      </c>
    </row>
    <row r="4142">
      <c r="A4142" s="10" t="s">
        <v>37</v>
      </c>
      <c r="B4142" s="94">
        <f t="shared" si="5"/>
        <v>45861</v>
      </c>
      <c r="C4142" s="77" t="s">
        <v>1569</v>
      </c>
      <c r="D4142" s="13">
        <f>D4141</f>
        <v>66786.36</v>
      </c>
      <c r="E4142" s="15">
        <f t="shared" si="1"/>
        <v>2025</v>
      </c>
      <c r="F4142" s="15">
        <f t="shared" si="2"/>
        <v>7</v>
      </c>
      <c r="G4142" s="15">
        <f t="shared" si="3"/>
        <v>23</v>
      </c>
    </row>
    <row r="4143">
      <c r="A4143" s="10" t="s">
        <v>37</v>
      </c>
      <c r="B4143" s="94">
        <f t="shared" si="5"/>
        <v>45861</v>
      </c>
      <c r="C4143" s="77" t="s">
        <v>1570</v>
      </c>
      <c r="D4143" s="13">
        <f>SUMIFS('Lançamentos de receitas'!$E:$E,'Lançamentos de receitas'!$F:$F,"PAGO",'Lançamentos de receitas'!$C:$C,A4143,'Lançamentos de receitas'!$A:$A,B4143)</f>
        <v>3589.17</v>
      </c>
      <c r="E4143" s="15">
        <f t="shared" si="1"/>
        <v>2025</v>
      </c>
      <c r="F4143" s="15">
        <f t="shared" si="2"/>
        <v>7</v>
      </c>
      <c r="G4143" s="15">
        <f t="shared" si="3"/>
        <v>23</v>
      </c>
    </row>
    <row r="4144">
      <c r="A4144" s="10" t="s">
        <v>37</v>
      </c>
      <c r="B4144" s="94">
        <f t="shared" si="5"/>
        <v>45861</v>
      </c>
      <c r="C4144" s="77" t="s">
        <v>1571</v>
      </c>
      <c r="D4144" s="13">
        <f>SUMIFS('Lançamentos de despesas'!$I:$I,'Lançamentos de despesas'!$G:$G,A4144,'Lançamentos de despesas'!$E:$E,"PAGO",'Lançamentos de despesas'!$C:$C,B4144)</f>
        <v>0</v>
      </c>
      <c r="E4144" s="15">
        <f t="shared" si="1"/>
        <v>2025</v>
      </c>
      <c r="F4144" s="15">
        <f t="shared" si="2"/>
        <v>7</v>
      </c>
      <c r="G4144" s="15">
        <f t="shared" si="3"/>
        <v>23</v>
      </c>
    </row>
    <row r="4145">
      <c r="A4145" s="10" t="s">
        <v>37</v>
      </c>
      <c r="B4145" s="94">
        <f t="shared" si="5"/>
        <v>45861</v>
      </c>
      <c r="C4145" s="77" t="s">
        <v>1572</v>
      </c>
      <c r="D4145" s="13">
        <f>D4142+D4143-D4144</f>
        <v>70375.53</v>
      </c>
      <c r="E4145" s="15">
        <f t="shared" si="1"/>
        <v>2025</v>
      </c>
      <c r="F4145" s="15">
        <f t="shared" si="2"/>
        <v>7</v>
      </c>
      <c r="G4145" s="15">
        <f t="shared" si="3"/>
        <v>23</v>
      </c>
    </row>
    <row r="4146">
      <c r="A4146" s="10" t="s">
        <v>37</v>
      </c>
      <c r="B4146" s="94">
        <f t="shared" si="5"/>
        <v>45862</v>
      </c>
      <c r="C4146" s="77" t="s">
        <v>1569</v>
      </c>
      <c r="D4146" s="13">
        <f>D4145</f>
        <v>70375.53</v>
      </c>
      <c r="E4146" s="15">
        <f t="shared" si="1"/>
        <v>2025</v>
      </c>
      <c r="F4146" s="15">
        <f t="shared" si="2"/>
        <v>7</v>
      </c>
      <c r="G4146" s="15">
        <f t="shared" si="3"/>
        <v>24</v>
      </c>
    </row>
    <row r="4147">
      <c r="A4147" s="10" t="s">
        <v>37</v>
      </c>
      <c r="B4147" s="94">
        <f t="shared" si="5"/>
        <v>45862</v>
      </c>
      <c r="C4147" s="77" t="s">
        <v>1570</v>
      </c>
      <c r="D4147" s="13">
        <f>SUMIFS('Lançamentos de receitas'!$E:$E,'Lançamentos de receitas'!$F:$F,"PAGO",'Lançamentos de receitas'!$C:$C,A4147,'Lançamentos de receitas'!$A:$A,B4147)</f>
        <v>2232.4</v>
      </c>
      <c r="E4147" s="15">
        <f t="shared" si="1"/>
        <v>2025</v>
      </c>
      <c r="F4147" s="15">
        <f t="shared" si="2"/>
        <v>7</v>
      </c>
      <c r="G4147" s="15">
        <f t="shared" si="3"/>
        <v>24</v>
      </c>
    </row>
    <row r="4148">
      <c r="A4148" s="10" t="s">
        <v>37</v>
      </c>
      <c r="B4148" s="94">
        <f t="shared" si="5"/>
        <v>45862</v>
      </c>
      <c r="C4148" s="77" t="s">
        <v>1571</v>
      </c>
      <c r="D4148" s="13">
        <f>SUMIFS('Lançamentos de despesas'!$I:$I,'Lançamentos de despesas'!$G:$G,A4148,'Lançamentos de despesas'!$E:$E,"PAGO",'Lançamentos de despesas'!$C:$C,B4148)</f>
        <v>0</v>
      </c>
      <c r="E4148" s="15">
        <f t="shared" si="1"/>
        <v>2025</v>
      </c>
      <c r="F4148" s="15">
        <f t="shared" si="2"/>
        <v>7</v>
      </c>
      <c r="G4148" s="15">
        <f t="shared" si="3"/>
        <v>24</v>
      </c>
    </row>
    <row r="4149">
      <c r="A4149" s="10" t="s">
        <v>37</v>
      </c>
      <c r="B4149" s="94">
        <f t="shared" si="5"/>
        <v>45862</v>
      </c>
      <c r="C4149" s="77" t="s">
        <v>1572</v>
      </c>
      <c r="D4149" s="13">
        <f>D4146+D4147-D4148</f>
        <v>72607.93</v>
      </c>
      <c r="E4149" s="15">
        <f t="shared" si="1"/>
        <v>2025</v>
      </c>
      <c r="F4149" s="15">
        <f t="shared" si="2"/>
        <v>7</v>
      </c>
      <c r="G4149" s="15">
        <f t="shared" si="3"/>
        <v>24</v>
      </c>
    </row>
    <row r="4150">
      <c r="A4150" s="10" t="s">
        <v>37</v>
      </c>
      <c r="B4150" s="94">
        <f t="shared" si="5"/>
        <v>45863</v>
      </c>
      <c r="C4150" s="77" t="s">
        <v>1569</v>
      </c>
      <c r="D4150" s="13">
        <f>D4149</f>
        <v>72607.93</v>
      </c>
      <c r="E4150" s="15">
        <f t="shared" si="1"/>
        <v>2025</v>
      </c>
      <c r="F4150" s="15">
        <f t="shared" si="2"/>
        <v>7</v>
      </c>
      <c r="G4150" s="15">
        <f t="shared" si="3"/>
        <v>25</v>
      </c>
    </row>
    <row r="4151">
      <c r="A4151" s="10" t="s">
        <v>37</v>
      </c>
      <c r="B4151" s="94">
        <f t="shared" si="5"/>
        <v>45863</v>
      </c>
      <c r="C4151" s="77" t="s">
        <v>1570</v>
      </c>
      <c r="D4151" s="13">
        <f>SUMIFS('Lançamentos de receitas'!$E:$E,'Lançamentos de receitas'!$F:$F,"PAGO",'Lançamentos de receitas'!$C:$C,A4151,'Lançamentos de receitas'!$A:$A,B4151)</f>
        <v>3393.73</v>
      </c>
      <c r="E4151" s="15">
        <f t="shared" si="1"/>
        <v>2025</v>
      </c>
      <c r="F4151" s="15">
        <f t="shared" si="2"/>
        <v>7</v>
      </c>
      <c r="G4151" s="15">
        <f t="shared" si="3"/>
        <v>25</v>
      </c>
    </row>
    <row r="4152">
      <c r="A4152" s="10" t="s">
        <v>37</v>
      </c>
      <c r="B4152" s="94">
        <f t="shared" si="5"/>
        <v>45863</v>
      </c>
      <c r="C4152" s="77" t="s">
        <v>1571</v>
      </c>
      <c r="D4152" s="13">
        <f>SUMIFS('Lançamentos de despesas'!$I:$I,'Lançamentos de despesas'!$G:$G,A4152,'Lançamentos de despesas'!$E:$E,"PAGO",'Lançamentos de despesas'!$C:$C,B4152)</f>
        <v>200</v>
      </c>
      <c r="E4152" s="15">
        <f t="shared" si="1"/>
        <v>2025</v>
      </c>
      <c r="F4152" s="15">
        <f t="shared" si="2"/>
        <v>7</v>
      </c>
      <c r="G4152" s="15">
        <f t="shared" si="3"/>
        <v>25</v>
      </c>
    </row>
    <row r="4153">
      <c r="A4153" s="10" t="s">
        <v>37</v>
      </c>
      <c r="B4153" s="94">
        <f t="shared" si="5"/>
        <v>45863</v>
      </c>
      <c r="C4153" s="77" t="s">
        <v>1572</v>
      </c>
      <c r="D4153" s="13">
        <f>D4150+D4151-D4152</f>
        <v>75801.66</v>
      </c>
      <c r="E4153" s="15">
        <f t="shared" si="1"/>
        <v>2025</v>
      </c>
      <c r="F4153" s="15">
        <f t="shared" si="2"/>
        <v>7</v>
      </c>
      <c r="G4153" s="15">
        <f t="shared" si="3"/>
        <v>25</v>
      </c>
    </row>
    <row r="4154">
      <c r="A4154" s="10" t="s">
        <v>37</v>
      </c>
      <c r="B4154" s="94">
        <f t="shared" si="5"/>
        <v>45864</v>
      </c>
      <c r="C4154" s="77" t="s">
        <v>1569</v>
      </c>
      <c r="D4154" s="13">
        <f>D4153</f>
        <v>75801.66</v>
      </c>
      <c r="E4154" s="15">
        <f t="shared" si="1"/>
        <v>2025</v>
      </c>
      <c r="F4154" s="15">
        <f t="shared" si="2"/>
        <v>7</v>
      </c>
      <c r="G4154" s="15">
        <f t="shared" si="3"/>
        <v>26</v>
      </c>
    </row>
    <row r="4155">
      <c r="A4155" s="10" t="s">
        <v>37</v>
      </c>
      <c r="B4155" s="94">
        <f t="shared" si="5"/>
        <v>45864</v>
      </c>
      <c r="C4155" s="77" t="s">
        <v>1570</v>
      </c>
      <c r="D4155" s="13">
        <f>SUMIFS('Lançamentos de receitas'!$E:$E,'Lançamentos de receitas'!$F:$F,"PAGO",'Lançamentos de receitas'!$C:$C,A4155,'Lançamentos de receitas'!$A:$A,B4155)</f>
        <v>3128.94</v>
      </c>
      <c r="E4155" s="15">
        <f t="shared" si="1"/>
        <v>2025</v>
      </c>
      <c r="F4155" s="15">
        <f t="shared" si="2"/>
        <v>7</v>
      </c>
      <c r="G4155" s="15">
        <f t="shared" si="3"/>
        <v>26</v>
      </c>
    </row>
    <row r="4156">
      <c r="A4156" s="10" t="s">
        <v>37</v>
      </c>
      <c r="B4156" s="94">
        <f t="shared" si="5"/>
        <v>45864</v>
      </c>
      <c r="C4156" s="77" t="s">
        <v>1571</v>
      </c>
      <c r="D4156" s="13">
        <f>SUMIFS('Lançamentos de despesas'!$I:$I,'Lançamentos de despesas'!$G:$G,A4156,'Lançamentos de despesas'!$E:$E,"PAGO",'Lançamentos de despesas'!$C:$C,B4156)</f>
        <v>0</v>
      </c>
      <c r="E4156" s="15">
        <f t="shared" si="1"/>
        <v>2025</v>
      </c>
      <c r="F4156" s="15">
        <f t="shared" si="2"/>
        <v>7</v>
      </c>
      <c r="G4156" s="15">
        <f t="shared" si="3"/>
        <v>26</v>
      </c>
    </row>
    <row r="4157">
      <c r="A4157" s="10" t="s">
        <v>37</v>
      </c>
      <c r="B4157" s="94">
        <f t="shared" si="5"/>
        <v>45864</v>
      </c>
      <c r="C4157" s="77" t="s">
        <v>1572</v>
      </c>
      <c r="D4157" s="13">
        <f>D4154+D4155-D4156</f>
        <v>78930.6</v>
      </c>
      <c r="E4157" s="15">
        <f t="shared" si="1"/>
        <v>2025</v>
      </c>
      <c r="F4157" s="15">
        <f t="shared" si="2"/>
        <v>7</v>
      </c>
      <c r="G4157" s="15">
        <f t="shared" si="3"/>
        <v>26</v>
      </c>
    </row>
    <row r="4158">
      <c r="A4158" s="10" t="s">
        <v>37</v>
      </c>
      <c r="B4158" s="94">
        <f t="shared" si="5"/>
        <v>45865</v>
      </c>
      <c r="C4158" s="77" t="s">
        <v>1569</v>
      </c>
      <c r="D4158" s="13">
        <f>D4157</f>
        <v>78930.6</v>
      </c>
      <c r="E4158" s="15">
        <f t="shared" si="1"/>
        <v>2025</v>
      </c>
      <c r="F4158" s="15">
        <f t="shared" si="2"/>
        <v>7</v>
      </c>
      <c r="G4158" s="15">
        <f t="shared" si="3"/>
        <v>27</v>
      </c>
    </row>
    <row r="4159">
      <c r="A4159" s="10" t="s">
        <v>37</v>
      </c>
      <c r="B4159" s="94">
        <f t="shared" si="5"/>
        <v>45865</v>
      </c>
      <c r="C4159" s="77" t="s">
        <v>1570</v>
      </c>
      <c r="D4159" s="13">
        <f>SUMIFS('Lançamentos de receitas'!$E:$E,'Lançamentos de receitas'!$F:$F,"PAGO",'Lançamentos de receitas'!$C:$C,A4159,'Lançamentos de receitas'!$A:$A,B4159)</f>
        <v>2352.04</v>
      </c>
      <c r="E4159" s="15">
        <f t="shared" si="1"/>
        <v>2025</v>
      </c>
      <c r="F4159" s="15">
        <f t="shared" si="2"/>
        <v>7</v>
      </c>
      <c r="G4159" s="15">
        <f t="shared" si="3"/>
        <v>27</v>
      </c>
    </row>
    <row r="4160">
      <c r="A4160" s="10" t="s">
        <v>37</v>
      </c>
      <c r="B4160" s="94">
        <f t="shared" si="5"/>
        <v>45865</v>
      </c>
      <c r="C4160" s="77" t="s">
        <v>1571</v>
      </c>
      <c r="D4160" s="13">
        <f>SUMIFS('Lançamentos de despesas'!$I:$I,'Lançamentos de despesas'!$G:$G,A4160,'Lançamentos de despesas'!$E:$E,"PAGO",'Lançamentos de despesas'!$C:$C,B4160)</f>
        <v>0</v>
      </c>
      <c r="E4160" s="15">
        <f t="shared" si="1"/>
        <v>2025</v>
      </c>
      <c r="F4160" s="15">
        <f t="shared" si="2"/>
        <v>7</v>
      </c>
      <c r="G4160" s="15">
        <f t="shared" si="3"/>
        <v>27</v>
      </c>
    </row>
    <row r="4161">
      <c r="A4161" s="10" t="s">
        <v>37</v>
      </c>
      <c r="B4161" s="94">
        <f t="shared" si="5"/>
        <v>45865</v>
      </c>
      <c r="C4161" s="77" t="s">
        <v>1572</v>
      </c>
      <c r="D4161" s="13">
        <f>D4158+D4159-D4160</f>
        <v>81282.64</v>
      </c>
      <c r="E4161" s="15">
        <f t="shared" si="1"/>
        <v>2025</v>
      </c>
      <c r="F4161" s="15">
        <f t="shared" si="2"/>
        <v>7</v>
      </c>
      <c r="G4161" s="15">
        <f t="shared" si="3"/>
        <v>27</v>
      </c>
    </row>
    <row r="4162">
      <c r="A4162" s="10" t="s">
        <v>37</v>
      </c>
      <c r="B4162" s="94">
        <f t="shared" si="5"/>
        <v>45866</v>
      </c>
      <c r="C4162" s="77" t="s">
        <v>1569</v>
      </c>
      <c r="D4162" s="13">
        <f>D4161</f>
        <v>81282.64</v>
      </c>
      <c r="E4162" s="15">
        <f t="shared" si="1"/>
        <v>2025</v>
      </c>
      <c r="F4162" s="15">
        <f t="shared" si="2"/>
        <v>7</v>
      </c>
      <c r="G4162" s="15">
        <f t="shared" si="3"/>
        <v>28</v>
      </c>
    </row>
    <row r="4163">
      <c r="A4163" s="10" t="s">
        <v>37</v>
      </c>
      <c r="B4163" s="94">
        <f t="shared" si="5"/>
        <v>45866</v>
      </c>
      <c r="C4163" s="77" t="s">
        <v>1570</v>
      </c>
      <c r="D4163" s="13">
        <f>SUMIFS('Lançamentos de receitas'!$E:$E,'Lançamentos de receitas'!$F:$F,"PAGO",'Lançamentos de receitas'!$C:$C,A4163,'Lançamentos de receitas'!$A:$A,B4163)</f>
        <v>1924.19</v>
      </c>
      <c r="E4163" s="15">
        <f t="shared" si="1"/>
        <v>2025</v>
      </c>
      <c r="F4163" s="15">
        <f t="shared" si="2"/>
        <v>7</v>
      </c>
      <c r="G4163" s="15">
        <f t="shared" si="3"/>
        <v>28</v>
      </c>
    </row>
    <row r="4164">
      <c r="A4164" s="10" t="s">
        <v>37</v>
      </c>
      <c r="B4164" s="94">
        <f t="shared" si="5"/>
        <v>45866</v>
      </c>
      <c r="C4164" s="77" t="s">
        <v>1571</v>
      </c>
      <c r="D4164" s="13">
        <f>SUMIFS('Lançamentos de despesas'!$I:$I,'Lançamentos de despesas'!$G:$G,A4164,'Lançamentos de despesas'!$E:$E,"PAGO",'Lançamentos de despesas'!$C:$C,B4164)</f>
        <v>0</v>
      </c>
      <c r="E4164" s="15">
        <f t="shared" si="1"/>
        <v>2025</v>
      </c>
      <c r="F4164" s="15">
        <f t="shared" si="2"/>
        <v>7</v>
      </c>
      <c r="G4164" s="15">
        <f t="shared" si="3"/>
        <v>28</v>
      </c>
    </row>
    <row r="4165">
      <c r="A4165" s="10" t="s">
        <v>37</v>
      </c>
      <c r="B4165" s="94">
        <f t="shared" si="5"/>
        <v>45866</v>
      </c>
      <c r="C4165" s="77" t="s">
        <v>1572</v>
      </c>
      <c r="D4165" s="13">
        <f>D4162+D4163-D4164</f>
        <v>83206.83</v>
      </c>
      <c r="E4165" s="15">
        <f t="shared" si="1"/>
        <v>2025</v>
      </c>
      <c r="F4165" s="15">
        <f t="shared" si="2"/>
        <v>7</v>
      </c>
      <c r="G4165" s="15">
        <f t="shared" si="3"/>
        <v>28</v>
      </c>
    </row>
    <row r="4166">
      <c r="A4166" s="10" t="s">
        <v>37</v>
      </c>
      <c r="B4166" s="94">
        <f t="shared" si="5"/>
        <v>45867</v>
      </c>
      <c r="C4166" s="77" t="s">
        <v>1569</v>
      </c>
      <c r="D4166" s="13">
        <f>D4165</f>
        <v>83206.83</v>
      </c>
      <c r="E4166" s="15">
        <f t="shared" si="1"/>
        <v>2025</v>
      </c>
      <c r="F4166" s="15">
        <f t="shared" si="2"/>
        <v>7</v>
      </c>
      <c r="G4166" s="15">
        <f t="shared" si="3"/>
        <v>29</v>
      </c>
    </row>
    <row r="4167">
      <c r="A4167" s="10" t="s">
        <v>37</v>
      </c>
      <c r="B4167" s="94">
        <f t="shared" si="5"/>
        <v>45867</v>
      </c>
      <c r="C4167" s="77" t="s">
        <v>1570</v>
      </c>
      <c r="D4167" s="13">
        <f>SUMIFS('Lançamentos de receitas'!$E:$E,'Lançamentos de receitas'!$F:$F,"PAGO",'Lançamentos de receitas'!$C:$C,A4167,'Lançamentos de receitas'!$A:$A,B4167)</f>
        <v>1491.91</v>
      </c>
      <c r="E4167" s="15">
        <f t="shared" si="1"/>
        <v>2025</v>
      </c>
      <c r="F4167" s="15">
        <f t="shared" si="2"/>
        <v>7</v>
      </c>
      <c r="G4167" s="15">
        <f t="shared" si="3"/>
        <v>29</v>
      </c>
    </row>
    <row r="4168">
      <c r="A4168" s="10" t="s">
        <v>37</v>
      </c>
      <c r="B4168" s="94">
        <f t="shared" si="5"/>
        <v>45867</v>
      </c>
      <c r="C4168" s="77" t="s">
        <v>1571</v>
      </c>
      <c r="D4168" s="13">
        <f>SUMIFS('Lançamentos de despesas'!$I:$I,'Lançamentos de despesas'!$G:$G,A4168,'Lançamentos de despesas'!$E:$E,"PAGO",'Lançamentos de despesas'!$C:$C,B4168)</f>
        <v>100</v>
      </c>
      <c r="E4168" s="15">
        <f t="shared" si="1"/>
        <v>2025</v>
      </c>
      <c r="F4168" s="15">
        <f t="shared" si="2"/>
        <v>7</v>
      </c>
      <c r="G4168" s="15">
        <f t="shared" si="3"/>
        <v>29</v>
      </c>
    </row>
    <row r="4169">
      <c r="A4169" s="10" t="s">
        <v>37</v>
      </c>
      <c r="B4169" s="94">
        <f t="shared" si="5"/>
        <v>45867</v>
      </c>
      <c r="C4169" s="77" t="s">
        <v>1572</v>
      </c>
      <c r="D4169" s="13">
        <f>D4166+D4167-D4168</f>
        <v>84598.74</v>
      </c>
      <c r="E4169" s="15">
        <f t="shared" si="1"/>
        <v>2025</v>
      </c>
      <c r="F4169" s="15">
        <f t="shared" si="2"/>
        <v>7</v>
      </c>
      <c r="G4169" s="15">
        <f t="shared" si="3"/>
        <v>29</v>
      </c>
    </row>
    <row r="4170">
      <c r="A4170" s="10" t="s">
        <v>37</v>
      </c>
      <c r="B4170" s="94">
        <f t="shared" si="5"/>
        <v>45868</v>
      </c>
      <c r="C4170" s="77" t="s">
        <v>1569</v>
      </c>
      <c r="D4170" s="13">
        <f>D4169</f>
        <v>84598.74</v>
      </c>
      <c r="E4170" s="15">
        <f t="shared" si="1"/>
        <v>2025</v>
      </c>
      <c r="F4170" s="15">
        <f t="shared" si="2"/>
        <v>7</v>
      </c>
      <c r="G4170" s="15">
        <f t="shared" si="3"/>
        <v>30</v>
      </c>
    </row>
    <row r="4171">
      <c r="A4171" s="10" t="s">
        <v>37</v>
      </c>
      <c r="B4171" s="94">
        <f t="shared" si="5"/>
        <v>45868</v>
      </c>
      <c r="C4171" s="77" t="s">
        <v>1570</v>
      </c>
      <c r="D4171" s="13">
        <f>SUMIFS('Lançamentos de receitas'!$E:$E,'Lançamentos de receitas'!$F:$F,"PAGO",'Lançamentos de receitas'!$C:$C,A4171,'Lançamentos de receitas'!$A:$A,B4171)</f>
        <v>2644.18</v>
      </c>
      <c r="E4171" s="15">
        <f t="shared" si="1"/>
        <v>2025</v>
      </c>
      <c r="F4171" s="15">
        <f t="shared" si="2"/>
        <v>7</v>
      </c>
      <c r="G4171" s="15">
        <f t="shared" si="3"/>
        <v>30</v>
      </c>
    </row>
    <row r="4172">
      <c r="A4172" s="10" t="s">
        <v>37</v>
      </c>
      <c r="B4172" s="94">
        <f t="shared" si="5"/>
        <v>45868</v>
      </c>
      <c r="C4172" s="77" t="s">
        <v>1571</v>
      </c>
      <c r="D4172" s="13">
        <f>SUMIFS('Lançamentos de despesas'!$I:$I,'Lançamentos de despesas'!$G:$G,A4172,'Lançamentos de despesas'!$E:$E,"PAGO",'Lançamentos de despesas'!$C:$C,B4172)</f>
        <v>150</v>
      </c>
      <c r="E4172" s="15">
        <f t="shared" si="1"/>
        <v>2025</v>
      </c>
      <c r="F4172" s="15">
        <f t="shared" si="2"/>
        <v>7</v>
      </c>
      <c r="G4172" s="15">
        <f t="shared" si="3"/>
        <v>30</v>
      </c>
    </row>
    <row r="4173">
      <c r="A4173" s="10" t="s">
        <v>37</v>
      </c>
      <c r="B4173" s="94">
        <f t="shared" si="5"/>
        <v>45868</v>
      </c>
      <c r="C4173" s="77" t="s">
        <v>1572</v>
      </c>
      <c r="D4173" s="13">
        <f>D4170+D4171-D4172</f>
        <v>87092.92</v>
      </c>
      <c r="E4173" s="15">
        <f t="shared" si="1"/>
        <v>2025</v>
      </c>
      <c r="F4173" s="15">
        <f t="shared" si="2"/>
        <v>7</v>
      </c>
      <c r="G4173" s="15">
        <f t="shared" si="3"/>
        <v>30</v>
      </c>
    </row>
    <row r="4174">
      <c r="A4174" s="10" t="s">
        <v>37</v>
      </c>
      <c r="B4174" s="94">
        <f t="shared" si="5"/>
        <v>45869</v>
      </c>
      <c r="C4174" s="77" t="s">
        <v>1569</v>
      </c>
      <c r="D4174" s="13">
        <f>D4173</f>
        <v>87092.92</v>
      </c>
      <c r="E4174" s="15">
        <f t="shared" si="1"/>
        <v>2025</v>
      </c>
      <c r="F4174" s="15">
        <f t="shared" si="2"/>
        <v>7</v>
      </c>
      <c r="G4174" s="15">
        <f t="shared" si="3"/>
        <v>31</v>
      </c>
    </row>
    <row r="4175">
      <c r="A4175" s="10" t="s">
        <v>37</v>
      </c>
      <c r="B4175" s="94">
        <f t="shared" si="5"/>
        <v>45869</v>
      </c>
      <c r="C4175" s="77" t="s">
        <v>1570</v>
      </c>
      <c r="D4175" s="13">
        <f>SUMIFS('Lançamentos de receitas'!$E:$E,'Lançamentos de receitas'!$F:$F,"PAGO",'Lançamentos de receitas'!$C:$C,A4175,'Lançamentos de receitas'!$A:$A,B4175)</f>
        <v>2128.13</v>
      </c>
      <c r="E4175" s="15">
        <f t="shared" si="1"/>
        <v>2025</v>
      </c>
      <c r="F4175" s="15">
        <f t="shared" si="2"/>
        <v>7</v>
      </c>
      <c r="G4175" s="15">
        <f t="shared" si="3"/>
        <v>31</v>
      </c>
    </row>
    <row r="4176">
      <c r="A4176" s="10" t="s">
        <v>37</v>
      </c>
      <c r="B4176" s="94">
        <f t="shared" si="5"/>
        <v>45869</v>
      </c>
      <c r="C4176" s="77" t="s">
        <v>1571</v>
      </c>
      <c r="D4176" s="13">
        <f>SUMIFS('Lançamentos de despesas'!$I:$I,'Lançamentos de despesas'!$G:$G,A4176,'Lançamentos de despesas'!$E:$E,"PAGO",'Lançamentos de despesas'!$C:$C,B4176)</f>
        <v>0</v>
      </c>
      <c r="E4176" s="15">
        <f t="shared" si="1"/>
        <v>2025</v>
      </c>
      <c r="F4176" s="15">
        <f t="shared" si="2"/>
        <v>7</v>
      </c>
      <c r="G4176" s="15">
        <f t="shared" si="3"/>
        <v>31</v>
      </c>
    </row>
    <row r="4177">
      <c r="A4177" s="10" t="s">
        <v>37</v>
      </c>
      <c r="B4177" s="94">
        <f t="shared" si="5"/>
        <v>45869</v>
      </c>
      <c r="C4177" s="77" t="s">
        <v>1572</v>
      </c>
      <c r="D4177" s="13">
        <f>D4174+D4175-D4176</f>
        <v>89221.05</v>
      </c>
      <c r="E4177" s="15">
        <f t="shared" si="1"/>
        <v>2025</v>
      </c>
      <c r="F4177" s="15">
        <f t="shared" si="2"/>
        <v>7</v>
      </c>
      <c r="G4177" s="15">
        <f t="shared" si="3"/>
        <v>31</v>
      </c>
    </row>
    <row r="4178">
      <c r="A4178" s="10" t="s">
        <v>37</v>
      </c>
      <c r="B4178" s="94">
        <f t="shared" si="5"/>
        <v>45870</v>
      </c>
      <c r="C4178" s="77" t="s">
        <v>1569</v>
      </c>
      <c r="D4178" s="13">
        <f>D4177</f>
        <v>89221.05</v>
      </c>
      <c r="E4178" s="15">
        <f t="shared" si="1"/>
        <v>2025</v>
      </c>
      <c r="F4178" s="15">
        <f t="shared" si="2"/>
        <v>8</v>
      </c>
      <c r="G4178" s="15">
        <f t="shared" si="3"/>
        <v>1</v>
      </c>
    </row>
    <row r="4179">
      <c r="A4179" s="10" t="s">
        <v>37</v>
      </c>
      <c r="B4179" s="94">
        <f t="shared" si="5"/>
        <v>45870</v>
      </c>
      <c r="C4179" s="77" t="s">
        <v>1570</v>
      </c>
      <c r="D4179" s="13">
        <f>SUMIFS('Lançamentos de receitas'!$E:$E,'Lançamentos de receitas'!$F:$F,"PAGO",'Lançamentos de receitas'!$C:$C,A4179,'Lançamentos de receitas'!$A:$A,B4179)</f>
        <v>2745.96</v>
      </c>
      <c r="E4179" s="15">
        <f t="shared" si="1"/>
        <v>2025</v>
      </c>
      <c r="F4179" s="15">
        <f t="shared" si="2"/>
        <v>8</v>
      </c>
      <c r="G4179" s="15">
        <f t="shared" si="3"/>
        <v>1</v>
      </c>
    </row>
    <row r="4180">
      <c r="A4180" s="10" t="s">
        <v>37</v>
      </c>
      <c r="B4180" s="94">
        <f t="shared" si="5"/>
        <v>45870</v>
      </c>
      <c r="C4180" s="77" t="s">
        <v>1571</v>
      </c>
      <c r="D4180" s="13">
        <f>SUMIFS('Lançamentos de despesas'!$I:$I,'Lançamentos de despesas'!$G:$G,A4180,'Lançamentos de despesas'!$E:$E,"PAGO",'Lançamentos de despesas'!$C:$C,B4180)</f>
        <v>12000</v>
      </c>
      <c r="E4180" s="15">
        <f t="shared" si="1"/>
        <v>2025</v>
      </c>
      <c r="F4180" s="15">
        <f t="shared" si="2"/>
        <v>8</v>
      </c>
      <c r="G4180" s="15">
        <f t="shared" si="3"/>
        <v>1</v>
      </c>
    </row>
    <row r="4181">
      <c r="A4181" s="10" t="s">
        <v>37</v>
      </c>
      <c r="B4181" s="94">
        <f t="shared" si="5"/>
        <v>45870</v>
      </c>
      <c r="C4181" s="77" t="s">
        <v>1572</v>
      </c>
      <c r="D4181" s="13">
        <f>D4178+D4179-D4180</f>
        <v>79967.01</v>
      </c>
      <c r="E4181" s="15">
        <f t="shared" si="1"/>
        <v>2025</v>
      </c>
      <c r="F4181" s="15">
        <f t="shared" si="2"/>
        <v>8</v>
      </c>
      <c r="G4181" s="15">
        <f t="shared" si="3"/>
        <v>1</v>
      </c>
    </row>
    <row r="4182">
      <c r="A4182" s="10" t="s">
        <v>37</v>
      </c>
      <c r="B4182" s="94">
        <f t="shared" si="5"/>
        <v>45871</v>
      </c>
      <c r="C4182" s="77" t="s">
        <v>1569</v>
      </c>
      <c r="D4182" s="13">
        <f>D4181</f>
        <v>79967.01</v>
      </c>
      <c r="E4182" s="15">
        <f t="shared" si="1"/>
        <v>2025</v>
      </c>
      <c r="F4182" s="15">
        <f t="shared" si="2"/>
        <v>8</v>
      </c>
      <c r="G4182" s="15">
        <f t="shared" si="3"/>
        <v>2</v>
      </c>
    </row>
    <row r="4183">
      <c r="A4183" s="10" t="s">
        <v>37</v>
      </c>
      <c r="B4183" s="94">
        <f t="shared" si="5"/>
        <v>45871</v>
      </c>
      <c r="C4183" s="77" t="s">
        <v>1570</v>
      </c>
      <c r="D4183" s="13">
        <f>SUMIFS('Lançamentos de receitas'!$E:$E,'Lançamentos de receitas'!$F:$F,"PAGO",'Lançamentos de receitas'!$C:$C,A4183,'Lançamentos de receitas'!$A:$A,B4183)</f>
        <v>2338.41</v>
      </c>
      <c r="E4183" s="15">
        <f t="shared" si="1"/>
        <v>2025</v>
      </c>
      <c r="F4183" s="15">
        <f t="shared" si="2"/>
        <v>8</v>
      </c>
      <c r="G4183" s="15">
        <f t="shared" si="3"/>
        <v>2</v>
      </c>
    </row>
    <row r="4184">
      <c r="A4184" s="10" t="s">
        <v>37</v>
      </c>
      <c r="B4184" s="94">
        <f t="shared" si="5"/>
        <v>45871</v>
      </c>
      <c r="C4184" s="77" t="s">
        <v>1571</v>
      </c>
      <c r="D4184" s="13">
        <f>SUMIFS('Lançamentos de despesas'!$I:$I,'Lançamentos de despesas'!$G:$G,A4184,'Lançamentos de despesas'!$E:$E,"PAGO",'Lançamentos de despesas'!$C:$C,B4184)</f>
        <v>0</v>
      </c>
      <c r="E4184" s="15">
        <f t="shared" si="1"/>
        <v>2025</v>
      </c>
      <c r="F4184" s="15">
        <f t="shared" si="2"/>
        <v>8</v>
      </c>
      <c r="G4184" s="15">
        <f t="shared" si="3"/>
        <v>2</v>
      </c>
    </row>
    <row r="4185">
      <c r="A4185" s="10" t="s">
        <v>37</v>
      </c>
      <c r="B4185" s="94">
        <f t="shared" si="5"/>
        <v>45871</v>
      </c>
      <c r="C4185" s="77" t="s">
        <v>1572</v>
      </c>
      <c r="D4185" s="13">
        <f>D4182+D4183-D4184</f>
        <v>82305.42</v>
      </c>
      <c r="E4185" s="15">
        <f t="shared" si="1"/>
        <v>2025</v>
      </c>
      <c r="F4185" s="15">
        <f t="shared" si="2"/>
        <v>8</v>
      </c>
      <c r="G4185" s="15">
        <f t="shared" si="3"/>
        <v>2</v>
      </c>
    </row>
    <row r="4186">
      <c r="A4186" s="10" t="s">
        <v>37</v>
      </c>
      <c r="B4186" s="94">
        <f t="shared" si="5"/>
        <v>45872</v>
      </c>
      <c r="C4186" s="77" t="s">
        <v>1569</v>
      </c>
      <c r="D4186" s="13">
        <f>D4185</f>
        <v>82305.42</v>
      </c>
      <c r="E4186" s="15">
        <f t="shared" si="1"/>
        <v>2025</v>
      </c>
      <c r="F4186" s="15">
        <f t="shared" si="2"/>
        <v>8</v>
      </c>
      <c r="G4186" s="15">
        <f t="shared" si="3"/>
        <v>3</v>
      </c>
    </row>
    <row r="4187">
      <c r="A4187" s="10" t="s">
        <v>37</v>
      </c>
      <c r="B4187" s="94">
        <f t="shared" si="5"/>
        <v>45872</v>
      </c>
      <c r="C4187" s="77" t="s">
        <v>1570</v>
      </c>
      <c r="D4187" s="13">
        <f>SUMIFS('Lançamentos de receitas'!$E:$E,'Lançamentos de receitas'!$F:$F,"PAGO",'Lançamentos de receitas'!$C:$C,A4187,'Lançamentos de receitas'!$A:$A,B4187)</f>
        <v>1748.94</v>
      </c>
      <c r="E4187" s="15">
        <f t="shared" si="1"/>
        <v>2025</v>
      </c>
      <c r="F4187" s="15">
        <f t="shared" si="2"/>
        <v>8</v>
      </c>
      <c r="G4187" s="15">
        <f t="shared" si="3"/>
        <v>3</v>
      </c>
    </row>
    <row r="4188">
      <c r="A4188" s="10" t="s">
        <v>37</v>
      </c>
      <c r="B4188" s="94">
        <f t="shared" si="5"/>
        <v>45872</v>
      </c>
      <c r="C4188" s="77" t="s">
        <v>1571</v>
      </c>
      <c r="D4188" s="13">
        <f>SUMIFS('Lançamentos de despesas'!$I:$I,'Lançamentos de despesas'!$G:$G,A4188,'Lançamentos de despesas'!$E:$E,"PAGO",'Lançamentos de despesas'!$C:$C,B4188)</f>
        <v>0</v>
      </c>
      <c r="E4188" s="15">
        <f t="shared" si="1"/>
        <v>2025</v>
      </c>
      <c r="F4188" s="15">
        <f t="shared" si="2"/>
        <v>8</v>
      </c>
      <c r="G4188" s="15">
        <f t="shared" si="3"/>
        <v>3</v>
      </c>
    </row>
    <row r="4189">
      <c r="A4189" s="10" t="s">
        <v>37</v>
      </c>
      <c r="B4189" s="94">
        <f t="shared" si="5"/>
        <v>45872</v>
      </c>
      <c r="C4189" s="77" t="s">
        <v>1572</v>
      </c>
      <c r="D4189" s="13">
        <f>D4186+D4187-D4188</f>
        <v>84054.36</v>
      </c>
      <c r="E4189" s="15">
        <f t="shared" si="1"/>
        <v>2025</v>
      </c>
      <c r="F4189" s="15">
        <f t="shared" si="2"/>
        <v>8</v>
      </c>
      <c r="G4189" s="15">
        <f t="shared" si="3"/>
        <v>3</v>
      </c>
    </row>
    <row r="4190">
      <c r="A4190" s="10" t="s">
        <v>37</v>
      </c>
      <c r="B4190" s="94">
        <f t="shared" si="5"/>
        <v>45873</v>
      </c>
      <c r="C4190" s="77" t="s">
        <v>1569</v>
      </c>
      <c r="D4190" s="13">
        <f>D4189</f>
        <v>84054.36</v>
      </c>
      <c r="E4190" s="15">
        <f t="shared" si="1"/>
        <v>2025</v>
      </c>
      <c r="F4190" s="15">
        <f t="shared" si="2"/>
        <v>8</v>
      </c>
      <c r="G4190" s="15">
        <f t="shared" si="3"/>
        <v>4</v>
      </c>
    </row>
    <row r="4191">
      <c r="A4191" s="10" t="s">
        <v>37</v>
      </c>
      <c r="B4191" s="94">
        <f t="shared" si="5"/>
        <v>45873</v>
      </c>
      <c r="C4191" s="77" t="s">
        <v>1570</v>
      </c>
      <c r="D4191" s="13">
        <f>SUMIFS('Lançamentos de receitas'!$E:$E,'Lançamentos de receitas'!$F:$F,"PAGO",'Lançamentos de receitas'!$C:$C,A4191,'Lançamentos de receitas'!$A:$A,B4191)</f>
        <v>568.63</v>
      </c>
      <c r="E4191" s="15">
        <f t="shared" si="1"/>
        <v>2025</v>
      </c>
      <c r="F4191" s="15">
        <f t="shared" si="2"/>
        <v>8</v>
      </c>
      <c r="G4191" s="15">
        <f t="shared" si="3"/>
        <v>4</v>
      </c>
    </row>
    <row r="4192">
      <c r="A4192" s="10" t="s">
        <v>37</v>
      </c>
      <c r="B4192" s="94">
        <f t="shared" si="5"/>
        <v>45873</v>
      </c>
      <c r="C4192" s="77" t="s">
        <v>1571</v>
      </c>
      <c r="D4192" s="13">
        <f>SUMIFS('Lançamentos de despesas'!$I:$I,'Lançamentos de despesas'!$G:$G,A4192,'Lançamentos de despesas'!$E:$E,"PAGO",'Lançamentos de despesas'!$C:$C,B4192)</f>
        <v>0</v>
      </c>
      <c r="E4192" s="15">
        <f t="shared" si="1"/>
        <v>2025</v>
      </c>
      <c r="F4192" s="15">
        <f t="shared" si="2"/>
        <v>8</v>
      </c>
      <c r="G4192" s="15">
        <f t="shared" si="3"/>
        <v>4</v>
      </c>
    </row>
    <row r="4193">
      <c r="A4193" s="10" t="s">
        <v>37</v>
      </c>
      <c r="B4193" s="94">
        <f t="shared" si="5"/>
        <v>45873</v>
      </c>
      <c r="C4193" s="77" t="s">
        <v>1572</v>
      </c>
      <c r="D4193" s="13">
        <f>D4190+D4191-D4192</f>
        <v>84622.99</v>
      </c>
      <c r="E4193" s="15">
        <f t="shared" si="1"/>
        <v>2025</v>
      </c>
      <c r="F4193" s="15">
        <f t="shared" si="2"/>
        <v>8</v>
      </c>
      <c r="G4193" s="15">
        <f t="shared" si="3"/>
        <v>4</v>
      </c>
    </row>
    <row r="4194">
      <c r="A4194" s="10" t="s">
        <v>37</v>
      </c>
      <c r="B4194" s="94">
        <f t="shared" si="5"/>
        <v>45874</v>
      </c>
      <c r="C4194" s="77" t="s">
        <v>1569</v>
      </c>
      <c r="D4194" s="13">
        <f>D4193</f>
        <v>84622.99</v>
      </c>
      <c r="E4194" s="15">
        <f t="shared" si="1"/>
        <v>2025</v>
      </c>
      <c r="F4194" s="15">
        <f t="shared" si="2"/>
        <v>8</v>
      </c>
      <c r="G4194" s="15">
        <f t="shared" si="3"/>
        <v>5</v>
      </c>
    </row>
    <row r="4195">
      <c r="A4195" s="10" t="s">
        <v>37</v>
      </c>
      <c r="B4195" s="94">
        <f t="shared" si="5"/>
        <v>45874</v>
      </c>
      <c r="C4195" s="77" t="s">
        <v>1570</v>
      </c>
      <c r="D4195" s="13">
        <f>SUMIFS('Lançamentos de receitas'!$E:$E,'Lançamentos de receitas'!$F:$F,"PAGO",'Lançamentos de receitas'!$C:$C,A4195,'Lançamentos de receitas'!$A:$A,B4195)</f>
        <v>2716.09</v>
      </c>
      <c r="E4195" s="15">
        <f t="shared" si="1"/>
        <v>2025</v>
      </c>
      <c r="F4195" s="15">
        <f t="shared" si="2"/>
        <v>8</v>
      </c>
      <c r="G4195" s="15">
        <f t="shared" si="3"/>
        <v>5</v>
      </c>
    </row>
    <row r="4196">
      <c r="A4196" s="10" t="s">
        <v>37</v>
      </c>
      <c r="B4196" s="94">
        <f t="shared" si="5"/>
        <v>45874</v>
      </c>
      <c r="C4196" s="77" t="s">
        <v>1571</v>
      </c>
      <c r="D4196" s="13">
        <f>SUMIFS('Lançamentos de despesas'!$I:$I,'Lançamentos de despesas'!$G:$G,A4196,'Lançamentos de despesas'!$E:$E,"PAGO",'Lançamentos de despesas'!$C:$C,B4196)</f>
        <v>47149.03</v>
      </c>
      <c r="E4196" s="15">
        <f t="shared" si="1"/>
        <v>2025</v>
      </c>
      <c r="F4196" s="15">
        <f t="shared" si="2"/>
        <v>8</v>
      </c>
      <c r="G4196" s="15">
        <f t="shared" si="3"/>
        <v>5</v>
      </c>
    </row>
    <row r="4197">
      <c r="A4197" s="10" t="s">
        <v>37</v>
      </c>
      <c r="B4197" s="94">
        <f t="shared" si="5"/>
        <v>45874</v>
      </c>
      <c r="C4197" s="77" t="s">
        <v>1572</v>
      </c>
      <c r="D4197" s="13">
        <f>D4194+D4195-D4196</f>
        <v>40190.05</v>
      </c>
      <c r="E4197" s="15">
        <f t="shared" si="1"/>
        <v>2025</v>
      </c>
      <c r="F4197" s="15">
        <f t="shared" si="2"/>
        <v>8</v>
      </c>
      <c r="G4197" s="15">
        <f t="shared" si="3"/>
        <v>5</v>
      </c>
    </row>
    <row r="4198">
      <c r="A4198" s="10" t="s">
        <v>37</v>
      </c>
      <c r="B4198" s="94">
        <f t="shared" si="5"/>
        <v>45875</v>
      </c>
      <c r="C4198" s="77" t="s">
        <v>1569</v>
      </c>
      <c r="D4198" s="13">
        <f>D4197</f>
        <v>40190.05</v>
      </c>
      <c r="E4198" s="15">
        <f t="shared" si="1"/>
        <v>2025</v>
      </c>
      <c r="F4198" s="15">
        <f t="shared" si="2"/>
        <v>8</v>
      </c>
      <c r="G4198" s="15">
        <f t="shared" si="3"/>
        <v>6</v>
      </c>
    </row>
    <row r="4199">
      <c r="A4199" s="10" t="s">
        <v>37</v>
      </c>
      <c r="B4199" s="94">
        <f t="shared" si="5"/>
        <v>45875</v>
      </c>
      <c r="C4199" s="77" t="s">
        <v>1570</v>
      </c>
      <c r="D4199" s="13">
        <f>SUMIFS('Lançamentos de receitas'!$E:$E,'Lançamentos de receitas'!$F:$F,"PAGO",'Lançamentos de receitas'!$C:$C,A4199,'Lançamentos de receitas'!$A:$A,B4199)</f>
        <v>1721.65</v>
      </c>
      <c r="E4199" s="15">
        <f t="shared" si="1"/>
        <v>2025</v>
      </c>
      <c r="F4199" s="15">
        <f t="shared" si="2"/>
        <v>8</v>
      </c>
      <c r="G4199" s="15">
        <f t="shared" si="3"/>
        <v>6</v>
      </c>
    </row>
    <row r="4200">
      <c r="A4200" s="10" t="s">
        <v>37</v>
      </c>
      <c r="B4200" s="94">
        <f t="shared" si="5"/>
        <v>45875</v>
      </c>
      <c r="C4200" s="77" t="s">
        <v>1571</v>
      </c>
      <c r="D4200" s="13">
        <f>SUMIFS('Lançamentos de despesas'!$I:$I,'Lançamentos de despesas'!$G:$G,A4200,'Lançamentos de despesas'!$E:$E,"PAGO",'Lançamentos de despesas'!$C:$C,B4200)</f>
        <v>0</v>
      </c>
      <c r="E4200" s="15">
        <f t="shared" si="1"/>
        <v>2025</v>
      </c>
      <c r="F4200" s="15">
        <f t="shared" si="2"/>
        <v>8</v>
      </c>
      <c r="G4200" s="15">
        <f t="shared" si="3"/>
        <v>6</v>
      </c>
    </row>
    <row r="4201">
      <c r="A4201" s="10" t="s">
        <v>37</v>
      </c>
      <c r="B4201" s="94">
        <f t="shared" si="5"/>
        <v>45875</v>
      </c>
      <c r="C4201" s="77" t="s">
        <v>1572</v>
      </c>
      <c r="D4201" s="13">
        <f>D4198+D4199-D4200</f>
        <v>41911.7</v>
      </c>
      <c r="E4201" s="15">
        <f t="shared" si="1"/>
        <v>2025</v>
      </c>
      <c r="F4201" s="15">
        <f t="shared" si="2"/>
        <v>8</v>
      </c>
      <c r="G4201" s="15">
        <f t="shared" si="3"/>
        <v>6</v>
      </c>
    </row>
    <row r="4202">
      <c r="A4202" s="10" t="s">
        <v>37</v>
      </c>
      <c r="B4202" s="94">
        <f t="shared" si="5"/>
        <v>45876</v>
      </c>
      <c r="C4202" s="77" t="s">
        <v>1569</v>
      </c>
      <c r="D4202" s="13">
        <f>D4201</f>
        <v>41911.7</v>
      </c>
      <c r="E4202" s="15">
        <f t="shared" si="1"/>
        <v>2025</v>
      </c>
      <c r="F4202" s="15">
        <f t="shared" si="2"/>
        <v>8</v>
      </c>
      <c r="G4202" s="15">
        <f t="shared" si="3"/>
        <v>7</v>
      </c>
    </row>
    <row r="4203">
      <c r="A4203" s="10" t="s">
        <v>37</v>
      </c>
      <c r="B4203" s="94">
        <f t="shared" si="5"/>
        <v>45876</v>
      </c>
      <c r="C4203" s="77" t="s">
        <v>1570</v>
      </c>
      <c r="D4203" s="13">
        <f>SUMIFS('Lançamentos de receitas'!$E:$E,'Lançamentos de receitas'!$F:$F,"PAGO",'Lançamentos de receitas'!$C:$C,A4203,'Lançamentos de receitas'!$A:$A,B4203)</f>
        <v>1853.39</v>
      </c>
      <c r="E4203" s="15">
        <f t="shared" si="1"/>
        <v>2025</v>
      </c>
      <c r="F4203" s="15">
        <f t="shared" si="2"/>
        <v>8</v>
      </c>
      <c r="G4203" s="15">
        <f t="shared" si="3"/>
        <v>7</v>
      </c>
    </row>
    <row r="4204">
      <c r="A4204" s="10" t="s">
        <v>37</v>
      </c>
      <c r="B4204" s="94">
        <f t="shared" si="5"/>
        <v>45876</v>
      </c>
      <c r="C4204" s="77" t="s">
        <v>1571</v>
      </c>
      <c r="D4204" s="13">
        <f>SUMIFS('Lançamentos de despesas'!$I:$I,'Lançamentos de despesas'!$G:$G,A4204,'Lançamentos de despesas'!$E:$E,"PAGO",'Lançamentos de despesas'!$C:$C,B4204)</f>
        <v>0</v>
      </c>
      <c r="E4204" s="15">
        <f t="shared" si="1"/>
        <v>2025</v>
      </c>
      <c r="F4204" s="15">
        <f t="shared" si="2"/>
        <v>8</v>
      </c>
      <c r="G4204" s="15">
        <f t="shared" si="3"/>
        <v>7</v>
      </c>
    </row>
    <row r="4205">
      <c r="A4205" s="10" t="s">
        <v>37</v>
      </c>
      <c r="B4205" s="94">
        <f t="shared" si="5"/>
        <v>45876</v>
      </c>
      <c r="C4205" s="77" t="s">
        <v>1572</v>
      </c>
      <c r="D4205" s="13">
        <f>D4202+D4203-D4204</f>
        <v>43765.09</v>
      </c>
      <c r="E4205" s="15">
        <f t="shared" si="1"/>
        <v>2025</v>
      </c>
      <c r="F4205" s="15">
        <f t="shared" si="2"/>
        <v>8</v>
      </c>
      <c r="G4205" s="15">
        <f t="shared" si="3"/>
        <v>7</v>
      </c>
    </row>
    <row r="4206">
      <c r="A4206" s="10" t="s">
        <v>37</v>
      </c>
      <c r="B4206" s="94">
        <f t="shared" si="5"/>
        <v>45877</v>
      </c>
      <c r="C4206" s="77" t="s">
        <v>1569</v>
      </c>
      <c r="D4206" s="13">
        <f>D4205</f>
        <v>43765.09</v>
      </c>
      <c r="E4206" s="15">
        <f t="shared" si="1"/>
        <v>2025</v>
      </c>
      <c r="F4206" s="15">
        <f t="shared" si="2"/>
        <v>8</v>
      </c>
      <c r="G4206" s="15">
        <f t="shared" si="3"/>
        <v>8</v>
      </c>
    </row>
    <row r="4207">
      <c r="A4207" s="10" t="s">
        <v>37</v>
      </c>
      <c r="B4207" s="94">
        <f t="shared" si="5"/>
        <v>45877</v>
      </c>
      <c r="C4207" s="77" t="s">
        <v>1570</v>
      </c>
      <c r="D4207" s="13">
        <f>SUMIFS('Lançamentos de receitas'!$E:$E,'Lançamentos de receitas'!$F:$F,"PAGO",'Lançamentos de receitas'!$C:$C,A4207,'Lançamentos de receitas'!$A:$A,B4207)</f>
        <v>2219.48</v>
      </c>
      <c r="E4207" s="15">
        <f t="shared" si="1"/>
        <v>2025</v>
      </c>
      <c r="F4207" s="15">
        <f t="shared" si="2"/>
        <v>8</v>
      </c>
      <c r="G4207" s="15">
        <f t="shared" si="3"/>
        <v>8</v>
      </c>
    </row>
    <row r="4208">
      <c r="A4208" s="10" t="s">
        <v>37</v>
      </c>
      <c r="B4208" s="94">
        <f t="shared" si="5"/>
        <v>45877</v>
      </c>
      <c r="C4208" s="77" t="s">
        <v>1571</v>
      </c>
      <c r="D4208" s="13">
        <f>SUMIFS('Lançamentos de despesas'!$I:$I,'Lançamentos de despesas'!$G:$G,A4208,'Lançamentos de despesas'!$E:$E,"PAGO",'Lançamentos de despesas'!$C:$C,B4208)</f>
        <v>4000</v>
      </c>
      <c r="E4208" s="15">
        <f t="shared" si="1"/>
        <v>2025</v>
      </c>
      <c r="F4208" s="15">
        <f t="shared" si="2"/>
        <v>8</v>
      </c>
      <c r="G4208" s="15">
        <f t="shared" si="3"/>
        <v>8</v>
      </c>
    </row>
    <row r="4209">
      <c r="A4209" s="10" t="s">
        <v>37</v>
      </c>
      <c r="B4209" s="94">
        <f t="shared" si="5"/>
        <v>45877</v>
      </c>
      <c r="C4209" s="77" t="s">
        <v>1572</v>
      </c>
      <c r="D4209" s="13">
        <f>D4206+D4207-D4208</f>
        <v>41984.57</v>
      </c>
      <c r="E4209" s="15">
        <f t="shared" si="1"/>
        <v>2025</v>
      </c>
      <c r="F4209" s="15">
        <f t="shared" si="2"/>
        <v>8</v>
      </c>
      <c r="G4209" s="15">
        <f t="shared" si="3"/>
        <v>8</v>
      </c>
    </row>
    <row r="4210">
      <c r="A4210" s="10" t="s">
        <v>37</v>
      </c>
      <c r="B4210" s="94">
        <f t="shared" si="5"/>
        <v>45878</v>
      </c>
      <c r="C4210" s="77" t="s">
        <v>1569</v>
      </c>
      <c r="D4210" s="13">
        <f>D4209</f>
        <v>41984.57</v>
      </c>
      <c r="E4210" s="15">
        <f t="shared" si="1"/>
        <v>2025</v>
      </c>
      <c r="F4210" s="15">
        <f t="shared" si="2"/>
        <v>8</v>
      </c>
      <c r="G4210" s="15">
        <f t="shared" si="3"/>
        <v>9</v>
      </c>
    </row>
    <row r="4211">
      <c r="A4211" s="10" t="s">
        <v>37</v>
      </c>
      <c r="B4211" s="94">
        <f t="shared" si="5"/>
        <v>45878</v>
      </c>
      <c r="C4211" s="77" t="s">
        <v>1570</v>
      </c>
      <c r="D4211" s="13">
        <f>SUMIFS('Lançamentos de receitas'!$E:$E,'Lançamentos de receitas'!$F:$F,"PAGO",'Lançamentos de receitas'!$C:$C,A4211,'Lançamentos de receitas'!$A:$A,B4211)</f>
        <v>2816.71</v>
      </c>
      <c r="E4211" s="15">
        <f t="shared" si="1"/>
        <v>2025</v>
      </c>
      <c r="F4211" s="15">
        <f t="shared" si="2"/>
        <v>8</v>
      </c>
      <c r="G4211" s="15">
        <f t="shared" si="3"/>
        <v>9</v>
      </c>
    </row>
    <row r="4212">
      <c r="A4212" s="10" t="s">
        <v>37</v>
      </c>
      <c r="B4212" s="94">
        <f t="shared" si="5"/>
        <v>45878</v>
      </c>
      <c r="C4212" s="77" t="s">
        <v>1571</v>
      </c>
      <c r="D4212" s="13">
        <f>SUMIFS('Lançamentos de despesas'!$I:$I,'Lançamentos de despesas'!$G:$G,A4212,'Lançamentos de despesas'!$E:$E,"PAGO",'Lançamentos de despesas'!$C:$C,B4212)</f>
        <v>0</v>
      </c>
      <c r="E4212" s="15">
        <f t="shared" si="1"/>
        <v>2025</v>
      </c>
      <c r="F4212" s="15">
        <f t="shared" si="2"/>
        <v>8</v>
      </c>
      <c r="G4212" s="15">
        <f t="shared" si="3"/>
        <v>9</v>
      </c>
    </row>
    <row r="4213">
      <c r="A4213" s="10" t="s">
        <v>37</v>
      </c>
      <c r="B4213" s="94">
        <f t="shared" si="5"/>
        <v>45878</v>
      </c>
      <c r="C4213" s="77" t="s">
        <v>1572</v>
      </c>
      <c r="D4213" s="13">
        <f>D4210+D4211-D4212</f>
        <v>44801.28</v>
      </c>
      <c r="E4213" s="15">
        <f t="shared" si="1"/>
        <v>2025</v>
      </c>
      <c r="F4213" s="15">
        <f t="shared" si="2"/>
        <v>8</v>
      </c>
      <c r="G4213" s="15">
        <f t="shared" si="3"/>
        <v>9</v>
      </c>
    </row>
    <row r="4214">
      <c r="A4214" s="10" t="s">
        <v>37</v>
      </c>
      <c r="B4214" s="94">
        <f t="shared" si="5"/>
        <v>45879</v>
      </c>
      <c r="C4214" s="77" t="s">
        <v>1569</v>
      </c>
      <c r="D4214" s="13">
        <f>D4213</f>
        <v>44801.28</v>
      </c>
      <c r="E4214" s="15">
        <f t="shared" si="1"/>
        <v>2025</v>
      </c>
      <c r="F4214" s="15">
        <f t="shared" si="2"/>
        <v>8</v>
      </c>
      <c r="G4214" s="15">
        <f t="shared" si="3"/>
        <v>10</v>
      </c>
    </row>
    <row r="4215">
      <c r="A4215" s="10" t="s">
        <v>37</v>
      </c>
      <c r="B4215" s="94">
        <f t="shared" si="5"/>
        <v>45879</v>
      </c>
      <c r="C4215" s="77" t="s">
        <v>1570</v>
      </c>
      <c r="D4215" s="13">
        <f>SUMIFS('Lançamentos de receitas'!$E:$E,'Lançamentos de receitas'!$F:$F,"PAGO",'Lançamentos de receitas'!$C:$C,A4215,'Lançamentos de receitas'!$A:$A,B4215)</f>
        <v>2280.11</v>
      </c>
      <c r="E4215" s="15">
        <f t="shared" si="1"/>
        <v>2025</v>
      </c>
      <c r="F4215" s="15">
        <f t="shared" si="2"/>
        <v>8</v>
      </c>
      <c r="G4215" s="15">
        <f t="shared" si="3"/>
        <v>10</v>
      </c>
    </row>
    <row r="4216">
      <c r="A4216" s="10" t="s">
        <v>37</v>
      </c>
      <c r="B4216" s="94">
        <f t="shared" si="5"/>
        <v>45879</v>
      </c>
      <c r="C4216" s="77" t="s">
        <v>1571</v>
      </c>
      <c r="D4216" s="13">
        <f>SUMIFS('Lançamentos de despesas'!$I:$I,'Lançamentos de despesas'!$G:$G,A4216,'Lançamentos de despesas'!$E:$E,"PAGO",'Lançamentos de despesas'!$C:$C,B4216)</f>
        <v>0</v>
      </c>
      <c r="E4216" s="15">
        <f t="shared" si="1"/>
        <v>2025</v>
      </c>
      <c r="F4216" s="15">
        <f t="shared" si="2"/>
        <v>8</v>
      </c>
      <c r="G4216" s="15">
        <f t="shared" si="3"/>
        <v>10</v>
      </c>
    </row>
    <row r="4217">
      <c r="A4217" s="10" t="s">
        <v>37</v>
      </c>
      <c r="B4217" s="94">
        <f t="shared" si="5"/>
        <v>45879</v>
      </c>
      <c r="C4217" s="77" t="s">
        <v>1572</v>
      </c>
      <c r="D4217" s="13">
        <f>D4214+D4215-D4216</f>
        <v>47081.39</v>
      </c>
      <c r="E4217" s="15">
        <f t="shared" si="1"/>
        <v>2025</v>
      </c>
      <c r="F4217" s="15">
        <f t="shared" si="2"/>
        <v>8</v>
      </c>
      <c r="G4217" s="15">
        <f t="shared" si="3"/>
        <v>10</v>
      </c>
    </row>
    <row r="4218">
      <c r="A4218" s="10" t="s">
        <v>37</v>
      </c>
      <c r="B4218" s="94">
        <f t="shared" si="5"/>
        <v>45880</v>
      </c>
      <c r="C4218" s="77" t="s">
        <v>1569</v>
      </c>
      <c r="D4218" s="13">
        <f>D4217</f>
        <v>47081.39</v>
      </c>
      <c r="E4218" s="15">
        <f t="shared" si="1"/>
        <v>2025</v>
      </c>
      <c r="F4218" s="15">
        <f t="shared" si="2"/>
        <v>8</v>
      </c>
      <c r="G4218" s="15">
        <f t="shared" si="3"/>
        <v>11</v>
      </c>
    </row>
    <row r="4219">
      <c r="A4219" s="10" t="s">
        <v>37</v>
      </c>
      <c r="B4219" s="94">
        <f t="shared" si="5"/>
        <v>45880</v>
      </c>
      <c r="C4219" s="77" t="s">
        <v>1570</v>
      </c>
      <c r="D4219" s="13">
        <f>SUMIFS('Lançamentos de receitas'!$E:$E,'Lançamentos de receitas'!$F:$F,"PAGO",'Lançamentos de receitas'!$C:$C,A4219,'Lançamentos de receitas'!$A:$A,B4219)</f>
        <v>448.49</v>
      </c>
      <c r="E4219" s="15">
        <f t="shared" si="1"/>
        <v>2025</v>
      </c>
      <c r="F4219" s="15">
        <f t="shared" si="2"/>
        <v>8</v>
      </c>
      <c r="G4219" s="15">
        <f t="shared" si="3"/>
        <v>11</v>
      </c>
    </row>
    <row r="4220">
      <c r="A4220" s="10" t="s">
        <v>37</v>
      </c>
      <c r="B4220" s="94">
        <f t="shared" si="5"/>
        <v>45880</v>
      </c>
      <c r="C4220" s="77" t="s">
        <v>1571</v>
      </c>
      <c r="D4220" s="13">
        <f>SUMIFS('Lançamentos de despesas'!$I:$I,'Lançamentos de despesas'!$G:$G,A4220,'Lançamentos de despesas'!$E:$E,"PAGO",'Lançamentos de despesas'!$C:$C,B4220)</f>
        <v>4750.96</v>
      </c>
      <c r="E4220" s="15">
        <f t="shared" si="1"/>
        <v>2025</v>
      </c>
      <c r="F4220" s="15">
        <f t="shared" si="2"/>
        <v>8</v>
      </c>
      <c r="G4220" s="15">
        <f t="shared" si="3"/>
        <v>11</v>
      </c>
    </row>
    <row r="4221">
      <c r="A4221" s="10" t="s">
        <v>37</v>
      </c>
      <c r="B4221" s="94">
        <f t="shared" si="5"/>
        <v>45880</v>
      </c>
      <c r="C4221" s="77" t="s">
        <v>1572</v>
      </c>
      <c r="D4221" s="13">
        <f>D4218+D4219-D4220</f>
        <v>42778.92</v>
      </c>
      <c r="E4221" s="15">
        <f t="shared" si="1"/>
        <v>2025</v>
      </c>
      <c r="F4221" s="15">
        <f t="shared" si="2"/>
        <v>8</v>
      </c>
      <c r="G4221" s="15">
        <f t="shared" si="3"/>
        <v>11</v>
      </c>
    </row>
    <row r="4222">
      <c r="A4222" s="10" t="s">
        <v>37</v>
      </c>
      <c r="B4222" s="94">
        <f t="shared" si="5"/>
        <v>45881</v>
      </c>
      <c r="C4222" s="77" t="s">
        <v>1569</v>
      </c>
      <c r="D4222" s="13">
        <f>D4221</f>
        <v>42778.92</v>
      </c>
      <c r="E4222" s="15">
        <f t="shared" si="1"/>
        <v>2025</v>
      </c>
      <c r="F4222" s="15">
        <f t="shared" si="2"/>
        <v>8</v>
      </c>
      <c r="G4222" s="15">
        <f t="shared" si="3"/>
        <v>12</v>
      </c>
    </row>
    <row r="4223">
      <c r="A4223" s="10" t="s">
        <v>37</v>
      </c>
      <c r="B4223" s="94">
        <f t="shared" si="5"/>
        <v>45881</v>
      </c>
      <c r="C4223" s="77" t="s">
        <v>1570</v>
      </c>
      <c r="D4223" s="13">
        <f>SUMIFS('Lançamentos de receitas'!$E:$E,'Lançamentos de receitas'!$F:$F,"PAGO",'Lançamentos de receitas'!$C:$C,A4223,'Lançamentos de receitas'!$A:$A,B4223)</f>
        <v>1887.89</v>
      </c>
      <c r="E4223" s="15">
        <f t="shared" si="1"/>
        <v>2025</v>
      </c>
      <c r="F4223" s="15">
        <f t="shared" si="2"/>
        <v>8</v>
      </c>
      <c r="G4223" s="15">
        <f t="shared" si="3"/>
        <v>12</v>
      </c>
    </row>
    <row r="4224">
      <c r="A4224" s="10" t="s">
        <v>37</v>
      </c>
      <c r="B4224" s="94">
        <f t="shared" si="5"/>
        <v>45881</v>
      </c>
      <c r="C4224" s="77" t="s">
        <v>1571</v>
      </c>
      <c r="D4224" s="13">
        <f>SUMIFS('Lançamentos de despesas'!$I:$I,'Lançamentos de despesas'!$G:$G,A4224,'Lançamentos de despesas'!$E:$E,"PAGO",'Lançamentos de despesas'!$C:$C,B4224)</f>
        <v>637.56</v>
      </c>
      <c r="E4224" s="15">
        <f t="shared" si="1"/>
        <v>2025</v>
      </c>
      <c r="F4224" s="15">
        <f t="shared" si="2"/>
        <v>8</v>
      </c>
      <c r="G4224" s="15">
        <f t="shared" si="3"/>
        <v>12</v>
      </c>
    </row>
    <row r="4225">
      <c r="A4225" s="10" t="s">
        <v>37</v>
      </c>
      <c r="B4225" s="94">
        <f t="shared" si="5"/>
        <v>45881</v>
      </c>
      <c r="C4225" s="77" t="s">
        <v>1572</v>
      </c>
      <c r="D4225" s="13">
        <f>D4222+D4223-D4224</f>
        <v>44029.25</v>
      </c>
      <c r="E4225" s="15">
        <f t="shared" si="1"/>
        <v>2025</v>
      </c>
      <c r="F4225" s="15">
        <f t="shared" si="2"/>
        <v>8</v>
      </c>
      <c r="G4225" s="15">
        <f t="shared" si="3"/>
        <v>12</v>
      </c>
    </row>
    <row r="4226">
      <c r="A4226" s="10" t="s">
        <v>37</v>
      </c>
      <c r="B4226" s="94">
        <f t="shared" si="5"/>
        <v>45882</v>
      </c>
      <c r="C4226" s="77" t="s">
        <v>1569</v>
      </c>
      <c r="D4226" s="13">
        <f>D4225</f>
        <v>44029.25</v>
      </c>
      <c r="E4226" s="15">
        <f t="shared" si="1"/>
        <v>2025</v>
      </c>
      <c r="F4226" s="15">
        <f t="shared" si="2"/>
        <v>8</v>
      </c>
      <c r="G4226" s="15">
        <f t="shared" si="3"/>
        <v>13</v>
      </c>
    </row>
    <row r="4227">
      <c r="A4227" s="10" t="s">
        <v>37</v>
      </c>
      <c r="B4227" s="94">
        <f t="shared" si="5"/>
        <v>45882</v>
      </c>
      <c r="C4227" s="77" t="s">
        <v>1570</v>
      </c>
      <c r="D4227" s="13">
        <f>SUMIFS('Lançamentos de receitas'!$E:$E,'Lançamentos de receitas'!$F:$F,"PAGO",'Lançamentos de receitas'!$C:$C,A4227,'Lançamentos de receitas'!$A:$A,B4227)</f>
        <v>1772.03</v>
      </c>
      <c r="E4227" s="15">
        <f t="shared" si="1"/>
        <v>2025</v>
      </c>
      <c r="F4227" s="15">
        <f t="shared" si="2"/>
        <v>8</v>
      </c>
      <c r="G4227" s="15">
        <f t="shared" si="3"/>
        <v>13</v>
      </c>
    </row>
    <row r="4228">
      <c r="A4228" s="10" t="s">
        <v>37</v>
      </c>
      <c r="B4228" s="94">
        <f t="shared" si="5"/>
        <v>45882</v>
      </c>
      <c r="C4228" s="77" t="s">
        <v>1571</v>
      </c>
      <c r="D4228" s="13">
        <f>SUMIFS('Lançamentos de despesas'!$I:$I,'Lançamentos de despesas'!$G:$G,A4228,'Lançamentos de despesas'!$E:$E,"PAGO",'Lançamentos de despesas'!$C:$C,B4228)</f>
        <v>0</v>
      </c>
      <c r="E4228" s="15">
        <f t="shared" si="1"/>
        <v>2025</v>
      </c>
      <c r="F4228" s="15">
        <f t="shared" si="2"/>
        <v>8</v>
      </c>
      <c r="G4228" s="15">
        <f t="shared" si="3"/>
        <v>13</v>
      </c>
    </row>
    <row r="4229">
      <c r="A4229" s="10" t="s">
        <v>37</v>
      </c>
      <c r="B4229" s="94">
        <f t="shared" si="5"/>
        <v>45882</v>
      </c>
      <c r="C4229" s="77" t="s">
        <v>1572</v>
      </c>
      <c r="D4229" s="13">
        <f>D4226+D4227-D4228</f>
        <v>45801.28</v>
      </c>
      <c r="E4229" s="15">
        <f t="shared" si="1"/>
        <v>2025</v>
      </c>
      <c r="F4229" s="15">
        <f t="shared" si="2"/>
        <v>8</v>
      </c>
      <c r="G4229" s="15">
        <f t="shared" si="3"/>
        <v>13</v>
      </c>
    </row>
    <row r="4230">
      <c r="A4230" s="10" t="s">
        <v>37</v>
      </c>
      <c r="B4230" s="94">
        <f t="shared" si="5"/>
        <v>45883</v>
      </c>
      <c r="C4230" s="77" t="s">
        <v>1569</v>
      </c>
      <c r="D4230" s="13">
        <f>D4229</f>
        <v>45801.28</v>
      </c>
      <c r="E4230" s="15">
        <f t="shared" si="1"/>
        <v>2025</v>
      </c>
      <c r="F4230" s="15">
        <f t="shared" si="2"/>
        <v>8</v>
      </c>
      <c r="G4230" s="15">
        <f t="shared" si="3"/>
        <v>14</v>
      </c>
    </row>
    <row r="4231">
      <c r="A4231" s="10" t="s">
        <v>37</v>
      </c>
      <c r="B4231" s="94">
        <f t="shared" si="5"/>
        <v>45883</v>
      </c>
      <c r="C4231" s="77" t="s">
        <v>1570</v>
      </c>
      <c r="D4231" s="13">
        <f>SUMIFS('Lançamentos de receitas'!$E:$E,'Lançamentos de receitas'!$F:$F,"PAGO",'Lançamentos de receitas'!$C:$C,A4231,'Lançamentos de receitas'!$A:$A,B4231)</f>
        <v>2263.59</v>
      </c>
      <c r="E4231" s="15">
        <f t="shared" si="1"/>
        <v>2025</v>
      </c>
      <c r="F4231" s="15">
        <f t="shared" si="2"/>
        <v>8</v>
      </c>
      <c r="G4231" s="15">
        <f t="shared" si="3"/>
        <v>14</v>
      </c>
    </row>
    <row r="4232">
      <c r="A4232" s="10" t="s">
        <v>37</v>
      </c>
      <c r="B4232" s="94">
        <f t="shared" si="5"/>
        <v>45883</v>
      </c>
      <c r="C4232" s="77" t="s">
        <v>1571</v>
      </c>
      <c r="D4232" s="13">
        <f>SUMIFS('Lançamentos de despesas'!$I:$I,'Lançamentos de despesas'!$G:$G,A4232,'Lançamentos de despesas'!$E:$E,"PAGO",'Lançamentos de despesas'!$C:$C,B4232)</f>
        <v>0</v>
      </c>
      <c r="E4232" s="15">
        <f t="shared" si="1"/>
        <v>2025</v>
      </c>
      <c r="F4232" s="15">
        <f t="shared" si="2"/>
        <v>8</v>
      </c>
      <c r="G4232" s="15">
        <f t="shared" si="3"/>
        <v>14</v>
      </c>
    </row>
    <row r="4233">
      <c r="A4233" s="10" t="s">
        <v>37</v>
      </c>
      <c r="B4233" s="94">
        <f t="shared" si="5"/>
        <v>45883</v>
      </c>
      <c r="C4233" s="77" t="s">
        <v>1572</v>
      </c>
      <c r="D4233" s="13">
        <f>D4230+D4231-D4232</f>
        <v>48064.87</v>
      </c>
      <c r="E4233" s="15">
        <f t="shared" si="1"/>
        <v>2025</v>
      </c>
      <c r="F4233" s="15">
        <f t="shared" si="2"/>
        <v>8</v>
      </c>
      <c r="G4233" s="15">
        <f t="shared" si="3"/>
        <v>14</v>
      </c>
    </row>
    <row r="4234">
      <c r="A4234" s="10" t="s">
        <v>37</v>
      </c>
      <c r="B4234" s="94">
        <f t="shared" si="5"/>
        <v>45884</v>
      </c>
      <c r="C4234" s="77" t="s">
        <v>1569</v>
      </c>
      <c r="D4234" s="13">
        <f>D4233</f>
        <v>48064.87</v>
      </c>
      <c r="E4234" s="15">
        <f t="shared" si="1"/>
        <v>2025</v>
      </c>
      <c r="F4234" s="15">
        <f t="shared" si="2"/>
        <v>8</v>
      </c>
      <c r="G4234" s="15">
        <f t="shared" si="3"/>
        <v>15</v>
      </c>
    </row>
    <row r="4235">
      <c r="A4235" s="10" t="s">
        <v>37</v>
      </c>
      <c r="B4235" s="94">
        <f t="shared" si="5"/>
        <v>45884</v>
      </c>
      <c r="C4235" s="77" t="s">
        <v>1570</v>
      </c>
      <c r="D4235" s="13">
        <f>SUMIFS('Lançamentos de receitas'!$E:$E,'Lançamentos de receitas'!$F:$F,"PAGO",'Lançamentos de receitas'!$C:$C,A4235,'Lançamentos de receitas'!$A:$A,B4235)</f>
        <v>2181.68</v>
      </c>
      <c r="E4235" s="15">
        <f t="shared" si="1"/>
        <v>2025</v>
      </c>
      <c r="F4235" s="15">
        <f t="shared" si="2"/>
        <v>8</v>
      </c>
      <c r="G4235" s="15">
        <f t="shared" si="3"/>
        <v>15</v>
      </c>
    </row>
    <row r="4236">
      <c r="A4236" s="10" t="s">
        <v>37</v>
      </c>
      <c r="B4236" s="94">
        <f t="shared" si="5"/>
        <v>45884</v>
      </c>
      <c r="C4236" s="77" t="s">
        <v>1571</v>
      </c>
      <c r="D4236" s="13">
        <f>SUMIFS('Lançamentos de despesas'!$I:$I,'Lançamentos de despesas'!$G:$G,A4236,'Lançamentos de despesas'!$E:$E,"PAGO",'Lançamentos de despesas'!$C:$C,B4236)</f>
        <v>700</v>
      </c>
      <c r="E4236" s="15">
        <f t="shared" si="1"/>
        <v>2025</v>
      </c>
      <c r="F4236" s="15">
        <f t="shared" si="2"/>
        <v>8</v>
      </c>
      <c r="G4236" s="15">
        <f t="shared" si="3"/>
        <v>15</v>
      </c>
    </row>
    <row r="4237">
      <c r="A4237" s="10" t="s">
        <v>37</v>
      </c>
      <c r="B4237" s="94">
        <f t="shared" si="5"/>
        <v>45884</v>
      </c>
      <c r="C4237" s="77" t="s">
        <v>1572</v>
      </c>
      <c r="D4237" s="13">
        <f>D4234+D4235-D4236</f>
        <v>49546.55</v>
      </c>
      <c r="E4237" s="15">
        <f t="shared" si="1"/>
        <v>2025</v>
      </c>
      <c r="F4237" s="15">
        <f t="shared" si="2"/>
        <v>8</v>
      </c>
      <c r="G4237" s="15">
        <f t="shared" si="3"/>
        <v>15</v>
      </c>
    </row>
    <row r="4238">
      <c r="A4238" s="10" t="s">
        <v>37</v>
      </c>
      <c r="B4238" s="94">
        <f t="shared" si="5"/>
        <v>45885</v>
      </c>
      <c r="C4238" s="77" t="s">
        <v>1569</v>
      </c>
      <c r="D4238" s="13">
        <f>D4237</f>
        <v>49546.55</v>
      </c>
      <c r="E4238" s="15">
        <f t="shared" si="1"/>
        <v>2025</v>
      </c>
      <c r="F4238" s="15">
        <f t="shared" si="2"/>
        <v>8</v>
      </c>
      <c r="G4238" s="15">
        <f t="shared" si="3"/>
        <v>16</v>
      </c>
    </row>
    <row r="4239">
      <c r="A4239" s="10" t="s">
        <v>37</v>
      </c>
      <c r="B4239" s="94">
        <f t="shared" si="5"/>
        <v>45885</v>
      </c>
      <c r="C4239" s="77" t="s">
        <v>1570</v>
      </c>
      <c r="D4239" s="13">
        <f>SUMIFS('Lançamentos de receitas'!$E:$E,'Lançamentos de receitas'!$F:$F,"PAGO",'Lançamentos de receitas'!$C:$C,A4239,'Lançamentos de receitas'!$A:$A,B4239)</f>
        <v>1485.59</v>
      </c>
      <c r="E4239" s="15">
        <f t="shared" si="1"/>
        <v>2025</v>
      </c>
      <c r="F4239" s="15">
        <f t="shared" si="2"/>
        <v>8</v>
      </c>
      <c r="G4239" s="15">
        <f t="shared" si="3"/>
        <v>16</v>
      </c>
    </row>
    <row r="4240">
      <c r="A4240" s="10" t="s">
        <v>37</v>
      </c>
      <c r="B4240" s="94">
        <f t="shared" si="5"/>
        <v>45885</v>
      </c>
      <c r="C4240" s="77" t="s">
        <v>1571</v>
      </c>
      <c r="D4240" s="13">
        <f>SUMIFS('Lançamentos de despesas'!$I:$I,'Lançamentos de despesas'!$G:$G,A4240,'Lançamentos de despesas'!$E:$E,"PAGO",'Lançamentos de despesas'!$C:$C,B4240)</f>
        <v>3000</v>
      </c>
      <c r="E4240" s="15">
        <f t="shared" si="1"/>
        <v>2025</v>
      </c>
      <c r="F4240" s="15">
        <f t="shared" si="2"/>
        <v>8</v>
      </c>
      <c r="G4240" s="15">
        <f t="shared" si="3"/>
        <v>16</v>
      </c>
    </row>
    <row r="4241">
      <c r="A4241" s="10" t="s">
        <v>37</v>
      </c>
      <c r="B4241" s="94">
        <f t="shared" si="5"/>
        <v>45885</v>
      </c>
      <c r="C4241" s="77" t="s">
        <v>1572</v>
      </c>
      <c r="D4241" s="13">
        <f>D4238+D4239-D4240</f>
        <v>48032.14</v>
      </c>
      <c r="E4241" s="15">
        <f t="shared" si="1"/>
        <v>2025</v>
      </c>
      <c r="F4241" s="15">
        <f t="shared" si="2"/>
        <v>8</v>
      </c>
      <c r="G4241" s="15">
        <f t="shared" si="3"/>
        <v>16</v>
      </c>
    </row>
    <row r="4242">
      <c r="A4242" s="10" t="s">
        <v>37</v>
      </c>
      <c r="B4242" s="94">
        <f t="shared" si="5"/>
        <v>45886</v>
      </c>
      <c r="C4242" s="77" t="s">
        <v>1569</v>
      </c>
      <c r="D4242" s="13">
        <f>D4241</f>
        <v>48032.14</v>
      </c>
      <c r="E4242" s="15">
        <f t="shared" si="1"/>
        <v>2025</v>
      </c>
      <c r="F4242" s="15">
        <f t="shared" si="2"/>
        <v>8</v>
      </c>
      <c r="G4242" s="15">
        <f t="shared" si="3"/>
        <v>17</v>
      </c>
    </row>
    <row r="4243">
      <c r="A4243" s="10" t="s">
        <v>37</v>
      </c>
      <c r="B4243" s="94">
        <f t="shared" si="5"/>
        <v>45886</v>
      </c>
      <c r="C4243" s="77" t="s">
        <v>1570</v>
      </c>
      <c r="D4243" s="13">
        <f>SUMIFS('Lançamentos de receitas'!$E:$E,'Lançamentos de receitas'!$F:$F,"PAGO",'Lançamentos de receitas'!$C:$C,A4243,'Lançamentos de receitas'!$A:$A,B4243)</f>
        <v>1639.15</v>
      </c>
      <c r="E4243" s="15">
        <f t="shared" si="1"/>
        <v>2025</v>
      </c>
      <c r="F4243" s="15">
        <f t="shared" si="2"/>
        <v>8</v>
      </c>
      <c r="G4243" s="15">
        <f t="shared" si="3"/>
        <v>17</v>
      </c>
    </row>
    <row r="4244">
      <c r="A4244" s="10" t="s">
        <v>37</v>
      </c>
      <c r="B4244" s="94">
        <f t="shared" si="5"/>
        <v>45886</v>
      </c>
      <c r="C4244" s="77" t="s">
        <v>1571</v>
      </c>
      <c r="D4244" s="13">
        <f>SUMIFS('Lançamentos de despesas'!$I:$I,'Lançamentos de despesas'!$G:$G,A4244,'Lançamentos de despesas'!$E:$E,"PAGO",'Lançamentos de despesas'!$C:$C,B4244)</f>
        <v>0</v>
      </c>
      <c r="E4244" s="15">
        <f t="shared" si="1"/>
        <v>2025</v>
      </c>
      <c r="F4244" s="15">
        <f t="shared" si="2"/>
        <v>8</v>
      </c>
      <c r="G4244" s="15">
        <f t="shared" si="3"/>
        <v>17</v>
      </c>
    </row>
    <row r="4245">
      <c r="A4245" s="10" t="s">
        <v>37</v>
      </c>
      <c r="B4245" s="94">
        <f t="shared" si="5"/>
        <v>45886</v>
      </c>
      <c r="C4245" s="77" t="s">
        <v>1572</v>
      </c>
      <c r="D4245" s="13">
        <f>D4242+D4243-D4244</f>
        <v>49671.29</v>
      </c>
      <c r="E4245" s="15">
        <f t="shared" si="1"/>
        <v>2025</v>
      </c>
      <c r="F4245" s="15">
        <f t="shared" si="2"/>
        <v>8</v>
      </c>
      <c r="G4245" s="15">
        <f t="shared" si="3"/>
        <v>17</v>
      </c>
    </row>
    <row r="4246">
      <c r="A4246" s="10" t="s">
        <v>37</v>
      </c>
      <c r="B4246" s="94">
        <f t="shared" si="5"/>
        <v>45887</v>
      </c>
      <c r="C4246" s="77" t="s">
        <v>1569</v>
      </c>
      <c r="D4246" s="13">
        <f>D4245</f>
        <v>49671.29</v>
      </c>
      <c r="E4246" s="15">
        <f t="shared" si="1"/>
        <v>2025</v>
      </c>
      <c r="F4246" s="15">
        <f t="shared" si="2"/>
        <v>8</v>
      </c>
      <c r="G4246" s="15">
        <f t="shared" si="3"/>
        <v>18</v>
      </c>
    </row>
    <row r="4247">
      <c r="A4247" s="10" t="s">
        <v>37</v>
      </c>
      <c r="B4247" s="94">
        <f t="shared" si="5"/>
        <v>45887</v>
      </c>
      <c r="C4247" s="77" t="s">
        <v>1570</v>
      </c>
      <c r="D4247" s="13">
        <f>SUMIFS('Lançamentos de receitas'!$E:$E,'Lançamentos de receitas'!$F:$F,"PAGO",'Lançamentos de receitas'!$C:$C,A4247,'Lançamentos de receitas'!$A:$A,B4247)</f>
        <v>746.41</v>
      </c>
      <c r="E4247" s="15">
        <f t="shared" si="1"/>
        <v>2025</v>
      </c>
      <c r="F4247" s="15">
        <f t="shared" si="2"/>
        <v>8</v>
      </c>
      <c r="G4247" s="15">
        <f t="shared" si="3"/>
        <v>18</v>
      </c>
    </row>
    <row r="4248">
      <c r="A4248" s="10" t="s">
        <v>37</v>
      </c>
      <c r="B4248" s="94">
        <f t="shared" si="5"/>
        <v>45887</v>
      </c>
      <c r="C4248" s="77" t="s">
        <v>1571</v>
      </c>
      <c r="D4248" s="13">
        <f>SUMIFS('Lançamentos de despesas'!$I:$I,'Lançamentos de despesas'!$G:$G,A4248,'Lançamentos de despesas'!$E:$E,"PAGO",'Lançamentos de despesas'!$C:$C,B4248)</f>
        <v>977.37</v>
      </c>
      <c r="E4248" s="15">
        <f t="shared" si="1"/>
        <v>2025</v>
      </c>
      <c r="F4248" s="15">
        <f t="shared" si="2"/>
        <v>8</v>
      </c>
      <c r="G4248" s="15">
        <f t="shared" si="3"/>
        <v>18</v>
      </c>
    </row>
    <row r="4249">
      <c r="A4249" s="10" t="s">
        <v>37</v>
      </c>
      <c r="B4249" s="94">
        <f t="shared" si="5"/>
        <v>45887</v>
      </c>
      <c r="C4249" s="77" t="s">
        <v>1572</v>
      </c>
      <c r="D4249" s="13">
        <f>D4246+D4247-D4248</f>
        <v>49440.33</v>
      </c>
      <c r="E4249" s="15">
        <f t="shared" si="1"/>
        <v>2025</v>
      </c>
      <c r="F4249" s="15">
        <f t="shared" si="2"/>
        <v>8</v>
      </c>
      <c r="G4249" s="15">
        <f t="shared" si="3"/>
        <v>18</v>
      </c>
    </row>
    <row r="4250">
      <c r="A4250" s="10" t="s">
        <v>37</v>
      </c>
      <c r="B4250" s="94">
        <f t="shared" si="5"/>
        <v>45888</v>
      </c>
      <c r="C4250" s="77" t="s">
        <v>1569</v>
      </c>
      <c r="D4250" s="13">
        <f>D4249</f>
        <v>49440.33</v>
      </c>
      <c r="E4250" s="15">
        <f t="shared" si="1"/>
        <v>2025</v>
      </c>
      <c r="F4250" s="15">
        <f t="shared" si="2"/>
        <v>8</v>
      </c>
      <c r="G4250" s="15">
        <f t="shared" si="3"/>
        <v>19</v>
      </c>
    </row>
    <row r="4251">
      <c r="A4251" s="10" t="s">
        <v>37</v>
      </c>
      <c r="B4251" s="94">
        <f t="shared" si="5"/>
        <v>45888</v>
      </c>
      <c r="C4251" s="77" t="s">
        <v>1570</v>
      </c>
      <c r="D4251" s="13">
        <f>SUMIFS('Lançamentos de receitas'!$E:$E,'Lançamentos de receitas'!$F:$F,"PAGO",'Lançamentos de receitas'!$C:$C,A4251,'Lançamentos de receitas'!$A:$A,B4251)</f>
        <v>1513.58</v>
      </c>
      <c r="E4251" s="15">
        <f t="shared" si="1"/>
        <v>2025</v>
      </c>
      <c r="F4251" s="15">
        <f t="shared" si="2"/>
        <v>8</v>
      </c>
      <c r="G4251" s="15">
        <f t="shared" si="3"/>
        <v>19</v>
      </c>
    </row>
    <row r="4252">
      <c r="A4252" s="10" t="s">
        <v>37</v>
      </c>
      <c r="B4252" s="94">
        <f t="shared" si="5"/>
        <v>45888</v>
      </c>
      <c r="C4252" s="77" t="s">
        <v>1571</v>
      </c>
      <c r="D4252" s="13">
        <f>SUMIFS('Lançamentos de despesas'!$I:$I,'Lançamentos de despesas'!$G:$G,A4252,'Lançamentos de despesas'!$E:$E,"PAGO",'Lançamentos de despesas'!$C:$C,B4252)</f>
        <v>0</v>
      </c>
      <c r="E4252" s="15">
        <f t="shared" si="1"/>
        <v>2025</v>
      </c>
      <c r="F4252" s="15">
        <f t="shared" si="2"/>
        <v>8</v>
      </c>
      <c r="G4252" s="15">
        <f t="shared" si="3"/>
        <v>19</v>
      </c>
    </row>
    <row r="4253">
      <c r="A4253" s="10" t="s">
        <v>37</v>
      </c>
      <c r="B4253" s="94">
        <f t="shared" si="5"/>
        <v>45888</v>
      </c>
      <c r="C4253" s="77" t="s">
        <v>1572</v>
      </c>
      <c r="D4253" s="13">
        <f>D4250+D4251-D4252</f>
        <v>50953.91</v>
      </c>
      <c r="E4253" s="15">
        <f t="shared" si="1"/>
        <v>2025</v>
      </c>
      <c r="F4253" s="15">
        <f t="shared" si="2"/>
        <v>8</v>
      </c>
      <c r="G4253" s="15">
        <f t="shared" si="3"/>
        <v>19</v>
      </c>
    </row>
    <row r="4254">
      <c r="A4254" s="10" t="s">
        <v>37</v>
      </c>
      <c r="B4254" s="94">
        <f t="shared" si="5"/>
        <v>45889</v>
      </c>
      <c r="C4254" s="77" t="s">
        <v>1569</v>
      </c>
      <c r="D4254" s="13">
        <f>D4253</f>
        <v>50953.91</v>
      </c>
      <c r="E4254" s="15">
        <f t="shared" si="1"/>
        <v>2025</v>
      </c>
      <c r="F4254" s="15">
        <f t="shared" si="2"/>
        <v>8</v>
      </c>
      <c r="G4254" s="15">
        <f t="shared" si="3"/>
        <v>20</v>
      </c>
    </row>
    <row r="4255">
      <c r="A4255" s="10" t="s">
        <v>37</v>
      </c>
      <c r="B4255" s="94">
        <f t="shared" si="5"/>
        <v>45889</v>
      </c>
      <c r="C4255" s="77" t="s">
        <v>1570</v>
      </c>
      <c r="D4255" s="13">
        <f>SUMIFS('Lançamentos de receitas'!$E:$E,'Lançamentos de receitas'!$F:$F,"PAGO",'Lançamentos de receitas'!$C:$C,A4255,'Lançamentos de receitas'!$A:$A,B4255)</f>
        <v>2286.43</v>
      </c>
      <c r="E4255" s="15">
        <f t="shared" si="1"/>
        <v>2025</v>
      </c>
      <c r="F4255" s="15">
        <f t="shared" si="2"/>
        <v>8</v>
      </c>
      <c r="G4255" s="15">
        <f t="shared" si="3"/>
        <v>20</v>
      </c>
    </row>
    <row r="4256">
      <c r="A4256" s="10" t="s">
        <v>37</v>
      </c>
      <c r="B4256" s="94">
        <f t="shared" si="5"/>
        <v>45889</v>
      </c>
      <c r="C4256" s="77" t="s">
        <v>1571</v>
      </c>
      <c r="D4256" s="13">
        <f>SUMIFS('Lançamentos de despesas'!$I:$I,'Lançamentos de despesas'!$G:$G,A4256,'Lançamentos de despesas'!$E:$E,"PAGO",'Lançamentos de despesas'!$C:$C,B4256)</f>
        <v>7084.68</v>
      </c>
      <c r="E4256" s="15">
        <f t="shared" si="1"/>
        <v>2025</v>
      </c>
      <c r="F4256" s="15">
        <f t="shared" si="2"/>
        <v>8</v>
      </c>
      <c r="G4256" s="15">
        <f t="shared" si="3"/>
        <v>20</v>
      </c>
    </row>
    <row r="4257">
      <c r="A4257" s="10" t="s">
        <v>37</v>
      </c>
      <c r="B4257" s="94">
        <f t="shared" si="5"/>
        <v>45889</v>
      </c>
      <c r="C4257" s="77" t="s">
        <v>1572</v>
      </c>
      <c r="D4257" s="13">
        <f>D4254+D4255-D4256</f>
        <v>46155.66</v>
      </c>
      <c r="E4257" s="15">
        <f t="shared" si="1"/>
        <v>2025</v>
      </c>
      <c r="F4257" s="15">
        <f t="shared" si="2"/>
        <v>8</v>
      </c>
      <c r="G4257" s="15">
        <f t="shared" si="3"/>
        <v>20</v>
      </c>
    </row>
    <row r="4258">
      <c r="A4258" s="10" t="s">
        <v>37</v>
      </c>
      <c r="B4258" s="94">
        <f t="shared" si="5"/>
        <v>45890</v>
      </c>
      <c r="C4258" s="77" t="s">
        <v>1569</v>
      </c>
      <c r="D4258" s="13">
        <f>D4257</f>
        <v>46155.66</v>
      </c>
      <c r="E4258" s="15">
        <f t="shared" si="1"/>
        <v>2025</v>
      </c>
      <c r="F4258" s="15">
        <f t="shared" si="2"/>
        <v>8</v>
      </c>
      <c r="G4258" s="15">
        <f t="shared" si="3"/>
        <v>21</v>
      </c>
    </row>
    <row r="4259">
      <c r="A4259" s="10" t="s">
        <v>37</v>
      </c>
      <c r="B4259" s="94">
        <f t="shared" si="5"/>
        <v>45890</v>
      </c>
      <c r="C4259" s="77" t="s">
        <v>1570</v>
      </c>
      <c r="D4259" s="13">
        <f>SUMIFS('Lançamentos de receitas'!$E:$E,'Lançamentos de receitas'!$F:$F,"PAGO",'Lançamentos de receitas'!$C:$C,A4259,'Lançamentos de receitas'!$A:$A,B4259)</f>
        <v>2286.44</v>
      </c>
      <c r="E4259" s="15">
        <f t="shared" si="1"/>
        <v>2025</v>
      </c>
      <c r="F4259" s="15">
        <f t="shared" si="2"/>
        <v>8</v>
      </c>
      <c r="G4259" s="15">
        <f t="shared" si="3"/>
        <v>21</v>
      </c>
    </row>
    <row r="4260">
      <c r="A4260" s="10" t="s">
        <v>37</v>
      </c>
      <c r="B4260" s="94">
        <f t="shared" si="5"/>
        <v>45890</v>
      </c>
      <c r="C4260" s="77" t="s">
        <v>1571</v>
      </c>
      <c r="D4260" s="13">
        <f>SUMIFS('Lançamentos de despesas'!$I:$I,'Lançamentos de despesas'!$G:$G,A4260,'Lançamentos de despesas'!$E:$E,"PAGO",'Lançamentos de despesas'!$C:$C,B4260)</f>
        <v>0</v>
      </c>
      <c r="E4260" s="15">
        <f t="shared" si="1"/>
        <v>2025</v>
      </c>
      <c r="F4260" s="15">
        <f t="shared" si="2"/>
        <v>8</v>
      </c>
      <c r="G4260" s="15">
        <f t="shared" si="3"/>
        <v>21</v>
      </c>
    </row>
    <row r="4261">
      <c r="A4261" s="10" t="s">
        <v>37</v>
      </c>
      <c r="B4261" s="94">
        <f t="shared" si="5"/>
        <v>45890</v>
      </c>
      <c r="C4261" s="77" t="s">
        <v>1572</v>
      </c>
      <c r="D4261" s="13">
        <f>D4258+D4259-D4260</f>
        <v>48442.1</v>
      </c>
      <c r="E4261" s="15">
        <f t="shared" si="1"/>
        <v>2025</v>
      </c>
      <c r="F4261" s="15">
        <f t="shared" si="2"/>
        <v>8</v>
      </c>
      <c r="G4261" s="15">
        <f t="shared" si="3"/>
        <v>21</v>
      </c>
    </row>
    <row r="4262">
      <c r="A4262" s="10" t="s">
        <v>37</v>
      </c>
      <c r="B4262" s="94">
        <f t="shared" si="5"/>
        <v>45891</v>
      </c>
      <c r="C4262" s="77" t="s">
        <v>1569</v>
      </c>
      <c r="D4262" s="13">
        <f>D4261</f>
        <v>48442.1</v>
      </c>
      <c r="E4262" s="15">
        <f t="shared" si="1"/>
        <v>2025</v>
      </c>
      <c r="F4262" s="15">
        <f t="shared" si="2"/>
        <v>8</v>
      </c>
      <c r="G4262" s="15">
        <f t="shared" si="3"/>
        <v>22</v>
      </c>
    </row>
    <row r="4263">
      <c r="A4263" s="10" t="s">
        <v>37</v>
      </c>
      <c r="B4263" s="94">
        <f t="shared" si="5"/>
        <v>45891</v>
      </c>
      <c r="C4263" s="77" t="s">
        <v>1570</v>
      </c>
      <c r="D4263" s="13">
        <f>SUMIFS('Lançamentos de receitas'!$E:$E,'Lançamentos de receitas'!$F:$F,"PAGO",'Lançamentos de receitas'!$C:$C,A4263,'Lançamentos de receitas'!$A:$A,B4263)</f>
        <v>1045.87</v>
      </c>
      <c r="E4263" s="15">
        <f t="shared" si="1"/>
        <v>2025</v>
      </c>
      <c r="F4263" s="15">
        <f t="shared" si="2"/>
        <v>8</v>
      </c>
      <c r="G4263" s="15">
        <f t="shared" si="3"/>
        <v>22</v>
      </c>
    </row>
    <row r="4264">
      <c r="A4264" s="10" t="s">
        <v>37</v>
      </c>
      <c r="B4264" s="94">
        <f t="shared" si="5"/>
        <v>45891</v>
      </c>
      <c r="C4264" s="77" t="s">
        <v>1571</v>
      </c>
      <c r="D4264" s="13">
        <f>SUMIFS('Lançamentos de despesas'!$I:$I,'Lançamentos de despesas'!$G:$G,A4264,'Lançamentos de despesas'!$E:$E,"PAGO",'Lançamentos de despesas'!$C:$C,B4264)</f>
        <v>10917.15</v>
      </c>
      <c r="E4264" s="15">
        <f t="shared" si="1"/>
        <v>2025</v>
      </c>
      <c r="F4264" s="15">
        <f t="shared" si="2"/>
        <v>8</v>
      </c>
      <c r="G4264" s="15">
        <f t="shared" si="3"/>
        <v>22</v>
      </c>
    </row>
    <row r="4265">
      <c r="A4265" s="10" t="s">
        <v>37</v>
      </c>
      <c r="B4265" s="94">
        <f t="shared" si="5"/>
        <v>45891</v>
      </c>
      <c r="C4265" s="77" t="s">
        <v>1572</v>
      </c>
      <c r="D4265" s="13">
        <f>D4262+D4263-D4264</f>
        <v>38570.82</v>
      </c>
      <c r="E4265" s="15">
        <f t="shared" si="1"/>
        <v>2025</v>
      </c>
      <c r="F4265" s="15">
        <f t="shared" si="2"/>
        <v>8</v>
      </c>
      <c r="G4265" s="15">
        <f t="shared" si="3"/>
        <v>22</v>
      </c>
    </row>
    <row r="4266">
      <c r="A4266" s="10" t="s">
        <v>37</v>
      </c>
      <c r="B4266" s="94">
        <f t="shared" si="5"/>
        <v>45892</v>
      </c>
      <c r="C4266" s="77" t="s">
        <v>1569</v>
      </c>
      <c r="D4266" s="13">
        <f>D4265</f>
        <v>38570.82</v>
      </c>
      <c r="E4266" s="15">
        <f t="shared" si="1"/>
        <v>2025</v>
      </c>
      <c r="F4266" s="15">
        <f t="shared" si="2"/>
        <v>8</v>
      </c>
      <c r="G4266" s="15">
        <f t="shared" si="3"/>
        <v>23</v>
      </c>
    </row>
    <row r="4267">
      <c r="A4267" s="10" t="s">
        <v>37</v>
      </c>
      <c r="B4267" s="94">
        <f t="shared" si="5"/>
        <v>45892</v>
      </c>
      <c r="C4267" s="77" t="s">
        <v>1570</v>
      </c>
      <c r="D4267" s="13">
        <f>SUMIFS('Lançamentos de receitas'!$E:$E,'Lançamentos de receitas'!$F:$F,"PAGO",'Lançamentos de receitas'!$C:$C,A4267,'Lançamentos de receitas'!$A:$A,B4267)</f>
        <v>2254.51</v>
      </c>
      <c r="E4267" s="15">
        <f t="shared" si="1"/>
        <v>2025</v>
      </c>
      <c r="F4267" s="15">
        <f t="shared" si="2"/>
        <v>8</v>
      </c>
      <c r="G4267" s="15">
        <f t="shared" si="3"/>
        <v>23</v>
      </c>
    </row>
    <row r="4268">
      <c r="A4268" s="10" t="s">
        <v>37</v>
      </c>
      <c r="B4268" s="94">
        <f t="shared" si="5"/>
        <v>45892</v>
      </c>
      <c r="C4268" s="77" t="s">
        <v>1571</v>
      </c>
      <c r="D4268" s="13">
        <f>SUMIFS('Lançamentos de despesas'!$I:$I,'Lançamentos de despesas'!$G:$G,A4268,'Lançamentos de despesas'!$E:$E,"PAGO",'Lançamentos de despesas'!$C:$C,B4268)</f>
        <v>0</v>
      </c>
      <c r="E4268" s="15">
        <f t="shared" si="1"/>
        <v>2025</v>
      </c>
      <c r="F4268" s="15">
        <f t="shared" si="2"/>
        <v>8</v>
      </c>
      <c r="G4268" s="15">
        <f t="shared" si="3"/>
        <v>23</v>
      </c>
    </row>
    <row r="4269">
      <c r="A4269" s="10" t="s">
        <v>37</v>
      </c>
      <c r="B4269" s="94">
        <f t="shared" si="5"/>
        <v>45892</v>
      </c>
      <c r="C4269" s="77" t="s">
        <v>1572</v>
      </c>
      <c r="D4269" s="13">
        <f>D4266+D4267-D4268</f>
        <v>40825.33</v>
      </c>
      <c r="E4269" s="15">
        <f t="shared" si="1"/>
        <v>2025</v>
      </c>
      <c r="F4269" s="15">
        <f t="shared" si="2"/>
        <v>8</v>
      </c>
      <c r="G4269" s="15">
        <f t="shared" si="3"/>
        <v>23</v>
      </c>
    </row>
    <row r="4270">
      <c r="A4270" s="10" t="s">
        <v>37</v>
      </c>
      <c r="B4270" s="94">
        <f t="shared" si="5"/>
        <v>45893</v>
      </c>
      <c r="C4270" s="77" t="s">
        <v>1569</v>
      </c>
      <c r="D4270" s="13">
        <f>D4269</f>
        <v>40825.33</v>
      </c>
      <c r="E4270" s="15">
        <f t="shared" si="1"/>
        <v>2025</v>
      </c>
      <c r="F4270" s="15">
        <f t="shared" si="2"/>
        <v>8</v>
      </c>
      <c r="G4270" s="15">
        <f t="shared" si="3"/>
        <v>24</v>
      </c>
    </row>
    <row r="4271">
      <c r="A4271" s="10" t="s">
        <v>37</v>
      </c>
      <c r="B4271" s="94">
        <f t="shared" si="5"/>
        <v>45893</v>
      </c>
      <c r="C4271" s="77" t="s">
        <v>1570</v>
      </c>
      <c r="D4271" s="13">
        <f>SUMIFS('Lançamentos de receitas'!$E:$E,'Lançamentos de receitas'!$F:$F,"PAGO",'Lançamentos de receitas'!$C:$C,A4271,'Lançamentos de receitas'!$A:$A,B4271)</f>
        <v>1479.66</v>
      </c>
      <c r="E4271" s="15">
        <f t="shared" si="1"/>
        <v>2025</v>
      </c>
      <c r="F4271" s="15">
        <f t="shared" si="2"/>
        <v>8</v>
      </c>
      <c r="G4271" s="15">
        <f t="shared" si="3"/>
        <v>24</v>
      </c>
    </row>
    <row r="4272">
      <c r="A4272" s="10" t="s">
        <v>37</v>
      </c>
      <c r="B4272" s="94">
        <f t="shared" si="5"/>
        <v>45893</v>
      </c>
      <c r="C4272" s="77" t="s">
        <v>1571</v>
      </c>
      <c r="D4272" s="13">
        <f>SUMIFS('Lançamentos de despesas'!$I:$I,'Lançamentos de despesas'!$G:$G,A4272,'Lançamentos de despesas'!$E:$E,"PAGO",'Lançamentos de despesas'!$C:$C,B4272)</f>
        <v>0</v>
      </c>
      <c r="E4272" s="15">
        <f t="shared" si="1"/>
        <v>2025</v>
      </c>
      <c r="F4272" s="15">
        <f t="shared" si="2"/>
        <v>8</v>
      </c>
      <c r="G4272" s="15">
        <f t="shared" si="3"/>
        <v>24</v>
      </c>
    </row>
    <row r="4273">
      <c r="A4273" s="10" t="s">
        <v>37</v>
      </c>
      <c r="B4273" s="94">
        <f t="shared" si="5"/>
        <v>45893</v>
      </c>
      <c r="C4273" s="77" t="s">
        <v>1572</v>
      </c>
      <c r="D4273" s="13">
        <f>D4270+D4271-D4272</f>
        <v>42304.99</v>
      </c>
      <c r="E4273" s="15">
        <f t="shared" si="1"/>
        <v>2025</v>
      </c>
      <c r="F4273" s="15">
        <f t="shared" si="2"/>
        <v>8</v>
      </c>
      <c r="G4273" s="15">
        <f t="shared" si="3"/>
        <v>24</v>
      </c>
    </row>
    <row r="4274">
      <c r="A4274" s="10" t="s">
        <v>37</v>
      </c>
      <c r="B4274" s="94">
        <f t="shared" si="5"/>
        <v>45894</v>
      </c>
      <c r="C4274" s="77" t="s">
        <v>1569</v>
      </c>
      <c r="D4274" s="13">
        <f>D4273</f>
        <v>42304.99</v>
      </c>
      <c r="E4274" s="15">
        <f t="shared" si="1"/>
        <v>2025</v>
      </c>
      <c r="F4274" s="15">
        <f t="shared" si="2"/>
        <v>8</v>
      </c>
      <c r="G4274" s="15">
        <f t="shared" si="3"/>
        <v>25</v>
      </c>
    </row>
    <row r="4275">
      <c r="A4275" s="10" t="s">
        <v>37</v>
      </c>
      <c r="B4275" s="94">
        <f t="shared" si="5"/>
        <v>45894</v>
      </c>
      <c r="C4275" s="77" t="s">
        <v>1570</v>
      </c>
      <c r="D4275" s="13">
        <f>SUMIFS('Lançamentos de receitas'!$E:$E,'Lançamentos de receitas'!$F:$F,"PAGO",'Lançamentos de receitas'!$C:$C,A4275,'Lançamentos de receitas'!$A:$A,B4275)</f>
        <v>711.79</v>
      </c>
      <c r="E4275" s="15">
        <f t="shared" si="1"/>
        <v>2025</v>
      </c>
      <c r="F4275" s="15">
        <f t="shared" si="2"/>
        <v>8</v>
      </c>
      <c r="G4275" s="15">
        <f t="shared" si="3"/>
        <v>25</v>
      </c>
    </row>
    <row r="4276">
      <c r="A4276" s="10" t="s">
        <v>37</v>
      </c>
      <c r="B4276" s="94">
        <f t="shared" si="5"/>
        <v>45894</v>
      </c>
      <c r="C4276" s="77" t="s">
        <v>1571</v>
      </c>
      <c r="D4276" s="13">
        <f>SUMIFS('Lançamentos de despesas'!$I:$I,'Lançamentos de despesas'!$G:$G,A4276,'Lançamentos de despesas'!$E:$E,"PAGO",'Lançamentos de despesas'!$C:$C,B4276)</f>
        <v>1432.92</v>
      </c>
      <c r="E4276" s="15">
        <f t="shared" si="1"/>
        <v>2025</v>
      </c>
      <c r="F4276" s="15">
        <f t="shared" si="2"/>
        <v>8</v>
      </c>
      <c r="G4276" s="15">
        <f t="shared" si="3"/>
        <v>25</v>
      </c>
    </row>
    <row r="4277">
      <c r="A4277" s="10" t="s">
        <v>37</v>
      </c>
      <c r="B4277" s="94">
        <f t="shared" si="5"/>
        <v>45894</v>
      </c>
      <c r="C4277" s="77" t="s">
        <v>1572</v>
      </c>
      <c r="D4277" s="13">
        <f>D4274+D4275-D4276</f>
        <v>41583.86</v>
      </c>
      <c r="E4277" s="15">
        <f t="shared" si="1"/>
        <v>2025</v>
      </c>
      <c r="F4277" s="15">
        <f t="shared" si="2"/>
        <v>8</v>
      </c>
      <c r="G4277" s="15">
        <f t="shared" si="3"/>
        <v>25</v>
      </c>
    </row>
    <row r="4278">
      <c r="A4278" s="10" t="s">
        <v>37</v>
      </c>
      <c r="B4278" s="94">
        <f t="shared" si="5"/>
        <v>45895</v>
      </c>
      <c r="C4278" s="77" t="s">
        <v>1569</v>
      </c>
      <c r="D4278" s="13">
        <f>D4277</f>
        <v>41583.86</v>
      </c>
      <c r="E4278" s="15">
        <f t="shared" si="1"/>
        <v>2025</v>
      </c>
      <c r="F4278" s="15">
        <f t="shared" si="2"/>
        <v>8</v>
      </c>
      <c r="G4278" s="15">
        <f t="shared" si="3"/>
        <v>26</v>
      </c>
    </row>
    <row r="4279">
      <c r="A4279" s="10" t="s">
        <v>37</v>
      </c>
      <c r="B4279" s="94">
        <f t="shared" si="5"/>
        <v>45895</v>
      </c>
      <c r="C4279" s="77" t="s">
        <v>1570</v>
      </c>
      <c r="D4279" s="13">
        <f>SUMIFS('Lançamentos de receitas'!$E:$E,'Lançamentos de receitas'!$F:$F,"PAGO",'Lançamentos de receitas'!$C:$C,A4279,'Lançamentos de receitas'!$A:$A,B4279)</f>
        <v>2278.44</v>
      </c>
      <c r="E4279" s="15">
        <f t="shared" si="1"/>
        <v>2025</v>
      </c>
      <c r="F4279" s="15">
        <f t="shared" si="2"/>
        <v>8</v>
      </c>
      <c r="G4279" s="15">
        <f t="shared" si="3"/>
        <v>26</v>
      </c>
    </row>
    <row r="4280">
      <c r="A4280" s="10" t="s">
        <v>37</v>
      </c>
      <c r="B4280" s="94">
        <f t="shared" si="5"/>
        <v>45895</v>
      </c>
      <c r="C4280" s="77" t="s">
        <v>1571</v>
      </c>
      <c r="D4280" s="13">
        <f>SUMIFS('Lançamentos de despesas'!$I:$I,'Lançamentos de despesas'!$G:$G,A4280,'Lançamentos de despesas'!$E:$E,"PAGO",'Lançamentos de despesas'!$C:$C,B4280)</f>
        <v>0</v>
      </c>
      <c r="E4280" s="15">
        <f t="shared" si="1"/>
        <v>2025</v>
      </c>
      <c r="F4280" s="15">
        <f t="shared" si="2"/>
        <v>8</v>
      </c>
      <c r="G4280" s="15">
        <f t="shared" si="3"/>
        <v>26</v>
      </c>
    </row>
    <row r="4281">
      <c r="A4281" s="10" t="s">
        <v>37</v>
      </c>
      <c r="B4281" s="94">
        <f t="shared" si="5"/>
        <v>45895</v>
      </c>
      <c r="C4281" s="77" t="s">
        <v>1572</v>
      </c>
      <c r="D4281" s="13">
        <f>D4278+D4279-D4280</f>
        <v>43862.3</v>
      </c>
      <c r="E4281" s="15">
        <f t="shared" si="1"/>
        <v>2025</v>
      </c>
      <c r="F4281" s="15">
        <f t="shared" si="2"/>
        <v>8</v>
      </c>
      <c r="G4281" s="15">
        <f t="shared" si="3"/>
        <v>26</v>
      </c>
    </row>
    <row r="4282">
      <c r="A4282" s="10" t="s">
        <v>37</v>
      </c>
      <c r="B4282" s="94">
        <f t="shared" si="5"/>
        <v>45896</v>
      </c>
      <c r="C4282" s="77" t="s">
        <v>1569</v>
      </c>
      <c r="D4282" s="13">
        <f>D4281</f>
        <v>43862.3</v>
      </c>
      <c r="E4282" s="15">
        <f t="shared" si="1"/>
        <v>2025</v>
      </c>
      <c r="F4282" s="15">
        <f t="shared" si="2"/>
        <v>8</v>
      </c>
      <c r="G4282" s="15">
        <f t="shared" si="3"/>
        <v>27</v>
      </c>
    </row>
    <row r="4283">
      <c r="A4283" s="10" t="s">
        <v>37</v>
      </c>
      <c r="B4283" s="94">
        <f t="shared" si="5"/>
        <v>45896</v>
      </c>
      <c r="C4283" s="77" t="s">
        <v>1570</v>
      </c>
      <c r="D4283" s="13">
        <f>SUMIFS('Lançamentos de receitas'!$E:$E,'Lançamentos de receitas'!$F:$F,"PAGO",'Lançamentos de receitas'!$C:$C,A4283,'Lançamentos de receitas'!$A:$A,B4283)</f>
        <v>1590.44</v>
      </c>
      <c r="E4283" s="15">
        <f t="shared" si="1"/>
        <v>2025</v>
      </c>
      <c r="F4283" s="15">
        <f t="shared" si="2"/>
        <v>8</v>
      </c>
      <c r="G4283" s="15">
        <f t="shared" si="3"/>
        <v>27</v>
      </c>
    </row>
    <row r="4284">
      <c r="A4284" s="10" t="s">
        <v>37</v>
      </c>
      <c r="B4284" s="94">
        <f t="shared" si="5"/>
        <v>45896</v>
      </c>
      <c r="C4284" s="77" t="s">
        <v>1571</v>
      </c>
      <c r="D4284" s="13">
        <f>SUMIFS('Lançamentos de despesas'!$I:$I,'Lançamentos de despesas'!$G:$G,A4284,'Lançamentos de despesas'!$E:$E,"PAGO",'Lançamentos de despesas'!$C:$C,B4284)</f>
        <v>0</v>
      </c>
      <c r="E4284" s="15">
        <f t="shared" si="1"/>
        <v>2025</v>
      </c>
      <c r="F4284" s="15">
        <f t="shared" si="2"/>
        <v>8</v>
      </c>
      <c r="G4284" s="15">
        <f t="shared" si="3"/>
        <v>27</v>
      </c>
    </row>
    <row r="4285">
      <c r="A4285" s="10" t="s">
        <v>37</v>
      </c>
      <c r="B4285" s="94">
        <f t="shared" si="5"/>
        <v>45896</v>
      </c>
      <c r="C4285" s="77" t="s">
        <v>1572</v>
      </c>
      <c r="D4285" s="13">
        <f>D4282+D4283-D4284</f>
        <v>45452.74</v>
      </c>
      <c r="E4285" s="15">
        <f t="shared" si="1"/>
        <v>2025</v>
      </c>
      <c r="F4285" s="15">
        <f t="shared" si="2"/>
        <v>8</v>
      </c>
      <c r="G4285" s="15">
        <f t="shared" si="3"/>
        <v>27</v>
      </c>
    </row>
    <row r="4286">
      <c r="A4286" s="10" t="s">
        <v>37</v>
      </c>
      <c r="B4286" s="94">
        <f t="shared" si="5"/>
        <v>45897</v>
      </c>
      <c r="C4286" s="77" t="s">
        <v>1569</v>
      </c>
      <c r="D4286" s="13">
        <f>D4285</f>
        <v>45452.74</v>
      </c>
      <c r="E4286" s="15">
        <f t="shared" si="1"/>
        <v>2025</v>
      </c>
      <c r="F4286" s="15">
        <f t="shared" si="2"/>
        <v>8</v>
      </c>
      <c r="G4286" s="15">
        <f t="shared" si="3"/>
        <v>28</v>
      </c>
    </row>
    <row r="4287">
      <c r="A4287" s="10" t="s">
        <v>37</v>
      </c>
      <c r="B4287" s="94">
        <f t="shared" si="5"/>
        <v>45897</v>
      </c>
      <c r="C4287" s="77" t="s">
        <v>1570</v>
      </c>
      <c r="D4287" s="13">
        <f>SUMIFS('Lançamentos de receitas'!$E:$E,'Lançamentos de receitas'!$F:$F,"PAGO",'Lançamentos de receitas'!$C:$C,A4287,'Lançamentos de receitas'!$A:$A,B4287)</f>
        <v>1993.55</v>
      </c>
      <c r="E4287" s="15">
        <f t="shared" si="1"/>
        <v>2025</v>
      </c>
      <c r="F4287" s="15">
        <f t="shared" si="2"/>
        <v>8</v>
      </c>
      <c r="G4287" s="15">
        <f t="shared" si="3"/>
        <v>28</v>
      </c>
    </row>
    <row r="4288">
      <c r="A4288" s="10" t="s">
        <v>37</v>
      </c>
      <c r="B4288" s="94">
        <f t="shared" si="5"/>
        <v>45897</v>
      </c>
      <c r="C4288" s="77" t="s">
        <v>1571</v>
      </c>
      <c r="D4288" s="13">
        <f>SUMIFS('Lançamentos de despesas'!$I:$I,'Lançamentos de despesas'!$G:$G,A4288,'Lançamentos de despesas'!$E:$E,"PAGO",'Lançamentos de despesas'!$C:$C,B4288)</f>
        <v>0</v>
      </c>
      <c r="E4288" s="15">
        <f t="shared" si="1"/>
        <v>2025</v>
      </c>
      <c r="F4288" s="15">
        <f t="shared" si="2"/>
        <v>8</v>
      </c>
      <c r="G4288" s="15">
        <f t="shared" si="3"/>
        <v>28</v>
      </c>
    </row>
    <row r="4289">
      <c r="A4289" s="10" t="s">
        <v>37</v>
      </c>
      <c r="B4289" s="94">
        <f t="shared" si="5"/>
        <v>45897</v>
      </c>
      <c r="C4289" s="77" t="s">
        <v>1572</v>
      </c>
      <c r="D4289" s="13">
        <f>D4286+D4287-D4288</f>
        <v>47446.29</v>
      </c>
      <c r="E4289" s="15">
        <f t="shared" si="1"/>
        <v>2025</v>
      </c>
      <c r="F4289" s="15">
        <f t="shared" si="2"/>
        <v>8</v>
      </c>
      <c r="G4289" s="15">
        <f t="shared" si="3"/>
        <v>28</v>
      </c>
    </row>
    <row r="4290">
      <c r="A4290" s="10" t="s">
        <v>37</v>
      </c>
      <c r="B4290" s="94">
        <f t="shared" si="5"/>
        <v>45898</v>
      </c>
      <c r="C4290" s="77" t="s">
        <v>1569</v>
      </c>
      <c r="D4290" s="13">
        <f>D4289</f>
        <v>47446.29</v>
      </c>
      <c r="E4290" s="15">
        <f t="shared" si="1"/>
        <v>2025</v>
      </c>
      <c r="F4290" s="15">
        <f t="shared" si="2"/>
        <v>8</v>
      </c>
      <c r="G4290" s="15">
        <f t="shared" si="3"/>
        <v>29</v>
      </c>
    </row>
    <row r="4291">
      <c r="A4291" s="10" t="s">
        <v>37</v>
      </c>
      <c r="B4291" s="94">
        <f t="shared" si="5"/>
        <v>45898</v>
      </c>
      <c r="C4291" s="77" t="s">
        <v>1570</v>
      </c>
      <c r="D4291" s="13">
        <f>SUMIFS('Lançamentos de receitas'!$E:$E,'Lançamentos de receitas'!$F:$F,"PAGO",'Lançamentos de receitas'!$C:$C,A4291,'Lançamentos de receitas'!$A:$A,B4291)</f>
        <v>1987.02</v>
      </c>
      <c r="E4291" s="15">
        <f t="shared" si="1"/>
        <v>2025</v>
      </c>
      <c r="F4291" s="15">
        <f t="shared" si="2"/>
        <v>8</v>
      </c>
      <c r="G4291" s="15">
        <f t="shared" si="3"/>
        <v>29</v>
      </c>
    </row>
    <row r="4292">
      <c r="A4292" s="10" t="s">
        <v>37</v>
      </c>
      <c r="B4292" s="94">
        <f t="shared" si="5"/>
        <v>45898</v>
      </c>
      <c r="C4292" s="77" t="s">
        <v>1571</v>
      </c>
      <c r="D4292" s="13">
        <f>SUMIFS('Lançamentos de despesas'!$I:$I,'Lançamentos de despesas'!$G:$G,A4292,'Lançamentos de despesas'!$E:$E,"PAGO",'Lançamentos de despesas'!$C:$C,B4292)</f>
        <v>150</v>
      </c>
      <c r="E4292" s="15">
        <f t="shared" si="1"/>
        <v>2025</v>
      </c>
      <c r="F4292" s="15">
        <f t="shared" si="2"/>
        <v>8</v>
      </c>
      <c r="G4292" s="15">
        <f t="shared" si="3"/>
        <v>29</v>
      </c>
    </row>
    <row r="4293">
      <c r="A4293" s="10" t="s">
        <v>37</v>
      </c>
      <c r="B4293" s="94">
        <f t="shared" si="5"/>
        <v>45898</v>
      </c>
      <c r="C4293" s="77" t="s">
        <v>1572</v>
      </c>
      <c r="D4293" s="13">
        <f>D4290+D4291-D4292</f>
        <v>49283.31</v>
      </c>
      <c r="E4293" s="15">
        <f t="shared" si="1"/>
        <v>2025</v>
      </c>
      <c r="F4293" s="15">
        <f t="shared" si="2"/>
        <v>8</v>
      </c>
      <c r="G4293" s="15">
        <f t="shared" si="3"/>
        <v>29</v>
      </c>
    </row>
    <row r="4294">
      <c r="A4294" s="10" t="s">
        <v>37</v>
      </c>
      <c r="B4294" s="94">
        <f t="shared" si="5"/>
        <v>45899</v>
      </c>
      <c r="C4294" s="77" t="s">
        <v>1569</v>
      </c>
      <c r="D4294" s="13">
        <f>D4293</f>
        <v>49283.31</v>
      </c>
      <c r="E4294" s="15">
        <f t="shared" si="1"/>
        <v>2025</v>
      </c>
      <c r="F4294" s="15">
        <f t="shared" si="2"/>
        <v>8</v>
      </c>
      <c r="G4294" s="15">
        <f t="shared" si="3"/>
        <v>30</v>
      </c>
    </row>
    <row r="4295">
      <c r="A4295" s="10" t="s">
        <v>37</v>
      </c>
      <c r="B4295" s="94">
        <f t="shared" si="5"/>
        <v>45899</v>
      </c>
      <c r="C4295" s="77" t="s">
        <v>1570</v>
      </c>
      <c r="D4295" s="13">
        <f>SUMIFS('Lançamentos de receitas'!$E:$E,'Lançamentos de receitas'!$F:$F,"PAGO",'Lançamentos de receitas'!$C:$C,A4295,'Lançamentos de receitas'!$A:$A,B4295)</f>
        <v>3566.99</v>
      </c>
      <c r="E4295" s="15">
        <f t="shared" si="1"/>
        <v>2025</v>
      </c>
      <c r="F4295" s="15">
        <f t="shared" si="2"/>
        <v>8</v>
      </c>
      <c r="G4295" s="15">
        <f t="shared" si="3"/>
        <v>30</v>
      </c>
    </row>
    <row r="4296">
      <c r="A4296" s="10" t="s">
        <v>37</v>
      </c>
      <c r="B4296" s="94">
        <f t="shared" si="5"/>
        <v>45899</v>
      </c>
      <c r="C4296" s="77" t="s">
        <v>1571</v>
      </c>
      <c r="D4296" s="13">
        <f>SUMIFS('Lançamentos de despesas'!$I:$I,'Lançamentos de despesas'!$G:$G,A4296,'Lançamentos de despesas'!$E:$E,"PAGO",'Lançamentos de despesas'!$C:$C,B4296)</f>
        <v>0</v>
      </c>
      <c r="E4296" s="15">
        <f t="shared" si="1"/>
        <v>2025</v>
      </c>
      <c r="F4296" s="15">
        <f t="shared" si="2"/>
        <v>8</v>
      </c>
      <c r="G4296" s="15">
        <f t="shared" si="3"/>
        <v>30</v>
      </c>
    </row>
    <row r="4297">
      <c r="A4297" s="10" t="s">
        <v>37</v>
      </c>
      <c r="B4297" s="94">
        <f t="shared" si="5"/>
        <v>45899</v>
      </c>
      <c r="C4297" s="77" t="s">
        <v>1572</v>
      </c>
      <c r="D4297" s="13">
        <f>D4294+D4295-D4296</f>
        <v>52850.3</v>
      </c>
      <c r="E4297" s="15">
        <f t="shared" si="1"/>
        <v>2025</v>
      </c>
      <c r="F4297" s="15">
        <f t="shared" si="2"/>
        <v>8</v>
      </c>
      <c r="G4297" s="15">
        <f t="shared" si="3"/>
        <v>30</v>
      </c>
    </row>
    <row r="4298">
      <c r="A4298" s="10" t="s">
        <v>37</v>
      </c>
      <c r="B4298" s="94">
        <f t="shared" si="5"/>
        <v>45900</v>
      </c>
      <c r="C4298" s="77" t="s">
        <v>1569</v>
      </c>
      <c r="D4298" s="13">
        <f>D4297</f>
        <v>52850.3</v>
      </c>
      <c r="E4298" s="15">
        <f t="shared" si="1"/>
        <v>2025</v>
      </c>
      <c r="F4298" s="15">
        <f t="shared" si="2"/>
        <v>8</v>
      </c>
      <c r="G4298" s="15">
        <f t="shared" si="3"/>
        <v>31</v>
      </c>
    </row>
    <row r="4299">
      <c r="A4299" s="10" t="s">
        <v>37</v>
      </c>
      <c r="B4299" s="94">
        <f t="shared" si="5"/>
        <v>45900</v>
      </c>
      <c r="C4299" s="77" t="s">
        <v>1570</v>
      </c>
      <c r="D4299" s="13">
        <f>SUMIFS('Lançamentos de receitas'!$E:$E,'Lançamentos de receitas'!$F:$F,"PAGO",'Lançamentos de receitas'!$C:$C,A4299,'Lançamentos de receitas'!$A:$A,B4299)</f>
        <v>0</v>
      </c>
      <c r="E4299" s="15">
        <f t="shared" si="1"/>
        <v>2025</v>
      </c>
      <c r="F4299" s="15">
        <f t="shared" si="2"/>
        <v>8</v>
      </c>
      <c r="G4299" s="15">
        <f t="shared" si="3"/>
        <v>31</v>
      </c>
    </row>
    <row r="4300">
      <c r="A4300" s="10" t="s">
        <v>37</v>
      </c>
      <c r="B4300" s="94">
        <f t="shared" si="5"/>
        <v>45900</v>
      </c>
      <c r="C4300" s="77" t="s">
        <v>1571</v>
      </c>
      <c r="D4300" s="13">
        <f>SUMIFS('Lançamentos de despesas'!$I:$I,'Lançamentos de despesas'!$G:$G,A4300,'Lançamentos de despesas'!$E:$E,"PAGO",'Lançamentos de despesas'!$C:$C,B4300)</f>
        <v>0</v>
      </c>
      <c r="E4300" s="15">
        <f t="shared" si="1"/>
        <v>2025</v>
      </c>
      <c r="F4300" s="15">
        <f t="shared" si="2"/>
        <v>8</v>
      </c>
      <c r="G4300" s="15">
        <f t="shared" si="3"/>
        <v>31</v>
      </c>
    </row>
    <row r="4301">
      <c r="A4301" s="10" t="s">
        <v>37</v>
      </c>
      <c r="B4301" s="94">
        <f t="shared" si="5"/>
        <v>45900</v>
      </c>
      <c r="C4301" s="77" t="s">
        <v>1572</v>
      </c>
      <c r="D4301" s="13">
        <f>D4298+D4299-D4300</f>
        <v>52850.3</v>
      </c>
      <c r="E4301" s="15">
        <f t="shared" si="1"/>
        <v>2025</v>
      </c>
      <c r="F4301" s="15">
        <f t="shared" si="2"/>
        <v>8</v>
      </c>
      <c r="G4301" s="15">
        <f t="shared" si="3"/>
        <v>31</v>
      </c>
    </row>
    <row r="4302">
      <c r="A4302" s="10" t="s">
        <v>37</v>
      </c>
      <c r="B4302" s="94">
        <f t="shared" si="5"/>
        <v>45901</v>
      </c>
      <c r="C4302" s="77" t="s">
        <v>1569</v>
      </c>
      <c r="D4302" s="13">
        <f>D4301</f>
        <v>52850.3</v>
      </c>
      <c r="E4302" s="15">
        <f t="shared" si="1"/>
        <v>2025</v>
      </c>
      <c r="F4302" s="15">
        <f t="shared" si="2"/>
        <v>9</v>
      </c>
      <c r="G4302" s="15">
        <f t="shared" si="3"/>
        <v>1</v>
      </c>
    </row>
    <row r="4303">
      <c r="A4303" s="10" t="s">
        <v>37</v>
      </c>
      <c r="B4303" s="94">
        <f t="shared" si="5"/>
        <v>45901</v>
      </c>
      <c r="C4303" s="77" t="s">
        <v>1570</v>
      </c>
      <c r="D4303" s="13">
        <f>SUMIFS('Lançamentos de receitas'!$E:$E,'Lançamentos de receitas'!$F:$F,"PAGO",'Lançamentos de receitas'!$C:$C,A4303,'Lançamentos de receitas'!$A:$A,B4303)</f>
        <v>0</v>
      </c>
      <c r="E4303" s="15">
        <f t="shared" si="1"/>
        <v>2025</v>
      </c>
      <c r="F4303" s="15">
        <f t="shared" si="2"/>
        <v>9</v>
      </c>
      <c r="G4303" s="15">
        <f t="shared" si="3"/>
        <v>1</v>
      </c>
    </row>
    <row r="4304">
      <c r="A4304" s="10" t="s">
        <v>37</v>
      </c>
      <c r="B4304" s="94">
        <f t="shared" si="5"/>
        <v>45901</v>
      </c>
      <c r="C4304" s="77" t="s">
        <v>1571</v>
      </c>
      <c r="D4304" s="13">
        <f>SUMIFS('Lançamentos de despesas'!$I:$I,'Lançamentos de despesas'!$G:$G,A4304,'Lançamentos de despesas'!$E:$E,"PAGO",'Lançamentos de despesas'!$C:$C,B4304)</f>
        <v>6530.06</v>
      </c>
      <c r="E4304" s="15">
        <f t="shared" si="1"/>
        <v>2025</v>
      </c>
      <c r="F4304" s="15">
        <f t="shared" si="2"/>
        <v>9</v>
      </c>
      <c r="G4304" s="15">
        <f t="shared" si="3"/>
        <v>1</v>
      </c>
    </row>
    <row r="4305">
      <c r="A4305" s="10" t="s">
        <v>37</v>
      </c>
      <c r="B4305" s="94">
        <f t="shared" si="5"/>
        <v>45901</v>
      </c>
      <c r="C4305" s="77" t="s">
        <v>1572</v>
      </c>
      <c r="D4305" s="13">
        <f>D4302+D4303-D4304</f>
        <v>46320.24</v>
      </c>
      <c r="E4305" s="15">
        <f t="shared" si="1"/>
        <v>2025</v>
      </c>
      <c r="F4305" s="15">
        <f t="shared" si="2"/>
        <v>9</v>
      </c>
      <c r="G4305" s="15">
        <f t="shared" si="3"/>
        <v>1</v>
      </c>
    </row>
    <row r="4306">
      <c r="A4306" s="10" t="s">
        <v>37</v>
      </c>
      <c r="B4306" s="94">
        <f t="shared" si="5"/>
        <v>45902</v>
      </c>
      <c r="C4306" s="77" t="s">
        <v>1569</v>
      </c>
      <c r="D4306" s="13">
        <f>D4305</f>
        <v>46320.24</v>
      </c>
      <c r="E4306" s="15">
        <f t="shared" si="1"/>
        <v>2025</v>
      </c>
      <c r="F4306" s="15">
        <f t="shared" si="2"/>
        <v>9</v>
      </c>
      <c r="G4306" s="15">
        <f t="shared" si="3"/>
        <v>2</v>
      </c>
    </row>
    <row r="4307">
      <c r="A4307" s="10" t="s">
        <v>37</v>
      </c>
      <c r="B4307" s="94">
        <f t="shared" si="5"/>
        <v>45902</v>
      </c>
      <c r="C4307" s="77" t="s">
        <v>1570</v>
      </c>
      <c r="D4307" s="13">
        <f>SUMIFS('Lançamentos de receitas'!$E:$E,'Lançamentos de receitas'!$F:$F,"PAGO",'Lançamentos de receitas'!$C:$C,A4307,'Lançamentos de receitas'!$A:$A,B4307)</f>
        <v>1961.92</v>
      </c>
      <c r="E4307" s="15">
        <f t="shared" si="1"/>
        <v>2025</v>
      </c>
      <c r="F4307" s="15">
        <f t="shared" si="2"/>
        <v>9</v>
      </c>
      <c r="G4307" s="15">
        <f t="shared" si="3"/>
        <v>2</v>
      </c>
    </row>
    <row r="4308">
      <c r="A4308" s="10" t="s">
        <v>37</v>
      </c>
      <c r="B4308" s="94">
        <f t="shared" si="5"/>
        <v>45902</v>
      </c>
      <c r="C4308" s="77" t="s">
        <v>1571</v>
      </c>
      <c r="D4308" s="13">
        <f>SUMIFS('Lançamentos de despesas'!$I:$I,'Lançamentos de despesas'!$G:$G,A4308,'Lançamentos de despesas'!$E:$E,"PAGO",'Lançamentos de despesas'!$C:$C,B4308)</f>
        <v>2040</v>
      </c>
      <c r="E4308" s="15">
        <f t="shared" si="1"/>
        <v>2025</v>
      </c>
      <c r="F4308" s="15">
        <f t="shared" si="2"/>
        <v>9</v>
      </c>
      <c r="G4308" s="15">
        <f t="shared" si="3"/>
        <v>2</v>
      </c>
    </row>
    <row r="4309">
      <c r="A4309" s="10" t="s">
        <v>37</v>
      </c>
      <c r="B4309" s="94">
        <f t="shared" si="5"/>
        <v>45902</v>
      </c>
      <c r="C4309" s="77" t="s">
        <v>1572</v>
      </c>
      <c r="D4309" s="13">
        <f>D4306+D4307-D4308</f>
        <v>46242.16</v>
      </c>
      <c r="E4309" s="15">
        <f t="shared" si="1"/>
        <v>2025</v>
      </c>
      <c r="F4309" s="15">
        <f t="shared" si="2"/>
        <v>9</v>
      </c>
      <c r="G4309" s="15">
        <f t="shared" si="3"/>
        <v>2</v>
      </c>
    </row>
    <row r="4310">
      <c r="A4310" s="10" t="s">
        <v>37</v>
      </c>
      <c r="B4310" s="94">
        <f t="shared" si="5"/>
        <v>45903</v>
      </c>
      <c r="C4310" s="77" t="s">
        <v>1569</v>
      </c>
      <c r="D4310" s="13">
        <f>D4309</f>
        <v>46242.16</v>
      </c>
      <c r="E4310" s="15">
        <f t="shared" si="1"/>
        <v>2025</v>
      </c>
      <c r="F4310" s="15">
        <f t="shared" si="2"/>
        <v>9</v>
      </c>
      <c r="G4310" s="15">
        <f t="shared" si="3"/>
        <v>3</v>
      </c>
    </row>
    <row r="4311">
      <c r="A4311" s="10" t="s">
        <v>37</v>
      </c>
      <c r="B4311" s="94">
        <f t="shared" si="5"/>
        <v>45903</v>
      </c>
      <c r="C4311" s="77" t="s">
        <v>1570</v>
      </c>
      <c r="D4311" s="13">
        <f>SUMIFS('Lançamentos de receitas'!$E:$E,'Lançamentos de receitas'!$F:$F,"PAGO",'Lançamentos de receitas'!$C:$C,A4311,'Lançamentos de receitas'!$A:$A,B4311)</f>
        <v>1779.44</v>
      </c>
      <c r="E4311" s="15">
        <f t="shared" si="1"/>
        <v>2025</v>
      </c>
      <c r="F4311" s="15">
        <f t="shared" si="2"/>
        <v>9</v>
      </c>
      <c r="G4311" s="15">
        <f t="shared" si="3"/>
        <v>3</v>
      </c>
    </row>
    <row r="4312">
      <c r="A4312" s="10" t="s">
        <v>37</v>
      </c>
      <c r="B4312" s="94">
        <f t="shared" si="5"/>
        <v>45903</v>
      </c>
      <c r="C4312" s="77" t="s">
        <v>1571</v>
      </c>
      <c r="D4312" s="13">
        <f>SUMIFS('Lançamentos de despesas'!$I:$I,'Lançamentos de despesas'!$G:$G,A4312,'Lançamentos de despesas'!$E:$E,"PAGO",'Lançamentos de despesas'!$C:$C,B4312)</f>
        <v>0</v>
      </c>
      <c r="E4312" s="15">
        <f t="shared" si="1"/>
        <v>2025</v>
      </c>
      <c r="F4312" s="15">
        <f t="shared" si="2"/>
        <v>9</v>
      </c>
      <c r="G4312" s="15">
        <f t="shared" si="3"/>
        <v>3</v>
      </c>
    </row>
    <row r="4313">
      <c r="A4313" s="10" t="s">
        <v>37</v>
      </c>
      <c r="B4313" s="94">
        <f t="shared" si="5"/>
        <v>45903</v>
      </c>
      <c r="C4313" s="77" t="s">
        <v>1572</v>
      </c>
      <c r="D4313" s="13">
        <f>D4310+D4311-D4312</f>
        <v>48021.6</v>
      </c>
      <c r="E4313" s="15">
        <f t="shared" si="1"/>
        <v>2025</v>
      </c>
      <c r="F4313" s="15">
        <f t="shared" si="2"/>
        <v>9</v>
      </c>
      <c r="G4313" s="15">
        <f t="shared" si="3"/>
        <v>3</v>
      </c>
    </row>
    <row r="4314">
      <c r="A4314" s="10" t="s">
        <v>37</v>
      </c>
      <c r="B4314" s="94">
        <f t="shared" si="5"/>
        <v>45904</v>
      </c>
      <c r="C4314" s="77" t="s">
        <v>1569</v>
      </c>
      <c r="D4314" s="13">
        <f>D4313</f>
        <v>48021.6</v>
      </c>
      <c r="E4314" s="15">
        <f t="shared" si="1"/>
        <v>2025</v>
      </c>
      <c r="F4314" s="15">
        <f t="shared" si="2"/>
        <v>9</v>
      </c>
      <c r="G4314" s="15">
        <f t="shared" si="3"/>
        <v>4</v>
      </c>
    </row>
    <row r="4315">
      <c r="A4315" s="10" t="s">
        <v>37</v>
      </c>
      <c r="B4315" s="94">
        <f t="shared" si="5"/>
        <v>45904</v>
      </c>
      <c r="C4315" s="77" t="s">
        <v>1570</v>
      </c>
      <c r="D4315" s="13">
        <f>SUMIFS('Lançamentos de receitas'!$E:$E,'Lançamentos de receitas'!$F:$F,"PAGO",'Lançamentos de receitas'!$C:$C,A4315,'Lançamentos de receitas'!$A:$A,B4315)</f>
        <v>3001.87</v>
      </c>
      <c r="E4315" s="15">
        <f t="shared" si="1"/>
        <v>2025</v>
      </c>
      <c r="F4315" s="15">
        <f t="shared" si="2"/>
        <v>9</v>
      </c>
      <c r="G4315" s="15">
        <f t="shared" si="3"/>
        <v>4</v>
      </c>
    </row>
    <row r="4316">
      <c r="A4316" s="10" t="s">
        <v>37</v>
      </c>
      <c r="B4316" s="94">
        <f t="shared" si="5"/>
        <v>45904</v>
      </c>
      <c r="C4316" s="77" t="s">
        <v>1571</v>
      </c>
      <c r="D4316" s="13">
        <f>SUMIFS('Lançamentos de despesas'!$I:$I,'Lançamentos de despesas'!$G:$G,A4316,'Lançamentos de despesas'!$E:$E,"PAGO",'Lançamentos de despesas'!$C:$C,B4316)</f>
        <v>0</v>
      </c>
      <c r="E4316" s="15">
        <f t="shared" si="1"/>
        <v>2025</v>
      </c>
      <c r="F4316" s="15">
        <f t="shared" si="2"/>
        <v>9</v>
      </c>
      <c r="G4316" s="15">
        <f t="shared" si="3"/>
        <v>4</v>
      </c>
    </row>
    <row r="4317">
      <c r="A4317" s="10" t="s">
        <v>37</v>
      </c>
      <c r="B4317" s="94">
        <f t="shared" si="5"/>
        <v>45904</v>
      </c>
      <c r="C4317" s="77" t="s">
        <v>1572</v>
      </c>
      <c r="D4317" s="13">
        <f>D4314+D4315-D4316</f>
        <v>51023.47</v>
      </c>
      <c r="E4317" s="15">
        <f t="shared" si="1"/>
        <v>2025</v>
      </c>
      <c r="F4317" s="15">
        <f t="shared" si="2"/>
        <v>9</v>
      </c>
      <c r="G4317" s="15">
        <f t="shared" si="3"/>
        <v>4</v>
      </c>
    </row>
    <row r="4318">
      <c r="A4318" s="10" t="s">
        <v>37</v>
      </c>
      <c r="B4318" s="94">
        <f t="shared" si="5"/>
        <v>45905</v>
      </c>
      <c r="C4318" s="77" t="s">
        <v>1569</v>
      </c>
      <c r="D4318" s="13">
        <f>D4317</f>
        <v>51023.47</v>
      </c>
      <c r="E4318" s="15">
        <f t="shared" si="1"/>
        <v>2025</v>
      </c>
      <c r="F4318" s="15">
        <f t="shared" si="2"/>
        <v>9</v>
      </c>
      <c r="G4318" s="15">
        <f t="shared" si="3"/>
        <v>5</v>
      </c>
    </row>
    <row r="4319">
      <c r="A4319" s="10" t="s">
        <v>37</v>
      </c>
      <c r="B4319" s="94">
        <f t="shared" si="5"/>
        <v>45905</v>
      </c>
      <c r="C4319" s="77" t="s">
        <v>1570</v>
      </c>
      <c r="D4319" s="13">
        <f>SUMIFS('Lançamentos de receitas'!$E:$E,'Lançamentos de receitas'!$F:$F,"PAGO",'Lançamentos de receitas'!$C:$C,A4319,'Lançamentos de receitas'!$A:$A,B4319)</f>
        <v>1987.83</v>
      </c>
      <c r="E4319" s="15">
        <f t="shared" si="1"/>
        <v>2025</v>
      </c>
      <c r="F4319" s="15">
        <f t="shared" si="2"/>
        <v>9</v>
      </c>
      <c r="G4319" s="15">
        <f t="shared" si="3"/>
        <v>5</v>
      </c>
    </row>
    <row r="4320">
      <c r="A4320" s="10" t="s">
        <v>37</v>
      </c>
      <c r="B4320" s="94">
        <f t="shared" si="5"/>
        <v>45905</v>
      </c>
      <c r="C4320" s="77" t="s">
        <v>1571</v>
      </c>
      <c r="D4320" s="13">
        <f>SUMIFS('Lançamentos de despesas'!$I:$I,'Lançamentos de despesas'!$G:$G,A4320,'Lançamentos de despesas'!$E:$E,"PAGO",'Lançamentos de despesas'!$C:$C,B4320)</f>
        <v>0</v>
      </c>
      <c r="E4320" s="15">
        <f t="shared" si="1"/>
        <v>2025</v>
      </c>
      <c r="F4320" s="15">
        <f t="shared" si="2"/>
        <v>9</v>
      </c>
      <c r="G4320" s="15">
        <f t="shared" si="3"/>
        <v>5</v>
      </c>
    </row>
    <row r="4321">
      <c r="A4321" s="10" t="s">
        <v>37</v>
      </c>
      <c r="B4321" s="94">
        <f t="shared" si="5"/>
        <v>45905</v>
      </c>
      <c r="C4321" s="77" t="s">
        <v>1572</v>
      </c>
      <c r="D4321" s="13">
        <f>D4318+D4319-D4320</f>
        <v>53011.3</v>
      </c>
      <c r="E4321" s="15">
        <f t="shared" si="1"/>
        <v>2025</v>
      </c>
      <c r="F4321" s="15">
        <f t="shared" si="2"/>
        <v>9</v>
      </c>
      <c r="G4321" s="15">
        <f t="shared" si="3"/>
        <v>5</v>
      </c>
    </row>
    <row r="4322">
      <c r="A4322" s="10" t="s">
        <v>37</v>
      </c>
      <c r="B4322" s="94">
        <f t="shared" si="5"/>
        <v>45906</v>
      </c>
      <c r="C4322" s="77" t="s">
        <v>1569</v>
      </c>
      <c r="D4322" s="13">
        <f>D4321</f>
        <v>53011.3</v>
      </c>
      <c r="E4322" s="15">
        <f t="shared" si="1"/>
        <v>2025</v>
      </c>
      <c r="F4322" s="15">
        <f t="shared" si="2"/>
        <v>9</v>
      </c>
      <c r="G4322" s="15">
        <f t="shared" si="3"/>
        <v>6</v>
      </c>
    </row>
    <row r="4323">
      <c r="A4323" s="10" t="s">
        <v>37</v>
      </c>
      <c r="B4323" s="94">
        <f t="shared" si="5"/>
        <v>45906</v>
      </c>
      <c r="C4323" s="77" t="s">
        <v>1570</v>
      </c>
      <c r="D4323" s="13">
        <f>SUMIFS('Lançamentos de receitas'!$E:$E,'Lançamentos de receitas'!$F:$F,"PAGO",'Lançamentos de receitas'!$C:$C,A4323,'Lançamentos de receitas'!$A:$A,B4323)</f>
        <v>2010.23</v>
      </c>
      <c r="E4323" s="15">
        <f t="shared" si="1"/>
        <v>2025</v>
      </c>
      <c r="F4323" s="15">
        <f t="shared" si="2"/>
        <v>9</v>
      </c>
      <c r="G4323" s="15">
        <f t="shared" si="3"/>
        <v>6</v>
      </c>
    </row>
    <row r="4324">
      <c r="A4324" s="10" t="s">
        <v>37</v>
      </c>
      <c r="B4324" s="94">
        <f t="shared" si="5"/>
        <v>45906</v>
      </c>
      <c r="C4324" s="77" t="s">
        <v>1571</v>
      </c>
      <c r="D4324" s="13">
        <f>SUMIFS('Lançamentos de despesas'!$I:$I,'Lançamentos de despesas'!$G:$G,A4324,'Lançamentos de despesas'!$E:$E,"PAGO",'Lançamentos de despesas'!$C:$C,B4324)</f>
        <v>0</v>
      </c>
      <c r="E4324" s="15">
        <f t="shared" si="1"/>
        <v>2025</v>
      </c>
      <c r="F4324" s="15">
        <f t="shared" si="2"/>
        <v>9</v>
      </c>
      <c r="G4324" s="15">
        <f t="shared" si="3"/>
        <v>6</v>
      </c>
    </row>
    <row r="4325">
      <c r="A4325" s="10" t="s">
        <v>37</v>
      </c>
      <c r="B4325" s="94">
        <f t="shared" si="5"/>
        <v>45906</v>
      </c>
      <c r="C4325" s="77" t="s">
        <v>1572</v>
      </c>
      <c r="D4325" s="13">
        <f>D4322+D4323-D4324</f>
        <v>55021.53</v>
      </c>
      <c r="E4325" s="15">
        <f t="shared" si="1"/>
        <v>2025</v>
      </c>
      <c r="F4325" s="15">
        <f t="shared" si="2"/>
        <v>9</v>
      </c>
      <c r="G4325" s="15">
        <f t="shared" si="3"/>
        <v>6</v>
      </c>
    </row>
    <row r="4326">
      <c r="A4326" s="10" t="s">
        <v>37</v>
      </c>
      <c r="B4326" s="94">
        <f t="shared" si="5"/>
        <v>45907</v>
      </c>
      <c r="C4326" s="77" t="s">
        <v>1569</v>
      </c>
      <c r="D4326" s="13">
        <f>D4325</f>
        <v>55021.53</v>
      </c>
      <c r="E4326" s="15">
        <f t="shared" si="1"/>
        <v>2025</v>
      </c>
      <c r="F4326" s="15">
        <f t="shared" si="2"/>
        <v>9</v>
      </c>
      <c r="G4326" s="15">
        <f t="shared" si="3"/>
        <v>7</v>
      </c>
    </row>
    <row r="4327">
      <c r="A4327" s="10" t="s">
        <v>37</v>
      </c>
      <c r="B4327" s="94">
        <f t="shared" si="5"/>
        <v>45907</v>
      </c>
      <c r="C4327" s="77" t="s">
        <v>1570</v>
      </c>
      <c r="D4327" s="13">
        <f>SUMIFS('Lançamentos de receitas'!$E:$E,'Lançamentos de receitas'!$F:$F,"PAGO",'Lançamentos de receitas'!$C:$C,A4327,'Lançamentos de receitas'!$A:$A,B4327)</f>
        <v>1919.91</v>
      </c>
      <c r="E4327" s="15">
        <f t="shared" si="1"/>
        <v>2025</v>
      </c>
      <c r="F4327" s="15">
        <f t="shared" si="2"/>
        <v>9</v>
      </c>
      <c r="G4327" s="15">
        <f t="shared" si="3"/>
        <v>7</v>
      </c>
    </row>
    <row r="4328">
      <c r="A4328" s="10" t="s">
        <v>37</v>
      </c>
      <c r="B4328" s="94">
        <f t="shared" si="5"/>
        <v>45907</v>
      </c>
      <c r="C4328" s="77" t="s">
        <v>1571</v>
      </c>
      <c r="D4328" s="13">
        <f>SUMIFS('Lançamentos de despesas'!$I:$I,'Lançamentos de despesas'!$G:$G,A4328,'Lançamentos de despesas'!$E:$E,"PAGO",'Lançamentos de despesas'!$C:$C,B4328)</f>
        <v>0</v>
      </c>
      <c r="E4328" s="15">
        <f t="shared" si="1"/>
        <v>2025</v>
      </c>
      <c r="F4328" s="15">
        <f t="shared" si="2"/>
        <v>9</v>
      </c>
      <c r="G4328" s="15">
        <f t="shared" si="3"/>
        <v>7</v>
      </c>
    </row>
    <row r="4329">
      <c r="A4329" s="10" t="s">
        <v>37</v>
      </c>
      <c r="B4329" s="94">
        <f t="shared" si="5"/>
        <v>45907</v>
      </c>
      <c r="C4329" s="77" t="s">
        <v>1572</v>
      </c>
      <c r="D4329" s="13">
        <f>D4326+D4327-D4328</f>
        <v>56941.44</v>
      </c>
      <c r="E4329" s="15">
        <f t="shared" si="1"/>
        <v>2025</v>
      </c>
      <c r="F4329" s="15">
        <f t="shared" si="2"/>
        <v>9</v>
      </c>
      <c r="G4329" s="15">
        <f t="shared" si="3"/>
        <v>7</v>
      </c>
    </row>
    <row r="4330">
      <c r="A4330" s="10" t="s">
        <v>37</v>
      </c>
      <c r="B4330" s="94">
        <f t="shared" si="5"/>
        <v>45908</v>
      </c>
      <c r="C4330" s="77" t="s">
        <v>1569</v>
      </c>
      <c r="D4330" s="13">
        <f>D4329</f>
        <v>56941.44</v>
      </c>
      <c r="E4330" s="15">
        <f t="shared" si="1"/>
        <v>2025</v>
      </c>
      <c r="F4330" s="15">
        <f t="shared" si="2"/>
        <v>9</v>
      </c>
      <c r="G4330" s="15">
        <f t="shared" si="3"/>
        <v>8</v>
      </c>
    </row>
    <row r="4331">
      <c r="A4331" s="10" t="s">
        <v>37</v>
      </c>
      <c r="B4331" s="94">
        <f t="shared" si="5"/>
        <v>45908</v>
      </c>
      <c r="C4331" s="77" t="s">
        <v>1570</v>
      </c>
      <c r="D4331" s="13">
        <f>SUMIFS('Lançamentos de receitas'!$E:$E,'Lançamentos de receitas'!$F:$F,"PAGO",'Lançamentos de receitas'!$C:$C,A4331,'Lançamentos de receitas'!$A:$A,B4331)</f>
        <v>206.74</v>
      </c>
      <c r="E4331" s="15">
        <f t="shared" si="1"/>
        <v>2025</v>
      </c>
      <c r="F4331" s="15">
        <f t="shared" si="2"/>
        <v>9</v>
      </c>
      <c r="G4331" s="15">
        <f t="shared" si="3"/>
        <v>8</v>
      </c>
    </row>
    <row r="4332">
      <c r="A4332" s="10" t="s">
        <v>37</v>
      </c>
      <c r="B4332" s="94">
        <f t="shared" si="5"/>
        <v>45908</v>
      </c>
      <c r="C4332" s="77" t="s">
        <v>1571</v>
      </c>
      <c r="D4332" s="13">
        <f>SUMIFS('Lançamentos de despesas'!$I:$I,'Lançamentos de despesas'!$G:$G,A4332,'Lançamentos de despesas'!$E:$E,"PAGO",'Lançamentos de despesas'!$C:$C,B4332)</f>
        <v>2569.31</v>
      </c>
      <c r="E4332" s="15">
        <f t="shared" si="1"/>
        <v>2025</v>
      </c>
      <c r="F4332" s="15">
        <f t="shared" si="2"/>
        <v>9</v>
      </c>
      <c r="G4332" s="15">
        <f t="shared" si="3"/>
        <v>8</v>
      </c>
    </row>
    <row r="4333">
      <c r="A4333" s="10" t="s">
        <v>37</v>
      </c>
      <c r="B4333" s="94">
        <f t="shared" si="5"/>
        <v>45908</v>
      </c>
      <c r="C4333" s="77" t="s">
        <v>1572</v>
      </c>
      <c r="D4333" s="13">
        <f>D4330+D4331-D4332</f>
        <v>54578.87</v>
      </c>
      <c r="E4333" s="15">
        <f t="shared" si="1"/>
        <v>2025</v>
      </c>
      <c r="F4333" s="15">
        <f t="shared" si="2"/>
        <v>9</v>
      </c>
      <c r="G4333" s="15">
        <f t="shared" si="3"/>
        <v>8</v>
      </c>
    </row>
    <row r="4334">
      <c r="A4334" s="10" t="s">
        <v>37</v>
      </c>
      <c r="B4334" s="94">
        <f t="shared" si="5"/>
        <v>45909</v>
      </c>
      <c r="C4334" s="77" t="s">
        <v>1569</v>
      </c>
      <c r="D4334" s="13">
        <f>D4333</f>
        <v>54578.87</v>
      </c>
      <c r="E4334" s="15">
        <f t="shared" si="1"/>
        <v>2025</v>
      </c>
      <c r="F4334" s="15">
        <f t="shared" si="2"/>
        <v>9</v>
      </c>
      <c r="G4334" s="15">
        <f t="shared" si="3"/>
        <v>9</v>
      </c>
    </row>
    <row r="4335">
      <c r="A4335" s="10" t="s">
        <v>37</v>
      </c>
      <c r="B4335" s="94">
        <f t="shared" si="5"/>
        <v>45909</v>
      </c>
      <c r="C4335" s="77" t="s">
        <v>1570</v>
      </c>
      <c r="D4335" s="13">
        <f>SUMIFS('Lançamentos de receitas'!$E:$E,'Lançamentos de receitas'!$F:$F,"PAGO",'Lançamentos de receitas'!$C:$C,A4335,'Lançamentos de receitas'!$A:$A,B4335)</f>
        <v>1579.52</v>
      </c>
      <c r="E4335" s="15">
        <f t="shared" si="1"/>
        <v>2025</v>
      </c>
      <c r="F4335" s="15">
        <f t="shared" si="2"/>
        <v>9</v>
      </c>
      <c r="G4335" s="15">
        <f t="shared" si="3"/>
        <v>9</v>
      </c>
    </row>
    <row r="4336">
      <c r="A4336" s="10" t="s">
        <v>37</v>
      </c>
      <c r="B4336" s="94">
        <f t="shared" si="5"/>
        <v>45909</v>
      </c>
      <c r="C4336" s="77" t="s">
        <v>1571</v>
      </c>
      <c r="D4336" s="13">
        <f>SUMIFS('Lançamentos de despesas'!$I:$I,'Lançamentos de despesas'!$G:$G,A4336,'Lançamentos de despesas'!$E:$E,"PAGO",'Lançamentos de despesas'!$C:$C,B4336)</f>
        <v>0</v>
      </c>
      <c r="E4336" s="15">
        <f t="shared" si="1"/>
        <v>2025</v>
      </c>
      <c r="F4336" s="15">
        <f t="shared" si="2"/>
        <v>9</v>
      </c>
      <c r="G4336" s="15">
        <f t="shared" si="3"/>
        <v>9</v>
      </c>
    </row>
    <row r="4337">
      <c r="A4337" s="10" t="s">
        <v>37</v>
      </c>
      <c r="B4337" s="94">
        <f t="shared" si="5"/>
        <v>45909</v>
      </c>
      <c r="C4337" s="77" t="s">
        <v>1572</v>
      </c>
      <c r="D4337" s="13">
        <f>D4334+D4335-D4336</f>
        <v>56158.39</v>
      </c>
      <c r="E4337" s="15">
        <f t="shared" si="1"/>
        <v>2025</v>
      </c>
      <c r="F4337" s="15">
        <f t="shared" si="2"/>
        <v>9</v>
      </c>
      <c r="G4337" s="15">
        <f t="shared" si="3"/>
        <v>9</v>
      </c>
    </row>
    <row r="4338">
      <c r="A4338" s="10" t="s">
        <v>37</v>
      </c>
      <c r="B4338" s="94">
        <f t="shared" si="5"/>
        <v>45910</v>
      </c>
      <c r="C4338" s="77" t="s">
        <v>1569</v>
      </c>
      <c r="D4338" s="13">
        <f>D4337</f>
        <v>56158.39</v>
      </c>
      <c r="E4338" s="15">
        <f t="shared" si="1"/>
        <v>2025</v>
      </c>
      <c r="F4338" s="15">
        <f t="shared" si="2"/>
        <v>9</v>
      </c>
      <c r="G4338" s="15">
        <f t="shared" si="3"/>
        <v>10</v>
      </c>
    </row>
    <row r="4339">
      <c r="A4339" s="10" t="s">
        <v>37</v>
      </c>
      <c r="B4339" s="94">
        <f t="shared" si="5"/>
        <v>45910</v>
      </c>
      <c r="C4339" s="77" t="s">
        <v>1570</v>
      </c>
      <c r="D4339" s="13">
        <f>SUMIFS('Lançamentos de receitas'!$E:$E,'Lançamentos de receitas'!$F:$F,"PAGO",'Lançamentos de receitas'!$C:$C,A4339,'Lançamentos de receitas'!$A:$A,B4339)</f>
        <v>1054.05</v>
      </c>
      <c r="E4339" s="15">
        <f t="shared" si="1"/>
        <v>2025</v>
      </c>
      <c r="F4339" s="15">
        <f t="shared" si="2"/>
        <v>9</v>
      </c>
      <c r="G4339" s="15">
        <f t="shared" si="3"/>
        <v>10</v>
      </c>
    </row>
    <row r="4340">
      <c r="A4340" s="10" t="s">
        <v>37</v>
      </c>
      <c r="B4340" s="94">
        <f t="shared" si="5"/>
        <v>45910</v>
      </c>
      <c r="C4340" s="77" t="s">
        <v>1571</v>
      </c>
      <c r="D4340" s="13">
        <f>SUMIFS('Lançamentos de despesas'!$I:$I,'Lançamentos de despesas'!$G:$G,A4340,'Lançamentos de despesas'!$E:$E,"PAGO",'Lançamentos de despesas'!$C:$C,B4340)</f>
        <v>424.5</v>
      </c>
      <c r="E4340" s="15">
        <f t="shared" si="1"/>
        <v>2025</v>
      </c>
      <c r="F4340" s="15">
        <f t="shared" si="2"/>
        <v>9</v>
      </c>
      <c r="G4340" s="15">
        <f t="shared" si="3"/>
        <v>10</v>
      </c>
    </row>
    <row r="4341">
      <c r="A4341" s="10" t="s">
        <v>37</v>
      </c>
      <c r="B4341" s="94">
        <f t="shared" si="5"/>
        <v>45910</v>
      </c>
      <c r="C4341" s="77" t="s">
        <v>1572</v>
      </c>
      <c r="D4341" s="13">
        <f>D4338+D4339-D4340</f>
        <v>56787.94</v>
      </c>
      <c r="E4341" s="15">
        <f t="shared" si="1"/>
        <v>2025</v>
      </c>
      <c r="F4341" s="15">
        <f t="shared" si="2"/>
        <v>9</v>
      </c>
      <c r="G4341" s="15">
        <f t="shared" si="3"/>
        <v>10</v>
      </c>
    </row>
    <row r="4342">
      <c r="A4342" s="10" t="s">
        <v>37</v>
      </c>
      <c r="B4342" s="94">
        <f t="shared" si="5"/>
        <v>45911</v>
      </c>
      <c r="C4342" s="77" t="s">
        <v>1569</v>
      </c>
      <c r="D4342" s="13">
        <f>D4341</f>
        <v>56787.94</v>
      </c>
      <c r="E4342" s="15">
        <f t="shared" si="1"/>
        <v>2025</v>
      </c>
      <c r="F4342" s="15">
        <f t="shared" si="2"/>
        <v>9</v>
      </c>
      <c r="G4342" s="15">
        <f t="shared" si="3"/>
        <v>11</v>
      </c>
    </row>
    <row r="4343">
      <c r="A4343" s="10" t="s">
        <v>37</v>
      </c>
      <c r="B4343" s="94">
        <f t="shared" si="5"/>
        <v>45911</v>
      </c>
      <c r="C4343" s="77" t="s">
        <v>1570</v>
      </c>
      <c r="D4343" s="13">
        <f>SUMIFS('Lançamentos de receitas'!$E:$E,'Lançamentos de receitas'!$F:$F,"PAGO",'Lançamentos de receitas'!$C:$C,A4343,'Lançamentos de receitas'!$A:$A,B4343)</f>
        <v>1455.41</v>
      </c>
      <c r="E4343" s="15">
        <f t="shared" si="1"/>
        <v>2025</v>
      </c>
      <c r="F4343" s="15">
        <f t="shared" si="2"/>
        <v>9</v>
      </c>
      <c r="G4343" s="15">
        <f t="shared" si="3"/>
        <v>11</v>
      </c>
    </row>
    <row r="4344">
      <c r="A4344" s="10" t="s">
        <v>37</v>
      </c>
      <c r="B4344" s="94">
        <f t="shared" si="5"/>
        <v>45911</v>
      </c>
      <c r="C4344" s="77" t="s">
        <v>1571</v>
      </c>
      <c r="D4344" s="13">
        <f>SUMIFS('Lançamentos de despesas'!$I:$I,'Lançamentos de despesas'!$G:$G,A4344,'Lançamentos de despesas'!$E:$E,"PAGO",'Lançamentos de despesas'!$C:$C,B4344)</f>
        <v>0</v>
      </c>
      <c r="E4344" s="15">
        <f t="shared" si="1"/>
        <v>2025</v>
      </c>
      <c r="F4344" s="15">
        <f t="shared" si="2"/>
        <v>9</v>
      </c>
      <c r="G4344" s="15">
        <f t="shared" si="3"/>
        <v>11</v>
      </c>
    </row>
    <row r="4345">
      <c r="A4345" s="10" t="s">
        <v>37</v>
      </c>
      <c r="B4345" s="94">
        <f t="shared" si="5"/>
        <v>45911</v>
      </c>
      <c r="C4345" s="77" t="s">
        <v>1572</v>
      </c>
      <c r="D4345" s="13">
        <f>D4342+D4343-D4344</f>
        <v>58243.35</v>
      </c>
      <c r="E4345" s="15">
        <f t="shared" si="1"/>
        <v>2025</v>
      </c>
      <c r="F4345" s="15">
        <f t="shared" si="2"/>
        <v>9</v>
      </c>
      <c r="G4345" s="15">
        <f t="shared" si="3"/>
        <v>11</v>
      </c>
    </row>
    <row r="4346">
      <c r="A4346" s="10" t="s">
        <v>37</v>
      </c>
      <c r="B4346" s="94">
        <f t="shared" si="5"/>
        <v>45912</v>
      </c>
      <c r="C4346" s="77" t="s">
        <v>1569</v>
      </c>
      <c r="D4346" s="13">
        <f>D4345</f>
        <v>58243.35</v>
      </c>
      <c r="E4346" s="15">
        <f t="shared" si="1"/>
        <v>2025</v>
      </c>
      <c r="F4346" s="15">
        <f t="shared" si="2"/>
        <v>9</v>
      </c>
      <c r="G4346" s="15">
        <f t="shared" si="3"/>
        <v>12</v>
      </c>
    </row>
    <row r="4347">
      <c r="A4347" s="10" t="s">
        <v>37</v>
      </c>
      <c r="B4347" s="94">
        <f t="shared" si="5"/>
        <v>45912</v>
      </c>
      <c r="C4347" s="77" t="s">
        <v>1570</v>
      </c>
      <c r="D4347" s="13">
        <f>SUMIFS('Lançamentos de receitas'!$E:$E,'Lançamentos de receitas'!$F:$F,"PAGO",'Lançamentos de receitas'!$C:$C,A4347,'Lançamentos de receitas'!$A:$A,B4347)</f>
        <v>255.72</v>
      </c>
      <c r="E4347" s="15">
        <f t="shared" si="1"/>
        <v>2025</v>
      </c>
      <c r="F4347" s="15">
        <f t="shared" si="2"/>
        <v>9</v>
      </c>
      <c r="G4347" s="15">
        <f t="shared" si="3"/>
        <v>12</v>
      </c>
    </row>
    <row r="4348">
      <c r="A4348" s="10" t="s">
        <v>37</v>
      </c>
      <c r="B4348" s="94">
        <f t="shared" si="5"/>
        <v>45912</v>
      </c>
      <c r="C4348" s="77" t="s">
        <v>1571</v>
      </c>
      <c r="D4348" s="13">
        <f>SUMIFS('Lançamentos de despesas'!$I:$I,'Lançamentos de despesas'!$G:$G,A4348,'Lançamentos de despesas'!$E:$E,"PAGO",'Lançamentos de despesas'!$C:$C,B4348)</f>
        <v>896.46</v>
      </c>
      <c r="E4348" s="15">
        <f t="shared" si="1"/>
        <v>2025</v>
      </c>
      <c r="F4348" s="15">
        <f t="shared" si="2"/>
        <v>9</v>
      </c>
      <c r="G4348" s="15">
        <f t="shared" si="3"/>
        <v>12</v>
      </c>
    </row>
    <row r="4349">
      <c r="A4349" s="10" t="s">
        <v>37</v>
      </c>
      <c r="B4349" s="94">
        <f t="shared" si="5"/>
        <v>45912</v>
      </c>
      <c r="C4349" s="77" t="s">
        <v>1572</v>
      </c>
      <c r="D4349" s="13">
        <f>D4346+D4347-D4348</f>
        <v>57602.61</v>
      </c>
      <c r="E4349" s="15">
        <f t="shared" si="1"/>
        <v>2025</v>
      </c>
      <c r="F4349" s="15">
        <f t="shared" si="2"/>
        <v>9</v>
      </c>
      <c r="G4349" s="15">
        <f t="shared" si="3"/>
        <v>12</v>
      </c>
    </row>
    <row r="4350">
      <c r="A4350" s="10" t="s">
        <v>37</v>
      </c>
      <c r="B4350" s="94">
        <f t="shared" si="5"/>
        <v>45913</v>
      </c>
      <c r="C4350" s="77" t="s">
        <v>1569</v>
      </c>
      <c r="D4350" s="13">
        <f>D4349</f>
        <v>57602.61</v>
      </c>
      <c r="E4350" s="15">
        <f t="shared" si="1"/>
        <v>2025</v>
      </c>
      <c r="F4350" s="15">
        <f t="shared" si="2"/>
        <v>9</v>
      </c>
      <c r="G4350" s="15">
        <f t="shared" si="3"/>
        <v>13</v>
      </c>
    </row>
    <row r="4351">
      <c r="A4351" s="10" t="s">
        <v>37</v>
      </c>
      <c r="B4351" s="94">
        <f t="shared" si="5"/>
        <v>45913</v>
      </c>
      <c r="C4351" s="77" t="s">
        <v>1570</v>
      </c>
      <c r="D4351" s="13">
        <f>SUMIFS('Lançamentos de receitas'!$E:$E,'Lançamentos de receitas'!$F:$F,"PAGO",'Lançamentos de receitas'!$C:$C,A4351,'Lançamentos de receitas'!$A:$A,B4351)</f>
        <v>2042.32</v>
      </c>
      <c r="E4351" s="15">
        <f t="shared" si="1"/>
        <v>2025</v>
      </c>
      <c r="F4351" s="15">
        <f t="shared" si="2"/>
        <v>9</v>
      </c>
      <c r="G4351" s="15">
        <f t="shared" si="3"/>
        <v>13</v>
      </c>
    </row>
    <row r="4352">
      <c r="A4352" s="10" t="s">
        <v>37</v>
      </c>
      <c r="B4352" s="94">
        <f t="shared" si="5"/>
        <v>45913</v>
      </c>
      <c r="C4352" s="77" t="s">
        <v>1571</v>
      </c>
      <c r="D4352" s="13">
        <f>SUMIFS('Lançamentos de despesas'!$I:$I,'Lançamentos de despesas'!$G:$G,A4352,'Lançamentos de despesas'!$E:$E,"PAGO",'Lançamentos de despesas'!$C:$C,B4352)</f>
        <v>0</v>
      </c>
      <c r="E4352" s="15">
        <f t="shared" si="1"/>
        <v>2025</v>
      </c>
      <c r="F4352" s="15">
        <f t="shared" si="2"/>
        <v>9</v>
      </c>
      <c r="G4352" s="15">
        <f t="shared" si="3"/>
        <v>13</v>
      </c>
    </row>
    <row r="4353">
      <c r="A4353" s="10" t="s">
        <v>37</v>
      </c>
      <c r="B4353" s="94">
        <f t="shared" si="5"/>
        <v>45913</v>
      </c>
      <c r="C4353" s="77" t="s">
        <v>1572</v>
      </c>
      <c r="D4353" s="13">
        <f>D4350+D4351-D4352</f>
        <v>59644.93</v>
      </c>
      <c r="E4353" s="15">
        <f t="shared" si="1"/>
        <v>2025</v>
      </c>
      <c r="F4353" s="15">
        <f t="shared" si="2"/>
        <v>9</v>
      </c>
      <c r="G4353" s="15">
        <f t="shared" si="3"/>
        <v>13</v>
      </c>
    </row>
    <row r="4354">
      <c r="A4354" s="10" t="s">
        <v>37</v>
      </c>
      <c r="B4354" s="94">
        <f t="shared" si="5"/>
        <v>45914</v>
      </c>
      <c r="C4354" s="77" t="s">
        <v>1569</v>
      </c>
      <c r="D4354" s="13">
        <f>D4353</f>
        <v>59644.93</v>
      </c>
      <c r="E4354" s="15">
        <f t="shared" si="1"/>
        <v>2025</v>
      </c>
      <c r="F4354" s="15">
        <f t="shared" si="2"/>
        <v>9</v>
      </c>
      <c r="G4354" s="15">
        <f t="shared" si="3"/>
        <v>14</v>
      </c>
    </row>
    <row r="4355">
      <c r="A4355" s="10" t="s">
        <v>37</v>
      </c>
      <c r="B4355" s="94">
        <f t="shared" si="5"/>
        <v>45914</v>
      </c>
      <c r="C4355" s="77" t="s">
        <v>1570</v>
      </c>
      <c r="D4355" s="13">
        <f>SUMIFS('Lançamentos de receitas'!$E:$E,'Lançamentos de receitas'!$F:$F,"PAGO",'Lançamentos de receitas'!$C:$C,A4355,'Lançamentos de receitas'!$A:$A,B4355)</f>
        <v>920.23</v>
      </c>
      <c r="E4355" s="15">
        <f t="shared" si="1"/>
        <v>2025</v>
      </c>
      <c r="F4355" s="15">
        <f t="shared" si="2"/>
        <v>9</v>
      </c>
      <c r="G4355" s="15">
        <f t="shared" si="3"/>
        <v>14</v>
      </c>
    </row>
    <row r="4356">
      <c r="A4356" s="10" t="s">
        <v>37</v>
      </c>
      <c r="B4356" s="94">
        <f t="shared" si="5"/>
        <v>45914</v>
      </c>
      <c r="C4356" s="77" t="s">
        <v>1571</v>
      </c>
      <c r="D4356" s="13">
        <f>SUMIFS('Lançamentos de despesas'!$I:$I,'Lançamentos de despesas'!$G:$G,A4356,'Lançamentos de despesas'!$E:$E,"PAGO",'Lançamentos de despesas'!$C:$C,B4356)</f>
        <v>0</v>
      </c>
      <c r="E4356" s="15">
        <f t="shared" si="1"/>
        <v>2025</v>
      </c>
      <c r="F4356" s="15">
        <f t="shared" si="2"/>
        <v>9</v>
      </c>
      <c r="G4356" s="15">
        <f t="shared" si="3"/>
        <v>14</v>
      </c>
    </row>
    <row r="4357">
      <c r="A4357" s="10" t="s">
        <v>37</v>
      </c>
      <c r="B4357" s="94">
        <f t="shared" si="5"/>
        <v>45914</v>
      </c>
      <c r="C4357" s="77" t="s">
        <v>1572</v>
      </c>
      <c r="D4357" s="13">
        <f>D4354+D4355-D4356</f>
        <v>60565.16</v>
      </c>
      <c r="E4357" s="15">
        <f t="shared" si="1"/>
        <v>2025</v>
      </c>
      <c r="F4357" s="15">
        <f t="shared" si="2"/>
        <v>9</v>
      </c>
      <c r="G4357" s="15">
        <f t="shared" si="3"/>
        <v>14</v>
      </c>
    </row>
    <row r="4358">
      <c r="A4358" s="10" t="s">
        <v>37</v>
      </c>
      <c r="B4358" s="94">
        <f t="shared" si="5"/>
        <v>45915</v>
      </c>
      <c r="C4358" s="77" t="s">
        <v>1569</v>
      </c>
      <c r="D4358" s="13">
        <f>D4357</f>
        <v>60565.16</v>
      </c>
      <c r="E4358" s="15">
        <f t="shared" si="1"/>
        <v>2025</v>
      </c>
      <c r="F4358" s="15">
        <f t="shared" si="2"/>
        <v>9</v>
      </c>
      <c r="G4358" s="15">
        <f t="shared" si="3"/>
        <v>15</v>
      </c>
    </row>
    <row r="4359">
      <c r="A4359" s="10" t="s">
        <v>37</v>
      </c>
      <c r="B4359" s="94">
        <f t="shared" si="5"/>
        <v>45915</v>
      </c>
      <c r="C4359" s="77" t="s">
        <v>1570</v>
      </c>
      <c r="D4359" s="13">
        <f>SUMIFS('Lançamentos de receitas'!$E:$E,'Lançamentos de receitas'!$F:$F,"PAGO",'Lançamentos de receitas'!$C:$C,A4359,'Lançamentos de receitas'!$A:$A,B4359)</f>
        <v>4154.4</v>
      </c>
      <c r="E4359" s="15">
        <f t="shared" si="1"/>
        <v>2025</v>
      </c>
      <c r="F4359" s="15">
        <f t="shared" si="2"/>
        <v>9</v>
      </c>
      <c r="G4359" s="15">
        <f t="shared" si="3"/>
        <v>15</v>
      </c>
    </row>
    <row r="4360">
      <c r="A4360" s="10" t="s">
        <v>37</v>
      </c>
      <c r="B4360" s="94">
        <f t="shared" si="5"/>
        <v>45915</v>
      </c>
      <c r="C4360" s="77" t="s">
        <v>1571</v>
      </c>
      <c r="D4360" s="13">
        <f>SUMIFS('Lançamentos de despesas'!$I:$I,'Lançamentos de despesas'!$G:$G,A4360,'Lançamentos de despesas'!$E:$E,"PAGO",'Lançamentos de despesas'!$C:$C,B4360)</f>
        <v>6646.67</v>
      </c>
      <c r="E4360" s="15">
        <f t="shared" si="1"/>
        <v>2025</v>
      </c>
      <c r="F4360" s="15">
        <f t="shared" si="2"/>
        <v>9</v>
      </c>
      <c r="G4360" s="15">
        <f t="shared" si="3"/>
        <v>15</v>
      </c>
    </row>
    <row r="4361">
      <c r="A4361" s="10" t="s">
        <v>37</v>
      </c>
      <c r="B4361" s="94">
        <f t="shared" si="5"/>
        <v>45915</v>
      </c>
      <c r="C4361" s="77" t="s">
        <v>1572</v>
      </c>
      <c r="D4361" s="13">
        <f>D4358+D4359-D4360</f>
        <v>58072.89</v>
      </c>
      <c r="E4361" s="15">
        <f t="shared" si="1"/>
        <v>2025</v>
      </c>
      <c r="F4361" s="15">
        <f t="shared" si="2"/>
        <v>9</v>
      </c>
      <c r="G4361" s="15">
        <f t="shared" si="3"/>
        <v>15</v>
      </c>
    </row>
    <row r="4362">
      <c r="A4362" s="10" t="s">
        <v>37</v>
      </c>
      <c r="B4362" s="94">
        <f t="shared" si="5"/>
        <v>45916</v>
      </c>
      <c r="C4362" s="77" t="s">
        <v>1569</v>
      </c>
      <c r="D4362" s="13">
        <f>D4361</f>
        <v>58072.89</v>
      </c>
      <c r="E4362" s="15">
        <f t="shared" si="1"/>
        <v>2025</v>
      </c>
      <c r="F4362" s="15">
        <f t="shared" si="2"/>
        <v>9</v>
      </c>
      <c r="G4362" s="15">
        <f t="shared" si="3"/>
        <v>16</v>
      </c>
    </row>
    <row r="4363">
      <c r="A4363" s="10" t="s">
        <v>37</v>
      </c>
      <c r="B4363" s="94">
        <f t="shared" si="5"/>
        <v>45916</v>
      </c>
      <c r="C4363" s="77" t="s">
        <v>1570</v>
      </c>
      <c r="D4363" s="13">
        <f>SUMIFS('Lançamentos de receitas'!$E:$E,'Lançamentos de receitas'!$F:$F,"PAGO",'Lançamentos de receitas'!$C:$C,A4363,'Lançamentos de receitas'!$A:$A,B4363)</f>
        <v>868.47</v>
      </c>
      <c r="E4363" s="15">
        <f t="shared" si="1"/>
        <v>2025</v>
      </c>
      <c r="F4363" s="15">
        <f t="shared" si="2"/>
        <v>9</v>
      </c>
      <c r="G4363" s="15">
        <f t="shared" si="3"/>
        <v>16</v>
      </c>
    </row>
    <row r="4364">
      <c r="A4364" s="10" t="s">
        <v>37</v>
      </c>
      <c r="B4364" s="94">
        <f t="shared" si="5"/>
        <v>45916</v>
      </c>
      <c r="C4364" s="77" t="s">
        <v>1571</v>
      </c>
      <c r="D4364" s="13">
        <f>SUMIFS('Lançamentos de despesas'!$I:$I,'Lançamentos de despesas'!$G:$G,A4364,'Lançamentos de despesas'!$E:$E,"PAGO",'Lançamentos de despesas'!$C:$C,B4364)</f>
        <v>150</v>
      </c>
      <c r="E4364" s="15">
        <f t="shared" si="1"/>
        <v>2025</v>
      </c>
      <c r="F4364" s="15">
        <f t="shared" si="2"/>
        <v>9</v>
      </c>
      <c r="G4364" s="15">
        <f t="shared" si="3"/>
        <v>16</v>
      </c>
    </row>
    <row r="4365">
      <c r="A4365" s="10" t="s">
        <v>37</v>
      </c>
      <c r="B4365" s="94">
        <f t="shared" si="5"/>
        <v>45916</v>
      </c>
      <c r="C4365" s="77" t="s">
        <v>1572</v>
      </c>
      <c r="D4365" s="13">
        <f>D4362+D4363-D4364</f>
        <v>58791.36</v>
      </c>
      <c r="E4365" s="15">
        <f t="shared" si="1"/>
        <v>2025</v>
      </c>
      <c r="F4365" s="15">
        <f t="shared" si="2"/>
        <v>9</v>
      </c>
      <c r="G4365" s="15">
        <f t="shared" si="3"/>
        <v>16</v>
      </c>
    </row>
    <row r="4366">
      <c r="A4366" s="10" t="s">
        <v>37</v>
      </c>
      <c r="B4366" s="94">
        <f t="shared" si="5"/>
        <v>45917</v>
      </c>
      <c r="C4366" s="77" t="s">
        <v>1569</v>
      </c>
      <c r="D4366" s="13">
        <f>D4365</f>
        <v>58791.36</v>
      </c>
      <c r="E4366" s="15">
        <f t="shared" si="1"/>
        <v>2025</v>
      </c>
      <c r="F4366" s="15">
        <f t="shared" si="2"/>
        <v>9</v>
      </c>
      <c r="G4366" s="15">
        <f t="shared" si="3"/>
        <v>17</v>
      </c>
    </row>
    <row r="4367">
      <c r="A4367" s="10" t="s">
        <v>37</v>
      </c>
      <c r="B4367" s="94">
        <f t="shared" si="5"/>
        <v>45917</v>
      </c>
      <c r="C4367" s="77" t="s">
        <v>1570</v>
      </c>
      <c r="D4367" s="13">
        <f>SUMIFS('Lançamentos de receitas'!$E:$E,'Lançamentos de receitas'!$F:$F,"PAGO",'Lançamentos de receitas'!$C:$C,A4367,'Lançamentos de receitas'!$A:$A,B4367)</f>
        <v>2530.91</v>
      </c>
      <c r="E4367" s="15">
        <f t="shared" si="1"/>
        <v>2025</v>
      </c>
      <c r="F4367" s="15">
        <f t="shared" si="2"/>
        <v>9</v>
      </c>
      <c r="G4367" s="15">
        <f t="shared" si="3"/>
        <v>17</v>
      </c>
    </row>
    <row r="4368">
      <c r="A4368" s="10" t="s">
        <v>37</v>
      </c>
      <c r="B4368" s="94">
        <f t="shared" si="5"/>
        <v>45917</v>
      </c>
      <c r="C4368" s="77" t="s">
        <v>1571</v>
      </c>
      <c r="D4368" s="13">
        <f>SUMIFS('Lançamentos de despesas'!$I:$I,'Lançamentos de despesas'!$G:$G,A4368,'Lançamentos de despesas'!$E:$E,"PAGO",'Lançamentos de despesas'!$C:$C,B4368)</f>
        <v>0</v>
      </c>
      <c r="E4368" s="15">
        <f t="shared" si="1"/>
        <v>2025</v>
      </c>
      <c r="F4368" s="15">
        <f t="shared" si="2"/>
        <v>9</v>
      </c>
      <c r="G4368" s="15">
        <f t="shared" si="3"/>
        <v>17</v>
      </c>
    </row>
    <row r="4369">
      <c r="A4369" s="10" t="s">
        <v>37</v>
      </c>
      <c r="B4369" s="94">
        <f t="shared" si="5"/>
        <v>45917</v>
      </c>
      <c r="C4369" s="77" t="s">
        <v>1572</v>
      </c>
      <c r="D4369" s="13">
        <f>D4366+D4367-D4368</f>
        <v>61322.27</v>
      </c>
      <c r="E4369" s="15">
        <f t="shared" si="1"/>
        <v>2025</v>
      </c>
      <c r="F4369" s="15">
        <f t="shared" si="2"/>
        <v>9</v>
      </c>
      <c r="G4369" s="15">
        <f t="shared" si="3"/>
        <v>17</v>
      </c>
    </row>
    <row r="4370">
      <c r="A4370" s="10" t="s">
        <v>37</v>
      </c>
      <c r="B4370" s="94">
        <f t="shared" si="5"/>
        <v>45918</v>
      </c>
      <c r="C4370" s="77" t="s">
        <v>1569</v>
      </c>
      <c r="D4370" s="13">
        <f>D4369</f>
        <v>61322.27</v>
      </c>
      <c r="E4370" s="15">
        <f t="shared" si="1"/>
        <v>2025</v>
      </c>
      <c r="F4370" s="15">
        <f t="shared" si="2"/>
        <v>9</v>
      </c>
      <c r="G4370" s="15">
        <f t="shared" si="3"/>
        <v>18</v>
      </c>
    </row>
    <row r="4371">
      <c r="A4371" s="10" t="s">
        <v>37</v>
      </c>
      <c r="B4371" s="94">
        <f t="shared" si="5"/>
        <v>45918</v>
      </c>
      <c r="C4371" s="77" t="s">
        <v>1570</v>
      </c>
      <c r="D4371" s="13">
        <f>SUMIFS('Lançamentos de receitas'!$E:$E,'Lançamentos de receitas'!$F:$F,"PAGO",'Lançamentos de receitas'!$C:$C,A4371,'Lançamentos de receitas'!$A:$A,B4371)</f>
        <v>2067.87</v>
      </c>
      <c r="E4371" s="15">
        <f t="shared" si="1"/>
        <v>2025</v>
      </c>
      <c r="F4371" s="15">
        <f t="shared" si="2"/>
        <v>9</v>
      </c>
      <c r="G4371" s="15">
        <f t="shared" si="3"/>
        <v>18</v>
      </c>
    </row>
    <row r="4372">
      <c r="A4372" s="10" t="s">
        <v>37</v>
      </c>
      <c r="B4372" s="94">
        <f t="shared" si="5"/>
        <v>45918</v>
      </c>
      <c r="C4372" s="77" t="s">
        <v>1571</v>
      </c>
      <c r="D4372" s="13">
        <f>SUMIFS('Lançamentos de despesas'!$I:$I,'Lançamentos de despesas'!$G:$G,A4372,'Lançamentos de despesas'!$E:$E,"PAGO",'Lançamentos de despesas'!$C:$C,B4372)</f>
        <v>3278.06</v>
      </c>
      <c r="E4372" s="15">
        <f t="shared" si="1"/>
        <v>2025</v>
      </c>
      <c r="F4372" s="15">
        <f t="shared" si="2"/>
        <v>9</v>
      </c>
      <c r="G4372" s="15">
        <f t="shared" si="3"/>
        <v>18</v>
      </c>
    </row>
    <row r="4373">
      <c r="A4373" s="10" t="s">
        <v>37</v>
      </c>
      <c r="B4373" s="94">
        <f t="shared" si="5"/>
        <v>45918</v>
      </c>
      <c r="C4373" s="77" t="s">
        <v>1572</v>
      </c>
      <c r="D4373" s="13">
        <f>D4370+D4371-D4372</f>
        <v>60112.08</v>
      </c>
      <c r="E4373" s="15">
        <f t="shared" si="1"/>
        <v>2025</v>
      </c>
      <c r="F4373" s="15">
        <f t="shared" si="2"/>
        <v>9</v>
      </c>
      <c r="G4373" s="15">
        <f t="shared" si="3"/>
        <v>18</v>
      </c>
    </row>
    <row r="4374">
      <c r="A4374" s="10" t="s">
        <v>37</v>
      </c>
      <c r="B4374" s="94">
        <f t="shared" si="5"/>
        <v>45919</v>
      </c>
      <c r="C4374" s="77" t="s">
        <v>1569</v>
      </c>
      <c r="D4374" s="13">
        <f>D4373</f>
        <v>60112.08</v>
      </c>
      <c r="E4374" s="15">
        <f t="shared" si="1"/>
        <v>2025</v>
      </c>
      <c r="F4374" s="15">
        <f t="shared" si="2"/>
        <v>9</v>
      </c>
      <c r="G4374" s="15">
        <f t="shared" si="3"/>
        <v>19</v>
      </c>
    </row>
    <row r="4375">
      <c r="A4375" s="10" t="s">
        <v>37</v>
      </c>
      <c r="B4375" s="94">
        <f t="shared" si="5"/>
        <v>45919</v>
      </c>
      <c r="C4375" s="77" t="s">
        <v>1570</v>
      </c>
      <c r="D4375" s="13">
        <f>SUMIFS('Lançamentos de receitas'!$E:$E,'Lançamentos de receitas'!$F:$F,"PAGO",'Lançamentos de receitas'!$C:$C,A4375,'Lançamentos de receitas'!$A:$A,B4375)</f>
        <v>1472.91</v>
      </c>
      <c r="E4375" s="15">
        <f t="shared" si="1"/>
        <v>2025</v>
      </c>
      <c r="F4375" s="15">
        <f t="shared" si="2"/>
        <v>9</v>
      </c>
      <c r="G4375" s="15">
        <f t="shared" si="3"/>
        <v>19</v>
      </c>
    </row>
    <row r="4376">
      <c r="A4376" s="10" t="s">
        <v>37</v>
      </c>
      <c r="B4376" s="94">
        <f t="shared" si="5"/>
        <v>45919</v>
      </c>
      <c r="C4376" s="77" t="s">
        <v>1571</v>
      </c>
      <c r="D4376" s="13">
        <f>SUMIFS('Lançamentos de despesas'!$I:$I,'Lançamentos de despesas'!$G:$G,A4376,'Lançamentos de despesas'!$E:$E,"PAGO",'Lançamentos de despesas'!$C:$C,B4376)</f>
        <v>375.6</v>
      </c>
      <c r="E4376" s="15">
        <f t="shared" si="1"/>
        <v>2025</v>
      </c>
      <c r="F4376" s="15">
        <f t="shared" si="2"/>
        <v>9</v>
      </c>
      <c r="G4376" s="15">
        <f t="shared" si="3"/>
        <v>19</v>
      </c>
    </row>
    <row r="4377">
      <c r="A4377" s="10" t="s">
        <v>37</v>
      </c>
      <c r="B4377" s="94">
        <f t="shared" si="5"/>
        <v>45919</v>
      </c>
      <c r="C4377" s="77" t="s">
        <v>1572</v>
      </c>
      <c r="D4377" s="13">
        <f>D4374+D4375-D4376</f>
        <v>61209.39</v>
      </c>
      <c r="E4377" s="15">
        <f t="shared" si="1"/>
        <v>2025</v>
      </c>
      <c r="F4377" s="15">
        <f t="shared" si="2"/>
        <v>9</v>
      </c>
      <c r="G4377" s="15">
        <f t="shared" si="3"/>
        <v>19</v>
      </c>
    </row>
    <row r="4378">
      <c r="A4378" s="10" t="s">
        <v>37</v>
      </c>
      <c r="B4378" s="94">
        <f t="shared" si="5"/>
        <v>45920</v>
      </c>
      <c r="C4378" s="77" t="s">
        <v>1569</v>
      </c>
      <c r="D4378" s="13">
        <f>D4377</f>
        <v>61209.39</v>
      </c>
      <c r="E4378" s="15">
        <f t="shared" si="1"/>
        <v>2025</v>
      </c>
      <c r="F4378" s="15">
        <f t="shared" si="2"/>
        <v>9</v>
      </c>
      <c r="G4378" s="15">
        <f t="shared" si="3"/>
        <v>20</v>
      </c>
    </row>
    <row r="4379">
      <c r="A4379" s="10" t="s">
        <v>37</v>
      </c>
      <c r="B4379" s="94">
        <f t="shared" si="5"/>
        <v>45920</v>
      </c>
      <c r="C4379" s="77" t="s">
        <v>1570</v>
      </c>
      <c r="D4379" s="13">
        <f>SUMIFS('Lançamentos de receitas'!$E:$E,'Lançamentos de receitas'!$F:$F,"PAGO",'Lançamentos de receitas'!$C:$C,A4379,'Lançamentos de receitas'!$A:$A,B4379)</f>
        <v>2482.77</v>
      </c>
      <c r="E4379" s="15">
        <f t="shared" si="1"/>
        <v>2025</v>
      </c>
      <c r="F4379" s="15">
        <f t="shared" si="2"/>
        <v>9</v>
      </c>
      <c r="G4379" s="15">
        <f t="shared" si="3"/>
        <v>20</v>
      </c>
    </row>
    <row r="4380">
      <c r="A4380" s="10" t="s">
        <v>37</v>
      </c>
      <c r="B4380" s="94">
        <f t="shared" si="5"/>
        <v>45920</v>
      </c>
      <c r="C4380" s="77" t="s">
        <v>1571</v>
      </c>
      <c r="D4380" s="13">
        <f>SUMIFS('Lançamentos de despesas'!$I:$I,'Lançamentos de despesas'!$G:$G,A4380,'Lançamentos de despesas'!$E:$E,"PAGO",'Lançamentos de despesas'!$C:$C,B4380)</f>
        <v>0</v>
      </c>
      <c r="E4380" s="15">
        <f t="shared" si="1"/>
        <v>2025</v>
      </c>
      <c r="F4380" s="15">
        <f t="shared" si="2"/>
        <v>9</v>
      </c>
      <c r="G4380" s="15">
        <f t="shared" si="3"/>
        <v>20</v>
      </c>
    </row>
    <row r="4381">
      <c r="A4381" s="10" t="s">
        <v>37</v>
      </c>
      <c r="B4381" s="94">
        <f t="shared" si="5"/>
        <v>45920</v>
      </c>
      <c r="C4381" s="77" t="s">
        <v>1572</v>
      </c>
      <c r="D4381" s="13">
        <f>D4378+D4379-D4380</f>
        <v>63692.16</v>
      </c>
      <c r="E4381" s="15">
        <f t="shared" si="1"/>
        <v>2025</v>
      </c>
      <c r="F4381" s="15">
        <f t="shared" si="2"/>
        <v>9</v>
      </c>
      <c r="G4381" s="15">
        <f t="shared" si="3"/>
        <v>20</v>
      </c>
    </row>
    <row r="4382">
      <c r="A4382" s="10" t="s">
        <v>37</v>
      </c>
      <c r="B4382" s="94">
        <f t="shared" si="5"/>
        <v>45921</v>
      </c>
      <c r="C4382" s="77" t="s">
        <v>1569</v>
      </c>
      <c r="D4382" s="13">
        <f>D4381</f>
        <v>63692.16</v>
      </c>
      <c r="E4382" s="15">
        <f t="shared" si="1"/>
        <v>2025</v>
      </c>
      <c r="F4382" s="15">
        <f t="shared" si="2"/>
        <v>9</v>
      </c>
      <c r="G4382" s="15">
        <f t="shared" si="3"/>
        <v>21</v>
      </c>
    </row>
    <row r="4383">
      <c r="A4383" s="10" t="s">
        <v>37</v>
      </c>
      <c r="B4383" s="94">
        <f t="shared" si="5"/>
        <v>45921</v>
      </c>
      <c r="C4383" s="77" t="s">
        <v>1570</v>
      </c>
      <c r="D4383" s="13">
        <f>SUMIFS('Lançamentos de receitas'!$E:$E,'Lançamentos de receitas'!$F:$F,"PAGO",'Lançamentos de receitas'!$C:$C,A4383,'Lançamentos de receitas'!$A:$A,B4383)</f>
        <v>1714.95</v>
      </c>
      <c r="E4383" s="15">
        <f t="shared" si="1"/>
        <v>2025</v>
      </c>
      <c r="F4383" s="15">
        <f t="shared" si="2"/>
        <v>9</v>
      </c>
      <c r="G4383" s="15">
        <f t="shared" si="3"/>
        <v>21</v>
      </c>
    </row>
    <row r="4384">
      <c r="A4384" s="10" t="s">
        <v>37</v>
      </c>
      <c r="B4384" s="94">
        <f t="shared" si="5"/>
        <v>45921</v>
      </c>
      <c r="C4384" s="77" t="s">
        <v>1571</v>
      </c>
      <c r="D4384" s="13">
        <f>SUMIFS('Lançamentos de despesas'!$I:$I,'Lançamentos de despesas'!$G:$G,A4384,'Lançamentos de despesas'!$E:$E,"PAGO",'Lançamentos de despesas'!$C:$C,B4384)</f>
        <v>0</v>
      </c>
      <c r="E4384" s="15">
        <f t="shared" si="1"/>
        <v>2025</v>
      </c>
      <c r="F4384" s="15">
        <f t="shared" si="2"/>
        <v>9</v>
      </c>
      <c r="G4384" s="15">
        <f t="shared" si="3"/>
        <v>21</v>
      </c>
    </row>
    <row r="4385">
      <c r="A4385" s="10" t="s">
        <v>37</v>
      </c>
      <c r="B4385" s="94">
        <f t="shared" si="5"/>
        <v>45921</v>
      </c>
      <c r="C4385" s="77" t="s">
        <v>1572</v>
      </c>
      <c r="D4385" s="13">
        <f>D4382+D4383-D4384</f>
        <v>65407.11</v>
      </c>
      <c r="E4385" s="15">
        <f t="shared" si="1"/>
        <v>2025</v>
      </c>
      <c r="F4385" s="15">
        <f t="shared" si="2"/>
        <v>9</v>
      </c>
      <c r="G4385" s="15">
        <f t="shared" si="3"/>
        <v>21</v>
      </c>
    </row>
    <row r="4386">
      <c r="A4386" s="10" t="s">
        <v>37</v>
      </c>
      <c r="B4386" s="94">
        <f t="shared" si="5"/>
        <v>45922</v>
      </c>
      <c r="C4386" s="77" t="s">
        <v>1569</v>
      </c>
      <c r="D4386" s="13">
        <f>D4385</f>
        <v>65407.11</v>
      </c>
      <c r="E4386" s="15">
        <f t="shared" si="1"/>
        <v>2025</v>
      </c>
      <c r="F4386" s="15">
        <f t="shared" si="2"/>
        <v>9</v>
      </c>
      <c r="G4386" s="15">
        <f t="shared" si="3"/>
        <v>22</v>
      </c>
    </row>
    <row r="4387">
      <c r="A4387" s="10" t="s">
        <v>37</v>
      </c>
      <c r="B4387" s="94">
        <f t="shared" si="5"/>
        <v>45922</v>
      </c>
      <c r="C4387" s="77" t="s">
        <v>1570</v>
      </c>
      <c r="D4387" s="13">
        <f>SUMIFS('Lançamentos de receitas'!$E:$E,'Lançamentos de receitas'!$F:$F,"PAGO",'Lançamentos de receitas'!$C:$C,A4387,'Lançamentos de receitas'!$A:$A,B4387)</f>
        <v>1453.58</v>
      </c>
      <c r="E4387" s="15">
        <f t="shared" si="1"/>
        <v>2025</v>
      </c>
      <c r="F4387" s="15">
        <f t="shared" si="2"/>
        <v>9</v>
      </c>
      <c r="G4387" s="15">
        <f t="shared" si="3"/>
        <v>22</v>
      </c>
    </row>
    <row r="4388">
      <c r="A4388" s="10" t="s">
        <v>37</v>
      </c>
      <c r="B4388" s="94">
        <f t="shared" si="5"/>
        <v>45922</v>
      </c>
      <c r="C4388" s="77" t="s">
        <v>1571</v>
      </c>
      <c r="D4388" s="13">
        <f>SUMIFS('Lançamentos de despesas'!$I:$I,'Lançamentos de despesas'!$G:$G,A4388,'Lançamentos de despesas'!$E:$E,"PAGO",'Lançamentos de despesas'!$C:$C,B4388)</f>
        <v>5304.11</v>
      </c>
      <c r="E4388" s="15">
        <f t="shared" si="1"/>
        <v>2025</v>
      </c>
      <c r="F4388" s="15">
        <f t="shared" si="2"/>
        <v>9</v>
      </c>
      <c r="G4388" s="15">
        <f t="shared" si="3"/>
        <v>22</v>
      </c>
    </row>
    <row r="4389">
      <c r="A4389" s="10" t="s">
        <v>37</v>
      </c>
      <c r="B4389" s="94">
        <f t="shared" si="5"/>
        <v>45922</v>
      </c>
      <c r="C4389" s="77" t="s">
        <v>1572</v>
      </c>
      <c r="D4389" s="13">
        <f>D4386+D4387-D4388</f>
        <v>61556.58</v>
      </c>
      <c r="E4389" s="15">
        <f t="shared" si="1"/>
        <v>2025</v>
      </c>
      <c r="F4389" s="15">
        <f t="shared" si="2"/>
        <v>9</v>
      </c>
      <c r="G4389" s="15">
        <f t="shared" si="3"/>
        <v>22</v>
      </c>
    </row>
    <row r="4390">
      <c r="A4390" s="10" t="s">
        <v>37</v>
      </c>
      <c r="B4390" s="94">
        <f t="shared" si="5"/>
        <v>45923</v>
      </c>
      <c r="C4390" s="77" t="s">
        <v>1569</v>
      </c>
      <c r="D4390" s="13">
        <f>D4389</f>
        <v>61556.58</v>
      </c>
      <c r="E4390" s="15">
        <f t="shared" si="1"/>
        <v>2025</v>
      </c>
      <c r="F4390" s="15">
        <f t="shared" si="2"/>
        <v>9</v>
      </c>
      <c r="G4390" s="15">
        <f t="shared" si="3"/>
        <v>23</v>
      </c>
    </row>
    <row r="4391">
      <c r="A4391" s="10" t="s">
        <v>37</v>
      </c>
      <c r="B4391" s="94">
        <f t="shared" si="5"/>
        <v>45923</v>
      </c>
      <c r="C4391" s="77" t="s">
        <v>1570</v>
      </c>
      <c r="D4391" s="13">
        <f>SUMIFS('Lançamentos de receitas'!$E:$E,'Lançamentos de receitas'!$F:$F,"PAGO",'Lançamentos de receitas'!$C:$C,A4391,'Lançamentos de receitas'!$A:$A,B4391)</f>
        <v>498.78</v>
      </c>
      <c r="E4391" s="15">
        <f t="shared" si="1"/>
        <v>2025</v>
      </c>
      <c r="F4391" s="15">
        <f t="shared" si="2"/>
        <v>9</v>
      </c>
      <c r="G4391" s="15">
        <f t="shared" si="3"/>
        <v>23</v>
      </c>
    </row>
    <row r="4392">
      <c r="A4392" s="10" t="s">
        <v>37</v>
      </c>
      <c r="B4392" s="94">
        <f t="shared" si="5"/>
        <v>45923</v>
      </c>
      <c r="C4392" s="77" t="s">
        <v>1571</v>
      </c>
      <c r="D4392" s="13">
        <f>SUMIFS('Lançamentos de despesas'!$I:$I,'Lançamentos de despesas'!$G:$G,A4392,'Lançamentos de despesas'!$E:$E,"PAGO",'Lançamentos de despesas'!$C:$C,B4392)</f>
        <v>10763.8</v>
      </c>
      <c r="E4392" s="15">
        <f t="shared" si="1"/>
        <v>2025</v>
      </c>
      <c r="F4392" s="15">
        <f t="shared" si="2"/>
        <v>9</v>
      </c>
      <c r="G4392" s="15">
        <f t="shared" si="3"/>
        <v>23</v>
      </c>
    </row>
    <row r="4393">
      <c r="A4393" s="10" t="s">
        <v>37</v>
      </c>
      <c r="B4393" s="94">
        <f t="shared" si="5"/>
        <v>45923</v>
      </c>
      <c r="C4393" s="77" t="s">
        <v>1572</v>
      </c>
      <c r="D4393" s="13">
        <f>D4390+D4391-D4392</f>
        <v>51291.56</v>
      </c>
      <c r="E4393" s="15">
        <f t="shared" si="1"/>
        <v>2025</v>
      </c>
      <c r="F4393" s="15">
        <f t="shared" si="2"/>
        <v>9</v>
      </c>
      <c r="G4393" s="15">
        <f t="shared" si="3"/>
        <v>23</v>
      </c>
    </row>
    <row r="4394">
      <c r="A4394" s="10" t="s">
        <v>37</v>
      </c>
      <c r="B4394" s="94">
        <f t="shared" si="5"/>
        <v>45924</v>
      </c>
      <c r="C4394" s="77" t="s">
        <v>1569</v>
      </c>
      <c r="D4394" s="13">
        <f>D4393</f>
        <v>51291.56</v>
      </c>
      <c r="E4394" s="15">
        <f t="shared" si="1"/>
        <v>2025</v>
      </c>
      <c r="F4394" s="15">
        <f t="shared" si="2"/>
        <v>9</v>
      </c>
      <c r="G4394" s="15">
        <f t="shared" si="3"/>
        <v>24</v>
      </c>
    </row>
    <row r="4395">
      <c r="A4395" s="10" t="s">
        <v>37</v>
      </c>
      <c r="B4395" s="94">
        <f t="shared" si="5"/>
        <v>45924</v>
      </c>
      <c r="C4395" s="77" t="s">
        <v>1570</v>
      </c>
      <c r="D4395" s="13">
        <f>SUMIFS('Lançamentos de receitas'!$E:$E,'Lançamentos de receitas'!$F:$F,"PAGO",'Lançamentos de receitas'!$C:$C,A4395,'Lançamentos de receitas'!$A:$A,B4395)</f>
        <v>2165.92</v>
      </c>
      <c r="E4395" s="15">
        <f t="shared" si="1"/>
        <v>2025</v>
      </c>
      <c r="F4395" s="15">
        <f t="shared" si="2"/>
        <v>9</v>
      </c>
      <c r="G4395" s="15">
        <f t="shared" si="3"/>
        <v>24</v>
      </c>
    </row>
    <row r="4396">
      <c r="A4396" s="10" t="s">
        <v>37</v>
      </c>
      <c r="B4396" s="94">
        <f t="shared" si="5"/>
        <v>45924</v>
      </c>
      <c r="C4396" s="77" t="s">
        <v>1571</v>
      </c>
      <c r="D4396" s="13">
        <f>SUMIFS('Lançamentos de despesas'!$I:$I,'Lançamentos de despesas'!$G:$G,A4396,'Lançamentos de despesas'!$E:$E,"PAGO",'Lançamentos de despesas'!$C:$C,B4396)</f>
        <v>0</v>
      </c>
      <c r="E4396" s="15">
        <f t="shared" si="1"/>
        <v>2025</v>
      </c>
      <c r="F4396" s="15">
        <f t="shared" si="2"/>
        <v>9</v>
      </c>
      <c r="G4396" s="15">
        <f t="shared" si="3"/>
        <v>24</v>
      </c>
    </row>
    <row r="4397">
      <c r="A4397" s="10" t="s">
        <v>37</v>
      </c>
      <c r="B4397" s="94">
        <f t="shared" si="5"/>
        <v>45924</v>
      </c>
      <c r="C4397" s="77" t="s">
        <v>1572</v>
      </c>
      <c r="D4397" s="13">
        <f>D4394+D4395-D4396</f>
        <v>53457.48</v>
      </c>
      <c r="E4397" s="15">
        <f t="shared" si="1"/>
        <v>2025</v>
      </c>
      <c r="F4397" s="15">
        <f t="shared" si="2"/>
        <v>9</v>
      </c>
      <c r="G4397" s="15">
        <f t="shared" si="3"/>
        <v>24</v>
      </c>
    </row>
    <row r="4398">
      <c r="A4398" s="10" t="s">
        <v>37</v>
      </c>
      <c r="B4398" s="94">
        <f t="shared" si="5"/>
        <v>45925</v>
      </c>
      <c r="C4398" s="77" t="s">
        <v>1569</v>
      </c>
      <c r="D4398" s="13">
        <f>D4397</f>
        <v>53457.48</v>
      </c>
      <c r="E4398" s="15">
        <f t="shared" si="1"/>
        <v>2025</v>
      </c>
      <c r="F4398" s="15">
        <f t="shared" si="2"/>
        <v>9</v>
      </c>
      <c r="G4398" s="15">
        <f t="shared" si="3"/>
        <v>25</v>
      </c>
    </row>
    <row r="4399">
      <c r="A4399" s="10" t="s">
        <v>37</v>
      </c>
      <c r="B4399" s="94">
        <f t="shared" si="5"/>
        <v>45925</v>
      </c>
      <c r="C4399" s="77" t="s">
        <v>1570</v>
      </c>
      <c r="D4399" s="13">
        <f>SUMIFS('Lançamentos de receitas'!$E:$E,'Lançamentos de receitas'!$F:$F,"PAGO",'Lançamentos de receitas'!$C:$C,A4399,'Lançamentos de receitas'!$A:$A,B4399)</f>
        <v>2214.28</v>
      </c>
      <c r="E4399" s="15">
        <f t="shared" si="1"/>
        <v>2025</v>
      </c>
      <c r="F4399" s="15">
        <f t="shared" si="2"/>
        <v>9</v>
      </c>
      <c r="G4399" s="15">
        <f t="shared" si="3"/>
        <v>25</v>
      </c>
    </row>
    <row r="4400">
      <c r="A4400" s="10" t="s">
        <v>37</v>
      </c>
      <c r="B4400" s="94">
        <f t="shared" si="5"/>
        <v>45925</v>
      </c>
      <c r="C4400" s="77" t="s">
        <v>1571</v>
      </c>
      <c r="D4400" s="13">
        <f>SUMIFS('Lançamentos de despesas'!$I:$I,'Lançamentos de despesas'!$G:$G,A4400,'Lançamentos de despesas'!$E:$E,"PAGO",'Lançamentos de despesas'!$C:$C,B4400)</f>
        <v>375.92</v>
      </c>
      <c r="E4400" s="15">
        <f t="shared" si="1"/>
        <v>2025</v>
      </c>
      <c r="F4400" s="15">
        <f t="shared" si="2"/>
        <v>9</v>
      </c>
      <c r="G4400" s="15">
        <f t="shared" si="3"/>
        <v>25</v>
      </c>
    </row>
    <row r="4401">
      <c r="A4401" s="10" t="s">
        <v>37</v>
      </c>
      <c r="B4401" s="94">
        <f t="shared" si="5"/>
        <v>45925</v>
      </c>
      <c r="C4401" s="77" t="s">
        <v>1572</v>
      </c>
      <c r="D4401" s="13">
        <f>D4398+D4399-D4400</f>
        <v>55295.84</v>
      </c>
      <c r="E4401" s="15">
        <f t="shared" si="1"/>
        <v>2025</v>
      </c>
      <c r="F4401" s="15">
        <f t="shared" si="2"/>
        <v>9</v>
      </c>
      <c r="G4401" s="15">
        <f t="shared" si="3"/>
        <v>25</v>
      </c>
    </row>
    <row r="4402">
      <c r="A4402" s="10" t="s">
        <v>37</v>
      </c>
      <c r="B4402" s="94">
        <f t="shared" si="5"/>
        <v>45926</v>
      </c>
      <c r="C4402" s="77" t="s">
        <v>1569</v>
      </c>
      <c r="D4402" s="13">
        <f>D4401</f>
        <v>55295.84</v>
      </c>
      <c r="E4402" s="15">
        <f t="shared" si="1"/>
        <v>2025</v>
      </c>
      <c r="F4402" s="15">
        <f t="shared" si="2"/>
        <v>9</v>
      </c>
      <c r="G4402" s="15">
        <f t="shared" si="3"/>
        <v>26</v>
      </c>
    </row>
    <row r="4403">
      <c r="A4403" s="10" t="s">
        <v>37</v>
      </c>
      <c r="B4403" s="94">
        <f t="shared" si="5"/>
        <v>45926</v>
      </c>
      <c r="C4403" s="77" t="s">
        <v>1570</v>
      </c>
      <c r="D4403" s="13">
        <f>SUMIFS('Lançamentos de receitas'!$E:$E,'Lançamentos de receitas'!$F:$F,"PAGO",'Lançamentos de receitas'!$C:$C,A4403,'Lançamentos de receitas'!$A:$A,B4403)</f>
        <v>2383.9</v>
      </c>
      <c r="E4403" s="15">
        <f t="shared" si="1"/>
        <v>2025</v>
      </c>
      <c r="F4403" s="15">
        <f t="shared" si="2"/>
        <v>9</v>
      </c>
      <c r="G4403" s="15">
        <f t="shared" si="3"/>
        <v>26</v>
      </c>
    </row>
    <row r="4404">
      <c r="A4404" s="10" t="s">
        <v>37</v>
      </c>
      <c r="B4404" s="94">
        <f t="shared" si="5"/>
        <v>45926</v>
      </c>
      <c r="C4404" s="77" t="s">
        <v>1571</v>
      </c>
      <c r="D4404" s="13">
        <f>SUMIFS('Lançamentos de despesas'!$I:$I,'Lançamentos de despesas'!$G:$G,A4404,'Lançamentos de despesas'!$E:$E,"PAGO",'Lançamentos de despesas'!$C:$C,B4404)</f>
        <v>0</v>
      </c>
      <c r="E4404" s="15">
        <f t="shared" si="1"/>
        <v>2025</v>
      </c>
      <c r="F4404" s="15">
        <f t="shared" si="2"/>
        <v>9</v>
      </c>
      <c r="G4404" s="15">
        <f t="shared" si="3"/>
        <v>26</v>
      </c>
    </row>
    <row r="4405">
      <c r="A4405" s="10" t="s">
        <v>37</v>
      </c>
      <c r="B4405" s="94">
        <f t="shared" si="5"/>
        <v>45926</v>
      </c>
      <c r="C4405" s="77" t="s">
        <v>1572</v>
      </c>
      <c r="D4405" s="13">
        <f>D4402+D4403-D4404</f>
        <v>57679.74</v>
      </c>
      <c r="E4405" s="15">
        <f t="shared" si="1"/>
        <v>2025</v>
      </c>
      <c r="F4405" s="15">
        <f t="shared" si="2"/>
        <v>9</v>
      </c>
      <c r="G4405" s="15">
        <f t="shared" si="3"/>
        <v>26</v>
      </c>
    </row>
    <row r="4406">
      <c r="A4406" s="10" t="s">
        <v>37</v>
      </c>
      <c r="B4406" s="94">
        <f t="shared" si="5"/>
        <v>45927</v>
      </c>
      <c r="C4406" s="77" t="s">
        <v>1569</v>
      </c>
      <c r="D4406" s="13">
        <f>D4405</f>
        <v>57679.74</v>
      </c>
      <c r="E4406" s="15">
        <f t="shared" si="1"/>
        <v>2025</v>
      </c>
      <c r="F4406" s="15">
        <f t="shared" si="2"/>
        <v>9</v>
      </c>
      <c r="G4406" s="15">
        <f t="shared" si="3"/>
        <v>27</v>
      </c>
    </row>
    <row r="4407">
      <c r="A4407" s="10" t="s">
        <v>37</v>
      </c>
      <c r="B4407" s="94">
        <f t="shared" si="5"/>
        <v>45927</v>
      </c>
      <c r="C4407" s="77" t="s">
        <v>1570</v>
      </c>
      <c r="D4407" s="13">
        <f>SUMIFS('Lançamentos de receitas'!$E:$E,'Lançamentos de receitas'!$F:$F,"PAGO",'Lançamentos de receitas'!$C:$C,A4407,'Lançamentos de receitas'!$A:$A,B4407)</f>
        <v>2003.63</v>
      </c>
      <c r="E4407" s="15">
        <f t="shared" si="1"/>
        <v>2025</v>
      </c>
      <c r="F4407" s="15">
        <f t="shared" si="2"/>
        <v>9</v>
      </c>
      <c r="G4407" s="15">
        <f t="shared" si="3"/>
        <v>27</v>
      </c>
    </row>
    <row r="4408">
      <c r="A4408" s="10" t="s">
        <v>37</v>
      </c>
      <c r="B4408" s="94">
        <f t="shared" si="5"/>
        <v>45927</v>
      </c>
      <c r="C4408" s="77" t="s">
        <v>1571</v>
      </c>
      <c r="D4408" s="13">
        <f>SUMIFS('Lançamentos de despesas'!$I:$I,'Lançamentos de despesas'!$G:$G,A4408,'Lançamentos de despesas'!$E:$E,"PAGO",'Lançamentos de despesas'!$C:$C,B4408)</f>
        <v>0</v>
      </c>
      <c r="E4408" s="15">
        <f t="shared" si="1"/>
        <v>2025</v>
      </c>
      <c r="F4408" s="15">
        <f t="shared" si="2"/>
        <v>9</v>
      </c>
      <c r="G4408" s="15">
        <f t="shared" si="3"/>
        <v>27</v>
      </c>
    </row>
    <row r="4409">
      <c r="A4409" s="10" t="s">
        <v>37</v>
      </c>
      <c r="B4409" s="94">
        <f t="shared" si="5"/>
        <v>45927</v>
      </c>
      <c r="C4409" s="77" t="s">
        <v>1572</v>
      </c>
      <c r="D4409" s="13">
        <f>D4406+D4407-D4408</f>
        <v>59683.37</v>
      </c>
      <c r="E4409" s="15">
        <f t="shared" si="1"/>
        <v>2025</v>
      </c>
      <c r="F4409" s="15">
        <f t="shared" si="2"/>
        <v>9</v>
      </c>
      <c r="G4409" s="15">
        <f t="shared" si="3"/>
        <v>27</v>
      </c>
    </row>
    <row r="4410">
      <c r="A4410" s="10" t="s">
        <v>37</v>
      </c>
      <c r="B4410" s="94">
        <f t="shared" si="5"/>
        <v>45928</v>
      </c>
      <c r="C4410" s="77" t="s">
        <v>1569</v>
      </c>
      <c r="D4410" s="13">
        <f>D4409</f>
        <v>59683.37</v>
      </c>
      <c r="E4410" s="15">
        <f t="shared" si="1"/>
        <v>2025</v>
      </c>
      <c r="F4410" s="15">
        <f t="shared" si="2"/>
        <v>9</v>
      </c>
      <c r="G4410" s="15">
        <f t="shared" si="3"/>
        <v>28</v>
      </c>
    </row>
    <row r="4411">
      <c r="A4411" s="10" t="s">
        <v>37</v>
      </c>
      <c r="B4411" s="94">
        <f t="shared" si="5"/>
        <v>45928</v>
      </c>
      <c r="C4411" s="77" t="s">
        <v>1570</v>
      </c>
      <c r="D4411" s="13">
        <f>SUMIFS('Lançamentos de receitas'!$E:$E,'Lançamentos de receitas'!$F:$F,"PAGO",'Lançamentos de receitas'!$C:$C,A4411,'Lançamentos de receitas'!$A:$A,B4411)</f>
        <v>1281.08</v>
      </c>
      <c r="E4411" s="15">
        <f t="shared" si="1"/>
        <v>2025</v>
      </c>
      <c r="F4411" s="15">
        <f t="shared" si="2"/>
        <v>9</v>
      </c>
      <c r="G4411" s="15">
        <f t="shared" si="3"/>
        <v>28</v>
      </c>
    </row>
    <row r="4412">
      <c r="A4412" s="10" t="s">
        <v>37</v>
      </c>
      <c r="B4412" s="94">
        <f t="shared" si="5"/>
        <v>45928</v>
      </c>
      <c r="C4412" s="77" t="s">
        <v>1571</v>
      </c>
      <c r="D4412" s="13">
        <f>SUMIFS('Lançamentos de despesas'!$I:$I,'Lançamentos de despesas'!$G:$G,A4412,'Lançamentos de despesas'!$E:$E,"PAGO",'Lançamentos de despesas'!$C:$C,B4412)</f>
        <v>0</v>
      </c>
      <c r="E4412" s="15">
        <f t="shared" si="1"/>
        <v>2025</v>
      </c>
      <c r="F4412" s="15">
        <f t="shared" si="2"/>
        <v>9</v>
      </c>
      <c r="G4412" s="15">
        <f t="shared" si="3"/>
        <v>28</v>
      </c>
    </row>
    <row r="4413">
      <c r="A4413" s="10" t="s">
        <v>37</v>
      </c>
      <c r="B4413" s="94">
        <f t="shared" si="5"/>
        <v>45928</v>
      </c>
      <c r="C4413" s="77" t="s">
        <v>1572</v>
      </c>
      <c r="D4413" s="13">
        <f>D4410+D4411-D4412</f>
        <v>60964.45</v>
      </c>
      <c r="E4413" s="15">
        <f t="shared" si="1"/>
        <v>2025</v>
      </c>
      <c r="F4413" s="15">
        <f t="shared" si="2"/>
        <v>9</v>
      </c>
      <c r="G4413" s="15">
        <f t="shared" si="3"/>
        <v>28</v>
      </c>
    </row>
    <row r="4414">
      <c r="A4414" s="10" t="s">
        <v>37</v>
      </c>
      <c r="B4414" s="94">
        <f t="shared" si="5"/>
        <v>45929</v>
      </c>
      <c r="C4414" s="77" t="s">
        <v>1569</v>
      </c>
      <c r="D4414" s="13">
        <f>D4413</f>
        <v>60964.45</v>
      </c>
      <c r="E4414" s="15">
        <f t="shared" si="1"/>
        <v>2025</v>
      </c>
      <c r="F4414" s="15">
        <f t="shared" si="2"/>
        <v>9</v>
      </c>
      <c r="G4414" s="15">
        <f t="shared" si="3"/>
        <v>29</v>
      </c>
    </row>
    <row r="4415">
      <c r="A4415" s="10" t="s">
        <v>37</v>
      </c>
      <c r="B4415" s="94">
        <f t="shared" si="5"/>
        <v>45929</v>
      </c>
      <c r="C4415" s="77" t="s">
        <v>1570</v>
      </c>
      <c r="D4415" s="13">
        <f>SUMIFS('Lançamentos de receitas'!$E:$E,'Lançamentos de receitas'!$F:$F,"PAGO",'Lançamentos de receitas'!$C:$C,A4415,'Lançamentos de receitas'!$A:$A,B4415)</f>
        <v>346.74</v>
      </c>
      <c r="E4415" s="15">
        <f t="shared" si="1"/>
        <v>2025</v>
      </c>
      <c r="F4415" s="15">
        <f t="shared" si="2"/>
        <v>9</v>
      </c>
      <c r="G4415" s="15">
        <f t="shared" si="3"/>
        <v>29</v>
      </c>
    </row>
    <row r="4416">
      <c r="A4416" s="10" t="s">
        <v>37</v>
      </c>
      <c r="B4416" s="94">
        <f t="shared" si="5"/>
        <v>45929</v>
      </c>
      <c r="C4416" s="77" t="s">
        <v>1571</v>
      </c>
      <c r="D4416" s="13">
        <f>SUMIFS('Lançamentos de despesas'!$I:$I,'Lançamentos de despesas'!$G:$G,A4416,'Lançamentos de despesas'!$E:$E,"PAGO",'Lançamentos de despesas'!$C:$C,B4416)</f>
        <v>0</v>
      </c>
      <c r="E4416" s="15">
        <f t="shared" si="1"/>
        <v>2025</v>
      </c>
      <c r="F4416" s="15">
        <f t="shared" si="2"/>
        <v>9</v>
      </c>
      <c r="G4416" s="15">
        <f t="shared" si="3"/>
        <v>29</v>
      </c>
    </row>
    <row r="4417">
      <c r="A4417" s="10" t="s">
        <v>37</v>
      </c>
      <c r="B4417" s="94">
        <f t="shared" si="5"/>
        <v>45929</v>
      </c>
      <c r="C4417" s="77" t="s">
        <v>1572</v>
      </c>
      <c r="D4417" s="13">
        <f>D4414+D4415-D4416</f>
        <v>61311.19</v>
      </c>
      <c r="E4417" s="15">
        <f t="shared" si="1"/>
        <v>2025</v>
      </c>
      <c r="F4417" s="15">
        <f t="shared" si="2"/>
        <v>9</v>
      </c>
      <c r="G4417" s="15">
        <f t="shared" si="3"/>
        <v>29</v>
      </c>
    </row>
    <row r="4418">
      <c r="A4418" s="10" t="s">
        <v>37</v>
      </c>
      <c r="B4418" s="94">
        <f t="shared" si="5"/>
        <v>45930</v>
      </c>
      <c r="C4418" s="77" t="s">
        <v>1569</v>
      </c>
      <c r="D4418" s="13">
        <f>D4417</f>
        <v>61311.19</v>
      </c>
      <c r="E4418" s="15">
        <f t="shared" si="1"/>
        <v>2025</v>
      </c>
      <c r="F4418" s="15">
        <f t="shared" si="2"/>
        <v>9</v>
      </c>
      <c r="G4418" s="15">
        <f t="shared" si="3"/>
        <v>30</v>
      </c>
    </row>
    <row r="4419">
      <c r="A4419" s="10" t="s">
        <v>37</v>
      </c>
      <c r="B4419" s="94">
        <f t="shared" si="5"/>
        <v>45930</v>
      </c>
      <c r="C4419" s="77" t="s">
        <v>1570</v>
      </c>
      <c r="D4419" s="13">
        <f>SUMIFS('Lançamentos de receitas'!$E:$E,'Lançamentos de receitas'!$F:$F,"PAGO",'Lançamentos de receitas'!$C:$C,A4419,'Lançamentos de receitas'!$A:$A,B4419)</f>
        <v>1713.57</v>
      </c>
      <c r="E4419" s="15">
        <f t="shared" si="1"/>
        <v>2025</v>
      </c>
      <c r="F4419" s="15">
        <f t="shared" si="2"/>
        <v>9</v>
      </c>
      <c r="G4419" s="15">
        <f t="shared" si="3"/>
        <v>30</v>
      </c>
    </row>
    <row r="4420">
      <c r="A4420" s="10" t="s">
        <v>37</v>
      </c>
      <c r="B4420" s="94">
        <f t="shared" si="5"/>
        <v>45930</v>
      </c>
      <c r="C4420" s="77" t="s">
        <v>1571</v>
      </c>
      <c r="D4420" s="13">
        <f>SUMIFS('Lançamentos de despesas'!$I:$I,'Lançamentos de despesas'!$G:$G,A4420,'Lançamentos de despesas'!$E:$E,"PAGO",'Lançamentos de despesas'!$C:$C,B4420)</f>
        <v>0</v>
      </c>
      <c r="E4420" s="15">
        <f t="shared" si="1"/>
        <v>2025</v>
      </c>
      <c r="F4420" s="15">
        <f t="shared" si="2"/>
        <v>9</v>
      </c>
      <c r="G4420" s="15">
        <f t="shared" si="3"/>
        <v>30</v>
      </c>
    </row>
    <row r="4421">
      <c r="A4421" s="10" t="s">
        <v>37</v>
      </c>
      <c r="B4421" s="94">
        <f t="shared" si="5"/>
        <v>45930</v>
      </c>
      <c r="C4421" s="77" t="s">
        <v>1572</v>
      </c>
      <c r="D4421" s="13">
        <f>D4418+D4419-D4420</f>
        <v>63024.76</v>
      </c>
      <c r="E4421" s="15">
        <f t="shared" si="1"/>
        <v>2025</v>
      </c>
      <c r="F4421" s="15">
        <f t="shared" si="2"/>
        <v>9</v>
      </c>
      <c r="G4421" s="15">
        <f t="shared" si="3"/>
        <v>30</v>
      </c>
    </row>
    <row r="4422">
      <c r="A4422" s="10" t="s">
        <v>37</v>
      </c>
      <c r="B4422" s="94">
        <f t="shared" si="5"/>
        <v>45931</v>
      </c>
      <c r="C4422" s="77" t="s">
        <v>1569</v>
      </c>
      <c r="D4422" s="13">
        <f>D4421</f>
        <v>63024.76</v>
      </c>
      <c r="E4422" s="15">
        <f t="shared" si="1"/>
        <v>2025</v>
      </c>
      <c r="F4422" s="15">
        <f t="shared" si="2"/>
        <v>10</v>
      </c>
      <c r="G4422" s="15">
        <f t="shared" si="3"/>
        <v>1</v>
      </c>
    </row>
    <row r="4423">
      <c r="A4423" s="10" t="s">
        <v>37</v>
      </c>
      <c r="B4423" s="94">
        <f t="shared" si="5"/>
        <v>45931</v>
      </c>
      <c r="C4423" s="77" t="s">
        <v>1570</v>
      </c>
      <c r="D4423" s="13">
        <f>SUMIFS('Lançamentos de receitas'!$E:$E,'Lançamentos de receitas'!$F:$F,"PAGO",'Lançamentos de receitas'!$C:$C,A4423,'Lançamentos de receitas'!$A:$A,B4423)</f>
        <v>1388.16</v>
      </c>
      <c r="E4423" s="15">
        <f t="shared" si="1"/>
        <v>2025</v>
      </c>
      <c r="F4423" s="15">
        <f t="shared" si="2"/>
        <v>10</v>
      </c>
      <c r="G4423" s="15">
        <f t="shared" si="3"/>
        <v>1</v>
      </c>
    </row>
    <row r="4424">
      <c r="A4424" s="10" t="s">
        <v>37</v>
      </c>
      <c r="B4424" s="94">
        <f t="shared" si="5"/>
        <v>45931</v>
      </c>
      <c r="C4424" s="77" t="s">
        <v>1571</v>
      </c>
      <c r="D4424" s="13">
        <f>SUMIFS('Lançamentos de despesas'!$I:$I,'Lançamentos de despesas'!$G:$G,A4424,'Lançamentos de despesas'!$E:$E,"PAGO",'Lançamentos de despesas'!$C:$C,B4424)</f>
        <v>13530.06</v>
      </c>
      <c r="E4424" s="15">
        <f t="shared" si="1"/>
        <v>2025</v>
      </c>
      <c r="F4424" s="15">
        <f t="shared" si="2"/>
        <v>10</v>
      </c>
      <c r="G4424" s="15">
        <f t="shared" si="3"/>
        <v>1</v>
      </c>
    </row>
    <row r="4425">
      <c r="A4425" s="10" t="s">
        <v>37</v>
      </c>
      <c r="B4425" s="94">
        <f t="shared" si="5"/>
        <v>45931</v>
      </c>
      <c r="C4425" s="77" t="s">
        <v>1572</v>
      </c>
      <c r="D4425" s="13">
        <f>D4422+D4423-D4424</f>
        <v>50882.86</v>
      </c>
      <c r="E4425" s="15">
        <f t="shared" si="1"/>
        <v>2025</v>
      </c>
      <c r="F4425" s="15">
        <f t="shared" si="2"/>
        <v>10</v>
      </c>
      <c r="G4425" s="15">
        <f t="shared" si="3"/>
        <v>1</v>
      </c>
    </row>
    <row r="4426">
      <c r="A4426" s="10" t="s">
        <v>37</v>
      </c>
      <c r="B4426" s="94">
        <f t="shared" si="5"/>
        <v>45932</v>
      </c>
      <c r="C4426" s="77" t="s">
        <v>1569</v>
      </c>
      <c r="D4426" s="13">
        <f>D4425</f>
        <v>50882.86</v>
      </c>
      <c r="E4426" s="15">
        <f t="shared" si="1"/>
        <v>2025</v>
      </c>
      <c r="F4426" s="15">
        <f t="shared" si="2"/>
        <v>10</v>
      </c>
      <c r="G4426" s="15">
        <f t="shared" si="3"/>
        <v>2</v>
      </c>
    </row>
    <row r="4427">
      <c r="A4427" s="10" t="s">
        <v>37</v>
      </c>
      <c r="B4427" s="94">
        <f t="shared" si="5"/>
        <v>45932</v>
      </c>
      <c r="C4427" s="77" t="s">
        <v>1570</v>
      </c>
      <c r="D4427" s="13">
        <f>SUMIFS('Lançamentos de receitas'!$E:$E,'Lançamentos de receitas'!$F:$F,"PAGO",'Lançamentos de receitas'!$C:$C,A4427,'Lançamentos de receitas'!$A:$A,B4427)</f>
        <v>1540.64</v>
      </c>
      <c r="E4427" s="15">
        <f t="shared" si="1"/>
        <v>2025</v>
      </c>
      <c r="F4427" s="15">
        <f t="shared" si="2"/>
        <v>10</v>
      </c>
      <c r="G4427" s="15">
        <f t="shared" si="3"/>
        <v>2</v>
      </c>
    </row>
    <row r="4428">
      <c r="A4428" s="10" t="s">
        <v>37</v>
      </c>
      <c r="B4428" s="94">
        <f t="shared" si="5"/>
        <v>45932</v>
      </c>
      <c r="C4428" s="77" t="s">
        <v>1571</v>
      </c>
      <c r="D4428" s="13">
        <f>SUMIFS('Lançamentos de despesas'!$I:$I,'Lançamentos de despesas'!$G:$G,A4428,'Lançamentos de despesas'!$E:$E,"PAGO",'Lançamentos de despesas'!$C:$C,B4428)</f>
        <v>0</v>
      </c>
      <c r="E4428" s="15">
        <f t="shared" si="1"/>
        <v>2025</v>
      </c>
      <c r="F4428" s="15">
        <f t="shared" si="2"/>
        <v>10</v>
      </c>
      <c r="G4428" s="15">
        <f t="shared" si="3"/>
        <v>2</v>
      </c>
    </row>
    <row r="4429">
      <c r="A4429" s="10" t="s">
        <v>37</v>
      </c>
      <c r="B4429" s="94">
        <f t="shared" si="5"/>
        <v>45932</v>
      </c>
      <c r="C4429" s="77" t="s">
        <v>1572</v>
      </c>
      <c r="D4429" s="13">
        <f>D4426+D4427-D4428</f>
        <v>52423.5</v>
      </c>
      <c r="E4429" s="15">
        <f t="shared" si="1"/>
        <v>2025</v>
      </c>
      <c r="F4429" s="15">
        <f t="shared" si="2"/>
        <v>10</v>
      </c>
      <c r="G4429" s="15">
        <f t="shared" si="3"/>
        <v>2</v>
      </c>
    </row>
    <row r="4430">
      <c r="A4430" s="10" t="s">
        <v>37</v>
      </c>
      <c r="B4430" s="94">
        <f t="shared" si="5"/>
        <v>45933</v>
      </c>
      <c r="C4430" s="77" t="s">
        <v>1569</v>
      </c>
      <c r="D4430" s="13">
        <f>D4429</f>
        <v>52423.5</v>
      </c>
      <c r="E4430" s="15">
        <f t="shared" si="1"/>
        <v>2025</v>
      </c>
      <c r="F4430" s="15">
        <f t="shared" si="2"/>
        <v>10</v>
      </c>
      <c r="G4430" s="15">
        <f t="shared" si="3"/>
        <v>3</v>
      </c>
    </row>
    <row r="4431">
      <c r="A4431" s="10" t="s">
        <v>37</v>
      </c>
      <c r="B4431" s="94">
        <f t="shared" si="5"/>
        <v>45933</v>
      </c>
      <c r="C4431" s="77" t="s">
        <v>1570</v>
      </c>
      <c r="D4431" s="13">
        <f>SUMIFS('Lançamentos de receitas'!$E:$E,'Lançamentos de receitas'!$F:$F,"PAGO",'Lançamentos de receitas'!$C:$C,A4431,'Lançamentos de receitas'!$A:$A,B4431)</f>
        <v>1786.42</v>
      </c>
      <c r="E4431" s="15">
        <f t="shared" si="1"/>
        <v>2025</v>
      </c>
      <c r="F4431" s="15">
        <f t="shared" si="2"/>
        <v>10</v>
      </c>
      <c r="G4431" s="15">
        <f t="shared" si="3"/>
        <v>3</v>
      </c>
    </row>
    <row r="4432">
      <c r="A4432" s="10" t="s">
        <v>37</v>
      </c>
      <c r="B4432" s="94">
        <f t="shared" si="5"/>
        <v>45933</v>
      </c>
      <c r="C4432" s="77" t="s">
        <v>1571</v>
      </c>
      <c r="D4432" s="13">
        <f>SUMIFS('Lançamentos de despesas'!$I:$I,'Lançamentos de despesas'!$G:$G,A4432,'Lançamentos de despesas'!$E:$E,"PAGO",'Lançamentos de despesas'!$C:$C,B4432)</f>
        <v>14.5</v>
      </c>
      <c r="E4432" s="15">
        <f t="shared" si="1"/>
        <v>2025</v>
      </c>
      <c r="F4432" s="15">
        <f t="shared" si="2"/>
        <v>10</v>
      </c>
      <c r="G4432" s="15">
        <f t="shared" si="3"/>
        <v>3</v>
      </c>
    </row>
    <row r="4433">
      <c r="A4433" s="10" t="s">
        <v>37</v>
      </c>
      <c r="B4433" s="94">
        <f t="shared" si="5"/>
        <v>45933</v>
      </c>
      <c r="C4433" s="77" t="s">
        <v>1572</v>
      </c>
      <c r="D4433" s="13">
        <f>D4430+D4431-D4432</f>
        <v>54195.42</v>
      </c>
      <c r="E4433" s="15">
        <f t="shared" si="1"/>
        <v>2025</v>
      </c>
      <c r="F4433" s="15">
        <f t="shared" si="2"/>
        <v>10</v>
      </c>
      <c r="G4433" s="15">
        <f t="shared" si="3"/>
        <v>3</v>
      </c>
    </row>
    <row r="4434">
      <c r="A4434" s="10" t="s">
        <v>37</v>
      </c>
      <c r="B4434" s="94">
        <f t="shared" si="5"/>
        <v>45934</v>
      </c>
      <c r="C4434" s="77" t="s">
        <v>1569</v>
      </c>
      <c r="D4434" s="13">
        <f>D4433</f>
        <v>54195.42</v>
      </c>
      <c r="E4434" s="15">
        <f t="shared" si="1"/>
        <v>2025</v>
      </c>
      <c r="F4434" s="15">
        <f t="shared" si="2"/>
        <v>10</v>
      </c>
      <c r="G4434" s="15">
        <f t="shared" si="3"/>
        <v>4</v>
      </c>
    </row>
    <row r="4435">
      <c r="A4435" s="10" t="s">
        <v>37</v>
      </c>
      <c r="B4435" s="94">
        <f t="shared" si="5"/>
        <v>45934</v>
      </c>
      <c r="C4435" s="77" t="s">
        <v>1570</v>
      </c>
      <c r="D4435" s="13">
        <f>SUMIFS('Lançamentos de receitas'!$E:$E,'Lançamentos de receitas'!$F:$F,"PAGO",'Lançamentos de receitas'!$C:$C,A4435,'Lançamentos de receitas'!$A:$A,B4435)</f>
        <v>2091.29</v>
      </c>
      <c r="E4435" s="15">
        <f t="shared" si="1"/>
        <v>2025</v>
      </c>
      <c r="F4435" s="15">
        <f t="shared" si="2"/>
        <v>10</v>
      </c>
      <c r="G4435" s="15">
        <f t="shared" si="3"/>
        <v>4</v>
      </c>
    </row>
    <row r="4436">
      <c r="A4436" s="10" t="s">
        <v>37</v>
      </c>
      <c r="B4436" s="94">
        <f t="shared" si="5"/>
        <v>45934</v>
      </c>
      <c r="C4436" s="77" t="s">
        <v>1571</v>
      </c>
      <c r="D4436" s="13">
        <f>SUMIFS('Lançamentos de despesas'!$I:$I,'Lançamentos de despesas'!$G:$G,A4436,'Lançamentos de despesas'!$E:$E,"PAGO",'Lançamentos de despesas'!$C:$C,B4436)</f>
        <v>0</v>
      </c>
      <c r="E4436" s="15">
        <f t="shared" si="1"/>
        <v>2025</v>
      </c>
      <c r="F4436" s="15">
        <f t="shared" si="2"/>
        <v>10</v>
      </c>
      <c r="G4436" s="15">
        <f t="shared" si="3"/>
        <v>4</v>
      </c>
    </row>
    <row r="4437">
      <c r="A4437" s="10" t="s">
        <v>37</v>
      </c>
      <c r="B4437" s="94">
        <f t="shared" si="5"/>
        <v>45934</v>
      </c>
      <c r="C4437" s="77" t="s">
        <v>1572</v>
      </c>
      <c r="D4437" s="13">
        <f>D4434+D4435-D4436</f>
        <v>56286.71</v>
      </c>
      <c r="E4437" s="15">
        <f t="shared" si="1"/>
        <v>2025</v>
      </c>
      <c r="F4437" s="15">
        <f t="shared" si="2"/>
        <v>10</v>
      </c>
      <c r="G4437" s="15">
        <f t="shared" si="3"/>
        <v>4</v>
      </c>
    </row>
    <row r="4438">
      <c r="A4438" s="10" t="s">
        <v>37</v>
      </c>
      <c r="B4438" s="94">
        <f t="shared" si="5"/>
        <v>45935</v>
      </c>
      <c r="C4438" s="77" t="s">
        <v>1569</v>
      </c>
      <c r="D4438" s="13">
        <f>D4437</f>
        <v>56286.71</v>
      </c>
      <c r="E4438" s="15">
        <f t="shared" si="1"/>
        <v>2025</v>
      </c>
      <c r="F4438" s="15">
        <f t="shared" si="2"/>
        <v>10</v>
      </c>
      <c r="G4438" s="15">
        <f t="shared" si="3"/>
        <v>5</v>
      </c>
    </row>
    <row r="4439">
      <c r="A4439" s="10" t="s">
        <v>37</v>
      </c>
      <c r="B4439" s="94">
        <f t="shared" si="5"/>
        <v>45935</v>
      </c>
      <c r="C4439" s="77" t="s">
        <v>1570</v>
      </c>
      <c r="D4439" s="13">
        <f>SUMIFS('Lançamentos de receitas'!$E:$E,'Lançamentos de receitas'!$F:$F,"PAGO",'Lançamentos de receitas'!$C:$C,A4439,'Lançamentos de receitas'!$A:$A,B4439)</f>
        <v>1290.7</v>
      </c>
      <c r="E4439" s="15">
        <f t="shared" si="1"/>
        <v>2025</v>
      </c>
      <c r="F4439" s="15">
        <f t="shared" si="2"/>
        <v>10</v>
      </c>
      <c r="G4439" s="15">
        <f t="shared" si="3"/>
        <v>5</v>
      </c>
    </row>
    <row r="4440">
      <c r="A4440" s="10" t="s">
        <v>37</v>
      </c>
      <c r="B4440" s="94">
        <f t="shared" si="5"/>
        <v>45935</v>
      </c>
      <c r="C4440" s="77" t="s">
        <v>1571</v>
      </c>
      <c r="D4440" s="13">
        <f>SUMIFS('Lançamentos de despesas'!$I:$I,'Lançamentos de despesas'!$G:$G,A4440,'Lançamentos de despesas'!$E:$E,"PAGO",'Lançamentos de despesas'!$C:$C,B4440)</f>
        <v>0</v>
      </c>
      <c r="E4440" s="15">
        <f t="shared" si="1"/>
        <v>2025</v>
      </c>
      <c r="F4440" s="15">
        <f t="shared" si="2"/>
        <v>10</v>
      </c>
      <c r="G4440" s="15">
        <f t="shared" si="3"/>
        <v>5</v>
      </c>
    </row>
    <row r="4441">
      <c r="A4441" s="10" t="s">
        <v>37</v>
      </c>
      <c r="B4441" s="94">
        <f t="shared" si="5"/>
        <v>45935</v>
      </c>
      <c r="C4441" s="77" t="s">
        <v>1572</v>
      </c>
      <c r="D4441" s="13">
        <f>D4438+D4439-D4440</f>
        <v>57577.41</v>
      </c>
      <c r="E4441" s="15">
        <f t="shared" si="1"/>
        <v>2025</v>
      </c>
      <c r="F4441" s="15">
        <f t="shared" si="2"/>
        <v>10</v>
      </c>
      <c r="G4441" s="15">
        <f t="shared" si="3"/>
        <v>5</v>
      </c>
    </row>
    <row r="4442">
      <c r="A4442" s="10" t="s">
        <v>37</v>
      </c>
      <c r="B4442" s="94">
        <f t="shared" si="5"/>
        <v>45936</v>
      </c>
      <c r="C4442" s="77" t="s">
        <v>1569</v>
      </c>
      <c r="D4442" s="13">
        <f>D4441</f>
        <v>57577.41</v>
      </c>
      <c r="E4442" s="15">
        <f t="shared" si="1"/>
        <v>2025</v>
      </c>
      <c r="F4442" s="15">
        <f t="shared" si="2"/>
        <v>10</v>
      </c>
      <c r="G4442" s="15">
        <f t="shared" si="3"/>
        <v>6</v>
      </c>
    </row>
    <row r="4443">
      <c r="A4443" s="10" t="s">
        <v>37</v>
      </c>
      <c r="B4443" s="94">
        <f t="shared" si="5"/>
        <v>45936</v>
      </c>
      <c r="C4443" s="77" t="s">
        <v>1570</v>
      </c>
      <c r="D4443" s="13">
        <f>SUMIFS('Lançamentos de receitas'!$E:$E,'Lançamentos de receitas'!$F:$F,"PAGO",'Lançamentos de receitas'!$C:$C,A4443,'Lançamentos de receitas'!$A:$A,B4443)</f>
        <v>34731.27</v>
      </c>
      <c r="E4443" s="15">
        <f t="shared" si="1"/>
        <v>2025</v>
      </c>
      <c r="F4443" s="15">
        <f t="shared" si="2"/>
        <v>10</v>
      </c>
      <c r="G4443" s="15">
        <f t="shared" si="3"/>
        <v>6</v>
      </c>
    </row>
    <row r="4444">
      <c r="A4444" s="10" t="s">
        <v>37</v>
      </c>
      <c r="B4444" s="94">
        <f t="shared" si="5"/>
        <v>45936</v>
      </c>
      <c r="C4444" s="77" t="s">
        <v>1571</v>
      </c>
      <c r="D4444" s="13">
        <f>SUMIFS('Lançamentos de despesas'!$I:$I,'Lançamentos de despesas'!$G:$G,A4444,'Lançamentos de despesas'!$E:$E,"PAGO",'Lançamentos de despesas'!$C:$C,B4444)</f>
        <v>91520</v>
      </c>
      <c r="E4444" s="15">
        <f t="shared" si="1"/>
        <v>2025</v>
      </c>
      <c r="F4444" s="15">
        <f t="shared" si="2"/>
        <v>10</v>
      </c>
      <c r="G4444" s="15">
        <f t="shared" si="3"/>
        <v>6</v>
      </c>
    </row>
    <row r="4445">
      <c r="A4445" s="10" t="s">
        <v>37</v>
      </c>
      <c r="B4445" s="94">
        <f t="shared" si="5"/>
        <v>45936</v>
      </c>
      <c r="C4445" s="77" t="s">
        <v>1572</v>
      </c>
      <c r="D4445" s="13">
        <f>D4442+D4443-D4444</f>
        <v>788.68</v>
      </c>
      <c r="E4445" s="15">
        <f t="shared" si="1"/>
        <v>2025</v>
      </c>
      <c r="F4445" s="15">
        <f t="shared" si="2"/>
        <v>10</v>
      </c>
      <c r="G4445" s="15">
        <f t="shared" si="3"/>
        <v>6</v>
      </c>
    </row>
    <row r="4446">
      <c r="A4446" s="10" t="s">
        <v>37</v>
      </c>
      <c r="B4446" s="94">
        <f t="shared" si="5"/>
        <v>45937</v>
      </c>
      <c r="C4446" s="77" t="s">
        <v>1569</v>
      </c>
      <c r="D4446" s="13">
        <f>D4445</f>
        <v>788.68</v>
      </c>
      <c r="E4446" s="15">
        <f t="shared" si="1"/>
        <v>2025</v>
      </c>
      <c r="F4446" s="15">
        <f t="shared" si="2"/>
        <v>10</v>
      </c>
      <c r="G4446" s="15">
        <f t="shared" si="3"/>
        <v>7</v>
      </c>
    </row>
    <row r="4447">
      <c r="A4447" s="10" t="s">
        <v>37</v>
      </c>
      <c r="B4447" s="94">
        <f t="shared" si="5"/>
        <v>45937</v>
      </c>
      <c r="C4447" s="77" t="s">
        <v>1570</v>
      </c>
      <c r="D4447" s="13">
        <f>SUMIFS('Lançamentos de receitas'!$E:$E,'Lançamentos de receitas'!$F:$F,"PAGO",'Lançamentos de receitas'!$C:$C,A4447,'Lançamentos de receitas'!$A:$A,B4447)</f>
        <v>1105.55</v>
      </c>
      <c r="E4447" s="15">
        <f t="shared" si="1"/>
        <v>2025</v>
      </c>
      <c r="F4447" s="15">
        <f t="shared" si="2"/>
        <v>10</v>
      </c>
      <c r="G4447" s="15">
        <f t="shared" si="3"/>
        <v>7</v>
      </c>
    </row>
    <row r="4448">
      <c r="A4448" s="10" t="s">
        <v>37</v>
      </c>
      <c r="B4448" s="94">
        <f t="shared" si="5"/>
        <v>45937</v>
      </c>
      <c r="C4448" s="77" t="s">
        <v>1571</v>
      </c>
      <c r="D4448" s="13">
        <f>SUMIFS('Lançamentos de despesas'!$I:$I,'Lançamentos de despesas'!$G:$G,A4448,'Lançamentos de despesas'!$E:$E,"PAGO",'Lançamentos de despesas'!$C:$C,B4448)</f>
        <v>0</v>
      </c>
      <c r="E4448" s="15">
        <f t="shared" si="1"/>
        <v>2025</v>
      </c>
      <c r="F4448" s="15">
        <f t="shared" si="2"/>
        <v>10</v>
      </c>
      <c r="G4448" s="15">
        <f t="shared" si="3"/>
        <v>7</v>
      </c>
    </row>
    <row r="4449">
      <c r="A4449" s="10" t="s">
        <v>37</v>
      </c>
      <c r="B4449" s="94">
        <f t="shared" si="5"/>
        <v>45937</v>
      </c>
      <c r="C4449" s="77" t="s">
        <v>1572</v>
      </c>
      <c r="D4449" s="13">
        <f>D4446+D4447-D4448</f>
        <v>1894.23</v>
      </c>
      <c r="E4449" s="15">
        <f t="shared" si="1"/>
        <v>2025</v>
      </c>
      <c r="F4449" s="15">
        <f t="shared" si="2"/>
        <v>10</v>
      </c>
      <c r="G4449" s="15">
        <f t="shared" si="3"/>
        <v>7</v>
      </c>
    </row>
    <row r="4450">
      <c r="A4450" s="10" t="s">
        <v>37</v>
      </c>
      <c r="B4450" s="94">
        <f t="shared" si="5"/>
        <v>45938</v>
      </c>
      <c r="C4450" s="77" t="s">
        <v>1569</v>
      </c>
      <c r="D4450" s="13">
        <f>D4449</f>
        <v>1894.23</v>
      </c>
      <c r="E4450" s="15">
        <f t="shared" si="1"/>
        <v>2025</v>
      </c>
      <c r="F4450" s="15">
        <f t="shared" si="2"/>
        <v>10</v>
      </c>
      <c r="G4450" s="15">
        <f t="shared" si="3"/>
        <v>8</v>
      </c>
    </row>
    <row r="4451">
      <c r="A4451" s="10" t="s">
        <v>37</v>
      </c>
      <c r="B4451" s="94">
        <f t="shared" si="5"/>
        <v>45938</v>
      </c>
      <c r="C4451" s="77" t="s">
        <v>1570</v>
      </c>
      <c r="D4451" s="13">
        <f>SUMIFS('Lançamentos de receitas'!$E:$E,'Lançamentos de receitas'!$F:$F,"PAGO",'Lançamentos de receitas'!$C:$C,A4451,'Lançamentos de receitas'!$A:$A,B4451)</f>
        <v>1825.79</v>
      </c>
      <c r="E4451" s="15">
        <f t="shared" si="1"/>
        <v>2025</v>
      </c>
      <c r="F4451" s="15">
        <f t="shared" si="2"/>
        <v>10</v>
      </c>
      <c r="G4451" s="15">
        <f t="shared" si="3"/>
        <v>8</v>
      </c>
    </row>
    <row r="4452">
      <c r="A4452" s="10" t="s">
        <v>37</v>
      </c>
      <c r="B4452" s="94">
        <f t="shared" si="5"/>
        <v>45938</v>
      </c>
      <c r="C4452" s="77" t="s">
        <v>1571</v>
      </c>
      <c r="D4452" s="13">
        <f>SUMIFS('Lançamentos de despesas'!$I:$I,'Lançamentos de despesas'!$G:$G,A4452,'Lançamentos de despesas'!$E:$E,"PAGO",'Lançamentos de despesas'!$C:$C,B4452)</f>
        <v>0</v>
      </c>
      <c r="E4452" s="15">
        <f t="shared" si="1"/>
        <v>2025</v>
      </c>
      <c r="F4452" s="15">
        <f t="shared" si="2"/>
        <v>10</v>
      </c>
      <c r="G4452" s="15">
        <f t="shared" si="3"/>
        <v>8</v>
      </c>
    </row>
    <row r="4453">
      <c r="A4453" s="10" t="s">
        <v>37</v>
      </c>
      <c r="B4453" s="94">
        <f t="shared" si="5"/>
        <v>45938</v>
      </c>
      <c r="C4453" s="77" t="s">
        <v>1572</v>
      </c>
      <c r="D4453" s="13">
        <f>D4450+D4451-D4452</f>
        <v>3720.02</v>
      </c>
      <c r="E4453" s="15">
        <f t="shared" si="1"/>
        <v>2025</v>
      </c>
      <c r="F4453" s="15">
        <f t="shared" si="2"/>
        <v>10</v>
      </c>
      <c r="G4453" s="15">
        <f t="shared" si="3"/>
        <v>8</v>
      </c>
    </row>
    <row r="4454">
      <c r="A4454" s="10" t="s">
        <v>37</v>
      </c>
      <c r="B4454" s="94">
        <f t="shared" si="5"/>
        <v>45939</v>
      </c>
      <c r="C4454" s="77" t="s">
        <v>1569</v>
      </c>
      <c r="D4454" s="13">
        <f>D4453</f>
        <v>3720.02</v>
      </c>
      <c r="E4454" s="15">
        <f t="shared" si="1"/>
        <v>2025</v>
      </c>
      <c r="F4454" s="15">
        <f t="shared" si="2"/>
        <v>10</v>
      </c>
      <c r="G4454" s="15">
        <f t="shared" si="3"/>
        <v>9</v>
      </c>
    </row>
    <row r="4455">
      <c r="A4455" s="10" t="s">
        <v>37</v>
      </c>
      <c r="B4455" s="94">
        <f t="shared" si="5"/>
        <v>45939</v>
      </c>
      <c r="C4455" s="77" t="s">
        <v>1570</v>
      </c>
      <c r="D4455" s="13">
        <f>SUMIFS('Lançamentos de receitas'!$E:$E,'Lançamentos de receitas'!$F:$F,"PAGO",'Lançamentos de receitas'!$C:$C,A4455,'Lançamentos de receitas'!$A:$A,B4455)</f>
        <v>1689.53</v>
      </c>
      <c r="E4455" s="15">
        <f t="shared" si="1"/>
        <v>2025</v>
      </c>
      <c r="F4455" s="15">
        <f t="shared" si="2"/>
        <v>10</v>
      </c>
      <c r="G4455" s="15">
        <f t="shared" si="3"/>
        <v>9</v>
      </c>
    </row>
    <row r="4456">
      <c r="A4456" s="10" t="s">
        <v>37</v>
      </c>
      <c r="B4456" s="94">
        <f t="shared" si="5"/>
        <v>45939</v>
      </c>
      <c r="C4456" s="77" t="s">
        <v>1571</v>
      </c>
      <c r="D4456" s="13">
        <f>SUMIFS('Lançamentos de despesas'!$I:$I,'Lançamentos de despesas'!$G:$G,A4456,'Lançamentos de despesas'!$E:$E,"PAGO",'Lançamentos de despesas'!$C:$C,B4456)</f>
        <v>0</v>
      </c>
      <c r="E4456" s="15">
        <f t="shared" si="1"/>
        <v>2025</v>
      </c>
      <c r="F4456" s="15">
        <f t="shared" si="2"/>
        <v>10</v>
      </c>
      <c r="G4456" s="15">
        <f t="shared" si="3"/>
        <v>9</v>
      </c>
    </row>
    <row r="4457">
      <c r="A4457" s="10" t="s">
        <v>37</v>
      </c>
      <c r="B4457" s="94">
        <f t="shared" si="5"/>
        <v>45939</v>
      </c>
      <c r="C4457" s="77" t="s">
        <v>1572</v>
      </c>
      <c r="D4457" s="13">
        <f>D4454+D4455-D4456</f>
        <v>5409.55</v>
      </c>
      <c r="E4457" s="15">
        <f t="shared" si="1"/>
        <v>2025</v>
      </c>
      <c r="F4457" s="15">
        <f t="shared" si="2"/>
        <v>10</v>
      </c>
      <c r="G4457" s="15">
        <f t="shared" si="3"/>
        <v>9</v>
      </c>
    </row>
    <row r="4458">
      <c r="A4458" s="10" t="s">
        <v>37</v>
      </c>
      <c r="B4458" s="94">
        <f t="shared" si="5"/>
        <v>45940</v>
      </c>
      <c r="C4458" s="77" t="s">
        <v>1569</v>
      </c>
      <c r="D4458" s="13">
        <f>D4457</f>
        <v>5409.55</v>
      </c>
      <c r="E4458" s="15">
        <f t="shared" si="1"/>
        <v>2025</v>
      </c>
      <c r="F4458" s="15">
        <f t="shared" si="2"/>
        <v>10</v>
      </c>
      <c r="G4458" s="15">
        <f t="shared" si="3"/>
        <v>10</v>
      </c>
    </row>
    <row r="4459">
      <c r="A4459" s="10" t="s">
        <v>37</v>
      </c>
      <c r="B4459" s="94">
        <f t="shared" si="5"/>
        <v>45940</v>
      </c>
      <c r="C4459" s="77" t="s">
        <v>1570</v>
      </c>
      <c r="D4459" s="13">
        <f>SUMIFS('Lançamentos de receitas'!$E:$E,'Lançamentos de receitas'!$F:$F,"PAGO",'Lançamentos de receitas'!$C:$C,A4459,'Lançamentos de receitas'!$A:$A,B4459)</f>
        <v>2024.28</v>
      </c>
      <c r="E4459" s="15">
        <f t="shared" si="1"/>
        <v>2025</v>
      </c>
      <c r="F4459" s="15">
        <f t="shared" si="2"/>
        <v>10</v>
      </c>
      <c r="G4459" s="15">
        <f t="shared" si="3"/>
        <v>10</v>
      </c>
    </row>
    <row r="4460">
      <c r="A4460" s="10" t="s">
        <v>37</v>
      </c>
      <c r="B4460" s="94">
        <f t="shared" si="5"/>
        <v>45940</v>
      </c>
      <c r="C4460" s="77" t="s">
        <v>1571</v>
      </c>
      <c r="D4460" s="13">
        <f>SUMIFS('Lançamentos de despesas'!$I:$I,'Lançamentos de despesas'!$G:$G,A4460,'Lançamentos de despesas'!$E:$E,"PAGO",'Lançamentos de despesas'!$C:$C,B4460)</f>
        <v>474.5</v>
      </c>
      <c r="E4460" s="15">
        <f t="shared" si="1"/>
        <v>2025</v>
      </c>
      <c r="F4460" s="15">
        <f t="shared" si="2"/>
        <v>10</v>
      </c>
      <c r="G4460" s="15">
        <f t="shared" si="3"/>
        <v>10</v>
      </c>
    </row>
    <row r="4461">
      <c r="A4461" s="10" t="s">
        <v>37</v>
      </c>
      <c r="B4461" s="94">
        <f t="shared" si="5"/>
        <v>45940</v>
      </c>
      <c r="C4461" s="77" t="s">
        <v>1572</v>
      </c>
      <c r="D4461" s="13">
        <f>D4458+D4459-D4460</f>
        <v>6959.33</v>
      </c>
      <c r="E4461" s="15">
        <f t="shared" si="1"/>
        <v>2025</v>
      </c>
      <c r="F4461" s="15">
        <f t="shared" si="2"/>
        <v>10</v>
      </c>
      <c r="G4461" s="15">
        <f t="shared" si="3"/>
        <v>10</v>
      </c>
    </row>
    <row r="4462">
      <c r="A4462" s="10" t="s">
        <v>37</v>
      </c>
      <c r="B4462" s="94">
        <f t="shared" si="5"/>
        <v>45941</v>
      </c>
      <c r="C4462" s="77" t="s">
        <v>1569</v>
      </c>
      <c r="D4462" s="13">
        <f>D4461</f>
        <v>6959.33</v>
      </c>
      <c r="E4462" s="15">
        <f t="shared" si="1"/>
        <v>2025</v>
      </c>
      <c r="F4462" s="15">
        <f t="shared" si="2"/>
        <v>10</v>
      </c>
      <c r="G4462" s="15">
        <f t="shared" si="3"/>
        <v>11</v>
      </c>
    </row>
    <row r="4463">
      <c r="A4463" s="10" t="s">
        <v>37</v>
      </c>
      <c r="B4463" s="94">
        <f t="shared" si="5"/>
        <v>45941</v>
      </c>
      <c r="C4463" s="77" t="s">
        <v>1570</v>
      </c>
      <c r="D4463" s="13">
        <f>SUMIFS('Lançamentos de receitas'!$E:$E,'Lançamentos de receitas'!$F:$F,"PAGO",'Lançamentos de receitas'!$C:$C,A4463,'Lançamentos de receitas'!$A:$A,B4463)</f>
        <v>1692.73</v>
      </c>
      <c r="E4463" s="15">
        <f t="shared" si="1"/>
        <v>2025</v>
      </c>
      <c r="F4463" s="15">
        <f t="shared" si="2"/>
        <v>10</v>
      </c>
      <c r="G4463" s="15">
        <f t="shared" si="3"/>
        <v>11</v>
      </c>
    </row>
    <row r="4464">
      <c r="A4464" s="10" t="s">
        <v>37</v>
      </c>
      <c r="B4464" s="94">
        <f t="shared" si="5"/>
        <v>45941</v>
      </c>
      <c r="C4464" s="77" t="s">
        <v>1571</v>
      </c>
      <c r="D4464" s="13">
        <f>SUMIFS('Lançamentos de despesas'!$I:$I,'Lançamentos de despesas'!$G:$G,A4464,'Lançamentos de despesas'!$E:$E,"PAGO",'Lançamentos de despesas'!$C:$C,B4464)</f>
        <v>0</v>
      </c>
      <c r="E4464" s="15">
        <f t="shared" si="1"/>
        <v>2025</v>
      </c>
      <c r="F4464" s="15">
        <f t="shared" si="2"/>
        <v>10</v>
      </c>
      <c r="G4464" s="15">
        <f t="shared" si="3"/>
        <v>11</v>
      </c>
    </row>
    <row r="4465">
      <c r="A4465" s="10" t="s">
        <v>37</v>
      </c>
      <c r="B4465" s="94">
        <f t="shared" si="5"/>
        <v>45941</v>
      </c>
      <c r="C4465" s="77" t="s">
        <v>1572</v>
      </c>
      <c r="D4465" s="13">
        <f>D4462+D4463-D4464</f>
        <v>8652.06</v>
      </c>
      <c r="E4465" s="15">
        <f t="shared" si="1"/>
        <v>2025</v>
      </c>
      <c r="F4465" s="15">
        <f t="shared" si="2"/>
        <v>10</v>
      </c>
      <c r="G4465" s="15">
        <f t="shared" si="3"/>
        <v>11</v>
      </c>
    </row>
    <row r="4466">
      <c r="A4466" s="10" t="s">
        <v>37</v>
      </c>
      <c r="B4466" s="94">
        <f t="shared" si="5"/>
        <v>45942</v>
      </c>
      <c r="C4466" s="77" t="s">
        <v>1569</v>
      </c>
      <c r="D4466" s="13">
        <f>D4465</f>
        <v>8652.06</v>
      </c>
      <c r="E4466" s="15">
        <f t="shared" si="1"/>
        <v>2025</v>
      </c>
      <c r="F4466" s="15">
        <f t="shared" si="2"/>
        <v>10</v>
      </c>
      <c r="G4466" s="15">
        <f t="shared" si="3"/>
        <v>12</v>
      </c>
    </row>
    <row r="4467">
      <c r="A4467" s="10" t="s">
        <v>37</v>
      </c>
      <c r="B4467" s="94">
        <f t="shared" si="5"/>
        <v>45942</v>
      </c>
      <c r="C4467" s="77" t="s">
        <v>1570</v>
      </c>
      <c r="D4467" s="13">
        <f>SUMIFS('Lançamentos de receitas'!$E:$E,'Lançamentos de receitas'!$F:$F,"PAGO",'Lançamentos de receitas'!$C:$C,A4467,'Lançamentos de receitas'!$A:$A,B4467)</f>
        <v>1475.81</v>
      </c>
      <c r="E4467" s="15">
        <f t="shared" si="1"/>
        <v>2025</v>
      </c>
      <c r="F4467" s="15">
        <f t="shared" si="2"/>
        <v>10</v>
      </c>
      <c r="G4467" s="15">
        <f t="shared" si="3"/>
        <v>12</v>
      </c>
    </row>
    <row r="4468">
      <c r="A4468" s="10" t="s">
        <v>37</v>
      </c>
      <c r="B4468" s="94">
        <f t="shared" si="5"/>
        <v>45942</v>
      </c>
      <c r="C4468" s="77" t="s">
        <v>1571</v>
      </c>
      <c r="D4468" s="13">
        <f>SUMIFS('Lançamentos de despesas'!$I:$I,'Lançamentos de despesas'!$G:$G,A4468,'Lançamentos de despesas'!$E:$E,"PAGO",'Lançamentos de despesas'!$C:$C,B4468)</f>
        <v>0</v>
      </c>
      <c r="E4468" s="15">
        <f t="shared" si="1"/>
        <v>2025</v>
      </c>
      <c r="F4468" s="15">
        <f t="shared" si="2"/>
        <v>10</v>
      </c>
      <c r="G4468" s="15">
        <f t="shared" si="3"/>
        <v>12</v>
      </c>
    </row>
    <row r="4469">
      <c r="A4469" s="10" t="s">
        <v>37</v>
      </c>
      <c r="B4469" s="94">
        <f t="shared" si="5"/>
        <v>45942</v>
      </c>
      <c r="C4469" s="77" t="s">
        <v>1572</v>
      </c>
      <c r="D4469" s="13">
        <f>D4466+D4467-D4468</f>
        <v>10127.87</v>
      </c>
      <c r="E4469" s="15">
        <f t="shared" si="1"/>
        <v>2025</v>
      </c>
      <c r="F4469" s="15">
        <f t="shared" si="2"/>
        <v>10</v>
      </c>
      <c r="G4469" s="15">
        <f t="shared" si="3"/>
        <v>12</v>
      </c>
    </row>
    <row r="4470">
      <c r="A4470" s="10" t="s">
        <v>37</v>
      </c>
      <c r="B4470" s="94">
        <f t="shared" si="5"/>
        <v>45943</v>
      </c>
      <c r="C4470" s="77" t="s">
        <v>1569</v>
      </c>
      <c r="D4470" s="13">
        <f>D4469</f>
        <v>10127.87</v>
      </c>
      <c r="E4470" s="15">
        <f t="shared" si="1"/>
        <v>2025</v>
      </c>
      <c r="F4470" s="15">
        <f t="shared" si="2"/>
        <v>10</v>
      </c>
      <c r="G4470" s="15">
        <f t="shared" si="3"/>
        <v>13</v>
      </c>
    </row>
    <row r="4471">
      <c r="A4471" s="10" t="s">
        <v>37</v>
      </c>
      <c r="B4471" s="94">
        <f t="shared" si="5"/>
        <v>45943</v>
      </c>
      <c r="C4471" s="77" t="s">
        <v>1570</v>
      </c>
      <c r="D4471" s="13">
        <f>SUMIFS('Lançamentos de receitas'!$E:$E,'Lançamentos de receitas'!$F:$F,"PAGO",'Lançamentos de receitas'!$C:$C,A4471,'Lançamentos de receitas'!$A:$A,B4471)</f>
        <v>634.68</v>
      </c>
      <c r="E4471" s="15">
        <f t="shared" si="1"/>
        <v>2025</v>
      </c>
      <c r="F4471" s="15">
        <f t="shared" si="2"/>
        <v>10</v>
      </c>
      <c r="G4471" s="15">
        <f t="shared" si="3"/>
        <v>13</v>
      </c>
    </row>
    <row r="4472">
      <c r="A4472" s="10" t="s">
        <v>37</v>
      </c>
      <c r="B4472" s="94">
        <f t="shared" si="5"/>
        <v>45943</v>
      </c>
      <c r="C4472" s="77" t="s">
        <v>1571</v>
      </c>
      <c r="D4472" s="13">
        <f>SUMIFS('Lançamentos de despesas'!$I:$I,'Lançamentos de despesas'!$G:$G,A4472,'Lançamentos de despesas'!$E:$E,"PAGO",'Lançamentos de despesas'!$C:$C,B4472)</f>
        <v>1336.46</v>
      </c>
      <c r="E4472" s="15">
        <f t="shared" si="1"/>
        <v>2025</v>
      </c>
      <c r="F4472" s="15">
        <f t="shared" si="2"/>
        <v>10</v>
      </c>
      <c r="G4472" s="15">
        <f t="shared" si="3"/>
        <v>13</v>
      </c>
    </row>
    <row r="4473">
      <c r="A4473" s="10" t="s">
        <v>37</v>
      </c>
      <c r="B4473" s="94">
        <f t="shared" si="5"/>
        <v>45943</v>
      </c>
      <c r="C4473" s="77" t="s">
        <v>1572</v>
      </c>
      <c r="D4473" s="13">
        <f>D4470+D4471-D4472</f>
        <v>9426.09</v>
      </c>
      <c r="E4473" s="15">
        <f t="shared" si="1"/>
        <v>2025</v>
      </c>
      <c r="F4473" s="15">
        <f t="shared" si="2"/>
        <v>10</v>
      </c>
      <c r="G4473" s="15">
        <f t="shared" si="3"/>
        <v>13</v>
      </c>
    </row>
    <row r="4474">
      <c r="A4474" s="10" t="s">
        <v>37</v>
      </c>
      <c r="B4474" s="94">
        <f t="shared" si="5"/>
        <v>45944</v>
      </c>
      <c r="C4474" s="77" t="s">
        <v>1569</v>
      </c>
      <c r="D4474" s="13">
        <f>D4473</f>
        <v>9426.09</v>
      </c>
      <c r="E4474" s="15">
        <f t="shared" si="1"/>
        <v>2025</v>
      </c>
      <c r="F4474" s="15">
        <f t="shared" si="2"/>
        <v>10</v>
      </c>
      <c r="G4474" s="15">
        <f t="shared" si="3"/>
        <v>14</v>
      </c>
    </row>
    <row r="4475">
      <c r="A4475" s="10" t="s">
        <v>37</v>
      </c>
      <c r="B4475" s="94">
        <f t="shared" si="5"/>
        <v>45944</v>
      </c>
      <c r="C4475" s="77" t="s">
        <v>1570</v>
      </c>
      <c r="D4475" s="13">
        <f>SUMIFS('Lançamentos de receitas'!$E:$E,'Lançamentos de receitas'!$F:$F,"PAGO",'Lançamentos de receitas'!$C:$C,A4475,'Lançamentos de receitas'!$A:$A,B4475)</f>
        <v>2018.05</v>
      </c>
      <c r="E4475" s="15">
        <f t="shared" si="1"/>
        <v>2025</v>
      </c>
      <c r="F4475" s="15">
        <f t="shared" si="2"/>
        <v>10</v>
      </c>
      <c r="G4475" s="15">
        <f t="shared" si="3"/>
        <v>14</v>
      </c>
    </row>
    <row r="4476">
      <c r="A4476" s="10" t="s">
        <v>37</v>
      </c>
      <c r="B4476" s="94">
        <f t="shared" si="5"/>
        <v>45944</v>
      </c>
      <c r="C4476" s="77" t="s">
        <v>1571</v>
      </c>
      <c r="D4476" s="13">
        <f>SUMIFS('Lançamentos de despesas'!$I:$I,'Lançamentos de despesas'!$G:$G,A4476,'Lançamentos de despesas'!$E:$E,"PAGO",'Lançamentos de despesas'!$C:$C,B4476)</f>
        <v>260</v>
      </c>
      <c r="E4476" s="15">
        <f t="shared" si="1"/>
        <v>2025</v>
      </c>
      <c r="F4476" s="15">
        <f t="shared" si="2"/>
        <v>10</v>
      </c>
      <c r="G4476" s="15">
        <f t="shared" si="3"/>
        <v>14</v>
      </c>
    </row>
    <row r="4477">
      <c r="A4477" s="10" t="s">
        <v>37</v>
      </c>
      <c r="B4477" s="94">
        <f t="shared" si="5"/>
        <v>45944</v>
      </c>
      <c r="C4477" s="77" t="s">
        <v>1572</v>
      </c>
      <c r="D4477" s="13">
        <f>D4474+D4475-D4476</f>
        <v>11184.14</v>
      </c>
      <c r="E4477" s="15">
        <f t="shared" si="1"/>
        <v>2025</v>
      </c>
      <c r="F4477" s="15">
        <f t="shared" si="2"/>
        <v>10</v>
      </c>
      <c r="G4477" s="15">
        <f t="shared" si="3"/>
        <v>14</v>
      </c>
    </row>
    <row r="4478">
      <c r="A4478" s="10" t="s">
        <v>37</v>
      </c>
      <c r="B4478" s="94">
        <f t="shared" si="5"/>
        <v>45945</v>
      </c>
      <c r="C4478" s="77" t="s">
        <v>1569</v>
      </c>
      <c r="D4478" s="13">
        <f>D4477</f>
        <v>11184.14</v>
      </c>
      <c r="E4478" s="15">
        <f t="shared" si="1"/>
        <v>2025</v>
      </c>
      <c r="F4478" s="15">
        <f t="shared" si="2"/>
        <v>10</v>
      </c>
      <c r="G4478" s="15">
        <f t="shared" si="3"/>
        <v>15</v>
      </c>
    </row>
    <row r="4479">
      <c r="A4479" s="10" t="s">
        <v>37</v>
      </c>
      <c r="B4479" s="94">
        <f t="shared" si="5"/>
        <v>45945</v>
      </c>
      <c r="C4479" s="77" t="s">
        <v>1570</v>
      </c>
      <c r="D4479" s="13">
        <f>SUMIFS('Lançamentos de receitas'!$E:$E,'Lançamentos de receitas'!$F:$F,"PAGO",'Lançamentos de receitas'!$C:$C,A4479,'Lançamentos de receitas'!$A:$A,B4479)</f>
        <v>1718.59</v>
      </c>
      <c r="E4479" s="15">
        <f t="shared" si="1"/>
        <v>2025</v>
      </c>
      <c r="F4479" s="15">
        <f t="shared" si="2"/>
        <v>10</v>
      </c>
      <c r="G4479" s="15">
        <f t="shared" si="3"/>
        <v>15</v>
      </c>
    </row>
    <row r="4480">
      <c r="A4480" s="10" t="s">
        <v>37</v>
      </c>
      <c r="B4480" s="94">
        <f t="shared" si="5"/>
        <v>45945</v>
      </c>
      <c r="C4480" s="77" t="s">
        <v>1571</v>
      </c>
      <c r="D4480" s="13">
        <f>SUMIFS('Lançamentos de despesas'!$I:$I,'Lançamentos de despesas'!$G:$G,A4480,'Lançamentos de despesas'!$E:$E,"PAGO",'Lançamentos de despesas'!$C:$C,B4480)</f>
        <v>890</v>
      </c>
      <c r="E4480" s="15">
        <f t="shared" si="1"/>
        <v>2025</v>
      </c>
      <c r="F4480" s="15">
        <f t="shared" si="2"/>
        <v>10</v>
      </c>
      <c r="G4480" s="15">
        <f t="shared" si="3"/>
        <v>15</v>
      </c>
    </row>
    <row r="4481">
      <c r="A4481" s="10" t="s">
        <v>37</v>
      </c>
      <c r="B4481" s="94">
        <f t="shared" si="5"/>
        <v>45945</v>
      </c>
      <c r="C4481" s="77" t="s">
        <v>1572</v>
      </c>
      <c r="D4481" s="13">
        <f>D4478+D4479-D4480</f>
        <v>12012.73</v>
      </c>
      <c r="E4481" s="15">
        <f t="shared" si="1"/>
        <v>2025</v>
      </c>
      <c r="F4481" s="15">
        <f t="shared" si="2"/>
        <v>10</v>
      </c>
      <c r="G4481" s="15">
        <f t="shared" si="3"/>
        <v>15</v>
      </c>
    </row>
    <row r="4482">
      <c r="A4482" s="10" t="s">
        <v>37</v>
      </c>
      <c r="B4482" s="94">
        <f t="shared" si="5"/>
        <v>45946</v>
      </c>
      <c r="C4482" s="77" t="s">
        <v>1569</v>
      </c>
      <c r="D4482" s="13">
        <f>D4481</f>
        <v>12012.73</v>
      </c>
      <c r="E4482" s="15">
        <f t="shared" si="1"/>
        <v>2025</v>
      </c>
      <c r="F4482" s="15">
        <f t="shared" si="2"/>
        <v>10</v>
      </c>
      <c r="G4482" s="15">
        <f t="shared" si="3"/>
        <v>16</v>
      </c>
    </row>
    <row r="4483">
      <c r="A4483" s="10" t="s">
        <v>37</v>
      </c>
      <c r="B4483" s="94">
        <f t="shared" si="5"/>
        <v>45946</v>
      </c>
      <c r="C4483" s="77" t="s">
        <v>1570</v>
      </c>
      <c r="D4483" s="13">
        <f>SUMIFS('Lançamentos de receitas'!$E:$E,'Lançamentos de receitas'!$F:$F,"PAGO",'Lançamentos de receitas'!$C:$C,A4483,'Lançamentos de receitas'!$A:$A,B4483)</f>
        <v>1464.89</v>
      </c>
      <c r="E4483" s="15">
        <f t="shared" si="1"/>
        <v>2025</v>
      </c>
      <c r="F4483" s="15">
        <f t="shared" si="2"/>
        <v>10</v>
      </c>
      <c r="G4483" s="15">
        <f t="shared" si="3"/>
        <v>16</v>
      </c>
    </row>
    <row r="4484">
      <c r="A4484" s="10" t="s">
        <v>37</v>
      </c>
      <c r="B4484" s="94">
        <f t="shared" si="5"/>
        <v>45946</v>
      </c>
      <c r="C4484" s="77" t="s">
        <v>1571</v>
      </c>
      <c r="D4484" s="13">
        <f>SUMIFS('Lançamentos de despesas'!$I:$I,'Lançamentos de despesas'!$G:$G,A4484,'Lançamentos de despesas'!$E:$E,"PAGO",'Lançamentos de despesas'!$C:$C,B4484)</f>
        <v>130</v>
      </c>
      <c r="E4484" s="15">
        <f t="shared" si="1"/>
        <v>2025</v>
      </c>
      <c r="F4484" s="15">
        <f t="shared" si="2"/>
        <v>10</v>
      </c>
      <c r="G4484" s="15">
        <f t="shared" si="3"/>
        <v>16</v>
      </c>
    </row>
    <row r="4485">
      <c r="A4485" s="10" t="s">
        <v>37</v>
      </c>
      <c r="B4485" s="94">
        <f t="shared" si="5"/>
        <v>45946</v>
      </c>
      <c r="C4485" s="77" t="s">
        <v>1572</v>
      </c>
      <c r="D4485" s="13">
        <f>D4482+D4483-D4484</f>
        <v>13347.62</v>
      </c>
      <c r="E4485" s="15">
        <f t="shared" si="1"/>
        <v>2025</v>
      </c>
      <c r="F4485" s="15">
        <f t="shared" si="2"/>
        <v>10</v>
      </c>
      <c r="G4485" s="15">
        <f t="shared" si="3"/>
        <v>16</v>
      </c>
    </row>
    <row r="4486">
      <c r="A4486" s="10" t="s">
        <v>37</v>
      </c>
      <c r="B4486" s="94">
        <f t="shared" si="5"/>
        <v>45947</v>
      </c>
      <c r="C4486" s="77" t="s">
        <v>1569</v>
      </c>
      <c r="D4486" s="13">
        <f>D4485</f>
        <v>13347.62</v>
      </c>
      <c r="E4486" s="15">
        <f t="shared" si="1"/>
        <v>2025</v>
      </c>
      <c r="F4486" s="15">
        <f t="shared" si="2"/>
        <v>10</v>
      </c>
      <c r="G4486" s="15">
        <f t="shared" si="3"/>
        <v>17</v>
      </c>
    </row>
    <row r="4487">
      <c r="A4487" s="10" t="s">
        <v>37</v>
      </c>
      <c r="B4487" s="94">
        <f t="shared" si="5"/>
        <v>45947</v>
      </c>
      <c r="C4487" s="77" t="s">
        <v>1570</v>
      </c>
      <c r="D4487" s="13">
        <f>SUMIFS('Lançamentos de receitas'!$E:$E,'Lançamentos de receitas'!$F:$F,"PAGO",'Lançamentos de receitas'!$C:$C,A4487,'Lançamentos de receitas'!$A:$A,B4487)</f>
        <v>1866.21</v>
      </c>
      <c r="E4487" s="15">
        <f t="shared" si="1"/>
        <v>2025</v>
      </c>
      <c r="F4487" s="15">
        <f t="shared" si="2"/>
        <v>10</v>
      </c>
      <c r="G4487" s="15">
        <f t="shared" si="3"/>
        <v>17</v>
      </c>
    </row>
    <row r="4488">
      <c r="A4488" s="10" t="s">
        <v>37</v>
      </c>
      <c r="B4488" s="94">
        <f t="shared" si="5"/>
        <v>45947</v>
      </c>
      <c r="C4488" s="77" t="s">
        <v>1571</v>
      </c>
      <c r="D4488" s="13">
        <f>SUMIFS('Lançamentos de despesas'!$I:$I,'Lançamentos de despesas'!$G:$G,A4488,'Lançamentos de despesas'!$E:$E,"PAGO",'Lançamentos de despesas'!$C:$C,B4488)</f>
        <v>0</v>
      </c>
      <c r="E4488" s="15">
        <f t="shared" si="1"/>
        <v>2025</v>
      </c>
      <c r="F4488" s="15">
        <f t="shared" si="2"/>
        <v>10</v>
      </c>
      <c r="G4488" s="15">
        <f t="shared" si="3"/>
        <v>17</v>
      </c>
    </row>
    <row r="4489">
      <c r="A4489" s="10" t="s">
        <v>37</v>
      </c>
      <c r="B4489" s="94">
        <f t="shared" si="5"/>
        <v>45947</v>
      </c>
      <c r="C4489" s="77" t="s">
        <v>1572</v>
      </c>
      <c r="D4489" s="13">
        <f>D4486+D4487-D4488</f>
        <v>15213.83</v>
      </c>
      <c r="E4489" s="15">
        <f t="shared" si="1"/>
        <v>2025</v>
      </c>
      <c r="F4489" s="15">
        <f t="shared" si="2"/>
        <v>10</v>
      </c>
      <c r="G4489" s="15">
        <f t="shared" si="3"/>
        <v>17</v>
      </c>
    </row>
    <row r="4490">
      <c r="A4490" s="10" t="s">
        <v>37</v>
      </c>
      <c r="B4490" s="94">
        <f t="shared" si="5"/>
        <v>45948</v>
      </c>
      <c r="C4490" s="77" t="s">
        <v>1569</v>
      </c>
      <c r="D4490" s="13">
        <f>D4489</f>
        <v>15213.83</v>
      </c>
      <c r="E4490" s="15">
        <f t="shared" si="1"/>
        <v>2025</v>
      </c>
      <c r="F4490" s="15">
        <f t="shared" si="2"/>
        <v>10</v>
      </c>
      <c r="G4490" s="15">
        <f t="shared" si="3"/>
        <v>18</v>
      </c>
    </row>
    <row r="4491">
      <c r="A4491" s="10" t="s">
        <v>37</v>
      </c>
      <c r="B4491" s="94">
        <f t="shared" si="5"/>
        <v>45948</v>
      </c>
      <c r="C4491" s="77" t="s">
        <v>1570</v>
      </c>
      <c r="D4491" s="13">
        <f>SUMIFS('Lançamentos de receitas'!$E:$E,'Lançamentos de receitas'!$F:$F,"PAGO",'Lançamentos de receitas'!$C:$C,A4491,'Lançamentos de receitas'!$A:$A,B4491)</f>
        <v>1865.41</v>
      </c>
      <c r="E4491" s="15">
        <f t="shared" si="1"/>
        <v>2025</v>
      </c>
      <c r="F4491" s="15">
        <f t="shared" si="2"/>
        <v>10</v>
      </c>
      <c r="G4491" s="15">
        <f t="shared" si="3"/>
        <v>18</v>
      </c>
    </row>
    <row r="4492">
      <c r="A4492" s="10" t="s">
        <v>37</v>
      </c>
      <c r="B4492" s="94">
        <f t="shared" si="5"/>
        <v>45948</v>
      </c>
      <c r="C4492" s="77" t="s">
        <v>1571</v>
      </c>
      <c r="D4492" s="13">
        <f>SUMIFS('Lançamentos de despesas'!$I:$I,'Lançamentos de despesas'!$G:$G,A4492,'Lançamentos de despesas'!$E:$E,"PAGO",'Lançamentos de despesas'!$C:$C,B4492)</f>
        <v>130</v>
      </c>
      <c r="E4492" s="15">
        <f t="shared" si="1"/>
        <v>2025</v>
      </c>
      <c r="F4492" s="15">
        <f t="shared" si="2"/>
        <v>10</v>
      </c>
      <c r="G4492" s="15">
        <f t="shared" si="3"/>
        <v>18</v>
      </c>
    </row>
    <row r="4493">
      <c r="A4493" s="10" t="s">
        <v>37</v>
      </c>
      <c r="B4493" s="94">
        <f t="shared" si="5"/>
        <v>45948</v>
      </c>
      <c r="C4493" s="77" t="s">
        <v>1572</v>
      </c>
      <c r="D4493" s="13">
        <f>D4490+D4491-D4492</f>
        <v>16949.24</v>
      </c>
      <c r="E4493" s="15">
        <f t="shared" si="1"/>
        <v>2025</v>
      </c>
      <c r="F4493" s="15">
        <f t="shared" si="2"/>
        <v>10</v>
      </c>
      <c r="G4493" s="15">
        <f t="shared" si="3"/>
        <v>18</v>
      </c>
    </row>
    <row r="4494">
      <c r="A4494" s="10" t="s">
        <v>37</v>
      </c>
      <c r="B4494" s="94">
        <f t="shared" si="5"/>
        <v>45949</v>
      </c>
      <c r="C4494" s="77" t="s">
        <v>1569</v>
      </c>
      <c r="D4494" s="13">
        <f>D4493</f>
        <v>16949.24</v>
      </c>
      <c r="E4494" s="15">
        <f t="shared" si="1"/>
        <v>2025</v>
      </c>
      <c r="F4494" s="15">
        <f t="shared" si="2"/>
        <v>10</v>
      </c>
      <c r="G4494" s="15">
        <f t="shared" si="3"/>
        <v>19</v>
      </c>
    </row>
    <row r="4495">
      <c r="A4495" s="10" t="s">
        <v>37</v>
      </c>
      <c r="B4495" s="94">
        <f t="shared" si="5"/>
        <v>45949</v>
      </c>
      <c r="C4495" s="77" t="s">
        <v>1570</v>
      </c>
      <c r="D4495" s="13">
        <f>SUMIFS('Lançamentos de receitas'!$E:$E,'Lançamentos de receitas'!$F:$F,"PAGO",'Lançamentos de receitas'!$C:$C,A4495,'Lançamentos de receitas'!$A:$A,B4495)</f>
        <v>552.51</v>
      </c>
      <c r="E4495" s="15">
        <f t="shared" si="1"/>
        <v>2025</v>
      </c>
      <c r="F4495" s="15">
        <f t="shared" si="2"/>
        <v>10</v>
      </c>
      <c r="G4495" s="15">
        <f t="shared" si="3"/>
        <v>19</v>
      </c>
    </row>
    <row r="4496">
      <c r="A4496" s="10" t="s">
        <v>37</v>
      </c>
      <c r="B4496" s="94">
        <f t="shared" si="5"/>
        <v>45949</v>
      </c>
      <c r="C4496" s="77" t="s">
        <v>1571</v>
      </c>
      <c r="D4496" s="13">
        <f>SUMIFS('Lançamentos de despesas'!$I:$I,'Lançamentos de despesas'!$G:$G,A4496,'Lançamentos de despesas'!$E:$E,"PAGO",'Lançamentos de despesas'!$C:$C,B4496)</f>
        <v>0</v>
      </c>
      <c r="E4496" s="15">
        <f t="shared" si="1"/>
        <v>2025</v>
      </c>
      <c r="F4496" s="15">
        <f t="shared" si="2"/>
        <v>10</v>
      </c>
      <c r="G4496" s="15">
        <f t="shared" si="3"/>
        <v>19</v>
      </c>
    </row>
    <row r="4497">
      <c r="A4497" s="10" t="s">
        <v>37</v>
      </c>
      <c r="B4497" s="94">
        <f t="shared" si="5"/>
        <v>45949</v>
      </c>
      <c r="C4497" s="77" t="s">
        <v>1572</v>
      </c>
      <c r="D4497" s="13">
        <f>D4494+D4495-D4496</f>
        <v>17501.75</v>
      </c>
      <c r="E4497" s="15">
        <f t="shared" si="1"/>
        <v>2025</v>
      </c>
      <c r="F4497" s="15">
        <f t="shared" si="2"/>
        <v>10</v>
      </c>
      <c r="G4497" s="15">
        <f t="shared" si="3"/>
        <v>19</v>
      </c>
    </row>
    <row r="4498">
      <c r="A4498" s="10" t="s">
        <v>37</v>
      </c>
      <c r="B4498" s="94">
        <f t="shared" si="5"/>
        <v>45950</v>
      </c>
      <c r="C4498" s="77" t="s">
        <v>1569</v>
      </c>
      <c r="D4498" s="13">
        <f>D4497</f>
        <v>17501.75</v>
      </c>
      <c r="E4498" s="15">
        <f t="shared" si="1"/>
        <v>2025</v>
      </c>
      <c r="F4498" s="15">
        <f t="shared" si="2"/>
        <v>10</v>
      </c>
      <c r="G4498" s="15">
        <f t="shared" si="3"/>
        <v>20</v>
      </c>
    </row>
    <row r="4499">
      <c r="A4499" s="10" t="s">
        <v>37</v>
      </c>
      <c r="B4499" s="94">
        <f t="shared" si="5"/>
        <v>45950</v>
      </c>
      <c r="C4499" s="77" t="s">
        <v>1570</v>
      </c>
      <c r="D4499" s="13">
        <f>SUMIFS('Lançamentos de receitas'!$E:$E,'Lançamentos de receitas'!$F:$F,"PAGO",'Lançamentos de receitas'!$C:$C,A4499,'Lançamentos de receitas'!$A:$A,B4499)</f>
        <v>609.82</v>
      </c>
      <c r="E4499" s="15">
        <f t="shared" si="1"/>
        <v>2025</v>
      </c>
      <c r="F4499" s="15">
        <f t="shared" si="2"/>
        <v>10</v>
      </c>
      <c r="G4499" s="15">
        <f t="shared" si="3"/>
        <v>20</v>
      </c>
    </row>
    <row r="4500">
      <c r="A4500" s="10" t="s">
        <v>37</v>
      </c>
      <c r="B4500" s="94">
        <f t="shared" si="5"/>
        <v>45950</v>
      </c>
      <c r="C4500" s="77" t="s">
        <v>1571</v>
      </c>
      <c r="D4500" s="13">
        <f>SUMIFS('Lançamentos de despesas'!$I:$I,'Lançamentos de despesas'!$G:$G,A4500,'Lançamentos de despesas'!$E:$E,"PAGO",'Lançamentos de despesas'!$C:$C,B4500)</f>
        <v>10321.12</v>
      </c>
      <c r="E4500" s="15">
        <f t="shared" si="1"/>
        <v>2025</v>
      </c>
      <c r="F4500" s="15">
        <f t="shared" si="2"/>
        <v>10</v>
      </c>
      <c r="G4500" s="15">
        <f t="shared" si="3"/>
        <v>20</v>
      </c>
    </row>
    <row r="4501">
      <c r="A4501" s="10" t="s">
        <v>37</v>
      </c>
      <c r="B4501" s="94">
        <f t="shared" si="5"/>
        <v>45950</v>
      </c>
      <c r="C4501" s="77" t="s">
        <v>1572</v>
      </c>
      <c r="D4501" s="13">
        <f>D4498+D4499-D4500</f>
        <v>7790.45</v>
      </c>
      <c r="E4501" s="15">
        <f t="shared" si="1"/>
        <v>2025</v>
      </c>
      <c r="F4501" s="15">
        <f t="shared" si="2"/>
        <v>10</v>
      </c>
      <c r="G4501" s="15">
        <f t="shared" si="3"/>
        <v>20</v>
      </c>
    </row>
    <row r="4502">
      <c r="A4502" s="10" t="s">
        <v>37</v>
      </c>
      <c r="B4502" s="94">
        <f t="shared" si="5"/>
        <v>45951</v>
      </c>
      <c r="C4502" s="77" t="s">
        <v>1569</v>
      </c>
      <c r="D4502" s="13">
        <f>D4501</f>
        <v>7790.45</v>
      </c>
      <c r="E4502" s="15">
        <f t="shared" si="1"/>
        <v>2025</v>
      </c>
      <c r="F4502" s="15">
        <f t="shared" si="2"/>
        <v>10</v>
      </c>
      <c r="G4502" s="15">
        <f t="shared" si="3"/>
        <v>21</v>
      </c>
    </row>
    <row r="4503">
      <c r="A4503" s="10" t="s">
        <v>37</v>
      </c>
      <c r="B4503" s="94">
        <f t="shared" si="5"/>
        <v>45951</v>
      </c>
      <c r="C4503" s="77" t="s">
        <v>1570</v>
      </c>
      <c r="D4503" s="13">
        <f>SUMIFS('Lançamentos de receitas'!$E:$E,'Lançamentos de receitas'!$F:$F,"PAGO",'Lançamentos de receitas'!$C:$C,A4503,'Lançamentos de receitas'!$A:$A,B4503)</f>
        <v>2383.45</v>
      </c>
      <c r="E4503" s="15">
        <f t="shared" si="1"/>
        <v>2025</v>
      </c>
      <c r="F4503" s="15">
        <f t="shared" si="2"/>
        <v>10</v>
      </c>
      <c r="G4503" s="15">
        <f t="shared" si="3"/>
        <v>21</v>
      </c>
    </row>
    <row r="4504">
      <c r="A4504" s="10" t="s">
        <v>37</v>
      </c>
      <c r="B4504" s="94">
        <f t="shared" si="5"/>
        <v>45951</v>
      </c>
      <c r="C4504" s="77" t="s">
        <v>1571</v>
      </c>
      <c r="D4504" s="13">
        <f>SUMIFS('Lançamentos de despesas'!$I:$I,'Lançamentos de despesas'!$G:$G,A4504,'Lançamentos de despesas'!$E:$E,"PAGO",'Lançamentos de despesas'!$C:$C,B4504)</f>
        <v>1474.27</v>
      </c>
      <c r="E4504" s="15">
        <f t="shared" si="1"/>
        <v>2025</v>
      </c>
      <c r="F4504" s="15">
        <f t="shared" si="2"/>
        <v>10</v>
      </c>
      <c r="G4504" s="15">
        <f t="shared" si="3"/>
        <v>21</v>
      </c>
    </row>
    <row r="4505">
      <c r="A4505" s="10" t="s">
        <v>37</v>
      </c>
      <c r="B4505" s="94">
        <f t="shared" si="5"/>
        <v>45951</v>
      </c>
      <c r="C4505" s="77" t="s">
        <v>1572</v>
      </c>
      <c r="D4505" s="13">
        <f>D4502+D4503-D4504</f>
        <v>8699.63</v>
      </c>
      <c r="E4505" s="15">
        <f t="shared" si="1"/>
        <v>2025</v>
      </c>
      <c r="F4505" s="15">
        <f t="shared" si="2"/>
        <v>10</v>
      </c>
      <c r="G4505" s="15">
        <f t="shared" si="3"/>
        <v>21</v>
      </c>
    </row>
    <row r="4506">
      <c r="A4506" s="10" t="s">
        <v>37</v>
      </c>
      <c r="B4506" s="94">
        <f t="shared" si="5"/>
        <v>45952</v>
      </c>
      <c r="C4506" s="77" t="s">
        <v>1569</v>
      </c>
      <c r="D4506" s="13">
        <f>D4505</f>
        <v>8699.63</v>
      </c>
      <c r="E4506" s="15">
        <f t="shared" si="1"/>
        <v>2025</v>
      </c>
      <c r="F4506" s="15">
        <f t="shared" si="2"/>
        <v>10</v>
      </c>
      <c r="G4506" s="15">
        <f t="shared" si="3"/>
        <v>22</v>
      </c>
    </row>
    <row r="4507">
      <c r="A4507" s="10" t="s">
        <v>37</v>
      </c>
      <c r="B4507" s="94">
        <f t="shared" si="5"/>
        <v>45952</v>
      </c>
      <c r="C4507" s="77" t="s">
        <v>1570</v>
      </c>
      <c r="D4507" s="13">
        <f>SUMIFS('Lançamentos de receitas'!$E:$E,'Lançamentos de receitas'!$F:$F,"PAGO",'Lançamentos de receitas'!$C:$C,A4507,'Lançamentos de receitas'!$A:$A,B4507)</f>
        <v>1077.23</v>
      </c>
      <c r="E4507" s="15">
        <f t="shared" si="1"/>
        <v>2025</v>
      </c>
      <c r="F4507" s="15">
        <f t="shared" si="2"/>
        <v>10</v>
      </c>
      <c r="G4507" s="15">
        <f t="shared" si="3"/>
        <v>22</v>
      </c>
    </row>
    <row r="4508">
      <c r="A4508" s="10" t="s">
        <v>37</v>
      </c>
      <c r="B4508" s="94">
        <f t="shared" si="5"/>
        <v>45952</v>
      </c>
      <c r="C4508" s="77" t="s">
        <v>1571</v>
      </c>
      <c r="D4508" s="13">
        <f>SUMIFS('Lançamentos de despesas'!$I:$I,'Lançamentos de despesas'!$G:$G,A4508,'Lançamentos de despesas'!$E:$E,"PAGO",'Lançamentos de despesas'!$C:$C,B4508)</f>
        <v>1214.27</v>
      </c>
      <c r="E4508" s="15">
        <f t="shared" si="1"/>
        <v>2025</v>
      </c>
      <c r="F4508" s="15">
        <f t="shared" si="2"/>
        <v>10</v>
      </c>
      <c r="G4508" s="15">
        <f t="shared" si="3"/>
        <v>22</v>
      </c>
    </row>
    <row r="4509">
      <c r="A4509" s="10" t="s">
        <v>37</v>
      </c>
      <c r="B4509" s="94">
        <f t="shared" si="5"/>
        <v>45952</v>
      </c>
      <c r="C4509" s="77" t="s">
        <v>1572</v>
      </c>
      <c r="D4509" s="13">
        <f>D4506+D4507-D4508</f>
        <v>8562.59</v>
      </c>
      <c r="E4509" s="15">
        <f t="shared" si="1"/>
        <v>2025</v>
      </c>
      <c r="F4509" s="15">
        <f t="shared" si="2"/>
        <v>10</v>
      </c>
      <c r="G4509" s="15">
        <f t="shared" si="3"/>
        <v>22</v>
      </c>
    </row>
    <row r="4510">
      <c r="A4510" s="10" t="s">
        <v>37</v>
      </c>
      <c r="B4510" s="94">
        <f t="shared" si="5"/>
        <v>45953</v>
      </c>
      <c r="C4510" s="77" t="s">
        <v>1569</v>
      </c>
      <c r="D4510" s="13">
        <f>D4509</f>
        <v>8562.59</v>
      </c>
      <c r="E4510" s="15">
        <f t="shared" si="1"/>
        <v>2025</v>
      </c>
      <c r="F4510" s="15">
        <f t="shared" si="2"/>
        <v>10</v>
      </c>
      <c r="G4510" s="15">
        <f t="shared" si="3"/>
        <v>23</v>
      </c>
    </row>
    <row r="4511">
      <c r="A4511" s="10" t="s">
        <v>37</v>
      </c>
      <c r="B4511" s="94">
        <f t="shared" si="5"/>
        <v>45953</v>
      </c>
      <c r="C4511" s="77" t="s">
        <v>1570</v>
      </c>
      <c r="D4511" s="13">
        <f>SUMIFS('Lançamentos de receitas'!$E:$E,'Lançamentos de receitas'!$F:$F,"PAGO",'Lançamentos de receitas'!$C:$C,A4511,'Lançamentos de receitas'!$A:$A,B4511)</f>
        <v>1487.81</v>
      </c>
      <c r="E4511" s="15">
        <f t="shared" si="1"/>
        <v>2025</v>
      </c>
      <c r="F4511" s="15">
        <f t="shared" si="2"/>
        <v>10</v>
      </c>
      <c r="G4511" s="15">
        <f t="shared" si="3"/>
        <v>23</v>
      </c>
    </row>
    <row r="4512">
      <c r="A4512" s="10" t="s">
        <v>37</v>
      </c>
      <c r="B4512" s="94">
        <f t="shared" si="5"/>
        <v>45953</v>
      </c>
      <c r="C4512" s="77" t="s">
        <v>1571</v>
      </c>
      <c r="D4512" s="13">
        <f>SUMIFS('Lançamentos de despesas'!$I:$I,'Lançamentos de despesas'!$G:$G,A4512,'Lançamentos de despesas'!$E:$E,"PAGO",'Lançamentos de despesas'!$C:$C,B4512)</f>
        <v>600.46</v>
      </c>
      <c r="E4512" s="15">
        <f t="shared" si="1"/>
        <v>2025</v>
      </c>
      <c r="F4512" s="15">
        <f t="shared" si="2"/>
        <v>10</v>
      </c>
      <c r="G4512" s="15">
        <f t="shared" si="3"/>
        <v>23</v>
      </c>
    </row>
    <row r="4513">
      <c r="A4513" s="10" t="s">
        <v>37</v>
      </c>
      <c r="B4513" s="94">
        <f t="shared" si="5"/>
        <v>45953</v>
      </c>
      <c r="C4513" s="77" t="s">
        <v>1572</v>
      </c>
      <c r="D4513" s="13">
        <f>D4510+D4511-D4512</f>
        <v>9449.94</v>
      </c>
      <c r="E4513" s="15">
        <f t="shared" si="1"/>
        <v>2025</v>
      </c>
      <c r="F4513" s="15">
        <f t="shared" si="2"/>
        <v>10</v>
      </c>
      <c r="G4513" s="15">
        <f t="shared" si="3"/>
        <v>23</v>
      </c>
    </row>
    <row r="4514">
      <c r="A4514" s="10" t="s">
        <v>37</v>
      </c>
      <c r="B4514" s="94">
        <f t="shared" si="5"/>
        <v>45954</v>
      </c>
      <c r="C4514" s="77" t="s">
        <v>1569</v>
      </c>
      <c r="D4514" s="13">
        <f>D4513</f>
        <v>9449.94</v>
      </c>
      <c r="E4514" s="15">
        <f t="shared" si="1"/>
        <v>2025</v>
      </c>
      <c r="F4514" s="15">
        <f t="shared" si="2"/>
        <v>10</v>
      </c>
      <c r="G4514" s="15">
        <f t="shared" si="3"/>
        <v>24</v>
      </c>
    </row>
    <row r="4515">
      <c r="A4515" s="10" t="s">
        <v>37</v>
      </c>
      <c r="B4515" s="94">
        <f t="shared" si="5"/>
        <v>45954</v>
      </c>
      <c r="C4515" s="77" t="s">
        <v>1570</v>
      </c>
      <c r="D4515" s="13">
        <f>SUMIFS('Lançamentos de receitas'!$E:$E,'Lançamentos de receitas'!$F:$F,"PAGO",'Lançamentos de receitas'!$C:$C,A4515,'Lançamentos de receitas'!$A:$A,B4515)</f>
        <v>2469.9</v>
      </c>
      <c r="E4515" s="15">
        <f t="shared" si="1"/>
        <v>2025</v>
      </c>
      <c r="F4515" s="15">
        <f t="shared" si="2"/>
        <v>10</v>
      </c>
      <c r="G4515" s="15">
        <f t="shared" si="3"/>
        <v>24</v>
      </c>
    </row>
    <row r="4516">
      <c r="A4516" s="10" t="s">
        <v>37</v>
      </c>
      <c r="B4516" s="94">
        <f t="shared" si="5"/>
        <v>45954</v>
      </c>
      <c r="C4516" s="77" t="s">
        <v>1571</v>
      </c>
      <c r="D4516" s="13">
        <f>SUMIFS('Lançamentos de despesas'!$I:$I,'Lançamentos de despesas'!$G:$G,A4516,'Lançamentos de despesas'!$E:$E,"PAGO",'Lançamentos de despesas'!$C:$C,B4516)</f>
        <v>3322</v>
      </c>
      <c r="E4516" s="15">
        <f t="shared" si="1"/>
        <v>2025</v>
      </c>
      <c r="F4516" s="15">
        <f t="shared" si="2"/>
        <v>10</v>
      </c>
      <c r="G4516" s="15">
        <f t="shared" si="3"/>
        <v>24</v>
      </c>
    </row>
    <row r="4517">
      <c r="A4517" s="10" t="s">
        <v>37</v>
      </c>
      <c r="B4517" s="94">
        <f t="shared" si="5"/>
        <v>45954</v>
      </c>
      <c r="C4517" s="77" t="s">
        <v>1572</v>
      </c>
      <c r="D4517" s="13">
        <f>D4514+D4515-D4516</f>
        <v>8597.84</v>
      </c>
      <c r="E4517" s="15">
        <f t="shared" si="1"/>
        <v>2025</v>
      </c>
      <c r="F4517" s="15">
        <f t="shared" si="2"/>
        <v>10</v>
      </c>
      <c r="G4517" s="15">
        <f t="shared" si="3"/>
        <v>24</v>
      </c>
    </row>
    <row r="4518">
      <c r="A4518" s="10" t="s">
        <v>37</v>
      </c>
      <c r="B4518" s="94">
        <f t="shared" si="5"/>
        <v>45955</v>
      </c>
      <c r="C4518" s="77" t="s">
        <v>1569</v>
      </c>
      <c r="D4518" s="13">
        <f>D4517</f>
        <v>8597.84</v>
      </c>
      <c r="E4518" s="15">
        <f t="shared" si="1"/>
        <v>2025</v>
      </c>
      <c r="F4518" s="15">
        <f t="shared" si="2"/>
        <v>10</v>
      </c>
      <c r="G4518" s="15">
        <f t="shared" si="3"/>
        <v>25</v>
      </c>
    </row>
    <row r="4519">
      <c r="A4519" s="10" t="s">
        <v>37</v>
      </c>
      <c r="B4519" s="94">
        <f t="shared" si="5"/>
        <v>45955</v>
      </c>
      <c r="C4519" s="77" t="s">
        <v>1570</v>
      </c>
      <c r="D4519" s="13">
        <f>SUMIFS('Lançamentos de receitas'!$E:$E,'Lançamentos de receitas'!$F:$F,"PAGO",'Lançamentos de receitas'!$C:$C,A4519,'Lançamentos de receitas'!$A:$A,B4519)</f>
        <v>2474.89</v>
      </c>
      <c r="E4519" s="15">
        <f t="shared" si="1"/>
        <v>2025</v>
      </c>
      <c r="F4519" s="15">
        <f t="shared" si="2"/>
        <v>10</v>
      </c>
      <c r="G4519" s="15">
        <f t="shared" si="3"/>
        <v>25</v>
      </c>
    </row>
    <row r="4520">
      <c r="A4520" s="10" t="s">
        <v>37</v>
      </c>
      <c r="B4520" s="94">
        <f t="shared" si="5"/>
        <v>45955</v>
      </c>
      <c r="C4520" s="77" t="s">
        <v>1571</v>
      </c>
      <c r="D4520" s="13">
        <f>SUMIFS('Lançamentos de despesas'!$I:$I,'Lançamentos de despesas'!$G:$G,A4520,'Lançamentos de despesas'!$E:$E,"PAGO",'Lançamentos de despesas'!$C:$C,B4520)</f>
        <v>0</v>
      </c>
      <c r="E4520" s="15">
        <f t="shared" si="1"/>
        <v>2025</v>
      </c>
      <c r="F4520" s="15">
        <f t="shared" si="2"/>
        <v>10</v>
      </c>
      <c r="G4520" s="15">
        <f t="shared" si="3"/>
        <v>25</v>
      </c>
    </row>
    <row r="4521">
      <c r="A4521" s="10" t="s">
        <v>37</v>
      </c>
      <c r="B4521" s="94">
        <f t="shared" si="5"/>
        <v>45955</v>
      </c>
      <c r="C4521" s="77" t="s">
        <v>1572</v>
      </c>
      <c r="D4521" s="13">
        <f>D4518+D4519-D4520</f>
        <v>11072.73</v>
      </c>
      <c r="E4521" s="15">
        <f t="shared" si="1"/>
        <v>2025</v>
      </c>
      <c r="F4521" s="15">
        <f t="shared" si="2"/>
        <v>10</v>
      </c>
      <c r="G4521" s="15">
        <f t="shared" si="3"/>
        <v>25</v>
      </c>
    </row>
    <row r="4522">
      <c r="A4522" s="10" t="s">
        <v>37</v>
      </c>
      <c r="B4522" s="94">
        <f t="shared" si="5"/>
        <v>45956</v>
      </c>
      <c r="C4522" s="77" t="s">
        <v>1569</v>
      </c>
      <c r="D4522" s="13">
        <f>D4521</f>
        <v>11072.73</v>
      </c>
      <c r="E4522" s="15">
        <f t="shared" si="1"/>
        <v>2025</v>
      </c>
      <c r="F4522" s="15">
        <f t="shared" si="2"/>
        <v>10</v>
      </c>
      <c r="G4522" s="15">
        <f t="shared" si="3"/>
        <v>26</v>
      </c>
    </row>
    <row r="4523">
      <c r="A4523" s="10" t="s">
        <v>37</v>
      </c>
      <c r="B4523" s="94">
        <f t="shared" si="5"/>
        <v>45956</v>
      </c>
      <c r="C4523" s="77" t="s">
        <v>1570</v>
      </c>
      <c r="D4523" s="13">
        <f>SUMIFS('Lançamentos de receitas'!$E:$E,'Lançamentos de receitas'!$F:$F,"PAGO",'Lançamentos de receitas'!$C:$C,A4523,'Lançamentos de receitas'!$A:$A,B4523)</f>
        <v>1196.82</v>
      </c>
      <c r="E4523" s="15">
        <f t="shared" si="1"/>
        <v>2025</v>
      </c>
      <c r="F4523" s="15">
        <f t="shared" si="2"/>
        <v>10</v>
      </c>
      <c r="G4523" s="15">
        <f t="shared" si="3"/>
        <v>26</v>
      </c>
    </row>
    <row r="4524">
      <c r="A4524" s="10" t="s">
        <v>37</v>
      </c>
      <c r="B4524" s="94">
        <f t="shared" si="5"/>
        <v>45956</v>
      </c>
      <c r="C4524" s="77" t="s">
        <v>1571</v>
      </c>
      <c r="D4524" s="13">
        <f>SUMIFS('Lançamentos de despesas'!$I:$I,'Lançamentos de despesas'!$G:$G,A4524,'Lançamentos de despesas'!$E:$E,"PAGO",'Lançamentos de despesas'!$C:$C,B4524)</f>
        <v>0</v>
      </c>
      <c r="E4524" s="15">
        <f t="shared" si="1"/>
        <v>2025</v>
      </c>
      <c r="F4524" s="15">
        <f t="shared" si="2"/>
        <v>10</v>
      </c>
      <c r="G4524" s="15">
        <f t="shared" si="3"/>
        <v>26</v>
      </c>
    </row>
    <row r="4525">
      <c r="A4525" s="10" t="s">
        <v>37</v>
      </c>
      <c r="B4525" s="94">
        <f t="shared" si="5"/>
        <v>45956</v>
      </c>
      <c r="C4525" s="77" t="s">
        <v>1572</v>
      </c>
      <c r="D4525" s="13">
        <f>D4522+D4523-D4524</f>
        <v>12269.55</v>
      </c>
      <c r="E4525" s="15">
        <f t="shared" si="1"/>
        <v>2025</v>
      </c>
      <c r="F4525" s="15">
        <f t="shared" si="2"/>
        <v>10</v>
      </c>
      <c r="G4525" s="15">
        <f t="shared" si="3"/>
        <v>26</v>
      </c>
    </row>
    <row r="4526">
      <c r="A4526" s="10" t="s">
        <v>37</v>
      </c>
      <c r="B4526" s="94">
        <f t="shared" si="5"/>
        <v>45957</v>
      </c>
      <c r="C4526" s="77" t="s">
        <v>1569</v>
      </c>
      <c r="D4526" s="13">
        <f>D4525</f>
        <v>12269.55</v>
      </c>
      <c r="E4526" s="15">
        <f t="shared" si="1"/>
        <v>2025</v>
      </c>
      <c r="F4526" s="15">
        <f t="shared" si="2"/>
        <v>10</v>
      </c>
      <c r="G4526" s="15">
        <f t="shared" si="3"/>
        <v>27</v>
      </c>
    </row>
    <row r="4527">
      <c r="A4527" s="10" t="s">
        <v>37</v>
      </c>
      <c r="B4527" s="94">
        <f t="shared" si="5"/>
        <v>45957</v>
      </c>
      <c r="C4527" s="77" t="s">
        <v>1570</v>
      </c>
      <c r="D4527" s="13">
        <f>SUMIFS('Lançamentos de receitas'!$E:$E,'Lançamentos de receitas'!$F:$F,"PAGO",'Lançamentos de receitas'!$C:$C,A4527,'Lançamentos de receitas'!$A:$A,B4527)</f>
        <v>16343.87</v>
      </c>
      <c r="E4527" s="15">
        <f t="shared" si="1"/>
        <v>2025</v>
      </c>
      <c r="F4527" s="15">
        <f t="shared" si="2"/>
        <v>10</v>
      </c>
      <c r="G4527" s="15">
        <f t="shared" si="3"/>
        <v>27</v>
      </c>
    </row>
    <row r="4528">
      <c r="A4528" s="10" t="s">
        <v>37</v>
      </c>
      <c r="B4528" s="94">
        <f t="shared" si="5"/>
        <v>45957</v>
      </c>
      <c r="C4528" s="77" t="s">
        <v>1571</v>
      </c>
      <c r="D4528" s="13">
        <f>SUMIFS('Lançamentos de despesas'!$I:$I,'Lançamentos de despesas'!$G:$G,A4528,'Lançamentos de despesas'!$E:$E,"PAGO",'Lançamentos de despesas'!$C:$C,B4528)</f>
        <v>28102.9</v>
      </c>
      <c r="E4528" s="15">
        <f t="shared" si="1"/>
        <v>2025</v>
      </c>
      <c r="F4528" s="15">
        <f t="shared" si="2"/>
        <v>10</v>
      </c>
      <c r="G4528" s="15">
        <f t="shared" si="3"/>
        <v>27</v>
      </c>
    </row>
    <row r="4529">
      <c r="A4529" s="10" t="s">
        <v>37</v>
      </c>
      <c r="B4529" s="94">
        <f t="shared" si="5"/>
        <v>45957</v>
      </c>
      <c r="C4529" s="77" t="s">
        <v>1572</v>
      </c>
      <c r="D4529" s="13">
        <f>D4526+D4527-D4528</f>
        <v>510.52</v>
      </c>
      <c r="E4529" s="15">
        <f t="shared" si="1"/>
        <v>2025</v>
      </c>
      <c r="F4529" s="15">
        <f t="shared" si="2"/>
        <v>10</v>
      </c>
      <c r="G4529" s="15">
        <f t="shared" si="3"/>
        <v>27</v>
      </c>
    </row>
    <row r="4530">
      <c r="A4530" s="10" t="s">
        <v>37</v>
      </c>
      <c r="B4530" s="94">
        <f t="shared" si="5"/>
        <v>45958</v>
      </c>
      <c r="C4530" s="77" t="s">
        <v>1569</v>
      </c>
      <c r="D4530" s="13">
        <f>D4529</f>
        <v>510.52</v>
      </c>
      <c r="E4530" s="15">
        <f t="shared" si="1"/>
        <v>2025</v>
      </c>
      <c r="F4530" s="15">
        <f t="shared" si="2"/>
        <v>10</v>
      </c>
      <c r="G4530" s="15">
        <f t="shared" si="3"/>
        <v>28</v>
      </c>
    </row>
    <row r="4531">
      <c r="A4531" s="10" t="s">
        <v>37</v>
      </c>
      <c r="B4531" s="94">
        <f t="shared" si="5"/>
        <v>45958</v>
      </c>
      <c r="C4531" s="77" t="s">
        <v>1570</v>
      </c>
      <c r="D4531" s="13">
        <f>SUMIFS('Lançamentos de receitas'!$E:$E,'Lançamentos de receitas'!$F:$F,"PAGO",'Lançamentos de receitas'!$C:$C,A4531,'Lançamentos de receitas'!$A:$A,B4531)</f>
        <v>1031.93</v>
      </c>
      <c r="E4531" s="15">
        <f t="shared" si="1"/>
        <v>2025</v>
      </c>
      <c r="F4531" s="15">
        <f t="shared" si="2"/>
        <v>10</v>
      </c>
      <c r="G4531" s="15">
        <f t="shared" si="3"/>
        <v>28</v>
      </c>
    </row>
    <row r="4532">
      <c r="A4532" s="10" t="s">
        <v>37</v>
      </c>
      <c r="B4532" s="94">
        <f t="shared" si="5"/>
        <v>45958</v>
      </c>
      <c r="C4532" s="77" t="s">
        <v>1571</v>
      </c>
      <c r="D4532" s="13">
        <f>SUMIFS('Lançamentos de despesas'!$I:$I,'Lançamentos de despesas'!$G:$G,A4532,'Lançamentos de despesas'!$E:$E,"PAGO",'Lançamentos de despesas'!$C:$C,B4532)</f>
        <v>260</v>
      </c>
      <c r="E4532" s="15">
        <f t="shared" si="1"/>
        <v>2025</v>
      </c>
      <c r="F4532" s="15">
        <f t="shared" si="2"/>
        <v>10</v>
      </c>
      <c r="G4532" s="15">
        <f t="shared" si="3"/>
        <v>28</v>
      </c>
    </row>
    <row r="4533">
      <c r="A4533" s="10" t="s">
        <v>37</v>
      </c>
      <c r="B4533" s="94">
        <f t="shared" si="5"/>
        <v>45958</v>
      </c>
      <c r="C4533" s="77" t="s">
        <v>1572</v>
      </c>
      <c r="D4533" s="13">
        <f>D4530+D4531-D4532</f>
        <v>1282.45</v>
      </c>
      <c r="E4533" s="15">
        <f t="shared" si="1"/>
        <v>2025</v>
      </c>
      <c r="F4533" s="15">
        <f t="shared" si="2"/>
        <v>10</v>
      </c>
      <c r="G4533" s="15">
        <f t="shared" si="3"/>
        <v>28</v>
      </c>
    </row>
    <row r="4534">
      <c r="A4534" s="10" t="s">
        <v>37</v>
      </c>
      <c r="B4534" s="94">
        <f t="shared" si="5"/>
        <v>45959</v>
      </c>
      <c r="C4534" s="77" t="s">
        <v>1569</v>
      </c>
      <c r="D4534" s="13">
        <f>D4533</f>
        <v>1282.45</v>
      </c>
      <c r="E4534" s="15">
        <f t="shared" si="1"/>
        <v>2025</v>
      </c>
      <c r="F4534" s="15">
        <f t="shared" si="2"/>
        <v>10</v>
      </c>
      <c r="G4534" s="15">
        <f t="shared" si="3"/>
        <v>29</v>
      </c>
    </row>
    <row r="4535">
      <c r="A4535" s="10" t="s">
        <v>37</v>
      </c>
      <c r="B4535" s="94">
        <f t="shared" si="5"/>
        <v>45959</v>
      </c>
      <c r="C4535" s="77" t="s">
        <v>1570</v>
      </c>
      <c r="D4535" s="13">
        <f>SUMIFS('Lançamentos de receitas'!$E:$E,'Lançamentos de receitas'!$F:$F,"PAGO",'Lançamentos de receitas'!$C:$C,A4535,'Lançamentos de receitas'!$A:$A,B4535)</f>
        <v>1954.02</v>
      </c>
      <c r="E4535" s="15">
        <f t="shared" si="1"/>
        <v>2025</v>
      </c>
      <c r="F4535" s="15">
        <f t="shared" si="2"/>
        <v>10</v>
      </c>
      <c r="G4535" s="15">
        <f t="shared" si="3"/>
        <v>29</v>
      </c>
    </row>
    <row r="4536">
      <c r="A4536" s="10" t="s">
        <v>37</v>
      </c>
      <c r="B4536" s="94">
        <f t="shared" si="5"/>
        <v>45959</v>
      </c>
      <c r="C4536" s="77" t="s">
        <v>1571</v>
      </c>
      <c r="D4536" s="13">
        <f>SUMIFS('Lançamentos de despesas'!$I:$I,'Lançamentos de despesas'!$G:$G,A4536,'Lançamentos de despesas'!$E:$E,"PAGO",'Lançamentos de despesas'!$C:$C,B4536)</f>
        <v>0</v>
      </c>
      <c r="E4536" s="15">
        <f t="shared" si="1"/>
        <v>2025</v>
      </c>
      <c r="F4536" s="15">
        <f t="shared" si="2"/>
        <v>10</v>
      </c>
      <c r="G4536" s="15">
        <f t="shared" si="3"/>
        <v>29</v>
      </c>
    </row>
    <row r="4537">
      <c r="A4537" s="10" t="s">
        <v>37</v>
      </c>
      <c r="B4537" s="94">
        <f t="shared" si="5"/>
        <v>45959</v>
      </c>
      <c r="C4537" s="77" t="s">
        <v>1572</v>
      </c>
      <c r="D4537" s="13">
        <f>D4534+D4535-D4536</f>
        <v>3236.47</v>
      </c>
      <c r="E4537" s="15">
        <f t="shared" si="1"/>
        <v>2025</v>
      </c>
      <c r="F4537" s="15">
        <f t="shared" si="2"/>
        <v>10</v>
      </c>
      <c r="G4537" s="15">
        <f t="shared" si="3"/>
        <v>29</v>
      </c>
    </row>
    <row r="4538">
      <c r="A4538" s="10" t="s">
        <v>37</v>
      </c>
      <c r="B4538" s="94">
        <f t="shared" si="5"/>
        <v>45960</v>
      </c>
      <c r="C4538" s="77" t="s">
        <v>1569</v>
      </c>
      <c r="D4538" s="13">
        <f>D4537</f>
        <v>3236.47</v>
      </c>
      <c r="E4538" s="15">
        <f t="shared" si="1"/>
        <v>2025</v>
      </c>
      <c r="F4538" s="15">
        <f t="shared" si="2"/>
        <v>10</v>
      </c>
      <c r="G4538" s="15">
        <f t="shared" si="3"/>
        <v>30</v>
      </c>
    </row>
    <row r="4539">
      <c r="A4539" s="10" t="s">
        <v>37</v>
      </c>
      <c r="B4539" s="94">
        <f t="shared" si="5"/>
        <v>45960</v>
      </c>
      <c r="C4539" s="77" t="s">
        <v>1570</v>
      </c>
      <c r="D4539" s="13">
        <f>SUMIFS('Lançamentos de receitas'!$E:$E,'Lançamentos de receitas'!$F:$F,"PAGO",'Lançamentos de receitas'!$C:$C,A4539,'Lançamentos de receitas'!$A:$A,B4539)</f>
        <v>2051.49</v>
      </c>
      <c r="E4539" s="15">
        <f t="shared" si="1"/>
        <v>2025</v>
      </c>
      <c r="F4539" s="15">
        <f t="shared" si="2"/>
        <v>10</v>
      </c>
      <c r="G4539" s="15">
        <f t="shared" si="3"/>
        <v>30</v>
      </c>
    </row>
    <row r="4540">
      <c r="A4540" s="10" t="s">
        <v>37</v>
      </c>
      <c r="B4540" s="94">
        <f t="shared" si="5"/>
        <v>45960</v>
      </c>
      <c r="C4540" s="77" t="s">
        <v>1571</v>
      </c>
      <c r="D4540" s="13">
        <f>SUMIFS('Lançamentos de despesas'!$I:$I,'Lançamentos de despesas'!$G:$G,A4540,'Lançamentos de despesas'!$E:$E,"PAGO",'Lançamentos de despesas'!$C:$C,B4540)</f>
        <v>0</v>
      </c>
      <c r="E4540" s="15">
        <f t="shared" si="1"/>
        <v>2025</v>
      </c>
      <c r="F4540" s="15">
        <f t="shared" si="2"/>
        <v>10</v>
      </c>
      <c r="G4540" s="15">
        <f t="shared" si="3"/>
        <v>30</v>
      </c>
    </row>
    <row r="4541">
      <c r="A4541" s="10" t="s">
        <v>37</v>
      </c>
      <c r="B4541" s="94">
        <f t="shared" si="5"/>
        <v>45960</v>
      </c>
      <c r="C4541" s="77" t="s">
        <v>1572</v>
      </c>
      <c r="D4541" s="13">
        <f>D4538+D4539-D4540</f>
        <v>5287.96</v>
      </c>
      <c r="E4541" s="15">
        <f t="shared" si="1"/>
        <v>2025</v>
      </c>
      <c r="F4541" s="15">
        <f t="shared" si="2"/>
        <v>10</v>
      </c>
      <c r="G4541" s="15">
        <f t="shared" si="3"/>
        <v>30</v>
      </c>
    </row>
    <row r="4542">
      <c r="A4542" s="10" t="s">
        <v>37</v>
      </c>
      <c r="B4542" s="94">
        <f t="shared" si="5"/>
        <v>45961</v>
      </c>
      <c r="C4542" s="77" t="s">
        <v>1569</v>
      </c>
      <c r="D4542" s="13">
        <f>D4541</f>
        <v>5287.96</v>
      </c>
      <c r="E4542" s="15">
        <f t="shared" si="1"/>
        <v>2025</v>
      </c>
      <c r="F4542" s="15">
        <f t="shared" si="2"/>
        <v>10</v>
      </c>
      <c r="G4542" s="15">
        <f t="shared" si="3"/>
        <v>31</v>
      </c>
    </row>
    <row r="4543">
      <c r="A4543" s="10" t="s">
        <v>37</v>
      </c>
      <c r="B4543" s="94">
        <f t="shared" si="5"/>
        <v>45961</v>
      </c>
      <c r="C4543" s="77" t="s">
        <v>1570</v>
      </c>
      <c r="D4543" s="13">
        <f>SUMIFS('Lançamentos de receitas'!$E:$E,'Lançamentos de receitas'!$F:$F,"PAGO",'Lançamentos de receitas'!$C:$C,A4543,'Lançamentos de receitas'!$A:$A,B4543)</f>
        <v>2683.89</v>
      </c>
      <c r="E4543" s="15">
        <f t="shared" si="1"/>
        <v>2025</v>
      </c>
      <c r="F4543" s="15">
        <f t="shared" si="2"/>
        <v>10</v>
      </c>
      <c r="G4543" s="15">
        <f t="shared" si="3"/>
        <v>31</v>
      </c>
    </row>
    <row r="4544">
      <c r="A4544" s="10" t="s">
        <v>37</v>
      </c>
      <c r="B4544" s="94">
        <f t="shared" si="5"/>
        <v>45961</v>
      </c>
      <c r="C4544" s="77" t="s">
        <v>1571</v>
      </c>
      <c r="D4544" s="13">
        <f>SUMIFS('Lançamentos de despesas'!$I:$I,'Lançamentos de despesas'!$G:$G,A4544,'Lançamentos de despesas'!$E:$E,"PAGO",'Lançamentos de despesas'!$C:$C,B4544)</f>
        <v>750</v>
      </c>
      <c r="E4544" s="15">
        <f t="shared" si="1"/>
        <v>2025</v>
      </c>
      <c r="F4544" s="15">
        <f t="shared" si="2"/>
        <v>10</v>
      </c>
      <c r="G4544" s="15">
        <f t="shared" si="3"/>
        <v>31</v>
      </c>
    </row>
    <row r="4545">
      <c r="A4545" s="10" t="s">
        <v>37</v>
      </c>
      <c r="B4545" s="94">
        <f t="shared" si="5"/>
        <v>45961</v>
      </c>
      <c r="C4545" s="77" t="s">
        <v>1572</v>
      </c>
      <c r="D4545" s="13">
        <f>D4542+D4543-D4544</f>
        <v>7221.85</v>
      </c>
      <c r="E4545" s="15">
        <f t="shared" si="1"/>
        <v>2025</v>
      </c>
      <c r="F4545" s="15">
        <f t="shared" si="2"/>
        <v>10</v>
      </c>
      <c r="G4545" s="15">
        <f t="shared" si="3"/>
        <v>31</v>
      </c>
    </row>
    <row r="4546">
      <c r="A4546" s="10" t="s">
        <v>37</v>
      </c>
      <c r="B4546" s="94">
        <f t="shared" si="5"/>
        <v>45962</v>
      </c>
      <c r="C4546" s="77" t="s">
        <v>1569</v>
      </c>
      <c r="D4546" s="13">
        <f>D4545</f>
        <v>7221.85</v>
      </c>
      <c r="E4546" s="15">
        <f t="shared" si="1"/>
        <v>2025</v>
      </c>
      <c r="F4546" s="15">
        <f t="shared" si="2"/>
        <v>11</v>
      </c>
      <c r="G4546" s="15">
        <f t="shared" si="3"/>
        <v>1</v>
      </c>
    </row>
    <row r="4547">
      <c r="A4547" s="10" t="s">
        <v>37</v>
      </c>
      <c r="B4547" s="94">
        <f t="shared" si="5"/>
        <v>45962</v>
      </c>
      <c r="C4547" s="77" t="s">
        <v>1570</v>
      </c>
      <c r="D4547" s="13">
        <f>SUMIFS('Lançamentos de receitas'!$E:$E,'Lançamentos de receitas'!$F:$F,"PAGO",'Lançamentos de receitas'!$C:$C,A4547,'Lançamentos de receitas'!$A:$A,B4547)</f>
        <v>2411.02</v>
      </c>
      <c r="E4547" s="15">
        <f t="shared" si="1"/>
        <v>2025</v>
      </c>
      <c r="F4547" s="15">
        <f t="shared" si="2"/>
        <v>11</v>
      </c>
      <c r="G4547" s="15">
        <f t="shared" si="3"/>
        <v>1</v>
      </c>
    </row>
    <row r="4548">
      <c r="A4548" s="10" t="s">
        <v>37</v>
      </c>
      <c r="B4548" s="94">
        <f t="shared" si="5"/>
        <v>45962</v>
      </c>
      <c r="C4548" s="77" t="s">
        <v>1571</v>
      </c>
      <c r="D4548" s="13">
        <f>SUMIFS('Lançamentos de despesas'!$I:$I,'Lançamentos de despesas'!$G:$G,A4548,'Lançamentos de despesas'!$E:$E,"PAGO",'Lançamentos de despesas'!$C:$C,B4548)</f>
        <v>0</v>
      </c>
      <c r="E4548" s="15">
        <f t="shared" si="1"/>
        <v>2025</v>
      </c>
      <c r="F4548" s="15">
        <f t="shared" si="2"/>
        <v>11</v>
      </c>
      <c r="G4548" s="15">
        <f t="shared" si="3"/>
        <v>1</v>
      </c>
    </row>
    <row r="4549">
      <c r="A4549" s="10" t="s">
        <v>37</v>
      </c>
      <c r="B4549" s="94">
        <f t="shared" si="5"/>
        <v>45962</v>
      </c>
      <c r="C4549" s="77" t="s">
        <v>1572</v>
      </c>
      <c r="D4549" s="13">
        <f>D4546+D4547-D4548</f>
        <v>9632.87</v>
      </c>
      <c r="E4549" s="15">
        <f t="shared" si="1"/>
        <v>2025</v>
      </c>
      <c r="F4549" s="15">
        <f t="shared" si="2"/>
        <v>11</v>
      </c>
      <c r="G4549" s="15">
        <f t="shared" si="3"/>
        <v>1</v>
      </c>
    </row>
    <row r="4550">
      <c r="A4550" s="10" t="s">
        <v>37</v>
      </c>
      <c r="B4550" s="94">
        <f t="shared" si="5"/>
        <v>45963</v>
      </c>
      <c r="C4550" s="77" t="s">
        <v>1569</v>
      </c>
      <c r="D4550" s="13">
        <f>D4549</f>
        <v>9632.87</v>
      </c>
      <c r="E4550" s="15">
        <f t="shared" si="1"/>
        <v>2025</v>
      </c>
      <c r="F4550" s="15">
        <f t="shared" si="2"/>
        <v>11</v>
      </c>
      <c r="G4550" s="15">
        <f t="shared" si="3"/>
        <v>2</v>
      </c>
    </row>
    <row r="4551">
      <c r="A4551" s="10" t="s">
        <v>37</v>
      </c>
      <c r="B4551" s="94">
        <f t="shared" si="5"/>
        <v>45963</v>
      </c>
      <c r="C4551" s="77" t="s">
        <v>1570</v>
      </c>
      <c r="D4551" s="13">
        <f>SUMIFS('Lançamentos de receitas'!$E:$E,'Lançamentos de receitas'!$F:$F,"PAGO",'Lançamentos de receitas'!$C:$C,A4551,'Lançamentos de receitas'!$A:$A,B4551)</f>
        <v>3051.85</v>
      </c>
      <c r="E4551" s="15">
        <f t="shared" si="1"/>
        <v>2025</v>
      </c>
      <c r="F4551" s="15">
        <f t="shared" si="2"/>
        <v>11</v>
      </c>
      <c r="G4551" s="15">
        <f t="shared" si="3"/>
        <v>2</v>
      </c>
    </row>
    <row r="4552">
      <c r="A4552" s="10" t="s">
        <v>37</v>
      </c>
      <c r="B4552" s="94">
        <f t="shared" si="5"/>
        <v>45963</v>
      </c>
      <c r="C4552" s="77" t="s">
        <v>1571</v>
      </c>
      <c r="D4552" s="13">
        <f>SUMIFS('Lançamentos de despesas'!$I:$I,'Lançamentos de despesas'!$G:$G,A4552,'Lançamentos de despesas'!$E:$E,"PAGO",'Lançamentos de despesas'!$C:$C,B4552)</f>
        <v>0</v>
      </c>
      <c r="E4552" s="15">
        <f t="shared" si="1"/>
        <v>2025</v>
      </c>
      <c r="F4552" s="15">
        <f t="shared" si="2"/>
        <v>11</v>
      </c>
      <c r="G4552" s="15">
        <f t="shared" si="3"/>
        <v>2</v>
      </c>
    </row>
    <row r="4553">
      <c r="A4553" s="10" t="s">
        <v>37</v>
      </c>
      <c r="B4553" s="94">
        <f t="shared" si="5"/>
        <v>45963</v>
      </c>
      <c r="C4553" s="77" t="s">
        <v>1572</v>
      </c>
      <c r="D4553" s="13">
        <f>D4550+D4551-D4552</f>
        <v>12684.72</v>
      </c>
      <c r="E4553" s="15">
        <f t="shared" si="1"/>
        <v>2025</v>
      </c>
      <c r="F4553" s="15">
        <f t="shared" si="2"/>
        <v>11</v>
      </c>
      <c r="G4553" s="15">
        <f t="shared" si="3"/>
        <v>2</v>
      </c>
    </row>
    <row r="4554">
      <c r="A4554" s="10" t="s">
        <v>37</v>
      </c>
      <c r="B4554" s="94">
        <f t="shared" si="5"/>
        <v>45964</v>
      </c>
      <c r="C4554" s="77" t="s">
        <v>1569</v>
      </c>
      <c r="D4554" s="13">
        <f>D4553</f>
        <v>12684.72</v>
      </c>
      <c r="E4554" s="15">
        <f t="shared" si="1"/>
        <v>2025</v>
      </c>
      <c r="F4554" s="15">
        <f t="shared" si="2"/>
        <v>11</v>
      </c>
      <c r="G4554" s="15">
        <f t="shared" si="3"/>
        <v>3</v>
      </c>
    </row>
    <row r="4555">
      <c r="A4555" s="10" t="s">
        <v>37</v>
      </c>
      <c r="B4555" s="94">
        <f t="shared" si="5"/>
        <v>45964</v>
      </c>
      <c r="C4555" s="77" t="s">
        <v>1570</v>
      </c>
      <c r="D4555" s="13">
        <f>SUMIFS('Lançamentos de receitas'!$E:$E,'Lançamentos de receitas'!$F:$F,"PAGO",'Lançamentos de receitas'!$C:$C,A4555,'Lançamentos de receitas'!$A:$A,B4555)</f>
        <v>217.46</v>
      </c>
      <c r="E4555" s="15">
        <f t="shared" si="1"/>
        <v>2025</v>
      </c>
      <c r="F4555" s="15">
        <f t="shared" si="2"/>
        <v>11</v>
      </c>
      <c r="G4555" s="15">
        <f t="shared" si="3"/>
        <v>3</v>
      </c>
    </row>
    <row r="4556">
      <c r="A4556" s="10" t="s">
        <v>37</v>
      </c>
      <c r="B4556" s="94">
        <f t="shared" si="5"/>
        <v>45964</v>
      </c>
      <c r="C4556" s="77" t="s">
        <v>1571</v>
      </c>
      <c r="D4556" s="13">
        <f>SUMIFS('Lançamentos de despesas'!$I:$I,'Lançamentos de despesas'!$G:$G,A4556,'Lançamentos de despesas'!$E:$E,"PAGO",'Lançamentos de despesas'!$C:$C,B4556)</f>
        <v>6067.17</v>
      </c>
      <c r="E4556" s="15">
        <f t="shared" si="1"/>
        <v>2025</v>
      </c>
      <c r="F4556" s="15">
        <f t="shared" si="2"/>
        <v>11</v>
      </c>
      <c r="G4556" s="15">
        <f t="shared" si="3"/>
        <v>3</v>
      </c>
    </row>
    <row r="4557">
      <c r="A4557" s="10" t="s">
        <v>37</v>
      </c>
      <c r="B4557" s="94">
        <f t="shared" si="5"/>
        <v>45964</v>
      </c>
      <c r="C4557" s="77" t="s">
        <v>1572</v>
      </c>
      <c r="D4557" s="13">
        <f>D4554+D4555-D4556</f>
        <v>6835.01</v>
      </c>
      <c r="E4557" s="15">
        <f t="shared" si="1"/>
        <v>2025</v>
      </c>
      <c r="F4557" s="15">
        <f t="shared" si="2"/>
        <v>11</v>
      </c>
      <c r="G4557" s="15">
        <f t="shared" si="3"/>
        <v>3</v>
      </c>
    </row>
    <row r="4558">
      <c r="A4558" s="10" t="s">
        <v>37</v>
      </c>
      <c r="B4558" s="94">
        <f t="shared" si="5"/>
        <v>45965</v>
      </c>
      <c r="C4558" s="77" t="s">
        <v>1569</v>
      </c>
      <c r="D4558" s="13">
        <f>D4557</f>
        <v>6835.01</v>
      </c>
      <c r="E4558" s="15">
        <f t="shared" si="1"/>
        <v>2025</v>
      </c>
      <c r="F4558" s="15">
        <f t="shared" si="2"/>
        <v>11</v>
      </c>
      <c r="G4558" s="15">
        <f t="shared" si="3"/>
        <v>4</v>
      </c>
    </row>
    <row r="4559">
      <c r="A4559" s="10" t="s">
        <v>37</v>
      </c>
      <c r="B4559" s="94">
        <f t="shared" si="5"/>
        <v>45965</v>
      </c>
      <c r="C4559" s="77" t="s">
        <v>1570</v>
      </c>
      <c r="D4559" s="13">
        <f>SUMIFS('Lançamentos de receitas'!$E:$E,'Lançamentos de receitas'!$F:$F,"PAGO",'Lançamentos de receitas'!$C:$C,A4559,'Lançamentos de receitas'!$A:$A,B4559)</f>
        <v>2233.8</v>
      </c>
      <c r="E4559" s="15">
        <f t="shared" si="1"/>
        <v>2025</v>
      </c>
      <c r="F4559" s="15">
        <f t="shared" si="2"/>
        <v>11</v>
      </c>
      <c r="G4559" s="15">
        <f t="shared" si="3"/>
        <v>4</v>
      </c>
    </row>
    <row r="4560">
      <c r="A4560" s="10" t="s">
        <v>37</v>
      </c>
      <c r="B4560" s="94">
        <f t="shared" si="5"/>
        <v>45965</v>
      </c>
      <c r="C4560" s="77" t="s">
        <v>1571</v>
      </c>
      <c r="D4560" s="13">
        <f>SUMIFS('Lançamentos de despesas'!$I:$I,'Lançamentos de despesas'!$G:$G,A4560,'Lançamentos de despesas'!$E:$E,"PAGO",'Lançamentos de despesas'!$C:$C,B4560)</f>
        <v>5643.44</v>
      </c>
      <c r="E4560" s="15">
        <f t="shared" si="1"/>
        <v>2025</v>
      </c>
      <c r="F4560" s="15">
        <f t="shared" si="2"/>
        <v>11</v>
      </c>
      <c r="G4560" s="15">
        <f t="shared" si="3"/>
        <v>4</v>
      </c>
    </row>
    <row r="4561">
      <c r="A4561" s="10" t="s">
        <v>37</v>
      </c>
      <c r="B4561" s="94">
        <f t="shared" si="5"/>
        <v>45965</v>
      </c>
      <c r="C4561" s="77" t="s">
        <v>1572</v>
      </c>
      <c r="D4561" s="13">
        <f>D4558+D4559-D4560</f>
        <v>3425.37</v>
      </c>
      <c r="E4561" s="15">
        <f t="shared" si="1"/>
        <v>2025</v>
      </c>
      <c r="F4561" s="15">
        <f t="shared" si="2"/>
        <v>11</v>
      </c>
      <c r="G4561" s="15">
        <f t="shared" si="3"/>
        <v>4</v>
      </c>
    </row>
    <row r="4562">
      <c r="A4562" s="10" t="s">
        <v>37</v>
      </c>
      <c r="B4562" s="94">
        <f t="shared" si="5"/>
        <v>45966</v>
      </c>
      <c r="C4562" s="77" t="s">
        <v>1569</v>
      </c>
      <c r="D4562" s="13">
        <f>D4561</f>
        <v>3425.37</v>
      </c>
      <c r="E4562" s="15">
        <f t="shared" si="1"/>
        <v>2025</v>
      </c>
      <c r="F4562" s="15">
        <f t="shared" si="2"/>
        <v>11</v>
      </c>
      <c r="G4562" s="15">
        <f t="shared" si="3"/>
        <v>5</v>
      </c>
    </row>
    <row r="4563">
      <c r="A4563" s="10" t="s">
        <v>37</v>
      </c>
      <c r="B4563" s="94">
        <f t="shared" si="5"/>
        <v>45966</v>
      </c>
      <c r="C4563" s="77" t="s">
        <v>1570</v>
      </c>
      <c r="D4563" s="13">
        <f>SUMIFS('Lançamentos de receitas'!$E:$E,'Lançamentos de receitas'!$F:$F,"PAGO",'Lançamentos de receitas'!$C:$C,A4563,'Lançamentos de receitas'!$A:$A,B4563)</f>
        <v>1595.08</v>
      </c>
      <c r="E4563" s="15">
        <f t="shared" si="1"/>
        <v>2025</v>
      </c>
      <c r="F4563" s="15">
        <f t="shared" si="2"/>
        <v>11</v>
      </c>
      <c r="G4563" s="15">
        <f t="shared" si="3"/>
        <v>5</v>
      </c>
    </row>
    <row r="4564">
      <c r="A4564" s="10" t="s">
        <v>37</v>
      </c>
      <c r="B4564" s="94">
        <f t="shared" si="5"/>
        <v>45966</v>
      </c>
      <c r="C4564" s="77" t="s">
        <v>1571</v>
      </c>
      <c r="D4564" s="13">
        <f>SUMIFS('Lançamentos de despesas'!$I:$I,'Lançamentos de despesas'!$G:$G,A4564,'Lançamentos de despesas'!$E:$E,"PAGO",'Lançamentos de despesas'!$C:$C,B4564)</f>
        <v>0</v>
      </c>
      <c r="E4564" s="15">
        <f t="shared" si="1"/>
        <v>2025</v>
      </c>
      <c r="F4564" s="15">
        <f t="shared" si="2"/>
        <v>11</v>
      </c>
      <c r="G4564" s="15">
        <f t="shared" si="3"/>
        <v>5</v>
      </c>
    </row>
    <row r="4565">
      <c r="A4565" s="10" t="s">
        <v>37</v>
      </c>
      <c r="B4565" s="94">
        <f t="shared" si="5"/>
        <v>45966</v>
      </c>
      <c r="C4565" s="77" t="s">
        <v>1572</v>
      </c>
      <c r="D4565" s="13">
        <f>D4562+D4563-D4564</f>
        <v>5020.45</v>
      </c>
      <c r="E4565" s="15">
        <f t="shared" si="1"/>
        <v>2025</v>
      </c>
      <c r="F4565" s="15">
        <f t="shared" si="2"/>
        <v>11</v>
      </c>
      <c r="G4565" s="15">
        <f t="shared" si="3"/>
        <v>5</v>
      </c>
    </row>
    <row r="4566">
      <c r="A4566" s="10" t="s">
        <v>37</v>
      </c>
      <c r="B4566" s="94">
        <f t="shared" si="5"/>
        <v>45967</v>
      </c>
      <c r="C4566" s="77" t="s">
        <v>1569</v>
      </c>
      <c r="D4566" s="13">
        <f>D4565</f>
        <v>5020.45</v>
      </c>
      <c r="E4566" s="15">
        <f t="shared" si="1"/>
        <v>2025</v>
      </c>
      <c r="F4566" s="15">
        <f t="shared" si="2"/>
        <v>11</v>
      </c>
      <c r="G4566" s="15">
        <f t="shared" si="3"/>
        <v>6</v>
      </c>
    </row>
    <row r="4567">
      <c r="A4567" s="10" t="s">
        <v>37</v>
      </c>
      <c r="B4567" s="94">
        <f t="shared" si="5"/>
        <v>45967</v>
      </c>
      <c r="C4567" s="77" t="s">
        <v>1570</v>
      </c>
      <c r="D4567" s="13">
        <f>SUMIFS('Lançamentos de receitas'!$E:$E,'Lançamentos de receitas'!$F:$F,"PAGO",'Lançamentos de receitas'!$C:$C,A4567,'Lançamentos de receitas'!$A:$A,B4567)</f>
        <v>2795.24</v>
      </c>
      <c r="E4567" s="15">
        <f t="shared" si="1"/>
        <v>2025</v>
      </c>
      <c r="F4567" s="15">
        <f t="shared" si="2"/>
        <v>11</v>
      </c>
      <c r="G4567" s="15">
        <f t="shared" si="3"/>
        <v>6</v>
      </c>
    </row>
    <row r="4568">
      <c r="A4568" s="10" t="s">
        <v>37</v>
      </c>
      <c r="B4568" s="94">
        <f t="shared" si="5"/>
        <v>45967</v>
      </c>
      <c r="C4568" s="77" t="s">
        <v>1571</v>
      </c>
      <c r="D4568" s="13">
        <f>SUMIFS('Lançamentos de despesas'!$I:$I,'Lançamentos de despesas'!$G:$G,A4568,'Lançamentos de despesas'!$E:$E,"PAGO",'Lançamentos de despesas'!$C:$C,B4568)</f>
        <v>0</v>
      </c>
      <c r="E4568" s="15">
        <f t="shared" si="1"/>
        <v>2025</v>
      </c>
      <c r="F4568" s="15">
        <f t="shared" si="2"/>
        <v>11</v>
      </c>
      <c r="G4568" s="15">
        <f t="shared" si="3"/>
        <v>6</v>
      </c>
    </row>
    <row r="4569">
      <c r="A4569" s="10" t="s">
        <v>37</v>
      </c>
      <c r="B4569" s="94">
        <f t="shared" si="5"/>
        <v>45967</v>
      </c>
      <c r="C4569" s="77" t="s">
        <v>1572</v>
      </c>
      <c r="D4569" s="13">
        <f>D4566+D4567-D4568</f>
        <v>7815.69</v>
      </c>
      <c r="E4569" s="15">
        <f t="shared" si="1"/>
        <v>2025</v>
      </c>
      <c r="F4569" s="15">
        <f t="shared" si="2"/>
        <v>11</v>
      </c>
      <c r="G4569" s="15">
        <f t="shared" si="3"/>
        <v>6</v>
      </c>
    </row>
    <row r="4570">
      <c r="A4570" s="10" t="s">
        <v>37</v>
      </c>
      <c r="B4570" s="94">
        <f t="shared" si="5"/>
        <v>45968</v>
      </c>
      <c r="C4570" s="77" t="s">
        <v>1569</v>
      </c>
      <c r="D4570" s="13">
        <f>D4569</f>
        <v>7815.69</v>
      </c>
      <c r="E4570" s="15">
        <f t="shared" si="1"/>
        <v>2025</v>
      </c>
      <c r="F4570" s="15">
        <f t="shared" si="2"/>
        <v>11</v>
      </c>
      <c r="G4570" s="15">
        <f t="shared" si="3"/>
        <v>7</v>
      </c>
    </row>
    <row r="4571">
      <c r="A4571" s="10" t="s">
        <v>37</v>
      </c>
      <c r="B4571" s="94">
        <f t="shared" si="5"/>
        <v>45968</v>
      </c>
      <c r="C4571" s="77" t="s">
        <v>1570</v>
      </c>
      <c r="D4571" s="13">
        <f>SUMIFS('Lançamentos de receitas'!$E:$E,'Lançamentos de receitas'!$F:$F,"PAGO",'Lançamentos de receitas'!$C:$C,A4571,'Lançamentos de receitas'!$A:$A,B4571)</f>
        <v>3022.06</v>
      </c>
      <c r="E4571" s="15">
        <f t="shared" si="1"/>
        <v>2025</v>
      </c>
      <c r="F4571" s="15">
        <f t="shared" si="2"/>
        <v>11</v>
      </c>
      <c r="G4571" s="15">
        <f t="shared" si="3"/>
        <v>7</v>
      </c>
    </row>
    <row r="4572">
      <c r="A4572" s="10" t="s">
        <v>37</v>
      </c>
      <c r="B4572" s="94">
        <f t="shared" si="5"/>
        <v>45968</v>
      </c>
      <c r="C4572" s="77" t="s">
        <v>1571</v>
      </c>
      <c r="D4572" s="13">
        <f>SUMIFS('Lançamentos de despesas'!$I:$I,'Lançamentos de despesas'!$G:$G,A4572,'Lançamentos de despesas'!$E:$E,"PAGO",'Lançamentos de despesas'!$C:$C,B4572)</f>
        <v>0</v>
      </c>
      <c r="E4572" s="15">
        <f t="shared" si="1"/>
        <v>2025</v>
      </c>
      <c r="F4572" s="15">
        <f t="shared" si="2"/>
        <v>11</v>
      </c>
      <c r="G4572" s="15">
        <f t="shared" si="3"/>
        <v>7</v>
      </c>
    </row>
    <row r="4573">
      <c r="A4573" s="10" t="s">
        <v>37</v>
      </c>
      <c r="B4573" s="94">
        <f t="shared" si="5"/>
        <v>45968</v>
      </c>
      <c r="C4573" s="77" t="s">
        <v>1572</v>
      </c>
      <c r="D4573" s="13">
        <f>D4570+D4571-D4572</f>
        <v>10837.75</v>
      </c>
      <c r="E4573" s="15">
        <f t="shared" si="1"/>
        <v>2025</v>
      </c>
      <c r="F4573" s="15">
        <f t="shared" si="2"/>
        <v>11</v>
      </c>
      <c r="G4573" s="15">
        <f t="shared" si="3"/>
        <v>7</v>
      </c>
    </row>
    <row r="4574">
      <c r="A4574" s="10" t="s">
        <v>37</v>
      </c>
      <c r="B4574" s="94">
        <f t="shared" si="5"/>
        <v>45969</v>
      </c>
      <c r="C4574" s="77" t="s">
        <v>1569</v>
      </c>
      <c r="D4574" s="13">
        <f>D4573</f>
        <v>10837.75</v>
      </c>
      <c r="E4574" s="15">
        <f t="shared" si="1"/>
        <v>2025</v>
      </c>
      <c r="F4574" s="15">
        <f t="shared" si="2"/>
        <v>11</v>
      </c>
      <c r="G4574" s="15">
        <f t="shared" si="3"/>
        <v>8</v>
      </c>
    </row>
    <row r="4575">
      <c r="A4575" s="10" t="s">
        <v>37</v>
      </c>
      <c r="B4575" s="94">
        <f t="shared" si="5"/>
        <v>45969</v>
      </c>
      <c r="C4575" s="77" t="s">
        <v>1570</v>
      </c>
      <c r="D4575" s="13">
        <f>SUMIFS('Lançamentos de receitas'!$E:$E,'Lançamentos de receitas'!$F:$F,"PAGO",'Lançamentos de receitas'!$C:$C,A4575,'Lançamentos de receitas'!$A:$A,B4575)</f>
        <v>2975.11</v>
      </c>
      <c r="E4575" s="15">
        <f t="shared" si="1"/>
        <v>2025</v>
      </c>
      <c r="F4575" s="15">
        <f t="shared" si="2"/>
        <v>11</v>
      </c>
      <c r="G4575" s="15">
        <f t="shared" si="3"/>
        <v>8</v>
      </c>
    </row>
    <row r="4576">
      <c r="A4576" s="10" t="s">
        <v>37</v>
      </c>
      <c r="B4576" s="94">
        <f t="shared" si="5"/>
        <v>45969</v>
      </c>
      <c r="C4576" s="77" t="s">
        <v>1571</v>
      </c>
      <c r="D4576" s="13">
        <f>SUMIFS('Lançamentos de despesas'!$I:$I,'Lançamentos de despesas'!$G:$G,A4576,'Lançamentos de despesas'!$E:$E,"PAGO",'Lançamentos de despesas'!$C:$C,B4576)</f>
        <v>0</v>
      </c>
      <c r="E4576" s="15">
        <f t="shared" si="1"/>
        <v>2025</v>
      </c>
      <c r="F4576" s="15">
        <f t="shared" si="2"/>
        <v>11</v>
      </c>
      <c r="G4576" s="15">
        <f t="shared" si="3"/>
        <v>8</v>
      </c>
    </row>
    <row r="4577">
      <c r="A4577" s="10" t="s">
        <v>37</v>
      </c>
      <c r="B4577" s="94">
        <f t="shared" si="5"/>
        <v>45969</v>
      </c>
      <c r="C4577" s="77" t="s">
        <v>1572</v>
      </c>
      <c r="D4577" s="13">
        <f>D4574+D4575-D4576</f>
        <v>13812.86</v>
      </c>
      <c r="E4577" s="15">
        <f t="shared" si="1"/>
        <v>2025</v>
      </c>
      <c r="F4577" s="15">
        <f t="shared" si="2"/>
        <v>11</v>
      </c>
      <c r="G4577" s="15">
        <f t="shared" si="3"/>
        <v>8</v>
      </c>
    </row>
    <row r="4578">
      <c r="A4578" s="10" t="s">
        <v>37</v>
      </c>
      <c r="B4578" s="94">
        <f t="shared" si="5"/>
        <v>45970</v>
      </c>
      <c r="C4578" s="77" t="s">
        <v>1569</v>
      </c>
      <c r="D4578" s="13">
        <f>D4577</f>
        <v>13812.86</v>
      </c>
      <c r="E4578" s="15">
        <f t="shared" si="1"/>
        <v>2025</v>
      </c>
      <c r="F4578" s="15">
        <f t="shared" si="2"/>
        <v>11</v>
      </c>
      <c r="G4578" s="15">
        <f t="shared" si="3"/>
        <v>9</v>
      </c>
    </row>
    <row r="4579">
      <c r="A4579" s="10" t="s">
        <v>37</v>
      </c>
      <c r="B4579" s="94">
        <f t="shared" si="5"/>
        <v>45970</v>
      </c>
      <c r="C4579" s="77" t="s">
        <v>1570</v>
      </c>
      <c r="D4579" s="13">
        <f>SUMIFS('Lançamentos de receitas'!$E:$E,'Lançamentos de receitas'!$F:$F,"PAGO",'Lançamentos de receitas'!$C:$C,A4579,'Lançamentos de receitas'!$A:$A,B4579)</f>
        <v>2495.93</v>
      </c>
      <c r="E4579" s="15">
        <f t="shared" si="1"/>
        <v>2025</v>
      </c>
      <c r="F4579" s="15">
        <f t="shared" si="2"/>
        <v>11</v>
      </c>
      <c r="G4579" s="15">
        <f t="shared" si="3"/>
        <v>9</v>
      </c>
    </row>
    <row r="4580">
      <c r="A4580" s="10" t="s">
        <v>37</v>
      </c>
      <c r="B4580" s="94">
        <f t="shared" si="5"/>
        <v>45970</v>
      </c>
      <c r="C4580" s="77" t="s">
        <v>1571</v>
      </c>
      <c r="D4580" s="13">
        <f>SUMIFS('Lançamentos de despesas'!$I:$I,'Lançamentos de despesas'!$G:$G,A4580,'Lançamentos de despesas'!$E:$E,"PAGO",'Lançamentos de despesas'!$C:$C,B4580)</f>
        <v>0</v>
      </c>
      <c r="E4580" s="15">
        <f t="shared" si="1"/>
        <v>2025</v>
      </c>
      <c r="F4580" s="15">
        <f t="shared" si="2"/>
        <v>11</v>
      </c>
      <c r="G4580" s="15">
        <f t="shared" si="3"/>
        <v>9</v>
      </c>
    </row>
    <row r="4581">
      <c r="A4581" s="10" t="s">
        <v>37</v>
      </c>
      <c r="B4581" s="94">
        <f t="shared" si="5"/>
        <v>45970</v>
      </c>
      <c r="C4581" s="77" t="s">
        <v>1572</v>
      </c>
      <c r="D4581" s="13">
        <f>D4578+D4579-D4580</f>
        <v>16308.79</v>
      </c>
      <c r="E4581" s="15">
        <f t="shared" si="1"/>
        <v>2025</v>
      </c>
      <c r="F4581" s="15">
        <f t="shared" si="2"/>
        <v>11</v>
      </c>
      <c r="G4581" s="15">
        <f t="shared" si="3"/>
        <v>9</v>
      </c>
    </row>
    <row r="4582">
      <c r="A4582" s="10" t="s">
        <v>37</v>
      </c>
      <c r="B4582" s="94">
        <f t="shared" si="5"/>
        <v>45971</v>
      </c>
      <c r="C4582" s="77" t="s">
        <v>1569</v>
      </c>
      <c r="D4582" s="13">
        <f>D4581</f>
        <v>16308.79</v>
      </c>
      <c r="E4582" s="15">
        <f t="shared" si="1"/>
        <v>2025</v>
      </c>
      <c r="F4582" s="15">
        <f t="shared" si="2"/>
        <v>11</v>
      </c>
      <c r="G4582" s="15">
        <f t="shared" si="3"/>
        <v>10</v>
      </c>
    </row>
    <row r="4583">
      <c r="A4583" s="10" t="s">
        <v>37</v>
      </c>
      <c r="B4583" s="94">
        <f t="shared" si="5"/>
        <v>45971</v>
      </c>
      <c r="C4583" s="77" t="s">
        <v>1570</v>
      </c>
      <c r="D4583" s="13">
        <f>SUMIFS('Lançamentos de receitas'!$E:$E,'Lançamentos de receitas'!$F:$F,"PAGO",'Lançamentos de receitas'!$C:$C,A4583,'Lançamentos de receitas'!$A:$A,B4583)</f>
        <v>186.06</v>
      </c>
      <c r="E4583" s="15">
        <f t="shared" si="1"/>
        <v>2025</v>
      </c>
      <c r="F4583" s="15">
        <f t="shared" si="2"/>
        <v>11</v>
      </c>
      <c r="G4583" s="15">
        <f t="shared" si="3"/>
        <v>10</v>
      </c>
    </row>
    <row r="4584">
      <c r="A4584" s="10" t="s">
        <v>37</v>
      </c>
      <c r="B4584" s="94">
        <f t="shared" si="5"/>
        <v>45971</v>
      </c>
      <c r="C4584" s="77" t="s">
        <v>1571</v>
      </c>
      <c r="D4584" s="13">
        <f>SUMIFS('Lançamentos de despesas'!$I:$I,'Lançamentos de despesas'!$G:$G,A4584,'Lançamentos de despesas'!$E:$E,"PAGO",'Lançamentos de despesas'!$C:$C,B4584)</f>
        <v>4900.95</v>
      </c>
      <c r="E4584" s="15">
        <f t="shared" si="1"/>
        <v>2025</v>
      </c>
      <c r="F4584" s="15">
        <f t="shared" si="2"/>
        <v>11</v>
      </c>
      <c r="G4584" s="15">
        <f t="shared" si="3"/>
        <v>10</v>
      </c>
    </row>
    <row r="4585">
      <c r="A4585" s="10" t="s">
        <v>37</v>
      </c>
      <c r="B4585" s="94">
        <f t="shared" si="5"/>
        <v>45971</v>
      </c>
      <c r="C4585" s="77" t="s">
        <v>1572</v>
      </c>
      <c r="D4585" s="13">
        <f>D4582+D4583-D4584</f>
        <v>11593.9</v>
      </c>
      <c r="E4585" s="15">
        <f t="shared" si="1"/>
        <v>2025</v>
      </c>
      <c r="F4585" s="15">
        <f t="shared" si="2"/>
        <v>11</v>
      </c>
      <c r="G4585" s="15">
        <f t="shared" si="3"/>
        <v>10</v>
      </c>
    </row>
    <row r="4586">
      <c r="A4586" s="10" t="s">
        <v>37</v>
      </c>
      <c r="B4586" s="94">
        <f t="shared" si="5"/>
        <v>45972</v>
      </c>
      <c r="C4586" s="77" t="s">
        <v>1569</v>
      </c>
      <c r="D4586" s="13">
        <f>D4585</f>
        <v>11593.9</v>
      </c>
      <c r="E4586" s="15">
        <f t="shared" si="1"/>
        <v>2025</v>
      </c>
      <c r="F4586" s="15">
        <f t="shared" si="2"/>
        <v>11</v>
      </c>
      <c r="G4586" s="15">
        <f t="shared" si="3"/>
        <v>11</v>
      </c>
    </row>
    <row r="4587">
      <c r="A4587" s="10" t="s">
        <v>37</v>
      </c>
      <c r="B4587" s="94">
        <f t="shared" si="5"/>
        <v>45972</v>
      </c>
      <c r="C4587" s="77" t="s">
        <v>1570</v>
      </c>
      <c r="D4587" s="13">
        <f>SUMIFS('Lançamentos de receitas'!$E:$E,'Lançamentos de receitas'!$F:$F,"PAGO",'Lançamentos de receitas'!$C:$C,A4587,'Lançamentos de receitas'!$A:$A,B4587)</f>
        <v>1823.86</v>
      </c>
      <c r="E4587" s="15">
        <f t="shared" si="1"/>
        <v>2025</v>
      </c>
      <c r="F4587" s="15">
        <f t="shared" si="2"/>
        <v>11</v>
      </c>
      <c r="G4587" s="15">
        <f t="shared" si="3"/>
        <v>11</v>
      </c>
    </row>
    <row r="4588">
      <c r="A4588" s="10" t="s">
        <v>37</v>
      </c>
      <c r="B4588" s="94">
        <f t="shared" si="5"/>
        <v>45972</v>
      </c>
      <c r="C4588" s="77" t="s">
        <v>1571</v>
      </c>
      <c r="D4588" s="13">
        <f>SUMIFS('Lançamentos de despesas'!$I:$I,'Lançamentos de despesas'!$G:$G,A4588,'Lançamentos de despesas'!$E:$E,"PAGO",'Lançamentos de despesas'!$C:$C,B4588)</f>
        <v>0</v>
      </c>
      <c r="E4588" s="15">
        <f t="shared" si="1"/>
        <v>2025</v>
      </c>
      <c r="F4588" s="15">
        <f t="shared" si="2"/>
        <v>11</v>
      </c>
      <c r="G4588" s="15">
        <f t="shared" si="3"/>
        <v>11</v>
      </c>
    </row>
    <row r="4589">
      <c r="A4589" s="10" t="s">
        <v>37</v>
      </c>
      <c r="B4589" s="94">
        <f t="shared" si="5"/>
        <v>45972</v>
      </c>
      <c r="C4589" s="77" t="s">
        <v>1572</v>
      </c>
      <c r="D4589" s="13">
        <f>D4586+D4587-D4588</f>
        <v>13417.76</v>
      </c>
      <c r="E4589" s="15">
        <f t="shared" si="1"/>
        <v>2025</v>
      </c>
      <c r="F4589" s="15">
        <f t="shared" si="2"/>
        <v>11</v>
      </c>
      <c r="G4589" s="15">
        <f t="shared" si="3"/>
        <v>11</v>
      </c>
    </row>
    <row r="4590">
      <c r="A4590" s="10" t="s">
        <v>37</v>
      </c>
      <c r="B4590" s="94">
        <f t="shared" si="5"/>
        <v>45973</v>
      </c>
      <c r="C4590" s="77" t="s">
        <v>1569</v>
      </c>
      <c r="D4590" s="13">
        <f>D4589</f>
        <v>13417.76</v>
      </c>
      <c r="E4590" s="15">
        <f t="shared" si="1"/>
        <v>2025</v>
      </c>
      <c r="F4590" s="15">
        <f t="shared" si="2"/>
        <v>11</v>
      </c>
      <c r="G4590" s="15">
        <f t="shared" si="3"/>
        <v>12</v>
      </c>
    </row>
    <row r="4591">
      <c r="A4591" s="10" t="s">
        <v>37</v>
      </c>
      <c r="B4591" s="94">
        <f t="shared" si="5"/>
        <v>45973</v>
      </c>
      <c r="C4591" s="77" t="s">
        <v>1570</v>
      </c>
      <c r="D4591" s="13">
        <f>SUMIFS('Lançamentos de receitas'!$E:$E,'Lançamentos de receitas'!$F:$F,"PAGO",'Lançamentos de receitas'!$C:$C,A4591,'Lançamentos de receitas'!$A:$A,B4591)</f>
        <v>2717.97</v>
      </c>
      <c r="E4591" s="15">
        <f t="shared" si="1"/>
        <v>2025</v>
      </c>
      <c r="F4591" s="15">
        <f t="shared" si="2"/>
        <v>11</v>
      </c>
      <c r="G4591" s="15">
        <f t="shared" si="3"/>
        <v>12</v>
      </c>
    </row>
    <row r="4592">
      <c r="A4592" s="10" t="s">
        <v>37</v>
      </c>
      <c r="B4592" s="94">
        <f t="shared" si="5"/>
        <v>45973</v>
      </c>
      <c r="C4592" s="77" t="s">
        <v>1571</v>
      </c>
      <c r="D4592" s="13">
        <f>SUMIFS('Lançamentos de despesas'!$I:$I,'Lançamentos de despesas'!$G:$G,A4592,'Lançamentos de despesas'!$E:$E,"PAGO",'Lançamentos de despesas'!$C:$C,B4592)</f>
        <v>0</v>
      </c>
      <c r="E4592" s="15">
        <f t="shared" si="1"/>
        <v>2025</v>
      </c>
      <c r="F4592" s="15">
        <f t="shared" si="2"/>
        <v>11</v>
      </c>
      <c r="G4592" s="15">
        <f t="shared" si="3"/>
        <v>12</v>
      </c>
    </row>
    <row r="4593">
      <c r="A4593" s="10" t="s">
        <v>37</v>
      </c>
      <c r="B4593" s="94">
        <f t="shared" si="5"/>
        <v>45973</v>
      </c>
      <c r="C4593" s="77" t="s">
        <v>1572</v>
      </c>
      <c r="D4593" s="13">
        <f>D4590+D4591-D4592</f>
        <v>16135.73</v>
      </c>
      <c r="E4593" s="15">
        <f t="shared" si="1"/>
        <v>2025</v>
      </c>
      <c r="F4593" s="15">
        <f t="shared" si="2"/>
        <v>11</v>
      </c>
      <c r="G4593" s="15">
        <f t="shared" si="3"/>
        <v>12</v>
      </c>
    </row>
    <row r="4594">
      <c r="A4594" s="10" t="s">
        <v>37</v>
      </c>
      <c r="B4594" s="94">
        <f t="shared" si="5"/>
        <v>45974</v>
      </c>
      <c r="C4594" s="77" t="s">
        <v>1569</v>
      </c>
      <c r="D4594" s="13">
        <f>D4593</f>
        <v>16135.73</v>
      </c>
      <c r="E4594" s="15">
        <f t="shared" si="1"/>
        <v>2025</v>
      </c>
      <c r="F4594" s="15">
        <f t="shared" si="2"/>
        <v>11</v>
      </c>
      <c r="G4594" s="15">
        <f t="shared" si="3"/>
        <v>13</v>
      </c>
    </row>
    <row r="4595">
      <c r="A4595" s="10" t="s">
        <v>37</v>
      </c>
      <c r="B4595" s="94">
        <f t="shared" si="5"/>
        <v>45974</v>
      </c>
      <c r="C4595" s="77" t="s">
        <v>1570</v>
      </c>
      <c r="D4595" s="13">
        <f>SUMIFS('Lançamentos de receitas'!$E:$E,'Lançamentos de receitas'!$F:$F,"PAGO",'Lançamentos de receitas'!$C:$C,A4595,'Lançamentos de receitas'!$A:$A,B4595)</f>
        <v>3290.04</v>
      </c>
      <c r="E4595" s="15">
        <f t="shared" si="1"/>
        <v>2025</v>
      </c>
      <c r="F4595" s="15">
        <f t="shared" si="2"/>
        <v>11</v>
      </c>
      <c r="G4595" s="15">
        <f t="shared" si="3"/>
        <v>13</v>
      </c>
    </row>
    <row r="4596">
      <c r="A4596" s="10" t="s">
        <v>37</v>
      </c>
      <c r="B4596" s="94">
        <f t="shared" si="5"/>
        <v>45974</v>
      </c>
      <c r="C4596" s="77" t="s">
        <v>1571</v>
      </c>
      <c r="D4596" s="13">
        <f>SUMIFS('Lançamentos de despesas'!$I:$I,'Lançamentos de despesas'!$G:$G,A4596,'Lançamentos de despesas'!$E:$E,"PAGO",'Lançamentos de despesas'!$C:$C,B4596)</f>
        <v>180</v>
      </c>
      <c r="E4596" s="15">
        <f t="shared" si="1"/>
        <v>2025</v>
      </c>
      <c r="F4596" s="15">
        <f t="shared" si="2"/>
        <v>11</v>
      </c>
      <c r="G4596" s="15">
        <f t="shared" si="3"/>
        <v>13</v>
      </c>
    </row>
    <row r="4597">
      <c r="A4597" s="10" t="s">
        <v>37</v>
      </c>
      <c r="B4597" s="94">
        <f t="shared" si="5"/>
        <v>45974</v>
      </c>
      <c r="C4597" s="77" t="s">
        <v>1572</v>
      </c>
      <c r="D4597" s="13">
        <f>D4594+D4595-D4596</f>
        <v>19245.77</v>
      </c>
      <c r="E4597" s="15">
        <f t="shared" si="1"/>
        <v>2025</v>
      </c>
      <c r="F4597" s="15">
        <f t="shared" si="2"/>
        <v>11</v>
      </c>
      <c r="G4597" s="15">
        <f t="shared" si="3"/>
        <v>13</v>
      </c>
    </row>
    <row r="4598">
      <c r="A4598" s="10" t="s">
        <v>37</v>
      </c>
      <c r="B4598" s="94">
        <f t="shared" si="5"/>
        <v>45975</v>
      </c>
      <c r="C4598" s="77" t="s">
        <v>1569</v>
      </c>
      <c r="D4598" s="13">
        <f>D4597</f>
        <v>19245.77</v>
      </c>
      <c r="E4598" s="15">
        <f t="shared" si="1"/>
        <v>2025</v>
      </c>
      <c r="F4598" s="15">
        <f t="shared" si="2"/>
        <v>11</v>
      </c>
      <c r="G4598" s="15">
        <f t="shared" si="3"/>
        <v>14</v>
      </c>
    </row>
    <row r="4599">
      <c r="A4599" s="10" t="s">
        <v>37</v>
      </c>
      <c r="B4599" s="94">
        <f t="shared" si="5"/>
        <v>45975</v>
      </c>
      <c r="C4599" s="77" t="s">
        <v>1570</v>
      </c>
      <c r="D4599" s="13">
        <f>SUMIFS('Lançamentos de receitas'!$E:$E,'Lançamentos de receitas'!$F:$F,"PAGO",'Lançamentos de receitas'!$C:$C,A4599,'Lançamentos de receitas'!$A:$A,B4599)</f>
        <v>3602.18</v>
      </c>
      <c r="E4599" s="15">
        <f t="shared" si="1"/>
        <v>2025</v>
      </c>
      <c r="F4599" s="15">
        <f t="shared" si="2"/>
        <v>11</v>
      </c>
      <c r="G4599" s="15">
        <f t="shared" si="3"/>
        <v>14</v>
      </c>
    </row>
    <row r="4600">
      <c r="A4600" s="10" t="s">
        <v>37</v>
      </c>
      <c r="B4600" s="94">
        <f t="shared" si="5"/>
        <v>45975</v>
      </c>
      <c r="C4600" s="77" t="s">
        <v>1571</v>
      </c>
      <c r="D4600" s="13">
        <f>SUMIFS('Lançamentos de despesas'!$I:$I,'Lançamentos de despesas'!$G:$G,A4600,'Lançamentos de despesas'!$E:$E,"PAGO",'Lançamentos de despesas'!$C:$C,B4600)</f>
        <v>2430</v>
      </c>
      <c r="E4600" s="15">
        <f t="shared" si="1"/>
        <v>2025</v>
      </c>
      <c r="F4600" s="15">
        <f t="shared" si="2"/>
        <v>11</v>
      </c>
      <c r="G4600" s="15">
        <f t="shared" si="3"/>
        <v>14</v>
      </c>
    </row>
    <row r="4601">
      <c r="A4601" s="10" t="s">
        <v>37</v>
      </c>
      <c r="B4601" s="94">
        <f t="shared" si="5"/>
        <v>45975</v>
      </c>
      <c r="C4601" s="77" t="s">
        <v>1572</v>
      </c>
      <c r="D4601" s="13">
        <f>D4598+D4599-D4600</f>
        <v>20417.95</v>
      </c>
      <c r="E4601" s="15">
        <f t="shared" si="1"/>
        <v>2025</v>
      </c>
      <c r="F4601" s="15">
        <f t="shared" si="2"/>
        <v>11</v>
      </c>
      <c r="G4601" s="15">
        <f t="shared" si="3"/>
        <v>14</v>
      </c>
    </row>
    <row r="4602">
      <c r="A4602" s="10" t="s">
        <v>37</v>
      </c>
      <c r="B4602" s="94">
        <f t="shared" si="5"/>
        <v>45976</v>
      </c>
      <c r="C4602" s="77" t="s">
        <v>1569</v>
      </c>
      <c r="D4602" s="13">
        <f>D4601</f>
        <v>20417.95</v>
      </c>
      <c r="E4602" s="15">
        <f t="shared" si="1"/>
        <v>2025</v>
      </c>
      <c r="F4602" s="15">
        <f t="shared" si="2"/>
        <v>11</v>
      </c>
      <c r="G4602" s="15">
        <f t="shared" si="3"/>
        <v>15</v>
      </c>
    </row>
    <row r="4603">
      <c r="A4603" s="10" t="s">
        <v>37</v>
      </c>
      <c r="B4603" s="94">
        <f t="shared" si="5"/>
        <v>45976</v>
      </c>
      <c r="C4603" s="77" t="s">
        <v>1570</v>
      </c>
      <c r="D4603" s="13">
        <f>SUMIFS('Lançamentos de receitas'!$E:$E,'Lançamentos de receitas'!$F:$F,"PAGO",'Lançamentos de receitas'!$C:$C,A4603,'Lançamentos de receitas'!$A:$A,B4603)</f>
        <v>2922.55</v>
      </c>
      <c r="E4603" s="15">
        <f t="shared" si="1"/>
        <v>2025</v>
      </c>
      <c r="F4603" s="15">
        <f t="shared" si="2"/>
        <v>11</v>
      </c>
      <c r="G4603" s="15">
        <f t="shared" si="3"/>
        <v>15</v>
      </c>
    </row>
    <row r="4604">
      <c r="A4604" s="10" t="s">
        <v>37</v>
      </c>
      <c r="B4604" s="94">
        <f t="shared" si="5"/>
        <v>45976</v>
      </c>
      <c r="C4604" s="77" t="s">
        <v>1571</v>
      </c>
      <c r="D4604" s="13">
        <f>SUMIFS('Lançamentos de despesas'!$I:$I,'Lançamentos de despesas'!$G:$G,A4604,'Lançamentos de despesas'!$E:$E,"PAGO",'Lançamentos de despesas'!$C:$C,B4604)</f>
        <v>260</v>
      </c>
      <c r="E4604" s="15">
        <f t="shared" si="1"/>
        <v>2025</v>
      </c>
      <c r="F4604" s="15">
        <f t="shared" si="2"/>
        <v>11</v>
      </c>
      <c r="G4604" s="15">
        <f t="shared" si="3"/>
        <v>15</v>
      </c>
    </row>
    <row r="4605">
      <c r="A4605" s="10" t="s">
        <v>37</v>
      </c>
      <c r="B4605" s="94">
        <f t="shared" si="5"/>
        <v>45976</v>
      </c>
      <c r="C4605" s="77" t="s">
        <v>1572</v>
      </c>
      <c r="D4605" s="13">
        <f>D4602+D4603-D4604</f>
        <v>23080.5</v>
      </c>
      <c r="E4605" s="15">
        <f t="shared" si="1"/>
        <v>2025</v>
      </c>
      <c r="F4605" s="15">
        <f t="shared" si="2"/>
        <v>11</v>
      </c>
      <c r="G4605" s="15">
        <f t="shared" si="3"/>
        <v>15</v>
      </c>
    </row>
    <row r="4606">
      <c r="A4606" s="10" t="s">
        <v>37</v>
      </c>
      <c r="B4606" s="94">
        <f t="shared" si="5"/>
        <v>45977</v>
      </c>
      <c r="C4606" s="77" t="s">
        <v>1569</v>
      </c>
      <c r="D4606" s="13">
        <f>D4605</f>
        <v>23080.5</v>
      </c>
      <c r="E4606" s="15">
        <f t="shared" si="1"/>
        <v>2025</v>
      </c>
      <c r="F4606" s="15">
        <f t="shared" si="2"/>
        <v>11</v>
      </c>
      <c r="G4606" s="15">
        <f t="shared" si="3"/>
        <v>16</v>
      </c>
    </row>
    <row r="4607">
      <c r="A4607" s="10" t="s">
        <v>37</v>
      </c>
      <c r="B4607" s="94">
        <f t="shared" si="5"/>
        <v>45977</v>
      </c>
      <c r="C4607" s="77" t="s">
        <v>1570</v>
      </c>
      <c r="D4607" s="13">
        <f>SUMIFS('Lançamentos de receitas'!$E:$E,'Lançamentos de receitas'!$F:$F,"PAGO",'Lançamentos de receitas'!$C:$C,A4607,'Lançamentos de receitas'!$A:$A,B4607)</f>
        <v>2420.61</v>
      </c>
      <c r="E4607" s="15">
        <f t="shared" si="1"/>
        <v>2025</v>
      </c>
      <c r="F4607" s="15">
        <f t="shared" si="2"/>
        <v>11</v>
      </c>
      <c r="G4607" s="15">
        <f t="shared" si="3"/>
        <v>16</v>
      </c>
    </row>
    <row r="4608">
      <c r="A4608" s="10" t="s">
        <v>37</v>
      </c>
      <c r="B4608" s="94">
        <f t="shared" si="5"/>
        <v>45977</v>
      </c>
      <c r="C4608" s="77" t="s">
        <v>1571</v>
      </c>
      <c r="D4608" s="13">
        <f>SUMIFS('Lançamentos de despesas'!$I:$I,'Lançamentos de despesas'!$G:$G,A4608,'Lançamentos de despesas'!$E:$E,"PAGO",'Lançamentos de despesas'!$C:$C,B4608)</f>
        <v>0</v>
      </c>
      <c r="E4608" s="15">
        <f t="shared" si="1"/>
        <v>2025</v>
      </c>
      <c r="F4608" s="15">
        <f t="shared" si="2"/>
        <v>11</v>
      </c>
      <c r="G4608" s="15">
        <f t="shared" si="3"/>
        <v>16</v>
      </c>
    </row>
    <row r="4609">
      <c r="A4609" s="10" t="s">
        <v>37</v>
      </c>
      <c r="B4609" s="94">
        <f t="shared" si="5"/>
        <v>45977</v>
      </c>
      <c r="C4609" s="77" t="s">
        <v>1572</v>
      </c>
      <c r="D4609" s="13">
        <f>D4606+D4607-D4608</f>
        <v>25501.11</v>
      </c>
      <c r="E4609" s="15">
        <f t="shared" si="1"/>
        <v>2025</v>
      </c>
      <c r="F4609" s="15">
        <f t="shared" si="2"/>
        <v>11</v>
      </c>
      <c r="G4609" s="15">
        <f t="shared" si="3"/>
        <v>16</v>
      </c>
    </row>
    <row r="4610">
      <c r="A4610" s="10" t="s">
        <v>37</v>
      </c>
      <c r="B4610" s="94">
        <f t="shared" si="5"/>
        <v>45978</v>
      </c>
      <c r="C4610" s="77" t="s">
        <v>1569</v>
      </c>
      <c r="D4610" s="13">
        <f>D4609</f>
        <v>25501.11</v>
      </c>
      <c r="E4610" s="15">
        <f t="shared" si="1"/>
        <v>2025</v>
      </c>
      <c r="F4610" s="15">
        <f t="shared" si="2"/>
        <v>11</v>
      </c>
      <c r="G4610" s="15">
        <f t="shared" si="3"/>
        <v>17</v>
      </c>
    </row>
    <row r="4611">
      <c r="A4611" s="10" t="s">
        <v>37</v>
      </c>
      <c r="B4611" s="94">
        <f t="shared" si="5"/>
        <v>45978</v>
      </c>
      <c r="C4611" s="77" t="s">
        <v>1570</v>
      </c>
      <c r="D4611" s="13">
        <f>SUMIFS('Lançamentos de receitas'!$E:$E,'Lançamentos de receitas'!$F:$F,"PAGO",'Lançamentos de receitas'!$C:$C,A4611,'Lançamentos de receitas'!$A:$A,B4611)</f>
        <v>1113.12</v>
      </c>
      <c r="E4611" s="15">
        <f t="shared" si="1"/>
        <v>2025</v>
      </c>
      <c r="F4611" s="15">
        <f t="shared" si="2"/>
        <v>11</v>
      </c>
      <c r="G4611" s="15">
        <f t="shared" si="3"/>
        <v>17</v>
      </c>
    </row>
    <row r="4612">
      <c r="A4612" s="10" t="s">
        <v>37</v>
      </c>
      <c r="B4612" s="94">
        <f t="shared" si="5"/>
        <v>45978</v>
      </c>
      <c r="C4612" s="77" t="s">
        <v>1571</v>
      </c>
      <c r="D4612" s="13">
        <f>SUMIFS('Lançamentos de despesas'!$I:$I,'Lançamentos de despesas'!$G:$G,A4612,'Lançamentos de despesas'!$E:$E,"PAGO",'Lançamentos de despesas'!$C:$C,B4612)</f>
        <v>4305.61</v>
      </c>
      <c r="E4612" s="15">
        <f t="shared" si="1"/>
        <v>2025</v>
      </c>
      <c r="F4612" s="15">
        <f t="shared" si="2"/>
        <v>11</v>
      </c>
      <c r="G4612" s="15">
        <f t="shared" si="3"/>
        <v>17</v>
      </c>
    </row>
    <row r="4613">
      <c r="A4613" s="10" t="s">
        <v>37</v>
      </c>
      <c r="B4613" s="94">
        <f t="shared" si="5"/>
        <v>45978</v>
      </c>
      <c r="C4613" s="77" t="s">
        <v>1572</v>
      </c>
      <c r="D4613" s="13">
        <f>D4610+D4611-D4612</f>
        <v>22308.62</v>
      </c>
      <c r="E4613" s="15">
        <f t="shared" si="1"/>
        <v>2025</v>
      </c>
      <c r="F4613" s="15">
        <f t="shared" si="2"/>
        <v>11</v>
      </c>
      <c r="G4613" s="15">
        <f t="shared" si="3"/>
        <v>17</v>
      </c>
    </row>
    <row r="4614">
      <c r="A4614" s="10" t="s">
        <v>37</v>
      </c>
      <c r="B4614" s="94">
        <f t="shared" si="5"/>
        <v>45979</v>
      </c>
      <c r="C4614" s="77" t="s">
        <v>1569</v>
      </c>
      <c r="D4614" s="13">
        <f>D4613</f>
        <v>22308.62</v>
      </c>
      <c r="E4614" s="15">
        <f t="shared" si="1"/>
        <v>2025</v>
      </c>
      <c r="F4614" s="15">
        <f t="shared" si="2"/>
        <v>11</v>
      </c>
      <c r="G4614" s="15">
        <f t="shared" si="3"/>
        <v>18</v>
      </c>
    </row>
    <row r="4615">
      <c r="A4615" s="10" t="s">
        <v>37</v>
      </c>
      <c r="B4615" s="94">
        <f t="shared" si="5"/>
        <v>45979</v>
      </c>
      <c r="C4615" s="77" t="s">
        <v>1570</v>
      </c>
      <c r="D4615" s="13">
        <f>SUMIFS('Lançamentos de receitas'!$E:$E,'Lançamentos de receitas'!$F:$F,"PAGO",'Lançamentos de receitas'!$C:$C,A4615,'Lançamentos de receitas'!$A:$A,B4615)</f>
        <v>2399.67</v>
      </c>
      <c r="E4615" s="15">
        <f t="shared" si="1"/>
        <v>2025</v>
      </c>
      <c r="F4615" s="15">
        <f t="shared" si="2"/>
        <v>11</v>
      </c>
      <c r="G4615" s="15">
        <f t="shared" si="3"/>
        <v>18</v>
      </c>
    </row>
    <row r="4616">
      <c r="A4616" s="10" t="s">
        <v>37</v>
      </c>
      <c r="B4616" s="94">
        <f t="shared" si="5"/>
        <v>45979</v>
      </c>
      <c r="C4616" s="77" t="s">
        <v>1571</v>
      </c>
      <c r="D4616" s="13">
        <f>SUMIFS('Lançamentos de despesas'!$I:$I,'Lançamentos de despesas'!$G:$G,A4616,'Lançamentos de despesas'!$E:$E,"PAGO",'Lançamentos de despesas'!$C:$C,B4616)</f>
        <v>582.73</v>
      </c>
      <c r="E4616" s="15">
        <f t="shared" si="1"/>
        <v>2025</v>
      </c>
      <c r="F4616" s="15">
        <f t="shared" si="2"/>
        <v>11</v>
      </c>
      <c r="G4616" s="15">
        <f t="shared" si="3"/>
        <v>18</v>
      </c>
    </row>
    <row r="4617">
      <c r="A4617" s="10" t="s">
        <v>37</v>
      </c>
      <c r="B4617" s="94">
        <f t="shared" si="5"/>
        <v>45979</v>
      </c>
      <c r="C4617" s="77" t="s">
        <v>1572</v>
      </c>
      <c r="D4617" s="13">
        <f>D4614+D4615-D4616</f>
        <v>24125.56</v>
      </c>
      <c r="E4617" s="15">
        <f t="shared" si="1"/>
        <v>2025</v>
      </c>
      <c r="F4617" s="15">
        <f t="shared" si="2"/>
        <v>11</v>
      </c>
      <c r="G4617" s="15">
        <f t="shared" si="3"/>
        <v>18</v>
      </c>
    </row>
    <row r="4618">
      <c r="A4618" s="10" t="s">
        <v>37</v>
      </c>
      <c r="B4618" s="94">
        <f t="shared" si="5"/>
        <v>45980</v>
      </c>
      <c r="C4618" s="77" t="s">
        <v>1569</v>
      </c>
      <c r="D4618" s="13">
        <f>D4617</f>
        <v>24125.56</v>
      </c>
      <c r="E4618" s="15">
        <f t="shared" si="1"/>
        <v>2025</v>
      </c>
      <c r="F4618" s="15">
        <f t="shared" si="2"/>
        <v>11</v>
      </c>
      <c r="G4618" s="15">
        <f t="shared" si="3"/>
        <v>19</v>
      </c>
    </row>
    <row r="4619">
      <c r="A4619" s="10" t="s">
        <v>37</v>
      </c>
      <c r="B4619" s="94">
        <f t="shared" si="5"/>
        <v>45980</v>
      </c>
      <c r="C4619" s="77" t="s">
        <v>1570</v>
      </c>
      <c r="D4619" s="13">
        <f>SUMIFS('Lançamentos de receitas'!$E:$E,'Lançamentos de receitas'!$F:$F,"PAGO",'Lançamentos de receitas'!$C:$C,A4619,'Lançamentos de receitas'!$A:$A,B4619)</f>
        <v>3004.19</v>
      </c>
      <c r="E4619" s="15">
        <f t="shared" si="1"/>
        <v>2025</v>
      </c>
      <c r="F4619" s="15">
        <f t="shared" si="2"/>
        <v>11</v>
      </c>
      <c r="G4619" s="15">
        <f t="shared" si="3"/>
        <v>19</v>
      </c>
    </row>
    <row r="4620">
      <c r="A4620" s="10" t="s">
        <v>37</v>
      </c>
      <c r="B4620" s="94">
        <f t="shared" si="5"/>
        <v>45980</v>
      </c>
      <c r="C4620" s="77" t="s">
        <v>1571</v>
      </c>
      <c r="D4620" s="13">
        <f>SUMIFS('Lançamentos de despesas'!$I:$I,'Lançamentos de despesas'!$G:$G,A4620,'Lançamentos de despesas'!$E:$E,"PAGO",'Lançamentos de despesas'!$C:$C,B4620)</f>
        <v>0</v>
      </c>
      <c r="E4620" s="15">
        <f t="shared" si="1"/>
        <v>2025</v>
      </c>
      <c r="F4620" s="15">
        <f t="shared" si="2"/>
        <v>11</v>
      </c>
      <c r="G4620" s="15">
        <f t="shared" si="3"/>
        <v>19</v>
      </c>
    </row>
    <row r="4621">
      <c r="A4621" s="10" t="s">
        <v>37</v>
      </c>
      <c r="B4621" s="94">
        <f t="shared" si="5"/>
        <v>45980</v>
      </c>
      <c r="C4621" s="77" t="s">
        <v>1572</v>
      </c>
      <c r="D4621" s="13">
        <f>D4618+D4619-D4620</f>
        <v>27129.75</v>
      </c>
      <c r="E4621" s="15">
        <f t="shared" si="1"/>
        <v>2025</v>
      </c>
      <c r="F4621" s="15">
        <f t="shared" si="2"/>
        <v>11</v>
      </c>
      <c r="G4621" s="15">
        <f t="shared" si="3"/>
        <v>19</v>
      </c>
    </row>
    <row r="4622">
      <c r="A4622" s="10" t="s">
        <v>37</v>
      </c>
      <c r="B4622" s="94">
        <f t="shared" si="5"/>
        <v>45981</v>
      </c>
      <c r="C4622" s="77" t="s">
        <v>1569</v>
      </c>
      <c r="D4622" s="13">
        <f>D4621</f>
        <v>27129.75</v>
      </c>
      <c r="E4622" s="15">
        <f t="shared" si="1"/>
        <v>2025</v>
      </c>
      <c r="F4622" s="15">
        <f t="shared" si="2"/>
        <v>11</v>
      </c>
      <c r="G4622" s="15">
        <f t="shared" si="3"/>
        <v>20</v>
      </c>
    </row>
    <row r="4623">
      <c r="A4623" s="10" t="s">
        <v>37</v>
      </c>
      <c r="B4623" s="94">
        <f t="shared" si="5"/>
        <v>45981</v>
      </c>
      <c r="C4623" s="77" t="s">
        <v>1570</v>
      </c>
      <c r="D4623" s="13">
        <f>SUMIFS('Lançamentos de receitas'!$E:$E,'Lançamentos de receitas'!$F:$F,"PAGO",'Lançamentos de receitas'!$C:$C,A4623,'Lançamentos de receitas'!$A:$A,B4623)</f>
        <v>3322.65</v>
      </c>
      <c r="E4623" s="15">
        <f t="shared" si="1"/>
        <v>2025</v>
      </c>
      <c r="F4623" s="15">
        <f t="shared" si="2"/>
        <v>11</v>
      </c>
      <c r="G4623" s="15">
        <f t="shared" si="3"/>
        <v>20</v>
      </c>
    </row>
    <row r="4624">
      <c r="A4624" s="10" t="s">
        <v>37</v>
      </c>
      <c r="B4624" s="94">
        <f t="shared" si="5"/>
        <v>45981</v>
      </c>
      <c r="C4624" s="77" t="s">
        <v>1571</v>
      </c>
      <c r="D4624" s="13">
        <f>SUMIFS('Lançamentos de despesas'!$I:$I,'Lançamentos de despesas'!$G:$G,A4624,'Lançamentos de despesas'!$E:$E,"PAGO",'Lançamentos de despesas'!$C:$C,B4624)</f>
        <v>0</v>
      </c>
      <c r="E4624" s="15">
        <f t="shared" si="1"/>
        <v>2025</v>
      </c>
      <c r="F4624" s="15">
        <f t="shared" si="2"/>
        <v>11</v>
      </c>
      <c r="G4624" s="15">
        <f t="shared" si="3"/>
        <v>20</v>
      </c>
    </row>
    <row r="4625">
      <c r="A4625" s="10" t="s">
        <v>37</v>
      </c>
      <c r="B4625" s="94">
        <f t="shared" si="5"/>
        <v>45981</v>
      </c>
      <c r="C4625" s="77" t="s">
        <v>1572</v>
      </c>
      <c r="D4625" s="13">
        <f>D4622+D4623-D4624</f>
        <v>30452.4</v>
      </c>
      <c r="E4625" s="15">
        <f t="shared" si="1"/>
        <v>2025</v>
      </c>
      <c r="F4625" s="15">
        <f t="shared" si="2"/>
        <v>11</v>
      </c>
      <c r="G4625" s="15">
        <f t="shared" si="3"/>
        <v>20</v>
      </c>
    </row>
    <row r="4626">
      <c r="A4626" s="10" t="s">
        <v>37</v>
      </c>
      <c r="B4626" s="94">
        <f t="shared" si="5"/>
        <v>45982</v>
      </c>
      <c r="C4626" s="77" t="s">
        <v>1569</v>
      </c>
      <c r="D4626" s="13">
        <f>D4625</f>
        <v>30452.4</v>
      </c>
      <c r="E4626" s="15">
        <f t="shared" si="1"/>
        <v>2025</v>
      </c>
      <c r="F4626" s="15">
        <f t="shared" si="2"/>
        <v>11</v>
      </c>
      <c r="G4626" s="15">
        <f t="shared" si="3"/>
        <v>21</v>
      </c>
    </row>
    <row r="4627">
      <c r="A4627" s="10" t="s">
        <v>37</v>
      </c>
      <c r="B4627" s="94">
        <f t="shared" si="5"/>
        <v>45982</v>
      </c>
      <c r="C4627" s="77" t="s">
        <v>1570</v>
      </c>
      <c r="D4627" s="13">
        <f>SUMIFS('Lançamentos de receitas'!$E:$E,'Lançamentos de receitas'!$F:$F,"PAGO",'Lançamentos de receitas'!$C:$C,A4627,'Lançamentos de receitas'!$A:$A,B4627)</f>
        <v>2619.77</v>
      </c>
      <c r="E4627" s="15">
        <f t="shared" si="1"/>
        <v>2025</v>
      </c>
      <c r="F4627" s="15">
        <f t="shared" si="2"/>
        <v>11</v>
      </c>
      <c r="G4627" s="15">
        <f t="shared" si="3"/>
        <v>21</v>
      </c>
    </row>
    <row r="4628">
      <c r="A4628" s="10" t="s">
        <v>37</v>
      </c>
      <c r="B4628" s="94">
        <f t="shared" si="5"/>
        <v>45982</v>
      </c>
      <c r="C4628" s="77" t="s">
        <v>1571</v>
      </c>
      <c r="D4628" s="13">
        <f>SUMIFS('Lançamentos de despesas'!$I:$I,'Lançamentos de despesas'!$G:$G,A4628,'Lançamentos de despesas'!$E:$E,"PAGO",'Lançamentos de despesas'!$C:$C,B4628)</f>
        <v>7239.3</v>
      </c>
      <c r="E4628" s="15">
        <f t="shared" si="1"/>
        <v>2025</v>
      </c>
      <c r="F4628" s="15">
        <f t="shared" si="2"/>
        <v>11</v>
      </c>
      <c r="G4628" s="15">
        <f t="shared" si="3"/>
        <v>21</v>
      </c>
    </row>
    <row r="4629">
      <c r="A4629" s="10" t="s">
        <v>37</v>
      </c>
      <c r="B4629" s="94">
        <f t="shared" si="5"/>
        <v>45982</v>
      </c>
      <c r="C4629" s="77" t="s">
        <v>1572</v>
      </c>
      <c r="D4629" s="13">
        <f>D4626+D4627-D4628</f>
        <v>25832.87</v>
      </c>
      <c r="E4629" s="15">
        <f t="shared" si="1"/>
        <v>2025</v>
      </c>
      <c r="F4629" s="15">
        <f t="shared" si="2"/>
        <v>11</v>
      </c>
      <c r="G4629" s="15">
        <f t="shared" si="3"/>
        <v>21</v>
      </c>
    </row>
    <row r="4630">
      <c r="A4630" s="10" t="s">
        <v>37</v>
      </c>
      <c r="B4630" s="94">
        <f t="shared" si="5"/>
        <v>45983</v>
      </c>
      <c r="C4630" s="77" t="s">
        <v>1569</v>
      </c>
      <c r="D4630" s="13">
        <f>D4629</f>
        <v>25832.87</v>
      </c>
      <c r="E4630" s="15">
        <f t="shared" si="1"/>
        <v>2025</v>
      </c>
      <c r="F4630" s="15">
        <f t="shared" si="2"/>
        <v>11</v>
      </c>
      <c r="G4630" s="15">
        <f t="shared" si="3"/>
        <v>22</v>
      </c>
    </row>
    <row r="4631">
      <c r="A4631" s="10" t="s">
        <v>37</v>
      </c>
      <c r="B4631" s="94">
        <f t="shared" si="5"/>
        <v>45983</v>
      </c>
      <c r="C4631" s="77" t="s">
        <v>1570</v>
      </c>
      <c r="D4631" s="13">
        <f>SUMIFS('Lançamentos de receitas'!$E:$E,'Lançamentos de receitas'!$F:$F,"PAGO",'Lançamentos de receitas'!$C:$C,A4631,'Lançamentos de receitas'!$A:$A,B4631)</f>
        <v>3458.78</v>
      </c>
      <c r="E4631" s="15">
        <f t="shared" si="1"/>
        <v>2025</v>
      </c>
      <c r="F4631" s="15">
        <f t="shared" si="2"/>
        <v>11</v>
      </c>
      <c r="G4631" s="15">
        <f t="shared" si="3"/>
        <v>22</v>
      </c>
    </row>
    <row r="4632">
      <c r="A4632" s="10" t="s">
        <v>37</v>
      </c>
      <c r="B4632" s="94">
        <f t="shared" si="5"/>
        <v>45983</v>
      </c>
      <c r="C4632" s="77" t="s">
        <v>1571</v>
      </c>
      <c r="D4632" s="13">
        <f>SUMIFS('Lançamentos de despesas'!$I:$I,'Lançamentos de despesas'!$G:$G,A4632,'Lançamentos de despesas'!$E:$E,"PAGO",'Lançamentos de despesas'!$C:$C,B4632)</f>
        <v>0</v>
      </c>
      <c r="E4632" s="15">
        <f t="shared" si="1"/>
        <v>2025</v>
      </c>
      <c r="F4632" s="15">
        <f t="shared" si="2"/>
        <v>11</v>
      </c>
      <c r="G4632" s="15">
        <f t="shared" si="3"/>
        <v>22</v>
      </c>
    </row>
    <row r="4633">
      <c r="A4633" s="10" t="s">
        <v>37</v>
      </c>
      <c r="B4633" s="94">
        <f t="shared" si="5"/>
        <v>45983</v>
      </c>
      <c r="C4633" s="77" t="s">
        <v>1572</v>
      </c>
      <c r="D4633" s="13">
        <f>D4630+D4631-D4632</f>
        <v>29291.65</v>
      </c>
      <c r="E4633" s="15">
        <f t="shared" si="1"/>
        <v>2025</v>
      </c>
      <c r="F4633" s="15">
        <f t="shared" si="2"/>
        <v>11</v>
      </c>
      <c r="G4633" s="15">
        <f t="shared" si="3"/>
        <v>22</v>
      </c>
    </row>
    <row r="4634">
      <c r="A4634" s="10" t="s">
        <v>37</v>
      </c>
      <c r="B4634" s="94">
        <f t="shared" si="5"/>
        <v>45984</v>
      </c>
      <c r="C4634" s="77" t="s">
        <v>1569</v>
      </c>
      <c r="D4634" s="13">
        <f>D4633</f>
        <v>29291.65</v>
      </c>
      <c r="E4634" s="15">
        <f t="shared" si="1"/>
        <v>2025</v>
      </c>
      <c r="F4634" s="15">
        <f t="shared" si="2"/>
        <v>11</v>
      </c>
      <c r="G4634" s="15">
        <f t="shared" si="3"/>
        <v>23</v>
      </c>
    </row>
    <row r="4635">
      <c r="A4635" s="10" t="s">
        <v>37</v>
      </c>
      <c r="B4635" s="94">
        <f t="shared" si="5"/>
        <v>45984</v>
      </c>
      <c r="C4635" s="77" t="s">
        <v>1570</v>
      </c>
      <c r="D4635" s="13">
        <f>SUMIFS('Lançamentos de receitas'!$E:$E,'Lançamentos de receitas'!$F:$F,"PAGO",'Lançamentos de receitas'!$C:$C,A4635,'Lançamentos de receitas'!$A:$A,B4635)</f>
        <v>5026.12</v>
      </c>
      <c r="E4635" s="15">
        <f t="shared" si="1"/>
        <v>2025</v>
      </c>
      <c r="F4635" s="15">
        <f t="shared" si="2"/>
        <v>11</v>
      </c>
      <c r="G4635" s="15">
        <f t="shared" si="3"/>
        <v>23</v>
      </c>
    </row>
    <row r="4636">
      <c r="A4636" s="10" t="s">
        <v>37</v>
      </c>
      <c r="B4636" s="94">
        <f t="shared" si="5"/>
        <v>45984</v>
      </c>
      <c r="C4636" s="77" t="s">
        <v>1571</v>
      </c>
      <c r="D4636" s="13">
        <f>SUMIFS('Lançamentos de despesas'!$I:$I,'Lançamentos de despesas'!$G:$G,A4636,'Lançamentos de despesas'!$E:$E,"PAGO",'Lançamentos de despesas'!$C:$C,B4636)</f>
        <v>0</v>
      </c>
      <c r="E4636" s="15">
        <f t="shared" si="1"/>
        <v>2025</v>
      </c>
      <c r="F4636" s="15">
        <f t="shared" si="2"/>
        <v>11</v>
      </c>
      <c r="G4636" s="15">
        <f t="shared" si="3"/>
        <v>23</v>
      </c>
    </row>
    <row r="4637">
      <c r="A4637" s="10" t="s">
        <v>37</v>
      </c>
      <c r="B4637" s="94">
        <f t="shared" si="5"/>
        <v>45984</v>
      </c>
      <c r="C4637" s="77" t="s">
        <v>1572</v>
      </c>
      <c r="D4637" s="13">
        <f>D4634+D4635-D4636</f>
        <v>34317.77</v>
      </c>
      <c r="E4637" s="15">
        <f t="shared" si="1"/>
        <v>2025</v>
      </c>
      <c r="F4637" s="15">
        <f t="shared" si="2"/>
        <v>11</v>
      </c>
      <c r="G4637" s="15">
        <f t="shared" si="3"/>
        <v>23</v>
      </c>
    </row>
    <row r="4638">
      <c r="A4638" s="10" t="s">
        <v>37</v>
      </c>
      <c r="B4638" s="94">
        <f t="shared" si="5"/>
        <v>45985</v>
      </c>
      <c r="C4638" s="77" t="s">
        <v>1569</v>
      </c>
      <c r="D4638" s="13">
        <f>D4637</f>
        <v>34317.77</v>
      </c>
      <c r="E4638" s="15">
        <f t="shared" si="1"/>
        <v>2025</v>
      </c>
      <c r="F4638" s="15">
        <f t="shared" si="2"/>
        <v>11</v>
      </c>
      <c r="G4638" s="15">
        <f t="shared" si="3"/>
        <v>24</v>
      </c>
    </row>
    <row r="4639">
      <c r="A4639" s="10" t="s">
        <v>37</v>
      </c>
      <c r="B4639" s="94">
        <f t="shared" si="5"/>
        <v>45985</v>
      </c>
      <c r="C4639" s="77" t="s">
        <v>1570</v>
      </c>
      <c r="D4639" s="13">
        <f>SUMIFS('Lançamentos de receitas'!$E:$E,'Lançamentos de receitas'!$F:$F,"PAGO",'Lançamentos de receitas'!$C:$C,A4639,'Lançamentos de receitas'!$A:$A,B4639)</f>
        <v>366.19</v>
      </c>
      <c r="E4639" s="15">
        <f t="shared" si="1"/>
        <v>2025</v>
      </c>
      <c r="F4639" s="15">
        <f t="shared" si="2"/>
        <v>11</v>
      </c>
      <c r="G4639" s="15">
        <f t="shared" si="3"/>
        <v>24</v>
      </c>
    </row>
    <row r="4640">
      <c r="A4640" s="10" t="s">
        <v>37</v>
      </c>
      <c r="B4640" s="94">
        <f t="shared" si="5"/>
        <v>45985</v>
      </c>
      <c r="C4640" s="77" t="s">
        <v>1571</v>
      </c>
      <c r="D4640" s="13">
        <f>SUMIFS('Lançamentos de despesas'!$I:$I,'Lançamentos de despesas'!$G:$G,A4640,'Lançamentos de despesas'!$E:$E,"PAGO",'Lançamentos de despesas'!$C:$C,B4640)</f>
        <v>18054.47</v>
      </c>
      <c r="E4640" s="15">
        <f t="shared" si="1"/>
        <v>2025</v>
      </c>
      <c r="F4640" s="15">
        <f t="shared" si="2"/>
        <v>11</v>
      </c>
      <c r="G4640" s="15">
        <f t="shared" si="3"/>
        <v>24</v>
      </c>
    </row>
    <row r="4641">
      <c r="A4641" s="10" t="s">
        <v>37</v>
      </c>
      <c r="B4641" s="94">
        <f t="shared" si="5"/>
        <v>45985</v>
      </c>
      <c r="C4641" s="77" t="s">
        <v>1572</v>
      </c>
      <c r="D4641" s="13">
        <f>D4638+D4639-D4640</f>
        <v>16629.49</v>
      </c>
      <c r="E4641" s="15">
        <f t="shared" si="1"/>
        <v>2025</v>
      </c>
      <c r="F4641" s="15">
        <f t="shared" si="2"/>
        <v>11</v>
      </c>
      <c r="G4641" s="15">
        <f t="shared" si="3"/>
        <v>24</v>
      </c>
    </row>
    <row r="4642">
      <c r="A4642" s="10" t="s">
        <v>37</v>
      </c>
      <c r="B4642" s="94">
        <f t="shared" si="5"/>
        <v>45986</v>
      </c>
      <c r="C4642" s="77" t="s">
        <v>1569</v>
      </c>
      <c r="D4642" s="13">
        <f>D4641</f>
        <v>16629.49</v>
      </c>
      <c r="E4642" s="15">
        <f t="shared" si="1"/>
        <v>2025</v>
      </c>
      <c r="F4642" s="15">
        <f t="shared" si="2"/>
        <v>11</v>
      </c>
      <c r="G4642" s="15">
        <f t="shared" si="3"/>
        <v>25</v>
      </c>
    </row>
    <row r="4643">
      <c r="A4643" s="10" t="s">
        <v>37</v>
      </c>
      <c r="B4643" s="94">
        <f t="shared" si="5"/>
        <v>45986</v>
      </c>
      <c r="C4643" s="77" t="s">
        <v>1570</v>
      </c>
      <c r="D4643" s="13">
        <f>SUMIFS('Lançamentos de receitas'!$E:$E,'Lançamentos de receitas'!$F:$F,"PAGO",'Lançamentos de receitas'!$C:$C,A4643,'Lançamentos de receitas'!$A:$A,B4643)</f>
        <v>4622</v>
      </c>
      <c r="E4643" s="15">
        <f t="shared" si="1"/>
        <v>2025</v>
      </c>
      <c r="F4643" s="15">
        <f t="shared" si="2"/>
        <v>11</v>
      </c>
      <c r="G4643" s="15">
        <f t="shared" si="3"/>
        <v>25</v>
      </c>
    </row>
    <row r="4644">
      <c r="A4644" s="10" t="s">
        <v>37</v>
      </c>
      <c r="B4644" s="94">
        <f t="shared" si="5"/>
        <v>45986</v>
      </c>
      <c r="C4644" s="77" t="s">
        <v>1571</v>
      </c>
      <c r="D4644" s="13">
        <f>SUMIFS('Lançamentos de despesas'!$I:$I,'Lançamentos de despesas'!$G:$G,A4644,'Lançamentos de despesas'!$E:$E,"PAGO",'Lançamentos de despesas'!$C:$C,B4644)</f>
        <v>6272.46</v>
      </c>
      <c r="E4644" s="15">
        <f t="shared" si="1"/>
        <v>2025</v>
      </c>
      <c r="F4644" s="15">
        <f t="shared" si="2"/>
        <v>11</v>
      </c>
      <c r="G4644" s="15">
        <f t="shared" si="3"/>
        <v>25</v>
      </c>
    </row>
    <row r="4645">
      <c r="A4645" s="10" t="s">
        <v>37</v>
      </c>
      <c r="B4645" s="94">
        <f t="shared" si="5"/>
        <v>45986</v>
      </c>
      <c r="C4645" s="77" t="s">
        <v>1572</v>
      </c>
      <c r="D4645" s="13">
        <f>D4642+D4643-D4644</f>
        <v>14979.03</v>
      </c>
      <c r="E4645" s="15">
        <f t="shared" si="1"/>
        <v>2025</v>
      </c>
      <c r="F4645" s="15">
        <f t="shared" si="2"/>
        <v>11</v>
      </c>
      <c r="G4645" s="15">
        <f t="shared" si="3"/>
        <v>25</v>
      </c>
    </row>
    <row r="4646">
      <c r="A4646" s="10" t="s">
        <v>37</v>
      </c>
      <c r="B4646" s="94">
        <f t="shared" si="5"/>
        <v>45987</v>
      </c>
      <c r="C4646" s="77" t="s">
        <v>1569</v>
      </c>
      <c r="D4646" s="13">
        <f>D4645</f>
        <v>14979.03</v>
      </c>
      <c r="E4646" s="15">
        <f t="shared" si="1"/>
        <v>2025</v>
      </c>
      <c r="F4646" s="15">
        <f t="shared" si="2"/>
        <v>11</v>
      </c>
      <c r="G4646" s="15">
        <f t="shared" si="3"/>
        <v>26</v>
      </c>
    </row>
    <row r="4647">
      <c r="A4647" s="10" t="s">
        <v>37</v>
      </c>
      <c r="B4647" s="94">
        <f t="shared" si="5"/>
        <v>45987</v>
      </c>
      <c r="C4647" s="77" t="s">
        <v>1570</v>
      </c>
      <c r="D4647" s="13">
        <f>SUMIFS('Lançamentos de receitas'!$E:$E,'Lançamentos de receitas'!$F:$F,"PAGO",'Lançamentos de receitas'!$C:$C,A4647,'Lançamentos de receitas'!$A:$A,B4647)</f>
        <v>4745.31</v>
      </c>
      <c r="E4647" s="15">
        <f t="shared" si="1"/>
        <v>2025</v>
      </c>
      <c r="F4647" s="15">
        <f t="shared" si="2"/>
        <v>11</v>
      </c>
      <c r="G4647" s="15">
        <f t="shared" si="3"/>
        <v>26</v>
      </c>
    </row>
    <row r="4648">
      <c r="A4648" s="10" t="s">
        <v>37</v>
      </c>
      <c r="B4648" s="94">
        <f t="shared" si="5"/>
        <v>45987</v>
      </c>
      <c r="C4648" s="77" t="s">
        <v>1571</v>
      </c>
      <c r="D4648" s="13">
        <f>SUMIFS('Lançamentos de despesas'!$I:$I,'Lançamentos de despesas'!$G:$G,A4648,'Lançamentos de despesas'!$E:$E,"PAGO",'Lançamentos de despesas'!$C:$C,B4648)</f>
        <v>0</v>
      </c>
      <c r="E4648" s="15">
        <f t="shared" si="1"/>
        <v>2025</v>
      </c>
      <c r="F4648" s="15">
        <f t="shared" si="2"/>
        <v>11</v>
      </c>
      <c r="G4648" s="15">
        <f t="shared" si="3"/>
        <v>26</v>
      </c>
    </row>
    <row r="4649">
      <c r="A4649" s="10" t="s">
        <v>37</v>
      </c>
      <c r="B4649" s="94">
        <f t="shared" si="5"/>
        <v>45987</v>
      </c>
      <c r="C4649" s="77" t="s">
        <v>1572</v>
      </c>
      <c r="D4649" s="13">
        <f>D4646+D4647-D4648</f>
        <v>19724.34</v>
      </c>
      <c r="E4649" s="15">
        <f t="shared" si="1"/>
        <v>2025</v>
      </c>
      <c r="F4649" s="15">
        <f t="shared" si="2"/>
        <v>11</v>
      </c>
      <c r="G4649" s="15">
        <f t="shared" si="3"/>
        <v>26</v>
      </c>
    </row>
    <row r="4650">
      <c r="A4650" s="10" t="s">
        <v>37</v>
      </c>
      <c r="B4650" s="94">
        <f t="shared" si="5"/>
        <v>45988</v>
      </c>
      <c r="C4650" s="77" t="s">
        <v>1569</v>
      </c>
      <c r="D4650" s="13">
        <f>D4649</f>
        <v>19724.34</v>
      </c>
      <c r="E4650" s="15">
        <f t="shared" si="1"/>
        <v>2025</v>
      </c>
      <c r="F4650" s="15">
        <f t="shared" si="2"/>
        <v>11</v>
      </c>
      <c r="G4650" s="15">
        <f t="shared" si="3"/>
        <v>27</v>
      </c>
    </row>
    <row r="4651">
      <c r="A4651" s="10" t="s">
        <v>37</v>
      </c>
      <c r="B4651" s="94">
        <f t="shared" si="5"/>
        <v>45988</v>
      </c>
      <c r="C4651" s="77" t="s">
        <v>1570</v>
      </c>
      <c r="D4651" s="13">
        <f>SUMIFS('Lançamentos de receitas'!$E:$E,'Lançamentos de receitas'!$F:$F,"PAGO",'Lançamentos de receitas'!$C:$C,A4651,'Lançamentos de receitas'!$A:$A,B4651)</f>
        <v>3844.06</v>
      </c>
      <c r="E4651" s="15">
        <f t="shared" si="1"/>
        <v>2025</v>
      </c>
      <c r="F4651" s="15">
        <f t="shared" si="2"/>
        <v>11</v>
      </c>
      <c r="G4651" s="15">
        <f t="shared" si="3"/>
        <v>27</v>
      </c>
    </row>
    <row r="4652">
      <c r="A4652" s="10" t="s">
        <v>37</v>
      </c>
      <c r="B4652" s="94">
        <f t="shared" si="5"/>
        <v>45988</v>
      </c>
      <c r="C4652" s="77" t="s">
        <v>1571</v>
      </c>
      <c r="D4652" s="13">
        <f>SUMIFS('Lançamentos de despesas'!$I:$I,'Lançamentos de despesas'!$G:$G,A4652,'Lançamentos de despesas'!$E:$E,"PAGO",'Lançamentos de despesas'!$C:$C,B4652)</f>
        <v>0</v>
      </c>
      <c r="E4652" s="15">
        <f t="shared" si="1"/>
        <v>2025</v>
      </c>
      <c r="F4652" s="15">
        <f t="shared" si="2"/>
        <v>11</v>
      </c>
      <c r="G4652" s="15">
        <f t="shared" si="3"/>
        <v>27</v>
      </c>
    </row>
    <row r="4653">
      <c r="A4653" s="10" t="s">
        <v>37</v>
      </c>
      <c r="B4653" s="94">
        <f t="shared" si="5"/>
        <v>45988</v>
      </c>
      <c r="C4653" s="77" t="s">
        <v>1572</v>
      </c>
      <c r="D4653" s="13">
        <f>D4650+D4651-D4652</f>
        <v>23568.4</v>
      </c>
      <c r="E4653" s="15">
        <f t="shared" si="1"/>
        <v>2025</v>
      </c>
      <c r="F4653" s="15">
        <f t="shared" si="2"/>
        <v>11</v>
      </c>
      <c r="G4653" s="15">
        <f t="shared" si="3"/>
        <v>27</v>
      </c>
    </row>
    <row r="4654">
      <c r="A4654" s="10" t="s">
        <v>37</v>
      </c>
      <c r="B4654" s="94">
        <f t="shared" si="5"/>
        <v>45989</v>
      </c>
      <c r="C4654" s="77" t="s">
        <v>1569</v>
      </c>
      <c r="D4654" s="13">
        <f>D4653</f>
        <v>23568.4</v>
      </c>
      <c r="E4654" s="15">
        <f t="shared" si="1"/>
        <v>2025</v>
      </c>
      <c r="F4654" s="15">
        <f t="shared" si="2"/>
        <v>11</v>
      </c>
      <c r="G4654" s="15">
        <f t="shared" si="3"/>
        <v>28</v>
      </c>
    </row>
    <row r="4655">
      <c r="A4655" s="10" t="s">
        <v>37</v>
      </c>
      <c r="B4655" s="94">
        <f t="shared" si="5"/>
        <v>45989</v>
      </c>
      <c r="C4655" s="77" t="s">
        <v>1570</v>
      </c>
      <c r="D4655" s="13">
        <f>SUMIFS('Lançamentos de receitas'!$E:$E,'Lançamentos de receitas'!$F:$F,"PAGO",'Lançamentos de receitas'!$C:$C,A4655,'Lançamentos de receitas'!$A:$A,B4655)</f>
        <v>2502.02</v>
      </c>
      <c r="E4655" s="15">
        <f t="shared" si="1"/>
        <v>2025</v>
      </c>
      <c r="F4655" s="15">
        <f t="shared" si="2"/>
        <v>11</v>
      </c>
      <c r="G4655" s="15">
        <f t="shared" si="3"/>
        <v>28</v>
      </c>
    </row>
    <row r="4656">
      <c r="A4656" s="10" t="s">
        <v>37</v>
      </c>
      <c r="B4656" s="94">
        <f t="shared" si="5"/>
        <v>45989</v>
      </c>
      <c r="C4656" s="77" t="s">
        <v>1571</v>
      </c>
      <c r="D4656" s="13">
        <f>SUMIFS('Lançamentos de despesas'!$I:$I,'Lançamentos de despesas'!$G:$G,A4656,'Lançamentos de despesas'!$E:$E,"PAGO",'Lançamentos de despesas'!$C:$C,B4656)</f>
        <v>747.5</v>
      </c>
      <c r="E4656" s="15">
        <f t="shared" si="1"/>
        <v>2025</v>
      </c>
      <c r="F4656" s="15">
        <f t="shared" si="2"/>
        <v>11</v>
      </c>
      <c r="G4656" s="15">
        <f t="shared" si="3"/>
        <v>28</v>
      </c>
    </row>
    <row r="4657">
      <c r="A4657" s="10" t="s">
        <v>37</v>
      </c>
      <c r="B4657" s="94">
        <f t="shared" si="5"/>
        <v>45989</v>
      </c>
      <c r="C4657" s="77" t="s">
        <v>1572</v>
      </c>
      <c r="D4657" s="13">
        <f>D4654+D4655-D4656</f>
        <v>25322.92</v>
      </c>
      <c r="E4657" s="15">
        <f t="shared" si="1"/>
        <v>2025</v>
      </c>
      <c r="F4657" s="15">
        <f t="shared" si="2"/>
        <v>11</v>
      </c>
      <c r="G4657" s="15">
        <f t="shared" si="3"/>
        <v>28</v>
      </c>
    </row>
    <row r="4658">
      <c r="A4658" s="10" t="s">
        <v>37</v>
      </c>
      <c r="B4658" s="94">
        <f t="shared" si="5"/>
        <v>45990</v>
      </c>
      <c r="C4658" s="77" t="s">
        <v>1569</v>
      </c>
      <c r="D4658" s="13">
        <f>D4657</f>
        <v>25322.92</v>
      </c>
      <c r="E4658" s="15">
        <f t="shared" si="1"/>
        <v>2025</v>
      </c>
      <c r="F4658" s="15">
        <f t="shared" si="2"/>
        <v>11</v>
      </c>
      <c r="G4658" s="15">
        <f t="shared" si="3"/>
        <v>29</v>
      </c>
    </row>
    <row r="4659">
      <c r="A4659" s="10" t="s">
        <v>37</v>
      </c>
      <c r="B4659" s="94">
        <f t="shared" si="5"/>
        <v>45990</v>
      </c>
      <c r="C4659" s="77" t="s">
        <v>1570</v>
      </c>
      <c r="D4659" s="13">
        <f>SUMIFS('Lançamentos de receitas'!$E:$E,'Lançamentos de receitas'!$F:$F,"PAGO",'Lançamentos de receitas'!$C:$C,A4659,'Lançamentos de receitas'!$A:$A,B4659)</f>
        <v>3449.37</v>
      </c>
      <c r="E4659" s="15">
        <f t="shared" si="1"/>
        <v>2025</v>
      </c>
      <c r="F4659" s="15">
        <f t="shared" si="2"/>
        <v>11</v>
      </c>
      <c r="G4659" s="15">
        <f t="shared" si="3"/>
        <v>29</v>
      </c>
    </row>
    <row r="4660">
      <c r="A4660" s="10" t="s">
        <v>37</v>
      </c>
      <c r="B4660" s="94">
        <f t="shared" si="5"/>
        <v>45990</v>
      </c>
      <c r="C4660" s="77" t="s">
        <v>1571</v>
      </c>
      <c r="D4660" s="13">
        <f>SUMIFS('Lançamentos de despesas'!$I:$I,'Lançamentos de despesas'!$G:$G,A4660,'Lançamentos de despesas'!$E:$E,"PAGO",'Lançamentos de despesas'!$C:$C,B4660)</f>
        <v>0</v>
      </c>
      <c r="E4660" s="15">
        <f t="shared" si="1"/>
        <v>2025</v>
      </c>
      <c r="F4660" s="15">
        <f t="shared" si="2"/>
        <v>11</v>
      </c>
      <c r="G4660" s="15">
        <f t="shared" si="3"/>
        <v>29</v>
      </c>
    </row>
    <row r="4661">
      <c r="A4661" s="10" t="s">
        <v>37</v>
      </c>
      <c r="B4661" s="94">
        <f t="shared" si="5"/>
        <v>45990</v>
      </c>
      <c r="C4661" s="77" t="s">
        <v>1572</v>
      </c>
      <c r="D4661" s="13">
        <f>D4658+D4659-D4660</f>
        <v>28772.29</v>
      </c>
      <c r="E4661" s="15">
        <f t="shared" si="1"/>
        <v>2025</v>
      </c>
      <c r="F4661" s="15">
        <f t="shared" si="2"/>
        <v>11</v>
      </c>
      <c r="G4661" s="15">
        <f t="shared" si="3"/>
        <v>29</v>
      </c>
    </row>
    <row r="4662">
      <c r="A4662" s="10" t="s">
        <v>37</v>
      </c>
      <c r="B4662" s="94">
        <f t="shared" si="5"/>
        <v>45991</v>
      </c>
      <c r="C4662" s="77" t="s">
        <v>1569</v>
      </c>
      <c r="D4662" s="13">
        <f>D4661</f>
        <v>28772.29</v>
      </c>
      <c r="E4662" s="15">
        <f t="shared" si="1"/>
        <v>2025</v>
      </c>
      <c r="F4662" s="15">
        <f t="shared" si="2"/>
        <v>11</v>
      </c>
      <c r="G4662" s="15">
        <f t="shared" si="3"/>
        <v>30</v>
      </c>
    </row>
    <row r="4663">
      <c r="A4663" s="10" t="s">
        <v>37</v>
      </c>
      <c r="B4663" s="94">
        <f t="shared" si="5"/>
        <v>45991</v>
      </c>
      <c r="C4663" s="77" t="s">
        <v>1570</v>
      </c>
      <c r="D4663" s="13">
        <f>SUMIFS('Lançamentos de receitas'!$E:$E,'Lançamentos de receitas'!$F:$F,"PAGO",'Lançamentos de receitas'!$C:$C,A4663,'Lançamentos de receitas'!$A:$A,B4663)</f>
        <v>3618.94</v>
      </c>
      <c r="E4663" s="15">
        <f t="shared" si="1"/>
        <v>2025</v>
      </c>
      <c r="F4663" s="15">
        <f t="shared" si="2"/>
        <v>11</v>
      </c>
      <c r="G4663" s="15">
        <f t="shared" si="3"/>
        <v>30</v>
      </c>
    </row>
    <row r="4664">
      <c r="A4664" s="10" t="s">
        <v>37</v>
      </c>
      <c r="B4664" s="94">
        <f t="shared" si="5"/>
        <v>45991</v>
      </c>
      <c r="C4664" s="77" t="s">
        <v>1571</v>
      </c>
      <c r="D4664" s="13">
        <f>SUMIFS('Lançamentos de despesas'!$I:$I,'Lançamentos de despesas'!$G:$G,A4664,'Lançamentos de despesas'!$E:$E,"PAGO",'Lançamentos de despesas'!$C:$C,B4664)</f>
        <v>0</v>
      </c>
      <c r="E4664" s="15">
        <f t="shared" si="1"/>
        <v>2025</v>
      </c>
      <c r="F4664" s="15">
        <f t="shared" si="2"/>
        <v>11</v>
      </c>
      <c r="G4664" s="15">
        <f t="shared" si="3"/>
        <v>30</v>
      </c>
    </row>
    <row r="4665">
      <c r="A4665" s="10" t="s">
        <v>37</v>
      </c>
      <c r="B4665" s="94">
        <f t="shared" si="5"/>
        <v>45991</v>
      </c>
      <c r="C4665" s="77" t="s">
        <v>1572</v>
      </c>
      <c r="D4665" s="13">
        <f>D4662+D4663-D4664</f>
        <v>32391.23</v>
      </c>
      <c r="E4665" s="15">
        <f t="shared" si="1"/>
        <v>2025</v>
      </c>
      <c r="F4665" s="15">
        <f t="shared" si="2"/>
        <v>11</v>
      </c>
      <c r="G4665" s="15">
        <f t="shared" si="3"/>
        <v>30</v>
      </c>
    </row>
    <row r="4666">
      <c r="A4666" s="10" t="s">
        <v>37</v>
      </c>
      <c r="B4666" s="94">
        <f t="shared" si="5"/>
        <v>45992</v>
      </c>
      <c r="C4666" s="77" t="s">
        <v>1569</v>
      </c>
      <c r="D4666" s="13">
        <f>D4665</f>
        <v>32391.23</v>
      </c>
      <c r="E4666" s="15">
        <f t="shared" si="1"/>
        <v>2025</v>
      </c>
      <c r="F4666" s="15">
        <f t="shared" si="2"/>
        <v>12</v>
      </c>
      <c r="G4666" s="15">
        <f t="shared" si="3"/>
        <v>1</v>
      </c>
    </row>
    <row r="4667">
      <c r="A4667" s="10" t="s">
        <v>37</v>
      </c>
      <c r="B4667" s="94">
        <f t="shared" si="5"/>
        <v>45992</v>
      </c>
      <c r="C4667" s="77" t="s">
        <v>1570</v>
      </c>
      <c r="D4667" s="13">
        <f>SUMIFS('Lançamentos de receitas'!$E:$E,'Lançamentos de receitas'!$F:$F,"PAGO",'Lançamentos de receitas'!$C:$C,A4667,'Lançamentos de receitas'!$A:$A,B4667)</f>
        <v>678.88</v>
      </c>
      <c r="E4667" s="15">
        <f t="shared" si="1"/>
        <v>2025</v>
      </c>
      <c r="F4667" s="15">
        <f t="shared" si="2"/>
        <v>12</v>
      </c>
      <c r="G4667" s="15">
        <f t="shared" si="3"/>
        <v>1</v>
      </c>
    </row>
    <row r="4668">
      <c r="A4668" s="10" t="s">
        <v>37</v>
      </c>
      <c r="B4668" s="94">
        <f t="shared" si="5"/>
        <v>45992</v>
      </c>
      <c r="C4668" s="77" t="s">
        <v>1571</v>
      </c>
      <c r="D4668" s="13">
        <f>SUMIFS('Lançamentos de despesas'!$I:$I,'Lançamentos de despesas'!$G:$G,A4668,'Lançamentos de despesas'!$E:$E,"PAGO",'Lançamentos de despesas'!$C:$C,B4668)</f>
        <v>6532.45</v>
      </c>
      <c r="E4668" s="15">
        <f t="shared" si="1"/>
        <v>2025</v>
      </c>
      <c r="F4668" s="15">
        <f t="shared" si="2"/>
        <v>12</v>
      </c>
      <c r="G4668" s="15">
        <f t="shared" si="3"/>
        <v>1</v>
      </c>
    </row>
    <row r="4669">
      <c r="A4669" s="10" t="s">
        <v>37</v>
      </c>
      <c r="B4669" s="94">
        <f t="shared" si="5"/>
        <v>45992</v>
      </c>
      <c r="C4669" s="77" t="s">
        <v>1572</v>
      </c>
      <c r="D4669" s="13">
        <f>D4666+D4667-D4668</f>
        <v>26537.66</v>
      </c>
      <c r="E4669" s="15">
        <f t="shared" si="1"/>
        <v>2025</v>
      </c>
      <c r="F4669" s="15">
        <f t="shared" si="2"/>
        <v>12</v>
      </c>
      <c r="G4669" s="15">
        <f t="shared" si="3"/>
        <v>1</v>
      </c>
    </row>
    <row r="4670">
      <c r="A4670" s="10" t="s">
        <v>37</v>
      </c>
      <c r="B4670" s="94">
        <f t="shared" si="5"/>
        <v>45993</v>
      </c>
      <c r="C4670" s="77" t="s">
        <v>1569</v>
      </c>
      <c r="D4670" s="13">
        <f>D4669</f>
        <v>26537.66</v>
      </c>
      <c r="E4670" s="15">
        <f t="shared" si="1"/>
        <v>2025</v>
      </c>
      <c r="F4670" s="15">
        <f t="shared" si="2"/>
        <v>12</v>
      </c>
      <c r="G4670" s="15">
        <f t="shared" si="3"/>
        <v>2</v>
      </c>
    </row>
    <row r="4671">
      <c r="A4671" s="10" t="s">
        <v>37</v>
      </c>
      <c r="B4671" s="94">
        <f t="shared" si="5"/>
        <v>45993</v>
      </c>
      <c r="C4671" s="77" t="s">
        <v>1570</v>
      </c>
      <c r="D4671" s="13">
        <f>SUMIFS('Lançamentos de receitas'!$E:$E,'Lançamentos de receitas'!$F:$F,"PAGO",'Lançamentos de receitas'!$C:$C,A4671,'Lançamentos de receitas'!$A:$A,B4671)</f>
        <v>3035.42</v>
      </c>
      <c r="E4671" s="15">
        <f t="shared" si="1"/>
        <v>2025</v>
      </c>
      <c r="F4671" s="15">
        <f t="shared" si="2"/>
        <v>12</v>
      </c>
      <c r="G4671" s="15">
        <f t="shared" si="3"/>
        <v>2</v>
      </c>
    </row>
    <row r="4672">
      <c r="A4672" s="10" t="s">
        <v>37</v>
      </c>
      <c r="B4672" s="94">
        <f t="shared" si="5"/>
        <v>45993</v>
      </c>
      <c r="C4672" s="77" t="s">
        <v>1571</v>
      </c>
      <c r="D4672" s="13">
        <f>SUMIFS('Lançamentos de despesas'!$I:$I,'Lançamentos de despesas'!$G:$G,A4672,'Lançamentos de despesas'!$E:$E,"PAGO",'Lançamentos de despesas'!$C:$C,B4672)</f>
        <v>0</v>
      </c>
      <c r="E4672" s="15">
        <f t="shared" si="1"/>
        <v>2025</v>
      </c>
      <c r="F4672" s="15">
        <f t="shared" si="2"/>
        <v>12</v>
      </c>
      <c r="G4672" s="15">
        <f t="shared" si="3"/>
        <v>2</v>
      </c>
    </row>
    <row r="4673">
      <c r="A4673" s="10" t="s">
        <v>37</v>
      </c>
      <c r="B4673" s="94">
        <f t="shared" si="5"/>
        <v>45993</v>
      </c>
      <c r="C4673" s="77" t="s">
        <v>1572</v>
      </c>
      <c r="D4673" s="13">
        <f>D4670+D4671-D4672</f>
        <v>29573.08</v>
      </c>
      <c r="E4673" s="15">
        <f t="shared" si="1"/>
        <v>2025</v>
      </c>
      <c r="F4673" s="15">
        <f t="shared" si="2"/>
        <v>12</v>
      </c>
      <c r="G4673" s="15">
        <f t="shared" si="3"/>
        <v>2</v>
      </c>
    </row>
    <row r="4674">
      <c r="A4674" s="10" t="s">
        <v>37</v>
      </c>
      <c r="B4674" s="94">
        <f t="shared" si="5"/>
        <v>45994</v>
      </c>
      <c r="C4674" s="77" t="s">
        <v>1569</v>
      </c>
      <c r="D4674" s="13">
        <f>D4673</f>
        <v>29573.08</v>
      </c>
      <c r="E4674" s="15">
        <f t="shared" si="1"/>
        <v>2025</v>
      </c>
      <c r="F4674" s="15">
        <f t="shared" si="2"/>
        <v>12</v>
      </c>
      <c r="G4674" s="15">
        <f t="shared" si="3"/>
        <v>3</v>
      </c>
    </row>
    <row r="4675">
      <c r="A4675" s="10" t="s">
        <v>37</v>
      </c>
      <c r="B4675" s="94">
        <f t="shared" si="5"/>
        <v>45994</v>
      </c>
      <c r="C4675" s="77" t="s">
        <v>1570</v>
      </c>
      <c r="D4675" s="13">
        <f>SUMIFS('Lançamentos de receitas'!$E:$E,'Lançamentos de receitas'!$F:$F,"PAGO",'Lançamentos de receitas'!$C:$C,A4675,'Lançamentos de receitas'!$A:$A,B4675)</f>
        <v>5172.64</v>
      </c>
      <c r="E4675" s="15">
        <f t="shared" si="1"/>
        <v>2025</v>
      </c>
      <c r="F4675" s="15">
        <f t="shared" si="2"/>
        <v>12</v>
      </c>
      <c r="G4675" s="15">
        <f t="shared" si="3"/>
        <v>3</v>
      </c>
    </row>
    <row r="4676">
      <c r="A4676" s="10" t="s">
        <v>37</v>
      </c>
      <c r="B4676" s="94">
        <f t="shared" si="5"/>
        <v>45994</v>
      </c>
      <c r="C4676" s="77" t="s">
        <v>1571</v>
      </c>
      <c r="D4676" s="13">
        <f>SUMIFS('Lançamentos de despesas'!$I:$I,'Lançamentos de despesas'!$G:$G,A4676,'Lançamentos de despesas'!$E:$E,"PAGO",'Lançamentos de despesas'!$C:$C,B4676)</f>
        <v>940</v>
      </c>
      <c r="E4676" s="15">
        <f t="shared" si="1"/>
        <v>2025</v>
      </c>
      <c r="F4676" s="15">
        <f t="shared" si="2"/>
        <v>12</v>
      </c>
      <c r="G4676" s="15">
        <f t="shared" si="3"/>
        <v>3</v>
      </c>
    </row>
    <row r="4677">
      <c r="A4677" s="10" t="s">
        <v>37</v>
      </c>
      <c r="B4677" s="94">
        <f t="shared" si="5"/>
        <v>45994</v>
      </c>
      <c r="C4677" s="77" t="s">
        <v>1572</v>
      </c>
      <c r="D4677" s="13">
        <f>D4674+D4675-D4676</f>
        <v>33805.72</v>
      </c>
      <c r="E4677" s="15">
        <f t="shared" si="1"/>
        <v>2025</v>
      </c>
      <c r="F4677" s="15">
        <f t="shared" si="2"/>
        <v>12</v>
      </c>
      <c r="G4677" s="15">
        <f t="shared" si="3"/>
        <v>3</v>
      </c>
    </row>
    <row r="4678">
      <c r="A4678" s="10" t="s">
        <v>37</v>
      </c>
      <c r="B4678" s="94">
        <f t="shared" si="5"/>
        <v>45995</v>
      </c>
      <c r="C4678" s="77" t="s">
        <v>1569</v>
      </c>
      <c r="D4678" s="13">
        <f>D4677</f>
        <v>33805.72</v>
      </c>
      <c r="E4678" s="15">
        <f t="shared" si="1"/>
        <v>2025</v>
      </c>
      <c r="F4678" s="15">
        <f t="shared" si="2"/>
        <v>12</v>
      </c>
      <c r="G4678" s="15">
        <f t="shared" si="3"/>
        <v>4</v>
      </c>
    </row>
    <row r="4679">
      <c r="A4679" s="10" t="s">
        <v>37</v>
      </c>
      <c r="B4679" s="94">
        <f t="shared" si="5"/>
        <v>45995</v>
      </c>
      <c r="C4679" s="77" t="s">
        <v>1570</v>
      </c>
      <c r="D4679" s="13">
        <f>SUMIFS('Lançamentos de receitas'!$E:$E,'Lançamentos de receitas'!$F:$F,"PAGO",'Lançamentos de receitas'!$C:$C,A4679,'Lançamentos de receitas'!$A:$A,B4679)</f>
        <v>5395.67</v>
      </c>
      <c r="E4679" s="15">
        <f t="shared" si="1"/>
        <v>2025</v>
      </c>
      <c r="F4679" s="15">
        <f t="shared" si="2"/>
        <v>12</v>
      </c>
      <c r="G4679" s="15">
        <f t="shared" si="3"/>
        <v>4</v>
      </c>
    </row>
    <row r="4680">
      <c r="A4680" s="10" t="s">
        <v>37</v>
      </c>
      <c r="B4680" s="94">
        <f t="shared" si="5"/>
        <v>45995</v>
      </c>
      <c r="C4680" s="77" t="s">
        <v>1571</v>
      </c>
      <c r="D4680" s="13">
        <f>SUMIFS('Lançamentos de despesas'!$I:$I,'Lançamentos de despesas'!$G:$G,A4680,'Lançamentos de despesas'!$E:$E,"PAGO",'Lançamentos de despesas'!$C:$C,B4680)</f>
        <v>0</v>
      </c>
      <c r="E4680" s="15">
        <f t="shared" si="1"/>
        <v>2025</v>
      </c>
      <c r="F4680" s="15">
        <f t="shared" si="2"/>
        <v>12</v>
      </c>
      <c r="G4680" s="15">
        <f t="shared" si="3"/>
        <v>4</v>
      </c>
    </row>
    <row r="4681">
      <c r="A4681" s="10" t="s">
        <v>37</v>
      </c>
      <c r="B4681" s="94">
        <f t="shared" si="5"/>
        <v>45995</v>
      </c>
      <c r="C4681" s="77" t="s">
        <v>1572</v>
      </c>
      <c r="D4681" s="13">
        <f>D4678+D4679-D4680</f>
        <v>39201.39</v>
      </c>
      <c r="E4681" s="15">
        <f t="shared" si="1"/>
        <v>2025</v>
      </c>
      <c r="F4681" s="15">
        <f t="shared" si="2"/>
        <v>12</v>
      </c>
      <c r="G4681" s="15">
        <f t="shared" si="3"/>
        <v>4</v>
      </c>
    </row>
    <row r="4682">
      <c r="A4682" s="10" t="s">
        <v>37</v>
      </c>
      <c r="B4682" s="94">
        <f t="shared" si="5"/>
        <v>45996</v>
      </c>
      <c r="C4682" s="77" t="s">
        <v>1569</v>
      </c>
      <c r="D4682" s="13">
        <f>D4681</f>
        <v>39201.39</v>
      </c>
      <c r="E4682" s="15">
        <f t="shared" si="1"/>
        <v>2025</v>
      </c>
      <c r="F4682" s="15">
        <f t="shared" si="2"/>
        <v>12</v>
      </c>
      <c r="G4682" s="15">
        <f t="shared" si="3"/>
        <v>5</v>
      </c>
    </row>
    <row r="4683">
      <c r="A4683" s="10" t="s">
        <v>37</v>
      </c>
      <c r="B4683" s="94">
        <f t="shared" si="5"/>
        <v>45996</v>
      </c>
      <c r="C4683" s="77" t="s">
        <v>1570</v>
      </c>
      <c r="D4683" s="13">
        <f>SUMIFS('Lançamentos de receitas'!$E:$E,'Lançamentos de receitas'!$F:$F,"PAGO",'Lançamentos de receitas'!$C:$C,A4683,'Lançamentos de receitas'!$A:$A,B4683)</f>
        <v>5147.85</v>
      </c>
      <c r="E4683" s="15">
        <f t="shared" si="1"/>
        <v>2025</v>
      </c>
      <c r="F4683" s="15">
        <f t="shared" si="2"/>
        <v>12</v>
      </c>
      <c r="G4683" s="15">
        <f t="shared" si="3"/>
        <v>5</v>
      </c>
    </row>
    <row r="4684">
      <c r="A4684" s="10" t="s">
        <v>37</v>
      </c>
      <c r="B4684" s="94">
        <f t="shared" si="5"/>
        <v>45996</v>
      </c>
      <c r="C4684" s="77" t="s">
        <v>1571</v>
      </c>
      <c r="D4684" s="13">
        <f>SUMIFS('Lançamentos de despesas'!$I:$I,'Lançamentos de despesas'!$G:$G,A4684,'Lançamentos de despesas'!$E:$E,"PAGO",'Lançamentos de despesas'!$C:$C,B4684)</f>
        <v>0</v>
      </c>
      <c r="E4684" s="15">
        <f t="shared" si="1"/>
        <v>2025</v>
      </c>
      <c r="F4684" s="15">
        <f t="shared" si="2"/>
        <v>12</v>
      </c>
      <c r="G4684" s="15">
        <f t="shared" si="3"/>
        <v>5</v>
      </c>
    </row>
    <row r="4685">
      <c r="A4685" s="10" t="s">
        <v>37</v>
      </c>
      <c r="B4685" s="94">
        <f t="shared" si="5"/>
        <v>45996</v>
      </c>
      <c r="C4685" s="77" t="s">
        <v>1572</v>
      </c>
      <c r="D4685" s="13">
        <f>D4682+D4683-D4684</f>
        <v>44349.24</v>
      </c>
      <c r="E4685" s="15">
        <f t="shared" si="1"/>
        <v>2025</v>
      </c>
      <c r="F4685" s="15">
        <f t="shared" si="2"/>
        <v>12</v>
      </c>
      <c r="G4685" s="15">
        <f t="shared" si="3"/>
        <v>5</v>
      </c>
    </row>
    <row r="4686">
      <c r="A4686" s="10" t="s">
        <v>37</v>
      </c>
      <c r="B4686" s="94">
        <f t="shared" si="5"/>
        <v>45997</v>
      </c>
      <c r="C4686" s="77" t="s">
        <v>1569</v>
      </c>
      <c r="D4686" s="13">
        <f>D4685</f>
        <v>44349.24</v>
      </c>
      <c r="E4686" s="15">
        <f t="shared" si="1"/>
        <v>2025</v>
      </c>
      <c r="F4686" s="15">
        <f t="shared" si="2"/>
        <v>12</v>
      </c>
      <c r="G4686" s="15">
        <f t="shared" si="3"/>
        <v>6</v>
      </c>
    </row>
    <row r="4687">
      <c r="A4687" s="10" t="s">
        <v>37</v>
      </c>
      <c r="B4687" s="94">
        <f t="shared" si="5"/>
        <v>45997</v>
      </c>
      <c r="C4687" s="77" t="s">
        <v>1570</v>
      </c>
      <c r="D4687" s="13">
        <f>SUMIFS('Lançamentos de receitas'!$E:$E,'Lançamentos de receitas'!$F:$F,"PAGO",'Lançamentos de receitas'!$C:$C,A4687,'Lançamentos de receitas'!$A:$A,B4687)</f>
        <v>4897.33</v>
      </c>
      <c r="E4687" s="15">
        <f t="shared" si="1"/>
        <v>2025</v>
      </c>
      <c r="F4687" s="15">
        <f t="shared" si="2"/>
        <v>12</v>
      </c>
      <c r="G4687" s="15">
        <f t="shared" si="3"/>
        <v>6</v>
      </c>
    </row>
    <row r="4688">
      <c r="A4688" s="10" t="s">
        <v>37</v>
      </c>
      <c r="B4688" s="94">
        <f t="shared" si="5"/>
        <v>45997</v>
      </c>
      <c r="C4688" s="77" t="s">
        <v>1571</v>
      </c>
      <c r="D4688" s="13">
        <f>SUMIFS('Lançamentos de despesas'!$I:$I,'Lançamentos de despesas'!$G:$G,A4688,'Lançamentos de despesas'!$E:$E,"PAGO",'Lançamentos de despesas'!$C:$C,B4688)</f>
        <v>0</v>
      </c>
      <c r="E4688" s="15">
        <f t="shared" si="1"/>
        <v>2025</v>
      </c>
      <c r="F4688" s="15">
        <f t="shared" si="2"/>
        <v>12</v>
      </c>
      <c r="G4688" s="15">
        <f t="shared" si="3"/>
        <v>6</v>
      </c>
    </row>
    <row r="4689">
      <c r="A4689" s="10" t="s">
        <v>37</v>
      </c>
      <c r="B4689" s="94">
        <f t="shared" si="5"/>
        <v>45997</v>
      </c>
      <c r="C4689" s="77" t="s">
        <v>1572</v>
      </c>
      <c r="D4689" s="13">
        <f>D4686+D4687-D4688</f>
        <v>49246.57</v>
      </c>
      <c r="E4689" s="15">
        <f t="shared" si="1"/>
        <v>2025</v>
      </c>
      <c r="F4689" s="15">
        <f t="shared" si="2"/>
        <v>12</v>
      </c>
      <c r="G4689" s="15">
        <f t="shared" si="3"/>
        <v>6</v>
      </c>
    </row>
    <row r="4690">
      <c r="A4690" s="10" t="s">
        <v>37</v>
      </c>
      <c r="B4690" s="94">
        <f t="shared" si="5"/>
        <v>45998</v>
      </c>
      <c r="C4690" s="77" t="s">
        <v>1569</v>
      </c>
      <c r="D4690" s="13">
        <f>D4689</f>
        <v>49246.57</v>
      </c>
      <c r="E4690" s="15">
        <f t="shared" si="1"/>
        <v>2025</v>
      </c>
      <c r="F4690" s="15">
        <f t="shared" si="2"/>
        <v>12</v>
      </c>
      <c r="G4690" s="15">
        <f t="shared" si="3"/>
        <v>7</v>
      </c>
    </row>
    <row r="4691">
      <c r="A4691" s="10" t="s">
        <v>37</v>
      </c>
      <c r="B4691" s="94">
        <f t="shared" si="5"/>
        <v>45998</v>
      </c>
      <c r="C4691" s="77" t="s">
        <v>1570</v>
      </c>
      <c r="D4691" s="13">
        <f>SUMIFS('Lançamentos de receitas'!$E:$E,'Lançamentos de receitas'!$F:$F,"PAGO",'Lançamentos de receitas'!$C:$C,A4691,'Lançamentos de receitas'!$A:$A,B4691)</f>
        <v>4617.8</v>
      </c>
      <c r="E4691" s="15">
        <f t="shared" si="1"/>
        <v>2025</v>
      </c>
      <c r="F4691" s="15">
        <f t="shared" si="2"/>
        <v>12</v>
      </c>
      <c r="G4691" s="15">
        <f t="shared" si="3"/>
        <v>7</v>
      </c>
    </row>
    <row r="4692">
      <c r="A4692" s="10" t="s">
        <v>37</v>
      </c>
      <c r="B4692" s="94">
        <f t="shared" si="5"/>
        <v>45998</v>
      </c>
      <c r="C4692" s="77" t="s">
        <v>1571</v>
      </c>
      <c r="D4692" s="13">
        <f>SUMIFS('Lançamentos de despesas'!$I:$I,'Lançamentos de despesas'!$G:$G,A4692,'Lançamentos de despesas'!$E:$E,"PAGO",'Lançamentos de despesas'!$C:$C,B4692)</f>
        <v>0</v>
      </c>
      <c r="E4692" s="15">
        <f t="shared" si="1"/>
        <v>2025</v>
      </c>
      <c r="F4692" s="15">
        <f t="shared" si="2"/>
        <v>12</v>
      </c>
      <c r="G4692" s="15">
        <f t="shared" si="3"/>
        <v>7</v>
      </c>
    </row>
    <row r="4693">
      <c r="A4693" s="10" t="s">
        <v>37</v>
      </c>
      <c r="B4693" s="94">
        <f t="shared" si="5"/>
        <v>45998</v>
      </c>
      <c r="C4693" s="77" t="s">
        <v>1572</v>
      </c>
      <c r="D4693" s="13">
        <f>D4690+D4691-D4692</f>
        <v>53864.37</v>
      </c>
      <c r="E4693" s="15">
        <f t="shared" si="1"/>
        <v>2025</v>
      </c>
      <c r="F4693" s="15">
        <f t="shared" si="2"/>
        <v>12</v>
      </c>
      <c r="G4693" s="15">
        <f t="shared" si="3"/>
        <v>7</v>
      </c>
    </row>
    <row r="4694">
      <c r="A4694" s="10" t="s">
        <v>37</v>
      </c>
      <c r="B4694" s="94">
        <f t="shared" si="5"/>
        <v>45999</v>
      </c>
      <c r="C4694" s="77" t="s">
        <v>1569</v>
      </c>
      <c r="D4694" s="13">
        <f>D4693</f>
        <v>53864.37</v>
      </c>
      <c r="E4694" s="15">
        <f t="shared" si="1"/>
        <v>2025</v>
      </c>
      <c r="F4694" s="15">
        <f t="shared" si="2"/>
        <v>12</v>
      </c>
      <c r="G4694" s="15">
        <f t="shared" si="3"/>
        <v>8</v>
      </c>
    </row>
    <row r="4695">
      <c r="A4695" s="10" t="s">
        <v>37</v>
      </c>
      <c r="B4695" s="94">
        <f t="shared" si="5"/>
        <v>45999</v>
      </c>
      <c r="C4695" s="77" t="s">
        <v>1570</v>
      </c>
      <c r="D4695" s="13">
        <f>SUMIFS('Lançamentos de receitas'!$E:$E,'Lançamentos de receitas'!$F:$F,"PAGO",'Lançamentos de receitas'!$C:$C,A4695,'Lançamentos de receitas'!$A:$A,B4695)</f>
        <v>360.86</v>
      </c>
      <c r="E4695" s="15">
        <f t="shared" si="1"/>
        <v>2025</v>
      </c>
      <c r="F4695" s="15">
        <f t="shared" si="2"/>
        <v>12</v>
      </c>
      <c r="G4695" s="15">
        <f t="shared" si="3"/>
        <v>8</v>
      </c>
    </row>
    <row r="4696">
      <c r="A4696" s="10" t="s">
        <v>37</v>
      </c>
      <c r="B4696" s="94">
        <f t="shared" si="5"/>
        <v>45999</v>
      </c>
      <c r="C4696" s="77" t="s">
        <v>1571</v>
      </c>
      <c r="D4696" s="13">
        <f>SUMIFS('Lançamentos de despesas'!$I:$I,'Lançamentos de despesas'!$G:$G,A4696,'Lançamentos de despesas'!$E:$E,"PAGO",'Lançamentos de despesas'!$C:$C,B4696)</f>
        <v>10460</v>
      </c>
      <c r="E4696" s="15">
        <f t="shared" si="1"/>
        <v>2025</v>
      </c>
      <c r="F4696" s="15">
        <f t="shared" si="2"/>
        <v>12</v>
      </c>
      <c r="G4696" s="15">
        <f t="shared" si="3"/>
        <v>8</v>
      </c>
    </row>
    <row r="4697">
      <c r="A4697" s="10" t="s">
        <v>37</v>
      </c>
      <c r="B4697" s="94">
        <f t="shared" si="5"/>
        <v>45999</v>
      </c>
      <c r="C4697" s="77" t="s">
        <v>1572</v>
      </c>
      <c r="D4697" s="13">
        <f>D4694+D4695-D4696</f>
        <v>43765.23</v>
      </c>
      <c r="E4697" s="15">
        <f t="shared" si="1"/>
        <v>2025</v>
      </c>
      <c r="F4697" s="15">
        <f t="shared" si="2"/>
        <v>12</v>
      </c>
      <c r="G4697" s="15">
        <f t="shared" si="3"/>
        <v>8</v>
      </c>
    </row>
    <row r="4698">
      <c r="A4698" s="10" t="s">
        <v>37</v>
      </c>
      <c r="B4698" s="94">
        <f t="shared" si="5"/>
        <v>46000</v>
      </c>
      <c r="C4698" s="77" t="s">
        <v>1569</v>
      </c>
      <c r="D4698" s="13">
        <f>D4697</f>
        <v>43765.23</v>
      </c>
      <c r="E4698" s="15">
        <f t="shared" si="1"/>
        <v>2025</v>
      </c>
      <c r="F4698" s="15">
        <f t="shared" si="2"/>
        <v>12</v>
      </c>
      <c r="G4698" s="15">
        <f t="shared" si="3"/>
        <v>9</v>
      </c>
    </row>
    <row r="4699">
      <c r="A4699" s="10" t="s">
        <v>37</v>
      </c>
      <c r="B4699" s="94">
        <f t="shared" si="5"/>
        <v>46000</v>
      </c>
      <c r="C4699" s="77" t="s">
        <v>1570</v>
      </c>
      <c r="D4699" s="13">
        <f>SUMIFS('Lançamentos de receitas'!$E:$E,'Lançamentos de receitas'!$F:$F,"PAGO",'Lançamentos de receitas'!$C:$C,A4699,'Lançamentos de receitas'!$A:$A,B4699)</f>
        <v>3987.72</v>
      </c>
      <c r="E4699" s="15">
        <f t="shared" si="1"/>
        <v>2025</v>
      </c>
      <c r="F4699" s="15">
        <f t="shared" si="2"/>
        <v>12</v>
      </c>
      <c r="G4699" s="15">
        <f t="shared" si="3"/>
        <v>9</v>
      </c>
    </row>
    <row r="4700">
      <c r="A4700" s="10" t="s">
        <v>37</v>
      </c>
      <c r="B4700" s="94">
        <f t="shared" si="5"/>
        <v>46000</v>
      </c>
      <c r="C4700" s="77" t="s">
        <v>1571</v>
      </c>
      <c r="D4700" s="13">
        <f>SUMIFS('Lançamentos de despesas'!$I:$I,'Lançamentos de despesas'!$G:$G,A4700,'Lançamentos de despesas'!$E:$E,"PAGO",'Lançamentos de despesas'!$C:$C,B4700)</f>
        <v>0</v>
      </c>
      <c r="E4700" s="15">
        <f t="shared" si="1"/>
        <v>2025</v>
      </c>
      <c r="F4700" s="15">
        <f t="shared" si="2"/>
        <v>12</v>
      </c>
      <c r="G4700" s="15">
        <f t="shared" si="3"/>
        <v>9</v>
      </c>
    </row>
    <row r="4701">
      <c r="A4701" s="10" t="s">
        <v>37</v>
      </c>
      <c r="B4701" s="94">
        <f t="shared" si="5"/>
        <v>46000</v>
      </c>
      <c r="C4701" s="77" t="s">
        <v>1572</v>
      </c>
      <c r="D4701" s="13">
        <f>D4698+D4699-D4700</f>
        <v>47752.95</v>
      </c>
      <c r="E4701" s="15">
        <f t="shared" si="1"/>
        <v>2025</v>
      </c>
      <c r="F4701" s="15">
        <f t="shared" si="2"/>
        <v>12</v>
      </c>
      <c r="G4701" s="15">
        <f t="shared" si="3"/>
        <v>9</v>
      </c>
    </row>
    <row r="4702">
      <c r="A4702" s="10" t="s">
        <v>37</v>
      </c>
      <c r="B4702" s="94">
        <f t="shared" si="5"/>
        <v>46001</v>
      </c>
      <c r="C4702" s="77" t="s">
        <v>1569</v>
      </c>
      <c r="D4702" s="13">
        <f>D4701</f>
        <v>47752.95</v>
      </c>
      <c r="E4702" s="15">
        <f t="shared" si="1"/>
        <v>2025</v>
      </c>
      <c r="F4702" s="15">
        <f t="shared" si="2"/>
        <v>12</v>
      </c>
      <c r="G4702" s="15">
        <f t="shared" si="3"/>
        <v>10</v>
      </c>
    </row>
    <row r="4703">
      <c r="A4703" s="10" t="s">
        <v>37</v>
      </c>
      <c r="B4703" s="94">
        <f t="shared" si="5"/>
        <v>46001</v>
      </c>
      <c r="C4703" s="77" t="s">
        <v>1570</v>
      </c>
      <c r="D4703" s="13">
        <f>SUMIFS('Lançamentos de receitas'!$E:$E,'Lançamentos de receitas'!$F:$F,"PAGO",'Lançamentos de receitas'!$C:$C,A4703,'Lançamentos de receitas'!$A:$A,B4703)</f>
        <v>3543.54</v>
      </c>
      <c r="E4703" s="15">
        <f t="shared" si="1"/>
        <v>2025</v>
      </c>
      <c r="F4703" s="15">
        <f t="shared" si="2"/>
        <v>12</v>
      </c>
      <c r="G4703" s="15">
        <f t="shared" si="3"/>
        <v>10</v>
      </c>
    </row>
    <row r="4704">
      <c r="A4704" s="10" t="s">
        <v>37</v>
      </c>
      <c r="B4704" s="94">
        <f t="shared" si="5"/>
        <v>46001</v>
      </c>
      <c r="C4704" s="77" t="s">
        <v>1571</v>
      </c>
      <c r="D4704" s="13">
        <f>SUMIFS('Lançamentos de despesas'!$I:$I,'Lançamentos de despesas'!$G:$G,A4704,'Lançamentos de despesas'!$E:$E,"PAGO",'Lançamentos de despesas'!$C:$C,B4704)</f>
        <v>3002.89</v>
      </c>
      <c r="E4704" s="15">
        <f t="shared" si="1"/>
        <v>2025</v>
      </c>
      <c r="F4704" s="15">
        <f t="shared" si="2"/>
        <v>12</v>
      </c>
      <c r="G4704" s="15">
        <f t="shared" si="3"/>
        <v>10</v>
      </c>
    </row>
    <row r="4705">
      <c r="A4705" s="10" t="s">
        <v>37</v>
      </c>
      <c r="B4705" s="94">
        <f t="shared" si="5"/>
        <v>46001</v>
      </c>
      <c r="C4705" s="77" t="s">
        <v>1572</v>
      </c>
      <c r="D4705" s="13">
        <f>D4702+D4703-D4704</f>
        <v>48293.6</v>
      </c>
      <c r="E4705" s="15">
        <f t="shared" si="1"/>
        <v>2025</v>
      </c>
      <c r="F4705" s="15">
        <f t="shared" si="2"/>
        <v>12</v>
      </c>
      <c r="G4705" s="15">
        <f t="shared" si="3"/>
        <v>10</v>
      </c>
    </row>
    <row r="4706">
      <c r="A4706" s="10" t="s">
        <v>37</v>
      </c>
      <c r="B4706" s="94">
        <f t="shared" si="5"/>
        <v>46002</v>
      </c>
      <c r="C4706" s="77" t="s">
        <v>1569</v>
      </c>
      <c r="D4706" s="13">
        <f>D4705</f>
        <v>48293.6</v>
      </c>
      <c r="E4706" s="15">
        <f t="shared" si="1"/>
        <v>2025</v>
      </c>
      <c r="F4706" s="15">
        <f t="shared" si="2"/>
        <v>12</v>
      </c>
      <c r="G4706" s="15">
        <f t="shared" si="3"/>
        <v>11</v>
      </c>
    </row>
    <row r="4707">
      <c r="A4707" s="10" t="s">
        <v>37</v>
      </c>
      <c r="B4707" s="94">
        <f t="shared" si="5"/>
        <v>46002</v>
      </c>
      <c r="C4707" s="77" t="s">
        <v>1570</v>
      </c>
      <c r="D4707" s="13">
        <f>SUMIFS('Lançamentos de receitas'!$E:$E,'Lançamentos de receitas'!$F:$F,"PAGO",'Lançamentos de receitas'!$C:$C,A4707,'Lançamentos de receitas'!$A:$A,B4707)</f>
        <v>3850.55</v>
      </c>
      <c r="E4707" s="15">
        <f t="shared" si="1"/>
        <v>2025</v>
      </c>
      <c r="F4707" s="15">
        <f t="shared" si="2"/>
        <v>12</v>
      </c>
      <c r="G4707" s="15">
        <f t="shared" si="3"/>
        <v>11</v>
      </c>
    </row>
    <row r="4708">
      <c r="A4708" s="10" t="s">
        <v>37</v>
      </c>
      <c r="B4708" s="94">
        <f t="shared" si="5"/>
        <v>46002</v>
      </c>
      <c r="C4708" s="77" t="s">
        <v>1571</v>
      </c>
      <c r="D4708" s="13">
        <f>SUMIFS('Lançamentos de despesas'!$I:$I,'Lançamentos de despesas'!$G:$G,A4708,'Lançamentos de despesas'!$E:$E,"PAGO",'Lançamentos de despesas'!$C:$C,B4708)</f>
        <v>0</v>
      </c>
      <c r="E4708" s="15">
        <f t="shared" si="1"/>
        <v>2025</v>
      </c>
      <c r="F4708" s="15">
        <f t="shared" si="2"/>
        <v>12</v>
      </c>
      <c r="G4708" s="15">
        <f t="shared" si="3"/>
        <v>11</v>
      </c>
    </row>
    <row r="4709">
      <c r="A4709" s="10" t="s">
        <v>37</v>
      </c>
      <c r="B4709" s="94">
        <f t="shared" si="5"/>
        <v>46002</v>
      </c>
      <c r="C4709" s="77" t="s">
        <v>1572</v>
      </c>
      <c r="D4709" s="13">
        <f>D4706+D4707-D4708</f>
        <v>52144.15</v>
      </c>
      <c r="E4709" s="15">
        <f t="shared" si="1"/>
        <v>2025</v>
      </c>
      <c r="F4709" s="15">
        <f t="shared" si="2"/>
        <v>12</v>
      </c>
      <c r="G4709" s="15">
        <f t="shared" si="3"/>
        <v>11</v>
      </c>
    </row>
    <row r="4710">
      <c r="A4710" s="10" t="s">
        <v>37</v>
      </c>
      <c r="B4710" s="94">
        <f t="shared" si="5"/>
        <v>46003</v>
      </c>
      <c r="C4710" s="77" t="s">
        <v>1569</v>
      </c>
      <c r="D4710" s="13">
        <f>D4709</f>
        <v>52144.15</v>
      </c>
      <c r="E4710" s="15">
        <f t="shared" si="1"/>
        <v>2025</v>
      </c>
      <c r="F4710" s="15">
        <f t="shared" si="2"/>
        <v>12</v>
      </c>
      <c r="G4710" s="15">
        <f t="shared" si="3"/>
        <v>12</v>
      </c>
    </row>
    <row r="4711">
      <c r="A4711" s="10" t="s">
        <v>37</v>
      </c>
      <c r="B4711" s="94">
        <f t="shared" si="5"/>
        <v>46003</v>
      </c>
      <c r="C4711" s="77" t="s">
        <v>1570</v>
      </c>
      <c r="D4711" s="13">
        <f>SUMIFS('Lançamentos de receitas'!$E:$E,'Lançamentos de receitas'!$F:$F,"PAGO",'Lançamentos de receitas'!$C:$C,A4711,'Lançamentos de receitas'!$A:$A,B4711)</f>
        <v>3501.1</v>
      </c>
      <c r="E4711" s="15">
        <f t="shared" si="1"/>
        <v>2025</v>
      </c>
      <c r="F4711" s="15">
        <f t="shared" si="2"/>
        <v>12</v>
      </c>
      <c r="G4711" s="15">
        <f t="shared" si="3"/>
        <v>12</v>
      </c>
    </row>
    <row r="4712">
      <c r="A4712" s="10" t="s">
        <v>37</v>
      </c>
      <c r="B4712" s="94">
        <f t="shared" si="5"/>
        <v>46003</v>
      </c>
      <c r="C4712" s="77" t="s">
        <v>1571</v>
      </c>
      <c r="D4712" s="13">
        <f>SUMIFS('Lançamentos de despesas'!$I:$I,'Lançamentos de despesas'!$G:$G,A4712,'Lançamentos de despesas'!$E:$E,"PAGO",'Lançamentos de despesas'!$C:$C,B4712)</f>
        <v>896.46</v>
      </c>
      <c r="E4712" s="15">
        <f t="shared" si="1"/>
        <v>2025</v>
      </c>
      <c r="F4712" s="15">
        <f t="shared" si="2"/>
        <v>12</v>
      </c>
      <c r="G4712" s="15">
        <f t="shared" si="3"/>
        <v>12</v>
      </c>
    </row>
    <row r="4713">
      <c r="A4713" s="10" t="s">
        <v>37</v>
      </c>
      <c r="B4713" s="94">
        <f t="shared" si="5"/>
        <v>46003</v>
      </c>
      <c r="C4713" s="77" t="s">
        <v>1572</v>
      </c>
      <c r="D4713" s="13">
        <f>D4710+D4711-D4712</f>
        <v>54748.79</v>
      </c>
      <c r="E4713" s="15">
        <f t="shared" si="1"/>
        <v>2025</v>
      </c>
      <c r="F4713" s="15">
        <f t="shared" si="2"/>
        <v>12</v>
      </c>
      <c r="G4713" s="15">
        <f t="shared" si="3"/>
        <v>12</v>
      </c>
    </row>
    <row r="4714">
      <c r="A4714" s="10" t="s">
        <v>37</v>
      </c>
      <c r="B4714" s="94">
        <f t="shared" si="5"/>
        <v>46004</v>
      </c>
      <c r="C4714" s="77" t="s">
        <v>1569</v>
      </c>
      <c r="D4714" s="13">
        <f>D4713</f>
        <v>54748.79</v>
      </c>
      <c r="E4714" s="15">
        <f t="shared" si="1"/>
        <v>2025</v>
      </c>
      <c r="F4714" s="15">
        <f t="shared" si="2"/>
        <v>12</v>
      </c>
      <c r="G4714" s="15">
        <f t="shared" si="3"/>
        <v>13</v>
      </c>
    </row>
    <row r="4715">
      <c r="A4715" s="10" t="s">
        <v>37</v>
      </c>
      <c r="B4715" s="94">
        <f t="shared" si="5"/>
        <v>46004</v>
      </c>
      <c r="C4715" s="77" t="s">
        <v>1570</v>
      </c>
      <c r="D4715" s="13">
        <f>SUMIFS('Lançamentos de receitas'!$E:$E,'Lançamentos de receitas'!$F:$F,"PAGO",'Lançamentos de receitas'!$C:$C,A4715,'Lançamentos de receitas'!$A:$A,B4715)</f>
        <v>3097.71</v>
      </c>
      <c r="E4715" s="15">
        <f t="shared" si="1"/>
        <v>2025</v>
      </c>
      <c r="F4715" s="15">
        <f t="shared" si="2"/>
        <v>12</v>
      </c>
      <c r="G4715" s="15">
        <f t="shared" si="3"/>
        <v>13</v>
      </c>
    </row>
    <row r="4716">
      <c r="A4716" s="10" t="s">
        <v>37</v>
      </c>
      <c r="B4716" s="94">
        <f t="shared" si="5"/>
        <v>46004</v>
      </c>
      <c r="C4716" s="77" t="s">
        <v>1571</v>
      </c>
      <c r="D4716" s="13">
        <f>SUMIFS('Lançamentos de despesas'!$I:$I,'Lançamentos de despesas'!$G:$G,A4716,'Lançamentos de despesas'!$E:$E,"PAGO",'Lançamentos de despesas'!$C:$C,B4716)</f>
        <v>0</v>
      </c>
      <c r="E4716" s="15">
        <f t="shared" si="1"/>
        <v>2025</v>
      </c>
      <c r="F4716" s="15">
        <f t="shared" si="2"/>
        <v>12</v>
      </c>
      <c r="G4716" s="15">
        <f t="shared" si="3"/>
        <v>13</v>
      </c>
    </row>
    <row r="4717">
      <c r="A4717" s="10" t="s">
        <v>37</v>
      </c>
      <c r="B4717" s="94">
        <f t="shared" si="5"/>
        <v>46004</v>
      </c>
      <c r="C4717" s="77" t="s">
        <v>1572</v>
      </c>
      <c r="D4717" s="13">
        <f>D4714+D4715-D4716</f>
        <v>57846.5</v>
      </c>
      <c r="E4717" s="15">
        <f t="shared" si="1"/>
        <v>2025</v>
      </c>
      <c r="F4717" s="15">
        <f t="shared" si="2"/>
        <v>12</v>
      </c>
      <c r="G4717" s="15">
        <f t="shared" si="3"/>
        <v>13</v>
      </c>
    </row>
    <row r="4718">
      <c r="A4718" s="10" t="s">
        <v>37</v>
      </c>
      <c r="B4718" s="94">
        <f t="shared" si="5"/>
        <v>46005</v>
      </c>
      <c r="C4718" s="77" t="s">
        <v>1569</v>
      </c>
      <c r="D4718" s="13">
        <f>D4717</f>
        <v>57846.5</v>
      </c>
      <c r="E4718" s="15">
        <f t="shared" si="1"/>
        <v>2025</v>
      </c>
      <c r="F4718" s="15">
        <f t="shared" si="2"/>
        <v>12</v>
      </c>
      <c r="G4718" s="15">
        <f t="shared" si="3"/>
        <v>14</v>
      </c>
    </row>
    <row r="4719">
      <c r="A4719" s="10" t="s">
        <v>37</v>
      </c>
      <c r="B4719" s="94">
        <f t="shared" si="5"/>
        <v>46005</v>
      </c>
      <c r="C4719" s="77" t="s">
        <v>1570</v>
      </c>
      <c r="D4719" s="13">
        <f>SUMIFS('Lançamentos de receitas'!$E:$E,'Lançamentos de receitas'!$F:$F,"PAGO",'Lançamentos de receitas'!$C:$C,A4719,'Lançamentos de receitas'!$A:$A,B4719)</f>
        <v>2675.13</v>
      </c>
      <c r="E4719" s="15">
        <f t="shared" si="1"/>
        <v>2025</v>
      </c>
      <c r="F4719" s="15">
        <f t="shared" si="2"/>
        <v>12</v>
      </c>
      <c r="G4719" s="15">
        <f t="shared" si="3"/>
        <v>14</v>
      </c>
    </row>
    <row r="4720">
      <c r="A4720" s="10" t="s">
        <v>37</v>
      </c>
      <c r="B4720" s="94">
        <f t="shared" si="5"/>
        <v>46005</v>
      </c>
      <c r="C4720" s="77" t="s">
        <v>1571</v>
      </c>
      <c r="D4720" s="13">
        <f>SUMIFS('Lançamentos de despesas'!$I:$I,'Lançamentos de despesas'!$G:$G,A4720,'Lançamentos de despesas'!$E:$E,"PAGO",'Lançamentos de despesas'!$C:$C,B4720)</f>
        <v>0</v>
      </c>
      <c r="E4720" s="15">
        <f t="shared" si="1"/>
        <v>2025</v>
      </c>
      <c r="F4720" s="15">
        <f t="shared" si="2"/>
        <v>12</v>
      </c>
      <c r="G4720" s="15">
        <f t="shared" si="3"/>
        <v>14</v>
      </c>
    </row>
    <row r="4721">
      <c r="A4721" s="10" t="s">
        <v>37</v>
      </c>
      <c r="B4721" s="94">
        <f t="shared" si="5"/>
        <v>46005</v>
      </c>
      <c r="C4721" s="77" t="s">
        <v>1572</v>
      </c>
      <c r="D4721" s="13">
        <f>D4718+D4719-D4720</f>
        <v>60521.63</v>
      </c>
      <c r="E4721" s="15">
        <f t="shared" si="1"/>
        <v>2025</v>
      </c>
      <c r="F4721" s="15">
        <f t="shared" si="2"/>
        <v>12</v>
      </c>
      <c r="G4721" s="15">
        <f t="shared" si="3"/>
        <v>14</v>
      </c>
    </row>
    <row r="4722">
      <c r="A4722" s="10" t="s">
        <v>37</v>
      </c>
      <c r="B4722" s="94">
        <f t="shared" si="5"/>
        <v>46006</v>
      </c>
      <c r="C4722" s="77" t="s">
        <v>1569</v>
      </c>
      <c r="D4722" s="13">
        <f>D4721</f>
        <v>60521.63</v>
      </c>
      <c r="E4722" s="15">
        <f t="shared" si="1"/>
        <v>2025</v>
      </c>
      <c r="F4722" s="15">
        <f t="shared" si="2"/>
        <v>12</v>
      </c>
      <c r="G4722" s="15">
        <f t="shared" si="3"/>
        <v>15</v>
      </c>
    </row>
    <row r="4723">
      <c r="A4723" s="10" t="s">
        <v>37</v>
      </c>
      <c r="B4723" s="94">
        <f t="shared" si="5"/>
        <v>46006</v>
      </c>
      <c r="C4723" s="77" t="s">
        <v>1570</v>
      </c>
      <c r="D4723" s="13">
        <f>SUMIFS('Lançamentos de receitas'!$E:$E,'Lançamentos de receitas'!$F:$F,"PAGO",'Lançamentos de receitas'!$C:$C,A4723,'Lançamentos de receitas'!$A:$A,B4723)</f>
        <v>481.02</v>
      </c>
      <c r="E4723" s="15">
        <f t="shared" si="1"/>
        <v>2025</v>
      </c>
      <c r="F4723" s="15">
        <f t="shared" si="2"/>
        <v>12</v>
      </c>
      <c r="G4723" s="15">
        <f t="shared" si="3"/>
        <v>15</v>
      </c>
    </row>
    <row r="4724">
      <c r="A4724" s="10" t="s">
        <v>37</v>
      </c>
      <c r="B4724" s="94">
        <f t="shared" si="5"/>
        <v>46006</v>
      </c>
      <c r="C4724" s="77" t="s">
        <v>1571</v>
      </c>
      <c r="D4724" s="13">
        <f>SUMIFS('Lançamentos de despesas'!$I:$I,'Lançamentos de despesas'!$G:$G,A4724,'Lançamentos de despesas'!$E:$E,"PAGO",'Lançamentos de despesas'!$C:$C,B4724)</f>
        <v>1500</v>
      </c>
      <c r="E4724" s="15">
        <f t="shared" si="1"/>
        <v>2025</v>
      </c>
      <c r="F4724" s="15">
        <f t="shared" si="2"/>
        <v>12</v>
      </c>
      <c r="G4724" s="15">
        <f t="shared" si="3"/>
        <v>15</v>
      </c>
    </row>
    <row r="4725">
      <c r="A4725" s="10" t="s">
        <v>37</v>
      </c>
      <c r="B4725" s="94">
        <f t="shared" si="5"/>
        <v>46006</v>
      </c>
      <c r="C4725" s="77" t="s">
        <v>1572</v>
      </c>
      <c r="D4725" s="13">
        <f>D4722+D4723-D4724</f>
        <v>59502.65</v>
      </c>
      <c r="E4725" s="15">
        <f t="shared" si="1"/>
        <v>2025</v>
      </c>
      <c r="F4725" s="15">
        <f t="shared" si="2"/>
        <v>12</v>
      </c>
      <c r="G4725" s="15">
        <f t="shared" si="3"/>
        <v>15</v>
      </c>
    </row>
    <row r="4726">
      <c r="A4726" s="10" t="s">
        <v>37</v>
      </c>
      <c r="B4726" s="94">
        <f t="shared" si="5"/>
        <v>46007</v>
      </c>
      <c r="C4726" s="77" t="s">
        <v>1569</v>
      </c>
      <c r="D4726" s="13">
        <f>D4725</f>
        <v>59502.65</v>
      </c>
      <c r="E4726" s="15">
        <f t="shared" si="1"/>
        <v>2025</v>
      </c>
      <c r="F4726" s="15">
        <f t="shared" si="2"/>
        <v>12</v>
      </c>
      <c r="G4726" s="15">
        <f t="shared" si="3"/>
        <v>16</v>
      </c>
    </row>
    <row r="4727">
      <c r="A4727" s="10" t="s">
        <v>37</v>
      </c>
      <c r="B4727" s="94">
        <f t="shared" si="5"/>
        <v>46007</v>
      </c>
      <c r="C4727" s="77" t="s">
        <v>1570</v>
      </c>
      <c r="D4727" s="13">
        <f>SUMIFS('Lançamentos de receitas'!$E:$E,'Lançamentos de receitas'!$F:$F,"PAGO",'Lançamentos de receitas'!$C:$C,A4727,'Lançamentos de receitas'!$A:$A,B4727)</f>
        <v>1938.75</v>
      </c>
      <c r="E4727" s="15">
        <f t="shared" si="1"/>
        <v>2025</v>
      </c>
      <c r="F4727" s="15">
        <f t="shared" si="2"/>
        <v>12</v>
      </c>
      <c r="G4727" s="15">
        <f t="shared" si="3"/>
        <v>16</v>
      </c>
    </row>
    <row r="4728">
      <c r="A4728" s="10" t="s">
        <v>37</v>
      </c>
      <c r="B4728" s="94">
        <f t="shared" si="5"/>
        <v>46007</v>
      </c>
      <c r="C4728" s="77" t="s">
        <v>1571</v>
      </c>
      <c r="D4728" s="13">
        <f>SUMIFS('Lançamentos de despesas'!$I:$I,'Lançamentos de despesas'!$G:$G,A4728,'Lançamentos de despesas'!$E:$E,"PAGO",'Lançamentos de despesas'!$C:$C,B4728)</f>
        <v>6360</v>
      </c>
      <c r="E4728" s="15">
        <f t="shared" si="1"/>
        <v>2025</v>
      </c>
      <c r="F4728" s="15">
        <f t="shared" si="2"/>
        <v>12</v>
      </c>
      <c r="G4728" s="15">
        <f t="shared" si="3"/>
        <v>16</v>
      </c>
    </row>
    <row r="4729">
      <c r="A4729" s="10" t="s">
        <v>37</v>
      </c>
      <c r="B4729" s="94">
        <f t="shared" si="5"/>
        <v>46007</v>
      </c>
      <c r="C4729" s="77" t="s">
        <v>1572</v>
      </c>
      <c r="D4729" s="13">
        <f>D4726+D4727-D4728</f>
        <v>55081.4</v>
      </c>
      <c r="E4729" s="15">
        <f t="shared" si="1"/>
        <v>2025</v>
      </c>
      <c r="F4729" s="15">
        <f t="shared" si="2"/>
        <v>12</v>
      </c>
      <c r="G4729" s="15">
        <f t="shared" si="3"/>
        <v>16</v>
      </c>
    </row>
    <row r="4730">
      <c r="A4730" s="10" t="s">
        <v>37</v>
      </c>
      <c r="B4730" s="94">
        <f t="shared" si="5"/>
        <v>46008</v>
      </c>
      <c r="C4730" s="77" t="s">
        <v>1569</v>
      </c>
      <c r="D4730" s="13">
        <f>D4729</f>
        <v>55081.4</v>
      </c>
      <c r="E4730" s="15">
        <f t="shared" si="1"/>
        <v>2025</v>
      </c>
      <c r="F4730" s="15">
        <f t="shared" si="2"/>
        <v>12</v>
      </c>
      <c r="G4730" s="15">
        <f t="shared" si="3"/>
        <v>17</v>
      </c>
    </row>
    <row r="4731">
      <c r="A4731" s="10" t="s">
        <v>37</v>
      </c>
      <c r="B4731" s="94">
        <f t="shared" si="5"/>
        <v>46008</v>
      </c>
      <c r="C4731" s="77" t="s">
        <v>1570</v>
      </c>
      <c r="D4731" s="13">
        <f>SUMIFS('Lançamentos de receitas'!$E:$E,'Lançamentos de receitas'!$F:$F,"PAGO",'Lançamentos de receitas'!$C:$C,A4731,'Lançamentos de receitas'!$A:$A,B4731)</f>
        <v>4689.82</v>
      </c>
      <c r="E4731" s="15">
        <f t="shared" si="1"/>
        <v>2025</v>
      </c>
      <c r="F4731" s="15">
        <f t="shared" si="2"/>
        <v>12</v>
      </c>
      <c r="G4731" s="15">
        <f t="shared" si="3"/>
        <v>17</v>
      </c>
    </row>
    <row r="4732">
      <c r="A4732" s="10" t="s">
        <v>37</v>
      </c>
      <c r="B4732" s="94">
        <f t="shared" si="5"/>
        <v>46008</v>
      </c>
      <c r="C4732" s="77" t="s">
        <v>1571</v>
      </c>
      <c r="D4732" s="13">
        <f>SUMIFS('Lançamentos de despesas'!$I:$I,'Lançamentos de despesas'!$G:$G,A4732,'Lançamentos de despesas'!$E:$E,"PAGO",'Lançamentos de despesas'!$C:$C,B4732)</f>
        <v>0</v>
      </c>
      <c r="E4732" s="15">
        <f t="shared" si="1"/>
        <v>2025</v>
      </c>
      <c r="F4732" s="15">
        <f t="shared" si="2"/>
        <v>12</v>
      </c>
      <c r="G4732" s="15">
        <f t="shared" si="3"/>
        <v>17</v>
      </c>
    </row>
    <row r="4733">
      <c r="A4733" s="10" t="s">
        <v>37</v>
      </c>
      <c r="B4733" s="94">
        <f t="shared" si="5"/>
        <v>46008</v>
      </c>
      <c r="C4733" s="77" t="s">
        <v>1572</v>
      </c>
      <c r="D4733" s="13">
        <f>D4730+D4731-D4732</f>
        <v>59771.22</v>
      </c>
      <c r="E4733" s="15">
        <f t="shared" si="1"/>
        <v>2025</v>
      </c>
      <c r="F4733" s="15">
        <f t="shared" si="2"/>
        <v>12</v>
      </c>
      <c r="G4733" s="15">
        <f t="shared" si="3"/>
        <v>17</v>
      </c>
    </row>
    <row r="4734">
      <c r="A4734" s="10" t="s">
        <v>37</v>
      </c>
      <c r="B4734" s="94">
        <f t="shared" si="5"/>
        <v>46009</v>
      </c>
      <c r="C4734" s="77" t="s">
        <v>1569</v>
      </c>
      <c r="D4734" s="13">
        <f>D4733</f>
        <v>59771.22</v>
      </c>
      <c r="E4734" s="15">
        <f t="shared" si="1"/>
        <v>2025</v>
      </c>
      <c r="F4734" s="15">
        <f t="shared" si="2"/>
        <v>12</v>
      </c>
      <c r="G4734" s="15">
        <f t="shared" si="3"/>
        <v>18</v>
      </c>
    </row>
    <row r="4735">
      <c r="A4735" s="10" t="s">
        <v>37</v>
      </c>
      <c r="B4735" s="94">
        <f t="shared" si="5"/>
        <v>46009</v>
      </c>
      <c r="C4735" s="77" t="s">
        <v>1570</v>
      </c>
      <c r="D4735" s="13">
        <f>SUMIFS('Lançamentos de receitas'!$E:$E,'Lançamentos de receitas'!$F:$F,"PAGO",'Lançamentos de receitas'!$C:$C,A4735,'Lançamentos de receitas'!$A:$A,B4735)</f>
        <v>5022.52</v>
      </c>
      <c r="E4735" s="15">
        <f t="shared" si="1"/>
        <v>2025</v>
      </c>
      <c r="F4735" s="15">
        <f t="shared" si="2"/>
        <v>12</v>
      </c>
      <c r="G4735" s="15">
        <f t="shared" si="3"/>
        <v>18</v>
      </c>
    </row>
    <row r="4736">
      <c r="A4736" s="10" t="s">
        <v>37</v>
      </c>
      <c r="B4736" s="94">
        <f t="shared" si="5"/>
        <v>46009</v>
      </c>
      <c r="C4736" s="77" t="s">
        <v>1571</v>
      </c>
      <c r="D4736" s="13">
        <f>SUMIFS('Lançamentos de despesas'!$I:$I,'Lançamentos de despesas'!$G:$G,A4736,'Lançamentos de despesas'!$E:$E,"PAGO",'Lançamentos de despesas'!$C:$C,B4736)</f>
        <v>1140.96</v>
      </c>
      <c r="E4736" s="15">
        <f t="shared" si="1"/>
        <v>2025</v>
      </c>
      <c r="F4736" s="15">
        <f t="shared" si="2"/>
        <v>12</v>
      </c>
      <c r="G4736" s="15">
        <f t="shared" si="3"/>
        <v>18</v>
      </c>
    </row>
    <row r="4737">
      <c r="A4737" s="10" t="s">
        <v>37</v>
      </c>
      <c r="B4737" s="94">
        <f t="shared" si="5"/>
        <v>46009</v>
      </c>
      <c r="C4737" s="77" t="s">
        <v>1572</v>
      </c>
      <c r="D4737" s="13">
        <f>D4734+D4735-D4736</f>
        <v>63652.78</v>
      </c>
      <c r="E4737" s="15">
        <f t="shared" si="1"/>
        <v>2025</v>
      </c>
      <c r="F4737" s="15">
        <f t="shared" si="2"/>
        <v>12</v>
      </c>
      <c r="G4737" s="15">
        <f t="shared" si="3"/>
        <v>18</v>
      </c>
    </row>
    <row r="4738">
      <c r="A4738" s="10" t="s">
        <v>37</v>
      </c>
      <c r="B4738" s="94">
        <f t="shared" si="5"/>
        <v>46010</v>
      </c>
      <c r="C4738" s="77" t="s">
        <v>1569</v>
      </c>
      <c r="D4738" s="13">
        <f>D4737</f>
        <v>63652.78</v>
      </c>
      <c r="E4738" s="15">
        <f t="shared" si="1"/>
        <v>2025</v>
      </c>
      <c r="F4738" s="15">
        <f t="shared" si="2"/>
        <v>12</v>
      </c>
      <c r="G4738" s="15">
        <f t="shared" si="3"/>
        <v>19</v>
      </c>
    </row>
    <row r="4739">
      <c r="A4739" s="10" t="s">
        <v>37</v>
      </c>
      <c r="B4739" s="94">
        <f t="shared" si="5"/>
        <v>46010</v>
      </c>
      <c r="C4739" s="77" t="s">
        <v>1570</v>
      </c>
      <c r="D4739" s="13">
        <f>SUMIFS('Lançamentos de receitas'!$E:$E,'Lançamentos de receitas'!$F:$F,"PAGO",'Lançamentos de receitas'!$C:$C,A4739,'Lançamentos de receitas'!$A:$A,B4739)</f>
        <v>2670.73</v>
      </c>
      <c r="E4739" s="15">
        <f t="shared" si="1"/>
        <v>2025</v>
      </c>
      <c r="F4739" s="15">
        <f t="shared" si="2"/>
        <v>12</v>
      </c>
      <c r="G4739" s="15">
        <f t="shared" si="3"/>
        <v>19</v>
      </c>
    </row>
    <row r="4740">
      <c r="A4740" s="10" t="s">
        <v>37</v>
      </c>
      <c r="B4740" s="94">
        <f t="shared" si="5"/>
        <v>46010</v>
      </c>
      <c r="C4740" s="77" t="s">
        <v>1571</v>
      </c>
      <c r="D4740" s="13">
        <f>SUMIFS('Lançamentos de despesas'!$I:$I,'Lançamentos de despesas'!$G:$G,A4740,'Lançamentos de despesas'!$E:$E,"PAGO",'Lançamentos de despesas'!$C:$C,B4740)</f>
        <v>1181.38</v>
      </c>
      <c r="E4740" s="15">
        <f t="shared" si="1"/>
        <v>2025</v>
      </c>
      <c r="F4740" s="15">
        <f t="shared" si="2"/>
        <v>12</v>
      </c>
      <c r="G4740" s="15">
        <f t="shared" si="3"/>
        <v>19</v>
      </c>
    </row>
    <row r="4741">
      <c r="A4741" s="10" t="s">
        <v>37</v>
      </c>
      <c r="B4741" s="94">
        <f t="shared" si="5"/>
        <v>46010</v>
      </c>
      <c r="C4741" s="77" t="s">
        <v>1572</v>
      </c>
      <c r="D4741" s="13">
        <f>D4738+D4739-D4740</f>
        <v>65142.13</v>
      </c>
      <c r="E4741" s="15">
        <f t="shared" si="1"/>
        <v>2025</v>
      </c>
      <c r="F4741" s="15">
        <f t="shared" si="2"/>
        <v>12</v>
      </c>
      <c r="G4741" s="15">
        <f t="shared" si="3"/>
        <v>19</v>
      </c>
    </row>
    <row r="4742">
      <c r="A4742" s="10" t="s">
        <v>37</v>
      </c>
      <c r="B4742" s="94">
        <f t="shared" si="5"/>
        <v>46011</v>
      </c>
      <c r="C4742" s="77" t="s">
        <v>1569</v>
      </c>
      <c r="D4742" s="13">
        <f>D4741</f>
        <v>65142.13</v>
      </c>
      <c r="E4742" s="15">
        <f t="shared" si="1"/>
        <v>2025</v>
      </c>
      <c r="F4742" s="15">
        <f t="shared" si="2"/>
        <v>12</v>
      </c>
      <c r="G4742" s="15">
        <f t="shared" si="3"/>
        <v>20</v>
      </c>
    </row>
    <row r="4743">
      <c r="A4743" s="10" t="s">
        <v>37</v>
      </c>
      <c r="B4743" s="94">
        <f t="shared" si="5"/>
        <v>46011</v>
      </c>
      <c r="C4743" s="77" t="s">
        <v>1570</v>
      </c>
      <c r="D4743" s="13">
        <f>SUMIFS('Lançamentos de receitas'!$E:$E,'Lançamentos de receitas'!$F:$F,"PAGO",'Lançamentos de receitas'!$C:$C,A4743,'Lançamentos de receitas'!$A:$A,B4743)</f>
        <v>4136.23</v>
      </c>
      <c r="E4743" s="15">
        <f t="shared" si="1"/>
        <v>2025</v>
      </c>
      <c r="F4743" s="15">
        <f t="shared" si="2"/>
        <v>12</v>
      </c>
      <c r="G4743" s="15">
        <f t="shared" si="3"/>
        <v>20</v>
      </c>
    </row>
    <row r="4744">
      <c r="A4744" s="10" t="s">
        <v>37</v>
      </c>
      <c r="B4744" s="94">
        <f t="shared" si="5"/>
        <v>46011</v>
      </c>
      <c r="C4744" s="77" t="s">
        <v>1571</v>
      </c>
      <c r="D4744" s="13">
        <f>SUMIFS('Lançamentos de despesas'!$I:$I,'Lançamentos de despesas'!$G:$G,A4744,'Lançamentos de despesas'!$E:$E,"PAGO",'Lançamentos de despesas'!$C:$C,B4744)</f>
        <v>107.64</v>
      </c>
      <c r="E4744" s="15">
        <f t="shared" si="1"/>
        <v>2025</v>
      </c>
      <c r="F4744" s="15">
        <f t="shared" si="2"/>
        <v>12</v>
      </c>
      <c r="G4744" s="15">
        <f t="shared" si="3"/>
        <v>20</v>
      </c>
    </row>
    <row r="4745">
      <c r="A4745" s="10" t="s">
        <v>37</v>
      </c>
      <c r="B4745" s="94">
        <f t="shared" si="5"/>
        <v>46011</v>
      </c>
      <c r="C4745" s="77" t="s">
        <v>1572</v>
      </c>
      <c r="D4745" s="13">
        <f>D4742+D4743-D4744</f>
        <v>69170.72</v>
      </c>
      <c r="E4745" s="15">
        <f t="shared" si="1"/>
        <v>2025</v>
      </c>
      <c r="F4745" s="15">
        <f t="shared" si="2"/>
        <v>12</v>
      </c>
      <c r="G4745" s="15">
        <f t="shared" si="3"/>
        <v>20</v>
      </c>
    </row>
    <row r="4746">
      <c r="A4746" s="10" t="s">
        <v>37</v>
      </c>
      <c r="B4746" s="94">
        <f t="shared" si="5"/>
        <v>46012</v>
      </c>
      <c r="C4746" s="77" t="s">
        <v>1569</v>
      </c>
      <c r="D4746" s="13">
        <f>D4745</f>
        <v>69170.72</v>
      </c>
      <c r="E4746" s="15">
        <f t="shared" si="1"/>
        <v>2025</v>
      </c>
      <c r="F4746" s="15">
        <f t="shared" si="2"/>
        <v>12</v>
      </c>
      <c r="G4746" s="15">
        <f t="shared" si="3"/>
        <v>21</v>
      </c>
    </row>
    <row r="4747">
      <c r="A4747" s="10" t="s">
        <v>37</v>
      </c>
      <c r="B4747" s="94">
        <f t="shared" si="5"/>
        <v>46012</v>
      </c>
      <c r="C4747" s="77" t="s">
        <v>1570</v>
      </c>
      <c r="D4747" s="13">
        <f>SUMIFS('Lançamentos de receitas'!$E:$E,'Lançamentos de receitas'!$F:$F,"PAGO",'Lançamentos de receitas'!$C:$C,A4747,'Lançamentos de receitas'!$A:$A,B4747)</f>
        <v>3387.94</v>
      </c>
      <c r="E4747" s="15">
        <f t="shared" si="1"/>
        <v>2025</v>
      </c>
      <c r="F4747" s="15">
        <f t="shared" si="2"/>
        <v>12</v>
      </c>
      <c r="G4747" s="15">
        <f t="shared" si="3"/>
        <v>21</v>
      </c>
    </row>
    <row r="4748">
      <c r="A4748" s="10" t="s">
        <v>37</v>
      </c>
      <c r="B4748" s="94">
        <f t="shared" si="5"/>
        <v>46012</v>
      </c>
      <c r="C4748" s="77" t="s">
        <v>1571</v>
      </c>
      <c r="D4748" s="13">
        <f>SUMIFS('Lançamentos de despesas'!$I:$I,'Lançamentos de despesas'!$G:$G,A4748,'Lançamentos de despesas'!$E:$E,"PAGO",'Lançamentos de despesas'!$C:$C,B4748)</f>
        <v>0</v>
      </c>
      <c r="E4748" s="15">
        <f t="shared" si="1"/>
        <v>2025</v>
      </c>
      <c r="F4748" s="15">
        <f t="shared" si="2"/>
        <v>12</v>
      </c>
      <c r="G4748" s="15">
        <f t="shared" si="3"/>
        <v>21</v>
      </c>
    </row>
    <row r="4749">
      <c r="A4749" s="10" t="s">
        <v>37</v>
      </c>
      <c r="B4749" s="94">
        <f t="shared" si="5"/>
        <v>46012</v>
      </c>
      <c r="C4749" s="77" t="s">
        <v>1572</v>
      </c>
      <c r="D4749" s="13">
        <f>D4746+D4747-D4748</f>
        <v>72558.66</v>
      </c>
      <c r="E4749" s="15">
        <f t="shared" si="1"/>
        <v>2025</v>
      </c>
      <c r="F4749" s="15">
        <f t="shared" si="2"/>
        <v>12</v>
      </c>
      <c r="G4749" s="15">
        <f t="shared" si="3"/>
        <v>21</v>
      </c>
    </row>
    <row r="4750">
      <c r="A4750" s="10" t="s">
        <v>37</v>
      </c>
      <c r="B4750" s="94">
        <f t="shared" si="5"/>
        <v>46013</v>
      </c>
      <c r="C4750" s="77" t="s">
        <v>1569</v>
      </c>
      <c r="D4750" s="13">
        <f>D4749</f>
        <v>72558.66</v>
      </c>
      <c r="E4750" s="15">
        <f t="shared" si="1"/>
        <v>2025</v>
      </c>
      <c r="F4750" s="15">
        <f t="shared" si="2"/>
        <v>12</v>
      </c>
      <c r="G4750" s="15">
        <f t="shared" si="3"/>
        <v>22</v>
      </c>
    </row>
    <row r="4751">
      <c r="A4751" s="10" t="s">
        <v>37</v>
      </c>
      <c r="B4751" s="94">
        <f t="shared" si="5"/>
        <v>46013</v>
      </c>
      <c r="C4751" s="77" t="s">
        <v>1570</v>
      </c>
      <c r="D4751" s="13">
        <f>SUMIFS('Lançamentos de receitas'!$E:$E,'Lançamentos de receitas'!$F:$F,"PAGO",'Lançamentos de receitas'!$C:$C,A4751,'Lançamentos de receitas'!$A:$A,B4751)</f>
        <v>4202.88</v>
      </c>
      <c r="E4751" s="15">
        <f t="shared" si="1"/>
        <v>2025</v>
      </c>
      <c r="F4751" s="15">
        <f t="shared" si="2"/>
        <v>12</v>
      </c>
      <c r="G4751" s="15">
        <f t="shared" si="3"/>
        <v>22</v>
      </c>
    </row>
    <row r="4752">
      <c r="A4752" s="10" t="s">
        <v>37</v>
      </c>
      <c r="B4752" s="94">
        <f t="shared" si="5"/>
        <v>46013</v>
      </c>
      <c r="C4752" s="77" t="s">
        <v>1571</v>
      </c>
      <c r="D4752" s="13">
        <f>SUMIFS('Lançamentos de despesas'!$I:$I,'Lançamentos de despesas'!$G:$G,A4752,'Lançamentos de despesas'!$E:$E,"PAGO",'Lançamentos de despesas'!$C:$C,B4752)</f>
        <v>15698.54</v>
      </c>
      <c r="E4752" s="15">
        <f t="shared" si="1"/>
        <v>2025</v>
      </c>
      <c r="F4752" s="15">
        <f t="shared" si="2"/>
        <v>12</v>
      </c>
      <c r="G4752" s="15">
        <f t="shared" si="3"/>
        <v>22</v>
      </c>
    </row>
    <row r="4753">
      <c r="A4753" s="10" t="s">
        <v>37</v>
      </c>
      <c r="B4753" s="94">
        <f t="shared" si="5"/>
        <v>46013</v>
      </c>
      <c r="C4753" s="77" t="s">
        <v>1572</v>
      </c>
      <c r="D4753" s="13">
        <f>D4750+D4751-D4752</f>
        <v>61063</v>
      </c>
      <c r="E4753" s="15">
        <f t="shared" si="1"/>
        <v>2025</v>
      </c>
      <c r="F4753" s="15">
        <f t="shared" si="2"/>
        <v>12</v>
      </c>
      <c r="G4753" s="15">
        <f t="shared" si="3"/>
        <v>22</v>
      </c>
    </row>
    <row r="4754">
      <c r="A4754" s="10" t="s">
        <v>37</v>
      </c>
      <c r="B4754" s="94">
        <f t="shared" si="5"/>
        <v>46014</v>
      </c>
      <c r="C4754" s="77" t="s">
        <v>1569</v>
      </c>
      <c r="D4754" s="13">
        <f>D4753</f>
        <v>61063</v>
      </c>
      <c r="E4754" s="15">
        <f t="shared" si="1"/>
        <v>2025</v>
      </c>
      <c r="F4754" s="15">
        <f t="shared" si="2"/>
        <v>12</v>
      </c>
      <c r="G4754" s="15">
        <f t="shared" si="3"/>
        <v>23</v>
      </c>
    </row>
    <row r="4755">
      <c r="A4755" s="10" t="s">
        <v>37</v>
      </c>
      <c r="B4755" s="94">
        <f t="shared" si="5"/>
        <v>46014</v>
      </c>
      <c r="C4755" s="77" t="s">
        <v>1570</v>
      </c>
      <c r="D4755" s="13">
        <f>SUMIFS('Lançamentos de receitas'!$E:$E,'Lançamentos de receitas'!$F:$F,"PAGO",'Lançamentos de receitas'!$C:$C,A4755,'Lançamentos de receitas'!$A:$A,B4755)</f>
        <v>202.31</v>
      </c>
      <c r="E4755" s="15">
        <f t="shared" si="1"/>
        <v>2025</v>
      </c>
      <c r="F4755" s="15">
        <f t="shared" si="2"/>
        <v>12</v>
      </c>
      <c r="G4755" s="15">
        <f t="shared" si="3"/>
        <v>23</v>
      </c>
    </row>
    <row r="4756">
      <c r="A4756" s="10" t="s">
        <v>37</v>
      </c>
      <c r="B4756" s="94">
        <f t="shared" si="5"/>
        <v>46014</v>
      </c>
      <c r="C4756" s="77" t="s">
        <v>1571</v>
      </c>
      <c r="D4756" s="13">
        <f>SUMIFS('Lançamentos de despesas'!$I:$I,'Lançamentos de despesas'!$G:$G,A4756,'Lançamentos de despesas'!$E:$E,"PAGO",'Lançamentos de despesas'!$C:$C,B4756)</f>
        <v>8657.82</v>
      </c>
      <c r="E4756" s="15">
        <f t="shared" si="1"/>
        <v>2025</v>
      </c>
      <c r="F4756" s="15">
        <f t="shared" si="2"/>
        <v>12</v>
      </c>
      <c r="G4756" s="15">
        <f t="shared" si="3"/>
        <v>23</v>
      </c>
    </row>
    <row r="4757">
      <c r="A4757" s="10" t="s">
        <v>37</v>
      </c>
      <c r="B4757" s="94">
        <f t="shared" si="5"/>
        <v>46014</v>
      </c>
      <c r="C4757" s="77" t="s">
        <v>1572</v>
      </c>
      <c r="D4757" s="13">
        <f>D4754+D4755-D4756</f>
        <v>52607.49</v>
      </c>
      <c r="E4757" s="15">
        <f t="shared" si="1"/>
        <v>2025</v>
      </c>
      <c r="F4757" s="15">
        <f t="shared" si="2"/>
        <v>12</v>
      </c>
      <c r="G4757" s="15">
        <f t="shared" si="3"/>
        <v>23</v>
      </c>
    </row>
    <row r="4758">
      <c r="A4758" s="10" t="s">
        <v>37</v>
      </c>
      <c r="B4758" s="94">
        <f t="shared" si="5"/>
        <v>46015</v>
      </c>
      <c r="C4758" s="77" t="s">
        <v>1569</v>
      </c>
      <c r="D4758" s="13">
        <f>D4757</f>
        <v>52607.49</v>
      </c>
      <c r="E4758" s="15">
        <f t="shared" si="1"/>
        <v>2025</v>
      </c>
      <c r="F4758" s="15">
        <f t="shared" si="2"/>
        <v>12</v>
      </c>
      <c r="G4758" s="15">
        <f t="shared" si="3"/>
        <v>24</v>
      </c>
    </row>
    <row r="4759">
      <c r="A4759" s="10" t="s">
        <v>37</v>
      </c>
      <c r="B4759" s="94">
        <f t="shared" si="5"/>
        <v>46015</v>
      </c>
      <c r="C4759" s="77" t="s">
        <v>1570</v>
      </c>
      <c r="D4759" s="13">
        <f>SUMIFS('Lançamentos de receitas'!$E:$E,'Lançamentos de receitas'!$F:$F,"PAGO",'Lançamentos de receitas'!$C:$C,A4759,'Lançamentos de receitas'!$A:$A,B4759)</f>
        <v>2772.69</v>
      </c>
      <c r="E4759" s="15">
        <f t="shared" si="1"/>
        <v>2025</v>
      </c>
      <c r="F4759" s="15">
        <f t="shared" si="2"/>
        <v>12</v>
      </c>
      <c r="G4759" s="15">
        <f t="shared" si="3"/>
        <v>24</v>
      </c>
    </row>
    <row r="4760">
      <c r="A4760" s="10" t="s">
        <v>37</v>
      </c>
      <c r="B4760" s="94">
        <f t="shared" si="5"/>
        <v>46015</v>
      </c>
      <c r="C4760" s="77" t="s">
        <v>1571</v>
      </c>
      <c r="D4760" s="13">
        <f>SUMIFS('Lançamentos de despesas'!$I:$I,'Lançamentos de despesas'!$G:$G,A4760,'Lançamentos de despesas'!$E:$E,"PAGO",'Lançamentos de despesas'!$C:$C,B4760)</f>
        <v>0</v>
      </c>
      <c r="E4760" s="15">
        <f t="shared" si="1"/>
        <v>2025</v>
      </c>
      <c r="F4760" s="15">
        <f t="shared" si="2"/>
        <v>12</v>
      </c>
      <c r="G4760" s="15">
        <f t="shared" si="3"/>
        <v>24</v>
      </c>
    </row>
    <row r="4761">
      <c r="A4761" s="10" t="s">
        <v>37</v>
      </c>
      <c r="B4761" s="94">
        <f t="shared" si="5"/>
        <v>46015</v>
      </c>
      <c r="C4761" s="77" t="s">
        <v>1572</v>
      </c>
      <c r="D4761" s="13">
        <f>D4758+D4759-D4760</f>
        <v>55380.18</v>
      </c>
      <c r="E4761" s="15">
        <f t="shared" si="1"/>
        <v>2025</v>
      </c>
      <c r="F4761" s="15">
        <f t="shared" si="2"/>
        <v>12</v>
      </c>
      <c r="G4761" s="15">
        <f t="shared" si="3"/>
        <v>24</v>
      </c>
    </row>
    <row r="4762">
      <c r="A4762" s="10" t="s">
        <v>37</v>
      </c>
      <c r="B4762" s="94">
        <f t="shared" si="5"/>
        <v>46016</v>
      </c>
      <c r="C4762" s="77" t="s">
        <v>1569</v>
      </c>
      <c r="D4762" s="13">
        <f>D4761</f>
        <v>55380.18</v>
      </c>
      <c r="E4762" s="15">
        <f t="shared" si="1"/>
        <v>2025</v>
      </c>
      <c r="F4762" s="15">
        <f t="shared" si="2"/>
        <v>12</v>
      </c>
      <c r="G4762" s="15">
        <f t="shared" si="3"/>
        <v>25</v>
      </c>
    </row>
    <row r="4763">
      <c r="A4763" s="10" t="s">
        <v>37</v>
      </c>
      <c r="B4763" s="94">
        <f t="shared" si="5"/>
        <v>46016</v>
      </c>
      <c r="C4763" s="77" t="s">
        <v>1570</v>
      </c>
      <c r="D4763" s="13">
        <f>SUMIFS('Lançamentos de receitas'!$E:$E,'Lançamentos de receitas'!$F:$F,"PAGO",'Lançamentos de receitas'!$C:$C,A4763,'Lançamentos de receitas'!$A:$A,B4763)</f>
        <v>2773.87</v>
      </c>
      <c r="E4763" s="15">
        <f t="shared" si="1"/>
        <v>2025</v>
      </c>
      <c r="F4763" s="15">
        <f t="shared" si="2"/>
        <v>12</v>
      </c>
      <c r="G4763" s="15">
        <f t="shared" si="3"/>
        <v>25</v>
      </c>
    </row>
    <row r="4764">
      <c r="A4764" s="10" t="s">
        <v>37</v>
      </c>
      <c r="B4764" s="94">
        <f t="shared" si="5"/>
        <v>46016</v>
      </c>
      <c r="C4764" s="77" t="s">
        <v>1571</v>
      </c>
      <c r="D4764" s="13">
        <f>SUMIFS('Lançamentos de despesas'!$I:$I,'Lançamentos de despesas'!$G:$G,A4764,'Lançamentos de despesas'!$E:$E,"PAGO",'Lançamentos de despesas'!$C:$C,B4764)</f>
        <v>0</v>
      </c>
      <c r="E4764" s="15">
        <f t="shared" si="1"/>
        <v>2025</v>
      </c>
      <c r="F4764" s="15">
        <f t="shared" si="2"/>
        <v>12</v>
      </c>
      <c r="G4764" s="15">
        <f t="shared" si="3"/>
        <v>25</v>
      </c>
    </row>
    <row r="4765">
      <c r="A4765" s="10" t="s">
        <v>37</v>
      </c>
      <c r="B4765" s="94">
        <f t="shared" si="5"/>
        <v>46016</v>
      </c>
      <c r="C4765" s="77" t="s">
        <v>1572</v>
      </c>
      <c r="D4765" s="13">
        <f>D4762+D4763-D4764</f>
        <v>58154.05</v>
      </c>
      <c r="E4765" s="15">
        <f t="shared" si="1"/>
        <v>2025</v>
      </c>
      <c r="F4765" s="15">
        <f t="shared" si="2"/>
        <v>12</v>
      </c>
      <c r="G4765" s="15">
        <f t="shared" si="3"/>
        <v>25</v>
      </c>
    </row>
    <row r="4766">
      <c r="A4766" s="10" t="s">
        <v>37</v>
      </c>
      <c r="B4766" s="94">
        <f t="shared" si="5"/>
        <v>46017</v>
      </c>
      <c r="C4766" s="77" t="s">
        <v>1569</v>
      </c>
      <c r="D4766" s="13">
        <f>D4765</f>
        <v>58154.05</v>
      </c>
      <c r="E4766" s="15">
        <f t="shared" si="1"/>
        <v>2025</v>
      </c>
      <c r="F4766" s="15">
        <f t="shared" si="2"/>
        <v>12</v>
      </c>
      <c r="G4766" s="15">
        <f t="shared" si="3"/>
        <v>26</v>
      </c>
    </row>
    <row r="4767">
      <c r="A4767" s="10" t="s">
        <v>37</v>
      </c>
      <c r="B4767" s="94">
        <f t="shared" si="5"/>
        <v>46017</v>
      </c>
      <c r="C4767" s="77" t="s">
        <v>1570</v>
      </c>
      <c r="D4767" s="13">
        <f>SUMIFS('Lançamentos de receitas'!$E:$E,'Lançamentos de receitas'!$F:$F,"PAGO",'Lançamentos de receitas'!$C:$C,A4767,'Lançamentos de receitas'!$A:$A,B4767)</f>
        <v>3621.01</v>
      </c>
      <c r="E4767" s="15">
        <f t="shared" si="1"/>
        <v>2025</v>
      </c>
      <c r="F4767" s="15">
        <f t="shared" si="2"/>
        <v>12</v>
      </c>
      <c r="G4767" s="15">
        <f t="shared" si="3"/>
        <v>26</v>
      </c>
    </row>
    <row r="4768">
      <c r="A4768" s="10" t="s">
        <v>37</v>
      </c>
      <c r="B4768" s="94">
        <f t="shared" si="5"/>
        <v>46017</v>
      </c>
      <c r="C4768" s="77" t="s">
        <v>1571</v>
      </c>
      <c r="D4768" s="13">
        <f>SUMIFS('Lançamentos de despesas'!$I:$I,'Lançamentos de despesas'!$G:$G,A4768,'Lançamentos de despesas'!$E:$E,"PAGO",'Lançamentos de despesas'!$C:$C,B4768)</f>
        <v>162.39</v>
      </c>
      <c r="E4768" s="15">
        <f t="shared" si="1"/>
        <v>2025</v>
      </c>
      <c r="F4768" s="15">
        <f t="shared" si="2"/>
        <v>12</v>
      </c>
      <c r="G4768" s="15">
        <f t="shared" si="3"/>
        <v>26</v>
      </c>
    </row>
    <row r="4769">
      <c r="A4769" s="10" t="s">
        <v>37</v>
      </c>
      <c r="B4769" s="94">
        <f t="shared" si="5"/>
        <v>46017</v>
      </c>
      <c r="C4769" s="77" t="s">
        <v>1572</v>
      </c>
      <c r="D4769" s="13">
        <f>D4766+D4767-D4768</f>
        <v>61612.67</v>
      </c>
      <c r="E4769" s="15">
        <f t="shared" si="1"/>
        <v>2025</v>
      </c>
      <c r="F4769" s="15">
        <f t="shared" si="2"/>
        <v>12</v>
      </c>
      <c r="G4769" s="15">
        <f t="shared" si="3"/>
        <v>26</v>
      </c>
    </row>
    <row r="4770">
      <c r="A4770" s="10" t="s">
        <v>37</v>
      </c>
      <c r="B4770" s="94">
        <f t="shared" si="5"/>
        <v>46018</v>
      </c>
      <c r="C4770" s="77" t="s">
        <v>1569</v>
      </c>
      <c r="D4770" s="13">
        <f>D4769</f>
        <v>61612.67</v>
      </c>
      <c r="E4770" s="15">
        <f t="shared" si="1"/>
        <v>2025</v>
      </c>
      <c r="F4770" s="15">
        <f t="shared" si="2"/>
        <v>12</v>
      </c>
      <c r="G4770" s="15">
        <f t="shared" si="3"/>
        <v>27</v>
      </c>
    </row>
    <row r="4771">
      <c r="A4771" s="10" t="s">
        <v>37</v>
      </c>
      <c r="B4771" s="94">
        <f t="shared" si="5"/>
        <v>46018</v>
      </c>
      <c r="C4771" s="77" t="s">
        <v>1570</v>
      </c>
      <c r="D4771" s="13">
        <f>SUMIFS('Lançamentos de receitas'!$E:$E,'Lançamentos de receitas'!$F:$F,"PAGO",'Lançamentos de receitas'!$C:$C,A4771,'Lançamentos de receitas'!$A:$A,B4771)</f>
        <v>3817.84</v>
      </c>
      <c r="E4771" s="15">
        <f t="shared" si="1"/>
        <v>2025</v>
      </c>
      <c r="F4771" s="15">
        <f t="shared" si="2"/>
        <v>12</v>
      </c>
      <c r="G4771" s="15">
        <f t="shared" si="3"/>
        <v>27</v>
      </c>
    </row>
    <row r="4772">
      <c r="A4772" s="10" t="s">
        <v>37</v>
      </c>
      <c r="B4772" s="94">
        <f t="shared" si="5"/>
        <v>46018</v>
      </c>
      <c r="C4772" s="77" t="s">
        <v>1571</v>
      </c>
      <c r="D4772" s="13">
        <f>SUMIFS('Lançamentos de despesas'!$I:$I,'Lançamentos de despesas'!$G:$G,A4772,'Lançamentos de despesas'!$E:$E,"PAGO",'Lançamentos de despesas'!$C:$C,B4772)</f>
        <v>0</v>
      </c>
      <c r="E4772" s="15">
        <f t="shared" si="1"/>
        <v>2025</v>
      </c>
      <c r="F4772" s="15">
        <f t="shared" si="2"/>
        <v>12</v>
      </c>
      <c r="G4772" s="15">
        <f t="shared" si="3"/>
        <v>27</v>
      </c>
    </row>
    <row r="4773">
      <c r="A4773" s="10" t="s">
        <v>37</v>
      </c>
      <c r="B4773" s="94">
        <f t="shared" si="5"/>
        <v>46018</v>
      </c>
      <c r="C4773" s="77" t="s">
        <v>1572</v>
      </c>
      <c r="D4773" s="13">
        <f>D4770+D4771-D4772</f>
        <v>65430.51</v>
      </c>
      <c r="E4773" s="15">
        <f t="shared" si="1"/>
        <v>2025</v>
      </c>
      <c r="F4773" s="15">
        <f t="shared" si="2"/>
        <v>12</v>
      </c>
      <c r="G4773" s="15">
        <f t="shared" si="3"/>
        <v>27</v>
      </c>
    </row>
    <row r="4774">
      <c r="A4774" s="10" t="s">
        <v>37</v>
      </c>
      <c r="B4774" s="94">
        <f t="shared" si="5"/>
        <v>46019</v>
      </c>
      <c r="C4774" s="77" t="s">
        <v>1569</v>
      </c>
      <c r="D4774" s="13">
        <f>D4773</f>
        <v>65430.51</v>
      </c>
      <c r="E4774" s="15">
        <f t="shared" si="1"/>
        <v>2025</v>
      </c>
      <c r="F4774" s="15">
        <f t="shared" si="2"/>
        <v>12</v>
      </c>
      <c r="G4774" s="15">
        <f t="shared" si="3"/>
        <v>28</v>
      </c>
    </row>
    <row r="4775">
      <c r="A4775" s="10" t="s">
        <v>37</v>
      </c>
      <c r="B4775" s="94">
        <f t="shared" si="5"/>
        <v>46019</v>
      </c>
      <c r="C4775" s="77" t="s">
        <v>1570</v>
      </c>
      <c r="D4775" s="13">
        <f>SUMIFS('Lançamentos de receitas'!$E:$E,'Lançamentos de receitas'!$F:$F,"PAGO",'Lançamentos de receitas'!$C:$C,A4775,'Lançamentos de receitas'!$A:$A,B4775)</f>
        <v>3381.84</v>
      </c>
      <c r="E4775" s="15">
        <f t="shared" si="1"/>
        <v>2025</v>
      </c>
      <c r="F4775" s="15">
        <f t="shared" si="2"/>
        <v>12</v>
      </c>
      <c r="G4775" s="15">
        <f t="shared" si="3"/>
        <v>28</v>
      </c>
    </row>
    <row r="4776">
      <c r="A4776" s="10" t="s">
        <v>37</v>
      </c>
      <c r="B4776" s="94">
        <f t="shared" si="5"/>
        <v>46019</v>
      </c>
      <c r="C4776" s="77" t="s">
        <v>1571</v>
      </c>
      <c r="D4776" s="13">
        <f>SUMIFS('Lançamentos de despesas'!$I:$I,'Lançamentos de despesas'!$G:$G,A4776,'Lançamentos de despesas'!$E:$E,"PAGO",'Lançamentos de despesas'!$C:$C,B4776)</f>
        <v>0</v>
      </c>
      <c r="E4776" s="15">
        <f t="shared" si="1"/>
        <v>2025</v>
      </c>
      <c r="F4776" s="15">
        <f t="shared" si="2"/>
        <v>12</v>
      </c>
      <c r="G4776" s="15">
        <f t="shared" si="3"/>
        <v>28</v>
      </c>
    </row>
    <row r="4777">
      <c r="A4777" s="10" t="s">
        <v>37</v>
      </c>
      <c r="B4777" s="94">
        <f t="shared" si="5"/>
        <v>46019</v>
      </c>
      <c r="C4777" s="77" t="s">
        <v>1572</v>
      </c>
      <c r="D4777" s="13">
        <f>D4774+D4775-D4776</f>
        <v>68812.35</v>
      </c>
      <c r="E4777" s="15">
        <f t="shared" si="1"/>
        <v>2025</v>
      </c>
      <c r="F4777" s="15">
        <f t="shared" si="2"/>
        <v>12</v>
      </c>
      <c r="G4777" s="15">
        <f t="shared" si="3"/>
        <v>28</v>
      </c>
    </row>
    <row r="4778">
      <c r="A4778" s="10" t="s">
        <v>37</v>
      </c>
      <c r="B4778" s="94">
        <f t="shared" si="5"/>
        <v>46020</v>
      </c>
      <c r="C4778" s="77" t="s">
        <v>1569</v>
      </c>
      <c r="D4778" s="13">
        <f>D4777</f>
        <v>68812.35</v>
      </c>
      <c r="E4778" s="15">
        <f t="shared" si="1"/>
        <v>2025</v>
      </c>
      <c r="F4778" s="15">
        <f t="shared" si="2"/>
        <v>12</v>
      </c>
      <c r="G4778" s="15">
        <f t="shared" si="3"/>
        <v>29</v>
      </c>
    </row>
    <row r="4779">
      <c r="A4779" s="10" t="s">
        <v>37</v>
      </c>
      <c r="B4779" s="94">
        <f t="shared" si="5"/>
        <v>46020</v>
      </c>
      <c r="C4779" s="77" t="s">
        <v>1570</v>
      </c>
      <c r="D4779" s="13">
        <f>SUMIFS('Lançamentos de receitas'!$E:$E,'Lançamentos de receitas'!$F:$F,"PAGO",'Lançamentos de receitas'!$C:$C,A4779,'Lançamentos de receitas'!$A:$A,B4779)</f>
        <v>942.67</v>
      </c>
      <c r="E4779" s="15">
        <f t="shared" si="1"/>
        <v>2025</v>
      </c>
      <c r="F4779" s="15">
        <f t="shared" si="2"/>
        <v>12</v>
      </c>
      <c r="G4779" s="15">
        <f t="shared" si="3"/>
        <v>29</v>
      </c>
    </row>
    <row r="4780">
      <c r="A4780" s="10" t="s">
        <v>37</v>
      </c>
      <c r="B4780" s="94">
        <f t="shared" si="5"/>
        <v>46020</v>
      </c>
      <c r="C4780" s="77" t="s">
        <v>1571</v>
      </c>
      <c r="D4780" s="13">
        <f>SUMIFS('Lançamentos de despesas'!$I:$I,'Lançamentos de despesas'!$G:$G,A4780,'Lançamentos de despesas'!$E:$E,"PAGO",'Lançamentos de despesas'!$C:$C,B4780)</f>
        <v>11094.17</v>
      </c>
      <c r="E4780" s="15">
        <f t="shared" si="1"/>
        <v>2025</v>
      </c>
      <c r="F4780" s="15">
        <f t="shared" si="2"/>
        <v>12</v>
      </c>
      <c r="G4780" s="15">
        <f t="shared" si="3"/>
        <v>29</v>
      </c>
    </row>
    <row r="4781">
      <c r="A4781" s="10" t="s">
        <v>37</v>
      </c>
      <c r="B4781" s="94">
        <f t="shared" si="5"/>
        <v>46020</v>
      </c>
      <c r="C4781" s="77" t="s">
        <v>1572</v>
      </c>
      <c r="D4781" s="13">
        <f>D4778+D4779-D4780</f>
        <v>58660.85</v>
      </c>
      <c r="E4781" s="15">
        <f t="shared" si="1"/>
        <v>2025</v>
      </c>
      <c r="F4781" s="15">
        <f t="shared" si="2"/>
        <v>12</v>
      </c>
      <c r="G4781" s="15">
        <f t="shared" si="3"/>
        <v>29</v>
      </c>
    </row>
    <row r="4782">
      <c r="A4782" s="10" t="s">
        <v>37</v>
      </c>
      <c r="B4782" s="94">
        <f t="shared" si="5"/>
        <v>46021</v>
      </c>
      <c r="C4782" s="77" t="s">
        <v>1569</v>
      </c>
      <c r="D4782" s="13">
        <f>D4781</f>
        <v>58660.85</v>
      </c>
      <c r="E4782" s="15">
        <f t="shared" si="1"/>
        <v>2025</v>
      </c>
      <c r="F4782" s="15">
        <f t="shared" si="2"/>
        <v>12</v>
      </c>
      <c r="G4782" s="15">
        <f t="shared" si="3"/>
        <v>30</v>
      </c>
    </row>
    <row r="4783">
      <c r="A4783" s="10" t="s">
        <v>37</v>
      </c>
      <c r="B4783" s="94">
        <f t="shared" si="5"/>
        <v>46021</v>
      </c>
      <c r="C4783" s="77" t="s">
        <v>1570</v>
      </c>
      <c r="D4783" s="13">
        <f>SUMIFS('Lançamentos de receitas'!$E:$E,'Lançamentos de receitas'!$F:$F,"PAGO",'Lançamentos de receitas'!$C:$C,A4783,'Lançamentos de receitas'!$A:$A,B4783)</f>
        <v>2001.57</v>
      </c>
      <c r="E4783" s="15">
        <f t="shared" si="1"/>
        <v>2025</v>
      </c>
      <c r="F4783" s="15">
        <f t="shared" si="2"/>
        <v>12</v>
      </c>
      <c r="G4783" s="15">
        <f t="shared" si="3"/>
        <v>30</v>
      </c>
    </row>
    <row r="4784">
      <c r="A4784" s="10" t="s">
        <v>37</v>
      </c>
      <c r="B4784" s="94">
        <f t="shared" si="5"/>
        <v>46021</v>
      </c>
      <c r="C4784" s="77" t="s">
        <v>1571</v>
      </c>
      <c r="D4784" s="13">
        <f>SUMIFS('Lançamentos de despesas'!$I:$I,'Lançamentos de despesas'!$G:$G,A4784,'Lançamentos de despesas'!$E:$E,"PAGO",'Lançamentos de despesas'!$C:$C,B4784)</f>
        <v>1297.77</v>
      </c>
      <c r="E4784" s="15">
        <f t="shared" si="1"/>
        <v>2025</v>
      </c>
      <c r="F4784" s="15">
        <f t="shared" si="2"/>
        <v>12</v>
      </c>
      <c r="G4784" s="15">
        <f t="shared" si="3"/>
        <v>30</v>
      </c>
    </row>
    <row r="4785">
      <c r="A4785" s="10" t="s">
        <v>37</v>
      </c>
      <c r="B4785" s="94">
        <f t="shared" si="5"/>
        <v>46021</v>
      </c>
      <c r="C4785" s="77" t="s">
        <v>1572</v>
      </c>
      <c r="D4785" s="13">
        <f>D4782+D4783-D4784</f>
        <v>59364.65</v>
      </c>
      <c r="E4785" s="15">
        <f t="shared" si="1"/>
        <v>2025</v>
      </c>
      <c r="F4785" s="15">
        <f t="shared" si="2"/>
        <v>12</v>
      </c>
      <c r="G4785" s="15">
        <f t="shared" si="3"/>
        <v>30</v>
      </c>
    </row>
    <row r="4786">
      <c r="A4786" s="10" t="s">
        <v>37</v>
      </c>
      <c r="B4786" s="94">
        <f t="shared" si="5"/>
        <v>46022</v>
      </c>
      <c r="C4786" s="77" t="s">
        <v>1569</v>
      </c>
      <c r="D4786" s="13">
        <f>D4785</f>
        <v>59364.65</v>
      </c>
      <c r="E4786" s="15">
        <f t="shared" si="1"/>
        <v>2025</v>
      </c>
      <c r="F4786" s="15">
        <f t="shared" si="2"/>
        <v>12</v>
      </c>
      <c r="G4786" s="15">
        <f t="shared" si="3"/>
        <v>31</v>
      </c>
    </row>
    <row r="4787">
      <c r="A4787" s="10" t="s">
        <v>37</v>
      </c>
      <c r="B4787" s="94">
        <f t="shared" si="5"/>
        <v>46022</v>
      </c>
      <c r="C4787" s="77" t="s">
        <v>1570</v>
      </c>
      <c r="D4787" s="13">
        <f>SUMIFS('Lançamentos de receitas'!$E:$E,'Lançamentos de receitas'!$F:$F,"PAGO",'Lançamentos de receitas'!$C:$C,A4787,'Lançamentos de receitas'!$A:$A,B4787)</f>
        <v>3697.87</v>
      </c>
      <c r="E4787" s="15">
        <f t="shared" si="1"/>
        <v>2025</v>
      </c>
      <c r="F4787" s="15">
        <f t="shared" si="2"/>
        <v>12</v>
      </c>
      <c r="G4787" s="15">
        <f t="shared" si="3"/>
        <v>31</v>
      </c>
    </row>
    <row r="4788">
      <c r="A4788" s="10" t="s">
        <v>37</v>
      </c>
      <c r="B4788" s="94">
        <f t="shared" si="5"/>
        <v>46022</v>
      </c>
      <c r="C4788" s="77" t="s">
        <v>1571</v>
      </c>
      <c r="D4788" s="13">
        <f>SUMIFS('Lançamentos de despesas'!$I:$I,'Lançamentos de despesas'!$G:$G,A4788,'Lançamentos de despesas'!$E:$E,"PAGO",'Lançamentos de despesas'!$C:$C,B4788)</f>
        <v>0</v>
      </c>
      <c r="E4788" s="15">
        <f t="shared" si="1"/>
        <v>2025</v>
      </c>
      <c r="F4788" s="15">
        <f t="shared" si="2"/>
        <v>12</v>
      </c>
      <c r="G4788" s="15">
        <f t="shared" si="3"/>
        <v>31</v>
      </c>
    </row>
    <row r="4789">
      <c r="A4789" s="10" t="s">
        <v>37</v>
      </c>
      <c r="B4789" s="94">
        <f t="shared" si="5"/>
        <v>46022</v>
      </c>
      <c r="C4789" s="77" t="s">
        <v>1572</v>
      </c>
      <c r="D4789" s="13">
        <f>D4786+D4787-D4788</f>
        <v>63062.52</v>
      </c>
      <c r="E4789" s="15">
        <f t="shared" si="1"/>
        <v>2025</v>
      </c>
      <c r="F4789" s="15">
        <f t="shared" si="2"/>
        <v>12</v>
      </c>
      <c r="G4789" s="15">
        <f t="shared" si="3"/>
        <v>31</v>
      </c>
    </row>
    <row r="4790">
      <c r="A4790" s="10" t="s">
        <v>37</v>
      </c>
      <c r="B4790" s="94">
        <f t="shared" si="5"/>
        <v>46023</v>
      </c>
      <c r="C4790" s="77" t="s">
        <v>1569</v>
      </c>
      <c r="D4790" s="13">
        <f>D4789</f>
        <v>63062.52</v>
      </c>
      <c r="E4790" s="15">
        <f t="shared" si="1"/>
        <v>2026</v>
      </c>
      <c r="F4790" s="15">
        <f t="shared" si="2"/>
        <v>1</v>
      </c>
      <c r="G4790" s="15">
        <f t="shared" si="3"/>
        <v>1</v>
      </c>
    </row>
    <row r="4791">
      <c r="A4791" s="10" t="s">
        <v>37</v>
      </c>
      <c r="B4791" s="94">
        <f t="shared" si="5"/>
        <v>46023</v>
      </c>
      <c r="C4791" s="77" t="s">
        <v>1570</v>
      </c>
      <c r="D4791" s="13">
        <f>SUMIFS('Lançamentos de receitas'!$E:$E,'Lançamentos de receitas'!$F:$F,"PAGO",'Lançamentos de receitas'!$C:$C,A4791,'Lançamentos de receitas'!$A:$A,B4791)</f>
        <v>1013.29</v>
      </c>
      <c r="E4791" s="15">
        <f t="shared" si="1"/>
        <v>2026</v>
      </c>
      <c r="F4791" s="15">
        <f t="shared" si="2"/>
        <v>1</v>
      </c>
      <c r="G4791" s="15">
        <f t="shared" si="3"/>
        <v>1</v>
      </c>
    </row>
    <row r="4792">
      <c r="A4792" s="10" t="s">
        <v>37</v>
      </c>
      <c r="B4792" s="94">
        <f t="shared" si="5"/>
        <v>46023</v>
      </c>
      <c r="C4792" s="77" t="s">
        <v>1571</v>
      </c>
      <c r="D4792" s="13">
        <f>SUMIFS('Lançamentos de despesas'!$I:$I,'Lançamentos de despesas'!$G:$G,A4792,'Lançamentos de despesas'!$E:$E,"PAGO",'Lançamentos de despesas'!$C:$C,B4792)</f>
        <v>98.18</v>
      </c>
      <c r="E4792" s="15">
        <f t="shared" si="1"/>
        <v>2026</v>
      </c>
      <c r="F4792" s="15">
        <f t="shared" si="2"/>
        <v>1</v>
      </c>
      <c r="G4792" s="15">
        <f t="shared" si="3"/>
        <v>1</v>
      </c>
    </row>
    <row r="4793">
      <c r="A4793" s="10" t="s">
        <v>37</v>
      </c>
      <c r="B4793" s="94">
        <f t="shared" si="5"/>
        <v>46023</v>
      </c>
      <c r="C4793" s="77" t="s">
        <v>1572</v>
      </c>
      <c r="D4793" s="13">
        <f>D4790+D4791-D4792</f>
        <v>63977.63</v>
      </c>
      <c r="E4793" s="15">
        <f t="shared" si="1"/>
        <v>2026</v>
      </c>
      <c r="F4793" s="15">
        <f t="shared" si="2"/>
        <v>1</v>
      </c>
      <c r="G4793" s="15">
        <f t="shared" si="3"/>
        <v>1</v>
      </c>
    </row>
    <row r="4794">
      <c r="A4794" s="10" t="s">
        <v>37</v>
      </c>
      <c r="B4794" s="94">
        <f t="shared" si="5"/>
        <v>46024</v>
      </c>
      <c r="C4794" s="77" t="s">
        <v>1569</v>
      </c>
      <c r="D4794" s="13">
        <f>D4793</f>
        <v>63977.63</v>
      </c>
      <c r="E4794" s="15">
        <f t="shared" si="1"/>
        <v>2026</v>
      </c>
      <c r="F4794" s="15">
        <f t="shared" si="2"/>
        <v>1</v>
      </c>
      <c r="G4794" s="15">
        <f t="shared" si="3"/>
        <v>2</v>
      </c>
    </row>
    <row r="4795">
      <c r="A4795" s="10" t="s">
        <v>37</v>
      </c>
      <c r="B4795" s="94">
        <f t="shared" si="5"/>
        <v>46024</v>
      </c>
      <c r="C4795" s="77" t="s">
        <v>1570</v>
      </c>
      <c r="D4795" s="13">
        <f>SUMIFS('Lançamentos de receitas'!$E:$E,'Lançamentos de receitas'!$F:$F,"PAGO",'Lançamentos de receitas'!$C:$C,A4795,'Lançamentos de receitas'!$A:$A,B4795)</f>
        <v>0</v>
      </c>
      <c r="E4795" s="15">
        <f t="shared" si="1"/>
        <v>2026</v>
      </c>
      <c r="F4795" s="15">
        <f t="shared" si="2"/>
        <v>1</v>
      </c>
      <c r="G4795" s="15">
        <f t="shared" si="3"/>
        <v>2</v>
      </c>
    </row>
    <row r="4796">
      <c r="A4796" s="10" t="s">
        <v>37</v>
      </c>
      <c r="B4796" s="94">
        <f t="shared" si="5"/>
        <v>46024</v>
      </c>
      <c r="C4796" s="77" t="s">
        <v>1571</v>
      </c>
      <c r="D4796" s="13">
        <f>SUMIFS('Lançamentos de despesas'!$I:$I,'Lançamentos de despesas'!$G:$G,A4796,'Lançamentos de despesas'!$E:$E,"PAGO",'Lançamentos de despesas'!$C:$C,B4796)</f>
        <v>6014.83</v>
      </c>
      <c r="E4796" s="15">
        <f t="shared" si="1"/>
        <v>2026</v>
      </c>
      <c r="F4796" s="15">
        <f t="shared" si="2"/>
        <v>1</v>
      </c>
      <c r="G4796" s="15">
        <f t="shared" si="3"/>
        <v>2</v>
      </c>
    </row>
    <row r="4797">
      <c r="A4797" s="10" t="s">
        <v>37</v>
      </c>
      <c r="B4797" s="94">
        <f t="shared" si="5"/>
        <v>46024</v>
      </c>
      <c r="C4797" s="77" t="s">
        <v>1572</v>
      </c>
      <c r="D4797" s="13">
        <f>D4794+D4795-D4796</f>
        <v>57962.8</v>
      </c>
      <c r="E4797" s="15">
        <f t="shared" si="1"/>
        <v>2026</v>
      </c>
      <c r="F4797" s="15">
        <f t="shared" si="2"/>
        <v>1</v>
      </c>
      <c r="G4797" s="15">
        <f t="shared" si="3"/>
        <v>2</v>
      </c>
    </row>
    <row r="4798">
      <c r="A4798" s="10" t="s">
        <v>37</v>
      </c>
      <c r="B4798" s="94">
        <f t="shared" si="5"/>
        <v>46025</v>
      </c>
      <c r="C4798" s="77" t="s">
        <v>1569</v>
      </c>
      <c r="D4798" s="13">
        <f>D4797</f>
        <v>57962.8</v>
      </c>
      <c r="E4798" s="15">
        <f t="shared" si="1"/>
        <v>2026</v>
      </c>
      <c r="F4798" s="15">
        <f t="shared" si="2"/>
        <v>1</v>
      </c>
      <c r="G4798" s="15">
        <f t="shared" si="3"/>
        <v>3</v>
      </c>
    </row>
    <row r="4799">
      <c r="A4799" s="10" t="s">
        <v>37</v>
      </c>
      <c r="B4799" s="94">
        <f t="shared" si="5"/>
        <v>46025</v>
      </c>
      <c r="C4799" s="77" t="s">
        <v>1570</v>
      </c>
      <c r="D4799" s="13">
        <f>SUMIFS('Lançamentos de receitas'!$E:$E,'Lançamentos de receitas'!$F:$F,"PAGO",'Lançamentos de receitas'!$C:$C,A4799,'Lançamentos de receitas'!$A:$A,B4799)</f>
        <v>1789.97</v>
      </c>
      <c r="E4799" s="15">
        <f t="shared" si="1"/>
        <v>2026</v>
      </c>
      <c r="F4799" s="15">
        <f t="shared" si="2"/>
        <v>1</v>
      </c>
      <c r="G4799" s="15">
        <f t="shared" si="3"/>
        <v>3</v>
      </c>
    </row>
    <row r="4800">
      <c r="A4800" s="10" t="s">
        <v>37</v>
      </c>
      <c r="B4800" s="94">
        <f t="shared" si="5"/>
        <v>46025</v>
      </c>
      <c r="C4800" s="77" t="s">
        <v>1571</v>
      </c>
      <c r="D4800" s="13">
        <f>SUMIFS('Lançamentos de despesas'!$I:$I,'Lançamentos de despesas'!$G:$G,A4800,'Lançamentos de despesas'!$E:$E,"PAGO",'Lançamentos de despesas'!$C:$C,B4800)</f>
        <v>0</v>
      </c>
      <c r="E4800" s="15">
        <f t="shared" si="1"/>
        <v>2026</v>
      </c>
      <c r="F4800" s="15">
        <f t="shared" si="2"/>
        <v>1</v>
      </c>
      <c r="G4800" s="15">
        <f t="shared" si="3"/>
        <v>3</v>
      </c>
    </row>
    <row r="4801">
      <c r="A4801" s="10" t="s">
        <v>37</v>
      </c>
      <c r="B4801" s="94">
        <f t="shared" si="5"/>
        <v>46025</v>
      </c>
      <c r="C4801" s="77" t="s">
        <v>1572</v>
      </c>
      <c r="D4801" s="13">
        <f>D4798+D4799-D4800</f>
        <v>59752.77</v>
      </c>
      <c r="E4801" s="15">
        <f t="shared" si="1"/>
        <v>2026</v>
      </c>
      <c r="F4801" s="15">
        <f t="shared" si="2"/>
        <v>1</v>
      </c>
      <c r="G4801" s="15">
        <f t="shared" si="3"/>
        <v>3</v>
      </c>
    </row>
    <row r="4802">
      <c r="A4802" s="10" t="s">
        <v>37</v>
      </c>
      <c r="B4802" s="94">
        <f t="shared" si="5"/>
        <v>46026</v>
      </c>
      <c r="C4802" s="77" t="s">
        <v>1569</v>
      </c>
      <c r="D4802" s="13">
        <f>D4801</f>
        <v>59752.77</v>
      </c>
      <c r="E4802" s="15">
        <f t="shared" si="1"/>
        <v>2026</v>
      </c>
      <c r="F4802" s="15">
        <f t="shared" si="2"/>
        <v>1</v>
      </c>
      <c r="G4802" s="15">
        <f t="shared" si="3"/>
        <v>4</v>
      </c>
    </row>
    <row r="4803">
      <c r="A4803" s="10" t="s">
        <v>37</v>
      </c>
      <c r="B4803" s="94">
        <f t="shared" si="5"/>
        <v>46026</v>
      </c>
      <c r="C4803" s="77" t="s">
        <v>1570</v>
      </c>
      <c r="D4803" s="13">
        <f>SUMIFS('Lançamentos de receitas'!$E:$E,'Lançamentos de receitas'!$F:$F,"PAGO",'Lançamentos de receitas'!$C:$C,A4803,'Lançamentos de receitas'!$A:$A,B4803)</f>
        <v>1867.52</v>
      </c>
      <c r="E4803" s="15">
        <f t="shared" si="1"/>
        <v>2026</v>
      </c>
      <c r="F4803" s="15">
        <f t="shared" si="2"/>
        <v>1</v>
      </c>
      <c r="G4803" s="15">
        <f t="shared" si="3"/>
        <v>4</v>
      </c>
    </row>
    <row r="4804">
      <c r="A4804" s="10" t="s">
        <v>37</v>
      </c>
      <c r="B4804" s="94">
        <f t="shared" si="5"/>
        <v>46026</v>
      </c>
      <c r="C4804" s="77" t="s">
        <v>1571</v>
      </c>
      <c r="D4804" s="13">
        <f>SUMIFS('Lançamentos de despesas'!$I:$I,'Lançamentos de despesas'!$G:$G,A4804,'Lançamentos de despesas'!$E:$E,"PAGO",'Lançamentos de despesas'!$C:$C,B4804)</f>
        <v>0</v>
      </c>
      <c r="E4804" s="15">
        <f t="shared" si="1"/>
        <v>2026</v>
      </c>
      <c r="F4804" s="15">
        <f t="shared" si="2"/>
        <v>1</v>
      </c>
      <c r="G4804" s="15">
        <f t="shared" si="3"/>
        <v>4</v>
      </c>
    </row>
    <row r="4805">
      <c r="A4805" s="10" t="s">
        <v>37</v>
      </c>
      <c r="B4805" s="94">
        <f t="shared" si="5"/>
        <v>46026</v>
      </c>
      <c r="C4805" s="77" t="s">
        <v>1572</v>
      </c>
      <c r="D4805" s="13">
        <f>D4802+D4803-D4804</f>
        <v>61620.29</v>
      </c>
      <c r="E4805" s="15">
        <f t="shared" si="1"/>
        <v>2026</v>
      </c>
      <c r="F4805" s="15">
        <f t="shared" si="2"/>
        <v>1</v>
      </c>
      <c r="G4805" s="15">
        <f t="shared" si="3"/>
        <v>4</v>
      </c>
    </row>
    <row r="4806">
      <c r="A4806" s="10" t="s">
        <v>37</v>
      </c>
      <c r="B4806" s="94">
        <f t="shared" si="5"/>
        <v>46027</v>
      </c>
      <c r="C4806" s="77" t="s">
        <v>1569</v>
      </c>
      <c r="D4806" s="13">
        <f>D4805</f>
        <v>61620.29</v>
      </c>
      <c r="E4806" s="15">
        <f t="shared" si="1"/>
        <v>2026</v>
      </c>
      <c r="F4806" s="15">
        <f t="shared" si="2"/>
        <v>1</v>
      </c>
      <c r="G4806" s="15">
        <f t="shared" si="3"/>
        <v>5</v>
      </c>
    </row>
    <row r="4807">
      <c r="A4807" s="10" t="s">
        <v>37</v>
      </c>
      <c r="B4807" s="94">
        <f t="shared" si="5"/>
        <v>46027</v>
      </c>
      <c r="C4807" s="77" t="s">
        <v>1570</v>
      </c>
      <c r="D4807" s="13">
        <f>SUMIFS('Lançamentos de receitas'!$E:$E,'Lançamentos de receitas'!$F:$F,"PAGO",'Lançamentos de receitas'!$C:$C,A4807,'Lançamentos de receitas'!$A:$A,B4807)</f>
        <v>176.6</v>
      </c>
      <c r="E4807" s="15">
        <f t="shared" si="1"/>
        <v>2026</v>
      </c>
      <c r="F4807" s="15">
        <f t="shared" si="2"/>
        <v>1</v>
      </c>
      <c r="G4807" s="15">
        <f t="shared" si="3"/>
        <v>5</v>
      </c>
    </row>
    <row r="4808">
      <c r="A4808" s="10" t="s">
        <v>37</v>
      </c>
      <c r="B4808" s="94">
        <f t="shared" si="5"/>
        <v>46027</v>
      </c>
      <c r="C4808" s="77" t="s">
        <v>1571</v>
      </c>
      <c r="D4808" s="13">
        <f>SUMIFS('Lançamentos de despesas'!$I:$I,'Lançamentos de despesas'!$G:$G,A4808,'Lançamentos de despesas'!$E:$E,"PAGO",'Lançamentos de despesas'!$C:$C,B4808)</f>
        <v>10739.01</v>
      </c>
      <c r="E4808" s="15">
        <f t="shared" si="1"/>
        <v>2026</v>
      </c>
      <c r="F4808" s="15">
        <f t="shared" si="2"/>
        <v>1</v>
      </c>
      <c r="G4808" s="15">
        <f t="shared" si="3"/>
        <v>5</v>
      </c>
    </row>
    <row r="4809">
      <c r="A4809" s="10" t="s">
        <v>37</v>
      </c>
      <c r="B4809" s="94">
        <f t="shared" si="5"/>
        <v>46027</v>
      </c>
      <c r="C4809" s="77" t="s">
        <v>1572</v>
      </c>
      <c r="D4809" s="13">
        <f>D4806+D4807-D4808</f>
        <v>51057.88</v>
      </c>
      <c r="E4809" s="15">
        <f t="shared" si="1"/>
        <v>2026</v>
      </c>
      <c r="F4809" s="15">
        <f t="shared" si="2"/>
        <v>1</v>
      </c>
      <c r="G4809" s="15">
        <f t="shared" si="3"/>
        <v>5</v>
      </c>
    </row>
    <row r="4810">
      <c r="A4810" s="10" t="s">
        <v>37</v>
      </c>
      <c r="B4810" s="94">
        <f t="shared" si="5"/>
        <v>46028</v>
      </c>
      <c r="C4810" s="77" t="s">
        <v>1569</v>
      </c>
      <c r="D4810" s="13">
        <f>D4809</f>
        <v>51057.88</v>
      </c>
      <c r="E4810" s="15">
        <f t="shared" si="1"/>
        <v>2026</v>
      </c>
      <c r="F4810" s="15">
        <f t="shared" si="2"/>
        <v>1</v>
      </c>
      <c r="G4810" s="15">
        <f t="shared" si="3"/>
        <v>6</v>
      </c>
    </row>
    <row r="4811">
      <c r="A4811" s="10" t="s">
        <v>37</v>
      </c>
      <c r="B4811" s="94">
        <f t="shared" si="5"/>
        <v>46028</v>
      </c>
      <c r="C4811" s="77" t="s">
        <v>1570</v>
      </c>
      <c r="D4811" s="13">
        <f>SUMIFS('Lançamentos de receitas'!$E:$E,'Lançamentos de receitas'!$F:$F,"PAGO",'Lançamentos de receitas'!$C:$C,A4811,'Lançamentos de receitas'!$A:$A,B4811)</f>
        <v>1308.35</v>
      </c>
      <c r="E4811" s="15">
        <f t="shared" si="1"/>
        <v>2026</v>
      </c>
      <c r="F4811" s="15">
        <f t="shared" si="2"/>
        <v>1</v>
      </c>
      <c r="G4811" s="15">
        <f t="shared" si="3"/>
        <v>6</v>
      </c>
    </row>
    <row r="4812">
      <c r="A4812" s="10" t="s">
        <v>37</v>
      </c>
      <c r="B4812" s="94">
        <f t="shared" si="5"/>
        <v>46028</v>
      </c>
      <c r="C4812" s="77" t="s">
        <v>1571</v>
      </c>
      <c r="D4812" s="13">
        <f>SUMIFS('Lançamentos de despesas'!$I:$I,'Lançamentos de despesas'!$G:$G,A4812,'Lançamentos de despesas'!$E:$E,"PAGO",'Lançamentos de despesas'!$C:$C,B4812)</f>
        <v>130</v>
      </c>
      <c r="E4812" s="15">
        <f t="shared" si="1"/>
        <v>2026</v>
      </c>
      <c r="F4812" s="15">
        <f t="shared" si="2"/>
        <v>1</v>
      </c>
      <c r="G4812" s="15">
        <f t="shared" si="3"/>
        <v>6</v>
      </c>
    </row>
    <row r="4813">
      <c r="A4813" s="10" t="s">
        <v>37</v>
      </c>
      <c r="B4813" s="94">
        <f t="shared" si="5"/>
        <v>46028</v>
      </c>
      <c r="C4813" s="77" t="s">
        <v>1572</v>
      </c>
      <c r="D4813" s="13">
        <f>D4810+D4811-D4812</f>
        <v>52236.23</v>
      </c>
      <c r="E4813" s="15">
        <f t="shared" si="1"/>
        <v>2026</v>
      </c>
      <c r="F4813" s="15">
        <f t="shared" si="2"/>
        <v>1</v>
      </c>
      <c r="G4813" s="15">
        <f t="shared" si="3"/>
        <v>6</v>
      </c>
    </row>
    <row r="4814">
      <c r="A4814" s="10" t="s">
        <v>37</v>
      </c>
      <c r="B4814" s="94">
        <f t="shared" si="5"/>
        <v>46029</v>
      </c>
      <c r="C4814" s="77" t="s">
        <v>1569</v>
      </c>
      <c r="D4814" s="13">
        <f>D4813</f>
        <v>52236.23</v>
      </c>
      <c r="E4814" s="15">
        <f t="shared" si="1"/>
        <v>2026</v>
      </c>
      <c r="F4814" s="15">
        <f t="shared" si="2"/>
        <v>1</v>
      </c>
      <c r="G4814" s="15">
        <f t="shared" si="3"/>
        <v>7</v>
      </c>
    </row>
    <row r="4815">
      <c r="A4815" s="10" t="s">
        <v>37</v>
      </c>
      <c r="B4815" s="94">
        <f t="shared" si="5"/>
        <v>46029</v>
      </c>
      <c r="C4815" s="77" t="s">
        <v>1570</v>
      </c>
      <c r="D4815" s="13">
        <f>SUMIFS('Lançamentos de receitas'!$E:$E,'Lançamentos de receitas'!$F:$F,"PAGO",'Lançamentos de receitas'!$C:$C,A4815,'Lançamentos de receitas'!$A:$A,B4815)</f>
        <v>2684.49</v>
      </c>
      <c r="E4815" s="15">
        <f t="shared" si="1"/>
        <v>2026</v>
      </c>
      <c r="F4815" s="15">
        <f t="shared" si="2"/>
        <v>1</v>
      </c>
      <c r="G4815" s="15">
        <f t="shared" si="3"/>
        <v>7</v>
      </c>
    </row>
    <row r="4816">
      <c r="A4816" s="10" t="s">
        <v>37</v>
      </c>
      <c r="B4816" s="94">
        <f t="shared" si="5"/>
        <v>46029</v>
      </c>
      <c r="C4816" s="77" t="s">
        <v>1571</v>
      </c>
      <c r="D4816" s="13">
        <f>SUMIFS('Lançamentos de despesas'!$I:$I,'Lançamentos de despesas'!$G:$G,A4816,'Lançamentos de despesas'!$E:$E,"PAGO",'Lançamentos de despesas'!$C:$C,B4816)</f>
        <v>662.86</v>
      </c>
      <c r="E4816" s="15">
        <f t="shared" si="1"/>
        <v>2026</v>
      </c>
      <c r="F4816" s="15">
        <f t="shared" si="2"/>
        <v>1</v>
      </c>
      <c r="G4816" s="15">
        <f t="shared" si="3"/>
        <v>7</v>
      </c>
    </row>
    <row r="4817">
      <c r="A4817" s="10" t="s">
        <v>37</v>
      </c>
      <c r="B4817" s="94">
        <f t="shared" si="5"/>
        <v>46029</v>
      </c>
      <c r="C4817" s="77" t="s">
        <v>1572</v>
      </c>
      <c r="D4817" s="13">
        <f>D4814+D4815-D4816</f>
        <v>54257.86</v>
      </c>
      <c r="E4817" s="15">
        <f t="shared" si="1"/>
        <v>2026</v>
      </c>
      <c r="F4817" s="15">
        <f t="shared" si="2"/>
        <v>1</v>
      </c>
      <c r="G4817" s="15">
        <f t="shared" si="3"/>
        <v>7</v>
      </c>
    </row>
    <row r="4818">
      <c r="A4818" s="10" t="s">
        <v>37</v>
      </c>
      <c r="B4818" s="94">
        <f t="shared" si="5"/>
        <v>46030</v>
      </c>
      <c r="C4818" s="77" t="s">
        <v>1569</v>
      </c>
      <c r="D4818" s="13">
        <f>D4817</f>
        <v>54257.86</v>
      </c>
      <c r="E4818" s="15">
        <f t="shared" si="1"/>
        <v>2026</v>
      </c>
      <c r="F4818" s="15">
        <f t="shared" si="2"/>
        <v>1</v>
      </c>
      <c r="G4818" s="15">
        <f t="shared" si="3"/>
        <v>8</v>
      </c>
    </row>
    <row r="4819">
      <c r="A4819" s="10" t="s">
        <v>37</v>
      </c>
      <c r="B4819" s="94">
        <f t="shared" si="5"/>
        <v>46030</v>
      </c>
      <c r="C4819" s="77" t="s">
        <v>1570</v>
      </c>
      <c r="D4819" s="13">
        <f>SUMIFS('Lançamentos de receitas'!$E:$E,'Lançamentos de receitas'!$F:$F,"PAGO",'Lançamentos de receitas'!$C:$C,A4819,'Lançamentos de receitas'!$A:$A,B4819)</f>
        <v>1406.4</v>
      </c>
      <c r="E4819" s="15">
        <f t="shared" si="1"/>
        <v>2026</v>
      </c>
      <c r="F4819" s="15">
        <f t="shared" si="2"/>
        <v>1</v>
      </c>
      <c r="G4819" s="15">
        <f t="shared" si="3"/>
        <v>8</v>
      </c>
    </row>
    <row r="4820">
      <c r="A4820" s="10" t="s">
        <v>37</v>
      </c>
      <c r="B4820" s="94">
        <f t="shared" si="5"/>
        <v>46030</v>
      </c>
      <c r="C4820" s="77" t="s">
        <v>1571</v>
      </c>
      <c r="D4820" s="13">
        <f>SUMIFS('Lançamentos de despesas'!$I:$I,'Lançamentos de despesas'!$G:$G,A4820,'Lançamentos de despesas'!$E:$E,"PAGO",'Lançamentos de despesas'!$C:$C,B4820)</f>
        <v>64.11</v>
      </c>
      <c r="E4820" s="15">
        <f t="shared" si="1"/>
        <v>2026</v>
      </c>
      <c r="F4820" s="15">
        <f t="shared" si="2"/>
        <v>1</v>
      </c>
      <c r="G4820" s="15">
        <f t="shared" si="3"/>
        <v>8</v>
      </c>
    </row>
    <row r="4821">
      <c r="A4821" s="10" t="s">
        <v>37</v>
      </c>
      <c r="B4821" s="94">
        <f t="shared" si="5"/>
        <v>46030</v>
      </c>
      <c r="C4821" s="77" t="s">
        <v>1572</v>
      </c>
      <c r="D4821" s="13">
        <f>D4818+D4819-D4820</f>
        <v>55600.15</v>
      </c>
      <c r="E4821" s="15">
        <f t="shared" si="1"/>
        <v>2026</v>
      </c>
      <c r="F4821" s="15">
        <f t="shared" si="2"/>
        <v>1</v>
      </c>
      <c r="G4821" s="15">
        <f t="shared" si="3"/>
        <v>8</v>
      </c>
    </row>
    <row r="4822">
      <c r="A4822" s="10" t="s">
        <v>37</v>
      </c>
      <c r="B4822" s="94">
        <f t="shared" si="5"/>
        <v>46031</v>
      </c>
      <c r="C4822" s="77" t="s">
        <v>1569</v>
      </c>
      <c r="D4822" s="13">
        <f>D4821</f>
        <v>55600.15</v>
      </c>
      <c r="E4822" s="15">
        <f t="shared" si="1"/>
        <v>2026</v>
      </c>
      <c r="F4822" s="15">
        <f t="shared" si="2"/>
        <v>1</v>
      </c>
      <c r="G4822" s="15">
        <f t="shared" si="3"/>
        <v>9</v>
      </c>
    </row>
    <row r="4823">
      <c r="A4823" s="10" t="s">
        <v>37</v>
      </c>
      <c r="B4823" s="94">
        <f t="shared" si="5"/>
        <v>46031</v>
      </c>
      <c r="C4823" s="77" t="s">
        <v>1570</v>
      </c>
      <c r="D4823" s="13">
        <f>SUMIFS('Lançamentos de receitas'!$E:$E,'Lançamentos de receitas'!$F:$F,"PAGO",'Lançamentos de receitas'!$C:$C,A4823,'Lançamentos de receitas'!$A:$A,B4823)</f>
        <v>25.74</v>
      </c>
      <c r="E4823" s="15">
        <f t="shared" si="1"/>
        <v>2026</v>
      </c>
      <c r="F4823" s="15">
        <f t="shared" si="2"/>
        <v>1</v>
      </c>
      <c r="G4823" s="15">
        <f t="shared" si="3"/>
        <v>9</v>
      </c>
    </row>
    <row r="4824">
      <c r="A4824" s="10" t="s">
        <v>37</v>
      </c>
      <c r="B4824" s="94">
        <f t="shared" si="5"/>
        <v>46031</v>
      </c>
      <c r="C4824" s="77" t="s">
        <v>1571</v>
      </c>
      <c r="D4824" s="13">
        <f>SUMIFS('Lançamentos de despesas'!$I:$I,'Lançamentos de despesas'!$G:$G,A4824,'Lançamentos de despesas'!$E:$E,"PAGO",'Lançamentos de despesas'!$C:$C,B4824)</f>
        <v>314.99</v>
      </c>
      <c r="E4824" s="15">
        <f t="shared" si="1"/>
        <v>2026</v>
      </c>
      <c r="F4824" s="15">
        <f t="shared" si="2"/>
        <v>1</v>
      </c>
      <c r="G4824" s="15">
        <f t="shared" si="3"/>
        <v>9</v>
      </c>
    </row>
    <row r="4825">
      <c r="A4825" s="10" t="s">
        <v>37</v>
      </c>
      <c r="B4825" s="94">
        <f t="shared" si="5"/>
        <v>46031</v>
      </c>
      <c r="C4825" s="77" t="s">
        <v>1572</v>
      </c>
      <c r="D4825" s="13">
        <f>D4822+D4823-D4824</f>
        <v>55310.9</v>
      </c>
      <c r="E4825" s="15">
        <f t="shared" si="1"/>
        <v>2026</v>
      </c>
      <c r="F4825" s="15">
        <f t="shared" si="2"/>
        <v>1</v>
      </c>
      <c r="G4825" s="15">
        <f t="shared" si="3"/>
        <v>9</v>
      </c>
    </row>
    <row r="4826">
      <c r="A4826" s="10" t="s">
        <v>37</v>
      </c>
      <c r="B4826" s="94">
        <f t="shared" si="5"/>
        <v>46032</v>
      </c>
      <c r="C4826" s="77" t="s">
        <v>1569</v>
      </c>
      <c r="D4826" s="13">
        <f>D4825</f>
        <v>55310.9</v>
      </c>
      <c r="E4826" s="15">
        <f t="shared" si="1"/>
        <v>2026</v>
      </c>
      <c r="F4826" s="15">
        <f t="shared" si="2"/>
        <v>1</v>
      </c>
      <c r="G4826" s="15">
        <f t="shared" si="3"/>
        <v>10</v>
      </c>
    </row>
    <row r="4827">
      <c r="A4827" s="10" t="s">
        <v>37</v>
      </c>
      <c r="B4827" s="94">
        <f t="shared" si="5"/>
        <v>46032</v>
      </c>
      <c r="C4827" s="77" t="s">
        <v>1570</v>
      </c>
      <c r="D4827" s="13">
        <f>SUMIFS('Lançamentos de receitas'!$E:$E,'Lançamentos de receitas'!$F:$F,"PAGO",'Lançamentos de receitas'!$C:$C,A4827,'Lançamentos de receitas'!$A:$A,B4827)</f>
        <v>1555.13</v>
      </c>
      <c r="E4827" s="15">
        <f t="shared" si="1"/>
        <v>2026</v>
      </c>
      <c r="F4827" s="15">
        <f t="shared" si="2"/>
        <v>1</v>
      </c>
      <c r="G4827" s="15">
        <f t="shared" si="3"/>
        <v>10</v>
      </c>
    </row>
    <row r="4828">
      <c r="A4828" s="10" t="s">
        <v>37</v>
      </c>
      <c r="B4828" s="94">
        <f t="shared" si="5"/>
        <v>46032</v>
      </c>
      <c r="C4828" s="77" t="s">
        <v>1571</v>
      </c>
      <c r="D4828" s="13">
        <f>SUMIFS('Lançamentos de despesas'!$I:$I,'Lançamentos de despesas'!$G:$G,A4828,'Lançamentos de despesas'!$E:$E,"PAGO",'Lançamentos de despesas'!$C:$C,B4828)</f>
        <v>0</v>
      </c>
      <c r="E4828" s="15">
        <f t="shared" si="1"/>
        <v>2026</v>
      </c>
      <c r="F4828" s="15">
        <f t="shared" si="2"/>
        <v>1</v>
      </c>
      <c r="G4828" s="15">
        <f t="shared" si="3"/>
        <v>10</v>
      </c>
    </row>
    <row r="4829">
      <c r="A4829" s="10" t="s">
        <v>37</v>
      </c>
      <c r="B4829" s="94">
        <f t="shared" si="5"/>
        <v>46032</v>
      </c>
      <c r="C4829" s="77" t="s">
        <v>1572</v>
      </c>
      <c r="D4829" s="13">
        <f>D4826+D4827-D4828</f>
        <v>56866.03</v>
      </c>
      <c r="E4829" s="15">
        <f t="shared" si="1"/>
        <v>2026</v>
      </c>
      <c r="F4829" s="15">
        <f t="shared" si="2"/>
        <v>1</v>
      </c>
      <c r="G4829" s="15">
        <f t="shared" si="3"/>
        <v>10</v>
      </c>
    </row>
    <row r="4830">
      <c r="A4830" s="10" t="s">
        <v>37</v>
      </c>
      <c r="B4830" s="94">
        <f t="shared" si="5"/>
        <v>46033</v>
      </c>
      <c r="C4830" s="77" t="s">
        <v>1569</v>
      </c>
      <c r="D4830" s="13">
        <f>D4829</f>
        <v>56866.03</v>
      </c>
      <c r="E4830" s="15">
        <f t="shared" si="1"/>
        <v>2026</v>
      </c>
      <c r="F4830" s="15">
        <f t="shared" si="2"/>
        <v>1</v>
      </c>
      <c r="G4830" s="15">
        <f t="shared" si="3"/>
        <v>11</v>
      </c>
    </row>
    <row r="4831">
      <c r="A4831" s="10" t="s">
        <v>37</v>
      </c>
      <c r="B4831" s="94">
        <f t="shared" si="5"/>
        <v>46033</v>
      </c>
      <c r="C4831" s="77" t="s">
        <v>1570</v>
      </c>
      <c r="D4831" s="13">
        <f>SUMIFS('Lançamentos de receitas'!$E:$E,'Lançamentos de receitas'!$F:$F,"PAGO",'Lançamentos de receitas'!$C:$C,A4831,'Lançamentos de receitas'!$A:$A,B4831)</f>
        <v>2433.26</v>
      </c>
      <c r="E4831" s="15">
        <f t="shared" si="1"/>
        <v>2026</v>
      </c>
      <c r="F4831" s="15">
        <f t="shared" si="2"/>
        <v>1</v>
      </c>
      <c r="G4831" s="15">
        <f t="shared" si="3"/>
        <v>11</v>
      </c>
    </row>
    <row r="4832">
      <c r="A4832" s="10" t="s">
        <v>37</v>
      </c>
      <c r="B4832" s="94">
        <f t="shared" si="5"/>
        <v>46033</v>
      </c>
      <c r="C4832" s="77" t="s">
        <v>1571</v>
      </c>
      <c r="D4832" s="13">
        <f>SUMIFS('Lançamentos de despesas'!$I:$I,'Lançamentos de despesas'!$G:$G,A4832,'Lançamentos de despesas'!$E:$E,"PAGO",'Lançamentos de despesas'!$C:$C,B4832)</f>
        <v>0</v>
      </c>
      <c r="E4832" s="15">
        <f t="shared" si="1"/>
        <v>2026</v>
      </c>
      <c r="F4832" s="15">
        <f t="shared" si="2"/>
        <v>1</v>
      </c>
      <c r="G4832" s="15">
        <f t="shared" si="3"/>
        <v>11</v>
      </c>
    </row>
    <row r="4833">
      <c r="A4833" s="10" t="s">
        <v>37</v>
      </c>
      <c r="B4833" s="94">
        <f t="shared" si="5"/>
        <v>46033</v>
      </c>
      <c r="C4833" s="77" t="s">
        <v>1572</v>
      </c>
      <c r="D4833" s="13">
        <f>D4830+D4831-D4832</f>
        <v>59299.29</v>
      </c>
      <c r="E4833" s="15">
        <f t="shared" si="1"/>
        <v>2026</v>
      </c>
      <c r="F4833" s="15">
        <f t="shared" si="2"/>
        <v>1</v>
      </c>
      <c r="G4833" s="15">
        <f t="shared" si="3"/>
        <v>11</v>
      </c>
    </row>
    <row r="4834">
      <c r="A4834" s="10" t="s">
        <v>37</v>
      </c>
      <c r="B4834" s="94">
        <f t="shared" si="5"/>
        <v>46034</v>
      </c>
      <c r="C4834" s="77" t="s">
        <v>1569</v>
      </c>
      <c r="D4834" s="13">
        <f>D4833</f>
        <v>59299.29</v>
      </c>
      <c r="E4834" s="15">
        <f t="shared" si="1"/>
        <v>2026</v>
      </c>
      <c r="F4834" s="15">
        <f t="shared" si="2"/>
        <v>1</v>
      </c>
      <c r="G4834" s="15">
        <f t="shared" si="3"/>
        <v>12</v>
      </c>
    </row>
    <row r="4835">
      <c r="A4835" s="10" t="s">
        <v>37</v>
      </c>
      <c r="B4835" s="94">
        <f t="shared" si="5"/>
        <v>46034</v>
      </c>
      <c r="C4835" s="77" t="s">
        <v>1570</v>
      </c>
      <c r="D4835" s="13">
        <f>SUMIFS('Lançamentos de receitas'!$E:$E,'Lançamentos de receitas'!$F:$F,"PAGO",'Lançamentos de receitas'!$C:$C,A4835,'Lançamentos de receitas'!$A:$A,B4835)</f>
        <v>112.44</v>
      </c>
      <c r="E4835" s="15">
        <f t="shared" si="1"/>
        <v>2026</v>
      </c>
      <c r="F4835" s="15">
        <f t="shared" si="2"/>
        <v>1</v>
      </c>
      <c r="G4835" s="15">
        <f t="shared" si="3"/>
        <v>12</v>
      </c>
    </row>
    <row r="4836">
      <c r="A4836" s="10" t="s">
        <v>37</v>
      </c>
      <c r="B4836" s="94">
        <f t="shared" si="5"/>
        <v>46034</v>
      </c>
      <c r="C4836" s="77" t="s">
        <v>1571</v>
      </c>
      <c r="D4836" s="13">
        <f>SUMIFS('Lançamentos de despesas'!$I:$I,'Lançamentos de despesas'!$G:$G,A4836,'Lançamentos de despesas'!$E:$E,"PAGO",'Lançamentos de despesas'!$C:$C,B4836)</f>
        <v>3768.98</v>
      </c>
      <c r="E4836" s="15">
        <f t="shared" si="1"/>
        <v>2026</v>
      </c>
      <c r="F4836" s="15">
        <f t="shared" si="2"/>
        <v>1</v>
      </c>
      <c r="G4836" s="15">
        <f t="shared" si="3"/>
        <v>12</v>
      </c>
    </row>
    <row r="4837">
      <c r="A4837" s="10" t="s">
        <v>37</v>
      </c>
      <c r="B4837" s="94">
        <f t="shared" si="5"/>
        <v>46034</v>
      </c>
      <c r="C4837" s="77" t="s">
        <v>1572</v>
      </c>
      <c r="D4837" s="13">
        <f>D4834+D4835-D4836</f>
        <v>55642.75</v>
      </c>
      <c r="E4837" s="15">
        <f t="shared" si="1"/>
        <v>2026</v>
      </c>
      <c r="F4837" s="15">
        <f t="shared" si="2"/>
        <v>1</v>
      </c>
      <c r="G4837" s="15">
        <f t="shared" si="3"/>
        <v>12</v>
      </c>
    </row>
    <row r="4838">
      <c r="A4838" s="10" t="s">
        <v>37</v>
      </c>
      <c r="B4838" s="94">
        <f t="shared" si="5"/>
        <v>46035</v>
      </c>
      <c r="C4838" s="77" t="s">
        <v>1569</v>
      </c>
      <c r="D4838" s="13">
        <f>D4837</f>
        <v>55642.75</v>
      </c>
      <c r="E4838" s="15">
        <f t="shared" si="1"/>
        <v>2026</v>
      </c>
      <c r="F4838" s="15">
        <f t="shared" si="2"/>
        <v>1</v>
      </c>
      <c r="G4838" s="15">
        <f t="shared" si="3"/>
        <v>13</v>
      </c>
    </row>
    <row r="4839">
      <c r="A4839" s="10" t="s">
        <v>37</v>
      </c>
      <c r="B4839" s="94">
        <f t="shared" si="5"/>
        <v>46035</v>
      </c>
      <c r="C4839" s="77" t="s">
        <v>1570</v>
      </c>
      <c r="D4839" s="13">
        <f>SUMIFS('Lançamentos de receitas'!$E:$E,'Lançamentos de receitas'!$F:$F,"PAGO",'Lançamentos de receitas'!$C:$C,A4839,'Lançamentos de receitas'!$A:$A,B4839)</f>
        <v>1454.03</v>
      </c>
      <c r="E4839" s="15">
        <f t="shared" si="1"/>
        <v>2026</v>
      </c>
      <c r="F4839" s="15">
        <f t="shared" si="2"/>
        <v>1</v>
      </c>
      <c r="G4839" s="15">
        <f t="shared" si="3"/>
        <v>13</v>
      </c>
    </row>
    <row r="4840">
      <c r="A4840" s="10" t="s">
        <v>37</v>
      </c>
      <c r="B4840" s="94">
        <f t="shared" si="5"/>
        <v>46035</v>
      </c>
      <c r="C4840" s="77" t="s">
        <v>1571</v>
      </c>
      <c r="D4840" s="13">
        <f>SUMIFS('Lançamentos de despesas'!$I:$I,'Lançamentos de despesas'!$G:$G,A4840,'Lançamentos de despesas'!$E:$E,"PAGO",'Lançamentos de despesas'!$C:$C,B4840)</f>
        <v>4419.39</v>
      </c>
      <c r="E4840" s="15">
        <f t="shared" si="1"/>
        <v>2026</v>
      </c>
      <c r="F4840" s="15">
        <f t="shared" si="2"/>
        <v>1</v>
      </c>
      <c r="G4840" s="15">
        <f t="shared" si="3"/>
        <v>13</v>
      </c>
    </row>
    <row r="4841">
      <c r="A4841" s="10" t="s">
        <v>37</v>
      </c>
      <c r="B4841" s="94">
        <f t="shared" si="5"/>
        <v>46035</v>
      </c>
      <c r="C4841" s="77" t="s">
        <v>1572</v>
      </c>
      <c r="D4841" s="13">
        <f>D4838+D4839-D4840</f>
        <v>52677.39</v>
      </c>
      <c r="E4841" s="15">
        <f t="shared" si="1"/>
        <v>2026</v>
      </c>
      <c r="F4841" s="15">
        <f t="shared" si="2"/>
        <v>1</v>
      </c>
      <c r="G4841" s="15">
        <f t="shared" si="3"/>
        <v>13</v>
      </c>
    </row>
    <row r="4842">
      <c r="A4842" s="10" t="s">
        <v>37</v>
      </c>
      <c r="B4842" s="94">
        <f t="shared" si="5"/>
        <v>46036</v>
      </c>
      <c r="C4842" s="77" t="s">
        <v>1569</v>
      </c>
      <c r="D4842" s="13">
        <f>D4841</f>
        <v>52677.39</v>
      </c>
      <c r="E4842" s="15">
        <f t="shared" si="1"/>
        <v>2026</v>
      </c>
      <c r="F4842" s="15">
        <f t="shared" si="2"/>
        <v>1</v>
      </c>
      <c r="G4842" s="15">
        <f t="shared" si="3"/>
        <v>14</v>
      </c>
    </row>
    <row r="4843">
      <c r="A4843" s="10" t="s">
        <v>37</v>
      </c>
      <c r="B4843" s="94">
        <f t="shared" si="5"/>
        <v>46036</v>
      </c>
      <c r="C4843" s="77" t="s">
        <v>1570</v>
      </c>
      <c r="D4843" s="13">
        <f>SUMIFS('Lançamentos de receitas'!$E:$E,'Lançamentos de receitas'!$F:$F,"PAGO",'Lançamentos de receitas'!$C:$C,A4843,'Lançamentos de receitas'!$A:$A,B4843)</f>
        <v>1721.8</v>
      </c>
      <c r="E4843" s="15">
        <f t="shared" si="1"/>
        <v>2026</v>
      </c>
      <c r="F4843" s="15">
        <f t="shared" si="2"/>
        <v>1</v>
      </c>
      <c r="G4843" s="15">
        <f t="shared" si="3"/>
        <v>14</v>
      </c>
    </row>
    <row r="4844">
      <c r="A4844" s="10" t="s">
        <v>37</v>
      </c>
      <c r="B4844" s="94">
        <f t="shared" si="5"/>
        <v>46036</v>
      </c>
      <c r="C4844" s="77" t="s">
        <v>1571</v>
      </c>
      <c r="D4844" s="13">
        <f>SUMIFS('Lançamentos de despesas'!$I:$I,'Lançamentos de despesas'!$G:$G,A4844,'Lançamentos de despesas'!$E:$E,"PAGO",'Lançamentos de despesas'!$C:$C,B4844)</f>
        <v>220</v>
      </c>
      <c r="E4844" s="15">
        <f t="shared" si="1"/>
        <v>2026</v>
      </c>
      <c r="F4844" s="15">
        <f t="shared" si="2"/>
        <v>1</v>
      </c>
      <c r="G4844" s="15">
        <f t="shared" si="3"/>
        <v>14</v>
      </c>
    </row>
    <row r="4845">
      <c r="A4845" s="10" t="s">
        <v>37</v>
      </c>
      <c r="B4845" s="94">
        <f t="shared" si="5"/>
        <v>46036</v>
      </c>
      <c r="C4845" s="77" t="s">
        <v>1572</v>
      </c>
      <c r="D4845" s="13">
        <f>D4842+D4843-D4844</f>
        <v>54179.19</v>
      </c>
      <c r="E4845" s="15">
        <f t="shared" si="1"/>
        <v>2026</v>
      </c>
      <c r="F4845" s="15">
        <f t="shared" si="2"/>
        <v>1</v>
      </c>
      <c r="G4845" s="15">
        <f t="shared" si="3"/>
        <v>14</v>
      </c>
    </row>
    <row r="4846">
      <c r="A4846" s="10" t="s">
        <v>37</v>
      </c>
      <c r="B4846" s="94">
        <f t="shared" si="5"/>
        <v>46037</v>
      </c>
      <c r="C4846" s="77" t="s">
        <v>1569</v>
      </c>
      <c r="D4846" s="13">
        <f>D4845</f>
        <v>54179.19</v>
      </c>
      <c r="E4846" s="15">
        <f t="shared" si="1"/>
        <v>2026</v>
      </c>
      <c r="F4846" s="15">
        <f t="shared" si="2"/>
        <v>1</v>
      </c>
      <c r="G4846" s="15">
        <f t="shared" si="3"/>
        <v>15</v>
      </c>
    </row>
    <row r="4847">
      <c r="A4847" s="10" t="s">
        <v>37</v>
      </c>
      <c r="B4847" s="94">
        <f t="shared" si="5"/>
        <v>46037</v>
      </c>
      <c r="C4847" s="77" t="s">
        <v>1570</v>
      </c>
      <c r="D4847" s="13">
        <f>SUMIFS('Lançamentos de receitas'!$E:$E,'Lançamentos de receitas'!$F:$F,"PAGO",'Lançamentos de receitas'!$C:$C,A4847,'Lançamentos de receitas'!$A:$A,B4847)</f>
        <v>1705.51</v>
      </c>
      <c r="E4847" s="15">
        <f t="shared" si="1"/>
        <v>2026</v>
      </c>
      <c r="F4847" s="15">
        <f t="shared" si="2"/>
        <v>1</v>
      </c>
      <c r="G4847" s="15">
        <f t="shared" si="3"/>
        <v>15</v>
      </c>
    </row>
    <row r="4848">
      <c r="A4848" s="10" t="s">
        <v>37</v>
      </c>
      <c r="B4848" s="94">
        <f t="shared" si="5"/>
        <v>46037</v>
      </c>
      <c r="C4848" s="77" t="s">
        <v>1571</v>
      </c>
      <c r="D4848" s="13">
        <f>SUMIFS('Lançamentos de despesas'!$I:$I,'Lançamentos de despesas'!$G:$G,A4848,'Lançamentos de despesas'!$E:$E,"PAGO",'Lançamentos de despesas'!$C:$C,B4848)</f>
        <v>1770</v>
      </c>
      <c r="E4848" s="15">
        <f t="shared" si="1"/>
        <v>2026</v>
      </c>
      <c r="F4848" s="15">
        <f t="shared" si="2"/>
        <v>1</v>
      </c>
      <c r="G4848" s="15">
        <f t="shared" si="3"/>
        <v>15</v>
      </c>
    </row>
    <row r="4849">
      <c r="A4849" s="10" t="s">
        <v>37</v>
      </c>
      <c r="B4849" s="94">
        <f t="shared" si="5"/>
        <v>46037</v>
      </c>
      <c r="C4849" s="77" t="s">
        <v>1572</v>
      </c>
      <c r="D4849" s="13">
        <f>D4846+D4847-D4848</f>
        <v>54114.7</v>
      </c>
      <c r="E4849" s="15">
        <f t="shared" si="1"/>
        <v>2026</v>
      </c>
      <c r="F4849" s="15">
        <f t="shared" si="2"/>
        <v>1</v>
      </c>
      <c r="G4849" s="15">
        <f t="shared" si="3"/>
        <v>15</v>
      </c>
    </row>
    <row r="4850">
      <c r="A4850" s="10" t="s">
        <v>37</v>
      </c>
      <c r="B4850" s="94">
        <f t="shared" si="5"/>
        <v>46038</v>
      </c>
      <c r="C4850" s="77" t="s">
        <v>1569</v>
      </c>
      <c r="D4850" s="13">
        <f>D4849</f>
        <v>54114.7</v>
      </c>
      <c r="E4850" s="15">
        <f t="shared" si="1"/>
        <v>2026</v>
      </c>
      <c r="F4850" s="15">
        <f t="shared" si="2"/>
        <v>1</v>
      </c>
      <c r="G4850" s="15">
        <f t="shared" si="3"/>
        <v>16</v>
      </c>
    </row>
    <row r="4851">
      <c r="A4851" s="10" t="s">
        <v>37</v>
      </c>
      <c r="B4851" s="94">
        <f t="shared" si="5"/>
        <v>46038</v>
      </c>
      <c r="C4851" s="77" t="s">
        <v>1570</v>
      </c>
      <c r="D4851" s="13">
        <f>SUMIFS('Lançamentos de receitas'!$E:$E,'Lançamentos de receitas'!$F:$F,"PAGO",'Lançamentos de receitas'!$C:$C,A4851,'Lançamentos de receitas'!$A:$A,B4851)</f>
        <v>1590.02</v>
      </c>
      <c r="E4851" s="15">
        <f t="shared" si="1"/>
        <v>2026</v>
      </c>
      <c r="F4851" s="15">
        <f t="shared" si="2"/>
        <v>1</v>
      </c>
      <c r="G4851" s="15">
        <f t="shared" si="3"/>
        <v>16</v>
      </c>
    </row>
    <row r="4852">
      <c r="A4852" s="10" t="s">
        <v>37</v>
      </c>
      <c r="B4852" s="94">
        <f t="shared" si="5"/>
        <v>46038</v>
      </c>
      <c r="C4852" s="77" t="s">
        <v>1571</v>
      </c>
      <c r="D4852" s="13">
        <f>SUMIFS('Lançamentos de despesas'!$I:$I,'Lançamentos de despesas'!$G:$G,A4852,'Lançamentos de despesas'!$E:$E,"PAGO",'Lançamentos de despesas'!$C:$C,B4852)</f>
        <v>110</v>
      </c>
      <c r="E4852" s="15">
        <f t="shared" si="1"/>
        <v>2026</v>
      </c>
      <c r="F4852" s="15">
        <f t="shared" si="2"/>
        <v>1</v>
      </c>
      <c r="G4852" s="15">
        <f t="shared" si="3"/>
        <v>16</v>
      </c>
    </row>
    <row r="4853">
      <c r="A4853" s="10" t="s">
        <v>37</v>
      </c>
      <c r="B4853" s="94">
        <f t="shared" si="5"/>
        <v>46038</v>
      </c>
      <c r="C4853" s="77" t="s">
        <v>1572</v>
      </c>
      <c r="D4853" s="13">
        <f>D4850+D4851-D4852</f>
        <v>55594.72</v>
      </c>
      <c r="E4853" s="15">
        <f t="shared" si="1"/>
        <v>2026</v>
      </c>
      <c r="F4853" s="15">
        <f t="shared" si="2"/>
        <v>1</v>
      </c>
      <c r="G4853" s="15">
        <f t="shared" si="3"/>
        <v>16</v>
      </c>
    </row>
    <row r="4854">
      <c r="A4854" s="10" t="s">
        <v>37</v>
      </c>
      <c r="B4854" s="94">
        <f t="shared" si="5"/>
        <v>46039</v>
      </c>
      <c r="C4854" s="77" t="s">
        <v>1569</v>
      </c>
      <c r="D4854" s="13">
        <f>D4853</f>
        <v>55594.72</v>
      </c>
      <c r="E4854" s="15">
        <f t="shared" si="1"/>
        <v>2026</v>
      </c>
      <c r="F4854" s="15">
        <f t="shared" si="2"/>
        <v>1</v>
      </c>
      <c r="G4854" s="15">
        <f t="shared" si="3"/>
        <v>17</v>
      </c>
    </row>
    <row r="4855">
      <c r="A4855" s="10" t="s">
        <v>37</v>
      </c>
      <c r="B4855" s="94">
        <f t="shared" si="5"/>
        <v>46039</v>
      </c>
      <c r="C4855" s="77" t="s">
        <v>1570</v>
      </c>
      <c r="D4855" s="13">
        <f>SUMIFS('Lançamentos de receitas'!$E:$E,'Lançamentos de receitas'!$F:$F,"PAGO",'Lançamentos de receitas'!$C:$C,A4855,'Lançamentos de receitas'!$A:$A,B4855)</f>
        <v>2363.21</v>
      </c>
      <c r="E4855" s="15">
        <f t="shared" si="1"/>
        <v>2026</v>
      </c>
      <c r="F4855" s="15">
        <f t="shared" si="2"/>
        <v>1</v>
      </c>
      <c r="G4855" s="15">
        <f t="shared" si="3"/>
        <v>17</v>
      </c>
    </row>
    <row r="4856">
      <c r="A4856" s="10" t="s">
        <v>37</v>
      </c>
      <c r="B4856" s="94">
        <f t="shared" si="5"/>
        <v>46039</v>
      </c>
      <c r="C4856" s="77" t="s">
        <v>1571</v>
      </c>
      <c r="D4856" s="13">
        <f>SUMIFS('Lançamentos de despesas'!$I:$I,'Lançamentos de despesas'!$G:$G,A4856,'Lançamentos de despesas'!$E:$E,"PAGO",'Lançamentos de despesas'!$C:$C,B4856)</f>
        <v>0</v>
      </c>
      <c r="E4856" s="15">
        <f t="shared" si="1"/>
        <v>2026</v>
      </c>
      <c r="F4856" s="15">
        <f t="shared" si="2"/>
        <v>1</v>
      </c>
      <c r="G4856" s="15">
        <f t="shared" si="3"/>
        <v>17</v>
      </c>
    </row>
    <row r="4857">
      <c r="A4857" s="10" t="s">
        <v>37</v>
      </c>
      <c r="B4857" s="94">
        <f t="shared" si="5"/>
        <v>46039</v>
      </c>
      <c r="C4857" s="77" t="s">
        <v>1572</v>
      </c>
      <c r="D4857" s="13">
        <f>D4854+D4855-D4856</f>
        <v>57957.93</v>
      </c>
      <c r="E4857" s="15">
        <f t="shared" si="1"/>
        <v>2026</v>
      </c>
      <c r="F4857" s="15">
        <f t="shared" si="2"/>
        <v>1</v>
      </c>
      <c r="G4857" s="15">
        <f t="shared" si="3"/>
        <v>17</v>
      </c>
    </row>
    <row r="4858">
      <c r="A4858" s="10" t="s">
        <v>37</v>
      </c>
      <c r="B4858" s="94">
        <f t="shared" si="5"/>
        <v>46040</v>
      </c>
      <c r="C4858" s="77" t="s">
        <v>1569</v>
      </c>
      <c r="D4858" s="13">
        <f>D4857</f>
        <v>57957.93</v>
      </c>
      <c r="E4858" s="15">
        <f t="shared" si="1"/>
        <v>2026</v>
      </c>
      <c r="F4858" s="15">
        <f t="shared" si="2"/>
        <v>1</v>
      </c>
      <c r="G4858" s="15">
        <f t="shared" si="3"/>
        <v>18</v>
      </c>
    </row>
    <row r="4859">
      <c r="A4859" s="10" t="s">
        <v>37</v>
      </c>
      <c r="B4859" s="94">
        <f t="shared" si="5"/>
        <v>46040</v>
      </c>
      <c r="C4859" s="77" t="s">
        <v>1570</v>
      </c>
      <c r="D4859" s="13">
        <f>SUMIFS('Lançamentos de receitas'!$E:$E,'Lançamentos de receitas'!$F:$F,"PAGO",'Lançamentos de receitas'!$C:$C,A4859,'Lançamentos de receitas'!$A:$A,B4859)</f>
        <v>624.15</v>
      </c>
      <c r="E4859" s="15">
        <f t="shared" si="1"/>
        <v>2026</v>
      </c>
      <c r="F4859" s="15">
        <f t="shared" si="2"/>
        <v>1</v>
      </c>
      <c r="G4859" s="15">
        <f t="shared" si="3"/>
        <v>18</v>
      </c>
    </row>
    <row r="4860">
      <c r="A4860" s="10" t="s">
        <v>37</v>
      </c>
      <c r="B4860" s="94">
        <f t="shared" si="5"/>
        <v>46040</v>
      </c>
      <c r="C4860" s="77" t="s">
        <v>1571</v>
      </c>
      <c r="D4860" s="13">
        <f>SUMIFS('Lançamentos de despesas'!$I:$I,'Lançamentos de despesas'!$G:$G,A4860,'Lançamentos de despesas'!$E:$E,"PAGO",'Lançamentos de despesas'!$C:$C,B4860)</f>
        <v>0</v>
      </c>
      <c r="E4860" s="15">
        <f t="shared" si="1"/>
        <v>2026</v>
      </c>
      <c r="F4860" s="15">
        <f t="shared" si="2"/>
        <v>1</v>
      </c>
      <c r="G4860" s="15">
        <f t="shared" si="3"/>
        <v>18</v>
      </c>
    </row>
    <row r="4861">
      <c r="A4861" s="10" t="s">
        <v>37</v>
      </c>
      <c r="B4861" s="94">
        <f t="shared" si="5"/>
        <v>46040</v>
      </c>
      <c r="C4861" s="77" t="s">
        <v>1572</v>
      </c>
      <c r="D4861" s="13">
        <f>D4858+D4859-D4860</f>
        <v>58582.08</v>
      </c>
      <c r="E4861" s="15">
        <f t="shared" si="1"/>
        <v>2026</v>
      </c>
      <c r="F4861" s="15">
        <f t="shared" si="2"/>
        <v>1</v>
      </c>
      <c r="G4861" s="15">
        <f t="shared" si="3"/>
        <v>18</v>
      </c>
    </row>
    <row r="4862">
      <c r="A4862" s="10" t="s">
        <v>37</v>
      </c>
      <c r="B4862" s="94">
        <f t="shared" si="5"/>
        <v>46041</v>
      </c>
      <c r="C4862" s="77" t="s">
        <v>1569</v>
      </c>
      <c r="D4862" s="13">
        <f>D4861</f>
        <v>58582.08</v>
      </c>
      <c r="E4862" s="15">
        <f t="shared" si="1"/>
        <v>2026</v>
      </c>
      <c r="F4862" s="15">
        <f t="shared" si="2"/>
        <v>1</v>
      </c>
      <c r="G4862" s="15">
        <f t="shared" si="3"/>
        <v>19</v>
      </c>
    </row>
    <row r="4863">
      <c r="A4863" s="10" t="s">
        <v>37</v>
      </c>
      <c r="B4863" s="94">
        <f t="shared" si="5"/>
        <v>46041</v>
      </c>
      <c r="C4863" s="77" t="s">
        <v>1570</v>
      </c>
      <c r="D4863" s="13">
        <f>SUMIFS('Lançamentos de receitas'!$E:$E,'Lançamentos de receitas'!$F:$F,"PAGO",'Lançamentos de receitas'!$C:$C,A4863,'Lançamentos de receitas'!$A:$A,B4863)</f>
        <v>570.61</v>
      </c>
      <c r="E4863" s="15">
        <f t="shared" si="1"/>
        <v>2026</v>
      </c>
      <c r="F4863" s="15">
        <f t="shared" si="2"/>
        <v>1</v>
      </c>
      <c r="G4863" s="15">
        <f t="shared" si="3"/>
        <v>19</v>
      </c>
    </row>
    <row r="4864">
      <c r="A4864" s="10" t="s">
        <v>37</v>
      </c>
      <c r="B4864" s="94">
        <f t="shared" si="5"/>
        <v>46041</v>
      </c>
      <c r="C4864" s="77" t="s">
        <v>1571</v>
      </c>
      <c r="D4864" s="13">
        <f>SUMIFS('Lançamentos de despesas'!$I:$I,'Lançamentos de despesas'!$G:$G,A4864,'Lançamentos de despesas'!$E:$E,"PAGO",'Lançamentos de despesas'!$C:$C,B4864)</f>
        <v>12381.3</v>
      </c>
      <c r="E4864" s="15">
        <f t="shared" si="1"/>
        <v>2026</v>
      </c>
      <c r="F4864" s="15">
        <f t="shared" si="2"/>
        <v>1</v>
      </c>
      <c r="G4864" s="15">
        <f t="shared" si="3"/>
        <v>19</v>
      </c>
    </row>
    <row r="4865">
      <c r="A4865" s="10" t="s">
        <v>37</v>
      </c>
      <c r="B4865" s="94">
        <f t="shared" si="5"/>
        <v>46041</v>
      </c>
      <c r="C4865" s="77" t="s">
        <v>1572</v>
      </c>
      <c r="D4865" s="13">
        <f>D4862+D4863-D4864</f>
        <v>46771.39</v>
      </c>
      <c r="E4865" s="15">
        <f t="shared" si="1"/>
        <v>2026</v>
      </c>
      <c r="F4865" s="15">
        <f t="shared" si="2"/>
        <v>1</v>
      </c>
      <c r="G4865" s="15">
        <f t="shared" si="3"/>
        <v>19</v>
      </c>
    </row>
    <row r="4866">
      <c r="A4866" s="10" t="s">
        <v>37</v>
      </c>
      <c r="B4866" s="94">
        <f t="shared" si="5"/>
        <v>46042</v>
      </c>
      <c r="C4866" s="77" t="s">
        <v>1569</v>
      </c>
      <c r="D4866" s="13">
        <f>D4865</f>
        <v>46771.39</v>
      </c>
      <c r="E4866" s="15">
        <f t="shared" si="1"/>
        <v>2026</v>
      </c>
      <c r="F4866" s="15">
        <f t="shared" si="2"/>
        <v>1</v>
      </c>
      <c r="G4866" s="15">
        <f t="shared" si="3"/>
        <v>20</v>
      </c>
    </row>
    <row r="4867">
      <c r="A4867" s="10" t="s">
        <v>37</v>
      </c>
      <c r="B4867" s="94">
        <f t="shared" si="5"/>
        <v>46042</v>
      </c>
      <c r="C4867" s="77" t="s">
        <v>1570</v>
      </c>
      <c r="D4867" s="13">
        <f>SUMIFS('Lançamentos de receitas'!$E:$E,'Lançamentos de receitas'!$F:$F,"PAGO",'Lançamentos de receitas'!$C:$C,A4867,'Lançamentos de receitas'!$A:$A,B4867)</f>
        <v>1144.55</v>
      </c>
      <c r="E4867" s="15">
        <f t="shared" si="1"/>
        <v>2026</v>
      </c>
      <c r="F4867" s="15">
        <f t="shared" si="2"/>
        <v>1</v>
      </c>
      <c r="G4867" s="15">
        <f t="shared" si="3"/>
        <v>20</v>
      </c>
    </row>
    <row r="4868">
      <c r="A4868" s="10" t="s">
        <v>37</v>
      </c>
      <c r="B4868" s="94">
        <f t="shared" si="5"/>
        <v>46042</v>
      </c>
      <c r="C4868" s="77" t="s">
        <v>1571</v>
      </c>
      <c r="D4868" s="13">
        <f>SUMIFS('Lançamentos de despesas'!$I:$I,'Lançamentos de despesas'!$G:$G,A4868,'Lançamentos de despesas'!$E:$E,"PAGO",'Lançamentos de despesas'!$C:$C,B4868)</f>
        <v>8554.13</v>
      </c>
      <c r="E4868" s="15">
        <f t="shared" si="1"/>
        <v>2026</v>
      </c>
      <c r="F4868" s="15">
        <f t="shared" si="2"/>
        <v>1</v>
      </c>
      <c r="G4868" s="15">
        <f t="shared" si="3"/>
        <v>20</v>
      </c>
    </row>
    <row r="4869">
      <c r="A4869" s="10" t="s">
        <v>37</v>
      </c>
      <c r="B4869" s="94">
        <f t="shared" si="5"/>
        <v>46042</v>
      </c>
      <c r="C4869" s="77" t="s">
        <v>1572</v>
      </c>
      <c r="D4869" s="13">
        <f>D4866+D4867-D4868</f>
        <v>39361.81</v>
      </c>
      <c r="E4869" s="15">
        <f t="shared" si="1"/>
        <v>2026</v>
      </c>
      <c r="F4869" s="15">
        <f t="shared" si="2"/>
        <v>1</v>
      </c>
      <c r="G4869" s="15">
        <f t="shared" si="3"/>
        <v>20</v>
      </c>
    </row>
    <row r="4870">
      <c r="A4870" s="10" t="s">
        <v>37</v>
      </c>
      <c r="B4870" s="94">
        <f t="shared" si="5"/>
        <v>46043</v>
      </c>
      <c r="C4870" s="77" t="s">
        <v>1569</v>
      </c>
      <c r="D4870" s="13">
        <f>D4869</f>
        <v>39361.81</v>
      </c>
      <c r="E4870" s="15">
        <f t="shared" si="1"/>
        <v>2026</v>
      </c>
      <c r="F4870" s="15">
        <f t="shared" si="2"/>
        <v>1</v>
      </c>
      <c r="G4870" s="15">
        <f t="shared" si="3"/>
        <v>21</v>
      </c>
    </row>
    <row r="4871">
      <c r="A4871" s="10" t="s">
        <v>37</v>
      </c>
      <c r="B4871" s="94">
        <f t="shared" si="5"/>
        <v>46043</v>
      </c>
      <c r="C4871" s="77" t="s">
        <v>1570</v>
      </c>
      <c r="D4871" s="13">
        <f>SUMIFS('Lançamentos de receitas'!$E:$E,'Lançamentos de receitas'!$F:$F,"PAGO",'Lançamentos de receitas'!$C:$C,A4871,'Lançamentos de receitas'!$A:$A,B4871)</f>
        <v>1810.82</v>
      </c>
      <c r="E4871" s="15">
        <f t="shared" si="1"/>
        <v>2026</v>
      </c>
      <c r="F4871" s="15">
        <f t="shared" si="2"/>
        <v>1</v>
      </c>
      <c r="G4871" s="15">
        <f t="shared" si="3"/>
        <v>21</v>
      </c>
    </row>
    <row r="4872">
      <c r="A4872" s="10" t="s">
        <v>37</v>
      </c>
      <c r="B4872" s="94">
        <f t="shared" si="5"/>
        <v>46043</v>
      </c>
      <c r="C4872" s="77" t="s">
        <v>1571</v>
      </c>
      <c r="D4872" s="13">
        <f>SUMIFS('Lançamentos de despesas'!$I:$I,'Lançamentos de despesas'!$G:$G,A4872,'Lançamentos de despesas'!$E:$E,"PAGO",'Lançamentos de despesas'!$C:$C,B4872)</f>
        <v>0</v>
      </c>
      <c r="E4872" s="15">
        <f t="shared" si="1"/>
        <v>2026</v>
      </c>
      <c r="F4872" s="15">
        <f t="shared" si="2"/>
        <v>1</v>
      </c>
      <c r="G4872" s="15">
        <f t="shared" si="3"/>
        <v>21</v>
      </c>
    </row>
    <row r="4873">
      <c r="A4873" s="10" t="s">
        <v>37</v>
      </c>
      <c r="B4873" s="94">
        <f t="shared" si="5"/>
        <v>46043</v>
      </c>
      <c r="C4873" s="77" t="s">
        <v>1572</v>
      </c>
      <c r="D4873" s="13">
        <f>D4870+D4871-D4872</f>
        <v>41172.63</v>
      </c>
      <c r="E4873" s="15">
        <f t="shared" si="1"/>
        <v>2026</v>
      </c>
      <c r="F4873" s="15">
        <f t="shared" si="2"/>
        <v>1</v>
      </c>
      <c r="G4873" s="15">
        <f t="shared" si="3"/>
        <v>21</v>
      </c>
    </row>
    <row r="4874">
      <c r="A4874" s="10" t="s">
        <v>37</v>
      </c>
      <c r="B4874" s="94">
        <f t="shared" si="5"/>
        <v>46044</v>
      </c>
      <c r="C4874" s="77" t="s">
        <v>1569</v>
      </c>
      <c r="D4874" s="13">
        <f>D4873</f>
        <v>41172.63</v>
      </c>
      <c r="E4874" s="15">
        <f t="shared" si="1"/>
        <v>2026</v>
      </c>
      <c r="F4874" s="15">
        <f t="shared" si="2"/>
        <v>1</v>
      </c>
      <c r="G4874" s="15">
        <f t="shared" si="3"/>
        <v>22</v>
      </c>
    </row>
    <row r="4875">
      <c r="A4875" s="10" t="s">
        <v>37</v>
      </c>
      <c r="B4875" s="94">
        <f t="shared" si="5"/>
        <v>46044</v>
      </c>
      <c r="C4875" s="77" t="s">
        <v>1570</v>
      </c>
      <c r="D4875" s="13">
        <f>SUMIFS('Lançamentos de receitas'!$E:$E,'Lançamentos de receitas'!$F:$F,"PAGO",'Lançamentos de receitas'!$C:$C,A4875,'Lançamentos de receitas'!$A:$A,B4875)</f>
        <v>2750.4</v>
      </c>
      <c r="E4875" s="15">
        <f t="shared" si="1"/>
        <v>2026</v>
      </c>
      <c r="F4875" s="15">
        <f t="shared" si="2"/>
        <v>1</v>
      </c>
      <c r="G4875" s="15">
        <f t="shared" si="3"/>
        <v>22</v>
      </c>
    </row>
    <row r="4876">
      <c r="A4876" s="10" t="s">
        <v>37</v>
      </c>
      <c r="B4876" s="94">
        <f t="shared" si="5"/>
        <v>46044</v>
      </c>
      <c r="C4876" s="77" t="s">
        <v>1571</v>
      </c>
      <c r="D4876" s="13">
        <f>SUMIFS('Lançamentos de despesas'!$I:$I,'Lançamentos de despesas'!$G:$G,A4876,'Lançamentos de despesas'!$E:$E,"PAGO",'Lançamentos de despesas'!$C:$C,B4876)</f>
        <v>8145.67</v>
      </c>
      <c r="E4876" s="15">
        <f t="shared" si="1"/>
        <v>2026</v>
      </c>
      <c r="F4876" s="15">
        <f t="shared" si="2"/>
        <v>1</v>
      </c>
      <c r="G4876" s="15">
        <f t="shared" si="3"/>
        <v>22</v>
      </c>
    </row>
    <row r="4877">
      <c r="A4877" s="10" t="s">
        <v>37</v>
      </c>
      <c r="B4877" s="94">
        <f t="shared" si="5"/>
        <v>46044</v>
      </c>
      <c r="C4877" s="77" t="s">
        <v>1572</v>
      </c>
      <c r="D4877" s="13">
        <f>D4874+D4875-D4876</f>
        <v>35777.36</v>
      </c>
      <c r="E4877" s="15">
        <f t="shared" si="1"/>
        <v>2026</v>
      </c>
      <c r="F4877" s="15">
        <f t="shared" si="2"/>
        <v>1</v>
      </c>
      <c r="G4877" s="15">
        <f t="shared" si="3"/>
        <v>22</v>
      </c>
    </row>
    <row r="4878">
      <c r="A4878" s="10" t="s">
        <v>37</v>
      </c>
      <c r="B4878" s="94">
        <f t="shared" si="5"/>
        <v>46045</v>
      </c>
      <c r="C4878" s="77" t="s">
        <v>1569</v>
      </c>
      <c r="D4878" s="13">
        <f>D4877</f>
        <v>35777.36</v>
      </c>
      <c r="E4878" s="15">
        <f t="shared" si="1"/>
        <v>2026</v>
      </c>
      <c r="F4878" s="15">
        <f t="shared" si="2"/>
        <v>1</v>
      </c>
      <c r="G4878" s="15">
        <f t="shared" si="3"/>
        <v>23</v>
      </c>
    </row>
    <row r="4879">
      <c r="A4879" s="10" t="s">
        <v>37</v>
      </c>
      <c r="B4879" s="94">
        <f t="shared" si="5"/>
        <v>46045</v>
      </c>
      <c r="C4879" s="77" t="s">
        <v>1570</v>
      </c>
      <c r="D4879" s="13">
        <f>SUMIFS('Lançamentos de receitas'!$E:$E,'Lançamentos de receitas'!$F:$F,"PAGO",'Lançamentos de receitas'!$C:$C,A4879,'Lançamentos de receitas'!$A:$A,B4879)</f>
        <v>2269.2</v>
      </c>
      <c r="E4879" s="15">
        <f t="shared" si="1"/>
        <v>2026</v>
      </c>
      <c r="F4879" s="15">
        <f t="shared" si="2"/>
        <v>1</v>
      </c>
      <c r="G4879" s="15">
        <f t="shared" si="3"/>
        <v>23</v>
      </c>
    </row>
    <row r="4880">
      <c r="A4880" s="10" t="s">
        <v>37</v>
      </c>
      <c r="B4880" s="94">
        <f t="shared" si="5"/>
        <v>46045</v>
      </c>
      <c r="C4880" s="77" t="s">
        <v>1571</v>
      </c>
      <c r="D4880" s="13">
        <f>SUMIFS('Lançamentos de despesas'!$I:$I,'Lançamentos de despesas'!$G:$G,A4880,'Lançamentos de despesas'!$E:$E,"PAGO",'Lançamentos de despesas'!$C:$C,B4880)</f>
        <v>188</v>
      </c>
      <c r="E4880" s="15">
        <f t="shared" si="1"/>
        <v>2026</v>
      </c>
      <c r="F4880" s="15">
        <f t="shared" si="2"/>
        <v>1</v>
      </c>
      <c r="G4880" s="15">
        <f t="shared" si="3"/>
        <v>23</v>
      </c>
    </row>
    <row r="4881">
      <c r="A4881" s="10" t="s">
        <v>37</v>
      </c>
      <c r="B4881" s="94">
        <f t="shared" si="5"/>
        <v>46045</v>
      </c>
      <c r="C4881" s="77" t="s">
        <v>1572</v>
      </c>
      <c r="D4881" s="13">
        <f>D4878+D4879-D4880</f>
        <v>37858.56</v>
      </c>
      <c r="E4881" s="15">
        <f t="shared" si="1"/>
        <v>2026</v>
      </c>
      <c r="F4881" s="15">
        <f t="shared" si="2"/>
        <v>1</v>
      </c>
      <c r="G4881" s="15">
        <f t="shared" si="3"/>
        <v>23</v>
      </c>
    </row>
    <row r="4882">
      <c r="A4882" s="10" t="s">
        <v>37</v>
      </c>
      <c r="B4882" s="94">
        <f t="shared" si="5"/>
        <v>46046</v>
      </c>
      <c r="C4882" s="77" t="s">
        <v>1569</v>
      </c>
      <c r="D4882" s="13">
        <f>D4881</f>
        <v>37858.56</v>
      </c>
      <c r="E4882" s="15">
        <f t="shared" si="1"/>
        <v>2026</v>
      </c>
      <c r="F4882" s="15">
        <f t="shared" si="2"/>
        <v>1</v>
      </c>
      <c r="G4882" s="15">
        <f t="shared" si="3"/>
        <v>24</v>
      </c>
    </row>
    <row r="4883">
      <c r="A4883" s="10" t="s">
        <v>37</v>
      </c>
      <c r="B4883" s="94">
        <f t="shared" si="5"/>
        <v>46046</v>
      </c>
      <c r="C4883" s="77" t="s">
        <v>1570</v>
      </c>
      <c r="D4883" s="13">
        <f>SUMIFS('Lançamentos de receitas'!$E:$E,'Lançamentos de receitas'!$F:$F,"PAGO",'Lançamentos de receitas'!$C:$C,A4883,'Lançamentos de receitas'!$A:$A,B4883)</f>
        <v>2515.09</v>
      </c>
      <c r="E4883" s="15">
        <f t="shared" si="1"/>
        <v>2026</v>
      </c>
      <c r="F4883" s="15">
        <f t="shared" si="2"/>
        <v>1</v>
      </c>
      <c r="G4883" s="15">
        <f t="shared" si="3"/>
        <v>24</v>
      </c>
    </row>
    <row r="4884">
      <c r="A4884" s="10" t="s">
        <v>37</v>
      </c>
      <c r="B4884" s="94">
        <f t="shared" si="5"/>
        <v>46046</v>
      </c>
      <c r="C4884" s="77" t="s">
        <v>1571</v>
      </c>
      <c r="D4884" s="13">
        <f>SUMIFS('Lançamentos de despesas'!$I:$I,'Lançamentos de despesas'!$G:$G,A4884,'Lançamentos de despesas'!$E:$E,"PAGO",'Lançamentos de despesas'!$C:$C,B4884)</f>
        <v>0</v>
      </c>
      <c r="E4884" s="15">
        <f t="shared" si="1"/>
        <v>2026</v>
      </c>
      <c r="F4884" s="15">
        <f t="shared" si="2"/>
        <v>1</v>
      </c>
      <c r="G4884" s="15">
        <f t="shared" si="3"/>
        <v>24</v>
      </c>
    </row>
    <row r="4885">
      <c r="A4885" s="10" t="s">
        <v>37</v>
      </c>
      <c r="B4885" s="94">
        <f t="shared" si="5"/>
        <v>46046</v>
      </c>
      <c r="C4885" s="77" t="s">
        <v>1572</v>
      </c>
      <c r="D4885" s="13">
        <f>D4882+D4883-D4884</f>
        <v>40373.65</v>
      </c>
      <c r="E4885" s="15">
        <f t="shared" si="1"/>
        <v>2026</v>
      </c>
      <c r="F4885" s="15">
        <f t="shared" si="2"/>
        <v>1</v>
      </c>
      <c r="G4885" s="15">
        <f t="shared" si="3"/>
        <v>24</v>
      </c>
    </row>
    <row r="4886">
      <c r="A4886" s="10" t="s">
        <v>37</v>
      </c>
      <c r="B4886" s="94">
        <f t="shared" si="5"/>
        <v>46047</v>
      </c>
      <c r="C4886" s="77" t="s">
        <v>1569</v>
      </c>
      <c r="D4886" s="13">
        <f>D4885</f>
        <v>40373.65</v>
      </c>
      <c r="E4886" s="15">
        <f t="shared" si="1"/>
        <v>2026</v>
      </c>
      <c r="F4886" s="15">
        <f t="shared" si="2"/>
        <v>1</v>
      </c>
      <c r="G4886" s="15">
        <f t="shared" si="3"/>
        <v>25</v>
      </c>
    </row>
    <row r="4887">
      <c r="A4887" s="10" t="s">
        <v>37</v>
      </c>
      <c r="B4887" s="94">
        <f t="shared" si="5"/>
        <v>46047</v>
      </c>
      <c r="C4887" s="77" t="s">
        <v>1570</v>
      </c>
      <c r="D4887" s="13">
        <f>SUMIFS('Lançamentos de receitas'!$E:$E,'Lançamentos de receitas'!$F:$F,"PAGO",'Lançamentos de receitas'!$C:$C,A4887,'Lançamentos de receitas'!$A:$A,B4887)</f>
        <v>1691.97</v>
      </c>
      <c r="E4887" s="15">
        <f t="shared" si="1"/>
        <v>2026</v>
      </c>
      <c r="F4887" s="15">
        <f t="shared" si="2"/>
        <v>1</v>
      </c>
      <c r="G4887" s="15">
        <f t="shared" si="3"/>
        <v>25</v>
      </c>
    </row>
    <row r="4888">
      <c r="A4888" s="10" t="s">
        <v>37</v>
      </c>
      <c r="B4888" s="94">
        <f t="shared" si="5"/>
        <v>46047</v>
      </c>
      <c r="C4888" s="77" t="s">
        <v>1571</v>
      </c>
      <c r="D4888" s="13">
        <f>SUMIFS('Lançamentos de despesas'!$I:$I,'Lançamentos de despesas'!$G:$G,A4888,'Lançamentos de despesas'!$E:$E,"PAGO",'Lançamentos de despesas'!$C:$C,B4888)</f>
        <v>0</v>
      </c>
      <c r="E4888" s="15">
        <f t="shared" si="1"/>
        <v>2026</v>
      </c>
      <c r="F4888" s="15">
        <f t="shared" si="2"/>
        <v>1</v>
      </c>
      <c r="G4888" s="15">
        <f t="shared" si="3"/>
        <v>25</v>
      </c>
    </row>
    <row r="4889">
      <c r="A4889" s="10" t="s">
        <v>37</v>
      </c>
      <c r="B4889" s="94">
        <f t="shared" si="5"/>
        <v>46047</v>
      </c>
      <c r="C4889" s="77" t="s">
        <v>1572</v>
      </c>
      <c r="D4889" s="13">
        <f>D4886+D4887-D4888</f>
        <v>42065.62</v>
      </c>
      <c r="E4889" s="15">
        <f t="shared" si="1"/>
        <v>2026</v>
      </c>
      <c r="F4889" s="15">
        <f t="shared" si="2"/>
        <v>1</v>
      </c>
      <c r="G4889" s="15">
        <f t="shared" si="3"/>
        <v>25</v>
      </c>
    </row>
    <row r="4890">
      <c r="A4890" s="10" t="s">
        <v>37</v>
      </c>
      <c r="B4890" s="94">
        <f t="shared" si="5"/>
        <v>46048</v>
      </c>
      <c r="C4890" s="77" t="s">
        <v>1569</v>
      </c>
      <c r="D4890" s="13">
        <f>D4889</f>
        <v>42065.62</v>
      </c>
      <c r="E4890" s="15">
        <f t="shared" si="1"/>
        <v>2026</v>
      </c>
      <c r="F4890" s="15">
        <f t="shared" si="2"/>
        <v>1</v>
      </c>
      <c r="G4890" s="15">
        <f t="shared" si="3"/>
        <v>26</v>
      </c>
    </row>
    <row r="4891">
      <c r="A4891" s="10" t="s">
        <v>37</v>
      </c>
      <c r="B4891" s="94">
        <f t="shared" si="5"/>
        <v>46048</v>
      </c>
      <c r="C4891" s="77" t="s">
        <v>1570</v>
      </c>
      <c r="D4891" s="13">
        <f>SUMIFS('Lançamentos de receitas'!$E:$E,'Lançamentos de receitas'!$F:$F,"PAGO",'Lançamentos de receitas'!$C:$C,A4891,'Lançamentos de receitas'!$A:$A,B4891)</f>
        <v>873.24</v>
      </c>
      <c r="E4891" s="15">
        <f t="shared" si="1"/>
        <v>2026</v>
      </c>
      <c r="F4891" s="15">
        <f t="shared" si="2"/>
        <v>1</v>
      </c>
      <c r="G4891" s="15">
        <f t="shared" si="3"/>
        <v>26</v>
      </c>
    </row>
    <row r="4892">
      <c r="A4892" s="10" t="s">
        <v>37</v>
      </c>
      <c r="B4892" s="94">
        <f t="shared" si="5"/>
        <v>46048</v>
      </c>
      <c r="C4892" s="77" t="s">
        <v>1571</v>
      </c>
      <c r="D4892" s="13">
        <f>SUMIFS('Lançamentos de despesas'!$I:$I,'Lançamentos de despesas'!$G:$G,A4892,'Lançamentos de despesas'!$E:$E,"PAGO",'Lançamentos de despesas'!$C:$C,B4892)</f>
        <v>4504.96</v>
      </c>
      <c r="E4892" s="15">
        <f t="shared" si="1"/>
        <v>2026</v>
      </c>
      <c r="F4892" s="15">
        <f t="shared" si="2"/>
        <v>1</v>
      </c>
      <c r="G4892" s="15">
        <f t="shared" si="3"/>
        <v>26</v>
      </c>
    </row>
    <row r="4893">
      <c r="A4893" s="10" t="s">
        <v>37</v>
      </c>
      <c r="B4893" s="94">
        <f t="shared" si="5"/>
        <v>46048</v>
      </c>
      <c r="C4893" s="77" t="s">
        <v>1572</v>
      </c>
      <c r="D4893" s="13">
        <f>D4890+D4891-D4892</f>
        <v>38433.9</v>
      </c>
      <c r="E4893" s="15">
        <f t="shared" si="1"/>
        <v>2026</v>
      </c>
      <c r="F4893" s="15">
        <f t="shared" si="2"/>
        <v>1</v>
      </c>
      <c r="G4893" s="15">
        <f t="shared" si="3"/>
        <v>26</v>
      </c>
    </row>
    <row r="4894">
      <c r="A4894" s="10" t="s">
        <v>37</v>
      </c>
      <c r="B4894" s="94">
        <f t="shared" si="5"/>
        <v>46049</v>
      </c>
      <c r="C4894" s="77" t="s">
        <v>1569</v>
      </c>
      <c r="D4894" s="13">
        <f>D4893</f>
        <v>38433.9</v>
      </c>
      <c r="E4894" s="15">
        <f t="shared" si="1"/>
        <v>2026</v>
      </c>
      <c r="F4894" s="15">
        <f t="shared" si="2"/>
        <v>1</v>
      </c>
      <c r="G4894" s="15">
        <f t="shared" si="3"/>
        <v>27</v>
      </c>
    </row>
    <row r="4895">
      <c r="A4895" s="10" t="s">
        <v>37</v>
      </c>
      <c r="B4895" s="94">
        <f t="shared" si="5"/>
        <v>46049</v>
      </c>
      <c r="C4895" s="77" t="s">
        <v>1570</v>
      </c>
      <c r="D4895" s="13">
        <f>SUMIFS('Lançamentos de receitas'!$E:$E,'Lançamentos de receitas'!$F:$F,"PAGO",'Lançamentos de receitas'!$C:$C,A4895,'Lançamentos de receitas'!$A:$A,B4895)</f>
        <v>2891.78</v>
      </c>
      <c r="E4895" s="15">
        <f t="shared" si="1"/>
        <v>2026</v>
      </c>
      <c r="F4895" s="15">
        <f t="shared" si="2"/>
        <v>1</v>
      </c>
      <c r="G4895" s="15">
        <f t="shared" si="3"/>
        <v>27</v>
      </c>
    </row>
    <row r="4896">
      <c r="A4896" s="10" t="s">
        <v>37</v>
      </c>
      <c r="B4896" s="94">
        <f t="shared" si="5"/>
        <v>46049</v>
      </c>
      <c r="C4896" s="77" t="s">
        <v>1571</v>
      </c>
      <c r="D4896" s="13">
        <f>SUMIFS('Lançamentos de despesas'!$I:$I,'Lançamentos de despesas'!$G:$G,A4896,'Lançamentos de despesas'!$E:$E,"PAGO",'Lançamentos de despesas'!$C:$C,B4896)</f>
        <v>37700</v>
      </c>
      <c r="E4896" s="15">
        <f t="shared" si="1"/>
        <v>2026</v>
      </c>
      <c r="F4896" s="15">
        <f t="shared" si="2"/>
        <v>1</v>
      </c>
      <c r="G4896" s="15">
        <f t="shared" si="3"/>
        <v>27</v>
      </c>
    </row>
    <row r="4897">
      <c r="A4897" s="10" t="s">
        <v>37</v>
      </c>
      <c r="B4897" s="94">
        <f t="shared" si="5"/>
        <v>46049</v>
      </c>
      <c r="C4897" s="77" t="s">
        <v>1572</v>
      </c>
      <c r="D4897" s="13">
        <f>D4894+D4895-D4896</f>
        <v>3625.68</v>
      </c>
      <c r="E4897" s="15">
        <f t="shared" si="1"/>
        <v>2026</v>
      </c>
      <c r="F4897" s="15">
        <f t="shared" si="2"/>
        <v>1</v>
      </c>
      <c r="G4897" s="15">
        <f t="shared" si="3"/>
        <v>27</v>
      </c>
    </row>
    <row r="4898">
      <c r="A4898" s="10" t="s">
        <v>37</v>
      </c>
      <c r="B4898" s="94">
        <f t="shared" si="5"/>
        <v>46050</v>
      </c>
      <c r="C4898" s="77" t="s">
        <v>1569</v>
      </c>
      <c r="D4898" s="13">
        <f>D4897</f>
        <v>3625.68</v>
      </c>
      <c r="E4898" s="15">
        <f t="shared" si="1"/>
        <v>2026</v>
      </c>
      <c r="F4898" s="15">
        <f t="shared" si="2"/>
        <v>1</v>
      </c>
      <c r="G4898" s="15">
        <f t="shared" si="3"/>
        <v>28</v>
      </c>
    </row>
    <row r="4899">
      <c r="A4899" s="10" t="s">
        <v>37</v>
      </c>
      <c r="B4899" s="94">
        <f t="shared" si="5"/>
        <v>46050</v>
      </c>
      <c r="C4899" s="77" t="s">
        <v>1570</v>
      </c>
      <c r="D4899" s="13">
        <f>SUMIFS('Lançamentos de receitas'!$E:$E,'Lançamentos de receitas'!$F:$F,"PAGO",'Lançamentos de receitas'!$C:$C,A4899,'Lançamentos de receitas'!$A:$A,B4899)</f>
        <v>3201</v>
      </c>
      <c r="E4899" s="15">
        <f t="shared" si="1"/>
        <v>2026</v>
      </c>
      <c r="F4899" s="15">
        <f t="shared" si="2"/>
        <v>1</v>
      </c>
      <c r="G4899" s="15">
        <f t="shared" si="3"/>
        <v>28</v>
      </c>
    </row>
    <row r="4900">
      <c r="A4900" s="10" t="s">
        <v>37</v>
      </c>
      <c r="B4900" s="94">
        <f t="shared" si="5"/>
        <v>46050</v>
      </c>
      <c r="C4900" s="77" t="s">
        <v>1571</v>
      </c>
      <c r="D4900" s="13">
        <f>SUMIFS('Lançamentos de despesas'!$I:$I,'Lançamentos de despesas'!$G:$G,A4900,'Lançamentos de despesas'!$E:$E,"PAGO",'Lançamentos de despesas'!$C:$C,B4900)</f>
        <v>4105.5</v>
      </c>
      <c r="E4900" s="15">
        <f t="shared" si="1"/>
        <v>2026</v>
      </c>
      <c r="F4900" s="15">
        <f t="shared" si="2"/>
        <v>1</v>
      </c>
      <c r="G4900" s="15">
        <f t="shared" si="3"/>
        <v>28</v>
      </c>
    </row>
    <row r="4901">
      <c r="A4901" s="10" t="s">
        <v>37</v>
      </c>
      <c r="B4901" s="94">
        <f t="shared" si="5"/>
        <v>46050</v>
      </c>
      <c r="C4901" s="77" t="s">
        <v>1572</v>
      </c>
      <c r="D4901" s="13">
        <f>D4898+D4899-D4900</f>
        <v>2721.18</v>
      </c>
      <c r="E4901" s="15">
        <f t="shared" si="1"/>
        <v>2026</v>
      </c>
      <c r="F4901" s="15">
        <f t="shared" si="2"/>
        <v>1</v>
      </c>
      <c r="G4901" s="15">
        <f t="shared" si="3"/>
        <v>28</v>
      </c>
    </row>
    <row r="4902">
      <c r="A4902" s="10" t="s">
        <v>37</v>
      </c>
      <c r="B4902" s="94">
        <f t="shared" si="5"/>
        <v>46051</v>
      </c>
      <c r="C4902" s="77" t="s">
        <v>1569</v>
      </c>
      <c r="D4902" s="13">
        <f>D4901</f>
        <v>2721.18</v>
      </c>
      <c r="E4902" s="15">
        <f t="shared" si="1"/>
        <v>2026</v>
      </c>
      <c r="F4902" s="15">
        <f t="shared" si="2"/>
        <v>1</v>
      </c>
      <c r="G4902" s="15">
        <f t="shared" si="3"/>
        <v>29</v>
      </c>
    </row>
    <row r="4903">
      <c r="A4903" s="10" t="s">
        <v>37</v>
      </c>
      <c r="B4903" s="94">
        <f t="shared" si="5"/>
        <v>46051</v>
      </c>
      <c r="C4903" s="77" t="s">
        <v>1570</v>
      </c>
      <c r="D4903" s="13">
        <f>SUMIFS('Lançamentos de receitas'!$E:$E,'Lançamentos de receitas'!$F:$F,"PAGO",'Lançamentos de receitas'!$C:$C,A4903,'Lançamentos de receitas'!$A:$A,B4903)</f>
        <v>2938.48</v>
      </c>
      <c r="E4903" s="15">
        <f t="shared" si="1"/>
        <v>2026</v>
      </c>
      <c r="F4903" s="15">
        <f t="shared" si="2"/>
        <v>1</v>
      </c>
      <c r="G4903" s="15">
        <f t="shared" si="3"/>
        <v>29</v>
      </c>
    </row>
    <row r="4904">
      <c r="A4904" s="10" t="s">
        <v>37</v>
      </c>
      <c r="B4904" s="94">
        <f t="shared" si="5"/>
        <v>46051</v>
      </c>
      <c r="C4904" s="77" t="s">
        <v>1571</v>
      </c>
      <c r="D4904" s="13">
        <f>SUMIFS('Lançamentos de despesas'!$I:$I,'Lançamentos de despesas'!$G:$G,A4904,'Lançamentos de despesas'!$E:$E,"PAGO",'Lançamentos de despesas'!$C:$C,B4904)</f>
        <v>550</v>
      </c>
      <c r="E4904" s="15">
        <f t="shared" si="1"/>
        <v>2026</v>
      </c>
      <c r="F4904" s="15">
        <f t="shared" si="2"/>
        <v>1</v>
      </c>
      <c r="G4904" s="15">
        <f t="shared" si="3"/>
        <v>29</v>
      </c>
    </row>
    <row r="4905">
      <c r="A4905" s="10" t="s">
        <v>37</v>
      </c>
      <c r="B4905" s="94">
        <f t="shared" si="5"/>
        <v>46051</v>
      </c>
      <c r="C4905" s="77" t="s">
        <v>1572</v>
      </c>
      <c r="D4905" s="13">
        <f>D4902+D4903-D4904</f>
        <v>5109.66</v>
      </c>
      <c r="E4905" s="15">
        <f t="shared" si="1"/>
        <v>2026</v>
      </c>
      <c r="F4905" s="15">
        <f t="shared" si="2"/>
        <v>1</v>
      </c>
      <c r="G4905" s="15">
        <f t="shared" si="3"/>
        <v>29</v>
      </c>
    </row>
    <row r="4906">
      <c r="A4906" s="10" t="s">
        <v>37</v>
      </c>
      <c r="B4906" s="94">
        <f t="shared" si="5"/>
        <v>46052</v>
      </c>
      <c r="C4906" s="77" t="s">
        <v>1569</v>
      </c>
      <c r="D4906" s="13">
        <f>D4905</f>
        <v>5109.66</v>
      </c>
      <c r="E4906" s="15">
        <f t="shared" si="1"/>
        <v>2026</v>
      </c>
      <c r="F4906" s="15">
        <f t="shared" si="2"/>
        <v>1</v>
      </c>
      <c r="G4906" s="15">
        <f t="shared" si="3"/>
        <v>30</v>
      </c>
    </row>
    <row r="4907">
      <c r="A4907" s="10" t="s">
        <v>37</v>
      </c>
      <c r="B4907" s="94">
        <f t="shared" si="5"/>
        <v>46052</v>
      </c>
      <c r="C4907" s="77" t="s">
        <v>1570</v>
      </c>
      <c r="D4907" s="13">
        <f>SUMIFS('Lançamentos de receitas'!$E:$E,'Lançamentos de receitas'!$F:$F,"PAGO",'Lançamentos de receitas'!$C:$C,A4907,'Lançamentos de receitas'!$A:$A,B4907)</f>
        <v>3567.17</v>
      </c>
      <c r="E4907" s="15">
        <f t="shared" si="1"/>
        <v>2026</v>
      </c>
      <c r="F4907" s="15">
        <f t="shared" si="2"/>
        <v>1</v>
      </c>
      <c r="G4907" s="15">
        <f t="shared" si="3"/>
        <v>30</v>
      </c>
    </row>
    <row r="4908">
      <c r="A4908" s="10" t="s">
        <v>37</v>
      </c>
      <c r="B4908" s="94">
        <f t="shared" si="5"/>
        <v>46052</v>
      </c>
      <c r="C4908" s="77" t="s">
        <v>1571</v>
      </c>
      <c r="D4908" s="13">
        <f>SUMIFS('Lançamentos de despesas'!$I:$I,'Lançamentos de despesas'!$G:$G,A4908,'Lançamentos de despesas'!$E:$E,"PAGO",'Lançamentos de despesas'!$C:$C,B4908)</f>
        <v>2548.52</v>
      </c>
      <c r="E4908" s="15">
        <f t="shared" si="1"/>
        <v>2026</v>
      </c>
      <c r="F4908" s="15">
        <f t="shared" si="2"/>
        <v>1</v>
      </c>
      <c r="G4908" s="15">
        <f t="shared" si="3"/>
        <v>30</v>
      </c>
    </row>
    <row r="4909">
      <c r="A4909" s="10" t="s">
        <v>37</v>
      </c>
      <c r="B4909" s="94">
        <f t="shared" si="5"/>
        <v>46052</v>
      </c>
      <c r="C4909" s="77" t="s">
        <v>1572</v>
      </c>
      <c r="D4909" s="13">
        <f>D4906+D4907-D4908</f>
        <v>6128.31</v>
      </c>
      <c r="E4909" s="15">
        <f t="shared" si="1"/>
        <v>2026</v>
      </c>
      <c r="F4909" s="15">
        <f t="shared" si="2"/>
        <v>1</v>
      </c>
      <c r="G4909" s="15">
        <f t="shared" si="3"/>
        <v>30</v>
      </c>
    </row>
    <row r="4910">
      <c r="A4910" s="10" t="s">
        <v>37</v>
      </c>
      <c r="B4910" s="94">
        <f t="shared" si="5"/>
        <v>46053</v>
      </c>
      <c r="C4910" s="77" t="s">
        <v>1569</v>
      </c>
      <c r="D4910" s="13">
        <f>D4909</f>
        <v>6128.31</v>
      </c>
      <c r="E4910" s="15">
        <f t="shared" si="1"/>
        <v>2026</v>
      </c>
      <c r="F4910" s="15">
        <f t="shared" si="2"/>
        <v>1</v>
      </c>
      <c r="G4910" s="15">
        <f t="shared" si="3"/>
        <v>31</v>
      </c>
    </row>
    <row r="4911">
      <c r="A4911" s="10" t="s">
        <v>37</v>
      </c>
      <c r="B4911" s="94">
        <f t="shared" si="5"/>
        <v>46053</v>
      </c>
      <c r="C4911" s="77" t="s">
        <v>1570</v>
      </c>
      <c r="D4911" s="13">
        <f>SUMIFS('Lançamentos de receitas'!$E:$E,'Lançamentos de receitas'!$F:$F,"PAGO",'Lançamentos de receitas'!$C:$C,A4911,'Lançamentos de receitas'!$A:$A,B4911)</f>
        <v>3412.02</v>
      </c>
      <c r="E4911" s="15">
        <f t="shared" si="1"/>
        <v>2026</v>
      </c>
      <c r="F4911" s="15">
        <f t="shared" si="2"/>
        <v>1</v>
      </c>
      <c r="G4911" s="15">
        <f t="shared" si="3"/>
        <v>31</v>
      </c>
    </row>
    <row r="4912">
      <c r="A4912" s="10" t="s">
        <v>37</v>
      </c>
      <c r="B4912" s="94">
        <f t="shared" si="5"/>
        <v>46053</v>
      </c>
      <c r="C4912" s="77" t="s">
        <v>1571</v>
      </c>
      <c r="D4912" s="13">
        <f>SUMIFS('Lançamentos de despesas'!$I:$I,'Lançamentos de despesas'!$G:$G,A4912,'Lançamentos de despesas'!$E:$E,"PAGO",'Lançamentos de despesas'!$C:$C,B4912)</f>
        <v>150</v>
      </c>
      <c r="E4912" s="15">
        <f t="shared" si="1"/>
        <v>2026</v>
      </c>
      <c r="F4912" s="15">
        <f t="shared" si="2"/>
        <v>1</v>
      </c>
      <c r="G4912" s="15">
        <f t="shared" si="3"/>
        <v>31</v>
      </c>
    </row>
    <row r="4913">
      <c r="A4913" s="10" t="s">
        <v>37</v>
      </c>
      <c r="B4913" s="94">
        <f t="shared" si="5"/>
        <v>46053</v>
      </c>
      <c r="C4913" s="77" t="s">
        <v>1572</v>
      </c>
      <c r="D4913" s="13">
        <f>D4910+D4911-D4912</f>
        <v>9390.33</v>
      </c>
      <c r="E4913" s="15">
        <f t="shared" si="1"/>
        <v>2026</v>
      </c>
      <c r="F4913" s="15">
        <f t="shared" si="2"/>
        <v>1</v>
      </c>
      <c r="G4913" s="15">
        <f t="shared" si="3"/>
        <v>31</v>
      </c>
    </row>
    <row r="4914">
      <c r="A4914" s="10" t="s">
        <v>37</v>
      </c>
      <c r="B4914" s="94">
        <f t="shared" si="5"/>
        <v>46054</v>
      </c>
      <c r="C4914" s="77" t="s">
        <v>1569</v>
      </c>
      <c r="D4914" s="13">
        <f>D4913</f>
        <v>9390.33</v>
      </c>
      <c r="E4914" s="15">
        <f t="shared" si="1"/>
        <v>2026</v>
      </c>
      <c r="F4914" s="15">
        <f t="shared" si="2"/>
        <v>2</v>
      </c>
      <c r="G4914" s="15">
        <f t="shared" si="3"/>
        <v>1</v>
      </c>
    </row>
    <row r="4915">
      <c r="A4915" s="10" t="s">
        <v>37</v>
      </c>
      <c r="B4915" s="94">
        <f t="shared" si="5"/>
        <v>46054</v>
      </c>
      <c r="C4915" s="77" t="s">
        <v>1570</v>
      </c>
      <c r="D4915" s="13">
        <f>SUMIFS('Lançamentos de receitas'!$E:$E,'Lançamentos de receitas'!$F:$F,"PAGO",'Lançamentos de receitas'!$C:$C,A4915,'Lançamentos de receitas'!$A:$A,B4915)</f>
        <v>2038.7</v>
      </c>
      <c r="E4915" s="15">
        <f t="shared" si="1"/>
        <v>2026</v>
      </c>
      <c r="F4915" s="15">
        <f t="shared" si="2"/>
        <v>2</v>
      </c>
      <c r="G4915" s="15">
        <f t="shared" si="3"/>
        <v>1</v>
      </c>
    </row>
    <row r="4916">
      <c r="A4916" s="10" t="s">
        <v>37</v>
      </c>
      <c r="B4916" s="94">
        <f t="shared" si="5"/>
        <v>46054</v>
      </c>
      <c r="C4916" s="77" t="s">
        <v>1571</v>
      </c>
      <c r="D4916" s="13">
        <f>SUMIFS('Lançamentos de despesas'!$I:$I,'Lançamentos de despesas'!$G:$G,A4916,'Lançamentos de despesas'!$E:$E,"PAGO",'Lançamentos de despesas'!$C:$C,B4916)</f>
        <v>6175.8</v>
      </c>
      <c r="E4916" s="15">
        <f t="shared" si="1"/>
        <v>2026</v>
      </c>
      <c r="F4916" s="15">
        <f t="shared" si="2"/>
        <v>2</v>
      </c>
      <c r="G4916" s="15">
        <f t="shared" si="3"/>
        <v>1</v>
      </c>
    </row>
    <row r="4917">
      <c r="A4917" s="10" t="s">
        <v>37</v>
      </c>
      <c r="B4917" s="94">
        <f t="shared" si="5"/>
        <v>46054</v>
      </c>
      <c r="C4917" s="77" t="s">
        <v>1572</v>
      </c>
      <c r="D4917" s="13">
        <f>D4914+D4915-D4916</f>
        <v>5253.23</v>
      </c>
      <c r="E4917" s="15">
        <f t="shared" si="1"/>
        <v>2026</v>
      </c>
      <c r="F4917" s="15">
        <f t="shared" si="2"/>
        <v>2</v>
      </c>
      <c r="G4917" s="15">
        <f t="shared" si="3"/>
        <v>1</v>
      </c>
    </row>
    <row r="4918">
      <c r="A4918" s="10" t="s">
        <v>37</v>
      </c>
      <c r="B4918" s="94">
        <f t="shared" si="5"/>
        <v>46055</v>
      </c>
      <c r="C4918" s="77" t="s">
        <v>1569</v>
      </c>
      <c r="D4918" s="13">
        <f>D4917</f>
        <v>5253.23</v>
      </c>
      <c r="E4918" s="15">
        <f t="shared" si="1"/>
        <v>2026</v>
      </c>
      <c r="F4918" s="15">
        <f t="shared" si="2"/>
        <v>2</v>
      </c>
      <c r="G4918" s="15">
        <f t="shared" si="3"/>
        <v>2</v>
      </c>
    </row>
    <row r="4919">
      <c r="A4919" s="10" t="s">
        <v>37</v>
      </c>
      <c r="B4919" s="94">
        <f t="shared" si="5"/>
        <v>46055</v>
      </c>
      <c r="C4919" s="77" t="s">
        <v>1570</v>
      </c>
      <c r="D4919" s="13">
        <f>SUMIFS('Lançamentos de receitas'!$E:$E,'Lançamentos de receitas'!$F:$F,"PAGO",'Lançamentos de receitas'!$C:$C,A4919,'Lançamentos de receitas'!$A:$A,B4919)</f>
        <v>1083.78</v>
      </c>
      <c r="E4919" s="15">
        <f t="shared" si="1"/>
        <v>2026</v>
      </c>
      <c r="F4919" s="15">
        <f t="shared" si="2"/>
        <v>2</v>
      </c>
      <c r="G4919" s="15">
        <f t="shared" si="3"/>
        <v>2</v>
      </c>
    </row>
    <row r="4920">
      <c r="A4920" s="10" t="s">
        <v>37</v>
      </c>
      <c r="B4920" s="94">
        <f t="shared" si="5"/>
        <v>46055</v>
      </c>
      <c r="C4920" s="77" t="s">
        <v>1571</v>
      </c>
      <c r="D4920" s="13">
        <f>SUMIFS('Lançamentos de despesas'!$I:$I,'Lançamentos de despesas'!$G:$G,A4920,'Lançamentos de despesas'!$E:$E,"PAGO",'Lançamentos de despesas'!$C:$C,B4920)</f>
        <v>98.18</v>
      </c>
      <c r="E4920" s="15">
        <f t="shared" si="1"/>
        <v>2026</v>
      </c>
      <c r="F4920" s="15">
        <f t="shared" si="2"/>
        <v>2</v>
      </c>
      <c r="G4920" s="15">
        <f t="shared" si="3"/>
        <v>2</v>
      </c>
    </row>
    <row r="4921">
      <c r="A4921" s="10" t="s">
        <v>37</v>
      </c>
      <c r="B4921" s="94">
        <f t="shared" si="5"/>
        <v>46055</v>
      </c>
      <c r="C4921" s="77" t="s">
        <v>1572</v>
      </c>
      <c r="D4921" s="13">
        <f>D4918+D4919-D4920</f>
        <v>6238.83</v>
      </c>
      <c r="E4921" s="15">
        <f t="shared" si="1"/>
        <v>2026</v>
      </c>
      <c r="F4921" s="15">
        <f t="shared" si="2"/>
        <v>2</v>
      </c>
      <c r="G4921" s="15">
        <f t="shared" si="3"/>
        <v>2</v>
      </c>
    </row>
    <row r="4922">
      <c r="A4922" s="10" t="s">
        <v>37</v>
      </c>
      <c r="B4922" s="94">
        <f t="shared" si="5"/>
        <v>46056</v>
      </c>
      <c r="C4922" s="77" t="s">
        <v>1569</v>
      </c>
      <c r="D4922" s="13">
        <f>D4921</f>
        <v>6238.83</v>
      </c>
      <c r="E4922" s="15">
        <f t="shared" si="1"/>
        <v>2026</v>
      </c>
      <c r="F4922" s="15">
        <f t="shared" si="2"/>
        <v>2</v>
      </c>
      <c r="G4922" s="15">
        <f t="shared" si="3"/>
        <v>3</v>
      </c>
    </row>
    <row r="4923">
      <c r="A4923" s="10" t="s">
        <v>37</v>
      </c>
      <c r="B4923" s="94">
        <f t="shared" si="5"/>
        <v>46056</v>
      </c>
      <c r="C4923" s="77" t="s">
        <v>1570</v>
      </c>
      <c r="D4923" s="13">
        <f>SUMIFS('Lançamentos de receitas'!$E:$E,'Lançamentos de receitas'!$F:$F,"PAGO",'Lançamentos de receitas'!$C:$C,A4923,'Lançamentos de receitas'!$A:$A,B4923)</f>
        <v>3381.99</v>
      </c>
      <c r="E4923" s="15">
        <f t="shared" si="1"/>
        <v>2026</v>
      </c>
      <c r="F4923" s="15">
        <f t="shared" si="2"/>
        <v>2</v>
      </c>
      <c r="G4923" s="15">
        <f t="shared" si="3"/>
        <v>3</v>
      </c>
    </row>
    <row r="4924">
      <c r="A4924" s="10" t="s">
        <v>37</v>
      </c>
      <c r="B4924" s="94">
        <f t="shared" si="5"/>
        <v>46056</v>
      </c>
      <c r="C4924" s="77" t="s">
        <v>1571</v>
      </c>
      <c r="D4924" s="13">
        <f>SUMIFS('Lançamentos de despesas'!$I:$I,'Lançamentos de despesas'!$G:$G,A4924,'Lançamentos de despesas'!$E:$E,"PAGO",'Lançamentos de despesas'!$C:$C,B4924)</f>
        <v>0</v>
      </c>
      <c r="E4924" s="15">
        <f t="shared" si="1"/>
        <v>2026</v>
      </c>
      <c r="F4924" s="15">
        <f t="shared" si="2"/>
        <v>2</v>
      </c>
      <c r="G4924" s="15">
        <f t="shared" si="3"/>
        <v>3</v>
      </c>
    </row>
    <row r="4925">
      <c r="A4925" s="10" t="s">
        <v>37</v>
      </c>
      <c r="B4925" s="94">
        <f t="shared" si="5"/>
        <v>46056</v>
      </c>
      <c r="C4925" s="77" t="s">
        <v>1572</v>
      </c>
      <c r="D4925" s="13">
        <f>D4922+D4923-D4924</f>
        <v>9620.82</v>
      </c>
      <c r="E4925" s="15">
        <f t="shared" si="1"/>
        <v>2026</v>
      </c>
      <c r="F4925" s="15">
        <f t="shared" si="2"/>
        <v>2</v>
      </c>
      <c r="G4925" s="15">
        <f t="shared" si="3"/>
        <v>3</v>
      </c>
    </row>
    <row r="4926">
      <c r="A4926" s="10" t="s">
        <v>37</v>
      </c>
      <c r="B4926" s="94">
        <f t="shared" si="5"/>
        <v>46057</v>
      </c>
      <c r="C4926" s="77" t="s">
        <v>1569</v>
      </c>
      <c r="D4926" s="13">
        <f>D4925</f>
        <v>9620.82</v>
      </c>
      <c r="E4926" s="15">
        <f t="shared" si="1"/>
        <v>2026</v>
      </c>
      <c r="F4926" s="15">
        <f t="shared" si="2"/>
        <v>2</v>
      </c>
      <c r="G4926" s="15">
        <f t="shared" si="3"/>
        <v>4</v>
      </c>
    </row>
    <row r="4927">
      <c r="A4927" s="10" t="s">
        <v>37</v>
      </c>
      <c r="B4927" s="94">
        <f t="shared" si="5"/>
        <v>46057</v>
      </c>
      <c r="C4927" s="77" t="s">
        <v>1570</v>
      </c>
      <c r="D4927" s="13">
        <f>SUMIFS('Lançamentos de receitas'!$E:$E,'Lançamentos de receitas'!$F:$F,"PAGO",'Lançamentos de receitas'!$C:$C,A4927,'Lançamentos de receitas'!$A:$A,B4927)</f>
        <v>4839.98</v>
      </c>
      <c r="E4927" s="15">
        <f t="shared" si="1"/>
        <v>2026</v>
      </c>
      <c r="F4927" s="15">
        <f t="shared" si="2"/>
        <v>2</v>
      </c>
      <c r="G4927" s="15">
        <f t="shared" si="3"/>
        <v>4</v>
      </c>
    </row>
    <row r="4928">
      <c r="A4928" s="10" t="s">
        <v>37</v>
      </c>
      <c r="B4928" s="94">
        <f t="shared" si="5"/>
        <v>46057</v>
      </c>
      <c r="C4928" s="77" t="s">
        <v>1571</v>
      </c>
      <c r="D4928" s="13">
        <f>SUMIFS('Lançamentos de despesas'!$I:$I,'Lançamentos de despesas'!$G:$G,A4928,'Lançamentos de despesas'!$E:$E,"PAGO",'Lançamentos de despesas'!$C:$C,B4928)</f>
        <v>0</v>
      </c>
      <c r="E4928" s="15">
        <f t="shared" si="1"/>
        <v>2026</v>
      </c>
      <c r="F4928" s="15">
        <f t="shared" si="2"/>
        <v>2</v>
      </c>
      <c r="G4928" s="15">
        <f t="shared" si="3"/>
        <v>4</v>
      </c>
    </row>
    <row r="4929">
      <c r="A4929" s="10" t="s">
        <v>37</v>
      </c>
      <c r="B4929" s="94">
        <f t="shared" si="5"/>
        <v>46057</v>
      </c>
      <c r="C4929" s="77" t="s">
        <v>1572</v>
      </c>
      <c r="D4929" s="13">
        <f>D4926+D4927-D4928</f>
        <v>14460.8</v>
      </c>
      <c r="E4929" s="15">
        <f t="shared" si="1"/>
        <v>2026</v>
      </c>
      <c r="F4929" s="15">
        <f t="shared" si="2"/>
        <v>2</v>
      </c>
      <c r="G4929" s="15">
        <f t="shared" si="3"/>
        <v>4</v>
      </c>
    </row>
    <row r="4930">
      <c r="A4930" s="10" t="s">
        <v>37</v>
      </c>
      <c r="B4930" s="94">
        <f t="shared" si="5"/>
        <v>46058</v>
      </c>
      <c r="C4930" s="77" t="s">
        <v>1569</v>
      </c>
      <c r="D4930" s="13">
        <f>D4929</f>
        <v>14460.8</v>
      </c>
      <c r="E4930" s="15">
        <f t="shared" si="1"/>
        <v>2026</v>
      </c>
      <c r="F4930" s="15">
        <f t="shared" si="2"/>
        <v>2</v>
      </c>
      <c r="G4930" s="15">
        <f t="shared" si="3"/>
        <v>5</v>
      </c>
    </row>
    <row r="4931">
      <c r="A4931" s="10" t="s">
        <v>37</v>
      </c>
      <c r="B4931" s="94">
        <f t="shared" si="5"/>
        <v>46058</v>
      </c>
      <c r="C4931" s="77" t="s">
        <v>1570</v>
      </c>
      <c r="D4931" s="13">
        <f>SUMIFS('Lançamentos de receitas'!$E:$E,'Lançamentos de receitas'!$F:$F,"PAGO",'Lançamentos de receitas'!$C:$C,A4931,'Lançamentos de receitas'!$A:$A,B4931)</f>
        <v>5114.18</v>
      </c>
      <c r="E4931" s="15">
        <f t="shared" si="1"/>
        <v>2026</v>
      </c>
      <c r="F4931" s="15">
        <f t="shared" si="2"/>
        <v>2</v>
      </c>
      <c r="G4931" s="15">
        <f t="shared" si="3"/>
        <v>5</v>
      </c>
    </row>
    <row r="4932">
      <c r="A4932" s="10" t="s">
        <v>37</v>
      </c>
      <c r="B4932" s="94">
        <f t="shared" si="5"/>
        <v>46058</v>
      </c>
      <c r="C4932" s="77" t="s">
        <v>1571</v>
      </c>
      <c r="D4932" s="13">
        <f>SUMIFS('Lançamentos de despesas'!$I:$I,'Lançamentos de despesas'!$G:$G,A4932,'Lançamentos de despesas'!$E:$E,"PAGO",'Lançamentos de despesas'!$C:$C,B4932)</f>
        <v>0</v>
      </c>
      <c r="E4932" s="15">
        <f t="shared" si="1"/>
        <v>2026</v>
      </c>
      <c r="F4932" s="15">
        <f t="shared" si="2"/>
        <v>2</v>
      </c>
      <c r="G4932" s="15">
        <f t="shared" si="3"/>
        <v>5</v>
      </c>
    </row>
    <row r="4933">
      <c r="A4933" s="10" t="s">
        <v>37</v>
      </c>
      <c r="B4933" s="94">
        <f t="shared" si="5"/>
        <v>46058</v>
      </c>
      <c r="C4933" s="77" t="s">
        <v>1572</v>
      </c>
      <c r="D4933" s="13">
        <f>D4930+D4931-D4932</f>
        <v>19574.98</v>
      </c>
      <c r="E4933" s="15">
        <f t="shared" si="1"/>
        <v>2026</v>
      </c>
      <c r="F4933" s="15">
        <f t="shared" si="2"/>
        <v>2</v>
      </c>
      <c r="G4933" s="15">
        <f t="shared" si="3"/>
        <v>5</v>
      </c>
    </row>
    <row r="4934">
      <c r="A4934" s="10" t="s">
        <v>37</v>
      </c>
      <c r="B4934" s="94">
        <f t="shared" si="5"/>
        <v>46059</v>
      </c>
      <c r="C4934" s="77" t="s">
        <v>1569</v>
      </c>
      <c r="D4934" s="13">
        <f>D4933</f>
        <v>19574.98</v>
      </c>
      <c r="E4934" s="15">
        <f t="shared" si="1"/>
        <v>2026</v>
      </c>
      <c r="F4934" s="15">
        <f t="shared" si="2"/>
        <v>2</v>
      </c>
      <c r="G4934" s="15">
        <f t="shared" si="3"/>
        <v>6</v>
      </c>
    </row>
    <row r="4935">
      <c r="A4935" s="10" t="s">
        <v>37</v>
      </c>
      <c r="B4935" s="94">
        <f t="shared" si="5"/>
        <v>46059</v>
      </c>
      <c r="C4935" s="77" t="s">
        <v>1570</v>
      </c>
      <c r="D4935" s="13">
        <f>SUMIFS('Lançamentos de receitas'!$E:$E,'Lançamentos de receitas'!$F:$F,"PAGO",'Lançamentos de receitas'!$C:$C,A4935,'Lançamentos de receitas'!$A:$A,B4935)</f>
        <v>3060.07</v>
      </c>
      <c r="E4935" s="15">
        <f t="shared" si="1"/>
        <v>2026</v>
      </c>
      <c r="F4935" s="15">
        <f t="shared" si="2"/>
        <v>2</v>
      </c>
      <c r="G4935" s="15">
        <f t="shared" si="3"/>
        <v>6</v>
      </c>
    </row>
    <row r="4936">
      <c r="A4936" s="10" t="s">
        <v>37</v>
      </c>
      <c r="B4936" s="94">
        <f t="shared" si="5"/>
        <v>46059</v>
      </c>
      <c r="C4936" s="77" t="s">
        <v>1571</v>
      </c>
      <c r="D4936" s="13">
        <f>SUMIFS('Lançamentos de despesas'!$I:$I,'Lançamentos de despesas'!$G:$G,A4936,'Lançamentos de despesas'!$E:$E,"PAGO",'Lançamentos de despesas'!$C:$C,B4936)</f>
        <v>0</v>
      </c>
      <c r="E4936" s="15">
        <f t="shared" si="1"/>
        <v>2026</v>
      </c>
      <c r="F4936" s="15">
        <f t="shared" si="2"/>
        <v>2</v>
      </c>
      <c r="G4936" s="15">
        <f t="shared" si="3"/>
        <v>6</v>
      </c>
    </row>
    <row r="4937">
      <c r="A4937" s="10" t="s">
        <v>37</v>
      </c>
      <c r="B4937" s="94">
        <f t="shared" si="5"/>
        <v>46059</v>
      </c>
      <c r="C4937" s="77" t="s">
        <v>1572</v>
      </c>
      <c r="D4937" s="13">
        <f>D4934+D4935-D4936</f>
        <v>22635.05</v>
      </c>
      <c r="E4937" s="15">
        <f t="shared" si="1"/>
        <v>2026</v>
      </c>
      <c r="F4937" s="15">
        <f t="shared" si="2"/>
        <v>2</v>
      </c>
      <c r="G4937" s="15">
        <f t="shared" si="3"/>
        <v>6</v>
      </c>
    </row>
    <row r="4938">
      <c r="A4938" s="10" t="s">
        <v>37</v>
      </c>
      <c r="B4938" s="94">
        <f t="shared" si="5"/>
        <v>46060</v>
      </c>
      <c r="C4938" s="77" t="s">
        <v>1569</v>
      </c>
      <c r="D4938" s="13">
        <f>D4937</f>
        <v>22635.05</v>
      </c>
      <c r="E4938" s="15">
        <f t="shared" si="1"/>
        <v>2026</v>
      </c>
      <c r="F4938" s="15">
        <f t="shared" si="2"/>
        <v>2</v>
      </c>
      <c r="G4938" s="15">
        <f t="shared" si="3"/>
        <v>7</v>
      </c>
    </row>
    <row r="4939">
      <c r="A4939" s="10" t="s">
        <v>37</v>
      </c>
      <c r="B4939" s="94">
        <f t="shared" si="5"/>
        <v>46060</v>
      </c>
      <c r="C4939" s="77" t="s">
        <v>1570</v>
      </c>
      <c r="D4939" s="13">
        <f>SUMIFS('Lançamentos de receitas'!$E:$E,'Lançamentos de receitas'!$F:$F,"PAGO",'Lançamentos de receitas'!$C:$C,A4939,'Lançamentos de receitas'!$A:$A,B4939)</f>
        <v>3933.14</v>
      </c>
      <c r="E4939" s="15">
        <f t="shared" si="1"/>
        <v>2026</v>
      </c>
      <c r="F4939" s="15">
        <f t="shared" si="2"/>
        <v>2</v>
      </c>
      <c r="G4939" s="15">
        <f t="shared" si="3"/>
        <v>7</v>
      </c>
    </row>
    <row r="4940">
      <c r="A4940" s="10" t="s">
        <v>37</v>
      </c>
      <c r="B4940" s="94">
        <f t="shared" si="5"/>
        <v>46060</v>
      </c>
      <c r="C4940" s="77" t="s">
        <v>1571</v>
      </c>
      <c r="D4940" s="13">
        <f>SUMIFS('Lançamentos de despesas'!$I:$I,'Lançamentos de despesas'!$G:$G,A4940,'Lançamentos de despesas'!$E:$E,"PAGO",'Lançamentos de despesas'!$C:$C,B4940)</f>
        <v>0</v>
      </c>
      <c r="E4940" s="15">
        <f t="shared" si="1"/>
        <v>2026</v>
      </c>
      <c r="F4940" s="15">
        <f t="shared" si="2"/>
        <v>2</v>
      </c>
      <c r="G4940" s="15">
        <f t="shared" si="3"/>
        <v>7</v>
      </c>
    </row>
    <row r="4941">
      <c r="A4941" s="10" t="s">
        <v>37</v>
      </c>
      <c r="B4941" s="94">
        <f t="shared" si="5"/>
        <v>46060</v>
      </c>
      <c r="C4941" s="77" t="s">
        <v>1572</v>
      </c>
      <c r="D4941" s="13">
        <f>D4938+D4939-D4940</f>
        <v>26568.19</v>
      </c>
      <c r="E4941" s="15">
        <f t="shared" si="1"/>
        <v>2026</v>
      </c>
      <c r="F4941" s="15">
        <f t="shared" si="2"/>
        <v>2</v>
      </c>
      <c r="G4941" s="15">
        <f t="shared" si="3"/>
        <v>7</v>
      </c>
    </row>
    <row r="4942">
      <c r="A4942" s="10" t="s">
        <v>37</v>
      </c>
      <c r="B4942" s="94">
        <f t="shared" si="5"/>
        <v>46061</v>
      </c>
      <c r="C4942" s="77" t="s">
        <v>1569</v>
      </c>
      <c r="D4942" s="13">
        <f>D4941</f>
        <v>26568.19</v>
      </c>
      <c r="E4942" s="15">
        <f t="shared" si="1"/>
        <v>2026</v>
      </c>
      <c r="F4942" s="15">
        <f t="shared" si="2"/>
        <v>2</v>
      </c>
      <c r="G4942" s="15">
        <f t="shared" si="3"/>
        <v>8</v>
      </c>
    </row>
    <row r="4943">
      <c r="A4943" s="10" t="s">
        <v>37</v>
      </c>
      <c r="B4943" s="94">
        <f t="shared" si="5"/>
        <v>46061</v>
      </c>
      <c r="C4943" s="77" t="s">
        <v>1570</v>
      </c>
      <c r="D4943" s="13">
        <f>SUMIFS('Lançamentos de receitas'!$E:$E,'Lançamentos de receitas'!$F:$F,"PAGO",'Lançamentos de receitas'!$C:$C,A4943,'Lançamentos de receitas'!$A:$A,B4943)</f>
        <v>2927.75</v>
      </c>
      <c r="E4943" s="15">
        <f t="shared" si="1"/>
        <v>2026</v>
      </c>
      <c r="F4943" s="15">
        <f t="shared" si="2"/>
        <v>2</v>
      </c>
      <c r="G4943" s="15">
        <f t="shared" si="3"/>
        <v>8</v>
      </c>
    </row>
    <row r="4944">
      <c r="A4944" s="10" t="s">
        <v>37</v>
      </c>
      <c r="B4944" s="94">
        <f t="shared" si="5"/>
        <v>46061</v>
      </c>
      <c r="C4944" s="77" t="s">
        <v>1571</v>
      </c>
      <c r="D4944" s="13">
        <f>SUMIFS('Lançamentos de despesas'!$I:$I,'Lançamentos de despesas'!$G:$G,A4944,'Lançamentos de despesas'!$E:$E,"PAGO",'Lançamentos de despesas'!$C:$C,B4944)</f>
        <v>0</v>
      </c>
      <c r="E4944" s="15">
        <f t="shared" si="1"/>
        <v>2026</v>
      </c>
      <c r="F4944" s="15">
        <f t="shared" si="2"/>
        <v>2</v>
      </c>
      <c r="G4944" s="15">
        <f t="shared" si="3"/>
        <v>8</v>
      </c>
    </row>
    <row r="4945">
      <c r="A4945" s="10" t="s">
        <v>37</v>
      </c>
      <c r="B4945" s="94">
        <f t="shared" si="5"/>
        <v>46061</v>
      </c>
      <c r="C4945" s="77" t="s">
        <v>1572</v>
      </c>
      <c r="D4945" s="13">
        <f>D4942+D4943-D4944</f>
        <v>29495.94</v>
      </c>
      <c r="E4945" s="15">
        <f t="shared" si="1"/>
        <v>2026</v>
      </c>
      <c r="F4945" s="15">
        <f t="shared" si="2"/>
        <v>2</v>
      </c>
      <c r="G4945" s="15">
        <f t="shared" si="3"/>
        <v>8</v>
      </c>
    </row>
    <row r="4946">
      <c r="A4946" s="10" t="s">
        <v>37</v>
      </c>
      <c r="B4946" s="94">
        <f t="shared" si="5"/>
        <v>46062</v>
      </c>
      <c r="C4946" s="77" t="s">
        <v>1569</v>
      </c>
      <c r="D4946" s="13">
        <f>D4945</f>
        <v>29495.94</v>
      </c>
      <c r="E4946" s="15">
        <f t="shared" si="1"/>
        <v>2026</v>
      </c>
      <c r="F4946" s="15">
        <f t="shared" si="2"/>
        <v>2</v>
      </c>
      <c r="G4946" s="15">
        <f t="shared" si="3"/>
        <v>9</v>
      </c>
    </row>
    <row r="4947">
      <c r="A4947" s="10" t="s">
        <v>37</v>
      </c>
      <c r="B4947" s="94">
        <f t="shared" si="5"/>
        <v>46062</v>
      </c>
      <c r="C4947" s="77" t="s">
        <v>1570</v>
      </c>
      <c r="D4947" s="13">
        <f>SUMIFS('Lançamentos de receitas'!$E:$E,'Lançamentos de receitas'!$F:$F,"PAGO",'Lançamentos de receitas'!$C:$C,A4947,'Lançamentos de receitas'!$A:$A,B4947)</f>
        <v>6881.76</v>
      </c>
      <c r="E4947" s="15">
        <f t="shared" si="1"/>
        <v>2026</v>
      </c>
      <c r="F4947" s="15">
        <f t="shared" si="2"/>
        <v>2</v>
      </c>
      <c r="G4947" s="15">
        <f t="shared" si="3"/>
        <v>9</v>
      </c>
    </row>
    <row r="4948">
      <c r="A4948" s="10" t="s">
        <v>37</v>
      </c>
      <c r="B4948" s="94">
        <f t="shared" si="5"/>
        <v>46062</v>
      </c>
      <c r="C4948" s="77" t="s">
        <v>1571</v>
      </c>
      <c r="D4948" s="13">
        <f>SUMIFS('Lançamentos de despesas'!$I:$I,'Lançamentos de despesas'!$G:$G,A4948,'Lançamentos de despesas'!$E:$E,"PAGO",'Lançamentos de despesas'!$C:$C,B4948)</f>
        <v>870.91</v>
      </c>
      <c r="E4948" s="15">
        <f t="shared" si="1"/>
        <v>2026</v>
      </c>
      <c r="F4948" s="15">
        <f t="shared" si="2"/>
        <v>2</v>
      </c>
      <c r="G4948" s="15">
        <f t="shared" si="3"/>
        <v>9</v>
      </c>
    </row>
    <row r="4949">
      <c r="A4949" s="10" t="s">
        <v>37</v>
      </c>
      <c r="B4949" s="94">
        <f t="shared" si="5"/>
        <v>46062</v>
      </c>
      <c r="C4949" s="77" t="s">
        <v>1572</v>
      </c>
      <c r="D4949" s="13">
        <f>D4946+D4947-D4948</f>
        <v>35506.79</v>
      </c>
      <c r="E4949" s="15">
        <f t="shared" si="1"/>
        <v>2026</v>
      </c>
      <c r="F4949" s="15">
        <f t="shared" si="2"/>
        <v>2</v>
      </c>
      <c r="G4949" s="15">
        <f t="shared" si="3"/>
        <v>9</v>
      </c>
    </row>
    <row r="4950">
      <c r="A4950" s="10" t="s">
        <v>37</v>
      </c>
      <c r="B4950" s="94">
        <f t="shared" si="5"/>
        <v>46063</v>
      </c>
      <c r="C4950" s="77" t="s">
        <v>1569</v>
      </c>
      <c r="D4950" s="13">
        <f>D4949</f>
        <v>35506.79</v>
      </c>
      <c r="E4950" s="15">
        <f t="shared" si="1"/>
        <v>2026</v>
      </c>
      <c r="F4950" s="15">
        <f t="shared" si="2"/>
        <v>2</v>
      </c>
      <c r="G4950" s="15">
        <f t="shared" si="3"/>
        <v>10</v>
      </c>
    </row>
    <row r="4951">
      <c r="A4951" s="10" t="s">
        <v>37</v>
      </c>
      <c r="B4951" s="94">
        <f t="shared" si="5"/>
        <v>46063</v>
      </c>
      <c r="C4951" s="77" t="s">
        <v>1570</v>
      </c>
      <c r="D4951" s="13">
        <f>SUMIFS('Lançamentos de receitas'!$E:$E,'Lançamentos de receitas'!$F:$F,"PAGO",'Lançamentos de receitas'!$C:$C,A4951,'Lançamentos de receitas'!$A:$A,B4951)</f>
        <v>5780.99</v>
      </c>
      <c r="E4951" s="15">
        <f t="shared" si="1"/>
        <v>2026</v>
      </c>
      <c r="F4951" s="15">
        <f t="shared" si="2"/>
        <v>2</v>
      </c>
      <c r="G4951" s="15">
        <f t="shared" si="3"/>
        <v>10</v>
      </c>
    </row>
    <row r="4952">
      <c r="A4952" s="10" t="s">
        <v>37</v>
      </c>
      <c r="B4952" s="94">
        <f t="shared" si="5"/>
        <v>46063</v>
      </c>
      <c r="C4952" s="77" t="s">
        <v>1571</v>
      </c>
      <c r="D4952" s="13">
        <f>SUMIFS('Lançamentos de despesas'!$I:$I,'Lançamentos de despesas'!$G:$G,A4952,'Lançamentos de despesas'!$E:$E,"PAGO",'Lançamentos de despesas'!$C:$C,B4952)</f>
        <v>2852.38</v>
      </c>
      <c r="E4952" s="15">
        <f t="shared" si="1"/>
        <v>2026</v>
      </c>
      <c r="F4952" s="15">
        <f t="shared" si="2"/>
        <v>2</v>
      </c>
      <c r="G4952" s="15">
        <f t="shared" si="3"/>
        <v>10</v>
      </c>
    </row>
    <row r="4953">
      <c r="A4953" s="10" t="s">
        <v>37</v>
      </c>
      <c r="B4953" s="94">
        <f t="shared" si="5"/>
        <v>46063</v>
      </c>
      <c r="C4953" s="77" t="s">
        <v>1572</v>
      </c>
      <c r="D4953" s="13">
        <f>D4950+D4951-D4952</f>
        <v>38435.4</v>
      </c>
      <c r="E4953" s="15">
        <f t="shared" si="1"/>
        <v>2026</v>
      </c>
      <c r="F4953" s="15">
        <f t="shared" si="2"/>
        <v>2</v>
      </c>
      <c r="G4953" s="15">
        <f t="shared" si="3"/>
        <v>10</v>
      </c>
    </row>
    <row r="4954">
      <c r="A4954" s="10" t="s">
        <v>37</v>
      </c>
      <c r="B4954" s="94">
        <f t="shared" si="5"/>
        <v>46064</v>
      </c>
      <c r="C4954" s="77" t="s">
        <v>1569</v>
      </c>
      <c r="D4954" s="13">
        <f>D4953</f>
        <v>38435.4</v>
      </c>
      <c r="E4954" s="15">
        <f t="shared" si="1"/>
        <v>2026</v>
      </c>
      <c r="F4954" s="15">
        <f t="shared" si="2"/>
        <v>2</v>
      </c>
      <c r="G4954" s="15">
        <f t="shared" si="3"/>
        <v>11</v>
      </c>
    </row>
    <row r="4955">
      <c r="A4955" s="10" t="s">
        <v>37</v>
      </c>
      <c r="B4955" s="94">
        <f t="shared" si="5"/>
        <v>46064</v>
      </c>
      <c r="C4955" s="77" t="s">
        <v>1570</v>
      </c>
      <c r="D4955" s="13">
        <f>SUMIFS('Lançamentos de receitas'!$E:$E,'Lançamentos de receitas'!$F:$F,"PAGO",'Lançamentos de receitas'!$C:$C,A4955,'Lançamentos de receitas'!$A:$A,B4955)</f>
        <v>5820.54</v>
      </c>
      <c r="E4955" s="15">
        <f t="shared" si="1"/>
        <v>2026</v>
      </c>
      <c r="F4955" s="15">
        <f t="shared" si="2"/>
        <v>2</v>
      </c>
      <c r="G4955" s="15">
        <f t="shared" si="3"/>
        <v>11</v>
      </c>
    </row>
    <row r="4956">
      <c r="A4956" s="10" t="s">
        <v>37</v>
      </c>
      <c r="B4956" s="94">
        <f t="shared" si="5"/>
        <v>46064</v>
      </c>
      <c r="C4956" s="77" t="s">
        <v>1571</v>
      </c>
      <c r="D4956" s="13">
        <f>SUMIFS('Lançamentos de despesas'!$I:$I,'Lançamentos de despesas'!$G:$G,A4956,'Lançamentos de despesas'!$E:$E,"PAGO",'Lançamentos de despesas'!$C:$C,B4956)</f>
        <v>0</v>
      </c>
      <c r="E4956" s="15">
        <f t="shared" si="1"/>
        <v>2026</v>
      </c>
      <c r="F4956" s="15">
        <f t="shared" si="2"/>
        <v>2</v>
      </c>
      <c r="G4956" s="15">
        <f t="shared" si="3"/>
        <v>11</v>
      </c>
    </row>
    <row r="4957">
      <c r="A4957" s="10" t="s">
        <v>37</v>
      </c>
      <c r="B4957" s="94">
        <f t="shared" si="5"/>
        <v>46064</v>
      </c>
      <c r="C4957" s="77" t="s">
        <v>1572</v>
      </c>
      <c r="D4957" s="13">
        <f>D4954+D4955-D4956</f>
        <v>44255.94</v>
      </c>
      <c r="E4957" s="15">
        <f t="shared" si="1"/>
        <v>2026</v>
      </c>
      <c r="F4957" s="15">
        <f t="shared" si="2"/>
        <v>2</v>
      </c>
      <c r="G4957" s="15">
        <f t="shared" si="3"/>
        <v>11</v>
      </c>
    </row>
    <row r="4958">
      <c r="A4958" s="10" t="s">
        <v>37</v>
      </c>
      <c r="B4958" s="94">
        <f t="shared" si="5"/>
        <v>46065</v>
      </c>
      <c r="C4958" s="77" t="s">
        <v>1569</v>
      </c>
      <c r="D4958" s="13">
        <f>D4957</f>
        <v>44255.94</v>
      </c>
      <c r="E4958" s="15">
        <f t="shared" si="1"/>
        <v>2026</v>
      </c>
      <c r="F4958" s="15">
        <f t="shared" si="2"/>
        <v>2</v>
      </c>
      <c r="G4958" s="15">
        <f t="shared" si="3"/>
        <v>12</v>
      </c>
    </row>
    <row r="4959">
      <c r="A4959" s="10" t="s">
        <v>37</v>
      </c>
      <c r="B4959" s="94">
        <f t="shared" si="5"/>
        <v>46065</v>
      </c>
      <c r="C4959" s="77" t="s">
        <v>1570</v>
      </c>
      <c r="D4959" s="13">
        <f>SUMIFS('Lançamentos de receitas'!$E:$E,'Lançamentos de receitas'!$F:$F,"PAGO",'Lançamentos de receitas'!$C:$C,A4959,'Lançamentos de receitas'!$A:$A,B4959)</f>
        <v>0</v>
      </c>
      <c r="E4959" s="15">
        <f t="shared" si="1"/>
        <v>2026</v>
      </c>
      <c r="F4959" s="15">
        <f t="shared" si="2"/>
        <v>2</v>
      </c>
      <c r="G4959" s="15">
        <f t="shared" si="3"/>
        <v>12</v>
      </c>
    </row>
    <row r="4960">
      <c r="A4960" s="10" t="s">
        <v>37</v>
      </c>
      <c r="B4960" s="94">
        <f t="shared" si="5"/>
        <v>46065</v>
      </c>
      <c r="C4960" s="77" t="s">
        <v>1571</v>
      </c>
      <c r="D4960" s="13">
        <f>SUMIFS('Lançamentos de despesas'!$I:$I,'Lançamentos de despesas'!$G:$G,A4960,'Lançamentos de despesas'!$E:$E,"PAGO",'Lançamentos de despesas'!$C:$C,B4960)</f>
        <v>60</v>
      </c>
      <c r="E4960" s="15">
        <f t="shared" si="1"/>
        <v>2026</v>
      </c>
      <c r="F4960" s="15">
        <f t="shared" si="2"/>
        <v>2</v>
      </c>
      <c r="G4960" s="15">
        <f t="shared" si="3"/>
        <v>12</v>
      </c>
    </row>
    <row r="4961">
      <c r="A4961" s="10" t="s">
        <v>37</v>
      </c>
      <c r="B4961" s="94">
        <f t="shared" si="5"/>
        <v>46065</v>
      </c>
      <c r="C4961" s="77" t="s">
        <v>1572</v>
      </c>
      <c r="D4961" s="13">
        <f>D4958+D4959-D4960</f>
        <v>44195.94</v>
      </c>
      <c r="E4961" s="15">
        <f t="shared" si="1"/>
        <v>2026</v>
      </c>
      <c r="F4961" s="15">
        <f t="shared" si="2"/>
        <v>2</v>
      </c>
      <c r="G4961" s="15">
        <f t="shared" si="3"/>
        <v>12</v>
      </c>
    </row>
    <row r="4962">
      <c r="A4962" s="10" t="s">
        <v>37</v>
      </c>
      <c r="B4962" s="94">
        <f t="shared" si="5"/>
        <v>46066</v>
      </c>
      <c r="C4962" s="77" t="s">
        <v>1569</v>
      </c>
      <c r="D4962" s="13">
        <f>D4961</f>
        <v>44195.94</v>
      </c>
      <c r="E4962" s="15">
        <f t="shared" si="1"/>
        <v>2026</v>
      </c>
      <c r="F4962" s="15">
        <f t="shared" si="2"/>
        <v>2</v>
      </c>
      <c r="G4962" s="15">
        <f t="shared" si="3"/>
        <v>13</v>
      </c>
    </row>
    <row r="4963">
      <c r="A4963" s="10" t="s">
        <v>37</v>
      </c>
      <c r="B4963" s="94">
        <f t="shared" si="5"/>
        <v>46066</v>
      </c>
      <c r="C4963" s="77" t="s">
        <v>1570</v>
      </c>
      <c r="D4963" s="13">
        <f>SUMIFS('Lançamentos de receitas'!$E:$E,'Lançamentos de receitas'!$F:$F,"PAGO",'Lançamentos de receitas'!$C:$C,A4963,'Lançamentos de receitas'!$A:$A,B4963)</f>
        <v>0</v>
      </c>
      <c r="E4963" s="15">
        <f t="shared" si="1"/>
        <v>2026</v>
      </c>
      <c r="F4963" s="15">
        <f t="shared" si="2"/>
        <v>2</v>
      </c>
      <c r="G4963" s="15">
        <f t="shared" si="3"/>
        <v>13</v>
      </c>
    </row>
    <row r="4964">
      <c r="A4964" s="10" t="s">
        <v>37</v>
      </c>
      <c r="B4964" s="94">
        <f t="shared" si="5"/>
        <v>46066</v>
      </c>
      <c r="C4964" s="77" t="s">
        <v>1571</v>
      </c>
      <c r="D4964" s="13">
        <f>SUMIFS('Lançamentos de despesas'!$I:$I,'Lançamentos de despesas'!$G:$G,A4964,'Lançamentos de despesas'!$E:$E,"PAGO",'Lançamentos de despesas'!$C:$C,B4964)</f>
        <v>2390</v>
      </c>
      <c r="E4964" s="15">
        <f t="shared" si="1"/>
        <v>2026</v>
      </c>
      <c r="F4964" s="15">
        <f t="shared" si="2"/>
        <v>2</v>
      </c>
      <c r="G4964" s="15">
        <f t="shared" si="3"/>
        <v>13</v>
      </c>
    </row>
    <row r="4965">
      <c r="A4965" s="10" t="s">
        <v>37</v>
      </c>
      <c r="B4965" s="94">
        <f t="shared" si="5"/>
        <v>46066</v>
      </c>
      <c r="C4965" s="77" t="s">
        <v>1572</v>
      </c>
      <c r="D4965" s="13">
        <f>D4962+D4963-D4964</f>
        <v>41805.94</v>
      </c>
      <c r="E4965" s="15">
        <f t="shared" si="1"/>
        <v>2026</v>
      </c>
      <c r="F4965" s="15">
        <f t="shared" si="2"/>
        <v>2</v>
      </c>
      <c r="G4965" s="15">
        <f t="shared" si="3"/>
        <v>13</v>
      </c>
    </row>
    <row r="4966">
      <c r="A4966" s="10" t="s">
        <v>37</v>
      </c>
      <c r="B4966" s="94">
        <f t="shared" si="5"/>
        <v>46067</v>
      </c>
      <c r="C4966" s="77" t="s">
        <v>1569</v>
      </c>
      <c r="D4966" s="13">
        <f>D4965</f>
        <v>41805.94</v>
      </c>
      <c r="E4966" s="15">
        <f t="shared" si="1"/>
        <v>2026</v>
      </c>
      <c r="F4966" s="15">
        <f t="shared" si="2"/>
        <v>2</v>
      </c>
      <c r="G4966" s="15">
        <f t="shared" si="3"/>
        <v>14</v>
      </c>
    </row>
    <row r="4967">
      <c r="A4967" s="10" t="s">
        <v>37</v>
      </c>
      <c r="B4967" s="94">
        <f t="shared" si="5"/>
        <v>46067</v>
      </c>
      <c r="C4967" s="77" t="s">
        <v>1570</v>
      </c>
      <c r="D4967" s="13">
        <f>SUMIFS('Lançamentos de receitas'!$E:$E,'Lançamentos de receitas'!$F:$F,"PAGO",'Lançamentos de receitas'!$C:$C,A4967,'Lançamentos de receitas'!$A:$A,B4967)</f>
        <v>0</v>
      </c>
      <c r="E4967" s="15">
        <f t="shared" si="1"/>
        <v>2026</v>
      </c>
      <c r="F4967" s="15">
        <f t="shared" si="2"/>
        <v>2</v>
      </c>
      <c r="G4967" s="15">
        <f t="shared" si="3"/>
        <v>14</v>
      </c>
    </row>
    <row r="4968">
      <c r="A4968" s="10" t="s">
        <v>37</v>
      </c>
      <c r="B4968" s="94">
        <f t="shared" si="5"/>
        <v>46067</v>
      </c>
      <c r="C4968" s="77" t="s">
        <v>1571</v>
      </c>
      <c r="D4968" s="13">
        <f>SUMIFS('Lançamentos de despesas'!$I:$I,'Lançamentos de despesas'!$G:$G,A4968,'Lançamentos de despesas'!$E:$E,"PAGO",'Lançamentos de despesas'!$C:$C,B4968)</f>
        <v>0</v>
      </c>
      <c r="E4968" s="15">
        <f t="shared" si="1"/>
        <v>2026</v>
      </c>
      <c r="F4968" s="15">
        <f t="shared" si="2"/>
        <v>2</v>
      </c>
      <c r="G4968" s="15">
        <f t="shared" si="3"/>
        <v>14</v>
      </c>
    </row>
    <row r="4969">
      <c r="A4969" s="10" t="s">
        <v>37</v>
      </c>
      <c r="B4969" s="94">
        <f t="shared" si="5"/>
        <v>46067</v>
      </c>
      <c r="C4969" s="77" t="s">
        <v>1572</v>
      </c>
      <c r="D4969" s="13">
        <f>D4966+D4967-D4968</f>
        <v>41805.94</v>
      </c>
      <c r="E4969" s="15">
        <f t="shared" si="1"/>
        <v>2026</v>
      </c>
      <c r="F4969" s="15">
        <f t="shared" si="2"/>
        <v>2</v>
      </c>
      <c r="G4969" s="15">
        <f t="shared" si="3"/>
        <v>14</v>
      </c>
    </row>
    <row r="4970">
      <c r="A4970" s="10" t="s">
        <v>37</v>
      </c>
      <c r="B4970" s="94">
        <f t="shared" si="5"/>
        <v>46068</v>
      </c>
      <c r="C4970" s="77" t="s">
        <v>1569</v>
      </c>
      <c r="D4970" s="13">
        <f>D4969</f>
        <v>41805.94</v>
      </c>
      <c r="E4970" s="15">
        <f t="shared" si="1"/>
        <v>2026</v>
      </c>
      <c r="F4970" s="15">
        <f t="shared" si="2"/>
        <v>2</v>
      </c>
      <c r="G4970" s="15">
        <f t="shared" si="3"/>
        <v>15</v>
      </c>
    </row>
    <row r="4971">
      <c r="A4971" s="10" t="s">
        <v>37</v>
      </c>
      <c r="B4971" s="94">
        <f t="shared" si="5"/>
        <v>46068</v>
      </c>
      <c r="C4971" s="77" t="s">
        <v>1570</v>
      </c>
      <c r="D4971" s="13">
        <f>SUMIFS('Lançamentos de receitas'!$E:$E,'Lançamentos de receitas'!$F:$F,"PAGO",'Lançamentos de receitas'!$C:$C,A4971,'Lançamentos de receitas'!$A:$A,B4971)</f>
        <v>5799.28</v>
      </c>
      <c r="E4971" s="15">
        <f t="shared" si="1"/>
        <v>2026</v>
      </c>
      <c r="F4971" s="15">
        <f t="shared" si="2"/>
        <v>2</v>
      </c>
      <c r="G4971" s="15">
        <f t="shared" si="3"/>
        <v>15</v>
      </c>
    </row>
    <row r="4972">
      <c r="A4972" s="10" t="s">
        <v>37</v>
      </c>
      <c r="B4972" s="94">
        <f t="shared" si="5"/>
        <v>46068</v>
      </c>
      <c r="C4972" s="77" t="s">
        <v>1571</v>
      </c>
      <c r="D4972" s="13">
        <f>SUMIFS('Lançamentos de despesas'!$I:$I,'Lançamentos de despesas'!$G:$G,A4972,'Lançamentos de despesas'!$E:$E,"PAGO",'Lançamentos de despesas'!$C:$C,B4972)</f>
        <v>0</v>
      </c>
      <c r="E4972" s="15">
        <f t="shared" si="1"/>
        <v>2026</v>
      </c>
      <c r="F4972" s="15">
        <f t="shared" si="2"/>
        <v>2</v>
      </c>
      <c r="G4972" s="15">
        <f t="shared" si="3"/>
        <v>15</v>
      </c>
    </row>
    <row r="4973">
      <c r="A4973" s="10" t="s">
        <v>37</v>
      </c>
      <c r="B4973" s="94">
        <f t="shared" si="5"/>
        <v>46068</v>
      </c>
      <c r="C4973" s="77" t="s">
        <v>1572</v>
      </c>
      <c r="D4973" s="13">
        <f>D4970+D4971-D4972</f>
        <v>47605.22</v>
      </c>
      <c r="E4973" s="15">
        <f t="shared" si="1"/>
        <v>2026</v>
      </c>
      <c r="F4973" s="15">
        <f t="shared" si="2"/>
        <v>2</v>
      </c>
      <c r="G4973" s="15">
        <f t="shared" si="3"/>
        <v>15</v>
      </c>
    </row>
    <row r="4974">
      <c r="A4974" s="10" t="s">
        <v>37</v>
      </c>
      <c r="B4974" s="94">
        <f t="shared" si="5"/>
        <v>46069</v>
      </c>
      <c r="C4974" s="77" t="s">
        <v>1569</v>
      </c>
      <c r="D4974" s="13">
        <f>D4973</f>
        <v>47605.22</v>
      </c>
      <c r="E4974" s="15">
        <f t="shared" si="1"/>
        <v>2026</v>
      </c>
      <c r="F4974" s="15">
        <f t="shared" si="2"/>
        <v>2</v>
      </c>
      <c r="G4974" s="15">
        <f t="shared" si="3"/>
        <v>16</v>
      </c>
    </row>
    <row r="4975">
      <c r="A4975" s="10" t="s">
        <v>37</v>
      </c>
      <c r="B4975" s="94">
        <f t="shared" si="5"/>
        <v>46069</v>
      </c>
      <c r="C4975" s="77" t="s">
        <v>1570</v>
      </c>
      <c r="D4975" s="13">
        <f>SUMIFS('Lançamentos de receitas'!$E:$E,'Lançamentos de receitas'!$F:$F,"PAGO",'Lançamentos de receitas'!$C:$C,A4975,'Lançamentos de receitas'!$A:$A,B4975)</f>
        <v>434.58</v>
      </c>
      <c r="E4975" s="15">
        <f t="shared" si="1"/>
        <v>2026</v>
      </c>
      <c r="F4975" s="15">
        <f t="shared" si="2"/>
        <v>2</v>
      </c>
      <c r="G4975" s="15">
        <f t="shared" si="3"/>
        <v>16</v>
      </c>
    </row>
    <row r="4976">
      <c r="A4976" s="10" t="s">
        <v>37</v>
      </c>
      <c r="B4976" s="94">
        <f t="shared" si="5"/>
        <v>46069</v>
      </c>
      <c r="C4976" s="77" t="s">
        <v>1571</v>
      </c>
      <c r="D4976" s="13">
        <f>SUMIFS('Lançamentos de despesas'!$I:$I,'Lançamentos de despesas'!$G:$G,A4976,'Lançamentos de despesas'!$E:$E,"PAGO",'Lançamentos de despesas'!$C:$C,B4976)</f>
        <v>6183.26</v>
      </c>
      <c r="E4976" s="15">
        <f t="shared" si="1"/>
        <v>2026</v>
      </c>
      <c r="F4976" s="15">
        <f t="shared" si="2"/>
        <v>2</v>
      </c>
      <c r="G4976" s="15">
        <f t="shared" si="3"/>
        <v>16</v>
      </c>
    </row>
    <row r="4977">
      <c r="A4977" s="10" t="s">
        <v>37</v>
      </c>
      <c r="B4977" s="94">
        <f t="shared" si="5"/>
        <v>46069</v>
      </c>
      <c r="C4977" s="77" t="s">
        <v>1572</v>
      </c>
      <c r="D4977" s="13">
        <f>D4974+D4975-D4976</f>
        <v>41856.54</v>
      </c>
      <c r="E4977" s="15">
        <f t="shared" si="1"/>
        <v>2026</v>
      </c>
      <c r="F4977" s="15">
        <f t="shared" si="2"/>
        <v>2</v>
      </c>
      <c r="G4977" s="15">
        <f t="shared" si="3"/>
        <v>16</v>
      </c>
    </row>
    <row r="4978">
      <c r="A4978" s="10" t="s">
        <v>37</v>
      </c>
      <c r="B4978" s="94">
        <f t="shared" si="5"/>
        <v>46070</v>
      </c>
      <c r="C4978" s="77" t="s">
        <v>1569</v>
      </c>
      <c r="D4978" s="13">
        <f>D4977</f>
        <v>41856.54</v>
      </c>
      <c r="E4978" s="15">
        <f t="shared" si="1"/>
        <v>2026</v>
      </c>
      <c r="F4978" s="15">
        <f t="shared" si="2"/>
        <v>2</v>
      </c>
      <c r="G4978" s="15">
        <f t="shared" si="3"/>
        <v>17</v>
      </c>
    </row>
    <row r="4979">
      <c r="A4979" s="10" t="s">
        <v>37</v>
      </c>
      <c r="B4979" s="94">
        <f t="shared" si="5"/>
        <v>46070</v>
      </c>
      <c r="C4979" s="77" t="s">
        <v>1570</v>
      </c>
      <c r="D4979" s="13">
        <f>SUMIFS('Lançamentos de receitas'!$E:$E,'Lançamentos de receitas'!$F:$F,"PAGO",'Lançamentos de receitas'!$C:$C,A4979,'Lançamentos de receitas'!$A:$A,B4979)</f>
        <v>3690.26</v>
      </c>
      <c r="E4979" s="15">
        <f t="shared" si="1"/>
        <v>2026</v>
      </c>
      <c r="F4979" s="15">
        <f t="shared" si="2"/>
        <v>2</v>
      </c>
      <c r="G4979" s="15">
        <f t="shared" si="3"/>
        <v>17</v>
      </c>
    </row>
    <row r="4980">
      <c r="A4980" s="10" t="s">
        <v>37</v>
      </c>
      <c r="B4980" s="94">
        <f t="shared" si="5"/>
        <v>46070</v>
      </c>
      <c r="C4980" s="77" t="s">
        <v>1571</v>
      </c>
      <c r="D4980" s="13">
        <f>SUMIFS('Lançamentos de despesas'!$I:$I,'Lançamentos de despesas'!$G:$G,A4980,'Lançamentos de despesas'!$E:$E,"PAGO",'Lançamentos de despesas'!$C:$C,B4980)</f>
        <v>0</v>
      </c>
      <c r="E4980" s="15">
        <f t="shared" si="1"/>
        <v>2026</v>
      </c>
      <c r="F4980" s="15">
        <f t="shared" si="2"/>
        <v>2</v>
      </c>
      <c r="G4980" s="15">
        <f t="shared" si="3"/>
        <v>17</v>
      </c>
    </row>
    <row r="4981">
      <c r="A4981" s="10" t="s">
        <v>37</v>
      </c>
      <c r="B4981" s="94">
        <f t="shared" si="5"/>
        <v>46070</v>
      </c>
      <c r="C4981" s="77" t="s">
        <v>1572</v>
      </c>
      <c r="D4981" s="13">
        <f>D4978+D4979-D4980</f>
        <v>45546.8</v>
      </c>
      <c r="E4981" s="15">
        <f t="shared" si="1"/>
        <v>2026</v>
      </c>
      <c r="F4981" s="15">
        <f t="shared" si="2"/>
        <v>2</v>
      </c>
      <c r="G4981" s="15">
        <f t="shared" si="3"/>
        <v>17</v>
      </c>
    </row>
    <row r="4982">
      <c r="A4982" s="10" t="s">
        <v>37</v>
      </c>
      <c r="B4982" s="94">
        <f t="shared" si="5"/>
        <v>46071</v>
      </c>
      <c r="C4982" s="77" t="s">
        <v>1569</v>
      </c>
      <c r="D4982" s="13">
        <f>D4981</f>
        <v>45546.8</v>
      </c>
      <c r="E4982" s="15">
        <f t="shared" si="1"/>
        <v>2026</v>
      </c>
      <c r="F4982" s="15">
        <f t="shared" si="2"/>
        <v>2</v>
      </c>
      <c r="G4982" s="15">
        <f t="shared" si="3"/>
        <v>18</v>
      </c>
    </row>
    <row r="4983">
      <c r="A4983" s="10" t="s">
        <v>37</v>
      </c>
      <c r="B4983" s="94">
        <f t="shared" si="5"/>
        <v>46071</v>
      </c>
      <c r="C4983" s="77" t="s">
        <v>1570</v>
      </c>
      <c r="D4983" s="13">
        <f>SUMIFS('Lançamentos de receitas'!$E:$E,'Lançamentos de receitas'!$F:$F,"PAGO",'Lançamentos de receitas'!$C:$C,A4983,'Lançamentos de receitas'!$A:$A,B4983)</f>
        <v>4481.44</v>
      </c>
      <c r="E4983" s="15">
        <f t="shared" si="1"/>
        <v>2026</v>
      </c>
      <c r="F4983" s="15">
        <f t="shared" si="2"/>
        <v>2</v>
      </c>
      <c r="G4983" s="15">
        <f t="shared" si="3"/>
        <v>18</v>
      </c>
    </row>
    <row r="4984">
      <c r="A4984" s="10" t="s">
        <v>37</v>
      </c>
      <c r="B4984" s="94">
        <f t="shared" si="5"/>
        <v>46071</v>
      </c>
      <c r="C4984" s="77" t="s">
        <v>1571</v>
      </c>
      <c r="D4984" s="13">
        <f>SUMIFS('Lançamentos de despesas'!$I:$I,'Lançamentos de despesas'!$G:$G,A4984,'Lançamentos de despesas'!$E:$E,"PAGO",'Lançamentos de despesas'!$C:$C,B4984)</f>
        <v>1261.74</v>
      </c>
      <c r="E4984" s="15">
        <f t="shared" si="1"/>
        <v>2026</v>
      </c>
      <c r="F4984" s="15">
        <f t="shared" si="2"/>
        <v>2</v>
      </c>
      <c r="G4984" s="15">
        <f t="shared" si="3"/>
        <v>18</v>
      </c>
    </row>
    <row r="4985">
      <c r="A4985" s="10" t="s">
        <v>37</v>
      </c>
      <c r="B4985" s="94">
        <f t="shared" si="5"/>
        <v>46071</v>
      </c>
      <c r="C4985" s="77" t="s">
        <v>1572</v>
      </c>
      <c r="D4985" s="13">
        <f>D4982+D4983-D4984</f>
        <v>48766.5</v>
      </c>
      <c r="E4985" s="15">
        <f t="shared" si="1"/>
        <v>2026</v>
      </c>
      <c r="F4985" s="15">
        <f t="shared" si="2"/>
        <v>2</v>
      </c>
      <c r="G4985" s="15">
        <f t="shared" si="3"/>
        <v>18</v>
      </c>
    </row>
    <row r="4986">
      <c r="A4986" s="10" t="s">
        <v>37</v>
      </c>
      <c r="B4986" s="94">
        <f t="shared" si="5"/>
        <v>46072</v>
      </c>
      <c r="C4986" s="77" t="s">
        <v>1569</v>
      </c>
      <c r="D4986" s="13">
        <f>D4985</f>
        <v>48766.5</v>
      </c>
      <c r="E4986" s="15">
        <f t="shared" si="1"/>
        <v>2026</v>
      </c>
      <c r="F4986" s="15">
        <f t="shared" si="2"/>
        <v>2</v>
      </c>
      <c r="G4986" s="15">
        <f t="shared" si="3"/>
        <v>19</v>
      </c>
    </row>
    <row r="4987">
      <c r="A4987" s="10" t="s">
        <v>37</v>
      </c>
      <c r="B4987" s="94">
        <f t="shared" si="5"/>
        <v>46072</v>
      </c>
      <c r="C4987" s="77" t="s">
        <v>1570</v>
      </c>
      <c r="D4987" s="13">
        <f>SUMIFS('Lançamentos de receitas'!$E:$E,'Lançamentos de receitas'!$F:$F,"PAGO",'Lançamentos de receitas'!$C:$C,A4987,'Lançamentos de receitas'!$A:$A,B4987)</f>
        <v>4895.75</v>
      </c>
      <c r="E4987" s="15">
        <f t="shared" si="1"/>
        <v>2026</v>
      </c>
      <c r="F4987" s="15">
        <f t="shared" si="2"/>
        <v>2</v>
      </c>
      <c r="G4987" s="15">
        <f t="shared" si="3"/>
        <v>19</v>
      </c>
    </row>
    <row r="4988">
      <c r="A4988" s="10" t="s">
        <v>37</v>
      </c>
      <c r="B4988" s="94">
        <f t="shared" si="5"/>
        <v>46072</v>
      </c>
      <c r="C4988" s="77" t="s">
        <v>1571</v>
      </c>
      <c r="D4988" s="13">
        <f>SUMIFS('Lançamentos de despesas'!$I:$I,'Lançamentos de despesas'!$G:$G,A4988,'Lançamentos de despesas'!$E:$E,"PAGO",'Lançamentos de despesas'!$C:$C,B4988)</f>
        <v>200</v>
      </c>
      <c r="E4988" s="15">
        <f t="shared" si="1"/>
        <v>2026</v>
      </c>
      <c r="F4988" s="15">
        <f t="shared" si="2"/>
        <v>2</v>
      </c>
      <c r="G4988" s="15">
        <f t="shared" si="3"/>
        <v>19</v>
      </c>
    </row>
    <row r="4989">
      <c r="A4989" s="10" t="s">
        <v>37</v>
      </c>
      <c r="B4989" s="94">
        <f t="shared" si="5"/>
        <v>46072</v>
      </c>
      <c r="C4989" s="77" t="s">
        <v>1572</v>
      </c>
      <c r="D4989" s="13">
        <f>D4986+D4987-D4988</f>
        <v>53462.25</v>
      </c>
      <c r="E4989" s="15">
        <f t="shared" si="1"/>
        <v>2026</v>
      </c>
      <c r="F4989" s="15">
        <f t="shared" si="2"/>
        <v>2</v>
      </c>
      <c r="G4989" s="15">
        <f t="shared" si="3"/>
        <v>19</v>
      </c>
    </row>
    <row r="4990">
      <c r="A4990" s="10" t="s">
        <v>37</v>
      </c>
      <c r="B4990" s="94">
        <f t="shared" si="5"/>
        <v>46073</v>
      </c>
      <c r="C4990" s="77" t="s">
        <v>1569</v>
      </c>
      <c r="D4990" s="13">
        <f>D4989</f>
        <v>53462.25</v>
      </c>
      <c r="E4990" s="15">
        <f t="shared" si="1"/>
        <v>2026</v>
      </c>
      <c r="F4990" s="15">
        <f t="shared" si="2"/>
        <v>2</v>
      </c>
      <c r="G4990" s="15">
        <f t="shared" si="3"/>
        <v>20</v>
      </c>
    </row>
    <row r="4991">
      <c r="A4991" s="10" t="s">
        <v>37</v>
      </c>
      <c r="B4991" s="94">
        <f t="shared" si="5"/>
        <v>46073</v>
      </c>
      <c r="C4991" s="77" t="s">
        <v>1570</v>
      </c>
      <c r="D4991" s="13">
        <f>SUMIFS('Lançamentos de receitas'!$E:$E,'Lançamentos de receitas'!$F:$F,"PAGO",'Lançamentos de receitas'!$C:$C,A4991,'Lançamentos de receitas'!$A:$A,B4991)</f>
        <v>4139.6</v>
      </c>
      <c r="E4991" s="15">
        <f t="shared" si="1"/>
        <v>2026</v>
      </c>
      <c r="F4991" s="15">
        <f t="shared" si="2"/>
        <v>2</v>
      </c>
      <c r="G4991" s="15">
        <f t="shared" si="3"/>
        <v>20</v>
      </c>
    </row>
    <row r="4992">
      <c r="A4992" s="10" t="s">
        <v>37</v>
      </c>
      <c r="B4992" s="94">
        <f t="shared" si="5"/>
        <v>46073</v>
      </c>
      <c r="C4992" s="77" t="s">
        <v>1571</v>
      </c>
      <c r="D4992" s="13">
        <f>SUMIFS('Lançamentos de despesas'!$I:$I,'Lançamentos de despesas'!$G:$G,A4992,'Lançamentos de despesas'!$E:$E,"PAGO",'Lançamentos de despesas'!$C:$C,B4992)</f>
        <v>8484.46</v>
      </c>
      <c r="E4992" s="15">
        <f t="shared" si="1"/>
        <v>2026</v>
      </c>
      <c r="F4992" s="15">
        <f t="shared" si="2"/>
        <v>2</v>
      </c>
      <c r="G4992" s="15">
        <f t="shared" si="3"/>
        <v>20</v>
      </c>
    </row>
    <row r="4993">
      <c r="A4993" s="10" t="s">
        <v>37</v>
      </c>
      <c r="B4993" s="94">
        <f t="shared" si="5"/>
        <v>46073</v>
      </c>
      <c r="C4993" s="77" t="s">
        <v>1572</v>
      </c>
      <c r="D4993" s="13">
        <f>D4990+D4991-D4992</f>
        <v>49117.39</v>
      </c>
      <c r="E4993" s="15">
        <f t="shared" si="1"/>
        <v>2026</v>
      </c>
      <c r="F4993" s="15">
        <f t="shared" si="2"/>
        <v>2</v>
      </c>
      <c r="G4993" s="15">
        <f t="shared" si="3"/>
        <v>20</v>
      </c>
    </row>
    <row r="4994">
      <c r="A4994" s="10" t="s">
        <v>37</v>
      </c>
      <c r="B4994" s="94">
        <f t="shared" si="5"/>
        <v>46074</v>
      </c>
      <c r="C4994" s="77" t="s">
        <v>1569</v>
      </c>
      <c r="D4994" s="13">
        <f>D4993</f>
        <v>49117.39</v>
      </c>
      <c r="E4994" s="15">
        <f t="shared" si="1"/>
        <v>2026</v>
      </c>
      <c r="F4994" s="15">
        <f t="shared" si="2"/>
        <v>2</v>
      </c>
      <c r="G4994" s="15">
        <f t="shared" si="3"/>
        <v>21</v>
      </c>
    </row>
    <row r="4995">
      <c r="A4995" s="10" t="s">
        <v>37</v>
      </c>
      <c r="B4995" s="94">
        <f t="shared" si="5"/>
        <v>46074</v>
      </c>
      <c r="C4995" s="77" t="s">
        <v>1570</v>
      </c>
      <c r="D4995" s="13">
        <f>SUMIFS('Lançamentos de receitas'!$E:$E,'Lançamentos de receitas'!$F:$F,"PAGO",'Lançamentos de receitas'!$C:$C,A4995,'Lançamentos de receitas'!$A:$A,B4995)</f>
        <v>3063.9</v>
      </c>
      <c r="E4995" s="15">
        <f t="shared" si="1"/>
        <v>2026</v>
      </c>
      <c r="F4995" s="15">
        <f t="shared" si="2"/>
        <v>2</v>
      </c>
      <c r="G4995" s="15">
        <f t="shared" si="3"/>
        <v>21</v>
      </c>
    </row>
    <row r="4996">
      <c r="A4996" s="10" t="s">
        <v>37</v>
      </c>
      <c r="B4996" s="94">
        <f t="shared" si="5"/>
        <v>46074</v>
      </c>
      <c r="C4996" s="77" t="s">
        <v>1571</v>
      </c>
      <c r="D4996" s="13">
        <f>SUMIFS('Lançamentos de despesas'!$I:$I,'Lançamentos de despesas'!$G:$G,A4996,'Lançamentos de despesas'!$E:$E,"PAGO",'Lançamentos de despesas'!$C:$C,B4996)</f>
        <v>0</v>
      </c>
      <c r="E4996" s="15">
        <f t="shared" si="1"/>
        <v>2026</v>
      </c>
      <c r="F4996" s="15">
        <f t="shared" si="2"/>
        <v>2</v>
      </c>
      <c r="G4996" s="15">
        <f t="shared" si="3"/>
        <v>21</v>
      </c>
    </row>
    <row r="4997">
      <c r="A4997" s="10" t="s">
        <v>37</v>
      </c>
      <c r="B4997" s="94">
        <f t="shared" si="5"/>
        <v>46074</v>
      </c>
      <c r="C4997" s="77" t="s">
        <v>1572</v>
      </c>
      <c r="D4997" s="13">
        <f>D4994+D4995-D4996</f>
        <v>52181.29</v>
      </c>
      <c r="E4997" s="15">
        <f t="shared" si="1"/>
        <v>2026</v>
      </c>
      <c r="F4997" s="15">
        <f t="shared" si="2"/>
        <v>2</v>
      </c>
      <c r="G4997" s="15">
        <f t="shared" si="3"/>
        <v>21</v>
      </c>
    </row>
    <row r="4998">
      <c r="A4998" s="10" t="s">
        <v>37</v>
      </c>
      <c r="B4998" s="94">
        <f t="shared" si="5"/>
        <v>46075</v>
      </c>
      <c r="C4998" s="77" t="s">
        <v>1569</v>
      </c>
      <c r="D4998" s="13">
        <f>D4997</f>
        <v>52181.29</v>
      </c>
      <c r="E4998" s="15">
        <f t="shared" si="1"/>
        <v>2026</v>
      </c>
      <c r="F4998" s="15">
        <f t="shared" si="2"/>
        <v>2</v>
      </c>
      <c r="G4998" s="15">
        <f t="shared" si="3"/>
        <v>22</v>
      </c>
    </row>
    <row r="4999">
      <c r="A4999" s="10" t="s">
        <v>37</v>
      </c>
      <c r="B4999" s="94">
        <f t="shared" si="5"/>
        <v>46075</v>
      </c>
      <c r="C4999" s="77" t="s">
        <v>1570</v>
      </c>
      <c r="D4999" s="13">
        <f>SUMIFS('Lançamentos de receitas'!$E:$E,'Lançamentos de receitas'!$F:$F,"PAGO",'Lançamentos de receitas'!$C:$C,A4999,'Lançamentos de receitas'!$A:$A,B4999)</f>
        <v>2813.23</v>
      </c>
      <c r="E4999" s="15">
        <f t="shared" si="1"/>
        <v>2026</v>
      </c>
      <c r="F4999" s="15">
        <f t="shared" si="2"/>
        <v>2</v>
      </c>
      <c r="G4999" s="15">
        <f t="shared" si="3"/>
        <v>22</v>
      </c>
    </row>
    <row r="5000">
      <c r="A5000" s="10" t="s">
        <v>37</v>
      </c>
      <c r="B5000" s="94">
        <f t="shared" si="5"/>
        <v>46075</v>
      </c>
      <c r="C5000" s="77" t="s">
        <v>1571</v>
      </c>
      <c r="D5000" s="13">
        <f>SUMIFS('Lançamentos de despesas'!$I:$I,'Lançamentos de despesas'!$G:$G,A5000,'Lançamentos de despesas'!$E:$E,"PAGO",'Lançamentos de despesas'!$C:$C,B5000)</f>
        <v>0</v>
      </c>
      <c r="E5000" s="15">
        <f t="shared" si="1"/>
        <v>2026</v>
      </c>
      <c r="F5000" s="15">
        <f t="shared" si="2"/>
        <v>2</v>
      </c>
      <c r="G5000" s="15">
        <f t="shared" si="3"/>
        <v>22</v>
      </c>
    </row>
    <row r="5001">
      <c r="A5001" s="10" t="s">
        <v>37</v>
      </c>
      <c r="B5001" s="94">
        <f t="shared" si="5"/>
        <v>46075</v>
      </c>
      <c r="C5001" s="77" t="s">
        <v>1572</v>
      </c>
      <c r="D5001" s="13">
        <f>D4998+D4999-D5000</f>
        <v>54994.52</v>
      </c>
      <c r="E5001" s="15">
        <f t="shared" si="1"/>
        <v>2026</v>
      </c>
      <c r="F5001" s="15">
        <f t="shared" si="2"/>
        <v>2</v>
      </c>
      <c r="G5001" s="15">
        <f t="shared" si="3"/>
        <v>22</v>
      </c>
    </row>
    <row r="5002">
      <c r="A5002" s="10" t="s">
        <v>37</v>
      </c>
      <c r="B5002" s="94">
        <f t="shared" si="5"/>
        <v>46076</v>
      </c>
      <c r="C5002" s="77" t="s">
        <v>1569</v>
      </c>
      <c r="D5002" s="13">
        <f>D5001</f>
        <v>54994.52</v>
      </c>
      <c r="E5002" s="15">
        <f t="shared" si="1"/>
        <v>2026</v>
      </c>
      <c r="F5002" s="15">
        <f t="shared" si="2"/>
        <v>2</v>
      </c>
      <c r="G5002" s="15">
        <f t="shared" si="3"/>
        <v>23</v>
      </c>
    </row>
    <row r="5003">
      <c r="A5003" s="10" t="s">
        <v>37</v>
      </c>
      <c r="B5003" s="94">
        <f t="shared" si="5"/>
        <v>46076</v>
      </c>
      <c r="C5003" s="77" t="s">
        <v>1570</v>
      </c>
      <c r="D5003" s="13">
        <f>SUMIFS('Lançamentos de receitas'!$E:$E,'Lançamentos de receitas'!$F:$F,"PAGO",'Lançamentos de receitas'!$C:$C,A5003,'Lançamentos de receitas'!$A:$A,B5003)</f>
        <v>2833.77</v>
      </c>
      <c r="E5003" s="15">
        <f t="shared" si="1"/>
        <v>2026</v>
      </c>
      <c r="F5003" s="15">
        <f t="shared" si="2"/>
        <v>2</v>
      </c>
      <c r="G5003" s="15">
        <f t="shared" si="3"/>
        <v>23</v>
      </c>
    </row>
    <row r="5004">
      <c r="A5004" s="10" t="s">
        <v>37</v>
      </c>
      <c r="B5004" s="94">
        <f t="shared" si="5"/>
        <v>46076</v>
      </c>
      <c r="C5004" s="77" t="s">
        <v>1571</v>
      </c>
      <c r="D5004" s="13">
        <f>SUMIFS('Lançamentos de despesas'!$I:$I,'Lançamentos de despesas'!$G:$G,A5004,'Lançamentos de despesas'!$E:$E,"PAGO",'Lançamentos de despesas'!$C:$C,B5004)</f>
        <v>23529.3</v>
      </c>
      <c r="E5004" s="15">
        <f t="shared" si="1"/>
        <v>2026</v>
      </c>
      <c r="F5004" s="15">
        <f t="shared" si="2"/>
        <v>2</v>
      </c>
      <c r="G5004" s="15">
        <f t="shared" si="3"/>
        <v>23</v>
      </c>
    </row>
    <row r="5005">
      <c r="A5005" s="10" t="s">
        <v>37</v>
      </c>
      <c r="B5005" s="94">
        <f t="shared" si="5"/>
        <v>46076</v>
      </c>
      <c r="C5005" s="77" t="s">
        <v>1572</v>
      </c>
      <c r="D5005" s="13">
        <f>D5002+D5003-D5004</f>
        <v>34298.99</v>
      </c>
      <c r="E5005" s="15">
        <f t="shared" si="1"/>
        <v>2026</v>
      </c>
      <c r="F5005" s="15">
        <f t="shared" si="2"/>
        <v>2</v>
      </c>
      <c r="G5005" s="15">
        <f t="shared" si="3"/>
        <v>23</v>
      </c>
    </row>
    <row r="5006">
      <c r="A5006" s="10" t="s">
        <v>37</v>
      </c>
      <c r="B5006" s="94">
        <f t="shared" si="5"/>
        <v>46077</v>
      </c>
      <c r="C5006" s="77" t="s">
        <v>1569</v>
      </c>
      <c r="D5006" s="13">
        <f>D5005</f>
        <v>34298.99</v>
      </c>
      <c r="E5006" s="15">
        <f t="shared" si="1"/>
        <v>2026</v>
      </c>
      <c r="F5006" s="15">
        <f t="shared" si="2"/>
        <v>2</v>
      </c>
      <c r="G5006" s="15">
        <f t="shared" si="3"/>
        <v>24</v>
      </c>
    </row>
    <row r="5007">
      <c r="A5007" s="10" t="s">
        <v>37</v>
      </c>
      <c r="B5007" s="94">
        <f t="shared" si="5"/>
        <v>46077</v>
      </c>
      <c r="C5007" s="77" t="s">
        <v>1570</v>
      </c>
      <c r="D5007" s="13">
        <f>SUMIFS('Lançamentos de receitas'!$E:$E,'Lançamentos de receitas'!$F:$F,"PAGO",'Lançamentos de receitas'!$C:$C,A5007,'Lançamentos de receitas'!$A:$A,B5007)</f>
        <v>1983.56</v>
      </c>
      <c r="E5007" s="15">
        <f t="shared" si="1"/>
        <v>2026</v>
      </c>
      <c r="F5007" s="15">
        <f t="shared" si="2"/>
        <v>2</v>
      </c>
      <c r="G5007" s="15">
        <f t="shared" si="3"/>
        <v>24</v>
      </c>
    </row>
    <row r="5008">
      <c r="A5008" s="10" t="s">
        <v>37</v>
      </c>
      <c r="B5008" s="94">
        <f t="shared" si="5"/>
        <v>46077</v>
      </c>
      <c r="C5008" s="77" t="s">
        <v>1571</v>
      </c>
      <c r="D5008" s="13">
        <f>SUMIFS('Lançamentos de despesas'!$I:$I,'Lançamentos de despesas'!$G:$G,A5008,'Lançamentos de despesas'!$E:$E,"PAGO",'Lançamentos de despesas'!$C:$C,B5008)</f>
        <v>0</v>
      </c>
      <c r="E5008" s="15">
        <f t="shared" si="1"/>
        <v>2026</v>
      </c>
      <c r="F5008" s="15">
        <f t="shared" si="2"/>
        <v>2</v>
      </c>
      <c r="G5008" s="15">
        <f t="shared" si="3"/>
        <v>24</v>
      </c>
    </row>
    <row r="5009">
      <c r="A5009" s="10" t="s">
        <v>37</v>
      </c>
      <c r="B5009" s="94">
        <f t="shared" si="5"/>
        <v>46077</v>
      </c>
      <c r="C5009" s="77" t="s">
        <v>1572</v>
      </c>
      <c r="D5009" s="13">
        <f>D5006+D5007-D5008</f>
        <v>36282.55</v>
      </c>
      <c r="E5009" s="15">
        <f t="shared" si="1"/>
        <v>2026</v>
      </c>
      <c r="F5009" s="15">
        <f t="shared" si="2"/>
        <v>2</v>
      </c>
      <c r="G5009" s="15">
        <f t="shared" si="3"/>
        <v>24</v>
      </c>
    </row>
    <row r="5010">
      <c r="A5010" s="10" t="s">
        <v>37</v>
      </c>
      <c r="B5010" s="94">
        <f t="shared" si="5"/>
        <v>46078</v>
      </c>
      <c r="C5010" s="77" t="s">
        <v>1569</v>
      </c>
      <c r="D5010" s="13">
        <f>D5009</f>
        <v>36282.55</v>
      </c>
      <c r="E5010" s="15">
        <f t="shared" si="1"/>
        <v>2026</v>
      </c>
      <c r="F5010" s="15">
        <f t="shared" si="2"/>
        <v>2</v>
      </c>
      <c r="G5010" s="15">
        <f t="shared" si="3"/>
        <v>25</v>
      </c>
    </row>
    <row r="5011">
      <c r="A5011" s="10" t="s">
        <v>37</v>
      </c>
      <c r="B5011" s="94">
        <f t="shared" si="5"/>
        <v>46078</v>
      </c>
      <c r="C5011" s="77" t="s">
        <v>1570</v>
      </c>
      <c r="D5011" s="13">
        <f>SUMIFS('Lançamentos de receitas'!$E:$E,'Lançamentos de receitas'!$F:$F,"PAGO",'Lançamentos de receitas'!$C:$C,A5011,'Lançamentos de receitas'!$A:$A,B5011)</f>
        <v>1285.78</v>
      </c>
      <c r="E5011" s="15">
        <f t="shared" si="1"/>
        <v>2026</v>
      </c>
      <c r="F5011" s="15">
        <f t="shared" si="2"/>
        <v>2</v>
      </c>
      <c r="G5011" s="15">
        <f t="shared" si="3"/>
        <v>25</v>
      </c>
    </row>
    <row r="5012">
      <c r="A5012" s="10" t="s">
        <v>37</v>
      </c>
      <c r="B5012" s="94">
        <f t="shared" si="5"/>
        <v>46078</v>
      </c>
      <c r="C5012" s="77" t="s">
        <v>1571</v>
      </c>
      <c r="D5012" s="13">
        <f>SUMIFS('Lançamentos de despesas'!$I:$I,'Lançamentos de despesas'!$G:$G,A5012,'Lançamentos de despesas'!$E:$E,"PAGO",'Lançamentos de despesas'!$C:$C,B5012)</f>
        <v>204.96</v>
      </c>
      <c r="E5012" s="15">
        <f t="shared" si="1"/>
        <v>2026</v>
      </c>
      <c r="F5012" s="15">
        <f t="shared" si="2"/>
        <v>2</v>
      </c>
      <c r="G5012" s="15">
        <f t="shared" si="3"/>
        <v>25</v>
      </c>
    </row>
    <row r="5013">
      <c r="A5013" s="10" t="s">
        <v>37</v>
      </c>
      <c r="B5013" s="94">
        <f t="shared" si="5"/>
        <v>46078</v>
      </c>
      <c r="C5013" s="77" t="s">
        <v>1572</v>
      </c>
      <c r="D5013" s="13">
        <f>D5010+D5011-D5012</f>
        <v>37363.37</v>
      </c>
      <c r="E5013" s="15">
        <f t="shared" si="1"/>
        <v>2026</v>
      </c>
      <c r="F5013" s="15">
        <f t="shared" si="2"/>
        <v>2</v>
      </c>
      <c r="G5013" s="15">
        <f t="shared" si="3"/>
        <v>25</v>
      </c>
    </row>
    <row r="5014">
      <c r="A5014" s="10" t="s">
        <v>37</v>
      </c>
      <c r="B5014" s="94">
        <f t="shared" si="5"/>
        <v>46079</v>
      </c>
      <c r="C5014" s="77" t="s">
        <v>1569</v>
      </c>
      <c r="D5014" s="13">
        <f>D5013</f>
        <v>37363.37</v>
      </c>
      <c r="E5014" s="15">
        <f t="shared" si="1"/>
        <v>2026</v>
      </c>
      <c r="F5014" s="15">
        <f t="shared" si="2"/>
        <v>2</v>
      </c>
      <c r="G5014" s="15">
        <f t="shared" si="3"/>
        <v>26</v>
      </c>
    </row>
    <row r="5015">
      <c r="A5015" s="10" t="s">
        <v>37</v>
      </c>
      <c r="B5015" s="94">
        <f t="shared" si="5"/>
        <v>46079</v>
      </c>
      <c r="C5015" s="77" t="s">
        <v>1570</v>
      </c>
      <c r="D5015" s="13">
        <f>SUMIFS('Lançamentos de receitas'!$E:$E,'Lançamentos de receitas'!$F:$F,"PAGO",'Lançamentos de receitas'!$C:$C,A5015,'Lançamentos de receitas'!$A:$A,B5015)</f>
        <v>1851.77</v>
      </c>
      <c r="E5015" s="15">
        <f t="shared" si="1"/>
        <v>2026</v>
      </c>
      <c r="F5015" s="15">
        <f t="shared" si="2"/>
        <v>2</v>
      </c>
      <c r="G5015" s="15">
        <f t="shared" si="3"/>
        <v>26</v>
      </c>
    </row>
    <row r="5016">
      <c r="A5016" s="10" t="s">
        <v>37</v>
      </c>
      <c r="B5016" s="94">
        <f t="shared" si="5"/>
        <v>46079</v>
      </c>
      <c r="C5016" s="77" t="s">
        <v>1571</v>
      </c>
      <c r="D5016" s="13">
        <f>SUMIFS('Lançamentos de despesas'!$I:$I,'Lançamentos de despesas'!$G:$G,A5016,'Lançamentos de despesas'!$E:$E,"PAGO",'Lançamentos de despesas'!$C:$C,B5016)</f>
        <v>550</v>
      </c>
      <c r="E5016" s="15">
        <f t="shared" si="1"/>
        <v>2026</v>
      </c>
      <c r="F5016" s="15">
        <f t="shared" si="2"/>
        <v>2</v>
      </c>
      <c r="G5016" s="15">
        <f t="shared" si="3"/>
        <v>26</v>
      </c>
    </row>
    <row r="5017">
      <c r="A5017" s="10" t="s">
        <v>37</v>
      </c>
      <c r="B5017" s="94">
        <f t="shared" si="5"/>
        <v>46079</v>
      </c>
      <c r="C5017" s="77" t="s">
        <v>1572</v>
      </c>
      <c r="D5017" s="13">
        <f>D5014+D5015-D5016</f>
        <v>38665.14</v>
      </c>
      <c r="E5017" s="15">
        <f t="shared" si="1"/>
        <v>2026</v>
      </c>
      <c r="F5017" s="15">
        <f t="shared" si="2"/>
        <v>2</v>
      </c>
      <c r="G5017" s="15">
        <f t="shared" si="3"/>
        <v>26</v>
      </c>
    </row>
    <row r="5018">
      <c r="A5018" s="10" t="s">
        <v>37</v>
      </c>
      <c r="B5018" s="94">
        <f t="shared" si="5"/>
        <v>46080</v>
      </c>
      <c r="C5018" s="77" t="s">
        <v>1569</v>
      </c>
      <c r="D5018" s="13">
        <f>D5017</f>
        <v>38665.14</v>
      </c>
      <c r="E5018" s="15">
        <f t="shared" si="1"/>
        <v>2026</v>
      </c>
      <c r="F5018" s="15">
        <f t="shared" si="2"/>
        <v>2</v>
      </c>
      <c r="G5018" s="15">
        <f t="shared" si="3"/>
        <v>27</v>
      </c>
    </row>
    <row r="5019">
      <c r="A5019" s="10" t="s">
        <v>37</v>
      </c>
      <c r="B5019" s="94">
        <f t="shared" si="5"/>
        <v>46080</v>
      </c>
      <c r="C5019" s="77" t="s">
        <v>1570</v>
      </c>
      <c r="D5019" s="13">
        <f>SUMIFS('Lançamentos de receitas'!$E:$E,'Lançamentos de receitas'!$F:$F,"PAGO",'Lançamentos de receitas'!$C:$C,A5019,'Lançamentos de receitas'!$A:$A,B5019)</f>
        <v>4349.59</v>
      </c>
      <c r="E5019" s="15">
        <f t="shared" si="1"/>
        <v>2026</v>
      </c>
      <c r="F5019" s="15">
        <f t="shared" si="2"/>
        <v>2</v>
      </c>
      <c r="G5019" s="15">
        <f t="shared" si="3"/>
        <v>27</v>
      </c>
    </row>
    <row r="5020">
      <c r="A5020" s="10" t="s">
        <v>37</v>
      </c>
      <c r="B5020" s="94">
        <f t="shared" si="5"/>
        <v>46080</v>
      </c>
      <c r="C5020" s="77" t="s">
        <v>1571</v>
      </c>
      <c r="D5020" s="13">
        <f>SUMIFS('Lançamentos de despesas'!$I:$I,'Lançamentos de despesas'!$G:$G,A5020,'Lançamentos de despesas'!$E:$E,"PAGO",'Lançamentos de despesas'!$C:$C,B5020)</f>
        <v>2636.57</v>
      </c>
      <c r="E5020" s="15">
        <f t="shared" si="1"/>
        <v>2026</v>
      </c>
      <c r="F5020" s="15">
        <f t="shared" si="2"/>
        <v>2</v>
      </c>
      <c r="G5020" s="15">
        <f t="shared" si="3"/>
        <v>27</v>
      </c>
    </row>
    <row r="5021">
      <c r="A5021" s="10" t="s">
        <v>37</v>
      </c>
      <c r="B5021" s="94">
        <f t="shared" si="5"/>
        <v>46080</v>
      </c>
      <c r="C5021" s="77" t="s">
        <v>1572</v>
      </c>
      <c r="D5021" s="13">
        <f>D5018+D5019-D5020</f>
        <v>40378.16</v>
      </c>
      <c r="E5021" s="15">
        <f t="shared" si="1"/>
        <v>2026</v>
      </c>
      <c r="F5021" s="15">
        <f t="shared" si="2"/>
        <v>2</v>
      </c>
      <c r="G5021" s="15">
        <f t="shared" si="3"/>
        <v>27</v>
      </c>
    </row>
    <row r="5022">
      <c r="A5022" s="10" t="s">
        <v>37</v>
      </c>
      <c r="B5022" s="94">
        <f t="shared" si="5"/>
        <v>46081</v>
      </c>
      <c r="C5022" s="77" t="s">
        <v>1569</v>
      </c>
      <c r="D5022" s="13">
        <f>D5021</f>
        <v>40378.16</v>
      </c>
      <c r="E5022" s="15">
        <f t="shared" si="1"/>
        <v>2026</v>
      </c>
      <c r="F5022" s="15">
        <f t="shared" si="2"/>
        <v>2</v>
      </c>
      <c r="G5022" s="15">
        <f t="shared" si="3"/>
        <v>28</v>
      </c>
    </row>
    <row r="5023">
      <c r="A5023" s="10" t="s">
        <v>37</v>
      </c>
      <c r="B5023" s="94">
        <f t="shared" si="5"/>
        <v>46081</v>
      </c>
      <c r="C5023" s="77" t="s">
        <v>1570</v>
      </c>
      <c r="D5023" s="13">
        <f>SUMIFS('Lançamentos de receitas'!$E:$E,'Lançamentos de receitas'!$F:$F,"PAGO",'Lançamentos de receitas'!$C:$C,A5023,'Lançamentos de receitas'!$A:$A,B5023)</f>
        <v>3347.35</v>
      </c>
      <c r="E5023" s="15">
        <f t="shared" si="1"/>
        <v>2026</v>
      </c>
      <c r="F5023" s="15">
        <f t="shared" si="2"/>
        <v>2</v>
      </c>
      <c r="G5023" s="15">
        <f t="shared" si="3"/>
        <v>28</v>
      </c>
    </row>
    <row r="5024">
      <c r="A5024" s="10" t="s">
        <v>37</v>
      </c>
      <c r="B5024" s="94">
        <f t="shared" si="5"/>
        <v>46081</v>
      </c>
      <c r="C5024" s="77" t="s">
        <v>1571</v>
      </c>
      <c r="D5024" s="13">
        <f>SUMIFS('Lançamentos de despesas'!$I:$I,'Lançamentos de despesas'!$G:$G,A5024,'Lançamentos de despesas'!$E:$E,"PAGO",'Lançamentos de despesas'!$C:$C,B5024)</f>
        <v>0</v>
      </c>
      <c r="E5024" s="15">
        <f t="shared" si="1"/>
        <v>2026</v>
      </c>
      <c r="F5024" s="15">
        <f t="shared" si="2"/>
        <v>2</v>
      </c>
      <c r="G5024" s="15">
        <f t="shared" si="3"/>
        <v>28</v>
      </c>
    </row>
    <row r="5025">
      <c r="A5025" s="10" t="s">
        <v>37</v>
      </c>
      <c r="B5025" s="94">
        <f t="shared" si="5"/>
        <v>46081</v>
      </c>
      <c r="C5025" s="77" t="s">
        <v>1572</v>
      </c>
      <c r="D5025" s="13">
        <f>D5022+D5023-D5024</f>
        <v>43725.51</v>
      </c>
      <c r="E5025" s="15">
        <f t="shared" si="1"/>
        <v>2026</v>
      </c>
      <c r="F5025" s="15">
        <f t="shared" si="2"/>
        <v>2</v>
      </c>
      <c r="G5025" s="15">
        <f t="shared" si="3"/>
        <v>28</v>
      </c>
    </row>
    <row r="5026">
      <c r="A5026" s="10" t="s">
        <v>37</v>
      </c>
      <c r="B5026" s="94">
        <f t="shared" si="5"/>
        <v>46082</v>
      </c>
      <c r="C5026" s="77" t="s">
        <v>1569</v>
      </c>
      <c r="D5026" s="13">
        <f>D5025</f>
        <v>43725.51</v>
      </c>
      <c r="E5026" s="15">
        <f t="shared" si="1"/>
        <v>2026</v>
      </c>
      <c r="F5026" s="15">
        <f t="shared" si="2"/>
        <v>3</v>
      </c>
      <c r="G5026" s="15">
        <f t="shared" si="3"/>
        <v>1</v>
      </c>
    </row>
    <row r="5027">
      <c r="A5027" s="10" t="s">
        <v>37</v>
      </c>
      <c r="B5027" s="94">
        <f t="shared" si="5"/>
        <v>46082</v>
      </c>
      <c r="C5027" s="77" t="s">
        <v>1570</v>
      </c>
      <c r="D5027" s="13">
        <f>SUMIFS('Lançamentos de receitas'!$E:$E,'Lançamentos de receitas'!$F:$F,"PAGO",'Lançamentos de receitas'!$C:$C,A5027,'Lançamentos de receitas'!$A:$A,B5027)</f>
        <v>4887.4</v>
      </c>
      <c r="E5027" s="15">
        <f t="shared" si="1"/>
        <v>2026</v>
      </c>
      <c r="F5027" s="15">
        <f t="shared" si="2"/>
        <v>3</v>
      </c>
      <c r="G5027" s="15">
        <f t="shared" si="3"/>
        <v>1</v>
      </c>
    </row>
    <row r="5028">
      <c r="A5028" s="10" t="s">
        <v>37</v>
      </c>
      <c r="B5028" s="94">
        <f t="shared" si="5"/>
        <v>46082</v>
      </c>
      <c r="C5028" s="77" t="s">
        <v>1571</v>
      </c>
      <c r="D5028" s="13">
        <f>SUMIFS('Lançamentos de despesas'!$I:$I,'Lançamentos de despesas'!$G:$G,A5028,'Lançamentos de despesas'!$E:$E,"PAGO",'Lançamentos de despesas'!$C:$C,B5028)</f>
        <v>0</v>
      </c>
      <c r="E5028" s="15">
        <f t="shared" si="1"/>
        <v>2026</v>
      </c>
      <c r="F5028" s="15">
        <f t="shared" si="2"/>
        <v>3</v>
      </c>
      <c r="G5028" s="15">
        <f t="shared" si="3"/>
        <v>1</v>
      </c>
    </row>
    <row r="5029">
      <c r="A5029" s="10" t="s">
        <v>37</v>
      </c>
      <c r="B5029" s="94">
        <f t="shared" si="5"/>
        <v>46082</v>
      </c>
      <c r="C5029" s="77" t="s">
        <v>1572</v>
      </c>
      <c r="D5029" s="13">
        <f>D5026+D5027-D5028</f>
        <v>48612.91</v>
      </c>
      <c r="E5029" s="15">
        <f t="shared" si="1"/>
        <v>2026</v>
      </c>
      <c r="F5029" s="15">
        <f t="shared" si="2"/>
        <v>3</v>
      </c>
      <c r="G5029" s="15">
        <f t="shared" si="3"/>
        <v>1</v>
      </c>
    </row>
    <row r="5030">
      <c r="A5030" s="10" t="s">
        <v>37</v>
      </c>
      <c r="B5030" s="94">
        <f t="shared" si="5"/>
        <v>46083</v>
      </c>
      <c r="C5030" s="77" t="s">
        <v>1569</v>
      </c>
      <c r="D5030" s="13">
        <f>D5029</f>
        <v>48612.91</v>
      </c>
      <c r="E5030" s="15">
        <f t="shared" si="1"/>
        <v>2026</v>
      </c>
      <c r="F5030" s="15">
        <f t="shared" si="2"/>
        <v>3</v>
      </c>
      <c r="G5030" s="15">
        <f t="shared" si="3"/>
        <v>2</v>
      </c>
    </row>
    <row r="5031">
      <c r="A5031" s="10" t="s">
        <v>37</v>
      </c>
      <c r="B5031" s="94">
        <f t="shared" si="5"/>
        <v>46083</v>
      </c>
      <c r="C5031" s="77" t="s">
        <v>1570</v>
      </c>
      <c r="D5031" s="13">
        <f>SUMIFS('Lançamentos de receitas'!$E:$E,'Lançamentos de receitas'!$F:$F,"PAGO",'Lançamentos de receitas'!$C:$C,A5031,'Lançamentos de receitas'!$A:$A,B5031)</f>
        <v>226.04</v>
      </c>
      <c r="E5031" s="15">
        <f t="shared" si="1"/>
        <v>2026</v>
      </c>
      <c r="F5031" s="15">
        <f t="shared" si="2"/>
        <v>3</v>
      </c>
      <c r="G5031" s="15">
        <f t="shared" si="3"/>
        <v>2</v>
      </c>
    </row>
    <row r="5032">
      <c r="A5032" s="10" t="s">
        <v>37</v>
      </c>
      <c r="B5032" s="94">
        <f t="shared" si="5"/>
        <v>46083</v>
      </c>
      <c r="C5032" s="77" t="s">
        <v>1571</v>
      </c>
      <c r="D5032" s="13">
        <f>SUMIFS('Lançamentos de despesas'!$I:$I,'Lançamentos de despesas'!$G:$G,A5032,'Lançamentos de despesas'!$E:$E,"PAGO",'Lançamentos de despesas'!$C:$C,B5032)</f>
        <v>211.67</v>
      </c>
      <c r="E5032" s="15">
        <f t="shared" si="1"/>
        <v>2026</v>
      </c>
      <c r="F5032" s="15">
        <f t="shared" si="2"/>
        <v>3</v>
      </c>
      <c r="G5032" s="15">
        <f t="shared" si="3"/>
        <v>2</v>
      </c>
    </row>
    <row r="5033">
      <c r="A5033" s="10" t="s">
        <v>37</v>
      </c>
      <c r="B5033" s="94">
        <f t="shared" si="5"/>
        <v>46083</v>
      </c>
      <c r="C5033" s="77" t="s">
        <v>1572</v>
      </c>
      <c r="D5033" s="13">
        <f>D5030+D5031-D5032</f>
        <v>48627.28</v>
      </c>
      <c r="E5033" s="15">
        <f t="shared" si="1"/>
        <v>2026</v>
      </c>
      <c r="F5033" s="15">
        <f t="shared" si="2"/>
        <v>3</v>
      </c>
      <c r="G5033" s="15">
        <f t="shared" si="3"/>
        <v>2</v>
      </c>
    </row>
    <row r="5034">
      <c r="A5034" s="10" t="s">
        <v>37</v>
      </c>
      <c r="B5034" s="94">
        <f t="shared" si="5"/>
        <v>46084</v>
      </c>
      <c r="C5034" s="77" t="s">
        <v>1569</v>
      </c>
      <c r="D5034" s="13">
        <f>D5033</f>
        <v>48627.28</v>
      </c>
      <c r="E5034" s="15">
        <f t="shared" si="1"/>
        <v>2026</v>
      </c>
      <c r="F5034" s="15">
        <f t="shared" si="2"/>
        <v>3</v>
      </c>
      <c r="G5034" s="15">
        <f t="shared" si="3"/>
        <v>3</v>
      </c>
    </row>
    <row r="5035">
      <c r="A5035" s="10" t="s">
        <v>37</v>
      </c>
      <c r="B5035" s="94">
        <f t="shared" si="5"/>
        <v>46084</v>
      </c>
      <c r="C5035" s="77" t="s">
        <v>1570</v>
      </c>
      <c r="D5035" s="13">
        <f>SUMIFS('Lançamentos de receitas'!$E:$E,'Lançamentos de receitas'!$F:$F,"PAGO",'Lançamentos de receitas'!$C:$C,A5035,'Lançamentos de receitas'!$A:$A,B5035)</f>
        <v>3119.85</v>
      </c>
      <c r="E5035" s="15">
        <f t="shared" si="1"/>
        <v>2026</v>
      </c>
      <c r="F5035" s="15">
        <f t="shared" si="2"/>
        <v>3</v>
      </c>
      <c r="G5035" s="15">
        <f t="shared" si="3"/>
        <v>3</v>
      </c>
    </row>
    <row r="5036">
      <c r="A5036" s="10" t="s">
        <v>37</v>
      </c>
      <c r="B5036" s="94">
        <f t="shared" si="5"/>
        <v>46084</v>
      </c>
      <c r="C5036" s="77" t="s">
        <v>1571</v>
      </c>
      <c r="D5036" s="13">
        <f>SUMIFS('Lançamentos de despesas'!$I:$I,'Lançamentos de despesas'!$G:$G,A5036,'Lançamentos de despesas'!$E:$E,"PAGO",'Lançamentos de despesas'!$C:$C,B5036)</f>
        <v>7555</v>
      </c>
      <c r="E5036" s="15">
        <f t="shared" si="1"/>
        <v>2026</v>
      </c>
      <c r="F5036" s="15">
        <f t="shared" si="2"/>
        <v>3</v>
      </c>
      <c r="G5036" s="15">
        <f t="shared" si="3"/>
        <v>3</v>
      </c>
    </row>
    <row r="5037">
      <c r="A5037" s="10" t="s">
        <v>37</v>
      </c>
      <c r="B5037" s="94">
        <f t="shared" si="5"/>
        <v>46084</v>
      </c>
      <c r="C5037" s="77" t="s">
        <v>1572</v>
      </c>
      <c r="D5037" s="13">
        <f>D5034+D5035-D5036</f>
        <v>44192.13</v>
      </c>
      <c r="E5037" s="15">
        <f t="shared" si="1"/>
        <v>2026</v>
      </c>
      <c r="F5037" s="15">
        <f t="shared" si="2"/>
        <v>3</v>
      </c>
      <c r="G5037" s="15">
        <f t="shared" si="3"/>
        <v>3</v>
      </c>
    </row>
    <row r="5038">
      <c r="A5038" s="10" t="s">
        <v>37</v>
      </c>
      <c r="B5038" s="94">
        <f t="shared" si="5"/>
        <v>46085</v>
      </c>
      <c r="C5038" s="77" t="s">
        <v>1569</v>
      </c>
      <c r="D5038" s="13">
        <f>D5037</f>
        <v>44192.13</v>
      </c>
      <c r="E5038" s="15">
        <f t="shared" si="1"/>
        <v>2026</v>
      </c>
      <c r="F5038" s="15">
        <f t="shared" si="2"/>
        <v>3</v>
      </c>
      <c r="G5038" s="15">
        <f t="shared" si="3"/>
        <v>4</v>
      </c>
    </row>
    <row r="5039">
      <c r="A5039" s="10" t="s">
        <v>37</v>
      </c>
      <c r="B5039" s="94">
        <f t="shared" si="5"/>
        <v>46085</v>
      </c>
      <c r="C5039" s="77" t="s">
        <v>1570</v>
      </c>
      <c r="D5039" s="13">
        <f>SUMIFS('Lançamentos de receitas'!$E:$E,'Lançamentos de receitas'!$F:$F,"PAGO",'Lançamentos de receitas'!$C:$C,A5039,'Lançamentos de receitas'!$A:$A,B5039)</f>
        <v>4431.24</v>
      </c>
      <c r="E5039" s="15">
        <f t="shared" si="1"/>
        <v>2026</v>
      </c>
      <c r="F5039" s="15">
        <f t="shared" si="2"/>
        <v>3</v>
      </c>
      <c r="G5039" s="15">
        <f t="shared" si="3"/>
        <v>4</v>
      </c>
    </row>
    <row r="5040">
      <c r="A5040" s="10" t="s">
        <v>37</v>
      </c>
      <c r="B5040" s="94">
        <f t="shared" si="5"/>
        <v>46085</v>
      </c>
      <c r="C5040" s="77" t="s">
        <v>1571</v>
      </c>
      <c r="D5040" s="13">
        <f>SUMIFS('Lançamentos de despesas'!$I:$I,'Lançamentos de despesas'!$G:$G,A5040,'Lançamentos de despesas'!$E:$E,"PAGO",'Lançamentos de despesas'!$C:$C,B5040)</f>
        <v>0</v>
      </c>
      <c r="E5040" s="15">
        <f t="shared" si="1"/>
        <v>2026</v>
      </c>
      <c r="F5040" s="15">
        <f t="shared" si="2"/>
        <v>3</v>
      </c>
      <c r="G5040" s="15">
        <f t="shared" si="3"/>
        <v>4</v>
      </c>
    </row>
    <row r="5041">
      <c r="A5041" s="10" t="s">
        <v>37</v>
      </c>
      <c r="B5041" s="94">
        <f t="shared" si="5"/>
        <v>46085</v>
      </c>
      <c r="C5041" s="77" t="s">
        <v>1572</v>
      </c>
      <c r="D5041" s="13">
        <f>D5038+D5039-D5040</f>
        <v>48623.37</v>
      </c>
      <c r="E5041" s="15">
        <f t="shared" si="1"/>
        <v>2026</v>
      </c>
      <c r="F5041" s="15">
        <f t="shared" si="2"/>
        <v>3</v>
      </c>
      <c r="G5041" s="15">
        <f t="shared" si="3"/>
        <v>4</v>
      </c>
    </row>
    <row r="5042">
      <c r="A5042" s="10" t="s">
        <v>37</v>
      </c>
      <c r="B5042" s="94">
        <f t="shared" si="5"/>
        <v>46086</v>
      </c>
      <c r="C5042" s="77" t="s">
        <v>1569</v>
      </c>
      <c r="D5042" s="13">
        <f>D5041</f>
        <v>48623.37</v>
      </c>
      <c r="E5042" s="15">
        <f t="shared" si="1"/>
        <v>2026</v>
      </c>
      <c r="F5042" s="15">
        <f t="shared" si="2"/>
        <v>3</v>
      </c>
      <c r="G5042" s="15">
        <f t="shared" si="3"/>
        <v>5</v>
      </c>
    </row>
    <row r="5043">
      <c r="A5043" s="10" t="s">
        <v>37</v>
      </c>
      <c r="B5043" s="94">
        <f t="shared" si="5"/>
        <v>46086</v>
      </c>
      <c r="C5043" s="77" t="s">
        <v>1570</v>
      </c>
      <c r="D5043" s="13">
        <f>SUMIFS('Lançamentos de receitas'!$E:$E,'Lançamentos de receitas'!$F:$F,"PAGO",'Lançamentos de receitas'!$C:$C,A5043,'Lançamentos de receitas'!$A:$A,B5043)</f>
        <v>4815.19</v>
      </c>
      <c r="E5043" s="15">
        <f t="shared" si="1"/>
        <v>2026</v>
      </c>
      <c r="F5043" s="15">
        <f t="shared" si="2"/>
        <v>3</v>
      </c>
      <c r="G5043" s="15">
        <f t="shared" si="3"/>
        <v>5</v>
      </c>
    </row>
    <row r="5044">
      <c r="A5044" s="10" t="s">
        <v>37</v>
      </c>
      <c r="B5044" s="94">
        <f t="shared" si="5"/>
        <v>46086</v>
      </c>
      <c r="C5044" s="77" t="s">
        <v>1571</v>
      </c>
      <c r="D5044" s="13">
        <f>SUMIFS('Lançamentos de despesas'!$I:$I,'Lançamentos de despesas'!$G:$G,A5044,'Lançamentos de despesas'!$E:$E,"PAGO",'Lançamentos de despesas'!$C:$C,B5044)</f>
        <v>0</v>
      </c>
      <c r="E5044" s="15">
        <f t="shared" si="1"/>
        <v>2026</v>
      </c>
      <c r="F5044" s="15">
        <f t="shared" si="2"/>
        <v>3</v>
      </c>
      <c r="G5044" s="15">
        <f t="shared" si="3"/>
        <v>5</v>
      </c>
    </row>
    <row r="5045">
      <c r="A5045" s="10" t="s">
        <v>37</v>
      </c>
      <c r="B5045" s="94">
        <f t="shared" si="5"/>
        <v>46086</v>
      </c>
      <c r="C5045" s="77" t="s">
        <v>1572</v>
      </c>
      <c r="D5045" s="13">
        <f>D5042+D5043-D5044</f>
        <v>53438.56</v>
      </c>
      <c r="E5045" s="15">
        <f t="shared" si="1"/>
        <v>2026</v>
      </c>
      <c r="F5045" s="15">
        <f t="shared" si="2"/>
        <v>3</v>
      </c>
      <c r="G5045" s="15">
        <f t="shared" si="3"/>
        <v>5</v>
      </c>
    </row>
    <row r="5046">
      <c r="A5046" s="10" t="s">
        <v>37</v>
      </c>
      <c r="B5046" s="94">
        <f t="shared" si="5"/>
        <v>46087</v>
      </c>
      <c r="C5046" s="77" t="s">
        <v>1569</v>
      </c>
      <c r="D5046" s="13">
        <f>D5045</f>
        <v>53438.56</v>
      </c>
      <c r="E5046" s="15">
        <f t="shared" si="1"/>
        <v>2026</v>
      </c>
      <c r="F5046" s="15">
        <f t="shared" si="2"/>
        <v>3</v>
      </c>
      <c r="G5046" s="15">
        <f t="shared" si="3"/>
        <v>6</v>
      </c>
    </row>
    <row r="5047">
      <c r="A5047" s="10" t="s">
        <v>37</v>
      </c>
      <c r="B5047" s="94">
        <f t="shared" si="5"/>
        <v>46087</v>
      </c>
      <c r="C5047" s="77" t="s">
        <v>1570</v>
      </c>
      <c r="D5047" s="13">
        <f>SUMIFS('Lançamentos de receitas'!$E:$E,'Lançamentos de receitas'!$F:$F,"PAGO",'Lançamentos de receitas'!$C:$C,A5047,'Lançamentos de receitas'!$A:$A,B5047)</f>
        <v>3131.67</v>
      </c>
      <c r="E5047" s="15">
        <f t="shared" si="1"/>
        <v>2026</v>
      </c>
      <c r="F5047" s="15">
        <f t="shared" si="2"/>
        <v>3</v>
      </c>
      <c r="G5047" s="15">
        <f t="shared" si="3"/>
        <v>6</v>
      </c>
    </row>
    <row r="5048">
      <c r="A5048" s="10" t="s">
        <v>37</v>
      </c>
      <c r="B5048" s="94">
        <f t="shared" si="5"/>
        <v>46087</v>
      </c>
      <c r="C5048" s="77" t="s">
        <v>1571</v>
      </c>
      <c r="D5048" s="13">
        <f>SUMIFS('Lançamentos de despesas'!$I:$I,'Lançamentos de despesas'!$G:$G,A5048,'Lançamentos de despesas'!$E:$E,"PAGO",'Lançamentos de despesas'!$C:$C,B5048)</f>
        <v>0</v>
      </c>
      <c r="E5048" s="15">
        <f t="shared" si="1"/>
        <v>2026</v>
      </c>
      <c r="F5048" s="15">
        <f t="shared" si="2"/>
        <v>3</v>
      </c>
      <c r="G5048" s="15">
        <f t="shared" si="3"/>
        <v>6</v>
      </c>
    </row>
    <row r="5049">
      <c r="A5049" s="10" t="s">
        <v>37</v>
      </c>
      <c r="B5049" s="94">
        <f t="shared" si="5"/>
        <v>46087</v>
      </c>
      <c r="C5049" s="77" t="s">
        <v>1572</v>
      </c>
      <c r="D5049" s="13">
        <f>D5046+D5047-D5048</f>
        <v>56570.23</v>
      </c>
      <c r="E5049" s="15">
        <f t="shared" si="1"/>
        <v>2026</v>
      </c>
      <c r="F5049" s="15">
        <f t="shared" si="2"/>
        <v>3</v>
      </c>
      <c r="G5049" s="15">
        <f t="shared" si="3"/>
        <v>6</v>
      </c>
    </row>
    <row r="5050">
      <c r="A5050" s="10" t="s">
        <v>37</v>
      </c>
      <c r="B5050" s="94">
        <f t="shared" si="5"/>
        <v>46088</v>
      </c>
      <c r="C5050" s="77" t="s">
        <v>1569</v>
      </c>
      <c r="D5050" s="13">
        <f>D5049</f>
        <v>56570.23</v>
      </c>
      <c r="E5050" s="15">
        <f t="shared" si="1"/>
        <v>2026</v>
      </c>
      <c r="F5050" s="15">
        <f t="shared" si="2"/>
        <v>3</v>
      </c>
      <c r="G5050" s="15">
        <f t="shared" si="3"/>
        <v>7</v>
      </c>
    </row>
    <row r="5051">
      <c r="A5051" s="10" t="s">
        <v>37</v>
      </c>
      <c r="B5051" s="94">
        <f t="shared" si="5"/>
        <v>46088</v>
      </c>
      <c r="C5051" s="77" t="s">
        <v>1570</v>
      </c>
      <c r="D5051" s="13">
        <f>SUMIFS('Lançamentos de receitas'!$E:$E,'Lançamentos de receitas'!$F:$F,"PAGO",'Lançamentos de receitas'!$C:$C,A5051,'Lançamentos de receitas'!$A:$A,B5051)</f>
        <v>2991.85</v>
      </c>
      <c r="E5051" s="15">
        <f t="shared" si="1"/>
        <v>2026</v>
      </c>
      <c r="F5051" s="15">
        <f t="shared" si="2"/>
        <v>3</v>
      </c>
      <c r="G5051" s="15">
        <f t="shared" si="3"/>
        <v>7</v>
      </c>
    </row>
    <row r="5052">
      <c r="A5052" s="10" t="s">
        <v>37</v>
      </c>
      <c r="B5052" s="94">
        <f t="shared" si="5"/>
        <v>46088</v>
      </c>
      <c r="C5052" s="77" t="s">
        <v>1571</v>
      </c>
      <c r="D5052" s="13">
        <f>SUMIFS('Lançamentos de despesas'!$I:$I,'Lançamentos de despesas'!$G:$G,A5052,'Lançamentos de despesas'!$E:$E,"PAGO",'Lançamentos de despesas'!$C:$C,B5052)</f>
        <v>0</v>
      </c>
      <c r="E5052" s="15">
        <f t="shared" si="1"/>
        <v>2026</v>
      </c>
      <c r="F5052" s="15">
        <f t="shared" si="2"/>
        <v>3</v>
      </c>
      <c r="G5052" s="15">
        <f t="shared" si="3"/>
        <v>7</v>
      </c>
    </row>
    <row r="5053">
      <c r="A5053" s="10" t="s">
        <v>37</v>
      </c>
      <c r="B5053" s="94">
        <f t="shared" si="5"/>
        <v>46088</v>
      </c>
      <c r="C5053" s="77" t="s">
        <v>1572</v>
      </c>
      <c r="D5053" s="13">
        <f>D5050+D5051-D5052</f>
        <v>59562.08</v>
      </c>
      <c r="E5053" s="15">
        <f t="shared" si="1"/>
        <v>2026</v>
      </c>
      <c r="F5053" s="15">
        <f t="shared" si="2"/>
        <v>3</v>
      </c>
      <c r="G5053" s="15">
        <f t="shared" si="3"/>
        <v>7</v>
      </c>
    </row>
    <row r="5054">
      <c r="A5054" s="10" t="s">
        <v>37</v>
      </c>
      <c r="B5054" s="94">
        <f t="shared" si="5"/>
        <v>46089</v>
      </c>
      <c r="C5054" s="77" t="s">
        <v>1569</v>
      </c>
      <c r="D5054" s="13">
        <f>D5053</f>
        <v>59562.08</v>
      </c>
      <c r="E5054" s="15">
        <f t="shared" si="1"/>
        <v>2026</v>
      </c>
      <c r="F5054" s="15">
        <f t="shared" si="2"/>
        <v>3</v>
      </c>
      <c r="G5054" s="15">
        <f t="shared" si="3"/>
        <v>8</v>
      </c>
    </row>
    <row r="5055">
      <c r="A5055" s="10" t="s">
        <v>37</v>
      </c>
      <c r="B5055" s="94">
        <f t="shared" si="5"/>
        <v>46089</v>
      </c>
      <c r="C5055" s="77" t="s">
        <v>1570</v>
      </c>
      <c r="D5055" s="13">
        <f>SUMIFS('Lançamentos de receitas'!$E:$E,'Lançamentos de receitas'!$F:$F,"PAGO",'Lançamentos de receitas'!$C:$C,A5055,'Lançamentos de receitas'!$A:$A,B5055)</f>
        <v>2726.63</v>
      </c>
      <c r="E5055" s="15">
        <f t="shared" si="1"/>
        <v>2026</v>
      </c>
      <c r="F5055" s="15">
        <f t="shared" si="2"/>
        <v>3</v>
      </c>
      <c r="G5055" s="15">
        <f t="shared" si="3"/>
        <v>8</v>
      </c>
    </row>
    <row r="5056">
      <c r="A5056" s="10" t="s">
        <v>37</v>
      </c>
      <c r="B5056" s="94">
        <f t="shared" si="5"/>
        <v>46089</v>
      </c>
      <c r="C5056" s="77" t="s">
        <v>1571</v>
      </c>
      <c r="D5056" s="13">
        <f>SUMIFS('Lançamentos de despesas'!$I:$I,'Lançamentos de despesas'!$G:$G,A5056,'Lançamentos de despesas'!$E:$E,"PAGO",'Lançamentos de despesas'!$C:$C,B5056)</f>
        <v>0</v>
      </c>
      <c r="E5056" s="15">
        <f t="shared" si="1"/>
        <v>2026</v>
      </c>
      <c r="F5056" s="15">
        <f t="shared" si="2"/>
        <v>3</v>
      </c>
      <c r="G5056" s="15">
        <f t="shared" si="3"/>
        <v>8</v>
      </c>
    </row>
    <row r="5057">
      <c r="A5057" s="10" t="s">
        <v>37</v>
      </c>
      <c r="B5057" s="94">
        <f t="shared" si="5"/>
        <v>46089</v>
      </c>
      <c r="C5057" s="77" t="s">
        <v>1572</v>
      </c>
      <c r="D5057" s="13">
        <f>D5054+D5055-D5056</f>
        <v>62288.71</v>
      </c>
      <c r="E5057" s="15">
        <f t="shared" si="1"/>
        <v>2026</v>
      </c>
      <c r="F5057" s="15">
        <f t="shared" si="2"/>
        <v>3</v>
      </c>
      <c r="G5057" s="15">
        <f t="shared" si="3"/>
        <v>8</v>
      </c>
    </row>
    <row r="5058">
      <c r="A5058" s="10" t="s">
        <v>37</v>
      </c>
      <c r="B5058" s="94">
        <f t="shared" si="5"/>
        <v>46090</v>
      </c>
      <c r="C5058" s="77" t="s">
        <v>1569</v>
      </c>
      <c r="D5058" s="13">
        <f>D5057</f>
        <v>62288.71</v>
      </c>
      <c r="E5058" s="15">
        <f t="shared" si="1"/>
        <v>2026</v>
      </c>
      <c r="F5058" s="15">
        <f t="shared" si="2"/>
        <v>3</v>
      </c>
      <c r="G5058" s="15">
        <f t="shared" si="3"/>
        <v>9</v>
      </c>
    </row>
    <row r="5059">
      <c r="A5059" s="10" t="s">
        <v>37</v>
      </c>
      <c r="B5059" s="94">
        <f t="shared" si="5"/>
        <v>46090</v>
      </c>
      <c r="C5059" s="77" t="s">
        <v>1570</v>
      </c>
      <c r="D5059" s="13">
        <f>SUMIFS('Lançamentos de receitas'!$E:$E,'Lançamentos de receitas'!$F:$F,"PAGO",'Lançamentos de receitas'!$C:$C,A5059,'Lançamentos de receitas'!$A:$A,B5059)</f>
        <v>46.53</v>
      </c>
      <c r="E5059" s="15">
        <f t="shared" si="1"/>
        <v>2026</v>
      </c>
      <c r="F5059" s="15">
        <f t="shared" si="2"/>
        <v>3</v>
      </c>
      <c r="G5059" s="15">
        <f t="shared" si="3"/>
        <v>9</v>
      </c>
    </row>
    <row r="5060">
      <c r="A5060" s="10" t="s">
        <v>37</v>
      </c>
      <c r="B5060" s="94">
        <f t="shared" si="5"/>
        <v>46090</v>
      </c>
      <c r="C5060" s="77" t="s">
        <v>1571</v>
      </c>
      <c r="D5060" s="13">
        <f>SUMIFS('Lançamentos de despesas'!$I:$I,'Lançamentos de despesas'!$G:$G,A5060,'Lançamentos de despesas'!$E:$E,"PAGO",'Lançamentos de despesas'!$C:$C,B5060)</f>
        <v>544.99</v>
      </c>
      <c r="E5060" s="15">
        <f t="shared" si="1"/>
        <v>2026</v>
      </c>
      <c r="F5060" s="15">
        <f t="shared" si="2"/>
        <v>3</v>
      </c>
      <c r="G5060" s="15">
        <f t="shared" si="3"/>
        <v>9</v>
      </c>
    </row>
    <row r="5061">
      <c r="A5061" s="10" t="s">
        <v>37</v>
      </c>
      <c r="B5061" s="94">
        <f t="shared" si="5"/>
        <v>46090</v>
      </c>
      <c r="C5061" s="77" t="s">
        <v>1572</v>
      </c>
      <c r="D5061" s="13">
        <f>D5058+D5059-D5060</f>
        <v>61790.25</v>
      </c>
      <c r="E5061" s="15">
        <f t="shared" si="1"/>
        <v>2026</v>
      </c>
      <c r="F5061" s="15">
        <f t="shared" si="2"/>
        <v>3</v>
      </c>
      <c r="G5061" s="15">
        <f t="shared" si="3"/>
        <v>9</v>
      </c>
    </row>
    <row r="5062">
      <c r="A5062" s="10" t="s">
        <v>37</v>
      </c>
      <c r="B5062" s="94">
        <f t="shared" si="5"/>
        <v>46091</v>
      </c>
      <c r="C5062" s="77" t="s">
        <v>1569</v>
      </c>
      <c r="D5062" s="13">
        <f>D5061</f>
        <v>61790.25</v>
      </c>
      <c r="E5062" s="15">
        <f t="shared" si="1"/>
        <v>2026</v>
      </c>
      <c r="F5062" s="15">
        <f t="shared" si="2"/>
        <v>3</v>
      </c>
      <c r="G5062" s="15">
        <f t="shared" si="3"/>
        <v>10</v>
      </c>
    </row>
    <row r="5063">
      <c r="A5063" s="10" t="s">
        <v>37</v>
      </c>
      <c r="B5063" s="94">
        <f t="shared" si="5"/>
        <v>46091</v>
      </c>
      <c r="C5063" s="77" t="s">
        <v>1570</v>
      </c>
      <c r="D5063" s="13">
        <f>SUMIFS('Lançamentos de receitas'!$E:$E,'Lançamentos de receitas'!$F:$F,"PAGO",'Lançamentos de receitas'!$C:$C,A5063,'Lançamentos de receitas'!$A:$A,B5063)</f>
        <v>2631.87</v>
      </c>
      <c r="E5063" s="15">
        <f t="shared" si="1"/>
        <v>2026</v>
      </c>
      <c r="F5063" s="15">
        <f t="shared" si="2"/>
        <v>3</v>
      </c>
      <c r="G5063" s="15">
        <f t="shared" si="3"/>
        <v>10</v>
      </c>
    </row>
    <row r="5064">
      <c r="A5064" s="10" t="s">
        <v>37</v>
      </c>
      <c r="B5064" s="94">
        <f t="shared" si="5"/>
        <v>46091</v>
      </c>
      <c r="C5064" s="77" t="s">
        <v>1571</v>
      </c>
      <c r="D5064" s="13">
        <f>SUMIFS('Lançamentos de despesas'!$I:$I,'Lançamentos de despesas'!$G:$G,A5064,'Lançamentos de despesas'!$E:$E,"PAGO",'Lançamentos de despesas'!$C:$C,B5064)</f>
        <v>3147.29</v>
      </c>
      <c r="E5064" s="15">
        <f t="shared" si="1"/>
        <v>2026</v>
      </c>
      <c r="F5064" s="15">
        <f t="shared" si="2"/>
        <v>3</v>
      </c>
      <c r="G5064" s="15">
        <f t="shared" si="3"/>
        <v>10</v>
      </c>
    </row>
    <row r="5065">
      <c r="A5065" s="10" t="s">
        <v>37</v>
      </c>
      <c r="B5065" s="94">
        <f t="shared" si="5"/>
        <v>46091</v>
      </c>
      <c r="C5065" s="77" t="s">
        <v>1572</v>
      </c>
      <c r="D5065" s="13">
        <f>D5062+D5063-D5064</f>
        <v>61274.83</v>
      </c>
      <c r="E5065" s="15">
        <f t="shared" si="1"/>
        <v>2026</v>
      </c>
      <c r="F5065" s="15">
        <f t="shared" si="2"/>
        <v>3</v>
      </c>
      <c r="G5065" s="15">
        <f t="shared" si="3"/>
        <v>10</v>
      </c>
    </row>
    <row r="5066">
      <c r="A5066" s="10" t="s">
        <v>37</v>
      </c>
      <c r="B5066" s="94">
        <f t="shared" si="5"/>
        <v>46092</v>
      </c>
      <c r="C5066" s="77" t="s">
        <v>1569</v>
      </c>
      <c r="D5066" s="13">
        <f>D5065</f>
        <v>61274.83</v>
      </c>
      <c r="E5066" s="15">
        <f t="shared" si="1"/>
        <v>2026</v>
      </c>
      <c r="F5066" s="15">
        <f t="shared" si="2"/>
        <v>3</v>
      </c>
      <c r="G5066" s="15">
        <f t="shared" si="3"/>
        <v>11</v>
      </c>
    </row>
    <row r="5067">
      <c r="A5067" s="10" t="s">
        <v>37</v>
      </c>
      <c r="B5067" s="94">
        <f t="shared" si="5"/>
        <v>46092</v>
      </c>
      <c r="C5067" s="77" t="s">
        <v>1570</v>
      </c>
      <c r="D5067" s="13">
        <f>SUMIFS('Lançamentos de receitas'!$E:$E,'Lançamentos de receitas'!$F:$F,"PAGO",'Lançamentos de receitas'!$C:$C,A5067,'Lançamentos de receitas'!$A:$A,B5067)</f>
        <v>2515.32</v>
      </c>
      <c r="E5067" s="15">
        <f t="shared" si="1"/>
        <v>2026</v>
      </c>
      <c r="F5067" s="15">
        <f t="shared" si="2"/>
        <v>3</v>
      </c>
      <c r="G5067" s="15">
        <f t="shared" si="3"/>
        <v>11</v>
      </c>
    </row>
    <row r="5068">
      <c r="A5068" s="10" t="s">
        <v>37</v>
      </c>
      <c r="B5068" s="94">
        <f t="shared" si="5"/>
        <v>46092</v>
      </c>
      <c r="C5068" s="77" t="s">
        <v>1571</v>
      </c>
      <c r="D5068" s="13">
        <f>SUMIFS('Lançamentos de despesas'!$I:$I,'Lançamentos de despesas'!$G:$G,A5068,'Lançamentos de despesas'!$E:$E,"PAGO",'Lançamentos de despesas'!$C:$C,B5068)</f>
        <v>650</v>
      </c>
      <c r="E5068" s="15">
        <f t="shared" si="1"/>
        <v>2026</v>
      </c>
      <c r="F5068" s="15">
        <f t="shared" si="2"/>
        <v>3</v>
      </c>
      <c r="G5068" s="15">
        <f t="shared" si="3"/>
        <v>11</v>
      </c>
    </row>
    <row r="5069">
      <c r="A5069" s="10" t="s">
        <v>37</v>
      </c>
      <c r="B5069" s="94">
        <f t="shared" si="5"/>
        <v>46092</v>
      </c>
      <c r="C5069" s="77" t="s">
        <v>1572</v>
      </c>
      <c r="D5069" s="13">
        <f>D5066+D5067-D5068</f>
        <v>63140.15</v>
      </c>
      <c r="E5069" s="15">
        <f t="shared" si="1"/>
        <v>2026</v>
      </c>
      <c r="F5069" s="15">
        <f t="shared" si="2"/>
        <v>3</v>
      </c>
      <c r="G5069" s="15">
        <f t="shared" si="3"/>
        <v>11</v>
      </c>
    </row>
    <row r="5070">
      <c r="A5070" s="10" t="s">
        <v>37</v>
      </c>
      <c r="B5070" s="94">
        <f t="shared" si="5"/>
        <v>46093</v>
      </c>
      <c r="C5070" s="77" t="s">
        <v>1569</v>
      </c>
      <c r="D5070" s="13">
        <f>D5069</f>
        <v>63140.15</v>
      </c>
      <c r="E5070" s="15">
        <f t="shared" si="1"/>
        <v>2026</v>
      </c>
      <c r="F5070" s="15">
        <f t="shared" si="2"/>
        <v>3</v>
      </c>
      <c r="G5070" s="15">
        <f t="shared" si="3"/>
        <v>12</v>
      </c>
    </row>
    <row r="5071">
      <c r="A5071" s="10" t="s">
        <v>37</v>
      </c>
      <c r="B5071" s="94">
        <f t="shared" si="5"/>
        <v>46093</v>
      </c>
      <c r="C5071" s="77" t="s">
        <v>1570</v>
      </c>
      <c r="D5071" s="13">
        <f>SUMIFS('Lançamentos de receitas'!$E:$E,'Lançamentos de receitas'!$F:$F,"PAGO",'Lançamentos de receitas'!$C:$C,A5071,'Lançamentos de receitas'!$A:$A,B5071)</f>
        <v>2881.51</v>
      </c>
      <c r="E5071" s="15">
        <f t="shared" si="1"/>
        <v>2026</v>
      </c>
      <c r="F5071" s="15">
        <f t="shared" si="2"/>
        <v>3</v>
      </c>
      <c r="G5071" s="15">
        <f t="shared" si="3"/>
        <v>12</v>
      </c>
    </row>
    <row r="5072">
      <c r="A5072" s="10" t="s">
        <v>37</v>
      </c>
      <c r="B5072" s="94">
        <f t="shared" si="5"/>
        <v>46093</v>
      </c>
      <c r="C5072" s="77" t="s">
        <v>1571</v>
      </c>
      <c r="D5072" s="13">
        <f>SUMIFS('Lançamentos de despesas'!$I:$I,'Lançamentos de despesas'!$G:$G,A5072,'Lançamentos de despesas'!$E:$E,"PAGO",'Lançamentos de despesas'!$C:$C,B5072)</f>
        <v>60</v>
      </c>
      <c r="E5072" s="15">
        <f t="shared" si="1"/>
        <v>2026</v>
      </c>
      <c r="F5072" s="15">
        <f t="shared" si="2"/>
        <v>3</v>
      </c>
      <c r="G5072" s="15">
        <f t="shared" si="3"/>
        <v>12</v>
      </c>
    </row>
    <row r="5073">
      <c r="A5073" s="10" t="s">
        <v>37</v>
      </c>
      <c r="B5073" s="94">
        <f t="shared" si="5"/>
        <v>46093</v>
      </c>
      <c r="C5073" s="77" t="s">
        <v>1572</v>
      </c>
      <c r="D5073" s="13">
        <f>D5070+D5071-D5072</f>
        <v>65961.66</v>
      </c>
      <c r="E5073" s="15">
        <f t="shared" si="1"/>
        <v>2026</v>
      </c>
      <c r="F5073" s="15">
        <f t="shared" si="2"/>
        <v>3</v>
      </c>
      <c r="G5073" s="15">
        <f t="shared" si="3"/>
        <v>12</v>
      </c>
    </row>
    <row r="5074">
      <c r="A5074" s="10" t="s">
        <v>37</v>
      </c>
      <c r="B5074" s="94">
        <f t="shared" si="5"/>
        <v>46094</v>
      </c>
      <c r="C5074" s="77" t="s">
        <v>1569</v>
      </c>
      <c r="D5074" s="13">
        <f>D5073</f>
        <v>65961.66</v>
      </c>
      <c r="E5074" s="15">
        <f t="shared" si="1"/>
        <v>2026</v>
      </c>
      <c r="F5074" s="15">
        <f t="shared" si="2"/>
        <v>3</v>
      </c>
      <c r="G5074" s="15">
        <f t="shared" si="3"/>
        <v>13</v>
      </c>
    </row>
    <row r="5075">
      <c r="A5075" s="10" t="s">
        <v>37</v>
      </c>
      <c r="B5075" s="94">
        <f t="shared" si="5"/>
        <v>46094</v>
      </c>
      <c r="C5075" s="77" t="s">
        <v>1570</v>
      </c>
      <c r="D5075" s="13">
        <f>SUMIFS('Lançamentos de receitas'!$E:$E,'Lançamentos de receitas'!$F:$F,"PAGO",'Lançamentos de receitas'!$C:$C,A5075,'Lançamentos de receitas'!$A:$A,B5075)</f>
        <v>2225.92</v>
      </c>
      <c r="E5075" s="15">
        <f t="shared" si="1"/>
        <v>2026</v>
      </c>
      <c r="F5075" s="15">
        <f t="shared" si="2"/>
        <v>3</v>
      </c>
      <c r="G5075" s="15">
        <f t="shared" si="3"/>
        <v>13</v>
      </c>
    </row>
    <row r="5076">
      <c r="A5076" s="10" t="s">
        <v>37</v>
      </c>
      <c r="B5076" s="94">
        <f t="shared" si="5"/>
        <v>46094</v>
      </c>
      <c r="C5076" s="77" t="s">
        <v>1571</v>
      </c>
      <c r="D5076" s="13">
        <f>SUMIFS('Lançamentos de despesas'!$I:$I,'Lançamentos de despesas'!$G:$G,A5076,'Lançamentos de despesas'!$E:$E,"PAGO",'Lançamentos de despesas'!$C:$C,B5076)</f>
        <v>2390</v>
      </c>
      <c r="E5076" s="15">
        <f t="shared" si="1"/>
        <v>2026</v>
      </c>
      <c r="F5076" s="15">
        <f t="shared" si="2"/>
        <v>3</v>
      </c>
      <c r="G5076" s="15">
        <f t="shared" si="3"/>
        <v>13</v>
      </c>
    </row>
    <row r="5077">
      <c r="A5077" s="10" t="s">
        <v>37</v>
      </c>
      <c r="B5077" s="94">
        <f t="shared" si="5"/>
        <v>46094</v>
      </c>
      <c r="C5077" s="77" t="s">
        <v>1572</v>
      </c>
      <c r="D5077" s="13">
        <f>D5074+D5075-D5076</f>
        <v>65797.58</v>
      </c>
      <c r="E5077" s="15">
        <f t="shared" si="1"/>
        <v>2026</v>
      </c>
      <c r="F5077" s="15">
        <f t="shared" si="2"/>
        <v>3</v>
      </c>
      <c r="G5077" s="15">
        <f t="shared" si="3"/>
        <v>13</v>
      </c>
    </row>
    <row r="5078">
      <c r="A5078" s="10" t="s">
        <v>37</v>
      </c>
      <c r="B5078" s="94">
        <f t="shared" si="5"/>
        <v>46095</v>
      </c>
      <c r="C5078" s="77" t="s">
        <v>1569</v>
      </c>
      <c r="D5078" s="13">
        <f>D5077</f>
        <v>65797.58</v>
      </c>
      <c r="E5078" s="15">
        <f t="shared" si="1"/>
        <v>2026</v>
      </c>
      <c r="F5078" s="15">
        <f t="shared" si="2"/>
        <v>3</v>
      </c>
      <c r="G5078" s="15">
        <f t="shared" si="3"/>
        <v>14</v>
      </c>
    </row>
    <row r="5079">
      <c r="A5079" s="10" t="s">
        <v>37</v>
      </c>
      <c r="B5079" s="94">
        <f t="shared" si="5"/>
        <v>46095</v>
      </c>
      <c r="C5079" s="77" t="s">
        <v>1570</v>
      </c>
      <c r="D5079" s="13">
        <f>SUMIFS('Lançamentos de receitas'!$E:$E,'Lançamentos de receitas'!$F:$F,"PAGO",'Lançamentos de receitas'!$C:$C,A5079,'Lançamentos de receitas'!$A:$A,B5079)</f>
        <v>3024.09</v>
      </c>
      <c r="E5079" s="15">
        <f t="shared" si="1"/>
        <v>2026</v>
      </c>
      <c r="F5079" s="15">
        <f t="shared" si="2"/>
        <v>3</v>
      </c>
      <c r="G5079" s="15">
        <f t="shared" si="3"/>
        <v>14</v>
      </c>
    </row>
    <row r="5080">
      <c r="A5080" s="10" t="s">
        <v>37</v>
      </c>
      <c r="B5080" s="94">
        <f t="shared" si="5"/>
        <v>46095</v>
      </c>
      <c r="C5080" s="77" t="s">
        <v>1571</v>
      </c>
      <c r="D5080" s="13">
        <f>SUMIFS('Lançamentos de despesas'!$I:$I,'Lançamentos de despesas'!$G:$G,A5080,'Lançamentos de despesas'!$E:$E,"PAGO",'Lançamentos de despesas'!$C:$C,B5080)</f>
        <v>0</v>
      </c>
      <c r="E5080" s="15">
        <f t="shared" si="1"/>
        <v>2026</v>
      </c>
      <c r="F5080" s="15">
        <f t="shared" si="2"/>
        <v>3</v>
      </c>
      <c r="G5080" s="15">
        <f t="shared" si="3"/>
        <v>14</v>
      </c>
    </row>
    <row r="5081">
      <c r="A5081" s="10" t="s">
        <v>37</v>
      </c>
      <c r="B5081" s="94">
        <f t="shared" si="5"/>
        <v>46095</v>
      </c>
      <c r="C5081" s="77" t="s">
        <v>1572</v>
      </c>
      <c r="D5081" s="13">
        <f>D5078+D5079-D5080</f>
        <v>68821.67</v>
      </c>
      <c r="E5081" s="15">
        <f t="shared" si="1"/>
        <v>2026</v>
      </c>
      <c r="F5081" s="15">
        <f t="shared" si="2"/>
        <v>3</v>
      </c>
      <c r="G5081" s="15">
        <f t="shared" si="3"/>
        <v>14</v>
      </c>
    </row>
    <row r="5082">
      <c r="A5082" s="10" t="s">
        <v>37</v>
      </c>
      <c r="B5082" s="94">
        <f t="shared" si="5"/>
        <v>46096</v>
      </c>
      <c r="C5082" s="77" t="s">
        <v>1569</v>
      </c>
      <c r="D5082" s="13">
        <f>D5081</f>
        <v>68821.67</v>
      </c>
      <c r="E5082" s="15">
        <f t="shared" si="1"/>
        <v>2026</v>
      </c>
      <c r="F5082" s="15">
        <f t="shared" si="2"/>
        <v>3</v>
      </c>
      <c r="G5082" s="15">
        <f t="shared" si="3"/>
        <v>15</v>
      </c>
    </row>
    <row r="5083">
      <c r="A5083" s="10" t="s">
        <v>37</v>
      </c>
      <c r="B5083" s="94">
        <f t="shared" si="5"/>
        <v>46096</v>
      </c>
      <c r="C5083" s="77" t="s">
        <v>1570</v>
      </c>
      <c r="D5083" s="13">
        <f>SUMIFS('Lançamentos de receitas'!$E:$E,'Lançamentos de receitas'!$F:$F,"PAGO",'Lançamentos de receitas'!$C:$C,A5083,'Lançamentos de receitas'!$A:$A,B5083)</f>
        <v>3184.48</v>
      </c>
      <c r="E5083" s="15">
        <f t="shared" si="1"/>
        <v>2026</v>
      </c>
      <c r="F5083" s="15">
        <f t="shared" si="2"/>
        <v>3</v>
      </c>
      <c r="G5083" s="15">
        <f t="shared" si="3"/>
        <v>15</v>
      </c>
    </row>
    <row r="5084">
      <c r="A5084" s="10" t="s">
        <v>37</v>
      </c>
      <c r="B5084" s="94">
        <f t="shared" si="5"/>
        <v>46096</v>
      </c>
      <c r="C5084" s="77" t="s">
        <v>1571</v>
      </c>
      <c r="D5084" s="13">
        <f>SUMIFS('Lançamentos de despesas'!$I:$I,'Lançamentos de despesas'!$G:$G,A5084,'Lançamentos de despesas'!$E:$E,"PAGO",'Lançamentos de despesas'!$C:$C,B5084)</f>
        <v>0</v>
      </c>
      <c r="E5084" s="15">
        <f t="shared" si="1"/>
        <v>2026</v>
      </c>
      <c r="F5084" s="15">
        <f t="shared" si="2"/>
        <v>3</v>
      </c>
      <c r="G5084" s="15">
        <f t="shared" si="3"/>
        <v>15</v>
      </c>
    </row>
    <row r="5085">
      <c r="A5085" s="10" t="s">
        <v>37</v>
      </c>
      <c r="B5085" s="94">
        <f t="shared" si="5"/>
        <v>46096</v>
      </c>
      <c r="C5085" s="77" t="s">
        <v>1572</v>
      </c>
      <c r="D5085" s="13">
        <f>D5082+D5083-D5084</f>
        <v>72006.15</v>
      </c>
      <c r="E5085" s="15">
        <f t="shared" si="1"/>
        <v>2026</v>
      </c>
      <c r="F5085" s="15">
        <f t="shared" si="2"/>
        <v>3</v>
      </c>
      <c r="G5085" s="15">
        <f t="shared" si="3"/>
        <v>15</v>
      </c>
    </row>
    <row r="5086">
      <c r="A5086" s="10" t="s">
        <v>37</v>
      </c>
      <c r="B5086" s="94">
        <f t="shared" si="5"/>
        <v>46097</v>
      </c>
      <c r="C5086" s="77" t="s">
        <v>1569</v>
      </c>
      <c r="D5086" s="13">
        <f>D5085</f>
        <v>72006.15</v>
      </c>
      <c r="E5086" s="15">
        <f t="shared" si="1"/>
        <v>2026</v>
      </c>
      <c r="F5086" s="15">
        <f t="shared" si="2"/>
        <v>3</v>
      </c>
      <c r="G5086" s="15">
        <f t="shared" si="3"/>
        <v>16</v>
      </c>
    </row>
    <row r="5087">
      <c r="A5087" s="10" t="s">
        <v>37</v>
      </c>
      <c r="B5087" s="94">
        <f t="shared" si="5"/>
        <v>46097</v>
      </c>
      <c r="C5087" s="77" t="s">
        <v>1570</v>
      </c>
      <c r="D5087" s="13">
        <f>SUMIFS('Lançamentos de receitas'!$E:$E,'Lançamentos de receitas'!$F:$F,"PAGO",'Lançamentos de receitas'!$C:$C,A5087,'Lançamentos de receitas'!$A:$A,B5087)</f>
        <v>483.5</v>
      </c>
      <c r="E5087" s="15">
        <f t="shared" si="1"/>
        <v>2026</v>
      </c>
      <c r="F5087" s="15">
        <f t="shared" si="2"/>
        <v>3</v>
      </c>
      <c r="G5087" s="15">
        <f t="shared" si="3"/>
        <v>16</v>
      </c>
    </row>
    <row r="5088">
      <c r="A5088" s="10" t="s">
        <v>37</v>
      </c>
      <c r="B5088" s="94">
        <f t="shared" si="5"/>
        <v>46097</v>
      </c>
      <c r="C5088" s="77" t="s">
        <v>1571</v>
      </c>
      <c r="D5088" s="13">
        <f>SUMIFS('Lançamentos de despesas'!$I:$I,'Lançamentos de despesas'!$G:$G,A5088,'Lançamentos de despesas'!$E:$E,"PAGO",'Lançamentos de despesas'!$C:$C,B5088)</f>
        <v>683.26</v>
      </c>
      <c r="E5088" s="15">
        <f t="shared" si="1"/>
        <v>2026</v>
      </c>
      <c r="F5088" s="15">
        <f t="shared" si="2"/>
        <v>3</v>
      </c>
      <c r="G5088" s="15">
        <f t="shared" si="3"/>
        <v>16</v>
      </c>
    </row>
    <row r="5089">
      <c r="A5089" s="10" t="s">
        <v>37</v>
      </c>
      <c r="B5089" s="94">
        <f t="shared" si="5"/>
        <v>46097</v>
      </c>
      <c r="C5089" s="77" t="s">
        <v>1572</v>
      </c>
      <c r="D5089" s="13">
        <f>D5086+D5087-D5088</f>
        <v>71806.39</v>
      </c>
      <c r="E5089" s="15">
        <f t="shared" si="1"/>
        <v>2026</v>
      </c>
      <c r="F5089" s="15">
        <f t="shared" si="2"/>
        <v>3</v>
      </c>
      <c r="G5089" s="15">
        <f t="shared" si="3"/>
        <v>16</v>
      </c>
    </row>
    <row r="5090">
      <c r="A5090" s="10" t="s">
        <v>37</v>
      </c>
      <c r="B5090" s="94">
        <f t="shared" si="5"/>
        <v>46098</v>
      </c>
      <c r="C5090" s="77" t="s">
        <v>1569</v>
      </c>
      <c r="D5090" s="13">
        <f>D5089</f>
        <v>71806.39</v>
      </c>
      <c r="E5090" s="15">
        <f t="shared" si="1"/>
        <v>2026</v>
      </c>
      <c r="F5090" s="15">
        <f t="shared" si="2"/>
        <v>3</v>
      </c>
      <c r="G5090" s="15">
        <f t="shared" si="3"/>
        <v>17</v>
      </c>
    </row>
    <row r="5091">
      <c r="A5091" s="10" t="s">
        <v>37</v>
      </c>
      <c r="B5091" s="94">
        <f t="shared" si="5"/>
        <v>46098</v>
      </c>
      <c r="C5091" s="77" t="s">
        <v>1570</v>
      </c>
      <c r="D5091" s="13">
        <f>SUMIFS('Lançamentos de receitas'!$E:$E,'Lançamentos de receitas'!$F:$F,"PAGO",'Lançamentos de receitas'!$C:$C,A5091,'Lançamentos de receitas'!$A:$A,B5091)</f>
        <v>3682.04</v>
      </c>
      <c r="E5091" s="15">
        <f t="shared" si="1"/>
        <v>2026</v>
      </c>
      <c r="F5091" s="15">
        <f t="shared" si="2"/>
        <v>3</v>
      </c>
      <c r="G5091" s="15">
        <f t="shared" si="3"/>
        <v>17</v>
      </c>
    </row>
    <row r="5092">
      <c r="A5092" s="10" t="s">
        <v>37</v>
      </c>
      <c r="B5092" s="94">
        <f t="shared" si="5"/>
        <v>46098</v>
      </c>
      <c r="C5092" s="77" t="s">
        <v>1571</v>
      </c>
      <c r="D5092" s="13">
        <f>SUMIFS('Lançamentos de despesas'!$I:$I,'Lançamentos de despesas'!$G:$G,A5092,'Lançamentos de despesas'!$E:$E,"PAGO",'Lançamentos de despesas'!$C:$C,B5092)</f>
        <v>4000</v>
      </c>
      <c r="E5092" s="15">
        <f t="shared" si="1"/>
        <v>2026</v>
      </c>
      <c r="F5092" s="15">
        <f t="shared" si="2"/>
        <v>3</v>
      </c>
      <c r="G5092" s="15">
        <f t="shared" si="3"/>
        <v>17</v>
      </c>
    </row>
    <row r="5093">
      <c r="A5093" s="10" t="s">
        <v>37</v>
      </c>
      <c r="B5093" s="94">
        <f t="shared" si="5"/>
        <v>46098</v>
      </c>
      <c r="C5093" s="77" t="s">
        <v>1572</v>
      </c>
      <c r="D5093" s="13">
        <f>D5090+D5091-D5092</f>
        <v>71488.43</v>
      </c>
      <c r="E5093" s="15">
        <f t="shared" si="1"/>
        <v>2026</v>
      </c>
      <c r="F5093" s="15">
        <f t="shared" si="2"/>
        <v>3</v>
      </c>
      <c r="G5093" s="15">
        <f t="shared" si="3"/>
        <v>17</v>
      </c>
    </row>
    <row r="5094">
      <c r="A5094" s="10" t="s">
        <v>37</v>
      </c>
      <c r="B5094" s="94">
        <f t="shared" si="5"/>
        <v>46099</v>
      </c>
      <c r="C5094" s="77" t="s">
        <v>1569</v>
      </c>
      <c r="D5094" s="13">
        <f>D5093</f>
        <v>71488.43</v>
      </c>
      <c r="E5094" s="15">
        <f t="shared" si="1"/>
        <v>2026</v>
      </c>
      <c r="F5094" s="15">
        <f t="shared" si="2"/>
        <v>3</v>
      </c>
      <c r="G5094" s="15">
        <f t="shared" si="3"/>
        <v>18</v>
      </c>
    </row>
    <row r="5095">
      <c r="A5095" s="10" t="s">
        <v>37</v>
      </c>
      <c r="B5095" s="94">
        <f t="shared" si="5"/>
        <v>46099</v>
      </c>
      <c r="C5095" s="77" t="s">
        <v>1570</v>
      </c>
      <c r="D5095" s="13">
        <f>SUMIFS('Lançamentos de receitas'!$E:$E,'Lançamentos de receitas'!$F:$F,"PAGO",'Lançamentos de receitas'!$C:$C,A5095,'Lançamentos de receitas'!$A:$A,B5095)</f>
        <v>4050.51</v>
      </c>
      <c r="E5095" s="15">
        <f t="shared" si="1"/>
        <v>2026</v>
      </c>
      <c r="F5095" s="15">
        <f t="shared" si="2"/>
        <v>3</v>
      </c>
      <c r="G5095" s="15">
        <f t="shared" si="3"/>
        <v>18</v>
      </c>
    </row>
    <row r="5096">
      <c r="A5096" s="10" t="s">
        <v>37</v>
      </c>
      <c r="B5096" s="94">
        <f t="shared" si="5"/>
        <v>46099</v>
      </c>
      <c r="C5096" s="77" t="s">
        <v>1571</v>
      </c>
      <c r="D5096" s="13">
        <f>SUMIFS('Lançamentos de despesas'!$I:$I,'Lançamentos de despesas'!$G:$G,A5096,'Lançamentos de despesas'!$E:$E,"PAGO",'Lançamentos de despesas'!$C:$C,B5096)</f>
        <v>862.51</v>
      </c>
      <c r="E5096" s="15">
        <f t="shared" si="1"/>
        <v>2026</v>
      </c>
      <c r="F5096" s="15">
        <f t="shared" si="2"/>
        <v>3</v>
      </c>
      <c r="G5096" s="15">
        <f t="shared" si="3"/>
        <v>18</v>
      </c>
    </row>
    <row r="5097">
      <c r="A5097" s="10" t="s">
        <v>37</v>
      </c>
      <c r="B5097" s="94">
        <f t="shared" si="5"/>
        <v>46099</v>
      </c>
      <c r="C5097" s="77" t="s">
        <v>1572</v>
      </c>
      <c r="D5097" s="13">
        <f>D5094+D5095-D5096</f>
        <v>74676.43</v>
      </c>
      <c r="E5097" s="15">
        <f t="shared" si="1"/>
        <v>2026</v>
      </c>
      <c r="F5097" s="15">
        <f t="shared" si="2"/>
        <v>3</v>
      </c>
      <c r="G5097" s="15">
        <f t="shared" si="3"/>
        <v>18</v>
      </c>
    </row>
    <row r="5098">
      <c r="A5098" s="10" t="s">
        <v>37</v>
      </c>
      <c r="B5098" s="94">
        <f t="shared" si="5"/>
        <v>46100</v>
      </c>
      <c r="C5098" s="77" t="s">
        <v>1569</v>
      </c>
      <c r="D5098" s="13">
        <f>D5097</f>
        <v>74676.43</v>
      </c>
      <c r="E5098" s="15">
        <f t="shared" si="1"/>
        <v>2026</v>
      </c>
      <c r="F5098" s="15">
        <f t="shared" si="2"/>
        <v>3</v>
      </c>
      <c r="G5098" s="15">
        <f t="shared" si="3"/>
        <v>19</v>
      </c>
    </row>
    <row r="5099">
      <c r="A5099" s="10" t="s">
        <v>37</v>
      </c>
      <c r="B5099" s="94">
        <f t="shared" si="5"/>
        <v>46100</v>
      </c>
      <c r="C5099" s="77" t="s">
        <v>1570</v>
      </c>
      <c r="D5099" s="13">
        <f>SUMIFS('Lançamentos de receitas'!$E:$E,'Lançamentos de receitas'!$F:$F,"PAGO",'Lançamentos de receitas'!$C:$C,A5099,'Lançamentos de receitas'!$A:$A,B5099)</f>
        <v>4652.09</v>
      </c>
      <c r="E5099" s="15">
        <f t="shared" si="1"/>
        <v>2026</v>
      </c>
      <c r="F5099" s="15">
        <f t="shared" si="2"/>
        <v>3</v>
      </c>
      <c r="G5099" s="15">
        <f t="shared" si="3"/>
        <v>19</v>
      </c>
    </row>
    <row r="5100">
      <c r="A5100" s="10" t="s">
        <v>37</v>
      </c>
      <c r="B5100" s="94">
        <f t="shared" si="5"/>
        <v>46100</v>
      </c>
      <c r="C5100" s="77" t="s">
        <v>1571</v>
      </c>
      <c r="D5100" s="13">
        <f>SUMIFS('Lançamentos de despesas'!$I:$I,'Lançamentos de despesas'!$G:$G,A5100,'Lançamentos de despesas'!$E:$E,"PAGO",'Lançamentos de despesas'!$C:$C,B5100)</f>
        <v>160</v>
      </c>
      <c r="E5100" s="15">
        <f t="shared" si="1"/>
        <v>2026</v>
      </c>
      <c r="F5100" s="15">
        <f t="shared" si="2"/>
        <v>3</v>
      </c>
      <c r="G5100" s="15">
        <f t="shared" si="3"/>
        <v>19</v>
      </c>
    </row>
    <row r="5101">
      <c r="A5101" s="10" t="s">
        <v>37</v>
      </c>
      <c r="B5101" s="94">
        <f t="shared" si="5"/>
        <v>46100</v>
      </c>
      <c r="C5101" s="77" t="s">
        <v>1572</v>
      </c>
      <c r="D5101" s="13">
        <f>D5098+D5099-D5100</f>
        <v>79168.52</v>
      </c>
      <c r="E5101" s="15">
        <f t="shared" si="1"/>
        <v>2026</v>
      </c>
      <c r="F5101" s="15">
        <f t="shared" si="2"/>
        <v>3</v>
      </c>
      <c r="G5101" s="15">
        <f t="shared" si="3"/>
        <v>19</v>
      </c>
    </row>
    <row r="5102">
      <c r="A5102" s="10" t="s">
        <v>37</v>
      </c>
      <c r="B5102" s="94">
        <f t="shared" si="5"/>
        <v>46101</v>
      </c>
      <c r="C5102" s="77" t="s">
        <v>1569</v>
      </c>
      <c r="D5102" s="13">
        <f>D5101</f>
        <v>79168.52</v>
      </c>
      <c r="E5102" s="15">
        <f t="shared" si="1"/>
        <v>2026</v>
      </c>
      <c r="F5102" s="15">
        <f t="shared" si="2"/>
        <v>3</v>
      </c>
      <c r="G5102" s="15">
        <f t="shared" si="3"/>
        <v>20</v>
      </c>
    </row>
    <row r="5103">
      <c r="A5103" s="10" t="s">
        <v>37</v>
      </c>
      <c r="B5103" s="94">
        <f t="shared" si="5"/>
        <v>46101</v>
      </c>
      <c r="C5103" s="77" t="s">
        <v>1570</v>
      </c>
      <c r="D5103" s="13">
        <f>SUMIFS('Lançamentos de receitas'!$E:$E,'Lançamentos de receitas'!$F:$F,"PAGO",'Lançamentos de receitas'!$C:$C,A5103,'Lançamentos de receitas'!$A:$A,B5103)</f>
        <v>4230.22</v>
      </c>
      <c r="E5103" s="15">
        <f t="shared" si="1"/>
        <v>2026</v>
      </c>
      <c r="F5103" s="15">
        <f t="shared" si="2"/>
        <v>3</v>
      </c>
      <c r="G5103" s="15">
        <f t="shared" si="3"/>
        <v>20</v>
      </c>
    </row>
    <row r="5104">
      <c r="A5104" s="10" t="s">
        <v>37</v>
      </c>
      <c r="B5104" s="94">
        <f t="shared" si="5"/>
        <v>46101</v>
      </c>
      <c r="C5104" s="77" t="s">
        <v>1571</v>
      </c>
      <c r="D5104" s="13">
        <f>SUMIFS('Lançamentos de despesas'!$I:$I,'Lançamentos de despesas'!$G:$G,A5104,'Lançamentos de despesas'!$E:$E,"PAGO",'Lançamentos de despesas'!$C:$C,B5104)</f>
        <v>10902.6</v>
      </c>
      <c r="E5104" s="15">
        <f t="shared" si="1"/>
        <v>2026</v>
      </c>
      <c r="F5104" s="15">
        <f t="shared" si="2"/>
        <v>3</v>
      </c>
      <c r="G5104" s="15">
        <f t="shared" si="3"/>
        <v>20</v>
      </c>
    </row>
    <row r="5105">
      <c r="A5105" s="10" t="s">
        <v>37</v>
      </c>
      <c r="B5105" s="94">
        <f t="shared" si="5"/>
        <v>46101</v>
      </c>
      <c r="C5105" s="77" t="s">
        <v>1572</v>
      </c>
      <c r="D5105" s="13">
        <f>D5102+D5103-D5104</f>
        <v>72496.14</v>
      </c>
      <c r="E5105" s="15">
        <f t="shared" si="1"/>
        <v>2026</v>
      </c>
      <c r="F5105" s="15">
        <f t="shared" si="2"/>
        <v>3</v>
      </c>
      <c r="G5105" s="15">
        <f t="shared" si="3"/>
        <v>20</v>
      </c>
    </row>
    <row r="5106">
      <c r="A5106" s="10" t="s">
        <v>37</v>
      </c>
      <c r="B5106" s="94">
        <f t="shared" si="5"/>
        <v>46102</v>
      </c>
      <c r="C5106" s="77" t="s">
        <v>1569</v>
      </c>
      <c r="D5106" s="13">
        <f>D5105</f>
        <v>72496.14</v>
      </c>
      <c r="E5106" s="15">
        <f t="shared" si="1"/>
        <v>2026</v>
      </c>
      <c r="F5106" s="15">
        <f t="shared" si="2"/>
        <v>3</v>
      </c>
      <c r="G5106" s="15">
        <f t="shared" si="3"/>
        <v>21</v>
      </c>
    </row>
    <row r="5107">
      <c r="A5107" s="10" t="s">
        <v>37</v>
      </c>
      <c r="B5107" s="94">
        <f t="shared" si="5"/>
        <v>46102</v>
      </c>
      <c r="C5107" s="77" t="s">
        <v>1570</v>
      </c>
      <c r="D5107" s="13">
        <f>SUMIFS('Lançamentos de receitas'!$E:$E,'Lançamentos de receitas'!$F:$F,"PAGO",'Lançamentos de receitas'!$C:$C,A5107,'Lançamentos de receitas'!$A:$A,B5107)</f>
        <v>4312.99</v>
      </c>
      <c r="E5107" s="15">
        <f t="shared" si="1"/>
        <v>2026</v>
      </c>
      <c r="F5107" s="15">
        <f t="shared" si="2"/>
        <v>3</v>
      </c>
      <c r="G5107" s="15">
        <f t="shared" si="3"/>
        <v>21</v>
      </c>
    </row>
    <row r="5108">
      <c r="A5108" s="10" t="s">
        <v>37</v>
      </c>
      <c r="B5108" s="94">
        <f t="shared" si="5"/>
        <v>46102</v>
      </c>
      <c r="C5108" s="77" t="s">
        <v>1571</v>
      </c>
      <c r="D5108" s="13">
        <f>SUMIFS('Lançamentos de despesas'!$I:$I,'Lançamentos de despesas'!$G:$G,A5108,'Lançamentos de despesas'!$E:$E,"PAGO",'Lançamentos de despesas'!$C:$C,B5108)</f>
        <v>0</v>
      </c>
      <c r="E5108" s="15">
        <f t="shared" si="1"/>
        <v>2026</v>
      </c>
      <c r="F5108" s="15">
        <f t="shared" si="2"/>
        <v>3</v>
      </c>
      <c r="G5108" s="15">
        <f t="shared" si="3"/>
        <v>21</v>
      </c>
    </row>
    <row r="5109">
      <c r="A5109" s="10" t="s">
        <v>37</v>
      </c>
      <c r="B5109" s="94">
        <f t="shared" si="5"/>
        <v>46102</v>
      </c>
      <c r="C5109" s="77" t="s">
        <v>1572</v>
      </c>
      <c r="D5109" s="13">
        <f>D5106+D5107-D5108</f>
        <v>76809.13</v>
      </c>
      <c r="E5109" s="15">
        <f t="shared" si="1"/>
        <v>2026</v>
      </c>
      <c r="F5109" s="15">
        <f t="shared" si="2"/>
        <v>3</v>
      </c>
      <c r="G5109" s="15">
        <f t="shared" si="3"/>
        <v>21</v>
      </c>
    </row>
    <row r="5110">
      <c r="A5110" s="10" t="s">
        <v>37</v>
      </c>
      <c r="B5110" s="94">
        <f t="shared" si="5"/>
        <v>46103</v>
      </c>
      <c r="C5110" s="77" t="s">
        <v>1569</v>
      </c>
      <c r="D5110" s="13">
        <f>D5109</f>
        <v>76809.13</v>
      </c>
      <c r="E5110" s="15">
        <f t="shared" si="1"/>
        <v>2026</v>
      </c>
      <c r="F5110" s="15">
        <f t="shared" si="2"/>
        <v>3</v>
      </c>
      <c r="G5110" s="15">
        <f t="shared" si="3"/>
        <v>22</v>
      </c>
    </row>
    <row r="5111">
      <c r="A5111" s="10" t="s">
        <v>37</v>
      </c>
      <c r="B5111" s="94">
        <f t="shared" si="5"/>
        <v>46103</v>
      </c>
      <c r="C5111" s="77" t="s">
        <v>1570</v>
      </c>
      <c r="D5111" s="13">
        <f>SUMIFS('Lançamentos de receitas'!$E:$E,'Lançamentos de receitas'!$F:$F,"PAGO",'Lançamentos de receitas'!$C:$C,A5111,'Lançamentos de receitas'!$A:$A,B5111)</f>
        <v>2858.97</v>
      </c>
      <c r="E5111" s="15">
        <f t="shared" si="1"/>
        <v>2026</v>
      </c>
      <c r="F5111" s="15">
        <f t="shared" si="2"/>
        <v>3</v>
      </c>
      <c r="G5111" s="15">
        <f t="shared" si="3"/>
        <v>22</v>
      </c>
    </row>
    <row r="5112">
      <c r="A5112" s="10" t="s">
        <v>37</v>
      </c>
      <c r="B5112" s="94">
        <f t="shared" si="5"/>
        <v>46103</v>
      </c>
      <c r="C5112" s="77" t="s">
        <v>1571</v>
      </c>
      <c r="D5112" s="13">
        <f>SUMIFS('Lançamentos de despesas'!$I:$I,'Lançamentos de despesas'!$G:$G,A5112,'Lançamentos de despesas'!$E:$E,"PAGO",'Lançamentos de despesas'!$C:$C,B5112)</f>
        <v>0</v>
      </c>
      <c r="E5112" s="15">
        <f t="shared" si="1"/>
        <v>2026</v>
      </c>
      <c r="F5112" s="15">
        <f t="shared" si="2"/>
        <v>3</v>
      </c>
      <c r="G5112" s="15">
        <f t="shared" si="3"/>
        <v>22</v>
      </c>
    </row>
    <row r="5113">
      <c r="A5113" s="10" t="s">
        <v>37</v>
      </c>
      <c r="B5113" s="94">
        <f t="shared" si="5"/>
        <v>46103</v>
      </c>
      <c r="C5113" s="77" t="s">
        <v>1572</v>
      </c>
      <c r="D5113" s="13">
        <f>D5110+D5111-D5112</f>
        <v>79668.1</v>
      </c>
      <c r="E5113" s="15">
        <f t="shared" si="1"/>
        <v>2026</v>
      </c>
      <c r="F5113" s="15">
        <f t="shared" si="2"/>
        <v>3</v>
      </c>
      <c r="G5113" s="15">
        <f t="shared" si="3"/>
        <v>22</v>
      </c>
    </row>
    <row r="5114">
      <c r="A5114" s="10" t="s">
        <v>37</v>
      </c>
      <c r="B5114" s="94">
        <f t="shared" si="5"/>
        <v>46104</v>
      </c>
      <c r="C5114" s="77" t="s">
        <v>1569</v>
      </c>
      <c r="D5114" s="13">
        <f>D5113</f>
        <v>79668.1</v>
      </c>
      <c r="E5114" s="15">
        <f t="shared" si="1"/>
        <v>2026</v>
      </c>
      <c r="F5114" s="15">
        <f t="shared" si="2"/>
        <v>3</v>
      </c>
      <c r="G5114" s="15">
        <f t="shared" si="3"/>
        <v>23</v>
      </c>
    </row>
    <row r="5115">
      <c r="A5115" s="10" t="s">
        <v>37</v>
      </c>
      <c r="B5115" s="94">
        <f t="shared" si="5"/>
        <v>46104</v>
      </c>
      <c r="C5115" s="77" t="s">
        <v>1570</v>
      </c>
      <c r="D5115" s="13">
        <f>SUMIFS('Lançamentos de receitas'!$E:$E,'Lançamentos de receitas'!$F:$F,"PAGO",'Lançamentos de receitas'!$C:$C,A5115,'Lançamentos de receitas'!$A:$A,B5115)</f>
        <v>959.45</v>
      </c>
      <c r="E5115" s="15">
        <f t="shared" si="1"/>
        <v>2026</v>
      </c>
      <c r="F5115" s="15">
        <f t="shared" si="2"/>
        <v>3</v>
      </c>
      <c r="G5115" s="15">
        <f t="shared" si="3"/>
        <v>23</v>
      </c>
    </row>
    <row r="5116">
      <c r="A5116" s="10" t="s">
        <v>37</v>
      </c>
      <c r="B5116" s="94">
        <f t="shared" si="5"/>
        <v>46104</v>
      </c>
      <c r="C5116" s="77" t="s">
        <v>1571</v>
      </c>
      <c r="D5116" s="13">
        <f>SUMIFS('Lançamentos de despesas'!$I:$I,'Lançamentos de despesas'!$G:$G,A5116,'Lançamentos de despesas'!$E:$E,"PAGO",'Lançamentos de despesas'!$C:$C,B5116)</f>
        <v>14588.87</v>
      </c>
      <c r="E5116" s="15">
        <f t="shared" si="1"/>
        <v>2026</v>
      </c>
      <c r="F5116" s="15">
        <f t="shared" si="2"/>
        <v>3</v>
      </c>
      <c r="G5116" s="15">
        <f t="shared" si="3"/>
        <v>23</v>
      </c>
    </row>
    <row r="5117">
      <c r="A5117" s="10" t="s">
        <v>37</v>
      </c>
      <c r="B5117" s="94">
        <f t="shared" si="5"/>
        <v>46104</v>
      </c>
      <c r="C5117" s="77" t="s">
        <v>1572</v>
      </c>
      <c r="D5117" s="13">
        <f>D5114+D5115-D5116</f>
        <v>66038.68</v>
      </c>
      <c r="E5117" s="15">
        <f t="shared" si="1"/>
        <v>2026</v>
      </c>
      <c r="F5117" s="15">
        <f t="shared" si="2"/>
        <v>3</v>
      </c>
      <c r="G5117" s="15">
        <f t="shared" si="3"/>
        <v>23</v>
      </c>
    </row>
    <row r="5118">
      <c r="A5118" s="10" t="s">
        <v>37</v>
      </c>
      <c r="B5118" s="94">
        <f t="shared" si="5"/>
        <v>46105</v>
      </c>
      <c r="C5118" s="77" t="s">
        <v>1569</v>
      </c>
      <c r="D5118" s="13">
        <f>D5117</f>
        <v>66038.68</v>
      </c>
      <c r="E5118" s="15">
        <f t="shared" si="1"/>
        <v>2026</v>
      </c>
      <c r="F5118" s="15">
        <f t="shared" si="2"/>
        <v>3</v>
      </c>
      <c r="G5118" s="15">
        <f t="shared" si="3"/>
        <v>24</v>
      </c>
    </row>
    <row r="5119">
      <c r="A5119" s="10" t="s">
        <v>37</v>
      </c>
      <c r="B5119" s="94">
        <f t="shared" si="5"/>
        <v>46105</v>
      </c>
      <c r="C5119" s="77" t="s">
        <v>1570</v>
      </c>
      <c r="D5119" s="13">
        <f>SUMIFS('Lançamentos de receitas'!$E:$E,'Lançamentos de receitas'!$F:$F,"PAGO",'Lançamentos de receitas'!$C:$C,A5119,'Lançamentos de receitas'!$A:$A,B5119)</f>
        <v>0</v>
      </c>
      <c r="E5119" s="15">
        <f t="shared" si="1"/>
        <v>2026</v>
      </c>
      <c r="F5119" s="15">
        <f t="shared" si="2"/>
        <v>3</v>
      </c>
      <c r="G5119" s="15">
        <f t="shared" si="3"/>
        <v>24</v>
      </c>
    </row>
    <row r="5120">
      <c r="A5120" s="10" t="s">
        <v>37</v>
      </c>
      <c r="B5120" s="94">
        <f t="shared" si="5"/>
        <v>46105</v>
      </c>
      <c r="C5120" s="77" t="s">
        <v>1571</v>
      </c>
      <c r="D5120" s="13">
        <f>SUMIFS('Lançamentos de despesas'!$I:$I,'Lançamentos de despesas'!$G:$G,A5120,'Lançamentos de despesas'!$E:$E,"PAGO",'Lançamentos de despesas'!$C:$C,B5120)</f>
        <v>0</v>
      </c>
      <c r="E5120" s="15">
        <f t="shared" si="1"/>
        <v>2026</v>
      </c>
      <c r="F5120" s="15">
        <f t="shared" si="2"/>
        <v>3</v>
      </c>
      <c r="G5120" s="15">
        <f t="shared" si="3"/>
        <v>24</v>
      </c>
    </row>
    <row r="5121">
      <c r="A5121" s="10" t="s">
        <v>37</v>
      </c>
      <c r="B5121" s="94">
        <f t="shared" si="5"/>
        <v>46105</v>
      </c>
      <c r="C5121" s="77" t="s">
        <v>1572</v>
      </c>
      <c r="D5121" s="13">
        <f>D5118+D5119-D5120</f>
        <v>66038.68</v>
      </c>
      <c r="E5121" s="15">
        <f t="shared" si="1"/>
        <v>2026</v>
      </c>
      <c r="F5121" s="15">
        <f t="shared" si="2"/>
        <v>3</v>
      </c>
      <c r="G5121" s="15">
        <f t="shared" si="3"/>
        <v>24</v>
      </c>
    </row>
    <row r="5122">
      <c r="A5122" s="10" t="s">
        <v>37</v>
      </c>
      <c r="B5122" s="94">
        <f t="shared" si="5"/>
        <v>46106</v>
      </c>
      <c r="C5122" s="77" t="s">
        <v>1569</v>
      </c>
      <c r="D5122" s="13">
        <f>D5121</f>
        <v>66038.68</v>
      </c>
      <c r="E5122" s="15">
        <f t="shared" si="1"/>
        <v>2026</v>
      </c>
      <c r="F5122" s="15">
        <f t="shared" si="2"/>
        <v>3</v>
      </c>
      <c r="G5122" s="15">
        <f t="shared" si="3"/>
        <v>25</v>
      </c>
    </row>
    <row r="5123">
      <c r="A5123" s="10" t="s">
        <v>37</v>
      </c>
      <c r="B5123" s="94">
        <f t="shared" si="5"/>
        <v>46106</v>
      </c>
      <c r="C5123" s="77" t="s">
        <v>1570</v>
      </c>
      <c r="D5123" s="13">
        <f>SUMIFS('Lançamentos de receitas'!$E:$E,'Lançamentos de receitas'!$F:$F,"PAGO",'Lançamentos de receitas'!$C:$C,A5123,'Lançamentos de receitas'!$A:$A,B5123)</f>
        <v>0</v>
      </c>
      <c r="E5123" s="15">
        <f t="shared" si="1"/>
        <v>2026</v>
      </c>
      <c r="F5123" s="15">
        <f t="shared" si="2"/>
        <v>3</v>
      </c>
      <c r="G5123" s="15">
        <f t="shared" si="3"/>
        <v>25</v>
      </c>
    </row>
    <row r="5124">
      <c r="A5124" s="10" t="s">
        <v>37</v>
      </c>
      <c r="B5124" s="94">
        <f t="shared" si="5"/>
        <v>46106</v>
      </c>
      <c r="C5124" s="77" t="s">
        <v>1571</v>
      </c>
      <c r="D5124" s="13">
        <f>SUMIFS('Lançamentos de despesas'!$I:$I,'Lançamentos de despesas'!$G:$G,A5124,'Lançamentos de despesas'!$E:$E,"PAGO",'Lançamentos de despesas'!$C:$C,B5124)</f>
        <v>0</v>
      </c>
      <c r="E5124" s="15">
        <f t="shared" si="1"/>
        <v>2026</v>
      </c>
      <c r="F5124" s="15">
        <f t="shared" si="2"/>
        <v>3</v>
      </c>
      <c r="G5124" s="15">
        <f t="shared" si="3"/>
        <v>25</v>
      </c>
    </row>
    <row r="5125">
      <c r="A5125" s="10" t="s">
        <v>37</v>
      </c>
      <c r="B5125" s="94">
        <f t="shared" si="5"/>
        <v>46106</v>
      </c>
      <c r="C5125" s="77" t="s">
        <v>1572</v>
      </c>
      <c r="D5125" s="13">
        <f>D5122+D5123-D5124</f>
        <v>66038.68</v>
      </c>
      <c r="E5125" s="15">
        <f t="shared" si="1"/>
        <v>2026</v>
      </c>
      <c r="F5125" s="15">
        <f t="shared" si="2"/>
        <v>3</v>
      </c>
      <c r="G5125" s="15">
        <f t="shared" si="3"/>
        <v>25</v>
      </c>
    </row>
    <row r="5126">
      <c r="A5126" s="10" t="s">
        <v>37</v>
      </c>
      <c r="B5126" s="94">
        <f t="shared" si="5"/>
        <v>46107</v>
      </c>
      <c r="C5126" s="77" t="s">
        <v>1569</v>
      </c>
      <c r="D5126" s="13">
        <f>D5125</f>
        <v>66038.68</v>
      </c>
      <c r="E5126" s="15">
        <f t="shared" si="1"/>
        <v>2026</v>
      </c>
      <c r="F5126" s="15">
        <f t="shared" si="2"/>
        <v>3</v>
      </c>
      <c r="G5126" s="15">
        <f t="shared" si="3"/>
        <v>26</v>
      </c>
    </row>
    <row r="5127">
      <c r="A5127" s="10" t="s">
        <v>37</v>
      </c>
      <c r="B5127" s="94">
        <f t="shared" si="5"/>
        <v>46107</v>
      </c>
      <c r="C5127" s="77" t="s">
        <v>1570</v>
      </c>
      <c r="D5127" s="13">
        <f>SUMIFS('Lançamentos de receitas'!$E:$E,'Lançamentos de receitas'!$F:$F,"PAGO",'Lançamentos de receitas'!$C:$C,A5127,'Lançamentos de receitas'!$A:$A,B5127)</f>
        <v>0</v>
      </c>
      <c r="E5127" s="15">
        <f t="shared" si="1"/>
        <v>2026</v>
      </c>
      <c r="F5127" s="15">
        <f t="shared" si="2"/>
        <v>3</v>
      </c>
      <c r="G5127" s="15">
        <f t="shared" si="3"/>
        <v>26</v>
      </c>
    </row>
    <row r="5128">
      <c r="A5128" s="10" t="s">
        <v>37</v>
      </c>
      <c r="B5128" s="94">
        <f t="shared" si="5"/>
        <v>46107</v>
      </c>
      <c r="C5128" s="77" t="s">
        <v>1571</v>
      </c>
      <c r="D5128" s="13">
        <f>SUMIFS('Lançamentos de despesas'!$I:$I,'Lançamentos de despesas'!$G:$G,A5128,'Lançamentos de despesas'!$E:$E,"PAGO",'Lançamentos de despesas'!$C:$C,B5128)</f>
        <v>0</v>
      </c>
      <c r="E5128" s="15">
        <f t="shared" si="1"/>
        <v>2026</v>
      </c>
      <c r="F5128" s="15">
        <f t="shared" si="2"/>
        <v>3</v>
      </c>
      <c r="G5128" s="15">
        <f t="shared" si="3"/>
        <v>26</v>
      </c>
    </row>
    <row r="5129">
      <c r="A5129" s="10" t="s">
        <v>37</v>
      </c>
      <c r="B5129" s="94">
        <f t="shared" si="5"/>
        <v>46107</v>
      </c>
      <c r="C5129" s="77" t="s">
        <v>1572</v>
      </c>
      <c r="D5129" s="13">
        <f>D5126+D5127-D5128</f>
        <v>66038.68</v>
      </c>
      <c r="E5129" s="15">
        <f t="shared" si="1"/>
        <v>2026</v>
      </c>
      <c r="F5129" s="15">
        <f t="shared" si="2"/>
        <v>3</v>
      </c>
      <c r="G5129" s="15">
        <f t="shared" si="3"/>
        <v>26</v>
      </c>
    </row>
    <row r="5130">
      <c r="A5130" s="10" t="s">
        <v>37</v>
      </c>
      <c r="B5130" s="94">
        <f t="shared" si="5"/>
        <v>46108</v>
      </c>
      <c r="C5130" s="77" t="s">
        <v>1569</v>
      </c>
      <c r="D5130" s="13">
        <f>D5129</f>
        <v>66038.68</v>
      </c>
      <c r="E5130" s="15">
        <f t="shared" si="1"/>
        <v>2026</v>
      </c>
      <c r="F5130" s="15">
        <f t="shared" si="2"/>
        <v>3</v>
      </c>
      <c r="G5130" s="15">
        <f t="shared" si="3"/>
        <v>27</v>
      </c>
    </row>
    <row r="5131">
      <c r="A5131" s="10" t="s">
        <v>37</v>
      </c>
      <c r="B5131" s="94">
        <f t="shared" si="5"/>
        <v>46108</v>
      </c>
      <c r="C5131" s="77" t="s">
        <v>1570</v>
      </c>
      <c r="D5131" s="13">
        <f>SUMIFS('Lançamentos de receitas'!$E:$E,'Lançamentos de receitas'!$F:$F,"PAGO",'Lançamentos de receitas'!$C:$C,A5131,'Lançamentos de receitas'!$A:$A,B5131)</f>
        <v>0</v>
      </c>
      <c r="E5131" s="15">
        <f t="shared" si="1"/>
        <v>2026</v>
      </c>
      <c r="F5131" s="15">
        <f t="shared" si="2"/>
        <v>3</v>
      </c>
      <c r="G5131" s="15">
        <f t="shared" si="3"/>
        <v>27</v>
      </c>
    </row>
    <row r="5132">
      <c r="A5132" s="10" t="s">
        <v>37</v>
      </c>
      <c r="B5132" s="94">
        <f t="shared" si="5"/>
        <v>46108</v>
      </c>
      <c r="C5132" s="77" t="s">
        <v>1571</v>
      </c>
      <c r="D5132" s="13">
        <f>SUMIFS('Lançamentos de despesas'!$I:$I,'Lançamentos de despesas'!$G:$G,A5132,'Lançamentos de despesas'!$E:$E,"PAGO",'Lançamentos de despesas'!$C:$C,B5132)</f>
        <v>0</v>
      </c>
      <c r="E5132" s="15">
        <f t="shared" si="1"/>
        <v>2026</v>
      </c>
      <c r="F5132" s="15">
        <f t="shared" si="2"/>
        <v>3</v>
      </c>
      <c r="G5132" s="15">
        <f t="shared" si="3"/>
        <v>27</v>
      </c>
    </row>
    <row r="5133">
      <c r="A5133" s="10" t="s">
        <v>37</v>
      </c>
      <c r="B5133" s="94">
        <f t="shared" si="5"/>
        <v>46108</v>
      </c>
      <c r="C5133" s="77" t="s">
        <v>1572</v>
      </c>
      <c r="D5133" s="13">
        <f>D5130+D5131-D5132</f>
        <v>66038.68</v>
      </c>
      <c r="E5133" s="15">
        <f t="shared" si="1"/>
        <v>2026</v>
      </c>
      <c r="F5133" s="15">
        <f t="shared" si="2"/>
        <v>3</v>
      </c>
      <c r="G5133" s="15">
        <f t="shared" si="3"/>
        <v>27</v>
      </c>
    </row>
    <row r="5134">
      <c r="A5134" s="10" t="s">
        <v>37</v>
      </c>
      <c r="B5134" s="94">
        <f t="shared" si="5"/>
        <v>46109</v>
      </c>
      <c r="C5134" s="77" t="s">
        <v>1569</v>
      </c>
      <c r="D5134" s="13">
        <f>D5133</f>
        <v>66038.68</v>
      </c>
      <c r="E5134" s="15">
        <f t="shared" si="1"/>
        <v>2026</v>
      </c>
      <c r="F5134" s="15">
        <f t="shared" si="2"/>
        <v>3</v>
      </c>
      <c r="G5134" s="15">
        <f t="shared" si="3"/>
        <v>28</v>
      </c>
    </row>
    <row r="5135">
      <c r="A5135" s="10" t="s">
        <v>37</v>
      </c>
      <c r="B5135" s="94">
        <f t="shared" si="5"/>
        <v>46109</v>
      </c>
      <c r="C5135" s="77" t="s">
        <v>1570</v>
      </c>
      <c r="D5135" s="13">
        <f>SUMIFS('Lançamentos de receitas'!$E:$E,'Lançamentos de receitas'!$F:$F,"PAGO",'Lançamentos de receitas'!$C:$C,A5135,'Lançamentos de receitas'!$A:$A,B5135)</f>
        <v>0</v>
      </c>
      <c r="E5135" s="15">
        <f t="shared" si="1"/>
        <v>2026</v>
      </c>
      <c r="F5135" s="15">
        <f t="shared" si="2"/>
        <v>3</v>
      </c>
      <c r="G5135" s="15">
        <f t="shared" si="3"/>
        <v>28</v>
      </c>
    </row>
    <row r="5136">
      <c r="A5136" s="10" t="s">
        <v>37</v>
      </c>
      <c r="B5136" s="94">
        <f t="shared" si="5"/>
        <v>46109</v>
      </c>
      <c r="C5136" s="77" t="s">
        <v>1571</v>
      </c>
      <c r="D5136" s="13">
        <f>SUMIFS('Lançamentos de despesas'!$I:$I,'Lançamentos de despesas'!$G:$G,A5136,'Lançamentos de despesas'!$E:$E,"PAGO",'Lançamentos de despesas'!$C:$C,B5136)</f>
        <v>0</v>
      </c>
      <c r="E5136" s="15">
        <f t="shared" si="1"/>
        <v>2026</v>
      </c>
      <c r="F5136" s="15">
        <f t="shared" si="2"/>
        <v>3</v>
      </c>
      <c r="G5136" s="15">
        <f t="shared" si="3"/>
        <v>28</v>
      </c>
    </row>
    <row r="5137">
      <c r="A5137" s="10" t="s">
        <v>37</v>
      </c>
      <c r="B5137" s="94">
        <f t="shared" si="5"/>
        <v>46109</v>
      </c>
      <c r="C5137" s="77" t="s">
        <v>1572</v>
      </c>
      <c r="D5137" s="13">
        <f>D5134+D5135-D5136</f>
        <v>66038.68</v>
      </c>
      <c r="E5137" s="15">
        <f t="shared" si="1"/>
        <v>2026</v>
      </c>
      <c r="F5137" s="15">
        <f t="shared" si="2"/>
        <v>3</v>
      </c>
      <c r="G5137" s="15">
        <f t="shared" si="3"/>
        <v>28</v>
      </c>
    </row>
    <row r="5138">
      <c r="A5138" s="10" t="s">
        <v>37</v>
      </c>
      <c r="B5138" s="94">
        <f t="shared" si="5"/>
        <v>46110</v>
      </c>
      <c r="C5138" s="77" t="s">
        <v>1569</v>
      </c>
      <c r="D5138" s="13">
        <f>D5137</f>
        <v>66038.68</v>
      </c>
      <c r="E5138" s="15">
        <f t="shared" si="1"/>
        <v>2026</v>
      </c>
      <c r="F5138" s="15">
        <f t="shared" si="2"/>
        <v>3</v>
      </c>
      <c r="G5138" s="15">
        <f t="shared" si="3"/>
        <v>29</v>
      </c>
    </row>
    <row r="5139">
      <c r="A5139" s="10" t="s">
        <v>37</v>
      </c>
      <c r="B5139" s="94">
        <f t="shared" si="5"/>
        <v>46110</v>
      </c>
      <c r="C5139" s="77" t="s">
        <v>1570</v>
      </c>
      <c r="D5139" s="13">
        <f>SUMIFS('Lançamentos de receitas'!$E:$E,'Lançamentos de receitas'!$F:$F,"PAGO",'Lançamentos de receitas'!$C:$C,A5139,'Lançamentos de receitas'!$A:$A,B5139)</f>
        <v>0</v>
      </c>
      <c r="E5139" s="15">
        <f t="shared" si="1"/>
        <v>2026</v>
      </c>
      <c r="F5139" s="15">
        <f t="shared" si="2"/>
        <v>3</v>
      </c>
      <c r="G5139" s="15">
        <f t="shared" si="3"/>
        <v>29</v>
      </c>
    </row>
    <row r="5140">
      <c r="A5140" s="10" t="s">
        <v>37</v>
      </c>
      <c r="B5140" s="94">
        <f t="shared" si="5"/>
        <v>46110</v>
      </c>
      <c r="C5140" s="77" t="s">
        <v>1571</v>
      </c>
      <c r="D5140" s="13">
        <f>SUMIFS('Lançamentos de despesas'!$I:$I,'Lançamentos de despesas'!$G:$G,A5140,'Lançamentos de despesas'!$E:$E,"PAGO",'Lançamentos de despesas'!$C:$C,B5140)</f>
        <v>0</v>
      </c>
      <c r="E5140" s="15">
        <f t="shared" si="1"/>
        <v>2026</v>
      </c>
      <c r="F5140" s="15">
        <f t="shared" si="2"/>
        <v>3</v>
      </c>
      <c r="G5140" s="15">
        <f t="shared" si="3"/>
        <v>29</v>
      </c>
    </row>
    <row r="5141">
      <c r="A5141" s="10" t="s">
        <v>37</v>
      </c>
      <c r="B5141" s="94">
        <f t="shared" si="5"/>
        <v>46110</v>
      </c>
      <c r="C5141" s="77" t="s">
        <v>1572</v>
      </c>
      <c r="D5141" s="13">
        <f>D5138+D5139-D5140</f>
        <v>66038.68</v>
      </c>
      <c r="E5141" s="15">
        <f t="shared" si="1"/>
        <v>2026</v>
      </c>
      <c r="F5141" s="15">
        <f t="shared" si="2"/>
        <v>3</v>
      </c>
      <c r="G5141" s="15">
        <f t="shared" si="3"/>
        <v>29</v>
      </c>
    </row>
    <row r="5142">
      <c r="A5142" s="10" t="s">
        <v>37</v>
      </c>
      <c r="B5142" s="94">
        <f t="shared" si="5"/>
        <v>46111</v>
      </c>
      <c r="C5142" s="77" t="s">
        <v>1569</v>
      </c>
      <c r="D5142" s="13">
        <f>D5141</f>
        <v>66038.68</v>
      </c>
      <c r="E5142" s="15">
        <f t="shared" si="1"/>
        <v>2026</v>
      </c>
      <c r="F5142" s="15">
        <f t="shared" si="2"/>
        <v>3</v>
      </c>
      <c r="G5142" s="15">
        <f t="shared" si="3"/>
        <v>30</v>
      </c>
    </row>
    <row r="5143">
      <c r="A5143" s="10" t="s">
        <v>37</v>
      </c>
      <c r="B5143" s="94">
        <f t="shared" si="5"/>
        <v>46111</v>
      </c>
      <c r="C5143" s="77" t="s">
        <v>1570</v>
      </c>
      <c r="D5143" s="13">
        <f>SUMIFS('Lançamentos de receitas'!$E:$E,'Lançamentos de receitas'!$F:$F,"PAGO",'Lançamentos de receitas'!$C:$C,A5143,'Lançamentos de receitas'!$A:$A,B5143)</f>
        <v>0</v>
      </c>
      <c r="E5143" s="15">
        <f t="shared" si="1"/>
        <v>2026</v>
      </c>
      <c r="F5143" s="15">
        <f t="shared" si="2"/>
        <v>3</v>
      </c>
      <c r="G5143" s="15">
        <f t="shared" si="3"/>
        <v>30</v>
      </c>
    </row>
    <row r="5144">
      <c r="A5144" s="10" t="s">
        <v>37</v>
      </c>
      <c r="B5144" s="94">
        <f t="shared" si="5"/>
        <v>46111</v>
      </c>
      <c r="C5144" s="77" t="s">
        <v>1571</v>
      </c>
      <c r="D5144" s="13">
        <f>SUMIFS('Lançamentos de despesas'!$I:$I,'Lançamentos de despesas'!$G:$G,A5144,'Lançamentos de despesas'!$E:$E,"PAGO",'Lançamentos de despesas'!$C:$C,B5144)</f>
        <v>0</v>
      </c>
      <c r="E5144" s="15">
        <f t="shared" si="1"/>
        <v>2026</v>
      </c>
      <c r="F5144" s="15">
        <f t="shared" si="2"/>
        <v>3</v>
      </c>
      <c r="G5144" s="15">
        <f t="shared" si="3"/>
        <v>30</v>
      </c>
    </row>
    <row r="5145">
      <c r="A5145" s="10" t="s">
        <v>37</v>
      </c>
      <c r="B5145" s="94">
        <f t="shared" si="5"/>
        <v>46111</v>
      </c>
      <c r="C5145" s="77" t="s">
        <v>1572</v>
      </c>
      <c r="D5145" s="13">
        <f>D5142+D5143-D5144</f>
        <v>66038.68</v>
      </c>
      <c r="E5145" s="15">
        <f t="shared" si="1"/>
        <v>2026</v>
      </c>
      <c r="F5145" s="15">
        <f t="shared" si="2"/>
        <v>3</v>
      </c>
      <c r="G5145" s="15">
        <f t="shared" si="3"/>
        <v>30</v>
      </c>
    </row>
    <row r="5146">
      <c r="A5146" s="10" t="s">
        <v>37</v>
      </c>
      <c r="B5146" s="94">
        <f t="shared" si="5"/>
        <v>46112</v>
      </c>
      <c r="C5146" s="77" t="s">
        <v>1569</v>
      </c>
      <c r="D5146" s="13">
        <f>D5145</f>
        <v>66038.68</v>
      </c>
      <c r="E5146" s="15">
        <f t="shared" si="1"/>
        <v>2026</v>
      </c>
      <c r="F5146" s="15">
        <f t="shared" si="2"/>
        <v>3</v>
      </c>
      <c r="G5146" s="15">
        <f t="shared" si="3"/>
        <v>31</v>
      </c>
    </row>
    <row r="5147">
      <c r="A5147" s="10" t="s">
        <v>37</v>
      </c>
      <c r="B5147" s="94">
        <f t="shared" si="5"/>
        <v>46112</v>
      </c>
      <c r="C5147" s="77" t="s">
        <v>1570</v>
      </c>
      <c r="D5147" s="13">
        <f>SUMIFS('Lançamentos de receitas'!$E:$E,'Lançamentos de receitas'!$F:$F,"PAGO",'Lançamentos de receitas'!$C:$C,A5147,'Lançamentos de receitas'!$A:$A,B5147)</f>
        <v>0</v>
      </c>
      <c r="E5147" s="15">
        <f t="shared" si="1"/>
        <v>2026</v>
      </c>
      <c r="F5147" s="15">
        <f t="shared" si="2"/>
        <v>3</v>
      </c>
      <c r="G5147" s="15">
        <f t="shared" si="3"/>
        <v>31</v>
      </c>
    </row>
    <row r="5148">
      <c r="A5148" s="10" t="s">
        <v>37</v>
      </c>
      <c r="B5148" s="94">
        <f t="shared" si="5"/>
        <v>46112</v>
      </c>
      <c r="C5148" s="77" t="s">
        <v>1571</v>
      </c>
      <c r="D5148" s="13">
        <f>SUMIFS('Lançamentos de despesas'!$I:$I,'Lançamentos de despesas'!$G:$G,A5148,'Lançamentos de despesas'!$E:$E,"PAGO",'Lançamentos de despesas'!$C:$C,B5148)</f>
        <v>0</v>
      </c>
      <c r="E5148" s="15">
        <f t="shared" si="1"/>
        <v>2026</v>
      </c>
      <c r="F5148" s="15">
        <f t="shared" si="2"/>
        <v>3</v>
      </c>
      <c r="G5148" s="15">
        <f t="shared" si="3"/>
        <v>31</v>
      </c>
    </row>
    <row r="5149">
      <c r="A5149" s="10" t="s">
        <v>37</v>
      </c>
      <c r="B5149" s="94">
        <f t="shared" si="5"/>
        <v>46112</v>
      </c>
      <c r="C5149" s="77" t="s">
        <v>1572</v>
      </c>
      <c r="D5149" s="13">
        <f>D5146+D5147-D5148</f>
        <v>66038.68</v>
      </c>
      <c r="E5149" s="15">
        <f t="shared" si="1"/>
        <v>2026</v>
      </c>
      <c r="F5149" s="15">
        <f t="shared" si="2"/>
        <v>3</v>
      </c>
      <c r="G5149" s="15">
        <f t="shared" si="3"/>
        <v>31</v>
      </c>
    </row>
    <row r="5150">
      <c r="A5150" s="10" t="s">
        <v>37</v>
      </c>
      <c r="B5150" s="94">
        <f t="shared" si="5"/>
        <v>46113</v>
      </c>
      <c r="C5150" s="77" t="s">
        <v>1569</v>
      </c>
      <c r="D5150" s="13">
        <f>D5149</f>
        <v>66038.68</v>
      </c>
      <c r="E5150" s="15">
        <f t="shared" si="1"/>
        <v>2026</v>
      </c>
      <c r="F5150" s="15">
        <f t="shared" si="2"/>
        <v>4</v>
      </c>
      <c r="G5150" s="15">
        <f t="shared" si="3"/>
        <v>1</v>
      </c>
    </row>
    <row r="5151">
      <c r="A5151" s="10" t="s">
        <v>37</v>
      </c>
      <c r="B5151" s="94">
        <f t="shared" si="5"/>
        <v>46113</v>
      </c>
      <c r="C5151" s="77" t="s">
        <v>1570</v>
      </c>
      <c r="D5151" s="13">
        <f>SUMIFS('Lançamentos de receitas'!$E:$E,'Lançamentos de receitas'!$F:$F,"PAGO",'Lançamentos de receitas'!$C:$C,A5151,'Lançamentos de receitas'!$A:$A,B5151)</f>
        <v>0</v>
      </c>
      <c r="E5151" s="15">
        <f t="shared" si="1"/>
        <v>2026</v>
      </c>
      <c r="F5151" s="15">
        <f t="shared" si="2"/>
        <v>4</v>
      </c>
      <c r="G5151" s="15">
        <f t="shared" si="3"/>
        <v>1</v>
      </c>
    </row>
    <row r="5152">
      <c r="A5152" s="10" t="s">
        <v>37</v>
      </c>
      <c r="B5152" s="94">
        <f t="shared" si="5"/>
        <v>46113</v>
      </c>
      <c r="C5152" s="77" t="s">
        <v>1571</v>
      </c>
      <c r="D5152" s="13">
        <f>SUMIFS('Lançamentos de despesas'!$I:$I,'Lançamentos de despesas'!$G:$G,A5152,'Lançamentos de despesas'!$E:$E,"PAGO",'Lançamentos de despesas'!$C:$C,B5152)</f>
        <v>0</v>
      </c>
      <c r="E5152" s="15">
        <f t="shared" si="1"/>
        <v>2026</v>
      </c>
      <c r="F5152" s="15">
        <f t="shared" si="2"/>
        <v>4</v>
      </c>
      <c r="G5152" s="15">
        <f t="shared" si="3"/>
        <v>1</v>
      </c>
    </row>
    <row r="5153">
      <c r="A5153" s="10" t="s">
        <v>37</v>
      </c>
      <c r="B5153" s="94">
        <f t="shared" si="5"/>
        <v>46113</v>
      </c>
      <c r="C5153" s="77" t="s">
        <v>1572</v>
      </c>
      <c r="D5153" s="13">
        <f>D5150+D5151-D5152</f>
        <v>66038.68</v>
      </c>
      <c r="E5153" s="15">
        <f t="shared" si="1"/>
        <v>2026</v>
      </c>
      <c r="F5153" s="15">
        <f t="shared" si="2"/>
        <v>4</v>
      </c>
      <c r="G5153" s="15">
        <f t="shared" si="3"/>
        <v>1</v>
      </c>
    </row>
    <row r="5154">
      <c r="A5154" s="10" t="s">
        <v>37</v>
      </c>
      <c r="B5154" s="94">
        <f t="shared" si="5"/>
        <v>46114</v>
      </c>
      <c r="C5154" s="77" t="s">
        <v>1569</v>
      </c>
      <c r="D5154" s="13">
        <f>D5153</f>
        <v>66038.68</v>
      </c>
      <c r="E5154" s="15">
        <f t="shared" si="1"/>
        <v>2026</v>
      </c>
      <c r="F5154" s="15">
        <f t="shared" si="2"/>
        <v>4</v>
      </c>
      <c r="G5154" s="15">
        <f t="shared" si="3"/>
        <v>2</v>
      </c>
    </row>
    <row r="5155">
      <c r="A5155" s="10" t="s">
        <v>37</v>
      </c>
      <c r="B5155" s="94">
        <f t="shared" si="5"/>
        <v>46114</v>
      </c>
      <c r="C5155" s="77" t="s">
        <v>1570</v>
      </c>
      <c r="D5155" s="13">
        <f>SUMIFS('Lançamentos de receitas'!$E:$E,'Lançamentos de receitas'!$F:$F,"PAGO",'Lançamentos de receitas'!$C:$C,A5155,'Lançamentos de receitas'!$A:$A,B5155)</f>
        <v>0</v>
      </c>
      <c r="E5155" s="15">
        <f t="shared" si="1"/>
        <v>2026</v>
      </c>
      <c r="F5155" s="15">
        <f t="shared" si="2"/>
        <v>4</v>
      </c>
      <c r="G5155" s="15">
        <f t="shared" si="3"/>
        <v>2</v>
      </c>
    </row>
    <row r="5156">
      <c r="A5156" s="10" t="s">
        <v>37</v>
      </c>
      <c r="B5156" s="94">
        <f t="shared" si="5"/>
        <v>46114</v>
      </c>
      <c r="C5156" s="77" t="s">
        <v>1571</v>
      </c>
      <c r="D5156" s="13">
        <f>SUMIFS('Lançamentos de despesas'!$I:$I,'Lançamentos de despesas'!$G:$G,A5156,'Lançamentos de despesas'!$E:$E,"PAGO",'Lançamentos de despesas'!$C:$C,B5156)</f>
        <v>0</v>
      </c>
      <c r="E5156" s="15">
        <f t="shared" si="1"/>
        <v>2026</v>
      </c>
      <c r="F5156" s="15">
        <f t="shared" si="2"/>
        <v>4</v>
      </c>
      <c r="G5156" s="15">
        <f t="shared" si="3"/>
        <v>2</v>
      </c>
    </row>
    <row r="5157">
      <c r="A5157" s="10" t="s">
        <v>37</v>
      </c>
      <c r="B5157" s="94">
        <f t="shared" si="5"/>
        <v>46114</v>
      </c>
      <c r="C5157" s="77" t="s">
        <v>1572</v>
      </c>
      <c r="D5157" s="13">
        <f>D5154+D5155-D5156</f>
        <v>66038.68</v>
      </c>
      <c r="E5157" s="15">
        <f t="shared" si="1"/>
        <v>2026</v>
      </c>
      <c r="F5157" s="15">
        <f t="shared" si="2"/>
        <v>4</v>
      </c>
      <c r="G5157" s="15">
        <f t="shared" si="3"/>
        <v>2</v>
      </c>
    </row>
    <row r="5158">
      <c r="A5158" s="10" t="s">
        <v>37</v>
      </c>
      <c r="B5158" s="94">
        <f t="shared" si="5"/>
        <v>46115</v>
      </c>
      <c r="C5158" s="77" t="s">
        <v>1569</v>
      </c>
      <c r="D5158" s="13">
        <f>D5157</f>
        <v>66038.68</v>
      </c>
      <c r="E5158" s="15">
        <f t="shared" si="1"/>
        <v>2026</v>
      </c>
      <c r="F5158" s="15">
        <f t="shared" si="2"/>
        <v>4</v>
      </c>
      <c r="G5158" s="15">
        <f t="shared" si="3"/>
        <v>3</v>
      </c>
    </row>
    <row r="5159">
      <c r="A5159" s="10" t="s">
        <v>37</v>
      </c>
      <c r="B5159" s="94">
        <f t="shared" si="5"/>
        <v>46115</v>
      </c>
      <c r="C5159" s="77" t="s">
        <v>1570</v>
      </c>
      <c r="D5159" s="13">
        <f>SUMIFS('Lançamentos de receitas'!$E:$E,'Lançamentos de receitas'!$F:$F,"PAGO",'Lançamentos de receitas'!$C:$C,A5159,'Lançamentos de receitas'!$A:$A,B5159)</f>
        <v>0</v>
      </c>
      <c r="E5159" s="15">
        <f t="shared" si="1"/>
        <v>2026</v>
      </c>
      <c r="F5159" s="15">
        <f t="shared" si="2"/>
        <v>4</v>
      </c>
      <c r="G5159" s="15">
        <f t="shared" si="3"/>
        <v>3</v>
      </c>
    </row>
    <row r="5160">
      <c r="A5160" s="10" t="s">
        <v>37</v>
      </c>
      <c r="B5160" s="94">
        <f t="shared" si="5"/>
        <v>46115</v>
      </c>
      <c r="C5160" s="77" t="s">
        <v>1571</v>
      </c>
      <c r="D5160" s="13">
        <f>SUMIFS('Lançamentos de despesas'!$I:$I,'Lançamentos de despesas'!$G:$G,A5160,'Lançamentos de despesas'!$E:$E,"PAGO",'Lançamentos de despesas'!$C:$C,B5160)</f>
        <v>0</v>
      </c>
      <c r="E5160" s="15">
        <f t="shared" si="1"/>
        <v>2026</v>
      </c>
      <c r="F5160" s="15">
        <f t="shared" si="2"/>
        <v>4</v>
      </c>
      <c r="G5160" s="15">
        <f t="shared" si="3"/>
        <v>3</v>
      </c>
    </row>
    <row r="5161">
      <c r="A5161" s="10" t="s">
        <v>37</v>
      </c>
      <c r="B5161" s="94">
        <f t="shared" si="5"/>
        <v>46115</v>
      </c>
      <c r="C5161" s="77" t="s">
        <v>1572</v>
      </c>
      <c r="D5161" s="13">
        <f>D5158+D5159-D5160</f>
        <v>66038.68</v>
      </c>
      <c r="E5161" s="15">
        <f t="shared" si="1"/>
        <v>2026</v>
      </c>
      <c r="F5161" s="15">
        <f t="shared" si="2"/>
        <v>4</v>
      </c>
      <c r="G5161" s="15">
        <f t="shared" si="3"/>
        <v>3</v>
      </c>
    </row>
    <row r="5162">
      <c r="A5162" s="10" t="s">
        <v>37</v>
      </c>
      <c r="B5162" s="94">
        <f t="shared" si="5"/>
        <v>46116</v>
      </c>
      <c r="C5162" s="77" t="s">
        <v>1569</v>
      </c>
      <c r="D5162" s="13">
        <f>D5161</f>
        <v>66038.68</v>
      </c>
      <c r="E5162" s="15">
        <f t="shared" si="1"/>
        <v>2026</v>
      </c>
      <c r="F5162" s="15">
        <f t="shared" si="2"/>
        <v>4</v>
      </c>
      <c r="G5162" s="15">
        <f t="shared" si="3"/>
        <v>4</v>
      </c>
    </row>
    <row r="5163">
      <c r="A5163" s="10" t="s">
        <v>37</v>
      </c>
      <c r="B5163" s="94">
        <f t="shared" si="5"/>
        <v>46116</v>
      </c>
      <c r="C5163" s="77" t="s">
        <v>1570</v>
      </c>
      <c r="D5163" s="13">
        <f>SUMIFS('Lançamentos de receitas'!$E:$E,'Lançamentos de receitas'!$F:$F,"PAGO",'Lançamentos de receitas'!$C:$C,A5163,'Lançamentos de receitas'!$A:$A,B5163)</f>
        <v>0</v>
      </c>
      <c r="E5163" s="15">
        <f t="shared" si="1"/>
        <v>2026</v>
      </c>
      <c r="F5163" s="15">
        <f t="shared" si="2"/>
        <v>4</v>
      </c>
      <c r="G5163" s="15">
        <f t="shared" si="3"/>
        <v>4</v>
      </c>
    </row>
    <row r="5164">
      <c r="A5164" s="10" t="s">
        <v>37</v>
      </c>
      <c r="B5164" s="94">
        <f t="shared" si="5"/>
        <v>46116</v>
      </c>
      <c r="C5164" s="77" t="s">
        <v>1571</v>
      </c>
      <c r="D5164" s="13">
        <f>SUMIFS('Lançamentos de despesas'!$I:$I,'Lançamentos de despesas'!$G:$G,A5164,'Lançamentos de despesas'!$E:$E,"PAGO",'Lançamentos de despesas'!$C:$C,B5164)</f>
        <v>0</v>
      </c>
      <c r="E5164" s="15">
        <f t="shared" si="1"/>
        <v>2026</v>
      </c>
      <c r="F5164" s="15">
        <f t="shared" si="2"/>
        <v>4</v>
      </c>
      <c r="G5164" s="15">
        <f t="shared" si="3"/>
        <v>4</v>
      </c>
    </row>
    <row r="5165">
      <c r="A5165" s="10" t="s">
        <v>37</v>
      </c>
      <c r="B5165" s="94">
        <f t="shared" si="5"/>
        <v>46116</v>
      </c>
      <c r="C5165" s="77" t="s">
        <v>1572</v>
      </c>
      <c r="D5165" s="13">
        <f>D5162+D5163-D5164</f>
        <v>66038.68</v>
      </c>
      <c r="E5165" s="15">
        <f t="shared" si="1"/>
        <v>2026</v>
      </c>
      <c r="F5165" s="15">
        <f t="shared" si="2"/>
        <v>4</v>
      </c>
      <c r="G5165" s="15">
        <f t="shared" si="3"/>
        <v>4</v>
      </c>
    </row>
    <row r="5166">
      <c r="A5166" s="10" t="s">
        <v>37</v>
      </c>
      <c r="B5166" s="94">
        <f t="shared" si="5"/>
        <v>46117</v>
      </c>
      <c r="C5166" s="77" t="s">
        <v>1569</v>
      </c>
      <c r="D5166" s="13">
        <f>D5165</f>
        <v>66038.68</v>
      </c>
      <c r="E5166" s="15">
        <f t="shared" si="1"/>
        <v>2026</v>
      </c>
      <c r="F5166" s="15">
        <f t="shared" si="2"/>
        <v>4</v>
      </c>
      <c r="G5166" s="15">
        <f t="shared" si="3"/>
        <v>5</v>
      </c>
    </row>
    <row r="5167">
      <c r="A5167" s="10" t="s">
        <v>37</v>
      </c>
      <c r="B5167" s="94">
        <f t="shared" si="5"/>
        <v>46117</v>
      </c>
      <c r="C5167" s="77" t="s">
        <v>1570</v>
      </c>
      <c r="D5167" s="13">
        <f>SUMIFS('Lançamentos de receitas'!$E:$E,'Lançamentos de receitas'!$F:$F,"PAGO",'Lançamentos de receitas'!$C:$C,A5167,'Lançamentos de receitas'!$A:$A,B5167)</f>
        <v>0</v>
      </c>
      <c r="E5167" s="15">
        <f t="shared" si="1"/>
        <v>2026</v>
      </c>
      <c r="F5167" s="15">
        <f t="shared" si="2"/>
        <v>4</v>
      </c>
      <c r="G5167" s="15">
        <f t="shared" si="3"/>
        <v>5</v>
      </c>
    </row>
    <row r="5168">
      <c r="A5168" s="10" t="s">
        <v>37</v>
      </c>
      <c r="B5168" s="94">
        <f t="shared" si="5"/>
        <v>46117</v>
      </c>
      <c r="C5168" s="77" t="s">
        <v>1571</v>
      </c>
      <c r="D5168" s="13">
        <f>SUMIFS('Lançamentos de despesas'!$I:$I,'Lançamentos de despesas'!$G:$G,A5168,'Lançamentos de despesas'!$E:$E,"PAGO",'Lançamentos de despesas'!$C:$C,B5168)</f>
        <v>0</v>
      </c>
      <c r="E5168" s="15">
        <f t="shared" si="1"/>
        <v>2026</v>
      </c>
      <c r="F5168" s="15">
        <f t="shared" si="2"/>
        <v>4</v>
      </c>
      <c r="G5168" s="15">
        <f t="shared" si="3"/>
        <v>5</v>
      </c>
    </row>
    <row r="5169">
      <c r="A5169" s="10" t="s">
        <v>37</v>
      </c>
      <c r="B5169" s="94">
        <f t="shared" si="5"/>
        <v>46117</v>
      </c>
      <c r="C5169" s="77" t="s">
        <v>1572</v>
      </c>
      <c r="D5169" s="13">
        <f>D5166+D5167-D5168</f>
        <v>66038.68</v>
      </c>
      <c r="E5169" s="15">
        <f t="shared" si="1"/>
        <v>2026</v>
      </c>
      <c r="F5169" s="15">
        <f t="shared" si="2"/>
        <v>4</v>
      </c>
      <c r="G5169" s="15">
        <f t="shared" si="3"/>
        <v>5</v>
      </c>
    </row>
    <row r="5170">
      <c r="A5170" s="10" t="s">
        <v>37</v>
      </c>
      <c r="B5170" s="94">
        <f t="shared" si="5"/>
        <v>46118</v>
      </c>
      <c r="C5170" s="77" t="s">
        <v>1569</v>
      </c>
      <c r="D5170" s="13">
        <f>D5169</f>
        <v>66038.68</v>
      </c>
      <c r="E5170" s="15">
        <f t="shared" si="1"/>
        <v>2026</v>
      </c>
      <c r="F5170" s="15">
        <f t="shared" si="2"/>
        <v>4</v>
      </c>
      <c r="G5170" s="15">
        <f t="shared" si="3"/>
        <v>6</v>
      </c>
    </row>
    <row r="5171">
      <c r="A5171" s="10" t="s">
        <v>37</v>
      </c>
      <c r="B5171" s="94">
        <f t="shared" si="5"/>
        <v>46118</v>
      </c>
      <c r="C5171" s="77" t="s">
        <v>1570</v>
      </c>
      <c r="D5171" s="13">
        <f>SUMIFS('Lançamentos de receitas'!$E:$E,'Lançamentos de receitas'!$F:$F,"PAGO",'Lançamentos de receitas'!$C:$C,A5171,'Lançamentos de receitas'!$A:$A,B5171)</f>
        <v>0</v>
      </c>
      <c r="E5171" s="15">
        <f t="shared" si="1"/>
        <v>2026</v>
      </c>
      <c r="F5171" s="15">
        <f t="shared" si="2"/>
        <v>4</v>
      </c>
      <c r="G5171" s="15">
        <f t="shared" si="3"/>
        <v>6</v>
      </c>
    </row>
    <row r="5172">
      <c r="A5172" s="10" t="s">
        <v>37</v>
      </c>
      <c r="B5172" s="94">
        <f t="shared" si="5"/>
        <v>46118</v>
      </c>
      <c r="C5172" s="77" t="s">
        <v>1571</v>
      </c>
      <c r="D5172" s="13">
        <f>SUMIFS('Lançamentos de despesas'!$I:$I,'Lançamentos de despesas'!$G:$G,A5172,'Lançamentos de despesas'!$E:$E,"PAGO",'Lançamentos de despesas'!$C:$C,B5172)</f>
        <v>0</v>
      </c>
      <c r="E5172" s="15">
        <f t="shared" si="1"/>
        <v>2026</v>
      </c>
      <c r="F5172" s="15">
        <f t="shared" si="2"/>
        <v>4</v>
      </c>
      <c r="G5172" s="15">
        <f t="shared" si="3"/>
        <v>6</v>
      </c>
    </row>
    <row r="5173">
      <c r="A5173" s="10" t="s">
        <v>37</v>
      </c>
      <c r="B5173" s="94">
        <f t="shared" si="5"/>
        <v>46118</v>
      </c>
      <c r="C5173" s="77" t="s">
        <v>1572</v>
      </c>
      <c r="D5173" s="13">
        <f>D5170+D5171-D5172</f>
        <v>66038.68</v>
      </c>
      <c r="E5173" s="15">
        <f t="shared" si="1"/>
        <v>2026</v>
      </c>
      <c r="F5173" s="15">
        <f t="shared" si="2"/>
        <v>4</v>
      </c>
      <c r="G5173" s="15">
        <f t="shared" si="3"/>
        <v>6</v>
      </c>
    </row>
    <row r="5174">
      <c r="A5174" s="10" t="s">
        <v>37</v>
      </c>
      <c r="B5174" s="94">
        <f t="shared" si="5"/>
        <v>46119</v>
      </c>
      <c r="C5174" s="77" t="s">
        <v>1569</v>
      </c>
      <c r="D5174" s="13">
        <f>D5173</f>
        <v>66038.68</v>
      </c>
      <c r="E5174" s="15">
        <f t="shared" si="1"/>
        <v>2026</v>
      </c>
      <c r="F5174" s="15">
        <f t="shared" si="2"/>
        <v>4</v>
      </c>
      <c r="G5174" s="15">
        <f t="shared" si="3"/>
        <v>7</v>
      </c>
    </row>
    <row r="5175">
      <c r="A5175" s="10" t="s">
        <v>37</v>
      </c>
      <c r="B5175" s="94">
        <f t="shared" si="5"/>
        <v>46119</v>
      </c>
      <c r="C5175" s="77" t="s">
        <v>1570</v>
      </c>
      <c r="D5175" s="13">
        <f>SUMIFS('Lançamentos de receitas'!$E:$E,'Lançamentos de receitas'!$F:$F,"PAGO",'Lançamentos de receitas'!$C:$C,A5175,'Lançamentos de receitas'!$A:$A,B5175)</f>
        <v>0</v>
      </c>
      <c r="E5175" s="15">
        <f t="shared" si="1"/>
        <v>2026</v>
      </c>
      <c r="F5175" s="15">
        <f t="shared" si="2"/>
        <v>4</v>
      </c>
      <c r="G5175" s="15">
        <f t="shared" si="3"/>
        <v>7</v>
      </c>
    </row>
    <row r="5176">
      <c r="A5176" s="10" t="s">
        <v>37</v>
      </c>
      <c r="B5176" s="94">
        <f t="shared" si="5"/>
        <v>46119</v>
      </c>
      <c r="C5176" s="77" t="s">
        <v>1571</v>
      </c>
      <c r="D5176" s="13">
        <f>SUMIFS('Lançamentos de despesas'!$I:$I,'Lançamentos de despesas'!$G:$G,A5176,'Lançamentos de despesas'!$E:$E,"PAGO",'Lançamentos de despesas'!$C:$C,B5176)</f>
        <v>0</v>
      </c>
      <c r="E5176" s="15">
        <f t="shared" si="1"/>
        <v>2026</v>
      </c>
      <c r="F5176" s="15">
        <f t="shared" si="2"/>
        <v>4</v>
      </c>
      <c r="G5176" s="15">
        <f t="shared" si="3"/>
        <v>7</v>
      </c>
    </row>
    <row r="5177">
      <c r="A5177" s="10" t="s">
        <v>37</v>
      </c>
      <c r="B5177" s="94">
        <f t="shared" si="5"/>
        <v>46119</v>
      </c>
      <c r="C5177" s="77" t="s">
        <v>1572</v>
      </c>
      <c r="D5177" s="13">
        <f>D5174+D5175-D5176</f>
        <v>66038.68</v>
      </c>
      <c r="E5177" s="15">
        <f t="shared" si="1"/>
        <v>2026</v>
      </c>
      <c r="F5177" s="15">
        <f t="shared" si="2"/>
        <v>4</v>
      </c>
      <c r="G5177" s="15">
        <f t="shared" si="3"/>
        <v>7</v>
      </c>
    </row>
    <row r="5178">
      <c r="A5178" s="10" t="s">
        <v>37</v>
      </c>
      <c r="B5178" s="94">
        <f t="shared" si="5"/>
        <v>46120</v>
      </c>
      <c r="C5178" s="77" t="s">
        <v>1569</v>
      </c>
      <c r="D5178" s="13">
        <f>D5177</f>
        <v>66038.68</v>
      </c>
      <c r="E5178" s="15">
        <f t="shared" si="1"/>
        <v>2026</v>
      </c>
      <c r="F5178" s="15">
        <f t="shared" si="2"/>
        <v>4</v>
      </c>
      <c r="G5178" s="15">
        <f t="shared" si="3"/>
        <v>8</v>
      </c>
    </row>
    <row r="5179">
      <c r="A5179" s="10" t="s">
        <v>37</v>
      </c>
      <c r="B5179" s="94">
        <f t="shared" si="5"/>
        <v>46120</v>
      </c>
      <c r="C5179" s="77" t="s">
        <v>1570</v>
      </c>
      <c r="D5179" s="13">
        <f>SUMIFS('Lançamentos de receitas'!$E:$E,'Lançamentos de receitas'!$F:$F,"PAGO",'Lançamentos de receitas'!$C:$C,A5179,'Lançamentos de receitas'!$A:$A,B5179)</f>
        <v>0</v>
      </c>
      <c r="E5179" s="15">
        <f t="shared" si="1"/>
        <v>2026</v>
      </c>
      <c r="F5179" s="15">
        <f t="shared" si="2"/>
        <v>4</v>
      </c>
      <c r="G5179" s="15">
        <f t="shared" si="3"/>
        <v>8</v>
      </c>
    </row>
    <row r="5180">
      <c r="A5180" s="10" t="s">
        <v>37</v>
      </c>
      <c r="B5180" s="94">
        <f t="shared" si="5"/>
        <v>46120</v>
      </c>
      <c r="C5180" s="77" t="s">
        <v>1571</v>
      </c>
      <c r="D5180" s="13">
        <f>SUMIFS('Lançamentos de despesas'!$I:$I,'Lançamentos de despesas'!$G:$G,A5180,'Lançamentos de despesas'!$E:$E,"PAGO",'Lançamentos de despesas'!$C:$C,B5180)</f>
        <v>0</v>
      </c>
      <c r="E5180" s="15">
        <f t="shared" si="1"/>
        <v>2026</v>
      </c>
      <c r="F5180" s="15">
        <f t="shared" si="2"/>
        <v>4</v>
      </c>
      <c r="G5180" s="15">
        <f t="shared" si="3"/>
        <v>8</v>
      </c>
    </row>
    <row r="5181">
      <c r="A5181" s="10" t="s">
        <v>37</v>
      </c>
      <c r="B5181" s="94">
        <f t="shared" si="5"/>
        <v>46120</v>
      </c>
      <c r="C5181" s="77" t="s">
        <v>1572</v>
      </c>
      <c r="D5181" s="13">
        <f>D5178+D5179-D5180</f>
        <v>66038.68</v>
      </c>
      <c r="E5181" s="15">
        <f t="shared" si="1"/>
        <v>2026</v>
      </c>
      <c r="F5181" s="15">
        <f t="shared" si="2"/>
        <v>4</v>
      </c>
      <c r="G5181" s="15">
        <f t="shared" si="3"/>
        <v>8</v>
      </c>
    </row>
    <row r="5182">
      <c r="A5182" s="10" t="s">
        <v>37</v>
      </c>
      <c r="B5182" s="94">
        <f t="shared" si="5"/>
        <v>46121</v>
      </c>
      <c r="C5182" s="77" t="s">
        <v>1569</v>
      </c>
      <c r="D5182" s="13">
        <f>D5181</f>
        <v>66038.68</v>
      </c>
      <c r="E5182" s="15">
        <f t="shared" si="1"/>
        <v>2026</v>
      </c>
      <c r="F5182" s="15">
        <f t="shared" si="2"/>
        <v>4</v>
      </c>
      <c r="G5182" s="15">
        <f t="shared" si="3"/>
        <v>9</v>
      </c>
    </row>
    <row r="5183">
      <c r="A5183" s="10" t="s">
        <v>37</v>
      </c>
      <c r="B5183" s="94">
        <f t="shared" si="5"/>
        <v>46121</v>
      </c>
      <c r="C5183" s="77" t="s">
        <v>1570</v>
      </c>
      <c r="D5183" s="13">
        <f>SUMIFS('Lançamentos de receitas'!$E:$E,'Lançamentos de receitas'!$F:$F,"PAGO",'Lançamentos de receitas'!$C:$C,A5183,'Lançamentos de receitas'!$A:$A,B5183)</f>
        <v>0</v>
      </c>
      <c r="E5183" s="15">
        <f t="shared" si="1"/>
        <v>2026</v>
      </c>
      <c r="F5183" s="15">
        <f t="shared" si="2"/>
        <v>4</v>
      </c>
      <c r="G5183" s="15">
        <f t="shared" si="3"/>
        <v>9</v>
      </c>
    </row>
    <row r="5184">
      <c r="A5184" s="10" t="s">
        <v>37</v>
      </c>
      <c r="B5184" s="94">
        <f t="shared" si="5"/>
        <v>46121</v>
      </c>
      <c r="C5184" s="77" t="s">
        <v>1571</v>
      </c>
      <c r="D5184" s="13">
        <f>SUMIFS('Lançamentos de despesas'!$I:$I,'Lançamentos de despesas'!$G:$G,A5184,'Lançamentos de despesas'!$E:$E,"PAGO",'Lançamentos de despesas'!$C:$C,B5184)</f>
        <v>0</v>
      </c>
      <c r="E5184" s="15">
        <f t="shared" si="1"/>
        <v>2026</v>
      </c>
      <c r="F5184" s="15">
        <f t="shared" si="2"/>
        <v>4</v>
      </c>
      <c r="G5184" s="15">
        <f t="shared" si="3"/>
        <v>9</v>
      </c>
    </row>
    <row r="5185">
      <c r="A5185" s="10" t="s">
        <v>37</v>
      </c>
      <c r="B5185" s="94">
        <f t="shared" si="5"/>
        <v>46121</v>
      </c>
      <c r="C5185" s="77" t="s">
        <v>1572</v>
      </c>
      <c r="D5185" s="13">
        <f>D5182+D5183-D5184</f>
        <v>66038.68</v>
      </c>
      <c r="E5185" s="15">
        <f t="shared" si="1"/>
        <v>2026</v>
      </c>
      <c r="F5185" s="15">
        <f t="shared" si="2"/>
        <v>4</v>
      </c>
      <c r="G5185" s="15">
        <f t="shared" si="3"/>
        <v>9</v>
      </c>
    </row>
    <row r="5186">
      <c r="A5186" s="10" t="s">
        <v>37</v>
      </c>
      <c r="B5186" s="94">
        <f t="shared" si="5"/>
        <v>46122</v>
      </c>
      <c r="C5186" s="77" t="s">
        <v>1569</v>
      </c>
      <c r="D5186" s="13">
        <f>D5185</f>
        <v>66038.68</v>
      </c>
      <c r="E5186" s="15">
        <f t="shared" si="1"/>
        <v>2026</v>
      </c>
      <c r="F5186" s="15">
        <f t="shared" si="2"/>
        <v>4</v>
      </c>
      <c r="G5186" s="15">
        <f t="shared" si="3"/>
        <v>10</v>
      </c>
    </row>
    <row r="5187">
      <c r="A5187" s="10" t="s">
        <v>37</v>
      </c>
      <c r="B5187" s="94">
        <f t="shared" si="5"/>
        <v>46122</v>
      </c>
      <c r="C5187" s="77" t="s">
        <v>1570</v>
      </c>
      <c r="D5187" s="13">
        <f>SUMIFS('Lançamentos de receitas'!$E:$E,'Lançamentos de receitas'!$F:$F,"PAGO",'Lançamentos de receitas'!$C:$C,A5187,'Lançamentos de receitas'!$A:$A,B5187)</f>
        <v>0</v>
      </c>
      <c r="E5187" s="15">
        <f t="shared" si="1"/>
        <v>2026</v>
      </c>
      <c r="F5187" s="15">
        <f t="shared" si="2"/>
        <v>4</v>
      </c>
      <c r="G5187" s="15">
        <f t="shared" si="3"/>
        <v>10</v>
      </c>
    </row>
    <row r="5188">
      <c r="A5188" s="10" t="s">
        <v>37</v>
      </c>
      <c r="B5188" s="94">
        <f t="shared" si="5"/>
        <v>46122</v>
      </c>
      <c r="C5188" s="77" t="s">
        <v>1571</v>
      </c>
      <c r="D5188" s="13">
        <f>SUMIFS('Lançamentos de despesas'!$I:$I,'Lançamentos de despesas'!$G:$G,A5188,'Lançamentos de despesas'!$E:$E,"PAGO",'Lançamentos de despesas'!$C:$C,B5188)</f>
        <v>0</v>
      </c>
      <c r="E5188" s="15">
        <f t="shared" si="1"/>
        <v>2026</v>
      </c>
      <c r="F5188" s="15">
        <f t="shared" si="2"/>
        <v>4</v>
      </c>
      <c r="G5188" s="15">
        <f t="shared" si="3"/>
        <v>10</v>
      </c>
    </row>
    <row r="5189">
      <c r="A5189" s="10" t="s">
        <v>37</v>
      </c>
      <c r="B5189" s="94">
        <f t="shared" si="5"/>
        <v>46122</v>
      </c>
      <c r="C5189" s="77" t="s">
        <v>1572</v>
      </c>
      <c r="D5189" s="13">
        <f>D5186+D5187-D5188</f>
        <v>66038.68</v>
      </c>
      <c r="E5189" s="15">
        <f t="shared" si="1"/>
        <v>2026</v>
      </c>
      <c r="F5189" s="15">
        <f t="shared" si="2"/>
        <v>4</v>
      </c>
      <c r="G5189" s="15">
        <f t="shared" si="3"/>
        <v>10</v>
      </c>
    </row>
    <row r="5190">
      <c r="A5190" s="10" t="s">
        <v>37</v>
      </c>
      <c r="B5190" s="94">
        <f t="shared" si="5"/>
        <v>46123</v>
      </c>
      <c r="C5190" s="77" t="s">
        <v>1569</v>
      </c>
      <c r="D5190" s="13">
        <f>D5189</f>
        <v>66038.68</v>
      </c>
      <c r="E5190" s="15">
        <f t="shared" si="1"/>
        <v>2026</v>
      </c>
      <c r="F5190" s="15">
        <f t="shared" si="2"/>
        <v>4</v>
      </c>
      <c r="G5190" s="15">
        <f t="shared" si="3"/>
        <v>11</v>
      </c>
    </row>
    <row r="5191">
      <c r="A5191" s="10" t="s">
        <v>37</v>
      </c>
      <c r="B5191" s="94">
        <f t="shared" si="5"/>
        <v>46123</v>
      </c>
      <c r="C5191" s="77" t="s">
        <v>1570</v>
      </c>
      <c r="D5191" s="13">
        <f>SUMIFS('Lançamentos de receitas'!$E:$E,'Lançamentos de receitas'!$F:$F,"PAGO",'Lançamentos de receitas'!$C:$C,A5191,'Lançamentos de receitas'!$A:$A,B5191)</f>
        <v>0</v>
      </c>
      <c r="E5191" s="15">
        <f t="shared" si="1"/>
        <v>2026</v>
      </c>
      <c r="F5191" s="15">
        <f t="shared" si="2"/>
        <v>4</v>
      </c>
      <c r="G5191" s="15">
        <f t="shared" si="3"/>
        <v>11</v>
      </c>
    </row>
    <row r="5192">
      <c r="A5192" s="10" t="s">
        <v>37</v>
      </c>
      <c r="B5192" s="94">
        <f t="shared" si="5"/>
        <v>46123</v>
      </c>
      <c r="C5192" s="77" t="s">
        <v>1571</v>
      </c>
      <c r="D5192" s="13">
        <f>SUMIFS('Lançamentos de despesas'!$I:$I,'Lançamentos de despesas'!$G:$G,A5192,'Lançamentos de despesas'!$E:$E,"PAGO",'Lançamentos de despesas'!$C:$C,B5192)</f>
        <v>0</v>
      </c>
      <c r="E5192" s="15">
        <f t="shared" si="1"/>
        <v>2026</v>
      </c>
      <c r="F5192" s="15">
        <f t="shared" si="2"/>
        <v>4</v>
      </c>
      <c r="G5192" s="15">
        <f t="shared" si="3"/>
        <v>11</v>
      </c>
    </row>
    <row r="5193">
      <c r="A5193" s="10" t="s">
        <v>37</v>
      </c>
      <c r="B5193" s="94">
        <f t="shared" si="5"/>
        <v>46123</v>
      </c>
      <c r="C5193" s="77" t="s">
        <v>1572</v>
      </c>
      <c r="D5193" s="13">
        <f>D5190+D5191-D5192</f>
        <v>66038.68</v>
      </c>
      <c r="E5193" s="15">
        <f t="shared" si="1"/>
        <v>2026</v>
      </c>
      <c r="F5193" s="15">
        <f t="shared" si="2"/>
        <v>4</v>
      </c>
      <c r="G5193" s="15">
        <f t="shared" si="3"/>
        <v>11</v>
      </c>
    </row>
    <row r="5194">
      <c r="A5194" s="10" t="s">
        <v>37</v>
      </c>
      <c r="B5194" s="94">
        <f t="shared" si="5"/>
        <v>46124</v>
      </c>
      <c r="C5194" s="77" t="s">
        <v>1569</v>
      </c>
      <c r="D5194" s="13">
        <f>D5193</f>
        <v>66038.68</v>
      </c>
      <c r="E5194" s="15">
        <f t="shared" si="1"/>
        <v>2026</v>
      </c>
      <c r="F5194" s="15">
        <f t="shared" si="2"/>
        <v>4</v>
      </c>
      <c r="G5194" s="15">
        <f t="shared" si="3"/>
        <v>12</v>
      </c>
    </row>
    <row r="5195">
      <c r="A5195" s="10" t="s">
        <v>37</v>
      </c>
      <c r="B5195" s="94">
        <f t="shared" si="5"/>
        <v>46124</v>
      </c>
      <c r="C5195" s="77" t="s">
        <v>1570</v>
      </c>
      <c r="D5195" s="13">
        <f>SUMIFS('Lançamentos de receitas'!$E:$E,'Lançamentos de receitas'!$F:$F,"PAGO",'Lançamentos de receitas'!$C:$C,A5195,'Lançamentos de receitas'!$A:$A,B5195)</f>
        <v>0</v>
      </c>
      <c r="E5195" s="15">
        <f t="shared" si="1"/>
        <v>2026</v>
      </c>
      <c r="F5195" s="15">
        <f t="shared" si="2"/>
        <v>4</v>
      </c>
      <c r="G5195" s="15">
        <f t="shared" si="3"/>
        <v>12</v>
      </c>
    </row>
    <row r="5196">
      <c r="A5196" s="10" t="s">
        <v>37</v>
      </c>
      <c r="B5196" s="94">
        <f t="shared" si="5"/>
        <v>46124</v>
      </c>
      <c r="C5196" s="77" t="s">
        <v>1571</v>
      </c>
      <c r="D5196" s="13">
        <f>SUMIFS('Lançamentos de despesas'!$I:$I,'Lançamentos de despesas'!$G:$G,A5196,'Lançamentos de despesas'!$E:$E,"PAGO",'Lançamentos de despesas'!$C:$C,B5196)</f>
        <v>0</v>
      </c>
      <c r="E5196" s="15">
        <f t="shared" si="1"/>
        <v>2026</v>
      </c>
      <c r="F5196" s="15">
        <f t="shared" si="2"/>
        <v>4</v>
      </c>
      <c r="G5196" s="15">
        <f t="shared" si="3"/>
        <v>12</v>
      </c>
    </row>
    <row r="5197">
      <c r="A5197" s="10" t="s">
        <v>37</v>
      </c>
      <c r="B5197" s="94">
        <f t="shared" si="5"/>
        <v>46124</v>
      </c>
      <c r="C5197" s="77" t="s">
        <v>1572</v>
      </c>
      <c r="D5197" s="13">
        <f>D5194+D5195-D5196</f>
        <v>66038.68</v>
      </c>
      <c r="E5197" s="15">
        <f t="shared" si="1"/>
        <v>2026</v>
      </c>
      <c r="F5197" s="15">
        <f t="shared" si="2"/>
        <v>4</v>
      </c>
      <c r="G5197" s="15">
        <f t="shared" si="3"/>
        <v>12</v>
      </c>
    </row>
    <row r="5198">
      <c r="A5198" s="10" t="s">
        <v>37</v>
      </c>
      <c r="B5198" s="94">
        <f t="shared" si="5"/>
        <v>46125</v>
      </c>
      <c r="C5198" s="77" t="s">
        <v>1569</v>
      </c>
      <c r="D5198" s="13">
        <f>D5197</f>
        <v>66038.68</v>
      </c>
      <c r="E5198" s="15">
        <f t="shared" si="1"/>
        <v>2026</v>
      </c>
      <c r="F5198" s="15">
        <f t="shared" si="2"/>
        <v>4</v>
      </c>
      <c r="G5198" s="15">
        <f t="shared" si="3"/>
        <v>13</v>
      </c>
    </row>
    <row r="5199">
      <c r="A5199" s="10" t="s">
        <v>37</v>
      </c>
      <c r="B5199" s="94">
        <f t="shared" si="5"/>
        <v>46125</v>
      </c>
      <c r="C5199" s="77" t="s">
        <v>1570</v>
      </c>
      <c r="D5199" s="13">
        <f>SUMIFS('Lançamentos de receitas'!$E:$E,'Lançamentos de receitas'!$F:$F,"PAGO",'Lançamentos de receitas'!$C:$C,A5199,'Lançamentos de receitas'!$A:$A,B5199)</f>
        <v>0</v>
      </c>
      <c r="E5199" s="15">
        <f t="shared" si="1"/>
        <v>2026</v>
      </c>
      <c r="F5199" s="15">
        <f t="shared" si="2"/>
        <v>4</v>
      </c>
      <c r="G5199" s="15">
        <f t="shared" si="3"/>
        <v>13</v>
      </c>
    </row>
    <row r="5200">
      <c r="A5200" s="10" t="s">
        <v>37</v>
      </c>
      <c r="B5200" s="94">
        <f t="shared" si="5"/>
        <v>46125</v>
      </c>
      <c r="C5200" s="77" t="s">
        <v>1571</v>
      </c>
      <c r="D5200" s="13">
        <f>SUMIFS('Lançamentos de despesas'!$I:$I,'Lançamentos de despesas'!$G:$G,A5200,'Lançamentos de despesas'!$E:$E,"PAGO",'Lançamentos de despesas'!$C:$C,B5200)</f>
        <v>0</v>
      </c>
      <c r="E5200" s="15">
        <f t="shared" si="1"/>
        <v>2026</v>
      </c>
      <c r="F5200" s="15">
        <f t="shared" si="2"/>
        <v>4</v>
      </c>
      <c r="G5200" s="15">
        <f t="shared" si="3"/>
        <v>13</v>
      </c>
    </row>
    <row r="5201">
      <c r="A5201" s="10" t="s">
        <v>37</v>
      </c>
      <c r="B5201" s="94">
        <f t="shared" si="5"/>
        <v>46125</v>
      </c>
      <c r="C5201" s="77" t="s">
        <v>1572</v>
      </c>
      <c r="D5201" s="13">
        <f>D5198+D5199-D5200</f>
        <v>66038.68</v>
      </c>
      <c r="E5201" s="15">
        <f t="shared" si="1"/>
        <v>2026</v>
      </c>
      <c r="F5201" s="15">
        <f t="shared" si="2"/>
        <v>4</v>
      </c>
      <c r="G5201" s="15">
        <f t="shared" si="3"/>
        <v>13</v>
      </c>
    </row>
    <row r="5202">
      <c r="A5202" s="10" t="s">
        <v>37</v>
      </c>
      <c r="B5202" s="94">
        <f t="shared" si="5"/>
        <v>46126</v>
      </c>
      <c r="C5202" s="77" t="s">
        <v>1569</v>
      </c>
      <c r="D5202" s="13">
        <f>D5201</f>
        <v>66038.68</v>
      </c>
      <c r="E5202" s="15">
        <f t="shared" si="1"/>
        <v>2026</v>
      </c>
      <c r="F5202" s="15">
        <f t="shared" si="2"/>
        <v>4</v>
      </c>
      <c r="G5202" s="15">
        <f t="shared" si="3"/>
        <v>14</v>
      </c>
    </row>
    <row r="5203">
      <c r="A5203" s="10" t="s">
        <v>37</v>
      </c>
      <c r="B5203" s="94">
        <f t="shared" si="5"/>
        <v>46126</v>
      </c>
      <c r="C5203" s="77" t="s">
        <v>1570</v>
      </c>
      <c r="D5203" s="13">
        <f>SUMIFS('Lançamentos de receitas'!$E:$E,'Lançamentos de receitas'!$F:$F,"PAGO",'Lançamentos de receitas'!$C:$C,A5203,'Lançamentos de receitas'!$A:$A,B5203)</f>
        <v>0</v>
      </c>
      <c r="E5203" s="15">
        <f t="shared" si="1"/>
        <v>2026</v>
      </c>
      <c r="F5203" s="15">
        <f t="shared" si="2"/>
        <v>4</v>
      </c>
      <c r="G5203" s="15">
        <f t="shared" si="3"/>
        <v>14</v>
      </c>
    </row>
    <row r="5204">
      <c r="A5204" s="10" t="s">
        <v>37</v>
      </c>
      <c r="B5204" s="94">
        <f t="shared" si="5"/>
        <v>46126</v>
      </c>
      <c r="C5204" s="77" t="s">
        <v>1571</v>
      </c>
      <c r="D5204" s="13">
        <f>SUMIFS('Lançamentos de despesas'!$I:$I,'Lançamentos de despesas'!$G:$G,A5204,'Lançamentos de despesas'!$E:$E,"PAGO",'Lançamentos de despesas'!$C:$C,B5204)</f>
        <v>0</v>
      </c>
      <c r="E5204" s="15">
        <f t="shared" si="1"/>
        <v>2026</v>
      </c>
      <c r="F5204" s="15">
        <f t="shared" si="2"/>
        <v>4</v>
      </c>
      <c r="G5204" s="15">
        <f t="shared" si="3"/>
        <v>14</v>
      </c>
    </row>
    <row r="5205">
      <c r="A5205" s="10" t="s">
        <v>37</v>
      </c>
      <c r="B5205" s="94">
        <f t="shared" si="5"/>
        <v>46126</v>
      </c>
      <c r="C5205" s="77" t="s">
        <v>1572</v>
      </c>
      <c r="D5205" s="13">
        <f>D5202+D5203-D5204</f>
        <v>66038.68</v>
      </c>
      <c r="E5205" s="15">
        <f t="shared" si="1"/>
        <v>2026</v>
      </c>
      <c r="F5205" s="15">
        <f t="shared" si="2"/>
        <v>4</v>
      </c>
      <c r="G5205" s="15">
        <f t="shared" si="3"/>
        <v>14</v>
      </c>
    </row>
    <row r="5206">
      <c r="A5206" s="10" t="s">
        <v>37</v>
      </c>
      <c r="B5206" s="94">
        <f t="shared" si="5"/>
        <v>46127</v>
      </c>
      <c r="C5206" s="77" t="s">
        <v>1569</v>
      </c>
      <c r="D5206" s="13">
        <f>D5205</f>
        <v>66038.68</v>
      </c>
      <c r="E5206" s="15">
        <f t="shared" si="1"/>
        <v>2026</v>
      </c>
      <c r="F5206" s="15">
        <f t="shared" si="2"/>
        <v>4</v>
      </c>
      <c r="G5206" s="15">
        <f t="shared" si="3"/>
        <v>15</v>
      </c>
    </row>
    <row r="5207">
      <c r="A5207" s="10" t="s">
        <v>37</v>
      </c>
      <c r="B5207" s="94">
        <f t="shared" si="5"/>
        <v>46127</v>
      </c>
      <c r="C5207" s="77" t="s">
        <v>1570</v>
      </c>
      <c r="D5207" s="13">
        <f>SUMIFS('Lançamentos de receitas'!$E:$E,'Lançamentos de receitas'!$F:$F,"PAGO",'Lançamentos de receitas'!$C:$C,A5207,'Lançamentos de receitas'!$A:$A,B5207)</f>
        <v>0</v>
      </c>
      <c r="E5207" s="15">
        <f t="shared" si="1"/>
        <v>2026</v>
      </c>
      <c r="F5207" s="15">
        <f t="shared" si="2"/>
        <v>4</v>
      </c>
      <c r="G5207" s="15">
        <f t="shared" si="3"/>
        <v>15</v>
      </c>
    </row>
    <row r="5208">
      <c r="A5208" s="10" t="s">
        <v>37</v>
      </c>
      <c r="B5208" s="94">
        <f t="shared" si="5"/>
        <v>46127</v>
      </c>
      <c r="C5208" s="77" t="s">
        <v>1571</v>
      </c>
      <c r="D5208" s="13">
        <f>SUMIFS('Lançamentos de despesas'!$I:$I,'Lançamentos de despesas'!$G:$G,A5208,'Lançamentos de despesas'!$E:$E,"PAGO",'Lançamentos de despesas'!$C:$C,B5208)</f>
        <v>0</v>
      </c>
      <c r="E5208" s="15">
        <f t="shared" si="1"/>
        <v>2026</v>
      </c>
      <c r="F5208" s="15">
        <f t="shared" si="2"/>
        <v>4</v>
      </c>
      <c r="G5208" s="15">
        <f t="shared" si="3"/>
        <v>15</v>
      </c>
    </row>
    <row r="5209">
      <c r="A5209" s="10" t="s">
        <v>37</v>
      </c>
      <c r="B5209" s="94">
        <f t="shared" si="5"/>
        <v>46127</v>
      </c>
      <c r="C5209" s="77" t="s">
        <v>1572</v>
      </c>
      <c r="D5209" s="13">
        <f>D5206+D5207-D5208</f>
        <v>66038.68</v>
      </c>
      <c r="E5209" s="15">
        <f t="shared" si="1"/>
        <v>2026</v>
      </c>
      <c r="F5209" s="15">
        <f t="shared" si="2"/>
        <v>4</v>
      </c>
      <c r="G5209" s="15">
        <f t="shared" si="3"/>
        <v>15</v>
      </c>
    </row>
    <row r="5210">
      <c r="A5210" s="10" t="s">
        <v>37</v>
      </c>
      <c r="B5210" s="94">
        <f t="shared" si="5"/>
        <v>46128</v>
      </c>
      <c r="C5210" s="77" t="s">
        <v>1569</v>
      </c>
      <c r="D5210" s="13">
        <f>D5209</f>
        <v>66038.68</v>
      </c>
      <c r="E5210" s="15">
        <f t="shared" si="1"/>
        <v>2026</v>
      </c>
      <c r="F5210" s="15">
        <f t="shared" si="2"/>
        <v>4</v>
      </c>
      <c r="G5210" s="15">
        <f t="shared" si="3"/>
        <v>16</v>
      </c>
    </row>
    <row r="5211">
      <c r="A5211" s="10" t="s">
        <v>37</v>
      </c>
      <c r="B5211" s="94">
        <f t="shared" si="5"/>
        <v>46128</v>
      </c>
      <c r="C5211" s="77" t="s">
        <v>1570</v>
      </c>
      <c r="D5211" s="13">
        <f>SUMIFS('Lançamentos de receitas'!$E:$E,'Lançamentos de receitas'!$F:$F,"PAGO",'Lançamentos de receitas'!$C:$C,A5211,'Lançamentos de receitas'!$A:$A,B5211)</f>
        <v>0</v>
      </c>
      <c r="E5211" s="15">
        <f t="shared" si="1"/>
        <v>2026</v>
      </c>
      <c r="F5211" s="15">
        <f t="shared" si="2"/>
        <v>4</v>
      </c>
      <c r="G5211" s="15">
        <f t="shared" si="3"/>
        <v>16</v>
      </c>
    </row>
    <row r="5212">
      <c r="A5212" s="10" t="s">
        <v>37</v>
      </c>
      <c r="B5212" s="94">
        <f t="shared" si="5"/>
        <v>46128</v>
      </c>
      <c r="C5212" s="77" t="s">
        <v>1571</v>
      </c>
      <c r="D5212" s="13">
        <f>SUMIFS('Lançamentos de despesas'!$I:$I,'Lançamentos de despesas'!$G:$G,A5212,'Lançamentos de despesas'!$E:$E,"PAGO",'Lançamentos de despesas'!$C:$C,B5212)</f>
        <v>0</v>
      </c>
      <c r="E5212" s="15">
        <f t="shared" si="1"/>
        <v>2026</v>
      </c>
      <c r="F5212" s="15">
        <f t="shared" si="2"/>
        <v>4</v>
      </c>
      <c r="G5212" s="15">
        <f t="shared" si="3"/>
        <v>16</v>
      </c>
    </row>
    <row r="5213">
      <c r="A5213" s="10" t="s">
        <v>37</v>
      </c>
      <c r="B5213" s="94">
        <f t="shared" si="5"/>
        <v>46128</v>
      </c>
      <c r="C5213" s="77" t="s">
        <v>1572</v>
      </c>
      <c r="D5213" s="13">
        <f>D5210+D5211-D5212</f>
        <v>66038.68</v>
      </c>
      <c r="E5213" s="15">
        <f t="shared" si="1"/>
        <v>2026</v>
      </c>
      <c r="F5213" s="15">
        <f t="shared" si="2"/>
        <v>4</v>
      </c>
      <c r="G5213" s="15">
        <f t="shared" si="3"/>
        <v>16</v>
      </c>
    </row>
    <row r="5214">
      <c r="A5214" s="10" t="s">
        <v>37</v>
      </c>
      <c r="B5214" s="94">
        <f t="shared" si="5"/>
        <v>46129</v>
      </c>
      <c r="C5214" s="77" t="s">
        <v>1569</v>
      </c>
      <c r="D5214" s="13">
        <f>D5213</f>
        <v>66038.68</v>
      </c>
      <c r="E5214" s="15">
        <f t="shared" si="1"/>
        <v>2026</v>
      </c>
      <c r="F5214" s="15">
        <f t="shared" si="2"/>
        <v>4</v>
      </c>
      <c r="G5214" s="15">
        <f t="shared" si="3"/>
        <v>17</v>
      </c>
    </row>
    <row r="5215">
      <c r="A5215" s="10" t="s">
        <v>37</v>
      </c>
      <c r="B5215" s="94">
        <f t="shared" si="5"/>
        <v>46129</v>
      </c>
      <c r="C5215" s="77" t="s">
        <v>1570</v>
      </c>
      <c r="D5215" s="13">
        <f>SUMIFS('Lançamentos de receitas'!$E:$E,'Lançamentos de receitas'!$F:$F,"PAGO",'Lançamentos de receitas'!$C:$C,A5215,'Lançamentos de receitas'!$A:$A,B5215)</f>
        <v>0</v>
      </c>
      <c r="E5215" s="15">
        <f t="shared" si="1"/>
        <v>2026</v>
      </c>
      <c r="F5215" s="15">
        <f t="shared" si="2"/>
        <v>4</v>
      </c>
      <c r="G5215" s="15">
        <f t="shared" si="3"/>
        <v>17</v>
      </c>
    </row>
    <row r="5216">
      <c r="A5216" s="10" t="s">
        <v>37</v>
      </c>
      <c r="B5216" s="94">
        <f t="shared" si="5"/>
        <v>46129</v>
      </c>
      <c r="C5216" s="77" t="s">
        <v>1571</v>
      </c>
      <c r="D5216" s="13">
        <f>SUMIFS('Lançamentos de despesas'!$I:$I,'Lançamentos de despesas'!$G:$G,A5216,'Lançamentos de despesas'!$E:$E,"PAGO",'Lançamentos de despesas'!$C:$C,B5216)</f>
        <v>0</v>
      </c>
      <c r="E5216" s="15">
        <f t="shared" si="1"/>
        <v>2026</v>
      </c>
      <c r="F5216" s="15">
        <f t="shared" si="2"/>
        <v>4</v>
      </c>
      <c r="G5216" s="15">
        <f t="shared" si="3"/>
        <v>17</v>
      </c>
    </row>
    <row r="5217">
      <c r="A5217" s="10" t="s">
        <v>37</v>
      </c>
      <c r="B5217" s="94">
        <f t="shared" si="5"/>
        <v>46129</v>
      </c>
      <c r="C5217" s="77" t="s">
        <v>1572</v>
      </c>
      <c r="D5217" s="13">
        <f>D5214+D5215-D5216</f>
        <v>66038.68</v>
      </c>
      <c r="E5217" s="15">
        <f t="shared" si="1"/>
        <v>2026</v>
      </c>
      <c r="F5217" s="15">
        <f t="shared" si="2"/>
        <v>4</v>
      </c>
      <c r="G5217" s="15">
        <f t="shared" si="3"/>
        <v>17</v>
      </c>
    </row>
    <row r="5218">
      <c r="A5218" s="10" t="s">
        <v>37</v>
      </c>
      <c r="B5218" s="94">
        <f t="shared" si="5"/>
        <v>46130</v>
      </c>
      <c r="C5218" s="77" t="s">
        <v>1569</v>
      </c>
      <c r="D5218" s="13">
        <f>D5217</f>
        <v>66038.68</v>
      </c>
      <c r="E5218" s="15">
        <f t="shared" si="1"/>
        <v>2026</v>
      </c>
      <c r="F5218" s="15">
        <f t="shared" si="2"/>
        <v>4</v>
      </c>
      <c r="G5218" s="15">
        <f t="shared" si="3"/>
        <v>18</v>
      </c>
    </row>
    <row r="5219">
      <c r="A5219" s="10" t="s">
        <v>37</v>
      </c>
      <c r="B5219" s="94">
        <f t="shared" si="5"/>
        <v>46130</v>
      </c>
      <c r="C5219" s="77" t="s">
        <v>1570</v>
      </c>
      <c r="D5219" s="13">
        <f>SUMIFS('Lançamentos de receitas'!$E:$E,'Lançamentos de receitas'!$F:$F,"PAGO",'Lançamentos de receitas'!$C:$C,A5219,'Lançamentos de receitas'!$A:$A,B5219)</f>
        <v>0</v>
      </c>
      <c r="E5219" s="15">
        <f t="shared" si="1"/>
        <v>2026</v>
      </c>
      <c r="F5219" s="15">
        <f t="shared" si="2"/>
        <v>4</v>
      </c>
      <c r="G5219" s="15">
        <f t="shared" si="3"/>
        <v>18</v>
      </c>
    </row>
    <row r="5220">
      <c r="A5220" s="10" t="s">
        <v>37</v>
      </c>
      <c r="B5220" s="94">
        <f t="shared" si="5"/>
        <v>46130</v>
      </c>
      <c r="C5220" s="77" t="s">
        <v>1571</v>
      </c>
      <c r="D5220" s="13">
        <f>SUMIFS('Lançamentos de despesas'!$I:$I,'Lançamentos de despesas'!$G:$G,A5220,'Lançamentos de despesas'!$E:$E,"PAGO",'Lançamentos de despesas'!$C:$C,B5220)</f>
        <v>0</v>
      </c>
      <c r="E5220" s="15">
        <f t="shared" si="1"/>
        <v>2026</v>
      </c>
      <c r="F5220" s="15">
        <f t="shared" si="2"/>
        <v>4</v>
      </c>
      <c r="G5220" s="15">
        <f t="shared" si="3"/>
        <v>18</v>
      </c>
    </row>
    <row r="5221">
      <c r="A5221" s="10" t="s">
        <v>37</v>
      </c>
      <c r="B5221" s="94">
        <f t="shared" si="5"/>
        <v>46130</v>
      </c>
      <c r="C5221" s="77" t="s">
        <v>1572</v>
      </c>
      <c r="D5221" s="13">
        <f>D5218+D5219-D5220</f>
        <v>66038.68</v>
      </c>
      <c r="E5221" s="15">
        <f t="shared" si="1"/>
        <v>2026</v>
      </c>
      <c r="F5221" s="15">
        <f t="shared" si="2"/>
        <v>4</v>
      </c>
      <c r="G5221" s="15">
        <f t="shared" si="3"/>
        <v>18</v>
      </c>
    </row>
    <row r="5222">
      <c r="A5222" s="10" t="s">
        <v>37</v>
      </c>
      <c r="B5222" s="94">
        <f t="shared" si="5"/>
        <v>46131</v>
      </c>
      <c r="C5222" s="77" t="s">
        <v>1569</v>
      </c>
      <c r="D5222" s="13">
        <f>D5221</f>
        <v>66038.68</v>
      </c>
      <c r="E5222" s="15">
        <f t="shared" si="1"/>
        <v>2026</v>
      </c>
      <c r="F5222" s="15">
        <f t="shared" si="2"/>
        <v>4</v>
      </c>
      <c r="G5222" s="15">
        <f t="shared" si="3"/>
        <v>19</v>
      </c>
    </row>
    <row r="5223">
      <c r="A5223" s="10" t="s">
        <v>37</v>
      </c>
      <c r="B5223" s="94">
        <f t="shared" si="5"/>
        <v>46131</v>
      </c>
      <c r="C5223" s="77" t="s">
        <v>1570</v>
      </c>
      <c r="D5223" s="13">
        <f>SUMIFS('Lançamentos de receitas'!$E:$E,'Lançamentos de receitas'!$F:$F,"PAGO",'Lançamentos de receitas'!$C:$C,A5223,'Lançamentos de receitas'!$A:$A,B5223)</f>
        <v>0</v>
      </c>
      <c r="E5223" s="15">
        <f t="shared" si="1"/>
        <v>2026</v>
      </c>
      <c r="F5223" s="15">
        <f t="shared" si="2"/>
        <v>4</v>
      </c>
      <c r="G5223" s="15">
        <f t="shared" si="3"/>
        <v>19</v>
      </c>
    </row>
    <row r="5224">
      <c r="A5224" s="10" t="s">
        <v>37</v>
      </c>
      <c r="B5224" s="94">
        <f t="shared" si="5"/>
        <v>46131</v>
      </c>
      <c r="C5224" s="77" t="s">
        <v>1571</v>
      </c>
      <c r="D5224" s="13">
        <f>SUMIFS('Lançamentos de despesas'!$I:$I,'Lançamentos de despesas'!$G:$G,A5224,'Lançamentos de despesas'!$E:$E,"PAGO",'Lançamentos de despesas'!$C:$C,B5224)</f>
        <v>0</v>
      </c>
      <c r="E5224" s="15">
        <f t="shared" si="1"/>
        <v>2026</v>
      </c>
      <c r="F5224" s="15">
        <f t="shared" si="2"/>
        <v>4</v>
      </c>
      <c r="G5224" s="15">
        <f t="shared" si="3"/>
        <v>19</v>
      </c>
    </row>
    <row r="5225">
      <c r="A5225" s="10" t="s">
        <v>37</v>
      </c>
      <c r="B5225" s="94">
        <f t="shared" si="5"/>
        <v>46131</v>
      </c>
      <c r="C5225" s="77" t="s">
        <v>1572</v>
      </c>
      <c r="D5225" s="13">
        <f>D5222+D5223-D5224</f>
        <v>66038.68</v>
      </c>
      <c r="E5225" s="15">
        <f t="shared" si="1"/>
        <v>2026</v>
      </c>
      <c r="F5225" s="15">
        <f t="shared" si="2"/>
        <v>4</v>
      </c>
      <c r="G5225" s="15">
        <f t="shared" si="3"/>
        <v>19</v>
      </c>
    </row>
    <row r="5226">
      <c r="A5226" s="10" t="s">
        <v>37</v>
      </c>
      <c r="B5226" s="94">
        <f t="shared" si="5"/>
        <v>46132</v>
      </c>
      <c r="C5226" s="77" t="s">
        <v>1569</v>
      </c>
      <c r="D5226" s="13">
        <f>D5225</f>
        <v>66038.68</v>
      </c>
      <c r="E5226" s="15">
        <f t="shared" si="1"/>
        <v>2026</v>
      </c>
      <c r="F5226" s="15">
        <f t="shared" si="2"/>
        <v>4</v>
      </c>
      <c r="G5226" s="15">
        <f t="shared" si="3"/>
        <v>20</v>
      </c>
    </row>
    <row r="5227">
      <c r="A5227" s="10" t="s">
        <v>37</v>
      </c>
      <c r="B5227" s="94">
        <f t="shared" si="5"/>
        <v>46132</v>
      </c>
      <c r="C5227" s="77" t="s">
        <v>1570</v>
      </c>
      <c r="D5227" s="13">
        <f>SUMIFS('Lançamentos de receitas'!$E:$E,'Lançamentos de receitas'!$F:$F,"PAGO",'Lançamentos de receitas'!$C:$C,A5227,'Lançamentos de receitas'!$A:$A,B5227)</f>
        <v>0</v>
      </c>
      <c r="E5227" s="15">
        <f t="shared" si="1"/>
        <v>2026</v>
      </c>
      <c r="F5227" s="15">
        <f t="shared" si="2"/>
        <v>4</v>
      </c>
      <c r="G5227" s="15">
        <f t="shared" si="3"/>
        <v>20</v>
      </c>
    </row>
    <row r="5228">
      <c r="A5228" s="10" t="s">
        <v>37</v>
      </c>
      <c r="B5228" s="94">
        <f t="shared" si="5"/>
        <v>46132</v>
      </c>
      <c r="C5228" s="77" t="s">
        <v>1571</v>
      </c>
      <c r="D5228" s="13">
        <f>SUMIFS('Lançamentos de despesas'!$I:$I,'Lançamentos de despesas'!$G:$G,A5228,'Lançamentos de despesas'!$E:$E,"PAGO",'Lançamentos de despesas'!$C:$C,B5228)</f>
        <v>0</v>
      </c>
      <c r="E5228" s="15">
        <f t="shared" si="1"/>
        <v>2026</v>
      </c>
      <c r="F5228" s="15">
        <f t="shared" si="2"/>
        <v>4</v>
      </c>
      <c r="G5228" s="15">
        <f t="shared" si="3"/>
        <v>20</v>
      </c>
    </row>
    <row r="5229">
      <c r="A5229" s="10" t="s">
        <v>37</v>
      </c>
      <c r="B5229" s="94">
        <f t="shared" si="5"/>
        <v>46132</v>
      </c>
      <c r="C5229" s="77" t="s">
        <v>1572</v>
      </c>
      <c r="D5229" s="13">
        <f>D5226+D5227-D5228</f>
        <v>66038.68</v>
      </c>
      <c r="E5229" s="15">
        <f t="shared" si="1"/>
        <v>2026</v>
      </c>
      <c r="F5229" s="15">
        <f t="shared" si="2"/>
        <v>4</v>
      </c>
      <c r="G5229" s="15">
        <f t="shared" si="3"/>
        <v>20</v>
      </c>
    </row>
    <row r="5230">
      <c r="A5230" s="10" t="s">
        <v>37</v>
      </c>
      <c r="B5230" s="94">
        <f t="shared" si="5"/>
        <v>46133</v>
      </c>
      <c r="C5230" s="77" t="s">
        <v>1569</v>
      </c>
      <c r="D5230" s="13">
        <f>D5229</f>
        <v>66038.68</v>
      </c>
      <c r="E5230" s="15">
        <f t="shared" si="1"/>
        <v>2026</v>
      </c>
      <c r="F5230" s="15">
        <f t="shared" si="2"/>
        <v>4</v>
      </c>
      <c r="G5230" s="15">
        <f t="shared" si="3"/>
        <v>21</v>
      </c>
    </row>
    <row r="5231">
      <c r="A5231" s="10" t="s">
        <v>37</v>
      </c>
      <c r="B5231" s="94">
        <f t="shared" si="5"/>
        <v>46133</v>
      </c>
      <c r="C5231" s="77" t="s">
        <v>1570</v>
      </c>
      <c r="D5231" s="13">
        <f>SUMIFS('Lançamentos de receitas'!$E:$E,'Lançamentos de receitas'!$F:$F,"PAGO",'Lançamentos de receitas'!$C:$C,A5231,'Lançamentos de receitas'!$A:$A,B5231)</f>
        <v>0</v>
      </c>
      <c r="E5231" s="15">
        <f t="shared" si="1"/>
        <v>2026</v>
      </c>
      <c r="F5231" s="15">
        <f t="shared" si="2"/>
        <v>4</v>
      </c>
      <c r="G5231" s="15">
        <f t="shared" si="3"/>
        <v>21</v>
      </c>
    </row>
    <row r="5232">
      <c r="A5232" s="10" t="s">
        <v>37</v>
      </c>
      <c r="B5232" s="94">
        <f t="shared" si="5"/>
        <v>46133</v>
      </c>
      <c r="C5232" s="77" t="s">
        <v>1571</v>
      </c>
      <c r="D5232" s="13">
        <f>SUMIFS('Lançamentos de despesas'!$I:$I,'Lançamentos de despesas'!$G:$G,A5232,'Lançamentos de despesas'!$E:$E,"PAGO",'Lançamentos de despesas'!$C:$C,B5232)</f>
        <v>0</v>
      </c>
      <c r="E5232" s="15">
        <f t="shared" si="1"/>
        <v>2026</v>
      </c>
      <c r="F5232" s="15">
        <f t="shared" si="2"/>
        <v>4</v>
      </c>
      <c r="G5232" s="15">
        <f t="shared" si="3"/>
        <v>21</v>
      </c>
    </row>
    <row r="5233">
      <c r="A5233" s="10" t="s">
        <v>37</v>
      </c>
      <c r="B5233" s="94">
        <f t="shared" si="5"/>
        <v>46133</v>
      </c>
      <c r="C5233" s="77" t="s">
        <v>1572</v>
      </c>
      <c r="D5233" s="13">
        <f>D5230+D5231-D5232</f>
        <v>66038.68</v>
      </c>
      <c r="E5233" s="15">
        <f t="shared" si="1"/>
        <v>2026</v>
      </c>
      <c r="F5233" s="15">
        <f t="shared" si="2"/>
        <v>4</v>
      </c>
      <c r="G5233" s="15">
        <f t="shared" si="3"/>
        <v>21</v>
      </c>
    </row>
    <row r="5234">
      <c r="A5234" s="10" t="s">
        <v>37</v>
      </c>
      <c r="B5234" s="94">
        <f t="shared" si="5"/>
        <v>46134</v>
      </c>
      <c r="C5234" s="77" t="s">
        <v>1569</v>
      </c>
      <c r="D5234" s="13">
        <f>D5233</f>
        <v>66038.68</v>
      </c>
      <c r="E5234" s="15">
        <f t="shared" si="1"/>
        <v>2026</v>
      </c>
      <c r="F5234" s="15">
        <f t="shared" si="2"/>
        <v>4</v>
      </c>
      <c r="G5234" s="15">
        <f t="shared" si="3"/>
        <v>22</v>
      </c>
    </row>
    <row r="5235">
      <c r="A5235" s="10" t="s">
        <v>37</v>
      </c>
      <c r="B5235" s="94">
        <f t="shared" si="5"/>
        <v>46134</v>
      </c>
      <c r="C5235" s="77" t="s">
        <v>1570</v>
      </c>
      <c r="D5235" s="13">
        <f>SUMIFS('Lançamentos de receitas'!$E:$E,'Lançamentos de receitas'!$F:$F,"PAGO",'Lançamentos de receitas'!$C:$C,A5235,'Lançamentos de receitas'!$A:$A,B5235)</f>
        <v>0</v>
      </c>
      <c r="E5235" s="15">
        <f t="shared" si="1"/>
        <v>2026</v>
      </c>
      <c r="F5235" s="15">
        <f t="shared" si="2"/>
        <v>4</v>
      </c>
      <c r="G5235" s="15">
        <f t="shared" si="3"/>
        <v>22</v>
      </c>
    </row>
    <row r="5236">
      <c r="A5236" s="10" t="s">
        <v>37</v>
      </c>
      <c r="B5236" s="94">
        <f t="shared" si="5"/>
        <v>46134</v>
      </c>
      <c r="C5236" s="77" t="s">
        <v>1571</v>
      </c>
      <c r="D5236" s="13">
        <f>SUMIFS('Lançamentos de despesas'!$I:$I,'Lançamentos de despesas'!$G:$G,A5236,'Lançamentos de despesas'!$E:$E,"PAGO",'Lançamentos de despesas'!$C:$C,B5236)</f>
        <v>0</v>
      </c>
      <c r="E5236" s="15">
        <f t="shared" si="1"/>
        <v>2026</v>
      </c>
      <c r="F5236" s="15">
        <f t="shared" si="2"/>
        <v>4</v>
      </c>
      <c r="G5236" s="15">
        <f t="shared" si="3"/>
        <v>22</v>
      </c>
    </row>
    <row r="5237">
      <c r="A5237" s="10" t="s">
        <v>37</v>
      </c>
      <c r="B5237" s="94">
        <f t="shared" si="5"/>
        <v>46134</v>
      </c>
      <c r="C5237" s="77" t="s">
        <v>1572</v>
      </c>
      <c r="D5237" s="13">
        <f>D5234+D5235-D5236</f>
        <v>66038.68</v>
      </c>
      <c r="E5237" s="15">
        <f t="shared" si="1"/>
        <v>2026</v>
      </c>
      <c r="F5237" s="15">
        <f t="shared" si="2"/>
        <v>4</v>
      </c>
      <c r="G5237" s="15">
        <f t="shared" si="3"/>
        <v>22</v>
      </c>
    </row>
    <row r="5238">
      <c r="A5238" s="10" t="s">
        <v>37</v>
      </c>
      <c r="B5238" s="94">
        <f t="shared" si="5"/>
        <v>46135</v>
      </c>
      <c r="C5238" s="77" t="s">
        <v>1569</v>
      </c>
      <c r="D5238" s="13">
        <f>D5237</f>
        <v>66038.68</v>
      </c>
      <c r="E5238" s="15">
        <f t="shared" si="1"/>
        <v>2026</v>
      </c>
      <c r="F5238" s="15">
        <f t="shared" si="2"/>
        <v>4</v>
      </c>
      <c r="G5238" s="15">
        <f t="shared" si="3"/>
        <v>23</v>
      </c>
    </row>
    <row r="5239">
      <c r="A5239" s="10" t="s">
        <v>37</v>
      </c>
      <c r="B5239" s="94">
        <f t="shared" si="5"/>
        <v>46135</v>
      </c>
      <c r="C5239" s="77" t="s">
        <v>1570</v>
      </c>
      <c r="D5239" s="13">
        <f>SUMIFS('Lançamentos de receitas'!$E:$E,'Lançamentos de receitas'!$F:$F,"PAGO",'Lançamentos de receitas'!$C:$C,A5239,'Lançamentos de receitas'!$A:$A,B5239)</f>
        <v>0</v>
      </c>
      <c r="E5239" s="15">
        <f t="shared" si="1"/>
        <v>2026</v>
      </c>
      <c r="F5239" s="15">
        <f t="shared" si="2"/>
        <v>4</v>
      </c>
      <c r="G5239" s="15">
        <f t="shared" si="3"/>
        <v>23</v>
      </c>
    </row>
    <row r="5240">
      <c r="A5240" s="10" t="s">
        <v>37</v>
      </c>
      <c r="B5240" s="94">
        <f t="shared" si="5"/>
        <v>46135</v>
      </c>
      <c r="C5240" s="77" t="s">
        <v>1571</v>
      </c>
      <c r="D5240" s="13">
        <f>SUMIFS('Lançamentos de despesas'!$I:$I,'Lançamentos de despesas'!$G:$G,A5240,'Lançamentos de despesas'!$E:$E,"PAGO",'Lançamentos de despesas'!$C:$C,B5240)</f>
        <v>0</v>
      </c>
      <c r="E5240" s="15">
        <f t="shared" si="1"/>
        <v>2026</v>
      </c>
      <c r="F5240" s="15">
        <f t="shared" si="2"/>
        <v>4</v>
      </c>
      <c r="G5240" s="15">
        <f t="shared" si="3"/>
        <v>23</v>
      </c>
    </row>
    <row r="5241">
      <c r="A5241" s="10" t="s">
        <v>37</v>
      </c>
      <c r="B5241" s="94">
        <f t="shared" si="5"/>
        <v>46135</v>
      </c>
      <c r="C5241" s="77" t="s">
        <v>1572</v>
      </c>
      <c r="D5241" s="13">
        <f>D5238+D5239-D5240</f>
        <v>66038.68</v>
      </c>
      <c r="E5241" s="15">
        <f t="shared" si="1"/>
        <v>2026</v>
      </c>
      <c r="F5241" s="15">
        <f t="shared" si="2"/>
        <v>4</v>
      </c>
      <c r="G5241" s="15">
        <f t="shared" si="3"/>
        <v>23</v>
      </c>
    </row>
    <row r="5242">
      <c r="A5242" s="10" t="s">
        <v>37</v>
      </c>
      <c r="B5242" s="94">
        <f t="shared" si="5"/>
        <v>46136</v>
      </c>
      <c r="C5242" s="77" t="s">
        <v>1569</v>
      </c>
      <c r="D5242" s="13">
        <f>D5241</f>
        <v>66038.68</v>
      </c>
      <c r="E5242" s="15">
        <f t="shared" si="1"/>
        <v>2026</v>
      </c>
      <c r="F5242" s="15">
        <f t="shared" si="2"/>
        <v>4</v>
      </c>
      <c r="G5242" s="15">
        <f t="shared" si="3"/>
        <v>24</v>
      </c>
    </row>
    <row r="5243">
      <c r="A5243" s="10" t="s">
        <v>37</v>
      </c>
      <c r="B5243" s="94">
        <f t="shared" si="5"/>
        <v>46136</v>
      </c>
      <c r="C5243" s="77" t="s">
        <v>1570</v>
      </c>
      <c r="D5243" s="13">
        <f>SUMIFS('Lançamentos de receitas'!$E:$E,'Lançamentos de receitas'!$F:$F,"PAGO",'Lançamentos de receitas'!$C:$C,A5243,'Lançamentos de receitas'!$A:$A,B5243)</f>
        <v>0</v>
      </c>
      <c r="E5243" s="15">
        <f t="shared" si="1"/>
        <v>2026</v>
      </c>
      <c r="F5243" s="15">
        <f t="shared" si="2"/>
        <v>4</v>
      </c>
      <c r="G5243" s="15">
        <f t="shared" si="3"/>
        <v>24</v>
      </c>
    </row>
    <row r="5244">
      <c r="A5244" s="10" t="s">
        <v>37</v>
      </c>
      <c r="B5244" s="94">
        <f t="shared" si="5"/>
        <v>46136</v>
      </c>
      <c r="C5244" s="77" t="s">
        <v>1571</v>
      </c>
      <c r="D5244" s="13">
        <f>SUMIFS('Lançamentos de despesas'!$I:$I,'Lançamentos de despesas'!$G:$G,A5244,'Lançamentos de despesas'!$E:$E,"PAGO",'Lançamentos de despesas'!$C:$C,B5244)</f>
        <v>0</v>
      </c>
      <c r="E5244" s="15">
        <f t="shared" si="1"/>
        <v>2026</v>
      </c>
      <c r="F5244" s="15">
        <f t="shared" si="2"/>
        <v>4</v>
      </c>
      <c r="G5244" s="15">
        <f t="shared" si="3"/>
        <v>24</v>
      </c>
    </row>
    <row r="5245">
      <c r="A5245" s="10" t="s">
        <v>37</v>
      </c>
      <c r="B5245" s="94">
        <f t="shared" si="5"/>
        <v>46136</v>
      </c>
      <c r="C5245" s="77" t="s">
        <v>1572</v>
      </c>
      <c r="D5245" s="13">
        <f>D5242+D5243-D5244</f>
        <v>66038.68</v>
      </c>
      <c r="E5245" s="15">
        <f t="shared" si="1"/>
        <v>2026</v>
      </c>
      <c r="F5245" s="15">
        <f t="shared" si="2"/>
        <v>4</v>
      </c>
      <c r="G5245" s="15">
        <f t="shared" si="3"/>
        <v>24</v>
      </c>
    </row>
    <row r="5246">
      <c r="A5246" s="10" t="s">
        <v>37</v>
      </c>
      <c r="B5246" s="94">
        <f t="shared" si="5"/>
        <v>46137</v>
      </c>
      <c r="C5246" s="77" t="s">
        <v>1569</v>
      </c>
      <c r="D5246" s="13">
        <f>D5245</f>
        <v>66038.68</v>
      </c>
      <c r="E5246" s="15">
        <f t="shared" si="1"/>
        <v>2026</v>
      </c>
      <c r="F5246" s="15">
        <f t="shared" si="2"/>
        <v>4</v>
      </c>
      <c r="G5246" s="15">
        <f t="shared" si="3"/>
        <v>25</v>
      </c>
    </row>
    <row r="5247">
      <c r="A5247" s="10" t="s">
        <v>37</v>
      </c>
      <c r="B5247" s="94">
        <f t="shared" si="5"/>
        <v>46137</v>
      </c>
      <c r="C5247" s="77" t="s">
        <v>1570</v>
      </c>
      <c r="D5247" s="13">
        <f>SUMIFS('Lançamentos de receitas'!$E:$E,'Lançamentos de receitas'!$F:$F,"PAGO",'Lançamentos de receitas'!$C:$C,A5247,'Lançamentos de receitas'!$A:$A,B5247)</f>
        <v>0</v>
      </c>
      <c r="E5247" s="15">
        <f t="shared" si="1"/>
        <v>2026</v>
      </c>
      <c r="F5247" s="15">
        <f t="shared" si="2"/>
        <v>4</v>
      </c>
      <c r="G5247" s="15">
        <f t="shared" si="3"/>
        <v>25</v>
      </c>
    </row>
    <row r="5248">
      <c r="A5248" s="10" t="s">
        <v>37</v>
      </c>
      <c r="B5248" s="94">
        <f t="shared" si="5"/>
        <v>46137</v>
      </c>
      <c r="C5248" s="77" t="s">
        <v>1571</v>
      </c>
      <c r="D5248" s="13">
        <f>SUMIFS('Lançamentos de despesas'!$I:$I,'Lançamentos de despesas'!$G:$G,A5248,'Lançamentos de despesas'!$E:$E,"PAGO",'Lançamentos de despesas'!$C:$C,B5248)</f>
        <v>0</v>
      </c>
      <c r="E5248" s="15">
        <f t="shared" si="1"/>
        <v>2026</v>
      </c>
      <c r="F5248" s="15">
        <f t="shared" si="2"/>
        <v>4</v>
      </c>
      <c r="G5248" s="15">
        <f t="shared" si="3"/>
        <v>25</v>
      </c>
    </row>
    <row r="5249">
      <c r="A5249" s="10" t="s">
        <v>37</v>
      </c>
      <c r="B5249" s="94">
        <f t="shared" si="5"/>
        <v>46137</v>
      </c>
      <c r="C5249" s="77" t="s">
        <v>1572</v>
      </c>
      <c r="D5249" s="13">
        <f>D5246+D5247-D5248</f>
        <v>66038.68</v>
      </c>
      <c r="E5249" s="15">
        <f t="shared" si="1"/>
        <v>2026</v>
      </c>
      <c r="F5249" s="15">
        <f t="shared" si="2"/>
        <v>4</v>
      </c>
      <c r="G5249" s="15">
        <f t="shared" si="3"/>
        <v>25</v>
      </c>
    </row>
    <row r="5250">
      <c r="A5250" s="10" t="s">
        <v>37</v>
      </c>
      <c r="B5250" s="94">
        <f t="shared" si="5"/>
        <v>46138</v>
      </c>
      <c r="C5250" s="77" t="s">
        <v>1569</v>
      </c>
      <c r="D5250" s="13">
        <f>D5249</f>
        <v>66038.68</v>
      </c>
      <c r="E5250" s="15">
        <f t="shared" si="1"/>
        <v>2026</v>
      </c>
      <c r="F5250" s="15">
        <f t="shared" si="2"/>
        <v>4</v>
      </c>
      <c r="G5250" s="15">
        <f t="shared" si="3"/>
        <v>26</v>
      </c>
    </row>
    <row r="5251">
      <c r="A5251" s="10" t="s">
        <v>37</v>
      </c>
      <c r="B5251" s="94">
        <f t="shared" si="5"/>
        <v>46138</v>
      </c>
      <c r="C5251" s="77" t="s">
        <v>1570</v>
      </c>
      <c r="D5251" s="13">
        <f>SUMIFS('Lançamentos de receitas'!$E:$E,'Lançamentos de receitas'!$F:$F,"PAGO",'Lançamentos de receitas'!$C:$C,A5251,'Lançamentos de receitas'!$A:$A,B5251)</f>
        <v>0</v>
      </c>
      <c r="E5251" s="15">
        <f t="shared" si="1"/>
        <v>2026</v>
      </c>
      <c r="F5251" s="15">
        <f t="shared" si="2"/>
        <v>4</v>
      </c>
      <c r="G5251" s="15">
        <f t="shared" si="3"/>
        <v>26</v>
      </c>
    </row>
    <row r="5252">
      <c r="A5252" s="10" t="s">
        <v>37</v>
      </c>
      <c r="B5252" s="94">
        <f t="shared" si="5"/>
        <v>46138</v>
      </c>
      <c r="C5252" s="77" t="s">
        <v>1571</v>
      </c>
      <c r="D5252" s="13">
        <f>SUMIFS('Lançamentos de despesas'!$I:$I,'Lançamentos de despesas'!$G:$G,A5252,'Lançamentos de despesas'!$E:$E,"PAGO",'Lançamentos de despesas'!$C:$C,B5252)</f>
        <v>0</v>
      </c>
      <c r="E5252" s="15">
        <f t="shared" si="1"/>
        <v>2026</v>
      </c>
      <c r="F5252" s="15">
        <f t="shared" si="2"/>
        <v>4</v>
      </c>
      <c r="G5252" s="15">
        <f t="shared" si="3"/>
        <v>26</v>
      </c>
    </row>
    <row r="5253">
      <c r="A5253" s="10" t="s">
        <v>37</v>
      </c>
      <c r="B5253" s="94">
        <f t="shared" si="5"/>
        <v>46138</v>
      </c>
      <c r="C5253" s="77" t="s">
        <v>1572</v>
      </c>
      <c r="D5253" s="13">
        <f>D5250+D5251-D5252</f>
        <v>66038.68</v>
      </c>
      <c r="E5253" s="15">
        <f t="shared" si="1"/>
        <v>2026</v>
      </c>
      <c r="F5253" s="15">
        <f t="shared" si="2"/>
        <v>4</v>
      </c>
      <c r="G5253" s="15">
        <f t="shared" si="3"/>
        <v>26</v>
      </c>
    </row>
    <row r="5254">
      <c r="A5254" s="10" t="s">
        <v>37</v>
      </c>
      <c r="B5254" s="94">
        <f t="shared" si="5"/>
        <v>46139</v>
      </c>
      <c r="C5254" s="77" t="s">
        <v>1569</v>
      </c>
      <c r="D5254" s="13">
        <f>D5253</f>
        <v>66038.68</v>
      </c>
      <c r="E5254" s="15">
        <f t="shared" si="1"/>
        <v>2026</v>
      </c>
      <c r="F5254" s="15">
        <f t="shared" si="2"/>
        <v>4</v>
      </c>
      <c r="G5254" s="15">
        <f t="shared" si="3"/>
        <v>27</v>
      </c>
    </row>
    <row r="5255">
      <c r="A5255" s="10" t="s">
        <v>37</v>
      </c>
      <c r="B5255" s="94">
        <f t="shared" si="5"/>
        <v>46139</v>
      </c>
      <c r="C5255" s="77" t="s">
        <v>1570</v>
      </c>
      <c r="D5255" s="13">
        <f>SUMIFS('Lançamentos de receitas'!$E:$E,'Lançamentos de receitas'!$F:$F,"PAGO",'Lançamentos de receitas'!$C:$C,A5255,'Lançamentos de receitas'!$A:$A,B5255)</f>
        <v>0</v>
      </c>
      <c r="E5255" s="15">
        <f t="shared" si="1"/>
        <v>2026</v>
      </c>
      <c r="F5255" s="15">
        <f t="shared" si="2"/>
        <v>4</v>
      </c>
      <c r="G5255" s="15">
        <f t="shared" si="3"/>
        <v>27</v>
      </c>
    </row>
    <row r="5256">
      <c r="A5256" s="10" t="s">
        <v>37</v>
      </c>
      <c r="B5256" s="94">
        <f t="shared" si="5"/>
        <v>46139</v>
      </c>
      <c r="C5256" s="77" t="s">
        <v>1571</v>
      </c>
      <c r="D5256" s="13">
        <f>SUMIFS('Lançamentos de despesas'!$I:$I,'Lançamentos de despesas'!$G:$G,A5256,'Lançamentos de despesas'!$E:$E,"PAGO",'Lançamentos de despesas'!$C:$C,B5256)</f>
        <v>0</v>
      </c>
      <c r="E5256" s="15">
        <f t="shared" si="1"/>
        <v>2026</v>
      </c>
      <c r="F5256" s="15">
        <f t="shared" si="2"/>
        <v>4</v>
      </c>
      <c r="G5256" s="15">
        <f t="shared" si="3"/>
        <v>27</v>
      </c>
    </row>
    <row r="5257">
      <c r="A5257" s="10" t="s">
        <v>37</v>
      </c>
      <c r="B5257" s="94">
        <f t="shared" si="5"/>
        <v>46139</v>
      </c>
      <c r="C5257" s="77" t="s">
        <v>1572</v>
      </c>
      <c r="D5257" s="13">
        <f>D5254+D5255-D5256</f>
        <v>66038.68</v>
      </c>
      <c r="E5257" s="15">
        <f t="shared" si="1"/>
        <v>2026</v>
      </c>
      <c r="F5257" s="15">
        <f t="shared" si="2"/>
        <v>4</v>
      </c>
      <c r="G5257" s="15">
        <f t="shared" si="3"/>
        <v>27</v>
      </c>
    </row>
    <row r="5258">
      <c r="A5258" s="10" t="s">
        <v>37</v>
      </c>
      <c r="B5258" s="94">
        <f t="shared" si="5"/>
        <v>46140</v>
      </c>
      <c r="C5258" s="77" t="s">
        <v>1569</v>
      </c>
      <c r="D5258" s="13">
        <f>D5257</f>
        <v>66038.68</v>
      </c>
      <c r="E5258" s="15">
        <f t="shared" si="1"/>
        <v>2026</v>
      </c>
      <c r="F5258" s="15">
        <f t="shared" si="2"/>
        <v>4</v>
      </c>
      <c r="G5258" s="15">
        <f t="shared" si="3"/>
        <v>28</v>
      </c>
    </row>
    <row r="5259">
      <c r="A5259" s="10" t="s">
        <v>37</v>
      </c>
      <c r="B5259" s="94">
        <f t="shared" si="5"/>
        <v>46140</v>
      </c>
      <c r="C5259" s="77" t="s">
        <v>1570</v>
      </c>
      <c r="D5259" s="13">
        <f>SUMIFS('Lançamentos de receitas'!$E:$E,'Lançamentos de receitas'!$F:$F,"PAGO",'Lançamentos de receitas'!$C:$C,A5259,'Lançamentos de receitas'!$A:$A,B5259)</f>
        <v>0</v>
      </c>
      <c r="E5259" s="15">
        <f t="shared" si="1"/>
        <v>2026</v>
      </c>
      <c r="F5259" s="15">
        <f t="shared" si="2"/>
        <v>4</v>
      </c>
      <c r="G5259" s="15">
        <f t="shared" si="3"/>
        <v>28</v>
      </c>
    </row>
    <row r="5260">
      <c r="A5260" s="10" t="s">
        <v>37</v>
      </c>
      <c r="B5260" s="94">
        <f t="shared" si="5"/>
        <v>46140</v>
      </c>
      <c r="C5260" s="77" t="s">
        <v>1571</v>
      </c>
      <c r="D5260" s="13">
        <f>SUMIFS('Lançamentos de despesas'!$I:$I,'Lançamentos de despesas'!$G:$G,A5260,'Lançamentos de despesas'!$E:$E,"PAGO",'Lançamentos de despesas'!$C:$C,B5260)</f>
        <v>0</v>
      </c>
      <c r="E5260" s="15">
        <f t="shared" si="1"/>
        <v>2026</v>
      </c>
      <c r="F5260" s="15">
        <f t="shared" si="2"/>
        <v>4</v>
      </c>
      <c r="G5260" s="15">
        <f t="shared" si="3"/>
        <v>28</v>
      </c>
    </row>
    <row r="5261">
      <c r="A5261" s="10" t="s">
        <v>37</v>
      </c>
      <c r="B5261" s="94">
        <f t="shared" si="5"/>
        <v>46140</v>
      </c>
      <c r="C5261" s="77" t="s">
        <v>1572</v>
      </c>
      <c r="D5261" s="13">
        <f>D5258+D5259-D5260</f>
        <v>66038.68</v>
      </c>
      <c r="E5261" s="15">
        <f t="shared" si="1"/>
        <v>2026</v>
      </c>
      <c r="F5261" s="15">
        <f t="shared" si="2"/>
        <v>4</v>
      </c>
      <c r="G5261" s="15">
        <f t="shared" si="3"/>
        <v>28</v>
      </c>
    </row>
    <row r="5262">
      <c r="A5262" s="10" t="s">
        <v>37</v>
      </c>
      <c r="B5262" s="94">
        <f t="shared" si="5"/>
        <v>46141</v>
      </c>
      <c r="C5262" s="77" t="s">
        <v>1569</v>
      </c>
      <c r="D5262" s="13">
        <f>D5261</f>
        <v>66038.68</v>
      </c>
      <c r="E5262" s="15">
        <f t="shared" si="1"/>
        <v>2026</v>
      </c>
      <c r="F5262" s="15">
        <f t="shared" si="2"/>
        <v>4</v>
      </c>
      <c r="G5262" s="15">
        <f t="shared" si="3"/>
        <v>29</v>
      </c>
    </row>
    <row r="5263">
      <c r="A5263" s="10" t="s">
        <v>37</v>
      </c>
      <c r="B5263" s="94">
        <f t="shared" si="5"/>
        <v>46141</v>
      </c>
      <c r="C5263" s="77" t="s">
        <v>1570</v>
      </c>
      <c r="D5263" s="13">
        <f>SUMIFS('Lançamentos de receitas'!$E:$E,'Lançamentos de receitas'!$F:$F,"PAGO",'Lançamentos de receitas'!$C:$C,A5263,'Lançamentos de receitas'!$A:$A,B5263)</f>
        <v>0</v>
      </c>
      <c r="E5263" s="15">
        <f t="shared" si="1"/>
        <v>2026</v>
      </c>
      <c r="F5263" s="15">
        <f t="shared" si="2"/>
        <v>4</v>
      </c>
      <c r="G5263" s="15">
        <f t="shared" si="3"/>
        <v>29</v>
      </c>
    </row>
    <row r="5264">
      <c r="A5264" s="10" t="s">
        <v>37</v>
      </c>
      <c r="B5264" s="94">
        <f t="shared" si="5"/>
        <v>46141</v>
      </c>
      <c r="C5264" s="77" t="s">
        <v>1571</v>
      </c>
      <c r="D5264" s="13">
        <f>SUMIFS('Lançamentos de despesas'!$I:$I,'Lançamentos de despesas'!$G:$G,A5264,'Lançamentos de despesas'!$E:$E,"PAGO",'Lançamentos de despesas'!$C:$C,B5264)</f>
        <v>0</v>
      </c>
      <c r="E5264" s="15">
        <f t="shared" si="1"/>
        <v>2026</v>
      </c>
      <c r="F5264" s="15">
        <f t="shared" si="2"/>
        <v>4</v>
      </c>
      <c r="G5264" s="15">
        <f t="shared" si="3"/>
        <v>29</v>
      </c>
    </row>
    <row r="5265">
      <c r="A5265" s="10" t="s">
        <v>37</v>
      </c>
      <c r="B5265" s="94">
        <f t="shared" si="5"/>
        <v>46141</v>
      </c>
      <c r="C5265" s="77" t="s">
        <v>1572</v>
      </c>
      <c r="D5265" s="13">
        <f>D5262+D5263-D5264</f>
        <v>66038.68</v>
      </c>
      <c r="E5265" s="15">
        <f t="shared" si="1"/>
        <v>2026</v>
      </c>
      <c r="F5265" s="15">
        <f t="shared" si="2"/>
        <v>4</v>
      </c>
      <c r="G5265" s="15">
        <f t="shared" si="3"/>
        <v>29</v>
      </c>
    </row>
    <row r="5266">
      <c r="A5266" s="10" t="s">
        <v>37</v>
      </c>
      <c r="B5266" s="94">
        <f t="shared" si="5"/>
        <v>46142</v>
      </c>
      <c r="C5266" s="77" t="s">
        <v>1569</v>
      </c>
      <c r="D5266" s="13">
        <f>D5265</f>
        <v>66038.68</v>
      </c>
      <c r="E5266" s="15">
        <f t="shared" si="1"/>
        <v>2026</v>
      </c>
      <c r="F5266" s="15">
        <f t="shared" si="2"/>
        <v>4</v>
      </c>
      <c r="G5266" s="15">
        <f t="shared" si="3"/>
        <v>30</v>
      </c>
    </row>
    <row r="5267">
      <c r="A5267" s="10" t="s">
        <v>37</v>
      </c>
      <c r="B5267" s="94">
        <f t="shared" si="5"/>
        <v>46142</v>
      </c>
      <c r="C5267" s="77" t="s">
        <v>1570</v>
      </c>
      <c r="D5267" s="13">
        <f>SUMIFS('Lançamentos de receitas'!$E:$E,'Lançamentos de receitas'!$F:$F,"PAGO",'Lançamentos de receitas'!$C:$C,A5267,'Lançamentos de receitas'!$A:$A,B5267)</f>
        <v>0</v>
      </c>
      <c r="E5267" s="15">
        <f t="shared" si="1"/>
        <v>2026</v>
      </c>
      <c r="F5267" s="15">
        <f t="shared" si="2"/>
        <v>4</v>
      </c>
      <c r="G5267" s="15">
        <f t="shared" si="3"/>
        <v>30</v>
      </c>
    </row>
    <row r="5268">
      <c r="A5268" s="10" t="s">
        <v>37</v>
      </c>
      <c r="B5268" s="94">
        <f t="shared" si="5"/>
        <v>46142</v>
      </c>
      <c r="C5268" s="77" t="s">
        <v>1571</v>
      </c>
      <c r="D5268" s="13">
        <f>SUMIFS('Lançamentos de despesas'!$I:$I,'Lançamentos de despesas'!$G:$G,A5268,'Lançamentos de despesas'!$E:$E,"PAGO",'Lançamentos de despesas'!$C:$C,B5268)</f>
        <v>0</v>
      </c>
      <c r="E5268" s="15">
        <f t="shared" si="1"/>
        <v>2026</v>
      </c>
      <c r="F5268" s="15">
        <f t="shared" si="2"/>
        <v>4</v>
      </c>
      <c r="G5268" s="15">
        <f t="shared" si="3"/>
        <v>30</v>
      </c>
    </row>
    <row r="5269">
      <c r="A5269" s="10" t="s">
        <v>37</v>
      </c>
      <c r="B5269" s="94">
        <f t="shared" si="5"/>
        <v>46142</v>
      </c>
      <c r="C5269" s="77" t="s">
        <v>1572</v>
      </c>
      <c r="D5269" s="13">
        <f>D5266+D5267-D5268</f>
        <v>66038.68</v>
      </c>
      <c r="E5269" s="15">
        <f t="shared" si="1"/>
        <v>2026</v>
      </c>
      <c r="F5269" s="15">
        <f t="shared" si="2"/>
        <v>4</v>
      </c>
      <c r="G5269" s="15">
        <f t="shared" si="3"/>
        <v>30</v>
      </c>
    </row>
    <row r="5270">
      <c r="A5270" s="10" t="s">
        <v>37</v>
      </c>
      <c r="B5270" s="94">
        <f t="shared" si="5"/>
        <v>46143</v>
      </c>
      <c r="C5270" s="77" t="s">
        <v>1569</v>
      </c>
      <c r="D5270" s="13">
        <f>D5269</f>
        <v>66038.68</v>
      </c>
      <c r="E5270" s="15">
        <f t="shared" si="1"/>
        <v>2026</v>
      </c>
      <c r="F5270" s="15">
        <f t="shared" si="2"/>
        <v>5</v>
      </c>
      <c r="G5270" s="15">
        <f t="shared" si="3"/>
        <v>1</v>
      </c>
    </row>
    <row r="5271">
      <c r="A5271" s="10" t="s">
        <v>37</v>
      </c>
      <c r="B5271" s="94">
        <f t="shared" si="5"/>
        <v>46143</v>
      </c>
      <c r="C5271" s="77" t="s">
        <v>1570</v>
      </c>
      <c r="D5271" s="13">
        <f>SUMIFS('Lançamentos de receitas'!$E:$E,'Lançamentos de receitas'!$F:$F,"PAGO",'Lançamentos de receitas'!$C:$C,A5271,'Lançamentos de receitas'!$A:$A,B5271)</f>
        <v>0</v>
      </c>
      <c r="E5271" s="15">
        <f t="shared" si="1"/>
        <v>2026</v>
      </c>
      <c r="F5271" s="15">
        <f t="shared" si="2"/>
        <v>5</v>
      </c>
      <c r="G5271" s="15">
        <f t="shared" si="3"/>
        <v>1</v>
      </c>
    </row>
    <row r="5272">
      <c r="A5272" s="10" t="s">
        <v>37</v>
      </c>
      <c r="B5272" s="94">
        <f t="shared" si="5"/>
        <v>46143</v>
      </c>
      <c r="C5272" s="77" t="s">
        <v>1571</v>
      </c>
      <c r="D5272" s="13">
        <f>SUMIFS('Lançamentos de despesas'!$I:$I,'Lançamentos de despesas'!$G:$G,A5272,'Lançamentos de despesas'!$E:$E,"PAGO",'Lançamentos de despesas'!$C:$C,B5272)</f>
        <v>0</v>
      </c>
      <c r="E5272" s="15">
        <f t="shared" si="1"/>
        <v>2026</v>
      </c>
      <c r="F5272" s="15">
        <f t="shared" si="2"/>
        <v>5</v>
      </c>
      <c r="G5272" s="15">
        <f t="shared" si="3"/>
        <v>1</v>
      </c>
    </row>
    <row r="5273">
      <c r="A5273" s="10" t="s">
        <v>37</v>
      </c>
      <c r="B5273" s="94">
        <f t="shared" si="5"/>
        <v>46143</v>
      </c>
      <c r="C5273" s="77" t="s">
        <v>1572</v>
      </c>
      <c r="D5273" s="13">
        <f>D5270+D5271-D5272</f>
        <v>66038.68</v>
      </c>
      <c r="E5273" s="15">
        <f t="shared" si="1"/>
        <v>2026</v>
      </c>
      <c r="F5273" s="15">
        <f t="shared" si="2"/>
        <v>5</v>
      </c>
      <c r="G5273" s="15">
        <f t="shared" si="3"/>
        <v>1</v>
      </c>
    </row>
    <row r="5274">
      <c r="A5274" s="10" t="s">
        <v>37</v>
      </c>
      <c r="B5274" s="94">
        <f t="shared" si="5"/>
        <v>46144</v>
      </c>
      <c r="C5274" s="77" t="s">
        <v>1569</v>
      </c>
      <c r="D5274" s="13">
        <f>D5273</f>
        <v>66038.68</v>
      </c>
      <c r="E5274" s="15">
        <f t="shared" si="1"/>
        <v>2026</v>
      </c>
      <c r="F5274" s="15">
        <f t="shared" si="2"/>
        <v>5</v>
      </c>
      <c r="G5274" s="15">
        <f t="shared" si="3"/>
        <v>2</v>
      </c>
    </row>
    <row r="5275">
      <c r="A5275" s="10" t="s">
        <v>37</v>
      </c>
      <c r="B5275" s="94">
        <f t="shared" si="5"/>
        <v>46144</v>
      </c>
      <c r="C5275" s="77" t="s">
        <v>1570</v>
      </c>
      <c r="D5275" s="13">
        <f>SUMIFS('Lançamentos de receitas'!$E:$E,'Lançamentos de receitas'!$F:$F,"PAGO",'Lançamentos de receitas'!$C:$C,A5275,'Lançamentos de receitas'!$A:$A,B5275)</f>
        <v>0</v>
      </c>
      <c r="E5275" s="15">
        <f t="shared" si="1"/>
        <v>2026</v>
      </c>
      <c r="F5275" s="15">
        <f t="shared" si="2"/>
        <v>5</v>
      </c>
      <c r="G5275" s="15">
        <f t="shared" si="3"/>
        <v>2</v>
      </c>
    </row>
    <row r="5276">
      <c r="A5276" s="10" t="s">
        <v>37</v>
      </c>
      <c r="B5276" s="94">
        <f t="shared" si="5"/>
        <v>46144</v>
      </c>
      <c r="C5276" s="77" t="s">
        <v>1571</v>
      </c>
      <c r="D5276" s="13">
        <f>SUMIFS('Lançamentos de despesas'!$I:$I,'Lançamentos de despesas'!$G:$G,A5276,'Lançamentos de despesas'!$E:$E,"PAGO",'Lançamentos de despesas'!$C:$C,B5276)</f>
        <v>0</v>
      </c>
      <c r="E5276" s="15">
        <f t="shared" si="1"/>
        <v>2026</v>
      </c>
      <c r="F5276" s="15">
        <f t="shared" si="2"/>
        <v>5</v>
      </c>
      <c r="G5276" s="15">
        <f t="shared" si="3"/>
        <v>2</v>
      </c>
    </row>
    <row r="5277">
      <c r="A5277" s="10" t="s">
        <v>37</v>
      </c>
      <c r="B5277" s="94">
        <f t="shared" si="5"/>
        <v>46144</v>
      </c>
      <c r="C5277" s="77" t="s">
        <v>1572</v>
      </c>
      <c r="D5277" s="13">
        <f>D5274+D5275-D5276</f>
        <v>66038.68</v>
      </c>
      <c r="E5277" s="15">
        <f t="shared" si="1"/>
        <v>2026</v>
      </c>
      <c r="F5277" s="15">
        <f t="shared" si="2"/>
        <v>5</v>
      </c>
      <c r="G5277" s="15">
        <f t="shared" si="3"/>
        <v>2</v>
      </c>
    </row>
    <row r="5278">
      <c r="A5278" s="10" t="s">
        <v>37</v>
      </c>
      <c r="B5278" s="94">
        <f t="shared" si="5"/>
        <v>46145</v>
      </c>
      <c r="C5278" s="77" t="s">
        <v>1569</v>
      </c>
      <c r="D5278" s="13">
        <f>D5277</f>
        <v>66038.68</v>
      </c>
      <c r="E5278" s="15">
        <f t="shared" si="1"/>
        <v>2026</v>
      </c>
      <c r="F5278" s="15">
        <f t="shared" si="2"/>
        <v>5</v>
      </c>
      <c r="G5278" s="15">
        <f t="shared" si="3"/>
        <v>3</v>
      </c>
    </row>
    <row r="5279">
      <c r="A5279" s="10" t="s">
        <v>37</v>
      </c>
      <c r="B5279" s="94">
        <f t="shared" si="5"/>
        <v>46145</v>
      </c>
      <c r="C5279" s="77" t="s">
        <v>1570</v>
      </c>
      <c r="D5279" s="13">
        <f>SUMIFS('Lançamentos de receitas'!$E:$E,'Lançamentos de receitas'!$F:$F,"PAGO",'Lançamentos de receitas'!$C:$C,A5279,'Lançamentos de receitas'!$A:$A,B5279)</f>
        <v>0</v>
      </c>
      <c r="E5279" s="15">
        <f t="shared" si="1"/>
        <v>2026</v>
      </c>
      <c r="F5279" s="15">
        <f t="shared" si="2"/>
        <v>5</v>
      </c>
      <c r="G5279" s="15">
        <f t="shared" si="3"/>
        <v>3</v>
      </c>
    </row>
    <row r="5280">
      <c r="A5280" s="10" t="s">
        <v>37</v>
      </c>
      <c r="B5280" s="94">
        <f t="shared" si="5"/>
        <v>46145</v>
      </c>
      <c r="C5280" s="77" t="s">
        <v>1571</v>
      </c>
      <c r="D5280" s="13">
        <f>SUMIFS('Lançamentos de despesas'!$I:$I,'Lançamentos de despesas'!$G:$G,A5280,'Lançamentos de despesas'!$E:$E,"PAGO",'Lançamentos de despesas'!$C:$C,B5280)</f>
        <v>0</v>
      </c>
      <c r="E5280" s="15">
        <f t="shared" si="1"/>
        <v>2026</v>
      </c>
      <c r="F5280" s="15">
        <f t="shared" si="2"/>
        <v>5</v>
      </c>
      <c r="G5280" s="15">
        <f t="shared" si="3"/>
        <v>3</v>
      </c>
    </row>
    <row r="5281">
      <c r="A5281" s="10" t="s">
        <v>37</v>
      </c>
      <c r="B5281" s="94">
        <f t="shared" si="5"/>
        <v>46145</v>
      </c>
      <c r="C5281" s="77" t="s">
        <v>1572</v>
      </c>
      <c r="D5281" s="13">
        <f>D5278+D5279-D5280</f>
        <v>66038.68</v>
      </c>
      <c r="E5281" s="15">
        <f t="shared" si="1"/>
        <v>2026</v>
      </c>
      <c r="F5281" s="15">
        <f t="shared" si="2"/>
        <v>5</v>
      </c>
      <c r="G5281" s="15">
        <f t="shared" si="3"/>
        <v>3</v>
      </c>
    </row>
    <row r="5282">
      <c r="A5282" s="10" t="s">
        <v>37</v>
      </c>
      <c r="B5282" s="94">
        <f t="shared" si="5"/>
        <v>46146</v>
      </c>
      <c r="C5282" s="77" t="s">
        <v>1569</v>
      </c>
      <c r="D5282" s="13">
        <f>D5281</f>
        <v>66038.68</v>
      </c>
      <c r="E5282" s="15">
        <f t="shared" si="1"/>
        <v>2026</v>
      </c>
      <c r="F5282" s="15">
        <f t="shared" si="2"/>
        <v>5</v>
      </c>
      <c r="G5282" s="15">
        <f t="shared" si="3"/>
        <v>4</v>
      </c>
    </row>
    <row r="5283">
      <c r="A5283" s="10" t="s">
        <v>37</v>
      </c>
      <c r="B5283" s="94">
        <f t="shared" si="5"/>
        <v>46146</v>
      </c>
      <c r="C5283" s="77" t="s">
        <v>1570</v>
      </c>
      <c r="D5283" s="13">
        <f>SUMIFS('Lançamentos de receitas'!$E:$E,'Lançamentos de receitas'!$F:$F,"PAGO",'Lançamentos de receitas'!$C:$C,A5283,'Lançamentos de receitas'!$A:$A,B5283)</f>
        <v>0</v>
      </c>
      <c r="E5283" s="15">
        <f t="shared" si="1"/>
        <v>2026</v>
      </c>
      <c r="F5283" s="15">
        <f t="shared" si="2"/>
        <v>5</v>
      </c>
      <c r="G5283" s="15">
        <f t="shared" si="3"/>
        <v>4</v>
      </c>
    </row>
    <row r="5284">
      <c r="A5284" s="10" t="s">
        <v>37</v>
      </c>
      <c r="B5284" s="94">
        <f t="shared" si="5"/>
        <v>46146</v>
      </c>
      <c r="C5284" s="77" t="s">
        <v>1571</v>
      </c>
      <c r="D5284" s="13">
        <f>SUMIFS('Lançamentos de despesas'!$I:$I,'Lançamentos de despesas'!$G:$G,A5284,'Lançamentos de despesas'!$E:$E,"PAGO",'Lançamentos de despesas'!$C:$C,B5284)</f>
        <v>0</v>
      </c>
      <c r="E5284" s="15">
        <f t="shared" si="1"/>
        <v>2026</v>
      </c>
      <c r="F5284" s="15">
        <f t="shared" si="2"/>
        <v>5</v>
      </c>
      <c r="G5284" s="15">
        <f t="shared" si="3"/>
        <v>4</v>
      </c>
    </row>
    <row r="5285">
      <c r="A5285" s="10"/>
      <c r="C5285" s="77"/>
      <c r="D5285" s="13"/>
    </row>
    <row r="5286">
      <c r="A5286" s="10"/>
      <c r="C5286" s="77"/>
      <c r="D5286" s="13"/>
    </row>
    <row r="5287">
      <c r="A5287" s="10"/>
      <c r="C5287" s="77"/>
      <c r="D5287" s="13"/>
    </row>
    <row r="5288">
      <c r="A5288" s="10"/>
      <c r="C5288" s="77"/>
      <c r="D5288" s="13"/>
    </row>
    <row r="5289">
      <c r="A5289" s="10"/>
      <c r="C5289" s="77"/>
      <c r="D5289" s="13"/>
    </row>
    <row r="5290">
      <c r="A5290" s="10"/>
      <c r="C5290" s="77"/>
      <c r="D5290" s="13"/>
    </row>
    <row r="5291">
      <c r="A5291" s="10"/>
      <c r="C5291" s="77"/>
      <c r="D5291" s="13"/>
    </row>
    <row r="5292">
      <c r="A5292" s="10"/>
      <c r="C5292" s="77"/>
      <c r="D5292" s="13"/>
    </row>
    <row r="5293">
      <c r="A5293" s="10"/>
      <c r="C5293" s="77"/>
      <c r="D5293" s="13"/>
    </row>
    <row r="5294">
      <c r="A5294" s="10"/>
      <c r="C5294" s="77"/>
      <c r="D5294" s="13"/>
    </row>
    <row r="5295">
      <c r="A5295" s="10"/>
      <c r="C5295" s="77"/>
      <c r="D5295" s="13"/>
    </row>
    <row r="5296">
      <c r="A5296" s="10"/>
      <c r="C5296" s="77"/>
      <c r="D5296" s="13"/>
    </row>
    <row r="5297">
      <c r="A5297" s="10"/>
      <c r="C5297" s="77"/>
      <c r="D5297" s="13"/>
    </row>
    <row r="5298">
      <c r="A5298" s="10"/>
      <c r="C5298" s="77"/>
      <c r="D5298" s="13"/>
    </row>
    <row r="5299">
      <c r="A5299" s="10"/>
      <c r="C5299" s="77"/>
      <c r="D5299" s="13"/>
    </row>
    <row r="5300">
      <c r="A5300" s="10"/>
      <c r="C5300" s="77"/>
      <c r="D5300" s="13"/>
    </row>
    <row r="5301">
      <c r="A5301" s="10"/>
      <c r="C5301" s="77"/>
      <c r="D5301" s="13"/>
    </row>
    <row r="5302">
      <c r="A5302" s="10"/>
      <c r="C5302" s="77"/>
      <c r="D5302" s="13"/>
    </row>
    <row r="5303">
      <c r="A5303" s="10"/>
      <c r="C5303" s="77"/>
      <c r="D5303" s="13"/>
    </row>
    <row r="5304">
      <c r="A5304" s="10"/>
      <c r="C5304" s="77"/>
      <c r="D5304" s="13"/>
    </row>
    <row r="5305">
      <c r="A5305" s="10"/>
      <c r="C5305" s="77"/>
      <c r="D5305" s="13"/>
    </row>
    <row r="5306">
      <c r="A5306" s="10"/>
      <c r="C5306" s="77"/>
      <c r="D5306" s="13"/>
    </row>
    <row r="5307">
      <c r="A5307" s="10"/>
      <c r="C5307" s="77"/>
      <c r="D5307" s="13"/>
    </row>
    <row r="5308">
      <c r="A5308" s="10"/>
      <c r="C5308" s="77"/>
      <c r="D5308" s="13"/>
    </row>
    <row r="5309">
      <c r="A5309" s="10"/>
      <c r="C5309" s="77"/>
      <c r="D5309" s="13"/>
    </row>
    <row r="5310">
      <c r="A5310" s="10"/>
      <c r="C5310" s="77"/>
      <c r="D5310" s="13"/>
    </row>
    <row r="5311">
      <c r="A5311" s="10"/>
      <c r="C5311" s="77"/>
      <c r="D5311" s="13"/>
    </row>
    <row r="5312">
      <c r="A5312" s="10"/>
      <c r="C5312" s="77"/>
      <c r="D5312" s="13"/>
    </row>
    <row r="5313">
      <c r="A5313" s="10"/>
      <c r="C5313" s="77"/>
      <c r="D5313" s="13"/>
    </row>
    <row r="5314">
      <c r="A5314" s="10"/>
      <c r="C5314" s="77"/>
      <c r="D5314" s="13"/>
    </row>
    <row r="5315">
      <c r="A5315" s="10"/>
      <c r="C5315" s="77"/>
      <c r="D5315" s="13"/>
    </row>
    <row r="5316">
      <c r="A5316" s="10"/>
      <c r="C5316" s="77"/>
      <c r="D5316" s="13"/>
    </row>
    <row r="5317">
      <c r="A5317" s="10"/>
      <c r="C5317" s="77"/>
      <c r="D5317" s="13"/>
    </row>
    <row r="5318">
      <c r="A5318" s="10"/>
      <c r="C5318" s="77"/>
      <c r="D5318" s="13"/>
    </row>
    <row r="5319">
      <c r="A5319" s="10"/>
      <c r="C5319" s="77"/>
      <c r="D5319" s="13"/>
    </row>
    <row r="5320">
      <c r="A5320" s="10"/>
      <c r="C5320" s="77"/>
      <c r="D5320" s="13"/>
    </row>
    <row r="5321">
      <c r="A5321" s="10"/>
      <c r="C5321" s="77"/>
      <c r="D5321" s="13"/>
    </row>
    <row r="5322">
      <c r="A5322" s="10"/>
      <c r="C5322" s="77"/>
      <c r="D5322" s="13"/>
    </row>
    <row r="5323">
      <c r="A5323" s="10"/>
      <c r="C5323" s="77"/>
      <c r="D5323" s="13"/>
    </row>
    <row r="5324">
      <c r="A5324" s="10"/>
      <c r="C5324" s="77"/>
      <c r="D5324" s="13"/>
    </row>
    <row r="5325">
      <c r="A5325" s="10"/>
      <c r="C5325" s="77"/>
      <c r="D5325" s="13"/>
    </row>
    <row r="5326">
      <c r="A5326" s="10"/>
      <c r="C5326" s="77"/>
      <c r="D5326" s="13"/>
    </row>
    <row r="5327">
      <c r="A5327" s="10"/>
      <c r="C5327" s="77"/>
      <c r="D5327" s="13"/>
    </row>
    <row r="5328">
      <c r="A5328" s="10"/>
      <c r="C5328" s="77"/>
      <c r="D5328" s="13"/>
    </row>
    <row r="5329">
      <c r="A5329" s="10"/>
      <c r="C5329" s="77"/>
      <c r="D5329" s="13"/>
    </row>
    <row r="5330">
      <c r="A5330" s="10"/>
      <c r="C5330" s="77"/>
      <c r="D5330" s="13"/>
    </row>
    <row r="5331">
      <c r="A5331" s="10"/>
      <c r="C5331" s="77"/>
      <c r="D5331" s="13"/>
    </row>
    <row r="5332">
      <c r="A5332" s="10"/>
      <c r="C5332" s="77"/>
      <c r="D5332" s="13"/>
    </row>
    <row r="5333">
      <c r="A5333" s="10"/>
      <c r="C5333" s="77"/>
      <c r="D5333" s="13"/>
    </row>
    <row r="5334">
      <c r="A5334" s="10"/>
      <c r="C5334" s="77"/>
      <c r="D5334" s="13"/>
    </row>
    <row r="5335">
      <c r="A5335" s="10"/>
      <c r="C5335" s="77"/>
      <c r="D5335" s="13"/>
    </row>
    <row r="5336">
      <c r="A5336" s="10"/>
      <c r="C5336" s="77"/>
      <c r="D5336" s="13"/>
    </row>
    <row r="5337">
      <c r="A5337" s="10"/>
      <c r="C5337" s="77"/>
      <c r="D5337" s="13"/>
    </row>
    <row r="5338">
      <c r="A5338" s="10"/>
      <c r="C5338" s="77"/>
      <c r="D5338" s="13"/>
    </row>
    <row r="5339">
      <c r="A5339" s="10"/>
      <c r="C5339" s="77"/>
      <c r="D5339" s="13"/>
    </row>
    <row r="5340">
      <c r="A5340" s="10"/>
      <c r="C5340" s="77"/>
      <c r="D5340" s="13"/>
    </row>
    <row r="5341">
      <c r="A5341" s="10"/>
      <c r="C5341" s="77"/>
      <c r="D5341" s="13"/>
    </row>
    <row r="5342">
      <c r="A5342" s="10"/>
      <c r="C5342" s="77"/>
      <c r="D5342" s="13"/>
    </row>
    <row r="5343">
      <c r="A5343" s="10"/>
      <c r="C5343" s="77"/>
      <c r="D5343" s="13"/>
    </row>
    <row r="5344">
      <c r="A5344" s="10"/>
      <c r="C5344" s="77"/>
      <c r="D5344" s="13"/>
    </row>
    <row r="5345">
      <c r="A5345" s="10"/>
      <c r="C5345" s="77"/>
      <c r="D5345" s="13"/>
    </row>
    <row r="5346">
      <c r="A5346" s="10"/>
      <c r="C5346" s="77"/>
      <c r="D5346" s="13"/>
    </row>
    <row r="5347">
      <c r="A5347" s="10"/>
      <c r="C5347" s="77"/>
      <c r="D5347" s="13"/>
    </row>
    <row r="5348">
      <c r="A5348" s="10"/>
      <c r="C5348" s="77"/>
      <c r="D5348" s="13"/>
    </row>
    <row r="5349">
      <c r="A5349" s="10"/>
      <c r="C5349" s="77"/>
      <c r="D5349" s="13"/>
    </row>
    <row r="5350">
      <c r="A5350" s="10"/>
      <c r="C5350" s="77"/>
      <c r="D5350" s="13"/>
    </row>
    <row r="5351">
      <c r="A5351" s="10"/>
      <c r="C5351" s="77"/>
      <c r="D5351" s="13"/>
    </row>
    <row r="5352">
      <c r="A5352" s="10"/>
      <c r="C5352" s="77"/>
      <c r="D5352" s="13"/>
    </row>
    <row r="5353">
      <c r="A5353" s="10"/>
      <c r="C5353" s="77"/>
      <c r="D5353" s="13"/>
    </row>
    <row r="5354">
      <c r="A5354" s="10"/>
      <c r="C5354" s="77"/>
      <c r="D5354" s="13"/>
    </row>
    <row r="5355">
      <c r="A5355" s="10"/>
      <c r="C5355" s="77"/>
      <c r="D5355" s="13"/>
    </row>
    <row r="5356">
      <c r="A5356" s="10"/>
      <c r="C5356" s="77"/>
      <c r="D5356" s="13"/>
    </row>
    <row r="5357">
      <c r="A5357" s="10"/>
      <c r="C5357" s="77"/>
      <c r="D5357" s="13"/>
    </row>
    <row r="5358">
      <c r="A5358" s="10"/>
      <c r="C5358" s="77"/>
      <c r="D5358" s="13"/>
    </row>
    <row r="5359">
      <c r="A5359" s="10"/>
      <c r="C5359" s="77"/>
      <c r="D5359" s="13"/>
    </row>
    <row r="5360">
      <c r="A5360" s="10"/>
      <c r="C5360" s="77"/>
      <c r="D5360" s="13"/>
    </row>
    <row r="5361">
      <c r="A5361" s="10"/>
      <c r="C5361" s="77"/>
      <c r="D5361" s="13"/>
    </row>
    <row r="5362">
      <c r="A5362" s="10"/>
      <c r="C5362" s="77"/>
      <c r="D5362" s="13"/>
    </row>
    <row r="5363">
      <c r="A5363" s="10"/>
      <c r="C5363" s="77"/>
      <c r="D5363" s="13"/>
    </row>
    <row r="5364">
      <c r="A5364" s="10"/>
      <c r="C5364" s="77"/>
      <c r="D5364" s="13"/>
    </row>
    <row r="5365">
      <c r="A5365" s="10"/>
      <c r="C5365" s="77"/>
      <c r="D5365" s="13"/>
    </row>
    <row r="5366">
      <c r="A5366" s="10"/>
      <c r="C5366" s="77"/>
      <c r="D5366" s="13"/>
    </row>
    <row r="5367">
      <c r="A5367" s="10"/>
      <c r="C5367" s="77"/>
      <c r="D5367" s="13"/>
    </row>
    <row r="5368">
      <c r="A5368" s="10"/>
      <c r="C5368" s="77"/>
      <c r="D5368" s="13"/>
    </row>
    <row r="5369">
      <c r="A5369" s="10"/>
      <c r="C5369" s="77"/>
      <c r="D5369" s="13"/>
    </row>
    <row r="5370">
      <c r="A5370" s="10"/>
      <c r="C5370" s="77"/>
      <c r="D5370" s="13"/>
    </row>
    <row r="5371">
      <c r="A5371" s="10"/>
      <c r="C5371" s="77"/>
      <c r="D5371" s="13"/>
    </row>
    <row r="5372">
      <c r="A5372" s="10"/>
      <c r="C5372" s="77"/>
      <c r="D5372" s="13"/>
    </row>
    <row r="5373">
      <c r="A5373" s="10"/>
      <c r="C5373" s="77"/>
      <c r="D5373" s="13"/>
    </row>
    <row r="5374">
      <c r="A5374" s="10"/>
      <c r="C5374" s="77"/>
      <c r="D5374" s="13"/>
    </row>
    <row r="5375">
      <c r="A5375" s="10"/>
      <c r="C5375" s="77"/>
      <c r="D5375" s="13"/>
    </row>
    <row r="5376">
      <c r="A5376" s="10"/>
      <c r="C5376" s="77"/>
      <c r="D5376" s="13"/>
    </row>
    <row r="5377">
      <c r="A5377" s="10"/>
      <c r="C5377" s="77"/>
      <c r="D5377" s="13"/>
    </row>
    <row r="5378">
      <c r="A5378" s="10"/>
      <c r="C5378" s="77"/>
      <c r="D5378" s="13"/>
    </row>
    <row r="5379">
      <c r="A5379" s="10"/>
      <c r="C5379" s="77"/>
      <c r="D5379" s="13"/>
    </row>
    <row r="5380">
      <c r="A5380" s="10"/>
      <c r="C5380" s="77"/>
      <c r="D5380" s="13"/>
    </row>
    <row r="5381">
      <c r="A5381" s="10"/>
      <c r="C5381" s="77"/>
      <c r="D5381" s="13"/>
    </row>
    <row r="5382">
      <c r="A5382" s="10"/>
      <c r="C5382" s="77"/>
      <c r="D5382" s="13"/>
    </row>
    <row r="5383">
      <c r="A5383" s="10"/>
      <c r="C5383" s="77"/>
      <c r="D5383" s="13"/>
    </row>
    <row r="5384">
      <c r="A5384" s="10"/>
      <c r="C5384" s="77"/>
      <c r="D5384" s="13"/>
    </row>
    <row r="5385">
      <c r="A5385" s="10"/>
      <c r="C5385" s="77"/>
      <c r="D5385" s="13"/>
    </row>
    <row r="5386">
      <c r="A5386" s="10"/>
      <c r="C5386" s="77"/>
      <c r="D5386" s="13"/>
    </row>
    <row r="5387">
      <c r="A5387" s="10"/>
      <c r="C5387" s="77"/>
      <c r="D5387" s="13"/>
    </row>
    <row r="5388">
      <c r="A5388" s="10"/>
      <c r="C5388" s="77"/>
      <c r="D5388" s="13"/>
    </row>
    <row r="5389">
      <c r="A5389" s="10"/>
      <c r="C5389" s="77"/>
      <c r="D5389" s="13"/>
    </row>
    <row r="5390">
      <c r="A5390" s="10"/>
      <c r="C5390" s="77"/>
      <c r="D5390" s="13"/>
    </row>
    <row r="5391">
      <c r="A5391" s="10"/>
      <c r="C5391" s="77"/>
      <c r="D5391" s="13"/>
    </row>
    <row r="5392">
      <c r="A5392" s="10"/>
      <c r="C5392" s="77"/>
      <c r="D5392" s="13"/>
    </row>
    <row r="5393">
      <c r="A5393" s="10"/>
      <c r="C5393" s="77"/>
      <c r="D5393" s="13"/>
    </row>
    <row r="5394">
      <c r="A5394" s="10"/>
      <c r="C5394" s="77"/>
      <c r="D5394" s="13"/>
    </row>
    <row r="5395">
      <c r="A5395" s="10"/>
      <c r="C5395" s="77"/>
      <c r="D5395" s="13"/>
    </row>
    <row r="5396">
      <c r="A5396" s="10"/>
      <c r="C5396" s="77"/>
      <c r="D5396" s="13"/>
    </row>
    <row r="5397">
      <c r="A5397" s="10"/>
      <c r="C5397" s="77"/>
      <c r="D5397" s="13"/>
    </row>
    <row r="5398">
      <c r="A5398" s="10"/>
      <c r="C5398" s="77"/>
      <c r="D5398" s="13"/>
    </row>
    <row r="5399">
      <c r="A5399" s="10"/>
      <c r="C5399" s="77"/>
      <c r="D5399" s="13"/>
    </row>
    <row r="5400">
      <c r="A5400" s="10"/>
      <c r="C5400" s="77"/>
      <c r="D5400" s="13"/>
    </row>
    <row r="5401">
      <c r="A5401" s="10"/>
      <c r="C5401" s="77"/>
      <c r="D5401" s="13"/>
    </row>
    <row r="5402">
      <c r="A5402" s="10"/>
      <c r="C5402" s="77"/>
      <c r="D5402" s="13"/>
    </row>
    <row r="5403">
      <c r="A5403" s="10"/>
      <c r="C5403" s="77"/>
      <c r="D5403" s="13"/>
    </row>
    <row r="5404">
      <c r="A5404" s="10"/>
      <c r="C5404" s="77"/>
      <c r="D5404" s="13"/>
    </row>
    <row r="5405">
      <c r="A5405" s="10"/>
      <c r="C5405" s="77"/>
      <c r="D5405" s="13"/>
    </row>
    <row r="5406">
      <c r="A5406" s="10"/>
      <c r="C5406" s="77"/>
      <c r="D5406" s="13"/>
    </row>
    <row r="5407">
      <c r="A5407" s="10"/>
      <c r="C5407" s="77"/>
      <c r="D5407" s="13"/>
    </row>
    <row r="5408">
      <c r="A5408" s="10"/>
      <c r="C5408" s="77"/>
      <c r="D5408" s="13"/>
    </row>
    <row r="5409">
      <c r="A5409" s="10"/>
      <c r="C5409" s="77"/>
      <c r="D5409" s="13"/>
    </row>
    <row r="5410">
      <c r="A5410" s="10"/>
      <c r="C5410" s="77"/>
      <c r="D5410" s="13"/>
    </row>
    <row r="5411">
      <c r="A5411" s="10"/>
      <c r="C5411" s="77"/>
      <c r="D5411" s="13"/>
    </row>
    <row r="5412">
      <c r="A5412" s="10"/>
      <c r="C5412" s="77"/>
      <c r="D5412" s="13"/>
    </row>
    <row r="5413">
      <c r="A5413" s="10"/>
      <c r="C5413" s="77"/>
      <c r="D5413" s="13"/>
    </row>
    <row r="5414">
      <c r="A5414" s="10"/>
      <c r="C5414" s="77"/>
      <c r="D5414" s="13"/>
    </row>
    <row r="5415">
      <c r="A5415" s="10"/>
      <c r="C5415" s="77"/>
      <c r="D5415" s="13"/>
    </row>
    <row r="5416">
      <c r="A5416" s="10"/>
      <c r="C5416" s="77"/>
      <c r="D5416" s="13"/>
    </row>
    <row r="5417">
      <c r="A5417" s="10"/>
      <c r="C5417" s="77"/>
      <c r="D5417" s="13"/>
    </row>
    <row r="5418">
      <c r="A5418" s="10"/>
      <c r="C5418" s="77"/>
      <c r="D5418" s="13"/>
    </row>
    <row r="5419">
      <c r="A5419" s="10"/>
      <c r="C5419" s="77"/>
      <c r="D5419" s="13"/>
    </row>
    <row r="5420">
      <c r="A5420" s="10"/>
      <c r="C5420" s="77"/>
      <c r="D5420" s="13"/>
    </row>
    <row r="5421">
      <c r="A5421" s="10"/>
      <c r="C5421" s="77"/>
      <c r="D5421" s="13"/>
    </row>
    <row r="5422">
      <c r="A5422" s="10"/>
      <c r="C5422" s="77"/>
      <c r="D5422" s="13"/>
    </row>
    <row r="5423">
      <c r="A5423" s="10"/>
      <c r="C5423" s="77"/>
      <c r="D5423" s="13"/>
    </row>
    <row r="5424">
      <c r="A5424" s="10"/>
      <c r="C5424" s="77"/>
      <c r="D5424" s="13"/>
    </row>
    <row r="5425">
      <c r="A5425" s="10"/>
      <c r="C5425" s="77"/>
      <c r="D5425" s="13"/>
    </row>
    <row r="5426">
      <c r="A5426" s="10"/>
      <c r="C5426" s="77"/>
      <c r="D5426" s="13"/>
    </row>
    <row r="5427">
      <c r="A5427" s="10"/>
      <c r="C5427" s="77"/>
      <c r="D5427" s="13"/>
    </row>
    <row r="5428">
      <c r="A5428" s="10"/>
      <c r="C5428" s="77"/>
      <c r="D5428" s="13"/>
    </row>
    <row r="5429">
      <c r="A5429" s="10"/>
      <c r="C5429" s="77"/>
      <c r="D5429" s="13"/>
    </row>
    <row r="5430">
      <c r="A5430" s="10"/>
      <c r="C5430" s="77"/>
      <c r="D5430" s="13"/>
    </row>
    <row r="5431">
      <c r="A5431" s="10"/>
      <c r="C5431" s="77"/>
      <c r="D5431" s="13"/>
    </row>
    <row r="5432">
      <c r="A5432" s="10"/>
      <c r="C5432" s="77"/>
      <c r="D5432" s="13"/>
    </row>
    <row r="5433">
      <c r="A5433" s="10"/>
      <c r="C5433" s="77"/>
      <c r="D5433" s="13"/>
    </row>
    <row r="5434">
      <c r="A5434" s="10"/>
      <c r="C5434" s="77"/>
      <c r="D5434" s="13"/>
    </row>
    <row r="5435">
      <c r="A5435" s="10"/>
      <c r="C5435" s="77"/>
      <c r="D5435" s="13"/>
    </row>
    <row r="5436">
      <c r="A5436" s="10"/>
      <c r="C5436" s="77"/>
      <c r="D5436" s="13"/>
    </row>
    <row r="5437">
      <c r="A5437" s="10"/>
      <c r="C5437" s="77"/>
      <c r="D5437" s="13"/>
    </row>
    <row r="5438">
      <c r="A5438" s="10"/>
      <c r="C5438" s="77"/>
      <c r="D5438" s="13"/>
    </row>
    <row r="5439">
      <c r="A5439" s="10"/>
      <c r="C5439" s="77"/>
      <c r="D5439" s="13"/>
    </row>
    <row r="5440">
      <c r="A5440" s="10"/>
      <c r="C5440" s="77"/>
      <c r="D5440" s="13"/>
    </row>
    <row r="5441">
      <c r="A5441" s="10"/>
      <c r="C5441" s="77"/>
      <c r="D5441" s="13"/>
    </row>
    <row r="5442">
      <c r="A5442" s="10"/>
      <c r="C5442" s="77"/>
      <c r="D5442" s="13"/>
    </row>
    <row r="5443">
      <c r="A5443" s="10"/>
      <c r="C5443" s="77"/>
      <c r="D5443" s="13"/>
    </row>
    <row r="5444">
      <c r="A5444" s="10"/>
      <c r="C5444" s="77"/>
      <c r="D5444" s="13"/>
    </row>
    <row r="5445">
      <c r="A5445" s="10"/>
      <c r="C5445" s="77"/>
      <c r="D5445" s="13"/>
    </row>
    <row r="5446">
      <c r="A5446" s="10"/>
      <c r="C5446" s="77"/>
      <c r="D5446" s="13"/>
    </row>
    <row r="5447">
      <c r="A5447" s="10"/>
      <c r="C5447" s="77"/>
      <c r="D5447" s="13"/>
    </row>
    <row r="5448">
      <c r="A5448" s="10"/>
      <c r="C5448" s="77"/>
      <c r="D5448" s="13"/>
    </row>
    <row r="5449">
      <c r="A5449" s="10"/>
      <c r="C5449" s="77"/>
      <c r="D5449" s="13"/>
    </row>
    <row r="5450">
      <c r="A5450" s="10"/>
      <c r="C5450" s="77"/>
      <c r="D5450" s="13"/>
    </row>
    <row r="5451">
      <c r="A5451" s="10"/>
      <c r="C5451" s="77"/>
      <c r="D5451" s="13"/>
    </row>
    <row r="5452">
      <c r="A5452" s="10"/>
      <c r="C5452" s="77"/>
      <c r="D5452" s="13"/>
    </row>
    <row r="5453">
      <c r="A5453" s="10"/>
      <c r="C5453" s="77"/>
      <c r="D5453" s="13"/>
    </row>
    <row r="5454">
      <c r="A5454" s="10"/>
      <c r="C5454" s="77"/>
      <c r="D5454" s="13"/>
    </row>
    <row r="5455">
      <c r="A5455" s="10"/>
      <c r="C5455" s="77"/>
      <c r="D5455" s="13"/>
    </row>
    <row r="5456">
      <c r="A5456" s="10"/>
      <c r="C5456" s="77"/>
      <c r="D5456" s="13"/>
    </row>
    <row r="5457">
      <c r="A5457" s="10"/>
      <c r="C5457" s="77"/>
      <c r="D5457" s="13"/>
    </row>
    <row r="5458">
      <c r="A5458" s="10"/>
      <c r="C5458" s="77"/>
      <c r="D5458" s="13"/>
    </row>
    <row r="5459">
      <c r="A5459" s="10"/>
      <c r="C5459" s="77"/>
      <c r="D5459" s="13"/>
    </row>
    <row r="5460">
      <c r="A5460" s="10"/>
      <c r="C5460" s="77"/>
      <c r="D5460" s="13"/>
    </row>
    <row r="5461">
      <c r="A5461" s="10"/>
      <c r="C5461" s="77"/>
      <c r="D5461" s="13"/>
    </row>
    <row r="5462">
      <c r="A5462" s="10"/>
      <c r="C5462" s="77"/>
      <c r="D5462" s="13"/>
    </row>
    <row r="5463">
      <c r="A5463" s="10"/>
      <c r="C5463" s="77"/>
      <c r="D5463" s="13"/>
    </row>
    <row r="5464">
      <c r="A5464" s="10"/>
      <c r="C5464" s="77"/>
      <c r="D5464" s="13"/>
    </row>
    <row r="5465">
      <c r="A5465" s="10"/>
      <c r="C5465" s="77"/>
      <c r="D5465" s="13"/>
    </row>
    <row r="5466">
      <c r="A5466" s="10"/>
      <c r="C5466" s="77"/>
      <c r="D5466" s="13"/>
    </row>
    <row r="5467">
      <c r="A5467" s="10"/>
      <c r="C5467" s="77"/>
      <c r="D5467" s="13"/>
    </row>
    <row r="5468">
      <c r="A5468" s="10"/>
      <c r="C5468" s="77"/>
      <c r="D5468" s="13"/>
    </row>
    <row r="5469">
      <c r="A5469" s="10"/>
      <c r="C5469" s="77"/>
      <c r="D5469" s="13"/>
    </row>
    <row r="5470">
      <c r="A5470" s="10"/>
      <c r="C5470" s="77"/>
      <c r="D5470" s="13"/>
    </row>
    <row r="5471">
      <c r="A5471" s="10"/>
      <c r="C5471" s="77"/>
      <c r="D5471" s="13"/>
    </row>
    <row r="5472">
      <c r="A5472" s="10"/>
      <c r="C5472" s="77"/>
      <c r="D5472" s="13"/>
    </row>
    <row r="5473">
      <c r="A5473" s="10"/>
      <c r="C5473" s="77"/>
      <c r="D5473" s="13"/>
    </row>
    <row r="5474">
      <c r="A5474" s="10"/>
      <c r="C5474" s="77"/>
      <c r="D5474" s="13"/>
    </row>
    <row r="5475">
      <c r="A5475" s="10"/>
      <c r="C5475" s="77"/>
      <c r="D5475" s="13"/>
    </row>
    <row r="5476">
      <c r="A5476" s="10"/>
      <c r="C5476" s="77"/>
      <c r="D5476" s="13"/>
    </row>
    <row r="5477">
      <c r="A5477" s="10"/>
      <c r="C5477" s="77"/>
      <c r="D5477" s="13"/>
    </row>
    <row r="5478">
      <c r="A5478" s="10"/>
      <c r="C5478" s="77"/>
      <c r="D5478" s="13"/>
    </row>
    <row r="5479">
      <c r="A5479" s="10"/>
      <c r="C5479" s="77"/>
      <c r="D5479" s="13"/>
    </row>
    <row r="5480">
      <c r="A5480" s="10"/>
      <c r="C5480" s="77"/>
      <c r="D5480" s="13"/>
    </row>
    <row r="5481">
      <c r="A5481" s="10"/>
      <c r="C5481" s="77"/>
      <c r="D5481" s="13"/>
    </row>
    <row r="5482">
      <c r="A5482" s="10"/>
      <c r="C5482" s="77"/>
      <c r="D5482" s="13"/>
    </row>
    <row r="5483">
      <c r="A5483" s="10"/>
      <c r="C5483" s="77"/>
      <c r="D5483" s="13"/>
    </row>
    <row r="5484">
      <c r="A5484" s="10"/>
      <c r="C5484" s="77"/>
      <c r="D5484" s="13"/>
    </row>
    <row r="5485">
      <c r="A5485" s="10"/>
      <c r="C5485" s="77"/>
      <c r="D5485" s="13"/>
    </row>
    <row r="5486">
      <c r="A5486" s="10"/>
      <c r="C5486" s="77"/>
      <c r="D5486" s="13"/>
    </row>
    <row r="5487">
      <c r="A5487" s="10"/>
      <c r="C5487" s="77"/>
      <c r="D5487" s="13"/>
    </row>
    <row r="5488">
      <c r="A5488" s="10"/>
      <c r="C5488" s="77"/>
      <c r="D5488" s="13"/>
    </row>
    <row r="5489">
      <c r="A5489" s="10"/>
      <c r="C5489" s="77"/>
      <c r="D5489" s="13"/>
    </row>
    <row r="5490">
      <c r="A5490" s="10"/>
      <c r="C5490" s="77"/>
      <c r="D5490" s="13"/>
    </row>
    <row r="5491">
      <c r="A5491" s="10"/>
      <c r="C5491" s="77"/>
      <c r="D5491" s="13"/>
    </row>
    <row r="5492">
      <c r="A5492" s="10"/>
      <c r="C5492" s="77"/>
      <c r="D5492" s="13"/>
    </row>
    <row r="5493">
      <c r="A5493" s="10"/>
      <c r="C5493" s="77"/>
      <c r="D5493" s="13"/>
    </row>
    <row r="5494">
      <c r="A5494" s="10"/>
      <c r="C5494" s="77"/>
      <c r="D5494" s="13"/>
    </row>
    <row r="5495">
      <c r="A5495" s="10"/>
      <c r="C5495" s="77"/>
      <c r="D5495" s="13"/>
    </row>
    <row r="5496">
      <c r="A5496" s="10"/>
      <c r="C5496" s="77"/>
      <c r="D5496" s="13"/>
    </row>
    <row r="5497">
      <c r="A5497" s="10"/>
      <c r="C5497" s="77"/>
      <c r="D5497" s="13"/>
    </row>
    <row r="5498">
      <c r="A5498" s="10"/>
      <c r="C5498" s="77"/>
      <c r="D5498" s="13"/>
    </row>
    <row r="5499">
      <c r="A5499" s="10"/>
      <c r="C5499" s="77"/>
      <c r="D5499" s="13"/>
    </row>
    <row r="5500">
      <c r="A5500" s="10"/>
      <c r="C5500" s="77"/>
      <c r="D5500" s="13"/>
    </row>
    <row r="5501">
      <c r="A5501" s="10"/>
      <c r="C5501" s="77"/>
      <c r="D5501" s="13"/>
    </row>
    <row r="5502">
      <c r="A5502" s="10"/>
      <c r="C5502" s="77"/>
      <c r="D5502" s="13"/>
    </row>
    <row r="5503">
      <c r="A5503" s="10"/>
      <c r="C5503" s="77"/>
      <c r="D5503" s="13"/>
    </row>
    <row r="5504">
      <c r="A5504" s="10"/>
      <c r="C5504" s="77"/>
      <c r="D5504" s="13"/>
    </row>
    <row r="5505">
      <c r="A5505" s="10"/>
      <c r="C5505" s="77"/>
      <c r="D5505" s="13"/>
    </row>
    <row r="5506">
      <c r="A5506" s="10"/>
      <c r="C5506" s="77"/>
      <c r="D5506" s="13"/>
    </row>
    <row r="5507">
      <c r="A5507" s="10"/>
      <c r="C5507" s="77"/>
      <c r="D5507" s="13"/>
    </row>
    <row r="5508">
      <c r="A5508" s="10"/>
      <c r="C5508" s="77"/>
      <c r="D5508" s="13"/>
    </row>
    <row r="5509">
      <c r="A5509" s="10"/>
      <c r="C5509" s="77"/>
      <c r="D5509" s="13"/>
    </row>
    <row r="5510">
      <c r="A5510" s="10"/>
      <c r="C5510" s="77"/>
      <c r="D5510" s="13"/>
    </row>
    <row r="5511">
      <c r="A5511" s="10"/>
      <c r="C5511" s="77"/>
      <c r="D5511" s="13"/>
    </row>
    <row r="5512">
      <c r="A5512" s="10"/>
      <c r="C5512" s="77"/>
      <c r="D5512" s="13"/>
    </row>
    <row r="5513">
      <c r="A5513" s="10"/>
      <c r="C5513" s="77"/>
      <c r="D5513" s="13"/>
    </row>
    <row r="5514">
      <c r="A5514" s="10"/>
      <c r="C5514" s="77"/>
      <c r="D5514" s="13"/>
    </row>
    <row r="5515">
      <c r="A5515" s="10"/>
      <c r="C5515" s="77"/>
      <c r="D5515" s="13"/>
    </row>
    <row r="5516">
      <c r="A5516" s="10"/>
      <c r="C5516" s="77"/>
      <c r="D5516" s="13"/>
    </row>
    <row r="5517">
      <c r="A5517" s="10"/>
      <c r="C5517" s="77"/>
      <c r="D5517" s="13"/>
    </row>
    <row r="5518">
      <c r="A5518" s="10"/>
      <c r="C5518" s="77"/>
      <c r="D5518" s="13"/>
    </row>
    <row r="5519">
      <c r="A5519" s="10"/>
      <c r="C5519" s="77"/>
      <c r="D5519" s="13"/>
    </row>
    <row r="5520">
      <c r="A5520" s="10"/>
      <c r="C5520" s="77"/>
      <c r="D5520" s="13"/>
    </row>
    <row r="5521">
      <c r="A5521" s="10"/>
      <c r="C5521" s="77"/>
      <c r="D5521" s="13"/>
    </row>
    <row r="5522">
      <c r="A5522" s="10"/>
      <c r="C5522" s="77"/>
      <c r="D5522" s="13"/>
    </row>
    <row r="5523">
      <c r="A5523" s="10"/>
      <c r="C5523" s="77"/>
      <c r="D5523" s="13"/>
    </row>
    <row r="5524">
      <c r="A5524" s="10"/>
      <c r="C5524" s="77"/>
      <c r="D5524" s="13"/>
    </row>
    <row r="5525">
      <c r="A5525" s="10"/>
      <c r="C5525" s="77"/>
      <c r="D5525" s="13"/>
    </row>
    <row r="5526">
      <c r="A5526" s="10"/>
      <c r="C5526" s="77"/>
      <c r="D5526" s="13"/>
    </row>
    <row r="5527">
      <c r="A5527" s="10"/>
      <c r="C5527" s="77"/>
      <c r="D5527" s="13"/>
    </row>
    <row r="5528">
      <c r="A5528" s="10"/>
      <c r="C5528" s="77"/>
      <c r="D5528" s="13"/>
    </row>
    <row r="5529">
      <c r="A5529" s="10"/>
      <c r="C5529" s="77"/>
      <c r="D5529" s="13"/>
    </row>
    <row r="5530">
      <c r="A5530" s="10"/>
      <c r="C5530" s="77"/>
      <c r="D5530" s="13"/>
    </row>
    <row r="5531">
      <c r="A5531" s="10"/>
      <c r="C5531" s="77"/>
      <c r="D5531" s="13"/>
    </row>
    <row r="5532">
      <c r="A5532" s="10"/>
      <c r="C5532" s="77"/>
      <c r="D5532" s="13"/>
    </row>
    <row r="5533">
      <c r="A5533" s="10"/>
      <c r="C5533" s="77"/>
      <c r="D5533" s="13"/>
    </row>
    <row r="5534">
      <c r="A5534" s="10"/>
      <c r="C5534" s="77"/>
      <c r="D5534" s="13"/>
    </row>
    <row r="5535">
      <c r="A5535" s="10"/>
      <c r="C5535" s="77"/>
      <c r="D5535" s="13"/>
    </row>
    <row r="5536">
      <c r="A5536" s="10"/>
      <c r="C5536" s="77"/>
      <c r="D5536" s="13"/>
    </row>
    <row r="5537">
      <c r="A5537" s="10"/>
      <c r="C5537" s="77"/>
      <c r="D5537" s="13"/>
    </row>
    <row r="5538">
      <c r="A5538" s="10"/>
      <c r="C5538" s="77"/>
      <c r="D5538" s="13"/>
    </row>
    <row r="5539">
      <c r="A5539" s="10"/>
      <c r="C5539" s="77"/>
      <c r="D5539" s="13"/>
    </row>
    <row r="5540">
      <c r="A5540" s="10"/>
      <c r="C5540" s="77"/>
      <c r="D5540" s="13"/>
    </row>
    <row r="5541">
      <c r="A5541" s="10"/>
      <c r="C5541" s="77"/>
      <c r="D5541" s="13"/>
    </row>
    <row r="5542">
      <c r="A5542" s="10"/>
      <c r="C5542" s="77"/>
      <c r="D5542" s="13"/>
    </row>
    <row r="5543">
      <c r="A5543" s="10"/>
      <c r="C5543" s="77"/>
      <c r="D5543" s="13"/>
    </row>
    <row r="5544">
      <c r="A5544" s="10"/>
      <c r="C5544" s="77"/>
      <c r="D5544" s="13"/>
    </row>
    <row r="5545">
      <c r="A5545" s="10"/>
      <c r="C5545" s="77"/>
      <c r="D5545" s="13"/>
    </row>
    <row r="5546">
      <c r="A5546" s="10"/>
      <c r="C5546" s="77"/>
      <c r="D5546" s="13"/>
    </row>
    <row r="5547">
      <c r="A5547" s="10"/>
      <c r="C5547" s="77"/>
      <c r="D5547" s="13"/>
    </row>
    <row r="5548">
      <c r="A5548" s="10"/>
      <c r="C5548" s="77"/>
      <c r="D5548" s="13"/>
    </row>
    <row r="5549">
      <c r="A5549" s="10"/>
      <c r="C5549" s="77"/>
      <c r="D5549" s="13"/>
    </row>
    <row r="5550">
      <c r="A5550" s="10"/>
      <c r="C5550" s="77"/>
      <c r="D5550" s="13"/>
    </row>
    <row r="5551">
      <c r="A5551" s="10"/>
      <c r="C5551" s="77"/>
      <c r="D5551" s="13"/>
    </row>
    <row r="5552">
      <c r="A5552" s="10"/>
      <c r="C5552" s="77"/>
      <c r="D5552" s="13"/>
    </row>
    <row r="5553">
      <c r="A5553" s="10"/>
      <c r="C5553" s="77"/>
      <c r="D5553" s="13"/>
    </row>
    <row r="5554">
      <c r="A5554" s="10"/>
      <c r="C5554" s="77"/>
      <c r="D5554" s="13"/>
    </row>
    <row r="5555">
      <c r="A5555" s="10"/>
      <c r="C5555" s="77"/>
      <c r="D5555" s="13"/>
    </row>
    <row r="5556">
      <c r="A5556" s="10"/>
      <c r="C5556" s="77"/>
      <c r="D5556" s="13"/>
    </row>
    <row r="5557">
      <c r="A5557" s="10"/>
      <c r="C5557" s="77"/>
      <c r="D5557" s="13"/>
    </row>
    <row r="5558">
      <c r="A5558" s="10"/>
      <c r="C5558" s="77"/>
      <c r="D5558" s="13"/>
    </row>
    <row r="5559">
      <c r="A5559" s="10"/>
      <c r="C5559" s="77"/>
      <c r="D5559" s="13"/>
    </row>
    <row r="5560">
      <c r="A5560" s="10"/>
      <c r="C5560" s="77"/>
      <c r="D5560" s="13"/>
    </row>
    <row r="5561">
      <c r="A5561" s="10"/>
      <c r="C5561" s="77"/>
      <c r="D5561" s="13"/>
    </row>
    <row r="5562">
      <c r="A5562" s="10"/>
      <c r="C5562" s="77"/>
      <c r="D5562" s="13"/>
    </row>
    <row r="5563">
      <c r="A5563" s="10"/>
      <c r="C5563" s="77"/>
      <c r="D5563" s="13"/>
    </row>
    <row r="5564">
      <c r="A5564" s="10"/>
      <c r="C5564" s="77"/>
      <c r="D5564" s="13"/>
    </row>
    <row r="5565">
      <c r="A5565" s="10"/>
      <c r="C5565" s="77"/>
      <c r="D5565" s="13"/>
    </row>
    <row r="5566">
      <c r="A5566" s="10"/>
      <c r="C5566" s="77"/>
      <c r="D5566" s="13"/>
    </row>
    <row r="5567">
      <c r="A5567" s="10"/>
      <c r="C5567" s="77"/>
      <c r="D5567" s="13"/>
    </row>
    <row r="5568">
      <c r="A5568" s="10"/>
      <c r="C5568" s="77"/>
      <c r="D5568" s="13"/>
    </row>
    <row r="5569">
      <c r="A5569" s="10"/>
      <c r="C5569" s="77"/>
      <c r="D5569" s="13"/>
    </row>
    <row r="5570">
      <c r="A5570" s="10"/>
      <c r="C5570" s="77"/>
      <c r="D5570" s="13"/>
    </row>
    <row r="5571">
      <c r="A5571" s="10"/>
      <c r="C5571" s="77"/>
      <c r="D5571" s="13"/>
    </row>
    <row r="5572">
      <c r="A5572" s="10"/>
      <c r="C5572" s="77"/>
      <c r="D5572" s="13"/>
    </row>
    <row r="5573">
      <c r="A5573" s="10"/>
      <c r="C5573" s="77"/>
      <c r="D5573" s="13"/>
    </row>
    <row r="5574">
      <c r="A5574" s="10"/>
      <c r="C5574" s="77"/>
      <c r="D5574" s="13"/>
    </row>
    <row r="5575">
      <c r="A5575" s="10"/>
      <c r="C5575" s="77"/>
      <c r="D5575" s="13"/>
    </row>
    <row r="5576">
      <c r="A5576" s="10"/>
      <c r="C5576" s="77"/>
      <c r="D5576" s="13"/>
    </row>
    <row r="5577">
      <c r="A5577" s="10"/>
      <c r="C5577" s="77"/>
      <c r="D5577" s="13"/>
    </row>
    <row r="5578">
      <c r="A5578" s="10"/>
      <c r="C5578" s="77"/>
      <c r="D5578" s="13"/>
    </row>
    <row r="5579">
      <c r="A5579" s="10"/>
      <c r="C5579" s="77"/>
      <c r="D5579" s="13"/>
    </row>
    <row r="5580">
      <c r="A5580" s="10"/>
      <c r="C5580" s="77"/>
      <c r="D5580" s="13"/>
    </row>
    <row r="5581">
      <c r="A5581" s="10"/>
      <c r="C5581" s="77"/>
      <c r="D5581" s="13"/>
    </row>
    <row r="5582">
      <c r="A5582" s="10"/>
      <c r="C5582" s="77"/>
      <c r="D5582" s="13"/>
    </row>
    <row r="5583">
      <c r="A5583" s="10"/>
      <c r="C5583" s="77"/>
      <c r="D5583" s="13"/>
    </row>
    <row r="5584">
      <c r="A5584" s="10"/>
      <c r="C5584" s="77"/>
      <c r="D5584" s="13"/>
    </row>
    <row r="5585">
      <c r="A5585" s="10"/>
      <c r="C5585" s="77"/>
      <c r="D5585" s="13"/>
    </row>
    <row r="5586">
      <c r="A5586" s="10"/>
      <c r="C5586" s="77"/>
      <c r="D5586" s="13"/>
    </row>
    <row r="5587">
      <c r="A5587" s="10"/>
      <c r="C5587" s="77"/>
      <c r="D5587" s="13"/>
    </row>
    <row r="5588">
      <c r="A5588" s="10"/>
      <c r="C5588" s="77"/>
      <c r="D5588" s="13"/>
    </row>
    <row r="5589">
      <c r="A5589" s="10"/>
      <c r="C5589" s="77"/>
      <c r="D5589" s="13"/>
    </row>
    <row r="5590">
      <c r="A5590" s="10"/>
      <c r="C5590" s="77"/>
      <c r="D5590" s="13"/>
    </row>
    <row r="5591">
      <c r="A5591" s="10"/>
      <c r="C5591" s="77"/>
      <c r="D5591" s="13"/>
    </row>
    <row r="5592">
      <c r="A5592" s="10"/>
      <c r="C5592" s="77"/>
      <c r="D5592" s="13"/>
    </row>
    <row r="5593">
      <c r="A5593" s="10"/>
      <c r="C5593" s="77"/>
      <c r="D5593" s="13"/>
    </row>
    <row r="5594">
      <c r="A5594" s="10"/>
      <c r="C5594" s="77"/>
      <c r="D5594" s="13"/>
    </row>
    <row r="5595">
      <c r="A5595" s="10"/>
      <c r="C5595" s="77"/>
      <c r="D5595" s="13"/>
    </row>
    <row r="5596">
      <c r="A5596" s="10"/>
      <c r="C5596" s="77"/>
      <c r="D5596" s="13"/>
    </row>
    <row r="5597">
      <c r="A5597" s="10"/>
      <c r="C5597" s="77"/>
      <c r="D5597" s="13"/>
    </row>
    <row r="5598">
      <c r="A5598" s="10"/>
      <c r="C5598" s="77"/>
      <c r="D5598" s="13"/>
    </row>
    <row r="5599">
      <c r="A5599" s="10"/>
      <c r="C5599" s="77"/>
      <c r="D5599" s="13"/>
    </row>
    <row r="5600">
      <c r="A5600" s="10"/>
      <c r="C5600" s="77"/>
      <c r="D5600" s="13"/>
    </row>
    <row r="5601">
      <c r="A5601" s="10"/>
      <c r="C5601" s="77"/>
      <c r="D5601" s="13"/>
    </row>
    <row r="5602">
      <c r="A5602" s="10"/>
      <c r="C5602" s="77"/>
      <c r="D5602" s="13"/>
    </row>
    <row r="5603">
      <c r="A5603" s="10"/>
      <c r="C5603" s="77"/>
      <c r="D5603" s="13"/>
    </row>
    <row r="5604">
      <c r="A5604" s="10"/>
      <c r="C5604" s="77"/>
      <c r="D5604" s="13"/>
    </row>
    <row r="5605">
      <c r="A5605" s="10"/>
      <c r="C5605" s="77"/>
      <c r="D5605" s="13"/>
    </row>
    <row r="5606">
      <c r="A5606" s="10"/>
      <c r="C5606" s="77"/>
      <c r="D5606" s="13"/>
    </row>
    <row r="5607">
      <c r="A5607" s="10"/>
      <c r="C5607" s="77"/>
      <c r="D5607" s="13"/>
    </row>
    <row r="5608">
      <c r="A5608" s="10"/>
      <c r="C5608" s="77"/>
      <c r="D5608" s="13"/>
    </row>
    <row r="5609">
      <c r="A5609" s="10"/>
      <c r="C5609" s="77"/>
      <c r="D5609" s="13"/>
    </row>
    <row r="5610">
      <c r="A5610" s="10"/>
      <c r="C5610" s="77"/>
      <c r="D5610" s="13"/>
    </row>
    <row r="5611">
      <c r="A5611" s="10"/>
      <c r="C5611" s="77"/>
      <c r="D5611" s="13"/>
    </row>
    <row r="5612">
      <c r="A5612" s="10"/>
      <c r="C5612" s="77"/>
      <c r="D5612" s="13"/>
    </row>
    <row r="5613">
      <c r="A5613" s="10"/>
      <c r="C5613" s="77"/>
      <c r="D5613" s="13"/>
    </row>
    <row r="5614">
      <c r="A5614" s="10"/>
      <c r="C5614" s="77"/>
      <c r="D5614" s="13"/>
    </row>
    <row r="5615">
      <c r="A5615" s="10"/>
      <c r="C5615" s="77"/>
      <c r="D5615" s="13"/>
    </row>
    <row r="5616">
      <c r="A5616" s="10"/>
      <c r="C5616" s="77"/>
      <c r="D5616" s="13"/>
    </row>
    <row r="5617">
      <c r="A5617" s="10"/>
      <c r="C5617" s="77"/>
      <c r="D5617" s="13"/>
    </row>
    <row r="5618">
      <c r="A5618" s="10"/>
      <c r="C5618" s="77"/>
      <c r="D5618" s="13"/>
    </row>
    <row r="5619">
      <c r="A5619" s="10"/>
      <c r="C5619" s="77"/>
      <c r="D5619" s="13"/>
    </row>
    <row r="5620">
      <c r="A5620" s="10"/>
      <c r="C5620" s="77"/>
      <c r="D5620" s="13"/>
    </row>
    <row r="5621">
      <c r="A5621" s="10"/>
      <c r="C5621" s="77"/>
      <c r="D5621" s="13"/>
    </row>
    <row r="5622">
      <c r="A5622" s="10"/>
      <c r="C5622" s="77"/>
      <c r="D5622" s="13"/>
    </row>
    <row r="5623">
      <c r="A5623" s="10"/>
      <c r="C5623" s="77"/>
      <c r="D5623" s="13"/>
    </row>
    <row r="5624">
      <c r="A5624" s="10"/>
      <c r="C5624" s="77"/>
      <c r="D5624" s="13"/>
    </row>
    <row r="5625">
      <c r="A5625" s="10"/>
      <c r="C5625" s="77"/>
      <c r="D5625" s="13"/>
    </row>
    <row r="5626">
      <c r="A5626" s="10"/>
      <c r="C5626" s="77"/>
      <c r="D5626" s="13"/>
    </row>
    <row r="5627">
      <c r="A5627" s="10"/>
      <c r="C5627" s="77"/>
      <c r="D5627" s="13"/>
    </row>
    <row r="5628">
      <c r="A5628" s="10"/>
      <c r="C5628" s="77"/>
      <c r="D5628" s="13"/>
    </row>
    <row r="5629">
      <c r="A5629" s="10"/>
      <c r="C5629" s="77"/>
      <c r="D5629" s="13"/>
    </row>
    <row r="5630">
      <c r="A5630" s="10"/>
      <c r="C5630" s="77"/>
      <c r="D5630" s="13"/>
    </row>
    <row r="5631">
      <c r="A5631" s="10"/>
      <c r="C5631" s="77"/>
      <c r="D5631" s="13"/>
    </row>
    <row r="5632">
      <c r="A5632" s="10"/>
      <c r="C5632" s="77"/>
      <c r="D5632" s="13"/>
    </row>
    <row r="5633">
      <c r="A5633" s="10"/>
      <c r="C5633" s="77"/>
      <c r="D5633" s="13"/>
    </row>
    <row r="5634">
      <c r="A5634" s="10"/>
      <c r="C5634" s="77"/>
      <c r="D5634" s="13"/>
    </row>
    <row r="5635">
      <c r="A5635" s="10"/>
      <c r="C5635" s="77"/>
      <c r="D5635" s="13"/>
    </row>
    <row r="5636">
      <c r="A5636" s="10"/>
      <c r="C5636" s="77"/>
      <c r="D5636" s="13"/>
    </row>
    <row r="5637">
      <c r="A5637" s="10"/>
      <c r="C5637" s="77"/>
      <c r="D5637" s="13"/>
    </row>
    <row r="5638">
      <c r="A5638" s="10"/>
      <c r="C5638" s="77"/>
      <c r="D5638" s="13"/>
    </row>
    <row r="5639">
      <c r="A5639" s="10"/>
      <c r="C5639" s="77"/>
      <c r="D5639" s="13"/>
    </row>
    <row r="5640">
      <c r="A5640" s="10"/>
      <c r="C5640" s="77"/>
      <c r="D5640" s="13"/>
    </row>
    <row r="5641">
      <c r="A5641" s="10"/>
      <c r="C5641" s="77"/>
      <c r="D5641" s="13"/>
    </row>
    <row r="5642">
      <c r="A5642" s="10"/>
      <c r="C5642" s="77"/>
      <c r="D5642" s="13"/>
    </row>
    <row r="5643">
      <c r="A5643" s="10"/>
      <c r="C5643" s="77"/>
      <c r="D5643" s="13"/>
    </row>
    <row r="5644">
      <c r="A5644" s="10"/>
      <c r="C5644" s="77"/>
      <c r="D5644" s="13"/>
    </row>
    <row r="5645">
      <c r="A5645" s="10"/>
      <c r="C5645" s="77"/>
      <c r="D5645" s="13"/>
    </row>
    <row r="5646">
      <c r="A5646" s="10"/>
      <c r="C5646" s="77"/>
      <c r="D5646" s="13"/>
    </row>
    <row r="5647">
      <c r="A5647" s="10"/>
      <c r="C5647" s="77"/>
      <c r="D5647" s="13"/>
    </row>
    <row r="5648">
      <c r="A5648" s="10"/>
      <c r="C5648" s="77"/>
      <c r="D5648" s="13"/>
    </row>
    <row r="5649">
      <c r="A5649" s="10"/>
      <c r="C5649" s="77"/>
      <c r="D5649" s="13"/>
    </row>
    <row r="5650">
      <c r="A5650" s="10"/>
      <c r="C5650" s="77"/>
      <c r="D5650" s="13"/>
    </row>
    <row r="5651">
      <c r="A5651" s="10"/>
      <c r="C5651" s="77"/>
      <c r="D5651" s="13"/>
    </row>
    <row r="5652">
      <c r="A5652" s="10"/>
      <c r="C5652" s="77"/>
      <c r="D5652" s="13"/>
    </row>
    <row r="5653">
      <c r="A5653" s="10"/>
      <c r="C5653" s="77"/>
      <c r="D5653" s="13"/>
    </row>
    <row r="5654">
      <c r="A5654" s="10"/>
      <c r="C5654" s="77"/>
      <c r="D5654" s="13"/>
    </row>
    <row r="5655">
      <c r="A5655" s="10"/>
      <c r="C5655" s="77"/>
      <c r="D5655" s="13"/>
    </row>
    <row r="5656">
      <c r="A5656" s="10"/>
      <c r="C5656" s="77"/>
      <c r="D5656" s="13"/>
    </row>
    <row r="5657">
      <c r="A5657" s="10"/>
      <c r="C5657" s="77"/>
      <c r="D5657" s="13"/>
    </row>
    <row r="5658">
      <c r="A5658" s="10"/>
      <c r="C5658" s="77"/>
      <c r="D5658" s="13"/>
    </row>
    <row r="5659">
      <c r="A5659" s="10"/>
      <c r="C5659" s="77"/>
      <c r="D5659" s="13"/>
    </row>
    <row r="5660">
      <c r="A5660" s="10"/>
      <c r="C5660" s="77"/>
      <c r="D5660" s="13"/>
    </row>
    <row r="5661">
      <c r="A5661" s="10"/>
      <c r="C5661" s="77"/>
      <c r="D5661" s="13"/>
    </row>
    <row r="5662">
      <c r="A5662" s="10"/>
      <c r="C5662" s="77"/>
      <c r="D5662" s="13"/>
    </row>
    <row r="5663">
      <c r="A5663" s="10"/>
      <c r="C5663" s="77"/>
      <c r="D5663" s="13"/>
    </row>
    <row r="5664">
      <c r="A5664" s="10"/>
      <c r="C5664" s="77"/>
      <c r="D5664" s="13"/>
    </row>
    <row r="5665">
      <c r="A5665" s="10"/>
      <c r="C5665" s="77"/>
      <c r="D5665" s="13"/>
    </row>
    <row r="5666">
      <c r="A5666" s="10"/>
      <c r="C5666" s="77"/>
      <c r="D5666" s="13"/>
    </row>
    <row r="5667">
      <c r="A5667" s="10"/>
      <c r="C5667" s="77"/>
      <c r="D5667" s="13"/>
    </row>
    <row r="5668">
      <c r="A5668" s="10"/>
      <c r="C5668" s="77"/>
      <c r="D5668" s="13"/>
    </row>
    <row r="5669">
      <c r="A5669" s="10"/>
      <c r="C5669" s="77"/>
      <c r="D5669" s="13"/>
    </row>
    <row r="5670">
      <c r="A5670" s="10"/>
      <c r="C5670" s="77"/>
      <c r="D5670" s="13"/>
    </row>
    <row r="5671">
      <c r="A5671" s="10"/>
      <c r="C5671" s="77"/>
      <c r="D5671" s="13"/>
    </row>
    <row r="5672">
      <c r="A5672" s="10"/>
      <c r="C5672" s="77"/>
      <c r="D5672" s="13"/>
    </row>
    <row r="5673">
      <c r="A5673" s="10"/>
      <c r="C5673" s="77"/>
      <c r="D5673" s="13"/>
    </row>
    <row r="5674">
      <c r="A5674" s="10"/>
      <c r="C5674" s="77"/>
      <c r="D5674" s="13"/>
    </row>
    <row r="5675">
      <c r="A5675" s="10"/>
      <c r="C5675" s="77"/>
      <c r="D5675" s="13"/>
    </row>
    <row r="5676">
      <c r="A5676" s="10"/>
      <c r="C5676" s="77"/>
      <c r="D5676" s="13"/>
    </row>
    <row r="5677">
      <c r="A5677" s="10"/>
      <c r="C5677" s="77"/>
      <c r="D5677" s="13"/>
    </row>
    <row r="5678">
      <c r="A5678" s="10"/>
      <c r="C5678" s="77"/>
      <c r="D5678" s="13"/>
    </row>
    <row r="5679">
      <c r="A5679" s="10"/>
      <c r="C5679" s="77"/>
      <c r="D5679" s="13"/>
    </row>
    <row r="5680">
      <c r="A5680" s="10"/>
      <c r="C5680" s="77"/>
      <c r="D5680" s="13"/>
    </row>
    <row r="5681">
      <c r="A5681" s="10"/>
      <c r="C5681" s="77"/>
      <c r="D5681" s="13"/>
    </row>
    <row r="5682">
      <c r="A5682" s="10"/>
      <c r="C5682" s="77"/>
      <c r="D5682" s="13"/>
    </row>
    <row r="5683">
      <c r="A5683" s="10"/>
      <c r="C5683" s="77"/>
      <c r="D5683" s="13"/>
    </row>
    <row r="5684">
      <c r="A5684" s="10"/>
      <c r="C5684" s="77"/>
      <c r="D5684" s="13"/>
    </row>
    <row r="5685">
      <c r="A5685" s="10"/>
      <c r="C5685" s="77"/>
      <c r="D5685" s="13"/>
    </row>
    <row r="5686">
      <c r="A5686" s="10"/>
      <c r="C5686" s="77"/>
      <c r="D5686" s="13"/>
    </row>
    <row r="5687">
      <c r="A5687" s="10"/>
      <c r="C5687" s="77"/>
      <c r="D5687" s="13"/>
    </row>
    <row r="5688">
      <c r="A5688" s="10"/>
      <c r="C5688" s="77"/>
      <c r="D5688" s="13"/>
    </row>
    <row r="5689">
      <c r="A5689" s="10"/>
      <c r="C5689" s="77"/>
      <c r="D5689" s="13"/>
    </row>
    <row r="5690">
      <c r="A5690" s="10"/>
      <c r="C5690" s="77"/>
      <c r="D5690" s="13"/>
    </row>
    <row r="5691">
      <c r="A5691" s="10"/>
      <c r="C5691" s="77"/>
      <c r="D5691" s="13"/>
    </row>
    <row r="5692">
      <c r="A5692" s="10"/>
      <c r="C5692" s="77"/>
      <c r="D5692" s="13"/>
    </row>
    <row r="5693">
      <c r="A5693" s="10"/>
      <c r="C5693" s="77"/>
      <c r="D5693" s="13"/>
    </row>
    <row r="5694">
      <c r="A5694" s="10"/>
      <c r="C5694" s="77"/>
      <c r="D5694" s="13"/>
    </row>
    <row r="5695">
      <c r="A5695" s="10"/>
      <c r="C5695" s="77"/>
      <c r="D5695" s="13"/>
    </row>
    <row r="5696">
      <c r="A5696" s="10"/>
      <c r="C5696" s="77"/>
      <c r="D5696" s="13"/>
    </row>
    <row r="5697">
      <c r="A5697" s="10"/>
      <c r="C5697" s="77"/>
      <c r="D5697" s="13"/>
    </row>
    <row r="5698">
      <c r="A5698" s="10"/>
      <c r="C5698" s="77"/>
      <c r="D5698" s="13"/>
    </row>
    <row r="5699">
      <c r="A5699" s="10"/>
      <c r="C5699" s="77"/>
      <c r="D5699" s="13"/>
    </row>
    <row r="5700">
      <c r="A5700" s="10"/>
      <c r="C5700" s="77"/>
      <c r="D5700" s="13"/>
    </row>
    <row r="5701">
      <c r="A5701" s="10"/>
      <c r="C5701" s="77"/>
      <c r="D5701" s="13"/>
    </row>
    <row r="5702">
      <c r="A5702" s="10"/>
      <c r="C5702" s="77"/>
      <c r="D5702" s="13"/>
    </row>
    <row r="5703">
      <c r="A5703" s="10"/>
      <c r="C5703" s="77"/>
      <c r="D5703" s="13"/>
    </row>
    <row r="5704">
      <c r="A5704" s="10"/>
      <c r="C5704" s="77"/>
      <c r="D5704" s="13"/>
    </row>
    <row r="5705">
      <c r="A5705" s="10"/>
      <c r="C5705" s="77"/>
      <c r="D5705" s="13"/>
    </row>
    <row r="5706">
      <c r="A5706" s="10"/>
      <c r="C5706" s="77"/>
      <c r="D5706" s="13"/>
    </row>
    <row r="5707">
      <c r="A5707" s="10"/>
      <c r="C5707" s="77"/>
      <c r="D5707" s="13"/>
    </row>
    <row r="5708">
      <c r="A5708" s="10"/>
      <c r="C5708" s="77"/>
      <c r="D5708" s="13"/>
    </row>
    <row r="5709">
      <c r="A5709" s="10"/>
      <c r="C5709" s="77"/>
      <c r="D5709" s="13"/>
    </row>
    <row r="5710">
      <c r="A5710" s="10"/>
      <c r="C5710" s="77"/>
      <c r="D5710" s="13"/>
    </row>
    <row r="5711">
      <c r="A5711" s="10"/>
      <c r="C5711" s="77"/>
      <c r="D5711" s="13"/>
    </row>
    <row r="5712">
      <c r="A5712" s="10"/>
      <c r="C5712" s="77"/>
      <c r="D5712" s="13"/>
    </row>
    <row r="5713">
      <c r="A5713" s="10"/>
      <c r="C5713" s="77"/>
      <c r="D5713" s="13"/>
    </row>
    <row r="5714">
      <c r="A5714" s="10"/>
      <c r="C5714" s="77"/>
      <c r="D5714" s="13"/>
    </row>
    <row r="5715">
      <c r="A5715" s="10"/>
      <c r="C5715" s="77"/>
      <c r="D5715" s="13"/>
    </row>
    <row r="5716">
      <c r="A5716" s="10"/>
      <c r="C5716" s="77"/>
      <c r="D5716" s="13"/>
    </row>
    <row r="5717">
      <c r="A5717" s="10"/>
      <c r="C5717" s="77"/>
      <c r="D5717" s="13"/>
    </row>
  </sheetData>
  <autoFilter ref="$A$1:$E$3716"/>
  <customSheetViews>
    <customSheetView guid="{1C7B2971-E0BF-476B-A1D1-2F3717512215}" filter="1" showAutoFilter="1">
      <autoFilter ref="$A$1:$G$5717"/>
    </customSheetView>
    <customSheetView guid="{1C7B2971-E0BF-476B-A1D1-2F3717512215}" filter="1" showAutoFilter="1">
      <autoFilter ref="$A$1:$D$3716"/>
    </customSheetView>
  </customSheetView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3" max="3" width="29.63"/>
  </cols>
  <sheetData>
    <row r="1">
      <c r="A1" s="77" t="s">
        <v>1549</v>
      </c>
      <c r="D1" s="13"/>
    </row>
    <row r="2">
      <c r="D2" s="13"/>
    </row>
    <row r="3">
      <c r="A3" s="95" t="s">
        <v>1573</v>
      </c>
      <c r="B3" s="96">
        <f>B4+B13</f>
        <v>0</v>
      </c>
      <c r="C3" s="97" t="s">
        <v>1574</v>
      </c>
      <c r="D3" s="98">
        <f>D4+D8</f>
        <v>0</v>
      </c>
    </row>
    <row r="4">
      <c r="A4" s="99" t="s">
        <v>1575</v>
      </c>
      <c r="B4" s="98"/>
      <c r="C4" s="100" t="s">
        <v>1576</v>
      </c>
      <c r="D4" s="101"/>
    </row>
    <row r="5">
      <c r="A5" s="102" t="s">
        <v>1577</v>
      </c>
      <c r="B5" s="101"/>
      <c r="C5" s="102" t="s">
        <v>1578</v>
      </c>
      <c r="D5" s="101"/>
    </row>
    <row r="6">
      <c r="A6" s="102" t="s">
        <v>1579</v>
      </c>
      <c r="B6" s="101"/>
      <c r="C6" s="102" t="s">
        <v>1580</v>
      </c>
      <c r="D6" s="101"/>
    </row>
    <row r="7">
      <c r="A7" s="102" t="s">
        <v>1581</v>
      </c>
      <c r="B7" s="101"/>
      <c r="C7" s="103" t="s">
        <v>1582</v>
      </c>
      <c r="D7" s="104"/>
    </row>
    <row r="8">
      <c r="A8" s="102" t="s">
        <v>1583</v>
      </c>
      <c r="B8" s="101"/>
      <c r="C8" s="97" t="s">
        <v>1584</v>
      </c>
      <c r="D8" s="98"/>
    </row>
    <row r="9">
      <c r="A9" s="102" t="s">
        <v>1585</v>
      </c>
      <c r="B9" s="101"/>
      <c r="C9" s="102" t="s">
        <v>1578</v>
      </c>
      <c r="D9" s="101"/>
    </row>
    <row r="10">
      <c r="A10" s="102" t="s">
        <v>1586</v>
      </c>
      <c r="B10" s="101"/>
      <c r="C10" s="102" t="s">
        <v>1587</v>
      </c>
      <c r="D10" s="101"/>
    </row>
    <row r="11">
      <c r="A11" s="102" t="s">
        <v>1588</v>
      </c>
      <c r="B11" s="101"/>
      <c r="C11" s="102" t="s">
        <v>1589</v>
      </c>
      <c r="D11" s="101">
        <f>SUM(D12:D19)</f>
        <v>0</v>
      </c>
    </row>
    <row r="12">
      <c r="A12" s="103" t="s">
        <v>1590</v>
      </c>
      <c r="B12" s="104"/>
      <c r="C12" s="102" t="s">
        <v>1591</v>
      </c>
      <c r="D12" s="101"/>
    </row>
    <row r="13">
      <c r="A13" s="99" t="s">
        <v>1592</v>
      </c>
      <c r="B13" s="98"/>
      <c r="C13" s="102" t="s">
        <v>1593</v>
      </c>
      <c r="D13" s="101"/>
    </row>
    <row r="14">
      <c r="A14" s="102" t="s">
        <v>1594</v>
      </c>
      <c r="B14" s="101"/>
      <c r="C14" s="102" t="s">
        <v>1595</v>
      </c>
      <c r="D14" s="101"/>
    </row>
    <row r="15">
      <c r="A15" s="102" t="s">
        <v>1583</v>
      </c>
      <c r="B15" s="101"/>
      <c r="C15" s="102" t="s">
        <v>1596</v>
      </c>
      <c r="D15" s="101"/>
    </row>
    <row r="16">
      <c r="A16" s="102" t="s">
        <v>1585</v>
      </c>
      <c r="B16" s="101"/>
      <c r="C16" s="102" t="s">
        <v>1597</v>
      </c>
      <c r="D16" s="101"/>
    </row>
    <row r="17">
      <c r="A17" s="102" t="s">
        <v>1598</v>
      </c>
      <c r="B17" s="101"/>
      <c r="C17" s="102" t="s">
        <v>1599</v>
      </c>
      <c r="D17" s="101"/>
    </row>
    <row r="18">
      <c r="A18" s="102" t="s">
        <v>1590</v>
      </c>
      <c r="B18" s="101"/>
      <c r="C18" s="103" t="s">
        <v>1600</v>
      </c>
      <c r="D18" s="104"/>
    </row>
    <row r="19">
      <c r="A19" s="102" t="s">
        <v>1601</v>
      </c>
      <c r="B19" s="101"/>
    </row>
    <row r="20">
      <c r="A20" s="102" t="s">
        <v>1602</v>
      </c>
      <c r="B20" s="101"/>
    </row>
    <row r="21">
      <c r="A21" s="103" t="s">
        <v>1603</v>
      </c>
      <c r="B21" s="104"/>
      <c r="C21" s="10"/>
      <c r="D21" s="13"/>
    </row>
    <row r="22">
      <c r="A22" s="10"/>
      <c r="B22" s="13"/>
      <c r="C22" s="10"/>
      <c r="D22" s="13"/>
    </row>
    <row r="23">
      <c r="A23" s="10"/>
      <c r="B23" s="13"/>
      <c r="C23" s="10"/>
      <c r="D23" s="13"/>
    </row>
    <row r="24">
      <c r="A24" s="10"/>
      <c r="B24" s="13"/>
      <c r="C24" s="10"/>
      <c r="D24" s="13"/>
    </row>
    <row r="25">
      <c r="A25" s="10"/>
      <c r="B25" s="13"/>
      <c r="C25" s="10"/>
      <c r="D25" s="13"/>
    </row>
    <row r="26">
      <c r="A26" s="10"/>
      <c r="B26" s="13"/>
      <c r="C26" s="10"/>
      <c r="D26" s="13"/>
    </row>
    <row r="27">
      <c r="A27" s="10"/>
      <c r="B27" s="13"/>
      <c r="C27" s="10"/>
      <c r="D27" s="13"/>
    </row>
    <row r="28">
      <c r="A28" s="10"/>
      <c r="B28" s="13"/>
      <c r="C28" s="10"/>
      <c r="D28" s="13"/>
    </row>
    <row r="29">
      <c r="A29" s="10"/>
      <c r="B29" s="13"/>
      <c r="C29" s="10"/>
      <c r="D29" s="13"/>
    </row>
    <row r="30">
      <c r="A30" s="10"/>
      <c r="B30" s="13"/>
      <c r="C30" s="10"/>
      <c r="D30" s="13"/>
    </row>
    <row r="31">
      <c r="A31" s="10"/>
      <c r="B31" s="13"/>
      <c r="C31" s="10"/>
      <c r="D31" s="13"/>
    </row>
    <row r="32">
      <c r="A32" s="10"/>
      <c r="B32" s="13"/>
      <c r="C32" s="10"/>
      <c r="D32" s="13"/>
    </row>
    <row r="33">
      <c r="A33" s="10"/>
      <c r="B33" s="13"/>
      <c r="C33" s="10"/>
      <c r="D33" s="13"/>
    </row>
    <row r="34">
      <c r="A34" s="10"/>
      <c r="B34" s="13"/>
      <c r="C34" s="10"/>
      <c r="D34" s="13"/>
    </row>
    <row r="35">
      <c r="A35" s="10"/>
      <c r="B35" s="13"/>
      <c r="C35" s="10"/>
      <c r="D35" s="13"/>
    </row>
    <row r="36">
      <c r="A36" s="10"/>
      <c r="B36" s="13"/>
      <c r="C36" s="10"/>
      <c r="D36" s="13"/>
    </row>
    <row r="37">
      <c r="A37" s="10"/>
      <c r="B37" s="13"/>
      <c r="C37" s="10"/>
      <c r="D37" s="13"/>
    </row>
    <row r="38">
      <c r="A38" s="10"/>
      <c r="B38" s="13"/>
      <c r="C38" s="10"/>
      <c r="D38" s="13"/>
    </row>
    <row r="39">
      <c r="A39" s="10"/>
      <c r="B39" s="13"/>
      <c r="C39" s="10"/>
      <c r="D39" s="13"/>
    </row>
    <row r="40">
      <c r="A40" s="10"/>
      <c r="B40" s="13"/>
      <c r="C40" s="10"/>
      <c r="D40" s="13"/>
    </row>
    <row r="41">
      <c r="A41" s="10"/>
      <c r="B41" s="13"/>
      <c r="C41" s="10"/>
      <c r="D41" s="13"/>
    </row>
    <row r="42">
      <c r="A42" s="10"/>
      <c r="B42" s="13"/>
      <c r="C42" s="10"/>
      <c r="D42" s="13"/>
    </row>
    <row r="43">
      <c r="A43" s="10"/>
      <c r="B43" s="13"/>
      <c r="C43" s="10"/>
      <c r="D43" s="13"/>
    </row>
    <row r="44">
      <c r="A44" s="10"/>
      <c r="B44" s="13"/>
      <c r="C44" s="10"/>
      <c r="D44" s="13"/>
    </row>
    <row r="45">
      <c r="A45" s="10"/>
      <c r="B45" s="13"/>
      <c r="C45" s="10"/>
      <c r="D45" s="13"/>
    </row>
    <row r="46">
      <c r="A46" s="10"/>
      <c r="B46" s="13"/>
      <c r="C46" s="10"/>
      <c r="D46" s="13"/>
    </row>
    <row r="47">
      <c r="A47" s="10"/>
      <c r="B47" s="13"/>
      <c r="C47" s="10"/>
      <c r="D47" s="13"/>
    </row>
    <row r="48">
      <c r="A48" s="10"/>
      <c r="B48" s="13"/>
      <c r="C48" s="10"/>
      <c r="D48" s="13"/>
    </row>
    <row r="49">
      <c r="A49" s="10"/>
      <c r="B49" s="13"/>
      <c r="C49" s="10"/>
      <c r="D49" s="13"/>
    </row>
    <row r="50">
      <c r="A50" s="10"/>
      <c r="B50" s="13"/>
      <c r="C50" s="10"/>
      <c r="D50" s="13"/>
    </row>
    <row r="51">
      <c r="A51" s="10"/>
      <c r="B51" s="13"/>
      <c r="C51" s="10"/>
      <c r="D51" s="13"/>
    </row>
    <row r="52">
      <c r="A52" s="10"/>
      <c r="B52" s="13"/>
      <c r="C52" s="10"/>
      <c r="D52" s="13"/>
    </row>
    <row r="53">
      <c r="A53" s="10"/>
      <c r="B53" s="13"/>
      <c r="C53" s="10"/>
      <c r="D53" s="13"/>
    </row>
    <row r="54">
      <c r="A54" s="10"/>
      <c r="B54" s="13"/>
      <c r="C54" s="10"/>
      <c r="D54" s="13"/>
    </row>
    <row r="55">
      <c r="A55" s="10"/>
      <c r="B55" s="13"/>
      <c r="C55" s="10"/>
      <c r="D55" s="13"/>
    </row>
    <row r="56">
      <c r="A56" s="10"/>
      <c r="B56" s="13"/>
      <c r="C56" s="10"/>
      <c r="D56" s="13"/>
    </row>
    <row r="57">
      <c r="A57" s="10"/>
      <c r="B57" s="13"/>
      <c r="C57" s="10"/>
      <c r="D57" s="13"/>
    </row>
    <row r="58">
      <c r="A58" s="10"/>
      <c r="B58" s="13"/>
      <c r="C58" s="10"/>
      <c r="D58" s="13"/>
    </row>
    <row r="59">
      <c r="A59" s="10"/>
      <c r="B59" s="13"/>
      <c r="C59" s="10"/>
      <c r="D59" s="13"/>
    </row>
    <row r="60">
      <c r="A60" s="10"/>
      <c r="B60" s="13"/>
      <c r="C60" s="10"/>
      <c r="D60" s="13"/>
    </row>
    <row r="61">
      <c r="A61" s="10"/>
      <c r="B61" s="13"/>
      <c r="C61" s="10"/>
      <c r="D61" s="13"/>
    </row>
    <row r="62">
      <c r="A62" s="10"/>
      <c r="B62" s="13"/>
      <c r="C62" s="10"/>
      <c r="D62" s="13"/>
    </row>
    <row r="63">
      <c r="A63" s="10"/>
      <c r="B63" s="13"/>
      <c r="C63" s="10"/>
      <c r="D63" s="13"/>
    </row>
    <row r="64">
      <c r="A64" s="10"/>
      <c r="B64" s="13"/>
      <c r="C64" s="10"/>
      <c r="D64" s="13"/>
    </row>
    <row r="65">
      <c r="A65" s="10"/>
      <c r="B65" s="13"/>
      <c r="C65" s="10"/>
      <c r="D65" s="13"/>
    </row>
    <row r="66">
      <c r="A66" s="10"/>
      <c r="B66" s="13"/>
      <c r="C66" s="10"/>
      <c r="D66" s="13"/>
    </row>
    <row r="67">
      <c r="A67" s="10"/>
      <c r="B67" s="13"/>
      <c r="C67" s="10"/>
      <c r="D67" s="13"/>
    </row>
    <row r="68">
      <c r="A68" s="10"/>
      <c r="B68" s="13"/>
      <c r="C68" s="10"/>
      <c r="D68" s="13"/>
    </row>
    <row r="69">
      <c r="A69" s="10"/>
      <c r="B69" s="13"/>
      <c r="C69" s="10"/>
      <c r="D69" s="13"/>
    </row>
    <row r="70">
      <c r="A70" s="10"/>
      <c r="B70" s="13"/>
      <c r="C70" s="10"/>
      <c r="D70" s="13"/>
    </row>
    <row r="71">
      <c r="A71" s="10"/>
      <c r="B71" s="13"/>
      <c r="C71" s="10"/>
      <c r="D71" s="13"/>
    </row>
    <row r="72">
      <c r="A72" s="10"/>
      <c r="B72" s="13"/>
      <c r="C72" s="10"/>
      <c r="D72" s="13"/>
    </row>
    <row r="73">
      <c r="A73" s="10"/>
      <c r="B73" s="13"/>
      <c r="C73" s="10"/>
      <c r="D73" s="13"/>
    </row>
    <row r="74">
      <c r="A74" s="10"/>
      <c r="B74" s="13"/>
      <c r="C74" s="10"/>
      <c r="D74" s="13"/>
    </row>
    <row r="75">
      <c r="A75" s="10"/>
      <c r="B75" s="13"/>
      <c r="C75" s="10"/>
      <c r="D75" s="13"/>
    </row>
    <row r="76">
      <c r="A76" s="10"/>
      <c r="B76" s="13"/>
      <c r="C76" s="10"/>
      <c r="D76" s="13"/>
    </row>
    <row r="77">
      <c r="A77" s="10"/>
      <c r="B77" s="13"/>
      <c r="C77" s="10"/>
      <c r="D77" s="13"/>
    </row>
    <row r="78">
      <c r="A78" s="10"/>
      <c r="B78" s="13"/>
      <c r="C78" s="10"/>
      <c r="D78" s="13"/>
    </row>
    <row r="79">
      <c r="A79" s="10"/>
      <c r="B79" s="13"/>
      <c r="C79" s="10"/>
      <c r="D79" s="13"/>
    </row>
    <row r="80">
      <c r="A80" s="10"/>
      <c r="B80" s="13"/>
      <c r="C80" s="10"/>
      <c r="D80" s="13"/>
    </row>
    <row r="81">
      <c r="A81" s="10"/>
      <c r="B81" s="13"/>
      <c r="C81" s="10"/>
      <c r="D81" s="13"/>
    </row>
    <row r="82">
      <c r="A82" s="10"/>
      <c r="B82" s="13"/>
      <c r="C82" s="10"/>
      <c r="D82" s="13"/>
    </row>
    <row r="83">
      <c r="A83" s="10"/>
      <c r="B83" s="13"/>
      <c r="C83" s="10"/>
      <c r="D83" s="13"/>
    </row>
    <row r="84">
      <c r="A84" s="10"/>
      <c r="B84" s="13"/>
      <c r="C84" s="10"/>
      <c r="D84" s="13"/>
    </row>
    <row r="85">
      <c r="A85" s="10"/>
      <c r="B85" s="13"/>
      <c r="C85" s="10"/>
      <c r="D85" s="13"/>
    </row>
    <row r="86">
      <c r="A86" s="10"/>
      <c r="B86" s="13"/>
      <c r="C86" s="10"/>
      <c r="D86" s="13"/>
    </row>
    <row r="87">
      <c r="A87" s="10"/>
      <c r="B87" s="13"/>
      <c r="C87" s="10"/>
      <c r="D87" s="13"/>
    </row>
    <row r="88">
      <c r="A88" s="10"/>
      <c r="B88" s="13"/>
      <c r="C88" s="10"/>
      <c r="D88" s="13"/>
    </row>
    <row r="89">
      <c r="A89" s="10"/>
      <c r="B89" s="13"/>
      <c r="C89" s="10"/>
      <c r="D89" s="13"/>
    </row>
    <row r="90">
      <c r="A90" s="10"/>
      <c r="B90" s="13"/>
      <c r="C90" s="10"/>
      <c r="D90" s="13"/>
    </row>
    <row r="91">
      <c r="A91" s="10"/>
      <c r="B91" s="13"/>
      <c r="C91" s="10"/>
      <c r="D91" s="13"/>
    </row>
    <row r="92">
      <c r="A92" s="10"/>
      <c r="B92" s="13"/>
      <c r="C92" s="10"/>
      <c r="D92" s="13"/>
    </row>
    <row r="93">
      <c r="A93" s="10"/>
      <c r="B93" s="13"/>
      <c r="C93" s="10"/>
      <c r="D93" s="13"/>
    </row>
    <row r="94">
      <c r="A94" s="10"/>
      <c r="B94" s="13"/>
      <c r="C94" s="10"/>
      <c r="D94" s="13"/>
    </row>
    <row r="95">
      <c r="A95" s="10"/>
      <c r="B95" s="13"/>
      <c r="C95" s="10"/>
      <c r="D95" s="13"/>
    </row>
    <row r="96">
      <c r="A96" s="10"/>
      <c r="B96" s="13"/>
      <c r="C96" s="10"/>
      <c r="D96" s="13"/>
    </row>
    <row r="97">
      <c r="A97" s="10"/>
      <c r="B97" s="13"/>
      <c r="C97" s="10"/>
      <c r="D97" s="13"/>
    </row>
    <row r="98">
      <c r="A98" s="10"/>
      <c r="B98" s="13"/>
      <c r="C98" s="10"/>
      <c r="D98" s="13"/>
    </row>
    <row r="99">
      <c r="A99" s="10"/>
      <c r="B99" s="13"/>
      <c r="C99" s="10"/>
      <c r="D99" s="13"/>
    </row>
    <row r="100">
      <c r="A100" s="10"/>
      <c r="B100" s="13"/>
      <c r="C100" s="10"/>
      <c r="D100" s="13"/>
    </row>
    <row r="101">
      <c r="A101" s="10"/>
      <c r="B101" s="13"/>
      <c r="C101" s="10"/>
      <c r="D101" s="13"/>
    </row>
    <row r="102">
      <c r="A102" s="10"/>
      <c r="B102" s="13"/>
      <c r="C102" s="10"/>
      <c r="D102" s="13"/>
    </row>
    <row r="103">
      <c r="A103" s="10"/>
      <c r="B103" s="13"/>
      <c r="C103" s="10"/>
      <c r="D103" s="13"/>
    </row>
    <row r="104">
      <c r="A104" s="10"/>
      <c r="B104" s="13"/>
      <c r="C104" s="10"/>
      <c r="D104" s="13"/>
    </row>
    <row r="105">
      <c r="A105" s="10"/>
      <c r="B105" s="13"/>
      <c r="C105" s="10"/>
      <c r="D105" s="13"/>
    </row>
    <row r="106">
      <c r="A106" s="10"/>
      <c r="B106" s="13"/>
      <c r="C106" s="10"/>
      <c r="D106" s="13"/>
    </row>
    <row r="107">
      <c r="A107" s="10"/>
      <c r="B107" s="13"/>
      <c r="C107" s="10"/>
      <c r="D107" s="13"/>
    </row>
    <row r="108">
      <c r="A108" s="10"/>
      <c r="B108" s="13"/>
      <c r="C108" s="10"/>
      <c r="D108" s="13"/>
    </row>
    <row r="109">
      <c r="A109" s="10"/>
      <c r="B109" s="13"/>
      <c r="C109" s="10"/>
      <c r="D109" s="13"/>
    </row>
    <row r="110">
      <c r="A110" s="10"/>
      <c r="B110" s="13"/>
      <c r="C110" s="10"/>
      <c r="D110" s="13"/>
    </row>
    <row r="111">
      <c r="A111" s="10"/>
      <c r="B111" s="13"/>
      <c r="C111" s="10"/>
      <c r="D111" s="13"/>
    </row>
    <row r="112">
      <c r="A112" s="10"/>
      <c r="B112" s="13"/>
      <c r="C112" s="10"/>
      <c r="D112" s="13"/>
    </row>
    <row r="113">
      <c r="A113" s="10"/>
      <c r="B113" s="13"/>
      <c r="C113" s="10"/>
      <c r="D113" s="13"/>
    </row>
    <row r="114">
      <c r="A114" s="10"/>
      <c r="B114" s="13"/>
      <c r="C114" s="10"/>
      <c r="D114" s="13"/>
    </row>
    <row r="115">
      <c r="A115" s="10"/>
      <c r="B115" s="13"/>
      <c r="C115" s="10"/>
      <c r="D115" s="13"/>
    </row>
    <row r="116">
      <c r="A116" s="10"/>
      <c r="B116" s="13"/>
      <c r="C116" s="10"/>
      <c r="D116" s="13"/>
    </row>
    <row r="117">
      <c r="A117" s="10"/>
      <c r="B117" s="13"/>
      <c r="C117" s="10"/>
      <c r="D117" s="13"/>
    </row>
    <row r="118">
      <c r="A118" s="10"/>
      <c r="B118" s="13"/>
      <c r="C118" s="10"/>
      <c r="D118" s="13"/>
    </row>
    <row r="119">
      <c r="A119" s="10"/>
      <c r="B119" s="13"/>
      <c r="C119" s="10"/>
      <c r="D119" s="13"/>
    </row>
    <row r="120">
      <c r="A120" s="10"/>
      <c r="B120" s="13"/>
      <c r="C120" s="10"/>
      <c r="D120" s="13"/>
    </row>
    <row r="121">
      <c r="A121" s="10"/>
      <c r="B121" s="13"/>
      <c r="C121" s="10"/>
      <c r="D121" s="13"/>
    </row>
    <row r="122">
      <c r="A122" s="10"/>
      <c r="B122" s="13"/>
      <c r="C122" s="10"/>
      <c r="D122" s="13"/>
    </row>
    <row r="123">
      <c r="A123" s="10"/>
      <c r="B123" s="13"/>
      <c r="C123" s="10"/>
      <c r="D123" s="13"/>
    </row>
    <row r="124">
      <c r="A124" s="10"/>
      <c r="B124" s="13"/>
      <c r="C124" s="10"/>
      <c r="D124" s="13"/>
    </row>
    <row r="125">
      <c r="A125" s="10"/>
      <c r="B125" s="13"/>
      <c r="C125" s="10"/>
      <c r="D125" s="13"/>
    </row>
    <row r="126">
      <c r="A126" s="10"/>
      <c r="B126" s="13"/>
      <c r="C126" s="10"/>
      <c r="D126" s="13"/>
    </row>
    <row r="127">
      <c r="A127" s="10"/>
      <c r="B127" s="13"/>
      <c r="C127" s="10"/>
      <c r="D127" s="13"/>
    </row>
    <row r="128">
      <c r="A128" s="10"/>
      <c r="B128" s="13"/>
      <c r="C128" s="10"/>
      <c r="D128" s="13"/>
    </row>
    <row r="129">
      <c r="A129" s="10"/>
      <c r="B129" s="13"/>
      <c r="C129" s="10"/>
      <c r="D129" s="13"/>
    </row>
    <row r="130">
      <c r="A130" s="10"/>
      <c r="B130" s="13"/>
      <c r="C130" s="10"/>
      <c r="D130" s="13"/>
    </row>
    <row r="131">
      <c r="A131" s="10"/>
      <c r="B131" s="13"/>
      <c r="C131" s="10"/>
      <c r="D131" s="13"/>
    </row>
    <row r="132">
      <c r="A132" s="10"/>
      <c r="B132" s="13"/>
      <c r="C132" s="10"/>
      <c r="D132" s="13"/>
    </row>
    <row r="133">
      <c r="A133" s="10"/>
      <c r="B133" s="13"/>
      <c r="C133" s="10"/>
      <c r="D133" s="13"/>
    </row>
    <row r="134">
      <c r="A134" s="10"/>
      <c r="B134" s="13"/>
      <c r="C134" s="10"/>
      <c r="D134" s="13"/>
    </row>
    <row r="135">
      <c r="A135" s="10"/>
      <c r="B135" s="13"/>
      <c r="C135" s="10"/>
      <c r="D135" s="13"/>
    </row>
    <row r="136">
      <c r="A136" s="10"/>
      <c r="B136" s="13"/>
      <c r="C136" s="10"/>
      <c r="D136" s="13"/>
    </row>
    <row r="137">
      <c r="A137" s="10"/>
      <c r="B137" s="13"/>
      <c r="C137" s="10"/>
      <c r="D137" s="13"/>
    </row>
    <row r="138">
      <c r="A138" s="10"/>
      <c r="B138" s="13"/>
      <c r="C138" s="10"/>
      <c r="D138" s="13"/>
    </row>
    <row r="139">
      <c r="A139" s="10"/>
      <c r="B139" s="13"/>
      <c r="C139" s="10"/>
      <c r="D139" s="13"/>
    </row>
    <row r="140">
      <c r="A140" s="10"/>
      <c r="B140" s="13"/>
      <c r="C140" s="10"/>
      <c r="D140" s="13"/>
    </row>
    <row r="141">
      <c r="A141" s="10"/>
      <c r="B141" s="13"/>
      <c r="C141" s="10"/>
      <c r="D141" s="13"/>
    </row>
    <row r="142">
      <c r="A142" s="10"/>
      <c r="B142" s="13"/>
      <c r="C142" s="10"/>
      <c r="D142" s="13"/>
    </row>
    <row r="143">
      <c r="A143" s="10"/>
      <c r="B143" s="13"/>
      <c r="C143" s="10"/>
      <c r="D143" s="13"/>
    </row>
    <row r="144">
      <c r="A144" s="10"/>
      <c r="B144" s="13"/>
      <c r="C144" s="10"/>
      <c r="D144" s="13"/>
    </row>
    <row r="145">
      <c r="A145" s="10"/>
      <c r="B145" s="13"/>
      <c r="C145" s="10"/>
      <c r="D145" s="13"/>
    </row>
    <row r="146">
      <c r="A146" s="10"/>
      <c r="B146" s="13"/>
      <c r="C146" s="10"/>
      <c r="D146" s="13"/>
    </row>
    <row r="147">
      <c r="A147" s="10"/>
      <c r="B147" s="13"/>
      <c r="C147" s="10"/>
      <c r="D147" s="13"/>
    </row>
    <row r="148">
      <c r="A148" s="10"/>
      <c r="B148" s="13"/>
      <c r="C148" s="10"/>
      <c r="D148" s="13"/>
    </row>
    <row r="149">
      <c r="A149" s="10"/>
      <c r="B149" s="13"/>
      <c r="C149" s="10"/>
      <c r="D149" s="13"/>
    </row>
    <row r="150">
      <c r="A150" s="10"/>
      <c r="B150" s="13"/>
      <c r="C150" s="10"/>
      <c r="D150" s="13"/>
    </row>
    <row r="151">
      <c r="A151" s="10"/>
      <c r="B151" s="13"/>
      <c r="C151" s="10"/>
      <c r="D151" s="13"/>
    </row>
    <row r="152">
      <c r="A152" s="10"/>
      <c r="B152" s="13"/>
      <c r="C152" s="10"/>
      <c r="D152" s="13"/>
    </row>
    <row r="153">
      <c r="A153" s="10"/>
      <c r="B153" s="13"/>
      <c r="C153" s="10"/>
      <c r="D153" s="13"/>
    </row>
    <row r="154">
      <c r="A154" s="10"/>
      <c r="B154" s="13"/>
      <c r="C154" s="10"/>
      <c r="D154" s="13"/>
    </row>
    <row r="155">
      <c r="A155" s="10"/>
      <c r="B155" s="13"/>
      <c r="C155" s="10"/>
      <c r="D155" s="13"/>
    </row>
    <row r="156">
      <c r="A156" s="10"/>
      <c r="B156" s="13"/>
      <c r="C156" s="10"/>
      <c r="D156" s="13"/>
    </row>
    <row r="157">
      <c r="A157" s="10"/>
      <c r="B157" s="13"/>
      <c r="C157" s="10"/>
      <c r="D157" s="13"/>
    </row>
    <row r="158">
      <c r="A158" s="10"/>
      <c r="B158" s="13"/>
      <c r="C158" s="10"/>
      <c r="D158" s="13"/>
    </row>
    <row r="159">
      <c r="A159" s="10"/>
      <c r="B159" s="13"/>
      <c r="C159" s="10"/>
      <c r="D159" s="13"/>
    </row>
    <row r="160">
      <c r="A160" s="10"/>
      <c r="B160" s="13"/>
      <c r="C160" s="10"/>
      <c r="D160" s="13"/>
    </row>
    <row r="161">
      <c r="A161" s="10"/>
      <c r="B161" s="13"/>
      <c r="C161" s="10"/>
      <c r="D161" s="13"/>
    </row>
    <row r="162">
      <c r="A162" s="10"/>
      <c r="B162" s="13"/>
      <c r="C162" s="10"/>
      <c r="D162" s="13"/>
    </row>
    <row r="163">
      <c r="A163" s="10"/>
      <c r="B163" s="13"/>
      <c r="C163" s="10"/>
      <c r="D163" s="13"/>
    </row>
    <row r="164">
      <c r="A164" s="10"/>
      <c r="B164" s="13"/>
      <c r="C164" s="10"/>
      <c r="D164" s="13"/>
    </row>
    <row r="165">
      <c r="A165" s="10"/>
      <c r="B165" s="13"/>
      <c r="C165" s="10"/>
      <c r="D165" s="13"/>
    </row>
    <row r="166">
      <c r="A166" s="10"/>
      <c r="B166" s="13"/>
      <c r="C166" s="10"/>
      <c r="D166" s="13"/>
    </row>
    <row r="167">
      <c r="A167" s="10"/>
      <c r="B167" s="13"/>
      <c r="C167" s="10"/>
      <c r="D167" s="13"/>
    </row>
    <row r="168">
      <c r="A168" s="10"/>
      <c r="B168" s="13"/>
      <c r="C168" s="10"/>
      <c r="D168" s="13"/>
    </row>
    <row r="169">
      <c r="A169" s="10"/>
      <c r="B169" s="13"/>
      <c r="C169" s="10"/>
      <c r="D169" s="13"/>
    </row>
    <row r="170">
      <c r="A170" s="10"/>
      <c r="B170" s="13"/>
      <c r="C170" s="10"/>
      <c r="D170" s="13"/>
    </row>
    <row r="171">
      <c r="A171" s="10"/>
      <c r="B171" s="13"/>
      <c r="C171" s="10"/>
      <c r="D171" s="13"/>
    </row>
    <row r="172">
      <c r="A172" s="10"/>
      <c r="B172" s="13"/>
      <c r="C172" s="10"/>
      <c r="D172" s="13"/>
    </row>
    <row r="173">
      <c r="A173" s="10"/>
      <c r="B173" s="13"/>
      <c r="C173" s="10"/>
      <c r="D173" s="13"/>
    </row>
    <row r="174">
      <c r="A174" s="10"/>
      <c r="B174" s="13"/>
      <c r="C174" s="10"/>
      <c r="D174" s="13"/>
    </row>
    <row r="175">
      <c r="A175" s="10"/>
      <c r="B175" s="13"/>
      <c r="C175" s="10"/>
      <c r="D175" s="13"/>
    </row>
    <row r="176">
      <c r="A176" s="10"/>
      <c r="B176" s="13"/>
      <c r="C176" s="10"/>
      <c r="D176" s="13"/>
    </row>
    <row r="177">
      <c r="A177" s="10"/>
      <c r="B177" s="13"/>
      <c r="C177" s="10"/>
      <c r="D177" s="13"/>
    </row>
    <row r="178">
      <c r="A178" s="10"/>
      <c r="B178" s="13"/>
      <c r="C178" s="10"/>
      <c r="D178" s="13"/>
    </row>
    <row r="179">
      <c r="A179" s="10"/>
      <c r="B179" s="13"/>
      <c r="C179" s="10"/>
      <c r="D179" s="13"/>
    </row>
    <row r="180">
      <c r="A180" s="10"/>
      <c r="B180" s="13"/>
      <c r="C180" s="10"/>
      <c r="D180" s="13"/>
    </row>
    <row r="181">
      <c r="A181" s="10"/>
      <c r="B181" s="13"/>
      <c r="C181" s="10"/>
      <c r="D181" s="13"/>
    </row>
    <row r="182">
      <c r="A182" s="10"/>
      <c r="B182" s="13"/>
      <c r="C182" s="10"/>
      <c r="D182" s="13"/>
    </row>
    <row r="183">
      <c r="A183" s="10"/>
      <c r="B183" s="13"/>
      <c r="C183" s="10"/>
      <c r="D183" s="13"/>
    </row>
    <row r="184">
      <c r="A184" s="10"/>
      <c r="B184" s="13"/>
      <c r="C184" s="10"/>
      <c r="D184" s="13"/>
    </row>
    <row r="185">
      <c r="A185" s="10"/>
      <c r="B185" s="13"/>
      <c r="C185" s="10"/>
      <c r="D185" s="13"/>
    </row>
    <row r="186">
      <c r="A186" s="10"/>
      <c r="B186" s="13"/>
      <c r="C186" s="10"/>
      <c r="D186" s="13"/>
    </row>
    <row r="187">
      <c r="A187" s="10"/>
      <c r="B187" s="13"/>
      <c r="C187" s="10"/>
      <c r="D187" s="13"/>
    </row>
    <row r="188">
      <c r="A188" s="10"/>
      <c r="B188" s="13"/>
      <c r="C188" s="10"/>
      <c r="D188" s="13"/>
    </row>
    <row r="189">
      <c r="A189" s="10"/>
      <c r="B189" s="13"/>
      <c r="C189" s="10"/>
      <c r="D189" s="13"/>
    </row>
    <row r="190">
      <c r="A190" s="10"/>
      <c r="B190" s="13"/>
      <c r="C190" s="10"/>
      <c r="D190" s="13"/>
    </row>
    <row r="191">
      <c r="A191" s="10"/>
      <c r="B191" s="13"/>
      <c r="C191" s="10"/>
      <c r="D191" s="13"/>
    </row>
    <row r="192">
      <c r="A192" s="10"/>
      <c r="B192" s="13"/>
      <c r="C192" s="10"/>
      <c r="D192" s="13"/>
    </row>
    <row r="193">
      <c r="A193" s="10"/>
      <c r="B193" s="13"/>
      <c r="C193" s="10"/>
      <c r="D193" s="13"/>
    </row>
    <row r="194">
      <c r="A194" s="10"/>
      <c r="B194" s="13"/>
      <c r="C194" s="10"/>
      <c r="D194" s="13"/>
    </row>
    <row r="195">
      <c r="A195" s="10"/>
      <c r="B195" s="13"/>
      <c r="C195" s="10"/>
      <c r="D195" s="13"/>
    </row>
    <row r="196">
      <c r="A196" s="10"/>
      <c r="B196" s="13"/>
      <c r="C196" s="10"/>
      <c r="D196" s="13"/>
    </row>
    <row r="197">
      <c r="A197" s="10"/>
      <c r="B197" s="13"/>
      <c r="C197" s="10"/>
      <c r="D197" s="13"/>
    </row>
    <row r="198">
      <c r="A198" s="10"/>
      <c r="B198" s="13"/>
      <c r="C198" s="10"/>
      <c r="D198" s="13"/>
    </row>
    <row r="199">
      <c r="A199" s="10"/>
      <c r="B199" s="13"/>
      <c r="C199" s="10"/>
      <c r="D199" s="13"/>
    </row>
    <row r="200">
      <c r="A200" s="10"/>
      <c r="B200" s="13"/>
      <c r="C200" s="10"/>
      <c r="D200" s="13"/>
    </row>
    <row r="201">
      <c r="A201" s="10"/>
      <c r="B201" s="13"/>
      <c r="C201" s="10"/>
      <c r="D201" s="13"/>
    </row>
    <row r="202">
      <c r="A202" s="10"/>
      <c r="B202" s="13"/>
      <c r="C202" s="10"/>
      <c r="D202" s="13"/>
    </row>
    <row r="203">
      <c r="A203" s="10"/>
      <c r="B203" s="13"/>
      <c r="C203" s="10"/>
      <c r="D203" s="13"/>
    </row>
    <row r="204">
      <c r="A204" s="10"/>
      <c r="B204" s="13"/>
      <c r="C204" s="10"/>
      <c r="D204" s="13"/>
    </row>
    <row r="205">
      <c r="A205" s="10"/>
      <c r="B205" s="13"/>
      <c r="C205" s="10"/>
      <c r="D205" s="13"/>
    </row>
    <row r="206">
      <c r="A206" s="10"/>
      <c r="B206" s="13"/>
      <c r="C206" s="10"/>
      <c r="D206" s="13"/>
    </row>
    <row r="207">
      <c r="A207" s="10"/>
      <c r="B207" s="13"/>
      <c r="C207" s="10"/>
      <c r="D207" s="13"/>
    </row>
    <row r="208">
      <c r="A208" s="10"/>
      <c r="B208" s="13"/>
      <c r="C208" s="10"/>
      <c r="D208" s="13"/>
    </row>
    <row r="209">
      <c r="A209" s="10"/>
      <c r="B209" s="13"/>
      <c r="C209" s="10"/>
      <c r="D209" s="13"/>
    </row>
    <row r="210">
      <c r="A210" s="10"/>
      <c r="B210" s="13"/>
      <c r="C210" s="10"/>
      <c r="D210" s="13"/>
    </row>
    <row r="211">
      <c r="A211" s="10"/>
      <c r="B211" s="13"/>
      <c r="C211" s="10"/>
      <c r="D211" s="13"/>
    </row>
    <row r="212">
      <c r="A212" s="10"/>
      <c r="B212" s="13"/>
      <c r="C212" s="10"/>
      <c r="D212" s="13"/>
    </row>
    <row r="213">
      <c r="A213" s="10"/>
      <c r="B213" s="13"/>
      <c r="C213" s="10"/>
      <c r="D213" s="13"/>
    </row>
    <row r="214">
      <c r="A214" s="10"/>
      <c r="B214" s="13"/>
      <c r="C214" s="10"/>
      <c r="D214" s="13"/>
    </row>
    <row r="215">
      <c r="A215" s="10"/>
      <c r="B215" s="13"/>
      <c r="C215" s="10"/>
      <c r="D215" s="13"/>
    </row>
    <row r="216">
      <c r="A216" s="10"/>
      <c r="B216" s="13"/>
      <c r="C216" s="10"/>
      <c r="D216" s="13"/>
    </row>
    <row r="217">
      <c r="A217" s="10"/>
      <c r="B217" s="13"/>
      <c r="C217" s="10"/>
      <c r="D217" s="13"/>
    </row>
    <row r="218">
      <c r="A218" s="10"/>
      <c r="B218" s="13"/>
      <c r="C218" s="10"/>
      <c r="D218" s="13"/>
    </row>
    <row r="219">
      <c r="A219" s="10"/>
      <c r="B219" s="13"/>
      <c r="C219" s="10"/>
      <c r="D219" s="13"/>
    </row>
    <row r="220">
      <c r="A220" s="10"/>
      <c r="B220" s="13"/>
      <c r="C220" s="10"/>
      <c r="D220" s="13"/>
    </row>
    <row r="221">
      <c r="A221" s="10"/>
      <c r="B221" s="13"/>
      <c r="C221" s="10"/>
      <c r="D221" s="13"/>
    </row>
    <row r="222">
      <c r="A222" s="10"/>
      <c r="B222" s="13"/>
      <c r="C222" s="10"/>
      <c r="D222" s="13"/>
    </row>
    <row r="223">
      <c r="A223" s="10"/>
      <c r="B223" s="13"/>
      <c r="C223" s="10"/>
      <c r="D223" s="13"/>
    </row>
    <row r="224">
      <c r="A224" s="10"/>
      <c r="B224" s="13"/>
      <c r="C224" s="10"/>
      <c r="D224" s="13"/>
    </row>
    <row r="225">
      <c r="A225" s="10"/>
      <c r="B225" s="13"/>
      <c r="C225" s="10"/>
      <c r="D225" s="13"/>
    </row>
    <row r="226">
      <c r="A226" s="10"/>
      <c r="B226" s="13"/>
      <c r="C226" s="10"/>
      <c r="D226" s="13"/>
    </row>
    <row r="227">
      <c r="A227" s="10"/>
      <c r="B227" s="13"/>
      <c r="C227" s="10"/>
      <c r="D227" s="13"/>
    </row>
    <row r="228">
      <c r="A228" s="10"/>
      <c r="B228" s="13"/>
      <c r="C228" s="10"/>
      <c r="D228" s="13"/>
    </row>
    <row r="229">
      <c r="A229" s="10"/>
      <c r="B229" s="13"/>
      <c r="C229" s="10"/>
      <c r="D229" s="13"/>
    </row>
    <row r="230">
      <c r="A230" s="10"/>
      <c r="B230" s="13"/>
      <c r="C230" s="10"/>
      <c r="D230" s="13"/>
    </row>
    <row r="231">
      <c r="A231" s="10"/>
      <c r="B231" s="13"/>
      <c r="C231" s="10"/>
      <c r="D231" s="13"/>
    </row>
    <row r="232">
      <c r="A232" s="10"/>
      <c r="B232" s="13"/>
      <c r="C232" s="10"/>
      <c r="D232" s="13"/>
    </row>
    <row r="233">
      <c r="A233" s="10"/>
      <c r="B233" s="13"/>
      <c r="C233" s="10"/>
      <c r="D233" s="13"/>
    </row>
    <row r="234">
      <c r="A234" s="10"/>
      <c r="B234" s="13"/>
      <c r="C234" s="10"/>
      <c r="D234" s="13"/>
    </row>
    <row r="235">
      <c r="A235" s="10"/>
      <c r="B235" s="13"/>
      <c r="C235" s="10"/>
      <c r="D235" s="13"/>
    </row>
    <row r="236">
      <c r="A236" s="10"/>
      <c r="B236" s="13"/>
      <c r="C236" s="10"/>
      <c r="D236" s="13"/>
    </row>
    <row r="237">
      <c r="A237" s="10"/>
      <c r="B237" s="13"/>
      <c r="C237" s="10"/>
      <c r="D237" s="13"/>
    </row>
    <row r="238">
      <c r="A238" s="10"/>
      <c r="B238" s="13"/>
      <c r="C238" s="10"/>
      <c r="D238" s="13"/>
    </row>
    <row r="239">
      <c r="A239" s="10"/>
      <c r="B239" s="13"/>
      <c r="C239" s="10"/>
      <c r="D239" s="13"/>
    </row>
    <row r="240">
      <c r="A240" s="10"/>
      <c r="B240" s="13"/>
      <c r="C240" s="10"/>
      <c r="D240" s="13"/>
    </row>
    <row r="241">
      <c r="A241" s="10"/>
      <c r="B241" s="13"/>
      <c r="C241" s="10"/>
      <c r="D241" s="13"/>
    </row>
    <row r="242">
      <c r="A242" s="10"/>
      <c r="B242" s="13"/>
      <c r="C242" s="10"/>
      <c r="D242" s="13"/>
    </row>
    <row r="243">
      <c r="A243" s="10"/>
      <c r="B243" s="13"/>
      <c r="C243" s="10"/>
      <c r="D243" s="13"/>
    </row>
    <row r="244">
      <c r="A244" s="10"/>
      <c r="B244" s="13"/>
      <c r="C244" s="10"/>
      <c r="D244" s="13"/>
    </row>
    <row r="245">
      <c r="A245" s="10"/>
      <c r="B245" s="13"/>
      <c r="C245" s="10"/>
      <c r="D245" s="13"/>
    </row>
    <row r="246">
      <c r="A246" s="10"/>
      <c r="B246" s="13"/>
      <c r="C246" s="10"/>
      <c r="D246" s="13"/>
    </row>
    <row r="247">
      <c r="A247" s="10"/>
      <c r="B247" s="13"/>
      <c r="C247" s="10"/>
      <c r="D247" s="13"/>
    </row>
    <row r="248">
      <c r="A248" s="10"/>
      <c r="B248" s="13"/>
      <c r="C248" s="10"/>
      <c r="D248" s="13"/>
    </row>
    <row r="249">
      <c r="A249" s="10"/>
      <c r="B249" s="13"/>
      <c r="C249" s="10"/>
      <c r="D249" s="13"/>
    </row>
    <row r="250">
      <c r="A250" s="10"/>
      <c r="B250" s="13"/>
      <c r="C250" s="10"/>
      <c r="D250" s="13"/>
    </row>
    <row r="251">
      <c r="A251" s="10"/>
      <c r="B251" s="13"/>
      <c r="C251" s="10"/>
      <c r="D251" s="13"/>
    </row>
    <row r="252">
      <c r="A252" s="10"/>
      <c r="B252" s="13"/>
      <c r="C252" s="10"/>
      <c r="D252" s="13"/>
    </row>
    <row r="253">
      <c r="A253" s="10"/>
      <c r="B253" s="13"/>
      <c r="C253" s="10"/>
      <c r="D253" s="13"/>
    </row>
    <row r="254">
      <c r="A254" s="10"/>
      <c r="B254" s="13"/>
      <c r="C254" s="10"/>
      <c r="D254" s="13"/>
    </row>
    <row r="255">
      <c r="A255" s="10"/>
      <c r="B255" s="13"/>
      <c r="C255" s="10"/>
      <c r="D255" s="13"/>
    </row>
    <row r="256">
      <c r="A256" s="10"/>
      <c r="B256" s="13"/>
      <c r="C256" s="10"/>
      <c r="D256" s="13"/>
    </row>
    <row r="257">
      <c r="A257" s="10"/>
      <c r="B257" s="13"/>
      <c r="C257" s="10"/>
      <c r="D257" s="13"/>
    </row>
    <row r="258">
      <c r="A258" s="10"/>
      <c r="B258" s="13"/>
      <c r="C258" s="10"/>
      <c r="D258" s="13"/>
    </row>
    <row r="259">
      <c r="A259" s="10"/>
      <c r="B259" s="13"/>
      <c r="C259" s="10"/>
      <c r="D259" s="13"/>
    </row>
    <row r="260">
      <c r="A260" s="10"/>
      <c r="B260" s="13"/>
      <c r="C260" s="10"/>
      <c r="D260" s="13"/>
    </row>
    <row r="261">
      <c r="A261" s="10"/>
      <c r="B261" s="13"/>
      <c r="C261" s="10"/>
      <c r="D261" s="13"/>
    </row>
    <row r="262">
      <c r="A262" s="10"/>
      <c r="B262" s="13"/>
      <c r="C262" s="10"/>
      <c r="D262" s="13"/>
    </row>
    <row r="263">
      <c r="A263" s="10"/>
      <c r="B263" s="13"/>
      <c r="C263" s="10"/>
      <c r="D263" s="13"/>
    </row>
    <row r="264">
      <c r="A264" s="10"/>
      <c r="B264" s="13"/>
      <c r="C264" s="10"/>
      <c r="D264" s="13"/>
    </row>
    <row r="265">
      <c r="A265" s="10"/>
      <c r="B265" s="13"/>
      <c r="C265" s="10"/>
      <c r="D265" s="13"/>
    </row>
    <row r="266">
      <c r="A266" s="10"/>
      <c r="B266" s="13"/>
      <c r="C266" s="10"/>
      <c r="D266" s="13"/>
    </row>
    <row r="267">
      <c r="A267" s="10"/>
      <c r="B267" s="13"/>
      <c r="C267" s="10"/>
      <c r="D267" s="13"/>
    </row>
    <row r="268">
      <c r="A268" s="10"/>
      <c r="B268" s="13"/>
      <c r="C268" s="10"/>
      <c r="D268" s="13"/>
    </row>
    <row r="269">
      <c r="A269" s="10"/>
      <c r="B269" s="13"/>
      <c r="C269" s="10"/>
      <c r="D269" s="13"/>
    </row>
    <row r="270">
      <c r="A270" s="10"/>
      <c r="B270" s="13"/>
      <c r="C270" s="10"/>
      <c r="D270" s="13"/>
    </row>
    <row r="271">
      <c r="A271" s="10"/>
      <c r="B271" s="13"/>
      <c r="C271" s="10"/>
      <c r="D271" s="13"/>
    </row>
    <row r="272">
      <c r="A272" s="10"/>
      <c r="B272" s="13"/>
      <c r="C272" s="10"/>
      <c r="D272" s="13"/>
    </row>
    <row r="273">
      <c r="A273" s="10"/>
      <c r="B273" s="13"/>
      <c r="C273" s="10"/>
      <c r="D273" s="13"/>
    </row>
    <row r="274">
      <c r="A274" s="10"/>
      <c r="B274" s="13"/>
      <c r="C274" s="10"/>
      <c r="D274" s="13"/>
    </row>
    <row r="275">
      <c r="A275" s="10"/>
      <c r="B275" s="13"/>
      <c r="C275" s="10"/>
      <c r="D275" s="13"/>
    </row>
    <row r="276">
      <c r="A276" s="10"/>
      <c r="B276" s="13"/>
      <c r="C276" s="10"/>
      <c r="D276" s="13"/>
    </row>
    <row r="277">
      <c r="A277" s="10"/>
      <c r="B277" s="13"/>
      <c r="C277" s="10"/>
      <c r="D277" s="13"/>
    </row>
    <row r="278">
      <c r="A278" s="10"/>
      <c r="B278" s="13"/>
      <c r="C278" s="10"/>
      <c r="D278" s="13"/>
    </row>
    <row r="279">
      <c r="A279" s="10"/>
      <c r="B279" s="13"/>
      <c r="C279" s="10"/>
      <c r="D279" s="13"/>
    </row>
    <row r="280">
      <c r="A280" s="10"/>
      <c r="B280" s="13"/>
      <c r="C280" s="10"/>
      <c r="D280" s="13"/>
    </row>
    <row r="281">
      <c r="A281" s="10"/>
      <c r="B281" s="13"/>
      <c r="C281" s="10"/>
      <c r="D281" s="13"/>
    </row>
    <row r="282">
      <c r="A282" s="10"/>
      <c r="B282" s="13"/>
      <c r="C282" s="10"/>
      <c r="D282" s="13"/>
    </row>
    <row r="283">
      <c r="A283" s="10"/>
      <c r="B283" s="13"/>
      <c r="C283" s="10"/>
      <c r="D283" s="13"/>
    </row>
    <row r="284">
      <c r="A284" s="10"/>
      <c r="B284" s="13"/>
      <c r="C284" s="10"/>
      <c r="D284" s="13"/>
    </row>
    <row r="285">
      <c r="A285" s="10"/>
      <c r="B285" s="13"/>
      <c r="C285" s="10"/>
      <c r="D285" s="13"/>
    </row>
    <row r="286">
      <c r="A286" s="10"/>
      <c r="B286" s="13"/>
      <c r="C286" s="10"/>
      <c r="D286" s="13"/>
    </row>
    <row r="287">
      <c r="A287" s="10"/>
      <c r="B287" s="13"/>
      <c r="C287" s="10"/>
      <c r="D287" s="13"/>
    </row>
    <row r="288">
      <c r="A288" s="10"/>
      <c r="B288" s="13"/>
      <c r="C288" s="10"/>
      <c r="D288" s="13"/>
    </row>
    <row r="289">
      <c r="A289" s="10"/>
      <c r="B289" s="13"/>
      <c r="C289" s="10"/>
      <c r="D289" s="13"/>
    </row>
    <row r="290">
      <c r="A290" s="10"/>
      <c r="B290" s="13"/>
      <c r="C290" s="10"/>
      <c r="D290" s="13"/>
    </row>
    <row r="291">
      <c r="A291" s="10"/>
      <c r="B291" s="13"/>
      <c r="C291" s="10"/>
      <c r="D291" s="13"/>
    </row>
    <row r="292">
      <c r="A292" s="10"/>
      <c r="B292" s="13"/>
      <c r="C292" s="10"/>
      <c r="D292" s="13"/>
    </row>
    <row r="293">
      <c r="A293" s="10"/>
      <c r="B293" s="13"/>
      <c r="C293" s="10"/>
      <c r="D293" s="13"/>
    </row>
    <row r="294">
      <c r="A294" s="10"/>
      <c r="B294" s="13"/>
      <c r="C294" s="10"/>
      <c r="D294" s="13"/>
    </row>
    <row r="295">
      <c r="A295" s="10"/>
      <c r="B295" s="13"/>
      <c r="C295" s="10"/>
      <c r="D295" s="13"/>
    </row>
    <row r="296">
      <c r="A296" s="10"/>
      <c r="B296" s="13"/>
      <c r="C296" s="10"/>
      <c r="D296" s="13"/>
    </row>
    <row r="297">
      <c r="A297" s="10"/>
      <c r="B297" s="13"/>
      <c r="C297" s="10"/>
      <c r="D297" s="13"/>
    </row>
    <row r="298">
      <c r="A298" s="10"/>
      <c r="B298" s="13"/>
      <c r="C298" s="10"/>
      <c r="D298" s="13"/>
    </row>
    <row r="299">
      <c r="A299" s="10"/>
      <c r="B299" s="13"/>
      <c r="C299" s="10"/>
      <c r="D299" s="13"/>
    </row>
    <row r="300">
      <c r="A300" s="10"/>
      <c r="B300" s="13"/>
      <c r="C300" s="10"/>
      <c r="D300" s="13"/>
    </row>
    <row r="301">
      <c r="A301" s="10"/>
      <c r="B301" s="13"/>
      <c r="C301" s="10"/>
      <c r="D301" s="13"/>
    </row>
    <row r="302">
      <c r="A302" s="10"/>
      <c r="B302" s="13"/>
      <c r="C302" s="10"/>
      <c r="D302" s="13"/>
    </row>
    <row r="303">
      <c r="A303" s="10"/>
      <c r="B303" s="13"/>
      <c r="C303" s="10"/>
      <c r="D303" s="13"/>
    </row>
    <row r="304">
      <c r="A304" s="10"/>
      <c r="B304" s="13"/>
      <c r="C304" s="10"/>
      <c r="D304" s="13"/>
    </row>
    <row r="305">
      <c r="A305" s="10"/>
      <c r="B305" s="13"/>
      <c r="C305" s="10"/>
      <c r="D305" s="13"/>
    </row>
    <row r="306">
      <c r="A306" s="10"/>
      <c r="B306" s="13"/>
      <c r="C306" s="10"/>
      <c r="D306" s="13"/>
    </row>
    <row r="307">
      <c r="A307" s="10"/>
      <c r="B307" s="13"/>
      <c r="C307" s="10"/>
      <c r="D307" s="13"/>
    </row>
    <row r="308">
      <c r="A308" s="10"/>
      <c r="B308" s="13"/>
      <c r="C308" s="10"/>
      <c r="D308" s="13"/>
    </row>
    <row r="309">
      <c r="A309" s="10"/>
      <c r="B309" s="13"/>
      <c r="C309" s="10"/>
      <c r="D309" s="13"/>
    </row>
    <row r="310">
      <c r="A310" s="10"/>
      <c r="B310" s="13"/>
      <c r="C310" s="10"/>
      <c r="D310" s="13"/>
    </row>
    <row r="311">
      <c r="A311" s="10"/>
      <c r="B311" s="13"/>
      <c r="C311" s="10"/>
      <c r="D311" s="13"/>
    </row>
    <row r="312">
      <c r="A312" s="10"/>
      <c r="B312" s="13"/>
      <c r="C312" s="10"/>
      <c r="D312" s="13"/>
    </row>
    <row r="313">
      <c r="A313" s="10"/>
      <c r="B313" s="13"/>
      <c r="C313" s="10"/>
      <c r="D313" s="13"/>
    </row>
    <row r="314">
      <c r="A314" s="10"/>
      <c r="B314" s="13"/>
      <c r="C314" s="10"/>
      <c r="D314" s="13"/>
    </row>
    <row r="315">
      <c r="A315" s="10"/>
      <c r="B315" s="13"/>
      <c r="C315" s="10"/>
      <c r="D315" s="13"/>
    </row>
    <row r="316">
      <c r="A316" s="10"/>
      <c r="B316" s="13"/>
      <c r="C316" s="10"/>
      <c r="D316" s="13"/>
    </row>
    <row r="317">
      <c r="A317" s="10"/>
      <c r="B317" s="13"/>
      <c r="C317" s="10"/>
      <c r="D317" s="13"/>
    </row>
    <row r="318">
      <c r="A318" s="10"/>
      <c r="B318" s="13"/>
      <c r="C318" s="10"/>
      <c r="D318" s="13"/>
    </row>
    <row r="319">
      <c r="A319" s="10"/>
      <c r="B319" s="13"/>
      <c r="C319" s="10"/>
      <c r="D319" s="13"/>
    </row>
    <row r="320">
      <c r="A320" s="10"/>
      <c r="B320" s="13"/>
      <c r="C320" s="10"/>
      <c r="D320" s="13"/>
    </row>
    <row r="321">
      <c r="A321" s="10"/>
      <c r="B321" s="13"/>
      <c r="C321" s="10"/>
      <c r="D321" s="13"/>
    </row>
    <row r="322">
      <c r="A322" s="10"/>
      <c r="B322" s="13"/>
      <c r="C322" s="10"/>
      <c r="D322" s="13"/>
    </row>
    <row r="323">
      <c r="A323" s="10"/>
      <c r="B323" s="13"/>
      <c r="C323" s="10"/>
      <c r="D323" s="13"/>
    </row>
    <row r="324">
      <c r="A324" s="10"/>
      <c r="B324" s="13"/>
      <c r="C324" s="10"/>
      <c r="D324" s="13"/>
    </row>
    <row r="325">
      <c r="A325" s="10"/>
      <c r="B325" s="13"/>
      <c r="C325" s="10"/>
      <c r="D325" s="13"/>
    </row>
    <row r="326">
      <c r="A326" s="10"/>
      <c r="B326" s="13"/>
      <c r="C326" s="10"/>
      <c r="D326" s="13"/>
    </row>
    <row r="327">
      <c r="A327" s="10"/>
      <c r="B327" s="13"/>
      <c r="C327" s="10"/>
      <c r="D327" s="13"/>
    </row>
    <row r="328">
      <c r="A328" s="10"/>
      <c r="B328" s="13"/>
      <c r="C328" s="10"/>
      <c r="D328" s="13"/>
    </row>
    <row r="329">
      <c r="A329" s="10"/>
      <c r="B329" s="13"/>
      <c r="C329" s="10"/>
      <c r="D329" s="13"/>
    </row>
    <row r="330">
      <c r="A330" s="10"/>
      <c r="B330" s="13"/>
      <c r="C330" s="10"/>
      <c r="D330" s="13"/>
    </row>
    <row r="331">
      <c r="A331" s="10"/>
      <c r="B331" s="13"/>
      <c r="C331" s="10"/>
      <c r="D331" s="13"/>
    </row>
    <row r="332">
      <c r="A332" s="10"/>
      <c r="B332" s="13"/>
      <c r="C332" s="10"/>
      <c r="D332" s="13"/>
    </row>
    <row r="333">
      <c r="A333" s="10"/>
      <c r="B333" s="13"/>
      <c r="C333" s="10"/>
      <c r="D333" s="13"/>
    </row>
    <row r="334">
      <c r="A334" s="10"/>
      <c r="B334" s="13"/>
      <c r="C334" s="10"/>
      <c r="D334" s="13"/>
    </row>
    <row r="335">
      <c r="A335" s="10"/>
      <c r="B335" s="13"/>
      <c r="C335" s="10"/>
      <c r="D335" s="13"/>
    </row>
    <row r="336">
      <c r="A336" s="10"/>
      <c r="B336" s="13"/>
      <c r="C336" s="10"/>
      <c r="D336" s="13"/>
    </row>
    <row r="337">
      <c r="A337" s="10"/>
      <c r="B337" s="13"/>
      <c r="C337" s="10"/>
      <c r="D337" s="13"/>
    </row>
    <row r="338">
      <c r="A338" s="10"/>
      <c r="B338" s="13"/>
      <c r="C338" s="10"/>
      <c r="D338" s="13"/>
    </row>
    <row r="339">
      <c r="A339" s="10"/>
      <c r="B339" s="13"/>
      <c r="C339" s="10"/>
      <c r="D339" s="13"/>
    </row>
    <row r="340">
      <c r="A340" s="10"/>
      <c r="B340" s="13"/>
      <c r="C340" s="10"/>
      <c r="D340" s="13"/>
    </row>
    <row r="341">
      <c r="A341" s="10"/>
      <c r="B341" s="13"/>
      <c r="C341" s="10"/>
      <c r="D341" s="13"/>
    </row>
    <row r="342">
      <c r="A342" s="10"/>
      <c r="B342" s="13"/>
      <c r="C342" s="10"/>
      <c r="D342" s="13"/>
    </row>
    <row r="343">
      <c r="A343" s="10"/>
      <c r="B343" s="13"/>
      <c r="C343" s="10"/>
      <c r="D343" s="13"/>
    </row>
    <row r="344">
      <c r="A344" s="10"/>
      <c r="B344" s="13"/>
      <c r="C344" s="10"/>
      <c r="D344" s="13"/>
    </row>
    <row r="345">
      <c r="A345" s="10"/>
      <c r="B345" s="13"/>
      <c r="C345" s="10"/>
      <c r="D345" s="13"/>
    </row>
    <row r="346">
      <c r="A346" s="10"/>
      <c r="B346" s="13"/>
      <c r="C346" s="10"/>
      <c r="D346" s="13"/>
    </row>
    <row r="347">
      <c r="A347" s="10"/>
      <c r="B347" s="13"/>
      <c r="C347" s="10"/>
      <c r="D347" s="13"/>
    </row>
    <row r="348">
      <c r="A348" s="10"/>
      <c r="B348" s="13"/>
      <c r="C348" s="10"/>
      <c r="D348" s="13"/>
    </row>
    <row r="349">
      <c r="A349" s="10"/>
      <c r="B349" s="13"/>
      <c r="C349" s="10"/>
      <c r="D349" s="13"/>
    </row>
    <row r="350">
      <c r="A350" s="10"/>
      <c r="B350" s="13"/>
      <c r="C350" s="10"/>
      <c r="D350" s="13"/>
    </row>
    <row r="351">
      <c r="A351" s="10"/>
      <c r="B351" s="13"/>
      <c r="C351" s="10"/>
      <c r="D351" s="13"/>
    </row>
    <row r="352">
      <c r="A352" s="10"/>
      <c r="B352" s="13"/>
      <c r="C352" s="10"/>
      <c r="D352" s="13"/>
    </row>
    <row r="353">
      <c r="A353" s="10"/>
      <c r="B353" s="13"/>
      <c r="C353" s="10"/>
      <c r="D353" s="13"/>
    </row>
    <row r="354">
      <c r="A354" s="10"/>
      <c r="B354" s="13"/>
      <c r="C354" s="10"/>
      <c r="D354" s="13"/>
    </row>
    <row r="355">
      <c r="A355" s="10"/>
      <c r="B355" s="13"/>
      <c r="C355" s="10"/>
      <c r="D355" s="13"/>
    </row>
    <row r="356">
      <c r="A356" s="10"/>
      <c r="B356" s="13"/>
      <c r="C356" s="10"/>
      <c r="D356" s="13"/>
    </row>
    <row r="357">
      <c r="A357" s="10"/>
      <c r="B357" s="13"/>
      <c r="C357" s="10"/>
      <c r="D357" s="13"/>
    </row>
    <row r="358">
      <c r="A358" s="10"/>
      <c r="B358" s="13"/>
      <c r="C358" s="10"/>
      <c r="D358" s="13"/>
    </row>
    <row r="359">
      <c r="A359" s="10"/>
      <c r="B359" s="13"/>
      <c r="C359" s="10"/>
      <c r="D359" s="13"/>
    </row>
    <row r="360">
      <c r="A360" s="10"/>
      <c r="B360" s="13"/>
      <c r="C360" s="10"/>
      <c r="D360" s="13"/>
    </row>
    <row r="361">
      <c r="A361" s="10"/>
      <c r="B361" s="13"/>
      <c r="C361" s="10"/>
      <c r="D361" s="13"/>
    </row>
    <row r="362">
      <c r="A362" s="10"/>
      <c r="B362" s="13"/>
      <c r="C362" s="10"/>
      <c r="D362" s="13"/>
    </row>
    <row r="363">
      <c r="A363" s="10"/>
      <c r="B363" s="13"/>
      <c r="C363" s="10"/>
      <c r="D363" s="13"/>
    </row>
    <row r="364">
      <c r="A364" s="10"/>
      <c r="B364" s="13"/>
      <c r="C364" s="10"/>
      <c r="D364" s="13"/>
    </row>
    <row r="365">
      <c r="A365" s="10"/>
      <c r="B365" s="13"/>
      <c r="C365" s="10"/>
      <c r="D365" s="13"/>
    </row>
    <row r="366">
      <c r="A366" s="10"/>
      <c r="B366" s="13"/>
      <c r="C366" s="10"/>
      <c r="D366" s="13"/>
    </row>
    <row r="367">
      <c r="A367" s="10"/>
      <c r="B367" s="13"/>
      <c r="C367" s="10"/>
      <c r="D367" s="13"/>
    </row>
    <row r="368">
      <c r="A368" s="10"/>
      <c r="B368" s="13"/>
      <c r="C368" s="10"/>
      <c r="D368" s="13"/>
    </row>
    <row r="369">
      <c r="A369" s="10"/>
      <c r="B369" s="13"/>
      <c r="C369" s="10"/>
      <c r="D369" s="13"/>
    </row>
    <row r="370">
      <c r="A370" s="10"/>
      <c r="B370" s="13"/>
      <c r="C370" s="10"/>
      <c r="D370" s="13"/>
    </row>
    <row r="371">
      <c r="A371" s="10"/>
      <c r="B371" s="13"/>
      <c r="C371" s="10"/>
      <c r="D371" s="13"/>
    </row>
    <row r="372">
      <c r="A372" s="10"/>
      <c r="B372" s="13"/>
      <c r="C372" s="10"/>
      <c r="D372" s="13"/>
    </row>
    <row r="373">
      <c r="A373" s="10"/>
      <c r="B373" s="13"/>
      <c r="C373" s="10"/>
      <c r="D373" s="13"/>
    </row>
    <row r="374">
      <c r="A374" s="10"/>
      <c r="B374" s="13"/>
      <c r="C374" s="10"/>
      <c r="D374" s="13"/>
    </row>
    <row r="375">
      <c r="A375" s="10"/>
      <c r="B375" s="13"/>
      <c r="C375" s="10"/>
      <c r="D375" s="13"/>
    </row>
    <row r="376">
      <c r="A376" s="10"/>
      <c r="B376" s="13"/>
      <c r="C376" s="10"/>
      <c r="D376" s="13"/>
    </row>
    <row r="377">
      <c r="A377" s="10"/>
      <c r="B377" s="13"/>
      <c r="C377" s="10"/>
      <c r="D377" s="13"/>
    </row>
    <row r="378">
      <c r="A378" s="10"/>
      <c r="B378" s="13"/>
      <c r="C378" s="10"/>
      <c r="D378" s="13"/>
    </row>
    <row r="379">
      <c r="A379" s="10"/>
      <c r="B379" s="13"/>
      <c r="C379" s="10"/>
      <c r="D379" s="13"/>
    </row>
    <row r="380">
      <c r="A380" s="10"/>
      <c r="B380" s="13"/>
      <c r="C380" s="10"/>
      <c r="D380" s="13"/>
    </row>
    <row r="381">
      <c r="A381" s="10"/>
      <c r="B381" s="13"/>
      <c r="C381" s="10"/>
      <c r="D381" s="13"/>
    </row>
    <row r="382">
      <c r="A382" s="10"/>
      <c r="B382" s="13"/>
      <c r="C382" s="10"/>
      <c r="D382" s="13"/>
    </row>
    <row r="383">
      <c r="A383" s="10"/>
      <c r="B383" s="13"/>
      <c r="C383" s="10"/>
      <c r="D383" s="13"/>
    </row>
    <row r="384">
      <c r="A384" s="10"/>
      <c r="B384" s="13"/>
      <c r="C384" s="10"/>
      <c r="D384" s="13"/>
    </row>
    <row r="385">
      <c r="A385" s="10"/>
      <c r="B385" s="13"/>
      <c r="C385" s="10"/>
      <c r="D385" s="13"/>
    </row>
    <row r="386">
      <c r="A386" s="10"/>
      <c r="B386" s="13"/>
      <c r="C386" s="10"/>
      <c r="D386" s="13"/>
    </row>
    <row r="387">
      <c r="A387" s="10"/>
      <c r="B387" s="13"/>
      <c r="C387" s="10"/>
      <c r="D387" s="13"/>
    </row>
    <row r="388">
      <c r="A388" s="10"/>
      <c r="B388" s="13"/>
      <c r="C388" s="10"/>
      <c r="D388" s="13"/>
    </row>
    <row r="389">
      <c r="A389" s="10"/>
      <c r="B389" s="13"/>
      <c r="C389" s="10"/>
      <c r="D389" s="13"/>
    </row>
    <row r="390">
      <c r="A390" s="10"/>
      <c r="B390" s="13"/>
      <c r="C390" s="10"/>
      <c r="D390" s="13"/>
    </row>
    <row r="391">
      <c r="A391" s="10"/>
      <c r="B391" s="13"/>
      <c r="C391" s="10"/>
      <c r="D391" s="13"/>
    </row>
    <row r="392">
      <c r="A392" s="10"/>
      <c r="B392" s="13"/>
      <c r="C392" s="10"/>
      <c r="D392" s="13"/>
    </row>
    <row r="393">
      <c r="A393" s="10"/>
      <c r="B393" s="13"/>
      <c r="C393" s="10"/>
      <c r="D393" s="13"/>
    </row>
    <row r="394">
      <c r="A394" s="10"/>
      <c r="B394" s="13"/>
      <c r="C394" s="10"/>
      <c r="D394" s="13"/>
    </row>
    <row r="395">
      <c r="A395" s="10"/>
      <c r="B395" s="13"/>
      <c r="C395" s="10"/>
      <c r="D395" s="13"/>
    </row>
    <row r="396">
      <c r="A396" s="10"/>
      <c r="B396" s="13"/>
      <c r="C396" s="10"/>
      <c r="D396" s="13"/>
    </row>
    <row r="397">
      <c r="A397" s="10"/>
      <c r="B397" s="13"/>
      <c r="C397" s="10"/>
      <c r="D397" s="13"/>
    </row>
    <row r="398">
      <c r="A398" s="10"/>
      <c r="B398" s="13"/>
      <c r="C398" s="10"/>
      <c r="D398" s="13"/>
    </row>
    <row r="399">
      <c r="A399" s="10"/>
      <c r="B399" s="13"/>
      <c r="C399" s="10"/>
      <c r="D399" s="13"/>
    </row>
    <row r="400">
      <c r="A400" s="10"/>
      <c r="B400" s="13"/>
      <c r="C400" s="10"/>
      <c r="D400" s="13"/>
    </row>
    <row r="401">
      <c r="A401" s="10"/>
      <c r="B401" s="13"/>
      <c r="C401" s="10"/>
      <c r="D401" s="13"/>
    </row>
    <row r="402">
      <c r="A402" s="10"/>
      <c r="B402" s="13"/>
      <c r="C402" s="10"/>
      <c r="D402" s="13"/>
    </row>
    <row r="403">
      <c r="A403" s="10"/>
      <c r="B403" s="13"/>
      <c r="C403" s="10"/>
      <c r="D403" s="13"/>
    </row>
    <row r="404">
      <c r="A404" s="10"/>
      <c r="B404" s="13"/>
      <c r="C404" s="10"/>
      <c r="D404" s="13"/>
    </row>
    <row r="405">
      <c r="A405" s="10"/>
      <c r="B405" s="13"/>
      <c r="C405" s="10"/>
      <c r="D405" s="13"/>
    </row>
    <row r="406">
      <c r="A406" s="10"/>
      <c r="B406" s="13"/>
      <c r="C406" s="10"/>
      <c r="D406" s="13"/>
    </row>
    <row r="407">
      <c r="A407" s="10"/>
      <c r="B407" s="13"/>
      <c r="C407" s="10"/>
      <c r="D407" s="13"/>
    </row>
    <row r="408">
      <c r="A408" s="10"/>
      <c r="B408" s="13"/>
      <c r="C408" s="10"/>
      <c r="D408" s="13"/>
    </row>
    <row r="409">
      <c r="A409" s="10"/>
      <c r="B409" s="13"/>
      <c r="C409" s="10"/>
      <c r="D409" s="13"/>
    </row>
    <row r="410">
      <c r="A410" s="10"/>
      <c r="B410" s="13"/>
      <c r="C410" s="10"/>
      <c r="D410" s="13"/>
    </row>
    <row r="411">
      <c r="A411" s="10"/>
      <c r="B411" s="13"/>
      <c r="C411" s="10"/>
      <c r="D411" s="13"/>
    </row>
    <row r="412">
      <c r="A412" s="10"/>
      <c r="B412" s="13"/>
      <c r="C412" s="10"/>
      <c r="D412" s="13"/>
    </row>
    <row r="413">
      <c r="A413" s="10"/>
      <c r="B413" s="13"/>
      <c r="C413" s="10"/>
      <c r="D413" s="13"/>
    </row>
    <row r="414">
      <c r="A414" s="10"/>
      <c r="B414" s="13"/>
      <c r="C414" s="10"/>
      <c r="D414" s="13"/>
    </row>
    <row r="415">
      <c r="A415" s="10"/>
      <c r="B415" s="13"/>
      <c r="C415" s="10"/>
      <c r="D415" s="13"/>
    </row>
    <row r="416">
      <c r="A416" s="10"/>
      <c r="B416" s="13"/>
      <c r="C416" s="10"/>
      <c r="D416" s="13"/>
    </row>
    <row r="417">
      <c r="A417" s="10"/>
      <c r="B417" s="13"/>
      <c r="C417" s="10"/>
      <c r="D417" s="13"/>
    </row>
    <row r="418">
      <c r="A418" s="10"/>
      <c r="B418" s="13"/>
      <c r="C418" s="10"/>
      <c r="D418" s="13"/>
    </row>
    <row r="419">
      <c r="A419" s="10"/>
      <c r="B419" s="13"/>
      <c r="C419" s="10"/>
      <c r="D419" s="13"/>
    </row>
    <row r="420">
      <c r="A420" s="10"/>
      <c r="B420" s="13"/>
      <c r="C420" s="10"/>
      <c r="D420" s="13"/>
    </row>
    <row r="421">
      <c r="A421" s="10"/>
      <c r="B421" s="13"/>
      <c r="C421" s="10"/>
      <c r="D421" s="13"/>
    </row>
    <row r="422">
      <c r="A422" s="10"/>
      <c r="B422" s="13"/>
      <c r="C422" s="10"/>
      <c r="D422" s="13"/>
    </row>
    <row r="423">
      <c r="A423" s="10"/>
      <c r="B423" s="13"/>
      <c r="C423" s="10"/>
      <c r="D423" s="13"/>
    </row>
    <row r="424">
      <c r="A424" s="10"/>
      <c r="B424" s="13"/>
      <c r="C424" s="10"/>
      <c r="D424" s="13"/>
    </row>
    <row r="425">
      <c r="A425" s="10"/>
      <c r="B425" s="13"/>
      <c r="C425" s="10"/>
      <c r="D425" s="13"/>
    </row>
    <row r="426">
      <c r="A426" s="10"/>
      <c r="B426" s="13"/>
      <c r="C426" s="10"/>
      <c r="D426" s="13"/>
    </row>
    <row r="427">
      <c r="A427" s="10"/>
      <c r="B427" s="13"/>
      <c r="C427" s="10"/>
      <c r="D427" s="13"/>
    </row>
    <row r="428">
      <c r="A428" s="10"/>
      <c r="B428" s="13"/>
      <c r="C428" s="10"/>
      <c r="D428" s="13"/>
    </row>
    <row r="429">
      <c r="A429" s="10"/>
      <c r="B429" s="13"/>
      <c r="C429" s="10"/>
      <c r="D429" s="13"/>
    </row>
    <row r="430">
      <c r="A430" s="10"/>
      <c r="B430" s="13"/>
      <c r="C430" s="10"/>
      <c r="D430" s="13"/>
    </row>
    <row r="431">
      <c r="A431" s="10"/>
      <c r="B431" s="13"/>
      <c r="C431" s="10"/>
      <c r="D431" s="13"/>
    </row>
    <row r="432">
      <c r="A432" s="10"/>
      <c r="B432" s="13"/>
      <c r="C432" s="10"/>
      <c r="D432" s="13"/>
    </row>
    <row r="433">
      <c r="A433" s="10"/>
      <c r="B433" s="13"/>
      <c r="C433" s="10"/>
      <c r="D433" s="13"/>
    </row>
    <row r="434">
      <c r="A434" s="10"/>
      <c r="B434" s="13"/>
      <c r="C434" s="10"/>
      <c r="D434" s="13"/>
    </row>
    <row r="435">
      <c r="A435" s="10"/>
      <c r="B435" s="13"/>
      <c r="C435" s="10"/>
      <c r="D435" s="13"/>
    </row>
    <row r="436">
      <c r="A436" s="10"/>
      <c r="B436" s="13"/>
      <c r="C436" s="10"/>
      <c r="D436" s="13"/>
    </row>
    <row r="437">
      <c r="A437" s="10"/>
      <c r="B437" s="13"/>
      <c r="C437" s="10"/>
      <c r="D437" s="13"/>
    </row>
    <row r="438">
      <c r="A438" s="10"/>
      <c r="B438" s="13"/>
      <c r="C438" s="10"/>
      <c r="D438" s="13"/>
    </row>
    <row r="439">
      <c r="A439" s="10"/>
      <c r="B439" s="13"/>
      <c r="C439" s="10"/>
      <c r="D439" s="13"/>
    </row>
    <row r="440">
      <c r="A440" s="10"/>
      <c r="B440" s="13"/>
      <c r="C440" s="10"/>
      <c r="D440" s="13"/>
    </row>
    <row r="441">
      <c r="A441" s="10"/>
      <c r="B441" s="13"/>
      <c r="C441" s="10"/>
      <c r="D441" s="13"/>
    </row>
    <row r="442">
      <c r="A442" s="10"/>
      <c r="B442" s="13"/>
      <c r="C442" s="10"/>
      <c r="D442" s="13"/>
    </row>
    <row r="443">
      <c r="A443" s="10"/>
      <c r="B443" s="13"/>
      <c r="C443" s="10"/>
      <c r="D443" s="13"/>
    </row>
    <row r="444">
      <c r="A444" s="10"/>
      <c r="B444" s="13"/>
      <c r="C444" s="10"/>
      <c r="D444" s="13"/>
    </row>
    <row r="445">
      <c r="A445" s="10"/>
      <c r="B445" s="13"/>
      <c r="C445" s="10"/>
      <c r="D445" s="13"/>
    </row>
    <row r="446">
      <c r="A446" s="10"/>
      <c r="B446" s="13"/>
      <c r="C446" s="10"/>
      <c r="D446" s="13"/>
    </row>
    <row r="447">
      <c r="A447" s="10"/>
      <c r="B447" s="13"/>
      <c r="C447" s="10"/>
      <c r="D447" s="13"/>
    </row>
    <row r="448">
      <c r="A448" s="10"/>
      <c r="B448" s="13"/>
      <c r="C448" s="10"/>
      <c r="D448" s="13"/>
    </row>
    <row r="449">
      <c r="A449" s="10"/>
      <c r="B449" s="13"/>
      <c r="C449" s="10"/>
      <c r="D449" s="13"/>
    </row>
    <row r="450">
      <c r="A450" s="10"/>
      <c r="B450" s="13"/>
      <c r="C450" s="10"/>
      <c r="D450" s="13"/>
    </row>
    <row r="451">
      <c r="A451" s="10"/>
      <c r="B451" s="13"/>
      <c r="C451" s="10"/>
      <c r="D451" s="13"/>
    </row>
    <row r="452">
      <c r="A452" s="10"/>
      <c r="B452" s="13"/>
      <c r="C452" s="10"/>
      <c r="D452" s="13"/>
    </row>
    <row r="453">
      <c r="A453" s="10"/>
      <c r="B453" s="13"/>
      <c r="C453" s="10"/>
      <c r="D453" s="13"/>
    </row>
    <row r="454">
      <c r="A454" s="10"/>
      <c r="B454" s="13"/>
      <c r="C454" s="10"/>
      <c r="D454" s="13"/>
    </row>
    <row r="455">
      <c r="A455" s="10"/>
      <c r="B455" s="13"/>
      <c r="C455" s="10"/>
      <c r="D455" s="13"/>
    </row>
    <row r="456">
      <c r="A456" s="10"/>
      <c r="B456" s="13"/>
      <c r="C456" s="10"/>
      <c r="D456" s="13"/>
    </row>
    <row r="457">
      <c r="A457" s="10"/>
      <c r="B457" s="13"/>
      <c r="C457" s="10"/>
      <c r="D457" s="13"/>
    </row>
    <row r="458">
      <c r="A458" s="10"/>
      <c r="B458" s="13"/>
      <c r="C458" s="10"/>
      <c r="D458" s="13"/>
    </row>
    <row r="459">
      <c r="A459" s="10"/>
      <c r="B459" s="13"/>
      <c r="C459" s="10"/>
      <c r="D459" s="13"/>
    </row>
    <row r="460">
      <c r="A460" s="10"/>
      <c r="B460" s="13"/>
      <c r="C460" s="10"/>
      <c r="D460" s="13"/>
    </row>
    <row r="461">
      <c r="A461" s="10"/>
      <c r="B461" s="13"/>
      <c r="C461" s="10"/>
      <c r="D461" s="13"/>
    </row>
    <row r="462">
      <c r="A462" s="10"/>
      <c r="B462" s="13"/>
      <c r="C462" s="10"/>
      <c r="D462" s="13"/>
    </row>
    <row r="463">
      <c r="A463" s="10"/>
      <c r="B463" s="13"/>
      <c r="C463" s="10"/>
      <c r="D463" s="13"/>
    </row>
    <row r="464">
      <c r="A464" s="10"/>
      <c r="B464" s="13"/>
      <c r="C464" s="10"/>
      <c r="D464" s="13"/>
    </row>
    <row r="465">
      <c r="A465" s="10"/>
      <c r="B465" s="13"/>
      <c r="C465" s="10"/>
      <c r="D465" s="13"/>
    </row>
    <row r="466">
      <c r="A466" s="10"/>
      <c r="B466" s="13"/>
      <c r="C466" s="10"/>
      <c r="D466" s="13"/>
    </row>
    <row r="467">
      <c r="A467" s="10"/>
      <c r="B467" s="13"/>
      <c r="C467" s="10"/>
      <c r="D467" s="13"/>
    </row>
    <row r="468">
      <c r="A468" s="10"/>
      <c r="B468" s="13"/>
      <c r="C468" s="10"/>
      <c r="D468" s="13"/>
    </row>
    <row r="469">
      <c r="A469" s="10"/>
      <c r="B469" s="13"/>
      <c r="C469" s="10"/>
      <c r="D469" s="13"/>
    </row>
    <row r="470">
      <c r="A470" s="10"/>
      <c r="B470" s="13"/>
      <c r="C470" s="10"/>
      <c r="D470" s="13"/>
    </row>
    <row r="471">
      <c r="A471" s="10"/>
      <c r="B471" s="13"/>
      <c r="C471" s="10"/>
      <c r="D471" s="13"/>
    </row>
    <row r="472">
      <c r="A472" s="10"/>
      <c r="B472" s="13"/>
      <c r="C472" s="10"/>
      <c r="D472" s="13"/>
    </row>
    <row r="473">
      <c r="A473" s="10"/>
      <c r="B473" s="13"/>
      <c r="C473" s="10"/>
      <c r="D473" s="13"/>
    </row>
    <row r="474">
      <c r="A474" s="10"/>
      <c r="B474" s="13"/>
      <c r="C474" s="10"/>
      <c r="D474" s="13"/>
    </row>
    <row r="475">
      <c r="A475" s="10"/>
      <c r="B475" s="13"/>
      <c r="C475" s="10"/>
      <c r="D475" s="13"/>
    </row>
    <row r="476">
      <c r="A476" s="10"/>
      <c r="B476" s="13"/>
      <c r="C476" s="10"/>
      <c r="D476" s="13"/>
    </row>
    <row r="477">
      <c r="A477" s="10"/>
      <c r="B477" s="13"/>
      <c r="C477" s="10"/>
      <c r="D477" s="13"/>
    </row>
    <row r="478">
      <c r="A478" s="10"/>
      <c r="B478" s="13"/>
      <c r="C478" s="10"/>
      <c r="D478" s="13"/>
    </row>
    <row r="479">
      <c r="A479" s="10"/>
      <c r="B479" s="13"/>
      <c r="C479" s="10"/>
      <c r="D479" s="13"/>
    </row>
    <row r="480">
      <c r="A480" s="10"/>
      <c r="B480" s="13"/>
      <c r="C480" s="10"/>
      <c r="D480" s="13"/>
    </row>
    <row r="481">
      <c r="A481" s="10"/>
      <c r="B481" s="13"/>
      <c r="C481" s="10"/>
      <c r="D481" s="13"/>
    </row>
    <row r="482">
      <c r="A482" s="10"/>
      <c r="B482" s="13"/>
      <c r="C482" s="10"/>
      <c r="D482" s="13"/>
    </row>
    <row r="483">
      <c r="A483" s="10"/>
      <c r="B483" s="13"/>
      <c r="C483" s="10"/>
      <c r="D483" s="13"/>
    </row>
    <row r="484">
      <c r="A484" s="10"/>
      <c r="B484" s="13"/>
      <c r="C484" s="10"/>
      <c r="D484" s="13"/>
    </row>
    <row r="485">
      <c r="A485" s="10"/>
      <c r="B485" s="13"/>
      <c r="C485" s="10"/>
      <c r="D485" s="13"/>
    </row>
    <row r="486">
      <c r="A486" s="10"/>
      <c r="B486" s="13"/>
      <c r="C486" s="10"/>
      <c r="D486" s="13"/>
    </row>
    <row r="487">
      <c r="A487" s="10"/>
      <c r="B487" s="13"/>
      <c r="C487" s="10"/>
      <c r="D487" s="13"/>
    </row>
    <row r="488">
      <c r="A488" s="10"/>
      <c r="B488" s="13"/>
      <c r="C488" s="10"/>
      <c r="D488" s="13"/>
    </row>
    <row r="489">
      <c r="A489" s="10"/>
      <c r="B489" s="13"/>
      <c r="C489" s="10"/>
      <c r="D489" s="13"/>
    </row>
    <row r="490">
      <c r="A490" s="10"/>
      <c r="B490" s="13"/>
      <c r="C490" s="10"/>
      <c r="D490" s="13"/>
    </row>
    <row r="491">
      <c r="A491" s="10"/>
      <c r="B491" s="13"/>
      <c r="C491" s="10"/>
      <c r="D491" s="13"/>
    </row>
    <row r="492">
      <c r="A492" s="10"/>
      <c r="B492" s="13"/>
      <c r="C492" s="10"/>
      <c r="D492" s="13"/>
    </row>
    <row r="493">
      <c r="A493" s="10"/>
      <c r="B493" s="13"/>
      <c r="C493" s="10"/>
      <c r="D493" s="13"/>
    </row>
    <row r="494">
      <c r="A494" s="10"/>
      <c r="B494" s="13"/>
      <c r="C494" s="10"/>
      <c r="D494" s="13"/>
    </row>
    <row r="495">
      <c r="A495" s="10"/>
      <c r="B495" s="13"/>
      <c r="C495" s="10"/>
      <c r="D495" s="13"/>
    </row>
    <row r="496">
      <c r="A496" s="10"/>
      <c r="B496" s="13"/>
      <c r="C496" s="10"/>
      <c r="D496" s="13"/>
    </row>
    <row r="497">
      <c r="A497" s="10"/>
      <c r="B497" s="13"/>
      <c r="C497" s="10"/>
      <c r="D497" s="13"/>
    </row>
    <row r="498">
      <c r="A498" s="10"/>
      <c r="B498" s="13"/>
      <c r="C498" s="10"/>
      <c r="D498" s="13"/>
    </row>
    <row r="499">
      <c r="A499" s="10"/>
      <c r="B499" s="13"/>
      <c r="C499" s="10"/>
      <c r="D499" s="13"/>
    </row>
    <row r="500">
      <c r="A500" s="10"/>
      <c r="B500" s="13"/>
      <c r="C500" s="10"/>
      <c r="D500" s="13"/>
    </row>
    <row r="501">
      <c r="A501" s="10"/>
      <c r="B501" s="13"/>
      <c r="C501" s="10"/>
      <c r="D501" s="13"/>
    </row>
    <row r="502">
      <c r="A502" s="10"/>
      <c r="B502" s="13"/>
      <c r="C502" s="10"/>
      <c r="D502" s="13"/>
    </row>
    <row r="503">
      <c r="A503" s="10"/>
      <c r="B503" s="13"/>
      <c r="C503" s="10"/>
      <c r="D503" s="13"/>
    </row>
    <row r="504">
      <c r="A504" s="10"/>
      <c r="B504" s="13"/>
      <c r="C504" s="10"/>
      <c r="D504" s="13"/>
    </row>
    <row r="505">
      <c r="A505" s="10"/>
      <c r="B505" s="13"/>
      <c r="C505" s="10"/>
      <c r="D505" s="13"/>
    </row>
    <row r="506">
      <c r="A506" s="10"/>
      <c r="B506" s="13"/>
      <c r="C506" s="10"/>
      <c r="D506" s="13"/>
    </row>
    <row r="507">
      <c r="A507" s="10"/>
      <c r="B507" s="13"/>
      <c r="C507" s="10"/>
      <c r="D507" s="13"/>
    </row>
    <row r="508">
      <c r="A508" s="10"/>
      <c r="B508" s="13"/>
      <c r="C508" s="10"/>
      <c r="D508" s="13"/>
    </row>
    <row r="509">
      <c r="A509" s="10"/>
      <c r="B509" s="13"/>
      <c r="C509" s="10"/>
      <c r="D509" s="13"/>
    </row>
    <row r="510">
      <c r="A510" s="10"/>
      <c r="B510" s="13"/>
      <c r="C510" s="10"/>
      <c r="D510" s="13"/>
    </row>
    <row r="511">
      <c r="A511" s="10"/>
      <c r="B511" s="13"/>
      <c r="C511" s="10"/>
      <c r="D511" s="13"/>
    </row>
    <row r="512">
      <c r="A512" s="10"/>
      <c r="B512" s="13"/>
      <c r="C512" s="10"/>
      <c r="D512" s="13"/>
    </row>
    <row r="513">
      <c r="A513" s="10"/>
      <c r="B513" s="13"/>
      <c r="C513" s="10"/>
      <c r="D513" s="13"/>
    </row>
    <row r="514">
      <c r="A514" s="10"/>
      <c r="B514" s="13"/>
      <c r="C514" s="10"/>
      <c r="D514" s="13"/>
    </row>
    <row r="515">
      <c r="A515" s="10"/>
      <c r="B515" s="13"/>
      <c r="C515" s="10"/>
      <c r="D515" s="13"/>
    </row>
    <row r="516">
      <c r="A516" s="10"/>
      <c r="B516" s="13"/>
      <c r="C516" s="10"/>
      <c r="D516" s="13"/>
    </row>
    <row r="517">
      <c r="A517" s="10"/>
      <c r="B517" s="13"/>
      <c r="C517" s="10"/>
      <c r="D517" s="13"/>
    </row>
    <row r="518">
      <c r="A518" s="10"/>
      <c r="B518" s="13"/>
      <c r="C518" s="10"/>
      <c r="D518" s="13"/>
    </row>
    <row r="519">
      <c r="A519" s="10"/>
      <c r="B519" s="13"/>
      <c r="C519" s="10"/>
      <c r="D519" s="13"/>
    </row>
    <row r="520">
      <c r="A520" s="10"/>
      <c r="B520" s="13"/>
      <c r="C520" s="10"/>
      <c r="D520" s="13"/>
    </row>
    <row r="521">
      <c r="A521" s="10"/>
      <c r="B521" s="13"/>
      <c r="C521" s="10"/>
      <c r="D521" s="13"/>
    </row>
    <row r="522">
      <c r="A522" s="10"/>
      <c r="B522" s="13"/>
      <c r="C522" s="10"/>
      <c r="D522" s="13"/>
    </row>
    <row r="523">
      <c r="A523" s="10"/>
      <c r="B523" s="13"/>
      <c r="C523" s="10"/>
      <c r="D523" s="13"/>
    </row>
    <row r="524">
      <c r="A524" s="10"/>
      <c r="B524" s="13"/>
      <c r="C524" s="10"/>
      <c r="D524" s="13"/>
    </row>
    <row r="525">
      <c r="A525" s="10"/>
      <c r="B525" s="13"/>
      <c r="C525" s="10"/>
      <c r="D525" s="13"/>
    </row>
    <row r="526">
      <c r="A526" s="10"/>
      <c r="B526" s="13"/>
      <c r="C526" s="10"/>
      <c r="D526" s="13"/>
    </row>
    <row r="527">
      <c r="A527" s="10"/>
      <c r="B527" s="13"/>
      <c r="C527" s="10"/>
      <c r="D527" s="13"/>
    </row>
    <row r="528">
      <c r="A528" s="10"/>
      <c r="B528" s="13"/>
      <c r="C528" s="10"/>
      <c r="D528" s="13"/>
    </row>
    <row r="529">
      <c r="A529" s="10"/>
      <c r="B529" s="13"/>
      <c r="C529" s="10"/>
      <c r="D529" s="13"/>
    </row>
    <row r="530">
      <c r="A530" s="10"/>
      <c r="B530" s="13"/>
      <c r="C530" s="10"/>
      <c r="D530" s="13"/>
    </row>
    <row r="531">
      <c r="A531" s="10"/>
      <c r="B531" s="13"/>
      <c r="C531" s="10"/>
      <c r="D531" s="13"/>
    </row>
    <row r="532">
      <c r="A532" s="10"/>
      <c r="B532" s="13"/>
      <c r="C532" s="10"/>
      <c r="D532" s="13"/>
    </row>
    <row r="533">
      <c r="A533" s="10"/>
      <c r="B533" s="13"/>
      <c r="C533" s="10"/>
      <c r="D533" s="13"/>
    </row>
    <row r="534">
      <c r="A534" s="10"/>
      <c r="B534" s="13"/>
      <c r="C534" s="10"/>
      <c r="D534" s="13"/>
    </row>
    <row r="535">
      <c r="A535" s="10"/>
      <c r="B535" s="13"/>
      <c r="C535" s="10"/>
      <c r="D535" s="13"/>
    </row>
    <row r="536">
      <c r="A536" s="10"/>
      <c r="B536" s="13"/>
      <c r="C536" s="10"/>
      <c r="D536" s="13"/>
    </row>
    <row r="537">
      <c r="A537" s="10"/>
      <c r="B537" s="13"/>
      <c r="C537" s="10"/>
      <c r="D537" s="13"/>
    </row>
    <row r="538">
      <c r="A538" s="10"/>
      <c r="B538" s="13"/>
      <c r="C538" s="10"/>
      <c r="D538" s="13"/>
    </row>
    <row r="539">
      <c r="A539" s="10"/>
      <c r="B539" s="13"/>
      <c r="C539" s="10"/>
      <c r="D539" s="13"/>
    </row>
    <row r="540">
      <c r="A540" s="10"/>
      <c r="B540" s="13"/>
      <c r="C540" s="10"/>
      <c r="D540" s="13"/>
    </row>
    <row r="541">
      <c r="A541" s="10"/>
      <c r="B541" s="13"/>
      <c r="C541" s="10"/>
      <c r="D541" s="13"/>
    </row>
    <row r="542">
      <c r="A542" s="10"/>
      <c r="B542" s="13"/>
      <c r="C542" s="10"/>
      <c r="D542" s="13"/>
    </row>
    <row r="543">
      <c r="A543" s="10"/>
      <c r="B543" s="13"/>
      <c r="C543" s="10"/>
      <c r="D543" s="13"/>
    </row>
    <row r="544">
      <c r="A544" s="10"/>
      <c r="B544" s="13"/>
      <c r="C544" s="10"/>
      <c r="D544" s="13"/>
    </row>
    <row r="545">
      <c r="A545" s="10"/>
      <c r="B545" s="13"/>
      <c r="C545" s="10"/>
      <c r="D545" s="13"/>
    </row>
    <row r="546">
      <c r="A546" s="10"/>
      <c r="B546" s="13"/>
      <c r="C546" s="10"/>
      <c r="D546" s="13"/>
    </row>
    <row r="547">
      <c r="A547" s="10"/>
      <c r="B547" s="13"/>
      <c r="C547" s="10"/>
      <c r="D547" s="13"/>
    </row>
    <row r="548">
      <c r="A548" s="10"/>
      <c r="B548" s="13"/>
      <c r="C548" s="10"/>
      <c r="D548" s="13"/>
    </row>
    <row r="549">
      <c r="A549" s="10"/>
      <c r="B549" s="13"/>
      <c r="C549" s="10"/>
      <c r="D549" s="13"/>
    </row>
    <row r="550">
      <c r="A550" s="10"/>
      <c r="B550" s="13"/>
      <c r="C550" s="10"/>
      <c r="D550" s="13"/>
    </row>
    <row r="551">
      <c r="A551" s="10"/>
      <c r="B551" s="13"/>
      <c r="C551" s="10"/>
      <c r="D551" s="13"/>
    </row>
    <row r="552">
      <c r="A552" s="10"/>
      <c r="B552" s="13"/>
      <c r="C552" s="10"/>
      <c r="D552" s="13"/>
    </row>
    <row r="553">
      <c r="A553" s="10"/>
      <c r="B553" s="13"/>
      <c r="C553" s="10"/>
      <c r="D553" s="13"/>
    </row>
    <row r="554">
      <c r="A554" s="10"/>
      <c r="B554" s="13"/>
      <c r="C554" s="10"/>
      <c r="D554" s="13"/>
    </row>
    <row r="555">
      <c r="A555" s="10"/>
      <c r="B555" s="13"/>
      <c r="C555" s="10"/>
      <c r="D555" s="13"/>
    </row>
    <row r="556">
      <c r="A556" s="10"/>
      <c r="B556" s="13"/>
      <c r="C556" s="10"/>
      <c r="D556" s="13"/>
    </row>
    <row r="557">
      <c r="A557" s="10"/>
      <c r="B557" s="13"/>
      <c r="C557" s="10"/>
      <c r="D557" s="13"/>
    </row>
    <row r="558">
      <c r="A558" s="10"/>
      <c r="B558" s="13"/>
      <c r="C558" s="10"/>
      <c r="D558" s="13"/>
    </row>
    <row r="559">
      <c r="A559" s="10"/>
      <c r="B559" s="13"/>
      <c r="C559" s="10"/>
      <c r="D559" s="13"/>
    </row>
    <row r="560">
      <c r="A560" s="10"/>
      <c r="B560" s="13"/>
      <c r="C560" s="10"/>
      <c r="D560" s="13"/>
    </row>
    <row r="561">
      <c r="A561" s="10"/>
      <c r="B561" s="13"/>
      <c r="C561" s="10"/>
      <c r="D561" s="13"/>
    </row>
    <row r="562">
      <c r="A562" s="10"/>
      <c r="B562" s="13"/>
      <c r="C562" s="10"/>
      <c r="D562" s="13"/>
    </row>
    <row r="563">
      <c r="A563" s="10"/>
      <c r="B563" s="13"/>
      <c r="C563" s="10"/>
      <c r="D563" s="13"/>
    </row>
    <row r="564">
      <c r="A564" s="10"/>
      <c r="B564" s="13"/>
      <c r="C564" s="10"/>
      <c r="D564" s="13"/>
    </row>
    <row r="565">
      <c r="A565" s="10"/>
      <c r="B565" s="13"/>
      <c r="C565" s="10"/>
      <c r="D565" s="13"/>
    </row>
    <row r="566">
      <c r="A566" s="10"/>
      <c r="B566" s="13"/>
      <c r="C566" s="10"/>
      <c r="D566" s="13"/>
    </row>
    <row r="567">
      <c r="A567" s="10"/>
      <c r="B567" s="13"/>
      <c r="C567" s="10"/>
      <c r="D567" s="13"/>
    </row>
    <row r="568">
      <c r="A568" s="10"/>
      <c r="B568" s="13"/>
      <c r="C568" s="10"/>
      <c r="D568" s="13"/>
    </row>
    <row r="569">
      <c r="A569" s="10"/>
      <c r="B569" s="13"/>
      <c r="C569" s="10"/>
      <c r="D569" s="13"/>
    </row>
    <row r="570">
      <c r="A570" s="10"/>
      <c r="B570" s="13"/>
      <c r="C570" s="10"/>
      <c r="D570" s="13"/>
    </row>
    <row r="571">
      <c r="A571" s="10"/>
      <c r="B571" s="13"/>
      <c r="C571" s="10"/>
      <c r="D571" s="13"/>
    </row>
    <row r="572">
      <c r="A572" s="10"/>
      <c r="B572" s="13"/>
      <c r="C572" s="10"/>
      <c r="D572" s="13"/>
    </row>
    <row r="573">
      <c r="A573" s="10"/>
      <c r="B573" s="13"/>
      <c r="C573" s="10"/>
      <c r="D573" s="13"/>
    </row>
    <row r="574">
      <c r="A574" s="10"/>
      <c r="B574" s="13"/>
      <c r="C574" s="10"/>
      <c r="D574" s="13"/>
    </row>
    <row r="575">
      <c r="A575" s="10"/>
      <c r="B575" s="13"/>
      <c r="C575" s="10"/>
      <c r="D575" s="13"/>
    </row>
    <row r="576">
      <c r="A576" s="10"/>
      <c r="B576" s="13"/>
      <c r="C576" s="10"/>
      <c r="D576" s="13"/>
    </row>
    <row r="577">
      <c r="A577" s="10"/>
      <c r="B577" s="13"/>
      <c r="C577" s="10"/>
      <c r="D577" s="13"/>
    </row>
    <row r="578">
      <c r="A578" s="10"/>
      <c r="B578" s="13"/>
      <c r="C578" s="10"/>
      <c r="D578" s="13"/>
    </row>
    <row r="579">
      <c r="A579" s="10"/>
      <c r="B579" s="13"/>
      <c r="C579" s="10"/>
      <c r="D579" s="13"/>
    </row>
    <row r="580">
      <c r="A580" s="10"/>
      <c r="B580" s="13"/>
      <c r="C580" s="10"/>
      <c r="D580" s="13"/>
    </row>
    <row r="581">
      <c r="A581" s="10"/>
      <c r="B581" s="13"/>
      <c r="C581" s="10"/>
      <c r="D581" s="13"/>
    </row>
    <row r="582">
      <c r="A582" s="10"/>
      <c r="B582" s="13"/>
      <c r="C582" s="10"/>
      <c r="D582" s="13"/>
    </row>
    <row r="583">
      <c r="A583" s="10"/>
      <c r="B583" s="13"/>
      <c r="C583" s="10"/>
      <c r="D583" s="13"/>
    </row>
    <row r="584">
      <c r="A584" s="10"/>
      <c r="B584" s="13"/>
      <c r="C584" s="10"/>
      <c r="D584" s="13"/>
    </row>
    <row r="585">
      <c r="A585" s="10"/>
      <c r="B585" s="13"/>
      <c r="C585" s="10"/>
      <c r="D585" s="13"/>
    </row>
    <row r="586">
      <c r="A586" s="10"/>
      <c r="B586" s="13"/>
      <c r="C586" s="10"/>
      <c r="D586" s="13"/>
    </row>
    <row r="587">
      <c r="A587" s="10"/>
      <c r="B587" s="13"/>
      <c r="C587" s="10"/>
      <c r="D587" s="13"/>
    </row>
    <row r="588">
      <c r="A588" s="10"/>
      <c r="B588" s="13"/>
      <c r="C588" s="10"/>
      <c r="D588" s="13"/>
    </row>
    <row r="589">
      <c r="A589" s="10"/>
      <c r="B589" s="13"/>
      <c r="C589" s="10"/>
      <c r="D589" s="13"/>
    </row>
    <row r="590">
      <c r="A590" s="10"/>
      <c r="B590" s="13"/>
      <c r="C590" s="10"/>
      <c r="D590" s="13"/>
    </row>
    <row r="591">
      <c r="A591" s="10"/>
      <c r="B591" s="13"/>
      <c r="C591" s="10"/>
      <c r="D591" s="13"/>
    </row>
    <row r="592">
      <c r="A592" s="10"/>
      <c r="B592" s="13"/>
      <c r="C592" s="10"/>
      <c r="D592" s="13"/>
    </row>
    <row r="593">
      <c r="A593" s="10"/>
      <c r="B593" s="13"/>
      <c r="C593" s="10"/>
      <c r="D593" s="13"/>
    </row>
    <row r="594">
      <c r="A594" s="10"/>
      <c r="B594" s="13"/>
      <c r="C594" s="10"/>
      <c r="D594" s="13"/>
    </row>
    <row r="595">
      <c r="A595" s="10"/>
      <c r="B595" s="13"/>
      <c r="C595" s="10"/>
      <c r="D595" s="13"/>
    </row>
    <row r="596">
      <c r="A596" s="10"/>
      <c r="B596" s="13"/>
      <c r="C596" s="10"/>
      <c r="D596" s="13"/>
    </row>
    <row r="597">
      <c r="A597" s="10"/>
      <c r="B597" s="13"/>
      <c r="C597" s="10"/>
      <c r="D597" s="13"/>
    </row>
    <row r="598">
      <c r="A598" s="10"/>
      <c r="B598" s="13"/>
      <c r="C598" s="10"/>
      <c r="D598" s="13"/>
    </row>
    <row r="599">
      <c r="A599" s="10"/>
      <c r="B599" s="13"/>
      <c r="C599" s="10"/>
      <c r="D599" s="13"/>
    </row>
    <row r="600">
      <c r="A600" s="10"/>
      <c r="B600" s="13"/>
      <c r="C600" s="10"/>
      <c r="D600" s="13"/>
    </row>
    <row r="601">
      <c r="A601" s="10"/>
      <c r="B601" s="13"/>
      <c r="C601" s="10"/>
      <c r="D601" s="13"/>
    </row>
    <row r="602">
      <c r="A602" s="10"/>
      <c r="B602" s="13"/>
      <c r="C602" s="10"/>
      <c r="D602" s="13"/>
    </row>
    <row r="603">
      <c r="A603" s="10"/>
      <c r="B603" s="13"/>
      <c r="C603" s="10"/>
      <c r="D603" s="13"/>
    </row>
    <row r="604">
      <c r="A604" s="10"/>
      <c r="B604" s="13"/>
      <c r="C604" s="10"/>
      <c r="D604" s="13"/>
    </row>
    <row r="605">
      <c r="A605" s="10"/>
      <c r="B605" s="13"/>
      <c r="C605" s="10"/>
      <c r="D605" s="13"/>
    </row>
    <row r="606">
      <c r="A606" s="10"/>
      <c r="B606" s="13"/>
      <c r="C606" s="10"/>
      <c r="D606" s="13"/>
    </row>
    <row r="607">
      <c r="A607" s="10"/>
      <c r="B607" s="13"/>
      <c r="C607" s="10"/>
      <c r="D607" s="13"/>
    </row>
    <row r="608">
      <c r="A608" s="10"/>
      <c r="B608" s="13"/>
      <c r="C608" s="10"/>
      <c r="D608" s="13"/>
    </row>
    <row r="609">
      <c r="A609" s="10"/>
      <c r="B609" s="13"/>
      <c r="C609" s="10"/>
      <c r="D609" s="13"/>
    </row>
    <row r="610">
      <c r="A610" s="10"/>
      <c r="B610" s="13"/>
      <c r="C610" s="10"/>
      <c r="D610" s="13"/>
    </row>
    <row r="611">
      <c r="A611" s="10"/>
      <c r="B611" s="13"/>
      <c r="C611" s="10"/>
      <c r="D611" s="13"/>
    </row>
    <row r="612">
      <c r="A612" s="10"/>
      <c r="B612" s="13"/>
      <c r="C612" s="10"/>
      <c r="D612" s="13"/>
    </row>
    <row r="613">
      <c r="A613" s="10"/>
      <c r="B613" s="13"/>
      <c r="C613" s="10"/>
      <c r="D613" s="13"/>
    </row>
    <row r="614">
      <c r="A614" s="10"/>
      <c r="B614" s="13"/>
      <c r="C614" s="10"/>
      <c r="D614" s="13"/>
    </row>
    <row r="615">
      <c r="A615" s="10"/>
      <c r="B615" s="13"/>
      <c r="C615" s="10"/>
      <c r="D615" s="13"/>
    </row>
    <row r="616">
      <c r="A616" s="10"/>
      <c r="B616" s="13"/>
      <c r="C616" s="10"/>
      <c r="D616" s="13"/>
    </row>
    <row r="617">
      <c r="A617" s="10"/>
      <c r="B617" s="13"/>
      <c r="C617" s="10"/>
      <c r="D617" s="13"/>
    </row>
    <row r="618">
      <c r="A618" s="10"/>
      <c r="B618" s="13"/>
      <c r="C618" s="10"/>
      <c r="D618" s="13"/>
    </row>
    <row r="619">
      <c r="A619" s="10"/>
      <c r="B619" s="13"/>
      <c r="C619" s="10"/>
      <c r="D619" s="13"/>
    </row>
    <row r="620">
      <c r="A620" s="10"/>
      <c r="B620" s="13"/>
      <c r="C620" s="10"/>
      <c r="D620" s="13"/>
    </row>
    <row r="621">
      <c r="A621" s="10"/>
      <c r="B621" s="13"/>
      <c r="C621" s="10"/>
      <c r="D621" s="13"/>
    </row>
    <row r="622">
      <c r="A622" s="10"/>
      <c r="B622" s="13"/>
      <c r="C622" s="10"/>
      <c r="D622" s="13"/>
    </row>
    <row r="623">
      <c r="A623" s="10"/>
      <c r="B623" s="13"/>
      <c r="C623" s="10"/>
      <c r="D623" s="13"/>
    </row>
    <row r="624">
      <c r="A624" s="10"/>
      <c r="B624" s="13"/>
      <c r="C624" s="10"/>
      <c r="D624" s="13"/>
    </row>
    <row r="625">
      <c r="A625" s="10"/>
      <c r="B625" s="13"/>
      <c r="C625" s="10"/>
      <c r="D625" s="13"/>
    </row>
    <row r="626">
      <c r="A626" s="10"/>
      <c r="B626" s="13"/>
      <c r="C626" s="10"/>
      <c r="D626" s="13"/>
    </row>
    <row r="627">
      <c r="A627" s="10"/>
      <c r="B627" s="13"/>
      <c r="C627" s="10"/>
      <c r="D627" s="13"/>
    </row>
    <row r="628">
      <c r="A628" s="10"/>
      <c r="B628" s="13"/>
      <c r="C628" s="10"/>
      <c r="D628" s="13"/>
    </row>
    <row r="629">
      <c r="A629" s="10"/>
      <c r="B629" s="13"/>
      <c r="C629" s="10"/>
      <c r="D629" s="13"/>
    </row>
    <row r="630">
      <c r="A630" s="10"/>
      <c r="B630" s="13"/>
      <c r="C630" s="10"/>
      <c r="D630" s="13"/>
    </row>
    <row r="631">
      <c r="A631" s="10"/>
      <c r="B631" s="13"/>
      <c r="C631" s="10"/>
      <c r="D631" s="13"/>
    </row>
    <row r="632">
      <c r="A632" s="10"/>
      <c r="B632" s="13"/>
      <c r="C632" s="10"/>
      <c r="D632" s="13"/>
    </row>
    <row r="633">
      <c r="A633" s="10"/>
      <c r="B633" s="13"/>
      <c r="C633" s="10"/>
      <c r="D633" s="13"/>
    </row>
    <row r="634">
      <c r="A634" s="10"/>
      <c r="B634" s="13"/>
      <c r="C634" s="10"/>
      <c r="D634" s="13"/>
    </row>
    <row r="635">
      <c r="A635" s="10"/>
      <c r="B635" s="13"/>
      <c r="C635" s="10"/>
      <c r="D635" s="13"/>
    </row>
    <row r="636">
      <c r="A636" s="10"/>
      <c r="B636" s="13"/>
      <c r="C636" s="10"/>
      <c r="D636" s="13"/>
    </row>
    <row r="637">
      <c r="A637" s="10"/>
      <c r="B637" s="13"/>
      <c r="C637" s="10"/>
      <c r="D637" s="13"/>
    </row>
    <row r="638">
      <c r="A638" s="10"/>
      <c r="B638" s="13"/>
      <c r="C638" s="10"/>
      <c r="D638" s="13"/>
    </row>
    <row r="639">
      <c r="A639" s="10"/>
      <c r="B639" s="13"/>
      <c r="C639" s="10"/>
      <c r="D639" s="13"/>
    </row>
    <row r="640">
      <c r="A640" s="10"/>
      <c r="B640" s="13"/>
      <c r="C640" s="10"/>
      <c r="D640" s="13"/>
    </row>
    <row r="641">
      <c r="A641" s="10"/>
      <c r="B641" s="13"/>
      <c r="C641" s="10"/>
      <c r="D641" s="13"/>
    </row>
    <row r="642">
      <c r="A642" s="10"/>
      <c r="B642" s="13"/>
      <c r="C642" s="10"/>
      <c r="D642" s="13"/>
    </row>
    <row r="643">
      <c r="A643" s="10"/>
      <c r="B643" s="13"/>
      <c r="C643" s="10"/>
      <c r="D643" s="13"/>
    </row>
    <row r="644">
      <c r="A644" s="10"/>
      <c r="B644" s="13"/>
      <c r="C644" s="10"/>
      <c r="D644" s="13"/>
    </row>
    <row r="645">
      <c r="A645" s="10"/>
      <c r="B645" s="13"/>
      <c r="C645" s="10"/>
      <c r="D645" s="13"/>
    </row>
    <row r="646">
      <c r="A646" s="10"/>
      <c r="B646" s="13"/>
      <c r="C646" s="10"/>
      <c r="D646" s="13"/>
    </row>
    <row r="647">
      <c r="A647" s="10"/>
      <c r="B647" s="13"/>
      <c r="C647" s="10"/>
      <c r="D647" s="13"/>
    </row>
    <row r="648">
      <c r="A648" s="10"/>
      <c r="B648" s="13"/>
      <c r="C648" s="10"/>
      <c r="D648" s="13"/>
    </row>
    <row r="649">
      <c r="A649" s="10"/>
      <c r="B649" s="13"/>
      <c r="C649" s="10"/>
      <c r="D649" s="13"/>
    </row>
    <row r="650">
      <c r="A650" s="10"/>
      <c r="B650" s="13"/>
      <c r="C650" s="10"/>
      <c r="D650" s="13"/>
    </row>
    <row r="651">
      <c r="A651" s="10"/>
      <c r="B651" s="13"/>
      <c r="C651" s="10"/>
      <c r="D651" s="13"/>
    </row>
    <row r="652">
      <c r="A652" s="10"/>
      <c r="B652" s="13"/>
      <c r="C652" s="10"/>
      <c r="D652" s="13"/>
    </row>
    <row r="653">
      <c r="A653" s="10"/>
      <c r="B653" s="13"/>
      <c r="C653" s="10"/>
      <c r="D653" s="13"/>
    </row>
    <row r="654">
      <c r="A654" s="10"/>
      <c r="B654" s="13"/>
      <c r="C654" s="10"/>
      <c r="D654" s="13"/>
    </row>
    <row r="655">
      <c r="A655" s="10"/>
      <c r="B655" s="13"/>
      <c r="C655" s="10"/>
      <c r="D655" s="13"/>
    </row>
    <row r="656">
      <c r="A656" s="10"/>
      <c r="B656" s="13"/>
      <c r="C656" s="10"/>
      <c r="D656" s="13"/>
    </row>
    <row r="657">
      <c r="A657" s="10"/>
      <c r="B657" s="13"/>
      <c r="C657" s="10"/>
      <c r="D657" s="13"/>
    </row>
    <row r="658">
      <c r="A658" s="10"/>
      <c r="B658" s="13"/>
      <c r="C658" s="10"/>
      <c r="D658" s="13"/>
    </row>
    <row r="659">
      <c r="A659" s="10"/>
      <c r="B659" s="13"/>
      <c r="C659" s="10"/>
      <c r="D659" s="13"/>
    </row>
    <row r="660">
      <c r="A660" s="10"/>
      <c r="B660" s="13"/>
      <c r="C660" s="10"/>
      <c r="D660" s="13"/>
    </row>
    <row r="661">
      <c r="A661" s="10"/>
      <c r="B661" s="13"/>
      <c r="C661" s="10"/>
      <c r="D661" s="13"/>
    </row>
    <row r="662">
      <c r="A662" s="10"/>
      <c r="B662" s="13"/>
      <c r="C662" s="10"/>
      <c r="D662" s="13"/>
    </row>
    <row r="663">
      <c r="A663" s="10"/>
      <c r="B663" s="13"/>
      <c r="C663" s="10"/>
      <c r="D663" s="13"/>
    </row>
    <row r="664">
      <c r="A664" s="10"/>
      <c r="B664" s="13"/>
      <c r="C664" s="10"/>
      <c r="D664" s="13"/>
    </row>
    <row r="665">
      <c r="A665" s="10"/>
      <c r="B665" s="13"/>
      <c r="C665" s="10"/>
      <c r="D665" s="13"/>
    </row>
    <row r="666">
      <c r="A666" s="10"/>
      <c r="B666" s="13"/>
      <c r="C666" s="10"/>
      <c r="D666" s="13"/>
    </row>
    <row r="667">
      <c r="A667" s="10"/>
      <c r="B667" s="13"/>
      <c r="C667" s="10"/>
      <c r="D667" s="13"/>
    </row>
    <row r="668">
      <c r="A668" s="10"/>
      <c r="B668" s="13"/>
      <c r="C668" s="10"/>
      <c r="D668" s="13"/>
    </row>
    <row r="669">
      <c r="A669" s="10"/>
      <c r="B669" s="13"/>
      <c r="C669" s="10"/>
      <c r="D669" s="13"/>
    </row>
    <row r="670">
      <c r="A670" s="10"/>
      <c r="B670" s="13"/>
      <c r="C670" s="10"/>
      <c r="D670" s="13"/>
    </row>
    <row r="671">
      <c r="A671" s="10"/>
      <c r="B671" s="13"/>
      <c r="C671" s="10"/>
      <c r="D671" s="13"/>
    </row>
    <row r="672">
      <c r="A672" s="10"/>
      <c r="B672" s="13"/>
      <c r="C672" s="10"/>
      <c r="D672" s="13"/>
    </row>
    <row r="673">
      <c r="A673" s="10"/>
      <c r="B673" s="13"/>
      <c r="C673" s="10"/>
      <c r="D673" s="13"/>
    </row>
    <row r="674">
      <c r="A674" s="10"/>
      <c r="B674" s="13"/>
      <c r="C674" s="10"/>
      <c r="D674" s="13"/>
    </row>
    <row r="675">
      <c r="A675" s="10"/>
      <c r="B675" s="13"/>
      <c r="C675" s="10"/>
      <c r="D675" s="13"/>
    </row>
    <row r="676">
      <c r="A676" s="10"/>
      <c r="B676" s="13"/>
      <c r="C676" s="10"/>
      <c r="D676" s="13"/>
    </row>
    <row r="677">
      <c r="A677" s="10"/>
      <c r="B677" s="13"/>
      <c r="C677" s="10"/>
      <c r="D677" s="13"/>
    </row>
    <row r="678">
      <c r="A678" s="10"/>
      <c r="B678" s="13"/>
      <c r="C678" s="10"/>
      <c r="D678" s="13"/>
    </row>
    <row r="679">
      <c r="A679" s="10"/>
      <c r="B679" s="13"/>
      <c r="C679" s="10"/>
      <c r="D679" s="13"/>
    </row>
    <row r="680">
      <c r="A680" s="10"/>
      <c r="B680" s="13"/>
      <c r="C680" s="10"/>
      <c r="D680" s="13"/>
    </row>
    <row r="681">
      <c r="A681" s="10"/>
      <c r="B681" s="13"/>
      <c r="C681" s="10"/>
      <c r="D681" s="13"/>
    </row>
    <row r="682">
      <c r="A682" s="10"/>
      <c r="B682" s="13"/>
      <c r="C682" s="10"/>
      <c r="D682" s="13"/>
    </row>
    <row r="683">
      <c r="A683" s="10"/>
      <c r="B683" s="13"/>
      <c r="C683" s="10"/>
      <c r="D683" s="13"/>
    </row>
    <row r="684">
      <c r="A684" s="10"/>
      <c r="B684" s="13"/>
      <c r="C684" s="10"/>
      <c r="D684" s="13"/>
    </row>
    <row r="685">
      <c r="A685" s="10"/>
      <c r="B685" s="13"/>
      <c r="C685" s="10"/>
      <c r="D685" s="13"/>
    </row>
    <row r="686">
      <c r="A686" s="10"/>
      <c r="B686" s="13"/>
      <c r="C686" s="10"/>
      <c r="D686" s="13"/>
    </row>
    <row r="687">
      <c r="A687" s="10"/>
      <c r="B687" s="13"/>
      <c r="C687" s="10"/>
      <c r="D687" s="13"/>
    </row>
    <row r="688">
      <c r="A688" s="10"/>
      <c r="B688" s="13"/>
      <c r="C688" s="10"/>
      <c r="D688" s="13"/>
    </row>
    <row r="689">
      <c r="A689" s="10"/>
      <c r="B689" s="13"/>
      <c r="C689" s="10"/>
      <c r="D689" s="13"/>
    </row>
    <row r="690">
      <c r="A690" s="10"/>
      <c r="B690" s="13"/>
      <c r="C690" s="10"/>
      <c r="D690" s="13"/>
    </row>
    <row r="691">
      <c r="A691" s="10"/>
      <c r="B691" s="13"/>
      <c r="C691" s="10"/>
      <c r="D691" s="13"/>
    </row>
    <row r="692">
      <c r="A692" s="10"/>
      <c r="B692" s="13"/>
      <c r="C692" s="10"/>
      <c r="D692" s="13"/>
    </row>
    <row r="693">
      <c r="A693" s="10"/>
      <c r="B693" s="13"/>
      <c r="C693" s="10"/>
      <c r="D693" s="13"/>
    </row>
    <row r="694">
      <c r="A694" s="10"/>
      <c r="B694" s="13"/>
      <c r="C694" s="10"/>
      <c r="D694" s="13"/>
    </row>
    <row r="695">
      <c r="A695" s="10"/>
      <c r="B695" s="13"/>
      <c r="C695" s="10"/>
      <c r="D695" s="13"/>
    </row>
    <row r="696">
      <c r="A696" s="10"/>
      <c r="B696" s="13"/>
      <c r="C696" s="10"/>
      <c r="D696" s="13"/>
    </row>
    <row r="697">
      <c r="A697" s="10"/>
      <c r="B697" s="13"/>
      <c r="C697" s="10"/>
      <c r="D697" s="13"/>
    </row>
    <row r="698">
      <c r="A698" s="10"/>
      <c r="B698" s="13"/>
      <c r="C698" s="10"/>
      <c r="D698" s="13"/>
    </row>
    <row r="699">
      <c r="A699" s="10"/>
      <c r="B699" s="13"/>
      <c r="C699" s="10"/>
      <c r="D699" s="13"/>
    </row>
    <row r="700">
      <c r="A700" s="10"/>
      <c r="B700" s="13"/>
      <c r="C700" s="10"/>
      <c r="D700" s="13"/>
    </row>
    <row r="701">
      <c r="A701" s="10"/>
      <c r="B701" s="13"/>
      <c r="C701" s="10"/>
      <c r="D701" s="13"/>
    </row>
    <row r="702">
      <c r="A702" s="10"/>
      <c r="B702" s="13"/>
      <c r="C702" s="10"/>
      <c r="D702" s="13"/>
    </row>
    <row r="703">
      <c r="A703" s="10"/>
      <c r="B703" s="13"/>
      <c r="C703" s="10"/>
      <c r="D703" s="13"/>
    </row>
    <row r="704">
      <c r="A704" s="10"/>
      <c r="B704" s="13"/>
      <c r="C704" s="10"/>
      <c r="D704" s="13"/>
    </row>
    <row r="705">
      <c r="A705" s="10"/>
      <c r="B705" s="13"/>
      <c r="C705" s="10"/>
      <c r="D705" s="13"/>
    </row>
    <row r="706">
      <c r="A706" s="10"/>
      <c r="B706" s="13"/>
      <c r="C706" s="10"/>
      <c r="D706" s="13"/>
    </row>
    <row r="707">
      <c r="A707" s="10"/>
      <c r="B707" s="13"/>
      <c r="C707" s="10"/>
      <c r="D707" s="13"/>
    </row>
    <row r="708">
      <c r="A708" s="10"/>
      <c r="B708" s="13"/>
      <c r="C708" s="10"/>
      <c r="D708" s="13"/>
    </row>
    <row r="709">
      <c r="A709" s="10"/>
      <c r="B709" s="13"/>
      <c r="C709" s="10"/>
      <c r="D709" s="13"/>
    </row>
    <row r="710">
      <c r="A710" s="10"/>
      <c r="B710" s="13"/>
      <c r="C710" s="10"/>
      <c r="D710" s="13"/>
    </row>
    <row r="711">
      <c r="A711" s="10"/>
      <c r="B711" s="13"/>
      <c r="C711" s="10"/>
      <c r="D711" s="13"/>
    </row>
    <row r="712">
      <c r="A712" s="10"/>
      <c r="B712" s="13"/>
      <c r="C712" s="10"/>
      <c r="D712" s="13"/>
    </row>
    <row r="713">
      <c r="A713" s="10"/>
      <c r="B713" s="13"/>
      <c r="C713" s="10"/>
      <c r="D713" s="13"/>
    </row>
    <row r="714">
      <c r="A714" s="10"/>
      <c r="B714" s="13"/>
      <c r="C714" s="10"/>
      <c r="D714" s="13"/>
    </row>
    <row r="715">
      <c r="A715" s="10"/>
      <c r="B715" s="13"/>
      <c r="C715" s="10"/>
      <c r="D715" s="13"/>
    </row>
    <row r="716">
      <c r="A716" s="10"/>
      <c r="B716" s="13"/>
      <c r="C716" s="10"/>
      <c r="D716" s="13"/>
    </row>
    <row r="717">
      <c r="A717" s="10"/>
      <c r="B717" s="13"/>
      <c r="C717" s="10"/>
      <c r="D717" s="13"/>
    </row>
    <row r="718">
      <c r="A718" s="10"/>
      <c r="B718" s="13"/>
      <c r="C718" s="10"/>
      <c r="D718" s="13"/>
    </row>
    <row r="719">
      <c r="A719" s="10"/>
      <c r="B719" s="13"/>
      <c r="C719" s="10"/>
      <c r="D719" s="13"/>
    </row>
    <row r="720">
      <c r="A720" s="10"/>
      <c r="B720" s="13"/>
      <c r="C720" s="10"/>
      <c r="D720" s="13"/>
    </row>
    <row r="721">
      <c r="A721" s="10"/>
      <c r="B721" s="13"/>
      <c r="C721" s="10"/>
      <c r="D721" s="13"/>
    </row>
    <row r="722">
      <c r="A722" s="10"/>
      <c r="B722" s="13"/>
      <c r="C722" s="10"/>
      <c r="D722" s="13"/>
    </row>
    <row r="723">
      <c r="A723" s="10"/>
      <c r="B723" s="13"/>
      <c r="C723" s="10"/>
      <c r="D723" s="13"/>
    </row>
    <row r="724">
      <c r="A724" s="10"/>
      <c r="B724" s="13"/>
      <c r="C724" s="10"/>
      <c r="D724" s="13"/>
    </row>
    <row r="725">
      <c r="A725" s="10"/>
      <c r="B725" s="13"/>
      <c r="C725" s="10"/>
      <c r="D725" s="13"/>
    </row>
    <row r="726">
      <c r="A726" s="10"/>
      <c r="B726" s="13"/>
      <c r="C726" s="10"/>
      <c r="D726" s="13"/>
    </row>
    <row r="727">
      <c r="A727" s="10"/>
      <c r="B727" s="13"/>
      <c r="C727" s="10"/>
      <c r="D727" s="13"/>
    </row>
    <row r="728">
      <c r="A728" s="10"/>
      <c r="B728" s="13"/>
      <c r="C728" s="10"/>
      <c r="D728" s="13"/>
    </row>
    <row r="729">
      <c r="A729" s="10"/>
      <c r="B729" s="13"/>
      <c r="C729" s="10"/>
      <c r="D729" s="13"/>
    </row>
    <row r="730">
      <c r="A730" s="10"/>
      <c r="B730" s="13"/>
      <c r="C730" s="10"/>
      <c r="D730" s="13"/>
    </row>
    <row r="731">
      <c r="A731" s="10"/>
      <c r="B731" s="13"/>
      <c r="C731" s="10"/>
      <c r="D731" s="13"/>
    </row>
    <row r="732">
      <c r="A732" s="10"/>
      <c r="B732" s="13"/>
      <c r="C732" s="10"/>
      <c r="D732" s="13"/>
    </row>
    <row r="733">
      <c r="A733" s="10"/>
      <c r="B733" s="13"/>
      <c r="C733" s="10"/>
      <c r="D733" s="13"/>
    </row>
    <row r="734">
      <c r="A734" s="10"/>
      <c r="B734" s="13"/>
      <c r="C734" s="10"/>
      <c r="D734" s="13"/>
    </row>
    <row r="735">
      <c r="A735" s="10"/>
      <c r="B735" s="13"/>
      <c r="C735" s="10"/>
      <c r="D735" s="13"/>
    </row>
    <row r="736">
      <c r="A736" s="10"/>
      <c r="B736" s="13"/>
      <c r="C736" s="10"/>
      <c r="D736" s="13"/>
    </row>
    <row r="737">
      <c r="A737" s="10"/>
      <c r="B737" s="13"/>
      <c r="C737" s="10"/>
      <c r="D737" s="13"/>
    </row>
    <row r="738">
      <c r="A738" s="10"/>
      <c r="B738" s="13"/>
      <c r="C738" s="10"/>
      <c r="D738" s="13"/>
    </row>
    <row r="739">
      <c r="A739" s="10"/>
      <c r="B739" s="13"/>
      <c r="C739" s="10"/>
      <c r="D739" s="13"/>
    </row>
    <row r="740">
      <c r="A740" s="10"/>
      <c r="B740" s="13"/>
      <c r="C740" s="10"/>
      <c r="D740" s="13"/>
    </row>
    <row r="741">
      <c r="A741" s="10"/>
      <c r="B741" s="13"/>
      <c r="C741" s="10"/>
      <c r="D741" s="13"/>
    </row>
    <row r="742">
      <c r="A742" s="10"/>
      <c r="B742" s="13"/>
      <c r="C742" s="10"/>
      <c r="D742" s="13"/>
    </row>
    <row r="743">
      <c r="A743" s="10"/>
      <c r="B743" s="13"/>
      <c r="C743" s="10"/>
      <c r="D743" s="13"/>
    </row>
    <row r="744">
      <c r="A744" s="10"/>
      <c r="B744" s="13"/>
      <c r="C744" s="10"/>
      <c r="D744" s="13"/>
    </row>
    <row r="745">
      <c r="A745" s="10"/>
      <c r="B745" s="13"/>
      <c r="C745" s="10"/>
      <c r="D745" s="13"/>
    </row>
    <row r="746">
      <c r="A746" s="10"/>
      <c r="B746" s="13"/>
      <c r="C746" s="10"/>
      <c r="D746" s="13"/>
    </row>
    <row r="747">
      <c r="A747" s="10"/>
      <c r="B747" s="13"/>
      <c r="C747" s="10"/>
      <c r="D747" s="13"/>
    </row>
    <row r="748">
      <c r="A748" s="10"/>
      <c r="B748" s="13"/>
      <c r="C748" s="10"/>
      <c r="D748" s="13"/>
    </row>
    <row r="749">
      <c r="A749" s="10"/>
      <c r="B749" s="13"/>
      <c r="C749" s="10"/>
      <c r="D749" s="13"/>
    </row>
    <row r="750">
      <c r="A750" s="10"/>
      <c r="B750" s="13"/>
      <c r="C750" s="10"/>
      <c r="D750" s="13"/>
    </row>
    <row r="751">
      <c r="A751" s="10"/>
      <c r="B751" s="13"/>
      <c r="C751" s="10"/>
      <c r="D751" s="13"/>
    </row>
    <row r="752">
      <c r="A752" s="10"/>
      <c r="B752" s="13"/>
      <c r="C752" s="10"/>
      <c r="D752" s="13"/>
    </row>
    <row r="753">
      <c r="A753" s="10"/>
      <c r="B753" s="13"/>
      <c r="C753" s="10"/>
      <c r="D753" s="13"/>
    </row>
    <row r="754">
      <c r="A754" s="10"/>
      <c r="B754" s="13"/>
      <c r="C754" s="10"/>
      <c r="D754" s="13"/>
    </row>
    <row r="755">
      <c r="A755" s="10"/>
      <c r="B755" s="13"/>
      <c r="C755" s="10"/>
      <c r="D755" s="13"/>
    </row>
    <row r="756">
      <c r="A756" s="10"/>
      <c r="B756" s="13"/>
      <c r="C756" s="10"/>
      <c r="D756" s="13"/>
    </row>
    <row r="757">
      <c r="A757" s="10"/>
      <c r="B757" s="13"/>
      <c r="C757" s="10"/>
      <c r="D757" s="13"/>
    </row>
    <row r="758">
      <c r="A758" s="10"/>
      <c r="B758" s="13"/>
      <c r="C758" s="10"/>
      <c r="D758" s="13"/>
    </row>
    <row r="759">
      <c r="A759" s="10"/>
      <c r="B759" s="13"/>
      <c r="C759" s="10"/>
      <c r="D759" s="13"/>
    </row>
    <row r="760">
      <c r="A760" s="10"/>
      <c r="B760" s="13"/>
      <c r="C760" s="10"/>
      <c r="D760" s="13"/>
    </row>
    <row r="761">
      <c r="A761" s="10"/>
      <c r="B761" s="13"/>
      <c r="C761" s="10"/>
      <c r="D761" s="13"/>
    </row>
    <row r="762">
      <c r="A762" s="10"/>
      <c r="B762" s="13"/>
      <c r="C762" s="10"/>
      <c r="D762" s="13"/>
    </row>
    <row r="763">
      <c r="A763" s="10"/>
      <c r="B763" s="13"/>
      <c r="C763" s="10"/>
      <c r="D763" s="13"/>
    </row>
    <row r="764">
      <c r="A764" s="10"/>
      <c r="B764" s="13"/>
      <c r="C764" s="10"/>
      <c r="D764" s="13"/>
    </row>
    <row r="765">
      <c r="A765" s="10"/>
      <c r="B765" s="13"/>
      <c r="C765" s="10"/>
      <c r="D765" s="13"/>
    </row>
    <row r="766">
      <c r="A766" s="10"/>
      <c r="B766" s="13"/>
      <c r="C766" s="10"/>
      <c r="D766" s="13"/>
    </row>
    <row r="767">
      <c r="A767" s="10"/>
      <c r="B767" s="13"/>
      <c r="C767" s="10"/>
      <c r="D767" s="13"/>
    </row>
    <row r="768">
      <c r="A768" s="10"/>
      <c r="B768" s="13"/>
      <c r="C768" s="10"/>
      <c r="D768" s="13"/>
    </row>
    <row r="769">
      <c r="A769" s="10"/>
      <c r="B769" s="13"/>
      <c r="C769" s="10"/>
      <c r="D769" s="13"/>
    </row>
    <row r="770">
      <c r="A770" s="10"/>
      <c r="B770" s="13"/>
      <c r="C770" s="10"/>
      <c r="D770" s="13"/>
    </row>
    <row r="771">
      <c r="A771" s="10"/>
      <c r="B771" s="13"/>
      <c r="C771" s="10"/>
      <c r="D771" s="13"/>
    </row>
    <row r="772">
      <c r="A772" s="10"/>
      <c r="B772" s="13"/>
      <c r="C772" s="10"/>
      <c r="D772" s="13"/>
    </row>
    <row r="773">
      <c r="A773" s="10"/>
      <c r="B773" s="13"/>
      <c r="C773" s="10"/>
      <c r="D773" s="13"/>
    </row>
    <row r="774">
      <c r="A774" s="10"/>
      <c r="B774" s="13"/>
      <c r="C774" s="10"/>
      <c r="D774" s="13"/>
    </row>
    <row r="775">
      <c r="A775" s="10"/>
      <c r="B775" s="13"/>
      <c r="C775" s="10"/>
      <c r="D775" s="13"/>
    </row>
    <row r="776">
      <c r="A776" s="10"/>
      <c r="B776" s="13"/>
      <c r="C776" s="10"/>
      <c r="D776" s="13"/>
    </row>
    <row r="777">
      <c r="A777" s="10"/>
      <c r="B777" s="13"/>
      <c r="C777" s="10"/>
      <c r="D777" s="13"/>
    </row>
    <row r="778">
      <c r="A778" s="10"/>
      <c r="B778" s="13"/>
      <c r="C778" s="10"/>
      <c r="D778" s="13"/>
    </row>
    <row r="779">
      <c r="A779" s="10"/>
      <c r="B779" s="13"/>
      <c r="C779" s="10"/>
      <c r="D779" s="13"/>
    </row>
    <row r="780">
      <c r="A780" s="10"/>
      <c r="B780" s="13"/>
      <c r="C780" s="10"/>
      <c r="D780" s="13"/>
    </row>
    <row r="781">
      <c r="A781" s="10"/>
      <c r="B781" s="13"/>
      <c r="C781" s="10"/>
      <c r="D781" s="13"/>
    </row>
    <row r="782">
      <c r="A782" s="10"/>
      <c r="B782" s="13"/>
      <c r="C782" s="10"/>
      <c r="D782" s="13"/>
    </row>
    <row r="783">
      <c r="A783" s="10"/>
      <c r="B783" s="13"/>
      <c r="C783" s="10"/>
      <c r="D783" s="13"/>
    </row>
    <row r="784">
      <c r="A784" s="10"/>
      <c r="B784" s="13"/>
      <c r="C784" s="10"/>
      <c r="D784" s="13"/>
    </row>
    <row r="785">
      <c r="A785" s="10"/>
      <c r="B785" s="13"/>
      <c r="C785" s="10"/>
      <c r="D785" s="13"/>
    </row>
    <row r="786">
      <c r="A786" s="10"/>
      <c r="B786" s="13"/>
      <c r="C786" s="10"/>
      <c r="D786" s="13"/>
    </row>
    <row r="787">
      <c r="A787" s="10"/>
      <c r="B787" s="13"/>
      <c r="C787" s="10"/>
      <c r="D787" s="13"/>
    </row>
    <row r="788">
      <c r="A788" s="10"/>
      <c r="B788" s="13"/>
      <c r="C788" s="10"/>
      <c r="D788" s="13"/>
    </row>
    <row r="789">
      <c r="A789" s="10"/>
      <c r="B789" s="13"/>
      <c r="C789" s="10"/>
      <c r="D789" s="13"/>
    </row>
    <row r="790">
      <c r="A790" s="10"/>
      <c r="B790" s="13"/>
      <c r="C790" s="10"/>
      <c r="D790" s="13"/>
    </row>
    <row r="791">
      <c r="A791" s="10"/>
      <c r="B791" s="13"/>
      <c r="C791" s="10"/>
      <c r="D791" s="13"/>
    </row>
    <row r="792">
      <c r="A792" s="10"/>
      <c r="B792" s="13"/>
      <c r="C792" s="10"/>
      <c r="D792" s="13"/>
    </row>
    <row r="793">
      <c r="A793" s="10"/>
      <c r="B793" s="13"/>
      <c r="C793" s="10"/>
      <c r="D793" s="13"/>
    </row>
    <row r="794">
      <c r="A794" s="10"/>
      <c r="B794" s="13"/>
      <c r="C794" s="10"/>
      <c r="D794" s="13"/>
    </row>
    <row r="795">
      <c r="A795" s="10"/>
      <c r="B795" s="13"/>
      <c r="C795" s="10"/>
      <c r="D795" s="13"/>
    </row>
    <row r="796">
      <c r="A796" s="10"/>
      <c r="B796" s="13"/>
      <c r="C796" s="10"/>
      <c r="D796" s="13"/>
    </row>
    <row r="797">
      <c r="A797" s="10"/>
      <c r="B797" s="13"/>
      <c r="C797" s="10"/>
      <c r="D797" s="13"/>
    </row>
    <row r="798">
      <c r="A798" s="10"/>
      <c r="B798" s="13"/>
      <c r="C798" s="10"/>
      <c r="D798" s="13"/>
    </row>
    <row r="799">
      <c r="A799" s="10"/>
      <c r="B799" s="13"/>
      <c r="C799" s="10"/>
      <c r="D799" s="13"/>
    </row>
    <row r="800">
      <c r="A800" s="10"/>
      <c r="B800" s="13"/>
      <c r="C800" s="10"/>
      <c r="D800" s="13"/>
    </row>
    <row r="801">
      <c r="A801" s="10"/>
      <c r="B801" s="13"/>
      <c r="C801" s="10"/>
      <c r="D801" s="13"/>
    </row>
    <row r="802">
      <c r="A802" s="10"/>
      <c r="B802" s="13"/>
      <c r="C802" s="10"/>
      <c r="D802" s="13"/>
    </row>
    <row r="803">
      <c r="A803" s="10"/>
      <c r="B803" s="13"/>
      <c r="C803" s="10"/>
      <c r="D803" s="13"/>
    </row>
    <row r="804">
      <c r="A804" s="10"/>
      <c r="B804" s="13"/>
      <c r="C804" s="10"/>
      <c r="D804" s="13"/>
    </row>
    <row r="805">
      <c r="A805" s="10"/>
      <c r="B805" s="13"/>
      <c r="C805" s="10"/>
      <c r="D805" s="13"/>
    </row>
    <row r="806">
      <c r="A806" s="10"/>
      <c r="B806" s="13"/>
      <c r="C806" s="10"/>
      <c r="D806" s="13"/>
    </row>
    <row r="807">
      <c r="A807" s="10"/>
      <c r="B807" s="13"/>
      <c r="C807" s="10"/>
      <c r="D807" s="13"/>
    </row>
    <row r="808">
      <c r="A808" s="10"/>
      <c r="B808" s="13"/>
      <c r="C808" s="10"/>
      <c r="D808" s="13"/>
    </row>
    <row r="809">
      <c r="A809" s="10"/>
      <c r="B809" s="13"/>
      <c r="C809" s="10"/>
      <c r="D809" s="13"/>
    </row>
    <row r="810">
      <c r="A810" s="10"/>
      <c r="B810" s="13"/>
      <c r="C810" s="10"/>
      <c r="D810" s="13"/>
    </row>
    <row r="811">
      <c r="A811" s="10"/>
      <c r="B811" s="13"/>
      <c r="C811" s="10"/>
      <c r="D811" s="13"/>
    </row>
    <row r="812">
      <c r="A812" s="10"/>
      <c r="B812" s="13"/>
      <c r="C812" s="10"/>
      <c r="D812" s="13"/>
    </row>
    <row r="813">
      <c r="A813" s="10"/>
      <c r="B813" s="13"/>
      <c r="C813" s="10"/>
      <c r="D813" s="13"/>
    </row>
    <row r="814">
      <c r="A814" s="10"/>
      <c r="B814" s="13"/>
      <c r="C814" s="10"/>
      <c r="D814" s="13"/>
    </row>
    <row r="815">
      <c r="A815" s="10"/>
      <c r="B815" s="13"/>
      <c r="C815" s="10"/>
      <c r="D815" s="13"/>
    </row>
    <row r="816">
      <c r="A816" s="10"/>
      <c r="B816" s="13"/>
      <c r="C816" s="10"/>
      <c r="D816" s="13"/>
    </row>
    <row r="817">
      <c r="A817" s="10"/>
      <c r="B817" s="13"/>
      <c r="C817" s="10"/>
      <c r="D817" s="13"/>
    </row>
    <row r="818">
      <c r="A818" s="10"/>
      <c r="B818" s="13"/>
      <c r="C818" s="10"/>
      <c r="D818" s="13"/>
    </row>
    <row r="819">
      <c r="A819" s="10"/>
      <c r="B819" s="13"/>
      <c r="C819" s="10"/>
      <c r="D819" s="13"/>
    </row>
    <row r="820">
      <c r="A820" s="10"/>
      <c r="B820" s="13"/>
      <c r="C820" s="10"/>
      <c r="D820" s="13"/>
    </row>
    <row r="821">
      <c r="A821" s="10"/>
      <c r="B821" s="13"/>
      <c r="C821" s="10"/>
      <c r="D821" s="13"/>
    </row>
    <row r="822">
      <c r="A822" s="10"/>
      <c r="B822" s="13"/>
      <c r="C822" s="10"/>
      <c r="D822" s="13"/>
    </row>
    <row r="823">
      <c r="A823" s="10"/>
      <c r="B823" s="13"/>
      <c r="C823" s="10"/>
      <c r="D823" s="13"/>
    </row>
    <row r="824">
      <c r="A824" s="10"/>
      <c r="B824" s="13"/>
      <c r="C824" s="10"/>
      <c r="D824" s="13"/>
    </row>
    <row r="825">
      <c r="A825" s="10"/>
      <c r="B825" s="13"/>
      <c r="C825" s="10"/>
      <c r="D825" s="13"/>
    </row>
    <row r="826">
      <c r="A826" s="10"/>
      <c r="B826" s="13"/>
      <c r="C826" s="10"/>
      <c r="D826" s="13"/>
    </row>
    <row r="827">
      <c r="A827" s="10"/>
      <c r="B827" s="13"/>
      <c r="C827" s="10"/>
      <c r="D827" s="13"/>
    </row>
    <row r="828">
      <c r="A828" s="10"/>
      <c r="B828" s="13"/>
      <c r="C828" s="10"/>
      <c r="D828" s="13"/>
    </row>
    <row r="829">
      <c r="A829" s="10"/>
      <c r="B829" s="13"/>
      <c r="C829" s="10"/>
      <c r="D829" s="13"/>
    </row>
    <row r="830">
      <c r="A830" s="10"/>
      <c r="B830" s="13"/>
      <c r="C830" s="10"/>
      <c r="D830" s="13"/>
    </row>
    <row r="831">
      <c r="A831" s="10"/>
      <c r="B831" s="13"/>
      <c r="C831" s="10"/>
      <c r="D831" s="13"/>
    </row>
    <row r="832">
      <c r="A832" s="10"/>
      <c r="B832" s="13"/>
      <c r="C832" s="10"/>
      <c r="D832" s="13"/>
    </row>
    <row r="833">
      <c r="A833" s="10"/>
      <c r="B833" s="13"/>
      <c r="C833" s="10"/>
      <c r="D833" s="13"/>
    </row>
    <row r="834">
      <c r="A834" s="10"/>
      <c r="B834" s="13"/>
      <c r="C834" s="10"/>
      <c r="D834" s="13"/>
    </row>
    <row r="835">
      <c r="A835" s="10"/>
      <c r="B835" s="13"/>
      <c r="C835" s="10"/>
      <c r="D835" s="13"/>
    </row>
    <row r="836">
      <c r="A836" s="10"/>
      <c r="B836" s="13"/>
      <c r="C836" s="10"/>
      <c r="D836" s="13"/>
    </row>
    <row r="837">
      <c r="A837" s="10"/>
      <c r="B837" s="13"/>
      <c r="C837" s="10"/>
      <c r="D837" s="13"/>
    </row>
    <row r="838">
      <c r="A838" s="10"/>
      <c r="B838" s="13"/>
      <c r="C838" s="10"/>
      <c r="D838" s="13"/>
    </row>
    <row r="839">
      <c r="A839" s="10"/>
      <c r="B839" s="13"/>
      <c r="C839" s="10"/>
      <c r="D839" s="13"/>
    </row>
    <row r="840">
      <c r="A840" s="10"/>
      <c r="B840" s="13"/>
      <c r="C840" s="10"/>
      <c r="D840" s="13"/>
    </row>
    <row r="841">
      <c r="A841" s="10"/>
      <c r="B841" s="13"/>
      <c r="C841" s="10"/>
      <c r="D841" s="13"/>
    </row>
    <row r="842">
      <c r="A842" s="10"/>
      <c r="B842" s="13"/>
      <c r="C842" s="10"/>
      <c r="D842" s="13"/>
    </row>
    <row r="843">
      <c r="A843" s="10"/>
      <c r="B843" s="13"/>
      <c r="C843" s="10"/>
      <c r="D843" s="13"/>
    </row>
    <row r="844">
      <c r="A844" s="10"/>
      <c r="B844" s="13"/>
      <c r="C844" s="10"/>
      <c r="D844" s="13"/>
    </row>
    <row r="845">
      <c r="A845" s="10"/>
      <c r="B845" s="13"/>
      <c r="C845" s="10"/>
      <c r="D845" s="13"/>
    </row>
    <row r="846">
      <c r="A846" s="10"/>
      <c r="B846" s="13"/>
      <c r="C846" s="10"/>
      <c r="D846" s="13"/>
    </row>
    <row r="847">
      <c r="A847" s="10"/>
      <c r="B847" s="13"/>
      <c r="C847" s="10"/>
      <c r="D847" s="13"/>
    </row>
    <row r="848">
      <c r="A848" s="10"/>
      <c r="B848" s="13"/>
      <c r="C848" s="10"/>
      <c r="D848" s="13"/>
    </row>
    <row r="849">
      <c r="A849" s="10"/>
      <c r="B849" s="13"/>
      <c r="C849" s="10"/>
      <c r="D849" s="13"/>
    </row>
    <row r="850">
      <c r="A850" s="10"/>
      <c r="B850" s="13"/>
      <c r="C850" s="10"/>
      <c r="D850" s="13"/>
    </row>
    <row r="851">
      <c r="A851" s="10"/>
      <c r="B851" s="13"/>
      <c r="C851" s="10"/>
      <c r="D851" s="13"/>
    </row>
    <row r="852">
      <c r="A852" s="10"/>
      <c r="B852" s="13"/>
      <c r="C852" s="10"/>
      <c r="D852" s="13"/>
    </row>
    <row r="853">
      <c r="A853" s="10"/>
      <c r="B853" s="13"/>
      <c r="C853" s="10"/>
      <c r="D853" s="13"/>
    </row>
    <row r="854">
      <c r="A854" s="10"/>
      <c r="B854" s="13"/>
      <c r="C854" s="10"/>
      <c r="D854" s="13"/>
    </row>
    <row r="855">
      <c r="A855" s="10"/>
      <c r="B855" s="13"/>
      <c r="C855" s="10"/>
      <c r="D855" s="13"/>
    </row>
    <row r="856">
      <c r="A856" s="10"/>
      <c r="B856" s="13"/>
      <c r="C856" s="10"/>
      <c r="D856" s="13"/>
    </row>
    <row r="857">
      <c r="A857" s="10"/>
      <c r="B857" s="13"/>
      <c r="C857" s="10"/>
      <c r="D857" s="13"/>
    </row>
    <row r="858">
      <c r="A858" s="10"/>
      <c r="B858" s="13"/>
      <c r="C858" s="10"/>
      <c r="D858" s="13"/>
    </row>
    <row r="859">
      <c r="A859" s="10"/>
      <c r="B859" s="13"/>
      <c r="C859" s="10"/>
      <c r="D859" s="13"/>
    </row>
    <row r="860">
      <c r="A860" s="10"/>
      <c r="B860" s="13"/>
      <c r="C860" s="10"/>
      <c r="D860" s="13"/>
    </row>
    <row r="861">
      <c r="A861" s="10"/>
      <c r="B861" s="13"/>
      <c r="C861" s="10"/>
      <c r="D861" s="13"/>
    </row>
    <row r="862">
      <c r="A862" s="10"/>
      <c r="B862" s="13"/>
      <c r="C862" s="10"/>
      <c r="D862" s="13"/>
    </row>
    <row r="863">
      <c r="A863" s="10"/>
      <c r="B863" s="13"/>
      <c r="C863" s="10"/>
      <c r="D863" s="13"/>
    </row>
    <row r="864">
      <c r="A864" s="10"/>
      <c r="B864" s="13"/>
      <c r="C864" s="10"/>
      <c r="D864" s="13"/>
    </row>
    <row r="865">
      <c r="A865" s="10"/>
      <c r="B865" s="13"/>
      <c r="C865" s="10"/>
      <c r="D865" s="13"/>
    </row>
    <row r="866">
      <c r="A866" s="10"/>
      <c r="B866" s="13"/>
      <c r="C866" s="10"/>
      <c r="D866" s="13"/>
    </row>
    <row r="867">
      <c r="A867" s="10"/>
      <c r="B867" s="13"/>
      <c r="C867" s="10"/>
      <c r="D867" s="13"/>
    </row>
    <row r="868">
      <c r="A868" s="10"/>
      <c r="B868" s="13"/>
      <c r="C868" s="10"/>
      <c r="D868" s="13"/>
    </row>
    <row r="869">
      <c r="A869" s="10"/>
      <c r="B869" s="13"/>
      <c r="C869" s="10"/>
      <c r="D869" s="13"/>
    </row>
    <row r="870">
      <c r="A870" s="10"/>
      <c r="B870" s="13"/>
      <c r="C870" s="10"/>
      <c r="D870" s="13"/>
    </row>
    <row r="871">
      <c r="A871" s="10"/>
      <c r="B871" s="13"/>
      <c r="C871" s="10"/>
      <c r="D871" s="13"/>
    </row>
    <row r="872">
      <c r="A872" s="10"/>
      <c r="B872" s="13"/>
      <c r="C872" s="10"/>
      <c r="D872" s="13"/>
    </row>
    <row r="873">
      <c r="A873" s="10"/>
      <c r="B873" s="13"/>
      <c r="C873" s="10"/>
      <c r="D873" s="13"/>
    </row>
    <row r="874">
      <c r="A874" s="10"/>
      <c r="B874" s="13"/>
      <c r="C874" s="10"/>
      <c r="D874" s="13"/>
    </row>
    <row r="875">
      <c r="A875" s="10"/>
      <c r="B875" s="13"/>
      <c r="C875" s="10"/>
      <c r="D875" s="13"/>
    </row>
    <row r="876">
      <c r="A876" s="10"/>
      <c r="B876" s="13"/>
      <c r="C876" s="10"/>
      <c r="D876" s="13"/>
    </row>
    <row r="877">
      <c r="A877" s="10"/>
      <c r="B877" s="13"/>
      <c r="C877" s="10"/>
      <c r="D877" s="13"/>
    </row>
    <row r="878">
      <c r="A878" s="10"/>
      <c r="B878" s="13"/>
      <c r="C878" s="10"/>
      <c r="D878" s="13"/>
    </row>
    <row r="879">
      <c r="A879" s="10"/>
      <c r="B879" s="13"/>
      <c r="C879" s="10"/>
      <c r="D879" s="13"/>
    </row>
    <row r="880">
      <c r="A880" s="10"/>
      <c r="B880" s="13"/>
      <c r="C880" s="10"/>
      <c r="D880" s="13"/>
    </row>
    <row r="881">
      <c r="A881" s="10"/>
      <c r="B881" s="13"/>
      <c r="C881" s="10"/>
      <c r="D881" s="13"/>
    </row>
    <row r="882">
      <c r="A882" s="10"/>
      <c r="B882" s="13"/>
      <c r="C882" s="10"/>
      <c r="D882" s="13"/>
    </row>
    <row r="883">
      <c r="A883" s="10"/>
      <c r="B883" s="13"/>
      <c r="C883" s="10"/>
      <c r="D883" s="13"/>
    </row>
    <row r="884">
      <c r="A884" s="10"/>
      <c r="B884" s="13"/>
      <c r="C884" s="10"/>
      <c r="D884" s="13"/>
    </row>
    <row r="885">
      <c r="A885" s="10"/>
      <c r="B885" s="13"/>
      <c r="C885" s="10"/>
      <c r="D885" s="13"/>
    </row>
    <row r="886">
      <c r="A886" s="10"/>
      <c r="B886" s="13"/>
      <c r="C886" s="10"/>
      <c r="D886" s="13"/>
    </row>
    <row r="887">
      <c r="A887" s="10"/>
      <c r="B887" s="13"/>
      <c r="C887" s="10"/>
      <c r="D887" s="13"/>
    </row>
    <row r="888">
      <c r="A888" s="10"/>
      <c r="B888" s="13"/>
      <c r="C888" s="10"/>
      <c r="D888" s="13"/>
    </row>
    <row r="889">
      <c r="A889" s="10"/>
      <c r="B889" s="13"/>
      <c r="C889" s="10"/>
      <c r="D889" s="13"/>
    </row>
    <row r="890">
      <c r="A890" s="10"/>
      <c r="B890" s="13"/>
      <c r="C890" s="10"/>
      <c r="D890" s="13"/>
    </row>
    <row r="891">
      <c r="A891" s="10"/>
      <c r="B891" s="13"/>
      <c r="C891" s="10"/>
      <c r="D891" s="13"/>
    </row>
    <row r="892">
      <c r="A892" s="10"/>
      <c r="B892" s="13"/>
      <c r="C892" s="10"/>
      <c r="D892" s="13"/>
    </row>
    <row r="893">
      <c r="A893" s="10"/>
      <c r="B893" s="13"/>
      <c r="C893" s="10"/>
      <c r="D893" s="13"/>
    </row>
    <row r="894">
      <c r="A894" s="10"/>
      <c r="B894" s="13"/>
      <c r="C894" s="10"/>
      <c r="D894" s="13"/>
    </row>
    <row r="895">
      <c r="A895" s="10"/>
      <c r="B895" s="13"/>
      <c r="C895" s="10"/>
      <c r="D895" s="13"/>
    </row>
    <row r="896">
      <c r="A896" s="10"/>
      <c r="B896" s="13"/>
      <c r="C896" s="10"/>
      <c r="D896" s="13"/>
    </row>
    <row r="897">
      <c r="A897" s="10"/>
      <c r="B897" s="13"/>
      <c r="C897" s="10"/>
      <c r="D897" s="13"/>
    </row>
    <row r="898">
      <c r="A898" s="10"/>
      <c r="B898" s="13"/>
      <c r="C898" s="10"/>
      <c r="D898" s="13"/>
    </row>
    <row r="899">
      <c r="A899" s="10"/>
      <c r="B899" s="13"/>
      <c r="C899" s="10"/>
      <c r="D899" s="13"/>
    </row>
    <row r="900">
      <c r="A900" s="10"/>
      <c r="B900" s="13"/>
      <c r="C900" s="10"/>
      <c r="D900" s="13"/>
    </row>
    <row r="901">
      <c r="A901" s="10"/>
      <c r="B901" s="13"/>
      <c r="C901" s="10"/>
      <c r="D901" s="13"/>
    </row>
    <row r="902">
      <c r="A902" s="10"/>
      <c r="B902" s="13"/>
      <c r="C902" s="10"/>
      <c r="D902" s="13"/>
    </row>
    <row r="903">
      <c r="A903" s="10"/>
      <c r="B903" s="13"/>
      <c r="C903" s="10"/>
      <c r="D903" s="13"/>
    </row>
    <row r="904">
      <c r="A904" s="10"/>
      <c r="B904" s="13"/>
      <c r="C904" s="10"/>
      <c r="D904" s="13"/>
    </row>
    <row r="905">
      <c r="A905" s="10"/>
      <c r="B905" s="13"/>
      <c r="C905" s="10"/>
      <c r="D905" s="13"/>
    </row>
    <row r="906">
      <c r="A906" s="10"/>
      <c r="B906" s="13"/>
      <c r="C906" s="10"/>
      <c r="D906" s="13"/>
    </row>
    <row r="907">
      <c r="A907" s="10"/>
      <c r="B907" s="13"/>
      <c r="C907" s="10"/>
      <c r="D907" s="13"/>
    </row>
    <row r="908">
      <c r="A908" s="10"/>
      <c r="B908" s="13"/>
      <c r="C908" s="10"/>
      <c r="D908" s="13"/>
    </row>
    <row r="909">
      <c r="A909" s="10"/>
      <c r="B909" s="13"/>
      <c r="C909" s="10"/>
      <c r="D909" s="13"/>
    </row>
    <row r="910">
      <c r="A910" s="10"/>
      <c r="B910" s="13"/>
      <c r="C910" s="10"/>
      <c r="D910" s="13"/>
    </row>
    <row r="911">
      <c r="A911" s="10"/>
      <c r="B911" s="13"/>
      <c r="C911" s="10"/>
      <c r="D911" s="13"/>
    </row>
    <row r="912">
      <c r="A912" s="10"/>
      <c r="B912" s="13"/>
      <c r="C912" s="10"/>
      <c r="D912" s="13"/>
    </row>
    <row r="913">
      <c r="A913" s="10"/>
      <c r="B913" s="13"/>
      <c r="C913" s="10"/>
      <c r="D913" s="13"/>
    </row>
    <row r="914">
      <c r="A914" s="10"/>
      <c r="B914" s="13"/>
      <c r="C914" s="10"/>
      <c r="D914" s="13"/>
    </row>
    <row r="915">
      <c r="A915" s="10"/>
      <c r="B915" s="13"/>
      <c r="C915" s="10"/>
      <c r="D915" s="13"/>
    </row>
    <row r="916">
      <c r="A916" s="10"/>
      <c r="B916" s="13"/>
      <c r="C916" s="10"/>
      <c r="D916" s="13"/>
    </row>
    <row r="917">
      <c r="A917" s="10"/>
      <c r="B917" s="13"/>
      <c r="C917" s="10"/>
      <c r="D917" s="13"/>
    </row>
    <row r="918">
      <c r="A918" s="10"/>
      <c r="B918" s="13"/>
      <c r="C918" s="10"/>
      <c r="D918" s="13"/>
    </row>
    <row r="919">
      <c r="A919" s="10"/>
      <c r="B919" s="13"/>
      <c r="C919" s="10"/>
      <c r="D919" s="13"/>
    </row>
    <row r="920">
      <c r="A920" s="10"/>
      <c r="B920" s="13"/>
      <c r="C920" s="10"/>
      <c r="D920" s="13"/>
    </row>
    <row r="921">
      <c r="A921" s="10"/>
      <c r="B921" s="13"/>
      <c r="C921" s="10"/>
      <c r="D921" s="13"/>
    </row>
    <row r="922">
      <c r="A922" s="10"/>
      <c r="B922" s="13"/>
      <c r="C922" s="10"/>
      <c r="D922" s="13"/>
    </row>
    <row r="923">
      <c r="A923" s="10"/>
      <c r="B923" s="13"/>
      <c r="C923" s="10"/>
      <c r="D923" s="13"/>
    </row>
    <row r="924">
      <c r="A924" s="10"/>
      <c r="B924" s="13"/>
      <c r="C924" s="10"/>
      <c r="D924" s="13"/>
    </row>
    <row r="925">
      <c r="A925" s="10"/>
      <c r="B925" s="13"/>
      <c r="C925" s="10"/>
      <c r="D925" s="13"/>
    </row>
    <row r="926">
      <c r="A926" s="10"/>
      <c r="B926" s="13"/>
      <c r="C926" s="10"/>
      <c r="D926" s="13"/>
    </row>
    <row r="927">
      <c r="A927" s="10"/>
      <c r="B927" s="13"/>
      <c r="C927" s="10"/>
      <c r="D927" s="13"/>
    </row>
    <row r="928">
      <c r="A928" s="10"/>
      <c r="B928" s="13"/>
      <c r="C928" s="10"/>
      <c r="D928" s="13"/>
    </row>
    <row r="929">
      <c r="A929" s="10"/>
      <c r="B929" s="13"/>
      <c r="C929" s="10"/>
      <c r="D929" s="13"/>
    </row>
    <row r="930">
      <c r="A930" s="10"/>
      <c r="B930" s="13"/>
      <c r="C930" s="10"/>
      <c r="D930" s="13"/>
    </row>
    <row r="931">
      <c r="A931" s="10"/>
      <c r="B931" s="13"/>
      <c r="C931" s="10"/>
      <c r="D931" s="13"/>
    </row>
    <row r="932">
      <c r="A932" s="10"/>
      <c r="B932" s="13"/>
      <c r="C932" s="10"/>
      <c r="D932" s="13"/>
    </row>
    <row r="933">
      <c r="A933" s="10"/>
      <c r="B933" s="13"/>
      <c r="C933" s="10"/>
      <c r="D933" s="13"/>
    </row>
    <row r="934">
      <c r="A934" s="10"/>
      <c r="B934" s="13"/>
      <c r="C934" s="10"/>
      <c r="D934" s="13"/>
    </row>
    <row r="935">
      <c r="A935" s="10"/>
      <c r="B935" s="13"/>
      <c r="C935" s="10"/>
      <c r="D935" s="13"/>
    </row>
    <row r="936">
      <c r="A936" s="10"/>
      <c r="B936" s="13"/>
      <c r="C936" s="10"/>
      <c r="D936" s="13"/>
    </row>
    <row r="937">
      <c r="A937" s="10"/>
      <c r="B937" s="13"/>
      <c r="C937" s="10"/>
      <c r="D937" s="13"/>
    </row>
    <row r="938">
      <c r="A938" s="10"/>
      <c r="B938" s="13"/>
      <c r="C938" s="10"/>
      <c r="D938" s="13"/>
    </row>
    <row r="939">
      <c r="A939" s="10"/>
      <c r="B939" s="13"/>
      <c r="C939" s="10"/>
      <c r="D939" s="13"/>
    </row>
    <row r="940">
      <c r="A940" s="10"/>
      <c r="B940" s="13"/>
      <c r="C940" s="10"/>
      <c r="D940" s="13"/>
    </row>
    <row r="941">
      <c r="A941" s="10"/>
      <c r="B941" s="13"/>
      <c r="C941" s="10"/>
      <c r="D941" s="13"/>
    </row>
    <row r="942">
      <c r="A942" s="10"/>
      <c r="B942" s="13"/>
      <c r="C942" s="10"/>
      <c r="D942" s="13"/>
    </row>
    <row r="943">
      <c r="A943" s="10"/>
      <c r="B943" s="13"/>
      <c r="C943" s="10"/>
      <c r="D943" s="13"/>
    </row>
    <row r="944">
      <c r="A944" s="10"/>
      <c r="B944" s="13"/>
      <c r="C944" s="10"/>
      <c r="D944" s="13"/>
    </row>
    <row r="945">
      <c r="A945" s="10"/>
      <c r="B945" s="13"/>
      <c r="C945" s="10"/>
      <c r="D945" s="13"/>
    </row>
    <row r="946">
      <c r="A946" s="10"/>
      <c r="B946" s="13"/>
      <c r="C946" s="10"/>
      <c r="D946" s="13"/>
    </row>
    <row r="947">
      <c r="A947" s="10"/>
      <c r="B947" s="13"/>
      <c r="C947" s="10"/>
      <c r="D947" s="13"/>
    </row>
    <row r="948">
      <c r="A948" s="10"/>
      <c r="B948" s="13"/>
      <c r="C948" s="10"/>
      <c r="D948" s="13"/>
    </row>
    <row r="949">
      <c r="A949" s="10"/>
      <c r="B949" s="13"/>
      <c r="C949" s="10"/>
      <c r="D949" s="13"/>
    </row>
    <row r="950">
      <c r="A950" s="10"/>
      <c r="B950" s="13"/>
      <c r="C950" s="10"/>
      <c r="D950" s="13"/>
    </row>
    <row r="951">
      <c r="A951" s="10"/>
      <c r="B951" s="13"/>
      <c r="C951" s="10"/>
      <c r="D951" s="13"/>
    </row>
    <row r="952">
      <c r="A952" s="10"/>
      <c r="B952" s="13"/>
      <c r="C952" s="10"/>
      <c r="D952" s="13"/>
    </row>
    <row r="953">
      <c r="A953" s="10"/>
      <c r="B953" s="13"/>
      <c r="C953" s="10"/>
      <c r="D953" s="13"/>
    </row>
    <row r="954">
      <c r="A954" s="10"/>
      <c r="B954" s="13"/>
      <c r="C954" s="10"/>
      <c r="D954" s="13"/>
    </row>
    <row r="955">
      <c r="A955" s="10"/>
      <c r="B955" s="13"/>
      <c r="C955" s="10"/>
      <c r="D955" s="13"/>
    </row>
    <row r="956">
      <c r="A956" s="10"/>
      <c r="B956" s="13"/>
      <c r="C956" s="10"/>
      <c r="D956" s="13"/>
    </row>
    <row r="957">
      <c r="A957" s="10"/>
      <c r="B957" s="13"/>
      <c r="C957" s="10"/>
      <c r="D957" s="13"/>
    </row>
    <row r="958">
      <c r="A958" s="10"/>
      <c r="B958" s="13"/>
      <c r="C958" s="10"/>
      <c r="D958" s="13"/>
    </row>
    <row r="959">
      <c r="A959" s="10"/>
      <c r="B959" s="13"/>
      <c r="C959" s="10"/>
      <c r="D959" s="13"/>
    </row>
    <row r="960">
      <c r="A960" s="10"/>
      <c r="B960" s="13"/>
      <c r="C960" s="10"/>
      <c r="D960" s="13"/>
    </row>
    <row r="961">
      <c r="A961" s="10"/>
      <c r="B961" s="13"/>
      <c r="C961" s="10"/>
      <c r="D961" s="13"/>
    </row>
    <row r="962">
      <c r="A962" s="10"/>
      <c r="B962" s="13"/>
      <c r="C962" s="10"/>
      <c r="D962" s="13"/>
    </row>
    <row r="963">
      <c r="A963" s="10"/>
      <c r="B963" s="13"/>
      <c r="C963" s="10"/>
      <c r="D963" s="13"/>
    </row>
    <row r="964">
      <c r="A964" s="10"/>
      <c r="B964" s="13"/>
      <c r="C964" s="10"/>
      <c r="D964" s="13"/>
    </row>
    <row r="965">
      <c r="A965" s="10"/>
      <c r="B965" s="13"/>
      <c r="C965" s="10"/>
      <c r="D965" s="13"/>
    </row>
    <row r="966">
      <c r="A966" s="10"/>
      <c r="B966" s="13"/>
      <c r="C966" s="10"/>
      <c r="D966" s="13"/>
    </row>
    <row r="967">
      <c r="A967" s="10"/>
      <c r="B967" s="13"/>
      <c r="C967" s="10"/>
      <c r="D967" s="13"/>
    </row>
    <row r="968">
      <c r="A968" s="10"/>
      <c r="B968" s="13"/>
      <c r="C968" s="10"/>
      <c r="D968" s="13"/>
    </row>
    <row r="969">
      <c r="A969" s="10"/>
      <c r="B969" s="13"/>
      <c r="C969" s="10"/>
      <c r="D969" s="13"/>
    </row>
    <row r="970">
      <c r="A970" s="10"/>
      <c r="B970" s="13"/>
      <c r="C970" s="10"/>
      <c r="D970" s="13"/>
    </row>
    <row r="971">
      <c r="A971" s="10"/>
      <c r="B971" s="13"/>
      <c r="C971" s="10"/>
      <c r="D971" s="13"/>
    </row>
    <row r="972">
      <c r="A972" s="10"/>
      <c r="B972" s="13"/>
      <c r="C972" s="10"/>
      <c r="D972" s="13"/>
    </row>
    <row r="973">
      <c r="A973" s="10"/>
      <c r="B973" s="13"/>
      <c r="C973" s="10"/>
      <c r="D973" s="13"/>
    </row>
    <row r="974">
      <c r="A974" s="10"/>
      <c r="B974" s="13"/>
      <c r="C974" s="10"/>
      <c r="D974" s="13"/>
    </row>
    <row r="975">
      <c r="A975" s="10"/>
      <c r="B975" s="13"/>
      <c r="C975" s="10"/>
      <c r="D975" s="13"/>
    </row>
    <row r="976">
      <c r="A976" s="10"/>
      <c r="B976" s="13"/>
      <c r="C976" s="10"/>
      <c r="D976" s="13"/>
    </row>
    <row r="977">
      <c r="A977" s="10"/>
      <c r="B977" s="13"/>
      <c r="C977" s="10"/>
      <c r="D977" s="13"/>
    </row>
    <row r="978">
      <c r="A978" s="10"/>
      <c r="B978" s="13"/>
      <c r="C978" s="10"/>
      <c r="D978" s="13"/>
    </row>
    <row r="979">
      <c r="A979" s="10"/>
      <c r="B979" s="13"/>
      <c r="C979" s="10"/>
      <c r="D979" s="13"/>
    </row>
    <row r="980">
      <c r="A980" s="10"/>
      <c r="B980" s="13"/>
      <c r="C980" s="10"/>
      <c r="D980" s="13"/>
    </row>
    <row r="981">
      <c r="A981" s="10"/>
      <c r="B981" s="13"/>
      <c r="C981" s="10"/>
      <c r="D981" s="13"/>
    </row>
    <row r="982">
      <c r="A982" s="10"/>
      <c r="B982" s="13"/>
      <c r="C982" s="10"/>
      <c r="D982" s="13"/>
    </row>
    <row r="983">
      <c r="A983" s="10"/>
      <c r="B983" s="13"/>
      <c r="C983" s="10"/>
      <c r="D983" s="13"/>
    </row>
    <row r="984">
      <c r="A984" s="10"/>
      <c r="B984" s="13"/>
      <c r="C984" s="10"/>
      <c r="D984" s="13"/>
    </row>
    <row r="985">
      <c r="A985" s="10"/>
      <c r="B985" s="13"/>
      <c r="C985" s="10"/>
      <c r="D985" s="13"/>
    </row>
    <row r="986">
      <c r="A986" s="10"/>
      <c r="B986" s="13"/>
      <c r="C986" s="10"/>
      <c r="D986" s="13"/>
    </row>
    <row r="987">
      <c r="A987" s="10"/>
      <c r="B987" s="13"/>
      <c r="C987" s="10"/>
      <c r="D987" s="13"/>
    </row>
    <row r="988">
      <c r="A988" s="10"/>
      <c r="B988" s="13"/>
      <c r="C988" s="10"/>
      <c r="D988" s="13"/>
    </row>
    <row r="989">
      <c r="A989" s="10"/>
      <c r="B989" s="13"/>
      <c r="C989" s="10"/>
      <c r="D989" s="13"/>
    </row>
    <row r="990">
      <c r="A990" s="10"/>
      <c r="B990" s="13"/>
      <c r="C990" s="10"/>
      <c r="D990" s="13"/>
    </row>
    <row r="991">
      <c r="A991" s="10"/>
      <c r="B991" s="13"/>
      <c r="C991" s="10"/>
      <c r="D991" s="13"/>
    </row>
    <row r="992">
      <c r="A992" s="10"/>
      <c r="B992" s="13"/>
      <c r="C992" s="10"/>
      <c r="D992" s="13"/>
    </row>
    <row r="993">
      <c r="A993" s="10"/>
      <c r="B993" s="13"/>
      <c r="C993" s="10"/>
      <c r="D993" s="13"/>
    </row>
    <row r="994">
      <c r="A994" s="10"/>
      <c r="B994" s="13"/>
      <c r="C994" s="10"/>
      <c r="D994" s="13"/>
    </row>
    <row r="995">
      <c r="A995" s="10"/>
      <c r="B995" s="13"/>
      <c r="C995" s="10"/>
      <c r="D995" s="13"/>
    </row>
    <row r="996">
      <c r="A996" s="10"/>
      <c r="B996" s="13"/>
      <c r="C996" s="10"/>
      <c r="D996" s="13"/>
    </row>
    <row r="997">
      <c r="A997" s="10"/>
      <c r="B997" s="13"/>
      <c r="C997" s="10"/>
      <c r="D997" s="13"/>
    </row>
    <row r="998">
      <c r="A998" s="10"/>
      <c r="B998" s="13"/>
      <c r="C998" s="10"/>
      <c r="D998" s="13"/>
    </row>
    <row r="999">
      <c r="A999" s="10"/>
      <c r="B999" s="13"/>
      <c r="C999" s="10"/>
      <c r="D999" s="13"/>
    </row>
    <row r="1000">
      <c r="A1000" s="10"/>
      <c r="B1000" s="13"/>
      <c r="C1000" s="10"/>
      <c r="D1000" s="13"/>
    </row>
    <row r="1001">
      <c r="A1001" s="10"/>
      <c r="B1001" s="13"/>
      <c r="C1001" s="10"/>
      <c r="D1001" s="13"/>
    </row>
    <row r="1002">
      <c r="A1002" s="10"/>
      <c r="B1002" s="13"/>
      <c r="C1002" s="10"/>
      <c r="D1002" s="1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63"/>
    <col customWidth="1" min="2" max="2" width="16.25"/>
    <col customWidth="1" min="3" max="3" width="13.25"/>
    <col customWidth="1" min="4" max="4" width="30.5"/>
  </cols>
  <sheetData>
    <row r="1">
      <c r="A1" s="11" t="s">
        <v>1604</v>
      </c>
      <c r="B1" s="16" t="s">
        <v>1605</v>
      </c>
      <c r="C1" s="11" t="s">
        <v>1606</v>
      </c>
      <c r="D1" s="11" t="s">
        <v>1607</v>
      </c>
    </row>
    <row r="2">
      <c r="A2" s="105" t="s">
        <v>65</v>
      </c>
      <c r="B2" s="106"/>
      <c r="C2" s="107"/>
      <c r="D2" s="107"/>
    </row>
    <row r="3">
      <c r="A3" s="105" t="s">
        <v>1608</v>
      </c>
      <c r="B3" s="108" t="s">
        <v>1609</v>
      </c>
      <c r="C3" s="107"/>
      <c r="D3" s="107"/>
    </row>
    <row r="4">
      <c r="A4" s="105" t="s">
        <v>221</v>
      </c>
      <c r="B4" s="108" t="s">
        <v>1610</v>
      </c>
      <c r="C4" s="105" t="s">
        <v>1611</v>
      </c>
      <c r="D4" s="105" t="s">
        <v>1612</v>
      </c>
    </row>
    <row r="5">
      <c r="A5" s="105" t="s">
        <v>300</v>
      </c>
      <c r="B5" s="106"/>
      <c r="C5" s="105" t="s">
        <v>1613</v>
      </c>
      <c r="D5" s="107"/>
    </row>
    <row r="6">
      <c r="A6" s="105" t="s">
        <v>1614</v>
      </c>
      <c r="B6" s="108" t="s">
        <v>1615</v>
      </c>
      <c r="C6" s="105" t="s">
        <v>1616</v>
      </c>
      <c r="D6" s="107"/>
    </row>
    <row r="7">
      <c r="A7" s="105" t="s">
        <v>1617</v>
      </c>
      <c r="B7" s="108" t="s">
        <v>1618</v>
      </c>
      <c r="C7" s="105" t="s">
        <v>1619</v>
      </c>
      <c r="D7" s="105" t="s">
        <v>1620</v>
      </c>
    </row>
    <row r="8">
      <c r="A8" s="105" t="s">
        <v>834</v>
      </c>
      <c r="B8" s="108" t="s">
        <v>1621</v>
      </c>
      <c r="C8" s="105" t="s">
        <v>1622</v>
      </c>
      <c r="D8" s="107"/>
    </row>
    <row r="9">
      <c r="A9" s="105" t="s">
        <v>1623</v>
      </c>
      <c r="B9" s="108" t="s">
        <v>1624</v>
      </c>
      <c r="C9" s="105" t="s">
        <v>1625</v>
      </c>
      <c r="D9" s="107"/>
    </row>
    <row r="10">
      <c r="A10" s="105" t="s">
        <v>219</v>
      </c>
      <c r="B10" s="108" t="s">
        <v>1626</v>
      </c>
      <c r="C10" s="105" t="s">
        <v>1627</v>
      </c>
      <c r="D10" s="107"/>
    </row>
    <row r="11">
      <c r="A11" s="105" t="s">
        <v>86</v>
      </c>
      <c r="B11" s="108" t="s">
        <v>1628</v>
      </c>
      <c r="C11" s="105" t="s">
        <v>1629</v>
      </c>
      <c r="D11" s="105" t="s">
        <v>1630</v>
      </c>
    </row>
    <row r="12">
      <c r="A12" s="105" t="s">
        <v>1631</v>
      </c>
      <c r="B12" s="108" t="s">
        <v>1632</v>
      </c>
      <c r="C12" s="107"/>
      <c r="D12" s="105" t="s">
        <v>1633</v>
      </c>
    </row>
    <row r="13">
      <c r="A13" s="105" t="s">
        <v>114</v>
      </c>
      <c r="B13" s="108" t="s">
        <v>1634</v>
      </c>
      <c r="C13" s="107"/>
      <c r="D13" s="107"/>
    </row>
    <row r="14">
      <c r="A14" s="105" t="s">
        <v>807</v>
      </c>
      <c r="B14" s="106"/>
      <c r="C14" s="107"/>
      <c r="D14" s="107"/>
    </row>
    <row r="15">
      <c r="A15" s="105" t="s">
        <v>1326</v>
      </c>
      <c r="B15" s="106"/>
      <c r="C15" s="107"/>
      <c r="D15" s="107"/>
    </row>
    <row r="16">
      <c r="A16" s="105" t="s">
        <v>1635</v>
      </c>
      <c r="B16" s="106"/>
      <c r="C16" s="107"/>
      <c r="D16" s="107"/>
    </row>
    <row r="17">
      <c r="A17" s="105" t="s">
        <v>43</v>
      </c>
      <c r="B17" s="108">
        <v>3.31263248E10</v>
      </c>
      <c r="C17" s="109">
        <v>1.9991426854E10</v>
      </c>
      <c r="D17" s="110" t="s">
        <v>1636</v>
      </c>
    </row>
    <row r="18">
      <c r="A18" s="105" t="s">
        <v>36</v>
      </c>
      <c r="B18" s="108" t="s">
        <v>1637</v>
      </c>
      <c r="C18" s="109">
        <v>1.998317022E10</v>
      </c>
      <c r="D18" s="110" t="s">
        <v>1638</v>
      </c>
    </row>
    <row r="19">
      <c r="A19" s="105" t="s">
        <v>79</v>
      </c>
      <c r="B19" s="108" t="s">
        <v>1639</v>
      </c>
      <c r="C19" s="109">
        <v>1.1986825521E10</v>
      </c>
      <c r="D19" s="110" t="s">
        <v>1640</v>
      </c>
    </row>
    <row r="20">
      <c r="A20" s="105" t="s">
        <v>74</v>
      </c>
      <c r="B20" s="106"/>
      <c r="C20" s="107"/>
      <c r="D20" s="107"/>
    </row>
    <row r="21">
      <c r="A21" s="105" t="s">
        <v>83</v>
      </c>
      <c r="B21" s="108" t="s">
        <v>1641</v>
      </c>
      <c r="C21" s="109">
        <v>1.9920031058E10</v>
      </c>
      <c r="D21" s="107"/>
    </row>
    <row r="22">
      <c r="A22" s="105" t="s">
        <v>80</v>
      </c>
      <c r="B22" s="108" t="s">
        <v>1642</v>
      </c>
      <c r="C22" s="109" t="s">
        <v>1643</v>
      </c>
      <c r="D22" s="107"/>
    </row>
    <row r="23">
      <c r="A23" s="11" t="s">
        <v>24</v>
      </c>
      <c r="B23" s="14"/>
    </row>
    <row r="24">
      <c r="A24" s="11" t="s">
        <v>44</v>
      </c>
      <c r="B24" s="14"/>
    </row>
    <row r="25">
      <c r="A25" s="11" t="s">
        <v>31</v>
      </c>
      <c r="B25" s="16" t="s">
        <v>1644</v>
      </c>
      <c r="C25" s="11" t="s">
        <v>1645</v>
      </c>
      <c r="D25" s="11" t="s">
        <v>1646</v>
      </c>
    </row>
    <row r="26">
      <c r="A26" s="11" t="s">
        <v>177</v>
      </c>
      <c r="B26" s="16" t="s">
        <v>1647</v>
      </c>
    </row>
    <row r="27">
      <c r="A27" s="11" t="s">
        <v>50</v>
      </c>
      <c r="B27" s="16" t="s">
        <v>1648</v>
      </c>
    </row>
    <row r="28">
      <c r="A28" s="11" t="s">
        <v>48</v>
      </c>
      <c r="B28" s="16" t="s">
        <v>1649</v>
      </c>
    </row>
    <row r="29">
      <c r="A29" s="11" t="s">
        <v>56</v>
      </c>
      <c r="B29" s="16" t="s">
        <v>1650</v>
      </c>
      <c r="C29" s="11" t="s">
        <v>1651</v>
      </c>
    </row>
    <row r="30">
      <c r="A30" s="11" t="s">
        <v>213</v>
      </c>
      <c r="B30" s="14"/>
    </row>
    <row r="31">
      <c r="A31" s="11" t="s">
        <v>76</v>
      </c>
      <c r="B31" s="16" t="s">
        <v>1652</v>
      </c>
    </row>
    <row r="32">
      <c r="A32" s="11" t="s">
        <v>387</v>
      </c>
      <c r="B32" s="14"/>
    </row>
    <row r="33">
      <c r="A33" s="11" t="s">
        <v>81</v>
      </c>
      <c r="B33" s="14"/>
    </row>
    <row r="34">
      <c r="A34" s="11" t="s">
        <v>90</v>
      </c>
      <c r="B34" s="14"/>
    </row>
    <row r="35">
      <c r="A35" s="11" t="s">
        <v>104</v>
      </c>
      <c r="B35" s="14"/>
    </row>
    <row r="36">
      <c r="A36" s="11" t="s">
        <v>126</v>
      </c>
      <c r="B36" s="14"/>
    </row>
    <row r="37">
      <c r="A37" s="11" t="s">
        <v>100</v>
      </c>
      <c r="B37" s="14"/>
    </row>
    <row r="38">
      <c r="A38" s="11" t="s">
        <v>171</v>
      </c>
      <c r="B38" s="14"/>
    </row>
    <row r="39">
      <c r="A39" s="11" t="s">
        <v>1653</v>
      </c>
      <c r="B39" s="14"/>
    </row>
    <row r="40">
      <c r="A40" s="11" t="s">
        <v>1654</v>
      </c>
      <c r="B40" s="14"/>
    </row>
    <row r="41">
      <c r="A41" s="11" t="s">
        <v>131</v>
      </c>
      <c r="B41" s="14"/>
    </row>
    <row r="42">
      <c r="A42" s="11" t="s">
        <v>161</v>
      </c>
      <c r="B42" s="14"/>
    </row>
    <row r="43">
      <c r="A43" s="11" t="s">
        <v>173</v>
      </c>
      <c r="B43" s="14"/>
    </row>
    <row r="44">
      <c r="A44" s="11" t="s">
        <v>167</v>
      </c>
      <c r="B44" s="14"/>
    </row>
    <row r="45">
      <c r="A45" s="11" t="s">
        <v>134</v>
      </c>
      <c r="B45" s="14"/>
    </row>
    <row r="46">
      <c r="A46" s="11" t="s">
        <v>125</v>
      </c>
      <c r="B46" s="14"/>
    </row>
    <row r="47">
      <c r="A47" s="11" t="s">
        <v>106</v>
      </c>
      <c r="B47" s="14"/>
    </row>
    <row r="48">
      <c r="A48" s="11" t="s">
        <v>185</v>
      </c>
      <c r="B48" s="14"/>
    </row>
    <row r="49">
      <c r="A49" s="11" t="s">
        <v>118</v>
      </c>
      <c r="B49" s="14"/>
    </row>
    <row r="50">
      <c r="A50" s="11" t="s">
        <v>163</v>
      </c>
      <c r="B50" s="14"/>
    </row>
    <row r="51">
      <c r="A51" s="11" t="s">
        <v>123</v>
      </c>
      <c r="B51" s="14"/>
    </row>
    <row r="52">
      <c r="A52" s="11" t="s">
        <v>179</v>
      </c>
      <c r="B52" s="14"/>
    </row>
    <row r="53">
      <c r="A53" s="11" t="s">
        <v>109</v>
      </c>
      <c r="B53" s="14"/>
    </row>
    <row r="54">
      <c r="A54" s="11" t="s">
        <v>121</v>
      </c>
      <c r="B54" s="14"/>
    </row>
    <row r="55">
      <c r="A55" s="11" t="s">
        <v>137</v>
      </c>
      <c r="B55" s="14"/>
    </row>
    <row r="56">
      <c r="A56" s="11" t="s">
        <v>182</v>
      </c>
      <c r="B56" s="14"/>
    </row>
    <row r="57">
      <c r="A57" s="11" t="s">
        <v>165</v>
      </c>
      <c r="B57" s="14"/>
    </row>
    <row r="58">
      <c r="A58" s="11" t="s">
        <v>169</v>
      </c>
      <c r="B58" s="14"/>
    </row>
    <row r="59">
      <c r="A59" s="11" t="s">
        <v>112</v>
      </c>
      <c r="B59" s="14"/>
    </row>
    <row r="60">
      <c r="A60" s="11" t="s">
        <v>129</v>
      </c>
      <c r="B60" s="14"/>
    </row>
    <row r="61">
      <c r="A61" s="11" t="s">
        <v>163</v>
      </c>
      <c r="B61" s="14"/>
    </row>
    <row r="62">
      <c r="A62" s="11" t="s">
        <v>200</v>
      </c>
      <c r="B62" s="16" t="s">
        <v>1655</v>
      </c>
    </row>
    <row r="63">
      <c r="A63" s="11" t="s">
        <v>202</v>
      </c>
      <c r="B63" s="14"/>
    </row>
    <row r="64">
      <c r="A64" s="11" t="s">
        <v>127</v>
      </c>
      <c r="B64" s="14"/>
    </row>
    <row r="65">
      <c r="A65" s="11" t="s">
        <v>208</v>
      </c>
      <c r="B65" s="14"/>
    </row>
    <row r="66">
      <c r="A66" s="11" t="s">
        <v>223</v>
      </c>
      <c r="B66" s="14"/>
    </row>
    <row r="67">
      <c r="A67" s="11" t="s">
        <v>102</v>
      </c>
      <c r="B67" s="16" t="s">
        <v>1656</v>
      </c>
    </row>
    <row r="68">
      <c r="A68" s="11" t="s">
        <v>39</v>
      </c>
      <c r="B68" s="14"/>
    </row>
    <row r="69">
      <c r="A69" s="11" t="s">
        <v>59</v>
      </c>
      <c r="B69" s="14"/>
    </row>
    <row r="70">
      <c r="A70" s="47" t="s">
        <v>190</v>
      </c>
      <c r="B70" s="14"/>
    </row>
    <row r="71">
      <c r="A71" s="11" t="s">
        <v>192</v>
      </c>
      <c r="B71" s="14"/>
    </row>
    <row r="72">
      <c r="A72" s="11" t="s">
        <v>195</v>
      </c>
      <c r="B72" s="14"/>
    </row>
    <row r="73">
      <c r="A73" s="11" t="s">
        <v>255</v>
      </c>
      <c r="B73" s="14"/>
    </row>
    <row r="74">
      <c r="A74" s="11" t="s">
        <v>62</v>
      </c>
      <c r="B74" s="14"/>
    </row>
    <row r="75">
      <c r="A75" s="11" t="s">
        <v>69</v>
      </c>
      <c r="B75" s="16">
        <v>1.9971245402E10</v>
      </c>
    </row>
    <row r="76">
      <c r="A76" s="11" t="s">
        <v>231</v>
      </c>
      <c r="B76" s="14"/>
    </row>
    <row r="77">
      <c r="A77" s="11" t="s">
        <v>93</v>
      </c>
      <c r="B77" s="14"/>
    </row>
    <row r="78">
      <c r="A78" s="11" t="s">
        <v>260</v>
      </c>
      <c r="B78" s="14"/>
    </row>
    <row r="79">
      <c r="A79" s="11" t="s">
        <v>264</v>
      </c>
      <c r="B79" s="14"/>
    </row>
    <row r="80">
      <c r="A80" s="11" t="s">
        <v>267</v>
      </c>
      <c r="B80" s="14"/>
    </row>
    <row r="81">
      <c r="A81" s="11" t="s">
        <v>270</v>
      </c>
      <c r="B81" s="14"/>
    </row>
    <row r="82">
      <c r="A82" s="11" t="s">
        <v>273</v>
      </c>
      <c r="B82" s="14"/>
    </row>
    <row r="83">
      <c r="A83" s="11" t="s">
        <v>217</v>
      </c>
      <c r="B83" s="14"/>
    </row>
    <row r="84">
      <c r="A84" s="11" t="s">
        <v>288</v>
      </c>
      <c r="B84" s="14"/>
    </row>
    <row r="85">
      <c r="A85" s="11" t="s">
        <v>228</v>
      </c>
      <c r="B85" s="16" t="s">
        <v>1657</v>
      </c>
    </row>
    <row r="86">
      <c r="A86" s="11" t="s">
        <v>332</v>
      </c>
      <c r="B86" s="14"/>
    </row>
    <row r="87">
      <c r="A87" s="11" t="s">
        <v>434</v>
      </c>
      <c r="B87" s="14"/>
    </row>
    <row r="88">
      <c r="A88" s="11" t="s">
        <v>313</v>
      </c>
      <c r="B88" s="14"/>
    </row>
    <row r="89">
      <c r="A89" s="11" t="s">
        <v>282</v>
      </c>
      <c r="B89" s="14"/>
    </row>
    <row r="90">
      <c r="A90" s="11" t="s">
        <v>216</v>
      </c>
      <c r="B90" s="14"/>
    </row>
    <row r="91">
      <c r="A91" s="11" t="s">
        <v>320</v>
      </c>
      <c r="B91" s="14"/>
    </row>
    <row r="92">
      <c r="A92" s="11" t="s">
        <v>329</v>
      </c>
      <c r="B92" s="14"/>
    </row>
    <row r="93">
      <c r="A93" s="11" t="s">
        <v>316</v>
      </c>
      <c r="B93" s="14"/>
    </row>
    <row r="94">
      <c r="A94" s="11" t="s">
        <v>322</v>
      </c>
      <c r="B94" s="14"/>
    </row>
    <row r="95">
      <c r="A95" s="11" t="s">
        <v>294</v>
      </c>
      <c r="B95" s="14"/>
    </row>
    <row r="96">
      <c r="A96" s="11" t="s">
        <v>373</v>
      </c>
      <c r="B96" s="14"/>
    </row>
    <row r="97">
      <c r="A97" s="11" t="s">
        <v>377</v>
      </c>
      <c r="B97" s="14"/>
    </row>
    <row r="98">
      <c r="A98" s="11" t="s">
        <v>303</v>
      </c>
      <c r="B98" s="14"/>
    </row>
    <row r="99">
      <c r="A99" s="11" t="s">
        <v>379</v>
      </c>
      <c r="B99" s="14"/>
    </row>
    <row r="100">
      <c r="A100" s="11" t="s">
        <v>381</v>
      </c>
      <c r="B100" s="14"/>
    </row>
    <row r="101">
      <c r="A101" s="11" t="s">
        <v>383</v>
      </c>
      <c r="B101" s="14"/>
    </row>
    <row r="102">
      <c r="A102" s="11" t="s">
        <v>385</v>
      </c>
      <c r="B102" s="14"/>
    </row>
    <row r="103">
      <c r="A103" s="11" t="s">
        <v>399</v>
      </c>
      <c r="B103" s="14"/>
    </row>
    <row r="104">
      <c r="A104" s="11" t="s">
        <v>341</v>
      </c>
      <c r="B104" s="16" t="s">
        <v>1658</v>
      </c>
    </row>
    <row r="105">
      <c r="A105" s="11" t="s">
        <v>345</v>
      </c>
      <c r="B105" s="14"/>
    </row>
    <row r="106">
      <c r="A106" s="11" t="s">
        <v>353</v>
      </c>
      <c r="B106" s="14"/>
    </row>
    <row r="107">
      <c r="A107" s="11" t="s">
        <v>356</v>
      </c>
      <c r="B107" s="14"/>
    </row>
    <row r="108">
      <c r="A108" s="11" t="s">
        <v>358</v>
      </c>
      <c r="B108" s="14"/>
    </row>
    <row r="109">
      <c r="A109" s="11" t="s">
        <v>396</v>
      </c>
      <c r="B109" s="14"/>
    </row>
    <row r="110">
      <c r="A110" s="11" t="s">
        <v>361</v>
      </c>
      <c r="B110" s="14"/>
    </row>
    <row r="111">
      <c r="A111" s="11" t="s">
        <v>369</v>
      </c>
      <c r="B111" s="14"/>
    </row>
    <row r="112">
      <c r="A112" s="11" t="s">
        <v>408</v>
      </c>
      <c r="B112" s="14"/>
    </row>
    <row r="113">
      <c r="A113" s="11" t="s">
        <v>502</v>
      </c>
      <c r="B113" s="14"/>
    </row>
    <row r="114">
      <c r="A114" s="11" t="s">
        <v>490</v>
      </c>
      <c r="B114" s="14"/>
    </row>
    <row r="115">
      <c r="A115" s="11" t="s">
        <v>570</v>
      </c>
      <c r="B115" s="14"/>
    </row>
    <row r="116">
      <c r="A116" s="11" t="s">
        <v>488</v>
      </c>
      <c r="B116" s="14"/>
    </row>
    <row r="117">
      <c r="A117" s="11" t="s">
        <v>1659</v>
      </c>
      <c r="B117" s="14"/>
    </row>
    <row r="118">
      <c r="A118" s="11" t="s">
        <v>635</v>
      </c>
      <c r="B118" s="14"/>
    </row>
    <row r="119">
      <c r="A119" s="11" t="s">
        <v>417</v>
      </c>
      <c r="B119" s="14"/>
    </row>
    <row r="120">
      <c r="A120" s="11" t="s">
        <v>499</v>
      </c>
      <c r="B120" s="14"/>
    </row>
    <row r="121">
      <c r="A121" s="11" t="s">
        <v>420</v>
      </c>
      <c r="B121" s="14"/>
    </row>
    <row r="122">
      <c r="A122" s="11" t="s">
        <v>422</v>
      </c>
      <c r="B122" s="14"/>
    </row>
    <row r="123">
      <c r="A123" s="11" t="s">
        <v>450</v>
      </c>
      <c r="B123" s="14"/>
    </row>
    <row r="124">
      <c r="A124" s="11" t="s">
        <v>508</v>
      </c>
      <c r="B124" s="14"/>
    </row>
    <row r="125">
      <c r="A125" s="11" t="s">
        <v>511</v>
      </c>
      <c r="B125" s="14"/>
    </row>
    <row r="126">
      <c r="A126" s="11" t="s">
        <v>473</v>
      </c>
      <c r="B126" s="14"/>
    </row>
    <row r="127">
      <c r="A127" s="11" t="s">
        <v>528</v>
      </c>
      <c r="B127" s="14"/>
    </row>
    <row r="128">
      <c r="A128" s="11" t="s">
        <v>531</v>
      </c>
      <c r="B128" s="14"/>
    </row>
    <row r="129">
      <c r="A129" s="11" t="s">
        <v>558</v>
      </c>
      <c r="B129" s="14"/>
    </row>
    <row r="130">
      <c r="A130" s="11" t="s">
        <v>533</v>
      </c>
      <c r="B130" s="14"/>
    </row>
    <row r="131">
      <c r="A131" s="11" t="s">
        <v>516</v>
      </c>
      <c r="B131" s="14"/>
    </row>
    <row r="132">
      <c r="A132" s="11" t="s">
        <v>560</v>
      </c>
      <c r="B132" s="14"/>
    </row>
    <row r="133">
      <c r="A133" s="11" t="s">
        <v>520</v>
      </c>
      <c r="B133" s="14"/>
    </row>
    <row r="134">
      <c r="A134" s="11" t="s">
        <v>525</v>
      </c>
      <c r="B134" s="14"/>
    </row>
    <row r="135">
      <c r="A135" s="46" t="s">
        <v>544</v>
      </c>
      <c r="B135" s="14"/>
    </row>
    <row r="136">
      <c r="A136" s="11" t="s">
        <v>631</v>
      </c>
      <c r="B136" s="14"/>
    </row>
    <row r="137">
      <c r="A137" s="47" t="s">
        <v>711</v>
      </c>
      <c r="B137" s="14"/>
    </row>
    <row r="138">
      <c r="A138" s="11" t="s">
        <v>637</v>
      </c>
      <c r="B138" s="14"/>
    </row>
    <row r="139">
      <c r="A139" s="11" t="s">
        <v>685</v>
      </c>
      <c r="B139" s="14"/>
    </row>
    <row r="140">
      <c r="A140" s="11" t="s">
        <v>643</v>
      </c>
      <c r="B140" s="14"/>
    </row>
    <row r="141">
      <c r="A141" s="11" t="s">
        <v>689</v>
      </c>
      <c r="B141" s="14"/>
    </row>
    <row r="142">
      <c r="A142" s="11" t="s">
        <v>654</v>
      </c>
      <c r="B142" s="14"/>
    </row>
    <row r="143">
      <c r="A143" s="11" t="s">
        <v>691</v>
      </c>
      <c r="B143" s="14"/>
    </row>
    <row r="144">
      <c r="A144" s="11" t="s">
        <v>696</v>
      </c>
      <c r="B144" s="14"/>
    </row>
    <row r="145">
      <c r="A145" s="11" t="s">
        <v>658</v>
      </c>
      <c r="B145" s="14"/>
    </row>
    <row r="146">
      <c r="A146" s="11" t="s">
        <v>656</v>
      </c>
      <c r="B146" s="14"/>
    </row>
    <row r="147">
      <c r="A147" s="11" t="s">
        <v>699</v>
      </c>
      <c r="B147" s="14"/>
    </row>
    <row r="148">
      <c r="A148" s="11" t="s">
        <v>668</v>
      </c>
      <c r="B148" s="14"/>
    </row>
    <row r="149">
      <c r="A149" s="11" t="s">
        <v>745</v>
      </c>
      <c r="B149" s="14"/>
    </row>
    <row r="150">
      <c r="A150" s="11" t="s">
        <v>722</v>
      </c>
      <c r="B150" s="14"/>
    </row>
    <row r="151">
      <c r="A151" s="11" t="s">
        <v>810</v>
      </c>
      <c r="B151" s="14"/>
    </row>
    <row r="152">
      <c r="A152" s="11" t="s">
        <v>768</v>
      </c>
      <c r="B152" s="14"/>
    </row>
    <row r="153">
      <c r="A153" s="11" t="s">
        <v>773</v>
      </c>
      <c r="B153" s="14"/>
    </row>
    <row r="154">
      <c r="A154" s="11" t="s">
        <v>771</v>
      </c>
      <c r="B154" s="14"/>
    </row>
    <row r="155">
      <c r="A155" s="11" t="s">
        <v>782</v>
      </c>
      <c r="B155" s="14"/>
    </row>
    <row r="156">
      <c r="A156" s="11" t="s">
        <v>861</v>
      </c>
      <c r="B156" s="14"/>
    </row>
    <row r="157">
      <c r="A157" s="11" t="s">
        <v>828</v>
      </c>
      <c r="B157" s="14"/>
    </row>
    <row r="158">
      <c r="A158" s="11" t="s">
        <v>785</v>
      </c>
      <c r="B158" s="14"/>
    </row>
    <row r="159">
      <c r="A159" s="11" t="s">
        <v>830</v>
      </c>
      <c r="B159" s="14"/>
    </row>
    <row r="160">
      <c r="A160" s="11" t="s">
        <v>832</v>
      </c>
      <c r="B160" s="14"/>
    </row>
    <row r="161">
      <c r="A161" s="11" t="s">
        <v>798</v>
      </c>
      <c r="B161" s="14"/>
    </row>
    <row r="162">
      <c r="A162" s="11" t="s">
        <v>887</v>
      </c>
      <c r="B162" s="14"/>
    </row>
    <row r="163">
      <c r="A163" s="11" t="s">
        <v>839</v>
      </c>
      <c r="B163" s="14"/>
    </row>
    <row r="164">
      <c r="A164" s="11" t="s">
        <v>846</v>
      </c>
      <c r="B164" s="14"/>
    </row>
    <row r="165">
      <c r="A165" s="11" t="s">
        <v>877</v>
      </c>
      <c r="B165" s="14"/>
    </row>
    <row r="166">
      <c r="A166" s="11" t="s">
        <v>852</v>
      </c>
      <c r="B166" s="14"/>
    </row>
    <row r="167">
      <c r="A167" s="11" t="s">
        <v>882</v>
      </c>
      <c r="B167" s="14"/>
    </row>
    <row r="168">
      <c r="A168" s="11" t="s">
        <v>953</v>
      </c>
      <c r="B168" s="14"/>
    </row>
    <row r="169">
      <c r="A169" s="11" t="s">
        <v>959</v>
      </c>
      <c r="B169" s="14"/>
    </row>
    <row r="170">
      <c r="A170" s="11" t="s">
        <v>940</v>
      </c>
      <c r="B170" s="14"/>
    </row>
    <row r="171">
      <c r="A171" s="11" t="s">
        <v>974</v>
      </c>
      <c r="B171" s="14"/>
    </row>
    <row r="172">
      <c r="A172" s="11" t="s">
        <v>980</v>
      </c>
      <c r="B172" s="14"/>
    </row>
    <row r="173">
      <c r="A173" s="11" t="s">
        <v>1035</v>
      </c>
      <c r="B173" s="14"/>
    </row>
    <row r="174">
      <c r="A174" s="11" t="s">
        <v>1041</v>
      </c>
      <c r="B174" s="14"/>
    </row>
    <row r="175">
      <c r="A175" s="11" t="s">
        <v>1023</v>
      </c>
      <c r="B175" s="14"/>
    </row>
    <row r="176">
      <c r="A176" s="11" t="s">
        <v>1000</v>
      </c>
      <c r="B176" s="14"/>
    </row>
    <row r="177">
      <c r="A177" s="11" t="s">
        <v>1002</v>
      </c>
      <c r="B177" s="14"/>
    </row>
    <row r="178">
      <c r="A178" s="11" t="s">
        <v>1003</v>
      </c>
      <c r="B178" s="14"/>
    </row>
    <row r="179">
      <c r="A179" s="11" t="s">
        <v>1065</v>
      </c>
      <c r="B179" s="14"/>
    </row>
    <row r="180">
      <c r="A180" s="11" t="s">
        <v>1004</v>
      </c>
      <c r="B180" s="14"/>
    </row>
    <row r="181">
      <c r="A181" s="11" t="s">
        <v>1008</v>
      </c>
      <c r="B181" s="14"/>
      <c r="C181" s="11">
        <v>1.9991921409E10</v>
      </c>
    </row>
    <row r="182">
      <c r="A182" s="11" t="s">
        <v>1007</v>
      </c>
      <c r="B182" s="16">
        <v>5.1954506848E10</v>
      </c>
    </row>
    <row r="183">
      <c r="A183" s="11" t="s">
        <v>1005</v>
      </c>
      <c r="B183" s="16">
        <v>4.9055460877E10</v>
      </c>
    </row>
    <row r="184">
      <c r="A184" s="11" t="s">
        <v>1069</v>
      </c>
      <c r="B184" s="14"/>
    </row>
    <row r="185">
      <c r="A185" s="11" t="s">
        <v>1051</v>
      </c>
      <c r="B185" s="14"/>
    </row>
    <row r="186">
      <c r="A186" s="11" t="s">
        <v>1043</v>
      </c>
      <c r="B186" s="14"/>
    </row>
    <row r="187">
      <c r="A187" s="11" t="s">
        <v>1072</v>
      </c>
      <c r="B187" s="14"/>
    </row>
    <row r="188">
      <c r="A188" s="11" t="s">
        <v>1046</v>
      </c>
      <c r="B188" s="16" t="s">
        <v>1660</v>
      </c>
    </row>
    <row r="189">
      <c r="A189" s="11" t="s">
        <v>1085</v>
      </c>
      <c r="B189" s="14"/>
    </row>
    <row r="190">
      <c r="A190" s="11" t="s">
        <v>1056</v>
      </c>
      <c r="B190" s="14"/>
    </row>
    <row r="191">
      <c r="A191" s="11" t="s">
        <v>1094</v>
      </c>
      <c r="B191" s="16" t="s">
        <v>1661</v>
      </c>
      <c r="C191" s="11" t="s">
        <v>1662</v>
      </c>
    </row>
    <row r="192">
      <c r="A192" s="11" t="s">
        <v>1097</v>
      </c>
      <c r="B192" s="14"/>
      <c r="C192" s="77">
        <v>1.9989924902E10</v>
      </c>
    </row>
    <row r="193">
      <c r="A193" s="11" t="s">
        <v>1104</v>
      </c>
      <c r="B193" s="14"/>
    </row>
    <row r="194">
      <c r="A194" s="11" t="s">
        <v>1187</v>
      </c>
      <c r="B194" s="14"/>
    </row>
    <row r="195">
      <c r="A195" s="11" t="s">
        <v>1272</v>
      </c>
      <c r="B195" s="14"/>
    </row>
    <row r="196">
      <c r="A196" s="11" t="s">
        <v>1190</v>
      </c>
      <c r="B196" s="14"/>
    </row>
    <row r="197">
      <c r="A197" s="11" t="s">
        <v>1136</v>
      </c>
      <c r="B197" s="14"/>
    </row>
    <row r="198">
      <c r="A198" s="11" t="s">
        <v>1181</v>
      </c>
      <c r="B198" s="14"/>
    </row>
    <row r="199">
      <c r="A199" s="11" t="s">
        <v>1122</v>
      </c>
      <c r="B199" s="16">
        <v>1.7724934819E10</v>
      </c>
    </row>
    <row r="200">
      <c r="A200" s="11" t="s">
        <v>1193</v>
      </c>
      <c r="B200" s="14"/>
    </row>
    <row r="201">
      <c r="A201" s="11" t="s">
        <v>1213</v>
      </c>
      <c r="B201" s="14"/>
    </row>
    <row r="202">
      <c r="A202" s="11" t="s">
        <v>1205</v>
      </c>
      <c r="B202" s="14"/>
    </row>
    <row r="203">
      <c r="A203" s="11" t="s">
        <v>1207</v>
      </c>
      <c r="B203" s="14"/>
    </row>
    <row r="204">
      <c r="A204" s="11" t="s">
        <v>1195</v>
      </c>
      <c r="B204" s="14"/>
    </row>
    <row r="205">
      <c r="A205" s="11" t="s">
        <v>1161</v>
      </c>
      <c r="B205" s="14"/>
    </row>
    <row r="206">
      <c r="A206" s="11" t="s">
        <v>1163</v>
      </c>
      <c r="B206" s="14"/>
    </row>
    <row r="207">
      <c r="A207" s="11" t="s">
        <v>1229</v>
      </c>
      <c r="B207" s="16">
        <v>3.0372864821E10</v>
      </c>
      <c r="D207" s="11" t="s">
        <v>1663</v>
      </c>
    </row>
    <row r="208">
      <c r="A208" s="11" t="s">
        <v>1166</v>
      </c>
      <c r="B208" s="14"/>
    </row>
    <row r="209">
      <c r="A209" s="11" t="s">
        <v>1168</v>
      </c>
      <c r="B209" s="14"/>
    </row>
    <row r="210">
      <c r="A210" s="11" t="s">
        <v>1243</v>
      </c>
      <c r="B210" s="14"/>
    </row>
    <row r="211">
      <c r="A211" s="111" t="s">
        <v>1175</v>
      </c>
      <c r="B211" s="14"/>
    </row>
    <row r="212">
      <c r="A212" s="11" t="s">
        <v>1215</v>
      </c>
      <c r="B212" s="14"/>
    </row>
    <row r="213">
      <c r="A213" s="11" t="s">
        <v>1290</v>
      </c>
      <c r="B213" s="14"/>
    </row>
    <row r="214">
      <c r="A214" s="11" t="s">
        <v>1252</v>
      </c>
      <c r="B214" s="14"/>
    </row>
    <row r="215">
      <c r="A215" s="11" t="s">
        <v>1294</v>
      </c>
      <c r="B215" s="14"/>
    </row>
    <row r="216">
      <c r="A216" s="11" t="s">
        <v>1280</v>
      </c>
      <c r="B216" s="16">
        <v>7.0151016968E10</v>
      </c>
      <c r="D216" s="11" t="s">
        <v>1663</v>
      </c>
    </row>
    <row r="217">
      <c r="A217" s="11" t="s">
        <v>1322</v>
      </c>
      <c r="B217" s="14"/>
    </row>
    <row r="218">
      <c r="B218" s="14"/>
    </row>
    <row r="219">
      <c r="B219" s="14"/>
    </row>
    <row r="220">
      <c r="B220" s="14"/>
    </row>
    <row r="221">
      <c r="B221" s="14"/>
    </row>
    <row r="222">
      <c r="B222" s="14"/>
    </row>
    <row r="223">
      <c r="B223" s="14"/>
    </row>
    <row r="224">
      <c r="B224" s="14"/>
    </row>
    <row r="225">
      <c r="B225" s="14"/>
    </row>
    <row r="226">
      <c r="B226" s="14"/>
    </row>
    <row r="227">
      <c r="B227" s="14"/>
    </row>
    <row r="228">
      <c r="B228" s="14"/>
    </row>
    <row r="229">
      <c r="B229" s="14"/>
    </row>
    <row r="230">
      <c r="B230" s="14"/>
    </row>
    <row r="231">
      <c r="B231" s="14"/>
    </row>
    <row r="232">
      <c r="B232" s="14"/>
    </row>
    <row r="233">
      <c r="B233" s="14"/>
    </row>
    <row r="234">
      <c r="B234" s="14"/>
    </row>
    <row r="235">
      <c r="B235" s="14"/>
    </row>
    <row r="236">
      <c r="B236" s="14"/>
    </row>
    <row r="237">
      <c r="B237" s="14"/>
    </row>
    <row r="238">
      <c r="B238" s="14"/>
    </row>
    <row r="239">
      <c r="B239" s="14"/>
    </row>
    <row r="240">
      <c r="B240" s="14"/>
    </row>
    <row r="241">
      <c r="B241" s="14"/>
    </row>
    <row r="242">
      <c r="B242" s="14"/>
    </row>
    <row r="243">
      <c r="B243" s="14"/>
    </row>
    <row r="244">
      <c r="B244" s="14"/>
    </row>
    <row r="245">
      <c r="B245" s="14"/>
    </row>
    <row r="246">
      <c r="B246" s="14"/>
    </row>
    <row r="247">
      <c r="B247" s="14"/>
    </row>
    <row r="248">
      <c r="B248" s="14"/>
    </row>
    <row r="249">
      <c r="B249" s="14"/>
    </row>
    <row r="250">
      <c r="B250" s="14"/>
    </row>
    <row r="251">
      <c r="B251" s="14"/>
    </row>
    <row r="252">
      <c r="B252" s="14"/>
    </row>
    <row r="253">
      <c r="B253" s="14"/>
    </row>
    <row r="254">
      <c r="B254" s="14"/>
    </row>
    <row r="255">
      <c r="B255" s="14"/>
    </row>
    <row r="256">
      <c r="B256" s="14"/>
    </row>
    <row r="257">
      <c r="B257" s="14"/>
    </row>
    <row r="258">
      <c r="B258" s="14"/>
    </row>
    <row r="259">
      <c r="B259" s="14"/>
    </row>
    <row r="260">
      <c r="B260" s="14"/>
    </row>
    <row r="261">
      <c r="B261" s="14"/>
    </row>
    <row r="262">
      <c r="B262" s="14"/>
    </row>
    <row r="263">
      <c r="B263" s="14"/>
    </row>
    <row r="264">
      <c r="B264" s="14"/>
    </row>
    <row r="265">
      <c r="B265" s="14"/>
    </row>
    <row r="266">
      <c r="B266" s="14"/>
    </row>
    <row r="267">
      <c r="B267" s="14"/>
    </row>
    <row r="268">
      <c r="B268" s="14"/>
    </row>
    <row r="269">
      <c r="B269" s="14"/>
    </row>
    <row r="270">
      <c r="B270" s="14"/>
    </row>
    <row r="271">
      <c r="B271" s="14"/>
    </row>
    <row r="272">
      <c r="B272" s="14"/>
    </row>
    <row r="273">
      <c r="B273" s="14"/>
    </row>
    <row r="274">
      <c r="B274" s="14"/>
    </row>
    <row r="275">
      <c r="B275" s="14"/>
    </row>
    <row r="276">
      <c r="B276" s="14"/>
    </row>
    <row r="277">
      <c r="B277" s="14"/>
    </row>
    <row r="278">
      <c r="B278" s="14"/>
    </row>
    <row r="279">
      <c r="B279" s="14"/>
    </row>
    <row r="280">
      <c r="B280" s="14"/>
    </row>
    <row r="281">
      <c r="B281" s="14"/>
    </row>
    <row r="282">
      <c r="B282" s="14"/>
    </row>
    <row r="283">
      <c r="B283" s="14"/>
    </row>
    <row r="284">
      <c r="B284" s="14"/>
    </row>
    <row r="285">
      <c r="B285" s="14"/>
    </row>
    <row r="286">
      <c r="B286" s="14"/>
    </row>
    <row r="287">
      <c r="B287" s="14"/>
    </row>
    <row r="288">
      <c r="B288" s="14"/>
    </row>
    <row r="289">
      <c r="B289" s="14"/>
    </row>
    <row r="290">
      <c r="B290" s="14"/>
    </row>
    <row r="291">
      <c r="B291" s="14"/>
    </row>
    <row r="292">
      <c r="B292" s="14"/>
    </row>
    <row r="293">
      <c r="B293" s="14"/>
    </row>
    <row r="294">
      <c r="B294" s="14"/>
    </row>
    <row r="295">
      <c r="B295" s="14"/>
    </row>
    <row r="296">
      <c r="B296" s="14"/>
    </row>
    <row r="297">
      <c r="B297" s="14"/>
    </row>
    <row r="298">
      <c r="B298" s="14"/>
    </row>
    <row r="299">
      <c r="B299" s="14"/>
    </row>
    <row r="300">
      <c r="B300" s="14"/>
    </row>
    <row r="301">
      <c r="B301" s="14"/>
    </row>
    <row r="302">
      <c r="B302" s="14"/>
    </row>
    <row r="303">
      <c r="B303" s="14"/>
    </row>
    <row r="304">
      <c r="B304" s="14"/>
    </row>
    <row r="305">
      <c r="B305" s="14"/>
    </row>
    <row r="306">
      <c r="B306" s="14"/>
    </row>
    <row r="307">
      <c r="B307" s="14"/>
    </row>
    <row r="308">
      <c r="B308" s="14"/>
    </row>
    <row r="309">
      <c r="B309" s="14"/>
    </row>
    <row r="310">
      <c r="B310" s="14"/>
    </row>
    <row r="311">
      <c r="B311" s="14"/>
    </row>
    <row r="312">
      <c r="B312" s="14"/>
    </row>
    <row r="313">
      <c r="B313" s="14"/>
    </row>
    <row r="314">
      <c r="B314" s="14"/>
    </row>
    <row r="315">
      <c r="B315" s="14"/>
    </row>
    <row r="316">
      <c r="B316" s="14"/>
    </row>
    <row r="317">
      <c r="B317" s="14"/>
    </row>
    <row r="318">
      <c r="B318" s="14"/>
    </row>
    <row r="319">
      <c r="B319" s="14"/>
    </row>
    <row r="320">
      <c r="B320" s="14"/>
    </row>
    <row r="321">
      <c r="B321" s="14"/>
    </row>
    <row r="322">
      <c r="B322" s="14"/>
    </row>
    <row r="323">
      <c r="B323" s="14"/>
    </row>
    <row r="324">
      <c r="B324" s="14"/>
    </row>
    <row r="325">
      <c r="B325" s="14"/>
    </row>
    <row r="326">
      <c r="B326" s="14"/>
    </row>
    <row r="327">
      <c r="B327" s="14"/>
    </row>
    <row r="328">
      <c r="B328" s="14"/>
    </row>
    <row r="329">
      <c r="B329" s="14"/>
    </row>
    <row r="330">
      <c r="B330" s="14"/>
    </row>
    <row r="331">
      <c r="B331" s="14"/>
    </row>
    <row r="332">
      <c r="B332" s="14"/>
    </row>
    <row r="333">
      <c r="B333" s="14"/>
    </row>
    <row r="334">
      <c r="B334" s="14"/>
    </row>
    <row r="335">
      <c r="B335" s="14"/>
    </row>
    <row r="336">
      <c r="B336" s="14"/>
    </row>
    <row r="337">
      <c r="B337" s="14"/>
    </row>
    <row r="338">
      <c r="B338" s="14"/>
    </row>
    <row r="339">
      <c r="B339" s="14"/>
    </row>
    <row r="340">
      <c r="B340" s="14"/>
    </row>
    <row r="341">
      <c r="B341" s="14"/>
    </row>
    <row r="342">
      <c r="B342" s="14"/>
    </row>
    <row r="343">
      <c r="B343" s="14"/>
    </row>
    <row r="344">
      <c r="B344" s="14"/>
    </row>
    <row r="345">
      <c r="B345" s="14"/>
    </row>
    <row r="346">
      <c r="B346" s="14"/>
    </row>
    <row r="347">
      <c r="B347" s="14"/>
    </row>
    <row r="348">
      <c r="B348" s="14"/>
    </row>
    <row r="349">
      <c r="B349" s="14"/>
    </row>
    <row r="350">
      <c r="B350" s="14"/>
    </row>
    <row r="351">
      <c r="B351" s="14"/>
    </row>
    <row r="352">
      <c r="B352" s="14"/>
    </row>
    <row r="353">
      <c r="B353" s="14"/>
    </row>
    <row r="354">
      <c r="B354" s="14"/>
    </row>
    <row r="355">
      <c r="B355" s="14"/>
    </row>
    <row r="356">
      <c r="B356" s="14"/>
    </row>
    <row r="357">
      <c r="B357" s="14"/>
    </row>
    <row r="358">
      <c r="B358" s="14"/>
    </row>
    <row r="359">
      <c r="B359" s="14"/>
    </row>
    <row r="360">
      <c r="B360" s="14"/>
    </row>
    <row r="361">
      <c r="B361" s="14"/>
    </row>
    <row r="362">
      <c r="B362" s="14"/>
    </row>
    <row r="363">
      <c r="B363" s="14"/>
    </row>
    <row r="364">
      <c r="B364" s="14"/>
    </row>
    <row r="365">
      <c r="B365" s="14"/>
    </row>
    <row r="366">
      <c r="B366" s="14"/>
    </row>
    <row r="367">
      <c r="B367" s="14"/>
    </row>
    <row r="368">
      <c r="B368" s="14"/>
    </row>
    <row r="369">
      <c r="B369" s="14"/>
    </row>
    <row r="370">
      <c r="B370" s="14"/>
    </row>
    <row r="371">
      <c r="B371" s="14"/>
    </row>
    <row r="372">
      <c r="B372" s="14"/>
    </row>
    <row r="373">
      <c r="B373" s="14"/>
    </row>
    <row r="374">
      <c r="B374" s="14"/>
    </row>
    <row r="375">
      <c r="B375" s="14"/>
    </row>
    <row r="376">
      <c r="B376" s="14"/>
    </row>
    <row r="377">
      <c r="B377" s="14"/>
    </row>
    <row r="378">
      <c r="B378" s="14"/>
    </row>
    <row r="379">
      <c r="B379" s="14"/>
    </row>
    <row r="380">
      <c r="B380" s="14"/>
    </row>
    <row r="381">
      <c r="B381" s="14"/>
    </row>
    <row r="382">
      <c r="B382" s="14"/>
    </row>
    <row r="383">
      <c r="B383" s="14"/>
    </row>
    <row r="384">
      <c r="B384" s="14"/>
    </row>
    <row r="385">
      <c r="B385" s="14"/>
    </row>
    <row r="386">
      <c r="B386" s="14"/>
    </row>
    <row r="387">
      <c r="B387" s="14"/>
    </row>
    <row r="388">
      <c r="B388" s="14"/>
    </row>
    <row r="389">
      <c r="B389" s="14"/>
    </row>
    <row r="390">
      <c r="B390" s="14"/>
    </row>
    <row r="391">
      <c r="B391" s="14"/>
    </row>
    <row r="392">
      <c r="B392" s="14"/>
    </row>
    <row r="393">
      <c r="B393" s="14"/>
    </row>
    <row r="394">
      <c r="B394" s="14"/>
    </row>
    <row r="395">
      <c r="B395" s="14"/>
    </row>
    <row r="396">
      <c r="B396" s="14"/>
    </row>
    <row r="397">
      <c r="B397" s="14"/>
    </row>
    <row r="398">
      <c r="B398" s="14"/>
    </row>
    <row r="399">
      <c r="B399" s="14"/>
    </row>
    <row r="400">
      <c r="B400" s="14"/>
    </row>
    <row r="401">
      <c r="B401" s="14"/>
    </row>
    <row r="402">
      <c r="B402" s="14"/>
    </row>
    <row r="403">
      <c r="B403" s="14"/>
    </row>
    <row r="404">
      <c r="B404" s="14"/>
    </row>
    <row r="405">
      <c r="B405" s="14"/>
    </row>
    <row r="406">
      <c r="B406" s="14"/>
    </row>
    <row r="407">
      <c r="B407" s="14"/>
    </row>
    <row r="408">
      <c r="B408" s="14"/>
    </row>
    <row r="409">
      <c r="B409" s="14"/>
    </row>
    <row r="410">
      <c r="B410" s="14"/>
    </row>
    <row r="411">
      <c r="B411" s="14"/>
    </row>
    <row r="412">
      <c r="B412" s="14"/>
    </row>
    <row r="413">
      <c r="B413" s="14"/>
    </row>
    <row r="414">
      <c r="B414" s="14"/>
    </row>
    <row r="415">
      <c r="B415" s="14"/>
    </row>
    <row r="416">
      <c r="B416" s="14"/>
    </row>
    <row r="417">
      <c r="B417" s="14"/>
    </row>
    <row r="418">
      <c r="B418" s="14"/>
    </row>
    <row r="419">
      <c r="B419" s="14"/>
    </row>
    <row r="420">
      <c r="B420" s="14"/>
    </row>
    <row r="421">
      <c r="B421" s="14"/>
    </row>
    <row r="422">
      <c r="B422" s="14"/>
    </row>
    <row r="423">
      <c r="B423" s="14"/>
    </row>
    <row r="424">
      <c r="B424" s="14"/>
    </row>
    <row r="425">
      <c r="B425" s="14"/>
    </row>
    <row r="426">
      <c r="B426" s="14"/>
    </row>
    <row r="427">
      <c r="B427" s="14"/>
    </row>
    <row r="428">
      <c r="B428" s="14"/>
    </row>
    <row r="429">
      <c r="B429" s="14"/>
    </row>
    <row r="430">
      <c r="B430" s="14"/>
    </row>
    <row r="431">
      <c r="B431" s="14"/>
    </row>
    <row r="432">
      <c r="B432" s="14"/>
    </row>
    <row r="433">
      <c r="B433" s="14"/>
    </row>
    <row r="434">
      <c r="B434" s="14"/>
    </row>
    <row r="435">
      <c r="B435" s="14"/>
    </row>
    <row r="436">
      <c r="B436" s="14"/>
    </row>
    <row r="437">
      <c r="B437" s="14"/>
    </row>
    <row r="438">
      <c r="B438" s="14"/>
    </row>
    <row r="439">
      <c r="B439" s="14"/>
    </row>
    <row r="440">
      <c r="B440" s="14"/>
    </row>
    <row r="441">
      <c r="B441" s="14"/>
    </row>
    <row r="442">
      <c r="B442" s="14"/>
    </row>
    <row r="443">
      <c r="B443" s="14"/>
    </row>
    <row r="444">
      <c r="B444" s="14"/>
    </row>
    <row r="445">
      <c r="B445" s="14"/>
    </row>
    <row r="446">
      <c r="B446" s="14"/>
    </row>
    <row r="447">
      <c r="B447" s="14"/>
    </row>
    <row r="448">
      <c r="B448" s="14"/>
    </row>
    <row r="449">
      <c r="B449" s="14"/>
    </row>
    <row r="450">
      <c r="B450" s="14"/>
    </row>
    <row r="451">
      <c r="B451" s="14"/>
    </row>
    <row r="452">
      <c r="B452" s="14"/>
    </row>
    <row r="453">
      <c r="B453" s="14"/>
    </row>
    <row r="454">
      <c r="B454" s="14"/>
    </row>
    <row r="455">
      <c r="B455" s="14"/>
    </row>
    <row r="456">
      <c r="B456" s="14"/>
    </row>
    <row r="457">
      <c r="B457" s="14"/>
    </row>
    <row r="458">
      <c r="B458" s="14"/>
    </row>
    <row r="459">
      <c r="B459" s="14"/>
    </row>
    <row r="460">
      <c r="B460" s="14"/>
    </row>
    <row r="461">
      <c r="B461" s="14"/>
    </row>
    <row r="462">
      <c r="B462" s="14"/>
    </row>
    <row r="463">
      <c r="B463" s="14"/>
    </row>
    <row r="464">
      <c r="B464" s="14"/>
    </row>
    <row r="465">
      <c r="B465" s="14"/>
    </row>
    <row r="466">
      <c r="B466" s="14"/>
    </row>
    <row r="467">
      <c r="B467" s="14"/>
    </row>
    <row r="468">
      <c r="B468" s="14"/>
    </row>
    <row r="469">
      <c r="B469" s="14"/>
    </row>
    <row r="470">
      <c r="B470" s="14"/>
    </row>
    <row r="471">
      <c r="B471" s="14"/>
    </row>
    <row r="472">
      <c r="B472" s="14"/>
    </row>
    <row r="473">
      <c r="B473" s="14"/>
    </row>
    <row r="474">
      <c r="B474" s="14"/>
    </row>
    <row r="475">
      <c r="B475" s="14"/>
    </row>
    <row r="476">
      <c r="B476" s="14"/>
    </row>
    <row r="477">
      <c r="B477" s="14"/>
    </row>
    <row r="478">
      <c r="B478" s="14"/>
    </row>
    <row r="479">
      <c r="B479" s="14"/>
    </row>
    <row r="480">
      <c r="B480" s="14"/>
    </row>
    <row r="481">
      <c r="B481" s="14"/>
    </row>
    <row r="482">
      <c r="B482" s="14"/>
    </row>
    <row r="483">
      <c r="B483" s="14"/>
    </row>
    <row r="484">
      <c r="B484" s="14"/>
    </row>
    <row r="485">
      <c r="B485" s="14"/>
    </row>
    <row r="486">
      <c r="B486" s="14"/>
    </row>
    <row r="487">
      <c r="B487" s="14"/>
    </row>
    <row r="488">
      <c r="B488" s="14"/>
    </row>
    <row r="489">
      <c r="B489" s="14"/>
    </row>
    <row r="490">
      <c r="B490" s="14"/>
    </row>
    <row r="491">
      <c r="B491" s="14"/>
    </row>
    <row r="492">
      <c r="B492" s="14"/>
    </row>
    <row r="493">
      <c r="B493" s="14"/>
    </row>
    <row r="494">
      <c r="B494" s="14"/>
    </row>
    <row r="495">
      <c r="B495" s="14"/>
    </row>
    <row r="496">
      <c r="B496" s="14"/>
    </row>
    <row r="497">
      <c r="B497" s="14"/>
    </row>
    <row r="498">
      <c r="B498" s="14"/>
    </row>
    <row r="499">
      <c r="B499" s="14"/>
    </row>
    <row r="500">
      <c r="B500" s="14"/>
    </row>
    <row r="501">
      <c r="B501" s="14"/>
    </row>
    <row r="502">
      <c r="B502" s="14"/>
    </row>
    <row r="503">
      <c r="B503" s="14"/>
    </row>
    <row r="504">
      <c r="B504" s="14"/>
    </row>
    <row r="505">
      <c r="B505" s="14"/>
    </row>
    <row r="506">
      <c r="B506" s="14"/>
    </row>
    <row r="507">
      <c r="B507" s="14"/>
    </row>
    <row r="508">
      <c r="B508" s="14"/>
    </row>
    <row r="509">
      <c r="B509" s="14"/>
    </row>
    <row r="510">
      <c r="B510" s="14"/>
    </row>
    <row r="511">
      <c r="B511" s="14"/>
    </row>
    <row r="512">
      <c r="B512" s="14"/>
    </row>
    <row r="513">
      <c r="B513" s="14"/>
    </row>
    <row r="514">
      <c r="B514" s="14"/>
    </row>
    <row r="515">
      <c r="B515" s="14"/>
    </row>
    <row r="516">
      <c r="B516" s="14"/>
    </row>
    <row r="517">
      <c r="B517" s="14"/>
    </row>
    <row r="518">
      <c r="B518" s="14"/>
    </row>
    <row r="519">
      <c r="B519" s="14"/>
    </row>
    <row r="520">
      <c r="B520" s="14"/>
    </row>
    <row r="521">
      <c r="B521" s="14"/>
    </row>
    <row r="522">
      <c r="B522" s="14"/>
    </row>
    <row r="523">
      <c r="B523" s="14"/>
    </row>
    <row r="524">
      <c r="B524" s="14"/>
    </row>
    <row r="525">
      <c r="B525" s="14"/>
    </row>
    <row r="526">
      <c r="B526" s="14"/>
    </row>
    <row r="527">
      <c r="B527" s="14"/>
    </row>
    <row r="528">
      <c r="B528" s="14"/>
    </row>
    <row r="529">
      <c r="B529" s="14"/>
    </row>
    <row r="530">
      <c r="B530" s="14"/>
    </row>
    <row r="531">
      <c r="B531" s="14"/>
    </row>
    <row r="532">
      <c r="B532" s="14"/>
    </row>
    <row r="533">
      <c r="B533" s="14"/>
    </row>
    <row r="534">
      <c r="B534" s="14"/>
    </row>
    <row r="535">
      <c r="B535" s="14"/>
    </row>
    <row r="536">
      <c r="B536" s="14"/>
    </row>
    <row r="537">
      <c r="B537" s="14"/>
    </row>
    <row r="538">
      <c r="B538" s="14"/>
    </row>
    <row r="539">
      <c r="B539" s="14"/>
    </row>
    <row r="540">
      <c r="B540" s="14"/>
    </row>
    <row r="541">
      <c r="B541" s="14"/>
    </row>
    <row r="542">
      <c r="B542" s="14"/>
    </row>
    <row r="543">
      <c r="B543" s="14"/>
    </row>
    <row r="544">
      <c r="B544" s="14"/>
    </row>
    <row r="545">
      <c r="B545" s="14"/>
    </row>
    <row r="546">
      <c r="B546" s="14"/>
    </row>
    <row r="547">
      <c r="B547" s="14"/>
    </row>
    <row r="548">
      <c r="B548" s="14"/>
    </row>
    <row r="549">
      <c r="B549" s="14"/>
    </row>
    <row r="550">
      <c r="B550" s="14"/>
    </row>
    <row r="551">
      <c r="B551" s="14"/>
    </row>
    <row r="552">
      <c r="B552" s="14"/>
    </row>
    <row r="553">
      <c r="B553" s="14"/>
    </row>
    <row r="554">
      <c r="B554" s="14"/>
    </row>
    <row r="555">
      <c r="B555" s="14"/>
    </row>
    <row r="556">
      <c r="B556" s="14"/>
    </row>
    <row r="557">
      <c r="B557" s="14"/>
    </row>
    <row r="558">
      <c r="B558" s="14"/>
    </row>
    <row r="559">
      <c r="B559" s="14"/>
    </row>
    <row r="560">
      <c r="B560" s="14"/>
    </row>
    <row r="561">
      <c r="B561" s="14"/>
    </row>
    <row r="562">
      <c r="B562" s="14"/>
    </row>
    <row r="563">
      <c r="B563" s="14"/>
    </row>
    <row r="564">
      <c r="B564" s="14"/>
    </row>
    <row r="565">
      <c r="B565" s="14"/>
    </row>
    <row r="566">
      <c r="B566" s="14"/>
    </row>
    <row r="567">
      <c r="B567" s="14"/>
    </row>
    <row r="568">
      <c r="B568" s="14"/>
    </row>
    <row r="569">
      <c r="B569" s="14"/>
    </row>
    <row r="570">
      <c r="B570" s="14"/>
    </row>
    <row r="571">
      <c r="B571" s="14"/>
    </row>
    <row r="572">
      <c r="B572" s="14"/>
    </row>
    <row r="573">
      <c r="B573" s="14"/>
    </row>
    <row r="574">
      <c r="B574" s="14"/>
    </row>
    <row r="575">
      <c r="B575" s="14"/>
    </row>
    <row r="576">
      <c r="B576" s="14"/>
    </row>
    <row r="577">
      <c r="B577" s="14"/>
    </row>
    <row r="578">
      <c r="B578" s="14"/>
    </row>
    <row r="579">
      <c r="B579" s="14"/>
    </row>
    <row r="580">
      <c r="B580" s="14"/>
    </row>
    <row r="581">
      <c r="B581" s="14"/>
    </row>
    <row r="582">
      <c r="B582" s="14"/>
    </row>
    <row r="583">
      <c r="B583" s="14"/>
    </row>
    <row r="584">
      <c r="B584" s="14"/>
    </row>
    <row r="585">
      <c r="B585" s="14"/>
    </row>
    <row r="586">
      <c r="B586" s="14"/>
    </row>
    <row r="587">
      <c r="B587" s="14"/>
    </row>
    <row r="588">
      <c r="B588" s="14"/>
    </row>
    <row r="589">
      <c r="B589" s="14"/>
    </row>
    <row r="590">
      <c r="B590" s="14"/>
    </row>
    <row r="591">
      <c r="B591" s="14"/>
    </row>
    <row r="592">
      <c r="B592" s="14"/>
    </row>
    <row r="593">
      <c r="B593" s="14"/>
    </row>
    <row r="594">
      <c r="B594" s="14"/>
    </row>
    <row r="595">
      <c r="B595" s="14"/>
    </row>
    <row r="596">
      <c r="B596" s="14"/>
    </row>
    <row r="597">
      <c r="B597" s="14"/>
    </row>
    <row r="598">
      <c r="B598" s="14"/>
    </row>
    <row r="599">
      <c r="B599" s="14"/>
    </row>
    <row r="600">
      <c r="B600" s="14"/>
    </row>
    <row r="601">
      <c r="B601" s="14"/>
    </row>
    <row r="602">
      <c r="B602" s="14"/>
    </row>
    <row r="603">
      <c r="B603" s="14"/>
    </row>
    <row r="604">
      <c r="B604" s="14"/>
    </row>
    <row r="605">
      <c r="B605" s="14"/>
    </row>
    <row r="606">
      <c r="B606" s="14"/>
    </row>
    <row r="607">
      <c r="B607" s="14"/>
    </row>
    <row r="608">
      <c r="B608" s="14"/>
    </row>
    <row r="609">
      <c r="B609" s="14"/>
    </row>
    <row r="610">
      <c r="B610" s="14"/>
    </row>
    <row r="611">
      <c r="B611" s="14"/>
    </row>
    <row r="612">
      <c r="B612" s="14"/>
    </row>
    <row r="613">
      <c r="B613" s="14"/>
    </row>
    <row r="614">
      <c r="B614" s="14"/>
    </row>
    <row r="615">
      <c r="B615" s="14"/>
    </row>
    <row r="616">
      <c r="B616" s="14"/>
    </row>
    <row r="617">
      <c r="B617" s="14"/>
    </row>
    <row r="618">
      <c r="B618" s="14"/>
    </row>
    <row r="619">
      <c r="B619" s="14"/>
    </row>
    <row r="620">
      <c r="B620" s="14"/>
    </row>
    <row r="621">
      <c r="B621" s="14"/>
    </row>
    <row r="622">
      <c r="B622" s="14"/>
    </row>
    <row r="623">
      <c r="B623" s="14"/>
    </row>
    <row r="624">
      <c r="B624" s="14"/>
    </row>
    <row r="625">
      <c r="B625" s="14"/>
    </row>
    <row r="626">
      <c r="B626" s="14"/>
    </row>
    <row r="627">
      <c r="B627" s="14"/>
    </row>
    <row r="628">
      <c r="B628" s="14"/>
    </row>
    <row r="629">
      <c r="B629" s="14"/>
    </row>
    <row r="630">
      <c r="B630" s="14"/>
    </row>
    <row r="631">
      <c r="B631" s="14"/>
    </row>
    <row r="632">
      <c r="B632" s="14"/>
    </row>
    <row r="633">
      <c r="B633" s="14"/>
    </row>
    <row r="634">
      <c r="B634" s="14"/>
    </row>
    <row r="635">
      <c r="B635" s="14"/>
    </row>
    <row r="636">
      <c r="B636" s="14"/>
    </row>
    <row r="637">
      <c r="B637" s="14"/>
    </row>
    <row r="638">
      <c r="B638" s="14"/>
    </row>
    <row r="639">
      <c r="B639" s="14"/>
    </row>
    <row r="640">
      <c r="B640" s="14"/>
    </row>
    <row r="641">
      <c r="B641" s="14"/>
    </row>
    <row r="642">
      <c r="B642" s="14"/>
    </row>
    <row r="643">
      <c r="B643" s="14"/>
    </row>
    <row r="644">
      <c r="B644" s="14"/>
    </row>
    <row r="645">
      <c r="B645" s="14"/>
    </row>
    <row r="646">
      <c r="B646" s="14"/>
    </row>
    <row r="647">
      <c r="B647" s="14"/>
    </row>
    <row r="648">
      <c r="B648" s="14"/>
    </row>
    <row r="649">
      <c r="B649" s="14"/>
    </row>
    <row r="650">
      <c r="B650" s="14"/>
    </row>
    <row r="651">
      <c r="B651" s="14"/>
    </row>
    <row r="652">
      <c r="B652" s="14"/>
    </row>
    <row r="653">
      <c r="B653" s="14"/>
    </row>
    <row r="654">
      <c r="B654" s="14"/>
    </row>
    <row r="655">
      <c r="B655" s="14"/>
    </row>
    <row r="656">
      <c r="B656" s="14"/>
    </row>
    <row r="657">
      <c r="B657" s="14"/>
    </row>
    <row r="658">
      <c r="B658" s="14"/>
    </row>
    <row r="659">
      <c r="B659" s="14"/>
    </row>
    <row r="660">
      <c r="B660" s="14"/>
    </row>
    <row r="661">
      <c r="B661" s="14"/>
    </row>
    <row r="662">
      <c r="B662" s="14"/>
    </row>
    <row r="663">
      <c r="B663" s="14"/>
    </row>
    <row r="664">
      <c r="B664" s="14"/>
    </row>
    <row r="665">
      <c r="B665" s="14"/>
    </row>
    <row r="666">
      <c r="B666" s="14"/>
    </row>
    <row r="667">
      <c r="B667" s="14"/>
    </row>
    <row r="668">
      <c r="B668" s="14"/>
    </row>
    <row r="669">
      <c r="B669" s="14"/>
    </row>
    <row r="670">
      <c r="B670" s="14"/>
    </row>
    <row r="671">
      <c r="B671" s="14"/>
    </row>
    <row r="672">
      <c r="B672" s="14"/>
    </row>
    <row r="673">
      <c r="B673" s="14"/>
    </row>
    <row r="674">
      <c r="B674" s="14"/>
    </row>
    <row r="675">
      <c r="B675" s="14"/>
    </row>
    <row r="676">
      <c r="B676" s="14"/>
    </row>
    <row r="677">
      <c r="B677" s="14"/>
    </row>
    <row r="678">
      <c r="B678" s="14"/>
    </row>
    <row r="679">
      <c r="B679" s="14"/>
    </row>
    <row r="680">
      <c r="B680" s="14"/>
    </row>
    <row r="681">
      <c r="B681" s="14"/>
    </row>
    <row r="682">
      <c r="B682" s="14"/>
    </row>
    <row r="683">
      <c r="B683" s="14"/>
    </row>
    <row r="684">
      <c r="B684" s="14"/>
    </row>
    <row r="685">
      <c r="B685" s="14"/>
    </row>
    <row r="686">
      <c r="B686" s="14"/>
    </row>
    <row r="687">
      <c r="B687" s="14"/>
    </row>
    <row r="688">
      <c r="B688" s="14"/>
    </row>
    <row r="689">
      <c r="B689" s="14"/>
    </row>
    <row r="690">
      <c r="B690" s="14"/>
    </row>
    <row r="691">
      <c r="B691" s="14"/>
    </row>
    <row r="692">
      <c r="B692" s="14"/>
    </row>
    <row r="693">
      <c r="B693" s="14"/>
    </row>
    <row r="694">
      <c r="B694" s="14"/>
    </row>
    <row r="695">
      <c r="B695" s="14"/>
    </row>
    <row r="696">
      <c r="B696" s="14"/>
    </row>
    <row r="697">
      <c r="B697" s="14"/>
    </row>
    <row r="698">
      <c r="B698" s="14"/>
    </row>
    <row r="699">
      <c r="B699" s="14"/>
    </row>
    <row r="700">
      <c r="B700" s="14"/>
    </row>
    <row r="701">
      <c r="B701" s="14"/>
    </row>
    <row r="702">
      <c r="B702" s="14"/>
    </row>
    <row r="703">
      <c r="B703" s="14"/>
    </row>
    <row r="704">
      <c r="B704" s="14"/>
    </row>
    <row r="705">
      <c r="B705" s="14"/>
    </row>
    <row r="706">
      <c r="B706" s="14"/>
    </row>
    <row r="707">
      <c r="B707" s="14"/>
    </row>
    <row r="708">
      <c r="B708" s="14"/>
    </row>
    <row r="709">
      <c r="B709" s="14"/>
    </row>
    <row r="710">
      <c r="B710" s="14"/>
    </row>
    <row r="711">
      <c r="B711" s="14"/>
    </row>
    <row r="712">
      <c r="B712" s="14"/>
    </row>
    <row r="713">
      <c r="B713" s="14"/>
    </row>
    <row r="714">
      <c r="B714" s="14"/>
    </row>
    <row r="715">
      <c r="B715" s="14"/>
    </row>
    <row r="716">
      <c r="B716" s="14"/>
    </row>
    <row r="717">
      <c r="B717" s="14"/>
    </row>
    <row r="718">
      <c r="B718" s="14"/>
    </row>
    <row r="719">
      <c r="B719" s="14"/>
    </row>
    <row r="720">
      <c r="B720" s="14"/>
    </row>
    <row r="721">
      <c r="B721" s="14"/>
    </row>
    <row r="722">
      <c r="B722" s="14"/>
    </row>
    <row r="723">
      <c r="B723" s="14"/>
    </row>
    <row r="724">
      <c r="B724" s="14"/>
    </row>
    <row r="725">
      <c r="B725" s="14"/>
    </row>
    <row r="726">
      <c r="B726" s="14"/>
    </row>
    <row r="727">
      <c r="B727" s="14"/>
    </row>
    <row r="728">
      <c r="B728" s="14"/>
    </row>
    <row r="729">
      <c r="B729" s="14"/>
    </row>
    <row r="730">
      <c r="B730" s="14"/>
    </row>
    <row r="731">
      <c r="B731" s="14"/>
    </row>
    <row r="732">
      <c r="B732" s="14"/>
    </row>
    <row r="733">
      <c r="B733" s="14"/>
    </row>
    <row r="734">
      <c r="B734" s="14"/>
    </row>
    <row r="735">
      <c r="B735" s="14"/>
    </row>
    <row r="736">
      <c r="B736" s="14"/>
    </row>
    <row r="737">
      <c r="B737" s="14"/>
    </row>
    <row r="738">
      <c r="B738" s="14"/>
    </row>
    <row r="739">
      <c r="B739" s="14"/>
    </row>
    <row r="740">
      <c r="B740" s="14"/>
    </row>
    <row r="741">
      <c r="B741" s="14"/>
    </row>
    <row r="742">
      <c r="B742" s="14"/>
    </row>
    <row r="743">
      <c r="B743" s="14"/>
    </row>
    <row r="744">
      <c r="B744" s="14"/>
    </row>
    <row r="745">
      <c r="B745" s="14"/>
    </row>
    <row r="746">
      <c r="B746" s="14"/>
    </row>
    <row r="747">
      <c r="B747" s="14"/>
    </row>
    <row r="748">
      <c r="B748" s="14"/>
    </row>
    <row r="749">
      <c r="B749" s="14"/>
    </row>
    <row r="750">
      <c r="B750" s="14"/>
    </row>
    <row r="751">
      <c r="B751" s="14"/>
    </row>
    <row r="752">
      <c r="B752" s="14"/>
    </row>
    <row r="753">
      <c r="B753" s="14"/>
    </row>
    <row r="754">
      <c r="B754" s="14"/>
    </row>
    <row r="755">
      <c r="B755" s="14"/>
    </row>
    <row r="756">
      <c r="B756" s="14"/>
    </row>
    <row r="757">
      <c r="B757" s="14"/>
    </row>
    <row r="758">
      <c r="B758" s="14"/>
    </row>
    <row r="759">
      <c r="B759" s="14"/>
    </row>
    <row r="760">
      <c r="B760" s="14"/>
    </row>
    <row r="761">
      <c r="B761" s="14"/>
    </row>
    <row r="762">
      <c r="B762" s="14"/>
    </row>
    <row r="763">
      <c r="B763" s="14"/>
    </row>
    <row r="764">
      <c r="B764" s="14"/>
    </row>
    <row r="765">
      <c r="B765" s="14"/>
    </row>
    <row r="766">
      <c r="B766" s="14"/>
    </row>
    <row r="767">
      <c r="B767" s="14"/>
    </row>
    <row r="768">
      <c r="B768" s="14"/>
    </row>
    <row r="769">
      <c r="B769" s="14"/>
    </row>
    <row r="770">
      <c r="B770" s="14"/>
    </row>
    <row r="771">
      <c r="B771" s="14"/>
    </row>
    <row r="772">
      <c r="B772" s="14"/>
    </row>
    <row r="773">
      <c r="B773" s="14"/>
    </row>
    <row r="774">
      <c r="B774" s="14"/>
    </row>
    <row r="775">
      <c r="B775" s="14"/>
    </row>
    <row r="776">
      <c r="B776" s="14"/>
    </row>
    <row r="777">
      <c r="B777" s="14"/>
    </row>
    <row r="778">
      <c r="B778" s="14"/>
    </row>
    <row r="779">
      <c r="B779" s="14"/>
    </row>
    <row r="780">
      <c r="B780" s="14"/>
    </row>
    <row r="781">
      <c r="B781" s="14"/>
    </row>
    <row r="782">
      <c r="B782" s="14"/>
    </row>
    <row r="783">
      <c r="B783" s="14"/>
    </row>
    <row r="784">
      <c r="B784" s="14"/>
    </row>
    <row r="785">
      <c r="B785" s="14"/>
    </row>
    <row r="786">
      <c r="B786" s="14"/>
    </row>
    <row r="787">
      <c r="B787" s="14"/>
    </row>
    <row r="788">
      <c r="B788" s="14"/>
    </row>
    <row r="789">
      <c r="B789" s="14"/>
    </row>
    <row r="790">
      <c r="B790" s="14"/>
    </row>
    <row r="791">
      <c r="B791" s="14"/>
    </row>
    <row r="792">
      <c r="B792" s="14"/>
    </row>
    <row r="793">
      <c r="B793" s="14"/>
    </row>
    <row r="794">
      <c r="B794" s="14"/>
    </row>
    <row r="795">
      <c r="B795" s="14"/>
    </row>
    <row r="796">
      <c r="B796" s="14"/>
    </row>
    <row r="797">
      <c r="B797" s="14"/>
    </row>
    <row r="798">
      <c r="B798" s="14"/>
    </row>
    <row r="799">
      <c r="B799" s="14"/>
    </row>
    <row r="800">
      <c r="B800" s="14"/>
    </row>
    <row r="801">
      <c r="B801" s="14"/>
    </row>
    <row r="802">
      <c r="B802" s="14"/>
    </row>
    <row r="803">
      <c r="B803" s="14"/>
    </row>
    <row r="804">
      <c r="B804" s="14"/>
    </row>
    <row r="805">
      <c r="B805" s="14"/>
    </row>
    <row r="806">
      <c r="B806" s="14"/>
    </row>
    <row r="807">
      <c r="B807" s="14"/>
    </row>
    <row r="808">
      <c r="B808" s="14"/>
    </row>
    <row r="809">
      <c r="B809" s="14"/>
    </row>
    <row r="810">
      <c r="B810" s="14"/>
    </row>
    <row r="811">
      <c r="B811" s="14"/>
    </row>
    <row r="812">
      <c r="B812" s="14"/>
    </row>
    <row r="813">
      <c r="B813" s="14"/>
    </row>
    <row r="814">
      <c r="B814" s="14"/>
    </row>
    <row r="815">
      <c r="B815" s="14"/>
    </row>
    <row r="816">
      <c r="B816" s="14"/>
    </row>
    <row r="817">
      <c r="B817" s="14"/>
    </row>
    <row r="818">
      <c r="B818" s="14"/>
    </row>
    <row r="819">
      <c r="B819" s="14"/>
    </row>
    <row r="820">
      <c r="B820" s="14"/>
    </row>
    <row r="821">
      <c r="B821" s="14"/>
    </row>
    <row r="822">
      <c r="B822" s="14"/>
    </row>
    <row r="823">
      <c r="B823" s="14"/>
    </row>
    <row r="824">
      <c r="B824" s="14"/>
    </row>
    <row r="825">
      <c r="B825" s="14"/>
    </row>
    <row r="826">
      <c r="B826" s="14"/>
    </row>
    <row r="827">
      <c r="B827" s="14"/>
    </row>
    <row r="828">
      <c r="B828" s="14"/>
    </row>
    <row r="829">
      <c r="B829" s="14"/>
    </row>
    <row r="830">
      <c r="B830" s="14"/>
    </row>
    <row r="831">
      <c r="B831" s="14"/>
    </row>
    <row r="832">
      <c r="B832" s="14"/>
    </row>
    <row r="833">
      <c r="B833" s="14"/>
    </row>
    <row r="834">
      <c r="B834" s="14"/>
    </row>
    <row r="835">
      <c r="B835" s="14"/>
    </row>
    <row r="836">
      <c r="B836" s="14"/>
    </row>
    <row r="837">
      <c r="B837" s="14"/>
    </row>
    <row r="838">
      <c r="B838" s="14"/>
    </row>
    <row r="839">
      <c r="B839" s="14"/>
    </row>
    <row r="840">
      <c r="B840" s="14"/>
    </row>
    <row r="841">
      <c r="B841" s="14"/>
    </row>
    <row r="842">
      <c r="B842" s="14"/>
    </row>
    <row r="843">
      <c r="B843" s="14"/>
    </row>
    <row r="844">
      <c r="B844" s="14"/>
    </row>
    <row r="845">
      <c r="B845" s="14"/>
    </row>
    <row r="846">
      <c r="B846" s="14"/>
    </row>
    <row r="847">
      <c r="B847" s="14"/>
    </row>
    <row r="848">
      <c r="B848" s="14"/>
    </row>
    <row r="849">
      <c r="B849" s="14"/>
    </row>
    <row r="850">
      <c r="B850" s="14"/>
    </row>
    <row r="851">
      <c r="B851" s="14"/>
    </row>
    <row r="852">
      <c r="B852" s="14"/>
    </row>
    <row r="853">
      <c r="B853" s="14"/>
    </row>
    <row r="854">
      <c r="B854" s="14"/>
    </row>
    <row r="855">
      <c r="B855" s="14"/>
    </row>
    <row r="856">
      <c r="B856" s="14"/>
    </row>
    <row r="857">
      <c r="B857" s="14"/>
    </row>
    <row r="858">
      <c r="B858" s="14"/>
    </row>
    <row r="859">
      <c r="B859" s="14"/>
    </row>
    <row r="860">
      <c r="B860" s="14"/>
    </row>
    <row r="861">
      <c r="B861" s="14"/>
    </row>
    <row r="862">
      <c r="B862" s="14"/>
    </row>
    <row r="863">
      <c r="B863" s="14"/>
    </row>
    <row r="864">
      <c r="B864" s="14"/>
    </row>
    <row r="865">
      <c r="B865" s="14"/>
    </row>
    <row r="866">
      <c r="B866" s="14"/>
    </row>
    <row r="867">
      <c r="B867" s="14"/>
    </row>
    <row r="868">
      <c r="B868" s="14"/>
    </row>
    <row r="869">
      <c r="B869" s="14"/>
    </row>
    <row r="870">
      <c r="B870" s="14"/>
    </row>
    <row r="871">
      <c r="B871" s="14"/>
    </row>
    <row r="872">
      <c r="B872" s="14"/>
    </row>
    <row r="873">
      <c r="B873" s="14"/>
    </row>
    <row r="874">
      <c r="B874" s="14"/>
    </row>
    <row r="875">
      <c r="B875" s="14"/>
    </row>
    <row r="876">
      <c r="B876" s="14"/>
    </row>
    <row r="877">
      <c r="B877" s="14"/>
    </row>
    <row r="878">
      <c r="B878" s="14"/>
    </row>
    <row r="879">
      <c r="B879" s="14"/>
    </row>
    <row r="880">
      <c r="B880" s="14"/>
    </row>
    <row r="881">
      <c r="B881" s="14"/>
    </row>
    <row r="882">
      <c r="B882" s="14"/>
    </row>
    <row r="883">
      <c r="B883" s="14"/>
    </row>
    <row r="884">
      <c r="B884" s="14"/>
    </row>
    <row r="885">
      <c r="B885" s="14"/>
    </row>
    <row r="886">
      <c r="B886" s="14"/>
    </row>
    <row r="887">
      <c r="B887" s="14"/>
    </row>
    <row r="888">
      <c r="B888" s="14"/>
    </row>
    <row r="889">
      <c r="B889" s="14"/>
    </row>
    <row r="890">
      <c r="B890" s="14"/>
    </row>
    <row r="891">
      <c r="B891" s="14"/>
    </row>
    <row r="892">
      <c r="B892" s="14"/>
    </row>
    <row r="893">
      <c r="B893" s="14"/>
    </row>
    <row r="894">
      <c r="B894" s="14"/>
    </row>
    <row r="895">
      <c r="B895" s="14"/>
    </row>
    <row r="896">
      <c r="B896" s="14"/>
    </row>
    <row r="897">
      <c r="B897" s="14"/>
    </row>
    <row r="898">
      <c r="B898" s="14"/>
    </row>
    <row r="899">
      <c r="B899" s="14"/>
    </row>
    <row r="900">
      <c r="B900" s="14"/>
    </row>
    <row r="901">
      <c r="B901" s="14"/>
    </row>
    <row r="902">
      <c r="B902" s="14"/>
    </row>
    <row r="903">
      <c r="B903" s="14"/>
    </row>
    <row r="904">
      <c r="B904" s="14"/>
    </row>
    <row r="905">
      <c r="B905" s="14"/>
    </row>
    <row r="906">
      <c r="B906" s="14"/>
    </row>
    <row r="907">
      <c r="B907" s="14"/>
    </row>
    <row r="908">
      <c r="B908" s="14"/>
    </row>
    <row r="909">
      <c r="B909" s="14"/>
    </row>
    <row r="910">
      <c r="B910" s="14"/>
    </row>
    <row r="911">
      <c r="B911" s="14"/>
    </row>
    <row r="912">
      <c r="B912" s="14"/>
    </row>
    <row r="913">
      <c r="B913" s="14"/>
    </row>
    <row r="914">
      <c r="B914" s="14"/>
    </row>
    <row r="915">
      <c r="B915" s="14"/>
    </row>
    <row r="916">
      <c r="B916" s="14"/>
    </row>
    <row r="917">
      <c r="B917" s="14"/>
    </row>
    <row r="918">
      <c r="B918" s="14"/>
    </row>
    <row r="919">
      <c r="B919" s="14"/>
    </row>
    <row r="920">
      <c r="B920" s="14"/>
    </row>
    <row r="921">
      <c r="B921" s="14"/>
    </row>
    <row r="922">
      <c r="B922" s="14"/>
    </row>
    <row r="923">
      <c r="B923" s="14"/>
    </row>
    <row r="924">
      <c r="B924" s="14"/>
    </row>
    <row r="925">
      <c r="B925" s="14"/>
    </row>
    <row r="926">
      <c r="B926" s="14"/>
    </row>
    <row r="927">
      <c r="B927" s="14"/>
    </row>
    <row r="928">
      <c r="B928" s="14"/>
    </row>
    <row r="929">
      <c r="B929" s="14"/>
    </row>
    <row r="930">
      <c r="B930" s="14"/>
    </row>
    <row r="931">
      <c r="B931" s="14"/>
    </row>
    <row r="932">
      <c r="B932" s="14"/>
    </row>
    <row r="933">
      <c r="B933" s="14"/>
    </row>
    <row r="934">
      <c r="B934" s="14"/>
    </row>
    <row r="935">
      <c r="B935" s="14"/>
    </row>
    <row r="936">
      <c r="B936" s="14"/>
    </row>
    <row r="937">
      <c r="B937" s="14"/>
    </row>
    <row r="938">
      <c r="B938" s="14"/>
    </row>
    <row r="939">
      <c r="B939" s="14"/>
    </row>
    <row r="940">
      <c r="B940" s="14"/>
    </row>
    <row r="941">
      <c r="B941" s="14"/>
    </row>
    <row r="942">
      <c r="B942" s="14"/>
    </row>
    <row r="943">
      <c r="B943" s="14"/>
    </row>
    <row r="944">
      <c r="B944" s="14"/>
    </row>
    <row r="945">
      <c r="B945" s="14"/>
    </row>
    <row r="946">
      <c r="B946" s="14"/>
    </row>
    <row r="947">
      <c r="B947" s="14"/>
    </row>
    <row r="948">
      <c r="B948" s="14"/>
    </row>
    <row r="949">
      <c r="B949" s="14"/>
    </row>
    <row r="950">
      <c r="B950" s="14"/>
    </row>
    <row r="951">
      <c r="B951" s="14"/>
    </row>
    <row r="952">
      <c r="B952" s="14"/>
    </row>
    <row r="953">
      <c r="B953" s="14"/>
    </row>
    <row r="954">
      <c r="B954" s="14"/>
    </row>
    <row r="955">
      <c r="B955" s="14"/>
    </row>
    <row r="956">
      <c r="B956" s="14"/>
    </row>
    <row r="957">
      <c r="B957" s="14"/>
    </row>
    <row r="958">
      <c r="B958" s="14"/>
    </row>
    <row r="959">
      <c r="B959" s="14"/>
    </row>
    <row r="960">
      <c r="B960" s="14"/>
    </row>
    <row r="961">
      <c r="B961" s="14"/>
    </row>
    <row r="962">
      <c r="B962" s="14"/>
    </row>
    <row r="963">
      <c r="B963" s="14"/>
    </row>
    <row r="964">
      <c r="B964" s="14"/>
    </row>
    <row r="965">
      <c r="B965" s="14"/>
    </row>
    <row r="966">
      <c r="B966" s="14"/>
    </row>
    <row r="967">
      <c r="B967" s="14"/>
    </row>
    <row r="968">
      <c r="B968" s="14"/>
    </row>
    <row r="969">
      <c r="B969" s="14"/>
    </row>
    <row r="970">
      <c r="B970" s="14"/>
    </row>
    <row r="971">
      <c r="B971" s="14"/>
    </row>
    <row r="972">
      <c r="B972" s="14"/>
    </row>
    <row r="973">
      <c r="B973" s="14"/>
    </row>
    <row r="974">
      <c r="B974" s="14"/>
    </row>
    <row r="975">
      <c r="B975" s="14"/>
    </row>
    <row r="976">
      <c r="B976" s="14"/>
    </row>
    <row r="977">
      <c r="B977" s="14"/>
    </row>
    <row r="978">
      <c r="B978" s="14"/>
    </row>
    <row r="979">
      <c r="B979" s="14"/>
    </row>
    <row r="980">
      <c r="B980" s="14"/>
    </row>
    <row r="981">
      <c r="B981" s="14"/>
    </row>
    <row r="982">
      <c r="B982" s="14"/>
    </row>
    <row r="983">
      <c r="B983" s="14"/>
    </row>
    <row r="984">
      <c r="B984" s="14"/>
    </row>
    <row r="985">
      <c r="B985" s="14"/>
    </row>
    <row r="986">
      <c r="B986" s="14"/>
    </row>
    <row r="987">
      <c r="B987" s="14"/>
    </row>
    <row r="988">
      <c r="B988" s="14"/>
    </row>
    <row r="989">
      <c r="B989" s="14"/>
    </row>
    <row r="990">
      <c r="B990" s="14"/>
    </row>
    <row r="991">
      <c r="B991" s="14"/>
    </row>
    <row r="992">
      <c r="B992" s="14"/>
    </row>
    <row r="993">
      <c r="B993" s="14"/>
    </row>
    <row r="994">
      <c r="B994" s="14"/>
    </row>
    <row r="995">
      <c r="B995" s="14"/>
    </row>
    <row r="996">
      <c r="B996" s="14"/>
    </row>
    <row r="997">
      <c r="B997" s="14"/>
    </row>
    <row r="998">
      <c r="B998" s="1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1.63"/>
    <col customWidth="1" min="2" max="2" width="34.63"/>
    <col customWidth="1" min="3" max="3" width="26.38"/>
  </cols>
  <sheetData>
    <row r="1">
      <c r="B1" s="70"/>
    </row>
    <row r="2">
      <c r="B2" s="70"/>
    </row>
    <row r="3">
      <c r="B3" s="70"/>
    </row>
    <row r="4"/>
    <row r="5"/>
    <row r="6"/>
    <row r="7"/>
    <row r="8"/>
    <row r="9"/>
    <row r="10"/>
    <row r="11">
      <c r="B11" s="70"/>
    </row>
    <row r="12">
      <c r="B12" s="70"/>
    </row>
    <row r="13">
      <c r="B13" s="70"/>
    </row>
    <row r="14">
      <c r="B14" s="70"/>
    </row>
    <row r="15">
      <c r="B15" s="70"/>
    </row>
    <row r="16">
      <c r="B16" s="70"/>
    </row>
    <row r="17">
      <c r="B17" s="70"/>
    </row>
    <row r="18">
      <c r="B18" s="70"/>
    </row>
    <row r="19">
      <c r="B19" s="70"/>
    </row>
    <row r="20">
      <c r="B20" s="70"/>
    </row>
    <row r="21">
      <c r="B21" s="70"/>
    </row>
    <row r="22">
      <c r="B22" s="70"/>
    </row>
    <row r="23">
      <c r="B23" s="70"/>
    </row>
    <row r="24">
      <c r="B24" s="70"/>
    </row>
    <row r="25">
      <c r="B25" s="70"/>
    </row>
    <row r="26">
      <c r="B26" s="70"/>
    </row>
    <row r="27">
      <c r="B27" s="70"/>
    </row>
    <row r="28">
      <c r="B28" s="70"/>
    </row>
    <row r="29">
      <c r="B29" s="70"/>
    </row>
    <row r="30">
      <c r="B30" s="70"/>
    </row>
    <row r="31">
      <c r="B31" s="70"/>
    </row>
    <row r="32">
      <c r="B32" s="70"/>
    </row>
    <row r="33">
      <c r="B33" s="70"/>
    </row>
    <row r="34">
      <c r="B34" s="70"/>
    </row>
    <row r="35">
      <c r="B35" s="70"/>
    </row>
    <row r="36">
      <c r="B36" s="70"/>
    </row>
    <row r="37">
      <c r="B37" s="70"/>
    </row>
    <row r="38">
      <c r="B38" s="70"/>
    </row>
    <row r="39">
      <c r="B39" s="70"/>
    </row>
    <row r="40">
      <c r="B40" s="70"/>
    </row>
    <row r="41">
      <c r="B41" s="70"/>
    </row>
    <row r="42">
      <c r="B42" s="70"/>
    </row>
    <row r="43">
      <c r="B43" s="70"/>
    </row>
    <row r="44">
      <c r="B44" s="70"/>
    </row>
    <row r="45">
      <c r="B45" s="70"/>
    </row>
    <row r="46">
      <c r="B46" s="70"/>
    </row>
    <row r="47">
      <c r="B47" s="70"/>
    </row>
    <row r="48">
      <c r="B48" s="70"/>
    </row>
    <row r="49">
      <c r="B49" s="70"/>
    </row>
    <row r="50">
      <c r="B50" s="70"/>
    </row>
    <row r="51">
      <c r="B51" s="70"/>
    </row>
    <row r="52">
      <c r="B52" s="70"/>
    </row>
    <row r="53">
      <c r="B53" s="70"/>
    </row>
    <row r="54">
      <c r="B54" s="70"/>
    </row>
    <row r="55">
      <c r="B55" s="70"/>
    </row>
    <row r="56">
      <c r="B56" s="70"/>
    </row>
    <row r="57">
      <c r="B57" s="70"/>
    </row>
    <row r="58">
      <c r="B58" s="70"/>
    </row>
    <row r="59">
      <c r="B59" s="70"/>
    </row>
    <row r="60">
      <c r="B60" s="70"/>
    </row>
    <row r="61">
      <c r="B61" s="70"/>
    </row>
    <row r="62">
      <c r="B62" s="70"/>
    </row>
    <row r="63">
      <c r="B63" s="70"/>
    </row>
    <row r="64">
      <c r="B64" s="70"/>
    </row>
    <row r="65">
      <c r="B65" s="70"/>
    </row>
    <row r="66">
      <c r="B66" s="70"/>
    </row>
    <row r="67">
      <c r="B67" s="70"/>
    </row>
    <row r="68">
      <c r="B68" s="70"/>
    </row>
    <row r="69">
      <c r="B69" s="70"/>
    </row>
    <row r="70">
      <c r="B70" s="70"/>
    </row>
    <row r="71">
      <c r="B71" s="70"/>
    </row>
    <row r="72">
      <c r="B72" s="70"/>
    </row>
    <row r="73">
      <c r="B73" s="70"/>
    </row>
    <row r="74">
      <c r="B74" s="70"/>
    </row>
    <row r="75">
      <c r="B75" s="70"/>
    </row>
    <row r="76">
      <c r="B76" s="70"/>
    </row>
    <row r="77">
      <c r="B77" s="70"/>
    </row>
    <row r="78">
      <c r="B78" s="70"/>
    </row>
    <row r="79">
      <c r="B79" s="70"/>
    </row>
    <row r="80">
      <c r="B80" s="70"/>
    </row>
    <row r="81">
      <c r="B81" s="70"/>
    </row>
    <row r="82">
      <c r="B82" s="70"/>
    </row>
    <row r="83">
      <c r="B83" s="70"/>
    </row>
    <row r="84">
      <c r="B84" s="70"/>
    </row>
    <row r="85">
      <c r="B85" s="70"/>
    </row>
    <row r="86">
      <c r="B86" s="70"/>
    </row>
    <row r="87">
      <c r="B87" s="70"/>
    </row>
    <row r="88">
      <c r="B88" s="70"/>
    </row>
    <row r="89">
      <c r="B89" s="70"/>
    </row>
    <row r="90">
      <c r="B90" s="70"/>
    </row>
    <row r="91">
      <c r="B91" s="70"/>
    </row>
    <row r="92">
      <c r="B92" s="70"/>
    </row>
    <row r="93">
      <c r="B93" s="70"/>
    </row>
    <row r="94">
      <c r="B94" s="70"/>
    </row>
    <row r="95">
      <c r="B95" s="70"/>
    </row>
    <row r="96">
      <c r="B96" s="70"/>
    </row>
    <row r="97">
      <c r="B97" s="70"/>
    </row>
    <row r="98">
      <c r="B98" s="70"/>
    </row>
    <row r="99">
      <c r="B99" s="70"/>
    </row>
    <row r="100">
      <c r="B100" s="70"/>
    </row>
    <row r="101">
      <c r="B101" s="70"/>
    </row>
    <row r="102">
      <c r="B102" s="70"/>
    </row>
    <row r="103">
      <c r="B103" s="70"/>
    </row>
    <row r="104">
      <c r="B104" s="70"/>
    </row>
    <row r="105">
      <c r="B105" s="70"/>
    </row>
    <row r="106">
      <c r="B106" s="70"/>
    </row>
    <row r="107">
      <c r="B107" s="70"/>
    </row>
    <row r="108">
      <c r="B108" s="70"/>
    </row>
    <row r="109">
      <c r="B109" s="70"/>
    </row>
    <row r="110">
      <c r="B110" s="70"/>
    </row>
    <row r="111">
      <c r="B111" s="70"/>
    </row>
    <row r="112">
      <c r="B112" s="70"/>
    </row>
    <row r="113">
      <c r="B113" s="70"/>
    </row>
    <row r="114">
      <c r="B114" s="70"/>
    </row>
    <row r="115">
      <c r="B115" s="70"/>
    </row>
    <row r="116">
      <c r="B116" s="70"/>
    </row>
    <row r="117">
      <c r="B117" s="70"/>
    </row>
    <row r="118">
      <c r="B118" s="70"/>
    </row>
    <row r="119">
      <c r="B119" s="70"/>
    </row>
    <row r="120">
      <c r="B120" s="70"/>
    </row>
    <row r="121">
      <c r="B121" s="70"/>
    </row>
    <row r="122">
      <c r="B122" s="70"/>
    </row>
    <row r="123">
      <c r="B123" s="70"/>
    </row>
    <row r="124">
      <c r="B124" s="70"/>
    </row>
    <row r="125">
      <c r="B125" s="70"/>
    </row>
    <row r="126">
      <c r="B126" s="70"/>
    </row>
    <row r="127">
      <c r="B127" s="70"/>
    </row>
    <row r="128">
      <c r="B128" s="70"/>
    </row>
    <row r="129">
      <c r="B129" s="70"/>
    </row>
    <row r="130">
      <c r="B130" s="70"/>
    </row>
    <row r="131">
      <c r="B131" s="70"/>
    </row>
    <row r="132">
      <c r="B132" s="70"/>
    </row>
    <row r="133">
      <c r="B133" s="70"/>
    </row>
    <row r="134">
      <c r="B134" s="70"/>
    </row>
    <row r="135">
      <c r="B135" s="70"/>
    </row>
    <row r="136">
      <c r="B136" s="70"/>
    </row>
    <row r="137">
      <c r="B137" s="70"/>
    </row>
    <row r="138">
      <c r="B138" s="70"/>
    </row>
    <row r="139">
      <c r="B139" s="70"/>
    </row>
    <row r="140">
      <c r="B140" s="70"/>
    </row>
    <row r="141">
      <c r="B141" s="70"/>
    </row>
    <row r="142">
      <c r="B142" s="70"/>
    </row>
    <row r="143">
      <c r="B143" s="70"/>
    </row>
    <row r="144">
      <c r="B144" s="70"/>
    </row>
    <row r="145">
      <c r="B145" s="70"/>
    </row>
    <row r="146">
      <c r="B146" s="70"/>
    </row>
    <row r="147">
      <c r="B147" s="70"/>
    </row>
    <row r="148">
      <c r="B148" s="70"/>
    </row>
    <row r="149">
      <c r="B149" s="70"/>
    </row>
    <row r="150">
      <c r="B150" s="70"/>
    </row>
    <row r="151">
      <c r="B151" s="70"/>
    </row>
    <row r="152">
      <c r="B152" s="70"/>
    </row>
    <row r="153">
      <c r="B153" s="70"/>
    </row>
    <row r="154">
      <c r="B154" s="70"/>
    </row>
    <row r="155">
      <c r="B155" s="70"/>
    </row>
    <row r="156">
      <c r="B156" s="70"/>
    </row>
    <row r="157">
      <c r="B157" s="70"/>
    </row>
    <row r="158">
      <c r="B158" s="70"/>
    </row>
    <row r="159">
      <c r="B159" s="70"/>
    </row>
    <row r="160">
      <c r="B160" s="70"/>
    </row>
    <row r="161">
      <c r="B161" s="70"/>
    </row>
    <row r="162">
      <c r="B162" s="70"/>
    </row>
    <row r="163">
      <c r="B163" s="70"/>
    </row>
    <row r="164">
      <c r="B164" s="70"/>
    </row>
    <row r="165">
      <c r="B165" s="70"/>
    </row>
    <row r="166">
      <c r="B166" s="70"/>
    </row>
    <row r="167">
      <c r="B167" s="70"/>
    </row>
    <row r="168">
      <c r="B168" s="70"/>
    </row>
    <row r="169">
      <c r="B169" s="70"/>
    </row>
    <row r="170">
      <c r="B170" s="70"/>
    </row>
    <row r="171">
      <c r="B171" s="70"/>
    </row>
    <row r="172">
      <c r="B172" s="70"/>
    </row>
    <row r="173">
      <c r="B173" s="70"/>
    </row>
    <row r="174">
      <c r="B174" s="70"/>
    </row>
    <row r="175">
      <c r="B175" s="70"/>
    </row>
    <row r="176">
      <c r="B176" s="70"/>
    </row>
    <row r="177">
      <c r="B177" s="70"/>
    </row>
    <row r="178">
      <c r="B178" s="70"/>
    </row>
    <row r="179">
      <c r="B179" s="70"/>
    </row>
    <row r="180">
      <c r="B180" s="70"/>
    </row>
    <row r="181">
      <c r="B181" s="70"/>
    </row>
    <row r="182">
      <c r="B182" s="70"/>
    </row>
    <row r="183">
      <c r="B183" s="70"/>
    </row>
    <row r="184">
      <c r="B184" s="70"/>
    </row>
    <row r="185">
      <c r="B185" s="70"/>
    </row>
    <row r="186">
      <c r="B186" s="70"/>
    </row>
    <row r="187">
      <c r="B187" s="70"/>
    </row>
    <row r="188">
      <c r="B188" s="70"/>
    </row>
    <row r="189">
      <c r="B189" s="70"/>
    </row>
    <row r="190">
      <c r="B190" s="70"/>
    </row>
    <row r="191">
      <c r="B191" s="70"/>
    </row>
    <row r="192">
      <c r="B192" s="70"/>
    </row>
    <row r="193">
      <c r="B193" s="70"/>
    </row>
    <row r="194">
      <c r="B194" s="70"/>
    </row>
    <row r="195">
      <c r="B195" s="70"/>
    </row>
    <row r="196">
      <c r="B196" s="70"/>
    </row>
    <row r="197">
      <c r="B197" s="70"/>
    </row>
    <row r="198">
      <c r="B198" s="70"/>
    </row>
    <row r="199">
      <c r="B199" s="70"/>
    </row>
    <row r="200">
      <c r="B200" s="70"/>
    </row>
    <row r="201">
      <c r="B201" s="70"/>
    </row>
    <row r="202">
      <c r="B202" s="70"/>
    </row>
    <row r="203">
      <c r="B203" s="70"/>
    </row>
    <row r="204">
      <c r="B204" s="70"/>
    </row>
    <row r="205">
      <c r="B205" s="70"/>
    </row>
    <row r="206">
      <c r="B206" s="70"/>
    </row>
    <row r="207">
      <c r="B207" s="70"/>
    </row>
    <row r="208">
      <c r="B208" s="70"/>
    </row>
    <row r="209">
      <c r="B209" s="70"/>
    </row>
    <row r="210">
      <c r="B210" s="70"/>
    </row>
    <row r="211">
      <c r="B211" s="70"/>
    </row>
    <row r="212">
      <c r="B212" s="70"/>
    </row>
    <row r="213">
      <c r="B213" s="70"/>
    </row>
    <row r="214">
      <c r="B214" s="70"/>
    </row>
    <row r="215">
      <c r="B215" s="70"/>
    </row>
    <row r="216">
      <c r="B216" s="70"/>
    </row>
    <row r="217">
      <c r="B217" s="70"/>
    </row>
    <row r="218">
      <c r="B218" s="70"/>
    </row>
    <row r="219">
      <c r="B219" s="70"/>
    </row>
    <row r="220">
      <c r="B220" s="70"/>
    </row>
    <row r="221">
      <c r="B221" s="70"/>
    </row>
    <row r="222">
      <c r="B222" s="70"/>
    </row>
    <row r="223">
      <c r="B223" s="70"/>
    </row>
    <row r="224">
      <c r="B224" s="70"/>
    </row>
    <row r="225">
      <c r="B225" s="70"/>
    </row>
    <row r="226">
      <c r="B226" s="70"/>
    </row>
    <row r="227">
      <c r="B227" s="70"/>
    </row>
    <row r="228">
      <c r="B228" s="70"/>
    </row>
    <row r="229">
      <c r="B229" s="70"/>
    </row>
    <row r="230">
      <c r="B230" s="70"/>
    </row>
    <row r="231">
      <c r="B231" s="70"/>
    </row>
    <row r="232">
      <c r="B232" s="70"/>
    </row>
    <row r="233">
      <c r="B233" s="70"/>
    </row>
    <row r="234">
      <c r="B234" s="70"/>
    </row>
    <row r="235">
      <c r="B235" s="70"/>
    </row>
    <row r="236">
      <c r="B236" s="70"/>
    </row>
    <row r="237">
      <c r="B237" s="70"/>
    </row>
    <row r="238">
      <c r="B238" s="70"/>
    </row>
    <row r="239">
      <c r="B239" s="70"/>
    </row>
    <row r="240">
      <c r="B240" s="70"/>
    </row>
    <row r="241">
      <c r="B241" s="70"/>
    </row>
    <row r="242">
      <c r="B242" s="70"/>
    </row>
    <row r="243">
      <c r="B243" s="70"/>
    </row>
    <row r="244">
      <c r="B244" s="70"/>
    </row>
    <row r="245">
      <c r="B245" s="70"/>
    </row>
    <row r="246">
      <c r="B246" s="70"/>
    </row>
    <row r="247">
      <c r="B247" s="70"/>
    </row>
    <row r="248">
      <c r="B248" s="70"/>
    </row>
    <row r="249">
      <c r="B249" s="70"/>
    </row>
    <row r="250">
      <c r="B250" s="70"/>
    </row>
    <row r="251">
      <c r="B251" s="70"/>
    </row>
    <row r="252">
      <c r="B252" s="70"/>
    </row>
    <row r="253">
      <c r="B253" s="70"/>
    </row>
    <row r="254">
      <c r="B254" s="70"/>
    </row>
    <row r="255">
      <c r="B255" s="70"/>
    </row>
    <row r="256">
      <c r="B256" s="70"/>
    </row>
    <row r="257">
      <c r="B257" s="70"/>
    </row>
    <row r="258">
      <c r="B258" s="70"/>
    </row>
    <row r="259">
      <c r="B259" s="70"/>
    </row>
    <row r="260">
      <c r="B260" s="70"/>
    </row>
    <row r="261">
      <c r="B261" s="70"/>
    </row>
    <row r="262">
      <c r="B262" s="70"/>
    </row>
    <row r="263">
      <c r="B263" s="70"/>
    </row>
    <row r="264">
      <c r="B264" s="70"/>
    </row>
    <row r="265">
      <c r="B265" s="70"/>
    </row>
    <row r="266">
      <c r="B266" s="70"/>
    </row>
    <row r="267">
      <c r="B267" s="70"/>
    </row>
    <row r="268">
      <c r="B268" s="70"/>
    </row>
    <row r="269">
      <c r="B269" s="70"/>
    </row>
    <row r="270">
      <c r="B270" s="70"/>
    </row>
    <row r="271">
      <c r="B271" s="70"/>
    </row>
    <row r="272">
      <c r="B272" s="70"/>
    </row>
    <row r="273">
      <c r="B273" s="70"/>
    </row>
    <row r="274">
      <c r="B274" s="70"/>
    </row>
    <row r="275">
      <c r="B275" s="70"/>
    </row>
    <row r="276">
      <c r="B276" s="70"/>
    </row>
    <row r="277">
      <c r="B277" s="70"/>
    </row>
    <row r="278">
      <c r="B278" s="70"/>
    </row>
    <row r="279">
      <c r="B279" s="70"/>
    </row>
    <row r="280">
      <c r="B280" s="70"/>
    </row>
    <row r="281">
      <c r="B281" s="70"/>
    </row>
    <row r="282">
      <c r="B282" s="70"/>
    </row>
    <row r="283">
      <c r="B283" s="70"/>
    </row>
    <row r="284">
      <c r="B284" s="70"/>
    </row>
    <row r="285">
      <c r="B285" s="70"/>
    </row>
    <row r="286">
      <c r="B286" s="70"/>
    </row>
    <row r="287">
      <c r="B287" s="70"/>
    </row>
    <row r="288">
      <c r="B288" s="70"/>
    </row>
    <row r="289">
      <c r="B289" s="70"/>
    </row>
    <row r="290">
      <c r="B290" s="70"/>
    </row>
    <row r="291">
      <c r="B291" s="70"/>
    </row>
    <row r="292">
      <c r="B292" s="70"/>
    </row>
    <row r="293">
      <c r="B293" s="70"/>
    </row>
    <row r="294">
      <c r="B294" s="70"/>
    </row>
    <row r="295">
      <c r="B295" s="70"/>
    </row>
    <row r="296">
      <c r="B296" s="70"/>
    </row>
    <row r="297">
      <c r="B297" s="70"/>
    </row>
    <row r="298">
      <c r="B298" s="70"/>
    </row>
    <row r="299">
      <c r="B299" s="70"/>
    </row>
    <row r="300">
      <c r="B300" s="70"/>
    </row>
    <row r="301">
      <c r="B301" s="70"/>
    </row>
    <row r="302">
      <c r="B302" s="70"/>
    </row>
    <row r="303">
      <c r="B303" s="70"/>
    </row>
    <row r="304">
      <c r="B304" s="70"/>
    </row>
    <row r="305">
      <c r="B305" s="70"/>
    </row>
    <row r="306">
      <c r="B306" s="70"/>
    </row>
    <row r="307">
      <c r="B307" s="70"/>
    </row>
    <row r="308">
      <c r="B308" s="70"/>
    </row>
    <row r="309">
      <c r="B309" s="70"/>
    </row>
    <row r="310">
      <c r="B310" s="70"/>
    </row>
    <row r="311">
      <c r="B311" s="70"/>
    </row>
    <row r="312">
      <c r="B312" s="70"/>
    </row>
    <row r="313">
      <c r="B313" s="70"/>
    </row>
    <row r="314">
      <c r="B314" s="70"/>
    </row>
    <row r="315">
      <c r="B315" s="70"/>
    </row>
    <row r="316">
      <c r="B316" s="70"/>
    </row>
    <row r="317">
      <c r="B317" s="70"/>
    </row>
    <row r="318">
      <c r="B318" s="70"/>
    </row>
    <row r="319">
      <c r="B319" s="70"/>
    </row>
    <row r="320">
      <c r="B320" s="70"/>
    </row>
    <row r="321">
      <c r="B321" s="70"/>
    </row>
    <row r="322">
      <c r="B322" s="70"/>
    </row>
    <row r="323">
      <c r="B323" s="70"/>
    </row>
    <row r="324">
      <c r="B324" s="70"/>
    </row>
    <row r="325">
      <c r="B325" s="70"/>
    </row>
    <row r="326">
      <c r="B326" s="70"/>
    </row>
    <row r="327">
      <c r="B327" s="70"/>
    </row>
    <row r="328">
      <c r="B328" s="70"/>
    </row>
    <row r="329">
      <c r="B329" s="70"/>
    </row>
    <row r="330">
      <c r="B330" s="70"/>
    </row>
    <row r="331">
      <c r="B331" s="70"/>
    </row>
    <row r="332">
      <c r="B332" s="70"/>
    </row>
    <row r="333">
      <c r="B333" s="70"/>
    </row>
    <row r="334">
      <c r="B334" s="70"/>
    </row>
    <row r="335">
      <c r="B335" s="70"/>
    </row>
    <row r="336">
      <c r="B336" s="70"/>
    </row>
    <row r="337">
      <c r="B337" s="70"/>
    </row>
    <row r="338">
      <c r="B338" s="70"/>
    </row>
    <row r="339">
      <c r="B339" s="70"/>
    </row>
    <row r="340">
      <c r="B340" s="70"/>
    </row>
    <row r="341">
      <c r="B341" s="70"/>
    </row>
    <row r="342">
      <c r="B342" s="70"/>
    </row>
    <row r="343">
      <c r="B343" s="70"/>
    </row>
    <row r="344">
      <c r="B344" s="70"/>
    </row>
    <row r="345">
      <c r="B345" s="70"/>
    </row>
    <row r="346">
      <c r="B346" s="70"/>
    </row>
    <row r="347">
      <c r="B347" s="70"/>
    </row>
    <row r="348">
      <c r="B348" s="70"/>
    </row>
    <row r="349">
      <c r="B349" s="70"/>
    </row>
    <row r="350">
      <c r="B350" s="70"/>
    </row>
    <row r="351">
      <c r="B351" s="70"/>
    </row>
    <row r="352">
      <c r="B352" s="70"/>
    </row>
    <row r="353">
      <c r="B353" s="70"/>
    </row>
    <row r="354">
      <c r="B354" s="70"/>
    </row>
    <row r="355">
      <c r="B355" s="70"/>
    </row>
    <row r="356">
      <c r="B356" s="70"/>
    </row>
    <row r="357">
      <c r="B357" s="70"/>
    </row>
    <row r="358">
      <c r="B358" s="70"/>
    </row>
    <row r="359">
      <c r="B359" s="70"/>
    </row>
    <row r="360">
      <c r="B360" s="70"/>
    </row>
    <row r="361">
      <c r="B361" s="70"/>
    </row>
    <row r="362">
      <c r="B362" s="70"/>
    </row>
    <row r="363">
      <c r="B363" s="70"/>
    </row>
    <row r="364">
      <c r="B364" s="70"/>
    </row>
    <row r="365">
      <c r="B365" s="70"/>
    </row>
    <row r="366">
      <c r="B366" s="70"/>
    </row>
    <row r="367">
      <c r="B367" s="70"/>
    </row>
    <row r="368">
      <c r="B368" s="70"/>
    </row>
    <row r="369">
      <c r="B369" s="70"/>
    </row>
    <row r="370">
      <c r="B370" s="70"/>
    </row>
    <row r="371">
      <c r="B371" s="70"/>
    </row>
    <row r="372">
      <c r="B372" s="70"/>
    </row>
    <row r="373">
      <c r="B373" s="70"/>
    </row>
    <row r="374">
      <c r="B374" s="70"/>
    </row>
    <row r="375">
      <c r="B375" s="70"/>
    </row>
    <row r="376">
      <c r="B376" s="70"/>
    </row>
    <row r="377">
      <c r="B377" s="70"/>
    </row>
    <row r="378">
      <c r="B378" s="70"/>
    </row>
    <row r="379">
      <c r="B379" s="70"/>
    </row>
    <row r="380">
      <c r="B380" s="70"/>
    </row>
    <row r="381">
      <c r="B381" s="70"/>
    </row>
    <row r="382">
      <c r="B382" s="70"/>
    </row>
    <row r="383">
      <c r="B383" s="70"/>
    </row>
    <row r="384">
      <c r="B384" s="70"/>
    </row>
    <row r="385">
      <c r="B385" s="70"/>
    </row>
    <row r="386">
      <c r="B386" s="70"/>
    </row>
    <row r="387">
      <c r="B387" s="70"/>
    </row>
    <row r="388">
      <c r="B388" s="70"/>
    </row>
    <row r="389">
      <c r="B389" s="70"/>
    </row>
    <row r="390">
      <c r="B390" s="70"/>
    </row>
    <row r="391">
      <c r="B391" s="70"/>
    </row>
    <row r="392">
      <c r="B392" s="70"/>
    </row>
    <row r="393">
      <c r="B393" s="70"/>
    </row>
    <row r="394">
      <c r="B394" s="70"/>
    </row>
    <row r="395">
      <c r="B395" s="70"/>
    </row>
    <row r="396">
      <c r="B396" s="70"/>
    </row>
    <row r="397">
      <c r="B397" s="70"/>
    </row>
    <row r="398">
      <c r="B398" s="70"/>
    </row>
    <row r="399">
      <c r="B399" s="70"/>
    </row>
    <row r="400">
      <c r="B400" s="70"/>
    </row>
    <row r="401">
      <c r="B401" s="70"/>
    </row>
    <row r="402">
      <c r="B402" s="70"/>
    </row>
    <row r="403">
      <c r="B403" s="70"/>
    </row>
    <row r="404">
      <c r="B404" s="70"/>
    </row>
    <row r="405">
      <c r="B405" s="70"/>
    </row>
    <row r="406">
      <c r="B406" s="70"/>
    </row>
    <row r="407">
      <c r="B407" s="70"/>
    </row>
    <row r="408">
      <c r="B408" s="70"/>
    </row>
    <row r="409">
      <c r="B409" s="70"/>
    </row>
    <row r="410">
      <c r="B410" s="70"/>
    </row>
    <row r="411">
      <c r="B411" s="70"/>
    </row>
    <row r="412">
      <c r="B412" s="70"/>
    </row>
    <row r="413">
      <c r="B413" s="70"/>
    </row>
    <row r="414">
      <c r="B414" s="70"/>
    </row>
    <row r="415">
      <c r="B415" s="70"/>
    </row>
    <row r="416">
      <c r="B416" s="70"/>
    </row>
    <row r="417">
      <c r="B417" s="70"/>
    </row>
    <row r="418">
      <c r="B418" s="70"/>
    </row>
    <row r="419">
      <c r="B419" s="70"/>
    </row>
    <row r="420">
      <c r="B420" s="70"/>
    </row>
    <row r="421">
      <c r="B421" s="70"/>
    </row>
    <row r="422">
      <c r="B422" s="70"/>
    </row>
    <row r="423">
      <c r="B423" s="70"/>
    </row>
    <row r="424">
      <c r="B424" s="70"/>
    </row>
    <row r="425">
      <c r="B425" s="70"/>
    </row>
    <row r="426">
      <c r="B426" s="70"/>
    </row>
    <row r="427">
      <c r="B427" s="70"/>
    </row>
    <row r="428">
      <c r="B428" s="70"/>
    </row>
    <row r="429">
      <c r="B429" s="70"/>
    </row>
    <row r="430">
      <c r="B430" s="70"/>
    </row>
    <row r="431">
      <c r="B431" s="70"/>
    </row>
    <row r="432">
      <c r="B432" s="70"/>
    </row>
    <row r="433">
      <c r="B433" s="70"/>
    </row>
    <row r="434">
      <c r="B434" s="70"/>
    </row>
    <row r="435">
      <c r="B435" s="70"/>
    </row>
    <row r="436">
      <c r="B436" s="70"/>
    </row>
    <row r="437">
      <c r="B437" s="70"/>
    </row>
    <row r="438">
      <c r="B438" s="70"/>
    </row>
    <row r="439">
      <c r="B439" s="70"/>
    </row>
    <row r="440">
      <c r="B440" s="70"/>
    </row>
    <row r="441">
      <c r="B441" s="70"/>
    </row>
    <row r="442">
      <c r="B442" s="70"/>
    </row>
    <row r="443">
      <c r="B443" s="70"/>
    </row>
    <row r="444">
      <c r="B444" s="70"/>
    </row>
    <row r="445">
      <c r="B445" s="70"/>
    </row>
    <row r="446">
      <c r="B446" s="70"/>
    </row>
    <row r="447">
      <c r="B447" s="70"/>
    </row>
    <row r="448">
      <c r="B448" s="70"/>
    </row>
    <row r="449">
      <c r="B449" s="70"/>
    </row>
    <row r="450">
      <c r="B450" s="70"/>
    </row>
    <row r="451">
      <c r="B451" s="70"/>
    </row>
    <row r="452">
      <c r="B452" s="70"/>
    </row>
    <row r="453">
      <c r="B453" s="70"/>
    </row>
    <row r="454">
      <c r="B454" s="70"/>
    </row>
    <row r="455">
      <c r="B455" s="70"/>
    </row>
    <row r="456">
      <c r="B456" s="70"/>
    </row>
    <row r="457">
      <c r="B457" s="70"/>
    </row>
    <row r="458">
      <c r="B458" s="70"/>
    </row>
    <row r="459">
      <c r="B459" s="70"/>
    </row>
    <row r="460">
      <c r="B460" s="70"/>
    </row>
    <row r="461">
      <c r="B461" s="70"/>
    </row>
    <row r="462">
      <c r="B462" s="70"/>
    </row>
    <row r="463">
      <c r="B463" s="70"/>
    </row>
    <row r="464">
      <c r="B464" s="70"/>
    </row>
    <row r="465">
      <c r="B465" s="70"/>
    </row>
    <row r="466">
      <c r="B466" s="70"/>
    </row>
    <row r="467">
      <c r="B467" s="70"/>
    </row>
    <row r="468">
      <c r="B468" s="70"/>
    </row>
    <row r="469">
      <c r="B469" s="70"/>
    </row>
    <row r="470">
      <c r="B470" s="70"/>
    </row>
    <row r="471">
      <c r="B471" s="70"/>
    </row>
    <row r="472">
      <c r="B472" s="70"/>
    </row>
    <row r="473">
      <c r="B473" s="70"/>
    </row>
    <row r="474">
      <c r="B474" s="70"/>
    </row>
    <row r="475">
      <c r="B475" s="70"/>
    </row>
    <row r="476">
      <c r="B476" s="70"/>
    </row>
    <row r="477">
      <c r="B477" s="70"/>
    </row>
    <row r="478">
      <c r="B478" s="70"/>
    </row>
    <row r="479">
      <c r="B479" s="70"/>
    </row>
    <row r="480">
      <c r="B480" s="70"/>
    </row>
    <row r="481">
      <c r="B481" s="70"/>
    </row>
    <row r="482">
      <c r="B482" s="70"/>
    </row>
    <row r="483">
      <c r="B483" s="70"/>
    </row>
    <row r="484">
      <c r="B484" s="70"/>
    </row>
    <row r="485">
      <c r="B485" s="70"/>
    </row>
    <row r="486">
      <c r="B486" s="70"/>
    </row>
    <row r="487">
      <c r="B487" s="70"/>
    </row>
    <row r="488">
      <c r="B488" s="70"/>
    </row>
    <row r="489">
      <c r="B489" s="70"/>
    </row>
    <row r="490">
      <c r="B490" s="70"/>
    </row>
    <row r="491">
      <c r="B491" s="70"/>
    </row>
    <row r="492">
      <c r="B492" s="70"/>
    </row>
    <row r="493">
      <c r="B493" s="70"/>
    </row>
    <row r="494">
      <c r="B494" s="70"/>
    </row>
    <row r="495">
      <c r="B495" s="70"/>
    </row>
    <row r="496">
      <c r="B496" s="70"/>
    </row>
    <row r="497">
      <c r="B497" s="70"/>
    </row>
    <row r="498">
      <c r="B498" s="70"/>
    </row>
    <row r="499">
      <c r="B499" s="70"/>
    </row>
    <row r="500">
      <c r="B500" s="70"/>
    </row>
    <row r="501">
      <c r="B501" s="70"/>
    </row>
    <row r="502">
      <c r="B502" s="70"/>
    </row>
    <row r="503">
      <c r="B503" s="70"/>
    </row>
    <row r="504">
      <c r="B504" s="70"/>
    </row>
    <row r="505">
      <c r="B505" s="70"/>
    </row>
    <row r="506">
      <c r="B506" s="70"/>
    </row>
    <row r="507">
      <c r="B507" s="70"/>
    </row>
    <row r="508">
      <c r="B508" s="70"/>
    </row>
    <row r="509">
      <c r="B509" s="70"/>
    </row>
    <row r="510">
      <c r="B510" s="70"/>
    </row>
    <row r="511">
      <c r="B511" s="70"/>
    </row>
    <row r="512">
      <c r="B512" s="70"/>
    </row>
    <row r="513">
      <c r="B513" s="70"/>
    </row>
    <row r="514">
      <c r="B514" s="70"/>
    </row>
    <row r="515">
      <c r="B515" s="70"/>
    </row>
    <row r="516">
      <c r="B516" s="70"/>
    </row>
    <row r="517">
      <c r="B517" s="70"/>
    </row>
    <row r="518">
      <c r="B518" s="70"/>
    </row>
    <row r="519">
      <c r="B519" s="70"/>
    </row>
    <row r="520">
      <c r="B520" s="70"/>
    </row>
    <row r="521">
      <c r="B521" s="70"/>
    </row>
    <row r="522">
      <c r="B522" s="70"/>
    </row>
    <row r="523">
      <c r="B523" s="70"/>
    </row>
    <row r="524">
      <c r="B524" s="70"/>
    </row>
    <row r="525">
      <c r="B525" s="70"/>
    </row>
    <row r="526">
      <c r="B526" s="70"/>
    </row>
    <row r="527">
      <c r="B527" s="70"/>
    </row>
    <row r="528">
      <c r="B528" s="70"/>
    </row>
    <row r="529">
      <c r="B529" s="70"/>
    </row>
    <row r="530">
      <c r="B530" s="70"/>
    </row>
    <row r="531">
      <c r="B531" s="70"/>
    </row>
    <row r="532">
      <c r="B532" s="70"/>
    </row>
    <row r="533">
      <c r="B533" s="70"/>
    </row>
    <row r="534">
      <c r="B534" s="70"/>
    </row>
    <row r="535">
      <c r="B535" s="70"/>
    </row>
    <row r="536">
      <c r="B536" s="70"/>
    </row>
    <row r="537">
      <c r="B537" s="70"/>
    </row>
    <row r="538">
      <c r="B538" s="70"/>
    </row>
    <row r="539">
      <c r="B539" s="70"/>
    </row>
    <row r="540">
      <c r="B540" s="70"/>
    </row>
    <row r="541">
      <c r="B541" s="70"/>
    </row>
    <row r="542">
      <c r="B542" s="70"/>
    </row>
    <row r="543">
      <c r="B543" s="70"/>
    </row>
    <row r="544">
      <c r="B544" s="70"/>
    </row>
    <row r="545">
      <c r="B545" s="70"/>
    </row>
    <row r="546">
      <c r="B546" s="70"/>
    </row>
    <row r="547">
      <c r="B547" s="70"/>
    </row>
    <row r="548">
      <c r="B548" s="70"/>
    </row>
    <row r="549">
      <c r="B549" s="70"/>
    </row>
    <row r="550">
      <c r="B550" s="70"/>
    </row>
    <row r="551">
      <c r="B551" s="70"/>
    </row>
    <row r="552">
      <c r="B552" s="70"/>
    </row>
    <row r="553">
      <c r="B553" s="70"/>
    </row>
    <row r="554">
      <c r="B554" s="70"/>
    </row>
    <row r="555">
      <c r="B555" s="70"/>
    </row>
    <row r="556">
      <c r="B556" s="70"/>
    </row>
    <row r="557">
      <c r="B557" s="70"/>
    </row>
    <row r="558">
      <c r="B558" s="70"/>
    </row>
    <row r="559">
      <c r="B559" s="70"/>
    </row>
    <row r="560">
      <c r="B560" s="70"/>
    </row>
    <row r="561">
      <c r="B561" s="70"/>
    </row>
    <row r="562">
      <c r="B562" s="70"/>
    </row>
    <row r="563">
      <c r="B563" s="70"/>
    </row>
    <row r="564">
      <c r="B564" s="70"/>
    </row>
    <row r="565">
      <c r="B565" s="70"/>
    </row>
    <row r="566">
      <c r="B566" s="70"/>
    </row>
    <row r="567">
      <c r="B567" s="70"/>
    </row>
    <row r="568">
      <c r="B568" s="70"/>
    </row>
    <row r="569">
      <c r="B569" s="70"/>
    </row>
    <row r="570">
      <c r="B570" s="70"/>
    </row>
    <row r="571">
      <c r="B571" s="70"/>
    </row>
    <row r="572">
      <c r="B572" s="70"/>
    </row>
    <row r="573">
      <c r="B573" s="70"/>
    </row>
    <row r="574">
      <c r="B574" s="70"/>
    </row>
    <row r="575">
      <c r="B575" s="70"/>
    </row>
    <row r="576">
      <c r="B576" s="70"/>
    </row>
    <row r="577">
      <c r="B577" s="70"/>
    </row>
    <row r="578">
      <c r="B578" s="70"/>
    </row>
    <row r="579">
      <c r="B579" s="70"/>
    </row>
    <row r="580">
      <c r="B580" s="70"/>
    </row>
    <row r="581">
      <c r="B581" s="70"/>
    </row>
    <row r="582">
      <c r="B582" s="70"/>
    </row>
    <row r="583">
      <c r="B583" s="70"/>
    </row>
    <row r="584">
      <c r="B584" s="70"/>
    </row>
    <row r="585">
      <c r="B585" s="70"/>
    </row>
    <row r="586">
      <c r="B586" s="70"/>
    </row>
    <row r="587">
      <c r="B587" s="70"/>
    </row>
    <row r="588">
      <c r="B588" s="70"/>
    </row>
    <row r="589">
      <c r="B589" s="70"/>
    </row>
    <row r="590">
      <c r="B590" s="70"/>
    </row>
    <row r="591">
      <c r="B591" s="70"/>
    </row>
    <row r="592">
      <c r="B592" s="70"/>
    </row>
    <row r="593">
      <c r="B593" s="70"/>
    </row>
    <row r="594">
      <c r="B594" s="70"/>
    </row>
    <row r="595">
      <c r="B595" s="70"/>
    </row>
    <row r="596">
      <c r="B596" s="70"/>
    </row>
    <row r="597">
      <c r="B597" s="70"/>
    </row>
    <row r="598">
      <c r="B598" s="70"/>
    </row>
    <row r="599">
      <c r="B599" s="70"/>
    </row>
    <row r="600">
      <c r="B600" s="70"/>
    </row>
    <row r="601">
      <c r="B601" s="70"/>
    </row>
    <row r="602">
      <c r="B602" s="70"/>
    </row>
    <row r="603">
      <c r="B603" s="70"/>
    </row>
    <row r="604">
      <c r="B604" s="70"/>
    </row>
    <row r="605">
      <c r="B605" s="70"/>
    </row>
    <row r="606">
      <c r="B606" s="70"/>
    </row>
    <row r="607">
      <c r="B607" s="70"/>
    </row>
    <row r="608">
      <c r="B608" s="70"/>
    </row>
    <row r="609">
      <c r="B609" s="70"/>
    </row>
    <row r="610">
      <c r="B610" s="70"/>
    </row>
    <row r="611">
      <c r="B611" s="70"/>
    </row>
    <row r="612">
      <c r="B612" s="70"/>
    </row>
    <row r="613">
      <c r="B613" s="70"/>
    </row>
    <row r="614">
      <c r="B614" s="70"/>
    </row>
    <row r="615">
      <c r="B615" s="70"/>
    </row>
    <row r="616">
      <c r="B616" s="70"/>
    </row>
    <row r="617">
      <c r="B617" s="70"/>
    </row>
    <row r="618">
      <c r="B618" s="70"/>
    </row>
    <row r="619">
      <c r="B619" s="70"/>
    </row>
    <row r="620">
      <c r="B620" s="70"/>
    </row>
    <row r="621">
      <c r="B621" s="70"/>
    </row>
    <row r="622">
      <c r="B622" s="70"/>
    </row>
    <row r="623">
      <c r="B623" s="70"/>
    </row>
    <row r="624">
      <c r="B624" s="70"/>
    </row>
    <row r="625">
      <c r="B625" s="70"/>
    </row>
    <row r="626">
      <c r="B626" s="70"/>
    </row>
    <row r="627">
      <c r="B627" s="70"/>
    </row>
    <row r="628">
      <c r="B628" s="70"/>
    </row>
    <row r="629">
      <c r="B629" s="70"/>
    </row>
    <row r="630">
      <c r="B630" s="70"/>
    </row>
    <row r="631">
      <c r="B631" s="70"/>
    </row>
    <row r="632">
      <c r="B632" s="70"/>
    </row>
    <row r="633">
      <c r="B633" s="70"/>
    </row>
    <row r="634">
      <c r="B634" s="70"/>
    </row>
    <row r="635">
      <c r="B635" s="70"/>
    </row>
    <row r="636">
      <c r="B636" s="70"/>
    </row>
    <row r="637">
      <c r="B637" s="70"/>
    </row>
    <row r="638">
      <c r="B638" s="70"/>
    </row>
    <row r="639">
      <c r="B639" s="70"/>
    </row>
    <row r="640">
      <c r="B640" s="70"/>
    </row>
    <row r="641">
      <c r="B641" s="70"/>
    </row>
    <row r="642">
      <c r="B642" s="70"/>
    </row>
    <row r="643">
      <c r="B643" s="70"/>
    </row>
    <row r="644">
      <c r="B644" s="70"/>
    </row>
    <row r="645">
      <c r="B645" s="70"/>
    </row>
    <row r="646">
      <c r="B646" s="70"/>
    </row>
    <row r="647">
      <c r="B647" s="70"/>
    </row>
    <row r="648">
      <c r="B648" s="70"/>
    </row>
    <row r="649">
      <c r="B649" s="70"/>
    </row>
    <row r="650">
      <c r="B650" s="70"/>
    </row>
    <row r="651">
      <c r="B651" s="70"/>
    </row>
    <row r="652">
      <c r="B652" s="70"/>
    </row>
    <row r="653">
      <c r="B653" s="70"/>
    </row>
    <row r="654">
      <c r="B654" s="70"/>
    </row>
    <row r="655">
      <c r="B655" s="70"/>
    </row>
    <row r="656">
      <c r="B656" s="70"/>
    </row>
    <row r="657">
      <c r="B657" s="70"/>
    </row>
    <row r="658">
      <c r="B658" s="70"/>
    </row>
    <row r="659">
      <c r="B659" s="70"/>
    </row>
    <row r="660">
      <c r="B660" s="70"/>
    </row>
    <row r="661">
      <c r="B661" s="70"/>
    </row>
    <row r="662">
      <c r="B662" s="70"/>
    </row>
    <row r="663">
      <c r="B663" s="70"/>
    </row>
    <row r="664">
      <c r="B664" s="70"/>
    </row>
    <row r="665">
      <c r="B665" s="70"/>
    </row>
    <row r="666">
      <c r="B666" s="70"/>
    </row>
    <row r="667">
      <c r="B667" s="70"/>
    </row>
    <row r="668">
      <c r="B668" s="70"/>
    </row>
    <row r="669">
      <c r="B669" s="70"/>
    </row>
    <row r="670">
      <c r="B670" s="70"/>
    </row>
    <row r="671">
      <c r="B671" s="70"/>
    </row>
    <row r="672">
      <c r="B672" s="70"/>
    </row>
    <row r="673">
      <c r="B673" s="70"/>
    </row>
    <row r="674">
      <c r="B674" s="70"/>
    </row>
    <row r="675">
      <c r="B675" s="70"/>
    </row>
    <row r="676">
      <c r="B676" s="70"/>
    </row>
    <row r="677">
      <c r="B677" s="70"/>
    </row>
    <row r="678">
      <c r="B678" s="70"/>
    </row>
    <row r="679">
      <c r="B679" s="70"/>
    </row>
    <row r="680">
      <c r="B680" s="70"/>
    </row>
    <row r="681">
      <c r="B681" s="70"/>
    </row>
    <row r="682">
      <c r="B682" s="70"/>
    </row>
    <row r="683">
      <c r="B683" s="70"/>
    </row>
    <row r="684">
      <c r="B684" s="70"/>
    </row>
    <row r="685">
      <c r="B685" s="70"/>
    </row>
    <row r="686">
      <c r="B686" s="70"/>
    </row>
    <row r="687">
      <c r="B687" s="70"/>
    </row>
    <row r="688">
      <c r="B688" s="70"/>
    </row>
    <row r="689">
      <c r="B689" s="70"/>
    </row>
    <row r="690">
      <c r="B690" s="70"/>
    </row>
    <row r="691">
      <c r="B691" s="70"/>
    </row>
    <row r="692">
      <c r="B692" s="70"/>
    </row>
    <row r="693">
      <c r="B693" s="70"/>
    </row>
    <row r="694">
      <c r="B694" s="70"/>
    </row>
    <row r="695">
      <c r="B695" s="70"/>
    </row>
    <row r="696">
      <c r="B696" s="70"/>
    </row>
    <row r="697">
      <c r="B697" s="70"/>
    </row>
    <row r="698">
      <c r="B698" s="70"/>
    </row>
    <row r="699">
      <c r="B699" s="70"/>
    </row>
    <row r="700">
      <c r="B700" s="70"/>
    </row>
    <row r="701">
      <c r="B701" s="70"/>
    </row>
    <row r="702">
      <c r="B702" s="70"/>
    </row>
    <row r="703">
      <c r="B703" s="70"/>
    </row>
    <row r="704">
      <c r="B704" s="70"/>
    </row>
    <row r="705">
      <c r="B705" s="70"/>
    </row>
    <row r="706">
      <c r="B706" s="70"/>
    </row>
    <row r="707">
      <c r="B707" s="70"/>
    </row>
    <row r="708">
      <c r="B708" s="70"/>
    </row>
    <row r="709">
      <c r="B709" s="70"/>
    </row>
    <row r="710">
      <c r="B710" s="70"/>
    </row>
    <row r="711">
      <c r="B711" s="70"/>
    </row>
    <row r="712">
      <c r="B712" s="70"/>
    </row>
    <row r="713">
      <c r="B713" s="70"/>
    </row>
    <row r="714">
      <c r="B714" s="70"/>
    </row>
    <row r="715">
      <c r="B715" s="70"/>
    </row>
    <row r="716">
      <c r="B716" s="70"/>
    </row>
    <row r="717">
      <c r="B717" s="70"/>
    </row>
    <row r="718">
      <c r="B718" s="70"/>
    </row>
    <row r="719">
      <c r="B719" s="70"/>
    </row>
    <row r="720">
      <c r="B720" s="70"/>
    </row>
    <row r="721">
      <c r="B721" s="70"/>
    </row>
    <row r="722">
      <c r="B722" s="70"/>
    </row>
    <row r="723">
      <c r="B723" s="70"/>
    </row>
    <row r="724">
      <c r="B724" s="70"/>
    </row>
    <row r="725">
      <c r="B725" s="70"/>
    </row>
    <row r="726">
      <c r="B726" s="70"/>
    </row>
    <row r="727">
      <c r="B727" s="70"/>
    </row>
    <row r="728">
      <c r="B728" s="70"/>
    </row>
    <row r="729">
      <c r="B729" s="70"/>
    </row>
    <row r="730">
      <c r="B730" s="70"/>
    </row>
    <row r="731">
      <c r="B731" s="70"/>
    </row>
    <row r="732">
      <c r="B732" s="70"/>
    </row>
    <row r="733">
      <c r="B733" s="70"/>
    </row>
    <row r="734">
      <c r="B734" s="70"/>
    </row>
    <row r="735">
      <c r="B735" s="70"/>
    </row>
    <row r="736">
      <c r="B736" s="70"/>
    </row>
    <row r="737">
      <c r="B737" s="70"/>
    </row>
    <row r="738">
      <c r="B738" s="70"/>
    </row>
    <row r="739">
      <c r="B739" s="70"/>
    </row>
    <row r="740">
      <c r="B740" s="70"/>
    </row>
    <row r="741">
      <c r="B741" s="70"/>
    </row>
    <row r="742">
      <c r="B742" s="70"/>
    </row>
    <row r="743">
      <c r="B743" s="70"/>
    </row>
    <row r="744">
      <c r="B744" s="70"/>
    </row>
    <row r="745">
      <c r="B745" s="70"/>
    </row>
    <row r="746">
      <c r="B746" s="70"/>
    </row>
    <row r="747">
      <c r="B747" s="70"/>
    </row>
    <row r="748">
      <c r="B748" s="70"/>
    </row>
    <row r="749">
      <c r="B749" s="70"/>
    </row>
    <row r="750">
      <c r="B750" s="70"/>
    </row>
    <row r="751">
      <c r="B751" s="70"/>
    </row>
    <row r="752">
      <c r="B752" s="70"/>
    </row>
    <row r="753">
      <c r="B753" s="70"/>
    </row>
    <row r="754">
      <c r="B754" s="70"/>
    </row>
    <row r="755">
      <c r="B755" s="70"/>
    </row>
    <row r="756">
      <c r="B756" s="70"/>
    </row>
    <row r="757">
      <c r="B757" s="70"/>
    </row>
    <row r="758">
      <c r="B758" s="70"/>
    </row>
    <row r="759">
      <c r="B759" s="70"/>
    </row>
    <row r="760">
      <c r="B760" s="70"/>
    </row>
    <row r="761">
      <c r="B761" s="70"/>
    </row>
    <row r="762">
      <c r="B762" s="70"/>
    </row>
    <row r="763">
      <c r="B763" s="70"/>
    </row>
    <row r="764">
      <c r="B764" s="70"/>
    </row>
    <row r="765">
      <c r="B765" s="70"/>
    </row>
    <row r="766">
      <c r="B766" s="70"/>
    </row>
    <row r="767">
      <c r="B767" s="70"/>
    </row>
    <row r="768">
      <c r="B768" s="70"/>
    </row>
    <row r="769">
      <c r="B769" s="70"/>
    </row>
    <row r="770">
      <c r="B770" s="70"/>
    </row>
    <row r="771">
      <c r="B771" s="70"/>
    </row>
    <row r="772">
      <c r="B772" s="70"/>
    </row>
    <row r="773">
      <c r="B773" s="70"/>
    </row>
    <row r="774">
      <c r="B774" s="70"/>
    </row>
    <row r="775">
      <c r="B775" s="70"/>
    </row>
    <row r="776">
      <c r="B776" s="70"/>
    </row>
    <row r="777">
      <c r="B777" s="70"/>
    </row>
    <row r="778">
      <c r="B778" s="70"/>
    </row>
    <row r="779">
      <c r="B779" s="70"/>
    </row>
    <row r="780">
      <c r="B780" s="70"/>
    </row>
    <row r="781">
      <c r="B781" s="70"/>
    </row>
    <row r="782">
      <c r="B782" s="70"/>
    </row>
    <row r="783">
      <c r="B783" s="70"/>
    </row>
    <row r="784">
      <c r="B784" s="70"/>
    </row>
    <row r="785">
      <c r="B785" s="70"/>
    </row>
    <row r="786">
      <c r="B786" s="70"/>
    </row>
    <row r="787">
      <c r="B787" s="70"/>
    </row>
    <row r="788">
      <c r="B788" s="70"/>
    </row>
    <row r="789">
      <c r="B789" s="70"/>
    </row>
    <row r="790">
      <c r="B790" s="70"/>
    </row>
    <row r="791">
      <c r="B791" s="70"/>
    </row>
    <row r="792">
      <c r="B792" s="70"/>
    </row>
    <row r="793">
      <c r="B793" s="70"/>
    </row>
    <row r="794">
      <c r="B794" s="70"/>
    </row>
    <row r="795">
      <c r="B795" s="70"/>
    </row>
    <row r="796">
      <c r="B796" s="70"/>
    </row>
    <row r="797">
      <c r="B797" s="70"/>
    </row>
    <row r="798">
      <c r="B798" s="70"/>
    </row>
    <row r="799">
      <c r="B799" s="70"/>
    </row>
    <row r="800">
      <c r="B800" s="70"/>
    </row>
    <row r="801">
      <c r="B801" s="70"/>
    </row>
    <row r="802">
      <c r="B802" s="70"/>
    </row>
    <row r="803">
      <c r="B803" s="70"/>
    </row>
    <row r="804">
      <c r="B804" s="70"/>
    </row>
    <row r="805">
      <c r="B805" s="70"/>
    </row>
    <row r="806">
      <c r="B806" s="70"/>
    </row>
    <row r="807">
      <c r="B807" s="70"/>
    </row>
    <row r="808">
      <c r="B808" s="70"/>
    </row>
    <row r="809">
      <c r="B809" s="70"/>
    </row>
    <row r="810">
      <c r="B810" s="70"/>
    </row>
    <row r="811">
      <c r="B811" s="70"/>
    </row>
    <row r="812">
      <c r="B812" s="70"/>
    </row>
    <row r="813">
      <c r="B813" s="70"/>
    </row>
    <row r="814">
      <c r="B814" s="70"/>
    </row>
    <row r="815">
      <c r="B815" s="70"/>
    </row>
    <row r="816">
      <c r="B816" s="70"/>
    </row>
    <row r="817">
      <c r="B817" s="70"/>
    </row>
    <row r="818">
      <c r="B818" s="70"/>
    </row>
    <row r="819">
      <c r="B819" s="70"/>
    </row>
    <row r="820">
      <c r="B820" s="70"/>
    </row>
    <row r="821">
      <c r="B821" s="70"/>
    </row>
    <row r="822">
      <c r="B822" s="70"/>
    </row>
    <row r="823">
      <c r="B823" s="70"/>
    </row>
    <row r="824">
      <c r="B824" s="70"/>
    </row>
    <row r="825">
      <c r="B825" s="70"/>
    </row>
    <row r="826">
      <c r="B826" s="70"/>
    </row>
    <row r="827">
      <c r="B827" s="70"/>
    </row>
    <row r="828">
      <c r="B828" s="70"/>
    </row>
    <row r="829">
      <c r="B829" s="70"/>
    </row>
    <row r="830">
      <c r="B830" s="70"/>
    </row>
    <row r="831">
      <c r="B831" s="70"/>
    </row>
    <row r="832">
      <c r="B832" s="70"/>
    </row>
    <row r="833">
      <c r="B833" s="70"/>
    </row>
    <row r="834">
      <c r="B834" s="70"/>
    </row>
    <row r="835">
      <c r="B835" s="70"/>
    </row>
    <row r="836">
      <c r="B836" s="70"/>
    </row>
    <row r="837">
      <c r="B837" s="70"/>
    </row>
    <row r="838">
      <c r="B838" s="70"/>
    </row>
    <row r="839">
      <c r="B839" s="70"/>
    </row>
    <row r="840">
      <c r="B840" s="70"/>
    </row>
    <row r="841">
      <c r="B841" s="70"/>
    </row>
    <row r="842">
      <c r="B842" s="70"/>
    </row>
    <row r="843">
      <c r="B843" s="70"/>
    </row>
    <row r="844">
      <c r="B844" s="70"/>
    </row>
    <row r="845">
      <c r="B845" s="70"/>
    </row>
    <row r="846">
      <c r="B846" s="70"/>
    </row>
    <row r="847">
      <c r="B847" s="70"/>
    </row>
    <row r="848">
      <c r="B848" s="70"/>
    </row>
    <row r="849">
      <c r="B849" s="70"/>
    </row>
    <row r="850">
      <c r="B850" s="70"/>
    </row>
    <row r="851">
      <c r="B851" s="70"/>
    </row>
    <row r="852">
      <c r="B852" s="70"/>
    </row>
    <row r="853">
      <c r="B853" s="70"/>
    </row>
    <row r="854">
      <c r="B854" s="70"/>
    </row>
    <row r="855">
      <c r="B855" s="70"/>
    </row>
    <row r="856">
      <c r="B856" s="70"/>
    </row>
    <row r="857">
      <c r="B857" s="70"/>
    </row>
    <row r="858">
      <c r="B858" s="70"/>
    </row>
    <row r="859">
      <c r="B859" s="70"/>
    </row>
    <row r="860">
      <c r="B860" s="70"/>
    </row>
    <row r="861">
      <c r="B861" s="70"/>
    </row>
    <row r="862">
      <c r="B862" s="70"/>
    </row>
    <row r="863">
      <c r="B863" s="70"/>
    </row>
    <row r="864">
      <c r="B864" s="70"/>
    </row>
    <row r="865">
      <c r="B865" s="70"/>
    </row>
    <row r="866">
      <c r="B866" s="70"/>
    </row>
    <row r="867">
      <c r="B867" s="70"/>
    </row>
    <row r="868">
      <c r="B868" s="70"/>
    </row>
    <row r="869">
      <c r="B869" s="70"/>
    </row>
    <row r="870">
      <c r="B870" s="70"/>
    </row>
    <row r="871">
      <c r="B871" s="70"/>
    </row>
    <row r="872">
      <c r="B872" s="70"/>
    </row>
    <row r="873">
      <c r="B873" s="70"/>
    </row>
    <row r="874">
      <c r="B874" s="70"/>
    </row>
    <row r="875">
      <c r="B875" s="70"/>
    </row>
    <row r="876">
      <c r="B876" s="70"/>
    </row>
    <row r="877">
      <c r="B877" s="70"/>
    </row>
    <row r="878">
      <c r="B878" s="70"/>
    </row>
    <row r="879">
      <c r="B879" s="70"/>
    </row>
    <row r="880">
      <c r="B880" s="70"/>
    </row>
    <row r="881">
      <c r="B881" s="70"/>
    </row>
    <row r="882">
      <c r="B882" s="70"/>
    </row>
    <row r="883">
      <c r="B883" s="70"/>
    </row>
    <row r="884">
      <c r="B884" s="70"/>
    </row>
    <row r="885">
      <c r="B885" s="70"/>
    </row>
    <row r="886">
      <c r="B886" s="70"/>
    </row>
    <row r="887">
      <c r="B887" s="70"/>
    </row>
    <row r="888">
      <c r="B888" s="70"/>
    </row>
    <row r="889">
      <c r="B889" s="70"/>
    </row>
    <row r="890">
      <c r="B890" s="70"/>
    </row>
    <row r="891">
      <c r="B891" s="70"/>
    </row>
    <row r="892">
      <c r="B892" s="70"/>
    </row>
    <row r="893">
      <c r="B893" s="70"/>
    </row>
    <row r="894">
      <c r="B894" s="70"/>
    </row>
    <row r="895">
      <c r="B895" s="70"/>
    </row>
    <row r="896">
      <c r="B896" s="70"/>
    </row>
    <row r="897">
      <c r="B897" s="70"/>
    </row>
    <row r="898">
      <c r="B898" s="70"/>
    </row>
    <row r="899">
      <c r="B899" s="70"/>
    </row>
    <row r="900">
      <c r="B900" s="70"/>
    </row>
    <row r="901">
      <c r="B901" s="70"/>
    </row>
    <row r="902">
      <c r="B902" s="70"/>
    </row>
    <row r="903">
      <c r="B903" s="70"/>
    </row>
    <row r="904">
      <c r="B904" s="70"/>
    </row>
    <row r="905">
      <c r="B905" s="70"/>
    </row>
    <row r="906">
      <c r="B906" s="70"/>
    </row>
    <row r="907">
      <c r="B907" s="70"/>
    </row>
    <row r="908">
      <c r="B908" s="70"/>
    </row>
    <row r="909">
      <c r="B909" s="70"/>
    </row>
    <row r="910">
      <c r="B910" s="70"/>
    </row>
    <row r="911">
      <c r="B911" s="70"/>
    </row>
    <row r="912">
      <c r="B912" s="70"/>
    </row>
    <row r="913">
      <c r="B913" s="70"/>
    </row>
    <row r="914">
      <c r="B914" s="70"/>
    </row>
    <row r="915">
      <c r="B915" s="70"/>
    </row>
    <row r="916">
      <c r="B916" s="70"/>
    </row>
    <row r="917">
      <c r="B917" s="70"/>
    </row>
    <row r="918">
      <c r="B918" s="70"/>
    </row>
    <row r="919">
      <c r="B919" s="70"/>
    </row>
    <row r="920">
      <c r="B920" s="70"/>
    </row>
    <row r="921">
      <c r="B921" s="70"/>
    </row>
    <row r="922">
      <c r="B922" s="70"/>
    </row>
    <row r="923">
      <c r="B923" s="70"/>
    </row>
    <row r="924">
      <c r="B924" s="70"/>
    </row>
    <row r="925">
      <c r="B925" s="70"/>
    </row>
    <row r="926">
      <c r="B926" s="70"/>
    </row>
    <row r="927">
      <c r="B927" s="70"/>
    </row>
    <row r="928">
      <c r="B928" s="70"/>
    </row>
    <row r="929">
      <c r="B929" s="70"/>
    </row>
    <row r="930">
      <c r="B930" s="70"/>
    </row>
    <row r="931">
      <c r="B931" s="70"/>
    </row>
    <row r="932">
      <c r="B932" s="70"/>
    </row>
    <row r="933">
      <c r="B933" s="70"/>
    </row>
    <row r="934">
      <c r="B934" s="70"/>
    </row>
    <row r="935">
      <c r="B935" s="70"/>
    </row>
    <row r="936">
      <c r="B936" s="70"/>
    </row>
    <row r="937">
      <c r="B937" s="70"/>
    </row>
    <row r="938">
      <c r="B938" s="70"/>
    </row>
    <row r="939">
      <c r="B939" s="70"/>
    </row>
    <row r="940">
      <c r="B940" s="70"/>
    </row>
    <row r="941">
      <c r="B941" s="70"/>
    </row>
    <row r="942">
      <c r="B942" s="70"/>
    </row>
    <row r="943">
      <c r="B943" s="70"/>
    </row>
    <row r="944">
      <c r="B944" s="70"/>
    </row>
    <row r="945">
      <c r="B945" s="70"/>
    </row>
    <row r="946">
      <c r="B946" s="70"/>
    </row>
    <row r="947">
      <c r="B947" s="70"/>
    </row>
    <row r="948">
      <c r="B948" s="70"/>
    </row>
    <row r="949">
      <c r="B949" s="70"/>
    </row>
    <row r="950">
      <c r="B950" s="70"/>
    </row>
    <row r="951">
      <c r="B951" s="70"/>
    </row>
    <row r="952">
      <c r="B952" s="70"/>
    </row>
    <row r="953">
      <c r="B953" s="70"/>
    </row>
    <row r="954">
      <c r="B954" s="70"/>
    </row>
    <row r="955">
      <c r="B955" s="70"/>
    </row>
    <row r="956">
      <c r="B956" s="70"/>
    </row>
    <row r="957">
      <c r="B957" s="70"/>
    </row>
    <row r="958">
      <c r="B958" s="70"/>
    </row>
    <row r="959">
      <c r="B959" s="70"/>
    </row>
    <row r="960">
      <c r="B960" s="70"/>
    </row>
    <row r="961">
      <c r="B961" s="70"/>
    </row>
    <row r="962">
      <c r="B962" s="70"/>
    </row>
    <row r="963">
      <c r="B963" s="70"/>
    </row>
    <row r="964">
      <c r="B964" s="70"/>
    </row>
    <row r="965">
      <c r="B965" s="70"/>
    </row>
    <row r="966">
      <c r="B966" s="70"/>
    </row>
    <row r="967">
      <c r="B967" s="70"/>
    </row>
    <row r="968">
      <c r="B968" s="70"/>
    </row>
    <row r="969">
      <c r="B969" s="70"/>
    </row>
    <row r="970">
      <c r="B970" s="70"/>
    </row>
    <row r="971">
      <c r="B971" s="70"/>
    </row>
    <row r="972">
      <c r="B972" s="70"/>
    </row>
    <row r="973">
      <c r="B973" s="70"/>
    </row>
    <row r="974">
      <c r="B974" s="70"/>
    </row>
    <row r="975">
      <c r="B975" s="70"/>
    </row>
    <row r="976">
      <c r="B976" s="70"/>
    </row>
    <row r="977">
      <c r="B977" s="70"/>
    </row>
    <row r="978">
      <c r="B978" s="70"/>
    </row>
    <row r="979">
      <c r="B979" s="70"/>
    </row>
    <row r="980">
      <c r="B980" s="70"/>
    </row>
    <row r="981">
      <c r="B981" s="70"/>
    </row>
    <row r="982">
      <c r="B982" s="70"/>
    </row>
    <row r="983">
      <c r="B983" s="70"/>
    </row>
    <row r="984">
      <c r="B984" s="70"/>
    </row>
    <row r="985">
      <c r="B985" s="70"/>
    </row>
    <row r="986">
      <c r="B986" s="70"/>
    </row>
    <row r="987">
      <c r="B987" s="70"/>
    </row>
    <row r="988">
      <c r="B988" s="70"/>
    </row>
    <row r="989">
      <c r="B989" s="70"/>
    </row>
    <row r="990">
      <c r="B990" s="70"/>
    </row>
    <row r="991">
      <c r="B991" s="70"/>
    </row>
    <row r="992">
      <c r="B992" s="70"/>
    </row>
    <row r="993">
      <c r="B993" s="70"/>
    </row>
    <row r="994">
      <c r="B994" s="70"/>
    </row>
    <row r="995">
      <c r="B995" s="70"/>
    </row>
    <row r="996">
      <c r="B996" s="70"/>
    </row>
    <row r="997">
      <c r="B997" s="70"/>
    </row>
    <row r="998">
      <c r="B998" s="70"/>
    </row>
    <row r="999">
      <c r="B999" s="70"/>
    </row>
    <row r="1000">
      <c r="B1000" s="70"/>
    </row>
    <row r="1001">
      <c r="B1001" s="70"/>
    </row>
    <row r="1002">
      <c r="B1002" s="70"/>
    </row>
    <row r="1003">
      <c r="B1003" s="70"/>
    </row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3.63"/>
    <col customWidth="1" min="2" max="2" width="34.13"/>
    <col customWidth="1" min="3" max="3" width="25.25"/>
  </cols>
  <sheetData>
    <row r="1">
      <c r="B1" s="70"/>
    </row>
    <row r="2">
      <c r="B2" s="70"/>
    </row>
    <row r="3">
      <c r="B3" s="70"/>
    </row>
    <row r="4">
      <c r="A4" s="15" t="s">
        <v>1664</v>
      </c>
      <c r="B4" s="70"/>
      <c r="C4" s="15"/>
      <c r="D4" s="15" t="s">
        <v>14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</row>
    <row r="5">
      <c r="A5" s="15" t="s">
        <v>16</v>
      </c>
      <c r="B5" s="70" t="s">
        <v>13</v>
      </c>
      <c r="C5" s="15" t="s">
        <v>3</v>
      </c>
      <c r="D5" s="15" t="s">
        <v>1670</v>
      </c>
      <c r="E5" s="15" t="s">
        <v>1671</v>
      </c>
      <c r="F5" s="15" t="s">
        <v>1672</v>
      </c>
      <c r="G5" s="15" t="s">
        <v>1673</v>
      </c>
      <c r="H5" s="15" t="s">
        <v>1674</v>
      </c>
      <c r="I5" s="15" t="s">
        <v>1675</v>
      </c>
      <c r="J5" s="15" t="s">
        <v>1676</v>
      </c>
      <c r="K5" s="15" t="s">
        <v>1677</v>
      </c>
      <c r="L5" s="15" t="s">
        <v>1678</v>
      </c>
      <c r="M5" s="15" t="s">
        <v>1679</v>
      </c>
      <c r="N5" s="15" t="s">
        <v>1680</v>
      </c>
      <c r="O5" s="15" t="s">
        <v>1681</v>
      </c>
      <c r="P5" s="15" t="s">
        <v>1682</v>
      </c>
      <c r="Q5" s="15" t="s">
        <v>1683</v>
      </c>
      <c r="R5" s="15" t="s">
        <v>1684</v>
      </c>
      <c r="S5" s="15" t="s">
        <v>1685</v>
      </c>
      <c r="T5" s="15" t="s">
        <v>1686</v>
      </c>
      <c r="U5" s="15" t="s">
        <v>1687</v>
      </c>
      <c r="V5" s="15" t="s">
        <v>1688</v>
      </c>
      <c r="W5" s="15" t="s">
        <v>1689</v>
      </c>
      <c r="X5" s="15" t="s">
        <v>1690</v>
      </c>
      <c r="Y5" s="15" t="s">
        <v>1691</v>
      </c>
      <c r="Z5" s="15" t="s">
        <v>1692</v>
      </c>
      <c r="AA5" s="15" t="s">
        <v>1693</v>
      </c>
      <c r="AB5" s="15" t="s">
        <v>1694</v>
      </c>
      <c r="AC5" s="15" t="s">
        <v>1695</v>
      </c>
      <c r="AD5" s="15" t="s">
        <v>1696</v>
      </c>
      <c r="AE5" s="15" t="s">
        <v>1697</v>
      </c>
      <c r="AF5" s="15" t="s">
        <v>1698</v>
      </c>
      <c r="AG5" s="15" t="s">
        <v>1699</v>
      </c>
      <c r="AH5" s="15" t="s">
        <v>1700</v>
      </c>
      <c r="AI5" s="15" t="s">
        <v>1701</v>
      </c>
      <c r="AJ5" s="15" t="s">
        <v>1702</v>
      </c>
      <c r="AK5" s="15" t="s">
        <v>1703</v>
      </c>
      <c r="AL5" s="15" t="s">
        <v>1704</v>
      </c>
      <c r="AM5" s="15" t="s">
        <v>1705</v>
      </c>
      <c r="AN5" s="15" t="s">
        <v>1706</v>
      </c>
      <c r="AO5" s="15" t="s">
        <v>1707</v>
      </c>
      <c r="AP5" s="15" t="s">
        <v>1708</v>
      </c>
      <c r="AQ5" s="15" t="s">
        <v>1709</v>
      </c>
      <c r="AR5" s="15" t="s">
        <v>1710</v>
      </c>
      <c r="AS5" s="15" t="s">
        <v>1711</v>
      </c>
      <c r="AT5" s="15" t="s">
        <v>1712</v>
      </c>
      <c r="AU5" s="15" t="s">
        <v>1713</v>
      </c>
      <c r="AV5" s="15" t="s">
        <v>1714</v>
      </c>
      <c r="AW5" s="15" t="s">
        <v>1715</v>
      </c>
      <c r="AX5" s="15" t="s">
        <v>1716</v>
      </c>
      <c r="AY5" s="15" t="s">
        <v>1717</v>
      </c>
      <c r="AZ5" s="15" t="s">
        <v>1718</v>
      </c>
      <c r="BA5" s="15" t="s">
        <v>1719</v>
      </c>
      <c r="BB5" s="15" t="s">
        <v>1720</v>
      </c>
      <c r="BC5" s="15" t="s">
        <v>1721</v>
      </c>
      <c r="BD5" s="15" t="s">
        <v>1722</v>
      </c>
      <c r="BE5" s="15" t="s">
        <v>1723</v>
      </c>
      <c r="BF5" s="15" t="s">
        <v>1724</v>
      </c>
      <c r="BG5" s="15" t="s">
        <v>1725</v>
      </c>
      <c r="BH5" s="15" t="s">
        <v>1726</v>
      </c>
      <c r="BI5" s="15" t="s">
        <v>1727</v>
      </c>
      <c r="BJ5" s="15" t="s">
        <v>1728</v>
      </c>
      <c r="BK5" s="15" t="s">
        <v>1729</v>
      </c>
      <c r="BL5" s="15" t="s">
        <v>1730</v>
      </c>
      <c r="BM5" s="15" t="s">
        <v>1731</v>
      </c>
      <c r="BN5" s="15" t="s">
        <v>1665</v>
      </c>
    </row>
    <row r="6">
      <c r="A6" s="15" t="s">
        <v>1732</v>
      </c>
      <c r="B6" s="70" t="s">
        <v>61</v>
      </c>
      <c r="C6" s="15" t="s">
        <v>221</v>
      </c>
      <c r="D6" s="89">
        <v>380.54</v>
      </c>
      <c r="E6" s="89">
        <v>360.54</v>
      </c>
      <c r="F6" s="15"/>
      <c r="G6" s="15"/>
      <c r="H6" s="15"/>
      <c r="I6" s="89">
        <v>380.54</v>
      </c>
      <c r="J6" s="15"/>
      <c r="K6" s="15"/>
      <c r="L6" s="15"/>
      <c r="M6" s="15"/>
      <c r="N6" s="89">
        <v>380.54</v>
      </c>
      <c r="O6" s="89">
        <v>814.0</v>
      </c>
      <c r="P6" s="15"/>
      <c r="Q6" s="15"/>
      <c r="R6" s="15"/>
      <c r="S6" s="89">
        <v>360.54</v>
      </c>
      <c r="T6" s="89">
        <v>406.0</v>
      </c>
      <c r="U6" s="15"/>
      <c r="V6" s="15"/>
      <c r="W6" s="15"/>
      <c r="X6" s="89">
        <v>360.54</v>
      </c>
      <c r="Y6" s="89">
        <v>406.0</v>
      </c>
      <c r="Z6" s="15"/>
      <c r="AA6" s="15"/>
      <c r="AB6" s="15"/>
      <c r="AC6" s="89">
        <v>360.54</v>
      </c>
      <c r="AD6" s="89">
        <v>406.0</v>
      </c>
      <c r="AE6" s="15"/>
      <c r="AF6" s="15"/>
      <c r="AG6" s="15"/>
      <c r="AH6" s="89">
        <v>360.54</v>
      </c>
      <c r="AI6" s="89">
        <v>406.0</v>
      </c>
      <c r="AJ6" s="15"/>
      <c r="AK6" s="15"/>
      <c r="AL6" s="15"/>
      <c r="AM6" s="89">
        <v>360.54</v>
      </c>
      <c r="AN6" s="89">
        <v>360.54</v>
      </c>
      <c r="AO6" s="89">
        <v>406.0</v>
      </c>
      <c r="AP6" s="15"/>
      <c r="AQ6" s="15"/>
      <c r="AR6" s="15"/>
      <c r="AS6" s="89">
        <v>380.54</v>
      </c>
      <c r="AT6" s="89">
        <v>360.54</v>
      </c>
      <c r="AU6" s="89">
        <v>406.0</v>
      </c>
      <c r="AV6" s="15"/>
      <c r="AW6" s="15"/>
      <c r="AX6" s="15"/>
      <c r="AY6" s="89">
        <v>380.54</v>
      </c>
      <c r="AZ6" s="89">
        <v>360.54</v>
      </c>
      <c r="BA6" s="89">
        <v>406.0</v>
      </c>
      <c r="BB6" s="15"/>
      <c r="BC6" s="15"/>
      <c r="BD6" s="89">
        <v>380.54</v>
      </c>
      <c r="BE6" s="15"/>
      <c r="BF6" s="89">
        <v>406.0</v>
      </c>
      <c r="BG6" s="15"/>
      <c r="BH6" s="15"/>
      <c r="BI6" s="89">
        <v>380.54</v>
      </c>
      <c r="BJ6" s="89">
        <v>741.08</v>
      </c>
      <c r="BK6" s="89">
        <v>406.0</v>
      </c>
      <c r="BL6" s="15"/>
      <c r="BM6" s="15"/>
      <c r="BN6" s="89">
        <v>11117.720000000001</v>
      </c>
    </row>
    <row r="7">
      <c r="A7" s="15"/>
      <c r="B7" s="70"/>
      <c r="C7" s="15" t="s">
        <v>361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89">
        <v>462.42</v>
      </c>
      <c r="AI7" s="15"/>
      <c r="AJ7" s="15"/>
      <c r="AK7" s="15"/>
      <c r="AL7" s="15"/>
      <c r="AM7" s="15"/>
      <c r="AN7" s="89">
        <v>180.07</v>
      </c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89">
        <v>642.49</v>
      </c>
    </row>
    <row r="8">
      <c r="A8" s="15"/>
      <c r="B8" s="70"/>
      <c r="C8" s="15" t="s">
        <v>691</v>
      </c>
      <c r="D8" s="15"/>
      <c r="E8" s="89">
        <v>1313.49</v>
      </c>
      <c r="F8" s="15"/>
      <c r="G8" s="15"/>
      <c r="H8" s="15"/>
      <c r="I8" s="15"/>
      <c r="J8" s="89">
        <v>1313.49</v>
      </c>
      <c r="K8" s="15"/>
      <c r="L8" s="15"/>
      <c r="M8" s="15"/>
      <c r="N8" s="15"/>
      <c r="O8" s="89">
        <v>1313.49</v>
      </c>
      <c r="P8" s="15"/>
      <c r="Q8" s="15"/>
      <c r="R8" s="15"/>
      <c r="S8" s="15"/>
      <c r="T8" s="89">
        <v>1313.49</v>
      </c>
      <c r="U8" s="15"/>
      <c r="V8" s="15"/>
      <c r="W8" s="15"/>
      <c r="X8" s="15"/>
      <c r="Y8" s="89">
        <v>1313.49</v>
      </c>
      <c r="Z8" s="15"/>
      <c r="AA8" s="15"/>
      <c r="AB8" s="15"/>
      <c r="AC8" s="15"/>
      <c r="AD8" s="89">
        <v>1313.49</v>
      </c>
      <c r="AE8" s="15"/>
      <c r="AF8" s="15"/>
      <c r="AG8" s="15"/>
      <c r="AH8" s="89">
        <v>196.53</v>
      </c>
      <c r="AI8" s="15"/>
      <c r="AJ8" s="15"/>
      <c r="AK8" s="15"/>
      <c r="AL8" s="15"/>
      <c r="AM8" s="15"/>
      <c r="AN8" s="89">
        <v>196.53</v>
      </c>
      <c r="AO8" s="15"/>
      <c r="AP8" s="15"/>
      <c r="AQ8" s="15"/>
      <c r="AR8" s="15"/>
      <c r="AS8" s="15"/>
      <c r="AT8" s="89">
        <v>196.53</v>
      </c>
      <c r="AU8" s="15"/>
      <c r="AV8" s="15"/>
      <c r="AW8" s="15"/>
      <c r="AX8" s="15"/>
      <c r="AY8" s="15"/>
      <c r="AZ8" s="89">
        <v>196.53</v>
      </c>
      <c r="BA8" s="15"/>
      <c r="BB8" s="15"/>
      <c r="BC8" s="15"/>
      <c r="BD8" s="15"/>
      <c r="BE8" s="89">
        <v>196.53</v>
      </c>
      <c r="BF8" s="15"/>
      <c r="BG8" s="15"/>
      <c r="BH8" s="15"/>
      <c r="BI8" s="15"/>
      <c r="BJ8" s="89">
        <v>196.53</v>
      </c>
      <c r="BK8" s="15"/>
      <c r="BL8" s="15"/>
      <c r="BM8" s="15"/>
      <c r="BN8" s="89">
        <v>9060.119999999999</v>
      </c>
    </row>
    <row r="9">
      <c r="A9" s="15"/>
      <c r="B9" s="70"/>
      <c r="C9" s="15" t="s">
        <v>282</v>
      </c>
      <c r="D9" s="89">
        <v>333.34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89">
        <v>333.34</v>
      </c>
      <c r="BE9" s="15"/>
      <c r="BF9" s="15"/>
      <c r="BG9" s="15"/>
      <c r="BH9" s="15"/>
      <c r="BI9" s="89">
        <v>333.34</v>
      </c>
      <c r="BJ9" s="15"/>
      <c r="BK9" s="15"/>
      <c r="BL9" s="15"/>
      <c r="BM9" s="15"/>
      <c r="BN9" s="89">
        <v>1000.02</v>
      </c>
    </row>
    <row r="10">
      <c r="A10" s="15"/>
      <c r="B10" s="70"/>
      <c r="C10" s="15" t="s">
        <v>65</v>
      </c>
      <c r="D10" s="15"/>
      <c r="E10" s="15"/>
      <c r="F10" s="15"/>
      <c r="G10" s="15"/>
      <c r="H10" s="15"/>
      <c r="I10" s="15"/>
      <c r="J10" s="89">
        <v>20.9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89">
        <v>20.9</v>
      </c>
    </row>
    <row r="11">
      <c r="A11" s="15"/>
      <c r="B11" s="70"/>
      <c r="C11" s="15" t="s">
        <v>59</v>
      </c>
      <c r="D11" s="89">
        <v>397.0</v>
      </c>
      <c r="E11" s="89">
        <v>397.0</v>
      </c>
      <c r="F11" s="15"/>
      <c r="G11" s="15"/>
      <c r="H11" s="15"/>
      <c r="I11" s="89">
        <v>397.0</v>
      </c>
      <c r="J11" s="89">
        <v>447.0</v>
      </c>
      <c r="K11" s="15"/>
      <c r="L11" s="15"/>
      <c r="M11" s="15"/>
      <c r="N11" s="89">
        <v>397.0</v>
      </c>
      <c r="O11" s="89">
        <v>447.0</v>
      </c>
      <c r="P11" s="15"/>
      <c r="Q11" s="15"/>
      <c r="R11" s="15"/>
      <c r="S11" s="89">
        <v>397.0</v>
      </c>
      <c r="T11" s="89">
        <v>447.0</v>
      </c>
      <c r="U11" s="15"/>
      <c r="V11" s="15"/>
      <c r="W11" s="15"/>
      <c r="X11" s="89">
        <v>397.0</v>
      </c>
      <c r="Y11" s="89">
        <v>447.0</v>
      </c>
      <c r="Z11" s="15"/>
      <c r="AA11" s="15"/>
      <c r="AB11" s="15"/>
      <c r="AC11" s="89">
        <v>397.0</v>
      </c>
      <c r="AD11" s="89">
        <v>447.0</v>
      </c>
      <c r="AE11" s="15"/>
      <c r="AF11" s="15"/>
      <c r="AG11" s="15"/>
      <c r="AH11" s="89">
        <v>397.0</v>
      </c>
      <c r="AI11" s="89">
        <v>447.0</v>
      </c>
      <c r="AJ11" s="15"/>
      <c r="AK11" s="15"/>
      <c r="AL11" s="15"/>
      <c r="AM11" s="89">
        <v>397.0</v>
      </c>
      <c r="AN11" s="89">
        <v>397.0</v>
      </c>
      <c r="AO11" s="89">
        <v>447.0</v>
      </c>
      <c r="AP11" s="15"/>
      <c r="AQ11" s="15"/>
      <c r="AR11" s="15"/>
      <c r="AS11" s="89">
        <v>397.0</v>
      </c>
      <c r="AT11" s="89">
        <v>397.0</v>
      </c>
      <c r="AU11" s="89">
        <v>447.0</v>
      </c>
      <c r="AV11" s="15"/>
      <c r="AW11" s="15"/>
      <c r="AX11" s="15"/>
      <c r="AY11" s="89">
        <v>397.0</v>
      </c>
      <c r="AZ11" s="89">
        <v>397.0</v>
      </c>
      <c r="BA11" s="89">
        <v>447.0</v>
      </c>
      <c r="BB11" s="15"/>
      <c r="BC11" s="15"/>
      <c r="BD11" s="89">
        <v>397.0</v>
      </c>
      <c r="BE11" s="89">
        <v>397.0</v>
      </c>
      <c r="BF11" s="89">
        <v>447.0</v>
      </c>
      <c r="BG11" s="15"/>
      <c r="BH11" s="15"/>
      <c r="BI11" s="89">
        <v>397.0</v>
      </c>
      <c r="BJ11" s="89">
        <v>397.0</v>
      </c>
      <c r="BK11" s="89">
        <v>447.0</v>
      </c>
      <c r="BL11" s="15"/>
      <c r="BM11" s="15"/>
      <c r="BN11" s="89">
        <v>12063.0</v>
      </c>
    </row>
    <row r="12">
      <c r="A12" s="15"/>
      <c r="B12" s="70" t="s">
        <v>1733</v>
      </c>
      <c r="C12" s="15"/>
      <c r="D12" s="89">
        <v>1355.27</v>
      </c>
      <c r="E12" s="89">
        <v>1158.65</v>
      </c>
      <c r="F12" s="15"/>
      <c r="G12" s="15"/>
      <c r="H12" s="15"/>
      <c r="I12" s="89">
        <v>1667.76</v>
      </c>
      <c r="J12" s="89">
        <v>1152.7299999999998</v>
      </c>
      <c r="K12" s="15"/>
      <c r="L12" s="15"/>
      <c r="M12" s="15"/>
      <c r="N12" s="89">
        <v>1713.3900000000003</v>
      </c>
      <c r="O12" s="89">
        <v>1205.98</v>
      </c>
      <c r="P12" s="15"/>
      <c r="Q12" s="15"/>
      <c r="R12" s="15"/>
      <c r="S12" s="89">
        <v>1092.26</v>
      </c>
      <c r="T12" s="89">
        <v>1035.04</v>
      </c>
      <c r="U12" s="15"/>
      <c r="V12" s="15"/>
      <c r="W12" s="15"/>
      <c r="X12" s="89">
        <v>1011.49</v>
      </c>
      <c r="Y12" s="89">
        <v>1035.04</v>
      </c>
      <c r="Z12" s="15"/>
      <c r="AA12" s="15"/>
      <c r="AB12" s="15"/>
      <c r="AC12" s="89">
        <v>1539.4599999999998</v>
      </c>
      <c r="AD12" s="89">
        <v>1035.04</v>
      </c>
      <c r="AE12" s="15"/>
      <c r="AF12" s="15"/>
      <c r="AG12" s="15"/>
      <c r="AH12" s="89">
        <v>887.0599999999998</v>
      </c>
      <c r="AI12" s="89">
        <v>1035.04</v>
      </c>
      <c r="AJ12" s="15"/>
      <c r="AK12" s="15"/>
      <c r="AL12" s="15"/>
      <c r="AM12" s="89">
        <v>519.02</v>
      </c>
      <c r="AN12" s="89">
        <v>859.31</v>
      </c>
      <c r="AO12" s="89">
        <v>1010.8799999999999</v>
      </c>
      <c r="AP12" s="15"/>
      <c r="AQ12" s="15"/>
      <c r="AR12" s="15"/>
      <c r="AS12" s="89">
        <v>781.06</v>
      </c>
      <c r="AT12" s="89">
        <v>996.6</v>
      </c>
      <c r="AU12" s="89">
        <v>1010.8799999999999</v>
      </c>
      <c r="AV12" s="15"/>
      <c r="AW12" s="15"/>
      <c r="AX12" s="15"/>
      <c r="AY12" s="89">
        <v>1204.63</v>
      </c>
      <c r="AZ12" s="89">
        <v>927.1</v>
      </c>
      <c r="BA12" s="89">
        <v>1010.8799999999999</v>
      </c>
      <c r="BB12" s="15"/>
      <c r="BC12" s="15"/>
      <c r="BD12" s="89">
        <v>1354.9199999999998</v>
      </c>
      <c r="BE12" s="89">
        <v>1153.05</v>
      </c>
      <c r="BF12" s="89">
        <v>1010.8799999999999</v>
      </c>
      <c r="BG12" s="15"/>
      <c r="BH12" s="15"/>
      <c r="BI12" s="89">
        <v>1324.87</v>
      </c>
      <c r="BJ12" s="89">
        <v>1145.19</v>
      </c>
      <c r="BK12" s="89">
        <v>1010.8799999999999</v>
      </c>
      <c r="BL12" s="15"/>
      <c r="BM12" s="15"/>
      <c r="BN12" s="89">
        <v>32244.360000000102</v>
      </c>
    </row>
    <row r="13">
      <c r="A13" s="15"/>
      <c r="B13" s="70" t="s">
        <v>224</v>
      </c>
      <c r="C13" s="15" t="s">
        <v>1046</v>
      </c>
      <c r="D13" s="15"/>
      <c r="E13" s="89">
        <v>150.0</v>
      </c>
      <c r="F13" s="15"/>
      <c r="G13" s="15"/>
      <c r="H13" s="15"/>
      <c r="I13" s="15"/>
      <c r="J13" s="89">
        <v>150.0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89">
        <v>150.0</v>
      </c>
      <c r="BA13" s="15"/>
      <c r="BB13" s="15"/>
      <c r="BC13" s="15"/>
      <c r="BD13" s="15"/>
      <c r="BE13" s="89">
        <v>150.0</v>
      </c>
      <c r="BF13" s="15"/>
      <c r="BG13" s="15"/>
      <c r="BH13" s="15"/>
      <c r="BI13" s="15"/>
      <c r="BJ13" s="89">
        <v>150.0</v>
      </c>
      <c r="BK13" s="15"/>
      <c r="BL13" s="15"/>
      <c r="BM13" s="15"/>
      <c r="BN13" s="89">
        <v>750.0</v>
      </c>
    </row>
    <row r="14">
      <c r="A14" s="15"/>
      <c r="B14" s="70"/>
      <c r="C14" s="15" t="s">
        <v>223</v>
      </c>
      <c r="D14" s="89">
        <v>100.0</v>
      </c>
      <c r="E14" s="15"/>
      <c r="F14" s="15"/>
      <c r="G14" s="15"/>
      <c r="H14" s="15"/>
      <c r="I14" s="89">
        <v>100.0</v>
      </c>
      <c r="J14" s="15"/>
      <c r="K14" s="15"/>
      <c r="L14" s="15"/>
      <c r="M14" s="15"/>
      <c r="N14" s="89">
        <v>100.0</v>
      </c>
      <c r="O14" s="89">
        <v>100.0</v>
      </c>
      <c r="P14" s="15"/>
      <c r="Q14" s="15"/>
      <c r="R14" s="15"/>
      <c r="S14" s="89">
        <v>150.0</v>
      </c>
      <c r="T14" s="89">
        <v>100.0</v>
      </c>
      <c r="U14" s="15"/>
      <c r="V14" s="15"/>
      <c r="W14" s="15"/>
      <c r="X14" s="89">
        <v>150.0</v>
      </c>
      <c r="Y14" s="89">
        <v>100.0</v>
      </c>
      <c r="Z14" s="15"/>
      <c r="AA14" s="15"/>
      <c r="AB14" s="15"/>
      <c r="AC14" s="89">
        <v>150.0</v>
      </c>
      <c r="AD14" s="89">
        <v>100.0</v>
      </c>
      <c r="AE14" s="15"/>
      <c r="AF14" s="15"/>
      <c r="AG14" s="15"/>
      <c r="AH14" s="89">
        <v>150.0</v>
      </c>
      <c r="AI14" s="89">
        <v>100.0</v>
      </c>
      <c r="AJ14" s="15"/>
      <c r="AK14" s="15"/>
      <c r="AL14" s="15"/>
      <c r="AM14" s="89">
        <v>100.0</v>
      </c>
      <c r="AN14" s="89">
        <v>150.0</v>
      </c>
      <c r="AO14" s="89">
        <v>100.0</v>
      </c>
      <c r="AP14" s="15"/>
      <c r="AQ14" s="15"/>
      <c r="AR14" s="15"/>
      <c r="AS14" s="89">
        <v>100.0</v>
      </c>
      <c r="AT14" s="89">
        <v>150.0</v>
      </c>
      <c r="AU14" s="89">
        <v>100.0</v>
      </c>
      <c r="AV14" s="15"/>
      <c r="AW14" s="15"/>
      <c r="AX14" s="15"/>
      <c r="AY14" s="89">
        <v>100.0</v>
      </c>
      <c r="AZ14" s="15"/>
      <c r="BA14" s="89">
        <v>100.0</v>
      </c>
      <c r="BB14" s="15"/>
      <c r="BC14" s="15"/>
      <c r="BD14" s="89">
        <v>100.0</v>
      </c>
      <c r="BE14" s="15"/>
      <c r="BF14" s="89">
        <v>100.0</v>
      </c>
      <c r="BG14" s="15"/>
      <c r="BH14" s="15"/>
      <c r="BI14" s="89">
        <v>100.0</v>
      </c>
      <c r="BJ14" s="15"/>
      <c r="BK14" s="89">
        <v>100.0</v>
      </c>
      <c r="BL14" s="15"/>
      <c r="BM14" s="15"/>
      <c r="BN14" s="89">
        <v>2700.0</v>
      </c>
    </row>
    <row r="15">
      <c r="A15" s="15"/>
      <c r="B15" s="70" t="s">
        <v>145</v>
      </c>
      <c r="C15" s="15" t="s">
        <v>44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89">
        <v>50.0</v>
      </c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89">
        <v>50.0</v>
      </c>
    </row>
    <row r="16">
      <c r="A16" s="15"/>
      <c r="B16" s="70"/>
      <c r="C16" s="15" t="s">
        <v>65</v>
      </c>
      <c r="D16" s="15"/>
      <c r="E16" s="89">
        <v>115.71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89">
        <v>48.28</v>
      </c>
      <c r="AI16" s="15"/>
      <c r="AJ16" s="15"/>
      <c r="AK16" s="15"/>
      <c r="AL16" s="15"/>
      <c r="AM16" s="89">
        <v>64.94999999999999</v>
      </c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89">
        <v>172.41</v>
      </c>
      <c r="BF16" s="15"/>
      <c r="BG16" s="15"/>
      <c r="BH16" s="15"/>
      <c r="BI16" s="15"/>
      <c r="BJ16" s="89">
        <v>115.71</v>
      </c>
      <c r="BK16" s="15"/>
      <c r="BL16" s="15"/>
      <c r="BM16" s="15"/>
      <c r="BN16" s="89">
        <v>517.06</v>
      </c>
    </row>
    <row r="17">
      <c r="A17" s="15"/>
      <c r="B17" s="70"/>
      <c r="C17" s="15" t="s">
        <v>508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89">
        <v>22.68</v>
      </c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89">
        <v>70.76</v>
      </c>
      <c r="BF17" s="15"/>
      <c r="BG17" s="15"/>
      <c r="BH17" s="15"/>
      <c r="BI17" s="15"/>
      <c r="BJ17" s="15"/>
      <c r="BK17" s="15"/>
      <c r="BL17" s="15"/>
      <c r="BM17" s="15"/>
      <c r="BN17" s="89">
        <v>93.44</v>
      </c>
    </row>
    <row r="18">
      <c r="A18" s="15"/>
      <c r="B18" s="70" t="s">
        <v>443</v>
      </c>
      <c r="C18" s="15" t="s">
        <v>93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89">
        <v>40.0</v>
      </c>
      <c r="BJ18" s="15"/>
      <c r="BK18" s="15"/>
      <c r="BL18" s="15"/>
      <c r="BM18" s="15"/>
      <c r="BN18" s="89">
        <v>40.0</v>
      </c>
    </row>
    <row r="19">
      <c r="A19" s="15"/>
      <c r="B19" s="70" t="s">
        <v>347</v>
      </c>
      <c r="C19" s="15" t="s">
        <v>345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89">
        <v>300.0</v>
      </c>
      <c r="BE19" s="15"/>
      <c r="BF19" s="15"/>
      <c r="BG19" s="15"/>
      <c r="BH19" s="15"/>
      <c r="BI19" s="15"/>
      <c r="BJ19" s="15"/>
      <c r="BK19" s="15"/>
      <c r="BL19" s="15"/>
      <c r="BM19" s="15"/>
      <c r="BN19" s="89">
        <v>300.0</v>
      </c>
    </row>
    <row r="20">
      <c r="A20" s="15"/>
      <c r="B20" s="70"/>
      <c r="C20" s="15" t="s">
        <v>1243</v>
      </c>
      <c r="D20" s="15"/>
      <c r="E20" s="15"/>
      <c r="F20" s="15"/>
      <c r="G20" s="15"/>
      <c r="H20" s="15"/>
      <c r="I20" s="15"/>
      <c r="J20" s="89">
        <v>220.0</v>
      </c>
      <c r="K20" s="15"/>
      <c r="L20" s="15"/>
      <c r="M20" s="15"/>
      <c r="N20" s="15"/>
      <c r="O20" s="89">
        <v>220.0</v>
      </c>
      <c r="P20" s="15"/>
      <c r="Q20" s="15"/>
      <c r="R20" s="15"/>
      <c r="S20" s="15"/>
      <c r="T20" s="89">
        <v>220.0</v>
      </c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89">
        <v>660.0</v>
      </c>
    </row>
    <row r="21">
      <c r="A21" s="15"/>
      <c r="B21" s="70"/>
      <c r="C21" s="15" t="s">
        <v>65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89">
        <v>109.91</v>
      </c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89">
        <v>109.91</v>
      </c>
    </row>
    <row r="22">
      <c r="A22" s="15"/>
      <c r="B22" s="70"/>
      <c r="C22" s="15" t="s">
        <v>502</v>
      </c>
      <c r="D22" s="89">
        <v>83.6</v>
      </c>
      <c r="E22" s="15"/>
      <c r="F22" s="15"/>
      <c r="G22" s="15"/>
      <c r="H22" s="15"/>
      <c r="I22" s="89">
        <v>83.6</v>
      </c>
      <c r="J22" s="15"/>
      <c r="K22" s="15"/>
      <c r="L22" s="15"/>
      <c r="M22" s="15"/>
      <c r="N22" s="89">
        <v>83.6</v>
      </c>
      <c r="O22" s="15"/>
      <c r="P22" s="15"/>
      <c r="Q22" s="15"/>
      <c r="R22" s="15"/>
      <c r="S22" s="89">
        <v>83.6</v>
      </c>
      <c r="T22" s="15"/>
      <c r="U22" s="15"/>
      <c r="V22" s="15"/>
      <c r="W22" s="15"/>
      <c r="X22" s="89">
        <v>83.6</v>
      </c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89">
        <v>418.0</v>
      </c>
    </row>
    <row r="23">
      <c r="A23" s="15"/>
      <c r="B23" s="70"/>
      <c r="C23" s="15" t="s">
        <v>508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89">
        <v>9.9</v>
      </c>
      <c r="BF23" s="15"/>
      <c r="BG23" s="15"/>
      <c r="BH23" s="15"/>
      <c r="BI23" s="15"/>
      <c r="BJ23" s="15"/>
      <c r="BK23" s="15"/>
      <c r="BL23" s="15"/>
      <c r="BM23" s="15"/>
      <c r="BN23" s="89">
        <v>9.9</v>
      </c>
    </row>
    <row r="24">
      <c r="A24" s="15"/>
      <c r="B24" s="70" t="s">
        <v>120</v>
      </c>
      <c r="C24" s="15" t="s">
        <v>570</v>
      </c>
      <c r="D24" s="15"/>
      <c r="E24" s="89">
        <v>4522.51</v>
      </c>
      <c r="F24" s="15"/>
      <c r="G24" s="15"/>
      <c r="H24" s="15"/>
      <c r="I24" s="15"/>
      <c r="J24" s="15"/>
      <c r="K24" s="15"/>
      <c r="L24" s="15"/>
      <c r="M24" s="15"/>
      <c r="N24" s="15"/>
      <c r="O24" s="89">
        <v>993.83</v>
      </c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89">
        <v>235.84</v>
      </c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89">
        <v>4640.4</v>
      </c>
      <c r="BK24" s="15"/>
      <c r="BL24" s="15"/>
      <c r="BM24" s="15"/>
      <c r="BN24" s="89">
        <v>10392.58</v>
      </c>
    </row>
    <row r="25">
      <c r="A25" s="15"/>
      <c r="B25" s="70"/>
      <c r="C25" s="15" t="s">
        <v>980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89">
        <v>170.0</v>
      </c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89">
        <v>170.0</v>
      </c>
    </row>
    <row r="26">
      <c r="A26" s="15"/>
      <c r="B26" s="70"/>
      <c r="C26" s="15" t="s">
        <v>1326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89">
        <v>5.0</v>
      </c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89">
        <v>5.0</v>
      </c>
    </row>
    <row r="27">
      <c r="A27" s="15"/>
      <c r="B27" s="70"/>
      <c r="C27" s="15" t="s">
        <v>658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89">
        <v>295.0</v>
      </c>
      <c r="T27" s="15"/>
      <c r="U27" s="15"/>
      <c r="V27" s="15"/>
      <c r="W27" s="15"/>
      <c r="X27" s="89">
        <v>295.0</v>
      </c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89">
        <v>590.0</v>
      </c>
    </row>
    <row r="28">
      <c r="A28" s="15"/>
      <c r="B28" s="70"/>
      <c r="C28" s="15" t="s">
        <v>118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89">
        <v>288.33</v>
      </c>
      <c r="AN28" s="15"/>
      <c r="AO28" s="15"/>
      <c r="AP28" s="15"/>
      <c r="AQ28" s="15"/>
      <c r="AR28" s="15"/>
      <c r="AS28" s="89">
        <v>288.33</v>
      </c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89">
        <v>576.66</v>
      </c>
    </row>
    <row r="29">
      <c r="A29" s="15"/>
      <c r="B29" s="70"/>
      <c r="C29" s="15" t="s">
        <v>834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89">
        <v>120.0</v>
      </c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89">
        <v>120.0</v>
      </c>
    </row>
    <row r="30">
      <c r="A30" s="15"/>
      <c r="B30" s="70"/>
      <c r="C30" s="15" t="s">
        <v>511</v>
      </c>
      <c r="D30" s="89">
        <v>138.93</v>
      </c>
      <c r="E30" s="89">
        <v>470.94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89">
        <v>609.87</v>
      </c>
    </row>
    <row r="31">
      <c r="A31" s="15"/>
      <c r="B31" s="70"/>
      <c r="C31" s="15" t="s">
        <v>887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89">
        <v>359.04</v>
      </c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89">
        <v>359.04</v>
      </c>
    </row>
    <row r="32">
      <c r="A32" s="15"/>
      <c r="B32" s="70"/>
      <c r="C32" s="15" t="s">
        <v>656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89">
        <v>56.0</v>
      </c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89">
        <v>56.0</v>
      </c>
    </row>
    <row r="33">
      <c r="A33" s="15"/>
      <c r="B33" s="70"/>
      <c r="C33" s="15" t="s">
        <v>558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89">
        <v>293.98</v>
      </c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89">
        <v>293.98</v>
      </c>
    </row>
    <row r="34">
      <c r="A34" s="15"/>
      <c r="B34" s="70"/>
      <c r="C34" s="113" t="s">
        <v>711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89">
        <v>237.15</v>
      </c>
      <c r="T34" s="15"/>
      <c r="U34" s="15"/>
      <c r="V34" s="15"/>
      <c r="W34" s="15"/>
      <c r="X34" s="89">
        <v>325.5</v>
      </c>
      <c r="Y34" s="15"/>
      <c r="Z34" s="15"/>
      <c r="AA34" s="15"/>
      <c r="AB34" s="15"/>
      <c r="AC34" s="89">
        <v>237.15</v>
      </c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89">
        <v>799.8</v>
      </c>
    </row>
    <row r="35">
      <c r="A35" s="15"/>
      <c r="B35" s="70"/>
      <c r="C35" s="15" t="s">
        <v>341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89">
        <v>150.0</v>
      </c>
      <c r="BE35" s="15"/>
      <c r="BF35" s="15"/>
      <c r="BG35" s="15"/>
      <c r="BH35" s="15"/>
      <c r="BI35" s="15"/>
      <c r="BJ35" s="15"/>
      <c r="BK35" s="15"/>
      <c r="BL35" s="15"/>
      <c r="BM35" s="15"/>
      <c r="BN35" s="89">
        <v>150.0</v>
      </c>
    </row>
    <row r="36">
      <c r="A36" s="15"/>
      <c r="B36" s="70" t="s">
        <v>259</v>
      </c>
      <c r="C36" s="15" t="s">
        <v>1085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89">
        <v>47.48</v>
      </c>
      <c r="BF36" s="15"/>
      <c r="BG36" s="15"/>
      <c r="BH36" s="15"/>
      <c r="BI36" s="15"/>
      <c r="BJ36" s="89">
        <v>47.47</v>
      </c>
      <c r="BK36" s="15"/>
      <c r="BL36" s="15"/>
      <c r="BM36" s="15"/>
      <c r="BN36" s="89">
        <v>94.94999999999999</v>
      </c>
    </row>
    <row r="37">
      <c r="A37" s="15"/>
      <c r="B37" s="70"/>
      <c r="C37" s="15" t="s">
        <v>114</v>
      </c>
      <c r="D37" s="15"/>
      <c r="E37" s="15"/>
      <c r="F37" s="15"/>
      <c r="G37" s="15"/>
      <c r="H37" s="15"/>
      <c r="I37" s="15"/>
      <c r="J37" s="89">
        <v>102.94</v>
      </c>
      <c r="K37" s="15"/>
      <c r="L37" s="15"/>
      <c r="M37" s="15"/>
      <c r="N37" s="15"/>
      <c r="O37" s="15"/>
      <c r="P37" s="15"/>
      <c r="Q37" s="15"/>
      <c r="R37" s="15"/>
      <c r="S37" s="15"/>
      <c r="T37" s="89">
        <v>376.69</v>
      </c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89">
        <v>878.99</v>
      </c>
      <c r="BK37" s="15"/>
      <c r="BL37" s="15"/>
      <c r="BM37" s="15"/>
      <c r="BN37" s="89">
        <v>1358.6200000000001</v>
      </c>
    </row>
    <row r="38">
      <c r="A38" s="15"/>
      <c r="B38" s="70"/>
      <c r="C38" s="15" t="s">
        <v>65</v>
      </c>
      <c r="D38" s="15"/>
      <c r="E38" s="89">
        <v>422.20000000000005</v>
      </c>
      <c r="F38" s="15"/>
      <c r="G38" s="15"/>
      <c r="H38" s="15"/>
      <c r="I38" s="89">
        <v>63.92</v>
      </c>
      <c r="J38" s="15"/>
      <c r="K38" s="15"/>
      <c r="L38" s="15"/>
      <c r="M38" s="15"/>
      <c r="N38" s="89">
        <v>63.91</v>
      </c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89">
        <v>86.4</v>
      </c>
      <c r="AD38" s="15"/>
      <c r="AE38" s="15"/>
      <c r="AF38" s="15"/>
      <c r="AG38" s="15"/>
      <c r="AH38" s="89">
        <v>31.25</v>
      </c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89">
        <v>256.89</v>
      </c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89">
        <v>117.71</v>
      </c>
      <c r="BF38" s="15"/>
      <c r="BG38" s="15"/>
      <c r="BH38" s="15"/>
      <c r="BI38" s="15"/>
      <c r="BJ38" s="15"/>
      <c r="BK38" s="15"/>
      <c r="BL38" s="15"/>
      <c r="BM38" s="15"/>
      <c r="BN38" s="89">
        <v>1042.28</v>
      </c>
    </row>
    <row r="39">
      <c r="A39" s="15"/>
      <c r="B39" s="70" t="s">
        <v>448</v>
      </c>
      <c r="C39" s="15" t="s">
        <v>1085</v>
      </c>
      <c r="D39" s="15"/>
      <c r="E39" s="89">
        <v>71.95</v>
      </c>
      <c r="F39" s="15"/>
      <c r="G39" s="15"/>
      <c r="H39" s="15"/>
      <c r="I39" s="15"/>
      <c r="J39" s="89">
        <v>71.94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89">
        <v>143.89</v>
      </c>
    </row>
    <row r="40">
      <c r="A40" s="15"/>
      <c r="B40" s="70"/>
      <c r="C40" s="15" t="s">
        <v>570</v>
      </c>
      <c r="D40" s="15"/>
      <c r="E40" s="15"/>
      <c r="F40" s="15"/>
      <c r="G40" s="15"/>
      <c r="H40" s="15"/>
      <c r="I40" s="15"/>
      <c r="J40" s="89">
        <v>5017.49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89">
        <v>1515.2199999999998</v>
      </c>
      <c r="BA40" s="15"/>
      <c r="BB40" s="15"/>
      <c r="BC40" s="15"/>
      <c r="BD40" s="15"/>
      <c r="BE40" s="89">
        <v>2983.95</v>
      </c>
      <c r="BF40" s="15"/>
      <c r="BG40" s="15"/>
      <c r="BH40" s="15"/>
      <c r="BI40" s="15"/>
      <c r="BJ40" s="89">
        <v>2196.45</v>
      </c>
      <c r="BK40" s="15"/>
      <c r="BL40" s="15"/>
      <c r="BM40" s="15"/>
      <c r="BN40" s="89">
        <v>11713.11</v>
      </c>
    </row>
    <row r="41">
      <c r="A41" s="15"/>
      <c r="B41" s="70"/>
      <c r="C41" s="15" t="s">
        <v>44</v>
      </c>
      <c r="D41" s="15"/>
      <c r="E41" s="89">
        <v>12027.05</v>
      </c>
      <c r="F41" s="15"/>
      <c r="G41" s="15"/>
      <c r="H41" s="15"/>
      <c r="I41" s="15"/>
      <c r="J41" s="15"/>
      <c r="K41" s="15"/>
      <c r="L41" s="15"/>
      <c r="M41" s="15"/>
      <c r="N41" s="89">
        <v>1901.24</v>
      </c>
      <c r="O41" s="15"/>
      <c r="P41" s="15"/>
      <c r="Q41" s="15"/>
      <c r="R41" s="15"/>
      <c r="S41" s="89">
        <v>109.96</v>
      </c>
      <c r="T41" s="15"/>
      <c r="U41" s="15"/>
      <c r="V41" s="15"/>
      <c r="W41" s="15"/>
      <c r="X41" s="15"/>
      <c r="Y41" s="15"/>
      <c r="Z41" s="15"/>
      <c r="AA41" s="15"/>
      <c r="AB41" s="15"/>
      <c r="AC41" s="89">
        <v>109.95</v>
      </c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89">
        <v>3651.65</v>
      </c>
      <c r="BJ41" s="89">
        <v>3061.9</v>
      </c>
      <c r="BK41" s="15"/>
      <c r="BL41" s="15"/>
      <c r="BM41" s="15"/>
      <c r="BN41" s="89">
        <v>20861.75</v>
      </c>
    </row>
    <row r="42">
      <c r="A42" s="15"/>
      <c r="B42" s="70"/>
      <c r="C42" s="15" t="s">
        <v>768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89">
        <v>22.43</v>
      </c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89">
        <v>22.43</v>
      </c>
    </row>
    <row r="43">
      <c r="A43" s="15"/>
      <c r="B43" s="70"/>
      <c r="C43" s="15" t="s">
        <v>1272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89">
        <v>490.0</v>
      </c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89">
        <v>490.0</v>
      </c>
    </row>
    <row r="44">
      <c r="A44" s="15"/>
      <c r="B44" s="70"/>
      <c r="C44" s="15" t="s">
        <v>36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89">
        <v>3180.0</v>
      </c>
      <c r="BK44" s="15"/>
      <c r="BL44" s="15"/>
      <c r="BM44" s="15"/>
      <c r="BN44" s="89">
        <v>3180.0</v>
      </c>
    </row>
    <row r="45">
      <c r="A45" s="15"/>
      <c r="B45" s="70"/>
      <c r="C45" s="15" t="s">
        <v>43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89">
        <v>3180.0</v>
      </c>
      <c r="BK45" s="15"/>
      <c r="BL45" s="15"/>
      <c r="BM45" s="15"/>
      <c r="BN45" s="89">
        <v>3180.0</v>
      </c>
    </row>
    <row r="46">
      <c r="A46" s="15"/>
      <c r="B46" s="70"/>
      <c r="C46" s="15" t="s">
        <v>685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89">
        <v>106.36</v>
      </c>
      <c r="T46" s="15"/>
      <c r="U46" s="15"/>
      <c r="V46" s="15"/>
      <c r="W46" s="15"/>
      <c r="X46" s="89">
        <v>106.34</v>
      </c>
      <c r="Y46" s="15"/>
      <c r="Z46" s="15"/>
      <c r="AA46" s="15"/>
      <c r="AB46" s="15"/>
      <c r="AC46" s="89">
        <v>106.34</v>
      </c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89">
        <v>319.03999999999996</v>
      </c>
    </row>
    <row r="47">
      <c r="A47" s="15"/>
      <c r="B47" s="70"/>
      <c r="C47" s="15" t="s">
        <v>940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89">
        <v>180.0</v>
      </c>
      <c r="BF47" s="15"/>
      <c r="BG47" s="15"/>
      <c r="BH47" s="15"/>
      <c r="BI47" s="15"/>
      <c r="BJ47" s="15"/>
      <c r="BK47" s="15"/>
      <c r="BL47" s="15"/>
      <c r="BM47" s="15"/>
      <c r="BN47" s="89">
        <v>180.0</v>
      </c>
    </row>
    <row r="48">
      <c r="A48" s="15"/>
      <c r="B48" s="70"/>
      <c r="C48" s="15" t="s">
        <v>137</v>
      </c>
      <c r="D48" s="89">
        <v>92.35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89">
        <v>92.35</v>
      </c>
    </row>
    <row r="49">
      <c r="A49" s="15"/>
      <c r="B49" s="70"/>
      <c r="C49" s="15" t="s">
        <v>65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89">
        <v>-127.36</v>
      </c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89">
        <v>-128.42</v>
      </c>
      <c r="BJ49" s="15"/>
      <c r="BK49" s="15"/>
      <c r="BL49" s="15"/>
      <c r="BM49" s="15"/>
      <c r="BN49" s="89">
        <v>-255.77999999999997</v>
      </c>
    </row>
    <row r="50">
      <c r="A50" s="15"/>
      <c r="B50" s="70"/>
      <c r="C50" s="15" t="s">
        <v>499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89">
        <v>24.0</v>
      </c>
      <c r="BK50" s="15"/>
      <c r="BL50" s="15"/>
      <c r="BM50" s="15"/>
      <c r="BN50" s="89">
        <v>24.0</v>
      </c>
    </row>
    <row r="51">
      <c r="A51" s="15"/>
      <c r="B51" s="70"/>
      <c r="C51" s="15" t="s">
        <v>689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89">
        <v>300.0</v>
      </c>
      <c r="T51" s="15"/>
      <c r="U51" s="15"/>
      <c r="V51" s="15"/>
      <c r="W51" s="15"/>
      <c r="X51" s="89">
        <v>300.0</v>
      </c>
      <c r="Y51" s="15"/>
      <c r="Z51" s="15"/>
      <c r="AA51" s="15"/>
      <c r="AB51" s="15"/>
      <c r="AC51" s="89">
        <v>300.0</v>
      </c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89">
        <v>900.0</v>
      </c>
    </row>
    <row r="52">
      <c r="A52" s="15"/>
      <c r="B52" s="70"/>
      <c r="C52" s="15" t="s">
        <v>1187</v>
      </c>
      <c r="D52" s="15"/>
      <c r="E52" s="89">
        <v>976.78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89">
        <v>976.78</v>
      </c>
    </row>
    <row r="53">
      <c r="A53" s="15"/>
      <c r="B53" s="70" t="s">
        <v>1734</v>
      </c>
      <c r="C53" s="15"/>
      <c r="D53" s="89">
        <v>680.0</v>
      </c>
      <c r="E53" s="89">
        <v>3174.5</v>
      </c>
      <c r="F53" s="15"/>
      <c r="G53" s="15"/>
      <c r="H53" s="15"/>
      <c r="I53" s="89">
        <v>1180.0</v>
      </c>
      <c r="J53" s="89">
        <v>2808.4</v>
      </c>
      <c r="K53" s="15"/>
      <c r="L53" s="15"/>
      <c r="M53" s="15"/>
      <c r="N53" s="89">
        <v>1267.5</v>
      </c>
      <c r="O53" s="89">
        <v>2315.0</v>
      </c>
      <c r="P53" s="15"/>
      <c r="Q53" s="15"/>
      <c r="R53" s="15"/>
      <c r="S53" s="89">
        <v>1356.73</v>
      </c>
      <c r="T53" s="89">
        <v>2160.0</v>
      </c>
      <c r="U53" s="15"/>
      <c r="V53" s="15"/>
      <c r="W53" s="15"/>
      <c r="X53" s="89">
        <v>1711.3600000000001</v>
      </c>
      <c r="Y53" s="89">
        <v>2160.0</v>
      </c>
      <c r="Z53" s="15"/>
      <c r="AA53" s="15"/>
      <c r="AB53" s="15"/>
      <c r="AC53" s="89">
        <v>1498.8600000000001</v>
      </c>
      <c r="AD53" s="89">
        <v>2160.0</v>
      </c>
      <c r="AE53" s="15"/>
      <c r="AF53" s="15"/>
      <c r="AG53" s="15"/>
      <c r="AH53" s="89">
        <v>1648.46</v>
      </c>
      <c r="AI53" s="89">
        <v>2160.0</v>
      </c>
      <c r="AJ53" s="15"/>
      <c r="AK53" s="15"/>
      <c r="AL53" s="15"/>
      <c r="AM53" s="89">
        <v>1707.92</v>
      </c>
      <c r="AN53" s="89">
        <v>735.9599999999999</v>
      </c>
      <c r="AO53" s="89">
        <v>2160.0</v>
      </c>
      <c r="AP53" s="15"/>
      <c r="AQ53" s="15"/>
      <c r="AR53" s="15"/>
      <c r="AS53" s="89">
        <v>1456.9</v>
      </c>
      <c r="AT53" s="89">
        <v>1245.5300000000002</v>
      </c>
      <c r="AU53" s="89">
        <v>2160.0</v>
      </c>
      <c r="AV53" s="15"/>
      <c r="AW53" s="15"/>
      <c r="AX53" s="15"/>
      <c r="AY53" s="89">
        <v>780.92</v>
      </c>
      <c r="AZ53" s="89">
        <v>2608.86</v>
      </c>
      <c r="BA53" s="89">
        <v>2160.0</v>
      </c>
      <c r="BB53" s="15"/>
      <c r="BC53" s="15"/>
      <c r="BD53" s="89">
        <v>700.0</v>
      </c>
      <c r="BE53" s="89">
        <v>2028.8600000000001</v>
      </c>
      <c r="BF53" s="89">
        <v>2160.0</v>
      </c>
      <c r="BG53" s="15"/>
      <c r="BH53" s="15"/>
      <c r="BI53" s="89">
        <v>1650.0</v>
      </c>
      <c r="BJ53" s="89">
        <v>1649.5</v>
      </c>
      <c r="BK53" s="89">
        <v>2160.0</v>
      </c>
      <c r="BL53" s="15"/>
      <c r="BM53" s="15"/>
      <c r="BN53" s="89">
        <v>51645.259999999995</v>
      </c>
    </row>
    <row r="54">
      <c r="A54" s="15"/>
      <c r="B54" s="70" t="s">
        <v>184</v>
      </c>
      <c r="C54" s="15" t="s">
        <v>182</v>
      </c>
      <c r="D54" s="15"/>
      <c r="E54" s="89">
        <v>64.72</v>
      </c>
      <c r="F54" s="15"/>
      <c r="G54" s="15"/>
      <c r="H54" s="15"/>
      <c r="I54" s="89">
        <v>21.27</v>
      </c>
      <c r="J54" s="15"/>
      <c r="K54" s="15"/>
      <c r="L54" s="15"/>
      <c r="M54" s="15"/>
      <c r="N54" s="89">
        <v>177.51</v>
      </c>
      <c r="O54" s="89">
        <v>19.88</v>
      </c>
      <c r="P54" s="15"/>
      <c r="Q54" s="15"/>
      <c r="R54" s="15"/>
      <c r="S54" s="89">
        <v>81.19</v>
      </c>
      <c r="T54" s="15"/>
      <c r="U54" s="15"/>
      <c r="V54" s="15"/>
      <c r="W54" s="15"/>
      <c r="X54" s="89">
        <v>53.74</v>
      </c>
      <c r="Y54" s="15"/>
      <c r="Z54" s="15"/>
      <c r="AA54" s="15"/>
      <c r="AB54" s="15"/>
      <c r="AC54" s="89">
        <v>12.18</v>
      </c>
      <c r="AD54" s="15"/>
      <c r="AE54" s="15"/>
      <c r="AF54" s="15"/>
      <c r="AG54" s="15"/>
      <c r="AH54" s="89">
        <v>35.27</v>
      </c>
      <c r="AI54" s="15"/>
      <c r="AJ54" s="15"/>
      <c r="AK54" s="15"/>
      <c r="AL54" s="15"/>
      <c r="AM54" s="89">
        <v>79.57000000000001</v>
      </c>
      <c r="AN54" s="89">
        <v>21.96</v>
      </c>
      <c r="AO54" s="15"/>
      <c r="AP54" s="15"/>
      <c r="AQ54" s="15"/>
      <c r="AR54" s="15"/>
      <c r="AS54" s="89">
        <v>72.41</v>
      </c>
      <c r="AT54" s="89">
        <v>79.74</v>
      </c>
      <c r="AU54" s="15"/>
      <c r="AV54" s="15"/>
      <c r="AW54" s="15"/>
      <c r="AX54" s="15"/>
      <c r="AY54" s="15"/>
      <c r="AZ54" s="89">
        <v>70.11</v>
      </c>
      <c r="BA54" s="15"/>
      <c r="BB54" s="15"/>
      <c r="BC54" s="15"/>
      <c r="BD54" s="15"/>
      <c r="BE54" s="89">
        <v>11.94</v>
      </c>
      <c r="BF54" s="15"/>
      <c r="BG54" s="15"/>
      <c r="BH54" s="15"/>
      <c r="BI54" s="15"/>
      <c r="BJ54" s="89">
        <v>58.81</v>
      </c>
      <c r="BK54" s="15"/>
      <c r="BL54" s="15"/>
      <c r="BM54" s="15"/>
      <c r="BN54" s="89">
        <v>860.3000000000008</v>
      </c>
    </row>
    <row r="55">
      <c r="A55" s="15" t="s">
        <v>1735</v>
      </c>
      <c r="B55" s="70" t="s">
        <v>172</v>
      </c>
      <c r="C55" s="15" t="s">
        <v>171</v>
      </c>
      <c r="D55" s="89">
        <v>107.64</v>
      </c>
      <c r="E55" s="89">
        <v>107.64</v>
      </c>
      <c r="F55" s="15"/>
      <c r="G55" s="15"/>
      <c r="H55" s="15"/>
      <c r="I55" s="89">
        <v>107.64</v>
      </c>
      <c r="J55" s="89">
        <v>107.64</v>
      </c>
      <c r="K55" s="15"/>
      <c r="L55" s="15"/>
      <c r="M55" s="15"/>
      <c r="N55" s="89">
        <v>110.8</v>
      </c>
      <c r="O55" s="89">
        <v>107.64</v>
      </c>
      <c r="P55" s="15"/>
      <c r="Q55" s="15"/>
      <c r="R55" s="15"/>
      <c r="S55" s="89">
        <v>107.64</v>
      </c>
      <c r="T55" s="89">
        <v>150.0</v>
      </c>
      <c r="U55" s="15"/>
      <c r="V55" s="15"/>
      <c r="W55" s="15"/>
      <c r="X55" s="89">
        <v>107.64</v>
      </c>
      <c r="Y55" s="89">
        <v>150.0</v>
      </c>
      <c r="Z55" s="15"/>
      <c r="AA55" s="15"/>
      <c r="AB55" s="15"/>
      <c r="AC55" s="89">
        <v>107.64</v>
      </c>
      <c r="AD55" s="89">
        <v>150.0</v>
      </c>
      <c r="AE55" s="15"/>
      <c r="AF55" s="15"/>
      <c r="AG55" s="15"/>
      <c r="AH55" s="89">
        <v>107.64</v>
      </c>
      <c r="AI55" s="89">
        <v>150.0</v>
      </c>
      <c r="AJ55" s="15"/>
      <c r="AK55" s="15"/>
      <c r="AL55" s="15"/>
      <c r="AM55" s="89">
        <v>107.64</v>
      </c>
      <c r="AN55" s="89">
        <v>107.64</v>
      </c>
      <c r="AO55" s="89">
        <v>150.0</v>
      </c>
      <c r="AP55" s="15"/>
      <c r="AQ55" s="15"/>
      <c r="AR55" s="15"/>
      <c r="AS55" s="89">
        <v>109.22</v>
      </c>
      <c r="AT55" s="89">
        <v>107.64</v>
      </c>
      <c r="AU55" s="89">
        <v>150.0</v>
      </c>
      <c r="AV55" s="15"/>
      <c r="AW55" s="15"/>
      <c r="AX55" s="15"/>
      <c r="AY55" s="89">
        <v>107.64</v>
      </c>
      <c r="AZ55" s="89">
        <v>107.64</v>
      </c>
      <c r="BA55" s="89">
        <v>150.0</v>
      </c>
      <c r="BB55" s="15"/>
      <c r="BC55" s="15"/>
      <c r="BD55" s="89">
        <v>107.64</v>
      </c>
      <c r="BE55" s="89">
        <v>107.64</v>
      </c>
      <c r="BF55" s="89">
        <v>150.0</v>
      </c>
      <c r="BG55" s="15"/>
      <c r="BH55" s="15"/>
      <c r="BI55" s="89">
        <v>107.64</v>
      </c>
      <c r="BJ55" s="89">
        <v>107.64</v>
      </c>
      <c r="BK55" s="89">
        <v>150.0</v>
      </c>
      <c r="BL55" s="15"/>
      <c r="BM55" s="15"/>
      <c r="BN55" s="89">
        <v>3507.5400000000004</v>
      </c>
    </row>
    <row r="56">
      <c r="A56" s="15"/>
      <c r="B56" s="70" t="s">
        <v>201</v>
      </c>
      <c r="C56" s="15" t="s">
        <v>637</v>
      </c>
      <c r="D56" s="15"/>
      <c r="E56" s="89">
        <v>170.0</v>
      </c>
      <c r="F56" s="15"/>
      <c r="G56" s="15"/>
      <c r="H56" s="15"/>
      <c r="I56" s="15"/>
      <c r="J56" s="89">
        <v>179.13</v>
      </c>
      <c r="K56" s="15"/>
      <c r="L56" s="15"/>
      <c r="M56" s="15"/>
      <c r="N56" s="89">
        <v>173.6</v>
      </c>
      <c r="O56" s="89">
        <v>179.13</v>
      </c>
      <c r="P56" s="15"/>
      <c r="Q56" s="15"/>
      <c r="R56" s="15"/>
      <c r="S56" s="89">
        <v>170.0</v>
      </c>
      <c r="T56" s="89">
        <v>170.0</v>
      </c>
      <c r="U56" s="15"/>
      <c r="V56" s="15"/>
      <c r="W56" s="15"/>
      <c r="X56" s="89">
        <v>170.0</v>
      </c>
      <c r="Y56" s="89">
        <v>170.0</v>
      </c>
      <c r="Z56" s="15"/>
      <c r="AA56" s="15"/>
      <c r="AB56" s="15"/>
      <c r="AC56" s="89">
        <v>170.0</v>
      </c>
      <c r="AD56" s="89">
        <v>170.0</v>
      </c>
      <c r="AE56" s="15"/>
      <c r="AF56" s="15"/>
      <c r="AG56" s="15"/>
      <c r="AH56" s="89">
        <v>170.0</v>
      </c>
      <c r="AI56" s="89">
        <v>170.0</v>
      </c>
      <c r="AJ56" s="15"/>
      <c r="AK56" s="15"/>
      <c r="AL56" s="15"/>
      <c r="AM56" s="15"/>
      <c r="AN56" s="89">
        <v>170.0</v>
      </c>
      <c r="AO56" s="89">
        <v>170.0</v>
      </c>
      <c r="AP56" s="15"/>
      <c r="AQ56" s="15"/>
      <c r="AR56" s="15"/>
      <c r="AS56" s="15"/>
      <c r="AT56" s="89">
        <v>170.0</v>
      </c>
      <c r="AU56" s="89">
        <v>170.0</v>
      </c>
      <c r="AV56" s="15"/>
      <c r="AW56" s="15"/>
      <c r="AX56" s="15"/>
      <c r="AY56" s="15"/>
      <c r="AZ56" s="89">
        <v>170.0</v>
      </c>
      <c r="BA56" s="89">
        <v>170.0</v>
      </c>
      <c r="BB56" s="15"/>
      <c r="BC56" s="15"/>
      <c r="BD56" s="15"/>
      <c r="BE56" s="89">
        <v>170.0</v>
      </c>
      <c r="BF56" s="89">
        <v>170.0</v>
      </c>
      <c r="BG56" s="15"/>
      <c r="BH56" s="15"/>
      <c r="BI56" s="15"/>
      <c r="BJ56" s="89">
        <v>170.0</v>
      </c>
      <c r="BK56" s="89">
        <v>170.0</v>
      </c>
      <c r="BL56" s="15"/>
      <c r="BM56" s="15"/>
      <c r="BN56" s="89">
        <v>3761.86</v>
      </c>
    </row>
    <row r="57">
      <c r="A57" s="15"/>
      <c r="B57" s="70"/>
      <c r="C57" s="15" t="s">
        <v>200</v>
      </c>
      <c r="D57" s="89">
        <v>170.0</v>
      </c>
      <c r="E57" s="15"/>
      <c r="F57" s="15"/>
      <c r="G57" s="15"/>
      <c r="H57" s="15"/>
      <c r="I57" s="89">
        <v>170.0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89">
        <v>170.0</v>
      </c>
      <c r="AN57" s="15"/>
      <c r="AO57" s="15"/>
      <c r="AP57" s="15"/>
      <c r="AQ57" s="15"/>
      <c r="AR57" s="15"/>
      <c r="AS57" s="89">
        <v>170.0</v>
      </c>
      <c r="AT57" s="15"/>
      <c r="AU57" s="15"/>
      <c r="AV57" s="15"/>
      <c r="AW57" s="15"/>
      <c r="AX57" s="15"/>
      <c r="AY57" s="89">
        <v>170.0</v>
      </c>
      <c r="AZ57" s="15"/>
      <c r="BA57" s="15"/>
      <c r="BB57" s="15"/>
      <c r="BC57" s="15"/>
      <c r="BD57" s="89">
        <v>170.0</v>
      </c>
      <c r="BE57" s="15"/>
      <c r="BF57" s="15"/>
      <c r="BG57" s="15"/>
      <c r="BH57" s="15"/>
      <c r="BI57" s="89">
        <v>170.0</v>
      </c>
      <c r="BJ57" s="15"/>
      <c r="BK57" s="15"/>
      <c r="BL57" s="15"/>
      <c r="BM57" s="15"/>
      <c r="BN57" s="89">
        <v>1190.0</v>
      </c>
    </row>
    <row r="58">
      <c r="A58" s="15"/>
      <c r="B58" s="70" t="s">
        <v>30</v>
      </c>
      <c r="C58" s="15" t="s">
        <v>24</v>
      </c>
      <c r="D58" s="89">
        <v>5600.0</v>
      </c>
      <c r="E58" s="89">
        <v>5966.24</v>
      </c>
      <c r="F58" s="15"/>
      <c r="G58" s="15"/>
      <c r="H58" s="15"/>
      <c r="I58" s="89">
        <v>5831.95</v>
      </c>
      <c r="J58" s="89">
        <v>6127.21</v>
      </c>
      <c r="K58" s="15"/>
      <c r="L58" s="15"/>
      <c r="M58" s="15"/>
      <c r="N58" s="89">
        <v>6385.68</v>
      </c>
      <c r="O58" s="89">
        <v>6655.71</v>
      </c>
      <c r="P58" s="15"/>
      <c r="Q58" s="15"/>
      <c r="R58" s="15"/>
      <c r="S58" s="89">
        <v>6385.68</v>
      </c>
      <c r="T58" s="89">
        <v>6656.0</v>
      </c>
      <c r="U58" s="15"/>
      <c r="V58" s="15"/>
      <c r="W58" s="15"/>
      <c r="X58" s="89">
        <v>6385.68</v>
      </c>
      <c r="Y58" s="89">
        <v>6656.0</v>
      </c>
      <c r="Z58" s="15"/>
      <c r="AA58" s="15"/>
      <c r="AB58" s="15"/>
      <c r="AC58" s="89">
        <v>6385.68</v>
      </c>
      <c r="AD58" s="89">
        <v>6656.0</v>
      </c>
      <c r="AE58" s="15"/>
      <c r="AF58" s="15"/>
      <c r="AG58" s="15"/>
      <c r="AH58" s="89">
        <v>6385.68</v>
      </c>
      <c r="AI58" s="89">
        <v>6656.0</v>
      </c>
      <c r="AJ58" s="15"/>
      <c r="AK58" s="15"/>
      <c r="AL58" s="15"/>
      <c r="AM58" s="89">
        <v>6000.63</v>
      </c>
      <c r="AN58" s="89">
        <v>6385.68</v>
      </c>
      <c r="AO58" s="89">
        <v>6656.0</v>
      </c>
      <c r="AP58" s="15"/>
      <c r="AQ58" s="15"/>
      <c r="AR58" s="15"/>
      <c r="AS58" s="89">
        <v>6000.63</v>
      </c>
      <c r="AT58" s="89">
        <v>6385.68</v>
      </c>
      <c r="AU58" s="89">
        <v>6656.0</v>
      </c>
      <c r="AV58" s="15"/>
      <c r="AW58" s="15"/>
      <c r="AX58" s="15"/>
      <c r="AY58" s="89">
        <v>6000.63</v>
      </c>
      <c r="AZ58" s="89">
        <v>6385.68</v>
      </c>
      <c r="BA58" s="89">
        <v>6656.0</v>
      </c>
      <c r="BB58" s="15"/>
      <c r="BC58" s="15"/>
      <c r="BD58" s="89">
        <v>6000.63</v>
      </c>
      <c r="BE58" s="89">
        <v>5922.79</v>
      </c>
      <c r="BF58" s="89">
        <v>6656.0</v>
      </c>
      <c r="BG58" s="15"/>
      <c r="BH58" s="15"/>
      <c r="BI58" s="89">
        <v>6000.63</v>
      </c>
      <c r="BJ58" s="89">
        <v>6385.68</v>
      </c>
      <c r="BK58" s="89">
        <v>6656.0</v>
      </c>
      <c r="BL58" s="15"/>
      <c r="BM58" s="15"/>
      <c r="BN58" s="89">
        <v>183482.16999999998</v>
      </c>
    </row>
    <row r="59">
      <c r="A59" s="15"/>
      <c r="B59" s="70" t="s">
        <v>42</v>
      </c>
      <c r="C59" s="15" t="s">
        <v>39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89">
        <v>222.66</v>
      </c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89">
        <v>222.66</v>
      </c>
    </row>
    <row r="60">
      <c r="A60" s="15"/>
      <c r="B60" s="70" t="s">
        <v>92</v>
      </c>
      <c r="C60" s="15" t="s">
        <v>90</v>
      </c>
      <c r="D60" s="89">
        <v>447.77</v>
      </c>
      <c r="E60" s="89">
        <v>403.88</v>
      </c>
      <c r="F60" s="15"/>
      <c r="G60" s="15"/>
      <c r="H60" s="15"/>
      <c r="I60" s="89">
        <v>560.85</v>
      </c>
      <c r="J60" s="89">
        <v>367.78</v>
      </c>
      <c r="K60" s="15"/>
      <c r="L60" s="15"/>
      <c r="M60" s="15"/>
      <c r="N60" s="89">
        <v>578.0</v>
      </c>
      <c r="O60" s="89">
        <v>437.68</v>
      </c>
      <c r="P60" s="15"/>
      <c r="Q60" s="15"/>
      <c r="R60" s="15"/>
      <c r="S60" s="89">
        <v>462.36</v>
      </c>
      <c r="T60" s="89">
        <v>800.0</v>
      </c>
      <c r="U60" s="15"/>
      <c r="V60" s="15"/>
      <c r="W60" s="15"/>
      <c r="X60" s="89">
        <v>397.83</v>
      </c>
      <c r="Y60" s="89">
        <v>800.0</v>
      </c>
      <c r="Z60" s="15"/>
      <c r="AA60" s="15"/>
      <c r="AB60" s="15"/>
      <c r="AC60" s="89">
        <v>335.98</v>
      </c>
      <c r="AD60" s="89">
        <v>800.0</v>
      </c>
      <c r="AE60" s="15"/>
      <c r="AF60" s="15"/>
      <c r="AG60" s="15"/>
      <c r="AH60" s="89">
        <v>357.33</v>
      </c>
      <c r="AI60" s="89">
        <v>800.0</v>
      </c>
      <c r="AJ60" s="15"/>
      <c r="AK60" s="15"/>
      <c r="AL60" s="15"/>
      <c r="AM60" s="89">
        <v>374.8</v>
      </c>
      <c r="AN60" s="89">
        <v>324.41</v>
      </c>
      <c r="AO60" s="89">
        <v>800.0</v>
      </c>
      <c r="AP60" s="15"/>
      <c r="AQ60" s="15"/>
      <c r="AR60" s="15"/>
      <c r="AS60" s="89">
        <v>462.81</v>
      </c>
      <c r="AT60" s="89">
        <v>375.6</v>
      </c>
      <c r="AU60" s="89">
        <v>800.0</v>
      </c>
      <c r="AV60" s="15"/>
      <c r="AW60" s="15"/>
      <c r="AX60" s="15"/>
      <c r="AY60" s="89">
        <v>544.78</v>
      </c>
      <c r="AZ60" s="89">
        <v>480.39</v>
      </c>
      <c r="BA60" s="89">
        <v>800.0</v>
      </c>
      <c r="BB60" s="15"/>
      <c r="BC60" s="15"/>
      <c r="BD60" s="89">
        <v>526.57</v>
      </c>
      <c r="BE60" s="89">
        <v>409.86</v>
      </c>
      <c r="BF60" s="89">
        <v>800.0</v>
      </c>
      <c r="BG60" s="15"/>
      <c r="BH60" s="15"/>
      <c r="BI60" s="89">
        <v>578.15</v>
      </c>
      <c r="BJ60" s="89">
        <v>523.05</v>
      </c>
      <c r="BK60" s="89">
        <v>800.0</v>
      </c>
      <c r="BL60" s="15"/>
      <c r="BM60" s="15"/>
      <c r="BN60" s="89">
        <v>16149.880000000001</v>
      </c>
    </row>
    <row r="61">
      <c r="A61" s="15"/>
      <c r="B61" s="70" t="s">
        <v>51</v>
      </c>
      <c r="C61" s="15" t="s">
        <v>50</v>
      </c>
      <c r="D61" s="89">
        <v>139.99</v>
      </c>
      <c r="E61" s="89">
        <v>139.99</v>
      </c>
      <c r="F61" s="15"/>
      <c r="G61" s="15"/>
      <c r="H61" s="15"/>
      <c r="I61" s="89">
        <v>139.99</v>
      </c>
      <c r="J61" s="89">
        <v>144.99</v>
      </c>
      <c r="K61" s="15"/>
      <c r="L61" s="15"/>
      <c r="M61" s="15"/>
      <c r="N61" s="89">
        <v>139.99</v>
      </c>
      <c r="O61" s="89">
        <v>144.99</v>
      </c>
      <c r="P61" s="15"/>
      <c r="Q61" s="15"/>
      <c r="R61" s="15"/>
      <c r="S61" s="89">
        <v>139.99</v>
      </c>
      <c r="T61" s="89">
        <v>139.99</v>
      </c>
      <c r="U61" s="15"/>
      <c r="V61" s="15"/>
      <c r="W61" s="15"/>
      <c r="X61" s="89">
        <v>139.99</v>
      </c>
      <c r="Y61" s="89">
        <v>139.99</v>
      </c>
      <c r="Z61" s="15"/>
      <c r="AA61" s="15"/>
      <c r="AB61" s="15"/>
      <c r="AC61" s="89">
        <v>139.99</v>
      </c>
      <c r="AD61" s="89">
        <v>139.99</v>
      </c>
      <c r="AE61" s="15"/>
      <c r="AF61" s="15"/>
      <c r="AG61" s="15"/>
      <c r="AH61" s="89">
        <v>139.99</v>
      </c>
      <c r="AI61" s="89">
        <v>139.99</v>
      </c>
      <c r="AJ61" s="15"/>
      <c r="AK61" s="15"/>
      <c r="AL61" s="15"/>
      <c r="AM61" s="89">
        <v>139.99</v>
      </c>
      <c r="AN61" s="89">
        <v>139.99</v>
      </c>
      <c r="AO61" s="89">
        <v>139.99</v>
      </c>
      <c r="AP61" s="15"/>
      <c r="AQ61" s="15"/>
      <c r="AR61" s="15"/>
      <c r="AS61" s="89">
        <v>139.99</v>
      </c>
      <c r="AT61" s="89">
        <v>139.99</v>
      </c>
      <c r="AU61" s="89">
        <v>139.99</v>
      </c>
      <c r="AV61" s="15"/>
      <c r="AW61" s="15"/>
      <c r="AX61" s="15"/>
      <c r="AY61" s="89">
        <v>139.99</v>
      </c>
      <c r="AZ61" s="89">
        <v>139.99</v>
      </c>
      <c r="BA61" s="89">
        <v>139.99</v>
      </c>
      <c r="BB61" s="15"/>
      <c r="BC61" s="15"/>
      <c r="BD61" s="89">
        <v>139.99</v>
      </c>
      <c r="BE61" s="89">
        <v>139.99</v>
      </c>
      <c r="BF61" s="89">
        <v>139.99</v>
      </c>
      <c r="BG61" s="15"/>
      <c r="BH61" s="15"/>
      <c r="BI61" s="89">
        <v>139.99</v>
      </c>
      <c r="BJ61" s="89">
        <v>139.99</v>
      </c>
      <c r="BK61" s="89">
        <v>139.99</v>
      </c>
      <c r="BL61" s="15"/>
      <c r="BM61" s="15"/>
      <c r="BN61" s="89">
        <v>4069.7099999999973</v>
      </c>
    </row>
    <row r="62">
      <c r="A62" s="15"/>
      <c r="B62" s="70" t="s">
        <v>392</v>
      </c>
      <c r="C62" s="15" t="s">
        <v>643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89">
        <v>245.0</v>
      </c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89">
        <v>245.0</v>
      </c>
    </row>
    <row r="63">
      <c r="A63" s="15"/>
      <c r="B63" s="70"/>
      <c r="C63" s="15" t="s">
        <v>785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89">
        <v>265.0</v>
      </c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89">
        <v>265.0</v>
      </c>
    </row>
    <row r="64">
      <c r="A64" s="15"/>
      <c r="B64" s="70"/>
      <c r="C64" s="15" t="s">
        <v>255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89">
        <v>4.58</v>
      </c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89">
        <v>4.58</v>
      </c>
    </row>
    <row r="65">
      <c r="A65" s="15"/>
      <c r="B65" s="70"/>
      <c r="C65" s="15" t="s">
        <v>345</v>
      </c>
      <c r="D65" s="15"/>
      <c r="E65" s="15"/>
      <c r="F65" s="15"/>
      <c r="G65" s="15"/>
      <c r="H65" s="15"/>
      <c r="I65" s="15"/>
      <c r="J65" s="89">
        <v>45.0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89">
        <v>166.0</v>
      </c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89">
        <v>50.0</v>
      </c>
      <c r="BE65" s="15"/>
      <c r="BF65" s="15"/>
      <c r="BG65" s="15"/>
      <c r="BH65" s="15"/>
      <c r="BI65" s="15"/>
      <c r="BJ65" s="15"/>
      <c r="BK65" s="15"/>
      <c r="BL65" s="15"/>
      <c r="BM65" s="15"/>
      <c r="BN65" s="89">
        <v>261.0</v>
      </c>
    </row>
    <row r="66">
      <c r="A66" s="15"/>
      <c r="B66" s="70"/>
      <c r="C66" s="15" t="s">
        <v>852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89">
        <v>51.0</v>
      </c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89">
        <v>51.0</v>
      </c>
    </row>
    <row r="67">
      <c r="A67" s="15"/>
      <c r="B67" s="70"/>
      <c r="C67" s="15" t="s">
        <v>1190</v>
      </c>
      <c r="D67" s="15"/>
      <c r="E67" s="89">
        <v>245.0</v>
      </c>
      <c r="F67" s="15"/>
      <c r="G67" s="15"/>
      <c r="H67" s="15"/>
      <c r="I67" s="15"/>
      <c r="J67" s="89">
        <v>245.0</v>
      </c>
      <c r="K67" s="15"/>
      <c r="L67" s="15"/>
      <c r="M67" s="15"/>
      <c r="N67" s="15"/>
      <c r="O67" s="89">
        <v>245.0</v>
      </c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89">
        <v>735.0</v>
      </c>
    </row>
    <row r="68">
      <c r="A68" s="15"/>
      <c r="B68" s="70"/>
      <c r="C68" s="15" t="s">
        <v>1280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89">
        <v>650.0</v>
      </c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89">
        <v>650.0</v>
      </c>
    </row>
    <row r="69">
      <c r="A69" s="15"/>
      <c r="B69" s="70"/>
      <c r="C69" s="15" t="s">
        <v>1195</v>
      </c>
      <c r="D69" s="15"/>
      <c r="E69" s="89">
        <v>283.71</v>
      </c>
      <c r="F69" s="15"/>
      <c r="G69" s="15"/>
      <c r="H69" s="15"/>
      <c r="I69" s="15"/>
      <c r="J69" s="89">
        <v>283.71</v>
      </c>
      <c r="K69" s="15"/>
      <c r="L69" s="15"/>
      <c r="M69" s="15"/>
      <c r="N69" s="15"/>
      <c r="O69" s="89">
        <v>283.71</v>
      </c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89">
        <v>851.1299999999999</v>
      </c>
    </row>
    <row r="70">
      <c r="A70" s="15"/>
      <c r="B70" s="70"/>
      <c r="C70" s="15" t="s">
        <v>861</v>
      </c>
      <c r="D70" s="15"/>
      <c r="E70" s="89">
        <v>197.0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89">
        <v>197.0</v>
      </c>
    </row>
    <row r="71">
      <c r="A71" s="15"/>
      <c r="B71" s="70"/>
      <c r="C71" s="15" t="s">
        <v>654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89">
        <v>160.0</v>
      </c>
      <c r="P71" s="15"/>
      <c r="Q71" s="15"/>
      <c r="R71" s="15"/>
      <c r="S71" s="89">
        <v>130.0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89">
        <v>290.0</v>
      </c>
    </row>
    <row r="72">
      <c r="A72" s="15"/>
      <c r="B72" s="70"/>
      <c r="C72" s="15" t="s">
        <v>1166</v>
      </c>
      <c r="D72" s="15"/>
      <c r="E72" s="89">
        <v>300.0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89">
        <v>300.0</v>
      </c>
    </row>
    <row r="73">
      <c r="A73" s="15"/>
      <c r="B73" s="70"/>
      <c r="C73" s="15" t="s">
        <v>65</v>
      </c>
      <c r="D73" s="89">
        <v>243.51999999999998</v>
      </c>
      <c r="E73" s="15"/>
      <c r="F73" s="15"/>
      <c r="G73" s="15"/>
      <c r="H73" s="15"/>
      <c r="I73" s="89">
        <v>149.46</v>
      </c>
      <c r="J73" s="15"/>
      <c r="K73" s="15"/>
      <c r="L73" s="15"/>
      <c r="M73" s="15"/>
      <c r="N73" s="89">
        <v>33.06</v>
      </c>
      <c r="O73" s="15"/>
      <c r="P73" s="15"/>
      <c r="Q73" s="15"/>
      <c r="R73" s="15"/>
      <c r="S73" s="89">
        <v>33.06</v>
      </c>
      <c r="T73" s="15"/>
      <c r="U73" s="15"/>
      <c r="V73" s="15"/>
      <c r="W73" s="15"/>
      <c r="X73" s="89">
        <v>84.59</v>
      </c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89">
        <v>365.96000000000004</v>
      </c>
      <c r="BJ73" s="15"/>
      <c r="BK73" s="15"/>
      <c r="BL73" s="15"/>
      <c r="BM73" s="15"/>
      <c r="BN73" s="89">
        <v>909.65</v>
      </c>
    </row>
    <row r="74">
      <c r="A74" s="15"/>
      <c r="B74" s="70"/>
      <c r="C74" s="15" t="s">
        <v>508</v>
      </c>
      <c r="D74" s="89">
        <v>25.0</v>
      </c>
      <c r="E74" s="89">
        <v>8.5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89">
        <v>50.0</v>
      </c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89">
        <v>83.5</v>
      </c>
    </row>
    <row r="75">
      <c r="A75" s="15"/>
      <c r="B75" s="70"/>
      <c r="C75" s="15" t="s">
        <v>1023</v>
      </c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89">
        <v>231.45</v>
      </c>
      <c r="BA75" s="15"/>
      <c r="BB75" s="15"/>
      <c r="BC75" s="15"/>
      <c r="BD75" s="15"/>
      <c r="BE75" s="89">
        <v>231.45</v>
      </c>
      <c r="BF75" s="15"/>
      <c r="BG75" s="15"/>
      <c r="BH75" s="15"/>
      <c r="BI75" s="15"/>
      <c r="BJ75" s="15"/>
      <c r="BK75" s="15"/>
      <c r="BL75" s="15"/>
      <c r="BM75" s="15"/>
      <c r="BN75" s="89">
        <v>462.9</v>
      </c>
    </row>
    <row r="76">
      <c r="A76" s="15"/>
      <c r="B76" s="70" t="s">
        <v>136</v>
      </c>
      <c r="C76" s="15" t="s">
        <v>255</v>
      </c>
      <c r="D76" s="89">
        <v>59.45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89">
        <v>109.94</v>
      </c>
      <c r="AZ76" s="15"/>
      <c r="BA76" s="15"/>
      <c r="BB76" s="15"/>
      <c r="BC76" s="15"/>
      <c r="BD76" s="89">
        <v>65.87</v>
      </c>
      <c r="BE76" s="15"/>
      <c r="BF76" s="15"/>
      <c r="BG76" s="15"/>
      <c r="BH76" s="15"/>
      <c r="BI76" s="15"/>
      <c r="BJ76" s="15"/>
      <c r="BK76" s="15"/>
      <c r="BL76" s="15"/>
      <c r="BM76" s="15"/>
      <c r="BN76" s="89">
        <v>235.26</v>
      </c>
    </row>
    <row r="77">
      <c r="A77" s="15"/>
      <c r="B77" s="70"/>
      <c r="C77" s="15" t="s">
        <v>114</v>
      </c>
      <c r="D77" s="89">
        <v>29.99</v>
      </c>
      <c r="E77" s="15"/>
      <c r="F77" s="15"/>
      <c r="G77" s="15"/>
      <c r="H77" s="15"/>
      <c r="I77" s="15"/>
      <c r="J77" s="89">
        <v>98.36</v>
      </c>
      <c r="K77" s="15"/>
      <c r="L77" s="15"/>
      <c r="M77" s="15"/>
      <c r="N77" s="89">
        <v>214.27</v>
      </c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89">
        <v>199.39</v>
      </c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89">
        <v>497.6</v>
      </c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89">
        <v>1039.61</v>
      </c>
    </row>
    <row r="78">
      <c r="A78" s="15"/>
      <c r="B78" s="70"/>
      <c r="C78" s="15" t="s">
        <v>377</v>
      </c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89">
        <v>75.0</v>
      </c>
      <c r="BE78" s="15"/>
      <c r="BF78" s="15"/>
      <c r="BG78" s="15"/>
      <c r="BH78" s="15"/>
      <c r="BI78" s="89">
        <v>75.0</v>
      </c>
      <c r="BJ78" s="15"/>
      <c r="BK78" s="15"/>
      <c r="BL78" s="15"/>
      <c r="BM78" s="15"/>
      <c r="BN78" s="89">
        <v>150.0</v>
      </c>
    </row>
    <row r="79">
      <c r="A79" s="15"/>
      <c r="B79" s="70"/>
      <c r="C79" s="15" t="s">
        <v>127</v>
      </c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89">
        <v>14.5</v>
      </c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89">
        <v>14.5</v>
      </c>
    </row>
    <row r="80">
      <c r="A80" s="15"/>
      <c r="B80" s="70"/>
      <c r="C80" s="15" t="s">
        <v>134</v>
      </c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89">
        <v>89.35</v>
      </c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89">
        <v>89.35</v>
      </c>
    </row>
    <row r="81">
      <c r="A81" s="15"/>
      <c r="B81" s="70"/>
      <c r="C81" s="15" t="s">
        <v>65</v>
      </c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89">
        <v>12.56</v>
      </c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89">
        <v>12.56</v>
      </c>
    </row>
    <row r="82">
      <c r="A82" s="15"/>
      <c r="B82" s="70"/>
      <c r="C82" s="15" t="s">
        <v>81</v>
      </c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89">
        <v>356.42</v>
      </c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89">
        <v>356.42</v>
      </c>
    </row>
    <row r="83">
      <c r="A83" s="15"/>
      <c r="B83" s="70" t="s">
        <v>1736</v>
      </c>
      <c r="C83" s="15"/>
      <c r="D83" s="89">
        <v>22.1</v>
      </c>
      <c r="E83" s="89">
        <v>305.88</v>
      </c>
      <c r="F83" s="15"/>
      <c r="G83" s="15"/>
      <c r="H83" s="15"/>
      <c r="I83" s="15"/>
      <c r="J83" s="89">
        <v>286.70000000000005</v>
      </c>
      <c r="K83" s="15"/>
      <c r="L83" s="15"/>
      <c r="M83" s="15"/>
      <c r="N83" s="15"/>
      <c r="O83" s="89">
        <v>286.70000000000005</v>
      </c>
      <c r="P83" s="15"/>
      <c r="Q83" s="15"/>
      <c r="R83" s="15"/>
      <c r="S83" s="15"/>
      <c r="T83" s="89">
        <v>70.13</v>
      </c>
      <c r="U83" s="15"/>
      <c r="V83" s="15"/>
      <c r="W83" s="15"/>
      <c r="X83" s="15"/>
      <c r="Y83" s="89">
        <v>70.13</v>
      </c>
      <c r="Z83" s="15"/>
      <c r="AA83" s="15"/>
      <c r="AB83" s="15"/>
      <c r="AC83" s="15"/>
      <c r="AD83" s="89">
        <v>70.13</v>
      </c>
      <c r="AE83" s="15"/>
      <c r="AF83" s="15"/>
      <c r="AG83" s="15"/>
      <c r="AH83" s="15"/>
      <c r="AI83" s="15"/>
      <c r="AJ83" s="15"/>
      <c r="AK83" s="15"/>
      <c r="AL83" s="15"/>
      <c r="AM83" s="89">
        <v>162.17</v>
      </c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89">
        <v>1273.9400000000005</v>
      </c>
    </row>
    <row r="84">
      <c r="A84" s="15"/>
      <c r="B84" s="70" t="s">
        <v>178</v>
      </c>
      <c r="C84" s="15" t="s">
        <v>44</v>
      </c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89">
        <v>-91.29</v>
      </c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89">
        <v>-91.29</v>
      </c>
    </row>
    <row r="85">
      <c r="A85" s="15"/>
      <c r="B85" s="70"/>
      <c r="C85" s="15" t="s">
        <v>631</v>
      </c>
      <c r="D85" s="15"/>
      <c r="E85" s="15"/>
      <c r="F85" s="15"/>
      <c r="G85" s="15"/>
      <c r="H85" s="15"/>
      <c r="I85" s="15"/>
      <c r="J85" s="89">
        <v>120.93</v>
      </c>
      <c r="K85" s="15"/>
      <c r="L85" s="15"/>
      <c r="M85" s="15"/>
      <c r="N85" s="89">
        <v>110.87</v>
      </c>
      <c r="O85" s="89">
        <v>120.93</v>
      </c>
      <c r="P85" s="15"/>
      <c r="Q85" s="15"/>
      <c r="R85" s="15"/>
      <c r="S85" s="89">
        <v>221.74</v>
      </c>
      <c r="T85" s="89">
        <v>120.93</v>
      </c>
      <c r="U85" s="15"/>
      <c r="V85" s="15"/>
      <c r="W85" s="15"/>
      <c r="X85" s="15"/>
      <c r="Y85" s="89">
        <v>120.93</v>
      </c>
      <c r="Z85" s="15"/>
      <c r="AA85" s="15"/>
      <c r="AB85" s="15"/>
      <c r="AC85" s="89">
        <v>110.87</v>
      </c>
      <c r="AD85" s="89">
        <v>120.93</v>
      </c>
      <c r="AE85" s="15"/>
      <c r="AF85" s="15"/>
      <c r="AG85" s="15"/>
      <c r="AH85" s="89">
        <v>110.87</v>
      </c>
      <c r="AI85" s="89">
        <v>120.93</v>
      </c>
      <c r="AJ85" s="15"/>
      <c r="AK85" s="15"/>
      <c r="AL85" s="15"/>
      <c r="AM85" s="15"/>
      <c r="AN85" s="89">
        <v>110.87</v>
      </c>
      <c r="AO85" s="89">
        <v>120.93</v>
      </c>
      <c r="AP85" s="15"/>
      <c r="AQ85" s="15"/>
      <c r="AR85" s="15"/>
      <c r="AS85" s="15"/>
      <c r="AT85" s="89">
        <v>110.82</v>
      </c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89">
        <v>1622.5500000000004</v>
      </c>
    </row>
    <row r="86">
      <c r="A86" s="15"/>
      <c r="B86" s="70"/>
      <c r="C86" s="15" t="s">
        <v>1136</v>
      </c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89">
        <v>220.64</v>
      </c>
      <c r="BK86" s="15"/>
      <c r="BL86" s="15"/>
      <c r="BM86" s="15"/>
      <c r="BN86" s="89">
        <v>220.64</v>
      </c>
    </row>
    <row r="87">
      <c r="A87" s="15"/>
      <c r="B87" s="70"/>
      <c r="C87" s="15" t="s">
        <v>177</v>
      </c>
      <c r="D87" s="89">
        <v>223.69</v>
      </c>
      <c r="E87" s="89">
        <v>158.5</v>
      </c>
      <c r="F87" s="15"/>
      <c r="G87" s="15"/>
      <c r="H87" s="15"/>
      <c r="I87" s="89">
        <v>223.69</v>
      </c>
      <c r="J87" s="89">
        <v>158.5</v>
      </c>
      <c r="K87" s="15"/>
      <c r="L87" s="15"/>
      <c r="M87" s="15"/>
      <c r="N87" s="89">
        <v>223.69</v>
      </c>
      <c r="O87" s="89">
        <v>158.5</v>
      </c>
      <c r="P87" s="15"/>
      <c r="Q87" s="15"/>
      <c r="R87" s="15"/>
      <c r="S87" s="89">
        <v>223.69</v>
      </c>
      <c r="T87" s="89">
        <v>158.5</v>
      </c>
      <c r="U87" s="15"/>
      <c r="V87" s="15"/>
      <c r="W87" s="15"/>
      <c r="X87" s="89">
        <v>223.69</v>
      </c>
      <c r="Y87" s="89">
        <v>158.5</v>
      </c>
      <c r="Z87" s="15"/>
      <c r="AA87" s="15"/>
      <c r="AB87" s="15"/>
      <c r="AC87" s="15"/>
      <c r="AD87" s="89">
        <v>158.5</v>
      </c>
      <c r="AE87" s="15"/>
      <c r="AF87" s="15"/>
      <c r="AG87" s="15"/>
      <c r="AH87" s="15"/>
      <c r="AI87" s="15"/>
      <c r="AJ87" s="15"/>
      <c r="AK87" s="15"/>
      <c r="AL87" s="15"/>
      <c r="AM87" s="89">
        <v>149.25</v>
      </c>
      <c r="AN87" s="15"/>
      <c r="AO87" s="15"/>
      <c r="AP87" s="15"/>
      <c r="AQ87" s="15"/>
      <c r="AR87" s="15"/>
      <c r="AS87" s="89">
        <v>149.25</v>
      </c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89">
        <v>223.73</v>
      </c>
      <c r="BJ87" s="89">
        <v>162.39</v>
      </c>
      <c r="BK87" s="15"/>
      <c r="BL87" s="15"/>
      <c r="BM87" s="15"/>
      <c r="BN87" s="89">
        <v>2754.07</v>
      </c>
    </row>
    <row r="88">
      <c r="A88" s="15"/>
      <c r="B88" s="70" t="s">
        <v>693</v>
      </c>
      <c r="C88" s="15" t="s">
        <v>691</v>
      </c>
      <c r="D88" s="15"/>
      <c r="E88" s="89">
        <v>98.93</v>
      </c>
      <c r="F88" s="15"/>
      <c r="G88" s="15"/>
      <c r="H88" s="15"/>
      <c r="I88" s="15"/>
      <c r="J88" s="89">
        <v>98.93</v>
      </c>
      <c r="K88" s="15"/>
      <c r="L88" s="15"/>
      <c r="M88" s="15"/>
      <c r="N88" s="15"/>
      <c r="O88" s="89">
        <v>98.93</v>
      </c>
      <c r="P88" s="15"/>
      <c r="Q88" s="15"/>
      <c r="R88" s="15"/>
      <c r="S88" s="89">
        <v>98.93</v>
      </c>
      <c r="T88" s="15"/>
      <c r="U88" s="15"/>
      <c r="V88" s="15"/>
      <c r="W88" s="15"/>
      <c r="X88" s="89">
        <v>98.93</v>
      </c>
      <c r="Y88" s="15"/>
      <c r="Z88" s="15"/>
      <c r="AA88" s="15"/>
      <c r="AB88" s="15"/>
      <c r="AC88" s="89">
        <v>98.93</v>
      </c>
      <c r="AD88" s="15"/>
      <c r="AE88" s="15"/>
      <c r="AF88" s="15"/>
      <c r="AG88" s="15"/>
      <c r="AH88" s="89">
        <v>98.93</v>
      </c>
      <c r="AI88" s="15"/>
      <c r="AJ88" s="15"/>
      <c r="AK88" s="15"/>
      <c r="AL88" s="15"/>
      <c r="AM88" s="15"/>
      <c r="AN88" s="89">
        <v>98.93</v>
      </c>
      <c r="AO88" s="15"/>
      <c r="AP88" s="15"/>
      <c r="AQ88" s="15"/>
      <c r="AR88" s="15"/>
      <c r="AS88" s="15"/>
      <c r="AT88" s="89">
        <v>98.93</v>
      </c>
      <c r="AU88" s="15"/>
      <c r="AV88" s="15"/>
      <c r="AW88" s="15"/>
      <c r="AX88" s="15"/>
      <c r="AY88" s="15"/>
      <c r="AZ88" s="89">
        <v>98.93</v>
      </c>
      <c r="BA88" s="15"/>
      <c r="BB88" s="15"/>
      <c r="BC88" s="15"/>
      <c r="BD88" s="15"/>
      <c r="BE88" s="89">
        <v>98.93</v>
      </c>
      <c r="BF88" s="15"/>
      <c r="BG88" s="15"/>
      <c r="BH88" s="15"/>
      <c r="BI88" s="15"/>
      <c r="BJ88" s="89">
        <v>98.93</v>
      </c>
      <c r="BK88" s="15"/>
      <c r="BL88" s="15"/>
      <c r="BM88" s="15"/>
      <c r="BN88" s="89">
        <v>1187.1600000000003</v>
      </c>
    </row>
    <row r="89">
      <c r="A89" s="15"/>
      <c r="B89" s="70" t="s">
        <v>210</v>
      </c>
      <c r="C89" s="15" t="s">
        <v>208</v>
      </c>
      <c r="D89" s="89">
        <v>171.72</v>
      </c>
      <c r="E89" s="89">
        <v>204.96</v>
      </c>
      <c r="F89" s="15"/>
      <c r="G89" s="15"/>
      <c r="H89" s="15"/>
      <c r="I89" s="89">
        <v>171.72</v>
      </c>
      <c r="J89" s="89">
        <v>204.96</v>
      </c>
      <c r="K89" s="15"/>
      <c r="L89" s="15"/>
      <c r="M89" s="15"/>
      <c r="N89" s="89">
        <v>171.72</v>
      </c>
      <c r="O89" s="89">
        <v>284.94</v>
      </c>
      <c r="P89" s="15"/>
      <c r="Q89" s="15"/>
      <c r="R89" s="15"/>
      <c r="S89" s="89">
        <v>171.72</v>
      </c>
      <c r="T89" s="89">
        <v>204.96</v>
      </c>
      <c r="U89" s="15"/>
      <c r="V89" s="15"/>
      <c r="W89" s="15"/>
      <c r="X89" s="89">
        <v>171.72</v>
      </c>
      <c r="Y89" s="89">
        <v>204.96</v>
      </c>
      <c r="Z89" s="15"/>
      <c r="AA89" s="15"/>
      <c r="AB89" s="15"/>
      <c r="AC89" s="89">
        <v>171.72</v>
      </c>
      <c r="AD89" s="89">
        <v>204.96</v>
      </c>
      <c r="AE89" s="15"/>
      <c r="AF89" s="15"/>
      <c r="AG89" s="15"/>
      <c r="AH89" s="89">
        <v>174.69</v>
      </c>
      <c r="AI89" s="89">
        <v>204.96</v>
      </c>
      <c r="AJ89" s="15"/>
      <c r="AK89" s="15"/>
      <c r="AL89" s="15"/>
      <c r="AM89" s="89">
        <v>164.97</v>
      </c>
      <c r="AN89" s="89">
        <v>218.65</v>
      </c>
      <c r="AO89" s="89">
        <v>204.96</v>
      </c>
      <c r="AP89" s="15"/>
      <c r="AQ89" s="15"/>
      <c r="AR89" s="15"/>
      <c r="AS89" s="89">
        <v>164.97</v>
      </c>
      <c r="AT89" s="89">
        <v>205.92</v>
      </c>
      <c r="AU89" s="89">
        <v>204.96</v>
      </c>
      <c r="AV89" s="15"/>
      <c r="AW89" s="15"/>
      <c r="AX89" s="15"/>
      <c r="AY89" s="89">
        <v>171.72</v>
      </c>
      <c r="AZ89" s="89">
        <v>204.96</v>
      </c>
      <c r="BA89" s="89">
        <v>204.96</v>
      </c>
      <c r="BB89" s="15"/>
      <c r="BC89" s="15"/>
      <c r="BD89" s="89">
        <v>171.72</v>
      </c>
      <c r="BE89" s="89">
        <v>204.96</v>
      </c>
      <c r="BF89" s="89">
        <v>204.96</v>
      </c>
      <c r="BG89" s="15"/>
      <c r="BH89" s="15"/>
      <c r="BI89" s="89">
        <v>171.72</v>
      </c>
      <c r="BJ89" s="89">
        <v>204.96</v>
      </c>
      <c r="BK89" s="89">
        <v>204.96</v>
      </c>
      <c r="BL89" s="15"/>
      <c r="BM89" s="15"/>
      <c r="BN89" s="89">
        <v>5629.06</v>
      </c>
    </row>
    <row r="90">
      <c r="A90" s="15" t="s">
        <v>1666</v>
      </c>
      <c r="B90" s="70" t="s">
        <v>405</v>
      </c>
      <c r="C90" s="15" t="s">
        <v>74</v>
      </c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89">
        <v>452.21999999999997</v>
      </c>
      <c r="BE90" s="15"/>
      <c r="BF90" s="15"/>
      <c r="BG90" s="15"/>
      <c r="BH90" s="15"/>
      <c r="BI90" s="89">
        <v>436.81</v>
      </c>
      <c r="BJ90" s="15"/>
      <c r="BK90" s="15"/>
      <c r="BL90" s="15"/>
      <c r="BM90" s="15"/>
      <c r="BN90" s="89">
        <v>889.03</v>
      </c>
    </row>
    <row r="91">
      <c r="A91" s="15"/>
      <c r="B91" s="70"/>
      <c r="C91" s="15" t="s">
        <v>79</v>
      </c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89">
        <v>750.0</v>
      </c>
      <c r="BE91" s="15"/>
      <c r="BF91" s="15"/>
      <c r="BG91" s="15"/>
      <c r="BH91" s="15"/>
      <c r="BI91" s="89">
        <v>750.0</v>
      </c>
      <c r="BJ91" s="15"/>
      <c r="BK91" s="15"/>
      <c r="BL91" s="15"/>
      <c r="BM91" s="15"/>
      <c r="BN91" s="89">
        <v>1500.0</v>
      </c>
    </row>
    <row r="92">
      <c r="A92" s="15"/>
      <c r="B92" s="70"/>
      <c r="C92" s="15" t="s">
        <v>1094</v>
      </c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89">
        <v>192.71</v>
      </c>
      <c r="BK92" s="15"/>
      <c r="BL92" s="15"/>
      <c r="BM92" s="15"/>
      <c r="BN92" s="89">
        <v>192.71</v>
      </c>
    </row>
    <row r="93">
      <c r="A93" s="15"/>
      <c r="B93" s="70"/>
      <c r="C93" s="15" t="s">
        <v>80</v>
      </c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89">
        <v>900.38</v>
      </c>
      <c r="BE93" s="89">
        <v>1033.5</v>
      </c>
      <c r="BF93" s="89">
        <v>1150.0</v>
      </c>
      <c r="BG93" s="15"/>
      <c r="BH93" s="15"/>
      <c r="BI93" s="89">
        <v>895.3</v>
      </c>
      <c r="BJ93" s="89">
        <v>870.24</v>
      </c>
      <c r="BK93" s="89">
        <v>868.0</v>
      </c>
      <c r="BL93" s="15"/>
      <c r="BM93" s="15"/>
      <c r="BN93" s="89">
        <v>5717.42</v>
      </c>
    </row>
    <row r="94">
      <c r="A94" s="15"/>
      <c r="B94" s="70"/>
      <c r="C94" s="15" t="s">
        <v>83</v>
      </c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89">
        <v>594.59</v>
      </c>
      <c r="BE94" s="89">
        <v>1166.0</v>
      </c>
      <c r="BF94" s="15"/>
      <c r="BG94" s="15"/>
      <c r="BH94" s="15"/>
      <c r="BI94" s="89">
        <v>587.1</v>
      </c>
      <c r="BJ94" s="89">
        <v>978.89</v>
      </c>
      <c r="BK94" s="15"/>
      <c r="BL94" s="15"/>
      <c r="BM94" s="15"/>
      <c r="BN94" s="89">
        <v>3326.58</v>
      </c>
    </row>
    <row r="95">
      <c r="A95" s="15"/>
      <c r="B95" s="70" t="s">
        <v>1737</v>
      </c>
      <c r="C95" s="15"/>
      <c r="D95" s="89">
        <v>2172.0</v>
      </c>
      <c r="E95" s="89">
        <v>2674.8</v>
      </c>
      <c r="F95" s="15"/>
      <c r="G95" s="15"/>
      <c r="H95" s="15"/>
      <c r="I95" s="89">
        <v>2172.0</v>
      </c>
      <c r="J95" s="89">
        <v>1826.8</v>
      </c>
      <c r="K95" s="15"/>
      <c r="L95" s="15"/>
      <c r="M95" s="15"/>
      <c r="N95" s="89">
        <v>1730.0</v>
      </c>
      <c r="O95" s="89">
        <v>1826.8</v>
      </c>
      <c r="P95" s="15"/>
      <c r="Q95" s="15"/>
      <c r="R95" s="15"/>
      <c r="S95" s="89">
        <v>1580.0</v>
      </c>
      <c r="T95" s="89">
        <v>1900.0</v>
      </c>
      <c r="U95" s="15"/>
      <c r="V95" s="15"/>
      <c r="W95" s="15"/>
      <c r="X95" s="89">
        <v>2280.0</v>
      </c>
      <c r="Y95" s="89">
        <v>1900.0</v>
      </c>
      <c r="Z95" s="15"/>
      <c r="AA95" s="15"/>
      <c r="AB95" s="15"/>
      <c r="AC95" s="89">
        <v>1742.5</v>
      </c>
      <c r="AD95" s="89">
        <v>1900.0</v>
      </c>
      <c r="AE95" s="15"/>
      <c r="AF95" s="15"/>
      <c r="AG95" s="15"/>
      <c r="AH95" s="89">
        <v>1352.5</v>
      </c>
      <c r="AI95" s="89">
        <v>1900.0</v>
      </c>
      <c r="AJ95" s="15"/>
      <c r="AK95" s="15"/>
      <c r="AL95" s="15"/>
      <c r="AM95" s="89">
        <v>2056.0</v>
      </c>
      <c r="AN95" s="89">
        <v>1742.5</v>
      </c>
      <c r="AO95" s="89">
        <v>1900.0</v>
      </c>
      <c r="AP95" s="15"/>
      <c r="AQ95" s="15"/>
      <c r="AR95" s="15"/>
      <c r="AS95" s="89">
        <v>2056.0</v>
      </c>
      <c r="AT95" s="89">
        <v>942.5</v>
      </c>
      <c r="AU95" s="89">
        <v>1900.0</v>
      </c>
      <c r="AV95" s="15"/>
      <c r="AW95" s="15"/>
      <c r="AX95" s="15"/>
      <c r="AY95" s="89">
        <v>2056.0</v>
      </c>
      <c r="AZ95" s="89">
        <v>1580.0</v>
      </c>
      <c r="BA95" s="89">
        <v>1900.0</v>
      </c>
      <c r="BB95" s="15"/>
      <c r="BC95" s="15"/>
      <c r="BD95" s="89">
        <v>2056.0</v>
      </c>
      <c r="BE95" s="89">
        <v>1674.8</v>
      </c>
      <c r="BF95" s="89">
        <v>1900.0</v>
      </c>
      <c r="BG95" s="15"/>
      <c r="BH95" s="15"/>
      <c r="BI95" s="89">
        <v>2204.0</v>
      </c>
      <c r="BJ95" s="89">
        <v>2674.0</v>
      </c>
      <c r="BK95" s="89">
        <v>1780.0</v>
      </c>
      <c r="BL95" s="15"/>
      <c r="BM95" s="15"/>
      <c r="BN95" s="89">
        <v>55379.200000000004</v>
      </c>
    </row>
    <row r="96">
      <c r="A96" s="15"/>
      <c r="B96" s="70" t="s">
        <v>78</v>
      </c>
      <c r="C96" s="15" t="s">
        <v>260</v>
      </c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89">
        <v>118.8</v>
      </c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89">
        <v>118.8</v>
      </c>
    </row>
    <row r="97">
      <c r="A97" s="15"/>
      <c r="B97" s="70"/>
      <c r="C97" s="15" t="s">
        <v>516</v>
      </c>
      <c r="D97" s="89">
        <v>133.8</v>
      </c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89">
        <v>133.8</v>
      </c>
    </row>
    <row r="98">
      <c r="A98" s="15"/>
      <c r="B98" s="70"/>
      <c r="C98" s="15" t="s">
        <v>167</v>
      </c>
      <c r="D98" s="89">
        <v>145.0</v>
      </c>
      <c r="E98" s="89">
        <v>739.01</v>
      </c>
      <c r="F98" s="15"/>
      <c r="G98" s="15"/>
      <c r="H98" s="15"/>
      <c r="I98" s="89">
        <v>27.0</v>
      </c>
      <c r="J98" s="15"/>
      <c r="K98" s="15"/>
      <c r="L98" s="15"/>
      <c r="M98" s="15"/>
      <c r="N98" s="89">
        <v>27.85</v>
      </c>
      <c r="O98" s="15"/>
      <c r="P98" s="15"/>
      <c r="Q98" s="15"/>
      <c r="R98" s="15"/>
      <c r="S98" s="89">
        <v>135.0</v>
      </c>
      <c r="T98" s="15"/>
      <c r="U98" s="15"/>
      <c r="V98" s="15"/>
      <c r="W98" s="15"/>
      <c r="X98" s="89">
        <v>164.0</v>
      </c>
      <c r="Y98" s="15"/>
      <c r="Z98" s="15"/>
      <c r="AA98" s="15"/>
      <c r="AB98" s="15"/>
      <c r="AC98" s="89">
        <v>221.0</v>
      </c>
      <c r="AD98" s="15"/>
      <c r="AE98" s="15"/>
      <c r="AF98" s="15"/>
      <c r="AG98" s="15"/>
      <c r="AH98" s="89">
        <v>167.0</v>
      </c>
      <c r="AI98" s="15"/>
      <c r="AJ98" s="15"/>
      <c r="AK98" s="15"/>
      <c r="AL98" s="15"/>
      <c r="AM98" s="89">
        <v>143.0</v>
      </c>
      <c r="AN98" s="89">
        <v>136.0</v>
      </c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89">
        <v>27.0</v>
      </c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89">
        <v>203.26999999999998</v>
      </c>
      <c r="BK98" s="15"/>
      <c r="BL98" s="15"/>
      <c r="BM98" s="15"/>
      <c r="BN98" s="89">
        <v>2135.13</v>
      </c>
    </row>
    <row r="99">
      <c r="A99" s="15"/>
      <c r="B99" s="70"/>
      <c r="C99" s="15" t="s">
        <v>520</v>
      </c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89">
        <v>28.0</v>
      </c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89">
        <v>28.0</v>
      </c>
    </row>
    <row r="100">
      <c r="A100" s="15"/>
      <c r="B100" s="70"/>
      <c r="C100" s="15" t="s">
        <v>76</v>
      </c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89">
        <v>24.0</v>
      </c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89">
        <v>24.0</v>
      </c>
    </row>
    <row r="101">
      <c r="A101" s="15"/>
      <c r="B101" s="70" t="s">
        <v>1053</v>
      </c>
      <c r="C101" s="15" t="s">
        <v>1051</v>
      </c>
      <c r="D101" s="15"/>
      <c r="E101" s="89">
        <v>28.0</v>
      </c>
      <c r="F101" s="15"/>
      <c r="G101" s="15"/>
      <c r="H101" s="15"/>
      <c r="I101" s="15"/>
      <c r="J101" s="89">
        <v>32.0</v>
      </c>
      <c r="K101" s="15"/>
      <c r="L101" s="15"/>
      <c r="M101" s="15"/>
      <c r="N101" s="15"/>
      <c r="O101" s="89">
        <v>32.0</v>
      </c>
      <c r="P101" s="15"/>
      <c r="Q101" s="15"/>
      <c r="R101" s="15"/>
      <c r="S101" s="15"/>
      <c r="T101" s="89">
        <v>28.0</v>
      </c>
      <c r="U101" s="15"/>
      <c r="V101" s="15"/>
      <c r="W101" s="15"/>
      <c r="X101" s="15"/>
      <c r="Y101" s="89">
        <v>28.0</v>
      </c>
      <c r="Z101" s="15"/>
      <c r="AA101" s="15"/>
      <c r="AB101" s="15"/>
      <c r="AC101" s="15"/>
      <c r="AD101" s="89">
        <v>28.0</v>
      </c>
      <c r="AE101" s="15"/>
      <c r="AF101" s="15"/>
      <c r="AG101" s="15"/>
      <c r="AH101" s="15"/>
      <c r="AI101" s="89">
        <v>28.0</v>
      </c>
      <c r="AJ101" s="15"/>
      <c r="AK101" s="15"/>
      <c r="AL101" s="15"/>
      <c r="AM101" s="15"/>
      <c r="AN101" s="15"/>
      <c r="AO101" s="89">
        <v>28.0</v>
      </c>
      <c r="AP101" s="15"/>
      <c r="AQ101" s="15"/>
      <c r="AR101" s="15"/>
      <c r="AS101" s="15"/>
      <c r="AT101" s="15"/>
      <c r="AU101" s="89">
        <v>28.0</v>
      </c>
      <c r="AV101" s="15"/>
      <c r="AW101" s="15"/>
      <c r="AX101" s="15"/>
      <c r="AY101" s="15"/>
      <c r="AZ101" s="15"/>
      <c r="BA101" s="89">
        <v>28.0</v>
      </c>
      <c r="BB101" s="15"/>
      <c r="BC101" s="15"/>
      <c r="BD101" s="15"/>
      <c r="BE101" s="89">
        <v>28.0</v>
      </c>
      <c r="BF101" s="15"/>
      <c r="BG101" s="15"/>
      <c r="BH101" s="15"/>
      <c r="BI101" s="15"/>
      <c r="BJ101" s="89">
        <v>28.0</v>
      </c>
      <c r="BK101" s="15"/>
      <c r="BL101" s="15"/>
      <c r="BM101" s="15"/>
      <c r="BN101" s="89">
        <v>344.0</v>
      </c>
    </row>
    <row r="102">
      <c r="A102" s="15"/>
      <c r="B102" s="70" t="s">
        <v>1667</v>
      </c>
      <c r="C102" s="15"/>
      <c r="D102" s="89">
        <v>1275.18</v>
      </c>
      <c r="E102" s="89">
        <v>1760.67</v>
      </c>
      <c r="F102" s="15"/>
      <c r="G102" s="15"/>
      <c r="H102" s="15"/>
      <c r="I102" s="89">
        <v>1290.56</v>
      </c>
      <c r="J102" s="89">
        <v>1472.06</v>
      </c>
      <c r="K102" s="15"/>
      <c r="L102" s="15"/>
      <c r="M102" s="15"/>
      <c r="N102" s="89">
        <v>1304.26</v>
      </c>
      <c r="O102" s="89">
        <v>1533.05</v>
      </c>
      <c r="P102" s="15"/>
      <c r="Q102" s="15"/>
      <c r="R102" s="15"/>
      <c r="S102" s="89">
        <v>1282.61</v>
      </c>
      <c r="T102" s="89">
        <v>1600.0</v>
      </c>
      <c r="U102" s="15"/>
      <c r="V102" s="15"/>
      <c r="W102" s="15"/>
      <c r="X102" s="89">
        <v>1433.18</v>
      </c>
      <c r="Y102" s="89">
        <v>1600.0</v>
      </c>
      <c r="Z102" s="15"/>
      <c r="AA102" s="15"/>
      <c r="AB102" s="15"/>
      <c r="AC102" s="89">
        <v>1824.26</v>
      </c>
      <c r="AD102" s="89">
        <v>1600.0</v>
      </c>
      <c r="AE102" s="15"/>
      <c r="AF102" s="15"/>
      <c r="AG102" s="15"/>
      <c r="AH102" s="89">
        <v>1779.69</v>
      </c>
      <c r="AI102" s="89">
        <v>1600.0</v>
      </c>
      <c r="AJ102" s="15"/>
      <c r="AK102" s="15"/>
      <c r="AL102" s="15"/>
      <c r="AM102" s="89">
        <v>1375.64</v>
      </c>
      <c r="AN102" s="89">
        <v>1469.38</v>
      </c>
      <c r="AO102" s="89">
        <v>1600.0</v>
      </c>
      <c r="AP102" s="15"/>
      <c r="AQ102" s="15"/>
      <c r="AR102" s="15"/>
      <c r="AS102" s="89">
        <v>1380.13</v>
      </c>
      <c r="AT102" s="89">
        <v>1778.61</v>
      </c>
      <c r="AU102" s="89">
        <v>1600.0</v>
      </c>
      <c r="AV102" s="15"/>
      <c r="AW102" s="15"/>
      <c r="AX102" s="15"/>
      <c r="AY102" s="89">
        <v>1444.16</v>
      </c>
      <c r="AZ102" s="89">
        <v>1968.18</v>
      </c>
      <c r="BA102" s="89">
        <v>1600.0</v>
      </c>
      <c r="BB102" s="15"/>
      <c r="BC102" s="15"/>
      <c r="BD102" s="89">
        <v>1240.56</v>
      </c>
      <c r="BE102" s="89">
        <v>1804.49</v>
      </c>
      <c r="BF102" s="89">
        <v>1600.0</v>
      </c>
      <c r="BG102" s="15"/>
      <c r="BH102" s="15"/>
      <c r="BI102" s="89">
        <v>1214.16</v>
      </c>
      <c r="BJ102" s="89">
        <v>1564.58</v>
      </c>
      <c r="BK102" s="89">
        <v>1600.0</v>
      </c>
      <c r="BL102" s="15"/>
      <c r="BM102" s="15"/>
      <c r="BN102" s="89">
        <v>44595.41</v>
      </c>
    </row>
    <row r="103">
      <c r="A103" s="15"/>
      <c r="B103" s="70" t="s">
        <v>595</v>
      </c>
      <c r="C103" s="15" t="s">
        <v>62</v>
      </c>
      <c r="D103" s="15"/>
      <c r="E103" s="89">
        <v>78.0</v>
      </c>
      <c r="F103" s="15"/>
      <c r="G103" s="15"/>
      <c r="H103" s="15"/>
      <c r="I103" s="15"/>
      <c r="J103" s="15"/>
      <c r="K103" s="15"/>
      <c r="L103" s="15"/>
      <c r="M103" s="15"/>
      <c r="N103" s="89">
        <v>78.0</v>
      </c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89">
        <v>67.5</v>
      </c>
      <c r="BF103" s="15"/>
      <c r="BG103" s="15"/>
      <c r="BH103" s="15"/>
      <c r="BI103" s="15"/>
      <c r="BJ103" s="15"/>
      <c r="BK103" s="15"/>
      <c r="BL103" s="15"/>
      <c r="BM103" s="15"/>
      <c r="BN103" s="89">
        <v>223.5</v>
      </c>
    </row>
    <row r="104">
      <c r="A104" s="15"/>
      <c r="B104" s="70" t="s">
        <v>856</v>
      </c>
      <c r="C104" s="15" t="s">
        <v>80</v>
      </c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89">
        <v>1202.5</v>
      </c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89">
        <v>1274.65</v>
      </c>
      <c r="BK104" s="15"/>
      <c r="BL104" s="15"/>
      <c r="BM104" s="15"/>
      <c r="BN104" s="89">
        <v>2477.15</v>
      </c>
    </row>
    <row r="105">
      <c r="A105" s="15"/>
      <c r="B105" s="70"/>
      <c r="C105" s="15" t="s">
        <v>83</v>
      </c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89">
        <v>2654.77</v>
      </c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89">
        <v>2654.77</v>
      </c>
    </row>
    <row r="106">
      <c r="A106" s="15"/>
      <c r="B106" s="70" t="s">
        <v>123</v>
      </c>
      <c r="C106" s="15" t="s">
        <v>44</v>
      </c>
      <c r="D106" s="15"/>
      <c r="E106" s="15"/>
      <c r="F106" s="15"/>
      <c r="G106" s="15"/>
      <c r="H106" s="15"/>
      <c r="I106" s="15"/>
      <c r="J106" s="89">
        <v>2330.4700000000003</v>
      </c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89">
        <v>2330.4700000000003</v>
      </c>
    </row>
    <row r="107">
      <c r="A107" s="15"/>
      <c r="B107" s="70"/>
      <c r="C107" s="15" t="s">
        <v>123</v>
      </c>
      <c r="D107" s="89">
        <v>624.05</v>
      </c>
      <c r="E107" s="89">
        <v>770.26</v>
      </c>
      <c r="F107" s="15"/>
      <c r="G107" s="15"/>
      <c r="H107" s="15"/>
      <c r="I107" s="89">
        <v>456.8</v>
      </c>
      <c r="J107" s="89">
        <v>432.19</v>
      </c>
      <c r="K107" s="15"/>
      <c r="L107" s="15"/>
      <c r="M107" s="15"/>
      <c r="N107" s="89">
        <v>456.8</v>
      </c>
      <c r="O107" s="89">
        <v>365.36</v>
      </c>
      <c r="P107" s="15"/>
      <c r="Q107" s="15"/>
      <c r="R107" s="15"/>
      <c r="S107" s="89">
        <v>377.76</v>
      </c>
      <c r="T107" s="89">
        <v>789.0</v>
      </c>
      <c r="U107" s="15"/>
      <c r="V107" s="15"/>
      <c r="W107" s="15"/>
      <c r="X107" s="89">
        <v>332.0</v>
      </c>
      <c r="Y107" s="89">
        <v>789.0</v>
      </c>
      <c r="Z107" s="15"/>
      <c r="AA107" s="15"/>
      <c r="AB107" s="15"/>
      <c r="AC107" s="89">
        <v>332.0</v>
      </c>
      <c r="AD107" s="89">
        <v>789.0</v>
      </c>
      <c r="AE107" s="15"/>
      <c r="AF107" s="15"/>
      <c r="AG107" s="15"/>
      <c r="AH107" s="89">
        <v>332.0</v>
      </c>
      <c r="AI107" s="89">
        <v>789.0</v>
      </c>
      <c r="AJ107" s="15"/>
      <c r="AK107" s="15"/>
      <c r="AL107" s="15"/>
      <c r="AM107" s="89">
        <v>335.27</v>
      </c>
      <c r="AN107" s="89">
        <v>358.0</v>
      </c>
      <c r="AO107" s="89">
        <v>789.0</v>
      </c>
      <c r="AP107" s="15"/>
      <c r="AQ107" s="15"/>
      <c r="AR107" s="15"/>
      <c r="AS107" s="89">
        <v>421.48</v>
      </c>
      <c r="AT107" s="89">
        <v>332.0</v>
      </c>
      <c r="AU107" s="89">
        <v>789.0</v>
      </c>
      <c r="AV107" s="15"/>
      <c r="AW107" s="15"/>
      <c r="AX107" s="15"/>
      <c r="AY107" s="89">
        <v>426.48</v>
      </c>
      <c r="AZ107" s="89">
        <v>374.66</v>
      </c>
      <c r="BA107" s="89">
        <v>789.0</v>
      </c>
      <c r="BB107" s="15"/>
      <c r="BC107" s="15"/>
      <c r="BD107" s="89">
        <v>426.48</v>
      </c>
      <c r="BE107" s="89">
        <v>332.0</v>
      </c>
      <c r="BF107" s="89">
        <v>789.0</v>
      </c>
      <c r="BG107" s="15"/>
      <c r="BH107" s="15"/>
      <c r="BI107" s="89">
        <v>659.27</v>
      </c>
      <c r="BJ107" s="89">
        <v>570.28</v>
      </c>
      <c r="BK107" s="89">
        <v>789.0</v>
      </c>
      <c r="BL107" s="15"/>
      <c r="BM107" s="15"/>
      <c r="BN107" s="89">
        <v>15816.14</v>
      </c>
    </row>
    <row r="108">
      <c r="A108" s="15"/>
      <c r="B108" s="70" t="s">
        <v>126</v>
      </c>
      <c r="C108" s="15" t="s">
        <v>126</v>
      </c>
      <c r="D108" s="89">
        <v>761.0</v>
      </c>
      <c r="E108" s="89">
        <v>915.49</v>
      </c>
      <c r="F108" s="15"/>
      <c r="G108" s="15"/>
      <c r="H108" s="15"/>
      <c r="I108" s="89">
        <v>590.47</v>
      </c>
      <c r="J108" s="89">
        <v>782.01</v>
      </c>
      <c r="K108" s="15"/>
      <c r="L108" s="15"/>
      <c r="M108" s="15"/>
      <c r="N108" s="89">
        <v>714.55</v>
      </c>
      <c r="O108" s="89">
        <v>719.01</v>
      </c>
      <c r="P108" s="15"/>
      <c r="Q108" s="15"/>
      <c r="R108" s="15"/>
      <c r="S108" s="89">
        <v>691.82</v>
      </c>
      <c r="T108" s="89">
        <v>940.0</v>
      </c>
      <c r="U108" s="15"/>
      <c r="V108" s="15"/>
      <c r="W108" s="15"/>
      <c r="X108" s="89">
        <v>661.92</v>
      </c>
      <c r="Y108" s="89">
        <v>940.0</v>
      </c>
      <c r="Z108" s="15"/>
      <c r="AA108" s="15"/>
      <c r="AB108" s="15"/>
      <c r="AC108" s="89">
        <v>661.92</v>
      </c>
      <c r="AD108" s="89">
        <v>940.0</v>
      </c>
      <c r="AE108" s="15"/>
      <c r="AF108" s="15"/>
      <c r="AG108" s="15"/>
      <c r="AH108" s="89">
        <v>661.92</v>
      </c>
      <c r="AI108" s="89">
        <v>940.0</v>
      </c>
      <c r="AJ108" s="15"/>
      <c r="AK108" s="15"/>
      <c r="AL108" s="15"/>
      <c r="AM108" s="89">
        <v>521.38</v>
      </c>
      <c r="AN108" s="89">
        <v>691.17</v>
      </c>
      <c r="AO108" s="89">
        <v>940.0</v>
      </c>
      <c r="AP108" s="15"/>
      <c r="AQ108" s="15"/>
      <c r="AR108" s="15"/>
      <c r="AS108" s="89">
        <v>556.64</v>
      </c>
      <c r="AT108" s="89">
        <v>661.92</v>
      </c>
      <c r="AU108" s="89">
        <v>940.0</v>
      </c>
      <c r="AV108" s="15"/>
      <c r="AW108" s="15"/>
      <c r="AX108" s="15"/>
      <c r="AY108" s="89">
        <v>540.77</v>
      </c>
      <c r="AZ108" s="89">
        <v>709.92</v>
      </c>
      <c r="BA108" s="89">
        <v>940.0</v>
      </c>
      <c r="BB108" s="15"/>
      <c r="BC108" s="15"/>
      <c r="BD108" s="89">
        <v>540.77</v>
      </c>
      <c r="BE108" s="89">
        <v>661.92</v>
      </c>
      <c r="BF108" s="89">
        <v>940.0</v>
      </c>
      <c r="BG108" s="15"/>
      <c r="BH108" s="15"/>
      <c r="BI108" s="89">
        <v>1125.37</v>
      </c>
      <c r="BJ108" s="89">
        <v>931.04</v>
      </c>
      <c r="BK108" s="89">
        <v>940.0</v>
      </c>
      <c r="BL108" s="15"/>
      <c r="BM108" s="15"/>
      <c r="BN108" s="89">
        <v>22561.010000000002</v>
      </c>
    </row>
    <row r="109">
      <c r="A109" s="15"/>
      <c r="B109" s="70" t="s">
        <v>64</v>
      </c>
      <c r="C109" s="15" t="s">
        <v>488</v>
      </c>
      <c r="D109" s="89">
        <v>492.92</v>
      </c>
      <c r="E109" s="15"/>
      <c r="F109" s="15"/>
      <c r="G109" s="15"/>
      <c r="H109" s="15"/>
      <c r="I109" s="89">
        <v>492.92</v>
      </c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89">
        <v>985.84</v>
      </c>
    </row>
    <row r="110">
      <c r="A110" s="15"/>
      <c r="B110" s="70"/>
      <c r="C110" s="15" t="s">
        <v>373</v>
      </c>
      <c r="D110" s="89">
        <v>56.0</v>
      </c>
      <c r="E110" s="15"/>
      <c r="F110" s="15"/>
      <c r="G110" s="15"/>
      <c r="H110" s="15"/>
      <c r="I110" s="89">
        <v>42.0</v>
      </c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89">
        <v>77.0</v>
      </c>
      <c r="BE110" s="15"/>
      <c r="BF110" s="15"/>
      <c r="BG110" s="15"/>
      <c r="BH110" s="15"/>
      <c r="BI110" s="89">
        <v>70.0</v>
      </c>
      <c r="BJ110" s="15"/>
      <c r="BK110" s="15"/>
      <c r="BL110" s="15"/>
      <c r="BM110" s="15"/>
      <c r="BN110" s="89">
        <v>245.0</v>
      </c>
    </row>
    <row r="111">
      <c r="A111" s="15"/>
      <c r="B111" s="70"/>
      <c r="C111" s="15" t="s">
        <v>43</v>
      </c>
      <c r="D111" s="89">
        <v>46.67</v>
      </c>
      <c r="E111" s="15"/>
      <c r="F111" s="15"/>
      <c r="G111" s="15"/>
      <c r="H111" s="15"/>
      <c r="I111" s="89">
        <v>46.67</v>
      </c>
      <c r="J111" s="15"/>
      <c r="K111" s="15"/>
      <c r="L111" s="15"/>
      <c r="M111" s="15"/>
      <c r="N111" s="89">
        <v>46.67</v>
      </c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89">
        <v>142.0</v>
      </c>
      <c r="BE111" s="15"/>
      <c r="BF111" s="15"/>
      <c r="BG111" s="15"/>
      <c r="BH111" s="15"/>
      <c r="BI111" s="15"/>
      <c r="BJ111" s="15"/>
      <c r="BK111" s="15"/>
      <c r="BL111" s="15"/>
      <c r="BM111" s="15"/>
      <c r="BN111" s="89">
        <v>282.01000000000005</v>
      </c>
    </row>
    <row r="112">
      <c r="A112" s="15"/>
      <c r="B112" s="70"/>
      <c r="C112" s="15" t="s">
        <v>62</v>
      </c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89">
        <v>65.0</v>
      </c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89">
        <v>65.0</v>
      </c>
    </row>
    <row r="113">
      <c r="A113" s="15"/>
      <c r="B113" s="70"/>
      <c r="C113" s="15" t="s">
        <v>65</v>
      </c>
      <c r="D113" s="15"/>
      <c r="E113" s="89">
        <v>526.53</v>
      </c>
      <c r="F113" s="15"/>
      <c r="G113" s="15"/>
      <c r="H113" s="15"/>
      <c r="I113" s="15"/>
      <c r="J113" s="89">
        <v>1009.79</v>
      </c>
      <c r="K113" s="15"/>
      <c r="L113" s="15"/>
      <c r="M113" s="15"/>
      <c r="N113" s="15"/>
      <c r="O113" s="89">
        <v>526.53</v>
      </c>
      <c r="P113" s="15"/>
      <c r="Q113" s="15"/>
      <c r="R113" s="15"/>
      <c r="S113" s="15"/>
      <c r="T113" s="89">
        <v>134.75</v>
      </c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89">
        <v>179.19</v>
      </c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89">
        <v>2376.79</v>
      </c>
    </row>
    <row r="114">
      <c r="A114" s="15"/>
      <c r="B114" s="70"/>
      <c r="C114" s="15" t="s">
        <v>1122</v>
      </c>
      <c r="D114" s="15"/>
      <c r="E114" s="89">
        <v>850.0</v>
      </c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89">
        <v>850.0</v>
      </c>
      <c r="BK114" s="15"/>
      <c r="BL114" s="15"/>
      <c r="BM114" s="15"/>
      <c r="BN114" s="89">
        <v>1700.0</v>
      </c>
    </row>
    <row r="115">
      <c r="A115" s="15"/>
      <c r="B115" s="70"/>
      <c r="C115" s="15" t="s">
        <v>1294</v>
      </c>
      <c r="D115" s="15"/>
      <c r="E115" s="15"/>
      <c r="F115" s="89">
        <v>185.2</v>
      </c>
      <c r="G115" s="15"/>
      <c r="H115" s="15"/>
      <c r="I115" s="15"/>
      <c r="J115" s="15"/>
      <c r="K115" s="89">
        <v>185.2</v>
      </c>
      <c r="L115" s="15"/>
      <c r="M115" s="15"/>
      <c r="N115" s="15"/>
      <c r="O115" s="89">
        <v>185.2</v>
      </c>
      <c r="P115" s="15"/>
      <c r="Q115" s="15"/>
      <c r="R115" s="15"/>
      <c r="S115" s="15"/>
      <c r="T115" s="89">
        <v>185.2</v>
      </c>
      <c r="U115" s="15"/>
      <c r="V115" s="15"/>
      <c r="W115" s="15"/>
      <c r="X115" s="15"/>
      <c r="Y115" s="89">
        <v>185.2</v>
      </c>
      <c r="Z115" s="15"/>
      <c r="AA115" s="15"/>
      <c r="AB115" s="15"/>
      <c r="AC115" s="15"/>
      <c r="AD115" s="89">
        <v>185.2</v>
      </c>
      <c r="AE115" s="15"/>
      <c r="AF115" s="15"/>
      <c r="AG115" s="15"/>
      <c r="AH115" s="15"/>
      <c r="AI115" s="89">
        <v>185.2</v>
      </c>
      <c r="AJ115" s="15"/>
      <c r="AK115" s="15"/>
      <c r="AL115" s="15"/>
      <c r="AM115" s="15"/>
      <c r="AN115" s="15"/>
      <c r="AO115" s="89">
        <v>185.2</v>
      </c>
      <c r="AP115" s="15"/>
      <c r="AQ115" s="15"/>
      <c r="AR115" s="15"/>
      <c r="AS115" s="15"/>
      <c r="AT115" s="15"/>
      <c r="AU115" s="89">
        <v>185.2</v>
      </c>
      <c r="AV115" s="15"/>
      <c r="AW115" s="15"/>
      <c r="AX115" s="15"/>
      <c r="AY115" s="15"/>
      <c r="AZ115" s="15"/>
      <c r="BA115" s="89">
        <v>185.2</v>
      </c>
      <c r="BB115" s="15"/>
      <c r="BC115" s="15"/>
      <c r="BD115" s="15"/>
      <c r="BE115" s="15"/>
      <c r="BF115" s="89">
        <v>185.2</v>
      </c>
      <c r="BG115" s="15"/>
      <c r="BH115" s="15"/>
      <c r="BI115" s="15"/>
      <c r="BJ115" s="15"/>
      <c r="BK115" s="89">
        <v>185.2</v>
      </c>
      <c r="BL115" s="15"/>
      <c r="BM115" s="15"/>
      <c r="BN115" s="89">
        <v>2222.4</v>
      </c>
    </row>
    <row r="116">
      <c r="A116" s="15"/>
      <c r="B116" s="70"/>
      <c r="C116" s="15" t="s">
        <v>81</v>
      </c>
      <c r="D116" s="89">
        <v>233.5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89">
        <v>233.5</v>
      </c>
    </row>
    <row r="117">
      <c r="A117" s="15"/>
      <c r="B117" s="70"/>
      <c r="C117" s="15" t="s">
        <v>83</v>
      </c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89">
        <v>400.0</v>
      </c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89">
        <v>400.0</v>
      </c>
    </row>
    <row r="118">
      <c r="A118" s="15"/>
      <c r="B118" s="70"/>
      <c r="C118" s="15" t="s">
        <v>520</v>
      </c>
      <c r="D118" s="89">
        <v>250.0</v>
      </c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89">
        <v>250.0</v>
      </c>
    </row>
    <row r="119">
      <c r="A119" s="15"/>
      <c r="B119" s="70"/>
      <c r="C119" s="15" t="s">
        <v>76</v>
      </c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89">
        <v>300.5</v>
      </c>
      <c r="AN119" s="15"/>
      <c r="AO119" s="15"/>
      <c r="AP119" s="15"/>
      <c r="AQ119" s="15"/>
      <c r="AR119" s="15"/>
      <c r="AS119" s="89">
        <v>300.5</v>
      </c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89">
        <v>601.0</v>
      </c>
    </row>
    <row r="120">
      <c r="A120" s="15"/>
      <c r="B120" s="70" t="s">
        <v>1738</v>
      </c>
      <c r="C120" s="15"/>
      <c r="D120" s="89">
        <v>30064.04</v>
      </c>
      <c r="E120" s="89">
        <v>35775.619999999995</v>
      </c>
      <c r="F120" s="15"/>
      <c r="G120" s="15"/>
      <c r="H120" s="15"/>
      <c r="I120" s="89">
        <v>26999.64</v>
      </c>
      <c r="J120" s="89">
        <v>29844.95</v>
      </c>
      <c r="K120" s="15"/>
      <c r="L120" s="15"/>
      <c r="M120" s="15"/>
      <c r="N120" s="89">
        <v>26906.440000000002</v>
      </c>
      <c r="O120" s="89">
        <v>26820.0</v>
      </c>
      <c r="P120" s="15"/>
      <c r="Q120" s="15"/>
      <c r="R120" s="15"/>
      <c r="S120" s="89">
        <v>25431.940000000002</v>
      </c>
      <c r="T120" s="89">
        <v>34420.0</v>
      </c>
      <c r="U120" s="15"/>
      <c r="V120" s="15"/>
      <c r="W120" s="15"/>
      <c r="X120" s="89">
        <v>26786.140000000003</v>
      </c>
      <c r="Y120" s="89">
        <v>34420.0</v>
      </c>
      <c r="Z120" s="15"/>
      <c r="AA120" s="15"/>
      <c r="AB120" s="15"/>
      <c r="AC120" s="89">
        <v>35654.66</v>
      </c>
      <c r="AD120" s="89">
        <v>34420.0</v>
      </c>
      <c r="AE120" s="15"/>
      <c r="AF120" s="15"/>
      <c r="AG120" s="15"/>
      <c r="AH120" s="89">
        <v>23275.899999999998</v>
      </c>
      <c r="AI120" s="89">
        <v>34420.0</v>
      </c>
      <c r="AJ120" s="15"/>
      <c r="AK120" s="15"/>
      <c r="AL120" s="15"/>
      <c r="AM120" s="89">
        <v>21138.989999999998</v>
      </c>
      <c r="AN120" s="89">
        <v>28826.63</v>
      </c>
      <c r="AO120" s="89">
        <v>34420.0</v>
      </c>
      <c r="AP120" s="15"/>
      <c r="AQ120" s="15"/>
      <c r="AR120" s="15"/>
      <c r="AS120" s="89">
        <v>23855.190000000002</v>
      </c>
      <c r="AT120" s="89">
        <v>34828.369999999995</v>
      </c>
      <c r="AU120" s="89">
        <v>34420.0</v>
      </c>
      <c r="AV120" s="15"/>
      <c r="AW120" s="15"/>
      <c r="AX120" s="15"/>
      <c r="AY120" s="89">
        <v>25606.910000000003</v>
      </c>
      <c r="AZ120" s="89">
        <v>29726.57</v>
      </c>
      <c r="BA120" s="89">
        <v>34420.0</v>
      </c>
      <c r="BB120" s="15"/>
      <c r="BC120" s="15"/>
      <c r="BD120" s="89">
        <v>26577.949999999997</v>
      </c>
      <c r="BE120" s="89">
        <v>31502.48</v>
      </c>
      <c r="BF120" s="89">
        <v>34420.0</v>
      </c>
      <c r="BG120" s="15"/>
      <c r="BH120" s="15"/>
      <c r="BI120" s="89">
        <v>28924.58</v>
      </c>
      <c r="BJ120" s="89">
        <v>40443.34999999999</v>
      </c>
      <c r="BK120" s="89">
        <v>33540.0</v>
      </c>
      <c r="BL120" s="15"/>
      <c r="BM120" s="15"/>
      <c r="BN120" s="89">
        <v>887890.35</v>
      </c>
    </row>
    <row r="121">
      <c r="A121" s="15"/>
      <c r="B121" s="70" t="s">
        <v>1668</v>
      </c>
      <c r="C121" s="15"/>
      <c r="D121" s="89">
        <v>990.0</v>
      </c>
      <c r="E121" s="89">
        <v>1100.0</v>
      </c>
      <c r="F121" s="15"/>
      <c r="G121" s="15"/>
      <c r="H121" s="15"/>
      <c r="I121" s="89">
        <v>990.0</v>
      </c>
      <c r="J121" s="89">
        <v>1100.0</v>
      </c>
      <c r="K121" s="15"/>
      <c r="L121" s="15"/>
      <c r="M121" s="15"/>
      <c r="N121" s="89">
        <v>660.0</v>
      </c>
      <c r="O121" s="89">
        <v>1100.0</v>
      </c>
      <c r="P121" s="15"/>
      <c r="Q121" s="15"/>
      <c r="R121" s="15"/>
      <c r="S121" s="89">
        <v>660.0</v>
      </c>
      <c r="T121" s="89">
        <v>1100.0</v>
      </c>
      <c r="U121" s="15"/>
      <c r="V121" s="15"/>
      <c r="W121" s="15"/>
      <c r="X121" s="89">
        <v>660.0</v>
      </c>
      <c r="Y121" s="89">
        <v>1100.0</v>
      </c>
      <c r="Z121" s="15"/>
      <c r="AA121" s="15"/>
      <c r="AB121" s="15"/>
      <c r="AC121" s="89">
        <v>660.0</v>
      </c>
      <c r="AD121" s="89">
        <v>1100.0</v>
      </c>
      <c r="AE121" s="15"/>
      <c r="AF121" s="15"/>
      <c r="AG121" s="15"/>
      <c r="AH121" s="89">
        <v>1100.0</v>
      </c>
      <c r="AI121" s="89">
        <v>1100.0</v>
      </c>
      <c r="AJ121" s="15"/>
      <c r="AK121" s="15"/>
      <c r="AL121" s="15"/>
      <c r="AM121" s="89">
        <v>990.0</v>
      </c>
      <c r="AN121" s="89">
        <v>1100.0</v>
      </c>
      <c r="AO121" s="89">
        <v>1100.0</v>
      </c>
      <c r="AP121" s="15"/>
      <c r="AQ121" s="15"/>
      <c r="AR121" s="15"/>
      <c r="AS121" s="89">
        <v>990.0</v>
      </c>
      <c r="AT121" s="89">
        <v>1100.0</v>
      </c>
      <c r="AU121" s="89">
        <v>1100.0</v>
      </c>
      <c r="AV121" s="15"/>
      <c r="AW121" s="15"/>
      <c r="AX121" s="15"/>
      <c r="AY121" s="89">
        <v>990.0</v>
      </c>
      <c r="AZ121" s="89">
        <v>1100.0</v>
      </c>
      <c r="BA121" s="89">
        <v>1100.0</v>
      </c>
      <c r="BB121" s="15"/>
      <c r="BC121" s="15"/>
      <c r="BD121" s="89">
        <v>1040.0</v>
      </c>
      <c r="BE121" s="89">
        <v>1100.0</v>
      </c>
      <c r="BF121" s="89">
        <v>1100.0</v>
      </c>
      <c r="BG121" s="15"/>
      <c r="BH121" s="15"/>
      <c r="BI121" s="89">
        <v>1440.0</v>
      </c>
      <c r="BJ121" s="89">
        <v>1925.0</v>
      </c>
      <c r="BK121" s="89">
        <v>1100.0</v>
      </c>
      <c r="BL121" s="15"/>
      <c r="BM121" s="15"/>
      <c r="BN121" s="89">
        <v>30695.0</v>
      </c>
    </row>
    <row r="122">
      <c r="A122" s="15"/>
      <c r="B122" s="70" t="s">
        <v>1095</v>
      </c>
      <c r="C122" s="15" t="s">
        <v>1094</v>
      </c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89">
        <v>167.5</v>
      </c>
      <c r="BF122" s="15"/>
      <c r="BG122" s="15"/>
      <c r="BH122" s="15"/>
      <c r="BI122" s="15"/>
      <c r="BJ122" s="15"/>
      <c r="BK122" s="15"/>
      <c r="BL122" s="15"/>
      <c r="BM122" s="15"/>
      <c r="BN122" s="89">
        <v>167.5</v>
      </c>
    </row>
    <row r="123">
      <c r="A123" s="15" t="s">
        <v>1739</v>
      </c>
      <c r="B123" s="70" t="s">
        <v>181</v>
      </c>
      <c r="C123" s="15" t="s">
        <v>179</v>
      </c>
      <c r="D123" s="89">
        <v>454.28</v>
      </c>
      <c r="E123" s="89">
        <v>504.79999999999995</v>
      </c>
      <c r="F123" s="15"/>
      <c r="G123" s="15"/>
      <c r="H123" s="15"/>
      <c r="I123" s="89">
        <v>334.53999999999996</v>
      </c>
      <c r="J123" s="89">
        <v>513.9100000000001</v>
      </c>
      <c r="K123" s="15"/>
      <c r="L123" s="15"/>
      <c r="M123" s="15"/>
      <c r="N123" s="89">
        <v>415.0</v>
      </c>
      <c r="O123" s="89">
        <v>803.9</v>
      </c>
      <c r="P123" s="15"/>
      <c r="Q123" s="15"/>
      <c r="R123" s="15"/>
      <c r="S123" s="89">
        <v>647.46</v>
      </c>
      <c r="T123" s="15"/>
      <c r="U123" s="15"/>
      <c r="V123" s="15"/>
      <c r="W123" s="15"/>
      <c r="X123" s="89">
        <v>478.0</v>
      </c>
      <c r="Y123" s="15"/>
      <c r="Z123" s="15"/>
      <c r="AA123" s="15"/>
      <c r="AB123" s="15"/>
      <c r="AC123" s="89">
        <v>369.5</v>
      </c>
      <c r="AD123" s="15"/>
      <c r="AE123" s="15"/>
      <c r="AF123" s="15"/>
      <c r="AG123" s="15"/>
      <c r="AH123" s="89">
        <v>263.34</v>
      </c>
      <c r="AI123" s="15"/>
      <c r="AJ123" s="15"/>
      <c r="AK123" s="15"/>
      <c r="AL123" s="15"/>
      <c r="AM123" s="89">
        <v>400.0</v>
      </c>
      <c r="AN123" s="89">
        <v>990.43</v>
      </c>
      <c r="AO123" s="15"/>
      <c r="AP123" s="15"/>
      <c r="AQ123" s="15"/>
      <c r="AR123" s="15"/>
      <c r="AS123" s="89">
        <v>462.56</v>
      </c>
      <c r="AT123" s="89">
        <v>321.71000000000004</v>
      </c>
      <c r="AU123" s="15"/>
      <c r="AV123" s="15"/>
      <c r="AW123" s="15"/>
      <c r="AX123" s="15"/>
      <c r="AY123" s="89">
        <v>824.29</v>
      </c>
      <c r="AZ123" s="89">
        <v>595.01</v>
      </c>
      <c r="BA123" s="15"/>
      <c r="BB123" s="15"/>
      <c r="BC123" s="15"/>
      <c r="BD123" s="89">
        <v>400.0</v>
      </c>
      <c r="BE123" s="89">
        <v>486.99</v>
      </c>
      <c r="BF123" s="15"/>
      <c r="BG123" s="15"/>
      <c r="BH123" s="15"/>
      <c r="BI123" s="89">
        <v>400.0</v>
      </c>
      <c r="BJ123" s="89">
        <v>207.54</v>
      </c>
      <c r="BK123" s="15"/>
      <c r="BL123" s="15"/>
      <c r="BM123" s="15"/>
      <c r="BN123" s="89">
        <v>9873.259999999998</v>
      </c>
    </row>
    <row r="124">
      <c r="A124" s="15"/>
      <c r="B124" s="70" t="s">
        <v>331</v>
      </c>
      <c r="C124" s="15" t="s">
        <v>953</v>
      </c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89">
        <v>133.64</v>
      </c>
      <c r="BA124" s="15"/>
      <c r="BB124" s="15"/>
      <c r="BC124" s="15"/>
      <c r="BD124" s="15"/>
      <c r="BE124" s="89">
        <v>133.65</v>
      </c>
      <c r="BF124" s="15"/>
      <c r="BG124" s="15"/>
      <c r="BH124" s="15"/>
      <c r="BI124" s="15"/>
      <c r="BJ124" s="15"/>
      <c r="BK124" s="15"/>
      <c r="BL124" s="15"/>
      <c r="BM124" s="15"/>
      <c r="BN124" s="89">
        <v>267.28999999999996</v>
      </c>
    </row>
    <row r="125">
      <c r="A125" s="15"/>
      <c r="B125" s="70" t="s">
        <v>233</v>
      </c>
      <c r="C125" s="15" t="s">
        <v>473</v>
      </c>
      <c r="D125" s="89">
        <v>525.08</v>
      </c>
      <c r="E125" s="15"/>
      <c r="F125" s="15"/>
      <c r="G125" s="15"/>
      <c r="H125" s="15"/>
      <c r="I125" s="89">
        <v>648.19</v>
      </c>
      <c r="J125" s="89">
        <v>516.57</v>
      </c>
      <c r="K125" s="15"/>
      <c r="L125" s="15"/>
      <c r="M125" s="15"/>
      <c r="N125" s="89">
        <v>525.08</v>
      </c>
      <c r="O125" s="15"/>
      <c r="P125" s="15"/>
      <c r="Q125" s="15"/>
      <c r="R125" s="15"/>
      <c r="S125" s="15"/>
      <c r="T125" s="15"/>
      <c r="U125" s="15"/>
      <c r="V125" s="15"/>
      <c r="W125" s="15"/>
      <c r="X125" s="89">
        <v>1166.6</v>
      </c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89">
        <v>167.74</v>
      </c>
      <c r="AO125" s="15"/>
      <c r="AP125" s="15"/>
      <c r="AQ125" s="15"/>
      <c r="AR125" s="15"/>
      <c r="AS125" s="15"/>
      <c r="AT125" s="89">
        <v>167.74</v>
      </c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89">
        <v>3716.9999999999995</v>
      </c>
    </row>
    <row r="126">
      <c r="A126" s="15"/>
      <c r="B126" s="70"/>
      <c r="C126" s="15" t="s">
        <v>231</v>
      </c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89">
        <v>160.22</v>
      </c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89">
        <v>160.22</v>
      </c>
    </row>
    <row r="127">
      <c r="A127" s="15"/>
      <c r="B127" s="70" t="s">
        <v>175</v>
      </c>
      <c r="C127" s="15" t="s">
        <v>533</v>
      </c>
      <c r="D127" s="15"/>
      <c r="E127" s="15"/>
      <c r="F127" s="15"/>
      <c r="G127" s="15"/>
      <c r="H127" s="15"/>
      <c r="I127" s="89">
        <v>89.75</v>
      </c>
      <c r="J127" s="15"/>
      <c r="K127" s="15"/>
      <c r="L127" s="15"/>
      <c r="M127" s="15"/>
      <c r="N127" s="89">
        <v>89.75</v>
      </c>
      <c r="O127" s="15"/>
      <c r="P127" s="15"/>
      <c r="Q127" s="15"/>
      <c r="R127" s="15"/>
      <c r="S127" s="89">
        <v>89.75</v>
      </c>
      <c r="T127" s="15"/>
      <c r="U127" s="15"/>
      <c r="V127" s="15"/>
      <c r="W127" s="15"/>
      <c r="X127" s="89">
        <v>89.75</v>
      </c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89">
        <v>359.0</v>
      </c>
    </row>
    <row r="128">
      <c r="A128" s="15"/>
      <c r="B128" s="70"/>
      <c r="C128" s="15" t="s">
        <v>1205</v>
      </c>
      <c r="D128" s="15"/>
      <c r="E128" s="89">
        <v>108.87</v>
      </c>
      <c r="F128" s="15"/>
      <c r="G128" s="15"/>
      <c r="H128" s="15"/>
      <c r="I128" s="15"/>
      <c r="J128" s="89">
        <v>108.87</v>
      </c>
      <c r="K128" s="15"/>
      <c r="L128" s="15"/>
      <c r="M128" s="15"/>
      <c r="N128" s="15"/>
      <c r="O128" s="89">
        <v>108.87</v>
      </c>
      <c r="P128" s="15"/>
      <c r="Q128" s="15"/>
      <c r="R128" s="15"/>
      <c r="S128" s="15"/>
      <c r="T128" s="89">
        <v>108.87</v>
      </c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89">
        <v>435.48</v>
      </c>
    </row>
    <row r="129">
      <c r="A129" s="15"/>
      <c r="B129" s="70"/>
      <c r="C129" s="15" t="s">
        <v>1072</v>
      </c>
      <c r="D129" s="15"/>
      <c r="E129" s="89">
        <v>119.66</v>
      </c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89">
        <v>119.68</v>
      </c>
      <c r="BF129" s="15"/>
      <c r="BG129" s="15"/>
      <c r="BH129" s="15"/>
      <c r="BI129" s="15"/>
      <c r="BJ129" s="89">
        <v>119.66</v>
      </c>
      <c r="BK129" s="15"/>
      <c r="BL129" s="15"/>
      <c r="BM129" s="15"/>
      <c r="BN129" s="89">
        <v>359.0</v>
      </c>
    </row>
    <row r="130">
      <c r="A130" s="15"/>
      <c r="B130" s="70"/>
      <c r="C130" s="15" t="s">
        <v>490</v>
      </c>
      <c r="D130" s="89">
        <v>265.55</v>
      </c>
      <c r="E130" s="15"/>
      <c r="F130" s="15"/>
      <c r="G130" s="15"/>
      <c r="H130" s="15"/>
      <c r="I130" s="89">
        <v>265.55</v>
      </c>
      <c r="J130" s="15"/>
      <c r="K130" s="15"/>
      <c r="L130" s="15"/>
      <c r="M130" s="15"/>
      <c r="N130" s="89">
        <v>265.55</v>
      </c>
      <c r="O130" s="15"/>
      <c r="P130" s="15"/>
      <c r="Q130" s="15"/>
      <c r="R130" s="15"/>
      <c r="S130" s="89">
        <v>265.55</v>
      </c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89">
        <v>1062.2</v>
      </c>
    </row>
    <row r="131">
      <c r="A131" s="15"/>
      <c r="B131" s="70"/>
      <c r="C131" s="15" t="s">
        <v>771</v>
      </c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89">
        <v>250.0</v>
      </c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89">
        <v>250.0</v>
      </c>
    </row>
    <row r="132">
      <c r="A132" s="15"/>
      <c r="B132" s="70"/>
      <c r="C132" s="15" t="s">
        <v>1290</v>
      </c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89">
        <v>73.34</v>
      </c>
      <c r="P132" s="15"/>
      <c r="Q132" s="15"/>
      <c r="R132" s="15"/>
      <c r="S132" s="15"/>
      <c r="T132" s="89">
        <v>73.33</v>
      </c>
      <c r="U132" s="15"/>
      <c r="V132" s="15"/>
      <c r="W132" s="15"/>
      <c r="X132" s="15"/>
      <c r="Y132" s="89">
        <v>73.33</v>
      </c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89">
        <v>220.0</v>
      </c>
    </row>
    <row r="133">
      <c r="A133" s="15"/>
      <c r="B133" s="70"/>
      <c r="C133" s="15" t="s">
        <v>65</v>
      </c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89">
        <v>65.99</v>
      </c>
      <c r="T133" s="15"/>
      <c r="U133" s="15"/>
      <c r="V133" s="15"/>
      <c r="W133" s="15"/>
      <c r="X133" s="89">
        <v>50.66</v>
      </c>
      <c r="Y133" s="15"/>
      <c r="Z133" s="15"/>
      <c r="AA133" s="15"/>
      <c r="AB133" s="15"/>
      <c r="AC133" s="89">
        <v>50.64</v>
      </c>
      <c r="AD133" s="15"/>
      <c r="AE133" s="15"/>
      <c r="AF133" s="15"/>
      <c r="AG133" s="15"/>
      <c r="AH133" s="89">
        <v>50.64</v>
      </c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89">
        <v>50.64</v>
      </c>
      <c r="AU133" s="15"/>
      <c r="AV133" s="15"/>
      <c r="AW133" s="15"/>
      <c r="AX133" s="15"/>
      <c r="AY133" s="15"/>
      <c r="AZ133" s="89">
        <v>50.64</v>
      </c>
      <c r="BA133" s="15"/>
      <c r="BB133" s="15"/>
      <c r="BC133" s="15"/>
      <c r="BD133" s="15"/>
      <c r="BE133" s="89">
        <v>50.64</v>
      </c>
      <c r="BF133" s="15"/>
      <c r="BG133" s="15"/>
      <c r="BH133" s="15"/>
      <c r="BI133" s="15"/>
      <c r="BJ133" s="15"/>
      <c r="BK133" s="15"/>
      <c r="BL133" s="15"/>
      <c r="BM133" s="15"/>
      <c r="BN133" s="89">
        <v>369.84999999999997</v>
      </c>
    </row>
    <row r="134">
      <c r="A134" s="15"/>
      <c r="B134" s="70"/>
      <c r="C134" s="15" t="s">
        <v>877</v>
      </c>
      <c r="D134" s="15"/>
      <c r="E134" s="89">
        <v>652.79</v>
      </c>
      <c r="F134" s="15"/>
      <c r="G134" s="15"/>
      <c r="H134" s="15"/>
      <c r="I134" s="15"/>
      <c r="J134" s="89">
        <v>538.3</v>
      </c>
      <c r="K134" s="15"/>
      <c r="L134" s="15"/>
      <c r="M134" s="15"/>
      <c r="N134" s="15"/>
      <c r="O134" s="89">
        <v>538.3</v>
      </c>
      <c r="P134" s="15"/>
      <c r="Q134" s="15"/>
      <c r="R134" s="15"/>
      <c r="S134" s="15"/>
      <c r="T134" s="89">
        <v>538.3</v>
      </c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89">
        <v>538.3</v>
      </c>
      <c r="AI134" s="15"/>
      <c r="AJ134" s="15"/>
      <c r="AK134" s="15"/>
      <c r="AL134" s="15"/>
      <c r="AM134" s="15"/>
      <c r="AN134" s="89">
        <v>538.3</v>
      </c>
      <c r="AO134" s="15"/>
      <c r="AP134" s="15"/>
      <c r="AQ134" s="15"/>
      <c r="AR134" s="15"/>
      <c r="AS134" s="15"/>
      <c r="AT134" s="89">
        <v>652.79</v>
      </c>
      <c r="AU134" s="15"/>
      <c r="AV134" s="15"/>
      <c r="AW134" s="15"/>
      <c r="AX134" s="15"/>
      <c r="AY134" s="15"/>
      <c r="AZ134" s="89">
        <v>652.79</v>
      </c>
      <c r="BA134" s="15"/>
      <c r="BB134" s="15"/>
      <c r="BC134" s="15"/>
      <c r="BD134" s="15"/>
      <c r="BE134" s="89">
        <v>652.79</v>
      </c>
      <c r="BF134" s="15"/>
      <c r="BG134" s="15"/>
      <c r="BH134" s="15"/>
      <c r="BI134" s="15"/>
      <c r="BJ134" s="89">
        <v>652.79</v>
      </c>
      <c r="BK134" s="15"/>
      <c r="BL134" s="15"/>
      <c r="BM134" s="15"/>
      <c r="BN134" s="89">
        <v>5955.45</v>
      </c>
    </row>
    <row r="135">
      <c r="A135" s="15"/>
      <c r="B135" s="70"/>
      <c r="C135" s="15" t="s">
        <v>974</v>
      </c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89">
        <v>200.0</v>
      </c>
      <c r="AU135" s="15"/>
      <c r="AV135" s="15"/>
      <c r="AW135" s="15"/>
      <c r="AX135" s="15"/>
      <c r="AY135" s="15"/>
      <c r="AZ135" s="89">
        <v>200.0</v>
      </c>
      <c r="BA135" s="15"/>
      <c r="BB135" s="15"/>
      <c r="BC135" s="15"/>
      <c r="BD135" s="15"/>
      <c r="BE135" s="89">
        <v>200.0</v>
      </c>
      <c r="BF135" s="15"/>
      <c r="BG135" s="15"/>
      <c r="BH135" s="15"/>
      <c r="BI135" s="15"/>
      <c r="BJ135" s="15"/>
      <c r="BK135" s="15"/>
      <c r="BL135" s="15"/>
      <c r="BM135" s="15"/>
      <c r="BN135" s="89">
        <v>600.0</v>
      </c>
    </row>
    <row r="136">
      <c r="A136" s="15"/>
      <c r="B136" s="70"/>
      <c r="C136" s="15" t="s">
        <v>173</v>
      </c>
      <c r="D136" s="89">
        <v>298.9</v>
      </c>
      <c r="E136" s="15"/>
      <c r="F136" s="15"/>
      <c r="G136" s="15"/>
      <c r="H136" s="15"/>
      <c r="I136" s="89">
        <v>298.9</v>
      </c>
      <c r="J136" s="15"/>
      <c r="K136" s="15"/>
      <c r="L136" s="15"/>
      <c r="M136" s="15"/>
      <c r="N136" s="89">
        <v>298.9</v>
      </c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89">
        <v>298.9</v>
      </c>
      <c r="AN136" s="15"/>
      <c r="AO136" s="15"/>
      <c r="AP136" s="15"/>
      <c r="AQ136" s="15"/>
      <c r="AR136" s="15"/>
      <c r="AS136" s="89">
        <v>298.9</v>
      </c>
      <c r="AT136" s="15"/>
      <c r="AU136" s="15"/>
      <c r="AV136" s="15"/>
      <c r="AW136" s="15"/>
      <c r="AX136" s="15"/>
      <c r="AY136" s="89">
        <v>404.4</v>
      </c>
      <c r="AZ136" s="15"/>
      <c r="BA136" s="15"/>
      <c r="BB136" s="15"/>
      <c r="BC136" s="15"/>
      <c r="BD136" s="89">
        <v>404.4</v>
      </c>
      <c r="BE136" s="15"/>
      <c r="BF136" s="15"/>
      <c r="BG136" s="15"/>
      <c r="BH136" s="15"/>
      <c r="BI136" s="89">
        <v>404.4</v>
      </c>
      <c r="BJ136" s="15"/>
      <c r="BK136" s="15"/>
      <c r="BL136" s="15"/>
      <c r="BM136" s="15"/>
      <c r="BN136" s="89">
        <v>2707.7000000000003</v>
      </c>
    </row>
    <row r="137">
      <c r="A137" s="15"/>
      <c r="B137" s="70"/>
      <c r="C137" s="15" t="s">
        <v>560</v>
      </c>
      <c r="D137" s="15"/>
      <c r="E137" s="15"/>
      <c r="F137" s="15"/>
      <c r="G137" s="15"/>
      <c r="H137" s="15"/>
      <c r="I137" s="89">
        <v>129.75</v>
      </c>
      <c r="J137" s="15"/>
      <c r="K137" s="15"/>
      <c r="L137" s="15"/>
      <c r="M137" s="15"/>
      <c r="N137" s="89">
        <v>129.75</v>
      </c>
      <c r="O137" s="89">
        <v>260.75</v>
      </c>
      <c r="P137" s="15"/>
      <c r="Q137" s="15"/>
      <c r="R137" s="15"/>
      <c r="S137" s="89">
        <v>129.75</v>
      </c>
      <c r="T137" s="89">
        <v>260.75</v>
      </c>
      <c r="U137" s="15"/>
      <c r="V137" s="15"/>
      <c r="W137" s="15"/>
      <c r="X137" s="89">
        <v>129.75</v>
      </c>
      <c r="Y137" s="89">
        <v>260.75</v>
      </c>
      <c r="Z137" s="15"/>
      <c r="AA137" s="15"/>
      <c r="AB137" s="15"/>
      <c r="AC137" s="15"/>
      <c r="AD137" s="89">
        <v>260.75</v>
      </c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89">
        <v>1562.0</v>
      </c>
    </row>
    <row r="138">
      <c r="A138" s="15"/>
      <c r="B138" s="70" t="s">
        <v>584</v>
      </c>
      <c r="C138" s="15" t="s">
        <v>473</v>
      </c>
      <c r="D138" s="15"/>
      <c r="E138" s="15"/>
      <c r="F138" s="15"/>
      <c r="G138" s="15"/>
      <c r="H138" s="15"/>
      <c r="I138" s="89">
        <v>296.4</v>
      </c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89">
        <v>296.4</v>
      </c>
    </row>
    <row r="139">
      <c r="A139" s="15"/>
      <c r="B139" s="70" t="s">
        <v>133</v>
      </c>
      <c r="C139" s="15" t="s">
        <v>131</v>
      </c>
      <c r="D139" s="89">
        <v>249.34</v>
      </c>
      <c r="E139" s="89">
        <v>221.74</v>
      </c>
      <c r="F139" s="15"/>
      <c r="G139" s="15"/>
      <c r="H139" s="15"/>
      <c r="I139" s="89">
        <v>249.34</v>
      </c>
      <c r="J139" s="89">
        <v>221.74</v>
      </c>
      <c r="K139" s="15"/>
      <c r="L139" s="15"/>
      <c r="M139" s="15"/>
      <c r="N139" s="89">
        <v>249.34</v>
      </c>
      <c r="O139" s="89">
        <v>221.74</v>
      </c>
      <c r="P139" s="15"/>
      <c r="Q139" s="15"/>
      <c r="R139" s="15"/>
      <c r="S139" s="89">
        <v>249.34</v>
      </c>
      <c r="T139" s="15"/>
      <c r="U139" s="15"/>
      <c r="V139" s="15"/>
      <c r="W139" s="15"/>
      <c r="X139" s="89">
        <v>265.48</v>
      </c>
      <c r="Y139" s="15"/>
      <c r="Z139" s="15"/>
      <c r="AA139" s="15"/>
      <c r="AB139" s="15"/>
      <c r="AC139" s="89">
        <v>221.66</v>
      </c>
      <c r="AD139" s="15"/>
      <c r="AE139" s="15"/>
      <c r="AF139" s="15"/>
      <c r="AG139" s="15"/>
      <c r="AH139" s="89">
        <v>221.74</v>
      </c>
      <c r="AI139" s="15"/>
      <c r="AJ139" s="15"/>
      <c r="AK139" s="15"/>
      <c r="AL139" s="15"/>
      <c r="AM139" s="89">
        <v>249.33</v>
      </c>
      <c r="AN139" s="89">
        <v>221.74</v>
      </c>
      <c r="AO139" s="15"/>
      <c r="AP139" s="15"/>
      <c r="AQ139" s="15"/>
      <c r="AR139" s="15"/>
      <c r="AS139" s="89">
        <v>249.34</v>
      </c>
      <c r="AT139" s="89">
        <v>221.74</v>
      </c>
      <c r="AU139" s="15"/>
      <c r="AV139" s="15"/>
      <c r="AW139" s="15"/>
      <c r="AX139" s="15"/>
      <c r="AY139" s="89">
        <v>249.34</v>
      </c>
      <c r="AZ139" s="89">
        <v>221.74</v>
      </c>
      <c r="BA139" s="15"/>
      <c r="BB139" s="15"/>
      <c r="BC139" s="15"/>
      <c r="BD139" s="89">
        <v>249.33</v>
      </c>
      <c r="BE139" s="89">
        <v>221.74</v>
      </c>
      <c r="BF139" s="15"/>
      <c r="BG139" s="15"/>
      <c r="BH139" s="15"/>
      <c r="BI139" s="89">
        <v>249.34</v>
      </c>
      <c r="BJ139" s="89">
        <v>221.74</v>
      </c>
      <c r="BK139" s="15"/>
      <c r="BL139" s="15"/>
      <c r="BM139" s="15"/>
      <c r="BN139" s="89">
        <v>4726.839999999998</v>
      </c>
    </row>
    <row r="140">
      <c r="A140" s="15" t="s">
        <v>1740</v>
      </c>
      <c r="B140" s="70" t="s">
        <v>1741</v>
      </c>
      <c r="C140" s="15"/>
      <c r="D140" s="15"/>
      <c r="E140" s="15"/>
      <c r="F140" s="15"/>
      <c r="G140" s="15"/>
      <c r="H140" s="15"/>
      <c r="I140" s="89">
        <v>428.3</v>
      </c>
      <c r="J140" s="15"/>
      <c r="K140" s="15"/>
      <c r="L140" s="15"/>
      <c r="M140" s="15"/>
      <c r="N140" s="89">
        <v>682.06</v>
      </c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89">
        <v>264.15</v>
      </c>
      <c r="AT140" s="89">
        <v>565.52</v>
      </c>
      <c r="AU140" s="15"/>
      <c r="AV140" s="15"/>
      <c r="AW140" s="15"/>
      <c r="AX140" s="15"/>
      <c r="AY140" s="89">
        <v>558.26</v>
      </c>
      <c r="AZ140" s="89">
        <v>420.32</v>
      </c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89">
        <v>2918.61</v>
      </c>
    </row>
    <row r="141">
      <c r="A141" s="15"/>
      <c r="B141" s="70" t="s">
        <v>266</v>
      </c>
      <c r="C141" s="15" t="s">
        <v>264</v>
      </c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89">
        <v>52.0</v>
      </c>
      <c r="O141" s="15"/>
      <c r="P141" s="15"/>
      <c r="Q141" s="15"/>
      <c r="R141" s="15"/>
      <c r="S141" s="15"/>
      <c r="T141" s="15"/>
      <c r="U141" s="15"/>
      <c r="V141" s="15"/>
      <c r="W141" s="15"/>
      <c r="X141" s="89">
        <v>80.0</v>
      </c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89">
        <v>80.0</v>
      </c>
      <c r="AT141" s="89">
        <v>95.0</v>
      </c>
      <c r="AU141" s="15"/>
      <c r="AV141" s="15"/>
      <c r="AW141" s="15"/>
      <c r="AX141" s="15"/>
      <c r="AY141" s="89">
        <v>140.0</v>
      </c>
      <c r="AZ141" s="89">
        <v>80.0</v>
      </c>
      <c r="BA141" s="15"/>
      <c r="BB141" s="15"/>
      <c r="BC141" s="15"/>
      <c r="BD141" s="15"/>
      <c r="BE141" s="15"/>
      <c r="BF141" s="15"/>
      <c r="BG141" s="15"/>
      <c r="BH141" s="15"/>
      <c r="BI141" s="15"/>
      <c r="BJ141" s="89">
        <v>10.0</v>
      </c>
      <c r="BK141" s="15"/>
      <c r="BL141" s="15"/>
      <c r="BM141" s="15"/>
      <c r="BN141" s="89">
        <v>537.0</v>
      </c>
    </row>
    <row r="142">
      <c r="A142" s="15"/>
      <c r="B142" s="70"/>
      <c r="C142" s="15" t="s">
        <v>953</v>
      </c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89">
        <v>35.0</v>
      </c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89">
        <v>35.0</v>
      </c>
    </row>
    <row r="143">
      <c r="A143" s="15"/>
      <c r="B143" s="70" t="s">
        <v>331</v>
      </c>
      <c r="C143" s="15" t="s">
        <v>329</v>
      </c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89">
        <v>271.4</v>
      </c>
      <c r="O143" s="15"/>
      <c r="P143" s="15"/>
      <c r="Q143" s="15"/>
      <c r="R143" s="15"/>
      <c r="S143" s="89">
        <v>246.4</v>
      </c>
      <c r="T143" s="15"/>
      <c r="U143" s="15"/>
      <c r="V143" s="15"/>
      <c r="W143" s="15"/>
      <c r="X143" s="89">
        <v>246.4</v>
      </c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89">
        <v>327.75</v>
      </c>
      <c r="AZ143" s="89">
        <v>294.98</v>
      </c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89">
        <v>1386.93</v>
      </c>
    </row>
    <row r="144">
      <c r="A144" s="15"/>
      <c r="B144" s="70"/>
      <c r="C144" s="15" t="s">
        <v>953</v>
      </c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89">
        <v>133.66</v>
      </c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89">
        <v>133.66</v>
      </c>
    </row>
    <row r="145">
      <c r="A145" s="15"/>
      <c r="B145" s="70" t="s">
        <v>218</v>
      </c>
      <c r="C145" s="15" t="s">
        <v>216</v>
      </c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89">
        <v>100.0</v>
      </c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89">
        <v>80.0</v>
      </c>
      <c r="AN145" s="15"/>
      <c r="AO145" s="15"/>
      <c r="AP145" s="15"/>
      <c r="AQ145" s="15"/>
      <c r="AR145" s="15"/>
      <c r="AS145" s="89">
        <v>150.0</v>
      </c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89">
        <v>330.0</v>
      </c>
    </row>
    <row r="146">
      <c r="A146" s="15"/>
      <c r="B146" s="70"/>
      <c r="C146" s="15" t="s">
        <v>43</v>
      </c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89">
        <v>150.0</v>
      </c>
      <c r="BE146" s="15"/>
      <c r="BF146" s="15"/>
      <c r="BG146" s="15"/>
      <c r="BH146" s="15"/>
      <c r="BI146" s="15"/>
      <c r="BJ146" s="15"/>
      <c r="BK146" s="15"/>
      <c r="BL146" s="15"/>
      <c r="BM146" s="15"/>
      <c r="BN146" s="89">
        <v>150.0</v>
      </c>
    </row>
    <row r="147">
      <c r="A147" s="15"/>
      <c r="B147" s="70"/>
      <c r="C147" s="15" t="s">
        <v>217</v>
      </c>
      <c r="D147" s="15"/>
      <c r="E147" s="15"/>
      <c r="F147" s="15"/>
      <c r="G147" s="15"/>
      <c r="H147" s="15"/>
      <c r="I147" s="89">
        <v>100.0</v>
      </c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89">
        <v>106.49</v>
      </c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89">
        <v>200.0</v>
      </c>
      <c r="AO147" s="15"/>
      <c r="AP147" s="15"/>
      <c r="AQ147" s="15"/>
      <c r="AR147" s="15"/>
      <c r="AS147" s="15"/>
      <c r="AT147" s="89">
        <v>150.0</v>
      </c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89">
        <v>556.49</v>
      </c>
    </row>
    <row r="148">
      <c r="A148" s="15" t="s">
        <v>1742</v>
      </c>
      <c r="B148" s="70" t="s">
        <v>71</v>
      </c>
      <c r="C148" s="15" t="s">
        <v>810</v>
      </c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89">
        <v>91.2</v>
      </c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89">
        <v>91.2</v>
      </c>
    </row>
    <row r="149">
      <c r="A149" s="15"/>
      <c r="B149" s="70"/>
      <c r="C149" s="15" t="s">
        <v>255</v>
      </c>
      <c r="D149" s="89">
        <v>328.02</v>
      </c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89">
        <v>398.34</v>
      </c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89">
        <v>178.01</v>
      </c>
      <c r="AT149" s="15"/>
      <c r="AU149" s="15"/>
      <c r="AV149" s="15"/>
      <c r="AW149" s="15"/>
      <c r="AX149" s="15"/>
      <c r="AY149" s="89">
        <v>212.43</v>
      </c>
      <c r="AZ149" s="15"/>
      <c r="BA149" s="15"/>
      <c r="BB149" s="15"/>
      <c r="BC149" s="15"/>
      <c r="BD149" s="89">
        <v>159.23</v>
      </c>
      <c r="BE149" s="15"/>
      <c r="BF149" s="15"/>
      <c r="BG149" s="15"/>
      <c r="BH149" s="15"/>
      <c r="BI149" s="89">
        <v>304.42</v>
      </c>
      <c r="BJ149" s="15"/>
      <c r="BK149" s="15"/>
      <c r="BL149" s="15"/>
      <c r="BM149" s="15"/>
      <c r="BN149" s="89">
        <v>1580.45</v>
      </c>
    </row>
    <row r="150">
      <c r="A150" s="15"/>
      <c r="B150" s="70"/>
      <c r="C150" s="15" t="s">
        <v>44</v>
      </c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89">
        <v>5.49</v>
      </c>
      <c r="BE150" s="15"/>
      <c r="BF150" s="15"/>
      <c r="BG150" s="15"/>
      <c r="BH150" s="15"/>
      <c r="BI150" s="15"/>
      <c r="BJ150" s="15"/>
      <c r="BK150" s="15"/>
      <c r="BL150" s="15"/>
      <c r="BM150" s="15"/>
      <c r="BN150" s="89">
        <v>5.49</v>
      </c>
    </row>
    <row r="151">
      <c r="A151" s="15"/>
      <c r="B151" s="70"/>
      <c r="C151" s="15" t="s">
        <v>112</v>
      </c>
      <c r="D151" s="89">
        <v>45.99</v>
      </c>
      <c r="E151" s="15"/>
      <c r="F151" s="15"/>
      <c r="G151" s="15"/>
      <c r="H151" s="15"/>
      <c r="I151" s="89">
        <v>53.6</v>
      </c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89">
        <v>86.93</v>
      </c>
      <c r="AI151" s="15"/>
      <c r="AJ151" s="15"/>
      <c r="AK151" s="15"/>
      <c r="AL151" s="15"/>
      <c r="AM151" s="89">
        <v>102.83</v>
      </c>
      <c r="AN151" s="15"/>
      <c r="AO151" s="15"/>
      <c r="AP151" s="15"/>
      <c r="AQ151" s="15"/>
      <c r="AR151" s="15"/>
      <c r="AS151" s="89">
        <v>112.66</v>
      </c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89">
        <v>402.01000000000005</v>
      </c>
    </row>
    <row r="152">
      <c r="A152" s="15"/>
      <c r="B152" s="70"/>
      <c r="C152" s="15" t="s">
        <v>387</v>
      </c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89">
        <v>35.0</v>
      </c>
      <c r="BE152" s="15"/>
      <c r="BF152" s="15"/>
      <c r="BG152" s="15"/>
      <c r="BH152" s="15"/>
      <c r="BI152" s="15"/>
      <c r="BJ152" s="15"/>
      <c r="BK152" s="15"/>
      <c r="BL152" s="15"/>
      <c r="BM152" s="15"/>
      <c r="BN152" s="89">
        <v>35.0</v>
      </c>
    </row>
    <row r="153">
      <c r="A153" s="15"/>
      <c r="B153" s="70"/>
      <c r="C153" s="15" t="s">
        <v>260</v>
      </c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89">
        <v>284.4</v>
      </c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89">
        <v>284.4</v>
      </c>
    </row>
    <row r="154">
      <c r="A154" s="15"/>
      <c r="B154" s="70"/>
      <c r="C154" s="15" t="s">
        <v>807</v>
      </c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89">
        <v>234.47</v>
      </c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89">
        <v>234.47</v>
      </c>
    </row>
    <row r="155">
      <c r="A155" s="15"/>
      <c r="B155" s="70"/>
      <c r="C155" s="15" t="s">
        <v>1069</v>
      </c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89">
        <v>114.21</v>
      </c>
      <c r="BF155" s="15"/>
      <c r="BG155" s="15"/>
      <c r="BH155" s="15"/>
      <c r="BI155" s="15"/>
      <c r="BJ155" s="15"/>
      <c r="BK155" s="15"/>
      <c r="BL155" s="15"/>
      <c r="BM155" s="15"/>
      <c r="BN155" s="89">
        <v>114.21</v>
      </c>
    </row>
    <row r="156">
      <c r="A156" s="15"/>
      <c r="B156" s="70"/>
      <c r="C156" s="15" t="s">
        <v>165</v>
      </c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89">
        <v>35.99</v>
      </c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89">
        <v>35.99</v>
      </c>
    </row>
    <row r="157">
      <c r="A157" s="15"/>
      <c r="B157" s="70"/>
      <c r="C157" s="15" t="s">
        <v>882</v>
      </c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89">
        <v>11.06</v>
      </c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89">
        <v>11.06</v>
      </c>
    </row>
    <row r="158">
      <c r="A158" s="15"/>
      <c r="B158" s="70"/>
      <c r="C158" s="15" t="s">
        <v>1065</v>
      </c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89">
        <v>61.519999999999996</v>
      </c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89">
        <v>49.3</v>
      </c>
      <c r="BF158" s="15"/>
      <c r="BG158" s="15"/>
      <c r="BH158" s="15"/>
      <c r="BI158" s="15"/>
      <c r="BJ158" s="15"/>
      <c r="BK158" s="15"/>
      <c r="BL158" s="15"/>
      <c r="BM158" s="15"/>
      <c r="BN158" s="89">
        <v>110.82</v>
      </c>
    </row>
    <row r="159">
      <c r="A159" s="15"/>
      <c r="B159" s="70"/>
      <c r="C159" s="15" t="s">
        <v>169</v>
      </c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89">
        <v>6.66</v>
      </c>
      <c r="AN159" s="15"/>
      <c r="AO159" s="15"/>
      <c r="AP159" s="15"/>
      <c r="AQ159" s="15"/>
      <c r="AR159" s="15"/>
      <c r="AS159" s="89">
        <v>10.87</v>
      </c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89">
        <v>17.53</v>
      </c>
    </row>
    <row r="160">
      <c r="A160" s="15"/>
      <c r="B160" s="70"/>
      <c r="C160" s="15" t="s">
        <v>385</v>
      </c>
      <c r="D160" s="89">
        <v>87.99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89">
        <v>152.98</v>
      </c>
      <c r="BE160" s="15"/>
      <c r="BF160" s="15"/>
      <c r="BG160" s="15"/>
      <c r="BH160" s="15"/>
      <c r="BI160" s="15"/>
      <c r="BJ160" s="15"/>
      <c r="BK160" s="15"/>
      <c r="BL160" s="15"/>
      <c r="BM160" s="15"/>
      <c r="BN160" s="89">
        <v>240.96999999999997</v>
      </c>
    </row>
    <row r="161">
      <c r="A161" s="15"/>
      <c r="B161" s="70"/>
      <c r="C161" s="15" t="s">
        <v>81</v>
      </c>
      <c r="D161" s="15"/>
      <c r="E161" s="15"/>
      <c r="F161" s="15"/>
      <c r="G161" s="15"/>
      <c r="H161" s="15"/>
      <c r="I161" s="89">
        <v>62.67</v>
      </c>
      <c r="J161" s="89">
        <v>293.87</v>
      </c>
      <c r="K161" s="15"/>
      <c r="L161" s="15"/>
      <c r="M161" s="15"/>
      <c r="N161" s="15"/>
      <c r="O161" s="89">
        <v>175.26</v>
      </c>
      <c r="P161" s="15"/>
      <c r="Q161" s="15"/>
      <c r="R161" s="15"/>
      <c r="S161" s="15"/>
      <c r="T161" s="15"/>
      <c r="U161" s="15"/>
      <c r="V161" s="15"/>
      <c r="W161" s="15"/>
      <c r="X161" s="89">
        <v>206.8</v>
      </c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89">
        <v>43.06</v>
      </c>
      <c r="AN161" s="89">
        <v>515.17</v>
      </c>
      <c r="AO161" s="15"/>
      <c r="AP161" s="15"/>
      <c r="AQ161" s="15"/>
      <c r="AR161" s="15"/>
      <c r="AS161" s="15"/>
      <c r="AT161" s="89">
        <v>459.09</v>
      </c>
      <c r="AU161" s="15"/>
      <c r="AV161" s="15"/>
      <c r="AW161" s="15"/>
      <c r="AX161" s="15"/>
      <c r="AY161" s="15"/>
      <c r="AZ161" s="89">
        <v>259.65</v>
      </c>
      <c r="BA161" s="15"/>
      <c r="BB161" s="15"/>
      <c r="BC161" s="15"/>
      <c r="BD161" s="15"/>
      <c r="BE161" s="89">
        <v>689.61</v>
      </c>
      <c r="BF161" s="15"/>
      <c r="BG161" s="15"/>
      <c r="BH161" s="15"/>
      <c r="BI161" s="15"/>
      <c r="BJ161" s="89">
        <v>471.76</v>
      </c>
      <c r="BK161" s="15"/>
      <c r="BL161" s="15"/>
      <c r="BM161" s="15"/>
      <c r="BN161" s="89">
        <v>3176.9400000000005</v>
      </c>
    </row>
    <row r="162">
      <c r="A162" s="15"/>
      <c r="B162" s="70"/>
      <c r="C162" s="15" t="s">
        <v>69</v>
      </c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89">
        <v>90.0</v>
      </c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89">
        <v>90.0</v>
      </c>
    </row>
    <row r="163">
      <c r="A163" s="15" t="s">
        <v>1669</v>
      </c>
      <c r="B163" s="70" t="s">
        <v>1743</v>
      </c>
      <c r="C163" s="15"/>
      <c r="D163" s="89">
        <v>1223.27</v>
      </c>
      <c r="E163" s="89">
        <v>2614.2700000000004</v>
      </c>
      <c r="F163" s="89">
        <v>182.89000000000001</v>
      </c>
      <c r="G163" s="15"/>
      <c r="H163" s="15"/>
      <c r="I163" s="89">
        <v>1790.4199999999998</v>
      </c>
      <c r="J163" s="89">
        <v>1398.77</v>
      </c>
      <c r="K163" s="89">
        <v>182.89000000000001</v>
      </c>
      <c r="L163" s="15"/>
      <c r="M163" s="15"/>
      <c r="N163" s="89">
        <v>1512.33</v>
      </c>
      <c r="O163" s="89">
        <v>1180.55</v>
      </c>
      <c r="P163" s="89">
        <v>54.99</v>
      </c>
      <c r="Q163" s="15"/>
      <c r="R163" s="15"/>
      <c r="S163" s="89">
        <v>2825.48</v>
      </c>
      <c r="T163" s="89">
        <v>938.36</v>
      </c>
      <c r="U163" s="89">
        <v>54.99</v>
      </c>
      <c r="V163" s="15"/>
      <c r="W163" s="15"/>
      <c r="X163" s="89">
        <v>2036.6799999999998</v>
      </c>
      <c r="Y163" s="89">
        <v>890.62</v>
      </c>
      <c r="Z163" s="89">
        <v>54.99</v>
      </c>
      <c r="AA163" s="15"/>
      <c r="AB163" s="15"/>
      <c r="AC163" s="89">
        <v>2609.46</v>
      </c>
      <c r="AD163" s="89">
        <v>665.79</v>
      </c>
      <c r="AE163" s="89">
        <v>54.99</v>
      </c>
      <c r="AF163" s="15"/>
      <c r="AG163" s="15"/>
      <c r="AH163" s="89">
        <v>2460.3500000000004</v>
      </c>
      <c r="AI163" s="89">
        <v>368.06</v>
      </c>
      <c r="AJ163" s="15"/>
      <c r="AK163" s="15"/>
      <c r="AL163" s="15"/>
      <c r="AM163" s="89">
        <v>3160.42</v>
      </c>
      <c r="AN163" s="89">
        <v>2092.99</v>
      </c>
      <c r="AO163" s="89">
        <v>182.89000000000001</v>
      </c>
      <c r="AP163" s="15"/>
      <c r="AQ163" s="15"/>
      <c r="AR163" s="15"/>
      <c r="AS163" s="89">
        <v>2282.1099999999997</v>
      </c>
      <c r="AT163" s="89">
        <v>2282.98</v>
      </c>
      <c r="AU163" s="89">
        <v>182.89000000000001</v>
      </c>
      <c r="AV163" s="15"/>
      <c r="AW163" s="15"/>
      <c r="AX163" s="15"/>
      <c r="AY163" s="89">
        <v>2290.2700000000004</v>
      </c>
      <c r="AZ163" s="89">
        <v>1684.8100000000002</v>
      </c>
      <c r="BA163" s="89">
        <v>182.89000000000001</v>
      </c>
      <c r="BB163" s="15"/>
      <c r="BC163" s="15"/>
      <c r="BD163" s="89">
        <v>2163.2900000000004</v>
      </c>
      <c r="BE163" s="89">
        <v>2015.88</v>
      </c>
      <c r="BF163" s="89">
        <v>182.89000000000001</v>
      </c>
      <c r="BG163" s="15"/>
      <c r="BH163" s="15"/>
      <c r="BI163" s="89">
        <v>1696.41</v>
      </c>
      <c r="BJ163" s="89">
        <v>1784.0000000000002</v>
      </c>
      <c r="BK163" s="89">
        <v>182.89000000000001</v>
      </c>
      <c r="BL163" s="15"/>
      <c r="BM163" s="15"/>
      <c r="BN163" s="89">
        <v>45467.75999999995</v>
      </c>
    </row>
    <row r="164">
      <c r="A164" s="15"/>
      <c r="B164" s="70" t="s">
        <v>363</v>
      </c>
      <c r="C164" s="15" t="s">
        <v>361</v>
      </c>
      <c r="D164" s="89">
        <v>180.11</v>
      </c>
      <c r="E164" s="15"/>
      <c r="F164" s="15"/>
      <c r="G164" s="15"/>
      <c r="H164" s="15"/>
      <c r="I164" s="89">
        <v>462.46000000000004</v>
      </c>
      <c r="J164" s="15"/>
      <c r="K164" s="15"/>
      <c r="L164" s="15"/>
      <c r="M164" s="15"/>
      <c r="N164" s="89">
        <v>462.46000000000004</v>
      </c>
      <c r="O164" s="15"/>
      <c r="P164" s="15"/>
      <c r="Q164" s="15"/>
      <c r="R164" s="15"/>
      <c r="S164" s="89">
        <v>462.46000000000004</v>
      </c>
      <c r="T164" s="15"/>
      <c r="U164" s="15"/>
      <c r="V164" s="15"/>
      <c r="W164" s="15"/>
      <c r="X164" s="89">
        <v>462.46000000000004</v>
      </c>
      <c r="Y164" s="15"/>
      <c r="Z164" s="15"/>
      <c r="AA164" s="15"/>
      <c r="AB164" s="15"/>
      <c r="AC164" s="89">
        <v>462.42</v>
      </c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89">
        <v>282.34</v>
      </c>
      <c r="AO164" s="15"/>
      <c r="AP164" s="15"/>
      <c r="AQ164" s="15"/>
      <c r="AR164" s="15"/>
      <c r="AS164" s="15"/>
      <c r="AT164" s="89">
        <v>462.42</v>
      </c>
      <c r="AU164" s="15"/>
      <c r="AV164" s="15"/>
      <c r="AW164" s="15"/>
      <c r="AX164" s="15"/>
      <c r="AY164" s="15"/>
      <c r="AZ164" s="89">
        <v>462.46000000000004</v>
      </c>
      <c r="BA164" s="15"/>
      <c r="BB164" s="15"/>
      <c r="BC164" s="15"/>
      <c r="BD164" s="89">
        <v>180.11</v>
      </c>
      <c r="BE164" s="89">
        <v>284.0</v>
      </c>
      <c r="BF164" s="15"/>
      <c r="BG164" s="15"/>
      <c r="BH164" s="15"/>
      <c r="BI164" s="89">
        <v>180.11</v>
      </c>
      <c r="BJ164" s="15"/>
      <c r="BK164" s="15"/>
      <c r="BL164" s="15"/>
      <c r="BM164" s="15"/>
      <c r="BN164" s="89">
        <v>4343.81</v>
      </c>
    </row>
    <row r="165">
      <c r="A165" s="15"/>
      <c r="B165" s="70" t="s">
        <v>85</v>
      </c>
      <c r="C165" s="15" t="s">
        <v>635</v>
      </c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89">
        <v>41746.0</v>
      </c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89">
        <v>41746.0</v>
      </c>
    </row>
    <row r="166">
      <c r="A166" s="15"/>
      <c r="B166" s="70"/>
      <c r="C166" s="15" t="s">
        <v>1043</v>
      </c>
      <c r="D166" s="15"/>
      <c r="E166" s="89">
        <v>37700.0</v>
      </c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89">
        <v>37700.0</v>
      </c>
    </row>
    <row r="167">
      <c r="A167" s="15"/>
      <c r="B167" s="70"/>
      <c r="C167" s="15" t="s">
        <v>213</v>
      </c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89">
        <v>33700.0</v>
      </c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89">
        <v>33700.0</v>
      </c>
    </row>
    <row r="168">
      <c r="A168" s="15"/>
      <c r="B168" s="70"/>
      <c r="C168" s="15" t="s">
        <v>76</v>
      </c>
      <c r="D168" s="89">
        <v>2428.54</v>
      </c>
      <c r="E168" s="89">
        <v>2428.54</v>
      </c>
      <c r="F168" s="15"/>
      <c r="G168" s="15"/>
      <c r="H168" s="15"/>
      <c r="I168" s="89">
        <v>2428.54</v>
      </c>
      <c r="J168" s="89">
        <v>2429.4</v>
      </c>
      <c r="K168" s="15"/>
      <c r="L168" s="15"/>
      <c r="M168" s="15"/>
      <c r="N168" s="89">
        <v>2428.54</v>
      </c>
      <c r="O168" s="89">
        <v>2428.54</v>
      </c>
      <c r="P168" s="15"/>
      <c r="Q168" s="15"/>
      <c r="R168" s="15"/>
      <c r="S168" s="89">
        <v>2428.54</v>
      </c>
      <c r="T168" s="89">
        <v>2428.54</v>
      </c>
      <c r="U168" s="15"/>
      <c r="V168" s="15"/>
      <c r="W168" s="15"/>
      <c r="X168" s="89">
        <v>2428.54</v>
      </c>
      <c r="Y168" s="89">
        <v>2428.54</v>
      </c>
      <c r="Z168" s="15"/>
      <c r="AA168" s="15"/>
      <c r="AB168" s="15"/>
      <c r="AC168" s="89">
        <v>2428.54</v>
      </c>
      <c r="AD168" s="89">
        <v>2428.54</v>
      </c>
      <c r="AE168" s="15"/>
      <c r="AF168" s="15"/>
      <c r="AG168" s="15"/>
      <c r="AH168" s="89">
        <v>2428.54</v>
      </c>
      <c r="AI168" s="89">
        <v>2428.54</v>
      </c>
      <c r="AJ168" s="15"/>
      <c r="AK168" s="15"/>
      <c r="AL168" s="15"/>
      <c r="AM168" s="89">
        <v>5000.0</v>
      </c>
      <c r="AN168" s="89">
        <v>2428.54</v>
      </c>
      <c r="AO168" s="89">
        <v>2428.54</v>
      </c>
      <c r="AP168" s="15"/>
      <c r="AQ168" s="15"/>
      <c r="AR168" s="15"/>
      <c r="AS168" s="89">
        <v>1758.48</v>
      </c>
      <c r="AT168" s="89">
        <v>2428.54</v>
      </c>
      <c r="AU168" s="89">
        <v>2428.54</v>
      </c>
      <c r="AV168" s="15"/>
      <c r="AW168" s="15"/>
      <c r="AX168" s="15"/>
      <c r="AY168" s="89">
        <v>2428.54</v>
      </c>
      <c r="AZ168" s="89">
        <v>2428.54</v>
      </c>
      <c r="BA168" s="89">
        <v>2428.54</v>
      </c>
      <c r="BB168" s="15"/>
      <c r="BC168" s="15"/>
      <c r="BD168" s="89">
        <v>2428.54</v>
      </c>
      <c r="BE168" s="89">
        <v>2428.54</v>
      </c>
      <c r="BF168" s="15"/>
      <c r="BG168" s="15"/>
      <c r="BH168" s="15"/>
      <c r="BI168" s="89">
        <v>2428.54</v>
      </c>
      <c r="BJ168" s="89">
        <v>2428.54</v>
      </c>
      <c r="BK168" s="15"/>
      <c r="BL168" s="15"/>
      <c r="BM168" s="15"/>
      <c r="BN168" s="89">
        <v>67472.83999999997</v>
      </c>
    </row>
    <row r="169">
      <c r="A169" s="15"/>
      <c r="B169" s="70" t="s">
        <v>394</v>
      </c>
      <c r="C169" s="15" t="s">
        <v>1085</v>
      </c>
      <c r="D169" s="15"/>
      <c r="E169" s="15"/>
      <c r="F169" s="15"/>
      <c r="G169" s="15"/>
      <c r="H169" s="15"/>
      <c r="I169" s="15"/>
      <c r="J169" s="89">
        <v>105.45</v>
      </c>
      <c r="K169" s="15"/>
      <c r="L169" s="15"/>
      <c r="M169" s="15"/>
      <c r="N169" s="15"/>
      <c r="O169" s="89">
        <v>105.44</v>
      </c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89">
        <v>210.89</v>
      </c>
    </row>
    <row r="170">
      <c r="A170" s="15"/>
      <c r="B170" s="70"/>
      <c r="C170" s="15" t="s">
        <v>44</v>
      </c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89">
        <v>-268.8</v>
      </c>
      <c r="Y170" s="15"/>
      <c r="Z170" s="15"/>
      <c r="AA170" s="15"/>
      <c r="AB170" s="15"/>
      <c r="AC170" s="89">
        <v>-329.87</v>
      </c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89">
        <v>-598.67</v>
      </c>
    </row>
    <row r="171">
      <c r="A171" s="15"/>
      <c r="B171" s="70"/>
      <c r="C171" s="15" t="s">
        <v>861</v>
      </c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89">
        <v>58.7</v>
      </c>
      <c r="AI171" s="15"/>
      <c r="AJ171" s="15"/>
      <c r="AK171" s="15"/>
      <c r="AL171" s="15"/>
      <c r="AM171" s="15"/>
      <c r="AN171" s="89">
        <v>58.66</v>
      </c>
      <c r="AO171" s="15"/>
      <c r="AP171" s="15"/>
      <c r="AQ171" s="15"/>
      <c r="AR171" s="15"/>
      <c r="AS171" s="15"/>
      <c r="AT171" s="89">
        <v>58.66</v>
      </c>
      <c r="AU171" s="15"/>
      <c r="AV171" s="15"/>
      <c r="AW171" s="15"/>
      <c r="AX171" s="15"/>
      <c r="AY171" s="15"/>
      <c r="AZ171" s="89">
        <v>58.66</v>
      </c>
      <c r="BA171" s="15"/>
      <c r="BB171" s="15"/>
      <c r="BC171" s="15"/>
      <c r="BD171" s="15"/>
      <c r="BE171" s="89">
        <v>58.66</v>
      </c>
      <c r="BF171" s="15"/>
      <c r="BG171" s="15"/>
      <c r="BH171" s="15"/>
      <c r="BI171" s="15"/>
      <c r="BJ171" s="89">
        <v>58.66</v>
      </c>
      <c r="BK171" s="15"/>
      <c r="BL171" s="15"/>
      <c r="BM171" s="15"/>
      <c r="BN171" s="89">
        <v>352.0</v>
      </c>
    </row>
    <row r="172">
      <c r="A172" s="15"/>
      <c r="B172" s="70"/>
      <c r="C172" s="15" t="s">
        <v>408</v>
      </c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89">
        <v>74.54</v>
      </c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89">
        <v>74.54</v>
      </c>
    </row>
    <row r="173">
      <c r="A173" s="15"/>
      <c r="B173" s="70"/>
      <c r="C173" s="15" t="s">
        <v>953</v>
      </c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89">
        <v>19.8</v>
      </c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89">
        <v>19.8</v>
      </c>
    </row>
    <row r="174">
      <c r="A174" s="15"/>
      <c r="B174" s="70"/>
      <c r="C174" s="15" t="s">
        <v>940</v>
      </c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89">
        <v>12.0</v>
      </c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89">
        <v>12.0</v>
      </c>
    </row>
    <row r="175">
      <c r="A175" s="15"/>
      <c r="B175" s="70"/>
      <c r="C175" s="15" t="s">
        <v>65</v>
      </c>
      <c r="D175" s="89">
        <v>95.50999999999999</v>
      </c>
      <c r="E175" s="89">
        <v>-210.86</v>
      </c>
      <c r="F175" s="15"/>
      <c r="G175" s="15"/>
      <c r="H175" s="15"/>
      <c r="I175" s="89">
        <v>32.39</v>
      </c>
      <c r="J175" s="89">
        <v>217.13</v>
      </c>
      <c r="K175" s="15"/>
      <c r="L175" s="15"/>
      <c r="M175" s="15"/>
      <c r="N175" s="89">
        <v>32.39</v>
      </c>
      <c r="O175" s="15"/>
      <c r="P175" s="15"/>
      <c r="Q175" s="15"/>
      <c r="R175" s="15"/>
      <c r="S175" s="89">
        <v>32.39</v>
      </c>
      <c r="T175" s="15"/>
      <c r="U175" s="15"/>
      <c r="V175" s="15"/>
      <c r="W175" s="15"/>
      <c r="X175" s="89">
        <v>-328.26</v>
      </c>
      <c r="Y175" s="15"/>
      <c r="Z175" s="15"/>
      <c r="AA175" s="15"/>
      <c r="AB175" s="15"/>
      <c r="AC175" s="89">
        <v>32.39</v>
      </c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89">
        <v>32.43</v>
      </c>
      <c r="BE175" s="15"/>
      <c r="BF175" s="15"/>
      <c r="BG175" s="15"/>
      <c r="BH175" s="15"/>
      <c r="BI175" s="89">
        <v>32.39</v>
      </c>
      <c r="BJ175" s="15"/>
      <c r="BK175" s="15"/>
      <c r="BL175" s="15"/>
      <c r="BM175" s="15"/>
      <c r="BN175" s="89">
        <v>-32.10000000000011</v>
      </c>
    </row>
    <row r="176">
      <c r="A176" s="15"/>
      <c r="B176" s="70"/>
      <c r="C176" s="15" t="s">
        <v>1215</v>
      </c>
      <c r="D176" s="15"/>
      <c r="E176" s="89">
        <v>146.68</v>
      </c>
      <c r="F176" s="15"/>
      <c r="G176" s="15"/>
      <c r="H176" s="15"/>
      <c r="I176" s="15"/>
      <c r="J176" s="89">
        <v>146.66</v>
      </c>
      <c r="K176" s="15"/>
      <c r="L176" s="15"/>
      <c r="M176" s="15"/>
      <c r="N176" s="15"/>
      <c r="O176" s="89">
        <v>146.66</v>
      </c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89">
        <v>440.0</v>
      </c>
    </row>
    <row r="177">
      <c r="A177" s="15"/>
      <c r="B177" s="70"/>
      <c r="C177" s="15" t="s">
        <v>531</v>
      </c>
      <c r="D177" s="15"/>
      <c r="E177" s="15"/>
      <c r="F177" s="15"/>
      <c r="G177" s="15"/>
      <c r="H177" s="15"/>
      <c r="I177" s="89">
        <v>277.75</v>
      </c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89">
        <v>277.75</v>
      </c>
    </row>
    <row r="178">
      <c r="A178" s="15"/>
      <c r="B178" s="70"/>
      <c r="C178" s="15" t="s">
        <v>422</v>
      </c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89">
        <v>26.71</v>
      </c>
      <c r="BJ178" s="15"/>
      <c r="BK178" s="15"/>
      <c r="BL178" s="15"/>
      <c r="BM178" s="15"/>
      <c r="BN178" s="89">
        <v>26.71</v>
      </c>
    </row>
    <row r="179">
      <c r="A179" s="15"/>
      <c r="B179" s="70" t="s">
        <v>1744</v>
      </c>
      <c r="C179" s="15"/>
      <c r="D179" s="89">
        <v>13058.560000000001</v>
      </c>
      <c r="E179" s="89">
        <v>11793.41</v>
      </c>
      <c r="F179" s="89">
        <v>10895.939125</v>
      </c>
      <c r="G179" s="89">
        <v>7030.5479</v>
      </c>
      <c r="H179" s="89">
        <v>1736.623</v>
      </c>
      <c r="I179" s="89">
        <v>13570.470000000001</v>
      </c>
      <c r="J179" s="89">
        <v>11982.18</v>
      </c>
      <c r="K179" s="89">
        <v>144633.20897500002</v>
      </c>
      <c r="L179" s="89">
        <v>7005.720825</v>
      </c>
      <c r="M179" s="89">
        <v>1711.7959250000001</v>
      </c>
      <c r="N179" s="89">
        <v>12710.84</v>
      </c>
      <c r="O179" s="89">
        <v>11195.64</v>
      </c>
      <c r="P179" s="89">
        <v>10770.478825000002</v>
      </c>
      <c r="Q179" s="89">
        <v>6980.89375</v>
      </c>
      <c r="R179" s="89">
        <v>1686.9688500000002</v>
      </c>
      <c r="S179" s="89">
        <v>13354.130000000001</v>
      </c>
      <c r="T179" s="89">
        <v>14313.825775</v>
      </c>
      <c r="U179" s="89">
        <v>10707.748674999999</v>
      </c>
      <c r="V179" s="89">
        <v>6956.066675</v>
      </c>
      <c r="W179" s="89">
        <v>1662.141775</v>
      </c>
      <c r="X179" s="89">
        <v>12724.71</v>
      </c>
      <c r="Y179" s="89">
        <v>14206.087725000001</v>
      </c>
      <c r="Z179" s="89">
        <v>10645.018525000001</v>
      </c>
      <c r="AA179" s="89">
        <v>6931.2396</v>
      </c>
      <c r="AB179" s="89">
        <v>1637.3147000000001</v>
      </c>
      <c r="AC179" s="89">
        <v>13429.75</v>
      </c>
      <c r="AD179" s="89">
        <v>14098.349675</v>
      </c>
      <c r="AE179" s="89">
        <v>10582.288375</v>
      </c>
      <c r="AF179" s="89">
        <v>6906.412525</v>
      </c>
      <c r="AG179" s="89">
        <v>1612.4876250000002</v>
      </c>
      <c r="AH179" s="89">
        <v>11641.029999999999</v>
      </c>
      <c r="AI179" s="89">
        <v>13990.611625</v>
      </c>
      <c r="AJ179" s="89">
        <v>10519.558225</v>
      </c>
      <c r="AK179" s="89">
        <v>6881.5854500000005</v>
      </c>
      <c r="AL179" s="89">
        <v>1587.66055</v>
      </c>
      <c r="AM179" s="89">
        <v>7417.75</v>
      </c>
      <c r="AN179" s="89">
        <v>12073.44</v>
      </c>
      <c r="AO179" s="89">
        <v>13882.873575000001</v>
      </c>
      <c r="AP179" s="89">
        <v>10456.828075000001</v>
      </c>
      <c r="AQ179" s="89">
        <v>6856.758375</v>
      </c>
      <c r="AR179" s="89">
        <v>1562.833475</v>
      </c>
      <c r="AS179" s="89">
        <v>89480.59000000001</v>
      </c>
      <c r="AT179" s="89">
        <v>11854.35</v>
      </c>
      <c r="AU179" s="89">
        <v>13775.135525</v>
      </c>
      <c r="AV179" s="89">
        <v>10394.097925</v>
      </c>
      <c r="AW179" s="89">
        <v>6831.9313</v>
      </c>
      <c r="AX179" s="89">
        <v>1538.0064000000002</v>
      </c>
      <c r="AY179" s="89">
        <v>7123.72</v>
      </c>
      <c r="AZ179" s="89">
        <v>11554.04</v>
      </c>
      <c r="BA179" s="89">
        <v>13667.397475000002</v>
      </c>
      <c r="BB179" s="89">
        <v>10331.367774999999</v>
      </c>
      <c r="BC179" s="89">
        <v>6807.104225</v>
      </c>
      <c r="BD179" s="89">
        <v>10758.69</v>
      </c>
      <c r="BE179" s="89">
        <v>11575.57</v>
      </c>
      <c r="BF179" s="89">
        <v>10975.529424999999</v>
      </c>
      <c r="BG179" s="89">
        <v>10268.637625</v>
      </c>
      <c r="BH179" s="89">
        <v>6782.27715</v>
      </c>
      <c r="BI179" s="89">
        <v>28564.9</v>
      </c>
      <c r="BJ179" s="89">
        <v>11954.01</v>
      </c>
      <c r="BK179" s="89">
        <v>136912.799275</v>
      </c>
      <c r="BL179" s="89">
        <v>7055.374975000001</v>
      </c>
      <c r="BM179" s="89">
        <v>6757.450075000001</v>
      </c>
      <c r="BN179" s="89">
        <v>928364.7573250002</v>
      </c>
    </row>
    <row r="180">
      <c r="A180" s="15"/>
      <c r="B180" s="70" t="s">
        <v>1745</v>
      </c>
      <c r="C180" s="15"/>
      <c r="D180" s="89">
        <v>480.32</v>
      </c>
      <c r="E180" s="89">
        <v>502.8</v>
      </c>
      <c r="F180" s="89">
        <v>503.0</v>
      </c>
      <c r="G180" s="15"/>
      <c r="H180" s="15"/>
      <c r="I180" s="89">
        <v>480.32</v>
      </c>
      <c r="J180" s="89">
        <v>502.8</v>
      </c>
      <c r="K180" s="89">
        <v>503.0</v>
      </c>
      <c r="L180" s="15"/>
      <c r="M180" s="15"/>
      <c r="N180" s="89">
        <v>480.32</v>
      </c>
      <c r="O180" s="89">
        <v>502.8</v>
      </c>
      <c r="P180" s="89">
        <v>503.0</v>
      </c>
      <c r="Q180" s="15"/>
      <c r="R180" s="15"/>
      <c r="S180" s="89">
        <v>480.32</v>
      </c>
      <c r="T180" s="89">
        <v>503.0</v>
      </c>
      <c r="U180" s="89">
        <v>503.0</v>
      </c>
      <c r="V180" s="15"/>
      <c r="W180" s="15"/>
      <c r="X180" s="89">
        <v>480.32</v>
      </c>
      <c r="Y180" s="89">
        <v>503.0</v>
      </c>
      <c r="Z180" s="89">
        <v>503.0</v>
      </c>
      <c r="AA180" s="15"/>
      <c r="AB180" s="15"/>
      <c r="AC180" s="89">
        <v>480.32</v>
      </c>
      <c r="AD180" s="89">
        <v>503.0</v>
      </c>
      <c r="AE180" s="89">
        <v>503.0</v>
      </c>
      <c r="AF180" s="15"/>
      <c r="AG180" s="15"/>
      <c r="AH180" s="89">
        <v>480.32</v>
      </c>
      <c r="AI180" s="89">
        <v>503.0</v>
      </c>
      <c r="AJ180" s="89">
        <v>503.0</v>
      </c>
      <c r="AK180" s="15"/>
      <c r="AL180" s="15"/>
      <c r="AM180" s="89">
        <v>458.5</v>
      </c>
      <c r="AN180" s="89">
        <v>480.32</v>
      </c>
      <c r="AO180" s="89">
        <v>503.0</v>
      </c>
      <c r="AP180" s="89">
        <v>503.0</v>
      </c>
      <c r="AQ180" s="15"/>
      <c r="AR180" s="15"/>
      <c r="AS180" s="89">
        <v>458.5</v>
      </c>
      <c r="AT180" s="89">
        <v>480.32</v>
      </c>
      <c r="AU180" s="89">
        <v>503.0</v>
      </c>
      <c r="AV180" s="89">
        <v>503.0</v>
      </c>
      <c r="AW180" s="15"/>
      <c r="AX180" s="15"/>
      <c r="AY180" s="89">
        <v>458.5</v>
      </c>
      <c r="AZ180" s="89">
        <v>480.32</v>
      </c>
      <c r="BA180" s="89">
        <v>503.0</v>
      </c>
      <c r="BB180" s="89">
        <v>503.0</v>
      </c>
      <c r="BC180" s="15"/>
      <c r="BD180" s="89">
        <v>458.5</v>
      </c>
      <c r="BE180" s="89">
        <v>480.32</v>
      </c>
      <c r="BF180" s="89">
        <v>503.0</v>
      </c>
      <c r="BG180" s="89">
        <v>503.0</v>
      </c>
      <c r="BH180" s="15"/>
      <c r="BI180" s="89">
        <v>480.32</v>
      </c>
      <c r="BJ180" s="89">
        <v>502.8</v>
      </c>
      <c r="BK180" s="89">
        <v>503.0</v>
      </c>
      <c r="BL180" s="15"/>
      <c r="BM180" s="15"/>
      <c r="BN180" s="89">
        <v>19669.039999999997</v>
      </c>
    </row>
    <row r="181">
      <c r="A181" s="15"/>
      <c r="B181" s="70" t="s">
        <v>212</v>
      </c>
      <c r="C181" s="15" t="s">
        <v>36</v>
      </c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89">
        <v>2500.0</v>
      </c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89">
        <v>2500.0</v>
      </c>
    </row>
    <row r="182">
      <c r="A182" s="15"/>
      <c r="B182" s="70" t="s">
        <v>371</v>
      </c>
      <c r="C182" s="15" t="s">
        <v>369</v>
      </c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89">
        <v>79.9</v>
      </c>
      <c r="BE182" s="15"/>
      <c r="BF182" s="15"/>
      <c r="BG182" s="15"/>
      <c r="BH182" s="15"/>
      <c r="BI182" s="15"/>
      <c r="BJ182" s="15"/>
      <c r="BK182" s="15"/>
      <c r="BL182" s="15"/>
      <c r="BM182" s="15"/>
      <c r="BN182" s="89">
        <v>79.9</v>
      </c>
    </row>
    <row r="183">
      <c r="A183" s="15"/>
      <c r="B183" s="70" t="s">
        <v>1746</v>
      </c>
      <c r="C183" s="15"/>
      <c r="D183" s="89">
        <v>124.69</v>
      </c>
      <c r="E183" s="89">
        <v>275.0</v>
      </c>
      <c r="F183" s="15"/>
      <c r="G183" s="15"/>
      <c r="H183" s="15"/>
      <c r="I183" s="89">
        <v>73.8</v>
      </c>
      <c r="J183" s="89">
        <v>418.40999999999997</v>
      </c>
      <c r="K183" s="15"/>
      <c r="L183" s="15"/>
      <c r="M183" s="15"/>
      <c r="N183" s="89">
        <v>78.42</v>
      </c>
      <c r="O183" s="89">
        <v>2213.61</v>
      </c>
      <c r="P183" s="15"/>
      <c r="Q183" s="15"/>
      <c r="R183" s="15"/>
      <c r="S183" s="89">
        <v>115.06</v>
      </c>
      <c r="T183" s="89">
        <v>125.0</v>
      </c>
      <c r="U183" s="15"/>
      <c r="V183" s="15"/>
      <c r="W183" s="15"/>
      <c r="X183" s="15"/>
      <c r="Y183" s="89">
        <v>125.0</v>
      </c>
      <c r="Z183" s="15"/>
      <c r="AA183" s="15"/>
      <c r="AB183" s="15"/>
      <c r="AC183" s="89">
        <v>1.73</v>
      </c>
      <c r="AD183" s="89">
        <v>125.0</v>
      </c>
      <c r="AE183" s="15"/>
      <c r="AF183" s="15"/>
      <c r="AG183" s="15"/>
      <c r="AH183" s="15"/>
      <c r="AI183" s="89">
        <v>125.0</v>
      </c>
      <c r="AJ183" s="15"/>
      <c r="AK183" s="15"/>
      <c r="AL183" s="15"/>
      <c r="AM183" s="89">
        <v>73.8</v>
      </c>
      <c r="AN183" s="89">
        <v>101.71000000000001</v>
      </c>
      <c r="AO183" s="89">
        <v>125.0</v>
      </c>
      <c r="AP183" s="15"/>
      <c r="AQ183" s="15"/>
      <c r="AR183" s="15"/>
      <c r="AS183" s="89">
        <v>112.96</v>
      </c>
      <c r="AT183" s="89">
        <v>81.55000000000001</v>
      </c>
      <c r="AU183" s="89">
        <v>125.0</v>
      </c>
      <c r="AV183" s="15"/>
      <c r="AW183" s="15"/>
      <c r="AX183" s="15"/>
      <c r="AY183" s="89">
        <v>1067.07</v>
      </c>
      <c r="AZ183" s="89">
        <v>88.51</v>
      </c>
      <c r="BA183" s="89">
        <v>125.0</v>
      </c>
      <c r="BB183" s="15"/>
      <c r="BC183" s="15"/>
      <c r="BD183" s="89">
        <v>94.6</v>
      </c>
      <c r="BE183" s="15"/>
      <c r="BF183" s="89">
        <v>125.0</v>
      </c>
      <c r="BG183" s="15"/>
      <c r="BH183" s="15"/>
      <c r="BI183" s="89">
        <v>1173.8</v>
      </c>
      <c r="BJ183" s="89">
        <v>3472.2499999999995</v>
      </c>
      <c r="BK183" s="89">
        <v>125.0</v>
      </c>
      <c r="BL183" s="15"/>
      <c r="BM183" s="15"/>
      <c r="BN183" s="89">
        <v>10691.970000000001</v>
      </c>
    </row>
    <row r="184">
      <c r="A184" s="15" t="s">
        <v>1747</v>
      </c>
      <c r="B184" s="70" t="s">
        <v>355</v>
      </c>
      <c r="C184" s="15" t="s">
        <v>44</v>
      </c>
      <c r="D184" s="15"/>
      <c r="E184" s="15"/>
      <c r="F184" s="15"/>
      <c r="G184" s="15"/>
      <c r="H184" s="15"/>
      <c r="I184" s="89">
        <v>143.91</v>
      </c>
      <c r="J184" s="15"/>
      <c r="K184" s="15"/>
      <c r="L184" s="15"/>
      <c r="M184" s="15"/>
      <c r="N184" s="89">
        <v>353.98</v>
      </c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89">
        <v>497.89</v>
      </c>
    </row>
    <row r="185">
      <c r="A185" s="15"/>
      <c r="B185" s="70"/>
      <c r="C185" s="15" t="s">
        <v>528</v>
      </c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89">
        <v>116.29</v>
      </c>
      <c r="T185" s="15"/>
      <c r="U185" s="15"/>
      <c r="V185" s="15"/>
      <c r="W185" s="15"/>
      <c r="X185" s="89">
        <v>13.290000000000001</v>
      </c>
      <c r="Y185" s="15"/>
      <c r="Z185" s="15"/>
      <c r="AA185" s="15"/>
      <c r="AB185" s="15"/>
      <c r="AC185" s="89">
        <v>70.54</v>
      </c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89">
        <v>13.64</v>
      </c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89">
        <v>3.4</v>
      </c>
      <c r="BK185" s="15"/>
      <c r="BL185" s="15"/>
      <c r="BM185" s="15"/>
      <c r="BN185" s="89">
        <v>217.16</v>
      </c>
    </row>
    <row r="186">
      <c r="A186" s="15"/>
      <c r="B186" s="70"/>
      <c r="C186" s="15" t="s">
        <v>656</v>
      </c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89">
        <v>617.0</v>
      </c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89">
        <v>617.0</v>
      </c>
    </row>
    <row r="187">
      <c r="A187" s="15"/>
      <c r="B187" s="70"/>
      <c r="C187" s="15" t="s">
        <v>356</v>
      </c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89">
        <v>174.68</v>
      </c>
      <c r="BE187" s="15"/>
      <c r="BF187" s="15"/>
      <c r="BG187" s="15"/>
      <c r="BH187" s="15"/>
      <c r="BI187" s="15"/>
      <c r="BJ187" s="15"/>
      <c r="BK187" s="15"/>
      <c r="BL187" s="15"/>
      <c r="BM187" s="15"/>
      <c r="BN187" s="89">
        <v>174.68</v>
      </c>
    </row>
    <row r="188">
      <c r="A188" s="15"/>
      <c r="B188" s="70"/>
      <c r="C188" s="15" t="s">
        <v>39</v>
      </c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89">
        <v>142.68</v>
      </c>
      <c r="O188" s="89">
        <v>148.07</v>
      </c>
      <c r="P188" s="15"/>
      <c r="Q188" s="15"/>
      <c r="R188" s="15"/>
      <c r="S188" s="89">
        <v>142.68</v>
      </c>
      <c r="T188" s="89">
        <v>148.07</v>
      </c>
      <c r="U188" s="15"/>
      <c r="V188" s="15"/>
      <c r="W188" s="15"/>
      <c r="X188" s="89">
        <v>142.68</v>
      </c>
      <c r="Y188" s="89">
        <v>148.07</v>
      </c>
      <c r="Z188" s="15"/>
      <c r="AA188" s="15"/>
      <c r="AB188" s="15"/>
      <c r="AC188" s="89">
        <v>142.68</v>
      </c>
      <c r="AD188" s="89">
        <v>148.07</v>
      </c>
      <c r="AE188" s="15"/>
      <c r="AF188" s="15"/>
      <c r="AG188" s="15"/>
      <c r="AH188" s="89">
        <v>142.68</v>
      </c>
      <c r="AI188" s="15"/>
      <c r="AJ188" s="15"/>
      <c r="AK188" s="15"/>
      <c r="AL188" s="15"/>
      <c r="AM188" s="15"/>
      <c r="AN188" s="89">
        <v>142.68</v>
      </c>
      <c r="AO188" s="15"/>
      <c r="AP188" s="15"/>
      <c r="AQ188" s="15"/>
      <c r="AR188" s="15"/>
      <c r="AS188" s="15"/>
      <c r="AT188" s="89">
        <v>142.68</v>
      </c>
      <c r="AU188" s="15"/>
      <c r="AV188" s="15"/>
      <c r="AW188" s="15"/>
      <c r="AX188" s="15"/>
      <c r="AY188" s="15"/>
      <c r="AZ188" s="89">
        <v>142.68</v>
      </c>
      <c r="BA188" s="15"/>
      <c r="BB188" s="15"/>
      <c r="BC188" s="15"/>
      <c r="BD188" s="15"/>
      <c r="BE188" s="89">
        <v>142.68</v>
      </c>
      <c r="BF188" s="15"/>
      <c r="BG188" s="15"/>
      <c r="BH188" s="15"/>
      <c r="BI188" s="15"/>
      <c r="BJ188" s="89">
        <v>142.68</v>
      </c>
      <c r="BK188" s="15"/>
      <c r="BL188" s="15"/>
      <c r="BM188" s="15"/>
      <c r="BN188" s="89">
        <v>2019.0800000000002</v>
      </c>
    </row>
    <row r="189">
      <c r="A189" s="15"/>
      <c r="B189" s="70"/>
      <c r="C189" s="15" t="s">
        <v>434</v>
      </c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89">
        <v>2284.94</v>
      </c>
      <c r="BJ189" s="15"/>
      <c r="BK189" s="15"/>
      <c r="BL189" s="15"/>
      <c r="BM189" s="15"/>
      <c r="BN189" s="89">
        <v>2284.94</v>
      </c>
    </row>
    <row r="190">
      <c r="A190" s="15"/>
      <c r="B190" s="70"/>
      <c r="C190" s="15" t="s">
        <v>231</v>
      </c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89">
        <v>432.43</v>
      </c>
      <c r="BJ190" s="15"/>
      <c r="BK190" s="15"/>
      <c r="BL190" s="15"/>
      <c r="BM190" s="15"/>
      <c r="BN190" s="89">
        <v>432.43</v>
      </c>
    </row>
    <row r="191">
      <c r="A191" s="15"/>
      <c r="B191" s="70"/>
      <c r="C191" s="15" t="s">
        <v>353</v>
      </c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89">
        <v>201.55</v>
      </c>
      <c r="BE191" s="15"/>
      <c r="BF191" s="15"/>
      <c r="BG191" s="15"/>
      <c r="BH191" s="15"/>
      <c r="BI191" s="15"/>
      <c r="BJ191" s="15"/>
      <c r="BK191" s="15"/>
      <c r="BL191" s="15"/>
      <c r="BM191" s="15"/>
      <c r="BN191" s="89">
        <v>201.55</v>
      </c>
    </row>
    <row r="192">
      <c r="A192" s="15" t="s">
        <v>1665</v>
      </c>
      <c r="B192" s="70"/>
      <c r="C192" s="15"/>
      <c r="D192" s="89">
        <v>67892.20999999999</v>
      </c>
      <c r="E192" s="89">
        <v>135892.35</v>
      </c>
      <c r="F192" s="89">
        <v>11767.029125000001</v>
      </c>
      <c r="G192" s="89">
        <v>7030.5479</v>
      </c>
      <c r="H192" s="89">
        <v>1736.623</v>
      </c>
      <c r="I192" s="89">
        <v>66574.50000000001</v>
      </c>
      <c r="J192" s="89">
        <v>77998.06000000004</v>
      </c>
      <c r="K192" s="89">
        <v>145504.298975</v>
      </c>
      <c r="L192" s="89">
        <v>7005.720825</v>
      </c>
      <c r="M192" s="89">
        <v>1711.7959250000001</v>
      </c>
      <c r="N192" s="89">
        <v>109809.83</v>
      </c>
      <c r="O192" s="89">
        <v>71005.98000000001</v>
      </c>
      <c r="P192" s="89">
        <v>11328.468825</v>
      </c>
      <c r="Q192" s="89">
        <v>6980.89375</v>
      </c>
      <c r="R192" s="89">
        <v>1686.9688500000002</v>
      </c>
      <c r="S192" s="89">
        <v>65092.32000000001</v>
      </c>
      <c r="T192" s="89">
        <v>75068.725775</v>
      </c>
      <c r="U192" s="89">
        <v>11265.738675</v>
      </c>
      <c r="V192" s="89">
        <v>6956.066675</v>
      </c>
      <c r="W192" s="89">
        <v>1662.141775</v>
      </c>
      <c r="X192" s="89">
        <v>65725.85999999999</v>
      </c>
      <c r="Y192" s="89">
        <v>73529.637725</v>
      </c>
      <c r="Z192" s="89">
        <v>11203.008525000001</v>
      </c>
      <c r="AA192" s="89">
        <v>6931.2396</v>
      </c>
      <c r="AB192" s="89">
        <v>1637.3147000000001</v>
      </c>
      <c r="AC192" s="89">
        <v>74916.10999999999</v>
      </c>
      <c r="AD192" s="89">
        <v>73123.73967499999</v>
      </c>
      <c r="AE192" s="89">
        <v>11140.278375</v>
      </c>
      <c r="AF192" s="89">
        <v>6906.412525</v>
      </c>
      <c r="AG192" s="89">
        <v>1612.4876250000002</v>
      </c>
      <c r="AH192" s="89">
        <v>61834.64999999999</v>
      </c>
      <c r="AI192" s="89">
        <v>70767.33162499999</v>
      </c>
      <c r="AJ192" s="89">
        <v>11022.558225</v>
      </c>
      <c r="AK192" s="89">
        <v>6881.5854500000005</v>
      </c>
      <c r="AL192" s="89">
        <v>1587.66055</v>
      </c>
      <c r="AM192" s="89">
        <v>58145.00000000003</v>
      </c>
      <c r="AN192" s="89">
        <v>67730.05</v>
      </c>
      <c r="AO192" s="89">
        <v>70450.263575</v>
      </c>
      <c r="AP192" s="89">
        <v>10959.828075000001</v>
      </c>
      <c r="AQ192" s="89">
        <v>6856.758375</v>
      </c>
      <c r="AR192" s="89">
        <v>1562.833475</v>
      </c>
      <c r="AS192" s="89">
        <v>136668.0899999999</v>
      </c>
      <c r="AT192" s="89">
        <v>71723.75</v>
      </c>
      <c r="AU192" s="89">
        <v>70221.595525</v>
      </c>
      <c r="AV192" s="89">
        <v>10897.097925</v>
      </c>
      <c r="AW192" s="89">
        <v>6831.9313</v>
      </c>
      <c r="AX192" s="89">
        <v>1538.0064000000002</v>
      </c>
      <c r="AY192" s="89">
        <v>57192.39</v>
      </c>
      <c r="AZ192" s="89">
        <v>103524.61999999998</v>
      </c>
      <c r="BA192" s="89">
        <v>70113.857475</v>
      </c>
      <c r="BB192" s="89">
        <v>10834.367774999999</v>
      </c>
      <c r="BC192" s="89">
        <v>6807.104225</v>
      </c>
      <c r="BD192" s="89">
        <v>63949.89000000002</v>
      </c>
      <c r="BE192" s="89">
        <v>74047.66</v>
      </c>
      <c r="BF192" s="89">
        <v>66115.449425</v>
      </c>
      <c r="BG192" s="89">
        <v>10771.637625</v>
      </c>
      <c r="BH192" s="89">
        <v>6782.27715</v>
      </c>
      <c r="BI192" s="89">
        <v>92547.1</v>
      </c>
      <c r="BJ192" s="89">
        <v>104212.14999999995</v>
      </c>
      <c r="BK192" s="89">
        <v>190770.71927499995</v>
      </c>
      <c r="BL192" s="89">
        <v>7055.374975000001</v>
      </c>
      <c r="BM192" s="89">
        <v>6757.450075000001</v>
      </c>
      <c r="BN192" s="89">
        <v>2747857.3973249923</v>
      </c>
    </row>
    <row r="193">
      <c r="B193" s="70"/>
    </row>
    <row r="194">
      <c r="B194" s="70"/>
    </row>
    <row r="195">
      <c r="B195" s="70"/>
    </row>
    <row r="196">
      <c r="B196" s="70"/>
    </row>
    <row r="197">
      <c r="B197" s="70"/>
    </row>
    <row r="198">
      <c r="B198" s="70"/>
    </row>
    <row r="199">
      <c r="B199" s="70"/>
    </row>
    <row r="200">
      <c r="B200" s="70"/>
    </row>
    <row r="201">
      <c r="B201" s="70"/>
    </row>
    <row r="202">
      <c r="B202" s="70"/>
    </row>
    <row r="203">
      <c r="B203" s="70"/>
    </row>
    <row r="204">
      <c r="B204" s="70"/>
    </row>
    <row r="205">
      <c r="B205" s="70"/>
    </row>
    <row r="206">
      <c r="B206" s="70"/>
    </row>
    <row r="207">
      <c r="B207" s="70"/>
    </row>
    <row r="208">
      <c r="B208" s="70"/>
    </row>
    <row r="209">
      <c r="B209" s="70"/>
    </row>
    <row r="210">
      <c r="B210" s="70"/>
    </row>
    <row r="211">
      <c r="B211" s="70"/>
    </row>
    <row r="212">
      <c r="B212" s="70"/>
    </row>
    <row r="213">
      <c r="B213" s="70"/>
    </row>
    <row r="214">
      <c r="B214" s="70"/>
    </row>
    <row r="215">
      <c r="B215" s="70"/>
    </row>
    <row r="216">
      <c r="B216" s="70"/>
    </row>
    <row r="217">
      <c r="B217" s="70"/>
    </row>
    <row r="218">
      <c r="B218" s="70"/>
    </row>
    <row r="219">
      <c r="B219" s="70"/>
    </row>
    <row r="220">
      <c r="B220" s="70"/>
    </row>
    <row r="221">
      <c r="B221" s="70"/>
    </row>
    <row r="222">
      <c r="B222" s="70"/>
    </row>
    <row r="223">
      <c r="B223" s="70"/>
    </row>
    <row r="224">
      <c r="B224" s="70"/>
    </row>
    <row r="225">
      <c r="B225" s="70"/>
    </row>
    <row r="226">
      <c r="B226" s="70"/>
    </row>
    <row r="227">
      <c r="B227" s="70"/>
    </row>
    <row r="228">
      <c r="B228" s="70"/>
    </row>
    <row r="229">
      <c r="B229" s="70"/>
    </row>
    <row r="230">
      <c r="B230" s="70"/>
    </row>
    <row r="231">
      <c r="B231" s="70"/>
    </row>
    <row r="232">
      <c r="B232" s="70"/>
    </row>
    <row r="233">
      <c r="B233" s="70"/>
    </row>
    <row r="234">
      <c r="B234" s="70"/>
    </row>
    <row r="235">
      <c r="B235" s="70"/>
    </row>
    <row r="236">
      <c r="B236" s="70"/>
    </row>
    <row r="237">
      <c r="B237" s="70"/>
    </row>
    <row r="238">
      <c r="B238" s="70"/>
    </row>
    <row r="239">
      <c r="B239" s="70"/>
    </row>
    <row r="240">
      <c r="B240" s="70"/>
    </row>
    <row r="241">
      <c r="B241" s="70"/>
    </row>
    <row r="242">
      <c r="B242" s="70"/>
    </row>
    <row r="243">
      <c r="B243" s="70"/>
    </row>
    <row r="244">
      <c r="B244" s="70"/>
    </row>
    <row r="245">
      <c r="B245" s="70"/>
    </row>
    <row r="246">
      <c r="B246" s="70"/>
    </row>
    <row r="247">
      <c r="B247" s="70"/>
    </row>
    <row r="248">
      <c r="B248" s="70"/>
    </row>
    <row r="249">
      <c r="B249" s="70"/>
    </row>
    <row r="250">
      <c r="B250" s="70"/>
    </row>
    <row r="251">
      <c r="B251" s="70"/>
    </row>
    <row r="252">
      <c r="B252" s="70"/>
    </row>
    <row r="253">
      <c r="B253" s="70"/>
    </row>
    <row r="254">
      <c r="B254" s="70"/>
    </row>
    <row r="255">
      <c r="B255" s="70"/>
    </row>
    <row r="256">
      <c r="B256" s="70"/>
    </row>
    <row r="257">
      <c r="B257" s="70"/>
    </row>
    <row r="258">
      <c r="B258" s="70"/>
    </row>
    <row r="259">
      <c r="B259" s="70"/>
    </row>
    <row r="260">
      <c r="B260" s="70"/>
    </row>
    <row r="261">
      <c r="B261" s="70"/>
    </row>
    <row r="262">
      <c r="B262" s="70"/>
    </row>
    <row r="263">
      <c r="B263" s="70"/>
    </row>
    <row r="264">
      <c r="B264" s="70"/>
    </row>
    <row r="265">
      <c r="B265" s="70"/>
    </row>
    <row r="266">
      <c r="B266" s="70"/>
    </row>
    <row r="267">
      <c r="B267" s="70"/>
    </row>
    <row r="268">
      <c r="B268" s="70"/>
    </row>
    <row r="269">
      <c r="B269" s="70"/>
    </row>
    <row r="270">
      <c r="B270" s="70"/>
    </row>
    <row r="271">
      <c r="B271" s="70"/>
    </row>
    <row r="272">
      <c r="B272" s="70"/>
    </row>
    <row r="273">
      <c r="B273" s="70"/>
    </row>
    <row r="274">
      <c r="B274" s="70"/>
    </row>
    <row r="275">
      <c r="B275" s="70"/>
    </row>
    <row r="276">
      <c r="B276" s="70"/>
    </row>
    <row r="277">
      <c r="B277" s="70"/>
    </row>
    <row r="278">
      <c r="B278" s="70"/>
    </row>
    <row r="279">
      <c r="B279" s="70"/>
    </row>
    <row r="280">
      <c r="B280" s="70"/>
    </row>
    <row r="281">
      <c r="B281" s="70"/>
    </row>
    <row r="282">
      <c r="B282" s="70"/>
    </row>
    <row r="283">
      <c r="B283" s="70"/>
    </row>
    <row r="284">
      <c r="B284" s="70"/>
    </row>
    <row r="285">
      <c r="B285" s="70"/>
    </row>
    <row r="286">
      <c r="B286" s="70"/>
    </row>
    <row r="287">
      <c r="B287" s="70"/>
    </row>
    <row r="288">
      <c r="B288" s="70"/>
    </row>
    <row r="289">
      <c r="B289" s="70"/>
    </row>
    <row r="290">
      <c r="B290" s="70"/>
    </row>
    <row r="291">
      <c r="B291" s="70"/>
    </row>
    <row r="292">
      <c r="B292" s="70"/>
    </row>
    <row r="293">
      <c r="B293" s="70"/>
    </row>
    <row r="294">
      <c r="B294" s="70"/>
    </row>
    <row r="295">
      <c r="B295" s="70"/>
    </row>
    <row r="296">
      <c r="B296" s="70"/>
    </row>
    <row r="297">
      <c r="B297" s="70"/>
    </row>
    <row r="298">
      <c r="B298" s="70"/>
    </row>
    <row r="299">
      <c r="B299" s="70"/>
    </row>
    <row r="300">
      <c r="B300" s="70"/>
    </row>
    <row r="301">
      <c r="B301" s="70"/>
    </row>
    <row r="302">
      <c r="B302" s="70"/>
    </row>
    <row r="303">
      <c r="B303" s="70"/>
    </row>
    <row r="304">
      <c r="B304" s="70"/>
    </row>
    <row r="305">
      <c r="B305" s="70"/>
    </row>
    <row r="306">
      <c r="B306" s="70"/>
    </row>
    <row r="307">
      <c r="B307" s="70"/>
    </row>
    <row r="308">
      <c r="B308" s="70"/>
    </row>
    <row r="309">
      <c r="B309" s="70"/>
    </row>
    <row r="310">
      <c r="B310" s="70"/>
    </row>
    <row r="311">
      <c r="B311" s="70"/>
    </row>
    <row r="312">
      <c r="B312" s="70"/>
    </row>
    <row r="313">
      <c r="B313" s="70"/>
    </row>
    <row r="314">
      <c r="B314" s="70"/>
    </row>
    <row r="315">
      <c r="B315" s="70"/>
    </row>
    <row r="316">
      <c r="B316" s="70"/>
    </row>
    <row r="317">
      <c r="B317" s="70"/>
    </row>
    <row r="318">
      <c r="B318" s="70"/>
    </row>
    <row r="319">
      <c r="B319" s="70"/>
    </row>
    <row r="320">
      <c r="B320" s="70"/>
    </row>
    <row r="321">
      <c r="B321" s="70"/>
    </row>
    <row r="322">
      <c r="B322" s="70"/>
    </row>
    <row r="323">
      <c r="B323" s="70"/>
    </row>
    <row r="324">
      <c r="B324" s="70"/>
    </row>
    <row r="325">
      <c r="B325" s="70"/>
    </row>
    <row r="326">
      <c r="B326" s="70"/>
    </row>
    <row r="327">
      <c r="B327" s="70"/>
    </row>
    <row r="328">
      <c r="B328" s="70"/>
    </row>
    <row r="329">
      <c r="B329" s="70"/>
    </row>
    <row r="330">
      <c r="B330" s="70"/>
    </row>
    <row r="331">
      <c r="B331" s="70"/>
    </row>
    <row r="332">
      <c r="B332" s="70"/>
    </row>
    <row r="333">
      <c r="B333" s="70"/>
    </row>
    <row r="334">
      <c r="B334" s="70"/>
    </row>
    <row r="335">
      <c r="B335" s="70"/>
    </row>
    <row r="336">
      <c r="B336" s="70"/>
    </row>
    <row r="337">
      <c r="B337" s="70"/>
    </row>
    <row r="338">
      <c r="B338" s="70"/>
    </row>
    <row r="339">
      <c r="B339" s="70"/>
    </row>
    <row r="340">
      <c r="B340" s="70"/>
    </row>
    <row r="341">
      <c r="B341" s="70"/>
    </row>
    <row r="342">
      <c r="B342" s="70"/>
    </row>
    <row r="343">
      <c r="B343" s="70"/>
    </row>
    <row r="344">
      <c r="B344" s="70"/>
    </row>
    <row r="345">
      <c r="B345" s="70"/>
    </row>
    <row r="346">
      <c r="B346" s="70"/>
    </row>
    <row r="347">
      <c r="B347" s="70"/>
    </row>
    <row r="348">
      <c r="B348" s="70"/>
    </row>
    <row r="349">
      <c r="B349" s="70"/>
    </row>
    <row r="350">
      <c r="B350" s="70"/>
    </row>
    <row r="351">
      <c r="B351" s="70"/>
    </row>
    <row r="352">
      <c r="B352" s="70"/>
    </row>
    <row r="353">
      <c r="B353" s="70"/>
    </row>
    <row r="354">
      <c r="B354" s="70"/>
    </row>
    <row r="355">
      <c r="B355" s="70"/>
    </row>
    <row r="356">
      <c r="B356" s="70"/>
    </row>
    <row r="357">
      <c r="B357" s="70"/>
    </row>
    <row r="358">
      <c r="B358" s="70"/>
    </row>
    <row r="359">
      <c r="B359" s="70"/>
    </row>
    <row r="360">
      <c r="B360" s="70"/>
    </row>
    <row r="361">
      <c r="B361" s="70"/>
    </row>
    <row r="362">
      <c r="B362" s="70"/>
    </row>
    <row r="363">
      <c r="B363" s="70"/>
    </row>
    <row r="364">
      <c r="B364" s="70"/>
    </row>
    <row r="365">
      <c r="B365" s="70"/>
    </row>
    <row r="366">
      <c r="B366" s="70"/>
    </row>
    <row r="367">
      <c r="B367" s="70"/>
    </row>
    <row r="368">
      <c r="B368" s="70"/>
    </row>
    <row r="369">
      <c r="B369" s="70"/>
    </row>
    <row r="370">
      <c r="B370" s="70"/>
    </row>
    <row r="371">
      <c r="B371" s="70"/>
    </row>
    <row r="372">
      <c r="B372" s="70"/>
    </row>
    <row r="373">
      <c r="B373" s="70"/>
    </row>
    <row r="374">
      <c r="B374" s="70"/>
    </row>
    <row r="375">
      <c r="B375" s="70"/>
    </row>
    <row r="376">
      <c r="B376" s="70"/>
    </row>
    <row r="377">
      <c r="B377" s="70"/>
    </row>
    <row r="378">
      <c r="B378" s="70"/>
    </row>
    <row r="379">
      <c r="B379" s="70"/>
    </row>
    <row r="380">
      <c r="B380" s="70"/>
    </row>
    <row r="381">
      <c r="B381" s="70"/>
    </row>
    <row r="382">
      <c r="B382" s="70"/>
    </row>
    <row r="383">
      <c r="B383" s="70"/>
    </row>
    <row r="384">
      <c r="B384" s="70"/>
    </row>
    <row r="385">
      <c r="B385" s="70"/>
    </row>
    <row r="386">
      <c r="B386" s="70"/>
    </row>
    <row r="387">
      <c r="B387" s="70"/>
    </row>
    <row r="388">
      <c r="B388" s="70"/>
    </row>
    <row r="389">
      <c r="B389" s="70"/>
    </row>
    <row r="390">
      <c r="B390" s="70"/>
    </row>
    <row r="391">
      <c r="B391" s="70"/>
    </row>
    <row r="392">
      <c r="B392" s="70"/>
    </row>
    <row r="393">
      <c r="B393" s="70"/>
    </row>
    <row r="394">
      <c r="B394" s="70"/>
    </row>
    <row r="395">
      <c r="B395" s="70"/>
    </row>
    <row r="396">
      <c r="B396" s="70"/>
    </row>
    <row r="397">
      <c r="B397" s="70"/>
    </row>
    <row r="398">
      <c r="B398" s="70"/>
    </row>
    <row r="399">
      <c r="B399" s="70"/>
    </row>
    <row r="400">
      <c r="B400" s="70"/>
    </row>
    <row r="401">
      <c r="B401" s="70"/>
    </row>
    <row r="402">
      <c r="B402" s="70"/>
    </row>
    <row r="403">
      <c r="B403" s="70"/>
    </row>
    <row r="404">
      <c r="B404" s="70"/>
    </row>
    <row r="405">
      <c r="B405" s="70"/>
    </row>
    <row r="406">
      <c r="B406" s="70"/>
    </row>
    <row r="407">
      <c r="B407" s="70"/>
    </row>
    <row r="408">
      <c r="B408" s="70"/>
    </row>
    <row r="409">
      <c r="B409" s="70"/>
    </row>
    <row r="410">
      <c r="B410" s="70"/>
    </row>
    <row r="411">
      <c r="B411" s="70"/>
    </row>
    <row r="412">
      <c r="B412" s="70"/>
    </row>
    <row r="413">
      <c r="B413" s="70"/>
    </row>
    <row r="414">
      <c r="B414" s="70"/>
    </row>
    <row r="415">
      <c r="B415" s="70"/>
    </row>
    <row r="416">
      <c r="B416" s="70"/>
    </row>
    <row r="417">
      <c r="B417" s="70"/>
    </row>
    <row r="418">
      <c r="B418" s="70"/>
    </row>
    <row r="419">
      <c r="B419" s="70"/>
    </row>
    <row r="420">
      <c r="B420" s="70"/>
    </row>
    <row r="421">
      <c r="B421" s="70"/>
    </row>
    <row r="422">
      <c r="B422" s="70"/>
    </row>
    <row r="423">
      <c r="B423" s="70"/>
    </row>
    <row r="424">
      <c r="B424" s="70"/>
    </row>
    <row r="425">
      <c r="B425" s="70"/>
    </row>
    <row r="426">
      <c r="B426" s="70"/>
    </row>
    <row r="427">
      <c r="B427" s="70"/>
    </row>
    <row r="428">
      <c r="B428" s="70"/>
    </row>
    <row r="429">
      <c r="B429" s="70"/>
    </row>
    <row r="430">
      <c r="B430" s="70"/>
    </row>
    <row r="431">
      <c r="B431" s="70"/>
    </row>
    <row r="432">
      <c r="B432" s="70"/>
    </row>
    <row r="433">
      <c r="B433" s="70"/>
    </row>
    <row r="434">
      <c r="B434" s="70"/>
    </row>
    <row r="435">
      <c r="B435" s="70"/>
    </row>
    <row r="436">
      <c r="B436" s="70"/>
    </row>
    <row r="437">
      <c r="B437" s="70"/>
    </row>
    <row r="438">
      <c r="B438" s="70"/>
    </row>
    <row r="439">
      <c r="B439" s="70"/>
    </row>
    <row r="440">
      <c r="B440" s="70"/>
    </row>
    <row r="441">
      <c r="B441" s="70"/>
    </row>
    <row r="442">
      <c r="B442" s="70"/>
    </row>
    <row r="443">
      <c r="B443" s="70"/>
    </row>
    <row r="444">
      <c r="B444" s="70"/>
    </row>
    <row r="445">
      <c r="B445" s="70"/>
    </row>
    <row r="446">
      <c r="B446" s="70"/>
    </row>
    <row r="447">
      <c r="B447" s="70"/>
    </row>
    <row r="448">
      <c r="B448" s="70"/>
    </row>
    <row r="449">
      <c r="B449" s="70"/>
    </row>
    <row r="450">
      <c r="B450" s="70"/>
    </row>
    <row r="451">
      <c r="B451" s="70"/>
    </row>
    <row r="452">
      <c r="B452" s="70"/>
    </row>
    <row r="453">
      <c r="B453" s="70"/>
    </row>
    <row r="454">
      <c r="B454" s="70"/>
    </row>
    <row r="455">
      <c r="B455" s="70"/>
    </row>
    <row r="456">
      <c r="B456" s="70"/>
    </row>
    <row r="457">
      <c r="B457" s="70"/>
    </row>
    <row r="458">
      <c r="B458" s="70"/>
    </row>
    <row r="459">
      <c r="B459" s="70"/>
    </row>
    <row r="460">
      <c r="B460" s="70"/>
    </row>
    <row r="461">
      <c r="B461" s="70"/>
    </row>
    <row r="462">
      <c r="B462" s="70"/>
    </row>
    <row r="463">
      <c r="B463" s="70"/>
    </row>
    <row r="464">
      <c r="B464" s="70"/>
    </row>
    <row r="465">
      <c r="B465" s="70"/>
    </row>
    <row r="466">
      <c r="B466" s="70"/>
    </row>
    <row r="467">
      <c r="B467" s="70"/>
    </row>
    <row r="468">
      <c r="B468" s="70"/>
    </row>
    <row r="469">
      <c r="B469" s="70"/>
    </row>
    <row r="470">
      <c r="B470" s="70"/>
    </row>
    <row r="471">
      <c r="B471" s="70"/>
    </row>
    <row r="472">
      <c r="B472" s="70"/>
    </row>
    <row r="473">
      <c r="B473" s="70"/>
    </row>
    <row r="474">
      <c r="B474" s="70"/>
    </row>
    <row r="475">
      <c r="B475" s="70"/>
    </row>
    <row r="476">
      <c r="B476" s="70"/>
    </row>
    <row r="477">
      <c r="B477" s="70"/>
    </row>
    <row r="478">
      <c r="B478" s="70"/>
    </row>
    <row r="479">
      <c r="B479" s="70"/>
    </row>
    <row r="480">
      <c r="B480" s="70"/>
    </row>
    <row r="481">
      <c r="B481" s="70"/>
    </row>
    <row r="482">
      <c r="B482" s="70"/>
    </row>
    <row r="483">
      <c r="B483" s="70"/>
    </row>
    <row r="484">
      <c r="B484" s="70"/>
    </row>
    <row r="485">
      <c r="B485" s="70"/>
    </row>
    <row r="486">
      <c r="B486" s="70"/>
    </row>
    <row r="487">
      <c r="B487" s="70"/>
    </row>
    <row r="488">
      <c r="B488" s="70"/>
    </row>
    <row r="489">
      <c r="B489" s="70"/>
    </row>
    <row r="490">
      <c r="B490" s="70"/>
    </row>
    <row r="491">
      <c r="B491" s="70"/>
    </row>
    <row r="492">
      <c r="B492" s="70"/>
    </row>
    <row r="493">
      <c r="B493" s="70"/>
    </row>
    <row r="494">
      <c r="B494" s="70"/>
    </row>
    <row r="495">
      <c r="B495" s="70"/>
    </row>
    <row r="496">
      <c r="B496" s="70"/>
    </row>
    <row r="497">
      <c r="B497" s="70"/>
    </row>
    <row r="498">
      <c r="B498" s="70"/>
    </row>
    <row r="499">
      <c r="B499" s="70"/>
    </row>
    <row r="500">
      <c r="B500" s="70"/>
    </row>
    <row r="501">
      <c r="B501" s="70"/>
    </row>
    <row r="502">
      <c r="B502" s="70"/>
    </row>
    <row r="503">
      <c r="B503" s="70"/>
    </row>
    <row r="504">
      <c r="B504" s="70"/>
    </row>
    <row r="505">
      <c r="B505" s="70"/>
    </row>
    <row r="506">
      <c r="B506" s="70"/>
    </row>
    <row r="507">
      <c r="B507" s="70"/>
    </row>
    <row r="508">
      <c r="B508" s="70"/>
    </row>
    <row r="509">
      <c r="B509" s="70"/>
    </row>
    <row r="510">
      <c r="B510" s="70"/>
    </row>
    <row r="511">
      <c r="B511" s="70"/>
    </row>
    <row r="512">
      <c r="B512" s="70"/>
    </row>
    <row r="513">
      <c r="B513" s="70"/>
    </row>
    <row r="514">
      <c r="B514" s="70"/>
    </row>
    <row r="515">
      <c r="B515" s="70"/>
    </row>
    <row r="516">
      <c r="B516" s="70"/>
    </row>
    <row r="517">
      <c r="B517" s="70"/>
    </row>
    <row r="518">
      <c r="B518" s="70"/>
    </row>
    <row r="519">
      <c r="B519" s="70"/>
    </row>
    <row r="520">
      <c r="B520" s="70"/>
    </row>
    <row r="521">
      <c r="B521" s="70"/>
    </row>
    <row r="522">
      <c r="B522" s="70"/>
    </row>
    <row r="523">
      <c r="B523" s="70"/>
    </row>
    <row r="524">
      <c r="B524" s="70"/>
    </row>
    <row r="525">
      <c r="B525" s="70"/>
    </row>
    <row r="526">
      <c r="B526" s="70"/>
    </row>
    <row r="527">
      <c r="B527" s="70"/>
    </row>
    <row r="528">
      <c r="B528" s="70"/>
    </row>
    <row r="529">
      <c r="B529" s="70"/>
    </row>
    <row r="530">
      <c r="B530" s="70"/>
    </row>
    <row r="531">
      <c r="B531" s="70"/>
    </row>
    <row r="532">
      <c r="B532" s="70"/>
    </row>
    <row r="533">
      <c r="B533" s="70"/>
    </row>
    <row r="534">
      <c r="B534" s="70"/>
    </row>
    <row r="535">
      <c r="B535" s="70"/>
    </row>
    <row r="536">
      <c r="B536" s="70"/>
    </row>
    <row r="537">
      <c r="B537" s="70"/>
    </row>
    <row r="538">
      <c r="B538" s="70"/>
    </row>
    <row r="539">
      <c r="B539" s="70"/>
    </row>
    <row r="540">
      <c r="B540" s="70"/>
    </row>
    <row r="541">
      <c r="B541" s="70"/>
    </row>
    <row r="542">
      <c r="B542" s="70"/>
    </row>
    <row r="543">
      <c r="B543" s="70"/>
    </row>
    <row r="544">
      <c r="B544" s="70"/>
    </row>
    <row r="545">
      <c r="B545" s="70"/>
    </row>
    <row r="546">
      <c r="B546" s="70"/>
    </row>
    <row r="547">
      <c r="B547" s="70"/>
    </row>
    <row r="548">
      <c r="B548" s="70"/>
    </row>
    <row r="549">
      <c r="B549" s="70"/>
    </row>
    <row r="550">
      <c r="B550" s="70"/>
    </row>
    <row r="551">
      <c r="B551" s="70"/>
    </row>
    <row r="552">
      <c r="B552" s="70"/>
    </row>
    <row r="553">
      <c r="B553" s="70"/>
    </row>
    <row r="554">
      <c r="B554" s="70"/>
    </row>
    <row r="555">
      <c r="B555" s="70"/>
    </row>
    <row r="556">
      <c r="B556" s="70"/>
    </row>
    <row r="557">
      <c r="B557" s="70"/>
    </row>
    <row r="558">
      <c r="B558" s="70"/>
    </row>
    <row r="559">
      <c r="B559" s="70"/>
    </row>
    <row r="560">
      <c r="B560" s="70"/>
    </row>
    <row r="561">
      <c r="B561" s="70"/>
    </row>
    <row r="562">
      <c r="B562" s="70"/>
    </row>
    <row r="563">
      <c r="B563" s="70"/>
    </row>
    <row r="564">
      <c r="B564" s="70"/>
    </row>
    <row r="565">
      <c r="B565" s="70"/>
    </row>
    <row r="566">
      <c r="B566" s="70"/>
    </row>
    <row r="567">
      <c r="B567" s="70"/>
    </row>
    <row r="568">
      <c r="B568" s="70"/>
    </row>
    <row r="569">
      <c r="B569" s="70"/>
    </row>
    <row r="570">
      <c r="B570" s="70"/>
    </row>
    <row r="571">
      <c r="B571" s="70"/>
    </row>
    <row r="572">
      <c r="B572" s="70"/>
    </row>
    <row r="573">
      <c r="B573" s="70"/>
    </row>
    <row r="574">
      <c r="B574" s="70"/>
    </row>
    <row r="575">
      <c r="B575" s="70"/>
    </row>
    <row r="576">
      <c r="B576" s="70"/>
    </row>
    <row r="577">
      <c r="B577" s="70"/>
    </row>
    <row r="578">
      <c r="B578" s="70"/>
    </row>
    <row r="579">
      <c r="B579" s="70"/>
    </row>
    <row r="580">
      <c r="B580" s="70"/>
    </row>
    <row r="581">
      <c r="B581" s="70"/>
    </row>
    <row r="582">
      <c r="B582" s="70"/>
    </row>
    <row r="583">
      <c r="B583" s="70"/>
    </row>
    <row r="584">
      <c r="B584" s="70"/>
    </row>
    <row r="585">
      <c r="B585" s="70"/>
    </row>
    <row r="586">
      <c r="B586" s="70"/>
    </row>
    <row r="587">
      <c r="B587" s="70"/>
    </row>
    <row r="588">
      <c r="B588" s="70"/>
    </row>
    <row r="589">
      <c r="B589" s="70"/>
    </row>
    <row r="590">
      <c r="B590" s="70"/>
    </row>
    <row r="591">
      <c r="B591" s="70"/>
    </row>
    <row r="592">
      <c r="B592" s="70"/>
    </row>
    <row r="593">
      <c r="B593" s="70"/>
    </row>
    <row r="594">
      <c r="B594" s="70"/>
    </row>
    <row r="595">
      <c r="B595" s="70"/>
    </row>
    <row r="596">
      <c r="B596" s="70"/>
    </row>
    <row r="597">
      <c r="B597" s="70"/>
    </row>
    <row r="598">
      <c r="B598" s="70"/>
    </row>
    <row r="599">
      <c r="B599" s="70"/>
    </row>
    <row r="600">
      <c r="B600" s="70"/>
    </row>
    <row r="601">
      <c r="B601" s="70"/>
    </row>
    <row r="602">
      <c r="B602" s="70"/>
    </row>
    <row r="603">
      <c r="B603" s="70"/>
    </row>
    <row r="604">
      <c r="B604" s="70"/>
    </row>
    <row r="605">
      <c r="B605" s="70"/>
    </row>
    <row r="606">
      <c r="B606" s="70"/>
    </row>
    <row r="607">
      <c r="B607" s="70"/>
    </row>
    <row r="608">
      <c r="B608" s="70"/>
    </row>
    <row r="609">
      <c r="B609" s="70"/>
    </row>
    <row r="610">
      <c r="B610" s="70"/>
    </row>
    <row r="611">
      <c r="B611" s="70"/>
    </row>
    <row r="612">
      <c r="B612" s="70"/>
    </row>
    <row r="613">
      <c r="B613" s="70"/>
    </row>
    <row r="614">
      <c r="B614" s="70"/>
    </row>
    <row r="615">
      <c r="B615" s="70"/>
    </row>
    <row r="616">
      <c r="B616" s="70"/>
    </row>
    <row r="617">
      <c r="B617" s="70"/>
    </row>
    <row r="618">
      <c r="B618" s="70"/>
    </row>
    <row r="619">
      <c r="B619" s="70"/>
    </row>
    <row r="620">
      <c r="B620" s="70"/>
    </row>
    <row r="621">
      <c r="B621" s="70"/>
    </row>
    <row r="622">
      <c r="B622" s="70"/>
    </row>
    <row r="623">
      <c r="B623" s="70"/>
    </row>
    <row r="624">
      <c r="B624" s="70"/>
    </row>
    <row r="625">
      <c r="B625" s="70"/>
    </row>
    <row r="626">
      <c r="B626" s="70"/>
    </row>
    <row r="627">
      <c r="B627" s="70"/>
    </row>
    <row r="628">
      <c r="B628" s="70"/>
    </row>
    <row r="629">
      <c r="B629" s="70"/>
    </row>
    <row r="630">
      <c r="B630" s="70"/>
    </row>
    <row r="631">
      <c r="B631" s="70"/>
    </row>
    <row r="632">
      <c r="B632" s="70"/>
    </row>
    <row r="633">
      <c r="B633" s="70"/>
    </row>
    <row r="634">
      <c r="B634" s="70"/>
    </row>
    <row r="635">
      <c r="B635" s="70"/>
    </row>
    <row r="636">
      <c r="B636" s="70"/>
    </row>
    <row r="637">
      <c r="B637" s="70"/>
    </row>
    <row r="638">
      <c r="B638" s="70"/>
    </row>
    <row r="639">
      <c r="B639" s="70"/>
    </row>
    <row r="640">
      <c r="B640" s="70"/>
    </row>
    <row r="641">
      <c r="B641" s="70"/>
    </row>
    <row r="642">
      <c r="B642" s="70"/>
    </row>
    <row r="643">
      <c r="B643" s="70"/>
    </row>
    <row r="644">
      <c r="B644" s="70"/>
    </row>
    <row r="645">
      <c r="B645" s="70"/>
    </row>
    <row r="646">
      <c r="B646" s="70"/>
    </row>
    <row r="647">
      <c r="B647" s="70"/>
    </row>
    <row r="648">
      <c r="B648" s="70"/>
    </row>
    <row r="649">
      <c r="B649" s="70"/>
    </row>
    <row r="650">
      <c r="B650" s="70"/>
    </row>
    <row r="651">
      <c r="B651" s="70"/>
    </row>
    <row r="652">
      <c r="B652" s="70"/>
    </row>
    <row r="653">
      <c r="B653" s="70"/>
    </row>
    <row r="654">
      <c r="B654" s="70"/>
    </row>
    <row r="655">
      <c r="B655" s="70"/>
    </row>
    <row r="656">
      <c r="B656" s="70"/>
    </row>
    <row r="657">
      <c r="B657" s="70"/>
    </row>
    <row r="658">
      <c r="B658" s="70"/>
    </row>
    <row r="659">
      <c r="B659" s="70"/>
    </row>
    <row r="660">
      <c r="B660" s="70"/>
    </row>
    <row r="661">
      <c r="B661" s="70"/>
    </row>
    <row r="662">
      <c r="B662" s="70"/>
    </row>
    <row r="663">
      <c r="B663" s="70"/>
    </row>
    <row r="664">
      <c r="B664" s="70"/>
    </row>
    <row r="665">
      <c r="B665" s="70"/>
    </row>
    <row r="666">
      <c r="B666" s="70"/>
    </row>
    <row r="667">
      <c r="B667" s="70"/>
    </row>
    <row r="668">
      <c r="B668" s="70"/>
    </row>
    <row r="669">
      <c r="B669" s="70"/>
    </row>
    <row r="670">
      <c r="B670" s="70"/>
    </row>
    <row r="671">
      <c r="B671" s="70"/>
    </row>
    <row r="672">
      <c r="B672" s="70"/>
    </row>
    <row r="673">
      <c r="B673" s="70"/>
    </row>
    <row r="674">
      <c r="B674" s="70"/>
    </row>
    <row r="675">
      <c r="B675" s="70"/>
    </row>
    <row r="676">
      <c r="B676" s="70"/>
    </row>
    <row r="677">
      <c r="B677" s="70"/>
    </row>
    <row r="678">
      <c r="B678" s="70"/>
    </row>
    <row r="679">
      <c r="B679" s="70"/>
    </row>
    <row r="680">
      <c r="B680" s="70"/>
    </row>
    <row r="681">
      <c r="B681" s="70"/>
    </row>
    <row r="682">
      <c r="B682" s="70"/>
    </row>
    <row r="683">
      <c r="B683" s="70"/>
    </row>
    <row r="684">
      <c r="B684" s="70"/>
    </row>
    <row r="685">
      <c r="B685" s="70"/>
    </row>
    <row r="686">
      <c r="B686" s="70"/>
    </row>
    <row r="687">
      <c r="B687" s="70"/>
    </row>
    <row r="688">
      <c r="B688" s="70"/>
    </row>
    <row r="689">
      <c r="B689" s="70"/>
    </row>
    <row r="690">
      <c r="B690" s="70"/>
    </row>
    <row r="691">
      <c r="B691" s="70"/>
    </row>
    <row r="692">
      <c r="B692" s="70"/>
    </row>
    <row r="693">
      <c r="B693" s="70"/>
    </row>
    <row r="694">
      <c r="B694" s="70"/>
    </row>
    <row r="695">
      <c r="B695" s="70"/>
    </row>
    <row r="696">
      <c r="B696" s="70"/>
    </row>
    <row r="697">
      <c r="B697" s="70"/>
    </row>
    <row r="698">
      <c r="B698" s="70"/>
    </row>
    <row r="699">
      <c r="B699" s="70"/>
    </row>
    <row r="700">
      <c r="B700" s="70"/>
    </row>
    <row r="701">
      <c r="B701" s="70"/>
    </row>
    <row r="702">
      <c r="B702" s="70"/>
    </row>
    <row r="703">
      <c r="B703" s="70"/>
    </row>
    <row r="704">
      <c r="B704" s="70"/>
    </row>
    <row r="705">
      <c r="B705" s="70"/>
    </row>
    <row r="706">
      <c r="B706" s="70"/>
    </row>
    <row r="707">
      <c r="B707" s="70"/>
    </row>
    <row r="708">
      <c r="B708" s="70"/>
    </row>
    <row r="709">
      <c r="B709" s="70"/>
    </row>
    <row r="710">
      <c r="B710" s="70"/>
    </row>
    <row r="711">
      <c r="B711" s="70"/>
    </row>
    <row r="712">
      <c r="B712" s="70"/>
    </row>
    <row r="713">
      <c r="B713" s="70"/>
    </row>
    <row r="714">
      <c r="B714" s="70"/>
    </row>
    <row r="715">
      <c r="B715" s="70"/>
    </row>
    <row r="716">
      <c r="B716" s="70"/>
    </row>
    <row r="717">
      <c r="B717" s="70"/>
    </row>
    <row r="718">
      <c r="B718" s="70"/>
    </row>
    <row r="719">
      <c r="B719" s="70"/>
    </row>
    <row r="720">
      <c r="B720" s="70"/>
    </row>
    <row r="721">
      <c r="B721" s="70"/>
    </row>
    <row r="722">
      <c r="B722" s="70"/>
    </row>
    <row r="723">
      <c r="B723" s="70"/>
    </row>
    <row r="724">
      <c r="B724" s="70"/>
    </row>
    <row r="725">
      <c r="B725" s="70"/>
    </row>
    <row r="726">
      <c r="B726" s="70"/>
    </row>
    <row r="727">
      <c r="B727" s="70"/>
    </row>
    <row r="728">
      <c r="B728" s="70"/>
    </row>
    <row r="729">
      <c r="B729" s="70"/>
    </row>
    <row r="730">
      <c r="B730" s="70"/>
    </row>
    <row r="731">
      <c r="B731" s="70"/>
    </row>
    <row r="732">
      <c r="B732" s="70"/>
    </row>
    <row r="733">
      <c r="B733" s="70"/>
    </row>
    <row r="734">
      <c r="B734" s="70"/>
    </row>
    <row r="735">
      <c r="B735" s="70"/>
    </row>
    <row r="736">
      <c r="B736" s="70"/>
    </row>
    <row r="737">
      <c r="B737" s="70"/>
    </row>
    <row r="738">
      <c r="B738" s="70"/>
    </row>
    <row r="739">
      <c r="B739" s="70"/>
    </row>
    <row r="740">
      <c r="B740" s="70"/>
    </row>
    <row r="741">
      <c r="B741" s="70"/>
    </row>
    <row r="742">
      <c r="B742" s="70"/>
    </row>
    <row r="743">
      <c r="B743" s="70"/>
    </row>
    <row r="744">
      <c r="B744" s="70"/>
    </row>
    <row r="745">
      <c r="B745" s="70"/>
    </row>
    <row r="746">
      <c r="B746" s="70"/>
    </row>
    <row r="747">
      <c r="B747" s="70"/>
    </row>
    <row r="748">
      <c r="B748" s="70"/>
    </row>
    <row r="749">
      <c r="B749" s="70"/>
    </row>
    <row r="750">
      <c r="B750" s="70"/>
    </row>
    <row r="751">
      <c r="B751" s="70"/>
    </row>
    <row r="752">
      <c r="B752" s="70"/>
    </row>
    <row r="753">
      <c r="B753" s="70"/>
    </row>
    <row r="754">
      <c r="B754" s="70"/>
    </row>
    <row r="755">
      <c r="B755" s="70"/>
    </row>
    <row r="756">
      <c r="B756" s="70"/>
    </row>
    <row r="757">
      <c r="B757" s="70"/>
    </row>
    <row r="758">
      <c r="B758" s="70"/>
    </row>
    <row r="759">
      <c r="B759" s="70"/>
    </row>
    <row r="760">
      <c r="B760" s="70"/>
    </row>
    <row r="761">
      <c r="B761" s="70"/>
    </row>
    <row r="762">
      <c r="B762" s="70"/>
    </row>
    <row r="763">
      <c r="B763" s="70"/>
    </row>
    <row r="764">
      <c r="B764" s="70"/>
    </row>
    <row r="765">
      <c r="B765" s="70"/>
    </row>
    <row r="766">
      <c r="B766" s="70"/>
    </row>
    <row r="767">
      <c r="B767" s="70"/>
    </row>
    <row r="768">
      <c r="B768" s="70"/>
    </row>
    <row r="769">
      <c r="B769" s="70"/>
    </row>
    <row r="770">
      <c r="B770" s="70"/>
    </row>
    <row r="771">
      <c r="B771" s="70"/>
    </row>
    <row r="772">
      <c r="B772" s="70"/>
    </row>
    <row r="773">
      <c r="B773" s="70"/>
    </row>
    <row r="774">
      <c r="B774" s="70"/>
    </row>
    <row r="775">
      <c r="B775" s="70"/>
    </row>
    <row r="776">
      <c r="B776" s="70"/>
    </row>
    <row r="777">
      <c r="B777" s="70"/>
    </row>
    <row r="778">
      <c r="B778" s="70"/>
    </row>
    <row r="779">
      <c r="B779" s="70"/>
    </row>
    <row r="780">
      <c r="B780" s="70"/>
    </row>
    <row r="781">
      <c r="B781" s="70"/>
    </row>
    <row r="782">
      <c r="B782" s="70"/>
    </row>
    <row r="783">
      <c r="B783" s="70"/>
    </row>
    <row r="784">
      <c r="B784" s="70"/>
    </row>
    <row r="785">
      <c r="B785" s="70"/>
    </row>
    <row r="786">
      <c r="B786" s="70"/>
    </row>
    <row r="787">
      <c r="B787" s="70"/>
    </row>
    <row r="788">
      <c r="B788" s="70"/>
    </row>
    <row r="789">
      <c r="B789" s="70"/>
    </row>
    <row r="790">
      <c r="B790" s="70"/>
    </row>
    <row r="791">
      <c r="B791" s="70"/>
    </row>
    <row r="792">
      <c r="B792" s="70"/>
    </row>
    <row r="793">
      <c r="B793" s="70"/>
    </row>
    <row r="794">
      <c r="B794" s="70"/>
    </row>
    <row r="795">
      <c r="B795" s="70"/>
    </row>
    <row r="796">
      <c r="B796" s="70"/>
    </row>
    <row r="797">
      <c r="B797" s="70"/>
    </row>
    <row r="798">
      <c r="B798" s="70"/>
    </row>
    <row r="799">
      <c r="B799" s="70"/>
    </row>
    <row r="800">
      <c r="B800" s="70"/>
    </row>
    <row r="801">
      <c r="B801" s="70"/>
    </row>
    <row r="802">
      <c r="B802" s="70"/>
    </row>
    <row r="803">
      <c r="B803" s="70"/>
    </row>
    <row r="804">
      <c r="B804" s="70"/>
    </row>
    <row r="805">
      <c r="B805" s="70"/>
    </row>
    <row r="806">
      <c r="B806" s="70"/>
    </row>
    <row r="807">
      <c r="B807" s="70"/>
    </row>
    <row r="808">
      <c r="B808" s="70"/>
    </row>
    <row r="809">
      <c r="B809" s="70"/>
    </row>
    <row r="810">
      <c r="B810" s="70"/>
    </row>
    <row r="811">
      <c r="B811" s="70"/>
    </row>
    <row r="812">
      <c r="B812" s="70"/>
    </row>
    <row r="813">
      <c r="B813" s="70"/>
    </row>
    <row r="814">
      <c r="B814" s="70"/>
    </row>
    <row r="815">
      <c r="B815" s="70"/>
    </row>
    <row r="816">
      <c r="B816" s="70"/>
    </row>
    <row r="817">
      <c r="B817" s="70"/>
    </row>
    <row r="818">
      <c r="B818" s="70"/>
    </row>
    <row r="819">
      <c r="B819" s="70"/>
    </row>
    <row r="820">
      <c r="B820" s="70"/>
    </row>
    <row r="821">
      <c r="B821" s="70"/>
    </row>
    <row r="822">
      <c r="B822" s="70"/>
    </row>
    <row r="823">
      <c r="B823" s="70"/>
    </row>
    <row r="824">
      <c r="B824" s="70"/>
    </row>
    <row r="825">
      <c r="B825" s="70"/>
    </row>
    <row r="826">
      <c r="B826" s="70"/>
    </row>
    <row r="827">
      <c r="B827" s="70"/>
    </row>
    <row r="828">
      <c r="B828" s="70"/>
    </row>
    <row r="829">
      <c r="B829" s="70"/>
    </row>
    <row r="830">
      <c r="B830" s="70"/>
    </row>
    <row r="831">
      <c r="B831" s="70"/>
    </row>
    <row r="832">
      <c r="B832" s="70"/>
    </row>
    <row r="833">
      <c r="B833" s="70"/>
    </row>
    <row r="834">
      <c r="B834" s="70"/>
    </row>
    <row r="835">
      <c r="B835" s="70"/>
    </row>
    <row r="836">
      <c r="B836" s="70"/>
    </row>
    <row r="837">
      <c r="B837" s="70"/>
    </row>
    <row r="838">
      <c r="B838" s="70"/>
    </row>
    <row r="839">
      <c r="B839" s="70"/>
    </row>
    <row r="840">
      <c r="B840" s="70"/>
    </row>
    <row r="841">
      <c r="B841" s="70"/>
    </row>
    <row r="842">
      <c r="B842" s="70"/>
    </row>
    <row r="843">
      <c r="B843" s="70"/>
    </row>
    <row r="844">
      <c r="B844" s="70"/>
    </row>
    <row r="845">
      <c r="B845" s="70"/>
    </row>
    <row r="846">
      <c r="B846" s="70"/>
    </row>
    <row r="847">
      <c r="B847" s="70"/>
    </row>
    <row r="848">
      <c r="B848" s="70"/>
    </row>
    <row r="849">
      <c r="B849" s="70"/>
    </row>
    <row r="850">
      <c r="B850" s="70"/>
    </row>
    <row r="851">
      <c r="B851" s="70"/>
    </row>
    <row r="852">
      <c r="B852" s="70"/>
    </row>
    <row r="853">
      <c r="B853" s="70"/>
    </row>
    <row r="854">
      <c r="B854" s="70"/>
    </row>
    <row r="855">
      <c r="B855" s="70"/>
    </row>
    <row r="856">
      <c r="B856" s="70"/>
    </row>
    <row r="857">
      <c r="B857" s="70"/>
    </row>
    <row r="858">
      <c r="B858" s="70"/>
    </row>
    <row r="859">
      <c r="B859" s="70"/>
    </row>
    <row r="860">
      <c r="B860" s="70"/>
    </row>
    <row r="861">
      <c r="B861" s="70"/>
    </row>
    <row r="862">
      <c r="B862" s="70"/>
    </row>
    <row r="863">
      <c r="B863" s="70"/>
    </row>
    <row r="864">
      <c r="B864" s="70"/>
    </row>
    <row r="865">
      <c r="B865" s="70"/>
    </row>
    <row r="866">
      <c r="B866" s="70"/>
    </row>
    <row r="867">
      <c r="B867" s="70"/>
    </row>
    <row r="868">
      <c r="B868" s="70"/>
    </row>
    <row r="869">
      <c r="B869" s="70"/>
    </row>
    <row r="870">
      <c r="B870" s="70"/>
    </row>
    <row r="871">
      <c r="B871" s="70"/>
    </row>
    <row r="872">
      <c r="B872" s="70"/>
    </row>
    <row r="873">
      <c r="B873" s="70"/>
    </row>
    <row r="874">
      <c r="B874" s="70"/>
    </row>
    <row r="875">
      <c r="B875" s="70"/>
    </row>
    <row r="876">
      <c r="B876" s="70"/>
    </row>
    <row r="877">
      <c r="B877" s="70"/>
    </row>
    <row r="878">
      <c r="B878" s="70"/>
    </row>
    <row r="879">
      <c r="B879" s="70"/>
    </row>
    <row r="880">
      <c r="B880" s="70"/>
    </row>
    <row r="881">
      <c r="B881" s="70"/>
    </row>
    <row r="882">
      <c r="B882" s="70"/>
    </row>
    <row r="883">
      <c r="B883" s="70"/>
    </row>
    <row r="884">
      <c r="B884" s="70"/>
    </row>
    <row r="885">
      <c r="B885" s="70"/>
    </row>
    <row r="886">
      <c r="B886" s="70"/>
    </row>
    <row r="887">
      <c r="B887" s="70"/>
    </row>
    <row r="888">
      <c r="B888" s="70"/>
    </row>
    <row r="889">
      <c r="B889" s="70"/>
    </row>
    <row r="890">
      <c r="B890" s="70"/>
    </row>
    <row r="891">
      <c r="B891" s="70"/>
    </row>
    <row r="892">
      <c r="B892" s="70"/>
    </row>
    <row r="893">
      <c r="B893" s="70"/>
    </row>
    <row r="894">
      <c r="B894" s="70"/>
    </row>
    <row r="895">
      <c r="B895" s="70"/>
    </row>
    <row r="896">
      <c r="B896" s="70"/>
    </row>
    <row r="897">
      <c r="B897" s="70"/>
    </row>
    <row r="898">
      <c r="B898" s="70"/>
    </row>
    <row r="899">
      <c r="B899" s="70"/>
    </row>
    <row r="900">
      <c r="B900" s="70"/>
    </row>
    <row r="901">
      <c r="B901" s="70"/>
    </row>
    <row r="902">
      <c r="B902" s="70"/>
    </row>
    <row r="903">
      <c r="B903" s="70"/>
    </row>
    <row r="904">
      <c r="B904" s="70"/>
    </row>
    <row r="905">
      <c r="B905" s="70"/>
    </row>
    <row r="906">
      <c r="B906" s="70"/>
    </row>
    <row r="907">
      <c r="B907" s="70"/>
    </row>
    <row r="908">
      <c r="B908" s="70"/>
    </row>
    <row r="909">
      <c r="B909" s="70"/>
    </row>
    <row r="910">
      <c r="B910" s="70"/>
    </row>
    <row r="911">
      <c r="B911" s="70"/>
    </row>
    <row r="912">
      <c r="B912" s="70"/>
    </row>
    <row r="913">
      <c r="B913" s="70"/>
    </row>
    <row r="914">
      <c r="B914" s="70"/>
    </row>
    <row r="915">
      <c r="B915" s="70"/>
    </row>
    <row r="916">
      <c r="B916" s="70"/>
    </row>
    <row r="917">
      <c r="B917" s="70"/>
    </row>
    <row r="918">
      <c r="B918" s="70"/>
    </row>
    <row r="919">
      <c r="B919" s="70"/>
    </row>
    <row r="920">
      <c r="B920" s="70"/>
    </row>
    <row r="921">
      <c r="B921" s="70"/>
    </row>
    <row r="922">
      <c r="B922" s="70"/>
    </row>
    <row r="923">
      <c r="B923" s="70"/>
    </row>
    <row r="924">
      <c r="B924" s="70"/>
    </row>
    <row r="925">
      <c r="B925" s="70"/>
    </row>
    <row r="926">
      <c r="B926" s="70"/>
    </row>
    <row r="927">
      <c r="B927" s="70"/>
    </row>
    <row r="928">
      <c r="B928" s="70"/>
    </row>
    <row r="929">
      <c r="B929" s="70"/>
    </row>
    <row r="930">
      <c r="B930" s="70"/>
    </row>
    <row r="931">
      <c r="B931" s="70"/>
    </row>
    <row r="932">
      <c r="B932" s="70"/>
    </row>
    <row r="933">
      <c r="B933" s="70"/>
    </row>
    <row r="934">
      <c r="B934" s="70"/>
    </row>
    <row r="935">
      <c r="B935" s="70"/>
    </row>
    <row r="936">
      <c r="B936" s="70"/>
    </row>
    <row r="937">
      <c r="B937" s="70"/>
    </row>
    <row r="938">
      <c r="B938" s="70"/>
    </row>
    <row r="939">
      <c r="B939" s="70"/>
    </row>
    <row r="940">
      <c r="B940" s="70"/>
    </row>
    <row r="941">
      <c r="B941" s="70"/>
    </row>
    <row r="942">
      <c r="B942" s="70"/>
    </row>
    <row r="943">
      <c r="B943" s="70"/>
    </row>
    <row r="944">
      <c r="B944" s="70"/>
    </row>
    <row r="945">
      <c r="B945" s="70"/>
    </row>
    <row r="946">
      <c r="B946" s="70"/>
    </row>
    <row r="947">
      <c r="B947" s="70"/>
    </row>
    <row r="948">
      <c r="B948" s="70"/>
    </row>
    <row r="949">
      <c r="B949" s="70"/>
    </row>
    <row r="950">
      <c r="B950" s="70"/>
    </row>
    <row r="951">
      <c r="B951" s="70"/>
    </row>
    <row r="952">
      <c r="B952" s="70"/>
    </row>
    <row r="953">
      <c r="B953" s="70"/>
    </row>
    <row r="954">
      <c r="B954" s="70"/>
    </row>
    <row r="955">
      <c r="B955" s="70"/>
    </row>
    <row r="956">
      <c r="B956" s="70"/>
    </row>
    <row r="957">
      <c r="B957" s="70"/>
    </row>
    <row r="958">
      <c r="B958" s="70"/>
    </row>
    <row r="959">
      <c r="B959" s="70"/>
    </row>
    <row r="960">
      <c r="B960" s="70"/>
    </row>
    <row r="961">
      <c r="B961" s="70"/>
    </row>
    <row r="962">
      <c r="B962" s="70"/>
    </row>
    <row r="963">
      <c r="B963" s="70"/>
    </row>
    <row r="964">
      <c r="B964" s="70"/>
    </row>
    <row r="965">
      <c r="B965" s="70"/>
    </row>
    <row r="966">
      <c r="B966" s="70"/>
    </row>
    <row r="967">
      <c r="B967" s="70"/>
    </row>
    <row r="968">
      <c r="B968" s="70"/>
    </row>
    <row r="969">
      <c r="B969" s="70"/>
    </row>
    <row r="970">
      <c r="B970" s="70"/>
    </row>
    <row r="971">
      <c r="B971" s="70"/>
    </row>
    <row r="972">
      <c r="B972" s="70"/>
    </row>
    <row r="973">
      <c r="B973" s="70"/>
    </row>
    <row r="974">
      <c r="B974" s="70"/>
    </row>
    <row r="975">
      <c r="B975" s="70"/>
    </row>
    <row r="976">
      <c r="B976" s="70"/>
    </row>
    <row r="977">
      <c r="B977" s="70"/>
    </row>
    <row r="978">
      <c r="B978" s="70"/>
    </row>
    <row r="979">
      <c r="B979" s="70"/>
    </row>
    <row r="980">
      <c r="B980" s="70"/>
    </row>
    <row r="981">
      <c r="B981" s="70"/>
    </row>
    <row r="982">
      <c r="B982" s="70"/>
    </row>
    <row r="983">
      <c r="B983" s="70"/>
    </row>
    <row r="984">
      <c r="B984" s="70"/>
    </row>
    <row r="985">
      <c r="B985" s="70"/>
    </row>
    <row r="986">
      <c r="B986" s="70"/>
    </row>
    <row r="987">
      <c r="B987" s="70"/>
    </row>
    <row r="988">
      <c r="B988" s="70"/>
    </row>
    <row r="989">
      <c r="B989" s="70"/>
    </row>
    <row r="990">
      <c r="B990" s="70"/>
    </row>
    <row r="991">
      <c r="B991" s="70"/>
    </row>
    <row r="992">
      <c r="B992" s="70"/>
    </row>
    <row r="993">
      <c r="B993" s="70"/>
    </row>
    <row r="994">
      <c r="B994" s="70"/>
    </row>
    <row r="995">
      <c r="B995" s="70"/>
    </row>
    <row r="996">
      <c r="B996" s="70"/>
    </row>
    <row r="997">
      <c r="B997" s="70"/>
    </row>
    <row r="998">
      <c r="B998" s="70"/>
    </row>
    <row r="999">
      <c r="B999" s="70"/>
    </row>
    <row r="1000">
      <c r="B1000" s="70"/>
    </row>
    <row r="1001">
      <c r="B1001" s="70"/>
    </row>
    <row r="1002">
      <c r="B1002" s="70"/>
    </row>
    <row r="1003">
      <c r="B1003" s="70"/>
    </row>
  </sheetData>
  <hyperlinks>
    <hyperlink r:id="rId1" ref="C3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3" max="3" width="34.38"/>
  </cols>
  <sheetData>
    <row r="1">
      <c r="A1" s="77" t="s">
        <v>1748</v>
      </c>
      <c r="B1" s="77" t="s">
        <v>1749</v>
      </c>
      <c r="C1" s="87" t="s">
        <v>1750</v>
      </c>
    </row>
    <row r="2">
      <c r="A2" s="11" t="s">
        <v>44</v>
      </c>
      <c r="B2" s="11" t="s">
        <v>1751</v>
      </c>
      <c r="C2" s="15" t="str">
        <f t="shared" ref="C2:C298" si="1">if(CONCATENATE(A2,"-",B2)="","",CONCATENATE(A2," - ",B2))</f>
        <v>BANCO DO BRASIL - 65204-0</v>
      </c>
    </row>
    <row r="3">
      <c r="A3" s="11" t="s">
        <v>1752</v>
      </c>
      <c r="B3" s="11" t="s">
        <v>1753</v>
      </c>
      <c r="C3" s="15" t="str">
        <f t="shared" si="1"/>
        <v>MERCADO PAGO SINCE - 9511092439-1</v>
      </c>
    </row>
    <row r="4">
      <c r="A4" s="11" t="s">
        <v>1754</v>
      </c>
      <c r="C4" s="15" t="str">
        <f t="shared" si="1"/>
        <v>MERCADO PAGO FARMEL - </v>
      </c>
    </row>
    <row r="5">
      <c r="C5" s="15" t="str">
        <f t="shared" si="1"/>
        <v> - </v>
      </c>
    </row>
    <row r="6">
      <c r="C6" s="15" t="str">
        <f t="shared" si="1"/>
        <v> - </v>
      </c>
    </row>
    <row r="7">
      <c r="C7" s="15" t="str">
        <f t="shared" si="1"/>
        <v> - </v>
      </c>
    </row>
    <row r="8">
      <c r="C8" s="15" t="str">
        <f t="shared" si="1"/>
        <v> - </v>
      </c>
    </row>
    <row r="9">
      <c r="C9" s="15" t="str">
        <f t="shared" si="1"/>
        <v> - </v>
      </c>
    </row>
    <row r="10">
      <c r="C10" s="15" t="str">
        <f t="shared" si="1"/>
        <v> - </v>
      </c>
    </row>
    <row r="11">
      <c r="C11" s="15" t="str">
        <f t="shared" si="1"/>
        <v> - </v>
      </c>
    </row>
    <row r="12">
      <c r="C12" s="15" t="str">
        <f t="shared" si="1"/>
        <v> - </v>
      </c>
    </row>
    <row r="13">
      <c r="C13" s="15" t="str">
        <f t="shared" si="1"/>
        <v> - </v>
      </c>
    </row>
    <row r="14">
      <c r="C14" s="15" t="str">
        <f t="shared" si="1"/>
        <v> - </v>
      </c>
    </row>
    <row r="15">
      <c r="C15" s="15" t="str">
        <f t="shared" si="1"/>
        <v> - </v>
      </c>
    </row>
    <row r="16">
      <c r="C16" s="15" t="str">
        <f t="shared" si="1"/>
        <v> - </v>
      </c>
    </row>
    <row r="17">
      <c r="C17" s="15" t="str">
        <f t="shared" si="1"/>
        <v> - </v>
      </c>
    </row>
    <row r="18">
      <c r="C18" s="15" t="str">
        <f t="shared" si="1"/>
        <v> - </v>
      </c>
    </row>
    <row r="19">
      <c r="C19" s="15" t="str">
        <f t="shared" si="1"/>
        <v> - </v>
      </c>
    </row>
    <row r="20">
      <c r="C20" s="15" t="str">
        <f t="shared" si="1"/>
        <v> - </v>
      </c>
    </row>
    <row r="21">
      <c r="C21" s="15" t="str">
        <f t="shared" si="1"/>
        <v> - </v>
      </c>
    </row>
    <row r="22">
      <c r="C22" s="15" t="str">
        <f t="shared" si="1"/>
        <v> - </v>
      </c>
    </row>
    <row r="23">
      <c r="C23" s="15" t="str">
        <f t="shared" si="1"/>
        <v> - </v>
      </c>
    </row>
    <row r="24">
      <c r="C24" s="15" t="str">
        <f t="shared" si="1"/>
        <v> - </v>
      </c>
    </row>
    <row r="25">
      <c r="C25" s="15" t="str">
        <f t="shared" si="1"/>
        <v> - </v>
      </c>
    </row>
    <row r="26">
      <c r="C26" s="15" t="str">
        <f t="shared" si="1"/>
        <v> - </v>
      </c>
    </row>
    <row r="27">
      <c r="C27" s="15" t="str">
        <f t="shared" si="1"/>
        <v> - </v>
      </c>
    </row>
    <row r="28">
      <c r="C28" s="15" t="str">
        <f t="shared" si="1"/>
        <v> - </v>
      </c>
    </row>
    <row r="29">
      <c r="C29" s="15" t="str">
        <f t="shared" si="1"/>
        <v> - </v>
      </c>
    </row>
    <row r="30">
      <c r="C30" s="15" t="str">
        <f t="shared" si="1"/>
        <v> - </v>
      </c>
    </row>
    <row r="31">
      <c r="C31" s="15" t="str">
        <f t="shared" si="1"/>
        <v> - </v>
      </c>
    </row>
    <row r="32">
      <c r="C32" s="15" t="str">
        <f t="shared" si="1"/>
        <v> - </v>
      </c>
    </row>
    <row r="33">
      <c r="C33" s="15" t="str">
        <f t="shared" si="1"/>
        <v> - </v>
      </c>
    </row>
    <row r="34">
      <c r="C34" s="15" t="str">
        <f t="shared" si="1"/>
        <v> - </v>
      </c>
    </row>
    <row r="35">
      <c r="C35" s="15" t="str">
        <f t="shared" si="1"/>
        <v> - </v>
      </c>
    </row>
    <row r="36">
      <c r="C36" s="15" t="str">
        <f t="shared" si="1"/>
        <v> - </v>
      </c>
    </row>
    <row r="37">
      <c r="C37" s="15" t="str">
        <f t="shared" si="1"/>
        <v> - </v>
      </c>
    </row>
    <row r="38">
      <c r="C38" s="15" t="str">
        <f t="shared" si="1"/>
        <v> - </v>
      </c>
    </row>
    <row r="39">
      <c r="C39" s="15" t="str">
        <f t="shared" si="1"/>
        <v> - </v>
      </c>
    </row>
    <row r="40">
      <c r="C40" s="15" t="str">
        <f t="shared" si="1"/>
        <v> - </v>
      </c>
    </row>
    <row r="41">
      <c r="C41" s="15" t="str">
        <f t="shared" si="1"/>
        <v> - </v>
      </c>
    </row>
    <row r="42">
      <c r="C42" s="15" t="str">
        <f t="shared" si="1"/>
        <v> - </v>
      </c>
    </row>
    <row r="43">
      <c r="C43" s="15" t="str">
        <f t="shared" si="1"/>
        <v> - </v>
      </c>
    </row>
    <row r="44">
      <c r="C44" s="15" t="str">
        <f t="shared" si="1"/>
        <v> - </v>
      </c>
    </row>
    <row r="45">
      <c r="C45" s="15" t="str">
        <f t="shared" si="1"/>
        <v> - </v>
      </c>
    </row>
    <row r="46">
      <c r="C46" s="15" t="str">
        <f t="shared" si="1"/>
        <v> - </v>
      </c>
    </row>
    <row r="47">
      <c r="C47" s="15" t="str">
        <f t="shared" si="1"/>
        <v> - </v>
      </c>
    </row>
    <row r="48">
      <c r="C48" s="15" t="str">
        <f t="shared" si="1"/>
        <v> - </v>
      </c>
    </row>
    <row r="49">
      <c r="C49" s="15" t="str">
        <f t="shared" si="1"/>
        <v> - </v>
      </c>
    </row>
    <row r="50">
      <c r="C50" s="15" t="str">
        <f t="shared" si="1"/>
        <v> - </v>
      </c>
    </row>
    <row r="51">
      <c r="C51" s="15" t="str">
        <f t="shared" si="1"/>
        <v> - </v>
      </c>
    </row>
    <row r="52">
      <c r="C52" s="15" t="str">
        <f t="shared" si="1"/>
        <v> - </v>
      </c>
    </row>
    <row r="53">
      <c r="C53" s="15" t="str">
        <f t="shared" si="1"/>
        <v> - </v>
      </c>
    </row>
    <row r="54">
      <c r="C54" s="15" t="str">
        <f t="shared" si="1"/>
        <v> - </v>
      </c>
    </row>
    <row r="55">
      <c r="C55" s="15" t="str">
        <f t="shared" si="1"/>
        <v> - </v>
      </c>
    </row>
    <row r="56">
      <c r="C56" s="15" t="str">
        <f t="shared" si="1"/>
        <v> - </v>
      </c>
    </row>
    <row r="57">
      <c r="C57" s="15" t="str">
        <f t="shared" si="1"/>
        <v> - </v>
      </c>
    </row>
    <row r="58">
      <c r="C58" s="15" t="str">
        <f t="shared" si="1"/>
        <v> - </v>
      </c>
    </row>
    <row r="59">
      <c r="C59" s="15" t="str">
        <f t="shared" si="1"/>
        <v> - </v>
      </c>
    </row>
    <row r="60">
      <c r="C60" s="15" t="str">
        <f t="shared" si="1"/>
        <v> - </v>
      </c>
    </row>
    <row r="61">
      <c r="C61" s="15" t="str">
        <f t="shared" si="1"/>
        <v> - </v>
      </c>
    </row>
    <row r="62">
      <c r="C62" s="15" t="str">
        <f t="shared" si="1"/>
        <v> - </v>
      </c>
    </row>
    <row r="63">
      <c r="C63" s="15" t="str">
        <f t="shared" si="1"/>
        <v> - </v>
      </c>
    </row>
    <row r="64">
      <c r="C64" s="15" t="str">
        <f t="shared" si="1"/>
        <v> - </v>
      </c>
    </row>
    <row r="65">
      <c r="C65" s="15" t="str">
        <f t="shared" si="1"/>
        <v> - </v>
      </c>
    </row>
    <row r="66">
      <c r="C66" s="15" t="str">
        <f t="shared" si="1"/>
        <v> - </v>
      </c>
    </row>
    <row r="67">
      <c r="C67" s="15" t="str">
        <f t="shared" si="1"/>
        <v> - </v>
      </c>
    </row>
    <row r="68">
      <c r="C68" s="15" t="str">
        <f t="shared" si="1"/>
        <v> - </v>
      </c>
    </row>
    <row r="69">
      <c r="C69" s="15" t="str">
        <f t="shared" si="1"/>
        <v> - </v>
      </c>
    </row>
    <row r="70">
      <c r="C70" s="15" t="str">
        <f t="shared" si="1"/>
        <v> - </v>
      </c>
    </row>
    <row r="71">
      <c r="C71" s="15" t="str">
        <f t="shared" si="1"/>
        <v> - </v>
      </c>
    </row>
    <row r="72">
      <c r="C72" s="15" t="str">
        <f t="shared" si="1"/>
        <v> - </v>
      </c>
    </row>
    <row r="73">
      <c r="C73" s="15" t="str">
        <f t="shared" si="1"/>
        <v> - </v>
      </c>
    </row>
    <row r="74">
      <c r="C74" s="15" t="str">
        <f t="shared" si="1"/>
        <v> - </v>
      </c>
    </row>
    <row r="75">
      <c r="C75" s="15" t="str">
        <f t="shared" si="1"/>
        <v> - </v>
      </c>
    </row>
    <row r="76">
      <c r="C76" s="15" t="str">
        <f t="shared" si="1"/>
        <v> - </v>
      </c>
    </row>
    <row r="77">
      <c r="C77" s="15" t="str">
        <f t="shared" si="1"/>
        <v> - </v>
      </c>
    </row>
    <row r="78">
      <c r="C78" s="15" t="str">
        <f t="shared" si="1"/>
        <v> - </v>
      </c>
    </row>
    <row r="79">
      <c r="C79" s="15" t="str">
        <f t="shared" si="1"/>
        <v> - </v>
      </c>
    </row>
    <row r="80">
      <c r="C80" s="15" t="str">
        <f t="shared" si="1"/>
        <v> - </v>
      </c>
    </row>
    <row r="81">
      <c r="C81" s="15" t="str">
        <f t="shared" si="1"/>
        <v> - </v>
      </c>
    </row>
    <row r="82">
      <c r="C82" s="15" t="str">
        <f t="shared" si="1"/>
        <v> - </v>
      </c>
    </row>
    <row r="83">
      <c r="C83" s="15" t="str">
        <f t="shared" si="1"/>
        <v> - </v>
      </c>
    </row>
    <row r="84">
      <c r="C84" s="15" t="str">
        <f t="shared" si="1"/>
        <v> - </v>
      </c>
    </row>
    <row r="85">
      <c r="C85" s="15" t="str">
        <f t="shared" si="1"/>
        <v> - </v>
      </c>
    </row>
    <row r="86">
      <c r="C86" s="15" t="str">
        <f t="shared" si="1"/>
        <v> - </v>
      </c>
    </row>
    <row r="87">
      <c r="C87" s="15" t="str">
        <f t="shared" si="1"/>
        <v> - </v>
      </c>
    </row>
    <row r="88">
      <c r="C88" s="15" t="str">
        <f t="shared" si="1"/>
        <v> - </v>
      </c>
    </row>
    <row r="89">
      <c r="C89" s="15" t="str">
        <f t="shared" si="1"/>
        <v> - </v>
      </c>
    </row>
    <row r="90">
      <c r="C90" s="15" t="str">
        <f t="shared" si="1"/>
        <v> - </v>
      </c>
    </row>
    <row r="91">
      <c r="C91" s="15" t="str">
        <f t="shared" si="1"/>
        <v> - </v>
      </c>
    </row>
    <row r="92">
      <c r="C92" s="15" t="str">
        <f t="shared" si="1"/>
        <v> - </v>
      </c>
    </row>
    <row r="93">
      <c r="C93" s="15" t="str">
        <f t="shared" si="1"/>
        <v> - </v>
      </c>
    </row>
    <row r="94">
      <c r="C94" s="15" t="str">
        <f t="shared" si="1"/>
        <v> - </v>
      </c>
    </row>
    <row r="95">
      <c r="C95" s="15" t="str">
        <f t="shared" si="1"/>
        <v> - </v>
      </c>
    </row>
    <row r="96">
      <c r="C96" s="15" t="str">
        <f t="shared" si="1"/>
        <v> - </v>
      </c>
    </row>
    <row r="97">
      <c r="C97" s="15" t="str">
        <f t="shared" si="1"/>
        <v> - </v>
      </c>
    </row>
    <row r="98">
      <c r="C98" s="15" t="str">
        <f t="shared" si="1"/>
        <v> - </v>
      </c>
    </row>
    <row r="99">
      <c r="C99" s="15" t="str">
        <f t="shared" si="1"/>
        <v> - </v>
      </c>
    </row>
    <row r="100">
      <c r="C100" s="15" t="str">
        <f t="shared" si="1"/>
        <v> - </v>
      </c>
    </row>
    <row r="101">
      <c r="C101" s="15" t="str">
        <f t="shared" si="1"/>
        <v> - </v>
      </c>
    </row>
    <row r="102">
      <c r="C102" s="15" t="str">
        <f t="shared" si="1"/>
        <v> - </v>
      </c>
    </row>
    <row r="103">
      <c r="C103" s="15" t="str">
        <f t="shared" si="1"/>
        <v> - </v>
      </c>
    </row>
    <row r="104">
      <c r="C104" s="15" t="str">
        <f t="shared" si="1"/>
        <v> - </v>
      </c>
    </row>
    <row r="105">
      <c r="C105" s="15" t="str">
        <f t="shared" si="1"/>
        <v> - </v>
      </c>
    </row>
    <row r="106">
      <c r="C106" s="15" t="str">
        <f t="shared" si="1"/>
        <v> - </v>
      </c>
    </row>
    <row r="107">
      <c r="C107" s="15" t="str">
        <f t="shared" si="1"/>
        <v> - </v>
      </c>
    </row>
    <row r="108">
      <c r="C108" s="15" t="str">
        <f t="shared" si="1"/>
        <v> - </v>
      </c>
    </row>
    <row r="109">
      <c r="C109" s="15" t="str">
        <f t="shared" si="1"/>
        <v> - </v>
      </c>
    </row>
    <row r="110">
      <c r="C110" s="15" t="str">
        <f t="shared" si="1"/>
        <v> - </v>
      </c>
    </row>
    <row r="111">
      <c r="C111" s="15" t="str">
        <f t="shared" si="1"/>
        <v> - </v>
      </c>
    </row>
    <row r="112">
      <c r="C112" s="15" t="str">
        <f t="shared" si="1"/>
        <v> - </v>
      </c>
    </row>
    <row r="113">
      <c r="C113" s="15" t="str">
        <f t="shared" si="1"/>
        <v> - </v>
      </c>
    </row>
    <row r="114">
      <c r="C114" s="15" t="str">
        <f t="shared" si="1"/>
        <v> - </v>
      </c>
    </row>
    <row r="115">
      <c r="C115" s="15" t="str">
        <f t="shared" si="1"/>
        <v> - </v>
      </c>
    </row>
    <row r="116">
      <c r="C116" s="15" t="str">
        <f t="shared" si="1"/>
        <v> - </v>
      </c>
    </row>
    <row r="117">
      <c r="C117" s="15" t="str">
        <f t="shared" si="1"/>
        <v> - </v>
      </c>
    </row>
    <row r="118">
      <c r="C118" s="15" t="str">
        <f t="shared" si="1"/>
        <v> - </v>
      </c>
    </row>
    <row r="119">
      <c r="C119" s="15" t="str">
        <f t="shared" si="1"/>
        <v> - </v>
      </c>
    </row>
    <row r="120">
      <c r="C120" s="15" t="str">
        <f t="shared" si="1"/>
        <v> - </v>
      </c>
    </row>
    <row r="121">
      <c r="C121" s="15" t="str">
        <f t="shared" si="1"/>
        <v> - </v>
      </c>
    </row>
    <row r="122">
      <c r="C122" s="15" t="str">
        <f t="shared" si="1"/>
        <v> - </v>
      </c>
    </row>
    <row r="123">
      <c r="C123" s="15" t="str">
        <f t="shared" si="1"/>
        <v> - </v>
      </c>
    </row>
    <row r="124">
      <c r="C124" s="15" t="str">
        <f t="shared" si="1"/>
        <v> - </v>
      </c>
    </row>
    <row r="125">
      <c r="C125" s="15" t="str">
        <f t="shared" si="1"/>
        <v> - </v>
      </c>
    </row>
    <row r="126">
      <c r="C126" s="15" t="str">
        <f t="shared" si="1"/>
        <v> - </v>
      </c>
    </row>
    <row r="127">
      <c r="C127" s="15" t="str">
        <f t="shared" si="1"/>
        <v> - </v>
      </c>
    </row>
    <row r="128">
      <c r="C128" s="15" t="str">
        <f t="shared" si="1"/>
        <v> - </v>
      </c>
    </row>
    <row r="129">
      <c r="C129" s="15" t="str">
        <f t="shared" si="1"/>
        <v> - </v>
      </c>
    </row>
    <row r="130">
      <c r="C130" s="15" t="str">
        <f t="shared" si="1"/>
        <v> - </v>
      </c>
    </row>
    <row r="131">
      <c r="C131" s="15" t="str">
        <f t="shared" si="1"/>
        <v> - </v>
      </c>
    </row>
    <row r="132">
      <c r="C132" s="15" t="str">
        <f t="shared" si="1"/>
        <v> - </v>
      </c>
    </row>
    <row r="133">
      <c r="C133" s="15" t="str">
        <f t="shared" si="1"/>
        <v> - </v>
      </c>
    </row>
    <row r="134">
      <c r="C134" s="15" t="str">
        <f t="shared" si="1"/>
        <v> - </v>
      </c>
    </row>
    <row r="135">
      <c r="C135" s="15" t="str">
        <f t="shared" si="1"/>
        <v> - </v>
      </c>
    </row>
    <row r="136">
      <c r="C136" s="15" t="str">
        <f t="shared" si="1"/>
        <v> - </v>
      </c>
    </row>
    <row r="137">
      <c r="C137" s="15" t="str">
        <f t="shared" si="1"/>
        <v> - </v>
      </c>
    </row>
    <row r="138">
      <c r="C138" s="15" t="str">
        <f t="shared" si="1"/>
        <v> - </v>
      </c>
    </row>
    <row r="139">
      <c r="C139" s="15" t="str">
        <f t="shared" si="1"/>
        <v> - </v>
      </c>
    </row>
    <row r="140">
      <c r="C140" s="15" t="str">
        <f t="shared" si="1"/>
        <v> - </v>
      </c>
    </row>
    <row r="141">
      <c r="C141" s="15" t="str">
        <f t="shared" si="1"/>
        <v> - </v>
      </c>
    </row>
    <row r="142">
      <c r="C142" s="15" t="str">
        <f t="shared" si="1"/>
        <v> - </v>
      </c>
    </row>
    <row r="143">
      <c r="C143" s="15" t="str">
        <f t="shared" si="1"/>
        <v> - </v>
      </c>
    </row>
    <row r="144">
      <c r="C144" s="15" t="str">
        <f t="shared" si="1"/>
        <v> - </v>
      </c>
    </row>
    <row r="145">
      <c r="C145" s="15" t="str">
        <f t="shared" si="1"/>
        <v> - </v>
      </c>
    </row>
    <row r="146">
      <c r="C146" s="15" t="str">
        <f t="shared" si="1"/>
        <v> - </v>
      </c>
    </row>
    <row r="147">
      <c r="C147" s="15" t="str">
        <f t="shared" si="1"/>
        <v> - </v>
      </c>
    </row>
    <row r="148">
      <c r="C148" s="15" t="str">
        <f t="shared" si="1"/>
        <v> - </v>
      </c>
    </row>
    <row r="149">
      <c r="C149" s="15" t="str">
        <f t="shared" si="1"/>
        <v> - </v>
      </c>
    </row>
    <row r="150">
      <c r="C150" s="15" t="str">
        <f t="shared" si="1"/>
        <v> - </v>
      </c>
    </row>
    <row r="151">
      <c r="C151" s="15" t="str">
        <f t="shared" si="1"/>
        <v> - </v>
      </c>
    </row>
    <row r="152">
      <c r="C152" s="15" t="str">
        <f t="shared" si="1"/>
        <v> - </v>
      </c>
    </row>
    <row r="153">
      <c r="C153" s="15" t="str">
        <f t="shared" si="1"/>
        <v> - </v>
      </c>
    </row>
    <row r="154">
      <c r="C154" s="15" t="str">
        <f t="shared" si="1"/>
        <v> - </v>
      </c>
    </row>
    <row r="155">
      <c r="C155" s="15" t="str">
        <f t="shared" si="1"/>
        <v> - </v>
      </c>
    </row>
    <row r="156">
      <c r="C156" s="15" t="str">
        <f t="shared" si="1"/>
        <v> - </v>
      </c>
    </row>
    <row r="157">
      <c r="C157" s="15" t="str">
        <f t="shared" si="1"/>
        <v> - </v>
      </c>
    </row>
    <row r="158">
      <c r="C158" s="15" t="str">
        <f t="shared" si="1"/>
        <v> - </v>
      </c>
    </row>
    <row r="159">
      <c r="C159" s="15" t="str">
        <f t="shared" si="1"/>
        <v> - </v>
      </c>
    </row>
    <row r="160">
      <c r="C160" s="15" t="str">
        <f t="shared" si="1"/>
        <v> - </v>
      </c>
    </row>
    <row r="161">
      <c r="C161" s="15" t="str">
        <f t="shared" si="1"/>
        <v> - </v>
      </c>
    </row>
    <row r="162">
      <c r="C162" s="15" t="str">
        <f t="shared" si="1"/>
        <v> - </v>
      </c>
    </row>
    <row r="163">
      <c r="C163" s="15" t="str">
        <f t="shared" si="1"/>
        <v> - </v>
      </c>
    </row>
    <row r="164">
      <c r="C164" s="15" t="str">
        <f t="shared" si="1"/>
        <v> - </v>
      </c>
    </row>
    <row r="165">
      <c r="C165" s="15" t="str">
        <f t="shared" si="1"/>
        <v> - </v>
      </c>
    </row>
    <row r="166">
      <c r="C166" s="15" t="str">
        <f t="shared" si="1"/>
        <v> - </v>
      </c>
    </row>
    <row r="167">
      <c r="C167" s="15" t="str">
        <f t="shared" si="1"/>
        <v> - </v>
      </c>
    </row>
    <row r="168">
      <c r="C168" s="15" t="str">
        <f t="shared" si="1"/>
        <v> - </v>
      </c>
    </row>
    <row r="169">
      <c r="C169" s="15" t="str">
        <f t="shared" si="1"/>
        <v> - </v>
      </c>
    </row>
    <row r="170">
      <c r="C170" s="15" t="str">
        <f t="shared" si="1"/>
        <v> - </v>
      </c>
    </row>
    <row r="171">
      <c r="C171" s="15" t="str">
        <f t="shared" si="1"/>
        <v> - </v>
      </c>
    </row>
    <row r="172">
      <c r="C172" s="15" t="str">
        <f t="shared" si="1"/>
        <v> - </v>
      </c>
    </row>
    <row r="173">
      <c r="C173" s="15" t="str">
        <f t="shared" si="1"/>
        <v> - </v>
      </c>
    </row>
    <row r="174">
      <c r="C174" s="15" t="str">
        <f t="shared" si="1"/>
        <v> - </v>
      </c>
    </row>
    <row r="175">
      <c r="C175" s="15" t="str">
        <f t="shared" si="1"/>
        <v> - </v>
      </c>
    </row>
    <row r="176">
      <c r="C176" s="15" t="str">
        <f t="shared" si="1"/>
        <v> - </v>
      </c>
    </row>
    <row r="177">
      <c r="C177" s="15" t="str">
        <f t="shared" si="1"/>
        <v> - </v>
      </c>
    </row>
    <row r="178">
      <c r="C178" s="15" t="str">
        <f t="shared" si="1"/>
        <v> - </v>
      </c>
    </row>
    <row r="179">
      <c r="C179" s="15" t="str">
        <f t="shared" si="1"/>
        <v> - </v>
      </c>
    </row>
    <row r="180">
      <c r="C180" s="15" t="str">
        <f t="shared" si="1"/>
        <v> - </v>
      </c>
    </row>
    <row r="181">
      <c r="C181" s="15" t="str">
        <f t="shared" si="1"/>
        <v> - </v>
      </c>
    </row>
    <row r="182">
      <c r="C182" s="15" t="str">
        <f t="shared" si="1"/>
        <v> - </v>
      </c>
    </row>
    <row r="183">
      <c r="C183" s="15" t="str">
        <f t="shared" si="1"/>
        <v> - </v>
      </c>
    </row>
    <row r="184">
      <c r="C184" s="15" t="str">
        <f t="shared" si="1"/>
        <v> - </v>
      </c>
    </row>
    <row r="185">
      <c r="C185" s="15" t="str">
        <f t="shared" si="1"/>
        <v> - </v>
      </c>
    </row>
    <row r="186">
      <c r="C186" s="15" t="str">
        <f t="shared" si="1"/>
        <v> - </v>
      </c>
    </row>
    <row r="187">
      <c r="C187" s="15" t="str">
        <f t="shared" si="1"/>
        <v> - </v>
      </c>
    </row>
    <row r="188">
      <c r="C188" s="15" t="str">
        <f t="shared" si="1"/>
        <v> - </v>
      </c>
    </row>
    <row r="189">
      <c r="C189" s="15" t="str">
        <f t="shared" si="1"/>
        <v> - </v>
      </c>
    </row>
    <row r="190">
      <c r="C190" s="15" t="str">
        <f t="shared" si="1"/>
        <v> - </v>
      </c>
    </row>
    <row r="191">
      <c r="C191" s="15" t="str">
        <f t="shared" si="1"/>
        <v> - </v>
      </c>
    </row>
    <row r="192">
      <c r="C192" s="15" t="str">
        <f t="shared" si="1"/>
        <v> - </v>
      </c>
    </row>
    <row r="193">
      <c r="C193" s="15" t="str">
        <f t="shared" si="1"/>
        <v> - </v>
      </c>
    </row>
    <row r="194">
      <c r="C194" s="15" t="str">
        <f t="shared" si="1"/>
        <v> - </v>
      </c>
    </row>
    <row r="195">
      <c r="C195" s="15" t="str">
        <f t="shared" si="1"/>
        <v> - </v>
      </c>
    </row>
    <row r="196">
      <c r="C196" s="15" t="str">
        <f t="shared" si="1"/>
        <v> - </v>
      </c>
    </row>
    <row r="197">
      <c r="C197" s="15" t="str">
        <f t="shared" si="1"/>
        <v> - </v>
      </c>
    </row>
    <row r="198">
      <c r="C198" s="15" t="str">
        <f t="shared" si="1"/>
        <v> - </v>
      </c>
    </row>
    <row r="199">
      <c r="C199" s="15" t="str">
        <f t="shared" si="1"/>
        <v> - </v>
      </c>
    </row>
    <row r="200">
      <c r="C200" s="15" t="str">
        <f t="shared" si="1"/>
        <v> - </v>
      </c>
    </row>
    <row r="201">
      <c r="C201" s="15" t="str">
        <f t="shared" si="1"/>
        <v> - </v>
      </c>
    </row>
    <row r="202">
      <c r="C202" s="15" t="str">
        <f t="shared" si="1"/>
        <v> - </v>
      </c>
    </row>
    <row r="203">
      <c r="C203" s="15" t="str">
        <f t="shared" si="1"/>
        <v> - </v>
      </c>
    </row>
    <row r="204">
      <c r="C204" s="15" t="str">
        <f t="shared" si="1"/>
        <v> - </v>
      </c>
    </row>
    <row r="205">
      <c r="C205" s="15" t="str">
        <f t="shared" si="1"/>
        <v> - </v>
      </c>
    </row>
    <row r="206">
      <c r="C206" s="15" t="str">
        <f t="shared" si="1"/>
        <v> - </v>
      </c>
    </row>
    <row r="207">
      <c r="C207" s="15" t="str">
        <f t="shared" si="1"/>
        <v> - </v>
      </c>
    </row>
    <row r="208">
      <c r="C208" s="15" t="str">
        <f t="shared" si="1"/>
        <v> - </v>
      </c>
    </row>
    <row r="209">
      <c r="C209" s="15" t="str">
        <f t="shared" si="1"/>
        <v> - </v>
      </c>
    </row>
    <row r="210">
      <c r="C210" s="15" t="str">
        <f t="shared" si="1"/>
        <v> - </v>
      </c>
    </row>
    <row r="211">
      <c r="C211" s="15" t="str">
        <f t="shared" si="1"/>
        <v> - </v>
      </c>
    </row>
    <row r="212">
      <c r="C212" s="15" t="str">
        <f t="shared" si="1"/>
        <v> - </v>
      </c>
    </row>
    <row r="213">
      <c r="C213" s="15" t="str">
        <f t="shared" si="1"/>
        <v> - </v>
      </c>
    </row>
    <row r="214">
      <c r="C214" s="15" t="str">
        <f t="shared" si="1"/>
        <v> - </v>
      </c>
    </row>
    <row r="215">
      <c r="C215" s="15" t="str">
        <f t="shared" si="1"/>
        <v> - </v>
      </c>
    </row>
    <row r="216">
      <c r="C216" s="15" t="str">
        <f t="shared" si="1"/>
        <v> - </v>
      </c>
    </row>
    <row r="217">
      <c r="C217" s="15" t="str">
        <f t="shared" si="1"/>
        <v> - </v>
      </c>
    </row>
    <row r="218">
      <c r="C218" s="15" t="str">
        <f t="shared" si="1"/>
        <v> - </v>
      </c>
    </row>
    <row r="219">
      <c r="C219" s="15" t="str">
        <f t="shared" si="1"/>
        <v> - </v>
      </c>
    </row>
    <row r="220">
      <c r="C220" s="15" t="str">
        <f t="shared" si="1"/>
        <v> - </v>
      </c>
    </row>
    <row r="221">
      <c r="C221" s="15" t="str">
        <f t="shared" si="1"/>
        <v> - </v>
      </c>
    </row>
    <row r="222">
      <c r="C222" s="15" t="str">
        <f t="shared" si="1"/>
        <v> - </v>
      </c>
    </row>
    <row r="223">
      <c r="C223" s="15" t="str">
        <f t="shared" si="1"/>
        <v> - </v>
      </c>
    </row>
    <row r="224">
      <c r="C224" s="15" t="str">
        <f t="shared" si="1"/>
        <v> - </v>
      </c>
    </row>
    <row r="225">
      <c r="C225" s="15" t="str">
        <f t="shared" si="1"/>
        <v> - </v>
      </c>
    </row>
    <row r="226">
      <c r="C226" s="15" t="str">
        <f t="shared" si="1"/>
        <v> - </v>
      </c>
    </row>
    <row r="227">
      <c r="C227" s="15" t="str">
        <f t="shared" si="1"/>
        <v> - </v>
      </c>
    </row>
    <row r="228">
      <c r="C228" s="15" t="str">
        <f t="shared" si="1"/>
        <v> - </v>
      </c>
    </row>
    <row r="229">
      <c r="C229" s="15" t="str">
        <f t="shared" si="1"/>
        <v> - </v>
      </c>
    </row>
    <row r="230">
      <c r="C230" s="15" t="str">
        <f t="shared" si="1"/>
        <v> - </v>
      </c>
    </row>
    <row r="231">
      <c r="C231" s="15" t="str">
        <f t="shared" si="1"/>
        <v> - </v>
      </c>
    </row>
    <row r="232">
      <c r="C232" s="15" t="str">
        <f t="shared" si="1"/>
        <v> - </v>
      </c>
    </row>
    <row r="233">
      <c r="C233" s="15" t="str">
        <f t="shared" si="1"/>
        <v> - </v>
      </c>
    </row>
    <row r="234">
      <c r="C234" s="15" t="str">
        <f t="shared" si="1"/>
        <v> - </v>
      </c>
    </row>
    <row r="235">
      <c r="C235" s="15" t="str">
        <f t="shared" si="1"/>
        <v> - </v>
      </c>
    </row>
    <row r="236">
      <c r="C236" s="15" t="str">
        <f t="shared" si="1"/>
        <v> - </v>
      </c>
    </row>
    <row r="237">
      <c r="C237" s="15" t="str">
        <f t="shared" si="1"/>
        <v> - </v>
      </c>
    </row>
    <row r="238">
      <c r="C238" s="15" t="str">
        <f t="shared" si="1"/>
        <v> - </v>
      </c>
    </row>
    <row r="239">
      <c r="C239" s="15" t="str">
        <f t="shared" si="1"/>
        <v> - </v>
      </c>
    </row>
    <row r="240">
      <c r="C240" s="15" t="str">
        <f t="shared" si="1"/>
        <v> - </v>
      </c>
    </row>
    <row r="241">
      <c r="C241" s="15" t="str">
        <f t="shared" si="1"/>
        <v> - </v>
      </c>
    </row>
    <row r="242">
      <c r="C242" s="15" t="str">
        <f t="shared" si="1"/>
        <v> - </v>
      </c>
    </row>
    <row r="243">
      <c r="C243" s="15" t="str">
        <f t="shared" si="1"/>
        <v> - </v>
      </c>
    </row>
    <row r="244">
      <c r="C244" s="15" t="str">
        <f t="shared" si="1"/>
        <v> - </v>
      </c>
    </row>
    <row r="245">
      <c r="C245" s="15" t="str">
        <f t="shared" si="1"/>
        <v> - </v>
      </c>
    </row>
    <row r="246">
      <c r="C246" s="15" t="str">
        <f t="shared" si="1"/>
        <v> - </v>
      </c>
    </row>
    <row r="247">
      <c r="C247" s="15" t="str">
        <f t="shared" si="1"/>
        <v> - </v>
      </c>
    </row>
    <row r="248">
      <c r="C248" s="15" t="str">
        <f t="shared" si="1"/>
        <v> - </v>
      </c>
    </row>
    <row r="249">
      <c r="C249" s="15" t="str">
        <f t="shared" si="1"/>
        <v> - </v>
      </c>
    </row>
    <row r="250">
      <c r="C250" s="15" t="str">
        <f t="shared" si="1"/>
        <v> - </v>
      </c>
    </row>
    <row r="251">
      <c r="C251" s="15" t="str">
        <f t="shared" si="1"/>
        <v> - </v>
      </c>
    </row>
    <row r="252">
      <c r="C252" s="15" t="str">
        <f t="shared" si="1"/>
        <v> - </v>
      </c>
    </row>
    <row r="253">
      <c r="C253" s="15" t="str">
        <f t="shared" si="1"/>
        <v> - </v>
      </c>
    </row>
    <row r="254">
      <c r="C254" s="15" t="str">
        <f t="shared" si="1"/>
        <v> - </v>
      </c>
    </row>
    <row r="255">
      <c r="C255" s="15" t="str">
        <f t="shared" si="1"/>
        <v> - </v>
      </c>
    </row>
    <row r="256">
      <c r="C256" s="15" t="str">
        <f t="shared" si="1"/>
        <v> - </v>
      </c>
    </row>
    <row r="257">
      <c r="C257" s="15" t="str">
        <f t="shared" si="1"/>
        <v> - </v>
      </c>
    </row>
    <row r="258">
      <c r="C258" s="15" t="str">
        <f t="shared" si="1"/>
        <v> - </v>
      </c>
    </row>
    <row r="259">
      <c r="C259" s="15" t="str">
        <f t="shared" si="1"/>
        <v> - </v>
      </c>
    </row>
    <row r="260">
      <c r="C260" s="15" t="str">
        <f t="shared" si="1"/>
        <v> - </v>
      </c>
    </row>
    <row r="261">
      <c r="C261" s="15" t="str">
        <f t="shared" si="1"/>
        <v> - </v>
      </c>
    </row>
    <row r="262">
      <c r="C262" s="15" t="str">
        <f t="shared" si="1"/>
        <v> - </v>
      </c>
    </row>
    <row r="263">
      <c r="C263" s="15" t="str">
        <f t="shared" si="1"/>
        <v> - </v>
      </c>
    </row>
    <row r="264">
      <c r="C264" s="15" t="str">
        <f t="shared" si="1"/>
        <v> - </v>
      </c>
    </row>
    <row r="265">
      <c r="C265" s="15" t="str">
        <f t="shared" si="1"/>
        <v> - </v>
      </c>
    </row>
    <row r="266">
      <c r="C266" s="15" t="str">
        <f t="shared" si="1"/>
        <v> - </v>
      </c>
    </row>
    <row r="267">
      <c r="C267" s="15" t="str">
        <f t="shared" si="1"/>
        <v> - </v>
      </c>
    </row>
    <row r="268">
      <c r="C268" s="15" t="str">
        <f t="shared" si="1"/>
        <v> - </v>
      </c>
    </row>
    <row r="269">
      <c r="C269" s="15" t="str">
        <f t="shared" si="1"/>
        <v> - </v>
      </c>
    </row>
    <row r="270">
      <c r="C270" s="15" t="str">
        <f t="shared" si="1"/>
        <v> - </v>
      </c>
    </row>
    <row r="271">
      <c r="C271" s="15" t="str">
        <f t="shared" si="1"/>
        <v> - </v>
      </c>
    </row>
    <row r="272">
      <c r="C272" s="15" t="str">
        <f t="shared" si="1"/>
        <v> - </v>
      </c>
    </row>
    <row r="273">
      <c r="C273" s="15" t="str">
        <f t="shared" si="1"/>
        <v> - </v>
      </c>
    </row>
    <row r="274">
      <c r="C274" s="15" t="str">
        <f t="shared" si="1"/>
        <v> - </v>
      </c>
    </row>
    <row r="275">
      <c r="C275" s="15" t="str">
        <f t="shared" si="1"/>
        <v> - </v>
      </c>
    </row>
    <row r="276">
      <c r="C276" s="15" t="str">
        <f t="shared" si="1"/>
        <v> - </v>
      </c>
    </row>
    <row r="277">
      <c r="C277" s="15" t="str">
        <f t="shared" si="1"/>
        <v> - </v>
      </c>
    </row>
    <row r="278">
      <c r="C278" s="15" t="str">
        <f t="shared" si="1"/>
        <v> - </v>
      </c>
    </row>
    <row r="279">
      <c r="C279" s="15" t="str">
        <f t="shared" si="1"/>
        <v> - </v>
      </c>
    </row>
    <row r="280">
      <c r="C280" s="15" t="str">
        <f t="shared" si="1"/>
        <v> - </v>
      </c>
    </row>
    <row r="281">
      <c r="C281" s="15" t="str">
        <f t="shared" si="1"/>
        <v> - </v>
      </c>
    </row>
    <row r="282">
      <c r="C282" s="15" t="str">
        <f t="shared" si="1"/>
        <v> - </v>
      </c>
    </row>
    <row r="283">
      <c r="C283" s="15" t="str">
        <f t="shared" si="1"/>
        <v> - </v>
      </c>
    </row>
    <row r="284">
      <c r="C284" s="15" t="str">
        <f t="shared" si="1"/>
        <v> - </v>
      </c>
    </row>
    <row r="285">
      <c r="C285" s="15" t="str">
        <f t="shared" si="1"/>
        <v> - </v>
      </c>
    </row>
    <row r="286">
      <c r="C286" s="15" t="str">
        <f t="shared" si="1"/>
        <v> - </v>
      </c>
    </row>
    <row r="287">
      <c r="C287" s="15" t="str">
        <f t="shared" si="1"/>
        <v> - </v>
      </c>
    </row>
    <row r="288">
      <c r="C288" s="15" t="str">
        <f t="shared" si="1"/>
        <v> - </v>
      </c>
    </row>
    <row r="289">
      <c r="C289" s="15" t="str">
        <f t="shared" si="1"/>
        <v> - </v>
      </c>
    </row>
    <row r="290">
      <c r="C290" s="15" t="str">
        <f t="shared" si="1"/>
        <v> - </v>
      </c>
    </row>
    <row r="291">
      <c r="C291" s="15" t="str">
        <f t="shared" si="1"/>
        <v> - </v>
      </c>
    </row>
    <row r="292">
      <c r="C292" s="15" t="str">
        <f t="shared" si="1"/>
        <v> - </v>
      </c>
    </row>
    <row r="293">
      <c r="C293" s="15" t="str">
        <f t="shared" si="1"/>
        <v> - </v>
      </c>
    </row>
    <row r="294">
      <c r="C294" s="15" t="str">
        <f t="shared" si="1"/>
        <v> - </v>
      </c>
    </row>
    <row r="295">
      <c r="C295" s="15" t="str">
        <f t="shared" si="1"/>
        <v> - </v>
      </c>
    </row>
    <row r="296">
      <c r="C296" s="15" t="str">
        <f t="shared" si="1"/>
        <v> - </v>
      </c>
    </row>
    <row r="297">
      <c r="C297" s="15" t="str">
        <f t="shared" si="1"/>
        <v> - </v>
      </c>
    </row>
    <row r="298">
      <c r="C298" s="15" t="str">
        <f t="shared" si="1"/>
        <v> - 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2" max="2" width="37.0"/>
  </cols>
  <sheetData>
    <row r="1">
      <c r="A1" s="77" t="s">
        <v>1755</v>
      </c>
      <c r="C1" s="114">
        <v>45292.0</v>
      </c>
      <c r="F1" s="114">
        <v>45323.0</v>
      </c>
      <c r="I1" s="114">
        <v>45352.0</v>
      </c>
      <c r="L1" s="114">
        <v>45383.0</v>
      </c>
      <c r="O1" s="114">
        <v>45413.0</v>
      </c>
      <c r="R1" s="114">
        <v>45444.0</v>
      </c>
      <c r="U1" s="114">
        <v>45474.0</v>
      </c>
      <c r="X1" s="114">
        <v>45505.0</v>
      </c>
    </row>
    <row r="2">
      <c r="A2" s="10"/>
      <c r="B2" s="115"/>
      <c r="C2" s="77" t="s">
        <v>1568</v>
      </c>
      <c r="D2" s="77" t="s">
        <v>1756</v>
      </c>
      <c r="E2" s="77" t="s">
        <v>1757</v>
      </c>
      <c r="F2" s="77" t="s">
        <v>1568</v>
      </c>
      <c r="G2" s="77" t="s">
        <v>1756</v>
      </c>
      <c r="H2" s="77" t="s">
        <v>1757</v>
      </c>
      <c r="I2" s="77" t="s">
        <v>1568</v>
      </c>
      <c r="J2" s="77" t="s">
        <v>1756</v>
      </c>
      <c r="K2" s="77" t="s">
        <v>1757</v>
      </c>
      <c r="L2" s="77" t="s">
        <v>1568</v>
      </c>
      <c r="M2" s="77" t="s">
        <v>1756</v>
      </c>
      <c r="N2" s="77" t="s">
        <v>1757</v>
      </c>
      <c r="O2" s="77" t="s">
        <v>1568</v>
      </c>
      <c r="P2" s="77" t="s">
        <v>1756</v>
      </c>
      <c r="Q2" s="77" t="s">
        <v>1757</v>
      </c>
      <c r="R2" s="77" t="s">
        <v>1568</v>
      </c>
      <c r="S2" s="77" t="s">
        <v>1756</v>
      </c>
      <c r="T2" s="77" t="s">
        <v>1757</v>
      </c>
      <c r="U2" s="77" t="s">
        <v>1568</v>
      </c>
      <c r="V2" s="77" t="s">
        <v>1756</v>
      </c>
      <c r="W2" s="77" t="s">
        <v>1757</v>
      </c>
      <c r="X2" s="77" t="s">
        <v>1568</v>
      </c>
      <c r="Y2" s="77" t="s">
        <v>1756</v>
      </c>
      <c r="Z2" s="77" t="s">
        <v>1757</v>
      </c>
    </row>
    <row r="3">
      <c r="A3" s="77">
        <v>1.0</v>
      </c>
      <c r="B3" s="116" t="s">
        <v>1758</v>
      </c>
      <c r="C3" s="13"/>
    </row>
    <row r="4">
      <c r="A4" s="77">
        <v>2.0</v>
      </c>
      <c r="B4" s="117" t="s">
        <v>1759</v>
      </c>
      <c r="C4" s="13">
        <f>SUMIFS('Lançamentos de receitas'!$E:$E,'Lançamentos de receitas'!$F:$F,"pago",'Lançamentos de receitas'!$K:$K,C1)</f>
        <v>0</v>
      </c>
    </row>
    <row r="5">
      <c r="A5" s="77">
        <v>1.0</v>
      </c>
      <c r="B5" s="118" t="s">
        <v>1760</v>
      </c>
      <c r="C5" s="13">
        <f>SUBTOTAL(9,C6:C10)</f>
        <v>0</v>
      </c>
    </row>
    <row r="6">
      <c r="A6" s="77">
        <v>2.0</v>
      </c>
      <c r="B6" s="119" t="s">
        <v>1761</v>
      </c>
      <c r="C6" s="13">
        <f>-SUMIFS('Lançamentos de despesas'!$I:$I,'Lançamentos de despesas'!$E:$E,"pago",'Lançamentos de despesas'!$P:$P,C$1,'Lançamentos de despesas'!$N:$N,$B6)</f>
        <v>0</v>
      </c>
    </row>
    <row r="7">
      <c r="A7" s="77">
        <v>2.0</v>
      </c>
      <c r="B7" s="119" t="s">
        <v>1762</v>
      </c>
      <c r="C7" s="13">
        <f>-SUMIFS('Lançamentos de despesas'!$I:$I,'Lançamentos de despesas'!$E:$E,"pago",'Lançamentos de despesas'!$P:$P,C$1,'Lançamentos de despesas'!$N:$N,$B7)</f>
        <v>0</v>
      </c>
    </row>
    <row r="8">
      <c r="A8" s="77">
        <v>2.0</v>
      </c>
      <c r="B8" s="119" t="s">
        <v>1763</v>
      </c>
      <c r="C8" s="13">
        <f>-SUMIFS('Lançamentos de despesas'!$I:$I,'Lançamentos de despesas'!$E:$E,"pago",'Lançamentos de despesas'!$P:$P,C$1,'Lançamentos de despesas'!$N:$N,$B8)</f>
        <v>0</v>
      </c>
    </row>
    <row r="9">
      <c r="A9" s="77">
        <v>2.0</v>
      </c>
      <c r="B9" s="119" t="s">
        <v>1764</v>
      </c>
      <c r="C9" s="13">
        <f>-SUMIFS('Lançamentos de despesas'!$I:$I,'Lançamentos de despesas'!$E:$E,"pago",'Lançamentos de despesas'!$P:$P,C$1,'Lançamentos de despesas'!$N:$N,$B9)</f>
        <v>0</v>
      </c>
    </row>
    <row r="10">
      <c r="A10" s="77">
        <v>2.0</v>
      </c>
      <c r="B10" s="119" t="s">
        <v>1765</v>
      </c>
      <c r="C10" s="13">
        <f>-SUMIFS('Lançamentos de despesas'!$I:$I,'Lançamentos de despesas'!$E:$E,"pago",'Lançamentos de despesas'!$P:$P,C$1,'Lançamentos de despesas'!$N:$N,$B10)</f>
        <v>0</v>
      </c>
    </row>
    <row r="11">
      <c r="A11" s="77">
        <v>1.0</v>
      </c>
      <c r="B11" s="120" t="s">
        <v>1766</v>
      </c>
      <c r="C11" s="13">
        <f>C3-C5</f>
        <v>0</v>
      </c>
    </row>
    <row r="12">
      <c r="A12" s="77">
        <v>1.0</v>
      </c>
      <c r="B12" s="118" t="s">
        <v>1767</v>
      </c>
      <c r="C12" s="13">
        <f>SUBTOTAL(9,C13:C17)</f>
        <v>0</v>
      </c>
    </row>
    <row r="13">
      <c r="A13" s="77">
        <v>2.0</v>
      </c>
      <c r="B13" s="119" t="s">
        <v>1768</v>
      </c>
      <c r="C13" s="13">
        <f>-SUMIFS('Lançamentos de despesas'!$I:$I,'Lançamentos de despesas'!$E:$E,"pago",'Lançamentos de despesas'!$P:$P,C$1,'Lançamentos de despesas'!$N:$N,$B13)</f>
        <v>0</v>
      </c>
    </row>
    <row r="14">
      <c r="A14" s="77">
        <v>2.0</v>
      </c>
      <c r="B14" s="119" t="s">
        <v>1769</v>
      </c>
      <c r="C14" s="13">
        <f>-SUMIFS('Lançamentos de despesas'!$I:$I,'Lançamentos de despesas'!$E:$E,"pago",'Lançamentos de despesas'!$P:$P,C$1,'Lançamentos de despesas'!$N:$N,$B14)</f>
        <v>0</v>
      </c>
    </row>
    <row r="15">
      <c r="A15" s="77">
        <v>2.0</v>
      </c>
      <c r="B15" s="119" t="s">
        <v>1770</v>
      </c>
      <c r="C15" s="13">
        <f>-SUMIFS('Lançamentos de despesas'!$I:$I,'Lançamentos de despesas'!$E:$E,"pago",'Lançamentos de despesas'!$P:$P,C$1,'Lançamentos de despesas'!$N:$N,$B15)</f>
        <v>0</v>
      </c>
    </row>
    <row r="16">
      <c r="A16" s="77">
        <v>2.0</v>
      </c>
      <c r="B16" s="119" t="s">
        <v>1771</v>
      </c>
      <c r="C16" s="13">
        <f>-SUMIFS('Lançamentos de despesas'!$I:$I,'Lançamentos de despesas'!$E:$E,"pago",'Lançamentos de despesas'!$P:$P,C$1,'Lançamentos de despesas'!$N:$N,$B16)</f>
        <v>0</v>
      </c>
    </row>
    <row r="17">
      <c r="A17" s="77">
        <v>2.0</v>
      </c>
      <c r="B17" s="119" t="s">
        <v>1772</v>
      </c>
      <c r="C17" s="13">
        <f>-SUMIFS('Lançamentos de despesas'!$I:$I,'Lançamentos de despesas'!$E:$E,"pago",'Lançamentos de despesas'!$P:$P,C$1,'Lançamentos de despesas'!$N:$N,$B17)</f>
        <v>0</v>
      </c>
    </row>
    <row r="18">
      <c r="A18" s="77">
        <v>1.0</v>
      </c>
      <c r="B18" s="120" t="s">
        <v>1773</v>
      </c>
      <c r="C18" s="13">
        <f>C11+C12</f>
        <v>0</v>
      </c>
    </row>
    <row r="19">
      <c r="A19" s="77">
        <v>0.0</v>
      </c>
      <c r="C19" s="13"/>
    </row>
    <row r="20">
      <c r="A20" s="77">
        <v>1.0</v>
      </c>
      <c r="B20" s="120" t="s">
        <v>1774</v>
      </c>
      <c r="C20" s="13">
        <f>C21+C49+C64+C66+C91+C98</f>
        <v>0</v>
      </c>
    </row>
    <row r="21">
      <c r="A21" s="77">
        <v>2.0</v>
      </c>
      <c r="B21" s="118" t="s">
        <v>1666</v>
      </c>
      <c r="C21" s="13">
        <f>SUBTOTAL(9,C22:C48)</f>
        <v>0</v>
      </c>
    </row>
    <row r="22">
      <c r="A22" s="77">
        <v>3.0</v>
      </c>
      <c r="B22" s="119" t="s">
        <v>38</v>
      </c>
      <c r="C22" s="13">
        <f>-SUMIFS('Lançamentos de despesas'!$I:$I,'Lançamentos de despesas'!$E:$E,"pago",'Lançamentos de despesas'!$P:$P,C$1,'Lançamentos de despesas'!$N:$N,$B22)</f>
        <v>0</v>
      </c>
    </row>
    <row r="23">
      <c r="A23" s="77">
        <v>3.0</v>
      </c>
      <c r="B23" s="119" t="s">
        <v>1775</v>
      </c>
      <c r="C23" s="13">
        <f>-SUMIFS('Lançamentos de despesas'!$I:$I,'Lançamentos de despesas'!$E:$E,"pago",'Lançamentos de despesas'!$P:$P,C$1,'Lançamentos de despesas'!$N:$N,$B23)</f>
        <v>0</v>
      </c>
    </row>
    <row r="24">
      <c r="A24" s="77">
        <v>3.0</v>
      </c>
      <c r="B24" s="119" t="s">
        <v>1776</v>
      </c>
      <c r="C24" s="13">
        <f>-SUMIFS('Lançamentos de despesas'!$I:$I,'Lançamentos de despesas'!$E:$E,"pago",'Lançamentos de despesas'!$P:$P,C$1,'Lançamentos de despesas'!$N:$N,$B24)</f>
        <v>0</v>
      </c>
    </row>
    <row r="25">
      <c r="A25" s="77">
        <v>3.0</v>
      </c>
      <c r="B25" s="119" t="s">
        <v>1777</v>
      </c>
      <c r="C25" s="13">
        <f>-SUMIFS('Lançamentos de despesas'!$I:$I,'Lançamentos de despesas'!$E:$E,"pago",'Lançamentos de despesas'!$P:$P,C$1,'Lançamentos de despesas'!$N:$N,$B25)</f>
        <v>0</v>
      </c>
    </row>
    <row r="26">
      <c r="A26" s="77">
        <v>3.0</v>
      </c>
      <c r="B26" s="119" t="s">
        <v>1778</v>
      </c>
      <c r="C26" s="13">
        <f>-SUMIFS('Lançamentos de despesas'!$I:$I,'Lançamentos de despesas'!$E:$E,"pago",'Lançamentos de despesas'!$P:$P,C$1,'Lançamentos de despesas'!$N:$N,$B26)</f>
        <v>0</v>
      </c>
    </row>
    <row r="27">
      <c r="A27" s="77">
        <v>3.0</v>
      </c>
      <c r="B27" s="119" t="s">
        <v>856</v>
      </c>
      <c r="C27" s="13">
        <f>-SUMIFS('Lançamentos de despesas'!$I:$I,'Lançamentos de despesas'!$E:$E,"pago",'Lançamentos de despesas'!$P:$P,C$1,'Lançamentos de despesas'!$N:$N,$B27)</f>
        <v>0</v>
      </c>
    </row>
    <row r="28">
      <c r="A28" s="77">
        <v>3.0</v>
      </c>
      <c r="B28" s="119" t="s">
        <v>126</v>
      </c>
      <c r="C28" s="13">
        <f>-SUMIFS('Lançamentos de despesas'!$I:$I,'Lançamentos de despesas'!$E:$E,"pago",'Lançamentos de despesas'!$P:$P,C$1,'Lançamentos de despesas'!$N:$N,$B28)</f>
        <v>0</v>
      </c>
    </row>
    <row r="29">
      <c r="A29" s="77">
        <v>3.0</v>
      </c>
      <c r="B29" s="119" t="s">
        <v>123</v>
      </c>
      <c r="C29" s="13">
        <f>-SUMIFS('Lançamentos de despesas'!$I:$I,'Lançamentos de despesas'!$E:$E,"pago",'Lançamentos de despesas'!$P:$P,C$1,'Lançamentos de despesas'!$N:$N,$B29)</f>
        <v>0</v>
      </c>
    </row>
    <row r="30">
      <c r="A30" s="77">
        <v>3.0</v>
      </c>
      <c r="B30" s="119" t="s">
        <v>1779</v>
      </c>
      <c r="C30" s="13">
        <f>-SUMIFS('Lançamentos de despesas'!$I:$I,'Lançamentos de despesas'!$E:$E,"pago",'Lançamentos de despesas'!$P:$P,C$1,'Lançamentos de despesas'!$N:$N,$B30)</f>
        <v>0</v>
      </c>
    </row>
    <row r="31">
      <c r="A31" s="77">
        <v>3.0</v>
      </c>
      <c r="B31" s="119" t="s">
        <v>204</v>
      </c>
      <c r="C31" s="13">
        <f>-SUMIFS('Lançamentos de despesas'!$I:$I,'Lançamentos de despesas'!$E:$E,"pago",'Lançamentos de despesas'!$P:$P,C$1,'Lançamentos de despesas'!$N:$N,$B31)</f>
        <v>0</v>
      </c>
    </row>
    <row r="32">
      <c r="A32" s="77">
        <v>3.0</v>
      </c>
      <c r="B32" s="119" t="s">
        <v>1095</v>
      </c>
      <c r="C32" s="13">
        <f>-SUMIFS('Lançamentos de despesas'!$I:$I,'Lançamentos de despesas'!$E:$E,"pago",'Lançamentos de despesas'!$P:$P,C$1,'Lançamentos de despesas'!$N:$N,$B32)</f>
        <v>0</v>
      </c>
    </row>
    <row r="33">
      <c r="A33" s="77">
        <v>3.0</v>
      </c>
      <c r="B33" s="119" t="s">
        <v>75</v>
      </c>
      <c r="C33" s="13">
        <f>-SUMIFS('Lançamentos de despesas'!$I:$I,'Lançamentos de despesas'!$E:$E,"pago",'Lançamentos de despesas'!$P:$P,C$1,'Lançamentos de despesas'!$N:$N,$B33)</f>
        <v>0</v>
      </c>
    </row>
    <row r="34">
      <c r="A34" s="77">
        <v>3.0</v>
      </c>
      <c r="B34" s="119" t="s">
        <v>78</v>
      </c>
      <c r="C34" s="13">
        <f>-SUMIFS('Lançamentos de despesas'!$I:$I,'Lançamentos de despesas'!$E:$E,"pago",'Lançamentos de despesas'!$P:$P,C$1,'Lançamentos de despesas'!$N:$N,$B34)</f>
        <v>0</v>
      </c>
    </row>
    <row r="35">
      <c r="A35" s="77">
        <v>3.0</v>
      </c>
      <c r="B35" s="119" t="s">
        <v>1053</v>
      </c>
      <c r="C35" s="13">
        <f>-SUMIFS('Lançamentos de despesas'!$I:$I,'Lançamentos de despesas'!$E:$E,"pago",'Lançamentos de despesas'!$P:$P,C$1,'Lançamentos de despesas'!$N:$N,$B35)</f>
        <v>0</v>
      </c>
    </row>
    <row r="36">
      <c r="A36" s="77">
        <v>3.0</v>
      </c>
      <c r="B36" s="119" t="s">
        <v>1780</v>
      </c>
      <c r="C36" s="13">
        <f>-SUMIFS('Lançamentos de despesas'!$I:$I,'Lançamentos de despesas'!$E:$E,"pago",'Lançamentos de despesas'!$P:$P,C$1,'Lançamentos de despesas'!$N:$N,$B36)</f>
        <v>0</v>
      </c>
    </row>
    <row r="37">
      <c r="A37" s="77">
        <v>3.0</v>
      </c>
      <c r="B37" s="119" t="s">
        <v>49</v>
      </c>
      <c r="C37" s="13">
        <f>-SUMIFS('Lançamentos de despesas'!$I:$I,'Lançamentos de despesas'!$E:$E,"pago",'Lançamentos de despesas'!$P:$P,C$1,'Lançamentos de despesas'!$N:$N,$B37)</f>
        <v>0</v>
      </c>
    </row>
    <row r="38">
      <c r="A38" s="77">
        <v>3.0</v>
      </c>
      <c r="B38" s="119" t="s">
        <v>1781</v>
      </c>
      <c r="C38" s="13">
        <f>-SUMIFS('Lançamentos de despesas'!$I:$I,'Lançamentos de despesas'!$E:$E,"pago",'Lançamentos de despesas'!$P:$P,C$1,'Lançamentos de despesas'!$N:$N,$B38)</f>
        <v>0</v>
      </c>
    </row>
    <row r="39">
      <c r="A39" s="77">
        <v>3.0</v>
      </c>
      <c r="B39" s="119" t="s">
        <v>1782</v>
      </c>
      <c r="C39" s="13">
        <f>-SUMIFS('Lançamentos de despesas'!$I:$I,'Lançamentos de despesas'!$E:$E,"pago",'Lançamentos de despesas'!$P:$P,C$1,'Lançamentos de despesas'!$N:$N,$B39)</f>
        <v>0</v>
      </c>
    </row>
    <row r="40">
      <c r="A40" s="77">
        <v>3.0</v>
      </c>
      <c r="B40" s="119" t="s">
        <v>405</v>
      </c>
      <c r="C40" s="13">
        <f>-SUMIFS('Lançamentos de despesas'!$I:$I,'Lançamentos de despesas'!$E:$E,"pago",'Lançamentos de despesas'!$P:$P,C$1,'Lançamentos de despesas'!$N:$N,$B40)</f>
        <v>0</v>
      </c>
    </row>
    <row r="41">
      <c r="A41" s="77">
        <v>3.0</v>
      </c>
      <c r="B41" s="119" t="s">
        <v>1783</v>
      </c>
      <c r="C41" s="13">
        <f>-SUMIFS('Lançamentos de despesas'!$I:$I,'Lançamentos de despesas'!$E:$E,"pago",'Lançamentos de despesas'!$P:$P,C$1,'Lançamentos de despesas'!$N:$N,$B41)</f>
        <v>0</v>
      </c>
    </row>
    <row r="42">
      <c r="A42" s="77">
        <v>3.0</v>
      </c>
      <c r="B42" s="119" t="s">
        <v>595</v>
      </c>
      <c r="C42" s="13">
        <f>-SUMIFS('Lançamentos de despesas'!$I:$I,'Lançamentos de despesas'!$E:$E,"pago",'Lançamentos de despesas'!$P:$P,C$1,'Lançamentos de despesas'!$N:$N,$B42)</f>
        <v>0</v>
      </c>
    </row>
    <row r="43">
      <c r="A43" s="77">
        <v>3.0</v>
      </c>
      <c r="B43" s="119" t="s">
        <v>1784</v>
      </c>
      <c r="C43" s="13">
        <f>-SUMIFS('Lançamentos de despesas'!$I:$I,'Lançamentos de despesas'!$E:$E,"pago",'Lançamentos de despesas'!$P:$P,C$1,'Lançamentos de despesas'!$N:$N,$B43)</f>
        <v>0</v>
      </c>
    </row>
    <row r="44">
      <c r="A44" s="77">
        <v>3.0</v>
      </c>
      <c r="B44" s="119" t="s">
        <v>1785</v>
      </c>
      <c r="C44" s="13">
        <f>-SUMIFS('Lançamentos de despesas'!$I:$I,'Lançamentos de despesas'!$E:$E,"pago",'Lançamentos de despesas'!$P:$P,C$1,'Lançamentos de despesas'!$N:$N,$B44)</f>
        <v>0</v>
      </c>
    </row>
    <row r="45">
      <c r="A45" s="77">
        <v>3.0</v>
      </c>
      <c r="B45" s="119" t="s">
        <v>1786</v>
      </c>
      <c r="C45" s="13">
        <f>-SUMIFS('Lançamentos de despesas'!$I:$I,'Lançamentos de despesas'!$E:$E,"pago",'Lançamentos de despesas'!$P:$P,C$1,'Lançamentos de despesas'!$N:$N,$B45)</f>
        <v>0</v>
      </c>
    </row>
    <row r="46">
      <c r="A46" s="77">
        <v>3.0</v>
      </c>
      <c r="B46" s="119" t="s">
        <v>1787</v>
      </c>
      <c r="C46" s="13">
        <f>-SUMIFS('Lançamentos de despesas'!$I:$I,'Lançamentos de despesas'!$E:$E,"pago",'Lançamentos de despesas'!$P:$P,C$1,'Lançamentos de despesas'!$N:$N,$B46)</f>
        <v>0</v>
      </c>
    </row>
    <row r="47">
      <c r="A47" s="77">
        <v>3.0</v>
      </c>
      <c r="B47" s="119" t="s">
        <v>1788</v>
      </c>
      <c r="C47" s="13">
        <f>-SUMIFS('Lançamentos de despesas'!$I:$I,'Lançamentos de despesas'!$E:$E,"pago",'Lançamentos de despesas'!$P:$P,C$1,'Lançamentos de despesas'!$N:$N,$B47)</f>
        <v>0</v>
      </c>
    </row>
    <row r="48">
      <c r="A48" s="77">
        <v>3.0</v>
      </c>
      <c r="B48" s="121" t="s">
        <v>64</v>
      </c>
      <c r="C48" s="13">
        <f>-SUMIFS('Lançamentos de despesas'!$I:$I,'Lançamentos de despesas'!$E:$E,"pago",'Lançamentos de despesas'!$P:$P,C$1,'Lançamentos de despesas'!$N:$N,$B48)</f>
        <v>0</v>
      </c>
    </row>
    <row r="49">
      <c r="A49" s="77">
        <v>2.0</v>
      </c>
      <c r="B49" s="118" t="s">
        <v>1732</v>
      </c>
      <c r="C49" s="13">
        <f>SUBTOTAL(9,C50:C63)</f>
        <v>0</v>
      </c>
    </row>
    <row r="50">
      <c r="A50" s="77">
        <v>3.0</v>
      </c>
      <c r="B50" s="119" t="s">
        <v>1789</v>
      </c>
      <c r="C50" s="13">
        <f>-SUMIFS('Lançamentos de despesas'!$I:$I,'Lançamentos de despesas'!$E:$E,"pago",'Lançamentos de despesas'!$P:$P,C$1,'Lançamentos de despesas'!$N:$N,$B50)</f>
        <v>0</v>
      </c>
    </row>
    <row r="51">
      <c r="A51" s="77">
        <v>3.0</v>
      </c>
      <c r="B51" s="119" t="s">
        <v>61</v>
      </c>
      <c r="C51" s="13">
        <f>-SUMIFS('Lançamentos de despesas'!$I:$I,'Lançamentos de despesas'!$E:$E,"pago",'Lançamentos de despesas'!$P:$P,C$1,'Lançamentos de despesas'!$N:$N,$B51)</f>
        <v>0</v>
      </c>
    </row>
    <row r="52">
      <c r="A52" s="77">
        <v>3.0</v>
      </c>
      <c r="B52" s="119" t="s">
        <v>1790</v>
      </c>
      <c r="C52" s="13">
        <f>-SUMIFS('Lançamentos de despesas'!$I:$I,'Lançamentos de despesas'!$E:$E,"pago",'Lançamentos de despesas'!$P:$P,C$1,'Lançamentos de despesas'!$N:$N,$B52)</f>
        <v>0</v>
      </c>
    </row>
    <row r="53">
      <c r="A53" s="77">
        <v>3.0</v>
      </c>
      <c r="B53" s="119" t="s">
        <v>1791</v>
      </c>
      <c r="C53" s="13">
        <f>-SUMIFS('Lançamentos de despesas'!$I:$I,'Lançamentos de despesas'!$E:$E,"pago",'Lançamentos de despesas'!$P:$P,C$1,'Lançamentos de despesas'!$N:$N,$B53)</f>
        <v>0</v>
      </c>
    </row>
    <row r="54">
      <c r="A54" s="77">
        <v>3.0</v>
      </c>
      <c r="B54" s="119" t="s">
        <v>1792</v>
      </c>
      <c r="C54" s="13">
        <f>-SUMIFS('Lançamentos de despesas'!$I:$I,'Lançamentos de despesas'!$E:$E,"pago",'Lançamentos de despesas'!$P:$P,C$1,'Lançamentos de despesas'!$N:$N,$B54)</f>
        <v>0</v>
      </c>
    </row>
    <row r="55">
      <c r="A55" s="77">
        <v>3.0</v>
      </c>
      <c r="B55" s="119" t="s">
        <v>1793</v>
      </c>
      <c r="C55" s="13">
        <f>-SUMIFS('Lançamentos de despesas'!$I:$I,'Lançamentos de despesas'!$E:$E,"pago",'Lançamentos de despesas'!$P:$P,C$1,'Lançamentos de despesas'!$N:$N,$B55)</f>
        <v>0</v>
      </c>
    </row>
    <row r="56">
      <c r="A56" s="77">
        <v>3.0</v>
      </c>
      <c r="B56" s="119" t="s">
        <v>224</v>
      </c>
      <c r="C56" s="13">
        <f>-SUMIFS('Lançamentos de despesas'!$I:$I,'Lançamentos de despesas'!$E:$E,"pago",'Lançamentos de despesas'!$P:$P,C$1,'Lançamentos de despesas'!$N:$N,$B56)</f>
        <v>0</v>
      </c>
    </row>
    <row r="57">
      <c r="A57" s="77">
        <v>3.0</v>
      </c>
      <c r="B57" s="119" t="s">
        <v>58</v>
      </c>
      <c r="C57" s="13">
        <f>-SUMIFS('Lançamentos de despesas'!$I:$I,'Lançamentos de despesas'!$E:$E,"pago",'Lançamentos de despesas'!$P:$P,C$1,'Lançamentos de despesas'!$N:$N,$B57)</f>
        <v>0</v>
      </c>
    </row>
    <row r="58">
      <c r="A58" s="77">
        <v>3.0</v>
      </c>
      <c r="B58" s="119" t="s">
        <v>184</v>
      </c>
      <c r="C58" s="13">
        <f>-SUMIFS('Lançamentos de despesas'!$I:$I,'Lançamentos de despesas'!$E:$E,"pago",'Lançamentos de despesas'!$P:$P,C$1,'Lançamentos de despesas'!$N:$N,$B58)</f>
        <v>0</v>
      </c>
    </row>
    <row r="59">
      <c r="A59" s="77">
        <v>3.0</v>
      </c>
      <c r="B59" s="119" t="s">
        <v>120</v>
      </c>
      <c r="C59" s="13">
        <f>-SUMIFS('Lançamentos de despesas'!$I:$I,'Lançamentos de despesas'!$E:$E,"pago",'Lançamentos de despesas'!$P:$P,C$1,'Lançamentos de despesas'!$N:$N,$B59)</f>
        <v>0</v>
      </c>
    </row>
    <row r="60">
      <c r="A60" s="77">
        <v>3.0</v>
      </c>
      <c r="B60" s="119" t="s">
        <v>443</v>
      </c>
      <c r="C60" s="13">
        <f>-SUMIFS('Lançamentos de despesas'!$I:$I,'Lançamentos de despesas'!$E:$E,"pago",'Lançamentos de despesas'!$P:$P,C$1,'Lançamentos de despesas'!$N:$N,$B60)</f>
        <v>0</v>
      </c>
    </row>
    <row r="61">
      <c r="A61" s="77">
        <v>3.0</v>
      </c>
      <c r="B61" s="119" t="s">
        <v>347</v>
      </c>
      <c r="C61" s="13">
        <f>-SUMIFS('Lançamentos de despesas'!$I:$I,'Lançamentos de despesas'!$E:$E,"pago",'Lançamentos de despesas'!$P:$P,C$1,'Lançamentos de despesas'!$N:$N,$B61)</f>
        <v>0</v>
      </c>
    </row>
    <row r="62">
      <c r="A62" s="77">
        <v>3.0</v>
      </c>
      <c r="B62" s="121" t="s">
        <v>448</v>
      </c>
      <c r="C62" s="13">
        <f>-SUMIFS('Lançamentos de despesas'!$I:$I,'Lançamentos de despesas'!$E:$E,"pago",'Lançamentos de despesas'!$P:$P,C$1,'Lançamentos de despesas'!$N:$N,$B62)</f>
        <v>0</v>
      </c>
    </row>
    <row r="63">
      <c r="A63" s="77">
        <v>3.0</v>
      </c>
      <c r="B63" s="117" t="s">
        <v>105</v>
      </c>
      <c r="C63" s="13">
        <f>-SUMIFS('Lançamentos de despesas'!$I:$I,'Lançamentos de despesas'!$E:$E,"pago",'Lançamentos de despesas'!$P:$P,C$1,'Lançamentos de despesas'!$N:$N,$B63)</f>
        <v>0</v>
      </c>
    </row>
    <row r="64">
      <c r="A64" s="77">
        <v>2.0</v>
      </c>
      <c r="B64" s="118" t="s">
        <v>1747</v>
      </c>
      <c r="C64" s="13">
        <f>C65</f>
        <v>0</v>
      </c>
    </row>
    <row r="65">
      <c r="A65" s="77">
        <v>3.0</v>
      </c>
      <c r="B65" s="121" t="s">
        <v>355</v>
      </c>
      <c r="C65" s="13">
        <f>-SUMIFS('Lançamentos de despesas'!$I:$I,'Lançamentos de despesas'!$E:$E,"pago",'Lançamentos de despesas'!$P:$P,C$1,'Lançamentos de despesas'!$N:$N,$B65)</f>
        <v>0</v>
      </c>
    </row>
    <row r="66">
      <c r="A66" s="77">
        <v>2.0</v>
      </c>
      <c r="B66" s="118" t="s">
        <v>1739</v>
      </c>
      <c r="C66" s="13">
        <f>SUBTOTAL(9,C67:C74)</f>
        <v>0</v>
      </c>
    </row>
    <row r="67">
      <c r="A67" s="77">
        <v>3.0</v>
      </c>
      <c r="B67" s="119" t="s">
        <v>1794</v>
      </c>
      <c r="C67" s="13">
        <f>-SUMIFS('Lançamentos de despesas'!$I:$I,'Lançamentos de despesas'!$E:$E,"pago",'Lançamentos de despesas'!$P:$P,C$1,'Lançamentos de despesas'!$N:$N,$B67)</f>
        <v>0</v>
      </c>
    </row>
    <row r="68">
      <c r="A68" s="77">
        <v>3.0</v>
      </c>
      <c r="B68" s="119" t="s">
        <v>181</v>
      </c>
      <c r="C68" s="13">
        <f>-SUMIFS('Lançamentos de despesas'!$I:$I,'Lançamentos de despesas'!$E:$E,"pago",'Lançamentos de despesas'!$P:$P,C$1,'Lançamentos de despesas'!$N:$N,$B68)</f>
        <v>0</v>
      </c>
    </row>
    <row r="69">
      <c r="A69" s="77">
        <v>3.0</v>
      </c>
      <c r="B69" s="119" t="s">
        <v>233</v>
      </c>
      <c r="C69" s="13">
        <f>-SUMIFS('Lançamentos de despesas'!$I:$I,'Lançamentos de despesas'!$E:$E,"pago",'Lançamentos de despesas'!$P:$P,C$1,'Lançamentos de despesas'!$N:$N,$B69)</f>
        <v>0</v>
      </c>
    </row>
    <row r="70">
      <c r="A70" s="77">
        <v>3.0</v>
      </c>
      <c r="B70" s="119" t="s">
        <v>1795</v>
      </c>
      <c r="C70" s="13">
        <f>-SUMIFS('Lançamentos de despesas'!$I:$I,'Lançamentos de despesas'!$E:$E,"pago",'Lançamentos de despesas'!$P:$P,C$1,'Lançamentos de despesas'!$N:$N,$B70)</f>
        <v>0</v>
      </c>
    </row>
    <row r="71">
      <c r="A71" s="77">
        <v>3.0</v>
      </c>
      <c r="B71" s="119" t="s">
        <v>175</v>
      </c>
      <c r="C71" s="13">
        <f>-SUMIFS('Lançamentos de despesas'!$I:$I,'Lançamentos de despesas'!$E:$E,"pago",'Lançamentos de despesas'!$P:$P,C$1,'Lançamentos de despesas'!$N:$N,$B71)</f>
        <v>0</v>
      </c>
    </row>
    <row r="72">
      <c r="A72" s="77">
        <v>3.0</v>
      </c>
      <c r="B72" s="119" t="s">
        <v>584</v>
      </c>
      <c r="C72" s="13">
        <f>-SUMIFS('Lançamentos de despesas'!$I:$I,'Lançamentos de despesas'!$E:$E,"pago",'Lançamentos de despesas'!$P:$P,C$1,'Lançamentos de despesas'!$N:$N,$B72)</f>
        <v>0</v>
      </c>
    </row>
    <row r="73">
      <c r="A73" s="77">
        <v>3.0</v>
      </c>
      <c r="B73" s="119" t="s">
        <v>1796</v>
      </c>
      <c r="C73" s="13">
        <f>-SUMIFS('Lançamentos de despesas'!$I:$I,'Lançamentos de despesas'!$E:$E,"pago",'Lançamentos de despesas'!$P:$P,C$1,'Lançamentos de despesas'!$N:$N,$B73)</f>
        <v>0</v>
      </c>
    </row>
    <row r="74">
      <c r="A74" s="77">
        <v>3.0</v>
      </c>
      <c r="B74" s="119" t="s">
        <v>133</v>
      </c>
      <c r="C74" s="13">
        <f>-SUMIFS('Lançamentos de despesas'!$I:$I,'Lançamentos de despesas'!$E:$E,"pago",'Lançamentos de despesas'!$P:$P,C$1,'Lançamentos de despesas'!$N:$N,$B74)</f>
        <v>0</v>
      </c>
    </row>
    <row r="75">
      <c r="A75" s="77">
        <v>2.0</v>
      </c>
      <c r="B75" s="118" t="s">
        <v>1735</v>
      </c>
      <c r="C75" s="13">
        <f>SUBTOTAL(9,C76:C97)</f>
        <v>0</v>
      </c>
    </row>
    <row r="76">
      <c r="A76" s="77">
        <v>3.0</v>
      </c>
      <c r="B76" s="119" t="s">
        <v>30</v>
      </c>
      <c r="C76" s="13">
        <f>-SUMIFS('Lançamentos de despesas'!$I:$I,'Lançamentos de despesas'!$E:$E,"pago",'Lançamentos de despesas'!$P:$P,C$1,'Lançamentos de despesas'!$N:$N,$B76)</f>
        <v>0</v>
      </c>
    </row>
    <row r="77">
      <c r="A77" s="77">
        <v>3.0</v>
      </c>
      <c r="B77" s="119" t="s">
        <v>42</v>
      </c>
      <c r="C77" s="13">
        <f>-SUMIFS('Lançamentos de despesas'!$I:$I,'Lançamentos de despesas'!$E:$E,"pago",'Lançamentos de despesas'!$P:$P,C$1,'Lançamentos de despesas'!$N:$N,$B77)</f>
        <v>0</v>
      </c>
    </row>
    <row r="78">
      <c r="A78" s="77">
        <v>3.0</v>
      </c>
      <c r="B78" s="119" t="s">
        <v>1797</v>
      </c>
      <c r="C78" s="13">
        <f>-SUMIFS('Lançamentos de despesas'!$I:$I,'Lançamentos de despesas'!$E:$E,"pago",'Lançamentos de despesas'!$P:$P,C$1,'Lançamentos de despesas'!$N:$N,$B78)</f>
        <v>0</v>
      </c>
    </row>
    <row r="79">
      <c r="A79" s="77">
        <v>3.0</v>
      </c>
      <c r="B79" s="122" t="s">
        <v>51</v>
      </c>
      <c r="C79" s="13">
        <f>-SUMIFS('Lançamentos de despesas'!$I:$I,'Lançamentos de despesas'!$E:$E,"pago",'Lançamentos de despesas'!$P:$P,C$1,'Lançamentos de despesas'!$N:$N,$B79)</f>
        <v>0</v>
      </c>
    </row>
    <row r="80">
      <c r="A80" s="77">
        <v>3.0</v>
      </c>
      <c r="B80" s="122" t="s">
        <v>172</v>
      </c>
      <c r="C80" s="13">
        <f>-SUMIFS('Lançamentos de despesas'!$I:$I,'Lançamentos de despesas'!$E:$E,"pago",'Lançamentos de despesas'!$P:$P,C$1,'Lançamentos de despesas'!$N:$N,$B80)</f>
        <v>0</v>
      </c>
    </row>
    <row r="81">
      <c r="A81" s="77">
        <v>3.0</v>
      </c>
      <c r="B81" s="122" t="s">
        <v>92</v>
      </c>
      <c r="C81" s="13">
        <f>-SUMIFS('Lançamentos de despesas'!$I:$I,'Lançamentos de despesas'!$E:$E,"pago",'Lançamentos de despesas'!$P:$P,C$1,'Lançamentos de despesas'!$N:$N,$B81)</f>
        <v>0</v>
      </c>
    </row>
    <row r="82">
      <c r="A82" s="77">
        <v>3.0</v>
      </c>
      <c r="B82" s="122" t="s">
        <v>210</v>
      </c>
      <c r="C82" s="13">
        <f>-SUMIFS('Lançamentos de despesas'!$I:$I,'Lançamentos de despesas'!$E:$E,"pago",'Lançamentos de despesas'!$P:$P,C$1,'Lançamentos de despesas'!$N:$N,$B82)</f>
        <v>0</v>
      </c>
    </row>
    <row r="83">
      <c r="A83" s="77">
        <v>3.0</v>
      </c>
      <c r="B83" s="122" t="s">
        <v>178</v>
      </c>
      <c r="C83" s="13">
        <f>-SUMIFS('Lançamentos de despesas'!$I:$I,'Lançamentos de despesas'!$E:$E,"pago",'Lançamentos de despesas'!$P:$P,C$1,'Lançamentos de despesas'!$N:$N,$B83)</f>
        <v>0</v>
      </c>
    </row>
    <row r="84">
      <c r="A84" s="77">
        <v>3.0</v>
      </c>
      <c r="B84" s="122" t="s">
        <v>136</v>
      </c>
      <c r="C84" s="13">
        <f>-SUMIFS('Lançamentos de despesas'!$I:$I,'Lançamentos de despesas'!$E:$E,"pago",'Lançamentos de despesas'!$P:$P,C$1,'Lançamentos de despesas'!$N:$N,$B84)</f>
        <v>0</v>
      </c>
    </row>
    <row r="85">
      <c r="A85" s="77">
        <v>3.0</v>
      </c>
      <c r="B85" s="122" t="s">
        <v>116</v>
      </c>
      <c r="C85" s="13">
        <f>-SUMIFS('Lançamentos de despesas'!$I:$I,'Lançamentos de despesas'!$E:$E,"pago",'Lançamentos de despesas'!$P:$P,C$1,'Lançamentos de despesas'!$N:$N,$B85)</f>
        <v>0</v>
      </c>
    </row>
    <row r="86">
      <c r="A86" s="77">
        <v>3.0</v>
      </c>
      <c r="B86" s="122" t="s">
        <v>392</v>
      </c>
      <c r="C86" s="13">
        <f>-SUMIFS('Lançamentos de despesas'!$I:$I,'Lançamentos de despesas'!$E:$E,"pago",'Lançamentos de despesas'!$P:$P,C$1,'Lançamentos de despesas'!$N:$N,$B86)</f>
        <v>0</v>
      </c>
    </row>
    <row r="87">
      <c r="A87" s="77">
        <v>3.0</v>
      </c>
      <c r="B87" s="122" t="s">
        <v>1798</v>
      </c>
      <c r="C87" s="13">
        <f>-SUMIFS('Lançamentos de despesas'!$I:$I,'Lançamentos de despesas'!$E:$E,"pago",'Lançamentos de despesas'!$P:$P,C$1,'Lançamentos de despesas'!$N:$N,$B87)</f>
        <v>0</v>
      </c>
    </row>
    <row r="88">
      <c r="A88" s="77">
        <v>3.0</v>
      </c>
      <c r="B88" s="122" t="s">
        <v>201</v>
      </c>
      <c r="C88" s="13">
        <f>-SUMIFS('Lançamentos de despesas'!$I:$I,'Lançamentos de despesas'!$E:$E,"pago",'Lançamentos de despesas'!$P:$P,C$1,'Lançamentos de despesas'!$N:$N,$B88)</f>
        <v>0</v>
      </c>
    </row>
    <row r="89">
      <c r="A89" s="77">
        <v>3.0</v>
      </c>
      <c r="B89" s="122" t="s">
        <v>1799</v>
      </c>
      <c r="C89" s="13">
        <f>-SUMIFS('Lançamentos de despesas'!$I:$I,'Lançamentos de despesas'!$E:$E,"pago",'Lançamentos de despesas'!$P:$P,C$1,'Lançamentos de despesas'!$N:$N,$B89)</f>
        <v>0</v>
      </c>
    </row>
    <row r="90">
      <c r="A90" s="77">
        <v>3.0</v>
      </c>
      <c r="B90" s="123" t="s">
        <v>693</v>
      </c>
      <c r="C90" s="13">
        <f>-SUMIFS('Lançamentos de despesas'!$I:$I,'Lançamentos de despesas'!$E:$E,"pago",'Lançamentos de despesas'!$P:$P,C$1,'Lançamentos de despesas'!$N:$N,$B90)</f>
        <v>0</v>
      </c>
    </row>
    <row r="91">
      <c r="A91" s="77">
        <v>2.0</v>
      </c>
      <c r="B91" s="118" t="s">
        <v>1740</v>
      </c>
      <c r="C91" s="13">
        <f>SUBTOTAL(9,C92:C97)</f>
        <v>0</v>
      </c>
    </row>
    <row r="92">
      <c r="A92" s="77">
        <v>3.0</v>
      </c>
      <c r="B92" s="122" t="s">
        <v>331</v>
      </c>
      <c r="C92" s="13">
        <f>-SUMIFS('Lançamentos de despesas'!$I:$I,'Lançamentos de despesas'!$E:$E,"pago",'Lançamentos de despesas'!$P:$P,C$1,'Lançamentos de despesas'!$N:$N,$B92)</f>
        <v>0</v>
      </c>
    </row>
    <row r="93">
      <c r="A93" s="77">
        <v>3.0</v>
      </c>
      <c r="B93" s="122" t="s">
        <v>272</v>
      </c>
      <c r="C93" s="13">
        <f>-SUMIFS('Lançamentos de despesas'!$I:$I,'Lançamentos de despesas'!$E:$E,"pago",'Lançamentos de despesas'!$P:$P,C$1,'Lançamentos de despesas'!$N:$N,$B93)</f>
        <v>0</v>
      </c>
    </row>
    <row r="94">
      <c r="A94" s="77">
        <v>3.0</v>
      </c>
      <c r="B94" s="122" t="s">
        <v>218</v>
      </c>
      <c r="C94" s="13">
        <f>-SUMIFS('Lançamentos de despesas'!$I:$I,'Lançamentos de despesas'!$E:$E,"pago",'Lançamentos de despesas'!$P:$P,C$1,'Lançamentos de despesas'!$N:$N,$B94)</f>
        <v>0</v>
      </c>
    </row>
    <row r="95">
      <c r="A95" s="77">
        <v>3.0</v>
      </c>
      <c r="B95" s="123" t="s">
        <v>1800</v>
      </c>
      <c r="C95" s="13">
        <f>-SUMIFS('Lançamentos de despesas'!$I:$I,'Lançamentos de despesas'!$E:$E,"pago",'Lançamentos de despesas'!$P:$P,C$1,'Lançamentos de despesas'!$N:$N,$B95)</f>
        <v>0</v>
      </c>
    </row>
    <row r="96">
      <c r="A96" s="77">
        <v>3.0</v>
      </c>
      <c r="B96" s="124" t="s">
        <v>266</v>
      </c>
      <c r="C96" s="13">
        <f>-SUMIFS('Lançamentos de despesas'!$I:$I,'Lançamentos de despesas'!$E:$E,"pago",'Lançamentos de despesas'!$P:$P,C$1,'Lançamentos de despesas'!$N:$N,$B96)</f>
        <v>0</v>
      </c>
    </row>
    <row r="97">
      <c r="A97" s="77">
        <v>3.0</v>
      </c>
      <c r="B97" s="124" t="s">
        <v>1801</v>
      </c>
      <c r="C97" s="13">
        <f>-SUMIFS('Lançamentos de despesas'!$I:$I,'Lançamentos de despesas'!$E:$E,"pago",'Lançamentos de despesas'!$P:$P,C$1,'Lançamentos de despesas'!$N:$N,$B97)</f>
        <v>0</v>
      </c>
    </row>
    <row r="98">
      <c r="A98" s="77">
        <v>2.0</v>
      </c>
      <c r="B98" s="118" t="s">
        <v>1742</v>
      </c>
      <c r="C98" s="13">
        <f>SUBTOTAL(9,C99:C101)</f>
        <v>0</v>
      </c>
    </row>
    <row r="99">
      <c r="A99" s="77">
        <v>3.0</v>
      </c>
      <c r="B99" s="122" t="s">
        <v>1802</v>
      </c>
      <c r="C99" s="13">
        <f>-SUMIFS('Lançamentos de despesas'!$I:$I,'Lançamentos de despesas'!$E:$E,"pago",'Lançamentos de despesas'!$P:$P,C$1,'Lançamentos de despesas'!$N:$N,$B99)</f>
        <v>0</v>
      </c>
    </row>
    <row r="100">
      <c r="A100" s="77">
        <v>3.0</v>
      </c>
      <c r="B100" s="122" t="s">
        <v>1803</v>
      </c>
      <c r="C100" s="13">
        <f>-SUMIFS('Lançamentos de despesas'!$I:$I,'Lançamentos de despesas'!$E:$E,"pago",'Lançamentos de despesas'!$P:$P,C$1,'Lançamentos de despesas'!$N:$N,$B100)</f>
        <v>0</v>
      </c>
    </row>
    <row r="101">
      <c r="A101" s="77">
        <v>3.0</v>
      </c>
      <c r="B101" s="122" t="s">
        <v>1804</v>
      </c>
      <c r="C101" s="13">
        <f>-SUMIFS('Lançamentos de despesas'!$I:$I,'Lançamentos de despesas'!$E:$E,"pago",'Lançamentos de despesas'!$P:$P,C$1,'Lançamentos de despesas'!$N:$N,$B101)</f>
        <v>0</v>
      </c>
    </row>
    <row r="102">
      <c r="A102" s="77">
        <v>1.0</v>
      </c>
      <c r="B102" s="120" t="s">
        <v>1805</v>
      </c>
      <c r="C102" s="13">
        <f>C18-C20</f>
        <v>0</v>
      </c>
    </row>
    <row r="103">
      <c r="A103" s="10"/>
      <c r="C103" s="13"/>
    </row>
    <row r="104">
      <c r="A104" s="77">
        <v>1.0</v>
      </c>
      <c r="B104" s="120" t="s">
        <v>1806</v>
      </c>
      <c r="C104" s="13">
        <f>SUM(C105:C109)</f>
        <v>0</v>
      </c>
    </row>
    <row r="105">
      <c r="A105" s="77">
        <v>3.0</v>
      </c>
      <c r="B105" s="119" t="s">
        <v>1807</v>
      </c>
      <c r="C105" s="13">
        <f>-SUMIFS('Lançamentos de despesas'!$I:$I,'Lançamentos de despesas'!$E:$E,"pago",'Lançamentos de despesas'!$P:$P,C$1,'Lançamentos de despesas'!$N:$N,$B105)</f>
        <v>0</v>
      </c>
    </row>
    <row r="106">
      <c r="A106" s="77">
        <v>3.0</v>
      </c>
      <c r="B106" s="119" t="s">
        <v>1808</v>
      </c>
      <c r="C106" s="13">
        <f>-SUMIFS('Lançamentos de despesas'!$I:$I,'Lançamentos de despesas'!$E:$E,"pago",'Lançamentos de despesas'!$P:$P,C$1,'Lançamentos de despesas'!$N:$N,$B106)</f>
        <v>0</v>
      </c>
    </row>
    <row r="107">
      <c r="A107" s="77">
        <v>3.0</v>
      </c>
      <c r="B107" s="119" t="s">
        <v>1809</v>
      </c>
      <c r="C107" s="13">
        <f>-SUMIFS('Lançamentos de despesas'!$I:$I,'Lançamentos de despesas'!$E:$E,"pago",'Lançamentos de despesas'!$P:$P,C$1,'Lançamentos de despesas'!$N:$N,$B107)</f>
        <v>0</v>
      </c>
    </row>
    <row r="108">
      <c r="A108" s="77">
        <v>3.0</v>
      </c>
      <c r="B108" s="119" t="s">
        <v>97</v>
      </c>
      <c r="C108" s="13">
        <f>-SUMIFS('Lançamentos de despesas'!$I:$I,'Lançamentos de despesas'!$E:$E,"pago",'Lançamentos de despesas'!$P:$P,C$1,'Lançamentos de despesas'!$N:$N,$B108)</f>
        <v>0</v>
      </c>
    </row>
    <row r="109">
      <c r="A109" s="77">
        <v>3.0</v>
      </c>
      <c r="B109" s="119" t="s">
        <v>574</v>
      </c>
      <c r="C109" s="13">
        <f>-SUMIFS('Lançamentos de despesas'!$I:$I,'Lançamentos de despesas'!$E:$E,"pago",'Lançamentos de despesas'!$P:$P,C$1,'Lançamentos de despesas'!$N:$N,$B109)</f>
        <v>0</v>
      </c>
    </row>
    <row r="110">
      <c r="A110" s="10"/>
      <c r="C110" s="13"/>
    </row>
    <row r="111">
      <c r="A111" s="77">
        <v>1.0</v>
      </c>
      <c r="B111" s="120" t="s">
        <v>1810</v>
      </c>
      <c r="C111" s="13">
        <f>-C112+C124</f>
        <v>0</v>
      </c>
    </row>
    <row r="112">
      <c r="A112" s="77">
        <v>2.0</v>
      </c>
      <c r="B112" s="118" t="s">
        <v>1669</v>
      </c>
      <c r="C112" s="13">
        <f>SUBTOTAL(9,C113:C123)</f>
        <v>0</v>
      </c>
    </row>
    <row r="113">
      <c r="A113" s="77">
        <v>3.0</v>
      </c>
      <c r="B113" s="119" t="s">
        <v>95</v>
      </c>
      <c r="C113" s="13">
        <f>-SUMIFS('Lançamentos de despesas'!$I:$I,'Lançamentos de despesas'!$E:$E,"pago",'Lançamentos de despesas'!$P:$P,C$1,'Lançamentos de despesas'!$N:$N,$B113)</f>
        <v>0</v>
      </c>
    </row>
    <row r="114">
      <c r="A114" s="77">
        <v>3.0</v>
      </c>
      <c r="B114" s="119" t="s">
        <v>363</v>
      </c>
      <c r="C114" s="13">
        <f>-SUMIFS('Lançamentos de despesas'!$I:$I,'Lançamentos de despesas'!$E:$E,"pago",'Lançamentos de despesas'!$P:$P,C$1,'Lançamentos de despesas'!$N:$N,$B114)</f>
        <v>0</v>
      </c>
    </row>
    <row r="115">
      <c r="A115" s="77">
        <v>3.0</v>
      </c>
      <c r="B115" s="119" t="s">
        <v>85</v>
      </c>
      <c r="C115" s="13">
        <f>-SUMIFS('Lançamentos de despesas'!$I:$I,'Lançamentos de despesas'!$E:$E,"pago",'Lançamentos de despesas'!$P:$P,C$1,'Lançamentos de despesas'!$N:$N,$B115)</f>
        <v>0</v>
      </c>
    </row>
    <row r="116">
      <c r="A116" s="77">
        <v>3.0</v>
      </c>
      <c r="B116" s="119" t="s">
        <v>212</v>
      </c>
      <c r="C116" s="13">
        <f>-SUMIFS('Lançamentos de despesas'!$I:$I,'Lançamentos de despesas'!$E:$E,"pago",'Lançamentos de despesas'!$P:$P,C$1,'Lançamentos de despesas'!$N:$N,$B116)</f>
        <v>0</v>
      </c>
    </row>
    <row r="117">
      <c r="A117" s="77">
        <v>3.0</v>
      </c>
      <c r="B117" s="119" t="s">
        <v>1811</v>
      </c>
      <c r="C117" s="13">
        <f>-SUMIFS('Lançamentos de despesas'!$I:$I,'Lançamentos de despesas'!$E:$E,"pago",'Lançamentos de despesas'!$P:$P,C$1,'Lançamentos de despesas'!$N:$N,$B117)</f>
        <v>0</v>
      </c>
    </row>
    <row r="118">
      <c r="A118" s="77">
        <v>3.0</v>
      </c>
      <c r="B118" s="119" t="s">
        <v>1812</v>
      </c>
      <c r="C118" s="13">
        <f>-SUMIFS('Lançamentos de despesas'!$I:$I,'Lançamentos de despesas'!$E:$E,"pago",'Lançamentos de despesas'!$P:$P,C$1,'Lançamentos de despesas'!$N:$N,$B118)</f>
        <v>0</v>
      </c>
    </row>
    <row r="119">
      <c r="A119" s="77">
        <v>3.0</v>
      </c>
      <c r="B119" s="119" t="s">
        <v>55</v>
      </c>
      <c r="C119" s="13">
        <f>-SUMIFS('Lançamentos de despesas'!$I:$I,'Lançamentos de despesas'!$E:$E,"pago",'Lançamentos de despesas'!$P:$P,C$1,'Lançamentos de despesas'!$N:$N,$B119)</f>
        <v>0</v>
      </c>
    </row>
    <row r="120">
      <c r="A120" s="77">
        <v>3.0</v>
      </c>
      <c r="B120" s="119" t="s">
        <v>1813</v>
      </c>
      <c r="C120" s="13">
        <f>-SUMIFS('Lançamentos de despesas'!$I:$I,'Lançamentos de despesas'!$E:$E,"pago",'Lançamentos de despesas'!$P:$P,C$1,'Lançamentos de despesas'!$N:$N,$B120)</f>
        <v>0</v>
      </c>
    </row>
    <row r="121">
      <c r="A121" s="77">
        <v>3.0</v>
      </c>
      <c r="B121" s="119" t="s">
        <v>394</v>
      </c>
      <c r="C121" s="13">
        <f>-SUMIFS('Lançamentos de despesas'!$I:$I,'Lançamentos de despesas'!$E:$E,"pago",'Lançamentos de despesas'!$P:$P,C$1,'Lançamentos de despesas'!$N:$N,$B121)</f>
        <v>0</v>
      </c>
    </row>
    <row r="122">
      <c r="A122" s="77">
        <v>3.0</v>
      </c>
      <c r="B122" s="119" t="s">
        <v>73</v>
      </c>
      <c r="C122" s="13">
        <f>-SUMIFS('Lançamentos de despesas'!$I:$I,'Lançamentos de despesas'!$E:$E,"pago",'Lançamentos de despesas'!$P:$P,C$1,'Lançamentos de despesas'!$N:$N,$B122)</f>
        <v>0</v>
      </c>
    </row>
    <row r="123">
      <c r="A123" s="77">
        <v>3.0</v>
      </c>
      <c r="B123" s="119" t="s">
        <v>371</v>
      </c>
      <c r="C123" s="13">
        <f>-SUMIFS('Lançamentos de despesas'!$I:$I,'Lançamentos de despesas'!$E:$E,"pago",'Lançamentos de despesas'!$P:$P,C$1,'Lançamentos de despesas'!$N:$N,$B123)</f>
        <v>0</v>
      </c>
    </row>
    <row r="124">
      <c r="A124" s="77">
        <v>2.0</v>
      </c>
      <c r="B124" s="116" t="s">
        <v>1814</v>
      </c>
      <c r="C124" s="13">
        <f>SUBTOTAL(9,C125:C132)</f>
        <v>0</v>
      </c>
    </row>
    <row r="125">
      <c r="A125" s="77">
        <v>3.0</v>
      </c>
      <c r="B125" s="122" t="s">
        <v>1815</v>
      </c>
      <c r="C125" s="13">
        <f>SUMIFS('Lançamentos de despesas'!$I:$I,'Lançamentos de despesas'!$E:$E,"pago",'Lançamentos de despesas'!$P:$P,C$1,'Lançamentos de despesas'!$N:$N,$B125)</f>
        <v>0</v>
      </c>
    </row>
    <row r="126">
      <c r="A126" s="77">
        <v>3.0</v>
      </c>
      <c r="B126" s="122" t="s">
        <v>1816</v>
      </c>
      <c r="C126" s="13">
        <f>SUMIFS('Lançamentos de despesas'!$I:$I,'Lançamentos de despesas'!$E:$E,"pago",'Lançamentos de despesas'!$P:$P,C$1,'Lançamentos de despesas'!$N:$N,$B126)</f>
        <v>0</v>
      </c>
    </row>
    <row r="127">
      <c r="A127" s="77">
        <v>3.0</v>
      </c>
      <c r="B127" s="122" t="s">
        <v>1817</v>
      </c>
      <c r="C127" s="13">
        <f>SUMIFS('Lançamentos de despesas'!$I:$I,'Lançamentos de despesas'!$E:$E,"pago",'Lançamentos de despesas'!$P:$P,C$1,'Lançamentos de despesas'!$N:$N,$B127)</f>
        <v>0</v>
      </c>
    </row>
    <row r="128">
      <c r="A128" s="77">
        <v>3.0</v>
      </c>
      <c r="B128" s="122" t="s">
        <v>1818</v>
      </c>
      <c r="C128" s="13">
        <f>SUMIFS('Lançamentos de despesas'!$I:$I,'Lançamentos de despesas'!$E:$E,"pago",'Lançamentos de despesas'!$P:$P,C$1,'Lançamentos de despesas'!$N:$N,$B128)</f>
        <v>0</v>
      </c>
    </row>
    <row r="129">
      <c r="A129" s="77">
        <v>3.0</v>
      </c>
      <c r="B129" s="122" t="s">
        <v>1819</v>
      </c>
      <c r="C129" s="13">
        <f>SUMIFS('Lançamentos de despesas'!$I:$I,'Lançamentos de despesas'!$E:$E,"pago",'Lançamentos de despesas'!$P:$P,C$1,'Lançamentos de despesas'!$N:$N,$B129)</f>
        <v>0</v>
      </c>
    </row>
    <row r="130">
      <c r="A130" s="77">
        <v>3.0</v>
      </c>
      <c r="B130" s="122" t="s">
        <v>1820</v>
      </c>
      <c r="C130" s="13">
        <f>SUMIFS('Lançamentos de despesas'!$I:$I,'Lançamentos de despesas'!$E:$E,"pago",'Lançamentos de despesas'!$P:$P,C$1,'Lançamentos de despesas'!$N:$N,$B130)</f>
        <v>0</v>
      </c>
    </row>
    <row r="131">
      <c r="A131" s="77">
        <v>3.0</v>
      </c>
      <c r="B131" s="123" t="s">
        <v>1821</v>
      </c>
      <c r="C131" s="13">
        <f>SUMIFS('Lançamentos de despesas'!$I:$I,'Lançamentos de despesas'!$E:$E,"pago",'Lançamentos de despesas'!$P:$P,C$1,'Lançamentos de despesas'!$N:$N,$B131)</f>
        <v>0</v>
      </c>
    </row>
    <row r="132">
      <c r="A132" s="77">
        <v>3.0</v>
      </c>
      <c r="B132" s="11" t="s">
        <v>47</v>
      </c>
      <c r="C132" s="13">
        <f>SUMIFS('Lançamentos de despesas'!$I:$I,'Lançamentos de despesas'!$E:$E,"pago",'Lançamentos de despesas'!$P:$P,C$1,'Lançamentos de despesas'!$N:$N,$B132)</f>
        <v>0</v>
      </c>
    </row>
    <row r="133">
      <c r="A133" s="77">
        <v>1.0</v>
      </c>
      <c r="B133" s="125" t="s">
        <v>1822</v>
      </c>
      <c r="C133" s="13">
        <f>C135+C134</f>
        <v>0</v>
      </c>
    </row>
    <row r="134">
      <c r="A134" s="77">
        <v>2.0</v>
      </c>
      <c r="B134" s="122" t="s">
        <v>1823</v>
      </c>
      <c r="C134" s="13">
        <f>-SUMIFS('Lançamentos de despesas'!$I:$I,'Lançamentos de despesas'!$E:$E,"pago",'Lançamentos de despesas'!$P:$P,C$1,'Lançamentos de despesas'!$N:$N,$B134)</f>
        <v>0</v>
      </c>
    </row>
    <row r="135">
      <c r="A135" s="77">
        <v>2.0</v>
      </c>
      <c r="B135" s="122" t="s">
        <v>1824</v>
      </c>
      <c r="C135" s="13">
        <f>-SUMIFS('Lançamentos de despesas'!$I:$I,'Lançamentos de despesas'!$E:$E,"pago",'Lançamentos de despesas'!$P:$P,C$1,'Lançamentos de despesas'!$N:$N,$B135)</f>
        <v>0</v>
      </c>
    </row>
    <row r="136">
      <c r="A136" s="10"/>
      <c r="C136" s="10"/>
    </row>
    <row r="137">
      <c r="A137" s="77">
        <v>1.0</v>
      </c>
      <c r="B137" s="120" t="s">
        <v>1825</v>
      </c>
      <c r="C137" s="13">
        <f>C111+C133</f>
        <v>0</v>
      </c>
    </row>
    <row r="138">
      <c r="A138" s="10"/>
      <c r="C138" s="10"/>
    </row>
    <row r="139">
      <c r="A139" s="10"/>
      <c r="C139" s="10"/>
    </row>
    <row r="140">
      <c r="A140" s="10"/>
      <c r="C140" s="10"/>
    </row>
    <row r="141">
      <c r="A141" s="10"/>
      <c r="C141" s="10"/>
    </row>
    <row r="142">
      <c r="A142" s="10"/>
      <c r="C142" s="10"/>
    </row>
    <row r="143">
      <c r="A143" s="10"/>
      <c r="C143" s="10"/>
    </row>
    <row r="144">
      <c r="A144" s="10"/>
      <c r="C144" s="10"/>
    </row>
    <row r="145">
      <c r="A145" s="10"/>
      <c r="C145" s="10"/>
    </row>
    <row r="146">
      <c r="A146" s="10"/>
      <c r="C146" s="10"/>
    </row>
    <row r="147">
      <c r="A147" s="10"/>
      <c r="C147" s="10"/>
    </row>
    <row r="148">
      <c r="A148" s="10"/>
      <c r="C148" s="10"/>
    </row>
    <row r="149">
      <c r="A149" s="10"/>
      <c r="C149" s="10"/>
    </row>
    <row r="150">
      <c r="A150" s="10"/>
      <c r="C150" s="10"/>
    </row>
    <row r="151">
      <c r="A151" s="10"/>
      <c r="C151" s="10"/>
    </row>
    <row r="152">
      <c r="A152" s="10"/>
      <c r="C152" s="10"/>
    </row>
    <row r="153">
      <c r="A153" s="10"/>
      <c r="C153" s="10"/>
    </row>
    <row r="154">
      <c r="A154" s="10"/>
      <c r="C154" s="10"/>
    </row>
    <row r="155">
      <c r="A155" s="10"/>
      <c r="C155" s="10"/>
    </row>
    <row r="156">
      <c r="A156" s="10"/>
      <c r="C156" s="10"/>
    </row>
    <row r="157">
      <c r="A157" s="10"/>
      <c r="C157" s="10"/>
    </row>
    <row r="158">
      <c r="A158" s="10"/>
      <c r="C158" s="10"/>
    </row>
    <row r="159">
      <c r="A159" s="10"/>
      <c r="C159" s="10"/>
    </row>
    <row r="160">
      <c r="A160" s="10"/>
      <c r="C160" s="10"/>
    </row>
    <row r="161">
      <c r="A161" s="10"/>
      <c r="C161" s="10"/>
    </row>
    <row r="162">
      <c r="A162" s="10"/>
      <c r="C162" s="10"/>
    </row>
    <row r="163">
      <c r="A163" s="10"/>
      <c r="C163" s="10"/>
    </row>
    <row r="164">
      <c r="A164" s="10"/>
      <c r="C164" s="10"/>
    </row>
    <row r="165">
      <c r="A165" s="10"/>
      <c r="C165" s="10"/>
    </row>
    <row r="166">
      <c r="A166" s="10"/>
      <c r="C166" s="10"/>
    </row>
    <row r="167">
      <c r="A167" s="10"/>
      <c r="C167" s="10"/>
    </row>
    <row r="168">
      <c r="A168" s="10"/>
      <c r="C168" s="10"/>
    </row>
    <row r="169">
      <c r="A169" s="10"/>
      <c r="C169" s="10"/>
    </row>
    <row r="170">
      <c r="A170" s="10"/>
      <c r="C170" s="10"/>
    </row>
    <row r="171">
      <c r="A171" s="10"/>
      <c r="C171" s="10"/>
    </row>
    <row r="172">
      <c r="A172" s="10"/>
      <c r="C172" s="10"/>
    </row>
    <row r="173">
      <c r="A173" s="10"/>
      <c r="C173" s="10"/>
    </row>
    <row r="174">
      <c r="A174" s="10"/>
      <c r="C174" s="10"/>
    </row>
    <row r="175">
      <c r="A175" s="10"/>
      <c r="C175" s="10"/>
    </row>
    <row r="176">
      <c r="A176" s="10"/>
      <c r="C176" s="10"/>
    </row>
    <row r="177">
      <c r="A177" s="10"/>
      <c r="C177" s="10"/>
    </row>
    <row r="178">
      <c r="A178" s="10"/>
      <c r="C178" s="10"/>
    </row>
    <row r="179">
      <c r="A179" s="10"/>
      <c r="C179" s="10"/>
    </row>
    <row r="180">
      <c r="A180" s="10"/>
      <c r="C180" s="10"/>
    </row>
    <row r="181">
      <c r="A181" s="10"/>
      <c r="C181" s="10"/>
    </row>
    <row r="182">
      <c r="A182" s="10"/>
      <c r="C182" s="10"/>
    </row>
    <row r="183">
      <c r="A183" s="10"/>
      <c r="C183" s="10"/>
    </row>
    <row r="184">
      <c r="A184" s="10"/>
      <c r="C184" s="10"/>
    </row>
    <row r="185">
      <c r="A185" s="10"/>
      <c r="C185" s="10"/>
    </row>
    <row r="186">
      <c r="A186" s="10"/>
      <c r="C186" s="10"/>
    </row>
    <row r="187">
      <c r="A187" s="10"/>
      <c r="C187" s="10"/>
    </row>
    <row r="188">
      <c r="A188" s="10"/>
      <c r="C188" s="10"/>
    </row>
    <row r="189">
      <c r="A189" s="10"/>
      <c r="C189" s="10"/>
    </row>
    <row r="190">
      <c r="A190" s="10"/>
      <c r="C190" s="10"/>
    </row>
    <row r="191">
      <c r="A191" s="10"/>
      <c r="C191" s="10"/>
    </row>
    <row r="192">
      <c r="A192" s="10"/>
      <c r="C192" s="10"/>
    </row>
    <row r="193">
      <c r="A193" s="10"/>
      <c r="C193" s="10"/>
    </row>
    <row r="194">
      <c r="A194" s="10"/>
      <c r="C194" s="10"/>
    </row>
    <row r="195">
      <c r="A195" s="10"/>
      <c r="C195" s="10"/>
    </row>
    <row r="196">
      <c r="A196" s="10"/>
      <c r="C196" s="10"/>
    </row>
    <row r="197">
      <c r="A197" s="10"/>
      <c r="C197" s="10"/>
    </row>
    <row r="198">
      <c r="A198" s="10"/>
      <c r="C198" s="10"/>
    </row>
    <row r="199">
      <c r="A199" s="10"/>
      <c r="C199" s="10"/>
    </row>
    <row r="200">
      <c r="A200" s="10"/>
      <c r="C200" s="10"/>
    </row>
    <row r="201">
      <c r="A201" s="10"/>
      <c r="C201" s="10"/>
    </row>
    <row r="202">
      <c r="A202" s="10"/>
      <c r="C202" s="10"/>
    </row>
    <row r="203">
      <c r="A203" s="10"/>
      <c r="C203" s="10"/>
    </row>
    <row r="204">
      <c r="A204" s="10"/>
      <c r="C204" s="10"/>
    </row>
    <row r="205">
      <c r="A205" s="10"/>
      <c r="C205" s="10"/>
    </row>
    <row r="206">
      <c r="A206" s="10"/>
      <c r="C206" s="10"/>
    </row>
    <row r="207">
      <c r="A207" s="10"/>
      <c r="C207" s="10"/>
    </row>
    <row r="208">
      <c r="A208" s="10"/>
      <c r="C208" s="10"/>
    </row>
    <row r="209">
      <c r="A209" s="10"/>
      <c r="C209" s="10"/>
    </row>
    <row r="210">
      <c r="A210" s="10"/>
      <c r="C210" s="10"/>
    </row>
    <row r="211">
      <c r="A211" s="10"/>
      <c r="C211" s="10"/>
    </row>
    <row r="212">
      <c r="A212" s="10"/>
      <c r="C212" s="10"/>
    </row>
    <row r="213">
      <c r="A213" s="10"/>
      <c r="C213" s="10"/>
    </row>
    <row r="214">
      <c r="A214" s="10"/>
      <c r="C214" s="10"/>
    </row>
    <row r="215">
      <c r="A215" s="10"/>
      <c r="C215" s="10"/>
    </row>
    <row r="216">
      <c r="A216" s="10"/>
      <c r="C216" s="10"/>
    </row>
    <row r="217">
      <c r="A217" s="10"/>
      <c r="C217" s="10"/>
    </row>
    <row r="218">
      <c r="A218" s="10"/>
      <c r="C218" s="10"/>
    </row>
    <row r="219">
      <c r="A219" s="10"/>
      <c r="C219" s="10"/>
    </row>
    <row r="220">
      <c r="A220" s="10"/>
      <c r="C220" s="10"/>
    </row>
    <row r="221">
      <c r="A221" s="10"/>
      <c r="C221" s="10"/>
    </row>
    <row r="222">
      <c r="A222" s="10"/>
      <c r="C222" s="10"/>
    </row>
    <row r="223">
      <c r="A223" s="10"/>
      <c r="C223" s="10"/>
    </row>
    <row r="224">
      <c r="A224" s="10"/>
      <c r="C224" s="10"/>
    </row>
    <row r="225">
      <c r="A225" s="10"/>
      <c r="C225" s="10"/>
    </row>
    <row r="226">
      <c r="A226" s="10"/>
      <c r="C226" s="10"/>
    </row>
    <row r="227">
      <c r="A227" s="10"/>
      <c r="C227" s="10"/>
    </row>
    <row r="228">
      <c r="A228" s="10"/>
      <c r="C228" s="10"/>
    </row>
    <row r="229">
      <c r="A229" s="10"/>
      <c r="C229" s="10"/>
    </row>
    <row r="230">
      <c r="A230" s="10"/>
      <c r="C230" s="10"/>
    </row>
    <row r="231">
      <c r="A231" s="10"/>
      <c r="C231" s="10"/>
    </row>
    <row r="232">
      <c r="A232" s="10"/>
      <c r="C232" s="10"/>
    </row>
    <row r="233">
      <c r="A233" s="10"/>
      <c r="C233" s="10"/>
    </row>
    <row r="234">
      <c r="A234" s="10"/>
      <c r="C234" s="10"/>
    </row>
    <row r="235">
      <c r="A235" s="10"/>
      <c r="C235" s="10"/>
    </row>
    <row r="236">
      <c r="A236" s="10"/>
      <c r="C236" s="10"/>
    </row>
    <row r="237">
      <c r="A237" s="10"/>
      <c r="C237" s="10"/>
    </row>
    <row r="238">
      <c r="A238" s="10"/>
      <c r="C238" s="10"/>
    </row>
    <row r="239">
      <c r="A239" s="10"/>
      <c r="C239" s="10"/>
    </row>
    <row r="240">
      <c r="A240" s="10"/>
      <c r="C240" s="10"/>
    </row>
    <row r="241">
      <c r="A241" s="10"/>
      <c r="C241" s="10"/>
    </row>
    <row r="242">
      <c r="A242" s="10"/>
      <c r="C242" s="10"/>
    </row>
    <row r="243">
      <c r="A243" s="10"/>
      <c r="C243" s="10"/>
    </row>
    <row r="244">
      <c r="A244" s="10"/>
      <c r="C244" s="10"/>
    </row>
    <row r="245">
      <c r="A245" s="10"/>
      <c r="C245" s="10"/>
    </row>
    <row r="246">
      <c r="A246" s="10"/>
      <c r="C246" s="10"/>
    </row>
    <row r="247">
      <c r="A247" s="10"/>
      <c r="C247" s="10"/>
    </row>
    <row r="248">
      <c r="A248" s="10"/>
      <c r="C248" s="10"/>
    </row>
    <row r="249">
      <c r="A249" s="10"/>
      <c r="C249" s="10"/>
    </row>
    <row r="250">
      <c r="A250" s="10"/>
      <c r="C250" s="10"/>
    </row>
    <row r="251">
      <c r="A251" s="10"/>
      <c r="C251" s="10"/>
    </row>
    <row r="252">
      <c r="A252" s="10"/>
      <c r="C252" s="10"/>
    </row>
    <row r="253">
      <c r="A253" s="10"/>
      <c r="C253" s="10"/>
    </row>
    <row r="254">
      <c r="A254" s="10"/>
      <c r="C254" s="10"/>
    </row>
    <row r="255">
      <c r="A255" s="10"/>
      <c r="C255" s="10"/>
    </row>
    <row r="256">
      <c r="A256" s="10"/>
      <c r="C256" s="10"/>
    </row>
    <row r="257">
      <c r="A257" s="10"/>
      <c r="C257" s="10"/>
    </row>
    <row r="258">
      <c r="A258" s="10"/>
      <c r="C258" s="10"/>
    </row>
    <row r="259">
      <c r="A259" s="10"/>
      <c r="C259" s="10"/>
    </row>
    <row r="260">
      <c r="A260" s="10"/>
      <c r="C260" s="10"/>
    </row>
    <row r="261">
      <c r="A261" s="10"/>
      <c r="C261" s="10"/>
    </row>
    <row r="262">
      <c r="A262" s="10"/>
      <c r="C262" s="10"/>
    </row>
    <row r="263">
      <c r="A263" s="10"/>
      <c r="C263" s="10"/>
    </row>
    <row r="264">
      <c r="A264" s="10"/>
      <c r="C264" s="10"/>
    </row>
    <row r="265">
      <c r="A265" s="10"/>
      <c r="C265" s="10"/>
    </row>
    <row r="266">
      <c r="A266" s="10"/>
      <c r="C266" s="10"/>
    </row>
    <row r="267">
      <c r="A267" s="10"/>
      <c r="C267" s="10"/>
    </row>
    <row r="268">
      <c r="A268" s="10"/>
      <c r="C268" s="10"/>
    </row>
    <row r="269">
      <c r="A269" s="10"/>
      <c r="C269" s="10"/>
    </row>
    <row r="270">
      <c r="A270" s="10"/>
      <c r="C270" s="10"/>
    </row>
    <row r="271">
      <c r="A271" s="10"/>
      <c r="C271" s="10"/>
    </row>
    <row r="272">
      <c r="A272" s="10"/>
      <c r="C272" s="10"/>
    </row>
    <row r="273">
      <c r="A273" s="10"/>
      <c r="C273" s="10"/>
    </row>
    <row r="274">
      <c r="A274" s="10"/>
      <c r="C274" s="10"/>
    </row>
    <row r="275">
      <c r="A275" s="10"/>
      <c r="C275" s="10"/>
    </row>
    <row r="276">
      <c r="A276" s="10"/>
      <c r="C276" s="10"/>
    </row>
    <row r="277">
      <c r="A277" s="10"/>
      <c r="C277" s="10"/>
    </row>
    <row r="278">
      <c r="A278" s="10"/>
      <c r="C278" s="10"/>
    </row>
    <row r="279">
      <c r="A279" s="10"/>
      <c r="C279" s="10"/>
    </row>
    <row r="280">
      <c r="A280" s="10"/>
      <c r="C280" s="10"/>
    </row>
    <row r="281">
      <c r="A281" s="10"/>
      <c r="C281" s="10"/>
    </row>
    <row r="282">
      <c r="A282" s="10"/>
      <c r="C282" s="10"/>
    </row>
    <row r="283">
      <c r="A283" s="10"/>
      <c r="C283" s="10"/>
    </row>
    <row r="284">
      <c r="A284" s="10"/>
      <c r="C284" s="10"/>
    </row>
    <row r="285">
      <c r="A285" s="10"/>
      <c r="C285" s="10"/>
    </row>
    <row r="286">
      <c r="A286" s="10"/>
      <c r="C286" s="10"/>
    </row>
    <row r="287">
      <c r="A287" s="10"/>
      <c r="C287" s="10"/>
    </row>
    <row r="288">
      <c r="A288" s="10"/>
      <c r="C288" s="10"/>
    </row>
    <row r="289">
      <c r="A289" s="10"/>
      <c r="C289" s="10"/>
    </row>
    <row r="290">
      <c r="A290" s="10"/>
      <c r="C290" s="10"/>
    </row>
    <row r="291">
      <c r="A291" s="10"/>
      <c r="C291" s="10"/>
    </row>
    <row r="292">
      <c r="A292" s="10"/>
      <c r="C292" s="10"/>
    </row>
    <row r="293">
      <c r="A293" s="10"/>
      <c r="C293" s="10"/>
    </row>
    <row r="294">
      <c r="A294" s="10"/>
      <c r="C294" s="10"/>
    </row>
    <row r="295">
      <c r="A295" s="10"/>
      <c r="C295" s="10"/>
    </row>
    <row r="296">
      <c r="A296" s="10"/>
      <c r="C296" s="10"/>
    </row>
    <row r="297">
      <c r="A297" s="10"/>
      <c r="C297" s="10"/>
    </row>
    <row r="298">
      <c r="A298" s="10"/>
      <c r="C298" s="10"/>
    </row>
    <row r="299">
      <c r="A299" s="10"/>
      <c r="C299" s="10"/>
    </row>
    <row r="300">
      <c r="A300" s="10"/>
      <c r="C300" s="10"/>
    </row>
    <row r="301">
      <c r="A301" s="10"/>
      <c r="C301" s="10"/>
    </row>
    <row r="302">
      <c r="A302" s="10"/>
      <c r="C302" s="10"/>
    </row>
    <row r="303">
      <c r="A303" s="10"/>
      <c r="C303" s="10"/>
    </row>
    <row r="304">
      <c r="A304" s="10"/>
      <c r="C304" s="10"/>
    </row>
    <row r="305">
      <c r="A305" s="10"/>
      <c r="C305" s="10"/>
    </row>
    <row r="306">
      <c r="A306" s="10"/>
      <c r="C306" s="10"/>
    </row>
    <row r="307">
      <c r="A307" s="10"/>
      <c r="C307" s="10"/>
    </row>
    <row r="308">
      <c r="A308" s="10"/>
      <c r="C308" s="10"/>
    </row>
    <row r="309">
      <c r="A309" s="10"/>
      <c r="C309" s="10"/>
    </row>
    <row r="310">
      <c r="A310" s="10"/>
      <c r="C310" s="10"/>
    </row>
    <row r="311">
      <c r="A311" s="10"/>
      <c r="C311" s="10"/>
    </row>
    <row r="312">
      <c r="A312" s="10"/>
      <c r="C312" s="10"/>
    </row>
    <row r="313">
      <c r="A313" s="10"/>
      <c r="C313" s="10"/>
    </row>
    <row r="314">
      <c r="A314" s="10"/>
      <c r="C314" s="10"/>
    </row>
    <row r="315">
      <c r="A315" s="10"/>
      <c r="C315" s="10"/>
    </row>
    <row r="316">
      <c r="A316" s="10"/>
      <c r="C316" s="10"/>
    </row>
    <row r="317">
      <c r="A317" s="10"/>
      <c r="C317" s="10"/>
    </row>
    <row r="318">
      <c r="A318" s="10"/>
      <c r="C318" s="10"/>
    </row>
    <row r="319">
      <c r="A319" s="10"/>
      <c r="C319" s="10"/>
    </row>
    <row r="320">
      <c r="A320" s="10"/>
      <c r="C320" s="10"/>
    </row>
    <row r="321">
      <c r="A321" s="10"/>
      <c r="C321" s="10"/>
    </row>
    <row r="322">
      <c r="A322" s="10"/>
      <c r="C322" s="10"/>
    </row>
    <row r="323">
      <c r="A323" s="10"/>
      <c r="C323" s="10"/>
    </row>
    <row r="324">
      <c r="A324" s="10"/>
      <c r="C324" s="10"/>
    </row>
    <row r="325">
      <c r="A325" s="10"/>
      <c r="C325" s="10"/>
    </row>
    <row r="326">
      <c r="A326" s="10"/>
      <c r="C326" s="10"/>
    </row>
    <row r="327">
      <c r="A327" s="10"/>
      <c r="C327" s="10"/>
    </row>
    <row r="328">
      <c r="A328" s="10"/>
      <c r="C328" s="10"/>
    </row>
    <row r="329">
      <c r="A329" s="10"/>
      <c r="C329" s="10"/>
    </row>
    <row r="330">
      <c r="A330" s="10"/>
      <c r="C330" s="10"/>
    </row>
    <row r="331">
      <c r="A331" s="10"/>
      <c r="C331" s="10"/>
    </row>
    <row r="332">
      <c r="A332" s="10"/>
      <c r="C332" s="10"/>
    </row>
    <row r="333">
      <c r="A333" s="10"/>
      <c r="C333" s="10"/>
    </row>
    <row r="334">
      <c r="A334" s="10"/>
      <c r="C334" s="10"/>
    </row>
    <row r="335">
      <c r="A335" s="10"/>
      <c r="C335" s="10"/>
    </row>
    <row r="336">
      <c r="A336" s="10"/>
      <c r="C336" s="10"/>
    </row>
    <row r="337">
      <c r="A337" s="10"/>
      <c r="C337" s="10"/>
    </row>
    <row r="338">
      <c r="A338" s="10"/>
      <c r="C338" s="10"/>
    </row>
    <row r="339">
      <c r="A339" s="10"/>
      <c r="C339" s="10"/>
    </row>
    <row r="340">
      <c r="A340" s="10"/>
      <c r="C340" s="10"/>
    </row>
    <row r="341">
      <c r="A341" s="10"/>
      <c r="C341" s="10"/>
    </row>
    <row r="342">
      <c r="A342" s="10"/>
      <c r="C342" s="10"/>
    </row>
    <row r="343">
      <c r="A343" s="10"/>
      <c r="C343" s="10"/>
    </row>
    <row r="344">
      <c r="A344" s="10"/>
      <c r="C344" s="10"/>
    </row>
    <row r="345">
      <c r="A345" s="10"/>
      <c r="C345" s="10"/>
    </row>
    <row r="346">
      <c r="A346" s="10"/>
      <c r="C346" s="10"/>
    </row>
    <row r="347">
      <c r="A347" s="10"/>
      <c r="C347" s="10"/>
    </row>
    <row r="348">
      <c r="A348" s="10"/>
      <c r="C348" s="10"/>
    </row>
    <row r="349">
      <c r="A349" s="10"/>
      <c r="C349" s="10"/>
    </row>
    <row r="350">
      <c r="A350" s="10"/>
      <c r="C350" s="10"/>
    </row>
    <row r="351">
      <c r="A351" s="10"/>
      <c r="C351" s="10"/>
    </row>
    <row r="352">
      <c r="A352" s="10"/>
      <c r="C352" s="10"/>
    </row>
    <row r="353">
      <c r="A353" s="10"/>
      <c r="C353" s="10"/>
    </row>
    <row r="354">
      <c r="A354" s="10"/>
      <c r="C354" s="10"/>
    </row>
    <row r="355">
      <c r="A355" s="10"/>
      <c r="C355" s="10"/>
    </row>
    <row r="356">
      <c r="A356" s="10"/>
      <c r="C356" s="10"/>
    </row>
    <row r="357">
      <c r="A357" s="10"/>
      <c r="C357" s="10"/>
    </row>
    <row r="358">
      <c r="A358" s="10"/>
      <c r="C358" s="10"/>
    </row>
    <row r="359">
      <c r="A359" s="10"/>
      <c r="C359" s="10"/>
    </row>
    <row r="360">
      <c r="A360" s="10"/>
      <c r="C360" s="10"/>
    </row>
    <row r="361">
      <c r="A361" s="10"/>
      <c r="C361" s="10"/>
    </row>
    <row r="362">
      <c r="A362" s="10"/>
      <c r="C362" s="10"/>
    </row>
    <row r="363">
      <c r="A363" s="10"/>
      <c r="C363" s="10"/>
    </row>
    <row r="364">
      <c r="A364" s="10"/>
      <c r="C364" s="10"/>
    </row>
    <row r="365">
      <c r="A365" s="10"/>
      <c r="C365" s="10"/>
    </row>
    <row r="366">
      <c r="A366" s="10"/>
      <c r="C366" s="10"/>
    </row>
    <row r="367">
      <c r="A367" s="10"/>
      <c r="C367" s="10"/>
    </row>
    <row r="368">
      <c r="A368" s="10"/>
      <c r="C368" s="10"/>
    </row>
    <row r="369">
      <c r="A369" s="10"/>
      <c r="C369" s="10"/>
    </row>
    <row r="370">
      <c r="A370" s="10"/>
      <c r="C370" s="10"/>
    </row>
    <row r="371">
      <c r="A371" s="10"/>
      <c r="C371" s="10"/>
    </row>
    <row r="372">
      <c r="A372" s="10"/>
      <c r="C372" s="10"/>
    </row>
    <row r="373">
      <c r="A373" s="10"/>
      <c r="C373" s="10"/>
    </row>
    <row r="374">
      <c r="A374" s="10"/>
      <c r="C374" s="10"/>
    </row>
    <row r="375">
      <c r="A375" s="10"/>
      <c r="C375" s="10"/>
    </row>
    <row r="376">
      <c r="A376" s="10"/>
      <c r="C376" s="10"/>
    </row>
    <row r="377">
      <c r="A377" s="10"/>
      <c r="C377" s="10"/>
    </row>
    <row r="378">
      <c r="A378" s="10"/>
      <c r="C378" s="10"/>
    </row>
    <row r="379">
      <c r="A379" s="10"/>
      <c r="C379" s="10"/>
    </row>
    <row r="380">
      <c r="A380" s="10"/>
      <c r="C380" s="10"/>
    </row>
    <row r="381">
      <c r="A381" s="10"/>
      <c r="C381" s="10"/>
    </row>
    <row r="382">
      <c r="A382" s="10"/>
      <c r="C382" s="10"/>
    </row>
    <row r="383">
      <c r="A383" s="10"/>
      <c r="C383" s="10"/>
    </row>
    <row r="384">
      <c r="A384" s="10"/>
      <c r="C384" s="10"/>
    </row>
    <row r="385">
      <c r="A385" s="10"/>
      <c r="C385" s="10"/>
    </row>
    <row r="386">
      <c r="A386" s="10"/>
      <c r="C386" s="10"/>
    </row>
    <row r="387">
      <c r="A387" s="10"/>
      <c r="C387" s="10"/>
    </row>
    <row r="388">
      <c r="A388" s="10"/>
      <c r="C388" s="10"/>
    </row>
    <row r="389">
      <c r="A389" s="10"/>
      <c r="C389" s="10"/>
    </row>
    <row r="390">
      <c r="A390" s="10"/>
      <c r="C390" s="10"/>
    </row>
    <row r="391">
      <c r="A391" s="10"/>
      <c r="C391" s="10"/>
    </row>
    <row r="392">
      <c r="A392" s="10"/>
      <c r="C392" s="10"/>
    </row>
    <row r="393">
      <c r="A393" s="10"/>
      <c r="C393" s="10"/>
    </row>
    <row r="394">
      <c r="A394" s="10"/>
      <c r="C394" s="10"/>
    </row>
    <row r="395">
      <c r="A395" s="10"/>
      <c r="C395" s="10"/>
    </row>
    <row r="396">
      <c r="A396" s="10"/>
      <c r="C396" s="10"/>
    </row>
    <row r="397">
      <c r="A397" s="10"/>
      <c r="C397" s="10"/>
    </row>
    <row r="398">
      <c r="A398" s="10"/>
      <c r="C398" s="10"/>
    </row>
    <row r="399">
      <c r="A399" s="10"/>
      <c r="C399" s="10"/>
    </row>
    <row r="400">
      <c r="A400" s="10"/>
      <c r="C400" s="10"/>
    </row>
    <row r="401">
      <c r="A401" s="10"/>
      <c r="C401" s="10"/>
    </row>
    <row r="402">
      <c r="A402" s="10"/>
      <c r="C402" s="10"/>
    </row>
    <row r="403">
      <c r="A403" s="10"/>
      <c r="C403" s="10"/>
    </row>
    <row r="404">
      <c r="A404" s="10"/>
      <c r="C404" s="10"/>
    </row>
    <row r="405">
      <c r="A405" s="10"/>
      <c r="C405" s="10"/>
    </row>
    <row r="406">
      <c r="A406" s="10"/>
      <c r="C406" s="10"/>
    </row>
    <row r="407">
      <c r="A407" s="10"/>
      <c r="C407" s="10"/>
    </row>
    <row r="408">
      <c r="A408" s="10"/>
      <c r="C408" s="10"/>
    </row>
    <row r="409">
      <c r="A409" s="10"/>
      <c r="C409" s="10"/>
    </row>
    <row r="410">
      <c r="A410" s="10"/>
      <c r="C410" s="10"/>
    </row>
    <row r="411">
      <c r="A411" s="10"/>
      <c r="C411" s="10"/>
    </row>
    <row r="412">
      <c r="A412" s="10"/>
      <c r="C412" s="10"/>
    </row>
    <row r="413">
      <c r="A413" s="10"/>
      <c r="C413" s="10"/>
    </row>
    <row r="414">
      <c r="A414" s="10"/>
      <c r="C414" s="10"/>
    </row>
    <row r="415">
      <c r="A415" s="10"/>
      <c r="C415" s="10"/>
    </row>
    <row r="416">
      <c r="A416" s="10"/>
      <c r="C416" s="10"/>
    </row>
    <row r="417">
      <c r="A417" s="10"/>
      <c r="C417" s="10"/>
    </row>
    <row r="418">
      <c r="A418" s="10"/>
      <c r="C418" s="10"/>
    </row>
    <row r="419">
      <c r="A419" s="10"/>
      <c r="C419" s="10"/>
    </row>
    <row r="420">
      <c r="A420" s="10"/>
      <c r="C420" s="10"/>
    </row>
    <row r="421">
      <c r="A421" s="10"/>
      <c r="C421" s="10"/>
    </row>
    <row r="422">
      <c r="A422" s="10"/>
      <c r="C422" s="10"/>
    </row>
    <row r="423">
      <c r="A423" s="10"/>
      <c r="C423" s="10"/>
    </row>
    <row r="424">
      <c r="A424" s="10"/>
      <c r="C424" s="10"/>
    </row>
    <row r="425">
      <c r="A425" s="10"/>
      <c r="C425" s="10"/>
    </row>
    <row r="426">
      <c r="A426" s="10"/>
      <c r="C426" s="10"/>
    </row>
    <row r="427">
      <c r="A427" s="10"/>
      <c r="C427" s="10"/>
    </row>
    <row r="428">
      <c r="A428" s="10"/>
      <c r="C428" s="10"/>
    </row>
    <row r="429">
      <c r="A429" s="10"/>
      <c r="C429" s="10"/>
    </row>
    <row r="430">
      <c r="A430" s="10"/>
      <c r="C430" s="10"/>
    </row>
    <row r="431">
      <c r="A431" s="10"/>
      <c r="C431" s="10"/>
    </row>
    <row r="432">
      <c r="A432" s="10"/>
      <c r="C432" s="10"/>
    </row>
    <row r="433">
      <c r="A433" s="10"/>
      <c r="C433" s="10"/>
    </row>
    <row r="434">
      <c r="A434" s="10"/>
      <c r="C434" s="10"/>
    </row>
    <row r="435">
      <c r="A435" s="10"/>
      <c r="C435" s="10"/>
    </row>
    <row r="436">
      <c r="A436" s="10"/>
      <c r="C436" s="10"/>
    </row>
    <row r="437">
      <c r="A437" s="10"/>
      <c r="C437" s="10"/>
    </row>
    <row r="438">
      <c r="A438" s="10"/>
      <c r="C438" s="10"/>
    </row>
    <row r="439">
      <c r="A439" s="10"/>
      <c r="C439" s="10"/>
    </row>
    <row r="440">
      <c r="A440" s="10"/>
      <c r="C440" s="10"/>
    </row>
    <row r="441">
      <c r="A441" s="10"/>
      <c r="C441" s="10"/>
    </row>
    <row r="442">
      <c r="A442" s="10"/>
      <c r="C442" s="10"/>
    </row>
    <row r="443">
      <c r="A443" s="10"/>
      <c r="C443" s="10"/>
    </row>
    <row r="444">
      <c r="A444" s="10"/>
      <c r="C444" s="10"/>
    </row>
    <row r="445">
      <c r="A445" s="10"/>
      <c r="C445" s="10"/>
    </row>
    <row r="446">
      <c r="A446" s="10"/>
      <c r="C446" s="10"/>
    </row>
    <row r="447">
      <c r="A447" s="10"/>
      <c r="C447" s="10"/>
    </row>
    <row r="448">
      <c r="A448" s="10"/>
      <c r="C448" s="10"/>
    </row>
    <row r="449">
      <c r="A449" s="10"/>
      <c r="C449" s="10"/>
    </row>
    <row r="450">
      <c r="A450" s="10"/>
      <c r="C450" s="10"/>
    </row>
    <row r="451">
      <c r="A451" s="10"/>
      <c r="C451" s="10"/>
    </row>
    <row r="452">
      <c r="A452" s="10"/>
      <c r="C452" s="10"/>
    </row>
    <row r="453">
      <c r="A453" s="10"/>
      <c r="C453" s="10"/>
    </row>
    <row r="454">
      <c r="A454" s="10"/>
      <c r="C454" s="10"/>
    </row>
    <row r="455">
      <c r="A455" s="10"/>
      <c r="C455" s="10"/>
    </row>
    <row r="456">
      <c r="A456" s="10"/>
      <c r="C456" s="10"/>
    </row>
    <row r="457">
      <c r="A457" s="10"/>
      <c r="C457" s="10"/>
    </row>
    <row r="458">
      <c r="A458" s="10"/>
      <c r="C458" s="10"/>
    </row>
    <row r="459">
      <c r="A459" s="10"/>
      <c r="C459" s="10"/>
    </row>
    <row r="460">
      <c r="A460" s="10"/>
      <c r="C460" s="10"/>
    </row>
    <row r="461">
      <c r="A461" s="10"/>
      <c r="C461" s="10"/>
    </row>
    <row r="462">
      <c r="A462" s="10"/>
      <c r="C462" s="10"/>
    </row>
    <row r="463">
      <c r="A463" s="10"/>
      <c r="C463" s="10"/>
    </row>
    <row r="464">
      <c r="A464" s="10"/>
      <c r="C464" s="10"/>
    </row>
    <row r="465">
      <c r="A465" s="10"/>
      <c r="C465" s="10"/>
    </row>
    <row r="466">
      <c r="A466" s="10"/>
      <c r="C466" s="10"/>
    </row>
    <row r="467">
      <c r="A467" s="10"/>
      <c r="C467" s="10"/>
    </row>
    <row r="468">
      <c r="A468" s="10"/>
      <c r="C468" s="10"/>
    </row>
    <row r="469">
      <c r="A469" s="10"/>
      <c r="C469" s="10"/>
    </row>
    <row r="470">
      <c r="A470" s="10"/>
      <c r="C470" s="10"/>
    </row>
    <row r="471">
      <c r="A471" s="10"/>
      <c r="C471" s="10"/>
    </row>
    <row r="472">
      <c r="A472" s="10"/>
      <c r="C472" s="10"/>
    </row>
    <row r="473">
      <c r="A473" s="10"/>
      <c r="C473" s="10"/>
    </row>
    <row r="474">
      <c r="A474" s="10"/>
      <c r="C474" s="10"/>
    </row>
    <row r="475">
      <c r="A475" s="10"/>
      <c r="C475" s="10"/>
    </row>
    <row r="476">
      <c r="A476" s="10"/>
      <c r="C476" s="10"/>
    </row>
    <row r="477">
      <c r="A477" s="10"/>
      <c r="C477" s="10"/>
    </row>
    <row r="478">
      <c r="A478" s="10"/>
      <c r="C478" s="10"/>
    </row>
    <row r="479">
      <c r="A479" s="10"/>
      <c r="C479" s="10"/>
    </row>
    <row r="480">
      <c r="A480" s="10"/>
      <c r="C480" s="10"/>
    </row>
    <row r="481">
      <c r="A481" s="10"/>
      <c r="C481" s="10"/>
    </row>
    <row r="482">
      <c r="A482" s="10"/>
      <c r="C482" s="10"/>
    </row>
    <row r="483">
      <c r="A483" s="10"/>
      <c r="C483" s="10"/>
    </row>
    <row r="484">
      <c r="A484" s="10"/>
      <c r="C484" s="10"/>
    </row>
    <row r="485">
      <c r="A485" s="10"/>
      <c r="C485" s="10"/>
    </row>
    <row r="486">
      <c r="A486" s="10"/>
      <c r="C486" s="10"/>
    </row>
    <row r="487">
      <c r="A487" s="10"/>
      <c r="C487" s="10"/>
    </row>
    <row r="488">
      <c r="A488" s="10"/>
      <c r="C488" s="10"/>
    </row>
    <row r="489">
      <c r="A489" s="10"/>
      <c r="C489" s="10"/>
    </row>
    <row r="490">
      <c r="A490" s="10"/>
      <c r="C490" s="10"/>
    </row>
    <row r="491">
      <c r="A491" s="10"/>
      <c r="C491" s="10"/>
    </row>
    <row r="492">
      <c r="A492" s="10"/>
      <c r="C492" s="10"/>
    </row>
    <row r="493">
      <c r="A493" s="10"/>
      <c r="C493" s="10"/>
    </row>
    <row r="494">
      <c r="A494" s="10"/>
      <c r="C494" s="10"/>
    </row>
    <row r="495">
      <c r="A495" s="10"/>
      <c r="C495" s="10"/>
    </row>
    <row r="496">
      <c r="A496" s="10"/>
      <c r="C496" s="10"/>
    </row>
    <row r="497">
      <c r="A497" s="10"/>
      <c r="C497" s="10"/>
    </row>
    <row r="498">
      <c r="A498" s="10"/>
      <c r="C498" s="10"/>
    </row>
    <row r="499">
      <c r="A499" s="10"/>
      <c r="C499" s="10"/>
    </row>
    <row r="500">
      <c r="A500" s="10"/>
      <c r="C500" s="10"/>
    </row>
    <row r="501">
      <c r="A501" s="10"/>
      <c r="C501" s="10"/>
    </row>
    <row r="502">
      <c r="A502" s="10"/>
      <c r="C502" s="10"/>
    </row>
    <row r="503">
      <c r="A503" s="10"/>
      <c r="C503" s="10"/>
    </row>
    <row r="504">
      <c r="A504" s="10"/>
      <c r="C504" s="10"/>
    </row>
    <row r="505">
      <c r="A505" s="10"/>
      <c r="C505" s="10"/>
    </row>
    <row r="506">
      <c r="A506" s="10"/>
      <c r="C506" s="10"/>
    </row>
    <row r="507">
      <c r="A507" s="10"/>
      <c r="C507" s="10"/>
    </row>
    <row r="508">
      <c r="A508" s="10"/>
      <c r="C508" s="10"/>
    </row>
    <row r="509">
      <c r="A509" s="10"/>
      <c r="C509" s="10"/>
    </row>
    <row r="510">
      <c r="A510" s="10"/>
      <c r="C510" s="10"/>
    </row>
    <row r="511">
      <c r="A511" s="10"/>
      <c r="C511" s="10"/>
    </row>
    <row r="512">
      <c r="A512" s="10"/>
      <c r="C512" s="10"/>
    </row>
    <row r="513">
      <c r="A513" s="10"/>
      <c r="C513" s="10"/>
    </row>
    <row r="514">
      <c r="A514" s="10"/>
      <c r="C514" s="10"/>
    </row>
    <row r="515">
      <c r="A515" s="10"/>
      <c r="C515" s="10"/>
    </row>
    <row r="516">
      <c r="A516" s="10"/>
      <c r="C516" s="10"/>
    </row>
    <row r="517">
      <c r="A517" s="10"/>
      <c r="C517" s="10"/>
    </row>
    <row r="518">
      <c r="A518" s="10"/>
      <c r="C518" s="10"/>
    </row>
    <row r="519">
      <c r="A519" s="10"/>
      <c r="C519" s="10"/>
    </row>
    <row r="520">
      <c r="A520" s="10"/>
      <c r="C520" s="10"/>
    </row>
    <row r="521">
      <c r="A521" s="10"/>
      <c r="C521" s="10"/>
    </row>
    <row r="522">
      <c r="A522" s="10"/>
      <c r="C522" s="10"/>
    </row>
    <row r="523">
      <c r="A523" s="10"/>
      <c r="C523" s="10"/>
    </row>
    <row r="524">
      <c r="A524" s="10"/>
      <c r="C524" s="10"/>
    </row>
    <row r="525">
      <c r="A525" s="10"/>
      <c r="C525" s="10"/>
    </row>
    <row r="526">
      <c r="A526" s="10"/>
      <c r="C526" s="10"/>
    </row>
    <row r="527">
      <c r="A527" s="10"/>
      <c r="C527" s="10"/>
    </row>
    <row r="528">
      <c r="A528" s="10"/>
      <c r="C528" s="10"/>
    </row>
    <row r="529">
      <c r="A529" s="10"/>
      <c r="C529" s="10"/>
    </row>
    <row r="530">
      <c r="A530" s="10"/>
      <c r="C530" s="10"/>
    </row>
    <row r="531">
      <c r="A531" s="10"/>
      <c r="C531" s="10"/>
    </row>
    <row r="532">
      <c r="A532" s="10"/>
      <c r="C532" s="10"/>
    </row>
    <row r="533">
      <c r="A533" s="10"/>
      <c r="C533" s="10"/>
    </row>
    <row r="534">
      <c r="A534" s="10"/>
      <c r="C534" s="10"/>
    </row>
    <row r="535">
      <c r="A535" s="10"/>
      <c r="C535" s="10"/>
    </row>
    <row r="536">
      <c r="A536" s="10"/>
      <c r="C536" s="10"/>
    </row>
    <row r="537">
      <c r="A537" s="10"/>
      <c r="C537" s="10"/>
    </row>
    <row r="538">
      <c r="A538" s="10"/>
      <c r="C538" s="10"/>
    </row>
    <row r="539">
      <c r="A539" s="10"/>
      <c r="C539" s="10"/>
    </row>
    <row r="540">
      <c r="A540" s="10"/>
      <c r="C540" s="10"/>
    </row>
    <row r="541">
      <c r="A541" s="10"/>
      <c r="C541" s="10"/>
    </row>
    <row r="542">
      <c r="A542" s="10"/>
      <c r="C542" s="10"/>
    </row>
    <row r="543">
      <c r="A543" s="10"/>
      <c r="C543" s="10"/>
    </row>
    <row r="544">
      <c r="A544" s="10"/>
      <c r="C544" s="10"/>
    </row>
    <row r="545">
      <c r="A545" s="10"/>
      <c r="C545" s="10"/>
    </row>
    <row r="546">
      <c r="A546" s="10"/>
      <c r="C546" s="10"/>
    </row>
    <row r="547">
      <c r="A547" s="10"/>
      <c r="C547" s="10"/>
    </row>
    <row r="548">
      <c r="A548" s="10"/>
      <c r="C548" s="10"/>
    </row>
    <row r="549">
      <c r="A549" s="10"/>
      <c r="C549" s="10"/>
    </row>
    <row r="550">
      <c r="A550" s="10"/>
      <c r="C550" s="10"/>
    </row>
    <row r="551">
      <c r="A551" s="10"/>
      <c r="C551" s="10"/>
    </row>
    <row r="552">
      <c r="A552" s="10"/>
      <c r="C552" s="10"/>
    </row>
    <row r="553">
      <c r="A553" s="10"/>
      <c r="C553" s="10"/>
    </row>
    <row r="554">
      <c r="A554" s="10"/>
      <c r="C554" s="10"/>
    </row>
    <row r="555">
      <c r="A555" s="10"/>
      <c r="C555" s="10"/>
    </row>
    <row r="556">
      <c r="A556" s="10"/>
      <c r="C556" s="10"/>
    </row>
    <row r="557">
      <c r="A557" s="10"/>
      <c r="C557" s="10"/>
    </row>
    <row r="558">
      <c r="A558" s="10"/>
      <c r="C558" s="10"/>
    </row>
    <row r="559">
      <c r="A559" s="10"/>
      <c r="C559" s="10"/>
    </row>
    <row r="560">
      <c r="A560" s="10"/>
      <c r="C560" s="10"/>
    </row>
    <row r="561">
      <c r="A561" s="10"/>
      <c r="C561" s="10"/>
    </row>
    <row r="562">
      <c r="A562" s="10"/>
      <c r="C562" s="10"/>
    </row>
    <row r="563">
      <c r="A563" s="10"/>
      <c r="C563" s="10"/>
    </row>
    <row r="564">
      <c r="A564" s="10"/>
      <c r="C564" s="10"/>
    </row>
    <row r="565">
      <c r="A565" s="10"/>
      <c r="C565" s="10"/>
    </row>
    <row r="566">
      <c r="A566" s="10"/>
      <c r="C566" s="10"/>
    </row>
    <row r="567">
      <c r="A567" s="10"/>
      <c r="C567" s="10"/>
    </row>
    <row r="568">
      <c r="A568" s="10"/>
      <c r="C568" s="10"/>
    </row>
    <row r="569">
      <c r="A569" s="10"/>
      <c r="C569" s="10"/>
    </row>
    <row r="570">
      <c r="A570" s="10"/>
      <c r="C570" s="10"/>
    </row>
    <row r="571">
      <c r="A571" s="10"/>
      <c r="C571" s="10"/>
    </row>
    <row r="572">
      <c r="A572" s="10"/>
      <c r="C572" s="10"/>
    </row>
    <row r="573">
      <c r="A573" s="10"/>
      <c r="C573" s="10"/>
    </row>
    <row r="574">
      <c r="A574" s="10"/>
      <c r="C574" s="10"/>
    </row>
    <row r="575">
      <c r="A575" s="10"/>
      <c r="C575" s="10"/>
    </row>
    <row r="576">
      <c r="A576" s="10"/>
      <c r="C576" s="10"/>
    </row>
    <row r="577">
      <c r="A577" s="10"/>
      <c r="C577" s="10"/>
    </row>
    <row r="578">
      <c r="A578" s="10"/>
      <c r="C578" s="10"/>
    </row>
    <row r="579">
      <c r="A579" s="10"/>
      <c r="C579" s="10"/>
    </row>
    <row r="580">
      <c r="A580" s="10"/>
      <c r="C580" s="10"/>
    </row>
    <row r="581">
      <c r="A581" s="10"/>
      <c r="C581" s="10"/>
    </row>
    <row r="582">
      <c r="A582" s="10"/>
      <c r="C582" s="10"/>
    </row>
    <row r="583">
      <c r="A583" s="10"/>
      <c r="C583" s="10"/>
    </row>
    <row r="584">
      <c r="A584" s="10"/>
      <c r="C584" s="10"/>
    </row>
    <row r="585">
      <c r="A585" s="10"/>
      <c r="C585" s="10"/>
    </row>
    <row r="586">
      <c r="A586" s="10"/>
      <c r="C586" s="10"/>
    </row>
    <row r="587">
      <c r="A587" s="10"/>
      <c r="C587" s="10"/>
    </row>
    <row r="588">
      <c r="A588" s="10"/>
      <c r="C588" s="10"/>
    </row>
    <row r="589">
      <c r="A589" s="10"/>
      <c r="C589" s="10"/>
    </row>
    <row r="590">
      <c r="A590" s="10"/>
      <c r="C590" s="10"/>
    </row>
    <row r="591">
      <c r="A591" s="10"/>
      <c r="C591" s="10"/>
    </row>
    <row r="592">
      <c r="A592" s="10"/>
      <c r="C592" s="10"/>
    </row>
    <row r="593">
      <c r="A593" s="10"/>
      <c r="C593" s="10"/>
    </row>
    <row r="594">
      <c r="A594" s="10"/>
      <c r="C594" s="10"/>
    </row>
    <row r="595">
      <c r="A595" s="10"/>
      <c r="C595" s="10"/>
    </row>
    <row r="596">
      <c r="A596" s="10"/>
      <c r="C596" s="10"/>
    </row>
    <row r="597">
      <c r="A597" s="10"/>
      <c r="C597" s="10"/>
    </row>
    <row r="598">
      <c r="A598" s="10"/>
      <c r="C598" s="10"/>
    </row>
    <row r="599">
      <c r="A599" s="10"/>
      <c r="C599" s="10"/>
    </row>
    <row r="600">
      <c r="A600" s="10"/>
      <c r="C600" s="10"/>
    </row>
    <row r="601">
      <c r="A601" s="10"/>
      <c r="C601" s="10"/>
    </row>
    <row r="602">
      <c r="A602" s="10"/>
      <c r="C602" s="10"/>
    </row>
    <row r="603">
      <c r="A603" s="10"/>
      <c r="C603" s="10"/>
    </row>
    <row r="604">
      <c r="A604" s="10"/>
      <c r="C604" s="10"/>
    </row>
    <row r="605">
      <c r="A605" s="10"/>
      <c r="C605" s="10"/>
    </row>
    <row r="606">
      <c r="A606" s="10"/>
      <c r="C606" s="10"/>
    </row>
    <row r="607">
      <c r="A607" s="10"/>
      <c r="C607" s="10"/>
    </row>
    <row r="608">
      <c r="A608" s="10"/>
      <c r="C608" s="10"/>
    </row>
    <row r="609">
      <c r="A609" s="10"/>
      <c r="C609" s="10"/>
    </row>
    <row r="610">
      <c r="A610" s="10"/>
      <c r="C610" s="10"/>
    </row>
    <row r="611">
      <c r="A611" s="10"/>
      <c r="C611" s="10"/>
    </row>
    <row r="612">
      <c r="A612" s="10"/>
      <c r="C612" s="10"/>
    </row>
    <row r="613">
      <c r="A613" s="10"/>
      <c r="C613" s="10"/>
    </row>
    <row r="614">
      <c r="A614" s="10"/>
      <c r="C614" s="10"/>
    </row>
    <row r="615">
      <c r="A615" s="10"/>
      <c r="C615" s="10"/>
    </row>
    <row r="616">
      <c r="A616" s="10"/>
      <c r="C616" s="10"/>
    </row>
    <row r="617">
      <c r="A617" s="10"/>
      <c r="C617" s="10"/>
    </row>
    <row r="618">
      <c r="A618" s="10"/>
      <c r="C618" s="10"/>
    </row>
    <row r="619">
      <c r="A619" s="10"/>
      <c r="C619" s="10"/>
    </row>
    <row r="620">
      <c r="A620" s="10"/>
      <c r="C620" s="10"/>
    </row>
    <row r="621">
      <c r="A621" s="10"/>
      <c r="C621" s="10"/>
    </row>
    <row r="622">
      <c r="A622" s="10"/>
      <c r="C622" s="10"/>
    </row>
    <row r="623">
      <c r="A623" s="10"/>
      <c r="C623" s="10"/>
    </row>
    <row r="624">
      <c r="A624" s="10"/>
      <c r="C624" s="10"/>
    </row>
    <row r="625">
      <c r="A625" s="10"/>
      <c r="C625" s="10"/>
    </row>
    <row r="626">
      <c r="A626" s="10"/>
      <c r="C626" s="10"/>
    </row>
    <row r="627">
      <c r="A627" s="10"/>
      <c r="C627" s="10"/>
    </row>
    <row r="628">
      <c r="A628" s="10"/>
      <c r="C628" s="10"/>
    </row>
    <row r="629">
      <c r="A629" s="10"/>
      <c r="C629" s="10"/>
    </row>
    <row r="630">
      <c r="A630" s="10"/>
      <c r="C630" s="10"/>
    </row>
    <row r="631">
      <c r="A631" s="10"/>
      <c r="C631" s="10"/>
    </row>
    <row r="632">
      <c r="A632" s="10"/>
      <c r="C632" s="10"/>
    </row>
    <row r="633">
      <c r="A633" s="10"/>
      <c r="C633" s="10"/>
    </row>
    <row r="634">
      <c r="A634" s="10"/>
      <c r="C634" s="10"/>
    </row>
    <row r="635">
      <c r="A635" s="10"/>
      <c r="C635" s="10"/>
    </row>
    <row r="636">
      <c r="A636" s="10"/>
      <c r="C636" s="10"/>
    </row>
    <row r="637">
      <c r="A637" s="10"/>
      <c r="C637" s="10"/>
    </row>
    <row r="638">
      <c r="A638" s="10"/>
      <c r="C638" s="10"/>
    </row>
    <row r="639">
      <c r="A639" s="10"/>
      <c r="C639" s="10"/>
    </row>
    <row r="640">
      <c r="A640" s="10"/>
      <c r="C640" s="10"/>
    </row>
    <row r="641">
      <c r="A641" s="10"/>
      <c r="C641" s="10"/>
    </row>
    <row r="642">
      <c r="A642" s="10"/>
      <c r="C642" s="10"/>
    </row>
    <row r="643">
      <c r="A643" s="10"/>
      <c r="C643" s="10"/>
    </row>
    <row r="644">
      <c r="A644" s="10"/>
      <c r="C644" s="10"/>
    </row>
    <row r="645">
      <c r="A645" s="10"/>
      <c r="C645" s="10"/>
    </row>
    <row r="646">
      <c r="A646" s="10"/>
      <c r="C646" s="10"/>
    </row>
    <row r="647">
      <c r="A647" s="10"/>
      <c r="C647" s="10"/>
    </row>
    <row r="648">
      <c r="A648" s="10"/>
      <c r="C648" s="10"/>
    </row>
    <row r="649">
      <c r="A649" s="10"/>
      <c r="C649" s="10"/>
    </row>
    <row r="650">
      <c r="A650" s="10"/>
      <c r="C650" s="10"/>
    </row>
    <row r="651">
      <c r="A651" s="10"/>
      <c r="C651" s="10"/>
    </row>
    <row r="652">
      <c r="A652" s="10"/>
      <c r="C652" s="10"/>
    </row>
    <row r="653">
      <c r="A653" s="10"/>
      <c r="C653" s="10"/>
    </row>
    <row r="654">
      <c r="A654" s="10"/>
      <c r="C654" s="10"/>
    </row>
    <row r="655">
      <c r="A655" s="10"/>
      <c r="C655" s="10"/>
    </row>
    <row r="656">
      <c r="A656" s="10"/>
      <c r="C656" s="10"/>
    </row>
    <row r="657">
      <c r="A657" s="10"/>
      <c r="C657" s="10"/>
    </row>
    <row r="658">
      <c r="A658" s="10"/>
      <c r="C658" s="10"/>
    </row>
    <row r="659">
      <c r="A659" s="10"/>
      <c r="C659" s="10"/>
    </row>
    <row r="660">
      <c r="A660" s="10"/>
      <c r="C660" s="10"/>
    </row>
    <row r="661">
      <c r="A661" s="10"/>
      <c r="C661" s="10"/>
    </row>
    <row r="662">
      <c r="A662" s="10"/>
      <c r="C662" s="10"/>
    </row>
    <row r="663">
      <c r="A663" s="10"/>
      <c r="C663" s="10"/>
    </row>
    <row r="664">
      <c r="A664" s="10"/>
      <c r="C664" s="10"/>
    </row>
    <row r="665">
      <c r="A665" s="10"/>
      <c r="C665" s="10"/>
    </row>
    <row r="666">
      <c r="A666" s="10"/>
      <c r="C666" s="10"/>
    </row>
    <row r="667">
      <c r="A667" s="10"/>
      <c r="C667" s="10"/>
    </row>
    <row r="668">
      <c r="A668" s="10"/>
      <c r="C668" s="10"/>
    </row>
    <row r="669">
      <c r="A669" s="10"/>
      <c r="C669" s="10"/>
    </row>
    <row r="670">
      <c r="A670" s="10"/>
      <c r="C670" s="10"/>
    </row>
    <row r="671">
      <c r="A671" s="10"/>
      <c r="C671" s="10"/>
    </row>
    <row r="672">
      <c r="A672" s="10"/>
      <c r="C672" s="10"/>
    </row>
    <row r="673">
      <c r="A673" s="10"/>
      <c r="C673" s="10"/>
    </row>
    <row r="674">
      <c r="A674" s="10"/>
      <c r="C674" s="10"/>
    </row>
    <row r="675">
      <c r="A675" s="10"/>
      <c r="C675" s="10"/>
    </row>
    <row r="676">
      <c r="A676" s="10"/>
      <c r="C676" s="10"/>
    </row>
    <row r="677">
      <c r="A677" s="10"/>
      <c r="C677" s="10"/>
    </row>
    <row r="678">
      <c r="A678" s="10"/>
      <c r="C678" s="10"/>
    </row>
    <row r="679">
      <c r="A679" s="10"/>
      <c r="C679" s="10"/>
    </row>
    <row r="680">
      <c r="A680" s="10"/>
      <c r="C680" s="10"/>
    </row>
    <row r="681">
      <c r="A681" s="10"/>
      <c r="C681" s="10"/>
    </row>
    <row r="682">
      <c r="A682" s="10"/>
      <c r="C682" s="10"/>
    </row>
    <row r="683">
      <c r="A683" s="10"/>
      <c r="C683" s="10"/>
    </row>
    <row r="684">
      <c r="A684" s="10"/>
      <c r="C684" s="10"/>
    </row>
    <row r="685">
      <c r="A685" s="10"/>
      <c r="C685" s="10"/>
    </row>
    <row r="686">
      <c r="A686" s="10"/>
      <c r="C686" s="10"/>
    </row>
    <row r="687">
      <c r="A687" s="10"/>
      <c r="C687" s="10"/>
    </row>
    <row r="688">
      <c r="A688" s="10"/>
      <c r="C688" s="10"/>
    </row>
    <row r="689">
      <c r="A689" s="10"/>
      <c r="C689" s="10"/>
    </row>
    <row r="690">
      <c r="A690" s="10"/>
      <c r="C690" s="10"/>
    </row>
    <row r="691">
      <c r="A691" s="10"/>
      <c r="C691" s="10"/>
    </row>
    <row r="692">
      <c r="A692" s="10"/>
      <c r="C692" s="10"/>
    </row>
    <row r="693">
      <c r="A693" s="10"/>
      <c r="C693" s="10"/>
    </row>
    <row r="694">
      <c r="A694" s="10"/>
      <c r="C694" s="10"/>
    </row>
    <row r="695">
      <c r="A695" s="10"/>
      <c r="C695" s="10"/>
    </row>
    <row r="696">
      <c r="A696" s="10"/>
      <c r="C696" s="10"/>
    </row>
    <row r="697">
      <c r="A697" s="10"/>
      <c r="C697" s="10"/>
    </row>
    <row r="698">
      <c r="A698" s="10"/>
      <c r="C698" s="10"/>
    </row>
    <row r="699">
      <c r="A699" s="10"/>
      <c r="C699" s="10"/>
    </row>
    <row r="700">
      <c r="A700" s="10"/>
      <c r="C700" s="10"/>
    </row>
    <row r="701">
      <c r="A701" s="10"/>
      <c r="C701" s="10"/>
    </row>
    <row r="702">
      <c r="A702" s="10"/>
      <c r="C702" s="10"/>
    </row>
    <row r="703">
      <c r="A703" s="10"/>
      <c r="C703" s="10"/>
    </row>
    <row r="704">
      <c r="A704" s="10"/>
      <c r="C704" s="10"/>
    </row>
    <row r="705">
      <c r="A705" s="10"/>
      <c r="C705" s="10"/>
    </row>
    <row r="706">
      <c r="A706" s="10"/>
      <c r="C706" s="10"/>
    </row>
    <row r="707">
      <c r="A707" s="10"/>
      <c r="C707" s="10"/>
    </row>
    <row r="708">
      <c r="A708" s="10"/>
      <c r="C708" s="10"/>
    </row>
    <row r="709">
      <c r="A709" s="10"/>
      <c r="C709" s="10"/>
    </row>
    <row r="710">
      <c r="A710" s="10"/>
      <c r="C710" s="10"/>
    </row>
    <row r="711">
      <c r="A711" s="10"/>
      <c r="C711" s="10"/>
    </row>
    <row r="712">
      <c r="A712" s="10"/>
      <c r="C712" s="10"/>
    </row>
    <row r="713">
      <c r="A713" s="10"/>
      <c r="C713" s="10"/>
    </row>
    <row r="714">
      <c r="A714" s="10"/>
      <c r="C714" s="10"/>
    </row>
    <row r="715">
      <c r="A715" s="10"/>
      <c r="C715" s="10"/>
    </row>
    <row r="716">
      <c r="A716" s="10"/>
      <c r="C716" s="10"/>
    </row>
    <row r="717">
      <c r="A717" s="10"/>
      <c r="C717" s="10"/>
    </row>
    <row r="718">
      <c r="A718" s="10"/>
      <c r="C718" s="10"/>
    </row>
    <row r="719">
      <c r="A719" s="10"/>
      <c r="C719" s="10"/>
    </row>
    <row r="720">
      <c r="A720" s="10"/>
      <c r="C720" s="10"/>
    </row>
    <row r="721">
      <c r="A721" s="10"/>
      <c r="C721" s="10"/>
    </row>
    <row r="722">
      <c r="A722" s="10"/>
      <c r="C722" s="10"/>
    </row>
    <row r="723">
      <c r="A723" s="10"/>
      <c r="C723" s="10"/>
    </row>
    <row r="724">
      <c r="A724" s="10"/>
      <c r="C724" s="10"/>
    </row>
    <row r="725">
      <c r="A725" s="10"/>
      <c r="C725" s="10"/>
    </row>
    <row r="726">
      <c r="A726" s="10"/>
      <c r="C726" s="10"/>
    </row>
    <row r="727">
      <c r="A727" s="10"/>
      <c r="C727" s="10"/>
    </row>
    <row r="728">
      <c r="A728" s="10"/>
      <c r="C728" s="10"/>
    </row>
    <row r="729">
      <c r="A729" s="10"/>
      <c r="C729" s="10"/>
    </row>
    <row r="730">
      <c r="A730" s="10"/>
      <c r="C730" s="10"/>
    </row>
    <row r="731">
      <c r="A731" s="10"/>
      <c r="C731" s="10"/>
    </row>
    <row r="732">
      <c r="A732" s="10"/>
      <c r="C732" s="10"/>
    </row>
    <row r="733">
      <c r="A733" s="10"/>
      <c r="C733" s="10"/>
    </row>
    <row r="734">
      <c r="A734" s="10"/>
      <c r="C734" s="10"/>
    </row>
    <row r="735">
      <c r="A735" s="10"/>
      <c r="C735" s="10"/>
    </row>
    <row r="736">
      <c r="A736" s="10"/>
      <c r="C736" s="10"/>
    </row>
    <row r="737">
      <c r="A737" s="10"/>
      <c r="C737" s="10"/>
    </row>
    <row r="738">
      <c r="A738" s="10"/>
      <c r="C738" s="10"/>
    </row>
    <row r="739">
      <c r="A739" s="10"/>
      <c r="C739" s="10"/>
    </row>
    <row r="740">
      <c r="A740" s="10"/>
      <c r="C740" s="10"/>
    </row>
    <row r="741">
      <c r="A741" s="10"/>
      <c r="C741" s="10"/>
    </row>
    <row r="742">
      <c r="A742" s="10"/>
      <c r="C742" s="10"/>
    </row>
    <row r="743">
      <c r="A743" s="10"/>
      <c r="C743" s="10"/>
    </row>
    <row r="744">
      <c r="A744" s="10"/>
      <c r="C744" s="10"/>
    </row>
    <row r="745">
      <c r="A745" s="10"/>
      <c r="C745" s="10"/>
    </row>
    <row r="746">
      <c r="A746" s="10"/>
      <c r="C746" s="10"/>
    </row>
    <row r="747">
      <c r="A747" s="10"/>
      <c r="C747" s="10"/>
    </row>
    <row r="748">
      <c r="A748" s="10"/>
      <c r="C748" s="10"/>
    </row>
    <row r="749">
      <c r="A749" s="10"/>
      <c r="C749" s="10"/>
    </row>
    <row r="750">
      <c r="A750" s="10"/>
      <c r="C750" s="10"/>
    </row>
    <row r="751">
      <c r="A751" s="10"/>
      <c r="C751" s="10"/>
    </row>
    <row r="752">
      <c r="A752" s="10"/>
      <c r="C752" s="10"/>
    </row>
    <row r="753">
      <c r="A753" s="10"/>
      <c r="C753" s="10"/>
    </row>
    <row r="754">
      <c r="A754" s="10"/>
      <c r="C754" s="10"/>
    </row>
    <row r="755">
      <c r="A755" s="10"/>
      <c r="C755" s="10"/>
    </row>
    <row r="756">
      <c r="A756" s="10"/>
      <c r="C756" s="10"/>
    </row>
    <row r="757">
      <c r="A757" s="10"/>
      <c r="C757" s="10"/>
    </row>
    <row r="758">
      <c r="A758" s="10"/>
      <c r="C758" s="10"/>
    </row>
    <row r="759">
      <c r="A759" s="10"/>
      <c r="C759" s="10"/>
    </row>
    <row r="760">
      <c r="A760" s="10"/>
      <c r="C760" s="10"/>
    </row>
    <row r="761">
      <c r="A761" s="10"/>
      <c r="C761" s="10"/>
    </row>
    <row r="762">
      <c r="A762" s="10"/>
      <c r="C762" s="10"/>
    </row>
    <row r="763">
      <c r="A763" s="10"/>
      <c r="C763" s="10"/>
    </row>
    <row r="764">
      <c r="A764" s="10"/>
      <c r="C764" s="10"/>
    </row>
    <row r="765">
      <c r="A765" s="10"/>
      <c r="C765" s="10"/>
    </row>
    <row r="766">
      <c r="A766" s="10"/>
      <c r="C766" s="10"/>
    </row>
    <row r="767">
      <c r="A767" s="10"/>
      <c r="C767" s="10"/>
    </row>
    <row r="768">
      <c r="A768" s="10"/>
      <c r="C768" s="10"/>
    </row>
    <row r="769">
      <c r="A769" s="10"/>
      <c r="C769" s="10"/>
    </row>
    <row r="770">
      <c r="A770" s="10"/>
      <c r="C770" s="10"/>
    </row>
    <row r="771">
      <c r="A771" s="10"/>
      <c r="C771" s="10"/>
    </row>
    <row r="772">
      <c r="A772" s="10"/>
      <c r="C772" s="10"/>
    </row>
    <row r="773">
      <c r="A773" s="10"/>
      <c r="C773" s="10"/>
    </row>
    <row r="774">
      <c r="A774" s="10"/>
      <c r="C774" s="10"/>
    </row>
    <row r="775">
      <c r="A775" s="10"/>
      <c r="C775" s="10"/>
    </row>
    <row r="776">
      <c r="A776" s="10"/>
      <c r="C776" s="10"/>
    </row>
    <row r="777">
      <c r="A777" s="10"/>
      <c r="C777" s="10"/>
    </row>
    <row r="778">
      <c r="A778" s="10"/>
      <c r="C778" s="10"/>
    </row>
    <row r="779">
      <c r="A779" s="10"/>
      <c r="C779" s="10"/>
    </row>
    <row r="780">
      <c r="A780" s="10"/>
      <c r="C780" s="10"/>
    </row>
    <row r="781">
      <c r="A781" s="10"/>
      <c r="C781" s="10"/>
    </row>
    <row r="782">
      <c r="A782" s="10"/>
      <c r="C782" s="10"/>
    </row>
    <row r="783">
      <c r="A783" s="10"/>
      <c r="C783" s="10"/>
    </row>
    <row r="784">
      <c r="A784" s="10"/>
      <c r="C784" s="10"/>
    </row>
    <row r="785">
      <c r="A785" s="10"/>
      <c r="C785" s="10"/>
    </row>
    <row r="786">
      <c r="A786" s="10"/>
      <c r="C786" s="10"/>
    </row>
    <row r="787">
      <c r="A787" s="10"/>
      <c r="C787" s="10"/>
    </row>
    <row r="788">
      <c r="A788" s="10"/>
      <c r="C788" s="10"/>
    </row>
    <row r="789">
      <c r="A789" s="10"/>
      <c r="C789" s="10"/>
    </row>
    <row r="790">
      <c r="A790" s="10"/>
      <c r="C790" s="10"/>
    </row>
    <row r="791">
      <c r="A791" s="10"/>
      <c r="C791" s="10"/>
    </row>
    <row r="792">
      <c r="A792" s="10"/>
      <c r="C792" s="10"/>
    </row>
    <row r="793">
      <c r="A793" s="10"/>
      <c r="C793" s="10"/>
    </row>
    <row r="794">
      <c r="A794" s="10"/>
      <c r="C794" s="10"/>
    </row>
    <row r="795">
      <c r="A795" s="10"/>
      <c r="C795" s="10"/>
    </row>
    <row r="796">
      <c r="A796" s="10"/>
      <c r="C796" s="10"/>
    </row>
    <row r="797">
      <c r="A797" s="10"/>
      <c r="C797" s="10"/>
    </row>
    <row r="798">
      <c r="A798" s="10"/>
      <c r="C798" s="10"/>
    </row>
    <row r="799">
      <c r="A799" s="10"/>
      <c r="C799" s="10"/>
    </row>
    <row r="800">
      <c r="A800" s="10"/>
      <c r="C800" s="10"/>
    </row>
    <row r="801">
      <c r="A801" s="10"/>
      <c r="C801" s="10"/>
    </row>
    <row r="802">
      <c r="A802" s="10"/>
      <c r="C802" s="10"/>
    </row>
    <row r="803">
      <c r="A803" s="10"/>
      <c r="C803" s="10"/>
    </row>
    <row r="804">
      <c r="A804" s="10"/>
      <c r="C804" s="10"/>
    </row>
    <row r="805">
      <c r="A805" s="10"/>
      <c r="C805" s="10"/>
    </row>
    <row r="806">
      <c r="A806" s="10"/>
      <c r="C806" s="10"/>
    </row>
    <row r="807">
      <c r="A807" s="10"/>
      <c r="C807" s="10"/>
    </row>
    <row r="808">
      <c r="A808" s="10"/>
      <c r="C808" s="10"/>
    </row>
    <row r="809">
      <c r="A809" s="10"/>
      <c r="C809" s="10"/>
    </row>
    <row r="810">
      <c r="A810" s="10"/>
      <c r="C810" s="10"/>
    </row>
    <row r="811">
      <c r="A811" s="10"/>
      <c r="C811" s="10"/>
    </row>
    <row r="812">
      <c r="A812" s="10"/>
      <c r="C812" s="10"/>
    </row>
    <row r="813">
      <c r="A813" s="10"/>
      <c r="C813" s="10"/>
    </row>
    <row r="814">
      <c r="A814" s="10"/>
      <c r="C814" s="10"/>
    </row>
    <row r="815">
      <c r="A815" s="10"/>
      <c r="C815" s="10"/>
    </row>
    <row r="816">
      <c r="A816" s="10"/>
      <c r="C816" s="10"/>
    </row>
    <row r="817">
      <c r="A817" s="10"/>
      <c r="C817" s="10"/>
    </row>
    <row r="818">
      <c r="A818" s="10"/>
      <c r="C818" s="10"/>
    </row>
    <row r="819">
      <c r="A819" s="10"/>
      <c r="C819" s="10"/>
    </row>
    <row r="820">
      <c r="A820" s="10"/>
      <c r="C820" s="10"/>
    </row>
    <row r="821">
      <c r="A821" s="10"/>
      <c r="C821" s="10"/>
    </row>
    <row r="822">
      <c r="A822" s="10"/>
      <c r="C822" s="10"/>
    </row>
    <row r="823">
      <c r="A823" s="10"/>
      <c r="C823" s="10"/>
    </row>
    <row r="824">
      <c r="A824" s="10"/>
      <c r="C824" s="10"/>
    </row>
    <row r="825">
      <c r="A825" s="10"/>
      <c r="C825" s="10"/>
    </row>
    <row r="826">
      <c r="A826" s="10"/>
      <c r="C826" s="10"/>
    </row>
    <row r="827">
      <c r="A827" s="10"/>
      <c r="C827" s="10"/>
    </row>
    <row r="828">
      <c r="A828" s="10"/>
      <c r="C828" s="10"/>
    </row>
    <row r="829">
      <c r="A829" s="10"/>
      <c r="C829" s="10"/>
    </row>
    <row r="830">
      <c r="A830" s="10"/>
      <c r="C830" s="10"/>
    </row>
    <row r="831">
      <c r="A831" s="10"/>
      <c r="C831" s="10"/>
    </row>
    <row r="832">
      <c r="A832" s="10"/>
      <c r="C832" s="10"/>
    </row>
    <row r="833">
      <c r="A833" s="10"/>
      <c r="C833" s="10"/>
    </row>
    <row r="834">
      <c r="A834" s="10"/>
      <c r="C834" s="10"/>
    </row>
    <row r="835">
      <c r="A835" s="10"/>
      <c r="C835" s="10"/>
    </row>
    <row r="836">
      <c r="A836" s="10"/>
      <c r="C836" s="10"/>
    </row>
    <row r="837">
      <c r="A837" s="10"/>
      <c r="C837" s="10"/>
    </row>
    <row r="838">
      <c r="A838" s="10"/>
      <c r="C838" s="10"/>
    </row>
    <row r="839">
      <c r="A839" s="10"/>
      <c r="C839" s="10"/>
    </row>
    <row r="840">
      <c r="A840" s="10"/>
      <c r="C840" s="10"/>
    </row>
    <row r="841">
      <c r="A841" s="10"/>
      <c r="C841" s="10"/>
    </row>
    <row r="842">
      <c r="A842" s="10"/>
      <c r="C842" s="10"/>
    </row>
    <row r="843">
      <c r="A843" s="10"/>
      <c r="C843" s="10"/>
    </row>
    <row r="844">
      <c r="A844" s="10"/>
      <c r="C844" s="10"/>
    </row>
    <row r="845">
      <c r="A845" s="10"/>
      <c r="C845" s="10"/>
    </row>
    <row r="846">
      <c r="A846" s="10"/>
      <c r="C846" s="10"/>
    </row>
    <row r="847">
      <c r="A847" s="10"/>
      <c r="C847" s="10"/>
    </row>
    <row r="848">
      <c r="A848" s="10"/>
      <c r="C848" s="10"/>
    </row>
    <row r="849">
      <c r="A849" s="10"/>
      <c r="C849" s="10"/>
    </row>
    <row r="850">
      <c r="A850" s="10"/>
      <c r="C850" s="10"/>
    </row>
    <row r="851">
      <c r="A851" s="10"/>
      <c r="C851" s="10"/>
    </row>
    <row r="852">
      <c r="A852" s="10"/>
      <c r="C852" s="10"/>
    </row>
    <row r="853">
      <c r="A853" s="10"/>
      <c r="C853" s="10"/>
    </row>
    <row r="854">
      <c r="A854" s="10"/>
      <c r="C854" s="10"/>
    </row>
    <row r="855">
      <c r="A855" s="10"/>
      <c r="C855" s="10"/>
    </row>
    <row r="856">
      <c r="A856" s="10"/>
      <c r="C856" s="10"/>
    </row>
    <row r="857">
      <c r="A857" s="10"/>
      <c r="C857" s="10"/>
    </row>
    <row r="858">
      <c r="A858" s="10"/>
      <c r="C858" s="10"/>
    </row>
    <row r="859">
      <c r="A859" s="10"/>
      <c r="C859" s="10"/>
    </row>
    <row r="860">
      <c r="A860" s="10"/>
      <c r="C860" s="10"/>
    </row>
    <row r="861">
      <c r="A861" s="10"/>
      <c r="C861" s="10"/>
    </row>
    <row r="862">
      <c r="A862" s="10"/>
      <c r="C862" s="10"/>
    </row>
    <row r="863">
      <c r="A863" s="10"/>
      <c r="C863" s="10"/>
    </row>
    <row r="864">
      <c r="A864" s="10"/>
      <c r="C864" s="10"/>
    </row>
    <row r="865">
      <c r="A865" s="10"/>
      <c r="C865" s="10"/>
    </row>
    <row r="866">
      <c r="A866" s="10"/>
      <c r="C866" s="10"/>
    </row>
    <row r="867">
      <c r="A867" s="10"/>
      <c r="C867" s="10"/>
    </row>
    <row r="868">
      <c r="A868" s="10"/>
      <c r="C868" s="10"/>
    </row>
    <row r="869">
      <c r="A869" s="10"/>
      <c r="C869" s="10"/>
    </row>
    <row r="870">
      <c r="A870" s="10"/>
      <c r="C870" s="10"/>
    </row>
    <row r="871">
      <c r="A871" s="10"/>
      <c r="C871" s="10"/>
    </row>
    <row r="872">
      <c r="A872" s="10"/>
      <c r="C872" s="10"/>
    </row>
    <row r="873">
      <c r="A873" s="10"/>
      <c r="C873" s="10"/>
    </row>
    <row r="874">
      <c r="A874" s="10"/>
      <c r="C874" s="10"/>
    </row>
    <row r="875">
      <c r="A875" s="10"/>
      <c r="C875" s="10"/>
    </row>
    <row r="876">
      <c r="A876" s="10"/>
      <c r="C876" s="10"/>
    </row>
    <row r="877">
      <c r="A877" s="10"/>
      <c r="C877" s="10"/>
    </row>
    <row r="878">
      <c r="A878" s="10"/>
      <c r="C878" s="10"/>
    </row>
    <row r="879">
      <c r="A879" s="10"/>
      <c r="C879" s="10"/>
    </row>
    <row r="880">
      <c r="A880" s="10"/>
      <c r="C880" s="10"/>
    </row>
    <row r="881">
      <c r="A881" s="10"/>
      <c r="C881" s="10"/>
    </row>
    <row r="882">
      <c r="A882" s="10"/>
      <c r="C882" s="10"/>
    </row>
    <row r="883">
      <c r="A883" s="10"/>
      <c r="C883" s="10"/>
    </row>
    <row r="884">
      <c r="A884" s="10"/>
      <c r="C884" s="10"/>
    </row>
    <row r="885">
      <c r="A885" s="10"/>
      <c r="C885" s="10"/>
    </row>
    <row r="886">
      <c r="A886" s="10"/>
      <c r="C886" s="10"/>
    </row>
    <row r="887">
      <c r="A887" s="10"/>
      <c r="C887" s="10"/>
    </row>
    <row r="888">
      <c r="A888" s="10"/>
      <c r="C888" s="10"/>
    </row>
    <row r="889">
      <c r="A889" s="10"/>
      <c r="C889" s="10"/>
    </row>
    <row r="890">
      <c r="A890" s="10"/>
      <c r="C890" s="10"/>
    </row>
    <row r="891">
      <c r="A891" s="10"/>
      <c r="C891" s="10"/>
    </row>
    <row r="892">
      <c r="A892" s="10"/>
      <c r="C892" s="10"/>
    </row>
    <row r="893">
      <c r="A893" s="10"/>
      <c r="C893" s="10"/>
    </row>
    <row r="894">
      <c r="A894" s="10"/>
      <c r="C894" s="10"/>
    </row>
    <row r="895">
      <c r="A895" s="10"/>
      <c r="C895" s="10"/>
    </row>
    <row r="896">
      <c r="A896" s="10"/>
      <c r="C896" s="10"/>
    </row>
    <row r="897">
      <c r="A897" s="10"/>
      <c r="C897" s="10"/>
    </row>
    <row r="898">
      <c r="A898" s="10"/>
      <c r="C898" s="10"/>
    </row>
    <row r="899">
      <c r="A899" s="10"/>
      <c r="C899" s="10"/>
    </row>
    <row r="900">
      <c r="A900" s="10"/>
      <c r="C900" s="10"/>
    </row>
    <row r="901">
      <c r="A901" s="10"/>
      <c r="C901" s="10"/>
    </row>
    <row r="902">
      <c r="A902" s="10"/>
      <c r="C902" s="10"/>
    </row>
    <row r="903">
      <c r="A903" s="10"/>
      <c r="C903" s="10"/>
    </row>
    <row r="904">
      <c r="A904" s="10"/>
      <c r="C904" s="10"/>
    </row>
    <row r="905">
      <c r="A905" s="10"/>
      <c r="C905" s="10"/>
    </row>
    <row r="906">
      <c r="A906" s="10"/>
      <c r="C906" s="10"/>
    </row>
    <row r="907">
      <c r="A907" s="10"/>
      <c r="C907" s="10"/>
    </row>
    <row r="908">
      <c r="A908" s="10"/>
      <c r="C908" s="10"/>
    </row>
    <row r="909">
      <c r="A909" s="10"/>
      <c r="C909" s="10"/>
    </row>
    <row r="910">
      <c r="A910" s="10"/>
      <c r="C910" s="10"/>
    </row>
    <row r="911">
      <c r="A911" s="10"/>
      <c r="C911" s="10"/>
    </row>
    <row r="912">
      <c r="A912" s="10"/>
      <c r="C912" s="10"/>
    </row>
    <row r="913">
      <c r="A913" s="10"/>
      <c r="C913" s="10"/>
    </row>
    <row r="914">
      <c r="A914" s="10"/>
      <c r="C914" s="10"/>
    </row>
    <row r="915">
      <c r="A915" s="10"/>
      <c r="C915" s="10"/>
    </row>
    <row r="916">
      <c r="A916" s="10"/>
      <c r="C916" s="10"/>
    </row>
    <row r="917">
      <c r="A917" s="10"/>
      <c r="C917" s="10"/>
    </row>
    <row r="918">
      <c r="A918" s="10"/>
      <c r="C918" s="10"/>
    </row>
    <row r="919">
      <c r="A919" s="10"/>
      <c r="C919" s="10"/>
    </row>
    <row r="920">
      <c r="A920" s="10"/>
      <c r="C920" s="10"/>
    </row>
    <row r="921">
      <c r="A921" s="10"/>
      <c r="C921" s="10"/>
    </row>
    <row r="922">
      <c r="A922" s="10"/>
      <c r="C922" s="10"/>
    </row>
    <row r="923">
      <c r="A923" s="10"/>
      <c r="C923" s="10"/>
    </row>
    <row r="924">
      <c r="A924" s="10"/>
      <c r="C924" s="10"/>
    </row>
    <row r="925">
      <c r="A925" s="10"/>
      <c r="C925" s="10"/>
    </row>
    <row r="926">
      <c r="A926" s="10"/>
      <c r="C926" s="10"/>
    </row>
    <row r="927">
      <c r="A927" s="10"/>
      <c r="C927" s="10"/>
    </row>
    <row r="928">
      <c r="A928" s="10"/>
      <c r="C928" s="10"/>
    </row>
    <row r="929">
      <c r="A929" s="10"/>
      <c r="C929" s="10"/>
    </row>
    <row r="930">
      <c r="A930" s="10"/>
      <c r="C930" s="10"/>
    </row>
    <row r="931">
      <c r="A931" s="10"/>
      <c r="C931" s="10"/>
    </row>
    <row r="932">
      <c r="A932" s="10"/>
      <c r="C932" s="10"/>
    </row>
    <row r="933">
      <c r="A933" s="10"/>
      <c r="C933" s="10"/>
    </row>
    <row r="934">
      <c r="A934" s="10"/>
      <c r="C934" s="10"/>
    </row>
    <row r="935">
      <c r="A935" s="10"/>
      <c r="C935" s="10"/>
    </row>
    <row r="936">
      <c r="A936" s="10"/>
      <c r="C936" s="10"/>
    </row>
    <row r="937">
      <c r="A937" s="10"/>
      <c r="C937" s="10"/>
    </row>
    <row r="938">
      <c r="A938" s="10"/>
      <c r="C938" s="10"/>
    </row>
    <row r="939">
      <c r="A939" s="10"/>
      <c r="C939" s="10"/>
    </row>
    <row r="940">
      <c r="A940" s="10"/>
      <c r="C940" s="10"/>
    </row>
    <row r="941">
      <c r="A941" s="10"/>
      <c r="C941" s="10"/>
    </row>
    <row r="942">
      <c r="A942" s="10"/>
      <c r="C942" s="10"/>
    </row>
    <row r="943">
      <c r="A943" s="10"/>
      <c r="C943" s="10"/>
    </row>
    <row r="944">
      <c r="A944" s="10"/>
      <c r="C944" s="10"/>
    </row>
    <row r="945">
      <c r="A945" s="10"/>
      <c r="C945" s="10"/>
    </row>
    <row r="946">
      <c r="A946" s="10"/>
      <c r="C946" s="10"/>
    </row>
    <row r="947">
      <c r="A947" s="10"/>
      <c r="C947" s="10"/>
    </row>
    <row r="948">
      <c r="A948" s="10"/>
      <c r="C948" s="10"/>
    </row>
    <row r="949">
      <c r="A949" s="10"/>
      <c r="C949" s="10"/>
    </row>
    <row r="950">
      <c r="A950" s="10"/>
      <c r="C950" s="10"/>
    </row>
    <row r="951">
      <c r="A951" s="10"/>
      <c r="C951" s="10"/>
    </row>
    <row r="952">
      <c r="A952" s="10"/>
      <c r="C952" s="10"/>
    </row>
    <row r="953">
      <c r="A953" s="10"/>
      <c r="C953" s="10"/>
    </row>
    <row r="954">
      <c r="A954" s="10"/>
      <c r="C954" s="10"/>
    </row>
    <row r="955">
      <c r="A955" s="10"/>
      <c r="C955" s="10"/>
    </row>
    <row r="956">
      <c r="A956" s="10"/>
      <c r="C956" s="10"/>
    </row>
    <row r="957">
      <c r="A957" s="10"/>
      <c r="C957" s="10"/>
    </row>
    <row r="958">
      <c r="A958" s="10"/>
      <c r="C958" s="10"/>
    </row>
    <row r="959">
      <c r="A959" s="10"/>
      <c r="C959" s="10"/>
    </row>
    <row r="960">
      <c r="A960" s="10"/>
      <c r="C960" s="10"/>
    </row>
    <row r="961">
      <c r="A961" s="10"/>
      <c r="C961" s="10"/>
    </row>
    <row r="962">
      <c r="A962" s="10"/>
      <c r="C962" s="10"/>
    </row>
    <row r="963">
      <c r="A963" s="10"/>
      <c r="C963" s="10"/>
    </row>
    <row r="964">
      <c r="A964" s="10"/>
      <c r="C964" s="10"/>
    </row>
    <row r="965">
      <c r="A965" s="10"/>
      <c r="C965" s="10"/>
    </row>
    <row r="966">
      <c r="A966" s="10"/>
      <c r="C966" s="10"/>
    </row>
    <row r="967">
      <c r="A967" s="10"/>
      <c r="C967" s="10"/>
    </row>
    <row r="968">
      <c r="A968" s="10"/>
      <c r="C968" s="10"/>
    </row>
    <row r="969">
      <c r="A969" s="10"/>
      <c r="C969" s="10"/>
    </row>
    <row r="970">
      <c r="A970" s="10"/>
      <c r="C970" s="10"/>
    </row>
    <row r="971">
      <c r="A971" s="10"/>
      <c r="C971" s="10"/>
    </row>
    <row r="972">
      <c r="A972" s="10"/>
      <c r="C972" s="10"/>
    </row>
    <row r="973">
      <c r="A973" s="10"/>
      <c r="C973" s="10"/>
    </row>
    <row r="974">
      <c r="A974" s="10"/>
      <c r="C974" s="10"/>
    </row>
    <row r="975">
      <c r="A975" s="10"/>
      <c r="C975" s="10"/>
    </row>
    <row r="976">
      <c r="A976" s="10"/>
      <c r="C976" s="10"/>
    </row>
    <row r="977">
      <c r="A977" s="10"/>
      <c r="C977" s="10"/>
    </row>
    <row r="978">
      <c r="A978" s="10"/>
      <c r="C978" s="10"/>
    </row>
    <row r="979">
      <c r="A979" s="10"/>
      <c r="C979" s="10"/>
    </row>
    <row r="980">
      <c r="A980" s="10"/>
      <c r="C980" s="10"/>
    </row>
    <row r="981">
      <c r="A981" s="10"/>
      <c r="C981" s="10"/>
    </row>
    <row r="982">
      <c r="A982" s="10"/>
      <c r="C982" s="10"/>
    </row>
    <row r="983">
      <c r="A983" s="10"/>
      <c r="C983" s="10"/>
    </row>
    <row r="984">
      <c r="A984" s="10"/>
      <c r="C984" s="10"/>
    </row>
    <row r="985">
      <c r="A985" s="10"/>
      <c r="C985" s="10"/>
    </row>
    <row r="986">
      <c r="A986" s="10"/>
      <c r="C986" s="10"/>
    </row>
    <row r="987">
      <c r="A987" s="10"/>
      <c r="C987" s="10"/>
    </row>
    <row r="988">
      <c r="A988" s="10"/>
      <c r="C988" s="10"/>
    </row>
    <row r="989">
      <c r="A989" s="10"/>
      <c r="C989" s="10"/>
    </row>
    <row r="990">
      <c r="A990" s="10"/>
      <c r="C990" s="10"/>
    </row>
    <row r="991">
      <c r="A991" s="10"/>
      <c r="C991" s="10"/>
    </row>
    <row r="992">
      <c r="A992" s="10"/>
      <c r="C992" s="10"/>
    </row>
  </sheetData>
  <mergeCells count="8">
    <mergeCell ref="C1:E1"/>
    <mergeCell ref="F1:H1"/>
    <mergeCell ref="I1:K1"/>
    <mergeCell ref="L1:N1"/>
    <mergeCell ref="O1:Q1"/>
    <mergeCell ref="R1:T1"/>
    <mergeCell ref="U1:W1"/>
    <mergeCell ref="X1:Z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13"/>
    <col customWidth="1" min="2" max="2" width="26.38"/>
    <col customWidth="1" min="3" max="3" width="35.88"/>
  </cols>
  <sheetData>
    <row r="1">
      <c r="A1" s="77" t="s">
        <v>17</v>
      </c>
      <c r="B1" s="77" t="s">
        <v>1826</v>
      </c>
      <c r="C1" s="87" t="s">
        <v>1827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9" t="s">
        <v>101</v>
      </c>
      <c r="B2" s="119" t="s">
        <v>101</v>
      </c>
      <c r="C2" s="15" t="s">
        <v>1760</v>
      </c>
    </row>
    <row r="3">
      <c r="A3" s="119" t="s">
        <v>1762</v>
      </c>
      <c r="B3" s="119" t="s">
        <v>1762</v>
      </c>
      <c r="C3" s="15" t="str">
        <f t="array" ref="C3">XLOOKUP(B3,'Nível 2'!B:B,'Nível 2'!A:A)</f>
        <v>DEDUÇÕES DA RECEITA BRUTA (-)</v>
      </c>
    </row>
    <row r="4">
      <c r="A4" s="119" t="s">
        <v>1763</v>
      </c>
      <c r="B4" s="119" t="s">
        <v>1763</v>
      </c>
      <c r="C4" s="15" t="str">
        <f t="array" ref="C4">XLOOKUP(B4,'Nível 2'!B:B,'Nível 2'!A:A)</f>
        <v>DEDUÇÕES DA RECEITA BRUTA (-)</v>
      </c>
    </row>
    <row r="5">
      <c r="A5" s="119" t="s">
        <v>1764</v>
      </c>
      <c r="B5" s="119" t="s">
        <v>1764</v>
      </c>
      <c r="C5" s="15" t="str">
        <f t="array" ref="C5">XLOOKUP(B5,'Nível 2'!B:B,'Nível 2'!A:A)</f>
        <v>DEDUÇÕES DA RECEITA BRUTA (-)</v>
      </c>
    </row>
    <row r="6">
      <c r="A6" s="119" t="s">
        <v>1765</v>
      </c>
      <c r="B6" s="119" t="s">
        <v>1765</v>
      </c>
      <c r="C6" s="15" t="str">
        <f t="array" ref="C6">XLOOKUP(B6,'Nível 2'!B:B,'Nível 2'!A:A)</f>
        <v>DEDUÇÕES DA RECEITA BRUTA (-)</v>
      </c>
    </row>
    <row r="7">
      <c r="A7" s="126" t="s">
        <v>35</v>
      </c>
      <c r="B7" s="126" t="s">
        <v>35</v>
      </c>
      <c r="C7" s="11" t="s">
        <v>1767</v>
      </c>
    </row>
    <row r="8">
      <c r="A8" s="11" t="s">
        <v>1828</v>
      </c>
      <c r="B8" s="11" t="s">
        <v>1828</v>
      </c>
      <c r="C8" s="11" t="s">
        <v>1767</v>
      </c>
    </row>
    <row r="9">
      <c r="A9" s="123" t="s">
        <v>68</v>
      </c>
      <c r="B9" s="123" t="s">
        <v>68</v>
      </c>
      <c r="C9" s="11" t="s">
        <v>1767</v>
      </c>
    </row>
    <row r="10">
      <c r="A10" s="123" t="s">
        <v>143</v>
      </c>
      <c r="B10" s="123" t="s">
        <v>143</v>
      </c>
      <c r="C10" s="11" t="s">
        <v>1767</v>
      </c>
    </row>
    <row r="11">
      <c r="A11" s="119" t="s">
        <v>38</v>
      </c>
      <c r="B11" s="118" t="s">
        <v>1666</v>
      </c>
      <c r="C11" s="15" t="str">
        <f t="array" ref="C11">XLOOKUP(B11,'Nível 2'!B:B,'Nível 2'!A:A)</f>
        <v>DESPESAS FIXAS (-)</v>
      </c>
    </row>
    <row r="12">
      <c r="A12" s="119" t="s">
        <v>1775</v>
      </c>
      <c r="B12" s="118" t="s">
        <v>1666</v>
      </c>
      <c r="C12" s="15" t="str">
        <f t="array" ref="C12">XLOOKUP(B12,'Nível 2'!B:B,'Nível 2'!A:A)</f>
        <v>DESPESAS FIXAS (-)</v>
      </c>
    </row>
    <row r="13">
      <c r="A13" s="119" t="s">
        <v>1776</v>
      </c>
      <c r="B13" s="118" t="s">
        <v>1666</v>
      </c>
      <c r="C13" s="15" t="str">
        <f t="array" ref="C13">XLOOKUP(B13,'Nível 2'!B:B,'Nível 2'!A:A)</f>
        <v>DESPESAS FIXAS (-)</v>
      </c>
    </row>
    <row r="14">
      <c r="A14" s="119" t="s">
        <v>1777</v>
      </c>
      <c r="B14" s="118" t="s">
        <v>1666</v>
      </c>
      <c r="C14" s="15" t="str">
        <f t="array" ref="C14">XLOOKUP(B14,'Nível 2'!B:B,'Nível 2'!A:A)</f>
        <v>DESPESAS FIXAS (-)</v>
      </c>
    </row>
    <row r="15">
      <c r="A15" s="119" t="s">
        <v>1778</v>
      </c>
      <c r="B15" s="118" t="s">
        <v>1666</v>
      </c>
      <c r="C15" s="15" t="str">
        <f t="array" ref="C15">XLOOKUP(B15,'Nível 2'!B:B,'Nível 2'!A:A)</f>
        <v>DESPESAS FIXAS (-)</v>
      </c>
    </row>
    <row r="16">
      <c r="A16" s="119" t="s">
        <v>856</v>
      </c>
      <c r="B16" s="118" t="s">
        <v>1666</v>
      </c>
      <c r="C16" s="15" t="str">
        <f t="array" ref="C16">XLOOKUP(B16,'Nível 2'!B:B,'Nível 2'!A:A)</f>
        <v>DESPESAS FIXAS (-)</v>
      </c>
    </row>
    <row r="17">
      <c r="A17" s="119" t="s">
        <v>126</v>
      </c>
      <c r="B17" s="118" t="s">
        <v>1666</v>
      </c>
      <c r="C17" s="15" t="str">
        <f t="array" ref="C17">XLOOKUP(B17,'Nível 2'!B:B,'Nível 2'!A:A)</f>
        <v>DESPESAS FIXAS (-)</v>
      </c>
    </row>
    <row r="18">
      <c r="A18" s="119" t="s">
        <v>123</v>
      </c>
      <c r="B18" s="118" t="s">
        <v>1666</v>
      </c>
      <c r="C18" s="15" t="str">
        <f t="array" ref="C18">XLOOKUP(B18,'Nível 2'!B:B,'Nível 2'!A:A)</f>
        <v>DESPESAS FIXAS (-)</v>
      </c>
    </row>
    <row r="19">
      <c r="A19" s="119" t="s">
        <v>1779</v>
      </c>
      <c r="B19" s="118" t="s">
        <v>1666</v>
      </c>
      <c r="C19" s="15" t="str">
        <f t="array" ref="C19">XLOOKUP(B19,'Nível 2'!B:B,'Nível 2'!A:A)</f>
        <v>DESPESAS FIXAS (-)</v>
      </c>
    </row>
    <row r="20">
      <c r="A20" s="119" t="s">
        <v>204</v>
      </c>
      <c r="B20" s="118" t="s">
        <v>1666</v>
      </c>
      <c r="C20" s="15" t="str">
        <f t="array" ref="C20">XLOOKUP(B20,'Nível 2'!B:B,'Nível 2'!A:A)</f>
        <v>DESPESAS FIXAS (-)</v>
      </c>
    </row>
    <row r="21">
      <c r="A21" s="119" t="s">
        <v>1095</v>
      </c>
      <c r="B21" s="118" t="s">
        <v>1666</v>
      </c>
      <c r="C21" s="15" t="str">
        <f t="array" ref="C21">XLOOKUP(B21,'Nível 2'!B:B,'Nível 2'!A:A)</f>
        <v>DESPESAS FIXAS (-)</v>
      </c>
    </row>
    <row r="22">
      <c r="A22" s="119" t="s">
        <v>75</v>
      </c>
      <c r="B22" s="118" t="s">
        <v>1666</v>
      </c>
      <c r="C22" s="15" t="str">
        <f t="array" ref="C22">XLOOKUP(B22,'Nível 2'!B:B,'Nível 2'!A:A)</f>
        <v>DESPESAS FIXAS (-)</v>
      </c>
    </row>
    <row r="23">
      <c r="A23" s="119" t="s">
        <v>78</v>
      </c>
      <c r="B23" s="118" t="s">
        <v>1666</v>
      </c>
      <c r="C23" s="15" t="str">
        <f t="array" ref="C23">XLOOKUP(B23,'Nível 2'!B:B,'Nível 2'!A:A)</f>
        <v>DESPESAS FIXAS (-)</v>
      </c>
    </row>
    <row r="24">
      <c r="A24" s="119" t="s">
        <v>1053</v>
      </c>
      <c r="B24" s="118" t="s">
        <v>1666</v>
      </c>
      <c r="C24" s="15" t="str">
        <f t="array" ref="C24">XLOOKUP(B24,'Nível 2'!B:B,'Nível 2'!A:A)</f>
        <v>DESPESAS FIXAS (-)</v>
      </c>
    </row>
    <row r="25">
      <c r="A25" s="119" t="s">
        <v>1780</v>
      </c>
      <c r="B25" s="118" t="s">
        <v>1666</v>
      </c>
      <c r="C25" s="15" t="str">
        <f t="array" ref="C25">XLOOKUP(B25,'Nível 2'!B:B,'Nível 2'!A:A)</f>
        <v>DESPESAS FIXAS (-)</v>
      </c>
    </row>
    <row r="26">
      <c r="A26" s="119" t="s">
        <v>49</v>
      </c>
      <c r="B26" s="118" t="s">
        <v>1666</v>
      </c>
      <c r="C26" s="15" t="str">
        <f t="array" ref="C26">XLOOKUP(B26,'Nível 2'!B:B,'Nível 2'!A:A)</f>
        <v>DESPESAS FIXAS (-)</v>
      </c>
    </row>
    <row r="27">
      <c r="A27" s="119" t="s">
        <v>1781</v>
      </c>
      <c r="B27" s="118" t="s">
        <v>1666</v>
      </c>
      <c r="C27" s="15" t="str">
        <f t="array" ref="C27">XLOOKUP(B27,'Nível 2'!B:B,'Nível 2'!A:A)</f>
        <v>DESPESAS FIXAS (-)</v>
      </c>
    </row>
    <row r="28">
      <c r="A28" s="119" t="s">
        <v>1782</v>
      </c>
      <c r="B28" s="118" t="s">
        <v>1666</v>
      </c>
      <c r="C28" s="15" t="str">
        <f t="array" ref="C28">XLOOKUP(B28,'Nível 2'!B:B,'Nível 2'!A:A)</f>
        <v>DESPESAS FIXAS (-)</v>
      </c>
    </row>
    <row r="29">
      <c r="A29" s="119" t="s">
        <v>405</v>
      </c>
      <c r="B29" s="118" t="s">
        <v>1666</v>
      </c>
      <c r="C29" s="15" t="str">
        <f t="array" ref="C29">XLOOKUP(B29,'Nível 2'!B:B,'Nível 2'!A:A)</f>
        <v>DESPESAS FIXAS (-)</v>
      </c>
    </row>
    <row r="30">
      <c r="A30" s="119" t="s">
        <v>1783</v>
      </c>
      <c r="B30" s="118" t="s">
        <v>1666</v>
      </c>
      <c r="C30" s="15" t="str">
        <f t="array" ref="C30">XLOOKUP(B30,'Nível 2'!B:B,'Nível 2'!A:A)</f>
        <v>DESPESAS FIXAS (-)</v>
      </c>
    </row>
    <row r="31">
      <c r="A31" s="119" t="s">
        <v>595</v>
      </c>
      <c r="B31" s="118" t="s">
        <v>1666</v>
      </c>
      <c r="C31" s="15" t="str">
        <f t="array" ref="C31">XLOOKUP(B31,'Nível 2'!B:B,'Nível 2'!A:A)</f>
        <v>DESPESAS FIXAS (-)</v>
      </c>
    </row>
    <row r="32">
      <c r="A32" s="119" t="s">
        <v>1784</v>
      </c>
      <c r="B32" s="118" t="s">
        <v>1666</v>
      </c>
      <c r="C32" s="15" t="str">
        <f t="array" ref="C32">XLOOKUP(B32,'Nível 2'!B:B,'Nível 2'!A:A)</f>
        <v>DESPESAS FIXAS (-)</v>
      </c>
    </row>
    <row r="33">
      <c r="A33" s="119" t="s">
        <v>1785</v>
      </c>
      <c r="B33" s="118" t="s">
        <v>1666</v>
      </c>
      <c r="C33" s="15" t="str">
        <f t="array" ref="C33">XLOOKUP(B33,'Nível 2'!B:B,'Nível 2'!A:A)</f>
        <v>DESPESAS FIXAS (-)</v>
      </c>
    </row>
    <row r="34">
      <c r="A34" s="119" t="s">
        <v>1786</v>
      </c>
      <c r="B34" s="118" t="s">
        <v>1666</v>
      </c>
      <c r="C34" s="15" t="str">
        <f t="array" ref="C34">XLOOKUP(B34,'Nível 2'!B:B,'Nível 2'!A:A)</f>
        <v>DESPESAS FIXAS (-)</v>
      </c>
    </row>
    <row r="35">
      <c r="A35" s="119" t="s">
        <v>1787</v>
      </c>
      <c r="B35" s="118" t="s">
        <v>1666</v>
      </c>
      <c r="C35" s="15" t="str">
        <f t="array" ref="C35">XLOOKUP(B35,'Nível 2'!B:B,'Nível 2'!A:A)</f>
        <v>DESPESAS FIXAS (-)</v>
      </c>
    </row>
    <row r="36">
      <c r="A36" s="119" t="s">
        <v>1788</v>
      </c>
      <c r="B36" s="118" t="s">
        <v>1666</v>
      </c>
      <c r="C36" s="15" t="str">
        <f t="array" ref="C36">XLOOKUP(B36,'Nível 2'!B:B,'Nível 2'!A:A)</f>
        <v>DESPESAS FIXAS (-)</v>
      </c>
    </row>
    <row r="37">
      <c r="A37" s="121" t="s">
        <v>64</v>
      </c>
      <c r="B37" s="118" t="s">
        <v>1666</v>
      </c>
      <c r="C37" s="15" t="str">
        <f t="array" ref="C37">XLOOKUP(B37,'Nível 2'!B:B,'Nível 2'!A:A)</f>
        <v>DESPESAS FIXAS (-)</v>
      </c>
    </row>
    <row r="38">
      <c r="A38" s="119" t="s">
        <v>1789</v>
      </c>
      <c r="B38" s="118" t="s">
        <v>1732</v>
      </c>
      <c r="C38" s="15" t="str">
        <f t="array" ref="C38">XLOOKUP(B38,'Nível 2'!B:B,'Nível 2'!A:A)</f>
        <v>DESPESAS FIXAS (-)</v>
      </c>
    </row>
    <row r="39">
      <c r="A39" s="119" t="s">
        <v>61</v>
      </c>
      <c r="B39" s="118" t="s">
        <v>1732</v>
      </c>
      <c r="C39" s="15" t="str">
        <f t="array" ref="C39">XLOOKUP(B39,'Nível 2'!B:B,'Nível 2'!A:A)</f>
        <v>DESPESAS FIXAS (-)</v>
      </c>
    </row>
    <row r="40">
      <c r="A40" s="119" t="s">
        <v>1790</v>
      </c>
      <c r="B40" s="118" t="s">
        <v>1732</v>
      </c>
      <c r="C40" s="15" t="str">
        <f t="array" ref="C40">XLOOKUP(B40,'Nível 2'!B:B,'Nível 2'!A:A)</f>
        <v>DESPESAS FIXAS (-)</v>
      </c>
    </row>
    <row r="41">
      <c r="A41" s="119" t="s">
        <v>1791</v>
      </c>
      <c r="B41" s="118" t="s">
        <v>1732</v>
      </c>
      <c r="C41" s="15" t="str">
        <f t="array" ref="C41">XLOOKUP(B41,'Nível 2'!B:B,'Nível 2'!A:A)</f>
        <v>DESPESAS FIXAS (-)</v>
      </c>
    </row>
    <row r="42">
      <c r="A42" s="119" t="s">
        <v>1792</v>
      </c>
      <c r="B42" s="118" t="s">
        <v>1732</v>
      </c>
      <c r="C42" s="15" t="str">
        <f t="array" ref="C42">XLOOKUP(B42,'Nível 2'!B:B,'Nível 2'!A:A)</f>
        <v>DESPESAS FIXAS (-)</v>
      </c>
    </row>
    <row r="43">
      <c r="A43" s="119" t="s">
        <v>1793</v>
      </c>
      <c r="B43" s="118" t="s">
        <v>1732</v>
      </c>
      <c r="C43" s="15" t="str">
        <f t="array" ref="C43">XLOOKUP(B43,'Nível 2'!B:B,'Nível 2'!A:A)</f>
        <v>DESPESAS FIXAS (-)</v>
      </c>
    </row>
    <row r="44">
      <c r="A44" s="119" t="s">
        <v>224</v>
      </c>
      <c r="B44" s="118" t="s">
        <v>1732</v>
      </c>
      <c r="C44" s="15" t="str">
        <f t="array" ref="C44">XLOOKUP(B44,'Nível 2'!B:B,'Nível 2'!A:A)</f>
        <v>DESPESAS FIXAS (-)</v>
      </c>
    </row>
    <row r="45">
      <c r="A45" s="119" t="s">
        <v>58</v>
      </c>
      <c r="B45" s="118" t="s">
        <v>1732</v>
      </c>
      <c r="C45" s="15" t="str">
        <f t="array" ref="C45">XLOOKUP(B45,'Nível 2'!B:B,'Nível 2'!A:A)</f>
        <v>DESPESAS FIXAS (-)</v>
      </c>
    </row>
    <row r="46">
      <c r="A46" s="119" t="s">
        <v>184</v>
      </c>
      <c r="B46" s="118" t="s">
        <v>1732</v>
      </c>
      <c r="C46" s="15" t="str">
        <f t="array" ref="C46">XLOOKUP(B46,'Nível 2'!B:B,'Nível 2'!A:A)</f>
        <v>DESPESAS FIXAS (-)</v>
      </c>
    </row>
    <row r="47">
      <c r="A47" s="119" t="s">
        <v>120</v>
      </c>
      <c r="B47" s="118" t="s">
        <v>1732</v>
      </c>
      <c r="C47" s="15" t="str">
        <f t="array" ref="C47">XLOOKUP(B47,'Nível 2'!B:B,'Nível 2'!A:A)</f>
        <v>DESPESAS FIXAS (-)</v>
      </c>
    </row>
    <row r="48">
      <c r="A48" s="119" t="s">
        <v>443</v>
      </c>
      <c r="B48" s="118" t="s">
        <v>1732</v>
      </c>
      <c r="C48" s="15" t="str">
        <f t="array" ref="C48">XLOOKUP(B48,'Nível 2'!B:B,'Nível 2'!A:A)</f>
        <v>DESPESAS FIXAS (-)</v>
      </c>
    </row>
    <row r="49">
      <c r="A49" s="119" t="s">
        <v>145</v>
      </c>
      <c r="B49" s="118" t="s">
        <v>1732</v>
      </c>
      <c r="C49" s="15" t="str">
        <f t="array" ref="C49">XLOOKUP(B49,'Nível 2'!B:B,'Nível 2'!A:A)</f>
        <v>DESPESAS FIXAS (-)</v>
      </c>
    </row>
    <row r="50">
      <c r="A50" s="119" t="s">
        <v>259</v>
      </c>
      <c r="B50" s="118" t="s">
        <v>1732</v>
      </c>
      <c r="C50" s="15" t="str">
        <f t="array" ref="C50">XLOOKUP(B50,'Nível 2'!B:B,'Nível 2'!A:A)</f>
        <v>DESPESAS FIXAS (-)</v>
      </c>
    </row>
    <row r="51">
      <c r="A51" s="119" t="s">
        <v>347</v>
      </c>
      <c r="B51" s="118" t="s">
        <v>1732</v>
      </c>
      <c r="C51" s="15" t="str">
        <f t="array" ref="C51">XLOOKUP(B51,'Nível 2'!B:B,'Nível 2'!A:A)</f>
        <v>DESPESAS FIXAS (-)</v>
      </c>
    </row>
    <row r="52">
      <c r="A52" s="121" t="s">
        <v>448</v>
      </c>
      <c r="B52" s="118" t="s">
        <v>1732</v>
      </c>
      <c r="C52" s="15" t="str">
        <f t="array" ref="C52">XLOOKUP(B52,'Nível 2'!B:B,'Nível 2'!A:A)</f>
        <v>DESPESAS FIXAS (-)</v>
      </c>
    </row>
    <row r="53">
      <c r="A53" s="117" t="s">
        <v>105</v>
      </c>
      <c r="B53" s="118" t="s">
        <v>1732</v>
      </c>
      <c r="C53" s="15" t="str">
        <f t="array" ref="C53">XLOOKUP(B53,'Nível 2'!B:B,'Nível 2'!A:A)</f>
        <v>DESPESAS FIXAS (-)</v>
      </c>
    </row>
    <row r="54">
      <c r="A54" s="121" t="s">
        <v>355</v>
      </c>
      <c r="B54" s="118" t="s">
        <v>1747</v>
      </c>
      <c r="C54" s="15" t="str">
        <f t="array" ref="C54">XLOOKUP(B54,'Nível 2'!B:B,'Nível 2'!A:A)</f>
        <v>DESPESAS FIXAS (-)</v>
      </c>
    </row>
    <row r="55">
      <c r="A55" s="119" t="s">
        <v>1794</v>
      </c>
      <c r="B55" s="118" t="s">
        <v>1739</v>
      </c>
      <c r="C55" s="15" t="str">
        <f t="array" ref="C55">XLOOKUP(B55,'Nível 2'!B:B,'Nível 2'!A:A)</f>
        <v>DESPESAS FIXAS (-)</v>
      </c>
    </row>
    <row r="56">
      <c r="A56" s="119" t="s">
        <v>181</v>
      </c>
      <c r="B56" s="118" t="s">
        <v>1739</v>
      </c>
      <c r="C56" s="15" t="str">
        <f t="array" ref="C56">XLOOKUP(B56,'Nível 2'!B:B,'Nível 2'!A:A)</f>
        <v>DESPESAS FIXAS (-)</v>
      </c>
    </row>
    <row r="57">
      <c r="A57" s="119" t="s">
        <v>233</v>
      </c>
      <c r="B57" s="118" t="s">
        <v>1739</v>
      </c>
      <c r="C57" s="15" t="str">
        <f t="array" ref="C57">XLOOKUP(B57,'Nível 2'!B:B,'Nível 2'!A:A)</f>
        <v>DESPESAS FIXAS (-)</v>
      </c>
    </row>
    <row r="58">
      <c r="A58" s="119" t="s">
        <v>1795</v>
      </c>
      <c r="B58" s="118" t="s">
        <v>1739</v>
      </c>
      <c r="C58" s="15" t="str">
        <f t="array" ref="C58">XLOOKUP(B58,'Nível 2'!B:B,'Nível 2'!A:A)</f>
        <v>DESPESAS FIXAS (-)</v>
      </c>
    </row>
    <row r="59">
      <c r="A59" s="119" t="s">
        <v>175</v>
      </c>
      <c r="B59" s="118" t="s">
        <v>1739</v>
      </c>
      <c r="C59" s="15" t="str">
        <f t="array" ref="C59">XLOOKUP(B59,'Nível 2'!B:B,'Nível 2'!A:A)</f>
        <v>DESPESAS FIXAS (-)</v>
      </c>
    </row>
    <row r="60">
      <c r="A60" s="119" t="s">
        <v>584</v>
      </c>
      <c r="B60" s="118" t="s">
        <v>1739</v>
      </c>
      <c r="C60" s="15" t="str">
        <f t="array" ref="C60">XLOOKUP(B60,'Nível 2'!B:B,'Nível 2'!A:A)</f>
        <v>DESPESAS FIXAS (-)</v>
      </c>
    </row>
    <row r="61">
      <c r="A61" s="119" t="s">
        <v>1796</v>
      </c>
      <c r="B61" s="118" t="s">
        <v>1739</v>
      </c>
      <c r="C61" s="15" t="str">
        <f t="array" ref="C61">XLOOKUP(B61,'Nível 2'!B:B,'Nível 2'!A:A)</f>
        <v>DESPESAS FIXAS (-)</v>
      </c>
    </row>
    <row r="62">
      <c r="A62" s="119" t="s">
        <v>133</v>
      </c>
      <c r="B62" s="118" t="s">
        <v>1739</v>
      </c>
      <c r="C62" s="15" t="str">
        <f t="array" ref="C62">XLOOKUP(B62,'Nível 2'!B:B,'Nível 2'!A:A)</f>
        <v>DESPESAS FIXAS (-)</v>
      </c>
    </row>
    <row r="63">
      <c r="A63" s="119" t="s">
        <v>30</v>
      </c>
      <c r="B63" s="118" t="s">
        <v>1735</v>
      </c>
      <c r="C63" s="15" t="str">
        <f t="array" ref="C63">XLOOKUP(B63,'Nível 2'!B:B,'Nível 2'!A:A)</f>
        <v>DESPESAS FIXAS (-)</v>
      </c>
    </row>
    <row r="64">
      <c r="A64" s="119" t="s">
        <v>42</v>
      </c>
      <c r="B64" s="118" t="s">
        <v>1735</v>
      </c>
      <c r="C64" s="15" t="str">
        <f t="array" ref="C64">XLOOKUP(B64,'Nível 2'!B:B,'Nível 2'!A:A)</f>
        <v>DESPESAS FIXAS (-)</v>
      </c>
    </row>
    <row r="65">
      <c r="A65" s="119" t="s">
        <v>1797</v>
      </c>
      <c r="B65" s="118" t="s">
        <v>1735</v>
      </c>
      <c r="C65" s="15" t="str">
        <f t="array" ref="C65">XLOOKUP(B65,'Nível 2'!B:B,'Nível 2'!A:A)</f>
        <v>DESPESAS FIXAS (-)</v>
      </c>
    </row>
    <row r="66">
      <c r="A66" s="122" t="s">
        <v>51</v>
      </c>
      <c r="B66" s="118" t="s">
        <v>1735</v>
      </c>
      <c r="C66" s="15" t="str">
        <f t="array" ref="C66">XLOOKUP(B66,'Nível 2'!B:B,'Nível 2'!A:A)</f>
        <v>DESPESAS FIXAS (-)</v>
      </c>
    </row>
    <row r="67">
      <c r="A67" s="122" t="s">
        <v>172</v>
      </c>
      <c r="B67" s="118" t="s">
        <v>1735</v>
      </c>
      <c r="C67" s="15" t="str">
        <f t="array" ref="C67">XLOOKUP(B67,'Nível 2'!B:B,'Nível 2'!A:A)</f>
        <v>DESPESAS FIXAS (-)</v>
      </c>
    </row>
    <row r="68">
      <c r="A68" s="122" t="s">
        <v>92</v>
      </c>
      <c r="B68" s="118" t="s">
        <v>1735</v>
      </c>
      <c r="C68" s="15" t="str">
        <f t="array" ref="C68">XLOOKUP(B68,'Nível 2'!B:B,'Nível 2'!A:A)</f>
        <v>DESPESAS FIXAS (-)</v>
      </c>
    </row>
    <row r="69">
      <c r="A69" s="122" t="s">
        <v>210</v>
      </c>
      <c r="B69" s="118" t="s">
        <v>1735</v>
      </c>
      <c r="C69" s="15" t="str">
        <f t="array" ref="C69">XLOOKUP(B69,'Nível 2'!B:B,'Nível 2'!A:A)</f>
        <v>DESPESAS FIXAS (-)</v>
      </c>
    </row>
    <row r="70">
      <c r="A70" s="122" t="s">
        <v>178</v>
      </c>
      <c r="B70" s="118" t="s">
        <v>1735</v>
      </c>
      <c r="C70" s="15" t="str">
        <f t="array" ref="C70">XLOOKUP(B70,'Nível 2'!B:B,'Nível 2'!A:A)</f>
        <v>DESPESAS FIXAS (-)</v>
      </c>
    </row>
    <row r="71">
      <c r="A71" s="122" t="s">
        <v>136</v>
      </c>
      <c r="B71" s="118" t="s">
        <v>1735</v>
      </c>
      <c r="C71" s="15" t="str">
        <f t="array" ref="C71">XLOOKUP(B71,'Nível 2'!B:B,'Nível 2'!A:A)</f>
        <v>DESPESAS FIXAS (-)</v>
      </c>
    </row>
    <row r="72">
      <c r="A72" s="122" t="s">
        <v>116</v>
      </c>
      <c r="B72" s="118" t="s">
        <v>1735</v>
      </c>
      <c r="C72" s="15" t="str">
        <f t="array" ref="C72">XLOOKUP(B72,'Nível 2'!B:B,'Nível 2'!A:A)</f>
        <v>DESPESAS FIXAS (-)</v>
      </c>
    </row>
    <row r="73">
      <c r="A73" s="122" t="s">
        <v>392</v>
      </c>
      <c r="B73" s="118" t="s">
        <v>1735</v>
      </c>
      <c r="C73" s="15" t="str">
        <f t="array" ref="C73">XLOOKUP(B73,'Nível 2'!B:B,'Nível 2'!A:A)</f>
        <v>DESPESAS FIXAS (-)</v>
      </c>
    </row>
    <row r="74">
      <c r="A74" s="122" t="s">
        <v>1798</v>
      </c>
      <c r="B74" s="118" t="s">
        <v>1735</v>
      </c>
      <c r="C74" s="15" t="str">
        <f t="array" ref="C74">XLOOKUP(B74,'Nível 2'!B:B,'Nível 2'!A:A)</f>
        <v>DESPESAS FIXAS (-)</v>
      </c>
    </row>
    <row r="75">
      <c r="A75" s="122" t="s">
        <v>201</v>
      </c>
      <c r="B75" s="118" t="s">
        <v>1735</v>
      </c>
      <c r="C75" s="15" t="str">
        <f t="array" ref="C75">XLOOKUP(B75,'Nível 2'!B:B,'Nível 2'!A:A)</f>
        <v>DESPESAS FIXAS (-)</v>
      </c>
    </row>
    <row r="76">
      <c r="A76" s="122" t="s">
        <v>1799</v>
      </c>
      <c r="B76" s="118" t="s">
        <v>1735</v>
      </c>
      <c r="C76" s="15" t="str">
        <f t="array" ref="C76">XLOOKUP(B76,'Nível 2'!B:B,'Nível 2'!A:A)</f>
        <v>DESPESAS FIXAS (-)</v>
      </c>
    </row>
    <row r="77">
      <c r="A77" s="123" t="s">
        <v>693</v>
      </c>
      <c r="B77" s="118" t="s">
        <v>1735</v>
      </c>
      <c r="C77" s="15" t="str">
        <f t="array" ref="C77">XLOOKUP(B77,'Nível 2'!B:B,'Nível 2'!A:A)</f>
        <v>DESPESAS FIXAS (-)</v>
      </c>
    </row>
    <row r="78">
      <c r="A78" s="122" t="s">
        <v>331</v>
      </c>
      <c r="B78" s="118" t="s">
        <v>1740</v>
      </c>
      <c r="C78" s="15" t="str">
        <f t="array" ref="C78">XLOOKUP(B78,'Nível 2'!B:B,'Nível 2'!A:A)</f>
        <v>DESPESAS FIXAS (-)</v>
      </c>
    </row>
    <row r="79">
      <c r="A79" s="122" t="s">
        <v>272</v>
      </c>
      <c r="B79" s="118" t="s">
        <v>1740</v>
      </c>
      <c r="C79" s="15" t="str">
        <f t="array" ref="C79">XLOOKUP(B79,'Nível 2'!B:B,'Nível 2'!A:A)</f>
        <v>DESPESAS FIXAS (-)</v>
      </c>
    </row>
    <row r="80">
      <c r="A80" s="122" t="s">
        <v>218</v>
      </c>
      <c r="B80" s="118" t="s">
        <v>1740</v>
      </c>
      <c r="C80" s="15" t="str">
        <f t="array" ref="C80">XLOOKUP(B80,'Nível 2'!B:B,'Nível 2'!A:A)</f>
        <v>DESPESAS FIXAS (-)</v>
      </c>
    </row>
    <row r="81">
      <c r="A81" s="123" t="s">
        <v>1800</v>
      </c>
      <c r="B81" s="118" t="s">
        <v>1740</v>
      </c>
      <c r="C81" s="15" t="str">
        <f t="array" ref="C81">XLOOKUP(B81,'Nível 2'!B:B,'Nível 2'!A:A)</f>
        <v>DESPESAS FIXAS (-)</v>
      </c>
    </row>
    <row r="82">
      <c r="A82" s="124" t="s">
        <v>266</v>
      </c>
      <c r="B82" s="118" t="s">
        <v>1740</v>
      </c>
      <c r="C82" s="15" t="str">
        <f t="array" ref="C82">XLOOKUP(B82,'Nível 2'!B:B,'Nível 2'!A:A)</f>
        <v>DESPESAS FIXAS (-)</v>
      </c>
    </row>
    <row r="83">
      <c r="A83" s="124" t="s">
        <v>1801</v>
      </c>
      <c r="B83" s="118" t="s">
        <v>1740</v>
      </c>
      <c r="C83" s="15" t="str">
        <f t="array" ref="C83">XLOOKUP(B83,'Nível 2'!B:B,'Nível 2'!A:A)</f>
        <v>DESPESAS FIXAS (-)</v>
      </c>
    </row>
    <row r="84">
      <c r="A84" s="119" t="s">
        <v>1807</v>
      </c>
      <c r="B84" s="119" t="s">
        <v>1807</v>
      </c>
      <c r="C84" s="15" t="str">
        <f t="array" ref="C84">XLOOKUP(B84,'Nível 2'!B:B,'Nível 2'!A:A)</f>
        <v>(+/-) RESULTADO FINANCEIRO LÍQUIDO</v>
      </c>
    </row>
    <row r="85">
      <c r="A85" s="119" t="s">
        <v>1808</v>
      </c>
      <c r="B85" s="119" t="s">
        <v>1808</v>
      </c>
      <c r="C85" s="15" t="str">
        <f t="array" ref="C85">XLOOKUP(B85,'Nível 2'!B:B,'Nível 2'!A:A)</f>
        <v>(+/-) RESULTADO FINANCEIRO LÍQUIDO</v>
      </c>
    </row>
    <row r="86">
      <c r="A86" s="119" t="s">
        <v>1809</v>
      </c>
      <c r="B86" s="119" t="s">
        <v>1809</v>
      </c>
      <c r="C86" s="15" t="str">
        <f t="array" ref="C86">XLOOKUP(B86,'Nível 2'!B:B,'Nível 2'!A:A)</f>
        <v>(+/-) RESULTADO FINANCEIRO LÍQUIDO</v>
      </c>
    </row>
    <row r="87">
      <c r="A87" s="119" t="s">
        <v>97</v>
      </c>
      <c r="B87" s="119" t="s">
        <v>97</v>
      </c>
      <c r="C87" s="15" t="str">
        <f t="array" ref="C87">XLOOKUP(B87,'Nível 2'!B:B,'Nível 2'!A:A)</f>
        <v>(+/-) RESULTADO FINANCEIRO LÍQUIDO</v>
      </c>
    </row>
    <row r="88">
      <c r="A88" s="119" t="s">
        <v>574</v>
      </c>
      <c r="B88" s="119" t="s">
        <v>574</v>
      </c>
      <c r="C88" s="15" t="str">
        <f t="array" ref="C88">XLOOKUP(B88,'Nível 2'!B:B,'Nível 2'!A:A)</f>
        <v>(+/-) RESULTADO FINANCEIRO LÍQUIDO</v>
      </c>
    </row>
    <row r="89">
      <c r="A89" s="11" t="s">
        <v>71</v>
      </c>
      <c r="B89" s="118" t="s">
        <v>1742</v>
      </c>
      <c r="C89" s="15" t="str">
        <f t="array" ref="C89">XLOOKUP(B89,'Nível 2'!B:B,'Nível 2'!A:A)</f>
        <v>DESPESAS FIXAS (-)</v>
      </c>
    </row>
    <row r="90">
      <c r="A90" s="119" t="s">
        <v>95</v>
      </c>
      <c r="B90" s="118" t="s">
        <v>1669</v>
      </c>
      <c r="C90" s="15" t="str">
        <f t="array" ref="C90">XLOOKUP(B90,'Nível 2'!B:B,'Nível 2'!A:A)</f>
        <v>RESULTADO NÃO OPERACIONAL (+/-)</v>
      </c>
    </row>
    <row r="91">
      <c r="A91" s="119" t="s">
        <v>363</v>
      </c>
      <c r="B91" s="118" t="s">
        <v>1669</v>
      </c>
      <c r="C91" s="15" t="str">
        <f t="array" ref="C91">XLOOKUP(B91,'Nível 2'!B:B,'Nível 2'!A:A)</f>
        <v>RESULTADO NÃO OPERACIONAL (+/-)</v>
      </c>
    </row>
    <row r="92">
      <c r="A92" s="122" t="s">
        <v>1308</v>
      </c>
      <c r="B92" s="118" t="s">
        <v>1669</v>
      </c>
      <c r="C92" s="15" t="str">
        <f t="array" ref="C92">XLOOKUP(B92,'Nível 2'!B:B,'Nível 2'!A:A)</f>
        <v>RESULTADO NÃO OPERACIONAL (+/-)</v>
      </c>
    </row>
    <row r="93">
      <c r="A93" s="122" t="s">
        <v>1807</v>
      </c>
      <c r="B93" s="118" t="s">
        <v>1669</v>
      </c>
      <c r="C93" s="15" t="str">
        <f t="array" ref="C93">XLOOKUP(B93,'Nível 2'!B:B,'Nível 2'!A:A)</f>
        <v>RESULTADO NÃO OPERACIONAL (+/-)</v>
      </c>
    </row>
    <row r="94">
      <c r="A94" s="122" t="s">
        <v>1829</v>
      </c>
      <c r="B94" s="118" t="s">
        <v>1669</v>
      </c>
      <c r="C94" s="15" t="str">
        <f t="array" ref="C94">XLOOKUP(B94,'Nível 2'!B:B,'Nível 2'!A:A)</f>
        <v>RESULTADO NÃO OPERACIONAL (+/-)</v>
      </c>
    </row>
    <row r="95">
      <c r="A95" s="122" t="s">
        <v>1808</v>
      </c>
      <c r="B95" s="118" t="s">
        <v>1669</v>
      </c>
      <c r="C95" s="15" t="str">
        <f t="array" ref="C95">XLOOKUP(B95,'Nível 2'!B:B,'Nível 2'!A:A)</f>
        <v>RESULTADO NÃO OPERACIONAL (+/-)</v>
      </c>
    </row>
    <row r="96">
      <c r="A96" s="122" t="s">
        <v>1809</v>
      </c>
      <c r="B96" s="118" t="s">
        <v>1669</v>
      </c>
      <c r="C96" s="15" t="str">
        <f t="array" ref="C96">XLOOKUP(B96,'Nível 2'!B:B,'Nível 2'!A:A)</f>
        <v>RESULTADO NÃO OPERACIONAL (+/-)</v>
      </c>
    </row>
    <row r="97">
      <c r="A97" s="122" t="s">
        <v>97</v>
      </c>
      <c r="B97" s="118" t="s">
        <v>1669</v>
      </c>
      <c r="C97" s="15" t="str">
        <f t="array" ref="C97">XLOOKUP(B97,'Nível 2'!B:B,'Nível 2'!A:A)</f>
        <v>RESULTADO NÃO OPERACIONAL (+/-)</v>
      </c>
    </row>
    <row r="98">
      <c r="A98" s="123" t="s">
        <v>574</v>
      </c>
      <c r="B98" s="118" t="s">
        <v>1669</v>
      </c>
      <c r="C98" s="15" t="str">
        <f t="array" ref="C98">XLOOKUP(B98,'Nível 2'!B:B,'Nível 2'!A:A)</f>
        <v>RESULTADO NÃO OPERACIONAL (+/-)</v>
      </c>
    </row>
    <row r="99">
      <c r="A99" s="119" t="s">
        <v>85</v>
      </c>
      <c r="B99" s="118" t="s">
        <v>1669</v>
      </c>
      <c r="C99" s="15" t="str">
        <f t="array" ref="C99">XLOOKUP(B99,'Nível 2'!B:B,'Nível 2'!A:A)</f>
        <v>RESULTADO NÃO OPERACIONAL (+/-)</v>
      </c>
    </row>
    <row r="100">
      <c r="A100" s="119" t="s">
        <v>212</v>
      </c>
      <c r="B100" s="118" t="s">
        <v>1669</v>
      </c>
      <c r="C100" s="15" t="str">
        <f t="array" ref="C100">XLOOKUP(B100,'Nível 2'!B:B,'Nível 2'!A:A)</f>
        <v>RESULTADO NÃO OPERACIONAL (+/-)</v>
      </c>
    </row>
    <row r="101">
      <c r="A101" s="119" t="s">
        <v>1811</v>
      </c>
      <c r="B101" s="118" t="s">
        <v>1669</v>
      </c>
      <c r="C101" s="15" t="str">
        <f t="array" ref="C101">XLOOKUP(B101,'Nível 2'!B:B,'Nível 2'!A:A)</f>
        <v>RESULTADO NÃO OPERACIONAL (+/-)</v>
      </c>
    </row>
    <row r="102">
      <c r="A102" s="119" t="s">
        <v>1812</v>
      </c>
      <c r="B102" s="118" t="s">
        <v>1669</v>
      </c>
      <c r="C102" s="15" t="str">
        <f t="array" ref="C102">XLOOKUP(B102,'Nível 2'!B:B,'Nível 2'!A:A)</f>
        <v>RESULTADO NÃO OPERACIONAL (+/-)</v>
      </c>
    </row>
    <row r="103">
      <c r="A103" s="119" t="s">
        <v>55</v>
      </c>
      <c r="B103" s="118" t="s">
        <v>1669</v>
      </c>
      <c r="C103" s="15" t="str">
        <f t="array" ref="C103">XLOOKUP(B103,'Nível 2'!B:B,'Nível 2'!A:A)</f>
        <v>RESULTADO NÃO OPERACIONAL (+/-)</v>
      </c>
    </row>
    <row r="104">
      <c r="A104" s="119" t="s">
        <v>1813</v>
      </c>
      <c r="B104" s="118" t="s">
        <v>1669</v>
      </c>
      <c r="C104" s="15" t="str">
        <f t="array" ref="C104">XLOOKUP(B104,'Nível 2'!B:B,'Nível 2'!A:A)</f>
        <v>RESULTADO NÃO OPERACIONAL (+/-)</v>
      </c>
    </row>
    <row r="105">
      <c r="A105" s="119" t="s">
        <v>394</v>
      </c>
      <c r="B105" s="118" t="s">
        <v>1669</v>
      </c>
      <c r="C105" s="15" t="str">
        <f t="array" ref="C105">XLOOKUP(B105,'Nível 2'!B:B,'Nível 2'!A:A)</f>
        <v>RESULTADO NÃO OPERACIONAL (+/-)</v>
      </c>
    </row>
    <row r="106">
      <c r="A106" s="119" t="s">
        <v>73</v>
      </c>
      <c r="B106" s="118" t="s">
        <v>1669</v>
      </c>
      <c r="C106" s="15" t="str">
        <f t="array" ref="C106">XLOOKUP(B106,'Nível 2'!B:B,'Nível 2'!A:A)</f>
        <v>RESULTADO NÃO OPERACIONAL (+/-)</v>
      </c>
    </row>
    <row r="107">
      <c r="A107" s="119" t="s">
        <v>371</v>
      </c>
      <c r="B107" s="118" t="s">
        <v>1669</v>
      </c>
      <c r="C107" s="15" t="str">
        <f t="array" ref="C107">XLOOKUP(B107,'Nível 2'!B:B,'Nível 2'!A:A)</f>
        <v>RESULTADO NÃO OPERACIONAL (+/-)</v>
      </c>
    </row>
    <row r="108">
      <c r="A108" s="122" t="s">
        <v>1815</v>
      </c>
      <c r="B108" s="116" t="s">
        <v>1814</v>
      </c>
      <c r="C108" s="15" t="str">
        <f t="array" ref="C108">XLOOKUP(B108,'Nível 2'!B:B,'Nível 2'!A:A)</f>
        <v>RESULTADO NÃO OPERACIONAL (+/-)</v>
      </c>
    </row>
    <row r="109">
      <c r="A109" s="122" t="s">
        <v>1816</v>
      </c>
      <c r="B109" s="116" t="s">
        <v>1814</v>
      </c>
      <c r="C109" s="15" t="str">
        <f t="array" ref="C109">XLOOKUP(B109,'Nível 2'!B:B,'Nível 2'!A:A)</f>
        <v>RESULTADO NÃO OPERACIONAL (+/-)</v>
      </c>
    </row>
    <row r="110">
      <c r="A110" s="122" t="s">
        <v>1817</v>
      </c>
      <c r="B110" s="116" t="s">
        <v>1814</v>
      </c>
      <c r="C110" s="15" t="str">
        <f t="array" ref="C110">XLOOKUP(B110,'Nível 2'!B:B,'Nível 2'!A:A)</f>
        <v>RESULTADO NÃO OPERACIONAL (+/-)</v>
      </c>
    </row>
    <row r="111">
      <c r="A111" s="122" t="s">
        <v>1818</v>
      </c>
      <c r="B111" s="116" t="s">
        <v>1814</v>
      </c>
      <c r="C111" s="15" t="str">
        <f t="array" ref="C111">XLOOKUP(B111,'Nível 2'!B:B,'Nível 2'!A:A)</f>
        <v>RESULTADO NÃO OPERACIONAL (+/-)</v>
      </c>
    </row>
    <row r="112">
      <c r="A112" s="122" t="s">
        <v>1819</v>
      </c>
      <c r="B112" s="116" t="s">
        <v>1814</v>
      </c>
      <c r="C112" s="15" t="str">
        <f t="array" ref="C112">XLOOKUP(B112,'Nível 2'!B:B,'Nível 2'!A:A)</f>
        <v>RESULTADO NÃO OPERACIONAL (+/-)</v>
      </c>
    </row>
    <row r="113">
      <c r="A113" s="122" t="s">
        <v>1820</v>
      </c>
      <c r="B113" s="116" t="s">
        <v>1814</v>
      </c>
      <c r="C113" s="15" t="str">
        <f t="array" ref="C113">XLOOKUP(B113,'Nível 2'!B:B,'Nível 2'!A:A)</f>
        <v>RESULTADO NÃO OPERACIONAL (+/-)</v>
      </c>
    </row>
    <row r="114">
      <c r="A114" s="123" t="s">
        <v>1821</v>
      </c>
      <c r="B114" s="116" t="s">
        <v>1814</v>
      </c>
      <c r="C114" s="15" t="str">
        <f t="array" ref="C114">XLOOKUP(B114,'Nível 2'!B:B,'Nível 2'!A:A)</f>
        <v>RESULTADO NÃO OPERACIONAL (+/-)</v>
      </c>
    </row>
    <row r="115">
      <c r="A115" s="11" t="s">
        <v>47</v>
      </c>
      <c r="B115" s="118" t="s">
        <v>1669</v>
      </c>
      <c r="C115" s="15" t="str">
        <f t="array" ref="C115">IFERROR(XLOOKUP(B115,'Nível 2'!B:B,'Nível 2'!A:A),"")</f>
        <v>RESULTADO NÃO OPERACIONAL (+/-)</v>
      </c>
    </row>
    <row r="116">
      <c r="B116" s="15"/>
      <c r="C116" s="15" t="str">
        <f t="array" ref="C116">IFERROR(XLOOKUP(B116,'Nível 2'!B:B,'Nível 2'!A:A),"")</f>
        <v/>
      </c>
    </row>
    <row r="117">
      <c r="B117" s="15"/>
      <c r="C117" s="15" t="str">
        <f t="array" ref="C117">IFERROR(XLOOKUP(B117,'Nível 2'!B:B,'Nível 2'!A:A),"")</f>
        <v/>
      </c>
    </row>
    <row r="118">
      <c r="B118" s="15"/>
      <c r="C118" s="15" t="str">
        <f t="array" ref="C118">IFERROR(XLOOKUP(B118,'Nível 2'!B:B,'Nível 2'!A:A),"")</f>
        <v/>
      </c>
    </row>
    <row r="119">
      <c r="B119" s="15"/>
      <c r="C119" s="15" t="str">
        <f t="array" ref="C119">IFERROR(XLOOKUP(B119,'Nível 2'!B:B,'Nível 2'!A:A),"")</f>
        <v/>
      </c>
    </row>
    <row r="120">
      <c r="B120" s="15"/>
      <c r="C120" s="15" t="str">
        <f t="array" ref="C120">IFERROR(XLOOKUP(B120,'Nível 2'!B:B,'Nível 2'!A:A),"")</f>
        <v/>
      </c>
    </row>
    <row r="121">
      <c r="B121" s="15"/>
      <c r="C121" s="15" t="str">
        <f t="array" ref="C121">IFERROR(XLOOKUP(B121,'Nível 2'!B:B,'Nível 2'!A:A),"")</f>
        <v/>
      </c>
    </row>
    <row r="122">
      <c r="B122" s="15"/>
      <c r="C122" s="15" t="str">
        <f t="array" ref="C122">IFERROR(XLOOKUP(B122,'Nível 2'!B:B,'Nível 2'!A:A),"")</f>
        <v/>
      </c>
    </row>
    <row r="123">
      <c r="B123" s="15"/>
      <c r="C123" s="15" t="str">
        <f t="array" ref="C123">IFERROR(XLOOKUP(B123,'Nível 2'!B:B,'Nível 2'!A:A),"")</f>
        <v/>
      </c>
    </row>
    <row r="124">
      <c r="B124" s="15"/>
      <c r="C124" s="15" t="str">
        <f t="array" ref="C124">IFERROR(XLOOKUP(B124,'Nível 2'!B:B,'Nível 2'!A:A),"")</f>
        <v/>
      </c>
    </row>
    <row r="125">
      <c r="B125" s="15"/>
      <c r="C125" s="15" t="str">
        <f t="array" ref="C125">IFERROR(XLOOKUP(B125,'Nível 2'!B:B,'Nível 2'!A:A),"")</f>
        <v/>
      </c>
    </row>
    <row r="126">
      <c r="B126" s="15"/>
      <c r="C126" s="15" t="str">
        <f t="array" ref="C126">IFERROR(XLOOKUP(B126,'Nível 2'!B:B,'Nível 2'!A:A),"")</f>
        <v/>
      </c>
    </row>
    <row r="127">
      <c r="B127" s="15"/>
      <c r="C127" s="15" t="str">
        <f t="array" ref="C127">IFERROR(XLOOKUP(B127,'Nível 2'!B:B,'Nível 2'!A:A),"")</f>
        <v/>
      </c>
    </row>
    <row r="128">
      <c r="B128" s="15"/>
      <c r="C128" s="15" t="str">
        <f t="array" ref="C128">IFERROR(XLOOKUP(B128,'Nível 2'!B:B,'Nível 2'!A:A),"")</f>
        <v/>
      </c>
    </row>
    <row r="129">
      <c r="B129" s="15"/>
      <c r="C129" s="15" t="str">
        <f t="array" ref="C129">IFERROR(XLOOKUP(B129,'Nível 2'!B:B,'Nível 2'!A:A),"")</f>
        <v/>
      </c>
    </row>
    <row r="130">
      <c r="B130" s="15"/>
      <c r="C130" s="15" t="str">
        <f t="array" ref="C130">IFERROR(XLOOKUP(B130,'Nível 2'!B:B,'Nível 2'!A:A),"")</f>
        <v/>
      </c>
    </row>
    <row r="131">
      <c r="B131" s="15"/>
      <c r="C131" s="15" t="str">
        <f t="array" ref="C131">IFERROR(XLOOKUP(B131,'Nível 2'!B:B,'Nível 2'!A:A),"")</f>
        <v/>
      </c>
    </row>
    <row r="132">
      <c r="B132" s="15"/>
      <c r="C132" s="15" t="str">
        <f t="array" ref="C132">IFERROR(XLOOKUP(B132,'Nível 2'!B:B,'Nível 2'!A:A),"")</f>
        <v/>
      </c>
    </row>
    <row r="133">
      <c r="B133" s="15"/>
      <c r="C133" s="15" t="str">
        <f t="array" ref="C133">IFERROR(XLOOKUP(B133,'Nível 2'!B:B,'Nível 2'!A:A),"")</f>
        <v/>
      </c>
    </row>
    <row r="134">
      <c r="B134" s="15"/>
      <c r="C134" s="15" t="str">
        <f t="array" ref="C134">IFERROR(XLOOKUP(B134,'Nível 2'!B:B,'Nível 2'!A:A),"")</f>
        <v/>
      </c>
    </row>
    <row r="135">
      <c r="B135" s="15"/>
      <c r="C135" s="15" t="str">
        <f t="array" ref="C135">IFERROR(XLOOKUP(B135,'Nível 2'!B:B,'Nível 2'!A:A),"")</f>
        <v/>
      </c>
    </row>
    <row r="136">
      <c r="B136" s="15"/>
      <c r="C136" s="15" t="str">
        <f t="array" ref="C136">IFERROR(XLOOKUP(B136,'Nível 2'!B:B,'Nível 2'!A:A),"")</f>
        <v/>
      </c>
    </row>
    <row r="137">
      <c r="B137" s="15"/>
      <c r="C137" s="15" t="str">
        <f t="array" ref="C137">IFERROR(XLOOKUP(B137,'Nível 2'!B:B,'Nível 2'!A:A),"")</f>
        <v/>
      </c>
    </row>
    <row r="138">
      <c r="B138" s="15"/>
      <c r="C138" s="15" t="str">
        <f t="array" ref="C138">IFERROR(XLOOKUP(B138,'Nível 2'!B:B,'Nível 2'!A:A),"")</f>
        <v/>
      </c>
    </row>
    <row r="139">
      <c r="B139" s="15"/>
      <c r="C139" s="15" t="str">
        <f t="array" ref="C139">IFERROR(XLOOKUP(B139,'Nível 2'!B:B,'Nível 2'!A:A),"")</f>
        <v/>
      </c>
    </row>
    <row r="140">
      <c r="B140" s="15"/>
      <c r="C140" s="15" t="str">
        <f t="array" ref="C140">IFERROR(XLOOKUP(B140,'Nível 2'!B:B,'Nível 2'!A:A),"")</f>
        <v/>
      </c>
    </row>
    <row r="141">
      <c r="B141" s="15"/>
      <c r="C141" s="15" t="str">
        <f t="array" ref="C141">IFERROR(XLOOKUP(B141,'Nível 2'!B:B,'Nível 2'!A:A),"")</f>
        <v/>
      </c>
    </row>
    <row r="142">
      <c r="B142" s="15"/>
      <c r="C142" s="15" t="str">
        <f t="array" ref="C142">IFERROR(XLOOKUP(B142,'Nível 2'!B:B,'Nível 2'!A:A),"")</f>
        <v/>
      </c>
    </row>
    <row r="143">
      <c r="B143" s="15"/>
      <c r="C143" s="15" t="str">
        <f t="array" ref="C143">IFERROR(XLOOKUP(B143,'Nível 2'!B:B,'Nível 2'!A:A),"")</f>
        <v/>
      </c>
    </row>
    <row r="144">
      <c r="B144" s="15"/>
      <c r="C144" s="15" t="str">
        <f t="array" ref="C144">IFERROR(XLOOKUP(B144,'Nível 2'!B:B,'Nível 2'!A:A),"")</f>
        <v/>
      </c>
    </row>
    <row r="145">
      <c r="B145" s="15"/>
      <c r="C145" s="15" t="str">
        <f t="array" ref="C145">IFERROR(XLOOKUP(B145,'Nível 2'!B:B,'Nível 2'!A:A),"")</f>
        <v/>
      </c>
    </row>
    <row r="146">
      <c r="B146" s="15"/>
      <c r="C146" s="15" t="str">
        <f t="array" ref="C146">IFERROR(XLOOKUP(B146,'Nível 2'!B:B,'Nível 2'!A:A),"")</f>
        <v/>
      </c>
    </row>
    <row r="147">
      <c r="B147" s="15"/>
      <c r="C147" s="15" t="str">
        <f t="array" ref="C147">IFERROR(XLOOKUP(B147,'Nível 2'!B:B,'Nível 2'!A:A),"")</f>
        <v/>
      </c>
    </row>
    <row r="148">
      <c r="B148" s="15"/>
      <c r="C148" s="15" t="str">
        <f t="array" ref="C148">IFERROR(XLOOKUP(B148,'Nível 2'!B:B,'Nível 2'!A:A),"")</f>
        <v/>
      </c>
    </row>
    <row r="149">
      <c r="B149" s="15"/>
      <c r="C149" s="15" t="str">
        <f t="array" ref="C149">IFERROR(XLOOKUP(B149,'Nível 2'!B:B,'Nível 2'!A:A),"")</f>
        <v/>
      </c>
    </row>
    <row r="150">
      <c r="B150" s="15"/>
      <c r="C150" s="15" t="str">
        <f t="array" ref="C150">IFERROR(XLOOKUP(B150,'Nível 2'!B:B,'Nível 2'!A:A),"")</f>
        <v/>
      </c>
    </row>
    <row r="151">
      <c r="B151" s="15"/>
      <c r="C151" s="15" t="str">
        <f t="array" ref="C151">IFERROR(XLOOKUP(B151,'Nível 2'!B:B,'Nível 2'!A:A),"")</f>
        <v/>
      </c>
    </row>
    <row r="152">
      <c r="B152" s="15"/>
      <c r="C152" s="15" t="str">
        <f t="array" ref="C152">IFERROR(XLOOKUP(B152,'Nível 2'!B:B,'Nível 2'!A:A),"")</f>
        <v/>
      </c>
    </row>
    <row r="153">
      <c r="B153" s="15"/>
      <c r="C153" s="15" t="str">
        <f t="array" ref="C153">IFERROR(XLOOKUP(B153,'Nível 2'!B:B,'Nível 2'!A:A),"")</f>
        <v/>
      </c>
    </row>
    <row r="154">
      <c r="B154" s="15"/>
      <c r="C154" s="15" t="str">
        <f t="array" ref="C154">IFERROR(XLOOKUP(B154,'Nível 2'!B:B,'Nível 2'!A:A),"")</f>
        <v/>
      </c>
    </row>
    <row r="155">
      <c r="B155" s="15"/>
      <c r="C155" s="15" t="str">
        <f t="array" ref="C155">IFERROR(XLOOKUP(B155,'Nível 2'!B:B,'Nível 2'!A:A),"")</f>
        <v/>
      </c>
    </row>
    <row r="156">
      <c r="B156" s="15"/>
      <c r="C156" s="15" t="str">
        <f t="array" ref="C156">IFERROR(XLOOKUP(B156,'Nível 2'!B:B,'Nível 2'!A:A),"")</f>
        <v/>
      </c>
    </row>
    <row r="157">
      <c r="B157" s="15"/>
      <c r="C157" s="15" t="str">
        <f t="array" ref="C157">IFERROR(XLOOKUP(B157,'Nível 2'!B:B,'Nível 2'!A:A),"")</f>
        <v/>
      </c>
    </row>
    <row r="158">
      <c r="B158" s="15"/>
      <c r="C158" s="15" t="str">
        <f t="array" ref="C158">IFERROR(XLOOKUP(B158,'Nível 2'!B:B,'Nível 2'!A:A),"")</f>
        <v/>
      </c>
    </row>
    <row r="159">
      <c r="B159" s="15"/>
      <c r="C159" s="15" t="str">
        <f t="array" ref="C159">IFERROR(XLOOKUP(B159,'Nível 2'!B:B,'Nível 2'!A:A),"")</f>
        <v/>
      </c>
    </row>
    <row r="160">
      <c r="B160" s="15"/>
      <c r="C160" s="15" t="str">
        <f t="array" ref="C160">IFERROR(XLOOKUP(B160,'Nível 2'!B:B,'Nível 2'!A:A),"")</f>
        <v/>
      </c>
    </row>
    <row r="161">
      <c r="B161" s="15"/>
      <c r="C161" s="15" t="str">
        <f t="array" ref="C161">IFERROR(XLOOKUP(B161,'Nível 2'!B:B,'Nível 2'!A:A),"")</f>
        <v/>
      </c>
    </row>
    <row r="162">
      <c r="B162" s="15"/>
      <c r="C162" s="15" t="str">
        <f t="array" ref="C162">IFERROR(XLOOKUP(B162,'Nível 2'!B:B,'Nível 2'!A:A),"")</f>
        <v/>
      </c>
    </row>
    <row r="163">
      <c r="B163" s="15"/>
      <c r="C163" s="15" t="str">
        <f t="array" ref="C163">IFERROR(XLOOKUP(B163,'Nível 2'!B:B,'Nível 2'!A:A),"")</f>
        <v/>
      </c>
    </row>
    <row r="164">
      <c r="B164" s="15"/>
      <c r="C164" s="15" t="str">
        <f t="array" ref="C164">IFERROR(XLOOKUP(B164,'Nível 2'!B:B,'Nível 2'!A:A),"")</f>
        <v/>
      </c>
    </row>
    <row r="165">
      <c r="B165" s="15"/>
      <c r="C165" s="15" t="str">
        <f t="array" ref="C165">IFERROR(XLOOKUP(B165,'Nível 2'!B:B,'Nível 2'!A:A),"")</f>
        <v/>
      </c>
    </row>
    <row r="166">
      <c r="B166" s="15"/>
      <c r="C166" s="15" t="str">
        <f t="array" ref="C166">IFERROR(XLOOKUP(B166,'Nível 2'!B:B,'Nível 2'!A:A),"")</f>
        <v/>
      </c>
    </row>
    <row r="167">
      <c r="B167" s="15"/>
      <c r="C167" s="15" t="str">
        <f t="array" ref="C167">IFERROR(XLOOKUP(B167,'Nível 2'!B:B,'Nível 2'!A:A),"")</f>
        <v/>
      </c>
    </row>
    <row r="168">
      <c r="B168" s="15"/>
      <c r="C168" s="15" t="str">
        <f t="array" ref="C168">IFERROR(XLOOKUP(B168,'Nível 2'!B:B,'Nível 2'!A:A),"")</f>
        <v/>
      </c>
    </row>
    <row r="169">
      <c r="B169" s="15"/>
      <c r="C169" s="15" t="str">
        <f t="array" ref="C169">IFERROR(XLOOKUP(B169,'Nível 2'!B:B,'Nível 2'!A:A),"")</f>
        <v/>
      </c>
    </row>
    <row r="170">
      <c r="B170" s="15"/>
      <c r="C170" s="15" t="str">
        <f t="array" ref="C170">IFERROR(XLOOKUP(B170,'Nível 2'!B:B,'Nível 2'!A:A),"")</f>
        <v/>
      </c>
    </row>
    <row r="171">
      <c r="B171" s="15"/>
      <c r="C171" s="15" t="str">
        <f t="array" ref="C171">IFERROR(XLOOKUP(B171,'Nível 2'!B:B,'Nível 2'!A:A),"")</f>
        <v/>
      </c>
    </row>
    <row r="172">
      <c r="B172" s="15"/>
      <c r="C172" s="15" t="str">
        <f t="array" ref="C172">IFERROR(XLOOKUP(B172,'Nível 2'!B:B,'Nível 2'!A:A),"")</f>
        <v/>
      </c>
    </row>
    <row r="173">
      <c r="B173" s="15"/>
      <c r="C173" s="15" t="str">
        <f t="array" ref="C173">IFERROR(XLOOKUP(B173,'Nível 2'!B:B,'Nível 2'!A:A),"")</f>
        <v/>
      </c>
    </row>
    <row r="174">
      <c r="B174" s="15"/>
      <c r="C174" s="15" t="str">
        <f t="array" ref="C174">IFERROR(XLOOKUP(B174,'Nível 2'!B:B,'Nível 2'!A:A),"")</f>
        <v/>
      </c>
    </row>
    <row r="175">
      <c r="B175" s="15"/>
      <c r="C175" s="15" t="str">
        <f t="array" ref="C175">IFERROR(XLOOKUP(B175,'Nível 2'!B:B,'Nível 2'!A:A),"")</f>
        <v/>
      </c>
    </row>
    <row r="176">
      <c r="B176" s="15"/>
      <c r="C176" s="15" t="str">
        <f t="array" ref="C176">IFERROR(XLOOKUP(B176,'Nível 2'!B:B,'Nível 2'!A:A),"")</f>
        <v/>
      </c>
    </row>
    <row r="177">
      <c r="B177" s="15"/>
      <c r="C177" s="15" t="str">
        <f t="array" ref="C177">IFERROR(XLOOKUP(B177,'Nível 2'!B:B,'Nível 2'!A:A),"")</f>
        <v/>
      </c>
    </row>
    <row r="178">
      <c r="B178" s="15"/>
      <c r="C178" s="15" t="str">
        <f t="array" ref="C178">IFERROR(XLOOKUP(B178,'Nível 2'!B:B,'Nível 2'!A:A),"")</f>
        <v/>
      </c>
    </row>
    <row r="179">
      <c r="B179" s="15"/>
      <c r="C179" s="15" t="str">
        <f t="array" ref="C179">IFERROR(XLOOKUP(B179,'Nível 2'!B:B,'Nível 2'!A:A),"")</f>
        <v/>
      </c>
    </row>
    <row r="180">
      <c r="B180" s="15"/>
      <c r="C180" s="15" t="str">
        <f t="array" ref="C180">IFERROR(XLOOKUP(B180,'Nível 2'!B:B,'Nível 2'!A:A),"")</f>
        <v/>
      </c>
    </row>
    <row r="181">
      <c r="B181" s="15"/>
      <c r="C181" s="15" t="str">
        <f t="array" ref="C181">IFERROR(XLOOKUP(B181,'Nível 2'!B:B,'Nível 2'!A:A),"")</f>
        <v/>
      </c>
    </row>
    <row r="182">
      <c r="B182" s="15"/>
      <c r="C182" s="15" t="str">
        <f t="array" ref="C182">IFERROR(XLOOKUP(B182,'Nível 2'!B:B,'Nível 2'!A:A),"")</f>
        <v/>
      </c>
    </row>
    <row r="183">
      <c r="B183" s="15"/>
      <c r="C183" s="15" t="str">
        <f t="array" ref="C183">IFERROR(XLOOKUP(B183,'Nível 2'!B:B,'Nível 2'!A:A),"")</f>
        <v/>
      </c>
    </row>
    <row r="184">
      <c r="B184" s="15"/>
      <c r="C184" s="15" t="str">
        <f t="array" ref="C184">IFERROR(XLOOKUP(B184,'Nível 2'!B:B,'Nível 2'!A:A),"")</f>
        <v/>
      </c>
    </row>
    <row r="185">
      <c r="B185" s="15"/>
      <c r="C185" s="15" t="str">
        <f t="array" ref="C185">IFERROR(XLOOKUP(B185,'Nível 2'!B:B,'Nível 2'!A:A),"")</f>
        <v/>
      </c>
    </row>
    <row r="186">
      <c r="B186" s="15"/>
      <c r="C186" s="15" t="str">
        <f t="array" ref="C186">IFERROR(XLOOKUP(B186,'Nível 2'!B:B,'Nível 2'!A:A),"")</f>
        <v/>
      </c>
    </row>
    <row r="187">
      <c r="B187" s="15"/>
      <c r="C187" s="15" t="str">
        <f t="array" ref="C187">IFERROR(XLOOKUP(B187,'Nível 2'!B:B,'Nível 2'!A:A),"")</f>
        <v/>
      </c>
    </row>
    <row r="188">
      <c r="B188" s="15"/>
      <c r="C188" s="15" t="str">
        <f t="array" ref="C188">IFERROR(XLOOKUP(B188,'Nível 2'!B:B,'Nível 2'!A:A),"")</f>
        <v/>
      </c>
    </row>
    <row r="189">
      <c r="B189" s="15"/>
      <c r="C189" s="15" t="str">
        <f t="array" ref="C189">IFERROR(XLOOKUP(B189,'Nível 2'!B:B,'Nível 2'!A:A),"")</f>
        <v/>
      </c>
    </row>
    <row r="190">
      <c r="B190" s="15"/>
      <c r="C190" s="15" t="str">
        <f t="array" ref="C190">IFERROR(XLOOKUP(B190,'Nível 2'!B:B,'Nível 2'!A:A),"")</f>
        <v/>
      </c>
    </row>
    <row r="191">
      <c r="B191" s="15"/>
      <c r="C191" s="15" t="str">
        <f t="array" ref="C191">IFERROR(XLOOKUP(B191,'Nível 2'!B:B,'Nível 2'!A:A),"")</f>
        <v/>
      </c>
    </row>
    <row r="192">
      <c r="B192" s="15"/>
      <c r="C192" s="15" t="str">
        <f t="array" ref="C192">IFERROR(XLOOKUP(B192,'Nível 2'!B:B,'Nível 2'!A:A),"")</f>
        <v/>
      </c>
    </row>
    <row r="193">
      <c r="B193" s="15"/>
      <c r="C193" s="15" t="str">
        <f t="array" ref="C193">IFERROR(XLOOKUP(B193,'Nível 2'!B:B,'Nível 2'!A:A),"")</f>
        <v/>
      </c>
    </row>
    <row r="194">
      <c r="B194" s="15"/>
      <c r="C194" s="15" t="str">
        <f t="array" ref="C194">IFERROR(XLOOKUP(B194,'Nível 2'!B:B,'Nível 2'!A:A),"")</f>
        <v/>
      </c>
    </row>
    <row r="195">
      <c r="B195" s="15"/>
      <c r="C195" s="15" t="str">
        <f t="array" ref="C195">IFERROR(XLOOKUP(B195,'Nível 2'!B:B,'Nível 2'!A:A),"")</f>
        <v/>
      </c>
    </row>
    <row r="196">
      <c r="B196" s="15"/>
      <c r="C196" s="15" t="str">
        <f t="array" ref="C196">IFERROR(XLOOKUP(B196,'Nível 2'!B:B,'Nível 2'!A:A),"")</f>
        <v/>
      </c>
    </row>
    <row r="197">
      <c r="B197" s="15"/>
      <c r="C197" s="15" t="str">
        <f t="array" ref="C197">IFERROR(XLOOKUP(B197,'Nível 2'!B:B,'Nível 2'!A:A),"")</f>
        <v/>
      </c>
    </row>
    <row r="198">
      <c r="B198" s="15"/>
      <c r="C198" s="15" t="str">
        <f t="array" ref="C198">IFERROR(XLOOKUP(B198,'Nível 2'!B:B,'Nível 2'!A:A),"")</f>
        <v/>
      </c>
    </row>
    <row r="199">
      <c r="B199" s="15"/>
      <c r="C199" s="15" t="str">
        <f t="array" ref="C199">IFERROR(XLOOKUP(B199,'Nível 2'!B:B,'Nível 2'!A:A),"")</f>
        <v/>
      </c>
    </row>
    <row r="200">
      <c r="B200" s="15"/>
      <c r="C200" s="15" t="str">
        <f t="array" ref="C200">IFERROR(XLOOKUP(B200,'Nível 2'!B:B,'Nível 2'!A:A),"")</f>
        <v/>
      </c>
    </row>
    <row r="201">
      <c r="B201" s="15"/>
      <c r="C201" s="15" t="str">
        <f t="array" ref="C201">IFERROR(XLOOKUP(B201,'Nível 2'!B:B,'Nível 2'!A:A),"")</f>
        <v/>
      </c>
    </row>
    <row r="202">
      <c r="B202" s="15"/>
      <c r="C202" s="15" t="str">
        <f t="array" ref="C202">IFERROR(XLOOKUP(B202,'Nível 2'!B:B,'Nível 2'!A:A),"")</f>
        <v/>
      </c>
    </row>
    <row r="203">
      <c r="B203" s="15"/>
      <c r="C203" s="15" t="str">
        <f t="array" ref="C203">IFERROR(XLOOKUP(B203,'Nível 2'!B:B,'Nível 2'!A:A),"")</f>
        <v/>
      </c>
    </row>
    <row r="204">
      <c r="B204" s="15"/>
      <c r="C204" s="15" t="str">
        <f t="array" ref="C204">IFERROR(XLOOKUP(B204,'Nível 2'!B:B,'Nível 2'!A:A),"")</f>
        <v/>
      </c>
    </row>
    <row r="205">
      <c r="B205" s="15"/>
      <c r="C205" s="15" t="str">
        <f t="array" ref="C205">IFERROR(XLOOKUP(B205,'Nível 2'!B:B,'Nível 2'!A:A),"")</f>
        <v/>
      </c>
    </row>
    <row r="206">
      <c r="B206" s="15"/>
      <c r="C206" s="15" t="str">
        <f t="array" ref="C206">IFERROR(XLOOKUP(B206,'Nível 2'!B:B,'Nível 2'!A:A),"")</f>
        <v/>
      </c>
    </row>
    <row r="207">
      <c r="B207" s="15"/>
      <c r="C207" s="15" t="str">
        <f t="array" ref="C207">IFERROR(XLOOKUP(B207,'Nível 2'!B:B,'Nível 2'!A:A),"")</f>
        <v/>
      </c>
    </row>
    <row r="208">
      <c r="B208" s="15"/>
      <c r="C208" s="15" t="str">
        <f t="array" ref="C208">IFERROR(XLOOKUP(B208,'Nível 2'!B:B,'Nível 2'!A:A),"")</f>
        <v/>
      </c>
    </row>
    <row r="209">
      <c r="B209" s="15"/>
      <c r="C209" s="15" t="str">
        <f t="array" ref="C209">IFERROR(XLOOKUP(B209,'Nível 2'!B:B,'Nível 2'!A:A),"")</f>
        <v/>
      </c>
    </row>
    <row r="210">
      <c r="B210" s="15"/>
      <c r="C210" s="15" t="str">
        <f t="array" ref="C210">IFERROR(XLOOKUP(B210,'Nível 2'!B:B,'Nível 2'!A:A),"")</f>
        <v/>
      </c>
    </row>
    <row r="211">
      <c r="B211" s="15"/>
      <c r="C211" s="15" t="str">
        <f t="array" ref="C211">IFERROR(XLOOKUP(B211,'Nível 2'!B:B,'Nível 2'!A:A),"")</f>
        <v/>
      </c>
    </row>
    <row r="212">
      <c r="B212" s="15"/>
      <c r="C212" s="15" t="str">
        <f t="array" ref="C212">IFERROR(XLOOKUP(B212,'Nível 2'!B:B,'Nível 2'!A:A),"")</f>
        <v/>
      </c>
    </row>
    <row r="213">
      <c r="B213" s="15"/>
      <c r="C213" s="15" t="str">
        <f t="array" ref="C213">IFERROR(XLOOKUP(B213,'Nível 2'!B:B,'Nível 2'!A:A),"")</f>
        <v/>
      </c>
    </row>
    <row r="214">
      <c r="B214" s="15"/>
      <c r="C214" s="15" t="str">
        <f t="array" ref="C214">IFERROR(XLOOKUP(B214,'Nível 2'!B:B,'Nível 2'!A:A),"")</f>
        <v/>
      </c>
    </row>
    <row r="215">
      <c r="B215" s="15"/>
      <c r="C215" s="15" t="str">
        <f t="array" ref="C215">IFERROR(XLOOKUP(B215,'Nível 2'!B:B,'Nível 2'!A:A),"")</f>
        <v/>
      </c>
    </row>
    <row r="216">
      <c r="B216" s="15"/>
      <c r="C216" s="15" t="str">
        <f t="array" ref="C216">IFERROR(XLOOKUP(B216,'Nível 2'!B:B,'Nível 2'!A:A),"")</f>
        <v/>
      </c>
    </row>
    <row r="217">
      <c r="B217" s="15"/>
      <c r="C217" s="15" t="str">
        <f t="array" ref="C217">IFERROR(XLOOKUP(B217,'Nível 2'!B:B,'Nível 2'!A:A),"")</f>
        <v/>
      </c>
    </row>
    <row r="218">
      <c r="B218" s="15"/>
      <c r="C218" s="15" t="str">
        <f t="array" ref="C218">IFERROR(XLOOKUP(B218,'Nível 2'!B:B,'Nível 2'!A:A),"")</f>
        <v/>
      </c>
    </row>
    <row r="219">
      <c r="B219" s="15"/>
      <c r="C219" s="15" t="str">
        <f t="array" ref="C219">IFERROR(XLOOKUP(B219,'Nível 2'!B:B,'Nível 2'!A:A),"")</f>
        <v/>
      </c>
    </row>
    <row r="220">
      <c r="B220" s="15"/>
      <c r="C220" s="15" t="str">
        <f t="array" ref="C220">IFERROR(XLOOKUP(B220,'Nível 2'!B:B,'Nível 2'!A:A),"")</f>
        <v/>
      </c>
    </row>
    <row r="221">
      <c r="B221" s="15"/>
      <c r="C221" s="15" t="str">
        <f t="array" ref="C221">IFERROR(XLOOKUP(B221,'Nível 2'!B:B,'Nível 2'!A:A),"")</f>
        <v/>
      </c>
    </row>
    <row r="222">
      <c r="B222" s="15"/>
      <c r="C222" s="15" t="str">
        <f t="array" ref="C222">IFERROR(XLOOKUP(B222,'Nível 2'!B:B,'Nível 2'!A:A),"")</f>
        <v/>
      </c>
    </row>
    <row r="223">
      <c r="B223" s="15"/>
      <c r="C223" s="15" t="str">
        <f t="array" ref="C223">IFERROR(XLOOKUP(B223,'Nível 2'!B:B,'Nível 2'!A:A),"")</f>
        <v/>
      </c>
    </row>
    <row r="224">
      <c r="B224" s="15"/>
      <c r="C224" s="15" t="str">
        <f t="array" ref="C224">IFERROR(XLOOKUP(B224,'Nível 2'!B:B,'Nível 2'!A:A),"")</f>
        <v/>
      </c>
    </row>
    <row r="225">
      <c r="B225" s="15"/>
      <c r="C225" s="15" t="str">
        <f t="array" ref="C225">IFERROR(XLOOKUP(B225,'Nível 2'!B:B,'Nível 2'!A:A),"")</f>
        <v/>
      </c>
    </row>
    <row r="226">
      <c r="B226" s="15"/>
      <c r="C226" s="15" t="str">
        <f t="array" ref="C226">IFERROR(XLOOKUP(B226,'Nível 2'!B:B,'Nível 2'!A:A),"")</f>
        <v/>
      </c>
    </row>
    <row r="227">
      <c r="B227" s="15"/>
      <c r="C227" s="15" t="str">
        <f t="array" ref="C227">IFERROR(XLOOKUP(B227,'Nível 2'!B:B,'Nível 2'!A:A),"")</f>
        <v/>
      </c>
    </row>
    <row r="228">
      <c r="B228" s="15"/>
      <c r="C228" s="15" t="str">
        <f t="array" ref="C228">IFERROR(XLOOKUP(B228,'Nível 2'!B:B,'Nível 2'!A:A),"")</f>
        <v/>
      </c>
    </row>
    <row r="229">
      <c r="B229" s="15"/>
      <c r="C229" s="15" t="str">
        <f t="array" ref="C229">IFERROR(XLOOKUP(B229,'Nível 2'!B:B,'Nível 2'!A:A),"")</f>
        <v/>
      </c>
    </row>
    <row r="230">
      <c r="B230" s="15"/>
      <c r="C230" s="15" t="str">
        <f t="array" ref="C230">IFERROR(XLOOKUP(B230,'Nível 2'!B:B,'Nível 2'!A:A),"")</f>
        <v/>
      </c>
    </row>
    <row r="231">
      <c r="B231" s="15"/>
      <c r="C231" s="15" t="str">
        <f t="array" ref="C231">IFERROR(XLOOKUP(B231,'Nível 2'!B:B,'Nível 2'!A:A),"")</f>
        <v/>
      </c>
    </row>
    <row r="232">
      <c r="B232" s="15"/>
      <c r="C232" s="15" t="str">
        <f t="array" ref="C232">IFERROR(XLOOKUP(B232,'Nível 2'!B:B,'Nível 2'!A:A),"")</f>
        <v/>
      </c>
    </row>
    <row r="233">
      <c r="B233" s="15"/>
      <c r="C233" s="15" t="str">
        <f t="array" ref="C233">IFERROR(XLOOKUP(B233,'Nível 2'!B:B,'Nível 2'!A:A),"")</f>
        <v/>
      </c>
    </row>
    <row r="234">
      <c r="B234" s="15"/>
      <c r="C234" s="15" t="str">
        <f t="array" ref="C234">IFERROR(XLOOKUP(B234,'Nível 2'!B:B,'Nível 2'!A:A),"")</f>
        <v/>
      </c>
    </row>
    <row r="235">
      <c r="B235" s="15"/>
      <c r="C235" s="15" t="str">
        <f t="array" ref="C235">IFERROR(XLOOKUP(B235,'Nível 2'!B:B,'Nível 2'!A:A),"")</f>
        <v/>
      </c>
    </row>
    <row r="236">
      <c r="B236" s="15"/>
      <c r="C236" s="15" t="str">
        <f t="array" ref="C236">IFERROR(XLOOKUP(B236,'Nível 2'!B:B,'Nível 2'!A:A),"")</f>
        <v/>
      </c>
    </row>
    <row r="237">
      <c r="B237" s="15"/>
      <c r="C237" s="15" t="str">
        <f t="array" ref="C237">IFERROR(XLOOKUP(B237,'Nível 2'!B:B,'Nível 2'!A:A),"")</f>
        <v/>
      </c>
    </row>
    <row r="238">
      <c r="B238" s="15"/>
      <c r="C238" s="15" t="str">
        <f t="array" ref="C238">IFERROR(XLOOKUP(B238,'Nível 2'!B:B,'Nível 2'!A:A),"")</f>
        <v/>
      </c>
    </row>
    <row r="239">
      <c r="B239" s="15"/>
      <c r="C239" s="15" t="str">
        <f t="array" ref="C239">IFERROR(XLOOKUP(B239,'Nível 2'!B:B,'Nível 2'!A:A),"")</f>
        <v/>
      </c>
    </row>
    <row r="240">
      <c r="B240" s="15"/>
      <c r="C240" s="15" t="str">
        <f t="array" ref="C240">IFERROR(XLOOKUP(B240,'Nível 2'!B:B,'Nível 2'!A:A),"")</f>
        <v/>
      </c>
    </row>
    <row r="241">
      <c r="B241" s="15"/>
      <c r="C241" s="15" t="str">
        <f t="array" ref="C241">IFERROR(XLOOKUP(B241,'Nível 2'!B:B,'Nível 2'!A:A),"")</f>
        <v/>
      </c>
    </row>
    <row r="242">
      <c r="B242" s="15"/>
      <c r="C242" s="15" t="str">
        <f t="array" ref="C242">IFERROR(XLOOKUP(B242,'Nível 2'!B:B,'Nível 2'!A:A),"")</f>
        <v/>
      </c>
    </row>
    <row r="243">
      <c r="B243" s="15"/>
      <c r="C243" s="15" t="str">
        <f t="array" ref="C243">IFERROR(XLOOKUP(B243,'Nível 2'!B:B,'Nível 2'!A:A),"")</f>
        <v/>
      </c>
    </row>
    <row r="244">
      <c r="B244" s="15"/>
      <c r="C244" s="15" t="str">
        <f t="array" ref="C244">IFERROR(XLOOKUP(B244,'Nível 2'!B:B,'Nível 2'!A:A),"")</f>
        <v/>
      </c>
    </row>
    <row r="245">
      <c r="B245" s="15"/>
      <c r="C245" s="15" t="str">
        <f t="array" ref="C245">IFERROR(XLOOKUP(B245,'Nível 2'!B:B,'Nível 2'!A:A),"")</f>
        <v/>
      </c>
    </row>
    <row r="246">
      <c r="B246" s="15"/>
      <c r="C246" s="15" t="str">
        <f t="array" ref="C246">IFERROR(XLOOKUP(B246,'Nível 2'!B:B,'Nível 2'!A:A),"")</f>
        <v/>
      </c>
    </row>
    <row r="247">
      <c r="B247" s="15"/>
      <c r="C247" s="15" t="str">
        <f t="array" ref="C247">IFERROR(XLOOKUP(B247,'Nível 2'!B:B,'Nível 2'!A:A),"")</f>
        <v/>
      </c>
    </row>
    <row r="248">
      <c r="B248" s="15"/>
      <c r="C248" s="15" t="str">
        <f t="array" ref="C248">IFERROR(XLOOKUP(B248,'Nível 2'!B:B,'Nível 2'!A:A),"")</f>
        <v/>
      </c>
    </row>
    <row r="249">
      <c r="B249" s="15"/>
      <c r="C249" s="15" t="str">
        <f t="array" ref="C249">IFERROR(XLOOKUP(B249,'Nível 2'!B:B,'Nível 2'!A:A),"")</f>
        <v/>
      </c>
    </row>
    <row r="250">
      <c r="B250" s="15"/>
      <c r="C250" s="15" t="str">
        <f t="array" ref="C250">IFERROR(XLOOKUP(B250,'Nível 2'!B:B,'Nível 2'!A:A),"")</f>
        <v/>
      </c>
    </row>
    <row r="251">
      <c r="B251" s="15"/>
      <c r="C251" s="15" t="str">
        <f t="array" ref="C251">IFERROR(XLOOKUP(B251,'Nível 2'!B:B,'Nível 2'!A:A),"")</f>
        <v/>
      </c>
    </row>
    <row r="252">
      <c r="B252" s="15"/>
      <c r="C252" s="15" t="str">
        <f t="array" ref="C252">IFERROR(XLOOKUP(B252,'Nível 2'!B:B,'Nível 2'!A:A),"")</f>
        <v/>
      </c>
    </row>
    <row r="253">
      <c r="B253" s="15"/>
      <c r="C253" s="15" t="str">
        <f t="array" ref="C253">IFERROR(XLOOKUP(B253,'Nível 2'!B:B,'Nível 2'!A:A),"")</f>
        <v/>
      </c>
    </row>
    <row r="254">
      <c r="B254" s="15"/>
      <c r="C254" s="15" t="str">
        <f t="array" ref="C254">IFERROR(XLOOKUP(B254,'Nível 2'!B:B,'Nível 2'!A:A),"")</f>
        <v/>
      </c>
    </row>
    <row r="255">
      <c r="C255" s="15" t="str">
        <f t="array" ref="C255">IFERROR(XLOOKUP(B255,'Nível 2'!B:B,'Nível 2'!A:A),"")</f>
        <v/>
      </c>
    </row>
    <row r="256">
      <c r="C256" s="15" t="str">
        <f t="array" ref="C256">IFERROR(XLOOKUP(B256,'Nível 2'!B:B,'Nível 2'!A:A),"")</f>
        <v/>
      </c>
    </row>
    <row r="257">
      <c r="C257" s="15" t="str">
        <f t="array" ref="C257">IFERROR(XLOOKUP(B257,'Nível 2'!B:B,'Nível 2'!A:A),"")</f>
        <v/>
      </c>
    </row>
    <row r="258">
      <c r="C258" s="15" t="str">
        <f t="array" ref="C258">IFERROR(XLOOKUP(B258,'Nível 2'!B:B,'Nível 2'!A:A),"")</f>
        <v/>
      </c>
    </row>
    <row r="259">
      <c r="C259" s="15" t="str">
        <f t="array" ref="C259">IFERROR(XLOOKUP(B259,'Nível 2'!B:B,'Nível 2'!A:A),"")</f>
        <v/>
      </c>
    </row>
    <row r="260">
      <c r="C260" s="15" t="str">
        <f t="array" ref="C260">IFERROR(XLOOKUP(B260,'Nível 2'!B:B,'Nível 2'!A:A),"")</f>
        <v/>
      </c>
    </row>
    <row r="261">
      <c r="C261" s="15" t="str">
        <f t="array" ref="C261">IFERROR(XLOOKUP(B261,'Nível 2'!B:B,'Nível 2'!A:A),"")</f>
        <v/>
      </c>
    </row>
    <row r="262">
      <c r="C262" s="15" t="str">
        <f t="array" ref="C262">IFERROR(XLOOKUP(B262,'Nível 2'!B:B,'Nível 2'!A:A),"")</f>
        <v/>
      </c>
    </row>
    <row r="263">
      <c r="C263" s="15" t="str">
        <f t="array" ref="C263">IFERROR(XLOOKUP(B263,'Nível 2'!B:B,'Nível 2'!A:A),"")</f>
        <v/>
      </c>
    </row>
    <row r="264">
      <c r="C264" s="15" t="str">
        <f t="array" ref="C264">IFERROR(XLOOKUP(B264,'Nível 2'!B:B,'Nível 2'!A:A),"")</f>
        <v/>
      </c>
    </row>
    <row r="265">
      <c r="C265" s="15" t="str">
        <f t="array" ref="C265">IFERROR(XLOOKUP(B265,'Nível 2'!B:B,'Nível 2'!A:A),"")</f>
        <v/>
      </c>
    </row>
    <row r="266">
      <c r="C266" s="15" t="str">
        <f t="array" ref="C266">IFERROR(XLOOKUP(B266,'Nível 2'!B:B,'Nível 2'!A:A),"")</f>
        <v/>
      </c>
    </row>
    <row r="267">
      <c r="C267" s="15" t="str">
        <f t="array" ref="C267">IFERROR(XLOOKUP(B267,'Nível 2'!B:B,'Nível 2'!A:A),"")</f>
        <v/>
      </c>
    </row>
    <row r="268">
      <c r="C268" s="15" t="str">
        <f t="array" ref="C268">IFERROR(XLOOKUP(B268,'Nível 2'!B:B,'Nível 2'!A:A),"")</f>
        <v/>
      </c>
    </row>
    <row r="269">
      <c r="C269" s="15" t="str">
        <f t="array" ref="C269">IFERROR(XLOOKUP(B269,'Nível 2'!B:B,'Nível 2'!A:A),"")</f>
        <v/>
      </c>
    </row>
    <row r="270">
      <c r="C270" s="15" t="str">
        <f t="array" ref="C270">IFERROR(XLOOKUP(B270,'Nível 2'!B:B,'Nível 2'!A:A),"")</f>
        <v/>
      </c>
    </row>
    <row r="271">
      <c r="C271" s="15" t="str">
        <f t="array" ref="C271">IFERROR(XLOOKUP(B271,'Nível 2'!B:B,'Nível 2'!A:A),"")</f>
        <v/>
      </c>
    </row>
    <row r="272">
      <c r="C272" s="15" t="str">
        <f t="array" ref="C272">IFERROR(XLOOKUP(B272,'Nível 2'!B:B,'Nível 2'!A:A),"")</f>
        <v/>
      </c>
    </row>
    <row r="273">
      <c r="C273" s="15" t="str">
        <f t="array" ref="C273">IFERROR(XLOOKUP(B273,'Nível 2'!B:B,'Nível 2'!A:A),"")</f>
        <v/>
      </c>
    </row>
    <row r="274">
      <c r="C274" s="15" t="str">
        <f t="array" ref="C274">IFERROR(XLOOKUP(B274,'Nível 2'!B:B,'Nível 2'!A:A),"")</f>
        <v/>
      </c>
    </row>
    <row r="275">
      <c r="C275" s="15" t="str">
        <f t="array" ref="C275">IFERROR(XLOOKUP(B275,'Nível 2'!B:B,'Nível 2'!A:A),"")</f>
        <v/>
      </c>
    </row>
    <row r="276">
      <c r="C276" s="15" t="str">
        <f t="array" ref="C276">IFERROR(XLOOKUP(B276,'Nível 2'!B:B,'Nível 2'!A:A),"")</f>
        <v/>
      </c>
    </row>
    <row r="277">
      <c r="C277" s="15" t="str">
        <f t="array" ref="C277">IFERROR(XLOOKUP(B277,'Nível 2'!B:B,'Nível 2'!A:A),"")</f>
        <v/>
      </c>
    </row>
    <row r="278">
      <c r="C278" s="15" t="str">
        <f t="array" ref="C278">IFERROR(XLOOKUP(B278,'Nível 2'!B:B,'Nível 2'!A:A),"")</f>
        <v/>
      </c>
    </row>
    <row r="279">
      <c r="C279" s="15" t="str">
        <f t="array" ref="C279">IFERROR(XLOOKUP(B279,'Nível 2'!B:B,'Nível 2'!A:A),"")</f>
        <v/>
      </c>
    </row>
    <row r="280">
      <c r="C280" s="15" t="str">
        <f t="array" ref="C280">IFERROR(XLOOKUP(B280,'Nível 2'!B:B,'Nível 2'!A:A),"")</f>
        <v/>
      </c>
    </row>
    <row r="281">
      <c r="C281" s="15" t="str">
        <f t="array" ref="C281">IFERROR(XLOOKUP(B281,'Nível 2'!B:B,'Nível 2'!A:A),"")</f>
        <v/>
      </c>
    </row>
    <row r="282">
      <c r="C282" s="15" t="str">
        <f t="array" ref="C282">IFERROR(XLOOKUP(B282,'Nível 2'!B:B,'Nível 2'!A:A),"")</f>
        <v/>
      </c>
    </row>
    <row r="283">
      <c r="C283" s="15" t="str">
        <f t="array" ref="C283">IFERROR(XLOOKUP(B283,'Nível 2'!B:B,'Nível 2'!A:A),"")</f>
        <v/>
      </c>
    </row>
    <row r="284">
      <c r="C284" s="15" t="str">
        <f t="array" ref="C284">IFERROR(XLOOKUP(B284,'Nível 2'!B:B,'Nível 2'!A:A),"")</f>
        <v/>
      </c>
    </row>
    <row r="285">
      <c r="C285" s="15" t="str">
        <f t="array" ref="C285">IFERROR(XLOOKUP(B285,'Nível 2'!B:B,'Nível 2'!A:A),"")</f>
        <v/>
      </c>
    </row>
    <row r="286">
      <c r="C286" s="15" t="str">
        <f t="array" ref="C286">IFERROR(XLOOKUP(B286,'Nível 2'!B:B,'Nível 2'!A:A),"")</f>
        <v/>
      </c>
    </row>
    <row r="287">
      <c r="C287" s="15" t="str">
        <f t="array" ref="C287">IFERROR(XLOOKUP(B287,'Nível 2'!B:B,'Nível 2'!A:A),"")</f>
        <v/>
      </c>
    </row>
    <row r="288">
      <c r="C288" s="15" t="str">
        <f t="array" ref="C288">IFERROR(XLOOKUP(B288,'Nível 2'!B:B,'Nível 2'!A:A),"")</f>
        <v/>
      </c>
    </row>
    <row r="289">
      <c r="C289" s="15" t="str">
        <f t="array" ref="C289">IFERROR(XLOOKUP(B289,'Nível 2'!B:B,'Nível 2'!A:A),"")</f>
        <v/>
      </c>
    </row>
    <row r="290">
      <c r="C290" s="15" t="str">
        <f t="array" ref="C290">IFERROR(XLOOKUP(B290,'Nível 2'!B:B,'Nível 2'!A:A),"")</f>
        <v/>
      </c>
    </row>
    <row r="291">
      <c r="C291" s="15" t="str">
        <f t="array" ref="C291">IFERROR(XLOOKUP(B291,'Nível 2'!B:B,'Nível 2'!A:A),"")</f>
        <v/>
      </c>
    </row>
    <row r="292">
      <c r="C292" s="15" t="str">
        <f t="array" ref="C292">IFERROR(XLOOKUP(B292,'Nível 2'!B:B,'Nível 2'!A:A),"")</f>
        <v/>
      </c>
    </row>
    <row r="293">
      <c r="C293" s="15" t="str">
        <f t="array" ref="C293">IFERROR(XLOOKUP(B293,'Nível 2'!B:B,'Nível 2'!A:A),"")</f>
        <v/>
      </c>
    </row>
    <row r="294">
      <c r="C294" s="15" t="str">
        <f t="array" ref="C294">IFERROR(XLOOKUP(B294,'Nível 2'!B:B,'Nível 2'!A:A),"")</f>
        <v/>
      </c>
    </row>
    <row r="295">
      <c r="C295" s="15" t="str">
        <f t="array" ref="C295">IFERROR(XLOOKUP(B295,'Nível 2'!B:B,'Nível 2'!A:A),"")</f>
        <v/>
      </c>
    </row>
    <row r="296">
      <c r="C296" s="15" t="str">
        <f t="array" ref="C296">IFERROR(XLOOKUP(B296,'Nível 2'!B:B,'Nível 2'!A:A),"")</f>
        <v/>
      </c>
    </row>
    <row r="297">
      <c r="C297" s="15" t="str">
        <f t="array" ref="C297">IFERROR(XLOOKUP(B297,'Nível 2'!B:B,'Nível 2'!A:A),"")</f>
        <v/>
      </c>
    </row>
    <row r="298">
      <c r="C298" s="15" t="str">
        <f t="array" ref="C298">IFERROR(XLOOKUP(B298,'Nível 2'!B:B,'Nível 2'!A:A),"")</f>
        <v/>
      </c>
    </row>
    <row r="299">
      <c r="C299" s="15" t="str">
        <f t="array" ref="C299">IFERROR(XLOOKUP(B299,'Nível 2'!B:B,'Nível 2'!A:A),"")</f>
        <v/>
      </c>
    </row>
    <row r="300">
      <c r="C300" s="15" t="str">
        <f t="array" ref="C300">IFERROR(XLOOKUP(B300,'Nível 2'!B:B,'Nível 2'!A:A),"")</f>
        <v/>
      </c>
    </row>
    <row r="301">
      <c r="C301" s="15" t="str">
        <f t="array" ref="C301">IFERROR(XLOOKUP(B301,'Nível 2'!B:B,'Nível 2'!A:A),"")</f>
        <v/>
      </c>
    </row>
    <row r="302">
      <c r="C302" s="15" t="str">
        <f t="array" ref="C302">IFERROR(XLOOKUP(B302,'Nível 2'!B:B,'Nível 2'!A:A),"")</f>
        <v/>
      </c>
    </row>
    <row r="303">
      <c r="C303" s="15" t="str">
        <f t="array" ref="C303">IFERROR(XLOOKUP(B303,'Nível 2'!B:B,'Nível 2'!A:A),"")</f>
        <v/>
      </c>
    </row>
    <row r="304">
      <c r="C304" s="15" t="str">
        <f t="array" ref="C304">IFERROR(XLOOKUP(B304,'Nível 2'!B:B,'Nível 2'!A:A),"")</f>
        <v/>
      </c>
    </row>
    <row r="305">
      <c r="C305" s="15" t="str">
        <f t="array" ref="C305">IFERROR(XLOOKUP(B305,'Nível 2'!B:B,'Nível 2'!A:A),"")</f>
        <v/>
      </c>
    </row>
    <row r="306">
      <c r="C306" s="15" t="str">
        <f t="array" ref="C306">IFERROR(XLOOKUP(B306,'Nível 2'!B:B,'Nível 2'!A:A),"")</f>
        <v/>
      </c>
    </row>
    <row r="307">
      <c r="C307" s="15" t="str">
        <f t="array" ref="C307">IFERROR(XLOOKUP(B307,'Nível 2'!B:B,'Nível 2'!A:A),"")</f>
        <v/>
      </c>
    </row>
    <row r="308">
      <c r="C308" s="15" t="str">
        <f t="array" ref="C308">IFERROR(XLOOKUP(B308,'Nível 2'!B:B,'Nível 2'!A:A),"")</f>
        <v/>
      </c>
    </row>
    <row r="309">
      <c r="C309" s="15" t="str">
        <f t="array" ref="C309">IFERROR(XLOOKUP(B309,'Nível 2'!B:B,'Nível 2'!A:A),"")</f>
        <v/>
      </c>
    </row>
    <row r="310">
      <c r="C310" s="15" t="str">
        <f t="array" ref="C310">IFERROR(XLOOKUP(B310,'Nível 2'!B:B,'Nível 2'!A:A),"")</f>
        <v/>
      </c>
    </row>
    <row r="311">
      <c r="C311" s="15" t="str">
        <f t="array" ref="C311">IFERROR(XLOOKUP(B311,'Nível 2'!B:B,'Nível 2'!A:A),"")</f>
        <v/>
      </c>
    </row>
    <row r="312">
      <c r="C312" s="15" t="str">
        <f t="array" ref="C312">IFERROR(XLOOKUP(B312,'Nível 2'!B:B,'Nível 2'!A:A),"")</f>
        <v/>
      </c>
    </row>
    <row r="313">
      <c r="C313" s="15" t="str">
        <f t="array" ref="C313">IFERROR(XLOOKUP(B313,'Nível 2'!B:B,'Nível 2'!A:A),"")</f>
        <v/>
      </c>
    </row>
    <row r="314">
      <c r="C314" s="15" t="str">
        <f t="array" ref="C314">IFERROR(XLOOKUP(B314,'Nível 2'!B:B,'Nível 2'!A:A),"")</f>
        <v/>
      </c>
    </row>
    <row r="315">
      <c r="C315" s="15" t="str">
        <f t="array" ref="C315">IFERROR(XLOOKUP(B315,'Nível 2'!B:B,'Nível 2'!A:A),"")</f>
        <v/>
      </c>
    </row>
    <row r="316">
      <c r="C316" s="15" t="str">
        <f t="array" ref="C316">IFERROR(XLOOKUP(B316,'Nível 2'!B:B,'Nível 2'!A:A),"")</f>
        <v/>
      </c>
    </row>
    <row r="317">
      <c r="C317" s="15" t="str">
        <f t="array" ref="C317">IFERROR(XLOOKUP(B317,'Nível 2'!B:B,'Nível 2'!A:A),"")</f>
        <v/>
      </c>
    </row>
    <row r="318">
      <c r="C318" s="15" t="str">
        <f t="array" ref="C318">IFERROR(XLOOKUP(B318,'Nível 2'!B:B,'Nível 2'!A:A),"")</f>
        <v/>
      </c>
    </row>
    <row r="319">
      <c r="C319" s="15" t="str">
        <f t="array" ref="C319">IFERROR(XLOOKUP(B319,'Nível 2'!B:B,'Nível 2'!A:A),"")</f>
        <v/>
      </c>
    </row>
    <row r="320">
      <c r="C320" s="15" t="str">
        <f t="array" ref="C320">IFERROR(XLOOKUP(B320,'Nível 2'!B:B,'Nível 2'!A:A),"")</f>
        <v/>
      </c>
    </row>
    <row r="321">
      <c r="C321" s="15" t="str">
        <f t="array" ref="C321">IFERROR(XLOOKUP(B321,'Nível 2'!B:B,'Nível 2'!A:A),"")</f>
        <v/>
      </c>
    </row>
    <row r="322">
      <c r="C322" s="15" t="str">
        <f t="array" ref="C322">IFERROR(XLOOKUP(B322,'Nível 2'!B:B,'Nível 2'!A:A),"")</f>
        <v/>
      </c>
    </row>
    <row r="323">
      <c r="C323" s="15" t="str">
        <f t="array" ref="C323">IFERROR(XLOOKUP(B323,'Nível 2'!B:B,'Nível 2'!A:A),"")</f>
        <v/>
      </c>
    </row>
    <row r="324">
      <c r="C324" s="15" t="str">
        <f t="array" ref="C324">IFERROR(XLOOKUP(B324,'Nível 2'!B:B,'Nível 2'!A:A),"")</f>
        <v/>
      </c>
    </row>
    <row r="325">
      <c r="C325" s="15" t="str">
        <f t="array" ref="C325">IFERROR(XLOOKUP(B325,'Nível 2'!B:B,'Nível 2'!A:A),"")</f>
        <v/>
      </c>
    </row>
    <row r="326">
      <c r="C326" s="15" t="str">
        <f t="array" ref="C326">IFERROR(XLOOKUP(B326,'Nível 2'!B:B,'Nível 2'!A:A),"")</f>
        <v/>
      </c>
    </row>
    <row r="327">
      <c r="C327" s="15" t="str">
        <f t="array" ref="C327">IFERROR(XLOOKUP(B327,'Nível 2'!B:B,'Nível 2'!A:A),"")</f>
        <v/>
      </c>
    </row>
    <row r="328">
      <c r="C328" s="15" t="str">
        <f t="array" ref="C328">IFERROR(XLOOKUP(B328,'Nível 2'!B:B,'Nível 2'!A:A),"")</f>
        <v/>
      </c>
    </row>
    <row r="329">
      <c r="C329" s="15" t="str">
        <f t="array" ref="C329">IFERROR(XLOOKUP(B329,'Nível 2'!B:B,'Nível 2'!A:A),"")</f>
        <v/>
      </c>
    </row>
    <row r="330">
      <c r="C330" s="15" t="str">
        <f t="array" ref="C330">IFERROR(XLOOKUP(B330,'Nível 2'!B:B,'Nível 2'!A:A),"")</f>
        <v/>
      </c>
    </row>
    <row r="331">
      <c r="C331" s="15" t="str">
        <f t="array" ref="C331">IFERROR(XLOOKUP(B331,'Nível 2'!B:B,'Nível 2'!A:A),"")</f>
        <v/>
      </c>
    </row>
    <row r="332">
      <c r="C332" s="15" t="str">
        <f t="array" ref="C332">IFERROR(XLOOKUP(B332,'Nível 2'!B:B,'Nível 2'!A:A),"")</f>
        <v/>
      </c>
    </row>
    <row r="333">
      <c r="C333" s="15" t="str">
        <f t="array" ref="C333">IFERROR(XLOOKUP(B333,'Nível 2'!B:B,'Nível 2'!A:A),"")</f>
        <v/>
      </c>
    </row>
    <row r="334">
      <c r="C334" s="15" t="str">
        <f t="array" ref="C334">IFERROR(XLOOKUP(B334,'Nível 2'!B:B,'Nível 2'!A:A),"")</f>
        <v/>
      </c>
    </row>
    <row r="335">
      <c r="C335" s="15" t="str">
        <f t="array" ref="C335">IFERROR(XLOOKUP(B335,'Nível 2'!B:B,'Nível 2'!A:A),"")</f>
        <v/>
      </c>
    </row>
    <row r="336">
      <c r="C336" s="15" t="str">
        <f t="array" ref="C336">IFERROR(XLOOKUP(B336,'Nível 2'!B:B,'Nível 2'!A:A),"")</f>
        <v/>
      </c>
    </row>
    <row r="337">
      <c r="C337" s="15" t="str">
        <f t="array" ref="C337">IFERROR(XLOOKUP(B337,'Nível 2'!B:B,'Nível 2'!A:A),"")</f>
        <v/>
      </c>
    </row>
    <row r="338">
      <c r="C338" s="15" t="str">
        <f t="array" ref="C338">IFERROR(XLOOKUP(B338,'Nível 2'!B:B,'Nível 2'!A:A),"")</f>
        <v/>
      </c>
    </row>
    <row r="339">
      <c r="C339" s="15" t="str">
        <f t="array" ref="C339">IFERROR(XLOOKUP(B339,'Nível 2'!B:B,'Nível 2'!A:A),"")</f>
        <v/>
      </c>
    </row>
    <row r="340">
      <c r="C340" s="15" t="str">
        <f t="array" ref="C340">IFERROR(XLOOKUP(B340,'Nível 2'!B:B,'Nível 2'!A:A),"")</f>
        <v/>
      </c>
    </row>
    <row r="341">
      <c r="C341" s="15" t="str">
        <f t="array" ref="C341">IFERROR(XLOOKUP(B341,'Nível 2'!B:B,'Nível 2'!A:A),"")</f>
        <v/>
      </c>
    </row>
    <row r="342">
      <c r="C342" s="15" t="str">
        <f t="array" ref="C342">IFERROR(XLOOKUP(B342,'Nível 2'!B:B,'Nível 2'!A:A),"")</f>
        <v/>
      </c>
    </row>
    <row r="343">
      <c r="C343" s="15" t="str">
        <f t="array" ref="C343">IFERROR(XLOOKUP(B343,'Nível 2'!B:B,'Nível 2'!A:A),"")</f>
        <v/>
      </c>
    </row>
    <row r="344">
      <c r="C344" s="15" t="str">
        <f t="array" ref="C344">IFERROR(XLOOKUP(B344,'Nível 2'!B:B,'Nível 2'!A:A),"")</f>
        <v/>
      </c>
    </row>
    <row r="345">
      <c r="C345" s="15" t="str">
        <f t="array" ref="C345">IFERROR(XLOOKUP(B345,'Nível 2'!B:B,'Nível 2'!A:A),"")</f>
        <v/>
      </c>
    </row>
    <row r="346">
      <c r="C346" s="15" t="str">
        <f t="array" ref="C346">IFERROR(XLOOKUP(B346,'Nível 2'!B:B,'Nível 2'!A:A),"")</f>
        <v/>
      </c>
    </row>
    <row r="347">
      <c r="C347" s="15" t="str">
        <f t="array" ref="C347">IFERROR(XLOOKUP(B347,'Nível 2'!B:B,'Nível 2'!A:A),"")</f>
        <v/>
      </c>
    </row>
    <row r="348">
      <c r="C348" s="15" t="str">
        <f t="array" ref="C348">IFERROR(XLOOKUP(B348,'Nível 2'!B:B,'Nível 2'!A:A),"")</f>
        <v/>
      </c>
    </row>
    <row r="349">
      <c r="C349" s="15" t="str">
        <f t="array" ref="C349">IFERROR(XLOOKUP(B349,'Nível 2'!B:B,'Nível 2'!A:A),"")</f>
        <v/>
      </c>
    </row>
    <row r="350">
      <c r="C350" s="15" t="str">
        <f t="array" ref="C350">IFERROR(XLOOKUP(B350,'Nível 2'!B:B,'Nível 2'!A:A),"")</f>
        <v/>
      </c>
    </row>
    <row r="351">
      <c r="C351" s="15" t="str">
        <f t="array" ref="C351">IFERROR(XLOOKUP(B351,'Nível 2'!B:B,'Nível 2'!A:A),"")</f>
        <v/>
      </c>
    </row>
    <row r="352">
      <c r="C352" s="15" t="str">
        <f t="array" ref="C352">IFERROR(XLOOKUP(B352,'Nível 2'!B:B,'Nível 2'!A:A),"")</f>
        <v/>
      </c>
    </row>
    <row r="353">
      <c r="C353" s="15" t="str">
        <f t="array" ref="C353">IFERROR(XLOOKUP(B353,'Nível 2'!B:B,'Nível 2'!A:A),"")</f>
        <v/>
      </c>
    </row>
    <row r="354">
      <c r="C354" s="15" t="str">
        <f t="array" ref="C354">IFERROR(XLOOKUP(B354,'Nível 2'!B:B,'Nível 2'!A:A),"")</f>
        <v/>
      </c>
    </row>
    <row r="355">
      <c r="C355" s="15" t="str">
        <f t="array" ref="C355">IFERROR(XLOOKUP(B355,'Nível 2'!B:B,'Nível 2'!A:A),"")</f>
        <v/>
      </c>
    </row>
    <row r="356">
      <c r="C356" s="15" t="str">
        <f t="array" ref="C356">IFERROR(XLOOKUP(B356,'Nível 2'!B:B,'Nível 2'!A:A),"")</f>
        <v/>
      </c>
    </row>
    <row r="357">
      <c r="C357" s="15" t="str">
        <f t="array" ref="C357">IFERROR(XLOOKUP(B357,'Nível 2'!B:B,'Nível 2'!A:A),"")</f>
        <v/>
      </c>
    </row>
    <row r="358">
      <c r="C358" s="15" t="str">
        <f t="array" ref="C358">IFERROR(XLOOKUP(B358,'Nível 2'!B:B,'Nível 2'!A:A),"")</f>
        <v/>
      </c>
    </row>
    <row r="359">
      <c r="C359" s="15" t="str">
        <f t="array" ref="C359">IFERROR(XLOOKUP(B359,'Nível 2'!B:B,'Nível 2'!A:A),"")</f>
        <v/>
      </c>
    </row>
    <row r="360">
      <c r="C360" s="15" t="str">
        <f t="array" ref="C360">IFERROR(XLOOKUP(B360,'Nível 2'!B:B,'Nível 2'!A:A),"")</f>
        <v/>
      </c>
    </row>
    <row r="361">
      <c r="C361" s="15" t="str">
        <f t="array" ref="C361">IFERROR(XLOOKUP(B361,'Nível 2'!B:B,'Nível 2'!A:A),"")</f>
        <v/>
      </c>
    </row>
    <row r="362">
      <c r="C362" s="15" t="str">
        <f t="array" ref="C362">IFERROR(XLOOKUP(B362,'Nível 2'!B:B,'Nível 2'!A:A),"")</f>
        <v/>
      </c>
    </row>
    <row r="363">
      <c r="C363" s="15" t="str">
        <f t="array" ref="C363">IFERROR(XLOOKUP(B363,'Nível 2'!B:B,'Nível 2'!A:A),"")</f>
        <v/>
      </c>
    </row>
    <row r="364">
      <c r="C364" s="15" t="str">
        <f t="array" ref="C364">IFERROR(XLOOKUP(B364,'Nível 2'!B:B,'Nível 2'!A:A),"")</f>
        <v/>
      </c>
    </row>
    <row r="365">
      <c r="C365" s="15" t="str">
        <f t="array" ref="C365">IFERROR(XLOOKUP(B365,'Nível 2'!B:B,'Nível 2'!A:A),"")</f>
        <v/>
      </c>
    </row>
    <row r="366">
      <c r="C366" s="15" t="str">
        <f t="array" ref="C366">IFERROR(XLOOKUP(B366,'Nível 2'!B:B,'Nível 2'!A:A),"")</f>
        <v/>
      </c>
    </row>
    <row r="367">
      <c r="C367" s="15" t="str">
        <f t="array" ref="C367">IFERROR(XLOOKUP(B367,'Nível 2'!B:B,'Nível 2'!A:A),"")</f>
        <v/>
      </c>
    </row>
    <row r="368">
      <c r="C368" s="15" t="str">
        <f t="array" ref="C368">IFERROR(XLOOKUP(B368,'Nível 2'!B:B,'Nível 2'!A:A),"")</f>
        <v/>
      </c>
    </row>
    <row r="369">
      <c r="C369" s="15" t="str">
        <f t="array" ref="C369">IFERROR(XLOOKUP(B369,'Nível 2'!B:B,'Nível 2'!A:A),"")</f>
        <v/>
      </c>
    </row>
    <row r="370">
      <c r="C370" s="15" t="str">
        <f t="array" ref="C370">IFERROR(XLOOKUP(B370,'Nível 2'!B:B,'Nível 2'!A:A),"")</f>
        <v/>
      </c>
    </row>
    <row r="371">
      <c r="C371" s="15" t="str">
        <f t="array" ref="C371">IFERROR(XLOOKUP(B371,'Nível 2'!B:B,'Nível 2'!A:A),"")</f>
        <v/>
      </c>
    </row>
    <row r="372">
      <c r="C372" s="15" t="str">
        <f t="array" ref="C372">IFERROR(XLOOKUP(B372,'Nível 2'!B:B,'Nível 2'!A:A),"")</f>
        <v/>
      </c>
    </row>
    <row r="373">
      <c r="C373" s="15" t="str">
        <f t="array" ref="C373">IFERROR(XLOOKUP(B373,'Nível 2'!B:B,'Nível 2'!A:A),"")</f>
        <v/>
      </c>
    </row>
    <row r="374">
      <c r="C374" s="15" t="str">
        <f t="array" ref="C374">IFERROR(XLOOKUP(B374,'Nível 2'!B:B,'Nível 2'!A:A),"")</f>
        <v/>
      </c>
    </row>
    <row r="375">
      <c r="C375" s="15" t="str">
        <f t="array" ref="C375">IFERROR(XLOOKUP(B375,'Nível 2'!B:B,'Nível 2'!A:A),"")</f>
        <v/>
      </c>
    </row>
    <row r="376">
      <c r="C376" s="15" t="str">
        <f t="array" ref="C376">IFERROR(XLOOKUP(B376,'Nível 2'!B:B,'Nível 2'!A:A),"")</f>
        <v/>
      </c>
    </row>
    <row r="377">
      <c r="C377" s="15" t="str">
        <f t="array" ref="C377">IFERROR(XLOOKUP(B377,'Nível 2'!B:B,'Nível 2'!A:A),"")</f>
        <v/>
      </c>
    </row>
    <row r="378">
      <c r="C378" s="15" t="str">
        <f t="array" ref="C378">IFERROR(XLOOKUP(B378,'Nível 2'!B:B,'Nível 2'!A:A),"")</f>
        <v/>
      </c>
    </row>
    <row r="379">
      <c r="C379" s="15" t="str">
        <f t="array" ref="C379">IFERROR(XLOOKUP(B379,'Nível 2'!B:B,'Nível 2'!A:A),"")</f>
        <v/>
      </c>
    </row>
    <row r="380">
      <c r="C380" s="15" t="str">
        <f t="array" ref="C380">IFERROR(XLOOKUP(B380,'Nível 2'!B:B,'Nível 2'!A:A),"")</f>
        <v/>
      </c>
    </row>
    <row r="381">
      <c r="C381" s="15" t="str">
        <f t="array" ref="C381">IFERROR(XLOOKUP(B381,'Nível 2'!B:B,'Nível 2'!A:A),"")</f>
        <v/>
      </c>
    </row>
    <row r="382">
      <c r="C382" s="15" t="str">
        <f t="array" ref="C382">IFERROR(XLOOKUP(B382,'Nível 2'!B:B,'Nível 2'!A:A),"")</f>
        <v/>
      </c>
    </row>
    <row r="383">
      <c r="C383" s="15" t="str">
        <f t="array" ref="C383">IFERROR(XLOOKUP(B383,'Nível 2'!B:B,'Nível 2'!A:A),"")</f>
        <v/>
      </c>
    </row>
    <row r="384">
      <c r="C384" s="15" t="str">
        <f t="array" ref="C384">IFERROR(XLOOKUP(B384,'Nível 2'!B:B,'Nível 2'!A:A),"")</f>
        <v/>
      </c>
    </row>
    <row r="385">
      <c r="C385" s="15" t="str">
        <f t="array" ref="C385">IFERROR(XLOOKUP(B385,'Nível 2'!B:B,'Nível 2'!A:A),"")</f>
        <v/>
      </c>
    </row>
    <row r="386">
      <c r="C386" s="15" t="str">
        <f t="array" ref="C386">IFERROR(XLOOKUP(B386,'Nível 2'!B:B,'Nível 2'!A:A),"")</f>
        <v/>
      </c>
    </row>
    <row r="387">
      <c r="C387" s="15" t="str">
        <f t="array" ref="C387">IFERROR(XLOOKUP(B387,'Nível 2'!B:B,'Nível 2'!A:A),"")</f>
        <v/>
      </c>
    </row>
    <row r="388">
      <c r="C388" s="15" t="str">
        <f t="array" ref="C388">IFERROR(XLOOKUP(B388,'Nível 2'!B:B,'Nível 2'!A:A),"")</f>
        <v/>
      </c>
    </row>
    <row r="389">
      <c r="C389" s="15" t="str">
        <f t="array" ref="C389">IFERROR(XLOOKUP(B389,'Nível 2'!B:B,'Nível 2'!A:A),"")</f>
        <v/>
      </c>
    </row>
    <row r="390">
      <c r="C390" s="15" t="str">
        <f t="array" ref="C390">IFERROR(XLOOKUP(B390,'Nível 2'!B:B,'Nível 2'!A:A),"")</f>
        <v/>
      </c>
    </row>
    <row r="391">
      <c r="C391" s="15" t="str">
        <f t="array" ref="C391">IFERROR(XLOOKUP(B391,'Nível 2'!B:B,'Nível 2'!A:A),"")</f>
        <v/>
      </c>
    </row>
    <row r="392">
      <c r="C392" s="15" t="str">
        <f t="array" ref="C392">IFERROR(XLOOKUP(B392,'Nível 2'!B:B,'Nível 2'!A:A),"")</f>
        <v/>
      </c>
    </row>
    <row r="393">
      <c r="C393" s="15" t="str">
        <f t="array" ref="C393">IFERROR(XLOOKUP(B393,'Nível 2'!B:B,'Nível 2'!A:A),"")</f>
        <v/>
      </c>
    </row>
    <row r="394">
      <c r="C394" s="15" t="str">
        <f t="array" ref="C394">IFERROR(XLOOKUP(B394,'Nível 2'!B:B,'Nível 2'!A:A),"")</f>
        <v/>
      </c>
    </row>
    <row r="395">
      <c r="C395" s="15" t="str">
        <f t="array" ref="C395">IFERROR(XLOOKUP(B395,'Nível 2'!B:B,'Nível 2'!A:A),"")</f>
        <v/>
      </c>
    </row>
    <row r="396">
      <c r="C396" s="15" t="str">
        <f t="array" ref="C396">IFERROR(XLOOKUP(B396,'Nível 2'!B:B,'Nível 2'!A:A),"")</f>
        <v/>
      </c>
    </row>
    <row r="397">
      <c r="C397" s="15" t="str">
        <f t="array" ref="C397">IFERROR(XLOOKUP(B397,'Nível 2'!B:B,'Nível 2'!A:A),"")</f>
        <v/>
      </c>
    </row>
    <row r="398">
      <c r="C398" s="15" t="str">
        <f t="array" ref="C398">IFERROR(XLOOKUP(B398,'Nível 2'!B:B,'Nível 2'!A:A),"")</f>
        <v/>
      </c>
    </row>
    <row r="399">
      <c r="C399" s="15" t="str">
        <f t="array" ref="C399">IFERROR(XLOOKUP(B399,'Nível 2'!B:B,'Nível 2'!A:A),"")</f>
        <v/>
      </c>
    </row>
    <row r="400">
      <c r="C400" s="15" t="str">
        <f t="array" ref="C400">IFERROR(XLOOKUP(B400,'Nível 2'!B:B,'Nível 2'!A:A),"")</f>
        <v/>
      </c>
    </row>
    <row r="401">
      <c r="C401" s="15" t="str">
        <f t="array" ref="C401">IFERROR(XLOOKUP(B401,'Nível 2'!B:B,'Nível 2'!A:A),"")</f>
        <v/>
      </c>
    </row>
    <row r="402">
      <c r="C402" s="15" t="str">
        <f t="array" ref="C402">IFERROR(XLOOKUP(B402,'Nível 2'!B:B,'Nível 2'!A:A),"")</f>
        <v/>
      </c>
    </row>
    <row r="403">
      <c r="C403" s="15" t="str">
        <f t="array" ref="C403">IFERROR(XLOOKUP(B403,'Nível 2'!B:B,'Nível 2'!A:A),"")</f>
        <v/>
      </c>
    </row>
    <row r="404">
      <c r="C404" s="15" t="str">
        <f t="array" ref="C404">IFERROR(XLOOKUP(B404,'Nível 2'!B:B,'Nível 2'!A:A),"")</f>
        <v/>
      </c>
    </row>
    <row r="405">
      <c r="C405" s="15" t="str">
        <f t="array" ref="C405">IFERROR(XLOOKUP(B405,'Nível 2'!B:B,'Nível 2'!A:A),"")</f>
        <v/>
      </c>
    </row>
    <row r="406">
      <c r="C406" s="15" t="str">
        <f t="array" ref="C406">IFERROR(XLOOKUP(B406,'Nível 2'!B:B,'Nível 2'!A:A),"")</f>
        <v/>
      </c>
    </row>
    <row r="407">
      <c r="C407" s="15" t="str">
        <f t="array" ref="C407">IFERROR(XLOOKUP(B407,'Nível 2'!B:B,'Nível 2'!A:A),"")</f>
        <v/>
      </c>
    </row>
    <row r="408">
      <c r="C408" s="15" t="str">
        <f t="array" ref="C408">IFERROR(XLOOKUP(B408,'Nível 2'!B:B,'Nível 2'!A:A),"")</f>
        <v/>
      </c>
    </row>
    <row r="409">
      <c r="C409" s="15" t="str">
        <f t="array" ref="C409">IFERROR(XLOOKUP(B409,'Nível 2'!B:B,'Nível 2'!A:A),"")</f>
        <v/>
      </c>
    </row>
    <row r="410">
      <c r="C410" s="15" t="str">
        <f t="array" ref="C410">IFERROR(XLOOKUP(B410,'Nível 2'!B:B,'Nível 2'!A:A),"")</f>
        <v/>
      </c>
    </row>
    <row r="411">
      <c r="C411" s="15" t="str">
        <f t="array" ref="C411">IFERROR(XLOOKUP(B411,'Nível 2'!B:B,'Nível 2'!A:A),"")</f>
        <v/>
      </c>
    </row>
    <row r="412">
      <c r="C412" s="15" t="str">
        <f t="array" ref="C412">IFERROR(XLOOKUP(B412,'Nível 2'!B:B,'Nível 2'!A:A),"")</f>
        <v/>
      </c>
    </row>
    <row r="413">
      <c r="C413" s="15" t="str">
        <f t="array" ref="C413">IFERROR(XLOOKUP(B413,'Nível 2'!B:B,'Nível 2'!A:A),"")</f>
        <v/>
      </c>
    </row>
    <row r="414">
      <c r="C414" s="15" t="str">
        <f t="array" ref="C414">IFERROR(XLOOKUP(B414,'Nível 2'!B:B,'Nível 2'!A:A),"")</f>
        <v/>
      </c>
    </row>
    <row r="415">
      <c r="C415" s="15" t="str">
        <f t="array" ref="C415">IFERROR(XLOOKUP(B415,'Nível 2'!B:B,'Nível 2'!A:A),"")</f>
        <v/>
      </c>
    </row>
    <row r="416">
      <c r="C416" s="15" t="str">
        <f t="array" ref="C416">IFERROR(XLOOKUP(B416,'Nível 2'!B:B,'Nível 2'!A:A),"")</f>
        <v/>
      </c>
    </row>
    <row r="417">
      <c r="C417" s="15" t="str">
        <f t="array" ref="C417">IFERROR(XLOOKUP(B417,'Nível 2'!B:B,'Nível 2'!A:A),"")</f>
        <v/>
      </c>
    </row>
    <row r="418">
      <c r="C418" s="15" t="str">
        <f t="array" ref="C418">IFERROR(XLOOKUP(B418,'Nível 2'!B:B,'Nível 2'!A:A),"")</f>
        <v/>
      </c>
    </row>
    <row r="419">
      <c r="C419" s="15" t="str">
        <f t="array" ref="C419">IFERROR(XLOOKUP(B419,'Nível 2'!B:B,'Nível 2'!A:A),"")</f>
        <v/>
      </c>
    </row>
    <row r="420">
      <c r="C420" s="15" t="str">
        <f t="array" ref="C420">IFERROR(XLOOKUP(B420,'Nível 2'!B:B,'Nível 2'!A:A),"")</f>
        <v/>
      </c>
    </row>
    <row r="421">
      <c r="C421" s="15" t="str">
        <f t="array" ref="C421">IFERROR(XLOOKUP(B421,'Nível 2'!B:B,'Nível 2'!A:A),"")</f>
        <v/>
      </c>
    </row>
    <row r="422">
      <c r="C422" s="15" t="str">
        <f t="array" ref="C422">IFERROR(XLOOKUP(B422,'Nível 2'!B:B,'Nível 2'!A:A),"")</f>
        <v/>
      </c>
    </row>
    <row r="423">
      <c r="C423" s="15" t="str">
        <f t="array" ref="C423">IFERROR(XLOOKUP(B423,'Nível 2'!B:B,'Nível 2'!A:A),"")</f>
        <v/>
      </c>
    </row>
    <row r="424">
      <c r="C424" s="15" t="str">
        <f t="array" ref="C424">IFERROR(XLOOKUP(B424,'Nível 2'!B:B,'Nível 2'!A:A),"")</f>
        <v/>
      </c>
    </row>
    <row r="425">
      <c r="C425" s="15" t="str">
        <f t="array" ref="C425">IFERROR(XLOOKUP(B425,'Nível 2'!B:B,'Nível 2'!A:A),"")</f>
        <v/>
      </c>
    </row>
    <row r="426">
      <c r="C426" s="15" t="str">
        <f t="array" ref="C426">IFERROR(XLOOKUP(B426,'Nível 2'!B:B,'Nível 2'!A:A),"")</f>
        <v/>
      </c>
    </row>
    <row r="427">
      <c r="C427" s="15" t="str">
        <f t="array" ref="C427">IFERROR(XLOOKUP(B427,'Nível 2'!B:B,'Nível 2'!A:A),"")</f>
        <v/>
      </c>
    </row>
    <row r="428">
      <c r="C428" s="15" t="str">
        <f t="array" ref="C428">IFERROR(XLOOKUP(B428,'Nível 2'!B:B,'Nível 2'!A:A),"")</f>
        <v/>
      </c>
    </row>
    <row r="429">
      <c r="C429" s="15" t="str">
        <f t="array" ref="C429">IFERROR(XLOOKUP(B429,'Nível 2'!B:B,'Nível 2'!A:A),"")</f>
        <v/>
      </c>
    </row>
    <row r="430">
      <c r="C430" s="15" t="str">
        <f t="array" ref="C430">IFERROR(XLOOKUP(B430,'Nível 2'!B:B,'Nível 2'!A:A),"")</f>
        <v/>
      </c>
    </row>
    <row r="431">
      <c r="C431" s="15" t="str">
        <f t="array" ref="C431">IFERROR(XLOOKUP(B431,'Nível 2'!B:B,'Nível 2'!A:A),"")</f>
        <v/>
      </c>
    </row>
    <row r="432">
      <c r="C432" s="15" t="str">
        <f t="array" ref="C432">IFERROR(XLOOKUP(B432,'Nível 2'!B:B,'Nível 2'!A:A),"")</f>
        <v/>
      </c>
    </row>
    <row r="433">
      <c r="C433" s="15" t="str">
        <f t="array" ref="C433">IFERROR(XLOOKUP(B433,'Nível 2'!B:B,'Nível 2'!A:A),"")</f>
        <v/>
      </c>
    </row>
    <row r="434">
      <c r="C434" s="15" t="str">
        <f t="array" ref="C434">IFERROR(XLOOKUP(B434,'Nível 2'!B:B,'Nível 2'!A:A),"")</f>
        <v/>
      </c>
    </row>
    <row r="435">
      <c r="C435" s="15" t="str">
        <f t="array" ref="C435">IFERROR(XLOOKUP(B435,'Nível 2'!B:B,'Nível 2'!A:A),"")</f>
        <v/>
      </c>
    </row>
    <row r="436">
      <c r="C436" s="15" t="str">
        <f t="array" ref="C436">IFERROR(XLOOKUP(B436,'Nível 2'!B:B,'Nível 2'!A:A),"")</f>
        <v/>
      </c>
    </row>
    <row r="437">
      <c r="C437" s="15" t="str">
        <f t="array" ref="C437">IFERROR(XLOOKUP(B437,'Nível 2'!B:B,'Nível 2'!A:A),"")</f>
        <v/>
      </c>
    </row>
  </sheetData>
  <autoFilter ref="$A$1:$C$1004"/>
  <dataValidations>
    <dataValidation type="list" allowBlank="1" showErrorMessage="1" sqref="B116:B254">
      <formula1>'Nível 2'!$B$2:$B$999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0"/>
  </cols>
  <sheetData>
    <row r="1">
      <c r="A1" s="127" t="s">
        <v>1830</v>
      </c>
      <c r="B1" s="127" t="s">
        <v>1827</v>
      </c>
      <c r="C1" s="127" t="s">
        <v>1831</v>
      </c>
    </row>
    <row r="2">
      <c r="A2" s="127">
        <v>1.0</v>
      </c>
      <c r="B2" s="116" t="s">
        <v>1758</v>
      </c>
      <c r="C2" s="127" t="s">
        <v>1832</v>
      </c>
    </row>
    <row r="3">
      <c r="A3" s="127">
        <v>2.0</v>
      </c>
      <c r="B3" s="128" t="s">
        <v>1760</v>
      </c>
      <c r="C3" s="127" t="s">
        <v>1832</v>
      </c>
    </row>
    <row r="4">
      <c r="A4" s="127">
        <v>3.0</v>
      </c>
      <c r="B4" s="120" t="s">
        <v>1766</v>
      </c>
      <c r="C4" s="127" t="s">
        <v>1833</v>
      </c>
    </row>
    <row r="5">
      <c r="A5" s="127">
        <v>4.0</v>
      </c>
      <c r="B5" s="118" t="s">
        <v>1767</v>
      </c>
      <c r="C5" s="127" t="s">
        <v>1832</v>
      </c>
    </row>
    <row r="6">
      <c r="A6" s="127">
        <v>5.0</v>
      </c>
      <c r="B6" s="120" t="s">
        <v>1834</v>
      </c>
      <c r="C6" s="127" t="s">
        <v>1833</v>
      </c>
    </row>
    <row r="7">
      <c r="A7" s="127">
        <v>6.0</v>
      </c>
      <c r="B7" s="120" t="s">
        <v>1774</v>
      </c>
      <c r="C7" s="127" t="s">
        <v>1832</v>
      </c>
    </row>
    <row r="8">
      <c r="A8" s="127">
        <v>7.0</v>
      </c>
      <c r="B8" s="120" t="s">
        <v>1835</v>
      </c>
      <c r="C8" s="127" t="s">
        <v>1833</v>
      </c>
    </row>
    <row r="9">
      <c r="A9" s="127">
        <v>9.0</v>
      </c>
      <c r="B9" s="120" t="s">
        <v>1810</v>
      </c>
      <c r="C9" s="127" t="s">
        <v>1833</v>
      </c>
    </row>
    <row r="10">
      <c r="A10" s="127">
        <v>12.0</v>
      </c>
      <c r="B10" s="120" t="s">
        <v>1836</v>
      </c>
      <c r="C10" s="127" t="s">
        <v>1833</v>
      </c>
    </row>
    <row r="11">
      <c r="A11" s="127">
        <v>8.0</v>
      </c>
      <c r="B11" s="120" t="s">
        <v>1806</v>
      </c>
      <c r="C11" s="127" t="s">
        <v>1832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75"/>
    <col customWidth="1" min="2" max="2" width="35.5"/>
  </cols>
  <sheetData>
    <row r="1">
      <c r="A1" s="127" t="s">
        <v>1827</v>
      </c>
      <c r="B1" s="127" t="s">
        <v>1826</v>
      </c>
    </row>
    <row r="2">
      <c r="A2" s="116" t="s">
        <v>1758</v>
      </c>
      <c r="B2" s="129" t="s">
        <v>1837</v>
      </c>
    </row>
    <row r="3">
      <c r="A3" s="130" t="s">
        <v>1758</v>
      </c>
      <c r="B3" s="131" t="s">
        <v>1838</v>
      </c>
    </row>
    <row r="4">
      <c r="A4" s="130" t="s">
        <v>1758</v>
      </c>
      <c r="B4" s="131" t="s">
        <v>1839</v>
      </c>
    </row>
    <row r="5">
      <c r="A5" s="120" t="s">
        <v>1806</v>
      </c>
      <c r="B5" s="131" t="s">
        <v>1840</v>
      </c>
    </row>
    <row r="6">
      <c r="A6" s="118" t="s">
        <v>1760</v>
      </c>
      <c r="B6" s="131" t="s">
        <v>1761</v>
      </c>
    </row>
    <row r="7">
      <c r="A7" s="128" t="s">
        <v>1760</v>
      </c>
      <c r="B7" s="131" t="s">
        <v>1762</v>
      </c>
    </row>
    <row r="8">
      <c r="A8" s="128" t="s">
        <v>1760</v>
      </c>
      <c r="B8" s="131" t="s">
        <v>1841</v>
      </c>
    </row>
    <row r="9">
      <c r="A9" s="128" t="s">
        <v>1760</v>
      </c>
      <c r="B9" s="131" t="s">
        <v>1842</v>
      </c>
    </row>
    <row r="10">
      <c r="A10" s="128" t="s">
        <v>1767</v>
      </c>
      <c r="B10" s="131" t="s">
        <v>1768</v>
      </c>
    </row>
    <row r="11">
      <c r="A11" s="128" t="s">
        <v>1767</v>
      </c>
      <c r="B11" s="131" t="s">
        <v>1843</v>
      </c>
    </row>
    <row r="12">
      <c r="A12" s="128" t="s">
        <v>1767</v>
      </c>
      <c r="B12" s="126" t="s">
        <v>35</v>
      </c>
    </row>
    <row r="13">
      <c r="A13" s="128" t="s">
        <v>1767</v>
      </c>
      <c r="B13" s="11" t="s">
        <v>1828</v>
      </c>
    </row>
    <row r="14">
      <c r="A14" s="128" t="s">
        <v>1767</v>
      </c>
      <c r="B14" s="131" t="s">
        <v>1772</v>
      </c>
    </row>
    <row r="15">
      <c r="A15" s="120" t="s">
        <v>1774</v>
      </c>
      <c r="B15" s="118" t="s">
        <v>1666</v>
      </c>
    </row>
    <row r="16">
      <c r="A16" s="120" t="s">
        <v>1774</v>
      </c>
      <c r="B16" s="128" t="s">
        <v>1732</v>
      </c>
    </row>
    <row r="17">
      <c r="A17" s="120" t="s">
        <v>1774</v>
      </c>
      <c r="B17" s="128" t="s">
        <v>1747</v>
      </c>
    </row>
    <row r="18">
      <c r="A18" s="120" t="s">
        <v>1774</v>
      </c>
      <c r="B18" s="128" t="s">
        <v>1739</v>
      </c>
    </row>
    <row r="19">
      <c r="A19" s="120" t="s">
        <v>1774</v>
      </c>
      <c r="B19" s="128" t="s">
        <v>1735</v>
      </c>
    </row>
    <row r="20">
      <c r="A20" s="120" t="s">
        <v>1774</v>
      </c>
      <c r="B20" s="128" t="s">
        <v>1740</v>
      </c>
    </row>
    <row r="21">
      <c r="A21" s="120" t="s">
        <v>1774</v>
      </c>
      <c r="B21" s="128" t="s">
        <v>1844</v>
      </c>
    </row>
    <row r="22">
      <c r="A22" s="120" t="s">
        <v>1774</v>
      </c>
      <c r="B22" s="128" t="s">
        <v>1742</v>
      </c>
    </row>
    <row r="23">
      <c r="A23" s="120" t="s">
        <v>1806</v>
      </c>
      <c r="B23" s="119" t="s">
        <v>1807</v>
      </c>
    </row>
    <row r="24">
      <c r="A24" s="120" t="s">
        <v>1806</v>
      </c>
      <c r="B24" s="119" t="s">
        <v>1808</v>
      </c>
    </row>
    <row r="25">
      <c r="A25" s="120" t="s">
        <v>1806</v>
      </c>
      <c r="B25" s="119" t="s">
        <v>1809</v>
      </c>
    </row>
    <row r="26">
      <c r="A26" s="120" t="s">
        <v>1806</v>
      </c>
      <c r="B26" s="119" t="s">
        <v>97</v>
      </c>
    </row>
    <row r="27">
      <c r="A27" s="120" t="s">
        <v>1806</v>
      </c>
      <c r="B27" s="119" t="s">
        <v>574</v>
      </c>
    </row>
    <row r="28">
      <c r="A28" s="120" t="s">
        <v>1810</v>
      </c>
      <c r="B28" s="118" t="s">
        <v>1669</v>
      </c>
    </row>
    <row r="29">
      <c r="A29" s="120" t="s">
        <v>1810</v>
      </c>
      <c r="B29" s="130" t="s">
        <v>1814</v>
      </c>
    </row>
    <row r="30">
      <c r="A30" s="128" t="s">
        <v>1760</v>
      </c>
      <c r="B30" s="119" t="s">
        <v>1763</v>
      </c>
    </row>
    <row r="31">
      <c r="A31" s="128" t="s">
        <v>1760</v>
      </c>
      <c r="B31" s="119" t="s">
        <v>1764</v>
      </c>
    </row>
    <row r="32">
      <c r="A32" s="128" t="s">
        <v>1760</v>
      </c>
      <c r="B32" s="119" t="s">
        <v>1765</v>
      </c>
    </row>
    <row r="33">
      <c r="A33" s="120" t="s">
        <v>1774</v>
      </c>
      <c r="B33" s="118" t="s">
        <v>1742</v>
      </c>
    </row>
  </sheetData>
  <drawing r:id="rId1"/>
</worksheet>
</file>